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hreadedComments/threadedComment1.xml" ContentType="application/vnd.ms-excel.threadedcomments+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hidePivotFieldList="1" defaultThemeVersion="124226"/>
  <mc:AlternateContent xmlns:mc="http://schemas.openxmlformats.org/markup-compatibility/2006">
    <mc:Choice Requires="x15">
      <x15ac:absPath xmlns:x15ac="http://schemas.microsoft.com/office/spreadsheetml/2010/11/ac" url="\\192.168.7.12\Data SIG\Central Station SLC-COLOMBIA\3. DST Monitoring Split Colombia\3. OMNIA Monitoring Split - MAR to NOV 4.0\"/>
    </mc:Choice>
  </mc:AlternateContent>
  <xr:revisionPtr revIDLastSave="0" documentId="13_ncr:1_{8FF5ABE5-29BC-46D7-BA4D-8DDCA7A3D032}" xr6:coauthVersionLast="47" xr6:coauthVersionMax="47" xr10:uidLastSave="{00000000-0000-0000-0000-000000000000}"/>
  <bookViews>
    <workbookView xWindow="-15" yWindow="-16320" windowWidth="29040" windowHeight="15720" xr2:uid="{A0681AA7-7B86-43C4-AC22-2D86506EFC3B}"/>
  </bookViews>
  <sheets>
    <sheet name="Dynamic Split" sheetId="15" r:id="rId1"/>
    <sheet name="Cambio de Split" sheetId="20" state="hidden" r:id="rId2"/>
    <sheet name="Flat Base" sheetId="11" state="hidden" r:id="rId3"/>
    <sheet name="Important Info!" sheetId="21" state="hidden" r:id="rId4"/>
    <sheet name="H.A. Dynamic Split" sheetId="4" state="hidden" r:id="rId5"/>
    <sheet name="Maestra" sheetId="19" state="hidden" r:id="rId6"/>
    <sheet name=" (H.A.) Flat Base" sheetId="12" state="hidden" r:id="rId7"/>
  </sheets>
  <definedNames>
    <definedName name="_xlnm._FilterDatabase" localSheetId="0" hidden="1">'Dynamic Split'!$H$1:$AE$6291</definedName>
    <definedName name="_xlnm._FilterDatabase" localSheetId="2" hidden="1">'Flat Base'!$A$1:$A$3241</definedName>
    <definedName name="_xlnm._FilterDatabase" localSheetId="4" hidden="1">'H.A. Dynamic Split'!$A$15:$M$501</definedName>
    <definedName name="_xlnm._FilterDatabase" localSheetId="3" hidden="1">'Important Info!'!$A$1:$G$1</definedName>
    <definedName name="_xlnm.Print_Area" localSheetId="0">'Dynamic Split'!$A$1:$AH$80</definedName>
    <definedName name="_xlnm.Print_Area" localSheetId="4">'H.A. Dynamic Split'!$A$1:$Y$76</definedName>
    <definedName name="SegmentaciónDeDatos_Split">#N/A</definedName>
    <definedName name="SegmentaciónDeDatos_Split1">#N/A</definedName>
    <definedName name="SegmentaciónDeDatos_Split11">#N/A</definedName>
    <definedName name="SegmentaciónDeDatos_Split2">#N/A</definedName>
    <definedName name="SegmentaciónDeDatos_Station">#N/A</definedName>
    <definedName name="SegmentaciónDeDatos_Station1">#N/A</definedName>
    <definedName name="SegmentaciónDeDatos_Station11">#N/A</definedName>
  </definedNames>
  <calcPr calcId="191028" iterateDelta="1E-4"/>
  <pivotCaches>
    <pivotCache cacheId="0" r:id="rId8"/>
    <pivotCache cacheId="18"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9" i="15" l="1"/>
  <c r="H2186" i="11"/>
  <c r="A2186" i="11"/>
  <c r="L2186" i="11"/>
  <c r="M2186" i="11"/>
  <c r="N2186" i="11"/>
  <c r="O2186" i="11"/>
  <c r="P2186" i="11"/>
  <c r="Q2186" i="11"/>
  <c r="A2356" i="11"/>
  <c r="A2419" i="11"/>
  <c r="A2420" i="11"/>
  <c r="A2421" i="11"/>
  <c r="A2422" i="11"/>
  <c r="A2423" i="11"/>
  <c r="J48" i="15"/>
  <c r="J47" i="15"/>
  <c r="O3041" i="11"/>
  <c r="N3041" i="11"/>
  <c r="M3041" i="11"/>
  <c r="O2926" i="11"/>
  <c r="N2926" i="11"/>
  <c r="M2926" i="11"/>
  <c r="O2813" i="11"/>
  <c r="N2813" i="11"/>
  <c r="M2813" i="11"/>
  <c r="O2698" i="11"/>
  <c r="N2698" i="11"/>
  <c r="M2698" i="11"/>
  <c r="O2583" i="11"/>
  <c r="N2583" i="11"/>
  <c r="M2583" i="11"/>
  <c r="O2468" i="11"/>
  <c r="N2468" i="11"/>
  <c r="M2468" i="11"/>
  <c r="O2355" i="11"/>
  <c r="N2355" i="11"/>
  <c r="M2355" i="11"/>
  <c r="O2241" i="11"/>
  <c r="N2241" i="11"/>
  <c r="M2241" i="11"/>
  <c r="O2127" i="11"/>
  <c r="N2127" i="11"/>
  <c r="M2127" i="11"/>
  <c r="O2012" i="11"/>
  <c r="N2012" i="11"/>
  <c r="M2012" i="11"/>
  <c r="O1894" i="11"/>
  <c r="N1894" i="11"/>
  <c r="M1894" i="11"/>
  <c r="O1783" i="11"/>
  <c r="N1783" i="11"/>
  <c r="M1783" i="11"/>
  <c r="O1668" i="11"/>
  <c r="N1668" i="11"/>
  <c r="M1668" i="11"/>
  <c r="O1555" i="11"/>
  <c r="N1555" i="11"/>
  <c r="M1555" i="11"/>
  <c r="O1442" i="11"/>
  <c r="N1442" i="11"/>
  <c r="M1442" i="11"/>
  <c r="O1328" i="11"/>
  <c r="N1328" i="11"/>
  <c r="M1328" i="11"/>
  <c r="O1215" i="11"/>
  <c r="N1215" i="11"/>
  <c r="M1215" i="11"/>
  <c r="O1107" i="11"/>
  <c r="N1107" i="11"/>
  <c r="M1107" i="11"/>
  <c r="O997" i="11"/>
  <c r="N997" i="11"/>
  <c r="M997" i="11"/>
  <c r="O885" i="11"/>
  <c r="N885" i="11"/>
  <c r="M885" i="11"/>
  <c r="O777" i="11"/>
  <c r="N777" i="11"/>
  <c r="M777" i="11"/>
  <c r="O675" i="11"/>
  <c r="N675" i="11"/>
  <c r="M675" i="11"/>
  <c r="O469" i="11"/>
  <c r="N469" i="11"/>
  <c r="M469" i="11"/>
  <c r="O439" i="11"/>
  <c r="N439" i="11"/>
  <c r="M439" i="11"/>
  <c r="O317" i="11"/>
  <c r="N317" i="11"/>
  <c r="M317" i="11"/>
  <c r="O213" i="11"/>
  <c r="N213" i="11"/>
  <c r="M213" i="11"/>
  <c r="P3041" i="11"/>
  <c r="P2926" i="11"/>
  <c r="P2813" i="11"/>
  <c r="P2698" i="11"/>
  <c r="P2583" i="11"/>
  <c r="P2468" i="11"/>
  <c r="P2355" i="11"/>
  <c r="P2241" i="11"/>
  <c r="P2127" i="11"/>
  <c r="P2012" i="11"/>
  <c r="P1894" i="11"/>
  <c r="P1783" i="11"/>
  <c r="P1668" i="11"/>
  <c r="P1555" i="11"/>
  <c r="P1442" i="11"/>
  <c r="P1328" i="11"/>
  <c r="P1215" i="11"/>
  <c r="P1107" i="11"/>
  <c r="P997" i="11"/>
  <c r="P885" i="11"/>
  <c r="P777" i="11"/>
  <c r="P675" i="11"/>
  <c r="P469" i="11"/>
  <c r="P439" i="11"/>
  <c r="P317" i="11"/>
  <c r="P213" i="11"/>
  <c r="Q3041" i="11"/>
  <c r="Q2926" i="11"/>
  <c r="Q2813" i="11"/>
  <c r="Q2698" i="11"/>
  <c r="Q2583" i="11"/>
  <c r="Q2468" i="11"/>
  <c r="Q2355" i="11"/>
  <c r="Q2241" i="11"/>
  <c r="Q2127" i="11"/>
  <c r="Q2012" i="11"/>
  <c r="Q1894" i="11"/>
  <c r="Q1783" i="11"/>
  <c r="Q1668" i="11"/>
  <c r="Q1555" i="11"/>
  <c r="Q1442" i="11"/>
  <c r="Q1328" i="11"/>
  <c r="Q1215" i="11"/>
  <c r="Q1107" i="11"/>
  <c r="Q997" i="11"/>
  <c r="Q885" i="11"/>
  <c r="Q777" i="11"/>
  <c r="Q675" i="11"/>
  <c r="Q469" i="11"/>
  <c r="Q439" i="11"/>
  <c r="Q317" i="11"/>
  <c r="Q213" i="11"/>
  <c r="L3041" i="11"/>
  <c r="L2926" i="11"/>
  <c r="L2813" i="11"/>
  <c r="L2698" i="11"/>
  <c r="L2583" i="11"/>
  <c r="L2468" i="11"/>
  <c r="L2355" i="11"/>
  <c r="L2241" i="11"/>
  <c r="L2127" i="11"/>
  <c r="L2012" i="11"/>
  <c r="L1894" i="11"/>
  <c r="L1783" i="11"/>
  <c r="L1668" i="11"/>
  <c r="L1555" i="11"/>
  <c r="L1442" i="11"/>
  <c r="L1328" i="11"/>
  <c r="L777" i="11"/>
  <c r="L439" i="11"/>
  <c r="A439" i="11"/>
  <c r="A469" i="11"/>
  <c r="A675" i="11"/>
  <c r="A777" i="11"/>
  <c r="A885" i="11"/>
  <c r="A997" i="11"/>
  <c r="A1107" i="11"/>
  <c r="A1215" i="11"/>
  <c r="A1328" i="11"/>
  <c r="A1442" i="11"/>
  <c r="A1555" i="11"/>
  <c r="A1668" i="11"/>
  <c r="A1783" i="11"/>
  <c r="A1894" i="11"/>
  <c r="A2012" i="11"/>
  <c r="A2127" i="11"/>
  <c r="A2241" i="11"/>
  <c r="A2355" i="11"/>
  <c r="A2468" i="11"/>
  <c r="A2583" i="11"/>
  <c r="A2698" i="11"/>
  <c r="A2813" i="11"/>
  <c r="A2926" i="11"/>
  <c r="A3041" i="11"/>
  <c r="A3134" i="11"/>
  <c r="A3135" i="11"/>
  <c r="A3136" i="11"/>
  <c r="A3137" i="11"/>
  <c r="A3138" i="11"/>
  <c r="A3139" i="11"/>
  <c r="A3140" i="11"/>
  <c r="A3141" i="11"/>
  <c r="A3142" i="11"/>
  <c r="A3143" i="11"/>
  <c r="A3144" i="11"/>
  <c r="A3145" i="11"/>
  <c r="A3146" i="11"/>
  <c r="A3147" i="11"/>
  <c r="A3148" i="11"/>
  <c r="A3149" i="11"/>
  <c r="A3150" i="11"/>
  <c r="A3151" i="11"/>
  <c r="A3152" i="11"/>
  <c r="A3153" i="11"/>
  <c r="A3154" i="11"/>
  <c r="A3155" i="11"/>
  <c r="A3156" i="11"/>
  <c r="A3157" i="11"/>
  <c r="A3158" i="11"/>
  <c r="A3159" i="11"/>
  <c r="A3160" i="11"/>
  <c r="A3161" i="11"/>
  <c r="A3162" i="11"/>
  <c r="A3163" i="11"/>
  <c r="A3164" i="11"/>
  <c r="A3165" i="11"/>
  <c r="A3166" i="11"/>
  <c r="A3167" i="11"/>
  <c r="A3168" i="11"/>
  <c r="A3169" i="11"/>
  <c r="A3170" i="11"/>
  <c r="A3171" i="11"/>
  <c r="A3172" i="11"/>
  <c r="A3173" i="11"/>
  <c r="A3174" i="11"/>
  <c r="A3175" i="11"/>
  <c r="A3176" i="11"/>
  <c r="A3177" i="11"/>
  <c r="A3178" i="11"/>
  <c r="A3179" i="11"/>
  <c r="A3180" i="11"/>
  <c r="A3181" i="11"/>
  <c r="A3182" i="11"/>
  <c r="A3183" i="11"/>
  <c r="A3184" i="11"/>
  <c r="A3185" i="11"/>
  <c r="A3186" i="11"/>
  <c r="A3187" i="11"/>
  <c r="A3188" i="11"/>
  <c r="A3189" i="11"/>
  <c r="A3190" i="11"/>
  <c r="A3191" i="11"/>
  <c r="A3192" i="11"/>
  <c r="A3193" i="11"/>
  <c r="A3194" i="11"/>
  <c r="A3195" i="11"/>
  <c r="A3196" i="11"/>
  <c r="A3197" i="11"/>
  <c r="A3198" i="11"/>
  <c r="A3199" i="11"/>
  <c r="A3200" i="11"/>
  <c r="A3201" i="11"/>
  <c r="A3202" i="11"/>
  <c r="A3203" i="11"/>
  <c r="A3204" i="11"/>
  <c r="A3205" i="11"/>
  <c r="A3206" i="11"/>
  <c r="A3207" i="11"/>
  <c r="A3208" i="11"/>
  <c r="A3209" i="11"/>
  <c r="A3210" i="11"/>
  <c r="A3211" i="11"/>
  <c r="A3212" i="11"/>
  <c r="A3213" i="11"/>
  <c r="A3214" i="11"/>
  <c r="A3215" i="11"/>
  <c r="A3216" i="11"/>
  <c r="A7" i="11"/>
  <c r="A213" i="11"/>
  <c r="A317" i="11"/>
  <c r="H7" i="11"/>
  <c r="H213" i="11"/>
  <c r="H317" i="11"/>
  <c r="H439" i="11"/>
  <c r="H469" i="11"/>
  <c r="H675" i="11"/>
  <c r="H777" i="11"/>
  <c r="H885" i="11"/>
  <c r="H997" i="11"/>
  <c r="H1107" i="11"/>
  <c r="H1215" i="11"/>
  <c r="H1328" i="11"/>
  <c r="H1442" i="11"/>
  <c r="H1555" i="11"/>
  <c r="H1668" i="11"/>
  <c r="H1783" i="11"/>
  <c r="H1894" i="11"/>
  <c r="H2012" i="11"/>
  <c r="H2127" i="11"/>
  <c r="H2241" i="11"/>
  <c r="H2355" i="11"/>
  <c r="H2468" i="11"/>
  <c r="H2583" i="11"/>
  <c r="H2698" i="11"/>
  <c r="H2813" i="11"/>
  <c r="H2926" i="11"/>
  <c r="H3041" i="11"/>
  <c r="H3134" i="11"/>
  <c r="H3135" i="11"/>
  <c r="H3136" i="11"/>
  <c r="H3137" i="11"/>
  <c r="H3138" i="11"/>
  <c r="H3139" i="11"/>
  <c r="H3140" i="11"/>
  <c r="H3141" i="11"/>
  <c r="H3142" i="11"/>
  <c r="H3143" i="11"/>
  <c r="H3144" i="11"/>
  <c r="H3145" i="11"/>
  <c r="H3146" i="11"/>
  <c r="H3147" i="11"/>
  <c r="H3148" i="11"/>
  <c r="H3149" i="11"/>
  <c r="H3150" i="11"/>
  <c r="H3151" i="11"/>
  <c r="H3152" i="11"/>
  <c r="H3153" i="11"/>
  <c r="H3154" i="11"/>
  <c r="H3155" i="11"/>
  <c r="H3156" i="11"/>
  <c r="H3157" i="11"/>
  <c r="H3158" i="11"/>
  <c r="H3159" i="11"/>
  <c r="H3160" i="11"/>
  <c r="H3161" i="11"/>
  <c r="H3162" i="11"/>
  <c r="H3163" i="11"/>
  <c r="H3164" i="11"/>
  <c r="H3165" i="11"/>
  <c r="H3166" i="11"/>
  <c r="H3167" i="11"/>
  <c r="H3168" i="11"/>
  <c r="H3169" i="11"/>
  <c r="H3170" i="11"/>
  <c r="H3171" i="11"/>
  <c r="H3172" i="11"/>
  <c r="H3173" i="11"/>
  <c r="H3174" i="11"/>
  <c r="H3175" i="11"/>
  <c r="H3176" i="11"/>
  <c r="H3177" i="11"/>
  <c r="H3178" i="11"/>
  <c r="H3179" i="11"/>
  <c r="H3180" i="11"/>
  <c r="H3181" i="11"/>
  <c r="H3182" i="11"/>
  <c r="H3183" i="11"/>
  <c r="H3184" i="11"/>
  <c r="H3185" i="11"/>
  <c r="H3186" i="11"/>
  <c r="H3187" i="11"/>
  <c r="H3188" i="11"/>
  <c r="H3189" i="11"/>
  <c r="H3190" i="11"/>
  <c r="H3191" i="11"/>
  <c r="H3192" i="11"/>
  <c r="H3193" i="11"/>
  <c r="H3194" i="11"/>
  <c r="H3195" i="11"/>
  <c r="H3196" i="11"/>
  <c r="H3197" i="11"/>
  <c r="H3198" i="11"/>
  <c r="H3199" i="11"/>
  <c r="H3200" i="11"/>
  <c r="H3201" i="11"/>
  <c r="H3202" i="11"/>
  <c r="H3203" i="11"/>
  <c r="H3204" i="11"/>
  <c r="H3205" i="11"/>
  <c r="H3206" i="11"/>
  <c r="H3207" i="11"/>
  <c r="H3208" i="11"/>
  <c r="H3209" i="11"/>
  <c r="H3210" i="11"/>
  <c r="H3211" i="11"/>
  <c r="H3212" i="11"/>
  <c r="H3213" i="11"/>
  <c r="H3214" i="11"/>
  <c r="H3215" i="11"/>
  <c r="H3216" i="11"/>
  <c r="H3217" i="11"/>
  <c r="H3218" i="11"/>
  <c r="H3219" i="11"/>
  <c r="H3220" i="11"/>
  <c r="H3221" i="11"/>
  <c r="H3222" i="11"/>
  <c r="H3223" i="11"/>
  <c r="H3224" i="11"/>
  <c r="H3225" i="11"/>
  <c r="H3226" i="11"/>
  <c r="H3227" i="11"/>
  <c r="H3228" i="11"/>
  <c r="H3229" i="11"/>
  <c r="H3230" i="11"/>
  <c r="H3231" i="11"/>
  <c r="H3232" i="11"/>
  <c r="H3233" i="11"/>
  <c r="H3234" i="11"/>
  <c r="H3235" i="11"/>
  <c r="H3236" i="11"/>
  <c r="H3237" i="11"/>
  <c r="H3238" i="11"/>
  <c r="H3239" i="11"/>
  <c r="H3240" i="11"/>
  <c r="H3241" i="11"/>
  <c r="H8" i="11"/>
  <c r="K8" i="11"/>
  <c r="H9" i="11"/>
  <c r="K9" i="11"/>
  <c r="H10" i="11"/>
  <c r="K10" i="11"/>
  <c r="H11" i="11"/>
  <c r="K11" i="11"/>
  <c r="K12" i="11"/>
  <c r="H13" i="11"/>
  <c r="K13" i="11"/>
  <c r="H14" i="11"/>
  <c r="K14" i="11"/>
  <c r="H15" i="11"/>
  <c r="K15" i="11"/>
  <c r="H16" i="11"/>
  <c r="K16" i="11"/>
  <c r="H17" i="11"/>
  <c r="K17" i="11"/>
  <c r="H18" i="11"/>
  <c r="K18" i="11"/>
  <c r="H19" i="11"/>
  <c r="K19" i="11"/>
  <c r="H20" i="11"/>
  <c r="K20" i="11"/>
  <c r="H21" i="11"/>
  <c r="K21" i="11"/>
  <c r="H22" i="11"/>
  <c r="K22" i="11"/>
  <c r="H23" i="11"/>
  <c r="K23" i="11"/>
  <c r="H24" i="11"/>
  <c r="K24" i="11"/>
  <c r="H25" i="11"/>
  <c r="K25" i="11"/>
  <c r="H26" i="11"/>
  <c r="K26" i="11"/>
  <c r="H27" i="11"/>
  <c r="K27" i="11"/>
  <c r="H28" i="11"/>
  <c r="K28" i="11"/>
  <c r="H29" i="11"/>
  <c r="K29" i="11"/>
  <c r="H30" i="11"/>
  <c r="K30" i="11"/>
  <c r="H31" i="11"/>
  <c r="K31" i="11"/>
  <c r="H32" i="11"/>
  <c r="K32" i="11"/>
  <c r="H33" i="11"/>
  <c r="K33" i="11"/>
  <c r="Q30" i="11"/>
  <c r="H773" i="11"/>
  <c r="H881" i="11"/>
  <c r="H993" i="11"/>
  <c r="H1103" i="11"/>
  <c r="H1213" i="11"/>
  <c r="H1327" i="11"/>
  <c r="H1440" i="11"/>
  <c r="H1583" i="11"/>
  <c r="H1666" i="11"/>
  <c r="H1782" i="11"/>
  <c r="H1893" i="11"/>
  <c r="H2010" i="11"/>
  <c r="H2126" i="11"/>
  <c r="H2239" i="11"/>
  <c r="H2354" i="11"/>
  <c r="H2467" i="11"/>
  <c r="H2582" i="11"/>
  <c r="H2697" i="11"/>
  <c r="H2811" i="11"/>
  <c r="H2925" i="11"/>
  <c r="H3040" i="11"/>
  <c r="H88" i="11"/>
  <c r="H164" i="11"/>
  <c r="H234" i="11"/>
  <c r="H418" i="11"/>
  <c r="H524" i="11"/>
  <c r="H594" i="11"/>
  <c r="H794" i="11"/>
  <c r="H902" i="11"/>
  <c r="H1012" i="11"/>
  <c r="H1122" i="11"/>
  <c r="H1232" i="11"/>
  <c r="H1345" i="11"/>
  <c r="H1456" i="11"/>
  <c r="H1565" i="11"/>
  <c r="H1727" i="11"/>
  <c r="H1838" i="11"/>
  <c r="H1948" i="11"/>
  <c r="H2061" i="11"/>
  <c r="H2148" i="11"/>
  <c r="H2287" i="11"/>
  <c r="H2399" i="11"/>
  <c r="H2511" i="11"/>
  <c r="H2623" i="11"/>
  <c r="H2737" i="11"/>
  <c r="H2850" i="11"/>
  <c r="H2963" i="11"/>
  <c r="H3079" i="11"/>
  <c r="H89" i="11"/>
  <c r="H118" i="11"/>
  <c r="H292" i="11"/>
  <c r="H451" i="11"/>
  <c r="H525" i="11"/>
  <c r="H608" i="11"/>
  <c r="H721" i="11"/>
  <c r="H834" i="11"/>
  <c r="H950" i="11"/>
  <c r="H1064" i="11"/>
  <c r="H1178" i="11"/>
  <c r="H1294" i="11"/>
  <c r="H1409" i="11"/>
  <c r="H1524" i="11"/>
  <c r="H1639" i="11"/>
  <c r="H1753" i="11"/>
  <c r="H1869" i="11"/>
  <c r="H1985" i="11"/>
  <c r="H2102" i="11"/>
  <c r="H2212" i="11"/>
  <c r="H2433" i="11"/>
  <c r="H2545" i="11"/>
  <c r="H2655" i="11"/>
  <c r="H2768" i="11"/>
  <c r="H2879" i="11"/>
  <c r="H2992" i="11"/>
  <c r="H3107" i="11"/>
  <c r="H57" i="11"/>
  <c r="H141" i="11"/>
  <c r="H274" i="11"/>
  <c r="H400" i="11"/>
  <c r="H541" i="11"/>
  <c r="H620" i="11"/>
  <c r="H774" i="11"/>
  <c r="H882" i="11"/>
  <c r="H994" i="11"/>
  <c r="H1104" i="11"/>
  <c r="H1262" i="11"/>
  <c r="H1373" i="11"/>
  <c r="H1502" i="11"/>
  <c r="H1609" i="11"/>
  <c r="H1719" i="11"/>
  <c r="H1830" i="11"/>
  <c r="H1941" i="11"/>
  <c r="H2055" i="11"/>
  <c r="H2167" i="11"/>
  <c r="H2240" i="11"/>
  <c r="H2394" i="11"/>
  <c r="H2506" i="11"/>
  <c r="H2618" i="11"/>
  <c r="H2733" i="11"/>
  <c r="H2846" i="11"/>
  <c r="H2959" i="11"/>
  <c r="H3075" i="11"/>
  <c r="H165" i="11"/>
  <c r="H254" i="11"/>
  <c r="H436" i="11"/>
  <c r="H555" i="11"/>
  <c r="H633" i="11"/>
  <c r="H746" i="11"/>
  <c r="H856" i="11"/>
  <c r="H969" i="11"/>
  <c r="H1083" i="11"/>
  <c r="H1253" i="11"/>
  <c r="H1385" i="11"/>
  <c r="H1494" i="11"/>
  <c r="H1602" i="11"/>
  <c r="H1712" i="11"/>
  <c r="H1825" i="11"/>
  <c r="H1919" i="11"/>
  <c r="H2050" i="11"/>
  <c r="H2162" i="11"/>
  <c r="H2277" i="11"/>
  <c r="H2390" i="11"/>
  <c r="H2502" i="11"/>
  <c r="H2614" i="11"/>
  <c r="H2670" i="11"/>
  <c r="H2825" i="11"/>
  <c r="H2956" i="11"/>
  <c r="H3070" i="11"/>
  <c r="H2" i="11"/>
  <c r="H209" i="11"/>
  <c r="H235" i="11"/>
  <c r="H401" i="11"/>
  <c r="H569" i="11"/>
  <c r="H659" i="11"/>
  <c r="H795" i="11"/>
  <c r="H903" i="11"/>
  <c r="H1013" i="11"/>
  <c r="H1123" i="11"/>
  <c r="H1270" i="11"/>
  <c r="H1379" i="11"/>
  <c r="H1487" i="11"/>
  <c r="H1596" i="11"/>
  <c r="H1706" i="11"/>
  <c r="H1819" i="11"/>
  <c r="H1930" i="11"/>
  <c r="H2044" i="11"/>
  <c r="H2157" i="11"/>
  <c r="H2272" i="11"/>
  <c r="H2385" i="11"/>
  <c r="H2497" i="11"/>
  <c r="H2609" i="11"/>
  <c r="H2725" i="11"/>
  <c r="H2839" i="11"/>
  <c r="H2952" i="11"/>
  <c r="H3066" i="11"/>
  <c r="H210" i="11"/>
  <c r="H255" i="11"/>
  <c r="H382" i="11"/>
  <c r="H556" i="11"/>
  <c r="H672" i="11"/>
  <c r="H775" i="11"/>
  <c r="H883" i="11"/>
  <c r="H995" i="11"/>
  <c r="H1105" i="11"/>
  <c r="H1214" i="11"/>
  <c r="H1356" i="11"/>
  <c r="H1441" i="11"/>
  <c r="H1554" i="11"/>
  <c r="H1667" i="11"/>
  <c r="H1852" i="11"/>
  <c r="H1969" i="11"/>
  <c r="H2078" i="11"/>
  <c r="H2191" i="11"/>
  <c r="H2304" i="11"/>
  <c r="H2416" i="11"/>
  <c r="H2528" i="11"/>
  <c r="H2639" i="11"/>
  <c r="H2753" i="11"/>
  <c r="H2864" i="11"/>
  <c r="H2944" i="11"/>
  <c r="H3093" i="11"/>
  <c r="H58" i="11"/>
  <c r="H186" i="11"/>
  <c r="H275" i="11"/>
  <c r="H366" i="11"/>
  <c r="H542" i="11"/>
  <c r="H684" i="11"/>
  <c r="H784" i="11"/>
  <c r="H892" i="11"/>
  <c r="H1002" i="11"/>
  <c r="H1113" i="11"/>
  <c r="H1222" i="11"/>
  <c r="H1336" i="11"/>
  <c r="H1448" i="11"/>
  <c r="H1559" i="11"/>
  <c r="H1673" i="11"/>
  <c r="H1788" i="11"/>
  <c r="H1899" i="11"/>
  <c r="H2016" i="11"/>
  <c r="H2131" i="11"/>
  <c r="H2245" i="11"/>
  <c r="H2359" i="11"/>
  <c r="H2472" i="11"/>
  <c r="H2587" i="11"/>
  <c r="H2702" i="11"/>
  <c r="H2816" i="11"/>
  <c r="H2930" i="11"/>
  <c r="H3045" i="11"/>
  <c r="H90" i="11"/>
  <c r="H166" i="11"/>
  <c r="H293" i="11"/>
  <c r="H350" i="11"/>
  <c r="H526" i="11"/>
  <c r="H685" i="11"/>
  <c r="H698" i="11"/>
  <c r="H814" i="11"/>
  <c r="H930" i="11"/>
  <c r="H1154" i="11"/>
  <c r="H1254" i="11"/>
  <c r="H1374" i="11"/>
  <c r="H1481" i="11"/>
  <c r="H1531" i="11"/>
  <c r="H1699" i="11"/>
  <c r="H1814" i="11"/>
  <c r="H1926" i="11"/>
  <c r="H2011" i="11"/>
  <c r="H2201" i="11"/>
  <c r="H2313" i="11"/>
  <c r="H2425" i="11"/>
  <c r="H2537" i="11"/>
  <c r="H2647" i="11"/>
  <c r="H2761" i="11"/>
  <c r="H2872" i="11"/>
  <c r="H2985" i="11"/>
  <c r="H3100" i="11"/>
  <c r="H91" i="11"/>
  <c r="H142" i="11"/>
  <c r="H314" i="11"/>
  <c r="H351" i="11"/>
  <c r="H509" i="11"/>
  <c r="H673" i="11"/>
  <c r="H805" i="11"/>
  <c r="H867" i="11"/>
  <c r="H1021" i="11"/>
  <c r="H1129" i="11"/>
  <c r="H1238" i="11"/>
  <c r="H1364" i="11"/>
  <c r="H1463" i="11"/>
  <c r="H1572" i="11"/>
  <c r="H1684" i="11"/>
  <c r="H1845" i="11"/>
  <c r="H1955" i="11"/>
  <c r="H2067" i="11"/>
  <c r="H2179" i="11"/>
  <c r="H2293" i="11"/>
  <c r="H2405" i="11"/>
  <c r="H2517" i="11"/>
  <c r="H2628" i="11"/>
  <c r="H2742" i="11"/>
  <c r="H2854" i="11"/>
  <c r="H2968" i="11"/>
  <c r="H3083" i="11"/>
  <c r="H59" i="11"/>
  <c r="H119" i="11"/>
  <c r="H333" i="11"/>
  <c r="H367" i="11"/>
  <c r="H497" i="11"/>
  <c r="H660" i="11"/>
  <c r="H776" i="11"/>
  <c r="H884" i="11"/>
  <c r="H996" i="11"/>
  <c r="H1155" i="11"/>
  <c r="H1263" i="11"/>
  <c r="H1375" i="11"/>
  <c r="H1474" i="11"/>
  <c r="H1591" i="11"/>
  <c r="H1735" i="11"/>
  <c r="H1815" i="11"/>
  <c r="H1927" i="11"/>
  <c r="H2040" i="11"/>
  <c r="H2153" i="11"/>
  <c r="H2268" i="11"/>
  <c r="H2381" i="11"/>
  <c r="H2493" i="11"/>
  <c r="H2606" i="11"/>
  <c r="H2722" i="11"/>
  <c r="H2836" i="11"/>
  <c r="H2949" i="11"/>
  <c r="H3063" i="11"/>
  <c r="H92" i="11"/>
  <c r="H187" i="11"/>
  <c r="H334" i="11"/>
  <c r="H402" i="11"/>
  <c r="H543" i="11"/>
  <c r="H661" i="11"/>
  <c r="H722" i="11"/>
  <c r="H917" i="11"/>
  <c r="H1003" i="11"/>
  <c r="H1135" i="11"/>
  <c r="H1243" i="11"/>
  <c r="H1357" i="11"/>
  <c r="H1467" i="11"/>
  <c r="H1575" i="11"/>
  <c r="H1687" i="11"/>
  <c r="H1801" i="11"/>
  <c r="H1913" i="11"/>
  <c r="H2028" i="11"/>
  <c r="H2142" i="11"/>
  <c r="H2257" i="11"/>
  <c r="H2369" i="11"/>
  <c r="H2482" i="11"/>
  <c r="H2596" i="11"/>
  <c r="H2711" i="11"/>
  <c r="H2826" i="11"/>
  <c r="H2939" i="11"/>
  <c r="H3054" i="11"/>
  <c r="H60" i="11"/>
  <c r="H211" i="11"/>
  <c r="H335" i="11"/>
  <c r="H368" i="11"/>
  <c r="H482" i="11"/>
  <c r="H582" i="11"/>
  <c r="H723" i="11"/>
  <c r="H835" i="11"/>
  <c r="H951" i="11"/>
  <c r="H1065" i="11"/>
  <c r="H1271" i="11"/>
  <c r="H1380" i="11"/>
  <c r="H1488" i="11"/>
  <c r="H1597" i="11"/>
  <c r="H1736" i="11"/>
  <c r="H1846" i="11"/>
  <c r="H1956" i="11"/>
  <c r="H2068" i="11"/>
  <c r="H2180" i="11"/>
  <c r="H2318" i="11"/>
  <c r="H2429" i="11"/>
  <c r="H2541" i="11"/>
  <c r="H2652" i="11"/>
  <c r="H2765" i="11"/>
  <c r="H2876" i="11"/>
  <c r="H2989" i="11"/>
  <c r="H3104" i="11"/>
  <c r="H212" i="11"/>
  <c r="H315" i="11"/>
  <c r="H352" i="11"/>
  <c r="H570" i="11"/>
  <c r="H583" i="11"/>
  <c r="H733" i="11"/>
  <c r="H844" i="11"/>
  <c r="H959" i="11"/>
  <c r="H1073" i="11"/>
  <c r="H1187" i="11"/>
  <c r="H1386" i="11"/>
  <c r="H1495" i="11"/>
  <c r="H1603" i="11"/>
  <c r="H1713" i="11"/>
  <c r="H1826" i="11"/>
  <c r="H1936" i="11"/>
  <c r="H2051" i="11"/>
  <c r="H2163" i="11"/>
  <c r="H2278" i="11"/>
  <c r="H2391" i="11"/>
  <c r="H2503" i="11"/>
  <c r="H2615" i="11"/>
  <c r="H2730" i="11"/>
  <c r="H2843" i="11"/>
  <c r="H2957" i="11"/>
  <c r="H3128" i="11"/>
  <c r="H3" i="11"/>
  <c r="H188" i="11"/>
  <c r="H294" i="11"/>
  <c r="H353" i="11"/>
  <c r="H571" i="11"/>
  <c r="H609" i="11"/>
  <c r="H734" i="11"/>
  <c r="H918" i="11"/>
  <c r="H1027" i="11"/>
  <c r="H1136" i="11"/>
  <c r="H1244" i="11"/>
  <c r="H1358" i="11"/>
  <c r="H1468" i="11"/>
  <c r="H1576" i="11"/>
  <c r="H1688" i="11"/>
  <c r="H1802" i="11"/>
  <c r="H1914" i="11"/>
  <c r="H2029" i="11"/>
  <c r="H2143" i="11"/>
  <c r="H2319" i="11"/>
  <c r="H2430" i="11"/>
  <c r="H2523" i="11"/>
  <c r="H2653" i="11"/>
  <c r="H2766" i="11"/>
  <c r="H2791" i="11"/>
  <c r="H2920" i="11"/>
  <c r="H3105" i="11"/>
  <c r="H120" i="11"/>
  <c r="H336" i="11"/>
  <c r="H383" i="11"/>
  <c r="H483" i="11"/>
  <c r="H644" i="11"/>
  <c r="H747" i="11"/>
  <c r="H857" i="11"/>
  <c r="H970" i="11"/>
  <c r="H1084" i="11"/>
  <c r="H1196" i="11"/>
  <c r="H1312" i="11"/>
  <c r="H1426" i="11"/>
  <c r="H1539" i="11"/>
  <c r="H1652" i="11"/>
  <c r="H1769" i="11"/>
  <c r="H1881" i="11"/>
  <c r="H1998" i="11"/>
  <c r="H2115" i="11"/>
  <c r="H2228" i="11"/>
  <c r="H2343" i="11"/>
  <c r="H2458" i="11"/>
  <c r="H2573" i="11"/>
  <c r="H2688" i="11"/>
  <c r="H2803" i="11"/>
  <c r="H2918" i="11"/>
  <c r="H3033" i="11"/>
  <c r="H4" i="11"/>
  <c r="H167" i="11"/>
  <c r="H236" i="11"/>
  <c r="H369" i="11"/>
  <c r="H557" i="11"/>
  <c r="H621" i="11"/>
  <c r="H804" i="11"/>
  <c r="H910" i="11"/>
  <c r="H1020" i="11"/>
  <c r="H1128" i="11"/>
  <c r="H1212" i="11"/>
  <c r="H1350" i="11"/>
  <c r="H1462" i="11"/>
  <c r="H1571" i="11"/>
  <c r="H1683" i="11"/>
  <c r="H1800" i="11"/>
  <c r="H1868" i="11"/>
  <c r="H1984" i="11"/>
  <c r="H2161" i="11"/>
  <c r="H2276" i="11"/>
  <c r="H2389" i="11"/>
  <c r="H2479" i="11"/>
  <c r="H2594" i="11"/>
  <c r="H2709" i="11"/>
  <c r="H2823" i="11"/>
  <c r="H3009" i="11"/>
  <c r="H3127" i="11"/>
  <c r="H117" i="11"/>
  <c r="H163" i="11"/>
  <c r="H273" i="11"/>
  <c r="H398" i="11"/>
  <c r="H523" i="11"/>
  <c r="H593" i="11"/>
  <c r="H806" i="11"/>
  <c r="H845" i="11"/>
  <c r="H971" i="11"/>
  <c r="H1156" i="11"/>
  <c r="H1264" i="11"/>
  <c r="H1318" i="11"/>
  <c r="H1482" i="11"/>
  <c r="H1592" i="11"/>
  <c r="H1700" i="11"/>
  <c r="H1803" i="11"/>
  <c r="H1915" i="11"/>
  <c r="H2041" i="11"/>
  <c r="H2154" i="11"/>
  <c r="H2263" i="11"/>
  <c r="H2382" i="11"/>
  <c r="H2494" i="11"/>
  <c r="H2607" i="11"/>
  <c r="H2683" i="11"/>
  <c r="H2812" i="11"/>
  <c r="H3014" i="11"/>
  <c r="H3071" i="11"/>
  <c r="H93" i="11"/>
  <c r="H121" i="11"/>
  <c r="H276" i="11"/>
  <c r="H370" i="11"/>
  <c r="H498" i="11"/>
  <c r="H595" i="11"/>
  <c r="H735" i="11"/>
  <c r="H919" i="11"/>
  <c r="H1028" i="11"/>
  <c r="H1106" i="11"/>
  <c r="H1245" i="11"/>
  <c r="H1359" i="11"/>
  <c r="H1469" i="11"/>
  <c r="H1577" i="11"/>
  <c r="H1689" i="11"/>
  <c r="H1807" i="11"/>
  <c r="H1885" i="11"/>
  <c r="H2030" i="11"/>
  <c r="H2144" i="11"/>
  <c r="H2258" i="11"/>
  <c r="H2370" i="11"/>
  <c r="H2483" i="11"/>
  <c r="H2597" i="11"/>
  <c r="H2712" i="11"/>
  <c r="H2827" i="11"/>
  <c r="H2940" i="11"/>
  <c r="H3055" i="11"/>
  <c r="H5" i="11"/>
  <c r="H143" i="11"/>
  <c r="H316" i="11"/>
  <c r="H403" i="11"/>
  <c r="H466" i="11"/>
  <c r="H645" i="11"/>
  <c r="H710" i="11"/>
  <c r="H893" i="11"/>
  <c r="H940" i="11"/>
  <c r="H1046" i="11"/>
  <c r="H1162" i="11"/>
  <c r="H1319" i="11"/>
  <c r="H1402" i="11"/>
  <c r="H1560" i="11"/>
  <c r="H1633" i="11"/>
  <c r="H1789" i="11"/>
  <c r="H1900" i="11"/>
  <c r="H2017" i="11"/>
  <c r="H2132" i="11"/>
  <c r="H2246" i="11"/>
  <c r="H2360" i="11"/>
  <c r="H2473" i="11"/>
  <c r="H2588" i="11"/>
  <c r="H2703" i="11"/>
  <c r="H2817" i="11"/>
  <c r="H2931" i="11"/>
  <c r="H3046" i="11"/>
  <c r="H6" i="11"/>
  <c r="H168" i="11"/>
  <c r="H295" i="11"/>
  <c r="H419" i="11"/>
  <c r="H467" i="11"/>
  <c r="H622" i="11"/>
  <c r="H807" i="11"/>
  <c r="H911" i="11"/>
  <c r="H1022" i="11"/>
  <c r="H1130" i="11"/>
  <c r="H1239" i="11"/>
  <c r="H1351" i="11"/>
  <c r="H1464" i="11"/>
  <c r="H1578" i="11"/>
  <c r="H1737" i="11"/>
  <c r="H1847" i="11"/>
  <c r="H1957" i="11"/>
  <c r="H2069" i="11"/>
  <c r="H2181" i="11"/>
  <c r="H2294" i="11"/>
  <c r="H2406" i="11"/>
  <c r="H2518" i="11"/>
  <c r="H2629" i="11"/>
  <c r="H2743" i="11"/>
  <c r="H2855" i="11"/>
  <c r="H2969" i="11"/>
  <c r="H3084" i="11"/>
  <c r="H189" i="11"/>
  <c r="H277" i="11"/>
  <c r="H437" i="11"/>
  <c r="H484" i="11"/>
  <c r="H610" i="11"/>
  <c r="H711" i="11"/>
  <c r="H825" i="11"/>
  <c r="H941" i="11"/>
  <c r="H1056" i="11"/>
  <c r="H1171" i="11"/>
  <c r="H1381" i="11"/>
  <c r="H1503" i="11"/>
  <c r="H1610" i="11"/>
  <c r="H1720" i="11"/>
  <c r="H1831" i="11"/>
  <c r="H1942" i="11"/>
  <c r="H2056" i="11"/>
  <c r="H2168" i="11"/>
  <c r="H2282" i="11"/>
  <c r="H2395" i="11"/>
  <c r="H2438" i="11"/>
  <c r="H2619" i="11"/>
  <c r="H2734" i="11"/>
  <c r="H2859" i="11"/>
  <c r="H2934" i="11"/>
  <c r="H3130" i="11"/>
  <c r="H34" i="11"/>
  <c r="H144" i="11"/>
  <c r="H256" i="11"/>
  <c r="H384" i="11"/>
  <c r="H544" i="11"/>
  <c r="H634" i="11"/>
  <c r="H785" i="11"/>
  <c r="H894" i="11"/>
  <c r="H1004" i="11"/>
  <c r="H1114" i="11"/>
  <c r="H1223" i="11"/>
  <c r="H1337" i="11"/>
  <c r="H1449" i="11"/>
  <c r="H1561" i="11"/>
  <c r="H1674" i="11"/>
  <c r="H1790" i="11"/>
  <c r="H1901" i="11"/>
  <c r="H2018" i="11"/>
  <c r="H2133" i="11"/>
  <c r="H2247" i="11"/>
  <c r="H2361" i="11"/>
  <c r="H2474" i="11"/>
  <c r="H2589" i="11"/>
  <c r="H2704" i="11"/>
  <c r="H2818" i="11"/>
  <c r="H2932" i="11"/>
  <c r="H3047" i="11"/>
  <c r="H61" i="11"/>
  <c r="H122" i="11"/>
  <c r="H237" i="11"/>
  <c r="H404" i="11"/>
  <c r="H527" i="11"/>
  <c r="H646" i="11"/>
  <c r="H699" i="11"/>
  <c r="H815" i="11"/>
  <c r="H931" i="11"/>
  <c r="H1047" i="11"/>
  <c r="H1163" i="11"/>
  <c r="H1278" i="11"/>
  <c r="H1394" i="11"/>
  <c r="H1510" i="11"/>
  <c r="H1626" i="11"/>
  <c r="H1742" i="11"/>
  <c r="H1858" i="11"/>
  <c r="H1974" i="11"/>
  <c r="H2090" i="11"/>
  <c r="H2206" i="11"/>
  <c r="H2322" i="11"/>
  <c r="H2439" i="11"/>
  <c r="H2554" i="11"/>
  <c r="H2671" i="11"/>
  <c r="H2786" i="11"/>
  <c r="H2902" i="11"/>
  <c r="H3018" i="11"/>
  <c r="H94" i="11"/>
  <c r="H123" i="11"/>
  <c r="H238" i="11"/>
  <c r="H420" i="11"/>
  <c r="H510" i="11"/>
  <c r="H662" i="11"/>
  <c r="H760" i="11"/>
  <c r="H895" i="11"/>
  <c r="H1005" i="11"/>
  <c r="H1157" i="11"/>
  <c r="H1265" i="11"/>
  <c r="H1376" i="11"/>
  <c r="H1483" i="11"/>
  <c r="H1593" i="11"/>
  <c r="H1701" i="11"/>
  <c r="H1853" i="11"/>
  <c r="H1962" i="11"/>
  <c r="H2072" i="11"/>
  <c r="H2202" i="11"/>
  <c r="H2314" i="11"/>
  <c r="H2426" i="11"/>
  <c r="H2538" i="11"/>
  <c r="H2648" i="11"/>
  <c r="H2762" i="11"/>
  <c r="H2893" i="11"/>
  <c r="H3015" i="11"/>
  <c r="H3121" i="11"/>
  <c r="H95" i="11"/>
  <c r="H145" i="11"/>
  <c r="H257" i="11"/>
  <c r="H438" i="11"/>
  <c r="H572" i="11"/>
  <c r="H674" i="11"/>
  <c r="H796" i="11"/>
  <c r="H904" i="11"/>
  <c r="H1014" i="11"/>
  <c r="H1124" i="11"/>
  <c r="H1233" i="11"/>
  <c r="H1346" i="11"/>
  <c r="H1457" i="11"/>
  <c r="H1566" i="11"/>
  <c r="H1679" i="11"/>
  <c r="H1794" i="11"/>
  <c r="H1905" i="11"/>
  <c r="H2021" i="11"/>
  <c r="H2136" i="11"/>
  <c r="H2250" i="11"/>
  <c r="H2363" i="11"/>
  <c r="H2476" i="11"/>
  <c r="H2591" i="11"/>
  <c r="H2706" i="11"/>
  <c r="H2820" i="11"/>
  <c r="H2935" i="11"/>
  <c r="H3049" i="11"/>
  <c r="H62" i="11"/>
  <c r="H169" i="11"/>
  <c r="H278" i="11"/>
  <c r="H452" i="11"/>
  <c r="H485" i="11"/>
  <c r="H686" i="11"/>
  <c r="H724" i="11"/>
  <c r="H836" i="11"/>
  <c r="H952" i="11"/>
  <c r="H1092" i="11"/>
  <c r="H1179" i="11"/>
  <c r="H1295" i="11"/>
  <c r="H1410" i="11"/>
  <c r="H1525" i="11"/>
  <c r="H1640" i="11"/>
  <c r="H1754" i="11"/>
  <c r="H1870" i="11"/>
  <c r="H1986" i="11"/>
  <c r="H2103" i="11"/>
  <c r="H2217" i="11"/>
  <c r="H2332" i="11"/>
  <c r="H2448" i="11"/>
  <c r="H2563" i="11"/>
  <c r="H2679" i="11"/>
  <c r="H2897" i="11"/>
  <c r="H3010" i="11"/>
  <c r="H3125" i="11"/>
  <c r="H63" i="11"/>
  <c r="H190" i="11"/>
  <c r="H296" i="11"/>
  <c r="H453" i="11"/>
  <c r="H468" i="11"/>
  <c r="H687" i="11"/>
  <c r="H761" i="11"/>
  <c r="H868" i="11"/>
  <c r="H980" i="11"/>
  <c r="H1093" i="11"/>
  <c r="H1203" i="11"/>
  <c r="H1320" i="11"/>
  <c r="H1433" i="11"/>
  <c r="H1545" i="11"/>
  <c r="H1658" i="11"/>
  <c r="H1774" i="11"/>
  <c r="H1886" i="11"/>
  <c r="H2002" i="11"/>
  <c r="H2119" i="11"/>
  <c r="H2232" i="11"/>
  <c r="H2347" i="11"/>
  <c r="H2461" i="11"/>
  <c r="H2576" i="11"/>
  <c r="H2691" i="11"/>
  <c r="H2806" i="11"/>
  <c r="H2921" i="11"/>
  <c r="H3035" i="11"/>
  <c r="H214" i="11"/>
  <c r="H337" i="11"/>
  <c r="H421" i="11"/>
  <c r="H486" i="11"/>
  <c r="H663" i="11"/>
  <c r="H736" i="11"/>
  <c r="H846" i="11"/>
  <c r="H960" i="11"/>
  <c r="H1074" i="11"/>
  <c r="H1188" i="11"/>
  <c r="H1303" i="11"/>
  <c r="H1417" i="11"/>
  <c r="H1532" i="11"/>
  <c r="H1645" i="11"/>
  <c r="H1761" i="11"/>
  <c r="H1875" i="11"/>
  <c r="H1991" i="11"/>
  <c r="H2108" i="11"/>
  <c r="H2222" i="11"/>
  <c r="H2337" i="11"/>
  <c r="H2453" i="11"/>
  <c r="H2568" i="11"/>
  <c r="H2684" i="11"/>
  <c r="H2799" i="11"/>
  <c r="H2914" i="11"/>
  <c r="H3056" i="11"/>
  <c r="H35" i="11"/>
  <c r="H191" i="11"/>
  <c r="H338" i="11"/>
  <c r="H405" i="11"/>
  <c r="H499" i="11"/>
  <c r="H647" i="11"/>
  <c r="H808" i="11"/>
  <c r="H912" i="11"/>
  <c r="H961" i="11"/>
  <c r="H1131" i="11"/>
  <c r="H1240" i="11"/>
  <c r="H1352" i="11"/>
  <c r="H1465" i="11"/>
  <c r="H1573" i="11"/>
  <c r="H1721" i="11"/>
  <c r="H1808" i="11"/>
  <c r="H1910" i="11"/>
  <c r="H2025" i="11"/>
  <c r="H2109" i="11"/>
  <c r="H2223" i="11"/>
  <c r="H2434" i="11"/>
  <c r="H2542" i="11"/>
  <c r="H2569" i="11"/>
  <c r="H2692" i="11"/>
  <c r="H2787" i="11"/>
  <c r="H2903" i="11"/>
  <c r="H3036" i="11"/>
  <c r="H64" i="11"/>
  <c r="H170" i="11"/>
  <c r="H318" i="11"/>
  <c r="H385" i="11"/>
  <c r="H511" i="11"/>
  <c r="H635" i="11"/>
  <c r="H797" i="11"/>
  <c r="H847" i="11"/>
  <c r="H1015" i="11"/>
  <c r="H1158" i="11"/>
  <c r="H1266" i="11"/>
  <c r="H1377" i="11"/>
  <c r="H1484" i="11"/>
  <c r="H1611" i="11"/>
  <c r="H1702" i="11"/>
  <c r="H1816" i="11"/>
  <c r="H1963" i="11"/>
  <c r="H2013" i="11"/>
  <c r="H2096" i="11"/>
  <c r="H2269" i="11"/>
  <c r="H2383" i="11"/>
  <c r="H2495" i="11"/>
  <c r="H2598" i="11"/>
  <c r="H2723" i="11"/>
  <c r="H2837" i="11"/>
  <c r="H2950" i="11"/>
  <c r="H3064" i="11"/>
  <c r="H96" i="11"/>
  <c r="H146" i="11"/>
  <c r="H297" i="11"/>
  <c r="H371" i="11"/>
  <c r="H528" i="11"/>
  <c r="H623" i="11"/>
  <c r="H798" i="11"/>
  <c r="H920" i="11"/>
  <c r="H1029" i="11"/>
  <c r="H1137" i="11"/>
  <c r="H1246" i="11"/>
  <c r="H1387" i="11"/>
  <c r="H1496" i="11"/>
  <c r="H1604" i="11"/>
  <c r="H1714" i="11"/>
  <c r="H1827" i="11"/>
  <c r="H1937" i="11"/>
  <c r="H2052" i="11"/>
  <c r="H2203" i="11"/>
  <c r="H2315" i="11"/>
  <c r="H2427" i="11"/>
  <c r="H2539" i="11"/>
  <c r="H2649" i="11"/>
  <c r="H2748" i="11"/>
  <c r="H2873" i="11"/>
  <c r="H2986" i="11"/>
  <c r="H3101" i="11"/>
  <c r="H97" i="11"/>
  <c r="H124" i="11"/>
  <c r="H279" i="11"/>
  <c r="H354" i="11"/>
  <c r="H545" i="11"/>
  <c r="H611" i="11"/>
  <c r="H809" i="11"/>
  <c r="H913" i="11"/>
  <c r="H1023" i="11"/>
  <c r="H1132" i="11"/>
  <c r="H1241" i="11"/>
  <c r="H1382" i="11"/>
  <c r="H1489" i="11"/>
  <c r="H1598" i="11"/>
  <c r="H1707" i="11"/>
  <c r="H1820" i="11"/>
  <c r="H1931" i="11"/>
  <c r="H2045" i="11"/>
  <c r="H2195" i="11"/>
  <c r="H2308" i="11"/>
  <c r="H2420" i="11"/>
  <c r="H2532" i="11"/>
  <c r="H2642" i="11"/>
  <c r="H2756" i="11"/>
  <c r="H2867" i="11"/>
  <c r="H2981" i="11"/>
  <c r="H3096" i="11"/>
  <c r="H65" i="11"/>
  <c r="H125" i="11"/>
  <c r="H258" i="11"/>
  <c r="H355" i="11"/>
  <c r="H558" i="11"/>
  <c r="H596" i="11"/>
  <c r="H762" i="11"/>
  <c r="H869" i="11"/>
  <c r="H981" i="11"/>
  <c r="H1094" i="11"/>
  <c r="H1204" i="11"/>
  <c r="H1321" i="11"/>
  <c r="H1418" i="11"/>
  <c r="H1546" i="11"/>
  <c r="H1659" i="11"/>
  <c r="H1775" i="11"/>
  <c r="H1887" i="11"/>
  <c r="H2073" i="11"/>
  <c r="H2184" i="11"/>
  <c r="H2298" i="11"/>
  <c r="H2410" i="11"/>
  <c r="H2524" i="11"/>
  <c r="H2634" i="11"/>
  <c r="H2749" i="11"/>
  <c r="H2860" i="11"/>
  <c r="H2973" i="11"/>
  <c r="H3088" i="11"/>
  <c r="H98" i="11"/>
  <c r="H215" i="11"/>
  <c r="H259" i="11"/>
  <c r="H454" i="11"/>
  <c r="H500" i="11"/>
  <c r="H597" i="11"/>
  <c r="H763" i="11"/>
  <c r="H870" i="11"/>
  <c r="H982" i="11"/>
  <c r="H1095" i="11"/>
  <c r="H1272" i="11"/>
  <c r="H1388" i="11"/>
  <c r="H1497" i="11"/>
  <c r="H1605" i="11"/>
  <c r="H1715" i="11"/>
  <c r="H1828" i="11"/>
  <c r="H1938" i="11"/>
  <c r="H2053" i="11"/>
  <c r="H2164" i="11"/>
  <c r="H2279" i="11"/>
  <c r="H2392" i="11"/>
  <c r="H2488" i="11"/>
  <c r="H2616" i="11"/>
  <c r="H2731" i="11"/>
  <c r="H2844" i="11"/>
  <c r="H2958" i="11"/>
  <c r="H3072" i="11"/>
  <c r="H66" i="11"/>
  <c r="H126" i="11"/>
  <c r="H298" i="11"/>
  <c r="H356" i="11"/>
  <c r="H487" i="11"/>
  <c r="H612" i="11"/>
  <c r="H799" i="11"/>
  <c r="H905" i="11"/>
  <c r="H1016" i="11"/>
  <c r="H1115" i="11"/>
  <c r="H1234" i="11"/>
  <c r="H1347" i="11"/>
  <c r="H1458" i="11"/>
  <c r="H1567" i="11"/>
  <c r="H1660" i="11"/>
  <c r="H1795" i="11"/>
  <c r="H1906" i="11"/>
  <c r="H2083" i="11"/>
  <c r="H2196" i="11"/>
  <c r="H2309" i="11"/>
  <c r="H2421" i="11"/>
  <c r="H2533" i="11"/>
  <c r="H2643" i="11"/>
  <c r="H2757" i="11"/>
  <c r="H2868" i="11"/>
  <c r="H2982" i="11"/>
  <c r="H3097" i="11"/>
  <c r="H36" i="11"/>
  <c r="H147" i="11"/>
  <c r="H319" i="11"/>
  <c r="H357" i="11"/>
  <c r="H470" i="11"/>
  <c r="H624" i="11"/>
  <c r="H786" i="11"/>
  <c r="H896" i="11"/>
  <c r="H1006" i="11"/>
  <c r="H1133" i="11"/>
  <c r="H1224" i="11"/>
  <c r="H1338" i="11"/>
  <c r="H1504" i="11"/>
  <c r="H1618" i="11"/>
  <c r="H1728" i="11"/>
  <c r="H1839" i="11"/>
  <c r="H1949" i="11"/>
  <c r="H2062" i="11"/>
  <c r="H2173" i="11"/>
  <c r="H2288" i="11"/>
  <c r="H2400" i="11"/>
  <c r="H2546" i="11"/>
  <c r="H2663" i="11"/>
  <c r="H2776" i="11"/>
  <c r="H2887" i="11"/>
  <c r="H3000" i="11"/>
  <c r="H3115" i="11"/>
  <c r="H171" i="11"/>
  <c r="H339" i="11"/>
  <c r="H372" i="11"/>
  <c r="H471" i="11"/>
  <c r="H636" i="11"/>
  <c r="H778" i="11"/>
  <c r="H886" i="11"/>
  <c r="H998" i="11"/>
  <c r="H1108" i="11"/>
  <c r="H1216" i="11"/>
  <c r="H1329" i="11"/>
  <c r="H1443" i="11"/>
  <c r="H1518" i="11"/>
  <c r="H1669" i="11"/>
  <c r="H1784" i="11"/>
  <c r="H1895" i="11"/>
  <c r="H2035" i="11"/>
  <c r="H2128" i="11"/>
  <c r="H2305" i="11"/>
  <c r="H2417" i="11"/>
  <c r="H2529" i="11"/>
  <c r="H2640" i="11"/>
  <c r="H2782" i="11"/>
  <c r="H2865" i="11"/>
  <c r="H2978" i="11"/>
  <c r="H3022" i="11"/>
  <c r="H192" i="11"/>
  <c r="H340" i="11"/>
  <c r="H386" i="11"/>
  <c r="H488" i="11"/>
  <c r="H648" i="11"/>
  <c r="H764" i="11"/>
  <c r="H921" i="11"/>
  <c r="H1030" i="11"/>
  <c r="H1138" i="11"/>
  <c r="H1255" i="11"/>
  <c r="H1360" i="11"/>
  <c r="H1470" i="11"/>
  <c r="H1579" i="11"/>
  <c r="H1690" i="11"/>
  <c r="H1817" i="11"/>
  <c r="H1928" i="11"/>
  <c r="H2031" i="11"/>
  <c r="H2145" i="11"/>
  <c r="H2259" i="11"/>
  <c r="H2371" i="11"/>
  <c r="H2484" i="11"/>
  <c r="H2599" i="11"/>
  <c r="H2713" i="11"/>
  <c r="H2828" i="11"/>
  <c r="H3016" i="11"/>
  <c r="H3073" i="11"/>
  <c r="H37" i="11"/>
  <c r="H216" i="11"/>
  <c r="H280" i="11"/>
  <c r="H406" i="11"/>
  <c r="H472" i="11"/>
  <c r="H664" i="11"/>
  <c r="H748" i="11"/>
  <c r="H858" i="11"/>
  <c r="H972" i="11"/>
  <c r="H1085" i="11"/>
  <c r="H1197" i="11"/>
  <c r="H1365" i="11"/>
  <c r="H1427" i="11"/>
  <c r="H1540" i="11"/>
  <c r="H1653" i="11"/>
  <c r="H1854" i="11"/>
  <c r="H1964" i="11"/>
  <c r="H2074" i="11"/>
  <c r="H2185" i="11"/>
  <c r="H2299" i="11"/>
  <c r="H2411" i="11"/>
  <c r="H2480" i="11"/>
  <c r="H2635" i="11"/>
  <c r="H2750" i="11"/>
  <c r="H2861" i="11"/>
  <c r="H2974" i="11"/>
  <c r="H3089" i="11"/>
  <c r="H67" i="11"/>
  <c r="H217" i="11"/>
  <c r="H299" i="11"/>
  <c r="H422" i="11"/>
  <c r="H512" i="11"/>
  <c r="H676" i="11"/>
  <c r="H737" i="11"/>
  <c r="H848" i="11"/>
  <c r="H942" i="11"/>
  <c r="H1075" i="11"/>
  <c r="H1189" i="11"/>
  <c r="H1304" i="11"/>
  <c r="H1419" i="11"/>
  <c r="H1533" i="11"/>
  <c r="H1685" i="11"/>
  <c r="H1762" i="11"/>
  <c r="H1876" i="11"/>
  <c r="H1992" i="11"/>
  <c r="H2110" i="11"/>
  <c r="H2224" i="11"/>
  <c r="H2338" i="11"/>
  <c r="H2454" i="11"/>
  <c r="H2570" i="11"/>
  <c r="H2685" i="11"/>
  <c r="H2898" i="11"/>
  <c r="H3011" i="11"/>
  <c r="H3085" i="11"/>
  <c r="H99" i="11"/>
  <c r="H127" i="11"/>
  <c r="H281" i="11"/>
  <c r="H440" i="11"/>
  <c r="H529" i="11"/>
  <c r="H688" i="11"/>
  <c r="H738" i="11"/>
  <c r="H849" i="11"/>
  <c r="H962" i="11"/>
  <c r="H1076" i="11"/>
  <c r="H1273" i="11"/>
  <c r="H1353" i="11"/>
  <c r="H1490" i="11"/>
  <c r="H1599" i="11"/>
  <c r="H1708" i="11"/>
  <c r="H1821" i="11"/>
  <c r="H1932" i="11"/>
  <c r="H2046" i="11"/>
  <c r="H2158" i="11"/>
  <c r="H2273" i="11"/>
  <c r="H2386" i="11"/>
  <c r="H2498" i="11"/>
  <c r="H2610" i="11"/>
  <c r="H2726" i="11"/>
  <c r="H2840" i="11"/>
  <c r="H2953" i="11"/>
  <c r="H3067" i="11"/>
  <c r="H68" i="11"/>
  <c r="I48" i="15" s="1"/>
  <c r="H193" i="11"/>
  <c r="H320" i="11"/>
  <c r="H373" i="11"/>
  <c r="H530" i="11"/>
  <c r="H613" i="11"/>
  <c r="H749" i="11"/>
  <c r="H859" i="11"/>
  <c r="H973" i="11"/>
  <c r="H1159" i="11"/>
  <c r="H1267" i="11"/>
  <c r="H1389" i="11"/>
  <c r="H1498" i="11"/>
  <c r="H1606" i="11"/>
  <c r="H1716" i="11"/>
  <c r="H1832" i="11"/>
  <c r="H1911" i="11"/>
  <c r="H2026" i="11"/>
  <c r="H2204" i="11"/>
  <c r="H2316" i="11"/>
  <c r="H2428" i="11"/>
  <c r="H2540" i="11"/>
  <c r="H2650" i="11"/>
  <c r="H2763" i="11"/>
  <c r="H2874" i="11"/>
  <c r="H2987" i="11"/>
  <c r="H3102" i="11"/>
  <c r="H100" i="11"/>
  <c r="H218" i="11"/>
  <c r="H341" i="11"/>
  <c r="H358" i="11"/>
  <c r="H513" i="11"/>
  <c r="H598" i="11"/>
  <c r="H810" i="11"/>
  <c r="H922" i="11"/>
  <c r="H1031" i="11"/>
  <c r="H1139" i="11"/>
  <c r="H1217" i="11"/>
  <c r="H1330" i="11"/>
  <c r="H1420" i="11"/>
  <c r="H1511" i="11"/>
  <c r="H1627" i="11"/>
  <c r="H1743" i="11"/>
  <c r="H1859" i="11"/>
  <c r="H1975" i="11"/>
  <c r="H2091" i="11"/>
  <c r="H2207" i="11"/>
  <c r="H2323" i="11"/>
  <c r="H2440" i="11"/>
  <c r="H2555" i="11"/>
  <c r="H2783" i="11"/>
  <c r="H2894" i="11"/>
  <c r="H3006" i="11"/>
  <c r="H3122" i="11"/>
  <c r="H69" i="11"/>
  <c r="H219" i="11"/>
  <c r="H239" i="11"/>
  <c r="H455" i="11"/>
  <c r="H514" i="11"/>
  <c r="H584" i="11"/>
  <c r="H700" i="11"/>
  <c r="H816" i="11"/>
  <c r="H932" i="11"/>
  <c r="H1048" i="11"/>
  <c r="H1225" i="11"/>
  <c r="H1305" i="11"/>
  <c r="H1395" i="11"/>
  <c r="H1512" i="11"/>
  <c r="H1738" i="11"/>
  <c r="H1848" i="11"/>
  <c r="H1958" i="11"/>
  <c r="H2084" i="11"/>
  <c r="H2140" i="11"/>
  <c r="H2295" i="11"/>
  <c r="H2407" i="11"/>
  <c r="H2519" i="11"/>
  <c r="H2630" i="11"/>
  <c r="H2744" i="11"/>
  <c r="H2856" i="11"/>
  <c r="H2970" i="11"/>
  <c r="H3086" i="11"/>
  <c r="H128" i="11"/>
  <c r="H240" i="11"/>
  <c r="H387" i="11"/>
  <c r="H573" i="11"/>
  <c r="H585" i="11"/>
  <c r="H1943" i="11"/>
  <c r="H2664" i="11"/>
  <c r="H765" i="11"/>
  <c r="H871" i="11"/>
  <c r="H983" i="11"/>
  <c r="H1096" i="11"/>
  <c r="H1205" i="11"/>
  <c r="H1339" i="11"/>
  <c r="H1506" i="11"/>
  <c r="H1613" i="11"/>
  <c r="H1723" i="11"/>
  <c r="H1834" i="11"/>
  <c r="H1944" i="11"/>
  <c r="H2032" i="11"/>
  <c r="H2283" i="11"/>
  <c r="H2435" i="11"/>
  <c r="H2547" i="11"/>
  <c r="H2656" i="11"/>
  <c r="H2769" i="11"/>
  <c r="H2880" i="11"/>
  <c r="H2993" i="11"/>
  <c r="H3108" i="11"/>
  <c r="H38" i="11"/>
  <c r="H220" i="11"/>
  <c r="H261" i="11"/>
  <c r="H423" i="11"/>
  <c r="H546" i="11"/>
  <c r="H649" i="11"/>
  <c r="H702" i="11"/>
  <c r="H818" i="11"/>
  <c r="H934" i="11"/>
  <c r="H1050" i="11"/>
  <c r="H1165" i="11"/>
  <c r="H1280" i="11"/>
  <c r="H1396" i="11"/>
  <c r="H1584" i="11"/>
  <c r="H1694" i="11"/>
  <c r="H1809" i="11"/>
  <c r="H1920" i="11"/>
  <c r="H2036" i="11"/>
  <c r="H2149" i="11"/>
  <c r="H2264" i="11"/>
  <c r="H2375" i="11"/>
  <c r="H2489" i="11"/>
  <c r="H2602" i="11"/>
  <c r="H2717" i="11"/>
  <c r="H2831" i="11"/>
  <c r="H2945" i="11"/>
  <c r="H3059" i="11"/>
  <c r="H101" i="11"/>
  <c r="H195" i="11"/>
  <c r="H241" i="11"/>
  <c r="H441" i="11"/>
  <c r="H531" i="11"/>
  <c r="H586" i="11"/>
  <c r="H712" i="11"/>
  <c r="H826" i="11"/>
  <c r="H943" i="11"/>
  <c r="H1057" i="11"/>
  <c r="H1274" i="11"/>
  <c r="H1383" i="11"/>
  <c r="H1491" i="11"/>
  <c r="H1594" i="11"/>
  <c r="H1703" i="11"/>
  <c r="H1818" i="11"/>
  <c r="H1929" i="11"/>
  <c r="H2042" i="11"/>
  <c r="H2155" i="11"/>
  <c r="H2270" i="11"/>
  <c r="H2372" i="11"/>
  <c r="H2496" i="11"/>
  <c r="H2608" i="11"/>
  <c r="H2724" i="11"/>
  <c r="H2838" i="11"/>
  <c r="H2951" i="11"/>
  <c r="H3065" i="11"/>
  <c r="H102" i="11"/>
  <c r="H221" i="11"/>
  <c r="H262" i="11"/>
  <c r="H424" i="11"/>
  <c r="H547" i="11"/>
  <c r="H600" i="11"/>
  <c r="H739" i="11"/>
  <c r="H850" i="11"/>
  <c r="H963" i="11"/>
  <c r="H1077" i="11"/>
  <c r="H1190" i="11"/>
  <c r="H1306" i="11"/>
  <c r="H1421" i="11"/>
  <c r="H1607" i="11"/>
  <c r="H1717" i="11"/>
  <c r="H1829" i="11"/>
  <c r="H1939" i="11"/>
  <c r="H1993" i="11"/>
  <c r="H2165" i="11"/>
  <c r="H2280" i="11"/>
  <c r="H2393" i="11"/>
  <c r="H2504" i="11"/>
  <c r="H2559" i="11"/>
  <c r="H2732" i="11"/>
  <c r="H2845" i="11"/>
  <c r="H2907" i="11"/>
  <c r="H3074" i="11"/>
  <c r="H70" i="11"/>
  <c r="H148" i="11"/>
  <c r="H282" i="11"/>
  <c r="H408" i="11"/>
  <c r="H560" i="11"/>
  <c r="H614" i="11"/>
  <c r="H750" i="11"/>
  <c r="H860" i="11"/>
  <c r="H974" i="11"/>
  <c r="H1086" i="11"/>
  <c r="H1198" i="11"/>
  <c r="H1313" i="11"/>
  <c r="H1428" i="11"/>
  <c r="H1614" i="11"/>
  <c r="H1724" i="11"/>
  <c r="H1835" i="11"/>
  <c r="H1945" i="11"/>
  <c r="H2058" i="11"/>
  <c r="H2170" i="11"/>
  <c r="H2284" i="11"/>
  <c r="H2397" i="11"/>
  <c r="H2508" i="11"/>
  <c r="H2620" i="11"/>
  <c r="H2699" i="11"/>
  <c r="H2847" i="11"/>
  <c r="H2960" i="11"/>
  <c r="H3076" i="11"/>
  <c r="H39" i="11"/>
  <c r="H129" i="11"/>
  <c r="H300" i="11"/>
  <c r="H388" i="11"/>
  <c r="H574" i="11"/>
  <c r="H625" i="11"/>
  <c r="H740" i="11"/>
  <c r="H827" i="11"/>
  <c r="H964" i="11"/>
  <c r="H1058" i="11"/>
  <c r="H1199" i="11"/>
  <c r="H1314" i="11"/>
  <c r="H1429" i="11"/>
  <c r="H1547" i="11"/>
  <c r="H1661" i="11"/>
  <c r="H1776" i="11"/>
  <c r="H1888" i="11"/>
  <c r="H2003" i="11"/>
  <c r="H2120" i="11"/>
  <c r="H2233" i="11"/>
  <c r="H2348" i="11"/>
  <c r="H2462" i="11"/>
  <c r="H2577" i="11"/>
  <c r="H2693" i="11"/>
  <c r="H2807" i="11"/>
  <c r="H2922" i="11"/>
  <c r="H3037" i="11"/>
  <c r="H130" i="11"/>
  <c r="H321" i="11"/>
  <c r="H389" i="11"/>
  <c r="H575" i="11"/>
  <c r="H637" i="11"/>
  <c r="H725" i="11"/>
  <c r="H837" i="11"/>
  <c r="H953" i="11"/>
  <c r="H1066" i="11"/>
  <c r="H1180" i="11"/>
  <c r="H1296" i="11"/>
  <c r="H1411" i="11"/>
  <c r="H1548" i="11"/>
  <c r="H1709" i="11"/>
  <c r="H1822" i="11"/>
  <c r="H1933" i="11"/>
  <c r="H2047" i="11"/>
  <c r="H2159" i="11"/>
  <c r="H2274" i="11"/>
  <c r="H2387" i="11"/>
  <c r="H2499" i="11"/>
  <c r="H2611" i="11"/>
  <c r="H2727" i="11"/>
  <c r="H2800" i="11"/>
  <c r="H2927" i="11"/>
  <c r="H3042" i="11"/>
  <c r="H149" i="11"/>
  <c r="H342" i="11"/>
  <c r="H359" i="11"/>
  <c r="H561" i="11"/>
  <c r="H650" i="11"/>
  <c r="H766" i="11"/>
  <c r="H872" i="11"/>
  <c r="H984" i="11"/>
  <c r="H1097" i="11"/>
  <c r="H1206" i="11"/>
  <c r="H1322" i="11"/>
  <c r="H1434" i="11"/>
  <c r="H1619" i="11"/>
  <c r="H1729" i="11"/>
  <c r="H1840" i="11"/>
  <c r="H1950" i="11"/>
  <c r="H2004" i="11"/>
  <c r="H2174" i="11"/>
  <c r="H2289" i="11"/>
  <c r="H2401" i="11"/>
  <c r="H2512" i="11"/>
  <c r="H2624" i="11"/>
  <c r="H2738" i="11"/>
  <c r="H2899" i="11"/>
  <c r="H2964" i="11"/>
  <c r="H3080" i="11"/>
  <c r="H40" i="11"/>
  <c r="H172" i="11"/>
  <c r="H343" i="11"/>
  <c r="H360" i="11"/>
  <c r="H548" i="11"/>
  <c r="H665" i="11"/>
  <c r="H713" i="11"/>
  <c r="H828" i="11"/>
  <c r="H1007" i="11"/>
  <c r="H1160" i="11"/>
  <c r="H1226" i="11"/>
  <c r="H1340" i="11"/>
  <c r="H1450" i="11"/>
  <c r="H1519" i="11"/>
  <c r="H1634" i="11"/>
  <c r="H1749" i="11"/>
  <c r="H1864" i="11"/>
  <c r="H1980" i="11"/>
  <c r="H2097" i="11"/>
  <c r="H2213" i="11"/>
  <c r="H2328" i="11"/>
  <c r="H2444" i="11"/>
  <c r="H2560" i="11"/>
  <c r="H2675" i="11"/>
  <c r="H2900" i="11"/>
  <c r="H3012" i="11"/>
  <c r="H3126" i="11"/>
  <c r="H71" i="11"/>
  <c r="H196" i="11"/>
  <c r="H322" i="11"/>
  <c r="H374" i="11"/>
  <c r="H532" i="11"/>
  <c r="H666" i="11"/>
  <c r="H751" i="11"/>
  <c r="H923" i="11"/>
  <c r="H1032" i="11"/>
  <c r="H1140" i="11"/>
  <c r="H1247" i="11"/>
  <c r="H1390" i="11"/>
  <c r="H1451" i="11"/>
  <c r="H1620" i="11"/>
  <c r="H1730" i="11"/>
  <c r="H1841" i="11"/>
  <c r="H1951" i="11"/>
  <c r="H2063" i="11"/>
  <c r="H2175" i="11"/>
  <c r="H2290" i="11"/>
  <c r="H2402" i="11"/>
  <c r="H2513" i="11"/>
  <c r="H2665" i="11"/>
  <c r="H2778" i="11"/>
  <c r="H2889" i="11"/>
  <c r="H3002" i="11"/>
  <c r="H3117" i="11"/>
  <c r="H72" i="11"/>
  <c r="H150" i="11"/>
  <c r="H301" i="11"/>
  <c r="H442" i="11"/>
  <c r="H533" i="11"/>
  <c r="H626" i="11"/>
  <c r="H752" i="11"/>
  <c r="H924" i="11"/>
  <c r="H1033" i="11"/>
  <c r="H1141" i="11"/>
  <c r="H1248" i="11"/>
  <c r="H1391" i="11"/>
  <c r="H1452" i="11"/>
  <c r="H1621" i="11"/>
  <c r="H1731" i="11"/>
  <c r="H1842" i="11"/>
  <c r="H1952" i="11"/>
  <c r="H2064" i="11"/>
  <c r="H2176" i="11"/>
  <c r="H2291" i="11"/>
  <c r="H2403" i="11"/>
  <c r="H2514" i="11"/>
  <c r="H2666" i="11"/>
  <c r="H2779" i="11"/>
  <c r="H2890" i="11"/>
  <c r="H3003" i="11"/>
  <c r="H3118" i="11"/>
  <c r="H73" i="11"/>
  <c r="H222" i="11"/>
  <c r="H302" i="11"/>
  <c r="H443" i="11"/>
  <c r="H534" i="11"/>
  <c r="H627" i="11"/>
  <c r="H741" i="11"/>
  <c r="H851" i="11"/>
  <c r="H965" i="11"/>
  <c r="H1078" i="11"/>
  <c r="H1191" i="11"/>
  <c r="H1307" i="11"/>
  <c r="H1422" i="11"/>
  <c r="H1534" i="11"/>
  <c r="H1646" i="11"/>
  <c r="H1763" i="11"/>
  <c r="H1970" i="11"/>
  <c r="H2079" i="11"/>
  <c r="H2192" i="11"/>
  <c r="H2234" i="11"/>
  <c r="H2418" i="11"/>
  <c r="H2463" i="11"/>
  <c r="H2578" i="11"/>
  <c r="H2676" i="11"/>
  <c r="H2832" i="11"/>
  <c r="H2946" i="11"/>
  <c r="H3094" i="11"/>
  <c r="H103" i="11"/>
  <c r="H197" i="11"/>
  <c r="H323" i="11"/>
  <c r="H456" i="11"/>
  <c r="H515" i="11"/>
  <c r="H638" i="11"/>
  <c r="H753" i="11"/>
  <c r="H838" i="11"/>
  <c r="H954" i="11"/>
  <c r="H1079" i="11"/>
  <c r="H1268" i="11"/>
  <c r="H1331" i="11"/>
  <c r="H1485" i="11"/>
  <c r="H1520" i="11"/>
  <c r="H1635" i="11"/>
  <c r="H1750" i="11"/>
  <c r="H1971" i="11"/>
  <c r="H2005" i="11"/>
  <c r="H2193" i="11"/>
  <c r="H2306" i="11"/>
  <c r="H2412" i="11"/>
  <c r="H2530" i="11"/>
  <c r="H2641" i="11"/>
  <c r="H2754" i="11"/>
  <c r="H2833" i="11"/>
  <c r="H2979" i="11"/>
  <c r="H3095" i="11"/>
  <c r="H104" i="11"/>
  <c r="H173" i="11"/>
  <c r="H344" i="11"/>
  <c r="H457" i="11"/>
  <c r="H501" i="11"/>
  <c r="H651" i="11"/>
  <c r="H787" i="11"/>
  <c r="H897" i="11"/>
  <c r="H1008" i="11"/>
  <c r="H1116" i="11"/>
  <c r="H1227" i="11"/>
  <c r="H1341" i="11"/>
  <c r="H1453" i="11"/>
  <c r="H1562" i="11"/>
  <c r="H1675" i="11"/>
  <c r="H1791" i="11"/>
  <c r="H1902" i="11"/>
  <c r="H2019" i="11"/>
  <c r="H2134" i="11"/>
  <c r="H2248" i="11"/>
  <c r="H2362" i="11"/>
  <c r="H2550" i="11"/>
  <c r="H2660" i="11"/>
  <c r="H2718" i="11"/>
  <c r="H2808" i="11"/>
  <c r="H2997" i="11"/>
  <c r="H3112" i="11"/>
  <c r="H74" i="11"/>
  <c r="H151" i="11"/>
  <c r="H345" i="11"/>
  <c r="H444" i="11"/>
  <c r="H489" i="11"/>
  <c r="H667" i="11"/>
  <c r="H703" i="11"/>
  <c r="H819" i="11"/>
  <c r="H935" i="11"/>
  <c r="H1051" i="11"/>
  <c r="H1166" i="11"/>
  <c r="H1281" i="11"/>
  <c r="H1397" i="11"/>
  <c r="H1513" i="11"/>
  <c r="H1628" i="11"/>
  <c r="H1744" i="11"/>
  <c r="H1965" i="11"/>
  <c r="H2075" i="11"/>
  <c r="H2187" i="11"/>
  <c r="H2300" i="11"/>
  <c r="H2413" i="11"/>
  <c r="H2525" i="11"/>
  <c r="H2636" i="11"/>
  <c r="H2751" i="11"/>
  <c r="H2862" i="11"/>
  <c r="H2975" i="11"/>
  <c r="H3090" i="11"/>
  <c r="H41" i="11"/>
  <c r="H131" i="11"/>
  <c r="H242" i="11"/>
  <c r="H425" i="11"/>
  <c r="H473" i="11"/>
  <c r="H677" i="11"/>
  <c r="H726" i="11"/>
  <c r="H839" i="11"/>
  <c r="H955" i="11"/>
  <c r="H1067" i="11"/>
  <c r="H1181" i="11"/>
  <c r="H1297" i="11"/>
  <c r="H1412" i="11"/>
  <c r="H1526" i="11"/>
  <c r="H1641" i="11"/>
  <c r="H1755" i="11"/>
  <c r="H1972" i="11"/>
  <c r="H2080" i="11"/>
  <c r="H2188" i="11"/>
  <c r="H2320" i="11"/>
  <c r="H2431" i="11"/>
  <c r="H2543" i="11"/>
  <c r="H2654" i="11"/>
  <c r="H2767" i="11"/>
  <c r="H2877" i="11"/>
  <c r="H2990" i="11"/>
  <c r="H3106" i="11"/>
  <c r="H105" i="11"/>
  <c r="H174" i="11"/>
  <c r="H263" i="11"/>
  <c r="H458" i="11"/>
  <c r="H549" i="11"/>
  <c r="H587" i="11"/>
  <c r="H714" i="11"/>
  <c r="H873" i="11"/>
  <c r="H944" i="11"/>
  <c r="H1059" i="11"/>
  <c r="H1172" i="11"/>
  <c r="H1286" i="11"/>
  <c r="H1403" i="11"/>
  <c r="H1622" i="11"/>
  <c r="H1739" i="11"/>
  <c r="H1849" i="11"/>
  <c r="H1959" i="11"/>
  <c r="H2070" i="11"/>
  <c r="H2182" i="11"/>
  <c r="H2296" i="11"/>
  <c r="H2408" i="11"/>
  <c r="H2520" i="11"/>
  <c r="H2631" i="11"/>
  <c r="H2745" i="11"/>
  <c r="H2857" i="11"/>
  <c r="H2971" i="11"/>
  <c r="H3131" i="11"/>
  <c r="H75" i="11"/>
  <c r="H152" i="11"/>
  <c r="H243" i="11"/>
  <c r="H459" i="11"/>
  <c r="H562" i="11"/>
  <c r="H678" i="11"/>
  <c r="H704" i="11"/>
  <c r="H925" i="11"/>
  <c r="H1038" i="11"/>
  <c r="H1145" i="11"/>
  <c r="H1249" i="11"/>
  <c r="H1366" i="11"/>
  <c r="H1475" i="11"/>
  <c r="H1585" i="11"/>
  <c r="H1695" i="11"/>
  <c r="H1810" i="11"/>
  <c r="H1921" i="11"/>
  <c r="H2085" i="11"/>
  <c r="H2197" i="11"/>
  <c r="H2310" i="11"/>
  <c r="H2422" i="11"/>
  <c r="H2534" i="11"/>
  <c r="H2644" i="11"/>
  <c r="H2758" i="11"/>
  <c r="H2869" i="11"/>
  <c r="H2915" i="11"/>
  <c r="H3025" i="11"/>
  <c r="H42" i="11"/>
  <c r="H132" i="11"/>
  <c r="H244" i="11"/>
  <c r="H445" i="11"/>
  <c r="H490" i="11"/>
  <c r="H601" i="11"/>
  <c r="H715" i="11"/>
  <c r="H829" i="11"/>
  <c r="H945" i="11"/>
  <c r="H1060" i="11"/>
  <c r="H1173" i="11"/>
  <c r="H1287" i="11"/>
  <c r="H1404" i="11"/>
  <c r="H1521" i="11"/>
  <c r="H1636" i="11"/>
  <c r="H1751" i="11"/>
  <c r="H1865" i="11"/>
  <c r="H1981" i="11"/>
  <c r="H2098" i="11"/>
  <c r="H2214" i="11"/>
  <c r="H2329" i="11"/>
  <c r="H2445" i="11"/>
  <c r="H2561" i="11"/>
  <c r="H2677" i="11"/>
  <c r="H2792" i="11"/>
  <c r="H2908" i="11"/>
  <c r="H3023" i="11"/>
  <c r="H153" i="11"/>
  <c r="H324" i="11"/>
  <c r="H390" i="11"/>
  <c r="H491" i="11"/>
  <c r="H689" i="11"/>
  <c r="H727" i="11"/>
  <c r="H840" i="11"/>
  <c r="H956" i="11"/>
  <c r="H1068" i="11"/>
  <c r="H1182" i="11"/>
  <c r="H1298" i="11"/>
  <c r="H1413" i="11"/>
  <c r="H1527" i="11"/>
  <c r="H1642" i="11"/>
  <c r="H1756" i="11"/>
  <c r="H1871" i="11"/>
  <c r="H1987" i="11"/>
  <c r="H2104" i="11"/>
  <c r="H2218" i="11"/>
  <c r="H2333" i="11"/>
  <c r="H2449" i="11"/>
  <c r="H2564" i="11"/>
  <c r="H2680" i="11"/>
  <c r="H2794" i="11"/>
  <c r="H2910" i="11"/>
  <c r="H3026" i="11"/>
  <c r="H43" i="11"/>
  <c r="H175" i="11"/>
  <c r="H264" i="11"/>
  <c r="H375" i="11"/>
  <c r="H502" i="11"/>
  <c r="H679" i="11"/>
  <c r="H705" i="11"/>
  <c r="H820" i="11"/>
  <c r="H936" i="11"/>
  <c r="H1117" i="11"/>
  <c r="H1275" i="11"/>
  <c r="H1323" i="11"/>
  <c r="H1492" i="11"/>
  <c r="H1600" i="11"/>
  <c r="H1710" i="11"/>
  <c r="H1823" i="11"/>
  <c r="H1934" i="11"/>
  <c r="H2048" i="11"/>
  <c r="H2121" i="11"/>
  <c r="H2275" i="11"/>
  <c r="H2388" i="11"/>
  <c r="H2500" i="11"/>
  <c r="H2612" i="11"/>
  <c r="H2728" i="11"/>
  <c r="H2841" i="11"/>
  <c r="H2954" i="11"/>
  <c r="H3068" i="11"/>
  <c r="H133" i="11"/>
  <c r="H245" i="11"/>
  <c r="H361" i="11"/>
  <c r="H474" i="11"/>
  <c r="H588" i="11"/>
  <c r="H706" i="11"/>
  <c r="H821" i="11"/>
  <c r="H1039" i="11"/>
  <c r="H1146" i="11"/>
  <c r="H1256" i="11"/>
  <c r="H1367" i="11"/>
  <c r="H1476" i="11"/>
  <c r="H1586" i="11"/>
  <c r="H1696" i="11"/>
  <c r="H1855" i="11"/>
  <c r="H1966" i="11"/>
  <c r="H2086" i="11"/>
  <c r="H2198" i="11"/>
  <c r="H2321" i="11"/>
  <c r="H2432" i="11"/>
  <c r="H2544" i="11"/>
  <c r="H2667" i="11"/>
  <c r="H2714" i="11"/>
  <c r="H2878" i="11"/>
  <c r="H2991" i="11"/>
  <c r="H3091" i="11"/>
  <c r="H134" i="11"/>
  <c r="H303" i="11"/>
  <c r="H409" i="11"/>
  <c r="H475" i="11"/>
  <c r="H690" i="11"/>
  <c r="H728" i="11"/>
  <c r="H841" i="11"/>
  <c r="H946" i="11"/>
  <c r="H1069" i="11"/>
  <c r="H1183" i="11"/>
  <c r="H1299" i="11"/>
  <c r="H1414" i="11"/>
  <c r="H1587" i="11"/>
  <c r="H1647" i="11"/>
  <c r="H1757" i="11"/>
  <c r="H1872" i="11"/>
  <c r="H1988" i="11"/>
  <c r="H2105" i="11"/>
  <c r="H2219" i="11"/>
  <c r="H2334" i="11"/>
  <c r="H2450" i="11"/>
  <c r="H2565" i="11"/>
  <c r="H2681" i="11"/>
  <c r="H2795" i="11"/>
  <c r="H2911" i="11"/>
  <c r="H3027" i="11"/>
  <c r="H76" i="11"/>
  <c r="H198" i="11"/>
  <c r="H246" i="11"/>
  <c r="H362" i="11"/>
  <c r="H516" i="11"/>
  <c r="H668" i="11"/>
  <c r="H754" i="11"/>
  <c r="H887" i="11"/>
  <c r="H1040" i="11"/>
  <c r="H1147" i="11"/>
  <c r="H1257" i="11"/>
  <c r="H1368" i="11"/>
  <c r="H1477" i="11"/>
  <c r="H1588" i="11"/>
  <c r="H1697" i="11"/>
  <c r="H1811" i="11"/>
  <c r="H1922" i="11"/>
  <c r="H2037" i="11"/>
  <c r="H2150" i="11"/>
  <c r="H2265" i="11"/>
  <c r="H2376" i="11"/>
  <c r="H2490" i="11"/>
  <c r="H2603" i="11"/>
  <c r="H2719" i="11"/>
  <c r="H2834" i="11"/>
  <c r="H2947" i="11"/>
  <c r="H3060" i="11"/>
  <c r="H106" i="11"/>
  <c r="H223" i="11"/>
  <c r="H304" i="11"/>
  <c r="H391" i="11"/>
  <c r="H476" i="11"/>
  <c r="H691" i="11"/>
  <c r="H755" i="11"/>
  <c r="H861" i="11"/>
  <c r="H975" i="11"/>
  <c r="H1087" i="11"/>
  <c r="H1228" i="11"/>
  <c r="H1315" i="11"/>
  <c r="H1430" i="11"/>
  <c r="H1541" i="11"/>
  <c r="H1654" i="11"/>
  <c r="H1770" i="11"/>
  <c r="H1960" i="11"/>
  <c r="H1999" i="11"/>
  <c r="H2116" i="11"/>
  <c r="H2229" i="11"/>
  <c r="H2344" i="11"/>
  <c r="H2521" i="11"/>
  <c r="H2632" i="11"/>
  <c r="H2746" i="11"/>
  <c r="H2858" i="11"/>
  <c r="H2972" i="11"/>
  <c r="H3087" i="11"/>
  <c r="H107" i="11"/>
  <c r="H224" i="11"/>
  <c r="H265" i="11"/>
  <c r="H376" i="11"/>
  <c r="H535" i="11"/>
  <c r="H652" i="11"/>
  <c r="H788" i="11"/>
  <c r="H898" i="11"/>
  <c r="H1009" i="11"/>
  <c r="H1118" i="11"/>
  <c r="H1229" i="11"/>
  <c r="H1342" i="11"/>
  <c r="H1454" i="11"/>
  <c r="H1563" i="11"/>
  <c r="H1676" i="11"/>
  <c r="H1792" i="11"/>
  <c r="H1903" i="11"/>
  <c r="H2076" i="11"/>
  <c r="H2189" i="11"/>
  <c r="H2301" i="11"/>
  <c r="H2414" i="11"/>
  <c r="H2526" i="11"/>
  <c r="H2668" i="11"/>
  <c r="H2780" i="11"/>
  <c r="H2891" i="11"/>
  <c r="H3004" i="11"/>
  <c r="H3119" i="11"/>
  <c r="H108" i="11"/>
  <c r="H225" i="11"/>
  <c r="H283" i="11"/>
  <c r="H392" i="11"/>
  <c r="H550" i="11"/>
  <c r="H692" i="11"/>
  <c r="H716" i="11"/>
  <c r="H830" i="11"/>
  <c r="H947" i="11"/>
  <c r="H1061" i="11"/>
  <c r="H1174" i="11"/>
  <c r="H1288" i="11"/>
  <c r="H1405" i="11"/>
  <c r="H1522" i="11"/>
  <c r="H1637" i="11"/>
  <c r="H1758" i="11"/>
  <c r="H1866" i="11"/>
  <c r="H1982" i="11"/>
  <c r="H2099" i="11"/>
  <c r="H2215" i="11"/>
  <c r="H2330" i="11"/>
  <c r="H2446" i="11"/>
  <c r="H2562" i="11"/>
  <c r="H2678" i="11"/>
  <c r="H2793" i="11"/>
  <c r="H2909" i="11"/>
  <c r="H3024" i="11"/>
  <c r="H77" i="11"/>
  <c r="H199" i="11"/>
  <c r="H305" i="11"/>
  <c r="H410" i="11"/>
  <c r="H563" i="11"/>
  <c r="H628" i="11"/>
  <c r="H800" i="11"/>
  <c r="H906" i="11"/>
  <c r="H1017" i="11"/>
  <c r="H1119" i="11"/>
  <c r="H1235" i="11"/>
  <c r="H1348" i="11"/>
  <c r="H1459" i="11"/>
  <c r="H1535" i="11"/>
  <c r="H1648" i="11"/>
  <c r="H1764" i="11"/>
  <c r="H1877" i="11"/>
  <c r="H2081" i="11"/>
  <c r="H2194" i="11"/>
  <c r="H2302" i="11"/>
  <c r="H2356" i="11"/>
  <c r="H2469" i="11"/>
  <c r="H2584" i="11"/>
  <c r="H2755" i="11"/>
  <c r="H2866" i="11"/>
  <c r="H2980" i="11"/>
  <c r="H3061" i="11"/>
  <c r="H44" i="11"/>
  <c r="H176" i="11"/>
  <c r="H325" i="11"/>
  <c r="H426" i="11"/>
  <c r="H576" i="11"/>
  <c r="H615" i="11"/>
  <c r="H779" i="11"/>
  <c r="H888" i="11"/>
  <c r="H976" i="11"/>
  <c r="H1109" i="11"/>
  <c r="H1218" i="11"/>
  <c r="H1332" i="11"/>
  <c r="H1444" i="11"/>
  <c r="H1556" i="11"/>
  <c r="H1670" i="11"/>
  <c r="H1785" i="11"/>
  <c r="H1896" i="11"/>
  <c r="H2059" i="11"/>
  <c r="H2171" i="11"/>
  <c r="H2285" i="11"/>
  <c r="H2349" i="11"/>
  <c r="H2509" i="11"/>
  <c r="H2621" i="11"/>
  <c r="H2735" i="11"/>
  <c r="H2848" i="11"/>
  <c r="H2961" i="11"/>
  <c r="H3077" i="11"/>
  <c r="H154" i="11"/>
  <c r="H306" i="11"/>
  <c r="H446" i="11"/>
  <c r="H577" i="11"/>
  <c r="H602" i="11"/>
  <c r="H789" i="11"/>
  <c r="H899" i="11"/>
  <c r="H1041" i="11"/>
  <c r="H1148" i="11"/>
  <c r="H1258" i="11"/>
  <c r="H1369" i="11"/>
  <c r="H1478" i="11"/>
  <c r="H1589" i="11"/>
  <c r="H1698" i="11"/>
  <c r="H1812" i="11"/>
  <c r="H1923" i="11"/>
  <c r="H2038" i="11"/>
  <c r="H2151" i="11"/>
  <c r="H2266" i="11"/>
  <c r="H2377" i="11"/>
  <c r="H2491" i="11"/>
  <c r="H2604" i="11"/>
  <c r="H2784" i="11"/>
  <c r="H2895" i="11"/>
  <c r="H3007" i="11"/>
  <c r="H3123" i="11"/>
  <c r="H135" i="11"/>
  <c r="H346" i="11"/>
  <c r="H460" i="11"/>
  <c r="H564" i="11"/>
  <c r="H589" i="11"/>
  <c r="H729" i="11"/>
  <c r="H842" i="11"/>
  <c r="H957" i="11"/>
  <c r="H1070" i="11"/>
  <c r="H1184" i="11"/>
  <c r="H1300" i="11"/>
  <c r="H1415" i="11"/>
  <c r="H1528" i="11"/>
  <c r="H1643" i="11"/>
  <c r="H1759" i="11"/>
  <c r="H1873" i="11"/>
  <c r="H1989" i="11"/>
  <c r="H2106" i="11"/>
  <c r="H2220" i="11"/>
  <c r="H2335" i="11"/>
  <c r="H2451" i="11"/>
  <c r="H2566" i="11"/>
  <c r="H2682" i="11"/>
  <c r="H2796" i="11"/>
  <c r="H2912" i="11"/>
  <c r="H3028" i="11"/>
  <c r="H45" i="11"/>
  <c r="H136" i="11"/>
  <c r="H326" i="11"/>
  <c r="H461" i="11"/>
  <c r="H551" i="11"/>
  <c r="H590" i="11"/>
  <c r="H767" i="11"/>
  <c r="H874" i="11"/>
  <c r="H985" i="11"/>
  <c r="H1098" i="11"/>
  <c r="H1207" i="11"/>
  <c r="H1324" i="11"/>
  <c r="H1435" i="11"/>
  <c r="H1549" i="11"/>
  <c r="H1662" i="11"/>
  <c r="H1777" i="11"/>
  <c r="H1889" i="11"/>
  <c r="H2006" i="11"/>
  <c r="H2122" i="11"/>
  <c r="H2235" i="11"/>
  <c r="H2350" i="11"/>
  <c r="H2464" i="11"/>
  <c r="H2579" i="11"/>
  <c r="H2694" i="11"/>
  <c r="H2809" i="11"/>
  <c r="H2923" i="11"/>
  <c r="H3038" i="11"/>
  <c r="H78" i="11"/>
  <c r="H155" i="11"/>
  <c r="H307" i="11"/>
  <c r="H447" i="11"/>
  <c r="H492" i="11"/>
  <c r="H603" i="11"/>
  <c r="H768" i="11"/>
  <c r="H914" i="11"/>
  <c r="H1042" i="11"/>
  <c r="H1125" i="11"/>
  <c r="H1236" i="11"/>
  <c r="H1308" i="11"/>
  <c r="H1436" i="11"/>
  <c r="H1557" i="11"/>
  <c r="H1680" i="11"/>
  <c r="H1796" i="11"/>
  <c r="H1907" i="11"/>
  <c r="H2022" i="11"/>
  <c r="H2137" i="11"/>
  <c r="H2251" i="11"/>
  <c r="H2364" i="11"/>
  <c r="H2551" i="11"/>
  <c r="H2661" i="11"/>
  <c r="H2773" i="11"/>
  <c r="H2884" i="11"/>
  <c r="H2998" i="11"/>
  <c r="H3113" i="11"/>
  <c r="H79" i="11"/>
  <c r="H177" i="11"/>
  <c r="H284" i="11"/>
  <c r="H427" i="11"/>
  <c r="H517" i="11"/>
  <c r="H616" i="11"/>
  <c r="H801" i="11"/>
  <c r="H907" i="11"/>
  <c r="H1018" i="11"/>
  <c r="H1126" i="11"/>
  <c r="H1250" i="11"/>
  <c r="H1289" i="11"/>
  <c r="H1460" i="11"/>
  <c r="H1568" i="11"/>
  <c r="H1681" i="11"/>
  <c r="H1797" i="11"/>
  <c r="H1908" i="11"/>
  <c r="H2023" i="11"/>
  <c r="H2138" i="11"/>
  <c r="H2252" i="11"/>
  <c r="H2365" i="11"/>
  <c r="H2477" i="11"/>
  <c r="H2592" i="11"/>
  <c r="H2707" i="11"/>
  <c r="H2821" i="11"/>
  <c r="H2936" i="11"/>
  <c r="H3050" i="11"/>
  <c r="H109" i="11"/>
  <c r="H200" i="11"/>
  <c r="H266" i="11"/>
  <c r="H411" i="11"/>
  <c r="H503" i="11"/>
  <c r="H629" i="11"/>
  <c r="H790" i="11"/>
  <c r="H900" i="11"/>
  <c r="H1010" i="11"/>
  <c r="H1120" i="11"/>
  <c r="H1230" i="11"/>
  <c r="H1343" i="11"/>
  <c r="H1455" i="11"/>
  <c r="H1550" i="11"/>
  <c r="H1677" i="11"/>
  <c r="H1793" i="11"/>
  <c r="H1904" i="11"/>
  <c r="H2020" i="11"/>
  <c r="H2135" i="11"/>
  <c r="H2249" i="11"/>
  <c r="H2339" i="11"/>
  <c r="H2475" i="11"/>
  <c r="H2590" i="11"/>
  <c r="H2705" i="11"/>
  <c r="H2819" i="11"/>
  <c r="H2933" i="11"/>
  <c r="H3048" i="11"/>
  <c r="H80" i="11"/>
  <c r="H226" i="11"/>
  <c r="H247" i="11"/>
  <c r="H393" i="11"/>
  <c r="H493" i="11"/>
  <c r="H639" i="11"/>
  <c r="H780" i="11"/>
  <c r="H889" i="11"/>
  <c r="H999" i="11"/>
  <c r="H1110" i="11"/>
  <c r="H1219" i="11"/>
  <c r="H1333" i="11"/>
  <c r="H1445" i="11"/>
  <c r="H1558" i="11"/>
  <c r="H1671" i="11"/>
  <c r="H1786" i="11"/>
  <c r="H1897" i="11"/>
  <c r="H2014" i="11"/>
  <c r="H2129" i="11"/>
  <c r="H2242" i="11"/>
  <c r="H2357" i="11"/>
  <c r="H2470" i="11"/>
  <c r="H2585" i="11"/>
  <c r="H2700" i="11"/>
  <c r="H2814" i="11"/>
  <c r="H2928" i="11"/>
  <c r="H3043" i="11"/>
  <c r="H46" i="11"/>
  <c r="H227" i="11"/>
  <c r="H248" i="11"/>
  <c r="H377" i="11"/>
  <c r="H477" i="11"/>
  <c r="H653" i="11"/>
  <c r="H756" i="11"/>
  <c r="H862" i="11"/>
  <c r="H977" i="11"/>
  <c r="H1088" i="11"/>
  <c r="H1200" i="11"/>
  <c r="H1316" i="11"/>
  <c r="H1431" i="11"/>
  <c r="H1542" i="11"/>
  <c r="H1655" i="11"/>
  <c r="H1771" i="11"/>
  <c r="H1882" i="11"/>
  <c r="H2000" i="11"/>
  <c r="H2117" i="11"/>
  <c r="H2230" i="11"/>
  <c r="H2345" i="11"/>
  <c r="H2459" i="11"/>
  <c r="H2574" i="11"/>
  <c r="H2689" i="11"/>
  <c r="H2804" i="11"/>
  <c r="H2919" i="11"/>
  <c r="H3034" i="11"/>
  <c r="H201" i="11"/>
  <c r="H267" i="11"/>
  <c r="H363" i="11"/>
  <c r="H478" i="11"/>
  <c r="H669" i="11"/>
  <c r="H742" i="11"/>
  <c r="H852" i="11"/>
  <c r="H966" i="11"/>
  <c r="H1080" i="11"/>
  <c r="H1192" i="11"/>
  <c r="H1309" i="11"/>
  <c r="H1423" i="11"/>
  <c r="H1536" i="11"/>
  <c r="H1649" i="11"/>
  <c r="H1765" i="11"/>
  <c r="H1878" i="11"/>
  <c r="H1994" i="11"/>
  <c r="H2111" i="11"/>
  <c r="H2225" i="11"/>
  <c r="H2340" i="11"/>
  <c r="H2455" i="11"/>
  <c r="H2571" i="11"/>
  <c r="H2686" i="11"/>
  <c r="H2801" i="11"/>
  <c r="H2916" i="11"/>
  <c r="H3030" i="11"/>
  <c r="H178" i="11"/>
  <c r="H285" i="11"/>
  <c r="H364" i="11"/>
  <c r="H494" i="11"/>
  <c r="H680" i="11"/>
  <c r="H781" i="11"/>
  <c r="H926" i="11"/>
  <c r="H1034" i="11"/>
  <c r="H1099" i="11"/>
  <c r="H1251" i="11"/>
  <c r="H1361" i="11"/>
  <c r="H1471" i="11"/>
  <c r="H1580" i="11"/>
  <c r="H1691" i="11"/>
  <c r="H1804" i="11"/>
  <c r="H1916" i="11"/>
  <c r="H2071" i="11"/>
  <c r="H2183" i="11"/>
  <c r="H2297" i="11"/>
  <c r="H2409" i="11"/>
  <c r="H2522" i="11"/>
  <c r="H2662" i="11"/>
  <c r="H2774" i="11"/>
  <c r="H2885" i="11"/>
  <c r="H2976" i="11"/>
  <c r="H3031" i="11"/>
  <c r="H47" i="11"/>
  <c r="H156" i="11"/>
  <c r="H308" i="11"/>
  <c r="H378" i="11"/>
  <c r="H504" i="11"/>
  <c r="H693" i="11"/>
  <c r="H707" i="11"/>
  <c r="H863" i="11"/>
  <c r="H937" i="11"/>
  <c r="H1052" i="11"/>
  <c r="H1167" i="11"/>
  <c r="H1282" i="11"/>
  <c r="H1499" i="11"/>
  <c r="H1623" i="11"/>
  <c r="H1732" i="11"/>
  <c r="H1843" i="11"/>
  <c r="H1953" i="11"/>
  <c r="H2065" i="11"/>
  <c r="H2177" i="11"/>
  <c r="H2243" i="11"/>
  <c r="H2331" i="11"/>
  <c r="H2447" i="11"/>
  <c r="H2625" i="11"/>
  <c r="H2739" i="11"/>
  <c r="H2851" i="11"/>
  <c r="H2965" i="11"/>
  <c r="H3132" i="11"/>
  <c r="H81" i="11"/>
  <c r="H137" i="11"/>
  <c r="H327" i="11"/>
  <c r="H394" i="11"/>
  <c r="H518" i="11"/>
  <c r="H694" i="11"/>
  <c r="H717" i="11"/>
  <c r="H831" i="11"/>
  <c r="H948" i="11"/>
  <c r="H1062" i="11"/>
  <c r="H1175" i="11"/>
  <c r="H1290" i="11"/>
  <c r="H1507" i="11"/>
  <c r="H1615" i="11"/>
  <c r="H1725" i="11"/>
  <c r="H1836" i="11"/>
  <c r="H1946" i="11"/>
  <c r="H2060" i="11"/>
  <c r="H2172" i="11"/>
  <c r="H2286" i="11"/>
  <c r="H2398" i="11"/>
  <c r="H2510" i="11"/>
  <c r="H2622" i="11"/>
  <c r="H2736" i="11"/>
  <c r="H2849" i="11"/>
  <c r="H2962" i="11"/>
  <c r="H3129" i="11"/>
  <c r="H110" i="11"/>
  <c r="H138" i="11"/>
  <c r="H347" i="11"/>
  <c r="H412" i="11"/>
  <c r="H536" i="11"/>
  <c r="H681" i="11"/>
  <c r="H791" i="11"/>
  <c r="H832" i="11"/>
  <c r="H1043" i="11"/>
  <c r="H1149" i="11"/>
  <c r="H1276" i="11"/>
  <c r="H1384" i="11"/>
  <c r="H1493" i="11"/>
  <c r="H1601" i="11"/>
  <c r="H1711" i="11"/>
  <c r="H1824" i="11"/>
  <c r="H1935" i="11"/>
  <c r="H2049" i="11"/>
  <c r="H2160" i="11"/>
  <c r="H2260" i="11"/>
  <c r="H2324" i="11"/>
  <c r="H2501" i="11"/>
  <c r="H2613" i="11"/>
  <c r="H2729" i="11"/>
  <c r="H2842" i="11"/>
  <c r="H2955" i="11"/>
  <c r="H3069" i="11"/>
  <c r="H111" i="11"/>
  <c r="H157" i="11"/>
  <c r="H348" i="11"/>
  <c r="H428" i="11"/>
  <c r="H552" i="11"/>
  <c r="H670" i="11"/>
  <c r="H718" i="11"/>
  <c r="H875" i="11"/>
  <c r="H1024" i="11"/>
  <c r="H1150" i="11"/>
  <c r="H1259" i="11"/>
  <c r="H1370" i="11"/>
  <c r="H1479" i="11"/>
  <c r="H1514" i="11"/>
  <c r="H1629" i="11"/>
  <c r="H1745" i="11"/>
  <c r="H1860" i="11"/>
  <c r="H1976" i="11"/>
  <c r="H2092" i="11"/>
  <c r="H2208" i="11"/>
  <c r="H2325" i="11"/>
  <c r="H2441" i="11"/>
  <c r="H2556" i="11"/>
  <c r="H2672" i="11"/>
  <c r="H2788" i="11"/>
  <c r="H2904" i="11"/>
  <c r="H3019" i="11"/>
  <c r="H82" i="11"/>
  <c r="H179" i="11"/>
  <c r="H328" i="11"/>
  <c r="H448" i="11"/>
  <c r="H565" i="11"/>
  <c r="H654" i="11"/>
  <c r="H743" i="11"/>
  <c r="H853" i="11"/>
  <c r="H967" i="11"/>
  <c r="H1081" i="11"/>
  <c r="H1193" i="11"/>
  <c r="H1310" i="11"/>
  <c r="H1424" i="11"/>
  <c r="H1537" i="11"/>
  <c r="H1650" i="11"/>
  <c r="H1766" i="11"/>
  <c r="H1879" i="11"/>
  <c r="H1995" i="11"/>
  <c r="H2112" i="11"/>
  <c r="H2226" i="11"/>
  <c r="H2341" i="11"/>
  <c r="H2515" i="11"/>
  <c r="H2626" i="11"/>
  <c r="H2740" i="11"/>
  <c r="H2852" i="11"/>
  <c r="H2966" i="11"/>
  <c r="H3081" i="11"/>
  <c r="H48" i="11"/>
  <c r="H202" i="11"/>
  <c r="H309" i="11"/>
  <c r="H462" i="11"/>
  <c r="H578" i="11"/>
  <c r="H640" i="11"/>
  <c r="H769" i="11"/>
  <c r="H876" i="11"/>
  <c r="H986" i="11"/>
  <c r="H1100" i="11"/>
  <c r="H1208" i="11"/>
  <c r="H1325" i="11"/>
  <c r="H1437" i="11"/>
  <c r="H1551" i="11"/>
  <c r="H1663" i="11"/>
  <c r="H1778" i="11"/>
  <c r="H1890" i="11"/>
  <c r="H2066" i="11"/>
  <c r="H2178" i="11"/>
  <c r="H2292" i="11"/>
  <c r="H2404" i="11"/>
  <c r="H2516" i="11"/>
  <c r="H2627" i="11"/>
  <c r="H2741" i="11"/>
  <c r="H2853" i="11"/>
  <c r="H2967" i="11"/>
  <c r="H3082" i="11"/>
  <c r="H228" i="11"/>
  <c r="H286" i="11"/>
  <c r="H463" i="11"/>
  <c r="H579" i="11"/>
  <c r="H630" i="11"/>
  <c r="H811" i="11"/>
  <c r="H877" i="11"/>
  <c r="H987" i="11"/>
  <c r="H1151" i="11"/>
  <c r="H1194" i="11"/>
  <c r="H1354" i="11"/>
  <c r="H1406" i="11"/>
  <c r="H1543" i="11"/>
  <c r="H1656" i="11"/>
  <c r="H1772" i="11"/>
  <c r="H1883" i="11"/>
  <c r="H2087" i="11"/>
  <c r="H2199" i="11"/>
  <c r="H2311" i="11"/>
  <c r="H2423" i="11"/>
  <c r="H2535" i="11"/>
  <c r="H2645" i="11"/>
  <c r="H2759" i="11"/>
  <c r="H2870" i="11"/>
  <c r="H2983" i="11"/>
  <c r="H3098" i="11"/>
  <c r="H229" i="11"/>
  <c r="H268" i="11"/>
  <c r="H379" i="11"/>
  <c r="H537" i="11"/>
  <c r="H591" i="11"/>
  <c r="H719" i="11"/>
  <c r="H927" i="11"/>
  <c r="H1035" i="11"/>
  <c r="H1142" i="11"/>
  <c r="H1209" i="11"/>
  <c r="H1362" i="11"/>
  <c r="H1472" i="11"/>
  <c r="H1581" i="11"/>
  <c r="H1692" i="11"/>
  <c r="H1805" i="11"/>
  <c r="H1917" i="11"/>
  <c r="H2033" i="11"/>
  <c r="H2146" i="11"/>
  <c r="H2261" i="11"/>
  <c r="H2373" i="11"/>
  <c r="H2485" i="11"/>
  <c r="H2600" i="11"/>
  <c r="H2715" i="11"/>
  <c r="H2829" i="11"/>
  <c r="H2941" i="11"/>
  <c r="H3057" i="11"/>
  <c r="H49" i="11"/>
  <c r="H203" i="11"/>
  <c r="H249" i="11"/>
  <c r="H429" i="11"/>
  <c r="H553" i="11"/>
  <c r="H604" i="11"/>
  <c r="H744" i="11"/>
  <c r="H854" i="11"/>
  <c r="H968" i="11"/>
  <c r="H1082" i="11"/>
  <c r="H1195" i="11"/>
  <c r="H1311" i="11"/>
  <c r="H1425" i="11"/>
  <c r="H1538" i="11"/>
  <c r="H1651" i="11"/>
  <c r="H1767" i="11"/>
  <c r="H1874" i="11"/>
  <c r="H1990" i="11"/>
  <c r="H2107" i="11"/>
  <c r="H2221" i="11"/>
  <c r="H2336" i="11"/>
  <c r="H2452" i="11"/>
  <c r="H2567" i="11"/>
  <c r="H2747" i="11"/>
  <c r="H2797" i="11"/>
  <c r="H2913" i="11"/>
  <c r="H3029" i="11"/>
  <c r="H112" i="11"/>
  <c r="H204" i="11"/>
  <c r="H310" i="11"/>
  <c r="H413" i="11"/>
  <c r="H519" i="11"/>
  <c r="H631" i="11"/>
  <c r="H757" i="11"/>
  <c r="H864" i="11"/>
  <c r="H978" i="11"/>
  <c r="H1089" i="11"/>
  <c r="H1277" i="11"/>
  <c r="H1291" i="11"/>
  <c r="H1407" i="11"/>
  <c r="H1552" i="11"/>
  <c r="H1664" i="11"/>
  <c r="H1779" i="11"/>
  <c r="H1891" i="11"/>
  <c r="H2007" i="11"/>
  <c r="H2123" i="11"/>
  <c r="H2236" i="11"/>
  <c r="H2351" i="11"/>
  <c r="H2552" i="11"/>
  <c r="H2633" i="11"/>
  <c r="H2775" i="11"/>
  <c r="H2886" i="11"/>
  <c r="H2999" i="11"/>
  <c r="H3114" i="11"/>
  <c r="H113" i="11"/>
  <c r="H158" i="11"/>
  <c r="H329" i="11"/>
  <c r="H430" i="11"/>
  <c r="H538" i="11"/>
  <c r="H641" i="11"/>
  <c r="H782" i="11"/>
  <c r="H890" i="11"/>
  <c r="H1000" i="11"/>
  <c r="H1111" i="11"/>
  <c r="H1220" i="11"/>
  <c r="H1334" i="11"/>
  <c r="H1446" i="11"/>
  <c r="H1529" i="11"/>
  <c r="H1644" i="11"/>
  <c r="H1760" i="11"/>
  <c r="H1924" i="11"/>
  <c r="H2082" i="11"/>
  <c r="H2100" i="11"/>
  <c r="H2307" i="11"/>
  <c r="H2419" i="11"/>
  <c r="H2531" i="11"/>
  <c r="H2669" i="11"/>
  <c r="H2781" i="11"/>
  <c r="H2892" i="11"/>
  <c r="H3005" i="11"/>
  <c r="H3120" i="11"/>
  <c r="H50" i="11"/>
  <c r="H205" i="11"/>
  <c r="H349" i="11"/>
  <c r="H464" i="11"/>
  <c r="H566" i="11"/>
  <c r="H671" i="11"/>
  <c r="H802" i="11"/>
  <c r="H928" i="11"/>
  <c r="H1036" i="11"/>
  <c r="H1143" i="11"/>
  <c r="H1252" i="11"/>
  <c r="H1363" i="11"/>
  <c r="H1473" i="11"/>
  <c r="H1582" i="11"/>
  <c r="H1693" i="11"/>
  <c r="H1806" i="11"/>
  <c r="H1918" i="11"/>
  <c r="H2034" i="11"/>
  <c r="H2147" i="11"/>
  <c r="H2262" i="11"/>
  <c r="H2374" i="11"/>
  <c r="H2486" i="11"/>
  <c r="H2601" i="11"/>
  <c r="H2716" i="11"/>
  <c r="H2830" i="11"/>
  <c r="H2942" i="11"/>
  <c r="H3058" i="11"/>
  <c r="H159" i="11"/>
  <c r="H269" i="11"/>
  <c r="H365" i="11"/>
  <c r="H580" i="11"/>
  <c r="H695" i="11"/>
  <c r="H812" i="11"/>
  <c r="H915" i="11"/>
  <c r="H1025" i="11"/>
  <c r="H1161" i="11"/>
  <c r="H1269" i="11"/>
  <c r="H1378" i="11"/>
  <c r="H1486" i="11"/>
  <c r="H1595" i="11"/>
  <c r="H1704" i="11"/>
  <c r="H1780" i="11"/>
  <c r="H1967" i="11"/>
  <c r="H2043" i="11"/>
  <c r="H2156" i="11"/>
  <c r="H2271" i="11"/>
  <c r="H2384" i="11"/>
  <c r="H2456" i="11"/>
  <c r="H2637" i="11"/>
  <c r="H2720" i="11"/>
  <c r="H2798" i="11"/>
  <c r="H3017" i="11"/>
  <c r="H3078" i="11"/>
  <c r="H51" i="11"/>
  <c r="H230" i="11"/>
  <c r="H287" i="11"/>
  <c r="H431" i="11"/>
  <c r="H567" i="11"/>
  <c r="H696" i="11"/>
  <c r="H708" i="11"/>
  <c r="H822" i="11"/>
  <c r="H938" i="11"/>
  <c r="H1053" i="11"/>
  <c r="H1168" i="11"/>
  <c r="H1283" i="11"/>
  <c r="H1398" i="11"/>
  <c r="H1515" i="11"/>
  <c r="H1630" i="11"/>
  <c r="H1746" i="11"/>
  <c r="H1861" i="11"/>
  <c r="H1977" i="11"/>
  <c r="H2093" i="11"/>
  <c r="H2209" i="11"/>
  <c r="H2436" i="11"/>
  <c r="H2548" i="11"/>
  <c r="H2657" i="11"/>
  <c r="H2770" i="11"/>
  <c r="H2881" i="11"/>
  <c r="H2994" i="11"/>
  <c r="H3109" i="11"/>
  <c r="H83" i="11"/>
  <c r="H206" i="11"/>
  <c r="H270" i="11"/>
  <c r="H414" i="11"/>
  <c r="H539" i="11"/>
  <c r="H682" i="11"/>
  <c r="H792" i="11"/>
  <c r="H901" i="11"/>
  <c r="H1011" i="11"/>
  <c r="H1121" i="11"/>
  <c r="H1231" i="11"/>
  <c r="H1392" i="11"/>
  <c r="H1500" i="11"/>
  <c r="H1608" i="11"/>
  <c r="H1718" i="11"/>
  <c r="H1768" i="11"/>
  <c r="H1940" i="11"/>
  <c r="H2054" i="11"/>
  <c r="H2166" i="11"/>
  <c r="H2281" i="11"/>
  <c r="H2378" i="11"/>
  <c r="H2505" i="11"/>
  <c r="H2617" i="11"/>
  <c r="H2785" i="11"/>
  <c r="H2896" i="11"/>
  <c r="H3008" i="11"/>
  <c r="H3124" i="11"/>
  <c r="H114" i="11"/>
  <c r="H180" i="11"/>
  <c r="H250" i="11"/>
  <c r="H380" i="11"/>
  <c r="H520" i="11"/>
  <c r="H655" i="11"/>
  <c r="H758" i="11"/>
  <c r="H865" i="11"/>
  <c r="H979" i="11"/>
  <c r="H1090" i="11"/>
  <c r="H1201" i="11"/>
  <c r="H1317" i="11"/>
  <c r="H1432" i="11"/>
  <c r="H1544" i="11"/>
  <c r="H1657" i="11"/>
  <c r="H1773" i="11"/>
  <c r="H1884" i="11"/>
  <c r="H2001" i="11"/>
  <c r="H2118" i="11"/>
  <c r="H2231" i="11"/>
  <c r="H2346" i="11"/>
  <c r="H2460" i="11"/>
  <c r="H2575" i="11"/>
  <c r="H2690" i="11"/>
  <c r="H2805" i="11"/>
  <c r="H2943" i="11"/>
  <c r="H3133" i="11"/>
  <c r="H52" i="11"/>
  <c r="H231" i="11"/>
  <c r="H311" i="11"/>
  <c r="H381" i="11"/>
  <c r="H479" i="11"/>
  <c r="H617" i="11"/>
  <c r="H745" i="11"/>
  <c r="H855" i="11"/>
  <c r="H1044" i="11"/>
  <c r="H1152" i="11"/>
  <c r="H1260" i="11"/>
  <c r="H1371" i="11"/>
  <c r="H1480" i="11"/>
  <c r="H1590" i="11"/>
  <c r="H1705" i="11"/>
  <c r="H1813" i="11"/>
  <c r="H1925" i="11"/>
  <c r="H2039" i="11"/>
  <c r="H2152" i="11"/>
  <c r="H2267" i="11"/>
  <c r="H2379" i="11"/>
  <c r="H2492" i="11"/>
  <c r="H2605" i="11"/>
  <c r="H2721" i="11"/>
  <c r="H2835" i="11"/>
  <c r="H2948" i="11"/>
  <c r="H3062" i="11"/>
  <c r="H207" i="11"/>
  <c r="H330" i="11"/>
  <c r="H395" i="11"/>
  <c r="H480" i="11"/>
  <c r="H605" i="11"/>
  <c r="H770" i="11"/>
  <c r="H823" i="11"/>
  <c r="H988" i="11"/>
  <c r="H1054" i="11"/>
  <c r="H1169" i="11"/>
  <c r="H1284" i="11"/>
  <c r="H1399" i="11"/>
  <c r="H1516" i="11"/>
  <c r="H1631" i="11"/>
  <c r="H1747" i="11"/>
  <c r="H1862" i="11"/>
  <c r="H1978" i="11"/>
  <c r="H2094" i="11"/>
  <c r="H2210" i="11"/>
  <c r="H2326" i="11"/>
  <c r="H2442" i="11"/>
  <c r="H2557" i="11"/>
  <c r="H2673" i="11"/>
  <c r="H2789" i="11"/>
  <c r="H2905" i="11"/>
  <c r="H3020" i="11"/>
  <c r="H115" i="11"/>
  <c r="H139" i="11"/>
  <c r="H331" i="11"/>
  <c r="H449" i="11"/>
  <c r="H521" i="11"/>
  <c r="H606" i="11"/>
  <c r="H759" i="11"/>
  <c r="H866" i="11"/>
  <c r="H989" i="11"/>
  <c r="H1091" i="11"/>
  <c r="H1202" i="11"/>
  <c r="H1393" i="11"/>
  <c r="H1501" i="11"/>
  <c r="H1624" i="11"/>
  <c r="H1733" i="11"/>
  <c r="H1850" i="11"/>
  <c r="H1973" i="11"/>
  <c r="H2008" i="11"/>
  <c r="H2124" i="11"/>
  <c r="H2237" i="11"/>
  <c r="H2352" i="11"/>
  <c r="H2465" i="11"/>
  <c r="H2580" i="11"/>
  <c r="H2695" i="11"/>
  <c r="H2901" i="11"/>
  <c r="H3013" i="11"/>
  <c r="H3051" i="11"/>
  <c r="H84" i="11"/>
  <c r="H181" i="11"/>
  <c r="H251" i="11"/>
  <c r="H415" i="11"/>
  <c r="H540" i="11"/>
  <c r="H592" i="11"/>
  <c r="H730" i="11"/>
  <c r="H929" i="11"/>
  <c r="H1045" i="11"/>
  <c r="H1153" i="11"/>
  <c r="H1261" i="11"/>
  <c r="H1372" i="11"/>
  <c r="H1508" i="11"/>
  <c r="H1616" i="11"/>
  <c r="H1726" i="11"/>
  <c r="H1837" i="11"/>
  <c r="H1947" i="11"/>
  <c r="H2088" i="11"/>
  <c r="H2205" i="11"/>
  <c r="H2317" i="11"/>
  <c r="H2380" i="11"/>
  <c r="H2487" i="11"/>
  <c r="H2651" i="11"/>
  <c r="H2764" i="11"/>
  <c r="H2875" i="11"/>
  <c r="H2988" i="11"/>
  <c r="H3103" i="11"/>
  <c r="H116" i="11"/>
  <c r="H232" i="11"/>
  <c r="H332" i="11"/>
  <c r="H416" i="11"/>
  <c r="H505" i="11"/>
  <c r="H697" i="11"/>
  <c r="H709" i="11"/>
  <c r="H824" i="11"/>
  <c r="H939" i="11"/>
  <c r="H1055" i="11"/>
  <c r="H1170" i="11"/>
  <c r="H1285" i="11"/>
  <c r="H1400" i="11"/>
  <c r="H1517" i="11"/>
  <c r="H1632" i="11"/>
  <c r="H1748" i="11"/>
  <c r="H1863" i="11"/>
  <c r="H1979" i="11"/>
  <c r="H2095" i="11"/>
  <c r="H2211" i="11"/>
  <c r="H2327" i="11"/>
  <c r="H2443" i="11"/>
  <c r="H2558" i="11"/>
  <c r="H2674" i="11"/>
  <c r="H2790" i="11"/>
  <c r="H2906" i="11"/>
  <c r="H3021" i="11"/>
  <c r="H140" i="11"/>
  <c r="H271" i="11"/>
  <c r="H432" i="11"/>
  <c r="H581" i="11"/>
  <c r="H656" i="11"/>
  <c r="H720" i="11"/>
  <c r="H833" i="11"/>
  <c r="H949" i="11"/>
  <c r="H1063" i="11"/>
  <c r="H1176" i="11"/>
  <c r="H1292" i="11"/>
  <c r="H1408" i="11"/>
  <c r="H1523" i="11"/>
  <c r="H1638" i="11"/>
  <c r="H1752" i="11"/>
  <c r="H1867" i="11"/>
  <c r="H1983" i="11"/>
  <c r="H2101" i="11"/>
  <c r="H2216" i="11"/>
  <c r="H2437" i="11"/>
  <c r="H2553" i="11"/>
  <c r="H2658" i="11"/>
  <c r="H2771" i="11"/>
  <c r="H2882" i="11"/>
  <c r="H2995" i="11"/>
  <c r="H3110" i="11"/>
  <c r="H160" i="11"/>
  <c r="H288" i="11"/>
  <c r="H417" i="11"/>
  <c r="H568" i="11"/>
  <c r="H642" i="11"/>
  <c r="H731" i="11"/>
  <c r="H878" i="11"/>
  <c r="H990" i="11"/>
  <c r="H1071" i="11"/>
  <c r="H1185" i="11"/>
  <c r="H1301" i="11"/>
  <c r="H1416" i="11"/>
  <c r="H1530" i="11"/>
  <c r="H1740" i="11"/>
  <c r="H1856" i="11"/>
  <c r="H1968" i="11"/>
  <c r="H2077" i="11"/>
  <c r="H2190" i="11"/>
  <c r="H2303" i="11"/>
  <c r="H2415" i="11"/>
  <c r="H2527" i="11"/>
  <c r="H2638" i="11"/>
  <c r="H2752" i="11"/>
  <c r="H2863" i="11"/>
  <c r="H2977" i="11"/>
  <c r="H3092" i="11"/>
  <c r="H53" i="11"/>
  <c r="H182" i="11"/>
  <c r="H312" i="11"/>
  <c r="H396" i="11"/>
  <c r="H554" i="11"/>
  <c r="H632" i="11"/>
  <c r="H783" i="11"/>
  <c r="H891" i="11"/>
  <c r="H1001" i="11"/>
  <c r="H1112" i="11"/>
  <c r="H1221" i="11"/>
  <c r="H1335" i="11"/>
  <c r="H1447" i="11"/>
  <c r="H1569" i="11"/>
  <c r="H1672" i="11"/>
  <c r="H1787" i="11"/>
  <c r="H1898" i="11"/>
  <c r="H2015" i="11"/>
  <c r="H2130" i="11"/>
  <c r="H2244" i="11"/>
  <c r="H2358" i="11"/>
  <c r="H2471" i="11"/>
  <c r="H2586" i="11"/>
  <c r="H2701" i="11"/>
  <c r="H2815" i="11"/>
  <c r="H2929" i="11"/>
  <c r="H3044" i="11"/>
  <c r="H85" i="11"/>
  <c r="H208" i="11"/>
  <c r="H272" i="11"/>
  <c r="H433" i="11"/>
  <c r="H495" i="11"/>
  <c r="H683" i="11"/>
  <c r="H793" i="11"/>
  <c r="H908" i="11"/>
  <c r="H1037" i="11"/>
  <c r="H1144" i="11"/>
  <c r="H1177" i="11"/>
  <c r="H1293" i="11"/>
  <c r="H1438" i="11"/>
  <c r="H1564" i="11"/>
  <c r="H1678" i="11"/>
  <c r="H1857" i="11"/>
  <c r="H1880" i="11"/>
  <c r="H1996" i="11"/>
  <c r="H2113" i="11"/>
  <c r="H2227" i="11"/>
  <c r="H2342" i="11"/>
  <c r="H2457" i="11"/>
  <c r="H2572" i="11"/>
  <c r="H2687" i="11"/>
  <c r="H2802" i="11"/>
  <c r="H2917" i="11"/>
  <c r="H3032" i="11"/>
  <c r="H54" i="11"/>
  <c r="H183" i="11"/>
  <c r="H252" i="11"/>
  <c r="H434" i="11"/>
  <c r="H496" i="11"/>
  <c r="H607" i="11"/>
  <c r="H803" i="11"/>
  <c r="H909" i="11"/>
  <c r="H1019" i="11"/>
  <c r="H1127" i="11"/>
  <c r="H1237" i="11"/>
  <c r="H1349" i="11"/>
  <c r="H1461" i="11"/>
  <c r="H1570" i="11"/>
  <c r="H1682" i="11"/>
  <c r="H1798" i="11"/>
  <c r="H1909" i="11"/>
  <c r="H2024" i="11"/>
  <c r="H2139" i="11"/>
  <c r="H2253" i="11"/>
  <c r="H2366" i="11"/>
  <c r="H2478" i="11"/>
  <c r="H2593" i="11"/>
  <c r="H2708" i="11"/>
  <c r="H2822" i="11"/>
  <c r="H2937" i="11"/>
  <c r="H3052" i="11"/>
  <c r="H161" i="11"/>
  <c r="H253" i="11"/>
  <c r="H465" i="11"/>
  <c r="H481" i="11"/>
  <c r="H657" i="11"/>
  <c r="H771" i="11"/>
  <c r="H879" i="11"/>
  <c r="H991" i="11"/>
  <c r="H1101" i="11"/>
  <c r="H1210" i="11"/>
  <c r="H1326" i="11"/>
  <c r="H1439" i="11"/>
  <c r="H1553" i="11"/>
  <c r="H1665" i="11"/>
  <c r="H1781" i="11"/>
  <c r="H1892" i="11"/>
  <c r="H2009" i="11"/>
  <c r="H2125" i="11"/>
  <c r="H2238" i="11"/>
  <c r="H2353" i="11"/>
  <c r="H2466" i="11"/>
  <c r="H2581" i="11"/>
  <c r="H2696" i="11"/>
  <c r="H2810" i="11"/>
  <c r="H2924" i="11"/>
  <c r="H3039" i="11"/>
  <c r="H55" i="11"/>
  <c r="H184" i="11"/>
  <c r="H289" i="11"/>
  <c r="H397" i="11"/>
  <c r="H506" i="11"/>
  <c r="H658" i="11"/>
  <c r="H813" i="11"/>
  <c r="H916" i="11"/>
  <c r="H1026" i="11"/>
  <c r="H1134" i="11"/>
  <c r="H1242" i="11"/>
  <c r="H1355" i="11"/>
  <c r="H1466" i="11"/>
  <c r="H1574" i="11"/>
  <c r="H1686" i="11"/>
  <c r="H1799" i="11"/>
  <c r="H1912" i="11"/>
  <c r="H2027" i="11"/>
  <c r="H2141" i="11"/>
  <c r="H2255" i="11"/>
  <c r="H2367" i="11"/>
  <c r="H2481" i="11"/>
  <c r="H2595" i="11"/>
  <c r="H2710" i="11"/>
  <c r="H2824" i="11"/>
  <c r="H2938" i="11"/>
  <c r="H3053" i="11"/>
  <c r="H56" i="11"/>
  <c r="H233" i="11"/>
  <c r="H290" i="11"/>
  <c r="H450" i="11"/>
  <c r="H507" i="11"/>
  <c r="H643" i="11"/>
  <c r="H772" i="11"/>
  <c r="H880" i="11"/>
  <c r="H992" i="11"/>
  <c r="H1102" i="11"/>
  <c r="H1211" i="11"/>
  <c r="H1344" i="11"/>
  <c r="H1401" i="11"/>
  <c r="H1625" i="11"/>
  <c r="H1734" i="11"/>
  <c r="H1844" i="11"/>
  <c r="H1954" i="11"/>
  <c r="H2089" i="11"/>
  <c r="H2200" i="11"/>
  <c r="H2312" i="11"/>
  <c r="H2424" i="11"/>
  <c r="H2536" i="11"/>
  <c r="H2646" i="11"/>
  <c r="H2760" i="11"/>
  <c r="H2871" i="11"/>
  <c r="H2984" i="11"/>
  <c r="H3099" i="11"/>
  <c r="H86" i="11"/>
  <c r="H162" i="11"/>
  <c r="H313" i="11"/>
  <c r="H435" i="11"/>
  <c r="H522" i="11"/>
  <c r="H618" i="11"/>
  <c r="H732" i="11"/>
  <c r="H843" i="11"/>
  <c r="H958" i="11"/>
  <c r="H1072" i="11"/>
  <c r="H1186" i="11"/>
  <c r="H1302" i="11"/>
  <c r="H1509" i="11"/>
  <c r="H1617" i="11"/>
  <c r="H1741" i="11"/>
  <c r="H1851" i="11"/>
  <c r="H1961" i="11"/>
  <c r="H1997" i="11"/>
  <c r="H2114" i="11"/>
  <c r="H2256" i="11"/>
  <c r="H2368" i="11"/>
  <c r="H2549" i="11"/>
  <c r="H2659" i="11"/>
  <c r="H2772" i="11"/>
  <c r="H2883" i="11"/>
  <c r="H2996" i="11"/>
  <c r="H3111" i="11"/>
  <c r="H87" i="11"/>
  <c r="H185" i="11"/>
  <c r="H291" i="11"/>
  <c r="H399" i="11"/>
  <c r="H508" i="11"/>
  <c r="H619" i="11"/>
  <c r="J2" i="21"/>
  <c r="J3" i="21"/>
  <c r="J4" i="21"/>
  <c r="J5" i="21"/>
  <c r="J6" i="21"/>
  <c r="J7" i="21"/>
  <c r="J8" i="21"/>
  <c r="J9" i="21"/>
  <c r="J10" i="21"/>
  <c r="J11" i="21"/>
  <c r="J12" i="21"/>
  <c r="J13" i="21"/>
  <c r="J14" i="21"/>
  <c r="J15" i="21"/>
  <c r="J16" i="21"/>
  <c r="J17" i="21"/>
  <c r="J18" i="21"/>
  <c r="J19" i="21"/>
  <c r="J20" i="21"/>
  <c r="J21" i="21"/>
  <c r="J22" i="21"/>
  <c r="J23" i="21"/>
  <c r="J24" i="21"/>
  <c r="J25" i="21"/>
  <c r="J26" i="21"/>
  <c r="J27" i="21"/>
  <c r="J28" i="21"/>
  <c r="J29" i="21"/>
  <c r="J30" i="21"/>
  <c r="J31" i="21"/>
  <c r="J32" i="21"/>
  <c r="J33" i="21"/>
  <c r="J34" i="21"/>
  <c r="J35" i="21"/>
  <c r="J36" i="21"/>
  <c r="J37" i="21"/>
  <c r="J38" i="21"/>
  <c r="J39" i="21"/>
  <c r="J40" i="21"/>
  <c r="J41" i="21"/>
  <c r="J42" i="21"/>
  <c r="J43" i="21"/>
  <c r="J44" i="21"/>
  <c r="J45" i="21"/>
  <c r="J46" i="21"/>
  <c r="J47" i="21"/>
  <c r="J48" i="21"/>
  <c r="J49" i="21"/>
  <c r="J50" i="21"/>
  <c r="J51" i="21"/>
  <c r="H1505" i="11" s="1"/>
  <c r="J52" i="21"/>
  <c r="J53" i="21"/>
  <c r="J54" i="21"/>
  <c r="J55" i="21"/>
  <c r="J56" i="21"/>
  <c r="J57" i="21"/>
  <c r="J58" i="21"/>
  <c r="J59" i="21"/>
  <c r="J60" i="21"/>
  <c r="J61" i="21"/>
  <c r="J62" i="21"/>
  <c r="J63" i="21"/>
  <c r="J64" i="21"/>
  <c r="J65" i="21"/>
  <c r="J66" i="21"/>
  <c r="J67" i="21"/>
  <c r="J68" i="21"/>
  <c r="J69" i="21"/>
  <c r="J70" i="21"/>
  <c r="J71" i="21"/>
  <c r="J72" i="21"/>
  <c r="J73" i="21"/>
  <c r="J74" i="21"/>
  <c r="J75" i="21"/>
  <c r="J76" i="21"/>
  <c r="J77" i="21"/>
  <c r="J78" i="21"/>
  <c r="J79" i="21"/>
  <c r="J80" i="21"/>
  <c r="J81" i="21"/>
  <c r="J82" i="21"/>
  <c r="J83" i="21"/>
  <c r="J84" i="21"/>
  <c r="J85" i="21"/>
  <c r="J86" i="21"/>
  <c r="J87" i="21"/>
  <c r="J88" i="21"/>
  <c r="J89" i="21"/>
  <c r="J90" i="21"/>
  <c r="J91" i="21"/>
  <c r="J92" i="21"/>
  <c r="J93" i="21"/>
  <c r="J94" i="21"/>
  <c r="J95" i="21"/>
  <c r="J96" i="21"/>
  <c r="J97" i="21"/>
  <c r="J98" i="21"/>
  <c r="J99" i="21"/>
  <c r="J100" i="21"/>
  <c r="J101" i="21"/>
  <c r="J102" i="21"/>
  <c r="J103" i="21"/>
  <c r="J104" i="21"/>
  <c r="J105" i="21"/>
  <c r="J106" i="21"/>
  <c r="J107" i="21"/>
  <c r="J108" i="21"/>
  <c r="J109" i="21"/>
  <c r="J110" i="21"/>
  <c r="J111" i="21"/>
  <c r="J112" i="21"/>
  <c r="J113" i="21"/>
  <c r="J114" i="21"/>
  <c r="J115" i="21"/>
  <c r="J116" i="21"/>
  <c r="J117" i="21"/>
  <c r="J118" i="21"/>
  <c r="J119" i="21"/>
  <c r="J120" i="21"/>
  <c r="J121" i="21"/>
  <c r="J122" i="21"/>
  <c r="J123" i="21"/>
  <c r="J124" i="21"/>
  <c r="J125" i="21"/>
  <c r="J126" i="21"/>
  <c r="J127" i="21"/>
  <c r="J128" i="21"/>
  <c r="J129" i="21"/>
  <c r="J130" i="21"/>
  <c r="J131" i="21"/>
  <c r="J132" i="21"/>
  <c r="J133" i="21"/>
  <c r="J134" i="21"/>
  <c r="J135" i="21"/>
  <c r="Q773" i="11"/>
  <c r="Q881" i="11"/>
  <c r="Q993" i="11"/>
  <c r="Q1103" i="11"/>
  <c r="Q1213" i="11"/>
  <c r="Q1327" i="11"/>
  <c r="Q1440" i="11"/>
  <c r="Q1583" i="11"/>
  <c r="Q1666" i="11"/>
  <c r="Q1782" i="11"/>
  <c r="Q1893" i="11"/>
  <c r="Q2010" i="11"/>
  <c r="Q2126" i="11"/>
  <c r="Q2239" i="11"/>
  <c r="Q2354" i="11"/>
  <c r="Q2467" i="11"/>
  <c r="Q2582" i="11"/>
  <c r="Q2697" i="11"/>
  <c r="Q2811" i="11"/>
  <c r="Q2925" i="11"/>
  <c r="Q3040" i="11"/>
  <c r="Q88" i="11"/>
  <c r="Q164" i="11"/>
  <c r="Q234" i="11"/>
  <c r="Q418" i="11"/>
  <c r="Q524" i="11"/>
  <c r="Q594" i="11"/>
  <c r="Q794" i="11"/>
  <c r="Q902" i="11"/>
  <c r="Q1012" i="11"/>
  <c r="Q1122" i="11"/>
  <c r="Q1232" i="11"/>
  <c r="Q1345" i="11"/>
  <c r="Q1456" i="11"/>
  <c r="Q1565" i="11"/>
  <c r="Q1727" i="11"/>
  <c r="Q1838" i="11"/>
  <c r="Q1948" i="11"/>
  <c r="Q2061" i="11"/>
  <c r="Q2148" i="11"/>
  <c r="Q2287" i="11"/>
  <c r="Q2399" i="11"/>
  <c r="Q2511" i="11"/>
  <c r="Q2623" i="11"/>
  <c r="Q2737" i="11"/>
  <c r="Q2850" i="11"/>
  <c r="Q2963" i="11"/>
  <c r="Q3079" i="11"/>
  <c r="Q89" i="11"/>
  <c r="Q118" i="11"/>
  <c r="Q292" i="11"/>
  <c r="Q451" i="11"/>
  <c r="Q525" i="11"/>
  <c r="Q608" i="11"/>
  <c r="Q721" i="11"/>
  <c r="Q834" i="11"/>
  <c r="Q950" i="11"/>
  <c r="Q1064" i="11"/>
  <c r="Q1178" i="11"/>
  <c r="Q1294" i="11"/>
  <c r="Q1409" i="11"/>
  <c r="Q1524" i="11"/>
  <c r="Q1639" i="11"/>
  <c r="Q1753" i="11"/>
  <c r="Q1869" i="11"/>
  <c r="Q1985" i="11"/>
  <c r="Q2102" i="11"/>
  <c r="Q2212" i="11"/>
  <c r="Q2433" i="11"/>
  <c r="Q2545" i="11"/>
  <c r="Q2655" i="11"/>
  <c r="Q2768" i="11"/>
  <c r="Q2879" i="11"/>
  <c r="Q2992" i="11"/>
  <c r="Q3107" i="11"/>
  <c r="Q57" i="11"/>
  <c r="Q141" i="11"/>
  <c r="Q274" i="11"/>
  <c r="Q400" i="11"/>
  <c r="Q541" i="11"/>
  <c r="Q620" i="11"/>
  <c r="Q774" i="11"/>
  <c r="Q882" i="11"/>
  <c r="Q994" i="11"/>
  <c r="Q1104" i="11"/>
  <c r="Q1262" i="11"/>
  <c r="Q1373" i="11"/>
  <c r="Q1502" i="11"/>
  <c r="Q1609" i="11"/>
  <c r="Q1719" i="11"/>
  <c r="Q1830" i="11"/>
  <c r="Q1941" i="11"/>
  <c r="Q2055" i="11"/>
  <c r="Q2167" i="11"/>
  <c r="Q2240" i="11"/>
  <c r="Q2394" i="11"/>
  <c r="Q2506" i="11"/>
  <c r="Q2618" i="11"/>
  <c r="Q2733" i="11"/>
  <c r="Q2846" i="11"/>
  <c r="Q2959" i="11"/>
  <c r="Q3075" i="11"/>
  <c r="Q29" i="11"/>
  <c r="Q165" i="11"/>
  <c r="Q254" i="11"/>
  <c r="Q436" i="11"/>
  <c r="Q555" i="11"/>
  <c r="Q633" i="11"/>
  <c r="Q746" i="11"/>
  <c r="Q856" i="11"/>
  <c r="Q969" i="11"/>
  <c r="Q1083" i="11"/>
  <c r="Q1253" i="11"/>
  <c r="Q1385" i="11"/>
  <c r="Q1494" i="11"/>
  <c r="Q1602" i="11"/>
  <c r="Q1712" i="11"/>
  <c r="Q1825" i="11"/>
  <c r="Q1919" i="11"/>
  <c r="Q2050" i="11"/>
  <c r="Q2162" i="11"/>
  <c r="Q2277" i="11"/>
  <c r="Q2390" i="11"/>
  <c r="Q2502" i="11"/>
  <c r="Q2614" i="11"/>
  <c r="Q2670" i="11"/>
  <c r="Q2825" i="11"/>
  <c r="Q2956" i="11"/>
  <c r="Q3070" i="11"/>
  <c r="Q2" i="11"/>
  <c r="Q209" i="11"/>
  <c r="Q235" i="11"/>
  <c r="Q401" i="11"/>
  <c r="Q569" i="11"/>
  <c r="Q659" i="11"/>
  <c r="Q795" i="11"/>
  <c r="Q903" i="11"/>
  <c r="Q1013" i="11"/>
  <c r="Q1123" i="11"/>
  <c r="Q1270" i="11"/>
  <c r="Q1379" i="11"/>
  <c r="Q1487" i="11"/>
  <c r="Q1596" i="11"/>
  <c r="Q1706" i="11"/>
  <c r="Q1819" i="11"/>
  <c r="Q1930" i="11"/>
  <c r="Q2044" i="11"/>
  <c r="Q2157" i="11"/>
  <c r="Q2272" i="11"/>
  <c r="Q2385" i="11"/>
  <c r="Q2497" i="11"/>
  <c r="Q2609" i="11"/>
  <c r="Q2725" i="11"/>
  <c r="Q2839" i="11"/>
  <c r="Q2952" i="11"/>
  <c r="Q3066" i="11"/>
  <c r="Q210" i="11"/>
  <c r="Q255" i="11"/>
  <c r="Q382" i="11"/>
  <c r="Q556" i="11"/>
  <c r="Q672" i="11"/>
  <c r="Q775" i="11"/>
  <c r="Q883" i="11"/>
  <c r="Q995" i="11"/>
  <c r="Q1105" i="11"/>
  <c r="Q1214" i="11"/>
  <c r="Q1356" i="11"/>
  <c r="Q1441" i="11"/>
  <c r="Q1554" i="11"/>
  <c r="Q1667" i="11"/>
  <c r="Q1852" i="11"/>
  <c r="Q1969" i="11"/>
  <c r="Q2078" i="11"/>
  <c r="Q2191" i="11"/>
  <c r="Q2304" i="11"/>
  <c r="Q2416" i="11"/>
  <c r="Q2528" i="11"/>
  <c r="Q2639" i="11"/>
  <c r="Q2753" i="11"/>
  <c r="Q2864" i="11"/>
  <c r="Q2944" i="11"/>
  <c r="Q3093" i="11"/>
  <c r="Q58" i="11"/>
  <c r="Q186" i="11"/>
  <c r="Q275" i="11"/>
  <c r="Q366" i="11"/>
  <c r="Q542" i="11"/>
  <c r="Q684" i="11"/>
  <c r="Q784" i="11"/>
  <c r="Q892" i="11"/>
  <c r="Q1002" i="11"/>
  <c r="Q1113" i="11"/>
  <c r="Q1222" i="11"/>
  <c r="Q1336" i="11"/>
  <c r="Q1448" i="11"/>
  <c r="Q1559" i="11"/>
  <c r="Q1673" i="11"/>
  <c r="Q1788" i="11"/>
  <c r="Q1899" i="11"/>
  <c r="Q2016" i="11"/>
  <c r="Q2131" i="11"/>
  <c r="Q2245" i="11"/>
  <c r="Q2359" i="11"/>
  <c r="Q2472" i="11"/>
  <c r="Q2587" i="11"/>
  <c r="Q2702" i="11"/>
  <c r="Q2816" i="11"/>
  <c r="Q2930" i="11"/>
  <c r="Q3045" i="11"/>
  <c r="Q90" i="11"/>
  <c r="Q166" i="11"/>
  <c r="Q293" i="11"/>
  <c r="Q350" i="11"/>
  <c r="Q526" i="11"/>
  <c r="Q685" i="11"/>
  <c r="Q698" i="11"/>
  <c r="Q814" i="11"/>
  <c r="Q930" i="11"/>
  <c r="Q1154" i="11"/>
  <c r="Q1254" i="11"/>
  <c r="Q1374" i="11"/>
  <c r="Q1481" i="11"/>
  <c r="Q1531" i="11"/>
  <c r="Q1699" i="11"/>
  <c r="Q1814" i="11"/>
  <c r="Q1926" i="11"/>
  <c r="Q2011" i="11"/>
  <c r="Q2201" i="11"/>
  <c r="Q2313" i="11"/>
  <c r="Q2425" i="11"/>
  <c r="Q2537" i="11"/>
  <c r="Q2647" i="11"/>
  <c r="Q2761" i="11"/>
  <c r="Q2872" i="11"/>
  <c r="Q2985" i="11"/>
  <c r="Q3100" i="11"/>
  <c r="Q91" i="11"/>
  <c r="Q142" i="11"/>
  <c r="Q314" i="11"/>
  <c r="Q351" i="11"/>
  <c r="Q509" i="11"/>
  <c r="Q673" i="11"/>
  <c r="Q805" i="11"/>
  <c r="Q867" i="11"/>
  <c r="Q1021" i="11"/>
  <c r="Q1129" i="11"/>
  <c r="Q1238" i="11"/>
  <c r="Q1364" i="11"/>
  <c r="Q1463" i="11"/>
  <c r="Q1572" i="11"/>
  <c r="Q1684" i="11"/>
  <c r="Q1845" i="11"/>
  <c r="Q1955" i="11"/>
  <c r="Q2067" i="11"/>
  <c r="Q2179" i="11"/>
  <c r="Q2293" i="11"/>
  <c r="Q2405" i="11"/>
  <c r="Q2517" i="11"/>
  <c r="Q2628" i="11"/>
  <c r="Q2742" i="11"/>
  <c r="Q2854" i="11"/>
  <c r="Q2968" i="11"/>
  <c r="Q3083" i="11"/>
  <c r="Q59" i="11"/>
  <c r="Q119" i="11"/>
  <c r="Q333" i="11"/>
  <c r="Q367" i="11"/>
  <c r="Q497" i="11"/>
  <c r="Q660" i="11"/>
  <c r="Q776" i="11"/>
  <c r="Q884" i="11"/>
  <c r="Q996" i="11"/>
  <c r="Q1155" i="11"/>
  <c r="Q1263" i="11"/>
  <c r="Q1375" i="11"/>
  <c r="Q1474" i="11"/>
  <c r="Q1591" i="11"/>
  <c r="Q1735" i="11"/>
  <c r="Q1815" i="11"/>
  <c r="Q1927" i="11"/>
  <c r="Q2040" i="11"/>
  <c r="Q2153" i="11"/>
  <c r="Q2268" i="11"/>
  <c r="Q2381" i="11"/>
  <c r="Q2493" i="11"/>
  <c r="Q2606" i="11"/>
  <c r="Q2722" i="11"/>
  <c r="Q2836" i="11"/>
  <c r="Q2949" i="11"/>
  <c r="Q3063" i="11"/>
  <c r="Q92" i="11"/>
  <c r="Q187" i="11"/>
  <c r="Q334" i="11"/>
  <c r="Q402" i="11"/>
  <c r="Q543" i="11"/>
  <c r="Q661" i="11"/>
  <c r="Q722" i="11"/>
  <c r="Q917" i="11"/>
  <c r="Q1003" i="11"/>
  <c r="Q1135" i="11"/>
  <c r="Q1243" i="11"/>
  <c r="Q1357" i="11"/>
  <c r="Q1467" i="11"/>
  <c r="Q1575" i="11"/>
  <c r="Q1687" i="11"/>
  <c r="Q1801" i="11"/>
  <c r="Q1913" i="11"/>
  <c r="Q2028" i="11"/>
  <c r="Q2142" i="11"/>
  <c r="Q2257" i="11"/>
  <c r="Q2369" i="11"/>
  <c r="Q2482" i="11"/>
  <c r="Q2596" i="11"/>
  <c r="Q2711" i="11"/>
  <c r="Q2826" i="11"/>
  <c r="Q2939" i="11"/>
  <c r="Q3054" i="11"/>
  <c r="Q60" i="11"/>
  <c r="Q211" i="11"/>
  <c r="Q335" i="11"/>
  <c r="Q368" i="11"/>
  <c r="Q482" i="11"/>
  <c r="Q582" i="11"/>
  <c r="Q723" i="11"/>
  <c r="Q835" i="11"/>
  <c r="Q951" i="11"/>
  <c r="Q1065" i="11"/>
  <c r="Q1271" i="11"/>
  <c r="Q1380" i="11"/>
  <c r="Q1488" i="11"/>
  <c r="Q1597" i="11"/>
  <c r="Q1736" i="11"/>
  <c r="Q1846" i="11"/>
  <c r="Q1956" i="11"/>
  <c r="Q2068" i="11"/>
  <c r="Q2180" i="11"/>
  <c r="Q2318" i="11"/>
  <c r="Q2429" i="11"/>
  <c r="Q2541" i="11"/>
  <c r="Q2652" i="11"/>
  <c r="Q2765" i="11"/>
  <c r="Q2876" i="11"/>
  <c r="Q2989" i="11"/>
  <c r="Q3104" i="11"/>
  <c r="Q31" i="11"/>
  <c r="Q212" i="11"/>
  <c r="Q315" i="11"/>
  <c r="Q352" i="11"/>
  <c r="Q570" i="11"/>
  <c r="Q583" i="11"/>
  <c r="Q733" i="11"/>
  <c r="Q844" i="11"/>
  <c r="Q959" i="11"/>
  <c r="Q1073" i="11"/>
  <c r="Q1187" i="11"/>
  <c r="Q1386" i="11"/>
  <c r="Q1495" i="11"/>
  <c r="Q1603" i="11"/>
  <c r="Q1713" i="11"/>
  <c r="Q1826" i="11"/>
  <c r="Q1936" i="11"/>
  <c r="Q2051" i="11"/>
  <c r="Q2163" i="11"/>
  <c r="Q2278" i="11"/>
  <c r="Q2391" i="11"/>
  <c r="Q2503" i="11"/>
  <c r="Q2615" i="11"/>
  <c r="Q2730" i="11"/>
  <c r="Q2843" i="11"/>
  <c r="Q2957" i="11"/>
  <c r="Q3128" i="11"/>
  <c r="Q3" i="11"/>
  <c r="Q188" i="11"/>
  <c r="Q294" i="11"/>
  <c r="Q353" i="11"/>
  <c r="Q571" i="11"/>
  <c r="Q609" i="11"/>
  <c r="Q734" i="11"/>
  <c r="Q918" i="11"/>
  <c r="Q1027" i="11"/>
  <c r="Q1136" i="11"/>
  <c r="Q1244" i="11"/>
  <c r="Q1358" i="11"/>
  <c r="Q1468" i="11"/>
  <c r="Q1576" i="11"/>
  <c r="Q1688" i="11"/>
  <c r="Q1802" i="11"/>
  <c r="Q1914" i="11"/>
  <c r="Q2029" i="11"/>
  <c r="Q2143" i="11"/>
  <c r="Q2319" i="11"/>
  <c r="Q2430" i="11"/>
  <c r="Q2523" i="11"/>
  <c r="Q2653" i="11"/>
  <c r="Q2766" i="11"/>
  <c r="Q2791" i="11"/>
  <c r="Q2920" i="11"/>
  <c r="Q3105" i="11"/>
  <c r="Q32" i="11"/>
  <c r="Q120" i="11"/>
  <c r="Q336" i="11"/>
  <c r="Q383" i="11"/>
  <c r="Q483" i="11"/>
  <c r="Q644" i="11"/>
  <c r="Q747" i="11"/>
  <c r="Q857" i="11"/>
  <c r="Q970" i="11"/>
  <c r="Q1084" i="11"/>
  <c r="Q1196" i="11"/>
  <c r="Q1312" i="11"/>
  <c r="Q1426" i="11"/>
  <c r="Q1539" i="11"/>
  <c r="Q1652" i="11"/>
  <c r="Q1769" i="11"/>
  <c r="Q1881" i="11"/>
  <c r="Q1998" i="11"/>
  <c r="Q2115" i="11"/>
  <c r="Q2228" i="11"/>
  <c r="Q2343" i="11"/>
  <c r="Q2458" i="11"/>
  <c r="Q2573" i="11"/>
  <c r="Q2688" i="11"/>
  <c r="Q2803" i="11"/>
  <c r="Q2918" i="11"/>
  <c r="Q3033" i="11"/>
  <c r="Q4" i="11"/>
  <c r="Q167" i="11"/>
  <c r="Q236" i="11"/>
  <c r="Q369" i="11"/>
  <c r="Q557" i="11"/>
  <c r="Q621" i="11"/>
  <c r="Q804" i="11"/>
  <c r="Q910" i="11"/>
  <c r="Q1020" i="11"/>
  <c r="Q1128" i="11"/>
  <c r="Q1212" i="11"/>
  <c r="Q1350" i="11"/>
  <c r="Q1462" i="11"/>
  <c r="Q1571" i="11"/>
  <c r="Q1683" i="11"/>
  <c r="Q1800" i="11"/>
  <c r="Q1868" i="11"/>
  <c r="Q1984" i="11"/>
  <c r="Q2161" i="11"/>
  <c r="Q2276" i="11"/>
  <c r="Q2389" i="11"/>
  <c r="Q2479" i="11"/>
  <c r="Q2594" i="11"/>
  <c r="Q2709" i="11"/>
  <c r="Q2823" i="11"/>
  <c r="Q3009" i="11"/>
  <c r="Q3127" i="11"/>
  <c r="Q117" i="11"/>
  <c r="Q163" i="11"/>
  <c r="Q273" i="11"/>
  <c r="Q398" i="11"/>
  <c r="Q523" i="11"/>
  <c r="Q593" i="11"/>
  <c r="Q806" i="11"/>
  <c r="Q845" i="11"/>
  <c r="Q971" i="11"/>
  <c r="Q1156" i="11"/>
  <c r="Q1264" i="11"/>
  <c r="Q1318" i="11"/>
  <c r="Q1482" i="11"/>
  <c r="Q1592" i="11"/>
  <c r="Q1700" i="11"/>
  <c r="Q1803" i="11"/>
  <c r="Q1915" i="11"/>
  <c r="Q2041" i="11"/>
  <c r="Q2154" i="11"/>
  <c r="Q2263" i="11"/>
  <c r="Q2382" i="11"/>
  <c r="Q2494" i="11"/>
  <c r="Q2607" i="11"/>
  <c r="Q2683" i="11"/>
  <c r="Q2812" i="11"/>
  <c r="Q3014" i="11"/>
  <c r="Q3071" i="11"/>
  <c r="Q93" i="11"/>
  <c r="Q121" i="11"/>
  <c r="Q276" i="11"/>
  <c r="Q370" i="11"/>
  <c r="Q498" i="11"/>
  <c r="Q595" i="11"/>
  <c r="Q735" i="11"/>
  <c r="Q919" i="11"/>
  <c r="Q1028" i="11"/>
  <c r="Q1106" i="11"/>
  <c r="Q1245" i="11"/>
  <c r="Q1359" i="11"/>
  <c r="Q1469" i="11"/>
  <c r="Q1577" i="11"/>
  <c r="Q1689" i="11"/>
  <c r="Q1807" i="11"/>
  <c r="Q1885" i="11"/>
  <c r="Q2030" i="11"/>
  <c r="Q2144" i="11"/>
  <c r="Q2258" i="11"/>
  <c r="Q2370" i="11"/>
  <c r="Q2483" i="11"/>
  <c r="Q2597" i="11"/>
  <c r="Q2712" i="11"/>
  <c r="Q2827" i="11"/>
  <c r="Q2940" i="11"/>
  <c r="Q3055" i="11"/>
  <c r="Q5" i="11"/>
  <c r="Q143" i="11"/>
  <c r="Q316" i="11"/>
  <c r="Q403" i="11"/>
  <c r="Q466" i="11"/>
  <c r="Q645" i="11"/>
  <c r="Q710" i="11"/>
  <c r="Q893" i="11"/>
  <c r="Q940" i="11"/>
  <c r="Q1046" i="11"/>
  <c r="Q1162" i="11"/>
  <c r="Q1319" i="11"/>
  <c r="Q1402" i="11"/>
  <c r="Q1560" i="11"/>
  <c r="Q1633" i="11"/>
  <c r="Q1789" i="11"/>
  <c r="Q1900" i="11"/>
  <c r="Q2017" i="11"/>
  <c r="Q2132" i="11"/>
  <c r="Q2246" i="11"/>
  <c r="Q2360" i="11"/>
  <c r="Q2473" i="11"/>
  <c r="Q2588" i="11"/>
  <c r="Q2703" i="11"/>
  <c r="Q2817" i="11"/>
  <c r="Q2931" i="11"/>
  <c r="Q3046" i="11"/>
  <c r="Q6" i="11"/>
  <c r="Q168" i="11"/>
  <c r="Q295" i="11"/>
  <c r="Q419" i="11"/>
  <c r="Q467" i="11"/>
  <c r="Q622" i="11"/>
  <c r="Q807" i="11"/>
  <c r="Q911" i="11"/>
  <c r="Q1022" i="11"/>
  <c r="Q1130" i="11"/>
  <c r="Q1239" i="11"/>
  <c r="Q1351" i="11"/>
  <c r="Q1464" i="11"/>
  <c r="Q1578" i="11"/>
  <c r="Q1737" i="11"/>
  <c r="Q1847" i="11"/>
  <c r="Q1957" i="11"/>
  <c r="Q2069" i="11"/>
  <c r="Q2181" i="11"/>
  <c r="Q2294" i="11"/>
  <c r="Q2406" i="11"/>
  <c r="Q2518" i="11"/>
  <c r="Q2629" i="11"/>
  <c r="Q2743" i="11"/>
  <c r="Q2855" i="11"/>
  <c r="Q2969" i="11"/>
  <c r="Q3084" i="11"/>
  <c r="Q33" i="11"/>
  <c r="Q189" i="11"/>
  <c r="Q277" i="11"/>
  <c r="Q437" i="11"/>
  <c r="Q484" i="11"/>
  <c r="Q610" i="11"/>
  <c r="Q711" i="11"/>
  <c r="Q825" i="11"/>
  <c r="Q941" i="11"/>
  <c r="Q1056" i="11"/>
  <c r="Q1171" i="11"/>
  <c r="Q1381" i="11"/>
  <c r="Q1503" i="11"/>
  <c r="Q1610" i="11"/>
  <c r="Q1720" i="11"/>
  <c r="Q1831" i="11"/>
  <c r="Q1942" i="11"/>
  <c r="Q2056" i="11"/>
  <c r="Q2168" i="11"/>
  <c r="Q2282" i="11"/>
  <c r="Q2395" i="11"/>
  <c r="Q2438" i="11"/>
  <c r="Q2619" i="11"/>
  <c r="Q2734" i="11"/>
  <c r="Q2859" i="11"/>
  <c r="Q2934" i="11"/>
  <c r="Q3130" i="11"/>
  <c r="Q34" i="11"/>
  <c r="Q144" i="11"/>
  <c r="Q256" i="11"/>
  <c r="Q384" i="11"/>
  <c r="Q544" i="11"/>
  <c r="Q634" i="11"/>
  <c r="Q785" i="11"/>
  <c r="Q894" i="11"/>
  <c r="Q1004" i="11"/>
  <c r="Q1114" i="11"/>
  <c r="Q1223" i="11"/>
  <c r="Q1337" i="11"/>
  <c r="Q1449" i="11"/>
  <c r="Q1561" i="11"/>
  <c r="Q1674" i="11"/>
  <c r="Q1790" i="11"/>
  <c r="Q1901" i="11"/>
  <c r="Q2018" i="11"/>
  <c r="Q2133" i="11"/>
  <c r="Q2247" i="11"/>
  <c r="Q2361" i="11"/>
  <c r="Q2474" i="11"/>
  <c r="Q2589" i="11"/>
  <c r="Q2704" i="11"/>
  <c r="Q2818" i="11"/>
  <c r="Q2932" i="11"/>
  <c r="Q3047" i="11"/>
  <c r="Q61" i="11"/>
  <c r="Q122" i="11"/>
  <c r="Q237" i="11"/>
  <c r="Q404" i="11"/>
  <c r="Q527" i="11"/>
  <c r="Q646" i="11"/>
  <c r="Q699" i="11"/>
  <c r="Q815" i="11"/>
  <c r="Q931" i="11"/>
  <c r="Q1047" i="11"/>
  <c r="Q1163" i="11"/>
  <c r="Q1278" i="11"/>
  <c r="Q1394" i="11"/>
  <c r="Q1510" i="11"/>
  <c r="Q1626" i="11"/>
  <c r="Q1742" i="11"/>
  <c r="Q1858" i="11"/>
  <c r="Q1974" i="11"/>
  <c r="Q2090" i="11"/>
  <c r="Q2206" i="11"/>
  <c r="Q2322" i="11"/>
  <c r="Q2439" i="11"/>
  <c r="Q2554" i="11"/>
  <c r="Q2671" i="11"/>
  <c r="Q2786" i="11"/>
  <c r="Q2902" i="11"/>
  <c r="Q3018" i="11"/>
  <c r="Q94" i="11"/>
  <c r="Q123" i="11"/>
  <c r="Q238" i="11"/>
  <c r="Q420" i="11"/>
  <c r="Q510" i="11"/>
  <c r="Q662" i="11"/>
  <c r="Q760" i="11"/>
  <c r="Q895" i="11"/>
  <c r="Q1005" i="11"/>
  <c r="Q1157" i="11"/>
  <c r="Q1265" i="11"/>
  <c r="Q1376" i="11"/>
  <c r="Q1483" i="11"/>
  <c r="Q1593" i="11"/>
  <c r="Q1701" i="11"/>
  <c r="Q1853" i="11"/>
  <c r="Q1962" i="11"/>
  <c r="Q2072" i="11"/>
  <c r="Q2202" i="11"/>
  <c r="Q2314" i="11"/>
  <c r="Q2426" i="11"/>
  <c r="Q2538" i="11"/>
  <c r="Q2648" i="11"/>
  <c r="Q2762" i="11"/>
  <c r="Q2893" i="11"/>
  <c r="Q3015" i="11"/>
  <c r="Q3121" i="11"/>
  <c r="Q95" i="11"/>
  <c r="Q145" i="11"/>
  <c r="Q257" i="11"/>
  <c r="Q438" i="11"/>
  <c r="Q572" i="11"/>
  <c r="Q674" i="11"/>
  <c r="Q796" i="11"/>
  <c r="Q904" i="11"/>
  <c r="Q1014" i="11"/>
  <c r="Q1124" i="11"/>
  <c r="Q1233" i="11"/>
  <c r="Q1346" i="11"/>
  <c r="Q1457" i="11"/>
  <c r="Q1566" i="11"/>
  <c r="Q1679" i="11"/>
  <c r="Q1794" i="11"/>
  <c r="Q1905" i="11"/>
  <c r="Q2021" i="11"/>
  <c r="Q2136" i="11"/>
  <c r="Q2250" i="11"/>
  <c r="Q2363" i="11"/>
  <c r="Q2476" i="11"/>
  <c r="Q2591" i="11"/>
  <c r="Q2706" i="11"/>
  <c r="Q2820" i="11"/>
  <c r="Q2935" i="11"/>
  <c r="Q3049" i="11"/>
  <c r="Q62" i="11"/>
  <c r="Q169" i="11"/>
  <c r="Q278" i="11"/>
  <c r="Q452" i="11"/>
  <c r="Q485" i="11"/>
  <c r="Q686" i="11"/>
  <c r="Q724" i="11"/>
  <c r="Q836" i="11"/>
  <c r="Q952" i="11"/>
  <c r="Q1092" i="11"/>
  <c r="Q1179" i="11"/>
  <c r="Q1295" i="11"/>
  <c r="Q1410" i="11"/>
  <c r="Q1525" i="11"/>
  <c r="Q1640" i="11"/>
  <c r="Q1754" i="11"/>
  <c r="Q1870" i="11"/>
  <c r="Q1986" i="11"/>
  <c r="Q2103" i="11"/>
  <c r="Q2217" i="11"/>
  <c r="Q2332" i="11"/>
  <c r="Q2448" i="11"/>
  <c r="Q2563" i="11"/>
  <c r="Q2679" i="11"/>
  <c r="Q2897" i="11"/>
  <c r="Q3010" i="11"/>
  <c r="Q3125" i="11"/>
  <c r="Q63" i="11"/>
  <c r="Q190" i="11"/>
  <c r="Q296" i="11"/>
  <c r="Q453" i="11"/>
  <c r="Q468" i="11"/>
  <c r="Q687" i="11"/>
  <c r="Q3140" i="11"/>
  <c r="Q3145" i="11"/>
  <c r="Q3149" i="11"/>
  <c r="Q3154" i="11"/>
  <c r="Q3159" i="11"/>
  <c r="Q3164" i="11"/>
  <c r="Q3168" i="11"/>
  <c r="Q3174" i="11"/>
  <c r="Q3179" i="11"/>
  <c r="Q3184" i="11"/>
  <c r="Q3189" i="11"/>
  <c r="Q3194" i="11"/>
  <c r="Q3199" i="11"/>
  <c r="Q3204" i="11"/>
  <c r="Q3209" i="11"/>
  <c r="Q3215" i="11"/>
  <c r="Q3220" i="11"/>
  <c r="Q3225" i="11"/>
  <c r="Q3230" i="11"/>
  <c r="Q3235" i="11"/>
  <c r="Q3240" i="11"/>
  <c r="Q7" i="11"/>
  <c r="Q3136" i="11"/>
  <c r="Q761" i="11"/>
  <c r="Q868" i="11"/>
  <c r="Q980" i="11"/>
  <c r="Q1093" i="11"/>
  <c r="Q1203" i="11"/>
  <c r="Q1320" i="11"/>
  <c r="Q1433" i="11"/>
  <c r="Q1545" i="11"/>
  <c r="Q1658" i="11"/>
  <c r="Q1774" i="11"/>
  <c r="Q1886" i="11"/>
  <c r="Q2002" i="11"/>
  <c r="Q2119" i="11"/>
  <c r="Q2232" i="11"/>
  <c r="Q2347" i="11"/>
  <c r="Q2461" i="11"/>
  <c r="Q2576" i="11"/>
  <c r="Q2691" i="11"/>
  <c r="Q2806" i="11"/>
  <c r="Q2921" i="11"/>
  <c r="Q3035" i="11"/>
  <c r="Q8" i="11"/>
  <c r="Q214" i="11"/>
  <c r="Q337" i="11"/>
  <c r="Q421" i="11"/>
  <c r="Q486" i="11"/>
  <c r="Q663" i="11"/>
  <c r="Q736" i="11"/>
  <c r="Q846" i="11"/>
  <c r="Q960" i="11"/>
  <c r="Q1074" i="11"/>
  <c r="Q1188" i="11"/>
  <c r="Q1303" i="11"/>
  <c r="Q1417" i="11"/>
  <c r="Q1532" i="11"/>
  <c r="Q1645" i="11"/>
  <c r="Q1761" i="11"/>
  <c r="Q1875" i="11"/>
  <c r="Q1991" i="11"/>
  <c r="Q2108" i="11"/>
  <c r="Q2222" i="11"/>
  <c r="Q2337" i="11"/>
  <c r="Q2453" i="11"/>
  <c r="Q2568" i="11"/>
  <c r="Q2684" i="11"/>
  <c r="Q2799" i="11"/>
  <c r="Q2914" i="11"/>
  <c r="Q3056" i="11"/>
  <c r="Q35" i="11"/>
  <c r="Q191" i="11"/>
  <c r="Q338" i="11"/>
  <c r="Q405" i="11"/>
  <c r="Q499" i="11"/>
  <c r="Q647" i="11"/>
  <c r="Q808" i="11"/>
  <c r="Q912" i="11"/>
  <c r="Q961" i="11"/>
  <c r="Q1131" i="11"/>
  <c r="Q1240" i="11"/>
  <c r="Q1352" i="11"/>
  <c r="Q1465" i="11"/>
  <c r="Q1573" i="11"/>
  <c r="Q1721" i="11"/>
  <c r="Q1808" i="11"/>
  <c r="Q1910" i="11"/>
  <c r="Q2025" i="11"/>
  <c r="Q2109" i="11"/>
  <c r="Q2223" i="11"/>
  <c r="Q2434" i="11"/>
  <c r="Q2542" i="11"/>
  <c r="Q2569" i="11"/>
  <c r="Q2692" i="11"/>
  <c r="Q2787" i="11"/>
  <c r="Q2903" i="11"/>
  <c r="Q3036" i="11"/>
  <c r="Q64" i="11"/>
  <c r="Q170" i="11"/>
  <c r="Q318" i="11"/>
  <c r="Q385" i="11"/>
  <c r="Q511" i="11"/>
  <c r="Q635" i="11"/>
  <c r="Q797" i="11"/>
  <c r="Q847" i="11"/>
  <c r="Q1015" i="11"/>
  <c r="Q1158" i="11"/>
  <c r="Q1266" i="11"/>
  <c r="Q1377" i="11"/>
  <c r="Q1484" i="11"/>
  <c r="Q1611" i="11"/>
  <c r="Q1702" i="11"/>
  <c r="Q1816" i="11"/>
  <c r="Q1963" i="11"/>
  <c r="Q2013" i="11"/>
  <c r="Q2096" i="11"/>
  <c r="Q2269" i="11"/>
  <c r="Q2383" i="11"/>
  <c r="Q2495" i="11"/>
  <c r="Q2598" i="11"/>
  <c r="Q2723" i="11"/>
  <c r="Q2837" i="11"/>
  <c r="Q2950" i="11"/>
  <c r="Q3064" i="11"/>
  <c r="Q96" i="11"/>
  <c r="Q146" i="11"/>
  <c r="Q297" i="11"/>
  <c r="Q371" i="11"/>
  <c r="Q528" i="11"/>
  <c r="Q623" i="11"/>
  <c r="Q798" i="11"/>
  <c r="Q920" i="11"/>
  <c r="Q1029" i="11"/>
  <c r="Q1137" i="11"/>
  <c r="Q1246" i="11"/>
  <c r="Q1387" i="11"/>
  <c r="Q1496" i="11"/>
  <c r="Q1604" i="11"/>
  <c r="Q1714" i="11"/>
  <c r="Q1827" i="11"/>
  <c r="Q1937" i="11"/>
  <c r="Q2052" i="11"/>
  <c r="Q2203" i="11"/>
  <c r="Q2315" i="11"/>
  <c r="Q2427" i="11"/>
  <c r="Q2539" i="11"/>
  <c r="Q2649" i="11"/>
  <c r="Q2748" i="11"/>
  <c r="Q2873" i="11"/>
  <c r="Q2986" i="11"/>
  <c r="Q3101" i="11"/>
  <c r="Q97" i="11"/>
  <c r="Q124" i="11"/>
  <c r="Q279" i="11"/>
  <c r="Q354" i="11"/>
  <c r="Q545" i="11"/>
  <c r="Q611" i="11"/>
  <c r="Q809" i="11"/>
  <c r="Q913" i="11"/>
  <c r="Q1023" i="11"/>
  <c r="Q1132" i="11"/>
  <c r="Q1241" i="11"/>
  <c r="Q1382" i="11"/>
  <c r="Q1489" i="11"/>
  <c r="Q1598" i="11"/>
  <c r="Q1707" i="11"/>
  <c r="Q1820" i="11"/>
  <c r="Q1931" i="11"/>
  <c r="Q2045" i="11"/>
  <c r="Q2195" i="11"/>
  <c r="Q2308" i="11"/>
  <c r="Q2420" i="11"/>
  <c r="Q2532" i="11"/>
  <c r="Q2642" i="11"/>
  <c r="Q2756" i="11"/>
  <c r="Q2867" i="11"/>
  <c r="Q2981" i="11"/>
  <c r="Q3096" i="11"/>
  <c r="Q65" i="11"/>
  <c r="Q125" i="11"/>
  <c r="Q258" i="11"/>
  <c r="Q355" i="11"/>
  <c r="Q558" i="11"/>
  <c r="Q596" i="11"/>
  <c r="Q762" i="11"/>
  <c r="Q869" i="11"/>
  <c r="Q981" i="11"/>
  <c r="Q1094" i="11"/>
  <c r="Q1204" i="11"/>
  <c r="Q1321" i="11"/>
  <c r="Q1418" i="11"/>
  <c r="Q1546" i="11"/>
  <c r="Q1659" i="11"/>
  <c r="Q1775" i="11"/>
  <c r="Q1887" i="11"/>
  <c r="Q2073" i="11"/>
  <c r="Q2184" i="11"/>
  <c r="Q2298" i="11"/>
  <c r="Q2410" i="11"/>
  <c r="Q2524" i="11"/>
  <c r="Q2634" i="11"/>
  <c r="Q2749" i="11"/>
  <c r="Q2860" i="11"/>
  <c r="Q2973" i="11"/>
  <c r="Q3088" i="11"/>
  <c r="Q98" i="11"/>
  <c r="Q215" i="11"/>
  <c r="Q259" i="11"/>
  <c r="Q454" i="11"/>
  <c r="Q500" i="11"/>
  <c r="Q597" i="11"/>
  <c r="Q763" i="11"/>
  <c r="Q870" i="11"/>
  <c r="Q982" i="11"/>
  <c r="Q1095" i="11"/>
  <c r="Q1272" i="11"/>
  <c r="Q1388" i="11"/>
  <c r="Q1497" i="11"/>
  <c r="Q1605" i="11"/>
  <c r="Q1715" i="11"/>
  <c r="Q1828" i="11"/>
  <c r="Q1938" i="11"/>
  <c r="Q2053" i="11"/>
  <c r="Q2164" i="11"/>
  <c r="Q2279" i="11"/>
  <c r="Q2392" i="11"/>
  <c r="Q2488" i="11"/>
  <c r="Q2616" i="11"/>
  <c r="Q2731" i="11"/>
  <c r="Q2844" i="11"/>
  <c r="Q2958" i="11"/>
  <c r="Q3072" i="11"/>
  <c r="Q66" i="11"/>
  <c r="Q126" i="11"/>
  <c r="Q298" i="11"/>
  <c r="Q356" i="11"/>
  <c r="Q487" i="11"/>
  <c r="Q612" i="11"/>
  <c r="Q799" i="11"/>
  <c r="Q905" i="11"/>
  <c r="Q1016" i="11"/>
  <c r="Q1115" i="11"/>
  <c r="Q1234" i="11"/>
  <c r="Q1347" i="11"/>
  <c r="Q1458" i="11"/>
  <c r="Q1567" i="11"/>
  <c r="Q1660" i="11"/>
  <c r="Q1795" i="11"/>
  <c r="Q1906" i="11"/>
  <c r="Q2083" i="11"/>
  <c r="Q2196" i="11"/>
  <c r="Q2309" i="11"/>
  <c r="Q2421" i="11"/>
  <c r="Q2533" i="11"/>
  <c r="Q2643" i="11"/>
  <c r="Q2757" i="11"/>
  <c r="Q2868" i="11"/>
  <c r="Q2982" i="11"/>
  <c r="Q3097" i="11"/>
  <c r="Q36" i="11"/>
  <c r="Q147" i="11"/>
  <c r="Q319" i="11"/>
  <c r="Q357" i="11"/>
  <c r="Q470" i="11"/>
  <c r="Q624" i="11"/>
  <c r="Q786" i="11"/>
  <c r="Q896" i="11"/>
  <c r="Q1006" i="11"/>
  <c r="Q1133" i="11"/>
  <c r="Q1224" i="11"/>
  <c r="Q1338" i="11"/>
  <c r="Q1504" i="11"/>
  <c r="Q1618" i="11"/>
  <c r="Q1728" i="11"/>
  <c r="Q1839" i="11"/>
  <c r="Q1949" i="11"/>
  <c r="Q2062" i="11"/>
  <c r="Q2173" i="11"/>
  <c r="Q2288" i="11"/>
  <c r="Q2400" i="11"/>
  <c r="Q2546" i="11"/>
  <c r="Q2663" i="11"/>
  <c r="Q2776" i="11"/>
  <c r="Q2887" i="11"/>
  <c r="Q3000" i="11"/>
  <c r="Q3115" i="11"/>
  <c r="Q9" i="11"/>
  <c r="Q171" i="11"/>
  <c r="Q339" i="11"/>
  <c r="Q372" i="11"/>
  <c r="Q471" i="11"/>
  <c r="Q636" i="11"/>
  <c r="Q778" i="11"/>
  <c r="Q886" i="11"/>
  <c r="Q998" i="11"/>
  <c r="Q1108" i="11"/>
  <c r="Q1216" i="11"/>
  <c r="Q1329" i="11"/>
  <c r="Q1443" i="11"/>
  <c r="Q1518" i="11"/>
  <c r="Q1669" i="11"/>
  <c r="Q1784" i="11"/>
  <c r="Q1895" i="11"/>
  <c r="Q2035" i="11"/>
  <c r="Q2128" i="11"/>
  <c r="Q2305" i="11"/>
  <c r="Q2417" i="11"/>
  <c r="Q2529" i="11"/>
  <c r="Q2640" i="11"/>
  <c r="Q2782" i="11"/>
  <c r="Q2865" i="11"/>
  <c r="Q2978" i="11"/>
  <c r="Q3022" i="11"/>
  <c r="Q10" i="11"/>
  <c r="Q192" i="11"/>
  <c r="Q340" i="11"/>
  <c r="Q386" i="11"/>
  <c r="Q488" i="11"/>
  <c r="Q648" i="11"/>
  <c r="Q764" i="11"/>
  <c r="Q921" i="11"/>
  <c r="Q1030" i="11"/>
  <c r="Q1138" i="11"/>
  <c r="Q1255" i="11"/>
  <c r="Q1360" i="11"/>
  <c r="Q1470" i="11"/>
  <c r="Q1579" i="11"/>
  <c r="Q1690" i="11"/>
  <c r="Q1817" i="11"/>
  <c r="Q1928" i="11"/>
  <c r="Q2031" i="11"/>
  <c r="Q2145" i="11"/>
  <c r="Q2259" i="11"/>
  <c r="Q2371" i="11"/>
  <c r="Q2484" i="11"/>
  <c r="Q2599" i="11"/>
  <c r="Q2713" i="11"/>
  <c r="Q2828" i="11"/>
  <c r="Q3016" i="11"/>
  <c r="Q3073" i="11"/>
  <c r="Q37" i="11"/>
  <c r="Q216" i="11"/>
  <c r="Q280" i="11"/>
  <c r="Q406" i="11"/>
  <c r="Q472" i="11"/>
  <c r="Q664" i="11"/>
  <c r="Q3138" i="11"/>
  <c r="Q3143" i="11"/>
  <c r="Q3151" i="11"/>
  <c r="Q3156" i="11"/>
  <c r="Q3161" i="11"/>
  <c r="Q3166" i="11"/>
  <c r="Q3171" i="11"/>
  <c r="Q3176" i="11"/>
  <c r="Q3181" i="11"/>
  <c r="Q3186" i="11"/>
  <c r="Q3191" i="11"/>
  <c r="Q3196" i="11"/>
  <c r="Q3201" i="11"/>
  <c r="Q3206" i="11"/>
  <c r="Q3211" i="11"/>
  <c r="Q3216" i="11"/>
  <c r="Q3221" i="11"/>
  <c r="Q3226" i="11"/>
  <c r="Q3231" i="11"/>
  <c r="Q3236" i="11"/>
  <c r="Q3241" i="11"/>
  <c r="Q748" i="11"/>
  <c r="Q858" i="11"/>
  <c r="Q972" i="11"/>
  <c r="Q1085" i="11"/>
  <c r="Q1197" i="11"/>
  <c r="Q1365" i="11"/>
  <c r="Q1427" i="11"/>
  <c r="Q1540" i="11"/>
  <c r="Q1653" i="11"/>
  <c r="Q1854" i="11"/>
  <c r="Q1964" i="11"/>
  <c r="Q2074" i="11"/>
  <c r="Q2185" i="11"/>
  <c r="Q2299" i="11"/>
  <c r="Q2411" i="11"/>
  <c r="Q2480" i="11"/>
  <c r="Q2635" i="11"/>
  <c r="Q2750" i="11"/>
  <c r="Q2861" i="11"/>
  <c r="Q2974" i="11"/>
  <c r="Q3089" i="11"/>
  <c r="Q67" i="11"/>
  <c r="Q217" i="11"/>
  <c r="Q299" i="11"/>
  <c r="Q422" i="11"/>
  <c r="Q512" i="11"/>
  <c r="Q676" i="11"/>
  <c r="Q737" i="11"/>
  <c r="Q848" i="11"/>
  <c r="Q942" i="11"/>
  <c r="Q1075" i="11"/>
  <c r="Q1189" i="11"/>
  <c r="Q1304" i="11"/>
  <c r="Q1419" i="11"/>
  <c r="Q1533" i="11"/>
  <c r="Q1685" i="11"/>
  <c r="Q1762" i="11"/>
  <c r="Q1876" i="11"/>
  <c r="Q1992" i="11"/>
  <c r="Q2110" i="11"/>
  <c r="Q2224" i="11"/>
  <c r="Q2338" i="11"/>
  <c r="Q2454" i="11"/>
  <c r="Q2570" i="11"/>
  <c r="Q2685" i="11"/>
  <c r="Q2898" i="11"/>
  <c r="Q3011" i="11"/>
  <c r="Q3085" i="11"/>
  <c r="Q99" i="11"/>
  <c r="Q127" i="11"/>
  <c r="Q281" i="11"/>
  <c r="Q440" i="11"/>
  <c r="Q529" i="11"/>
  <c r="Q688" i="11"/>
  <c r="Q738" i="11"/>
  <c r="Q849" i="11"/>
  <c r="Q962" i="11"/>
  <c r="Q1076" i="11"/>
  <c r="Q1273" i="11"/>
  <c r="Q1353" i="11"/>
  <c r="Q1490" i="11"/>
  <c r="Q1599" i="11"/>
  <c r="Q1708" i="11"/>
  <c r="Q1821" i="11"/>
  <c r="Q1932" i="11"/>
  <c r="Q2046" i="11"/>
  <c r="Q2158" i="11"/>
  <c r="Q2273" i="11"/>
  <c r="Q2386" i="11"/>
  <c r="Q2498" i="11"/>
  <c r="Q2610" i="11"/>
  <c r="Q2726" i="11"/>
  <c r="Q2840" i="11"/>
  <c r="Q2953" i="11"/>
  <c r="Q3067" i="11"/>
  <c r="Q68" i="11"/>
  <c r="Q193" i="11"/>
  <c r="Q320" i="11"/>
  <c r="Q373" i="11"/>
  <c r="Q530" i="11"/>
  <c r="Q613" i="11"/>
  <c r="Q749" i="11"/>
  <c r="Q859" i="11"/>
  <c r="Q973" i="11"/>
  <c r="Q1159" i="11"/>
  <c r="Q1267" i="11"/>
  <c r="Q1389" i="11"/>
  <c r="Q1498" i="11"/>
  <c r="Q1606" i="11"/>
  <c r="Q1716" i="11"/>
  <c r="Q1832" i="11"/>
  <c r="Q1911" i="11"/>
  <c r="Q2026" i="11"/>
  <c r="Q2204" i="11"/>
  <c r="Q2316" i="11"/>
  <c r="Q2428" i="11"/>
  <c r="Q2540" i="11"/>
  <c r="Q2650" i="11"/>
  <c r="Q2763" i="11"/>
  <c r="Q2874" i="11"/>
  <c r="Q2987" i="11"/>
  <c r="Q3102" i="11"/>
  <c r="Q100" i="11"/>
  <c r="Q218" i="11"/>
  <c r="Q341" i="11"/>
  <c r="Q358" i="11"/>
  <c r="Q513" i="11"/>
  <c r="Q598" i="11"/>
  <c r="Q810" i="11"/>
  <c r="Q922" i="11"/>
  <c r="Q1031" i="11"/>
  <c r="Q1139" i="11"/>
  <c r="Q1217" i="11"/>
  <c r="Q1330" i="11"/>
  <c r="Q1420" i="11"/>
  <c r="Q1511" i="11"/>
  <c r="Q1627" i="11"/>
  <c r="Q1743" i="11"/>
  <c r="Q1859" i="11"/>
  <c r="Q1975" i="11"/>
  <c r="Q2091" i="11"/>
  <c r="Q2207" i="11"/>
  <c r="Q2323" i="11"/>
  <c r="Q2440" i="11"/>
  <c r="Q2555" i="11"/>
  <c r="Q2783" i="11"/>
  <c r="Q2894" i="11"/>
  <c r="Q3006" i="11"/>
  <c r="Q3122" i="11"/>
  <c r="Q69" i="11"/>
  <c r="Q219" i="11"/>
  <c r="Q239" i="11"/>
  <c r="Q455" i="11"/>
  <c r="Q514" i="11"/>
  <c r="Q584" i="11"/>
  <c r="Q3139" i="11"/>
  <c r="Q3144" i="11"/>
  <c r="Q3148" i="11"/>
  <c r="Q3153" i="11"/>
  <c r="Q3158" i="11"/>
  <c r="Q3163" i="11"/>
  <c r="Q3169" i="11"/>
  <c r="Q3173" i="11"/>
  <c r="Q3178" i="11"/>
  <c r="Q3183" i="11"/>
  <c r="Q3188" i="11"/>
  <c r="Q3193" i="11"/>
  <c r="Q3198" i="11"/>
  <c r="Q3203" i="11"/>
  <c r="Q3208" i="11"/>
  <c r="Q3214" i="11"/>
  <c r="Q3219" i="11"/>
  <c r="Q3224" i="11"/>
  <c r="Q3229" i="11"/>
  <c r="Q3234" i="11"/>
  <c r="Q3239" i="11"/>
  <c r="Q700" i="11"/>
  <c r="Q816" i="11"/>
  <c r="Q932" i="11"/>
  <c r="Q1048" i="11"/>
  <c r="Q1225" i="11"/>
  <c r="Q1305" i="11"/>
  <c r="Q1395" i="11"/>
  <c r="Q1512" i="11"/>
  <c r="Q1738" i="11"/>
  <c r="Q1848" i="11"/>
  <c r="Q1958" i="11"/>
  <c r="Q2084" i="11"/>
  <c r="Q2140" i="11"/>
  <c r="Q2295" i="11"/>
  <c r="Q2407" i="11"/>
  <c r="Q2519" i="11"/>
  <c r="Q2630" i="11"/>
  <c r="Q2744" i="11"/>
  <c r="Q2856" i="11"/>
  <c r="Q2970" i="11"/>
  <c r="Q3086" i="11"/>
  <c r="Q11" i="11"/>
  <c r="Q128" i="11"/>
  <c r="Q240" i="11"/>
  <c r="Q387" i="11"/>
  <c r="Q573" i="11"/>
  <c r="Q585" i="11"/>
  <c r="Q701" i="11"/>
  <c r="Q817" i="11"/>
  <c r="Q933" i="11"/>
  <c r="Q1049" i="11"/>
  <c r="Q1164" i="11"/>
  <c r="Q1279" i="11"/>
  <c r="Q1505" i="11"/>
  <c r="Q1612" i="11"/>
  <c r="Q1722" i="11"/>
  <c r="Q1833" i="11"/>
  <c r="Q1943" i="11"/>
  <c r="Q2057" i="11"/>
  <c r="Q2169" i="11"/>
  <c r="Q2254" i="11"/>
  <c r="Q2396" i="11"/>
  <c r="Q2507" i="11"/>
  <c r="Q2664" i="11"/>
  <c r="Q2777" i="11"/>
  <c r="Q2888" i="11"/>
  <c r="Q3001" i="11"/>
  <c r="Q3116" i="11"/>
  <c r="Q12" i="11"/>
  <c r="Q194" i="11"/>
  <c r="Q260" i="11"/>
  <c r="Q407" i="11"/>
  <c r="Q559" i="11"/>
  <c r="Q599" i="11"/>
  <c r="Q765" i="11"/>
  <c r="Q871" i="11"/>
  <c r="Q983" i="11"/>
  <c r="Q1096" i="11"/>
  <c r="Q1205" i="11"/>
  <c r="Q1339" i="11"/>
  <c r="Q1506" i="11"/>
  <c r="Q1613" i="11"/>
  <c r="Q1723" i="11"/>
  <c r="Q1834" i="11"/>
  <c r="Q1944" i="11"/>
  <c r="Q2032" i="11"/>
  <c r="Q2283" i="11"/>
  <c r="Q2435" i="11"/>
  <c r="Q2547" i="11"/>
  <c r="Q2656" i="11"/>
  <c r="Q2769" i="11"/>
  <c r="Q2880" i="11"/>
  <c r="Q2993" i="11"/>
  <c r="Q3108" i="11"/>
  <c r="Q38" i="11"/>
  <c r="Q220" i="11"/>
  <c r="Q261" i="11"/>
  <c r="Q423" i="11"/>
  <c r="Q546" i="11"/>
  <c r="Q649" i="11"/>
  <c r="Q702" i="11"/>
  <c r="Q818" i="11"/>
  <c r="Q934" i="11"/>
  <c r="Q1050" i="11"/>
  <c r="Q1165" i="11"/>
  <c r="Q1280" i="11"/>
  <c r="Q1396" i="11"/>
  <c r="Q1584" i="11"/>
  <c r="Q1694" i="11"/>
  <c r="Q1809" i="11"/>
  <c r="Q1920" i="11"/>
  <c r="Q2036" i="11"/>
  <c r="Q2149" i="11"/>
  <c r="Q2264" i="11"/>
  <c r="Q2375" i="11"/>
  <c r="Q2489" i="11"/>
  <c r="Q2602" i="11"/>
  <c r="Q2717" i="11"/>
  <c r="Q2831" i="11"/>
  <c r="Q2945" i="11"/>
  <c r="Q3059" i="11"/>
  <c r="Q101" i="11"/>
  <c r="Q195" i="11"/>
  <c r="Q241" i="11"/>
  <c r="Q441" i="11"/>
  <c r="Q531" i="11"/>
  <c r="Q586" i="11"/>
  <c r="Q712" i="11"/>
  <c r="Q826" i="11"/>
  <c r="Q943" i="11"/>
  <c r="Q1057" i="11"/>
  <c r="Q1274" i="11"/>
  <c r="Q1383" i="11"/>
  <c r="Q1491" i="11"/>
  <c r="Q1594" i="11"/>
  <c r="Q1703" i="11"/>
  <c r="Q1818" i="11"/>
  <c r="Q1929" i="11"/>
  <c r="Q2042" i="11"/>
  <c r="Q2155" i="11"/>
  <c r="Q2270" i="11"/>
  <c r="Q2372" i="11"/>
  <c r="Q2496" i="11"/>
  <c r="Q2608" i="11"/>
  <c r="Q2724" i="11"/>
  <c r="Q2838" i="11"/>
  <c r="Q2951" i="11"/>
  <c r="Q3065" i="11"/>
  <c r="Q102" i="11"/>
  <c r="Q221" i="11"/>
  <c r="Q262" i="11"/>
  <c r="Q424" i="11"/>
  <c r="Q547" i="11"/>
  <c r="Q600" i="11"/>
  <c r="Q739" i="11"/>
  <c r="Q850" i="11"/>
  <c r="Q963" i="11"/>
  <c r="Q1077" i="11"/>
  <c r="Q1190" i="11"/>
  <c r="Q1306" i="11"/>
  <c r="Q1421" i="11"/>
  <c r="Q1607" i="11"/>
  <c r="Q1717" i="11"/>
  <c r="Q1829" i="11"/>
  <c r="Q1939" i="11"/>
  <c r="Q1993" i="11"/>
  <c r="Q2165" i="11"/>
  <c r="Q2280" i="11"/>
  <c r="Q2393" i="11"/>
  <c r="Q2504" i="11"/>
  <c r="Q2559" i="11"/>
  <c r="Q2732" i="11"/>
  <c r="Q2845" i="11"/>
  <c r="Q2907" i="11"/>
  <c r="Q3074" i="11"/>
  <c r="Q70" i="11"/>
  <c r="Q148" i="11"/>
  <c r="Q282" i="11"/>
  <c r="Q408" i="11"/>
  <c r="Q560" i="11"/>
  <c r="Q614" i="11"/>
  <c r="Q750" i="11"/>
  <c r="Q860" i="11"/>
  <c r="Q974" i="11"/>
  <c r="Q1086" i="11"/>
  <c r="Q1198" i="11"/>
  <c r="Q1313" i="11"/>
  <c r="Q1428" i="11"/>
  <c r="Q1614" i="11"/>
  <c r="Q1724" i="11"/>
  <c r="Q1835" i="11"/>
  <c r="Q1945" i="11"/>
  <c r="Q2058" i="11"/>
  <c r="Q2170" i="11"/>
  <c r="Q2284" i="11"/>
  <c r="Q2397" i="11"/>
  <c r="Q2508" i="11"/>
  <c r="Q2620" i="11"/>
  <c r="Q2699" i="11"/>
  <c r="Q2847" i="11"/>
  <c r="Q2960" i="11"/>
  <c r="Q3076" i="11"/>
  <c r="Q39" i="11"/>
  <c r="Q129" i="11"/>
  <c r="Q300" i="11"/>
  <c r="Q388" i="11"/>
  <c r="Q574" i="11"/>
  <c r="Q625" i="11"/>
  <c r="Q740" i="11"/>
  <c r="Q827" i="11"/>
  <c r="Q964" i="11"/>
  <c r="Q1058" i="11"/>
  <c r="Q1199" i="11"/>
  <c r="Q1314" i="11"/>
  <c r="Q1429" i="11"/>
  <c r="Q1547" i="11"/>
  <c r="Q1661" i="11"/>
  <c r="Q1776" i="11"/>
  <c r="Q1888" i="11"/>
  <c r="Q2003" i="11"/>
  <c r="Q2120" i="11"/>
  <c r="Q2233" i="11"/>
  <c r="Q2348" i="11"/>
  <c r="Q2462" i="11"/>
  <c r="Q2577" i="11"/>
  <c r="Q2693" i="11"/>
  <c r="Q2807" i="11"/>
  <c r="Q2922" i="11"/>
  <c r="Q3037" i="11"/>
  <c r="Q13" i="11"/>
  <c r="Q130" i="11"/>
  <c r="Q321" i="11"/>
  <c r="Q389" i="11"/>
  <c r="Q575" i="11"/>
  <c r="Q637" i="11"/>
  <c r="Q725" i="11"/>
  <c r="Q837" i="11"/>
  <c r="Q953" i="11"/>
  <c r="Q1066" i="11"/>
  <c r="Q1180" i="11"/>
  <c r="Q1296" i="11"/>
  <c r="Q1411" i="11"/>
  <c r="Q1548" i="11"/>
  <c r="Q1709" i="11"/>
  <c r="Q1822" i="11"/>
  <c r="Q1933" i="11"/>
  <c r="Q2047" i="11"/>
  <c r="Q2159" i="11"/>
  <c r="Q2274" i="11"/>
  <c r="Q2387" i="11"/>
  <c r="Q2499" i="11"/>
  <c r="Q2611" i="11"/>
  <c r="Q2727" i="11"/>
  <c r="Q2800" i="11"/>
  <c r="Q2927" i="11"/>
  <c r="Q3042" i="11"/>
  <c r="Q14" i="11"/>
  <c r="Q149" i="11"/>
  <c r="Q342" i="11"/>
  <c r="Q359" i="11"/>
  <c r="Q561" i="11"/>
  <c r="Q650" i="11"/>
  <c r="Q766" i="11"/>
  <c r="Q872" i="11"/>
  <c r="Q984" i="11"/>
  <c r="Q1097" i="11"/>
  <c r="Q1206" i="11"/>
  <c r="Q1322" i="11"/>
  <c r="Q1434" i="11"/>
  <c r="Q1619" i="11"/>
  <c r="Q1729" i="11"/>
  <c r="Q1840" i="11"/>
  <c r="Q1950" i="11"/>
  <c r="Q2004" i="11"/>
  <c r="Q2174" i="11"/>
  <c r="Q2289" i="11"/>
  <c r="Q2401" i="11"/>
  <c r="Q2512" i="11"/>
  <c r="Q2624" i="11"/>
  <c r="Q2738" i="11"/>
  <c r="Q2899" i="11"/>
  <c r="Q2964" i="11"/>
  <c r="Q3080" i="11"/>
  <c r="Q40" i="11"/>
  <c r="Q172" i="11"/>
  <c r="Q343" i="11"/>
  <c r="Q360" i="11"/>
  <c r="Q548" i="11"/>
  <c r="Q665" i="11"/>
  <c r="Q713" i="11"/>
  <c r="Q828" i="11"/>
  <c r="Q1007" i="11"/>
  <c r="Q1160" i="11"/>
  <c r="Q1226" i="11"/>
  <c r="Q1340" i="11"/>
  <c r="Q1450" i="11"/>
  <c r="Q1519" i="11"/>
  <c r="Q1634" i="11"/>
  <c r="Q1749" i="11"/>
  <c r="Q1864" i="11"/>
  <c r="Q1980" i="11"/>
  <c r="Q2097" i="11"/>
  <c r="Q2213" i="11"/>
  <c r="Q2328" i="11"/>
  <c r="Q2444" i="11"/>
  <c r="Q2560" i="11"/>
  <c r="Q2675" i="11"/>
  <c r="Q2900" i="11"/>
  <c r="Q3012" i="11"/>
  <c r="Q3126" i="11"/>
  <c r="Q71" i="11"/>
  <c r="Q196" i="11"/>
  <c r="Q322" i="11"/>
  <c r="Q374" i="11"/>
  <c r="Q532" i="11"/>
  <c r="Q666" i="11"/>
  <c r="Q751" i="11"/>
  <c r="Q923" i="11"/>
  <c r="Q1032" i="11"/>
  <c r="Q1140" i="11"/>
  <c r="Q1247" i="11"/>
  <c r="Q1390" i="11"/>
  <c r="Q1451" i="11"/>
  <c r="Q1620" i="11"/>
  <c r="Q1730" i="11"/>
  <c r="Q1841" i="11"/>
  <c r="Q1951" i="11"/>
  <c r="Q2063" i="11"/>
  <c r="Q2175" i="11"/>
  <c r="Q2290" i="11"/>
  <c r="Q2402" i="11"/>
  <c r="Q2513" i="11"/>
  <c r="Q2665" i="11"/>
  <c r="Q2778" i="11"/>
  <c r="Q2889" i="11"/>
  <c r="Q3002" i="11"/>
  <c r="Q3117" i="11"/>
  <c r="Q72" i="11"/>
  <c r="Q150" i="11"/>
  <c r="Q301" i="11"/>
  <c r="Q442" i="11"/>
  <c r="Q533" i="11"/>
  <c r="Q626" i="11"/>
  <c r="Q752" i="11"/>
  <c r="Q924" i="11"/>
  <c r="Q1033" i="11"/>
  <c r="Q1141" i="11"/>
  <c r="Q1248" i="11"/>
  <c r="Q1391" i="11"/>
  <c r="Q1452" i="11"/>
  <c r="Q1621" i="11"/>
  <c r="Q1731" i="11"/>
  <c r="Q1842" i="11"/>
  <c r="Q1952" i="11"/>
  <c r="Q2064" i="11"/>
  <c r="Q2176" i="11"/>
  <c r="Q2291" i="11"/>
  <c r="Q2403" i="11"/>
  <c r="Q2514" i="11"/>
  <c r="Q2666" i="11"/>
  <c r="Q2779" i="11"/>
  <c r="Q2890" i="11"/>
  <c r="Q3003" i="11"/>
  <c r="Q3118" i="11"/>
  <c r="Q73" i="11"/>
  <c r="Q222" i="11"/>
  <c r="Q302" i="11"/>
  <c r="Q443" i="11"/>
  <c r="Q534" i="11"/>
  <c r="Q627" i="11"/>
  <c r="Q741" i="11"/>
  <c r="Q851" i="11"/>
  <c r="Q965" i="11"/>
  <c r="Q1078" i="11"/>
  <c r="Q1191" i="11"/>
  <c r="Q1307" i="11"/>
  <c r="Q1422" i="11"/>
  <c r="Q1534" i="11"/>
  <c r="Q1646" i="11"/>
  <c r="Q1763" i="11"/>
  <c r="Q1970" i="11"/>
  <c r="Q2079" i="11"/>
  <c r="Q2192" i="11"/>
  <c r="Q2234" i="11"/>
  <c r="Q2418" i="11"/>
  <c r="Q2463" i="11"/>
  <c r="Q2578" i="11"/>
  <c r="Q2676" i="11"/>
  <c r="Q2832" i="11"/>
  <c r="Q2946" i="11"/>
  <c r="Q3094" i="11"/>
  <c r="Q103" i="11"/>
  <c r="Q197" i="11"/>
  <c r="Q323" i="11"/>
  <c r="Q456" i="11"/>
  <c r="Q515" i="11"/>
  <c r="Q638" i="11"/>
  <c r="Q753" i="11"/>
  <c r="Q838" i="11"/>
  <c r="Q954" i="11"/>
  <c r="Q1079" i="11"/>
  <c r="Q1268" i="11"/>
  <c r="Q1331" i="11"/>
  <c r="Q1485" i="11"/>
  <c r="Q1520" i="11"/>
  <c r="Q1635" i="11"/>
  <c r="Q1750" i="11"/>
  <c r="Q1971" i="11"/>
  <c r="Q2005" i="11"/>
  <c r="Q2193" i="11"/>
  <c r="Q2306" i="11"/>
  <c r="Q2412" i="11"/>
  <c r="Q2530" i="11"/>
  <c r="Q2641" i="11"/>
  <c r="Q2754" i="11"/>
  <c r="Q2833" i="11"/>
  <c r="Q2979" i="11"/>
  <c r="Q3095" i="11"/>
  <c r="Q104" i="11"/>
  <c r="Q173" i="11"/>
  <c r="Q344" i="11"/>
  <c r="Q457" i="11"/>
  <c r="Q501" i="11"/>
  <c r="Q651" i="11"/>
  <c r="Q787" i="11"/>
  <c r="Q897" i="11"/>
  <c r="Q1008" i="11"/>
  <c r="Q1116" i="11"/>
  <c r="Q1227" i="11"/>
  <c r="Q1341" i="11"/>
  <c r="Q1453" i="11"/>
  <c r="Q1562" i="11"/>
  <c r="Q1675" i="11"/>
  <c r="Q1791" i="11"/>
  <c r="Q1902" i="11"/>
  <c r="Q2019" i="11"/>
  <c r="Q2134" i="11"/>
  <c r="Q2248" i="11"/>
  <c r="Q2362" i="11"/>
  <c r="Q2550" i="11"/>
  <c r="Q2660" i="11"/>
  <c r="Q2718" i="11"/>
  <c r="Q2808" i="11"/>
  <c r="Q2997" i="11"/>
  <c r="Q3112" i="11"/>
  <c r="Q74" i="11"/>
  <c r="Q151" i="11"/>
  <c r="Q345" i="11"/>
  <c r="Q444" i="11"/>
  <c r="Q489" i="11"/>
  <c r="Q667" i="11"/>
  <c r="Q703" i="11"/>
  <c r="Q819" i="11"/>
  <c r="Q935" i="11"/>
  <c r="Q1051" i="11"/>
  <c r="Q1166" i="11"/>
  <c r="Q1281" i="11"/>
  <c r="Q1397" i="11"/>
  <c r="Q1513" i="11"/>
  <c r="Q1628" i="11"/>
  <c r="Q1744" i="11"/>
  <c r="Q1965" i="11"/>
  <c r="Q2075" i="11"/>
  <c r="Q2187" i="11"/>
  <c r="Q2300" i="11"/>
  <c r="Q2413" i="11"/>
  <c r="Q2525" i="11"/>
  <c r="Q2636" i="11"/>
  <c r="Q2751" i="11"/>
  <c r="Q2862" i="11"/>
  <c r="Q2975" i="11"/>
  <c r="Q3090" i="11"/>
  <c r="Q41" i="11"/>
  <c r="Q131" i="11"/>
  <c r="Q242" i="11"/>
  <c r="Q425" i="11"/>
  <c r="Q473" i="11"/>
  <c r="Q677" i="11"/>
  <c r="Q726" i="11"/>
  <c r="Q839" i="11"/>
  <c r="Q955" i="11"/>
  <c r="Q1067" i="11"/>
  <c r="Q1181" i="11"/>
  <c r="Q1297" i="11"/>
  <c r="Q1412" i="11"/>
  <c r="Q1526" i="11"/>
  <c r="Q1641" i="11"/>
  <c r="Q1755" i="11"/>
  <c r="Q1972" i="11"/>
  <c r="Q2080" i="11"/>
  <c r="Q2188" i="11"/>
  <c r="Q2320" i="11"/>
  <c r="Q2431" i="11"/>
  <c r="Q2543" i="11"/>
  <c r="Q2654" i="11"/>
  <c r="Q2767" i="11"/>
  <c r="Q2877" i="11"/>
  <c r="Q2990" i="11"/>
  <c r="Q3106" i="11"/>
  <c r="Q105" i="11"/>
  <c r="Q174" i="11"/>
  <c r="Q263" i="11"/>
  <c r="Q458" i="11"/>
  <c r="Q549" i="11"/>
  <c r="Q587" i="11"/>
  <c r="Q714" i="11"/>
  <c r="Q873" i="11"/>
  <c r="Q944" i="11"/>
  <c r="Q1059" i="11"/>
  <c r="Q1172" i="11"/>
  <c r="Q1286" i="11"/>
  <c r="Q1403" i="11"/>
  <c r="Q1622" i="11"/>
  <c r="Q1739" i="11"/>
  <c r="Q1849" i="11"/>
  <c r="Q1959" i="11"/>
  <c r="Q2070" i="11"/>
  <c r="Q2182" i="11"/>
  <c r="Q2296" i="11"/>
  <c r="Q2408" i="11"/>
  <c r="Q2520" i="11"/>
  <c r="Q2631" i="11"/>
  <c r="Q2745" i="11"/>
  <c r="Q2857" i="11"/>
  <c r="Q2971" i="11"/>
  <c r="Q3131" i="11"/>
  <c r="Q75" i="11"/>
  <c r="Q152" i="11"/>
  <c r="Q243" i="11"/>
  <c r="Q459" i="11"/>
  <c r="Q562" i="11"/>
  <c r="Q678" i="11"/>
  <c r="Q704" i="11"/>
  <c r="Q925" i="11"/>
  <c r="Q1038" i="11"/>
  <c r="Q1145" i="11"/>
  <c r="Q1249" i="11"/>
  <c r="Q1366" i="11"/>
  <c r="Q1475" i="11"/>
  <c r="Q1585" i="11"/>
  <c r="Q1695" i="11"/>
  <c r="Q1810" i="11"/>
  <c r="Q1921" i="11"/>
  <c r="Q2085" i="11"/>
  <c r="Q2197" i="11"/>
  <c r="Q2310" i="11"/>
  <c r="Q2422" i="11"/>
  <c r="Q2534" i="11"/>
  <c r="Q2644" i="11"/>
  <c r="Q2758" i="11"/>
  <c r="Q2869" i="11"/>
  <c r="Q2915" i="11"/>
  <c r="Q3025" i="11"/>
  <c r="Q42" i="11"/>
  <c r="Q132" i="11"/>
  <c r="Q244" i="11"/>
  <c r="Q445" i="11"/>
  <c r="Q490" i="11"/>
  <c r="Q601" i="11"/>
  <c r="Q715" i="11"/>
  <c r="Q829" i="11"/>
  <c r="Q945" i="11"/>
  <c r="Q1060" i="11"/>
  <c r="Q1173" i="11"/>
  <c r="Q1287" i="11"/>
  <c r="Q1404" i="11"/>
  <c r="Q1521" i="11"/>
  <c r="Q1636" i="11"/>
  <c r="Q1751" i="11"/>
  <c r="Q1865" i="11"/>
  <c r="Q1981" i="11"/>
  <c r="Q2098" i="11"/>
  <c r="Q2214" i="11"/>
  <c r="Q2329" i="11"/>
  <c r="Q2445" i="11"/>
  <c r="Q2561" i="11"/>
  <c r="Q2677" i="11"/>
  <c r="Q2792" i="11"/>
  <c r="Q2908" i="11"/>
  <c r="Q3023" i="11"/>
  <c r="Q15" i="11"/>
  <c r="Q153" i="11"/>
  <c r="Q324" i="11"/>
  <c r="Q390" i="11"/>
  <c r="Q491" i="11"/>
  <c r="Q689" i="11"/>
  <c r="Q727" i="11"/>
  <c r="Q840" i="11"/>
  <c r="Q956" i="11"/>
  <c r="Q1068" i="11"/>
  <c r="Q1182" i="11"/>
  <c r="Q1298" i="11"/>
  <c r="Q1413" i="11"/>
  <c r="Q1527" i="11"/>
  <c r="Q1642" i="11"/>
  <c r="Q1756" i="11"/>
  <c r="Q1871" i="11"/>
  <c r="Q1987" i="11"/>
  <c r="Q2104" i="11"/>
  <c r="Q2218" i="11"/>
  <c r="Q2333" i="11"/>
  <c r="Q2449" i="11"/>
  <c r="Q2564" i="11"/>
  <c r="Q2680" i="11"/>
  <c r="Q2794" i="11"/>
  <c r="Q2910" i="11"/>
  <c r="Q3026" i="11"/>
  <c r="Q43" i="11"/>
  <c r="Q175" i="11"/>
  <c r="Q264" i="11"/>
  <c r="Q375" i="11"/>
  <c r="Q502" i="11"/>
  <c r="Q679" i="11"/>
  <c r="Q705" i="11"/>
  <c r="Q820" i="11"/>
  <c r="Q936" i="11"/>
  <c r="Q1117" i="11"/>
  <c r="Q1275" i="11"/>
  <c r="Q1323" i="11"/>
  <c r="Q1492" i="11"/>
  <c r="Q1600" i="11"/>
  <c r="Q1710" i="11"/>
  <c r="Q1823" i="11"/>
  <c r="Q1934" i="11"/>
  <c r="Q2048" i="11"/>
  <c r="Q2121" i="11"/>
  <c r="Q2275" i="11"/>
  <c r="Q2388" i="11"/>
  <c r="Q2500" i="11"/>
  <c r="Q2612" i="11"/>
  <c r="Q2728" i="11"/>
  <c r="Q2841" i="11"/>
  <c r="Q2954" i="11"/>
  <c r="Q3068" i="11"/>
  <c r="Q16" i="11"/>
  <c r="Q133" i="11"/>
  <c r="Q245" i="11"/>
  <c r="Q361" i="11"/>
  <c r="Q474" i="11"/>
  <c r="Q588" i="11"/>
  <c r="Q706" i="11"/>
  <c r="Q821" i="11"/>
  <c r="Q1039" i="11"/>
  <c r="Q1146" i="11"/>
  <c r="Q1256" i="11"/>
  <c r="Q1367" i="11"/>
  <c r="Q1476" i="11"/>
  <c r="Q1586" i="11"/>
  <c r="Q1696" i="11"/>
  <c r="Q1855" i="11"/>
  <c r="Q1966" i="11"/>
  <c r="Q2086" i="11"/>
  <c r="Q2198" i="11"/>
  <c r="Q2321" i="11"/>
  <c r="Q2432" i="11"/>
  <c r="Q2544" i="11"/>
  <c r="Q2667" i="11"/>
  <c r="Q2714" i="11"/>
  <c r="Q2878" i="11"/>
  <c r="Q2991" i="11"/>
  <c r="Q3091" i="11"/>
  <c r="Q17" i="11"/>
  <c r="Q134" i="11"/>
  <c r="Q303" i="11"/>
  <c r="Q409" i="11"/>
  <c r="Q475" i="11"/>
  <c r="Q690" i="11"/>
  <c r="Q728" i="11"/>
  <c r="Q841" i="11"/>
  <c r="Q946" i="11"/>
  <c r="Q1069" i="11"/>
  <c r="Q1183" i="11"/>
  <c r="Q1299" i="11"/>
  <c r="Q1414" i="11"/>
  <c r="Q1587" i="11"/>
  <c r="Q1647" i="11"/>
  <c r="Q1757" i="11"/>
  <c r="Q1872" i="11"/>
  <c r="Q1988" i="11"/>
  <c r="Q2105" i="11"/>
  <c r="Q2219" i="11"/>
  <c r="Q2334" i="11"/>
  <c r="Q2450" i="11"/>
  <c r="Q2565" i="11"/>
  <c r="Q2681" i="11"/>
  <c r="Q2795" i="11"/>
  <c r="Q2911" i="11"/>
  <c r="Q3027" i="11"/>
  <c r="Q76" i="11"/>
  <c r="Q198" i="11"/>
  <c r="Q246" i="11"/>
  <c r="Q362" i="11"/>
  <c r="Q516" i="11"/>
  <c r="Q668" i="11"/>
  <c r="Q754" i="11"/>
  <c r="Q887" i="11"/>
  <c r="Q1040" i="11"/>
  <c r="Q1147" i="11"/>
  <c r="Q1257" i="11"/>
  <c r="Q1368" i="11"/>
  <c r="Q1477" i="11"/>
  <c r="Q1588" i="11"/>
  <c r="Q1697" i="11"/>
  <c r="Q1811" i="11"/>
  <c r="Q1922" i="11"/>
  <c r="Q2037" i="11"/>
  <c r="Q2150" i="11"/>
  <c r="Q2265" i="11"/>
  <c r="Q2376" i="11"/>
  <c r="Q2490" i="11"/>
  <c r="Q2603" i="11"/>
  <c r="Q2719" i="11"/>
  <c r="Q2834" i="11"/>
  <c r="Q2947" i="11"/>
  <c r="Q3060" i="11"/>
  <c r="Q106" i="11"/>
  <c r="Q223" i="11"/>
  <c r="Q304" i="11"/>
  <c r="Q391" i="11"/>
  <c r="Q476" i="11"/>
  <c r="Q691" i="11"/>
  <c r="Q755" i="11"/>
  <c r="Q861" i="11"/>
  <c r="Q975" i="11"/>
  <c r="Q1087" i="11"/>
  <c r="Q1228" i="11"/>
  <c r="Q1315" i="11"/>
  <c r="Q1430" i="11"/>
  <c r="Q1541" i="11"/>
  <c r="Q1654" i="11"/>
  <c r="Q1770" i="11"/>
  <c r="Q1960" i="11"/>
  <c r="Q1999" i="11"/>
  <c r="Q2116" i="11"/>
  <c r="Q2229" i="11"/>
  <c r="Q2344" i="11"/>
  <c r="Q2521" i="11"/>
  <c r="Q2632" i="11"/>
  <c r="Q2746" i="11"/>
  <c r="Q2858" i="11"/>
  <c r="Q2972" i="11"/>
  <c r="Q3087" i="11"/>
  <c r="Q107" i="11"/>
  <c r="Q224" i="11"/>
  <c r="Q265" i="11"/>
  <c r="Q376" i="11"/>
  <c r="Q535" i="11"/>
  <c r="Q652" i="11"/>
  <c r="Q788" i="11"/>
  <c r="Q898" i="11"/>
  <c r="Q1009" i="11"/>
  <c r="Q1118" i="11"/>
  <c r="Q1229" i="11"/>
  <c r="Q1342" i="11"/>
  <c r="Q1454" i="11"/>
  <c r="Q1563" i="11"/>
  <c r="Q1676" i="11"/>
  <c r="Q1792" i="11"/>
  <c r="Q1903" i="11"/>
  <c r="Q2076" i="11"/>
  <c r="Q2189" i="11"/>
  <c r="Q2301" i="11"/>
  <c r="Q2414" i="11"/>
  <c r="Q2526" i="11"/>
  <c r="Q2668" i="11"/>
  <c r="Q2780" i="11"/>
  <c r="Q2891" i="11"/>
  <c r="Q3004" i="11"/>
  <c r="Q3119" i="11"/>
  <c r="Q108" i="11"/>
  <c r="Q225" i="11"/>
  <c r="Q283" i="11"/>
  <c r="Q392" i="11"/>
  <c r="Q550" i="11"/>
  <c r="Q692" i="11"/>
  <c r="Q716" i="11"/>
  <c r="Q830" i="11"/>
  <c r="Q947" i="11"/>
  <c r="Q1061" i="11"/>
  <c r="Q1174" i="11"/>
  <c r="Q1288" i="11"/>
  <c r="Q1405" i="11"/>
  <c r="Q1522" i="11"/>
  <c r="Q1637" i="11"/>
  <c r="Q1758" i="11"/>
  <c r="Q1866" i="11"/>
  <c r="Q1982" i="11"/>
  <c r="Q2099" i="11"/>
  <c r="Q2215" i="11"/>
  <c r="Q2330" i="11"/>
  <c r="Q2446" i="11"/>
  <c r="Q2562" i="11"/>
  <c r="Q2678" i="11"/>
  <c r="Q2793" i="11"/>
  <c r="Q2909" i="11"/>
  <c r="Q3024" i="11"/>
  <c r="Q77" i="11"/>
  <c r="Q199" i="11"/>
  <c r="Q305" i="11"/>
  <c r="Q410" i="11"/>
  <c r="Q563" i="11"/>
  <c r="Q628" i="11"/>
  <c r="Q800" i="11"/>
  <c r="Q906" i="11"/>
  <c r="Q1017" i="11"/>
  <c r="Q1119" i="11"/>
  <c r="Q1235" i="11"/>
  <c r="Q1348" i="11"/>
  <c r="Q1459" i="11"/>
  <c r="Q1535" i="11"/>
  <c r="Q1648" i="11"/>
  <c r="Q1764" i="11"/>
  <c r="Q1877" i="11"/>
  <c r="Q2081" i="11"/>
  <c r="Q2194" i="11"/>
  <c r="Q2302" i="11"/>
  <c r="Q2356" i="11"/>
  <c r="Q2469" i="11"/>
  <c r="Q2584" i="11"/>
  <c r="Q2755" i="11"/>
  <c r="Q2866" i="11"/>
  <c r="Q2980" i="11"/>
  <c r="Q3061" i="11"/>
  <c r="Q44" i="11"/>
  <c r="Q176" i="11"/>
  <c r="Q325" i="11"/>
  <c r="Q426" i="11"/>
  <c r="Q576" i="11"/>
  <c r="Q615" i="11"/>
  <c r="Q779" i="11"/>
  <c r="Q888" i="11"/>
  <c r="Q976" i="11"/>
  <c r="Q1109" i="11"/>
  <c r="Q1218" i="11"/>
  <c r="Q1332" i="11"/>
  <c r="Q1444" i="11"/>
  <c r="Q1556" i="11"/>
  <c r="Q1670" i="11"/>
  <c r="Q1785" i="11"/>
  <c r="Q1896" i="11"/>
  <c r="Q2059" i="11"/>
  <c r="Q2171" i="11"/>
  <c r="Q2285" i="11"/>
  <c r="Q2349" i="11"/>
  <c r="Q2509" i="11"/>
  <c r="Q2621" i="11"/>
  <c r="Q2735" i="11"/>
  <c r="Q2848" i="11"/>
  <c r="Q2961" i="11"/>
  <c r="Q3077" i="11"/>
  <c r="Q18" i="11"/>
  <c r="Q154" i="11"/>
  <c r="Q306" i="11"/>
  <c r="Q446" i="11"/>
  <c r="Q577" i="11"/>
  <c r="Q602" i="11"/>
  <c r="Q789" i="11"/>
  <c r="Q899" i="11"/>
  <c r="Q1041" i="11"/>
  <c r="Q1148" i="11"/>
  <c r="Q1258" i="11"/>
  <c r="Q1369" i="11"/>
  <c r="Q1478" i="11"/>
  <c r="Q1589" i="11"/>
  <c r="Q1698" i="11"/>
  <c r="Q1812" i="11"/>
  <c r="Q1923" i="11"/>
  <c r="Q2038" i="11"/>
  <c r="Q2151" i="11"/>
  <c r="Q2266" i="11"/>
  <c r="Q2377" i="11"/>
  <c r="Q2491" i="11"/>
  <c r="Q2604" i="11"/>
  <c r="Q2784" i="11"/>
  <c r="Q2895" i="11"/>
  <c r="Q3007" i="11"/>
  <c r="Q3123" i="11"/>
  <c r="Q19" i="11"/>
  <c r="Q135" i="11"/>
  <c r="Q346" i="11"/>
  <c r="Q460" i="11"/>
  <c r="Q564" i="11"/>
  <c r="Q589" i="11"/>
  <c r="Q729" i="11"/>
  <c r="Q842" i="11"/>
  <c r="Q957" i="11"/>
  <c r="Q1070" i="11"/>
  <c r="Q1184" i="11"/>
  <c r="Q1300" i="11"/>
  <c r="Q1415" i="11"/>
  <c r="Q1528" i="11"/>
  <c r="Q1643" i="11"/>
  <c r="Q1759" i="11"/>
  <c r="Q1873" i="11"/>
  <c r="Q1989" i="11"/>
  <c r="Q2106" i="11"/>
  <c r="Q2220" i="11"/>
  <c r="Q2335" i="11"/>
  <c r="Q2451" i="11"/>
  <c r="Q2566" i="11"/>
  <c r="Q2682" i="11"/>
  <c r="Q2796" i="11"/>
  <c r="Q2912" i="11"/>
  <c r="Q3028" i="11"/>
  <c r="Q45" i="11"/>
  <c r="Q136" i="11"/>
  <c r="Q326" i="11"/>
  <c r="Q461" i="11"/>
  <c r="Q551" i="11"/>
  <c r="Q590" i="11"/>
  <c r="Q767" i="11"/>
  <c r="Q874" i="11"/>
  <c r="Q985" i="11"/>
  <c r="Q1098" i="11"/>
  <c r="Q1207" i="11"/>
  <c r="Q1324" i="11"/>
  <c r="Q1435" i="11"/>
  <c r="Q1549" i="11"/>
  <c r="Q1662" i="11"/>
  <c r="Q1777" i="11"/>
  <c r="Q1889" i="11"/>
  <c r="Q2006" i="11"/>
  <c r="Q2122" i="11"/>
  <c r="Q2235" i="11"/>
  <c r="Q2350" i="11"/>
  <c r="Q2464" i="11"/>
  <c r="Q2579" i="11"/>
  <c r="Q2694" i="11"/>
  <c r="Q2809" i="11"/>
  <c r="Q2923" i="11"/>
  <c r="Q3038" i="11"/>
  <c r="Q78" i="11"/>
  <c r="Q155" i="11"/>
  <c r="Q307" i="11"/>
  <c r="Q447" i="11"/>
  <c r="Q492" i="11"/>
  <c r="Q603" i="11"/>
  <c r="Q768" i="11"/>
  <c r="Q914" i="11"/>
  <c r="Q1042" i="11"/>
  <c r="Q1125" i="11"/>
  <c r="Q1236" i="11"/>
  <c r="Q1308" i="11"/>
  <c r="Q1436" i="11"/>
  <c r="Q1557" i="11"/>
  <c r="Q1680" i="11"/>
  <c r="Q1796" i="11"/>
  <c r="Q1907" i="11"/>
  <c r="Q2022" i="11"/>
  <c r="Q2137" i="11"/>
  <c r="Q2251" i="11"/>
  <c r="Q2364" i="11"/>
  <c r="Q2551" i="11"/>
  <c r="Q2661" i="11"/>
  <c r="Q2773" i="11"/>
  <c r="Q2884" i="11"/>
  <c r="Q2998" i="11"/>
  <c r="Q3113" i="11"/>
  <c r="Q79" i="11"/>
  <c r="Q177" i="11"/>
  <c r="Q284" i="11"/>
  <c r="Q427" i="11"/>
  <c r="Q517" i="11"/>
  <c r="Q616" i="11"/>
  <c r="Q801" i="11"/>
  <c r="Q907" i="11"/>
  <c r="Q1018" i="11"/>
  <c r="Q1126" i="11"/>
  <c r="Q1250" i="11"/>
  <c r="Q1289" i="11"/>
  <c r="Q1460" i="11"/>
  <c r="Q1568" i="11"/>
  <c r="Q1681" i="11"/>
  <c r="Q1797" i="11"/>
  <c r="Q1908" i="11"/>
  <c r="Q2023" i="11"/>
  <c r="Q2138" i="11"/>
  <c r="Q2252" i="11"/>
  <c r="Q2365" i="11"/>
  <c r="Q2477" i="11"/>
  <c r="Q2592" i="11"/>
  <c r="Q2707" i="11"/>
  <c r="Q2821" i="11"/>
  <c r="Q2936" i="11"/>
  <c r="Q3050" i="11"/>
  <c r="Q109" i="11"/>
  <c r="Q200" i="11"/>
  <c r="Q266" i="11"/>
  <c r="Q411" i="11"/>
  <c r="Q503" i="11"/>
  <c r="Q629" i="11"/>
  <c r="Q790" i="11"/>
  <c r="Q900" i="11"/>
  <c r="Q1010" i="11"/>
  <c r="Q1120" i="11"/>
  <c r="Q1230" i="11"/>
  <c r="Q1343" i="11"/>
  <c r="Q1455" i="11"/>
  <c r="Q1550" i="11"/>
  <c r="Q1677" i="11"/>
  <c r="Q1793" i="11"/>
  <c r="Q1904" i="11"/>
  <c r="Q2020" i="11"/>
  <c r="Q2135" i="11"/>
  <c r="Q2249" i="11"/>
  <c r="Q2339" i="11"/>
  <c r="Q2475" i="11"/>
  <c r="Q2590" i="11"/>
  <c r="Q2705" i="11"/>
  <c r="Q2819" i="11"/>
  <c r="Q2933" i="11"/>
  <c r="Q3048" i="11"/>
  <c r="Q80" i="11"/>
  <c r="Q226" i="11"/>
  <c r="Q247" i="11"/>
  <c r="Q393" i="11"/>
  <c r="Q493" i="11"/>
  <c r="Q639" i="11"/>
  <c r="Q780" i="11"/>
  <c r="Q889" i="11"/>
  <c r="Q999" i="11"/>
  <c r="Q1110" i="11"/>
  <c r="Q1219" i="11"/>
  <c r="Q1333" i="11"/>
  <c r="Q1445" i="11"/>
  <c r="Q1558" i="11"/>
  <c r="Q1671" i="11"/>
  <c r="Q1786" i="11"/>
  <c r="Q1897" i="11"/>
  <c r="Q2014" i="11"/>
  <c r="Q2129" i="11"/>
  <c r="Q2242" i="11"/>
  <c r="Q2357" i="11"/>
  <c r="Q2470" i="11"/>
  <c r="Q2585" i="11"/>
  <c r="Q2700" i="11"/>
  <c r="Q2814" i="11"/>
  <c r="Q2928" i="11"/>
  <c r="Q3043" i="11"/>
  <c r="Q46" i="11"/>
  <c r="Q227" i="11"/>
  <c r="Q248" i="11"/>
  <c r="Q377" i="11"/>
  <c r="Q477" i="11"/>
  <c r="Q653" i="11"/>
  <c r="Q756" i="11"/>
  <c r="Q862" i="11"/>
  <c r="Q977" i="11"/>
  <c r="Q1088" i="11"/>
  <c r="Q1200" i="11"/>
  <c r="Q1316" i="11"/>
  <c r="Q1431" i="11"/>
  <c r="Q1542" i="11"/>
  <c r="Q1655" i="11"/>
  <c r="Q1771" i="11"/>
  <c r="Q1882" i="11"/>
  <c r="Q2000" i="11"/>
  <c r="Q2117" i="11"/>
  <c r="Q2230" i="11"/>
  <c r="Q2345" i="11"/>
  <c r="Q2459" i="11"/>
  <c r="Q2574" i="11"/>
  <c r="Q2689" i="11"/>
  <c r="Q2804" i="11"/>
  <c r="Q2919" i="11"/>
  <c r="Q3034" i="11"/>
  <c r="Q20" i="11"/>
  <c r="Q201" i="11"/>
  <c r="Q267" i="11"/>
  <c r="Q363" i="11"/>
  <c r="Q478" i="11"/>
  <c r="Q669" i="11"/>
  <c r="Q742" i="11"/>
  <c r="Q852" i="11"/>
  <c r="Q966" i="11"/>
  <c r="Q1080" i="11"/>
  <c r="Q1192" i="11"/>
  <c r="Q1309" i="11"/>
  <c r="Q1423" i="11"/>
  <c r="Q1536" i="11"/>
  <c r="Q1649" i="11"/>
  <c r="Q1765" i="11"/>
  <c r="Q1878" i="11"/>
  <c r="Q1994" i="11"/>
  <c r="Q2111" i="11"/>
  <c r="Q2225" i="11"/>
  <c r="Q2340" i="11"/>
  <c r="Q2455" i="11"/>
  <c r="Q2571" i="11"/>
  <c r="Q2686" i="11"/>
  <c r="Q2801" i="11"/>
  <c r="Q2916" i="11"/>
  <c r="Q3030" i="11"/>
  <c r="Q21" i="11"/>
  <c r="Q178" i="11"/>
  <c r="Q285" i="11"/>
  <c r="Q364" i="11"/>
  <c r="Q494" i="11"/>
  <c r="Q680" i="11"/>
  <c r="Q781" i="11"/>
  <c r="Q926" i="11"/>
  <c r="Q1034" i="11"/>
  <c r="Q1099" i="11"/>
  <c r="Q1251" i="11"/>
  <c r="Q1361" i="11"/>
  <c r="Q1471" i="11"/>
  <c r="Q1580" i="11"/>
  <c r="Q1691" i="11"/>
  <c r="Q1804" i="11"/>
  <c r="Q1916" i="11"/>
  <c r="Q2071" i="11"/>
  <c r="Q2183" i="11"/>
  <c r="Q2297" i="11"/>
  <c r="Q2409" i="11"/>
  <c r="Q2522" i="11"/>
  <c r="Q2662" i="11"/>
  <c r="Q2774" i="11"/>
  <c r="Q2885" i="11"/>
  <c r="Q2976" i="11"/>
  <c r="Q3031" i="11"/>
  <c r="Q47" i="11"/>
  <c r="Q156" i="11"/>
  <c r="Q308" i="11"/>
  <c r="Q378" i="11"/>
  <c r="Q504" i="11"/>
  <c r="Q693" i="11"/>
  <c r="Q707" i="11"/>
  <c r="Q863" i="11"/>
  <c r="Q937" i="11"/>
  <c r="Q1052" i="11"/>
  <c r="Q1167" i="11"/>
  <c r="Q1282" i="11"/>
  <c r="Q1499" i="11"/>
  <c r="Q1623" i="11"/>
  <c r="Q1732" i="11"/>
  <c r="Q1843" i="11"/>
  <c r="Q1953" i="11"/>
  <c r="Q2065" i="11"/>
  <c r="Q2177" i="11"/>
  <c r="Q2243" i="11"/>
  <c r="Q2331" i="11"/>
  <c r="Q2447" i="11"/>
  <c r="Q2625" i="11"/>
  <c r="Q2739" i="11"/>
  <c r="Q2851" i="11"/>
  <c r="Q2965" i="11"/>
  <c r="Q3132" i="11"/>
  <c r="Q81" i="11"/>
  <c r="Q137" i="11"/>
  <c r="Q327" i="11"/>
  <c r="Q394" i="11"/>
  <c r="Q518" i="11"/>
  <c r="Q694" i="11"/>
  <c r="Q717" i="11"/>
  <c r="Q831" i="11"/>
  <c r="Q948" i="11"/>
  <c r="Q1062" i="11"/>
  <c r="Q1175" i="11"/>
  <c r="Q1290" i="11"/>
  <c r="Q1507" i="11"/>
  <c r="Q1615" i="11"/>
  <c r="Q1725" i="11"/>
  <c r="Q1836" i="11"/>
  <c r="Q1946" i="11"/>
  <c r="Q2060" i="11"/>
  <c r="Q2172" i="11"/>
  <c r="Q2286" i="11"/>
  <c r="Q2398" i="11"/>
  <c r="Q2510" i="11"/>
  <c r="Q2622" i="11"/>
  <c r="Q2736" i="11"/>
  <c r="Q2849" i="11"/>
  <c r="Q2962" i="11"/>
  <c r="Q3129" i="11"/>
  <c r="Q110" i="11"/>
  <c r="Q138" i="11"/>
  <c r="Q347" i="11"/>
  <c r="Q412" i="11"/>
  <c r="Q536" i="11"/>
  <c r="Q681" i="11"/>
  <c r="Q791" i="11"/>
  <c r="Q832" i="11"/>
  <c r="Q1043" i="11"/>
  <c r="Q1149" i="11"/>
  <c r="Q1276" i="11"/>
  <c r="Q1384" i="11"/>
  <c r="Q1493" i="11"/>
  <c r="Q1601" i="11"/>
  <c r="Q1711" i="11"/>
  <c r="Q1824" i="11"/>
  <c r="Q1935" i="11"/>
  <c r="Q2049" i="11"/>
  <c r="Q2160" i="11"/>
  <c r="Q2260" i="11"/>
  <c r="Q2324" i="11"/>
  <c r="Q2501" i="11"/>
  <c r="Q2613" i="11"/>
  <c r="Q2729" i="11"/>
  <c r="Q2842" i="11"/>
  <c r="Q2955" i="11"/>
  <c r="Q3069" i="11"/>
  <c r="Q111" i="11"/>
  <c r="Q157" i="11"/>
  <c r="Q348" i="11"/>
  <c r="Q428" i="11"/>
  <c r="Q552" i="11"/>
  <c r="Q670" i="11"/>
  <c r="Q718" i="11"/>
  <c r="Q875" i="11"/>
  <c r="Q1024" i="11"/>
  <c r="Q1150" i="11"/>
  <c r="Q1259" i="11"/>
  <c r="Q1370" i="11"/>
  <c r="Q1479" i="11"/>
  <c r="Q1514" i="11"/>
  <c r="Q1629" i="11"/>
  <c r="Q1745" i="11"/>
  <c r="Q1860" i="11"/>
  <c r="Q1976" i="11"/>
  <c r="Q2092" i="11"/>
  <c r="Q2208" i="11"/>
  <c r="Q2325" i="11"/>
  <c r="Q2441" i="11"/>
  <c r="Q2556" i="11"/>
  <c r="Q2672" i="11"/>
  <c r="Q2788" i="11"/>
  <c r="Q2904" i="11"/>
  <c r="Q3019" i="11"/>
  <c r="Q82" i="11"/>
  <c r="Q179" i="11"/>
  <c r="Q328" i="11"/>
  <c r="Q448" i="11"/>
  <c r="Q565" i="11"/>
  <c r="Q654" i="11"/>
  <c r="Q743" i="11"/>
  <c r="Q853" i="11"/>
  <c r="Q967" i="11"/>
  <c r="Q1081" i="11"/>
  <c r="Q1193" i="11"/>
  <c r="Q1310" i="11"/>
  <c r="Q1424" i="11"/>
  <c r="Q1537" i="11"/>
  <c r="Q1650" i="11"/>
  <c r="Q1766" i="11"/>
  <c r="Q1879" i="11"/>
  <c r="Q1995" i="11"/>
  <c r="Q2112" i="11"/>
  <c r="Q2226" i="11"/>
  <c r="Q2341" i="11"/>
  <c r="Q2515" i="11"/>
  <c r="Q2626" i="11"/>
  <c r="Q2740" i="11"/>
  <c r="Q2852" i="11"/>
  <c r="Q2966" i="11"/>
  <c r="Q3081" i="11"/>
  <c r="Q48" i="11"/>
  <c r="Q202" i="11"/>
  <c r="Q309" i="11"/>
  <c r="Q462" i="11"/>
  <c r="Q578" i="11"/>
  <c r="Q640" i="11"/>
  <c r="Q769" i="11"/>
  <c r="Q876" i="11"/>
  <c r="Q986" i="11"/>
  <c r="Q1100" i="11"/>
  <c r="Q1208" i="11"/>
  <c r="Q1325" i="11"/>
  <c r="Q1437" i="11"/>
  <c r="Q1551" i="11"/>
  <c r="Q1663" i="11"/>
  <c r="Q1778" i="11"/>
  <c r="Q1890" i="11"/>
  <c r="Q2066" i="11"/>
  <c r="Q2178" i="11"/>
  <c r="Q2292" i="11"/>
  <c r="Q2404" i="11"/>
  <c r="Q2516" i="11"/>
  <c r="Q2627" i="11"/>
  <c r="Q2741" i="11"/>
  <c r="Q2853" i="11"/>
  <c r="Q2967" i="11"/>
  <c r="Q3082" i="11"/>
  <c r="Q22" i="11"/>
  <c r="Q228" i="11"/>
  <c r="Q286" i="11"/>
  <c r="Q463" i="11"/>
  <c r="Q579" i="11"/>
  <c r="Q630" i="11"/>
  <c r="Q811" i="11"/>
  <c r="Q877" i="11"/>
  <c r="Q987" i="11"/>
  <c r="Q1151" i="11"/>
  <c r="Q1194" i="11"/>
  <c r="Q1354" i="11"/>
  <c r="Q1406" i="11"/>
  <c r="Q1543" i="11"/>
  <c r="Q1656" i="11"/>
  <c r="Q1772" i="11"/>
  <c r="Q1883" i="11"/>
  <c r="Q2087" i="11"/>
  <c r="Q2199" i="11"/>
  <c r="Q2311" i="11"/>
  <c r="Q2423" i="11"/>
  <c r="Q2535" i="11"/>
  <c r="Q2645" i="11"/>
  <c r="Q2759" i="11"/>
  <c r="Q2870" i="11"/>
  <c r="Q2983" i="11"/>
  <c r="Q3098" i="11"/>
  <c r="Q23" i="11"/>
  <c r="Q229" i="11"/>
  <c r="Q268" i="11"/>
  <c r="Q379" i="11"/>
  <c r="Q537" i="11"/>
  <c r="Q591" i="11"/>
  <c r="Q719" i="11"/>
  <c r="Q927" i="11"/>
  <c r="Q1035" i="11"/>
  <c r="Q1142" i="11"/>
  <c r="Q1209" i="11"/>
  <c r="Q1362" i="11"/>
  <c r="Q1472" i="11"/>
  <c r="Q1581" i="11"/>
  <c r="Q1692" i="11"/>
  <c r="Q1805" i="11"/>
  <c r="Q1917" i="11"/>
  <c r="Q2033" i="11"/>
  <c r="Q2146" i="11"/>
  <c r="Q2261" i="11"/>
  <c r="Q2373" i="11"/>
  <c r="Q2485" i="11"/>
  <c r="Q2600" i="11"/>
  <c r="Q2715" i="11"/>
  <c r="Q2829" i="11"/>
  <c r="Q2941" i="11"/>
  <c r="Q3057" i="11"/>
  <c r="Q49" i="11"/>
  <c r="Q203" i="11"/>
  <c r="Q249" i="11"/>
  <c r="Q429" i="11"/>
  <c r="Q553" i="11"/>
  <c r="Q604" i="11"/>
  <c r="Q744" i="11"/>
  <c r="Q854" i="11"/>
  <c r="Q968" i="11"/>
  <c r="Q1082" i="11"/>
  <c r="Q1195" i="11"/>
  <c r="Q1311" i="11"/>
  <c r="Q1425" i="11"/>
  <c r="Q1538" i="11"/>
  <c r="Q1651" i="11"/>
  <c r="Q1767" i="11"/>
  <c r="Q1874" i="11"/>
  <c r="Q1990" i="11"/>
  <c r="Q2107" i="11"/>
  <c r="Q2221" i="11"/>
  <c r="Q2336" i="11"/>
  <c r="Q2452" i="11"/>
  <c r="Q2567" i="11"/>
  <c r="Q2747" i="11"/>
  <c r="Q2797" i="11"/>
  <c r="Q2913" i="11"/>
  <c r="Q3029" i="11"/>
  <c r="Q112" i="11"/>
  <c r="Q204" i="11"/>
  <c r="Q310" i="11"/>
  <c r="Q413" i="11"/>
  <c r="Q519" i="11"/>
  <c r="Q631" i="11"/>
  <c r="Q757" i="11"/>
  <c r="Q864" i="11"/>
  <c r="Q978" i="11"/>
  <c r="Q1089" i="11"/>
  <c r="Q1277" i="11"/>
  <c r="Q1291" i="11"/>
  <c r="Q1407" i="11"/>
  <c r="Q1552" i="11"/>
  <c r="Q1664" i="11"/>
  <c r="Q1779" i="11"/>
  <c r="Q1891" i="11"/>
  <c r="Q2007" i="11"/>
  <c r="Q2123" i="11"/>
  <c r="Q2236" i="11"/>
  <c r="Q2351" i="11"/>
  <c r="Q2552" i="11"/>
  <c r="Q2633" i="11"/>
  <c r="Q2775" i="11"/>
  <c r="Q2886" i="11"/>
  <c r="Q2999" i="11"/>
  <c r="Q3114" i="11"/>
  <c r="Q113" i="11"/>
  <c r="Q158" i="11"/>
  <c r="Q329" i="11"/>
  <c r="Q430" i="11"/>
  <c r="Q538" i="11"/>
  <c r="Q641" i="11"/>
  <c r="Q782" i="11"/>
  <c r="Q890" i="11"/>
  <c r="Q1000" i="11"/>
  <c r="Q1111" i="11"/>
  <c r="Q1220" i="11"/>
  <c r="Q1334" i="11"/>
  <c r="Q1446" i="11"/>
  <c r="Q1529" i="11"/>
  <c r="Q1644" i="11"/>
  <c r="Q1760" i="11"/>
  <c r="Q1924" i="11"/>
  <c r="Q2082" i="11"/>
  <c r="Q2100" i="11"/>
  <c r="Q2307" i="11"/>
  <c r="Q2419" i="11"/>
  <c r="Q2531" i="11"/>
  <c r="Q2669" i="11"/>
  <c r="Q2781" i="11"/>
  <c r="Q2892" i="11"/>
  <c r="Q3005" i="11"/>
  <c r="Q3120" i="11"/>
  <c r="Q50" i="11"/>
  <c r="Q205" i="11"/>
  <c r="Q349" i="11"/>
  <c r="Q464" i="11"/>
  <c r="Q566" i="11"/>
  <c r="Q671" i="11"/>
  <c r="Q802" i="11"/>
  <c r="Q928" i="11"/>
  <c r="Q1036" i="11"/>
  <c r="Q1143" i="11"/>
  <c r="Q1252" i="11"/>
  <c r="Q1363" i="11"/>
  <c r="Q1473" i="11"/>
  <c r="Q1582" i="11"/>
  <c r="Q1693" i="11"/>
  <c r="Q1806" i="11"/>
  <c r="Q1918" i="11"/>
  <c r="Q2034" i="11"/>
  <c r="Q2147" i="11"/>
  <c r="Q2262" i="11"/>
  <c r="Q2374" i="11"/>
  <c r="Q2486" i="11"/>
  <c r="Q2601" i="11"/>
  <c r="Q2716" i="11"/>
  <c r="Q2830" i="11"/>
  <c r="Q2942" i="11"/>
  <c r="Q3058" i="11"/>
  <c r="Q24" i="11"/>
  <c r="Q159" i="11"/>
  <c r="Q269" i="11"/>
  <c r="Q365" i="11"/>
  <c r="Q580" i="11"/>
  <c r="Q695" i="11"/>
  <c r="Q812" i="11"/>
  <c r="Q915" i="11"/>
  <c r="Q1025" i="11"/>
  <c r="Q1161" i="11"/>
  <c r="Q1269" i="11"/>
  <c r="Q1378" i="11"/>
  <c r="Q1486" i="11"/>
  <c r="Q1595" i="11"/>
  <c r="Q1704" i="11"/>
  <c r="Q1780" i="11"/>
  <c r="Q1967" i="11"/>
  <c r="Q2043" i="11"/>
  <c r="Q2156" i="11"/>
  <c r="Q2271" i="11"/>
  <c r="Q2384" i="11"/>
  <c r="Q2456" i="11"/>
  <c r="Q2637" i="11"/>
  <c r="Q2720" i="11"/>
  <c r="Q2798" i="11"/>
  <c r="Q3017" i="11"/>
  <c r="Q3078" i="11"/>
  <c r="Q51" i="11"/>
  <c r="Q230" i="11"/>
  <c r="Q287" i="11"/>
  <c r="Q431" i="11"/>
  <c r="Q567" i="11"/>
  <c r="Q696" i="11"/>
  <c r="Q708" i="11"/>
  <c r="Q822" i="11"/>
  <c r="Q938" i="11"/>
  <c r="Q1053" i="11"/>
  <c r="Q1168" i="11"/>
  <c r="Q1283" i="11"/>
  <c r="Q1398" i="11"/>
  <c r="Q1515" i="11"/>
  <c r="Q1630" i="11"/>
  <c r="Q1746" i="11"/>
  <c r="Q1861" i="11"/>
  <c r="Q1977" i="11"/>
  <c r="Q2093" i="11"/>
  <c r="Q2209" i="11"/>
  <c r="Q2436" i="11"/>
  <c r="Q2548" i="11"/>
  <c r="Q2657" i="11"/>
  <c r="Q2770" i="11"/>
  <c r="Q2881" i="11"/>
  <c r="Q2994" i="11"/>
  <c r="Q3109" i="11"/>
  <c r="Q83" i="11"/>
  <c r="Q206" i="11"/>
  <c r="Q270" i="11"/>
  <c r="Q414" i="11"/>
  <c r="Q539" i="11"/>
  <c r="Q682" i="11"/>
  <c r="Q792" i="11"/>
  <c r="Q901" i="11"/>
  <c r="Q1011" i="11"/>
  <c r="Q1121" i="11"/>
  <c r="Q1231" i="11"/>
  <c r="Q1392" i="11"/>
  <c r="Q1500" i="11"/>
  <c r="Q1608" i="11"/>
  <c r="Q1718" i="11"/>
  <c r="Q1768" i="11"/>
  <c r="Q1940" i="11"/>
  <c r="Q2054" i="11"/>
  <c r="Q2166" i="11"/>
  <c r="Q2281" i="11"/>
  <c r="Q2378" i="11"/>
  <c r="Q2505" i="11"/>
  <c r="Q2617" i="11"/>
  <c r="Q2785" i="11"/>
  <c r="Q2896" i="11"/>
  <c r="Q3008" i="11"/>
  <c r="Q3124" i="11"/>
  <c r="Q114" i="11"/>
  <c r="Q180" i="11"/>
  <c r="Q250" i="11"/>
  <c r="Q380" i="11"/>
  <c r="Q520" i="11"/>
  <c r="Q655" i="11"/>
  <c r="Q758" i="11"/>
  <c r="Q865" i="11"/>
  <c r="Q979" i="11"/>
  <c r="Q1090" i="11"/>
  <c r="Q1201" i="11"/>
  <c r="Q1317" i="11"/>
  <c r="Q1432" i="11"/>
  <c r="Q1544" i="11"/>
  <c r="Q1657" i="11"/>
  <c r="Q1773" i="11"/>
  <c r="Q1884" i="11"/>
  <c r="Q2001" i="11"/>
  <c r="Q2118" i="11"/>
  <c r="Q2231" i="11"/>
  <c r="Q2346" i="11"/>
  <c r="Q2460" i="11"/>
  <c r="Q2575" i="11"/>
  <c r="Q2690" i="11"/>
  <c r="Q2805" i="11"/>
  <c r="Q2943" i="11"/>
  <c r="Q3133" i="11"/>
  <c r="Q52" i="11"/>
  <c r="Q231" i="11"/>
  <c r="Q311" i="11"/>
  <c r="Q381" i="11"/>
  <c r="Q479" i="11"/>
  <c r="Q617" i="11"/>
  <c r="Q745" i="11"/>
  <c r="Q855" i="11"/>
  <c r="Q1044" i="11"/>
  <c r="Q1152" i="11"/>
  <c r="Q1260" i="11"/>
  <c r="Q1371" i="11"/>
  <c r="Q1480" i="11"/>
  <c r="Q1590" i="11"/>
  <c r="Q1705" i="11"/>
  <c r="Q1813" i="11"/>
  <c r="Q1925" i="11"/>
  <c r="Q2039" i="11"/>
  <c r="Q2152" i="11"/>
  <c r="Q2267" i="11"/>
  <c r="Q2379" i="11"/>
  <c r="Q2492" i="11"/>
  <c r="Q2605" i="11"/>
  <c r="Q2721" i="11"/>
  <c r="Q2835" i="11"/>
  <c r="Q2948" i="11"/>
  <c r="Q3062" i="11"/>
  <c r="Q25" i="11"/>
  <c r="Q207" i="11"/>
  <c r="Q330" i="11"/>
  <c r="Q395" i="11"/>
  <c r="Q480" i="11"/>
  <c r="Q605" i="11"/>
  <c r="Q3137" i="11"/>
  <c r="Q3142" i="11"/>
  <c r="Q3147" i="11"/>
  <c r="Q3152" i="11"/>
  <c r="Q3157" i="11"/>
  <c r="Q3162" i="11"/>
  <c r="Q3167" i="11"/>
  <c r="Q3172" i="11"/>
  <c r="Q3177" i="11"/>
  <c r="Q3182" i="11"/>
  <c r="Q3187" i="11"/>
  <c r="Q3192" i="11"/>
  <c r="Q3197" i="11"/>
  <c r="Q3202" i="11"/>
  <c r="Q3207" i="11"/>
  <c r="Q3212" i="11"/>
  <c r="Q3217" i="11"/>
  <c r="Q3222" i="11"/>
  <c r="Q3227" i="11"/>
  <c r="Q3232" i="11"/>
  <c r="Q3237" i="11"/>
  <c r="Q3134" i="11"/>
  <c r="Q770" i="11"/>
  <c r="Q823" i="11"/>
  <c r="Q988" i="11"/>
  <c r="Q1054" i="11"/>
  <c r="Q1169" i="11"/>
  <c r="Q1284" i="11"/>
  <c r="Q1399" i="11"/>
  <c r="Q1516" i="11"/>
  <c r="Q1631" i="11"/>
  <c r="Q1747" i="11"/>
  <c r="Q1862" i="11"/>
  <c r="Q1978" i="11"/>
  <c r="Q2094" i="11"/>
  <c r="Q2210" i="11"/>
  <c r="Q2326" i="11"/>
  <c r="Q2442" i="11"/>
  <c r="Q2557" i="11"/>
  <c r="Q2673" i="11"/>
  <c r="Q2789" i="11"/>
  <c r="Q2905" i="11"/>
  <c r="Q3020" i="11"/>
  <c r="Q115" i="11"/>
  <c r="Q139" i="11"/>
  <c r="Q331" i="11"/>
  <c r="Q449" i="11"/>
  <c r="Q521" i="11"/>
  <c r="Q606" i="11"/>
  <c r="Q759" i="11"/>
  <c r="Q866" i="11"/>
  <c r="Q989" i="11"/>
  <c r="Q1091" i="11"/>
  <c r="Q1202" i="11"/>
  <c r="Q1393" i="11"/>
  <c r="Q1501" i="11"/>
  <c r="Q1624" i="11"/>
  <c r="Q1733" i="11"/>
  <c r="Q1850" i="11"/>
  <c r="Q1973" i="11"/>
  <c r="Q2008" i="11"/>
  <c r="Q2124" i="11"/>
  <c r="Q2237" i="11"/>
  <c r="Q2352" i="11"/>
  <c r="Q2465" i="11"/>
  <c r="Q2580" i="11"/>
  <c r="Q2695" i="11"/>
  <c r="Q2901" i="11"/>
  <c r="Q3013" i="11"/>
  <c r="Q3051" i="11"/>
  <c r="Q84" i="11"/>
  <c r="Q181" i="11"/>
  <c r="Q251" i="11"/>
  <c r="Q415" i="11"/>
  <c r="Q540" i="11"/>
  <c r="Q592" i="11"/>
  <c r="Q730" i="11"/>
  <c r="Q929" i="11"/>
  <c r="Q1045" i="11"/>
  <c r="Q1153" i="11"/>
  <c r="Q1261" i="11"/>
  <c r="Q1372" i="11"/>
  <c r="Q1508" i="11"/>
  <c r="Q1616" i="11"/>
  <c r="Q1726" i="11"/>
  <c r="Q1837" i="11"/>
  <c r="Q1947" i="11"/>
  <c r="Q2088" i="11"/>
  <c r="Q2205" i="11"/>
  <c r="Q2317" i="11"/>
  <c r="Q2380" i="11"/>
  <c r="Q2487" i="11"/>
  <c r="Q2651" i="11"/>
  <c r="Q2764" i="11"/>
  <c r="Q2875" i="11"/>
  <c r="Q2988" i="11"/>
  <c r="Q3103" i="11"/>
  <c r="Q116" i="11"/>
  <c r="Q232" i="11"/>
  <c r="Q332" i="11"/>
  <c r="Q416" i="11"/>
  <c r="Q505" i="11"/>
  <c r="Q697" i="11"/>
  <c r="Q709" i="11"/>
  <c r="Q824" i="11"/>
  <c r="Q939" i="11"/>
  <c r="Q1055" i="11"/>
  <c r="Q1170" i="11"/>
  <c r="Q1285" i="11"/>
  <c r="Q1400" i="11"/>
  <c r="Q1517" i="11"/>
  <c r="Q1632" i="11"/>
  <c r="Q1748" i="11"/>
  <c r="Q1863" i="11"/>
  <c r="Q1979" i="11"/>
  <c r="Q2095" i="11"/>
  <c r="Q2211" i="11"/>
  <c r="Q2327" i="11"/>
  <c r="Q2443" i="11"/>
  <c r="Q2558" i="11"/>
  <c r="Q2674" i="11"/>
  <c r="Q2790" i="11"/>
  <c r="Q2906" i="11"/>
  <c r="Q3021" i="11"/>
  <c r="Q26" i="11"/>
  <c r="Q140" i="11"/>
  <c r="Q271" i="11"/>
  <c r="Q432" i="11"/>
  <c r="Q581" i="11"/>
  <c r="Q656" i="11"/>
  <c r="Q720" i="11"/>
  <c r="Q833" i="11"/>
  <c r="Q949" i="11"/>
  <c r="Q1063" i="11"/>
  <c r="Q1176" i="11"/>
  <c r="Q1292" i="11"/>
  <c r="Q1408" i="11"/>
  <c r="Q1523" i="11"/>
  <c r="Q1638" i="11"/>
  <c r="Q1752" i="11"/>
  <c r="Q1867" i="11"/>
  <c r="Q1983" i="11"/>
  <c r="Q2101" i="11"/>
  <c r="Q2216" i="11"/>
  <c r="Q2437" i="11"/>
  <c r="Q2553" i="11"/>
  <c r="Q2658" i="11"/>
  <c r="Q2771" i="11"/>
  <c r="Q2882" i="11"/>
  <c r="Q2995" i="11"/>
  <c r="Q3110" i="11"/>
  <c r="Q27" i="11"/>
  <c r="Q160" i="11"/>
  <c r="Q288" i="11"/>
  <c r="Q417" i="11"/>
  <c r="Q568" i="11"/>
  <c r="Q642" i="11"/>
  <c r="Q731" i="11"/>
  <c r="Q878" i="11"/>
  <c r="Q990" i="11"/>
  <c r="Q1071" i="11"/>
  <c r="Q1185" i="11"/>
  <c r="Q1301" i="11"/>
  <c r="Q1416" i="11"/>
  <c r="Q1530" i="11"/>
  <c r="Q1740" i="11"/>
  <c r="Q1856" i="11"/>
  <c r="Q1968" i="11"/>
  <c r="Q2077" i="11"/>
  <c r="Q2190" i="11"/>
  <c r="Q2303" i="11"/>
  <c r="Q2415" i="11"/>
  <c r="Q2527" i="11"/>
  <c r="Q2638" i="11"/>
  <c r="Q2752" i="11"/>
  <c r="Q2863" i="11"/>
  <c r="Q2977" i="11"/>
  <c r="Q3092" i="11"/>
  <c r="Q53" i="11"/>
  <c r="Q182" i="11"/>
  <c r="Q312" i="11"/>
  <c r="Q396" i="11"/>
  <c r="Q554" i="11"/>
  <c r="Q632" i="11"/>
  <c r="Q783" i="11"/>
  <c r="Q891" i="11"/>
  <c r="Q1001" i="11"/>
  <c r="Q1112" i="11"/>
  <c r="Q1221" i="11"/>
  <c r="Q1335" i="11"/>
  <c r="Q1447" i="11"/>
  <c r="Q1569" i="11"/>
  <c r="Q1672" i="11"/>
  <c r="Q1787" i="11"/>
  <c r="Q1898" i="11"/>
  <c r="Q2015" i="11"/>
  <c r="Q2130" i="11"/>
  <c r="Q2244" i="11"/>
  <c r="Q2358" i="11"/>
  <c r="Q2471" i="11"/>
  <c r="Q2586" i="11"/>
  <c r="Q2701" i="11"/>
  <c r="Q2815" i="11"/>
  <c r="Q2929" i="11"/>
  <c r="Q3044" i="11"/>
  <c r="Q85" i="11"/>
  <c r="Q208" i="11"/>
  <c r="Q272" i="11"/>
  <c r="Q433" i="11"/>
  <c r="Q495" i="11"/>
  <c r="Q683" i="11"/>
  <c r="Q793" i="11"/>
  <c r="Q908" i="11"/>
  <c r="Q1037" i="11"/>
  <c r="Q1144" i="11"/>
  <c r="Q1177" i="11"/>
  <c r="Q1293" i="11"/>
  <c r="Q1438" i="11"/>
  <c r="Q1564" i="11"/>
  <c r="Q1678" i="11"/>
  <c r="Q1857" i="11"/>
  <c r="Q1880" i="11"/>
  <c r="Q1996" i="11"/>
  <c r="Q2113" i="11"/>
  <c r="Q2227" i="11"/>
  <c r="Q2342" i="11"/>
  <c r="Q2457" i="11"/>
  <c r="Q2572" i="11"/>
  <c r="Q2687" i="11"/>
  <c r="Q2802" i="11"/>
  <c r="Q2917" i="11"/>
  <c r="Q3032" i="11"/>
  <c r="Q54" i="11"/>
  <c r="Q183" i="11"/>
  <c r="Q252" i="11"/>
  <c r="Q434" i="11"/>
  <c r="Q496" i="11"/>
  <c r="Q607" i="11"/>
  <c r="Q803" i="11"/>
  <c r="Q909" i="11"/>
  <c r="Q1019" i="11"/>
  <c r="Q1127" i="11"/>
  <c r="Q1237" i="11"/>
  <c r="Q1349" i="11"/>
  <c r="Q1461" i="11"/>
  <c r="Q1570" i="11"/>
  <c r="Q1682" i="11"/>
  <c r="Q1798" i="11"/>
  <c r="Q1909" i="11"/>
  <c r="Q2024" i="11"/>
  <c r="Q2139" i="11"/>
  <c r="Q2253" i="11"/>
  <c r="Q2366" i="11"/>
  <c r="Q2478" i="11"/>
  <c r="Q2593" i="11"/>
  <c r="Q2708" i="11"/>
  <c r="Q2822" i="11"/>
  <c r="Q2937" i="11"/>
  <c r="Q3052" i="11"/>
  <c r="Q28" i="11"/>
  <c r="Q161" i="11"/>
  <c r="Q253" i="11"/>
  <c r="Q465" i="11"/>
  <c r="Q481" i="11"/>
  <c r="Q657" i="11"/>
  <c r="Q771" i="11"/>
  <c r="Q879" i="11"/>
  <c r="Q991" i="11"/>
  <c r="Q1101" i="11"/>
  <c r="Q1210" i="11"/>
  <c r="Q1326" i="11"/>
  <c r="Q1439" i="11"/>
  <c r="Q1553" i="11"/>
  <c r="Q1665" i="11"/>
  <c r="Q1781" i="11"/>
  <c r="Q1892" i="11"/>
  <c r="Q2009" i="11"/>
  <c r="Q2125" i="11"/>
  <c r="Q2238" i="11"/>
  <c r="Q2353" i="11"/>
  <c r="Q2466" i="11"/>
  <c r="Q2581" i="11"/>
  <c r="Q2696" i="11"/>
  <c r="Q2810" i="11"/>
  <c r="Q2924" i="11"/>
  <c r="Q3039" i="11"/>
  <c r="Q55" i="11"/>
  <c r="Q184" i="11"/>
  <c r="Q289" i="11"/>
  <c r="Q397" i="11"/>
  <c r="Q506" i="11"/>
  <c r="Q658" i="11"/>
  <c r="Q813" i="11"/>
  <c r="Q916" i="11"/>
  <c r="Q1026" i="11"/>
  <c r="Q1134" i="11"/>
  <c r="Q1242" i="11"/>
  <c r="Q1355" i="11"/>
  <c r="Q1466" i="11"/>
  <c r="Q1574" i="11"/>
  <c r="Q1686" i="11"/>
  <c r="Q1799" i="11"/>
  <c r="Q1912" i="11"/>
  <c r="Q2027" i="11"/>
  <c r="Q2141" i="11"/>
  <c r="Q2255" i="11"/>
  <c r="Q2367" i="11"/>
  <c r="Q2481" i="11"/>
  <c r="Q2595" i="11"/>
  <c r="Q2710" i="11"/>
  <c r="Q2824" i="11"/>
  <c r="Q2938" i="11"/>
  <c r="Q3053" i="11"/>
  <c r="Q56" i="11"/>
  <c r="Q233" i="11"/>
  <c r="Q290" i="11"/>
  <c r="Q450" i="11"/>
  <c r="Q507" i="11"/>
  <c r="Q643" i="11"/>
  <c r="Q772" i="11"/>
  <c r="Q880" i="11"/>
  <c r="Q992" i="11"/>
  <c r="Q1102" i="11"/>
  <c r="Q1211" i="11"/>
  <c r="Q1344" i="11"/>
  <c r="Q1401" i="11"/>
  <c r="Q1625" i="11"/>
  <c r="Q1734" i="11"/>
  <c r="Q1844" i="11"/>
  <c r="Q1954" i="11"/>
  <c r="Q2089" i="11"/>
  <c r="Q2200" i="11"/>
  <c r="Q2312" i="11"/>
  <c r="Q2424" i="11"/>
  <c r="Q2536" i="11"/>
  <c r="Q2646" i="11"/>
  <c r="Q2760" i="11"/>
  <c r="Q2871" i="11"/>
  <c r="Q2984" i="11"/>
  <c r="Q3099" i="11"/>
  <c r="Q86" i="11"/>
  <c r="Q162" i="11"/>
  <c r="Q313" i="11"/>
  <c r="Q435" i="11"/>
  <c r="Q522" i="11"/>
  <c r="Q618" i="11"/>
  <c r="Q732" i="11"/>
  <c r="Q843" i="11"/>
  <c r="Q958" i="11"/>
  <c r="Q1072" i="11"/>
  <c r="Q1186" i="11"/>
  <c r="Q1302" i="11"/>
  <c r="Q1509" i="11"/>
  <c r="Q1617" i="11"/>
  <c r="Q1741" i="11"/>
  <c r="Q1851" i="11"/>
  <c r="Q1961" i="11"/>
  <c r="Q1997" i="11"/>
  <c r="Q2114" i="11"/>
  <c r="Q2256" i="11"/>
  <c r="Q2368" i="11"/>
  <c r="Q2549" i="11"/>
  <c r="Q2659" i="11"/>
  <c r="Q2772" i="11"/>
  <c r="Q2883" i="11"/>
  <c r="Q2996" i="11"/>
  <c r="Q3111" i="11"/>
  <c r="Q87" i="11"/>
  <c r="Q185" i="11"/>
  <c r="Q291" i="11"/>
  <c r="Q399" i="11"/>
  <c r="Q508" i="11"/>
  <c r="Q619" i="11"/>
  <c r="K204" i="11"/>
  <c r="K158" i="11"/>
  <c r="K205" i="11"/>
  <c r="K159" i="11"/>
  <c r="K230" i="11"/>
  <c r="K206" i="11"/>
  <c r="K180" i="11"/>
  <c r="K231" i="11"/>
  <c r="K207" i="11"/>
  <c r="K139" i="11"/>
  <c r="K118" i="11"/>
  <c r="K141" i="11"/>
  <c r="K165" i="11"/>
  <c r="K209" i="11"/>
  <c r="K210" i="11"/>
  <c r="K186" i="11"/>
  <c r="K166" i="11"/>
  <c r="K142" i="11"/>
  <c r="K119" i="11"/>
  <c r="K120" i="11"/>
  <c r="K143" i="11"/>
  <c r="K189" i="11"/>
  <c r="K219" i="11"/>
  <c r="K195" i="11"/>
  <c r="K221" i="11"/>
  <c r="K148" i="11"/>
  <c r="K129" i="11"/>
  <c r="K130" i="11"/>
  <c r="K149" i="11"/>
  <c r="K172" i="11"/>
  <c r="K196" i="11"/>
  <c r="K223" i="11"/>
  <c r="K232" i="11"/>
  <c r="K208" i="11"/>
  <c r="K183" i="11"/>
  <c r="K161" i="11"/>
  <c r="K162" i="11"/>
  <c r="K215" i="11"/>
  <c r="K234" i="11"/>
  <c r="K334" i="11"/>
  <c r="K335" i="11"/>
  <c r="K315" i="11"/>
  <c r="K294" i="11"/>
  <c r="K236" i="11"/>
  <c r="K256" i="11"/>
  <c r="K237" i="11"/>
  <c r="K238" i="11"/>
  <c r="K257" i="11"/>
  <c r="K278" i="11"/>
  <c r="K296" i="11"/>
  <c r="K337" i="11"/>
  <c r="K338" i="11"/>
  <c r="K318" i="11"/>
  <c r="K297" i="11"/>
  <c r="K279" i="11"/>
  <c r="K258" i="11"/>
  <c r="K240" i="11"/>
  <c r="K260" i="11"/>
  <c r="K261" i="11"/>
  <c r="K302" i="11"/>
  <c r="K323" i="11"/>
  <c r="K344" i="11"/>
  <c r="K345" i="11"/>
  <c r="K242" i="11"/>
  <c r="K324" i="11"/>
  <c r="K264" i="11"/>
  <c r="K303" i="11"/>
  <c r="K246" i="11"/>
  <c r="K265" i="11"/>
  <c r="K283" i="11"/>
  <c r="K305" i="11"/>
  <c r="K325" i="11"/>
  <c r="K306" i="11"/>
  <c r="K346" i="11"/>
  <c r="K326" i="11"/>
  <c r="K307" i="11"/>
  <c r="K284" i="11"/>
  <c r="K266" i="11"/>
  <c r="K247" i="11"/>
  <c r="K248" i="11"/>
  <c r="K267" i="11"/>
  <c r="K285" i="11"/>
  <c r="K308" i="11"/>
  <c r="K327" i="11"/>
  <c r="K347" i="11"/>
  <c r="K348" i="11"/>
  <c r="K328" i="11"/>
  <c r="K309" i="11"/>
  <c r="K286" i="11"/>
  <c r="K268" i="11"/>
  <c r="K249" i="11"/>
  <c r="K251" i="11"/>
  <c r="K273" i="11"/>
  <c r="K276" i="11"/>
  <c r="K298" i="11"/>
  <c r="K319" i="11"/>
  <c r="K339" i="11"/>
  <c r="K340" i="11"/>
  <c r="K280" i="11"/>
  <c r="K299" i="11"/>
  <c r="K281" i="11"/>
  <c r="K243" i="11"/>
  <c r="K320" i="11"/>
  <c r="K341" i="11"/>
  <c r="K263" i="11"/>
  <c r="K244" i="11"/>
  <c r="K271" i="11"/>
  <c r="K288" i="11"/>
  <c r="K312" i="11"/>
  <c r="K295" i="11"/>
  <c r="K245" i="11"/>
  <c r="K291" i="11"/>
  <c r="K290" i="11"/>
  <c r="K310" i="11"/>
  <c r="K329" i="11"/>
  <c r="K349" i="11"/>
  <c r="K269" i="11"/>
  <c r="K287" i="11"/>
  <c r="K270" i="11"/>
  <c r="K250" i="11"/>
  <c r="K311" i="11"/>
  <c r="K330" i="11"/>
  <c r="K331" i="11"/>
  <c r="K292" i="11"/>
  <c r="K274" i="11"/>
  <c r="K254" i="11"/>
  <c r="K235" i="11"/>
  <c r="K255" i="11"/>
  <c r="K275" i="11"/>
  <c r="K293" i="11"/>
  <c r="K314" i="11"/>
  <c r="K333" i="11"/>
  <c r="K336" i="11"/>
  <c r="K316" i="11"/>
  <c r="K277" i="11"/>
  <c r="K239" i="11"/>
  <c r="K241" i="11"/>
  <c r="K262" i="11"/>
  <c r="K282" i="11"/>
  <c r="K300" i="11"/>
  <c r="K321" i="11"/>
  <c r="K342" i="11"/>
  <c r="K343" i="11"/>
  <c r="K322" i="11"/>
  <c r="K304" i="11"/>
  <c r="K332" i="11"/>
  <c r="K272" i="11"/>
  <c r="K252" i="11"/>
  <c r="K253" i="11"/>
  <c r="K313" i="11"/>
  <c r="K259" i="11"/>
  <c r="K418" i="11"/>
  <c r="K402" i="11"/>
  <c r="K368" i="11"/>
  <c r="K352" i="11"/>
  <c r="K353" i="11"/>
  <c r="K369" i="11"/>
  <c r="K384" i="11"/>
  <c r="K404" i="11"/>
  <c r="K420" i="11"/>
  <c r="K438" i="11"/>
  <c r="K452" i="11"/>
  <c r="K453" i="11"/>
  <c r="K421" i="11"/>
  <c r="K405" i="11"/>
  <c r="K385" i="11"/>
  <c r="K371" i="11"/>
  <c r="K354" i="11"/>
  <c r="K355" i="11"/>
  <c r="K387" i="11"/>
  <c r="K407" i="11"/>
  <c r="K423" i="11"/>
  <c r="K443" i="11"/>
  <c r="K456" i="11"/>
  <c r="K457" i="11"/>
  <c r="K444" i="11"/>
  <c r="K425" i="11"/>
  <c r="K390" i="11"/>
  <c r="K375" i="11"/>
  <c r="K409" i="11"/>
  <c r="K362" i="11"/>
  <c r="K376" i="11"/>
  <c r="K392" i="11"/>
  <c r="K410" i="11"/>
  <c r="K426" i="11"/>
  <c r="K446" i="11"/>
  <c r="K460" i="11"/>
  <c r="K461" i="11"/>
  <c r="K447" i="11"/>
  <c r="K427" i="11"/>
  <c r="K411" i="11"/>
  <c r="K393" i="11"/>
  <c r="K377" i="11"/>
  <c r="K363" i="11"/>
  <c r="K364" i="11"/>
  <c r="K378" i="11"/>
  <c r="K394" i="11"/>
  <c r="K412" i="11"/>
  <c r="K428" i="11"/>
  <c r="K448" i="11"/>
  <c r="K462" i="11"/>
  <c r="K463" i="11"/>
  <c r="K379" i="11"/>
  <c r="K429" i="11"/>
  <c r="K415" i="11"/>
  <c r="K398" i="11"/>
  <c r="K370" i="11"/>
  <c r="K356" i="11"/>
  <c r="K357" i="11"/>
  <c r="K372" i="11"/>
  <c r="K386" i="11"/>
  <c r="K406" i="11"/>
  <c r="K422" i="11"/>
  <c r="K440" i="11"/>
  <c r="K459" i="11"/>
  <c r="K373" i="11"/>
  <c r="K358" i="11"/>
  <c r="K458" i="11"/>
  <c r="K445" i="11"/>
  <c r="K432" i="11"/>
  <c r="K417" i="11"/>
  <c r="K396" i="11"/>
  <c r="K419" i="11"/>
  <c r="K361" i="11"/>
  <c r="K399" i="11"/>
  <c r="K450" i="11"/>
  <c r="K413" i="11"/>
  <c r="K430" i="11"/>
  <c r="K464" i="11"/>
  <c r="K365" i="11"/>
  <c r="K431" i="11"/>
  <c r="K414" i="11"/>
  <c r="K380" i="11"/>
  <c r="K381" i="11"/>
  <c r="K395" i="11"/>
  <c r="K449" i="11"/>
  <c r="K451" i="11"/>
  <c r="K400" i="11"/>
  <c r="K436" i="11"/>
  <c r="K401" i="11"/>
  <c r="K382" i="11"/>
  <c r="K366" i="11"/>
  <c r="K350" i="11"/>
  <c r="K351" i="11"/>
  <c r="K367" i="11"/>
  <c r="K383" i="11"/>
  <c r="K403" i="11"/>
  <c r="K437" i="11"/>
  <c r="K455" i="11"/>
  <c r="K441" i="11"/>
  <c r="K424" i="11"/>
  <c r="K408" i="11"/>
  <c r="K388" i="11"/>
  <c r="K389" i="11"/>
  <c r="K359" i="11"/>
  <c r="K360" i="11"/>
  <c r="K374" i="11"/>
  <c r="K391" i="11"/>
  <c r="K416" i="11"/>
  <c r="K433" i="11"/>
  <c r="K434" i="11"/>
  <c r="K465" i="11"/>
  <c r="K435" i="11"/>
  <c r="K454" i="11"/>
  <c r="K524" i="11"/>
  <c r="K543" i="11"/>
  <c r="K482" i="11"/>
  <c r="K570" i="11"/>
  <c r="K571" i="11"/>
  <c r="K557" i="11"/>
  <c r="K544" i="11"/>
  <c r="K527" i="11"/>
  <c r="K510" i="11"/>
  <c r="K572" i="11"/>
  <c r="K485" i="11"/>
  <c r="K468" i="11"/>
  <c r="K486" i="11"/>
  <c r="K499" i="11"/>
  <c r="K511" i="11"/>
  <c r="K528" i="11"/>
  <c r="K545" i="11"/>
  <c r="K558" i="11"/>
  <c r="K573" i="11"/>
  <c r="K559" i="11"/>
  <c r="K546" i="11"/>
  <c r="K534" i="11"/>
  <c r="K515" i="11"/>
  <c r="K501" i="11"/>
  <c r="K489" i="11"/>
  <c r="K473" i="11"/>
  <c r="K491" i="11"/>
  <c r="K502" i="11"/>
  <c r="K475" i="11"/>
  <c r="K516" i="11"/>
  <c r="K535" i="11"/>
  <c r="K550" i="11"/>
  <c r="K563" i="11"/>
  <c r="K576" i="11"/>
  <c r="K577" i="11"/>
  <c r="K564" i="11"/>
  <c r="K551" i="11"/>
  <c r="K492" i="11"/>
  <c r="K517" i="11"/>
  <c r="K503" i="11"/>
  <c r="K493" i="11"/>
  <c r="K477" i="11"/>
  <c r="K478" i="11"/>
  <c r="K494" i="11"/>
  <c r="K504" i="11"/>
  <c r="K518" i="11"/>
  <c r="K536" i="11"/>
  <c r="K552" i="11"/>
  <c r="K565" i="11"/>
  <c r="K578" i="11"/>
  <c r="K579" i="11"/>
  <c r="K537" i="11"/>
  <c r="K553" i="11"/>
  <c r="K540" i="11"/>
  <c r="K523" i="11"/>
  <c r="K498" i="11"/>
  <c r="K487" i="11"/>
  <c r="K470" i="11"/>
  <c r="K471" i="11"/>
  <c r="K488" i="11"/>
  <c r="K472" i="11"/>
  <c r="K512" i="11"/>
  <c r="K529" i="11"/>
  <c r="K562" i="11"/>
  <c r="K530" i="11"/>
  <c r="K513" i="11"/>
  <c r="K549" i="11"/>
  <c r="K490" i="11"/>
  <c r="K581" i="11"/>
  <c r="K568" i="11"/>
  <c r="K554" i="11"/>
  <c r="K467" i="11"/>
  <c r="K474" i="11"/>
  <c r="K508" i="11"/>
  <c r="K507" i="11"/>
  <c r="K519" i="11"/>
  <c r="K538" i="11"/>
  <c r="K566" i="11"/>
  <c r="K580" i="11"/>
  <c r="K567" i="11"/>
  <c r="K539" i="11"/>
  <c r="K520" i="11"/>
  <c r="K479" i="11"/>
  <c r="K480" i="11"/>
  <c r="K521" i="11"/>
  <c r="K525" i="11"/>
  <c r="K541" i="11"/>
  <c r="K555" i="11"/>
  <c r="K569" i="11"/>
  <c r="K556" i="11"/>
  <c r="K542" i="11"/>
  <c r="K526" i="11"/>
  <c r="K509" i="11"/>
  <c r="K497" i="11"/>
  <c r="K483" i="11"/>
  <c r="K466" i="11"/>
  <c r="K484" i="11"/>
  <c r="K514" i="11"/>
  <c r="K531" i="11"/>
  <c r="K547" i="11"/>
  <c r="K560" i="11"/>
  <c r="K574" i="11"/>
  <c r="K575" i="11"/>
  <c r="K561" i="11"/>
  <c r="K548" i="11"/>
  <c r="K532" i="11"/>
  <c r="K476" i="11"/>
  <c r="K505" i="11"/>
  <c r="K495" i="11"/>
  <c r="K496" i="11"/>
  <c r="K481" i="11"/>
  <c r="K522" i="11"/>
  <c r="K500" i="11"/>
  <c r="K594" i="11"/>
  <c r="K661" i="11"/>
  <c r="K582" i="11"/>
  <c r="K583" i="11"/>
  <c r="K609" i="11"/>
  <c r="K621" i="11"/>
  <c r="K634" i="11"/>
  <c r="K646" i="11"/>
  <c r="K662" i="11"/>
  <c r="K674" i="11"/>
  <c r="K686" i="11"/>
  <c r="K687" i="11"/>
  <c r="K663" i="11"/>
  <c r="K647" i="11"/>
  <c r="K635" i="11"/>
  <c r="K623" i="11"/>
  <c r="K611" i="11"/>
  <c r="K596" i="11"/>
  <c r="K585" i="11"/>
  <c r="K599" i="11"/>
  <c r="K649" i="11"/>
  <c r="K627" i="11"/>
  <c r="K638" i="11"/>
  <c r="K651" i="11"/>
  <c r="K667" i="11"/>
  <c r="K677" i="11"/>
  <c r="K689" i="11"/>
  <c r="K679" i="11"/>
  <c r="K690" i="11"/>
  <c r="K668" i="11"/>
  <c r="K652" i="11"/>
  <c r="K692" i="11"/>
  <c r="K628" i="11"/>
  <c r="K615" i="11"/>
  <c r="K602" i="11"/>
  <c r="K589" i="11"/>
  <c r="K590" i="11"/>
  <c r="K603" i="11"/>
  <c r="K616" i="11"/>
  <c r="K629" i="11"/>
  <c r="K639" i="11"/>
  <c r="K653" i="11"/>
  <c r="K669" i="11"/>
  <c r="K680" i="11"/>
  <c r="K693" i="11"/>
  <c r="K694" i="11"/>
  <c r="K681" i="11"/>
  <c r="K670" i="11"/>
  <c r="K654" i="11"/>
  <c r="K640" i="11"/>
  <c r="K630" i="11"/>
  <c r="K591" i="11"/>
  <c r="K604" i="11"/>
  <c r="K592" i="11"/>
  <c r="K593" i="11"/>
  <c r="K595" i="11"/>
  <c r="K612" i="11"/>
  <c r="K624" i="11"/>
  <c r="K636" i="11"/>
  <c r="K648" i="11"/>
  <c r="K664" i="11"/>
  <c r="K676" i="11"/>
  <c r="K688" i="11"/>
  <c r="K678" i="11"/>
  <c r="K613" i="11"/>
  <c r="K598" i="11"/>
  <c r="K587" i="11"/>
  <c r="K601" i="11"/>
  <c r="K656" i="11"/>
  <c r="K642" i="11"/>
  <c r="K632" i="11"/>
  <c r="K622" i="11"/>
  <c r="K588" i="11"/>
  <c r="K619" i="11"/>
  <c r="K643" i="11"/>
  <c r="K631" i="11"/>
  <c r="K641" i="11"/>
  <c r="K671" i="11"/>
  <c r="K695" i="11"/>
  <c r="K696" i="11"/>
  <c r="K682" i="11"/>
  <c r="K655" i="11"/>
  <c r="K617" i="11"/>
  <c r="K605" i="11"/>
  <c r="K606" i="11"/>
  <c r="K608" i="11"/>
  <c r="K620" i="11"/>
  <c r="K633" i="11"/>
  <c r="K659" i="11"/>
  <c r="K672" i="11"/>
  <c r="K684" i="11"/>
  <c r="K685" i="11"/>
  <c r="K673" i="11"/>
  <c r="K660" i="11"/>
  <c r="K644" i="11"/>
  <c r="K645" i="11"/>
  <c r="K610" i="11"/>
  <c r="K584" i="11"/>
  <c r="K586" i="11"/>
  <c r="K600" i="11"/>
  <c r="K614" i="11"/>
  <c r="K625" i="11"/>
  <c r="K637" i="11"/>
  <c r="K650" i="11"/>
  <c r="K665" i="11"/>
  <c r="K666" i="11"/>
  <c r="K691" i="11"/>
  <c r="K697" i="11"/>
  <c r="K683" i="11"/>
  <c r="K607" i="11"/>
  <c r="K657" i="11"/>
  <c r="K618" i="11"/>
  <c r="K597" i="11"/>
  <c r="K773" i="11"/>
  <c r="K776" i="11"/>
  <c r="K722" i="11"/>
  <c r="K723" i="11"/>
  <c r="K733" i="11"/>
  <c r="K747" i="11"/>
  <c r="K711" i="11"/>
  <c r="K785" i="11"/>
  <c r="K699" i="11"/>
  <c r="K760" i="11"/>
  <c r="K796" i="11"/>
  <c r="K724" i="11"/>
  <c r="K761" i="11"/>
  <c r="K736" i="11"/>
  <c r="K808" i="11"/>
  <c r="K797" i="11"/>
  <c r="K798" i="11"/>
  <c r="K809" i="11"/>
  <c r="K700" i="11"/>
  <c r="K701" i="11"/>
  <c r="K765" i="11"/>
  <c r="K752" i="11"/>
  <c r="K741" i="11"/>
  <c r="K753" i="11"/>
  <c r="K787" i="11"/>
  <c r="K703" i="11"/>
  <c r="K715" i="11"/>
  <c r="K727" i="11"/>
  <c r="K706" i="11"/>
  <c r="K728" i="11"/>
  <c r="K755" i="11"/>
  <c r="K788" i="11"/>
  <c r="K716" i="11"/>
  <c r="K800" i="11"/>
  <c r="K779" i="11"/>
  <c r="K789" i="11"/>
  <c r="K729" i="11"/>
  <c r="K767" i="11"/>
  <c r="K768" i="11"/>
  <c r="K801" i="11"/>
  <c r="K790" i="11"/>
  <c r="K780" i="11"/>
  <c r="K756" i="11"/>
  <c r="K742" i="11"/>
  <c r="K781" i="11"/>
  <c r="K707" i="11"/>
  <c r="K717" i="11"/>
  <c r="K791" i="11"/>
  <c r="K718" i="11"/>
  <c r="K743" i="11"/>
  <c r="K769" i="11"/>
  <c r="K811" i="11"/>
  <c r="K719" i="11"/>
  <c r="K759" i="11"/>
  <c r="K804" i="11"/>
  <c r="K806" i="11"/>
  <c r="K763" i="11"/>
  <c r="K799" i="11"/>
  <c r="K786" i="11"/>
  <c r="K778" i="11"/>
  <c r="K764" i="11"/>
  <c r="K748" i="11"/>
  <c r="K737" i="11"/>
  <c r="K714" i="11"/>
  <c r="K738" i="11"/>
  <c r="K749" i="11"/>
  <c r="K3139" i="11"/>
  <c r="K726" i="11"/>
  <c r="K704" i="11"/>
  <c r="K709" i="11"/>
  <c r="K720" i="11"/>
  <c r="K731" i="11"/>
  <c r="K710" i="11"/>
  <c r="K705" i="11"/>
  <c r="K732" i="11"/>
  <c r="K813" i="11"/>
  <c r="K744" i="11"/>
  <c r="K757" i="11"/>
  <c r="K782" i="11"/>
  <c r="K802" i="11"/>
  <c r="K812" i="11"/>
  <c r="K708" i="11"/>
  <c r="K792" i="11"/>
  <c r="K758" i="11"/>
  <c r="K745" i="11"/>
  <c r="K770" i="11"/>
  <c r="K794" i="11"/>
  <c r="K721" i="11"/>
  <c r="K774" i="11"/>
  <c r="K746" i="11"/>
  <c r="K795" i="11"/>
  <c r="K775" i="11"/>
  <c r="K784" i="11"/>
  <c r="K698" i="11"/>
  <c r="K805" i="11"/>
  <c r="K734" i="11"/>
  <c r="K735" i="11"/>
  <c r="K807" i="11"/>
  <c r="K810" i="11"/>
  <c r="K702" i="11"/>
  <c r="K712" i="11"/>
  <c r="K739" i="11"/>
  <c r="K750" i="11"/>
  <c r="K740" i="11"/>
  <c r="K725" i="11"/>
  <c r="K766" i="11"/>
  <c r="K713" i="11"/>
  <c r="K754" i="11"/>
  <c r="K730" i="11"/>
  <c r="K783" i="11"/>
  <c r="K793" i="11"/>
  <c r="K803" i="11"/>
  <c r="K772" i="11"/>
  <c r="K762" i="11"/>
  <c r="K881" i="11"/>
  <c r="K884" i="11"/>
  <c r="K917" i="11"/>
  <c r="K835" i="11"/>
  <c r="K844" i="11"/>
  <c r="K857" i="11"/>
  <c r="K825" i="11"/>
  <c r="K894" i="11"/>
  <c r="K815" i="11"/>
  <c r="K895" i="11"/>
  <c r="K904" i="11"/>
  <c r="K836" i="11"/>
  <c r="K868" i="11"/>
  <c r="K846" i="11"/>
  <c r="K912" i="11"/>
  <c r="K847" i="11"/>
  <c r="K920" i="11"/>
  <c r="K913" i="11"/>
  <c r="K816" i="11"/>
  <c r="K817" i="11"/>
  <c r="K871" i="11"/>
  <c r="K924" i="11"/>
  <c r="K851" i="11"/>
  <c r="K838" i="11"/>
  <c r="K897" i="11"/>
  <c r="K819" i="11"/>
  <c r="K829" i="11"/>
  <c r="K840" i="11"/>
  <c r="K821" i="11"/>
  <c r="K841" i="11"/>
  <c r="K861" i="11"/>
  <c r="K898" i="11"/>
  <c r="K830" i="11"/>
  <c r="K906" i="11"/>
  <c r="K888" i="11"/>
  <c r="K899" i="11"/>
  <c r="K842" i="11"/>
  <c r="K874" i="11"/>
  <c r="K914" i="11"/>
  <c r="K907" i="11"/>
  <c r="K900" i="11"/>
  <c r="K889" i="11"/>
  <c r="K862" i="11"/>
  <c r="K852" i="11"/>
  <c r="K926" i="11"/>
  <c r="K863" i="11"/>
  <c r="K831" i="11"/>
  <c r="K832" i="11"/>
  <c r="K875" i="11"/>
  <c r="K853" i="11"/>
  <c r="K876" i="11"/>
  <c r="K877" i="11"/>
  <c r="K927" i="11"/>
  <c r="K866" i="11"/>
  <c r="K910" i="11"/>
  <c r="K845" i="11"/>
  <c r="K870" i="11"/>
  <c r="K905" i="11"/>
  <c r="K896" i="11"/>
  <c r="K886" i="11"/>
  <c r="K921" i="11"/>
  <c r="K858" i="11"/>
  <c r="K848" i="11"/>
  <c r="K873" i="11"/>
  <c r="K849" i="11"/>
  <c r="K859" i="11"/>
  <c r="K3144" i="11"/>
  <c r="K839" i="11"/>
  <c r="K925" i="11"/>
  <c r="K824" i="11"/>
  <c r="K833" i="11"/>
  <c r="K878" i="11"/>
  <c r="K893" i="11"/>
  <c r="K820" i="11"/>
  <c r="K843" i="11"/>
  <c r="K916" i="11"/>
  <c r="K854" i="11"/>
  <c r="K864" i="11"/>
  <c r="K890" i="11"/>
  <c r="K928" i="11"/>
  <c r="K915" i="11"/>
  <c r="K822" i="11"/>
  <c r="K901" i="11"/>
  <c r="K865" i="11"/>
  <c r="K855" i="11"/>
  <c r="K823" i="11"/>
  <c r="K902" i="11"/>
  <c r="K834" i="11"/>
  <c r="K882" i="11"/>
  <c r="K856" i="11"/>
  <c r="K903" i="11"/>
  <c r="K883" i="11"/>
  <c r="K892" i="11"/>
  <c r="K814" i="11"/>
  <c r="K867" i="11"/>
  <c r="K918" i="11"/>
  <c r="K919" i="11"/>
  <c r="K911" i="11"/>
  <c r="K922" i="11"/>
  <c r="K818" i="11"/>
  <c r="K826" i="11"/>
  <c r="K850" i="11"/>
  <c r="K860" i="11"/>
  <c r="K827" i="11"/>
  <c r="K837" i="11"/>
  <c r="K872" i="11"/>
  <c r="K828" i="11"/>
  <c r="K887" i="11"/>
  <c r="K929" i="11"/>
  <c r="K891" i="11"/>
  <c r="K908" i="11"/>
  <c r="K909" i="11"/>
  <c r="K880" i="11"/>
  <c r="K869" i="11"/>
  <c r="K993" i="11"/>
  <c r="K996" i="11"/>
  <c r="K1003" i="11"/>
  <c r="K951" i="11"/>
  <c r="K959" i="11"/>
  <c r="K970" i="11"/>
  <c r="K941" i="11"/>
  <c r="K1004" i="11"/>
  <c r="K931" i="11"/>
  <c r="K1005" i="11"/>
  <c r="K1014" i="11"/>
  <c r="K952" i="11"/>
  <c r="K980" i="11"/>
  <c r="K960" i="11"/>
  <c r="K961" i="11"/>
  <c r="K1015" i="11"/>
  <c r="K1029" i="11"/>
  <c r="K1023" i="11"/>
  <c r="K932" i="11"/>
  <c r="K933" i="11"/>
  <c r="K983" i="11"/>
  <c r="K1033" i="11"/>
  <c r="K965" i="11"/>
  <c r="K954" i="11"/>
  <c r="K1008" i="11"/>
  <c r="K935" i="11"/>
  <c r="K945" i="11"/>
  <c r="K956" i="11"/>
  <c r="K1039" i="11"/>
  <c r="K946" i="11"/>
  <c r="K975" i="11"/>
  <c r="K1009" i="11"/>
  <c r="K947" i="11"/>
  <c r="K1017" i="11"/>
  <c r="K976" i="11"/>
  <c r="K1041" i="11"/>
  <c r="K957" i="11"/>
  <c r="K985" i="11"/>
  <c r="K1042" i="11"/>
  <c r="K1018" i="11"/>
  <c r="K1010" i="11"/>
  <c r="K999" i="11"/>
  <c r="K977" i="11"/>
  <c r="K966" i="11"/>
  <c r="K1034" i="11"/>
  <c r="K937" i="11"/>
  <c r="K948" i="11"/>
  <c r="K1043" i="11"/>
  <c r="K1024" i="11"/>
  <c r="K967" i="11"/>
  <c r="K986" i="11"/>
  <c r="K987" i="11"/>
  <c r="K1035" i="11"/>
  <c r="K989" i="11"/>
  <c r="K1020" i="11"/>
  <c r="K971" i="11"/>
  <c r="K982" i="11"/>
  <c r="K1016" i="11"/>
  <c r="K1006" i="11"/>
  <c r="K998" i="11"/>
  <c r="K1030" i="11"/>
  <c r="K972" i="11"/>
  <c r="K942" i="11"/>
  <c r="K944" i="11"/>
  <c r="K962" i="11"/>
  <c r="K973" i="11"/>
  <c r="K3148" i="11"/>
  <c r="K955" i="11"/>
  <c r="K1038" i="11"/>
  <c r="K939" i="11"/>
  <c r="K949" i="11"/>
  <c r="K990" i="11"/>
  <c r="K940" i="11"/>
  <c r="K936" i="11"/>
  <c r="K958" i="11"/>
  <c r="K1026" i="11"/>
  <c r="K968" i="11"/>
  <c r="K978" i="11"/>
  <c r="K1000" i="11"/>
  <c r="K1036" i="11"/>
  <c r="K1025" i="11"/>
  <c r="K938" i="11"/>
  <c r="K1011" i="11"/>
  <c r="K979" i="11"/>
  <c r="K1044" i="11"/>
  <c r="K988" i="11"/>
  <c r="K1012" i="11"/>
  <c r="K950" i="11"/>
  <c r="K994" i="11"/>
  <c r="K969" i="11"/>
  <c r="K1013" i="11"/>
  <c r="K995" i="11"/>
  <c r="K1002" i="11"/>
  <c r="K930" i="11"/>
  <c r="K1021" i="11"/>
  <c r="K1027" i="11"/>
  <c r="K1028" i="11"/>
  <c r="K1022" i="11"/>
  <c r="K1031" i="11"/>
  <c r="K934" i="11"/>
  <c r="K943" i="11"/>
  <c r="K963" i="11"/>
  <c r="K974" i="11"/>
  <c r="K964" i="11"/>
  <c r="K953" i="11"/>
  <c r="K984" i="11"/>
  <c r="K1007" i="11"/>
  <c r="K1040" i="11"/>
  <c r="K1045" i="11"/>
  <c r="K1001" i="11"/>
  <c r="K1037" i="11"/>
  <c r="K1019" i="11"/>
  <c r="K992" i="11"/>
  <c r="K981" i="11"/>
  <c r="K1103" i="11"/>
  <c r="K1155" i="11"/>
  <c r="K1135" i="11"/>
  <c r="K1065" i="11"/>
  <c r="K1073" i="11"/>
  <c r="K1084" i="11"/>
  <c r="K1056" i="11"/>
  <c r="K1114" i="11"/>
  <c r="K1047" i="11"/>
  <c r="K1157" i="11"/>
  <c r="K1124" i="11"/>
  <c r="K1092" i="11"/>
  <c r="K1093" i="11"/>
  <c r="K1074" i="11"/>
  <c r="K1131" i="11"/>
  <c r="K1158" i="11"/>
  <c r="K1137" i="11"/>
  <c r="K1132" i="11"/>
  <c r="K1048" i="11"/>
  <c r="K1049" i="11"/>
  <c r="K1096" i="11"/>
  <c r="K1141" i="11"/>
  <c r="K1078" i="11"/>
  <c r="K1079" i="11"/>
  <c r="K1116" i="11"/>
  <c r="K1051" i="11"/>
  <c r="K1060" i="11"/>
  <c r="K1068" i="11"/>
  <c r="K1146" i="11"/>
  <c r="K1069" i="11"/>
  <c r="K1087" i="11"/>
  <c r="K1118" i="11"/>
  <c r="K1061" i="11"/>
  <c r="K1119" i="11"/>
  <c r="K1109" i="11"/>
  <c r="K1148" i="11"/>
  <c r="K1070" i="11"/>
  <c r="K1098" i="11"/>
  <c r="K1125" i="11"/>
  <c r="K1126" i="11"/>
  <c r="K1120" i="11"/>
  <c r="K1110" i="11"/>
  <c r="K1088" i="11"/>
  <c r="K1080" i="11"/>
  <c r="K1099" i="11"/>
  <c r="K1052" i="11"/>
  <c r="K1062" i="11"/>
  <c r="K1149" i="11"/>
  <c r="K1150" i="11"/>
  <c r="K1081" i="11"/>
  <c r="K1100" i="11"/>
  <c r="K1151" i="11"/>
  <c r="K1142" i="11"/>
  <c r="K1091" i="11"/>
  <c r="K1128" i="11"/>
  <c r="K1156" i="11"/>
  <c r="K1095" i="11"/>
  <c r="K1115" i="11"/>
  <c r="K1133" i="11"/>
  <c r="K1108" i="11"/>
  <c r="K1138" i="11"/>
  <c r="K1085" i="11"/>
  <c r="K1075" i="11"/>
  <c r="K1059" i="11"/>
  <c r="K1076" i="11"/>
  <c r="K1159" i="11"/>
  <c r="K3153" i="11"/>
  <c r="K1067" i="11"/>
  <c r="K1145" i="11"/>
  <c r="K1055" i="11"/>
  <c r="K1063" i="11"/>
  <c r="K1071" i="11"/>
  <c r="K1046" i="11"/>
  <c r="K1117" i="11"/>
  <c r="K1072" i="11"/>
  <c r="K1134" i="11"/>
  <c r="K1082" i="11"/>
  <c r="K1089" i="11"/>
  <c r="K1111" i="11"/>
  <c r="K1143" i="11"/>
  <c r="K1161" i="11"/>
  <c r="K1053" i="11"/>
  <c r="K1121" i="11"/>
  <c r="K1090" i="11"/>
  <c r="K1152" i="11"/>
  <c r="K1054" i="11"/>
  <c r="K1122" i="11"/>
  <c r="K1064" i="11"/>
  <c r="K1104" i="11"/>
  <c r="K1083" i="11"/>
  <c r="K1123" i="11"/>
  <c r="K1105" i="11"/>
  <c r="K1113" i="11"/>
  <c r="K1154" i="11"/>
  <c r="K1129" i="11"/>
  <c r="K1136" i="11"/>
  <c r="K1106" i="11"/>
  <c r="K1130" i="11"/>
  <c r="K1139" i="11"/>
  <c r="K1050" i="11"/>
  <c r="K1057" i="11"/>
  <c r="K1077" i="11"/>
  <c r="K1086" i="11"/>
  <c r="K1058" i="11"/>
  <c r="K1066" i="11"/>
  <c r="K1097" i="11"/>
  <c r="K1160" i="11"/>
  <c r="K1147" i="11"/>
  <c r="K1153" i="11"/>
  <c r="K1112" i="11"/>
  <c r="K1144" i="11"/>
  <c r="K1127" i="11"/>
  <c r="K1102" i="11"/>
  <c r="K1094" i="11"/>
  <c r="K1213" i="11"/>
  <c r="K1263" i="11"/>
  <c r="K1243" i="11"/>
  <c r="K1271" i="11"/>
  <c r="K1187" i="11"/>
  <c r="K1196" i="11"/>
  <c r="K1171" i="11"/>
  <c r="K1223" i="11"/>
  <c r="K1163" i="11"/>
  <c r="K1265" i="11"/>
  <c r="K1233" i="11"/>
  <c r="K1179" i="11"/>
  <c r="K1203" i="11"/>
  <c r="K1188" i="11"/>
  <c r="K1240" i="11"/>
  <c r="K1266" i="11"/>
  <c r="K1246" i="11"/>
  <c r="K1241" i="11"/>
  <c r="K1225" i="11"/>
  <c r="K1164" i="11"/>
  <c r="K1205" i="11"/>
  <c r="K1248" i="11"/>
  <c r="K1191" i="11"/>
  <c r="K1268" i="11"/>
  <c r="K1227" i="11"/>
  <c r="K1166" i="11"/>
  <c r="K1173" i="11"/>
  <c r="K1182" i="11"/>
  <c r="K1256" i="11"/>
  <c r="K1183" i="11"/>
  <c r="K1228" i="11"/>
  <c r="K1229" i="11"/>
  <c r="K1174" i="11"/>
  <c r="K1235" i="11"/>
  <c r="K1218" i="11"/>
  <c r="K1258" i="11"/>
  <c r="K1184" i="11"/>
  <c r="K1207" i="11"/>
  <c r="K1236" i="11"/>
  <c r="K1250" i="11"/>
  <c r="K1230" i="11"/>
  <c r="K1219" i="11"/>
  <c r="K1200" i="11"/>
  <c r="K1192" i="11"/>
  <c r="K1251" i="11"/>
  <c r="K1167" i="11"/>
  <c r="K1175" i="11"/>
  <c r="K1276" i="11"/>
  <c r="K1259" i="11"/>
  <c r="K1193" i="11"/>
  <c r="K1208" i="11"/>
  <c r="K1194" i="11"/>
  <c r="K1209" i="11"/>
  <c r="K1202" i="11"/>
  <c r="K1212" i="11"/>
  <c r="K1264" i="11"/>
  <c r="K1272" i="11"/>
  <c r="K1234" i="11"/>
  <c r="K1224" i="11"/>
  <c r="K1216" i="11"/>
  <c r="K1255" i="11"/>
  <c r="K1197" i="11"/>
  <c r="K1189" i="11"/>
  <c r="K1172" i="11"/>
  <c r="K1273" i="11"/>
  <c r="K1267" i="11"/>
  <c r="K3158" i="11"/>
  <c r="K1181" i="11"/>
  <c r="K1249" i="11"/>
  <c r="K1170" i="11"/>
  <c r="K1176" i="11"/>
  <c r="K1185" i="11"/>
  <c r="K1162" i="11"/>
  <c r="K1275" i="11"/>
  <c r="K1186" i="11"/>
  <c r="K1242" i="11"/>
  <c r="K1195" i="11"/>
  <c r="K1277" i="11"/>
  <c r="K1220" i="11"/>
  <c r="K1252" i="11"/>
  <c r="K1269" i="11"/>
  <c r="K1168" i="11"/>
  <c r="K1231" i="11"/>
  <c r="K1201" i="11"/>
  <c r="K1260" i="11"/>
  <c r="K1169" i="11"/>
  <c r="K1232" i="11"/>
  <c r="K1178" i="11"/>
  <c r="K1262" i="11"/>
  <c r="K1253" i="11"/>
  <c r="K1270" i="11"/>
  <c r="K1214" i="11"/>
  <c r="K1222" i="11"/>
  <c r="K1254" i="11"/>
  <c r="K1238" i="11"/>
  <c r="K1244" i="11"/>
  <c r="K1245" i="11"/>
  <c r="K1239" i="11"/>
  <c r="K1217" i="11"/>
  <c r="K1165" i="11"/>
  <c r="K1274" i="11"/>
  <c r="K1190" i="11"/>
  <c r="K1198" i="11"/>
  <c r="K1199" i="11"/>
  <c r="K1180" i="11"/>
  <c r="K1206" i="11"/>
  <c r="K1226" i="11"/>
  <c r="K1257" i="11"/>
  <c r="K1261" i="11"/>
  <c r="K1221" i="11"/>
  <c r="K1177" i="11"/>
  <c r="K1237" i="11"/>
  <c r="K1211" i="11"/>
  <c r="K1204" i="11"/>
  <c r="K1327" i="11"/>
  <c r="K1375" i="11"/>
  <c r="K1357" i="11"/>
  <c r="K1380" i="11"/>
  <c r="K1386" i="11"/>
  <c r="K1312" i="11"/>
  <c r="K1381" i="11"/>
  <c r="K1337" i="11"/>
  <c r="K1278" i="11"/>
  <c r="K1376" i="11"/>
  <c r="K1346" i="11"/>
  <c r="K1295" i="11"/>
  <c r="K1320" i="11"/>
  <c r="K1303" i="11"/>
  <c r="K1352" i="11"/>
  <c r="K1377" i="11"/>
  <c r="K1387" i="11"/>
  <c r="K1382" i="11"/>
  <c r="K1305" i="11"/>
  <c r="K1279" i="11"/>
  <c r="K1339" i="11"/>
  <c r="K1391" i="11"/>
  <c r="K1307" i="11"/>
  <c r="K1331" i="11"/>
  <c r="K1341" i="11"/>
  <c r="K1281" i="11"/>
  <c r="K1287" i="11"/>
  <c r="K1298" i="11"/>
  <c r="K1367" i="11"/>
  <c r="K1299" i="11"/>
  <c r="K1315" i="11"/>
  <c r="K1342" i="11"/>
  <c r="K1288" i="11"/>
  <c r="K1348" i="11"/>
  <c r="K1332" i="11"/>
  <c r="K1369" i="11"/>
  <c r="K1300" i="11"/>
  <c r="K1324" i="11"/>
  <c r="K1308" i="11"/>
  <c r="K1289" i="11"/>
  <c r="K1343" i="11"/>
  <c r="K1333" i="11"/>
  <c r="K1316" i="11"/>
  <c r="K1309" i="11"/>
  <c r="K1361" i="11"/>
  <c r="K1282" i="11"/>
  <c r="K1290" i="11"/>
  <c r="K1384" i="11"/>
  <c r="K1370" i="11"/>
  <c r="K1310" i="11"/>
  <c r="K1325" i="11"/>
  <c r="K1354" i="11"/>
  <c r="K1362" i="11"/>
  <c r="K1393" i="11"/>
  <c r="K1350" i="11"/>
  <c r="K1318" i="11"/>
  <c r="K1388" i="11"/>
  <c r="K1347" i="11"/>
  <c r="K1338" i="11"/>
  <c r="K1329" i="11"/>
  <c r="K1360" i="11"/>
  <c r="K1365" i="11"/>
  <c r="K1304" i="11"/>
  <c r="K1286" i="11"/>
  <c r="K1353" i="11"/>
  <c r="K1389" i="11"/>
  <c r="K3163" i="11"/>
  <c r="K1297" i="11"/>
  <c r="K1366" i="11"/>
  <c r="K1285" i="11"/>
  <c r="K1292" i="11"/>
  <c r="K1301" i="11"/>
  <c r="K1319" i="11"/>
  <c r="K1323" i="11"/>
  <c r="K1302" i="11"/>
  <c r="K1355" i="11"/>
  <c r="K1311" i="11"/>
  <c r="K1291" i="11"/>
  <c r="K1334" i="11"/>
  <c r="K1363" i="11"/>
  <c r="K1378" i="11"/>
  <c r="K1283" i="11"/>
  <c r="K1392" i="11"/>
  <c r="K1317" i="11"/>
  <c r="K1371" i="11"/>
  <c r="K1284" i="11"/>
  <c r="K1345" i="11"/>
  <c r="K1294" i="11"/>
  <c r="K1373" i="11"/>
  <c r="K1385" i="11"/>
  <c r="K1379" i="11"/>
  <c r="K1356" i="11"/>
  <c r="K1336" i="11"/>
  <c r="K1374" i="11"/>
  <c r="K1364" i="11"/>
  <c r="K1358" i="11"/>
  <c r="K1359" i="11"/>
  <c r="K1351" i="11"/>
  <c r="K1330" i="11"/>
  <c r="K1280" i="11"/>
  <c r="K1383" i="11"/>
  <c r="K1306" i="11"/>
  <c r="K1313" i="11"/>
  <c r="K1314" i="11"/>
  <c r="K1296" i="11"/>
  <c r="K1322" i="11"/>
  <c r="K1340" i="11"/>
  <c r="K1368" i="11"/>
  <c r="K1372" i="11"/>
  <c r="K1335" i="11"/>
  <c r="K1293" i="11"/>
  <c r="K1349" i="11"/>
  <c r="K1344" i="11"/>
  <c r="K1321" i="11"/>
  <c r="K1440" i="11"/>
  <c r="K1474" i="11"/>
  <c r="K1467" i="11"/>
  <c r="K1488" i="11"/>
  <c r="K1495" i="11"/>
  <c r="K1426" i="11"/>
  <c r="K1503" i="11"/>
  <c r="K1449" i="11"/>
  <c r="K1394" i="11"/>
  <c r="K1483" i="11"/>
  <c r="K1457" i="11"/>
  <c r="K1410" i="11"/>
  <c r="K1433" i="11"/>
  <c r="K1417" i="11"/>
  <c r="K1465" i="11"/>
  <c r="K1484" i="11"/>
  <c r="K1496" i="11"/>
  <c r="K1489" i="11"/>
  <c r="K1395" i="11"/>
  <c r="K1505" i="11"/>
  <c r="K1506" i="11"/>
  <c r="K1452" i="11"/>
  <c r="K1422" i="11"/>
  <c r="K1485" i="11"/>
  <c r="K1453" i="11"/>
  <c r="K1397" i="11"/>
  <c r="K1404" i="11"/>
  <c r="K1413" i="11"/>
  <c r="K1476" i="11"/>
  <c r="K1414" i="11"/>
  <c r="K1430" i="11"/>
  <c r="K1454" i="11"/>
  <c r="K1405" i="11"/>
  <c r="K1459" i="11"/>
  <c r="K1444" i="11"/>
  <c r="K1478" i="11"/>
  <c r="K1415" i="11"/>
  <c r="K1435" i="11"/>
  <c r="K1436" i="11"/>
  <c r="K1460" i="11"/>
  <c r="K1455" i="11"/>
  <c r="K1445" i="11"/>
  <c r="K1431" i="11"/>
  <c r="K1423" i="11"/>
  <c r="K1471" i="11"/>
  <c r="K1499" i="11"/>
  <c r="K1507" i="11"/>
  <c r="K1493" i="11"/>
  <c r="K1479" i="11"/>
  <c r="K1424" i="11"/>
  <c r="K1437" i="11"/>
  <c r="K1406" i="11"/>
  <c r="K1472" i="11"/>
  <c r="K1501" i="11"/>
  <c r="K1462" i="11"/>
  <c r="K1482" i="11"/>
  <c r="K1497" i="11"/>
  <c r="K1458" i="11"/>
  <c r="K1504" i="11"/>
  <c r="K1443" i="11"/>
  <c r="K1470" i="11"/>
  <c r="K1427" i="11"/>
  <c r="K1419" i="11"/>
  <c r="K1403" i="11"/>
  <c r="K1490" i="11"/>
  <c r="K1498" i="11"/>
  <c r="K3169" i="11"/>
  <c r="K1412" i="11"/>
  <c r="K1475" i="11"/>
  <c r="K1400" i="11"/>
  <c r="K1408" i="11"/>
  <c r="K1416" i="11"/>
  <c r="K1402" i="11"/>
  <c r="K1492" i="11"/>
  <c r="K1509" i="11"/>
  <c r="K1466" i="11"/>
  <c r="K1425" i="11"/>
  <c r="K1407" i="11"/>
  <c r="K1446" i="11"/>
  <c r="K1473" i="11"/>
  <c r="K1486" i="11"/>
  <c r="K1398" i="11"/>
  <c r="K1500" i="11"/>
  <c r="K1432" i="11"/>
  <c r="K1480" i="11"/>
  <c r="K1399" i="11"/>
  <c r="K1456" i="11"/>
  <c r="K1409" i="11"/>
  <c r="K1502" i="11"/>
  <c r="K1494" i="11"/>
  <c r="K1487" i="11"/>
  <c r="K1441" i="11"/>
  <c r="K1448" i="11"/>
  <c r="K1481" i="11"/>
  <c r="K1463" i="11"/>
  <c r="K1468" i="11"/>
  <c r="K1469" i="11"/>
  <c r="K1464" i="11"/>
  <c r="K1420" i="11"/>
  <c r="K1396" i="11"/>
  <c r="K1491" i="11"/>
  <c r="K1421" i="11"/>
  <c r="K1428" i="11"/>
  <c r="K1429" i="11"/>
  <c r="K1411" i="11"/>
  <c r="K1434" i="11"/>
  <c r="K1450" i="11"/>
  <c r="K1477" i="11"/>
  <c r="K1508" i="11"/>
  <c r="K1447" i="11"/>
  <c r="K1438" i="11"/>
  <c r="K1461" i="11"/>
  <c r="K1401" i="11"/>
  <c r="K1418" i="11"/>
  <c r="K1583" i="11"/>
  <c r="K1591" i="11"/>
  <c r="K1575" i="11"/>
  <c r="K1597" i="11"/>
  <c r="K1603" i="11"/>
  <c r="K1539" i="11"/>
  <c r="K1610" i="11"/>
  <c r="K1561" i="11"/>
  <c r="K1510" i="11"/>
  <c r="K1593" i="11"/>
  <c r="K1566" i="11"/>
  <c r="K1525" i="11"/>
  <c r="K1545" i="11"/>
  <c r="K1532" i="11"/>
  <c r="K1573" i="11"/>
  <c r="K1611" i="11"/>
  <c r="K1604" i="11"/>
  <c r="K1598" i="11"/>
  <c r="K1512" i="11"/>
  <c r="K1612" i="11"/>
  <c r="K1613" i="11"/>
  <c r="K1621" i="11"/>
  <c r="K1534" i="11"/>
  <c r="K1520" i="11"/>
  <c r="K1562" i="11"/>
  <c r="K1513" i="11"/>
  <c r="K1521" i="11"/>
  <c r="K1527" i="11"/>
  <c r="K1586" i="11"/>
  <c r="K1587" i="11"/>
  <c r="K1541" i="11"/>
  <c r="K1563" i="11"/>
  <c r="K1522" i="11"/>
  <c r="K1535" i="11"/>
  <c r="K1556" i="11"/>
  <c r="K1589" i="11"/>
  <c r="K1528" i="11"/>
  <c r="K1549" i="11"/>
  <c r="K1557" i="11"/>
  <c r="K1568" i="11"/>
  <c r="K1550" i="11"/>
  <c r="K1558" i="11"/>
  <c r="K1542" i="11"/>
  <c r="K1536" i="11"/>
  <c r="K1580" i="11"/>
  <c r="K1623" i="11"/>
  <c r="K1615" i="11"/>
  <c r="K1601" i="11"/>
  <c r="K1514" i="11"/>
  <c r="K1537" i="11"/>
  <c r="K1551" i="11"/>
  <c r="K1543" i="11"/>
  <c r="K1581" i="11"/>
  <c r="K1624" i="11"/>
  <c r="K1571" i="11"/>
  <c r="K1592" i="11"/>
  <c r="K1605" i="11"/>
  <c r="K1567" i="11"/>
  <c r="K1618" i="11"/>
  <c r="K1518" i="11"/>
  <c r="K1579" i="11"/>
  <c r="K1540" i="11"/>
  <c r="K1533" i="11"/>
  <c r="K1622" i="11"/>
  <c r="K1599" i="11"/>
  <c r="K1606" i="11"/>
  <c r="K3173" i="11"/>
  <c r="K1526" i="11"/>
  <c r="K1585" i="11"/>
  <c r="K1517" i="11"/>
  <c r="K1523" i="11"/>
  <c r="K1530" i="11"/>
  <c r="K1560" i="11"/>
  <c r="K1600" i="11"/>
  <c r="K1617" i="11"/>
  <c r="K1574" i="11"/>
  <c r="K1538" i="11"/>
  <c r="K1552" i="11"/>
  <c r="K1529" i="11"/>
  <c r="K1582" i="11"/>
  <c r="K1595" i="11"/>
  <c r="K1515" i="11"/>
  <c r="K1608" i="11"/>
  <c r="K1544" i="11"/>
  <c r="K1590" i="11"/>
  <c r="K1516" i="11"/>
  <c r="K1565" i="11"/>
  <c r="K1524" i="11"/>
  <c r="K1609" i="11"/>
  <c r="K1602" i="11"/>
  <c r="K1596" i="11"/>
  <c r="K1554" i="11"/>
  <c r="K1559" i="11"/>
  <c r="K1531" i="11"/>
  <c r="K1572" i="11"/>
  <c r="K1576" i="11"/>
  <c r="K1577" i="11"/>
  <c r="K1578" i="11"/>
  <c r="K1511" i="11"/>
  <c r="K1584" i="11"/>
  <c r="K1594" i="11"/>
  <c r="K1607" i="11"/>
  <c r="K1614" i="11"/>
  <c r="K1547" i="11"/>
  <c r="K1548" i="11"/>
  <c r="K1619" i="11"/>
  <c r="K1519" i="11"/>
  <c r="K1588" i="11"/>
  <c r="K1616" i="11"/>
  <c r="K1569" i="11"/>
  <c r="K1564" i="11"/>
  <c r="K1570" i="11"/>
  <c r="K1625" i="11"/>
  <c r="K1546" i="11"/>
  <c r="K1666" i="11"/>
  <c r="K1735" i="11"/>
  <c r="K1687" i="11"/>
  <c r="K1736" i="11"/>
  <c r="K1713" i="11"/>
  <c r="K1652" i="11"/>
  <c r="K1720" i="11"/>
  <c r="K1674" i="11"/>
  <c r="K1626" i="11"/>
  <c r="K1701" i="11"/>
  <c r="K1679" i="11"/>
  <c r="K1640" i="11"/>
  <c r="K1658" i="11"/>
  <c r="K1645" i="11"/>
  <c r="K1721" i="11"/>
  <c r="K1702" i="11"/>
  <c r="K1714" i="11"/>
  <c r="K1707" i="11"/>
  <c r="K1738" i="11"/>
  <c r="K1722" i="11"/>
  <c r="K1723" i="11"/>
  <c r="K1731" i="11"/>
  <c r="K1646" i="11"/>
  <c r="K1635" i="11"/>
  <c r="K1675" i="11"/>
  <c r="K1628" i="11"/>
  <c r="K1636" i="11"/>
  <c r="K1642" i="11"/>
  <c r="K1696" i="11"/>
  <c r="K1647" i="11"/>
  <c r="K1654" i="11"/>
  <c r="K1676" i="11"/>
  <c r="K1637" i="11"/>
  <c r="K1648" i="11"/>
  <c r="K1670" i="11"/>
  <c r="K1698" i="11"/>
  <c r="K1643" i="11"/>
  <c r="K1662" i="11"/>
  <c r="K1680" i="11"/>
  <c r="K1681" i="11"/>
  <c r="K1677" i="11"/>
  <c r="K1671" i="11"/>
  <c r="K1655" i="11"/>
  <c r="K1649" i="11"/>
  <c r="K1691" i="11"/>
  <c r="K1732" i="11"/>
  <c r="K1725" i="11"/>
  <c r="K1711" i="11"/>
  <c r="K1629" i="11"/>
  <c r="K1650" i="11"/>
  <c r="K1663" i="11"/>
  <c r="K1656" i="11"/>
  <c r="K1692" i="11"/>
  <c r="K1733" i="11"/>
  <c r="K1683" i="11"/>
  <c r="K1700" i="11"/>
  <c r="K1715" i="11"/>
  <c r="K1660" i="11"/>
  <c r="K1728" i="11"/>
  <c r="K1669" i="11"/>
  <c r="K1690" i="11"/>
  <c r="K1653" i="11"/>
  <c r="K1685" i="11"/>
  <c r="K1739" i="11"/>
  <c r="K1708" i="11"/>
  <c r="K1716" i="11"/>
  <c r="K3178" i="11"/>
  <c r="K1641" i="11"/>
  <c r="K1695" i="11"/>
  <c r="K1632" i="11"/>
  <c r="K1638" i="11"/>
  <c r="K1740" i="11"/>
  <c r="K1633" i="11"/>
  <c r="K1710" i="11"/>
  <c r="K1741" i="11"/>
  <c r="K1686" i="11"/>
  <c r="K1651" i="11"/>
  <c r="K1664" i="11"/>
  <c r="K1644" i="11"/>
  <c r="K1693" i="11"/>
  <c r="K1704" i="11"/>
  <c r="K1630" i="11"/>
  <c r="K1718" i="11"/>
  <c r="K1657" i="11"/>
  <c r="K1705" i="11"/>
  <c r="K1631" i="11"/>
  <c r="K1727" i="11"/>
  <c r="K1639" i="11"/>
  <c r="K1719" i="11"/>
  <c r="K1712" i="11"/>
  <c r="K1706" i="11"/>
  <c r="K1667" i="11"/>
  <c r="K1673" i="11"/>
  <c r="K1699" i="11"/>
  <c r="K1684" i="11"/>
  <c r="K1688" i="11"/>
  <c r="K1689" i="11"/>
  <c r="K1737" i="11"/>
  <c r="K1627" i="11"/>
  <c r="K1694" i="11"/>
  <c r="K1703" i="11"/>
  <c r="K1717" i="11"/>
  <c r="K1724" i="11"/>
  <c r="K1661" i="11"/>
  <c r="K1709" i="11"/>
  <c r="K1729" i="11"/>
  <c r="K1634" i="11"/>
  <c r="K1697" i="11"/>
  <c r="K1726" i="11"/>
  <c r="K1672" i="11"/>
  <c r="K1678" i="11"/>
  <c r="K1682" i="11"/>
  <c r="K1734" i="11"/>
  <c r="K1659" i="11"/>
  <c r="K1782" i="11"/>
  <c r="K1815" i="11"/>
  <c r="K1801" i="11"/>
  <c r="K1846" i="11"/>
  <c r="K1826" i="11"/>
  <c r="K1769" i="11"/>
  <c r="K1831" i="11"/>
  <c r="K1790" i="11"/>
  <c r="K1742" i="11"/>
  <c r="K1853" i="11"/>
  <c r="K1794" i="11"/>
  <c r="K1754" i="11"/>
  <c r="K1774" i="11"/>
  <c r="K1761" i="11"/>
  <c r="K1808" i="11"/>
  <c r="K1816" i="11"/>
  <c r="K1827" i="11"/>
  <c r="K1820" i="11"/>
  <c r="K1848" i="11"/>
  <c r="K1833" i="11"/>
  <c r="K1834" i="11"/>
  <c r="K1842" i="11"/>
  <c r="K1763" i="11"/>
  <c r="K1750" i="11"/>
  <c r="K1791" i="11"/>
  <c r="K1744" i="11"/>
  <c r="K1751" i="11"/>
  <c r="K1756" i="11"/>
  <c r="K1855" i="11"/>
  <c r="K1757" i="11"/>
  <c r="K1770" i="11"/>
  <c r="K1792" i="11"/>
  <c r="K1758" i="11"/>
  <c r="K1764" i="11"/>
  <c r="K1785" i="11"/>
  <c r="K1812" i="11"/>
  <c r="K1759" i="11"/>
  <c r="K1777" i="11"/>
  <c r="K1796" i="11"/>
  <c r="K1797" i="11"/>
  <c r="K1793" i="11"/>
  <c r="K1786" i="11"/>
  <c r="K1771" i="11"/>
  <c r="K1765" i="11"/>
  <c r="K1804" i="11"/>
  <c r="K1843" i="11"/>
  <c r="K1836" i="11"/>
  <c r="K1824" i="11"/>
  <c r="K1745" i="11"/>
  <c r="K1766" i="11"/>
  <c r="K1778" i="11"/>
  <c r="K1772" i="11"/>
  <c r="K1805" i="11"/>
  <c r="K1850" i="11"/>
  <c r="K1800" i="11"/>
  <c r="K1803" i="11"/>
  <c r="K1828" i="11"/>
  <c r="K1795" i="11"/>
  <c r="K1839" i="11"/>
  <c r="K1784" i="11"/>
  <c r="K1817" i="11"/>
  <c r="K1854" i="11"/>
  <c r="K1762" i="11"/>
  <c r="K1849" i="11"/>
  <c r="K1821" i="11"/>
  <c r="K1832" i="11"/>
  <c r="K3183" i="11"/>
  <c r="K1755" i="11"/>
  <c r="K1810" i="11"/>
  <c r="K1748" i="11"/>
  <c r="K1752" i="11"/>
  <c r="K1856" i="11"/>
  <c r="K1789" i="11"/>
  <c r="K1823" i="11"/>
  <c r="K1851" i="11"/>
  <c r="K1799" i="11"/>
  <c r="K1767" i="11"/>
  <c r="K1779" i="11"/>
  <c r="K1760" i="11"/>
  <c r="K1806" i="11"/>
  <c r="K1780" i="11"/>
  <c r="K1746" i="11"/>
  <c r="K1768" i="11"/>
  <c r="K1773" i="11"/>
  <c r="K1813" i="11"/>
  <c r="K1747" i="11"/>
  <c r="K1838" i="11"/>
  <c r="K1753" i="11"/>
  <c r="K1830" i="11"/>
  <c r="K1825" i="11"/>
  <c r="K1819" i="11"/>
  <c r="K1852" i="11"/>
  <c r="K1788" i="11"/>
  <c r="K1814" i="11"/>
  <c r="K1845" i="11"/>
  <c r="K1802" i="11"/>
  <c r="K1807" i="11"/>
  <c r="K1847" i="11"/>
  <c r="K1743" i="11"/>
  <c r="K1809" i="11"/>
  <c r="K1818" i="11"/>
  <c r="K1829" i="11"/>
  <c r="K1835" i="11"/>
  <c r="K1776" i="11"/>
  <c r="K1822" i="11"/>
  <c r="K1840" i="11"/>
  <c r="K1749" i="11"/>
  <c r="K1811" i="11"/>
  <c r="K1837" i="11"/>
  <c r="K1787" i="11"/>
  <c r="K1857" i="11"/>
  <c r="K1798" i="11"/>
  <c r="K1844" i="11"/>
  <c r="K1775" i="11"/>
  <c r="K1893" i="11"/>
  <c r="K1927" i="11"/>
  <c r="K1913" i="11"/>
  <c r="K1956" i="11"/>
  <c r="K1936" i="11"/>
  <c r="K1881" i="11"/>
  <c r="K1942" i="11"/>
  <c r="K1901" i="11"/>
  <c r="K1858" i="11"/>
  <c r="K1962" i="11"/>
  <c r="K1905" i="11"/>
  <c r="K1870" i="11"/>
  <c r="K1886" i="11"/>
  <c r="K1875" i="11"/>
  <c r="K1910" i="11"/>
  <c r="K1963" i="11"/>
  <c r="K1937" i="11"/>
  <c r="K1931" i="11"/>
  <c r="K1958" i="11"/>
  <c r="K1943" i="11"/>
  <c r="K1944" i="11"/>
  <c r="K1952" i="11"/>
  <c r="K1970" i="11"/>
  <c r="K1971" i="11"/>
  <c r="K1902" i="11"/>
  <c r="K1965" i="11"/>
  <c r="K1865" i="11"/>
  <c r="K1871" i="11"/>
  <c r="K1966" i="11"/>
  <c r="K1872" i="11"/>
  <c r="K1960" i="11"/>
  <c r="K1903" i="11"/>
  <c r="K1866" i="11"/>
  <c r="K1877" i="11"/>
  <c r="K1896" i="11"/>
  <c r="K1923" i="11"/>
  <c r="K1873" i="11"/>
  <c r="K1889" i="11"/>
  <c r="K1907" i="11"/>
  <c r="K1908" i="11"/>
  <c r="K1904" i="11"/>
  <c r="K1897" i="11"/>
  <c r="K1882" i="11"/>
  <c r="K1878" i="11"/>
  <c r="K1916" i="11"/>
  <c r="K1953" i="11"/>
  <c r="K1946" i="11"/>
  <c r="K1935" i="11"/>
  <c r="K1860" i="11"/>
  <c r="K1879" i="11"/>
  <c r="K1890" i="11"/>
  <c r="K1883" i="11"/>
  <c r="K1917" i="11"/>
  <c r="K1973" i="11"/>
  <c r="K1868" i="11"/>
  <c r="K1915" i="11"/>
  <c r="K1938" i="11"/>
  <c r="K1906" i="11"/>
  <c r="K1949" i="11"/>
  <c r="K1895" i="11"/>
  <c r="K1928" i="11"/>
  <c r="K1964" i="11"/>
  <c r="K1876" i="11"/>
  <c r="K1959" i="11"/>
  <c r="K1932" i="11"/>
  <c r="K1911" i="11"/>
  <c r="K3188" i="11"/>
  <c r="K1972" i="11"/>
  <c r="K1921" i="11"/>
  <c r="K1863" i="11"/>
  <c r="K1867" i="11"/>
  <c r="K1968" i="11"/>
  <c r="K1900" i="11"/>
  <c r="K1934" i="11"/>
  <c r="K1961" i="11"/>
  <c r="K1912" i="11"/>
  <c r="K1874" i="11"/>
  <c r="K1891" i="11"/>
  <c r="K1924" i="11"/>
  <c r="K1918" i="11"/>
  <c r="K1967" i="11"/>
  <c r="K1861" i="11"/>
  <c r="K1940" i="11"/>
  <c r="K1884" i="11"/>
  <c r="K1925" i="11"/>
  <c r="K1862" i="11"/>
  <c r="K1948" i="11"/>
  <c r="K1869" i="11"/>
  <c r="K1941" i="11"/>
  <c r="K1919" i="11"/>
  <c r="K1930" i="11"/>
  <c r="K1969" i="11"/>
  <c r="K1899" i="11"/>
  <c r="K1926" i="11"/>
  <c r="K1955" i="11"/>
  <c r="K1914" i="11"/>
  <c r="K1885" i="11"/>
  <c r="K1957" i="11"/>
  <c r="K1859" i="11"/>
  <c r="K1920" i="11"/>
  <c r="K1929" i="11"/>
  <c r="K1939" i="11"/>
  <c r="K1945" i="11"/>
  <c r="K1888" i="11"/>
  <c r="K1933" i="11"/>
  <c r="K1950" i="11"/>
  <c r="K1864" i="11"/>
  <c r="K1922" i="11"/>
  <c r="K1947" i="11"/>
  <c r="K1898" i="11"/>
  <c r="K1880" i="11"/>
  <c r="K1909" i="11"/>
  <c r="K1954" i="11"/>
  <c r="K1887" i="11"/>
  <c r="K2010" i="11"/>
  <c r="K2040" i="11"/>
  <c r="K2028" i="11"/>
  <c r="K2068" i="11"/>
  <c r="K2051" i="11"/>
  <c r="K1998" i="11"/>
  <c r="K2056" i="11"/>
  <c r="K2018" i="11"/>
  <c r="K1974" i="11"/>
  <c r="K2072" i="11"/>
  <c r="K2021" i="11"/>
  <c r="K1986" i="11"/>
  <c r="K2002" i="11"/>
  <c r="K1991" i="11"/>
  <c r="K2025" i="11"/>
  <c r="K2013" i="11"/>
  <c r="K2052" i="11"/>
  <c r="K2045" i="11"/>
  <c r="K2084" i="11"/>
  <c r="K2057" i="11"/>
  <c r="K2032" i="11"/>
  <c r="K2064" i="11"/>
  <c r="K2079" i="11"/>
  <c r="K2005" i="11"/>
  <c r="K2019" i="11"/>
  <c r="K2075" i="11"/>
  <c r="K1981" i="11"/>
  <c r="K1987" i="11"/>
  <c r="K2086" i="11"/>
  <c r="K1988" i="11"/>
  <c r="K1999" i="11"/>
  <c r="K2076" i="11"/>
  <c r="K1982" i="11"/>
  <c r="K2081" i="11"/>
  <c r="K2059" i="11"/>
  <c r="K2038" i="11"/>
  <c r="K1989" i="11"/>
  <c r="K2006" i="11"/>
  <c r="K2022" i="11"/>
  <c r="K2023" i="11"/>
  <c r="K2020" i="11"/>
  <c r="K2014" i="11"/>
  <c r="K2000" i="11"/>
  <c r="K1994" i="11"/>
  <c r="K2071" i="11"/>
  <c r="K2065" i="11"/>
  <c r="K2060" i="11"/>
  <c r="K2049" i="11"/>
  <c r="K1976" i="11"/>
  <c r="K1995" i="11"/>
  <c r="K2066" i="11"/>
  <c r="K2087" i="11"/>
  <c r="K2033" i="11"/>
  <c r="K2008" i="11"/>
  <c r="K1984" i="11"/>
  <c r="K2041" i="11"/>
  <c r="K2053" i="11"/>
  <c r="K2083" i="11"/>
  <c r="K2062" i="11"/>
  <c r="K2035" i="11"/>
  <c r="K2031" i="11"/>
  <c r="K2074" i="11"/>
  <c r="K1992" i="11"/>
  <c r="K2070" i="11"/>
  <c r="K2046" i="11"/>
  <c r="K2026" i="11"/>
  <c r="K3193" i="11"/>
  <c r="K2080" i="11"/>
  <c r="K2085" i="11"/>
  <c r="K1979" i="11"/>
  <c r="K1983" i="11"/>
  <c r="K2077" i="11"/>
  <c r="K2017" i="11"/>
  <c r="K2048" i="11"/>
  <c r="K1997" i="11"/>
  <c r="K2027" i="11"/>
  <c r="K1990" i="11"/>
  <c r="K2007" i="11"/>
  <c r="K2082" i="11"/>
  <c r="K2034" i="11"/>
  <c r="K2043" i="11"/>
  <c r="K1977" i="11"/>
  <c r="K2054" i="11"/>
  <c r="K2001" i="11"/>
  <c r="K2039" i="11"/>
  <c r="K1978" i="11"/>
  <c r="K2061" i="11"/>
  <c r="K1985" i="11"/>
  <c r="K2055" i="11"/>
  <c r="K2050" i="11"/>
  <c r="K2044" i="11"/>
  <c r="K2078" i="11"/>
  <c r="K2016" i="11"/>
  <c r="K2011" i="11"/>
  <c r="K2067" i="11"/>
  <c r="K2029" i="11"/>
  <c r="K2030" i="11"/>
  <c r="K2069" i="11"/>
  <c r="K1975" i="11"/>
  <c r="K2036" i="11"/>
  <c r="K2042" i="11"/>
  <c r="K1993" i="11"/>
  <c r="K2058" i="11"/>
  <c r="K2003" i="11"/>
  <c r="K2047" i="11"/>
  <c r="K2004" i="11"/>
  <c r="K1980" i="11"/>
  <c r="K2037" i="11"/>
  <c r="K2088" i="11"/>
  <c r="K2015" i="11"/>
  <c r="K1996" i="11"/>
  <c r="K2024" i="11"/>
  <c r="K2089" i="11"/>
  <c r="K2073" i="11"/>
  <c r="K2126" i="11"/>
  <c r="K2153" i="11"/>
  <c r="K2142" i="11"/>
  <c r="K2180" i="11"/>
  <c r="K2163" i="11"/>
  <c r="K2115" i="11"/>
  <c r="K2168" i="11"/>
  <c r="K2133" i="11"/>
  <c r="K2090" i="11"/>
  <c r="K2202" i="11"/>
  <c r="K2136" i="11"/>
  <c r="K2103" i="11"/>
  <c r="K2119" i="11"/>
  <c r="K2108" i="11"/>
  <c r="K2109" i="11"/>
  <c r="K2096" i="11"/>
  <c r="K2203" i="11"/>
  <c r="K2195" i="11"/>
  <c r="K2140" i="11"/>
  <c r="K2169" i="11"/>
  <c r="K2176" i="11"/>
  <c r="K2192" i="11"/>
  <c r="K2193" i="11"/>
  <c r="K2134" i="11"/>
  <c r="K2187" i="11"/>
  <c r="K2098" i="11"/>
  <c r="K2104" i="11"/>
  <c r="K2198" i="11"/>
  <c r="K2105" i="11"/>
  <c r="K2116" i="11"/>
  <c r="K2189" i="11"/>
  <c r="K2099" i="11"/>
  <c r="K2194" i="11"/>
  <c r="K2171" i="11"/>
  <c r="K2151" i="11"/>
  <c r="K2106" i="11"/>
  <c r="K2122" i="11"/>
  <c r="K2137" i="11"/>
  <c r="K2138" i="11"/>
  <c r="K2135" i="11"/>
  <c r="K2129" i="11"/>
  <c r="K2117" i="11"/>
  <c r="K2111" i="11"/>
  <c r="K2183" i="11"/>
  <c r="K2177" i="11"/>
  <c r="K2172" i="11"/>
  <c r="K2160" i="11"/>
  <c r="K2092" i="11"/>
  <c r="K2112" i="11"/>
  <c r="K2178" i="11"/>
  <c r="K2199" i="11"/>
  <c r="K2146" i="11"/>
  <c r="K2124" i="11"/>
  <c r="K2161" i="11"/>
  <c r="K2154" i="11"/>
  <c r="K2164" i="11"/>
  <c r="K2196" i="11"/>
  <c r="K2173" i="11"/>
  <c r="K2128" i="11"/>
  <c r="K2145" i="11"/>
  <c r="K2185" i="11"/>
  <c r="K2110" i="11"/>
  <c r="K2182" i="11"/>
  <c r="K2158" i="11"/>
  <c r="K2204" i="11"/>
  <c r="K3198" i="11"/>
  <c r="K2188" i="11"/>
  <c r="K2197" i="11"/>
  <c r="K2095" i="11"/>
  <c r="K2101" i="11"/>
  <c r="K2190" i="11"/>
  <c r="K2132" i="11"/>
  <c r="K2121" i="11"/>
  <c r="K2114" i="11"/>
  <c r="K2141" i="11"/>
  <c r="K2107" i="11"/>
  <c r="K2123" i="11"/>
  <c r="K2100" i="11"/>
  <c r="K2147" i="11"/>
  <c r="K2156" i="11"/>
  <c r="K2093" i="11"/>
  <c r="K2166" i="11"/>
  <c r="K2118" i="11"/>
  <c r="K2152" i="11"/>
  <c r="K2094" i="11"/>
  <c r="K2148" i="11"/>
  <c r="K2102" i="11"/>
  <c r="K2167" i="11"/>
  <c r="K2162" i="11"/>
  <c r="K2157" i="11"/>
  <c r="K2191" i="11"/>
  <c r="K2131" i="11"/>
  <c r="K2201" i="11"/>
  <c r="K2179" i="11"/>
  <c r="K2143" i="11"/>
  <c r="K2144" i="11"/>
  <c r="K2181" i="11"/>
  <c r="K2091" i="11"/>
  <c r="K2149" i="11"/>
  <c r="K2155" i="11"/>
  <c r="K2165" i="11"/>
  <c r="K2170" i="11"/>
  <c r="K2120" i="11"/>
  <c r="K2159" i="11"/>
  <c r="K2174" i="11"/>
  <c r="K2097" i="11"/>
  <c r="K2150" i="11"/>
  <c r="K2205" i="11"/>
  <c r="K2130" i="11"/>
  <c r="K2113" i="11"/>
  <c r="K2139" i="11"/>
  <c r="K2200" i="11"/>
  <c r="K2184" i="11"/>
  <c r="K2239" i="11"/>
  <c r="K2268" i="11"/>
  <c r="K2257" i="11"/>
  <c r="K2318" i="11"/>
  <c r="K2278" i="11"/>
  <c r="K2228" i="11"/>
  <c r="K2282" i="11"/>
  <c r="K2247" i="11"/>
  <c r="K2206" i="11"/>
  <c r="K2314" i="11"/>
  <c r="K2250" i="11"/>
  <c r="K2217" i="11"/>
  <c r="K2232" i="11"/>
  <c r="K2222" i="11"/>
  <c r="K2223" i="11"/>
  <c r="K2269" i="11"/>
  <c r="K2315" i="11"/>
  <c r="K2308" i="11"/>
  <c r="K2295" i="11"/>
  <c r="K2254" i="11"/>
  <c r="K2283" i="11"/>
  <c r="K2291" i="11"/>
  <c r="K2234" i="11"/>
  <c r="K2306" i="11"/>
  <c r="K2248" i="11"/>
  <c r="K2300" i="11"/>
  <c r="K2214" i="11"/>
  <c r="K2218" i="11"/>
  <c r="K2321" i="11"/>
  <c r="K2219" i="11"/>
  <c r="K2229" i="11"/>
  <c r="K2301" i="11"/>
  <c r="K2215" i="11"/>
  <c r="K2302" i="11"/>
  <c r="K2285" i="11"/>
  <c r="K2266" i="11"/>
  <c r="K2220" i="11"/>
  <c r="K2235" i="11"/>
  <c r="K2251" i="11"/>
  <c r="K2252" i="11"/>
  <c r="K2249" i="11"/>
  <c r="K2242" i="11"/>
  <c r="K2230" i="11"/>
  <c r="K2225" i="11"/>
  <c r="K2297" i="11"/>
  <c r="K2243" i="11"/>
  <c r="K2286" i="11"/>
  <c r="K2260" i="11"/>
  <c r="K2208" i="11"/>
  <c r="K2226" i="11"/>
  <c r="K2292" i="11"/>
  <c r="K2311" i="11"/>
  <c r="K2261" i="11"/>
  <c r="K2237" i="11"/>
  <c r="K2276" i="11"/>
  <c r="K2263" i="11"/>
  <c r="K2279" i="11"/>
  <c r="K2309" i="11"/>
  <c r="K2288" i="11"/>
  <c r="K2305" i="11"/>
  <c r="K2259" i="11"/>
  <c r="K2299" i="11"/>
  <c r="K2224" i="11"/>
  <c r="K2296" i="11"/>
  <c r="K2273" i="11"/>
  <c r="K2316" i="11"/>
  <c r="K3203" i="11"/>
  <c r="K2320" i="11"/>
  <c r="K2310" i="11"/>
  <c r="K2211" i="11"/>
  <c r="K2216" i="11"/>
  <c r="K2303" i="11"/>
  <c r="K2246" i="11"/>
  <c r="K2275" i="11"/>
  <c r="K2256" i="11"/>
  <c r="K2255" i="11"/>
  <c r="K2221" i="11"/>
  <c r="K2236" i="11"/>
  <c r="K2307" i="11"/>
  <c r="K2262" i="11"/>
  <c r="K2271" i="11"/>
  <c r="K2209" i="11"/>
  <c r="K2281" i="11"/>
  <c r="K2231" i="11"/>
  <c r="K2267" i="11"/>
  <c r="K2210" i="11"/>
  <c r="K2287" i="11"/>
  <c r="K2212" i="11"/>
  <c r="K2240" i="11"/>
  <c r="K2277" i="11"/>
  <c r="K2272" i="11"/>
  <c r="K2304" i="11"/>
  <c r="K2245" i="11"/>
  <c r="K2313" i="11"/>
  <c r="K2293" i="11"/>
  <c r="K2319" i="11"/>
  <c r="K2258" i="11"/>
  <c r="K2294" i="11"/>
  <c r="K2207" i="11"/>
  <c r="K2264" i="11"/>
  <c r="K2270" i="11"/>
  <c r="K2280" i="11"/>
  <c r="K2284" i="11"/>
  <c r="K2233" i="11"/>
  <c r="K2274" i="11"/>
  <c r="K2289" i="11"/>
  <c r="K2213" i="11"/>
  <c r="K2265" i="11"/>
  <c r="K2317" i="11"/>
  <c r="K2244" i="11"/>
  <c r="K2227" i="11"/>
  <c r="K2253" i="11"/>
  <c r="K2312" i="11"/>
  <c r="K2298" i="11"/>
  <c r="K2354" i="11"/>
  <c r="K2381" i="11"/>
  <c r="K2369" i="11"/>
  <c r="K2429" i="11"/>
  <c r="K2391" i="11"/>
  <c r="K2343" i="11"/>
  <c r="K2395" i="11"/>
  <c r="K2361" i="11"/>
  <c r="K2322" i="11"/>
  <c r="K2426" i="11"/>
  <c r="K2363" i="11"/>
  <c r="K2332" i="11"/>
  <c r="K2347" i="11"/>
  <c r="K2337" i="11"/>
  <c r="K2434" i="11"/>
  <c r="K2383" i="11"/>
  <c r="K2427" i="11"/>
  <c r="K2420" i="11"/>
  <c r="K2407" i="11"/>
  <c r="K2396" i="11"/>
  <c r="K2435" i="11"/>
  <c r="K2403" i="11"/>
  <c r="K2418" i="11"/>
  <c r="K2412" i="11"/>
  <c r="K2362" i="11"/>
  <c r="K2413" i="11"/>
  <c r="K2329" i="11"/>
  <c r="K2333" i="11"/>
  <c r="K2432" i="11"/>
  <c r="K2334" i="11"/>
  <c r="K2344" i="11"/>
  <c r="K2414" i="11"/>
  <c r="K2330" i="11"/>
  <c r="K2356" i="11"/>
  <c r="K2349" i="11"/>
  <c r="K2377" i="11"/>
  <c r="K2335" i="11"/>
  <c r="K2350" i="11"/>
  <c r="K2364" i="11"/>
  <c r="K2365" i="11"/>
  <c r="K2339" i="11"/>
  <c r="K2357" i="11"/>
  <c r="K2345" i="11"/>
  <c r="K2340" i="11"/>
  <c r="K2409" i="11"/>
  <c r="K2331" i="11"/>
  <c r="K2398" i="11"/>
  <c r="K2324" i="11"/>
  <c r="K2325" i="11"/>
  <c r="K2341" i="11"/>
  <c r="K2404" i="11"/>
  <c r="K2423" i="11"/>
  <c r="K2373" i="11"/>
  <c r="K2352" i="11"/>
  <c r="K2389" i="11"/>
  <c r="K2382" i="11"/>
  <c r="K2392" i="11"/>
  <c r="K2421" i="11"/>
  <c r="K2400" i="11"/>
  <c r="K2417" i="11"/>
  <c r="K2371" i="11"/>
  <c r="K2411" i="11"/>
  <c r="K2338" i="11"/>
  <c r="K2408" i="11"/>
  <c r="K2386" i="11"/>
  <c r="K2428" i="11"/>
  <c r="K3208" i="11"/>
  <c r="K2431" i="11"/>
  <c r="K2422" i="11"/>
  <c r="K2327" i="11"/>
  <c r="K2437" i="11"/>
  <c r="K2415" i="11"/>
  <c r="K2360" i="11"/>
  <c r="K2388" i="11"/>
  <c r="K2368" i="11"/>
  <c r="K2367" i="11"/>
  <c r="K2336" i="11"/>
  <c r="K2351" i="11"/>
  <c r="K2419" i="11"/>
  <c r="K2374" i="11"/>
  <c r="K2384" i="11"/>
  <c r="K2436" i="11"/>
  <c r="K2378" i="11"/>
  <c r="K2346" i="11"/>
  <c r="K2379" i="11"/>
  <c r="K2326" i="11"/>
  <c r="K2399" i="11"/>
  <c r="K2433" i="11"/>
  <c r="K2394" i="11"/>
  <c r="K2390" i="11"/>
  <c r="K2385" i="11"/>
  <c r="K2416" i="11"/>
  <c r="K2359" i="11"/>
  <c r="K2425" i="11"/>
  <c r="K2405" i="11"/>
  <c r="K2430" i="11"/>
  <c r="K2370" i="11"/>
  <c r="K2406" i="11"/>
  <c r="K2323" i="11"/>
  <c r="K2375" i="11"/>
  <c r="K2372" i="11"/>
  <c r="K2393" i="11"/>
  <c r="K2397" i="11"/>
  <c r="K2348" i="11"/>
  <c r="K2387" i="11"/>
  <c r="K2401" i="11"/>
  <c r="K2328" i="11"/>
  <c r="K2376" i="11"/>
  <c r="K2380" i="11"/>
  <c r="K2358" i="11"/>
  <c r="K2342" i="11"/>
  <c r="K2366" i="11"/>
  <c r="K2424" i="11"/>
  <c r="K2410" i="11"/>
  <c r="K2467" i="11"/>
  <c r="K2493" i="11"/>
  <c r="K2482" i="11"/>
  <c r="K2541" i="11"/>
  <c r="K2503" i="11"/>
  <c r="K2458" i="11"/>
  <c r="K2438" i="11"/>
  <c r="K2474" i="11"/>
  <c r="K2439" i="11"/>
  <c r="K2538" i="11"/>
  <c r="K2476" i="11"/>
  <c r="K2448" i="11"/>
  <c r="K2461" i="11"/>
  <c r="K2453" i="11"/>
  <c r="K2542" i="11"/>
  <c r="K2495" i="11"/>
  <c r="K2539" i="11"/>
  <c r="K2532" i="11"/>
  <c r="K2519" i="11"/>
  <c r="K2507" i="11"/>
  <c r="K2547" i="11"/>
  <c r="K2514" i="11"/>
  <c r="K2463" i="11"/>
  <c r="K2530" i="11"/>
  <c r="K2550" i="11"/>
  <c r="K2525" i="11"/>
  <c r="K2445" i="11"/>
  <c r="K2449" i="11"/>
  <c r="K2544" i="11"/>
  <c r="K2450" i="11"/>
  <c r="K2521" i="11"/>
  <c r="K2526" i="11"/>
  <c r="K2446" i="11"/>
  <c r="K2469" i="11"/>
  <c r="K2509" i="11"/>
  <c r="K2491" i="11"/>
  <c r="K2451" i="11"/>
  <c r="K2464" i="11"/>
  <c r="K2551" i="11"/>
  <c r="K2477" i="11"/>
  <c r="K2475" i="11"/>
  <c r="K2470" i="11"/>
  <c r="K2459" i="11"/>
  <c r="K2455" i="11"/>
  <c r="K2522" i="11"/>
  <c r="K2447" i="11"/>
  <c r="K2510" i="11"/>
  <c r="K2501" i="11"/>
  <c r="K2441" i="11"/>
  <c r="K2515" i="11"/>
  <c r="K2516" i="11"/>
  <c r="K2535" i="11"/>
  <c r="K2485" i="11"/>
  <c r="K2465" i="11"/>
  <c r="K2479" i="11"/>
  <c r="K2494" i="11"/>
  <c r="K2488" i="11"/>
  <c r="K2533" i="11"/>
  <c r="K2546" i="11"/>
  <c r="K2529" i="11"/>
  <c r="K2484" i="11"/>
  <c r="K2480" i="11"/>
  <c r="K2454" i="11"/>
  <c r="K2520" i="11"/>
  <c r="K2498" i="11"/>
  <c r="K2540" i="11"/>
  <c r="K3214" i="11"/>
  <c r="K2543" i="11"/>
  <c r="K2534" i="11"/>
  <c r="K2443" i="11"/>
  <c r="K2553" i="11"/>
  <c r="K2527" i="11"/>
  <c r="K2473" i="11"/>
  <c r="K2500" i="11"/>
  <c r="K2549" i="11"/>
  <c r="K2481" i="11"/>
  <c r="K2452" i="11"/>
  <c r="K2552" i="11"/>
  <c r="K2531" i="11"/>
  <c r="K2486" i="11"/>
  <c r="K2456" i="11"/>
  <c r="K2548" i="11"/>
  <c r="K2505" i="11"/>
  <c r="K2460" i="11"/>
  <c r="K2492" i="11"/>
  <c r="K2442" i="11"/>
  <c r="K2511" i="11"/>
  <c r="K2545" i="11"/>
  <c r="K2506" i="11"/>
  <c r="K2502" i="11"/>
  <c r="K2497" i="11"/>
  <c r="K2528" i="11"/>
  <c r="K2472" i="11"/>
  <c r="K2537" i="11"/>
  <c r="K2517" i="11"/>
  <c r="K2523" i="11"/>
  <c r="K2483" i="11"/>
  <c r="K2518" i="11"/>
  <c r="K2440" i="11"/>
  <c r="K2489" i="11"/>
  <c r="K2496" i="11"/>
  <c r="K2504" i="11"/>
  <c r="K2508" i="11"/>
  <c r="K2462" i="11"/>
  <c r="K2499" i="11"/>
  <c r="K2512" i="11"/>
  <c r="K2444" i="11"/>
  <c r="K2490" i="11"/>
  <c r="K2487" i="11"/>
  <c r="K2471" i="11"/>
  <c r="K2457" i="11"/>
  <c r="K2478" i="11"/>
  <c r="K2536" i="11"/>
  <c r="K2524" i="11"/>
  <c r="K2582" i="11"/>
  <c r="K2606" i="11"/>
  <c r="K2596" i="11"/>
  <c r="K2652" i="11"/>
  <c r="K2615" i="11"/>
  <c r="K2573" i="11"/>
  <c r="K2619" i="11"/>
  <c r="K2589" i="11"/>
  <c r="K2554" i="11"/>
  <c r="K2648" i="11"/>
  <c r="K2591" i="11"/>
  <c r="K2563" i="11"/>
  <c r="K2576" i="11"/>
  <c r="K2568" i="11"/>
  <c r="K2569" i="11"/>
  <c r="K2598" i="11"/>
  <c r="K2649" i="11"/>
  <c r="K2642" i="11"/>
  <c r="K2630" i="11"/>
  <c r="K2664" i="11"/>
  <c r="K2656" i="11"/>
  <c r="K2666" i="11"/>
  <c r="K2578" i="11"/>
  <c r="K2641" i="11"/>
  <c r="K2660" i="11"/>
  <c r="K2636" i="11"/>
  <c r="K2561" i="11"/>
  <c r="K2564" i="11"/>
  <c r="K2667" i="11"/>
  <c r="K2565" i="11"/>
  <c r="K2632" i="11"/>
  <c r="K2668" i="11"/>
  <c r="K2562" i="11"/>
  <c r="K2584" i="11"/>
  <c r="K2621" i="11"/>
  <c r="K2604" i="11"/>
  <c r="K2566" i="11"/>
  <c r="K2579" i="11"/>
  <c r="K2661" i="11"/>
  <c r="K2592" i="11"/>
  <c r="K2590" i="11"/>
  <c r="K2585" i="11"/>
  <c r="K2574" i="11"/>
  <c r="K2571" i="11"/>
  <c r="K2662" i="11"/>
  <c r="K2625" i="11"/>
  <c r="K2622" i="11"/>
  <c r="K2613" i="11"/>
  <c r="K2556" i="11"/>
  <c r="K2626" i="11"/>
  <c r="K2627" i="11"/>
  <c r="K2645" i="11"/>
  <c r="K2600" i="11"/>
  <c r="K2580" i="11"/>
  <c r="K2594" i="11"/>
  <c r="K2607" i="11"/>
  <c r="K2616" i="11"/>
  <c r="K2643" i="11"/>
  <c r="K2663" i="11"/>
  <c r="K2640" i="11"/>
  <c r="K2599" i="11"/>
  <c r="K2635" i="11"/>
  <c r="K2570" i="11"/>
  <c r="K2631" i="11"/>
  <c r="K2610" i="11"/>
  <c r="K2650" i="11"/>
  <c r="K3219" i="11"/>
  <c r="K2654" i="11"/>
  <c r="K2644" i="11"/>
  <c r="K2558" i="11"/>
  <c r="K2658" i="11"/>
  <c r="K2638" i="11"/>
  <c r="K2588" i="11"/>
  <c r="K2612" i="11"/>
  <c r="K2659" i="11"/>
  <c r="K2595" i="11"/>
  <c r="K2567" i="11"/>
  <c r="K2633" i="11"/>
  <c r="K2669" i="11"/>
  <c r="K2601" i="11"/>
  <c r="K2637" i="11"/>
  <c r="K2657" i="11"/>
  <c r="K2617" i="11"/>
  <c r="K2575" i="11"/>
  <c r="K2605" i="11"/>
  <c r="K2557" i="11"/>
  <c r="K2623" i="11"/>
  <c r="K2655" i="11"/>
  <c r="K2618" i="11"/>
  <c r="K2614" i="11"/>
  <c r="K2609" i="11"/>
  <c r="K2639" i="11"/>
  <c r="K2587" i="11"/>
  <c r="K2647" i="11"/>
  <c r="K2628" i="11"/>
  <c r="K2653" i="11"/>
  <c r="K2597" i="11"/>
  <c r="K2629" i="11"/>
  <c r="K2555" i="11"/>
  <c r="K2602" i="11"/>
  <c r="K2608" i="11"/>
  <c r="K2559" i="11"/>
  <c r="K2620" i="11"/>
  <c r="K2577" i="11"/>
  <c r="K2611" i="11"/>
  <c r="K2624" i="11"/>
  <c r="K2560" i="11"/>
  <c r="K2603" i="11"/>
  <c r="K2651" i="11"/>
  <c r="K2586" i="11"/>
  <c r="K2572" i="11"/>
  <c r="K2593" i="11"/>
  <c r="K2646" i="11"/>
  <c r="K2634" i="11"/>
  <c r="K2697" i="11"/>
  <c r="K2722" i="11"/>
  <c r="K2711" i="11"/>
  <c r="K2765" i="11"/>
  <c r="K2730" i="11"/>
  <c r="K2688" i="11"/>
  <c r="K2734" i="11"/>
  <c r="K2704" i="11"/>
  <c r="K2671" i="11"/>
  <c r="K2762" i="11"/>
  <c r="K2706" i="11"/>
  <c r="K2679" i="11"/>
  <c r="K2691" i="11"/>
  <c r="K2684" i="11"/>
  <c r="K2692" i="11"/>
  <c r="K2723" i="11"/>
  <c r="K2748" i="11"/>
  <c r="K2756" i="11"/>
  <c r="K2744" i="11"/>
  <c r="K2777" i="11"/>
  <c r="K2769" i="11"/>
  <c r="K2779" i="11"/>
  <c r="K2676" i="11"/>
  <c r="K2754" i="11"/>
  <c r="K2718" i="11"/>
  <c r="K2751" i="11"/>
  <c r="K2677" i="11"/>
  <c r="K2680" i="11"/>
  <c r="K2714" i="11"/>
  <c r="K2681" i="11"/>
  <c r="K2746" i="11"/>
  <c r="K2780" i="11"/>
  <c r="K2678" i="11"/>
  <c r="K2755" i="11"/>
  <c r="K2735" i="11"/>
  <c r="K2784" i="11"/>
  <c r="K2682" i="11"/>
  <c r="K2694" i="11"/>
  <c r="K2773" i="11"/>
  <c r="K2707" i="11"/>
  <c r="K2705" i="11"/>
  <c r="K2700" i="11"/>
  <c r="K2689" i="11"/>
  <c r="K2686" i="11"/>
  <c r="K2774" i="11"/>
  <c r="K2739" i="11"/>
  <c r="K2736" i="11"/>
  <c r="K2729" i="11"/>
  <c r="K2672" i="11"/>
  <c r="K2740" i="11"/>
  <c r="K2741" i="11"/>
  <c r="K2759" i="11"/>
  <c r="K2715" i="11"/>
  <c r="K2695" i="11"/>
  <c r="K2709" i="11"/>
  <c r="K2683" i="11"/>
  <c r="K2731" i="11"/>
  <c r="K2757" i="11"/>
  <c r="K2776" i="11"/>
  <c r="K2782" i="11"/>
  <c r="K2713" i="11"/>
  <c r="K2750" i="11"/>
  <c r="K2685" i="11"/>
  <c r="K2745" i="11"/>
  <c r="K2726" i="11"/>
  <c r="K2763" i="11"/>
  <c r="K3224" i="11"/>
  <c r="K2767" i="11"/>
  <c r="K2758" i="11"/>
  <c r="K2674" i="11"/>
  <c r="K2771" i="11"/>
  <c r="K2752" i="11"/>
  <c r="K2703" i="11"/>
  <c r="K2728" i="11"/>
  <c r="K2772" i="11"/>
  <c r="K2710" i="11"/>
  <c r="K2747" i="11"/>
  <c r="K2775" i="11"/>
  <c r="K2781" i="11"/>
  <c r="K2716" i="11"/>
  <c r="K2720" i="11"/>
  <c r="K2770" i="11"/>
  <c r="K2785" i="11"/>
  <c r="K2690" i="11"/>
  <c r="K2721" i="11"/>
  <c r="K2673" i="11"/>
  <c r="K2737" i="11"/>
  <c r="K2768" i="11"/>
  <c r="K2733" i="11"/>
  <c r="K2670" i="11"/>
  <c r="K2725" i="11"/>
  <c r="K2753" i="11"/>
  <c r="K2702" i="11"/>
  <c r="K2761" i="11"/>
  <c r="K2742" i="11"/>
  <c r="K2766" i="11"/>
  <c r="K2712" i="11"/>
  <c r="K2743" i="11"/>
  <c r="K2783" i="11"/>
  <c r="K2717" i="11"/>
  <c r="K2724" i="11"/>
  <c r="K2732" i="11"/>
  <c r="K2699" i="11"/>
  <c r="K2693" i="11"/>
  <c r="K2727" i="11"/>
  <c r="K2738" i="11"/>
  <c r="K2675" i="11"/>
  <c r="K2719" i="11"/>
  <c r="K2764" i="11"/>
  <c r="K2701" i="11"/>
  <c r="K2687" i="11"/>
  <c r="K2708" i="11"/>
  <c r="K2760" i="11"/>
  <c r="K2749" i="11"/>
  <c r="K2811" i="11"/>
  <c r="K2836" i="11"/>
  <c r="K2826" i="11"/>
  <c r="K2876" i="11"/>
  <c r="K2843" i="11"/>
  <c r="K2803" i="11"/>
  <c r="K2859" i="11"/>
  <c r="K2818" i="11"/>
  <c r="K2786" i="11"/>
  <c r="K2893" i="11"/>
  <c r="K2820" i="11"/>
  <c r="K2897" i="11"/>
  <c r="K2806" i="11"/>
  <c r="K2799" i="11"/>
  <c r="K2787" i="11"/>
  <c r="K2837" i="11"/>
  <c r="K2873" i="11"/>
  <c r="K2867" i="11"/>
  <c r="K2856" i="11"/>
  <c r="K2888" i="11"/>
  <c r="K2880" i="11"/>
  <c r="K2890" i="11"/>
  <c r="K2832" i="11"/>
  <c r="K2833" i="11"/>
  <c r="K2808" i="11"/>
  <c r="K2862" i="11"/>
  <c r="K2792" i="11"/>
  <c r="K2794" i="11"/>
  <c r="K2878" i="11"/>
  <c r="K2795" i="11"/>
  <c r="K2858" i="11"/>
  <c r="K2891" i="11"/>
  <c r="K2793" i="11"/>
  <c r="K2866" i="11"/>
  <c r="K2848" i="11"/>
  <c r="K2895" i="11"/>
  <c r="K2796" i="11"/>
  <c r="K2809" i="11"/>
  <c r="K2884" i="11"/>
  <c r="K2821" i="11"/>
  <c r="K2819" i="11"/>
  <c r="K2814" i="11"/>
  <c r="K2804" i="11"/>
  <c r="K2801" i="11"/>
  <c r="K2885" i="11"/>
  <c r="K2851" i="11"/>
  <c r="K2849" i="11"/>
  <c r="K2842" i="11"/>
  <c r="K2788" i="11"/>
  <c r="K2852" i="11"/>
  <c r="K2853" i="11"/>
  <c r="K2870" i="11"/>
  <c r="K2829" i="11"/>
  <c r="K2901" i="11"/>
  <c r="K2823" i="11"/>
  <c r="K2812" i="11"/>
  <c r="K2844" i="11"/>
  <c r="K2868" i="11"/>
  <c r="K2887" i="11"/>
  <c r="K2865" i="11"/>
  <c r="K2828" i="11"/>
  <c r="K2861" i="11"/>
  <c r="K2898" i="11"/>
  <c r="K2857" i="11"/>
  <c r="K2840" i="11"/>
  <c r="K2874" i="11"/>
  <c r="K3229" i="11"/>
  <c r="K2877" i="11"/>
  <c r="K2869" i="11"/>
  <c r="K2790" i="11"/>
  <c r="K2882" i="11"/>
  <c r="K2863" i="11"/>
  <c r="K2817" i="11"/>
  <c r="K2841" i="11"/>
  <c r="K2883" i="11"/>
  <c r="K2824" i="11"/>
  <c r="K2797" i="11"/>
  <c r="K2886" i="11"/>
  <c r="K2892" i="11"/>
  <c r="K2830" i="11"/>
  <c r="K2798" i="11"/>
  <c r="K2881" i="11"/>
  <c r="K2896" i="11"/>
  <c r="K2805" i="11"/>
  <c r="K2835" i="11"/>
  <c r="K2789" i="11"/>
  <c r="K2850" i="11"/>
  <c r="K2879" i="11"/>
  <c r="K2846" i="11"/>
  <c r="K2825" i="11"/>
  <c r="K2839" i="11"/>
  <c r="K2864" i="11"/>
  <c r="K2816" i="11"/>
  <c r="K2872" i="11"/>
  <c r="K2854" i="11"/>
  <c r="K2791" i="11"/>
  <c r="K2827" i="11"/>
  <c r="K2855" i="11"/>
  <c r="K2894" i="11"/>
  <c r="K2831" i="11"/>
  <c r="K2838" i="11"/>
  <c r="K2845" i="11"/>
  <c r="K2847" i="11"/>
  <c r="K2807" i="11"/>
  <c r="K2800" i="11"/>
  <c r="K2899" i="11"/>
  <c r="K2900" i="11"/>
  <c r="K2834" i="11"/>
  <c r="K2875" i="11"/>
  <c r="K2815" i="11"/>
  <c r="K2802" i="11"/>
  <c r="K2822" i="11"/>
  <c r="K2871" i="11"/>
  <c r="K2860" i="11"/>
  <c r="K2925" i="11"/>
  <c r="K2949" i="11"/>
  <c r="K2939" i="11"/>
  <c r="K2989" i="11"/>
  <c r="K2957" i="11"/>
  <c r="K2918" i="11"/>
  <c r="K2934" i="11"/>
  <c r="K2932" i="11"/>
  <c r="K2902" i="11"/>
  <c r="K3015" i="11"/>
  <c r="K2935" i="11"/>
  <c r="K3010" i="11"/>
  <c r="K2921" i="11"/>
  <c r="K2914" i="11"/>
  <c r="K2903" i="11"/>
  <c r="K2950" i="11"/>
  <c r="K2986" i="11"/>
  <c r="K2981" i="11"/>
  <c r="K2970" i="11"/>
  <c r="K3001" i="11"/>
  <c r="K2993" i="11"/>
  <c r="K3003" i="11"/>
  <c r="K2946" i="11"/>
  <c r="K2979" i="11"/>
  <c r="K2997" i="11"/>
  <c r="K2975" i="11"/>
  <c r="K2908" i="11"/>
  <c r="K2910" i="11"/>
  <c r="K2991" i="11"/>
  <c r="K2911" i="11"/>
  <c r="K2972" i="11"/>
  <c r="K3004" i="11"/>
  <c r="K2909" i="11"/>
  <c r="K2980" i="11"/>
  <c r="K2961" i="11"/>
  <c r="K3007" i="11"/>
  <c r="K2912" i="11"/>
  <c r="K2923" i="11"/>
  <c r="K2998" i="11"/>
  <c r="K2936" i="11"/>
  <c r="K2933" i="11"/>
  <c r="K2928" i="11"/>
  <c r="K2919" i="11"/>
  <c r="K2916" i="11"/>
  <c r="K2976" i="11"/>
  <c r="K2965" i="11"/>
  <c r="K2962" i="11"/>
  <c r="K2955" i="11"/>
  <c r="K2904" i="11"/>
  <c r="K2966" i="11"/>
  <c r="K2967" i="11"/>
  <c r="K2983" i="11"/>
  <c r="K2941" i="11"/>
  <c r="K3013" i="11"/>
  <c r="K3009" i="11"/>
  <c r="K3014" i="11"/>
  <c r="K2958" i="11"/>
  <c r="K2982" i="11"/>
  <c r="K3000" i="11"/>
  <c r="K2978" i="11"/>
  <c r="K3016" i="11"/>
  <c r="K2974" i="11"/>
  <c r="K3011" i="11"/>
  <c r="K2971" i="11"/>
  <c r="K2953" i="11"/>
  <c r="K2987" i="11"/>
  <c r="K3234" i="11"/>
  <c r="K2990" i="11"/>
  <c r="K2915" i="11"/>
  <c r="K2906" i="11"/>
  <c r="K2995" i="11"/>
  <c r="K2977" i="11"/>
  <c r="K2931" i="11"/>
  <c r="K2954" i="11"/>
  <c r="K2996" i="11"/>
  <c r="K2938" i="11"/>
  <c r="K2913" i="11"/>
  <c r="K2999" i="11"/>
  <c r="K3005" i="11"/>
  <c r="K2942" i="11"/>
  <c r="K3017" i="11"/>
  <c r="K2994" i="11"/>
  <c r="K3008" i="11"/>
  <c r="K2943" i="11"/>
  <c r="K2948" i="11"/>
  <c r="K2905" i="11"/>
  <c r="K2963" i="11"/>
  <c r="K2992" i="11"/>
  <c r="K2959" i="11"/>
  <c r="K2956" i="11"/>
  <c r="K2952" i="11"/>
  <c r="K2944" i="11"/>
  <c r="K2930" i="11"/>
  <c r="K2985" i="11"/>
  <c r="K2968" i="11"/>
  <c r="K2920" i="11"/>
  <c r="K2940" i="11"/>
  <c r="K2969" i="11"/>
  <c r="K3006" i="11"/>
  <c r="K2945" i="11"/>
  <c r="K2951" i="11"/>
  <c r="K2907" i="11"/>
  <c r="K2960" i="11"/>
  <c r="K2922" i="11"/>
  <c r="K2927" i="11"/>
  <c r="K2964" i="11"/>
  <c r="K3012" i="11"/>
  <c r="K2947" i="11"/>
  <c r="K2988" i="11"/>
  <c r="K2929" i="11"/>
  <c r="K2917" i="11"/>
  <c r="K2937" i="11"/>
  <c r="K2984" i="11"/>
  <c r="K2973" i="11"/>
  <c r="K3040" i="11"/>
  <c r="K3063" i="11"/>
  <c r="K3054" i="11"/>
  <c r="K3104" i="11"/>
  <c r="K3128" i="11"/>
  <c r="K3033" i="11"/>
  <c r="K3130" i="11"/>
  <c r="K3047" i="11"/>
  <c r="K3018" i="11"/>
  <c r="K3121" i="11"/>
  <c r="K3049" i="11"/>
  <c r="K3125" i="11"/>
  <c r="K3035" i="11"/>
  <c r="K3056" i="11"/>
  <c r="K3036" i="11"/>
  <c r="K3064" i="11"/>
  <c r="K3101" i="11"/>
  <c r="K3096" i="11"/>
  <c r="K3086" i="11"/>
  <c r="K3116" i="11"/>
  <c r="K3108" i="11"/>
  <c r="K3118" i="11"/>
  <c r="K3094" i="11"/>
  <c r="K3095" i="11"/>
  <c r="K3112" i="11"/>
  <c r="K3090" i="11"/>
  <c r="K3023" i="11"/>
  <c r="K3026" i="11"/>
  <c r="K3091" i="11"/>
  <c r="K3027" i="11"/>
  <c r="K3087" i="11"/>
  <c r="K3119" i="11"/>
  <c r="K3024" i="11"/>
  <c r="K3061" i="11"/>
  <c r="K3077" i="11"/>
  <c r="K3123" i="11"/>
  <c r="K3028" i="11"/>
  <c r="K3038" i="11"/>
  <c r="K3113" i="11"/>
  <c r="K3050" i="11"/>
  <c r="K3048" i="11"/>
  <c r="K3043" i="11"/>
  <c r="K3034" i="11"/>
  <c r="K3030" i="11"/>
  <c r="K3031" i="11"/>
  <c r="K3132" i="11"/>
  <c r="K3129" i="11"/>
  <c r="K3069" i="11"/>
  <c r="K3019" i="11"/>
  <c r="K3081" i="11"/>
  <c r="K3082" i="11"/>
  <c r="K3098" i="11"/>
  <c r="K3057" i="11"/>
  <c r="K3051" i="11"/>
  <c r="K3127" i="11"/>
  <c r="K3071" i="11"/>
  <c r="K3072" i="11"/>
  <c r="K3097" i="11"/>
  <c r="K3115" i="11"/>
  <c r="K3022" i="11"/>
  <c r="K3073" i="11"/>
  <c r="K3089" i="11"/>
  <c r="K3085" i="11"/>
  <c r="K3131" i="11"/>
  <c r="K3067" i="11"/>
  <c r="K3102" i="11"/>
  <c r="K3239" i="11"/>
  <c r="K3106" i="11"/>
  <c r="K3025" i="11"/>
  <c r="K3021" i="11"/>
  <c r="K3110" i="11"/>
  <c r="K3092" i="11"/>
  <c r="K3046" i="11"/>
  <c r="K3068" i="11"/>
  <c r="K3111" i="11"/>
  <c r="K3053" i="11"/>
  <c r="K3029" i="11"/>
  <c r="K3114" i="11"/>
  <c r="K3120" i="11"/>
  <c r="K3058" i="11"/>
  <c r="K3078" i="11"/>
  <c r="K3109" i="11"/>
  <c r="K3124" i="11"/>
  <c r="K3133" i="11"/>
  <c r="K3062" i="11"/>
  <c r="K3020" i="11"/>
  <c r="K3079" i="11"/>
  <c r="K3107" i="11"/>
  <c r="K3075" i="11"/>
  <c r="K3070" i="11"/>
  <c r="K3066" i="11"/>
  <c r="K3093" i="11"/>
  <c r="K3045" i="11"/>
  <c r="K3100" i="11"/>
  <c r="K3083" i="11"/>
  <c r="K3105" i="11"/>
  <c r="K3055" i="11"/>
  <c r="K3084" i="11"/>
  <c r="K3122" i="11"/>
  <c r="K3059" i="11"/>
  <c r="K3065" i="11"/>
  <c r="K3074" i="11"/>
  <c r="K3076" i="11"/>
  <c r="K3037" i="11"/>
  <c r="K3042" i="11"/>
  <c r="K3080" i="11"/>
  <c r="K3126" i="11"/>
  <c r="K3060" i="11"/>
  <c r="K3103" i="11"/>
  <c r="K3044" i="11"/>
  <c r="K3032" i="11"/>
  <c r="K3052" i="11"/>
  <c r="K3099" i="11"/>
  <c r="K3088" i="11"/>
  <c r="K55" i="11"/>
  <c r="K184" i="11"/>
  <c r="K289" i="11"/>
  <c r="K397" i="11"/>
  <c r="K506" i="11"/>
  <c r="K658" i="11"/>
  <c r="K771" i="11"/>
  <c r="K879" i="11"/>
  <c r="K991" i="11"/>
  <c r="K1101" i="11"/>
  <c r="K1210" i="11"/>
  <c r="K1326" i="11"/>
  <c r="K1439" i="11"/>
  <c r="K1553" i="11"/>
  <c r="K1665" i="11"/>
  <c r="K1781" i="11"/>
  <c r="K1892" i="11"/>
  <c r="K2009" i="11"/>
  <c r="K2125" i="11"/>
  <c r="K2238" i="11"/>
  <c r="K2353" i="11"/>
  <c r="K2466" i="11"/>
  <c r="K2581" i="11"/>
  <c r="K2696" i="11"/>
  <c r="K2810" i="11"/>
  <c r="K2924" i="11"/>
  <c r="K3039" i="11"/>
  <c r="K133" i="11"/>
  <c r="K185" i="11"/>
  <c r="K233" i="11"/>
  <c r="K168" i="11"/>
  <c r="K112" i="11"/>
  <c r="K113" i="11"/>
  <c r="K50" i="11"/>
  <c r="K51" i="11"/>
  <c r="K83" i="11"/>
  <c r="K114" i="11"/>
  <c r="K52" i="11"/>
  <c r="K115" i="11"/>
  <c r="K89" i="11"/>
  <c r="K57" i="11"/>
  <c r="K2" i="11"/>
  <c r="K58" i="11"/>
  <c r="K90" i="11"/>
  <c r="K91" i="11"/>
  <c r="K59" i="11"/>
  <c r="K5" i="11"/>
  <c r="K69" i="11"/>
  <c r="K101" i="11"/>
  <c r="K102" i="11"/>
  <c r="K70" i="11"/>
  <c r="K39" i="11"/>
  <c r="K40" i="11"/>
  <c r="K71" i="11"/>
  <c r="K106" i="11"/>
  <c r="K116" i="11"/>
  <c r="K85" i="11"/>
  <c r="K54" i="11"/>
  <c r="K86" i="11"/>
  <c r="K98" i="11"/>
  <c r="K164" i="11"/>
  <c r="K187" i="11"/>
  <c r="K211" i="11"/>
  <c r="K212" i="11"/>
  <c r="K188" i="11"/>
  <c r="K167" i="11"/>
  <c r="K144" i="11"/>
  <c r="K122" i="11"/>
  <c r="K123" i="11"/>
  <c r="K145" i="11"/>
  <c r="K169" i="11"/>
  <c r="K190" i="11"/>
  <c r="K214" i="11"/>
  <c r="K191" i="11"/>
  <c r="K170" i="11"/>
  <c r="K146" i="11"/>
  <c r="K124" i="11"/>
  <c r="K125" i="11"/>
  <c r="K128" i="11"/>
  <c r="K194" i="11"/>
  <c r="K220" i="11"/>
  <c r="K222" i="11"/>
  <c r="K197" i="11"/>
  <c r="K173" i="11"/>
  <c r="K151" i="11"/>
  <c r="K131" i="11"/>
  <c r="K153" i="11"/>
  <c r="K175" i="11"/>
  <c r="K134" i="11"/>
  <c r="K198" i="11"/>
  <c r="K224" i="11"/>
  <c r="K225" i="11"/>
  <c r="K199" i="11"/>
  <c r="K176" i="11"/>
  <c r="K154" i="11"/>
  <c r="K135" i="11"/>
  <c r="K136" i="11"/>
  <c r="K155" i="11"/>
  <c r="K177" i="11"/>
  <c r="K200" i="11"/>
  <c r="K226" i="11"/>
  <c r="K227" i="11"/>
  <c r="K201" i="11"/>
  <c r="K178" i="11"/>
  <c r="K156" i="11"/>
  <c r="K137" i="11"/>
  <c r="K138" i="11"/>
  <c r="K157" i="11"/>
  <c r="K179" i="11"/>
  <c r="K202" i="11"/>
  <c r="K228" i="11"/>
  <c r="K229" i="11"/>
  <c r="K203" i="11"/>
  <c r="K181" i="11"/>
  <c r="K163" i="11"/>
  <c r="K121" i="11"/>
  <c r="K126" i="11"/>
  <c r="K147" i="11"/>
  <c r="K171" i="11"/>
  <c r="K192" i="11"/>
  <c r="K216" i="11"/>
  <c r="K217" i="11"/>
  <c r="K127" i="11"/>
  <c r="K152" i="11"/>
  <c r="K193" i="11"/>
  <c r="K218" i="11"/>
  <c r="K174" i="11"/>
  <c r="K132" i="11"/>
  <c r="K140" i="11"/>
  <c r="K160" i="11"/>
  <c r="K182" i="11"/>
  <c r="K56" i="11"/>
  <c r="K87" i="11"/>
  <c r="K6" i="11"/>
  <c r="K84" i="11"/>
  <c r="K117" i="11"/>
  <c r="K93" i="11"/>
  <c r="K66" i="11"/>
  <c r="K36" i="11"/>
  <c r="K37" i="11"/>
  <c r="K67" i="11"/>
  <c r="K99" i="11"/>
  <c r="K75" i="11"/>
  <c r="K68" i="11"/>
  <c r="K100" i="11"/>
  <c r="K105" i="11"/>
  <c r="K42" i="11"/>
  <c r="K53" i="11"/>
  <c r="K92" i="11"/>
  <c r="K60" i="11"/>
  <c r="K3" i="11"/>
  <c r="K4" i="11"/>
  <c r="K34" i="11"/>
  <c r="K61" i="11"/>
  <c r="K94" i="11"/>
  <c r="K95" i="11"/>
  <c r="K62" i="11"/>
  <c r="K63" i="11"/>
  <c r="K35" i="11"/>
  <c r="K64" i="11"/>
  <c r="K96" i="11"/>
  <c r="K97" i="11"/>
  <c r="K65" i="11"/>
  <c r="K38" i="11"/>
  <c r="K73" i="11"/>
  <c r="K103" i="11"/>
  <c r="K104" i="11"/>
  <c r="K74" i="11"/>
  <c r="K41" i="11"/>
  <c r="K43" i="11"/>
  <c r="K76" i="11"/>
  <c r="K107" i="11"/>
  <c r="K108" i="11"/>
  <c r="K77" i="11"/>
  <c r="K44" i="11"/>
  <c r="K45" i="11"/>
  <c r="K78" i="11"/>
  <c r="K79" i="11"/>
  <c r="K109" i="11"/>
  <c r="K80" i="11"/>
  <c r="K46" i="11"/>
  <c r="K47" i="11"/>
  <c r="K81" i="11"/>
  <c r="K110" i="11"/>
  <c r="K111" i="11"/>
  <c r="K82" i="11"/>
  <c r="K48" i="11"/>
  <c r="K49" i="11"/>
  <c r="K88" i="11"/>
  <c r="A2671" i="11"/>
  <c r="A2783" i="11"/>
  <c r="A2672" i="11"/>
  <c r="A2673" i="11"/>
  <c r="A2674" i="11"/>
  <c r="A2675" i="11"/>
  <c r="A2677" i="11"/>
  <c r="A2678" i="11"/>
  <c r="A2679" i="11"/>
  <c r="A2680" i="11"/>
  <c r="A2681" i="11"/>
  <c r="A2682" i="11"/>
  <c r="A2747" i="11"/>
  <c r="A2684" i="11"/>
  <c r="A2685" i="11"/>
  <c r="A2686" i="11"/>
  <c r="A2687" i="11"/>
  <c r="A2688" i="11"/>
  <c r="A2689" i="11"/>
  <c r="A2690" i="11"/>
  <c r="A2691" i="11"/>
  <c r="A3224" i="11"/>
  <c r="A2693" i="11"/>
  <c r="A2694" i="11"/>
  <c r="A2695" i="11"/>
  <c r="A2697" i="11"/>
  <c r="A3225" i="11"/>
  <c r="A2700" i="11"/>
  <c r="A2701" i="11"/>
  <c r="A2702" i="11"/>
  <c r="A2703" i="11"/>
  <c r="A2704" i="11"/>
  <c r="A2705" i="11"/>
  <c r="A2709" i="11"/>
  <c r="A2706" i="11"/>
  <c r="A2707" i="11"/>
  <c r="A2708" i="11"/>
  <c r="A2692" i="11"/>
  <c r="A2720" i="11"/>
  <c r="A2710" i="11"/>
  <c r="A2711" i="11"/>
  <c r="A2712" i="11"/>
  <c r="A2713" i="11"/>
  <c r="A2715" i="11"/>
  <c r="A2716" i="11"/>
  <c r="A3226" i="11"/>
  <c r="A2717" i="11"/>
  <c r="A2719" i="11"/>
  <c r="A2784" i="11"/>
  <c r="A2721" i="11"/>
  <c r="A2722" i="11"/>
  <c r="A2683" i="11"/>
  <c r="A2723" i="11"/>
  <c r="A2724" i="11"/>
  <c r="A2725" i="11"/>
  <c r="A2726" i="11"/>
  <c r="A2727" i="11"/>
  <c r="A2728" i="11"/>
  <c r="A2729" i="11"/>
  <c r="A2670" i="11"/>
  <c r="A2730" i="11"/>
  <c r="A2731" i="11"/>
  <c r="A2732" i="11"/>
  <c r="A2785" i="11"/>
  <c r="A2733" i="11"/>
  <c r="A2734" i="11"/>
  <c r="A2699" i="11"/>
  <c r="A2735" i="11"/>
  <c r="A2736" i="11"/>
  <c r="A2737" i="11"/>
  <c r="A2738" i="11"/>
  <c r="A2739" i="11"/>
  <c r="A2740" i="11"/>
  <c r="A2741" i="11"/>
  <c r="A2742" i="11"/>
  <c r="A2743" i="11"/>
  <c r="A2744" i="11"/>
  <c r="A2745" i="11"/>
  <c r="A2746" i="11"/>
  <c r="A2749" i="11"/>
  <c r="A2750" i="11"/>
  <c r="A2751" i="11"/>
  <c r="A2752" i="11"/>
  <c r="A2753" i="11"/>
  <c r="A2782" i="11"/>
  <c r="A2676" i="11"/>
  <c r="A2754" i="11"/>
  <c r="A2755" i="11"/>
  <c r="A2756" i="11"/>
  <c r="A2757" i="11"/>
  <c r="A2758" i="11"/>
  <c r="A2759" i="11"/>
  <c r="A2760" i="11"/>
  <c r="A2761" i="11"/>
  <c r="A2762" i="11"/>
  <c r="A2748" i="11"/>
  <c r="A2763" i="11"/>
  <c r="A2764" i="11"/>
  <c r="A2765" i="11"/>
  <c r="A2766" i="11"/>
  <c r="A2767" i="11"/>
  <c r="A2714" i="11"/>
  <c r="A2768" i="11"/>
  <c r="A2769" i="11"/>
  <c r="A2770" i="11"/>
  <c r="A2771" i="11"/>
  <c r="A2772" i="11"/>
  <c r="A2718" i="11"/>
  <c r="A2773" i="11"/>
  <c r="A2774" i="11"/>
  <c r="A2775" i="11"/>
  <c r="A2776" i="11"/>
  <c r="A2777" i="11"/>
  <c r="A2779" i="11"/>
  <c r="A2780" i="11"/>
  <c r="A2781" i="11"/>
  <c r="A2786" i="11"/>
  <c r="A2788" i="11"/>
  <c r="A2789" i="11"/>
  <c r="A2790" i="11"/>
  <c r="A2900" i="11"/>
  <c r="A2792" i="11"/>
  <c r="A2793" i="11"/>
  <c r="A2897" i="11"/>
  <c r="A2794" i="11"/>
  <c r="A2795" i="11"/>
  <c r="A2796" i="11"/>
  <c r="A2797" i="11"/>
  <c r="A2799" i="11"/>
  <c r="A2898" i="11"/>
  <c r="A2801" i="11"/>
  <c r="A2802" i="11"/>
  <c r="A2803" i="11"/>
  <c r="A2804" i="11"/>
  <c r="A2805" i="11"/>
  <c r="A2806" i="11"/>
  <c r="A3229" i="11"/>
  <c r="A2807" i="11"/>
  <c r="A2809" i="11"/>
  <c r="A2901" i="11"/>
  <c r="A2811" i="11"/>
  <c r="A3230" i="11"/>
  <c r="A2814" i="11"/>
  <c r="A2815" i="11"/>
  <c r="A2816" i="11"/>
  <c r="A2817" i="11"/>
  <c r="A2818" i="11"/>
  <c r="A2819" i="11"/>
  <c r="A2823" i="11"/>
  <c r="A2820" i="11"/>
  <c r="A2821" i="11"/>
  <c r="A2822" i="11"/>
  <c r="A2787" i="11"/>
  <c r="A2798" i="11"/>
  <c r="A2824" i="11"/>
  <c r="A2826" i="11"/>
  <c r="A2827" i="11"/>
  <c r="A2828" i="11"/>
  <c r="A2829" i="11"/>
  <c r="A2830" i="11"/>
  <c r="A3231" i="11"/>
  <c r="A2831" i="11"/>
  <c r="A2834" i="11"/>
  <c r="A2835" i="11"/>
  <c r="A2836" i="11"/>
  <c r="A2812" i="11"/>
  <c r="A2837" i="11"/>
  <c r="A2838" i="11"/>
  <c r="A2839" i="11"/>
  <c r="A2840" i="11"/>
  <c r="A2800" i="11"/>
  <c r="A2841" i="11"/>
  <c r="A2842" i="11"/>
  <c r="A2825" i="11"/>
  <c r="A2843" i="11"/>
  <c r="A2844" i="11"/>
  <c r="A2845" i="11"/>
  <c r="A2846" i="11"/>
  <c r="A2859" i="11"/>
  <c r="A2847" i="11"/>
  <c r="A2848" i="11"/>
  <c r="A2849" i="11"/>
  <c r="A2850" i="11"/>
  <c r="A2899" i="11"/>
  <c r="A2851" i="11"/>
  <c r="A2852" i="11"/>
  <c r="A2853" i="11"/>
  <c r="A2854" i="11"/>
  <c r="A2855" i="11"/>
  <c r="A2856" i="11"/>
  <c r="A2857" i="11"/>
  <c r="A2858" i="11"/>
  <c r="A2860" i="11"/>
  <c r="A2861" i="11"/>
  <c r="A2862" i="11"/>
  <c r="A2863" i="11"/>
  <c r="A2864" i="11"/>
  <c r="A2865" i="11"/>
  <c r="A2832" i="11"/>
  <c r="A2833" i="11"/>
  <c r="A2866" i="11"/>
  <c r="A2867" i="11"/>
  <c r="A2868" i="11"/>
  <c r="A2869" i="11"/>
  <c r="A2870" i="11"/>
  <c r="A2871" i="11"/>
  <c r="A2872" i="11"/>
  <c r="A2893" i="11"/>
  <c r="A2873" i="11"/>
  <c r="A2874" i="11"/>
  <c r="A2875" i="11"/>
  <c r="A2876" i="11"/>
  <c r="A2791" i="11"/>
  <c r="A2877" i="11"/>
  <c r="A2878" i="11"/>
  <c r="A2879" i="11"/>
  <c r="A2880" i="11"/>
  <c r="A2881" i="11"/>
  <c r="A2882" i="11"/>
  <c r="A2883" i="11"/>
  <c r="A2808" i="11"/>
  <c r="A2884" i="11"/>
  <c r="A2885" i="11"/>
  <c r="A2886" i="11"/>
  <c r="A2887" i="11"/>
  <c r="A2888" i="11"/>
  <c r="A2890" i="11"/>
  <c r="A2891" i="11"/>
  <c r="A2892" i="11"/>
  <c r="A2894" i="11"/>
  <c r="A2895" i="11"/>
  <c r="A2896" i="11"/>
  <c r="A2902" i="11"/>
  <c r="A2904" i="11"/>
  <c r="A2905" i="11"/>
  <c r="A2906" i="11"/>
  <c r="A2908" i="11"/>
  <c r="A2909" i="11"/>
  <c r="A2910" i="11"/>
  <c r="A2911" i="11"/>
  <c r="A2912" i="11"/>
  <c r="A2913" i="11"/>
  <c r="A2914" i="11"/>
  <c r="A2916" i="11"/>
  <c r="A2917" i="11"/>
  <c r="A2918" i="11"/>
  <c r="A2919" i="11"/>
  <c r="A2943" i="11"/>
  <c r="A2921" i="11"/>
  <c r="A3234" i="11"/>
  <c r="A2922" i="11"/>
  <c r="A2923" i="11"/>
  <c r="A2925" i="11"/>
  <c r="A3235" i="11"/>
  <c r="A2928" i="11"/>
  <c r="A2929" i="11"/>
  <c r="A2930" i="11"/>
  <c r="A2931" i="11"/>
  <c r="A2932" i="11"/>
  <c r="A2933" i="11"/>
  <c r="A3009" i="11"/>
  <c r="A2935" i="11"/>
  <c r="A2936" i="11"/>
  <c r="A2937" i="11"/>
  <c r="A2903" i="11"/>
  <c r="A3017" i="11"/>
  <c r="A2938" i="11"/>
  <c r="A2939" i="11"/>
  <c r="A2940" i="11"/>
  <c r="A3016" i="11"/>
  <c r="A2941" i="11"/>
  <c r="A2942" i="11"/>
  <c r="A3236" i="11"/>
  <c r="A2945" i="11"/>
  <c r="A2947" i="11"/>
  <c r="A2948" i="11"/>
  <c r="A2949" i="11"/>
  <c r="A3014" i="11"/>
  <c r="A2950" i="11"/>
  <c r="A2951" i="11"/>
  <c r="A2952" i="11"/>
  <c r="A2953" i="11"/>
  <c r="A2927" i="11"/>
  <c r="A2954" i="11"/>
  <c r="A2955" i="11"/>
  <c r="A2956" i="11"/>
  <c r="A2957" i="11"/>
  <c r="A2958" i="11"/>
  <c r="A2907" i="11"/>
  <c r="A2959" i="11"/>
  <c r="A2934" i="11"/>
  <c r="A2960" i="11"/>
  <c r="A2961" i="11"/>
  <c r="A2962" i="11"/>
  <c r="A2963" i="11"/>
  <c r="A2964" i="11"/>
  <c r="A2965" i="11"/>
  <c r="A2966" i="11"/>
  <c r="A2967" i="11"/>
  <c r="A2968" i="11"/>
  <c r="A2969" i="11"/>
  <c r="A2970" i="11"/>
  <c r="A2971" i="11"/>
  <c r="A2972" i="11"/>
  <c r="A2973" i="11"/>
  <c r="A2974" i="11"/>
  <c r="A2975" i="11"/>
  <c r="A2977" i="11"/>
  <c r="A2944" i="11"/>
  <c r="A2978" i="11"/>
  <c r="A2946" i="11"/>
  <c r="A2979" i="11"/>
  <c r="A2980" i="11"/>
  <c r="A2981" i="11"/>
  <c r="A2982" i="11"/>
  <c r="A2915" i="11"/>
  <c r="A2983" i="11"/>
  <c r="A2984" i="11"/>
  <c r="A2985" i="11"/>
  <c r="A3015" i="11"/>
  <c r="A2986" i="11"/>
  <c r="A2987" i="11"/>
  <c r="A2988" i="11"/>
  <c r="A2989" i="11"/>
  <c r="A2920" i="11"/>
  <c r="A2990" i="11"/>
  <c r="A2991" i="11"/>
  <c r="A2992" i="11"/>
  <c r="A2993" i="11"/>
  <c r="A2994" i="11"/>
  <c r="A2995" i="11"/>
  <c r="A2996" i="11"/>
  <c r="A2997" i="11"/>
  <c r="A2998" i="11"/>
  <c r="A2976" i="11"/>
  <c r="A2999" i="11"/>
  <c r="A3000" i="11"/>
  <c r="A3001" i="11"/>
  <c r="A3003" i="11"/>
  <c r="A3004" i="11"/>
  <c r="A3005" i="11"/>
  <c r="A3006" i="11"/>
  <c r="A3007" i="11"/>
  <c r="A3008" i="11"/>
  <c r="A3010" i="11"/>
  <c r="A3011" i="11"/>
  <c r="A3012" i="11"/>
  <c r="A3013" i="11"/>
  <c r="A3018" i="11"/>
  <c r="A3019" i="11"/>
  <c r="A3020" i="11"/>
  <c r="A3021" i="11"/>
  <c r="A3023" i="11"/>
  <c r="A3024" i="11"/>
  <c r="A3026" i="11"/>
  <c r="A3027" i="11"/>
  <c r="A3028" i="11"/>
  <c r="A3029" i="11"/>
  <c r="A3056" i="11"/>
  <c r="A3030" i="11"/>
  <c r="A3032" i="11"/>
  <c r="A3033" i="11"/>
  <c r="A3034" i="11"/>
  <c r="A3133" i="11"/>
  <c r="A3035" i="11"/>
  <c r="A3239" i="11"/>
  <c r="A3037" i="11"/>
  <c r="A3038" i="11"/>
  <c r="A3040" i="11"/>
  <c r="A3240" i="11"/>
  <c r="A3043" i="11"/>
  <c r="A3044" i="11"/>
  <c r="A3045" i="11"/>
  <c r="A3046" i="11"/>
  <c r="A3047" i="11"/>
  <c r="A3048" i="11"/>
  <c r="A3049" i="11"/>
  <c r="A3050" i="11"/>
  <c r="A3052" i="11"/>
  <c r="A3036" i="11"/>
  <c r="A3053" i="11"/>
  <c r="A3054" i="11"/>
  <c r="A3055" i="11"/>
  <c r="A3057" i="11"/>
  <c r="A3058" i="11"/>
  <c r="A3241" i="11"/>
  <c r="A3059" i="11"/>
  <c r="A3060" i="11"/>
  <c r="A3062" i="11"/>
  <c r="A3063" i="11"/>
  <c r="A3064" i="11"/>
  <c r="A3065" i="11"/>
  <c r="A3066" i="11"/>
  <c r="A3067" i="11"/>
  <c r="A3042" i="11"/>
  <c r="A3068" i="11"/>
  <c r="A3069" i="11"/>
  <c r="A3070" i="11"/>
  <c r="A3128" i="11"/>
  <c r="A3072" i="11"/>
  <c r="A3074" i="11"/>
  <c r="A3075" i="11"/>
  <c r="A3130" i="11"/>
  <c r="A3076" i="11"/>
  <c r="A3077" i="11"/>
  <c r="A3129" i="11"/>
  <c r="A3079" i="11"/>
  <c r="A3080" i="11"/>
  <c r="A3132" i="11"/>
  <c r="A3081" i="11"/>
  <c r="A3082" i="11"/>
  <c r="A3083" i="11"/>
  <c r="A3084" i="11"/>
  <c r="A3086" i="11"/>
  <c r="A3131" i="11"/>
  <c r="A3087" i="11"/>
  <c r="A3088" i="11"/>
  <c r="A3089" i="11"/>
  <c r="A3090" i="11"/>
  <c r="A3092" i="11"/>
  <c r="A3093" i="11"/>
  <c r="A3022" i="11"/>
  <c r="A3094" i="11"/>
  <c r="A3095" i="11"/>
  <c r="A3061" i="11"/>
  <c r="A3096" i="11"/>
  <c r="A3097" i="11"/>
  <c r="A3025" i="11"/>
  <c r="A3098" i="11"/>
  <c r="A3099" i="11"/>
  <c r="A3100" i="11"/>
  <c r="A3121" i="11"/>
  <c r="A3101" i="11"/>
  <c r="A3102" i="11"/>
  <c r="A3103" i="11"/>
  <c r="A3104" i="11"/>
  <c r="A3105" i="11"/>
  <c r="A3106" i="11"/>
  <c r="A3091" i="11"/>
  <c r="A3107" i="11"/>
  <c r="A3108" i="11"/>
  <c r="A3109" i="11"/>
  <c r="A3110" i="11"/>
  <c r="A3111" i="11"/>
  <c r="A3112" i="11"/>
  <c r="A3113" i="11"/>
  <c r="A3031" i="11"/>
  <c r="A3114" i="11"/>
  <c r="A3115" i="11"/>
  <c r="A3116" i="11"/>
  <c r="A3118" i="11"/>
  <c r="A3119" i="11"/>
  <c r="A3120" i="11"/>
  <c r="A3122" i="11"/>
  <c r="A3123" i="11"/>
  <c r="A3124" i="11"/>
  <c r="A3127" i="11"/>
  <c r="A3125" i="11"/>
  <c r="A3085" i="11"/>
  <c r="A3126" i="11"/>
  <c r="A3051" i="11"/>
  <c r="A3071" i="11"/>
  <c r="A3073" i="11"/>
  <c r="A3078" i="11"/>
  <c r="A72" i="11"/>
  <c r="A150" i="11"/>
  <c r="A301" i="11"/>
  <c r="A442" i="11"/>
  <c r="A533" i="11"/>
  <c r="A626" i="11"/>
  <c r="A751" i="11"/>
  <c r="A923" i="11"/>
  <c r="A1032" i="11"/>
  <c r="A1140" i="11"/>
  <c r="A1247" i="11"/>
  <c r="A1390" i="11"/>
  <c r="A1451" i="11"/>
  <c r="A1620" i="11"/>
  <c r="A1730" i="11"/>
  <c r="A1841" i="11"/>
  <c r="A1951" i="11"/>
  <c r="A2063" i="11"/>
  <c r="A2175" i="11"/>
  <c r="A2290" i="11"/>
  <c r="A2402" i="11"/>
  <c r="A2513" i="11"/>
  <c r="A2665" i="11"/>
  <c r="A2778" i="11"/>
  <c r="A2889" i="11"/>
  <c r="A3002" i="11"/>
  <c r="A3117" i="11"/>
  <c r="A55" i="11"/>
  <c r="A184" i="11"/>
  <c r="A289" i="11"/>
  <c r="A397" i="11"/>
  <c r="A506" i="11"/>
  <c r="A658" i="11"/>
  <c r="A771" i="11"/>
  <c r="A879" i="11"/>
  <c r="A991" i="11"/>
  <c r="A1101" i="11"/>
  <c r="A1210" i="11"/>
  <c r="A1326" i="11"/>
  <c r="A1439" i="11"/>
  <c r="A1553" i="11"/>
  <c r="A1665" i="11"/>
  <c r="A1781" i="11"/>
  <c r="A1892" i="11"/>
  <c r="A2009" i="11"/>
  <c r="A2125" i="11"/>
  <c r="A2238" i="11"/>
  <c r="A2353" i="11"/>
  <c r="A2466" i="11"/>
  <c r="A2581" i="11"/>
  <c r="A2696" i="11"/>
  <c r="A2810" i="11"/>
  <c r="A2924" i="11"/>
  <c r="A3039" i="11"/>
  <c r="I47" i="15" l="1"/>
  <c r="H599" i="11"/>
  <c r="H1279" i="11"/>
  <c r="H559" i="11"/>
  <c r="H1164" i="11"/>
  <c r="H407" i="11"/>
  <c r="H1049" i="11"/>
  <c r="H260" i="11"/>
  <c r="H933" i="11"/>
  <c r="H194" i="11"/>
  <c r="H817" i="11"/>
  <c r="H3116" i="11"/>
  <c r="H701" i="11"/>
  <c r="H3001" i="11"/>
  <c r="H2888" i="11"/>
  <c r="H2777" i="11"/>
  <c r="H2507" i="11"/>
  <c r="H2396" i="11"/>
  <c r="H2254" i="11"/>
  <c r="H2169" i="11"/>
  <c r="H2057" i="11"/>
  <c r="H1833" i="11"/>
  <c r="H12" i="11"/>
  <c r="H1722" i="11"/>
  <c r="H1612" i="11"/>
  <c r="A2554" i="11"/>
  <c r="A2555" i="11"/>
  <c r="A2556" i="11"/>
  <c r="A2557" i="11"/>
  <c r="A2558" i="11"/>
  <c r="A2560" i="11"/>
  <c r="A2561" i="11"/>
  <c r="A2562" i="11"/>
  <c r="A2563" i="11"/>
  <c r="A2564" i="11"/>
  <c r="A2565" i="11"/>
  <c r="A2566" i="11"/>
  <c r="A2567" i="11"/>
  <c r="A2568" i="11"/>
  <c r="A2570" i="11"/>
  <c r="A2571" i="11"/>
  <c r="A2572" i="11"/>
  <c r="A2573" i="11"/>
  <c r="A2574" i="11"/>
  <c r="A2575" i="11"/>
  <c r="A2576" i="11"/>
  <c r="A3219" i="11"/>
  <c r="A2577" i="11"/>
  <c r="A2579" i="11"/>
  <c r="A2580" i="11"/>
  <c r="A2582" i="11"/>
  <c r="A3220" i="11"/>
  <c r="A2585" i="11"/>
  <c r="A2586" i="11"/>
  <c r="A2587" i="11"/>
  <c r="A2588" i="11"/>
  <c r="A2589" i="11"/>
  <c r="A2590" i="11"/>
  <c r="A2594" i="11"/>
  <c r="A2591" i="11"/>
  <c r="A2592" i="11"/>
  <c r="A2593" i="11"/>
  <c r="A2569" i="11"/>
  <c r="A2637" i="11"/>
  <c r="A2595" i="11"/>
  <c r="A2596" i="11"/>
  <c r="A2597" i="11"/>
  <c r="A2599" i="11"/>
  <c r="A2600" i="11"/>
  <c r="A2601" i="11"/>
  <c r="A3221" i="11"/>
  <c r="A2602" i="11"/>
  <c r="A2603" i="11"/>
  <c r="A2604" i="11"/>
  <c r="A2605" i="11"/>
  <c r="A2606" i="11"/>
  <c r="A2607" i="11"/>
  <c r="A2598" i="11"/>
  <c r="A2608" i="11"/>
  <c r="A2609" i="11"/>
  <c r="A2610" i="11"/>
  <c r="A2611" i="11"/>
  <c r="A2612" i="11"/>
  <c r="A2613" i="11"/>
  <c r="A2614" i="11"/>
  <c r="A2615" i="11"/>
  <c r="A2616" i="11"/>
  <c r="A2559" i="11"/>
  <c r="A2617" i="11"/>
  <c r="A2618" i="11"/>
  <c r="A2619" i="11"/>
  <c r="A2664" i="11"/>
  <c r="A2620" i="11"/>
  <c r="A2621" i="11"/>
  <c r="A2622" i="11"/>
  <c r="A2623" i="11"/>
  <c r="A2624" i="11"/>
  <c r="A2666" i="11"/>
  <c r="A2625" i="11"/>
  <c r="A2626" i="11"/>
  <c r="A2627" i="11"/>
  <c r="A2628" i="11"/>
  <c r="A2629" i="11"/>
  <c r="A2630" i="11"/>
  <c r="A2631" i="11"/>
  <c r="A2632" i="11"/>
  <c r="A2662" i="11"/>
  <c r="A2634" i="11"/>
  <c r="A2635" i="11"/>
  <c r="A2636" i="11"/>
  <c r="A2668" i="11"/>
  <c r="A2638" i="11"/>
  <c r="A2639" i="11"/>
  <c r="A2640" i="11"/>
  <c r="A2578" i="11"/>
  <c r="A2641" i="11"/>
  <c r="A2584" i="11"/>
  <c r="A2669" i="11"/>
  <c r="A2642" i="11"/>
  <c r="A2643" i="11"/>
  <c r="A2644" i="11"/>
  <c r="A2645" i="11"/>
  <c r="A2646" i="11"/>
  <c r="A2647" i="11"/>
  <c r="A2648" i="11"/>
  <c r="A2649" i="11"/>
  <c r="A2650" i="11"/>
  <c r="A2651" i="11"/>
  <c r="A2652" i="11"/>
  <c r="A2653" i="11"/>
  <c r="A2654" i="11"/>
  <c r="A2667" i="11"/>
  <c r="A2655" i="11"/>
  <c r="A2656" i="11"/>
  <c r="A2657" i="11"/>
  <c r="A2658" i="11"/>
  <c r="A2659" i="11"/>
  <c r="A2663" i="11"/>
  <c r="A2660" i="11"/>
  <c r="A2661" i="11"/>
  <c r="A2633" i="11"/>
  <c r="L2574" i="11"/>
  <c r="M2574" i="11"/>
  <c r="N2574" i="11"/>
  <c r="O2574" i="11"/>
  <c r="P2574" i="11"/>
  <c r="L2575" i="11"/>
  <c r="M2575" i="11"/>
  <c r="N2575" i="11"/>
  <c r="O2575" i="11"/>
  <c r="P2575" i="11"/>
  <c r="L2576" i="11"/>
  <c r="M2576" i="11"/>
  <c r="N2576" i="11"/>
  <c r="O2576" i="11"/>
  <c r="P2576" i="11"/>
  <c r="L3219" i="11"/>
  <c r="M3219" i="11"/>
  <c r="N3219" i="11"/>
  <c r="O3219" i="11"/>
  <c r="P3219" i="11"/>
  <c r="L2577" i="11"/>
  <c r="M2577" i="11"/>
  <c r="N2577" i="11"/>
  <c r="O2577" i="11"/>
  <c r="P2577" i="11"/>
  <c r="L2579" i="11"/>
  <c r="M2579" i="11"/>
  <c r="N2579" i="11"/>
  <c r="O2579" i="11"/>
  <c r="P2579" i="11"/>
  <c r="L2580" i="11"/>
  <c r="M2580" i="11"/>
  <c r="N2580" i="11"/>
  <c r="O2580" i="11"/>
  <c r="P2580" i="11"/>
  <c r="L2582" i="11"/>
  <c r="M2582" i="11"/>
  <c r="N2582" i="11"/>
  <c r="O2582" i="11"/>
  <c r="P2582" i="11"/>
  <c r="L3220" i="11"/>
  <c r="M3220" i="11"/>
  <c r="N3220" i="11"/>
  <c r="O3220" i="11"/>
  <c r="P3220" i="11"/>
  <c r="L2585" i="11"/>
  <c r="M2585" i="11"/>
  <c r="N2585" i="11"/>
  <c r="O2585" i="11"/>
  <c r="P2585" i="11"/>
  <c r="L2586" i="11"/>
  <c r="M2586" i="11"/>
  <c r="N2586" i="11"/>
  <c r="O2586" i="11"/>
  <c r="P2586" i="11"/>
  <c r="L2587" i="11"/>
  <c r="M2587" i="11"/>
  <c r="N2587" i="11"/>
  <c r="O2587" i="11"/>
  <c r="P2587" i="11"/>
  <c r="L2588" i="11"/>
  <c r="M2588" i="11"/>
  <c r="N2588" i="11"/>
  <c r="O2588" i="11"/>
  <c r="P2588" i="11"/>
  <c r="L2589" i="11"/>
  <c r="M2589" i="11"/>
  <c r="N2589" i="11"/>
  <c r="O2589" i="11"/>
  <c r="P2589" i="11"/>
  <c r="L2590" i="11"/>
  <c r="M2590" i="11"/>
  <c r="N2590" i="11"/>
  <c r="O2590" i="11"/>
  <c r="P2590" i="11"/>
  <c r="L2594" i="11"/>
  <c r="M2594" i="11"/>
  <c r="N2594" i="11"/>
  <c r="O2594" i="11"/>
  <c r="P2594" i="11"/>
  <c r="L2591" i="11"/>
  <c r="M2591" i="11"/>
  <c r="N2591" i="11"/>
  <c r="O2591" i="11"/>
  <c r="P2591" i="11"/>
  <c r="L2592" i="11"/>
  <c r="M2592" i="11"/>
  <c r="N2592" i="11"/>
  <c r="O2592" i="11"/>
  <c r="P2592" i="11"/>
  <c r="L2593" i="11"/>
  <c r="M2593" i="11"/>
  <c r="N2593" i="11"/>
  <c r="O2593" i="11"/>
  <c r="P2593" i="11"/>
  <c r="L2569" i="11"/>
  <c r="M2569" i="11"/>
  <c r="N2569" i="11"/>
  <c r="O2569" i="11"/>
  <c r="P2569" i="11"/>
  <c r="L2637" i="11"/>
  <c r="M2637" i="11"/>
  <c r="N2637" i="11"/>
  <c r="O2637" i="11"/>
  <c r="P2637" i="11"/>
  <c r="L2595" i="11"/>
  <c r="M2595" i="11"/>
  <c r="N2595" i="11"/>
  <c r="O2595" i="11"/>
  <c r="P2595" i="11"/>
  <c r="L2596" i="11"/>
  <c r="M2596" i="11"/>
  <c r="N2596" i="11"/>
  <c r="O2596" i="11"/>
  <c r="P2596" i="11"/>
  <c r="L2597" i="11"/>
  <c r="M2597" i="11"/>
  <c r="N2597" i="11"/>
  <c r="O2597" i="11"/>
  <c r="P2597" i="11"/>
  <c r="L2599" i="11"/>
  <c r="M2599" i="11"/>
  <c r="N2599" i="11"/>
  <c r="O2599" i="11"/>
  <c r="P2599" i="11"/>
  <c r="L2600" i="11"/>
  <c r="M2600" i="11"/>
  <c r="N2600" i="11"/>
  <c r="O2600" i="11"/>
  <c r="P2600" i="11"/>
  <c r="L2601" i="11"/>
  <c r="M2601" i="11"/>
  <c r="N2601" i="11"/>
  <c r="O2601" i="11"/>
  <c r="P2601" i="11"/>
  <c r="L3221" i="11"/>
  <c r="M3221" i="11"/>
  <c r="N3221" i="11"/>
  <c r="O3221" i="11"/>
  <c r="P3221" i="11"/>
  <c r="L2602" i="11"/>
  <c r="M2602" i="11"/>
  <c r="N2602" i="11"/>
  <c r="O2602" i="11"/>
  <c r="P2602" i="11"/>
  <c r="L2603" i="11"/>
  <c r="M2603" i="11"/>
  <c r="N2603" i="11"/>
  <c r="O2603" i="11"/>
  <c r="P2603" i="11"/>
  <c r="L2604" i="11"/>
  <c r="M2604" i="11"/>
  <c r="N2604" i="11"/>
  <c r="O2604" i="11"/>
  <c r="P2604" i="11"/>
  <c r="L2605" i="11"/>
  <c r="M2605" i="11"/>
  <c r="N2605" i="11"/>
  <c r="O2605" i="11"/>
  <c r="P2605" i="11"/>
  <c r="L2606" i="11"/>
  <c r="M2606" i="11"/>
  <c r="N2606" i="11"/>
  <c r="O2606" i="11"/>
  <c r="P2606" i="11"/>
  <c r="L2607" i="11"/>
  <c r="M2607" i="11"/>
  <c r="N2607" i="11"/>
  <c r="O2607" i="11"/>
  <c r="P2607" i="11"/>
  <c r="L2598" i="11"/>
  <c r="M2598" i="11"/>
  <c r="N2598" i="11"/>
  <c r="O2598" i="11"/>
  <c r="P2598" i="11"/>
  <c r="L2608" i="11"/>
  <c r="M2608" i="11"/>
  <c r="N2608" i="11"/>
  <c r="O2608" i="11"/>
  <c r="P2608" i="11"/>
  <c r="L2609" i="11"/>
  <c r="M2609" i="11"/>
  <c r="N2609" i="11"/>
  <c r="O2609" i="11"/>
  <c r="P2609" i="11"/>
  <c r="L2610" i="11"/>
  <c r="M2610" i="11"/>
  <c r="N2610" i="11"/>
  <c r="O2610" i="11"/>
  <c r="P2610" i="11"/>
  <c r="L2611" i="11"/>
  <c r="M2611" i="11"/>
  <c r="N2611" i="11"/>
  <c r="O2611" i="11"/>
  <c r="P2611" i="11"/>
  <c r="L2612" i="11"/>
  <c r="M2612" i="11"/>
  <c r="N2612" i="11"/>
  <c r="O2612" i="11"/>
  <c r="P2612" i="11"/>
  <c r="L2613" i="11"/>
  <c r="M2613" i="11"/>
  <c r="N2613" i="11"/>
  <c r="O2613" i="11"/>
  <c r="P2613" i="11"/>
  <c r="L2614" i="11"/>
  <c r="M2614" i="11"/>
  <c r="N2614" i="11"/>
  <c r="O2614" i="11"/>
  <c r="P2614" i="11"/>
  <c r="L2615" i="11"/>
  <c r="M2615" i="11"/>
  <c r="N2615" i="11"/>
  <c r="O2615" i="11"/>
  <c r="P2615" i="11"/>
  <c r="L2616" i="11"/>
  <c r="M2616" i="11"/>
  <c r="N2616" i="11"/>
  <c r="O2616" i="11"/>
  <c r="P2616" i="11"/>
  <c r="L2559" i="11"/>
  <c r="M2559" i="11"/>
  <c r="N2559" i="11"/>
  <c r="O2559" i="11"/>
  <c r="P2559" i="11"/>
  <c r="L2617" i="11"/>
  <c r="M2617" i="11"/>
  <c r="N2617" i="11"/>
  <c r="O2617" i="11"/>
  <c r="P2617" i="11"/>
  <c r="L2618" i="11"/>
  <c r="M2618" i="11"/>
  <c r="N2618" i="11"/>
  <c r="O2618" i="11"/>
  <c r="P2618" i="11"/>
  <c r="L2619" i="11"/>
  <c r="M2619" i="11"/>
  <c r="N2619" i="11"/>
  <c r="O2619" i="11"/>
  <c r="P2619" i="11"/>
  <c r="L2664" i="11"/>
  <c r="M2664" i="11"/>
  <c r="N2664" i="11"/>
  <c r="O2664" i="11"/>
  <c r="P2664" i="11"/>
  <c r="L2620" i="11"/>
  <c r="M2620" i="11"/>
  <c r="N2620" i="11"/>
  <c r="O2620" i="11"/>
  <c r="P2620" i="11"/>
  <c r="L2621" i="11"/>
  <c r="M2621" i="11"/>
  <c r="N2621" i="11"/>
  <c r="O2621" i="11"/>
  <c r="P2621" i="11"/>
  <c r="L2622" i="11"/>
  <c r="M2622" i="11"/>
  <c r="N2622" i="11"/>
  <c r="O2622" i="11"/>
  <c r="P2622" i="11"/>
  <c r="L2623" i="11"/>
  <c r="M2623" i="11"/>
  <c r="N2623" i="11"/>
  <c r="O2623" i="11"/>
  <c r="P2623" i="11"/>
  <c r="L2624" i="11"/>
  <c r="M2624" i="11"/>
  <c r="N2624" i="11"/>
  <c r="O2624" i="11"/>
  <c r="P2624" i="11"/>
  <c r="L2666" i="11"/>
  <c r="M2666" i="11"/>
  <c r="N2666" i="11"/>
  <c r="O2666" i="11"/>
  <c r="P2666" i="11"/>
  <c r="L2625" i="11"/>
  <c r="M2625" i="11"/>
  <c r="N2625" i="11"/>
  <c r="O2625" i="11"/>
  <c r="P2625" i="11"/>
  <c r="L2626" i="11"/>
  <c r="M2626" i="11"/>
  <c r="N2626" i="11"/>
  <c r="O2626" i="11"/>
  <c r="P2626" i="11"/>
  <c r="L2627" i="11"/>
  <c r="M2627" i="11"/>
  <c r="N2627" i="11"/>
  <c r="O2627" i="11"/>
  <c r="P2627" i="11"/>
  <c r="L2628" i="11"/>
  <c r="M2628" i="11"/>
  <c r="N2628" i="11"/>
  <c r="O2628" i="11"/>
  <c r="P2628" i="11"/>
  <c r="L2629" i="11"/>
  <c r="M2629" i="11"/>
  <c r="N2629" i="11"/>
  <c r="O2629" i="11"/>
  <c r="P2629" i="11"/>
  <c r="L2630" i="11"/>
  <c r="M2630" i="11"/>
  <c r="N2630" i="11"/>
  <c r="O2630" i="11"/>
  <c r="P2630" i="11"/>
  <c r="L2631" i="11"/>
  <c r="M2631" i="11"/>
  <c r="N2631" i="11"/>
  <c r="O2631" i="11"/>
  <c r="P2631" i="11"/>
  <c r="L2632" i="11"/>
  <c r="M2632" i="11"/>
  <c r="N2632" i="11"/>
  <c r="O2632" i="11"/>
  <c r="P2632" i="11"/>
  <c r="L2662" i="11"/>
  <c r="M2662" i="11"/>
  <c r="N2662" i="11"/>
  <c r="O2662" i="11"/>
  <c r="P2662" i="11"/>
  <c r="L2634" i="11"/>
  <c r="M2634" i="11"/>
  <c r="N2634" i="11"/>
  <c r="O2634" i="11"/>
  <c r="P2634" i="11"/>
  <c r="L2635" i="11"/>
  <c r="M2635" i="11"/>
  <c r="N2635" i="11"/>
  <c r="O2635" i="11"/>
  <c r="P2635" i="11"/>
  <c r="L2636" i="11"/>
  <c r="M2636" i="11"/>
  <c r="N2636" i="11"/>
  <c r="O2636" i="11"/>
  <c r="P2636" i="11"/>
  <c r="L2668" i="11"/>
  <c r="M2668" i="11"/>
  <c r="N2668" i="11"/>
  <c r="O2668" i="11"/>
  <c r="P2668" i="11"/>
  <c r="L2638" i="11"/>
  <c r="M2638" i="11"/>
  <c r="N2638" i="11"/>
  <c r="O2638" i="11"/>
  <c r="P2638" i="11"/>
  <c r="L2639" i="11"/>
  <c r="M2639" i="11"/>
  <c r="N2639" i="11"/>
  <c r="O2639" i="11"/>
  <c r="P2639" i="11"/>
  <c r="L2640" i="11"/>
  <c r="M2640" i="11"/>
  <c r="N2640" i="11"/>
  <c r="O2640" i="11"/>
  <c r="P2640" i="11"/>
  <c r="L2578" i="11"/>
  <c r="M2578" i="11"/>
  <c r="N2578" i="11"/>
  <c r="O2578" i="11"/>
  <c r="P2578" i="11"/>
  <c r="L2641" i="11"/>
  <c r="M2641" i="11"/>
  <c r="N2641" i="11"/>
  <c r="O2641" i="11"/>
  <c r="P2641" i="11"/>
  <c r="L2584" i="11"/>
  <c r="M2584" i="11"/>
  <c r="N2584" i="11"/>
  <c r="O2584" i="11"/>
  <c r="P2584" i="11"/>
  <c r="L2669" i="11"/>
  <c r="M2669" i="11"/>
  <c r="N2669" i="11"/>
  <c r="O2669" i="11"/>
  <c r="P2669" i="11"/>
  <c r="L2642" i="11"/>
  <c r="M2642" i="11"/>
  <c r="N2642" i="11"/>
  <c r="O2642" i="11"/>
  <c r="P2642" i="11"/>
  <c r="L2643" i="11"/>
  <c r="M2643" i="11"/>
  <c r="N2643" i="11"/>
  <c r="O2643" i="11"/>
  <c r="P2643" i="11"/>
  <c r="L2644" i="11"/>
  <c r="M2644" i="11"/>
  <c r="N2644" i="11"/>
  <c r="O2644" i="11"/>
  <c r="P2644" i="11"/>
  <c r="L2645" i="11"/>
  <c r="M2645" i="11"/>
  <c r="N2645" i="11"/>
  <c r="O2645" i="11"/>
  <c r="P2645" i="11"/>
  <c r="L2646" i="11"/>
  <c r="M2646" i="11"/>
  <c r="N2646" i="11"/>
  <c r="O2646" i="11"/>
  <c r="P2646" i="11"/>
  <c r="L2647" i="11"/>
  <c r="M2647" i="11"/>
  <c r="N2647" i="11"/>
  <c r="O2647" i="11"/>
  <c r="P2647" i="11"/>
  <c r="L2648" i="11"/>
  <c r="M2648" i="11"/>
  <c r="N2648" i="11"/>
  <c r="O2648" i="11"/>
  <c r="P2648" i="11"/>
  <c r="L2649" i="11"/>
  <c r="M2649" i="11"/>
  <c r="N2649" i="11"/>
  <c r="O2649" i="11"/>
  <c r="P2649" i="11"/>
  <c r="L2650" i="11"/>
  <c r="M2650" i="11"/>
  <c r="N2650" i="11"/>
  <c r="O2650" i="11"/>
  <c r="P2650" i="11"/>
  <c r="L2651" i="11"/>
  <c r="M2651" i="11"/>
  <c r="N2651" i="11"/>
  <c r="O2651" i="11"/>
  <c r="P2651" i="11"/>
  <c r="L2652" i="11"/>
  <c r="M2652" i="11"/>
  <c r="N2652" i="11"/>
  <c r="O2652" i="11"/>
  <c r="P2652" i="11"/>
  <c r="L2653" i="11"/>
  <c r="M2653" i="11"/>
  <c r="N2653" i="11"/>
  <c r="O2653" i="11"/>
  <c r="P2653" i="11"/>
  <c r="L2654" i="11"/>
  <c r="M2654" i="11"/>
  <c r="N2654" i="11"/>
  <c r="O2654" i="11"/>
  <c r="P2654" i="11"/>
  <c r="L2667" i="11"/>
  <c r="M2667" i="11"/>
  <c r="N2667" i="11"/>
  <c r="O2667" i="11"/>
  <c r="P2667" i="11"/>
  <c r="L2655" i="11"/>
  <c r="M2655" i="11"/>
  <c r="N2655" i="11"/>
  <c r="O2655" i="11"/>
  <c r="P2655" i="11"/>
  <c r="L2656" i="11"/>
  <c r="M2656" i="11"/>
  <c r="N2656" i="11"/>
  <c r="O2656" i="11"/>
  <c r="P2656" i="11"/>
  <c r="L2657" i="11"/>
  <c r="M2657" i="11"/>
  <c r="N2657" i="11"/>
  <c r="O2657" i="11"/>
  <c r="P2657" i="11"/>
  <c r="L2658" i="11"/>
  <c r="M2658" i="11"/>
  <c r="N2658" i="11"/>
  <c r="O2658" i="11"/>
  <c r="P2658" i="11"/>
  <c r="L2659" i="11"/>
  <c r="M2659" i="11"/>
  <c r="N2659" i="11"/>
  <c r="O2659" i="11"/>
  <c r="P2659" i="11"/>
  <c r="L2663" i="11"/>
  <c r="M2663" i="11"/>
  <c r="N2663" i="11"/>
  <c r="O2663" i="11"/>
  <c r="P2663" i="11"/>
  <c r="L2660" i="11"/>
  <c r="M2660" i="11"/>
  <c r="N2660" i="11"/>
  <c r="O2660" i="11"/>
  <c r="P2660" i="11"/>
  <c r="L2661" i="11"/>
  <c r="M2661" i="11"/>
  <c r="N2661" i="11"/>
  <c r="O2661" i="11"/>
  <c r="P2661" i="11"/>
  <c r="L2633" i="11"/>
  <c r="M2633" i="11"/>
  <c r="N2633" i="11"/>
  <c r="O2633" i="11"/>
  <c r="P2633" i="11"/>
  <c r="L2671" i="11"/>
  <c r="M2671" i="11"/>
  <c r="N2671" i="11"/>
  <c r="O2671" i="11"/>
  <c r="P2671" i="11"/>
  <c r="L2783" i="11"/>
  <c r="M2783" i="11"/>
  <c r="N2783" i="11"/>
  <c r="O2783" i="11"/>
  <c r="P2783" i="11"/>
  <c r="L2672" i="11"/>
  <c r="M2672" i="11"/>
  <c r="N2672" i="11"/>
  <c r="O2672" i="11"/>
  <c r="P2672" i="11"/>
  <c r="L2673" i="11"/>
  <c r="M2673" i="11"/>
  <c r="N2673" i="11"/>
  <c r="O2673" i="11"/>
  <c r="P2673" i="11"/>
  <c r="L2674" i="11"/>
  <c r="M2674" i="11"/>
  <c r="N2674" i="11"/>
  <c r="O2674" i="11"/>
  <c r="P2674" i="11"/>
  <c r="L2675" i="11"/>
  <c r="M2675" i="11"/>
  <c r="N2675" i="11"/>
  <c r="O2675" i="11"/>
  <c r="P2675" i="11"/>
  <c r="L2677" i="11"/>
  <c r="M2677" i="11"/>
  <c r="N2677" i="11"/>
  <c r="O2677" i="11"/>
  <c r="P2677" i="11"/>
  <c r="L2678" i="11"/>
  <c r="M2678" i="11"/>
  <c r="N2678" i="11"/>
  <c r="O2678" i="11"/>
  <c r="P2678" i="11"/>
  <c r="L3222" i="11"/>
  <c r="M3222" i="11"/>
  <c r="N3222" i="11"/>
  <c r="O3222" i="11"/>
  <c r="P3222" i="11"/>
  <c r="L2679" i="11"/>
  <c r="M2679" i="11"/>
  <c r="N2679" i="11"/>
  <c r="O2679" i="11"/>
  <c r="P2679" i="11"/>
  <c r="L2680" i="11"/>
  <c r="M2680" i="11"/>
  <c r="N2680" i="11"/>
  <c r="O2680" i="11"/>
  <c r="P2680" i="11"/>
  <c r="L2681" i="11"/>
  <c r="M2681" i="11"/>
  <c r="N2681" i="11"/>
  <c r="O2681" i="11"/>
  <c r="P2681" i="11"/>
  <c r="L2682" i="11"/>
  <c r="M2682" i="11"/>
  <c r="N2682" i="11"/>
  <c r="O2682" i="11"/>
  <c r="P2682" i="11"/>
  <c r="L2747" i="11"/>
  <c r="M2747" i="11"/>
  <c r="N2747" i="11"/>
  <c r="O2747" i="11"/>
  <c r="P2747" i="11"/>
  <c r="L2684" i="11"/>
  <c r="M2684" i="11"/>
  <c r="N2684" i="11"/>
  <c r="O2684" i="11"/>
  <c r="P2684" i="11"/>
  <c r="L2685" i="11"/>
  <c r="M2685" i="11"/>
  <c r="N2685" i="11"/>
  <c r="O2685" i="11"/>
  <c r="P2685" i="11"/>
  <c r="L2686" i="11"/>
  <c r="M2686" i="11"/>
  <c r="N2686" i="11"/>
  <c r="O2686" i="11"/>
  <c r="P2686" i="11"/>
  <c r="L2687" i="11"/>
  <c r="M2687" i="11"/>
  <c r="N2687" i="11"/>
  <c r="O2687" i="11"/>
  <c r="P2687" i="11"/>
  <c r="L2688" i="11"/>
  <c r="M2688" i="11"/>
  <c r="N2688" i="11"/>
  <c r="O2688" i="11"/>
  <c r="P2688" i="11"/>
  <c r="L2689" i="11"/>
  <c r="M2689" i="11"/>
  <c r="N2689" i="11"/>
  <c r="O2689" i="11"/>
  <c r="P2689" i="11"/>
  <c r="L2690" i="11"/>
  <c r="M2690" i="11"/>
  <c r="N2690" i="11"/>
  <c r="O2690" i="11"/>
  <c r="P2690" i="11"/>
  <c r="L2691" i="11"/>
  <c r="M2691" i="11"/>
  <c r="N2691" i="11"/>
  <c r="O2691" i="11"/>
  <c r="P2691" i="11"/>
  <c r="L3224" i="11"/>
  <c r="M3224" i="11"/>
  <c r="N3224" i="11"/>
  <c r="O3224" i="11"/>
  <c r="P3224" i="11"/>
  <c r="L2693" i="11"/>
  <c r="M2693" i="11"/>
  <c r="N2693" i="11"/>
  <c r="O2693" i="11"/>
  <c r="P2693" i="11"/>
  <c r="L2694" i="11"/>
  <c r="M2694" i="11"/>
  <c r="N2694" i="11"/>
  <c r="O2694" i="11"/>
  <c r="P2694" i="11"/>
  <c r="L2695" i="11"/>
  <c r="M2695" i="11"/>
  <c r="N2695" i="11"/>
  <c r="O2695" i="11"/>
  <c r="P2695" i="11"/>
  <c r="L2697" i="11"/>
  <c r="M2697" i="11"/>
  <c r="N2697" i="11"/>
  <c r="O2697" i="11"/>
  <c r="P2697" i="11"/>
  <c r="L3225" i="11"/>
  <c r="M3225" i="11"/>
  <c r="N3225" i="11"/>
  <c r="O3225" i="11"/>
  <c r="P3225" i="11"/>
  <c r="L2700" i="11"/>
  <c r="M2700" i="11"/>
  <c r="N2700" i="11"/>
  <c r="O2700" i="11"/>
  <c r="P2700" i="11"/>
  <c r="L2701" i="11"/>
  <c r="M2701" i="11"/>
  <c r="N2701" i="11"/>
  <c r="O2701" i="11"/>
  <c r="P2701" i="11"/>
  <c r="L2702" i="11"/>
  <c r="M2702" i="11"/>
  <c r="N2702" i="11"/>
  <c r="O2702" i="11"/>
  <c r="P2702" i="11"/>
  <c r="L2703" i="11"/>
  <c r="M2703" i="11"/>
  <c r="N2703" i="11"/>
  <c r="O2703" i="11"/>
  <c r="P2703" i="11"/>
  <c r="L2704" i="11"/>
  <c r="M2704" i="11"/>
  <c r="N2704" i="11"/>
  <c r="O2704" i="11"/>
  <c r="P2704" i="11"/>
  <c r="L2705" i="11"/>
  <c r="M2705" i="11"/>
  <c r="N2705" i="11"/>
  <c r="O2705" i="11"/>
  <c r="P2705" i="11"/>
  <c r="L2709" i="11"/>
  <c r="M2709" i="11"/>
  <c r="N2709" i="11"/>
  <c r="O2709" i="11"/>
  <c r="P2709" i="11"/>
  <c r="L2706" i="11"/>
  <c r="M2706" i="11"/>
  <c r="N2706" i="11"/>
  <c r="O2706" i="11"/>
  <c r="P2706" i="11"/>
  <c r="L2707" i="11"/>
  <c r="M2707" i="11"/>
  <c r="N2707" i="11"/>
  <c r="O2707" i="11"/>
  <c r="P2707" i="11"/>
  <c r="L2708" i="11"/>
  <c r="M2708" i="11"/>
  <c r="N2708" i="11"/>
  <c r="O2708" i="11"/>
  <c r="P2708" i="11"/>
  <c r="L2692" i="11"/>
  <c r="M2692" i="11"/>
  <c r="N2692" i="11"/>
  <c r="O2692" i="11"/>
  <c r="P2692" i="11"/>
  <c r="L2720" i="11"/>
  <c r="M2720" i="11"/>
  <c r="N2720" i="11"/>
  <c r="O2720" i="11"/>
  <c r="P2720" i="11"/>
  <c r="L2710" i="11"/>
  <c r="M2710" i="11"/>
  <c r="N2710" i="11"/>
  <c r="O2710" i="11"/>
  <c r="P2710" i="11"/>
  <c r="L2711" i="11"/>
  <c r="M2711" i="11"/>
  <c r="N2711" i="11"/>
  <c r="O2711" i="11"/>
  <c r="P2711" i="11"/>
  <c r="L2712" i="11"/>
  <c r="M2712" i="11"/>
  <c r="N2712" i="11"/>
  <c r="O2712" i="11"/>
  <c r="P2712" i="11"/>
  <c r="L2713" i="11"/>
  <c r="M2713" i="11"/>
  <c r="N2713" i="11"/>
  <c r="O2713" i="11"/>
  <c r="P2713" i="11"/>
  <c r="L2715" i="11"/>
  <c r="M2715" i="11"/>
  <c r="N2715" i="11"/>
  <c r="O2715" i="11"/>
  <c r="P2715" i="11"/>
  <c r="L2716" i="11"/>
  <c r="M2716" i="11"/>
  <c r="N2716" i="11"/>
  <c r="O2716" i="11"/>
  <c r="P2716" i="11"/>
  <c r="L3226" i="11"/>
  <c r="M3226" i="11"/>
  <c r="N3226" i="11"/>
  <c r="O3226" i="11"/>
  <c r="P3226" i="11"/>
  <c r="L2717" i="11"/>
  <c r="M2717" i="11"/>
  <c r="N2717" i="11"/>
  <c r="O2717" i="11"/>
  <c r="P2717" i="11"/>
  <c r="L2719" i="11"/>
  <c r="M2719" i="11"/>
  <c r="N2719" i="11"/>
  <c r="O2719" i="11"/>
  <c r="P2719" i="11"/>
  <c r="L2784" i="11"/>
  <c r="M2784" i="11"/>
  <c r="N2784" i="11"/>
  <c r="O2784" i="11"/>
  <c r="P2784" i="11"/>
  <c r="L2721" i="11"/>
  <c r="M2721" i="11"/>
  <c r="N2721" i="11"/>
  <c r="O2721" i="11"/>
  <c r="P2721" i="11"/>
  <c r="L2722" i="11"/>
  <c r="M2722" i="11"/>
  <c r="N2722" i="11"/>
  <c r="O2722" i="11"/>
  <c r="P2722" i="11"/>
  <c r="L2683" i="11"/>
  <c r="M2683" i="11"/>
  <c r="N2683" i="11"/>
  <c r="O2683" i="11"/>
  <c r="P2683" i="11"/>
  <c r="L2723" i="11"/>
  <c r="M2723" i="11"/>
  <c r="N2723" i="11"/>
  <c r="O2723" i="11"/>
  <c r="P2723" i="11"/>
  <c r="L2724" i="11"/>
  <c r="M2724" i="11"/>
  <c r="N2724" i="11"/>
  <c r="O2724" i="11"/>
  <c r="P2724" i="11"/>
  <c r="L2725" i="11"/>
  <c r="M2725" i="11"/>
  <c r="N2725" i="11"/>
  <c r="O2725" i="11"/>
  <c r="P2725" i="11"/>
  <c r="L2726" i="11"/>
  <c r="M2726" i="11"/>
  <c r="N2726" i="11"/>
  <c r="O2726" i="11"/>
  <c r="P2726" i="11"/>
  <c r="L2727" i="11"/>
  <c r="M2727" i="11"/>
  <c r="N2727" i="11"/>
  <c r="O2727" i="11"/>
  <c r="P2727" i="11"/>
  <c r="L2728" i="11"/>
  <c r="M2728" i="11"/>
  <c r="N2728" i="11"/>
  <c r="O2728" i="11"/>
  <c r="P2728" i="11"/>
  <c r="L2729" i="11"/>
  <c r="M2729" i="11"/>
  <c r="N2729" i="11"/>
  <c r="O2729" i="11"/>
  <c r="P2729" i="11"/>
  <c r="L2670" i="11"/>
  <c r="M2670" i="11"/>
  <c r="N2670" i="11"/>
  <c r="O2670" i="11"/>
  <c r="P2670" i="11"/>
  <c r="L2730" i="11"/>
  <c r="M2730" i="11"/>
  <c r="N2730" i="11"/>
  <c r="O2730" i="11"/>
  <c r="P2730" i="11"/>
  <c r="L2731" i="11"/>
  <c r="M2731" i="11"/>
  <c r="N2731" i="11"/>
  <c r="O2731" i="11"/>
  <c r="P2731" i="11"/>
  <c r="L2732" i="11"/>
  <c r="M2732" i="11"/>
  <c r="N2732" i="11"/>
  <c r="O2732" i="11"/>
  <c r="P2732" i="11"/>
  <c r="L2785" i="11"/>
  <c r="M2785" i="11"/>
  <c r="N2785" i="11"/>
  <c r="O2785" i="11"/>
  <c r="P2785" i="11"/>
  <c r="L2733" i="11"/>
  <c r="M2733" i="11"/>
  <c r="N2733" i="11"/>
  <c r="O2733" i="11"/>
  <c r="P2733" i="11"/>
  <c r="L2734" i="11"/>
  <c r="M2734" i="11"/>
  <c r="N2734" i="11"/>
  <c r="O2734" i="11"/>
  <c r="P2734" i="11"/>
  <c r="L2699" i="11"/>
  <c r="M2699" i="11"/>
  <c r="N2699" i="11"/>
  <c r="O2699" i="11"/>
  <c r="P2699" i="11"/>
  <c r="L2735" i="11"/>
  <c r="M2735" i="11"/>
  <c r="N2735" i="11"/>
  <c r="O2735" i="11"/>
  <c r="P2735" i="11"/>
  <c r="L2736" i="11"/>
  <c r="M2736" i="11"/>
  <c r="N2736" i="11"/>
  <c r="O2736" i="11"/>
  <c r="P2736" i="11"/>
  <c r="L2737" i="11"/>
  <c r="M2737" i="11"/>
  <c r="N2737" i="11"/>
  <c r="O2737" i="11"/>
  <c r="P2737" i="11"/>
  <c r="L2738" i="11"/>
  <c r="M2738" i="11"/>
  <c r="N2738" i="11"/>
  <c r="O2738" i="11"/>
  <c r="P2738" i="11"/>
  <c r="L2739" i="11"/>
  <c r="M2739" i="11"/>
  <c r="N2739" i="11"/>
  <c r="O2739" i="11"/>
  <c r="P2739" i="11"/>
  <c r="L2740" i="11"/>
  <c r="M2740" i="11"/>
  <c r="N2740" i="11"/>
  <c r="O2740" i="11"/>
  <c r="P2740" i="11"/>
  <c r="L2741" i="11"/>
  <c r="M2741" i="11"/>
  <c r="N2741" i="11"/>
  <c r="O2741" i="11"/>
  <c r="P2741" i="11"/>
  <c r="L2742" i="11"/>
  <c r="M2742" i="11"/>
  <c r="N2742" i="11"/>
  <c r="O2742" i="11"/>
  <c r="P2742" i="11"/>
  <c r="L2743" i="11"/>
  <c r="M2743" i="11"/>
  <c r="N2743" i="11"/>
  <c r="O2743" i="11"/>
  <c r="P2743" i="11"/>
  <c r="L2744" i="11"/>
  <c r="M2744" i="11"/>
  <c r="N2744" i="11"/>
  <c r="O2744" i="11"/>
  <c r="P2744" i="11"/>
  <c r="L2745" i="11"/>
  <c r="M2745" i="11"/>
  <c r="N2745" i="11"/>
  <c r="O2745" i="11"/>
  <c r="P2745" i="11"/>
  <c r="L2746" i="11"/>
  <c r="M2746" i="11"/>
  <c r="N2746" i="11"/>
  <c r="O2746" i="11"/>
  <c r="P2746" i="11"/>
  <c r="L2749" i="11"/>
  <c r="M2749" i="11"/>
  <c r="N2749" i="11"/>
  <c r="O2749" i="11"/>
  <c r="P2749" i="11"/>
  <c r="L2750" i="11"/>
  <c r="M2750" i="11"/>
  <c r="N2750" i="11"/>
  <c r="O2750" i="11"/>
  <c r="P2750" i="11"/>
  <c r="L2751" i="11"/>
  <c r="M2751" i="11"/>
  <c r="N2751" i="11"/>
  <c r="O2751" i="11"/>
  <c r="P2751" i="11"/>
  <c r="L2752" i="11"/>
  <c r="M2752" i="11"/>
  <c r="N2752" i="11"/>
  <c r="O2752" i="11"/>
  <c r="P2752" i="11"/>
  <c r="L2753" i="11"/>
  <c r="M2753" i="11"/>
  <c r="N2753" i="11"/>
  <c r="O2753" i="11"/>
  <c r="P2753" i="11"/>
  <c r="L2782" i="11"/>
  <c r="M2782" i="11"/>
  <c r="N2782" i="11"/>
  <c r="O2782" i="11"/>
  <c r="P2782" i="11"/>
  <c r="L2676" i="11"/>
  <c r="M2676" i="11"/>
  <c r="N2676" i="11"/>
  <c r="O2676" i="11"/>
  <c r="P2676" i="11"/>
  <c r="L2754" i="11"/>
  <c r="M2754" i="11"/>
  <c r="N2754" i="11"/>
  <c r="O2754" i="11"/>
  <c r="P2754" i="11"/>
  <c r="L2755" i="11"/>
  <c r="M2755" i="11"/>
  <c r="N2755" i="11"/>
  <c r="O2755" i="11"/>
  <c r="P2755" i="11"/>
  <c r="L2756" i="11"/>
  <c r="M2756" i="11"/>
  <c r="N2756" i="11"/>
  <c r="O2756" i="11"/>
  <c r="P2756" i="11"/>
  <c r="L2757" i="11"/>
  <c r="M2757" i="11"/>
  <c r="N2757" i="11"/>
  <c r="O2757" i="11"/>
  <c r="P2757" i="11"/>
  <c r="L2758" i="11"/>
  <c r="M2758" i="11"/>
  <c r="N2758" i="11"/>
  <c r="O2758" i="11"/>
  <c r="P2758" i="11"/>
  <c r="L2759" i="11"/>
  <c r="M2759" i="11"/>
  <c r="N2759" i="11"/>
  <c r="O2759" i="11"/>
  <c r="P2759" i="11"/>
  <c r="L2760" i="11"/>
  <c r="M2760" i="11"/>
  <c r="N2760" i="11"/>
  <c r="O2760" i="11"/>
  <c r="P2760" i="11"/>
  <c r="L2761" i="11"/>
  <c r="M2761" i="11"/>
  <c r="N2761" i="11"/>
  <c r="O2761" i="11"/>
  <c r="P2761" i="11"/>
  <c r="L2762" i="11"/>
  <c r="M2762" i="11"/>
  <c r="N2762" i="11"/>
  <c r="O2762" i="11"/>
  <c r="P2762" i="11"/>
  <c r="L2748" i="11"/>
  <c r="M2748" i="11"/>
  <c r="N2748" i="11"/>
  <c r="O2748" i="11"/>
  <c r="P2748" i="11"/>
  <c r="L2763" i="11"/>
  <c r="M2763" i="11"/>
  <c r="N2763" i="11"/>
  <c r="O2763" i="11"/>
  <c r="P2763" i="11"/>
  <c r="L2764" i="11"/>
  <c r="M2764" i="11"/>
  <c r="N2764" i="11"/>
  <c r="O2764" i="11"/>
  <c r="P2764" i="11"/>
  <c r="L2765" i="11"/>
  <c r="M2765" i="11"/>
  <c r="N2765" i="11"/>
  <c r="O2765" i="11"/>
  <c r="P2765" i="11"/>
  <c r="L2766" i="11"/>
  <c r="M2766" i="11"/>
  <c r="N2766" i="11"/>
  <c r="O2766" i="11"/>
  <c r="P2766" i="11"/>
  <c r="L2767" i="11"/>
  <c r="M2767" i="11"/>
  <c r="N2767" i="11"/>
  <c r="O2767" i="11"/>
  <c r="P2767" i="11"/>
  <c r="L2714" i="11"/>
  <c r="M2714" i="11"/>
  <c r="N2714" i="11"/>
  <c r="O2714" i="11"/>
  <c r="P2714" i="11"/>
  <c r="L2768" i="11"/>
  <c r="M2768" i="11"/>
  <c r="N2768" i="11"/>
  <c r="O2768" i="11"/>
  <c r="P2768" i="11"/>
  <c r="L2769" i="11"/>
  <c r="M2769" i="11"/>
  <c r="N2769" i="11"/>
  <c r="O2769" i="11"/>
  <c r="P2769" i="11"/>
  <c r="L2770" i="11"/>
  <c r="M2770" i="11"/>
  <c r="N2770" i="11"/>
  <c r="O2770" i="11"/>
  <c r="P2770" i="11"/>
  <c r="L2771" i="11"/>
  <c r="M2771" i="11"/>
  <c r="N2771" i="11"/>
  <c r="O2771" i="11"/>
  <c r="P2771" i="11"/>
  <c r="L2772" i="11"/>
  <c r="M2772" i="11"/>
  <c r="N2772" i="11"/>
  <c r="O2772" i="11"/>
  <c r="P2772" i="11"/>
  <c r="L2718" i="11"/>
  <c r="M2718" i="11"/>
  <c r="N2718" i="11"/>
  <c r="O2718" i="11"/>
  <c r="P2718" i="11"/>
  <c r="L2773" i="11"/>
  <c r="M2773" i="11"/>
  <c r="N2773" i="11"/>
  <c r="O2773" i="11"/>
  <c r="P2773" i="11"/>
  <c r="L2774" i="11"/>
  <c r="M2774" i="11"/>
  <c r="N2774" i="11"/>
  <c r="O2774" i="11"/>
  <c r="P2774" i="11"/>
  <c r="L2775" i="11"/>
  <c r="M2775" i="11"/>
  <c r="N2775" i="11"/>
  <c r="O2775" i="11"/>
  <c r="P2775" i="11"/>
  <c r="L2776" i="11"/>
  <c r="M2776" i="11"/>
  <c r="N2776" i="11"/>
  <c r="O2776" i="11"/>
  <c r="P2776" i="11"/>
  <c r="L2777" i="11"/>
  <c r="M2777" i="11"/>
  <c r="N2777" i="11"/>
  <c r="O2777" i="11"/>
  <c r="P2777" i="11"/>
  <c r="L2779" i="11"/>
  <c r="M2779" i="11"/>
  <c r="N2779" i="11"/>
  <c r="O2779" i="11"/>
  <c r="P2779" i="11"/>
  <c r="L2780" i="11"/>
  <c r="M2780" i="11"/>
  <c r="N2780" i="11"/>
  <c r="O2780" i="11"/>
  <c r="P2780" i="11"/>
  <c r="L2781" i="11"/>
  <c r="M2781" i="11"/>
  <c r="N2781" i="11"/>
  <c r="O2781" i="11"/>
  <c r="P2781" i="11"/>
  <c r="L2786" i="11"/>
  <c r="M2786" i="11"/>
  <c r="N2786" i="11"/>
  <c r="O2786" i="11"/>
  <c r="P2786" i="11"/>
  <c r="L2788" i="11"/>
  <c r="M2788" i="11"/>
  <c r="N2788" i="11"/>
  <c r="O2788" i="11"/>
  <c r="P2788" i="11"/>
  <c r="L2789" i="11"/>
  <c r="M2789" i="11"/>
  <c r="N2789" i="11"/>
  <c r="O2789" i="11"/>
  <c r="P2789" i="11"/>
  <c r="L2790" i="11"/>
  <c r="M2790" i="11"/>
  <c r="N2790" i="11"/>
  <c r="O2790" i="11"/>
  <c r="P2790" i="11"/>
  <c r="L2900" i="11"/>
  <c r="M2900" i="11"/>
  <c r="N2900" i="11"/>
  <c r="O2900" i="11"/>
  <c r="P2900" i="11"/>
  <c r="L2792" i="11"/>
  <c r="M2792" i="11"/>
  <c r="N2792" i="11"/>
  <c r="O2792" i="11"/>
  <c r="P2792" i="11"/>
  <c r="L2793" i="11"/>
  <c r="M2793" i="11"/>
  <c r="N2793" i="11"/>
  <c r="O2793" i="11"/>
  <c r="P2793" i="11"/>
  <c r="L3227" i="11"/>
  <c r="M3227" i="11"/>
  <c r="N3227" i="11"/>
  <c r="O3227" i="11"/>
  <c r="P3227" i="11"/>
  <c r="L2897" i="11"/>
  <c r="M2897" i="11"/>
  <c r="N2897" i="11"/>
  <c r="O2897" i="11"/>
  <c r="P2897" i="11"/>
  <c r="L2794" i="11"/>
  <c r="M2794" i="11"/>
  <c r="N2794" i="11"/>
  <c r="O2794" i="11"/>
  <c r="P2794" i="11"/>
  <c r="L2795" i="11"/>
  <c r="M2795" i="11"/>
  <c r="N2795" i="11"/>
  <c r="O2795" i="11"/>
  <c r="P2795" i="11"/>
  <c r="L2796" i="11"/>
  <c r="M2796" i="11"/>
  <c r="N2796" i="11"/>
  <c r="O2796" i="11"/>
  <c r="P2796" i="11"/>
  <c r="L2797" i="11"/>
  <c r="M2797" i="11"/>
  <c r="N2797" i="11"/>
  <c r="O2797" i="11"/>
  <c r="P2797" i="11"/>
  <c r="L2799" i="11"/>
  <c r="M2799" i="11"/>
  <c r="N2799" i="11"/>
  <c r="O2799" i="11"/>
  <c r="P2799" i="11"/>
  <c r="L2898" i="11"/>
  <c r="M2898" i="11"/>
  <c r="N2898" i="11"/>
  <c r="O2898" i="11"/>
  <c r="P2898" i="11"/>
  <c r="L2801" i="11"/>
  <c r="M2801" i="11"/>
  <c r="N2801" i="11"/>
  <c r="O2801" i="11"/>
  <c r="P2801" i="11"/>
  <c r="L2802" i="11"/>
  <c r="M2802" i="11"/>
  <c r="N2802" i="11"/>
  <c r="O2802" i="11"/>
  <c r="P2802" i="11"/>
  <c r="L2803" i="11"/>
  <c r="M2803" i="11"/>
  <c r="N2803" i="11"/>
  <c r="O2803" i="11"/>
  <c r="P2803" i="11"/>
  <c r="L2804" i="11"/>
  <c r="M2804" i="11"/>
  <c r="N2804" i="11"/>
  <c r="O2804" i="11"/>
  <c r="P2804" i="11"/>
  <c r="L2805" i="11"/>
  <c r="M2805" i="11"/>
  <c r="N2805" i="11"/>
  <c r="O2805" i="11"/>
  <c r="P2805" i="11"/>
  <c r="L2806" i="11"/>
  <c r="M2806" i="11"/>
  <c r="N2806" i="11"/>
  <c r="O2806" i="11"/>
  <c r="P2806" i="11"/>
  <c r="L3229" i="11"/>
  <c r="M3229" i="11"/>
  <c r="N3229" i="11"/>
  <c r="O3229" i="11"/>
  <c r="P3229" i="11"/>
  <c r="L2807" i="11"/>
  <c r="M2807" i="11"/>
  <c r="N2807" i="11"/>
  <c r="O2807" i="11"/>
  <c r="P2807" i="11"/>
  <c r="L2809" i="11"/>
  <c r="M2809" i="11"/>
  <c r="N2809" i="11"/>
  <c r="O2809" i="11"/>
  <c r="P2809" i="11"/>
  <c r="L2901" i="11"/>
  <c r="M2901" i="11"/>
  <c r="N2901" i="11"/>
  <c r="O2901" i="11"/>
  <c r="P2901" i="11"/>
  <c r="L2811" i="11"/>
  <c r="M2811" i="11"/>
  <c r="N2811" i="11"/>
  <c r="O2811" i="11"/>
  <c r="P2811" i="11"/>
  <c r="L3230" i="11"/>
  <c r="M3230" i="11"/>
  <c r="N3230" i="11"/>
  <c r="O3230" i="11"/>
  <c r="P3230" i="11"/>
  <c r="L2814" i="11"/>
  <c r="M2814" i="11"/>
  <c r="N2814" i="11"/>
  <c r="O2814" i="11"/>
  <c r="P2814" i="11"/>
  <c r="L2815" i="11"/>
  <c r="M2815" i="11"/>
  <c r="N2815" i="11"/>
  <c r="O2815" i="11"/>
  <c r="P2815" i="11"/>
  <c r="L2816" i="11"/>
  <c r="M2816" i="11"/>
  <c r="N2816" i="11"/>
  <c r="O2816" i="11"/>
  <c r="P2816" i="11"/>
  <c r="L2817" i="11"/>
  <c r="M2817" i="11"/>
  <c r="N2817" i="11"/>
  <c r="O2817" i="11"/>
  <c r="P2817" i="11"/>
  <c r="L2818" i="11"/>
  <c r="M2818" i="11"/>
  <c r="N2818" i="11"/>
  <c r="O2818" i="11"/>
  <c r="P2818" i="11"/>
  <c r="L2819" i="11"/>
  <c r="M2819" i="11"/>
  <c r="N2819" i="11"/>
  <c r="O2819" i="11"/>
  <c r="P2819" i="11"/>
  <c r="L2823" i="11"/>
  <c r="M2823" i="11"/>
  <c r="N2823" i="11"/>
  <c r="O2823" i="11"/>
  <c r="P2823" i="11"/>
  <c r="L2820" i="11"/>
  <c r="M2820" i="11"/>
  <c r="N2820" i="11"/>
  <c r="O2820" i="11"/>
  <c r="P2820" i="11"/>
  <c r="L2821" i="11"/>
  <c r="M2821" i="11"/>
  <c r="N2821" i="11"/>
  <c r="O2821" i="11"/>
  <c r="P2821" i="11"/>
  <c r="L2822" i="11"/>
  <c r="M2822" i="11"/>
  <c r="N2822" i="11"/>
  <c r="O2822" i="11"/>
  <c r="P2822" i="11"/>
  <c r="L2787" i="11"/>
  <c r="M2787" i="11"/>
  <c r="N2787" i="11"/>
  <c r="O2787" i="11"/>
  <c r="P2787" i="11"/>
  <c r="L2798" i="11"/>
  <c r="M2798" i="11"/>
  <c r="N2798" i="11"/>
  <c r="O2798" i="11"/>
  <c r="P2798" i="11"/>
  <c r="L2824" i="11"/>
  <c r="M2824" i="11"/>
  <c r="N2824" i="11"/>
  <c r="O2824" i="11"/>
  <c r="P2824" i="11"/>
  <c r="L2826" i="11"/>
  <c r="M2826" i="11"/>
  <c r="N2826" i="11"/>
  <c r="O2826" i="11"/>
  <c r="P2826" i="11"/>
  <c r="L2827" i="11"/>
  <c r="M2827" i="11"/>
  <c r="N2827" i="11"/>
  <c r="O2827" i="11"/>
  <c r="P2827" i="11"/>
  <c r="L2828" i="11"/>
  <c r="M2828" i="11"/>
  <c r="N2828" i="11"/>
  <c r="O2828" i="11"/>
  <c r="P2828" i="11"/>
  <c r="L2829" i="11"/>
  <c r="M2829" i="11"/>
  <c r="N2829" i="11"/>
  <c r="O2829" i="11"/>
  <c r="P2829" i="11"/>
  <c r="L2830" i="11"/>
  <c r="M2830" i="11"/>
  <c r="N2830" i="11"/>
  <c r="O2830" i="11"/>
  <c r="P2830" i="11"/>
  <c r="L3231" i="11"/>
  <c r="M3231" i="11"/>
  <c r="N3231" i="11"/>
  <c r="O3231" i="11"/>
  <c r="P3231" i="11"/>
  <c r="L2831" i="11"/>
  <c r="M2831" i="11"/>
  <c r="N2831" i="11"/>
  <c r="O2831" i="11"/>
  <c r="P2831" i="11"/>
  <c r="L2834" i="11"/>
  <c r="M2834" i="11"/>
  <c r="N2834" i="11"/>
  <c r="O2834" i="11"/>
  <c r="P2834" i="11"/>
  <c r="L2835" i="11"/>
  <c r="M2835" i="11"/>
  <c r="N2835" i="11"/>
  <c r="O2835" i="11"/>
  <c r="P2835" i="11"/>
  <c r="L2836" i="11"/>
  <c r="M2836" i="11"/>
  <c r="N2836" i="11"/>
  <c r="O2836" i="11"/>
  <c r="P2836" i="11"/>
  <c r="L2812" i="11"/>
  <c r="M2812" i="11"/>
  <c r="N2812" i="11"/>
  <c r="O2812" i="11"/>
  <c r="P2812" i="11"/>
  <c r="L2837" i="11"/>
  <c r="M2837" i="11"/>
  <c r="N2837" i="11"/>
  <c r="O2837" i="11"/>
  <c r="P2837" i="11"/>
  <c r="L2838" i="11"/>
  <c r="M2838" i="11"/>
  <c r="N2838" i="11"/>
  <c r="O2838" i="11"/>
  <c r="P2838" i="11"/>
  <c r="L2839" i="11"/>
  <c r="M2839" i="11"/>
  <c r="N2839" i="11"/>
  <c r="O2839" i="11"/>
  <c r="P2839" i="11"/>
  <c r="L2840" i="11"/>
  <c r="M2840" i="11"/>
  <c r="N2840" i="11"/>
  <c r="O2840" i="11"/>
  <c r="P2840" i="11"/>
  <c r="L2800" i="11"/>
  <c r="M2800" i="11"/>
  <c r="N2800" i="11"/>
  <c r="O2800" i="11"/>
  <c r="P2800" i="11"/>
  <c r="L2841" i="11"/>
  <c r="M2841" i="11"/>
  <c r="N2841" i="11"/>
  <c r="O2841" i="11"/>
  <c r="P2841" i="11"/>
  <c r="L2842" i="11"/>
  <c r="M2842" i="11"/>
  <c r="N2842" i="11"/>
  <c r="O2842" i="11"/>
  <c r="P2842" i="11"/>
  <c r="L2825" i="11"/>
  <c r="M2825" i="11"/>
  <c r="N2825" i="11"/>
  <c r="O2825" i="11"/>
  <c r="P2825" i="11"/>
  <c r="L2843" i="11"/>
  <c r="M2843" i="11"/>
  <c r="N2843" i="11"/>
  <c r="O2843" i="11"/>
  <c r="P2843" i="11"/>
  <c r="L2844" i="11"/>
  <c r="M2844" i="11"/>
  <c r="N2844" i="11"/>
  <c r="O2844" i="11"/>
  <c r="P2844" i="11"/>
  <c r="L2845" i="11"/>
  <c r="M2845" i="11"/>
  <c r="N2845" i="11"/>
  <c r="O2845" i="11"/>
  <c r="P2845" i="11"/>
  <c r="L2846" i="11"/>
  <c r="M2846" i="11"/>
  <c r="N2846" i="11"/>
  <c r="O2846" i="11"/>
  <c r="P2846" i="11"/>
  <c r="L2859" i="11"/>
  <c r="M2859" i="11"/>
  <c r="N2859" i="11"/>
  <c r="O2859" i="11"/>
  <c r="P2859" i="11"/>
  <c r="L2847" i="11"/>
  <c r="M2847" i="11"/>
  <c r="N2847" i="11"/>
  <c r="O2847" i="11"/>
  <c r="P2847" i="11"/>
  <c r="L2848" i="11"/>
  <c r="M2848" i="11"/>
  <c r="N2848" i="11"/>
  <c r="O2848" i="11"/>
  <c r="P2848" i="11"/>
  <c r="L2849" i="11"/>
  <c r="M2849" i="11"/>
  <c r="N2849" i="11"/>
  <c r="O2849" i="11"/>
  <c r="P2849" i="11"/>
  <c r="L2850" i="11"/>
  <c r="M2850" i="11"/>
  <c r="N2850" i="11"/>
  <c r="O2850" i="11"/>
  <c r="P2850" i="11"/>
  <c r="L2899" i="11"/>
  <c r="M2899" i="11"/>
  <c r="N2899" i="11"/>
  <c r="O2899" i="11"/>
  <c r="P2899" i="11"/>
  <c r="L2851" i="11"/>
  <c r="M2851" i="11"/>
  <c r="N2851" i="11"/>
  <c r="O2851" i="11"/>
  <c r="P2851" i="11"/>
  <c r="L2852" i="11"/>
  <c r="M2852" i="11"/>
  <c r="N2852" i="11"/>
  <c r="O2852" i="11"/>
  <c r="P2852" i="11"/>
  <c r="L2853" i="11"/>
  <c r="M2853" i="11"/>
  <c r="N2853" i="11"/>
  <c r="O2853" i="11"/>
  <c r="P2853" i="11"/>
  <c r="L2854" i="11"/>
  <c r="M2854" i="11"/>
  <c r="N2854" i="11"/>
  <c r="O2854" i="11"/>
  <c r="P2854" i="11"/>
  <c r="L2855" i="11"/>
  <c r="M2855" i="11"/>
  <c r="N2855" i="11"/>
  <c r="O2855" i="11"/>
  <c r="P2855" i="11"/>
  <c r="L2856" i="11"/>
  <c r="M2856" i="11"/>
  <c r="N2856" i="11"/>
  <c r="O2856" i="11"/>
  <c r="P2856" i="11"/>
  <c r="L2857" i="11"/>
  <c r="M2857" i="11"/>
  <c r="N2857" i="11"/>
  <c r="O2857" i="11"/>
  <c r="P2857" i="11"/>
  <c r="L2858" i="11"/>
  <c r="M2858" i="11"/>
  <c r="N2858" i="11"/>
  <c r="O2858" i="11"/>
  <c r="P2858" i="11"/>
  <c r="L2860" i="11"/>
  <c r="M2860" i="11"/>
  <c r="N2860" i="11"/>
  <c r="O2860" i="11"/>
  <c r="P2860" i="11"/>
  <c r="L2861" i="11"/>
  <c r="M2861" i="11"/>
  <c r="N2861" i="11"/>
  <c r="O2861" i="11"/>
  <c r="P2861" i="11"/>
  <c r="L2862" i="11"/>
  <c r="M2862" i="11"/>
  <c r="N2862" i="11"/>
  <c r="O2862" i="11"/>
  <c r="P2862" i="11"/>
  <c r="L2863" i="11"/>
  <c r="M2863" i="11"/>
  <c r="N2863" i="11"/>
  <c r="O2863" i="11"/>
  <c r="P2863" i="11"/>
  <c r="L2864" i="11"/>
  <c r="M2864" i="11"/>
  <c r="N2864" i="11"/>
  <c r="O2864" i="11"/>
  <c r="P2864" i="11"/>
  <c r="L2865" i="11"/>
  <c r="M2865" i="11"/>
  <c r="N2865" i="11"/>
  <c r="O2865" i="11"/>
  <c r="P2865" i="11"/>
  <c r="L2832" i="11"/>
  <c r="M2832" i="11"/>
  <c r="N2832" i="11"/>
  <c r="O2832" i="11"/>
  <c r="P2832" i="11"/>
  <c r="L2833" i="11"/>
  <c r="M2833" i="11"/>
  <c r="N2833" i="11"/>
  <c r="O2833" i="11"/>
  <c r="P2833" i="11"/>
  <c r="L2866" i="11"/>
  <c r="M2866" i="11"/>
  <c r="N2866" i="11"/>
  <c r="O2866" i="11"/>
  <c r="P2866" i="11"/>
  <c r="L2867" i="11"/>
  <c r="M2867" i="11"/>
  <c r="N2867" i="11"/>
  <c r="O2867" i="11"/>
  <c r="P2867" i="11"/>
  <c r="L2868" i="11"/>
  <c r="M2868" i="11"/>
  <c r="N2868" i="11"/>
  <c r="O2868" i="11"/>
  <c r="P2868" i="11"/>
  <c r="L2869" i="11"/>
  <c r="M2869" i="11"/>
  <c r="N2869" i="11"/>
  <c r="O2869" i="11"/>
  <c r="P2869" i="11"/>
  <c r="L2870" i="11"/>
  <c r="M2870" i="11"/>
  <c r="N2870" i="11"/>
  <c r="O2870" i="11"/>
  <c r="P2870" i="11"/>
  <c r="L2871" i="11"/>
  <c r="M2871" i="11"/>
  <c r="N2871" i="11"/>
  <c r="O2871" i="11"/>
  <c r="P2871" i="11"/>
  <c r="L2872" i="11"/>
  <c r="M2872" i="11"/>
  <c r="N2872" i="11"/>
  <c r="O2872" i="11"/>
  <c r="P2872" i="11"/>
  <c r="L2893" i="11"/>
  <c r="M2893" i="11"/>
  <c r="N2893" i="11"/>
  <c r="O2893" i="11"/>
  <c r="P2893" i="11"/>
  <c r="L2873" i="11"/>
  <c r="M2873" i="11"/>
  <c r="N2873" i="11"/>
  <c r="O2873" i="11"/>
  <c r="P2873" i="11"/>
  <c r="L2874" i="11"/>
  <c r="M2874" i="11"/>
  <c r="N2874" i="11"/>
  <c r="O2874" i="11"/>
  <c r="P2874" i="11"/>
  <c r="L2875" i="11"/>
  <c r="M2875" i="11"/>
  <c r="N2875" i="11"/>
  <c r="O2875" i="11"/>
  <c r="P2875" i="11"/>
  <c r="L2876" i="11"/>
  <c r="M2876" i="11"/>
  <c r="N2876" i="11"/>
  <c r="O2876" i="11"/>
  <c r="P2876" i="11"/>
  <c r="L2791" i="11"/>
  <c r="M2791" i="11"/>
  <c r="N2791" i="11"/>
  <c r="O2791" i="11"/>
  <c r="P2791" i="11"/>
  <c r="L2877" i="11"/>
  <c r="M2877" i="11"/>
  <c r="N2877" i="11"/>
  <c r="O2877" i="11"/>
  <c r="P2877" i="11"/>
  <c r="L2878" i="11"/>
  <c r="M2878" i="11"/>
  <c r="N2878" i="11"/>
  <c r="O2878" i="11"/>
  <c r="P2878" i="11"/>
  <c r="L2879" i="11"/>
  <c r="M2879" i="11"/>
  <c r="N2879" i="11"/>
  <c r="O2879" i="11"/>
  <c r="P2879" i="11"/>
  <c r="L2880" i="11"/>
  <c r="M2880" i="11"/>
  <c r="N2880" i="11"/>
  <c r="O2880" i="11"/>
  <c r="P2880" i="11"/>
  <c r="L2881" i="11"/>
  <c r="M2881" i="11"/>
  <c r="N2881" i="11"/>
  <c r="O2881" i="11"/>
  <c r="P2881" i="11"/>
  <c r="L2882" i="11"/>
  <c r="M2882" i="11"/>
  <c r="N2882" i="11"/>
  <c r="O2882" i="11"/>
  <c r="P2882" i="11"/>
  <c r="L2883" i="11"/>
  <c r="M2883" i="11"/>
  <c r="N2883" i="11"/>
  <c r="O2883" i="11"/>
  <c r="P2883" i="11"/>
  <c r="L2808" i="11"/>
  <c r="M2808" i="11"/>
  <c r="N2808" i="11"/>
  <c r="O2808" i="11"/>
  <c r="P2808" i="11"/>
  <c r="L2884" i="11"/>
  <c r="M2884" i="11"/>
  <c r="N2884" i="11"/>
  <c r="O2884" i="11"/>
  <c r="P2884" i="11"/>
  <c r="L2885" i="11"/>
  <c r="M2885" i="11"/>
  <c r="N2885" i="11"/>
  <c r="O2885" i="11"/>
  <c r="P2885" i="11"/>
  <c r="L2886" i="11"/>
  <c r="M2886" i="11"/>
  <c r="N2886" i="11"/>
  <c r="O2886" i="11"/>
  <c r="P2886" i="11"/>
  <c r="L2887" i="11"/>
  <c r="M2887" i="11"/>
  <c r="N2887" i="11"/>
  <c r="O2887" i="11"/>
  <c r="P2887" i="11"/>
  <c r="L2888" i="11"/>
  <c r="M2888" i="11"/>
  <c r="N2888" i="11"/>
  <c r="O2888" i="11"/>
  <c r="P2888" i="11"/>
  <c r="L2890" i="11"/>
  <c r="M2890" i="11"/>
  <c r="N2890" i="11"/>
  <c r="O2890" i="11"/>
  <c r="P2890" i="11"/>
  <c r="L2891" i="11"/>
  <c r="M2891" i="11"/>
  <c r="N2891" i="11"/>
  <c r="O2891" i="11"/>
  <c r="P2891" i="11"/>
  <c r="L2892" i="11"/>
  <c r="M2892" i="11"/>
  <c r="N2892" i="11"/>
  <c r="O2892" i="11"/>
  <c r="P2892" i="11"/>
  <c r="L2894" i="11"/>
  <c r="M2894" i="11"/>
  <c r="N2894" i="11"/>
  <c r="O2894" i="11"/>
  <c r="P2894" i="11"/>
  <c r="L2895" i="11"/>
  <c r="M2895" i="11"/>
  <c r="N2895" i="11"/>
  <c r="O2895" i="11"/>
  <c r="P2895" i="11"/>
  <c r="L2896" i="11"/>
  <c r="M2896" i="11"/>
  <c r="N2896" i="11"/>
  <c r="O2896" i="11"/>
  <c r="P2896" i="11"/>
  <c r="L2902" i="11"/>
  <c r="M2902" i="11"/>
  <c r="N2902" i="11"/>
  <c r="O2902" i="11"/>
  <c r="P2902" i="11"/>
  <c r="L2904" i="11"/>
  <c r="M2904" i="11"/>
  <c r="N2904" i="11"/>
  <c r="O2904" i="11"/>
  <c r="P2904" i="11"/>
  <c r="L2905" i="11"/>
  <c r="M2905" i="11"/>
  <c r="N2905" i="11"/>
  <c r="O2905" i="11"/>
  <c r="P2905" i="11"/>
  <c r="L2906" i="11"/>
  <c r="M2906" i="11"/>
  <c r="N2906" i="11"/>
  <c r="O2906" i="11"/>
  <c r="P2906" i="11"/>
  <c r="L2908" i="11"/>
  <c r="M2908" i="11"/>
  <c r="N2908" i="11"/>
  <c r="O2908" i="11"/>
  <c r="P2908" i="11"/>
  <c r="L2909" i="11"/>
  <c r="M2909" i="11"/>
  <c r="N2909" i="11"/>
  <c r="O2909" i="11"/>
  <c r="P2909" i="11"/>
  <c r="L3232" i="11"/>
  <c r="M3232" i="11"/>
  <c r="N3232" i="11"/>
  <c r="O3232" i="11"/>
  <c r="P3232" i="11"/>
  <c r="L2910" i="11"/>
  <c r="M2910" i="11"/>
  <c r="N2910" i="11"/>
  <c r="O2910" i="11"/>
  <c r="P2910" i="11"/>
  <c r="L2911" i="11"/>
  <c r="M2911" i="11"/>
  <c r="N2911" i="11"/>
  <c r="O2911" i="11"/>
  <c r="P2911" i="11"/>
  <c r="L2912" i="11"/>
  <c r="M2912" i="11"/>
  <c r="N2912" i="11"/>
  <c r="O2912" i="11"/>
  <c r="P2912" i="11"/>
  <c r="L2913" i="11"/>
  <c r="M2913" i="11"/>
  <c r="N2913" i="11"/>
  <c r="O2913" i="11"/>
  <c r="P2913" i="11"/>
  <c r="L2914" i="11"/>
  <c r="M2914" i="11"/>
  <c r="N2914" i="11"/>
  <c r="O2914" i="11"/>
  <c r="P2914" i="11"/>
  <c r="L2916" i="11"/>
  <c r="M2916" i="11"/>
  <c r="N2916" i="11"/>
  <c r="O2916" i="11"/>
  <c r="P2916" i="11"/>
  <c r="L2917" i="11"/>
  <c r="M2917" i="11"/>
  <c r="N2917" i="11"/>
  <c r="O2917" i="11"/>
  <c r="P2917" i="11"/>
  <c r="L2918" i="11"/>
  <c r="M2918" i="11"/>
  <c r="N2918" i="11"/>
  <c r="O2918" i="11"/>
  <c r="P2918" i="11"/>
  <c r="L2919" i="11"/>
  <c r="M2919" i="11"/>
  <c r="N2919" i="11"/>
  <c r="O2919" i="11"/>
  <c r="P2919" i="11"/>
  <c r="L2943" i="11"/>
  <c r="M2943" i="11"/>
  <c r="N2943" i="11"/>
  <c r="O2943" i="11"/>
  <c r="P2943" i="11"/>
  <c r="L2921" i="11"/>
  <c r="M2921" i="11"/>
  <c r="N2921" i="11"/>
  <c r="O2921" i="11"/>
  <c r="P2921" i="11"/>
  <c r="L3234" i="11"/>
  <c r="M3234" i="11"/>
  <c r="N3234" i="11"/>
  <c r="O3234" i="11"/>
  <c r="P3234" i="11"/>
  <c r="L2922" i="11"/>
  <c r="M2922" i="11"/>
  <c r="N2922" i="11"/>
  <c r="O2922" i="11"/>
  <c r="P2922" i="11"/>
  <c r="L2923" i="11"/>
  <c r="M2923" i="11"/>
  <c r="N2923" i="11"/>
  <c r="O2923" i="11"/>
  <c r="P2923" i="11"/>
  <c r="L2925" i="11"/>
  <c r="M2925" i="11"/>
  <c r="N2925" i="11"/>
  <c r="O2925" i="11"/>
  <c r="P2925" i="11"/>
  <c r="L3235" i="11"/>
  <c r="M3235" i="11"/>
  <c r="N3235" i="11"/>
  <c r="O3235" i="11"/>
  <c r="P3235" i="11"/>
  <c r="L2928" i="11"/>
  <c r="M2928" i="11"/>
  <c r="N2928" i="11"/>
  <c r="O2928" i="11"/>
  <c r="P2928" i="11"/>
  <c r="L2929" i="11"/>
  <c r="M2929" i="11"/>
  <c r="N2929" i="11"/>
  <c r="O2929" i="11"/>
  <c r="P2929" i="11"/>
  <c r="L2930" i="11"/>
  <c r="M2930" i="11"/>
  <c r="N2930" i="11"/>
  <c r="O2930" i="11"/>
  <c r="P2930" i="11"/>
  <c r="L2931" i="11"/>
  <c r="M2931" i="11"/>
  <c r="N2931" i="11"/>
  <c r="O2931" i="11"/>
  <c r="P2931" i="11"/>
  <c r="L2932" i="11"/>
  <c r="M2932" i="11"/>
  <c r="N2932" i="11"/>
  <c r="O2932" i="11"/>
  <c r="P2932" i="11"/>
  <c r="L2933" i="11"/>
  <c r="M2933" i="11"/>
  <c r="N2933" i="11"/>
  <c r="O2933" i="11"/>
  <c r="P2933" i="11"/>
  <c r="L3009" i="11"/>
  <c r="M3009" i="11"/>
  <c r="N3009" i="11"/>
  <c r="O3009" i="11"/>
  <c r="P3009" i="11"/>
  <c r="L2935" i="11"/>
  <c r="M2935" i="11"/>
  <c r="N2935" i="11"/>
  <c r="O2935" i="11"/>
  <c r="P2935" i="11"/>
  <c r="L2936" i="11"/>
  <c r="M2936" i="11"/>
  <c r="N2936" i="11"/>
  <c r="O2936" i="11"/>
  <c r="P2936" i="11"/>
  <c r="L2937" i="11"/>
  <c r="M2937" i="11"/>
  <c r="N2937" i="11"/>
  <c r="O2937" i="11"/>
  <c r="P2937" i="11"/>
  <c r="L2903" i="11"/>
  <c r="M2903" i="11"/>
  <c r="N2903" i="11"/>
  <c r="O2903" i="11"/>
  <c r="P2903" i="11"/>
  <c r="L3017" i="11"/>
  <c r="M3017" i="11"/>
  <c r="N3017" i="11"/>
  <c r="O3017" i="11"/>
  <c r="P3017" i="11"/>
  <c r="L2938" i="11"/>
  <c r="M2938" i="11"/>
  <c r="N2938" i="11"/>
  <c r="O2938" i="11"/>
  <c r="P2938" i="11"/>
  <c r="L2939" i="11"/>
  <c r="M2939" i="11"/>
  <c r="N2939" i="11"/>
  <c r="O2939" i="11"/>
  <c r="P2939" i="11"/>
  <c r="L2940" i="11"/>
  <c r="M2940" i="11"/>
  <c r="N2940" i="11"/>
  <c r="O2940" i="11"/>
  <c r="P2940" i="11"/>
  <c r="L3016" i="11"/>
  <c r="M3016" i="11"/>
  <c r="N3016" i="11"/>
  <c r="O3016" i="11"/>
  <c r="P3016" i="11"/>
  <c r="L2941" i="11"/>
  <c r="M2941" i="11"/>
  <c r="N2941" i="11"/>
  <c r="O2941" i="11"/>
  <c r="P2941" i="11"/>
  <c r="L2942" i="11"/>
  <c r="M2942" i="11"/>
  <c r="N2942" i="11"/>
  <c r="O2942" i="11"/>
  <c r="P2942" i="11"/>
  <c r="L3236" i="11"/>
  <c r="M3236" i="11"/>
  <c r="N3236" i="11"/>
  <c r="O3236" i="11"/>
  <c r="P3236" i="11"/>
  <c r="L2945" i="11"/>
  <c r="M2945" i="11"/>
  <c r="N2945" i="11"/>
  <c r="O2945" i="11"/>
  <c r="P2945" i="11"/>
  <c r="L2947" i="11"/>
  <c r="M2947" i="11"/>
  <c r="N2947" i="11"/>
  <c r="O2947" i="11"/>
  <c r="P2947" i="11"/>
  <c r="L2948" i="11"/>
  <c r="M2948" i="11"/>
  <c r="N2948" i="11"/>
  <c r="O2948" i="11"/>
  <c r="P2948" i="11"/>
  <c r="L2949" i="11"/>
  <c r="M2949" i="11"/>
  <c r="N2949" i="11"/>
  <c r="O2949" i="11"/>
  <c r="P2949" i="11"/>
  <c r="L3014" i="11"/>
  <c r="M3014" i="11"/>
  <c r="N3014" i="11"/>
  <c r="O3014" i="11"/>
  <c r="P3014" i="11"/>
  <c r="L2950" i="11"/>
  <c r="M2950" i="11"/>
  <c r="N2950" i="11"/>
  <c r="O2950" i="11"/>
  <c r="P2950" i="11"/>
  <c r="L2951" i="11"/>
  <c r="M2951" i="11"/>
  <c r="N2951" i="11"/>
  <c r="O2951" i="11"/>
  <c r="P2951" i="11"/>
  <c r="L2952" i="11"/>
  <c r="M2952" i="11"/>
  <c r="N2952" i="11"/>
  <c r="O2952" i="11"/>
  <c r="P2952" i="11"/>
  <c r="L2953" i="11"/>
  <c r="M2953" i="11"/>
  <c r="N2953" i="11"/>
  <c r="O2953" i="11"/>
  <c r="P2953" i="11"/>
  <c r="L2927" i="11"/>
  <c r="M2927" i="11"/>
  <c r="N2927" i="11"/>
  <c r="O2927" i="11"/>
  <c r="P2927" i="11"/>
  <c r="L2954" i="11"/>
  <c r="M2954" i="11"/>
  <c r="N2954" i="11"/>
  <c r="O2954" i="11"/>
  <c r="P2954" i="11"/>
  <c r="L2955" i="11"/>
  <c r="M2955" i="11"/>
  <c r="N2955" i="11"/>
  <c r="O2955" i="11"/>
  <c r="P2955" i="11"/>
  <c r="L2956" i="11"/>
  <c r="M2956" i="11"/>
  <c r="N2956" i="11"/>
  <c r="O2956" i="11"/>
  <c r="P2956" i="11"/>
  <c r="L2957" i="11"/>
  <c r="M2957" i="11"/>
  <c r="N2957" i="11"/>
  <c r="O2957" i="11"/>
  <c r="P2957" i="11"/>
  <c r="L2958" i="11"/>
  <c r="M2958" i="11"/>
  <c r="N2958" i="11"/>
  <c r="O2958" i="11"/>
  <c r="P2958" i="11"/>
  <c r="L2907" i="11"/>
  <c r="M2907" i="11"/>
  <c r="N2907" i="11"/>
  <c r="O2907" i="11"/>
  <c r="P2907" i="11"/>
  <c r="L2959" i="11"/>
  <c r="M2959" i="11"/>
  <c r="N2959" i="11"/>
  <c r="O2959" i="11"/>
  <c r="P2959" i="11"/>
  <c r="L2934" i="11"/>
  <c r="M2934" i="11"/>
  <c r="N2934" i="11"/>
  <c r="O2934" i="11"/>
  <c r="P2934" i="11"/>
  <c r="L2960" i="11"/>
  <c r="M2960" i="11"/>
  <c r="N2960" i="11"/>
  <c r="O2960" i="11"/>
  <c r="P2960" i="11"/>
  <c r="L2961" i="11"/>
  <c r="M2961" i="11"/>
  <c r="N2961" i="11"/>
  <c r="O2961" i="11"/>
  <c r="P2961" i="11"/>
  <c r="L2962" i="11"/>
  <c r="M2962" i="11"/>
  <c r="N2962" i="11"/>
  <c r="O2962" i="11"/>
  <c r="P2962" i="11"/>
  <c r="L2963" i="11"/>
  <c r="M2963" i="11"/>
  <c r="N2963" i="11"/>
  <c r="O2963" i="11"/>
  <c r="P2963" i="11"/>
  <c r="L2964" i="11"/>
  <c r="M2964" i="11"/>
  <c r="N2964" i="11"/>
  <c r="O2964" i="11"/>
  <c r="P2964" i="11"/>
  <c r="L2965" i="11"/>
  <c r="M2965" i="11"/>
  <c r="N2965" i="11"/>
  <c r="O2965" i="11"/>
  <c r="P2965" i="11"/>
  <c r="L2966" i="11"/>
  <c r="M2966" i="11"/>
  <c r="N2966" i="11"/>
  <c r="O2966" i="11"/>
  <c r="P2966" i="11"/>
  <c r="L2967" i="11"/>
  <c r="M2967" i="11"/>
  <c r="N2967" i="11"/>
  <c r="O2967" i="11"/>
  <c r="P2967" i="11"/>
  <c r="L2968" i="11"/>
  <c r="M2968" i="11"/>
  <c r="N2968" i="11"/>
  <c r="O2968" i="11"/>
  <c r="P2968" i="11"/>
  <c r="L2969" i="11"/>
  <c r="M2969" i="11"/>
  <c r="N2969" i="11"/>
  <c r="O2969" i="11"/>
  <c r="P2969" i="11"/>
  <c r="L2970" i="11"/>
  <c r="M2970" i="11"/>
  <c r="N2970" i="11"/>
  <c r="O2970" i="11"/>
  <c r="P2970" i="11"/>
  <c r="L2971" i="11"/>
  <c r="M2971" i="11"/>
  <c r="N2971" i="11"/>
  <c r="O2971" i="11"/>
  <c r="P2971" i="11"/>
  <c r="L2972" i="11"/>
  <c r="M2972" i="11"/>
  <c r="N2972" i="11"/>
  <c r="O2972" i="11"/>
  <c r="P2972" i="11"/>
  <c r="L2973" i="11"/>
  <c r="M2973" i="11"/>
  <c r="N2973" i="11"/>
  <c r="O2973" i="11"/>
  <c r="P2973" i="11"/>
  <c r="L2974" i="11"/>
  <c r="M2974" i="11"/>
  <c r="N2974" i="11"/>
  <c r="O2974" i="11"/>
  <c r="P2974" i="11"/>
  <c r="L2975" i="11"/>
  <c r="M2975" i="11"/>
  <c r="N2975" i="11"/>
  <c r="O2975" i="11"/>
  <c r="P2975" i="11"/>
  <c r="L2977" i="11"/>
  <c r="M2977" i="11"/>
  <c r="N2977" i="11"/>
  <c r="O2977" i="11"/>
  <c r="P2977" i="11"/>
  <c r="L2944" i="11"/>
  <c r="M2944" i="11"/>
  <c r="N2944" i="11"/>
  <c r="O2944" i="11"/>
  <c r="P2944" i="11"/>
  <c r="L2978" i="11"/>
  <c r="M2978" i="11"/>
  <c r="N2978" i="11"/>
  <c r="O2978" i="11"/>
  <c r="P2978" i="11"/>
  <c r="L2946" i="11"/>
  <c r="M2946" i="11"/>
  <c r="N2946" i="11"/>
  <c r="O2946" i="11"/>
  <c r="P2946" i="11"/>
  <c r="L2979" i="11"/>
  <c r="M2979" i="11"/>
  <c r="N2979" i="11"/>
  <c r="O2979" i="11"/>
  <c r="P2979" i="11"/>
  <c r="L2980" i="11"/>
  <c r="M2980" i="11"/>
  <c r="N2980" i="11"/>
  <c r="O2980" i="11"/>
  <c r="P2980" i="11"/>
  <c r="L2981" i="11"/>
  <c r="M2981" i="11"/>
  <c r="N2981" i="11"/>
  <c r="O2981" i="11"/>
  <c r="P2981" i="11"/>
  <c r="L2982" i="11"/>
  <c r="M2982" i="11"/>
  <c r="N2982" i="11"/>
  <c r="O2982" i="11"/>
  <c r="P2982" i="11"/>
  <c r="L2915" i="11"/>
  <c r="M2915" i="11"/>
  <c r="N2915" i="11"/>
  <c r="O2915" i="11"/>
  <c r="P2915" i="11"/>
  <c r="L2983" i="11"/>
  <c r="M2983" i="11"/>
  <c r="N2983" i="11"/>
  <c r="O2983" i="11"/>
  <c r="P2983" i="11"/>
  <c r="L2984" i="11"/>
  <c r="M2984" i="11"/>
  <c r="N2984" i="11"/>
  <c r="O2984" i="11"/>
  <c r="P2984" i="11"/>
  <c r="L2985" i="11"/>
  <c r="M2985" i="11"/>
  <c r="N2985" i="11"/>
  <c r="O2985" i="11"/>
  <c r="P2985" i="11"/>
  <c r="L3015" i="11"/>
  <c r="M3015" i="11"/>
  <c r="N3015" i="11"/>
  <c r="O3015" i="11"/>
  <c r="P3015" i="11"/>
  <c r="L2986" i="11"/>
  <c r="M2986" i="11"/>
  <c r="N2986" i="11"/>
  <c r="O2986" i="11"/>
  <c r="P2986" i="11"/>
  <c r="L2987" i="11"/>
  <c r="M2987" i="11"/>
  <c r="N2987" i="11"/>
  <c r="O2987" i="11"/>
  <c r="P2987" i="11"/>
  <c r="L2988" i="11"/>
  <c r="M2988" i="11"/>
  <c r="N2988" i="11"/>
  <c r="O2988" i="11"/>
  <c r="P2988" i="11"/>
  <c r="L2989" i="11"/>
  <c r="M2989" i="11"/>
  <c r="N2989" i="11"/>
  <c r="O2989" i="11"/>
  <c r="P2989" i="11"/>
  <c r="L2920" i="11"/>
  <c r="M2920" i="11"/>
  <c r="N2920" i="11"/>
  <c r="O2920" i="11"/>
  <c r="P2920" i="11"/>
  <c r="L2990" i="11"/>
  <c r="M2990" i="11"/>
  <c r="N2990" i="11"/>
  <c r="O2990" i="11"/>
  <c r="P2990" i="11"/>
  <c r="L2991" i="11"/>
  <c r="M2991" i="11"/>
  <c r="N2991" i="11"/>
  <c r="O2991" i="11"/>
  <c r="P2991" i="11"/>
  <c r="L2992" i="11"/>
  <c r="M2992" i="11"/>
  <c r="N2992" i="11"/>
  <c r="O2992" i="11"/>
  <c r="P2992" i="11"/>
  <c r="L2993" i="11"/>
  <c r="M2993" i="11"/>
  <c r="N2993" i="11"/>
  <c r="O2993" i="11"/>
  <c r="P2993" i="11"/>
  <c r="L2994" i="11"/>
  <c r="M2994" i="11"/>
  <c r="N2994" i="11"/>
  <c r="O2994" i="11"/>
  <c r="P2994" i="11"/>
  <c r="L2995" i="11"/>
  <c r="M2995" i="11"/>
  <c r="N2995" i="11"/>
  <c r="O2995" i="11"/>
  <c r="P2995" i="11"/>
  <c r="L2996" i="11"/>
  <c r="M2996" i="11"/>
  <c r="N2996" i="11"/>
  <c r="O2996" i="11"/>
  <c r="P2996" i="11"/>
  <c r="L2997" i="11"/>
  <c r="M2997" i="11"/>
  <c r="N2997" i="11"/>
  <c r="O2997" i="11"/>
  <c r="P2997" i="11"/>
  <c r="L2998" i="11"/>
  <c r="M2998" i="11"/>
  <c r="N2998" i="11"/>
  <c r="O2998" i="11"/>
  <c r="P2998" i="11"/>
  <c r="L2976" i="11"/>
  <c r="M2976" i="11"/>
  <c r="N2976" i="11"/>
  <c r="O2976" i="11"/>
  <c r="P2976" i="11"/>
  <c r="L2999" i="11"/>
  <c r="M2999" i="11"/>
  <c r="N2999" i="11"/>
  <c r="O2999" i="11"/>
  <c r="P2999" i="11"/>
  <c r="L3000" i="11"/>
  <c r="M3000" i="11"/>
  <c r="N3000" i="11"/>
  <c r="O3000" i="11"/>
  <c r="P3000" i="11"/>
  <c r="L3001" i="11"/>
  <c r="M3001" i="11"/>
  <c r="N3001" i="11"/>
  <c r="O3001" i="11"/>
  <c r="P3001" i="11"/>
  <c r="L3003" i="11"/>
  <c r="M3003" i="11"/>
  <c r="N3003" i="11"/>
  <c r="O3003" i="11"/>
  <c r="P3003" i="11"/>
  <c r="L3004" i="11"/>
  <c r="M3004" i="11"/>
  <c r="N3004" i="11"/>
  <c r="O3004" i="11"/>
  <c r="P3004" i="11"/>
  <c r="L3005" i="11"/>
  <c r="M3005" i="11"/>
  <c r="N3005" i="11"/>
  <c r="O3005" i="11"/>
  <c r="P3005" i="11"/>
  <c r="L3006" i="11"/>
  <c r="M3006" i="11"/>
  <c r="N3006" i="11"/>
  <c r="O3006" i="11"/>
  <c r="P3006" i="11"/>
  <c r="L3007" i="11"/>
  <c r="M3007" i="11"/>
  <c r="N3007" i="11"/>
  <c r="O3007" i="11"/>
  <c r="P3007" i="11"/>
  <c r="L3008" i="11"/>
  <c r="M3008" i="11"/>
  <c r="N3008" i="11"/>
  <c r="O3008" i="11"/>
  <c r="P3008" i="11"/>
  <c r="L3010" i="11"/>
  <c r="M3010" i="11"/>
  <c r="N3010" i="11"/>
  <c r="O3010" i="11"/>
  <c r="P3010" i="11"/>
  <c r="L3011" i="11"/>
  <c r="M3011" i="11"/>
  <c r="N3011" i="11"/>
  <c r="O3011" i="11"/>
  <c r="P3011" i="11"/>
  <c r="L3012" i="11"/>
  <c r="M3012" i="11"/>
  <c r="N3012" i="11"/>
  <c r="O3012" i="11"/>
  <c r="P3012" i="11"/>
  <c r="L3013" i="11"/>
  <c r="M3013" i="11"/>
  <c r="N3013" i="11"/>
  <c r="O3013" i="11"/>
  <c r="P3013" i="11"/>
  <c r="L3018" i="11"/>
  <c r="M3018" i="11"/>
  <c r="N3018" i="11"/>
  <c r="O3018" i="11"/>
  <c r="P3018" i="11"/>
  <c r="L3019" i="11"/>
  <c r="M3019" i="11"/>
  <c r="N3019" i="11"/>
  <c r="O3019" i="11"/>
  <c r="P3019" i="11"/>
  <c r="L3020" i="11"/>
  <c r="M3020" i="11"/>
  <c r="N3020" i="11"/>
  <c r="O3020" i="11"/>
  <c r="P3020" i="11"/>
  <c r="L3021" i="11"/>
  <c r="M3021" i="11"/>
  <c r="N3021" i="11"/>
  <c r="O3021" i="11"/>
  <c r="P3021" i="11"/>
  <c r="L3023" i="11"/>
  <c r="M3023" i="11"/>
  <c r="N3023" i="11"/>
  <c r="O3023" i="11"/>
  <c r="P3023" i="11"/>
  <c r="L3024" i="11"/>
  <c r="M3024" i="11"/>
  <c r="N3024" i="11"/>
  <c r="O3024" i="11"/>
  <c r="P3024" i="11"/>
  <c r="L3237" i="11"/>
  <c r="M3237" i="11"/>
  <c r="N3237" i="11"/>
  <c r="O3237" i="11"/>
  <c r="P3237" i="11"/>
  <c r="L3026" i="11"/>
  <c r="M3026" i="11"/>
  <c r="N3026" i="11"/>
  <c r="O3026" i="11"/>
  <c r="P3026" i="11"/>
  <c r="L3027" i="11"/>
  <c r="M3027" i="11"/>
  <c r="N3027" i="11"/>
  <c r="O3027" i="11"/>
  <c r="P3027" i="11"/>
  <c r="L3028" i="11"/>
  <c r="M3028" i="11"/>
  <c r="N3028" i="11"/>
  <c r="O3028" i="11"/>
  <c r="P3028" i="11"/>
  <c r="L3029" i="11"/>
  <c r="M3029" i="11"/>
  <c r="N3029" i="11"/>
  <c r="O3029" i="11"/>
  <c r="P3029" i="11"/>
  <c r="L3056" i="11"/>
  <c r="M3056" i="11"/>
  <c r="N3056" i="11"/>
  <c r="O3056" i="11"/>
  <c r="P3056" i="11"/>
  <c r="L3030" i="11"/>
  <c r="M3030" i="11"/>
  <c r="N3030" i="11"/>
  <c r="O3030" i="11"/>
  <c r="P3030" i="11"/>
  <c r="L3032" i="11"/>
  <c r="M3032" i="11"/>
  <c r="N3032" i="11"/>
  <c r="O3032" i="11"/>
  <c r="P3032" i="11"/>
  <c r="L3033" i="11"/>
  <c r="M3033" i="11"/>
  <c r="N3033" i="11"/>
  <c r="O3033" i="11"/>
  <c r="P3033" i="11"/>
  <c r="L3034" i="11"/>
  <c r="M3034" i="11"/>
  <c r="N3034" i="11"/>
  <c r="O3034" i="11"/>
  <c r="P3034" i="11"/>
  <c r="L3133" i="11"/>
  <c r="M3133" i="11"/>
  <c r="N3133" i="11"/>
  <c r="O3133" i="11"/>
  <c r="P3133" i="11"/>
  <c r="L3035" i="11"/>
  <c r="M3035" i="11"/>
  <c r="N3035" i="11"/>
  <c r="O3035" i="11"/>
  <c r="P3035" i="11"/>
  <c r="L3239" i="11"/>
  <c r="M3239" i="11"/>
  <c r="N3239" i="11"/>
  <c r="O3239" i="11"/>
  <c r="P3239" i="11"/>
  <c r="L3037" i="11"/>
  <c r="M3037" i="11"/>
  <c r="N3037" i="11"/>
  <c r="O3037" i="11"/>
  <c r="P3037" i="11"/>
  <c r="L3038" i="11"/>
  <c r="M3038" i="11"/>
  <c r="N3038" i="11"/>
  <c r="O3038" i="11"/>
  <c r="P3038" i="11"/>
  <c r="L3040" i="11"/>
  <c r="M3040" i="11"/>
  <c r="N3040" i="11"/>
  <c r="O3040" i="11"/>
  <c r="P3040" i="11"/>
  <c r="L3240" i="11"/>
  <c r="M3240" i="11"/>
  <c r="N3240" i="11"/>
  <c r="O3240" i="11"/>
  <c r="P3240" i="11"/>
  <c r="L3043" i="11"/>
  <c r="M3043" i="11"/>
  <c r="N3043" i="11"/>
  <c r="O3043" i="11"/>
  <c r="P3043" i="11"/>
  <c r="L3044" i="11"/>
  <c r="M3044" i="11"/>
  <c r="N3044" i="11"/>
  <c r="O3044" i="11"/>
  <c r="P3044" i="11"/>
  <c r="L3045" i="11"/>
  <c r="M3045" i="11"/>
  <c r="N3045" i="11"/>
  <c r="O3045" i="11"/>
  <c r="P3045" i="11"/>
  <c r="L3046" i="11"/>
  <c r="M3046" i="11"/>
  <c r="N3046" i="11"/>
  <c r="O3046" i="11"/>
  <c r="P3046" i="11"/>
  <c r="L3047" i="11"/>
  <c r="M3047" i="11"/>
  <c r="N3047" i="11"/>
  <c r="O3047" i="11"/>
  <c r="P3047" i="11"/>
  <c r="L3048" i="11"/>
  <c r="M3048" i="11"/>
  <c r="N3048" i="11"/>
  <c r="O3048" i="11"/>
  <c r="P3048" i="11"/>
  <c r="L3049" i="11"/>
  <c r="M3049" i="11"/>
  <c r="N3049" i="11"/>
  <c r="O3049" i="11"/>
  <c r="P3049" i="11"/>
  <c r="L3050" i="11"/>
  <c r="M3050" i="11"/>
  <c r="N3050" i="11"/>
  <c r="O3050" i="11"/>
  <c r="P3050" i="11"/>
  <c r="L3052" i="11"/>
  <c r="M3052" i="11"/>
  <c r="N3052" i="11"/>
  <c r="O3052" i="11"/>
  <c r="P3052" i="11"/>
  <c r="L3036" i="11"/>
  <c r="M3036" i="11"/>
  <c r="N3036" i="11"/>
  <c r="O3036" i="11"/>
  <c r="P3036" i="11"/>
  <c r="L3053" i="11"/>
  <c r="M3053" i="11"/>
  <c r="N3053" i="11"/>
  <c r="O3053" i="11"/>
  <c r="P3053" i="11"/>
  <c r="L3054" i="11"/>
  <c r="M3054" i="11"/>
  <c r="N3054" i="11"/>
  <c r="O3054" i="11"/>
  <c r="P3054" i="11"/>
  <c r="L3055" i="11"/>
  <c r="M3055" i="11"/>
  <c r="N3055" i="11"/>
  <c r="O3055" i="11"/>
  <c r="P3055" i="11"/>
  <c r="L3057" i="11"/>
  <c r="M3057" i="11"/>
  <c r="N3057" i="11"/>
  <c r="O3057" i="11"/>
  <c r="P3057" i="11"/>
  <c r="L3058" i="11"/>
  <c r="M3058" i="11"/>
  <c r="N3058" i="11"/>
  <c r="O3058" i="11"/>
  <c r="P3058" i="11"/>
  <c r="L3241" i="11"/>
  <c r="M3241" i="11"/>
  <c r="N3241" i="11"/>
  <c r="O3241" i="11"/>
  <c r="P3241" i="11"/>
  <c r="L3059" i="11"/>
  <c r="M3059" i="11"/>
  <c r="N3059" i="11"/>
  <c r="O3059" i="11"/>
  <c r="P3059" i="11"/>
  <c r="L3060" i="11"/>
  <c r="M3060" i="11"/>
  <c r="N3060" i="11"/>
  <c r="O3060" i="11"/>
  <c r="P3060" i="11"/>
  <c r="L3062" i="11"/>
  <c r="M3062" i="11"/>
  <c r="N3062" i="11"/>
  <c r="O3062" i="11"/>
  <c r="P3062" i="11"/>
  <c r="L3063" i="11"/>
  <c r="M3063" i="11"/>
  <c r="N3063" i="11"/>
  <c r="O3063" i="11"/>
  <c r="P3063" i="11"/>
  <c r="L3064" i="11"/>
  <c r="M3064" i="11"/>
  <c r="N3064" i="11"/>
  <c r="O3064" i="11"/>
  <c r="P3064" i="11"/>
  <c r="L3065" i="11"/>
  <c r="M3065" i="11"/>
  <c r="N3065" i="11"/>
  <c r="O3065" i="11"/>
  <c r="P3065" i="11"/>
  <c r="L3066" i="11"/>
  <c r="M3066" i="11"/>
  <c r="N3066" i="11"/>
  <c r="O3066" i="11"/>
  <c r="P3066" i="11"/>
  <c r="L3067" i="11"/>
  <c r="M3067" i="11"/>
  <c r="N3067" i="11"/>
  <c r="O3067" i="11"/>
  <c r="P3067" i="11"/>
  <c r="L3042" i="11"/>
  <c r="M3042" i="11"/>
  <c r="N3042" i="11"/>
  <c r="O3042" i="11"/>
  <c r="P3042" i="11"/>
  <c r="L3068" i="11"/>
  <c r="M3068" i="11"/>
  <c r="N3068" i="11"/>
  <c r="O3068" i="11"/>
  <c r="P3068" i="11"/>
  <c r="L3069" i="11"/>
  <c r="M3069" i="11"/>
  <c r="N3069" i="11"/>
  <c r="O3069" i="11"/>
  <c r="P3069" i="11"/>
  <c r="L3070" i="11"/>
  <c r="M3070" i="11"/>
  <c r="N3070" i="11"/>
  <c r="O3070" i="11"/>
  <c r="P3070" i="11"/>
  <c r="L3128" i="11"/>
  <c r="M3128" i="11"/>
  <c r="N3128" i="11"/>
  <c r="O3128" i="11"/>
  <c r="P3128" i="11"/>
  <c r="L3072" i="11"/>
  <c r="M3072" i="11"/>
  <c r="N3072" i="11"/>
  <c r="O3072" i="11"/>
  <c r="P3072" i="11"/>
  <c r="L3074" i="11"/>
  <c r="M3074" i="11"/>
  <c r="N3074" i="11"/>
  <c r="O3074" i="11"/>
  <c r="P3074" i="11"/>
  <c r="L3075" i="11"/>
  <c r="M3075" i="11"/>
  <c r="N3075" i="11"/>
  <c r="O3075" i="11"/>
  <c r="P3075" i="11"/>
  <c r="L3130" i="11"/>
  <c r="M3130" i="11"/>
  <c r="N3130" i="11"/>
  <c r="O3130" i="11"/>
  <c r="P3130" i="11"/>
  <c r="L3076" i="11"/>
  <c r="M3076" i="11"/>
  <c r="N3076" i="11"/>
  <c r="O3076" i="11"/>
  <c r="P3076" i="11"/>
  <c r="L3077" i="11"/>
  <c r="M3077" i="11"/>
  <c r="N3077" i="11"/>
  <c r="O3077" i="11"/>
  <c r="P3077" i="11"/>
  <c r="L3129" i="11"/>
  <c r="M3129" i="11"/>
  <c r="N3129" i="11"/>
  <c r="O3129" i="11"/>
  <c r="P3129" i="11"/>
  <c r="L3079" i="11"/>
  <c r="M3079" i="11"/>
  <c r="N3079" i="11"/>
  <c r="O3079" i="11"/>
  <c r="P3079" i="11"/>
  <c r="L3080" i="11"/>
  <c r="M3080" i="11"/>
  <c r="N3080" i="11"/>
  <c r="O3080" i="11"/>
  <c r="P3080" i="11"/>
  <c r="L3132" i="11"/>
  <c r="M3132" i="11"/>
  <c r="N3132" i="11"/>
  <c r="O3132" i="11"/>
  <c r="P3132" i="11"/>
  <c r="L3081" i="11"/>
  <c r="M3081" i="11"/>
  <c r="N3081" i="11"/>
  <c r="O3081" i="11"/>
  <c r="P3081" i="11"/>
  <c r="L3082" i="11"/>
  <c r="M3082" i="11"/>
  <c r="N3082" i="11"/>
  <c r="O3082" i="11"/>
  <c r="P3082" i="11"/>
  <c r="L3083" i="11"/>
  <c r="M3083" i="11"/>
  <c r="N3083" i="11"/>
  <c r="O3083" i="11"/>
  <c r="P3083" i="11"/>
  <c r="L3084" i="11"/>
  <c r="M3084" i="11"/>
  <c r="N3084" i="11"/>
  <c r="O3084" i="11"/>
  <c r="P3084" i="11"/>
  <c r="L3086" i="11"/>
  <c r="M3086" i="11"/>
  <c r="N3086" i="11"/>
  <c r="O3086" i="11"/>
  <c r="P3086" i="11"/>
  <c r="L3131" i="11"/>
  <c r="M3131" i="11"/>
  <c r="N3131" i="11"/>
  <c r="O3131" i="11"/>
  <c r="P3131" i="11"/>
  <c r="L3087" i="11"/>
  <c r="M3087" i="11"/>
  <c r="N3087" i="11"/>
  <c r="O3087" i="11"/>
  <c r="P3087" i="11"/>
  <c r="L3088" i="11"/>
  <c r="M3088" i="11"/>
  <c r="N3088" i="11"/>
  <c r="O3088" i="11"/>
  <c r="P3088" i="11"/>
  <c r="L3089" i="11"/>
  <c r="M3089" i="11"/>
  <c r="N3089" i="11"/>
  <c r="O3089" i="11"/>
  <c r="P3089" i="11"/>
  <c r="L3090" i="11"/>
  <c r="M3090" i="11"/>
  <c r="N3090" i="11"/>
  <c r="O3090" i="11"/>
  <c r="P3090" i="11"/>
  <c r="L3092" i="11"/>
  <c r="M3092" i="11"/>
  <c r="N3092" i="11"/>
  <c r="O3092" i="11"/>
  <c r="P3092" i="11"/>
  <c r="L3093" i="11"/>
  <c r="M3093" i="11"/>
  <c r="N3093" i="11"/>
  <c r="O3093" i="11"/>
  <c r="P3093" i="11"/>
  <c r="L3022" i="11"/>
  <c r="M3022" i="11"/>
  <c r="N3022" i="11"/>
  <c r="O3022" i="11"/>
  <c r="P3022" i="11"/>
  <c r="L3094" i="11"/>
  <c r="M3094" i="11"/>
  <c r="N3094" i="11"/>
  <c r="O3094" i="11"/>
  <c r="P3094" i="11"/>
  <c r="L3095" i="11"/>
  <c r="M3095" i="11"/>
  <c r="N3095" i="11"/>
  <c r="O3095" i="11"/>
  <c r="P3095" i="11"/>
  <c r="L3061" i="11"/>
  <c r="M3061" i="11"/>
  <c r="N3061" i="11"/>
  <c r="O3061" i="11"/>
  <c r="P3061" i="11"/>
  <c r="L3096" i="11"/>
  <c r="M3096" i="11"/>
  <c r="N3096" i="11"/>
  <c r="O3096" i="11"/>
  <c r="P3096" i="11"/>
  <c r="L3097" i="11"/>
  <c r="M3097" i="11"/>
  <c r="N3097" i="11"/>
  <c r="O3097" i="11"/>
  <c r="P3097" i="11"/>
  <c r="L3025" i="11"/>
  <c r="M3025" i="11"/>
  <c r="N3025" i="11"/>
  <c r="O3025" i="11"/>
  <c r="P3025" i="11"/>
  <c r="L3098" i="11"/>
  <c r="M3098" i="11"/>
  <c r="N3098" i="11"/>
  <c r="O3098" i="11"/>
  <c r="P3098" i="11"/>
  <c r="L3099" i="11"/>
  <c r="M3099" i="11"/>
  <c r="N3099" i="11"/>
  <c r="O3099" i="11"/>
  <c r="P3099" i="11"/>
  <c r="L3100" i="11"/>
  <c r="M3100" i="11"/>
  <c r="N3100" i="11"/>
  <c r="O3100" i="11"/>
  <c r="P3100" i="11"/>
  <c r="L3121" i="11"/>
  <c r="M3121" i="11"/>
  <c r="N3121" i="11"/>
  <c r="O3121" i="11"/>
  <c r="P3121" i="11"/>
  <c r="L3101" i="11"/>
  <c r="M3101" i="11"/>
  <c r="N3101" i="11"/>
  <c r="O3101" i="11"/>
  <c r="P3101" i="11"/>
  <c r="L3102" i="11"/>
  <c r="M3102" i="11"/>
  <c r="N3102" i="11"/>
  <c r="O3102" i="11"/>
  <c r="P3102" i="11"/>
  <c r="L3103" i="11"/>
  <c r="M3103" i="11"/>
  <c r="N3103" i="11"/>
  <c r="O3103" i="11"/>
  <c r="P3103" i="11"/>
  <c r="L3104" i="11"/>
  <c r="M3104" i="11"/>
  <c r="N3104" i="11"/>
  <c r="O3104" i="11"/>
  <c r="P3104" i="11"/>
  <c r="L3105" i="11"/>
  <c r="M3105" i="11"/>
  <c r="N3105" i="11"/>
  <c r="O3105" i="11"/>
  <c r="P3105" i="11"/>
  <c r="L3106" i="11"/>
  <c r="M3106" i="11"/>
  <c r="N3106" i="11"/>
  <c r="O3106" i="11"/>
  <c r="P3106" i="11"/>
  <c r="L3091" i="11"/>
  <c r="M3091" i="11"/>
  <c r="N3091" i="11"/>
  <c r="O3091" i="11"/>
  <c r="P3091" i="11"/>
  <c r="L3107" i="11"/>
  <c r="M3107" i="11"/>
  <c r="N3107" i="11"/>
  <c r="O3107" i="11"/>
  <c r="P3107" i="11"/>
  <c r="L3108" i="11"/>
  <c r="M3108" i="11"/>
  <c r="N3108" i="11"/>
  <c r="O3108" i="11"/>
  <c r="P3108" i="11"/>
  <c r="L3109" i="11"/>
  <c r="M3109" i="11"/>
  <c r="N3109" i="11"/>
  <c r="O3109" i="11"/>
  <c r="P3109" i="11"/>
  <c r="L3110" i="11"/>
  <c r="M3110" i="11"/>
  <c r="N3110" i="11"/>
  <c r="O3110" i="11"/>
  <c r="P3110" i="11"/>
  <c r="L3111" i="11"/>
  <c r="M3111" i="11"/>
  <c r="N3111" i="11"/>
  <c r="O3111" i="11"/>
  <c r="P3111" i="11"/>
  <c r="L3112" i="11"/>
  <c r="M3112" i="11"/>
  <c r="N3112" i="11"/>
  <c r="O3112" i="11"/>
  <c r="P3112" i="11"/>
  <c r="L3113" i="11"/>
  <c r="M3113" i="11"/>
  <c r="N3113" i="11"/>
  <c r="O3113" i="11"/>
  <c r="P3113" i="11"/>
  <c r="L3031" i="11"/>
  <c r="M3031" i="11"/>
  <c r="N3031" i="11"/>
  <c r="O3031" i="11"/>
  <c r="P3031" i="11"/>
  <c r="L3114" i="11"/>
  <c r="M3114" i="11"/>
  <c r="N3114" i="11"/>
  <c r="O3114" i="11"/>
  <c r="P3114" i="11"/>
  <c r="L3115" i="11"/>
  <c r="M3115" i="11"/>
  <c r="N3115" i="11"/>
  <c r="O3115" i="11"/>
  <c r="P3115" i="11"/>
  <c r="L3116" i="11"/>
  <c r="M3116" i="11"/>
  <c r="N3116" i="11"/>
  <c r="O3116" i="11"/>
  <c r="P3116" i="11"/>
  <c r="L3118" i="11"/>
  <c r="M3118" i="11"/>
  <c r="N3118" i="11"/>
  <c r="O3118" i="11"/>
  <c r="P3118" i="11"/>
  <c r="L3119" i="11"/>
  <c r="M3119" i="11"/>
  <c r="N3119" i="11"/>
  <c r="O3119" i="11"/>
  <c r="P3119" i="11"/>
  <c r="L3120" i="11"/>
  <c r="M3120" i="11"/>
  <c r="N3120" i="11"/>
  <c r="O3120" i="11"/>
  <c r="P3120" i="11"/>
  <c r="L3122" i="11"/>
  <c r="M3122" i="11"/>
  <c r="N3122" i="11"/>
  <c r="O3122" i="11"/>
  <c r="P3122" i="11"/>
  <c r="L3123" i="11"/>
  <c r="M3123" i="11"/>
  <c r="N3123" i="11"/>
  <c r="O3123" i="11"/>
  <c r="P3123" i="11"/>
  <c r="L3124" i="11"/>
  <c r="M3124" i="11"/>
  <c r="N3124" i="11"/>
  <c r="O3124" i="11"/>
  <c r="P3124" i="11"/>
  <c r="L3127" i="11"/>
  <c r="M3127" i="11"/>
  <c r="N3127" i="11"/>
  <c r="O3127" i="11"/>
  <c r="P3127" i="11"/>
  <c r="L3125" i="11"/>
  <c r="M3125" i="11"/>
  <c r="N3125" i="11"/>
  <c r="O3125" i="11"/>
  <c r="P3125" i="11"/>
  <c r="L3085" i="11"/>
  <c r="M3085" i="11"/>
  <c r="N3085" i="11"/>
  <c r="O3085" i="11"/>
  <c r="P3085" i="11"/>
  <c r="L3126" i="11"/>
  <c r="M3126" i="11"/>
  <c r="N3126" i="11"/>
  <c r="O3126" i="11"/>
  <c r="P3126" i="11"/>
  <c r="L3051" i="11"/>
  <c r="M3051" i="11"/>
  <c r="N3051" i="11"/>
  <c r="O3051" i="11"/>
  <c r="P3051" i="11"/>
  <c r="L3071" i="11"/>
  <c r="M3071" i="11"/>
  <c r="N3071" i="11"/>
  <c r="O3071" i="11"/>
  <c r="P3071" i="11"/>
  <c r="L3073" i="11"/>
  <c r="M3073" i="11"/>
  <c r="N3073" i="11"/>
  <c r="O3073" i="11"/>
  <c r="P3073" i="11"/>
  <c r="L3078" i="11"/>
  <c r="M3078" i="11"/>
  <c r="N3078" i="11"/>
  <c r="O3078" i="11"/>
  <c r="P3078" i="11"/>
  <c r="L72" i="11"/>
  <c r="M72" i="11"/>
  <c r="N72" i="11"/>
  <c r="O72" i="11"/>
  <c r="P72" i="11"/>
  <c r="L150" i="11"/>
  <c r="M150" i="11"/>
  <c r="N150" i="11"/>
  <c r="O150" i="11"/>
  <c r="P150" i="11"/>
  <c r="L301" i="11"/>
  <c r="M301" i="11"/>
  <c r="N301" i="11"/>
  <c r="O301" i="11"/>
  <c r="P301" i="11"/>
  <c r="L442" i="11"/>
  <c r="M442" i="11"/>
  <c r="N442" i="11"/>
  <c r="O442" i="11"/>
  <c r="P442" i="11"/>
  <c r="L533" i="11"/>
  <c r="M533" i="11"/>
  <c r="N533" i="11"/>
  <c r="O533" i="11"/>
  <c r="P533" i="11"/>
  <c r="L626" i="11"/>
  <c r="M626" i="11"/>
  <c r="N626" i="11"/>
  <c r="O626" i="11"/>
  <c r="P626" i="11"/>
  <c r="L751" i="11"/>
  <c r="M751" i="11"/>
  <c r="N751" i="11"/>
  <c r="O751" i="11"/>
  <c r="P751" i="11"/>
  <c r="L923" i="11"/>
  <c r="M923" i="11"/>
  <c r="N923" i="11"/>
  <c r="O923" i="11"/>
  <c r="P923" i="11"/>
  <c r="L1032" i="11"/>
  <c r="M1032" i="11"/>
  <c r="N1032" i="11"/>
  <c r="O1032" i="11"/>
  <c r="P1032" i="11"/>
  <c r="L1140" i="11"/>
  <c r="M1140" i="11"/>
  <c r="N1140" i="11"/>
  <c r="O1140" i="11"/>
  <c r="P1140" i="11"/>
  <c r="L1247" i="11"/>
  <c r="M1247" i="11"/>
  <c r="N1247" i="11"/>
  <c r="O1247" i="11"/>
  <c r="P1247" i="11"/>
  <c r="L1390" i="11"/>
  <c r="M1390" i="11"/>
  <c r="N1390" i="11"/>
  <c r="O1390" i="11"/>
  <c r="P1390" i="11"/>
  <c r="L1451" i="11"/>
  <c r="M1451" i="11"/>
  <c r="N1451" i="11"/>
  <c r="O1451" i="11"/>
  <c r="P1451" i="11"/>
  <c r="L1620" i="11"/>
  <c r="M1620" i="11"/>
  <c r="N1620" i="11"/>
  <c r="O1620" i="11"/>
  <c r="P1620" i="11"/>
  <c r="L1730" i="11"/>
  <c r="M1730" i="11"/>
  <c r="N1730" i="11"/>
  <c r="O1730" i="11"/>
  <c r="P1730" i="11"/>
  <c r="L1841" i="11"/>
  <c r="M1841" i="11"/>
  <c r="N1841" i="11"/>
  <c r="O1841" i="11"/>
  <c r="P1841" i="11"/>
  <c r="L1951" i="11"/>
  <c r="M1951" i="11"/>
  <c r="N1951" i="11"/>
  <c r="O1951" i="11"/>
  <c r="P1951" i="11"/>
  <c r="L2063" i="11"/>
  <c r="M2063" i="11"/>
  <c r="N2063" i="11"/>
  <c r="O2063" i="11"/>
  <c r="P2063" i="11"/>
  <c r="L2175" i="11"/>
  <c r="M2175" i="11"/>
  <c r="N2175" i="11"/>
  <c r="O2175" i="11"/>
  <c r="P2175" i="11"/>
  <c r="L2290" i="11"/>
  <c r="M2290" i="11"/>
  <c r="N2290" i="11"/>
  <c r="O2290" i="11"/>
  <c r="P2290" i="11"/>
  <c r="L2402" i="11"/>
  <c r="M2402" i="11"/>
  <c r="N2402" i="11"/>
  <c r="O2402" i="11"/>
  <c r="P2402" i="11"/>
  <c r="L2513" i="11"/>
  <c r="M2513" i="11"/>
  <c r="N2513" i="11"/>
  <c r="O2513" i="11"/>
  <c r="P2513" i="11"/>
  <c r="L2665" i="11"/>
  <c r="M2665" i="11"/>
  <c r="N2665" i="11"/>
  <c r="O2665" i="11"/>
  <c r="P2665" i="11"/>
  <c r="L2778" i="11"/>
  <c r="M2778" i="11"/>
  <c r="N2778" i="11"/>
  <c r="O2778" i="11"/>
  <c r="P2778" i="11"/>
  <c r="L2889" i="11"/>
  <c r="M2889" i="11"/>
  <c r="N2889" i="11"/>
  <c r="O2889" i="11"/>
  <c r="P2889" i="11"/>
  <c r="L3002" i="11"/>
  <c r="M3002" i="11"/>
  <c r="N3002" i="11"/>
  <c r="O3002" i="11"/>
  <c r="P3002" i="11"/>
  <c r="L3117" i="11"/>
  <c r="M3117" i="11"/>
  <c r="N3117" i="11"/>
  <c r="O3117" i="11"/>
  <c r="P3117" i="11"/>
  <c r="L55" i="11"/>
  <c r="M55" i="11"/>
  <c r="N55" i="11"/>
  <c r="O55" i="11"/>
  <c r="P55" i="11"/>
  <c r="L184" i="11"/>
  <c r="M184" i="11"/>
  <c r="N184" i="11"/>
  <c r="O184" i="11"/>
  <c r="P184" i="11"/>
  <c r="L289" i="11"/>
  <c r="M289" i="11"/>
  <c r="N289" i="11"/>
  <c r="O289" i="11"/>
  <c r="P289" i="11"/>
  <c r="L397" i="11"/>
  <c r="M397" i="11"/>
  <c r="N397" i="11"/>
  <c r="O397" i="11"/>
  <c r="P397" i="11"/>
  <c r="L506" i="11"/>
  <c r="M506" i="11"/>
  <c r="N506" i="11"/>
  <c r="O506" i="11"/>
  <c r="P506" i="11"/>
  <c r="L658" i="11"/>
  <c r="M658" i="11"/>
  <c r="N658" i="11"/>
  <c r="O658" i="11"/>
  <c r="P658" i="11"/>
  <c r="L771" i="11"/>
  <c r="M771" i="11"/>
  <c r="N771" i="11"/>
  <c r="O771" i="11"/>
  <c r="P771" i="11"/>
  <c r="L879" i="11"/>
  <c r="M879" i="11"/>
  <c r="N879" i="11"/>
  <c r="O879" i="11"/>
  <c r="P879" i="11"/>
  <c r="L991" i="11"/>
  <c r="M991" i="11"/>
  <c r="N991" i="11"/>
  <c r="O991" i="11"/>
  <c r="P991" i="11"/>
  <c r="L1101" i="11"/>
  <c r="M1101" i="11"/>
  <c r="N1101" i="11"/>
  <c r="O1101" i="11"/>
  <c r="P1101" i="11"/>
  <c r="L1210" i="11"/>
  <c r="M1210" i="11"/>
  <c r="N1210" i="11"/>
  <c r="O1210" i="11"/>
  <c r="P1210" i="11"/>
  <c r="L1326" i="11"/>
  <c r="M1326" i="11"/>
  <c r="N1326" i="11"/>
  <c r="O1326" i="11"/>
  <c r="P1326" i="11"/>
  <c r="L1439" i="11"/>
  <c r="M1439" i="11"/>
  <c r="N1439" i="11"/>
  <c r="O1439" i="11"/>
  <c r="P1439" i="11"/>
  <c r="L1553" i="11"/>
  <c r="M1553" i="11"/>
  <c r="N1553" i="11"/>
  <c r="O1553" i="11"/>
  <c r="P1553" i="11"/>
  <c r="L1665" i="11"/>
  <c r="M1665" i="11"/>
  <c r="N1665" i="11"/>
  <c r="O1665" i="11"/>
  <c r="P1665" i="11"/>
  <c r="L1781" i="11"/>
  <c r="M1781" i="11"/>
  <c r="N1781" i="11"/>
  <c r="O1781" i="11"/>
  <c r="P1781" i="11"/>
  <c r="L1892" i="11"/>
  <c r="M1892" i="11"/>
  <c r="N1892" i="11"/>
  <c r="O1892" i="11"/>
  <c r="P1892" i="11"/>
  <c r="L2009" i="11"/>
  <c r="M2009" i="11"/>
  <c r="N2009" i="11"/>
  <c r="O2009" i="11"/>
  <c r="P2009" i="11"/>
  <c r="L2125" i="11"/>
  <c r="M2125" i="11"/>
  <c r="N2125" i="11"/>
  <c r="O2125" i="11"/>
  <c r="P2125" i="11"/>
  <c r="L2238" i="11"/>
  <c r="M2238" i="11"/>
  <c r="N2238" i="11"/>
  <c r="O2238" i="11"/>
  <c r="P2238" i="11"/>
  <c r="L2353" i="11"/>
  <c r="M2353" i="11"/>
  <c r="N2353" i="11"/>
  <c r="O2353" i="11"/>
  <c r="P2353" i="11"/>
  <c r="L2466" i="11"/>
  <c r="M2466" i="11"/>
  <c r="N2466" i="11"/>
  <c r="O2466" i="11"/>
  <c r="P2466" i="11"/>
  <c r="L2581" i="11"/>
  <c r="M2581" i="11"/>
  <c r="N2581" i="11"/>
  <c r="O2581" i="11"/>
  <c r="P2581" i="11"/>
  <c r="L2696" i="11"/>
  <c r="M2696" i="11"/>
  <c r="N2696" i="11"/>
  <c r="O2696" i="11"/>
  <c r="P2696" i="11"/>
  <c r="L2810" i="11"/>
  <c r="M2810" i="11"/>
  <c r="N2810" i="11"/>
  <c r="O2810" i="11"/>
  <c r="P2810" i="11"/>
  <c r="L2924" i="11"/>
  <c r="M2924" i="11"/>
  <c r="N2924" i="11"/>
  <c r="O2924" i="11"/>
  <c r="P2924" i="11"/>
  <c r="L3039" i="11"/>
  <c r="M3039" i="11"/>
  <c r="N3039" i="11"/>
  <c r="O3039" i="11"/>
  <c r="P3039" i="11"/>
  <c r="J41" i="15"/>
  <c r="J23" i="15"/>
  <c r="J19" i="15"/>
  <c r="J29" i="15"/>
  <c r="O2551" i="11"/>
  <c r="N2551" i="11"/>
  <c r="M2551" i="11"/>
  <c r="L2551" i="11"/>
  <c r="O2542" i="11"/>
  <c r="N2542" i="11"/>
  <c r="M2542" i="11"/>
  <c r="L2542" i="11"/>
  <c r="O2478" i="11"/>
  <c r="N2478" i="11"/>
  <c r="M2478" i="11"/>
  <c r="L2478" i="11"/>
  <c r="O2477" i="11"/>
  <c r="N2477" i="11"/>
  <c r="M2477" i="11"/>
  <c r="L2477" i="11"/>
  <c r="O2476" i="11"/>
  <c r="N2476" i="11"/>
  <c r="M2476" i="11"/>
  <c r="L2476" i="11"/>
  <c r="O2479" i="11"/>
  <c r="N2479" i="11"/>
  <c r="M2479" i="11"/>
  <c r="L2479" i="11"/>
  <c r="O2475" i="11"/>
  <c r="N2475" i="11"/>
  <c r="M2475" i="11"/>
  <c r="L2475" i="11"/>
  <c r="O2550" i="11"/>
  <c r="N2550" i="11"/>
  <c r="M2550" i="11"/>
  <c r="L2550" i="11"/>
  <c r="O2474" i="11"/>
  <c r="N2474" i="11"/>
  <c r="M2474" i="11"/>
  <c r="L2474" i="11"/>
  <c r="O2473" i="11"/>
  <c r="N2473" i="11"/>
  <c r="M2473" i="11"/>
  <c r="L2473" i="11"/>
  <c r="O2472" i="11"/>
  <c r="N2472" i="11"/>
  <c r="M2472" i="11"/>
  <c r="L2472" i="11"/>
  <c r="O2471" i="11"/>
  <c r="N2471" i="11"/>
  <c r="M2471" i="11"/>
  <c r="L2471" i="11"/>
  <c r="O2470" i="11"/>
  <c r="N2470" i="11"/>
  <c r="M2470" i="11"/>
  <c r="L2470" i="11"/>
  <c r="O3215" i="11"/>
  <c r="N3215" i="11"/>
  <c r="M3215" i="11"/>
  <c r="L3215" i="11"/>
  <c r="O2467" i="11"/>
  <c r="N2467" i="11"/>
  <c r="M2467" i="11"/>
  <c r="L2467" i="11"/>
  <c r="O2465" i="11"/>
  <c r="N2465" i="11"/>
  <c r="M2465" i="11"/>
  <c r="L2465" i="11"/>
  <c r="O2552" i="11"/>
  <c r="N2552" i="11"/>
  <c r="M2552" i="11"/>
  <c r="L2552" i="11"/>
  <c r="O2464" i="11"/>
  <c r="N2464" i="11"/>
  <c r="M2464" i="11"/>
  <c r="L2464" i="11"/>
  <c r="O2462" i="11"/>
  <c r="N2462" i="11"/>
  <c r="M2462" i="11"/>
  <c r="L2462" i="11"/>
  <c r="O3214" i="11"/>
  <c r="N3214" i="11"/>
  <c r="M3214" i="11"/>
  <c r="L3214" i="11"/>
  <c r="O2461" i="11"/>
  <c r="N2461" i="11"/>
  <c r="M2461" i="11"/>
  <c r="L2461" i="11"/>
  <c r="O2460" i="11"/>
  <c r="N2460" i="11"/>
  <c r="M2460" i="11"/>
  <c r="L2460" i="11"/>
  <c r="O2459" i="11"/>
  <c r="N2459" i="11"/>
  <c r="M2459" i="11"/>
  <c r="L2459" i="11"/>
  <c r="O2521" i="11"/>
  <c r="N2521" i="11"/>
  <c r="M2521" i="11"/>
  <c r="L2521" i="11"/>
  <c r="O2458" i="11"/>
  <c r="N2458" i="11"/>
  <c r="M2458" i="11"/>
  <c r="L2458" i="11"/>
  <c r="O2457" i="11"/>
  <c r="N2457" i="11"/>
  <c r="M2457" i="11"/>
  <c r="L2457" i="11"/>
  <c r="O2515" i="11"/>
  <c r="N2515" i="11"/>
  <c r="M2515" i="11"/>
  <c r="L2515" i="11"/>
  <c r="O2455" i="11"/>
  <c r="N2455" i="11"/>
  <c r="M2455" i="11"/>
  <c r="L2455" i="11"/>
  <c r="O2454" i="11"/>
  <c r="N2454" i="11"/>
  <c r="M2454" i="11"/>
  <c r="L2454" i="11"/>
  <c r="O2453" i="11"/>
  <c r="N2453" i="11"/>
  <c r="M2453" i="11"/>
  <c r="L2453" i="11"/>
  <c r="O2452" i="11"/>
  <c r="N2452" i="11"/>
  <c r="M2452" i="11"/>
  <c r="L2452" i="11"/>
  <c r="O2451" i="11"/>
  <c r="N2451" i="11"/>
  <c r="M2451" i="11"/>
  <c r="L2451" i="11"/>
  <c r="O2450" i="11"/>
  <c r="N2450" i="11"/>
  <c r="M2450" i="11"/>
  <c r="L2450" i="11"/>
  <c r="O2449" i="11"/>
  <c r="N2449" i="11"/>
  <c r="M2449" i="11"/>
  <c r="L2449" i="11"/>
  <c r="O2448" i="11"/>
  <c r="N2448" i="11"/>
  <c r="M2448" i="11"/>
  <c r="L2448" i="11"/>
  <c r="O3212" i="11"/>
  <c r="N3212" i="11"/>
  <c r="M3212" i="11"/>
  <c r="L3212" i="11"/>
  <c r="O2446" i="11"/>
  <c r="N2446" i="11"/>
  <c r="M2446" i="11"/>
  <c r="L2446" i="11"/>
  <c r="O2445" i="11"/>
  <c r="N2445" i="11"/>
  <c r="M2445" i="11"/>
  <c r="L2445" i="11"/>
  <c r="O2444" i="11"/>
  <c r="N2444" i="11"/>
  <c r="M2444" i="11"/>
  <c r="L2444" i="11"/>
  <c r="O2443" i="11"/>
  <c r="N2443" i="11"/>
  <c r="M2443" i="11"/>
  <c r="L2443" i="11"/>
  <c r="O2442" i="11"/>
  <c r="N2442" i="11"/>
  <c r="M2442" i="11"/>
  <c r="L2442" i="11"/>
  <c r="O2441" i="11"/>
  <c r="N2441" i="11"/>
  <c r="M2441" i="11"/>
  <c r="L2441" i="11"/>
  <c r="O2440" i="11"/>
  <c r="N2440" i="11"/>
  <c r="M2440" i="11"/>
  <c r="L2440" i="11"/>
  <c r="O2439" i="11"/>
  <c r="N2439" i="11"/>
  <c r="M2439" i="11"/>
  <c r="L2439" i="11"/>
  <c r="L2482" i="11"/>
  <c r="M2482" i="11"/>
  <c r="N2482" i="11"/>
  <c r="O2482" i="11"/>
  <c r="P2482" i="11"/>
  <c r="L2483" i="11"/>
  <c r="M2483" i="11"/>
  <c r="N2483" i="11"/>
  <c r="O2483" i="11"/>
  <c r="P2483" i="11"/>
  <c r="L2484" i="11"/>
  <c r="M2484" i="11"/>
  <c r="N2484" i="11"/>
  <c r="O2484" i="11"/>
  <c r="P2484" i="11"/>
  <c r="L2485" i="11"/>
  <c r="M2485" i="11"/>
  <c r="N2485" i="11"/>
  <c r="O2485" i="11"/>
  <c r="P2485" i="11"/>
  <c r="L2486" i="11"/>
  <c r="M2486" i="11"/>
  <c r="N2486" i="11"/>
  <c r="O2486" i="11"/>
  <c r="P2486" i="11"/>
  <c r="L3216" i="11"/>
  <c r="M3216" i="11"/>
  <c r="N3216" i="11"/>
  <c r="O3216" i="11"/>
  <c r="P3216" i="11"/>
  <c r="L2489" i="11"/>
  <c r="M2489" i="11"/>
  <c r="N2489" i="11"/>
  <c r="O2489" i="11"/>
  <c r="P2489" i="11"/>
  <c r="L2490" i="11"/>
  <c r="M2490" i="11"/>
  <c r="N2490" i="11"/>
  <c r="O2490" i="11"/>
  <c r="P2490" i="11"/>
  <c r="L2491" i="11"/>
  <c r="M2491" i="11"/>
  <c r="N2491" i="11"/>
  <c r="O2491" i="11"/>
  <c r="P2491" i="11"/>
  <c r="L2492" i="11"/>
  <c r="M2492" i="11"/>
  <c r="N2492" i="11"/>
  <c r="O2492" i="11"/>
  <c r="P2492" i="11"/>
  <c r="L2493" i="11"/>
  <c r="M2493" i="11"/>
  <c r="N2493" i="11"/>
  <c r="O2493" i="11"/>
  <c r="P2493" i="11"/>
  <c r="L2494" i="11"/>
  <c r="M2494" i="11"/>
  <c r="N2494" i="11"/>
  <c r="O2494" i="11"/>
  <c r="P2494" i="11"/>
  <c r="L2495" i="11"/>
  <c r="M2495" i="11"/>
  <c r="N2495" i="11"/>
  <c r="O2495" i="11"/>
  <c r="P2495" i="11"/>
  <c r="L2496" i="11"/>
  <c r="M2496" i="11"/>
  <c r="N2496" i="11"/>
  <c r="O2496" i="11"/>
  <c r="P2496" i="11"/>
  <c r="L2456" i="11"/>
  <c r="M2456" i="11"/>
  <c r="N2456" i="11"/>
  <c r="O2456" i="11"/>
  <c r="P2456" i="11"/>
  <c r="L2497" i="11"/>
  <c r="M2497" i="11"/>
  <c r="N2497" i="11"/>
  <c r="O2497" i="11"/>
  <c r="P2497" i="11"/>
  <c r="L2498" i="11"/>
  <c r="M2498" i="11"/>
  <c r="N2498" i="11"/>
  <c r="O2498" i="11"/>
  <c r="P2498" i="11"/>
  <c r="L2499" i="11"/>
  <c r="M2499" i="11"/>
  <c r="N2499" i="11"/>
  <c r="O2499" i="11"/>
  <c r="P2499" i="11"/>
  <c r="L2500" i="11"/>
  <c r="M2500" i="11"/>
  <c r="N2500" i="11"/>
  <c r="O2500" i="11"/>
  <c r="P2500" i="11"/>
  <c r="L2501" i="11"/>
  <c r="M2501" i="11"/>
  <c r="N2501" i="11"/>
  <c r="O2501" i="11"/>
  <c r="P2501" i="11"/>
  <c r="L2502" i="11"/>
  <c r="M2502" i="11"/>
  <c r="N2502" i="11"/>
  <c r="O2502" i="11"/>
  <c r="P2502" i="11"/>
  <c r="L2503" i="11"/>
  <c r="M2503" i="11"/>
  <c r="N2503" i="11"/>
  <c r="O2503" i="11"/>
  <c r="P2503" i="11"/>
  <c r="L2488" i="11"/>
  <c r="M2488" i="11"/>
  <c r="N2488" i="11"/>
  <c r="O2488" i="11"/>
  <c r="P2488" i="11"/>
  <c r="L2504" i="11"/>
  <c r="M2504" i="11"/>
  <c r="N2504" i="11"/>
  <c r="O2504" i="11"/>
  <c r="P2504" i="11"/>
  <c r="L2505" i="11"/>
  <c r="M2505" i="11"/>
  <c r="N2505" i="11"/>
  <c r="O2505" i="11"/>
  <c r="P2505" i="11"/>
  <c r="L2506" i="11"/>
  <c r="M2506" i="11"/>
  <c r="N2506" i="11"/>
  <c r="O2506" i="11"/>
  <c r="P2506" i="11"/>
  <c r="L2438" i="11"/>
  <c r="M2438" i="11"/>
  <c r="N2438" i="11"/>
  <c r="O2438" i="11"/>
  <c r="P2438" i="11"/>
  <c r="L2507" i="11"/>
  <c r="M2507" i="11"/>
  <c r="N2507" i="11"/>
  <c r="O2507" i="11"/>
  <c r="P2507" i="11"/>
  <c r="L2508" i="11"/>
  <c r="M2508" i="11"/>
  <c r="N2508" i="11"/>
  <c r="O2508" i="11"/>
  <c r="P2508" i="11"/>
  <c r="L2509" i="11"/>
  <c r="M2509" i="11"/>
  <c r="N2509" i="11"/>
  <c r="O2509" i="11"/>
  <c r="P2509" i="11"/>
  <c r="L2510" i="11"/>
  <c r="M2510" i="11"/>
  <c r="N2510" i="11"/>
  <c r="O2510" i="11"/>
  <c r="P2510" i="11"/>
  <c r="L2511" i="11"/>
  <c r="M2511" i="11"/>
  <c r="N2511" i="11"/>
  <c r="O2511" i="11"/>
  <c r="P2511" i="11"/>
  <c r="L2546" i="11"/>
  <c r="M2546" i="11"/>
  <c r="N2546" i="11"/>
  <c r="O2546" i="11"/>
  <c r="P2546" i="11"/>
  <c r="L2512" i="11"/>
  <c r="M2512" i="11"/>
  <c r="N2512" i="11"/>
  <c r="O2512" i="11"/>
  <c r="P2512" i="11"/>
  <c r="L2514" i="11"/>
  <c r="M2514" i="11"/>
  <c r="N2514" i="11"/>
  <c r="O2514" i="11"/>
  <c r="P2514" i="11"/>
  <c r="L2447" i="11"/>
  <c r="M2447" i="11"/>
  <c r="N2447" i="11"/>
  <c r="O2447" i="11"/>
  <c r="P2447" i="11"/>
  <c r="L2516" i="11"/>
  <c r="M2516" i="11"/>
  <c r="N2516" i="11"/>
  <c r="O2516" i="11"/>
  <c r="P2516" i="11"/>
  <c r="L2517" i="11"/>
  <c r="M2517" i="11"/>
  <c r="N2517" i="11"/>
  <c r="O2517" i="11"/>
  <c r="P2517" i="11"/>
  <c r="L2518" i="11"/>
  <c r="M2518" i="11"/>
  <c r="N2518" i="11"/>
  <c r="O2518" i="11"/>
  <c r="P2518" i="11"/>
  <c r="L2519" i="11"/>
  <c r="M2519" i="11"/>
  <c r="N2519" i="11"/>
  <c r="O2519" i="11"/>
  <c r="P2519" i="11"/>
  <c r="L2520" i="11"/>
  <c r="M2520" i="11"/>
  <c r="N2520" i="11"/>
  <c r="O2520" i="11"/>
  <c r="P2520" i="11"/>
  <c r="L2522" i="11"/>
  <c r="M2522" i="11"/>
  <c r="N2522" i="11"/>
  <c r="O2522" i="11"/>
  <c r="P2522" i="11"/>
  <c r="L2524" i="11"/>
  <c r="M2524" i="11"/>
  <c r="N2524" i="11"/>
  <c r="O2524" i="11"/>
  <c r="P2524" i="11"/>
  <c r="L2480" i="11"/>
  <c r="M2480" i="11"/>
  <c r="N2480" i="11"/>
  <c r="O2480" i="11"/>
  <c r="P2480" i="11"/>
  <c r="L2525" i="11"/>
  <c r="M2525" i="11"/>
  <c r="N2525" i="11"/>
  <c r="O2525" i="11"/>
  <c r="P2525" i="11"/>
  <c r="L2526" i="11"/>
  <c r="M2526" i="11"/>
  <c r="N2526" i="11"/>
  <c r="O2526" i="11"/>
  <c r="P2526" i="11"/>
  <c r="L2527" i="11"/>
  <c r="M2527" i="11"/>
  <c r="N2527" i="11"/>
  <c r="O2527" i="11"/>
  <c r="P2527" i="11"/>
  <c r="L2528" i="11"/>
  <c r="M2528" i="11"/>
  <c r="N2528" i="11"/>
  <c r="O2528" i="11"/>
  <c r="P2528" i="11"/>
  <c r="L2529" i="11"/>
  <c r="M2529" i="11"/>
  <c r="N2529" i="11"/>
  <c r="O2529" i="11"/>
  <c r="P2529" i="11"/>
  <c r="L2463" i="11"/>
  <c r="M2463" i="11"/>
  <c r="N2463" i="11"/>
  <c r="O2463" i="11"/>
  <c r="P2463" i="11"/>
  <c r="L2530" i="11"/>
  <c r="M2530" i="11"/>
  <c r="N2530" i="11"/>
  <c r="O2530" i="11"/>
  <c r="P2530" i="11"/>
  <c r="L2469" i="11"/>
  <c r="M2469" i="11"/>
  <c r="N2469" i="11"/>
  <c r="O2469" i="11"/>
  <c r="P2469" i="11"/>
  <c r="L2531" i="11"/>
  <c r="M2531" i="11"/>
  <c r="N2531" i="11"/>
  <c r="O2531" i="11"/>
  <c r="P2531" i="11"/>
  <c r="L2532" i="11"/>
  <c r="M2532" i="11"/>
  <c r="N2532" i="11"/>
  <c r="O2532" i="11"/>
  <c r="P2532" i="11"/>
  <c r="L2533" i="11"/>
  <c r="M2533" i="11"/>
  <c r="N2533" i="11"/>
  <c r="O2533" i="11"/>
  <c r="P2533" i="11"/>
  <c r="L2534" i="11"/>
  <c r="M2534" i="11"/>
  <c r="N2534" i="11"/>
  <c r="O2534" i="11"/>
  <c r="P2534" i="11"/>
  <c r="L2535" i="11"/>
  <c r="M2535" i="11"/>
  <c r="N2535" i="11"/>
  <c r="O2535" i="11"/>
  <c r="P2535" i="11"/>
  <c r="L2536" i="11"/>
  <c r="M2536" i="11"/>
  <c r="N2536" i="11"/>
  <c r="O2536" i="11"/>
  <c r="P2536" i="11"/>
  <c r="L2537" i="11"/>
  <c r="M2537" i="11"/>
  <c r="N2537" i="11"/>
  <c r="O2537" i="11"/>
  <c r="P2537" i="11"/>
  <c r="L2538" i="11"/>
  <c r="M2538" i="11"/>
  <c r="N2538" i="11"/>
  <c r="O2538" i="11"/>
  <c r="P2538" i="11"/>
  <c r="L2539" i="11"/>
  <c r="M2539" i="11"/>
  <c r="N2539" i="11"/>
  <c r="O2539" i="11"/>
  <c r="P2539" i="11"/>
  <c r="L2540" i="11"/>
  <c r="M2540" i="11"/>
  <c r="N2540" i="11"/>
  <c r="O2540" i="11"/>
  <c r="P2540" i="11"/>
  <c r="L2487" i="11"/>
  <c r="M2487" i="11"/>
  <c r="N2487" i="11"/>
  <c r="O2487" i="11"/>
  <c r="P2487" i="11"/>
  <c r="L2541" i="11"/>
  <c r="M2541" i="11"/>
  <c r="N2541" i="11"/>
  <c r="O2541" i="11"/>
  <c r="P2541" i="11"/>
  <c r="L2523" i="11"/>
  <c r="M2523" i="11"/>
  <c r="N2523" i="11"/>
  <c r="O2523" i="11"/>
  <c r="P2523" i="11"/>
  <c r="L2543" i="11"/>
  <c r="M2543" i="11"/>
  <c r="N2543" i="11"/>
  <c r="O2543" i="11"/>
  <c r="P2543" i="11"/>
  <c r="L2544" i="11"/>
  <c r="M2544" i="11"/>
  <c r="N2544" i="11"/>
  <c r="O2544" i="11"/>
  <c r="P2544" i="11"/>
  <c r="L2545" i="11"/>
  <c r="M2545" i="11"/>
  <c r="N2545" i="11"/>
  <c r="O2545" i="11"/>
  <c r="P2545" i="11"/>
  <c r="L2547" i="11"/>
  <c r="M2547" i="11"/>
  <c r="N2547" i="11"/>
  <c r="O2547" i="11"/>
  <c r="P2547" i="11"/>
  <c r="L2548" i="11"/>
  <c r="M2548" i="11"/>
  <c r="N2548" i="11"/>
  <c r="O2548" i="11"/>
  <c r="P2548" i="11"/>
  <c r="L2553" i="11"/>
  <c r="M2553" i="11"/>
  <c r="N2553" i="11"/>
  <c r="O2553" i="11"/>
  <c r="P2553" i="11"/>
  <c r="L2549" i="11"/>
  <c r="M2549" i="11"/>
  <c r="N2549" i="11"/>
  <c r="O2549" i="11"/>
  <c r="P2549" i="11"/>
  <c r="O2481" i="11"/>
  <c r="N2481" i="11"/>
  <c r="M2481" i="11"/>
  <c r="L2481" i="11"/>
  <c r="P2369" i="11"/>
  <c r="P2370" i="11"/>
  <c r="P2371" i="11"/>
  <c r="P2373" i="11"/>
  <c r="P2374" i="11"/>
  <c r="P3211" i="11"/>
  <c r="P2375" i="11"/>
  <c r="P2376" i="11"/>
  <c r="P2377" i="11"/>
  <c r="P2379" i="11"/>
  <c r="P2381" i="11"/>
  <c r="P2382" i="11"/>
  <c r="P2383" i="11"/>
  <c r="P2372" i="11"/>
  <c r="P2384" i="11"/>
  <c r="P2385" i="11"/>
  <c r="P2386" i="11"/>
  <c r="P2387" i="11"/>
  <c r="P2388" i="11"/>
  <c r="P2324" i="11"/>
  <c r="P2390" i="11"/>
  <c r="P2391" i="11"/>
  <c r="P2392" i="11"/>
  <c r="P2393" i="11"/>
  <c r="P2378" i="11"/>
  <c r="P2394" i="11"/>
  <c r="P2395" i="11"/>
  <c r="P2396" i="11"/>
  <c r="P2397" i="11"/>
  <c r="P2349" i="11"/>
  <c r="P2398" i="11"/>
  <c r="P2399" i="11"/>
  <c r="P2400" i="11"/>
  <c r="P2401" i="11"/>
  <c r="P2403" i="11"/>
  <c r="P2331" i="11"/>
  <c r="P2404" i="11"/>
  <c r="P2405" i="11"/>
  <c r="P2406" i="11"/>
  <c r="P2407" i="11"/>
  <c r="P2408" i="11"/>
  <c r="P2409" i="11"/>
  <c r="P2410" i="11"/>
  <c r="P2411" i="11"/>
  <c r="P2413" i="11"/>
  <c r="P2414" i="11"/>
  <c r="P2415" i="11"/>
  <c r="P2416" i="11"/>
  <c r="P2417" i="11"/>
  <c r="P2418" i="11"/>
  <c r="P2412" i="11"/>
  <c r="P2356" i="11"/>
  <c r="P2419" i="11"/>
  <c r="P2420" i="11"/>
  <c r="P2421" i="11"/>
  <c r="P2422" i="11"/>
  <c r="P2423" i="11"/>
  <c r="P2424" i="11"/>
  <c r="P2425" i="11"/>
  <c r="P2426" i="11"/>
  <c r="P2427" i="11"/>
  <c r="P2428" i="11"/>
  <c r="P2380" i="11"/>
  <c r="P2429" i="11"/>
  <c r="P2430" i="11"/>
  <c r="P2431" i="11"/>
  <c r="P2432" i="11"/>
  <c r="P2433" i="11"/>
  <c r="P2435" i="11"/>
  <c r="P2436" i="11"/>
  <c r="P2437" i="11"/>
  <c r="P2368" i="11"/>
  <c r="P2439" i="11"/>
  <c r="P2440" i="11"/>
  <c r="P2441" i="11"/>
  <c r="P2442" i="11"/>
  <c r="P2443" i="11"/>
  <c r="P2444" i="11"/>
  <c r="P2445" i="11"/>
  <c r="P2446" i="11"/>
  <c r="P3212" i="11"/>
  <c r="P2448" i="11"/>
  <c r="P2449" i="11"/>
  <c r="P2450" i="11"/>
  <c r="P2451" i="11"/>
  <c r="P2452" i="11"/>
  <c r="P2453" i="11"/>
  <c r="P2454" i="11"/>
  <c r="P2455" i="11"/>
  <c r="P2515" i="11"/>
  <c r="P2457" i="11"/>
  <c r="P2458" i="11"/>
  <c r="P2521" i="11"/>
  <c r="P2459" i="11"/>
  <c r="P2460" i="11"/>
  <c r="P2461" i="11"/>
  <c r="P3214" i="11"/>
  <c r="P2462" i="11"/>
  <c r="P2464" i="11"/>
  <c r="P2552" i="11"/>
  <c r="P2465" i="11"/>
  <c r="P2467" i="11"/>
  <c r="P3215" i="11"/>
  <c r="P2470" i="11"/>
  <c r="P2471" i="11"/>
  <c r="P2472" i="11"/>
  <c r="P2473" i="11"/>
  <c r="P2474" i="11"/>
  <c r="P2550" i="11"/>
  <c r="P2475" i="11"/>
  <c r="P2479" i="11"/>
  <c r="P2476" i="11"/>
  <c r="P2477" i="11"/>
  <c r="P2478" i="11"/>
  <c r="P2542" i="11"/>
  <c r="P2551" i="11"/>
  <c r="P2481" i="11"/>
  <c r="L2367" i="11"/>
  <c r="M2367" i="11"/>
  <c r="N2367" i="11"/>
  <c r="O2367" i="11"/>
  <c r="P2367" i="11"/>
  <c r="A2549" i="11"/>
  <c r="A2553" i="11"/>
  <c r="A2548" i="11"/>
  <c r="A2547" i="11"/>
  <c r="A2545" i="11"/>
  <c r="A2544" i="11"/>
  <c r="A2543" i="11"/>
  <c r="A2523" i="11"/>
  <c r="A2541" i="11"/>
  <c r="A2487" i="11"/>
  <c r="A2540" i="11"/>
  <c r="A2539" i="11"/>
  <c r="A2538" i="11"/>
  <c r="A2537" i="11"/>
  <c r="A2536" i="11"/>
  <c r="A2535" i="11"/>
  <c r="A2534" i="11"/>
  <c r="A2533" i="11"/>
  <c r="A2532" i="11"/>
  <c r="A2531" i="11"/>
  <c r="A2469" i="11"/>
  <c r="A2530" i="11"/>
  <c r="A2463" i="11"/>
  <c r="A2529" i="11"/>
  <c r="A2528" i="11"/>
  <c r="A2527" i="11"/>
  <c r="A2526" i="11"/>
  <c r="A2525" i="11"/>
  <c r="A2480" i="11"/>
  <c r="A2524" i="11"/>
  <c r="A2522" i="11"/>
  <c r="A2520" i="11"/>
  <c r="A2519" i="11"/>
  <c r="A2518" i="11"/>
  <c r="A2517" i="11"/>
  <c r="A2516" i="11"/>
  <c r="A2447" i="11"/>
  <c r="A2514" i="11"/>
  <c r="A2512" i="11"/>
  <c r="A2546" i="11"/>
  <c r="A2511" i="11"/>
  <c r="A2510" i="11"/>
  <c r="A2509" i="11"/>
  <c r="A2508" i="11"/>
  <c r="A2507" i="11"/>
  <c r="A2438" i="11"/>
  <c r="A2506" i="11"/>
  <c r="A2505" i="11"/>
  <c r="A2504" i="11"/>
  <c r="A2488" i="11"/>
  <c r="A2503" i="11"/>
  <c r="A2502" i="11"/>
  <c r="A2501" i="11"/>
  <c r="A2500" i="11"/>
  <c r="A2499" i="11"/>
  <c r="A2498" i="11"/>
  <c r="A2497" i="11"/>
  <c r="A2456" i="11"/>
  <c r="A2496" i="11"/>
  <c r="A2495" i="11"/>
  <c r="A2494" i="11"/>
  <c r="A2493" i="11"/>
  <c r="A2492" i="11"/>
  <c r="A2491" i="11"/>
  <c r="A2490" i="11"/>
  <c r="A2489" i="11"/>
  <c r="A2486" i="11"/>
  <c r="A2485" i="11"/>
  <c r="A2484" i="11"/>
  <c r="A2483" i="11"/>
  <c r="A2482" i="11"/>
  <c r="A2481" i="11"/>
  <c r="A2551" i="11"/>
  <c r="A2542" i="11"/>
  <c r="A2478" i="11"/>
  <c r="A2477" i="11"/>
  <c r="A2476" i="11"/>
  <c r="A2479" i="11"/>
  <c r="A2475" i="11"/>
  <c r="A2550" i="11"/>
  <c r="A2474" i="11"/>
  <c r="A2473" i="11"/>
  <c r="A2472" i="11"/>
  <c r="A2471" i="11"/>
  <c r="A2470" i="11"/>
  <c r="A2467" i="11"/>
  <c r="A2465" i="11"/>
  <c r="A2552" i="11"/>
  <c r="A2464" i="11"/>
  <c r="A2462" i="11"/>
  <c r="A2461" i="11"/>
  <c r="A2460" i="11"/>
  <c r="A2459" i="11"/>
  <c r="A2521" i="11"/>
  <c r="A2458" i="11"/>
  <c r="A2457" i="11"/>
  <c r="A2515" i="11"/>
  <c r="A2455" i="11"/>
  <c r="A2454" i="11"/>
  <c r="A2453" i="11"/>
  <c r="A2452" i="11"/>
  <c r="A2451" i="11"/>
  <c r="A2450" i="11"/>
  <c r="A2449" i="11"/>
  <c r="A2448" i="11"/>
  <c r="A2446" i="11"/>
  <c r="A2445" i="11"/>
  <c r="A2444" i="11"/>
  <c r="A2443" i="11"/>
  <c r="A2442" i="11"/>
  <c r="A2441" i="11"/>
  <c r="A2440" i="11"/>
  <c r="A2439" i="11"/>
  <c r="O2432" i="11"/>
  <c r="N2432" i="11"/>
  <c r="M2432" i="11"/>
  <c r="L2432" i="11"/>
  <c r="A2432" i="11"/>
  <c r="O2431" i="11"/>
  <c r="N2431" i="11"/>
  <c r="M2431" i="11"/>
  <c r="L2431" i="11"/>
  <c r="A2431" i="11"/>
  <c r="O2430" i="11"/>
  <c r="N2430" i="11"/>
  <c r="M2430" i="11"/>
  <c r="L2430" i="11"/>
  <c r="A2430" i="11"/>
  <c r="O2429" i="11"/>
  <c r="N2429" i="11"/>
  <c r="M2429" i="11"/>
  <c r="L2429" i="11"/>
  <c r="A2429" i="11"/>
  <c r="O2380" i="11"/>
  <c r="N2380" i="11"/>
  <c r="M2380" i="11"/>
  <c r="L2380" i="11"/>
  <c r="A2380" i="11"/>
  <c r="O2428" i="11"/>
  <c r="N2428" i="11"/>
  <c r="M2428" i="11"/>
  <c r="L2428" i="11"/>
  <c r="A2428" i="11"/>
  <c r="O2427" i="11"/>
  <c r="N2427" i="11"/>
  <c r="M2427" i="11"/>
  <c r="L2427" i="11"/>
  <c r="A2427" i="11"/>
  <c r="O2426" i="11"/>
  <c r="N2426" i="11"/>
  <c r="M2426" i="11"/>
  <c r="L2426" i="11"/>
  <c r="A2426" i="11"/>
  <c r="O2425" i="11"/>
  <c r="N2425" i="11"/>
  <c r="M2425" i="11"/>
  <c r="L2425" i="11"/>
  <c r="A2425" i="11"/>
  <c r="O2424" i="11"/>
  <c r="N2424" i="11"/>
  <c r="M2424" i="11"/>
  <c r="L2424" i="11"/>
  <c r="A2424" i="11"/>
  <c r="O2423" i="11"/>
  <c r="N2423" i="11"/>
  <c r="M2423" i="11"/>
  <c r="L2423" i="11"/>
  <c r="O2422" i="11"/>
  <c r="N2422" i="11"/>
  <c r="M2422" i="11"/>
  <c r="L2422" i="11"/>
  <c r="O2421" i="11"/>
  <c r="N2421" i="11"/>
  <c r="M2421" i="11"/>
  <c r="L2421" i="11"/>
  <c r="O2420" i="11"/>
  <c r="N2420" i="11"/>
  <c r="M2420" i="11"/>
  <c r="L2420" i="11"/>
  <c r="O2419" i="11"/>
  <c r="N2419" i="11"/>
  <c r="M2419" i="11"/>
  <c r="L2419" i="11"/>
  <c r="O2356" i="11"/>
  <c r="N2356" i="11"/>
  <c r="M2356" i="11"/>
  <c r="L2356" i="11"/>
  <c r="O2412" i="11"/>
  <c r="N2412" i="11"/>
  <c r="M2412" i="11"/>
  <c r="L2412" i="11"/>
  <c r="A2412" i="11"/>
  <c r="O2418" i="11"/>
  <c r="N2418" i="11"/>
  <c r="M2418" i="11"/>
  <c r="L2418" i="11"/>
  <c r="A2418" i="11"/>
  <c r="O2417" i="11"/>
  <c r="N2417" i="11"/>
  <c r="M2417" i="11"/>
  <c r="L2417" i="11"/>
  <c r="A2417" i="11"/>
  <c r="O2416" i="11"/>
  <c r="N2416" i="11"/>
  <c r="M2416" i="11"/>
  <c r="L2416" i="11"/>
  <c r="A2416" i="11"/>
  <c r="O2415" i="11"/>
  <c r="N2415" i="11"/>
  <c r="M2415" i="11"/>
  <c r="L2415" i="11"/>
  <c r="A2415" i="11"/>
  <c r="O2414" i="11"/>
  <c r="N2414" i="11"/>
  <c r="M2414" i="11"/>
  <c r="L2414" i="11"/>
  <c r="A2414" i="11"/>
  <c r="O2413" i="11"/>
  <c r="N2413" i="11"/>
  <c r="M2413" i="11"/>
  <c r="L2413" i="11"/>
  <c r="A2413" i="11"/>
  <c r="O2411" i="11"/>
  <c r="N2411" i="11"/>
  <c r="M2411" i="11"/>
  <c r="L2411" i="11"/>
  <c r="A2411" i="11"/>
  <c r="O2410" i="11"/>
  <c r="N2410" i="11"/>
  <c r="M2410" i="11"/>
  <c r="L2410" i="11"/>
  <c r="A2410" i="11"/>
  <c r="O2409" i="11"/>
  <c r="N2409" i="11"/>
  <c r="M2409" i="11"/>
  <c r="L2409" i="11"/>
  <c r="A2409" i="11"/>
  <c r="O2408" i="11"/>
  <c r="N2408" i="11"/>
  <c r="M2408" i="11"/>
  <c r="L2408" i="11"/>
  <c r="A2408" i="11"/>
  <c r="O2407" i="11"/>
  <c r="N2407" i="11"/>
  <c r="M2407" i="11"/>
  <c r="L2407" i="11"/>
  <c r="A2407" i="11"/>
  <c r="O2406" i="11"/>
  <c r="N2406" i="11"/>
  <c r="M2406" i="11"/>
  <c r="L2406" i="11"/>
  <c r="A2406" i="11"/>
  <c r="O2405" i="11"/>
  <c r="N2405" i="11"/>
  <c r="M2405" i="11"/>
  <c r="L2405" i="11"/>
  <c r="A2405" i="11"/>
  <c r="O2404" i="11"/>
  <c r="N2404" i="11"/>
  <c r="M2404" i="11"/>
  <c r="L2404" i="11"/>
  <c r="A2404" i="11"/>
  <c r="O2331" i="11"/>
  <c r="N2331" i="11"/>
  <c r="M2331" i="11"/>
  <c r="L2331" i="11"/>
  <c r="A2331" i="11"/>
  <c r="O2403" i="11"/>
  <c r="N2403" i="11"/>
  <c r="M2403" i="11"/>
  <c r="L2403" i="11"/>
  <c r="A2403" i="11"/>
  <c r="O2401" i="11"/>
  <c r="N2401" i="11"/>
  <c r="M2401" i="11"/>
  <c r="L2401" i="11"/>
  <c r="A2401" i="11"/>
  <c r="O2400" i="11"/>
  <c r="N2400" i="11"/>
  <c r="M2400" i="11"/>
  <c r="L2400" i="11"/>
  <c r="A2400" i="11"/>
  <c r="O2399" i="11"/>
  <c r="N2399" i="11"/>
  <c r="M2399" i="11"/>
  <c r="L2399" i="11"/>
  <c r="A2399" i="11"/>
  <c r="O2398" i="11"/>
  <c r="N2398" i="11"/>
  <c r="M2398" i="11"/>
  <c r="L2398" i="11"/>
  <c r="A2398" i="11"/>
  <c r="O2349" i="11"/>
  <c r="N2349" i="11"/>
  <c r="M2349" i="11"/>
  <c r="L2349" i="11"/>
  <c r="A2349" i="11"/>
  <c r="O2397" i="11"/>
  <c r="N2397" i="11"/>
  <c r="M2397" i="11"/>
  <c r="L2397" i="11"/>
  <c r="A2397" i="11"/>
  <c r="O2435" i="11"/>
  <c r="N2435" i="11"/>
  <c r="M2435" i="11"/>
  <c r="L2435" i="11"/>
  <c r="A2435" i="11"/>
  <c r="O2396" i="11"/>
  <c r="N2396" i="11"/>
  <c r="M2396" i="11"/>
  <c r="L2396" i="11"/>
  <c r="A2396" i="11"/>
  <c r="O2395" i="11"/>
  <c r="N2395" i="11"/>
  <c r="M2395" i="11"/>
  <c r="L2395" i="11"/>
  <c r="A2395" i="11"/>
  <c r="O2394" i="11"/>
  <c r="N2394" i="11"/>
  <c r="M2394" i="11"/>
  <c r="L2394" i="11"/>
  <c r="A2394" i="11"/>
  <c r="O2378" i="11"/>
  <c r="N2378" i="11"/>
  <c r="M2378" i="11"/>
  <c r="L2378" i="11"/>
  <c r="A2378" i="11"/>
  <c r="O2393" i="11"/>
  <c r="N2393" i="11"/>
  <c r="M2393" i="11"/>
  <c r="L2393" i="11"/>
  <c r="A2393" i="11"/>
  <c r="O2392" i="11"/>
  <c r="N2392" i="11"/>
  <c r="M2392" i="11"/>
  <c r="L2392" i="11"/>
  <c r="A2392" i="11"/>
  <c r="O2391" i="11"/>
  <c r="N2391" i="11"/>
  <c r="M2391" i="11"/>
  <c r="L2391" i="11"/>
  <c r="A2391" i="11"/>
  <c r="O2390" i="11"/>
  <c r="N2390" i="11"/>
  <c r="M2390" i="11"/>
  <c r="L2390" i="11"/>
  <c r="A2390" i="11"/>
  <c r="O2324" i="11"/>
  <c r="N2324" i="11"/>
  <c r="M2324" i="11"/>
  <c r="L2324" i="11"/>
  <c r="A2324" i="11"/>
  <c r="O2388" i="11"/>
  <c r="N2388" i="11"/>
  <c r="M2388" i="11"/>
  <c r="L2388" i="11"/>
  <c r="A2388" i="11"/>
  <c r="O2387" i="11"/>
  <c r="N2387" i="11"/>
  <c r="M2387" i="11"/>
  <c r="L2387" i="11"/>
  <c r="A2387" i="11"/>
  <c r="O2386" i="11"/>
  <c r="N2386" i="11"/>
  <c r="M2386" i="11"/>
  <c r="L2386" i="11"/>
  <c r="A2386" i="11"/>
  <c r="O2385" i="11"/>
  <c r="N2385" i="11"/>
  <c r="M2385" i="11"/>
  <c r="L2385" i="11"/>
  <c r="A2385" i="11"/>
  <c r="O2384" i="11"/>
  <c r="N2384" i="11"/>
  <c r="M2384" i="11"/>
  <c r="L2384" i="11"/>
  <c r="A2384" i="11"/>
  <c r="O2372" i="11"/>
  <c r="N2372" i="11"/>
  <c r="M2372" i="11"/>
  <c r="L2372" i="11"/>
  <c r="A2372" i="11"/>
  <c r="O2383" i="11"/>
  <c r="N2383" i="11"/>
  <c r="M2383" i="11"/>
  <c r="L2383" i="11"/>
  <c r="A2383" i="11"/>
  <c r="O2382" i="11"/>
  <c r="N2382" i="11"/>
  <c r="M2382" i="11"/>
  <c r="L2382" i="11"/>
  <c r="A2382" i="11"/>
  <c r="O2381" i="11"/>
  <c r="N2381" i="11"/>
  <c r="M2381" i="11"/>
  <c r="L2381" i="11"/>
  <c r="A2381" i="11"/>
  <c r="O2379" i="11"/>
  <c r="N2379" i="11"/>
  <c r="M2379" i="11"/>
  <c r="L2379" i="11"/>
  <c r="A2379" i="11"/>
  <c r="O2377" i="11"/>
  <c r="N2377" i="11"/>
  <c r="M2377" i="11"/>
  <c r="L2377" i="11"/>
  <c r="A2377" i="11"/>
  <c r="O2376" i="11"/>
  <c r="N2376" i="11"/>
  <c r="M2376" i="11"/>
  <c r="L2376" i="11"/>
  <c r="A2376" i="11"/>
  <c r="O2375" i="11"/>
  <c r="N2375" i="11"/>
  <c r="M2375" i="11"/>
  <c r="L2375" i="11"/>
  <c r="A2375" i="11"/>
  <c r="O3211" i="11"/>
  <c r="N3211" i="11"/>
  <c r="M3211" i="11"/>
  <c r="L3211" i="11"/>
  <c r="O2374" i="11"/>
  <c r="N2374" i="11"/>
  <c r="M2374" i="11"/>
  <c r="L2374" i="11"/>
  <c r="A2374" i="11"/>
  <c r="O2373" i="11"/>
  <c r="N2373" i="11"/>
  <c r="M2373" i="11"/>
  <c r="L2373" i="11"/>
  <c r="A2373" i="11"/>
  <c r="O2371" i="11"/>
  <c r="N2371" i="11"/>
  <c r="M2371" i="11"/>
  <c r="L2371" i="11"/>
  <c r="A2371" i="11"/>
  <c r="O2370" i="11"/>
  <c r="N2370" i="11"/>
  <c r="M2370" i="11"/>
  <c r="L2370" i="11"/>
  <c r="A2370" i="11"/>
  <c r="O2369" i="11"/>
  <c r="N2369" i="11"/>
  <c r="M2369" i="11"/>
  <c r="L2369" i="11"/>
  <c r="A2369" i="11"/>
  <c r="A2367" i="11"/>
  <c r="P2364" i="11"/>
  <c r="O2364" i="11"/>
  <c r="N2364" i="11"/>
  <c r="M2364" i="11"/>
  <c r="L2364" i="11"/>
  <c r="A2364" i="11"/>
  <c r="P2434" i="11"/>
  <c r="O2434" i="11"/>
  <c r="N2434" i="11"/>
  <c r="M2434" i="11"/>
  <c r="L2434" i="11"/>
  <c r="A2434" i="11"/>
  <c r="P2366" i="11"/>
  <c r="O2366" i="11"/>
  <c r="N2366" i="11"/>
  <c r="M2366" i="11"/>
  <c r="L2366" i="11"/>
  <c r="A2366" i="11"/>
  <c r="P2365" i="11"/>
  <c r="O2365" i="11"/>
  <c r="N2365" i="11"/>
  <c r="M2365" i="11"/>
  <c r="L2365" i="11"/>
  <c r="A2365" i="11"/>
  <c r="P2363" i="11"/>
  <c r="O2363" i="11"/>
  <c r="N2363" i="11"/>
  <c r="M2363" i="11"/>
  <c r="L2363" i="11"/>
  <c r="A2363" i="11"/>
  <c r="P2389" i="11"/>
  <c r="O2389" i="11"/>
  <c r="N2389" i="11"/>
  <c r="M2389" i="11"/>
  <c r="L2389" i="11"/>
  <c r="A2389" i="11"/>
  <c r="P2339" i="11"/>
  <c r="O2339" i="11"/>
  <c r="N2339" i="11"/>
  <c r="M2339" i="11"/>
  <c r="L2339" i="11"/>
  <c r="A2339" i="11"/>
  <c r="P2362" i="11"/>
  <c r="O2362" i="11"/>
  <c r="N2362" i="11"/>
  <c r="M2362" i="11"/>
  <c r="L2362" i="11"/>
  <c r="A2362" i="11"/>
  <c r="P2361" i="11"/>
  <c r="O2361" i="11"/>
  <c r="N2361" i="11"/>
  <c r="M2361" i="11"/>
  <c r="L2361" i="11"/>
  <c r="A2361" i="11"/>
  <c r="P2360" i="11"/>
  <c r="O2360" i="11"/>
  <c r="N2360" i="11"/>
  <c r="M2360" i="11"/>
  <c r="L2360" i="11"/>
  <c r="A2360" i="11"/>
  <c r="P2359" i="11"/>
  <c r="O2359" i="11"/>
  <c r="N2359" i="11"/>
  <c r="M2359" i="11"/>
  <c r="L2359" i="11"/>
  <c r="A2359" i="11"/>
  <c r="P2358" i="11"/>
  <c r="O2358" i="11"/>
  <c r="N2358" i="11"/>
  <c r="M2358" i="11"/>
  <c r="L2358" i="11"/>
  <c r="A2358" i="11"/>
  <c r="P2573" i="11"/>
  <c r="O2573" i="11"/>
  <c r="N2573" i="11"/>
  <c r="M2573" i="11"/>
  <c r="L2573" i="11"/>
  <c r="P2357" i="11"/>
  <c r="O2357" i="11"/>
  <c r="N2357" i="11"/>
  <c r="M2357" i="11"/>
  <c r="L2357" i="11"/>
  <c r="A2357" i="11"/>
  <c r="P3209" i="11"/>
  <c r="O3209" i="11"/>
  <c r="N3209" i="11"/>
  <c r="M3209" i="11"/>
  <c r="L3209" i="11"/>
  <c r="P2354" i="11"/>
  <c r="O2354" i="11"/>
  <c r="N2354" i="11"/>
  <c r="M2354" i="11"/>
  <c r="L2354" i="11"/>
  <c r="A2354" i="11"/>
  <c r="P2352" i="11"/>
  <c r="O2352" i="11"/>
  <c r="N2352" i="11"/>
  <c r="M2352" i="11"/>
  <c r="L2352" i="11"/>
  <c r="A2352" i="11"/>
  <c r="P2351" i="11"/>
  <c r="O2351" i="11"/>
  <c r="N2351" i="11"/>
  <c r="M2351" i="11"/>
  <c r="L2351" i="11"/>
  <c r="A2351" i="11"/>
  <c r="P2350" i="11"/>
  <c r="O2350" i="11"/>
  <c r="N2350" i="11"/>
  <c r="M2350" i="11"/>
  <c r="L2350" i="11"/>
  <c r="A2350" i="11"/>
  <c r="P2348" i="11"/>
  <c r="O2348" i="11"/>
  <c r="N2348" i="11"/>
  <c r="M2348" i="11"/>
  <c r="L2348" i="11"/>
  <c r="A2348" i="11"/>
  <c r="P3208" i="11"/>
  <c r="O3208" i="11"/>
  <c r="N3208" i="11"/>
  <c r="M3208" i="11"/>
  <c r="L3208" i="11"/>
  <c r="P2347" i="11"/>
  <c r="O2347" i="11"/>
  <c r="N2347" i="11"/>
  <c r="M2347" i="11"/>
  <c r="L2347" i="11"/>
  <c r="A2347" i="11"/>
  <c r="P2346" i="11"/>
  <c r="O2346" i="11"/>
  <c r="N2346" i="11"/>
  <c r="M2346" i="11"/>
  <c r="L2346" i="11"/>
  <c r="A2346" i="11"/>
  <c r="P2345" i="11"/>
  <c r="O2345" i="11"/>
  <c r="N2345" i="11"/>
  <c r="M2345" i="11"/>
  <c r="L2345" i="11"/>
  <c r="A2345" i="11"/>
  <c r="P2344" i="11"/>
  <c r="O2344" i="11"/>
  <c r="N2344" i="11"/>
  <c r="M2344" i="11"/>
  <c r="L2344" i="11"/>
  <c r="A2344" i="11"/>
  <c r="P2343" i="11"/>
  <c r="O2343" i="11"/>
  <c r="N2343" i="11"/>
  <c r="M2343" i="11"/>
  <c r="L2343" i="11"/>
  <c r="A2343" i="11"/>
  <c r="O2368" i="11"/>
  <c r="N2368" i="11"/>
  <c r="M2368" i="11"/>
  <c r="L2368" i="11"/>
  <c r="A2368" i="11"/>
  <c r="P2342" i="11"/>
  <c r="O2342" i="11"/>
  <c r="N2342" i="11"/>
  <c r="M2342" i="11"/>
  <c r="L2342" i="11"/>
  <c r="A2342" i="11"/>
  <c r="P2341" i="11"/>
  <c r="O2341" i="11"/>
  <c r="N2341" i="11"/>
  <c r="M2341" i="11"/>
  <c r="L2341" i="11"/>
  <c r="A2341" i="11"/>
  <c r="P2340" i="11"/>
  <c r="O2340" i="11"/>
  <c r="N2340" i="11"/>
  <c r="M2340" i="11"/>
  <c r="L2340" i="11"/>
  <c r="A2340" i="11"/>
  <c r="P2338" i="11"/>
  <c r="O2338" i="11"/>
  <c r="N2338" i="11"/>
  <c r="M2338" i="11"/>
  <c r="L2338" i="11"/>
  <c r="A2338" i="11"/>
  <c r="P2337" i="11"/>
  <c r="O2337" i="11"/>
  <c r="N2337" i="11"/>
  <c r="M2337" i="11"/>
  <c r="L2337" i="11"/>
  <c r="A2337" i="11"/>
  <c r="P2336" i="11"/>
  <c r="O2336" i="11"/>
  <c r="N2336" i="11"/>
  <c r="M2336" i="11"/>
  <c r="L2336" i="11"/>
  <c r="A2336" i="11"/>
  <c r="P2335" i="11"/>
  <c r="O2335" i="11"/>
  <c r="N2335" i="11"/>
  <c r="M2335" i="11"/>
  <c r="L2335" i="11"/>
  <c r="A2335" i="11"/>
  <c r="P2334" i="11"/>
  <c r="O2334" i="11"/>
  <c r="N2334" i="11"/>
  <c r="M2334" i="11"/>
  <c r="L2334" i="11"/>
  <c r="A2334" i="11"/>
  <c r="P2333" i="11"/>
  <c r="O2333" i="11"/>
  <c r="N2333" i="11"/>
  <c r="M2333" i="11"/>
  <c r="L2333" i="11"/>
  <c r="A2333" i="11"/>
  <c r="P2332" i="11"/>
  <c r="O2332" i="11"/>
  <c r="N2332" i="11"/>
  <c r="M2332" i="11"/>
  <c r="L2332" i="11"/>
  <c r="A2332" i="11"/>
  <c r="O2433" i="11"/>
  <c r="N2433" i="11"/>
  <c r="M2433" i="11"/>
  <c r="L2433" i="11"/>
  <c r="A2433" i="11"/>
  <c r="O2437" i="11"/>
  <c r="N2437" i="11"/>
  <c r="M2437" i="11"/>
  <c r="L2437" i="11"/>
  <c r="A2437" i="11"/>
  <c r="P3207" i="11"/>
  <c r="O3207" i="11"/>
  <c r="N3207" i="11"/>
  <c r="M3207" i="11"/>
  <c r="L3207" i="11"/>
  <c r="P2330" i="11"/>
  <c r="O2330" i="11"/>
  <c r="N2330" i="11"/>
  <c r="M2330" i="11"/>
  <c r="L2330" i="11"/>
  <c r="A2330" i="11"/>
  <c r="P2329" i="11"/>
  <c r="O2329" i="11"/>
  <c r="N2329" i="11"/>
  <c r="M2329" i="11"/>
  <c r="L2329" i="11"/>
  <c r="A2329" i="11"/>
  <c r="P2328" i="11"/>
  <c r="O2328" i="11"/>
  <c r="N2328" i="11"/>
  <c r="M2328" i="11"/>
  <c r="L2328" i="11"/>
  <c r="A2328" i="11"/>
  <c r="P2327" i="11"/>
  <c r="O2327" i="11"/>
  <c r="N2327" i="11"/>
  <c r="M2327" i="11"/>
  <c r="L2327" i="11"/>
  <c r="A2327" i="11"/>
  <c r="P2326" i="11"/>
  <c r="O2326" i="11"/>
  <c r="N2326" i="11"/>
  <c r="M2326" i="11"/>
  <c r="L2326" i="11"/>
  <c r="A2326" i="11"/>
  <c r="O2436" i="11"/>
  <c r="N2436" i="11"/>
  <c r="M2436" i="11"/>
  <c r="L2436" i="11"/>
  <c r="A2436" i="11"/>
  <c r="P2325" i="11"/>
  <c r="O2325" i="11"/>
  <c r="N2325" i="11"/>
  <c r="M2325" i="11"/>
  <c r="L2325" i="11"/>
  <c r="A2325" i="11"/>
  <c r="P2323" i="11"/>
  <c r="O2323" i="11"/>
  <c r="N2323" i="11"/>
  <c r="M2323" i="11"/>
  <c r="L2323" i="11"/>
  <c r="A2323" i="11"/>
  <c r="P2322" i="11"/>
  <c r="O2322" i="11"/>
  <c r="N2322" i="11"/>
  <c r="M2322" i="11"/>
  <c r="L2322" i="11"/>
  <c r="A2322" i="11"/>
  <c r="P2317" i="11"/>
  <c r="O2317" i="11"/>
  <c r="N2317" i="11"/>
  <c r="M2317" i="11"/>
  <c r="L2317" i="11"/>
  <c r="A2317" i="11"/>
  <c r="P2320" i="11"/>
  <c r="O2320" i="11"/>
  <c r="N2320" i="11"/>
  <c r="M2320" i="11"/>
  <c r="L2320" i="11"/>
  <c r="A2320" i="11"/>
  <c r="P2316" i="11"/>
  <c r="O2316" i="11"/>
  <c r="N2316" i="11"/>
  <c r="M2316" i="11"/>
  <c r="L2316" i="11"/>
  <c r="A2316" i="11"/>
  <c r="P2315" i="11"/>
  <c r="O2315" i="11"/>
  <c r="N2315" i="11"/>
  <c r="M2315" i="11"/>
  <c r="L2315" i="11"/>
  <c r="A2315" i="11"/>
  <c r="P2314" i="11"/>
  <c r="O2314" i="11"/>
  <c r="N2314" i="11"/>
  <c r="M2314" i="11"/>
  <c r="L2314" i="11"/>
  <c r="A2314" i="11"/>
  <c r="P2313" i="11"/>
  <c r="O2313" i="11"/>
  <c r="N2313" i="11"/>
  <c r="M2313" i="11"/>
  <c r="L2313" i="11"/>
  <c r="A2313" i="11"/>
  <c r="P2312" i="11"/>
  <c r="O2312" i="11"/>
  <c r="N2312" i="11"/>
  <c r="M2312" i="11"/>
  <c r="L2312" i="11"/>
  <c r="A2312" i="11"/>
  <c r="P2311" i="11"/>
  <c r="O2311" i="11"/>
  <c r="N2311" i="11"/>
  <c r="M2311" i="11"/>
  <c r="L2311" i="11"/>
  <c r="A2311" i="11"/>
  <c r="P2321" i="11"/>
  <c r="O2321" i="11"/>
  <c r="N2321" i="11"/>
  <c r="M2321" i="11"/>
  <c r="L2321" i="11"/>
  <c r="A2321" i="11"/>
  <c r="P2310" i="11"/>
  <c r="O2310" i="11"/>
  <c r="N2310" i="11"/>
  <c r="M2310" i="11"/>
  <c r="L2310" i="11"/>
  <c r="A2310" i="11"/>
  <c r="P2309" i="11"/>
  <c r="O2309" i="11"/>
  <c r="N2309" i="11"/>
  <c r="M2309" i="11"/>
  <c r="L2309" i="11"/>
  <c r="A2309" i="11"/>
  <c r="P2308" i="11"/>
  <c r="O2308" i="11"/>
  <c r="N2308" i="11"/>
  <c r="M2308" i="11"/>
  <c r="L2308" i="11"/>
  <c r="A2308" i="11"/>
  <c r="P2307" i="11"/>
  <c r="O2307" i="11"/>
  <c r="N2307" i="11"/>
  <c r="M2307" i="11"/>
  <c r="L2307" i="11"/>
  <c r="A2307" i="11"/>
  <c r="P2302" i="11"/>
  <c r="O2302" i="11"/>
  <c r="N2302" i="11"/>
  <c r="M2302" i="11"/>
  <c r="L2302" i="11"/>
  <c r="A2302" i="11"/>
  <c r="P2306" i="11"/>
  <c r="O2306" i="11"/>
  <c r="N2306" i="11"/>
  <c r="M2306" i="11"/>
  <c r="L2306" i="11"/>
  <c r="A2306" i="11"/>
  <c r="P2234" i="11"/>
  <c r="O2234" i="11"/>
  <c r="N2234" i="11"/>
  <c r="M2234" i="11"/>
  <c r="L2234" i="11"/>
  <c r="A2234" i="11"/>
  <c r="P2305" i="11"/>
  <c r="O2305" i="11"/>
  <c r="N2305" i="11"/>
  <c r="M2305" i="11"/>
  <c r="L2305" i="11"/>
  <c r="A2305" i="11"/>
  <c r="P2304" i="11"/>
  <c r="O2304" i="11"/>
  <c r="N2304" i="11"/>
  <c r="M2304" i="11"/>
  <c r="L2304" i="11"/>
  <c r="A2304" i="11"/>
  <c r="P2303" i="11"/>
  <c r="O2303" i="11"/>
  <c r="N2303" i="11"/>
  <c r="M2303" i="11"/>
  <c r="L2303" i="11"/>
  <c r="A2303" i="11"/>
  <c r="P2301" i="11"/>
  <c r="O2301" i="11"/>
  <c r="N2301" i="11"/>
  <c r="M2301" i="11"/>
  <c r="L2301" i="11"/>
  <c r="A2301" i="11"/>
  <c r="P2300" i="11"/>
  <c r="O2300" i="11"/>
  <c r="N2300" i="11"/>
  <c r="M2300" i="11"/>
  <c r="L2300" i="11"/>
  <c r="A2300" i="11"/>
  <c r="P2299" i="11"/>
  <c r="O2299" i="11"/>
  <c r="N2299" i="11"/>
  <c r="M2299" i="11"/>
  <c r="L2299" i="11"/>
  <c r="A2299" i="11"/>
  <c r="P2298" i="11"/>
  <c r="O2298" i="11"/>
  <c r="N2298" i="11"/>
  <c r="M2298" i="11"/>
  <c r="L2298" i="11"/>
  <c r="A2298" i="11"/>
  <c r="P2297" i="11"/>
  <c r="O2297" i="11"/>
  <c r="N2297" i="11"/>
  <c r="M2297" i="11"/>
  <c r="L2297" i="11"/>
  <c r="A2297" i="11"/>
  <c r="P2296" i="11"/>
  <c r="O2296" i="11"/>
  <c r="N2296" i="11"/>
  <c r="M2296" i="11"/>
  <c r="L2296" i="11"/>
  <c r="A2296" i="11"/>
  <c r="P2295" i="11"/>
  <c r="O2295" i="11"/>
  <c r="N2295" i="11"/>
  <c r="M2295" i="11"/>
  <c r="L2295" i="11"/>
  <c r="A2295" i="11"/>
  <c r="P2294" i="11"/>
  <c r="O2294" i="11"/>
  <c r="N2294" i="11"/>
  <c r="M2294" i="11"/>
  <c r="L2294" i="11"/>
  <c r="A2294" i="11"/>
  <c r="P2318" i="11"/>
  <c r="O2318" i="11"/>
  <c r="N2318" i="11"/>
  <c r="M2318" i="11"/>
  <c r="L2318" i="11"/>
  <c r="A2318" i="11"/>
  <c r="P2293" i="11"/>
  <c r="O2293" i="11"/>
  <c r="N2293" i="11"/>
  <c r="M2293" i="11"/>
  <c r="L2293" i="11"/>
  <c r="A2293" i="11"/>
  <c r="P2292" i="11"/>
  <c r="O2292" i="11"/>
  <c r="N2292" i="11"/>
  <c r="M2292" i="11"/>
  <c r="L2292" i="11"/>
  <c r="A2292" i="11"/>
  <c r="P2243" i="11"/>
  <c r="O2243" i="11"/>
  <c r="N2243" i="11"/>
  <c r="M2243" i="11"/>
  <c r="L2243" i="11"/>
  <c r="A2243" i="11"/>
  <c r="P2291" i="11"/>
  <c r="O2291" i="11"/>
  <c r="N2291" i="11"/>
  <c r="M2291" i="11"/>
  <c r="L2291" i="11"/>
  <c r="A2291" i="11"/>
  <c r="P2289" i="11"/>
  <c r="O2289" i="11"/>
  <c r="N2289" i="11"/>
  <c r="M2289" i="11"/>
  <c r="L2289" i="11"/>
  <c r="A2289" i="11"/>
  <c r="P2288" i="11"/>
  <c r="O2288" i="11"/>
  <c r="N2288" i="11"/>
  <c r="M2288" i="11"/>
  <c r="L2288" i="11"/>
  <c r="A2288" i="11"/>
  <c r="P2287" i="11"/>
  <c r="O2287" i="11"/>
  <c r="N2287" i="11"/>
  <c r="M2287" i="11"/>
  <c r="L2287" i="11"/>
  <c r="A2287" i="11"/>
  <c r="P2286" i="11"/>
  <c r="O2286" i="11"/>
  <c r="N2286" i="11"/>
  <c r="M2286" i="11"/>
  <c r="L2286" i="11"/>
  <c r="A2286" i="11"/>
  <c r="P2285" i="11"/>
  <c r="O2285" i="11"/>
  <c r="N2285" i="11"/>
  <c r="M2285" i="11"/>
  <c r="L2285" i="11"/>
  <c r="A2285" i="11"/>
  <c r="P2284" i="11"/>
  <c r="O2284" i="11"/>
  <c r="N2284" i="11"/>
  <c r="M2284" i="11"/>
  <c r="L2284" i="11"/>
  <c r="A2284" i="11"/>
  <c r="P2283" i="11"/>
  <c r="O2283" i="11"/>
  <c r="N2283" i="11"/>
  <c r="M2283" i="11"/>
  <c r="L2283" i="11"/>
  <c r="A2283" i="11"/>
  <c r="P2254" i="11"/>
  <c r="O2254" i="11"/>
  <c r="N2254" i="11"/>
  <c r="M2254" i="11"/>
  <c r="L2254" i="11"/>
  <c r="A2254" i="11"/>
  <c r="P2282" i="11"/>
  <c r="O2282" i="11"/>
  <c r="N2282" i="11"/>
  <c r="M2282" i="11"/>
  <c r="L2282" i="11"/>
  <c r="A2282" i="11"/>
  <c r="P2240" i="11"/>
  <c r="O2240" i="11"/>
  <c r="N2240" i="11"/>
  <c r="M2240" i="11"/>
  <c r="L2240" i="11"/>
  <c r="A2240" i="11"/>
  <c r="P2281" i="11"/>
  <c r="O2281" i="11"/>
  <c r="N2281" i="11"/>
  <c r="M2281" i="11"/>
  <c r="L2281" i="11"/>
  <c r="A2281" i="11"/>
  <c r="P2280" i="11"/>
  <c r="O2280" i="11"/>
  <c r="N2280" i="11"/>
  <c r="M2280" i="11"/>
  <c r="L2280" i="11"/>
  <c r="A2280" i="11"/>
  <c r="P2279" i="11"/>
  <c r="O2279" i="11"/>
  <c r="N2279" i="11"/>
  <c r="M2279" i="11"/>
  <c r="L2279" i="11"/>
  <c r="A2279" i="11"/>
  <c r="P2278" i="11"/>
  <c r="O2278" i="11"/>
  <c r="N2278" i="11"/>
  <c r="M2278" i="11"/>
  <c r="L2278" i="11"/>
  <c r="A2278" i="11"/>
  <c r="P2277" i="11"/>
  <c r="O2277" i="11"/>
  <c r="N2277" i="11"/>
  <c r="M2277" i="11"/>
  <c r="L2277" i="11"/>
  <c r="A2277" i="11"/>
  <c r="P2260" i="11"/>
  <c r="O2260" i="11"/>
  <c r="N2260" i="11"/>
  <c r="M2260" i="11"/>
  <c r="L2260" i="11"/>
  <c r="A2260" i="11"/>
  <c r="P2275" i="11"/>
  <c r="O2275" i="11"/>
  <c r="N2275" i="11"/>
  <c r="M2275" i="11"/>
  <c r="L2275" i="11"/>
  <c r="A2275" i="11"/>
  <c r="P2274" i="11"/>
  <c r="O2274" i="11"/>
  <c r="N2274" i="11"/>
  <c r="M2274" i="11"/>
  <c r="L2274" i="11"/>
  <c r="A2274" i="11"/>
  <c r="P2273" i="11"/>
  <c r="O2273" i="11"/>
  <c r="N2273" i="11"/>
  <c r="M2273" i="11"/>
  <c r="L2273" i="11"/>
  <c r="A2273" i="11"/>
  <c r="P2272" i="11"/>
  <c r="O2272" i="11"/>
  <c r="N2272" i="11"/>
  <c r="M2272" i="11"/>
  <c r="L2272" i="11"/>
  <c r="A2272" i="11"/>
  <c r="P2271" i="11"/>
  <c r="O2271" i="11"/>
  <c r="N2271" i="11"/>
  <c r="M2271" i="11"/>
  <c r="L2271" i="11"/>
  <c r="A2271" i="11"/>
  <c r="P2270" i="11"/>
  <c r="O2270" i="11"/>
  <c r="N2270" i="11"/>
  <c r="M2270" i="11"/>
  <c r="L2270" i="11"/>
  <c r="A2270" i="11"/>
  <c r="P2269" i="11"/>
  <c r="O2269" i="11"/>
  <c r="N2269" i="11"/>
  <c r="M2269" i="11"/>
  <c r="L2269" i="11"/>
  <c r="A2269" i="11"/>
  <c r="P2263" i="11"/>
  <c r="O2263" i="11"/>
  <c r="N2263" i="11"/>
  <c r="M2263" i="11"/>
  <c r="L2263" i="11"/>
  <c r="A2263" i="11"/>
  <c r="P2268" i="11"/>
  <c r="O2268" i="11"/>
  <c r="N2268" i="11"/>
  <c r="M2268" i="11"/>
  <c r="L2268" i="11"/>
  <c r="A2268" i="11"/>
  <c r="P2267" i="11"/>
  <c r="O2267" i="11"/>
  <c r="N2267" i="11"/>
  <c r="M2267" i="11"/>
  <c r="L2267" i="11"/>
  <c r="A2267" i="11"/>
  <c r="P2266" i="11"/>
  <c r="O2266" i="11"/>
  <c r="N2266" i="11"/>
  <c r="M2266" i="11"/>
  <c r="L2266" i="11"/>
  <c r="A2266" i="11"/>
  <c r="P2265" i="11"/>
  <c r="O2265" i="11"/>
  <c r="N2265" i="11"/>
  <c r="M2265" i="11"/>
  <c r="L2265" i="11"/>
  <c r="A2265" i="11"/>
  <c r="P2264" i="11"/>
  <c r="O2264" i="11"/>
  <c r="N2264" i="11"/>
  <c r="M2264" i="11"/>
  <c r="L2264" i="11"/>
  <c r="A2264" i="11"/>
  <c r="P3206" i="11"/>
  <c r="O3206" i="11"/>
  <c r="N3206" i="11"/>
  <c r="M3206" i="11"/>
  <c r="L3206" i="11"/>
  <c r="P2262" i="11"/>
  <c r="O2262" i="11"/>
  <c r="N2262" i="11"/>
  <c r="M2262" i="11"/>
  <c r="L2262" i="11"/>
  <c r="A2262" i="11"/>
  <c r="P2261" i="11"/>
  <c r="O2261" i="11"/>
  <c r="N2261" i="11"/>
  <c r="M2261" i="11"/>
  <c r="L2261" i="11"/>
  <c r="A2261" i="11"/>
  <c r="P2259" i="11"/>
  <c r="O2259" i="11"/>
  <c r="N2259" i="11"/>
  <c r="M2259" i="11"/>
  <c r="L2259" i="11"/>
  <c r="A2259" i="11"/>
  <c r="P2258" i="11"/>
  <c r="O2258" i="11"/>
  <c r="N2258" i="11"/>
  <c r="M2258" i="11"/>
  <c r="L2258" i="11"/>
  <c r="A2258" i="11"/>
  <c r="P2319" i="11"/>
  <c r="O2319" i="11"/>
  <c r="N2319" i="11"/>
  <c r="M2319" i="11"/>
  <c r="L2319" i="11"/>
  <c r="A2319" i="11"/>
  <c r="P2257" i="11"/>
  <c r="O2257" i="11"/>
  <c r="N2257" i="11"/>
  <c r="M2257" i="11"/>
  <c r="L2257" i="11"/>
  <c r="A2257" i="11"/>
  <c r="P2255" i="11"/>
  <c r="O2255" i="11"/>
  <c r="N2255" i="11"/>
  <c r="M2255" i="11"/>
  <c r="L2255" i="11"/>
  <c r="A2255" i="11"/>
  <c r="P2251" i="11"/>
  <c r="O2251" i="11"/>
  <c r="N2251" i="11"/>
  <c r="M2251" i="11"/>
  <c r="L2251" i="11"/>
  <c r="A2251" i="11"/>
  <c r="P2223" i="11"/>
  <c r="O2223" i="11"/>
  <c r="N2223" i="11"/>
  <c r="M2223" i="11"/>
  <c r="L2223" i="11"/>
  <c r="A2223" i="11"/>
  <c r="P2253" i="11"/>
  <c r="O2253" i="11"/>
  <c r="N2253" i="11"/>
  <c r="M2253" i="11"/>
  <c r="L2253" i="11"/>
  <c r="A2253" i="11"/>
  <c r="P2252" i="11"/>
  <c r="O2252" i="11"/>
  <c r="N2252" i="11"/>
  <c r="M2252" i="11"/>
  <c r="L2252" i="11"/>
  <c r="A2252" i="11"/>
  <c r="P2250" i="11"/>
  <c r="O2250" i="11"/>
  <c r="N2250" i="11"/>
  <c r="M2250" i="11"/>
  <c r="L2250" i="11"/>
  <c r="A2250" i="11"/>
  <c r="P2276" i="11"/>
  <c r="O2276" i="11"/>
  <c r="N2276" i="11"/>
  <c r="M2276" i="11"/>
  <c r="L2276" i="11"/>
  <c r="A2276" i="11"/>
  <c r="P2249" i="11"/>
  <c r="O2249" i="11"/>
  <c r="N2249" i="11"/>
  <c r="M2249" i="11"/>
  <c r="L2249" i="11"/>
  <c r="A2249" i="11"/>
  <c r="P2248" i="11"/>
  <c r="O2248" i="11"/>
  <c r="N2248" i="11"/>
  <c r="M2248" i="11"/>
  <c r="L2248" i="11"/>
  <c r="A2248" i="11"/>
  <c r="P2247" i="11"/>
  <c r="O2247" i="11"/>
  <c r="N2247" i="11"/>
  <c r="M2247" i="11"/>
  <c r="L2247" i="11"/>
  <c r="A2247" i="11"/>
  <c r="P2246" i="11"/>
  <c r="O2246" i="11"/>
  <c r="N2246" i="11"/>
  <c r="M2246" i="11"/>
  <c r="L2246" i="11"/>
  <c r="A2246" i="11"/>
  <c r="P2245" i="11"/>
  <c r="O2245" i="11"/>
  <c r="N2245" i="11"/>
  <c r="M2245" i="11"/>
  <c r="L2245" i="11"/>
  <c r="A2245" i="11"/>
  <c r="P2244" i="11"/>
  <c r="O2244" i="11"/>
  <c r="N2244" i="11"/>
  <c r="M2244" i="11"/>
  <c r="L2244" i="11"/>
  <c r="A2244" i="11"/>
  <c r="P2572" i="11"/>
  <c r="O2572" i="11"/>
  <c r="N2572" i="11"/>
  <c r="M2572" i="11"/>
  <c r="L2572" i="11"/>
  <c r="P2242" i="11"/>
  <c r="O2242" i="11"/>
  <c r="N2242" i="11"/>
  <c r="M2242" i="11"/>
  <c r="L2242" i="11"/>
  <c r="A2242" i="11"/>
  <c r="P3204" i="11"/>
  <c r="O3204" i="11"/>
  <c r="N3204" i="11"/>
  <c r="M3204" i="11"/>
  <c r="L3204" i="11"/>
  <c r="P2239" i="11"/>
  <c r="O2239" i="11"/>
  <c r="N2239" i="11"/>
  <c r="M2239" i="11"/>
  <c r="L2239" i="11"/>
  <c r="A2239" i="11"/>
  <c r="P2237" i="11"/>
  <c r="O2237" i="11"/>
  <c r="N2237" i="11"/>
  <c r="M2237" i="11"/>
  <c r="L2237" i="11"/>
  <c r="A2237" i="11"/>
  <c r="P2236" i="11"/>
  <c r="O2236" i="11"/>
  <c r="N2236" i="11"/>
  <c r="M2236" i="11"/>
  <c r="L2236" i="11"/>
  <c r="A2236" i="11"/>
  <c r="P2235" i="11"/>
  <c r="O2235" i="11"/>
  <c r="N2235" i="11"/>
  <c r="M2235" i="11"/>
  <c r="L2235" i="11"/>
  <c r="A2235" i="11"/>
  <c r="P2233" i="11"/>
  <c r="O2233" i="11"/>
  <c r="N2233" i="11"/>
  <c r="M2233" i="11"/>
  <c r="L2233" i="11"/>
  <c r="A2233" i="11"/>
  <c r="P3203" i="11"/>
  <c r="O3203" i="11"/>
  <c r="N3203" i="11"/>
  <c r="M3203" i="11"/>
  <c r="L3203" i="11"/>
  <c r="P2232" i="11"/>
  <c r="O2232" i="11"/>
  <c r="N2232" i="11"/>
  <c r="M2232" i="11"/>
  <c r="L2232" i="11"/>
  <c r="A2232" i="11"/>
  <c r="P2231" i="11"/>
  <c r="O2231" i="11"/>
  <c r="N2231" i="11"/>
  <c r="M2231" i="11"/>
  <c r="L2231" i="11"/>
  <c r="A2231" i="11"/>
  <c r="P2230" i="11"/>
  <c r="O2230" i="11"/>
  <c r="N2230" i="11"/>
  <c r="M2230" i="11"/>
  <c r="L2230" i="11"/>
  <c r="A2230" i="11"/>
  <c r="P2229" i="11"/>
  <c r="O2229" i="11"/>
  <c r="N2229" i="11"/>
  <c r="M2229" i="11"/>
  <c r="L2229" i="11"/>
  <c r="A2229" i="11"/>
  <c r="P2228" i="11"/>
  <c r="O2228" i="11"/>
  <c r="N2228" i="11"/>
  <c r="M2228" i="11"/>
  <c r="L2228" i="11"/>
  <c r="A2228" i="11"/>
  <c r="P2256" i="11"/>
  <c r="O2256" i="11"/>
  <c r="N2256" i="11"/>
  <c r="M2256" i="11"/>
  <c r="L2256" i="11"/>
  <c r="A2256" i="11"/>
  <c r="P2227" i="11"/>
  <c r="O2227" i="11"/>
  <c r="N2227" i="11"/>
  <c r="M2227" i="11"/>
  <c r="L2227" i="11"/>
  <c r="A2227" i="11"/>
  <c r="P2226" i="11"/>
  <c r="O2226" i="11"/>
  <c r="N2226" i="11"/>
  <c r="M2226" i="11"/>
  <c r="L2226" i="11"/>
  <c r="A2226" i="11"/>
  <c r="P2225" i="11"/>
  <c r="O2225" i="11"/>
  <c r="N2225" i="11"/>
  <c r="M2225" i="11"/>
  <c r="L2225" i="11"/>
  <c r="A2225" i="11"/>
  <c r="P2224" i="11"/>
  <c r="O2224" i="11"/>
  <c r="N2224" i="11"/>
  <c r="M2224" i="11"/>
  <c r="L2224" i="11"/>
  <c r="A2224" i="11"/>
  <c r="P2222" i="11"/>
  <c r="O2222" i="11"/>
  <c r="N2222" i="11"/>
  <c r="M2222" i="11"/>
  <c r="L2222" i="11"/>
  <c r="A2222" i="11"/>
  <c r="P2221" i="11"/>
  <c r="O2221" i="11"/>
  <c r="N2221" i="11"/>
  <c r="M2221" i="11"/>
  <c r="L2221" i="11"/>
  <c r="A2221" i="11"/>
  <c r="P2220" i="11"/>
  <c r="O2220" i="11"/>
  <c r="N2220" i="11"/>
  <c r="M2220" i="11"/>
  <c r="L2220" i="11"/>
  <c r="A2220" i="11"/>
  <c r="P2219" i="11"/>
  <c r="O2219" i="11"/>
  <c r="N2219" i="11"/>
  <c r="M2219" i="11"/>
  <c r="L2219" i="11"/>
  <c r="A2219" i="11"/>
  <c r="P2218" i="11"/>
  <c r="O2218" i="11"/>
  <c r="N2218" i="11"/>
  <c r="M2218" i="11"/>
  <c r="L2218" i="11"/>
  <c r="A2218" i="11"/>
  <c r="P2217" i="11"/>
  <c r="O2217" i="11"/>
  <c r="N2217" i="11"/>
  <c r="M2217" i="11"/>
  <c r="L2217" i="11"/>
  <c r="A2217" i="11"/>
  <c r="P2212" i="11"/>
  <c r="O2212" i="11"/>
  <c r="N2212" i="11"/>
  <c r="M2212" i="11"/>
  <c r="L2212" i="11"/>
  <c r="A2212" i="11"/>
  <c r="P2216" i="11"/>
  <c r="O2216" i="11"/>
  <c r="N2216" i="11"/>
  <c r="M2216" i="11"/>
  <c r="L2216" i="11"/>
  <c r="A2216" i="11"/>
  <c r="P3202" i="11"/>
  <c r="O3202" i="11"/>
  <c r="N3202" i="11"/>
  <c r="M3202" i="11"/>
  <c r="L3202" i="11"/>
  <c r="P2215" i="11"/>
  <c r="O2215" i="11"/>
  <c r="N2215" i="11"/>
  <c r="M2215" i="11"/>
  <c r="L2215" i="11"/>
  <c r="A2215" i="11"/>
  <c r="P2214" i="11"/>
  <c r="O2214" i="11"/>
  <c r="N2214" i="11"/>
  <c r="M2214" i="11"/>
  <c r="L2214" i="11"/>
  <c r="A2214" i="11"/>
  <c r="P2213" i="11"/>
  <c r="O2213" i="11"/>
  <c r="N2213" i="11"/>
  <c r="M2213" i="11"/>
  <c r="L2213" i="11"/>
  <c r="A2213" i="11"/>
  <c r="P2211" i="11"/>
  <c r="O2211" i="11"/>
  <c r="N2211" i="11"/>
  <c r="M2211" i="11"/>
  <c r="L2211" i="11"/>
  <c r="A2211" i="11"/>
  <c r="P2210" i="11"/>
  <c r="O2210" i="11"/>
  <c r="N2210" i="11"/>
  <c r="M2210" i="11"/>
  <c r="L2210" i="11"/>
  <c r="A2210" i="11"/>
  <c r="P2209" i="11"/>
  <c r="O2209" i="11"/>
  <c r="N2209" i="11"/>
  <c r="M2209" i="11"/>
  <c r="L2209" i="11"/>
  <c r="A2209" i="11"/>
  <c r="P2208" i="11"/>
  <c r="O2208" i="11"/>
  <c r="N2208" i="11"/>
  <c r="M2208" i="11"/>
  <c r="L2208" i="11"/>
  <c r="A2208" i="11"/>
  <c r="P2207" i="11"/>
  <c r="O2207" i="11"/>
  <c r="N2207" i="11"/>
  <c r="M2207" i="11"/>
  <c r="L2207" i="11"/>
  <c r="A2207" i="11"/>
  <c r="P2206" i="11"/>
  <c r="O2206" i="11"/>
  <c r="N2206" i="11"/>
  <c r="M2206" i="11"/>
  <c r="L2206" i="11"/>
  <c r="A2206" i="11"/>
  <c r="P2200" i="11"/>
  <c r="O2200" i="11"/>
  <c r="N2200" i="11"/>
  <c r="M2200" i="11"/>
  <c r="L2200" i="11"/>
  <c r="A2200" i="11"/>
  <c r="P2205" i="11"/>
  <c r="O2205" i="11"/>
  <c r="N2205" i="11"/>
  <c r="M2205" i="11"/>
  <c r="L2205" i="11"/>
  <c r="A2205" i="11"/>
  <c r="P2199" i="11"/>
  <c r="O2199" i="11"/>
  <c r="N2199" i="11"/>
  <c r="M2199" i="11"/>
  <c r="L2199" i="11"/>
  <c r="A2199" i="11"/>
  <c r="P2198" i="11"/>
  <c r="O2198" i="11"/>
  <c r="N2198" i="11"/>
  <c r="M2198" i="11"/>
  <c r="L2198" i="11"/>
  <c r="A2198" i="11"/>
  <c r="P2197" i="11"/>
  <c r="O2197" i="11"/>
  <c r="N2197" i="11"/>
  <c r="M2197" i="11"/>
  <c r="L2197" i="11"/>
  <c r="A2197" i="11"/>
  <c r="P2196" i="11"/>
  <c r="O2196" i="11"/>
  <c r="N2196" i="11"/>
  <c r="M2196" i="11"/>
  <c r="L2196" i="11"/>
  <c r="A2196" i="11"/>
  <c r="P2100" i="11"/>
  <c r="O2100" i="11"/>
  <c r="N2100" i="11"/>
  <c r="M2100" i="11"/>
  <c r="L2100" i="11"/>
  <c r="A2100" i="11"/>
  <c r="P2194" i="11"/>
  <c r="O2194" i="11"/>
  <c r="N2194" i="11"/>
  <c r="M2194" i="11"/>
  <c r="L2194" i="11"/>
  <c r="A2194" i="11"/>
  <c r="P2188" i="11"/>
  <c r="O2188" i="11"/>
  <c r="N2188" i="11"/>
  <c r="M2188" i="11"/>
  <c r="L2188" i="11"/>
  <c r="A2188" i="11"/>
  <c r="P2193" i="11"/>
  <c r="O2193" i="11"/>
  <c r="N2193" i="11"/>
  <c r="M2193" i="11"/>
  <c r="L2193" i="11"/>
  <c r="A2193" i="11"/>
  <c r="P2192" i="11"/>
  <c r="O2192" i="11"/>
  <c r="N2192" i="11"/>
  <c r="M2192" i="11"/>
  <c r="L2192" i="11"/>
  <c r="A2192" i="11"/>
  <c r="P2128" i="11"/>
  <c r="O2128" i="11"/>
  <c r="N2128" i="11"/>
  <c r="M2128" i="11"/>
  <c r="L2128" i="11"/>
  <c r="A2128" i="11"/>
  <c r="P2191" i="11"/>
  <c r="O2191" i="11"/>
  <c r="N2191" i="11"/>
  <c r="M2191" i="11"/>
  <c r="L2191" i="11"/>
  <c r="A2191" i="11"/>
  <c r="P2190" i="11"/>
  <c r="O2190" i="11"/>
  <c r="N2190" i="11"/>
  <c r="M2190" i="11"/>
  <c r="L2190" i="11"/>
  <c r="A2190" i="11"/>
  <c r="P2189" i="11"/>
  <c r="O2189" i="11"/>
  <c r="N2189" i="11"/>
  <c r="M2189" i="11"/>
  <c r="L2189" i="11"/>
  <c r="A2189" i="11"/>
  <c r="P2187" i="11"/>
  <c r="O2187" i="11"/>
  <c r="N2187" i="11"/>
  <c r="M2187" i="11"/>
  <c r="L2187" i="11"/>
  <c r="A2187" i="11"/>
  <c r="P2185" i="11"/>
  <c r="O2185" i="11"/>
  <c r="N2185" i="11"/>
  <c r="M2185" i="11"/>
  <c r="L2185" i="11"/>
  <c r="A2185" i="11"/>
  <c r="P2184" i="11"/>
  <c r="O2184" i="11"/>
  <c r="N2184" i="11"/>
  <c r="M2184" i="11"/>
  <c r="L2184" i="11"/>
  <c r="A2184" i="11"/>
  <c r="P2202" i="11"/>
  <c r="O2202" i="11"/>
  <c r="N2202" i="11"/>
  <c r="M2202" i="11"/>
  <c r="L2202" i="11"/>
  <c r="A2202" i="11"/>
  <c r="P2183" i="11"/>
  <c r="O2183" i="11"/>
  <c r="N2183" i="11"/>
  <c r="M2183" i="11"/>
  <c r="L2183" i="11"/>
  <c r="A2183" i="11"/>
  <c r="P2182" i="11"/>
  <c r="O2182" i="11"/>
  <c r="N2182" i="11"/>
  <c r="M2182" i="11"/>
  <c r="L2182" i="11"/>
  <c r="A2182" i="11"/>
  <c r="P2140" i="11"/>
  <c r="O2140" i="11"/>
  <c r="N2140" i="11"/>
  <c r="M2140" i="11"/>
  <c r="L2140" i="11"/>
  <c r="A2140" i="11"/>
  <c r="P2181" i="11"/>
  <c r="O2181" i="11"/>
  <c r="N2181" i="11"/>
  <c r="M2181" i="11"/>
  <c r="L2181" i="11"/>
  <c r="A2181" i="11"/>
  <c r="P2180" i="11"/>
  <c r="O2180" i="11"/>
  <c r="N2180" i="11"/>
  <c r="M2180" i="11"/>
  <c r="L2180" i="11"/>
  <c r="A2180" i="11"/>
  <c r="P2179" i="11"/>
  <c r="O2179" i="11"/>
  <c r="N2179" i="11"/>
  <c r="M2179" i="11"/>
  <c r="L2179" i="11"/>
  <c r="A2179" i="11"/>
  <c r="P2178" i="11"/>
  <c r="O2178" i="11"/>
  <c r="N2178" i="11"/>
  <c r="M2178" i="11"/>
  <c r="L2178" i="11"/>
  <c r="A2178" i="11"/>
  <c r="P2177" i="11"/>
  <c r="O2177" i="11"/>
  <c r="N2177" i="11"/>
  <c r="M2177" i="11"/>
  <c r="L2177" i="11"/>
  <c r="A2177" i="11"/>
  <c r="P2176" i="11"/>
  <c r="O2176" i="11"/>
  <c r="N2176" i="11"/>
  <c r="M2176" i="11"/>
  <c r="L2176" i="11"/>
  <c r="A2176" i="11"/>
  <c r="P2174" i="11"/>
  <c r="O2174" i="11"/>
  <c r="N2174" i="11"/>
  <c r="M2174" i="11"/>
  <c r="L2174" i="11"/>
  <c r="A2174" i="11"/>
  <c r="P2173" i="11"/>
  <c r="O2173" i="11"/>
  <c r="N2173" i="11"/>
  <c r="M2173" i="11"/>
  <c r="L2173" i="11"/>
  <c r="A2173" i="11"/>
  <c r="P2148" i="11"/>
  <c r="O2148" i="11"/>
  <c r="N2148" i="11"/>
  <c r="M2148" i="11"/>
  <c r="L2148" i="11"/>
  <c r="A2148" i="11"/>
  <c r="P2172" i="11"/>
  <c r="O2172" i="11"/>
  <c r="N2172" i="11"/>
  <c r="M2172" i="11"/>
  <c r="L2172" i="11"/>
  <c r="A2172" i="11"/>
  <c r="P2171" i="11"/>
  <c r="O2171" i="11"/>
  <c r="N2171" i="11"/>
  <c r="M2171" i="11"/>
  <c r="L2171" i="11"/>
  <c r="A2171" i="11"/>
  <c r="P2170" i="11"/>
  <c r="O2170" i="11"/>
  <c r="N2170" i="11"/>
  <c r="M2170" i="11"/>
  <c r="L2170" i="11"/>
  <c r="A2170" i="11"/>
  <c r="P2169" i="11"/>
  <c r="O2169" i="11"/>
  <c r="N2169" i="11"/>
  <c r="M2169" i="11"/>
  <c r="L2169" i="11"/>
  <c r="A2169" i="11"/>
  <c r="P2168" i="11"/>
  <c r="O2168" i="11"/>
  <c r="N2168" i="11"/>
  <c r="M2168" i="11"/>
  <c r="L2168" i="11"/>
  <c r="A2168" i="11"/>
  <c r="P2167" i="11"/>
  <c r="O2167" i="11"/>
  <c r="N2167" i="11"/>
  <c r="M2167" i="11"/>
  <c r="L2167" i="11"/>
  <c r="A2167" i="11"/>
  <c r="P2166" i="11"/>
  <c r="O2166" i="11"/>
  <c r="N2166" i="11"/>
  <c r="M2166" i="11"/>
  <c r="L2166" i="11"/>
  <c r="A2166" i="11"/>
  <c r="P2165" i="11"/>
  <c r="O2165" i="11"/>
  <c r="N2165" i="11"/>
  <c r="M2165" i="11"/>
  <c r="L2165" i="11"/>
  <c r="A2165" i="11"/>
  <c r="P2164" i="11"/>
  <c r="O2164" i="11"/>
  <c r="N2164" i="11"/>
  <c r="M2164" i="11"/>
  <c r="L2164" i="11"/>
  <c r="A2164" i="11"/>
  <c r="P2203" i="11"/>
  <c r="O2203" i="11"/>
  <c r="N2203" i="11"/>
  <c r="M2203" i="11"/>
  <c r="L2203" i="11"/>
  <c r="A2203" i="11"/>
  <c r="P2163" i="11"/>
  <c r="O2163" i="11"/>
  <c r="N2163" i="11"/>
  <c r="M2163" i="11"/>
  <c r="L2163" i="11"/>
  <c r="A2163" i="11"/>
  <c r="P2162" i="11"/>
  <c r="O2162" i="11"/>
  <c r="N2162" i="11"/>
  <c r="M2162" i="11"/>
  <c r="L2162" i="11"/>
  <c r="A2162" i="11"/>
  <c r="P2160" i="11"/>
  <c r="O2160" i="11"/>
  <c r="N2160" i="11"/>
  <c r="M2160" i="11"/>
  <c r="L2160" i="11"/>
  <c r="A2160" i="11"/>
  <c r="P2121" i="11"/>
  <c r="O2121" i="11"/>
  <c r="N2121" i="11"/>
  <c r="M2121" i="11"/>
  <c r="L2121" i="11"/>
  <c r="A2121" i="11"/>
  <c r="P2159" i="11"/>
  <c r="O2159" i="11"/>
  <c r="N2159" i="11"/>
  <c r="M2159" i="11"/>
  <c r="L2159" i="11"/>
  <c r="A2159" i="11"/>
  <c r="P2158" i="11"/>
  <c r="O2158" i="11"/>
  <c r="N2158" i="11"/>
  <c r="M2158" i="11"/>
  <c r="L2158" i="11"/>
  <c r="A2158" i="11"/>
  <c r="P2195" i="11"/>
  <c r="O2195" i="11"/>
  <c r="N2195" i="11"/>
  <c r="M2195" i="11"/>
  <c r="L2195" i="11"/>
  <c r="A2195" i="11"/>
  <c r="P2157" i="11"/>
  <c r="O2157" i="11"/>
  <c r="N2157" i="11"/>
  <c r="M2157" i="11"/>
  <c r="L2157" i="11"/>
  <c r="A2157" i="11"/>
  <c r="P2156" i="11"/>
  <c r="O2156" i="11"/>
  <c r="N2156" i="11"/>
  <c r="M2156" i="11"/>
  <c r="L2156" i="11"/>
  <c r="A2156" i="11"/>
  <c r="P2155" i="11"/>
  <c r="O2155" i="11"/>
  <c r="N2155" i="11"/>
  <c r="M2155" i="11"/>
  <c r="L2155" i="11"/>
  <c r="A2155" i="11"/>
  <c r="P2096" i="11"/>
  <c r="O2096" i="11"/>
  <c r="N2096" i="11"/>
  <c r="M2096" i="11"/>
  <c r="L2096" i="11"/>
  <c r="A2096" i="11"/>
  <c r="P2154" i="11"/>
  <c r="O2154" i="11"/>
  <c r="N2154" i="11"/>
  <c r="M2154" i="11"/>
  <c r="L2154" i="11"/>
  <c r="A2154" i="11"/>
  <c r="P2153" i="11"/>
  <c r="O2153" i="11"/>
  <c r="N2153" i="11"/>
  <c r="M2153" i="11"/>
  <c r="L2153" i="11"/>
  <c r="A2153" i="11"/>
  <c r="P2201" i="11"/>
  <c r="O2201" i="11"/>
  <c r="N2201" i="11"/>
  <c r="M2201" i="11"/>
  <c r="L2201" i="11"/>
  <c r="A2201" i="11"/>
  <c r="P2152" i="11"/>
  <c r="O2152" i="11"/>
  <c r="N2152" i="11"/>
  <c r="M2152" i="11"/>
  <c r="L2152" i="11"/>
  <c r="A2152" i="11"/>
  <c r="P2151" i="11"/>
  <c r="O2151" i="11"/>
  <c r="N2151" i="11"/>
  <c r="M2151" i="11"/>
  <c r="L2151" i="11"/>
  <c r="A2151" i="11"/>
  <c r="P2150" i="11"/>
  <c r="O2150" i="11"/>
  <c r="N2150" i="11"/>
  <c r="M2150" i="11"/>
  <c r="L2150" i="11"/>
  <c r="A2150" i="11"/>
  <c r="P2149" i="11"/>
  <c r="O2149" i="11"/>
  <c r="N2149" i="11"/>
  <c r="M2149" i="11"/>
  <c r="L2149" i="11"/>
  <c r="A2149" i="11"/>
  <c r="P3201" i="11"/>
  <c r="O3201" i="11"/>
  <c r="N3201" i="11"/>
  <c r="M3201" i="11"/>
  <c r="L3201" i="11"/>
  <c r="P2147" i="11"/>
  <c r="O2147" i="11"/>
  <c r="N2147" i="11"/>
  <c r="M2147" i="11"/>
  <c r="L2147" i="11"/>
  <c r="A2147" i="11"/>
  <c r="P2146" i="11"/>
  <c r="O2146" i="11"/>
  <c r="N2146" i="11"/>
  <c r="M2146" i="11"/>
  <c r="L2146" i="11"/>
  <c r="A2146" i="11"/>
  <c r="P2145" i="11"/>
  <c r="O2145" i="11"/>
  <c r="N2145" i="11"/>
  <c r="M2145" i="11"/>
  <c r="L2145" i="11"/>
  <c r="A2145" i="11"/>
  <c r="P2144" i="11"/>
  <c r="O2144" i="11"/>
  <c r="N2144" i="11"/>
  <c r="M2144" i="11"/>
  <c r="L2144" i="11"/>
  <c r="A2144" i="11"/>
  <c r="P2143" i="11"/>
  <c r="O2143" i="11"/>
  <c r="N2143" i="11"/>
  <c r="M2143" i="11"/>
  <c r="L2143" i="11"/>
  <c r="A2143" i="11"/>
  <c r="P2142" i="11"/>
  <c r="O2142" i="11"/>
  <c r="N2142" i="11"/>
  <c r="M2142" i="11"/>
  <c r="L2142" i="11"/>
  <c r="A2142" i="11"/>
  <c r="P2141" i="11"/>
  <c r="O2141" i="11"/>
  <c r="N2141" i="11"/>
  <c r="M2141" i="11"/>
  <c r="L2141" i="11"/>
  <c r="A2141" i="11"/>
  <c r="P2137" i="11"/>
  <c r="O2137" i="11"/>
  <c r="N2137" i="11"/>
  <c r="M2137" i="11"/>
  <c r="L2137" i="11"/>
  <c r="A2137" i="11"/>
  <c r="P2204" i="11"/>
  <c r="O2204" i="11"/>
  <c r="N2204" i="11"/>
  <c r="M2204" i="11"/>
  <c r="L2204" i="11"/>
  <c r="A2204" i="11"/>
  <c r="P2109" i="11"/>
  <c r="O2109" i="11"/>
  <c r="N2109" i="11"/>
  <c r="M2109" i="11"/>
  <c r="L2109" i="11"/>
  <c r="A2109" i="11"/>
  <c r="P2139" i="11"/>
  <c r="O2139" i="11"/>
  <c r="N2139" i="11"/>
  <c r="M2139" i="11"/>
  <c r="L2139" i="11"/>
  <c r="A2139" i="11"/>
  <c r="P2138" i="11"/>
  <c r="O2138" i="11"/>
  <c r="N2138" i="11"/>
  <c r="M2138" i="11"/>
  <c r="L2138" i="11"/>
  <c r="A2138" i="11"/>
  <c r="P2136" i="11"/>
  <c r="O2136" i="11"/>
  <c r="N2136" i="11"/>
  <c r="M2136" i="11"/>
  <c r="L2136" i="11"/>
  <c r="A2136" i="11"/>
  <c r="P2161" i="11"/>
  <c r="O2161" i="11"/>
  <c r="N2161" i="11"/>
  <c r="M2161" i="11"/>
  <c r="L2161" i="11"/>
  <c r="A2161" i="11"/>
  <c r="P2135" i="11"/>
  <c r="O2135" i="11"/>
  <c r="N2135" i="11"/>
  <c r="M2135" i="11"/>
  <c r="L2135" i="11"/>
  <c r="A2135" i="11"/>
  <c r="P2134" i="11"/>
  <c r="O2134" i="11"/>
  <c r="N2134" i="11"/>
  <c r="M2134" i="11"/>
  <c r="L2134" i="11"/>
  <c r="A2134" i="11"/>
  <c r="P2133" i="11"/>
  <c r="O2133" i="11"/>
  <c r="N2133" i="11"/>
  <c r="M2133" i="11"/>
  <c r="L2133" i="11"/>
  <c r="A2133" i="11"/>
  <c r="P2132" i="11"/>
  <c r="O2132" i="11"/>
  <c r="N2132" i="11"/>
  <c r="M2132" i="11"/>
  <c r="L2132" i="11"/>
  <c r="A2132" i="11"/>
  <c r="P2131" i="11"/>
  <c r="O2131" i="11"/>
  <c r="N2131" i="11"/>
  <c r="M2131" i="11"/>
  <c r="L2131" i="11"/>
  <c r="A2131" i="11"/>
  <c r="P2130" i="11"/>
  <c r="O2130" i="11"/>
  <c r="N2130" i="11"/>
  <c r="M2130" i="11"/>
  <c r="L2130" i="11"/>
  <c r="A2130" i="11"/>
  <c r="P2129" i="11"/>
  <c r="O2129" i="11"/>
  <c r="N2129" i="11"/>
  <c r="M2129" i="11"/>
  <c r="L2129" i="11"/>
  <c r="A2129" i="11"/>
  <c r="P3199" i="11"/>
  <c r="O3199" i="11"/>
  <c r="N3199" i="11"/>
  <c r="M3199" i="11"/>
  <c r="L3199" i="11"/>
  <c r="P2126" i="11"/>
  <c r="O2126" i="11"/>
  <c r="N2126" i="11"/>
  <c r="M2126" i="11"/>
  <c r="L2126" i="11"/>
  <c r="A2126" i="11"/>
  <c r="P2124" i="11"/>
  <c r="O2124" i="11"/>
  <c r="N2124" i="11"/>
  <c r="M2124" i="11"/>
  <c r="L2124" i="11"/>
  <c r="A2124" i="11"/>
  <c r="P2123" i="11"/>
  <c r="O2123" i="11"/>
  <c r="N2123" i="11"/>
  <c r="M2123" i="11"/>
  <c r="L2123" i="11"/>
  <c r="A2123" i="11"/>
  <c r="P2122" i="11"/>
  <c r="O2122" i="11"/>
  <c r="N2122" i="11"/>
  <c r="M2122" i="11"/>
  <c r="L2122" i="11"/>
  <c r="A2122" i="11"/>
  <c r="P2120" i="11"/>
  <c r="O2120" i="11"/>
  <c r="N2120" i="11"/>
  <c r="M2120" i="11"/>
  <c r="L2120" i="11"/>
  <c r="A2120" i="11"/>
  <c r="P3198" i="11"/>
  <c r="O3198" i="11"/>
  <c r="N3198" i="11"/>
  <c r="M3198" i="11"/>
  <c r="L3198" i="11"/>
  <c r="P2119" i="11"/>
  <c r="O2119" i="11"/>
  <c r="N2119" i="11"/>
  <c r="M2119" i="11"/>
  <c r="L2119" i="11"/>
  <c r="A2119" i="11"/>
  <c r="P2118" i="11"/>
  <c r="O2118" i="11"/>
  <c r="N2118" i="11"/>
  <c r="M2118" i="11"/>
  <c r="L2118" i="11"/>
  <c r="A2118" i="11"/>
  <c r="P2117" i="11"/>
  <c r="O2117" i="11"/>
  <c r="N2117" i="11"/>
  <c r="M2117" i="11"/>
  <c r="L2117" i="11"/>
  <c r="A2117" i="11"/>
  <c r="P2116" i="11"/>
  <c r="O2116" i="11"/>
  <c r="N2116" i="11"/>
  <c r="M2116" i="11"/>
  <c r="L2116" i="11"/>
  <c r="A2116" i="11"/>
  <c r="P2115" i="11"/>
  <c r="O2115" i="11"/>
  <c r="N2115" i="11"/>
  <c r="M2115" i="11"/>
  <c r="L2115" i="11"/>
  <c r="A2115" i="11"/>
  <c r="P2114" i="11"/>
  <c r="O2114" i="11"/>
  <c r="N2114" i="11"/>
  <c r="M2114" i="11"/>
  <c r="L2114" i="11"/>
  <c r="A2114" i="11"/>
  <c r="P2113" i="11"/>
  <c r="O2113" i="11"/>
  <c r="N2113" i="11"/>
  <c r="M2113" i="11"/>
  <c r="L2113" i="11"/>
  <c r="A2113" i="11"/>
  <c r="P2112" i="11"/>
  <c r="O2112" i="11"/>
  <c r="N2112" i="11"/>
  <c r="M2112" i="11"/>
  <c r="L2112" i="11"/>
  <c r="A2112" i="11"/>
  <c r="P2111" i="11"/>
  <c r="O2111" i="11"/>
  <c r="N2111" i="11"/>
  <c r="M2111" i="11"/>
  <c r="L2111" i="11"/>
  <c r="A2111" i="11"/>
  <c r="P2110" i="11"/>
  <c r="O2110" i="11"/>
  <c r="N2110" i="11"/>
  <c r="M2110" i="11"/>
  <c r="L2110" i="11"/>
  <c r="A2110" i="11"/>
  <c r="P2108" i="11"/>
  <c r="O2108" i="11"/>
  <c r="N2108" i="11"/>
  <c r="M2108" i="11"/>
  <c r="L2108" i="11"/>
  <c r="A2108" i="11"/>
  <c r="P2107" i="11"/>
  <c r="O2107" i="11"/>
  <c r="N2107" i="11"/>
  <c r="M2107" i="11"/>
  <c r="L2107" i="11"/>
  <c r="A2107" i="11"/>
  <c r="P2106" i="11"/>
  <c r="O2106" i="11"/>
  <c r="N2106" i="11"/>
  <c r="M2106" i="11"/>
  <c r="L2106" i="11"/>
  <c r="A2106" i="11"/>
  <c r="P2105" i="11"/>
  <c r="O2105" i="11"/>
  <c r="N2105" i="11"/>
  <c r="M2105" i="11"/>
  <c r="L2105" i="11"/>
  <c r="A2105" i="11"/>
  <c r="P2104" i="11"/>
  <c r="O2104" i="11"/>
  <c r="N2104" i="11"/>
  <c r="M2104" i="11"/>
  <c r="L2104" i="11"/>
  <c r="A2104" i="11"/>
  <c r="P2103" i="11"/>
  <c r="O2103" i="11"/>
  <c r="N2103" i="11"/>
  <c r="M2103" i="11"/>
  <c r="L2103" i="11"/>
  <c r="A2103" i="11"/>
  <c r="P2102" i="11"/>
  <c r="O2102" i="11"/>
  <c r="N2102" i="11"/>
  <c r="M2102" i="11"/>
  <c r="L2102" i="11"/>
  <c r="A2102" i="11"/>
  <c r="P2101" i="11"/>
  <c r="O2101" i="11"/>
  <c r="N2101" i="11"/>
  <c r="M2101" i="11"/>
  <c r="L2101" i="11"/>
  <c r="A2101" i="11"/>
  <c r="P3197" i="11"/>
  <c r="O3197" i="11"/>
  <c r="N3197" i="11"/>
  <c r="M3197" i="11"/>
  <c r="L3197" i="11"/>
  <c r="P2099" i="11"/>
  <c r="O2099" i="11"/>
  <c r="N2099" i="11"/>
  <c r="M2099" i="11"/>
  <c r="L2099" i="11"/>
  <c r="A2099" i="11"/>
  <c r="P2098" i="11"/>
  <c r="O2098" i="11"/>
  <c r="N2098" i="11"/>
  <c r="M2098" i="11"/>
  <c r="L2098" i="11"/>
  <c r="A2098" i="11"/>
  <c r="P2097" i="11"/>
  <c r="O2097" i="11"/>
  <c r="N2097" i="11"/>
  <c r="M2097" i="11"/>
  <c r="L2097" i="11"/>
  <c r="A2097" i="11"/>
  <c r="P2095" i="11"/>
  <c r="O2095" i="11"/>
  <c r="N2095" i="11"/>
  <c r="M2095" i="11"/>
  <c r="L2095" i="11"/>
  <c r="A2095" i="11"/>
  <c r="P2094" i="11"/>
  <c r="O2094" i="11"/>
  <c r="N2094" i="11"/>
  <c r="M2094" i="11"/>
  <c r="L2094" i="11"/>
  <c r="A2094" i="11"/>
  <c r="P2093" i="11"/>
  <c r="O2093" i="11"/>
  <c r="N2093" i="11"/>
  <c r="M2093" i="11"/>
  <c r="L2093" i="11"/>
  <c r="A2093" i="11"/>
  <c r="P2092" i="11"/>
  <c r="O2092" i="11"/>
  <c r="N2092" i="11"/>
  <c r="M2092" i="11"/>
  <c r="L2092" i="11"/>
  <c r="A2092" i="11"/>
  <c r="P2091" i="11"/>
  <c r="O2091" i="11"/>
  <c r="N2091" i="11"/>
  <c r="M2091" i="11"/>
  <c r="L2091" i="11"/>
  <c r="A2091" i="11"/>
  <c r="P2090" i="11"/>
  <c r="O2090" i="11"/>
  <c r="N2090" i="11"/>
  <c r="M2090" i="11"/>
  <c r="L2090" i="11"/>
  <c r="A2090" i="11"/>
  <c r="P2008" i="11"/>
  <c r="O2008" i="11"/>
  <c r="N2008" i="11"/>
  <c r="M2008" i="11"/>
  <c r="L2008" i="11"/>
  <c r="A2008" i="11"/>
  <c r="P2082" i="11"/>
  <c r="O2082" i="11"/>
  <c r="N2082" i="11"/>
  <c r="M2082" i="11"/>
  <c r="L2082" i="11"/>
  <c r="A2082" i="11"/>
  <c r="P2080" i="11"/>
  <c r="O2080" i="11"/>
  <c r="N2080" i="11"/>
  <c r="M2080" i="11"/>
  <c r="L2080" i="11"/>
  <c r="A2080" i="11"/>
  <c r="P2005" i="11"/>
  <c r="O2005" i="11"/>
  <c r="N2005" i="11"/>
  <c r="M2005" i="11"/>
  <c r="L2005" i="11"/>
  <c r="A2005" i="11"/>
  <c r="P2079" i="11"/>
  <c r="O2079" i="11"/>
  <c r="N2079" i="11"/>
  <c r="M2079" i="11"/>
  <c r="L2079" i="11"/>
  <c r="A2079" i="11"/>
  <c r="P2078" i="11"/>
  <c r="O2078" i="11"/>
  <c r="N2078" i="11"/>
  <c r="M2078" i="11"/>
  <c r="L2078" i="11"/>
  <c r="A2078" i="11"/>
  <c r="P2077" i="11"/>
  <c r="O2077" i="11"/>
  <c r="N2077" i="11"/>
  <c r="M2077" i="11"/>
  <c r="L2077" i="11"/>
  <c r="A2077" i="11"/>
  <c r="P2086" i="11"/>
  <c r="O2086" i="11"/>
  <c r="N2086" i="11"/>
  <c r="M2086" i="11"/>
  <c r="L2086" i="11"/>
  <c r="A2086" i="11"/>
  <c r="P2075" i="11"/>
  <c r="O2075" i="11"/>
  <c r="N2075" i="11"/>
  <c r="M2075" i="11"/>
  <c r="L2075" i="11"/>
  <c r="A2075" i="11"/>
  <c r="P2074" i="11"/>
  <c r="O2074" i="11"/>
  <c r="N2074" i="11"/>
  <c r="M2074" i="11"/>
  <c r="L2074" i="11"/>
  <c r="A2074" i="11"/>
  <c r="P2072" i="11"/>
  <c r="O2072" i="11"/>
  <c r="N2072" i="11"/>
  <c r="M2072" i="11"/>
  <c r="L2072" i="11"/>
  <c r="A2072" i="11"/>
  <c r="P1997" i="11"/>
  <c r="O1997" i="11"/>
  <c r="N1997" i="11"/>
  <c r="M1997" i="11"/>
  <c r="L1997" i="11"/>
  <c r="A1997" i="11"/>
  <c r="P2070" i="11"/>
  <c r="O2070" i="11"/>
  <c r="N2070" i="11"/>
  <c r="M2070" i="11"/>
  <c r="L2070" i="11"/>
  <c r="A2070" i="11"/>
  <c r="P2084" i="11"/>
  <c r="O2084" i="11"/>
  <c r="N2084" i="11"/>
  <c r="M2084" i="11"/>
  <c r="L2084" i="11"/>
  <c r="A2084" i="11"/>
  <c r="P2069" i="11"/>
  <c r="O2069" i="11"/>
  <c r="N2069" i="11"/>
  <c r="M2069" i="11"/>
  <c r="L2069" i="11"/>
  <c r="A2069" i="11"/>
  <c r="P2068" i="11"/>
  <c r="O2068" i="11"/>
  <c r="N2068" i="11"/>
  <c r="M2068" i="11"/>
  <c r="L2068" i="11"/>
  <c r="A2068" i="11"/>
  <c r="P2067" i="11"/>
  <c r="O2067" i="11"/>
  <c r="N2067" i="11"/>
  <c r="M2067" i="11"/>
  <c r="L2067" i="11"/>
  <c r="A2067" i="11"/>
  <c r="P2089" i="11"/>
  <c r="O2089" i="11"/>
  <c r="N2089" i="11"/>
  <c r="M2089" i="11"/>
  <c r="L2089" i="11"/>
  <c r="A2089" i="11"/>
  <c r="P2065" i="11"/>
  <c r="O2065" i="11"/>
  <c r="N2065" i="11"/>
  <c r="M2065" i="11"/>
  <c r="L2065" i="11"/>
  <c r="A2065" i="11"/>
  <c r="P2064" i="11"/>
  <c r="O2064" i="11"/>
  <c r="N2064" i="11"/>
  <c r="M2064" i="11"/>
  <c r="L2064" i="11"/>
  <c r="A2064" i="11"/>
  <c r="P2004" i="11"/>
  <c r="O2004" i="11"/>
  <c r="N2004" i="11"/>
  <c r="M2004" i="11"/>
  <c r="L2004" i="11"/>
  <c r="A2004" i="11"/>
  <c r="P2062" i="11"/>
  <c r="O2062" i="11"/>
  <c r="N2062" i="11"/>
  <c r="M2062" i="11"/>
  <c r="L2062" i="11"/>
  <c r="A2062" i="11"/>
  <c r="P2061" i="11"/>
  <c r="O2061" i="11"/>
  <c r="N2061" i="11"/>
  <c r="M2061" i="11"/>
  <c r="L2061" i="11"/>
  <c r="A2061" i="11"/>
  <c r="P2088" i="11"/>
  <c r="O2088" i="11"/>
  <c r="N2088" i="11"/>
  <c r="M2088" i="11"/>
  <c r="L2088" i="11"/>
  <c r="A2088" i="11"/>
  <c r="P2060" i="11"/>
  <c r="O2060" i="11"/>
  <c r="N2060" i="11"/>
  <c r="M2060" i="11"/>
  <c r="L2060" i="11"/>
  <c r="A2060" i="11"/>
  <c r="P2058" i="11"/>
  <c r="O2058" i="11"/>
  <c r="N2058" i="11"/>
  <c r="M2058" i="11"/>
  <c r="L2058" i="11"/>
  <c r="A2058" i="11"/>
  <c r="P2032" i="11"/>
  <c r="O2032" i="11"/>
  <c r="N2032" i="11"/>
  <c r="M2032" i="11"/>
  <c r="L2032" i="11"/>
  <c r="A2032" i="11"/>
  <c r="P2057" i="11"/>
  <c r="O2057" i="11"/>
  <c r="N2057" i="11"/>
  <c r="M2057" i="11"/>
  <c r="L2057" i="11"/>
  <c r="A2057" i="11"/>
  <c r="P2056" i="11"/>
  <c r="O2056" i="11"/>
  <c r="N2056" i="11"/>
  <c r="M2056" i="11"/>
  <c r="L2056" i="11"/>
  <c r="A2056" i="11"/>
  <c r="P2055" i="11"/>
  <c r="O2055" i="11"/>
  <c r="N2055" i="11"/>
  <c r="M2055" i="11"/>
  <c r="L2055" i="11"/>
  <c r="A2055" i="11"/>
  <c r="P2054" i="11"/>
  <c r="O2054" i="11"/>
  <c r="N2054" i="11"/>
  <c r="M2054" i="11"/>
  <c r="L2054" i="11"/>
  <c r="A2054" i="11"/>
  <c r="P1993" i="11"/>
  <c r="O1993" i="11"/>
  <c r="N1993" i="11"/>
  <c r="M1993" i="11"/>
  <c r="L1993" i="11"/>
  <c r="A1993" i="11"/>
  <c r="P2053" i="11"/>
  <c r="O2053" i="11"/>
  <c r="N2053" i="11"/>
  <c r="M2053" i="11"/>
  <c r="L2053" i="11"/>
  <c r="A2053" i="11"/>
  <c r="P2052" i="11"/>
  <c r="O2052" i="11"/>
  <c r="N2052" i="11"/>
  <c r="M2052" i="11"/>
  <c r="L2052" i="11"/>
  <c r="A2052" i="11"/>
  <c r="P2051" i="11"/>
  <c r="O2051" i="11"/>
  <c r="N2051" i="11"/>
  <c r="M2051" i="11"/>
  <c r="L2051" i="11"/>
  <c r="A2051" i="11"/>
  <c r="P2050" i="11"/>
  <c r="O2050" i="11"/>
  <c r="N2050" i="11"/>
  <c r="M2050" i="11"/>
  <c r="L2050" i="11"/>
  <c r="A2050" i="11"/>
  <c r="P2049" i="11"/>
  <c r="O2049" i="11"/>
  <c r="N2049" i="11"/>
  <c r="M2049" i="11"/>
  <c r="L2049" i="11"/>
  <c r="A2049" i="11"/>
  <c r="P2048" i="11"/>
  <c r="O2048" i="11"/>
  <c r="N2048" i="11"/>
  <c r="M2048" i="11"/>
  <c r="L2048" i="11"/>
  <c r="A2048" i="11"/>
  <c r="P2047" i="11"/>
  <c r="O2047" i="11"/>
  <c r="N2047" i="11"/>
  <c r="M2047" i="11"/>
  <c r="L2047" i="11"/>
  <c r="A2047" i="11"/>
  <c r="P2046" i="11"/>
  <c r="O2046" i="11"/>
  <c r="N2046" i="11"/>
  <c r="M2046" i="11"/>
  <c r="L2046" i="11"/>
  <c r="A2046" i="11"/>
  <c r="P2045" i="11"/>
  <c r="O2045" i="11"/>
  <c r="N2045" i="11"/>
  <c r="M2045" i="11"/>
  <c r="L2045" i="11"/>
  <c r="A2045" i="11"/>
  <c r="P2044" i="11"/>
  <c r="O2044" i="11"/>
  <c r="N2044" i="11"/>
  <c r="M2044" i="11"/>
  <c r="L2044" i="11"/>
  <c r="A2044" i="11"/>
  <c r="P2043" i="11"/>
  <c r="O2043" i="11"/>
  <c r="N2043" i="11"/>
  <c r="M2043" i="11"/>
  <c r="L2043" i="11"/>
  <c r="A2043" i="11"/>
  <c r="P2042" i="11"/>
  <c r="O2042" i="11"/>
  <c r="N2042" i="11"/>
  <c r="M2042" i="11"/>
  <c r="L2042" i="11"/>
  <c r="A2042" i="11"/>
  <c r="P2013" i="11"/>
  <c r="O2013" i="11"/>
  <c r="N2013" i="11"/>
  <c r="M2013" i="11"/>
  <c r="L2013" i="11"/>
  <c r="A2013" i="11"/>
  <c r="P2041" i="11"/>
  <c r="O2041" i="11"/>
  <c r="N2041" i="11"/>
  <c r="M2041" i="11"/>
  <c r="L2041" i="11"/>
  <c r="A2041" i="11"/>
  <c r="P2040" i="11"/>
  <c r="O2040" i="11"/>
  <c r="N2040" i="11"/>
  <c r="M2040" i="11"/>
  <c r="L2040" i="11"/>
  <c r="A2040" i="11"/>
  <c r="P2011" i="11"/>
  <c r="O2011" i="11"/>
  <c r="N2011" i="11"/>
  <c r="M2011" i="11"/>
  <c r="L2011" i="11"/>
  <c r="A2011" i="11"/>
  <c r="P2039" i="11"/>
  <c r="O2039" i="11"/>
  <c r="N2039" i="11"/>
  <c r="M2039" i="11"/>
  <c r="L2039" i="11"/>
  <c r="A2039" i="11"/>
  <c r="P2038" i="11"/>
  <c r="O2038" i="11"/>
  <c r="N2038" i="11"/>
  <c r="M2038" i="11"/>
  <c r="L2038" i="11"/>
  <c r="A2038" i="11"/>
  <c r="P2037" i="11"/>
  <c r="O2037" i="11"/>
  <c r="N2037" i="11"/>
  <c r="M2037" i="11"/>
  <c r="L2037" i="11"/>
  <c r="A2037" i="11"/>
  <c r="P2085" i="11"/>
  <c r="O2085" i="11"/>
  <c r="N2085" i="11"/>
  <c r="M2085" i="11"/>
  <c r="L2085" i="11"/>
  <c r="A2085" i="11"/>
  <c r="P2036" i="11"/>
  <c r="O2036" i="11"/>
  <c r="N2036" i="11"/>
  <c r="M2036" i="11"/>
  <c r="L2036" i="11"/>
  <c r="A2036" i="11"/>
  <c r="P3196" i="11"/>
  <c r="O3196" i="11"/>
  <c r="N3196" i="11"/>
  <c r="M3196" i="11"/>
  <c r="L3196" i="11"/>
  <c r="P2034" i="11"/>
  <c r="O2034" i="11"/>
  <c r="N2034" i="11"/>
  <c r="M2034" i="11"/>
  <c r="L2034" i="11"/>
  <c r="A2034" i="11"/>
  <c r="P2033" i="11"/>
  <c r="O2033" i="11"/>
  <c r="N2033" i="11"/>
  <c r="M2033" i="11"/>
  <c r="L2033" i="11"/>
  <c r="A2033" i="11"/>
  <c r="P2071" i="11"/>
  <c r="O2071" i="11"/>
  <c r="N2071" i="11"/>
  <c r="M2071" i="11"/>
  <c r="L2071" i="11"/>
  <c r="A2071" i="11"/>
  <c r="P2031" i="11"/>
  <c r="O2031" i="11"/>
  <c r="N2031" i="11"/>
  <c r="M2031" i="11"/>
  <c r="L2031" i="11"/>
  <c r="A2031" i="11"/>
  <c r="P2030" i="11"/>
  <c r="O2030" i="11"/>
  <c r="N2030" i="11"/>
  <c r="M2030" i="11"/>
  <c r="L2030" i="11"/>
  <c r="A2030" i="11"/>
  <c r="P2029" i="11"/>
  <c r="O2029" i="11"/>
  <c r="N2029" i="11"/>
  <c r="M2029" i="11"/>
  <c r="L2029" i="11"/>
  <c r="A2029" i="11"/>
  <c r="P2028" i="11"/>
  <c r="O2028" i="11"/>
  <c r="N2028" i="11"/>
  <c r="M2028" i="11"/>
  <c r="L2028" i="11"/>
  <c r="A2028" i="11"/>
  <c r="P2027" i="11"/>
  <c r="O2027" i="11"/>
  <c r="N2027" i="11"/>
  <c r="M2027" i="11"/>
  <c r="L2027" i="11"/>
  <c r="A2027" i="11"/>
  <c r="P2022" i="11"/>
  <c r="O2022" i="11"/>
  <c r="N2022" i="11"/>
  <c r="M2022" i="11"/>
  <c r="L2022" i="11"/>
  <c r="A2022" i="11"/>
  <c r="P2026" i="11"/>
  <c r="O2026" i="11"/>
  <c r="N2026" i="11"/>
  <c r="M2026" i="11"/>
  <c r="L2026" i="11"/>
  <c r="A2026" i="11"/>
  <c r="P2025" i="11"/>
  <c r="O2025" i="11"/>
  <c r="N2025" i="11"/>
  <c r="M2025" i="11"/>
  <c r="L2025" i="11"/>
  <c r="A2025" i="11"/>
  <c r="P2024" i="11"/>
  <c r="O2024" i="11"/>
  <c r="N2024" i="11"/>
  <c r="M2024" i="11"/>
  <c r="L2024" i="11"/>
  <c r="A2024" i="11"/>
  <c r="P2023" i="11"/>
  <c r="O2023" i="11"/>
  <c r="N2023" i="11"/>
  <c r="M2023" i="11"/>
  <c r="L2023" i="11"/>
  <c r="A2023" i="11"/>
  <c r="P2083" i="11"/>
  <c r="O2083" i="11"/>
  <c r="N2083" i="11"/>
  <c r="M2083" i="11"/>
  <c r="L2083" i="11"/>
  <c r="A2083" i="11"/>
  <c r="P2021" i="11"/>
  <c r="O2021" i="11"/>
  <c r="N2021" i="11"/>
  <c r="M2021" i="11"/>
  <c r="L2021" i="11"/>
  <c r="A2021" i="11"/>
  <c r="P1984" i="11"/>
  <c r="O1984" i="11"/>
  <c r="N1984" i="11"/>
  <c r="M1984" i="11"/>
  <c r="L1984" i="11"/>
  <c r="A1984" i="11"/>
  <c r="P2020" i="11"/>
  <c r="O2020" i="11"/>
  <c r="N2020" i="11"/>
  <c r="M2020" i="11"/>
  <c r="L2020" i="11"/>
  <c r="A2020" i="11"/>
  <c r="P2076" i="11"/>
  <c r="O2076" i="11"/>
  <c r="N2076" i="11"/>
  <c r="M2076" i="11"/>
  <c r="L2076" i="11"/>
  <c r="A2076" i="11"/>
  <c r="P2019" i="11"/>
  <c r="O2019" i="11"/>
  <c r="N2019" i="11"/>
  <c r="M2019" i="11"/>
  <c r="L2019" i="11"/>
  <c r="A2019" i="11"/>
  <c r="P2018" i="11"/>
  <c r="O2018" i="11"/>
  <c r="N2018" i="11"/>
  <c r="M2018" i="11"/>
  <c r="L2018" i="11"/>
  <c r="A2018" i="11"/>
  <c r="P2017" i="11"/>
  <c r="O2017" i="11"/>
  <c r="N2017" i="11"/>
  <c r="M2017" i="11"/>
  <c r="L2017" i="11"/>
  <c r="A2017" i="11"/>
  <c r="P2016" i="11"/>
  <c r="O2016" i="11"/>
  <c r="N2016" i="11"/>
  <c r="M2016" i="11"/>
  <c r="L2016" i="11"/>
  <c r="A2016" i="11"/>
  <c r="P2015" i="11"/>
  <c r="O2015" i="11"/>
  <c r="N2015" i="11"/>
  <c r="M2015" i="11"/>
  <c r="L2015" i="11"/>
  <c r="A2015" i="11"/>
  <c r="P2571" i="11"/>
  <c r="O2571" i="11"/>
  <c r="N2571" i="11"/>
  <c r="M2571" i="11"/>
  <c r="L2571" i="11"/>
  <c r="P2014" i="11"/>
  <c r="O2014" i="11"/>
  <c r="N2014" i="11"/>
  <c r="M2014" i="11"/>
  <c r="L2014" i="11"/>
  <c r="A2014" i="11"/>
  <c r="P2059" i="11"/>
  <c r="O2059" i="11"/>
  <c r="N2059" i="11"/>
  <c r="M2059" i="11"/>
  <c r="L2059" i="11"/>
  <c r="A2059" i="11"/>
  <c r="P2035" i="11"/>
  <c r="O2035" i="11"/>
  <c r="N2035" i="11"/>
  <c r="M2035" i="11"/>
  <c r="L2035" i="11"/>
  <c r="A2035" i="11"/>
  <c r="P3194" i="11"/>
  <c r="O3194" i="11"/>
  <c r="N3194" i="11"/>
  <c r="M3194" i="11"/>
  <c r="L3194" i="11"/>
  <c r="P2010" i="11"/>
  <c r="O2010" i="11"/>
  <c r="N2010" i="11"/>
  <c r="M2010" i="11"/>
  <c r="L2010" i="11"/>
  <c r="A2010" i="11"/>
  <c r="P2007" i="11"/>
  <c r="O2007" i="11"/>
  <c r="N2007" i="11"/>
  <c r="M2007" i="11"/>
  <c r="L2007" i="11"/>
  <c r="A2007" i="11"/>
  <c r="P2066" i="11"/>
  <c r="O2066" i="11"/>
  <c r="N2066" i="11"/>
  <c r="M2066" i="11"/>
  <c r="L2066" i="11"/>
  <c r="A2066" i="11"/>
  <c r="P2006" i="11"/>
  <c r="O2006" i="11"/>
  <c r="N2006" i="11"/>
  <c r="M2006" i="11"/>
  <c r="L2006" i="11"/>
  <c r="A2006" i="11"/>
  <c r="P2003" i="11"/>
  <c r="O2003" i="11"/>
  <c r="N2003" i="11"/>
  <c r="M2003" i="11"/>
  <c r="L2003" i="11"/>
  <c r="A2003" i="11"/>
  <c r="P3193" i="11"/>
  <c r="O3193" i="11"/>
  <c r="N3193" i="11"/>
  <c r="M3193" i="11"/>
  <c r="L3193" i="11"/>
  <c r="P2073" i="11"/>
  <c r="O2073" i="11"/>
  <c r="N2073" i="11"/>
  <c r="M2073" i="11"/>
  <c r="L2073" i="11"/>
  <c r="A2073" i="11"/>
  <c r="P2002" i="11"/>
  <c r="O2002" i="11"/>
  <c r="N2002" i="11"/>
  <c r="M2002" i="11"/>
  <c r="L2002" i="11"/>
  <c r="A2002" i="11"/>
  <c r="P2001" i="11"/>
  <c r="O2001" i="11"/>
  <c r="N2001" i="11"/>
  <c r="M2001" i="11"/>
  <c r="L2001" i="11"/>
  <c r="A2001" i="11"/>
  <c r="P2087" i="11"/>
  <c r="O2087" i="11"/>
  <c r="N2087" i="11"/>
  <c r="M2087" i="11"/>
  <c r="L2087" i="11"/>
  <c r="A2087" i="11"/>
  <c r="P2000" i="11"/>
  <c r="O2000" i="11"/>
  <c r="N2000" i="11"/>
  <c r="M2000" i="11"/>
  <c r="L2000" i="11"/>
  <c r="A2000" i="11"/>
  <c r="P1999" i="11"/>
  <c r="O1999" i="11"/>
  <c r="N1999" i="11"/>
  <c r="M1999" i="11"/>
  <c r="L1999" i="11"/>
  <c r="A1999" i="11"/>
  <c r="P1998" i="11"/>
  <c r="O1998" i="11"/>
  <c r="N1998" i="11"/>
  <c r="M1998" i="11"/>
  <c r="L1998" i="11"/>
  <c r="A1998" i="11"/>
  <c r="P1996" i="11"/>
  <c r="O1996" i="11"/>
  <c r="N1996" i="11"/>
  <c r="M1996" i="11"/>
  <c r="L1996" i="11"/>
  <c r="A1996" i="11"/>
  <c r="P1995" i="11"/>
  <c r="O1995" i="11"/>
  <c r="N1995" i="11"/>
  <c r="M1995" i="11"/>
  <c r="L1995" i="11"/>
  <c r="A1995" i="11"/>
  <c r="P1994" i="11"/>
  <c r="O1994" i="11"/>
  <c r="N1994" i="11"/>
  <c r="M1994" i="11"/>
  <c r="L1994" i="11"/>
  <c r="A1994" i="11"/>
  <c r="P2081" i="11"/>
  <c r="O2081" i="11"/>
  <c r="N2081" i="11"/>
  <c r="M2081" i="11"/>
  <c r="L2081" i="11"/>
  <c r="A2081" i="11"/>
  <c r="P1992" i="11"/>
  <c r="O1992" i="11"/>
  <c r="N1992" i="11"/>
  <c r="M1992" i="11"/>
  <c r="L1992" i="11"/>
  <c r="A1992" i="11"/>
  <c r="P1991" i="11"/>
  <c r="O1991" i="11"/>
  <c r="N1991" i="11"/>
  <c r="M1991" i="11"/>
  <c r="L1991" i="11"/>
  <c r="A1991" i="11"/>
  <c r="P1990" i="11"/>
  <c r="O1990" i="11"/>
  <c r="N1990" i="11"/>
  <c r="M1990" i="11"/>
  <c r="L1990" i="11"/>
  <c r="A1990" i="11"/>
  <c r="P1989" i="11"/>
  <c r="O1989" i="11"/>
  <c r="N1989" i="11"/>
  <c r="M1989" i="11"/>
  <c r="L1989" i="11"/>
  <c r="A1989" i="11"/>
  <c r="P1988" i="11"/>
  <c r="O1988" i="11"/>
  <c r="N1988" i="11"/>
  <c r="M1988" i="11"/>
  <c r="L1988" i="11"/>
  <c r="A1988" i="11"/>
  <c r="P1987" i="11"/>
  <c r="O1987" i="11"/>
  <c r="N1987" i="11"/>
  <c r="M1987" i="11"/>
  <c r="L1987" i="11"/>
  <c r="A1987" i="11"/>
  <c r="P1986" i="11"/>
  <c r="O1986" i="11"/>
  <c r="N1986" i="11"/>
  <c r="M1986" i="11"/>
  <c r="L1986" i="11"/>
  <c r="A1986" i="11"/>
  <c r="P1985" i="11"/>
  <c r="O1985" i="11"/>
  <c r="N1985" i="11"/>
  <c r="M1985" i="11"/>
  <c r="L1985" i="11"/>
  <c r="A1985" i="11"/>
  <c r="P1983" i="11"/>
  <c r="O1983" i="11"/>
  <c r="N1983" i="11"/>
  <c r="M1983" i="11"/>
  <c r="L1983" i="11"/>
  <c r="A1983" i="11"/>
  <c r="P3192" i="11"/>
  <c r="O3192" i="11"/>
  <c r="N3192" i="11"/>
  <c r="M3192" i="11"/>
  <c r="L3192" i="11"/>
  <c r="P1982" i="11"/>
  <c r="O1982" i="11"/>
  <c r="N1982" i="11"/>
  <c r="M1982" i="11"/>
  <c r="L1982" i="11"/>
  <c r="A1982" i="11"/>
  <c r="P1981" i="11"/>
  <c r="O1981" i="11"/>
  <c r="N1981" i="11"/>
  <c r="M1981" i="11"/>
  <c r="L1981" i="11"/>
  <c r="A1981" i="11"/>
  <c r="P1980" i="11"/>
  <c r="O1980" i="11"/>
  <c r="N1980" i="11"/>
  <c r="M1980" i="11"/>
  <c r="L1980" i="11"/>
  <c r="A1980" i="11"/>
  <c r="P1979" i="11"/>
  <c r="O1979" i="11"/>
  <c r="N1979" i="11"/>
  <c r="M1979" i="11"/>
  <c r="L1979" i="11"/>
  <c r="A1979" i="11"/>
  <c r="P1978" i="11"/>
  <c r="O1978" i="11"/>
  <c r="N1978" i="11"/>
  <c r="M1978" i="11"/>
  <c r="L1978" i="11"/>
  <c r="A1978" i="11"/>
  <c r="P1977" i="11"/>
  <c r="O1977" i="11"/>
  <c r="N1977" i="11"/>
  <c r="M1977" i="11"/>
  <c r="L1977" i="11"/>
  <c r="A1977" i="11"/>
  <c r="P1976" i="11"/>
  <c r="O1976" i="11"/>
  <c r="N1976" i="11"/>
  <c r="M1976" i="11"/>
  <c r="L1976" i="11"/>
  <c r="A1976" i="11"/>
  <c r="P1975" i="11"/>
  <c r="O1975" i="11"/>
  <c r="N1975" i="11"/>
  <c r="M1975" i="11"/>
  <c r="L1975" i="11"/>
  <c r="A1975" i="11"/>
  <c r="P1974" i="11"/>
  <c r="O1974" i="11"/>
  <c r="N1974" i="11"/>
  <c r="M1974" i="11"/>
  <c r="L1974" i="11"/>
  <c r="A1974" i="11"/>
  <c r="P1880" i="11"/>
  <c r="O1880" i="11"/>
  <c r="N1880" i="11"/>
  <c r="M1880" i="11"/>
  <c r="L1880" i="11"/>
  <c r="A1880" i="11"/>
  <c r="P1968" i="11"/>
  <c r="O1968" i="11"/>
  <c r="N1968" i="11"/>
  <c r="M1968" i="11"/>
  <c r="L1968" i="11"/>
  <c r="A1968" i="11"/>
  <c r="P1966" i="11"/>
  <c r="O1966" i="11"/>
  <c r="N1966" i="11"/>
  <c r="M1966" i="11"/>
  <c r="L1966" i="11"/>
  <c r="A1966" i="11"/>
  <c r="P1964" i="11"/>
  <c r="O1964" i="11"/>
  <c r="N1964" i="11"/>
  <c r="M1964" i="11"/>
  <c r="L1964" i="11"/>
  <c r="A1964" i="11"/>
  <c r="P1962" i="11"/>
  <c r="O1962" i="11"/>
  <c r="N1962" i="11"/>
  <c r="M1962" i="11"/>
  <c r="L1962" i="11"/>
  <c r="A1962" i="11"/>
  <c r="P1969" i="11"/>
  <c r="O1969" i="11"/>
  <c r="N1969" i="11"/>
  <c r="M1969" i="11"/>
  <c r="L1969" i="11"/>
  <c r="A1969" i="11"/>
  <c r="P1961" i="11"/>
  <c r="O1961" i="11"/>
  <c r="N1961" i="11"/>
  <c r="M1961" i="11"/>
  <c r="L1961" i="11"/>
  <c r="A1961" i="11"/>
  <c r="P1959" i="11"/>
  <c r="O1959" i="11"/>
  <c r="N1959" i="11"/>
  <c r="M1959" i="11"/>
  <c r="L1959" i="11"/>
  <c r="A1959" i="11"/>
  <c r="P1958" i="11"/>
  <c r="O1958" i="11"/>
  <c r="N1958" i="11"/>
  <c r="M1958" i="11"/>
  <c r="L1958" i="11"/>
  <c r="A1958" i="11"/>
  <c r="P1957" i="11"/>
  <c r="O1957" i="11"/>
  <c r="N1957" i="11"/>
  <c r="M1957" i="11"/>
  <c r="L1957" i="11"/>
  <c r="A1957" i="11"/>
  <c r="P1956" i="11"/>
  <c r="O1956" i="11"/>
  <c r="N1956" i="11"/>
  <c r="M1956" i="11"/>
  <c r="L1956" i="11"/>
  <c r="A1956" i="11"/>
  <c r="P1955" i="11"/>
  <c r="O1955" i="11"/>
  <c r="N1955" i="11"/>
  <c r="M1955" i="11"/>
  <c r="L1955" i="11"/>
  <c r="A1955" i="11"/>
  <c r="P1954" i="11"/>
  <c r="O1954" i="11"/>
  <c r="N1954" i="11"/>
  <c r="M1954" i="11"/>
  <c r="L1954" i="11"/>
  <c r="A1954" i="11"/>
  <c r="P1973" i="11"/>
  <c r="O1973" i="11"/>
  <c r="N1973" i="11"/>
  <c r="M1973" i="11"/>
  <c r="L1973" i="11"/>
  <c r="A1973" i="11"/>
  <c r="P1953" i="11"/>
  <c r="O1953" i="11"/>
  <c r="N1953" i="11"/>
  <c r="M1953" i="11"/>
  <c r="L1953" i="11"/>
  <c r="A1953" i="11"/>
  <c r="P1952" i="11"/>
  <c r="O1952" i="11"/>
  <c r="N1952" i="11"/>
  <c r="M1952" i="11"/>
  <c r="L1952" i="11"/>
  <c r="A1952" i="11"/>
  <c r="P1950" i="11"/>
  <c r="O1950" i="11"/>
  <c r="N1950" i="11"/>
  <c r="M1950" i="11"/>
  <c r="L1950" i="11"/>
  <c r="A1950" i="11"/>
  <c r="P1949" i="11"/>
  <c r="O1949" i="11"/>
  <c r="N1949" i="11"/>
  <c r="M1949" i="11"/>
  <c r="L1949" i="11"/>
  <c r="A1949" i="11"/>
  <c r="P1948" i="11"/>
  <c r="O1948" i="11"/>
  <c r="N1948" i="11"/>
  <c r="M1948" i="11"/>
  <c r="L1948" i="11"/>
  <c r="A1948" i="11"/>
  <c r="P1947" i="11"/>
  <c r="O1947" i="11"/>
  <c r="N1947" i="11"/>
  <c r="M1947" i="11"/>
  <c r="L1947" i="11"/>
  <c r="A1947" i="11"/>
  <c r="P1946" i="11"/>
  <c r="O1946" i="11"/>
  <c r="N1946" i="11"/>
  <c r="M1946" i="11"/>
  <c r="L1946" i="11"/>
  <c r="A1946" i="11"/>
  <c r="P1945" i="11"/>
  <c r="O1945" i="11"/>
  <c r="N1945" i="11"/>
  <c r="M1945" i="11"/>
  <c r="L1945" i="11"/>
  <c r="A1945" i="11"/>
  <c r="P1944" i="11"/>
  <c r="O1944" i="11"/>
  <c r="N1944" i="11"/>
  <c r="M1944" i="11"/>
  <c r="L1944" i="11"/>
  <c r="A1944" i="11"/>
  <c r="P1943" i="11"/>
  <c r="O1943" i="11"/>
  <c r="N1943" i="11"/>
  <c r="M1943" i="11"/>
  <c r="L1943" i="11"/>
  <c r="A1943" i="11"/>
  <c r="P1942" i="11"/>
  <c r="O1942" i="11"/>
  <c r="N1942" i="11"/>
  <c r="M1942" i="11"/>
  <c r="L1942" i="11"/>
  <c r="A1942" i="11"/>
  <c r="P1941" i="11"/>
  <c r="O1941" i="11"/>
  <c r="N1941" i="11"/>
  <c r="M1941" i="11"/>
  <c r="L1941" i="11"/>
  <c r="A1941" i="11"/>
  <c r="P1940" i="11"/>
  <c r="O1940" i="11"/>
  <c r="N1940" i="11"/>
  <c r="M1940" i="11"/>
  <c r="L1940" i="11"/>
  <c r="A1940" i="11"/>
  <c r="P1939" i="11"/>
  <c r="O1939" i="11"/>
  <c r="N1939" i="11"/>
  <c r="M1939" i="11"/>
  <c r="L1939" i="11"/>
  <c r="A1939" i="11"/>
  <c r="P1938" i="11"/>
  <c r="O1938" i="11"/>
  <c r="N1938" i="11"/>
  <c r="M1938" i="11"/>
  <c r="L1938" i="11"/>
  <c r="A1938" i="11"/>
  <c r="P1937" i="11"/>
  <c r="O1937" i="11"/>
  <c r="N1937" i="11"/>
  <c r="M1937" i="11"/>
  <c r="L1937" i="11"/>
  <c r="A1937" i="11"/>
  <c r="P1936" i="11"/>
  <c r="O1936" i="11"/>
  <c r="N1936" i="11"/>
  <c r="M1936" i="11"/>
  <c r="L1936" i="11"/>
  <c r="A1936" i="11"/>
  <c r="P1919" i="11"/>
  <c r="O1919" i="11"/>
  <c r="N1919" i="11"/>
  <c r="M1919" i="11"/>
  <c r="L1919" i="11"/>
  <c r="A1919" i="11"/>
  <c r="P1935" i="11"/>
  <c r="O1935" i="11"/>
  <c r="N1935" i="11"/>
  <c r="M1935" i="11"/>
  <c r="L1935" i="11"/>
  <c r="A1935" i="11"/>
  <c r="P1934" i="11"/>
  <c r="O1934" i="11"/>
  <c r="N1934" i="11"/>
  <c r="M1934" i="11"/>
  <c r="L1934" i="11"/>
  <c r="A1934" i="11"/>
  <c r="P1933" i="11"/>
  <c r="O1933" i="11"/>
  <c r="N1933" i="11"/>
  <c r="M1933" i="11"/>
  <c r="L1933" i="11"/>
  <c r="A1933" i="11"/>
  <c r="P1932" i="11"/>
  <c r="O1932" i="11"/>
  <c r="N1932" i="11"/>
  <c r="M1932" i="11"/>
  <c r="L1932" i="11"/>
  <c r="A1932" i="11"/>
  <c r="P1931" i="11"/>
  <c r="O1931" i="11"/>
  <c r="N1931" i="11"/>
  <c r="M1931" i="11"/>
  <c r="L1931" i="11"/>
  <c r="A1931" i="11"/>
  <c r="P1930" i="11"/>
  <c r="O1930" i="11"/>
  <c r="N1930" i="11"/>
  <c r="M1930" i="11"/>
  <c r="L1930" i="11"/>
  <c r="A1930" i="11"/>
  <c r="P1967" i="11"/>
  <c r="O1967" i="11"/>
  <c r="N1967" i="11"/>
  <c r="M1967" i="11"/>
  <c r="L1967" i="11"/>
  <c r="A1967" i="11"/>
  <c r="P1929" i="11"/>
  <c r="O1929" i="11"/>
  <c r="N1929" i="11"/>
  <c r="M1929" i="11"/>
  <c r="L1929" i="11"/>
  <c r="A1929" i="11"/>
  <c r="P1963" i="11"/>
  <c r="O1963" i="11"/>
  <c r="N1963" i="11"/>
  <c r="M1963" i="11"/>
  <c r="L1963" i="11"/>
  <c r="A1963" i="11"/>
  <c r="P1915" i="11"/>
  <c r="O1915" i="11"/>
  <c r="N1915" i="11"/>
  <c r="M1915" i="11"/>
  <c r="L1915" i="11"/>
  <c r="A1915" i="11"/>
  <c r="P1927" i="11"/>
  <c r="O1927" i="11"/>
  <c r="N1927" i="11"/>
  <c r="M1927" i="11"/>
  <c r="L1927" i="11"/>
  <c r="A1927" i="11"/>
  <c r="P1926" i="11"/>
  <c r="O1926" i="11"/>
  <c r="N1926" i="11"/>
  <c r="M1926" i="11"/>
  <c r="L1926" i="11"/>
  <c r="A1926" i="11"/>
  <c r="P1925" i="11"/>
  <c r="O1925" i="11"/>
  <c r="N1925" i="11"/>
  <c r="M1925" i="11"/>
  <c r="L1925" i="11"/>
  <c r="A1925" i="11"/>
  <c r="P1923" i="11"/>
  <c r="O1923" i="11"/>
  <c r="N1923" i="11"/>
  <c r="M1923" i="11"/>
  <c r="L1923" i="11"/>
  <c r="A1923" i="11"/>
  <c r="P1922" i="11"/>
  <c r="O1922" i="11"/>
  <c r="N1922" i="11"/>
  <c r="M1922" i="11"/>
  <c r="L1922" i="11"/>
  <c r="A1922" i="11"/>
  <c r="P1921" i="11"/>
  <c r="O1921" i="11"/>
  <c r="N1921" i="11"/>
  <c r="M1921" i="11"/>
  <c r="L1921" i="11"/>
  <c r="A1921" i="11"/>
  <c r="P1920" i="11"/>
  <c r="O1920" i="11"/>
  <c r="N1920" i="11"/>
  <c r="M1920" i="11"/>
  <c r="L1920" i="11"/>
  <c r="A1920" i="11"/>
  <c r="P3191" i="11"/>
  <c r="O3191" i="11"/>
  <c r="N3191" i="11"/>
  <c r="M3191" i="11"/>
  <c r="L3191" i="11"/>
  <c r="P1918" i="11"/>
  <c r="O1918" i="11"/>
  <c r="N1918" i="11"/>
  <c r="M1918" i="11"/>
  <c r="L1918" i="11"/>
  <c r="A1918" i="11"/>
  <c r="P1917" i="11"/>
  <c r="O1917" i="11"/>
  <c r="N1917" i="11"/>
  <c r="M1917" i="11"/>
  <c r="L1917" i="11"/>
  <c r="A1917" i="11"/>
  <c r="P1916" i="11"/>
  <c r="O1916" i="11"/>
  <c r="N1916" i="11"/>
  <c r="M1916" i="11"/>
  <c r="L1916" i="11"/>
  <c r="A1916" i="11"/>
  <c r="P1928" i="11"/>
  <c r="O1928" i="11"/>
  <c r="N1928" i="11"/>
  <c r="M1928" i="11"/>
  <c r="L1928" i="11"/>
  <c r="A1928" i="11"/>
  <c r="P1885" i="11"/>
  <c r="O1885" i="11"/>
  <c r="N1885" i="11"/>
  <c r="M1885" i="11"/>
  <c r="L1885" i="11"/>
  <c r="A1885" i="11"/>
  <c r="P1914" i="11"/>
  <c r="O1914" i="11"/>
  <c r="N1914" i="11"/>
  <c r="M1914" i="11"/>
  <c r="L1914" i="11"/>
  <c r="A1914" i="11"/>
  <c r="P1913" i="11"/>
  <c r="O1913" i="11"/>
  <c r="N1913" i="11"/>
  <c r="M1913" i="11"/>
  <c r="L1913" i="11"/>
  <c r="A1913" i="11"/>
  <c r="P1912" i="11"/>
  <c r="O1912" i="11"/>
  <c r="N1912" i="11"/>
  <c r="M1912" i="11"/>
  <c r="L1912" i="11"/>
  <c r="A1912" i="11"/>
  <c r="P1907" i="11"/>
  <c r="O1907" i="11"/>
  <c r="N1907" i="11"/>
  <c r="M1907" i="11"/>
  <c r="L1907" i="11"/>
  <c r="A1907" i="11"/>
  <c r="P1911" i="11"/>
  <c r="O1911" i="11"/>
  <c r="N1911" i="11"/>
  <c r="M1911" i="11"/>
  <c r="L1911" i="11"/>
  <c r="A1911" i="11"/>
  <c r="P1910" i="11"/>
  <c r="O1910" i="11"/>
  <c r="N1910" i="11"/>
  <c r="M1910" i="11"/>
  <c r="L1910" i="11"/>
  <c r="A1910" i="11"/>
  <c r="P1909" i="11"/>
  <c r="O1909" i="11"/>
  <c r="N1909" i="11"/>
  <c r="M1909" i="11"/>
  <c r="L1909" i="11"/>
  <c r="A1909" i="11"/>
  <c r="P1908" i="11"/>
  <c r="O1908" i="11"/>
  <c r="N1908" i="11"/>
  <c r="M1908" i="11"/>
  <c r="L1908" i="11"/>
  <c r="A1908" i="11"/>
  <c r="P1906" i="11"/>
  <c r="O1906" i="11"/>
  <c r="N1906" i="11"/>
  <c r="M1906" i="11"/>
  <c r="L1906" i="11"/>
  <c r="A1906" i="11"/>
  <c r="P1905" i="11"/>
  <c r="O1905" i="11"/>
  <c r="N1905" i="11"/>
  <c r="M1905" i="11"/>
  <c r="L1905" i="11"/>
  <c r="A1905" i="11"/>
  <c r="P1868" i="11"/>
  <c r="O1868" i="11"/>
  <c r="N1868" i="11"/>
  <c r="M1868" i="11"/>
  <c r="L1868" i="11"/>
  <c r="A1868" i="11"/>
  <c r="P1904" i="11"/>
  <c r="O1904" i="11"/>
  <c r="N1904" i="11"/>
  <c r="M1904" i="11"/>
  <c r="L1904" i="11"/>
  <c r="A1904" i="11"/>
  <c r="P1903" i="11"/>
  <c r="O1903" i="11"/>
  <c r="N1903" i="11"/>
  <c r="M1903" i="11"/>
  <c r="L1903" i="11"/>
  <c r="A1903" i="11"/>
  <c r="P1902" i="11"/>
  <c r="O1902" i="11"/>
  <c r="N1902" i="11"/>
  <c r="M1902" i="11"/>
  <c r="L1902" i="11"/>
  <c r="A1902" i="11"/>
  <c r="P1901" i="11"/>
  <c r="O1901" i="11"/>
  <c r="N1901" i="11"/>
  <c r="M1901" i="11"/>
  <c r="L1901" i="11"/>
  <c r="A1901" i="11"/>
  <c r="P1900" i="11"/>
  <c r="O1900" i="11"/>
  <c r="N1900" i="11"/>
  <c r="M1900" i="11"/>
  <c r="L1900" i="11"/>
  <c r="A1900" i="11"/>
  <c r="P1899" i="11"/>
  <c r="O1899" i="11"/>
  <c r="N1899" i="11"/>
  <c r="M1899" i="11"/>
  <c r="L1899" i="11"/>
  <c r="A1899" i="11"/>
  <c r="P1898" i="11"/>
  <c r="O1898" i="11"/>
  <c r="N1898" i="11"/>
  <c r="M1898" i="11"/>
  <c r="L1898" i="11"/>
  <c r="A1898" i="11"/>
  <c r="P2570" i="11"/>
  <c r="O2570" i="11"/>
  <c r="N2570" i="11"/>
  <c r="M2570" i="11"/>
  <c r="L2570" i="11"/>
  <c r="P1897" i="11"/>
  <c r="O1897" i="11"/>
  <c r="N1897" i="11"/>
  <c r="M1897" i="11"/>
  <c r="L1897" i="11"/>
  <c r="A1897" i="11"/>
  <c r="P1896" i="11"/>
  <c r="O1896" i="11"/>
  <c r="N1896" i="11"/>
  <c r="M1896" i="11"/>
  <c r="L1896" i="11"/>
  <c r="A1896" i="11"/>
  <c r="P1895" i="11"/>
  <c r="O1895" i="11"/>
  <c r="N1895" i="11"/>
  <c r="M1895" i="11"/>
  <c r="L1895" i="11"/>
  <c r="A1895" i="11"/>
  <c r="P3189" i="11"/>
  <c r="O3189" i="11"/>
  <c r="N3189" i="11"/>
  <c r="M3189" i="11"/>
  <c r="L3189" i="11"/>
  <c r="P1893" i="11"/>
  <c r="O1893" i="11"/>
  <c r="N1893" i="11"/>
  <c r="M1893" i="11"/>
  <c r="L1893" i="11"/>
  <c r="A1893" i="11"/>
  <c r="P1891" i="11"/>
  <c r="O1891" i="11"/>
  <c r="N1891" i="11"/>
  <c r="M1891" i="11"/>
  <c r="L1891" i="11"/>
  <c r="A1891" i="11"/>
  <c r="P1890" i="11"/>
  <c r="O1890" i="11"/>
  <c r="N1890" i="11"/>
  <c r="M1890" i="11"/>
  <c r="L1890" i="11"/>
  <c r="A1890" i="11"/>
  <c r="P1889" i="11"/>
  <c r="O1889" i="11"/>
  <c r="N1889" i="11"/>
  <c r="M1889" i="11"/>
  <c r="L1889" i="11"/>
  <c r="A1889" i="11"/>
  <c r="P1888" i="11"/>
  <c r="O1888" i="11"/>
  <c r="N1888" i="11"/>
  <c r="M1888" i="11"/>
  <c r="L1888" i="11"/>
  <c r="A1888" i="11"/>
  <c r="P3188" i="11"/>
  <c r="O3188" i="11"/>
  <c r="N3188" i="11"/>
  <c r="M3188" i="11"/>
  <c r="L3188" i="11"/>
  <c r="P1887" i="11"/>
  <c r="O1887" i="11"/>
  <c r="N1887" i="11"/>
  <c r="M1887" i="11"/>
  <c r="L1887" i="11"/>
  <c r="A1887" i="11"/>
  <c r="P1886" i="11"/>
  <c r="O1886" i="11"/>
  <c r="N1886" i="11"/>
  <c r="M1886" i="11"/>
  <c r="L1886" i="11"/>
  <c r="A1886" i="11"/>
  <c r="P1884" i="11"/>
  <c r="O1884" i="11"/>
  <c r="N1884" i="11"/>
  <c r="M1884" i="11"/>
  <c r="L1884" i="11"/>
  <c r="A1884" i="11"/>
  <c r="P1883" i="11"/>
  <c r="O1883" i="11"/>
  <c r="N1883" i="11"/>
  <c r="M1883" i="11"/>
  <c r="L1883" i="11"/>
  <c r="A1883" i="11"/>
  <c r="P1882" i="11"/>
  <c r="O1882" i="11"/>
  <c r="N1882" i="11"/>
  <c r="M1882" i="11"/>
  <c r="L1882" i="11"/>
  <c r="A1882" i="11"/>
  <c r="P1960" i="11"/>
  <c r="O1960" i="11"/>
  <c r="N1960" i="11"/>
  <c r="M1960" i="11"/>
  <c r="L1960" i="11"/>
  <c r="A1960" i="11"/>
  <c r="P1881" i="11"/>
  <c r="O1881" i="11"/>
  <c r="N1881" i="11"/>
  <c r="M1881" i="11"/>
  <c r="L1881" i="11"/>
  <c r="A1881" i="11"/>
  <c r="P1874" i="11"/>
  <c r="O1874" i="11"/>
  <c r="N1874" i="11"/>
  <c r="M1874" i="11"/>
  <c r="L1874" i="11"/>
  <c r="A1874" i="11"/>
  <c r="P1879" i="11"/>
  <c r="O1879" i="11"/>
  <c r="N1879" i="11"/>
  <c r="M1879" i="11"/>
  <c r="L1879" i="11"/>
  <c r="A1879" i="11"/>
  <c r="P1878" i="11"/>
  <c r="O1878" i="11"/>
  <c r="N1878" i="11"/>
  <c r="M1878" i="11"/>
  <c r="L1878" i="11"/>
  <c r="A1878" i="11"/>
  <c r="P1877" i="11"/>
  <c r="O1877" i="11"/>
  <c r="N1877" i="11"/>
  <c r="M1877" i="11"/>
  <c r="L1877" i="11"/>
  <c r="A1877" i="11"/>
  <c r="P1970" i="11"/>
  <c r="O1970" i="11"/>
  <c r="N1970" i="11"/>
  <c r="M1970" i="11"/>
  <c r="L1970" i="11"/>
  <c r="A1970" i="11"/>
  <c r="P1876" i="11"/>
  <c r="O1876" i="11"/>
  <c r="N1876" i="11"/>
  <c r="M1876" i="11"/>
  <c r="L1876" i="11"/>
  <c r="A1876" i="11"/>
  <c r="P1875" i="11"/>
  <c r="O1875" i="11"/>
  <c r="N1875" i="11"/>
  <c r="M1875" i="11"/>
  <c r="L1875" i="11"/>
  <c r="A1875" i="11"/>
  <c r="P1924" i="11"/>
  <c r="O1924" i="11"/>
  <c r="N1924" i="11"/>
  <c r="M1924" i="11"/>
  <c r="L1924" i="11"/>
  <c r="A1924" i="11"/>
  <c r="P1873" i="11"/>
  <c r="O1873" i="11"/>
  <c r="N1873" i="11"/>
  <c r="M1873" i="11"/>
  <c r="L1873" i="11"/>
  <c r="A1873" i="11"/>
  <c r="P1872" i="11"/>
  <c r="O1872" i="11"/>
  <c r="N1872" i="11"/>
  <c r="M1872" i="11"/>
  <c r="L1872" i="11"/>
  <c r="A1872" i="11"/>
  <c r="P1871" i="11"/>
  <c r="O1871" i="11"/>
  <c r="N1871" i="11"/>
  <c r="M1871" i="11"/>
  <c r="L1871" i="11"/>
  <c r="A1871" i="11"/>
  <c r="P1972" i="11"/>
  <c r="O1972" i="11"/>
  <c r="N1972" i="11"/>
  <c r="M1972" i="11"/>
  <c r="L1972" i="11"/>
  <c r="A1972" i="11"/>
  <c r="P1870" i="11"/>
  <c r="O1870" i="11"/>
  <c r="N1870" i="11"/>
  <c r="M1870" i="11"/>
  <c r="L1870" i="11"/>
  <c r="A1870" i="11"/>
  <c r="P1869" i="11"/>
  <c r="O1869" i="11"/>
  <c r="N1869" i="11"/>
  <c r="M1869" i="11"/>
  <c r="L1869" i="11"/>
  <c r="A1869" i="11"/>
  <c r="P1867" i="11"/>
  <c r="O1867" i="11"/>
  <c r="N1867" i="11"/>
  <c r="M1867" i="11"/>
  <c r="L1867" i="11"/>
  <c r="A1867" i="11"/>
  <c r="P3187" i="11"/>
  <c r="O3187" i="11"/>
  <c r="N3187" i="11"/>
  <c r="M3187" i="11"/>
  <c r="L3187" i="11"/>
  <c r="P1866" i="11"/>
  <c r="O1866" i="11"/>
  <c r="N1866" i="11"/>
  <c r="M1866" i="11"/>
  <c r="L1866" i="11"/>
  <c r="A1866" i="11"/>
  <c r="P1865" i="11"/>
  <c r="O1865" i="11"/>
  <c r="N1865" i="11"/>
  <c r="M1865" i="11"/>
  <c r="L1865" i="11"/>
  <c r="A1865" i="11"/>
  <c r="P1971" i="11"/>
  <c r="O1971" i="11"/>
  <c r="N1971" i="11"/>
  <c r="M1971" i="11"/>
  <c r="L1971" i="11"/>
  <c r="A1971" i="11"/>
  <c r="P1864" i="11"/>
  <c r="O1864" i="11"/>
  <c r="N1864" i="11"/>
  <c r="M1864" i="11"/>
  <c r="L1864" i="11"/>
  <c r="A1864" i="11"/>
  <c r="P1863" i="11"/>
  <c r="O1863" i="11"/>
  <c r="N1863" i="11"/>
  <c r="M1863" i="11"/>
  <c r="L1863" i="11"/>
  <c r="A1863" i="11"/>
  <c r="P1862" i="11"/>
  <c r="O1862" i="11"/>
  <c r="N1862" i="11"/>
  <c r="M1862" i="11"/>
  <c r="L1862" i="11"/>
  <c r="A1862" i="11"/>
  <c r="P1861" i="11"/>
  <c r="O1861" i="11"/>
  <c r="N1861" i="11"/>
  <c r="M1861" i="11"/>
  <c r="L1861" i="11"/>
  <c r="A1861" i="11"/>
  <c r="P1860" i="11"/>
  <c r="O1860" i="11"/>
  <c r="N1860" i="11"/>
  <c r="M1860" i="11"/>
  <c r="L1860" i="11"/>
  <c r="A1860" i="11"/>
  <c r="P1965" i="11"/>
  <c r="O1965" i="11"/>
  <c r="N1965" i="11"/>
  <c r="M1965" i="11"/>
  <c r="L1965" i="11"/>
  <c r="A1965" i="11"/>
  <c r="P1859" i="11"/>
  <c r="O1859" i="11"/>
  <c r="N1859" i="11"/>
  <c r="M1859" i="11"/>
  <c r="L1859" i="11"/>
  <c r="A1859" i="11"/>
  <c r="P1858" i="11"/>
  <c r="O1858" i="11"/>
  <c r="N1858" i="11"/>
  <c r="M1858" i="11"/>
  <c r="L1858" i="11"/>
  <c r="A1858" i="11"/>
  <c r="P1844" i="11" l="1"/>
  <c r="O1844" i="11"/>
  <c r="N1844" i="11"/>
  <c r="M1844" i="11"/>
  <c r="L1844" i="11"/>
  <c r="A1844" i="11"/>
  <c r="P1850" i="11"/>
  <c r="O1850" i="11"/>
  <c r="N1850" i="11"/>
  <c r="M1850" i="11"/>
  <c r="L1850" i="11"/>
  <c r="A1850" i="11"/>
  <c r="P1843" i="11"/>
  <c r="O1843" i="11"/>
  <c r="N1843" i="11"/>
  <c r="M1843" i="11"/>
  <c r="L1843" i="11"/>
  <c r="A1843" i="11"/>
  <c r="P1849" i="11"/>
  <c r="O1849" i="11"/>
  <c r="N1849" i="11"/>
  <c r="M1849" i="11"/>
  <c r="L1849" i="11"/>
  <c r="A1849" i="11"/>
  <c r="P1842" i="11"/>
  <c r="O1842" i="11"/>
  <c r="N1842" i="11"/>
  <c r="M1842" i="11"/>
  <c r="L1842" i="11"/>
  <c r="A1842" i="11"/>
  <c r="P1840" i="11"/>
  <c r="O1840" i="11"/>
  <c r="N1840" i="11"/>
  <c r="M1840" i="11"/>
  <c r="L1840" i="11"/>
  <c r="A1840" i="11"/>
  <c r="P1839" i="11"/>
  <c r="O1839" i="11"/>
  <c r="N1839" i="11"/>
  <c r="M1839" i="11"/>
  <c r="L1839" i="11"/>
  <c r="A1839" i="11"/>
  <c r="P1851" i="11"/>
  <c r="O1851" i="11"/>
  <c r="N1851" i="11"/>
  <c r="M1851" i="11"/>
  <c r="L1851" i="11"/>
  <c r="A1851" i="11"/>
  <c r="P1837" i="11"/>
  <c r="O1837" i="11"/>
  <c r="N1837" i="11"/>
  <c r="M1837" i="11"/>
  <c r="L1837" i="11"/>
  <c r="A1837" i="11"/>
  <c r="P1836" i="11"/>
  <c r="O1836" i="11"/>
  <c r="N1836" i="11"/>
  <c r="M1836" i="11"/>
  <c r="L1836" i="11"/>
  <c r="A1836" i="11"/>
  <c r="P1835" i="11"/>
  <c r="O1835" i="11"/>
  <c r="N1835" i="11"/>
  <c r="M1835" i="11"/>
  <c r="L1835" i="11"/>
  <c r="A1835" i="11"/>
  <c r="P1834" i="11"/>
  <c r="O1834" i="11"/>
  <c r="N1834" i="11"/>
  <c r="M1834" i="11"/>
  <c r="L1834" i="11"/>
  <c r="A1834" i="11"/>
  <c r="P1833" i="11"/>
  <c r="O1833" i="11"/>
  <c r="N1833" i="11"/>
  <c r="M1833" i="11"/>
  <c r="L1833" i="11"/>
  <c r="A1833" i="11"/>
  <c r="P1831" i="11"/>
  <c r="O1831" i="11"/>
  <c r="N1831" i="11"/>
  <c r="M1831" i="11"/>
  <c r="L1831" i="11"/>
  <c r="A1831" i="11"/>
  <c r="P1830" i="11"/>
  <c r="O1830" i="11"/>
  <c r="N1830" i="11"/>
  <c r="M1830" i="11"/>
  <c r="L1830" i="11"/>
  <c r="A1830" i="11"/>
  <c r="P1768" i="11"/>
  <c r="O1768" i="11"/>
  <c r="N1768" i="11"/>
  <c r="M1768" i="11"/>
  <c r="L1768" i="11"/>
  <c r="A1768" i="11"/>
  <c r="P1829" i="11"/>
  <c r="O1829" i="11"/>
  <c r="N1829" i="11"/>
  <c r="M1829" i="11"/>
  <c r="L1829" i="11"/>
  <c r="A1829" i="11"/>
  <c r="P1832" i="11"/>
  <c r="O1832" i="11"/>
  <c r="N1832" i="11"/>
  <c r="M1832" i="11"/>
  <c r="L1832" i="11"/>
  <c r="A1832" i="11"/>
  <c r="P1828" i="11"/>
  <c r="O1828" i="11"/>
  <c r="N1828" i="11"/>
  <c r="M1828" i="11"/>
  <c r="L1828" i="11"/>
  <c r="A1828" i="11"/>
  <c r="P1827" i="11"/>
  <c r="O1827" i="11"/>
  <c r="N1827" i="11"/>
  <c r="M1827" i="11"/>
  <c r="L1827" i="11"/>
  <c r="A1827" i="11"/>
  <c r="P1826" i="11"/>
  <c r="O1826" i="11"/>
  <c r="N1826" i="11"/>
  <c r="M1826" i="11"/>
  <c r="L1826" i="11"/>
  <c r="A1826" i="11"/>
  <c r="P1825" i="11"/>
  <c r="O1825" i="11"/>
  <c r="N1825" i="11"/>
  <c r="M1825" i="11"/>
  <c r="L1825" i="11"/>
  <c r="A1825" i="11"/>
  <c r="P1824" i="11"/>
  <c r="O1824" i="11"/>
  <c r="N1824" i="11"/>
  <c r="M1824" i="11"/>
  <c r="L1824" i="11"/>
  <c r="A1824" i="11"/>
  <c r="P1823" i="11"/>
  <c r="O1823" i="11"/>
  <c r="N1823" i="11"/>
  <c r="M1823" i="11"/>
  <c r="L1823" i="11"/>
  <c r="A1823" i="11"/>
  <c r="P1822" i="11"/>
  <c r="O1822" i="11"/>
  <c r="N1822" i="11"/>
  <c r="M1822" i="11"/>
  <c r="L1822" i="11"/>
  <c r="A1822" i="11"/>
  <c r="P1821" i="11"/>
  <c r="O1821" i="11"/>
  <c r="N1821" i="11"/>
  <c r="M1821" i="11"/>
  <c r="L1821" i="11"/>
  <c r="A1821" i="11"/>
  <c r="P1820" i="11"/>
  <c r="O1820" i="11"/>
  <c r="N1820" i="11"/>
  <c r="M1820" i="11"/>
  <c r="L1820" i="11"/>
  <c r="A1820" i="11"/>
  <c r="P1846" i="11"/>
  <c r="O1846" i="11"/>
  <c r="N1846" i="11"/>
  <c r="M1846" i="11"/>
  <c r="L1846" i="11"/>
  <c r="A1846" i="11"/>
  <c r="P1819" i="11"/>
  <c r="O1819" i="11"/>
  <c r="N1819" i="11"/>
  <c r="M1819" i="11"/>
  <c r="L1819" i="11"/>
  <c r="A1819" i="11"/>
  <c r="P1780" i="11"/>
  <c r="O1780" i="11"/>
  <c r="N1780" i="11"/>
  <c r="M1780" i="11"/>
  <c r="L1780" i="11"/>
  <c r="A1780" i="11"/>
  <c r="P1818" i="11"/>
  <c r="O1818" i="11"/>
  <c r="N1818" i="11"/>
  <c r="M1818" i="11"/>
  <c r="L1818" i="11"/>
  <c r="A1818" i="11"/>
  <c r="P1816" i="11"/>
  <c r="O1816" i="11"/>
  <c r="N1816" i="11"/>
  <c r="M1816" i="11"/>
  <c r="L1816" i="11"/>
  <c r="A1816" i="11"/>
  <c r="P1853" i="11"/>
  <c r="O1853" i="11"/>
  <c r="N1853" i="11"/>
  <c r="M1853" i="11"/>
  <c r="L1853" i="11"/>
  <c r="A1853" i="11"/>
  <c r="P1803" i="11"/>
  <c r="O1803" i="11"/>
  <c r="N1803" i="11"/>
  <c r="M1803" i="11"/>
  <c r="L1803" i="11"/>
  <c r="A1803" i="11"/>
  <c r="P1815" i="11"/>
  <c r="O1815" i="11"/>
  <c r="N1815" i="11"/>
  <c r="M1815" i="11"/>
  <c r="L1815" i="11"/>
  <c r="A1815" i="11"/>
  <c r="P1814" i="11"/>
  <c r="O1814" i="11"/>
  <c r="N1814" i="11"/>
  <c r="M1814" i="11"/>
  <c r="L1814" i="11"/>
  <c r="A1814" i="11"/>
  <c r="P1813" i="11"/>
  <c r="O1813" i="11"/>
  <c r="N1813" i="11"/>
  <c r="M1813" i="11"/>
  <c r="L1813" i="11"/>
  <c r="A1813" i="11"/>
  <c r="P1812" i="11"/>
  <c r="O1812" i="11"/>
  <c r="N1812" i="11"/>
  <c r="M1812" i="11"/>
  <c r="L1812" i="11"/>
  <c r="A1812" i="11"/>
  <c r="P1811" i="11"/>
  <c r="O1811" i="11"/>
  <c r="N1811" i="11"/>
  <c r="M1811" i="11"/>
  <c r="L1811" i="11"/>
  <c r="A1811" i="11"/>
  <c r="P1855" i="11"/>
  <c r="O1855" i="11"/>
  <c r="N1855" i="11"/>
  <c r="M1855" i="11"/>
  <c r="L1855" i="11"/>
  <c r="A1855" i="11"/>
  <c r="P1810" i="11"/>
  <c r="O1810" i="11"/>
  <c r="N1810" i="11"/>
  <c r="M1810" i="11"/>
  <c r="L1810" i="11"/>
  <c r="A1810" i="11"/>
  <c r="P1809" i="11"/>
  <c r="O1809" i="11"/>
  <c r="N1809" i="11"/>
  <c r="M1809" i="11"/>
  <c r="L1809" i="11"/>
  <c r="A1809" i="11"/>
  <c r="P3186" i="11"/>
  <c r="O3186" i="11"/>
  <c r="N3186" i="11"/>
  <c r="M3186" i="11"/>
  <c r="L3186" i="11"/>
  <c r="P1806" i="11"/>
  <c r="O1806" i="11"/>
  <c r="N1806" i="11"/>
  <c r="M1806" i="11"/>
  <c r="L1806" i="11"/>
  <c r="A1806" i="11"/>
  <c r="P1805" i="11"/>
  <c r="O1805" i="11"/>
  <c r="N1805" i="11"/>
  <c r="M1805" i="11"/>
  <c r="L1805" i="11"/>
  <c r="A1805" i="11"/>
  <c r="P1804" i="11"/>
  <c r="O1804" i="11"/>
  <c r="N1804" i="11"/>
  <c r="M1804" i="11"/>
  <c r="L1804" i="11"/>
  <c r="A1804" i="11"/>
  <c r="P1817" i="11"/>
  <c r="O1817" i="11"/>
  <c r="N1817" i="11"/>
  <c r="M1817" i="11"/>
  <c r="L1817" i="11"/>
  <c r="A1817" i="11"/>
  <c r="P1807" i="11"/>
  <c r="O1807" i="11"/>
  <c r="N1807" i="11"/>
  <c r="M1807" i="11"/>
  <c r="L1807" i="11"/>
  <c r="A1807" i="11"/>
  <c r="P1802" i="11"/>
  <c r="O1802" i="11"/>
  <c r="N1802" i="11"/>
  <c r="M1802" i="11"/>
  <c r="L1802" i="11"/>
  <c r="A1802" i="11"/>
  <c r="P1801" i="11"/>
  <c r="O1801" i="11"/>
  <c r="N1801" i="11"/>
  <c r="M1801" i="11"/>
  <c r="L1801" i="11"/>
  <c r="A1801" i="11"/>
  <c r="P1799" i="11"/>
  <c r="O1799" i="11"/>
  <c r="N1799" i="11"/>
  <c r="M1799" i="11"/>
  <c r="L1799" i="11"/>
  <c r="A1799" i="11"/>
  <c r="P1796" i="11"/>
  <c r="O1796" i="11"/>
  <c r="N1796" i="11"/>
  <c r="M1796" i="11"/>
  <c r="L1796" i="11"/>
  <c r="A1796" i="11"/>
  <c r="P1808" i="11"/>
  <c r="O1808" i="11"/>
  <c r="N1808" i="11"/>
  <c r="M1808" i="11"/>
  <c r="L1808" i="11"/>
  <c r="A1808" i="11"/>
  <c r="P1847" i="11"/>
  <c r="O1847" i="11"/>
  <c r="N1847" i="11"/>
  <c r="M1847" i="11"/>
  <c r="L1847" i="11"/>
  <c r="A1847" i="11"/>
  <c r="P1845" i="11"/>
  <c r="O1845" i="11"/>
  <c r="N1845" i="11"/>
  <c r="M1845" i="11"/>
  <c r="L1845" i="11"/>
  <c r="A1845" i="11"/>
  <c r="P1798" i="11"/>
  <c r="O1798" i="11"/>
  <c r="N1798" i="11"/>
  <c r="M1798" i="11"/>
  <c r="L1798" i="11"/>
  <c r="A1798" i="11"/>
  <c r="P1797" i="11"/>
  <c r="O1797" i="11"/>
  <c r="N1797" i="11"/>
  <c r="M1797" i="11"/>
  <c r="L1797" i="11"/>
  <c r="A1797" i="11"/>
  <c r="P1795" i="11"/>
  <c r="O1795" i="11"/>
  <c r="N1795" i="11"/>
  <c r="M1795" i="11"/>
  <c r="L1795" i="11"/>
  <c r="A1795" i="11"/>
  <c r="P1794" i="11"/>
  <c r="O1794" i="11"/>
  <c r="N1794" i="11"/>
  <c r="M1794" i="11"/>
  <c r="L1794" i="11"/>
  <c r="A1794" i="11"/>
  <c r="P1800" i="11"/>
  <c r="O1800" i="11"/>
  <c r="N1800" i="11"/>
  <c r="M1800" i="11"/>
  <c r="L1800" i="11"/>
  <c r="A1800" i="11"/>
  <c r="P1838" i="11"/>
  <c r="O1838" i="11"/>
  <c r="N1838" i="11"/>
  <c r="M1838" i="11"/>
  <c r="L1838" i="11"/>
  <c r="A1838" i="11"/>
  <c r="P1857" i="11"/>
  <c r="O1857" i="11"/>
  <c r="N1857" i="11"/>
  <c r="M1857" i="11"/>
  <c r="L1857" i="11"/>
  <c r="A1857" i="11"/>
  <c r="P1793" i="11"/>
  <c r="O1793" i="11"/>
  <c r="N1793" i="11"/>
  <c r="M1793" i="11"/>
  <c r="L1793" i="11"/>
  <c r="A1793" i="11"/>
  <c r="P1792" i="11"/>
  <c r="O1792" i="11"/>
  <c r="N1792" i="11"/>
  <c r="M1792" i="11"/>
  <c r="L1792" i="11"/>
  <c r="A1792" i="11"/>
  <c r="P1791" i="11"/>
  <c r="O1791" i="11"/>
  <c r="N1791" i="11"/>
  <c r="M1791" i="11"/>
  <c r="L1791" i="11"/>
  <c r="A1791" i="11"/>
  <c r="P1790" i="11"/>
  <c r="O1790" i="11"/>
  <c r="N1790" i="11"/>
  <c r="M1790" i="11"/>
  <c r="L1790" i="11"/>
  <c r="A1790" i="11"/>
  <c r="P1789" i="11"/>
  <c r="O1789" i="11"/>
  <c r="N1789" i="11"/>
  <c r="M1789" i="11"/>
  <c r="L1789" i="11"/>
  <c r="A1789" i="11"/>
  <c r="P1788" i="11"/>
  <c r="O1788" i="11"/>
  <c r="N1788" i="11"/>
  <c r="M1788" i="11"/>
  <c r="L1788" i="11"/>
  <c r="A1788" i="11"/>
  <c r="P1787" i="11"/>
  <c r="O1787" i="11"/>
  <c r="N1787" i="11"/>
  <c r="M1787" i="11"/>
  <c r="L1787" i="11"/>
  <c r="A1787" i="11"/>
  <c r="P2568" i="11"/>
  <c r="O2568" i="11"/>
  <c r="N2568" i="11"/>
  <c r="M2568" i="11"/>
  <c r="L2568" i="11"/>
  <c r="P1786" i="11"/>
  <c r="O1786" i="11"/>
  <c r="N1786" i="11"/>
  <c r="M1786" i="11"/>
  <c r="L1786" i="11"/>
  <c r="A1786" i="11"/>
  <c r="P1785" i="11"/>
  <c r="O1785" i="11"/>
  <c r="N1785" i="11"/>
  <c r="M1785" i="11"/>
  <c r="L1785" i="11"/>
  <c r="A1785" i="11"/>
  <c r="P1784" i="11"/>
  <c r="O1784" i="11"/>
  <c r="N1784" i="11"/>
  <c r="M1784" i="11"/>
  <c r="L1784" i="11"/>
  <c r="A1784" i="11"/>
  <c r="P3184" i="11"/>
  <c r="O3184" i="11"/>
  <c r="N3184" i="11"/>
  <c r="M3184" i="11"/>
  <c r="L3184" i="11"/>
  <c r="P1852" i="11"/>
  <c r="O1852" i="11"/>
  <c r="N1852" i="11"/>
  <c r="M1852" i="11"/>
  <c r="L1852" i="11"/>
  <c r="A1852" i="11"/>
  <c r="P1782" i="11"/>
  <c r="O1782" i="11"/>
  <c r="N1782" i="11"/>
  <c r="M1782" i="11"/>
  <c r="L1782" i="11"/>
  <c r="A1782" i="11"/>
  <c r="P1778" i="11"/>
  <c r="O1778" i="11"/>
  <c r="N1778" i="11"/>
  <c r="M1778" i="11"/>
  <c r="L1778" i="11"/>
  <c r="A1778" i="11"/>
  <c r="P1777" i="11"/>
  <c r="O1777" i="11"/>
  <c r="N1777" i="11"/>
  <c r="M1777" i="11"/>
  <c r="L1777" i="11"/>
  <c r="A1777" i="11"/>
  <c r="P3183" i="11"/>
  <c r="O3183" i="11"/>
  <c r="N3183" i="11"/>
  <c r="M3183" i="11"/>
  <c r="L3183" i="11"/>
  <c r="P1775" i="11"/>
  <c r="O1775" i="11"/>
  <c r="N1775" i="11"/>
  <c r="M1775" i="11"/>
  <c r="L1775" i="11"/>
  <c r="A1775" i="11"/>
  <c r="P1774" i="11"/>
  <c r="O1774" i="11"/>
  <c r="N1774" i="11"/>
  <c r="M1774" i="11"/>
  <c r="L1774" i="11"/>
  <c r="A1774" i="11"/>
  <c r="P1773" i="11"/>
  <c r="O1773" i="11"/>
  <c r="N1773" i="11"/>
  <c r="M1773" i="11"/>
  <c r="L1773" i="11"/>
  <c r="A1773" i="11"/>
  <c r="P1772" i="11"/>
  <c r="O1772" i="11"/>
  <c r="N1772" i="11"/>
  <c r="M1772" i="11"/>
  <c r="L1772" i="11"/>
  <c r="A1772" i="11"/>
  <c r="P1771" i="11"/>
  <c r="O1771" i="11"/>
  <c r="N1771" i="11"/>
  <c r="M1771" i="11"/>
  <c r="L1771" i="11"/>
  <c r="A1771" i="11"/>
  <c r="P1770" i="11"/>
  <c r="O1770" i="11"/>
  <c r="N1770" i="11"/>
  <c r="M1770" i="11"/>
  <c r="L1770" i="11"/>
  <c r="A1770" i="11"/>
  <c r="P1776" i="11"/>
  <c r="O1776" i="11"/>
  <c r="N1776" i="11"/>
  <c r="M1776" i="11"/>
  <c r="L1776" i="11"/>
  <c r="A1776" i="11"/>
  <c r="P1854" i="11"/>
  <c r="O1854" i="11"/>
  <c r="N1854" i="11"/>
  <c r="M1854" i="11"/>
  <c r="L1854" i="11"/>
  <c r="A1854" i="11"/>
  <c r="P1769" i="11"/>
  <c r="O1769" i="11"/>
  <c r="N1769" i="11"/>
  <c r="M1769" i="11"/>
  <c r="L1769" i="11"/>
  <c r="A1769" i="11"/>
  <c r="P1767" i="11"/>
  <c r="O1767" i="11"/>
  <c r="N1767" i="11"/>
  <c r="M1767" i="11"/>
  <c r="L1767" i="11"/>
  <c r="A1767" i="11"/>
  <c r="P1766" i="11"/>
  <c r="O1766" i="11"/>
  <c r="N1766" i="11"/>
  <c r="M1766" i="11"/>
  <c r="L1766" i="11"/>
  <c r="A1766" i="11"/>
  <c r="P1765" i="11"/>
  <c r="O1765" i="11"/>
  <c r="N1765" i="11"/>
  <c r="M1765" i="11"/>
  <c r="L1765" i="11"/>
  <c r="A1765" i="11"/>
  <c r="P1764" i="11"/>
  <c r="O1764" i="11"/>
  <c r="N1764" i="11"/>
  <c r="M1764" i="11"/>
  <c r="L1764" i="11"/>
  <c r="A1764" i="11"/>
  <c r="P1763" i="11"/>
  <c r="O1763" i="11"/>
  <c r="N1763" i="11"/>
  <c r="M1763" i="11"/>
  <c r="L1763" i="11"/>
  <c r="A1763" i="11"/>
  <c r="P1762" i="11"/>
  <c r="O1762" i="11"/>
  <c r="N1762" i="11"/>
  <c r="M1762" i="11"/>
  <c r="L1762" i="11"/>
  <c r="A1762" i="11"/>
  <c r="P1761" i="11"/>
  <c r="O1761" i="11"/>
  <c r="N1761" i="11"/>
  <c r="M1761" i="11"/>
  <c r="L1761" i="11"/>
  <c r="A1761" i="11"/>
  <c r="P1856" i="11"/>
  <c r="O1856" i="11"/>
  <c r="N1856" i="11"/>
  <c r="M1856" i="11"/>
  <c r="L1856" i="11"/>
  <c r="A1856" i="11"/>
  <c r="P1760" i="11"/>
  <c r="O1760" i="11"/>
  <c r="N1760" i="11"/>
  <c r="M1760" i="11"/>
  <c r="L1760" i="11"/>
  <c r="A1760" i="11"/>
  <c r="P1759" i="11"/>
  <c r="O1759" i="11"/>
  <c r="N1759" i="11"/>
  <c r="M1759" i="11"/>
  <c r="L1759" i="11"/>
  <c r="A1759" i="11"/>
  <c r="P1757" i="11"/>
  <c r="O1757" i="11"/>
  <c r="N1757" i="11"/>
  <c r="M1757" i="11"/>
  <c r="L1757" i="11"/>
  <c r="A1757" i="11"/>
  <c r="P1756" i="11"/>
  <c r="O1756" i="11"/>
  <c r="N1756" i="11"/>
  <c r="M1756" i="11"/>
  <c r="L1756" i="11"/>
  <c r="A1756" i="11"/>
  <c r="P1755" i="11"/>
  <c r="O1755" i="11"/>
  <c r="N1755" i="11"/>
  <c r="M1755" i="11"/>
  <c r="L1755" i="11"/>
  <c r="A1755" i="11"/>
  <c r="P1754" i="11"/>
  <c r="O1754" i="11"/>
  <c r="N1754" i="11"/>
  <c r="M1754" i="11"/>
  <c r="L1754" i="11"/>
  <c r="A1754" i="11"/>
  <c r="P1753" i="11"/>
  <c r="O1753" i="11"/>
  <c r="N1753" i="11"/>
  <c r="M1753" i="11"/>
  <c r="L1753" i="11"/>
  <c r="A1753" i="11"/>
  <c r="P1752" i="11"/>
  <c r="O1752" i="11"/>
  <c r="N1752" i="11"/>
  <c r="M1752" i="11"/>
  <c r="L1752" i="11"/>
  <c r="A1752" i="11"/>
  <c r="P3182" i="11"/>
  <c r="O3182" i="11"/>
  <c r="N3182" i="11"/>
  <c r="M3182" i="11"/>
  <c r="L3182" i="11"/>
  <c r="P1779" i="11"/>
  <c r="O1779" i="11"/>
  <c r="N1779" i="11"/>
  <c r="M1779" i="11"/>
  <c r="L1779" i="11"/>
  <c r="A1779" i="11"/>
  <c r="P1758" i="11"/>
  <c r="O1758" i="11"/>
  <c r="N1758" i="11"/>
  <c r="M1758" i="11"/>
  <c r="L1758" i="11"/>
  <c r="A1758" i="11"/>
  <c r="P1751" i="11"/>
  <c r="O1751" i="11"/>
  <c r="N1751" i="11"/>
  <c r="M1751" i="11"/>
  <c r="L1751" i="11"/>
  <c r="A1751" i="11"/>
  <c r="P1750" i="11"/>
  <c r="O1750" i="11"/>
  <c r="N1750" i="11"/>
  <c r="M1750" i="11"/>
  <c r="L1750" i="11"/>
  <c r="A1750" i="11"/>
  <c r="P1749" i="11"/>
  <c r="O1749" i="11"/>
  <c r="N1749" i="11"/>
  <c r="M1749" i="11"/>
  <c r="L1749" i="11"/>
  <c r="A1749" i="11"/>
  <c r="P1748" i="11"/>
  <c r="O1748" i="11"/>
  <c r="N1748" i="11"/>
  <c r="M1748" i="11"/>
  <c r="L1748" i="11"/>
  <c r="A1748" i="11"/>
  <c r="P1747" i="11"/>
  <c r="O1747" i="11"/>
  <c r="N1747" i="11"/>
  <c r="M1747" i="11"/>
  <c r="L1747" i="11"/>
  <c r="A1747" i="11"/>
  <c r="P1746" i="11"/>
  <c r="O1746" i="11"/>
  <c r="N1746" i="11"/>
  <c r="M1746" i="11"/>
  <c r="L1746" i="11"/>
  <c r="A1746" i="11"/>
  <c r="P1745" i="11"/>
  <c r="O1745" i="11"/>
  <c r="N1745" i="11"/>
  <c r="M1745" i="11"/>
  <c r="L1745" i="11"/>
  <c r="A1745" i="11"/>
  <c r="P1744" i="11"/>
  <c r="O1744" i="11"/>
  <c r="N1744" i="11"/>
  <c r="M1744" i="11"/>
  <c r="L1744" i="11"/>
  <c r="A1744" i="11"/>
  <c r="P1848" i="11"/>
  <c r="O1848" i="11"/>
  <c r="N1848" i="11"/>
  <c r="M1848" i="11"/>
  <c r="L1848" i="11"/>
  <c r="A1848" i="11"/>
  <c r="P1743" i="11"/>
  <c r="O1743" i="11"/>
  <c r="N1743" i="11"/>
  <c r="M1743" i="11"/>
  <c r="L1743" i="11"/>
  <c r="A1743" i="11"/>
  <c r="P1742" i="11"/>
  <c r="O1742" i="11"/>
  <c r="N1742" i="11"/>
  <c r="M1742" i="11"/>
  <c r="L1742" i="11"/>
  <c r="A1742" i="11"/>
  <c r="P1734" i="11"/>
  <c r="O1734" i="11"/>
  <c r="N1734" i="11"/>
  <c r="M1734" i="11"/>
  <c r="L1734" i="11"/>
  <c r="A1734" i="11"/>
  <c r="P1733" i="11"/>
  <c r="O1733" i="11"/>
  <c r="N1733" i="11"/>
  <c r="M1733" i="11"/>
  <c r="L1733" i="11"/>
  <c r="A1733" i="11"/>
  <c r="P1732" i="11"/>
  <c r="O1732" i="11"/>
  <c r="N1732" i="11"/>
  <c r="M1732" i="11"/>
  <c r="L1732" i="11"/>
  <c r="A1732" i="11"/>
  <c r="P1739" i="11"/>
  <c r="O1739" i="11"/>
  <c r="N1739" i="11"/>
  <c r="M1739" i="11"/>
  <c r="L1739" i="11"/>
  <c r="A1739" i="11"/>
  <c r="P1731" i="11"/>
  <c r="O1731" i="11"/>
  <c r="N1731" i="11"/>
  <c r="M1731" i="11"/>
  <c r="L1731" i="11"/>
  <c r="A1731" i="11"/>
  <c r="P1729" i="11"/>
  <c r="O1729" i="11"/>
  <c r="N1729" i="11"/>
  <c r="M1729" i="11"/>
  <c r="L1729" i="11"/>
  <c r="A1729" i="11"/>
  <c r="P1728" i="11"/>
  <c r="O1728" i="11"/>
  <c r="N1728" i="11"/>
  <c r="M1728" i="11"/>
  <c r="L1728" i="11"/>
  <c r="A1728" i="11"/>
  <c r="P1741" i="11"/>
  <c r="O1741" i="11"/>
  <c r="N1741" i="11"/>
  <c r="M1741" i="11"/>
  <c r="L1741" i="11"/>
  <c r="A1741" i="11"/>
  <c r="P1726" i="11"/>
  <c r="O1726" i="11"/>
  <c r="N1726" i="11"/>
  <c r="M1726" i="11"/>
  <c r="L1726" i="11"/>
  <c r="A1726" i="11"/>
  <c r="P1725" i="11"/>
  <c r="O1725" i="11"/>
  <c r="N1725" i="11"/>
  <c r="M1725" i="11"/>
  <c r="L1725" i="11"/>
  <c r="A1725" i="11"/>
  <c r="P1724" i="11"/>
  <c r="O1724" i="11"/>
  <c r="N1724" i="11"/>
  <c r="M1724" i="11"/>
  <c r="L1724" i="11"/>
  <c r="A1724" i="11"/>
  <c r="P1723" i="11"/>
  <c r="O1723" i="11"/>
  <c r="N1723" i="11"/>
  <c r="M1723" i="11"/>
  <c r="L1723" i="11"/>
  <c r="A1723" i="11"/>
  <c r="P1722" i="11"/>
  <c r="O1722" i="11"/>
  <c r="N1722" i="11"/>
  <c r="M1722" i="11"/>
  <c r="L1722" i="11"/>
  <c r="A1722" i="11"/>
  <c r="P1720" i="11"/>
  <c r="O1720" i="11"/>
  <c r="N1720" i="11"/>
  <c r="M1720" i="11"/>
  <c r="L1720" i="11"/>
  <c r="A1720" i="11"/>
  <c r="P1719" i="11"/>
  <c r="O1719" i="11"/>
  <c r="N1719" i="11"/>
  <c r="M1719" i="11"/>
  <c r="L1719" i="11"/>
  <c r="A1719" i="11"/>
  <c r="P1718" i="11"/>
  <c r="O1718" i="11"/>
  <c r="N1718" i="11"/>
  <c r="M1718" i="11"/>
  <c r="L1718" i="11"/>
  <c r="A1718" i="11"/>
  <c r="P1717" i="11"/>
  <c r="O1717" i="11"/>
  <c r="N1717" i="11"/>
  <c r="M1717" i="11"/>
  <c r="L1717" i="11"/>
  <c r="A1717" i="11"/>
  <c r="P1716" i="11"/>
  <c r="O1716" i="11"/>
  <c r="N1716" i="11"/>
  <c r="M1716" i="11"/>
  <c r="L1716" i="11"/>
  <c r="A1716" i="11"/>
  <c r="P1715" i="11"/>
  <c r="O1715" i="11"/>
  <c r="N1715" i="11"/>
  <c r="M1715" i="11"/>
  <c r="L1715" i="11"/>
  <c r="A1715" i="11"/>
  <c r="P1714" i="11"/>
  <c r="O1714" i="11"/>
  <c r="N1714" i="11"/>
  <c r="M1714" i="11"/>
  <c r="L1714" i="11"/>
  <c r="A1714" i="11"/>
  <c r="P1713" i="11"/>
  <c r="O1713" i="11"/>
  <c r="N1713" i="11"/>
  <c r="M1713" i="11"/>
  <c r="L1713" i="11"/>
  <c r="A1713" i="11"/>
  <c r="P1712" i="11"/>
  <c r="O1712" i="11"/>
  <c r="N1712" i="11"/>
  <c r="M1712" i="11"/>
  <c r="L1712" i="11"/>
  <c r="A1712" i="11"/>
  <c r="P1711" i="11"/>
  <c r="O1711" i="11"/>
  <c r="N1711" i="11"/>
  <c r="M1711" i="11"/>
  <c r="L1711" i="11"/>
  <c r="A1711" i="11"/>
  <c r="P1710" i="11"/>
  <c r="O1710" i="11"/>
  <c r="N1710" i="11"/>
  <c r="M1710" i="11"/>
  <c r="L1710" i="11"/>
  <c r="A1710" i="11"/>
  <c r="P1709" i="11"/>
  <c r="O1709" i="11"/>
  <c r="N1709" i="11"/>
  <c r="M1709" i="11"/>
  <c r="L1709" i="11"/>
  <c r="A1709" i="11"/>
  <c r="P1708" i="11"/>
  <c r="O1708" i="11"/>
  <c r="N1708" i="11"/>
  <c r="M1708" i="11"/>
  <c r="L1708" i="11"/>
  <c r="A1708" i="11"/>
  <c r="P1707" i="11"/>
  <c r="O1707" i="11"/>
  <c r="N1707" i="11"/>
  <c r="M1707" i="11"/>
  <c r="L1707" i="11"/>
  <c r="A1707" i="11"/>
  <c r="P1736" i="11"/>
  <c r="O1736" i="11"/>
  <c r="N1736" i="11"/>
  <c r="M1736" i="11"/>
  <c r="L1736" i="11"/>
  <c r="A1736" i="11"/>
  <c r="P1706" i="11"/>
  <c r="O1706" i="11"/>
  <c r="N1706" i="11"/>
  <c r="M1706" i="11"/>
  <c r="L1706" i="11"/>
  <c r="A1706" i="11"/>
  <c r="P1704" i="11"/>
  <c r="O1704" i="11"/>
  <c r="N1704" i="11"/>
  <c r="M1704" i="11"/>
  <c r="L1704" i="11"/>
  <c r="A1704" i="11"/>
  <c r="P1703" i="11"/>
  <c r="O1703" i="11"/>
  <c r="N1703" i="11"/>
  <c r="M1703" i="11"/>
  <c r="L1703" i="11"/>
  <c r="A1703" i="11"/>
  <c r="P1702" i="11"/>
  <c r="O1702" i="11"/>
  <c r="N1702" i="11"/>
  <c r="M1702" i="11"/>
  <c r="L1702" i="11"/>
  <c r="A1702" i="11"/>
  <c r="P1701" i="11"/>
  <c r="O1701" i="11"/>
  <c r="N1701" i="11"/>
  <c r="M1701" i="11"/>
  <c r="L1701" i="11"/>
  <c r="A1701" i="11"/>
  <c r="P1700" i="11"/>
  <c r="O1700" i="11"/>
  <c r="N1700" i="11"/>
  <c r="M1700" i="11"/>
  <c r="L1700" i="11"/>
  <c r="A1700" i="11"/>
  <c r="P1735" i="11"/>
  <c r="O1735" i="11"/>
  <c r="N1735" i="11"/>
  <c r="M1735" i="11"/>
  <c r="L1735" i="11"/>
  <c r="A1735" i="11"/>
  <c r="P1699" i="11"/>
  <c r="O1699" i="11"/>
  <c r="N1699" i="11"/>
  <c r="M1699" i="11"/>
  <c r="L1699" i="11"/>
  <c r="A1699" i="11"/>
  <c r="P1705" i="11"/>
  <c r="O1705" i="11"/>
  <c r="N1705" i="11"/>
  <c r="M1705" i="11"/>
  <c r="L1705" i="11"/>
  <c r="A1705" i="11"/>
  <c r="P1698" i="11"/>
  <c r="O1698" i="11"/>
  <c r="N1698" i="11"/>
  <c r="M1698" i="11"/>
  <c r="L1698" i="11"/>
  <c r="A1698" i="11"/>
  <c r="P1697" i="11"/>
  <c r="O1697" i="11"/>
  <c r="N1697" i="11"/>
  <c r="M1697" i="11"/>
  <c r="L1697" i="11"/>
  <c r="A1697" i="11"/>
  <c r="P1696" i="11"/>
  <c r="O1696" i="11"/>
  <c r="N1696" i="11"/>
  <c r="M1696" i="11"/>
  <c r="L1696" i="11"/>
  <c r="A1696" i="11"/>
  <c r="P1695" i="11"/>
  <c r="O1695" i="11"/>
  <c r="N1695" i="11"/>
  <c r="M1695" i="11"/>
  <c r="L1695" i="11"/>
  <c r="A1695" i="11"/>
  <c r="P1694" i="11"/>
  <c r="O1694" i="11"/>
  <c r="N1694" i="11"/>
  <c r="M1694" i="11"/>
  <c r="L1694" i="11"/>
  <c r="A1694" i="11"/>
  <c r="P3181" i="11"/>
  <c r="O3181" i="11"/>
  <c r="N3181" i="11"/>
  <c r="M3181" i="11"/>
  <c r="L3181" i="11"/>
  <c r="P1693" i="11"/>
  <c r="O1693" i="11"/>
  <c r="N1693" i="11"/>
  <c r="M1693" i="11"/>
  <c r="L1693" i="11"/>
  <c r="A1693" i="11"/>
  <c r="P1692" i="11"/>
  <c r="O1692" i="11"/>
  <c r="N1692" i="11"/>
  <c r="M1692" i="11"/>
  <c r="L1692" i="11"/>
  <c r="A1692" i="11"/>
  <c r="P1691" i="11"/>
  <c r="O1691" i="11"/>
  <c r="N1691" i="11"/>
  <c r="M1691" i="11"/>
  <c r="L1691" i="11"/>
  <c r="A1691" i="11"/>
  <c r="P1690" i="11"/>
  <c r="O1690" i="11"/>
  <c r="N1690" i="11"/>
  <c r="M1690" i="11"/>
  <c r="L1690" i="11"/>
  <c r="A1690" i="11"/>
  <c r="P1689" i="11"/>
  <c r="O1689" i="11"/>
  <c r="N1689" i="11"/>
  <c r="M1689" i="11"/>
  <c r="L1689" i="11"/>
  <c r="A1689" i="11"/>
  <c r="P1688" i="11"/>
  <c r="O1688" i="11"/>
  <c r="N1688" i="11"/>
  <c r="M1688" i="11"/>
  <c r="L1688" i="11"/>
  <c r="A1688" i="11"/>
  <c r="P1687" i="11"/>
  <c r="O1687" i="11"/>
  <c r="N1687" i="11"/>
  <c r="M1687" i="11"/>
  <c r="L1687" i="11"/>
  <c r="A1687" i="11"/>
  <c r="P1686" i="11"/>
  <c r="O1686" i="11"/>
  <c r="N1686" i="11"/>
  <c r="M1686" i="11"/>
  <c r="L1686" i="11"/>
  <c r="A1686" i="11"/>
  <c r="P1680" i="11"/>
  <c r="O1680" i="11"/>
  <c r="N1680" i="11"/>
  <c r="M1680" i="11"/>
  <c r="L1680" i="11"/>
  <c r="A1680" i="11"/>
  <c r="P1721" i="11"/>
  <c r="O1721" i="11"/>
  <c r="N1721" i="11"/>
  <c r="M1721" i="11"/>
  <c r="L1721" i="11"/>
  <c r="A1721" i="11"/>
  <c r="P1737" i="11"/>
  <c r="O1737" i="11"/>
  <c r="N1737" i="11"/>
  <c r="M1737" i="11"/>
  <c r="L1737" i="11"/>
  <c r="A1737" i="11"/>
  <c r="P1684" i="11"/>
  <c r="O1684" i="11"/>
  <c r="N1684" i="11"/>
  <c r="M1684" i="11"/>
  <c r="L1684" i="11"/>
  <c r="A1684" i="11"/>
  <c r="P1682" i="11"/>
  <c r="O1682" i="11"/>
  <c r="N1682" i="11"/>
  <c r="M1682" i="11"/>
  <c r="L1682" i="11"/>
  <c r="A1682" i="11"/>
  <c r="P1681" i="11"/>
  <c r="O1681" i="11"/>
  <c r="N1681" i="11"/>
  <c r="M1681" i="11"/>
  <c r="L1681" i="11"/>
  <c r="A1681" i="11"/>
  <c r="P1660" i="11"/>
  <c r="O1660" i="11"/>
  <c r="N1660" i="11"/>
  <c r="M1660" i="11"/>
  <c r="L1660" i="11"/>
  <c r="A1660" i="11"/>
  <c r="P1679" i="11"/>
  <c r="O1679" i="11"/>
  <c r="N1679" i="11"/>
  <c r="M1679" i="11"/>
  <c r="L1679" i="11"/>
  <c r="A1679" i="11"/>
  <c r="P1683" i="11"/>
  <c r="O1683" i="11"/>
  <c r="N1683" i="11"/>
  <c r="M1683" i="11"/>
  <c r="L1683" i="11"/>
  <c r="A1683" i="11"/>
  <c r="P1727" i="11"/>
  <c r="O1727" i="11"/>
  <c r="N1727" i="11"/>
  <c r="M1727" i="11"/>
  <c r="L1727" i="11"/>
  <c r="A1727" i="11"/>
  <c r="P1678" i="11"/>
  <c r="O1678" i="11"/>
  <c r="N1678" i="11"/>
  <c r="M1678" i="11"/>
  <c r="L1678" i="11"/>
  <c r="A1678" i="11"/>
  <c r="P1677" i="11"/>
  <c r="O1677" i="11"/>
  <c r="N1677" i="11"/>
  <c r="M1677" i="11"/>
  <c r="L1677" i="11"/>
  <c r="A1677" i="11"/>
  <c r="P1676" i="11"/>
  <c r="O1676" i="11"/>
  <c r="N1676" i="11"/>
  <c r="M1676" i="11"/>
  <c r="L1676" i="11"/>
  <c r="A1676" i="11"/>
  <c r="P1675" i="11"/>
  <c r="O1675" i="11"/>
  <c r="N1675" i="11"/>
  <c r="M1675" i="11"/>
  <c r="L1675" i="11"/>
  <c r="A1675" i="11"/>
  <c r="P1674" i="11"/>
  <c r="O1674" i="11"/>
  <c r="N1674" i="11"/>
  <c r="M1674" i="11"/>
  <c r="L1674" i="11"/>
  <c r="A1674" i="11"/>
  <c r="P1633" i="11"/>
  <c r="O1633" i="11"/>
  <c r="N1633" i="11"/>
  <c r="M1633" i="11"/>
  <c r="L1633" i="11"/>
  <c r="A1633" i="11"/>
  <c r="P1673" i="11"/>
  <c r="O1673" i="11"/>
  <c r="N1673" i="11"/>
  <c r="M1673" i="11"/>
  <c r="L1673" i="11"/>
  <c r="A1673" i="11"/>
  <c r="P1672" i="11"/>
  <c r="O1672" i="11"/>
  <c r="N1672" i="11"/>
  <c r="M1672" i="11"/>
  <c r="L1672" i="11"/>
  <c r="A1672" i="11"/>
  <c r="P2567" i="11"/>
  <c r="O2567" i="11"/>
  <c r="N2567" i="11"/>
  <c r="M2567" i="11"/>
  <c r="L2567" i="11"/>
  <c r="P1671" i="11"/>
  <c r="O1671" i="11"/>
  <c r="N1671" i="11"/>
  <c r="M1671" i="11"/>
  <c r="L1671" i="11"/>
  <c r="A1671" i="11"/>
  <c r="P1670" i="11"/>
  <c r="O1670" i="11"/>
  <c r="N1670" i="11"/>
  <c r="M1670" i="11"/>
  <c r="L1670" i="11"/>
  <c r="A1670" i="11"/>
  <c r="P1669" i="11"/>
  <c r="O1669" i="11"/>
  <c r="N1669" i="11"/>
  <c r="M1669" i="11"/>
  <c r="L1669" i="11"/>
  <c r="A1669" i="11"/>
  <c r="P3179" i="11"/>
  <c r="O3179" i="11"/>
  <c r="N3179" i="11"/>
  <c r="M3179" i="11"/>
  <c r="L3179" i="11"/>
  <c r="P1667" i="11"/>
  <c r="O1667" i="11"/>
  <c r="N1667" i="11"/>
  <c r="M1667" i="11"/>
  <c r="L1667" i="11"/>
  <c r="A1667" i="11"/>
  <c r="P1666" i="11"/>
  <c r="O1666" i="11"/>
  <c r="N1666" i="11"/>
  <c r="M1666" i="11"/>
  <c r="L1666" i="11"/>
  <c r="A1666" i="11"/>
  <c r="P1663" i="11"/>
  <c r="O1663" i="11"/>
  <c r="N1663" i="11"/>
  <c r="M1663" i="11"/>
  <c r="L1663" i="11"/>
  <c r="A1663" i="11"/>
  <c r="P1662" i="11"/>
  <c r="O1662" i="11"/>
  <c r="N1662" i="11"/>
  <c r="M1662" i="11"/>
  <c r="L1662" i="11"/>
  <c r="A1662" i="11"/>
  <c r="P3178" i="11"/>
  <c r="O3178" i="11"/>
  <c r="N3178" i="11"/>
  <c r="M3178" i="11"/>
  <c r="L3178" i="11"/>
  <c r="P1659" i="11"/>
  <c r="O1659" i="11"/>
  <c r="N1659" i="11"/>
  <c r="M1659" i="11"/>
  <c r="L1659" i="11"/>
  <c r="A1659" i="11"/>
  <c r="P1658" i="11"/>
  <c r="O1658" i="11"/>
  <c r="N1658" i="11"/>
  <c r="M1658" i="11"/>
  <c r="L1658" i="11"/>
  <c r="A1658" i="11"/>
  <c r="P1657" i="11"/>
  <c r="O1657" i="11"/>
  <c r="N1657" i="11"/>
  <c r="M1657" i="11"/>
  <c r="L1657" i="11"/>
  <c r="A1657" i="11"/>
  <c r="P1656" i="11"/>
  <c r="O1656" i="11"/>
  <c r="N1656" i="11"/>
  <c r="M1656" i="11"/>
  <c r="L1656" i="11"/>
  <c r="A1656" i="11"/>
  <c r="P1655" i="11"/>
  <c r="O1655" i="11"/>
  <c r="N1655" i="11"/>
  <c r="M1655" i="11"/>
  <c r="L1655" i="11"/>
  <c r="A1655" i="11"/>
  <c r="P1654" i="11"/>
  <c r="O1654" i="11"/>
  <c r="N1654" i="11"/>
  <c r="M1654" i="11"/>
  <c r="L1654" i="11"/>
  <c r="A1654" i="11"/>
  <c r="P1661" i="11"/>
  <c r="O1661" i="11"/>
  <c r="N1661" i="11"/>
  <c r="M1661" i="11"/>
  <c r="L1661" i="11"/>
  <c r="A1661" i="11"/>
  <c r="P1653" i="11"/>
  <c r="O1653" i="11"/>
  <c r="N1653" i="11"/>
  <c r="M1653" i="11"/>
  <c r="L1653" i="11"/>
  <c r="A1653" i="11"/>
  <c r="P1652" i="11"/>
  <c r="O1652" i="11"/>
  <c r="N1652" i="11"/>
  <c r="M1652" i="11"/>
  <c r="L1652" i="11"/>
  <c r="A1652" i="11"/>
  <c r="P1651" i="11"/>
  <c r="O1651" i="11"/>
  <c r="N1651" i="11"/>
  <c r="M1651" i="11"/>
  <c r="L1651" i="11"/>
  <c r="A1651" i="11"/>
  <c r="P1650" i="11"/>
  <c r="O1650" i="11"/>
  <c r="N1650" i="11"/>
  <c r="M1650" i="11"/>
  <c r="L1650" i="11"/>
  <c r="A1650" i="11"/>
  <c r="P1649" i="11"/>
  <c r="O1649" i="11"/>
  <c r="N1649" i="11"/>
  <c r="M1649" i="11"/>
  <c r="L1649" i="11"/>
  <c r="A1649" i="11"/>
  <c r="P1648" i="11"/>
  <c r="O1648" i="11"/>
  <c r="N1648" i="11"/>
  <c r="M1648" i="11"/>
  <c r="L1648" i="11"/>
  <c r="A1648" i="11"/>
  <c r="P1646" i="11"/>
  <c r="O1646" i="11"/>
  <c r="N1646" i="11"/>
  <c r="M1646" i="11"/>
  <c r="L1646" i="11"/>
  <c r="A1646" i="11"/>
  <c r="P1685" i="11"/>
  <c r="O1685" i="11"/>
  <c r="N1685" i="11"/>
  <c r="M1685" i="11"/>
  <c r="L1685" i="11"/>
  <c r="A1685" i="11"/>
  <c r="P1645" i="11"/>
  <c r="O1645" i="11"/>
  <c r="N1645" i="11"/>
  <c r="M1645" i="11"/>
  <c r="L1645" i="11"/>
  <c r="A1645" i="11"/>
  <c r="P1740" i="11"/>
  <c r="O1740" i="11"/>
  <c r="N1740" i="11"/>
  <c r="M1740" i="11"/>
  <c r="L1740" i="11"/>
  <c r="A1740" i="11"/>
  <c r="P1644" i="11"/>
  <c r="O1644" i="11"/>
  <c r="N1644" i="11"/>
  <c r="M1644" i="11"/>
  <c r="L1644" i="11"/>
  <c r="A1644" i="11"/>
  <c r="P1643" i="11"/>
  <c r="O1643" i="11"/>
  <c r="N1643" i="11"/>
  <c r="M1643" i="11"/>
  <c r="L1643" i="11"/>
  <c r="A1643" i="11"/>
  <c r="P1647" i="11"/>
  <c r="O1647" i="11"/>
  <c r="N1647" i="11"/>
  <c r="M1647" i="11"/>
  <c r="L1647" i="11"/>
  <c r="A1647" i="11"/>
  <c r="P1642" i="11"/>
  <c r="O1642" i="11"/>
  <c r="N1642" i="11"/>
  <c r="M1642" i="11"/>
  <c r="L1642" i="11"/>
  <c r="A1642" i="11"/>
  <c r="P1641" i="11"/>
  <c r="O1641" i="11"/>
  <c r="N1641" i="11"/>
  <c r="M1641" i="11"/>
  <c r="L1641" i="11"/>
  <c r="A1641" i="11"/>
  <c r="P1640" i="11"/>
  <c r="O1640" i="11"/>
  <c r="N1640" i="11"/>
  <c r="M1640" i="11"/>
  <c r="L1640" i="11"/>
  <c r="A1640" i="11"/>
  <c r="P1639" i="11"/>
  <c r="O1639" i="11"/>
  <c r="N1639" i="11"/>
  <c r="M1639" i="11"/>
  <c r="L1639" i="11"/>
  <c r="A1639" i="11"/>
  <c r="P1638" i="11"/>
  <c r="O1638" i="11"/>
  <c r="N1638" i="11"/>
  <c r="M1638" i="11"/>
  <c r="L1638" i="11"/>
  <c r="A1638" i="11"/>
  <c r="P3177" i="11"/>
  <c r="O3177" i="11"/>
  <c r="N3177" i="11"/>
  <c r="M3177" i="11"/>
  <c r="L3177" i="11"/>
  <c r="P1664" i="11"/>
  <c r="O1664" i="11"/>
  <c r="N1664" i="11"/>
  <c r="M1664" i="11"/>
  <c r="L1664" i="11"/>
  <c r="A1664" i="11"/>
  <c r="P1637" i="11"/>
  <c r="O1637" i="11"/>
  <c r="N1637" i="11"/>
  <c r="M1637" i="11"/>
  <c r="L1637" i="11"/>
  <c r="A1637" i="11"/>
  <c r="P1636" i="11"/>
  <c r="O1636" i="11"/>
  <c r="N1636" i="11"/>
  <c r="M1636" i="11"/>
  <c r="L1636" i="11"/>
  <c r="A1636" i="11"/>
  <c r="P1635" i="11"/>
  <c r="O1635" i="11"/>
  <c r="N1635" i="11"/>
  <c r="M1635" i="11"/>
  <c r="L1635" i="11"/>
  <c r="A1635" i="11"/>
  <c r="P1634" i="11"/>
  <c r="O1634" i="11"/>
  <c r="N1634" i="11"/>
  <c r="M1634" i="11"/>
  <c r="L1634" i="11"/>
  <c r="A1634" i="11"/>
  <c r="P1632" i="11"/>
  <c r="O1632" i="11"/>
  <c r="N1632" i="11"/>
  <c r="M1632" i="11"/>
  <c r="L1632" i="11"/>
  <c r="A1632" i="11"/>
  <c r="P1631" i="11"/>
  <c r="O1631" i="11"/>
  <c r="N1631" i="11"/>
  <c r="M1631" i="11"/>
  <c r="L1631" i="11"/>
  <c r="A1631" i="11"/>
  <c r="P1630" i="11"/>
  <c r="O1630" i="11"/>
  <c r="N1630" i="11"/>
  <c r="M1630" i="11"/>
  <c r="L1630" i="11"/>
  <c r="A1630" i="11"/>
  <c r="P1629" i="11"/>
  <c r="O1629" i="11"/>
  <c r="N1629" i="11"/>
  <c r="M1629" i="11"/>
  <c r="L1629" i="11"/>
  <c r="A1629" i="11"/>
  <c r="P1628" i="11"/>
  <c r="O1628" i="11"/>
  <c r="N1628" i="11"/>
  <c r="M1628" i="11"/>
  <c r="L1628" i="11"/>
  <c r="A1628" i="11"/>
  <c r="P1738" i="11"/>
  <c r="O1738" i="11"/>
  <c r="N1738" i="11"/>
  <c r="M1738" i="11"/>
  <c r="L1738" i="11"/>
  <c r="A1738" i="11"/>
  <c r="P1627" i="11"/>
  <c r="O1627" i="11"/>
  <c r="N1627" i="11"/>
  <c r="M1627" i="11"/>
  <c r="L1627" i="11"/>
  <c r="A1627" i="11"/>
  <c r="P1626" i="11"/>
  <c r="O1626" i="11"/>
  <c r="N1626" i="11"/>
  <c r="M1626" i="11"/>
  <c r="L1626" i="11"/>
  <c r="A1626" i="11"/>
  <c r="P1617" i="11" l="1"/>
  <c r="O1617" i="11"/>
  <c r="N1617" i="11"/>
  <c r="M1617" i="11"/>
  <c r="L1617" i="11"/>
  <c r="A1617" i="11"/>
  <c r="P1616" i="11"/>
  <c r="O1616" i="11"/>
  <c r="N1616" i="11"/>
  <c r="M1616" i="11"/>
  <c r="L1616" i="11"/>
  <c r="A1616" i="11"/>
  <c r="P1615" i="11"/>
  <c r="O1615" i="11"/>
  <c r="N1615" i="11"/>
  <c r="M1615" i="11"/>
  <c r="L1615" i="11"/>
  <c r="A1615" i="11"/>
  <c r="P1613" i="11"/>
  <c r="O1613" i="11"/>
  <c r="N1613" i="11"/>
  <c r="M1613" i="11"/>
  <c r="L1613" i="11"/>
  <c r="A1613" i="11"/>
  <c r="P1612" i="11"/>
  <c r="O1612" i="11"/>
  <c r="N1612" i="11"/>
  <c r="M1612" i="11"/>
  <c r="L1612" i="11"/>
  <c r="A1612" i="11"/>
  <c r="P1618" i="11"/>
  <c r="O1618" i="11"/>
  <c r="N1618" i="11"/>
  <c r="M1618" i="11"/>
  <c r="L1618" i="11"/>
  <c r="A1618" i="11"/>
  <c r="P1610" i="11"/>
  <c r="O1610" i="11"/>
  <c r="N1610" i="11"/>
  <c r="M1610" i="11"/>
  <c r="L1610" i="11"/>
  <c r="A1610" i="11"/>
  <c r="P1609" i="11"/>
  <c r="O1609" i="11"/>
  <c r="N1609" i="11"/>
  <c r="M1609" i="11"/>
  <c r="L1609" i="11"/>
  <c r="A1609" i="11"/>
  <c r="P1624" i="11"/>
  <c r="O1624" i="11"/>
  <c r="N1624" i="11"/>
  <c r="M1624" i="11"/>
  <c r="L1624" i="11"/>
  <c r="A1624" i="11"/>
  <c r="P1608" i="11"/>
  <c r="O1608" i="11"/>
  <c r="N1608" i="11"/>
  <c r="M1608" i="11"/>
  <c r="L1608" i="11"/>
  <c r="A1608" i="11"/>
  <c r="P1623" i="11"/>
  <c r="O1623" i="11"/>
  <c r="N1623" i="11"/>
  <c r="M1623" i="11"/>
  <c r="L1623" i="11"/>
  <c r="A1623" i="11"/>
  <c r="P1606" i="11"/>
  <c r="O1606" i="11"/>
  <c r="N1606" i="11"/>
  <c r="M1606" i="11"/>
  <c r="L1606" i="11"/>
  <c r="A1606" i="11"/>
  <c r="P1605" i="11"/>
  <c r="O1605" i="11"/>
  <c r="N1605" i="11"/>
  <c r="M1605" i="11"/>
  <c r="L1605" i="11"/>
  <c r="A1605" i="11"/>
  <c r="P1604" i="11"/>
  <c r="O1604" i="11"/>
  <c r="N1604" i="11"/>
  <c r="M1604" i="11"/>
  <c r="L1604" i="11"/>
  <c r="A1604" i="11"/>
  <c r="P1603" i="11"/>
  <c r="O1603" i="11"/>
  <c r="N1603" i="11"/>
  <c r="M1603" i="11"/>
  <c r="L1603" i="11"/>
  <c r="A1603" i="11"/>
  <c r="P1602" i="11"/>
  <c r="O1602" i="11"/>
  <c r="N1602" i="11"/>
  <c r="M1602" i="11"/>
  <c r="L1602" i="11"/>
  <c r="A1602" i="11"/>
  <c r="P1601" i="11"/>
  <c r="O1601" i="11"/>
  <c r="N1601" i="11"/>
  <c r="M1601" i="11"/>
  <c r="L1601" i="11"/>
  <c r="A1601" i="11"/>
  <c r="P1600" i="11"/>
  <c r="O1600" i="11"/>
  <c r="N1600" i="11"/>
  <c r="M1600" i="11"/>
  <c r="L1600" i="11"/>
  <c r="A1600" i="11"/>
  <c r="P1594" i="11"/>
  <c r="O1594" i="11"/>
  <c r="N1594" i="11"/>
  <c r="M1594" i="11"/>
  <c r="L1594" i="11"/>
  <c r="A1594" i="11"/>
  <c r="P1599" i="11"/>
  <c r="O1599" i="11"/>
  <c r="N1599" i="11"/>
  <c r="M1599" i="11"/>
  <c r="L1599" i="11"/>
  <c r="A1599" i="11"/>
  <c r="P1598" i="11"/>
  <c r="O1598" i="11"/>
  <c r="N1598" i="11"/>
  <c r="M1598" i="11"/>
  <c r="L1598" i="11"/>
  <c r="A1598" i="11"/>
  <c r="P1597" i="11"/>
  <c r="O1597" i="11"/>
  <c r="N1597" i="11"/>
  <c r="M1597" i="11"/>
  <c r="L1597" i="11"/>
  <c r="A1597" i="11"/>
  <c r="P1596" i="11"/>
  <c r="O1596" i="11"/>
  <c r="N1596" i="11"/>
  <c r="M1596" i="11"/>
  <c r="L1596" i="11"/>
  <c r="A1596" i="11"/>
  <c r="P1595" i="11"/>
  <c r="O1595" i="11"/>
  <c r="N1595" i="11"/>
  <c r="M1595" i="11"/>
  <c r="L1595" i="11"/>
  <c r="A1595" i="11"/>
  <c r="P1520" i="11"/>
  <c r="O1520" i="11"/>
  <c r="N1520" i="11"/>
  <c r="M1520" i="11"/>
  <c r="L1520" i="11"/>
  <c r="A1520" i="11"/>
  <c r="P1611" i="11"/>
  <c r="O1611" i="11"/>
  <c r="N1611" i="11"/>
  <c r="M1611" i="11"/>
  <c r="L1611" i="11"/>
  <c r="A1611" i="11"/>
  <c r="P1593" i="11"/>
  <c r="O1593" i="11"/>
  <c r="N1593" i="11"/>
  <c r="M1593" i="11"/>
  <c r="L1593" i="11"/>
  <c r="A1593" i="11"/>
  <c r="P1592" i="11"/>
  <c r="O1592" i="11"/>
  <c r="N1592" i="11"/>
  <c r="M1592" i="11"/>
  <c r="L1592" i="11"/>
  <c r="A1592" i="11"/>
  <c r="P1591" i="11"/>
  <c r="O1591" i="11"/>
  <c r="N1591" i="11"/>
  <c r="M1591" i="11"/>
  <c r="L1591" i="11"/>
  <c r="A1591" i="11"/>
  <c r="P1531" i="11"/>
  <c r="O1531" i="11"/>
  <c r="N1531" i="11"/>
  <c r="M1531" i="11"/>
  <c r="L1531" i="11"/>
  <c r="A1531" i="11"/>
  <c r="P1590" i="11"/>
  <c r="O1590" i="11"/>
  <c r="N1590" i="11"/>
  <c r="M1590" i="11"/>
  <c r="L1590" i="11"/>
  <c r="A1590" i="11"/>
  <c r="P1514" i="11"/>
  <c r="O1514" i="11"/>
  <c r="N1514" i="11"/>
  <c r="M1514" i="11"/>
  <c r="L1514" i="11"/>
  <c r="A1514" i="11"/>
  <c r="P1589" i="11"/>
  <c r="O1589" i="11"/>
  <c r="N1589" i="11"/>
  <c r="M1589" i="11"/>
  <c r="L1589" i="11"/>
  <c r="A1589" i="11"/>
  <c r="P1588" i="11"/>
  <c r="O1588" i="11"/>
  <c r="N1588" i="11"/>
  <c r="M1588" i="11"/>
  <c r="L1588" i="11"/>
  <c r="A1588" i="11"/>
  <c r="P1586" i="11"/>
  <c r="O1586" i="11"/>
  <c r="N1586" i="11"/>
  <c r="M1586" i="11"/>
  <c r="L1586" i="11"/>
  <c r="A1586" i="11"/>
  <c r="P1585" i="11"/>
  <c r="O1585" i="11"/>
  <c r="N1585" i="11"/>
  <c r="M1585" i="11"/>
  <c r="L1585" i="11"/>
  <c r="A1585" i="11"/>
  <c r="P3176" i="11"/>
  <c r="O3176" i="11"/>
  <c r="N3176" i="11"/>
  <c r="M3176" i="11"/>
  <c r="L3176" i="11"/>
  <c r="P1582" i="11"/>
  <c r="O1582" i="11"/>
  <c r="N1582" i="11"/>
  <c r="M1582" i="11"/>
  <c r="L1582" i="11"/>
  <c r="A1582" i="11"/>
  <c r="P1581" i="11"/>
  <c r="O1581" i="11"/>
  <c r="N1581" i="11"/>
  <c r="M1581" i="11"/>
  <c r="L1581" i="11"/>
  <c r="A1581" i="11"/>
  <c r="P1580" i="11"/>
  <c r="O1580" i="11"/>
  <c r="N1580" i="11"/>
  <c r="M1580" i="11"/>
  <c r="L1580" i="11"/>
  <c r="A1580" i="11"/>
  <c r="P1579" i="11"/>
  <c r="O1579" i="11"/>
  <c r="N1579" i="11"/>
  <c r="M1579" i="11"/>
  <c r="L1579" i="11"/>
  <c r="A1579" i="11"/>
  <c r="P1577" i="11"/>
  <c r="O1577" i="11"/>
  <c r="N1577" i="11"/>
  <c r="M1577" i="11"/>
  <c r="L1577" i="11"/>
  <c r="A1577" i="11"/>
  <c r="P1576" i="11"/>
  <c r="O1576" i="11"/>
  <c r="N1576" i="11"/>
  <c r="M1576" i="11"/>
  <c r="L1576" i="11"/>
  <c r="A1576" i="11"/>
  <c r="P1575" i="11"/>
  <c r="O1575" i="11"/>
  <c r="N1575" i="11"/>
  <c r="M1575" i="11"/>
  <c r="L1575" i="11"/>
  <c r="A1575" i="11"/>
  <c r="P1574" i="11"/>
  <c r="O1574" i="11"/>
  <c r="N1574" i="11"/>
  <c r="M1574" i="11"/>
  <c r="L1574" i="11"/>
  <c r="A1574" i="11"/>
  <c r="P1543" i="11"/>
  <c r="O1543" i="11"/>
  <c r="N1543" i="11"/>
  <c r="M1543" i="11"/>
  <c r="L1543" i="11"/>
  <c r="A1543" i="11"/>
  <c r="P1557" i="11"/>
  <c r="O1557" i="11"/>
  <c r="N1557" i="11"/>
  <c r="M1557" i="11"/>
  <c r="L1557" i="11"/>
  <c r="A1557" i="11"/>
  <c r="P1573" i="11"/>
  <c r="O1573" i="11"/>
  <c r="N1573" i="11"/>
  <c r="M1573" i="11"/>
  <c r="L1573" i="11"/>
  <c r="A1573" i="11"/>
  <c r="P1578" i="11"/>
  <c r="O1578" i="11"/>
  <c r="N1578" i="11"/>
  <c r="M1578" i="11"/>
  <c r="L1578" i="11"/>
  <c r="A1578" i="11"/>
  <c r="P1572" i="11"/>
  <c r="O1572" i="11"/>
  <c r="N1572" i="11"/>
  <c r="M1572" i="11"/>
  <c r="L1572" i="11"/>
  <c r="A1572" i="11"/>
  <c r="P1570" i="11"/>
  <c r="O1570" i="11"/>
  <c r="N1570" i="11"/>
  <c r="M1570" i="11"/>
  <c r="L1570" i="11"/>
  <c r="A1570" i="11"/>
  <c r="P1568" i="11"/>
  <c r="O1568" i="11"/>
  <c r="N1568" i="11"/>
  <c r="M1568" i="11"/>
  <c r="L1568" i="11"/>
  <c r="A1568" i="11"/>
  <c r="P1535" i="11"/>
  <c r="O1535" i="11"/>
  <c r="N1535" i="11"/>
  <c r="M1535" i="11"/>
  <c r="L1535" i="11"/>
  <c r="A1535" i="11"/>
  <c r="P1567" i="11"/>
  <c r="O1567" i="11"/>
  <c r="N1567" i="11"/>
  <c r="M1567" i="11"/>
  <c r="L1567" i="11"/>
  <c r="A1567" i="11"/>
  <c r="P1566" i="11"/>
  <c r="O1566" i="11"/>
  <c r="N1566" i="11"/>
  <c r="M1566" i="11"/>
  <c r="L1566" i="11"/>
  <c r="A1566" i="11"/>
  <c r="P1571" i="11"/>
  <c r="O1571" i="11"/>
  <c r="N1571" i="11"/>
  <c r="M1571" i="11"/>
  <c r="L1571" i="11"/>
  <c r="A1571" i="11"/>
  <c r="P1565" i="11"/>
  <c r="O1565" i="11"/>
  <c r="N1565" i="11"/>
  <c r="M1565" i="11"/>
  <c r="L1565" i="11"/>
  <c r="A1565" i="11"/>
  <c r="P1564" i="11"/>
  <c r="O1564" i="11"/>
  <c r="N1564" i="11"/>
  <c r="M1564" i="11"/>
  <c r="L1564" i="11"/>
  <c r="A1564" i="11"/>
  <c r="P1550" i="11"/>
  <c r="O1550" i="11"/>
  <c r="N1550" i="11"/>
  <c r="M1550" i="11"/>
  <c r="L1550" i="11"/>
  <c r="A1550" i="11"/>
  <c r="P1563" i="11"/>
  <c r="O1563" i="11"/>
  <c r="N1563" i="11"/>
  <c r="M1563" i="11"/>
  <c r="L1563" i="11"/>
  <c r="A1563" i="11"/>
  <c r="P1562" i="11"/>
  <c r="O1562" i="11"/>
  <c r="N1562" i="11"/>
  <c r="M1562" i="11"/>
  <c r="L1562" i="11"/>
  <c r="A1562" i="11"/>
  <c r="P1621" i="11"/>
  <c r="O1621" i="11"/>
  <c r="N1621" i="11"/>
  <c r="M1621" i="11"/>
  <c r="L1621" i="11"/>
  <c r="A1621" i="11"/>
  <c r="P1561" i="11"/>
  <c r="O1561" i="11"/>
  <c r="N1561" i="11"/>
  <c r="M1561" i="11"/>
  <c r="L1561" i="11"/>
  <c r="A1561" i="11"/>
  <c r="P1560" i="11"/>
  <c r="O1560" i="11"/>
  <c r="N1560" i="11"/>
  <c r="M1560" i="11"/>
  <c r="L1560" i="11"/>
  <c r="A1560" i="11"/>
  <c r="P1559" i="11"/>
  <c r="O1559" i="11"/>
  <c r="N1559" i="11"/>
  <c r="M1559" i="11"/>
  <c r="L1559" i="11"/>
  <c r="A1559" i="11"/>
  <c r="P1569" i="11"/>
  <c r="O1569" i="11"/>
  <c r="N1569" i="11"/>
  <c r="M1569" i="11"/>
  <c r="L1569" i="11"/>
  <c r="A1569" i="11"/>
  <c r="P2566" i="11"/>
  <c r="O2566" i="11"/>
  <c r="N2566" i="11"/>
  <c r="M2566" i="11"/>
  <c r="L2566" i="11"/>
  <c r="P1529" i="11"/>
  <c r="O1529" i="11"/>
  <c r="N1529" i="11"/>
  <c r="M1529" i="11"/>
  <c r="L1529" i="11"/>
  <c r="A1529" i="11"/>
  <c r="P1558" i="11"/>
  <c r="O1558" i="11"/>
  <c r="N1558" i="11"/>
  <c r="M1558" i="11"/>
  <c r="L1558" i="11"/>
  <c r="A1558" i="11"/>
  <c r="P1556" i="11"/>
  <c r="O1556" i="11"/>
  <c r="N1556" i="11"/>
  <c r="M1556" i="11"/>
  <c r="L1556" i="11"/>
  <c r="A1556" i="11"/>
  <c r="P1518" i="11"/>
  <c r="O1518" i="11"/>
  <c r="N1518" i="11"/>
  <c r="M1518" i="11"/>
  <c r="L1518" i="11"/>
  <c r="A1518" i="11"/>
  <c r="P3174" i="11"/>
  <c r="O3174" i="11"/>
  <c r="N3174" i="11"/>
  <c r="M3174" i="11"/>
  <c r="L3174" i="11"/>
  <c r="P1554" i="11"/>
  <c r="O1554" i="11"/>
  <c r="N1554" i="11"/>
  <c r="M1554" i="11"/>
  <c r="L1554" i="11"/>
  <c r="A1554" i="11"/>
  <c r="P1583" i="11"/>
  <c r="O1583" i="11"/>
  <c r="N1583" i="11"/>
  <c r="M1583" i="11"/>
  <c r="L1583" i="11"/>
  <c r="A1583" i="11"/>
  <c r="P1551" i="11"/>
  <c r="O1551" i="11"/>
  <c r="N1551" i="11"/>
  <c r="M1551" i="11"/>
  <c r="L1551" i="11"/>
  <c r="A1551" i="11"/>
  <c r="P1549" i="11"/>
  <c r="O1549" i="11"/>
  <c r="N1549" i="11"/>
  <c r="M1549" i="11"/>
  <c r="L1549" i="11"/>
  <c r="A1549" i="11"/>
  <c r="P1619" i="11"/>
  <c r="O1619" i="11"/>
  <c r="N1619" i="11"/>
  <c r="M1619" i="11"/>
  <c r="L1619" i="11"/>
  <c r="A1619" i="11"/>
  <c r="P3173" i="11"/>
  <c r="O3173" i="11"/>
  <c r="N3173" i="11"/>
  <c r="M3173" i="11"/>
  <c r="L3173" i="11"/>
  <c r="P1546" i="11"/>
  <c r="O1546" i="11"/>
  <c r="N1546" i="11"/>
  <c r="M1546" i="11"/>
  <c r="L1546" i="11"/>
  <c r="A1546" i="11"/>
  <c r="P1545" i="11"/>
  <c r="O1545" i="11"/>
  <c r="N1545" i="11"/>
  <c r="M1545" i="11"/>
  <c r="L1545" i="11"/>
  <c r="A1545" i="11"/>
  <c r="P1544" i="11"/>
  <c r="O1544" i="11"/>
  <c r="N1544" i="11"/>
  <c r="M1544" i="11"/>
  <c r="L1544" i="11"/>
  <c r="A1544" i="11"/>
  <c r="P1542" i="11"/>
  <c r="O1542" i="11"/>
  <c r="N1542" i="11"/>
  <c r="M1542" i="11"/>
  <c r="L1542" i="11"/>
  <c r="A1542" i="11"/>
  <c r="P1541" i="11"/>
  <c r="O1541" i="11"/>
  <c r="N1541" i="11"/>
  <c r="M1541" i="11"/>
  <c r="L1541" i="11"/>
  <c r="A1541" i="11"/>
  <c r="P1547" i="11"/>
  <c r="O1547" i="11"/>
  <c r="N1547" i="11"/>
  <c r="M1547" i="11"/>
  <c r="L1547" i="11"/>
  <c r="A1547" i="11"/>
  <c r="P1614" i="11"/>
  <c r="O1614" i="11"/>
  <c r="N1614" i="11"/>
  <c r="M1614" i="11"/>
  <c r="L1614" i="11"/>
  <c r="A1614" i="11"/>
  <c r="P1540" i="11"/>
  <c r="O1540" i="11"/>
  <c r="N1540" i="11"/>
  <c r="M1540" i="11"/>
  <c r="L1540" i="11"/>
  <c r="A1540" i="11"/>
  <c r="P1539" i="11"/>
  <c r="O1539" i="11"/>
  <c r="N1539" i="11"/>
  <c r="M1539" i="11"/>
  <c r="L1539" i="11"/>
  <c r="A1539" i="11"/>
  <c r="P1625" i="11"/>
  <c r="O1625" i="11"/>
  <c r="N1625" i="11"/>
  <c r="M1625" i="11"/>
  <c r="L1625" i="11"/>
  <c r="A1625" i="11"/>
  <c r="P1538" i="11"/>
  <c r="O1538" i="11"/>
  <c r="N1538" i="11"/>
  <c r="M1538" i="11"/>
  <c r="L1538" i="11"/>
  <c r="A1538" i="11"/>
  <c r="P1537" i="11"/>
  <c r="O1537" i="11"/>
  <c r="N1537" i="11"/>
  <c r="M1537" i="11"/>
  <c r="L1537" i="11"/>
  <c r="A1537" i="11"/>
  <c r="P1536" i="11"/>
  <c r="O1536" i="11"/>
  <c r="N1536" i="11"/>
  <c r="M1536" i="11"/>
  <c r="L1536" i="11"/>
  <c r="A1536" i="11"/>
  <c r="P1534" i="11"/>
  <c r="O1534" i="11"/>
  <c r="N1534" i="11"/>
  <c r="M1534" i="11"/>
  <c r="L1534" i="11"/>
  <c r="A1534" i="11"/>
  <c r="P1607" i="11"/>
  <c r="O1607" i="11"/>
  <c r="N1607" i="11"/>
  <c r="M1607" i="11"/>
  <c r="L1607" i="11"/>
  <c r="A1607" i="11"/>
  <c r="P1533" i="11"/>
  <c r="O1533" i="11"/>
  <c r="N1533" i="11"/>
  <c r="M1533" i="11"/>
  <c r="L1533" i="11"/>
  <c r="A1533" i="11"/>
  <c r="P1532" i="11"/>
  <c r="O1532" i="11"/>
  <c r="N1532" i="11"/>
  <c r="M1532" i="11"/>
  <c r="L1532" i="11"/>
  <c r="A1532" i="11"/>
  <c r="P1530" i="11"/>
  <c r="O1530" i="11"/>
  <c r="N1530" i="11"/>
  <c r="M1530" i="11"/>
  <c r="L1530" i="11"/>
  <c r="A1530" i="11"/>
  <c r="P1528" i="11"/>
  <c r="O1528" i="11"/>
  <c r="N1528" i="11"/>
  <c r="M1528" i="11"/>
  <c r="L1528" i="11"/>
  <c r="A1528" i="11"/>
  <c r="P1587" i="11"/>
  <c r="O1587" i="11"/>
  <c r="N1587" i="11"/>
  <c r="M1587" i="11"/>
  <c r="L1587" i="11"/>
  <c r="A1587" i="11"/>
  <c r="P1527" i="11"/>
  <c r="O1527" i="11"/>
  <c r="N1527" i="11"/>
  <c r="M1527" i="11"/>
  <c r="L1527" i="11"/>
  <c r="A1527" i="11"/>
  <c r="P1526" i="11"/>
  <c r="O1526" i="11"/>
  <c r="N1526" i="11"/>
  <c r="M1526" i="11"/>
  <c r="L1526" i="11"/>
  <c r="A1526" i="11"/>
  <c r="P1548" i="11"/>
  <c r="O1548" i="11"/>
  <c r="N1548" i="11"/>
  <c r="M1548" i="11"/>
  <c r="L1548" i="11"/>
  <c r="A1548" i="11"/>
  <c r="P1525" i="11"/>
  <c r="O1525" i="11"/>
  <c r="N1525" i="11"/>
  <c r="M1525" i="11"/>
  <c r="L1525" i="11"/>
  <c r="A1525" i="11"/>
  <c r="P1524" i="11"/>
  <c r="O1524" i="11"/>
  <c r="N1524" i="11"/>
  <c r="M1524" i="11"/>
  <c r="L1524" i="11"/>
  <c r="A1524" i="11"/>
  <c r="P1523" i="11"/>
  <c r="O1523" i="11"/>
  <c r="N1523" i="11"/>
  <c r="M1523" i="11"/>
  <c r="L1523" i="11"/>
  <c r="A1523" i="11"/>
  <c r="P3172" i="11"/>
  <c r="O3172" i="11"/>
  <c r="N3172" i="11"/>
  <c r="M3172" i="11"/>
  <c r="L3172" i="11"/>
  <c r="P1552" i="11"/>
  <c r="O1552" i="11"/>
  <c r="N1552" i="11"/>
  <c r="M1552" i="11"/>
  <c r="L1552" i="11"/>
  <c r="A1552" i="11"/>
  <c r="P1522" i="11"/>
  <c r="O1522" i="11"/>
  <c r="N1522" i="11"/>
  <c r="M1522" i="11"/>
  <c r="L1522" i="11"/>
  <c r="A1522" i="11"/>
  <c r="P1521" i="11"/>
  <c r="O1521" i="11"/>
  <c r="N1521" i="11"/>
  <c r="M1521" i="11"/>
  <c r="L1521" i="11"/>
  <c r="A1521" i="11"/>
  <c r="P1622" i="11"/>
  <c r="O1622" i="11"/>
  <c r="N1622" i="11"/>
  <c r="M1622" i="11"/>
  <c r="L1622" i="11"/>
  <c r="A1622" i="11"/>
  <c r="P1519" i="11"/>
  <c r="O1519" i="11"/>
  <c r="N1519" i="11"/>
  <c r="M1519" i="11"/>
  <c r="L1519" i="11"/>
  <c r="A1519" i="11"/>
  <c r="P1517" i="11"/>
  <c r="O1517" i="11"/>
  <c r="N1517" i="11"/>
  <c r="M1517" i="11"/>
  <c r="L1517" i="11"/>
  <c r="A1517" i="11"/>
  <c r="P1516" i="11"/>
  <c r="O1516" i="11"/>
  <c r="N1516" i="11"/>
  <c r="M1516" i="11"/>
  <c r="L1516" i="11"/>
  <c r="A1516" i="11"/>
  <c r="P1515" i="11"/>
  <c r="O1515" i="11"/>
  <c r="N1515" i="11"/>
  <c r="M1515" i="11"/>
  <c r="L1515" i="11"/>
  <c r="A1515" i="11"/>
  <c r="P1513" i="11"/>
  <c r="O1513" i="11"/>
  <c r="N1513" i="11"/>
  <c r="M1513" i="11"/>
  <c r="L1513" i="11"/>
  <c r="A1513" i="11"/>
  <c r="P1584" i="11"/>
  <c r="O1584" i="11"/>
  <c r="N1584" i="11"/>
  <c r="M1584" i="11"/>
  <c r="L1584" i="11"/>
  <c r="A1584" i="11"/>
  <c r="P1512" i="11"/>
  <c r="O1512" i="11"/>
  <c r="N1512" i="11"/>
  <c r="M1512" i="11"/>
  <c r="L1512" i="11"/>
  <c r="A1512" i="11"/>
  <c r="P1511" i="11"/>
  <c r="O1511" i="11"/>
  <c r="N1511" i="11"/>
  <c r="M1511" i="11"/>
  <c r="L1511" i="11"/>
  <c r="A1511" i="11"/>
  <c r="P1510" i="11"/>
  <c r="O1510" i="11"/>
  <c r="N1510" i="11"/>
  <c r="M1510" i="11"/>
  <c r="L1510" i="11"/>
  <c r="A1510" i="11"/>
  <c r="P1501" i="11" l="1"/>
  <c r="O1501" i="11"/>
  <c r="N1501" i="11"/>
  <c r="M1501" i="11"/>
  <c r="L1501" i="11"/>
  <c r="A1501" i="11"/>
  <c r="P1500" i="11"/>
  <c r="O1500" i="11"/>
  <c r="N1500" i="11"/>
  <c r="M1500" i="11"/>
  <c r="L1500" i="11"/>
  <c r="A1500" i="11"/>
  <c r="P1452" i="11"/>
  <c r="O1452" i="11"/>
  <c r="N1452" i="11"/>
  <c r="M1452" i="11"/>
  <c r="L1452" i="11"/>
  <c r="A1452" i="11"/>
  <c r="P1498" i="11"/>
  <c r="O1498" i="11"/>
  <c r="N1498" i="11"/>
  <c r="M1498" i="11"/>
  <c r="L1498" i="11"/>
  <c r="A1498" i="11"/>
  <c r="P1497" i="11"/>
  <c r="O1497" i="11"/>
  <c r="N1497" i="11"/>
  <c r="M1497" i="11"/>
  <c r="L1497" i="11"/>
  <c r="A1497" i="11"/>
  <c r="P1496" i="11"/>
  <c r="O1496" i="11"/>
  <c r="N1496" i="11"/>
  <c r="M1496" i="11"/>
  <c r="L1496" i="11"/>
  <c r="A1496" i="11"/>
  <c r="P1495" i="11"/>
  <c r="O1495" i="11"/>
  <c r="N1495" i="11"/>
  <c r="M1495" i="11"/>
  <c r="L1495" i="11"/>
  <c r="A1495" i="11"/>
  <c r="P1494" i="11"/>
  <c r="O1494" i="11"/>
  <c r="N1494" i="11"/>
  <c r="M1494" i="11"/>
  <c r="L1494" i="11"/>
  <c r="A1494" i="11"/>
  <c r="P1493" i="11"/>
  <c r="O1493" i="11"/>
  <c r="N1493" i="11"/>
  <c r="M1493" i="11"/>
  <c r="L1493" i="11"/>
  <c r="A1493" i="11"/>
  <c r="P1492" i="11"/>
  <c r="O1492" i="11"/>
  <c r="N1492" i="11"/>
  <c r="M1492" i="11"/>
  <c r="L1492" i="11"/>
  <c r="A1492" i="11"/>
  <c r="P1491" i="11"/>
  <c r="O1491" i="11"/>
  <c r="N1491" i="11"/>
  <c r="M1491" i="11"/>
  <c r="L1491" i="11"/>
  <c r="A1491" i="11"/>
  <c r="P1490" i="11"/>
  <c r="O1490" i="11"/>
  <c r="N1490" i="11"/>
  <c r="M1490" i="11"/>
  <c r="L1490" i="11"/>
  <c r="A1490" i="11"/>
  <c r="P1489" i="11"/>
  <c r="O1489" i="11"/>
  <c r="N1489" i="11"/>
  <c r="M1489" i="11"/>
  <c r="L1489" i="11"/>
  <c r="A1489" i="11"/>
  <c r="P1503" i="11"/>
  <c r="O1503" i="11"/>
  <c r="N1503" i="11"/>
  <c r="M1503" i="11"/>
  <c r="L1503" i="11"/>
  <c r="A1503" i="11"/>
  <c r="P1488" i="11"/>
  <c r="O1488" i="11"/>
  <c r="N1488" i="11"/>
  <c r="M1488" i="11"/>
  <c r="L1488" i="11"/>
  <c r="A1488" i="11"/>
  <c r="P1487" i="11"/>
  <c r="O1487" i="11"/>
  <c r="N1487" i="11"/>
  <c r="M1487" i="11"/>
  <c r="L1487" i="11"/>
  <c r="A1487" i="11"/>
  <c r="P1486" i="11"/>
  <c r="O1486" i="11"/>
  <c r="N1486" i="11"/>
  <c r="M1486" i="11"/>
  <c r="L1486" i="11"/>
  <c r="A1486" i="11"/>
  <c r="P1485" i="11"/>
  <c r="O1485" i="11"/>
  <c r="N1485" i="11"/>
  <c r="M1485" i="11"/>
  <c r="L1485" i="11"/>
  <c r="A1485" i="11"/>
  <c r="P1484" i="11"/>
  <c r="O1484" i="11"/>
  <c r="N1484" i="11"/>
  <c r="M1484" i="11"/>
  <c r="L1484" i="11"/>
  <c r="A1484" i="11"/>
  <c r="P1483" i="11"/>
  <c r="O1483" i="11"/>
  <c r="N1483" i="11"/>
  <c r="M1483" i="11"/>
  <c r="L1483" i="11"/>
  <c r="A1483" i="11"/>
  <c r="P1482" i="11"/>
  <c r="O1482" i="11"/>
  <c r="N1482" i="11"/>
  <c r="M1482" i="11"/>
  <c r="L1482" i="11"/>
  <c r="A1482" i="11"/>
  <c r="P1474" i="11"/>
  <c r="O1474" i="11"/>
  <c r="N1474" i="11"/>
  <c r="M1474" i="11"/>
  <c r="L1474" i="11"/>
  <c r="A1474" i="11"/>
  <c r="P1481" i="11"/>
  <c r="O1481" i="11"/>
  <c r="N1481" i="11"/>
  <c r="M1481" i="11"/>
  <c r="L1481" i="11"/>
  <c r="A1481" i="11"/>
  <c r="P1502" i="11"/>
  <c r="O1502" i="11"/>
  <c r="N1502" i="11"/>
  <c r="M1502" i="11"/>
  <c r="L1502" i="11"/>
  <c r="A1502" i="11"/>
  <c r="P1508" i="11"/>
  <c r="O1508" i="11"/>
  <c r="N1508" i="11"/>
  <c r="M1508" i="11"/>
  <c r="L1508" i="11"/>
  <c r="A1508" i="11"/>
  <c r="P1480" i="11"/>
  <c r="O1480" i="11"/>
  <c r="N1480" i="11"/>
  <c r="M1480" i="11"/>
  <c r="L1480" i="11"/>
  <c r="A1480" i="11"/>
  <c r="P1479" i="11"/>
  <c r="O1479" i="11"/>
  <c r="N1479" i="11"/>
  <c r="M1479" i="11"/>
  <c r="L1479" i="11"/>
  <c r="A1479" i="11"/>
  <c r="P1478" i="11"/>
  <c r="O1478" i="11"/>
  <c r="N1478" i="11"/>
  <c r="M1478" i="11"/>
  <c r="L1478" i="11"/>
  <c r="A1478" i="11"/>
  <c r="P1477" i="11"/>
  <c r="O1477" i="11"/>
  <c r="N1477" i="11"/>
  <c r="M1477" i="11"/>
  <c r="L1477" i="11"/>
  <c r="A1477" i="11"/>
  <c r="P1476" i="11"/>
  <c r="O1476" i="11"/>
  <c r="N1476" i="11"/>
  <c r="M1476" i="11"/>
  <c r="L1476" i="11"/>
  <c r="A1476" i="11"/>
  <c r="P1475" i="11"/>
  <c r="O1475" i="11"/>
  <c r="N1475" i="11"/>
  <c r="M1475" i="11"/>
  <c r="L1475" i="11"/>
  <c r="A1475" i="11"/>
  <c r="P3171" i="11"/>
  <c r="O3171" i="11"/>
  <c r="N3171" i="11"/>
  <c r="M3171" i="11"/>
  <c r="L3171" i="11"/>
  <c r="P1473" i="11"/>
  <c r="O1473" i="11"/>
  <c r="N1473" i="11"/>
  <c r="M1473" i="11"/>
  <c r="L1473" i="11"/>
  <c r="A1473" i="11"/>
  <c r="P1472" i="11"/>
  <c r="O1472" i="11"/>
  <c r="N1472" i="11"/>
  <c r="M1472" i="11"/>
  <c r="L1472" i="11"/>
  <c r="A1472" i="11"/>
  <c r="P1471" i="11"/>
  <c r="O1471" i="11"/>
  <c r="N1471" i="11"/>
  <c r="M1471" i="11"/>
  <c r="L1471" i="11"/>
  <c r="A1471" i="11"/>
  <c r="P1420" i="11"/>
  <c r="O1420" i="11"/>
  <c r="N1420" i="11"/>
  <c r="M1420" i="11"/>
  <c r="L1420" i="11"/>
  <c r="A1420" i="11"/>
  <c r="P1470" i="11"/>
  <c r="O1470" i="11"/>
  <c r="N1470" i="11"/>
  <c r="M1470" i="11"/>
  <c r="L1470" i="11"/>
  <c r="A1470" i="11"/>
  <c r="P1469" i="11"/>
  <c r="O1469" i="11"/>
  <c r="N1469" i="11"/>
  <c r="M1469" i="11"/>
  <c r="L1469" i="11"/>
  <c r="A1469" i="11"/>
  <c r="P1468" i="11"/>
  <c r="O1468" i="11"/>
  <c r="N1468" i="11"/>
  <c r="M1468" i="11"/>
  <c r="L1468" i="11"/>
  <c r="A1468" i="11"/>
  <c r="P1467" i="11"/>
  <c r="O1467" i="11"/>
  <c r="N1467" i="11"/>
  <c r="M1467" i="11"/>
  <c r="L1467" i="11"/>
  <c r="A1467" i="11"/>
  <c r="P1466" i="11"/>
  <c r="O1466" i="11"/>
  <c r="N1466" i="11"/>
  <c r="M1466" i="11"/>
  <c r="L1466" i="11"/>
  <c r="A1466" i="11"/>
  <c r="P1406" i="11"/>
  <c r="O1406" i="11"/>
  <c r="N1406" i="11"/>
  <c r="M1406" i="11"/>
  <c r="L1406" i="11"/>
  <c r="A1406" i="11"/>
  <c r="P1436" i="11"/>
  <c r="O1436" i="11"/>
  <c r="N1436" i="11"/>
  <c r="M1436" i="11"/>
  <c r="L1436" i="11"/>
  <c r="A1436" i="11"/>
  <c r="P1465" i="11"/>
  <c r="O1465" i="11"/>
  <c r="N1465" i="11"/>
  <c r="M1465" i="11"/>
  <c r="L1465" i="11"/>
  <c r="A1465" i="11"/>
  <c r="P1464" i="11"/>
  <c r="O1464" i="11"/>
  <c r="N1464" i="11"/>
  <c r="M1464" i="11"/>
  <c r="L1464" i="11"/>
  <c r="A1464" i="11"/>
  <c r="P1463" i="11"/>
  <c r="O1463" i="11"/>
  <c r="N1463" i="11"/>
  <c r="M1463" i="11"/>
  <c r="L1463" i="11"/>
  <c r="A1463" i="11"/>
  <c r="P1461" i="11"/>
  <c r="O1461" i="11"/>
  <c r="N1461" i="11"/>
  <c r="M1461" i="11"/>
  <c r="L1461" i="11"/>
  <c r="A1461" i="11"/>
  <c r="P1460" i="11"/>
  <c r="O1460" i="11"/>
  <c r="N1460" i="11"/>
  <c r="M1460" i="11"/>
  <c r="L1460" i="11"/>
  <c r="A1460" i="11"/>
  <c r="P1459" i="11"/>
  <c r="O1459" i="11"/>
  <c r="N1459" i="11"/>
  <c r="M1459" i="11"/>
  <c r="L1459" i="11"/>
  <c r="A1459" i="11"/>
  <c r="P1458" i="11"/>
  <c r="O1458" i="11"/>
  <c r="N1458" i="11"/>
  <c r="M1458" i="11"/>
  <c r="L1458" i="11"/>
  <c r="A1458" i="11"/>
  <c r="P1457" i="11"/>
  <c r="O1457" i="11"/>
  <c r="N1457" i="11"/>
  <c r="M1457" i="11"/>
  <c r="L1457" i="11"/>
  <c r="A1457" i="11"/>
  <c r="P1462" i="11"/>
  <c r="O1462" i="11"/>
  <c r="N1462" i="11"/>
  <c r="M1462" i="11"/>
  <c r="L1462" i="11"/>
  <c r="A1462" i="11"/>
  <c r="P1456" i="11"/>
  <c r="O1456" i="11"/>
  <c r="N1456" i="11"/>
  <c r="M1456" i="11"/>
  <c r="L1456" i="11"/>
  <c r="A1456" i="11"/>
  <c r="P1438" i="11"/>
  <c r="O1438" i="11"/>
  <c r="N1438" i="11"/>
  <c r="M1438" i="11"/>
  <c r="L1438" i="11"/>
  <c r="A1438" i="11"/>
  <c r="P1455" i="11"/>
  <c r="O1455" i="11"/>
  <c r="N1455" i="11"/>
  <c r="M1455" i="11"/>
  <c r="L1455" i="11"/>
  <c r="A1455" i="11"/>
  <c r="P1454" i="11"/>
  <c r="O1454" i="11"/>
  <c r="N1454" i="11"/>
  <c r="M1454" i="11"/>
  <c r="L1454" i="11"/>
  <c r="A1454" i="11"/>
  <c r="P1453" i="11"/>
  <c r="O1453" i="11"/>
  <c r="N1453" i="11"/>
  <c r="M1453" i="11"/>
  <c r="L1453" i="11"/>
  <c r="A1453" i="11"/>
  <c r="P1504" i="11"/>
  <c r="O1504" i="11"/>
  <c r="N1504" i="11"/>
  <c r="M1504" i="11"/>
  <c r="L1504" i="11"/>
  <c r="A1504" i="11"/>
  <c r="P1449" i="11"/>
  <c r="O1449" i="11"/>
  <c r="N1449" i="11"/>
  <c r="M1449" i="11"/>
  <c r="L1449" i="11"/>
  <c r="A1449" i="11"/>
  <c r="P1402" i="11"/>
  <c r="O1402" i="11"/>
  <c r="N1402" i="11"/>
  <c r="M1402" i="11"/>
  <c r="L1402" i="11"/>
  <c r="A1402" i="11"/>
  <c r="P1448" i="11"/>
  <c r="O1448" i="11"/>
  <c r="N1448" i="11"/>
  <c r="M1448" i="11"/>
  <c r="L1448" i="11"/>
  <c r="A1448" i="11"/>
  <c r="P1447" i="11"/>
  <c r="O1447" i="11"/>
  <c r="N1447" i="11"/>
  <c r="M1447" i="11"/>
  <c r="L1447" i="11"/>
  <c r="A1447" i="11"/>
  <c r="P2565" i="11"/>
  <c r="O2565" i="11"/>
  <c r="N2565" i="11"/>
  <c r="M2565" i="11"/>
  <c r="L2565" i="11"/>
  <c r="P1446" i="11"/>
  <c r="O1446" i="11"/>
  <c r="N1446" i="11"/>
  <c r="M1446" i="11"/>
  <c r="L1446" i="11"/>
  <c r="A1446" i="11"/>
  <c r="P1445" i="11"/>
  <c r="O1445" i="11"/>
  <c r="N1445" i="11"/>
  <c r="M1445" i="11"/>
  <c r="L1445" i="11"/>
  <c r="A1445" i="11"/>
  <c r="P1444" i="11"/>
  <c r="O1444" i="11"/>
  <c r="N1444" i="11"/>
  <c r="M1444" i="11"/>
  <c r="L1444" i="11"/>
  <c r="A1444" i="11"/>
  <c r="P1443" i="11"/>
  <c r="O1443" i="11"/>
  <c r="N1443" i="11"/>
  <c r="M1443" i="11"/>
  <c r="L1443" i="11"/>
  <c r="A1443" i="11"/>
  <c r="P3168" i="11"/>
  <c r="O3168" i="11"/>
  <c r="N3168" i="11"/>
  <c r="M3168" i="11"/>
  <c r="L3168" i="11"/>
  <c r="P1441" i="11"/>
  <c r="O1441" i="11"/>
  <c r="N1441" i="11"/>
  <c r="M1441" i="11"/>
  <c r="L1441" i="11"/>
  <c r="A1441" i="11"/>
  <c r="P1440" i="11"/>
  <c r="O1440" i="11"/>
  <c r="N1440" i="11"/>
  <c r="M1440" i="11"/>
  <c r="L1440" i="11"/>
  <c r="A1440" i="11"/>
  <c r="P1437" i="11"/>
  <c r="O1437" i="11"/>
  <c r="N1437" i="11"/>
  <c r="M1437" i="11"/>
  <c r="L1437" i="11"/>
  <c r="A1437" i="11"/>
  <c r="P1435" i="11"/>
  <c r="O1435" i="11"/>
  <c r="N1435" i="11"/>
  <c r="M1435" i="11"/>
  <c r="L1435" i="11"/>
  <c r="A1435" i="11"/>
  <c r="P1434" i="11"/>
  <c r="O1434" i="11"/>
  <c r="N1434" i="11"/>
  <c r="M1434" i="11"/>
  <c r="L1434" i="11"/>
  <c r="A1434" i="11"/>
  <c r="P1506" i="11"/>
  <c r="O1506" i="11"/>
  <c r="N1506" i="11"/>
  <c r="M1506" i="11"/>
  <c r="L1506" i="11"/>
  <c r="A1506" i="11"/>
  <c r="P3169" i="11"/>
  <c r="O3169" i="11"/>
  <c r="N3169" i="11"/>
  <c r="M3169" i="11"/>
  <c r="L3169" i="11"/>
  <c r="P1418" i="11"/>
  <c r="O1418" i="11"/>
  <c r="N1418" i="11"/>
  <c r="M1418" i="11"/>
  <c r="L1418" i="11"/>
  <c r="A1418" i="11"/>
  <c r="P1433" i="11"/>
  <c r="O1433" i="11"/>
  <c r="N1433" i="11"/>
  <c r="M1433" i="11"/>
  <c r="L1433" i="11"/>
  <c r="A1433" i="11"/>
  <c r="P1432" i="11"/>
  <c r="O1432" i="11"/>
  <c r="N1432" i="11"/>
  <c r="M1432" i="11"/>
  <c r="L1432" i="11"/>
  <c r="A1432" i="11"/>
  <c r="P1431" i="11"/>
  <c r="O1431" i="11"/>
  <c r="N1431" i="11"/>
  <c r="M1431" i="11"/>
  <c r="L1431" i="11"/>
  <c r="A1431" i="11"/>
  <c r="P1430" i="11"/>
  <c r="O1430" i="11"/>
  <c r="N1430" i="11"/>
  <c r="M1430" i="11"/>
  <c r="L1430" i="11"/>
  <c r="A1430" i="11"/>
  <c r="P1429" i="11"/>
  <c r="O1429" i="11"/>
  <c r="N1429" i="11"/>
  <c r="M1429" i="11"/>
  <c r="L1429" i="11"/>
  <c r="A1429" i="11"/>
  <c r="P1428" i="11"/>
  <c r="O1428" i="11"/>
  <c r="N1428" i="11"/>
  <c r="M1428" i="11"/>
  <c r="L1428" i="11"/>
  <c r="A1428" i="11"/>
  <c r="P1427" i="11"/>
  <c r="O1427" i="11"/>
  <c r="N1427" i="11"/>
  <c r="M1427" i="11"/>
  <c r="L1427" i="11"/>
  <c r="A1427" i="11"/>
  <c r="P1426" i="11"/>
  <c r="O1426" i="11"/>
  <c r="N1426" i="11"/>
  <c r="M1426" i="11"/>
  <c r="L1426" i="11"/>
  <c r="A1426" i="11"/>
  <c r="P1401" i="11"/>
  <c r="O1401" i="11"/>
  <c r="N1401" i="11"/>
  <c r="M1401" i="11"/>
  <c r="L1401" i="11"/>
  <c r="A1401" i="11"/>
  <c r="P1425" i="11"/>
  <c r="O1425" i="11"/>
  <c r="N1425" i="11"/>
  <c r="M1425" i="11"/>
  <c r="L1425" i="11"/>
  <c r="A1425" i="11"/>
  <c r="P1424" i="11"/>
  <c r="O1424" i="11"/>
  <c r="N1424" i="11"/>
  <c r="M1424" i="11"/>
  <c r="L1424" i="11"/>
  <c r="A1424" i="11"/>
  <c r="P1423" i="11"/>
  <c r="O1423" i="11"/>
  <c r="N1423" i="11"/>
  <c r="M1423" i="11"/>
  <c r="L1423" i="11"/>
  <c r="A1423" i="11"/>
  <c r="P1422" i="11"/>
  <c r="O1422" i="11"/>
  <c r="N1422" i="11"/>
  <c r="M1422" i="11"/>
  <c r="L1422" i="11"/>
  <c r="A1422" i="11"/>
  <c r="P1421" i="11"/>
  <c r="O1421" i="11"/>
  <c r="N1421" i="11"/>
  <c r="M1421" i="11"/>
  <c r="L1421" i="11"/>
  <c r="A1421" i="11"/>
  <c r="P1419" i="11"/>
  <c r="O1419" i="11"/>
  <c r="N1419" i="11"/>
  <c r="M1419" i="11"/>
  <c r="L1419" i="11"/>
  <c r="A1419" i="11"/>
  <c r="P1417" i="11"/>
  <c r="O1417" i="11"/>
  <c r="N1417" i="11"/>
  <c r="M1417" i="11"/>
  <c r="L1417" i="11"/>
  <c r="A1417" i="11"/>
  <c r="P1509" i="11"/>
  <c r="O1509" i="11"/>
  <c r="N1509" i="11"/>
  <c r="M1509" i="11"/>
  <c r="L1509" i="11"/>
  <c r="A1509" i="11"/>
  <c r="P1416" i="11"/>
  <c r="O1416" i="11"/>
  <c r="N1416" i="11"/>
  <c r="M1416" i="11"/>
  <c r="L1416" i="11"/>
  <c r="A1416" i="11"/>
  <c r="P1415" i="11"/>
  <c r="O1415" i="11"/>
  <c r="N1415" i="11"/>
  <c r="M1415" i="11"/>
  <c r="L1415" i="11"/>
  <c r="A1415" i="11"/>
  <c r="P1414" i="11"/>
  <c r="O1414" i="11"/>
  <c r="N1414" i="11"/>
  <c r="M1414" i="11"/>
  <c r="L1414" i="11"/>
  <c r="A1414" i="11"/>
  <c r="P1413" i="11"/>
  <c r="O1413" i="11"/>
  <c r="N1413" i="11"/>
  <c r="M1413" i="11"/>
  <c r="L1413" i="11"/>
  <c r="A1413" i="11"/>
  <c r="P1412" i="11"/>
  <c r="O1412" i="11"/>
  <c r="N1412" i="11"/>
  <c r="M1412" i="11"/>
  <c r="L1412" i="11"/>
  <c r="A1412" i="11"/>
  <c r="P1411" i="11"/>
  <c r="O1411" i="11"/>
  <c r="N1411" i="11"/>
  <c r="M1411" i="11"/>
  <c r="L1411" i="11"/>
  <c r="A1411" i="11"/>
  <c r="P1410" i="11"/>
  <c r="O1410" i="11"/>
  <c r="N1410" i="11"/>
  <c r="M1410" i="11"/>
  <c r="L1410" i="11"/>
  <c r="A1410" i="11"/>
  <c r="P1409" i="11"/>
  <c r="O1409" i="11"/>
  <c r="N1409" i="11"/>
  <c r="M1409" i="11"/>
  <c r="L1409" i="11"/>
  <c r="A1409" i="11"/>
  <c r="P1408" i="11"/>
  <c r="O1408" i="11"/>
  <c r="N1408" i="11"/>
  <c r="M1408" i="11"/>
  <c r="L1408" i="11"/>
  <c r="A1408" i="11"/>
  <c r="P3167" i="11"/>
  <c r="O3167" i="11"/>
  <c r="N3167" i="11"/>
  <c r="M3167" i="11"/>
  <c r="L3167" i="11"/>
  <c r="P1407" i="11"/>
  <c r="O1407" i="11"/>
  <c r="N1407" i="11"/>
  <c r="M1407" i="11"/>
  <c r="L1407" i="11"/>
  <c r="A1407" i="11"/>
  <c r="P1507" i="11"/>
  <c r="O1507" i="11"/>
  <c r="N1507" i="11"/>
  <c r="M1507" i="11"/>
  <c r="L1507" i="11"/>
  <c r="A1507" i="11"/>
  <c r="P1405" i="11"/>
  <c r="O1405" i="11"/>
  <c r="N1405" i="11"/>
  <c r="M1405" i="11"/>
  <c r="L1405" i="11"/>
  <c r="A1405" i="11"/>
  <c r="P1404" i="11"/>
  <c r="O1404" i="11"/>
  <c r="N1404" i="11"/>
  <c r="M1404" i="11"/>
  <c r="L1404" i="11"/>
  <c r="A1404" i="11"/>
  <c r="P1403" i="11"/>
  <c r="O1403" i="11"/>
  <c r="N1403" i="11"/>
  <c r="M1403" i="11"/>
  <c r="L1403" i="11"/>
  <c r="A1403" i="11"/>
  <c r="P1450" i="11"/>
  <c r="O1450" i="11"/>
  <c r="N1450" i="11"/>
  <c r="M1450" i="11"/>
  <c r="L1450" i="11"/>
  <c r="A1450" i="11"/>
  <c r="P1400" i="11"/>
  <c r="O1400" i="11"/>
  <c r="N1400" i="11"/>
  <c r="M1400" i="11"/>
  <c r="L1400" i="11"/>
  <c r="A1400" i="11"/>
  <c r="P1399" i="11"/>
  <c r="O1399" i="11"/>
  <c r="N1399" i="11"/>
  <c r="M1399" i="11"/>
  <c r="L1399" i="11"/>
  <c r="A1399" i="11"/>
  <c r="P1398" i="11"/>
  <c r="O1398" i="11"/>
  <c r="N1398" i="11"/>
  <c r="M1398" i="11"/>
  <c r="L1398" i="11"/>
  <c r="A1398" i="11"/>
  <c r="P1499" i="11"/>
  <c r="O1499" i="11"/>
  <c r="N1499" i="11"/>
  <c r="M1499" i="11"/>
  <c r="L1499" i="11"/>
  <c r="A1499" i="11"/>
  <c r="P1397" i="11"/>
  <c r="O1397" i="11"/>
  <c r="N1397" i="11"/>
  <c r="M1397" i="11"/>
  <c r="L1397" i="11"/>
  <c r="A1397" i="11"/>
  <c r="P1396" i="11"/>
  <c r="O1396" i="11"/>
  <c r="N1396" i="11"/>
  <c r="M1396" i="11"/>
  <c r="L1396" i="11"/>
  <c r="A1396" i="11"/>
  <c r="P1505" i="11"/>
  <c r="O1505" i="11"/>
  <c r="N1505" i="11"/>
  <c r="M1505" i="11"/>
  <c r="L1505" i="11"/>
  <c r="A1505" i="11"/>
  <c r="P1395" i="11"/>
  <c r="O1395" i="11"/>
  <c r="N1395" i="11"/>
  <c r="M1395" i="11"/>
  <c r="L1395" i="11"/>
  <c r="A1395" i="11"/>
  <c r="P1394" i="11"/>
  <c r="O1394" i="11"/>
  <c r="N1394" i="11"/>
  <c r="M1394" i="11"/>
  <c r="L1394" i="11"/>
  <c r="A1394" i="11"/>
  <c r="P1372" i="11"/>
  <c r="O1372" i="11"/>
  <c r="N1372" i="11"/>
  <c r="M1372" i="11"/>
  <c r="L1372" i="11"/>
  <c r="A1372" i="11"/>
  <c r="P1371" i="11"/>
  <c r="O1371" i="11"/>
  <c r="N1371" i="11"/>
  <c r="M1371" i="11"/>
  <c r="L1371" i="11"/>
  <c r="A1371" i="11"/>
  <c r="P1370" i="11"/>
  <c r="O1370" i="11"/>
  <c r="N1370" i="11"/>
  <c r="M1370" i="11"/>
  <c r="L1370" i="11"/>
  <c r="A1370" i="11"/>
  <c r="P1384" i="11"/>
  <c r="O1384" i="11"/>
  <c r="N1384" i="11"/>
  <c r="M1384" i="11"/>
  <c r="L1384" i="11"/>
  <c r="A1384" i="11"/>
  <c r="P1369" i="11"/>
  <c r="O1369" i="11"/>
  <c r="N1369" i="11"/>
  <c r="M1369" i="11"/>
  <c r="L1369" i="11"/>
  <c r="A1369" i="11"/>
  <c r="P1368" i="11"/>
  <c r="O1368" i="11"/>
  <c r="N1368" i="11"/>
  <c r="M1368" i="11"/>
  <c r="L1368" i="11"/>
  <c r="A1368" i="11"/>
  <c r="P1367" i="11"/>
  <c r="O1367" i="11"/>
  <c r="N1367" i="11"/>
  <c r="M1367" i="11"/>
  <c r="L1367" i="11"/>
  <c r="A1367" i="11"/>
  <c r="P1366" i="11"/>
  <c r="O1366" i="11"/>
  <c r="N1366" i="11"/>
  <c r="M1366" i="11"/>
  <c r="L1366" i="11"/>
  <c r="A1366" i="11"/>
  <c r="P3166" i="11"/>
  <c r="O3166" i="11"/>
  <c r="N3166" i="11"/>
  <c r="M3166" i="11"/>
  <c r="L3166" i="11"/>
  <c r="P1363" i="11"/>
  <c r="O1363" i="11"/>
  <c r="N1363" i="11"/>
  <c r="M1363" i="11"/>
  <c r="L1363" i="11"/>
  <c r="A1363" i="11"/>
  <c r="P1362" i="11"/>
  <c r="O1362" i="11"/>
  <c r="N1362" i="11"/>
  <c r="M1362" i="11"/>
  <c r="L1362" i="11"/>
  <c r="A1362" i="11"/>
  <c r="P1361" i="11"/>
  <c r="O1361" i="11"/>
  <c r="N1361" i="11"/>
  <c r="M1361" i="11"/>
  <c r="L1361" i="11"/>
  <c r="A1361" i="11"/>
  <c r="P1391" i="11"/>
  <c r="O1391" i="11"/>
  <c r="N1391" i="11"/>
  <c r="M1391" i="11"/>
  <c r="L1391" i="11"/>
  <c r="A1391" i="11"/>
  <c r="P1330" i="11"/>
  <c r="O1330" i="11"/>
  <c r="N1330" i="11"/>
  <c r="M1330" i="11"/>
  <c r="L1330" i="11"/>
  <c r="A1330" i="11"/>
  <c r="P1360" i="11"/>
  <c r="O1360" i="11"/>
  <c r="N1360" i="11"/>
  <c r="M1360" i="11"/>
  <c r="L1360" i="11"/>
  <c r="A1360" i="11"/>
  <c r="P1387" i="11"/>
  <c r="O1387" i="11"/>
  <c r="N1387" i="11"/>
  <c r="M1387" i="11"/>
  <c r="L1387" i="11"/>
  <c r="A1387" i="11"/>
  <c r="P1359" i="11"/>
  <c r="O1359" i="11"/>
  <c r="N1359" i="11"/>
  <c r="M1359" i="11"/>
  <c r="L1359" i="11"/>
  <c r="A1359" i="11"/>
  <c r="P1358" i="11"/>
  <c r="O1358" i="11"/>
  <c r="N1358" i="11"/>
  <c r="M1358" i="11"/>
  <c r="L1358" i="11"/>
  <c r="A1358" i="11"/>
  <c r="P1357" i="11"/>
  <c r="O1357" i="11"/>
  <c r="N1357" i="11"/>
  <c r="M1357" i="11"/>
  <c r="L1357" i="11"/>
  <c r="A1357" i="11"/>
  <c r="P1355" i="11"/>
  <c r="O1355" i="11"/>
  <c r="N1355" i="11"/>
  <c r="M1355" i="11"/>
  <c r="L1355" i="11"/>
  <c r="A1355" i="11"/>
  <c r="P1378" i="11"/>
  <c r="O1378" i="11"/>
  <c r="N1378" i="11"/>
  <c r="M1378" i="11"/>
  <c r="L1378" i="11"/>
  <c r="A1378" i="11"/>
  <c r="P1354" i="11"/>
  <c r="O1354" i="11"/>
  <c r="N1354" i="11"/>
  <c r="M1354" i="11"/>
  <c r="L1354" i="11"/>
  <c r="A1354" i="11"/>
  <c r="P1308" i="11"/>
  <c r="O1308" i="11"/>
  <c r="N1308" i="11"/>
  <c r="M1308" i="11"/>
  <c r="L1308" i="11"/>
  <c r="A1308" i="11"/>
  <c r="P1382" i="11"/>
  <c r="O1382" i="11"/>
  <c r="N1382" i="11"/>
  <c r="M1382" i="11"/>
  <c r="L1382" i="11"/>
  <c r="A1382" i="11"/>
  <c r="P1352" i="11"/>
  <c r="O1352" i="11"/>
  <c r="N1352" i="11"/>
  <c r="M1352" i="11"/>
  <c r="L1352" i="11"/>
  <c r="A1352" i="11"/>
  <c r="P1351" i="11"/>
  <c r="O1351" i="11"/>
  <c r="N1351" i="11"/>
  <c r="M1351" i="11"/>
  <c r="L1351" i="11"/>
  <c r="A1351" i="11"/>
  <c r="P1318" i="11"/>
  <c r="O1318" i="11"/>
  <c r="N1318" i="11"/>
  <c r="M1318" i="11"/>
  <c r="L1318" i="11"/>
  <c r="A1318" i="11"/>
  <c r="P1364" i="11"/>
  <c r="O1364" i="11"/>
  <c r="N1364" i="11"/>
  <c r="M1364" i="11"/>
  <c r="L1364" i="11"/>
  <c r="A1364" i="11"/>
  <c r="P1349" i="11"/>
  <c r="O1349" i="11"/>
  <c r="N1349" i="11"/>
  <c r="M1349" i="11"/>
  <c r="L1349" i="11"/>
  <c r="A1349" i="11"/>
  <c r="P1289" i="11"/>
  <c r="O1289" i="11"/>
  <c r="N1289" i="11"/>
  <c r="M1289" i="11"/>
  <c r="L1289" i="11"/>
  <c r="A1289" i="11"/>
  <c r="P1348" i="11"/>
  <c r="O1348" i="11"/>
  <c r="N1348" i="11"/>
  <c r="M1348" i="11"/>
  <c r="L1348" i="11"/>
  <c r="A1348" i="11"/>
  <c r="P1347" i="11"/>
  <c r="O1347" i="11"/>
  <c r="N1347" i="11"/>
  <c r="M1347" i="11"/>
  <c r="L1347" i="11"/>
  <c r="A1347" i="11"/>
  <c r="P1377" i="11"/>
  <c r="O1377" i="11"/>
  <c r="N1377" i="11"/>
  <c r="M1377" i="11"/>
  <c r="L1377" i="11"/>
  <c r="A1377" i="11"/>
  <c r="P1346" i="11"/>
  <c r="O1346" i="11"/>
  <c r="N1346" i="11"/>
  <c r="M1346" i="11"/>
  <c r="L1346" i="11"/>
  <c r="A1346" i="11"/>
  <c r="P1350" i="11"/>
  <c r="O1350" i="11"/>
  <c r="N1350" i="11"/>
  <c r="M1350" i="11"/>
  <c r="L1350" i="11"/>
  <c r="A1350" i="11"/>
  <c r="P1379" i="11"/>
  <c r="O1379" i="11"/>
  <c r="N1379" i="11"/>
  <c r="M1379" i="11"/>
  <c r="L1379" i="11"/>
  <c r="A1379" i="11"/>
  <c r="P1345" i="11"/>
  <c r="O1345" i="11"/>
  <c r="N1345" i="11"/>
  <c r="M1345" i="11"/>
  <c r="L1345" i="11"/>
  <c r="A1345" i="11"/>
  <c r="P1293" i="11"/>
  <c r="O1293" i="11"/>
  <c r="N1293" i="11"/>
  <c r="M1293" i="11"/>
  <c r="L1293" i="11"/>
  <c r="A1293" i="11"/>
  <c r="P1392" i="11"/>
  <c r="O1392" i="11"/>
  <c r="N1392" i="11"/>
  <c r="M1392" i="11"/>
  <c r="L1392" i="11"/>
  <c r="A1392" i="11"/>
  <c r="P1343" i="11"/>
  <c r="O1343" i="11"/>
  <c r="N1343" i="11"/>
  <c r="M1343" i="11"/>
  <c r="L1343" i="11"/>
  <c r="A1343" i="11"/>
  <c r="P1342" i="11"/>
  <c r="O1342" i="11"/>
  <c r="N1342" i="11"/>
  <c r="M1342" i="11"/>
  <c r="L1342" i="11"/>
  <c r="A1342" i="11"/>
  <c r="P1341" i="11"/>
  <c r="O1341" i="11"/>
  <c r="N1341" i="11"/>
  <c r="M1341" i="11"/>
  <c r="L1341" i="11"/>
  <c r="A1341" i="11"/>
  <c r="P1338" i="11"/>
  <c r="O1338" i="11"/>
  <c r="N1338" i="11"/>
  <c r="M1338" i="11"/>
  <c r="L1338" i="11"/>
  <c r="A1338" i="11"/>
  <c r="P1376" i="11"/>
  <c r="O1376" i="11"/>
  <c r="N1376" i="11"/>
  <c r="M1376" i="11"/>
  <c r="L1376" i="11"/>
  <c r="A1376" i="11"/>
  <c r="P1337" i="11"/>
  <c r="O1337" i="11"/>
  <c r="N1337" i="11"/>
  <c r="M1337" i="11"/>
  <c r="L1337" i="11"/>
  <c r="A1337" i="11"/>
  <c r="P1319" i="11"/>
  <c r="O1319" i="11"/>
  <c r="N1319" i="11"/>
  <c r="M1319" i="11"/>
  <c r="L1319" i="11"/>
  <c r="A1319" i="11"/>
  <c r="P1336" i="11"/>
  <c r="O1336" i="11"/>
  <c r="N1336" i="11"/>
  <c r="M1336" i="11"/>
  <c r="L1336" i="11"/>
  <c r="A1336" i="11"/>
  <c r="P1335" i="11"/>
  <c r="O1335" i="11"/>
  <c r="N1335" i="11"/>
  <c r="M1335" i="11"/>
  <c r="L1335" i="11"/>
  <c r="A1335" i="11"/>
  <c r="P2564" i="11"/>
  <c r="O2564" i="11"/>
  <c r="N2564" i="11"/>
  <c r="M2564" i="11"/>
  <c r="L2564" i="11"/>
  <c r="P1334" i="11"/>
  <c r="O1334" i="11"/>
  <c r="N1334" i="11"/>
  <c r="M1334" i="11"/>
  <c r="L1334" i="11"/>
  <c r="A1334" i="11"/>
  <c r="P1333" i="11"/>
  <c r="O1333" i="11"/>
  <c r="N1333" i="11"/>
  <c r="M1333" i="11"/>
  <c r="L1333" i="11"/>
  <c r="A1333" i="11"/>
  <c r="P1332" i="11"/>
  <c r="O1332" i="11"/>
  <c r="N1332" i="11"/>
  <c r="M1332" i="11"/>
  <c r="L1332" i="11"/>
  <c r="A1332" i="11"/>
  <c r="P1329" i="11"/>
  <c r="O1329" i="11"/>
  <c r="N1329" i="11"/>
  <c r="M1329" i="11"/>
  <c r="L1329" i="11"/>
  <c r="A1329" i="11"/>
  <c r="P3164" i="11"/>
  <c r="O3164" i="11"/>
  <c r="N3164" i="11"/>
  <c r="M3164" i="11"/>
  <c r="L3164" i="11"/>
  <c r="P1375" i="11"/>
  <c r="O1375" i="11"/>
  <c r="N1375" i="11"/>
  <c r="M1375" i="11"/>
  <c r="L1375" i="11"/>
  <c r="A1375" i="11"/>
  <c r="P1356" i="11"/>
  <c r="O1356" i="11"/>
  <c r="N1356" i="11"/>
  <c r="M1356" i="11"/>
  <c r="L1356" i="11"/>
  <c r="A1356" i="11"/>
  <c r="P1373" i="11"/>
  <c r="O1373" i="11"/>
  <c r="N1373" i="11"/>
  <c r="M1373" i="11"/>
  <c r="L1373" i="11"/>
  <c r="A1373" i="11"/>
  <c r="P1327" i="11"/>
  <c r="O1327" i="11"/>
  <c r="N1327" i="11"/>
  <c r="M1327" i="11"/>
  <c r="L1327" i="11"/>
  <c r="A1327" i="11"/>
  <c r="P1344" i="11"/>
  <c r="O1344" i="11"/>
  <c r="N1344" i="11"/>
  <c r="M1344" i="11"/>
  <c r="L1344" i="11"/>
  <c r="A1344" i="11"/>
  <c r="P1325" i="11"/>
  <c r="O1325" i="11"/>
  <c r="N1325" i="11"/>
  <c r="M1325" i="11"/>
  <c r="L1325" i="11"/>
  <c r="A1325" i="11"/>
  <c r="P1324" i="11"/>
  <c r="O1324" i="11"/>
  <c r="N1324" i="11"/>
  <c r="M1324" i="11"/>
  <c r="L1324" i="11"/>
  <c r="A1324" i="11"/>
  <c r="P1322" i="11"/>
  <c r="O1322" i="11"/>
  <c r="N1322" i="11"/>
  <c r="M1322" i="11"/>
  <c r="L1322" i="11"/>
  <c r="A1322" i="11"/>
  <c r="P1339" i="11"/>
  <c r="O1339" i="11"/>
  <c r="N1339" i="11"/>
  <c r="M1339" i="11"/>
  <c r="L1339" i="11"/>
  <c r="A1339" i="11"/>
  <c r="P3163" i="11"/>
  <c r="O3163" i="11"/>
  <c r="N3163" i="11"/>
  <c r="M3163" i="11"/>
  <c r="L3163" i="11"/>
  <c r="P1388" i="11"/>
  <c r="O1388" i="11"/>
  <c r="N1388" i="11"/>
  <c r="M1388" i="11"/>
  <c r="L1388" i="11"/>
  <c r="A1388" i="11"/>
  <c r="P1321" i="11"/>
  <c r="O1321" i="11"/>
  <c r="N1321" i="11"/>
  <c r="M1321" i="11"/>
  <c r="L1321" i="11"/>
  <c r="A1321" i="11"/>
  <c r="P1320" i="11"/>
  <c r="O1320" i="11"/>
  <c r="N1320" i="11"/>
  <c r="M1320" i="11"/>
  <c r="L1320" i="11"/>
  <c r="A1320" i="11"/>
  <c r="P1393" i="11"/>
  <c r="O1393" i="11"/>
  <c r="N1393" i="11"/>
  <c r="M1393" i="11"/>
  <c r="L1393" i="11"/>
  <c r="A1393" i="11"/>
  <c r="P1317" i="11"/>
  <c r="O1317" i="11"/>
  <c r="N1317" i="11"/>
  <c r="M1317" i="11"/>
  <c r="L1317" i="11"/>
  <c r="A1317" i="11"/>
  <c r="P1291" i="11"/>
  <c r="O1291" i="11"/>
  <c r="N1291" i="11"/>
  <c r="M1291" i="11"/>
  <c r="L1291" i="11"/>
  <c r="A1291" i="11"/>
  <c r="P1316" i="11"/>
  <c r="O1316" i="11"/>
  <c r="N1316" i="11"/>
  <c r="M1316" i="11"/>
  <c r="L1316" i="11"/>
  <c r="A1316" i="11"/>
  <c r="P1315" i="11"/>
  <c r="O1315" i="11"/>
  <c r="N1315" i="11"/>
  <c r="M1315" i="11"/>
  <c r="L1315" i="11"/>
  <c r="A1315" i="11"/>
  <c r="P1313" i="11"/>
  <c r="O1313" i="11"/>
  <c r="N1313" i="11"/>
  <c r="M1313" i="11"/>
  <c r="L1313" i="11"/>
  <c r="A1313" i="11"/>
  <c r="P1389" i="11"/>
  <c r="O1389" i="11"/>
  <c r="N1389" i="11"/>
  <c r="M1389" i="11"/>
  <c r="L1389" i="11"/>
  <c r="A1389" i="11"/>
  <c r="P1365" i="11"/>
  <c r="O1365" i="11"/>
  <c r="N1365" i="11"/>
  <c r="M1365" i="11"/>
  <c r="L1365" i="11"/>
  <c r="A1365" i="11"/>
  <c r="P1312" i="11"/>
  <c r="O1312" i="11"/>
  <c r="N1312" i="11"/>
  <c r="M1312" i="11"/>
  <c r="L1312" i="11"/>
  <c r="A1312" i="11"/>
  <c r="P1385" i="11"/>
  <c r="O1385" i="11"/>
  <c r="N1385" i="11"/>
  <c r="M1385" i="11"/>
  <c r="L1385" i="11"/>
  <c r="A1385" i="11"/>
  <c r="P1311" i="11"/>
  <c r="O1311" i="11"/>
  <c r="N1311" i="11"/>
  <c r="M1311" i="11"/>
  <c r="L1311" i="11"/>
  <c r="A1311" i="11"/>
  <c r="P1310" i="11"/>
  <c r="O1310" i="11"/>
  <c r="N1310" i="11"/>
  <c r="M1310" i="11"/>
  <c r="L1310" i="11"/>
  <c r="A1310" i="11"/>
  <c r="P1309" i="11"/>
  <c r="O1309" i="11"/>
  <c r="N1309" i="11"/>
  <c r="M1309" i="11"/>
  <c r="L1309" i="11"/>
  <c r="A1309" i="11"/>
  <c r="P1307" i="11"/>
  <c r="O1307" i="11"/>
  <c r="N1307" i="11"/>
  <c r="M1307" i="11"/>
  <c r="L1307" i="11"/>
  <c r="A1307" i="11"/>
  <c r="P1314" i="11"/>
  <c r="O1314" i="11"/>
  <c r="N1314" i="11"/>
  <c r="M1314" i="11"/>
  <c r="L1314" i="11"/>
  <c r="A1314" i="11"/>
  <c r="P1306" i="11"/>
  <c r="O1306" i="11"/>
  <c r="N1306" i="11"/>
  <c r="M1306" i="11"/>
  <c r="L1306" i="11"/>
  <c r="A1306" i="11"/>
  <c r="P1353" i="11"/>
  <c r="O1353" i="11"/>
  <c r="N1353" i="11"/>
  <c r="M1353" i="11"/>
  <c r="L1353" i="11"/>
  <c r="A1353" i="11"/>
  <c r="P1304" i="11"/>
  <c r="O1304" i="11"/>
  <c r="N1304" i="11"/>
  <c r="M1304" i="11"/>
  <c r="L1304" i="11"/>
  <c r="A1304" i="11"/>
  <c r="P1303" i="11"/>
  <c r="O1303" i="11"/>
  <c r="N1303" i="11"/>
  <c r="M1303" i="11"/>
  <c r="L1303" i="11"/>
  <c r="A1303" i="11"/>
  <c r="P1386" i="11"/>
  <c r="O1386" i="11"/>
  <c r="N1386" i="11"/>
  <c r="M1386" i="11"/>
  <c r="L1386" i="11"/>
  <c r="A1386" i="11"/>
  <c r="P1302" i="11"/>
  <c r="O1302" i="11"/>
  <c r="N1302" i="11"/>
  <c r="M1302" i="11"/>
  <c r="L1302" i="11"/>
  <c r="A1302" i="11"/>
  <c r="P1301" i="11"/>
  <c r="O1301" i="11"/>
  <c r="N1301" i="11"/>
  <c r="M1301" i="11"/>
  <c r="L1301" i="11"/>
  <c r="A1301" i="11"/>
  <c r="P1300" i="11"/>
  <c r="O1300" i="11"/>
  <c r="N1300" i="11"/>
  <c r="M1300" i="11"/>
  <c r="L1300" i="11"/>
  <c r="A1300" i="11"/>
  <c r="P1299" i="11"/>
  <c r="O1299" i="11"/>
  <c r="N1299" i="11"/>
  <c r="M1299" i="11"/>
  <c r="L1299" i="11"/>
  <c r="A1299" i="11"/>
  <c r="P1298" i="11"/>
  <c r="O1298" i="11"/>
  <c r="N1298" i="11"/>
  <c r="M1298" i="11"/>
  <c r="L1298" i="11"/>
  <c r="A1298" i="11"/>
  <c r="P1297" i="11"/>
  <c r="O1297" i="11"/>
  <c r="N1297" i="11"/>
  <c r="M1297" i="11"/>
  <c r="L1297" i="11"/>
  <c r="A1297" i="11"/>
  <c r="P1331" i="11"/>
  <c r="O1331" i="11"/>
  <c r="N1331" i="11"/>
  <c r="M1331" i="11"/>
  <c r="L1331" i="11"/>
  <c r="A1331" i="11"/>
  <c r="P1296" i="11"/>
  <c r="O1296" i="11"/>
  <c r="N1296" i="11"/>
  <c r="M1296" i="11"/>
  <c r="L1296" i="11"/>
  <c r="A1296" i="11"/>
  <c r="P1295" i="11"/>
  <c r="O1295" i="11"/>
  <c r="N1295" i="11"/>
  <c r="M1295" i="11"/>
  <c r="L1295" i="11"/>
  <c r="A1295" i="11"/>
  <c r="P1380" i="11"/>
  <c r="O1380" i="11"/>
  <c r="N1380" i="11"/>
  <c r="M1380" i="11"/>
  <c r="L1380" i="11"/>
  <c r="A1380" i="11"/>
  <c r="P1294" i="11"/>
  <c r="O1294" i="11"/>
  <c r="N1294" i="11"/>
  <c r="M1294" i="11"/>
  <c r="L1294" i="11"/>
  <c r="A1294" i="11"/>
  <c r="P1292" i="11"/>
  <c r="O1292" i="11"/>
  <c r="N1292" i="11"/>
  <c r="M1292" i="11"/>
  <c r="L1292" i="11"/>
  <c r="A1292" i="11"/>
  <c r="P3162" i="11"/>
  <c r="O3162" i="11"/>
  <c r="N3162" i="11"/>
  <c r="M3162" i="11"/>
  <c r="L3162" i="11"/>
  <c r="P1290" i="11"/>
  <c r="O1290" i="11"/>
  <c r="N1290" i="11"/>
  <c r="M1290" i="11"/>
  <c r="L1290" i="11"/>
  <c r="A1290" i="11"/>
  <c r="P1288" i="11"/>
  <c r="O1288" i="11"/>
  <c r="N1288" i="11"/>
  <c r="M1288" i="11"/>
  <c r="L1288" i="11"/>
  <c r="A1288" i="11"/>
  <c r="P1287" i="11"/>
  <c r="O1287" i="11"/>
  <c r="N1287" i="11"/>
  <c r="M1287" i="11"/>
  <c r="L1287" i="11"/>
  <c r="A1287" i="11"/>
  <c r="P1286" i="11"/>
  <c r="O1286" i="11"/>
  <c r="N1286" i="11"/>
  <c r="M1286" i="11"/>
  <c r="L1286" i="11"/>
  <c r="A1286" i="11"/>
  <c r="P1340" i="11"/>
  <c r="O1340" i="11"/>
  <c r="N1340" i="11"/>
  <c r="M1340" i="11"/>
  <c r="L1340" i="11"/>
  <c r="A1340" i="11"/>
  <c r="P1383" i="11"/>
  <c r="O1383" i="11"/>
  <c r="N1383" i="11"/>
  <c r="M1383" i="11"/>
  <c r="L1383" i="11"/>
  <c r="A1383" i="11"/>
  <c r="P1381" i="11"/>
  <c r="O1381" i="11"/>
  <c r="N1381" i="11"/>
  <c r="M1381" i="11"/>
  <c r="L1381" i="11"/>
  <c r="A1381" i="11"/>
  <c r="P1285" i="11"/>
  <c r="O1285" i="11"/>
  <c r="N1285" i="11"/>
  <c r="M1285" i="11"/>
  <c r="L1285" i="11"/>
  <c r="A1285" i="11"/>
  <c r="P1284" i="11"/>
  <c r="O1284" i="11"/>
  <c r="N1284" i="11"/>
  <c r="M1284" i="11"/>
  <c r="L1284" i="11"/>
  <c r="A1284" i="11"/>
  <c r="P1283" i="11"/>
  <c r="O1283" i="11"/>
  <c r="N1283" i="11"/>
  <c r="M1283" i="11"/>
  <c r="L1283" i="11"/>
  <c r="A1283" i="11"/>
  <c r="P1282" i="11"/>
  <c r="O1282" i="11"/>
  <c r="N1282" i="11"/>
  <c r="M1282" i="11"/>
  <c r="L1282" i="11"/>
  <c r="A1282" i="11"/>
  <c r="P1323" i="11"/>
  <c r="O1323" i="11"/>
  <c r="N1323" i="11"/>
  <c r="M1323" i="11"/>
  <c r="L1323" i="11"/>
  <c r="A1323" i="11"/>
  <c r="P1281" i="11"/>
  <c r="O1281" i="11"/>
  <c r="N1281" i="11"/>
  <c r="M1281" i="11"/>
  <c r="L1281" i="11"/>
  <c r="A1281" i="11"/>
  <c r="P1280" i="11"/>
  <c r="O1280" i="11"/>
  <c r="N1280" i="11"/>
  <c r="M1280" i="11"/>
  <c r="L1280" i="11"/>
  <c r="A1280" i="11"/>
  <c r="P1279" i="11"/>
  <c r="O1279" i="11"/>
  <c r="N1279" i="11"/>
  <c r="M1279" i="11"/>
  <c r="L1279" i="11"/>
  <c r="A1279" i="11"/>
  <c r="P1305" i="11"/>
  <c r="O1305" i="11"/>
  <c r="N1305" i="11"/>
  <c r="M1305" i="11"/>
  <c r="L1305" i="11"/>
  <c r="A1305" i="11"/>
  <c r="P1278" i="11"/>
  <c r="O1278" i="11"/>
  <c r="N1278" i="11"/>
  <c r="M1278" i="11"/>
  <c r="L1278" i="11"/>
  <c r="A1278" i="11"/>
  <c r="P1374" i="11"/>
  <c r="O1374" i="11"/>
  <c r="N1374" i="11"/>
  <c r="M1374" i="11"/>
  <c r="L1374" i="11"/>
  <c r="A1374" i="11"/>
  <c r="P1261" i="11"/>
  <c r="O1261" i="11"/>
  <c r="N1261" i="11"/>
  <c r="M1261" i="11"/>
  <c r="L1261" i="11"/>
  <c r="A1261" i="11"/>
  <c r="P1260" i="11"/>
  <c r="O1260" i="11"/>
  <c r="N1260" i="11"/>
  <c r="M1260" i="11"/>
  <c r="L1260" i="11"/>
  <c r="A1260" i="11"/>
  <c r="P1259" i="11"/>
  <c r="O1259" i="11"/>
  <c r="N1259" i="11"/>
  <c r="M1259" i="11"/>
  <c r="L1259" i="11"/>
  <c r="A1259" i="11"/>
  <c r="P1276" i="11"/>
  <c r="O1276" i="11"/>
  <c r="N1276" i="11"/>
  <c r="M1276" i="11"/>
  <c r="L1276" i="11"/>
  <c r="A1276" i="11"/>
  <c r="P1258" i="11"/>
  <c r="O1258" i="11"/>
  <c r="N1258" i="11"/>
  <c r="M1258" i="11"/>
  <c r="L1258" i="11"/>
  <c r="A1258" i="11"/>
  <c r="P1257" i="11"/>
  <c r="O1257" i="11"/>
  <c r="N1257" i="11"/>
  <c r="M1257" i="11"/>
  <c r="L1257" i="11"/>
  <c r="A1257" i="11"/>
  <c r="P1256" i="11"/>
  <c r="O1256" i="11"/>
  <c r="N1256" i="11"/>
  <c r="M1256" i="11"/>
  <c r="L1256" i="11"/>
  <c r="A1256" i="11"/>
  <c r="P1249" i="11"/>
  <c r="O1249" i="11"/>
  <c r="N1249" i="11"/>
  <c r="M1249" i="11"/>
  <c r="L1249" i="11"/>
  <c r="A1249" i="11"/>
  <c r="P3161" i="11"/>
  <c r="O3161" i="11"/>
  <c r="N3161" i="11"/>
  <c r="M3161" i="11"/>
  <c r="L3161" i="11"/>
  <c r="P1252" i="11"/>
  <c r="O1252" i="11"/>
  <c r="N1252" i="11"/>
  <c r="M1252" i="11"/>
  <c r="L1252" i="11"/>
  <c r="A1252" i="11"/>
  <c r="P1209" i="11"/>
  <c r="O1209" i="11"/>
  <c r="N1209" i="11"/>
  <c r="M1209" i="11"/>
  <c r="L1209" i="11"/>
  <c r="A1209" i="11"/>
  <c r="P1251" i="11"/>
  <c r="O1251" i="11"/>
  <c r="N1251" i="11"/>
  <c r="M1251" i="11"/>
  <c r="L1251" i="11"/>
  <c r="A1251" i="11"/>
  <c r="P1248" i="11"/>
  <c r="O1248" i="11"/>
  <c r="N1248" i="11"/>
  <c r="M1248" i="11"/>
  <c r="L1248" i="11"/>
  <c r="A1248" i="11"/>
  <c r="P1217" i="11"/>
  <c r="O1217" i="11"/>
  <c r="N1217" i="11"/>
  <c r="M1217" i="11"/>
  <c r="L1217" i="11"/>
  <c r="A1217" i="11"/>
  <c r="P1255" i="11"/>
  <c r="O1255" i="11"/>
  <c r="N1255" i="11"/>
  <c r="M1255" i="11"/>
  <c r="L1255" i="11"/>
  <c r="A1255" i="11"/>
  <c r="P1246" i="11"/>
  <c r="O1246" i="11"/>
  <c r="N1246" i="11"/>
  <c r="M1246" i="11"/>
  <c r="L1246" i="11"/>
  <c r="A1246" i="11"/>
  <c r="P1245" i="11"/>
  <c r="O1245" i="11"/>
  <c r="N1245" i="11"/>
  <c r="M1245" i="11"/>
  <c r="L1245" i="11"/>
  <c r="A1245" i="11"/>
  <c r="P1244" i="11"/>
  <c r="O1244" i="11"/>
  <c r="N1244" i="11"/>
  <c r="M1244" i="11"/>
  <c r="L1244" i="11"/>
  <c r="A1244" i="11"/>
  <c r="P1243" i="11"/>
  <c r="O1243" i="11"/>
  <c r="N1243" i="11"/>
  <c r="M1243" i="11"/>
  <c r="L1243" i="11"/>
  <c r="A1243" i="11"/>
  <c r="P1242" i="11"/>
  <c r="O1242" i="11"/>
  <c r="N1242" i="11"/>
  <c r="M1242" i="11"/>
  <c r="L1242" i="11"/>
  <c r="A1242" i="11"/>
  <c r="P1269" i="11"/>
  <c r="O1269" i="11"/>
  <c r="N1269" i="11"/>
  <c r="M1269" i="11"/>
  <c r="L1269" i="11"/>
  <c r="A1269" i="11"/>
  <c r="P1194" i="11"/>
  <c r="O1194" i="11"/>
  <c r="N1194" i="11"/>
  <c r="M1194" i="11"/>
  <c r="L1194" i="11"/>
  <c r="A1194" i="11"/>
  <c r="P1236" i="11"/>
  <c r="O1236" i="11"/>
  <c r="N1236" i="11"/>
  <c r="M1236" i="11"/>
  <c r="L1236" i="11"/>
  <c r="A1236" i="11"/>
  <c r="P1241" i="11"/>
  <c r="O1241" i="11"/>
  <c r="N1241" i="11"/>
  <c r="M1241" i="11"/>
  <c r="L1241" i="11"/>
  <c r="A1241" i="11"/>
  <c r="P1240" i="11"/>
  <c r="O1240" i="11"/>
  <c r="N1240" i="11"/>
  <c r="M1240" i="11"/>
  <c r="L1240" i="11"/>
  <c r="A1240" i="11"/>
  <c r="P1239" i="11"/>
  <c r="O1239" i="11"/>
  <c r="N1239" i="11"/>
  <c r="M1239" i="11"/>
  <c r="L1239" i="11"/>
  <c r="A1239" i="11"/>
  <c r="P1264" i="11"/>
  <c r="O1264" i="11"/>
  <c r="N1264" i="11"/>
  <c r="M1264" i="11"/>
  <c r="L1264" i="11"/>
  <c r="A1264" i="11"/>
  <c r="P1238" i="11"/>
  <c r="O1238" i="11"/>
  <c r="N1238" i="11"/>
  <c r="M1238" i="11"/>
  <c r="L1238" i="11"/>
  <c r="A1238" i="11"/>
  <c r="P1237" i="11"/>
  <c r="O1237" i="11"/>
  <c r="N1237" i="11"/>
  <c r="M1237" i="11"/>
  <c r="L1237" i="11"/>
  <c r="A1237" i="11"/>
  <c r="P1250" i="11"/>
  <c r="O1250" i="11"/>
  <c r="N1250" i="11"/>
  <c r="M1250" i="11"/>
  <c r="L1250" i="11"/>
  <c r="A1250" i="11"/>
  <c r="P1235" i="11"/>
  <c r="O1235" i="11"/>
  <c r="N1235" i="11"/>
  <c r="M1235" i="11"/>
  <c r="L1235" i="11"/>
  <c r="A1235" i="11"/>
  <c r="P1234" i="11"/>
  <c r="O1234" i="11"/>
  <c r="N1234" i="11"/>
  <c r="M1234" i="11"/>
  <c r="L1234" i="11"/>
  <c r="A1234" i="11"/>
  <c r="P1266" i="11"/>
  <c r="O1266" i="11"/>
  <c r="N1266" i="11"/>
  <c r="M1266" i="11"/>
  <c r="L1266" i="11"/>
  <c r="A1266" i="11"/>
  <c r="P1233" i="11"/>
  <c r="O1233" i="11"/>
  <c r="N1233" i="11"/>
  <c r="M1233" i="11"/>
  <c r="L1233" i="11"/>
  <c r="A1233" i="11"/>
  <c r="P1212" i="11"/>
  <c r="O1212" i="11"/>
  <c r="N1212" i="11"/>
  <c r="M1212" i="11"/>
  <c r="L1212" i="11"/>
  <c r="A1212" i="11"/>
  <c r="P1270" i="11"/>
  <c r="O1270" i="11"/>
  <c r="N1270" i="11"/>
  <c r="M1270" i="11"/>
  <c r="L1270" i="11"/>
  <c r="A1270" i="11"/>
  <c r="P1232" i="11"/>
  <c r="O1232" i="11"/>
  <c r="N1232" i="11"/>
  <c r="M1232" i="11"/>
  <c r="L1232" i="11"/>
  <c r="A1232" i="11"/>
  <c r="P1177" i="11"/>
  <c r="O1177" i="11"/>
  <c r="N1177" i="11"/>
  <c r="M1177" i="11"/>
  <c r="L1177" i="11"/>
  <c r="A1177" i="11"/>
  <c r="P1231" i="11"/>
  <c r="O1231" i="11"/>
  <c r="N1231" i="11"/>
  <c r="M1231" i="11"/>
  <c r="L1231" i="11"/>
  <c r="A1231" i="11"/>
  <c r="P1230" i="11"/>
  <c r="O1230" i="11"/>
  <c r="N1230" i="11"/>
  <c r="M1230" i="11"/>
  <c r="L1230" i="11"/>
  <c r="A1230" i="11"/>
  <c r="P1229" i="11"/>
  <c r="O1229" i="11"/>
  <c r="N1229" i="11"/>
  <c r="M1229" i="11"/>
  <c r="L1229" i="11"/>
  <c r="A1229" i="11"/>
  <c r="P1227" i="11"/>
  <c r="O1227" i="11"/>
  <c r="N1227" i="11"/>
  <c r="M1227" i="11"/>
  <c r="L1227" i="11"/>
  <c r="A1227" i="11"/>
  <c r="P1224" i="11"/>
  <c r="O1224" i="11"/>
  <c r="N1224" i="11"/>
  <c r="M1224" i="11"/>
  <c r="L1224" i="11"/>
  <c r="A1224" i="11"/>
  <c r="P1265" i="11"/>
  <c r="O1265" i="11"/>
  <c r="N1265" i="11"/>
  <c r="M1265" i="11"/>
  <c r="L1265" i="11"/>
  <c r="A1265" i="11"/>
  <c r="P1223" i="11"/>
  <c r="O1223" i="11"/>
  <c r="N1223" i="11"/>
  <c r="M1223" i="11"/>
  <c r="L1223" i="11"/>
  <c r="A1223" i="11"/>
  <c r="P1162" i="11"/>
  <c r="O1162" i="11"/>
  <c r="N1162" i="11"/>
  <c r="M1162" i="11"/>
  <c r="L1162" i="11"/>
  <c r="A1162" i="11"/>
  <c r="P1222" i="11"/>
  <c r="O1222" i="11"/>
  <c r="N1222" i="11"/>
  <c r="M1222" i="11"/>
  <c r="L1222" i="11"/>
  <c r="A1222" i="11"/>
  <c r="P1221" i="11"/>
  <c r="O1221" i="11"/>
  <c r="N1221" i="11"/>
  <c r="M1221" i="11"/>
  <c r="L1221" i="11"/>
  <c r="A1221" i="11"/>
  <c r="P2563" i="11"/>
  <c r="O2563" i="11"/>
  <c r="N2563" i="11"/>
  <c r="M2563" i="11"/>
  <c r="L2563" i="11"/>
  <c r="P1220" i="11"/>
  <c r="O1220" i="11"/>
  <c r="N1220" i="11"/>
  <c r="M1220" i="11"/>
  <c r="L1220" i="11"/>
  <c r="A1220" i="11"/>
  <c r="P1219" i="11"/>
  <c r="O1219" i="11"/>
  <c r="N1219" i="11"/>
  <c r="M1219" i="11"/>
  <c r="L1219" i="11"/>
  <c r="A1219" i="11"/>
  <c r="P1218" i="11"/>
  <c r="O1218" i="11"/>
  <c r="N1218" i="11"/>
  <c r="M1218" i="11"/>
  <c r="L1218" i="11"/>
  <c r="A1218" i="11"/>
  <c r="P1216" i="11"/>
  <c r="O1216" i="11"/>
  <c r="N1216" i="11"/>
  <c r="M1216" i="11"/>
  <c r="L1216" i="11"/>
  <c r="A1216" i="11"/>
  <c r="P3159" i="11"/>
  <c r="O3159" i="11"/>
  <c r="N3159" i="11"/>
  <c r="M3159" i="11"/>
  <c r="L3159" i="11"/>
  <c r="P1263" i="11"/>
  <c r="O1263" i="11"/>
  <c r="N1263" i="11"/>
  <c r="M1263" i="11"/>
  <c r="L1263" i="11"/>
  <c r="A1263" i="11"/>
  <c r="P1214" i="11"/>
  <c r="O1214" i="11"/>
  <c r="N1214" i="11"/>
  <c r="M1214" i="11"/>
  <c r="L1214" i="11"/>
  <c r="A1214" i="11"/>
  <c r="P1262" i="11"/>
  <c r="O1262" i="11"/>
  <c r="N1262" i="11"/>
  <c r="M1262" i="11"/>
  <c r="L1262" i="11"/>
  <c r="A1262" i="11"/>
  <c r="P1213" i="11"/>
  <c r="O1213" i="11"/>
  <c r="N1213" i="11"/>
  <c r="M1213" i="11"/>
  <c r="L1213" i="11"/>
  <c r="A1213" i="11"/>
  <c r="P1211" i="11"/>
  <c r="O1211" i="11"/>
  <c r="N1211" i="11"/>
  <c r="M1211" i="11"/>
  <c r="L1211" i="11"/>
  <c r="A1211" i="11"/>
  <c r="P1208" i="11"/>
  <c r="O1208" i="11"/>
  <c r="N1208" i="11"/>
  <c r="M1208" i="11"/>
  <c r="L1208" i="11"/>
  <c r="A1208" i="11"/>
  <c r="P1207" i="11"/>
  <c r="O1207" i="11"/>
  <c r="N1207" i="11"/>
  <c r="M1207" i="11"/>
  <c r="L1207" i="11"/>
  <c r="A1207" i="11"/>
  <c r="P1206" i="11"/>
  <c r="O1206" i="11"/>
  <c r="N1206" i="11"/>
  <c r="M1206" i="11"/>
  <c r="L1206" i="11"/>
  <c r="A1206" i="11"/>
  <c r="P1205" i="11"/>
  <c r="O1205" i="11"/>
  <c r="N1205" i="11"/>
  <c r="M1205" i="11"/>
  <c r="L1205" i="11"/>
  <c r="A1205" i="11"/>
  <c r="P3158" i="11"/>
  <c r="O3158" i="11"/>
  <c r="N3158" i="11"/>
  <c r="M3158" i="11"/>
  <c r="L3158" i="11"/>
  <c r="P1272" i="11"/>
  <c r="O1272" i="11"/>
  <c r="N1272" i="11"/>
  <c r="M1272" i="11"/>
  <c r="L1272" i="11"/>
  <c r="A1272" i="11"/>
  <c r="P1204" i="11"/>
  <c r="O1204" i="11"/>
  <c r="N1204" i="11"/>
  <c r="M1204" i="11"/>
  <c r="L1204" i="11"/>
  <c r="A1204" i="11"/>
  <c r="P1203" i="11"/>
  <c r="O1203" i="11"/>
  <c r="N1203" i="11"/>
  <c r="M1203" i="11"/>
  <c r="L1203" i="11"/>
  <c r="A1203" i="11"/>
  <c r="P1202" i="11"/>
  <c r="O1202" i="11"/>
  <c r="N1202" i="11"/>
  <c r="M1202" i="11"/>
  <c r="L1202" i="11"/>
  <c r="A1202" i="11"/>
  <c r="P1201" i="11"/>
  <c r="O1201" i="11"/>
  <c r="N1201" i="11"/>
  <c r="M1201" i="11"/>
  <c r="L1201" i="11"/>
  <c r="A1201" i="11"/>
  <c r="P1277" i="11"/>
  <c r="O1277" i="11"/>
  <c r="N1277" i="11"/>
  <c r="M1277" i="11"/>
  <c r="L1277" i="11"/>
  <c r="A1277" i="11"/>
  <c r="P1200" i="11"/>
  <c r="O1200" i="11"/>
  <c r="N1200" i="11"/>
  <c r="M1200" i="11"/>
  <c r="L1200" i="11"/>
  <c r="A1200" i="11"/>
  <c r="P1228" i="11"/>
  <c r="O1228" i="11"/>
  <c r="N1228" i="11"/>
  <c r="M1228" i="11"/>
  <c r="L1228" i="11"/>
  <c r="A1228" i="11"/>
  <c r="P1198" i="11"/>
  <c r="O1198" i="11"/>
  <c r="N1198" i="11"/>
  <c r="M1198" i="11"/>
  <c r="L1198" i="11"/>
  <c r="A1198" i="11"/>
  <c r="P1267" i="11"/>
  <c r="O1267" i="11"/>
  <c r="N1267" i="11"/>
  <c r="M1267" i="11"/>
  <c r="L1267" i="11"/>
  <c r="A1267" i="11"/>
  <c r="P1197" i="11"/>
  <c r="O1197" i="11"/>
  <c r="N1197" i="11"/>
  <c r="M1197" i="11"/>
  <c r="L1197" i="11"/>
  <c r="A1197" i="11"/>
  <c r="P1196" i="11"/>
  <c r="O1196" i="11"/>
  <c r="N1196" i="11"/>
  <c r="M1196" i="11"/>
  <c r="L1196" i="11"/>
  <c r="A1196" i="11"/>
  <c r="P1253" i="11"/>
  <c r="O1253" i="11"/>
  <c r="N1253" i="11"/>
  <c r="M1253" i="11"/>
  <c r="L1253" i="11"/>
  <c r="A1253" i="11"/>
  <c r="P1195" i="11"/>
  <c r="O1195" i="11"/>
  <c r="N1195" i="11"/>
  <c r="M1195" i="11"/>
  <c r="L1195" i="11"/>
  <c r="A1195" i="11"/>
  <c r="P1193" i="11"/>
  <c r="O1193" i="11"/>
  <c r="N1193" i="11"/>
  <c r="M1193" i="11"/>
  <c r="L1193" i="11"/>
  <c r="A1193" i="11"/>
  <c r="P1192" i="11"/>
  <c r="O1192" i="11"/>
  <c r="N1192" i="11"/>
  <c r="M1192" i="11"/>
  <c r="L1192" i="11"/>
  <c r="A1192" i="11"/>
  <c r="P1191" i="11"/>
  <c r="O1191" i="11"/>
  <c r="N1191" i="11"/>
  <c r="M1191" i="11"/>
  <c r="L1191" i="11"/>
  <c r="A1191" i="11"/>
  <c r="P1199" i="11"/>
  <c r="O1199" i="11"/>
  <c r="N1199" i="11"/>
  <c r="M1199" i="11"/>
  <c r="L1199" i="11"/>
  <c r="A1199" i="11"/>
  <c r="P1190" i="11"/>
  <c r="O1190" i="11"/>
  <c r="N1190" i="11"/>
  <c r="M1190" i="11"/>
  <c r="L1190" i="11"/>
  <c r="A1190" i="11"/>
  <c r="P1273" i="11"/>
  <c r="O1273" i="11"/>
  <c r="N1273" i="11"/>
  <c r="M1273" i="11"/>
  <c r="L1273" i="11"/>
  <c r="A1273" i="11"/>
  <c r="P1189" i="11"/>
  <c r="O1189" i="11"/>
  <c r="N1189" i="11"/>
  <c r="M1189" i="11"/>
  <c r="L1189" i="11"/>
  <c r="A1189" i="11"/>
  <c r="P1188" i="11"/>
  <c r="O1188" i="11"/>
  <c r="N1188" i="11"/>
  <c r="M1188" i="11"/>
  <c r="L1188" i="11"/>
  <c r="A1188" i="11"/>
  <c r="P1187" i="11"/>
  <c r="O1187" i="11"/>
  <c r="N1187" i="11"/>
  <c r="M1187" i="11"/>
  <c r="L1187" i="11"/>
  <c r="A1187" i="11"/>
  <c r="P1186" i="11"/>
  <c r="O1186" i="11"/>
  <c r="N1186" i="11"/>
  <c r="M1186" i="11"/>
  <c r="L1186" i="11"/>
  <c r="A1186" i="11"/>
  <c r="P1185" i="11"/>
  <c r="O1185" i="11"/>
  <c r="N1185" i="11"/>
  <c r="M1185" i="11"/>
  <c r="L1185" i="11"/>
  <c r="A1185" i="11"/>
  <c r="P1184" i="11"/>
  <c r="O1184" i="11"/>
  <c r="N1184" i="11"/>
  <c r="M1184" i="11"/>
  <c r="L1184" i="11"/>
  <c r="A1184" i="11"/>
  <c r="P1183" i="11"/>
  <c r="O1183" i="11"/>
  <c r="N1183" i="11"/>
  <c r="M1183" i="11"/>
  <c r="L1183" i="11"/>
  <c r="A1183" i="11"/>
  <c r="P1182" i="11"/>
  <c r="O1182" i="11"/>
  <c r="N1182" i="11"/>
  <c r="M1182" i="11"/>
  <c r="L1182" i="11"/>
  <c r="A1182" i="11"/>
  <c r="P1181" i="11"/>
  <c r="O1181" i="11"/>
  <c r="N1181" i="11"/>
  <c r="M1181" i="11"/>
  <c r="L1181" i="11"/>
  <c r="A1181" i="11"/>
  <c r="P1268" i="11"/>
  <c r="O1268" i="11"/>
  <c r="N1268" i="11"/>
  <c r="M1268" i="11"/>
  <c r="L1268" i="11"/>
  <c r="A1268" i="11"/>
  <c r="P1180" i="11"/>
  <c r="O1180" i="11"/>
  <c r="N1180" i="11"/>
  <c r="M1180" i="11"/>
  <c r="L1180" i="11"/>
  <c r="A1180" i="11"/>
  <c r="P1179" i="11"/>
  <c r="O1179" i="11"/>
  <c r="N1179" i="11"/>
  <c r="M1179" i="11"/>
  <c r="L1179" i="11"/>
  <c r="A1179" i="11"/>
  <c r="P1271" i="11"/>
  <c r="O1271" i="11"/>
  <c r="N1271" i="11"/>
  <c r="M1271" i="11"/>
  <c r="L1271" i="11"/>
  <c r="A1271" i="11"/>
  <c r="P1178" i="11"/>
  <c r="O1178" i="11"/>
  <c r="N1178" i="11"/>
  <c r="M1178" i="11"/>
  <c r="L1178" i="11"/>
  <c r="A1178" i="11"/>
  <c r="P1176" i="11"/>
  <c r="O1176" i="11"/>
  <c r="N1176" i="11"/>
  <c r="M1176" i="11"/>
  <c r="L1176" i="11"/>
  <c r="A1176" i="11"/>
  <c r="P3157" i="11"/>
  <c r="O3157" i="11"/>
  <c r="N3157" i="11"/>
  <c r="M3157" i="11"/>
  <c r="L3157" i="11"/>
  <c r="P1175" i="11"/>
  <c r="O1175" i="11"/>
  <c r="N1175" i="11"/>
  <c r="M1175" i="11"/>
  <c r="L1175" i="11"/>
  <c r="A1175" i="11"/>
  <c r="P1174" i="11"/>
  <c r="O1174" i="11"/>
  <c r="N1174" i="11"/>
  <c r="M1174" i="11"/>
  <c r="L1174" i="11"/>
  <c r="A1174" i="11"/>
  <c r="P1173" i="11"/>
  <c r="O1173" i="11"/>
  <c r="N1173" i="11"/>
  <c r="M1173" i="11"/>
  <c r="L1173" i="11"/>
  <c r="A1173" i="11"/>
  <c r="P1172" i="11"/>
  <c r="O1172" i="11"/>
  <c r="N1172" i="11"/>
  <c r="M1172" i="11"/>
  <c r="L1172" i="11"/>
  <c r="A1172" i="11"/>
  <c r="P1226" i="11"/>
  <c r="O1226" i="11"/>
  <c r="N1226" i="11"/>
  <c r="M1226" i="11"/>
  <c r="L1226" i="11"/>
  <c r="A1226" i="11"/>
  <c r="P1274" i="11"/>
  <c r="O1274" i="11"/>
  <c r="N1274" i="11"/>
  <c r="M1274" i="11"/>
  <c r="L1274" i="11"/>
  <c r="A1274" i="11"/>
  <c r="P1171" i="11"/>
  <c r="O1171" i="11"/>
  <c r="N1171" i="11"/>
  <c r="M1171" i="11"/>
  <c r="L1171" i="11"/>
  <c r="A1171" i="11"/>
  <c r="P1170" i="11"/>
  <c r="O1170" i="11"/>
  <c r="N1170" i="11"/>
  <c r="M1170" i="11"/>
  <c r="L1170" i="11"/>
  <c r="A1170" i="11"/>
  <c r="P1169" i="11"/>
  <c r="O1169" i="11"/>
  <c r="N1169" i="11"/>
  <c r="M1169" i="11"/>
  <c r="L1169" i="11"/>
  <c r="A1169" i="11"/>
  <c r="P1168" i="11"/>
  <c r="O1168" i="11"/>
  <c r="N1168" i="11"/>
  <c r="M1168" i="11"/>
  <c r="L1168" i="11"/>
  <c r="A1168" i="11"/>
  <c r="P1167" i="11"/>
  <c r="O1167" i="11"/>
  <c r="N1167" i="11"/>
  <c r="M1167" i="11"/>
  <c r="L1167" i="11"/>
  <c r="A1167" i="11"/>
  <c r="P1275" i="11"/>
  <c r="O1275" i="11"/>
  <c r="N1275" i="11"/>
  <c r="M1275" i="11"/>
  <c r="L1275" i="11"/>
  <c r="A1275" i="11"/>
  <c r="P1166" i="11"/>
  <c r="O1166" i="11"/>
  <c r="N1166" i="11"/>
  <c r="M1166" i="11"/>
  <c r="L1166" i="11"/>
  <c r="A1166" i="11"/>
  <c r="P1165" i="11"/>
  <c r="O1165" i="11"/>
  <c r="N1165" i="11"/>
  <c r="M1165" i="11"/>
  <c r="L1165" i="11"/>
  <c r="A1165" i="11"/>
  <c r="P1164" i="11"/>
  <c r="O1164" i="11"/>
  <c r="N1164" i="11"/>
  <c r="M1164" i="11"/>
  <c r="L1164" i="11"/>
  <c r="A1164" i="11"/>
  <c r="P1225" i="11"/>
  <c r="O1225" i="11"/>
  <c r="N1225" i="11"/>
  <c r="M1225" i="11"/>
  <c r="L1225" i="11"/>
  <c r="A1225" i="11"/>
  <c r="P1163" i="11"/>
  <c r="O1163" i="11"/>
  <c r="N1163" i="11"/>
  <c r="M1163" i="11"/>
  <c r="L1163" i="11"/>
  <c r="A1163" i="11"/>
  <c r="P1254" i="11"/>
  <c r="O1254" i="11"/>
  <c r="N1254" i="11"/>
  <c r="M1254" i="11"/>
  <c r="L1254" i="11"/>
  <c r="A1254" i="11"/>
  <c r="P1153" i="11" l="1"/>
  <c r="O1153" i="11"/>
  <c r="N1153" i="11"/>
  <c r="M1153" i="11"/>
  <c r="L1153" i="11"/>
  <c r="A1153" i="11"/>
  <c r="P1152" i="11"/>
  <c r="O1152" i="11"/>
  <c r="N1152" i="11"/>
  <c r="M1152" i="11"/>
  <c r="L1152" i="11"/>
  <c r="A1152" i="11"/>
  <c r="P1150" i="11"/>
  <c r="O1150" i="11"/>
  <c r="N1150" i="11"/>
  <c r="M1150" i="11"/>
  <c r="L1150" i="11"/>
  <c r="A1150" i="11"/>
  <c r="P1149" i="11"/>
  <c r="O1149" i="11"/>
  <c r="N1149" i="11"/>
  <c r="M1149" i="11"/>
  <c r="L1149" i="11"/>
  <c r="A1149" i="11"/>
  <c r="P1148" i="11"/>
  <c r="O1148" i="11"/>
  <c r="N1148" i="11"/>
  <c r="M1148" i="11"/>
  <c r="L1148" i="11"/>
  <c r="A1148" i="11"/>
  <c r="P1147" i="11"/>
  <c r="O1147" i="11"/>
  <c r="N1147" i="11"/>
  <c r="M1147" i="11"/>
  <c r="L1147" i="11"/>
  <c r="A1147" i="11"/>
  <c r="P1146" i="11"/>
  <c r="O1146" i="11"/>
  <c r="N1146" i="11"/>
  <c r="M1146" i="11"/>
  <c r="L1146" i="11"/>
  <c r="A1146" i="11"/>
  <c r="P1145" i="11"/>
  <c r="O1145" i="11"/>
  <c r="N1145" i="11"/>
  <c r="M1145" i="11"/>
  <c r="L1145" i="11"/>
  <c r="A1145" i="11"/>
  <c r="P3156" i="11"/>
  <c r="O3156" i="11"/>
  <c r="N3156" i="11"/>
  <c r="M3156" i="11"/>
  <c r="L3156" i="11"/>
  <c r="P1143" i="11"/>
  <c r="O1143" i="11"/>
  <c r="N1143" i="11"/>
  <c r="M1143" i="11"/>
  <c r="L1143" i="11"/>
  <c r="A1143" i="11"/>
  <c r="P1142" i="11"/>
  <c r="O1142" i="11"/>
  <c r="N1142" i="11"/>
  <c r="M1142" i="11"/>
  <c r="L1142" i="11"/>
  <c r="A1142" i="11"/>
  <c r="P1099" i="11"/>
  <c r="O1099" i="11"/>
  <c r="N1099" i="11"/>
  <c r="M1099" i="11"/>
  <c r="L1099" i="11"/>
  <c r="A1099" i="11"/>
  <c r="P1141" i="11"/>
  <c r="O1141" i="11"/>
  <c r="N1141" i="11"/>
  <c r="M1141" i="11"/>
  <c r="L1141" i="11"/>
  <c r="A1141" i="11"/>
  <c r="P1139" i="11"/>
  <c r="O1139" i="11"/>
  <c r="N1139" i="11"/>
  <c r="M1139" i="11"/>
  <c r="L1139" i="11"/>
  <c r="A1139" i="11"/>
  <c r="P1138" i="11"/>
  <c r="O1138" i="11"/>
  <c r="N1138" i="11"/>
  <c r="M1138" i="11"/>
  <c r="L1138" i="11"/>
  <c r="A1138" i="11"/>
  <c r="P1137" i="11"/>
  <c r="O1137" i="11"/>
  <c r="N1137" i="11"/>
  <c r="M1137" i="11"/>
  <c r="L1137" i="11"/>
  <c r="A1137" i="11"/>
  <c r="P1106" i="11"/>
  <c r="O1106" i="11"/>
  <c r="N1106" i="11"/>
  <c r="M1106" i="11"/>
  <c r="L1106" i="11"/>
  <c r="A1106" i="11"/>
  <c r="P1136" i="11"/>
  <c r="O1136" i="11"/>
  <c r="N1136" i="11"/>
  <c r="M1136" i="11"/>
  <c r="L1136" i="11"/>
  <c r="A1136" i="11"/>
  <c r="P1135" i="11"/>
  <c r="O1135" i="11"/>
  <c r="N1135" i="11"/>
  <c r="M1135" i="11"/>
  <c r="L1135" i="11"/>
  <c r="A1135" i="11"/>
  <c r="P1134" i="11"/>
  <c r="O1134" i="11"/>
  <c r="N1134" i="11"/>
  <c r="M1134" i="11"/>
  <c r="L1134" i="11"/>
  <c r="A1134" i="11"/>
  <c r="P1161" i="11"/>
  <c r="O1161" i="11"/>
  <c r="N1161" i="11"/>
  <c r="M1161" i="11"/>
  <c r="L1161" i="11"/>
  <c r="A1161" i="11"/>
  <c r="P1151" i="11"/>
  <c r="O1151" i="11"/>
  <c r="N1151" i="11"/>
  <c r="M1151" i="11"/>
  <c r="L1151" i="11"/>
  <c r="A1151" i="11"/>
  <c r="P1125" i="11"/>
  <c r="O1125" i="11"/>
  <c r="N1125" i="11"/>
  <c r="M1125" i="11"/>
  <c r="L1125" i="11"/>
  <c r="A1125" i="11"/>
  <c r="P1132" i="11"/>
  <c r="O1132" i="11"/>
  <c r="N1132" i="11"/>
  <c r="M1132" i="11"/>
  <c r="L1132" i="11"/>
  <c r="A1132" i="11"/>
  <c r="P1131" i="11"/>
  <c r="O1131" i="11"/>
  <c r="N1131" i="11"/>
  <c r="M1131" i="11"/>
  <c r="L1131" i="11"/>
  <c r="A1131" i="11"/>
  <c r="P1130" i="11"/>
  <c r="O1130" i="11"/>
  <c r="N1130" i="11"/>
  <c r="M1130" i="11"/>
  <c r="L1130" i="11"/>
  <c r="A1130" i="11"/>
  <c r="P1156" i="11"/>
  <c r="O1156" i="11"/>
  <c r="N1156" i="11"/>
  <c r="M1156" i="11"/>
  <c r="L1156" i="11"/>
  <c r="A1156" i="11"/>
  <c r="P1129" i="11"/>
  <c r="O1129" i="11"/>
  <c r="N1129" i="11"/>
  <c r="M1129" i="11"/>
  <c r="L1129" i="11"/>
  <c r="A1129" i="11"/>
  <c r="P1127" i="11"/>
  <c r="O1127" i="11"/>
  <c r="N1127" i="11"/>
  <c r="M1127" i="11"/>
  <c r="L1127" i="11"/>
  <c r="A1127" i="11"/>
  <c r="P1126" i="11"/>
  <c r="O1126" i="11"/>
  <c r="N1126" i="11"/>
  <c r="M1126" i="11"/>
  <c r="L1126" i="11"/>
  <c r="A1126" i="11"/>
  <c r="P1119" i="11"/>
  <c r="O1119" i="11"/>
  <c r="N1119" i="11"/>
  <c r="M1119" i="11"/>
  <c r="L1119" i="11"/>
  <c r="A1119" i="11"/>
  <c r="P1115" i="11"/>
  <c r="O1115" i="11"/>
  <c r="N1115" i="11"/>
  <c r="M1115" i="11"/>
  <c r="L1115" i="11"/>
  <c r="A1115" i="11"/>
  <c r="P1158" i="11"/>
  <c r="O1158" i="11"/>
  <c r="N1158" i="11"/>
  <c r="M1158" i="11"/>
  <c r="L1158" i="11"/>
  <c r="A1158" i="11"/>
  <c r="P1124" i="11"/>
  <c r="O1124" i="11"/>
  <c r="N1124" i="11"/>
  <c r="M1124" i="11"/>
  <c r="L1124" i="11"/>
  <c r="A1124" i="11"/>
  <c r="P1128" i="11"/>
  <c r="O1128" i="11"/>
  <c r="N1128" i="11"/>
  <c r="M1128" i="11"/>
  <c r="L1128" i="11"/>
  <c r="A1128" i="11"/>
  <c r="P1123" i="11"/>
  <c r="O1123" i="11"/>
  <c r="N1123" i="11"/>
  <c r="M1123" i="11"/>
  <c r="L1123" i="11"/>
  <c r="A1123" i="11"/>
  <c r="P1122" i="11"/>
  <c r="O1122" i="11"/>
  <c r="N1122" i="11"/>
  <c r="M1122" i="11"/>
  <c r="L1122" i="11"/>
  <c r="A1122" i="11"/>
  <c r="P1144" i="11"/>
  <c r="O1144" i="11"/>
  <c r="N1144" i="11"/>
  <c r="M1144" i="11"/>
  <c r="L1144" i="11"/>
  <c r="A1144" i="11"/>
  <c r="P1121" i="11"/>
  <c r="O1121" i="11"/>
  <c r="N1121" i="11"/>
  <c r="M1121" i="11"/>
  <c r="L1121" i="11"/>
  <c r="A1121" i="11"/>
  <c r="P1120" i="11"/>
  <c r="O1120" i="11"/>
  <c r="N1120" i="11"/>
  <c r="M1120" i="11"/>
  <c r="L1120" i="11"/>
  <c r="A1120" i="11"/>
  <c r="P1118" i="11"/>
  <c r="O1118" i="11"/>
  <c r="N1118" i="11"/>
  <c r="M1118" i="11"/>
  <c r="L1118" i="11"/>
  <c r="A1118" i="11"/>
  <c r="P1116" i="11"/>
  <c r="O1116" i="11"/>
  <c r="N1116" i="11"/>
  <c r="M1116" i="11"/>
  <c r="L1116" i="11"/>
  <c r="A1116" i="11"/>
  <c r="P1133" i="11"/>
  <c r="O1133" i="11"/>
  <c r="N1133" i="11"/>
  <c r="M1133" i="11"/>
  <c r="L1133" i="11"/>
  <c r="A1133" i="11"/>
  <c r="P1157" i="11"/>
  <c r="O1157" i="11"/>
  <c r="N1157" i="11"/>
  <c r="M1157" i="11"/>
  <c r="L1157" i="11"/>
  <c r="A1157" i="11"/>
  <c r="P1114" i="11"/>
  <c r="O1114" i="11"/>
  <c r="N1114" i="11"/>
  <c r="M1114" i="11"/>
  <c r="L1114" i="11"/>
  <c r="A1114" i="11"/>
  <c r="P1046" i="11"/>
  <c r="O1046" i="11"/>
  <c r="N1046" i="11"/>
  <c r="M1046" i="11"/>
  <c r="L1046" i="11"/>
  <c r="A1046" i="11"/>
  <c r="P1113" i="11"/>
  <c r="O1113" i="11"/>
  <c r="N1113" i="11"/>
  <c r="M1113" i="11"/>
  <c r="L1113" i="11"/>
  <c r="A1113" i="11"/>
  <c r="P1112" i="11"/>
  <c r="O1112" i="11"/>
  <c r="N1112" i="11"/>
  <c r="M1112" i="11"/>
  <c r="L1112" i="11"/>
  <c r="A1112" i="11"/>
  <c r="P3217" i="11"/>
  <c r="O3217" i="11"/>
  <c r="N3217" i="11"/>
  <c r="M3217" i="11"/>
  <c r="L3217" i="11"/>
  <c r="P1111" i="11"/>
  <c r="O1111" i="11"/>
  <c r="N1111" i="11"/>
  <c r="M1111" i="11"/>
  <c r="L1111" i="11"/>
  <c r="A1111" i="11"/>
  <c r="P1110" i="11"/>
  <c r="O1110" i="11"/>
  <c r="N1110" i="11"/>
  <c r="M1110" i="11"/>
  <c r="L1110" i="11"/>
  <c r="A1110" i="11"/>
  <c r="P1109" i="11"/>
  <c r="O1109" i="11"/>
  <c r="N1109" i="11"/>
  <c r="M1109" i="11"/>
  <c r="L1109" i="11"/>
  <c r="A1109" i="11"/>
  <c r="P1108" i="11"/>
  <c r="O1108" i="11"/>
  <c r="N1108" i="11"/>
  <c r="M1108" i="11"/>
  <c r="L1108" i="11"/>
  <c r="A1108" i="11"/>
  <c r="P3154" i="11"/>
  <c r="O3154" i="11"/>
  <c r="N3154" i="11"/>
  <c r="M3154" i="11"/>
  <c r="L3154" i="11"/>
  <c r="P1155" i="11"/>
  <c r="O1155" i="11"/>
  <c r="N1155" i="11"/>
  <c r="M1155" i="11"/>
  <c r="L1155" i="11"/>
  <c r="A1155" i="11"/>
  <c r="P1105" i="11"/>
  <c r="O1105" i="11"/>
  <c r="N1105" i="11"/>
  <c r="M1105" i="11"/>
  <c r="L1105" i="11"/>
  <c r="A1105" i="11"/>
  <c r="P1104" i="11"/>
  <c r="O1104" i="11"/>
  <c r="N1104" i="11"/>
  <c r="M1104" i="11"/>
  <c r="L1104" i="11"/>
  <c r="A1104" i="11"/>
  <c r="P1103" i="11"/>
  <c r="O1103" i="11"/>
  <c r="N1103" i="11"/>
  <c r="M1103" i="11"/>
  <c r="L1103" i="11"/>
  <c r="A1103" i="11"/>
  <c r="P1102" i="11"/>
  <c r="O1102" i="11"/>
  <c r="N1102" i="11"/>
  <c r="M1102" i="11"/>
  <c r="L1102" i="11"/>
  <c r="A1102" i="11"/>
  <c r="P1100" i="11"/>
  <c r="O1100" i="11"/>
  <c r="N1100" i="11"/>
  <c r="M1100" i="11"/>
  <c r="L1100" i="11"/>
  <c r="A1100" i="11"/>
  <c r="P1098" i="11"/>
  <c r="O1098" i="11"/>
  <c r="N1098" i="11"/>
  <c r="M1098" i="11"/>
  <c r="L1098" i="11"/>
  <c r="A1098" i="11"/>
  <c r="P1097" i="11"/>
  <c r="O1097" i="11"/>
  <c r="N1097" i="11"/>
  <c r="M1097" i="11"/>
  <c r="L1097" i="11"/>
  <c r="A1097" i="11"/>
  <c r="P1096" i="11"/>
  <c r="O1096" i="11"/>
  <c r="N1096" i="11"/>
  <c r="M1096" i="11"/>
  <c r="L1096" i="11"/>
  <c r="A1096" i="11"/>
  <c r="P3153" i="11"/>
  <c r="O3153" i="11"/>
  <c r="N3153" i="11"/>
  <c r="M3153" i="11"/>
  <c r="L3153" i="11"/>
  <c r="P1095" i="11"/>
  <c r="O1095" i="11"/>
  <c r="N1095" i="11"/>
  <c r="M1095" i="11"/>
  <c r="L1095" i="11"/>
  <c r="A1095" i="11"/>
  <c r="P1094" i="11"/>
  <c r="O1094" i="11"/>
  <c r="N1094" i="11"/>
  <c r="M1094" i="11"/>
  <c r="L1094" i="11"/>
  <c r="A1094" i="11"/>
  <c r="P1093" i="11"/>
  <c r="O1093" i="11"/>
  <c r="N1093" i="11"/>
  <c r="M1093" i="11"/>
  <c r="L1093" i="11"/>
  <c r="A1093" i="11"/>
  <c r="P1091" i="11"/>
  <c r="O1091" i="11"/>
  <c r="N1091" i="11"/>
  <c r="M1091" i="11"/>
  <c r="L1091" i="11"/>
  <c r="A1091" i="11"/>
  <c r="P1090" i="11"/>
  <c r="O1090" i="11"/>
  <c r="N1090" i="11"/>
  <c r="M1090" i="11"/>
  <c r="L1090" i="11"/>
  <c r="A1090" i="11"/>
  <c r="P1089" i="11"/>
  <c r="O1089" i="11"/>
  <c r="N1089" i="11"/>
  <c r="M1089" i="11"/>
  <c r="L1089" i="11"/>
  <c r="A1089" i="11"/>
  <c r="P1088" i="11"/>
  <c r="O1088" i="11"/>
  <c r="N1088" i="11"/>
  <c r="M1088" i="11"/>
  <c r="L1088" i="11"/>
  <c r="A1088" i="11"/>
  <c r="P1087" i="11"/>
  <c r="O1087" i="11"/>
  <c r="N1087" i="11"/>
  <c r="M1087" i="11"/>
  <c r="L1087" i="11"/>
  <c r="A1087" i="11"/>
  <c r="P1086" i="11"/>
  <c r="O1086" i="11"/>
  <c r="N1086" i="11"/>
  <c r="M1086" i="11"/>
  <c r="L1086" i="11"/>
  <c r="A1086" i="11"/>
  <c r="P1159" i="11"/>
  <c r="O1159" i="11"/>
  <c r="N1159" i="11"/>
  <c r="M1159" i="11"/>
  <c r="L1159" i="11"/>
  <c r="A1159" i="11"/>
  <c r="P1085" i="11"/>
  <c r="O1085" i="11"/>
  <c r="N1085" i="11"/>
  <c r="M1085" i="11"/>
  <c r="L1085" i="11"/>
  <c r="A1085" i="11"/>
  <c r="P1084" i="11"/>
  <c r="O1084" i="11"/>
  <c r="N1084" i="11"/>
  <c r="M1084" i="11"/>
  <c r="L1084" i="11"/>
  <c r="A1084" i="11"/>
  <c r="P1083" i="11"/>
  <c r="O1083" i="11"/>
  <c r="N1083" i="11"/>
  <c r="M1083" i="11"/>
  <c r="L1083" i="11"/>
  <c r="A1083" i="11"/>
  <c r="P1082" i="11"/>
  <c r="O1082" i="11"/>
  <c r="N1082" i="11"/>
  <c r="M1082" i="11"/>
  <c r="L1082" i="11"/>
  <c r="A1082" i="11"/>
  <c r="P1081" i="11"/>
  <c r="O1081" i="11"/>
  <c r="N1081" i="11"/>
  <c r="M1081" i="11"/>
  <c r="L1081" i="11"/>
  <c r="A1081" i="11"/>
  <c r="P1080" i="11"/>
  <c r="O1080" i="11"/>
  <c r="N1080" i="11"/>
  <c r="M1080" i="11"/>
  <c r="L1080" i="11"/>
  <c r="A1080" i="11"/>
  <c r="P1078" i="11"/>
  <c r="O1078" i="11"/>
  <c r="N1078" i="11"/>
  <c r="M1078" i="11"/>
  <c r="L1078" i="11"/>
  <c r="A1078" i="11"/>
  <c r="P1058" i="11"/>
  <c r="O1058" i="11"/>
  <c r="N1058" i="11"/>
  <c r="M1058" i="11"/>
  <c r="L1058" i="11"/>
  <c r="A1058" i="11"/>
  <c r="P1077" i="11"/>
  <c r="O1077" i="11"/>
  <c r="N1077" i="11"/>
  <c r="M1077" i="11"/>
  <c r="L1077" i="11"/>
  <c r="A1077" i="11"/>
  <c r="P1076" i="11"/>
  <c r="O1076" i="11"/>
  <c r="N1076" i="11"/>
  <c r="M1076" i="11"/>
  <c r="L1076" i="11"/>
  <c r="A1076" i="11"/>
  <c r="P1075" i="11"/>
  <c r="O1075" i="11"/>
  <c r="N1075" i="11"/>
  <c r="M1075" i="11"/>
  <c r="L1075" i="11"/>
  <c r="A1075" i="11"/>
  <c r="P1074" i="11"/>
  <c r="O1074" i="11"/>
  <c r="N1074" i="11"/>
  <c r="M1074" i="11"/>
  <c r="L1074" i="11"/>
  <c r="A1074" i="11"/>
  <c r="P1073" i="11"/>
  <c r="O1073" i="11"/>
  <c r="N1073" i="11"/>
  <c r="M1073" i="11"/>
  <c r="L1073" i="11"/>
  <c r="A1073" i="11"/>
  <c r="P1072" i="11"/>
  <c r="O1072" i="11"/>
  <c r="N1072" i="11"/>
  <c r="M1072" i="11"/>
  <c r="L1072" i="11"/>
  <c r="A1072" i="11"/>
  <c r="P1071" i="11"/>
  <c r="O1071" i="11"/>
  <c r="N1071" i="11"/>
  <c r="M1071" i="11"/>
  <c r="L1071" i="11"/>
  <c r="A1071" i="11"/>
  <c r="P1070" i="11"/>
  <c r="O1070" i="11"/>
  <c r="N1070" i="11"/>
  <c r="M1070" i="11"/>
  <c r="L1070" i="11"/>
  <c r="A1070" i="11"/>
  <c r="P1069" i="11"/>
  <c r="O1069" i="11"/>
  <c r="N1069" i="11"/>
  <c r="M1069" i="11"/>
  <c r="L1069" i="11"/>
  <c r="A1069" i="11"/>
  <c r="P1068" i="11"/>
  <c r="O1068" i="11"/>
  <c r="N1068" i="11"/>
  <c r="M1068" i="11"/>
  <c r="L1068" i="11"/>
  <c r="A1068" i="11"/>
  <c r="P1067" i="11"/>
  <c r="O1067" i="11"/>
  <c r="N1067" i="11"/>
  <c r="M1067" i="11"/>
  <c r="L1067" i="11"/>
  <c r="A1067" i="11"/>
  <c r="P1079" i="11"/>
  <c r="O1079" i="11"/>
  <c r="N1079" i="11"/>
  <c r="M1079" i="11"/>
  <c r="L1079" i="11"/>
  <c r="A1079" i="11"/>
  <c r="P1066" i="11"/>
  <c r="O1066" i="11"/>
  <c r="N1066" i="11"/>
  <c r="M1066" i="11"/>
  <c r="L1066" i="11"/>
  <c r="A1066" i="11"/>
  <c r="P1092" i="11"/>
  <c r="O1092" i="11"/>
  <c r="N1092" i="11"/>
  <c r="M1092" i="11"/>
  <c r="L1092" i="11"/>
  <c r="A1092" i="11"/>
  <c r="P1065" i="11"/>
  <c r="O1065" i="11"/>
  <c r="N1065" i="11"/>
  <c r="M1065" i="11"/>
  <c r="L1065" i="11"/>
  <c r="A1065" i="11"/>
  <c r="P1064" i="11"/>
  <c r="O1064" i="11"/>
  <c r="N1064" i="11"/>
  <c r="M1064" i="11"/>
  <c r="L1064" i="11"/>
  <c r="A1064" i="11"/>
  <c r="P1063" i="11"/>
  <c r="O1063" i="11"/>
  <c r="N1063" i="11"/>
  <c r="M1063" i="11"/>
  <c r="L1063" i="11"/>
  <c r="A1063" i="11"/>
  <c r="P3152" i="11"/>
  <c r="O3152" i="11"/>
  <c r="N3152" i="11"/>
  <c r="M3152" i="11"/>
  <c r="L3152" i="11"/>
  <c r="P1062" i="11"/>
  <c r="O1062" i="11"/>
  <c r="N1062" i="11"/>
  <c r="M1062" i="11"/>
  <c r="L1062" i="11"/>
  <c r="A1062" i="11"/>
  <c r="P1061" i="11"/>
  <c r="O1061" i="11"/>
  <c r="N1061" i="11"/>
  <c r="M1061" i="11"/>
  <c r="L1061" i="11"/>
  <c r="A1061" i="11"/>
  <c r="P1060" i="11"/>
  <c r="O1060" i="11"/>
  <c r="N1060" i="11"/>
  <c r="M1060" i="11"/>
  <c r="L1060" i="11"/>
  <c r="A1060" i="11"/>
  <c r="P1059" i="11"/>
  <c r="O1059" i="11"/>
  <c r="N1059" i="11"/>
  <c r="M1059" i="11"/>
  <c r="L1059" i="11"/>
  <c r="A1059" i="11"/>
  <c r="P1160" i="11"/>
  <c r="O1160" i="11"/>
  <c r="N1160" i="11"/>
  <c r="M1160" i="11"/>
  <c r="L1160" i="11"/>
  <c r="A1160" i="11"/>
  <c r="P1057" i="11"/>
  <c r="O1057" i="11"/>
  <c r="N1057" i="11"/>
  <c r="M1057" i="11"/>
  <c r="L1057" i="11"/>
  <c r="A1057" i="11"/>
  <c r="P1056" i="11"/>
  <c r="O1056" i="11"/>
  <c r="N1056" i="11"/>
  <c r="M1056" i="11"/>
  <c r="L1056" i="11"/>
  <c r="A1056" i="11"/>
  <c r="P1055" i="11"/>
  <c r="O1055" i="11"/>
  <c r="N1055" i="11"/>
  <c r="M1055" i="11"/>
  <c r="L1055" i="11"/>
  <c r="A1055" i="11"/>
  <c r="P1054" i="11"/>
  <c r="O1054" i="11"/>
  <c r="N1054" i="11"/>
  <c r="M1054" i="11"/>
  <c r="L1054" i="11"/>
  <c r="A1054" i="11"/>
  <c r="P1053" i="11"/>
  <c r="O1053" i="11"/>
  <c r="N1053" i="11"/>
  <c r="M1053" i="11"/>
  <c r="L1053" i="11"/>
  <c r="A1053" i="11"/>
  <c r="P1052" i="11"/>
  <c r="O1052" i="11"/>
  <c r="N1052" i="11"/>
  <c r="M1052" i="11"/>
  <c r="L1052" i="11"/>
  <c r="A1052" i="11"/>
  <c r="P1117" i="11"/>
  <c r="O1117" i="11"/>
  <c r="N1117" i="11"/>
  <c r="M1117" i="11"/>
  <c r="L1117" i="11"/>
  <c r="A1117" i="11"/>
  <c r="P1051" i="11"/>
  <c r="O1051" i="11"/>
  <c r="N1051" i="11"/>
  <c r="M1051" i="11"/>
  <c r="L1051" i="11"/>
  <c r="A1051" i="11"/>
  <c r="P1050" i="11"/>
  <c r="O1050" i="11"/>
  <c r="N1050" i="11"/>
  <c r="M1050" i="11"/>
  <c r="L1050" i="11"/>
  <c r="A1050" i="11"/>
  <c r="P1049" i="11"/>
  <c r="O1049" i="11"/>
  <c r="N1049" i="11"/>
  <c r="M1049" i="11"/>
  <c r="L1049" i="11"/>
  <c r="A1049" i="11"/>
  <c r="P1048" i="11"/>
  <c r="O1048" i="11"/>
  <c r="N1048" i="11"/>
  <c r="M1048" i="11"/>
  <c r="L1048" i="11"/>
  <c r="A1048" i="11"/>
  <c r="P1047" i="11"/>
  <c r="O1047" i="11"/>
  <c r="N1047" i="11"/>
  <c r="M1047" i="11"/>
  <c r="L1047" i="11"/>
  <c r="A1047" i="11"/>
  <c r="P1154" i="11"/>
  <c r="O1154" i="11"/>
  <c r="N1154" i="11"/>
  <c r="M1154" i="11"/>
  <c r="L1154" i="11"/>
  <c r="A1154" i="11"/>
  <c r="P1036" i="11"/>
  <c r="O1036" i="11"/>
  <c r="N1036" i="11"/>
  <c r="M1036" i="11"/>
  <c r="L1036" i="11"/>
  <c r="A1036" i="11"/>
  <c r="P1035" i="11"/>
  <c r="O1035" i="11"/>
  <c r="N1035" i="11"/>
  <c r="M1035" i="11"/>
  <c r="L1035" i="11"/>
  <c r="A1035" i="11"/>
  <c r="P1034" i="11"/>
  <c r="O1034" i="11"/>
  <c r="N1034" i="11"/>
  <c r="M1034" i="11"/>
  <c r="L1034" i="11"/>
  <c r="A1034" i="11"/>
  <c r="P1038" i="11"/>
  <c r="O1038" i="11"/>
  <c r="N1038" i="11"/>
  <c r="M1038" i="11"/>
  <c r="L1038" i="11"/>
  <c r="A1038" i="11"/>
  <c r="P1033" i="11"/>
  <c r="O1033" i="11"/>
  <c r="N1033" i="11"/>
  <c r="M1033" i="11"/>
  <c r="L1033" i="11"/>
  <c r="A1033" i="11"/>
  <c r="P1031" i="11"/>
  <c r="O1031" i="11"/>
  <c r="N1031" i="11"/>
  <c r="M1031" i="11"/>
  <c r="L1031" i="11"/>
  <c r="A1031" i="11"/>
  <c r="P1030" i="11"/>
  <c r="O1030" i="11"/>
  <c r="N1030" i="11"/>
  <c r="M1030" i="11"/>
  <c r="L1030" i="11"/>
  <c r="A1030" i="11"/>
  <c r="P1029" i="11"/>
  <c r="O1029" i="11"/>
  <c r="N1029" i="11"/>
  <c r="M1029" i="11"/>
  <c r="L1029" i="11"/>
  <c r="A1029" i="11"/>
  <c r="P1028" i="11"/>
  <c r="O1028" i="11"/>
  <c r="N1028" i="11"/>
  <c r="M1028" i="11"/>
  <c r="L1028" i="11"/>
  <c r="A1028" i="11"/>
  <c r="P1027" i="11"/>
  <c r="O1027" i="11"/>
  <c r="N1027" i="11"/>
  <c r="M1027" i="11"/>
  <c r="L1027" i="11"/>
  <c r="A1027" i="11"/>
  <c r="P1003" i="11"/>
  <c r="O1003" i="11"/>
  <c r="N1003" i="11"/>
  <c r="M1003" i="11"/>
  <c r="L1003" i="11"/>
  <c r="A1003" i="11"/>
  <c r="P1026" i="11"/>
  <c r="O1026" i="11"/>
  <c r="N1026" i="11"/>
  <c r="M1026" i="11"/>
  <c r="L1026" i="11"/>
  <c r="A1026" i="11"/>
  <c r="P1025" i="11"/>
  <c r="O1025" i="11"/>
  <c r="N1025" i="11"/>
  <c r="M1025" i="11"/>
  <c r="L1025" i="11"/>
  <c r="A1025" i="11"/>
  <c r="P987" i="11"/>
  <c r="O987" i="11"/>
  <c r="N987" i="11"/>
  <c r="M987" i="11"/>
  <c r="L987" i="11"/>
  <c r="A987" i="11"/>
  <c r="P1042" i="11"/>
  <c r="O1042" i="11"/>
  <c r="N1042" i="11"/>
  <c r="M1042" i="11"/>
  <c r="L1042" i="11"/>
  <c r="A1042" i="11"/>
  <c r="P1023" i="11"/>
  <c r="O1023" i="11"/>
  <c r="N1023" i="11"/>
  <c r="M1023" i="11"/>
  <c r="L1023" i="11"/>
  <c r="A1023" i="11"/>
  <c r="P961" i="11"/>
  <c r="O961" i="11"/>
  <c r="N961" i="11"/>
  <c r="M961" i="11"/>
  <c r="L961" i="11"/>
  <c r="A961" i="11"/>
  <c r="P1022" i="11"/>
  <c r="O1022" i="11"/>
  <c r="N1022" i="11"/>
  <c r="M1022" i="11"/>
  <c r="L1022" i="11"/>
  <c r="A1022" i="11"/>
  <c r="P971" i="11"/>
  <c r="O971" i="11"/>
  <c r="N971" i="11"/>
  <c r="M971" i="11"/>
  <c r="L971" i="11"/>
  <c r="A971" i="11"/>
  <c r="P1021" i="11"/>
  <c r="O1021" i="11"/>
  <c r="N1021" i="11"/>
  <c r="M1021" i="11"/>
  <c r="L1021" i="11"/>
  <c r="A1021" i="11"/>
  <c r="P1019" i="11"/>
  <c r="O1019" i="11"/>
  <c r="N1019" i="11"/>
  <c r="M1019" i="11"/>
  <c r="L1019" i="11"/>
  <c r="A1019" i="11"/>
  <c r="P1018" i="11"/>
  <c r="O1018" i="11"/>
  <c r="N1018" i="11"/>
  <c r="M1018" i="11"/>
  <c r="L1018" i="11"/>
  <c r="A1018" i="11"/>
  <c r="P1017" i="11"/>
  <c r="O1017" i="11"/>
  <c r="N1017" i="11"/>
  <c r="M1017" i="11"/>
  <c r="L1017" i="11"/>
  <c r="A1017" i="11"/>
  <c r="P1016" i="11"/>
  <c r="O1016" i="11"/>
  <c r="N1016" i="11"/>
  <c r="M1016" i="11"/>
  <c r="L1016" i="11"/>
  <c r="A1016" i="11"/>
  <c r="P1015" i="11"/>
  <c r="O1015" i="11"/>
  <c r="N1015" i="11"/>
  <c r="M1015" i="11"/>
  <c r="L1015" i="11"/>
  <c r="A1015" i="11"/>
  <c r="P1014" i="11"/>
  <c r="O1014" i="11"/>
  <c r="N1014" i="11"/>
  <c r="M1014" i="11"/>
  <c r="L1014" i="11"/>
  <c r="A1014" i="11"/>
  <c r="P1020" i="11"/>
  <c r="O1020" i="11"/>
  <c r="N1020" i="11"/>
  <c r="M1020" i="11"/>
  <c r="L1020" i="11"/>
  <c r="A1020" i="11"/>
  <c r="P1013" i="11"/>
  <c r="O1013" i="11"/>
  <c r="N1013" i="11"/>
  <c r="M1013" i="11"/>
  <c r="L1013" i="11"/>
  <c r="A1013" i="11"/>
  <c r="P1012" i="11"/>
  <c r="O1012" i="11"/>
  <c r="N1012" i="11"/>
  <c r="M1012" i="11"/>
  <c r="L1012" i="11"/>
  <c r="A1012" i="11"/>
  <c r="P1037" i="11"/>
  <c r="O1037" i="11"/>
  <c r="N1037" i="11"/>
  <c r="M1037" i="11"/>
  <c r="L1037" i="11"/>
  <c r="A1037" i="11"/>
  <c r="P1011" i="11"/>
  <c r="O1011" i="11"/>
  <c r="N1011" i="11"/>
  <c r="M1011" i="11"/>
  <c r="L1011" i="11"/>
  <c r="A1011" i="11"/>
  <c r="P1010" i="11"/>
  <c r="O1010" i="11"/>
  <c r="N1010" i="11"/>
  <c r="M1010" i="11"/>
  <c r="L1010" i="11"/>
  <c r="A1010" i="11"/>
  <c r="P1041" i="11"/>
  <c r="O1041" i="11"/>
  <c r="N1041" i="11"/>
  <c r="M1041" i="11"/>
  <c r="L1041" i="11"/>
  <c r="A1041" i="11"/>
  <c r="P1009" i="11"/>
  <c r="O1009" i="11"/>
  <c r="N1009" i="11"/>
  <c r="M1009" i="11"/>
  <c r="L1009" i="11"/>
  <c r="A1009" i="11"/>
  <c r="P1008" i="11"/>
  <c r="O1008" i="11"/>
  <c r="N1008" i="11"/>
  <c r="M1008" i="11"/>
  <c r="L1008" i="11"/>
  <c r="A1008" i="11"/>
  <c r="P1006" i="11"/>
  <c r="O1006" i="11"/>
  <c r="N1006" i="11"/>
  <c r="M1006" i="11"/>
  <c r="L1006" i="11"/>
  <c r="A1006" i="11"/>
  <c r="P1005" i="11"/>
  <c r="O1005" i="11"/>
  <c r="N1005" i="11"/>
  <c r="M1005" i="11"/>
  <c r="L1005" i="11"/>
  <c r="A1005" i="11"/>
  <c r="P1004" i="11"/>
  <c r="O1004" i="11"/>
  <c r="N1004" i="11"/>
  <c r="M1004" i="11"/>
  <c r="L1004" i="11"/>
  <c r="A1004" i="11"/>
  <c r="P940" i="11"/>
  <c r="O940" i="11"/>
  <c r="N940" i="11"/>
  <c r="M940" i="11"/>
  <c r="L940" i="11"/>
  <c r="A940" i="11"/>
  <c r="P1002" i="11"/>
  <c r="O1002" i="11"/>
  <c r="N1002" i="11"/>
  <c r="M1002" i="11"/>
  <c r="L1002" i="11"/>
  <c r="A1002" i="11"/>
  <c r="P1001" i="11"/>
  <c r="O1001" i="11"/>
  <c r="N1001" i="11"/>
  <c r="M1001" i="11"/>
  <c r="L1001" i="11"/>
  <c r="A1001" i="11"/>
  <c r="P2562" i="11"/>
  <c r="O2562" i="11"/>
  <c r="N2562" i="11"/>
  <c r="M2562" i="11"/>
  <c r="L2562" i="11"/>
  <c r="P1000" i="11"/>
  <c r="O1000" i="11"/>
  <c r="N1000" i="11"/>
  <c r="M1000" i="11"/>
  <c r="L1000" i="11"/>
  <c r="A1000" i="11"/>
  <c r="P999" i="11"/>
  <c r="O999" i="11"/>
  <c r="N999" i="11"/>
  <c r="M999" i="11"/>
  <c r="L999" i="11"/>
  <c r="A999" i="11"/>
  <c r="P976" i="11"/>
  <c r="O976" i="11"/>
  <c r="N976" i="11"/>
  <c r="M976" i="11"/>
  <c r="L976" i="11"/>
  <c r="A976" i="11"/>
  <c r="P998" i="11"/>
  <c r="O998" i="11"/>
  <c r="N998" i="11"/>
  <c r="M998" i="11"/>
  <c r="L998" i="11"/>
  <c r="A998" i="11"/>
  <c r="P3149" i="11"/>
  <c r="O3149" i="11"/>
  <c r="N3149" i="11"/>
  <c r="M3149" i="11"/>
  <c r="L3149" i="11"/>
  <c r="P996" i="11"/>
  <c r="O996" i="11"/>
  <c r="N996" i="11"/>
  <c r="M996" i="11"/>
  <c r="L996" i="11"/>
  <c r="A996" i="11"/>
  <c r="P995" i="11"/>
  <c r="O995" i="11"/>
  <c r="N995" i="11"/>
  <c r="M995" i="11"/>
  <c r="L995" i="11"/>
  <c r="A995" i="11"/>
  <c r="P994" i="11"/>
  <c r="O994" i="11"/>
  <c r="N994" i="11"/>
  <c r="M994" i="11"/>
  <c r="L994" i="11"/>
  <c r="A994" i="11"/>
  <c r="P993" i="11"/>
  <c r="O993" i="11"/>
  <c r="N993" i="11"/>
  <c r="M993" i="11"/>
  <c r="L993" i="11"/>
  <c r="A993" i="11"/>
  <c r="P992" i="11"/>
  <c r="O992" i="11"/>
  <c r="N992" i="11"/>
  <c r="M992" i="11"/>
  <c r="L992" i="11"/>
  <c r="A992" i="11"/>
  <c r="P986" i="11"/>
  <c r="O986" i="11"/>
  <c r="N986" i="11"/>
  <c r="M986" i="11"/>
  <c r="L986" i="11"/>
  <c r="A986" i="11"/>
  <c r="P985" i="11"/>
  <c r="O985" i="11"/>
  <c r="N985" i="11"/>
  <c r="M985" i="11"/>
  <c r="L985" i="11"/>
  <c r="A985" i="11"/>
  <c r="P984" i="11"/>
  <c r="O984" i="11"/>
  <c r="N984" i="11"/>
  <c r="M984" i="11"/>
  <c r="L984" i="11"/>
  <c r="A984" i="11"/>
  <c r="P983" i="11"/>
  <c r="O983" i="11"/>
  <c r="N983" i="11"/>
  <c r="M983" i="11"/>
  <c r="L983" i="11"/>
  <c r="A983" i="11"/>
  <c r="P3148" i="11"/>
  <c r="O3148" i="11"/>
  <c r="N3148" i="11"/>
  <c r="M3148" i="11"/>
  <c r="L3148" i="11"/>
  <c r="P3151" i="11"/>
  <c r="O3151" i="11"/>
  <c r="N3151" i="11"/>
  <c r="M3151" i="11"/>
  <c r="L3151" i="11"/>
  <c r="P982" i="11"/>
  <c r="O982" i="11"/>
  <c r="N982" i="11"/>
  <c r="M982" i="11"/>
  <c r="L982" i="11"/>
  <c r="A982" i="11"/>
  <c r="P981" i="11"/>
  <c r="O981" i="11"/>
  <c r="N981" i="11"/>
  <c r="M981" i="11"/>
  <c r="L981" i="11"/>
  <c r="A981" i="11"/>
  <c r="P980" i="11"/>
  <c r="O980" i="11"/>
  <c r="N980" i="11"/>
  <c r="M980" i="11"/>
  <c r="L980" i="11"/>
  <c r="A980" i="11"/>
  <c r="P989" i="11"/>
  <c r="O989" i="11"/>
  <c r="N989" i="11"/>
  <c r="M989" i="11"/>
  <c r="L989" i="11"/>
  <c r="A989" i="11"/>
  <c r="P979" i="11"/>
  <c r="O979" i="11"/>
  <c r="N979" i="11"/>
  <c r="M979" i="11"/>
  <c r="L979" i="11"/>
  <c r="A979" i="11"/>
  <c r="P978" i="11"/>
  <c r="O978" i="11"/>
  <c r="N978" i="11"/>
  <c r="M978" i="11"/>
  <c r="L978" i="11"/>
  <c r="A978" i="11"/>
  <c r="P977" i="11"/>
  <c r="O977" i="11"/>
  <c r="N977" i="11"/>
  <c r="M977" i="11"/>
  <c r="L977" i="11"/>
  <c r="A977" i="11"/>
  <c r="P975" i="11"/>
  <c r="O975" i="11"/>
  <c r="N975" i="11"/>
  <c r="M975" i="11"/>
  <c r="L975" i="11"/>
  <c r="A975" i="11"/>
  <c r="P1040" i="11"/>
  <c r="O1040" i="11"/>
  <c r="N1040" i="11"/>
  <c r="M1040" i="11"/>
  <c r="L1040" i="11"/>
  <c r="A1040" i="11"/>
  <c r="P974" i="11"/>
  <c r="O974" i="11"/>
  <c r="N974" i="11"/>
  <c r="M974" i="11"/>
  <c r="L974" i="11"/>
  <c r="A974" i="11"/>
  <c r="P973" i="11"/>
  <c r="O973" i="11"/>
  <c r="N973" i="11"/>
  <c r="M973" i="11"/>
  <c r="L973" i="11"/>
  <c r="A973" i="11"/>
  <c r="P972" i="11"/>
  <c r="O972" i="11"/>
  <c r="N972" i="11"/>
  <c r="M972" i="11"/>
  <c r="L972" i="11"/>
  <c r="A972" i="11"/>
  <c r="P970" i="11"/>
  <c r="O970" i="11"/>
  <c r="N970" i="11"/>
  <c r="M970" i="11"/>
  <c r="L970" i="11"/>
  <c r="A970" i="11"/>
  <c r="P969" i="11"/>
  <c r="O969" i="11"/>
  <c r="N969" i="11"/>
  <c r="M969" i="11"/>
  <c r="L969" i="11"/>
  <c r="A969" i="11"/>
  <c r="P1044" i="11"/>
  <c r="O1044" i="11"/>
  <c r="N1044" i="11"/>
  <c r="M1044" i="11"/>
  <c r="L1044" i="11"/>
  <c r="A1044" i="11"/>
  <c r="P968" i="11"/>
  <c r="O968" i="11"/>
  <c r="N968" i="11"/>
  <c r="M968" i="11"/>
  <c r="L968" i="11"/>
  <c r="A968" i="11"/>
  <c r="P967" i="11"/>
  <c r="O967" i="11"/>
  <c r="N967" i="11"/>
  <c r="M967" i="11"/>
  <c r="L967" i="11"/>
  <c r="A967" i="11"/>
  <c r="P966" i="11"/>
  <c r="O966" i="11"/>
  <c r="N966" i="11"/>
  <c r="M966" i="11"/>
  <c r="L966" i="11"/>
  <c r="A966" i="11"/>
  <c r="P965" i="11"/>
  <c r="O965" i="11"/>
  <c r="N965" i="11"/>
  <c r="M965" i="11"/>
  <c r="L965" i="11"/>
  <c r="A965" i="11"/>
  <c r="P964" i="11"/>
  <c r="O964" i="11"/>
  <c r="N964" i="11"/>
  <c r="M964" i="11"/>
  <c r="L964" i="11"/>
  <c r="A964" i="11"/>
  <c r="P963" i="11"/>
  <c r="O963" i="11"/>
  <c r="N963" i="11"/>
  <c r="M963" i="11"/>
  <c r="L963" i="11"/>
  <c r="A963" i="11"/>
  <c r="P962" i="11"/>
  <c r="O962" i="11"/>
  <c r="N962" i="11"/>
  <c r="M962" i="11"/>
  <c r="L962" i="11"/>
  <c r="A962" i="11"/>
  <c r="P942" i="11"/>
  <c r="O942" i="11"/>
  <c r="N942" i="11"/>
  <c r="M942" i="11"/>
  <c r="L942" i="11"/>
  <c r="A942" i="11"/>
  <c r="P960" i="11"/>
  <c r="O960" i="11"/>
  <c r="N960" i="11"/>
  <c r="M960" i="11"/>
  <c r="L960" i="11"/>
  <c r="A960" i="11"/>
  <c r="P959" i="11"/>
  <c r="O959" i="11"/>
  <c r="N959" i="11"/>
  <c r="M959" i="11"/>
  <c r="L959" i="11"/>
  <c r="A959" i="11"/>
  <c r="P958" i="11"/>
  <c r="O958" i="11"/>
  <c r="N958" i="11"/>
  <c r="M958" i="11"/>
  <c r="L958" i="11"/>
  <c r="A958" i="11"/>
  <c r="P990" i="11"/>
  <c r="O990" i="11"/>
  <c r="N990" i="11"/>
  <c r="M990" i="11"/>
  <c r="L990" i="11"/>
  <c r="A990" i="11"/>
  <c r="P1045" i="11"/>
  <c r="O1045" i="11"/>
  <c r="N1045" i="11"/>
  <c r="M1045" i="11"/>
  <c r="L1045" i="11"/>
  <c r="A1045" i="11"/>
  <c r="P957" i="11"/>
  <c r="O957" i="11"/>
  <c r="N957" i="11"/>
  <c r="M957" i="11"/>
  <c r="L957" i="11"/>
  <c r="A957" i="11"/>
  <c r="P946" i="11"/>
  <c r="O946" i="11"/>
  <c r="N946" i="11"/>
  <c r="M946" i="11"/>
  <c r="L946" i="11"/>
  <c r="A946" i="11"/>
  <c r="P956" i="11"/>
  <c r="O956" i="11"/>
  <c r="N956" i="11"/>
  <c r="M956" i="11"/>
  <c r="L956" i="11"/>
  <c r="A956" i="11"/>
  <c r="P955" i="11"/>
  <c r="O955" i="11"/>
  <c r="N955" i="11"/>
  <c r="M955" i="11"/>
  <c r="L955" i="11"/>
  <c r="A955" i="11"/>
  <c r="P954" i="11"/>
  <c r="O954" i="11"/>
  <c r="N954" i="11"/>
  <c r="M954" i="11"/>
  <c r="L954" i="11"/>
  <c r="A954" i="11"/>
  <c r="P953" i="11"/>
  <c r="O953" i="11"/>
  <c r="N953" i="11"/>
  <c r="M953" i="11"/>
  <c r="L953" i="11"/>
  <c r="A953" i="11"/>
  <c r="P952" i="11"/>
  <c r="O952" i="11"/>
  <c r="N952" i="11"/>
  <c r="M952" i="11"/>
  <c r="L952" i="11"/>
  <c r="A952" i="11"/>
  <c r="P951" i="11"/>
  <c r="O951" i="11"/>
  <c r="N951" i="11"/>
  <c r="M951" i="11"/>
  <c r="L951" i="11"/>
  <c r="A951" i="11"/>
  <c r="P950" i="11"/>
  <c r="O950" i="11"/>
  <c r="N950" i="11"/>
  <c r="M950" i="11"/>
  <c r="L950" i="11"/>
  <c r="A950" i="11"/>
  <c r="P949" i="11"/>
  <c r="O949" i="11"/>
  <c r="N949" i="11"/>
  <c r="M949" i="11"/>
  <c r="L949" i="11"/>
  <c r="A949" i="11"/>
  <c r="P3147" i="11"/>
  <c r="O3147" i="11"/>
  <c r="N3147" i="11"/>
  <c r="M3147" i="11"/>
  <c r="L3147" i="11"/>
  <c r="P1024" i="11"/>
  <c r="O1024" i="11"/>
  <c r="N1024" i="11"/>
  <c r="M1024" i="11"/>
  <c r="L1024" i="11"/>
  <c r="A1024" i="11"/>
  <c r="P1043" i="11"/>
  <c r="O1043" i="11"/>
  <c r="N1043" i="11"/>
  <c r="M1043" i="11"/>
  <c r="L1043" i="11"/>
  <c r="A1043" i="11"/>
  <c r="P948" i="11"/>
  <c r="O948" i="11"/>
  <c r="N948" i="11"/>
  <c r="M948" i="11"/>
  <c r="L948" i="11"/>
  <c r="A948" i="11"/>
  <c r="P947" i="11"/>
  <c r="O947" i="11"/>
  <c r="N947" i="11"/>
  <c r="M947" i="11"/>
  <c r="L947" i="11"/>
  <c r="A947" i="11"/>
  <c r="P945" i="11"/>
  <c r="O945" i="11"/>
  <c r="N945" i="11"/>
  <c r="M945" i="11"/>
  <c r="L945" i="11"/>
  <c r="A945" i="11"/>
  <c r="P944" i="11"/>
  <c r="O944" i="11"/>
  <c r="N944" i="11"/>
  <c r="M944" i="11"/>
  <c r="L944" i="11"/>
  <c r="A944" i="11"/>
  <c r="P1007" i="11"/>
  <c r="O1007" i="11"/>
  <c r="N1007" i="11"/>
  <c r="M1007" i="11"/>
  <c r="L1007" i="11"/>
  <c r="A1007" i="11"/>
  <c r="P943" i="11"/>
  <c r="O943" i="11"/>
  <c r="N943" i="11"/>
  <c r="M943" i="11"/>
  <c r="L943" i="11"/>
  <c r="A943" i="11"/>
  <c r="P941" i="11"/>
  <c r="O941" i="11"/>
  <c r="N941" i="11"/>
  <c r="M941" i="11"/>
  <c r="L941" i="11"/>
  <c r="A941" i="11"/>
  <c r="P939" i="11"/>
  <c r="O939" i="11"/>
  <c r="N939" i="11"/>
  <c r="M939" i="11"/>
  <c r="L939" i="11"/>
  <c r="A939" i="11"/>
  <c r="P988" i="11"/>
  <c r="O988" i="11"/>
  <c r="N988" i="11"/>
  <c r="M988" i="11"/>
  <c r="L988" i="11"/>
  <c r="A988" i="11"/>
  <c r="P938" i="11"/>
  <c r="O938" i="11"/>
  <c r="N938" i="11"/>
  <c r="M938" i="11"/>
  <c r="L938" i="11"/>
  <c r="A938" i="11"/>
  <c r="P937" i="11"/>
  <c r="O937" i="11"/>
  <c r="N937" i="11"/>
  <c r="M937" i="11"/>
  <c r="L937" i="11"/>
  <c r="A937" i="11"/>
  <c r="P936" i="11"/>
  <c r="O936" i="11"/>
  <c r="N936" i="11"/>
  <c r="M936" i="11"/>
  <c r="L936" i="11"/>
  <c r="A936" i="11"/>
  <c r="P1039" i="11"/>
  <c r="O1039" i="11"/>
  <c r="N1039" i="11"/>
  <c r="M1039" i="11"/>
  <c r="L1039" i="11"/>
  <c r="A1039" i="11"/>
  <c r="P935" i="11"/>
  <c r="O935" i="11"/>
  <c r="N935" i="11"/>
  <c r="M935" i="11"/>
  <c r="L935" i="11"/>
  <c r="A935" i="11"/>
  <c r="P934" i="11"/>
  <c r="O934" i="11"/>
  <c r="N934" i="11"/>
  <c r="M934" i="11"/>
  <c r="L934" i="11"/>
  <c r="A934" i="11"/>
  <c r="P933" i="11"/>
  <c r="O933" i="11"/>
  <c r="N933" i="11"/>
  <c r="M933" i="11"/>
  <c r="L933" i="11"/>
  <c r="A933" i="11"/>
  <c r="P932" i="11"/>
  <c r="O932" i="11"/>
  <c r="N932" i="11"/>
  <c r="M932" i="11"/>
  <c r="L932" i="11"/>
  <c r="A932" i="11"/>
  <c r="P931" i="11"/>
  <c r="O931" i="11"/>
  <c r="N931" i="11"/>
  <c r="M931" i="11"/>
  <c r="L931" i="11"/>
  <c r="A931" i="11"/>
  <c r="P930" i="11"/>
  <c r="O930" i="11"/>
  <c r="N930" i="11"/>
  <c r="M930" i="11"/>
  <c r="L930" i="11"/>
  <c r="A930" i="11"/>
  <c r="P916" i="11"/>
  <c r="O916" i="11"/>
  <c r="N916" i="11"/>
  <c r="M916" i="11"/>
  <c r="L916" i="11"/>
  <c r="A916" i="11"/>
  <c r="P915" i="11"/>
  <c r="O915" i="11"/>
  <c r="N915" i="11"/>
  <c r="M915" i="11"/>
  <c r="L915" i="11"/>
  <c r="A915" i="11"/>
  <c r="P877" i="11"/>
  <c r="O877" i="11"/>
  <c r="N877" i="11"/>
  <c r="M877" i="11"/>
  <c r="L877" i="11"/>
  <c r="A877" i="11"/>
  <c r="P914" i="11"/>
  <c r="O914" i="11"/>
  <c r="N914" i="11"/>
  <c r="M914" i="11"/>
  <c r="L914" i="11"/>
  <c r="A914" i="11"/>
  <c r="P922" i="11"/>
  <c r="O922" i="11"/>
  <c r="N922" i="11"/>
  <c r="M922" i="11"/>
  <c r="L922" i="11"/>
  <c r="A922" i="11"/>
  <c r="P913" i="11"/>
  <c r="O913" i="11"/>
  <c r="N913" i="11"/>
  <c r="M913" i="11"/>
  <c r="L913" i="11"/>
  <c r="A913" i="11"/>
  <c r="P912" i="11"/>
  <c r="O912" i="11"/>
  <c r="N912" i="11"/>
  <c r="M912" i="11"/>
  <c r="L912" i="11"/>
  <c r="A912" i="11"/>
  <c r="P911" i="11"/>
  <c r="O911" i="11"/>
  <c r="N911" i="11"/>
  <c r="M911" i="11"/>
  <c r="L911" i="11"/>
  <c r="A911" i="11"/>
  <c r="P845" i="11"/>
  <c r="O845" i="11"/>
  <c r="N845" i="11"/>
  <c r="M845" i="11"/>
  <c r="L845" i="11"/>
  <c r="A845" i="11"/>
  <c r="P918" i="11"/>
  <c r="O918" i="11"/>
  <c r="N918" i="11"/>
  <c r="M918" i="11"/>
  <c r="L918" i="11"/>
  <c r="A918" i="11"/>
  <c r="P867" i="11"/>
  <c r="O867" i="11"/>
  <c r="N867" i="11"/>
  <c r="M867" i="11"/>
  <c r="L867" i="11"/>
  <c r="A867" i="11"/>
  <c r="P909" i="11"/>
  <c r="O909" i="11"/>
  <c r="N909" i="11"/>
  <c r="M909" i="11"/>
  <c r="L909" i="11"/>
  <c r="A909" i="11"/>
  <c r="P928" i="11"/>
  <c r="O928" i="11"/>
  <c r="N928" i="11"/>
  <c r="M928" i="11"/>
  <c r="L928" i="11"/>
  <c r="A928" i="11"/>
  <c r="P907" i="11"/>
  <c r="O907" i="11"/>
  <c r="N907" i="11"/>
  <c r="M907" i="11"/>
  <c r="L907" i="11"/>
  <c r="A907" i="11"/>
  <c r="P906" i="11"/>
  <c r="O906" i="11"/>
  <c r="N906" i="11"/>
  <c r="M906" i="11"/>
  <c r="L906" i="11"/>
  <c r="A906" i="11"/>
  <c r="P905" i="11"/>
  <c r="O905" i="11"/>
  <c r="N905" i="11"/>
  <c r="M905" i="11"/>
  <c r="L905" i="11"/>
  <c r="A905" i="11"/>
  <c r="P920" i="11"/>
  <c r="O920" i="11"/>
  <c r="N920" i="11"/>
  <c r="M920" i="11"/>
  <c r="L920" i="11"/>
  <c r="A920" i="11"/>
  <c r="P847" i="11"/>
  <c r="O847" i="11"/>
  <c r="N847" i="11"/>
  <c r="M847" i="11"/>
  <c r="L847" i="11"/>
  <c r="A847" i="11"/>
  <c r="P904" i="11"/>
  <c r="O904" i="11"/>
  <c r="N904" i="11"/>
  <c r="M904" i="11"/>
  <c r="L904" i="11"/>
  <c r="A904" i="11"/>
  <c r="P919" i="11"/>
  <c r="O919" i="11"/>
  <c r="N919" i="11"/>
  <c r="M919" i="11"/>
  <c r="L919" i="11"/>
  <c r="A919" i="11"/>
  <c r="P910" i="11"/>
  <c r="O910" i="11"/>
  <c r="N910" i="11"/>
  <c r="M910" i="11"/>
  <c r="L910" i="11"/>
  <c r="A910" i="11"/>
  <c r="P903" i="11"/>
  <c r="O903" i="11"/>
  <c r="N903" i="11"/>
  <c r="M903" i="11"/>
  <c r="L903" i="11"/>
  <c r="A903" i="11"/>
  <c r="P902" i="11"/>
  <c r="O902" i="11"/>
  <c r="N902" i="11"/>
  <c r="M902" i="11"/>
  <c r="L902" i="11"/>
  <c r="A902" i="11"/>
  <c r="P908" i="11"/>
  <c r="O908" i="11"/>
  <c r="N908" i="11"/>
  <c r="M908" i="11"/>
  <c r="L908" i="11"/>
  <c r="A908" i="11"/>
  <c r="P901" i="11"/>
  <c r="O901" i="11"/>
  <c r="N901" i="11"/>
  <c r="M901" i="11"/>
  <c r="L901" i="11"/>
  <c r="A901" i="11"/>
  <c r="P900" i="11"/>
  <c r="O900" i="11"/>
  <c r="N900" i="11"/>
  <c r="M900" i="11"/>
  <c r="L900" i="11"/>
  <c r="A900" i="11"/>
  <c r="P899" i="11"/>
  <c r="O899" i="11"/>
  <c r="N899" i="11"/>
  <c r="M899" i="11"/>
  <c r="L899" i="11"/>
  <c r="A899" i="11"/>
  <c r="P898" i="11"/>
  <c r="O898" i="11"/>
  <c r="N898" i="11"/>
  <c r="M898" i="11"/>
  <c r="L898" i="11"/>
  <c r="A898" i="11"/>
  <c r="P897" i="11"/>
  <c r="O897" i="11"/>
  <c r="N897" i="11"/>
  <c r="M897" i="11"/>
  <c r="L897" i="11"/>
  <c r="A897" i="11"/>
  <c r="P896" i="11"/>
  <c r="O896" i="11"/>
  <c r="N896" i="11"/>
  <c r="M896" i="11"/>
  <c r="L896" i="11"/>
  <c r="A896" i="11"/>
  <c r="P895" i="11"/>
  <c r="O895" i="11"/>
  <c r="N895" i="11"/>
  <c r="M895" i="11"/>
  <c r="L895" i="11"/>
  <c r="A895" i="11"/>
  <c r="P894" i="11"/>
  <c r="O894" i="11"/>
  <c r="N894" i="11"/>
  <c r="M894" i="11"/>
  <c r="L894" i="11"/>
  <c r="A894" i="11"/>
  <c r="P893" i="11"/>
  <c r="O893" i="11"/>
  <c r="N893" i="11"/>
  <c r="M893" i="11"/>
  <c r="L893" i="11"/>
  <c r="A893" i="11"/>
  <c r="P892" i="11"/>
  <c r="O892" i="11"/>
  <c r="N892" i="11"/>
  <c r="M892" i="11"/>
  <c r="L892" i="11"/>
  <c r="A892" i="11"/>
  <c r="P891" i="11"/>
  <c r="O891" i="11"/>
  <c r="N891" i="11"/>
  <c r="M891" i="11"/>
  <c r="L891" i="11"/>
  <c r="A891" i="11"/>
  <c r="P2561" i="11"/>
  <c r="O2561" i="11"/>
  <c r="N2561" i="11"/>
  <c r="M2561" i="11"/>
  <c r="L2561" i="11"/>
  <c r="P890" i="11"/>
  <c r="O890" i="11"/>
  <c r="N890" i="11"/>
  <c r="M890" i="11"/>
  <c r="L890" i="11"/>
  <c r="A890" i="11"/>
  <c r="P926" i="11"/>
  <c r="O926" i="11"/>
  <c r="N926" i="11"/>
  <c r="M926" i="11"/>
  <c r="L926" i="11"/>
  <c r="A926" i="11"/>
  <c r="P889" i="11"/>
  <c r="O889" i="11"/>
  <c r="N889" i="11"/>
  <c r="M889" i="11"/>
  <c r="L889" i="11"/>
  <c r="A889" i="11"/>
  <c r="P888" i="11"/>
  <c r="O888" i="11"/>
  <c r="N888" i="11"/>
  <c r="M888" i="11"/>
  <c r="L888" i="11"/>
  <c r="A888" i="11"/>
  <c r="P886" i="11"/>
  <c r="O886" i="11"/>
  <c r="N886" i="11"/>
  <c r="M886" i="11"/>
  <c r="L886" i="11"/>
  <c r="A886" i="11"/>
  <c r="P3145" i="11"/>
  <c r="O3145" i="11"/>
  <c r="N3145" i="11"/>
  <c r="M3145" i="11"/>
  <c r="L3145" i="11"/>
  <c r="P884" i="11"/>
  <c r="O884" i="11"/>
  <c r="N884" i="11"/>
  <c r="M884" i="11"/>
  <c r="L884" i="11"/>
  <c r="A884" i="11"/>
  <c r="P883" i="11"/>
  <c r="O883" i="11"/>
  <c r="N883" i="11"/>
  <c r="M883" i="11"/>
  <c r="L883" i="11"/>
  <c r="A883" i="11"/>
  <c r="P882" i="11"/>
  <c r="O882" i="11"/>
  <c r="N882" i="11"/>
  <c r="M882" i="11"/>
  <c r="L882" i="11"/>
  <c r="A882" i="11"/>
  <c r="P881" i="11"/>
  <c r="O881" i="11"/>
  <c r="N881" i="11"/>
  <c r="M881" i="11"/>
  <c r="L881" i="11"/>
  <c r="A881" i="11"/>
  <c r="P880" i="11"/>
  <c r="O880" i="11"/>
  <c r="N880" i="11"/>
  <c r="M880" i="11"/>
  <c r="L880" i="11"/>
  <c r="A880" i="11"/>
  <c r="P876" i="11"/>
  <c r="O876" i="11"/>
  <c r="N876" i="11"/>
  <c r="M876" i="11"/>
  <c r="L876" i="11"/>
  <c r="A876" i="11"/>
  <c r="P874" i="11"/>
  <c r="O874" i="11"/>
  <c r="N874" i="11"/>
  <c r="M874" i="11"/>
  <c r="L874" i="11"/>
  <c r="A874" i="11"/>
  <c r="P872" i="11"/>
  <c r="O872" i="11"/>
  <c r="N872" i="11"/>
  <c r="M872" i="11"/>
  <c r="L872" i="11"/>
  <c r="A872" i="11"/>
  <c r="P871" i="11"/>
  <c r="O871" i="11"/>
  <c r="N871" i="11"/>
  <c r="M871" i="11"/>
  <c r="L871" i="11"/>
  <c r="A871" i="11"/>
  <c r="P3144" i="11"/>
  <c r="O3144" i="11"/>
  <c r="N3144" i="11"/>
  <c r="M3144" i="11"/>
  <c r="L3144" i="11"/>
  <c r="P3143" i="11"/>
  <c r="O3143" i="11"/>
  <c r="N3143" i="11"/>
  <c r="M3143" i="11"/>
  <c r="L3143" i="11"/>
  <c r="P921" i="11"/>
  <c r="O921" i="11"/>
  <c r="N921" i="11"/>
  <c r="M921" i="11"/>
  <c r="L921" i="11"/>
  <c r="A921" i="11"/>
  <c r="P870" i="11"/>
  <c r="O870" i="11"/>
  <c r="N870" i="11"/>
  <c r="M870" i="11"/>
  <c r="L870" i="11"/>
  <c r="A870" i="11"/>
  <c r="P869" i="11"/>
  <c r="O869" i="11"/>
  <c r="N869" i="11"/>
  <c r="M869" i="11"/>
  <c r="L869" i="11"/>
  <c r="A869" i="11"/>
  <c r="P868" i="11"/>
  <c r="O868" i="11"/>
  <c r="N868" i="11"/>
  <c r="M868" i="11"/>
  <c r="L868" i="11"/>
  <c r="A868" i="11"/>
  <c r="P866" i="11"/>
  <c r="O866" i="11"/>
  <c r="N866" i="11"/>
  <c r="M866" i="11"/>
  <c r="L866" i="11"/>
  <c r="A866" i="11"/>
  <c r="P865" i="11"/>
  <c r="O865" i="11"/>
  <c r="N865" i="11"/>
  <c r="M865" i="11"/>
  <c r="L865" i="11"/>
  <c r="A865" i="11"/>
  <c r="P864" i="11"/>
  <c r="O864" i="11"/>
  <c r="N864" i="11"/>
  <c r="M864" i="11"/>
  <c r="L864" i="11"/>
  <c r="A864" i="11"/>
  <c r="P862" i="11"/>
  <c r="O862" i="11"/>
  <c r="N862" i="11"/>
  <c r="M862" i="11"/>
  <c r="L862" i="11"/>
  <c r="A862" i="11"/>
  <c r="P861" i="11"/>
  <c r="O861" i="11"/>
  <c r="N861" i="11"/>
  <c r="M861" i="11"/>
  <c r="L861" i="11"/>
  <c r="A861" i="11"/>
  <c r="P887" i="11"/>
  <c r="O887" i="11"/>
  <c r="N887" i="11"/>
  <c r="M887" i="11"/>
  <c r="L887" i="11"/>
  <c r="A887" i="11"/>
  <c r="P924" i="11"/>
  <c r="O924" i="11"/>
  <c r="N924" i="11"/>
  <c r="M924" i="11"/>
  <c r="L924" i="11"/>
  <c r="A924" i="11"/>
  <c r="P860" i="11"/>
  <c r="O860" i="11"/>
  <c r="N860" i="11"/>
  <c r="M860" i="11"/>
  <c r="L860" i="11"/>
  <c r="A860" i="11"/>
  <c r="P859" i="11"/>
  <c r="O859" i="11"/>
  <c r="N859" i="11"/>
  <c r="M859" i="11"/>
  <c r="L859" i="11"/>
  <c r="A859" i="11"/>
  <c r="P858" i="11"/>
  <c r="O858" i="11"/>
  <c r="N858" i="11"/>
  <c r="M858" i="11"/>
  <c r="L858" i="11"/>
  <c r="A858" i="11"/>
  <c r="P857" i="11"/>
  <c r="O857" i="11"/>
  <c r="N857" i="11"/>
  <c r="M857" i="11"/>
  <c r="L857" i="11"/>
  <c r="A857" i="11"/>
  <c r="P856" i="11"/>
  <c r="O856" i="11"/>
  <c r="N856" i="11"/>
  <c r="M856" i="11"/>
  <c r="L856" i="11"/>
  <c r="A856" i="11"/>
  <c r="P855" i="11"/>
  <c r="O855" i="11"/>
  <c r="N855" i="11"/>
  <c r="M855" i="11"/>
  <c r="L855" i="11"/>
  <c r="A855" i="11"/>
  <c r="P854" i="11"/>
  <c r="O854" i="11"/>
  <c r="N854" i="11"/>
  <c r="M854" i="11"/>
  <c r="L854" i="11"/>
  <c r="A854" i="11"/>
  <c r="P853" i="11"/>
  <c r="O853" i="11"/>
  <c r="N853" i="11"/>
  <c r="M853" i="11"/>
  <c r="L853" i="11"/>
  <c r="A853" i="11"/>
  <c r="P852" i="11"/>
  <c r="O852" i="11"/>
  <c r="N852" i="11"/>
  <c r="M852" i="11"/>
  <c r="L852" i="11"/>
  <c r="A852" i="11"/>
  <c r="P851" i="11"/>
  <c r="O851" i="11"/>
  <c r="N851" i="11"/>
  <c r="M851" i="11"/>
  <c r="L851" i="11"/>
  <c r="A851" i="11"/>
  <c r="P827" i="11"/>
  <c r="O827" i="11"/>
  <c r="N827" i="11"/>
  <c r="M827" i="11"/>
  <c r="L827" i="11"/>
  <c r="A827" i="11"/>
  <c r="P850" i="11"/>
  <c r="O850" i="11"/>
  <c r="N850" i="11"/>
  <c r="M850" i="11"/>
  <c r="L850" i="11"/>
  <c r="A850" i="11"/>
  <c r="P849" i="11"/>
  <c r="O849" i="11"/>
  <c r="N849" i="11"/>
  <c r="M849" i="11"/>
  <c r="L849" i="11"/>
  <c r="A849" i="11"/>
  <c r="P848" i="11"/>
  <c r="O848" i="11"/>
  <c r="N848" i="11"/>
  <c r="M848" i="11"/>
  <c r="L848" i="11"/>
  <c r="A848" i="11"/>
  <c r="P846" i="11"/>
  <c r="O846" i="11"/>
  <c r="N846" i="11"/>
  <c r="M846" i="11"/>
  <c r="L846" i="11"/>
  <c r="A846" i="11"/>
  <c r="P844" i="11"/>
  <c r="O844" i="11"/>
  <c r="N844" i="11"/>
  <c r="M844" i="11"/>
  <c r="L844" i="11"/>
  <c r="A844" i="11"/>
  <c r="P843" i="11"/>
  <c r="O843" i="11"/>
  <c r="N843" i="11"/>
  <c r="M843" i="11"/>
  <c r="L843" i="11"/>
  <c r="A843" i="11"/>
  <c r="P878" i="11"/>
  <c r="O878" i="11"/>
  <c r="N878" i="11"/>
  <c r="M878" i="11"/>
  <c r="L878" i="11"/>
  <c r="A878" i="11"/>
  <c r="P929" i="11"/>
  <c r="O929" i="11"/>
  <c r="N929" i="11"/>
  <c r="M929" i="11"/>
  <c r="L929" i="11"/>
  <c r="A929" i="11"/>
  <c r="P842" i="11"/>
  <c r="O842" i="11"/>
  <c r="N842" i="11"/>
  <c r="M842" i="11"/>
  <c r="L842" i="11"/>
  <c r="A842" i="11"/>
  <c r="P841" i="11"/>
  <c r="O841" i="11"/>
  <c r="N841" i="11"/>
  <c r="M841" i="11"/>
  <c r="L841" i="11"/>
  <c r="A841" i="11"/>
  <c r="P840" i="11"/>
  <c r="O840" i="11"/>
  <c r="N840" i="11"/>
  <c r="M840" i="11"/>
  <c r="L840" i="11"/>
  <c r="A840" i="11"/>
  <c r="P839" i="11"/>
  <c r="O839" i="11"/>
  <c r="N839" i="11"/>
  <c r="M839" i="11"/>
  <c r="L839" i="11"/>
  <c r="A839" i="11"/>
  <c r="P838" i="11"/>
  <c r="O838" i="11"/>
  <c r="N838" i="11"/>
  <c r="M838" i="11"/>
  <c r="L838" i="11"/>
  <c r="A838" i="11"/>
  <c r="P837" i="11"/>
  <c r="O837" i="11"/>
  <c r="N837" i="11"/>
  <c r="M837" i="11"/>
  <c r="L837" i="11"/>
  <c r="A837" i="11"/>
  <c r="P836" i="11"/>
  <c r="O836" i="11"/>
  <c r="N836" i="11"/>
  <c r="M836" i="11"/>
  <c r="L836" i="11"/>
  <c r="A836" i="11"/>
  <c r="P835" i="11"/>
  <c r="O835" i="11"/>
  <c r="N835" i="11"/>
  <c r="M835" i="11"/>
  <c r="L835" i="11"/>
  <c r="A835" i="11"/>
  <c r="P917" i="11"/>
  <c r="O917" i="11"/>
  <c r="N917" i="11"/>
  <c r="M917" i="11"/>
  <c r="L917" i="11"/>
  <c r="A917" i="11"/>
  <c r="P834" i="11"/>
  <c r="O834" i="11"/>
  <c r="N834" i="11"/>
  <c r="M834" i="11"/>
  <c r="L834" i="11"/>
  <c r="A834" i="11"/>
  <c r="P833" i="11"/>
  <c r="O833" i="11"/>
  <c r="N833" i="11"/>
  <c r="M833" i="11"/>
  <c r="L833" i="11"/>
  <c r="A833" i="11"/>
  <c r="P3142" i="11"/>
  <c r="O3142" i="11"/>
  <c r="N3142" i="11"/>
  <c r="M3142" i="11"/>
  <c r="L3142" i="11"/>
  <c r="P927" i="11"/>
  <c r="O927" i="11"/>
  <c r="N927" i="11"/>
  <c r="M927" i="11"/>
  <c r="L927" i="11"/>
  <c r="A927" i="11"/>
  <c r="P875" i="11"/>
  <c r="O875" i="11"/>
  <c r="N875" i="11"/>
  <c r="M875" i="11"/>
  <c r="L875" i="11"/>
  <c r="A875" i="11"/>
  <c r="P832" i="11"/>
  <c r="O832" i="11"/>
  <c r="N832" i="11"/>
  <c r="M832" i="11"/>
  <c r="L832" i="11"/>
  <c r="A832" i="11"/>
  <c r="P831" i="11"/>
  <c r="O831" i="11"/>
  <c r="N831" i="11"/>
  <c r="M831" i="11"/>
  <c r="L831" i="11"/>
  <c r="A831" i="11"/>
  <c r="P830" i="11"/>
  <c r="O830" i="11"/>
  <c r="N830" i="11"/>
  <c r="M830" i="11"/>
  <c r="L830" i="11"/>
  <c r="A830" i="11"/>
  <c r="P829" i="11"/>
  <c r="O829" i="11"/>
  <c r="N829" i="11"/>
  <c r="M829" i="11"/>
  <c r="L829" i="11"/>
  <c r="A829" i="11"/>
  <c r="P873" i="11"/>
  <c r="O873" i="11"/>
  <c r="N873" i="11"/>
  <c r="M873" i="11"/>
  <c r="L873" i="11"/>
  <c r="A873" i="11"/>
  <c r="P828" i="11"/>
  <c r="O828" i="11"/>
  <c r="N828" i="11"/>
  <c r="M828" i="11"/>
  <c r="L828" i="11"/>
  <c r="A828" i="11"/>
  <c r="P826" i="11"/>
  <c r="O826" i="11"/>
  <c r="N826" i="11"/>
  <c r="M826" i="11"/>
  <c r="L826" i="11"/>
  <c r="A826" i="11"/>
  <c r="P825" i="11"/>
  <c r="O825" i="11"/>
  <c r="N825" i="11"/>
  <c r="M825" i="11"/>
  <c r="L825" i="11"/>
  <c r="A825" i="11"/>
  <c r="P824" i="11"/>
  <c r="O824" i="11"/>
  <c r="N824" i="11"/>
  <c r="M824" i="11"/>
  <c r="L824" i="11"/>
  <c r="A824" i="11"/>
  <c r="P823" i="11"/>
  <c r="O823" i="11"/>
  <c r="N823" i="11"/>
  <c r="M823" i="11"/>
  <c r="L823" i="11"/>
  <c r="A823" i="11"/>
  <c r="P822" i="11"/>
  <c r="O822" i="11"/>
  <c r="N822" i="11"/>
  <c r="M822" i="11"/>
  <c r="L822" i="11"/>
  <c r="A822" i="11"/>
  <c r="P863" i="11"/>
  <c r="O863" i="11"/>
  <c r="N863" i="11"/>
  <c r="M863" i="11"/>
  <c r="L863" i="11"/>
  <c r="A863" i="11"/>
  <c r="P820" i="11"/>
  <c r="O820" i="11"/>
  <c r="N820" i="11"/>
  <c r="M820" i="11"/>
  <c r="L820" i="11"/>
  <c r="A820" i="11"/>
  <c r="P821" i="11"/>
  <c r="O821" i="11"/>
  <c r="N821" i="11"/>
  <c r="M821" i="11"/>
  <c r="L821" i="11"/>
  <c r="A821" i="11"/>
  <c r="P925" i="11"/>
  <c r="O925" i="11"/>
  <c r="N925" i="11"/>
  <c r="M925" i="11"/>
  <c r="L925" i="11"/>
  <c r="A925" i="11"/>
  <c r="P819" i="11"/>
  <c r="O819" i="11"/>
  <c r="N819" i="11"/>
  <c r="M819" i="11"/>
  <c r="L819" i="11"/>
  <c r="A819" i="11"/>
  <c r="P818" i="11"/>
  <c r="O818" i="11"/>
  <c r="N818" i="11"/>
  <c r="M818" i="11"/>
  <c r="L818" i="11"/>
  <c r="A818" i="11"/>
  <c r="P817" i="11"/>
  <c r="O817" i="11"/>
  <c r="N817" i="11"/>
  <c r="M817" i="11"/>
  <c r="L817" i="11"/>
  <c r="A817" i="11"/>
  <c r="P816" i="11"/>
  <c r="O816" i="11"/>
  <c r="N816" i="11"/>
  <c r="M816" i="11"/>
  <c r="L816" i="11"/>
  <c r="A816" i="11"/>
  <c r="P815" i="11"/>
  <c r="O815" i="11"/>
  <c r="N815" i="11"/>
  <c r="M815" i="11"/>
  <c r="L815" i="11"/>
  <c r="A815" i="11"/>
  <c r="P814" i="11"/>
  <c r="O814" i="11"/>
  <c r="N814" i="11"/>
  <c r="M814" i="11"/>
  <c r="L814" i="11"/>
  <c r="A814" i="11"/>
  <c r="A41" i="11"/>
  <c r="L41" i="11"/>
  <c r="M41" i="11"/>
  <c r="N41" i="11"/>
  <c r="O41" i="11"/>
  <c r="P41" i="11"/>
  <c r="A131" i="11"/>
  <c r="L131" i="11"/>
  <c r="M131" i="11"/>
  <c r="N131" i="11"/>
  <c r="O131" i="11"/>
  <c r="P131" i="11"/>
  <c r="A242" i="11"/>
  <c r="L242" i="11"/>
  <c r="M242" i="11"/>
  <c r="N242" i="11"/>
  <c r="O242" i="11"/>
  <c r="P242" i="11"/>
  <c r="A425" i="11"/>
  <c r="L425" i="11"/>
  <c r="M425" i="11"/>
  <c r="N425" i="11"/>
  <c r="O425" i="11"/>
  <c r="P425" i="11"/>
  <c r="A473" i="11"/>
  <c r="L473" i="11"/>
  <c r="M473" i="11"/>
  <c r="N473" i="11"/>
  <c r="O473" i="11"/>
  <c r="P473" i="11"/>
  <c r="A677" i="11"/>
  <c r="L677" i="11"/>
  <c r="M677" i="11"/>
  <c r="N677" i="11"/>
  <c r="O677" i="11"/>
  <c r="P677" i="11"/>
  <c r="A105" i="11"/>
  <c r="L105" i="11"/>
  <c r="M105" i="11"/>
  <c r="N105" i="11"/>
  <c r="O105" i="11"/>
  <c r="P105" i="11"/>
  <c r="A174" i="11"/>
  <c r="L174" i="11"/>
  <c r="M174" i="11"/>
  <c r="N174" i="11"/>
  <c r="O174" i="11"/>
  <c r="P174" i="11"/>
  <c r="A263" i="11"/>
  <c r="L263" i="11"/>
  <c r="M263" i="11"/>
  <c r="N263" i="11"/>
  <c r="O263" i="11"/>
  <c r="P263" i="11"/>
  <c r="A458" i="11"/>
  <c r="L458" i="11"/>
  <c r="M458" i="11"/>
  <c r="N458" i="11"/>
  <c r="O458" i="11"/>
  <c r="P458" i="11"/>
  <c r="A549" i="11"/>
  <c r="L549" i="11"/>
  <c r="M549" i="11"/>
  <c r="N549" i="11"/>
  <c r="O549" i="11"/>
  <c r="P549" i="11"/>
  <c r="A587" i="11"/>
  <c r="L587" i="11"/>
  <c r="M587" i="11"/>
  <c r="N587" i="11"/>
  <c r="O587" i="11"/>
  <c r="P587" i="11"/>
  <c r="A75" i="11"/>
  <c r="L75" i="11"/>
  <c r="M75" i="11"/>
  <c r="N75" i="11"/>
  <c r="O75" i="11"/>
  <c r="P75" i="11"/>
  <c r="A152" i="11"/>
  <c r="L152" i="11"/>
  <c r="M152" i="11"/>
  <c r="N152" i="11"/>
  <c r="O152" i="11"/>
  <c r="P152" i="11"/>
  <c r="A243" i="11"/>
  <c r="L243" i="11"/>
  <c r="M243" i="11"/>
  <c r="N243" i="11"/>
  <c r="O243" i="11"/>
  <c r="P243" i="11"/>
  <c r="A459" i="11"/>
  <c r="L459" i="11"/>
  <c r="M459" i="11"/>
  <c r="N459" i="11"/>
  <c r="O459" i="11"/>
  <c r="P459" i="11"/>
  <c r="A562" i="11"/>
  <c r="L562" i="11"/>
  <c r="M562" i="11"/>
  <c r="N562" i="11"/>
  <c r="O562" i="11"/>
  <c r="P562" i="11"/>
  <c r="A678" i="11"/>
  <c r="L678" i="11"/>
  <c r="M678" i="11"/>
  <c r="N678" i="11"/>
  <c r="O678" i="11"/>
  <c r="P678" i="11"/>
  <c r="P29" i="11" l="1"/>
  <c r="P165" i="11"/>
  <c r="P774" i="11"/>
  <c r="P633" i="11"/>
  <c r="P436" i="11"/>
  <c r="P555" i="11"/>
  <c r="P254" i="11"/>
  <c r="P2" i="11"/>
  <c r="P235" i="11"/>
  <c r="P401" i="11"/>
  <c r="P746" i="11"/>
  <c r="P659" i="11"/>
  <c r="P569" i="11"/>
  <c r="P209" i="11"/>
  <c r="P119" i="11"/>
  <c r="P367" i="11"/>
  <c r="P59" i="11"/>
  <c r="P333" i="11"/>
  <c r="P660" i="11"/>
  <c r="P805" i="11"/>
  <c r="P497" i="11"/>
  <c r="P118" i="11"/>
  <c r="P794" i="11"/>
  <c r="P608" i="11"/>
  <c r="P292" i="11"/>
  <c r="P525" i="11"/>
  <c r="P451" i="11"/>
  <c r="P89" i="11"/>
  <c r="P141" i="11"/>
  <c r="P721" i="11"/>
  <c r="P57" i="11"/>
  <c r="P274" i="11"/>
  <c r="P620" i="11"/>
  <c r="P541" i="11"/>
  <c r="P400" i="11"/>
  <c r="P366" i="11"/>
  <c r="P58" i="11"/>
  <c r="P275" i="11"/>
  <c r="P186" i="11"/>
  <c r="P542" i="11"/>
  <c r="P775" i="11"/>
  <c r="P684" i="11"/>
  <c r="P30" i="11"/>
  <c r="P382" i="11"/>
  <c r="P556" i="11"/>
  <c r="P672" i="11"/>
  <c r="P255" i="11"/>
  <c r="P210" i="11"/>
  <c r="P795" i="11"/>
  <c r="P351" i="11"/>
  <c r="P142" i="11"/>
  <c r="P509" i="11"/>
  <c r="P314" i="11"/>
  <c r="P673" i="11"/>
  <c r="P698" i="11"/>
  <c r="P91" i="11"/>
  <c r="P661" i="11"/>
  <c r="P402" i="11"/>
  <c r="P187" i="11"/>
  <c r="P334" i="11"/>
  <c r="P543" i="11"/>
  <c r="P776" i="11"/>
  <c r="P92" i="11"/>
  <c r="P273" i="11"/>
  <c r="P804" i="11"/>
  <c r="P117" i="11"/>
  <c r="P398" i="11"/>
  <c r="P523" i="11"/>
  <c r="P593" i="11"/>
  <c r="P163" i="11"/>
  <c r="P6" i="11"/>
  <c r="P467" i="11"/>
  <c r="P168" i="11"/>
  <c r="P295" i="11"/>
  <c r="P622" i="11"/>
  <c r="P419" i="11"/>
  <c r="P710" i="11"/>
  <c r="P120" i="11"/>
  <c r="P32" i="11"/>
  <c r="P483" i="11"/>
  <c r="P383" i="11"/>
  <c r="P336" i="11"/>
  <c r="P644" i="11"/>
  <c r="P734" i="11"/>
  <c r="P510" i="11"/>
  <c r="P238" i="11"/>
  <c r="P699" i="11"/>
  <c r="P420" i="11"/>
  <c r="P662" i="11"/>
  <c r="P123" i="11"/>
  <c r="P94" i="11"/>
  <c r="P95" i="11"/>
  <c r="P257" i="11"/>
  <c r="P760" i="11"/>
  <c r="P572" i="11"/>
  <c r="P438" i="11"/>
  <c r="P674" i="11"/>
  <c r="P145" i="11"/>
  <c r="P352" i="11"/>
  <c r="P31" i="11"/>
  <c r="P315" i="11"/>
  <c r="P723" i="11"/>
  <c r="P570" i="11"/>
  <c r="P212" i="11"/>
  <c r="P583" i="11"/>
  <c r="P7" i="11"/>
  <c r="P3140" i="11"/>
  <c r="P3136" i="11"/>
  <c r="P8" i="11"/>
  <c r="P486" i="11"/>
  <c r="P421" i="11"/>
  <c r="P337" i="11"/>
  <c r="P663" i="11"/>
  <c r="P214" i="11"/>
  <c r="P761" i="11"/>
  <c r="P35" i="11"/>
  <c r="P499" i="11"/>
  <c r="P191" i="11"/>
  <c r="P405" i="11"/>
  <c r="P338" i="11"/>
  <c r="P647" i="11"/>
  <c r="P736" i="11"/>
  <c r="P146" i="11"/>
  <c r="P96" i="11"/>
  <c r="P297" i="11"/>
  <c r="P623" i="11"/>
  <c r="P528" i="11"/>
  <c r="P371" i="11"/>
  <c r="P797" i="11"/>
  <c r="P124" i="11"/>
  <c r="P97" i="11"/>
  <c r="P354" i="11"/>
  <c r="P611" i="11"/>
  <c r="P545" i="11"/>
  <c r="P279" i="11"/>
  <c r="P798" i="11"/>
  <c r="P125" i="11"/>
  <c r="P355" i="11"/>
  <c r="P258" i="11"/>
  <c r="P596" i="11"/>
  <c r="P65" i="11"/>
  <c r="P558" i="11"/>
  <c r="P809" i="11"/>
  <c r="P196" i="11"/>
  <c r="P666" i="11"/>
  <c r="P713" i="11"/>
  <c r="P532" i="11"/>
  <c r="P374" i="11"/>
  <c r="P322" i="11"/>
  <c r="P71" i="11"/>
  <c r="P588" i="11"/>
  <c r="P16" i="11"/>
  <c r="P705" i="11"/>
  <c r="P133" i="11"/>
  <c r="P474" i="11"/>
  <c r="P361" i="11"/>
  <c r="P245" i="11"/>
  <c r="P714" i="11"/>
  <c r="P198" i="11"/>
  <c r="P246" i="11"/>
  <c r="P362" i="11"/>
  <c r="P668" i="11"/>
  <c r="P728" i="11"/>
  <c r="P76" i="11"/>
  <c r="P516" i="11"/>
  <c r="P106" i="11"/>
  <c r="P691" i="11"/>
  <c r="P391" i="11"/>
  <c r="P476" i="11"/>
  <c r="P304" i="11"/>
  <c r="P754" i="11"/>
  <c r="P223" i="11"/>
  <c r="P577" i="11"/>
  <c r="P602" i="11"/>
  <c r="P154" i="11"/>
  <c r="P446" i="11"/>
  <c r="P306" i="11"/>
  <c r="P18" i="11"/>
  <c r="P779" i="11"/>
  <c r="P717" i="11"/>
  <c r="P110" i="11"/>
  <c r="P681" i="11"/>
  <c r="P347" i="11"/>
  <c r="P412" i="11"/>
  <c r="P138" i="11"/>
  <c r="P536" i="11"/>
  <c r="P670" i="11"/>
  <c r="P791" i="11"/>
  <c r="P111" i="11"/>
  <c r="P157" i="11"/>
  <c r="P428" i="11"/>
  <c r="P348" i="11"/>
  <c r="P552" i="11"/>
  <c r="P349" i="11"/>
  <c r="P566" i="11"/>
  <c r="P50" i="11"/>
  <c r="P205" i="11"/>
  <c r="P782" i="11"/>
  <c r="P464" i="11"/>
  <c r="P671" i="11"/>
  <c r="P206" i="11"/>
  <c r="P83" i="11"/>
  <c r="P682" i="11"/>
  <c r="P539" i="11"/>
  <c r="P414" i="11"/>
  <c r="P708" i="11"/>
  <c r="P270" i="11"/>
  <c r="P683" i="11"/>
  <c r="P272" i="11"/>
  <c r="P495" i="11"/>
  <c r="P85" i="11"/>
  <c r="P208" i="11"/>
  <c r="P783" i="11"/>
  <c r="P433" i="11"/>
  <c r="P465" i="11"/>
  <c r="P28" i="11"/>
  <c r="P657" i="11"/>
  <c r="P161" i="11"/>
  <c r="P803" i="11"/>
  <c r="P481" i="11"/>
  <c r="P253" i="11"/>
  <c r="P607" i="11"/>
  <c r="P496" i="11"/>
  <c r="P252" i="11"/>
  <c r="P183" i="11"/>
  <c r="P54" i="11"/>
  <c r="P434" i="11"/>
  <c r="P793" i="11"/>
  <c r="P233" i="11"/>
  <c r="P813" i="11"/>
  <c r="P56" i="11"/>
  <c r="P290" i="11"/>
  <c r="P643" i="11"/>
  <c r="P450" i="11"/>
  <c r="P507" i="11"/>
  <c r="P619" i="11"/>
  <c r="P291" i="11"/>
  <c r="P508" i="11"/>
  <c r="P732" i="11"/>
  <c r="P399" i="11"/>
  <c r="P87" i="11"/>
  <c r="P185" i="11"/>
  <c r="P618" i="11"/>
  <c r="P522" i="11"/>
  <c r="P162" i="11"/>
  <c r="P772" i="11"/>
  <c r="P313" i="11"/>
  <c r="P86" i="11"/>
  <c r="P435" i="11"/>
  <c r="P88" i="11"/>
  <c r="P594" i="11"/>
  <c r="P164" i="11"/>
  <c r="P418" i="11"/>
  <c r="P234" i="11"/>
  <c r="P524" i="11"/>
  <c r="P773" i="11"/>
  <c r="P237" i="11"/>
  <c r="P785" i="11"/>
  <c r="P61" i="11"/>
  <c r="P404" i="11"/>
  <c r="P527" i="11"/>
  <c r="P646" i="11"/>
  <c r="P122" i="11"/>
  <c r="P3" i="11"/>
  <c r="P353" i="11"/>
  <c r="P609" i="11"/>
  <c r="P188" i="11"/>
  <c r="P294" i="11"/>
  <c r="P733" i="11"/>
  <c r="P571" i="11"/>
  <c r="P4" i="11"/>
  <c r="P369" i="11"/>
  <c r="P167" i="11"/>
  <c r="P236" i="11"/>
  <c r="P747" i="11"/>
  <c r="P621" i="11"/>
  <c r="P557" i="11"/>
  <c r="P468" i="11"/>
  <c r="P63" i="11"/>
  <c r="P190" i="11"/>
  <c r="P296" i="11"/>
  <c r="P724" i="11"/>
  <c r="P687" i="11"/>
  <c r="P453" i="11"/>
  <c r="P452" i="11"/>
  <c r="P485" i="11"/>
  <c r="P62" i="11"/>
  <c r="P169" i="11"/>
  <c r="P796" i="11"/>
  <c r="P686" i="11"/>
  <c r="P278" i="11"/>
  <c r="P511" i="11"/>
  <c r="P64" i="11"/>
  <c r="P170" i="11"/>
  <c r="P318" i="11"/>
  <c r="P635" i="11"/>
  <c r="P808" i="11"/>
  <c r="P385" i="11"/>
  <c r="P595" i="11"/>
  <c r="P806" i="11"/>
  <c r="P498" i="11"/>
  <c r="P370" i="11"/>
  <c r="P93" i="11"/>
  <c r="P121" i="11"/>
  <c r="P276" i="11"/>
  <c r="P90" i="11"/>
  <c r="P350" i="11"/>
  <c r="P166" i="11"/>
  <c r="P293" i="11"/>
  <c r="P526" i="11"/>
  <c r="P784" i="11"/>
  <c r="P685" i="11"/>
  <c r="P2560" i="11"/>
  <c r="P2555" i="11"/>
  <c r="P2556" i="11"/>
  <c r="P2554" i="11"/>
  <c r="P2558" i="11"/>
  <c r="P2557" i="11"/>
  <c r="P52" i="11"/>
  <c r="P479" i="11"/>
  <c r="P381" i="11"/>
  <c r="P617" i="11"/>
  <c r="P311" i="11"/>
  <c r="P231" i="11"/>
  <c r="P758" i="11"/>
  <c r="P211" i="11"/>
  <c r="P722" i="11"/>
  <c r="P582" i="11"/>
  <c r="P368" i="11"/>
  <c r="P60" i="11"/>
  <c r="P335" i="11"/>
  <c r="P482" i="11"/>
  <c r="P232" i="11"/>
  <c r="P730" i="11"/>
  <c r="P505" i="11"/>
  <c r="P116" i="11"/>
  <c r="P332" i="11"/>
  <c r="P697" i="11"/>
  <c r="P416" i="11"/>
  <c r="P329" i="11"/>
  <c r="P538" i="11"/>
  <c r="P158" i="11"/>
  <c r="P757" i="11"/>
  <c r="P430" i="11"/>
  <c r="P641" i="11"/>
  <c r="P113" i="11"/>
  <c r="P413" i="11"/>
  <c r="P310" i="11"/>
  <c r="P631" i="11"/>
  <c r="P204" i="11"/>
  <c r="P744" i="11"/>
  <c r="P112" i="11"/>
  <c r="P519" i="11"/>
  <c r="P114" i="11"/>
  <c r="P520" i="11"/>
  <c r="P792" i="11"/>
  <c r="P655" i="11"/>
  <c r="P250" i="11"/>
  <c r="P180" i="11"/>
  <c r="P380" i="11"/>
  <c r="P696" i="11"/>
  <c r="P567" i="11"/>
  <c r="P431" i="11"/>
  <c r="P51" i="11"/>
  <c r="P812" i="11"/>
  <c r="P230" i="11"/>
  <c r="P287" i="11"/>
  <c r="P580" i="11"/>
  <c r="P24" i="11"/>
  <c r="P365" i="11"/>
  <c r="P695" i="11"/>
  <c r="P269" i="11"/>
  <c r="P802" i="11"/>
  <c r="P159" i="11"/>
  <c r="P395" i="11"/>
  <c r="P207" i="11"/>
  <c r="P330" i="11"/>
  <c r="P745" i="11"/>
  <c r="P25" i="11"/>
  <c r="P605" i="11"/>
  <c r="P480" i="11"/>
  <c r="P139" i="11"/>
  <c r="P770" i="11"/>
  <c r="P331" i="11"/>
  <c r="P449" i="11"/>
  <c r="P115" i="11"/>
  <c r="P521" i="11"/>
  <c r="P606" i="11"/>
  <c r="P3137" i="11"/>
  <c r="P3134" i="11"/>
  <c r="P740" i="11"/>
  <c r="P575" i="11"/>
  <c r="P389" i="11"/>
  <c r="P130" i="11"/>
  <c r="P321" i="11"/>
  <c r="P637" i="11"/>
  <c r="P13" i="11"/>
  <c r="P100" i="11"/>
  <c r="P513" i="11"/>
  <c r="P749" i="11"/>
  <c r="P358" i="11"/>
  <c r="P218" i="11"/>
  <c r="P341" i="11"/>
  <c r="P598" i="11"/>
  <c r="P599" i="11"/>
  <c r="P559" i="11"/>
  <c r="P194" i="11"/>
  <c r="P407" i="11"/>
  <c r="P12" i="11"/>
  <c r="P701" i="11"/>
  <c r="P260" i="11"/>
  <c r="P676" i="11"/>
  <c r="P422" i="11"/>
  <c r="P67" i="11"/>
  <c r="P512" i="11"/>
  <c r="P748" i="11"/>
  <c r="P217" i="11"/>
  <c r="P299" i="11"/>
  <c r="P3138" i="11"/>
  <c r="P537" i="11"/>
  <c r="P591" i="11"/>
  <c r="P268" i="11"/>
  <c r="P23" i="11"/>
  <c r="P379" i="11"/>
  <c r="P229" i="11"/>
  <c r="P811" i="11"/>
  <c r="P84" i="11"/>
  <c r="P181" i="11"/>
  <c r="P759" i="11"/>
  <c r="P415" i="11"/>
  <c r="P251" i="11"/>
  <c r="P540" i="11"/>
  <c r="P592" i="11"/>
  <c r="P127" i="11"/>
  <c r="P440" i="11"/>
  <c r="P281" i="11"/>
  <c r="P688" i="11"/>
  <c r="P737" i="11"/>
  <c r="P99" i="11"/>
  <c r="P529" i="11"/>
  <c r="P66" i="11"/>
  <c r="P487" i="11"/>
  <c r="P763" i="11"/>
  <c r="P612" i="11"/>
  <c r="P298" i="11"/>
  <c r="P356" i="11"/>
  <c r="P126" i="11"/>
  <c r="P137" i="11"/>
  <c r="P707" i="11"/>
  <c r="P518" i="11"/>
  <c r="P694" i="11"/>
  <c r="P394" i="11"/>
  <c r="P327" i="11"/>
  <c r="P81" i="11"/>
  <c r="P225" i="11"/>
  <c r="P283" i="11"/>
  <c r="P692" i="11"/>
  <c r="P108" i="11"/>
  <c r="P392" i="11"/>
  <c r="P788" i="11"/>
  <c r="P550" i="11"/>
  <c r="P101" i="11"/>
  <c r="P441" i="11"/>
  <c r="P241" i="11"/>
  <c r="P195" i="11"/>
  <c r="P702" i="11"/>
  <c r="P531" i="11"/>
  <c r="P586" i="11"/>
  <c r="P615" i="11"/>
  <c r="P325" i="11"/>
  <c r="P800" i="11"/>
  <c r="P44" i="11"/>
  <c r="P426" i="11"/>
  <c r="P576" i="11"/>
  <c r="P176" i="11"/>
  <c r="P408" i="11"/>
  <c r="P282" i="11"/>
  <c r="P739" i="11"/>
  <c r="P560" i="11"/>
  <c r="P70" i="11"/>
  <c r="P614" i="11"/>
  <c r="P148" i="11"/>
  <c r="P448" i="11"/>
  <c r="P179" i="11"/>
  <c r="P565" i="11"/>
  <c r="P328" i="11"/>
  <c r="P718" i="11"/>
  <c r="P82" i="11"/>
  <c r="P654" i="11"/>
  <c r="P376" i="11"/>
  <c r="P755" i="11"/>
  <c r="P107" i="11"/>
  <c r="P652" i="11"/>
  <c r="P224" i="11"/>
  <c r="P535" i="11"/>
  <c r="P265" i="11"/>
  <c r="P102" i="11"/>
  <c r="P262" i="11"/>
  <c r="P600" i="11"/>
  <c r="P712" i="11"/>
  <c r="P547" i="11"/>
  <c r="P221" i="11"/>
  <c r="P424" i="11"/>
  <c r="P143" i="11"/>
  <c r="P735" i="11"/>
  <c r="P5" i="11"/>
  <c r="P466" i="11"/>
  <c r="P403" i="11"/>
  <c r="P316" i="11"/>
  <c r="P645" i="11"/>
  <c r="P160" i="11"/>
  <c r="P720" i="11"/>
  <c r="P27" i="11"/>
  <c r="P642" i="11"/>
  <c r="P288" i="11"/>
  <c r="P417" i="11"/>
  <c r="P568" i="11"/>
  <c r="P429" i="11"/>
  <c r="P553" i="11"/>
  <c r="P719" i="11"/>
  <c r="P203" i="11"/>
  <c r="P604" i="11"/>
  <c r="P49" i="11"/>
  <c r="P249" i="11"/>
  <c r="P579" i="11"/>
  <c r="P286" i="11"/>
  <c r="P630" i="11"/>
  <c r="P463" i="11"/>
  <c r="P22" i="11"/>
  <c r="P769" i="11"/>
  <c r="P228" i="11"/>
  <c r="P375" i="11"/>
  <c r="P264" i="11"/>
  <c r="P175" i="11"/>
  <c r="P679" i="11"/>
  <c r="P43" i="11"/>
  <c r="P502" i="11"/>
  <c r="P727" i="11"/>
  <c r="P17" i="11"/>
  <c r="P134" i="11"/>
  <c r="P690" i="11"/>
  <c r="P409" i="11"/>
  <c r="P303" i="11"/>
  <c r="P475" i="11"/>
  <c r="P706" i="11"/>
  <c r="P129" i="11"/>
  <c r="P39" i="11"/>
  <c r="P300" i="11"/>
  <c r="P750" i="11"/>
  <c r="P574" i="11"/>
  <c r="P388" i="11"/>
  <c r="P625" i="11"/>
  <c r="P74" i="11"/>
  <c r="P489" i="11"/>
  <c r="P151" i="11"/>
  <c r="P787" i="11"/>
  <c r="P444" i="11"/>
  <c r="P345" i="11"/>
  <c r="P667" i="11"/>
  <c r="P741" i="11"/>
  <c r="P323" i="11"/>
  <c r="P638" i="11"/>
  <c r="P515" i="11"/>
  <c r="P197" i="11"/>
  <c r="P456" i="11"/>
  <c r="P103" i="11"/>
  <c r="P104" i="11"/>
  <c r="P753" i="11"/>
  <c r="P457" i="11"/>
  <c r="P344" i="11"/>
  <c r="P651" i="11"/>
  <c r="P501" i="11"/>
  <c r="P173" i="11"/>
  <c r="P359" i="11"/>
  <c r="P342" i="11"/>
  <c r="P14" i="11"/>
  <c r="P149" i="11"/>
  <c r="P725" i="11"/>
  <c r="P561" i="11"/>
  <c r="P650" i="11"/>
  <c r="P37" i="11"/>
  <c r="P472" i="11"/>
  <c r="P216" i="11"/>
  <c r="P406" i="11"/>
  <c r="P764" i="11"/>
  <c r="P664" i="11"/>
  <c r="P280" i="11"/>
  <c r="P715" i="11"/>
  <c r="P15" i="11"/>
  <c r="P153" i="11"/>
  <c r="P491" i="11"/>
  <c r="P390" i="11"/>
  <c r="P324" i="11"/>
  <c r="P689" i="11"/>
  <c r="P534" i="11"/>
  <c r="P302" i="11"/>
  <c r="P443" i="11"/>
  <c r="P73" i="11"/>
  <c r="P627" i="11"/>
  <c r="P752" i="11"/>
  <c r="P222" i="11"/>
  <c r="P488" i="11"/>
  <c r="P778" i="11"/>
  <c r="P192" i="11"/>
  <c r="P340" i="11"/>
  <c r="P10" i="11"/>
  <c r="P648" i="11"/>
  <c r="P386" i="11"/>
  <c r="P738" i="11"/>
  <c r="P530" i="11"/>
  <c r="P68" i="11"/>
  <c r="P613" i="11"/>
  <c r="P193" i="11"/>
  <c r="P373" i="11"/>
  <c r="P320" i="11"/>
  <c r="P372" i="11"/>
  <c r="P471" i="11"/>
  <c r="P786" i="11"/>
  <c r="P339" i="11"/>
  <c r="P636" i="11"/>
  <c r="P9" i="11"/>
  <c r="P171" i="11"/>
  <c r="P578" i="11"/>
  <c r="P202" i="11"/>
  <c r="P462" i="11"/>
  <c r="P48" i="11"/>
  <c r="P743" i="11"/>
  <c r="P309" i="11"/>
  <c r="P640" i="11"/>
  <c r="P271" i="11"/>
  <c r="P26" i="11"/>
  <c r="P656" i="11"/>
  <c r="P140" i="11"/>
  <c r="P432" i="11"/>
  <c r="P709" i="11"/>
  <c r="P581" i="11"/>
  <c r="P789" i="11"/>
  <c r="P19" i="11"/>
  <c r="P589" i="11"/>
  <c r="P346" i="11"/>
  <c r="P135" i="11"/>
  <c r="P460" i="11"/>
  <c r="P564" i="11"/>
  <c r="P387" i="11"/>
  <c r="P11" i="11"/>
  <c r="P128" i="11"/>
  <c r="P700" i="11"/>
  <c r="P240" i="11"/>
  <c r="P573" i="11"/>
  <c r="P585" i="11"/>
  <c r="P53" i="11"/>
  <c r="P632" i="11"/>
  <c r="P182" i="11"/>
  <c r="P396" i="11"/>
  <c r="P731" i="11"/>
  <c r="P312" i="11"/>
  <c r="P554" i="11"/>
  <c r="P703" i="11"/>
  <c r="P172" i="11"/>
  <c r="P665" i="11"/>
  <c r="P766" i="11"/>
  <c r="P548" i="11"/>
  <c r="P40" i="11"/>
  <c r="P360" i="11"/>
  <c r="P343" i="11"/>
  <c r="P261" i="11"/>
  <c r="P423" i="11"/>
  <c r="P38" i="11"/>
  <c r="P649" i="11"/>
  <c r="P546" i="11"/>
  <c r="P220" i="11"/>
  <c r="P765" i="11"/>
  <c r="P810" i="11"/>
  <c r="P69" i="11"/>
  <c r="P514" i="11"/>
  <c r="P219" i="11"/>
  <c r="P584" i="11"/>
  <c r="P239" i="11"/>
  <c r="P455" i="11"/>
  <c r="P384" i="11"/>
  <c r="P144" i="11"/>
  <c r="P34" i="11"/>
  <c r="P256" i="11"/>
  <c r="P711" i="11"/>
  <c r="P634" i="11"/>
  <c r="P544" i="11"/>
  <c r="P147" i="11"/>
  <c r="P470" i="11"/>
  <c r="P799" i="11"/>
  <c r="P357" i="11"/>
  <c r="P319" i="11"/>
  <c r="P36" i="11"/>
  <c r="P624" i="11"/>
  <c r="P244" i="11"/>
  <c r="P601" i="11"/>
  <c r="P132" i="11"/>
  <c r="P42" i="11"/>
  <c r="P445" i="11"/>
  <c r="P490" i="11"/>
  <c r="P704" i="11"/>
  <c r="P277" i="11"/>
  <c r="P33" i="11"/>
  <c r="P484" i="11"/>
  <c r="P610" i="11"/>
  <c r="P189" i="11"/>
  <c r="P437" i="11"/>
  <c r="P807" i="11"/>
  <c r="P259" i="11"/>
  <c r="P215" i="11"/>
  <c r="P500" i="11"/>
  <c r="P454" i="11"/>
  <c r="P762" i="11"/>
  <c r="P597" i="11"/>
  <c r="P98" i="11"/>
  <c r="P200" i="11"/>
  <c r="P109" i="11"/>
  <c r="P266" i="11"/>
  <c r="P503" i="11"/>
  <c r="P411" i="11"/>
  <c r="P629" i="11"/>
  <c r="P801" i="11"/>
  <c r="P3139" i="11"/>
  <c r="P726" i="11"/>
  <c r="P247" i="11"/>
  <c r="P80" i="11"/>
  <c r="P393" i="11"/>
  <c r="P639" i="11"/>
  <c r="P790" i="11"/>
  <c r="P226" i="11"/>
  <c r="P493" i="11"/>
  <c r="P461" i="11"/>
  <c r="P729" i="11"/>
  <c r="P551" i="11"/>
  <c r="P136" i="11"/>
  <c r="P326" i="11"/>
  <c r="P45" i="11"/>
  <c r="P590" i="11"/>
  <c r="P563" i="11"/>
  <c r="P716" i="11"/>
  <c r="P305" i="11"/>
  <c r="P410" i="11"/>
  <c r="P77" i="11"/>
  <c r="P199" i="11"/>
  <c r="P628" i="11"/>
  <c r="P47" i="11"/>
  <c r="P378" i="11"/>
  <c r="P504" i="11"/>
  <c r="P156" i="11"/>
  <c r="P781" i="11"/>
  <c r="P693" i="11"/>
  <c r="P308" i="11"/>
  <c r="P680" i="11"/>
  <c r="P364" i="11"/>
  <c r="P285" i="11"/>
  <c r="P178" i="11"/>
  <c r="P742" i="11"/>
  <c r="P494" i="11"/>
  <c r="P21" i="11"/>
  <c r="P155" i="11"/>
  <c r="P78" i="11"/>
  <c r="P307" i="11"/>
  <c r="P767" i="11"/>
  <c r="P492" i="11"/>
  <c r="P603" i="11"/>
  <c r="P447" i="11"/>
  <c r="P517" i="11"/>
  <c r="P616" i="11"/>
  <c r="P427" i="11"/>
  <c r="P768" i="11"/>
  <c r="P177" i="11"/>
  <c r="P284" i="11"/>
  <c r="P79" i="11"/>
  <c r="P363" i="11"/>
  <c r="P478" i="11"/>
  <c r="P756" i="11"/>
  <c r="P267" i="11"/>
  <c r="P20" i="11"/>
  <c r="P669" i="11"/>
  <c r="P201" i="11"/>
  <c r="P248" i="11"/>
  <c r="P227" i="11"/>
  <c r="P780" i="11"/>
  <c r="P653" i="11"/>
  <c r="P46" i="11"/>
  <c r="P377" i="11"/>
  <c r="P477" i="11"/>
  <c r="O29" i="11"/>
  <c r="O165" i="11"/>
  <c r="O774" i="11"/>
  <c r="O633" i="11"/>
  <c r="O436" i="11"/>
  <c r="O555" i="11"/>
  <c r="O254" i="11"/>
  <c r="O2" i="11"/>
  <c r="O235" i="11"/>
  <c r="O401" i="11"/>
  <c r="O746" i="11"/>
  <c r="O659" i="11"/>
  <c r="O569" i="11"/>
  <c r="O209" i="11"/>
  <c r="O119" i="11"/>
  <c r="O367" i="11"/>
  <c r="O59" i="11"/>
  <c r="O333" i="11"/>
  <c r="O660" i="11"/>
  <c r="O805" i="11"/>
  <c r="O497" i="11"/>
  <c r="O118" i="11"/>
  <c r="O794" i="11"/>
  <c r="O608" i="11"/>
  <c r="O292" i="11"/>
  <c r="O525" i="11"/>
  <c r="O451" i="11"/>
  <c r="O89" i="11"/>
  <c r="O141" i="11"/>
  <c r="O721" i="11"/>
  <c r="O57" i="11"/>
  <c r="O274" i="11"/>
  <c r="O620" i="11"/>
  <c r="O541" i="11"/>
  <c r="O400" i="11"/>
  <c r="O366" i="11"/>
  <c r="O58" i="11"/>
  <c r="O275" i="11"/>
  <c r="O186" i="11"/>
  <c r="O542" i="11"/>
  <c r="O775" i="11"/>
  <c r="O684" i="11"/>
  <c r="O30" i="11"/>
  <c r="O382" i="11"/>
  <c r="O556" i="11"/>
  <c r="O672" i="11"/>
  <c r="O255" i="11"/>
  <c r="O210" i="11"/>
  <c r="O795" i="11"/>
  <c r="O351" i="11"/>
  <c r="O142" i="11"/>
  <c r="O509" i="11"/>
  <c r="O314" i="11"/>
  <c r="O673" i="11"/>
  <c r="O698" i="11"/>
  <c r="O91" i="11"/>
  <c r="O661" i="11"/>
  <c r="O402" i="11"/>
  <c r="O187" i="11"/>
  <c r="O334" i="11"/>
  <c r="O543" i="11"/>
  <c r="O776" i="11"/>
  <c r="O92" i="11"/>
  <c r="O273" i="11"/>
  <c r="O804" i="11"/>
  <c r="O117" i="11"/>
  <c r="O398" i="11"/>
  <c r="O523" i="11"/>
  <c r="O593" i="11"/>
  <c r="O163" i="11"/>
  <c r="O6" i="11"/>
  <c r="O467" i="11"/>
  <c r="O168" i="11"/>
  <c r="O295" i="11"/>
  <c r="O622" i="11"/>
  <c r="O419" i="11"/>
  <c r="O710" i="11"/>
  <c r="O120" i="11"/>
  <c r="O32" i="11"/>
  <c r="O483" i="11"/>
  <c r="O383" i="11"/>
  <c r="O336" i="11"/>
  <c r="O644" i="11"/>
  <c r="O734" i="11"/>
  <c r="O510" i="11"/>
  <c r="O238" i="11"/>
  <c r="O699" i="11"/>
  <c r="O420" i="11"/>
  <c r="O662" i="11"/>
  <c r="O123" i="11"/>
  <c r="O94" i="11"/>
  <c r="O95" i="11"/>
  <c r="O257" i="11"/>
  <c r="O760" i="11"/>
  <c r="O572" i="11"/>
  <c r="O438" i="11"/>
  <c r="O674" i="11"/>
  <c r="O145" i="11"/>
  <c r="O352" i="11"/>
  <c r="O31" i="11"/>
  <c r="O315" i="11"/>
  <c r="O723" i="11"/>
  <c r="O570" i="11"/>
  <c r="O212" i="11"/>
  <c r="O583" i="11"/>
  <c r="O7" i="11"/>
  <c r="O3140" i="11"/>
  <c r="O3136" i="11"/>
  <c r="O8" i="11"/>
  <c r="O486" i="11"/>
  <c r="O421" i="11"/>
  <c r="O337" i="11"/>
  <c r="O663" i="11"/>
  <c r="O214" i="11"/>
  <c r="O761" i="11"/>
  <c r="O35" i="11"/>
  <c r="O499" i="11"/>
  <c r="O191" i="11"/>
  <c r="O405" i="11"/>
  <c r="O338" i="11"/>
  <c r="O647" i="11"/>
  <c r="O736" i="11"/>
  <c r="O146" i="11"/>
  <c r="O96" i="11"/>
  <c r="O297" i="11"/>
  <c r="O623" i="11"/>
  <c r="O528" i="11"/>
  <c r="O371" i="11"/>
  <c r="O797" i="11"/>
  <c r="O124" i="11"/>
  <c r="O97" i="11"/>
  <c r="O354" i="11"/>
  <c r="O611" i="11"/>
  <c r="O545" i="11"/>
  <c r="O279" i="11"/>
  <c r="O798" i="11"/>
  <c r="O125" i="11"/>
  <c r="O355" i="11"/>
  <c r="O258" i="11"/>
  <c r="O596" i="11"/>
  <c r="O65" i="11"/>
  <c r="O558" i="11"/>
  <c r="O809" i="11"/>
  <c r="O196" i="11"/>
  <c r="O666" i="11"/>
  <c r="O713" i="11"/>
  <c r="O532" i="11"/>
  <c r="O374" i="11"/>
  <c r="O322" i="11"/>
  <c r="O71" i="11"/>
  <c r="O588" i="11"/>
  <c r="O16" i="11"/>
  <c r="O705" i="11"/>
  <c r="O133" i="11"/>
  <c r="O474" i="11"/>
  <c r="O361" i="11"/>
  <c r="O245" i="11"/>
  <c r="O714" i="11"/>
  <c r="O198" i="11"/>
  <c r="O246" i="11"/>
  <c r="O362" i="11"/>
  <c r="O668" i="11"/>
  <c r="O728" i="11"/>
  <c r="O76" i="11"/>
  <c r="O516" i="11"/>
  <c r="O106" i="11"/>
  <c r="O691" i="11"/>
  <c r="O391" i="11"/>
  <c r="O476" i="11"/>
  <c r="O304" i="11"/>
  <c r="O754" i="11"/>
  <c r="O223" i="11"/>
  <c r="O577" i="11"/>
  <c r="O602" i="11"/>
  <c r="O154" i="11"/>
  <c r="O446" i="11"/>
  <c r="O306" i="11"/>
  <c r="O18" i="11"/>
  <c r="O779" i="11"/>
  <c r="O717" i="11"/>
  <c r="O110" i="11"/>
  <c r="O681" i="11"/>
  <c r="O347" i="11"/>
  <c r="O412" i="11"/>
  <c r="O138" i="11"/>
  <c r="O536" i="11"/>
  <c r="O670" i="11"/>
  <c r="O791" i="11"/>
  <c r="O111" i="11"/>
  <c r="O157" i="11"/>
  <c r="O428" i="11"/>
  <c r="O348" i="11"/>
  <c r="O552" i="11"/>
  <c r="O349" i="11"/>
  <c r="O566" i="11"/>
  <c r="O50" i="11"/>
  <c r="O205" i="11"/>
  <c r="O782" i="11"/>
  <c r="O464" i="11"/>
  <c r="O671" i="11"/>
  <c r="O206" i="11"/>
  <c r="O83" i="11"/>
  <c r="O682" i="11"/>
  <c r="O539" i="11"/>
  <c r="O414" i="11"/>
  <c r="O708" i="11"/>
  <c r="O270" i="11"/>
  <c r="O683" i="11"/>
  <c r="O272" i="11"/>
  <c r="O495" i="11"/>
  <c r="O85" i="11"/>
  <c r="O208" i="11"/>
  <c r="O783" i="11"/>
  <c r="O433" i="11"/>
  <c r="O465" i="11"/>
  <c r="O28" i="11"/>
  <c r="O657" i="11"/>
  <c r="O161" i="11"/>
  <c r="O803" i="11"/>
  <c r="O481" i="11"/>
  <c r="O253" i="11"/>
  <c r="O607" i="11"/>
  <c r="O496" i="11"/>
  <c r="O252" i="11"/>
  <c r="O183" i="11"/>
  <c r="O54" i="11"/>
  <c r="O434" i="11"/>
  <c r="O793" i="11"/>
  <c r="O233" i="11"/>
  <c r="O813" i="11"/>
  <c r="O56" i="11"/>
  <c r="O290" i="11"/>
  <c r="O643" i="11"/>
  <c r="O450" i="11"/>
  <c r="O507" i="11"/>
  <c r="O619" i="11"/>
  <c r="O291" i="11"/>
  <c r="O508" i="11"/>
  <c r="O732" i="11"/>
  <c r="O399" i="11"/>
  <c r="O87" i="11"/>
  <c r="O185" i="11"/>
  <c r="O618" i="11"/>
  <c r="O522" i="11"/>
  <c r="O162" i="11"/>
  <c r="O772" i="11"/>
  <c r="O313" i="11"/>
  <c r="O86" i="11"/>
  <c r="O435" i="11"/>
  <c r="O88" i="11"/>
  <c r="O594" i="11"/>
  <c r="O164" i="11"/>
  <c r="O418" i="11"/>
  <c r="O234" i="11"/>
  <c r="O524" i="11"/>
  <c r="O773" i="11"/>
  <c r="O237" i="11"/>
  <c r="O785" i="11"/>
  <c r="O61" i="11"/>
  <c r="O404" i="11"/>
  <c r="O527" i="11"/>
  <c r="O646" i="11"/>
  <c r="O122" i="11"/>
  <c r="O3" i="11"/>
  <c r="O353" i="11"/>
  <c r="O609" i="11"/>
  <c r="O188" i="11"/>
  <c r="O294" i="11"/>
  <c r="O733" i="11"/>
  <c r="O571" i="11"/>
  <c r="O4" i="11"/>
  <c r="O369" i="11"/>
  <c r="O167" i="11"/>
  <c r="O236" i="11"/>
  <c r="O747" i="11"/>
  <c r="O621" i="11"/>
  <c r="O557" i="11"/>
  <c r="O468" i="11"/>
  <c r="O63" i="11"/>
  <c r="O190" i="11"/>
  <c r="O296" i="11"/>
  <c r="O724" i="11"/>
  <c r="O687" i="11"/>
  <c r="O453" i="11"/>
  <c r="O452" i="11"/>
  <c r="O485" i="11"/>
  <c r="O62" i="11"/>
  <c r="O169" i="11"/>
  <c r="O796" i="11"/>
  <c r="O686" i="11"/>
  <c r="O278" i="11"/>
  <c r="O511" i="11"/>
  <c r="O64" i="11"/>
  <c r="O170" i="11"/>
  <c r="O318" i="11"/>
  <c r="O635" i="11"/>
  <c r="O808" i="11"/>
  <c r="O385" i="11"/>
  <c r="O595" i="11"/>
  <c r="O806" i="11"/>
  <c r="O498" i="11"/>
  <c r="O370" i="11"/>
  <c r="O93" i="11"/>
  <c r="O121" i="11"/>
  <c r="O276" i="11"/>
  <c r="O90" i="11"/>
  <c r="O350" i="11"/>
  <c r="O166" i="11"/>
  <c r="O293" i="11"/>
  <c r="O526" i="11"/>
  <c r="O784" i="11"/>
  <c r="O685" i="11"/>
  <c r="O2560" i="11"/>
  <c r="O2555" i="11"/>
  <c r="O2556" i="11"/>
  <c r="O2554" i="11"/>
  <c r="O2558" i="11"/>
  <c r="O2557" i="11"/>
  <c r="O52" i="11"/>
  <c r="O479" i="11"/>
  <c r="O381" i="11"/>
  <c r="O617" i="11"/>
  <c r="O311" i="11"/>
  <c r="O231" i="11"/>
  <c r="O758" i="11"/>
  <c r="O211" i="11"/>
  <c r="O722" i="11"/>
  <c r="O582" i="11"/>
  <c r="O368" i="11"/>
  <c r="O60" i="11"/>
  <c r="O335" i="11"/>
  <c r="O482" i="11"/>
  <c r="O232" i="11"/>
  <c r="O730" i="11"/>
  <c r="O505" i="11"/>
  <c r="O116" i="11"/>
  <c r="O332" i="11"/>
  <c r="O697" i="11"/>
  <c r="O416" i="11"/>
  <c r="O329" i="11"/>
  <c r="O538" i="11"/>
  <c r="O158" i="11"/>
  <c r="O757" i="11"/>
  <c r="O430" i="11"/>
  <c r="O641" i="11"/>
  <c r="O113" i="11"/>
  <c r="O413" i="11"/>
  <c r="O310" i="11"/>
  <c r="O631" i="11"/>
  <c r="O204" i="11"/>
  <c r="O744" i="11"/>
  <c r="O112" i="11"/>
  <c r="O519" i="11"/>
  <c r="O114" i="11"/>
  <c r="O520" i="11"/>
  <c r="O792" i="11"/>
  <c r="O655" i="11"/>
  <c r="O250" i="11"/>
  <c r="O180" i="11"/>
  <c r="O380" i="11"/>
  <c r="O696" i="11"/>
  <c r="O567" i="11"/>
  <c r="O431" i="11"/>
  <c r="O51" i="11"/>
  <c r="O812" i="11"/>
  <c r="O230" i="11"/>
  <c r="O287" i="11"/>
  <c r="O580" i="11"/>
  <c r="O24" i="11"/>
  <c r="O365" i="11"/>
  <c r="O695" i="11"/>
  <c r="O269" i="11"/>
  <c r="O802" i="11"/>
  <c r="O159" i="11"/>
  <c r="O395" i="11"/>
  <c r="O207" i="11"/>
  <c r="O330" i="11"/>
  <c r="O745" i="11"/>
  <c r="O25" i="11"/>
  <c r="O605" i="11"/>
  <c r="O480" i="11"/>
  <c r="O139" i="11"/>
  <c r="O770" i="11"/>
  <c r="O331" i="11"/>
  <c r="O449" i="11"/>
  <c r="O115" i="11"/>
  <c r="O521" i="11"/>
  <c r="O606" i="11"/>
  <c r="O3137" i="11"/>
  <c r="O3134" i="11"/>
  <c r="O740" i="11"/>
  <c r="O575" i="11"/>
  <c r="O389" i="11"/>
  <c r="O130" i="11"/>
  <c r="O321" i="11"/>
  <c r="O637" i="11"/>
  <c r="O13" i="11"/>
  <c r="O100" i="11"/>
  <c r="O513" i="11"/>
  <c r="O749" i="11"/>
  <c r="O358" i="11"/>
  <c r="O218" i="11"/>
  <c r="O341" i="11"/>
  <c r="O598" i="11"/>
  <c r="O599" i="11"/>
  <c r="O559" i="11"/>
  <c r="O194" i="11"/>
  <c r="O407" i="11"/>
  <c r="O12" i="11"/>
  <c r="O701" i="11"/>
  <c r="O260" i="11"/>
  <c r="O676" i="11"/>
  <c r="O422" i="11"/>
  <c r="O67" i="11"/>
  <c r="O512" i="11"/>
  <c r="O748" i="11"/>
  <c r="O217" i="11"/>
  <c r="O299" i="11"/>
  <c r="O3138" i="11"/>
  <c r="O537" i="11"/>
  <c r="O591" i="11"/>
  <c r="O268" i="11"/>
  <c r="O23" i="11"/>
  <c r="O379" i="11"/>
  <c r="O229" i="11"/>
  <c r="O811" i="11"/>
  <c r="O84" i="11"/>
  <c r="O181" i="11"/>
  <c r="O759" i="11"/>
  <c r="O415" i="11"/>
  <c r="O251" i="11"/>
  <c r="O540" i="11"/>
  <c r="O592" i="11"/>
  <c r="O127" i="11"/>
  <c r="O440" i="11"/>
  <c r="O281" i="11"/>
  <c r="O688" i="11"/>
  <c r="O737" i="11"/>
  <c r="O99" i="11"/>
  <c r="O529" i="11"/>
  <c r="O66" i="11"/>
  <c r="O487" i="11"/>
  <c r="O763" i="11"/>
  <c r="O612" i="11"/>
  <c r="O298" i="11"/>
  <c r="O356" i="11"/>
  <c r="O126" i="11"/>
  <c r="O137" i="11"/>
  <c r="O707" i="11"/>
  <c r="O518" i="11"/>
  <c r="O694" i="11"/>
  <c r="O394" i="11"/>
  <c r="O327" i="11"/>
  <c r="O81" i="11"/>
  <c r="O225" i="11"/>
  <c r="O283" i="11"/>
  <c r="O692" i="11"/>
  <c r="O108" i="11"/>
  <c r="O392" i="11"/>
  <c r="O788" i="11"/>
  <c r="O550" i="11"/>
  <c r="O101" i="11"/>
  <c r="O441" i="11"/>
  <c r="O241" i="11"/>
  <c r="O195" i="11"/>
  <c r="O702" i="11"/>
  <c r="O531" i="11"/>
  <c r="O586" i="11"/>
  <c r="O615" i="11"/>
  <c r="O325" i="11"/>
  <c r="O800" i="11"/>
  <c r="O44" i="11"/>
  <c r="O426" i="11"/>
  <c r="O576" i="11"/>
  <c r="O176" i="11"/>
  <c r="O408" i="11"/>
  <c r="O282" i="11"/>
  <c r="O739" i="11"/>
  <c r="O560" i="11"/>
  <c r="O70" i="11"/>
  <c r="O614" i="11"/>
  <c r="O148" i="11"/>
  <c r="O448" i="11"/>
  <c r="O179" i="11"/>
  <c r="O565" i="11"/>
  <c r="O328" i="11"/>
  <c r="O718" i="11"/>
  <c r="O82" i="11"/>
  <c r="O654" i="11"/>
  <c r="O376" i="11"/>
  <c r="O755" i="11"/>
  <c r="O107" i="11"/>
  <c r="O652" i="11"/>
  <c r="O224" i="11"/>
  <c r="O535" i="11"/>
  <c r="O265" i="11"/>
  <c r="O102" i="11"/>
  <c r="O262" i="11"/>
  <c r="O600" i="11"/>
  <c r="O712" i="11"/>
  <c r="O547" i="11"/>
  <c r="O221" i="11"/>
  <c r="O424" i="11"/>
  <c r="O143" i="11"/>
  <c r="O735" i="11"/>
  <c r="O5" i="11"/>
  <c r="O466" i="11"/>
  <c r="O403" i="11"/>
  <c r="O316" i="11"/>
  <c r="O645" i="11"/>
  <c r="O160" i="11"/>
  <c r="O720" i="11"/>
  <c r="O27" i="11"/>
  <c r="O642" i="11"/>
  <c r="O288" i="11"/>
  <c r="O417" i="11"/>
  <c r="O568" i="11"/>
  <c r="O429" i="11"/>
  <c r="O553" i="11"/>
  <c r="O719" i="11"/>
  <c r="O203" i="11"/>
  <c r="O604" i="11"/>
  <c r="O49" i="11"/>
  <c r="O249" i="11"/>
  <c r="O579" i="11"/>
  <c r="O286" i="11"/>
  <c r="O630" i="11"/>
  <c r="O463" i="11"/>
  <c r="O22" i="11"/>
  <c r="O769" i="11"/>
  <c r="O228" i="11"/>
  <c r="O375" i="11"/>
  <c r="O264" i="11"/>
  <c r="O175" i="11"/>
  <c r="O679" i="11"/>
  <c r="O43" i="11"/>
  <c r="O502" i="11"/>
  <c r="O727" i="11"/>
  <c r="O17" i="11"/>
  <c r="O134" i="11"/>
  <c r="O690" i="11"/>
  <c r="O409" i="11"/>
  <c r="O303" i="11"/>
  <c r="O475" i="11"/>
  <c r="O706" i="11"/>
  <c r="O129" i="11"/>
  <c r="O39" i="11"/>
  <c r="O300" i="11"/>
  <c r="O750" i="11"/>
  <c r="O574" i="11"/>
  <c r="O388" i="11"/>
  <c r="O625" i="11"/>
  <c r="O74" i="11"/>
  <c r="O489" i="11"/>
  <c r="O151" i="11"/>
  <c r="O787" i="11"/>
  <c r="O444" i="11"/>
  <c r="O345" i="11"/>
  <c r="O667" i="11"/>
  <c r="O741" i="11"/>
  <c r="O323" i="11"/>
  <c r="O638" i="11"/>
  <c r="O515" i="11"/>
  <c r="O197" i="11"/>
  <c r="O456" i="11"/>
  <c r="O103" i="11"/>
  <c r="O104" i="11"/>
  <c r="O753" i="11"/>
  <c r="O457" i="11"/>
  <c r="O344" i="11"/>
  <c r="O651" i="11"/>
  <c r="O501" i="11"/>
  <c r="O173" i="11"/>
  <c r="O359" i="11"/>
  <c r="O342" i="11"/>
  <c r="O14" i="11"/>
  <c r="O149" i="11"/>
  <c r="O725" i="11"/>
  <c r="O561" i="11"/>
  <c r="O650" i="11"/>
  <c r="O37" i="11"/>
  <c r="O472" i="11"/>
  <c r="O216" i="11"/>
  <c r="O406" i="11"/>
  <c r="O764" i="11"/>
  <c r="O664" i="11"/>
  <c r="O280" i="11"/>
  <c r="O715" i="11"/>
  <c r="O15" i="11"/>
  <c r="O153" i="11"/>
  <c r="O491" i="11"/>
  <c r="O390" i="11"/>
  <c r="O324" i="11"/>
  <c r="O689" i="11"/>
  <c r="O534" i="11"/>
  <c r="O302" i="11"/>
  <c r="O443" i="11"/>
  <c r="O73" i="11"/>
  <c r="O627" i="11"/>
  <c r="O752" i="11"/>
  <c r="O222" i="11"/>
  <c r="O488" i="11"/>
  <c r="O778" i="11"/>
  <c r="O192" i="11"/>
  <c r="O340" i="11"/>
  <c r="O10" i="11"/>
  <c r="O648" i="11"/>
  <c r="O386" i="11"/>
  <c r="O738" i="11"/>
  <c r="O530" i="11"/>
  <c r="O68" i="11"/>
  <c r="O613" i="11"/>
  <c r="O193" i="11"/>
  <c r="O373" i="11"/>
  <c r="O320" i="11"/>
  <c r="O372" i="11"/>
  <c r="O471" i="11"/>
  <c r="O786" i="11"/>
  <c r="O339" i="11"/>
  <c r="O636" i="11"/>
  <c r="O9" i="11"/>
  <c r="O171" i="11"/>
  <c r="O578" i="11"/>
  <c r="O202" i="11"/>
  <c r="O462" i="11"/>
  <c r="O48" i="11"/>
  <c r="O743" i="11"/>
  <c r="O309" i="11"/>
  <c r="O640" i="11"/>
  <c r="O271" i="11"/>
  <c r="O26" i="11"/>
  <c r="O656" i="11"/>
  <c r="O140" i="11"/>
  <c r="O432" i="11"/>
  <c r="O709" i="11"/>
  <c r="O581" i="11"/>
  <c r="O789" i="11"/>
  <c r="O19" i="11"/>
  <c r="O589" i="11"/>
  <c r="O346" i="11"/>
  <c r="O135" i="11"/>
  <c r="O460" i="11"/>
  <c r="O564" i="11"/>
  <c r="O387" i="11"/>
  <c r="O11" i="11"/>
  <c r="O128" i="11"/>
  <c r="O700" i="11"/>
  <c r="O240" i="11"/>
  <c r="O573" i="11"/>
  <c r="O585" i="11"/>
  <c r="O53" i="11"/>
  <c r="O632" i="11"/>
  <c r="O182" i="11"/>
  <c r="O396" i="11"/>
  <c r="O731" i="11"/>
  <c r="O312" i="11"/>
  <c r="O554" i="11"/>
  <c r="O703" i="11"/>
  <c r="O172" i="11"/>
  <c r="O665" i="11"/>
  <c r="O766" i="11"/>
  <c r="O548" i="11"/>
  <c r="O40" i="11"/>
  <c r="O360" i="11"/>
  <c r="O343" i="11"/>
  <c r="O261" i="11"/>
  <c r="O423" i="11"/>
  <c r="O38" i="11"/>
  <c r="O649" i="11"/>
  <c r="O546" i="11"/>
  <c r="O220" i="11"/>
  <c r="O765" i="11"/>
  <c r="O810" i="11"/>
  <c r="O69" i="11"/>
  <c r="O514" i="11"/>
  <c r="O219" i="11"/>
  <c r="O584" i="11"/>
  <c r="O239" i="11"/>
  <c r="O455" i="11"/>
  <c r="O384" i="11"/>
  <c r="O144" i="11"/>
  <c r="O34" i="11"/>
  <c r="O256" i="11"/>
  <c r="O711" i="11"/>
  <c r="O634" i="11"/>
  <c r="O544" i="11"/>
  <c r="O147" i="11"/>
  <c r="O470" i="11"/>
  <c r="O799" i="11"/>
  <c r="O357" i="11"/>
  <c r="O319" i="11"/>
  <c r="O36" i="11"/>
  <c r="O624" i="11"/>
  <c r="O244" i="11"/>
  <c r="O601" i="11"/>
  <c r="O132" i="11"/>
  <c r="O42" i="11"/>
  <c r="O445" i="11"/>
  <c r="O490" i="11"/>
  <c r="O704" i="11"/>
  <c r="O277" i="11"/>
  <c r="O33" i="11"/>
  <c r="O484" i="11"/>
  <c r="O610" i="11"/>
  <c r="O189" i="11"/>
  <c r="O437" i="11"/>
  <c r="O807" i="11"/>
  <c r="O259" i="11"/>
  <c r="O215" i="11"/>
  <c r="O500" i="11"/>
  <c r="O454" i="11"/>
  <c r="O762" i="11"/>
  <c r="O597" i="11"/>
  <c r="O98" i="11"/>
  <c r="O200" i="11"/>
  <c r="O109" i="11"/>
  <c r="O266" i="11"/>
  <c r="O503" i="11"/>
  <c r="O411" i="11"/>
  <c r="O629" i="11"/>
  <c r="O801" i="11"/>
  <c r="O3139" i="11"/>
  <c r="O726" i="11"/>
  <c r="O247" i="11"/>
  <c r="O80" i="11"/>
  <c r="O393" i="11"/>
  <c r="O639" i="11"/>
  <c r="O790" i="11"/>
  <c r="O226" i="11"/>
  <c r="O493" i="11"/>
  <c r="O461" i="11"/>
  <c r="O729" i="11"/>
  <c r="O551" i="11"/>
  <c r="O136" i="11"/>
  <c r="O326" i="11"/>
  <c r="O45" i="11"/>
  <c r="O590" i="11"/>
  <c r="O563" i="11"/>
  <c r="O716" i="11"/>
  <c r="O305" i="11"/>
  <c r="O410" i="11"/>
  <c r="O77" i="11"/>
  <c r="O199" i="11"/>
  <c r="O628" i="11"/>
  <c r="O47" i="11"/>
  <c r="O378" i="11"/>
  <c r="O504" i="11"/>
  <c r="O156" i="11"/>
  <c r="O781" i="11"/>
  <c r="O693" i="11"/>
  <c r="O308" i="11"/>
  <c r="O680" i="11"/>
  <c r="O364" i="11"/>
  <c r="O285" i="11"/>
  <c r="O178" i="11"/>
  <c r="O742" i="11"/>
  <c r="O494" i="11"/>
  <c r="O21" i="11"/>
  <c r="O155" i="11"/>
  <c r="O78" i="11"/>
  <c r="O307" i="11"/>
  <c r="O767" i="11"/>
  <c r="O492" i="11"/>
  <c r="O603" i="11"/>
  <c r="O447" i="11"/>
  <c r="O517" i="11"/>
  <c r="O616" i="11"/>
  <c r="O427" i="11"/>
  <c r="O768" i="11"/>
  <c r="O177" i="11"/>
  <c r="O284" i="11"/>
  <c r="O79" i="11"/>
  <c r="O363" i="11"/>
  <c r="O478" i="11"/>
  <c r="O756" i="11"/>
  <c r="O267" i="11"/>
  <c r="O20" i="11"/>
  <c r="O669" i="11"/>
  <c r="O201" i="11"/>
  <c r="O248" i="11"/>
  <c r="O227" i="11"/>
  <c r="O780" i="11"/>
  <c r="O653" i="11"/>
  <c r="O46" i="11"/>
  <c r="O377" i="11"/>
  <c r="O477" i="11"/>
  <c r="N29" i="11"/>
  <c r="N165" i="11"/>
  <c r="N774" i="11"/>
  <c r="N633" i="11"/>
  <c r="N436" i="11"/>
  <c r="N555" i="11"/>
  <c r="N254" i="11"/>
  <c r="N2" i="11"/>
  <c r="N235" i="11"/>
  <c r="N401" i="11"/>
  <c r="N746" i="11"/>
  <c r="N659" i="11"/>
  <c r="N569" i="11"/>
  <c r="N209" i="11"/>
  <c r="N119" i="11"/>
  <c r="N367" i="11"/>
  <c r="N59" i="11"/>
  <c r="N333" i="11"/>
  <c r="N660" i="11"/>
  <c r="N805" i="11"/>
  <c r="N497" i="11"/>
  <c r="N118" i="11"/>
  <c r="N794" i="11"/>
  <c r="N608" i="11"/>
  <c r="N292" i="11"/>
  <c r="N525" i="11"/>
  <c r="N451" i="11"/>
  <c r="N89" i="11"/>
  <c r="N141" i="11"/>
  <c r="N721" i="11"/>
  <c r="N57" i="11"/>
  <c r="N274" i="11"/>
  <c r="N620" i="11"/>
  <c r="N541" i="11"/>
  <c r="N400" i="11"/>
  <c r="N366" i="11"/>
  <c r="N58" i="11"/>
  <c r="N275" i="11"/>
  <c r="N186" i="11"/>
  <c r="N542" i="11"/>
  <c r="N775" i="11"/>
  <c r="N684" i="11"/>
  <c r="N30" i="11"/>
  <c r="N382" i="11"/>
  <c r="N556" i="11"/>
  <c r="N672" i="11"/>
  <c r="N255" i="11"/>
  <c r="N210" i="11"/>
  <c r="N795" i="11"/>
  <c r="N351" i="11"/>
  <c r="N142" i="11"/>
  <c r="N509" i="11"/>
  <c r="N314" i="11"/>
  <c r="N673" i="11"/>
  <c r="N698" i="11"/>
  <c r="N91" i="11"/>
  <c r="N661" i="11"/>
  <c r="N402" i="11"/>
  <c r="N187" i="11"/>
  <c r="N334" i="11"/>
  <c r="N543" i="11"/>
  <c r="N776" i="11"/>
  <c r="N92" i="11"/>
  <c r="N273" i="11"/>
  <c r="N804" i="11"/>
  <c r="N117" i="11"/>
  <c r="N398" i="11"/>
  <c r="N523" i="11"/>
  <c r="N593" i="11"/>
  <c r="N163" i="11"/>
  <c r="N6" i="11"/>
  <c r="N467" i="11"/>
  <c r="N168" i="11"/>
  <c r="N295" i="11"/>
  <c r="N622" i="11"/>
  <c r="N419" i="11"/>
  <c r="N710" i="11"/>
  <c r="N120" i="11"/>
  <c r="N32" i="11"/>
  <c r="N483" i="11"/>
  <c r="N383" i="11"/>
  <c r="N336" i="11"/>
  <c r="N644" i="11"/>
  <c r="N734" i="11"/>
  <c r="N510" i="11"/>
  <c r="N238" i="11"/>
  <c r="N699" i="11"/>
  <c r="N420" i="11"/>
  <c r="N662" i="11"/>
  <c r="N123" i="11"/>
  <c r="N94" i="11"/>
  <c r="N95" i="11"/>
  <c r="N257" i="11"/>
  <c r="N760" i="11"/>
  <c r="N572" i="11"/>
  <c r="N438" i="11"/>
  <c r="N674" i="11"/>
  <c r="N145" i="11"/>
  <c r="N352" i="11"/>
  <c r="N31" i="11"/>
  <c r="N315" i="11"/>
  <c r="N723" i="11"/>
  <c r="N570" i="11"/>
  <c r="N212" i="11"/>
  <c r="N583" i="11"/>
  <c r="N7" i="11"/>
  <c r="N3140" i="11"/>
  <c r="N3136" i="11"/>
  <c r="N8" i="11"/>
  <c r="N486" i="11"/>
  <c r="N421" i="11"/>
  <c r="N337" i="11"/>
  <c r="N663" i="11"/>
  <c r="N214" i="11"/>
  <c r="N761" i="11"/>
  <c r="N35" i="11"/>
  <c r="N499" i="11"/>
  <c r="N191" i="11"/>
  <c r="N405" i="11"/>
  <c r="N338" i="11"/>
  <c r="N647" i="11"/>
  <c r="N736" i="11"/>
  <c r="N146" i="11"/>
  <c r="N96" i="11"/>
  <c r="N297" i="11"/>
  <c r="N623" i="11"/>
  <c r="N528" i="11"/>
  <c r="N371" i="11"/>
  <c r="N797" i="11"/>
  <c r="N124" i="11"/>
  <c r="N97" i="11"/>
  <c r="N354" i="11"/>
  <c r="N611" i="11"/>
  <c r="N545" i="11"/>
  <c r="N279" i="11"/>
  <c r="N798" i="11"/>
  <c r="N125" i="11"/>
  <c r="N355" i="11"/>
  <c r="N258" i="11"/>
  <c r="N596" i="11"/>
  <c r="N65" i="11"/>
  <c r="N558" i="11"/>
  <c r="N809" i="11"/>
  <c r="N196" i="11"/>
  <c r="N666" i="11"/>
  <c r="N713" i="11"/>
  <c r="N532" i="11"/>
  <c r="N374" i="11"/>
  <c r="N322" i="11"/>
  <c r="N71" i="11"/>
  <c r="N588" i="11"/>
  <c r="N16" i="11"/>
  <c r="N705" i="11"/>
  <c r="N133" i="11"/>
  <c r="N474" i="11"/>
  <c r="N361" i="11"/>
  <c r="N245" i="11"/>
  <c r="N714" i="11"/>
  <c r="N198" i="11"/>
  <c r="N246" i="11"/>
  <c r="N362" i="11"/>
  <c r="N668" i="11"/>
  <c r="N728" i="11"/>
  <c r="N76" i="11"/>
  <c r="N516" i="11"/>
  <c r="N106" i="11"/>
  <c r="N691" i="11"/>
  <c r="N391" i="11"/>
  <c r="N476" i="11"/>
  <c r="N304" i="11"/>
  <c r="N754" i="11"/>
  <c r="N223" i="11"/>
  <c r="N577" i="11"/>
  <c r="N602" i="11"/>
  <c r="N154" i="11"/>
  <c r="N446" i="11"/>
  <c r="N306" i="11"/>
  <c r="N18" i="11"/>
  <c r="N779" i="11"/>
  <c r="N717" i="11"/>
  <c r="N110" i="11"/>
  <c r="N681" i="11"/>
  <c r="N347" i="11"/>
  <c r="N412" i="11"/>
  <c r="N138" i="11"/>
  <c r="N536" i="11"/>
  <c r="N670" i="11"/>
  <c r="N791" i="11"/>
  <c r="N111" i="11"/>
  <c r="N157" i="11"/>
  <c r="N428" i="11"/>
  <c r="N348" i="11"/>
  <c r="N552" i="11"/>
  <c r="N349" i="11"/>
  <c r="N566" i="11"/>
  <c r="N50" i="11"/>
  <c r="N205" i="11"/>
  <c r="N782" i="11"/>
  <c r="N464" i="11"/>
  <c r="N671" i="11"/>
  <c r="N206" i="11"/>
  <c r="N83" i="11"/>
  <c r="N682" i="11"/>
  <c r="N539" i="11"/>
  <c r="N414" i="11"/>
  <c r="N708" i="11"/>
  <c r="N270" i="11"/>
  <c r="N683" i="11"/>
  <c r="N272" i="11"/>
  <c r="N495" i="11"/>
  <c r="N85" i="11"/>
  <c r="N208" i="11"/>
  <c r="N783" i="11"/>
  <c r="N433" i="11"/>
  <c r="N465" i="11"/>
  <c r="N28" i="11"/>
  <c r="N657" i="11"/>
  <c r="N161" i="11"/>
  <c r="N803" i="11"/>
  <c r="N481" i="11"/>
  <c r="N253" i="11"/>
  <c r="N607" i="11"/>
  <c r="N496" i="11"/>
  <c r="N252" i="11"/>
  <c r="N183" i="11"/>
  <c r="N54" i="11"/>
  <c r="N434" i="11"/>
  <c r="N793" i="11"/>
  <c r="N233" i="11"/>
  <c r="N813" i="11"/>
  <c r="N56" i="11"/>
  <c r="N290" i="11"/>
  <c r="N643" i="11"/>
  <c r="N450" i="11"/>
  <c r="N507" i="11"/>
  <c r="N619" i="11"/>
  <c r="N291" i="11"/>
  <c r="N508" i="11"/>
  <c r="N732" i="11"/>
  <c r="N399" i="11"/>
  <c r="N87" i="11"/>
  <c r="N185" i="11"/>
  <c r="N618" i="11"/>
  <c r="N522" i="11"/>
  <c r="N162" i="11"/>
  <c r="N772" i="11"/>
  <c r="N313" i="11"/>
  <c r="N86" i="11"/>
  <c r="N435" i="11"/>
  <c r="N88" i="11"/>
  <c r="N594" i="11"/>
  <c r="N164" i="11"/>
  <c r="N418" i="11"/>
  <c r="N234" i="11"/>
  <c r="N524" i="11"/>
  <c r="N773" i="11"/>
  <c r="N237" i="11"/>
  <c r="N785" i="11"/>
  <c r="N61" i="11"/>
  <c r="N404" i="11"/>
  <c r="N527" i="11"/>
  <c r="N646" i="11"/>
  <c r="N122" i="11"/>
  <c r="N3" i="11"/>
  <c r="N353" i="11"/>
  <c r="N609" i="11"/>
  <c r="N188" i="11"/>
  <c r="N294" i="11"/>
  <c r="N733" i="11"/>
  <c r="N571" i="11"/>
  <c r="N4" i="11"/>
  <c r="N369" i="11"/>
  <c r="N167" i="11"/>
  <c r="N236" i="11"/>
  <c r="N747" i="11"/>
  <c r="N621" i="11"/>
  <c r="N557" i="11"/>
  <c r="N468" i="11"/>
  <c r="N63" i="11"/>
  <c r="N190" i="11"/>
  <c r="N296" i="11"/>
  <c r="N724" i="11"/>
  <c r="N687" i="11"/>
  <c r="N453" i="11"/>
  <c r="N452" i="11"/>
  <c r="N485" i="11"/>
  <c r="N62" i="11"/>
  <c r="N169" i="11"/>
  <c r="N796" i="11"/>
  <c r="N686" i="11"/>
  <c r="N278" i="11"/>
  <c r="N511" i="11"/>
  <c r="N64" i="11"/>
  <c r="N170" i="11"/>
  <c r="N318" i="11"/>
  <c r="N635" i="11"/>
  <c r="N808" i="11"/>
  <c r="N385" i="11"/>
  <c r="N595" i="11"/>
  <c r="N806" i="11"/>
  <c r="N498" i="11"/>
  <c r="N370" i="11"/>
  <c r="N93" i="11"/>
  <c r="N121" i="11"/>
  <c r="N276" i="11"/>
  <c r="N90" i="11"/>
  <c r="N350" i="11"/>
  <c r="N166" i="11"/>
  <c r="N293" i="11"/>
  <c r="N526" i="11"/>
  <c r="N784" i="11"/>
  <c r="N685" i="11"/>
  <c r="N2560" i="11"/>
  <c r="N2555" i="11"/>
  <c r="N2556" i="11"/>
  <c r="N2554" i="11"/>
  <c r="N2558" i="11"/>
  <c r="N2557" i="11"/>
  <c r="N52" i="11"/>
  <c r="N479" i="11"/>
  <c r="N381" i="11"/>
  <c r="N617" i="11"/>
  <c r="N311" i="11"/>
  <c r="N231" i="11"/>
  <c r="N758" i="11"/>
  <c r="N211" i="11"/>
  <c r="N722" i="11"/>
  <c r="N582" i="11"/>
  <c r="N368" i="11"/>
  <c r="N60" i="11"/>
  <c r="N335" i="11"/>
  <c r="N482" i="11"/>
  <c r="N232" i="11"/>
  <c r="N730" i="11"/>
  <c r="N505" i="11"/>
  <c r="N116" i="11"/>
  <c r="N332" i="11"/>
  <c r="N697" i="11"/>
  <c r="N416" i="11"/>
  <c r="N329" i="11"/>
  <c r="N538" i="11"/>
  <c r="N158" i="11"/>
  <c r="N757" i="11"/>
  <c r="N430" i="11"/>
  <c r="N641" i="11"/>
  <c r="N113" i="11"/>
  <c r="N413" i="11"/>
  <c r="N310" i="11"/>
  <c r="N631" i="11"/>
  <c r="N204" i="11"/>
  <c r="N744" i="11"/>
  <c r="N112" i="11"/>
  <c r="N519" i="11"/>
  <c r="N114" i="11"/>
  <c r="N520" i="11"/>
  <c r="N792" i="11"/>
  <c r="N655" i="11"/>
  <c r="N250" i="11"/>
  <c r="N180" i="11"/>
  <c r="N380" i="11"/>
  <c r="N696" i="11"/>
  <c r="N567" i="11"/>
  <c r="N431" i="11"/>
  <c r="N51" i="11"/>
  <c r="N812" i="11"/>
  <c r="N230" i="11"/>
  <c r="N287" i="11"/>
  <c r="N580" i="11"/>
  <c r="N24" i="11"/>
  <c r="N365" i="11"/>
  <c r="N695" i="11"/>
  <c r="N269" i="11"/>
  <c r="N802" i="11"/>
  <c r="N159" i="11"/>
  <c r="N395" i="11"/>
  <c r="N207" i="11"/>
  <c r="N330" i="11"/>
  <c r="N745" i="11"/>
  <c r="N25" i="11"/>
  <c r="N605" i="11"/>
  <c r="N480" i="11"/>
  <c r="N139" i="11"/>
  <c r="N770" i="11"/>
  <c r="N331" i="11"/>
  <c r="N449" i="11"/>
  <c r="N115" i="11"/>
  <c r="N521" i="11"/>
  <c r="N606" i="11"/>
  <c r="N3137" i="11"/>
  <c r="N3134" i="11"/>
  <c r="N740" i="11"/>
  <c r="N575" i="11"/>
  <c r="N389" i="11"/>
  <c r="N130" i="11"/>
  <c r="N321" i="11"/>
  <c r="N637" i="11"/>
  <c r="N13" i="11"/>
  <c r="N100" i="11"/>
  <c r="N513" i="11"/>
  <c r="N749" i="11"/>
  <c r="N358" i="11"/>
  <c r="N218" i="11"/>
  <c r="N341" i="11"/>
  <c r="N598" i="11"/>
  <c r="N599" i="11"/>
  <c r="N559" i="11"/>
  <c r="N194" i="11"/>
  <c r="N407" i="11"/>
  <c r="N12" i="11"/>
  <c r="N701" i="11"/>
  <c r="N260" i="11"/>
  <c r="N676" i="11"/>
  <c r="N422" i="11"/>
  <c r="N67" i="11"/>
  <c r="N512" i="11"/>
  <c r="N748" i="11"/>
  <c r="N217" i="11"/>
  <c r="N299" i="11"/>
  <c r="N3138" i="11"/>
  <c r="N537" i="11"/>
  <c r="N591" i="11"/>
  <c r="N268" i="11"/>
  <c r="N23" i="11"/>
  <c r="N379" i="11"/>
  <c r="N229" i="11"/>
  <c r="N811" i="11"/>
  <c r="N84" i="11"/>
  <c r="N181" i="11"/>
  <c r="N759" i="11"/>
  <c r="N415" i="11"/>
  <c r="N251" i="11"/>
  <c r="N540" i="11"/>
  <c r="N592" i="11"/>
  <c r="N127" i="11"/>
  <c r="N440" i="11"/>
  <c r="N281" i="11"/>
  <c r="N688" i="11"/>
  <c r="N737" i="11"/>
  <c r="N99" i="11"/>
  <c r="N529" i="11"/>
  <c r="N66" i="11"/>
  <c r="N487" i="11"/>
  <c r="N763" i="11"/>
  <c r="N612" i="11"/>
  <c r="N298" i="11"/>
  <c r="N356" i="11"/>
  <c r="N126" i="11"/>
  <c r="N137" i="11"/>
  <c r="N707" i="11"/>
  <c r="N518" i="11"/>
  <c r="N694" i="11"/>
  <c r="N394" i="11"/>
  <c r="N327" i="11"/>
  <c r="N81" i="11"/>
  <c r="N225" i="11"/>
  <c r="N283" i="11"/>
  <c r="N692" i="11"/>
  <c r="N108" i="11"/>
  <c r="N392" i="11"/>
  <c r="N788" i="11"/>
  <c r="N550" i="11"/>
  <c r="N101" i="11"/>
  <c r="N441" i="11"/>
  <c r="N241" i="11"/>
  <c r="N195" i="11"/>
  <c r="N702" i="11"/>
  <c r="N531" i="11"/>
  <c r="N586" i="11"/>
  <c r="N615" i="11"/>
  <c r="N325" i="11"/>
  <c r="N800" i="11"/>
  <c r="N44" i="11"/>
  <c r="N426" i="11"/>
  <c r="N576" i="11"/>
  <c r="N176" i="11"/>
  <c r="N408" i="11"/>
  <c r="N282" i="11"/>
  <c r="N739" i="11"/>
  <c r="N560" i="11"/>
  <c r="N70" i="11"/>
  <c r="N614" i="11"/>
  <c r="N148" i="11"/>
  <c r="N448" i="11"/>
  <c r="N179" i="11"/>
  <c r="N565" i="11"/>
  <c r="N328" i="11"/>
  <c r="N718" i="11"/>
  <c r="N82" i="11"/>
  <c r="N654" i="11"/>
  <c r="N376" i="11"/>
  <c r="N755" i="11"/>
  <c r="N107" i="11"/>
  <c r="N652" i="11"/>
  <c r="N224" i="11"/>
  <c r="N535" i="11"/>
  <c r="N265" i="11"/>
  <c r="N102" i="11"/>
  <c r="N262" i="11"/>
  <c r="N600" i="11"/>
  <c r="N712" i="11"/>
  <c r="N547" i="11"/>
  <c r="N221" i="11"/>
  <c r="N424" i="11"/>
  <c r="N143" i="11"/>
  <c r="N735" i="11"/>
  <c r="N5" i="11"/>
  <c r="N466" i="11"/>
  <c r="N403" i="11"/>
  <c r="N316" i="11"/>
  <c r="N645" i="11"/>
  <c r="N160" i="11"/>
  <c r="N720" i="11"/>
  <c r="N27" i="11"/>
  <c r="N642" i="11"/>
  <c r="N288" i="11"/>
  <c r="N417" i="11"/>
  <c r="N568" i="11"/>
  <c r="N429" i="11"/>
  <c r="N553" i="11"/>
  <c r="N719" i="11"/>
  <c r="N203" i="11"/>
  <c r="N604" i="11"/>
  <c r="N49" i="11"/>
  <c r="N249" i="11"/>
  <c r="N579" i="11"/>
  <c r="N286" i="11"/>
  <c r="N630" i="11"/>
  <c r="N463" i="11"/>
  <c r="N22" i="11"/>
  <c r="N769" i="11"/>
  <c r="N228" i="11"/>
  <c r="N375" i="11"/>
  <c r="N264" i="11"/>
  <c r="N175" i="11"/>
  <c r="N679" i="11"/>
  <c r="N43" i="11"/>
  <c r="N502" i="11"/>
  <c r="N727" i="11"/>
  <c r="N17" i="11"/>
  <c r="N134" i="11"/>
  <c r="N690" i="11"/>
  <c r="N409" i="11"/>
  <c r="N303" i="11"/>
  <c r="N475" i="11"/>
  <c r="N706" i="11"/>
  <c r="N129" i="11"/>
  <c r="N39" i="11"/>
  <c r="N300" i="11"/>
  <c r="N750" i="11"/>
  <c r="N574" i="11"/>
  <c r="N388" i="11"/>
  <c r="N625" i="11"/>
  <c r="N74" i="11"/>
  <c r="N489" i="11"/>
  <c r="N151" i="11"/>
  <c r="N787" i="11"/>
  <c r="N444" i="11"/>
  <c r="N345" i="11"/>
  <c r="N667" i="11"/>
  <c r="N741" i="11"/>
  <c r="N323" i="11"/>
  <c r="N638" i="11"/>
  <c r="N515" i="11"/>
  <c r="N197" i="11"/>
  <c r="N456" i="11"/>
  <c r="N103" i="11"/>
  <c r="N104" i="11"/>
  <c r="N753" i="11"/>
  <c r="N457" i="11"/>
  <c r="N344" i="11"/>
  <c r="N651" i="11"/>
  <c r="N501" i="11"/>
  <c r="N173" i="11"/>
  <c r="N359" i="11"/>
  <c r="N342" i="11"/>
  <c r="N14" i="11"/>
  <c r="N149" i="11"/>
  <c r="N725" i="11"/>
  <c r="N561" i="11"/>
  <c r="N650" i="11"/>
  <c r="N37" i="11"/>
  <c r="N472" i="11"/>
  <c r="N216" i="11"/>
  <c r="N406" i="11"/>
  <c r="N764" i="11"/>
  <c r="N664" i="11"/>
  <c r="N280" i="11"/>
  <c r="N715" i="11"/>
  <c r="N15" i="11"/>
  <c r="N153" i="11"/>
  <c r="N491" i="11"/>
  <c r="N390" i="11"/>
  <c r="N324" i="11"/>
  <c r="N689" i="11"/>
  <c r="N534" i="11"/>
  <c r="N302" i="11"/>
  <c r="N443" i="11"/>
  <c r="N73" i="11"/>
  <c r="N627" i="11"/>
  <c r="N752" i="11"/>
  <c r="N222" i="11"/>
  <c r="N488" i="11"/>
  <c r="N778" i="11"/>
  <c r="N192" i="11"/>
  <c r="N340" i="11"/>
  <c r="N10" i="11"/>
  <c r="N648" i="11"/>
  <c r="N386" i="11"/>
  <c r="N738" i="11"/>
  <c r="N530" i="11"/>
  <c r="N68" i="11"/>
  <c r="N613" i="11"/>
  <c r="N193" i="11"/>
  <c r="N373" i="11"/>
  <c r="N320" i="11"/>
  <c r="N372" i="11"/>
  <c r="N471" i="11"/>
  <c r="N786" i="11"/>
  <c r="N339" i="11"/>
  <c r="N636" i="11"/>
  <c r="N9" i="11"/>
  <c r="N171" i="11"/>
  <c r="N578" i="11"/>
  <c r="N202" i="11"/>
  <c r="N462" i="11"/>
  <c r="N48" i="11"/>
  <c r="N743" i="11"/>
  <c r="N309" i="11"/>
  <c r="N640" i="11"/>
  <c r="N271" i="11"/>
  <c r="N26" i="11"/>
  <c r="N656" i="11"/>
  <c r="N140" i="11"/>
  <c r="N432" i="11"/>
  <c r="N709" i="11"/>
  <c r="N581" i="11"/>
  <c r="N789" i="11"/>
  <c r="N19" i="11"/>
  <c r="N589" i="11"/>
  <c r="N346" i="11"/>
  <c r="N135" i="11"/>
  <c r="N460" i="11"/>
  <c r="N564" i="11"/>
  <c r="N387" i="11"/>
  <c r="N11" i="11"/>
  <c r="N128" i="11"/>
  <c r="N700" i="11"/>
  <c r="N240" i="11"/>
  <c r="N573" i="11"/>
  <c r="N585" i="11"/>
  <c r="N53" i="11"/>
  <c r="N632" i="11"/>
  <c r="N182" i="11"/>
  <c r="N396" i="11"/>
  <c r="N731" i="11"/>
  <c r="N312" i="11"/>
  <c r="N554" i="11"/>
  <c r="N703" i="11"/>
  <c r="N172" i="11"/>
  <c r="N665" i="11"/>
  <c r="N766" i="11"/>
  <c r="N548" i="11"/>
  <c r="N40" i="11"/>
  <c r="N360" i="11"/>
  <c r="N343" i="11"/>
  <c r="N261" i="11"/>
  <c r="N423" i="11"/>
  <c r="N38" i="11"/>
  <c r="N649" i="11"/>
  <c r="N546" i="11"/>
  <c r="N220" i="11"/>
  <c r="N765" i="11"/>
  <c r="N810" i="11"/>
  <c r="N69" i="11"/>
  <c r="N514" i="11"/>
  <c r="N219" i="11"/>
  <c r="N584" i="11"/>
  <c r="N239" i="11"/>
  <c r="N455" i="11"/>
  <c r="N384" i="11"/>
  <c r="N144" i="11"/>
  <c r="N34" i="11"/>
  <c r="N256" i="11"/>
  <c r="N711" i="11"/>
  <c r="N634" i="11"/>
  <c r="N544" i="11"/>
  <c r="N147" i="11"/>
  <c r="N470" i="11"/>
  <c r="N799" i="11"/>
  <c r="N357" i="11"/>
  <c r="N319" i="11"/>
  <c r="N36" i="11"/>
  <c r="N624" i="11"/>
  <c r="N244" i="11"/>
  <c r="N601" i="11"/>
  <c r="N132" i="11"/>
  <c r="N42" i="11"/>
  <c r="N445" i="11"/>
  <c r="N490" i="11"/>
  <c r="N704" i="11"/>
  <c r="N277" i="11"/>
  <c r="N33" i="11"/>
  <c r="N484" i="11"/>
  <c r="N610" i="11"/>
  <c r="N189" i="11"/>
  <c r="N437" i="11"/>
  <c r="N807" i="11"/>
  <c r="N259" i="11"/>
  <c r="N215" i="11"/>
  <c r="N500" i="11"/>
  <c r="N454" i="11"/>
  <c r="N762" i="11"/>
  <c r="N597" i="11"/>
  <c r="N98" i="11"/>
  <c r="N200" i="11"/>
  <c r="N109" i="11"/>
  <c r="N266" i="11"/>
  <c r="N503" i="11"/>
  <c r="N411" i="11"/>
  <c r="N629" i="11"/>
  <c r="N801" i="11"/>
  <c r="N3139" i="11"/>
  <c r="N726" i="11"/>
  <c r="N247" i="11"/>
  <c r="N80" i="11"/>
  <c r="N393" i="11"/>
  <c r="N639" i="11"/>
  <c r="N790" i="11"/>
  <c r="N226" i="11"/>
  <c r="N493" i="11"/>
  <c r="N461" i="11"/>
  <c r="N729" i="11"/>
  <c r="N551" i="11"/>
  <c r="N136" i="11"/>
  <c r="N326" i="11"/>
  <c r="N45" i="11"/>
  <c r="N590" i="11"/>
  <c r="N563" i="11"/>
  <c r="N716" i="11"/>
  <c r="N305" i="11"/>
  <c r="N410" i="11"/>
  <c r="N77" i="11"/>
  <c r="N199" i="11"/>
  <c r="N628" i="11"/>
  <c r="N47" i="11"/>
  <c r="N378" i="11"/>
  <c r="N504" i="11"/>
  <c r="N156" i="11"/>
  <c r="N781" i="11"/>
  <c r="N693" i="11"/>
  <c r="N308" i="11"/>
  <c r="N680" i="11"/>
  <c r="N364" i="11"/>
  <c r="N285" i="11"/>
  <c r="N178" i="11"/>
  <c r="N742" i="11"/>
  <c r="N494" i="11"/>
  <c r="N21" i="11"/>
  <c r="N155" i="11"/>
  <c r="N78" i="11"/>
  <c r="N307" i="11"/>
  <c r="N767" i="11"/>
  <c r="N492" i="11"/>
  <c r="N603" i="11"/>
  <c r="N447" i="11"/>
  <c r="N517" i="11"/>
  <c r="N616" i="11"/>
  <c r="N427" i="11"/>
  <c r="N768" i="11"/>
  <c r="N177" i="11"/>
  <c r="N284" i="11"/>
  <c r="N79" i="11"/>
  <c r="N363" i="11"/>
  <c r="N478" i="11"/>
  <c r="N756" i="11"/>
  <c r="N267" i="11"/>
  <c r="N20" i="11"/>
  <c r="N669" i="11"/>
  <c r="N201" i="11"/>
  <c r="N248" i="11"/>
  <c r="N227" i="11"/>
  <c r="N780" i="11"/>
  <c r="N653" i="11"/>
  <c r="N46" i="11"/>
  <c r="N377" i="11"/>
  <c r="N477" i="11"/>
  <c r="M29" i="11"/>
  <c r="M165" i="11"/>
  <c r="M774" i="11"/>
  <c r="M633" i="11"/>
  <c r="M436" i="11"/>
  <c r="M555" i="11"/>
  <c r="M254" i="11"/>
  <c r="M2" i="11"/>
  <c r="M235" i="11"/>
  <c r="M401" i="11"/>
  <c r="M746" i="11"/>
  <c r="M659" i="11"/>
  <c r="M569" i="11"/>
  <c r="M209" i="11"/>
  <c r="M119" i="11"/>
  <c r="M367" i="11"/>
  <c r="M59" i="11"/>
  <c r="M333" i="11"/>
  <c r="M660" i="11"/>
  <c r="M805" i="11"/>
  <c r="M497" i="11"/>
  <c r="M118" i="11"/>
  <c r="M794" i="11"/>
  <c r="M608" i="11"/>
  <c r="M292" i="11"/>
  <c r="M525" i="11"/>
  <c r="M451" i="11"/>
  <c r="M89" i="11"/>
  <c r="M141" i="11"/>
  <c r="M721" i="11"/>
  <c r="M57" i="11"/>
  <c r="M274" i="11"/>
  <c r="M620" i="11"/>
  <c r="M541" i="11"/>
  <c r="M400" i="11"/>
  <c r="M366" i="11"/>
  <c r="M58" i="11"/>
  <c r="M275" i="11"/>
  <c r="M186" i="11"/>
  <c r="M542" i="11"/>
  <c r="M775" i="11"/>
  <c r="M684" i="11"/>
  <c r="M30" i="11"/>
  <c r="M382" i="11"/>
  <c r="M556" i="11"/>
  <c r="M672" i="11"/>
  <c r="M255" i="11"/>
  <c r="M210" i="11"/>
  <c r="M795" i="11"/>
  <c r="M351" i="11"/>
  <c r="M142" i="11"/>
  <c r="M509" i="11"/>
  <c r="M314" i="11"/>
  <c r="M673" i="11"/>
  <c r="M698" i="11"/>
  <c r="M91" i="11"/>
  <c r="M661" i="11"/>
  <c r="M402" i="11"/>
  <c r="M187" i="11"/>
  <c r="M334" i="11"/>
  <c r="M543" i="11"/>
  <c r="M776" i="11"/>
  <c r="M92" i="11"/>
  <c r="M273" i="11"/>
  <c r="M804" i="11"/>
  <c r="M117" i="11"/>
  <c r="M398" i="11"/>
  <c r="M523" i="11"/>
  <c r="M593" i="11"/>
  <c r="M163" i="11"/>
  <c r="M6" i="11"/>
  <c r="M467" i="11"/>
  <c r="M168" i="11"/>
  <c r="M295" i="11"/>
  <c r="M622" i="11"/>
  <c r="M419" i="11"/>
  <c r="M710" i="11"/>
  <c r="M120" i="11"/>
  <c r="M32" i="11"/>
  <c r="M483" i="11"/>
  <c r="M383" i="11"/>
  <c r="M336" i="11"/>
  <c r="M644" i="11"/>
  <c r="M734" i="11"/>
  <c r="M510" i="11"/>
  <c r="M238" i="11"/>
  <c r="M699" i="11"/>
  <c r="M420" i="11"/>
  <c r="M662" i="11"/>
  <c r="M123" i="11"/>
  <c r="M94" i="11"/>
  <c r="M95" i="11"/>
  <c r="M257" i="11"/>
  <c r="M760" i="11"/>
  <c r="M572" i="11"/>
  <c r="M438" i="11"/>
  <c r="M674" i="11"/>
  <c r="M145" i="11"/>
  <c r="M352" i="11"/>
  <c r="M31" i="11"/>
  <c r="M315" i="11"/>
  <c r="M723" i="11"/>
  <c r="M570" i="11"/>
  <c r="M212" i="11"/>
  <c r="M583" i="11"/>
  <c r="M7" i="11"/>
  <c r="M3140" i="11"/>
  <c r="M3136" i="11"/>
  <c r="M8" i="11"/>
  <c r="M486" i="11"/>
  <c r="M421" i="11"/>
  <c r="M337" i="11"/>
  <c r="M663" i="11"/>
  <c r="M214" i="11"/>
  <c r="M761" i="11"/>
  <c r="M35" i="11"/>
  <c r="M499" i="11"/>
  <c r="M191" i="11"/>
  <c r="M405" i="11"/>
  <c r="M338" i="11"/>
  <c r="M647" i="11"/>
  <c r="M736" i="11"/>
  <c r="M146" i="11"/>
  <c r="M96" i="11"/>
  <c r="M297" i="11"/>
  <c r="M623" i="11"/>
  <c r="M528" i="11"/>
  <c r="M371" i="11"/>
  <c r="M797" i="11"/>
  <c r="M124" i="11"/>
  <c r="M97" i="11"/>
  <c r="M354" i="11"/>
  <c r="M611" i="11"/>
  <c r="M545" i="11"/>
  <c r="M279" i="11"/>
  <c r="M798" i="11"/>
  <c r="M125" i="11"/>
  <c r="M355" i="11"/>
  <c r="M258" i="11"/>
  <c r="M596" i="11"/>
  <c r="M65" i="11"/>
  <c r="M558" i="11"/>
  <c r="M809" i="11"/>
  <c r="M196" i="11"/>
  <c r="M666" i="11"/>
  <c r="M713" i="11"/>
  <c r="M532" i="11"/>
  <c r="M374" i="11"/>
  <c r="M322" i="11"/>
  <c r="M71" i="11"/>
  <c r="M588" i="11"/>
  <c r="M16" i="11"/>
  <c r="M705" i="11"/>
  <c r="M133" i="11"/>
  <c r="M474" i="11"/>
  <c r="M361" i="11"/>
  <c r="M245" i="11"/>
  <c r="M714" i="11"/>
  <c r="M198" i="11"/>
  <c r="M246" i="11"/>
  <c r="M362" i="11"/>
  <c r="M668" i="11"/>
  <c r="M728" i="11"/>
  <c r="M76" i="11"/>
  <c r="M516" i="11"/>
  <c r="M106" i="11"/>
  <c r="M691" i="11"/>
  <c r="M391" i="11"/>
  <c r="M476" i="11"/>
  <c r="M304" i="11"/>
  <c r="M754" i="11"/>
  <c r="M223" i="11"/>
  <c r="M577" i="11"/>
  <c r="M602" i="11"/>
  <c r="M154" i="11"/>
  <c r="M446" i="11"/>
  <c r="M306" i="11"/>
  <c r="M18" i="11"/>
  <c r="M779" i="11"/>
  <c r="M717" i="11"/>
  <c r="M110" i="11"/>
  <c r="M681" i="11"/>
  <c r="M347" i="11"/>
  <c r="M412" i="11"/>
  <c r="M138" i="11"/>
  <c r="M536" i="11"/>
  <c r="M670" i="11"/>
  <c r="M791" i="11"/>
  <c r="M111" i="11"/>
  <c r="M157" i="11"/>
  <c r="M428" i="11"/>
  <c r="M348" i="11"/>
  <c r="M552" i="11"/>
  <c r="M349" i="11"/>
  <c r="M566" i="11"/>
  <c r="M50" i="11"/>
  <c r="M205" i="11"/>
  <c r="M782" i="11"/>
  <c r="M464" i="11"/>
  <c r="M671" i="11"/>
  <c r="M206" i="11"/>
  <c r="M83" i="11"/>
  <c r="M682" i="11"/>
  <c r="M539" i="11"/>
  <c r="M414" i="11"/>
  <c r="M708" i="11"/>
  <c r="M270" i="11"/>
  <c r="M683" i="11"/>
  <c r="M272" i="11"/>
  <c r="M495" i="11"/>
  <c r="M85" i="11"/>
  <c r="M208" i="11"/>
  <c r="M783" i="11"/>
  <c r="M433" i="11"/>
  <c r="M465" i="11"/>
  <c r="M28" i="11"/>
  <c r="M657" i="11"/>
  <c r="M161" i="11"/>
  <c r="M803" i="11"/>
  <c r="M481" i="11"/>
  <c r="M253" i="11"/>
  <c r="M607" i="11"/>
  <c r="M496" i="11"/>
  <c r="M252" i="11"/>
  <c r="M183" i="11"/>
  <c r="M54" i="11"/>
  <c r="M434" i="11"/>
  <c r="M793" i="11"/>
  <c r="M233" i="11"/>
  <c r="M813" i="11"/>
  <c r="M56" i="11"/>
  <c r="M290" i="11"/>
  <c r="M643" i="11"/>
  <c r="M450" i="11"/>
  <c r="M507" i="11"/>
  <c r="M619" i="11"/>
  <c r="M291" i="11"/>
  <c r="M508" i="11"/>
  <c r="M732" i="11"/>
  <c r="M399" i="11"/>
  <c r="M87" i="11"/>
  <c r="M185" i="11"/>
  <c r="M618" i="11"/>
  <c r="M522" i="11"/>
  <c r="M162" i="11"/>
  <c r="M772" i="11"/>
  <c r="M313" i="11"/>
  <c r="M86" i="11"/>
  <c r="M435" i="11"/>
  <c r="M88" i="11"/>
  <c r="M594" i="11"/>
  <c r="M164" i="11"/>
  <c r="M418" i="11"/>
  <c r="M234" i="11"/>
  <c r="M524" i="11"/>
  <c r="M773" i="11"/>
  <c r="M237" i="11"/>
  <c r="M785" i="11"/>
  <c r="M61" i="11"/>
  <c r="M404" i="11"/>
  <c r="M527" i="11"/>
  <c r="M646" i="11"/>
  <c r="M122" i="11"/>
  <c r="M3" i="11"/>
  <c r="M353" i="11"/>
  <c r="M609" i="11"/>
  <c r="M188" i="11"/>
  <c r="M294" i="11"/>
  <c r="M733" i="11"/>
  <c r="M571" i="11"/>
  <c r="M4" i="11"/>
  <c r="M369" i="11"/>
  <c r="M167" i="11"/>
  <c r="M236" i="11"/>
  <c r="M747" i="11"/>
  <c r="M621" i="11"/>
  <c r="M557" i="11"/>
  <c r="M468" i="11"/>
  <c r="M63" i="11"/>
  <c r="M190" i="11"/>
  <c r="M296" i="11"/>
  <c r="M724" i="11"/>
  <c r="M687" i="11"/>
  <c r="M453" i="11"/>
  <c r="M452" i="11"/>
  <c r="M485" i="11"/>
  <c r="M62" i="11"/>
  <c r="M169" i="11"/>
  <c r="M796" i="11"/>
  <c r="M686" i="11"/>
  <c r="M278" i="11"/>
  <c r="M511" i="11"/>
  <c r="M64" i="11"/>
  <c r="M170" i="11"/>
  <c r="M318" i="11"/>
  <c r="M635" i="11"/>
  <c r="M808" i="11"/>
  <c r="M385" i="11"/>
  <c r="M595" i="11"/>
  <c r="M806" i="11"/>
  <c r="M498" i="11"/>
  <c r="M370" i="11"/>
  <c r="M93" i="11"/>
  <c r="M121" i="11"/>
  <c r="M276" i="11"/>
  <c r="M90" i="11"/>
  <c r="M350" i="11"/>
  <c r="M166" i="11"/>
  <c r="M293" i="11"/>
  <c r="M526" i="11"/>
  <c r="M784" i="11"/>
  <c r="M685" i="11"/>
  <c r="M2560" i="11"/>
  <c r="M2555" i="11"/>
  <c r="M2556" i="11"/>
  <c r="M2554" i="11"/>
  <c r="M2558" i="11"/>
  <c r="M2557" i="11"/>
  <c r="M52" i="11"/>
  <c r="M479" i="11"/>
  <c r="M381" i="11"/>
  <c r="M617" i="11"/>
  <c r="M311" i="11"/>
  <c r="M231" i="11"/>
  <c r="M758" i="11"/>
  <c r="M211" i="11"/>
  <c r="M722" i="11"/>
  <c r="M582" i="11"/>
  <c r="M368" i="11"/>
  <c r="M60" i="11"/>
  <c r="M335" i="11"/>
  <c r="M482" i="11"/>
  <c r="M232" i="11"/>
  <c r="M730" i="11"/>
  <c r="M505" i="11"/>
  <c r="M116" i="11"/>
  <c r="M332" i="11"/>
  <c r="M697" i="11"/>
  <c r="M416" i="11"/>
  <c r="M329" i="11"/>
  <c r="M538" i="11"/>
  <c r="M158" i="11"/>
  <c r="M757" i="11"/>
  <c r="M430" i="11"/>
  <c r="M641" i="11"/>
  <c r="M113" i="11"/>
  <c r="M413" i="11"/>
  <c r="M310" i="11"/>
  <c r="M631" i="11"/>
  <c r="M204" i="11"/>
  <c r="M744" i="11"/>
  <c r="M112" i="11"/>
  <c r="M519" i="11"/>
  <c r="M114" i="11"/>
  <c r="M520" i="11"/>
  <c r="M792" i="11"/>
  <c r="M655" i="11"/>
  <c r="M250" i="11"/>
  <c r="M180" i="11"/>
  <c r="M380" i="11"/>
  <c r="M696" i="11"/>
  <c r="M567" i="11"/>
  <c r="M431" i="11"/>
  <c r="M51" i="11"/>
  <c r="M812" i="11"/>
  <c r="M230" i="11"/>
  <c r="M287" i="11"/>
  <c r="M580" i="11"/>
  <c r="M24" i="11"/>
  <c r="M365" i="11"/>
  <c r="M695" i="11"/>
  <c r="M269" i="11"/>
  <c r="M802" i="11"/>
  <c r="M159" i="11"/>
  <c r="M395" i="11"/>
  <c r="M207" i="11"/>
  <c r="M330" i="11"/>
  <c r="M745" i="11"/>
  <c r="M25" i="11"/>
  <c r="M605" i="11"/>
  <c r="M480" i="11"/>
  <c r="M139" i="11"/>
  <c r="M770" i="11"/>
  <c r="M331" i="11"/>
  <c r="M449" i="11"/>
  <c r="M115" i="11"/>
  <c r="M521" i="11"/>
  <c r="M606" i="11"/>
  <c r="M3137" i="11"/>
  <c r="M3134" i="11"/>
  <c r="M740" i="11"/>
  <c r="M575" i="11"/>
  <c r="M389" i="11"/>
  <c r="M130" i="11"/>
  <c r="M321" i="11"/>
  <c r="M637" i="11"/>
  <c r="M13" i="11"/>
  <c r="M100" i="11"/>
  <c r="M513" i="11"/>
  <c r="M749" i="11"/>
  <c r="M358" i="11"/>
  <c r="M218" i="11"/>
  <c r="M341" i="11"/>
  <c r="M598" i="11"/>
  <c r="M599" i="11"/>
  <c r="M559" i="11"/>
  <c r="M194" i="11"/>
  <c r="M407" i="11"/>
  <c r="M12" i="11"/>
  <c r="M701" i="11"/>
  <c r="M260" i="11"/>
  <c r="M676" i="11"/>
  <c r="M422" i="11"/>
  <c r="M67" i="11"/>
  <c r="M512" i="11"/>
  <c r="M748" i="11"/>
  <c r="M217" i="11"/>
  <c r="M299" i="11"/>
  <c r="M3138" i="11"/>
  <c r="M537" i="11"/>
  <c r="M591" i="11"/>
  <c r="M268" i="11"/>
  <c r="M23" i="11"/>
  <c r="M379" i="11"/>
  <c r="M229" i="11"/>
  <c r="M811" i="11"/>
  <c r="M84" i="11"/>
  <c r="M181" i="11"/>
  <c r="M759" i="11"/>
  <c r="M415" i="11"/>
  <c r="M251" i="11"/>
  <c r="M540" i="11"/>
  <c r="M592" i="11"/>
  <c r="M127" i="11"/>
  <c r="M440" i="11"/>
  <c r="M281" i="11"/>
  <c r="M688" i="11"/>
  <c r="M737" i="11"/>
  <c r="M99" i="11"/>
  <c r="M529" i="11"/>
  <c r="M66" i="11"/>
  <c r="M487" i="11"/>
  <c r="M763" i="11"/>
  <c r="M612" i="11"/>
  <c r="M298" i="11"/>
  <c r="M356" i="11"/>
  <c r="M126" i="11"/>
  <c r="M137" i="11"/>
  <c r="M707" i="11"/>
  <c r="M518" i="11"/>
  <c r="M694" i="11"/>
  <c r="M394" i="11"/>
  <c r="M327" i="11"/>
  <c r="M81" i="11"/>
  <c r="M225" i="11"/>
  <c r="M283" i="11"/>
  <c r="M692" i="11"/>
  <c r="M108" i="11"/>
  <c r="M392" i="11"/>
  <c r="M788" i="11"/>
  <c r="M550" i="11"/>
  <c r="M101" i="11"/>
  <c r="M441" i="11"/>
  <c r="M241" i="11"/>
  <c r="M195" i="11"/>
  <c r="M702" i="11"/>
  <c r="M531" i="11"/>
  <c r="M586" i="11"/>
  <c r="M615" i="11"/>
  <c r="M325" i="11"/>
  <c r="M800" i="11"/>
  <c r="M44" i="11"/>
  <c r="M426" i="11"/>
  <c r="M576" i="11"/>
  <c r="M176" i="11"/>
  <c r="M408" i="11"/>
  <c r="M282" i="11"/>
  <c r="M739" i="11"/>
  <c r="M560" i="11"/>
  <c r="M70" i="11"/>
  <c r="M614" i="11"/>
  <c r="M148" i="11"/>
  <c r="M448" i="11"/>
  <c r="M179" i="11"/>
  <c r="M565" i="11"/>
  <c r="M328" i="11"/>
  <c r="M718" i="11"/>
  <c r="M82" i="11"/>
  <c r="M654" i="11"/>
  <c r="M376" i="11"/>
  <c r="M755" i="11"/>
  <c r="M107" i="11"/>
  <c r="M652" i="11"/>
  <c r="M224" i="11"/>
  <c r="M535" i="11"/>
  <c r="M265" i="11"/>
  <c r="M102" i="11"/>
  <c r="M262" i="11"/>
  <c r="M600" i="11"/>
  <c r="M712" i="11"/>
  <c r="M547" i="11"/>
  <c r="M221" i="11"/>
  <c r="M424" i="11"/>
  <c r="M143" i="11"/>
  <c r="M735" i="11"/>
  <c r="M5" i="11"/>
  <c r="M466" i="11"/>
  <c r="M403" i="11"/>
  <c r="M316" i="11"/>
  <c r="M645" i="11"/>
  <c r="M160" i="11"/>
  <c r="M720" i="11"/>
  <c r="M27" i="11"/>
  <c r="M642" i="11"/>
  <c r="M288" i="11"/>
  <c r="M417" i="11"/>
  <c r="M568" i="11"/>
  <c r="M429" i="11"/>
  <c r="M553" i="11"/>
  <c r="M719" i="11"/>
  <c r="M203" i="11"/>
  <c r="M604" i="11"/>
  <c r="M49" i="11"/>
  <c r="M249" i="11"/>
  <c r="M579" i="11"/>
  <c r="M286" i="11"/>
  <c r="M630" i="11"/>
  <c r="M463" i="11"/>
  <c r="M22" i="11"/>
  <c r="M769" i="11"/>
  <c r="M228" i="11"/>
  <c r="M375" i="11"/>
  <c r="M264" i="11"/>
  <c r="M175" i="11"/>
  <c r="M679" i="11"/>
  <c r="M43" i="11"/>
  <c r="M502" i="11"/>
  <c r="M727" i="11"/>
  <c r="M17" i="11"/>
  <c r="M134" i="11"/>
  <c r="M690" i="11"/>
  <c r="M409" i="11"/>
  <c r="M303" i="11"/>
  <c r="M475" i="11"/>
  <c r="M706" i="11"/>
  <c r="M129" i="11"/>
  <c r="M39" i="11"/>
  <c r="M300" i="11"/>
  <c r="M750" i="11"/>
  <c r="M574" i="11"/>
  <c r="M388" i="11"/>
  <c r="M625" i="11"/>
  <c r="M74" i="11"/>
  <c r="M489" i="11"/>
  <c r="M151" i="11"/>
  <c r="M787" i="11"/>
  <c r="M444" i="11"/>
  <c r="M345" i="11"/>
  <c r="M667" i="11"/>
  <c r="M741" i="11"/>
  <c r="M323" i="11"/>
  <c r="M638" i="11"/>
  <c r="M515" i="11"/>
  <c r="M197" i="11"/>
  <c r="M456" i="11"/>
  <c r="M103" i="11"/>
  <c r="M104" i="11"/>
  <c r="M753" i="11"/>
  <c r="M457" i="11"/>
  <c r="M344" i="11"/>
  <c r="M651" i="11"/>
  <c r="M501" i="11"/>
  <c r="M173" i="11"/>
  <c r="M359" i="11"/>
  <c r="M342" i="11"/>
  <c r="M14" i="11"/>
  <c r="M149" i="11"/>
  <c r="M725" i="11"/>
  <c r="M561" i="11"/>
  <c r="M650" i="11"/>
  <c r="M37" i="11"/>
  <c r="M472" i="11"/>
  <c r="M216" i="11"/>
  <c r="M406" i="11"/>
  <c r="M764" i="11"/>
  <c r="M664" i="11"/>
  <c r="M280" i="11"/>
  <c r="M715" i="11"/>
  <c r="M15" i="11"/>
  <c r="M153" i="11"/>
  <c r="M491" i="11"/>
  <c r="M390" i="11"/>
  <c r="M324" i="11"/>
  <c r="M689" i="11"/>
  <c r="M534" i="11"/>
  <c r="M302" i="11"/>
  <c r="M443" i="11"/>
  <c r="M73" i="11"/>
  <c r="M627" i="11"/>
  <c r="M752" i="11"/>
  <c r="M222" i="11"/>
  <c r="M488" i="11"/>
  <c r="M778" i="11"/>
  <c r="M192" i="11"/>
  <c r="M340" i="11"/>
  <c r="M10" i="11"/>
  <c r="M648" i="11"/>
  <c r="M386" i="11"/>
  <c r="M738" i="11"/>
  <c r="M530" i="11"/>
  <c r="M68" i="11"/>
  <c r="M613" i="11"/>
  <c r="M193" i="11"/>
  <c r="M373" i="11"/>
  <c r="M320" i="11"/>
  <c r="M372" i="11"/>
  <c r="M471" i="11"/>
  <c r="M786" i="11"/>
  <c r="M339" i="11"/>
  <c r="M636" i="11"/>
  <c r="M9" i="11"/>
  <c r="M171" i="11"/>
  <c r="M578" i="11"/>
  <c r="M202" i="11"/>
  <c r="M462" i="11"/>
  <c r="M48" i="11"/>
  <c r="M743" i="11"/>
  <c r="M309" i="11"/>
  <c r="M640" i="11"/>
  <c r="M271" i="11"/>
  <c r="M26" i="11"/>
  <c r="M656" i="11"/>
  <c r="M140" i="11"/>
  <c r="M432" i="11"/>
  <c r="M709" i="11"/>
  <c r="M581" i="11"/>
  <c r="M789" i="11"/>
  <c r="M19" i="11"/>
  <c r="M589" i="11"/>
  <c r="M346" i="11"/>
  <c r="M135" i="11"/>
  <c r="M460" i="11"/>
  <c r="M564" i="11"/>
  <c r="M387" i="11"/>
  <c r="M11" i="11"/>
  <c r="M128" i="11"/>
  <c r="M700" i="11"/>
  <c r="M240" i="11"/>
  <c r="M573" i="11"/>
  <c r="M585" i="11"/>
  <c r="M53" i="11"/>
  <c r="M632" i="11"/>
  <c r="M182" i="11"/>
  <c r="M396" i="11"/>
  <c r="M731" i="11"/>
  <c r="M312" i="11"/>
  <c r="M554" i="11"/>
  <c r="M703" i="11"/>
  <c r="M172" i="11"/>
  <c r="M665" i="11"/>
  <c r="M766" i="11"/>
  <c r="M548" i="11"/>
  <c r="M40" i="11"/>
  <c r="M360" i="11"/>
  <c r="M343" i="11"/>
  <c r="M261" i="11"/>
  <c r="M423" i="11"/>
  <c r="M38" i="11"/>
  <c r="M649" i="11"/>
  <c r="M546" i="11"/>
  <c r="M220" i="11"/>
  <c r="M765" i="11"/>
  <c r="M810" i="11"/>
  <c r="M69" i="11"/>
  <c r="M514" i="11"/>
  <c r="M219" i="11"/>
  <c r="M584" i="11"/>
  <c r="M239" i="11"/>
  <c r="M455" i="11"/>
  <c r="M384" i="11"/>
  <c r="M144" i="11"/>
  <c r="M34" i="11"/>
  <c r="M256" i="11"/>
  <c r="M711" i="11"/>
  <c r="M634" i="11"/>
  <c r="M544" i="11"/>
  <c r="M147" i="11"/>
  <c r="M470" i="11"/>
  <c r="M799" i="11"/>
  <c r="M357" i="11"/>
  <c r="M319" i="11"/>
  <c r="M36" i="11"/>
  <c r="M624" i="11"/>
  <c r="M244" i="11"/>
  <c r="M601" i="11"/>
  <c r="M132" i="11"/>
  <c r="M42" i="11"/>
  <c r="M445" i="11"/>
  <c r="M490" i="11"/>
  <c r="M704" i="11"/>
  <c r="M277" i="11"/>
  <c r="M33" i="11"/>
  <c r="M484" i="11"/>
  <c r="M610" i="11"/>
  <c r="M189" i="11"/>
  <c r="M437" i="11"/>
  <c r="M807" i="11"/>
  <c r="M259" i="11"/>
  <c r="M215" i="11"/>
  <c r="M500" i="11"/>
  <c r="M454" i="11"/>
  <c r="M762" i="11"/>
  <c r="M597" i="11"/>
  <c r="M98" i="11"/>
  <c r="M200" i="11"/>
  <c r="M109" i="11"/>
  <c r="M266" i="11"/>
  <c r="M503" i="11"/>
  <c r="M411" i="11"/>
  <c r="M629" i="11"/>
  <c r="M801" i="11"/>
  <c r="M3139" i="11"/>
  <c r="M726" i="11"/>
  <c r="M247" i="11"/>
  <c r="M80" i="11"/>
  <c r="M393" i="11"/>
  <c r="M639" i="11"/>
  <c r="M790" i="11"/>
  <c r="M226" i="11"/>
  <c r="M493" i="11"/>
  <c r="M461" i="11"/>
  <c r="M729" i="11"/>
  <c r="M551" i="11"/>
  <c r="M136" i="11"/>
  <c r="M326" i="11"/>
  <c r="M45" i="11"/>
  <c r="M590" i="11"/>
  <c r="M563" i="11"/>
  <c r="M716" i="11"/>
  <c r="M305" i="11"/>
  <c r="M410" i="11"/>
  <c r="M77" i="11"/>
  <c r="M199" i="11"/>
  <c r="M628" i="11"/>
  <c r="M47" i="11"/>
  <c r="M378" i="11"/>
  <c r="M504" i="11"/>
  <c r="M156" i="11"/>
  <c r="M781" i="11"/>
  <c r="M693" i="11"/>
  <c r="M308" i="11"/>
  <c r="M680" i="11"/>
  <c r="M364" i="11"/>
  <c r="M285" i="11"/>
  <c r="M178" i="11"/>
  <c r="M742" i="11"/>
  <c r="M494" i="11"/>
  <c r="M21" i="11"/>
  <c r="M155" i="11"/>
  <c r="M78" i="11"/>
  <c r="M307" i="11"/>
  <c r="M767" i="11"/>
  <c r="M492" i="11"/>
  <c r="M603" i="11"/>
  <c r="M447" i="11"/>
  <c r="M517" i="11"/>
  <c r="M616" i="11"/>
  <c r="M427" i="11"/>
  <c r="M768" i="11"/>
  <c r="M177" i="11"/>
  <c r="M284" i="11"/>
  <c r="M79" i="11"/>
  <c r="M363" i="11"/>
  <c r="M478" i="11"/>
  <c r="M756" i="11"/>
  <c r="M267" i="11"/>
  <c r="M20" i="11"/>
  <c r="M669" i="11"/>
  <c r="M201" i="11"/>
  <c r="M248" i="11"/>
  <c r="M227" i="11"/>
  <c r="M780" i="11"/>
  <c r="M653" i="11"/>
  <c r="M46" i="11"/>
  <c r="M377" i="11"/>
  <c r="M477" i="11"/>
  <c r="L29" i="11"/>
  <c r="L165" i="11"/>
  <c r="L774" i="11"/>
  <c r="L633" i="11"/>
  <c r="L436" i="11"/>
  <c r="L555" i="11"/>
  <c r="L254" i="11"/>
  <c r="L2" i="11"/>
  <c r="L235" i="11"/>
  <c r="L401" i="11"/>
  <c r="L746" i="11"/>
  <c r="L659" i="11"/>
  <c r="L569" i="11"/>
  <c r="L209" i="11"/>
  <c r="L119" i="11"/>
  <c r="L367" i="11"/>
  <c r="L59" i="11"/>
  <c r="L333" i="11"/>
  <c r="L660" i="11"/>
  <c r="L805" i="11"/>
  <c r="L497" i="11"/>
  <c r="L118" i="11"/>
  <c r="L794" i="11"/>
  <c r="L608" i="11"/>
  <c r="L292" i="11"/>
  <c r="L525" i="11"/>
  <c r="L451" i="11"/>
  <c r="L89" i="11"/>
  <c r="L141" i="11"/>
  <c r="L721" i="11"/>
  <c r="L57" i="11"/>
  <c r="L274" i="11"/>
  <c r="L620" i="11"/>
  <c r="L541" i="11"/>
  <c r="L400" i="11"/>
  <c r="L366" i="11"/>
  <c r="L58" i="11"/>
  <c r="L275" i="11"/>
  <c r="L186" i="11"/>
  <c r="L542" i="11"/>
  <c r="L775" i="11"/>
  <c r="L684" i="11"/>
  <c r="L30" i="11"/>
  <c r="L382" i="11"/>
  <c r="L556" i="11"/>
  <c r="L672" i="11"/>
  <c r="L255" i="11"/>
  <c r="L210" i="11"/>
  <c r="L795" i="11"/>
  <c r="L351" i="11"/>
  <c r="L142" i="11"/>
  <c r="L509" i="11"/>
  <c r="L314" i="11"/>
  <c r="L673" i="11"/>
  <c r="L698" i="11"/>
  <c r="L91" i="11"/>
  <c r="L661" i="11"/>
  <c r="L402" i="11"/>
  <c r="L187" i="11"/>
  <c r="L334" i="11"/>
  <c r="L543" i="11"/>
  <c r="L776" i="11"/>
  <c r="L92" i="11"/>
  <c r="L273" i="11"/>
  <c r="L804" i="11"/>
  <c r="L117" i="11"/>
  <c r="L398" i="11"/>
  <c r="L523" i="11"/>
  <c r="L593" i="11"/>
  <c r="L163" i="11"/>
  <c r="L6" i="11"/>
  <c r="L467" i="11"/>
  <c r="L168" i="11"/>
  <c r="L295" i="11"/>
  <c r="L622" i="11"/>
  <c r="L419" i="11"/>
  <c r="L710" i="11"/>
  <c r="L120" i="11"/>
  <c r="L32" i="11"/>
  <c r="L483" i="11"/>
  <c r="L383" i="11"/>
  <c r="L336" i="11"/>
  <c r="L644" i="11"/>
  <c r="L734" i="11"/>
  <c r="L510" i="11"/>
  <c r="L238" i="11"/>
  <c r="L699" i="11"/>
  <c r="L420" i="11"/>
  <c r="L662" i="11"/>
  <c r="L123" i="11"/>
  <c r="L94" i="11"/>
  <c r="L95" i="11"/>
  <c r="L257" i="11"/>
  <c r="L760" i="11"/>
  <c r="L572" i="11"/>
  <c r="L438" i="11"/>
  <c r="L674" i="11"/>
  <c r="L145" i="11"/>
  <c r="L352" i="11"/>
  <c r="L31" i="11"/>
  <c r="L315" i="11"/>
  <c r="L723" i="11"/>
  <c r="L570" i="11"/>
  <c r="L212" i="11"/>
  <c r="L583" i="11"/>
  <c r="L7" i="11"/>
  <c r="L3140" i="11"/>
  <c r="L3136" i="11"/>
  <c r="L997" i="11"/>
  <c r="L8" i="11"/>
  <c r="L486" i="11"/>
  <c r="L421" i="11"/>
  <c r="L337" i="11"/>
  <c r="L663" i="11"/>
  <c r="L214" i="11"/>
  <c r="L761" i="11"/>
  <c r="L35" i="11"/>
  <c r="L499" i="11"/>
  <c r="L191" i="11"/>
  <c r="L405" i="11"/>
  <c r="L338" i="11"/>
  <c r="L647" i="11"/>
  <c r="L736" i="11"/>
  <c r="L146" i="11"/>
  <c r="L96" i="11"/>
  <c r="L297" i="11"/>
  <c r="L623" i="11"/>
  <c r="L528" i="11"/>
  <c r="L371" i="11"/>
  <c r="L797" i="11"/>
  <c r="L124" i="11"/>
  <c r="L97" i="11"/>
  <c r="L354" i="11"/>
  <c r="L611" i="11"/>
  <c r="L545" i="11"/>
  <c r="L279" i="11"/>
  <c r="L798" i="11"/>
  <c r="L125" i="11"/>
  <c r="L355" i="11"/>
  <c r="L258" i="11"/>
  <c r="L596" i="11"/>
  <c r="L65" i="11"/>
  <c r="L558" i="11"/>
  <c r="L809" i="11"/>
  <c r="L196" i="11"/>
  <c r="L666" i="11"/>
  <c r="L713" i="11"/>
  <c r="L532" i="11"/>
  <c r="L374" i="11"/>
  <c r="L322" i="11"/>
  <c r="L71" i="11"/>
  <c r="L588" i="11"/>
  <c r="L16" i="11"/>
  <c r="L705" i="11"/>
  <c r="L133" i="11"/>
  <c r="L474" i="11"/>
  <c r="L361" i="11"/>
  <c r="L245" i="11"/>
  <c r="L714" i="11"/>
  <c r="L198" i="11"/>
  <c r="L246" i="11"/>
  <c r="L362" i="11"/>
  <c r="L668" i="11"/>
  <c r="L728" i="11"/>
  <c r="L76" i="11"/>
  <c r="L516" i="11"/>
  <c r="L106" i="11"/>
  <c r="L691" i="11"/>
  <c r="L391" i="11"/>
  <c r="L476" i="11"/>
  <c r="L304" i="11"/>
  <c r="L754" i="11"/>
  <c r="L223" i="11"/>
  <c r="L577" i="11"/>
  <c r="L602" i="11"/>
  <c r="L154" i="11"/>
  <c r="L446" i="11"/>
  <c r="L306" i="11"/>
  <c r="L18" i="11"/>
  <c r="L779" i="11"/>
  <c r="L717" i="11"/>
  <c r="L110" i="11"/>
  <c r="L681" i="11"/>
  <c r="L347" i="11"/>
  <c r="L412" i="11"/>
  <c r="L138" i="11"/>
  <c r="L536" i="11"/>
  <c r="L670" i="11"/>
  <c r="L791" i="11"/>
  <c r="L111" i="11"/>
  <c r="L157" i="11"/>
  <c r="L428" i="11"/>
  <c r="L348" i="11"/>
  <c r="L552" i="11"/>
  <c r="L349" i="11"/>
  <c r="L566" i="11"/>
  <c r="L50" i="11"/>
  <c r="L205" i="11"/>
  <c r="L782" i="11"/>
  <c r="L464" i="11"/>
  <c r="L671" i="11"/>
  <c r="L206" i="11"/>
  <c r="L83" i="11"/>
  <c r="L682" i="11"/>
  <c r="L539" i="11"/>
  <c r="L414" i="11"/>
  <c r="L708" i="11"/>
  <c r="L270" i="11"/>
  <c r="L683" i="11"/>
  <c r="L272" i="11"/>
  <c r="L495" i="11"/>
  <c r="L85" i="11"/>
  <c r="L208" i="11"/>
  <c r="L783" i="11"/>
  <c r="L433" i="11"/>
  <c r="L465" i="11"/>
  <c r="L28" i="11"/>
  <c r="L657" i="11"/>
  <c r="L161" i="11"/>
  <c r="L803" i="11"/>
  <c r="L481" i="11"/>
  <c r="L253" i="11"/>
  <c r="L607" i="11"/>
  <c r="L496" i="11"/>
  <c r="L252" i="11"/>
  <c r="L183" i="11"/>
  <c r="L54" i="11"/>
  <c r="L434" i="11"/>
  <c r="L793" i="11"/>
  <c r="L233" i="11"/>
  <c r="L813" i="11"/>
  <c r="L56" i="11"/>
  <c r="L290" i="11"/>
  <c r="L643" i="11"/>
  <c r="L450" i="11"/>
  <c r="L507" i="11"/>
  <c r="L619" i="11"/>
  <c r="L291" i="11"/>
  <c r="L508" i="11"/>
  <c r="L732" i="11"/>
  <c r="L399" i="11"/>
  <c r="L87" i="11"/>
  <c r="L185" i="11"/>
  <c r="L618" i="11"/>
  <c r="L522" i="11"/>
  <c r="L162" i="11"/>
  <c r="L772" i="11"/>
  <c r="L313" i="11"/>
  <c r="L86" i="11"/>
  <c r="L435" i="11"/>
  <c r="L88" i="11"/>
  <c r="L594" i="11"/>
  <c r="L164" i="11"/>
  <c r="L418" i="11"/>
  <c r="L234" i="11"/>
  <c r="L524" i="11"/>
  <c r="L773" i="11"/>
  <c r="L237" i="11"/>
  <c r="L785" i="11"/>
  <c r="L61" i="11"/>
  <c r="L404" i="11"/>
  <c r="L527" i="11"/>
  <c r="L646" i="11"/>
  <c r="L122" i="11"/>
  <c r="L3" i="11"/>
  <c r="L353" i="11"/>
  <c r="L609" i="11"/>
  <c r="L188" i="11"/>
  <c r="L294" i="11"/>
  <c r="L733" i="11"/>
  <c r="L571" i="11"/>
  <c r="L4" i="11"/>
  <c r="L369" i="11"/>
  <c r="L167" i="11"/>
  <c r="L236" i="11"/>
  <c r="L747" i="11"/>
  <c r="L621" i="11"/>
  <c r="L557" i="11"/>
  <c r="L468" i="11"/>
  <c r="L63" i="11"/>
  <c r="L190" i="11"/>
  <c r="L296" i="11"/>
  <c r="L724" i="11"/>
  <c r="L687" i="11"/>
  <c r="L453" i="11"/>
  <c r="L452" i="11"/>
  <c r="L485" i="11"/>
  <c r="L62" i="11"/>
  <c r="L169" i="11"/>
  <c r="L796" i="11"/>
  <c r="L686" i="11"/>
  <c r="L278" i="11"/>
  <c r="L511" i="11"/>
  <c r="L64" i="11"/>
  <c r="L170" i="11"/>
  <c r="L318" i="11"/>
  <c r="L635" i="11"/>
  <c r="L808" i="11"/>
  <c r="L385" i="11"/>
  <c r="L595" i="11"/>
  <c r="L806" i="11"/>
  <c r="L498" i="11"/>
  <c r="L370" i="11"/>
  <c r="L93" i="11"/>
  <c r="L121" i="11"/>
  <c r="L276" i="11"/>
  <c r="L90" i="11"/>
  <c r="L350" i="11"/>
  <c r="L166" i="11"/>
  <c r="L293" i="11"/>
  <c r="L526" i="11"/>
  <c r="L784" i="11"/>
  <c r="L685" i="11"/>
  <c r="L2560" i="11"/>
  <c r="L2555" i="11"/>
  <c r="L2556" i="11"/>
  <c r="L2554" i="11"/>
  <c r="L2558" i="11"/>
  <c r="L2557" i="11"/>
  <c r="L52" i="11"/>
  <c r="L479" i="11"/>
  <c r="L381" i="11"/>
  <c r="L617" i="11"/>
  <c r="L311" i="11"/>
  <c r="L231" i="11"/>
  <c r="L758" i="11"/>
  <c r="L211" i="11"/>
  <c r="L722" i="11"/>
  <c r="L582" i="11"/>
  <c r="L368" i="11"/>
  <c r="L60" i="11"/>
  <c r="L335" i="11"/>
  <c r="L482" i="11"/>
  <c r="L232" i="11"/>
  <c r="L730" i="11"/>
  <c r="L505" i="11"/>
  <c r="L116" i="11"/>
  <c r="L332" i="11"/>
  <c r="L697" i="11"/>
  <c r="L416" i="11"/>
  <c r="L329" i="11"/>
  <c r="L538" i="11"/>
  <c r="L158" i="11"/>
  <c r="L757" i="11"/>
  <c r="L430" i="11"/>
  <c r="L641" i="11"/>
  <c r="L113" i="11"/>
  <c r="L413" i="11"/>
  <c r="L310" i="11"/>
  <c r="L631" i="11"/>
  <c r="L204" i="11"/>
  <c r="L744" i="11"/>
  <c r="L112" i="11"/>
  <c r="L519" i="11"/>
  <c r="L114" i="11"/>
  <c r="L520" i="11"/>
  <c r="L792" i="11"/>
  <c r="L655" i="11"/>
  <c r="L250" i="11"/>
  <c r="L180" i="11"/>
  <c r="L380" i="11"/>
  <c r="L696" i="11"/>
  <c r="L567" i="11"/>
  <c r="L431" i="11"/>
  <c r="L51" i="11"/>
  <c r="L812" i="11"/>
  <c r="L230" i="11"/>
  <c r="L287" i="11"/>
  <c r="L580" i="11"/>
  <c r="L24" i="11"/>
  <c r="L365" i="11"/>
  <c r="L695" i="11"/>
  <c r="L269" i="11"/>
  <c r="L802" i="11"/>
  <c r="L159" i="11"/>
  <c r="L395" i="11"/>
  <c r="L207" i="11"/>
  <c r="L330" i="11"/>
  <c r="L745" i="11"/>
  <c r="L25" i="11"/>
  <c r="L605" i="11"/>
  <c r="L480" i="11"/>
  <c r="L139" i="11"/>
  <c r="L770" i="11"/>
  <c r="L331" i="11"/>
  <c r="L449" i="11"/>
  <c r="L115" i="11"/>
  <c r="L521" i="11"/>
  <c r="L606" i="11"/>
  <c r="L885" i="11"/>
  <c r="L3137" i="11"/>
  <c r="L469" i="11"/>
  <c r="L3134" i="11"/>
  <c r="L740" i="11"/>
  <c r="L575" i="11"/>
  <c r="L389" i="11"/>
  <c r="L130" i="11"/>
  <c r="L321" i="11"/>
  <c r="L637" i="11"/>
  <c r="L13" i="11"/>
  <c r="L100" i="11"/>
  <c r="L513" i="11"/>
  <c r="L749" i="11"/>
  <c r="L358" i="11"/>
  <c r="L218" i="11"/>
  <c r="L341" i="11"/>
  <c r="L598" i="11"/>
  <c r="L599" i="11"/>
  <c r="L559" i="11"/>
  <c r="L194" i="11"/>
  <c r="L407" i="11"/>
  <c r="L12" i="11"/>
  <c r="L701" i="11"/>
  <c r="L260" i="11"/>
  <c r="L676" i="11"/>
  <c r="L422" i="11"/>
  <c r="L67" i="11"/>
  <c r="L512" i="11"/>
  <c r="L748" i="11"/>
  <c r="L217" i="11"/>
  <c r="L299" i="11"/>
  <c r="L675" i="11"/>
  <c r="L3138" i="11"/>
  <c r="L1215" i="11"/>
  <c r="L213" i="11"/>
  <c r="L537" i="11"/>
  <c r="L591" i="11"/>
  <c r="L268" i="11"/>
  <c r="L23" i="11"/>
  <c r="L379" i="11"/>
  <c r="L229" i="11"/>
  <c r="L811" i="11"/>
  <c r="L84" i="11"/>
  <c r="L181" i="11"/>
  <c r="L759" i="11"/>
  <c r="L415" i="11"/>
  <c r="L251" i="11"/>
  <c r="L540" i="11"/>
  <c r="L592" i="11"/>
  <c r="L127" i="11"/>
  <c r="L440" i="11"/>
  <c r="L281" i="11"/>
  <c r="L688" i="11"/>
  <c r="L737" i="11"/>
  <c r="L99" i="11"/>
  <c r="L529" i="11"/>
  <c r="L66" i="11"/>
  <c r="L487" i="11"/>
  <c r="L763" i="11"/>
  <c r="L612" i="11"/>
  <c r="L298" i="11"/>
  <c r="L356" i="11"/>
  <c r="L126" i="11"/>
  <c r="L137" i="11"/>
  <c r="L707" i="11"/>
  <c r="L518" i="11"/>
  <c r="L694" i="11"/>
  <c r="L394" i="11"/>
  <c r="L327" i="11"/>
  <c r="L81" i="11"/>
  <c r="L225" i="11"/>
  <c r="L283" i="11"/>
  <c r="L692" i="11"/>
  <c r="L108" i="11"/>
  <c r="L392" i="11"/>
  <c r="L788" i="11"/>
  <c r="L550" i="11"/>
  <c r="L101" i="11"/>
  <c r="L441" i="11"/>
  <c r="L241" i="11"/>
  <c r="L195" i="11"/>
  <c r="L702" i="11"/>
  <c r="L531" i="11"/>
  <c r="L586" i="11"/>
  <c r="L615" i="11"/>
  <c r="L325" i="11"/>
  <c r="L800" i="11"/>
  <c r="L44" i="11"/>
  <c r="L426" i="11"/>
  <c r="L576" i="11"/>
  <c r="L176" i="11"/>
  <c r="L408" i="11"/>
  <c r="L282" i="11"/>
  <c r="L739" i="11"/>
  <c r="L560" i="11"/>
  <c r="L70" i="11"/>
  <c r="L614" i="11"/>
  <c r="L148" i="11"/>
  <c r="L448" i="11"/>
  <c r="L179" i="11"/>
  <c r="L565" i="11"/>
  <c r="L328" i="11"/>
  <c r="L718" i="11"/>
  <c r="L82" i="11"/>
  <c r="L654" i="11"/>
  <c r="L376" i="11"/>
  <c r="L755" i="11"/>
  <c r="L107" i="11"/>
  <c r="L652" i="11"/>
  <c r="L224" i="11"/>
  <c r="L535" i="11"/>
  <c r="L265" i="11"/>
  <c r="L102" i="11"/>
  <c r="L262" i="11"/>
  <c r="L600" i="11"/>
  <c r="L712" i="11"/>
  <c r="L547" i="11"/>
  <c r="L221" i="11"/>
  <c r="L424" i="11"/>
  <c r="L143" i="11"/>
  <c r="L735" i="11"/>
  <c r="L5" i="11"/>
  <c r="L466" i="11"/>
  <c r="L403" i="11"/>
  <c r="L316" i="11"/>
  <c r="L645" i="11"/>
  <c r="L160" i="11"/>
  <c r="L720" i="11"/>
  <c r="L27" i="11"/>
  <c r="L642" i="11"/>
  <c r="L288" i="11"/>
  <c r="L417" i="11"/>
  <c r="L568" i="11"/>
  <c r="L429" i="11"/>
  <c r="L553" i="11"/>
  <c r="L719" i="11"/>
  <c r="L203" i="11"/>
  <c r="L604" i="11"/>
  <c r="L49" i="11"/>
  <c r="L249" i="11"/>
  <c r="L579" i="11"/>
  <c r="L286" i="11"/>
  <c r="L630" i="11"/>
  <c r="L463" i="11"/>
  <c r="L22" i="11"/>
  <c r="L769" i="11"/>
  <c r="L228" i="11"/>
  <c r="L375" i="11"/>
  <c r="L264" i="11"/>
  <c r="L175" i="11"/>
  <c r="L679" i="11"/>
  <c r="L43" i="11"/>
  <c r="L502" i="11"/>
  <c r="L727" i="11"/>
  <c r="L17" i="11"/>
  <c r="L134" i="11"/>
  <c r="L690" i="11"/>
  <c r="L409" i="11"/>
  <c r="L303" i="11"/>
  <c r="L475" i="11"/>
  <c r="L706" i="11"/>
  <c r="L129" i="11"/>
  <c r="L39" i="11"/>
  <c r="L300" i="11"/>
  <c r="L750" i="11"/>
  <c r="L574" i="11"/>
  <c r="L388" i="11"/>
  <c r="L625" i="11"/>
  <c r="L74" i="11"/>
  <c r="L489" i="11"/>
  <c r="L151" i="11"/>
  <c r="L787" i="11"/>
  <c r="L444" i="11"/>
  <c r="L345" i="11"/>
  <c r="L667" i="11"/>
  <c r="L741" i="11"/>
  <c r="L323" i="11"/>
  <c r="L638" i="11"/>
  <c r="L515" i="11"/>
  <c r="L197" i="11"/>
  <c r="L456" i="11"/>
  <c r="L103" i="11"/>
  <c r="L104" i="11"/>
  <c r="L753" i="11"/>
  <c r="L457" i="11"/>
  <c r="L344" i="11"/>
  <c r="L651" i="11"/>
  <c r="L501" i="11"/>
  <c r="L173" i="11"/>
  <c r="L359" i="11"/>
  <c r="L342" i="11"/>
  <c r="L14" i="11"/>
  <c r="L149" i="11"/>
  <c r="L725" i="11"/>
  <c r="L561" i="11"/>
  <c r="L650" i="11"/>
  <c r="L37" i="11"/>
  <c r="L472" i="11"/>
  <c r="L216" i="11"/>
  <c r="L406" i="11"/>
  <c r="L764" i="11"/>
  <c r="L664" i="11"/>
  <c r="L280" i="11"/>
  <c r="L715" i="11"/>
  <c r="L15" i="11"/>
  <c r="L153" i="11"/>
  <c r="L491" i="11"/>
  <c r="L390" i="11"/>
  <c r="L324" i="11"/>
  <c r="L689" i="11"/>
  <c r="L534" i="11"/>
  <c r="L302" i="11"/>
  <c r="L443" i="11"/>
  <c r="L73" i="11"/>
  <c r="L627" i="11"/>
  <c r="L752" i="11"/>
  <c r="L222" i="11"/>
  <c r="L488" i="11"/>
  <c r="L778" i="11"/>
  <c r="L192" i="11"/>
  <c r="L340" i="11"/>
  <c r="L10" i="11"/>
  <c r="L648" i="11"/>
  <c r="L386" i="11"/>
  <c r="L738" i="11"/>
  <c r="L530" i="11"/>
  <c r="L68" i="11"/>
  <c r="L613" i="11"/>
  <c r="L193" i="11"/>
  <c r="L373" i="11"/>
  <c r="L320" i="11"/>
  <c r="L372" i="11"/>
  <c r="L471" i="11"/>
  <c r="L786" i="11"/>
  <c r="L339" i="11"/>
  <c r="L636" i="11"/>
  <c r="L9" i="11"/>
  <c r="L171" i="11"/>
  <c r="L578" i="11"/>
  <c r="L202" i="11"/>
  <c r="L462" i="11"/>
  <c r="L48" i="11"/>
  <c r="L743" i="11"/>
  <c r="L309" i="11"/>
  <c r="L640" i="11"/>
  <c r="L271" i="11"/>
  <c r="L26" i="11"/>
  <c r="L656" i="11"/>
  <c r="L140" i="11"/>
  <c r="L432" i="11"/>
  <c r="L709" i="11"/>
  <c r="L581" i="11"/>
  <c r="L789" i="11"/>
  <c r="L19" i="11"/>
  <c r="L589" i="11"/>
  <c r="L346" i="11"/>
  <c r="L135" i="11"/>
  <c r="L460" i="11"/>
  <c r="L564" i="11"/>
  <c r="L387" i="11"/>
  <c r="L11" i="11"/>
  <c r="L128" i="11"/>
  <c r="L700" i="11"/>
  <c r="L240" i="11"/>
  <c r="L573" i="11"/>
  <c r="L585" i="11"/>
  <c r="L53" i="11"/>
  <c r="L632" i="11"/>
  <c r="L182" i="11"/>
  <c r="L396" i="11"/>
  <c r="L731" i="11"/>
  <c r="L312" i="11"/>
  <c r="L554" i="11"/>
  <c r="L703" i="11"/>
  <c r="L172" i="11"/>
  <c r="L665" i="11"/>
  <c r="L766" i="11"/>
  <c r="L548" i="11"/>
  <c r="L40" i="11"/>
  <c r="L360" i="11"/>
  <c r="L343" i="11"/>
  <c r="L261" i="11"/>
  <c r="L423" i="11"/>
  <c r="L38" i="11"/>
  <c r="L649" i="11"/>
  <c r="L546" i="11"/>
  <c r="L220" i="11"/>
  <c r="L765" i="11"/>
  <c r="L810" i="11"/>
  <c r="L69" i="11"/>
  <c r="L514" i="11"/>
  <c r="L219" i="11"/>
  <c r="L584" i="11"/>
  <c r="L239" i="11"/>
  <c r="L455" i="11"/>
  <c r="L384" i="11"/>
  <c r="L144" i="11"/>
  <c r="L34" i="11"/>
  <c r="L256" i="11"/>
  <c r="L711" i="11"/>
  <c r="L634" i="11"/>
  <c r="L544" i="11"/>
  <c r="L147" i="11"/>
  <c r="L470" i="11"/>
  <c r="L799" i="11"/>
  <c r="L357" i="11"/>
  <c r="L319" i="11"/>
  <c r="L36" i="11"/>
  <c r="L624" i="11"/>
  <c r="L244" i="11"/>
  <c r="L601" i="11"/>
  <c r="L132" i="11"/>
  <c r="L42" i="11"/>
  <c r="L445" i="11"/>
  <c r="L490" i="11"/>
  <c r="L704" i="11"/>
  <c r="L277" i="11"/>
  <c r="L33" i="11"/>
  <c r="L484" i="11"/>
  <c r="L610" i="11"/>
  <c r="L189" i="11"/>
  <c r="L437" i="11"/>
  <c r="L807" i="11"/>
  <c r="L259" i="11"/>
  <c r="L215" i="11"/>
  <c r="L500" i="11"/>
  <c r="L454" i="11"/>
  <c r="L762" i="11"/>
  <c r="L597" i="11"/>
  <c r="L98" i="11"/>
  <c r="L200" i="11"/>
  <c r="L109" i="11"/>
  <c r="L266" i="11"/>
  <c r="L503" i="11"/>
  <c r="L411" i="11"/>
  <c r="L629" i="11"/>
  <c r="L801" i="11"/>
  <c r="L1107" i="11"/>
  <c r="L3139" i="11"/>
  <c r="L317" i="11"/>
  <c r="L726" i="11"/>
  <c r="L247" i="11"/>
  <c r="L80" i="11"/>
  <c r="L393" i="11"/>
  <c r="L639" i="11"/>
  <c r="L790" i="11"/>
  <c r="L226" i="11"/>
  <c r="L493" i="11"/>
  <c r="L461" i="11"/>
  <c r="L729" i="11"/>
  <c r="L551" i="11"/>
  <c r="L136" i="11"/>
  <c r="L326" i="11"/>
  <c r="L45" i="11"/>
  <c r="L590" i="11"/>
  <c r="L563" i="11"/>
  <c r="L716" i="11"/>
  <c r="L305" i="11"/>
  <c r="L410" i="11"/>
  <c r="L77" i="11"/>
  <c r="L199" i="11"/>
  <c r="L628" i="11"/>
  <c r="L47" i="11"/>
  <c r="L378" i="11"/>
  <c r="L504" i="11"/>
  <c r="L156" i="11"/>
  <c r="L781" i="11"/>
  <c r="L693" i="11"/>
  <c r="L308" i="11"/>
  <c r="L680" i="11"/>
  <c r="L364" i="11"/>
  <c r="L285" i="11"/>
  <c r="L178" i="11"/>
  <c r="L742" i="11"/>
  <c r="L494" i="11"/>
  <c r="L21" i="11"/>
  <c r="L155" i="11"/>
  <c r="L78" i="11"/>
  <c r="L307" i="11"/>
  <c r="L767" i="11"/>
  <c r="L492" i="11"/>
  <c r="L603" i="11"/>
  <c r="L447" i="11"/>
  <c r="L517" i="11"/>
  <c r="L616" i="11"/>
  <c r="L427" i="11"/>
  <c r="L768" i="11"/>
  <c r="L177" i="11"/>
  <c r="L284" i="11"/>
  <c r="L79" i="11"/>
  <c r="L363" i="11"/>
  <c r="L478" i="11"/>
  <c r="L756" i="11"/>
  <c r="L267" i="11"/>
  <c r="L20" i="11"/>
  <c r="L669" i="11"/>
  <c r="L201" i="11"/>
  <c r="L248" i="11"/>
  <c r="L227" i="11"/>
  <c r="L780" i="11"/>
  <c r="L653" i="11"/>
  <c r="L46" i="11"/>
  <c r="L377" i="11"/>
  <c r="L477" i="11"/>
  <c r="H71" i="15"/>
  <c r="H76" i="15"/>
  <c r="H77" i="15"/>
  <c r="C17" i="19"/>
  <c r="F21" i="20" s="1"/>
  <c r="C18" i="19"/>
  <c r="F22" i="20" s="1"/>
  <c r="C19" i="19"/>
  <c r="F23" i="20" s="1"/>
  <c r="C20" i="19"/>
  <c r="F24" i="20" s="1"/>
  <c r="C21" i="19"/>
  <c r="F25" i="20" s="1"/>
  <c r="C22" i="19"/>
  <c r="C23" i="19"/>
  <c r="C24" i="19"/>
  <c r="C25" i="19"/>
  <c r="C26" i="19"/>
  <c r="C27" i="19"/>
  <c r="C28" i="19"/>
  <c r="C29" i="19"/>
  <c r="C30" i="19"/>
  <c r="C31" i="19"/>
  <c r="C32" i="19"/>
  <c r="C33" i="19"/>
  <c r="C34" i="19"/>
  <c r="C35" i="19"/>
  <c r="C36" i="19"/>
  <c r="C37" i="19"/>
  <c r="C38" i="19"/>
  <c r="C39" i="19"/>
  <c r="C40" i="19"/>
  <c r="C41" i="19"/>
  <c r="C42" i="19"/>
  <c r="C43" i="19"/>
  <c r="C44" i="19"/>
  <c r="C45" i="19"/>
  <c r="C46" i="19"/>
  <c r="C47" i="19"/>
  <c r="C48" i="19"/>
  <c r="C49" i="19"/>
  <c r="C50" i="19"/>
  <c r="C51" i="19"/>
  <c r="C52" i="19"/>
  <c r="C53" i="19"/>
  <c r="C54" i="19"/>
  <c r="C55" i="19"/>
  <c r="C56" i="19"/>
  <c r="C57" i="19"/>
  <c r="C58" i="19"/>
  <c r="C59" i="19"/>
  <c r="C60" i="19"/>
  <c r="C61" i="19"/>
  <c r="C62" i="19"/>
  <c r="C63" i="19"/>
  <c r="C64" i="19"/>
  <c r="C65" i="19"/>
  <c r="C66" i="19"/>
  <c r="C67" i="19"/>
  <c r="C68" i="19"/>
  <c r="C69" i="19"/>
  <c r="C70" i="19"/>
  <c r="C71" i="19"/>
  <c r="C72" i="19"/>
  <c r="A17" i="19"/>
  <c r="A18" i="19"/>
  <c r="H21" i="15" s="1"/>
  <c r="A19" i="19"/>
  <c r="H22" i="15" s="1"/>
  <c r="A20" i="19"/>
  <c r="H23" i="15" s="1"/>
  <c r="A21" i="19"/>
  <c r="H24" i="15" s="1"/>
  <c r="A22" i="19"/>
  <c r="H25" i="15" s="1"/>
  <c r="A23" i="19"/>
  <c r="H26" i="15" s="1"/>
  <c r="A24" i="19"/>
  <c r="H27" i="15" s="1"/>
  <c r="A25" i="19"/>
  <c r="H28" i="15" s="1"/>
  <c r="A26" i="19"/>
  <c r="H29" i="15" s="1"/>
  <c r="A27" i="19"/>
  <c r="H30" i="15" s="1"/>
  <c r="A28" i="19"/>
  <c r="H31" i="15" s="1"/>
  <c r="A29" i="19"/>
  <c r="H32" i="15" s="1"/>
  <c r="A30" i="19"/>
  <c r="H33" i="15" s="1"/>
  <c r="A31" i="19"/>
  <c r="H34" i="15" s="1"/>
  <c r="A32" i="19"/>
  <c r="H35" i="15" s="1"/>
  <c r="A33" i="19"/>
  <c r="H36" i="15" s="1"/>
  <c r="A34" i="19"/>
  <c r="H37" i="15" s="1"/>
  <c r="A35" i="19"/>
  <c r="H38" i="15" s="1"/>
  <c r="A36" i="19"/>
  <c r="H39" i="15" s="1"/>
  <c r="A37" i="19"/>
  <c r="H40" i="15" s="1"/>
  <c r="A38" i="19"/>
  <c r="H41" i="15" s="1"/>
  <c r="A39" i="19"/>
  <c r="H42" i="15" s="1"/>
  <c r="A40" i="19"/>
  <c r="H43" i="15" s="1"/>
  <c r="A41" i="19"/>
  <c r="H44" i="15" s="1"/>
  <c r="A42" i="19"/>
  <c r="H45" i="15" s="1"/>
  <c r="A43" i="19"/>
  <c r="H46" i="15" s="1"/>
  <c r="A44" i="19"/>
  <c r="H47" i="15" s="1"/>
  <c r="A45" i="19"/>
  <c r="H48" i="15" s="1"/>
  <c r="A46" i="19"/>
  <c r="H49" i="15" s="1"/>
  <c r="A47" i="19"/>
  <c r="H50" i="15" s="1"/>
  <c r="A48" i="19"/>
  <c r="H51" i="15" s="1"/>
  <c r="A49" i="19"/>
  <c r="H52" i="15" s="1"/>
  <c r="A50" i="19"/>
  <c r="H53" i="15" s="1"/>
  <c r="A51" i="19"/>
  <c r="H54" i="15" s="1"/>
  <c r="A52" i="19"/>
  <c r="H55" i="15" s="1"/>
  <c r="A53" i="19"/>
  <c r="H56" i="15" s="1"/>
  <c r="A54" i="19"/>
  <c r="H57" i="15" s="1"/>
  <c r="A55" i="19"/>
  <c r="H58" i="15" s="1"/>
  <c r="A56" i="19"/>
  <c r="H59" i="15" s="1"/>
  <c r="A57" i="19"/>
  <c r="H60" i="15" s="1"/>
  <c r="A58" i="19"/>
  <c r="H61" i="15" s="1"/>
  <c r="A59" i="19"/>
  <c r="H62" i="15" s="1"/>
  <c r="A60" i="19"/>
  <c r="H63" i="15" s="1"/>
  <c r="A61" i="19"/>
  <c r="H64" i="15" s="1"/>
  <c r="A62" i="19"/>
  <c r="H65" i="15" s="1"/>
  <c r="A63" i="19"/>
  <c r="H66" i="15" s="1"/>
  <c r="A64" i="19"/>
  <c r="H67" i="15" s="1"/>
  <c r="A65" i="19"/>
  <c r="H68" i="15" s="1"/>
  <c r="A66" i="19"/>
  <c r="H69" i="15" s="1"/>
  <c r="A67" i="19"/>
  <c r="H70" i="15" s="1"/>
  <c r="A68" i="19"/>
  <c r="A69" i="19"/>
  <c r="H72" i="15" s="1"/>
  <c r="A70" i="19"/>
  <c r="H73" i="15" s="1"/>
  <c r="A71" i="19"/>
  <c r="H74" i="15" s="1"/>
  <c r="A72" i="19"/>
  <c r="H75" i="15" s="1"/>
  <c r="A16" i="19"/>
  <c r="H19" i="15" s="1"/>
  <c r="C16" i="19"/>
  <c r="F20" i="20" s="1"/>
  <c r="G72" i="4"/>
  <c r="F72" i="4"/>
  <c r="G71" i="4"/>
  <c r="F71" i="4"/>
  <c r="G70" i="4"/>
  <c r="F70" i="4"/>
  <c r="G69" i="4"/>
  <c r="F69" i="4"/>
  <c r="G68" i="4"/>
  <c r="F68" i="4"/>
  <c r="G67" i="4"/>
  <c r="F67" i="4"/>
  <c r="G66" i="4"/>
  <c r="F66" i="4"/>
  <c r="G65" i="4"/>
  <c r="F65" i="4"/>
  <c r="G64" i="4"/>
  <c r="F64" i="4"/>
  <c r="G63" i="4"/>
  <c r="F63" i="4"/>
  <c r="G62" i="4"/>
  <c r="F62" i="4"/>
  <c r="G61" i="4"/>
  <c r="F61" i="4"/>
  <c r="G60" i="4"/>
  <c r="F60" i="4"/>
  <c r="G59" i="4"/>
  <c r="F59" i="4"/>
  <c r="G58" i="4"/>
  <c r="F58" i="4"/>
  <c r="G57" i="4"/>
  <c r="F57" i="4"/>
  <c r="G56" i="4"/>
  <c r="F56" i="4"/>
  <c r="G55" i="4"/>
  <c r="F55" i="4"/>
  <c r="G54" i="4"/>
  <c r="F54" i="4"/>
  <c r="G53" i="4"/>
  <c r="F53" i="4"/>
  <c r="G52" i="4"/>
  <c r="F52" i="4"/>
  <c r="G51" i="4"/>
  <c r="F51" i="4"/>
  <c r="G50" i="4"/>
  <c r="F50" i="4"/>
  <c r="G49" i="4"/>
  <c r="F49" i="4"/>
  <c r="G48" i="4"/>
  <c r="F48" i="4"/>
  <c r="G47" i="4"/>
  <c r="F47" i="4"/>
  <c r="G46" i="4"/>
  <c r="F46" i="4"/>
  <c r="G45" i="4"/>
  <c r="F45" i="4"/>
  <c r="G44" i="4"/>
  <c r="F44" i="4"/>
  <c r="G43" i="4"/>
  <c r="F43" i="4"/>
  <c r="G42" i="4"/>
  <c r="F42" i="4"/>
  <c r="G41" i="4"/>
  <c r="F41" i="4"/>
  <c r="G40" i="4"/>
  <c r="F40" i="4"/>
  <c r="G39" i="4"/>
  <c r="F39" i="4"/>
  <c r="G38" i="4"/>
  <c r="F38" i="4"/>
  <c r="G37" i="4"/>
  <c r="F37" i="4"/>
  <c r="G36" i="4"/>
  <c r="F36" i="4"/>
  <c r="G35" i="4"/>
  <c r="F35" i="4"/>
  <c r="G34" i="4"/>
  <c r="F34" i="4"/>
  <c r="G33" i="4"/>
  <c r="F33" i="4"/>
  <c r="G32" i="4"/>
  <c r="F32" i="4"/>
  <c r="G31" i="4"/>
  <c r="F31" i="4"/>
  <c r="G30" i="4"/>
  <c r="F30" i="4"/>
  <c r="G29" i="4"/>
  <c r="F29" i="4"/>
  <c r="G28" i="4"/>
  <c r="F28" i="4"/>
  <c r="G27" i="4"/>
  <c r="F27" i="4"/>
  <c r="G26" i="4"/>
  <c r="F26" i="4"/>
  <c r="G25" i="4"/>
  <c r="F25" i="4"/>
  <c r="G24" i="4"/>
  <c r="F24" i="4"/>
  <c r="G23" i="4"/>
  <c r="F23" i="4"/>
  <c r="G22" i="4"/>
  <c r="F22" i="4"/>
  <c r="G21" i="4"/>
  <c r="F21" i="4"/>
  <c r="G20" i="4"/>
  <c r="F20" i="4"/>
  <c r="G19" i="4"/>
  <c r="F19" i="4"/>
  <c r="G18" i="4"/>
  <c r="F18" i="4"/>
  <c r="G17" i="4"/>
  <c r="F17" i="4"/>
  <c r="G16" i="4"/>
  <c r="F16" i="4"/>
  <c r="G11" i="4"/>
  <c r="J6" i="4"/>
  <c r="J5" i="4"/>
  <c r="A813" i="11"/>
  <c r="A708" i="11"/>
  <c r="A812" i="11"/>
  <c r="A729" i="11"/>
  <c r="A789" i="11"/>
  <c r="A763" i="11"/>
  <c r="A809" i="11"/>
  <c r="A798" i="11"/>
  <c r="A806" i="11"/>
  <c r="A734" i="11"/>
  <c r="A805" i="11"/>
  <c r="A772" i="11"/>
  <c r="A803" i="11"/>
  <c r="A802" i="11"/>
  <c r="A767" i="11"/>
  <c r="A779" i="11"/>
  <c r="A799" i="11"/>
  <c r="A797" i="11"/>
  <c r="A735" i="11"/>
  <c r="A804" i="11"/>
  <c r="A698" i="11"/>
  <c r="A697" i="11"/>
  <c r="A696" i="11"/>
  <c r="A695" i="11"/>
  <c r="A694" i="11"/>
  <c r="A693" i="11"/>
  <c r="A691" i="11"/>
  <c r="A689" i="11"/>
  <c r="A690" i="11"/>
  <c r="A688" i="11"/>
  <c r="A687" i="11"/>
  <c r="A686" i="11"/>
  <c r="A685" i="11"/>
  <c r="A684" i="11"/>
  <c r="A793" i="11"/>
  <c r="A759" i="11"/>
  <c r="A792" i="11"/>
  <c r="A768" i="11"/>
  <c r="A800" i="11"/>
  <c r="A700" i="11"/>
  <c r="A786" i="11"/>
  <c r="A808" i="11"/>
  <c r="A710" i="11"/>
  <c r="A784" i="11"/>
  <c r="A773" i="11"/>
  <c r="A683" i="11"/>
  <c r="A682" i="11"/>
  <c r="A681" i="11"/>
  <c r="A680" i="11"/>
  <c r="A679" i="11"/>
  <c r="A666" i="11"/>
  <c r="A676" i="11"/>
  <c r="A674" i="11"/>
  <c r="A673" i="11"/>
  <c r="A672" i="11"/>
  <c r="A581" i="11"/>
  <c r="A580" i="11"/>
  <c r="A579" i="11"/>
  <c r="A578" i="11"/>
  <c r="A577" i="11"/>
  <c r="A576" i="11"/>
  <c r="A490" i="11"/>
  <c r="A575" i="11"/>
  <c r="A574" i="11"/>
  <c r="A573" i="11"/>
  <c r="A571" i="11"/>
  <c r="A570" i="11"/>
  <c r="A569" i="11"/>
  <c r="A783" i="11"/>
  <c r="A782" i="11"/>
  <c r="A719" i="11"/>
  <c r="A801" i="11"/>
  <c r="A716" i="11"/>
  <c r="A701" i="11"/>
  <c r="A778" i="11"/>
  <c r="A736" i="11"/>
  <c r="A807" i="11"/>
  <c r="A776" i="11"/>
  <c r="A775" i="11"/>
  <c r="A607" i="11"/>
  <c r="A671" i="11"/>
  <c r="A670" i="11"/>
  <c r="A669" i="11"/>
  <c r="A668" i="11"/>
  <c r="A601" i="11"/>
  <c r="A667" i="11"/>
  <c r="A665" i="11"/>
  <c r="A664" i="11"/>
  <c r="A663" i="11"/>
  <c r="A662" i="11"/>
  <c r="A660" i="11"/>
  <c r="A659" i="11"/>
  <c r="A568" i="11"/>
  <c r="A567" i="11"/>
  <c r="A566" i="11"/>
  <c r="A537" i="11"/>
  <c r="A565" i="11"/>
  <c r="A564" i="11"/>
  <c r="A563" i="11"/>
  <c r="A561" i="11"/>
  <c r="A560" i="11"/>
  <c r="A559" i="11"/>
  <c r="A558" i="11"/>
  <c r="A557" i="11"/>
  <c r="A482" i="11"/>
  <c r="A556" i="11"/>
  <c r="A555" i="11"/>
  <c r="A465" i="11"/>
  <c r="A464" i="11"/>
  <c r="A463" i="11"/>
  <c r="A462" i="11"/>
  <c r="A461" i="11"/>
  <c r="A460" i="11"/>
  <c r="A457" i="11"/>
  <c r="A456" i="11"/>
  <c r="A455" i="11"/>
  <c r="A454" i="11"/>
  <c r="A453" i="11"/>
  <c r="A452" i="11"/>
  <c r="A400" i="11"/>
  <c r="A451" i="11"/>
  <c r="A730" i="11"/>
  <c r="A811" i="11"/>
  <c r="A790" i="11"/>
  <c r="A788" i="11"/>
  <c r="A765" i="11"/>
  <c r="A764" i="11"/>
  <c r="A762" i="11"/>
  <c r="A761" i="11"/>
  <c r="A722" i="11"/>
  <c r="A795" i="11"/>
  <c r="A657" i="11"/>
  <c r="A656" i="11"/>
  <c r="A655" i="11"/>
  <c r="A654" i="11"/>
  <c r="A653" i="11"/>
  <c r="A652" i="11"/>
  <c r="A651" i="11"/>
  <c r="A650" i="11"/>
  <c r="A648" i="11"/>
  <c r="A647" i="11"/>
  <c r="A646" i="11"/>
  <c r="A644" i="11"/>
  <c r="A554" i="11"/>
  <c r="A539" i="11"/>
  <c r="A553" i="11"/>
  <c r="A552" i="11"/>
  <c r="A551" i="11"/>
  <c r="A550" i="11"/>
  <c r="A548" i="11"/>
  <c r="A547" i="11"/>
  <c r="A546" i="11"/>
  <c r="A545" i="11"/>
  <c r="A544" i="11"/>
  <c r="A543" i="11"/>
  <c r="A542" i="11"/>
  <c r="A541" i="11"/>
  <c r="A450" i="11"/>
  <c r="A434" i="11"/>
  <c r="A449" i="11"/>
  <c r="A365" i="11"/>
  <c r="A379" i="11"/>
  <c r="A448" i="11"/>
  <c r="A447" i="11"/>
  <c r="A446" i="11"/>
  <c r="A445" i="11"/>
  <c r="A444" i="11"/>
  <c r="A443" i="11"/>
  <c r="A441" i="11"/>
  <c r="A440" i="11"/>
  <c r="A438" i="11"/>
  <c r="A437" i="11"/>
  <c r="A436" i="11"/>
  <c r="A349" i="11"/>
  <c r="A348" i="11"/>
  <c r="A347" i="11"/>
  <c r="A346" i="11"/>
  <c r="A306" i="11"/>
  <c r="A345" i="11"/>
  <c r="A344" i="11"/>
  <c r="A343" i="11"/>
  <c r="A342" i="11"/>
  <c r="A341" i="11"/>
  <c r="A340" i="11"/>
  <c r="A339" i="11"/>
  <c r="A338" i="11"/>
  <c r="A337" i="11"/>
  <c r="A336" i="11"/>
  <c r="A335" i="11"/>
  <c r="A334" i="11"/>
  <c r="A333" i="11"/>
  <c r="A758" i="11"/>
  <c r="A757" i="11"/>
  <c r="A769" i="11"/>
  <c r="A780" i="11"/>
  <c r="A755" i="11"/>
  <c r="A754" i="11"/>
  <c r="A752" i="11"/>
  <c r="A810" i="11"/>
  <c r="A749" i="11"/>
  <c r="A748" i="11"/>
  <c r="A723" i="11"/>
  <c r="A746" i="11"/>
  <c r="A642" i="11"/>
  <c r="A641" i="11"/>
  <c r="A640" i="11"/>
  <c r="A639" i="11"/>
  <c r="A692" i="11"/>
  <c r="A638" i="11"/>
  <c r="A637" i="11"/>
  <c r="A636" i="11"/>
  <c r="A635" i="11"/>
  <c r="A634" i="11"/>
  <c r="A645" i="11"/>
  <c r="A633" i="11"/>
  <c r="A540" i="11"/>
  <c r="A538" i="11"/>
  <c r="A536" i="11"/>
  <c r="A492" i="11"/>
  <c r="A535" i="11"/>
  <c r="A534" i="11"/>
  <c r="A532" i="11"/>
  <c r="A531" i="11"/>
  <c r="A530" i="11"/>
  <c r="A529" i="11"/>
  <c r="A528" i="11"/>
  <c r="A527" i="11"/>
  <c r="A526" i="11"/>
  <c r="A525" i="11"/>
  <c r="A524" i="11"/>
  <c r="A435" i="11"/>
  <c r="A433" i="11"/>
  <c r="A432" i="11"/>
  <c r="A431" i="11"/>
  <c r="A430" i="11"/>
  <c r="A429" i="11"/>
  <c r="A428" i="11"/>
  <c r="A427" i="11"/>
  <c r="A426" i="11"/>
  <c r="A424" i="11"/>
  <c r="A423" i="11"/>
  <c r="A422" i="11"/>
  <c r="A421" i="11"/>
  <c r="A420" i="11"/>
  <c r="A419" i="11"/>
  <c r="A331" i="11"/>
  <c r="A330" i="11"/>
  <c r="A329" i="11"/>
  <c r="A328" i="11"/>
  <c r="A327" i="11"/>
  <c r="A326" i="11"/>
  <c r="A325" i="11"/>
  <c r="A323" i="11"/>
  <c r="A322" i="11"/>
  <c r="A321" i="11"/>
  <c r="A320" i="11"/>
  <c r="A280" i="11"/>
  <c r="A319" i="11"/>
  <c r="A318" i="11"/>
  <c r="A316" i="11"/>
  <c r="A315" i="11"/>
  <c r="A314" i="11"/>
  <c r="A234" i="11"/>
  <c r="A232" i="11"/>
  <c r="A231" i="11"/>
  <c r="A158" i="11"/>
  <c r="A229" i="11"/>
  <c r="A228" i="11"/>
  <c r="A227" i="11"/>
  <c r="A226" i="11"/>
  <c r="A225" i="11"/>
  <c r="A224" i="11"/>
  <c r="A223" i="11"/>
  <c r="A222" i="11"/>
  <c r="A220" i="11"/>
  <c r="A219" i="11"/>
  <c r="A218" i="11"/>
  <c r="A217" i="11"/>
  <c r="A216" i="11"/>
  <c r="A215" i="11"/>
  <c r="A214" i="11"/>
  <c r="A212" i="11"/>
  <c r="A211" i="11"/>
  <c r="A210" i="11"/>
  <c r="A209" i="11"/>
  <c r="A745" i="11"/>
  <c r="A744" i="11"/>
  <c r="A743" i="11"/>
  <c r="A756" i="11"/>
  <c r="A728" i="11"/>
  <c r="A741" i="11"/>
  <c r="A713" i="11"/>
  <c r="A702" i="11"/>
  <c r="A738" i="11"/>
  <c r="A737" i="11"/>
  <c r="A724" i="11"/>
  <c r="A733" i="11"/>
  <c r="A643" i="11"/>
  <c r="A632" i="11"/>
  <c r="A631" i="11"/>
  <c r="A630" i="11"/>
  <c r="A629" i="11"/>
  <c r="A628" i="11"/>
  <c r="A627" i="11"/>
  <c r="A625" i="11"/>
  <c r="A624" i="11"/>
  <c r="A623" i="11"/>
  <c r="A622" i="11"/>
  <c r="A621" i="11"/>
  <c r="A620" i="11"/>
  <c r="A522" i="11"/>
  <c r="A521" i="11"/>
  <c r="A520" i="11"/>
  <c r="A519" i="11"/>
  <c r="A518" i="11"/>
  <c r="A517" i="11"/>
  <c r="A476" i="11"/>
  <c r="A516" i="11"/>
  <c r="A515" i="11"/>
  <c r="A514" i="11"/>
  <c r="A513" i="11"/>
  <c r="A512" i="11"/>
  <c r="A511" i="11"/>
  <c r="A510" i="11"/>
  <c r="A523" i="11"/>
  <c r="A509" i="11"/>
  <c r="A417" i="11"/>
  <c r="A416" i="11"/>
  <c r="A415" i="11"/>
  <c r="A414" i="11"/>
  <c r="A413" i="11"/>
  <c r="A412" i="11"/>
  <c r="A411" i="11"/>
  <c r="A410" i="11"/>
  <c r="A409" i="11"/>
  <c r="A408" i="11"/>
  <c r="A407" i="11"/>
  <c r="A406" i="11"/>
  <c r="A405" i="11"/>
  <c r="A404" i="11"/>
  <c r="A403" i="11"/>
  <c r="A401" i="11"/>
  <c r="A418" i="11"/>
  <c r="A313" i="11"/>
  <c r="A312" i="11"/>
  <c r="A311" i="11"/>
  <c r="A269" i="11"/>
  <c r="A310" i="11"/>
  <c r="A309" i="11"/>
  <c r="A308" i="11"/>
  <c r="A307" i="11"/>
  <c r="A305" i="11"/>
  <c r="A304" i="11"/>
  <c r="A303" i="11"/>
  <c r="A302" i="11"/>
  <c r="A300" i="11"/>
  <c r="A299" i="11"/>
  <c r="A298" i="11"/>
  <c r="A297" i="11"/>
  <c r="A296" i="11"/>
  <c r="A295" i="11"/>
  <c r="A294" i="11"/>
  <c r="A293" i="11"/>
  <c r="A292" i="11"/>
  <c r="A208" i="11"/>
  <c r="A207" i="11"/>
  <c r="A205" i="11"/>
  <c r="A204" i="11"/>
  <c r="A203" i="11"/>
  <c r="A202" i="11"/>
  <c r="A201" i="11"/>
  <c r="A200" i="11"/>
  <c r="A199" i="11"/>
  <c r="A198" i="11"/>
  <c r="A197" i="11"/>
  <c r="A196" i="11"/>
  <c r="A195" i="11"/>
  <c r="A194" i="11"/>
  <c r="A193" i="11"/>
  <c r="A127" i="11"/>
  <c r="A192" i="11"/>
  <c r="A191" i="11"/>
  <c r="A190" i="11"/>
  <c r="A189" i="11"/>
  <c r="A188" i="11"/>
  <c r="A187" i="11"/>
  <c r="A186" i="11"/>
  <c r="A116" i="11"/>
  <c r="A115" i="11"/>
  <c r="A114" i="11"/>
  <c r="A113" i="11"/>
  <c r="A112" i="11"/>
  <c r="A111" i="11"/>
  <c r="A110" i="11"/>
  <c r="A109" i="11"/>
  <c r="A79" i="11"/>
  <c r="A108" i="11"/>
  <c r="A107" i="11"/>
  <c r="A106" i="11"/>
  <c r="A104" i="11"/>
  <c r="A103" i="11"/>
  <c r="A102" i="11"/>
  <c r="A101" i="11"/>
  <c r="A100" i="11"/>
  <c r="A99" i="11"/>
  <c r="A98" i="11"/>
  <c r="A97" i="11"/>
  <c r="A96" i="11"/>
  <c r="A95" i="11"/>
  <c r="A94" i="11"/>
  <c r="A93" i="11"/>
  <c r="A117" i="11"/>
  <c r="A92" i="11"/>
  <c r="A91" i="11"/>
  <c r="A90" i="11"/>
  <c r="A89" i="11"/>
  <c r="A88" i="11"/>
  <c r="A732" i="11"/>
  <c r="A731" i="11"/>
  <c r="A718" i="11"/>
  <c r="A742" i="11"/>
  <c r="A727" i="11"/>
  <c r="A726" i="11"/>
  <c r="A753" i="11"/>
  <c r="A766" i="11"/>
  <c r="A712" i="11"/>
  <c r="A796" i="11"/>
  <c r="A747" i="11"/>
  <c r="A774" i="11"/>
  <c r="A619" i="11"/>
  <c r="A618" i="11"/>
  <c r="A617" i="11"/>
  <c r="A591" i="11"/>
  <c r="A616" i="11"/>
  <c r="A615" i="11"/>
  <c r="A614" i="11"/>
  <c r="A649" i="11"/>
  <c r="A613" i="11"/>
  <c r="A612" i="11"/>
  <c r="A611" i="11"/>
  <c r="A610" i="11"/>
  <c r="A609" i="11"/>
  <c r="A608" i="11"/>
  <c r="A508" i="11"/>
  <c r="A507" i="11"/>
  <c r="A505" i="11"/>
  <c r="A504" i="11"/>
  <c r="A503" i="11"/>
  <c r="A502" i="11"/>
  <c r="A501" i="11"/>
  <c r="A472" i="11"/>
  <c r="A500" i="11"/>
  <c r="A499" i="11"/>
  <c r="A572" i="11"/>
  <c r="A498" i="11"/>
  <c r="A497" i="11"/>
  <c r="A399" i="11"/>
  <c r="A396" i="11"/>
  <c r="A395" i="11"/>
  <c r="A394" i="11"/>
  <c r="A393" i="11"/>
  <c r="A392" i="11"/>
  <c r="A391" i="11"/>
  <c r="A390" i="11"/>
  <c r="A388" i="11"/>
  <c r="A387" i="11"/>
  <c r="A386" i="11"/>
  <c r="A385" i="11"/>
  <c r="A384" i="11"/>
  <c r="A398" i="11"/>
  <c r="A383" i="11"/>
  <c r="A402" i="11"/>
  <c r="A382" i="11"/>
  <c r="A291" i="11"/>
  <c r="A290" i="11"/>
  <c r="A288" i="11"/>
  <c r="A332" i="11"/>
  <c r="A287" i="11"/>
  <c r="A286" i="11"/>
  <c r="A285" i="11"/>
  <c r="A284" i="11"/>
  <c r="A283" i="11"/>
  <c r="A324" i="11"/>
  <c r="A282" i="11"/>
  <c r="A261" i="11"/>
  <c r="A281" i="11"/>
  <c r="A279" i="11"/>
  <c r="A278" i="11"/>
  <c r="A277" i="11"/>
  <c r="A276" i="11"/>
  <c r="A236" i="11"/>
  <c r="A275" i="11"/>
  <c r="A274" i="11"/>
  <c r="A185" i="11"/>
  <c r="A183" i="11"/>
  <c r="A182" i="11"/>
  <c r="A181" i="11"/>
  <c r="A180" i="11"/>
  <c r="A179" i="11"/>
  <c r="A178" i="11"/>
  <c r="A177" i="11"/>
  <c r="A176" i="11"/>
  <c r="A175" i="11"/>
  <c r="A173" i="11"/>
  <c r="A172" i="11"/>
  <c r="A221" i="11"/>
  <c r="A128" i="11"/>
  <c r="A171" i="11"/>
  <c r="A170" i="11"/>
  <c r="A169" i="11"/>
  <c r="A168" i="11"/>
  <c r="A167" i="11"/>
  <c r="A166" i="11"/>
  <c r="A165" i="11"/>
  <c r="A164" i="11"/>
  <c r="A87" i="11"/>
  <c r="A86" i="11"/>
  <c r="A85" i="11"/>
  <c r="A84" i="11"/>
  <c r="A83" i="11"/>
  <c r="A82" i="11"/>
  <c r="A81" i="11"/>
  <c r="A80" i="11"/>
  <c r="A78" i="11"/>
  <c r="A77" i="11"/>
  <c r="A76" i="11"/>
  <c r="A74" i="11"/>
  <c r="A73" i="11"/>
  <c r="A71" i="11"/>
  <c r="A70" i="11"/>
  <c r="A69" i="11"/>
  <c r="A68" i="11"/>
  <c r="A67" i="11"/>
  <c r="A66" i="11"/>
  <c r="A65" i="11"/>
  <c r="A64" i="11"/>
  <c r="A62" i="11"/>
  <c r="A61" i="11"/>
  <c r="A60" i="11"/>
  <c r="A59" i="11"/>
  <c r="A58" i="11"/>
  <c r="A57" i="11"/>
  <c r="A720" i="11"/>
  <c r="A791" i="11"/>
  <c r="A781" i="11"/>
  <c r="A715" i="11"/>
  <c r="A714" i="11"/>
  <c r="A787" i="11"/>
  <c r="A725" i="11"/>
  <c r="A739" i="11"/>
  <c r="A760" i="11"/>
  <c r="A711" i="11"/>
  <c r="A721" i="11"/>
  <c r="A606" i="11"/>
  <c r="A605" i="11"/>
  <c r="A604" i="11"/>
  <c r="A603" i="11"/>
  <c r="A602" i="11"/>
  <c r="A600" i="11"/>
  <c r="A599" i="11"/>
  <c r="A598" i="11"/>
  <c r="A597" i="11"/>
  <c r="A596" i="11"/>
  <c r="A595" i="11"/>
  <c r="A583" i="11"/>
  <c r="A594" i="11"/>
  <c r="A495" i="11"/>
  <c r="A494" i="11"/>
  <c r="A493" i="11"/>
  <c r="A491" i="11"/>
  <c r="A489" i="11"/>
  <c r="A488" i="11"/>
  <c r="A487" i="11"/>
  <c r="A486" i="11"/>
  <c r="A485" i="11"/>
  <c r="A484" i="11"/>
  <c r="A483" i="11"/>
  <c r="A381" i="11"/>
  <c r="A380" i="11"/>
  <c r="A378" i="11"/>
  <c r="A377" i="11"/>
  <c r="A376" i="11"/>
  <c r="A375" i="11"/>
  <c r="A374" i="11"/>
  <c r="A389" i="11"/>
  <c r="A373" i="11"/>
  <c r="A372" i="11"/>
  <c r="A371" i="11"/>
  <c r="A370" i="11"/>
  <c r="A369" i="11"/>
  <c r="A368" i="11"/>
  <c r="A367" i="11"/>
  <c r="A366" i="11"/>
  <c r="A272" i="11"/>
  <c r="A271" i="11"/>
  <c r="A270" i="11"/>
  <c r="A268" i="11"/>
  <c r="A267" i="11"/>
  <c r="A266" i="11"/>
  <c r="A265" i="11"/>
  <c r="A264" i="11"/>
  <c r="A262" i="11"/>
  <c r="A260" i="11"/>
  <c r="A259" i="11"/>
  <c r="A258" i="11"/>
  <c r="A257" i="11"/>
  <c r="A256" i="11"/>
  <c r="A273" i="11"/>
  <c r="A255" i="11"/>
  <c r="A254" i="11"/>
  <c r="A162" i="11"/>
  <c r="A161" i="11"/>
  <c r="A160" i="11"/>
  <c r="A159" i="11"/>
  <c r="A157" i="11"/>
  <c r="A156" i="11"/>
  <c r="A155" i="11"/>
  <c r="A154" i="11"/>
  <c r="A153" i="11"/>
  <c r="A151" i="11"/>
  <c r="A149" i="11"/>
  <c r="A148" i="11"/>
  <c r="A147" i="11"/>
  <c r="A146" i="11"/>
  <c r="A145" i="11"/>
  <c r="A144" i="11"/>
  <c r="A143" i="11"/>
  <c r="A163" i="11"/>
  <c r="A142" i="11"/>
  <c r="A141" i="11"/>
  <c r="A56" i="11"/>
  <c r="A54" i="11"/>
  <c r="A53" i="11"/>
  <c r="A51" i="11"/>
  <c r="A50" i="11"/>
  <c r="A49" i="11"/>
  <c r="A48" i="11"/>
  <c r="A47" i="11"/>
  <c r="A46" i="11"/>
  <c r="A45" i="11"/>
  <c r="A44" i="11"/>
  <c r="A43" i="11"/>
  <c r="A42" i="11"/>
  <c r="A40" i="11"/>
  <c r="A39" i="11"/>
  <c r="A38" i="11"/>
  <c r="A37" i="11"/>
  <c r="A36" i="11"/>
  <c r="A35" i="11"/>
  <c r="A63" i="11"/>
  <c r="A34" i="11"/>
  <c r="A33" i="11"/>
  <c r="A32" i="11"/>
  <c r="A31" i="11"/>
  <c r="A30" i="11"/>
  <c r="A29" i="11"/>
  <c r="A709" i="11"/>
  <c r="A770" i="11"/>
  <c r="A717" i="11"/>
  <c r="A707" i="11"/>
  <c r="A705" i="11"/>
  <c r="A706" i="11"/>
  <c r="A704" i="11"/>
  <c r="A703" i="11"/>
  <c r="A740" i="11"/>
  <c r="A750" i="11"/>
  <c r="A699" i="11"/>
  <c r="A785" i="11"/>
  <c r="A794" i="11"/>
  <c r="A592" i="11"/>
  <c r="A590" i="11"/>
  <c r="A589" i="11"/>
  <c r="A588" i="11"/>
  <c r="A586" i="11"/>
  <c r="A585" i="11"/>
  <c r="A584" i="11"/>
  <c r="A593" i="11"/>
  <c r="A582" i="11"/>
  <c r="A661" i="11"/>
  <c r="A481" i="11"/>
  <c r="A496" i="11"/>
  <c r="A480" i="11"/>
  <c r="A479" i="11"/>
  <c r="A478" i="11"/>
  <c r="A477" i="11"/>
  <c r="A474" i="11"/>
  <c r="A475" i="11"/>
  <c r="A471" i="11"/>
  <c r="A470" i="11"/>
  <c r="A468" i="11"/>
  <c r="A467" i="11"/>
  <c r="A466" i="11"/>
  <c r="A364" i="11"/>
  <c r="A363" i="11"/>
  <c r="A362" i="11"/>
  <c r="A361" i="11"/>
  <c r="A360" i="11"/>
  <c r="A359" i="11"/>
  <c r="A358" i="11"/>
  <c r="A357" i="11"/>
  <c r="A356" i="11"/>
  <c r="A355" i="11"/>
  <c r="A354" i="11"/>
  <c r="A353" i="11"/>
  <c r="A352" i="11"/>
  <c r="A351" i="11"/>
  <c r="A350" i="11"/>
  <c r="A253" i="11"/>
  <c r="A252" i="11"/>
  <c r="A251" i="11"/>
  <c r="A250" i="11"/>
  <c r="A249" i="11"/>
  <c r="A248" i="11"/>
  <c r="A247" i="11"/>
  <c r="A246" i="11"/>
  <c r="A245" i="11"/>
  <c r="A244" i="11"/>
  <c r="A241" i="11"/>
  <c r="A240" i="11"/>
  <c r="A239" i="11"/>
  <c r="A238" i="11"/>
  <c r="A237" i="11"/>
  <c r="A235" i="11"/>
  <c r="A233" i="11"/>
  <c r="A140" i="11"/>
  <c r="A139" i="11"/>
  <c r="A206" i="11"/>
  <c r="A230" i="11"/>
  <c r="A138" i="11"/>
  <c r="A137" i="11"/>
  <c r="A136" i="11"/>
  <c r="A135" i="11"/>
  <c r="A133" i="11"/>
  <c r="A134" i="11"/>
  <c r="A132" i="11"/>
  <c r="A130" i="11"/>
  <c r="A129" i="11"/>
  <c r="A126" i="11"/>
  <c r="A125" i="11"/>
  <c r="A124" i="11"/>
  <c r="A123" i="11"/>
  <c r="A122" i="11"/>
  <c r="A121" i="11"/>
  <c r="A120" i="11"/>
  <c r="A119" i="11"/>
  <c r="A118" i="11"/>
  <c r="A28" i="11"/>
  <c r="A27" i="11"/>
  <c r="A26" i="11"/>
  <c r="A25" i="11"/>
  <c r="A52" i="11"/>
  <c r="A24" i="11"/>
  <c r="A23" i="11"/>
  <c r="A22" i="11"/>
  <c r="A21" i="11"/>
  <c r="A20" i="11"/>
  <c r="A19" i="11"/>
  <c r="A18" i="11"/>
  <c r="A16" i="11"/>
  <c r="A15" i="11"/>
  <c r="A17" i="11"/>
  <c r="A14" i="11"/>
  <c r="A13" i="11"/>
  <c r="A12" i="11"/>
  <c r="A11" i="11"/>
  <c r="A10" i="11"/>
  <c r="A9" i="11"/>
  <c r="A8" i="11"/>
  <c r="A6" i="11"/>
  <c r="A5" i="11"/>
  <c r="A4" i="11"/>
  <c r="A3" i="11"/>
  <c r="A2" i="11"/>
  <c r="J77" i="15"/>
  <c r="I77" i="15"/>
  <c r="J76" i="15"/>
  <c r="I76" i="15"/>
  <c r="J75" i="15"/>
  <c r="I75" i="15"/>
  <c r="J74" i="15"/>
  <c r="I74" i="15"/>
  <c r="J73" i="15"/>
  <c r="I73" i="15"/>
  <c r="J72" i="15"/>
  <c r="I72" i="15"/>
  <c r="J71" i="15"/>
  <c r="I71" i="15"/>
  <c r="J70" i="15"/>
  <c r="I70" i="15"/>
  <c r="J69" i="15"/>
  <c r="I69" i="15"/>
  <c r="J68" i="15"/>
  <c r="I68" i="15"/>
  <c r="J67" i="15"/>
  <c r="I67" i="15"/>
  <c r="J66" i="15"/>
  <c r="I66" i="15"/>
  <c r="J65" i="15"/>
  <c r="I65" i="15"/>
  <c r="J64" i="15"/>
  <c r="I64" i="15"/>
  <c r="J63" i="15"/>
  <c r="I63" i="15"/>
  <c r="J62" i="15"/>
  <c r="I62" i="15"/>
  <c r="J61" i="15"/>
  <c r="I61" i="15"/>
  <c r="J60" i="15"/>
  <c r="I60" i="15"/>
  <c r="J59" i="15"/>
  <c r="I59" i="15"/>
  <c r="J58" i="15"/>
  <c r="I58" i="15"/>
  <c r="J57" i="15"/>
  <c r="I57" i="15"/>
  <c r="J56" i="15"/>
  <c r="I56" i="15"/>
  <c r="J55" i="15"/>
  <c r="I55" i="15"/>
  <c r="J54" i="15"/>
  <c r="I54" i="15"/>
  <c r="J53" i="15"/>
  <c r="I53" i="15"/>
  <c r="J52" i="15"/>
  <c r="I52" i="15"/>
  <c r="J51" i="15"/>
  <c r="I51" i="15"/>
  <c r="J50" i="15"/>
  <c r="I50" i="15"/>
  <c r="J49" i="15"/>
  <c r="I49" i="15"/>
  <c r="J46" i="15"/>
  <c r="I46" i="15"/>
  <c r="J45" i="15"/>
  <c r="I45" i="15"/>
  <c r="J44" i="15"/>
  <c r="I44" i="15"/>
  <c r="J43" i="15"/>
  <c r="I43" i="15"/>
  <c r="J42" i="15"/>
  <c r="I42" i="15"/>
  <c r="I41" i="15"/>
  <c r="J40" i="15"/>
  <c r="I40" i="15"/>
  <c r="J39" i="15"/>
  <c r="I39" i="15"/>
  <c r="J38" i="15"/>
  <c r="I38" i="15"/>
  <c r="J37" i="15"/>
  <c r="I37" i="15"/>
  <c r="J36" i="15"/>
  <c r="I36" i="15"/>
  <c r="J35" i="15"/>
  <c r="I35" i="15"/>
  <c r="J34" i="15"/>
  <c r="I34" i="15"/>
  <c r="J33" i="15"/>
  <c r="I33" i="15"/>
  <c r="J32" i="15"/>
  <c r="I32" i="15"/>
  <c r="J31" i="15"/>
  <c r="I31" i="15"/>
  <c r="J30" i="15"/>
  <c r="I30" i="15"/>
  <c r="I29" i="15"/>
  <c r="J28" i="15"/>
  <c r="I28" i="15"/>
  <c r="J27" i="15"/>
  <c r="I27" i="15"/>
  <c r="J26" i="15"/>
  <c r="I26" i="15"/>
  <c r="J25" i="15"/>
  <c r="I25" i="15"/>
  <c r="J24" i="15"/>
  <c r="I24" i="15"/>
  <c r="I23" i="15"/>
  <c r="J22" i="15"/>
  <c r="I22" i="15"/>
  <c r="J21" i="15"/>
  <c r="I21" i="15"/>
  <c r="J20" i="15"/>
  <c r="I20" i="15"/>
  <c r="N6" i="15"/>
  <c r="N5" i="15"/>
  <c r="E16" i="4" l="1"/>
  <c r="E17" i="4"/>
  <c r="H20" i="15"/>
  <c r="H16" i="15" s="1"/>
  <c r="G16" i="20"/>
  <c r="E25" i="4"/>
  <c r="E26" i="4"/>
  <c r="E29" i="4"/>
  <c r="E18" i="4"/>
  <c r="E38" i="4"/>
  <c r="E19" i="4"/>
  <c r="E39" i="4"/>
  <c r="E40" i="4"/>
  <c r="E499" i="4"/>
  <c r="E501" i="4"/>
  <c r="E21" i="4"/>
  <c r="E22" i="4"/>
  <c r="E23" i="4"/>
  <c r="E20" i="4"/>
  <c r="E37" i="4"/>
  <c r="E27" i="4"/>
  <c r="E28" i="4"/>
  <c r="E30" i="4"/>
  <c r="E31" i="4"/>
  <c r="E33" i="4"/>
  <c r="E34" i="4"/>
  <c r="E32" i="4"/>
  <c r="E35" i="4"/>
  <c r="E36" i="4"/>
  <c r="E24" i="4"/>
  <c r="E500" i="4"/>
  <c r="I16"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Cristian Londono</author>
  </authors>
  <commentList>
    <comment ref="F30" authorId="0" shapeId="0" xr:uid="{34E58B8E-D2A3-4B40-91ED-CEF4B43D87F5}">
      <text>
        <r>
          <rPr>
            <b/>
            <sz val="9"/>
            <color indexed="81"/>
            <rFont val="Tahoma"/>
            <family val="2"/>
          </rPr>
          <t>The last Sunday of the month is open for inventory.</t>
        </r>
      </text>
    </comment>
    <comment ref="F210" authorId="0" shapeId="0" xr:uid="{0A24F666-DE12-4394-AAA1-25EDDA796484}">
      <text>
        <r>
          <rPr>
            <b/>
            <sz val="9"/>
            <color indexed="81"/>
            <rFont val="Tahoma"/>
            <family val="2"/>
          </rPr>
          <t>The last Sunday of the month is open for inventory.</t>
        </r>
      </text>
    </comment>
    <comment ref="F255" authorId="0" shapeId="0" xr:uid="{25AB628F-73CF-4192-ABEB-78BBF6DF9A47}">
      <text>
        <r>
          <rPr>
            <b/>
            <sz val="9"/>
            <color indexed="81"/>
            <rFont val="Tahoma"/>
            <family val="2"/>
          </rPr>
          <t>The last Sunday of the month is open for inventory.</t>
        </r>
      </text>
    </comment>
    <comment ref="F382" authorId="0" shapeId="0" xr:uid="{9A1BD245-44B5-4A92-9E86-E9C77F0FC982}">
      <text>
        <r>
          <rPr>
            <b/>
            <sz val="9"/>
            <color indexed="81"/>
            <rFont val="Tahoma"/>
            <family val="2"/>
          </rPr>
          <t>The last Sunday of the month is open for inventory.</t>
        </r>
      </text>
    </comment>
    <comment ref="F556" authorId="0" shapeId="0" xr:uid="{834E5850-65A0-4407-A590-FCC6141F79C0}">
      <text>
        <r>
          <rPr>
            <b/>
            <sz val="9"/>
            <color indexed="81"/>
            <rFont val="Tahoma"/>
            <family val="2"/>
          </rPr>
          <t>The last Sunday of the month is open for inventory.</t>
        </r>
      </text>
    </comment>
    <comment ref="F672" authorId="0" shapeId="0" xr:uid="{21FACA90-EBE8-4267-A000-263702E97CBA}">
      <text>
        <r>
          <rPr>
            <b/>
            <sz val="9"/>
            <color indexed="81"/>
            <rFont val="Tahoma"/>
            <family val="2"/>
          </rPr>
          <t>The last Sunday of the month is open for inventory.</t>
        </r>
      </text>
    </comment>
    <comment ref="F795" authorId="0" shapeId="0" xr:uid="{0EE2DB66-7587-4E2C-9C7A-62BF0B4296BF}">
      <text>
        <r>
          <rPr>
            <b/>
            <sz val="9"/>
            <color indexed="81"/>
            <rFont val="Tahoma"/>
            <family val="2"/>
          </rPr>
          <t>The last Sunday of the month is open for inventory.</t>
        </r>
      </text>
    </comment>
    <comment ref="F903" authorId="0" shapeId="0" xr:uid="{A9CCD0D4-568F-4437-80E3-F7D8357CD23F}">
      <text>
        <r>
          <rPr>
            <b/>
            <sz val="9"/>
            <color indexed="81"/>
            <rFont val="Tahoma"/>
            <family val="2"/>
          </rPr>
          <t>The last Sunday of the month is open for inventory.</t>
        </r>
      </text>
    </comment>
    <comment ref="F1013" authorId="0" shapeId="0" xr:uid="{FA9F09ED-86FD-4918-BB09-7775A991B11C}">
      <text>
        <r>
          <rPr>
            <b/>
            <sz val="9"/>
            <color indexed="81"/>
            <rFont val="Tahoma"/>
            <family val="2"/>
          </rPr>
          <t>The last Sunday of the month is open for inventory.</t>
        </r>
      </text>
    </comment>
    <comment ref="F1123" authorId="0" shapeId="0" xr:uid="{32243249-1E07-4A34-8369-F91DA405CBF7}">
      <text>
        <r>
          <rPr>
            <b/>
            <sz val="9"/>
            <color indexed="81"/>
            <rFont val="Tahoma"/>
            <family val="2"/>
          </rPr>
          <t>The last Sunday of the month is open for inventory.</t>
        </r>
      </text>
    </comment>
    <comment ref="F1270" authorId="0" shapeId="0" xr:uid="{40EB8033-29AE-4B9D-A715-AD3B9C077A9E}">
      <text>
        <r>
          <rPr>
            <b/>
            <sz val="9"/>
            <color indexed="81"/>
            <rFont val="Tahoma"/>
            <family val="2"/>
          </rPr>
          <t>The last Sunday of the month is open for inventory.</t>
        </r>
      </text>
    </comment>
    <comment ref="F1379" authorId="0" shapeId="0" xr:uid="{32FD308B-7244-4742-944C-5C9217B9CB69}">
      <text>
        <r>
          <rPr>
            <b/>
            <sz val="9"/>
            <color indexed="81"/>
            <rFont val="Tahoma"/>
            <family val="2"/>
          </rPr>
          <t>The last Sunday of the month is open for inventory.</t>
        </r>
      </text>
    </comment>
    <comment ref="F1487" authorId="0" shapeId="0" xr:uid="{E86C1646-911A-4402-8484-9CC3F26C3E10}">
      <text>
        <r>
          <rPr>
            <b/>
            <sz val="9"/>
            <color indexed="81"/>
            <rFont val="Tahoma"/>
            <family val="2"/>
          </rPr>
          <t>The last Sunday of the month is open for inventory.</t>
        </r>
      </text>
    </comment>
    <comment ref="F1596" authorId="0" shapeId="0" xr:uid="{47158992-DBE5-4462-B0BC-209BA38AF05C}">
      <text>
        <r>
          <rPr>
            <b/>
            <sz val="9"/>
            <color indexed="81"/>
            <rFont val="Tahoma"/>
            <family val="2"/>
          </rPr>
          <t>The last Sunday of the month is open for inventory.</t>
        </r>
      </text>
    </comment>
    <comment ref="F1706" authorId="0" shapeId="0" xr:uid="{5859315A-F85E-4532-9DC2-31027D2178C1}">
      <text>
        <r>
          <rPr>
            <b/>
            <sz val="9"/>
            <color indexed="81"/>
            <rFont val="Tahoma"/>
            <family val="2"/>
          </rPr>
          <t>The last Sunday of the month is open for inventory.</t>
        </r>
      </text>
    </comment>
    <comment ref="F1819" authorId="0" shapeId="0" xr:uid="{4A270A44-707E-45B9-B27B-4ECC977EEF73}">
      <text>
        <r>
          <rPr>
            <b/>
            <sz val="9"/>
            <color indexed="81"/>
            <rFont val="Tahoma"/>
            <family val="2"/>
          </rPr>
          <t>The last Sunday of the month is open for inventory.</t>
        </r>
      </text>
    </comment>
    <comment ref="F1930" authorId="0" shapeId="0" xr:uid="{07FCEED2-3959-484F-AC48-2CFF94732A25}">
      <text>
        <r>
          <rPr>
            <b/>
            <sz val="9"/>
            <color indexed="81"/>
            <rFont val="Tahoma"/>
            <family val="2"/>
          </rPr>
          <t>The last Sunday of the month is open for inventory.</t>
        </r>
      </text>
    </comment>
    <comment ref="F2044" authorId="0" shapeId="0" xr:uid="{33F4F792-44BA-492F-A8C4-D1F988167AC5}">
      <text>
        <r>
          <rPr>
            <b/>
            <sz val="9"/>
            <color indexed="81"/>
            <rFont val="Tahoma"/>
            <family val="2"/>
          </rPr>
          <t>The last Sunday of the month is open for inventory.</t>
        </r>
      </text>
    </comment>
    <comment ref="F2157" authorId="0" shapeId="0" xr:uid="{55A301DC-B348-4D57-848B-AF446864E0C1}">
      <text>
        <r>
          <rPr>
            <b/>
            <sz val="9"/>
            <color indexed="81"/>
            <rFont val="Tahoma"/>
            <family val="2"/>
          </rPr>
          <t>The last Sunday of the month is open for inventory.</t>
        </r>
      </text>
    </comment>
    <comment ref="F2272" authorId="0" shapeId="0" xr:uid="{60621C93-A8FC-4E88-9143-F763457ACB5B}">
      <text>
        <r>
          <rPr>
            <b/>
            <sz val="9"/>
            <color indexed="81"/>
            <rFont val="Tahoma"/>
            <family val="2"/>
          </rPr>
          <t>The last Sunday of the month is open for inventory.</t>
        </r>
      </text>
    </comment>
    <comment ref="F2385" authorId="0" shapeId="0" xr:uid="{A811E236-C64A-4457-BF55-1BCC131BF535}">
      <text>
        <r>
          <rPr>
            <b/>
            <sz val="9"/>
            <color indexed="81"/>
            <rFont val="Tahoma"/>
            <family val="2"/>
          </rPr>
          <t>The last Sunday of the month is open for inventory.</t>
        </r>
      </text>
    </comment>
    <comment ref="F2497" authorId="0" shapeId="0" xr:uid="{E45C36B6-C434-43B0-97B8-B7F19240AE94}">
      <text>
        <r>
          <rPr>
            <b/>
            <sz val="9"/>
            <color indexed="81"/>
            <rFont val="Tahoma"/>
            <family val="2"/>
          </rPr>
          <t>The last Sunday of the month is open for inventory.</t>
        </r>
      </text>
    </comment>
    <comment ref="F2609" authorId="0" shapeId="0" xr:uid="{50E0D873-CAE0-4E98-BB9F-93C249ED6F0A}">
      <text>
        <r>
          <rPr>
            <b/>
            <sz val="9"/>
            <color indexed="81"/>
            <rFont val="Tahoma"/>
            <family val="2"/>
          </rPr>
          <t>The last Sunday of the month is open for inventory.</t>
        </r>
      </text>
    </comment>
    <comment ref="F2725" authorId="0" shapeId="0" xr:uid="{659F00BB-EBCC-46AD-AFDC-B7AACC46DA65}">
      <text>
        <r>
          <rPr>
            <b/>
            <sz val="9"/>
            <color indexed="81"/>
            <rFont val="Tahoma"/>
            <family val="2"/>
          </rPr>
          <t>The last Sunday of the month is open for inventory.</t>
        </r>
      </text>
    </comment>
    <comment ref="F2839" authorId="0" shapeId="0" xr:uid="{E3C3151A-A7DC-4ED3-9621-91EE6EC6212E}">
      <text>
        <r>
          <rPr>
            <b/>
            <sz val="9"/>
            <color indexed="81"/>
            <rFont val="Tahoma"/>
            <family val="2"/>
          </rPr>
          <t>The last Sunday of the month is open for inventory.</t>
        </r>
      </text>
    </comment>
    <comment ref="F2952" authorId="0" shapeId="0" xr:uid="{C6314068-B510-4219-9050-24B8C6D62605}">
      <text>
        <r>
          <rPr>
            <b/>
            <sz val="9"/>
            <color indexed="81"/>
            <rFont val="Tahoma"/>
            <family val="2"/>
          </rPr>
          <t>The last Sunday of the month is open for inventory.</t>
        </r>
      </text>
    </comment>
    <comment ref="F3066" authorId="0" shapeId="0" xr:uid="{87171940-A5E2-4F4A-8C0C-DFA6B6E85598}">
      <text>
        <r>
          <rPr>
            <b/>
            <sz val="9"/>
            <color indexed="81"/>
            <rFont val="Tahoma"/>
            <family val="2"/>
          </rPr>
          <t>The last Sunday of the month is open for inventory.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tc={804116AA-0812-4CBE-BA2B-AB0C7316AC8C}</author>
  </authors>
  <commentList>
    <comment ref="E85" authorId="0" shapeId="0" xr:uid="{804116AA-0812-4CBE-BA2B-AB0C7316AC8C}">
      <text>
        <t>[Threaded comment]
Your version of Excel allows you to read this threaded comment; however, any edits to it will get removed if the file is opened in a newer version of Excel. Learn more: https://go.microsoft.com/fwlink/?linkid=870924
Comment:
    Disabled</t>
      </text>
    </comment>
  </commentList>
</comments>
</file>

<file path=xl/sharedStrings.xml><?xml version="1.0" encoding="utf-8"?>
<sst xmlns="http://schemas.openxmlformats.org/spreadsheetml/2006/main" count="20544" uniqueCount="525">
  <si>
    <t>Alphabetical Order</t>
  </si>
  <si>
    <t>From: Split-Station:</t>
  </si>
  <si>
    <t>Site</t>
  </si>
  <si>
    <t>Searched Site:</t>
  </si>
  <si>
    <t>Serached Site:</t>
  </si>
  <si>
    <t>(DT) Modesto</t>
  </si>
  <si>
    <t>Its On:</t>
  </si>
  <si>
    <t xml:space="preserve">Station </t>
  </si>
  <si>
    <t>(KG) JLR LEHI (NO TOURS)</t>
  </si>
  <si>
    <t>(ML) Mazda VW-Lot B</t>
  </si>
  <si>
    <t xml:space="preserve"> </t>
  </si>
  <si>
    <t>Split</t>
  </si>
  <si>
    <t>Station</t>
  </si>
  <si>
    <t>Total Sites</t>
  </si>
  <si>
    <t>Log Out from</t>
  </si>
  <si>
    <t>Total New Sites</t>
  </si>
  <si>
    <t/>
  </si>
  <si>
    <t>Log Time</t>
  </si>
  <si>
    <t>Sites</t>
  </si>
  <si>
    <t>Drop time</t>
  </si>
  <si>
    <t>Suma de Station</t>
  </si>
  <si>
    <t>Log Out</t>
  </si>
  <si>
    <t>SIG Tools</t>
  </si>
  <si>
    <t xml:space="preserve">Log Time </t>
  </si>
  <si>
    <t>T.Z.</t>
  </si>
  <si>
    <t>SUNDAY (D.T.)</t>
  </si>
  <si>
    <t>Gates</t>
  </si>
  <si>
    <t>Entrances</t>
  </si>
  <si>
    <t>LPR</t>
  </si>
  <si>
    <t>PTZ</t>
  </si>
  <si>
    <t>Important Cameras</t>
  </si>
  <si>
    <t>Notes*</t>
  </si>
  <si>
    <t>Sum of Station</t>
  </si>
  <si>
    <t>10:00 P.M.</t>
  </si>
  <si>
    <t>6:00 A.M.</t>
  </si>
  <si>
    <t>ET</t>
  </si>
  <si>
    <t>11:00 A.M.</t>
  </si>
  <si>
    <t>-</t>
  </si>
  <si>
    <t>4, 8</t>
  </si>
  <si>
    <t>3, 11, 20, 24</t>
  </si>
  <si>
    <t>2, 8</t>
  </si>
  <si>
    <t>N/A</t>
  </si>
  <si>
    <t>6, 13</t>
  </si>
  <si>
    <t>6, 7, 12</t>
  </si>
  <si>
    <t>11:00 P.M.</t>
  </si>
  <si>
    <t>7:00 A.M.</t>
  </si>
  <si>
    <t>CT</t>
  </si>
  <si>
    <t>9, 14, 16</t>
  </si>
  <si>
    <t>4, 10, 14, 18, 33</t>
  </si>
  <si>
    <t>81, 82, 83</t>
  </si>
  <si>
    <t>4, 12, 15, 20, 30</t>
  </si>
  <si>
    <t>12:00 A.M.</t>
  </si>
  <si>
    <t>8:00 A.M.</t>
  </si>
  <si>
    <t>MT</t>
  </si>
  <si>
    <t>1, 11</t>
  </si>
  <si>
    <t>1, 7, 11</t>
  </si>
  <si>
    <t>Changes: Split-Station:</t>
  </si>
  <si>
    <t xml:space="preserve"> New Sites</t>
  </si>
  <si>
    <t>Log In to</t>
  </si>
  <si>
    <t>Log In</t>
  </si>
  <si>
    <t>24 Hrs</t>
  </si>
  <si>
    <t>(KG) Truck Center Remote Storage Lot</t>
  </si>
  <si>
    <t>9:00 P.M.</t>
  </si>
  <si>
    <t>(PE) Fairfield Collision (NO TOURS)</t>
  </si>
  <si>
    <t>(PE) Mercedes Benz &amp; Smart Bldg. of Fairfield (NO TOURS)</t>
  </si>
  <si>
    <t>(HUD) Honda of Southpoint</t>
  </si>
  <si>
    <t>(HUD) Nissan Greensboro</t>
  </si>
  <si>
    <t>(SCH) Delray I &amp; II</t>
  </si>
  <si>
    <t>(DT) N. Houston</t>
  </si>
  <si>
    <t>(DT) W Houston</t>
  </si>
  <si>
    <t>(KG) Texan CDJR</t>
  </si>
  <si>
    <t>(ML) Honda of Little Rock</t>
  </si>
  <si>
    <t>(ML) Joe Machens Capital City I &amp; II (NO TOURS)</t>
  </si>
  <si>
    <t>(ML) Joe Machens Toyota</t>
  </si>
  <si>
    <t>(ML) Joe Machens VW</t>
  </si>
  <si>
    <t>(ML) Nissan of North Little Rock</t>
  </si>
  <si>
    <t>(ML) Toyota N Little Rock</t>
  </si>
  <si>
    <t>(KT) Northwest CDJR (NO TOURS)</t>
  </si>
  <si>
    <t>(AS) Stevinson Porsche of Littleton (NO TOURS)</t>
  </si>
  <si>
    <t>(AS) Stevinson Toyota West (NO TOURS)</t>
  </si>
  <si>
    <t>(RV) Toms Camperland Avondale (NO TOURS)</t>
  </si>
  <si>
    <t>(RV) Toms Camperland Mesa (NO TOURS)</t>
  </si>
  <si>
    <t>(PE) Hudson Toyota Nissan CDJR (NO TOURS)</t>
  </si>
  <si>
    <t>(PE) Scofield Service Center (NO TOURS)</t>
  </si>
  <si>
    <t>(AS) Lexus Smyrna (NO TOURS)</t>
  </si>
  <si>
    <t>(HUD) Honda Greensboro</t>
  </si>
  <si>
    <t>(AS) Park Place Bodywerks Dallas</t>
  </si>
  <si>
    <t>(KG) Clear Lake Pre-Owned</t>
  </si>
  <si>
    <t>(ML) Joe Machens CDJR</t>
  </si>
  <si>
    <t>(ML) McLarty Gray-Daniels Ford Lincoln</t>
  </si>
  <si>
    <t>(ML) McLarty Gray-Daniels Toyota Nissan</t>
  </si>
  <si>
    <t>(AS) Plaza Audi/Infiniti (NO TOURS)</t>
  </si>
  <si>
    <t>(AS) Plaza Lexus/Mercedes/BMW (NO TOURS)</t>
  </si>
  <si>
    <t>(AS) Stevinson JLR (NO TOURS)</t>
  </si>
  <si>
    <t>(KG) Kia of Phoenix (NO TOURS)</t>
  </si>
  <si>
    <t>(AS) Mike Shaw Subaru Greeley (NO TOURS)</t>
  </si>
  <si>
    <t>(SCH) West Palm Beach I, II &amp; III</t>
  </si>
  <si>
    <t>(PE) JLR Darien (NO TOURS)</t>
  </si>
  <si>
    <t>(PE) JLR Darien PDI (NO TOURS)</t>
  </si>
  <si>
    <t>(DT) Louisville</t>
  </si>
  <si>
    <t>(HUD) Acura of Greensboro</t>
  </si>
  <si>
    <t>(SCH) Chevrolet North Palm</t>
  </si>
  <si>
    <t>(DT) Arlington</t>
  </si>
  <si>
    <t>(LM) Luther Mazda / Mitsubishi</t>
  </si>
  <si>
    <t>(ML) Joe Machens Nissan</t>
  </si>
  <si>
    <t>(ML) Joe Machens Temporary 2.0</t>
  </si>
  <si>
    <t>(ML) Volvo Collision Corp</t>
  </si>
  <si>
    <t>(RML) Burleson Nissan</t>
  </si>
  <si>
    <t>(AS) Courtesy Honda Palm Harbor (NO TOURS)</t>
  </si>
  <si>
    <t>(AS) Courtesy Hyundai/Nissan Tampa</t>
  </si>
  <si>
    <t>(HUD) Paint and Body Center (NO TOURS)</t>
  </si>
  <si>
    <t>(KG) Texan GMC Buick (NO TOURS)</t>
  </si>
  <si>
    <t>(DT) Escondido</t>
  </si>
  <si>
    <t>9:00 A.M.</t>
  </si>
  <si>
    <t>(PE) JLR PDI (NO TOURS)</t>
  </si>
  <si>
    <t>(MK) McKenny Salinas Honda</t>
  </si>
  <si>
    <t>(PE) Porsche Audi Fairfield (NO TOURS)</t>
  </si>
  <si>
    <t>(AS) David McDavid Lincoln Frisco</t>
  </si>
  <si>
    <t>(KG) Hyundai Surprise</t>
  </si>
  <si>
    <t>(TC) Tavernier Creek Marina (NO TOURS)</t>
  </si>
  <si>
    <t>(ML) Nissan Of Benton</t>
  </si>
  <si>
    <t>Key</t>
  </si>
  <si>
    <t>Hour</t>
  </si>
  <si>
    <t>Time</t>
  </si>
  <si>
    <t>Map</t>
  </si>
  <si>
    <t>https://www.google.com/maps/d/edit?hl=es&amp;mid=1uPmsRMsXnp74hPFW2t-sp2totVWF_xY&amp;ll=32.83050137713022%2C-96.83197783061323&amp;z=17</t>
  </si>
  <si>
    <t>(AS) David McDavid Honda I &amp; II</t>
  </si>
  <si>
    <t>https://www.google.com/maps/d/viewer?mid=1wg5suxVuxeNp_irHlvN772HcwD6W89E&amp;ll=33.06373951220261%2C-96.82758025000001&amp;z=18</t>
  </si>
  <si>
    <t>https://www.google.com/maps/d/edit?mid=18OEO_KbvYcgI3N1jE4gTMXfNHTNDrFU&amp;ll=32.66603989958274%2C-97.42021198201722&amp;z=18</t>
  </si>
  <si>
    <t>(AS) Plano Auction (NO SPEAKERS)</t>
  </si>
  <si>
    <t>https://www.google.com/maps/d/viewer?mid=1whGZ1PLqmhJnGFz8uigZqUL4cHGGW3w&amp;ll=38.668847686454825%2C-90.4433601&amp;z=17</t>
  </si>
  <si>
    <t>(DT) Wichita</t>
  </si>
  <si>
    <t>(KG) Baytown GMC Buick (NO TOURS)</t>
  </si>
  <si>
    <t>(KG) Big Star CDJR of Clear Lake</t>
  </si>
  <si>
    <t>https://www.google.com/maps/d/edit?mid=1DRwy5fy1g5UzGTA7a1OkQA-_CY8SQ2s&amp;usp=sharing</t>
  </si>
  <si>
    <t>(KG) Big Star Ford</t>
  </si>
  <si>
    <t>(KG) Big Star Honda</t>
  </si>
  <si>
    <t>https://www.google.com/maps/d/edit?mid=1FNqK4dW8Z8gtSWuQLbStrtqe7lH8DIQ&amp;usp=sharing</t>
  </si>
  <si>
    <t>https://www.google.com/maps/d/viewer?mid=1ot0ILX76JMuvd9yMuqkb4_e0yH1n7TA&amp;ll=45.07815812965141%2C-93.33506855000002&amp;z=17</t>
  </si>
  <si>
    <t>(ML) BMW of Little Rock</t>
  </si>
  <si>
    <t>https://www.google.com/maps/d/viewer?mid=1hvbKFMO-d5TXrKGU-g5dt_xcdArB1D0&amp;ll=34.71147784120261%2C-92.40574350000001&amp;z=17</t>
  </si>
  <si>
    <t>(ML) Collision Center N Little Rock</t>
  </si>
  <si>
    <t>https://www.google.com/maps/d/edit?mid=1Oky35ERk_2kgyzCvDu_odQ2ZP62BtqA&amp;usp=sharing</t>
  </si>
  <si>
    <t>(ML) Columbia Honda (NO TOURS)</t>
  </si>
  <si>
    <t>https://www.google.com/maps/d/viewer?hl=es&amp;mid=1C1oZdjH3dNvCvqdpIv_Lk0Yn1OCVn-4&amp;ll=38.965368114274426%2C-92.3405954&amp;z=15</t>
  </si>
  <si>
    <t>(ML) Ford Lincoln of North Little Rock</t>
  </si>
  <si>
    <t>https://www.google.com/maps/d/viewer?hl=es&amp;mid=1C1oZdjH3dNvCvqdpIv_Lk0Yn1OCVn-4&amp;ll=38.965368114274455%2C-92.3405954&amp;z=15</t>
  </si>
  <si>
    <t>(ML) Joe Machens E Collision Center</t>
  </si>
  <si>
    <t>(ML) Joe Machens Ford Lincoln I &amp; II</t>
  </si>
  <si>
    <t>(ML) Joe Machens Kia of Columbia</t>
  </si>
  <si>
    <t>https://www.google.com/maps/d/edit?mid=111nhCL4Xjj2Pq0zP5xUrMzHQqAihqa0&amp;usp=sharing</t>
  </si>
  <si>
    <t>(ML) McLarty-Gray Daniels Chevrolet</t>
  </si>
  <si>
    <t>(ML) Nissan of Little Rock</t>
  </si>
  <si>
    <t>https://www.google.com/maps/d/viewer?mid=1gN2lJ0iT7m5VNhD7aDcxE8AdXqtcOZc&amp;ll=40.396096737592195%2C-104.746842&amp;z=16</t>
  </si>
  <si>
    <t>https://www.google.com/maps/d/edit?mid=1nAyK85WaWREy0lfxnmWn3USs2gC0nP0&amp;usp=sharing</t>
  </si>
  <si>
    <t>(DT) Albuquerque</t>
  </si>
  <si>
    <t>(DT) Colorado Springs (NO TOURS)</t>
  </si>
  <si>
    <t>(DT) Denver (NO TOURS)</t>
  </si>
  <si>
    <t>https://www.google.com/maps/d/edit?mid=1AjZHz2LTg0RMhZUOmyZsv_Y4MFcaP8g&amp;usp=sharing</t>
  </si>
  <si>
    <t>PT</t>
  </si>
  <si>
    <t>(DT) El Cajon (NO TOURS)</t>
  </si>
  <si>
    <t>MST</t>
  </si>
  <si>
    <t>12:00 P.M.</t>
  </si>
  <si>
    <t>https://www.google.com/maps/d/viewer?mid=1bDs0QGFZwL3vEeGKxjVMk_j4azr0-lg&amp;ll=33.4593758581648%2C-112.28793780000001&amp;z=18</t>
  </si>
  <si>
    <t>1:00 P.M.</t>
  </si>
  <si>
    <t>(RV) Toms Camperland Surprise (NO TOURS)</t>
  </si>
  <si>
    <t>https://www.google.com/maps/d/edit?mid=1jkN3DS1BhUqp_dztjjW0PDwKfo_Yxsw&amp;usp=sharing</t>
  </si>
  <si>
    <t>(KG) Baytown GMC Buick - Remote Lot (NO TOURS)</t>
  </si>
  <si>
    <t>{Protect employee vehicles:(Mon-Fri: 7:00-18:00)+(Sat: 7:00-14:00)} All other times focus on protecting our trailer</t>
  </si>
  <si>
    <t>SIG Office</t>
  </si>
  <si>
    <t>(PE) BMW of Greenwich (NO TOURS)</t>
  </si>
  <si>
    <t>https://www.google.com/maps/d/edit?hl=en&amp;mid=1UHmt7tH1ihTa85i0MfQIcTfVvIQg_vM&amp;ll=41.024187580466844%2C-73.63702405370861&amp;z=18</t>
  </si>
  <si>
    <t>(PE) BMW of Mamaroneck (NO TOURS)</t>
  </si>
  <si>
    <t>(PE) BMW Tenafly (NO TOURS)</t>
  </si>
  <si>
    <t>(PE) Honda of Danbury (NO TOURS)</t>
  </si>
  <si>
    <t>https://www.google.com/maps/d/viewer?mid=1ebZp8DeTYSXNPgDIA63nFVDu9ohaO4E&amp;ll=41.08027837958441%2C-73.46597874999999&amp;z=15</t>
  </si>
  <si>
    <t>https://www.google.com/maps/d/viewer?mid=1ubI2iKs1JyYXssuT4oLPnVvFnyLPi_s&amp;ll=40.878808846788026%2C-73.98560655&amp;z=17</t>
  </si>
  <si>
    <t>https://www.google.com/maps/d/viewer?mid=1FEo41PzFJQjUIXXKitX5TNCtuqR6Vbs&amp;ll=41.1663376742533%2C-73.22955662049608&amp;z=16</t>
  </si>
  <si>
    <t>(AS) Bill Estes Ford (NO TOURS)</t>
  </si>
  <si>
    <t>https://www.google.com/maps/d/viewer?mid=1AyViBuyeq7iwDua1SVudJ2A1BYi3IBA&amp;ll=27.38181516363982%2C-80.32568845000002&amp;z=18</t>
  </si>
  <si>
    <t>(AS) Courtesy CDJR of Brandon</t>
  </si>
  <si>
    <t>https://www.google.com/maps/d/edit?mid=15R4hTDQx56ij99--JgozdqOIZh-kSlk&amp;usp=sharing</t>
  </si>
  <si>
    <t>https://www.google.com/maps/d/viewer?mid=1ejOzT7-x6RWnCf83BBP7XhiOiwEX3Wk&amp;ll=0%2C0&amp;z=17</t>
  </si>
  <si>
    <t>(HUD) BMW of Greensboro</t>
  </si>
  <si>
    <t>https://www.google.com/maps/d/viewer?mid=1ejOzT7-x6RWnCf83BBP7XhiOiwEX3Wk&amp;ll=36.061264791292906%2C-79.87437695000003&amp;z=17</t>
  </si>
  <si>
    <t>(HUD) CDJR of Greensboro</t>
  </si>
  <si>
    <t>AS/ HUD - Crown Greensboro - Google My Maps</t>
  </si>
  <si>
    <t>(JE) Jim Ellis Ford Sandy Springs</t>
  </si>
  <si>
    <t>(RV) Sonny's Camp N Travel Concord</t>
  </si>
  <si>
    <t>(SCH) Auto Body Shop Lake Park</t>
  </si>
  <si>
    <t>(AS) Stevinson Chevrolet Golden (NO TOURS)</t>
  </si>
  <si>
    <t>(SCH) Prep Center Delray</t>
  </si>
  <si>
    <t>SITES</t>
  </si>
  <si>
    <t>GATES</t>
  </si>
  <si>
    <t>ENTRANCES</t>
  </si>
  <si>
    <t>LPR GATES</t>
  </si>
  <si>
    <t>IMPORTANT CAMERAS</t>
  </si>
  <si>
    <t>BLIND SPOT</t>
  </si>
  <si>
    <t>NOTES</t>
  </si>
  <si>
    <t>4, 6, 7</t>
  </si>
  <si>
    <t>1, 2</t>
  </si>
  <si>
    <t>1, 5, 16, 54</t>
  </si>
  <si>
    <t>3, 16</t>
  </si>
  <si>
    <t>2, 5, 6</t>
  </si>
  <si>
    <t>2, 3, 13, 16</t>
  </si>
  <si>
    <t>1, 10, 14, 19</t>
  </si>
  <si>
    <t>7, 8, 9, 10, 11, 12, 14</t>
  </si>
  <si>
    <t>4, 6</t>
  </si>
  <si>
    <t>1, 2, 3, 4, 14</t>
  </si>
  <si>
    <t>7, 11, 15</t>
  </si>
  <si>
    <t>1, 3</t>
  </si>
  <si>
    <t>6, 10, 13</t>
  </si>
  <si>
    <t>1, 4, 5</t>
  </si>
  <si>
    <t>1, 14, 15</t>
  </si>
  <si>
    <t>2, 12</t>
  </si>
  <si>
    <t xml:space="preserve">1, 2, 3, 4, 14, 15, 21, 25 </t>
  </si>
  <si>
    <t>4, 8, 21</t>
  </si>
  <si>
    <t>1, 16, 25, 27, 32</t>
  </si>
  <si>
    <t>4, 10, 16</t>
  </si>
  <si>
    <t>24, 25, 26 &amp; Remote Lots</t>
  </si>
  <si>
    <t>3, 19, 23, 32, 35</t>
  </si>
  <si>
    <t>2, 6, 9, 19, 25, 30, 48</t>
  </si>
  <si>
    <t>25, 26, 35, 36, 37</t>
  </si>
  <si>
    <t>1, 2, 11</t>
  </si>
  <si>
    <t>11, 16, 20</t>
  </si>
  <si>
    <t>11, 12, 13, 14</t>
  </si>
  <si>
    <t>17, 23 &amp; 18</t>
  </si>
  <si>
    <t>4, 5, 6, 7, 8, 51, 55</t>
  </si>
  <si>
    <t>3, 13, 17, 49, 53, 59</t>
  </si>
  <si>
    <t>8, 9, 10, 51, 62</t>
  </si>
  <si>
    <t>1, 7</t>
  </si>
  <si>
    <t>13, 15</t>
  </si>
  <si>
    <t>1, 8, 19</t>
  </si>
  <si>
    <t>4, 20</t>
  </si>
  <si>
    <t>Dealership 11PM to 5AM (Mon to Fri). Sunday Drop Time 1PM</t>
  </si>
  <si>
    <t xml:space="preserve">2, 6, 10 </t>
  </si>
  <si>
    <t>3, 5, 10, 15</t>
  </si>
  <si>
    <t>10, 11</t>
  </si>
  <si>
    <t>1, 2, 14, 16</t>
  </si>
  <si>
    <t>1, 7, 13</t>
  </si>
  <si>
    <t>1, 2, 8</t>
  </si>
  <si>
    <t>2, 3, RemoteLot5, RemoteLot9</t>
  </si>
  <si>
    <t>1, 7, RL1, RL5, RL9</t>
  </si>
  <si>
    <t>3, 4, 15</t>
  </si>
  <si>
    <t>6, 7, 18</t>
  </si>
  <si>
    <t>70, 79, 80</t>
  </si>
  <si>
    <t>83, 84</t>
  </si>
  <si>
    <t>3, 8, 14, 81</t>
  </si>
  <si>
    <t>5, 9</t>
  </si>
  <si>
    <t>101, 102, 103, 104</t>
  </si>
  <si>
    <t>4, 10, 28</t>
  </si>
  <si>
    <t>5, 9, 16</t>
  </si>
  <si>
    <t>3, 4, 17, 26, 41</t>
  </si>
  <si>
    <t>153, 154, 155, 156, 157, 158</t>
  </si>
  <si>
    <t>2, 6, 10, 20, 28, 30, 36</t>
  </si>
  <si>
    <t>31, 41, 159</t>
  </si>
  <si>
    <t>3, 39</t>
  </si>
  <si>
    <t>4, 11</t>
  </si>
  <si>
    <t>1, 9, 14</t>
  </si>
  <si>
    <t>77, 78, 79, 80</t>
  </si>
  <si>
    <t>2, 10, 18, 22, 31, 40</t>
  </si>
  <si>
    <t>4, 18</t>
  </si>
  <si>
    <t>54, 55</t>
  </si>
  <si>
    <t>2, 18</t>
  </si>
  <si>
    <t>5, 18</t>
  </si>
  <si>
    <t>4, 6, 9, 11</t>
  </si>
  <si>
    <t>2, 9</t>
  </si>
  <si>
    <t>4, 10, 11</t>
  </si>
  <si>
    <t>3, 6, 9, 27, 31, 35</t>
  </si>
  <si>
    <t>27, 32</t>
  </si>
  <si>
    <t>3, 4, 19</t>
  </si>
  <si>
    <t>5, 19</t>
  </si>
  <si>
    <t>7, 25</t>
  </si>
  <si>
    <t>15, 17, 18</t>
  </si>
  <si>
    <t>1, 24</t>
  </si>
  <si>
    <t>3, 15, 17</t>
  </si>
  <si>
    <t>3, 4, 18</t>
  </si>
  <si>
    <t>9, 10, 12, 13, 16, 17</t>
  </si>
  <si>
    <t>2, 16</t>
  </si>
  <si>
    <t>1, 19</t>
  </si>
  <si>
    <t>14, 30</t>
  </si>
  <si>
    <t>14, 33, 34, 35, 36</t>
  </si>
  <si>
    <t>1, 4, 15, 16</t>
  </si>
  <si>
    <t>2, 10</t>
  </si>
  <si>
    <t>9, 17</t>
  </si>
  <si>
    <t>3, 4</t>
  </si>
  <si>
    <t>7, 18, 21</t>
  </si>
  <si>
    <t>11, 24, 34</t>
  </si>
  <si>
    <t>1, 2, 3, 12</t>
  </si>
  <si>
    <t>(BRL) Shoemakersville</t>
  </si>
  <si>
    <t>8, 11</t>
  </si>
  <si>
    <t>1, 6, 13A, 15, 18A</t>
  </si>
  <si>
    <t>13B, 23</t>
  </si>
  <si>
    <t>14, 16</t>
  </si>
  <si>
    <t>14, 15</t>
  </si>
  <si>
    <t>12, 14, 16</t>
  </si>
  <si>
    <t>3, 8, 9</t>
  </si>
  <si>
    <t>1, 2, 3, 4</t>
  </si>
  <si>
    <t>1, 2, 3, 11</t>
  </si>
  <si>
    <t>7, 8</t>
  </si>
  <si>
    <t>5, 7, 8</t>
  </si>
  <si>
    <t>3, 8</t>
  </si>
  <si>
    <t>5, 6</t>
  </si>
  <si>
    <t>2, 3, 5, 10</t>
  </si>
  <si>
    <t>2, 10, 18</t>
  </si>
  <si>
    <t>2, 4, 18</t>
  </si>
  <si>
    <t>2, 3, 7, 10</t>
  </si>
  <si>
    <t>1, 5, 6, 10</t>
  </si>
  <si>
    <t>1, 2, 6, 7, 9</t>
  </si>
  <si>
    <t>2, 5</t>
  </si>
  <si>
    <t>1, 2, 6, 7, 9, 18</t>
  </si>
  <si>
    <t>2, 20, 21</t>
  </si>
  <si>
    <t>12, 17</t>
  </si>
  <si>
    <t>1, 2, 6, 20</t>
  </si>
  <si>
    <t>3 &amp; 4 (under canopy)</t>
  </si>
  <si>
    <t>3, 13</t>
  </si>
  <si>
    <t>1, 17</t>
  </si>
  <si>
    <t>Between cameras 11 &amp; 12 / 14 (dark)</t>
  </si>
  <si>
    <t>1, 3,  15, 16, 22</t>
  </si>
  <si>
    <t>3, 20</t>
  </si>
  <si>
    <t>2, 12, 18</t>
  </si>
  <si>
    <t>2, 15</t>
  </si>
  <si>
    <t>1, 5, 12</t>
  </si>
  <si>
    <t>1, 5, 7, 21, 22</t>
  </si>
  <si>
    <t>2, 10, 15, 24B</t>
  </si>
  <si>
    <t>21, 22</t>
  </si>
  <si>
    <t>1, 6, 7</t>
  </si>
  <si>
    <t>(KG) Big Star Cadillac</t>
  </si>
  <si>
    <t>1, 4, 16</t>
  </si>
  <si>
    <t>15, 16, 19, 20</t>
  </si>
  <si>
    <t>8, 25</t>
  </si>
  <si>
    <t>7, 13, 19, 24</t>
  </si>
  <si>
    <t>6, 8, 25, 31</t>
  </si>
  <si>
    <t>4, 22, 32, 33</t>
  </si>
  <si>
    <t>1, 5, 12, 21</t>
  </si>
  <si>
    <t>2, 17, 33</t>
  </si>
  <si>
    <t>3, 11, 16, 21, 24, 31, 34</t>
  </si>
  <si>
    <t xml:space="preserve">2, 3, 17, 22, 37, 41, 42 </t>
  </si>
  <si>
    <t>3, 5</t>
  </si>
  <si>
    <t>4, 10, 22</t>
  </si>
  <si>
    <t>8, 15, 20</t>
  </si>
  <si>
    <t>5, 8, 23</t>
  </si>
  <si>
    <t>1, 3, 11, 25</t>
  </si>
  <si>
    <t>4, 12, 18</t>
  </si>
  <si>
    <t>11, 12, 13, 14, 20, 32, 34, 36, 77</t>
  </si>
  <si>
    <t>67, 68, 69, 70</t>
  </si>
  <si>
    <t>2, 10, 14, 25, 29, 35, 38</t>
  </si>
  <si>
    <t>36, 46</t>
  </si>
  <si>
    <t>1, 20, 53</t>
  </si>
  <si>
    <t>2, 8, 14</t>
  </si>
  <si>
    <t>51, 52, 16</t>
  </si>
  <si>
    <t>4, A23, A49</t>
  </si>
  <si>
    <t>5, 24</t>
  </si>
  <si>
    <t>1, 7, 11, 15, 19, 24, 25</t>
  </si>
  <si>
    <t>9, 20, 24, A49</t>
  </si>
  <si>
    <t>3, 4, 5, 22, 24, 26, 28, 36</t>
  </si>
  <si>
    <t>4, 7, 12, 26</t>
  </si>
  <si>
    <t>1, 3, 5, 6, 23, 24</t>
  </si>
  <si>
    <t>5, 10, 36, 38, 54, 58B</t>
  </si>
  <si>
    <t>5, 17, 37</t>
  </si>
  <si>
    <t>8, 11, 39, 43</t>
  </si>
  <si>
    <t>6, 11, 15, 18</t>
  </si>
  <si>
    <t>7, 8, 9</t>
  </si>
  <si>
    <t>5, 6, 7, 8, 9, 32</t>
  </si>
  <si>
    <t>1, 3, 7, 8</t>
  </si>
  <si>
    <t>9, 19, 20</t>
  </si>
  <si>
    <t>10, 17, 19</t>
  </si>
  <si>
    <t>3, 4, 5</t>
  </si>
  <si>
    <t>4, 15, 18, 67, 74</t>
  </si>
  <si>
    <t>4, 11, 16, 28</t>
  </si>
  <si>
    <t>10, 11, 12</t>
  </si>
  <si>
    <t>1, 4, 9, 14, 21</t>
  </si>
  <si>
    <t>4, 14, 21</t>
  </si>
  <si>
    <t>11, 12</t>
  </si>
  <si>
    <t>1, 3, 4, 20, 25, 27, 28</t>
  </si>
  <si>
    <t>19, 20</t>
  </si>
  <si>
    <t>1, 2, 3,</t>
  </si>
  <si>
    <t>4, 6, 9, 13, 14, 17, 26, 27, 28, 29, 30</t>
  </si>
  <si>
    <t>23, 40, 49</t>
  </si>
  <si>
    <t>1, 2, 5, 6, 9, 13, 15</t>
  </si>
  <si>
    <t>10, 11, 13</t>
  </si>
  <si>
    <t>1, 3, 16</t>
  </si>
  <si>
    <t>1, 11, 14, 15, 16</t>
  </si>
  <si>
    <t>1, 4, 6</t>
  </si>
  <si>
    <t>4, 10</t>
  </si>
  <si>
    <t>1, 11, 18</t>
  </si>
  <si>
    <t>(ML) Nissan of Benton</t>
  </si>
  <si>
    <t>5, 12</t>
  </si>
  <si>
    <t>3, 6</t>
  </si>
  <si>
    <t>1, 8, 16, 22</t>
  </si>
  <si>
    <t>2, 4</t>
  </si>
  <si>
    <t>5, 17, 23</t>
  </si>
  <si>
    <t>4, 15, 18, 22, 23, 26</t>
  </si>
  <si>
    <t>2, 12, 13, 18</t>
  </si>
  <si>
    <t>7, 11</t>
  </si>
  <si>
    <t>4, 5, 6</t>
  </si>
  <si>
    <t>13, 14, 15, 16</t>
  </si>
  <si>
    <t>(LT) Bloomington Subaru - Acura</t>
  </si>
  <si>
    <t>4, 5, 8, 33, 35</t>
  </si>
  <si>
    <t>4, 35</t>
  </si>
  <si>
    <t>(LT) Brookdale Honda</t>
  </si>
  <si>
    <t>1, 7, 21, 29</t>
  </si>
  <si>
    <t>2, 10, 19</t>
  </si>
  <si>
    <t>(LT) Brookdale Toyota</t>
  </si>
  <si>
    <t>(LT) Hopkins Honda</t>
  </si>
  <si>
    <t>9, 36</t>
  </si>
  <si>
    <t>38, 39, 96</t>
  </si>
  <si>
    <t>3, 26</t>
  </si>
  <si>
    <t>(LT) North Country Ford</t>
  </si>
  <si>
    <t>14, 19</t>
  </si>
  <si>
    <t>30, 31, 32</t>
  </si>
  <si>
    <t>(LT) St Cloud Subaru</t>
  </si>
  <si>
    <t>13, 20</t>
  </si>
  <si>
    <t>39, 40, 41</t>
  </si>
  <si>
    <t>1, 5</t>
  </si>
  <si>
    <t>1, 5, 9, 26</t>
  </si>
  <si>
    <t>3, 4, 8, 28</t>
  </si>
  <si>
    <t>12, 16</t>
  </si>
  <si>
    <t>3, 4, 5, 6, 16</t>
  </si>
  <si>
    <t>Between cameras 6 &amp; 7</t>
  </si>
  <si>
    <t>3, 21</t>
  </si>
  <si>
    <t>2, 6, 15</t>
  </si>
  <si>
    <t>Between cameras 30 &amp; 31 / 15 / 10</t>
  </si>
  <si>
    <t>28, 29</t>
  </si>
  <si>
    <t>5, 28, 29</t>
  </si>
  <si>
    <t>1, 6, 15</t>
  </si>
  <si>
    <t>2, 3, 4, 5</t>
  </si>
  <si>
    <t>4, 6, 7, 8</t>
  </si>
  <si>
    <t>1, 3, 4, 17, 23</t>
  </si>
  <si>
    <t>(PE) BMW Service Center (NO TOURS)</t>
  </si>
  <si>
    <t xml:space="preserve">1, 2 </t>
  </si>
  <si>
    <t>1, 2, 3, 4, 5, 6</t>
  </si>
  <si>
    <t>20, 9</t>
  </si>
  <si>
    <t>9, 16, 17</t>
  </si>
  <si>
    <t>3, 7, 18</t>
  </si>
  <si>
    <t>1, 2, 3, 4, 5, 6, 7, 8</t>
  </si>
  <si>
    <t>1, 13</t>
  </si>
  <si>
    <t>(PE) JLR Englewood (NO TOURS)</t>
  </si>
  <si>
    <t>(PE) JLR Paramus (NO TOURS)</t>
  </si>
  <si>
    <t>Between cameras 7 &amp; 8, 9 &amp; 10</t>
  </si>
  <si>
    <t>Between cameras 7 &amp; 8</t>
  </si>
  <si>
    <t>11, 13</t>
  </si>
  <si>
    <t>Between cameras 13 &amp; 14</t>
  </si>
  <si>
    <t>(PE) Mercedes Benz of Greenwich</t>
  </si>
  <si>
    <t>6, 7, 8, 9</t>
  </si>
  <si>
    <t>1, 18</t>
  </si>
  <si>
    <t>Between cameras 5 &amp; 6, 13 &amp; 14</t>
  </si>
  <si>
    <t>Between cameras 19 &amp; 20</t>
  </si>
  <si>
    <t>2, 7</t>
  </si>
  <si>
    <t>2, 7, 8, 13, 15</t>
  </si>
  <si>
    <t>1, 4, 6, 8, 10, 18</t>
  </si>
  <si>
    <t>Between cameras 1 &amp; 18, 13 &amp; 14</t>
  </si>
  <si>
    <t>1, 3, 4</t>
  </si>
  <si>
    <t>1, 2, 3, 4, 15</t>
  </si>
  <si>
    <t>3, 10</t>
  </si>
  <si>
    <t xml:space="preserve">7, 10B, 11, 15 </t>
  </si>
  <si>
    <t>1, 15, 16, 17, 18, 19, 20</t>
  </si>
  <si>
    <t>Between cameras 3 &amp; 4, 9 &amp; 22</t>
  </si>
  <si>
    <t>5, 28, 31</t>
  </si>
  <si>
    <t>1, 29</t>
  </si>
  <si>
    <t>1, 35, 36</t>
  </si>
  <si>
    <t>(SCH) Parts Warehouse Lake Worth</t>
  </si>
  <si>
    <t>2,3</t>
  </si>
  <si>
    <t>2,4,10</t>
  </si>
  <si>
    <t>34, 62</t>
  </si>
  <si>
    <t xml:space="preserve">6, 7, 11, 13, </t>
  </si>
  <si>
    <t>20, 21</t>
  </si>
  <si>
    <t>1, 2, 3, 131, 132</t>
  </si>
  <si>
    <t>Between cameras 96 &amp; 99</t>
  </si>
  <si>
    <t>SUNDAY: Log in at 5:30 p.m. ET.</t>
  </si>
  <si>
    <t>Lehigh Acres</t>
  </si>
  <si>
    <t>High Alert Split-High Alert Station-Operator Station</t>
  </si>
  <si>
    <t>Searched Site</t>
  </si>
  <si>
    <t xml:space="preserve"> Station</t>
  </si>
  <si>
    <t>H.A. Split</t>
  </si>
  <si>
    <t>H.A. Station</t>
  </si>
  <si>
    <t>Operators Split</t>
  </si>
  <si>
    <t>H.A. 1</t>
  </si>
  <si>
    <t>Operator Station</t>
  </si>
  <si>
    <t>Mario Residence</t>
  </si>
  <si>
    <t>192.168.7.100</t>
  </si>
  <si>
    <t>H.A. 2</t>
  </si>
  <si>
    <t>H.A. 3</t>
  </si>
  <si>
    <t>H.A. 4</t>
  </si>
  <si>
    <t>10:00 A.M.</t>
  </si>
  <si>
    <t>8:00 P.M.</t>
  </si>
  <si>
    <t>(AS) Plaza Audi/Infiniti</t>
  </si>
  <si>
    <t>(AS) Plaza Lexus/Mercedes/BMW</t>
  </si>
  <si>
    <t>9:30 P.M.</t>
  </si>
  <si>
    <t>SIG Office Trailer</t>
  </si>
  <si>
    <t>5:00 A.M.</t>
  </si>
  <si>
    <t>4:30 A.M.</t>
  </si>
  <si>
    <t>4:30 P.M.</t>
  </si>
  <si>
    <t>16, 17</t>
  </si>
  <si>
    <t>Saturday Drop Time 9:00 A.M.</t>
  </si>
  <si>
    <t>ID</t>
  </si>
  <si>
    <t>SIG TOOLS</t>
  </si>
  <si>
    <t>(WAG) Greeley Chrysler Dodge Jeep Ram (NO TOURS)</t>
  </si>
  <si>
    <t>(AS) Atwell Prep Center-Dallas (NO TOURS)</t>
  </si>
  <si>
    <t>(AS) Audi of North Atlanta (NO TOURS)</t>
  </si>
  <si>
    <t>(AS) Coggin Acura Ft Pierce (NO TOURS)</t>
  </si>
  <si>
    <t>(AS) Coggin Honda Ft. Pierce (NO TOURS)</t>
  </si>
  <si>
    <t>(AS) Coggin Mercedes Benz Ft Pierce (NO TOURS)</t>
  </si>
  <si>
    <t>(AS) Courtesy CDJR of Brandon (NO TOURS)</t>
  </si>
  <si>
    <t>(AS) Courtesy Hyundai/Nissan Tampa (NO TOURS)</t>
  </si>
  <si>
    <t>(AS) Courtesy Kia of Brandon (NO TOURS)</t>
  </si>
  <si>
    <t>(AS) David McDavid Honda I &amp; II (NO TOURS)</t>
  </si>
  <si>
    <t>(AS) David McDavid Lincoln Frisco (NO TOURS)</t>
  </si>
  <si>
    <t>(AS) Lexus Grapevine I &amp; II (NO TOURS)</t>
  </si>
  <si>
    <t>(AS) Mercedes Benz/Porsche Dallas I,II,III (NO TOURS)</t>
  </si>
  <si>
    <t>(AS) Nalley BMW Collision Center (NO TOURS)</t>
  </si>
  <si>
    <t>(AS) Nalley Lexus &amp; Remote Lot Roswell (NO TOURS)</t>
  </si>
  <si>
    <t>(AS) Nalley Luxury Collision Center (NO TOURS)</t>
  </si>
  <si>
    <t>(AS) Park Place Acura (NO TOURS)</t>
  </si>
  <si>
    <t>(AS) Park Place Bodywerks Dallas (NO TOURS)</t>
  </si>
  <si>
    <t>(AS) Park Place Bodywerks Ft. Worth (NO TOURS)</t>
  </si>
  <si>
    <t>(AS) Park Place JLR DFW Airport (NO TOURS)</t>
  </si>
  <si>
    <t>(AS) Park Place MB Recon Center Dallas (NO TOURS)</t>
  </si>
  <si>
    <t>(AS) Park Place Mercedes Benz Arlington (NO TOURS)</t>
  </si>
  <si>
    <t>(AS) Park Place Mercedes Benz Ft. Worth (NO TOURS)</t>
  </si>
  <si>
    <t>(AS) Park Place Sprinter Van Center (NO TOURS)</t>
  </si>
  <si>
    <t>(AS) Park Place Volvo Sales (NO TOURS)</t>
  </si>
  <si>
    <t>(AS) Park Place Volvo Service Center (NO TOURS)</t>
  </si>
  <si>
    <t>(AS) Stevinson Lexus of Lakewood (NO TOURS)</t>
  </si>
  <si>
    <t>(AS) Lexus Plano I &amp; II (NO TOURS)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</si>
</sst>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409]h:mm\ AM/PM;@"/>
    <numFmt numFmtId="165" formatCode="0;0;;@"/>
    <numFmt numFmtId="166" formatCode="[$-F400]h:mm:ss\ AM/PM"/>
  </numFmts>
  <fonts count="27" x14ac:knownFonts="1">
    <font>
      <sz val="11"/>
      <color theme="1"/>
      <name val="Calibri"/>
      <family val="2"/>
      <scheme val="minor"/>
    </font>
    <font>
      <b/>
      <sz val="12"/>
      <color rgb="FF00B0F0"/>
      <name val="Calibri"/>
      <family val="2"/>
      <scheme val="minor"/>
    </font>
    <font>
      <b/>
      <sz val="14"/>
      <color theme="0"/>
      <name val="Calibri"/>
      <family val="2"/>
      <scheme val="minor"/>
    </font>
    <font>
      <u/>
      <sz val="11"/>
      <color theme="10"/>
      <name val="Calibri"/>
      <family val="2"/>
      <scheme val="minor"/>
    </font>
    <font>
      <b/>
      <sz val="9"/>
      <color indexed="81"/>
      <name val="Tahoma"/>
      <family val="2"/>
    </font>
    <font>
      <u/>
      <sz val="11"/>
      <color theme="1"/>
      <name val="Calibri"/>
      <family val="2"/>
      <scheme val="minor"/>
    </font>
    <font>
      <sz val="14"/>
      <color theme="1"/>
      <name val="Calibri"/>
      <family val="2"/>
      <scheme val="minor"/>
    </font>
    <font>
      <b/>
      <sz val="14"/>
      <color theme="1"/>
      <name val="Calibri"/>
      <family val="2"/>
      <scheme val="minor"/>
    </font>
    <font>
      <u/>
      <sz val="14"/>
      <color theme="10"/>
      <name val="Calibri"/>
      <family val="2"/>
      <scheme val="minor"/>
    </font>
    <font>
      <b/>
      <sz val="15"/>
      <color theme="0"/>
      <name val="Calibri"/>
      <family val="2"/>
      <scheme val="minor"/>
    </font>
    <font>
      <b/>
      <sz val="15"/>
      <color theme="1"/>
      <name val="Calibri"/>
      <family val="2"/>
      <scheme val="minor"/>
    </font>
    <font>
      <sz val="15"/>
      <color theme="0"/>
      <name val="Calibri"/>
      <family val="2"/>
      <scheme val="minor"/>
    </font>
    <font>
      <sz val="15"/>
      <color theme="1"/>
      <name val="Calibri"/>
      <family val="2"/>
      <scheme val="minor"/>
    </font>
    <font>
      <b/>
      <sz val="15"/>
      <color rgb="FF00B0F0"/>
      <name val="Calibri"/>
      <family val="2"/>
      <scheme val="minor"/>
    </font>
    <font>
      <b/>
      <u/>
      <sz val="15"/>
      <color theme="0"/>
      <name val="Calibri"/>
      <family val="2"/>
      <scheme val="minor"/>
    </font>
    <font>
      <b/>
      <sz val="14"/>
      <color rgb="FFFFFF00"/>
      <name val="Calibri"/>
      <family val="2"/>
      <scheme val="minor"/>
    </font>
    <font>
      <b/>
      <u/>
      <sz val="14"/>
      <color theme="10"/>
      <name val="Calibri"/>
      <family val="2"/>
      <scheme val="minor"/>
    </font>
    <font>
      <sz val="14"/>
      <color theme="0"/>
      <name val="Calibri"/>
      <family val="2"/>
      <scheme val="minor"/>
    </font>
    <font>
      <b/>
      <u/>
      <sz val="14"/>
      <color theme="1"/>
      <name val="Calibri"/>
      <family val="2"/>
      <scheme val="minor"/>
    </font>
    <font>
      <sz val="8"/>
      <name val="Calibri"/>
      <family val="2"/>
      <scheme val="minor"/>
    </font>
    <font>
      <b/>
      <sz val="11"/>
      <color theme="1"/>
      <name val="Calibri"/>
      <family val="2"/>
      <scheme val="minor"/>
    </font>
    <font>
      <b/>
      <sz val="20"/>
      <name val="Calibri"/>
      <family val="2"/>
      <scheme val="minor"/>
    </font>
    <font>
      <b/>
      <sz val="20"/>
      <color rgb="FF000000"/>
      <name val="Calibri"/>
      <family val="2"/>
      <scheme val="minor"/>
    </font>
    <font>
      <sz val="20"/>
      <color rgb="FF000000"/>
      <name val="Calibri"/>
      <family val="2"/>
      <scheme val="minor"/>
    </font>
    <font>
      <sz val="20"/>
      <name val="Calibri"/>
      <family val="2"/>
      <scheme val="minor"/>
    </font>
    <font>
      <sz val="20"/>
      <color theme="1"/>
      <name val="Calibri"/>
      <family val="2"/>
      <scheme val="minor"/>
    </font>
    <font>
      <i/>
      <sz val="11"/>
      <color theme="1"/>
      <name val="Calibri"/>
      <family val="2"/>
      <scheme val="minor"/>
    </font>
  </fonts>
  <fills count="13">
    <fill>
      <patternFill patternType="none"/>
    </fill>
    <fill>
      <patternFill patternType="gray125"/>
    </fill>
    <fill>
      <patternFill patternType="solid">
        <fgColor theme="1"/>
        <bgColor indexed="64"/>
      </patternFill>
    </fill>
    <fill>
      <patternFill patternType="solid">
        <fgColor theme="0"/>
        <bgColor theme="0"/>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0.14996795556505021"/>
        <bgColor indexed="64"/>
      </patternFill>
    </fill>
    <fill>
      <patternFill patternType="solid">
        <fgColor theme="9"/>
        <bgColor indexed="64"/>
      </patternFill>
    </fill>
    <fill>
      <patternFill patternType="solid">
        <fgColor theme="3" tint="0.39997558519241921"/>
        <bgColor indexed="64"/>
      </patternFill>
    </fill>
    <fill>
      <patternFill patternType="solid">
        <fgColor rgb="FFDCE6F1"/>
        <bgColor rgb="FFDCE6F1"/>
      </patternFill>
    </fill>
    <fill>
      <patternFill patternType="solid">
        <fgColor rgb="FFFFFF00"/>
        <bgColor indexed="64"/>
      </patternFill>
    </fill>
    <fill>
      <patternFill patternType="solid">
        <fgColor rgb="FFC00000"/>
        <bgColor indexed="64"/>
      </patternFill>
    </fill>
  </fills>
  <borders count="14">
    <border>
      <left/>
      <right/>
      <top/>
      <bottom/>
      <diagonal/>
    </border>
    <border>
      <left style="thin">
        <color theme="0"/>
      </left>
      <right/>
      <top/>
      <bottom/>
      <diagonal/>
    </border>
    <border>
      <left style="thin">
        <color indexed="64"/>
      </left>
      <right style="thin">
        <color indexed="64"/>
      </right>
      <top style="thin">
        <color indexed="64"/>
      </top>
      <bottom style="thin">
        <color indexed="64"/>
      </bottom>
      <diagonal/>
    </border>
    <border>
      <left style="thin">
        <color theme="1" tint="0.499984740745262"/>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bottom/>
      <diagonal/>
    </border>
    <border>
      <left/>
      <right/>
      <top/>
      <bottom style="thin">
        <color theme="4" tint="0.39997558519241921"/>
      </bottom>
      <diagonal/>
    </border>
    <border>
      <left/>
      <right/>
      <top/>
      <bottom style="thin">
        <color theme="0" tint="-0.34998626667073579"/>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4" tint="0.39997558519241921"/>
      </top>
      <bottom style="thin">
        <color theme="4" tint="0.39997558519241921"/>
      </bottom>
      <diagonal/>
    </border>
    <border>
      <left/>
      <right/>
      <top style="thin">
        <color rgb="FF95B3D7"/>
      </top>
      <bottom style="thin">
        <color rgb="FF95B3D7"/>
      </bottom>
      <diagonal/>
    </border>
  </borders>
  <cellStyleXfs count="2">
    <xf numFmtId="0" fontId="0" fillId="0" borderId="0"/>
    <xf numFmtId="0" fontId="3" fillId="0" borderId="0" applyNumberFormat="0" applyFill="0" applyBorder="0" applyAlignment="0" applyProtection="0"/>
  </cellStyleXfs>
  <cellXfs count="142">
    <xf numFmtId="0" fontId="0" fillId="0" borderId="0" xfId="0"/>
    <xf numFmtId="0" fontId="1" fillId="2" borderId="1" xfId="0" applyFont="1" applyFill="1" applyBorder="1" applyAlignment="1">
      <alignment horizontal="center" vertical="center"/>
    </xf>
    <xf numFmtId="0" fontId="3" fillId="0" borderId="0" xfId="1"/>
    <xf numFmtId="0" fontId="0" fillId="0" borderId="0" xfId="0" applyAlignment="1">
      <alignment horizontal="left"/>
    </xf>
    <xf numFmtId="0" fontId="2" fillId="2" borderId="0" xfId="0" applyFont="1" applyFill="1"/>
    <xf numFmtId="0" fontId="0" fillId="0" borderId="0" xfId="0" applyAlignment="1">
      <alignment horizontal="center"/>
    </xf>
    <xf numFmtId="0" fontId="2" fillId="2" borderId="0" xfId="0" applyFont="1" applyFill="1" applyAlignment="1">
      <alignment horizontal="center"/>
    </xf>
    <xf numFmtId="0" fontId="1" fillId="2" borderId="0" xfId="0" applyFont="1" applyFill="1" applyAlignment="1">
      <alignment horizontal="center" vertical="center"/>
    </xf>
    <xf numFmtId="0" fontId="3" fillId="0" borderId="0" xfId="1" applyFill="1"/>
    <xf numFmtId="0" fontId="5" fillId="0" borderId="0" xfId="0" applyFont="1"/>
    <xf numFmtId="0" fontId="2" fillId="2" borderId="8" xfId="0" applyFont="1" applyFill="1" applyBorder="1" applyAlignment="1">
      <alignment horizontal="center"/>
    </xf>
    <xf numFmtId="0" fontId="6" fillId="0" borderId="0" xfId="0" applyFont="1" applyAlignment="1">
      <alignment horizontal="center"/>
    </xf>
    <xf numFmtId="0" fontId="8" fillId="0" borderId="0" xfId="1" applyFont="1" applyFill="1" applyBorder="1" applyAlignment="1">
      <alignment horizontal="center"/>
    </xf>
    <xf numFmtId="0" fontId="7" fillId="0" borderId="0" xfId="0" applyFont="1" applyAlignment="1">
      <alignment horizontal="center"/>
    </xf>
    <xf numFmtId="0" fontId="9" fillId="2" borderId="0" xfId="0" applyFont="1" applyFill="1"/>
    <xf numFmtId="0" fontId="10" fillId="0" borderId="0" xfId="0" applyFont="1" applyAlignment="1">
      <alignment horizontal="center"/>
    </xf>
    <xf numFmtId="0" fontId="11" fillId="2" borderId="0" xfId="0" applyFont="1" applyFill="1"/>
    <xf numFmtId="0" fontId="9" fillId="2" borderId="0" xfId="0" applyFont="1" applyFill="1" applyAlignment="1">
      <alignment horizontal="left"/>
    </xf>
    <xf numFmtId="0" fontId="12" fillId="0" borderId="0" xfId="0" applyFont="1"/>
    <xf numFmtId="0" fontId="9" fillId="2" borderId="0" xfId="0" applyFont="1" applyFill="1" applyAlignment="1">
      <alignment horizontal="center"/>
    </xf>
    <xf numFmtId="0" fontId="7" fillId="3" borderId="0" xfId="0" applyFont="1" applyFill="1" applyAlignment="1">
      <alignment horizontal="center"/>
    </xf>
    <xf numFmtId="0" fontId="7" fillId="0" borderId="2" xfId="0" applyFont="1" applyBorder="1" applyAlignment="1">
      <alignment horizontal="center"/>
    </xf>
    <xf numFmtId="0" fontId="9" fillId="2" borderId="9" xfId="0" applyFont="1" applyFill="1" applyBorder="1"/>
    <xf numFmtId="0" fontId="7" fillId="0" borderId="0" xfId="0" applyFont="1" applyAlignment="1">
      <alignment horizontal="center" vertical="center"/>
    </xf>
    <xf numFmtId="18" fontId="0" fillId="0" borderId="0" xfId="0" applyNumberFormat="1" applyAlignment="1">
      <alignment horizontal="center"/>
    </xf>
    <xf numFmtId="164" fontId="0" fillId="0" borderId="0" xfId="0" applyNumberFormat="1"/>
    <xf numFmtId="18" fontId="0" fillId="0" borderId="0" xfId="0" applyNumberFormat="1"/>
    <xf numFmtId="164" fontId="6" fillId="0" borderId="0" xfId="0" applyNumberFormat="1" applyFont="1" applyAlignment="1">
      <alignment horizontal="center"/>
    </xf>
    <xf numFmtId="18" fontId="6" fillId="0" borderId="0" xfId="0" applyNumberFormat="1" applyFont="1" applyAlignment="1">
      <alignment horizontal="center"/>
    </xf>
    <xf numFmtId="0" fontId="0" fillId="0" borderId="0" xfId="0" applyAlignment="1">
      <alignment vertical="center"/>
    </xf>
    <xf numFmtId="0" fontId="7" fillId="0" borderId="0" xfId="0" applyFont="1"/>
    <xf numFmtId="0" fontId="9" fillId="2" borderId="9" xfId="0" applyFont="1" applyFill="1" applyBorder="1" applyAlignment="1">
      <alignment horizontal="left"/>
    </xf>
    <xf numFmtId="0" fontId="7" fillId="6" borderId="0" xfId="0" applyFont="1" applyFill="1" applyAlignment="1">
      <alignment vertical="top"/>
    </xf>
    <xf numFmtId="0" fontId="16" fillId="0" borderId="0" xfId="1" applyFont="1" applyFill="1" applyBorder="1" applyAlignment="1">
      <alignment horizontal="center"/>
    </xf>
    <xf numFmtId="0" fontId="7" fillId="5" borderId="6" xfId="0" applyFont="1" applyFill="1" applyBorder="1" applyAlignment="1">
      <alignment horizontal="center"/>
    </xf>
    <xf numFmtId="0" fontId="7" fillId="5" borderId="5" xfId="0" applyFont="1" applyFill="1" applyBorder="1" applyAlignment="1">
      <alignment horizontal="center"/>
    </xf>
    <xf numFmtId="0" fontId="0" fillId="8" borderId="0" xfId="0" applyFill="1"/>
    <xf numFmtId="0" fontId="0" fillId="0" borderId="0" xfId="0" applyAlignment="1">
      <alignment horizontal="center" vertical="center"/>
    </xf>
    <xf numFmtId="164" fontId="0" fillId="0" borderId="0" xfId="0" applyNumberFormat="1" applyAlignment="1">
      <alignment vertical="center"/>
    </xf>
    <xf numFmtId="0" fontId="9" fillId="2" borderId="9" xfId="0" applyFont="1" applyFill="1" applyBorder="1" applyAlignment="1">
      <alignment vertical="center"/>
    </xf>
    <xf numFmtId="20" fontId="0" fillId="0" borderId="0" xfId="0" applyNumberFormat="1"/>
    <xf numFmtId="0" fontId="0" fillId="0" borderId="12" xfId="0" applyBorder="1"/>
    <xf numFmtId="0" fontId="3" fillId="0" borderId="12" xfId="1" applyBorder="1"/>
    <xf numFmtId="0" fontId="3" fillId="0" borderId="0" xfId="1" applyBorder="1"/>
    <xf numFmtId="0" fontId="7" fillId="3" borderId="2" xfId="0" applyFont="1" applyFill="1" applyBorder="1" applyAlignment="1">
      <alignment horizontal="center"/>
    </xf>
    <xf numFmtId="0" fontId="15" fillId="2" borderId="5" xfId="0" applyFont="1" applyFill="1" applyBorder="1" applyAlignment="1">
      <alignment horizontal="center" vertical="center"/>
    </xf>
    <xf numFmtId="0" fontId="7" fillId="4" borderId="5" xfId="0" applyFont="1" applyFill="1" applyBorder="1" applyAlignment="1">
      <alignment horizontal="center"/>
    </xf>
    <xf numFmtId="0" fontId="15" fillId="2" borderId="4" xfId="0" applyFont="1" applyFill="1" applyBorder="1" applyAlignment="1">
      <alignment horizontal="center" vertical="center"/>
    </xf>
    <xf numFmtId="0" fontId="20" fillId="0" borderId="0" xfId="0" applyFont="1"/>
    <xf numFmtId="0" fontId="9" fillId="2" borderId="0" xfId="0" applyFont="1" applyFill="1" applyAlignment="1">
      <alignment horizontal="center" vertical="center"/>
    </xf>
    <xf numFmtId="0" fontId="2" fillId="2" borderId="0" xfId="0" applyFont="1" applyFill="1" applyAlignment="1">
      <alignment horizontal="center" vertical="center"/>
    </xf>
    <xf numFmtId="0" fontId="2" fillId="2" borderId="8" xfId="0" applyFont="1" applyFill="1" applyBorder="1" applyAlignment="1">
      <alignment horizontal="center" vertical="center"/>
    </xf>
    <xf numFmtId="0" fontId="0" fillId="0" borderId="0" xfId="0" applyAlignment="1">
      <alignment horizontal="left" vertical="center"/>
    </xf>
    <xf numFmtId="0" fontId="7" fillId="4" borderId="6" xfId="0" applyFont="1" applyFill="1" applyBorder="1" applyAlignment="1">
      <alignment horizontal="center"/>
    </xf>
    <xf numFmtId="0" fontId="20" fillId="0" borderId="0" xfId="0" applyFont="1" applyAlignment="1">
      <alignment vertical="center"/>
    </xf>
    <xf numFmtId="0" fontId="15" fillId="2" borderId="6" xfId="0" applyFont="1" applyFill="1" applyBorder="1" applyAlignment="1">
      <alignment horizontal="center" vertical="center"/>
    </xf>
    <xf numFmtId="0" fontId="11" fillId="2" borderId="0" xfId="0" applyFont="1" applyFill="1" applyAlignment="1">
      <alignment horizontal="center" vertical="center"/>
    </xf>
    <xf numFmtId="0" fontId="12" fillId="0" borderId="0" xfId="0" applyFont="1" applyAlignment="1">
      <alignment horizontal="center" vertical="center"/>
    </xf>
    <xf numFmtId="0" fontId="10" fillId="0" borderId="4" xfId="0" applyFont="1" applyBorder="1" applyAlignment="1">
      <alignment horizontal="center" vertical="center"/>
    </xf>
    <xf numFmtId="0" fontId="17" fillId="2" borderId="0" xfId="0" applyFont="1" applyFill="1" applyAlignment="1">
      <alignment horizontal="center" vertical="center"/>
    </xf>
    <xf numFmtId="18" fontId="6" fillId="0" borderId="0" xfId="0" applyNumberFormat="1" applyFont="1" applyAlignment="1">
      <alignment horizontal="center" vertical="center"/>
    </xf>
    <xf numFmtId="0" fontId="20" fillId="0" borderId="0" xfId="0" applyFont="1" applyAlignment="1">
      <alignment horizontal="center" vertical="center"/>
    </xf>
    <xf numFmtId="0" fontId="3" fillId="0" borderId="13" xfId="1" applyFill="1" applyBorder="1"/>
    <xf numFmtId="0" fontId="3" fillId="10" borderId="0" xfId="1" applyFill="1" applyBorder="1"/>
    <xf numFmtId="0" fontId="0" fillId="0" borderId="13" xfId="0" applyBorder="1"/>
    <xf numFmtId="0" fontId="3" fillId="0" borderId="0" xfId="1" applyFill="1" applyBorder="1"/>
    <xf numFmtId="0" fontId="3" fillId="0" borderId="13" xfId="1" applyBorder="1"/>
    <xf numFmtId="0" fontId="21" fillId="9" borderId="0" xfId="0" applyFont="1" applyFill="1" applyAlignment="1">
      <alignment horizontal="center" vertical="center"/>
    </xf>
    <xf numFmtId="0" fontId="22" fillId="0" borderId="0" xfId="0" applyFont="1" applyAlignment="1">
      <alignment horizontal="left" vertical="center"/>
    </xf>
    <xf numFmtId="0" fontId="23" fillId="0" borderId="0" xfId="0" applyFont="1" applyAlignment="1">
      <alignment horizontal="center" vertical="center"/>
    </xf>
    <xf numFmtId="0" fontId="24" fillId="0" borderId="0" xfId="0" applyFont="1" applyAlignment="1">
      <alignment horizontal="center" wrapText="1"/>
    </xf>
    <xf numFmtId="0" fontId="25" fillId="0" borderId="0" xfId="0" applyFont="1" applyAlignment="1">
      <alignment horizontal="center" vertical="center"/>
    </xf>
    <xf numFmtId="0" fontId="25" fillId="0" borderId="0" xfId="0" applyFont="1"/>
    <xf numFmtId="0" fontId="21" fillId="0" borderId="0" xfId="0" applyFont="1" applyAlignment="1">
      <alignment horizontal="left" vertical="center"/>
    </xf>
    <xf numFmtId="0" fontId="24" fillId="0" borderId="0" xfId="0" applyFont="1" applyAlignment="1">
      <alignment horizontal="center" vertical="center"/>
    </xf>
    <xf numFmtId="165" fontId="0" fillId="0" borderId="0" xfId="0" applyNumberFormat="1" applyAlignment="1">
      <alignment horizontal="center" vertical="center"/>
    </xf>
    <xf numFmtId="165" fontId="0" fillId="0" borderId="0" xfId="0" applyNumberFormat="1" applyAlignment="1">
      <alignment horizontal="center"/>
    </xf>
    <xf numFmtId="165" fontId="0" fillId="0" borderId="0" xfId="0" applyNumberFormat="1"/>
    <xf numFmtId="165" fontId="9" fillId="2" borderId="0" xfId="0" applyNumberFormat="1" applyFont="1" applyFill="1" applyAlignment="1">
      <alignment horizontal="center" vertical="center"/>
    </xf>
    <xf numFmtId="165" fontId="0" fillId="0" borderId="0" xfId="0" applyNumberFormat="1" applyAlignment="1">
      <alignment horizontal="left" vertical="center"/>
    </xf>
    <xf numFmtId="0" fontId="7" fillId="0" borderId="0" xfId="0" applyFont="1" applyAlignment="1">
      <alignment horizontal="left"/>
    </xf>
    <xf numFmtId="0" fontId="7" fillId="11" borderId="0" xfId="0" applyFont="1" applyFill="1" applyAlignment="1">
      <alignment horizontal="center"/>
    </xf>
    <xf numFmtId="0" fontId="23" fillId="0" borderId="0" xfId="0" applyFont="1" applyAlignment="1">
      <alignment horizontal="center" vertical="center" wrapText="1"/>
    </xf>
    <xf numFmtId="0" fontId="21" fillId="0" borderId="0" xfId="0" applyFont="1" applyAlignment="1">
      <alignment vertical="center"/>
    </xf>
    <xf numFmtId="0" fontId="24" fillId="0" borderId="0" xfId="0" applyFont="1" applyAlignment="1">
      <alignment wrapText="1"/>
    </xf>
    <xf numFmtId="0" fontId="24" fillId="0" borderId="0" xfId="0" applyFont="1"/>
    <xf numFmtId="0" fontId="7" fillId="11" borderId="0" xfId="0" applyFont="1" applyFill="1"/>
    <xf numFmtId="49" fontId="7" fillId="0" borderId="0" xfId="0" applyNumberFormat="1" applyFont="1" applyAlignment="1">
      <alignment horizontal="center" vertical="center"/>
    </xf>
    <xf numFmtId="49" fontId="2" fillId="2" borderId="0" xfId="0" applyNumberFormat="1" applyFont="1" applyFill="1" applyAlignment="1">
      <alignment horizontal="center" vertical="center"/>
    </xf>
    <xf numFmtId="49" fontId="0" fillId="0" borderId="0" xfId="0" applyNumberFormat="1"/>
    <xf numFmtId="49" fontId="0" fillId="0" borderId="0" xfId="0" applyNumberFormat="1" applyAlignment="1">
      <alignment horizontal="center" vertical="center"/>
    </xf>
    <xf numFmtId="49" fontId="0" fillId="0" borderId="0" xfId="0" applyNumberFormat="1" applyAlignment="1">
      <alignment horizontal="left" vertical="center"/>
    </xf>
    <xf numFmtId="0" fontId="7" fillId="0" borderId="0" xfId="0" applyFont="1" applyAlignment="1">
      <alignment horizontal="left" vertical="center"/>
    </xf>
    <xf numFmtId="0" fontId="26" fillId="0" borderId="0" xfId="0" applyFont="1"/>
    <xf numFmtId="0" fontId="3" fillId="10" borderId="12" xfId="1" applyFill="1" applyBorder="1"/>
    <xf numFmtId="0" fontId="3" fillId="10" borderId="13" xfId="1" applyFill="1" applyBorder="1"/>
    <xf numFmtId="164" fontId="7" fillId="0" borderId="0" xfId="0" applyNumberFormat="1" applyFont="1"/>
    <xf numFmtId="166" fontId="7" fillId="0" borderId="0" xfId="0" applyNumberFormat="1" applyFont="1"/>
    <xf numFmtId="0" fontId="0" fillId="12" borderId="0" xfId="0" applyFill="1"/>
    <xf numFmtId="0" fontId="13" fillId="2" borderId="7" xfId="0" applyFont="1" applyFill="1" applyBorder="1" applyAlignment="1">
      <alignment horizontal="center" vertical="center"/>
    </xf>
    <xf numFmtId="0" fontId="13" fillId="2" borderId="0" xfId="0" applyFont="1" applyFill="1" applyAlignment="1">
      <alignment horizontal="center" vertical="center"/>
    </xf>
    <xf numFmtId="0" fontId="2" fillId="2" borderId="0" xfId="0" applyFont="1" applyFill="1" applyAlignment="1">
      <alignment horizontal="center" vertical="center"/>
    </xf>
    <xf numFmtId="0" fontId="18" fillId="0" borderId="10" xfId="0" applyFont="1" applyBorder="1" applyAlignment="1">
      <alignment horizontal="center"/>
    </xf>
    <xf numFmtId="0" fontId="18" fillId="0" borderId="11" xfId="0" applyFont="1" applyBorder="1" applyAlignment="1">
      <alignment horizontal="center"/>
    </xf>
    <xf numFmtId="0" fontId="14" fillId="2" borderId="3" xfId="0" applyFont="1" applyFill="1" applyBorder="1" applyAlignment="1">
      <alignment horizontal="center" vertical="center"/>
    </xf>
    <xf numFmtId="0" fontId="14" fillId="2" borderId="0" xfId="0" applyFont="1" applyFill="1" applyAlignment="1">
      <alignment horizontal="center" vertical="center"/>
    </xf>
    <xf numFmtId="0" fontId="2" fillId="2" borderId="8" xfId="0" applyFont="1" applyFill="1" applyBorder="1" applyAlignment="1">
      <alignment horizontal="center" vertical="center"/>
    </xf>
    <xf numFmtId="0" fontId="9" fillId="2" borderId="0" xfId="0" applyFont="1" applyFill="1" applyAlignment="1">
      <alignment horizontal="center" vertical="center"/>
    </xf>
    <xf numFmtId="0" fontId="14" fillId="2" borderId="3" xfId="0" applyFont="1" applyFill="1" applyBorder="1" applyAlignment="1">
      <alignment horizontal="center"/>
    </xf>
    <xf numFmtId="0" fontId="14" fillId="2" borderId="0" xfId="0" applyFont="1" applyFill="1" applyAlignment="1">
      <alignment horizontal="center"/>
    </xf>
    <xf numFmtId="0" fontId="7" fillId="0" borderId="0" xfId="0" applyFont="1" applyFill="1"/>
    <xf numFmtId="0" fontId="0" fillId="0" borderId="0" xfId="0" applyFill="1"/>
    <xf numFmtId="164" fontId="7" fillId="0" borderId="0" xfId="0" applyNumberFormat="1" applyFont="1" applyFill="1"/>
    <xf numFmtId="0" fontId="7" fillId="0" borderId="0" xfId="0" applyNumberFormat="1" applyFont="1" applyFill="1"/>
    <xf numFmtId="164" fontId="7" fillId="0" borderId="5" xfId="0" applyNumberFormat="1" applyFont="1" applyFill="1" applyBorder="1" applyAlignment="1">
      <alignment horizontal="center"/>
    </xf>
    <xf numFmtId="164" fontId="7" fillId="0" borderId="6" xfId="0" applyNumberFormat="1" applyFont="1" applyFill="1" applyBorder="1" applyAlignment="1">
      <alignment horizontal="center"/>
    </xf>
    <xf numFmtId="0" fontId="6" fillId="0" borderId="0" xfId="0" applyFont="1" applyFill="1" applyBorder="1" applyAlignment="1">
      <alignment vertical="top"/>
    </xf>
    <xf numFmtId="49" fontId="7" fillId="0" borderId="0" xfId="0" applyNumberFormat="1" applyFont="1" applyFill="1" applyAlignment="1">
      <alignment horizontal="left" vertical="center"/>
    </xf>
    <xf numFmtId="0" fontId="7" fillId="0" borderId="0" xfId="0" applyFont="1" applyFill="1" applyAlignment="1">
      <alignment horizontal="center"/>
    </xf>
    <xf numFmtId="0" fontId="7" fillId="0" borderId="0" xfId="0" applyFont="1" applyFill="1" applyAlignment="1">
      <alignment horizontal="left"/>
    </xf>
    <xf numFmtId="0" fontId="7" fillId="0" borderId="0" xfId="0" applyFont="1" applyFill="1" applyAlignment="1">
      <alignment horizontal="left" vertical="center"/>
    </xf>
    <xf numFmtId="0" fontId="0" fillId="0" borderId="0" xfId="0" applyNumberFormat="1" applyFill="1" applyAlignment="1">
      <alignment vertical="center"/>
    </xf>
    <xf numFmtId="0" fontId="0" fillId="0" borderId="0" xfId="0" applyNumberFormat="1" applyFill="1"/>
    <xf numFmtId="0" fontId="26" fillId="0" borderId="0" xfId="0" applyFont="1" applyFill="1"/>
    <xf numFmtId="0" fontId="7" fillId="0" borderId="0" xfId="0" applyFont="1" applyFill="1" applyAlignment="1">
      <alignment horizontal="center" vertical="center"/>
    </xf>
    <xf numFmtId="0" fontId="0" fillId="0" borderId="2" xfId="0" applyNumberFormat="1" applyBorder="1" applyAlignment="1">
      <alignment horizontal="center"/>
    </xf>
    <xf numFmtId="0" fontId="7" fillId="0" borderId="2" xfId="0" applyNumberFormat="1" applyFont="1" applyBorder="1" applyAlignment="1">
      <alignment horizontal="center"/>
    </xf>
    <xf numFmtId="0" fontId="0" fillId="0" borderId="0" xfId="0" applyBorder="1"/>
    <xf numFmtId="0" fontId="7" fillId="0" borderId="0" xfId="0" applyFont="1" applyBorder="1"/>
    <xf numFmtId="0" fontId="9" fillId="2" borderId="0" xfId="0" applyFont="1" applyFill="1" applyBorder="1"/>
    <xf numFmtId="0" fontId="0" fillId="0" borderId="0" xfId="0" applyFill="1" applyBorder="1"/>
    <xf numFmtId="0" fontId="7" fillId="0" borderId="0" xfId="0" applyFont="1" applyFill="1" applyBorder="1"/>
    <xf numFmtId="0" fontId="7" fillId="0" borderId="2" xfId="0" applyNumberFormat="1" applyFont="1" applyFill="1" applyBorder="1" applyAlignment="1">
      <alignment horizontal="center"/>
    </xf>
    <xf numFmtId="0" fontId="0" fillId="0" borderId="0" xfId="0" pivotButton="1" applyBorder="1"/>
    <xf numFmtId="0" fontId="0" fillId="0" borderId="0" xfId="0" applyNumberFormat="1" applyBorder="1"/>
    <xf numFmtId="0" fontId="17" fillId="2" borderId="0" xfId="0" applyFont="1" applyFill="1" applyBorder="1"/>
    <xf numFmtId="0" fontId="15" fillId="2" borderId="0" xfId="0" applyFont="1" applyFill="1" applyBorder="1"/>
    <xf numFmtId="0" fontId="0" fillId="4" borderId="0" xfId="0" applyNumberFormat="1" applyFill="1" applyBorder="1"/>
    <xf numFmtId="0" fontId="0" fillId="7" borderId="0" xfId="0" applyNumberFormat="1" applyFill="1" applyBorder="1"/>
    <xf numFmtId="0" fontId="6" fillId="4" borderId="0" xfId="0" applyFont="1" applyFill="1" applyBorder="1"/>
    <xf numFmtId="0" fontId="6" fillId="7" borderId="0" xfId="0" applyFont="1" applyFill="1" applyBorder="1"/>
    <xf numFmtId="49" fontId="7" fillId="0" borderId="0" xfId="0" applyNumberFormat="1" applyFont="1" applyFill="1" applyAlignment="1">
      <alignment horizontal="center" vertical="center"/>
    </xf>
  </cellXfs>
  <cellStyles count="2">
    <cellStyle name="Hyperlink" xfId="1" builtinId="8"/>
    <cellStyle name="Normal" xfId="0" builtinId="0"/>
  </cellStyles>
  <dxfs count="11001">
    <dxf>
      <fill>
        <patternFill>
          <bgColor rgb="FF92D050"/>
        </patternFill>
      </fill>
    </dxf>
    <dxf>
      <fill>
        <patternFill patternType="none">
          <bgColor auto="1"/>
        </patternFill>
      </fill>
    </dxf>
    <dxf>
      <fill>
        <patternFill>
          <bgColor rgb="FF92D050"/>
        </patternFill>
      </fill>
    </dxf>
    <dxf>
      <fill>
        <patternFill patternType="none">
          <bgColor auto="1"/>
        </patternFill>
      </fill>
    </dxf>
    <dxf>
      <fill>
        <patternFill>
          <bgColor rgb="FF92D050"/>
        </patternFill>
      </fill>
    </dxf>
    <dxf>
      <fill>
        <patternFill patternType="none">
          <bgColor auto="1"/>
        </patternFill>
      </fill>
    </dxf>
    <dxf>
      <fill>
        <patternFill>
          <bgColor rgb="FF92D050"/>
        </patternFill>
      </fill>
    </dxf>
    <dxf>
      <fill>
        <patternFill patternType="none">
          <bgColor auto="1"/>
        </patternFill>
      </fill>
    </dxf>
    <dxf>
      <fill>
        <patternFill>
          <bgColor rgb="FF92D050"/>
        </patternFill>
      </fill>
    </dxf>
    <dxf>
      <fill>
        <patternFill patternType="none">
          <bgColor auto="1"/>
        </patternFill>
      </fill>
    </dxf>
    <dxf>
      <fill>
        <patternFill>
          <bgColor rgb="FF92D050"/>
        </patternFill>
      </fill>
    </dxf>
    <dxf>
      <fill>
        <patternFill patternType="none">
          <bgColor auto="1"/>
        </patternFill>
      </fill>
    </dxf>
    <dxf>
      <fill>
        <patternFill>
          <bgColor rgb="FF92D050"/>
        </patternFill>
      </fill>
    </dxf>
    <dxf>
      <fill>
        <patternFill patternType="none">
          <bgColor auto="1"/>
        </patternFill>
      </fill>
    </dxf>
    <dxf>
      <fill>
        <patternFill patternType="solid">
          <bgColor theme="7" tint="0.39997558519241921"/>
        </patternFill>
      </fill>
    </dxf>
    <dxf>
      <fill>
        <patternFill patternType="none">
          <bgColor auto="1"/>
        </patternFill>
      </fill>
    </dxf>
    <dxf>
      <fill>
        <patternFill patternType="solid">
          <bgColor theme="7" tint="0.39997558519241921"/>
        </patternFill>
      </fill>
    </dxf>
    <dxf>
      <fill>
        <patternFill patternType="none">
          <bgColor auto="1"/>
        </patternFill>
      </fill>
    </dxf>
    <dxf>
      <fill>
        <patternFill patternType="solid">
          <bgColor theme="7" tint="0.39997558519241921"/>
        </patternFill>
      </fill>
    </dxf>
    <dxf>
      <fill>
        <patternFill patternType="none">
          <bgColor auto="1"/>
        </patternFill>
      </fill>
    </dxf>
    <dxf>
      <fill>
        <patternFill patternType="none">
          <bgColor auto="1"/>
        </patternFill>
      </fill>
    </dxf>
    <dxf>
      <fill>
        <patternFill>
          <bgColor rgb="FF92D050"/>
        </patternFill>
      </fill>
    </dxf>
    <dxf>
      <fill>
        <patternFill patternType="none">
          <bgColor auto="1"/>
        </patternFill>
      </fill>
    </dxf>
    <dxf>
      <fill>
        <patternFill patternType="none">
          <bgColor auto="1"/>
        </patternFill>
      </fill>
    </dxf>
    <dxf>
      <fill>
        <patternFill>
          <bgColor rgb="FF92D050"/>
        </patternFill>
      </fill>
    </dxf>
    <dxf>
      <fill>
        <patternFill patternType="none">
          <bgColor auto="1"/>
        </patternFill>
      </fill>
    </dxf>
    <dxf>
      <fill>
        <patternFill patternType="solid">
          <bgColor theme="7" tint="0.39997558519241921"/>
        </patternFill>
      </fill>
    </dxf>
    <dxf>
      <fill>
        <patternFill patternType="none">
          <bgColor auto="1"/>
        </patternFill>
      </fill>
    </dxf>
    <dxf>
      <fill>
        <patternFill>
          <bgColor rgb="FF92D050"/>
        </patternFill>
      </fill>
    </dxf>
    <dxf>
      <fill>
        <patternFill patternType="none">
          <bgColor auto="1"/>
        </patternFill>
      </fill>
    </dxf>
    <dxf>
      <fill>
        <patternFill>
          <bgColor rgb="FF92D050"/>
        </patternFill>
      </fill>
    </dxf>
    <dxf>
      <fill>
        <patternFill patternType="none">
          <bgColor auto="1"/>
        </patternFill>
      </fill>
    </dxf>
    <dxf>
      <fill>
        <patternFill patternType="solid">
          <bgColor theme="7" tint="0.39997558519241921"/>
        </patternFill>
      </fill>
    </dxf>
    <dxf>
      <fill>
        <patternFill patternType="none">
          <bgColor auto="1"/>
        </patternFill>
      </fill>
    </dxf>
    <dxf>
      <fill>
        <patternFill patternType="solid">
          <bgColor theme="7" tint="0.39997558519241921"/>
        </patternFill>
      </fill>
    </dxf>
    <dxf>
      <fill>
        <patternFill patternType="none">
          <bgColor auto="1"/>
        </patternFill>
      </fill>
    </dxf>
    <dxf>
      <font>
        <b/>
        <sz val="14"/>
        <color theme="0"/>
      </font>
      <fill>
        <patternFill patternType="solid">
          <bgColor theme="1"/>
        </patternFill>
      </fill>
    </dxf>
    <dxf>
      <font>
        <b/>
        <sz val="14"/>
        <color theme="0"/>
      </font>
      <fill>
        <patternFill patternType="solid">
          <fgColor indexed="64"/>
          <bgColor theme="1"/>
        </patternFill>
      </fill>
    </dxf>
    <dxf>
      <alignment horizontal="cent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font>
        <b/>
        <sz val="14"/>
        <color theme="0"/>
      </font>
      <fill>
        <patternFill patternType="solid">
          <bgColor theme="1"/>
        </patternFill>
      </fill>
    </dxf>
    <dxf>
      <border>
        <right/>
        <top/>
      </border>
    </dxf>
    <dxf>
      <border>
        <right/>
        <top/>
      </border>
    </dxf>
    <dxf>
      <border>
        <right/>
      </border>
    </dxf>
    <dxf>
      <border>
        <right/>
      </border>
    </dxf>
    <dxf>
      <font>
        <b/>
      </font>
    </dxf>
    <dxf>
      <font>
        <b/>
      </font>
    </dxf>
    <dxf>
      <font>
        <b/>
      </font>
    </dxf>
    <dxf>
      <font>
        <b/>
      </font>
    </dxf>
    <dxf>
      <font>
        <b/>
      </font>
    </dxf>
    <dxf>
      <font>
        <sz val="14"/>
      </font>
    </dxf>
    <dxf>
      <font>
        <sz val="14"/>
      </font>
    </dxf>
    <dxf>
      <font>
        <sz val="14"/>
      </font>
    </dxf>
    <dxf>
      <font>
        <sz val="14"/>
      </font>
    </dxf>
    <dxf>
      <font>
        <sz val="14"/>
      </font>
    </dxf>
    <dxf>
      <font>
        <sz val="15"/>
      </font>
    </dxf>
    <dxf>
      <font>
        <b/>
        <sz val="15"/>
        <color theme="0"/>
      </font>
      <fill>
        <patternFill patternType="solid">
          <fgColor indexed="64"/>
          <bgColor theme="1"/>
        </patternFill>
      </fill>
    </dxf>
    <dxf>
      <font>
        <b/>
        <sz val="14"/>
        <color theme="0"/>
      </font>
      <fill>
        <patternFill patternType="solid">
          <bgColor theme="1"/>
        </patternFill>
      </fill>
    </dxf>
    <dxf>
      <font>
        <b/>
        <sz val="14"/>
        <color theme="0"/>
      </font>
      <fill>
        <patternFill patternType="solid">
          <fgColor indexed="64"/>
          <bgColor theme="1"/>
        </patternFill>
      </fill>
    </dxf>
    <dxf>
      <alignment horizontal="center"/>
    </dxf>
    <dxf>
      <border>
        <left style="thin">
          <color indexed="64"/>
        </left>
        <right style="thin">
          <color indexed="64"/>
        </right>
        <top style="thin">
          <color indexed="64"/>
        </top>
        <bottom style="thin">
          <color indexed="64"/>
        </bottom>
      </border>
    </dxf>
    <dxf>
      <font>
        <b/>
        <sz val="14"/>
        <color theme="0"/>
      </font>
      <fill>
        <patternFill patternType="solid">
          <fgColor indexed="64"/>
          <bgColor theme="1"/>
        </patternFill>
      </fill>
    </dxf>
    <dxf>
      <font>
        <b/>
        <sz val="14"/>
        <color theme="0"/>
      </font>
      <fill>
        <patternFill patternType="solid">
          <fgColor indexed="64"/>
          <bgColor theme="1"/>
        </patternFill>
      </fill>
    </dxf>
    <dxf>
      <fill>
        <patternFill patternType="solid">
          <fgColor theme="0"/>
          <bgColor theme="0"/>
        </patternFill>
      </fill>
      <alignment horizontal="center"/>
    </dxf>
    <dxf>
      <font>
        <sz val="14"/>
      </font>
    </dxf>
    <dxf>
      <font>
        <b/>
      </font>
    </dxf>
    <dxf>
      <border>
        <bottom style="thin">
          <color indexed="64"/>
        </bottom>
      </border>
    </dxf>
    <dxf>
      <border>
        <right style="thin">
          <color indexed="64"/>
        </right>
      </border>
    </dxf>
    <dxf>
      <border>
        <top style="thin">
          <color indexed="64"/>
        </top>
      </border>
    </dxf>
    <dxf>
      <border>
        <left style="thin">
          <color indexed="64"/>
        </left>
      </border>
    </dxf>
    <dxf>
      <font>
        <b/>
        <sz val="14"/>
        <color theme="0"/>
      </font>
      <fill>
        <patternFill patternType="solid">
          <bgColor theme="1"/>
        </patternFill>
      </fill>
    </dxf>
    <dxf>
      <border>
        <right/>
        <top/>
      </border>
    </dxf>
    <dxf>
      <border>
        <right/>
        <top/>
      </border>
    </dxf>
    <dxf>
      <border>
        <right/>
      </border>
    </dxf>
    <dxf>
      <border>
        <right/>
      </border>
    </dxf>
    <dxf>
      <font>
        <b/>
      </font>
    </dxf>
    <dxf>
      <font>
        <b/>
      </font>
    </dxf>
    <dxf>
      <font>
        <b/>
      </font>
    </dxf>
    <dxf>
      <font>
        <b/>
      </font>
    </dxf>
    <dxf>
      <font>
        <b/>
      </font>
    </dxf>
    <dxf>
      <font>
        <sz val="14"/>
      </font>
    </dxf>
    <dxf>
      <font>
        <sz val="14"/>
      </font>
    </dxf>
    <dxf>
      <font>
        <sz val="14"/>
      </font>
    </dxf>
    <dxf>
      <font>
        <sz val="14"/>
      </font>
    </dxf>
    <dxf>
      <font>
        <sz val="14"/>
      </font>
    </dxf>
    <dxf>
      <font>
        <sz val="15"/>
      </font>
    </dxf>
    <dxf>
      <font>
        <b/>
        <sz val="15"/>
        <color theme="0"/>
      </font>
      <fill>
        <patternFill patternType="solid">
          <fgColor indexed="64"/>
          <bgColor theme="1"/>
        </patternFill>
      </fill>
    </dxf>
    <dxf>
      <font>
        <sz val="14"/>
        <color theme="0"/>
      </font>
      <fill>
        <patternFill patternType="solid">
          <bgColor theme="1"/>
        </patternFill>
      </fill>
    </dxf>
    <dxf>
      <font>
        <sz val="14"/>
        <color rgb="FFFFFF00"/>
      </font>
      <fill>
        <patternFill patternType="solid">
          <bgColor theme="1"/>
        </patternFill>
      </fill>
    </dxf>
    <dxf>
      <font>
        <b/>
      </font>
    </dxf>
    <dxf>
      <fill>
        <patternFill patternType="solid">
          <bgColor theme="0"/>
        </patternFill>
      </fill>
    </dxf>
    <dxf>
      <fill>
        <patternFill patternType="solid">
          <bgColor theme="0" tint="-0.14996795556505021"/>
        </patternFill>
      </fill>
    </dxf>
    <dxf>
      <fill>
        <patternFill patternType="solid">
          <bgColor theme="0"/>
        </patternFill>
      </fill>
    </dxf>
    <dxf>
      <fill>
        <patternFill patternType="solid">
          <bgColor theme="0" tint="-0.14996795556505021"/>
        </patternFill>
      </fill>
    </dxf>
    <dxf>
      <fill>
        <patternFill patternType="solid">
          <bgColor theme="0"/>
        </patternFill>
      </fill>
    </dxf>
    <dxf>
      <fill>
        <patternFill patternType="solid">
          <bgColor theme="0" tint="-0.14996795556505021"/>
        </patternFill>
      </fill>
    </dxf>
    <dxf>
      <fill>
        <patternFill patternType="solid">
          <bgColor theme="0"/>
        </patternFill>
      </fill>
    </dxf>
    <dxf>
      <fill>
        <patternFill patternType="solid">
          <bgColor theme="0" tint="-0.14996795556505021"/>
        </patternFill>
      </fill>
    </dxf>
    <dxf>
      <fill>
        <patternFill patternType="solid">
          <bgColor theme="0"/>
        </patternFill>
      </fill>
    </dxf>
    <dxf>
      <fill>
        <patternFill patternType="solid">
          <bgColor theme="0" tint="-0.14996795556505021"/>
        </patternFill>
      </fill>
    </dxf>
    <dxf>
      <fill>
        <patternFill patternType="solid">
          <bgColor theme="0"/>
        </patternFill>
      </fill>
    </dxf>
    <dxf>
      <fill>
        <patternFill patternType="solid">
          <bgColor theme="0" tint="-0.14996795556505021"/>
        </patternFill>
      </fill>
    </dxf>
    <dxf>
      <fill>
        <patternFill patternType="solid">
          <bgColor theme="0"/>
        </patternFill>
      </fill>
    </dxf>
    <dxf>
      <fill>
        <patternFill patternType="solid">
          <bgColor theme="0" tint="-0.14996795556505021"/>
        </patternFill>
      </fill>
    </dxf>
    <dxf>
      <fill>
        <patternFill patternType="solid">
          <bgColor theme="0"/>
        </patternFill>
      </fill>
    </dxf>
    <dxf>
      <fill>
        <patternFill patternType="solid">
          <bgColor theme="0" tint="-0.14996795556505021"/>
        </patternFill>
      </fill>
    </dxf>
    <dxf>
      <fill>
        <patternFill>
          <bgColor theme="0"/>
        </patternFill>
      </fill>
    </dxf>
    <dxf>
      <fill>
        <patternFill>
          <bgColor theme="0"/>
        </patternFill>
      </fill>
    </dxf>
    <dxf>
      <fill>
        <patternFill>
          <bgColor theme="0" tint="-0.14996795556505021"/>
        </patternFill>
      </fill>
    </dxf>
    <dxf>
      <fill>
        <patternFill patternType="solid">
          <bgColor theme="0"/>
        </patternFill>
      </fill>
    </dxf>
    <dxf>
      <fill>
        <patternFill>
          <bgColor theme="0" tint="-0.14996795556505021"/>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0.14996795556505021"/>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patternFill>
      </fill>
    </dxf>
    <dxf>
      <font>
        <sz val="14"/>
      </font>
    </dxf>
    <dxf>
      <font>
        <b/>
        <sz val="14"/>
      </font>
    </dxf>
    <dxf>
      <font>
        <b/>
        <sz val="14"/>
      </font>
    </dxf>
    <dxf>
      <font>
        <b/>
        <sz val="14"/>
      </font>
    </dxf>
    <dxf>
      <font>
        <b/>
        <sz val="14"/>
      </font>
    </dxf>
    <dxf>
      <font>
        <b/>
        <sz val="14"/>
      </font>
    </dxf>
    <dxf>
      <font>
        <b/>
        <sz val="14"/>
      </font>
    </dxf>
    <dxf>
      <font>
        <sz val="14"/>
      </font>
    </dxf>
    <dxf>
      <font>
        <b/>
        <sz val="14"/>
      </font>
    </dxf>
    <dxf>
      <font>
        <b/>
        <sz val="14"/>
      </font>
    </dxf>
    <dxf>
      <font>
        <b/>
        <sz val="14"/>
      </font>
    </dxf>
    <dxf>
      <font>
        <sz val="14"/>
      </font>
      <fill>
        <patternFill patternType="solid">
          <fgColor indexed="64"/>
          <bgColor theme="0"/>
        </patternFill>
      </fill>
    </dxf>
    <dxf>
      <font>
        <b/>
        <sz val="14"/>
      </font>
    </dxf>
    <dxf>
      <font>
        <b/>
        <sz val="14"/>
      </font>
    </dxf>
    <dxf>
      <font>
        <b/>
        <sz val="14"/>
      </font>
    </dxf>
    <dxf>
      <font>
        <b/>
        <sz val="14"/>
      </font>
    </dxf>
    <dxf>
      <font>
        <b/>
        <sz val="14"/>
      </font>
    </dxf>
    <dxf>
      <font>
        <sz val="14"/>
      </font>
      <fill>
        <patternFill patternType="solid">
          <fgColor indexed="64"/>
          <bgColor theme="0"/>
        </patternFill>
      </fill>
    </dxf>
    <dxf>
      <fill>
        <patternFill>
          <bgColor theme="0" tint="-0.14999847407452621"/>
        </patternFill>
      </fill>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sz val="14"/>
      </font>
      <fill>
        <patternFill patternType="solid">
          <fgColor indexed="64"/>
          <bgColor theme="0" tint="-0.14999847407452621"/>
        </patternFill>
      </fill>
    </dxf>
    <dxf>
      <font>
        <b/>
        <sz val="14"/>
      </font>
    </dxf>
    <dxf>
      <font>
        <b/>
        <sz val="14"/>
      </font>
    </dxf>
    <dxf>
      <font>
        <b/>
        <sz val="14"/>
      </font>
    </dxf>
    <dxf>
      <font>
        <b/>
        <sz val="14"/>
      </font>
    </dxf>
    <dxf>
      <font>
        <b/>
        <sz val="14"/>
      </font>
    </dxf>
    <dxf>
      <font>
        <b/>
        <sz val="14"/>
      </font>
    </dxf>
    <dxf>
      <font>
        <b/>
        <sz val="14"/>
      </font>
    </dxf>
    <dxf>
      <font>
        <b/>
        <sz val="14"/>
      </font>
    </dxf>
    <dxf>
      <font>
        <color rgb="FFFF0000"/>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color theme="0"/>
      </font>
      <fill>
        <patternFill patternType="solid">
          <bgColor theme="1"/>
        </patternFill>
      </fill>
    </dxf>
    <dxf>
      <border>
        <right/>
        <top/>
      </border>
    </dxf>
    <dxf>
      <border>
        <right/>
        <top/>
      </border>
    </dxf>
    <dxf>
      <border>
        <right/>
      </border>
    </dxf>
    <dxf>
      <border>
        <right/>
      </border>
    </dxf>
    <dxf>
      <font>
        <b/>
      </font>
    </dxf>
    <dxf>
      <font>
        <b/>
      </font>
    </dxf>
    <dxf>
      <font>
        <b/>
      </font>
    </dxf>
    <dxf>
      <font>
        <b/>
      </font>
    </dxf>
    <dxf>
      <font>
        <b/>
      </font>
    </dxf>
    <dxf>
      <font>
        <sz val="14"/>
      </font>
    </dxf>
    <dxf>
      <font>
        <sz val="14"/>
      </font>
    </dxf>
    <dxf>
      <font>
        <sz val="14"/>
      </font>
    </dxf>
    <dxf>
      <font>
        <sz val="14"/>
      </font>
    </dxf>
    <dxf>
      <font>
        <sz val="14"/>
      </font>
    </dxf>
    <dxf>
      <font>
        <sz val="15"/>
      </font>
    </dxf>
    <dxf>
      <font>
        <b/>
        <sz val="15"/>
        <color theme="0"/>
      </font>
      <fill>
        <patternFill patternType="solid">
          <fgColor indexed="64"/>
          <bgColor theme="1"/>
        </patternFill>
      </fill>
    </dxf>
    <dxf>
      <font>
        <sz val="14"/>
        <color theme="0"/>
      </font>
      <fill>
        <patternFill patternType="solid">
          <bgColor theme="1"/>
        </patternFill>
      </fill>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color theme="0"/>
      </font>
      <fill>
        <patternFill patternType="solid">
          <bgColor theme="1"/>
        </patternFill>
      </fill>
    </dxf>
    <dxf>
      <font>
        <b/>
        <sz val="14"/>
        <color theme="0"/>
      </font>
      <fill>
        <patternFill patternType="solid">
          <fgColor indexed="64"/>
          <bgColor theme="1"/>
        </patternFill>
      </fill>
    </dxf>
    <dxf>
      <alignment horizontal="center"/>
    </dxf>
    <dxf>
      <border>
        <left style="thin">
          <color indexed="64"/>
        </left>
        <right style="thin">
          <color indexed="64"/>
        </right>
        <top style="thin">
          <color indexed="64"/>
        </top>
        <bottom style="thin">
          <color indexed="64"/>
        </bottom>
      </border>
    </dxf>
    <dxf>
      <fill>
        <patternFill patternType="none">
          <bgColor auto="1"/>
        </patternFill>
      </fill>
    </dxf>
    <dxf>
      <fill>
        <patternFill patternType="none">
          <bgColor auto="1"/>
        </patternFill>
      </fill>
    </dxf>
    <dxf>
      <fill>
        <patternFill patternType="solid">
          <fgColor indexed="64"/>
          <bgColor theme="1"/>
        </patternFill>
      </fill>
    </dxf>
    <dxf>
      <alignment horizontal="center"/>
    </dxf>
    <dxf>
      <font>
        <sz val="14"/>
      </font>
    </dxf>
    <dxf>
      <font>
        <sz val="14"/>
      </font>
    </dxf>
    <dxf>
      <font>
        <sz val="14"/>
      </font>
    </dxf>
    <dxf>
      <font>
        <b/>
      </font>
    </dxf>
    <dxf>
      <font>
        <b/>
      </font>
    </dxf>
    <dxf>
      <font>
        <b/>
      </font>
    </dxf>
    <dxf>
      <font>
        <b/>
        <sz val="14"/>
        <color theme="0"/>
      </font>
      <fill>
        <patternFill patternType="solid">
          <bgColor theme="1"/>
        </patternFill>
      </fill>
    </dxf>
    <dxf>
      <border>
        <right/>
        <top/>
      </border>
    </dxf>
    <dxf>
      <border>
        <right/>
        <top/>
      </border>
    </dxf>
    <dxf>
      <border>
        <right/>
      </border>
    </dxf>
    <dxf>
      <border>
        <right/>
      </border>
    </dxf>
    <dxf>
      <font>
        <b/>
      </font>
    </dxf>
    <dxf>
      <font>
        <b/>
      </font>
    </dxf>
    <dxf>
      <font>
        <b/>
      </font>
    </dxf>
    <dxf>
      <font>
        <b/>
      </font>
    </dxf>
    <dxf>
      <font>
        <b/>
      </font>
    </dxf>
    <dxf>
      <font>
        <sz val="14"/>
      </font>
    </dxf>
    <dxf>
      <font>
        <sz val="14"/>
      </font>
    </dxf>
    <dxf>
      <font>
        <sz val="14"/>
      </font>
    </dxf>
    <dxf>
      <font>
        <sz val="14"/>
      </font>
    </dxf>
    <dxf>
      <font>
        <sz val="14"/>
      </font>
    </dxf>
    <dxf>
      <font>
        <sz val="15"/>
      </font>
    </dxf>
    <dxf>
      <font>
        <b/>
        <sz val="15"/>
        <color theme="0"/>
      </font>
      <fill>
        <patternFill patternType="solid">
          <fgColor indexed="64"/>
          <bgColor theme="1"/>
        </patternFill>
      </fill>
    </dxf>
    <dxf>
      <font>
        <b/>
        <sz val="14"/>
      </font>
    </dxf>
    <dxf>
      <fill>
        <patternFill>
          <bgColor rgb="FF92D05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sz val="14"/>
        <color theme="0"/>
      </font>
      <fill>
        <patternFill patternType="solid">
          <bgColor theme="1"/>
        </patternFill>
      </fill>
    </dxf>
    <dxf>
      <font>
        <b/>
        <sz val="14"/>
        <color theme="0"/>
      </font>
      <fill>
        <patternFill patternType="solid">
          <fgColor indexed="64"/>
          <bgColor theme="1"/>
        </patternFill>
      </fill>
    </dxf>
    <dxf>
      <alignment horizontal="cent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font>
        <sz val="14"/>
      </font>
    </dxf>
    <dxf>
      <font>
        <sz val="14"/>
      </font>
    </dxf>
    <dxf>
      <font>
        <sz val="14"/>
      </font>
    </dxf>
    <dxf>
      <font>
        <b/>
      </font>
    </dxf>
    <dxf>
      <font>
        <b/>
      </font>
    </dxf>
    <dxf>
      <font>
        <b/>
      </font>
    </dxf>
    <dxf>
      <alignment horizontal="center"/>
    </dxf>
    <dxf>
      <alignment vertical="center"/>
    </dxf>
    <dxf>
      <font>
        <b/>
        <sz val="14"/>
        <color theme="0"/>
      </font>
      <fill>
        <patternFill patternType="solid">
          <fgColor indexed="64"/>
          <bgColor theme="1"/>
        </patternFill>
      </fill>
    </dxf>
    <dxf>
      <alignment horizontal="center"/>
    </dxf>
    <dxf>
      <border>
        <left style="thin">
          <color indexed="64"/>
        </left>
        <right style="thin">
          <color indexed="64"/>
        </right>
        <top style="thin">
          <color indexed="64"/>
        </top>
        <bottom style="thin">
          <color indexed="64"/>
        </bottom>
      </border>
    </dxf>
    <dxf>
      <alignment horizontal="center"/>
    </dxf>
    <dxf>
      <font>
        <b/>
        <sz val="14"/>
        <color theme="0"/>
      </font>
      <fill>
        <patternFill patternType="solid">
          <fgColor indexed="64"/>
          <bgColor theme="1"/>
        </patternFill>
      </fill>
      <alignment horizontal="center"/>
    </dxf>
    <dxf>
      <alignment horizontal="center"/>
    </dxf>
    <dxf>
      <alignment horizontal="center"/>
    </dxf>
    <dxf>
      <font>
        <b/>
        <sz val="14"/>
        <color theme="0"/>
      </font>
      <fill>
        <patternFill patternType="solid">
          <fgColor indexed="64"/>
          <bgColor theme="1"/>
        </patternFill>
      </fill>
    </dxf>
    <dxf>
      <font>
        <sz val="11"/>
      </font>
    </dxf>
    <dxf>
      <font>
        <b val="0"/>
      </font>
    </dxf>
    <dxf>
      <fill>
        <patternFill>
          <bgColor theme="0"/>
        </patternFill>
      </fill>
    </dxf>
    <dxf>
      <font>
        <color theme="1"/>
      </font>
    </dxf>
    <dxf>
      <font>
        <b/>
        <sz val="14"/>
        <color theme="0"/>
      </font>
      <fill>
        <patternFill patternType="solid">
          <bgColor theme="1"/>
        </patternFill>
      </fill>
    </dxf>
    <dxf>
      <font>
        <b/>
        <sz val="14"/>
        <color theme="0"/>
      </font>
      <fill>
        <patternFill patternType="solid">
          <fgColor indexed="64"/>
          <bgColor theme="1"/>
        </patternFill>
      </fill>
    </dxf>
    <dxf>
      <alignment horizontal="center"/>
    </dxf>
    <dxf>
      <border>
        <left style="thin">
          <color indexed="64"/>
        </left>
        <right style="thin">
          <color indexed="64"/>
        </right>
        <top style="thin">
          <color indexed="64"/>
        </top>
        <bottom style="thin">
          <color indexed="64"/>
        </bottom>
      </border>
    </dxf>
    <dxf>
      <font>
        <b/>
        <sz val="14"/>
        <color theme="0"/>
      </font>
      <fill>
        <patternFill patternType="solid">
          <fgColor indexed="64"/>
          <bgColor theme="1"/>
        </patternFill>
      </fill>
    </dxf>
    <dxf>
      <font>
        <b/>
        <sz val="14"/>
        <color theme="0"/>
      </font>
      <fill>
        <patternFill patternType="solid">
          <fgColor indexed="64"/>
          <bgColor theme="1"/>
        </patternFill>
      </fill>
    </dxf>
    <dxf>
      <fill>
        <patternFill patternType="solid">
          <fgColor theme="0"/>
          <bgColor theme="0"/>
        </patternFill>
      </fill>
      <alignment horizontal="center"/>
    </dxf>
    <dxf>
      <font>
        <sz val="14"/>
      </font>
    </dxf>
    <dxf>
      <font>
        <b/>
      </font>
    </dxf>
    <dxf>
      <alignment horizontal="center"/>
    </dxf>
    <dxf>
      <alignment vertical="center"/>
    </dxf>
    <dxf>
      <font>
        <color theme="0"/>
      </font>
      <fill>
        <patternFill patternType="solid">
          <bgColor theme="1"/>
        </patternFill>
      </fill>
    </dxf>
    <dxf>
      <font>
        <b/>
        <sz val="14"/>
      </font>
    </dxf>
    <dxf>
      <font>
        <b/>
        <sz val="14"/>
        <color theme="0"/>
      </font>
      <fill>
        <patternFill patternType="solid">
          <bgColor theme="1"/>
        </patternFill>
      </fill>
    </dxf>
    <dxf>
      <font>
        <b/>
        <sz val="14"/>
        <color theme="0"/>
      </font>
      <fill>
        <patternFill patternType="solid">
          <bgColor theme="1"/>
        </patternFill>
      </fill>
    </dxf>
    <dxf>
      <font>
        <sz val="14"/>
        <color theme="0"/>
      </font>
      <fill>
        <patternFill patternType="solid">
          <bgColor theme="1"/>
        </patternFill>
      </fill>
    </dxf>
    <dxf>
      <font>
        <b/>
        <sz val="14"/>
        <color theme="0"/>
      </font>
      <fill>
        <patternFill patternType="solid">
          <fgColor indexed="64"/>
          <bgColor theme="1"/>
        </patternFill>
      </fill>
    </dxf>
    <dxf>
      <font>
        <b/>
        <sz val="14"/>
        <color theme="0"/>
      </font>
      <fill>
        <patternFill patternType="solid">
          <fgColor indexed="64"/>
          <bgColor theme="1"/>
        </patternFill>
      </fill>
    </dxf>
    <dxf>
      <alignment horizontal="left"/>
    </dxf>
    <dxf>
      <alignment horizontal="center"/>
    </dxf>
    <dxf>
      <alignment horizontal="center"/>
    </dxf>
    <dxf>
      <alignment horizontal="center"/>
    </dxf>
    <dxf>
      <font>
        <b/>
      </font>
    </dxf>
    <dxf>
      <font>
        <b/>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5"/>
      </font>
    </dxf>
    <dxf>
      <font>
        <sz val="15"/>
      </font>
    </dxf>
    <dxf>
      <font>
        <sz val="15"/>
      </font>
    </dxf>
    <dxf>
      <font>
        <sz val="15"/>
      </font>
    </dxf>
    <dxf>
      <font>
        <sz val="15"/>
      </font>
    </dxf>
    <dxf>
      <font>
        <b/>
        <sz val="14"/>
      </font>
    </dxf>
    <dxf>
      <font>
        <sz val="14"/>
      </font>
    </dxf>
    <dxf>
      <alignment vertical="center"/>
    </dxf>
    <dxf>
      <alignment horizontal="center"/>
    </dxf>
    <dxf>
      <alignment horizontal="center"/>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b/>
        <sz val="15"/>
        <color theme="0"/>
      </font>
      <fill>
        <patternFill patternType="solid">
          <fgColor indexed="64"/>
          <bgColor theme="1"/>
        </patternFill>
      </fill>
    </dxf>
    <dxf>
      <font>
        <b/>
        <sz val="15"/>
        <color theme="0"/>
      </font>
      <fill>
        <patternFill patternType="solid">
          <fgColor indexed="64"/>
          <bgColor theme="1"/>
        </patternFill>
      </fill>
    </dxf>
    <dxf>
      <font>
        <b/>
        <sz val="15"/>
        <color theme="0"/>
      </font>
      <fill>
        <patternFill patternType="solid">
          <fgColor indexed="64"/>
          <bgColor theme="1"/>
        </patternFill>
      </fill>
    </dxf>
    <dxf>
      <font>
        <b/>
        <sz val="15"/>
        <color theme="0"/>
      </font>
      <fill>
        <patternFill patternType="solid">
          <fgColor indexed="64"/>
          <bgColor theme="1"/>
        </patternFill>
      </fill>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4"/>
      </font>
    </dxf>
    <dxf>
      <font>
        <b/>
      </font>
    </dxf>
    <dxf>
      <font>
        <sz val="14"/>
      </font>
    </dxf>
    <dxf>
      <font>
        <b/>
      </font>
    </dxf>
    <dxf>
      <font>
        <sz val="14"/>
      </font>
    </dxf>
    <dxf>
      <font>
        <b/>
      </font>
    </dxf>
    <dxf>
      <font>
        <sz val="14"/>
      </font>
    </dxf>
    <dxf>
      <font>
        <b/>
        <sz val="15"/>
        <color theme="0"/>
      </font>
      <fill>
        <patternFill patternType="solid">
          <fgColor indexed="64"/>
          <bgColor theme="1"/>
        </patternFill>
      </fill>
      <alignment horizontal="center" vertical="center"/>
    </dxf>
    <dxf>
      <font>
        <b/>
        <sz val="14"/>
      </font>
      <alignment horizontal="left"/>
    </dxf>
    <dxf>
      <font>
        <b/>
        <sz val="14"/>
      </font>
      <alignment horizontal="left"/>
    </dxf>
    <dxf>
      <font>
        <b/>
        <sz val="14"/>
      </font>
      <alignment horizontal="left"/>
    </dxf>
    <dxf>
      <font>
        <b/>
        <sz val="14"/>
      </font>
      <alignment horizontal="left"/>
    </dxf>
    <dxf>
      <font>
        <b/>
        <sz val="14"/>
      </font>
      <alignment horizontal="left"/>
    </dxf>
    <dxf>
      <font>
        <b/>
        <sz val="14"/>
      </font>
      <alignment horizontal="left"/>
    </dxf>
    <dxf>
      <font>
        <b/>
        <sz val="14"/>
      </font>
      <alignment horizontal="left"/>
    </dxf>
    <dxf>
      <font>
        <b/>
        <sz val="14"/>
      </font>
      <alignment horizontal="left"/>
    </dxf>
    <dxf>
      <font>
        <b/>
        <sz val="14"/>
      </font>
      <alignment horizontal="left"/>
    </dxf>
    <dxf>
      <font>
        <sz val="14"/>
      </font>
    </dxf>
    <dxf>
      <font>
        <b/>
      </font>
    </dxf>
    <dxf>
      <alignment vertical="center"/>
    </dxf>
    <dxf>
      <alignment horizontal="left"/>
    </dxf>
    <dxf>
      <alignment horizontal="left"/>
    </dxf>
    <dxf>
      <fill>
        <patternFill patternType="solid">
          <bgColor rgb="FF92D050"/>
        </patternFill>
      </fill>
    </dxf>
    <dxf>
      <fill>
        <patternFill>
          <bgColor rgb="FF92D050"/>
        </patternFill>
      </fill>
    </dxf>
    <dxf>
      <fill>
        <patternFill>
          <bgColor rgb="FF92D050"/>
        </patternFill>
      </fill>
    </dxf>
    <dxf>
      <fill>
        <patternFill>
          <bgColor rgb="FFFFFF00"/>
        </patternFill>
      </fill>
    </dxf>
    <dxf>
      <fill>
        <patternFill>
          <bgColor theme="9"/>
        </patternFill>
      </fill>
    </dxf>
    <dxf>
      <fill>
        <patternFill>
          <bgColor theme="8"/>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sz val="14"/>
      </font>
    </dxf>
    <dxf>
      <font>
        <b/>
        <sz val="15"/>
        <color theme="0"/>
      </font>
      <fill>
        <patternFill patternType="solid">
          <fgColor indexed="64"/>
          <bgColor theme="1"/>
        </patternFill>
      </fill>
      <alignment horizontal="center" vertical="center"/>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ont>
        <b/>
      </font>
    </dxf>
    <dxf>
      <font>
        <sz val="14"/>
      </font>
    </dxf>
    <dxf>
      <alignment horizontal="left"/>
    </dxf>
    <dxf>
      <font>
        <sz val="14"/>
      </font>
    </dxf>
    <dxf>
      <font>
        <b/>
      </font>
    </dxf>
    <dxf>
      <font>
        <sz val="14"/>
      </font>
    </dxf>
    <dxf>
      <font>
        <b/>
      </font>
    </dxf>
    <dxf>
      <fill>
        <patternFill patternType="solid">
          <bgColor rgb="FFC00000"/>
        </patternFill>
      </fill>
    </dxf>
    <dxf>
      <fill>
        <patternFill patternType="solid">
          <bgColor rgb="FFC00000"/>
        </patternFill>
      </fill>
    </dxf>
    <dxf>
      <fill>
        <patternFill patternType="solid">
          <bgColor rgb="FFC000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rgb="FFFFFF00"/>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rgb="FFFFFF00"/>
        </patternFill>
      </fill>
    </dxf>
    <dxf>
      <fill>
        <patternFill>
          <bgColor rgb="FFFFFF00"/>
        </patternFill>
      </fill>
    </dxf>
    <dxf>
      <fill>
        <patternFill>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sz val="14"/>
        <color theme="0"/>
      </font>
      <fill>
        <patternFill patternType="solid">
          <bgColor theme="1"/>
        </patternFill>
      </fill>
    </dxf>
    <dxf>
      <font>
        <b/>
        <sz val="14"/>
        <color theme="0"/>
      </font>
      <fill>
        <patternFill patternType="solid">
          <fgColor indexed="64"/>
          <bgColor theme="1"/>
        </patternFill>
      </fill>
    </dxf>
    <dxf>
      <alignment horizontal="center"/>
    </dxf>
    <dxf>
      <border>
        <left style="thin">
          <color indexed="64"/>
        </left>
        <right style="thin">
          <color indexed="64"/>
        </right>
        <top style="thin">
          <color indexed="64"/>
        </top>
        <bottom style="thin">
          <color indexed="64"/>
        </bottom>
      </border>
    </dxf>
    <dxf>
      <font>
        <b/>
        <sz val="14"/>
        <color theme="0"/>
      </font>
      <fill>
        <patternFill patternType="solid">
          <fgColor indexed="64"/>
          <bgColor theme="1"/>
        </patternFill>
      </fill>
    </dxf>
    <dxf>
      <alignment horizontal="center"/>
    </dxf>
    <dxf>
      <fill>
        <patternFill patternType="solid">
          <fgColor theme="0"/>
          <bgColor theme="0"/>
        </patternFill>
      </fill>
    </dxf>
    <dxf>
      <font>
        <sz val="14"/>
      </font>
    </dxf>
    <dxf>
      <font>
        <sz val="14"/>
      </font>
    </dxf>
    <dxf>
      <font>
        <sz val="14"/>
      </font>
    </dxf>
    <dxf>
      <font>
        <b/>
      </font>
    </dxf>
    <dxf>
      <font>
        <b/>
      </font>
    </dxf>
    <dxf>
      <font>
        <b/>
      </font>
    </dxf>
    <dxf>
      <alignment horizontal="center"/>
    </dxf>
    <dxf>
      <alignment vertical="center"/>
    </dxf>
    <dxf>
      <font>
        <color theme="0"/>
      </font>
      <fill>
        <patternFill patternType="solid">
          <bgColor theme="1"/>
        </patternFill>
      </fill>
    </dxf>
    <dxf>
      <font>
        <b/>
        <sz val="14"/>
      </font>
    </dxf>
    <dxf>
      <font>
        <b/>
        <sz val="14"/>
        <color theme="0"/>
      </font>
      <fill>
        <patternFill patternType="solid">
          <bgColor theme="1"/>
        </patternFill>
      </fill>
    </dxf>
    <dxf>
      <font>
        <b/>
        <sz val="14"/>
        <color theme="0"/>
      </font>
      <fill>
        <patternFill patternType="solid">
          <bgColor theme="1"/>
        </patternFill>
      </fill>
    </dxf>
    <dxf>
      <font>
        <sz val="14"/>
        <color theme="0"/>
      </font>
      <fill>
        <patternFill patternType="solid">
          <bgColor theme="1"/>
        </patternFill>
      </fill>
    </dxf>
    <dxf>
      <font>
        <b/>
        <sz val="14"/>
        <color theme="0"/>
      </font>
      <fill>
        <patternFill patternType="solid">
          <fgColor indexed="64"/>
          <bgColor theme="1"/>
        </patternFill>
      </fill>
    </dxf>
    <dxf>
      <font>
        <b/>
        <sz val="14"/>
        <color theme="0"/>
      </font>
      <fill>
        <patternFill patternType="solid">
          <fgColor indexed="64"/>
          <bgColor theme="1"/>
        </patternFill>
      </fill>
    </dxf>
    <dxf>
      <alignment vertical="center"/>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bgColor theme="1"/>
        </patternFill>
      </fill>
    </dxf>
    <dxf>
      <alignment vertical="top"/>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indexed="64"/>
        </left>
        <right style="thin">
          <color indexed="64"/>
        </right>
        <bottom style="thin">
          <color indexed="64"/>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alignment horizontal="center"/>
    </dxf>
    <dxf>
      <alignment horizontal="center"/>
    </dxf>
    <dxf>
      <alignment horizontal="cent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fill>
        <patternFill patternType="solid">
          <bgColor theme="0" tint="-0.14999847407452621"/>
        </patternFill>
      </fill>
    </dxf>
    <dxf>
      <fill>
        <patternFill patternType="solid">
          <bgColor theme="0"/>
        </patternFill>
      </fill>
    </dxf>
    <dxf>
      <alignment horizontal="lef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5"/>
      </font>
    </dxf>
    <dxf>
      <font>
        <sz val="15"/>
      </font>
    </dxf>
    <dxf>
      <font>
        <sz val="15"/>
      </font>
    </dxf>
    <dxf>
      <font>
        <sz val="15"/>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6" formatCode="[$-F400]h:mm:ss\ AM/PM"/>
    </dxf>
    <dxf>
      <numFmt numFmtId="164" formatCode="[$-409]h:mm\ AM/PM;@"/>
    </dxf>
    <dxf>
      <font>
        <b/>
        <sz val="14"/>
      </font>
    </dxf>
    <dxf>
      <font>
        <b/>
        <sz val="14"/>
      </font>
    </dxf>
    <dxf>
      <font>
        <b/>
        <sz val="14"/>
      </font>
    </dxf>
    <dxf>
      <font>
        <b/>
        <sz val="14"/>
      </font>
    </dxf>
    <dxf>
      <font>
        <b/>
        <sz val="14"/>
      </font>
    </dxf>
    <dxf>
      <font>
        <b/>
        <sz val="14"/>
      </font>
    </dxf>
    <dxf>
      <font>
        <color rgb="FFFF0000"/>
      </font>
    </dxf>
    <dxf>
      <font>
        <color rgb="FFFF0000"/>
      </font>
    </dxf>
    <dxf>
      <font>
        <b/>
        <sz val="14"/>
      </font>
    </dxf>
    <dxf>
      <font>
        <b/>
        <sz val="14"/>
      </font>
    </dxf>
    <dxf>
      <font>
        <b/>
        <sz val="14"/>
      </font>
    </dxf>
    <dxf>
      <font>
        <b/>
        <sz val="14"/>
      </font>
    </dxf>
    <dxf>
      <font>
        <b/>
        <sz val="14"/>
      </font>
    </dxf>
    <dxf>
      <border>
        <left style="thin">
          <color indexed="64"/>
        </left>
        <right style="thin">
          <color indexed="64"/>
        </right>
        <bottom style="thin">
          <color indexed="64"/>
        </bottom>
      </border>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ill>
        <patternFill patternType="solid">
          <bgColor theme="0" tint="-0.14999847407452621"/>
        </patternFill>
      </fill>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border>
        <bottom style="thin">
          <color indexed="64"/>
        </bottom>
      </border>
    </dxf>
    <dxf>
      <border>
        <left style="thin">
          <color indexed="64"/>
        </left>
        <right style="thin">
          <color indexed="64"/>
        </right>
      </border>
    </dxf>
    <dxf>
      <border>
        <left style="thin">
          <color indexed="64"/>
        </left>
        <right style="thin">
          <color indexed="64"/>
        </right>
        <bottom style="thin">
          <color indexed="64"/>
        </bottom>
      </border>
    </dxf>
    <dxf>
      <font>
        <b/>
        <sz val="14"/>
      </font>
    </dxf>
    <dxf>
      <font>
        <b/>
        <sz val="14"/>
      </font>
    </dxf>
    <dxf>
      <font>
        <b/>
        <sz val="14"/>
      </font>
    </dxf>
    <dxf>
      <font>
        <color theme="1"/>
      </font>
    </dxf>
    <dxf>
      <font>
        <color rgb="FFFF0000"/>
      </font>
    </dxf>
    <dxf>
      <font>
        <b/>
        <sz val="14"/>
      </font>
    </dxf>
    <dxf>
      <font>
        <b/>
        <sz val="14"/>
      </font>
    </dxf>
    <dxf>
      <font>
        <b/>
        <sz val="14"/>
      </font>
    </dxf>
    <dxf>
      <font>
        <b/>
        <sz val="14"/>
      </font>
    </dxf>
    <dxf>
      <font>
        <b/>
        <sz val="14"/>
      </font>
    </dxf>
    <dxf>
      <font>
        <b/>
        <sz val="14"/>
      </font>
    </dxf>
    <dxf>
      <font>
        <b/>
        <sz val="14"/>
      </font>
    </dxf>
    <dxf>
      <font>
        <b/>
        <sz val="14"/>
      </font>
    </dxf>
    <dxf>
      <font>
        <b/>
      </font>
    </dxf>
    <dxf>
      <font>
        <sz val="14"/>
      </font>
    </dxf>
    <dxf>
      <font>
        <b/>
      </font>
    </dxf>
    <dxf>
      <font>
        <sz val="14"/>
      </font>
    </dxf>
    <dxf>
      <border>
        <left style="thin">
          <color indexed="64"/>
        </left>
        <right style="thin">
          <color indexed="64"/>
        </right>
        <bottom style="thin">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ill>
        <patternFill>
          <bgColor theme="9"/>
        </patternFill>
      </fill>
    </dxf>
    <dxf>
      <fill>
        <patternFill>
          <bgColor theme="9"/>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1"/>
        </patternFill>
      </fill>
    </dxf>
    <dxf>
      <font>
        <b/>
        <sz val="14"/>
      </font>
    </dxf>
    <dxf>
      <font>
        <b/>
        <sz val="14"/>
      </font>
    </dxf>
    <dxf>
      <fill>
        <patternFill patternType="none">
          <bgColor auto="1"/>
        </patternFill>
      </fill>
    </dxf>
    <dxf>
      <font>
        <i/>
      </font>
    </dxf>
    <dxf>
      <font>
        <i/>
      </font>
    </dxf>
    <dxf>
      <font>
        <b/>
      </font>
    </dxf>
    <dxf>
      <font>
        <sz val="14"/>
      </font>
    </dxf>
    <dxf>
      <font>
        <sz val="14"/>
      </font>
    </dxf>
    <dxf>
      <font>
        <b/>
      </font>
    </dxf>
    <dxf>
      <font>
        <i val="0"/>
      </font>
    </dxf>
    <dxf>
      <font>
        <i val="0"/>
      </font>
    </dxf>
    <dxf>
      <font>
        <i val="0"/>
      </font>
    </dxf>
    <dxf>
      <font>
        <i val="0"/>
      </font>
    </dxf>
    <dxf>
      <font>
        <i val="0"/>
      </font>
    </dxf>
    <dxf>
      <font>
        <i val="0"/>
      </font>
    </dxf>
    <dxf>
      <font>
        <i val="0"/>
      </font>
    </dxf>
    <dxf>
      <font>
        <i val="0"/>
      </font>
    </dxf>
    <dxf>
      <font>
        <i val="0"/>
      </font>
    </dxf>
    <dxf>
      <font>
        <i val="0"/>
      </font>
    </dxf>
    <dxf>
      <font>
        <i val="0"/>
      </font>
    </dxf>
    <dxf>
      <font>
        <i val="0"/>
      </font>
    </dxf>
    <dxf>
      <font>
        <i val="0"/>
      </font>
    </dxf>
    <dxf>
      <font>
        <i val="0"/>
      </font>
    </dxf>
    <dxf>
      <font>
        <i val="0"/>
      </font>
    </dxf>
    <dxf>
      <font>
        <i val="0"/>
      </font>
    </dxf>
    <dxf>
      <font>
        <i val="0"/>
      </font>
    </dxf>
    <dxf>
      <font>
        <i val="0"/>
      </font>
    </dxf>
    <dxf>
      <font>
        <i val="0"/>
      </font>
    </dxf>
    <dxf>
      <font>
        <i val="0"/>
      </font>
    </dxf>
    <dxf>
      <font>
        <i val="0"/>
      </font>
    </dxf>
    <dxf>
      <font>
        <i val="0"/>
      </font>
    </dxf>
    <dxf>
      <font>
        <i val="0"/>
      </font>
    </dxf>
    <dxf>
      <font>
        <i val="0"/>
      </font>
    </dxf>
    <dxf>
      <font>
        <i val="0"/>
      </font>
    </dxf>
    <dxf>
      <font>
        <i val="0"/>
      </font>
    </dxf>
    <dxf>
      <font>
        <i val="0"/>
      </font>
    </dxf>
    <dxf>
      <font>
        <sz val="14"/>
      </font>
    </dxf>
    <dxf>
      <font>
        <b/>
      </font>
    </dxf>
    <dxf>
      <font>
        <b/>
        <sz val="14"/>
      </font>
    </dxf>
    <dxf>
      <font>
        <b/>
        <sz val="14"/>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sz val="14"/>
      </font>
    </dxf>
    <dxf>
      <fill>
        <patternFill patternType="none">
          <bgColor auto="1"/>
        </patternFill>
      </fill>
    </dxf>
    <dxf>
      <fill>
        <patternFill patternType="none">
          <bgColor auto="1"/>
        </patternFill>
      </fill>
    </dxf>
    <dxf>
      <font>
        <b/>
        <sz val="14"/>
      </font>
    </dxf>
    <dxf>
      <font>
        <b/>
        <sz val="14"/>
      </font>
    </dxf>
    <dxf>
      <font>
        <sz val="14"/>
      </font>
    </dxf>
    <dxf>
      <fill>
        <patternFill patternType="none">
          <bgColor auto="1"/>
        </patternFill>
      </fill>
    </dxf>
    <dxf>
      <font>
        <b/>
      </font>
    </dxf>
    <dxf>
      <font>
        <sz val="14"/>
      </font>
    </dxf>
    <dxf>
      <font>
        <b/>
      </font>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font>
    </dxf>
    <dxf>
      <font>
        <sz val="14"/>
      </font>
    </dxf>
    <dxf>
      <font>
        <b/>
      </font>
    </dxf>
    <dxf>
      <font>
        <sz val="14"/>
      </font>
    </dxf>
    <dxf>
      <fill>
        <patternFill patternType="solid">
          <bgColor rgb="FFFFFF00"/>
        </patternFill>
      </fill>
    </dxf>
    <dxf>
      <fill>
        <patternFill patternType="solid">
          <bgColor rgb="FFFFFF00"/>
        </patternFill>
      </fill>
    </dxf>
    <dxf>
      <fill>
        <patternFill>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sz val="15"/>
        <color theme="0"/>
      </font>
      <fill>
        <patternFill patternType="solid">
          <fgColor indexed="64"/>
          <bgColor theme="1"/>
        </patternFill>
      </fill>
      <alignment horizontal="center" vertical="center"/>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alignment horizontal="left"/>
    </dxf>
    <dxf>
      <font>
        <b/>
        <sz val="14"/>
      </font>
      <alignment horizontal="center" vertical="center"/>
    </dxf>
    <dxf>
      <font>
        <b/>
        <sz val="14"/>
      </font>
      <alignment horizontal="center" vertical="center"/>
    </dxf>
    <dxf>
      <font>
        <b/>
        <sz val="14"/>
      </font>
      <alignment horizontal="center" vertic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fill>
        <patternFill patternType="none">
          <bgColor auto="1"/>
        </patternFill>
      </fill>
    </dxf>
    <dxf>
      <font>
        <b/>
        <sz val="14"/>
      </font>
    </dxf>
    <dxf>
      <font>
        <b/>
        <sz val="14"/>
      </font>
    </dxf>
    <dxf>
      <font>
        <b/>
        <sz val="14"/>
      </font>
      <numFmt numFmtId="30" formatCode="@"/>
      <alignment horizontal="center" vertical="center"/>
    </dxf>
    <dxf>
      <font>
        <b/>
        <sz val="14"/>
      </font>
    </dxf>
    <dxf>
      <font>
        <b/>
        <sz val="14"/>
      </font>
    </dxf>
    <dxf>
      <font>
        <b/>
        <sz val="14"/>
      </font>
    </dxf>
    <dxf>
      <font>
        <b/>
        <sz val="14"/>
      </font>
    </dxf>
    <dxf>
      <font>
        <b/>
        <sz val="14"/>
      </font>
      <alignment horizontal="center" vertical="center"/>
    </dxf>
    <dxf>
      <font>
        <b/>
        <sz val="14"/>
      </font>
      <alignment horizontal="center" vertical="center"/>
    </dxf>
    <dxf>
      <font>
        <b/>
        <sz val="14"/>
      </font>
      <alignment horizontal="center" vertical="center"/>
    </dxf>
    <dxf>
      <font>
        <b/>
        <sz val="14"/>
      </font>
      <alignment horizontal="center" vertical="center"/>
    </dxf>
    <dxf>
      <font>
        <b/>
        <sz val="14"/>
      </font>
      <alignment horizontal="center" vertical="center"/>
    </dxf>
    <dxf>
      <font>
        <b/>
        <sz val="14"/>
      </font>
      <alignment horizontal="center" vertical="center"/>
    </dxf>
    <dxf>
      <font>
        <b/>
        <sz val="14"/>
      </font>
      <alignment horizontal="center" vertical="center"/>
    </dxf>
    <dxf>
      <font>
        <b/>
        <sz val="14"/>
      </font>
      <alignment horizontal="center" vertical="center"/>
    </dxf>
    <dxf>
      <font>
        <b/>
        <sz val="14"/>
      </font>
      <alignment horizontal="center" vertical="center"/>
    </dxf>
    <dxf>
      <font>
        <b/>
        <sz val="14"/>
      </font>
      <alignment horizontal="center" vertical="center"/>
    </dxf>
    <dxf>
      <font>
        <b/>
        <sz val="14"/>
      </font>
      <alignment horizontal="center" vertical="center"/>
    </dxf>
    <dxf>
      <font>
        <b/>
        <sz val="14"/>
      </font>
      <alignment horizontal="center" vertical="center"/>
    </dxf>
    <dxf>
      <font>
        <b/>
        <sz val="14"/>
      </font>
      <alignment horizontal="center" vertical="center"/>
    </dxf>
    <dxf>
      <font>
        <b/>
        <sz val="14"/>
      </font>
      <alignment horizontal="center" vertical="center"/>
    </dxf>
    <dxf>
      <font>
        <b/>
        <sz val="14"/>
      </font>
      <alignment horizontal="center" vertical="center"/>
    </dxf>
    <dxf>
      <font>
        <b/>
        <sz val="14"/>
      </font>
      <alignment horizontal="center" vertical="center"/>
    </dxf>
    <dxf>
      <font>
        <b/>
        <sz val="14"/>
      </font>
      <alignment horizontal="center" vertical="center"/>
    </dxf>
    <dxf>
      <font>
        <b/>
        <sz val="14"/>
      </font>
      <alignment horizontal="center" vertical="center"/>
    </dxf>
    <dxf>
      <font>
        <b/>
        <sz val="14"/>
      </font>
      <alignment horizontal="center" vertical="center"/>
    </dxf>
    <dxf>
      <font>
        <b/>
        <sz val="14"/>
      </font>
    </dxf>
    <dxf>
      <font>
        <b/>
        <sz val="14"/>
      </font>
    </dxf>
    <dxf>
      <font>
        <b/>
        <sz val="14"/>
      </font>
    </dxf>
    <dxf>
      <font>
        <b/>
        <sz val="14"/>
      </font>
    </dxf>
    <dxf>
      <font>
        <b/>
        <sz val="14"/>
      </font>
    </dxf>
    <dxf>
      <font>
        <b/>
        <sz val="14"/>
      </font>
    </dxf>
    <dxf>
      <font>
        <b/>
        <sz val="14"/>
      </font>
      <numFmt numFmtId="30" formatCode="@"/>
      <alignment horizontal="left" vertical="center"/>
    </dxf>
    <dxf>
      <font>
        <b/>
        <sz val="14"/>
      </font>
      <numFmt numFmtId="30" formatCode="@"/>
      <alignment horizontal="left" vertical="center"/>
    </dxf>
    <dxf>
      <font>
        <b/>
        <sz val="14"/>
      </font>
      <alignment horizontal="left"/>
    </dxf>
    <dxf>
      <font>
        <b/>
        <sz val="14"/>
      </font>
      <numFmt numFmtId="30" formatCode="@"/>
      <alignment horizontal="left" vertical="center"/>
    </dxf>
    <dxf>
      <font>
        <b/>
        <sz val="14"/>
      </font>
      <numFmt numFmtId="30" formatCode="@"/>
      <alignment horizontal="left" vertical="center"/>
    </dxf>
    <dxf>
      <font>
        <b/>
        <sz val="14"/>
      </font>
      <numFmt numFmtId="30" formatCode="@"/>
      <alignment horizontal="left" vertical="center"/>
    </dxf>
    <dxf>
      <font>
        <b/>
        <sz val="14"/>
      </font>
      <numFmt numFmtId="30" formatCode="@"/>
      <alignment horizontal="center" vertical="center"/>
    </dxf>
    <dxf>
      <font>
        <b/>
        <sz val="14"/>
      </font>
      <numFmt numFmtId="30" formatCode="@"/>
      <alignment horizontal="center" vertical="center"/>
    </dxf>
    <dxf>
      <font>
        <b/>
        <sz val="14"/>
      </font>
      <numFmt numFmtId="30" formatCode="@"/>
      <alignment horizontal="center" vertical="center"/>
    </dxf>
    <dxf>
      <font>
        <b/>
        <sz val="14"/>
      </font>
      <numFmt numFmtId="30" formatCode="@"/>
      <alignment horizontal="center" vertical="center"/>
    </dxf>
    <dxf>
      <font>
        <b/>
        <sz val="14"/>
      </font>
      <numFmt numFmtId="30" formatCode="@"/>
      <alignment horizontal="center" vertical="center"/>
    </dxf>
    <dxf>
      <font>
        <b/>
        <sz val="14"/>
      </font>
      <numFmt numFmtId="30" formatCode="@"/>
      <alignment horizontal="center" vertical="center"/>
    </dxf>
    <dxf>
      <font>
        <b/>
        <sz val="14"/>
      </font>
      <numFmt numFmtId="30" formatCode="@"/>
      <alignment horizontal="center" vertical="center"/>
    </dxf>
    <dxf>
      <font>
        <b/>
        <sz val="14"/>
      </font>
      <numFmt numFmtId="30" formatCode="@"/>
      <alignment horizontal="center" vertical="center"/>
    </dxf>
    <dxf>
      <font>
        <b/>
        <sz val="14"/>
      </font>
      <numFmt numFmtId="30" formatCode="@"/>
      <alignment horizontal="center" vertical="center"/>
    </dxf>
    <dxf>
      <font>
        <b/>
        <sz val="14"/>
      </font>
      <numFmt numFmtId="30" formatCode="@"/>
      <alignment horizontal="center" vertical="center"/>
    </dxf>
    <dxf>
      <font>
        <b/>
        <sz val="14"/>
      </font>
      <numFmt numFmtId="30" formatCode="@"/>
      <alignment horizontal="center" vertical="center"/>
    </dxf>
    <dxf>
      <font>
        <b/>
        <sz val="14"/>
      </font>
      <numFmt numFmtId="30" formatCode="@"/>
      <alignment horizontal="center" vertical="center"/>
    </dxf>
    <dxf>
      <font>
        <b/>
        <sz val="14"/>
      </font>
      <numFmt numFmtId="30" formatCode="@"/>
      <alignment horizontal="center" vertical="center"/>
    </dxf>
    <dxf>
      <font>
        <b/>
        <sz val="14"/>
      </font>
      <numFmt numFmtId="30" formatCode="@"/>
      <alignment horizontal="center" vertical="center"/>
    </dxf>
    <dxf>
      <font>
        <b/>
        <sz val="14"/>
      </font>
      <numFmt numFmtId="30" formatCode="@"/>
      <alignment horizontal="center" vertical="center"/>
    </dxf>
    <dxf>
      <font>
        <b/>
        <sz val="14"/>
      </font>
      <numFmt numFmtId="30" formatCode="@"/>
      <alignment horizontal="center" vertical="center"/>
    </dxf>
    <dxf>
      <font>
        <b/>
        <sz val="14"/>
      </font>
      <numFmt numFmtId="30" formatCode="@"/>
      <alignment horizontal="center" vertical="center"/>
    </dxf>
    <dxf>
      <font>
        <b/>
        <sz val="14"/>
      </font>
      <numFmt numFmtId="30" formatCode="@"/>
      <alignment horizontal="center" vertical="center"/>
    </dxf>
    <dxf>
      <font>
        <b/>
        <sz val="14"/>
      </font>
      <numFmt numFmtId="30" formatCode="@"/>
      <alignment horizontal="center" vertical="center"/>
    </dxf>
    <dxf>
      <font>
        <b/>
        <sz val="14"/>
      </font>
      <numFmt numFmtId="30" formatCode="@"/>
      <alignment horizontal="center" vertical="center"/>
    </dxf>
    <dxf>
      <font>
        <b/>
        <sz val="14"/>
      </font>
      <numFmt numFmtId="30" formatCode="@"/>
      <alignment horizontal="center" vertical="center"/>
    </dxf>
    <dxf>
      <font>
        <b/>
        <sz val="14"/>
      </font>
      <numFmt numFmtId="30" formatCode="@"/>
      <alignment horizontal="center" vertical="center"/>
    </dxf>
    <dxf>
      <font>
        <b/>
        <sz val="14"/>
      </font>
      <numFmt numFmtId="30" formatCode="@"/>
      <alignment horizontal="center" vertical="center"/>
    </dxf>
    <dxf>
      <numFmt numFmtId="0" formatCode="General"/>
    </dxf>
    <dxf>
      <font>
        <b/>
        <sz val="14"/>
      </font>
      <numFmt numFmtId="30" formatCode="@"/>
      <alignment horizontal="center" vertical="center"/>
    </dxf>
    <dxf>
      <font>
        <b/>
        <sz val="14"/>
      </font>
      <numFmt numFmtId="30" formatCode="@"/>
      <alignment horizontal="center" vertical="center"/>
    </dxf>
    <dxf>
      <font>
        <b/>
        <sz val="14"/>
      </font>
      <numFmt numFmtId="30" formatCode="@"/>
      <alignment horizontal="center" vertical="center"/>
    </dxf>
    <dxf>
      <font>
        <b/>
        <sz val="14"/>
      </font>
      <numFmt numFmtId="30" formatCode="@"/>
      <alignment horizontal="center" vertical="center"/>
    </dxf>
    <dxf>
      <font>
        <b/>
        <sz val="14"/>
      </font>
      <numFmt numFmtId="30" formatCode="@"/>
      <alignment horizontal="center" vertical="center"/>
    </dxf>
    <dxf>
      <font>
        <b/>
        <sz val="14"/>
      </font>
      <numFmt numFmtId="30" formatCode="@"/>
      <alignment horizontal="center" vertical="center"/>
    </dxf>
    <dxf>
      <font>
        <b/>
        <sz val="14"/>
      </font>
      <numFmt numFmtId="30" formatCode="@"/>
      <alignment horizontal="center" vertical="center"/>
    </dxf>
    <dxf>
      <font>
        <b/>
        <sz val="14"/>
      </font>
      <numFmt numFmtId="30" formatCode="@"/>
      <alignment horizontal="left" vertical="center"/>
    </dxf>
    <dxf>
      <numFmt numFmtId="30" formatCode="@"/>
      <alignment horizontal="left" vertical="center"/>
    </dxf>
    <dxf>
      <font>
        <b/>
        <sz val="14"/>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sz val="14"/>
      </font>
      <alignment horizontal="center" vertical="center"/>
    </dxf>
    <dxf>
      <font>
        <b/>
        <sz val="14"/>
      </font>
      <alignment horizontal="center" vertical="center"/>
    </dxf>
    <dxf>
      <font>
        <b/>
        <sz val="14"/>
      </font>
      <alignment horizontal="center" vertical="center"/>
    </dxf>
    <dxf>
      <font>
        <b/>
        <sz val="14"/>
      </font>
      <alignment horizontal="center" vertical="center"/>
    </dxf>
    <dxf>
      <font>
        <b/>
        <sz val="14"/>
      </font>
      <alignment horizontal="center" vertical="center"/>
    </dxf>
    <dxf>
      <font>
        <b/>
        <sz val="14"/>
      </font>
      <alignment horizontal="center" vertical="center"/>
    </dxf>
    <dxf>
      <font>
        <b/>
        <sz val="14"/>
      </font>
      <alignment horizontal="center" vertical="center"/>
    </dxf>
    <dxf>
      <font>
        <b/>
        <sz val="14"/>
      </font>
      <alignment horizontal="center" vertical="center"/>
    </dxf>
    <dxf>
      <font>
        <b/>
        <sz val="14"/>
      </font>
      <alignment horizontal="center" vertical="center"/>
    </dxf>
    <dxf>
      <font>
        <b/>
        <sz val="14"/>
      </font>
      <alignment horizontal="center" vertical="center"/>
    </dxf>
    <dxf>
      <font>
        <b/>
        <sz val="14"/>
      </font>
      <alignment horizontal="center" vertical="center"/>
    </dxf>
    <dxf>
      <font>
        <b/>
        <sz val="14"/>
      </font>
      <alignment horizontal="center" vertical="center"/>
    </dxf>
    <dxf>
      <font>
        <b/>
        <sz val="14"/>
      </font>
      <alignment horizontal="center" vertical="center"/>
    </dxf>
    <dxf>
      <fill>
        <patternFill patternType="none">
          <bgColor auto="1"/>
        </patternFill>
      </fill>
    </dxf>
    <dxf>
      <fill>
        <patternFill patternType="none">
          <bgColor auto="1"/>
        </patternFill>
      </fill>
    </dxf>
    <dxf>
      <font>
        <b/>
      </font>
    </dxf>
    <dxf>
      <font>
        <sz val="14"/>
      </font>
    </dxf>
    <dxf>
      <font>
        <b/>
      </font>
    </dxf>
    <dxf>
      <alignment horizontal="center"/>
    </dxf>
    <dxf>
      <alignment vertical="center"/>
    </dxf>
    <dxf>
      <font>
        <sz val="14"/>
      </font>
    </dxf>
    <dxf>
      <font>
        <b/>
        <sz val="14"/>
      </font>
      <alignment horizontal="center" vertical="center"/>
    </dxf>
    <dxf>
      <font>
        <b/>
        <sz val="14"/>
      </font>
      <alignment horizontal="center" vertical="center"/>
    </dxf>
    <dxf>
      <font>
        <b/>
        <sz val="14"/>
      </font>
      <numFmt numFmtId="30" formatCode="@"/>
      <alignment horizontal="center" vertical="center"/>
    </dxf>
    <dxf>
      <font>
        <b/>
        <sz val="14"/>
      </font>
      <numFmt numFmtId="30" formatCode="@"/>
      <alignment horizontal="center" vertical="center"/>
    </dxf>
    <dxf>
      <fill>
        <patternFill patternType="solid">
          <bgColor rgb="FFC000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00"/>
        </patternFill>
      </fill>
    </dxf>
    <dxf>
      <fill>
        <patternFill>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00"/>
        </patternFill>
      </fill>
    </dxf>
    <dxf>
      <fill>
        <patternFill>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patternType="none">
          <bgColor auto="1"/>
        </patternFill>
      </fill>
    </dxf>
    <dxf>
      <fill>
        <patternFill patternType="none">
          <bgColor auto="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ont>
        <color rgb="FF9C0006"/>
      </font>
      <fill>
        <patternFill>
          <bgColor rgb="FFFFC7CE"/>
        </patternFill>
      </fill>
    </dxf>
    <dxf>
      <font>
        <color rgb="FFC00000"/>
      </font>
    </dxf>
    <dxf>
      <font>
        <color rgb="FF006100"/>
      </font>
      <fill>
        <patternFill>
          <bgColor rgb="FFC6EFCE"/>
        </patternFill>
      </fill>
    </dxf>
    <dxf>
      <font>
        <color rgb="FFFF0000"/>
      </font>
    </dxf>
    <dxf>
      <font>
        <color rgb="FFC00000"/>
      </font>
    </dxf>
    <dxf>
      <font>
        <color rgb="FF006100"/>
      </font>
      <fill>
        <patternFill>
          <bgColor rgb="FFC6EFCE"/>
        </patternFill>
      </fill>
    </dxf>
    <dxf>
      <font>
        <color rgb="FFFF0000"/>
      </font>
    </dxf>
    <dxf>
      <font>
        <color rgb="FFC00000"/>
      </font>
    </dxf>
    <dxf>
      <font>
        <color rgb="FFFF0000"/>
      </font>
    </dxf>
    <dxf>
      <font>
        <color rgb="FFC00000"/>
      </font>
    </dxf>
    <dxf>
      <font>
        <color rgb="FF9C0006"/>
      </font>
      <fill>
        <patternFill>
          <bgColor rgb="FFFFC7CE"/>
        </patternFill>
      </fill>
    </dxf>
    <dxf>
      <font>
        <color rgb="FFFF0000"/>
      </font>
    </dxf>
    <dxf>
      <fill>
        <patternFill>
          <bgColor theme="0" tint="-0.14996795556505021"/>
        </patternFill>
      </fill>
    </dxf>
    <dxf>
      <font>
        <color rgb="FFFF0000"/>
      </font>
    </dxf>
    <dxf>
      <font>
        <color rgb="FFC00000"/>
      </font>
    </dxf>
    <dxf>
      <font>
        <color rgb="FF006100"/>
      </font>
      <fill>
        <patternFill>
          <bgColor rgb="FFC6EFCE"/>
        </patternFill>
      </fill>
    </dxf>
    <dxf>
      <font>
        <color rgb="FFFF0000"/>
      </font>
    </dxf>
    <dxf>
      <font>
        <color rgb="FFC00000"/>
      </font>
    </dxf>
    <dxf>
      <font>
        <color rgb="FF006100"/>
      </font>
      <fill>
        <patternFill>
          <bgColor rgb="FFC6EFCE"/>
        </patternFill>
      </fill>
    </dxf>
    <dxf>
      <font>
        <color rgb="FFFF0000"/>
      </font>
    </dxf>
    <dxf>
      <font>
        <color rgb="FFC00000"/>
      </font>
    </dxf>
    <dxf>
      <font>
        <color rgb="FF006100"/>
      </font>
      <fill>
        <patternFill>
          <bgColor rgb="FFC6EFCE"/>
        </patternFill>
      </fill>
    </dxf>
    <dxf>
      <font>
        <color rgb="FFFF0000"/>
      </font>
    </dxf>
    <dxf>
      <font>
        <color rgb="FFC00000"/>
      </font>
    </dxf>
    <dxf>
      <font>
        <color rgb="FF006100"/>
      </font>
      <fill>
        <patternFill>
          <bgColor rgb="FFC6EFCE"/>
        </patternFill>
      </fill>
    </dxf>
    <dxf>
      <font>
        <color rgb="FFC00000"/>
      </font>
    </dxf>
    <dxf>
      <font>
        <color rgb="FF006100"/>
      </font>
      <fill>
        <patternFill>
          <bgColor rgb="FFC6EFCE"/>
        </patternFill>
      </fill>
    </dxf>
    <dxf>
      <font>
        <color rgb="FFFF0000"/>
      </font>
    </dxf>
    <dxf>
      <font>
        <color rgb="FFC00000"/>
      </font>
    </dxf>
    <dxf>
      <font>
        <color rgb="FF006100"/>
      </font>
      <fill>
        <patternFill>
          <bgColor rgb="FFC6EFCE"/>
        </patternFill>
      </fill>
    </dxf>
    <dxf>
      <font>
        <color rgb="FFFF0000"/>
      </font>
    </dxf>
    <dxf>
      <font>
        <color rgb="FFC00000"/>
      </font>
    </dxf>
    <dxf>
      <font>
        <color rgb="FFFF0000"/>
      </font>
    </dxf>
    <dxf>
      <font>
        <color rgb="FFC00000"/>
      </font>
    </dxf>
    <dxf>
      <font>
        <color rgb="FF006100"/>
      </font>
      <fill>
        <patternFill>
          <bgColor rgb="FFC6EFCE"/>
        </patternFill>
      </fill>
    </dxf>
    <dxf>
      <font>
        <color rgb="FFFF0000"/>
      </font>
    </dxf>
    <dxf>
      <font>
        <color rgb="FFC00000"/>
      </font>
    </dxf>
    <dxf>
      <font>
        <color rgb="FFFF0000"/>
      </font>
    </dxf>
    <dxf>
      <font>
        <color rgb="FFC00000"/>
      </font>
    </dxf>
    <dxf>
      <font>
        <color rgb="FF9C0006"/>
      </font>
      <fill>
        <patternFill>
          <bgColor rgb="FFFFC7CE"/>
        </patternFill>
      </fill>
    </dxf>
    <dxf>
      <font>
        <color rgb="FFFF0000"/>
      </font>
    </dxf>
    <dxf>
      <fill>
        <patternFill>
          <bgColor theme="0" tint="-0.14996795556505021"/>
        </patternFill>
      </fill>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color rgb="FFFF0000"/>
      </font>
    </dxf>
    <dxf>
      <font>
        <color rgb="FFFF0000"/>
      </font>
    </dxf>
    <dxf>
      <font>
        <color rgb="FFFF0000"/>
      </font>
    </dxf>
    <dxf>
      <font>
        <color rgb="FFFF0000"/>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sz val="15"/>
      </font>
    </dxf>
    <dxf>
      <font>
        <sz val="15"/>
      </font>
    </dxf>
    <dxf>
      <font>
        <sz val="15"/>
      </font>
    </dxf>
    <dxf>
      <font>
        <sz val="15"/>
      </font>
    </dxf>
    <dxf>
      <alignment horizontal="left"/>
    </dxf>
    <dxf>
      <fill>
        <patternFill>
          <bgColor theme="0" tint="-0.249977111117893"/>
        </patternFill>
      </fill>
    </dxf>
    <dxf>
      <fill>
        <patternFill patternType="solid">
          <bgColor theme="0" tint="-0.34998626667073579"/>
        </patternFill>
      </fill>
    </dxf>
    <dxf>
      <fill>
        <patternFill patternType="solid">
          <bgColor theme="0"/>
        </patternFill>
      </fill>
    </dxf>
    <dxf>
      <fill>
        <patternFill patternType="solid">
          <bgColor theme="0" tint="-0.14999847407452621"/>
        </patternFill>
      </fill>
    </dxf>
    <dxf>
      <fill>
        <patternFill patternType="solid">
          <bgColor theme="0"/>
        </patternFill>
      </fill>
    </dxf>
    <dxf>
      <fill>
        <patternFill patternType="solid">
          <bgColor theme="0" tint="-0.14999847407452621"/>
        </patternFill>
      </fill>
    </dxf>
    <dxf>
      <fill>
        <patternFill patternType="solid">
          <bgColor theme="0" tint="-0.249977111117893"/>
        </patternFill>
      </fill>
    </dxf>
    <dxf>
      <fill>
        <patternFill patternType="solid">
          <bgColor theme="0" tint="-0.14999847407452621"/>
        </patternFill>
      </fill>
    </dxf>
    <dxf>
      <fill>
        <patternFill patternType="solid">
          <bgColor theme="0"/>
        </patternFill>
      </fill>
    </dxf>
    <dxf>
      <alignment horizontal="center"/>
    </dxf>
    <dxf>
      <alignment horizontal="center"/>
    </dxf>
    <dxf>
      <alignment horizontal="center"/>
    </dxf>
    <dxf>
      <alignment horizontal="cent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indexed="64"/>
        </left>
        <right style="thin">
          <color indexed="64"/>
        </right>
        <bottom style="thin">
          <color indexed="64"/>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alignment vertical="top"/>
    </dxf>
    <dxf>
      <font>
        <color rgb="FFFFFF00"/>
      </font>
      <fill>
        <patternFill patternType="solid">
          <bgColor theme="1"/>
        </patternFill>
      </fill>
    </dxf>
    <dxf>
      <alignment vertical="center"/>
    </dxf>
    <dxf>
      <font>
        <b/>
        <sz val="14"/>
        <color theme="0"/>
      </font>
      <fill>
        <patternFill patternType="solid">
          <fgColor indexed="64"/>
          <bgColor theme="1"/>
        </patternFill>
      </fill>
    </dxf>
    <dxf>
      <font>
        <b/>
        <sz val="14"/>
        <color theme="0"/>
      </font>
      <fill>
        <patternFill patternType="solid">
          <fgColor indexed="64"/>
          <bgColor theme="1"/>
        </patternFill>
      </fill>
    </dxf>
    <dxf>
      <font>
        <sz val="14"/>
        <color theme="0"/>
      </font>
      <fill>
        <patternFill patternType="solid">
          <bgColor theme="1"/>
        </patternFill>
      </fill>
    </dxf>
    <dxf>
      <font>
        <b/>
        <sz val="14"/>
        <color theme="0"/>
      </font>
      <fill>
        <patternFill patternType="solid">
          <bgColor theme="1"/>
        </patternFill>
      </fill>
    </dxf>
    <dxf>
      <font>
        <b/>
        <sz val="14"/>
        <color theme="0"/>
      </font>
      <fill>
        <patternFill patternType="solid">
          <bgColor theme="1"/>
        </patternFill>
      </fill>
    </dxf>
    <dxf>
      <font>
        <b/>
        <sz val="14"/>
      </font>
    </dxf>
    <dxf>
      <font>
        <color theme="0"/>
      </font>
      <fill>
        <patternFill patternType="solid">
          <bgColor theme="1"/>
        </patternFill>
      </fill>
    </dxf>
    <dxf>
      <border>
        <left style="thin">
          <color indexed="64"/>
        </left>
      </border>
    </dxf>
    <dxf>
      <border>
        <top style="thin">
          <color indexed="64"/>
        </top>
      </border>
    </dxf>
    <dxf>
      <border>
        <right style="thin">
          <color indexed="64"/>
        </right>
      </border>
    </dxf>
    <dxf>
      <border>
        <bottom style="thin">
          <color indexed="64"/>
        </bottom>
      </border>
    </dxf>
    <dxf>
      <font>
        <b/>
      </font>
    </dxf>
    <dxf>
      <font>
        <sz val="14"/>
      </font>
    </dxf>
    <dxf>
      <fill>
        <patternFill patternType="solid">
          <fgColor theme="0"/>
          <bgColor theme="0"/>
        </patternFill>
      </fill>
      <alignment horizontal="center"/>
    </dxf>
    <dxf>
      <font>
        <b/>
        <sz val="14"/>
        <color theme="0"/>
      </font>
      <fill>
        <patternFill patternType="solid">
          <fgColor indexed="64"/>
          <bgColor theme="1"/>
        </patternFill>
      </fill>
    </dxf>
    <dxf>
      <font>
        <b/>
        <sz val="14"/>
        <color theme="0"/>
      </font>
      <fill>
        <patternFill patternType="solid">
          <fgColor indexed="64"/>
          <bgColor theme="1"/>
        </patternFill>
      </fill>
    </dxf>
    <dxf>
      <border>
        <left style="thin">
          <color indexed="64"/>
        </left>
        <right style="thin">
          <color indexed="64"/>
        </right>
        <top style="thin">
          <color indexed="64"/>
        </top>
        <bottom style="thin">
          <color indexed="64"/>
        </bottom>
      </border>
    </dxf>
    <dxf>
      <alignment horizontal="center"/>
    </dxf>
    <dxf>
      <font>
        <b/>
        <sz val="14"/>
        <color theme="0"/>
      </font>
      <fill>
        <patternFill patternType="solid">
          <fgColor indexed="64"/>
          <bgColor theme="1"/>
        </patternFill>
      </fill>
    </dxf>
    <dxf>
      <font>
        <b/>
        <sz val="14"/>
        <color theme="0"/>
      </font>
      <fill>
        <patternFill patternType="solid">
          <bgColor theme="1"/>
        </patternFill>
      </fill>
    </dxf>
    <dxf>
      <border>
        <left style="thin">
          <color indexed="64"/>
        </left>
      </border>
    </dxf>
    <dxf>
      <border>
        <top style="thin">
          <color indexed="64"/>
        </top>
      </border>
    </dxf>
    <dxf>
      <border>
        <right style="thin">
          <color indexed="64"/>
        </right>
      </border>
    </dxf>
    <dxf>
      <border>
        <bottom style="thin">
          <color indexed="64"/>
        </bottom>
      </border>
    </dxf>
    <dxf>
      <font>
        <b/>
        <sz val="14"/>
      </font>
      <fill>
        <patternFill patternType="solid">
          <fgColor theme="0"/>
          <bgColor theme="0"/>
        </patternFill>
      </fill>
      <alignment horizontal="center"/>
    </dxf>
    <dxf>
      <font>
        <b/>
        <sz val="14"/>
        <color theme="0"/>
      </font>
      <fill>
        <patternFill patternType="solid">
          <fgColor indexed="64"/>
          <bgColor theme="1"/>
        </patternFill>
      </fill>
    </dxf>
    <dxf>
      <font>
        <b/>
        <sz val="14"/>
        <color theme="0"/>
      </font>
      <fill>
        <patternFill patternType="solid">
          <fgColor indexed="64"/>
          <bgColor theme="1"/>
        </patternFill>
      </fill>
    </dxf>
    <dxf>
      <border>
        <left style="thin">
          <color indexed="64"/>
        </left>
        <right style="thin">
          <color indexed="64"/>
        </right>
        <top style="thin">
          <color indexed="64"/>
        </top>
        <bottom style="thin">
          <color indexed="64"/>
        </bottom>
      </border>
    </dxf>
    <dxf>
      <alignment horizontal="center"/>
    </dxf>
    <dxf>
      <font>
        <b/>
        <sz val="14"/>
        <color theme="0"/>
      </font>
      <fill>
        <patternFill patternType="solid">
          <fgColor indexed="64"/>
          <bgColor theme="1"/>
        </patternFill>
      </fill>
    </dxf>
    <dxf>
      <font>
        <b/>
        <sz val="14"/>
        <color theme="0"/>
      </font>
      <fill>
        <patternFill patternType="solid">
          <bgColor theme="1"/>
        </patternFill>
      </fill>
    </dxf>
    <dxf>
      <border>
        <left style="thin">
          <color indexed="64"/>
        </left>
      </border>
    </dxf>
    <dxf>
      <border>
        <top style="thin">
          <color indexed="64"/>
        </top>
      </border>
    </dxf>
    <dxf>
      <border>
        <right style="thin">
          <color indexed="64"/>
        </right>
      </border>
    </dxf>
    <dxf>
      <border>
        <bottom style="thin">
          <color indexed="64"/>
        </bottom>
      </border>
    </dxf>
    <dxf>
      <font>
        <b/>
      </font>
    </dxf>
    <dxf>
      <font>
        <sz val="14"/>
      </font>
    </dxf>
    <dxf>
      <fill>
        <patternFill patternType="solid">
          <fgColor theme="0"/>
          <bgColor theme="0"/>
        </patternFill>
      </fill>
      <alignment horizontal="center"/>
    </dxf>
    <dxf>
      <font>
        <b/>
        <sz val="14"/>
        <color theme="0"/>
      </font>
      <fill>
        <patternFill patternType="solid">
          <fgColor indexed="64"/>
          <bgColor theme="1"/>
        </patternFill>
      </fill>
    </dxf>
    <dxf>
      <font>
        <b/>
        <sz val="14"/>
        <color theme="0"/>
      </font>
      <fill>
        <patternFill patternType="solid">
          <fgColor indexed="64"/>
          <bgColor theme="1"/>
        </patternFill>
      </fill>
    </dxf>
    <dxf>
      <border>
        <left style="thin">
          <color indexed="64"/>
        </left>
        <right style="thin">
          <color indexed="64"/>
        </right>
        <top style="thin">
          <color indexed="64"/>
        </top>
        <bottom style="thin">
          <color indexed="64"/>
        </bottom>
      </border>
    </dxf>
    <dxf>
      <alignment horizontal="center"/>
    </dxf>
    <dxf>
      <font>
        <b/>
        <sz val="14"/>
        <color theme="0"/>
      </font>
      <fill>
        <patternFill patternType="solid">
          <fgColor indexed="64"/>
          <bgColor theme="1"/>
        </patternFill>
      </fill>
    </dxf>
    <dxf>
      <font>
        <b/>
        <sz val="14"/>
        <color theme="0"/>
      </font>
      <fill>
        <patternFill patternType="solid">
          <bgColor theme="1"/>
        </patternFill>
      </fill>
    </dxf>
    <dxf>
      <font>
        <b/>
        <sz val="15"/>
        <color theme="0"/>
      </font>
      <fill>
        <patternFill patternType="solid">
          <fgColor indexed="64"/>
          <bgColor theme="1"/>
        </patternFill>
      </fill>
    </dxf>
    <dxf>
      <font>
        <sz val="15"/>
      </font>
    </dxf>
    <dxf>
      <font>
        <sz val="14"/>
      </font>
    </dxf>
    <dxf>
      <font>
        <sz val="14"/>
      </font>
    </dxf>
    <dxf>
      <font>
        <sz val="14"/>
      </font>
    </dxf>
    <dxf>
      <font>
        <sz val="14"/>
      </font>
    </dxf>
    <dxf>
      <font>
        <sz val="14"/>
      </font>
    </dxf>
    <dxf>
      <font>
        <b/>
      </font>
    </dxf>
    <dxf>
      <font>
        <b/>
      </font>
    </dxf>
    <dxf>
      <font>
        <b/>
      </font>
    </dxf>
    <dxf>
      <font>
        <b/>
      </font>
    </dxf>
    <dxf>
      <font>
        <b/>
      </font>
    </dxf>
    <dxf>
      <border>
        <right/>
      </border>
    </dxf>
    <dxf>
      <border>
        <right/>
      </border>
    </dxf>
    <dxf>
      <border>
        <right/>
        <top/>
      </border>
    </dxf>
    <dxf>
      <border>
        <right/>
        <top/>
      </border>
    </dxf>
    <dxf>
      <font>
        <b/>
        <sz val="14"/>
        <color theme="0"/>
      </font>
      <fill>
        <patternFill patternType="solid">
          <bgColor theme="1"/>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alignment horizontal="center"/>
    </dxf>
    <dxf>
      <font>
        <b/>
        <sz val="14"/>
        <color theme="0"/>
      </font>
      <fill>
        <patternFill patternType="solid">
          <fgColor indexed="64"/>
          <bgColor theme="1"/>
        </patternFill>
      </fill>
    </dxf>
    <dxf>
      <font>
        <b/>
        <sz val="14"/>
        <color theme="0"/>
      </font>
      <fill>
        <patternFill patternType="solid">
          <bgColor theme="1"/>
        </patternFill>
      </fill>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ill>
        <patternFill patternType="none">
          <fgColor indexed="64"/>
          <bgColor indexed="65"/>
        </patternFill>
      </fill>
    </dxf>
    <dxf>
      <font>
        <sz val="14"/>
      </font>
    </dxf>
    <dxf>
      <font>
        <sz val="14"/>
      </font>
    </dxf>
    <dxf>
      <fill>
        <patternFill patternType="none">
          <fgColor indexed="64"/>
          <bgColor indexed="65"/>
        </patternFill>
      </fill>
    </dxf>
    <dxf>
      <fill>
        <patternFill patternType="solid">
          <bgColor rgb="FF92D050"/>
        </patternFill>
      </fill>
    </dxf>
    <dxf>
      <fill>
        <patternFill patternType="solid">
          <bgColor rgb="FF92D050"/>
        </patternFill>
      </fill>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alignment horizontal="center"/>
    </dxf>
    <dxf>
      <alignment horizontal="center"/>
    </dxf>
    <dxf>
      <alignment vertical="center"/>
    </dxf>
    <dxf>
      <font>
        <sz val="14"/>
      </font>
    </dxf>
    <dxf>
      <font>
        <b/>
        <sz val="14"/>
      </font>
    </dxf>
    <dxf>
      <font>
        <sz val="15"/>
      </font>
    </dxf>
    <dxf>
      <font>
        <sz val="15"/>
      </font>
    </dxf>
    <dxf>
      <font>
        <sz val="15"/>
      </font>
    </dxf>
    <dxf>
      <font>
        <sz val="15"/>
      </font>
    </dxf>
    <dxf>
      <font>
        <sz val="15"/>
      </font>
    </dxf>
    <dxf>
      <font>
        <sz val="14"/>
      </font>
    </dxf>
    <dxf>
      <font>
        <sz val="14"/>
      </font>
    </dxf>
    <dxf>
      <font>
        <b/>
      </font>
    </dxf>
    <dxf>
      <font>
        <b/>
      </font>
    </dxf>
    <dxf>
      <alignment horizontal="center"/>
    </dxf>
    <dxf>
      <alignment horizontal="center"/>
    </dxf>
    <dxf>
      <alignment horizontal="center"/>
    </dxf>
    <dxf>
      <alignment horizontal="left"/>
    </dxf>
    <dxf>
      <font>
        <b/>
        <sz val="14"/>
        <color theme="0"/>
      </font>
      <fill>
        <patternFill patternType="solid">
          <fgColor indexed="64"/>
          <bgColor theme="1"/>
        </patternFill>
      </fill>
    </dxf>
    <dxf>
      <font>
        <b/>
        <sz val="14"/>
        <color theme="0"/>
      </font>
      <fill>
        <patternFill patternType="solid">
          <fgColor indexed="64"/>
          <bgColor theme="1"/>
        </patternFill>
      </fill>
    </dxf>
    <dxf>
      <font>
        <sz val="14"/>
        <color theme="0"/>
      </font>
      <fill>
        <patternFill patternType="solid">
          <bgColor theme="1"/>
        </patternFill>
      </fill>
    </dxf>
    <dxf>
      <font>
        <b/>
        <sz val="14"/>
        <color theme="0"/>
      </font>
      <fill>
        <patternFill patternType="solid">
          <bgColor theme="1"/>
        </patternFill>
      </fill>
    </dxf>
    <dxf>
      <font>
        <b/>
        <sz val="14"/>
        <color theme="0"/>
      </font>
      <fill>
        <patternFill patternType="solid">
          <bgColor theme="1"/>
        </patternFill>
      </fill>
    </dxf>
    <dxf>
      <font>
        <b/>
        <sz val="14"/>
      </font>
    </dxf>
    <dxf>
      <font>
        <color theme="0"/>
      </font>
      <fill>
        <patternFill patternType="solid">
          <bgColor theme="1"/>
        </patternFill>
      </fill>
    </dxf>
    <dxf>
      <font>
        <b val="0"/>
        <i val="0"/>
        <strike val="0"/>
        <condense val="0"/>
        <extend val="0"/>
        <outline val="0"/>
        <shadow val="0"/>
        <u val="none"/>
        <vertAlign val="baseline"/>
        <sz val="20"/>
        <color rgb="FF000000"/>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20"/>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20"/>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20"/>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20"/>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20"/>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20"/>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20"/>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20"/>
        <color rgb="FF000000"/>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20"/>
        <color rgb="FF000000"/>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20"/>
        <color rgb="FF000000"/>
        <name val="Calibri"/>
        <family val="2"/>
        <scheme val="minor"/>
      </font>
      <alignment horizontal="center" vertical="center" textRotation="0" wrapText="0" indent="0" justifyLastLine="0" shrinkToFit="0" readingOrder="0"/>
    </dxf>
    <dxf>
      <font>
        <strike val="0"/>
        <outline val="0"/>
        <shadow val="0"/>
        <u val="none"/>
        <vertAlign val="baseline"/>
        <sz val="20"/>
        <name val="Calibri"/>
        <family val="2"/>
        <scheme val="minor"/>
      </font>
    </dxf>
    <dxf>
      <numFmt numFmtId="30" formatCode="@"/>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general" vertical="bottom" textRotation="0" wrapText="0" indent="0" justifyLastLine="0" shrinkToFit="0" readingOrder="0"/>
    </dxf>
    <dxf>
      <font>
        <b/>
      </font>
    </dxf>
    <dxf>
      <font>
        <b/>
      </font>
    </dxf>
    <dxf>
      <font>
        <b/>
      </font>
    </dxf>
    <dxf>
      <font>
        <sz val="14"/>
      </font>
    </dxf>
    <dxf>
      <font>
        <sz val="14"/>
      </font>
    </dxf>
    <dxf>
      <font>
        <sz val="14"/>
      </font>
    </dxf>
    <dxf>
      <alignment horizontal="center"/>
    </dxf>
    <dxf>
      <fill>
        <patternFill patternType="solid">
          <fgColor indexed="64"/>
          <bgColor theme="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border>
    </dxf>
    <dxf>
      <alignment horizontal="center"/>
    </dxf>
    <dxf>
      <font>
        <b/>
        <sz val="14"/>
        <color theme="0"/>
      </font>
      <fill>
        <patternFill patternType="solid">
          <fgColor indexed="64"/>
          <bgColor theme="1"/>
        </patternFill>
      </fill>
    </dxf>
    <dxf>
      <font>
        <b/>
        <sz val="14"/>
        <color theme="0"/>
      </font>
      <fill>
        <patternFill patternType="solid">
          <bgColor theme="1"/>
        </patternFill>
      </fill>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sz val="14"/>
        <color theme="0"/>
      </font>
      <fill>
        <patternFill patternType="solid">
          <bgColor theme="1"/>
        </patternFill>
      </fill>
    </dxf>
    <dxf>
      <font>
        <b/>
        <sz val="15"/>
        <color theme="0"/>
      </font>
      <fill>
        <patternFill patternType="solid">
          <fgColor indexed="64"/>
          <bgColor theme="1"/>
        </patternFill>
      </fill>
    </dxf>
    <dxf>
      <font>
        <sz val="15"/>
      </font>
    </dxf>
    <dxf>
      <font>
        <sz val="14"/>
      </font>
    </dxf>
    <dxf>
      <font>
        <sz val="14"/>
      </font>
    </dxf>
    <dxf>
      <font>
        <sz val="14"/>
      </font>
    </dxf>
    <dxf>
      <font>
        <sz val="14"/>
      </font>
    </dxf>
    <dxf>
      <font>
        <sz val="14"/>
      </font>
    </dxf>
    <dxf>
      <font>
        <b/>
      </font>
    </dxf>
    <dxf>
      <font>
        <b/>
      </font>
    </dxf>
    <dxf>
      <font>
        <b/>
      </font>
    </dxf>
    <dxf>
      <font>
        <b/>
      </font>
    </dxf>
    <dxf>
      <font>
        <b/>
      </font>
    </dxf>
    <dxf>
      <border>
        <right/>
      </border>
    </dxf>
    <dxf>
      <border>
        <right/>
      </border>
    </dxf>
    <dxf>
      <border>
        <right/>
        <top/>
      </border>
    </dxf>
    <dxf>
      <border>
        <right/>
        <top/>
      </border>
    </dxf>
    <dxf>
      <font>
        <b/>
        <sz val="14"/>
        <color theme="0"/>
      </font>
      <fill>
        <patternFill patternType="solid">
          <bgColor theme="1"/>
        </patternFill>
      </fill>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color rgb="FFFF0000"/>
      </font>
    </dxf>
    <dxf>
      <font>
        <b/>
        <sz val="14"/>
      </font>
    </dxf>
    <dxf>
      <font>
        <b/>
        <sz val="14"/>
      </font>
    </dxf>
    <dxf>
      <font>
        <b/>
        <sz val="14"/>
      </font>
    </dxf>
    <dxf>
      <font>
        <b/>
        <sz val="14"/>
      </font>
    </dxf>
    <dxf>
      <font>
        <b/>
        <sz val="14"/>
      </font>
    </dxf>
    <dxf>
      <font>
        <b/>
        <sz val="14"/>
      </font>
    </dxf>
    <dxf>
      <font>
        <b/>
        <sz val="14"/>
      </font>
    </dxf>
    <dxf>
      <font>
        <b/>
        <sz val="14"/>
      </font>
    </dxf>
    <dxf>
      <font>
        <sz val="14"/>
      </font>
      <fill>
        <patternFill patternType="solid">
          <fgColor indexed="64"/>
          <bgColor theme="0" tint="-0.14999847407452621"/>
        </patternFill>
      </fill>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ill>
        <patternFill>
          <bgColor theme="0" tint="-0.14999847407452621"/>
        </patternFill>
      </fill>
    </dxf>
    <dxf>
      <font>
        <sz val="14"/>
      </font>
      <fill>
        <patternFill patternType="solid">
          <fgColor indexed="64"/>
          <bgColor theme="0"/>
        </patternFill>
      </fill>
    </dxf>
    <dxf>
      <font>
        <b/>
        <sz val="14"/>
      </font>
    </dxf>
    <dxf>
      <font>
        <b/>
        <sz val="14"/>
      </font>
    </dxf>
    <dxf>
      <font>
        <b/>
        <sz val="14"/>
      </font>
    </dxf>
    <dxf>
      <font>
        <b/>
        <sz val="14"/>
      </font>
    </dxf>
    <dxf>
      <font>
        <b/>
        <sz val="14"/>
      </font>
    </dxf>
    <dxf>
      <font>
        <sz val="14"/>
      </font>
      <fill>
        <patternFill patternType="solid">
          <fgColor indexed="64"/>
          <bgColor theme="0"/>
        </patternFill>
      </fill>
    </dxf>
    <dxf>
      <font>
        <b/>
        <sz val="14"/>
      </font>
    </dxf>
    <dxf>
      <font>
        <b/>
        <sz val="14"/>
      </font>
    </dxf>
    <dxf>
      <font>
        <b/>
        <sz val="14"/>
      </font>
    </dxf>
    <dxf>
      <font>
        <sz val="14"/>
      </font>
    </dxf>
    <dxf>
      <font>
        <b/>
        <sz val="14"/>
      </font>
    </dxf>
    <dxf>
      <font>
        <b/>
        <sz val="14"/>
      </font>
    </dxf>
    <dxf>
      <font>
        <b/>
        <sz val="14"/>
      </font>
    </dxf>
    <dxf>
      <font>
        <b/>
        <sz val="14"/>
      </font>
    </dxf>
    <dxf>
      <font>
        <b/>
        <sz val="14"/>
      </font>
    </dxf>
    <dxf>
      <font>
        <b/>
        <sz val="14"/>
      </font>
    </dxf>
    <dxf>
      <font>
        <sz val="14"/>
      </font>
    </dxf>
    <dxf>
      <fill>
        <patternFill>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0.14996795556505021"/>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0.14996795556505021"/>
        </patternFill>
      </fill>
    </dxf>
    <dxf>
      <fill>
        <patternFill patternType="solid">
          <bgColor theme="0"/>
        </patternFill>
      </fill>
    </dxf>
    <dxf>
      <fill>
        <patternFill>
          <bgColor theme="0" tint="-0.14996795556505021"/>
        </patternFill>
      </fill>
    </dxf>
    <dxf>
      <fill>
        <patternFill>
          <bgColor theme="0"/>
        </patternFill>
      </fill>
    </dxf>
    <dxf>
      <fill>
        <patternFill>
          <bgColor theme="0"/>
        </patternFill>
      </fill>
    </dxf>
    <dxf>
      <fill>
        <patternFill patternType="solid">
          <bgColor theme="0" tint="-0.14996795556505021"/>
        </patternFill>
      </fill>
    </dxf>
    <dxf>
      <fill>
        <patternFill patternType="solid">
          <bgColor theme="0"/>
        </patternFill>
      </fill>
    </dxf>
    <dxf>
      <fill>
        <patternFill patternType="solid">
          <bgColor theme="0" tint="-0.14996795556505021"/>
        </patternFill>
      </fill>
    </dxf>
    <dxf>
      <fill>
        <patternFill patternType="solid">
          <bgColor theme="0"/>
        </patternFill>
      </fill>
    </dxf>
    <dxf>
      <fill>
        <patternFill patternType="solid">
          <bgColor theme="0" tint="-0.14996795556505021"/>
        </patternFill>
      </fill>
    </dxf>
    <dxf>
      <fill>
        <patternFill patternType="solid">
          <bgColor theme="0"/>
        </patternFill>
      </fill>
    </dxf>
    <dxf>
      <fill>
        <patternFill patternType="solid">
          <bgColor theme="0" tint="-0.14996795556505021"/>
        </patternFill>
      </fill>
    </dxf>
    <dxf>
      <fill>
        <patternFill patternType="solid">
          <bgColor theme="0"/>
        </patternFill>
      </fill>
    </dxf>
    <dxf>
      <fill>
        <patternFill patternType="solid">
          <bgColor theme="0" tint="-0.14996795556505021"/>
        </patternFill>
      </fill>
    </dxf>
    <dxf>
      <fill>
        <patternFill patternType="solid">
          <bgColor theme="0"/>
        </patternFill>
      </fill>
    </dxf>
    <dxf>
      <fill>
        <patternFill patternType="solid">
          <bgColor theme="0" tint="-0.14996795556505021"/>
        </patternFill>
      </fill>
    </dxf>
    <dxf>
      <fill>
        <patternFill patternType="solid">
          <bgColor theme="0"/>
        </patternFill>
      </fill>
    </dxf>
    <dxf>
      <fill>
        <patternFill patternType="solid">
          <bgColor theme="0" tint="-0.14996795556505021"/>
        </patternFill>
      </fill>
    </dxf>
    <dxf>
      <fill>
        <patternFill patternType="solid">
          <bgColor theme="0"/>
        </patternFill>
      </fill>
    </dxf>
    <dxf>
      <fill>
        <patternFill patternType="solid">
          <bgColor theme="0" tint="-0.14996795556505021"/>
        </patternFill>
      </fill>
    </dxf>
    <dxf>
      <fill>
        <patternFill patternType="solid">
          <bgColor theme="0"/>
        </patternFill>
      </fill>
    </dxf>
    <dxf>
      <font>
        <b/>
      </font>
    </dxf>
    <dxf>
      <font>
        <sz val="14"/>
        <color rgb="FFFFFF00"/>
      </font>
      <fill>
        <patternFill patternType="solid">
          <bgColor theme="1"/>
        </patternFill>
      </fill>
    </dxf>
    <dxf>
      <font>
        <sz val="14"/>
        <color theme="0"/>
      </font>
      <fill>
        <patternFill patternType="solid">
          <bgColor theme="1"/>
        </patternFill>
      </fill>
    </dxf>
    <dxf>
      <font>
        <b/>
        <sz val="15"/>
        <color theme="0"/>
      </font>
      <fill>
        <patternFill patternType="solid">
          <fgColor indexed="64"/>
          <bgColor theme="1"/>
        </patternFill>
      </fill>
    </dxf>
    <dxf>
      <font>
        <sz val="15"/>
      </font>
    </dxf>
    <dxf>
      <font>
        <sz val="14"/>
      </font>
    </dxf>
    <dxf>
      <font>
        <sz val="14"/>
      </font>
    </dxf>
    <dxf>
      <font>
        <sz val="14"/>
      </font>
    </dxf>
    <dxf>
      <font>
        <sz val="14"/>
      </font>
    </dxf>
    <dxf>
      <font>
        <sz val="14"/>
      </font>
    </dxf>
    <dxf>
      <font>
        <b/>
      </font>
    </dxf>
    <dxf>
      <font>
        <b/>
      </font>
    </dxf>
    <dxf>
      <font>
        <b/>
      </font>
    </dxf>
    <dxf>
      <font>
        <b/>
      </font>
    </dxf>
    <dxf>
      <font>
        <b/>
      </font>
    </dxf>
    <dxf>
      <border>
        <right/>
      </border>
    </dxf>
    <dxf>
      <border>
        <right/>
      </border>
    </dxf>
    <dxf>
      <border>
        <right/>
        <top/>
      </border>
    </dxf>
    <dxf>
      <border>
        <right/>
        <top/>
      </border>
    </dxf>
    <dxf>
      <font>
        <b/>
        <sz val="14"/>
        <color theme="0"/>
      </font>
      <fill>
        <patternFill patternType="solid">
          <bgColor theme="1"/>
        </patternFill>
      </fill>
    </dxf>
    <dxf>
      <fill>
        <patternFill patternType="none">
          <bgColor auto="1"/>
        </patternFill>
      </fill>
    </dxf>
    <dxf>
      <fill>
        <patternFill patternType="none">
          <bgColor auto="1"/>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ill>
        <patternFill>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C00000"/>
        </patternFill>
      </fill>
    </dxf>
    <dxf>
      <font>
        <b/>
        <sz val="14"/>
      </font>
      <numFmt numFmtId="30" formatCode="@"/>
      <alignment horizontal="center" vertical="center"/>
    </dxf>
    <dxf>
      <font>
        <b/>
        <sz val="14"/>
      </font>
      <numFmt numFmtId="30" formatCode="@"/>
      <alignment horizontal="center" vertical="center"/>
    </dxf>
    <dxf>
      <font>
        <b/>
        <sz val="14"/>
      </font>
      <alignment horizontal="center" vertical="center"/>
    </dxf>
    <dxf>
      <font>
        <b/>
        <sz val="14"/>
      </font>
      <alignment horizontal="center" vertical="center"/>
    </dxf>
    <dxf>
      <font>
        <sz val="14"/>
      </font>
    </dxf>
    <dxf>
      <alignment vertical="center"/>
    </dxf>
    <dxf>
      <alignment horizontal="center"/>
    </dxf>
    <dxf>
      <font>
        <b/>
      </font>
    </dxf>
    <dxf>
      <font>
        <sz val="14"/>
      </font>
    </dxf>
    <dxf>
      <font>
        <b/>
      </font>
    </dxf>
    <dxf>
      <fill>
        <patternFill patternType="none">
          <bgColor auto="1"/>
        </patternFill>
      </fill>
    </dxf>
    <dxf>
      <fill>
        <patternFill patternType="none">
          <bgColor auto="1"/>
        </patternFill>
      </fill>
    </dxf>
    <dxf>
      <font>
        <b/>
        <sz val="14"/>
      </font>
      <alignment horizontal="center" vertical="center"/>
    </dxf>
    <dxf>
      <font>
        <b/>
        <sz val="14"/>
      </font>
      <alignment horizontal="center" vertical="center"/>
    </dxf>
    <dxf>
      <font>
        <b/>
        <sz val="14"/>
      </font>
      <alignment horizontal="center" vertical="center"/>
    </dxf>
    <dxf>
      <font>
        <b/>
        <sz val="14"/>
      </font>
      <alignment horizontal="center" vertical="center"/>
    </dxf>
    <dxf>
      <font>
        <b/>
        <sz val="14"/>
      </font>
      <alignment horizontal="center" vertical="center"/>
    </dxf>
    <dxf>
      <font>
        <b/>
        <sz val="14"/>
      </font>
      <alignment horizontal="center" vertical="center"/>
    </dxf>
    <dxf>
      <font>
        <b/>
        <sz val="14"/>
      </font>
      <alignment horizontal="center" vertical="center"/>
    </dxf>
    <dxf>
      <font>
        <b/>
        <sz val="14"/>
      </font>
      <alignment horizontal="center" vertical="center"/>
    </dxf>
    <dxf>
      <font>
        <b/>
        <sz val="14"/>
      </font>
      <alignment horizontal="center" vertical="center"/>
    </dxf>
    <dxf>
      <font>
        <b/>
        <sz val="14"/>
      </font>
      <alignment horizontal="center" vertical="center"/>
    </dxf>
    <dxf>
      <font>
        <b/>
        <sz val="14"/>
      </font>
      <alignment horizontal="center" vertical="center"/>
    </dxf>
    <dxf>
      <font>
        <b/>
        <sz val="14"/>
      </font>
      <alignment horizontal="center" vertical="center"/>
    </dxf>
    <dxf>
      <font>
        <b/>
        <sz val="14"/>
      </font>
      <alignment horizontal="center" vertic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sz val="14"/>
      </font>
    </dxf>
    <dxf>
      <numFmt numFmtId="30" formatCode="@"/>
      <alignment horizontal="left" vertical="center"/>
    </dxf>
    <dxf>
      <font>
        <b/>
        <sz val="14"/>
      </font>
      <numFmt numFmtId="30" formatCode="@"/>
      <alignment horizontal="left" vertical="center"/>
    </dxf>
    <dxf>
      <font>
        <b/>
        <sz val="14"/>
      </font>
      <numFmt numFmtId="30" formatCode="@"/>
      <alignment horizontal="center" vertical="center"/>
    </dxf>
    <dxf>
      <font>
        <b/>
        <sz val="14"/>
      </font>
      <numFmt numFmtId="30" formatCode="@"/>
      <alignment horizontal="center" vertical="center"/>
    </dxf>
    <dxf>
      <font>
        <b/>
        <sz val="14"/>
      </font>
      <numFmt numFmtId="30" formatCode="@"/>
      <alignment horizontal="center" vertical="center"/>
    </dxf>
    <dxf>
      <font>
        <b/>
        <sz val="14"/>
      </font>
      <numFmt numFmtId="30" formatCode="@"/>
      <alignment horizontal="center" vertical="center"/>
    </dxf>
    <dxf>
      <font>
        <b/>
        <sz val="14"/>
      </font>
      <numFmt numFmtId="30" formatCode="@"/>
      <alignment horizontal="center" vertical="center"/>
    </dxf>
    <dxf>
      <font>
        <b/>
        <sz val="14"/>
      </font>
      <numFmt numFmtId="30" formatCode="@"/>
      <alignment horizontal="center" vertical="center"/>
    </dxf>
    <dxf>
      <font>
        <b/>
        <sz val="14"/>
      </font>
      <numFmt numFmtId="30" formatCode="@"/>
      <alignment horizontal="center" vertical="center"/>
    </dxf>
    <dxf>
      <numFmt numFmtId="0" formatCode="General"/>
    </dxf>
    <dxf>
      <font>
        <b/>
        <sz val="14"/>
      </font>
      <numFmt numFmtId="30" formatCode="@"/>
      <alignment horizontal="center" vertical="center"/>
    </dxf>
    <dxf>
      <font>
        <b/>
        <sz val="14"/>
      </font>
      <numFmt numFmtId="30" formatCode="@"/>
      <alignment horizontal="center" vertical="center"/>
    </dxf>
    <dxf>
      <font>
        <b/>
        <sz val="14"/>
      </font>
      <numFmt numFmtId="30" formatCode="@"/>
      <alignment horizontal="center" vertical="center"/>
    </dxf>
    <dxf>
      <font>
        <b/>
        <sz val="14"/>
      </font>
      <numFmt numFmtId="30" formatCode="@"/>
      <alignment horizontal="center" vertical="center"/>
    </dxf>
    <dxf>
      <font>
        <b/>
        <sz val="14"/>
      </font>
      <numFmt numFmtId="30" formatCode="@"/>
      <alignment horizontal="center" vertical="center"/>
    </dxf>
    <dxf>
      <font>
        <b/>
        <sz val="14"/>
      </font>
      <numFmt numFmtId="30" formatCode="@"/>
      <alignment horizontal="center" vertical="center"/>
    </dxf>
    <dxf>
      <font>
        <b/>
        <sz val="14"/>
      </font>
      <numFmt numFmtId="30" formatCode="@"/>
      <alignment horizontal="center" vertical="center"/>
    </dxf>
    <dxf>
      <font>
        <b/>
        <sz val="14"/>
      </font>
      <numFmt numFmtId="30" formatCode="@"/>
      <alignment horizontal="center" vertical="center"/>
    </dxf>
    <dxf>
      <font>
        <b/>
        <sz val="14"/>
      </font>
      <numFmt numFmtId="30" formatCode="@"/>
      <alignment horizontal="center" vertical="center"/>
    </dxf>
    <dxf>
      <font>
        <b/>
        <sz val="14"/>
      </font>
      <numFmt numFmtId="30" formatCode="@"/>
      <alignment horizontal="center" vertical="center"/>
    </dxf>
    <dxf>
      <font>
        <b/>
        <sz val="14"/>
      </font>
      <numFmt numFmtId="30" formatCode="@"/>
      <alignment horizontal="center" vertical="center"/>
    </dxf>
    <dxf>
      <font>
        <b/>
        <sz val="14"/>
      </font>
      <numFmt numFmtId="30" formatCode="@"/>
      <alignment horizontal="center" vertical="center"/>
    </dxf>
    <dxf>
      <font>
        <b/>
        <sz val="14"/>
      </font>
      <numFmt numFmtId="30" formatCode="@"/>
      <alignment horizontal="center" vertical="center"/>
    </dxf>
    <dxf>
      <font>
        <b/>
        <sz val="14"/>
      </font>
      <numFmt numFmtId="30" formatCode="@"/>
      <alignment horizontal="center" vertical="center"/>
    </dxf>
    <dxf>
      <font>
        <b/>
        <sz val="14"/>
      </font>
      <numFmt numFmtId="30" formatCode="@"/>
      <alignment horizontal="center" vertical="center"/>
    </dxf>
    <dxf>
      <font>
        <b/>
        <sz val="14"/>
      </font>
      <numFmt numFmtId="30" formatCode="@"/>
      <alignment horizontal="center" vertical="center"/>
    </dxf>
    <dxf>
      <font>
        <b/>
        <sz val="14"/>
      </font>
      <numFmt numFmtId="30" formatCode="@"/>
      <alignment horizontal="center" vertical="center"/>
    </dxf>
    <dxf>
      <font>
        <b/>
        <sz val="14"/>
      </font>
      <numFmt numFmtId="30" formatCode="@"/>
      <alignment horizontal="center" vertical="center"/>
    </dxf>
    <dxf>
      <font>
        <b/>
        <sz val="14"/>
      </font>
      <numFmt numFmtId="30" formatCode="@"/>
      <alignment horizontal="center" vertical="center"/>
    </dxf>
    <dxf>
      <font>
        <b/>
        <sz val="14"/>
      </font>
      <numFmt numFmtId="30" formatCode="@"/>
      <alignment horizontal="center" vertical="center"/>
    </dxf>
    <dxf>
      <font>
        <b/>
        <sz val="14"/>
      </font>
      <numFmt numFmtId="30" formatCode="@"/>
      <alignment horizontal="center" vertical="center"/>
    </dxf>
    <dxf>
      <font>
        <b/>
        <sz val="14"/>
      </font>
      <numFmt numFmtId="30" formatCode="@"/>
      <alignment horizontal="center" vertical="center"/>
    </dxf>
    <dxf>
      <font>
        <b/>
        <sz val="14"/>
      </font>
      <numFmt numFmtId="30" formatCode="@"/>
      <alignment horizontal="center" vertical="center"/>
    </dxf>
    <dxf>
      <font>
        <b/>
        <sz val="14"/>
      </font>
      <numFmt numFmtId="30" formatCode="@"/>
      <alignment horizontal="left" vertical="center"/>
    </dxf>
    <dxf>
      <font>
        <b/>
        <sz val="14"/>
      </font>
      <numFmt numFmtId="30" formatCode="@"/>
      <alignment horizontal="left" vertical="center"/>
    </dxf>
    <dxf>
      <font>
        <b/>
        <sz val="14"/>
      </font>
      <numFmt numFmtId="30" formatCode="@"/>
      <alignment horizontal="left" vertical="center"/>
    </dxf>
    <dxf>
      <font>
        <b/>
        <sz val="14"/>
      </font>
      <alignment horizontal="left"/>
    </dxf>
    <dxf>
      <font>
        <b/>
        <sz val="14"/>
      </font>
      <numFmt numFmtId="30" formatCode="@"/>
      <alignment horizontal="left" vertical="center"/>
    </dxf>
    <dxf>
      <font>
        <b/>
        <sz val="14"/>
      </font>
      <numFmt numFmtId="30" formatCode="@"/>
      <alignment horizontal="left" vertical="center"/>
    </dxf>
    <dxf>
      <font>
        <b/>
        <sz val="14"/>
      </font>
    </dxf>
    <dxf>
      <font>
        <b/>
        <sz val="14"/>
      </font>
    </dxf>
    <dxf>
      <font>
        <b/>
        <sz val="14"/>
      </font>
    </dxf>
    <dxf>
      <font>
        <b/>
        <sz val="14"/>
      </font>
    </dxf>
    <dxf>
      <font>
        <b/>
        <sz val="14"/>
      </font>
    </dxf>
    <dxf>
      <font>
        <b/>
        <sz val="14"/>
      </font>
    </dxf>
    <dxf>
      <font>
        <b/>
        <sz val="14"/>
      </font>
      <alignment horizontal="center" vertical="center"/>
    </dxf>
    <dxf>
      <font>
        <b/>
        <sz val="14"/>
      </font>
      <alignment horizontal="center" vertical="center"/>
    </dxf>
    <dxf>
      <font>
        <b/>
        <sz val="14"/>
      </font>
      <alignment horizontal="center" vertical="center"/>
    </dxf>
    <dxf>
      <font>
        <b/>
        <sz val="14"/>
      </font>
      <alignment horizontal="center" vertical="center"/>
    </dxf>
    <dxf>
      <font>
        <b/>
        <sz val="14"/>
      </font>
      <alignment horizontal="center" vertical="center"/>
    </dxf>
    <dxf>
      <font>
        <b/>
        <sz val="14"/>
      </font>
      <alignment horizontal="center" vertical="center"/>
    </dxf>
    <dxf>
      <font>
        <b/>
        <sz val="14"/>
      </font>
      <alignment horizontal="center" vertical="center"/>
    </dxf>
    <dxf>
      <font>
        <b/>
        <sz val="14"/>
      </font>
      <alignment horizontal="center" vertical="center"/>
    </dxf>
    <dxf>
      <font>
        <b/>
        <sz val="14"/>
      </font>
      <alignment horizontal="center" vertical="center"/>
    </dxf>
    <dxf>
      <font>
        <b/>
        <sz val="14"/>
      </font>
      <alignment horizontal="center" vertical="center"/>
    </dxf>
    <dxf>
      <font>
        <b/>
        <sz val="14"/>
      </font>
      <alignment horizontal="center" vertical="center"/>
    </dxf>
    <dxf>
      <font>
        <b/>
        <sz val="14"/>
      </font>
      <alignment horizontal="center" vertical="center"/>
    </dxf>
    <dxf>
      <font>
        <b/>
        <sz val="14"/>
      </font>
      <alignment horizontal="center" vertical="center"/>
    </dxf>
    <dxf>
      <font>
        <b/>
        <sz val="14"/>
      </font>
      <alignment horizontal="center" vertical="center"/>
    </dxf>
    <dxf>
      <font>
        <b/>
        <sz val="14"/>
      </font>
      <alignment horizontal="center" vertical="center"/>
    </dxf>
    <dxf>
      <font>
        <b/>
        <sz val="14"/>
      </font>
      <alignment horizontal="center" vertical="center"/>
    </dxf>
    <dxf>
      <font>
        <b/>
        <sz val="14"/>
      </font>
      <alignment horizontal="center" vertical="center"/>
    </dxf>
    <dxf>
      <font>
        <b/>
        <sz val="14"/>
      </font>
      <alignment horizontal="center" vertical="center"/>
    </dxf>
    <dxf>
      <font>
        <b/>
        <sz val="14"/>
      </font>
      <alignment horizontal="center" vertical="center"/>
    </dxf>
    <dxf>
      <font>
        <b/>
        <sz val="14"/>
      </font>
    </dxf>
    <dxf>
      <font>
        <b/>
        <sz val="14"/>
      </font>
    </dxf>
    <dxf>
      <font>
        <b/>
        <sz val="14"/>
      </font>
    </dxf>
    <dxf>
      <font>
        <b/>
        <sz val="14"/>
      </font>
    </dxf>
    <dxf>
      <font>
        <b/>
        <sz val="14"/>
      </font>
      <numFmt numFmtId="30" formatCode="@"/>
      <alignment horizontal="center" vertical="center"/>
    </dxf>
    <dxf>
      <font>
        <b/>
        <sz val="14"/>
      </font>
    </dxf>
    <dxf>
      <font>
        <b/>
        <sz val="14"/>
      </font>
    </dxf>
    <dxf>
      <fill>
        <patternFill patternType="none">
          <bgColor auto="1"/>
        </patternFill>
      </fil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b/>
        <sz val="14"/>
      </font>
      <alignment horizontal="center" vertical="center"/>
    </dxf>
    <dxf>
      <font>
        <b/>
        <sz val="14"/>
      </font>
      <alignment horizontal="center" vertical="center"/>
    </dxf>
    <dxf>
      <font>
        <b/>
        <sz val="14"/>
      </font>
      <alignment horizontal="center" vertical="center"/>
    </dxf>
    <dxf>
      <alignment horizontal="left"/>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b/>
        <sz val="15"/>
        <color theme="0"/>
      </font>
      <fill>
        <patternFill patternType="solid">
          <fgColor indexed="64"/>
          <bgColor theme="1"/>
        </patternFill>
      </fill>
      <alignment horizontal="center" vertic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rgb="FFFFFF00"/>
        </patternFill>
      </fill>
    </dxf>
    <dxf>
      <fill>
        <patternFill patternType="solid">
          <bgColor rgb="FFFFFF00"/>
        </patternFill>
      </fill>
    </dxf>
    <dxf>
      <fill>
        <patternFill patternType="solid">
          <bgColor rgb="FFFFFF00"/>
        </patternFill>
      </fill>
    </dxf>
    <dxf>
      <font>
        <sz val="14"/>
      </font>
    </dxf>
    <dxf>
      <font>
        <b/>
      </font>
    </dxf>
    <dxf>
      <font>
        <sz val="14"/>
      </font>
    </dxf>
    <dxf>
      <font>
        <b/>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ont>
        <b/>
      </font>
    </dxf>
    <dxf>
      <font>
        <sz val="14"/>
      </font>
    </dxf>
    <dxf>
      <font>
        <b/>
      </font>
    </dxf>
    <dxf>
      <fill>
        <patternFill patternType="none">
          <bgColor auto="1"/>
        </patternFill>
      </fill>
    </dxf>
    <dxf>
      <font>
        <sz val="14"/>
      </font>
    </dxf>
    <dxf>
      <font>
        <b/>
        <sz val="14"/>
      </font>
    </dxf>
    <dxf>
      <font>
        <b/>
        <sz val="14"/>
      </font>
    </dxf>
    <dxf>
      <fill>
        <patternFill patternType="none">
          <bgColor auto="1"/>
        </patternFill>
      </fill>
    </dxf>
    <dxf>
      <fill>
        <patternFill patternType="none">
          <bgColor auto="1"/>
        </patternFill>
      </fill>
    </dxf>
    <dxf>
      <font>
        <b/>
        <sz val="14"/>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sz val="14"/>
      </font>
    </dxf>
    <dxf>
      <font>
        <b/>
        <sz val="14"/>
      </font>
    </dxf>
    <dxf>
      <font>
        <b/>
      </font>
    </dxf>
    <dxf>
      <font>
        <sz val="14"/>
      </font>
    </dxf>
    <dxf>
      <font>
        <i val="0"/>
      </font>
    </dxf>
    <dxf>
      <font>
        <i val="0"/>
      </font>
    </dxf>
    <dxf>
      <font>
        <i val="0"/>
      </font>
    </dxf>
    <dxf>
      <font>
        <i val="0"/>
      </font>
    </dxf>
    <dxf>
      <font>
        <i val="0"/>
      </font>
    </dxf>
    <dxf>
      <font>
        <i val="0"/>
      </font>
    </dxf>
    <dxf>
      <font>
        <i val="0"/>
      </font>
    </dxf>
    <dxf>
      <font>
        <i val="0"/>
      </font>
    </dxf>
    <dxf>
      <font>
        <i val="0"/>
      </font>
    </dxf>
    <dxf>
      <font>
        <i val="0"/>
      </font>
    </dxf>
    <dxf>
      <font>
        <i val="0"/>
      </font>
    </dxf>
    <dxf>
      <font>
        <i val="0"/>
      </font>
    </dxf>
    <dxf>
      <font>
        <i val="0"/>
      </font>
    </dxf>
    <dxf>
      <font>
        <i val="0"/>
      </font>
    </dxf>
    <dxf>
      <font>
        <i val="0"/>
      </font>
    </dxf>
    <dxf>
      <font>
        <i val="0"/>
      </font>
    </dxf>
    <dxf>
      <font>
        <i val="0"/>
      </font>
    </dxf>
    <dxf>
      <font>
        <i val="0"/>
      </font>
    </dxf>
    <dxf>
      <font>
        <i val="0"/>
      </font>
    </dxf>
    <dxf>
      <font>
        <i val="0"/>
      </font>
    </dxf>
    <dxf>
      <font>
        <i val="0"/>
      </font>
    </dxf>
    <dxf>
      <font>
        <i val="0"/>
      </font>
    </dxf>
    <dxf>
      <font>
        <i val="0"/>
      </font>
    </dxf>
    <dxf>
      <font>
        <i val="0"/>
      </font>
    </dxf>
    <dxf>
      <font>
        <i val="0"/>
      </font>
    </dxf>
    <dxf>
      <font>
        <i val="0"/>
      </font>
    </dxf>
    <dxf>
      <font>
        <i val="0"/>
      </font>
    </dxf>
    <dxf>
      <font>
        <b/>
      </font>
    </dxf>
    <dxf>
      <font>
        <sz val="14"/>
      </font>
    </dxf>
    <dxf>
      <font>
        <sz val="14"/>
      </font>
    </dxf>
    <dxf>
      <font>
        <b/>
      </font>
    </dxf>
    <dxf>
      <font>
        <i/>
      </font>
    </dxf>
    <dxf>
      <font>
        <i/>
      </font>
    </dxf>
    <dxf>
      <fill>
        <patternFill patternType="none">
          <bgColor auto="1"/>
        </patternFill>
      </fill>
    </dxf>
    <dxf>
      <font>
        <b/>
        <sz val="14"/>
      </font>
    </dxf>
    <dxf>
      <font>
        <b/>
        <sz val="14"/>
      </font>
    </dxf>
    <dxf>
      <fill>
        <patternFill patternType="solid">
          <bgColor theme="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9"/>
        </patternFill>
      </fill>
    </dxf>
    <dxf>
      <fill>
        <patternFill>
          <bgColor theme="9"/>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bottom style="thin">
          <color indexed="64"/>
        </bottom>
      </border>
    </dxf>
    <dxf>
      <font>
        <sz val="14"/>
      </font>
    </dxf>
    <dxf>
      <font>
        <b/>
      </font>
    </dxf>
    <dxf>
      <font>
        <sz val="14"/>
      </font>
    </dxf>
    <dxf>
      <font>
        <b/>
      </font>
    </dxf>
    <dxf>
      <font>
        <b/>
        <sz val="14"/>
      </font>
    </dxf>
    <dxf>
      <font>
        <b/>
        <sz val="14"/>
      </font>
    </dxf>
    <dxf>
      <font>
        <b/>
        <sz val="14"/>
      </font>
    </dxf>
    <dxf>
      <font>
        <b/>
        <sz val="14"/>
      </font>
    </dxf>
    <dxf>
      <font>
        <b/>
        <sz val="14"/>
      </font>
    </dxf>
    <dxf>
      <font>
        <b/>
        <sz val="14"/>
      </font>
    </dxf>
    <dxf>
      <font>
        <b/>
        <sz val="14"/>
      </font>
    </dxf>
    <dxf>
      <font>
        <b/>
        <sz val="14"/>
      </font>
    </dxf>
    <dxf>
      <font>
        <color rgb="FFFF0000"/>
      </font>
    </dxf>
    <dxf>
      <font>
        <color theme="1"/>
      </font>
    </dxf>
    <dxf>
      <font>
        <b/>
        <sz val="14"/>
      </font>
    </dxf>
    <dxf>
      <font>
        <b/>
        <sz val="14"/>
      </font>
    </dxf>
    <dxf>
      <font>
        <b/>
        <sz val="14"/>
      </font>
    </dxf>
    <dxf>
      <border>
        <left style="thin">
          <color indexed="64"/>
        </left>
        <right style="thin">
          <color indexed="64"/>
        </right>
        <bottom style="thin">
          <color indexed="64"/>
        </bottom>
      </border>
    </dxf>
    <dxf>
      <border>
        <left style="thin">
          <color indexed="64"/>
        </left>
        <right style="thin">
          <color indexed="64"/>
        </right>
      </border>
    </dxf>
    <dxf>
      <border>
        <bottom style="thin">
          <color indexed="64"/>
        </bottom>
      </border>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ill>
        <patternFill patternType="solid">
          <bgColor theme="0" tint="-0.14999847407452621"/>
        </patternFill>
      </fill>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border>
        <left style="thin">
          <color indexed="64"/>
        </left>
        <right style="thin">
          <color indexed="64"/>
        </right>
        <bottom style="thin">
          <color indexed="64"/>
        </bottom>
      </border>
    </dxf>
    <dxf>
      <font>
        <b/>
        <sz val="14"/>
      </font>
    </dxf>
    <dxf>
      <font>
        <b/>
        <sz val="14"/>
      </font>
    </dxf>
    <dxf>
      <font>
        <b/>
        <sz val="14"/>
      </font>
    </dxf>
    <dxf>
      <font>
        <b/>
        <sz val="14"/>
      </font>
    </dxf>
    <dxf>
      <font>
        <b/>
        <sz val="14"/>
      </font>
    </dxf>
    <dxf>
      <font>
        <color rgb="FFFF0000"/>
      </font>
    </dxf>
    <dxf>
      <font>
        <color rgb="FFFF0000"/>
      </font>
    </dxf>
    <dxf>
      <font>
        <b/>
        <sz val="14"/>
      </font>
    </dxf>
    <dxf>
      <font>
        <b/>
        <sz val="14"/>
      </font>
    </dxf>
    <dxf>
      <font>
        <b/>
        <sz val="14"/>
      </font>
    </dxf>
    <dxf>
      <font>
        <b/>
        <sz val="14"/>
      </font>
    </dxf>
    <dxf>
      <font>
        <b/>
        <sz val="14"/>
      </font>
    </dxf>
    <dxf>
      <font>
        <b/>
        <sz val="14"/>
      </font>
    </dxf>
    <dxf>
      <numFmt numFmtId="164" formatCode="[$-409]h:mm\ AM/PM;@"/>
    </dxf>
    <dxf>
      <numFmt numFmtId="166" formatCode="[$-F400]h:mm:ss\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sz val="15"/>
      </font>
    </dxf>
    <dxf>
      <font>
        <sz val="15"/>
      </font>
    </dxf>
    <dxf>
      <font>
        <sz val="15"/>
      </font>
    </dxf>
    <dxf>
      <font>
        <sz val="15"/>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alignment horizontal="left"/>
    </dxf>
    <dxf>
      <fill>
        <patternFill patternType="solid">
          <bgColor theme="0"/>
        </patternFill>
      </fill>
    </dxf>
    <dxf>
      <fill>
        <patternFill patternType="solid">
          <bgColor theme="0" tint="-0.14999847407452621"/>
        </patternFill>
      </fill>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alignment horizontal="center"/>
    </dxf>
    <dxf>
      <alignment horizontal="center"/>
    </dxf>
    <dxf>
      <alignment horizontal="cent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indexed="64"/>
        </left>
        <right style="thin">
          <color indexed="64"/>
        </right>
        <bottom style="thin">
          <color indexed="64"/>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alignment vertical="top"/>
    </dxf>
    <dxf>
      <font>
        <color rgb="FFFFFF00"/>
      </font>
      <fill>
        <patternFill patternType="solid">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alignment vertical="center"/>
    </dxf>
    <dxf>
      <font>
        <b/>
        <sz val="14"/>
        <color theme="0"/>
      </font>
      <fill>
        <patternFill patternType="solid">
          <fgColor indexed="64"/>
          <bgColor theme="1"/>
        </patternFill>
      </fill>
    </dxf>
    <dxf>
      <font>
        <b/>
        <sz val="14"/>
        <color theme="0"/>
      </font>
      <fill>
        <patternFill patternType="solid">
          <fgColor indexed="64"/>
          <bgColor theme="1"/>
        </patternFill>
      </fill>
    </dxf>
    <dxf>
      <font>
        <sz val="14"/>
        <color theme="0"/>
      </font>
      <fill>
        <patternFill patternType="solid">
          <bgColor theme="1"/>
        </patternFill>
      </fill>
    </dxf>
    <dxf>
      <font>
        <b/>
        <sz val="14"/>
        <color theme="0"/>
      </font>
      <fill>
        <patternFill patternType="solid">
          <bgColor theme="1"/>
        </patternFill>
      </fill>
    </dxf>
    <dxf>
      <font>
        <b/>
        <sz val="14"/>
        <color theme="0"/>
      </font>
      <fill>
        <patternFill patternType="solid">
          <bgColor theme="1"/>
        </patternFill>
      </fill>
    </dxf>
    <dxf>
      <font>
        <b/>
        <sz val="14"/>
      </font>
    </dxf>
    <dxf>
      <font>
        <color theme="0"/>
      </font>
      <fill>
        <patternFill patternType="solid">
          <bgColor theme="1"/>
        </patternFill>
      </fill>
    </dxf>
    <dxf>
      <alignment vertical="center"/>
    </dxf>
    <dxf>
      <alignment horizontal="center"/>
    </dxf>
    <dxf>
      <font>
        <b/>
      </font>
    </dxf>
    <dxf>
      <font>
        <b/>
      </font>
    </dxf>
    <dxf>
      <font>
        <b/>
      </font>
    </dxf>
    <dxf>
      <font>
        <sz val="14"/>
      </font>
    </dxf>
    <dxf>
      <font>
        <sz val="14"/>
      </font>
    </dxf>
    <dxf>
      <font>
        <sz val="14"/>
      </font>
    </dxf>
    <dxf>
      <fill>
        <patternFill patternType="solid">
          <fgColor theme="0"/>
          <bgColor theme="0"/>
        </patternFill>
      </fill>
    </dxf>
    <dxf>
      <alignment horizontal="center"/>
    </dxf>
    <dxf>
      <font>
        <b/>
        <sz val="14"/>
        <color theme="0"/>
      </font>
      <fill>
        <patternFill patternType="solid">
          <fgColor indexed="64"/>
          <bgColor theme="1"/>
        </patternFill>
      </fill>
    </dxf>
    <dxf>
      <border>
        <left style="thin">
          <color indexed="64"/>
        </left>
        <right style="thin">
          <color indexed="64"/>
        </right>
        <top style="thin">
          <color indexed="64"/>
        </top>
        <bottom style="thin">
          <color indexed="64"/>
        </bottom>
      </border>
    </dxf>
    <dxf>
      <alignment horizontal="center"/>
    </dxf>
    <dxf>
      <font>
        <b/>
        <sz val="14"/>
        <color theme="0"/>
      </font>
      <fill>
        <patternFill patternType="solid">
          <fgColor indexed="64"/>
          <bgColor theme="1"/>
        </patternFill>
      </fill>
    </dxf>
    <dxf>
      <font>
        <b/>
        <sz val="14"/>
        <color theme="0"/>
      </font>
      <fill>
        <patternFill patternType="solid">
          <bgColor theme="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rgb="FFFFFF00"/>
        </patternFill>
      </fill>
    </dxf>
    <dxf>
      <fill>
        <patternFill>
          <bgColor rgb="FFFFFF00"/>
        </patternFill>
      </fill>
    </dxf>
    <dxf>
      <fill>
        <patternFill>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rgb="FFFFFF00"/>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C00000"/>
        </patternFill>
      </fill>
    </dxf>
    <dxf>
      <fill>
        <patternFill patternType="solid">
          <bgColor rgb="FFC00000"/>
        </patternFill>
      </fill>
    </dxf>
    <dxf>
      <fill>
        <patternFill patternType="solid">
          <bgColor rgb="FFC00000"/>
        </patternFill>
      </fill>
    </dxf>
    <dxf>
      <font>
        <b/>
      </font>
    </dxf>
    <dxf>
      <font>
        <sz val="14"/>
      </font>
    </dxf>
    <dxf>
      <font>
        <b/>
      </font>
    </dxf>
    <dxf>
      <font>
        <sz val="14"/>
      </font>
    </dxf>
    <dxf>
      <alignment horizontal="left"/>
    </dxf>
    <dxf>
      <font>
        <sz val="14"/>
      </font>
    </dxf>
    <dxf>
      <font>
        <b/>
      </font>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font>
        <b/>
        <sz val="15"/>
        <color theme="0"/>
      </font>
      <fill>
        <patternFill patternType="solid">
          <fgColor indexed="64"/>
          <bgColor theme="1"/>
        </patternFill>
      </fill>
      <alignment horizontal="center" vertical="center"/>
    </dxf>
    <dxf>
      <font>
        <sz val="14"/>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8"/>
        </patternFill>
      </fill>
    </dxf>
    <dxf>
      <fill>
        <patternFill>
          <bgColor theme="9"/>
        </patternFill>
      </fill>
    </dxf>
    <dxf>
      <fill>
        <patternFill>
          <bgColor rgb="FFFFFF00"/>
        </patternFill>
      </fill>
    </dxf>
    <dxf>
      <fill>
        <patternFill>
          <bgColor rgb="FF92D050"/>
        </patternFill>
      </fill>
    </dxf>
    <dxf>
      <fill>
        <patternFill>
          <bgColor rgb="FF92D050"/>
        </patternFill>
      </fill>
    </dxf>
    <dxf>
      <fill>
        <patternFill patternType="solid">
          <bgColor rgb="FF92D050"/>
        </patternFill>
      </fill>
    </dxf>
    <dxf>
      <alignment horizontal="left"/>
    </dxf>
    <dxf>
      <alignment horizontal="left"/>
    </dxf>
    <dxf>
      <alignment vertical="center"/>
    </dxf>
    <dxf>
      <font>
        <b/>
      </font>
    </dxf>
    <dxf>
      <font>
        <sz val="14"/>
      </font>
    </dxf>
    <dxf>
      <font>
        <b/>
        <sz val="14"/>
      </font>
      <alignment horizontal="left"/>
    </dxf>
    <dxf>
      <font>
        <b/>
        <sz val="14"/>
      </font>
      <alignment horizontal="left"/>
    </dxf>
    <dxf>
      <font>
        <b/>
        <sz val="14"/>
      </font>
      <alignment horizontal="left"/>
    </dxf>
    <dxf>
      <font>
        <b/>
        <sz val="14"/>
      </font>
      <alignment horizontal="left"/>
    </dxf>
    <dxf>
      <font>
        <b/>
        <sz val="14"/>
      </font>
      <alignment horizontal="left"/>
    </dxf>
    <dxf>
      <font>
        <b/>
        <sz val="14"/>
      </font>
      <alignment horizontal="left"/>
    </dxf>
    <dxf>
      <font>
        <b/>
        <sz val="14"/>
      </font>
      <alignment horizontal="left"/>
    </dxf>
    <dxf>
      <font>
        <b/>
        <sz val="14"/>
      </font>
      <alignment horizontal="left"/>
    </dxf>
    <dxf>
      <font>
        <b/>
        <sz val="14"/>
      </font>
      <alignment horizontal="left"/>
    </dxf>
    <dxf>
      <font>
        <b/>
        <sz val="15"/>
        <color theme="0"/>
      </font>
      <fill>
        <patternFill patternType="solid">
          <fgColor indexed="64"/>
          <bgColor theme="1"/>
        </patternFill>
      </fill>
      <alignment horizontal="center" vertical="center"/>
    </dxf>
    <dxf>
      <font>
        <sz val="14"/>
      </font>
    </dxf>
    <dxf>
      <font>
        <b/>
      </font>
    </dxf>
    <dxf>
      <font>
        <sz val="14"/>
      </font>
    </dxf>
    <dxf>
      <font>
        <b/>
      </font>
    </dxf>
    <dxf>
      <font>
        <sz val="14"/>
      </font>
    </dxf>
    <dxf>
      <font>
        <b/>
      </font>
    </dxf>
    <dxf>
      <font>
        <sz val="14"/>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font>
        <sz val="13"/>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b/>
        <sz val="15"/>
        <color theme="0"/>
      </font>
      <fill>
        <patternFill patternType="solid">
          <fgColor indexed="64"/>
          <bgColor theme="1"/>
        </patternFill>
      </fill>
    </dxf>
    <dxf>
      <font>
        <b/>
        <sz val="15"/>
        <color theme="0"/>
      </font>
      <fill>
        <patternFill patternType="solid">
          <fgColor indexed="64"/>
          <bgColor theme="1"/>
        </patternFill>
      </fill>
    </dxf>
    <dxf>
      <font>
        <b/>
        <sz val="15"/>
        <color theme="0"/>
      </font>
      <fill>
        <patternFill patternType="solid">
          <fgColor indexed="64"/>
          <bgColor theme="1"/>
        </patternFill>
      </fill>
    </dxf>
    <dxf>
      <font>
        <b/>
        <sz val="15"/>
        <color theme="0"/>
      </font>
      <fill>
        <patternFill patternType="solid">
          <fgColor indexed="64"/>
          <bgColor theme="1"/>
        </patternFill>
      </fill>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alignment horizontal="center"/>
    </dxf>
    <dxf>
      <alignment horizontal="center"/>
    </dxf>
    <dxf>
      <alignment vertical="center"/>
    </dxf>
    <dxf>
      <font>
        <sz val="14"/>
      </font>
    </dxf>
    <dxf>
      <font>
        <b/>
        <sz val="14"/>
      </font>
    </dxf>
    <dxf>
      <font>
        <sz val="15"/>
      </font>
    </dxf>
    <dxf>
      <font>
        <sz val="15"/>
      </font>
    </dxf>
    <dxf>
      <font>
        <sz val="15"/>
      </font>
    </dxf>
    <dxf>
      <font>
        <sz val="15"/>
      </font>
    </dxf>
    <dxf>
      <font>
        <sz val="15"/>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b/>
      </font>
    </dxf>
    <dxf>
      <font>
        <b/>
      </font>
    </dxf>
    <dxf>
      <alignment horizontal="center"/>
    </dxf>
    <dxf>
      <alignment horizontal="center"/>
    </dxf>
    <dxf>
      <alignment horizontal="center"/>
    </dxf>
    <dxf>
      <alignment horizontal="left"/>
    </dxf>
    <dxf>
      <font>
        <b/>
        <sz val="14"/>
        <color theme="0"/>
      </font>
      <fill>
        <patternFill patternType="solid">
          <fgColor indexed="64"/>
          <bgColor theme="1"/>
        </patternFill>
      </fill>
    </dxf>
    <dxf>
      <font>
        <b/>
        <sz val="14"/>
        <color theme="0"/>
      </font>
      <fill>
        <patternFill patternType="solid">
          <fgColor indexed="64"/>
          <bgColor theme="1"/>
        </patternFill>
      </fill>
    </dxf>
    <dxf>
      <font>
        <sz val="14"/>
        <color theme="0"/>
      </font>
      <fill>
        <patternFill patternType="solid">
          <bgColor theme="1"/>
        </patternFill>
      </fill>
    </dxf>
    <dxf>
      <font>
        <b/>
        <sz val="14"/>
        <color theme="0"/>
      </font>
      <fill>
        <patternFill patternType="solid">
          <bgColor theme="1"/>
        </patternFill>
      </fill>
    </dxf>
    <dxf>
      <font>
        <b/>
        <sz val="14"/>
        <color theme="0"/>
      </font>
      <fill>
        <patternFill patternType="solid">
          <bgColor theme="1"/>
        </patternFill>
      </fill>
    </dxf>
    <dxf>
      <font>
        <b/>
        <sz val="14"/>
      </font>
    </dxf>
    <dxf>
      <font>
        <color theme="0"/>
      </font>
      <fill>
        <patternFill patternType="solid">
          <bgColor theme="1"/>
        </patternFill>
      </fill>
    </dxf>
    <dxf>
      <alignment vertical="center"/>
    </dxf>
    <dxf>
      <alignment horizontal="center"/>
    </dxf>
    <dxf>
      <font>
        <b/>
      </font>
    </dxf>
    <dxf>
      <font>
        <sz val="14"/>
      </font>
    </dxf>
    <dxf>
      <fill>
        <patternFill patternType="solid">
          <fgColor theme="0"/>
          <bgColor theme="0"/>
        </patternFill>
      </fill>
      <alignment horizontal="center"/>
    </dxf>
    <dxf>
      <font>
        <b/>
        <sz val="14"/>
        <color theme="0"/>
      </font>
      <fill>
        <patternFill patternType="solid">
          <fgColor indexed="64"/>
          <bgColor theme="1"/>
        </patternFill>
      </fill>
    </dxf>
    <dxf>
      <font>
        <b/>
        <sz val="14"/>
        <color theme="0"/>
      </font>
      <fill>
        <patternFill patternType="solid">
          <fgColor indexed="64"/>
          <bgColor theme="1"/>
        </patternFill>
      </fill>
    </dxf>
    <dxf>
      <border>
        <left style="thin">
          <color indexed="64"/>
        </left>
        <right style="thin">
          <color indexed="64"/>
        </right>
        <top style="thin">
          <color indexed="64"/>
        </top>
        <bottom style="thin">
          <color indexed="64"/>
        </bottom>
      </border>
    </dxf>
    <dxf>
      <alignment horizontal="center"/>
    </dxf>
    <dxf>
      <font>
        <b/>
        <sz val="14"/>
        <color theme="0"/>
      </font>
      <fill>
        <patternFill patternType="solid">
          <fgColor indexed="64"/>
          <bgColor theme="1"/>
        </patternFill>
      </fill>
    </dxf>
    <dxf>
      <font>
        <b/>
        <sz val="14"/>
        <color theme="0"/>
      </font>
      <fill>
        <patternFill patternType="solid">
          <bgColor theme="1"/>
        </patternFill>
      </fill>
    </dxf>
    <dxf>
      <font>
        <color theme="1"/>
      </font>
    </dxf>
    <dxf>
      <fill>
        <patternFill>
          <bgColor theme="0"/>
        </patternFill>
      </fill>
    </dxf>
    <dxf>
      <font>
        <b val="0"/>
      </font>
    </dxf>
    <dxf>
      <font>
        <sz val="11"/>
      </font>
    </dxf>
    <dxf>
      <font>
        <b/>
        <sz val="14"/>
        <color theme="0"/>
      </font>
      <fill>
        <patternFill patternType="solid">
          <fgColor indexed="64"/>
          <bgColor theme="1"/>
        </patternFill>
      </fill>
    </dxf>
    <dxf>
      <alignment horizontal="center"/>
    </dxf>
    <dxf>
      <alignment horizontal="center"/>
    </dxf>
    <dxf>
      <font>
        <b/>
        <sz val="14"/>
        <color theme="0"/>
      </font>
      <fill>
        <patternFill patternType="solid">
          <fgColor indexed="64"/>
          <bgColor theme="1"/>
        </patternFill>
      </fill>
      <alignment horizontal="center"/>
    </dxf>
    <dxf>
      <alignment horizontal="center"/>
    </dxf>
    <dxf>
      <border>
        <left style="thin">
          <color indexed="64"/>
        </left>
        <right style="thin">
          <color indexed="64"/>
        </right>
        <top style="thin">
          <color indexed="64"/>
        </top>
        <bottom style="thin">
          <color indexed="64"/>
        </bottom>
      </border>
    </dxf>
    <dxf>
      <alignment horizontal="center"/>
    </dxf>
    <dxf>
      <font>
        <b/>
        <sz val="14"/>
        <color theme="0"/>
      </font>
      <fill>
        <patternFill patternType="solid">
          <fgColor indexed="64"/>
          <bgColor theme="1"/>
        </patternFill>
      </fill>
    </dxf>
    <dxf>
      <alignment vertical="center"/>
    </dxf>
    <dxf>
      <alignment horizontal="center"/>
    </dxf>
    <dxf>
      <font>
        <b/>
      </font>
    </dxf>
    <dxf>
      <font>
        <b/>
      </font>
    </dxf>
    <dxf>
      <font>
        <b/>
      </font>
    </dxf>
    <dxf>
      <font>
        <sz val="14"/>
      </font>
    </dxf>
    <dxf>
      <font>
        <sz val="14"/>
      </font>
    </dxf>
    <dxf>
      <font>
        <sz val="14"/>
      </font>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alignment horizontal="center"/>
    </dxf>
    <dxf>
      <font>
        <b/>
        <sz val="14"/>
        <color theme="0"/>
      </font>
      <fill>
        <patternFill patternType="solid">
          <fgColor indexed="64"/>
          <bgColor theme="1"/>
        </patternFill>
      </fill>
    </dxf>
    <dxf>
      <font>
        <b/>
        <sz val="14"/>
        <color theme="0"/>
      </font>
      <fill>
        <patternFill patternType="solid">
          <bgColor theme="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rgb="FF92D050"/>
        </patternFill>
      </fill>
    </dxf>
    <dxf>
      <font>
        <b/>
        <sz val="14"/>
      </font>
    </dxf>
    <dxf>
      <font>
        <b/>
        <sz val="15"/>
        <color theme="0"/>
      </font>
      <fill>
        <patternFill patternType="solid">
          <fgColor indexed="64"/>
          <bgColor theme="1"/>
        </patternFill>
      </fill>
    </dxf>
    <dxf>
      <font>
        <sz val="15"/>
      </font>
    </dxf>
    <dxf>
      <font>
        <sz val="14"/>
      </font>
    </dxf>
    <dxf>
      <font>
        <sz val="14"/>
      </font>
    </dxf>
    <dxf>
      <font>
        <sz val="14"/>
      </font>
    </dxf>
    <dxf>
      <font>
        <sz val="14"/>
      </font>
    </dxf>
    <dxf>
      <font>
        <sz val="14"/>
      </font>
    </dxf>
    <dxf>
      <font>
        <b/>
      </font>
    </dxf>
    <dxf>
      <font>
        <b/>
      </font>
    </dxf>
    <dxf>
      <font>
        <b/>
      </font>
    </dxf>
    <dxf>
      <font>
        <b/>
      </font>
    </dxf>
    <dxf>
      <font>
        <b/>
      </font>
    </dxf>
    <dxf>
      <border>
        <right/>
      </border>
    </dxf>
    <dxf>
      <border>
        <right/>
      </border>
    </dxf>
    <dxf>
      <border>
        <right/>
        <top/>
      </border>
    </dxf>
    <dxf>
      <border>
        <right/>
        <top/>
      </border>
    </dxf>
    <dxf>
      <font>
        <b/>
        <sz val="14"/>
        <color theme="0"/>
      </font>
      <fill>
        <patternFill patternType="solid">
          <bgColor theme="1"/>
        </patternFill>
      </fill>
    </dxf>
    <dxf>
      <fill>
        <patternFill>
          <bgColor rgb="FFFFFF00"/>
        </patternFill>
      </fill>
    </dxf>
    <dxf>
      <fill>
        <patternFill>
          <bgColor theme="0" tint="-0.14996795556505021"/>
        </patternFill>
      </fill>
    </dxf>
  </dxfs>
  <tableStyles count="1" defaultTableStyle="TableStyleMedium2" defaultPivotStyle="PivotStyleLight16">
    <tableStyle name="Estilo de tabla dinámica 1" table="0" count="2" xr9:uid="{D93D049C-31A5-4CFB-923A-7E52ECEC1E07}">
      <tableStyleElement type="firstRowStripe" dxfId="11000"/>
      <tableStyleElement type="secondRowStripe" dxfId="10999"/>
    </tableStyle>
  </tableStyles>
  <colors>
    <mruColors>
      <color rgb="FFFF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7.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24" Type="http://schemas.openxmlformats.org/officeDocument/2006/relationships/customXml" Target="../customXml/item3.xml"/><Relationship Id="rId5" Type="http://schemas.openxmlformats.org/officeDocument/2006/relationships/worksheet" Target="worksheets/sheet5.xml"/><Relationship Id="rId15" Type="http://schemas.microsoft.com/office/2007/relationships/slicerCache" Target="slicerCaches/slicerCache6.xml"/><Relationship Id="rId23" Type="http://schemas.openxmlformats.org/officeDocument/2006/relationships/customXml" Target="../customXml/item2.xml"/><Relationship Id="rId10" Type="http://schemas.microsoft.com/office/2007/relationships/slicerCache" Target="slicerCaches/slicerCache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5.xml"/><Relationship Id="rId22"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editAs="oneCell">
    <xdr:from>
      <xdr:col>0</xdr:col>
      <xdr:colOff>84027</xdr:colOff>
      <xdr:row>3</xdr:row>
      <xdr:rowOff>188991</xdr:rowOff>
    </xdr:from>
    <xdr:to>
      <xdr:col>2</xdr:col>
      <xdr:colOff>1597249</xdr:colOff>
      <xdr:row>10</xdr:row>
      <xdr:rowOff>153005</xdr:rowOff>
    </xdr:to>
    <mc:AlternateContent xmlns:mc="http://schemas.openxmlformats.org/markup-compatibility/2006" xmlns:a14="http://schemas.microsoft.com/office/drawing/2010/main">
      <mc:Choice Requires="a14">
        <xdr:graphicFrame macro="">
          <xdr:nvGraphicFramePr>
            <xdr:cNvPr id="2" name="Split 1">
              <a:extLst>
                <a:ext uri="{FF2B5EF4-FFF2-40B4-BE49-F238E27FC236}">
                  <a16:creationId xmlns:a16="http://schemas.microsoft.com/office/drawing/2014/main" id="{4541399B-247C-4301-A200-5556E62D1FF1}"/>
                </a:ext>
              </a:extLst>
            </xdr:cNvPr>
            <xdr:cNvGraphicFramePr/>
          </xdr:nvGraphicFramePr>
          <xdr:xfrm>
            <a:off x="0" y="0"/>
            <a:ext cx="0" cy="0"/>
          </xdr:xfrm>
          <a:graphic>
            <a:graphicData uri="http://schemas.microsoft.com/office/drawing/2010/slicer">
              <sle:slicer xmlns:sle="http://schemas.microsoft.com/office/drawing/2010/slicer" name="Split 1"/>
            </a:graphicData>
          </a:graphic>
        </xdr:graphicFrame>
      </mc:Choice>
      <mc:Fallback xmlns="">
        <xdr:sp macro="" textlink="">
          <xdr:nvSpPr>
            <xdr:cNvPr id="0" name=""/>
            <xdr:cNvSpPr>
              <a:spLocks noTextEdit="1"/>
            </xdr:cNvSpPr>
          </xdr:nvSpPr>
          <xdr:spPr>
            <a:xfrm>
              <a:off x="84027" y="855741"/>
              <a:ext cx="2970547" cy="18588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1674477</xdr:colOff>
      <xdr:row>3</xdr:row>
      <xdr:rowOff>189407</xdr:rowOff>
    </xdr:from>
    <xdr:to>
      <xdr:col>4</xdr:col>
      <xdr:colOff>377152</xdr:colOff>
      <xdr:row>10</xdr:row>
      <xdr:rowOff>153005</xdr:rowOff>
    </xdr:to>
    <mc:AlternateContent xmlns:mc="http://schemas.openxmlformats.org/markup-compatibility/2006" xmlns:a14="http://schemas.microsoft.com/office/drawing/2010/main">
      <mc:Choice Requires="a14">
        <xdr:graphicFrame macro="">
          <xdr:nvGraphicFramePr>
            <xdr:cNvPr id="3" name="Station 1">
              <a:extLst>
                <a:ext uri="{FF2B5EF4-FFF2-40B4-BE49-F238E27FC236}">
                  <a16:creationId xmlns:a16="http://schemas.microsoft.com/office/drawing/2014/main" id="{BDFCAF10-63CC-43F4-A31A-0CE92BA4A750}"/>
                </a:ext>
              </a:extLst>
            </xdr:cNvPr>
            <xdr:cNvGraphicFramePr/>
          </xdr:nvGraphicFramePr>
          <xdr:xfrm>
            <a:off x="0" y="0"/>
            <a:ext cx="0" cy="0"/>
          </xdr:xfrm>
          <a:graphic>
            <a:graphicData uri="http://schemas.microsoft.com/office/drawing/2010/slicer">
              <sle:slicer xmlns:sle="http://schemas.microsoft.com/office/drawing/2010/slicer" name="Station 1"/>
            </a:graphicData>
          </a:graphic>
        </xdr:graphicFrame>
      </mc:Choice>
      <mc:Fallback xmlns="">
        <xdr:sp macro="" textlink="">
          <xdr:nvSpPr>
            <xdr:cNvPr id="0" name=""/>
            <xdr:cNvSpPr>
              <a:spLocks noTextEdit="1"/>
            </xdr:cNvSpPr>
          </xdr:nvSpPr>
          <xdr:spPr>
            <a:xfrm>
              <a:off x="3131802" y="856157"/>
              <a:ext cx="3169265" cy="18584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16610</xdr:rowOff>
    </xdr:from>
    <xdr:to>
      <xdr:col>5</xdr:col>
      <xdr:colOff>378065</xdr:colOff>
      <xdr:row>12</xdr:row>
      <xdr:rowOff>113351</xdr:rowOff>
    </xdr:to>
    <mc:AlternateContent xmlns:mc="http://schemas.openxmlformats.org/markup-compatibility/2006" xmlns:a14="http://schemas.microsoft.com/office/drawing/2010/main">
      <mc:Choice Requires="a14">
        <xdr:graphicFrame macro="">
          <xdr:nvGraphicFramePr>
            <xdr:cNvPr id="2" name="Split 2">
              <a:extLst>
                <a:ext uri="{FF2B5EF4-FFF2-40B4-BE49-F238E27FC236}">
                  <a16:creationId xmlns:a16="http://schemas.microsoft.com/office/drawing/2014/main" id="{F7FAF4F5-F338-4021-84B4-07A7A901C82D}"/>
                </a:ext>
              </a:extLst>
            </xdr:cNvPr>
            <xdr:cNvGraphicFramePr/>
          </xdr:nvGraphicFramePr>
          <xdr:xfrm>
            <a:off x="0" y="0"/>
            <a:ext cx="0" cy="0"/>
          </xdr:xfrm>
          <a:graphic>
            <a:graphicData uri="http://schemas.microsoft.com/office/drawing/2010/slicer">
              <sle:slicer xmlns:sle="http://schemas.microsoft.com/office/drawing/2010/slicer" name="Split 2"/>
            </a:graphicData>
          </a:graphic>
        </xdr:graphicFrame>
      </mc:Choice>
      <mc:Fallback xmlns="">
        <xdr:sp macro="" textlink="">
          <xdr:nvSpPr>
            <xdr:cNvPr id="0" name=""/>
            <xdr:cNvSpPr>
              <a:spLocks noTextEdit="1"/>
            </xdr:cNvSpPr>
          </xdr:nvSpPr>
          <xdr:spPr>
            <a:xfrm>
              <a:off x="0" y="450950"/>
              <a:ext cx="3400030" cy="19255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365922</xdr:colOff>
      <xdr:row>2</xdr:row>
      <xdr:rowOff>0</xdr:rowOff>
    </xdr:from>
    <xdr:to>
      <xdr:col>11</xdr:col>
      <xdr:colOff>453773</xdr:colOff>
      <xdr:row>12</xdr:row>
      <xdr:rowOff>113351</xdr:rowOff>
    </xdr:to>
    <mc:AlternateContent xmlns:mc="http://schemas.openxmlformats.org/markup-compatibility/2006" xmlns:a14="http://schemas.microsoft.com/office/drawing/2010/main">
      <mc:Choice Requires="a14">
        <xdr:graphicFrame macro="">
          <xdr:nvGraphicFramePr>
            <xdr:cNvPr id="3" name="Station 2">
              <a:extLst>
                <a:ext uri="{FF2B5EF4-FFF2-40B4-BE49-F238E27FC236}">
                  <a16:creationId xmlns:a16="http://schemas.microsoft.com/office/drawing/2014/main" id="{AEF23DB2-21A1-44BE-A4F1-B7E0EF0876E8}"/>
                </a:ext>
              </a:extLst>
            </xdr:cNvPr>
            <xdr:cNvGraphicFramePr/>
          </xdr:nvGraphicFramePr>
          <xdr:xfrm>
            <a:off x="0" y="0"/>
            <a:ext cx="0" cy="0"/>
          </xdr:xfrm>
          <a:graphic>
            <a:graphicData uri="http://schemas.microsoft.com/office/drawing/2010/slicer">
              <sle:slicer xmlns:sle="http://schemas.microsoft.com/office/drawing/2010/slicer" name="Station 2"/>
            </a:graphicData>
          </a:graphic>
        </xdr:graphicFrame>
      </mc:Choice>
      <mc:Fallback xmlns="">
        <xdr:sp macro="" textlink="">
          <xdr:nvSpPr>
            <xdr:cNvPr id="0" name=""/>
            <xdr:cNvSpPr>
              <a:spLocks noTextEdit="1"/>
            </xdr:cNvSpPr>
          </xdr:nvSpPr>
          <xdr:spPr>
            <a:xfrm>
              <a:off x="4023522" y="434340"/>
              <a:ext cx="3109816" cy="19421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152959</xdr:colOff>
      <xdr:row>1</xdr:row>
      <xdr:rowOff>129429</xdr:rowOff>
    </xdr:from>
    <xdr:to>
      <xdr:col>1</xdr:col>
      <xdr:colOff>872490</xdr:colOff>
      <xdr:row>6</xdr:row>
      <xdr:rowOff>143160</xdr:rowOff>
    </xdr:to>
    <mc:AlternateContent xmlns:mc="http://schemas.openxmlformats.org/markup-compatibility/2006" xmlns:a14="http://schemas.microsoft.com/office/drawing/2010/main">
      <mc:Choice Requires="a14">
        <xdr:graphicFrame macro="">
          <xdr:nvGraphicFramePr>
            <xdr:cNvPr id="2" name="Split">
              <a:extLst>
                <a:ext uri="{FF2B5EF4-FFF2-40B4-BE49-F238E27FC236}">
                  <a16:creationId xmlns:a16="http://schemas.microsoft.com/office/drawing/2014/main" id="{6A1947D2-E7EE-7E08-2499-E1CFFF2BB8B3}"/>
                </a:ext>
              </a:extLst>
            </xdr:cNvPr>
            <xdr:cNvGraphicFramePr/>
          </xdr:nvGraphicFramePr>
          <xdr:xfrm>
            <a:off x="0" y="0"/>
            <a:ext cx="0" cy="0"/>
          </xdr:xfrm>
          <a:graphic>
            <a:graphicData uri="http://schemas.microsoft.com/office/drawing/2010/slicer">
              <sle:slicer xmlns:sle="http://schemas.microsoft.com/office/drawing/2010/slicer" name="Split"/>
            </a:graphicData>
          </a:graphic>
        </xdr:graphicFrame>
      </mc:Choice>
      <mc:Fallback xmlns="">
        <xdr:sp macro="" textlink="">
          <xdr:nvSpPr>
            <xdr:cNvPr id="0" name=""/>
            <xdr:cNvSpPr>
              <a:spLocks noTextEdit="1"/>
            </xdr:cNvSpPr>
          </xdr:nvSpPr>
          <xdr:spPr>
            <a:xfrm>
              <a:off x="152959" y="377079"/>
              <a:ext cx="1656791" cy="1532651"/>
            </a:xfrm>
            <a:prstGeom prst="rect">
              <a:avLst/>
            </a:prstGeom>
            <a:solidFill>
              <a:prstClr val="white"/>
            </a:solidFill>
            <a:ln w="1">
              <a:solidFill>
                <a:prstClr val="green"/>
              </a:solidFill>
            </a:ln>
          </xdr:spPr>
          <xdr:txBody>
            <a:bodyPr vertOverflow="clip" horzOverflow="clip"/>
            <a:lstStyle/>
            <a:p>
              <a:r>
                <a:rPr lang="en-U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1</xdr:col>
      <xdr:colOff>1074081</xdr:colOff>
      <xdr:row>1</xdr:row>
      <xdr:rowOff>127189</xdr:rowOff>
    </xdr:from>
    <xdr:to>
      <xdr:col>2</xdr:col>
      <xdr:colOff>1444325</xdr:colOff>
      <xdr:row>6</xdr:row>
      <xdr:rowOff>142190</xdr:rowOff>
    </xdr:to>
    <mc:AlternateContent xmlns:mc="http://schemas.openxmlformats.org/markup-compatibility/2006" xmlns:a14="http://schemas.microsoft.com/office/drawing/2010/main">
      <mc:Choice Requires="a14">
        <xdr:graphicFrame macro="">
          <xdr:nvGraphicFramePr>
            <xdr:cNvPr id="3" name="Station">
              <a:extLst>
                <a:ext uri="{FF2B5EF4-FFF2-40B4-BE49-F238E27FC236}">
                  <a16:creationId xmlns:a16="http://schemas.microsoft.com/office/drawing/2014/main" id="{A85EDD27-5AA4-88B2-FA2F-75563B5E2859}"/>
                </a:ext>
              </a:extLst>
            </xdr:cNvPr>
            <xdr:cNvGraphicFramePr/>
          </xdr:nvGraphicFramePr>
          <xdr:xfrm>
            <a:off x="0" y="0"/>
            <a:ext cx="0" cy="0"/>
          </xdr:xfrm>
          <a:graphic>
            <a:graphicData uri="http://schemas.microsoft.com/office/drawing/2010/slicer">
              <sle:slicer xmlns:sle="http://schemas.microsoft.com/office/drawing/2010/slicer" name="Station"/>
            </a:graphicData>
          </a:graphic>
        </xdr:graphicFrame>
      </mc:Choice>
      <mc:Fallback xmlns="">
        <xdr:sp macro="" textlink="">
          <xdr:nvSpPr>
            <xdr:cNvPr id="0" name=""/>
            <xdr:cNvSpPr>
              <a:spLocks noTextEdit="1"/>
            </xdr:cNvSpPr>
          </xdr:nvSpPr>
          <xdr:spPr>
            <a:xfrm>
              <a:off x="2036106" y="374839"/>
              <a:ext cx="1528484" cy="1532651"/>
            </a:xfrm>
            <a:prstGeom prst="rect">
              <a:avLst/>
            </a:prstGeom>
            <a:solidFill>
              <a:prstClr val="white"/>
            </a:solidFill>
            <a:ln w="1">
              <a:solidFill>
                <a:prstClr val="green"/>
              </a:solidFill>
            </a:ln>
          </xdr:spPr>
          <xdr:txBody>
            <a:bodyPr vertOverflow="clip" horzOverflow="clip"/>
            <a:lstStyle/>
            <a:p>
              <a:r>
                <a:rPr lang="en-U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2</xdr:col>
      <xdr:colOff>1633258</xdr:colOff>
      <xdr:row>1</xdr:row>
      <xdr:rowOff>127747</xdr:rowOff>
    </xdr:from>
    <xdr:to>
      <xdr:col>4</xdr:col>
      <xdr:colOff>796766</xdr:colOff>
      <xdr:row>6</xdr:row>
      <xdr:rowOff>181926</xdr:rowOff>
    </xdr:to>
    <mc:AlternateContent xmlns:mc="http://schemas.openxmlformats.org/markup-compatibility/2006" xmlns:a14="http://schemas.microsoft.com/office/drawing/2010/main">
      <mc:Choice Requires="a14">
        <xdr:graphicFrame macro="">
          <xdr:nvGraphicFramePr>
            <xdr:cNvPr id="5" name="Operation Split">
              <a:extLst>
                <a:ext uri="{FF2B5EF4-FFF2-40B4-BE49-F238E27FC236}">
                  <a16:creationId xmlns:a16="http://schemas.microsoft.com/office/drawing/2014/main" id="{189B5AF4-C134-717D-CBE0-021CA66639D2}"/>
                </a:ext>
              </a:extLst>
            </xdr:cNvPr>
            <xdr:cNvGraphicFramePr/>
          </xdr:nvGraphicFramePr>
          <xdr:xfrm>
            <a:off x="0" y="0"/>
            <a:ext cx="0" cy="0"/>
          </xdr:xfrm>
          <a:graphic>
            <a:graphicData uri="http://schemas.microsoft.com/office/drawing/2010/slicer">
              <sle:slicer xmlns:sle="http://schemas.microsoft.com/office/drawing/2010/slicer" name="Operation Split"/>
            </a:graphicData>
          </a:graphic>
        </xdr:graphicFrame>
      </mc:Choice>
      <mc:Fallback xmlns="">
        <xdr:sp macro="" textlink="">
          <xdr:nvSpPr>
            <xdr:cNvPr id="0" name=""/>
            <xdr:cNvSpPr>
              <a:spLocks noTextEdit="1"/>
            </xdr:cNvSpPr>
          </xdr:nvSpPr>
          <xdr:spPr>
            <a:xfrm>
              <a:off x="3766858" y="375398"/>
              <a:ext cx="2919738" cy="1532651"/>
            </a:xfrm>
            <a:prstGeom prst="rect">
              <a:avLst/>
            </a:prstGeom>
            <a:solidFill>
              <a:prstClr val="white"/>
            </a:solidFill>
            <a:ln w="1">
              <a:solidFill>
                <a:prstClr val="green"/>
              </a:solidFill>
            </a:ln>
          </xdr:spPr>
          <xdr:txBody>
            <a:bodyPr vertOverflow="clip" horzOverflow="clip"/>
            <a:lstStyle/>
            <a:p>
              <a:r>
                <a:rPr lang="en-U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person displayName="Michele Jimenez" id="{5D0702F6-D9AB-4FDF-AE1D-D92479C08A84}" userId="S-1-5-21-327817599-1440584610-3786149570-1583"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xander Serna" refreshedDate="45942.762022800925" createdVersion="8" refreshedVersion="8" minRefreshableVersion="3" recordCount="85" xr:uid="{0EBEDEFB-A82C-4F5C-B3E5-D1F97485AB72}">
  <cacheSource type="worksheet">
    <worksheetSource name="Tabla33"/>
  </cacheSource>
  <cacheFields count="8">
    <cacheField name="Split" numFmtId="0">
      <sharedItems containsBlank="1" count="8">
        <s v="H.A. 1"/>
        <s v="H.A. 2"/>
        <s v="H.A. 3"/>
        <s v="H.A. 4"/>
        <m u="1"/>
        <s v="H.A. 5" u="1"/>
        <s v="H.A. 6" u="1"/>
        <s v="H.A. 7" u="1"/>
      </sharedItems>
    </cacheField>
    <cacheField name="Station" numFmtId="0">
      <sharedItems containsSemiMixedTypes="0" containsString="0" containsNumber="1" containsInteger="1" minValue="1" maxValue="7" count="7">
        <n v="1"/>
        <n v="4"/>
        <n v="2"/>
        <n v="3"/>
        <n v="5" u="1"/>
        <n v="6" u="1"/>
        <n v="7" u="1"/>
      </sharedItems>
    </cacheField>
    <cacheField name="Hour" numFmtId="0">
      <sharedItems containsBlank="1" count="9">
        <s v="9:00 P.M."/>
        <s v="8:00 P.M."/>
        <s v="10:00 P.M."/>
        <s v="11:00 P.M."/>
        <s v="9:30 P.M."/>
        <s v="12:00 A.M."/>
        <s v="24 Hrs"/>
        <m u="1"/>
        <s v="1:00 A.M." u="1"/>
      </sharedItems>
    </cacheField>
    <cacheField name="Time" numFmtId="0">
      <sharedItems containsBlank="1" count="5">
        <s v="ET"/>
        <s v="CT"/>
        <s v="MT"/>
        <s v="PT"/>
        <m u="1"/>
      </sharedItems>
    </cacheField>
    <cacheField name="Site" numFmtId="0">
      <sharedItems containsBlank="1" count="191">
        <s v="(AS) Bill Estes Ford (NO TOURS)"/>
        <s v="(AS) Courtesy CDJR of Brandon"/>
        <s v="(AS) Courtesy Hyundai/Nissan Tampa"/>
        <s v="(AS) Lexus Smyrna (NO TOURS)"/>
        <s v="(DT) Louisville"/>
        <s v="(HUD) CDJR of Greensboro"/>
        <s v="(MK) McKenny Salinas Honda"/>
        <s v="(PE) BMW of Mamaroneck (NO TOURS)"/>
        <s v="(PE) BMW Service Center (NO TOURS)"/>
        <s v="(PE) Hudson Toyota Nissan CDJR (NO TOURS)"/>
        <s v="(SCH) Chevrolet North Palm"/>
        <s v="(SCH) Parts Warehouse Lake Worth"/>
        <s v="(AS) David McDavid Lincoln Frisco"/>
        <s v="(AS) Plaza Audi/Infiniti"/>
        <s v="(AS) Plaza Lexus/Mercedes/BMW"/>
        <s v="(KG) Texan GMC Buick (NO TOURS)"/>
        <s v="(ML) Joe Machens Capital City I &amp; II (NO TOURS)"/>
        <s v="(ML) Joe Machens Temporary 2.0"/>
        <s v="(AS) David McDavid Honda I &amp; II"/>
        <s v="(AS) Park Place Bodywerks Dallas"/>
        <s v="(DT) Arlington"/>
        <s v="(KG) Big Star CDJR of Clear Lake"/>
        <s v="(KG) Clear Lake Pre-Owned"/>
        <s v="(ML) Ford Lincoln of North Little Rock"/>
        <s v="(ML) Joe Machens CDJR"/>
        <s v="(ML) Joe Machens Ford Lincoln I &amp; II"/>
        <s v="(ML) McLarty-Gray Daniels Chevrolet"/>
        <s v="(TC) Tavernier Creek Marina (NO TOURS)"/>
        <s v="(AS) Stevinson Chevrolet Golden (NO TOURS)"/>
        <s v="(DT) Albuquerque"/>
        <s v="(DT) Colorado Springs (NO TOURS)"/>
        <s v="(RV) Toms Camperland Avondale (NO TOURS)"/>
        <s v="(RV) Toms Camperland Mesa (NO TOURS)"/>
        <s v="(DT) Escondido"/>
        <s v="(DT) Modesto"/>
        <s v="(KG) Truck Center Remote Storage Lot"/>
        <s v="Mario Residence"/>
        <s v="SIG Office"/>
        <s v="SIG Office Trailer"/>
        <m u="1"/>
        <s v="(AN) Chevrolet/Buick GMC Laurel" u="1"/>
        <s v="(AN) Auto Auction Orlando (NO TOURS)" u="1"/>
        <s v="(AN) CDJR &amp; FIAT North Columbus (ICRealTime)" u="1"/>
        <s v="(AN) CDJR North Richland Hills" u="1"/>
        <s v="(AN) Mercedes Benz Ft. Lauderdale" u="1"/>
        <s v="(AN) Nissan Tempe" u="1"/>
        <s v="(AN) Toyota South Austin (Dealer)" u="1"/>
        <s v="(AN) Toyota South Austin (Service)" u="1"/>
        <s v="(AN) CDJR Southwest (ICRealTime)" u="1"/>
        <s v="(AN) Ford Katy" u="1"/>
        <s v="(AN) Ford Union City" u="1"/>
        <s v="(AN) Auto Auction Houston" u="1"/>
        <s v="(AN) Chevrolet Coral Gables" u="1"/>
        <s v="(AN) Ford Panama City (NO TOURS)" u="1"/>
        <s v="(AN) Parts Center Spokane" u="1"/>
        <s v="(AN) Honda Costa Mesa" u="1"/>
        <s v="(AN) CDJR Springs I &amp; II" u="1"/>
        <s v="(AN) Remote Lot Chevrolet Coral Gables" u="1"/>
        <s v="(AN) JLR Bethesda (NO TOURS)" u="1"/>
        <s v="(AN) USA Houston" u="1"/>
        <s v="(AN) Parts Center Roseville" u="1"/>
        <s v="(AN) Toyota Arapahoe (NO SPEAKERS)" u="1"/>
        <s v="(AN) JLR W Houston" u="1"/>
        <s v="(AN) Mercedes Benz Naperville" u="1"/>
        <s v="(AN) Chevrolet North Richland Hills" u="1"/>
        <s v="(AN) Hyundai North Richland Hills" u="1"/>
        <s v="(SCH) West Palm Beach I, II,III" u="1"/>
        <s v="(AN) Laurel BMW of Westmont (NO TOURS)" u="1"/>
        <s v="(AN) Collision Center Bellevue" u="1"/>
        <s v="(AN) Collision Center Austin" u="1"/>
        <s v="(AN) BMW Westmont (NO TOURS)" u="1"/>
        <s v="(AN) Roseville Parts Warehouse" u="1"/>
        <s v="(AN) CDJR &amp; FIAT North Columbus" u="1"/>
        <s v="(AN) CDJR Southwest" u="1"/>
        <s v="(PE) BMW of Greenwich (NO TOURS)" u="1"/>
        <s v="(HUD) BMW of Greensboro" u="1"/>
        <s v="(AS) Nalley Lexus Roswell" u="1"/>
        <s v="(AN) Chevrolet West Colonial" u="1"/>
        <s v="(AN) Ford North Canton" u="1"/>
        <s v="(ML) Nissan Of North Little Rock" u="1"/>
        <s v="(ML) McLarty Gray-Daniels Ford Lincoln" u="1"/>
        <s v="(AS) Mercedes Benz/Porsche Dallas I,II &amp; III" u="1"/>
        <s v="(AS) Park Place Sprinter Van Center" u="1"/>
        <s v="(AN) Fleet Mechanical White Bear Lake (NO TOURS)" u="1"/>
        <s v="(AN) Ford Ft Worth I &amp; II" u="1"/>
        <s v="(AS) Mike Shaw CDJR &amp; Truck Center (NO TOURS)" u="1"/>
        <s v="(AN) BMW Vista" u="1"/>
        <s v="(AN) JLR Southbay (NO TOURS)" u="1"/>
        <s v="(AN) JLR Woodland Hills (NO TOURS)" u="1"/>
        <s v="(PE) BMW Tenafly (NO TOURS)" u="1"/>
        <s v="(AS) Courtesy Kia of Brandon" u="1"/>
        <s v="(ML) Columbia Honda (NO TOURS)" u="1"/>
        <s v="(ML) Volvo Collision Corp" u="1"/>
        <s v="(DT) N. Houston" u="1"/>
        <s v="(ML) Mazda VW-Lot B" u="1"/>
        <s v="(ML) Nissan Of Benton" u="1"/>
        <s v="(KG) Big Star Honda" u="1"/>
        <s v="(LM) Luther Mazda / Mitsubishi" u="1"/>
        <s v="(AN) Mercedes Benz Greenway Houston" u="1"/>
        <s v="(AS) Stevinson Toyota West (NO TOURS)" u="1"/>
        <s v="(AN) USA Henderson (NO TOURS)" u="1"/>
        <s v="(AN) Audi Las Vegas (NO TOURS)" u="1"/>
        <s v="(AN) Subaru Roseville" u="1"/>
        <s v="(AN) JLR White Plains" u="1"/>
        <s v="(ML) Joe Machens Toyota" u="1"/>
        <s v="(PE) CarShop South Brunswick (NO TOURS)" u="1"/>
        <s v="(HUD) Acura of Greensboro" u="1"/>
        <s v="(AN) BMW of Delray Beach" u="1"/>
        <s v="(ML) Joe Machens Nissan" u="1"/>
        <s v="(DT) W Houston" u="1"/>
        <s v="(KG) Big Star Ford" u="1"/>
        <s v="(KG) Baytown GMC Buick (NO TOURS)" u="1"/>
        <s v="(KG) Texan CDJR" u="1"/>
        <s v="(AN) USA San Antonio" u="1"/>
        <s v="(AN) Acura Gulf Freeway" u="1"/>
        <s v="(AS) Stevinson Lexus of Lakewood" u="1"/>
        <s v="(RV) Toms Camperland Surprise (NO TOURS)" u="1"/>
        <s v="(AN) USA Phoenix" u="1"/>
        <s v="SIG Office (SIG Office &amp; Jorge Calzadilla)" u="1"/>
        <s v="MARIO'S Residence" u="1"/>
        <s v="(ML) Joe Machens Hyundai" u="1"/>
        <s v="(AN) Collision Center Columbus" u="1"/>
        <s v="(AN) Volkswagen North Columbus" u="1"/>
        <s v="(AN) Collision Center Denver" u="1"/>
        <s v="(HUD) Crown Acura of Greensboro" u="1"/>
        <s v="(RV) RV Sonny's Camp N Travel" u="1"/>
        <s v="(SCH) Delray II" u="1"/>
        <s v="(PE) JLR Paramus (NO TOURS)" u="1"/>
        <s v="(AS) Lexus Grapevine I" u="1"/>
        <s v="(AN) Remote Lot W Sahara" u="1"/>
        <s v="(HUD) Crown Honda Greensboro" u="1"/>
        <s v="(AS) Mercedes Benz/Porsche Dallas I,II,III" u="1"/>
        <s v="(AN) Auto Auction Orlando (NO SPEAKERS)" u="1"/>
        <s v="(AN) USA Corpus Christi" u="1"/>
        <s v="(AS) Stevinson JLR (NO TOURS)" u="1"/>
        <s v="(AS) Coggin Mercedes Benz Ft Pierce" u="1"/>
        <s v="(PE) Car Shop South Brunswick (NO TOURS)" u="1"/>
        <s v="(AN) Porsche Bellevue" u="1"/>
        <s v="(AN) Nissan Pembroke Pines" u="1"/>
        <s v="(HUD) Crown BMW of Greensboro" u="1"/>
        <s v="(HUD) Crown Nissan Greensboro" u="1"/>
        <s v="(HUD) Crown Paint and Body Center" u="1"/>
        <s v="(RV) Sonny's Camp N Travel Concord" u="1"/>
        <s v="(AN) USA Corpus Christi " u="1"/>
        <s v="(KG) JLR LEHI (NO TOURS)" u="1"/>
        <s v="(AS) Coggin BMW Ft Pierce (NO TOURS)" u="1"/>
        <s v="(RML) Burleson Nissan" u="1"/>
        <s v="(AN) Ford Brooksville" u="1"/>
        <s v="(HUD) Crown Paint and Body Centre" u="1"/>
        <s v="(HUD) Crown CDJR of Greensboro" u="1"/>
        <s v="(LM) Luther Mazda/Mitsubishi" u="1"/>
        <s v="(AN) Chevrolet North Corpus Christi" u="1"/>
        <s v="(AN) JLR White Plains " u="1"/>
        <s v="(HUD) Crown Honda of Southpoint" u="1"/>
        <s v="(AN) JLR W Houston " u="1"/>
        <s v="(AN) Mercedes Benz Pembroke Pines" u="1"/>
        <s v="RML Burleson Nissan" u="1"/>
        <s v="(PE) Fairfield Collision (NO TOURS)" u="1"/>
        <s v="(AN) Chevrolet Arrowhead" u="1"/>
        <s v="(AS) Courtesy Honda Palm Harbor (NO TOURS)" u="1"/>
        <s v="(AN) USA San Antonio " u="1"/>
        <s v="(AN) Mini of the Woodlands" u="1"/>
        <s v="(AS) Coggins Mercedes Benz Ft Pierce " u="1"/>
        <s v="(AN) Chevrolet/Buick GMC Laurel " u="1"/>
        <s v="(AS) Courtesy of Kia of Brandon" u="1"/>
        <s v="(AN) Ford Ft Worth" u="1"/>
        <s v="(DT) Albuquerque " u="1"/>
        <s v="(AN) Toyota Mall of Georgia" u="1"/>
        <s v="(ML) Collision Center N Little Rock" u="1"/>
        <s v="(AS) Plano Auction (NO SPEAKERS)" u="1"/>
        <s v="(AS) Lexus Grapevine II" u="1"/>
        <s v="(AN) Hyundai North Columbus" u="1"/>
        <s v="(AN) Lexus Clearwater (NO SPEAKERS)" u="1"/>
        <s v="(AN) Porsche Bellevue Remote Service" u="1"/>
        <s v="(AN) Chevy N Corpus Christi" u="1"/>
        <s v="(AS) Atwell Prep Center-Dallas" u="1"/>
        <s v="(SCH) Delray" u="1"/>
        <s v="(AN) Collision Center Columbus " u="1"/>
        <s v="(KG) Texan CDJR " u="1"/>
        <s v="(AN) USA Charleston" u="1"/>
        <s v="(DT) Denver (NO TOURS)" u="1"/>
        <s v="(PE) JLR Englewood (NO TOURS)" u="1"/>
        <s v="(AN) Honda &amp; Recon Center Roseville" u="1"/>
        <s v="(RVS) RV Sonny's Camp N Travel " u="1"/>
        <s v="(AN) Ford Ft Worth II" u="1"/>
        <s v="(AN) Subaru Scottsdale" u="1"/>
        <s v="(AN) Hyundai Tempe" u="1"/>
        <s v="(AN) Mercedes Benz FT Lauderdale" u="1"/>
        <s v="(AN) Jaguar Land Rover South Bay (NO TOURS)" u="1"/>
        <s v="(AN) AN Remote Lot Chevrolet Coral Gables" u="1"/>
        <s v="(AN) Honda Memphis" u="1"/>
      </sharedItems>
    </cacheField>
    <cacheField name="Drop time" numFmtId="0">
      <sharedItems containsBlank="1" count="9">
        <s v="6:00 A.M."/>
        <s v="7:00 A.M."/>
        <s v="8:00 A.M."/>
        <s v="9:00 A.M."/>
        <s v="N/A"/>
        <s v="5:00 A.M." u="1"/>
        <m u="1"/>
        <s v="10:00 A.M." u="1"/>
        <s v="11:00 a.m." u="1"/>
      </sharedItems>
    </cacheField>
    <cacheField name="SUNDAY (D.T.)" numFmtId="0">
      <sharedItems containsBlank="1" count="10">
        <s v="N/A"/>
        <s v="10:00 A.M."/>
        <s v="11:00 A.M."/>
        <s v="8:00 A.M."/>
        <s v="7:00 a.m." u="1"/>
        <m u="1"/>
        <s v="11:30 A.M." u="1"/>
        <s v="12:00 P.M." u="1"/>
        <s v="1:00 P.M." u="1"/>
        <s v="11:00 p.m." u="1"/>
      </sharedItems>
    </cacheField>
    <cacheField name="Notes*" numFmtId="0">
      <sharedItems containsNonDate="0" containsString="0" containsBlank="1"/>
    </cacheField>
  </cacheFields>
  <extLst>
    <ext xmlns:x14="http://schemas.microsoft.com/office/spreadsheetml/2009/9/main" uri="{725AE2AE-9491-48be-B2B4-4EB974FC3084}">
      <x14:pivotCacheDefinition pivotCacheId="10181241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CSOperator" refreshedDate="45957.84588090278" createdVersion="8" refreshedVersion="8" minRefreshableVersion="3" recordCount="3240" xr:uid="{802D880A-952F-4C77-B337-C39833E1DB04}">
  <cacheSource type="worksheet">
    <worksheetSource name="Tabla3"/>
  </cacheSource>
  <cacheFields count="17">
    <cacheField name="Key" numFmtId="0">
      <sharedItems containsBlank="1"/>
    </cacheField>
    <cacheField name="Split" numFmtId="0">
      <sharedItems containsString="0" containsBlank="1" containsNumber="1" containsInteger="1" minValue="1" maxValue="40" count="41">
        <n v="4"/>
        <n v="5"/>
        <n v="6"/>
        <n v="7"/>
        <n v="8"/>
        <n v="9"/>
        <n v="10"/>
        <n v="11"/>
        <n v="12"/>
        <n v="13"/>
        <n v="14"/>
        <n v="15"/>
        <n v="16"/>
        <n v="17"/>
        <n v="18"/>
        <n v="19"/>
        <n v="20"/>
        <n v="21"/>
        <n v="22"/>
        <n v="23"/>
        <n v="24"/>
        <n v="25"/>
        <n v="26"/>
        <n v="27"/>
        <n v="28"/>
        <n v="29"/>
        <n v="30"/>
        <m/>
        <n v="1" u="1"/>
        <n v="2" u="1"/>
        <n v="3" u="1"/>
        <n v="31" u="1"/>
        <n v="32" u="1"/>
        <n v="33" u="1"/>
        <n v="34" u="1"/>
        <n v="35" u="1"/>
        <n v="36" u="1"/>
        <n v="37" u="1"/>
        <n v="38" u="1"/>
        <n v="39" u="1"/>
        <n v="40" u="1"/>
      </sharedItems>
    </cacheField>
    <cacheField name="Station" numFmtId="0">
      <sharedItems containsString="0" containsBlank="1" containsNumber="1" containsInteger="1" minValue="0" maxValue="40" count="42">
        <n v="1"/>
        <n v="2"/>
        <n v="3"/>
        <n v="4"/>
        <n v="5"/>
        <n v="6"/>
        <n v="7"/>
        <n v="8"/>
        <n v="9"/>
        <n v="10"/>
        <n v="11"/>
        <n v="12"/>
        <n v="13"/>
        <n v="14"/>
        <n v="15"/>
        <n v="16"/>
        <n v="17"/>
        <n v="18"/>
        <n v="19"/>
        <n v="20"/>
        <n v="21"/>
        <n v="22"/>
        <n v="23"/>
        <n v="24"/>
        <n v="25"/>
        <n v="26"/>
        <n v="27"/>
        <n v="28"/>
        <n v="29"/>
        <n v="30"/>
        <m/>
        <n v="31" u="1"/>
        <n v="32" u="1"/>
        <n v="33" u="1"/>
        <n v="34" u="1"/>
        <n v="35" u="1"/>
        <n v="36" u="1"/>
        <n v="37" u="1"/>
        <n v="38" u="1"/>
        <n v="39" u="1"/>
        <n v="40" u="1"/>
        <n v="0" u="1"/>
      </sharedItems>
    </cacheField>
    <cacheField name="Hour" numFmtId="0">
      <sharedItems containsBlank="1" count="17">
        <s v="9:00 P.M."/>
        <s v="10:00 P.M."/>
        <s v="24 Hrs"/>
        <s v="11:00 P.M."/>
        <s v="8:00 P.M."/>
        <s v="12:00 A.M."/>
        <s v="4:30 P.M."/>
        <s v="9:30 P.M."/>
        <m/>
        <s v="5:30 P.M." u="1"/>
        <s v="1:00 A.M." u="1"/>
        <s v="6:30 P.M." u="1"/>
        <s v="10:30 P.M." u="1"/>
        <s v="7:30 P.M." u="1"/>
        <s v="7:00 A.M." u="1"/>
        <s v="2:00 A.M." u="1"/>
        <s v="6:00 P.M." u="1"/>
      </sharedItems>
    </cacheField>
    <cacheField name="Time" numFmtId="0">
      <sharedItems containsBlank="1" count="7">
        <s v="ET"/>
        <s v="CT"/>
        <s v="MT"/>
        <s v="MST"/>
        <s v="PT"/>
        <m/>
        <s v="ML" u="1"/>
      </sharedItems>
    </cacheField>
    <cacheField name="Site" numFmtId="0">
      <sharedItems containsBlank="1" count="388">
        <s v="(AS) Coggin Honda Ft. Pierce (NO TOURS)"/>
        <s v="(AS) Lexus Plano I &amp; II (NO TOURS)"/>
        <s v="(AS) Mercedes Benz/Porsche Dallas I,II,III (NO TOURS)"/>
        <s v="(AS) Nalley BMW Collision Center (NO TOURS)"/>
        <s v="(AS) Nalley Lexus &amp; Remote Lot Roswell (NO TOURS)"/>
        <s v="(AS) Park Place Mercedes Benz Ft. Worth (NO TOURS)"/>
        <s v="(AS) Park Place Sprinter Van Center (NO TOURS)"/>
        <s v="(AS) Stevinson Porsche of Littleton (NO TOURS)"/>
        <s v="(AS) Stevinson Toyota West (NO TOURS)"/>
        <s v="(DT) N. Houston"/>
        <s v="(DT) W Houston"/>
        <s v="(HUD) Honda of Southpoint"/>
        <s v="(HUD) Nissan Greensboro"/>
        <s v="(KG) Texan CDJR"/>
        <s v="(KG) Truck Center Remote Storage Lot"/>
        <s v="(KT) Northwest CDJR (NO TOURS)"/>
        <s v="(ML) Honda of Little Rock"/>
        <s v="(ML) Joe Machens Capital City I &amp; II (NO TOURS)"/>
        <s v="(ML) Joe Machens Toyota"/>
        <s v="(ML) Joe Machens VW"/>
        <s v="(ML) Nissan of North Little Rock"/>
        <s v="(ML) Toyota N Little Rock"/>
        <s v="(PE) Fairfield Collision (NO TOURS)"/>
        <s v="(PE) Mercedes Benz &amp; Smart Bldg. of Fairfield (NO TOURS)"/>
        <s v="(RV) Toms Camperland Avondale (NO TOURS)"/>
        <s v="(RV) Toms Camperland Mesa (NO TOURS)"/>
        <s v="(SCH) Delray I &amp; II"/>
        <s v="(AS) Coggin Acura Ft Pierce (NO TOURS)"/>
        <s v="(AS) Coggin Mercedes Benz Ft Pierce (NO TOURS)"/>
        <s v="(AS) Lexus Grapevine I &amp; II (NO TOURS)"/>
        <s v="(AS) Lexus Smyrna (NO TOURS)"/>
        <s v="(AS) Nalley Luxury Collision Center (NO TOURS)"/>
        <s v="(AS) Park Place Acura (NO TOURS)"/>
        <s v="(AS) Park Place Volvo Sales (NO TOURS)"/>
        <s v="(AS) Stevinson Lexus of Lakewood (NO TOURS)"/>
        <s v="(DT) Albuquerque"/>
        <s v="(DT) Wichita"/>
        <s v="(HUD) Honda Greensboro"/>
        <s v="(HUD) Paint and Body Center (NO TOURS)"/>
        <s v="(KG) Clear Lake Pre-Owned"/>
        <s v="(KG) Kia of Phoenix (NO TOURS)"/>
        <s v="(KG) Texan GMC Buick (NO TOURS)"/>
        <s v="(ML) Ford Lincoln of North Little Rock"/>
        <s v="(ML) Joe Machens CDJR"/>
        <s v="(ML) Joe Machens Temporary 2.0"/>
        <s v="(ML) Mazda VW-Lot B"/>
        <s v="(ML) Nissan of Little Rock"/>
        <s v="(ML) Volvo Collision Corp"/>
        <s v="(PE) BMW Tenafly (NO TOURS)"/>
        <s v="(PE) Honda of Danbury (NO TOURS)"/>
        <s v="(PE) JLR PDI (NO TOURS)"/>
        <s v="(RV) Toms Camperland Surprise (NO TOURS)"/>
        <s v="(SCH) Chevrolet North Palm"/>
        <s v="(SCH) Prep Center Delray"/>
        <s v="(SCH) West Palm Beach I, II &amp; III"/>
        <s v="(AS) Bill Estes Ford (NO TOURS)"/>
        <s v="(AS) Courtesy CDJR of Brandon (NO TOURS)"/>
        <s v="(AS) Courtesy Kia of Brandon (NO TOURS)"/>
        <s v="(AS) David McDavid Lincoln Frisco (NO TOURS)"/>
        <s v="(AS) Park Place Bodywerks Dallas (NO TOURS)"/>
        <s v="(AS) Park Place MB Recon Center Dallas (NO TOURS)"/>
        <s v="(AS) Park Place Mercedes Benz Arlington (NO TOURS)"/>
        <s v="(AS) Park Place Volvo Service Center (NO TOURS)"/>
        <s v="(AS) Plaza Lexus/Mercedes/BMW (NO TOURS)"/>
        <s v="(AS) Stevinson JLR (NO TOURS)"/>
        <s v="(DT) Colorado Springs (NO TOURS)"/>
        <s v="(DT) El Cajon (NO TOURS)"/>
        <s v="(DT) Louisville"/>
        <s v="(HUD) CDJR of Greensboro"/>
        <s v="(JE) Jim Ellis Ford Sandy Springs"/>
        <s v="(KG) Baytown GMC Buick - Remote Lot (NO TOURS)"/>
        <s v="(KG) Baytown GMC Buick (NO TOURS)"/>
        <s v="(KG) Big Star Honda"/>
        <s v="(KG) JLR LEHI (NO TOURS)"/>
        <s v="(LM) Luther Mazda / Mitsubishi"/>
        <s v="(ML) Columbia Honda (NO TOURS)"/>
        <s v="(ML) Joe Machens E Collision Center"/>
        <s v="(ML) Joe Machens Ford Lincoln I &amp; II"/>
        <s v="(ML) Joe Machens Nissan"/>
        <s v="(ML) McLarty Gray-Daniels Ford Lincoln"/>
        <s v="(ML) Nissan Of Benton"/>
        <s v="(PE) Hudson Toyota Nissan CDJR (NO TOURS)"/>
        <s v="(RML) Burleson Nissan"/>
        <s v="(SCH) Auto Body Shop Lake Park"/>
        <s v="(TC) Tavernier Creek Marina (NO TOURS)"/>
        <s v="SIG Office"/>
        <s v="(AS) Atwell Prep Center-Dallas (NO TOURS)"/>
        <s v="(AS) Audi of North Atlanta (NO TOURS)"/>
        <s v="(AS) Courtesy Honda Palm Harbor (NO TOURS)"/>
        <s v="(AS) Courtesy Hyundai/Nissan Tampa (NO TOURS)"/>
        <s v="(AS) David McDavid Honda I &amp; II (NO TOURS)"/>
        <s v="(AS) Mike Shaw Subaru Greeley (NO TOURS)"/>
        <s v="(AS) Park Place Bodywerks Ft. Worth (NO TOURS)"/>
        <s v="(AS) Park Place JLR DFW Airport (NO TOURS)"/>
        <s v="(AS) Plano Auction (NO SPEAKERS)"/>
        <s v="(AS) Plaza Audi/Infiniti (NO TOURS)"/>
        <s v="(AS) Stevinson Chevrolet Golden (NO TOURS)"/>
        <s v="(DT) Denver (NO TOURS)"/>
        <s v="(DT) Escondido"/>
        <s v="(HUD) Acura of Greensboro"/>
        <s v="(HUD) BMW of Greensboro"/>
        <s v="(KG) Big Star CDJR of Clear Lake"/>
        <s v="(KG) Big Star Ford"/>
        <s v="(KG) Hyundai Surprise"/>
        <s v="(MK) McKenny Salinas Honda"/>
        <s v="(ML) BMW of Little Rock"/>
        <s v="(ML) Collision Center N Little Rock"/>
        <s v="(ML) Joe Machens Kia of Columbia"/>
        <s v="(ML) McLarty Gray-Daniels Toyota Nissan"/>
        <s v="(ML) McLarty-Gray Daniels Chevrolet"/>
        <s v="(PE) BMW of Greenwich (NO TOURS)"/>
        <s v="(PE) BMW of Mamaroneck (NO TOURS)"/>
        <s v="(PE) JLR Darien PDI (NO TOURS)"/>
        <s v="(PE) Scofield Service Center (NO TOURS)"/>
        <s v="(RV) Sonny's Camp N Travel Concord"/>
        <s v="(WAG) Greeley Chrysler Dodge Jeep Ram (NO TOURS)"/>
        <m/>
        <s v="(AS) Park Place Mercedes Benz Ft. Worth" u="1"/>
        <s v="(AS) Park Place Sprinter Van Center" u="1"/>
        <s v="(AS) Park Place Mercedes Benz Arlington" u="1"/>
        <s v="(AS) Park Place Volvo Sales" u="1"/>
        <s v="(AS) Stevinson Lexus of Lakewood" u="1"/>
        <s v="(AS) Park Place Bodywerks Dallas" u="1"/>
        <s v="(AS) Park Place MB Recon Center Dallas" u="1"/>
        <s v="(AS) Park Place Volvo Service Center" u="1"/>
        <s v="(AS) Park Place Bodywerks Ft. Worth" u="1"/>
        <s v="(AS) Park Place JLR DFW Airport" u="1"/>
        <s v="(AS) Nalley BMW Collision Center" u="1"/>
        <s v="(AS) Nalley Lexus &amp; Remote Lot Roswell" u="1"/>
        <s v="(AS) Nalley Luxury Collision Center" u="1"/>
        <s v="(AS) Park Place Acura" u="1"/>
        <s v="(AS) Lexus Plano I &amp; II" u="1"/>
        <s v="(AS) Mercedes Benz/Porsche Dallas I,II,III" u="1"/>
        <s v="(AS) Lexus Grapevine I &amp; II" u="1"/>
        <s v="(AS) Courtesy Kia of Brandon" u="1"/>
        <s v="(AS) David McDavid Lincoln Frisco" u="1"/>
        <s v="(AS) Courtesy Hyundai/Nissan Tampa" u="1"/>
        <s v="(AS) David McDavid Honda I &amp; II" u="1"/>
        <s v="(AS) Coggin Honda Ft. Pierce" u="1"/>
        <s v="(AS) Coggin Mercedes Benz Ft Pierce" u="1"/>
        <s v="(AS) Courtesy CDJR of Brandon" u="1"/>
        <s v="(AS) Coggin Acura Ft Pierce" u="1"/>
        <s v="(AS) Audi of North Atlanta" u="1"/>
        <s v="(AS) Atwell Prep Center-Dallas" u="1"/>
        <s v="(PE) JLR Darien (NO TOURS)" u="1"/>
        <s v="(AS) Mike Shaw CDJR &amp; Truck Center (NO TOURS)" u="1"/>
        <s v="(DT) Arlington" u="1"/>
        <s v="(PE) Porsche Audi Fairfield (NO TOURS)" u="1"/>
        <s v="(DT) Modesto" u="1"/>
        <s v="(DT) El Cajon" u="1"/>
        <s v="(KG) Big Star Cadillac" u="1"/>
        <s v="Lehigh Acres" u="1"/>
        <s v="(SCH) Parts Warehouse Lake Worth" u="1"/>
        <s v="SIG Office Trailer" u="1"/>
        <s v="(BRL) Shoemakersville" u="1"/>
        <s v="(PE) CarShop South Brunswick (NO TOURS)" u="1"/>
        <s v="(PE) JLR Englewood (NO TOURS)" u="1"/>
        <s v="(KG) Northwest CDJR (NO TOURS)" u="1"/>
        <s v="(PE) JLR Paramus (NO TOURS)" u="1"/>
        <s v="(PE) BMW Service Center (NO TOURS)" u="1"/>
        <s v="Mario Residence" u="1"/>
        <s v="(PE) Mercedes Benz Greenwich (NO TOURS)" u="1"/>
        <s v="(AS) Mike Shaw Subaru Greeley" u="1"/>
        <s v="(AS) Plaza Audi/Infiniti" u="1"/>
        <s v="(AS) Plaza Lexus/Mercedes/BMW" u="1"/>
        <s v="(KG) Northwest CDJR" u="1"/>
        <s v="(AS) Nalley Lexus Roswell" u="1"/>
        <s v="(AS) Coggin BMW Ft Pierce (NO TOURS)" u="1"/>
        <s v="(AN) BMW of Vista" u="1"/>
        <s v="(AN) CDJR Main Mobile" u="1"/>
        <s v="(AN) Chevrolet Arrowhead" u="1"/>
        <s v="(AN) Chevrolet Gilbert (NO TOURS)" u="1"/>
        <s v="(AN) Collision Center Austin" u="1"/>
        <s v="(AN) Collision Center Bellevue" u="1"/>
        <s v="(AN) Collision Center Ft Worth" u="1"/>
        <s v="(AN) Collision Center Las Vegas (NO TOURS)" u="1"/>
        <s v="(AN) Collision Center Littleton" u="1"/>
        <s v="(AN) Fleet Mechanical White Bear Lake (NO TOURS)" u="1"/>
        <s v="(AN) Ford White Bear Lake Remote (NO TOURS)" u="1"/>
        <s v="(AN) Honda Clearwater" u="1"/>
        <s v="(AN) Honda Columbus" u="1"/>
        <s v="(AN) Honda Memphis" u="1"/>
        <s v="(AN) JLR Woodland Hills (NO TOURS)" u="1"/>
        <s v="(AN) Honda &amp; Recon Center Roseville" u="1"/>
        <s v="(AN) Infiniti Tustin" u="1"/>
        <s v="(AN) Honda Tucson" u="1"/>
        <s v="(AN) Auto Auction Orlando (NO TOURS)" u="1"/>
        <s v="(AN) Chevrolet Coral Gables" u="1"/>
        <s v="(AN) Chevrolet/Buick GMC Laurel" u="1"/>
        <s v="(AN) Chevrolet West Colonial" u="1"/>
        <s v="(AN) BMW of Delray Beach" u="1"/>
        <s v="(AN) Collision Center Spring" u="1"/>
        <s v="(AN) Ford Panama City (NO TOURS)" u="1"/>
        <s v="(AN) Ford Katy" u="1"/>
        <s v="(AN) Ford Mobile" u="1"/>
        <s v="(AN) Porsche McKinney" u="1"/>
        <s v="(AN) JLR W Houston" u="1"/>
        <s v="(AN) Collision Center Denver" u="1"/>
        <s v="(AN) Remote Lot Chevrolet Coral Gables" u="1"/>
        <s v="(AN) Remote Sites (Colorado - Delray - Houston - Nashville)" u="1"/>
        <s v="(AN) Collision Center Miami Gardens" u="1"/>
        <s v="(AN) Acura Gulf Freeway" u="1"/>
        <s v="(AN) Audi Arrowhead" u="1"/>
        <s v="(AN) Collision Center Ft. Lauderdale" u="1"/>
        <s v="(AN) JLR Bethesda (NO TOURS)" u="1"/>
        <s v="(AN) JLR White Plains" u="1"/>
        <s v="(AN) Parts Center Spokane" u="1"/>
        <s v="(AN) Porsche Bellevue" u="1"/>
        <s v="(AN) Porsche Bellevue Remote Service" u="1"/>
        <s v="(AN) Ford Ft Worth I &amp; II" u="1"/>
        <s v="(AN) Mercedes Benz Greenway Houston" u="1"/>
        <s v="(AN) CDJR Springs I &amp; II" u="1"/>
        <s v="(AN) Chevrolet North Corpus Christi" u="1"/>
        <s v="(AN) Chevrolet North Richland Hills" u="1"/>
        <s v="(AN) Honda Costa Mesa" u="1"/>
        <s v="(AN) Parts Center Roseville" u="1"/>
        <s v="(AN) Toyota Arapahoe (NO SPEAKERS)" u="1"/>
        <s v="(AN) USA Austin" u="1"/>
        <s v="(AN) Hyundai North Columbus" u="1"/>
        <s v="(AN) CDJR North Richland Hills" u="1"/>
        <s v="(AN) Toyota Gulf Freeway" u="1"/>
        <s v="(AN) Toyota South Austin (Dealer)" u="1"/>
        <s v="(AN) USA Corpus Christi" u="1"/>
        <s v="(AN) Collision Center Maple (Dallas)" u="1"/>
        <s v="(AN) Hyundai North Richland Hills" u="1"/>
        <s v="(AN) Collision Center Columbus" u="1"/>
        <s v="(AN) Collision Center Delray" u="1"/>
        <s v="(AN) Hyundai Mall of Georgia" u="1"/>
        <s v="(AN) Lexus Clearwater (NO SPEAKERS)" u="1"/>
        <s v="(AN) Mercedes Benz Ft. Lauderdale" u="1"/>
        <s v="(AN) Auto Auction Houston" u="1"/>
        <s v="(AN) BMW of the Woodlands" u="1"/>
        <s v="(AN) Hyundai Tempe" u="1"/>
        <s v="(AN) USA Charleston" u="1"/>
        <s v="(AN) USA Houston" u="1"/>
        <s v="(AN) USA San Antonio" u="1"/>
        <s v="(AN) Audi Las Vegas (NO TOURS)" u="1"/>
        <s v="(AN) Auto Auction Los Angeles" u="1"/>
        <s v="(AN) Mercedes Benz Naperville" u="1"/>
        <s v="(AN) Laurel BMW of Westmont(NO TOURS)" u="1"/>
        <s v="(AN) Ford Union City" u="1"/>
        <s v="(AN) Auto Auction Atlanta" u="1"/>
        <s v="(AN) Ford Brooksville" u="1"/>
        <s v="(AN) Ford North Canton" u="1"/>
        <s v="(AN) Mercedes Benz Pembroke Pines" u="1"/>
        <s v="(AN) Nissan Pembroke Pines" u="1"/>
        <s v="(AN) Nissan Tempe" u="1"/>
        <s v="(AN) Parts Center Clearwater" u="1"/>
        <s v="(AN) Subaru Roseville" u="1"/>
        <s v="(AN) Toyota Mall of Georgia" u="1"/>
        <s v="(AN) Toyota Irvine" u="1"/>
        <s v="(AN) USA Henderson (NO TOURS)" u="1"/>
        <s v="(AN) Volkswagen North Columbus" u="1"/>
        <s v="(AN) Collision Center Galleria" u="1"/>
        <s v="(AN) Ford South Ft Worth" u="1"/>
        <s v="(AN) JLR Southbay (NO TOURS)" u="1"/>
        <s v="(AN) Mercedes Benz Parts Warehouse" u="1"/>
        <s v="(AN) Subaru Scottsdale" u="1"/>
        <s v="(AN) Mini of the Woodlands" u="1"/>
        <s v="(AN) USA 104 (NO TOURS)" u="1"/>
        <s v="(AN) Toyota South Austin (Service)" u="1"/>
        <s v="(AN) USA Phoenix" u="1"/>
        <s v="(HUD) Paint and Body Center" u="1"/>
        <s v="(AN) BMW Westmont (NO TOURS)" u="1"/>
        <s v="SIG Office Miami" u="1"/>
        <s v="(AS) Lexus Plano" u="1"/>
        <s v="(AS) Lexus Plano II" u="1"/>
        <s v="(AS) Lexus Grapevine I" u="1"/>
        <s v="(AS) Lexus Grapevine II" u="1"/>
        <s v="(SCH) West Palm Beach NVR III" u="1"/>
        <s v="(SCH) West Palm Beach I" u="1"/>
        <s v="(SCH) West Palm Beach II" u="1"/>
        <s v="(SCH) Delray II" u="1"/>
        <s v="(SCH) Delray" u="1"/>
        <s v="(AN) Ford Ft Worth" u="1"/>
        <s v="(AN) Ford Ft Worth II" u="1"/>
        <s v="(AN) CDJR Springs I" u="1"/>
        <s v="(AN) CDJR Springs II" u="1"/>
        <s v="(RML) Burleson Nissan " u="1"/>
        <s v="(AN) Remote Lot West Sahara" u="1"/>
        <s v="(AN) Ford Panama City &amp; Pre-Owned (NO TOURS)" u="1"/>
        <s v="(SCH) Auto BodyShop Lake Park " u="1"/>
        <s v="(SCH) Delray  II" u="1"/>
        <s v="(AN) Audi Peoria" u="1"/>
        <s v="(KG) Texan GMC Buick (NO TOURS) " u="1"/>
        <s v="(PE) Penske Hudson Toyota Nissan CDJR (NO TOURS)" u="1"/>
        <s v="(HUD) Crown Nissan Greensboro " u="1"/>
        <s v="(AN) Ford North Canton " u="1"/>
        <s v="(HUD) Crown BMW of Greensboro" u="1"/>
        <s v="(HUD) Crown BWM of Greensboro" u="1"/>
        <s v="(HUD) Crown Nissan Greensboro" u="1"/>
        <s v="(DT) El Cajon " u="1"/>
        <s v="(AN) Auto Auction Orlando (NO SPEAKERS)" u="1"/>
        <s v="(AN) USA Austin " u="1"/>
        <s v="(AN) Chevy N Corpus Christi" u="1"/>
        <s v="(AN) Mercedes Benz Ft. Lauderdale " u="1"/>
        <s v="(PE ) Scofield Service Center (NO TOURS)" u="1"/>
        <s v="(RVS) Sonny's RV  Camp N Travel Concord" u="1"/>
        <s v="(DT) Louisville " u="1"/>
        <s v="(RV) RV Sonny's Camp N Travel " u="1"/>
        <s v="(AN) Toyota Arapahoe" u="1"/>
        <s v="(AN) USA Phoenix " u="1"/>
        <s v="(RV) Toms Camperland Mesa (NO TOURS) " u="1"/>
        <s v="(AN) Auto Auction Houston " u="1"/>
        <s v="(AN) Porsche Bellevue " u="1"/>
        <s v="(AN) JLR W Houston " u="1"/>
        <s v="(RV) Sonny's RV Camp N Travel Concord" u="1"/>
        <s v="(PE ) JLR Darien (NO TOURS)" u="1"/>
        <s v="_x0009_(HUD) Crown CDJR of Greensboro" u="1"/>
        <s v="(AS) David McDavid Lincoln Frisco " u="1"/>
        <s v="(AN) USA Houston " u="1"/>
        <s v="(AN) Collision  Center Miami Gardens" u="1"/>
        <s v="(ML) Joe Machens Capital City I &amp; II  (NO TOURS)" u="1"/>
        <s v="(DT) Albuquerque " u="1"/>
        <s v="(ML) Honda of Little Rock " u="1"/>
        <s v="(AN) USA San Antonio " u="1"/>
        <s v="RML Burleson Nissan " u="1"/>
        <s v="(AN) USA Corpus Christi  " u="1"/>
        <s v="(KG) Baytown GMC Buick (NO TOURS) " u="1"/>
        <s v="(HUD) Crown Acura of Greensboro" u="1"/>
        <s v="(HUD) Crown Paint and Body Center" u="1"/>
        <s v="(ML) Columbia Honda" u="1"/>
        <s v="(SCH) Auto Body Shop Lake Park " u="1"/>
        <s v="(AN) Parts Center Spokane " u="1"/>
        <s v="RML Burleson Nissan" u="1"/>
        <s v="(HUD) Crown Paint and Body Centre " u="1"/>
        <s v="(PE ) Honda of Danbury (NO TOURS)" u="1"/>
        <s v="(PE) Car Shop South Brunswick (NO TOURS)" u="1"/>
        <s v="(ML) Nissa Of Benton" u="1"/>
        <s v="(AN) Collision Center Ft. Lauderdale " u="1"/>
        <s v="(AS) Stevinson Chevrolet Golden" u="1"/>
        <s v="(ML) BMW of Little Rock_x0009_" u="1"/>
        <s v="(AN) Collision Center Columbus " u="1"/>
        <s v="(AN) Collision Center Galleria " u="1"/>
        <s v="(ML) Nissan of Little Rock " u="1"/>
        <s v="(ML) Nissan of North Little Rock " u="1"/>
        <s v="MARIO'S Residence" u="1"/>
        <s v="(AN) Mercedes Benz FT Lauderdale " u="1"/>
        <s v="(ML) Nissan Of Benton " u="1"/>
        <s v="(AN) Mercedes Benz FT Lauderdale" u="1"/>
        <s v="(AN) JLR White Plains " u="1"/>
        <s v="(DT) N. Houston " u="1"/>
        <s v="(RVS) Sonny's RV Camp N Travel Concord" u="1"/>
        <s v="(RVS) Sonny's Camp N Travel Concord" u="1"/>
        <s v="(SCH) Auto BodyShop Lake Park" u="1"/>
        <s v="(KG) Texan CDJR " u="1"/>
        <s v="(HUD) Crown Paint and Body Centre" u="1"/>
        <s v="(PE )  Honda of Danbury (NO TOURS)" u="1"/>
        <s v="(RVS) RV Sonny's Camp N Travel" u="1"/>
        <s v="SIG Las Vegas Office" u="1"/>
        <s v="(LM) Luther Mazda / Mitsubishi " u="1"/>
        <s v="(KG) CDJR of Clear Lake" u="1"/>
        <s v="(ML) Joe Machens Capital City I &amp; II" u="1"/>
        <s v="(ML) Joe Machens Capital City Ford Lincoln I &amp; II (NO TOURS)" u="1"/>
        <s v="(AS) Courtesy of Kia of Brandon" u="1"/>
        <s v="(RVS) RV Sonny's Camp N Travel " u="1"/>
        <s v="(AS) Audi of North Atlanta " u="1"/>
        <s v="(ML) Joe Machens Hyundai" u="1"/>
        <s v="(AN) Subaru Roseville " u="1"/>
        <s v="(KG) Clear Lake Pre-Owned " u="1"/>
        <s v="(AS) Nalley BMW Collision" u="1"/>
        <s v="(AN) Mercedes Benz Parts Warehouse " u="1"/>
        <s v="(PE)  Honda of Danbury (NO TOURS)" u="1"/>
        <s v="(AN) Roseville Parts Warehouse" u="1"/>
        <s v="(HUD) Crown CDJR of Greensboro" u="1"/>
        <s v="(AN) AN Remote Lot Chevrolet Coral Gables" u="1"/>
        <s v="(AN) BMW Vista" u="1"/>
        <s v="(AN) USA Corpus Christi " u="1"/>
        <s v="(AN) Auto Auction Los Angeles " u="1"/>
        <s v="(AS) David McDavid Honda I &amp; II " u="1"/>
        <s v="(LM) Luther Mazda/Mitsubishi" u="1"/>
        <s v="(DT) Louisville KY" u="1"/>
        <s v="(AN) Mercedes Benz Naperville " u="1"/>
        <s v="(HUD) Crown Honda of Southpoint" u="1"/>
        <s v="(AS) Lexus Smyrna" u="1"/>
        <s v="(AN) Chevrolet/Buick GMC Laurel " u="1"/>
        <s v="(AN) Ford Panama City and Pre-Owned (NO TOURS)" u="1"/>
        <s v="(KG) Big Star Honda " u="1"/>
        <s v="(AN) Jaguar Land Rover South Bay (NO TOURS)" u="1"/>
        <s v="PE Mercedes Benz &amp; Smart Bldg. of Fairfield (NO TOURS)" u="1"/>
        <s v="(ML) Joe Machens Capital City Ford Lincoln" u="1"/>
        <s v="(RV) RV Sonny's Camp N Travel" u="1"/>
        <s v="(AN) Auto Auction Atlanta " u="1"/>
        <s v="(HUD) Crown Honda Greensboro" u="1"/>
        <s v="(KG) Big Star Ford " u="1"/>
        <s v="(AN) USA Charleston " u="1"/>
        <s v="(AN) Ford Union City " u="1"/>
        <s v="(AS) Coggins Mercedes Benz Ft Pierce " u="1"/>
      </sharedItems>
    </cacheField>
    <cacheField name="Drop time" numFmtId="0">
      <sharedItems containsBlank="1" count="15">
        <s v="5:00 A.M."/>
        <s v="6:00 A.M."/>
        <s v="N/A"/>
        <s v="7:00 A.M."/>
        <s v="8:00 A.M."/>
        <s v="1:00 P.M."/>
        <s v="4:30 A.M."/>
        <m/>
        <s v="9:00 A.M." u="1"/>
        <s v="5:30 A.M." u="1"/>
        <s v="6:00 P.M." u="1"/>
        <s v="11:00 A.M." u="1"/>
        <s v="10:00 A.M." u="1"/>
        <s v="8:00  A.M." u="1"/>
        <s v="5.00 A.M." u="1"/>
      </sharedItems>
    </cacheField>
    <cacheField name="SIG Tools" numFmtId="0">
      <sharedItems/>
    </cacheField>
    <cacheField name="Map" numFmtId="0">
      <sharedItems containsBlank="1"/>
    </cacheField>
    <cacheField name="SUNDAY (D.T.)" numFmtId="0">
      <sharedItems containsBlank="1" count="14">
        <s v="10:00 A.M."/>
        <s v="N/A"/>
        <s v="1:00 P.M."/>
        <s v="11:00 A.M."/>
        <s v="12:00 P.M."/>
        <s v="8:00 A.M."/>
        <s v="7:00 A.M."/>
        <m/>
        <s v="2:00 P.M." u="1"/>
        <s v="12:30 P.M." u="1"/>
        <s v="11:30 A.M." u="1"/>
        <s v="11:00 a.m" u="1"/>
        <s v="11:00 P.M." u="1"/>
        <s v="10:00 a.m" u="1"/>
      </sharedItems>
    </cacheField>
    <cacheField name="Notes*" numFmtId="165">
      <sharedItems containsBlank="1" containsMixedTypes="1" containsNumber="1" containsInteger="1" minValue="0" maxValue="0" count="8">
        <s v="-"/>
        <s v="Dealership 11PM to 5AM (Mon to Fri). Sunday Drop Time 1PM"/>
        <s v="SUNDAY: Log in at 5:30 p.m. ET."/>
        <s v="{Protect employee vehicles:(Mon-Fri: 7:00-18:00)+(Sat: 7:00-14:00)} All other times focus on protecting our trailer"/>
        <s v="Saturday Drop Time 9:00 A.M."/>
        <m/>
        <e v="#N/A"/>
        <n v="0" u="1"/>
      </sharedItems>
    </cacheField>
    <cacheField name="Gates" numFmtId="0">
      <sharedItems containsBlank="1" containsMixedTypes="1" containsNumber="1" containsInteger="1" minValue="0" maxValue="24" count="83">
        <s v="1, 2, 3, 4, 14"/>
        <s v="5, 9"/>
        <s v="3, 4, 17, 26, 41"/>
        <s v="-"/>
        <s v="6, 13"/>
        <s v="4, 18"/>
        <n v="1"/>
        <s v="3, 4"/>
        <s v="2, 10, 18"/>
        <n v="7"/>
        <s v="2, 12, 18"/>
        <s v="1, 5, 12"/>
        <s v="11, 12, 13, 14, 20, 32, 34, 36, 77"/>
        <s v="4, A23, A49"/>
        <s v="1, 3, 11, 25"/>
        <s v="1, 4, 9, 14, 21"/>
        <s v="2, 4"/>
        <s v="4, 15, 18, 22, 23, 26"/>
        <n v="4"/>
        <n v="10"/>
        <s v="1, 2"/>
        <s v="5, 28, 31"/>
        <n v="18"/>
        <s v="4, 10, 14, 18, 33"/>
        <s v="2, 6, 10 "/>
        <s v="1, 2, 14, 16"/>
        <s v="4, 6, 9, 11"/>
        <s v="14, 16"/>
        <s v="1, 3,  15, 16, 22"/>
        <s v="3, 5"/>
        <s v="5, 8, 23"/>
        <s v="1, 20, 53"/>
        <s v="4, 15, 18, 67, 74"/>
        <s v="9, 14, 16"/>
        <s v="3, 6"/>
        <s v="7, 11"/>
        <n v="24"/>
        <s v="3, 8"/>
        <s v="1, 3, 4"/>
        <s v="7, 10B, 11, 15 "/>
        <s v="2,3"/>
        <s v="34, 62"/>
        <s v="1, 14, 15"/>
        <s v="1, 2, 11"/>
        <n v="3"/>
        <s v="3, 39"/>
        <s v="1, 9, 14"/>
        <s v="3, 6, 9, 27, 31, 35"/>
        <s v="3, 4, 18"/>
        <n v="5"/>
        <s v="2, 12"/>
        <s v="1, 5"/>
        <s v="1, 5, 7, 21, 22"/>
        <s v="2, 17, 33"/>
        <s v="1, 11"/>
        <s v="4, 5, 6"/>
        <n v="16"/>
        <s v="5, 12"/>
        <s v="3, 21"/>
        <s v="3, 10"/>
        <s v="28, 29"/>
        <s v="4, 6, 7"/>
        <s v="1, 5, 16, 54"/>
        <n v="2"/>
        <s v="1, 16, 25, 27, 32"/>
        <s v="16, 17"/>
        <s v="2, 3, RemoteLot5, RemoteLot9"/>
        <s v="6, 7, 18"/>
        <s v="7, 25"/>
        <s v="1, 2, 6, 7, 9"/>
        <s v="2, 20, 21"/>
        <s v="8, 25"/>
        <s v="4, 22, 32, 33"/>
        <s v="1, 6, 7"/>
        <s v="3, 4, 5, 22, 24, 26, 28, 36"/>
        <s v="1, 6, 15"/>
        <n v="9"/>
        <s v="17, 23 &amp; 18"/>
        <e v="#N/A"/>
        <m/>
        <n v="8" u="1"/>
        <n v="0" u="1"/>
        <n v="23" u="1"/>
      </sharedItems>
    </cacheField>
    <cacheField name="Entrances" numFmtId="0">
      <sharedItems containsBlank="1" containsMixedTypes="1" containsNumber="1" containsInteger="1" minValue="0" maxValue="29" count="47">
        <s v="-"/>
        <n v="4"/>
        <n v="2"/>
        <s v="7, 18, 21"/>
        <n v="13"/>
        <s v="5, 24"/>
        <s v="1, 3, 4, 20, 25, 27, 28"/>
        <s v="1, 4, 6"/>
        <s v="1, 11, 18"/>
        <n v="1"/>
        <s v="2, 7"/>
        <s v="1, 29"/>
        <n v="6"/>
        <s v="1, 3"/>
        <s v="2, 10"/>
        <s v="10, 11"/>
        <n v="3"/>
        <s v="1, 11, 14, 15, 16"/>
        <s v="1, 3, 4, 17, 23"/>
        <s v="20, 9"/>
        <s v="6, 7, 11, 13, "/>
        <s v="2, 3, 13, 16"/>
        <s v="4, 8"/>
        <s v="9, 10, 12, 13, 16, 17"/>
        <s v="1, 2, 3, 4"/>
        <s v="7, 8"/>
        <s v="9, 19, 20"/>
        <s v="4, 6, 9, 13, 14, 17, 26, 27, 28, 29, 30"/>
        <s v="1, 3, 16"/>
        <s v="5, 10, 36, 38, 54, 58B"/>
        <s v="3, 7, 18"/>
        <s v="3, 19, 23, 32, 35"/>
        <n v="10"/>
        <s v="70, 79, 80"/>
        <s v="3, 4, 19"/>
        <s v="15, 17, 18"/>
        <s v="1, 19"/>
        <s v="12, 16"/>
        <n v="14"/>
        <s v="1, 2, 5, 6, 9, 13, 15"/>
        <s v="8, 11, 39, 43"/>
        <s v="2, 3, 4, 5"/>
        <s v="4, 5, 6, 7, 8, 51, 55"/>
        <e v="#N/A"/>
        <m/>
        <n v="0" u="1"/>
        <n v="29" u="1"/>
      </sharedItems>
    </cacheField>
    <cacheField name="LPR" numFmtId="0">
      <sharedItems containsBlank="1" containsMixedTypes="1" containsNumber="1" containsInteger="1" minValue="0" maxValue="9" count="17">
        <s v="-"/>
        <s v="101, 102, 103, 104"/>
        <s v="153, 154, 155, 156, 157, 158"/>
        <n v="1"/>
        <s v="54, 55"/>
        <s v="67, 68, 69, 70"/>
        <n v="6"/>
        <s v="81, 82, 83"/>
        <s v="9, 17"/>
        <n v="9"/>
        <s v="20, 21"/>
        <s v="77, 78, 79, 80"/>
        <s v="1, 2"/>
        <s v="83, 84"/>
        <e v="#N/A"/>
        <m/>
        <n v="0" u="1"/>
      </sharedItems>
    </cacheField>
    <cacheField name="PTZ" numFmtId="0">
      <sharedItems containsBlank="1" containsMixedTypes="1" containsNumber="1" containsInteger="1" minValue="0" maxValue="84" count="83">
        <s v="7, 11, 15"/>
        <s v="4, 10, 28"/>
        <s v="2, 6, 10, 20, 28, 30, 36"/>
        <n v="12"/>
        <s v="1, 8, 19"/>
        <s v="2, 18"/>
        <s v="-"/>
        <s v="11, 24, 34"/>
        <n v="15"/>
        <n v="14"/>
        <s v="2, 15"/>
        <s v="2, 10, 14, 25, 29, 35, 38"/>
        <s v="1, 7, 11, 15, 19, 24, 25"/>
        <s v="4, 12, 18"/>
        <s v="4, 14, 21"/>
        <n v="29"/>
        <s v="4, 10"/>
        <n v="17"/>
        <s v="5, 17, 23"/>
        <s v="2, 12, 13, 18"/>
        <s v="11, 13"/>
        <s v="4, 6"/>
        <s v="6, 10, 13"/>
        <s v="4, 12, 15, 20, 30"/>
        <s v="3, 5, 10, 15"/>
        <s v="1, 7, 13"/>
        <s v="2, 9"/>
        <s v="14, 15"/>
        <s v="3, 20"/>
        <s v="4, 10, 22"/>
        <n v="4"/>
        <s v="2, 8, 14"/>
        <s v="4, 11, 16, 28"/>
        <n v="13"/>
        <s v="1, 8, 16, 22"/>
        <n v="18"/>
        <s v="1, 10, 14, 19"/>
        <s v="2, 12"/>
        <s v="3, 11, 20, 24"/>
        <s v="11, 16, 20"/>
        <s v="4, 11"/>
        <s v="2, 10, 18, 22, 31, 40"/>
        <s v="27, 32"/>
        <n v="2"/>
        <n v="3"/>
        <s v="3, 13"/>
        <s v="1, 5, 9, 26"/>
        <s v="2, 10, 15, 24B"/>
        <s v="3, 11, 16, 21, 24, 31, 34"/>
        <s v="1, 7, 11"/>
        <s v="10, 17, 19"/>
        <n v="5"/>
        <s v="23, 40, 49"/>
        <s v="5, 17, 37"/>
        <s v="4, 18"/>
        <n v="84"/>
        <s v="2, 6, 15"/>
        <s v="3, 16"/>
        <s v="4, 8, 21"/>
        <s v="4, 10, 16"/>
        <s v="2, 6, 9, 19, 25, 30, 48"/>
        <s v="1, 7"/>
        <s v="1, 7, RL1, RL5, RL9"/>
        <s v="3, 8, 14, 81"/>
        <s v="5, 19"/>
        <s v="1, 24"/>
        <s v="14, 30"/>
        <s v="2, 5"/>
        <s v="12, 17"/>
        <s v="7, 13, 19, 24"/>
        <s v="1, 5, 12, 21"/>
        <s v="6, 13"/>
        <s v="6, 11, 15, 18"/>
        <s v="4, 7, 12, 26"/>
        <n v="1"/>
        <n v="9"/>
        <n v="7"/>
        <s v="3, 13, 17, 49, 53, 59"/>
        <e v="#N/A"/>
        <m/>
        <n v="20" u="1"/>
        <n v="10" u="1"/>
        <n v="0" u="1"/>
      </sharedItems>
    </cacheField>
    <cacheField name="Important Cameras" numFmtId="0">
      <sharedItems containsBlank="1" containsMixedTypes="1" containsNumber="1" containsInteger="1" minValue="0" maxValue="26" count="90">
        <n v="3"/>
        <s v="5, 9, 16"/>
        <s v="31, 41, 159"/>
        <s v="13, 15"/>
        <s v="4, 20"/>
        <s v="5, 18"/>
        <s v="1, 3"/>
        <s v="3, 4"/>
        <s v="1, 2, 3, 12"/>
        <s v="2, 4, 18"/>
        <s v="2, 3, 7, 10"/>
        <s v="-"/>
        <n v="4"/>
        <s v="36, 46"/>
        <s v="9, 20, 24, A49"/>
        <s v="11, 12"/>
        <s v="19, 20"/>
        <n v="18"/>
        <s v="1, 2, 3, 4, 5, 6"/>
        <n v="1"/>
        <s v="2, 7, 8, 13, 15"/>
        <s v="1, 4, 6, 8, 10, 18"/>
        <s v="1, 35, 36"/>
        <s v="1, 4, 5"/>
        <n v="10"/>
        <s v="10, 11"/>
        <s v="6, 7, 12"/>
        <s v="4, 10, 11"/>
        <s v="1, 2"/>
        <s v="12, 14, 16"/>
        <s v="1, 5, 6, 10"/>
        <n v="26"/>
        <s v="8, 15, 20"/>
        <s v="51, 52, 16"/>
        <s v="10, 11, 12"/>
        <s v="1, 2, 3,"/>
        <s v="9, 16, 17"/>
        <s v="1, 2, 3, 4, 15"/>
        <s v="1, 15, 16, 17, 18, 19, 20"/>
        <s v="2,4,10"/>
        <s v="1, 2, 3, 131, 132"/>
        <s v="7, 8, 9, 10, 11, 12, 14"/>
        <s v="1, 2, 3, 4, 14, 15, 21, 25 "/>
        <s v="2, 8"/>
        <s v="11, 12, 13, 14"/>
        <s v="1, 2, 8"/>
        <n v="9"/>
        <s v="2, 16"/>
        <s v="1, 4, 15, 16"/>
        <s v="1, 2, 3, 11"/>
        <s v="3, 8"/>
        <s v="1, 17"/>
        <s v="3, 4, 8, 28"/>
        <s v="21, 22"/>
        <s v="2, 3, 17, 22, 37, 41, 42 "/>
        <s v="13, 14, 15, 16"/>
        <s v="3, 4, 5"/>
        <s v="1, 2, 3, 4"/>
        <s v="1, 2, 3, 4, 5, 6, 7, 8"/>
        <s v="5, 28, 29"/>
        <n v="25"/>
        <s v="2, 5, 6"/>
        <s v="24, 25, 26 &amp; Remote Lots"/>
        <s v="25, 26, 35, 36, 37"/>
        <s v="3, 4, 15"/>
        <n v="6"/>
        <n v="21"/>
        <s v="3, 15, 17"/>
        <s v="14, 33, 34, 35, 36"/>
        <s v="7, 8"/>
        <s v="5, 7, 8"/>
        <s v="1, 2, 6, 7, 9, 18"/>
        <s v="1, 2, 6, 20"/>
        <s v="6, 8, 25, 31"/>
        <n v="22"/>
        <s v="3, 4, 5, 6, 16"/>
        <s v="5, 6, 7, 8, 9, 32"/>
        <s v="1, 3, 7, 8"/>
        <s v="10, 11, 13"/>
        <s v="7, 8, 9"/>
        <s v="1, 3, 5, 6, 23, 24"/>
        <n v="12"/>
        <s v="4, 6, 7, 8"/>
        <n v="7"/>
        <s v="6, 7, 8, 9"/>
        <s v="8, 9, 10, 51, 62"/>
        <e v="#N/A"/>
        <m/>
        <n v="15" u="1"/>
        <n v="0" u="1"/>
      </sharedItems>
    </cacheField>
    <cacheField name="ID" numFmtId="49">
      <sharedItems containsBlank="1" containsMixedTypes="1" containsNumber="1" containsInteger="1" minValue="118" maxValue="321" count="121">
        <n v="120"/>
        <n v="167"/>
        <n v="168"/>
        <n v="220"/>
        <n v="131"/>
        <n v="137"/>
        <n v="138"/>
        <n v="242"/>
        <n v="240"/>
        <n v="250"/>
        <n v="197"/>
        <n v="195"/>
        <n v="236"/>
        <n v="238"/>
        <n v="144"/>
        <n v="229"/>
        <n v="249"/>
        <n v="271"/>
        <n v="275"/>
        <n v="274"/>
        <n v="216"/>
        <n v="201"/>
        <n v="191"/>
        <n v="192"/>
        <n v="248"/>
        <n v="222"/>
        <n v="159"/>
        <n v="118"/>
        <n v="127"/>
        <n v="136"/>
        <n v="133"/>
        <n v="263"/>
        <n v="259"/>
        <n v="139"/>
        <n v="260"/>
        <n v="237"/>
        <n v="257"/>
        <n v="230"/>
        <n v="256"/>
        <n v="255"/>
        <n v="262"/>
        <n v="225"/>
        <n v="214"/>
        <n v="273"/>
        <n v="278"/>
        <n v="205"/>
        <n v="224"/>
        <n v="223"/>
        <n v="155"/>
        <n v="190"/>
        <n v="179"/>
        <n v="254"/>
        <n v="160"/>
        <n v="321"/>
        <n v="162"/>
        <n v="125"/>
        <n v="126"/>
        <n v="121"/>
        <n v="182"/>
        <n v="166"/>
        <n v="170"/>
        <n v="169"/>
        <n v="171"/>
        <n v="141"/>
        <n v="204"/>
        <n v="198"/>
        <n v="241"/>
        <n v="258"/>
        <n v="215"/>
        <n v="142"/>
        <n v="311"/>
        <n v="239"/>
        <n v="231"/>
        <n v="145"/>
        <n v="147"/>
        <n v="272"/>
        <n v="277"/>
        <n v="266"/>
        <n v="279"/>
        <n v="151"/>
        <n v="247"/>
        <n v="156"/>
        <n v="202"/>
        <n v="158"/>
        <n v="164"/>
        <n v="163"/>
        <n v="165"/>
        <n v="124"/>
        <n v="176"/>
        <n v="128"/>
        <n v="129"/>
        <n v="174"/>
        <n v="134"/>
        <n v="135"/>
        <n v="140"/>
        <n v="264"/>
        <n v="203"/>
        <n v="196"/>
        <n v="213"/>
        <n v="219"/>
        <n v="232"/>
        <n v="235"/>
        <n v="269"/>
        <n v="149"/>
        <n v="217"/>
        <n v="212"/>
        <n v="270"/>
        <n v="152"/>
        <n v="150"/>
        <n v="186"/>
        <n v="185"/>
        <n v="187"/>
        <n v="193"/>
        <n v="183"/>
        <n v="130"/>
        <e v="#N/A"/>
        <m/>
        <n v="189" u="1"/>
        <n v="199" u="1"/>
        <n v="194" u="1"/>
        <n v="267" u="1"/>
      </sharedItems>
    </cacheField>
  </cacheFields>
  <extLst>
    <ext xmlns:x14="http://schemas.microsoft.com/office/spreadsheetml/2009/9/main" uri="{725AE2AE-9491-48be-B2B4-4EB974FC3084}">
      <x14:pivotCacheDefinition pivotCacheId="13842727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
  <r>
    <x v="0"/>
    <x v="0"/>
    <x v="0"/>
    <x v="0"/>
    <x v="0"/>
    <x v="0"/>
    <x v="0"/>
    <m/>
  </r>
  <r>
    <x v="1"/>
    <x v="0"/>
    <x v="0"/>
    <x v="0"/>
    <x v="0"/>
    <x v="0"/>
    <x v="0"/>
    <m/>
  </r>
  <r>
    <x v="2"/>
    <x v="0"/>
    <x v="0"/>
    <x v="0"/>
    <x v="0"/>
    <x v="0"/>
    <x v="0"/>
    <m/>
  </r>
  <r>
    <x v="3"/>
    <x v="0"/>
    <x v="0"/>
    <x v="0"/>
    <x v="0"/>
    <x v="0"/>
    <x v="0"/>
    <m/>
  </r>
  <r>
    <x v="3"/>
    <x v="1"/>
    <x v="0"/>
    <x v="0"/>
    <x v="1"/>
    <x v="0"/>
    <x v="1"/>
    <m/>
  </r>
  <r>
    <x v="1"/>
    <x v="0"/>
    <x v="0"/>
    <x v="0"/>
    <x v="2"/>
    <x v="0"/>
    <x v="1"/>
    <m/>
  </r>
  <r>
    <x v="2"/>
    <x v="0"/>
    <x v="0"/>
    <x v="0"/>
    <x v="2"/>
    <x v="0"/>
    <x v="1"/>
    <m/>
  </r>
  <r>
    <x v="3"/>
    <x v="0"/>
    <x v="0"/>
    <x v="0"/>
    <x v="2"/>
    <x v="0"/>
    <x v="1"/>
    <m/>
  </r>
  <r>
    <x v="3"/>
    <x v="1"/>
    <x v="0"/>
    <x v="0"/>
    <x v="3"/>
    <x v="0"/>
    <x v="0"/>
    <m/>
  </r>
  <r>
    <x v="2"/>
    <x v="2"/>
    <x v="0"/>
    <x v="0"/>
    <x v="4"/>
    <x v="0"/>
    <x v="0"/>
    <m/>
  </r>
  <r>
    <x v="3"/>
    <x v="2"/>
    <x v="0"/>
    <x v="0"/>
    <x v="4"/>
    <x v="0"/>
    <x v="0"/>
    <m/>
  </r>
  <r>
    <x v="0"/>
    <x v="0"/>
    <x v="0"/>
    <x v="0"/>
    <x v="5"/>
    <x v="0"/>
    <x v="2"/>
    <m/>
  </r>
  <r>
    <x v="1"/>
    <x v="0"/>
    <x v="0"/>
    <x v="0"/>
    <x v="5"/>
    <x v="0"/>
    <x v="2"/>
    <m/>
  </r>
  <r>
    <x v="2"/>
    <x v="0"/>
    <x v="0"/>
    <x v="0"/>
    <x v="5"/>
    <x v="0"/>
    <x v="2"/>
    <m/>
  </r>
  <r>
    <x v="3"/>
    <x v="0"/>
    <x v="0"/>
    <x v="0"/>
    <x v="5"/>
    <x v="0"/>
    <x v="2"/>
    <m/>
  </r>
  <r>
    <x v="2"/>
    <x v="3"/>
    <x v="0"/>
    <x v="0"/>
    <x v="6"/>
    <x v="0"/>
    <x v="0"/>
    <m/>
  </r>
  <r>
    <x v="3"/>
    <x v="3"/>
    <x v="0"/>
    <x v="0"/>
    <x v="6"/>
    <x v="0"/>
    <x v="0"/>
    <m/>
  </r>
  <r>
    <x v="2"/>
    <x v="2"/>
    <x v="1"/>
    <x v="0"/>
    <x v="7"/>
    <x v="0"/>
    <x v="0"/>
    <m/>
  </r>
  <r>
    <x v="3"/>
    <x v="2"/>
    <x v="1"/>
    <x v="0"/>
    <x v="7"/>
    <x v="0"/>
    <x v="0"/>
    <m/>
  </r>
  <r>
    <x v="3"/>
    <x v="1"/>
    <x v="1"/>
    <x v="0"/>
    <x v="8"/>
    <x v="0"/>
    <x v="0"/>
    <m/>
  </r>
  <r>
    <x v="1"/>
    <x v="2"/>
    <x v="1"/>
    <x v="0"/>
    <x v="9"/>
    <x v="0"/>
    <x v="0"/>
    <m/>
  </r>
  <r>
    <x v="2"/>
    <x v="2"/>
    <x v="1"/>
    <x v="0"/>
    <x v="9"/>
    <x v="0"/>
    <x v="0"/>
    <m/>
  </r>
  <r>
    <x v="3"/>
    <x v="2"/>
    <x v="1"/>
    <x v="0"/>
    <x v="9"/>
    <x v="0"/>
    <x v="0"/>
    <m/>
  </r>
  <r>
    <x v="2"/>
    <x v="3"/>
    <x v="0"/>
    <x v="0"/>
    <x v="10"/>
    <x v="0"/>
    <x v="2"/>
    <m/>
  </r>
  <r>
    <x v="3"/>
    <x v="3"/>
    <x v="0"/>
    <x v="0"/>
    <x v="10"/>
    <x v="0"/>
    <x v="2"/>
    <m/>
  </r>
  <r>
    <x v="3"/>
    <x v="1"/>
    <x v="0"/>
    <x v="0"/>
    <x v="11"/>
    <x v="0"/>
    <x v="0"/>
    <m/>
  </r>
  <r>
    <x v="1"/>
    <x v="2"/>
    <x v="2"/>
    <x v="1"/>
    <x v="12"/>
    <x v="1"/>
    <x v="0"/>
    <m/>
  </r>
  <r>
    <x v="2"/>
    <x v="2"/>
    <x v="2"/>
    <x v="1"/>
    <x v="12"/>
    <x v="1"/>
    <x v="0"/>
    <m/>
  </r>
  <r>
    <x v="3"/>
    <x v="2"/>
    <x v="2"/>
    <x v="1"/>
    <x v="12"/>
    <x v="1"/>
    <x v="0"/>
    <m/>
  </r>
  <r>
    <x v="1"/>
    <x v="2"/>
    <x v="2"/>
    <x v="1"/>
    <x v="13"/>
    <x v="1"/>
    <x v="0"/>
    <m/>
  </r>
  <r>
    <x v="2"/>
    <x v="2"/>
    <x v="2"/>
    <x v="1"/>
    <x v="13"/>
    <x v="1"/>
    <x v="0"/>
    <m/>
  </r>
  <r>
    <x v="3"/>
    <x v="2"/>
    <x v="2"/>
    <x v="1"/>
    <x v="13"/>
    <x v="1"/>
    <x v="0"/>
    <m/>
  </r>
  <r>
    <x v="1"/>
    <x v="2"/>
    <x v="2"/>
    <x v="1"/>
    <x v="14"/>
    <x v="1"/>
    <x v="0"/>
    <m/>
  </r>
  <r>
    <x v="2"/>
    <x v="2"/>
    <x v="2"/>
    <x v="1"/>
    <x v="14"/>
    <x v="1"/>
    <x v="0"/>
    <m/>
  </r>
  <r>
    <x v="3"/>
    <x v="2"/>
    <x v="2"/>
    <x v="1"/>
    <x v="14"/>
    <x v="1"/>
    <x v="0"/>
    <m/>
  </r>
  <r>
    <x v="1"/>
    <x v="0"/>
    <x v="2"/>
    <x v="1"/>
    <x v="15"/>
    <x v="1"/>
    <x v="0"/>
    <m/>
  </r>
  <r>
    <x v="2"/>
    <x v="0"/>
    <x v="2"/>
    <x v="1"/>
    <x v="15"/>
    <x v="1"/>
    <x v="0"/>
    <m/>
  </r>
  <r>
    <x v="3"/>
    <x v="0"/>
    <x v="2"/>
    <x v="1"/>
    <x v="15"/>
    <x v="1"/>
    <x v="0"/>
    <m/>
  </r>
  <r>
    <x v="1"/>
    <x v="0"/>
    <x v="2"/>
    <x v="1"/>
    <x v="16"/>
    <x v="1"/>
    <x v="0"/>
    <m/>
  </r>
  <r>
    <x v="2"/>
    <x v="2"/>
    <x v="2"/>
    <x v="1"/>
    <x v="17"/>
    <x v="1"/>
    <x v="0"/>
    <m/>
  </r>
  <r>
    <x v="3"/>
    <x v="2"/>
    <x v="2"/>
    <x v="1"/>
    <x v="17"/>
    <x v="1"/>
    <x v="0"/>
    <m/>
  </r>
  <r>
    <x v="3"/>
    <x v="1"/>
    <x v="2"/>
    <x v="1"/>
    <x v="18"/>
    <x v="1"/>
    <x v="0"/>
    <m/>
  </r>
  <r>
    <x v="3"/>
    <x v="1"/>
    <x v="2"/>
    <x v="1"/>
    <x v="19"/>
    <x v="1"/>
    <x v="0"/>
    <m/>
  </r>
  <r>
    <x v="2"/>
    <x v="2"/>
    <x v="2"/>
    <x v="1"/>
    <x v="20"/>
    <x v="1"/>
    <x v="0"/>
    <m/>
  </r>
  <r>
    <x v="3"/>
    <x v="2"/>
    <x v="2"/>
    <x v="1"/>
    <x v="20"/>
    <x v="1"/>
    <x v="0"/>
    <m/>
  </r>
  <r>
    <x v="0"/>
    <x v="0"/>
    <x v="3"/>
    <x v="1"/>
    <x v="21"/>
    <x v="1"/>
    <x v="0"/>
    <m/>
  </r>
  <r>
    <x v="0"/>
    <x v="0"/>
    <x v="3"/>
    <x v="1"/>
    <x v="22"/>
    <x v="1"/>
    <x v="0"/>
    <m/>
  </r>
  <r>
    <x v="3"/>
    <x v="1"/>
    <x v="2"/>
    <x v="1"/>
    <x v="23"/>
    <x v="1"/>
    <x v="0"/>
    <m/>
  </r>
  <r>
    <x v="2"/>
    <x v="3"/>
    <x v="2"/>
    <x v="1"/>
    <x v="24"/>
    <x v="1"/>
    <x v="0"/>
    <m/>
  </r>
  <r>
    <x v="3"/>
    <x v="3"/>
    <x v="2"/>
    <x v="1"/>
    <x v="24"/>
    <x v="1"/>
    <x v="0"/>
    <m/>
  </r>
  <r>
    <x v="1"/>
    <x v="2"/>
    <x v="2"/>
    <x v="1"/>
    <x v="25"/>
    <x v="1"/>
    <x v="0"/>
    <m/>
  </r>
  <r>
    <x v="2"/>
    <x v="2"/>
    <x v="2"/>
    <x v="1"/>
    <x v="25"/>
    <x v="1"/>
    <x v="0"/>
    <m/>
  </r>
  <r>
    <x v="3"/>
    <x v="2"/>
    <x v="2"/>
    <x v="1"/>
    <x v="25"/>
    <x v="1"/>
    <x v="0"/>
    <m/>
  </r>
  <r>
    <x v="0"/>
    <x v="0"/>
    <x v="2"/>
    <x v="1"/>
    <x v="25"/>
    <x v="1"/>
    <x v="0"/>
    <m/>
  </r>
  <r>
    <x v="3"/>
    <x v="1"/>
    <x v="2"/>
    <x v="1"/>
    <x v="26"/>
    <x v="1"/>
    <x v="0"/>
    <m/>
  </r>
  <r>
    <x v="3"/>
    <x v="1"/>
    <x v="0"/>
    <x v="0"/>
    <x v="27"/>
    <x v="1"/>
    <x v="3"/>
    <m/>
  </r>
  <r>
    <x v="3"/>
    <x v="1"/>
    <x v="4"/>
    <x v="2"/>
    <x v="28"/>
    <x v="2"/>
    <x v="0"/>
    <m/>
  </r>
  <r>
    <x v="2"/>
    <x v="0"/>
    <x v="3"/>
    <x v="2"/>
    <x v="29"/>
    <x v="2"/>
    <x v="0"/>
    <m/>
  </r>
  <r>
    <x v="3"/>
    <x v="0"/>
    <x v="3"/>
    <x v="2"/>
    <x v="29"/>
    <x v="2"/>
    <x v="0"/>
    <m/>
  </r>
  <r>
    <x v="2"/>
    <x v="2"/>
    <x v="3"/>
    <x v="2"/>
    <x v="30"/>
    <x v="2"/>
    <x v="0"/>
    <m/>
  </r>
  <r>
    <x v="3"/>
    <x v="2"/>
    <x v="3"/>
    <x v="2"/>
    <x v="30"/>
    <x v="2"/>
    <x v="0"/>
    <m/>
  </r>
  <r>
    <x v="0"/>
    <x v="0"/>
    <x v="5"/>
    <x v="2"/>
    <x v="31"/>
    <x v="2"/>
    <x v="0"/>
    <m/>
  </r>
  <r>
    <x v="1"/>
    <x v="0"/>
    <x v="5"/>
    <x v="2"/>
    <x v="31"/>
    <x v="2"/>
    <x v="0"/>
    <m/>
  </r>
  <r>
    <x v="2"/>
    <x v="0"/>
    <x v="5"/>
    <x v="2"/>
    <x v="31"/>
    <x v="2"/>
    <x v="0"/>
    <m/>
  </r>
  <r>
    <x v="3"/>
    <x v="0"/>
    <x v="5"/>
    <x v="2"/>
    <x v="31"/>
    <x v="2"/>
    <x v="0"/>
    <m/>
  </r>
  <r>
    <x v="3"/>
    <x v="1"/>
    <x v="5"/>
    <x v="2"/>
    <x v="32"/>
    <x v="2"/>
    <x v="0"/>
    <m/>
  </r>
  <r>
    <x v="2"/>
    <x v="3"/>
    <x v="5"/>
    <x v="3"/>
    <x v="33"/>
    <x v="3"/>
    <x v="0"/>
    <m/>
  </r>
  <r>
    <x v="3"/>
    <x v="3"/>
    <x v="5"/>
    <x v="3"/>
    <x v="33"/>
    <x v="3"/>
    <x v="0"/>
    <m/>
  </r>
  <r>
    <x v="2"/>
    <x v="0"/>
    <x v="5"/>
    <x v="3"/>
    <x v="34"/>
    <x v="3"/>
    <x v="0"/>
    <m/>
  </r>
  <r>
    <x v="3"/>
    <x v="0"/>
    <x v="5"/>
    <x v="3"/>
    <x v="34"/>
    <x v="3"/>
    <x v="0"/>
    <m/>
  </r>
  <r>
    <x v="0"/>
    <x v="0"/>
    <x v="6"/>
    <x v="2"/>
    <x v="35"/>
    <x v="4"/>
    <x v="0"/>
    <m/>
  </r>
  <r>
    <x v="1"/>
    <x v="2"/>
    <x v="6"/>
    <x v="3"/>
    <x v="35"/>
    <x v="4"/>
    <x v="0"/>
    <m/>
  </r>
  <r>
    <x v="2"/>
    <x v="2"/>
    <x v="6"/>
    <x v="3"/>
    <x v="35"/>
    <x v="4"/>
    <x v="0"/>
    <m/>
  </r>
  <r>
    <x v="3"/>
    <x v="2"/>
    <x v="6"/>
    <x v="3"/>
    <x v="35"/>
    <x v="4"/>
    <x v="0"/>
    <m/>
  </r>
  <r>
    <x v="0"/>
    <x v="0"/>
    <x v="6"/>
    <x v="0"/>
    <x v="36"/>
    <x v="4"/>
    <x v="0"/>
    <m/>
  </r>
  <r>
    <x v="1"/>
    <x v="0"/>
    <x v="6"/>
    <x v="0"/>
    <x v="36"/>
    <x v="4"/>
    <x v="0"/>
    <m/>
  </r>
  <r>
    <x v="2"/>
    <x v="0"/>
    <x v="6"/>
    <x v="0"/>
    <x v="36"/>
    <x v="4"/>
    <x v="0"/>
    <m/>
  </r>
  <r>
    <x v="3"/>
    <x v="0"/>
    <x v="6"/>
    <x v="0"/>
    <x v="36"/>
    <x v="4"/>
    <x v="0"/>
    <m/>
  </r>
  <r>
    <x v="0"/>
    <x v="0"/>
    <x v="6"/>
    <x v="0"/>
    <x v="37"/>
    <x v="4"/>
    <x v="0"/>
    <m/>
  </r>
  <r>
    <x v="1"/>
    <x v="0"/>
    <x v="6"/>
    <x v="0"/>
    <x v="37"/>
    <x v="4"/>
    <x v="0"/>
    <m/>
  </r>
  <r>
    <x v="2"/>
    <x v="0"/>
    <x v="6"/>
    <x v="0"/>
    <x v="37"/>
    <x v="4"/>
    <x v="0"/>
    <m/>
  </r>
  <r>
    <x v="3"/>
    <x v="0"/>
    <x v="6"/>
    <x v="0"/>
    <x v="37"/>
    <x v="4"/>
    <x v="0"/>
    <m/>
  </r>
  <r>
    <x v="0"/>
    <x v="0"/>
    <x v="6"/>
    <x v="0"/>
    <x v="38"/>
    <x v="4"/>
    <x v="0"/>
    <m/>
  </r>
  <r>
    <x v="1"/>
    <x v="2"/>
    <x v="6"/>
    <x v="0"/>
    <x v="38"/>
    <x v="4"/>
    <x v="0"/>
    <m/>
  </r>
  <r>
    <x v="2"/>
    <x v="3"/>
    <x v="6"/>
    <x v="0"/>
    <x v="38"/>
    <x v="4"/>
    <x v="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40">
  <r>
    <s v="(AS) Coggin Honda Ft. Pierce (NO TOURS)4"/>
    <x v="0"/>
    <x v="0"/>
    <x v="0"/>
    <x v="0"/>
    <x v="0"/>
    <x v="0"/>
    <s v="https://tools.sig.systems/site/details/120"/>
    <s v="https://www.google.com/maps/d/viewer?mid=1AyViBuyeq7iwDua1SVudJ2A1BYi3IBA&amp;ll=27.38181516363982%2C-80.32568845000002&amp;z=18"/>
    <x v="0"/>
    <x v="0"/>
    <x v="0"/>
    <x v="0"/>
    <x v="0"/>
    <x v="0"/>
    <x v="0"/>
    <x v="0"/>
  </r>
  <r>
    <s v="(AS) Lexus Plano I &amp; II (NO TOURS)4"/>
    <x v="0"/>
    <x v="0"/>
    <x v="1"/>
    <x v="1"/>
    <x v="1"/>
    <x v="1"/>
    <s v="https://tools.sig.systems/site/details/167"/>
    <s v="https://www.google.com/maps/d/viewer?mid=1wg5suxVuxeNp_irHlvN772HcwD6W89E&amp;ll=33.06373951220261%2C-96.82758025000001&amp;z=18"/>
    <x v="1"/>
    <x v="0"/>
    <x v="1"/>
    <x v="0"/>
    <x v="1"/>
    <x v="1"/>
    <x v="1"/>
    <x v="1"/>
  </r>
  <r>
    <s v="(AS) Mercedes Benz/Porsche Dallas I,II,III (NO TOURS)4"/>
    <x v="0"/>
    <x v="0"/>
    <x v="1"/>
    <x v="1"/>
    <x v="2"/>
    <x v="1"/>
    <s v="https://tools.sig.systems/site/details/168"/>
    <s v="https://www.google.com/maps/d/edit?hl=es&amp;mid=1uPmsRMsXnp74hPFW2t-sp2totVWF_xY&amp;ll=32.83050137713022%2C-96.83197783061323&amp;z=17"/>
    <x v="1"/>
    <x v="0"/>
    <x v="2"/>
    <x v="0"/>
    <x v="2"/>
    <x v="2"/>
    <x v="2"/>
    <x v="2"/>
  </r>
  <r>
    <s v="(AS) Nalley BMW Collision Center (NO TOURS)4"/>
    <x v="0"/>
    <x v="0"/>
    <x v="0"/>
    <x v="0"/>
    <x v="3"/>
    <x v="0"/>
    <s v="https://tools.sig.systems/site/details/220"/>
    <m/>
    <x v="1"/>
    <x v="0"/>
    <x v="3"/>
    <x v="1"/>
    <x v="0"/>
    <x v="3"/>
    <x v="3"/>
    <x v="3"/>
  </r>
  <r>
    <s v="(AS) Nalley Lexus &amp; Remote Lot Roswell (NO TOURS)4"/>
    <x v="0"/>
    <x v="0"/>
    <x v="2"/>
    <x v="0"/>
    <x v="4"/>
    <x v="2"/>
    <s v="https://tools.sig.systems/site/details/131"/>
    <s v="https://www.google.com/maps/d/edit?mid=1jkN3DS1BhUqp_dztjjW0PDwKfo_Yxsw&amp;usp=sharing"/>
    <x v="1"/>
    <x v="1"/>
    <x v="4"/>
    <x v="1"/>
    <x v="3"/>
    <x v="4"/>
    <x v="4"/>
    <x v="4"/>
  </r>
  <r>
    <s v="(AS) Park Place Mercedes Benz Ft. Worth (NO TOURS)4"/>
    <x v="0"/>
    <x v="0"/>
    <x v="1"/>
    <x v="1"/>
    <x v="5"/>
    <x v="1"/>
    <s v="https://tools.sig.systems/site/details/137"/>
    <s v="https://www.google.com/maps/d/edit?mid=18OEO_KbvYcgI3N1jE4gTMXfNHTNDrFU&amp;ll=32.66603989958274%2C-97.42021198201722&amp;z=18"/>
    <x v="1"/>
    <x v="0"/>
    <x v="5"/>
    <x v="0"/>
    <x v="4"/>
    <x v="5"/>
    <x v="5"/>
    <x v="5"/>
  </r>
  <r>
    <s v="(AS) Park Place Sprinter Van Center (NO TOURS)4"/>
    <x v="0"/>
    <x v="0"/>
    <x v="1"/>
    <x v="1"/>
    <x v="6"/>
    <x v="1"/>
    <s v="https://tools.sig.systems/site/details/138"/>
    <s v="https://www.google.com/maps/d/edit?hl=es&amp;mid=1uPmsRMsXnp74hPFW2t-sp2totVWF_xY&amp;ll=32.83050137713022%2C-96.83197783061323&amp;z=17"/>
    <x v="1"/>
    <x v="0"/>
    <x v="6"/>
    <x v="0"/>
    <x v="0"/>
    <x v="6"/>
    <x v="6"/>
    <x v="6"/>
  </r>
  <r>
    <s v="(AS) Stevinson Porsche of Littleton (NO TOURS)4"/>
    <x v="0"/>
    <x v="0"/>
    <x v="3"/>
    <x v="2"/>
    <x v="7"/>
    <x v="3"/>
    <s v="https://tools.sig.systems/site/details/242"/>
    <m/>
    <x v="1"/>
    <x v="0"/>
    <x v="7"/>
    <x v="2"/>
    <x v="0"/>
    <x v="6"/>
    <x v="7"/>
    <x v="7"/>
  </r>
  <r>
    <s v="(AS) Stevinson Toyota West (NO TOURS)4"/>
    <x v="0"/>
    <x v="0"/>
    <x v="3"/>
    <x v="2"/>
    <x v="8"/>
    <x v="3"/>
    <s v="https://tools.sig.systems/site/details/240"/>
    <s v="https://www.google.com/maps/d/edit?mid=1nAyK85WaWREy0lfxnmWn3USs2gC0nP0&amp;usp=sharing"/>
    <x v="1"/>
    <x v="0"/>
    <x v="3"/>
    <x v="3"/>
    <x v="0"/>
    <x v="7"/>
    <x v="8"/>
    <x v="8"/>
  </r>
  <r>
    <s v="(DT) N. Houston4"/>
    <x v="0"/>
    <x v="0"/>
    <x v="1"/>
    <x v="1"/>
    <x v="9"/>
    <x v="1"/>
    <s v="https://tools.sig.systems/site/details/250"/>
    <m/>
    <x v="1"/>
    <x v="0"/>
    <x v="8"/>
    <x v="0"/>
    <x v="0"/>
    <x v="8"/>
    <x v="9"/>
    <x v="9"/>
  </r>
  <r>
    <s v="(DT) W Houston4"/>
    <x v="0"/>
    <x v="0"/>
    <x v="1"/>
    <x v="1"/>
    <x v="10"/>
    <x v="1"/>
    <s v="https://tools.sig.systems/site/details/197"/>
    <m/>
    <x v="1"/>
    <x v="0"/>
    <x v="9"/>
    <x v="2"/>
    <x v="0"/>
    <x v="9"/>
    <x v="10"/>
    <x v="10"/>
  </r>
  <r>
    <s v="(HUD) Honda of Southpoint4"/>
    <x v="0"/>
    <x v="0"/>
    <x v="0"/>
    <x v="0"/>
    <x v="11"/>
    <x v="0"/>
    <s v="https://tools.sig.systems/site/details/195"/>
    <m/>
    <x v="0"/>
    <x v="0"/>
    <x v="10"/>
    <x v="4"/>
    <x v="0"/>
    <x v="10"/>
    <x v="11"/>
    <x v="11"/>
  </r>
  <r>
    <s v="(HUD) Nissan Greensboro4"/>
    <x v="0"/>
    <x v="0"/>
    <x v="0"/>
    <x v="0"/>
    <x v="12"/>
    <x v="0"/>
    <s v="https://tools.sig.systems/site/details/236"/>
    <s v="https://www.google.com/maps/d/viewer?mid=1ejOzT7-x6RWnCf83BBP7XhiOiwEX3Wk&amp;ll=36.061264791292906%2C-79.87437695000003&amp;z=17"/>
    <x v="1"/>
    <x v="0"/>
    <x v="11"/>
    <x v="0"/>
    <x v="0"/>
    <x v="6"/>
    <x v="12"/>
    <x v="12"/>
  </r>
  <r>
    <s v="(KG) Texan CDJR4"/>
    <x v="0"/>
    <x v="0"/>
    <x v="1"/>
    <x v="1"/>
    <x v="13"/>
    <x v="1"/>
    <s v="https://tools.sig.systems/site/details/238"/>
    <s v="https://www.google.com/maps/d/edit?mid=1FNqK4dW8Z8gtSWuQLbStrtqe7lH8DIQ&amp;usp=sharing"/>
    <x v="1"/>
    <x v="0"/>
    <x v="12"/>
    <x v="0"/>
    <x v="5"/>
    <x v="11"/>
    <x v="13"/>
    <x v="13"/>
  </r>
  <r>
    <s v="(KG) Truck Center Remote Storage Lot4"/>
    <x v="0"/>
    <x v="0"/>
    <x v="2"/>
    <x v="2"/>
    <x v="14"/>
    <x v="2"/>
    <s v="https://tools.sig.systems/site/details/144"/>
    <m/>
    <x v="1"/>
    <x v="0"/>
    <x v="13"/>
    <x v="5"/>
    <x v="0"/>
    <x v="12"/>
    <x v="14"/>
    <x v="14"/>
  </r>
  <r>
    <s v="(KT) Northwest CDJR (NO TOURS)4"/>
    <x v="0"/>
    <x v="0"/>
    <x v="1"/>
    <x v="1"/>
    <x v="15"/>
    <x v="1"/>
    <s v="https://tools.sig.systems/site/details/229"/>
    <m/>
    <x v="1"/>
    <x v="0"/>
    <x v="14"/>
    <x v="0"/>
    <x v="0"/>
    <x v="13"/>
    <x v="11"/>
    <x v="15"/>
  </r>
  <r>
    <s v="(ML) Honda of Little Rock4"/>
    <x v="0"/>
    <x v="0"/>
    <x v="1"/>
    <x v="1"/>
    <x v="16"/>
    <x v="1"/>
    <s v="https://tools.sig.systems/site/details/249"/>
    <s v="https://www.google.com/maps/d/viewer?mid=1hvbKFMO-d5TXrKGU-g5dt_xcdArB1D0&amp;ll=34.71147784120261%2C-92.40574350000001&amp;z=17"/>
    <x v="1"/>
    <x v="0"/>
    <x v="15"/>
    <x v="0"/>
    <x v="0"/>
    <x v="14"/>
    <x v="15"/>
    <x v="16"/>
  </r>
  <r>
    <s v="(ML) Joe Machens Capital City I &amp; II (NO TOURS)4"/>
    <x v="0"/>
    <x v="0"/>
    <x v="1"/>
    <x v="1"/>
    <x v="17"/>
    <x v="1"/>
    <s v="https://tools.sig.systems/site/details/271"/>
    <m/>
    <x v="1"/>
    <x v="0"/>
    <x v="3"/>
    <x v="6"/>
    <x v="0"/>
    <x v="15"/>
    <x v="16"/>
    <x v="17"/>
  </r>
  <r>
    <s v="(ML) Joe Machens Toyota4"/>
    <x v="0"/>
    <x v="0"/>
    <x v="1"/>
    <x v="1"/>
    <x v="18"/>
    <x v="1"/>
    <s v="https://tools.sig.systems/site/details/275"/>
    <s v="https://www.google.com/maps/d/viewer?hl=es&amp;mid=1C1oZdjH3dNvCvqdpIv_Lk0Yn1OCVn-4&amp;ll=38.965368114274455%2C-92.3405954&amp;z=15"/>
    <x v="1"/>
    <x v="0"/>
    <x v="3"/>
    <x v="7"/>
    <x v="0"/>
    <x v="16"/>
    <x v="11"/>
    <x v="18"/>
  </r>
  <r>
    <s v="(ML) Joe Machens VW4"/>
    <x v="0"/>
    <x v="0"/>
    <x v="1"/>
    <x v="1"/>
    <x v="19"/>
    <x v="1"/>
    <s v="https://tools.sig.systems/site/details/274"/>
    <s v="https://www.google.com/maps/d/viewer?hl=es&amp;mid=1C1oZdjH3dNvCvqdpIv_Lk0Yn1OCVn-4&amp;ll=38.965368114274455%2C-92.3405954&amp;z=15"/>
    <x v="1"/>
    <x v="0"/>
    <x v="3"/>
    <x v="8"/>
    <x v="0"/>
    <x v="17"/>
    <x v="11"/>
    <x v="19"/>
  </r>
  <r>
    <s v="(ML) Nissan of North Little Rock4"/>
    <x v="0"/>
    <x v="0"/>
    <x v="1"/>
    <x v="1"/>
    <x v="20"/>
    <x v="1"/>
    <s v="https://tools.sig.systems/site/details/216"/>
    <s v="https://www.google.com/maps/d/edit?mid=1Oky35ERk_2kgyzCvDu_odQ2ZP62BtqA&amp;usp=sharing"/>
    <x v="1"/>
    <x v="0"/>
    <x v="16"/>
    <x v="0"/>
    <x v="0"/>
    <x v="18"/>
    <x v="17"/>
    <x v="20"/>
  </r>
  <r>
    <s v="(ML) Toyota N Little Rock4"/>
    <x v="0"/>
    <x v="0"/>
    <x v="1"/>
    <x v="1"/>
    <x v="21"/>
    <x v="1"/>
    <s v="https://tools.sig.systems/site/details/201"/>
    <s v="https://www.google.com/maps/d/edit?mid=1Oky35ERk_2kgyzCvDu_odQ2ZP62BtqA&amp;usp=sharing"/>
    <x v="1"/>
    <x v="0"/>
    <x v="17"/>
    <x v="0"/>
    <x v="0"/>
    <x v="19"/>
    <x v="11"/>
    <x v="21"/>
  </r>
  <r>
    <s v="(PE) Fairfield Collision (NO TOURS)4"/>
    <x v="0"/>
    <x v="0"/>
    <x v="4"/>
    <x v="0"/>
    <x v="22"/>
    <x v="0"/>
    <s v="https://tools.sig.systems/site/details/191"/>
    <m/>
    <x v="1"/>
    <x v="0"/>
    <x v="18"/>
    <x v="0"/>
    <x v="0"/>
    <x v="6"/>
    <x v="18"/>
    <x v="22"/>
  </r>
  <r>
    <s v="(PE) Mercedes Benz &amp; Smart Bldg. of Fairfield (NO TOURS)4"/>
    <x v="0"/>
    <x v="0"/>
    <x v="4"/>
    <x v="0"/>
    <x v="23"/>
    <x v="0"/>
    <s v="https://tools.sig.systems/site/details/192"/>
    <s v="https://www.google.com/maps/d/viewer?mid=1FEo41PzFJQjUIXXKitX5TNCtuqR6Vbs&amp;ll=41.1663376742533%2C-73.22955662049608&amp;z=16"/>
    <x v="1"/>
    <x v="0"/>
    <x v="3"/>
    <x v="9"/>
    <x v="0"/>
    <x v="20"/>
    <x v="19"/>
    <x v="23"/>
  </r>
  <r>
    <s v="(RV) Toms Camperland Avondale (NO TOURS)4"/>
    <x v="0"/>
    <x v="0"/>
    <x v="5"/>
    <x v="3"/>
    <x v="24"/>
    <x v="4"/>
    <s v="https://tools.sig.systems/site/details/248"/>
    <s v="https://www.google.com/maps/d/viewer?mid=1bDs0QGFZwL3vEeGKxjVMk_j4azr0-lg&amp;ll=33.4593758581648%2C-112.28793780000001&amp;z=18"/>
    <x v="2"/>
    <x v="0"/>
    <x v="19"/>
    <x v="10"/>
    <x v="0"/>
    <x v="6"/>
    <x v="20"/>
    <x v="24"/>
  </r>
  <r>
    <s v="(RV) Toms Camperland Mesa (NO TOURS)4"/>
    <x v="0"/>
    <x v="0"/>
    <x v="5"/>
    <x v="3"/>
    <x v="25"/>
    <x v="4"/>
    <s v="https://tools.sig.systems/site/details/222"/>
    <m/>
    <x v="1"/>
    <x v="0"/>
    <x v="20"/>
    <x v="0"/>
    <x v="0"/>
    <x v="6"/>
    <x v="21"/>
    <x v="25"/>
  </r>
  <r>
    <s v="(SCH) Delray I &amp; II4"/>
    <x v="0"/>
    <x v="0"/>
    <x v="0"/>
    <x v="0"/>
    <x v="26"/>
    <x v="0"/>
    <s v="https://tools.sig.systems/site/details/159"/>
    <m/>
    <x v="3"/>
    <x v="0"/>
    <x v="21"/>
    <x v="11"/>
    <x v="6"/>
    <x v="6"/>
    <x v="22"/>
    <x v="26"/>
  </r>
  <r>
    <s v="(AS) Coggin Acura Ft Pierce (NO TOURS)4"/>
    <x v="0"/>
    <x v="1"/>
    <x v="0"/>
    <x v="0"/>
    <x v="27"/>
    <x v="0"/>
    <s v="https://tools.sig.systems/site/details/118"/>
    <s v="https://www.google.com/maps/d/viewer?mid=1AyViBuyeq7iwDua1SVudJ2A1BYi3IBA&amp;ll=27.38181516363982%2C-80.32568845000002&amp;z=18"/>
    <x v="1"/>
    <x v="0"/>
    <x v="3"/>
    <x v="12"/>
    <x v="0"/>
    <x v="21"/>
    <x v="19"/>
    <x v="27"/>
  </r>
  <r>
    <s v="(AS) Coggin Mercedes Benz Ft Pierce (NO TOURS)4"/>
    <x v="0"/>
    <x v="1"/>
    <x v="0"/>
    <x v="0"/>
    <x v="28"/>
    <x v="0"/>
    <s v="https://tools.sig.systems/site/details/127"/>
    <s v="https://www.google.com/maps/d/viewer?mid=1AyViBuyeq7iwDua1SVudJ2A1BYi3IBA&amp;ll=27.38181516363982%2C-80.32568845000002&amp;z=18"/>
    <x v="1"/>
    <x v="0"/>
    <x v="22"/>
    <x v="13"/>
    <x v="0"/>
    <x v="22"/>
    <x v="23"/>
    <x v="28"/>
  </r>
  <r>
    <s v="(AS) Lexus Grapevine I &amp; II (NO TOURS)4"/>
    <x v="0"/>
    <x v="1"/>
    <x v="1"/>
    <x v="1"/>
    <x v="29"/>
    <x v="1"/>
    <s v="https://tools.sig.systems/site/details/136"/>
    <m/>
    <x v="1"/>
    <x v="0"/>
    <x v="23"/>
    <x v="0"/>
    <x v="7"/>
    <x v="23"/>
    <x v="24"/>
    <x v="29"/>
  </r>
  <r>
    <s v="(AS) Lexus Smyrna (NO TOURS)4"/>
    <x v="0"/>
    <x v="1"/>
    <x v="0"/>
    <x v="0"/>
    <x v="30"/>
    <x v="0"/>
    <s v="https://tools.sig.systems/site/details/133"/>
    <m/>
    <x v="1"/>
    <x v="0"/>
    <x v="24"/>
    <x v="0"/>
    <x v="0"/>
    <x v="24"/>
    <x v="25"/>
    <x v="30"/>
  </r>
  <r>
    <s v="(AS) Nalley Luxury Collision Center (NO TOURS)4"/>
    <x v="0"/>
    <x v="1"/>
    <x v="0"/>
    <x v="0"/>
    <x v="31"/>
    <x v="0"/>
    <s v="https://tools.sig.systems/site/details/263"/>
    <s v="https://www.google.com/maps/d/edit?mid=1jkN3DS1BhUqp_dztjjW0PDwKfo_Yxsw&amp;usp=sharing"/>
    <x v="1"/>
    <x v="0"/>
    <x v="4"/>
    <x v="0"/>
    <x v="0"/>
    <x v="6"/>
    <x v="26"/>
    <x v="31"/>
  </r>
  <r>
    <s v="(AS) Park Place Acura (NO TOURS)4"/>
    <x v="0"/>
    <x v="1"/>
    <x v="1"/>
    <x v="1"/>
    <x v="32"/>
    <x v="1"/>
    <s v="https://tools.sig.systems/site/details/259"/>
    <s v="https://www.google.com/maps/d/viewer?mid=1wg5suxVuxeNp_irHlvN772HcwD6W89E&amp;ll=33.06373951220261%2C-96.82758025000001&amp;z=18"/>
    <x v="1"/>
    <x v="0"/>
    <x v="25"/>
    <x v="0"/>
    <x v="0"/>
    <x v="25"/>
    <x v="11"/>
    <x v="32"/>
  </r>
  <r>
    <s v="(AS) Park Place Volvo Sales (NO TOURS)4"/>
    <x v="0"/>
    <x v="1"/>
    <x v="1"/>
    <x v="1"/>
    <x v="33"/>
    <x v="1"/>
    <s v="https://tools.sig.systems/site/details/139"/>
    <s v="https://www.google.com/maps/d/edit?hl=es&amp;mid=1uPmsRMsXnp74hPFW2t-sp2totVWF_xY&amp;ll=32.83050137713022%2C-96.83197783061323&amp;z=17"/>
    <x v="1"/>
    <x v="0"/>
    <x v="26"/>
    <x v="0"/>
    <x v="0"/>
    <x v="26"/>
    <x v="27"/>
    <x v="33"/>
  </r>
  <r>
    <s v="(AS) Stevinson Lexus of Lakewood (NO TOURS)4"/>
    <x v="0"/>
    <x v="1"/>
    <x v="3"/>
    <x v="2"/>
    <x v="34"/>
    <x v="3"/>
    <s v="https://tools.sig.systems/site/details/260"/>
    <s v="https://www.google.com/maps/d/edit?mid=1nAyK85WaWREy0lfxnmWn3USs2gC0nP0&amp;usp=sharing"/>
    <x v="1"/>
    <x v="0"/>
    <x v="3"/>
    <x v="14"/>
    <x v="8"/>
    <x v="6"/>
    <x v="28"/>
    <x v="34"/>
  </r>
  <r>
    <s v="(DT) Albuquerque4"/>
    <x v="0"/>
    <x v="1"/>
    <x v="3"/>
    <x v="2"/>
    <x v="35"/>
    <x v="3"/>
    <s v="https://tools.sig.systems/site/details/237"/>
    <m/>
    <x v="1"/>
    <x v="0"/>
    <x v="27"/>
    <x v="0"/>
    <x v="0"/>
    <x v="27"/>
    <x v="29"/>
    <x v="35"/>
  </r>
  <r>
    <s v="(DT) Wichita4"/>
    <x v="0"/>
    <x v="1"/>
    <x v="1"/>
    <x v="1"/>
    <x v="36"/>
    <x v="1"/>
    <s v="https://tools.sig.systems/site/details/257"/>
    <m/>
    <x v="1"/>
    <x v="0"/>
    <x v="3"/>
    <x v="15"/>
    <x v="0"/>
    <x v="6"/>
    <x v="30"/>
    <x v="36"/>
  </r>
  <r>
    <s v="(HUD) Honda Greensboro4"/>
    <x v="0"/>
    <x v="1"/>
    <x v="0"/>
    <x v="0"/>
    <x v="37"/>
    <x v="0"/>
    <s v="https://tools.sig.systems/site/details/230"/>
    <s v="AS/ HUD - Crown Greensboro - Google My Maps"/>
    <x v="1"/>
    <x v="0"/>
    <x v="28"/>
    <x v="0"/>
    <x v="0"/>
    <x v="28"/>
    <x v="31"/>
    <x v="37"/>
  </r>
  <r>
    <s v="(HUD) Paint and Body Center (NO TOURS)4"/>
    <x v="0"/>
    <x v="1"/>
    <x v="0"/>
    <x v="0"/>
    <x v="38"/>
    <x v="0"/>
    <s v="https://tools.sig.systems/site/details/256"/>
    <s v="https://www.google.com/maps/d/viewer?mid=1ejOzT7-x6RWnCf83BBP7XhiOiwEX3Wk&amp;ll=36.061264791292906%2C-79.87437695000003&amp;z=17"/>
    <x v="1"/>
    <x v="0"/>
    <x v="3"/>
    <x v="9"/>
    <x v="0"/>
    <x v="6"/>
    <x v="11"/>
    <x v="38"/>
  </r>
  <r>
    <s v="(KG) Clear Lake Pre-Owned4"/>
    <x v="0"/>
    <x v="1"/>
    <x v="1"/>
    <x v="1"/>
    <x v="39"/>
    <x v="1"/>
    <s v="https://tools.sig.systems/site/details/255"/>
    <s v="https://www.google.com/maps/d/edit?mid=1DRwy5fy1g5UzGTA7a1OkQA-_CY8SQ2s&amp;usp=sharing"/>
    <x v="1"/>
    <x v="0"/>
    <x v="29"/>
    <x v="0"/>
    <x v="0"/>
    <x v="29"/>
    <x v="32"/>
    <x v="39"/>
  </r>
  <r>
    <s v="(KG) Kia of Phoenix (NO TOURS)4"/>
    <x v="0"/>
    <x v="1"/>
    <x v="5"/>
    <x v="3"/>
    <x v="40"/>
    <x v="4"/>
    <s v="https://tools.sig.systems/site/details/262"/>
    <m/>
    <x v="4"/>
    <x v="0"/>
    <x v="30"/>
    <x v="0"/>
    <x v="0"/>
    <x v="30"/>
    <x v="11"/>
    <x v="40"/>
  </r>
  <r>
    <s v="(KG) Texan GMC Buick (NO TOURS)4"/>
    <x v="0"/>
    <x v="1"/>
    <x v="1"/>
    <x v="1"/>
    <x v="41"/>
    <x v="1"/>
    <s v="https://tools.sig.systems/site/details/225"/>
    <s v="https://www.google.com/maps/d/edit?mid=1FNqK4dW8Z8gtSWuQLbStrtqe7lH8DIQ&amp;usp=sharing"/>
    <x v="1"/>
    <x v="0"/>
    <x v="31"/>
    <x v="0"/>
    <x v="0"/>
    <x v="31"/>
    <x v="33"/>
    <x v="41"/>
  </r>
  <r>
    <s v="(ML) Ford Lincoln of North Little Rock4"/>
    <x v="0"/>
    <x v="1"/>
    <x v="1"/>
    <x v="1"/>
    <x v="42"/>
    <x v="1"/>
    <s v="https://tools.sig.systems/site/details/214"/>
    <s v="https://www.google.com/maps/d/edit?mid=1Oky35ERk_2kgyzCvDu_odQ2ZP62BtqA&amp;usp=sharing"/>
    <x v="1"/>
    <x v="0"/>
    <x v="32"/>
    <x v="4"/>
    <x v="0"/>
    <x v="32"/>
    <x v="34"/>
    <x v="42"/>
  </r>
  <r>
    <s v="(ML) Joe Machens CDJR4"/>
    <x v="0"/>
    <x v="1"/>
    <x v="1"/>
    <x v="1"/>
    <x v="43"/>
    <x v="1"/>
    <s v="https://tools.sig.systems/site/details/273"/>
    <s v="https://www.google.com/maps/d/viewer?hl=es&amp;mid=1C1oZdjH3dNvCvqdpIv_Lk0Yn1OCVn-4&amp;ll=38.965368114274455%2C-92.3405954&amp;z=15"/>
    <x v="1"/>
    <x v="0"/>
    <x v="3"/>
    <x v="16"/>
    <x v="0"/>
    <x v="6"/>
    <x v="35"/>
    <x v="43"/>
  </r>
  <r>
    <s v="(ML) Joe Machens Temporary 2.04"/>
    <x v="0"/>
    <x v="1"/>
    <x v="1"/>
    <x v="1"/>
    <x v="44"/>
    <x v="1"/>
    <s v="https://tools.sig.systems/site/details/278"/>
    <s v="https://www.google.com/maps/d/viewer?hl=es&amp;mid=1C1oZdjH3dNvCvqdpIv_Lk0Yn1OCVn-4&amp;ll=38.965368114274455%2C-92.3405954&amp;z=15"/>
    <x v="1"/>
    <x v="0"/>
    <x v="3"/>
    <x v="17"/>
    <x v="0"/>
    <x v="33"/>
    <x v="11"/>
    <x v="44"/>
  </r>
  <r>
    <s v="(ML) Mazda VW-Lot B4"/>
    <x v="0"/>
    <x v="1"/>
    <x v="1"/>
    <x v="1"/>
    <x v="45"/>
    <x v="1"/>
    <s v="https://tools.sig.systems/site/details/205"/>
    <s v="https://www.google.com/maps/d/edit?mid=1Oky35ERk_2kgyzCvDu_odQ2ZP62BtqA&amp;usp=sharing"/>
    <x v="1"/>
    <x v="0"/>
    <x v="33"/>
    <x v="9"/>
    <x v="0"/>
    <x v="30"/>
    <x v="11"/>
    <x v="45"/>
  </r>
  <r>
    <s v="(ML) Nissan of Little Rock4"/>
    <x v="0"/>
    <x v="1"/>
    <x v="1"/>
    <x v="1"/>
    <x v="46"/>
    <x v="1"/>
    <s v="https://tools.sig.systems/site/details/224"/>
    <s v="https://www.google.com/maps/d/viewer?mid=1hvbKFMO-d5TXrKGU-g5dt_xcdArB1D0&amp;ll=34.71147784120261%2C-92.40574350000001&amp;z=17"/>
    <x v="1"/>
    <x v="0"/>
    <x v="34"/>
    <x v="0"/>
    <x v="0"/>
    <x v="34"/>
    <x v="7"/>
    <x v="46"/>
  </r>
  <r>
    <s v="(ML) Volvo Collision Corp4"/>
    <x v="0"/>
    <x v="1"/>
    <x v="1"/>
    <x v="1"/>
    <x v="47"/>
    <x v="1"/>
    <s v="https://tools.sig.systems/site/details/223"/>
    <m/>
    <x v="1"/>
    <x v="0"/>
    <x v="35"/>
    <x v="1"/>
    <x v="0"/>
    <x v="35"/>
    <x v="11"/>
    <x v="47"/>
  </r>
  <r>
    <s v="(PE) BMW Tenafly (NO TOURS)4"/>
    <x v="0"/>
    <x v="1"/>
    <x v="4"/>
    <x v="0"/>
    <x v="48"/>
    <x v="0"/>
    <s v="https://tools.sig.systems/site/details/155"/>
    <m/>
    <x v="1"/>
    <x v="0"/>
    <x v="36"/>
    <x v="18"/>
    <x v="0"/>
    <x v="6"/>
    <x v="19"/>
    <x v="48"/>
  </r>
  <r>
    <s v="(PE) Honda of Danbury (NO TOURS)4"/>
    <x v="0"/>
    <x v="1"/>
    <x v="4"/>
    <x v="0"/>
    <x v="49"/>
    <x v="0"/>
    <s v="https://tools.sig.systems/site/details/190"/>
    <m/>
    <x v="1"/>
    <x v="0"/>
    <x v="3"/>
    <x v="19"/>
    <x v="9"/>
    <x v="6"/>
    <x v="36"/>
    <x v="49"/>
  </r>
  <r>
    <s v="(PE) JLR PDI (NO TOURS)4"/>
    <x v="0"/>
    <x v="1"/>
    <x v="4"/>
    <x v="0"/>
    <x v="50"/>
    <x v="0"/>
    <s v="https://tools.sig.systems/site/details/179"/>
    <s v="https://www.google.com/maps/d/viewer?mid=1ubI2iKs1JyYXssuT4oLPnVvFnyLPi_s&amp;ll=40.878808846788026%2C-73.98560655&amp;z=17"/>
    <x v="1"/>
    <x v="0"/>
    <x v="37"/>
    <x v="0"/>
    <x v="0"/>
    <x v="6"/>
    <x v="11"/>
    <x v="50"/>
  </r>
  <r>
    <s v="(RV) Toms Camperland Surprise (NO TOURS)4"/>
    <x v="0"/>
    <x v="1"/>
    <x v="5"/>
    <x v="3"/>
    <x v="51"/>
    <x v="4"/>
    <s v="https://tools.sig.systems/site/details/254"/>
    <m/>
    <x v="5"/>
    <x v="0"/>
    <x v="38"/>
    <x v="0"/>
    <x v="0"/>
    <x v="6"/>
    <x v="37"/>
    <x v="51"/>
  </r>
  <r>
    <s v="(SCH) Chevrolet North Palm4"/>
    <x v="0"/>
    <x v="1"/>
    <x v="0"/>
    <x v="0"/>
    <x v="52"/>
    <x v="0"/>
    <s v="https://tools.sig.systems/site/details/160"/>
    <m/>
    <x v="3"/>
    <x v="0"/>
    <x v="39"/>
    <x v="0"/>
    <x v="0"/>
    <x v="6"/>
    <x v="38"/>
    <x v="52"/>
  </r>
  <r>
    <s v="(SCH) Prep Center Delray4"/>
    <x v="0"/>
    <x v="1"/>
    <x v="0"/>
    <x v="0"/>
    <x v="53"/>
    <x v="0"/>
    <s v="https://tools.sig.systems/site/details/321"/>
    <m/>
    <x v="1"/>
    <x v="0"/>
    <x v="40"/>
    <x v="0"/>
    <x v="0"/>
    <x v="6"/>
    <x v="39"/>
    <x v="53"/>
  </r>
  <r>
    <s v="(SCH) West Palm Beach I, II &amp; III4"/>
    <x v="0"/>
    <x v="1"/>
    <x v="6"/>
    <x v="0"/>
    <x v="54"/>
    <x v="0"/>
    <s v="https://tools.sig.systems/site/details/162"/>
    <m/>
    <x v="3"/>
    <x v="2"/>
    <x v="41"/>
    <x v="20"/>
    <x v="10"/>
    <x v="6"/>
    <x v="40"/>
    <x v="54"/>
  </r>
  <r>
    <s v="(AS) Bill Estes Ford (NO TOURS)4"/>
    <x v="0"/>
    <x v="2"/>
    <x v="0"/>
    <x v="0"/>
    <x v="55"/>
    <x v="0"/>
    <s v="https://tools.sig.systems/site/details/125"/>
    <m/>
    <x v="1"/>
    <x v="0"/>
    <x v="3"/>
    <x v="21"/>
    <x v="0"/>
    <x v="36"/>
    <x v="41"/>
    <x v="55"/>
  </r>
  <r>
    <s v="(AS) Courtesy CDJR of Brandon (NO TOURS)4"/>
    <x v="0"/>
    <x v="2"/>
    <x v="0"/>
    <x v="0"/>
    <x v="56"/>
    <x v="0"/>
    <s v="https://tools.sig.systems/site/details/126"/>
    <s v="https://www.google.com/maps/d/edit?mid=15R4hTDQx56ij99--JgozdqOIZh-kSlk&amp;usp=sharing"/>
    <x v="0"/>
    <x v="0"/>
    <x v="42"/>
    <x v="9"/>
    <x v="0"/>
    <x v="37"/>
    <x v="42"/>
    <x v="56"/>
  </r>
  <r>
    <s v="(AS) Courtesy Kia of Brandon (NO TOURS)4"/>
    <x v="0"/>
    <x v="2"/>
    <x v="0"/>
    <x v="0"/>
    <x v="57"/>
    <x v="0"/>
    <s v="https://tools.sig.systems/site/details/121"/>
    <s v="https://www.google.com/maps/d/edit?mid=15R4hTDQx56ij99--JgozdqOIZh-kSlk&amp;usp=sharing"/>
    <x v="0"/>
    <x v="0"/>
    <x v="3"/>
    <x v="22"/>
    <x v="0"/>
    <x v="38"/>
    <x v="43"/>
    <x v="57"/>
  </r>
  <r>
    <s v="(AS) David McDavid Lincoln Frisco (NO TOURS)4"/>
    <x v="0"/>
    <x v="2"/>
    <x v="1"/>
    <x v="1"/>
    <x v="58"/>
    <x v="1"/>
    <s v="https://tools.sig.systems/site/details/182"/>
    <m/>
    <x v="1"/>
    <x v="0"/>
    <x v="43"/>
    <x v="0"/>
    <x v="0"/>
    <x v="39"/>
    <x v="44"/>
    <x v="58"/>
  </r>
  <r>
    <s v="(AS) Park Place Bodywerks Dallas (NO TOURS)4"/>
    <x v="0"/>
    <x v="2"/>
    <x v="1"/>
    <x v="1"/>
    <x v="59"/>
    <x v="1"/>
    <s v="https://tools.sig.systems/site/details/166"/>
    <s v="https://www.google.com/maps/d/edit?hl=es&amp;mid=1uPmsRMsXnp74hPFW2t-sp2totVWF_xY&amp;ll=32.83050137713022%2C-96.83197783061323&amp;z=17"/>
    <x v="1"/>
    <x v="0"/>
    <x v="44"/>
    <x v="9"/>
    <x v="0"/>
    <x v="6"/>
    <x v="45"/>
    <x v="59"/>
  </r>
  <r>
    <s v="(AS) Park Place MB Recon Center Dallas (NO TOURS)4"/>
    <x v="0"/>
    <x v="2"/>
    <x v="1"/>
    <x v="1"/>
    <x v="60"/>
    <x v="1"/>
    <s v="https://tools.sig.systems/site/details/170"/>
    <s v="https://www.google.com/maps/d/edit?hl=es&amp;mid=1uPmsRMsXnp74hPFW2t-sp2totVWF_xY&amp;ll=32.83050137713022%2C-96.83197783061323&amp;z=17"/>
    <x v="1"/>
    <x v="0"/>
    <x v="45"/>
    <x v="0"/>
    <x v="0"/>
    <x v="40"/>
    <x v="19"/>
    <x v="60"/>
  </r>
  <r>
    <s v="(AS) Park Place Mercedes Benz Arlington (NO TOURS)4"/>
    <x v="0"/>
    <x v="2"/>
    <x v="1"/>
    <x v="1"/>
    <x v="61"/>
    <x v="1"/>
    <s v="https://tools.sig.systems/site/details/169"/>
    <m/>
    <x v="1"/>
    <x v="0"/>
    <x v="46"/>
    <x v="0"/>
    <x v="11"/>
    <x v="41"/>
    <x v="46"/>
    <x v="61"/>
  </r>
  <r>
    <s v="(AS) Park Place Volvo Service Center (NO TOURS)4"/>
    <x v="0"/>
    <x v="2"/>
    <x v="1"/>
    <x v="1"/>
    <x v="62"/>
    <x v="1"/>
    <s v="https://tools.sig.systems/site/details/171"/>
    <s v="https://www.google.com/maps/d/edit?hl=es&amp;mid=1uPmsRMsXnp74hPFW2t-sp2totVWF_xY&amp;ll=32.83050137713022%2C-96.83197783061323&amp;z=17"/>
    <x v="1"/>
    <x v="0"/>
    <x v="47"/>
    <x v="0"/>
    <x v="0"/>
    <x v="42"/>
    <x v="11"/>
    <x v="62"/>
  </r>
  <r>
    <s v="(AS) Plaza Lexus/Mercedes/BMW (NO TOURS)4"/>
    <x v="0"/>
    <x v="2"/>
    <x v="1"/>
    <x v="1"/>
    <x v="63"/>
    <x v="1"/>
    <s v="https://tools.sig.systems/site/details/141"/>
    <s v="https://www.google.com/maps/d/viewer?mid=1whGZ1PLqmhJnGFz8uigZqUL4cHGGW3w&amp;ll=38.668847686454825%2C-90.4433601&amp;z=17"/>
    <x v="1"/>
    <x v="0"/>
    <x v="48"/>
    <x v="23"/>
    <x v="0"/>
    <x v="43"/>
    <x v="47"/>
    <x v="63"/>
  </r>
  <r>
    <s v="(AS) Stevinson JLR (NO TOURS)4"/>
    <x v="0"/>
    <x v="2"/>
    <x v="3"/>
    <x v="2"/>
    <x v="64"/>
    <x v="3"/>
    <s v="https://tools.sig.systems/site/details/204"/>
    <m/>
    <x v="1"/>
    <x v="0"/>
    <x v="49"/>
    <x v="1"/>
    <x v="0"/>
    <x v="44"/>
    <x v="48"/>
    <x v="64"/>
  </r>
  <r>
    <s v="(DT) Colorado Springs (NO TOURS)4"/>
    <x v="0"/>
    <x v="2"/>
    <x v="3"/>
    <x v="2"/>
    <x v="65"/>
    <x v="3"/>
    <s v="https://tools.sig.systems/site/details/198"/>
    <m/>
    <x v="1"/>
    <x v="0"/>
    <x v="3"/>
    <x v="24"/>
    <x v="0"/>
    <x v="6"/>
    <x v="49"/>
    <x v="65"/>
  </r>
  <r>
    <s v="(DT) El Cajon (NO TOURS)4"/>
    <x v="0"/>
    <x v="2"/>
    <x v="5"/>
    <x v="4"/>
    <x v="66"/>
    <x v="4"/>
    <s v="https://tools.sig.systems/site/details/241"/>
    <m/>
    <x v="1"/>
    <x v="0"/>
    <x v="3"/>
    <x v="16"/>
    <x v="0"/>
    <x v="6"/>
    <x v="11"/>
    <x v="66"/>
  </r>
  <r>
    <s v="(DT) Louisville4"/>
    <x v="0"/>
    <x v="2"/>
    <x v="0"/>
    <x v="0"/>
    <x v="67"/>
    <x v="0"/>
    <s v="https://tools.sig.systems/site/details/258"/>
    <m/>
    <x v="1"/>
    <x v="0"/>
    <x v="3"/>
    <x v="16"/>
    <x v="0"/>
    <x v="6"/>
    <x v="50"/>
    <x v="67"/>
  </r>
  <r>
    <s v="(HUD) CDJR of Greensboro4"/>
    <x v="0"/>
    <x v="2"/>
    <x v="0"/>
    <x v="0"/>
    <x v="68"/>
    <x v="0"/>
    <s v="https://tools.sig.systems/site/details/215"/>
    <s v="https://www.google.com/maps/d/viewer?mid=1ejOzT7-x6RWnCf83BBP7XhiOiwEX3Wk&amp;ll=36.061264791292906%2C-79.87437695000003&amp;z=17"/>
    <x v="3"/>
    <x v="0"/>
    <x v="50"/>
    <x v="0"/>
    <x v="0"/>
    <x v="45"/>
    <x v="51"/>
    <x v="68"/>
  </r>
  <r>
    <s v="(JE) Jim Ellis Ford Sandy Springs4"/>
    <x v="0"/>
    <x v="2"/>
    <x v="0"/>
    <x v="0"/>
    <x v="69"/>
    <x v="0"/>
    <s v="https://tools.sig.systems/site/details/142"/>
    <m/>
    <x v="1"/>
    <x v="0"/>
    <x v="51"/>
    <x v="0"/>
    <x v="0"/>
    <x v="46"/>
    <x v="52"/>
    <x v="69"/>
  </r>
  <r>
    <s v="(KG) Baytown GMC Buick - Remote Lot (NO TOURS)4"/>
    <x v="0"/>
    <x v="2"/>
    <x v="2"/>
    <x v="1"/>
    <x v="70"/>
    <x v="2"/>
    <s v="https://tools.sig.systems/site/details/311"/>
    <m/>
    <x v="1"/>
    <x v="3"/>
    <x v="3"/>
    <x v="25"/>
    <x v="0"/>
    <x v="6"/>
    <x v="11"/>
    <x v="70"/>
  </r>
  <r>
    <s v="(KG) Baytown GMC Buick (NO TOURS)4"/>
    <x v="0"/>
    <x v="2"/>
    <x v="1"/>
    <x v="1"/>
    <x v="71"/>
    <x v="1"/>
    <s v="https://tools.sig.systems/site/details/239"/>
    <m/>
    <x v="1"/>
    <x v="0"/>
    <x v="52"/>
    <x v="0"/>
    <x v="0"/>
    <x v="47"/>
    <x v="53"/>
    <x v="71"/>
  </r>
  <r>
    <s v="(KG) Big Star Honda4"/>
    <x v="0"/>
    <x v="2"/>
    <x v="1"/>
    <x v="1"/>
    <x v="72"/>
    <x v="1"/>
    <s v="https://tools.sig.systems/site/details/231"/>
    <m/>
    <x v="1"/>
    <x v="0"/>
    <x v="53"/>
    <x v="0"/>
    <x v="0"/>
    <x v="48"/>
    <x v="54"/>
    <x v="72"/>
  </r>
  <r>
    <s v="(KG) JLR LEHI (NO TOURS)4"/>
    <x v="0"/>
    <x v="2"/>
    <x v="3"/>
    <x v="2"/>
    <x v="73"/>
    <x v="3"/>
    <s v="https://tools.sig.systems/site/details/145"/>
    <m/>
    <x v="1"/>
    <x v="0"/>
    <x v="54"/>
    <x v="0"/>
    <x v="0"/>
    <x v="49"/>
    <x v="11"/>
    <x v="73"/>
  </r>
  <r>
    <s v="(LM) Luther Mazda / Mitsubishi4"/>
    <x v="0"/>
    <x v="2"/>
    <x v="1"/>
    <x v="1"/>
    <x v="74"/>
    <x v="1"/>
    <s v="https://tools.sig.systems/site/details/147"/>
    <s v="https://www.google.com/maps/d/viewer?mid=1ot0ILX76JMuvd9yMuqkb4_e0yH1n7TA&amp;ll=45.07815812965141%2C-93.33506855000002&amp;z=17"/>
    <x v="1"/>
    <x v="0"/>
    <x v="55"/>
    <x v="0"/>
    <x v="12"/>
    <x v="6"/>
    <x v="55"/>
    <x v="74"/>
  </r>
  <r>
    <s v="(ML) Columbia Honda (NO TOURS)4"/>
    <x v="0"/>
    <x v="2"/>
    <x v="1"/>
    <x v="1"/>
    <x v="75"/>
    <x v="1"/>
    <s v="https://tools.sig.systems/site/details/272"/>
    <s v="https://www.google.com/maps/d/viewer?hl=es&amp;mid=1C1oZdjH3dNvCvqdpIv_Lk0Yn1OCVn-4&amp;ll=38.965368114274426%2C-92.3405954&amp;z=15"/>
    <x v="1"/>
    <x v="0"/>
    <x v="3"/>
    <x v="26"/>
    <x v="0"/>
    <x v="50"/>
    <x v="56"/>
    <x v="75"/>
  </r>
  <r>
    <s v="(ML) Joe Machens E Collision Center4"/>
    <x v="0"/>
    <x v="2"/>
    <x v="1"/>
    <x v="1"/>
    <x v="76"/>
    <x v="1"/>
    <s v="https://tools.sig.systems/site/details/277"/>
    <s v="https://www.google.com/maps/d/viewer?hl=es&amp;mid=1C1oZdjH3dNvCvqdpIv_Lk0Yn1OCVn-4&amp;ll=38.965368114274455%2C-92.3405954&amp;z=15"/>
    <x v="1"/>
    <x v="0"/>
    <x v="6"/>
    <x v="0"/>
    <x v="0"/>
    <x v="51"/>
    <x v="57"/>
    <x v="76"/>
  </r>
  <r>
    <s v="(ML) Joe Machens Ford Lincoln I &amp; II4"/>
    <x v="0"/>
    <x v="2"/>
    <x v="1"/>
    <x v="1"/>
    <x v="77"/>
    <x v="1"/>
    <s v="https://tools.sig.systems/site/details/266"/>
    <s v="https://www.google.com/maps/d/viewer?hl=es&amp;mid=1C1oZdjH3dNvCvqdpIv_Lk0Yn1OCVn-4&amp;ll=38.965368114274455%2C-92.3405954&amp;z=15"/>
    <x v="1"/>
    <x v="0"/>
    <x v="3"/>
    <x v="27"/>
    <x v="0"/>
    <x v="52"/>
    <x v="11"/>
    <x v="77"/>
  </r>
  <r>
    <s v="(ML) Joe Machens Nissan4"/>
    <x v="0"/>
    <x v="2"/>
    <x v="1"/>
    <x v="1"/>
    <x v="78"/>
    <x v="1"/>
    <s v="https://tools.sig.systems/site/details/279"/>
    <s v="https://www.google.com/maps/d/viewer?hl=es&amp;mid=1C1oZdjH3dNvCvqdpIv_Lk0Yn1OCVn-4&amp;ll=38.965368114274455%2C-92.3405954&amp;z=15"/>
    <x v="1"/>
    <x v="0"/>
    <x v="3"/>
    <x v="28"/>
    <x v="0"/>
    <x v="6"/>
    <x v="11"/>
    <x v="78"/>
  </r>
  <r>
    <s v="(ML) McLarty Gray-Daniels Ford Lincoln4"/>
    <x v="0"/>
    <x v="2"/>
    <x v="1"/>
    <x v="1"/>
    <x v="79"/>
    <x v="1"/>
    <s v="https://tools.sig.systems/site/details/151"/>
    <s v="https://www.google.com/maps/d/edit?mid=111nhCL4Xjj2Pq0zP5xUrMzHQqAihqa0&amp;usp=sharing"/>
    <x v="1"/>
    <x v="0"/>
    <x v="56"/>
    <x v="29"/>
    <x v="0"/>
    <x v="53"/>
    <x v="57"/>
    <x v="79"/>
  </r>
  <r>
    <s v="(ML) Nissan Of Benton4"/>
    <x v="0"/>
    <x v="2"/>
    <x v="1"/>
    <x v="1"/>
    <x v="80"/>
    <x v="1"/>
    <s v="https://tools.sig.systems/site/details/247"/>
    <m/>
    <x v="1"/>
    <x v="0"/>
    <x v="57"/>
    <x v="0"/>
    <x v="0"/>
    <x v="54"/>
    <x v="11"/>
    <x v="80"/>
  </r>
  <r>
    <s v="(PE) Hudson Toyota Nissan CDJR (NO TOURS)4"/>
    <x v="0"/>
    <x v="2"/>
    <x v="4"/>
    <x v="0"/>
    <x v="81"/>
    <x v="0"/>
    <s v="https://tools.sig.systems/site/details/156"/>
    <m/>
    <x v="1"/>
    <x v="0"/>
    <x v="49"/>
    <x v="30"/>
    <x v="0"/>
    <x v="55"/>
    <x v="58"/>
    <x v="81"/>
  </r>
  <r>
    <s v="(RML) Burleson Nissan4"/>
    <x v="0"/>
    <x v="2"/>
    <x v="1"/>
    <x v="1"/>
    <x v="82"/>
    <x v="1"/>
    <s v="https://tools.sig.systems/site/details/202"/>
    <m/>
    <x v="1"/>
    <x v="0"/>
    <x v="58"/>
    <x v="0"/>
    <x v="0"/>
    <x v="56"/>
    <x v="11"/>
    <x v="82"/>
  </r>
  <r>
    <s v="(SCH) Auto Body Shop Lake Park4"/>
    <x v="0"/>
    <x v="2"/>
    <x v="0"/>
    <x v="0"/>
    <x v="83"/>
    <x v="0"/>
    <s v="https://tools.sig.systems/site/details/158"/>
    <m/>
    <x v="1"/>
    <x v="0"/>
    <x v="59"/>
    <x v="0"/>
    <x v="0"/>
    <x v="6"/>
    <x v="11"/>
    <x v="83"/>
  </r>
  <r>
    <s v="(TC) Tavernier Creek Marina (NO TOURS)4"/>
    <x v="0"/>
    <x v="2"/>
    <x v="0"/>
    <x v="0"/>
    <x v="84"/>
    <x v="1"/>
    <s v="https://tools.sig.systems/site/details/164"/>
    <m/>
    <x v="6"/>
    <x v="0"/>
    <x v="60"/>
    <x v="0"/>
    <x v="0"/>
    <x v="6"/>
    <x v="59"/>
    <x v="84"/>
  </r>
  <r>
    <s v="SIG Office4"/>
    <x v="0"/>
    <x v="2"/>
    <x v="2"/>
    <x v="0"/>
    <x v="85"/>
    <x v="2"/>
    <s v="https://tools.sig.systems/site/details/163"/>
    <m/>
    <x v="1"/>
    <x v="0"/>
    <x v="3"/>
    <x v="0"/>
    <x v="0"/>
    <x v="6"/>
    <x v="60"/>
    <x v="85"/>
  </r>
  <r>
    <s v="(AS) Atwell Prep Center-Dallas (NO TOURS)4"/>
    <x v="0"/>
    <x v="3"/>
    <x v="1"/>
    <x v="1"/>
    <x v="86"/>
    <x v="1"/>
    <s v="https://tools.sig.systems/site/details/165"/>
    <s v="https://www.google.com/maps/d/edit?hl=es&amp;mid=1uPmsRMsXnp74hPFW2t-sp2totVWF_xY&amp;ll=32.83050137713022%2C-96.83197783061323&amp;z=17"/>
    <x v="1"/>
    <x v="0"/>
    <x v="61"/>
    <x v="0"/>
    <x v="0"/>
    <x v="6"/>
    <x v="28"/>
    <x v="86"/>
  </r>
  <r>
    <s v="(AS) Audi of North Atlanta (NO TOURS)4"/>
    <x v="0"/>
    <x v="3"/>
    <x v="0"/>
    <x v="0"/>
    <x v="87"/>
    <x v="0"/>
    <s v="https://tools.sig.systems/site/details/124"/>
    <s v="https://www.google.com/maps/d/edit?mid=1jkN3DS1BhUqp_dztjjW0PDwKfo_Yxsw&amp;usp=sharing"/>
    <x v="1"/>
    <x v="0"/>
    <x v="62"/>
    <x v="0"/>
    <x v="0"/>
    <x v="57"/>
    <x v="61"/>
    <x v="87"/>
  </r>
  <r>
    <s v="(AS) Courtesy Honda Palm Harbor (NO TOURS)4"/>
    <x v="0"/>
    <x v="3"/>
    <x v="0"/>
    <x v="0"/>
    <x v="88"/>
    <x v="0"/>
    <s v="https://tools.sig.systems/site/details/176"/>
    <m/>
    <x v="3"/>
    <x v="0"/>
    <x v="63"/>
    <x v="0"/>
    <x v="0"/>
    <x v="58"/>
    <x v="24"/>
    <x v="88"/>
  </r>
  <r>
    <s v="(AS) Courtesy Hyundai/Nissan Tampa (NO TOURS)4"/>
    <x v="0"/>
    <x v="3"/>
    <x v="0"/>
    <x v="0"/>
    <x v="89"/>
    <x v="0"/>
    <s v="https://tools.sig.systems/site/details/128"/>
    <m/>
    <x v="0"/>
    <x v="0"/>
    <x v="64"/>
    <x v="0"/>
    <x v="0"/>
    <x v="59"/>
    <x v="62"/>
    <x v="89"/>
  </r>
  <r>
    <s v="(AS) David McDavid Honda I &amp; II (NO TOURS)4"/>
    <x v="0"/>
    <x v="3"/>
    <x v="1"/>
    <x v="1"/>
    <x v="90"/>
    <x v="1"/>
    <s v="https://tools.sig.systems/site/details/129"/>
    <m/>
    <x v="1"/>
    <x v="0"/>
    <x v="3"/>
    <x v="31"/>
    <x v="0"/>
    <x v="60"/>
    <x v="63"/>
    <x v="90"/>
  </r>
  <r>
    <s v="(AS) Mike Shaw Subaru Greeley (NO TOURS)4"/>
    <x v="0"/>
    <x v="3"/>
    <x v="3"/>
    <x v="2"/>
    <x v="91"/>
    <x v="3"/>
    <s v="https://tools.sig.systems/site/details/174"/>
    <s v="https://www.google.com/maps/d/viewer?mid=1gN2lJ0iT7m5VNhD7aDcxE8AdXqtcOZc&amp;ll=40.396096737592195%2C-104.746842&amp;z=16"/>
    <x v="1"/>
    <x v="0"/>
    <x v="65"/>
    <x v="32"/>
    <x v="0"/>
    <x v="61"/>
    <x v="11"/>
    <x v="91"/>
  </r>
  <r>
    <s v="(AS) Park Place Bodywerks Ft. Worth (NO TOURS)4"/>
    <x v="0"/>
    <x v="3"/>
    <x v="1"/>
    <x v="1"/>
    <x v="92"/>
    <x v="1"/>
    <s v="https://tools.sig.systems/site/details/134"/>
    <s v="https://www.google.com/maps/d/edit?mid=18OEO_KbvYcgI3N1jE4gTMXfNHTNDrFU&amp;ll=32.66603989958274%2C-97.42021198201722&amp;z=18"/>
    <x v="1"/>
    <x v="0"/>
    <x v="66"/>
    <x v="0"/>
    <x v="0"/>
    <x v="62"/>
    <x v="64"/>
    <x v="92"/>
  </r>
  <r>
    <s v="(AS) Park Place JLR DFW Airport (NO TOURS)4"/>
    <x v="0"/>
    <x v="3"/>
    <x v="1"/>
    <x v="1"/>
    <x v="93"/>
    <x v="1"/>
    <s v="https://tools.sig.systems/site/details/135"/>
    <m/>
    <x v="1"/>
    <x v="0"/>
    <x v="67"/>
    <x v="33"/>
    <x v="13"/>
    <x v="63"/>
    <x v="65"/>
    <x v="93"/>
  </r>
  <r>
    <s v="(AS) Plano Auction (NO SPEAKERS)4"/>
    <x v="0"/>
    <x v="3"/>
    <x v="1"/>
    <x v="1"/>
    <x v="94"/>
    <x v="1"/>
    <s v="https://tools.sig.systems/site/details/140"/>
    <m/>
    <x v="1"/>
    <x v="0"/>
    <x v="3"/>
    <x v="34"/>
    <x v="0"/>
    <x v="64"/>
    <x v="66"/>
    <x v="94"/>
  </r>
  <r>
    <s v="(AS) Plaza Audi/Infiniti (NO TOURS)4"/>
    <x v="0"/>
    <x v="3"/>
    <x v="1"/>
    <x v="1"/>
    <x v="95"/>
    <x v="1"/>
    <s v="https://tools.sig.systems/site/details/141"/>
    <s v="https://www.google.com/maps/d/viewer?mid=1whGZ1PLqmhJnGFz8uigZqUL4cHGGW3w&amp;ll=38.668847686454825%2C-90.4433601&amp;z=17"/>
    <x v="1"/>
    <x v="0"/>
    <x v="68"/>
    <x v="35"/>
    <x v="0"/>
    <x v="65"/>
    <x v="67"/>
    <x v="63"/>
  </r>
  <r>
    <s v="(AS) Stevinson Chevrolet Golden (NO TOURS)4"/>
    <x v="0"/>
    <x v="3"/>
    <x v="7"/>
    <x v="2"/>
    <x v="96"/>
    <x v="3"/>
    <s v="https://tools.sig.systems/site/details/264"/>
    <s v="https://www.google.com/maps/d/edit?mid=1nAyK85WaWREy0lfxnmWn3USs2gC0nP0&amp;usp=sharing"/>
    <x v="1"/>
    <x v="0"/>
    <x v="3"/>
    <x v="36"/>
    <x v="0"/>
    <x v="66"/>
    <x v="68"/>
    <x v="95"/>
  </r>
  <r>
    <s v="(DT) Denver (NO TOURS)4"/>
    <x v="0"/>
    <x v="3"/>
    <x v="3"/>
    <x v="2"/>
    <x v="97"/>
    <x v="3"/>
    <s v="https://tools.sig.systems/site/details/203"/>
    <s v="https://www.google.com/maps/d/edit?mid=1AjZHz2LTg0RMhZUOmyZsv_Y4MFcaP8g&amp;usp=sharing"/>
    <x v="1"/>
    <x v="0"/>
    <x v="3"/>
    <x v="25"/>
    <x v="0"/>
    <x v="6"/>
    <x v="69"/>
    <x v="96"/>
  </r>
  <r>
    <s v="(DT) Escondido4"/>
    <x v="0"/>
    <x v="3"/>
    <x v="5"/>
    <x v="4"/>
    <x v="98"/>
    <x v="5"/>
    <s v="https://tools.sig.systems/site/details/196"/>
    <m/>
    <x v="1"/>
    <x v="4"/>
    <x v="20"/>
    <x v="0"/>
    <x v="0"/>
    <x v="6"/>
    <x v="70"/>
    <x v="97"/>
  </r>
  <r>
    <s v="(HUD) Acura of Greensboro4"/>
    <x v="0"/>
    <x v="3"/>
    <x v="0"/>
    <x v="0"/>
    <x v="99"/>
    <x v="0"/>
    <s v="https://tools.sig.systems/site/details/213"/>
    <s v="https://www.google.com/maps/d/viewer?mid=1ejOzT7-x6RWnCf83BBP7XhiOiwEX3Wk&amp;ll=0%2C0&amp;z=17"/>
    <x v="1"/>
    <x v="0"/>
    <x v="69"/>
    <x v="0"/>
    <x v="0"/>
    <x v="67"/>
    <x v="71"/>
    <x v="98"/>
  </r>
  <r>
    <s v="(HUD) BMW of Greensboro4"/>
    <x v="0"/>
    <x v="3"/>
    <x v="0"/>
    <x v="0"/>
    <x v="100"/>
    <x v="0"/>
    <s v="https://tools.sig.systems/site/details/219"/>
    <s v="https://www.google.com/maps/d/viewer?mid=1ejOzT7-x6RWnCf83BBP7XhiOiwEX3Wk&amp;ll=36.061264791292906%2C-79.87437695000003&amp;z=17"/>
    <x v="1"/>
    <x v="0"/>
    <x v="70"/>
    <x v="0"/>
    <x v="0"/>
    <x v="68"/>
    <x v="72"/>
    <x v="99"/>
  </r>
  <r>
    <s v="(KG) Big Star CDJR of Clear Lake4"/>
    <x v="0"/>
    <x v="3"/>
    <x v="1"/>
    <x v="1"/>
    <x v="101"/>
    <x v="1"/>
    <s v="https://tools.sig.systems/site/details/232"/>
    <s v="https://www.google.com/maps/d/edit?mid=1DRwy5fy1g5UzGTA7a1OkQA-_CY8SQ2s&amp;usp=sharing"/>
    <x v="1"/>
    <x v="0"/>
    <x v="71"/>
    <x v="0"/>
    <x v="0"/>
    <x v="69"/>
    <x v="73"/>
    <x v="100"/>
  </r>
  <r>
    <s v="(KG) Big Star Ford4"/>
    <x v="0"/>
    <x v="3"/>
    <x v="1"/>
    <x v="1"/>
    <x v="102"/>
    <x v="1"/>
    <s v="https://tools.sig.systems/site/details/235"/>
    <m/>
    <x v="1"/>
    <x v="0"/>
    <x v="72"/>
    <x v="0"/>
    <x v="0"/>
    <x v="70"/>
    <x v="74"/>
    <x v="101"/>
  </r>
  <r>
    <s v="(KG) Hyundai Surprise4"/>
    <x v="0"/>
    <x v="3"/>
    <x v="5"/>
    <x v="3"/>
    <x v="103"/>
    <x v="4"/>
    <s v="https://tools.sig.systems/site/details/269"/>
    <m/>
    <x v="4"/>
    <x v="0"/>
    <x v="73"/>
    <x v="0"/>
    <x v="0"/>
    <x v="71"/>
    <x v="11"/>
    <x v="102"/>
  </r>
  <r>
    <s v="(MK) McKenny Salinas Honda4"/>
    <x v="0"/>
    <x v="3"/>
    <x v="0"/>
    <x v="0"/>
    <x v="104"/>
    <x v="0"/>
    <s v="https://tools.sig.systems/site/details/149"/>
    <m/>
    <x v="1"/>
    <x v="0"/>
    <x v="3"/>
    <x v="37"/>
    <x v="0"/>
    <x v="6"/>
    <x v="75"/>
    <x v="103"/>
  </r>
  <r>
    <s v="(ML) BMW of Little Rock4"/>
    <x v="0"/>
    <x v="3"/>
    <x v="1"/>
    <x v="1"/>
    <x v="105"/>
    <x v="1"/>
    <s v="https://tools.sig.systems/site/details/217"/>
    <s v="https://www.google.com/maps/d/viewer?mid=1hvbKFMO-d5TXrKGU-g5dt_xcdArB1D0&amp;ll=34.71147784120261%2C-92.40574350000001&amp;z=17"/>
    <x v="1"/>
    <x v="0"/>
    <x v="3"/>
    <x v="38"/>
    <x v="0"/>
    <x v="6"/>
    <x v="76"/>
    <x v="104"/>
  </r>
  <r>
    <s v="(ML) Collision Center N Little Rock4"/>
    <x v="0"/>
    <x v="3"/>
    <x v="1"/>
    <x v="1"/>
    <x v="106"/>
    <x v="1"/>
    <s v="https://tools.sig.systems/site/details/212"/>
    <s v="https://www.google.com/maps/d/edit?mid=1Oky35ERk_2kgyzCvDu_odQ2ZP62BtqA&amp;usp=sharing"/>
    <x v="1"/>
    <x v="0"/>
    <x v="3"/>
    <x v="0"/>
    <x v="0"/>
    <x v="6"/>
    <x v="77"/>
    <x v="105"/>
  </r>
  <r>
    <s v="(ML) Joe Machens Kia of Columbia4"/>
    <x v="0"/>
    <x v="3"/>
    <x v="1"/>
    <x v="1"/>
    <x v="107"/>
    <x v="1"/>
    <s v="https://tools.sig.systems/site/details/270"/>
    <s v="https://www.google.com/maps/d/viewer?hl=es&amp;mid=1C1oZdjH3dNvCvqdpIv_Lk0Yn1OCVn-4&amp;ll=38.965368114274455%2C-92.3405954&amp;z=15"/>
    <x v="1"/>
    <x v="0"/>
    <x v="3"/>
    <x v="39"/>
    <x v="0"/>
    <x v="6"/>
    <x v="78"/>
    <x v="106"/>
  </r>
  <r>
    <s v="(ML) McLarty Gray-Daniels Toyota Nissan4"/>
    <x v="0"/>
    <x v="3"/>
    <x v="1"/>
    <x v="1"/>
    <x v="108"/>
    <x v="1"/>
    <s v="https://tools.sig.systems/site/details/152"/>
    <s v="https://www.google.com/maps/d/edit?mid=111nhCL4Xjj2Pq0zP5xUrMzHQqAihqa0&amp;usp=sharing"/>
    <x v="1"/>
    <x v="0"/>
    <x v="3"/>
    <x v="40"/>
    <x v="0"/>
    <x v="72"/>
    <x v="79"/>
    <x v="107"/>
  </r>
  <r>
    <s v="(ML) McLarty-Gray Daniels Chevrolet4"/>
    <x v="0"/>
    <x v="3"/>
    <x v="1"/>
    <x v="1"/>
    <x v="109"/>
    <x v="1"/>
    <s v="https://tools.sig.systems/site/details/150"/>
    <m/>
    <x v="1"/>
    <x v="0"/>
    <x v="74"/>
    <x v="0"/>
    <x v="0"/>
    <x v="73"/>
    <x v="80"/>
    <x v="108"/>
  </r>
  <r>
    <s v="(PE) BMW of Greenwich (NO TOURS)4"/>
    <x v="0"/>
    <x v="3"/>
    <x v="4"/>
    <x v="0"/>
    <x v="110"/>
    <x v="0"/>
    <s v="https://tools.sig.systems/site/details/186"/>
    <s v="https://www.google.com/maps/d/edit?hl=en&amp;mid=1UHmt7tH1ihTa85i0MfQIcTfVvIQg_vM&amp;ll=41.024187580466844%2C-73.63702405370861&amp;z=18"/>
    <x v="1"/>
    <x v="0"/>
    <x v="75"/>
    <x v="0"/>
    <x v="0"/>
    <x v="6"/>
    <x v="81"/>
    <x v="109"/>
  </r>
  <r>
    <s v="(PE) BMW of Mamaroneck (NO TOURS)4"/>
    <x v="0"/>
    <x v="3"/>
    <x v="4"/>
    <x v="0"/>
    <x v="111"/>
    <x v="0"/>
    <s v="https://tools.sig.systems/site/details/185"/>
    <m/>
    <x v="1"/>
    <x v="0"/>
    <x v="76"/>
    <x v="41"/>
    <x v="0"/>
    <x v="6"/>
    <x v="82"/>
    <x v="110"/>
  </r>
  <r>
    <s v="(PE) JLR Darien PDI (NO TOURS)4"/>
    <x v="0"/>
    <x v="3"/>
    <x v="4"/>
    <x v="0"/>
    <x v="112"/>
    <x v="0"/>
    <s v="https://tools.sig.systems/site/details/187"/>
    <s v="https://www.google.com/maps/d/viewer?mid=1ebZp8DeTYSXNPgDIA63nFVDu9ohaO4E&amp;ll=41.08027837958441%2C-73.46597874999999&amp;z=15"/>
    <x v="1"/>
    <x v="0"/>
    <x v="6"/>
    <x v="0"/>
    <x v="0"/>
    <x v="74"/>
    <x v="83"/>
    <x v="111"/>
  </r>
  <r>
    <s v="(PE) Scofield Service Center (NO TOURS)4"/>
    <x v="0"/>
    <x v="3"/>
    <x v="4"/>
    <x v="0"/>
    <x v="113"/>
    <x v="0"/>
    <s v="https://tools.sig.systems/site/details/193"/>
    <s v="https://www.google.com/maps/d/viewer?mid=1FEo41PzFJQjUIXXKitX5TNCtuqR6Vbs&amp;ll=41.1663376742533%2C-73.22955662049608&amp;z=16"/>
    <x v="1"/>
    <x v="0"/>
    <x v="6"/>
    <x v="0"/>
    <x v="0"/>
    <x v="75"/>
    <x v="51"/>
    <x v="112"/>
  </r>
  <r>
    <s v="(RV) Sonny's Camp N Travel Concord4"/>
    <x v="0"/>
    <x v="3"/>
    <x v="0"/>
    <x v="0"/>
    <x v="114"/>
    <x v="0"/>
    <s v="https://tools.sig.systems/site/details/183"/>
    <m/>
    <x v="1"/>
    <x v="0"/>
    <x v="6"/>
    <x v="0"/>
    <x v="0"/>
    <x v="76"/>
    <x v="84"/>
    <x v="113"/>
  </r>
  <r>
    <s v="(WAG) Greeley Chrysler Dodge Jeep Ram (NO TOURS)4"/>
    <x v="0"/>
    <x v="3"/>
    <x v="3"/>
    <x v="2"/>
    <x v="115"/>
    <x v="3"/>
    <s v="https://tools.sig.systems/site/details/130"/>
    <s v="https://www.google.com/maps/d/viewer?mid=1gN2lJ0iT7m5VNhD7aDcxE8AdXqtcOZc&amp;ll=40.396096737592195%2C-104.746842&amp;z=16"/>
    <x v="1"/>
    <x v="0"/>
    <x v="77"/>
    <x v="42"/>
    <x v="0"/>
    <x v="77"/>
    <x v="85"/>
    <x v="114"/>
  </r>
  <r>
    <s v="(AS) Audi of North Atlanta (NO TOURS)5"/>
    <x v="1"/>
    <x v="0"/>
    <x v="0"/>
    <x v="0"/>
    <x v="87"/>
    <x v="0"/>
    <s v="https://tools.sig.systems/site/details/124"/>
    <s v="https://www.google.com/maps/d/edit?mid=1jkN3DS1BhUqp_dztjjW0PDwKfo_Yxsw&amp;usp=sharing"/>
    <x v="1"/>
    <x v="0"/>
    <x v="62"/>
    <x v="0"/>
    <x v="0"/>
    <x v="57"/>
    <x v="61"/>
    <x v="87"/>
  </r>
  <r>
    <s v="(AS) Courtesy Kia of Brandon (NO TOURS)5"/>
    <x v="1"/>
    <x v="0"/>
    <x v="0"/>
    <x v="0"/>
    <x v="57"/>
    <x v="0"/>
    <s v="https://tools.sig.systems/site/details/121"/>
    <s v="https://www.google.com/maps/d/edit?mid=15R4hTDQx56ij99--JgozdqOIZh-kSlk&amp;usp=sharing"/>
    <x v="0"/>
    <x v="0"/>
    <x v="3"/>
    <x v="22"/>
    <x v="0"/>
    <x v="38"/>
    <x v="43"/>
    <x v="57"/>
  </r>
  <r>
    <s v="(AS) Lexus Smyrna (NO TOURS)5"/>
    <x v="1"/>
    <x v="0"/>
    <x v="0"/>
    <x v="0"/>
    <x v="30"/>
    <x v="0"/>
    <s v="https://tools.sig.systems/site/details/133"/>
    <m/>
    <x v="1"/>
    <x v="0"/>
    <x v="24"/>
    <x v="0"/>
    <x v="0"/>
    <x v="24"/>
    <x v="25"/>
    <x v="30"/>
  </r>
  <r>
    <s v="(AS) Mike Shaw Subaru Greeley (NO TOURS)5"/>
    <x v="1"/>
    <x v="0"/>
    <x v="3"/>
    <x v="2"/>
    <x v="91"/>
    <x v="3"/>
    <s v="https://tools.sig.systems/site/details/174"/>
    <s v="https://www.google.com/maps/d/viewer?mid=1gN2lJ0iT7m5VNhD7aDcxE8AdXqtcOZc&amp;ll=40.396096737592195%2C-104.746842&amp;z=16"/>
    <x v="1"/>
    <x v="0"/>
    <x v="65"/>
    <x v="32"/>
    <x v="0"/>
    <x v="61"/>
    <x v="11"/>
    <x v="91"/>
  </r>
  <r>
    <s v="(AS) Park Place Bodywerks Dallas (NO TOURS)5"/>
    <x v="1"/>
    <x v="0"/>
    <x v="1"/>
    <x v="1"/>
    <x v="59"/>
    <x v="1"/>
    <s v="https://tools.sig.systems/site/details/166"/>
    <s v="https://www.google.com/maps/d/edit?hl=es&amp;mid=1uPmsRMsXnp74hPFW2t-sp2totVWF_xY&amp;ll=32.83050137713022%2C-96.83197783061323&amp;z=17"/>
    <x v="1"/>
    <x v="0"/>
    <x v="44"/>
    <x v="9"/>
    <x v="0"/>
    <x v="6"/>
    <x v="45"/>
    <x v="59"/>
  </r>
  <r>
    <s v="(AS) Park Place Bodywerks Ft. Worth (NO TOURS)5"/>
    <x v="1"/>
    <x v="0"/>
    <x v="1"/>
    <x v="1"/>
    <x v="92"/>
    <x v="1"/>
    <s v="https://tools.sig.systems/site/details/134"/>
    <s v="https://www.google.com/maps/d/edit?mid=18OEO_KbvYcgI3N1jE4gTMXfNHTNDrFU&amp;ll=32.66603989958274%2C-97.42021198201722&amp;z=18"/>
    <x v="1"/>
    <x v="0"/>
    <x v="66"/>
    <x v="0"/>
    <x v="0"/>
    <x v="62"/>
    <x v="64"/>
    <x v="92"/>
  </r>
  <r>
    <s v="(AS) Plaza Audi/Infiniti (NO TOURS)5"/>
    <x v="1"/>
    <x v="0"/>
    <x v="1"/>
    <x v="1"/>
    <x v="95"/>
    <x v="1"/>
    <s v="https://tools.sig.systems/site/details/141"/>
    <s v="https://www.google.com/maps/d/viewer?mid=1whGZ1PLqmhJnGFz8uigZqUL4cHGGW3w&amp;ll=38.668847686454825%2C-90.4433601&amp;z=17"/>
    <x v="1"/>
    <x v="0"/>
    <x v="68"/>
    <x v="35"/>
    <x v="0"/>
    <x v="65"/>
    <x v="67"/>
    <x v="63"/>
  </r>
  <r>
    <s v="(AS) Plaza Lexus/Mercedes/BMW (NO TOURS)5"/>
    <x v="1"/>
    <x v="0"/>
    <x v="1"/>
    <x v="1"/>
    <x v="63"/>
    <x v="1"/>
    <s v="https://tools.sig.systems/site/details/141"/>
    <s v="https://www.google.com/maps/d/viewer?mid=1whGZ1PLqmhJnGFz8uigZqUL4cHGGW3w&amp;ll=38.668847686454825%2C-90.4433601&amp;z=17"/>
    <x v="1"/>
    <x v="0"/>
    <x v="48"/>
    <x v="23"/>
    <x v="0"/>
    <x v="43"/>
    <x v="47"/>
    <x v="63"/>
  </r>
  <r>
    <s v="(AS) Stevinson JLR (NO TOURS)5"/>
    <x v="1"/>
    <x v="0"/>
    <x v="3"/>
    <x v="2"/>
    <x v="64"/>
    <x v="3"/>
    <s v="https://tools.sig.systems/site/details/204"/>
    <m/>
    <x v="1"/>
    <x v="0"/>
    <x v="49"/>
    <x v="1"/>
    <x v="0"/>
    <x v="44"/>
    <x v="48"/>
    <x v="64"/>
  </r>
  <r>
    <s v="(DT) Denver (NO TOURS)5"/>
    <x v="1"/>
    <x v="0"/>
    <x v="3"/>
    <x v="2"/>
    <x v="97"/>
    <x v="3"/>
    <s v="https://tools.sig.systems/site/details/203"/>
    <s v="https://www.google.com/maps/d/edit?mid=1AjZHz2LTg0RMhZUOmyZsv_Y4MFcaP8g&amp;usp=sharing"/>
    <x v="1"/>
    <x v="0"/>
    <x v="3"/>
    <x v="25"/>
    <x v="0"/>
    <x v="6"/>
    <x v="69"/>
    <x v="96"/>
  </r>
  <r>
    <s v="(DT) N. Houston5"/>
    <x v="1"/>
    <x v="0"/>
    <x v="1"/>
    <x v="1"/>
    <x v="9"/>
    <x v="1"/>
    <s v="https://tools.sig.systems/site/details/250"/>
    <m/>
    <x v="1"/>
    <x v="0"/>
    <x v="8"/>
    <x v="0"/>
    <x v="0"/>
    <x v="8"/>
    <x v="9"/>
    <x v="9"/>
  </r>
  <r>
    <s v="(HUD) Honda Greensboro5"/>
    <x v="1"/>
    <x v="0"/>
    <x v="0"/>
    <x v="0"/>
    <x v="37"/>
    <x v="0"/>
    <s v="https://tools.sig.systems/site/details/230"/>
    <s v="AS/ HUD - Crown Greensboro - Google My Maps"/>
    <x v="1"/>
    <x v="0"/>
    <x v="28"/>
    <x v="0"/>
    <x v="0"/>
    <x v="28"/>
    <x v="31"/>
    <x v="37"/>
  </r>
  <r>
    <s v="(HUD) Honda of Southpoint5"/>
    <x v="1"/>
    <x v="0"/>
    <x v="0"/>
    <x v="0"/>
    <x v="11"/>
    <x v="0"/>
    <s v="https://tools.sig.systems/site/details/195"/>
    <m/>
    <x v="0"/>
    <x v="0"/>
    <x v="10"/>
    <x v="4"/>
    <x v="0"/>
    <x v="10"/>
    <x v="11"/>
    <x v="11"/>
  </r>
  <r>
    <s v="(KG) Clear Lake Pre-Owned5"/>
    <x v="1"/>
    <x v="0"/>
    <x v="1"/>
    <x v="1"/>
    <x v="39"/>
    <x v="1"/>
    <s v="https://tools.sig.systems/site/details/255"/>
    <s v="https://www.google.com/maps/d/edit?mid=1DRwy5fy1g5UzGTA7a1OkQA-_CY8SQ2s&amp;usp=sharing"/>
    <x v="1"/>
    <x v="0"/>
    <x v="29"/>
    <x v="0"/>
    <x v="0"/>
    <x v="29"/>
    <x v="32"/>
    <x v="39"/>
  </r>
  <r>
    <s v="(KG) Kia of Phoenix (NO TOURS)5"/>
    <x v="1"/>
    <x v="0"/>
    <x v="5"/>
    <x v="3"/>
    <x v="40"/>
    <x v="4"/>
    <s v="https://tools.sig.systems/site/details/262"/>
    <m/>
    <x v="4"/>
    <x v="0"/>
    <x v="30"/>
    <x v="0"/>
    <x v="0"/>
    <x v="30"/>
    <x v="11"/>
    <x v="40"/>
  </r>
  <r>
    <s v="(KG) Truck Center Remote Storage Lot5"/>
    <x v="1"/>
    <x v="0"/>
    <x v="2"/>
    <x v="2"/>
    <x v="14"/>
    <x v="2"/>
    <s v="https://tools.sig.systems/site/details/144"/>
    <m/>
    <x v="1"/>
    <x v="0"/>
    <x v="13"/>
    <x v="5"/>
    <x v="0"/>
    <x v="12"/>
    <x v="14"/>
    <x v="14"/>
  </r>
  <r>
    <s v="(KT) Northwest CDJR (NO TOURS)5"/>
    <x v="1"/>
    <x v="0"/>
    <x v="1"/>
    <x v="1"/>
    <x v="15"/>
    <x v="1"/>
    <s v="https://tools.sig.systems/site/details/229"/>
    <m/>
    <x v="1"/>
    <x v="0"/>
    <x v="14"/>
    <x v="0"/>
    <x v="0"/>
    <x v="13"/>
    <x v="11"/>
    <x v="15"/>
  </r>
  <r>
    <s v="(ML) Joe Machens Capital City I &amp; II (NO TOURS)5"/>
    <x v="1"/>
    <x v="0"/>
    <x v="1"/>
    <x v="1"/>
    <x v="17"/>
    <x v="1"/>
    <s v="https://tools.sig.systems/site/details/271"/>
    <m/>
    <x v="1"/>
    <x v="0"/>
    <x v="3"/>
    <x v="6"/>
    <x v="0"/>
    <x v="15"/>
    <x v="16"/>
    <x v="17"/>
  </r>
  <r>
    <s v="(ML) Joe Machens CDJR5"/>
    <x v="1"/>
    <x v="0"/>
    <x v="1"/>
    <x v="1"/>
    <x v="43"/>
    <x v="1"/>
    <s v="https://tools.sig.systems/site/details/273"/>
    <s v="https://www.google.com/maps/d/viewer?hl=es&amp;mid=1C1oZdjH3dNvCvqdpIv_Lk0Yn1OCVn-4&amp;ll=38.965368114274455%2C-92.3405954&amp;z=15"/>
    <x v="1"/>
    <x v="0"/>
    <x v="3"/>
    <x v="16"/>
    <x v="0"/>
    <x v="6"/>
    <x v="35"/>
    <x v="43"/>
  </r>
  <r>
    <s v="(ML) McLarty Gray-Daniels Ford Lincoln5"/>
    <x v="1"/>
    <x v="0"/>
    <x v="1"/>
    <x v="1"/>
    <x v="79"/>
    <x v="1"/>
    <s v="https://tools.sig.systems/site/details/151"/>
    <s v="https://www.google.com/maps/d/edit?mid=111nhCL4Xjj2Pq0zP5xUrMzHQqAihqa0&amp;usp=sharing"/>
    <x v="1"/>
    <x v="0"/>
    <x v="56"/>
    <x v="29"/>
    <x v="0"/>
    <x v="53"/>
    <x v="57"/>
    <x v="79"/>
  </r>
  <r>
    <s v="(ML) McLarty Gray-Daniels Toyota Nissan5"/>
    <x v="1"/>
    <x v="0"/>
    <x v="1"/>
    <x v="1"/>
    <x v="108"/>
    <x v="1"/>
    <s v="https://tools.sig.systems/site/details/152"/>
    <s v="https://www.google.com/maps/d/edit?mid=111nhCL4Xjj2Pq0zP5xUrMzHQqAihqa0&amp;usp=sharing"/>
    <x v="1"/>
    <x v="0"/>
    <x v="3"/>
    <x v="40"/>
    <x v="0"/>
    <x v="72"/>
    <x v="79"/>
    <x v="107"/>
  </r>
  <r>
    <s v="(PE) Scofield Service Center (NO TOURS)5"/>
    <x v="1"/>
    <x v="0"/>
    <x v="4"/>
    <x v="0"/>
    <x v="113"/>
    <x v="0"/>
    <s v="https://tools.sig.systems/site/details/193"/>
    <s v="https://www.google.com/maps/d/viewer?mid=1FEo41PzFJQjUIXXKitX5TNCtuqR6Vbs&amp;ll=41.1663376742533%2C-73.22955662049608&amp;z=16"/>
    <x v="1"/>
    <x v="0"/>
    <x v="6"/>
    <x v="0"/>
    <x v="0"/>
    <x v="75"/>
    <x v="51"/>
    <x v="112"/>
  </r>
  <r>
    <s v="(RV) Toms Camperland Avondale (NO TOURS)5"/>
    <x v="1"/>
    <x v="0"/>
    <x v="5"/>
    <x v="3"/>
    <x v="24"/>
    <x v="4"/>
    <s v="https://tools.sig.systems/site/details/248"/>
    <s v="https://www.google.com/maps/d/viewer?mid=1bDs0QGFZwL3vEeGKxjVMk_j4azr0-lg&amp;ll=33.4593758581648%2C-112.28793780000001&amp;z=18"/>
    <x v="2"/>
    <x v="0"/>
    <x v="19"/>
    <x v="10"/>
    <x v="0"/>
    <x v="6"/>
    <x v="20"/>
    <x v="24"/>
  </r>
  <r>
    <s v="(AS) Bill Estes Ford (NO TOURS)5"/>
    <x v="1"/>
    <x v="1"/>
    <x v="0"/>
    <x v="0"/>
    <x v="55"/>
    <x v="0"/>
    <s v="https://tools.sig.systems/site/details/125"/>
    <m/>
    <x v="1"/>
    <x v="0"/>
    <x v="3"/>
    <x v="21"/>
    <x v="0"/>
    <x v="36"/>
    <x v="41"/>
    <x v="55"/>
  </r>
  <r>
    <s v="(AS) Courtesy Hyundai/Nissan Tampa (NO TOURS)5"/>
    <x v="1"/>
    <x v="1"/>
    <x v="0"/>
    <x v="0"/>
    <x v="89"/>
    <x v="0"/>
    <s v="https://tools.sig.systems/site/details/128"/>
    <m/>
    <x v="0"/>
    <x v="0"/>
    <x v="64"/>
    <x v="0"/>
    <x v="0"/>
    <x v="59"/>
    <x v="62"/>
    <x v="89"/>
  </r>
  <r>
    <s v="(AS) Nalley BMW Collision Center (NO TOURS)5"/>
    <x v="1"/>
    <x v="1"/>
    <x v="0"/>
    <x v="0"/>
    <x v="3"/>
    <x v="0"/>
    <s v="https://tools.sig.systems/site/details/220"/>
    <m/>
    <x v="1"/>
    <x v="0"/>
    <x v="3"/>
    <x v="1"/>
    <x v="0"/>
    <x v="3"/>
    <x v="3"/>
    <x v="3"/>
  </r>
  <r>
    <s v="(AS) Park Place Acura (NO TOURS)5"/>
    <x v="1"/>
    <x v="1"/>
    <x v="1"/>
    <x v="1"/>
    <x v="32"/>
    <x v="1"/>
    <s v="https://tools.sig.systems/site/details/259"/>
    <s v="https://www.google.com/maps/d/viewer?mid=1wg5suxVuxeNp_irHlvN772HcwD6W89E&amp;ll=33.06373951220261%2C-96.82758025000001&amp;z=18"/>
    <x v="1"/>
    <x v="0"/>
    <x v="25"/>
    <x v="0"/>
    <x v="0"/>
    <x v="25"/>
    <x v="11"/>
    <x v="32"/>
  </r>
  <r>
    <s v="(AS) Park Place JLR DFW Airport (NO TOURS)5"/>
    <x v="1"/>
    <x v="1"/>
    <x v="1"/>
    <x v="1"/>
    <x v="93"/>
    <x v="1"/>
    <s v="https://tools.sig.systems/site/details/135"/>
    <m/>
    <x v="1"/>
    <x v="0"/>
    <x v="67"/>
    <x v="33"/>
    <x v="13"/>
    <x v="63"/>
    <x v="65"/>
    <x v="93"/>
  </r>
  <r>
    <s v="(AS) Plano Auction (NO SPEAKERS)5"/>
    <x v="1"/>
    <x v="1"/>
    <x v="1"/>
    <x v="1"/>
    <x v="94"/>
    <x v="1"/>
    <s v="https://tools.sig.systems/site/details/140"/>
    <m/>
    <x v="1"/>
    <x v="0"/>
    <x v="3"/>
    <x v="34"/>
    <x v="0"/>
    <x v="64"/>
    <x v="66"/>
    <x v="94"/>
  </r>
  <r>
    <s v="(AS) Stevinson Lexus of Lakewood (NO TOURS)5"/>
    <x v="1"/>
    <x v="1"/>
    <x v="3"/>
    <x v="2"/>
    <x v="34"/>
    <x v="3"/>
    <s v="https://tools.sig.systems/site/details/260"/>
    <s v="https://www.google.com/maps/d/edit?mid=1nAyK85WaWREy0lfxnmWn3USs2gC0nP0&amp;usp=sharing"/>
    <x v="1"/>
    <x v="0"/>
    <x v="3"/>
    <x v="14"/>
    <x v="8"/>
    <x v="6"/>
    <x v="28"/>
    <x v="34"/>
  </r>
  <r>
    <s v="(HUD) CDJR of Greensboro5"/>
    <x v="1"/>
    <x v="1"/>
    <x v="0"/>
    <x v="0"/>
    <x v="68"/>
    <x v="0"/>
    <s v="https://tools.sig.systems/site/details/215"/>
    <s v="https://www.google.com/maps/d/viewer?mid=1ejOzT7-x6RWnCf83BBP7XhiOiwEX3Wk&amp;ll=36.061264791292906%2C-79.87437695000003&amp;z=17"/>
    <x v="3"/>
    <x v="0"/>
    <x v="50"/>
    <x v="0"/>
    <x v="0"/>
    <x v="45"/>
    <x v="51"/>
    <x v="68"/>
  </r>
  <r>
    <s v="(HUD) Nissan Greensboro5"/>
    <x v="1"/>
    <x v="1"/>
    <x v="0"/>
    <x v="0"/>
    <x v="12"/>
    <x v="0"/>
    <s v="https://tools.sig.systems/site/details/236"/>
    <s v="https://www.google.com/maps/d/viewer?mid=1ejOzT7-x6RWnCf83BBP7XhiOiwEX3Wk&amp;ll=36.061264791292906%2C-79.87437695000003&amp;z=17"/>
    <x v="1"/>
    <x v="0"/>
    <x v="11"/>
    <x v="0"/>
    <x v="0"/>
    <x v="6"/>
    <x v="12"/>
    <x v="12"/>
  </r>
  <r>
    <s v="(KG) Baytown GMC Buick - Remote Lot (NO TOURS)5"/>
    <x v="1"/>
    <x v="1"/>
    <x v="2"/>
    <x v="1"/>
    <x v="70"/>
    <x v="2"/>
    <s v="https://tools.sig.systems/site/details/311"/>
    <m/>
    <x v="1"/>
    <x v="3"/>
    <x v="3"/>
    <x v="25"/>
    <x v="0"/>
    <x v="6"/>
    <x v="11"/>
    <x v="70"/>
  </r>
  <r>
    <s v="(KG) Big Star Honda5"/>
    <x v="1"/>
    <x v="1"/>
    <x v="1"/>
    <x v="1"/>
    <x v="72"/>
    <x v="1"/>
    <s v="https://tools.sig.systems/site/details/231"/>
    <m/>
    <x v="1"/>
    <x v="0"/>
    <x v="53"/>
    <x v="0"/>
    <x v="0"/>
    <x v="48"/>
    <x v="54"/>
    <x v="72"/>
  </r>
  <r>
    <s v="(KG) JLR LEHI (NO TOURS)5"/>
    <x v="1"/>
    <x v="1"/>
    <x v="3"/>
    <x v="2"/>
    <x v="73"/>
    <x v="3"/>
    <s v="https://tools.sig.systems/site/details/145"/>
    <m/>
    <x v="1"/>
    <x v="0"/>
    <x v="54"/>
    <x v="0"/>
    <x v="0"/>
    <x v="49"/>
    <x v="11"/>
    <x v="73"/>
  </r>
  <r>
    <s v="(KG) Texan CDJR5"/>
    <x v="1"/>
    <x v="1"/>
    <x v="1"/>
    <x v="1"/>
    <x v="13"/>
    <x v="1"/>
    <s v="https://tools.sig.systems/site/details/238"/>
    <s v="https://www.google.com/maps/d/edit?mid=1FNqK4dW8Z8gtSWuQLbStrtqe7lH8DIQ&amp;usp=sharing"/>
    <x v="1"/>
    <x v="0"/>
    <x v="12"/>
    <x v="0"/>
    <x v="5"/>
    <x v="11"/>
    <x v="13"/>
    <x v="13"/>
  </r>
  <r>
    <s v="(ML) Honda of Little Rock5"/>
    <x v="1"/>
    <x v="1"/>
    <x v="1"/>
    <x v="1"/>
    <x v="16"/>
    <x v="1"/>
    <s v="https://tools.sig.systems/site/details/249"/>
    <s v="https://www.google.com/maps/d/viewer?mid=1hvbKFMO-d5TXrKGU-g5dt_xcdArB1D0&amp;ll=34.71147784120261%2C-92.40574350000001&amp;z=17"/>
    <x v="1"/>
    <x v="0"/>
    <x v="15"/>
    <x v="0"/>
    <x v="0"/>
    <x v="14"/>
    <x v="15"/>
    <x v="16"/>
  </r>
  <r>
    <s v="(ML) Joe Machens E Collision Center5"/>
    <x v="1"/>
    <x v="1"/>
    <x v="1"/>
    <x v="1"/>
    <x v="76"/>
    <x v="1"/>
    <s v="https://tools.sig.systems/site/details/277"/>
    <s v="https://www.google.com/maps/d/viewer?hl=es&amp;mid=1C1oZdjH3dNvCvqdpIv_Lk0Yn1OCVn-4&amp;ll=38.965368114274455%2C-92.3405954&amp;z=15"/>
    <x v="1"/>
    <x v="0"/>
    <x v="6"/>
    <x v="0"/>
    <x v="0"/>
    <x v="51"/>
    <x v="57"/>
    <x v="76"/>
  </r>
  <r>
    <s v="(ML) Mazda VW-Lot B5"/>
    <x v="1"/>
    <x v="1"/>
    <x v="1"/>
    <x v="1"/>
    <x v="45"/>
    <x v="1"/>
    <s v="https://tools.sig.systems/site/details/205"/>
    <s v="https://www.google.com/maps/d/edit?mid=1Oky35ERk_2kgyzCvDu_odQ2ZP62BtqA&amp;usp=sharing"/>
    <x v="1"/>
    <x v="0"/>
    <x v="33"/>
    <x v="9"/>
    <x v="0"/>
    <x v="30"/>
    <x v="11"/>
    <x v="45"/>
  </r>
  <r>
    <s v="(ML) McLarty-Gray Daniels Chevrolet5"/>
    <x v="1"/>
    <x v="1"/>
    <x v="1"/>
    <x v="1"/>
    <x v="109"/>
    <x v="1"/>
    <s v="https://tools.sig.systems/site/details/150"/>
    <m/>
    <x v="1"/>
    <x v="0"/>
    <x v="74"/>
    <x v="0"/>
    <x v="0"/>
    <x v="73"/>
    <x v="80"/>
    <x v="108"/>
  </r>
  <r>
    <s v="(PE) BMW of Mamaroneck (NO TOURS)5"/>
    <x v="1"/>
    <x v="1"/>
    <x v="4"/>
    <x v="0"/>
    <x v="111"/>
    <x v="0"/>
    <s v="https://tools.sig.systems/site/details/185"/>
    <m/>
    <x v="1"/>
    <x v="0"/>
    <x v="76"/>
    <x v="41"/>
    <x v="0"/>
    <x v="6"/>
    <x v="82"/>
    <x v="110"/>
  </r>
  <r>
    <s v="(PE) Fairfield Collision (NO TOURS)5"/>
    <x v="1"/>
    <x v="1"/>
    <x v="4"/>
    <x v="0"/>
    <x v="22"/>
    <x v="0"/>
    <s v="https://tools.sig.systems/site/details/191"/>
    <m/>
    <x v="1"/>
    <x v="0"/>
    <x v="18"/>
    <x v="0"/>
    <x v="0"/>
    <x v="6"/>
    <x v="18"/>
    <x v="22"/>
  </r>
  <r>
    <s v="(RV) Toms Camperland Mesa (NO TOURS)5"/>
    <x v="1"/>
    <x v="1"/>
    <x v="5"/>
    <x v="3"/>
    <x v="25"/>
    <x v="4"/>
    <s v="https://tools.sig.systems/site/details/222"/>
    <m/>
    <x v="1"/>
    <x v="0"/>
    <x v="20"/>
    <x v="0"/>
    <x v="0"/>
    <x v="6"/>
    <x v="21"/>
    <x v="25"/>
  </r>
  <r>
    <s v="(SCH) Delray I &amp; II5"/>
    <x v="1"/>
    <x v="1"/>
    <x v="0"/>
    <x v="0"/>
    <x v="26"/>
    <x v="0"/>
    <s v="https://tools.sig.systems/site/details/159"/>
    <m/>
    <x v="3"/>
    <x v="0"/>
    <x v="21"/>
    <x v="11"/>
    <x v="6"/>
    <x v="6"/>
    <x v="22"/>
    <x v="26"/>
  </r>
  <r>
    <s v="(TC) Tavernier Creek Marina (NO TOURS)5"/>
    <x v="1"/>
    <x v="1"/>
    <x v="0"/>
    <x v="0"/>
    <x v="84"/>
    <x v="1"/>
    <s v="https://tools.sig.systems/site/details/164"/>
    <m/>
    <x v="6"/>
    <x v="0"/>
    <x v="60"/>
    <x v="0"/>
    <x v="0"/>
    <x v="6"/>
    <x v="59"/>
    <x v="84"/>
  </r>
  <r>
    <s v="(WAG) Greeley Chrysler Dodge Jeep Ram (NO TOURS)5"/>
    <x v="1"/>
    <x v="1"/>
    <x v="3"/>
    <x v="2"/>
    <x v="115"/>
    <x v="3"/>
    <s v="https://tools.sig.systems/site/details/130"/>
    <s v="https://www.google.com/maps/d/viewer?mid=1gN2lJ0iT7m5VNhD7aDcxE8AdXqtcOZc&amp;ll=40.396096737592195%2C-104.746842&amp;z=16"/>
    <x v="1"/>
    <x v="0"/>
    <x v="77"/>
    <x v="42"/>
    <x v="0"/>
    <x v="77"/>
    <x v="85"/>
    <x v="114"/>
  </r>
  <r>
    <s v="(AS) Atwell Prep Center-Dallas (NO TOURS)5"/>
    <x v="1"/>
    <x v="2"/>
    <x v="1"/>
    <x v="1"/>
    <x v="86"/>
    <x v="1"/>
    <s v="https://tools.sig.systems/site/details/165"/>
    <s v="https://www.google.com/maps/d/edit?hl=es&amp;mid=1uPmsRMsXnp74hPFW2t-sp2totVWF_xY&amp;ll=32.83050137713022%2C-96.83197783061323&amp;z=17"/>
    <x v="1"/>
    <x v="0"/>
    <x v="61"/>
    <x v="0"/>
    <x v="0"/>
    <x v="6"/>
    <x v="28"/>
    <x v="86"/>
  </r>
  <r>
    <s v="(AS) Coggin Acura Ft Pierce (NO TOURS)5"/>
    <x v="1"/>
    <x v="2"/>
    <x v="0"/>
    <x v="0"/>
    <x v="27"/>
    <x v="0"/>
    <s v="https://tools.sig.systems/site/details/118"/>
    <s v="https://www.google.com/maps/d/viewer?mid=1AyViBuyeq7iwDua1SVudJ2A1BYi3IBA&amp;ll=27.38181516363982%2C-80.32568845000002&amp;z=18"/>
    <x v="1"/>
    <x v="0"/>
    <x v="3"/>
    <x v="12"/>
    <x v="0"/>
    <x v="21"/>
    <x v="19"/>
    <x v="27"/>
  </r>
  <r>
    <s v="(AS) Courtesy Honda Palm Harbor (NO TOURS)5"/>
    <x v="1"/>
    <x v="2"/>
    <x v="0"/>
    <x v="0"/>
    <x v="88"/>
    <x v="0"/>
    <s v="https://tools.sig.systems/site/details/176"/>
    <m/>
    <x v="3"/>
    <x v="0"/>
    <x v="63"/>
    <x v="0"/>
    <x v="0"/>
    <x v="58"/>
    <x v="24"/>
    <x v="88"/>
  </r>
  <r>
    <s v="(AS) Mercedes Benz/Porsche Dallas I,II,III (NO TOURS)5"/>
    <x v="1"/>
    <x v="2"/>
    <x v="1"/>
    <x v="1"/>
    <x v="2"/>
    <x v="1"/>
    <s v="https://tools.sig.systems/site/details/168"/>
    <s v="https://www.google.com/maps/d/edit?hl=es&amp;mid=1uPmsRMsXnp74hPFW2t-sp2totVWF_xY&amp;ll=32.83050137713022%2C-96.83197783061323&amp;z=17"/>
    <x v="1"/>
    <x v="0"/>
    <x v="2"/>
    <x v="0"/>
    <x v="2"/>
    <x v="2"/>
    <x v="2"/>
    <x v="2"/>
  </r>
  <r>
    <s v="(AS) Nalley Lexus &amp; Remote Lot Roswell (NO TOURS)5"/>
    <x v="1"/>
    <x v="2"/>
    <x v="2"/>
    <x v="0"/>
    <x v="4"/>
    <x v="2"/>
    <s v="https://tools.sig.systems/site/details/131"/>
    <s v="https://www.google.com/maps/d/edit?mid=1jkN3DS1BhUqp_dztjjW0PDwKfo_Yxsw&amp;usp=sharing"/>
    <x v="1"/>
    <x v="1"/>
    <x v="4"/>
    <x v="1"/>
    <x v="3"/>
    <x v="4"/>
    <x v="4"/>
    <x v="4"/>
  </r>
  <r>
    <s v="(AS) Park Place MB Recon Center Dallas (NO TOURS)5"/>
    <x v="1"/>
    <x v="2"/>
    <x v="1"/>
    <x v="1"/>
    <x v="60"/>
    <x v="1"/>
    <s v="https://tools.sig.systems/site/details/170"/>
    <s v="https://www.google.com/maps/d/edit?hl=es&amp;mid=1uPmsRMsXnp74hPFW2t-sp2totVWF_xY&amp;ll=32.83050137713022%2C-96.83197783061323&amp;z=17"/>
    <x v="1"/>
    <x v="0"/>
    <x v="45"/>
    <x v="0"/>
    <x v="0"/>
    <x v="40"/>
    <x v="19"/>
    <x v="60"/>
  </r>
  <r>
    <s v="(AS) Park Place Volvo Service Center (NO TOURS)5"/>
    <x v="1"/>
    <x v="2"/>
    <x v="1"/>
    <x v="1"/>
    <x v="62"/>
    <x v="1"/>
    <s v="https://tools.sig.systems/site/details/171"/>
    <s v="https://www.google.com/maps/d/edit?hl=es&amp;mid=1uPmsRMsXnp74hPFW2t-sp2totVWF_xY&amp;ll=32.83050137713022%2C-96.83197783061323&amp;z=17"/>
    <x v="1"/>
    <x v="0"/>
    <x v="47"/>
    <x v="0"/>
    <x v="0"/>
    <x v="42"/>
    <x v="11"/>
    <x v="62"/>
  </r>
  <r>
    <s v="(AS) Stevinson Porsche of Littleton (NO TOURS)5"/>
    <x v="1"/>
    <x v="2"/>
    <x v="3"/>
    <x v="2"/>
    <x v="7"/>
    <x v="3"/>
    <s v="https://tools.sig.systems/site/details/242"/>
    <m/>
    <x v="1"/>
    <x v="0"/>
    <x v="7"/>
    <x v="2"/>
    <x v="0"/>
    <x v="6"/>
    <x v="7"/>
    <x v="7"/>
  </r>
  <r>
    <s v="(HUD) Paint and Body Center (NO TOURS)5"/>
    <x v="1"/>
    <x v="2"/>
    <x v="0"/>
    <x v="0"/>
    <x v="38"/>
    <x v="0"/>
    <s v="https://tools.sig.systems/site/details/256"/>
    <s v="https://www.google.com/maps/d/viewer?mid=1ejOzT7-x6RWnCf83BBP7XhiOiwEX3Wk&amp;ll=36.061264791292906%2C-79.87437695000003&amp;z=17"/>
    <x v="1"/>
    <x v="0"/>
    <x v="3"/>
    <x v="9"/>
    <x v="0"/>
    <x v="6"/>
    <x v="11"/>
    <x v="38"/>
  </r>
  <r>
    <s v="(KG) Big Star Ford5"/>
    <x v="1"/>
    <x v="2"/>
    <x v="1"/>
    <x v="1"/>
    <x v="102"/>
    <x v="1"/>
    <s v="https://tools.sig.systems/site/details/235"/>
    <m/>
    <x v="1"/>
    <x v="0"/>
    <x v="72"/>
    <x v="0"/>
    <x v="0"/>
    <x v="70"/>
    <x v="74"/>
    <x v="101"/>
  </r>
  <r>
    <s v="(KG) Hyundai Surprise5"/>
    <x v="1"/>
    <x v="2"/>
    <x v="5"/>
    <x v="3"/>
    <x v="103"/>
    <x v="4"/>
    <s v="https://tools.sig.systems/site/details/269"/>
    <m/>
    <x v="4"/>
    <x v="0"/>
    <x v="73"/>
    <x v="0"/>
    <x v="0"/>
    <x v="71"/>
    <x v="11"/>
    <x v="102"/>
  </r>
  <r>
    <s v="(KG) Texan GMC Buick (NO TOURS)5"/>
    <x v="1"/>
    <x v="2"/>
    <x v="1"/>
    <x v="1"/>
    <x v="41"/>
    <x v="1"/>
    <s v="https://tools.sig.systems/site/details/225"/>
    <s v="https://www.google.com/maps/d/edit?mid=1FNqK4dW8Z8gtSWuQLbStrtqe7lH8DIQ&amp;usp=sharing"/>
    <x v="1"/>
    <x v="0"/>
    <x v="31"/>
    <x v="0"/>
    <x v="0"/>
    <x v="31"/>
    <x v="33"/>
    <x v="41"/>
  </r>
  <r>
    <s v="(ML) Ford Lincoln of North Little Rock5"/>
    <x v="1"/>
    <x v="2"/>
    <x v="1"/>
    <x v="1"/>
    <x v="42"/>
    <x v="1"/>
    <s v="https://tools.sig.systems/site/details/214"/>
    <s v="https://www.google.com/maps/d/edit?mid=1Oky35ERk_2kgyzCvDu_odQ2ZP62BtqA&amp;usp=sharing"/>
    <x v="1"/>
    <x v="0"/>
    <x v="32"/>
    <x v="4"/>
    <x v="0"/>
    <x v="32"/>
    <x v="34"/>
    <x v="42"/>
  </r>
  <r>
    <s v="(ML) Joe Machens Ford Lincoln I &amp; II5"/>
    <x v="1"/>
    <x v="2"/>
    <x v="1"/>
    <x v="1"/>
    <x v="77"/>
    <x v="1"/>
    <s v="https://tools.sig.systems/site/details/266"/>
    <s v="https://www.google.com/maps/d/viewer?hl=es&amp;mid=1C1oZdjH3dNvCvqdpIv_Lk0Yn1OCVn-4&amp;ll=38.965368114274455%2C-92.3405954&amp;z=15"/>
    <x v="1"/>
    <x v="0"/>
    <x v="3"/>
    <x v="27"/>
    <x v="0"/>
    <x v="52"/>
    <x v="11"/>
    <x v="77"/>
  </r>
  <r>
    <s v="(ML) Joe Machens VW5"/>
    <x v="1"/>
    <x v="2"/>
    <x v="1"/>
    <x v="1"/>
    <x v="19"/>
    <x v="1"/>
    <s v="https://tools.sig.systems/site/details/274"/>
    <s v="https://www.google.com/maps/d/viewer?hl=es&amp;mid=1C1oZdjH3dNvCvqdpIv_Lk0Yn1OCVn-4&amp;ll=38.965368114274455%2C-92.3405954&amp;z=15"/>
    <x v="1"/>
    <x v="0"/>
    <x v="3"/>
    <x v="8"/>
    <x v="0"/>
    <x v="17"/>
    <x v="11"/>
    <x v="19"/>
  </r>
  <r>
    <s v="(ML) Nissan Of Benton5"/>
    <x v="1"/>
    <x v="2"/>
    <x v="1"/>
    <x v="1"/>
    <x v="80"/>
    <x v="1"/>
    <s v="https://tools.sig.systems/site/details/247"/>
    <m/>
    <x v="1"/>
    <x v="0"/>
    <x v="57"/>
    <x v="0"/>
    <x v="0"/>
    <x v="54"/>
    <x v="11"/>
    <x v="80"/>
  </r>
  <r>
    <s v="(PE) JLR Darien PDI (NO TOURS)5"/>
    <x v="1"/>
    <x v="2"/>
    <x v="4"/>
    <x v="0"/>
    <x v="112"/>
    <x v="0"/>
    <s v="https://tools.sig.systems/site/details/187"/>
    <s v="https://www.google.com/maps/d/viewer?mid=1ebZp8DeTYSXNPgDIA63nFVDu9ohaO4E&amp;ll=41.08027837958441%2C-73.46597874999999&amp;z=15"/>
    <x v="1"/>
    <x v="0"/>
    <x v="6"/>
    <x v="0"/>
    <x v="0"/>
    <x v="74"/>
    <x v="83"/>
    <x v="111"/>
  </r>
  <r>
    <s v="(RML) Burleson Nissan5"/>
    <x v="1"/>
    <x v="2"/>
    <x v="1"/>
    <x v="1"/>
    <x v="82"/>
    <x v="1"/>
    <s v="https://tools.sig.systems/site/details/202"/>
    <m/>
    <x v="1"/>
    <x v="0"/>
    <x v="58"/>
    <x v="0"/>
    <x v="0"/>
    <x v="56"/>
    <x v="11"/>
    <x v="82"/>
  </r>
  <r>
    <s v="(RV) Toms Camperland Surprise (NO TOURS)5"/>
    <x v="1"/>
    <x v="2"/>
    <x v="5"/>
    <x v="3"/>
    <x v="51"/>
    <x v="4"/>
    <s v="https://tools.sig.systems/site/details/254"/>
    <m/>
    <x v="5"/>
    <x v="0"/>
    <x v="38"/>
    <x v="0"/>
    <x v="0"/>
    <x v="6"/>
    <x v="37"/>
    <x v="51"/>
  </r>
  <r>
    <s v="(SCH) Chevrolet North Palm5"/>
    <x v="1"/>
    <x v="2"/>
    <x v="0"/>
    <x v="0"/>
    <x v="52"/>
    <x v="0"/>
    <s v="https://tools.sig.systems/site/details/160"/>
    <m/>
    <x v="3"/>
    <x v="0"/>
    <x v="39"/>
    <x v="0"/>
    <x v="0"/>
    <x v="6"/>
    <x v="38"/>
    <x v="52"/>
  </r>
  <r>
    <s v="(SCH) Prep Center Delray5"/>
    <x v="1"/>
    <x v="2"/>
    <x v="0"/>
    <x v="0"/>
    <x v="53"/>
    <x v="0"/>
    <s v="https://tools.sig.systems/site/details/321"/>
    <m/>
    <x v="1"/>
    <x v="0"/>
    <x v="40"/>
    <x v="0"/>
    <x v="0"/>
    <x v="6"/>
    <x v="39"/>
    <x v="53"/>
  </r>
  <r>
    <s v="SIG Office5"/>
    <x v="1"/>
    <x v="2"/>
    <x v="2"/>
    <x v="0"/>
    <x v="85"/>
    <x v="2"/>
    <s v="https://tools.sig.systems/site/details/163"/>
    <m/>
    <x v="1"/>
    <x v="0"/>
    <x v="3"/>
    <x v="0"/>
    <x v="0"/>
    <x v="6"/>
    <x v="60"/>
    <x v="85"/>
  </r>
  <r>
    <s v="(AS) Courtesy CDJR of Brandon (NO TOURS)5"/>
    <x v="1"/>
    <x v="3"/>
    <x v="0"/>
    <x v="0"/>
    <x v="56"/>
    <x v="0"/>
    <s v="https://tools.sig.systems/site/details/126"/>
    <s v="https://www.google.com/maps/d/edit?mid=15R4hTDQx56ij99--JgozdqOIZh-kSlk&amp;usp=sharing"/>
    <x v="0"/>
    <x v="0"/>
    <x v="42"/>
    <x v="9"/>
    <x v="0"/>
    <x v="37"/>
    <x v="42"/>
    <x v="56"/>
  </r>
  <r>
    <s v="(AS) David McDavid Honda I &amp; II (NO TOURS)5"/>
    <x v="1"/>
    <x v="3"/>
    <x v="1"/>
    <x v="1"/>
    <x v="90"/>
    <x v="1"/>
    <s v="https://tools.sig.systems/site/details/129"/>
    <m/>
    <x v="1"/>
    <x v="0"/>
    <x v="3"/>
    <x v="31"/>
    <x v="0"/>
    <x v="60"/>
    <x v="63"/>
    <x v="90"/>
  </r>
  <r>
    <s v="(AS) Lexus Plano I &amp; II (NO TOURS)5"/>
    <x v="1"/>
    <x v="3"/>
    <x v="1"/>
    <x v="1"/>
    <x v="1"/>
    <x v="1"/>
    <s v="https://tools.sig.systems/site/details/167"/>
    <s v="https://www.google.com/maps/d/viewer?mid=1wg5suxVuxeNp_irHlvN772HcwD6W89E&amp;ll=33.06373951220261%2C-96.82758025000001&amp;z=18"/>
    <x v="1"/>
    <x v="0"/>
    <x v="1"/>
    <x v="0"/>
    <x v="1"/>
    <x v="1"/>
    <x v="1"/>
    <x v="1"/>
  </r>
  <r>
    <s v="(AS) Nalley Luxury Collision Center (NO TOURS)5"/>
    <x v="1"/>
    <x v="3"/>
    <x v="0"/>
    <x v="0"/>
    <x v="31"/>
    <x v="0"/>
    <s v="https://tools.sig.systems/site/details/263"/>
    <s v="https://www.google.com/maps/d/edit?mid=1jkN3DS1BhUqp_dztjjW0PDwKfo_Yxsw&amp;usp=sharing"/>
    <x v="1"/>
    <x v="0"/>
    <x v="4"/>
    <x v="0"/>
    <x v="0"/>
    <x v="6"/>
    <x v="26"/>
    <x v="31"/>
  </r>
  <r>
    <s v="(AS) Park Place Mercedes Benz Arlington (NO TOURS)5"/>
    <x v="1"/>
    <x v="3"/>
    <x v="1"/>
    <x v="1"/>
    <x v="61"/>
    <x v="1"/>
    <s v="https://tools.sig.systems/site/details/169"/>
    <m/>
    <x v="1"/>
    <x v="0"/>
    <x v="46"/>
    <x v="0"/>
    <x v="11"/>
    <x v="41"/>
    <x v="46"/>
    <x v="61"/>
  </r>
  <r>
    <s v="(AS) Park Place Volvo Sales (NO TOURS)5"/>
    <x v="1"/>
    <x v="3"/>
    <x v="1"/>
    <x v="1"/>
    <x v="33"/>
    <x v="1"/>
    <s v="https://tools.sig.systems/site/details/139"/>
    <s v="https://www.google.com/maps/d/edit?hl=es&amp;mid=1uPmsRMsXnp74hPFW2t-sp2totVWF_xY&amp;ll=32.83050137713022%2C-96.83197783061323&amp;z=17"/>
    <x v="1"/>
    <x v="0"/>
    <x v="26"/>
    <x v="0"/>
    <x v="0"/>
    <x v="26"/>
    <x v="27"/>
    <x v="33"/>
  </r>
  <r>
    <s v="(AS) Stevinson Toyota West (NO TOURS)5"/>
    <x v="1"/>
    <x v="3"/>
    <x v="3"/>
    <x v="2"/>
    <x v="8"/>
    <x v="3"/>
    <s v="https://tools.sig.systems/site/details/240"/>
    <s v="https://www.google.com/maps/d/edit?mid=1nAyK85WaWREy0lfxnmWn3USs2gC0nP0&amp;usp=sharing"/>
    <x v="1"/>
    <x v="0"/>
    <x v="3"/>
    <x v="3"/>
    <x v="0"/>
    <x v="7"/>
    <x v="8"/>
    <x v="8"/>
  </r>
  <r>
    <s v="(DT) El Cajon (NO TOURS)5"/>
    <x v="1"/>
    <x v="3"/>
    <x v="5"/>
    <x v="4"/>
    <x v="66"/>
    <x v="4"/>
    <s v="https://tools.sig.systems/site/details/241"/>
    <m/>
    <x v="1"/>
    <x v="0"/>
    <x v="3"/>
    <x v="16"/>
    <x v="0"/>
    <x v="6"/>
    <x v="11"/>
    <x v="66"/>
  </r>
  <r>
    <s v="(DT) W Houston5"/>
    <x v="1"/>
    <x v="3"/>
    <x v="1"/>
    <x v="1"/>
    <x v="10"/>
    <x v="1"/>
    <s v="https://tools.sig.systems/site/details/197"/>
    <m/>
    <x v="1"/>
    <x v="0"/>
    <x v="9"/>
    <x v="2"/>
    <x v="0"/>
    <x v="9"/>
    <x v="10"/>
    <x v="10"/>
  </r>
  <r>
    <s v="(HUD) Acura of Greensboro5"/>
    <x v="1"/>
    <x v="3"/>
    <x v="0"/>
    <x v="0"/>
    <x v="99"/>
    <x v="0"/>
    <s v="https://tools.sig.systems/site/details/213"/>
    <s v="https://www.google.com/maps/d/viewer?mid=1ejOzT7-x6RWnCf83BBP7XhiOiwEX3Wk&amp;ll=0%2C0&amp;z=17"/>
    <x v="1"/>
    <x v="0"/>
    <x v="69"/>
    <x v="0"/>
    <x v="0"/>
    <x v="67"/>
    <x v="71"/>
    <x v="98"/>
  </r>
  <r>
    <s v="(JE) Jim Ellis Ford Sandy Springs5"/>
    <x v="1"/>
    <x v="3"/>
    <x v="0"/>
    <x v="0"/>
    <x v="69"/>
    <x v="0"/>
    <s v="https://tools.sig.systems/site/details/142"/>
    <m/>
    <x v="1"/>
    <x v="0"/>
    <x v="51"/>
    <x v="0"/>
    <x v="0"/>
    <x v="46"/>
    <x v="52"/>
    <x v="69"/>
  </r>
  <r>
    <s v="(KG) Big Star CDJR of Clear Lake5"/>
    <x v="1"/>
    <x v="3"/>
    <x v="1"/>
    <x v="1"/>
    <x v="101"/>
    <x v="1"/>
    <s v="https://tools.sig.systems/site/details/232"/>
    <s v="https://www.google.com/maps/d/edit?mid=1DRwy5fy1g5UzGTA7a1OkQA-_CY8SQ2s&amp;usp=sharing"/>
    <x v="1"/>
    <x v="0"/>
    <x v="71"/>
    <x v="0"/>
    <x v="0"/>
    <x v="69"/>
    <x v="73"/>
    <x v="100"/>
  </r>
  <r>
    <s v="(LM) Luther Mazda / Mitsubishi5"/>
    <x v="1"/>
    <x v="3"/>
    <x v="1"/>
    <x v="1"/>
    <x v="74"/>
    <x v="1"/>
    <s v="https://tools.sig.systems/site/details/147"/>
    <s v="https://www.google.com/maps/d/viewer?mid=1ot0ILX76JMuvd9yMuqkb4_e0yH1n7TA&amp;ll=45.07815812965141%2C-93.33506855000002&amp;z=17"/>
    <x v="1"/>
    <x v="0"/>
    <x v="55"/>
    <x v="0"/>
    <x v="12"/>
    <x v="6"/>
    <x v="55"/>
    <x v="74"/>
  </r>
  <r>
    <s v="(ML) Columbia Honda (NO TOURS)5"/>
    <x v="1"/>
    <x v="3"/>
    <x v="1"/>
    <x v="1"/>
    <x v="75"/>
    <x v="1"/>
    <s v="https://tools.sig.systems/site/details/272"/>
    <s v="https://www.google.com/maps/d/viewer?hl=es&amp;mid=1C1oZdjH3dNvCvqdpIv_Lk0Yn1OCVn-4&amp;ll=38.965368114274426%2C-92.3405954&amp;z=15"/>
    <x v="1"/>
    <x v="0"/>
    <x v="3"/>
    <x v="26"/>
    <x v="0"/>
    <x v="50"/>
    <x v="56"/>
    <x v="75"/>
  </r>
  <r>
    <s v="(ML) Joe Machens Kia of Columbia5"/>
    <x v="1"/>
    <x v="3"/>
    <x v="1"/>
    <x v="1"/>
    <x v="107"/>
    <x v="1"/>
    <s v="https://tools.sig.systems/site/details/270"/>
    <s v="https://www.google.com/maps/d/viewer?hl=es&amp;mid=1C1oZdjH3dNvCvqdpIv_Lk0Yn1OCVn-4&amp;ll=38.965368114274455%2C-92.3405954&amp;z=15"/>
    <x v="1"/>
    <x v="0"/>
    <x v="3"/>
    <x v="39"/>
    <x v="0"/>
    <x v="6"/>
    <x v="78"/>
    <x v="106"/>
  </r>
  <r>
    <s v="(ML) Joe Machens Toyota5"/>
    <x v="1"/>
    <x v="3"/>
    <x v="1"/>
    <x v="1"/>
    <x v="18"/>
    <x v="1"/>
    <s v="https://tools.sig.systems/site/details/275"/>
    <s v="https://www.google.com/maps/d/viewer?hl=es&amp;mid=1C1oZdjH3dNvCvqdpIv_Lk0Yn1OCVn-4&amp;ll=38.965368114274455%2C-92.3405954&amp;z=15"/>
    <x v="1"/>
    <x v="0"/>
    <x v="3"/>
    <x v="7"/>
    <x v="0"/>
    <x v="16"/>
    <x v="11"/>
    <x v="18"/>
  </r>
  <r>
    <s v="(ML) Nissan of Little Rock5"/>
    <x v="1"/>
    <x v="3"/>
    <x v="1"/>
    <x v="1"/>
    <x v="46"/>
    <x v="1"/>
    <s v="https://tools.sig.systems/site/details/224"/>
    <s v="https://www.google.com/maps/d/viewer?mid=1hvbKFMO-d5TXrKGU-g5dt_xcdArB1D0&amp;ll=34.71147784120261%2C-92.40574350000001&amp;z=17"/>
    <x v="1"/>
    <x v="0"/>
    <x v="34"/>
    <x v="0"/>
    <x v="0"/>
    <x v="34"/>
    <x v="7"/>
    <x v="46"/>
  </r>
  <r>
    <s v="(ML) Volvo Collision Corp5"/>
    <x v="1"/>
    <x v="3"/>
    <x v="1"/>
    <x v="1"/>
    <x v="47"/>
    <x v="1"/>
    <s v="https://tools.sig.systems/site/details/223"/>
    <m/>
    <x v="1"/>
    <x v="0"/>
    <x v="35"/>
    <x v="1"/>
    <x v="0"/>
    <x v="35"/>
    <x v="11"/>
    <x v="47"/>
  </r>
  <r>
    <s v="(PE) BMW of Greenwich (NO TOURS)5"/>
    <x v="1"/>
    <x v="3"/>
    <x v="4"/>
    <x v="0"/>
    <x v="110"/>
    <x v="0"/>
    <s v="https://tools.sig.systems/site/details/186"/>
    <s v="https://www.google.com/maps/d/edit?hl=en&amp;mid=1UHmt7tH1ihTa85i0MfQIcTfVvIQg_vM&amp;ll=41.024187580466844%2C-73.63702405370861&amp;z=18"/>
    <x v="1"/>
    <x v="0"/>
    <x v="75"/>
    <x v="0"/>
    <x v="0"/>
    <x v="6"/>
    <x v="81"/>
    <x v="109"/>
  </r>
  <r>
    <s v="(PE) BMW Tenafly (NO TOURS)5"/>
    <x v="1"/>
    <x v="3"/>
    <x v="4"/>
    <x v="0"/>
    <x v="48"/>
    <x v="0"/>
    <s v="https://tools.sig.systems/site/details/155"/>
    <m/>
    <x v="1"/>
    <x v="0"/>
    <x v="36"/>
    <x v="18"/>
    <x v="0"/>
    <x v="6"/>
    <x v="19"/>
    <x v="48"/>
  </r>
  <r>
    <s v="(PE) Hudson Toyota Nissan CDJR (NO TOURS)5"/>
    <x v="1"/>
    <x v="3"/>
    <x v="4"/>
    <x v="0"/>
    <x v="81"/>
    <x v="0"/>
    <s v="https://tools.sig.systems/site/details/156"/>
    <m/>
    <x v="1"/>
    <x v="0"/>
    <x v="49"/>
    <x v="30"/>
    <x v="0"/>
    <x v="55"/>
    <x v="58"/>
    <x v="81"/>
  </r>
  <r>
    <s v="(PE) Mercedes Benz &amp; Smart Bldg. of Fairfield (NO TOURS)5"/>
    <x v="1"/>
    <x v="3"/>
    <x v="4"/>
    <x v="0"/>
    <x v="23"/>
    <x v="0"/>
    <s v="https://tools.sig.systems/site/details/192"/>
    <s v="https://www.google.com/maps/d/viewer?mid=1FEo41PzFJQjUIXXKitX5TNCtuqR6Vbs&amp;ll=41.1663376742533%2C-73.22955662049608&amp;z=16"/>
    <x v="1"/>
    <x v="0"/>
    <x v="3"/>
    <x v="9"/>
    <x v="0"/>
    <x v="20"/>
    <x v="19"/>
    <x v="23"/>
  </r>
  <r>
    <s v="(SCH) Auto Body Shop Lake Park5"/>
    <x v="1"/>
    <x v="3"/>
    <x v="0"/>
    <x v="0"/>
    <x v="83"/>
    <x v="0"/>
    <s v="https://tools.sig.systems/site/details/158"/>
    <m/>
    <x v="1"/>
    <x v="0"/>
    <x v="59"/>
    <x v="0"/>
    <x v="0"/>
    <x v="6"/>
    <x v="11"/>
    <x v="83"/>
  </r>
  <r>
    <s v="(AS) Coggin Honda Ft. Pierce (NO TOURS)5"/>
    <x v="1"/>
    <x v="4"/>
    <x v="0"/>
    <x v="0"/>
    <x v="0"/>
    <x v="0"/>
    <s v="https://tools.sig.systems/site/details/120"/>
    <s v="https://www.google.com/maps/d/viewer?mid=1AyViBuyeq7iwDua1SVudJ2A1BYi3IBA&amp;ll=27.38181516363982%2C-80.32568845000002&amp;z=18"/>
    <x v="0"/>
    <x v="0"/>
    <x v="0"/>
    <x v="0"/>
    <x v="0"/>
    <x v="0"/>
    <x v="0"/>
    <x v="0"/>
  </r>
  <r>
    <s v="(AS) Coggin Mercedes Benz Ft Pierce (NO TOURS)5"/>
    <x v="1"/>
    <x v="4"/>
    <x v="0"/>
    <x v="0"/>
    <x v="28"/>
    <x v="0"/>
    <s v="https://tools.sig.systems/site/details/127"/>
    <s v="https://www.google.com/maps/d/viewer?mid=1AyViBuyeq7iwDua1SVudJ2A1BYi3IBA&amp;ll=27.38181516363982%2C-80.32568845000002&amp;z=18"/>
    <x v="1"/>
    <x v="0"/>
    <x v="22"/>
    <x v="13"/>
    <x v="0"/>
    <x v="22"/>
    <x v="23"/>
    <x v="28"/>
  </r>
  <r>
    <s v="(AS) David McDavid Lincoln Frisco (NO TOURS)5"/>
    <x v="1"/>
    <x v="4"/>
    <x v="1"/>
    <x v="1"/>
    <x v="58"/>
    <x v="1"/>
    <s v="https://tools.sig.systems/site/details/182"/>
    <m/>
    <x v="1"/>
    <x v="0"/>
    <x v="43"/>
    <x v="0"/>
    <x v="0"/>
    <x v="39"/>
    <x v="44"/>
    <x v="58"/>
  </r>
  <r>
    <s v="(AS) Lexus Grapevine I &amp; II (NO TOURS)5"/>
    <x v="1"/>
    <x v="4"/>
    <x v="1"/>
    <x v="1"/>
    <x v="29"/>
    <x v="1"/>
    <s v="https://tools.sig.systems/site/details/136"/>
    <m/>
    <x v="1"/>
    <x v="0"/>
    <x v="23"/>
    <x v="0"/>
    <x v="7"/>
    <x v="23"/>
    <x v="24"/>
    <x v="29"/>
  </r>
  <r>
    <s v="(AS) Park Place Mercedes Benz Ft. Worth (NO TOURS)5"/>
    <x v="1"/>
    <x v="4"/>
    <x v="1"/>
    <x v="1"/>
    <x v="5"/>
    <x v="1"/>
    <s v="https://tools.sig.systems/site/details/137"/>
    <s v="https://www.google.com/maps/d/edit?mid=18OEO_KbvYcgI3N1jE4gTMXfNHTNDrFU&amp;ll=32.66603989958274%2C-97.42021198201722&amp;z=18"/>
    <x v="1"/>
    <x v="0"/>
    <x v="5"/>
    <x v="0"/>
    <x v="4"/>
    <x v="5"/>
    <x v="5"/>
    <x v="5"/>
  </r>
  <r>
    <s v="(AS) Park Place Sprinter Van Center (NO TOURS)5"/>
    <x v="1"/>
    <x v="4"/>
    <x v="1"/>
    <x v="1"/>
    <x v="6"/>
    <x v="1"/>
    <s v="https://tools.sig.systems/site/details/138"/>
    <s v="https://www.google.com/maps/d/edit?hl=es&amp;mid=1uPmsRMsXnp74hPFW2t-sp2totVWF_xY&amp;ll=32.83050137713022%2C-96.83197783061323&amp;z=17"/>
    <x v="1"/>
    <x v="0"/>
    <x v="6"/>
    <x v="0"/>
    <x v="0"/>
    <x v="6"/>
    <x v="6"/>
    <x v="6"/>
  </r>
  <r>
    <s v="(AS) Stevinson Chevrolet Golden (NO TOURS)5"/>
    <x v="1"/>
    <x v="4"/>
    <x v="7"/>
    <x v="2"/>
    <x v="96"/>
    <x v="3"/>
    <s v="https://tools.sig.systems/site/details/264"/>
    <s v="https://www.google.com/maps/d/edit?mid=1nAyK85WaWREy0lfxnmWn3USs2gC0nP0&amp;usp=sharing"/>
    <x v="1"/>
    <x v="0"/>
    <x v="3"/>
    <x v="36"/>
    <x v="0"/>
    <x v="66"/>
    <x v="68"/>
    <x v="95"/>
  </r>
  <r>
    <s v="(DT) Albuquerque5"/>
    <x v="1"/>
    <x v="4"/>
    <x v="3"/>
    <x v="2"/>
    <x v="35"/>
    <x v="3"/>
    <s v="https://tools.sig.systems/site/details/237"/>
    <m/>
    <x v="1"/>
    <x v="0"/>
    <x v="27"/>
    <x v="0"/>
    <x v="0"/>
    <x v="27"/>
    <x v="29"/>
    <x v="35"/>
  </r>
  <r>
    <s v="(DT) Colorado Springs (NO TOURS)5"/>
    <x v="1"/>
    <x v="4"/>
    <x v="3"/>
    <x v="2"/>
    <x v="65"/>
    <x v="3"/>
    <s v="https://tools.sig.systems/site/details/198"/>
    <m/>
    <x v="1"/>
    <x v="0"/>
    <x v="3"/>
    <x v="24"/>
    <x v="0"/>
    <x v="6"/>
    <x v="49"/>
    <x v="65"/>
  </r>
  <r>
    <s v="(DT) Escondido5"/>
    <x v="1"/>
    <x v="4"/>
    <x v="5"/>
    <x v="4"/>
    <x v="98"/>
    <x v="5"/>
    <s v="https://tools.sig.systems/site/details/196"/>
    <m/>
    <x v="1"/>
    <x v="4"/>
    <x v="20"/>
    <x v="0"/>
    <x v="0"/>
    <x v="6"/>
    <x v="70"/>
    <x v="97"/>
  </r>
  <r>
    <s v="(DT) Louisville5"/>
    <x v="1"/>
    <x v="4"/>
    <x v="0"/>
    <x v="0"/>
    <x v="67"/>
    <x v="0"/>
    <s v="https://tools.sig.systems/site/details/258"/>
    <m/>
    <x v="1"/>
    <x v="0"/>
    <x v="3"/>
    <x v="16"/>
    <x v="0"/>
    <x v="6"/>
    <x v="50"/>
    <x v="67"/>
  </r>
  <r>
    <s v="(DT) Wichita5"/>
    <x v="1"/>
    <x v="4"/>
    <x v="1"/>
    <x v="1"/>
    <x v="36"/>
    <x v="1"/>
    <s v="https://tools.sig.systems/site/details/257"/>
    <m/>
    <x v="1"/>
    <x v="0"/>
    <x v="3"/>
    <x v="15"/>
    <x v="0"/>
    <x v="6"/>
    <x v="30"/>
    <x v="36"/>
  </r>
  <r>
    <s v="(HUD) BMW of Greensboro5"/>
    <x v="1"/>
    <x v="4"/>
    <x v="0"/>
    <x v="0"/>
    <x v="100"/>
    <x v="0"/>
    <s v="https://tools.sig.systems/site/details/219"/>
    <s v="https://www.google.com/maps/d/viewer?mid=1ejOzT7-x6RWnCf83BBP7XhiOiwEX3Wk&amp;ll=36.061264791292906%2C-79.87437695000003&amp;z=17"/>
    <x v="1"/>
    <x v="0"/>
    <x v="70"/>
    <x v="0"/>
    <x v="0"/>
    <x v="68"/>
    <x v="72"/>
    <x v="99"/>
  </r>
  <r>
    <s v="(KG) Baytown GMC Buick (NO TOURS)5"/>
    <x v="1"/>
    <x v="4"/>
    <x v="1"/>
    <x v="1"/>
    <x v="71"/>
    <x v="1"/>
    <s v="https://tools.sig.systems/site/details/239"/>
    <m/>
    <x v="1"/>
    <x v="0"/>
    <x v="52"/>
    <x v="0"/>
    <x v="0"/>
    <x v="47"/>
    <x v="53"/>
    <x v="71"/>
  </r>
  <r>
    <s v="(MK) McKenny Salinas Honda5"/>
    <x v="1"/>
    <x v="4"/>
    <x v="0"/>
    <x v="0"/>
    <x v="104"/>
    <x v="0"/>
    <s v="https://tools.sig.systems/site/details/149"/>
    <m/>
    <x v="1"/>
    <x v="0"/>
    <x v="3"/>
    <x v="37"/>
    <x v="0"/>
    <x v="6"/>
    <x v="75"/>
    <x v="103"/>
  </r>
  <r>
    <s v="(ML) BMW of Little Rock5"/>
    <x v="1"/>
    <x v="4"/>
    <x v="1"/>
    <x v="1"/>
    <x v="105"/>
    <x v="1"/>
    <s v="https://tools.sig.systems/site/details/217"/>
    <s v="https://www.google.com/maps/d/viewer?mid=1hvbKFMO-d5TXrKGU-g5dt_xcdArB1D0&amp;ll=34.71147784120261%2C-92.40574350000001&amp;z=17"/>
    <x v="1"/>
    <x v="0"/>
    <x v="3"/>
    <x v="38"/>
    <x v="0"/>
    <x v="6"/>
    <x v="76"/>
    <x v="104"/>
  </r>
  <r>
    <s v="(ML) Collision Center N Little Rock5"/>
    <x v="1"/>
    <x v="4"/>
    <x v="1"/>
    <x v="1"/>
    <x v="106"/>
    <x v="1"/>
    <s v="https://tools.sig.systems/site/details/212"/>
    <s v="https://www.google.com/maps/d/edit?mid=1Oky35ERk_2kgyzCvDu_odQ2ZP62BtqA&amp;usp=sharing"/>
    <x v="1"/>
    <x v="0"/>
    <x v="3"/>
    <x v="0"/>
    <x v="0"/>
    <x v="6"/>
    <x v="77"/>
    <x v="105"/>
  </r>
  <r>
    <s v="(ML) Joe Machens Nissan5"/>
    <x v="1"/>
    <x v="4"/>
    <x v="1"/>
    <x v="1"/>
    <x v="78"/>
    <x v="1"/>
    <s v="https://tools.sig.systems/site/details/279"/>
    <s v="https://www.google.com/maps/d/viewer?hl=es&amp;mid=1C1oZdjH3dNvCvqdpIv_Lk0Yn1OCVn-4&amp;ll=38.965368114274455%2C-92.3405954&amp;z=15"/>
    <x v="1"/>
    <x v="0"/>
    <x v="3"/>
    <x v="28"/>
    <x v="0"/>
    <x v="6"/>
    <x v="11"/>
    <x v="78"/>
  </r>
  <r>
    <s v="(ML) Joe Machens Temporary 2.05"/>
    <x v="1"/>
    <x v="4"/>
    <x v="1"/>
    <x v="1"/>
    <x v="44"/>
    <x v="1"/>
    <s v="https://tools.sig.systems/site/details/278"/>
    <s v="https://www.google.com/maps/d/viewer?hl=es&amp;mid=1C1oZdjH3dNvCvqdpIv_Lk0Yn1OCVn-4&amp;ll=38.965368114274455%2C-92.3405954&amp;z=15"/>
    <x v="1"/>
    <x v="0"/>
    <x v="3"/>
    <x v="17"/>
    <x v="0"/>
    <x v="33"/>
    <x v="11"/>
    <x v="44"/>
  </r>
  <r>
    <s v="(ML) Nissan of North Little Rock5"/>
    <x v="1"/>
    <x v="4"/>
    <x v="1"/>
    <x v="1"/>
    <x v="20"/>
    <x v="1"/>
    <s v="https://tools.sig.systems/site/details/216"/>
    <s v="https://www.google.com/maps/d/edit?mid=1Oky35ERk_2kgyzCvDu_odQ2ZP62BtqA&amp;usp=sharing"/>
    <x v="1"/>
    <x v="0"/>
    <x v="16"/>
    <x v="0"/>
    <x v="0"/>
    <x v="18"/>
    <x v="17"/>
    <x v="20"/>
  </r>
  <r>
    <s v="(ML) Toyota N Little Rock5"/>
    <x v="1"/>
    <x v="4"/>
    <x v="1"/>
    <x v="1"/>
    <x v="21"/>
    <x v="1"/>
    <s v="https://tools.sig.systems/site/details/201"/>
    <s v="https://www.google.com/maps/d/edit?mid=1Oky35ERk_2kgyzCvDu_odQ2ZP62BtqA&amp;usp=sharing"/>
    <x v="1"/>
    <x v="0"/>
    <x v="17"/>
    <x v="0"/>
    <x v="0"/>
    <x v="19"/>
    <x v="11"/>
    <x v="21"/>
  </r>
  <r>
    <s v="(PE) Honda of Danbury (NO TOURS)5"/>
    <x v="1"/>
    <x v="4"/>
    <x v="4"/>
    <x v="0"/>
    <x v="49"/>
    <x v="0"/>
    <s v="https://tools.sig.systems/site/details/190"/>
    <m/>
    <x v="1"/>
    <x v="0"/>
    <x v="3"/>
    <x v="19"/>
    <x v="9"/>
    <x v="6"/>
    <x v="36"/>
    <x v="49"/>
  </r>
  <r>
    <s v="(PE) JLR PDI (NO TOURS)5"/>
    <x v="1"/>
    <x v="4"/>
    <x v="4"/>
    <x v="0"/>
    <x v="50"/>
    <x v="0"/>
    <s v="https://tools.sig.systems/site/details/179"/>
    <s v="https://www.google.com/maps/d/viewer?mid=1ubI2iKs1JyYXssuT4oLPnVvFnyLPi_s&amp;ll=40.878808846788026%2C-73.98560655&amp;z=17"/>
    <x v="1"/>
    <x v="0"/>
    <x v="37"/>
    <x v="0"/>
    <x v="0"/>
    <x v="6"/>
    <x v="11"/>
    <x v="50"/>
  </r>
  <r>
    <s v="(RV) Sonny's Camp N Travel Concord5"/>
    <x v="1"/>
    <x v="4"/>
    <x v="0"/>
    <x v="0"/>
    <x v="114"/>
    <x v="0"/>
    <s v="https://tools.sig.systems/site/details/183"/>
    <m/>
    <x v="1"/>
    <x v="0"/>
    <x v="6"/>
    <x v="0"/>
    <x v="0"/>
    <x v="76"/>
    <x v="84"/>
    <x v="113"/>
  </r>
  <r>
    <s v="(SCH) West Palm Beach I, II &amp; III5"/>
    <x v="1"/>
    <x v="4"/>
    <x v="6"/>
    <x v="0"/>
    <x v="54"/>
    <x v="0"/>
    <s v="https://tools.sig.systems/site/details/162"/>
    <m/>
    <x v="3"/>
    <x v="2"/>
    <x v="41"/>
    <x v="20"/>
    <x v="10"/>
    <x v="6"/>
    <x v="40"/>
    <x v="54"/>
  </r>
  <r>
    <s v="(AS) Atwell Prep Center-Dallas (NO TOURS)6"/>
    <x v="2"/>
    <x v="0"/>
    <x v="1"/>
    <x v="1"/>
    <x v="86"/>
    <x v="1"/>
    <s v="https://tools.sig.systems/site/details/165"/>
    <s v="https://www.google.com/maps/d/edit?hl=es&amp;mid=1uPmsRMsXnp74hPFW2t-sp2totVWF_xY&amp;ll=32.83050137713022%2C-96.83197783061323&amp;z=17"/>
    <x v="1"/>
    <x v="0"/>
    <x v="61"/>
    <x v="0"/>
    <x v="0"/>
    <x v="6"/>
    <x v="28"/>
    <x v="86"/>
  </r>
  <r>
    <s v="(AS) Coggin Honda Ft. Pierce (NO TOURS)6"/>
    <x v="2"/>
    <x v="0"/>
    <x v="0"/>
    <x v="0"/>
    <x v="0"/>
    <x v="0"/>
    <s v="https://tools.sig.systems/site/details/120"/>
    <s v="https://www.google.com/maps/d/viewer?mid=1AyViBuyeq7iwDua1SVudJ2A1BYi3IBA&amp;ll=27.38181516363982%2C-80.32568845000002&amp;z=18"/>
    <x v="0"/>
    <x v="0"/>
    <x v="0"/>
    <x v="0"/>
    <x v="0"/>
    <x v="0"/>
    <x v="0"/>
    <x v="0"/>
  </r>
  <r>
    <s v="(AS) Mercedes Benz/Porsche Dallas I,II,III (NO TOURS)6"/>
    <x v="2"/>
    <x v="0"/>
    <x v="1"/>
    <x v="1"/>
    <x v="2"/>
    <x v="1"/>
    <s v="https://tools.sig.systems/site/details/168"/>
    <s v="https://www.google.com/maps/d/edit?hl=es&amp;mid=1uPmsRMsXnp74hPFW2t-sp2totVWF_xY&amp;ll=32.83050137713022%2C-96.83197783061323&amp;z=17"/>
    <x v="1"/>
    <x v="0"/>
    <x v="2"/>
    <x v="0"/>
    <x v="2"/>
    <x v="2"/>
    <x v="2"/>
    <x v="2"/>
  </r>
  <r>
    <s v="(AS) Park Place Bodywerks Dallas (NO TOURS)6"/>
    <x v="2"/>
    <x v="0"/>
    <x v="1"/>
    <x v="1"/>
    <x v="59"/>
    <x v="1"/>
    <s v="https://tools.sig.systems/site/details/166"/>
    <s v="https://www.google.com/maps/d/edit?hl=es&amp;mid=1uPmsRMsXnp74hPFW2t-sp2totVWF_xY&amp;ll=32.83050137713022%2C-96.83197783061323&amp;z=17"/>
    <x v="1"/>
    <x v="0"/>
    <x v="44"/>
    <x v="9"/>
    <x v="0"/>
    <x v="6"/>
    <x v="45"/>
    <x v="59"/>
  </r>
  <r>
    <s v="(AS) Park Place Bodywerks Ft. Worth (NO TOURS)6"/>
    <x v="2"/>
    <x v="0"/>
    <x v="1"/>
    <x v="1"/>
    <x v="92"/>
    <x v="1"/>
    <s v="https://tools.sig.systems/site/details/134"/>
    <s v="https://www.google.com/maps/d/edit?mid=18OEO_KbvYcgI3N1jE4gTMXfNHTNDrFU&amp;ll=32.66603989958274%2C-97.42021198201722&amp;z=18"/>
    <x v="1"/>
    <x v="0"/>
    <x v="66"/>
    <x v="0"/>
    <x v="0"/>
    <x v="62"/>
    <x v="64"/>
    <x v="92"/>
  </r>
  <r>
    <s v="(DT) Louisville6"/>
    <x v="2"/>
    <x v="0"/>
    <x v="0"/>
    <x v="0"/>
    <x v="67"/>
    <x v="0"/>
    <s v="https://tools.sig.systems/site/details/258"/>
    <m/>
    <x v="1"/>
    <x v="0"/>
    <x v="3"/>
    <x v="16"/>
    <x v="0"/>
    <x v="6"/>
    <x v="50"/>
    <x v="67"/>
  </r>
  <r>
    <s v="(DT) N. Houston6"/>
    <x v="2"/>
    <x v="0"/>
    <x v="1"/>
    <x v="1"/>
    <x v="9"/>
    <x v="1"/>
    <s v="https://tools.sig.systems/site/details/250"/>
    <m/>
    <x v="1"/>
    <x v="0"/>
    <x v="8"/>
    <x v="0"/>
    <x v="0"/>
    <x v="8"/>
    <x v="9"/>
    <x v="9"/>
  </r>
  <r>
    <s v="(HUD) Acura of Greensboro6"/>
    <x v="2"/>
    <x v="0"/>
    <x v="0"/>
    <x v="0"/>
    <x v="99"/>
    <x v="0"/>
    <s v="https://tools.sig.systems/site/details/213"/>
    <s v="https://www.google.com/maps/d/viewer?mid=1ejOzT7-x6RWnCf83BBP7XhiOiwEX3Wk&amp;ll=0%2C0&amp;z=17"/>
    <x v="1"/>
    <x v="0"/>
    <x v="69"/>
    <x v="0"/>
    <x v="0"/>
    <x v="67"/>
    <x v="71"/>
    <x v="98"/>
  </r>
  <r>
    <s v="(KG) Clear Lake Pre-Owned6"/>
    <x v="2"/>
    <x v="0"/>
    <x v="1"/>
    <x v="1"/>
    <x v="39"/>
    <x v="1"/>
    <s v="https://tools.sig.systems/site/details/255"/>
    <s v="https://www.google.com/maps/d/edit?mid=1DRwy5fy1g5UzGTA7a1OkQA-_CY8SQ2s&amp;usp=sharing"/>
    <x v="1"/>
    <x v="0"/>
    <x v="29"/>
    <x v="0"/>
    <x v="0"/>
    <x v="29"/>
    <x v="32"/>
    <x v="39"/>
  </r>
  <r>
    <s v="(KG) JLR LEHI (NO TOURS)6"/>
    <x v="2"/>
    <x v="0"/>
    <x v="3"/>
    <x v="2"/>
    <x v="73"/>
    <x v="3"/>
    <s v="https://tools.sig.systems/site/details/145"/>
    <m/>
    <x v="1"/>
    <x v="0"/>
    <x v="54"/>
    <x v="0"/>
    <x v="0"/>
    <x v="49"/>
    <x v="11"/>
    <x v="73"/>
  </r>
  <r>
    <s v="(KG) Kia of Phoenix (NO TOURS)6"/>
    <x v="2"/>
    <x v="0"/>
    <x v="5"/>
    <x v="3"/>
    <x v="40"/>
    <x v="4"/>
    <s v="https://tools.sig.systems/site/details/262"/>
    <m/>
    <x v="4"/>
    <x v="0"/>
    <x v="30"/>
    <x v="0"/>
    <x v="0"/>
    <x v="30"/>
    <x v="11"/>
    <x v="40"/>
  </r>
  <r>
    <s v="(KG) Truck Center Remote Storage Lot6"/>
    <x v="2"/>
    <x v="0"/>
    <x v="2"/>
    <x v="2"/>
    <x v="14"/>
    <x v="2"/>
    <s v="https://tools.sig.systems/site/details/144"/>
    <m/>
    <x v="1"/>
    <x v="0"/>
    <x v="13"/>
    <x v="5"/>
    <x v="0"/>
    <x v="12"/>
    <x v="14"/>
    <x v="14"/>
  </r>
  <r>
    <s v="(LM) Luther Mazda / Mitsubishi6"/>
    <x v="2"/>
    <x v="0"/>
    <x v="1"/>
    <x v="1"/>
    <x v="74"/>
    <x v="1"/>
    <s v="https://tools.sig.systems/site/details/147"/>
    <s v="https://www.google.com/maps/d/viewer?mid=1ot0ILX76JMuvd9yMuqkb4_e0yH1n7TA&amp;ll=45.07815812965141%2C-93.33506855000002&amp;z=17"/>
    <x v="1"/>
    <x v="0"/>
    <x v="55"/>
    <x v="0"/>
    <x v="12"/>
    <x v="6"/>
    <x v="55"/>
    <x v="74"/>
  </r>
  <r>
    <s v="(ML) Joe Machens Nissan6"/>
    <x v="2"/>
    <x v="0"/>
    <x v="1"/>
    <x v="1"/>
    <x v="78"/>
    <x v="1"/>
    <s v="https://tools.sig.systems/site/details/279"/>
    <s v="https://www.google.com/maps/d/viewer?hl=es&amp;mid=1C1oZdjH3dNvCvqdpIv_Lk0Yn1OCVn-4&amp;ll=38.965368114274455%2C-92.3405954&amp;z=15"/>
    <x v="1"/>
    <x v="0"/>
    <x v="3"/>
    <x v="28"/>
    <x v="0"/>
    <x v="6"/>
    <x v="11"/>
    <x v="78"/>
  </r>
  <r>
    <s v="(ML) Joe Machens Temporary 2.06"/>
    <x v="2"/>
    <x v="0"/>
    <x v="1"/>
    <x v="1"/>
    <x v="44"/>
    <x v="1"/>
    <s v="https://tools.sig.systems/site/details/278"/>
    <s v="https://www.google.com/maps/d/viewer?hl=es&amp;mid=1C1oZdjH3dNvCvqdpIv_Lk0Yn1OCVn-4&amp;ll=38.965368114274455%2C-92.3405954&amp;z=15"/>
    <x v="1"/>
    <x v="0"/>
    <x v="3"/>
    <x v="17"/>
    <x v="0"/>
    <x v="33"/>
    <x v="11"/>
    <x v="44"/>
  </r>
  <r>
    <s v="(ML) Volvo Collision Corp6"/>
    <x v="2"/>
    <x v="0"/>
    <x v="1"/>
    <x v="1"/>
    <x v="47"/>
    <x v="1"/>
    <s v="https://tools.sig.systems/site/details/223"/>
    <m/>
    <x v="1"/>
    <x v="0"/>
    <x v="35"/>
    <x v="1"/>
    <x v="0"/>
    <x v="35"/>
    <x v="11"/>
    <x v="47"/>
  </r>
  <r>
    <s v="(PE) JLR Darien PDI (NO TOURS)6"/>
    <x v="2"/>
    <x v="0"/>
    <x v="4"/>
    <x v="0"/>
    <x v="112"/>
    <x v="0"/>
    <s v="https://tools.sig.systems/site/details/187"/>
    <s v="https://www.google.com/maps/d/viewer?mid=1ebZp8DeTYSXNPgDIA63nFVDu9ohaO4E&amp;ll=41.08027837958441%2C-73.46597874999999&amp;z=15"/>
    <x v="1"/>
    <x v="0"/>
    <x v="6"/>
    <x v="0"/>
    <x v="0"/>
    <x v="74"/>
    <x v="83"/>
    <x v="111"/>
  </r>
  <r>
    <s v="(RML) Burleson Nissan6"/>
    <x v="2"/>
    <x v="0"/>
    <x v="1"/>
    <x v="1"/>
    <x v="82"/>
    <x v="1"/>
    <s v="https://tools.sig.systems/site/details/202"/>
    <m/>
    <x v="1"/>
    <x v="0"/>
    <x v="58"/>
    <x v="0"/>
    <x v="0"/>
    <x v="56"/>
    <x v="11"/>
    <x v="82"/>
  </r>
  <r>
    <s v="(SCH) Chevrolet North Palm6"/>
    <x v="2"/>
    <x v="0"/>
    <x v="0"/>
    <x v="0"/>
    <x v="52"/>
    <x v="0"/>
    <s v="https://tools.sig.systems/site/details/160"/>
    <m/>
    <x v="3"/>
    <x v="0"/>
    <x v="39"/>
    <x v="0"/>
    <x v="0"/>
    <x v="6"/>
    <x v="38"/>
    <x v="52"/>
  </r>
  <r>
    <s v="(SCH) Delray I &amp; II6"/>
    <x v="2"/>
    <x v="0"/>
    <x v="0"/>
    <x v="0"/>
    <x v="26"/>
    <x v="0"/>
    <s v="https://tools.sig.systems/site/details/159"/>
    <m/>
    <x v="3"/>
    <x v="0"/>
    <x v="21"/>
    <x v="11"/>
    <x v="6"/>
    <x v="6"/>
    <x v="22"/>
    <x v="26"/>
  </r>
  <r>
    <s v="(AS) Coggin Acura Ft Pierce (NO TOURS)6"/>
    <x v="2"/>
    <x v="1"/>
    <x v="0"/>
    <x v="0"/>
    <x v="27"/>
    <x v="0"/>
    <s v="https://tools.sig.systems/site/details/118"/>
    <s v="https://www.google.com/maps/d/viewer?mid=1AyViBuyeq7iwDua1SVudJ2A1BYi3IBA&amp;ll=27.38181516363982%2C-80.32568845000002&amp;z=18"/>
    <x v="1"/>
    <x v="0"/>
    <x v="3"/>
    <x v="12"/>
    <x v="0"/>
    <x v="21"/>
    <x v="19"/>
    <x v="27"/>
  </r>
  <r>
    <s v="(AS) Coggin Mercedes Benz Ft Pierce (NO TOURS)6"/>
    <x v="2"/>
    <x v="1"/>
    <x v="0"/>
    <x v="0"/>
    <x v="28"/>
    <x v="0"/>
    <s v="https://tools.sig.systems/site/details/127"/>
    <s v="https://www.google.com/maps/d/viewer?mid=1AyViBuyeq7iwDua1SVudJ2A1BYi3IBA&amp;ll=27.38181516363982%2C-80.32568845000002&amp;z=18"/>
    <x v="1"/>
    <x v="0"/>
    <x v="22"/>
    <x v="13"/>
    <x v="0"/>
    <x v="22"/>
    <x v="23"/>
    <x v="28"/>
  </r>
  <r>
    <s v="(AS) Park Place Acura (NO TOURS)6"/>
    <x v="2"/>
    <x v="1"/>
    <x v="1"/>
    <x v="1"/>
    <x v="32"/>
    <x v="1"/>
    <s v="https://tools.sig.systems/site/details/259"/>
    <s v="https://www.google.com/maps/d/viewer?mid=1wg5suxVuxeNp_irHlvN772HcwD6W89E&amp;ll=33.06373951220261%2C-96.82758025000001&amp;z=18"/>
    <x v="1"/>
    <x v="0"/>
    <x v="25"/>
    <x v="0"/>
    <x v="0"/>
    <x v="25"/>
    <x v="11"/>
    <x v="32"/>
  </r>
  <r>
    <s v="(AS) Park Place JLR DFW Airport (NO TOURS)6"/>
    <x v="2"/>
    <x v="1"/>
    <x v="1"/>
    <x v="1"/>
    <x v="93"/>
    <x v="1"/>
    <s v="https://tools.sig.systems/site/details/135"/>
    <m/>
    <x v="1"/>
    <x v="0"/>
    <x v="67"/>
    <x v="33"/>
    <x v="13"/>
    <x v="63"/>
    <x v="65"/>
    <x v="93"/>
  </r>
  <r>
    <s v="(AS) Plaza Lexus/Mercedes/BMW (NO TOURS)6"/>
    <x v="2"/>
    <x v="1"/>
    <x v="1"/>
    <x v="1"/>
    <x v="63"/>
    <x v="1"/>
    <s v="https://tools.sig.systems/site/details/141"/>
    <s v="https://www.google.com/maps/d/viewer?mid=1whGZ1PLqmhJnGFz8uigZqUL4cHGGW3w&amp;ll=38.668847686454825%2C-90.4433601&amp;z=17"/>
    <x v="1"/>
    <x v="0"/>
    <x v="48"/>
    <x v="23"/>
    <x v="0"/>
    <x v="43"/>
    <x v="47"/>
    <x v="63"/>
  </r>
  <r>
    <s v="(AS) Stevinson Chevrolet Golden (NO TOURS)6"/>
    <x v="2"/>
    <x v="1"/>
    <x v="7"/>
    <x v="2"/>
    <x v="96"/>
    <x v="3"/>
    <s v="https://tools.sig.systems/site/details/264"/>
    <s v="https://www.google.com/maps/d/edit?mid=1nAyK85WaWREy0lfxnmWn3USs2gC0nP0&amp;usp=sharing"/>
    <x v="1"/>
    <x v="0"/>
    <x v="3"/>
    <x v="36"/>
    <x v="0"/>
    <x v="66"/>
    <x v="68"/>
    <x v="95"/>
  </r>
  <r>
    <s v="(DT) W Houston6"/>
    <x v="2"/>
    <x v="1"/>
    <x v="1"/>
    <x v="1"/>
    <x v="10"/>
    <x v="1"/>
    <s v="https://tools.sig.systems/site/details/197"/>
    <m/>
    <x v="1"/>
    <x v="0"/>
    <x v="9"/>
    <x v="2"/>
    <x v="0"/>
    <x v="9"/>
    <x v="10"/>
    <x v="10"/>
  </r>
  <r>
    <s v="(DT) Wichita6"/>
    <x v="2"/>
    <x v="1"/>
    <x v="1"/>
    <x v="1"/>
    <x v="36"/>
    <x v="1"/>
    <s v="https://tools.sig.systems/site/details/257"/>
    <m/>
    <x v="1"/>
    <x v="0"/>
    <x v="3"/>
    <x v="15"/>
    <x v="0"/>
    <x v="6"/>
    <x v="30"/>
    <x v="36"/>
  </r>
  <r>
    <s v="(HUD) BMW of Greensboro6"/>
    <x v="2"/>
    <x v="1"/>
    <x v="0"/>
    <x v="0"/>
    <x v="100"/>
    <x v="0"/>
    <s v="https://tools.sig.systems/site/details/219"/>
    <s v="https://www.google.com/maps/d/viewer?mid=1ejOzT7-x6RWnCf83BBP7XhiOiwEX3Wk&amp;ll=36.061264791292906%2C-79.87437695000003&amp;z=17"/>
    <x v="1"/>
    <x v="0"/>
    <x v="70"/>
    <x v="0"/>
    <x v="0"/>
    <x v="68"/>
    <x v="72"/>
    <x v="99"/>
  </r>
  <r>
    <s v="(KG) Hyundai Surprise6"/>
    <x v="2"/>
    <x v="1"/>
    <x v="5"/>
    <x v="3"/>
    <x v="103"/>
    <x v="4"/>
    <s v="https://tools.sig.systems/site/details/269"/>
    <m/>
    <x v="4"/>
    <x v="0"/>
    <x v="73"/>
    <x v="0"/>
    <x v="0"/>
    <x v="71"/>
    <x v="11"/>
    <x v="102"/>
  </r>
  <r>
    <s v="(KG) Texan GMC Buick (NO TOURS)6"/>
    <x v="2"/>
    <x v="1"/>
    <x v="1"/>
    <x v="1"/>
    <x v="41"/>
    <x v="1"/>
    <s v="https://tools.sig.systems/site/details/225"/>
    <s v="https://www.google.com/maps/d/edit?mid=1FNqK4dW8Z8gtSWuQLbStrtqe7lH8DIQ&amp;usp=sharing"/>
    <x v="1"/>
    <x v="0"/>
    <x v="31"/>
    <x v="0"/>
    <x v="0"/>
    <x v="31"/>
    <x v="33"/>
    <x v="41"/>
  </r>
  <r>
    <s v="(ML) BMW of Little Rock6"/>
    <x v="2"/>
    <x v="1"/>
    <x v="1"/>
    <x v="1"/>
    <x v="105"/>
    <x v="1"/>
    <s v="https://tools.sig.systems/site/details/217"/>
    <s v="https://www.google.com/maps/d/viewer?mid=1hvbKFMO-d5TXrKGU-g5dt_xcdArB1D0&amp;ll=34.71147784120261%2C-92.40574350000001&amp;z=17"/>
    <x v="1"/>
    <x v="0"/>
    <x v="3"/>
    <x v="38"/>
    <x v="0"/>
    <x v="6"/>
    <x v="76"/>
    <x v="104"/>
  </r>
  <r>
    <s v="(ML) Joe Machens Kia of Columbia6"/>
    <x v="2"/>
    <x v="1"/>
    <x v="1"/>
    <x v="1"/>
    <x v="107"/>
    <x v="1"/>
    <s v="https://tools.sig.systems/site/details/270"/>
    <s v="https://www.google.com/maps/d/viewer?hl=es&amp;mid=1C1oZdjH3dNvCvqdpIv_Lk0Yn1OCVn-4&amp;ll=38.965368114274455%2C-92.3405954&amp;z=15"/>
    <x v="1"/>
    <x v="0"/>
    <x v="3"/>
    <x v="39"/>
    <x v="0"/>
    <x v="6"/>
    <x v="78"/>
    <x v="106"/>
  </r>
  <r>
    <s v="(ML) Joe Machens Toyota6"/>
    <x v="2"/>
    <x v="1"/>
    <x v="1"/>
    <x v="1"/>
    <x v="18"/>
    <x v="1"/>
    <s v="https://tools.sig.systems/site/details/275"/>
    <s v="https://www.google.com/maps/d/viewer?hl=es&amp;mid=1C1oZdjH3dNvCvqdpIv_Lk0Yn1OCVn-4&amp;ll=38.965368114274455%2C-92.3405954&amp;z=15"/>
    <x v="1"/>
    <x v="0"/>
    <x v="3"/>
    <x v="7"/>
    <x v="0"/>
    <x v="16"/>
    <x v="11"/>
    <x v="18"/>
  </r>
  <r>
    <s v="(ML) Toyota N Little Rock6"/>
    <x v="2"/>
    <x v="1"/>
    <x v="1"/>
    <x v="1"/>
    <x v="21"/>
    <x v="1"/>
    <s v="https://tools.sig.systems/site/details/201"/>
    <s v="https://www.google.com/maps/d/edit?mid=1Oky35ERk_2kgyzCvDu_odQ2ZP62BtqA&amp;usp=sharing"/>
    <x v="1"/>
    <x v="0"/>
    <x v="17"/>
    <x v="0"/>
    <x v="0"/>
    <x v="19"/>
    <x v="11"/>
    <x v="21"/>
  </r>
  <r>
    <s v="(PE) Fairfield Collision (NO TOURS)6"/>
    <x v="2"/>
    <x v="1"/>
    <x v="4"/>
    <x v="0"/>
    <x v="22"/>
    <x v="0"/>
    <s v="https://tools.sig.systems/site/details/191"/>
    <m/>
    <x v="1"/>
    <x v="0"/>
    <x v="18"/>
    <x v="0"/>
    <x v="0"/>
    <x v="6"/>
    <x v="18"/>
    <x v="22"/>
  </r>
  <r>
    <s v="(PE) Hudson Toyota Nissan CDJR (NO TOURS)6"/>
    <x v="2"/>
    <x v="1"/>
    <x v="4"/>
    <x v="0"/>
    <x v="81"/>
    <x v="0"/>
    <s v="https://tools.sig.systems/site/details/156"/>
    <m/>
    <x v="1"/>
    <x v="0"/>
    <x v="49"/>
    <x v="30"/>
    <x v="0"/>
    <x v="55"/>
    <x v="58"/>
    <x v="81"/>
  </r>
  <r>
    <s v="(RV) Toms Camperland Avondale (NO TOURS)6"/>
    <x v="2"/>
    <x v="1"/>
    <x v="5"/>
    <x v="3"/>
    <x v="24"/>
    <x v="4"/>
    <s v="https://tools.sig.systems/site/details/248"/>
    <s v="https://www.google.com/maps/d/viewer?mid=1bDs0QGFZwL3vEeGKxjVMk_j4azr0-lg&amp;ll=33.4593758581648%2C-112.28793780000001&amp;z=18"/>
    <x v="2"/>
    <x v="0"/>
    <x v="19"/>
    <x v="10"/>
    <x v="0"/>
    <x v="6"/>
    <x v="20"/>
    <x v="24"/>
  </r>
  <r>
    <s v="(SCH) Auto Body Shop Lake Park6"/>
    <x v="2"/>
    <x v="1"/>
    <x v="0"/>
    <x v="0"/>
    <x v="83"/>
    <x v="0"/>
    <s v="https://tools.sig.systems/site/details/158"/>
    <m/>
    <x v="1"/>
    <x v="0"/>
    <x v="59"/>
    <x v="0"/>
    <x v="0"/>
    <x v="6"/>
    <x v="11"/>
    <x v="83"/>
  </r>
  <r>
    <s v="(WAG) Greeley Chrysler Dodge Jeep Ram (NO TOURS)6"/>
    <x v="2"/>
    <x v="1"/>
    <x v="3"/>
    <x v="2"/>
    <x v="115"/>
    <x v="3"/>
    <s v="https://tools.sig.systems/site/details/130"/>
    <s v="https://www.google.com/maps/d/viewer?mid=1gN2lJ0iT7m5VNhD7aDcxE8AdXqtcOZc&amp;ll=40.396096737592195%2C-104.746842&amp;z=16"/>
    <x v="1"/>
    <x v="0"/>
    <x v="77"/>
    <x v="42"/>
    <x v="0"/>
    <x v="77"/>
    <x v="85"/>
    <x v="114"/>
  </r>
  <r>
    <s v="(AS) Bill Estes Ford (NO TOURS)6"/>
    <x v="2"/>
    <x v="2"/>
    <x v="0"/>
    <x v="0"/>
    <x v="55"/>
    <x v="0"/>
    <s v="https://tools.sig.systems/site/details/125"/>
    <m/>
    <x v="1"/>
    <x v="0"/>
    <x v="3"/>
    <x v="21"/>
    <x v="0"/>
    <x v="36"/>
    <x v="41"/>
    <x v="55"/>
  </r>
  <r>
    <s v="(AS) Courtesy CDJR of Brandon (NO TOURS)6"/>
    <x v="2"/>
    <x v="2"/>
    <x v="0"/>
    <x v="0"/>
    <x v="56"/>
    <x v="0"/>
    <s v="https://tools.sig.systems/site/details/126"/>
    <s v="https://www.google.com/maps/d/edit?mid=15R4hTDQx56ij99--JgozdqOIZh-kSlk&amp;usp=sharing"/>
    <x v="0"/>
    <x v="0"/>
    <x v="42"/>
    <x v="9"/>
    <x v="0"/>
    <x v="37"/>
    <x v="42"/>
    <x v="56"/>
  </r>
  <r>
    <s v="(AS) Mike Shaw Subaru Greeley (NO TOURS)6"/>
    <x v="2"/>
    <x v="2"/>
    <x v="3"/>
    <x v="2"/>
    <x v="91"/>
    <x v="3"/>
    <s v="https://tools.sig.systems/site/details/174"/>
    <s v="https://www.google.com/maps/d/viewer?mid=1gN2lJ0iT7m5VNhD7aDcxE8AdXqtcOZc&amp;ll=40.396096737592195%2C-104.746842&amp;z=16"/>
    <x v="1"/>
    <x v="0"/>
    <x v="65"/>
    <x v="32"/>
    <x v="0"/>
    <x v="61"/>
    <x v="11"/>
    <x v="91"/>
  </r>
  <r>
    <s v="(AS) Nalley Luxury Collision Center (NO TOURS)6"/>
    <x v="2"/>
    <x v="2"/>
    <x v="0"/>
    <x v="0"/>
    <x v="31"/>
    <x v="0"/>
    <s v="https://tools.sig.systems/site/details/263"/>
    <s v="https://www.google.com/maps/d/edit?mid=1jkN3DS1BhUqp_dztjjW0PDwKfo_Yxsw&amp;usp=sharing"/>
    <x v="1"/>
    <x v="0"/>
    <x v="4"/>
    <x v="0"/>
    <x v="0"/>
    <x v="6"/>
    <x v="26"/>
    <x v="31"/>
  </r>
  <r>
    <s v="(AS) Park Place MB Recon Center Dallas (NO TOURS)6"/>
    <x v="2"/>
    <x v="2"/>
    <x v="1"/>
    <x v="1"/>
    <x v="60"/>
    <x v="1"/>
    <s v="https://tools.sig.systems/site/details/170"/>
    <s v="https://www.google.com/maps/d/edit?hl=es&amp;mid=1uPmsRMsXnp74hPFW2t-sp2totVWF_xY&amp;ll=32.83050137713022%2C-96.83197783061323&amp;z=17"/>
    <x v="1"/>
    <x v="0"/>
    <x v="45"/>
    <x v="0"/>
    <x v="0"/>
    <x v="40"/>
    <x v="19"/>
    <x v="60"/>
  </r>
  <r>
    <s v="(AS) Plaza Audi/Infiniti (NO TOURS)6"/>
    <x v="2"/>
    <x v="2"/>
    <x v="1"/>
    <x v="1"/>
    <x v="95"/>
    <x v="1"/>
    <s v="https://tools.sig.systems/site/details/141"/>
    <s v="https://www.google.com/maps/d/viewer?mid=1whGZ1PLqmhJnGFz8uigZqUL4cHGGW3w&amp;ll=38.668847686454825%2C-90.4433601&amp;z=17"/>
    <x v="1"/>
    <x v="0"/>
    <x v="68"/>
    <x v="35"/>
    <x v="0"/>
    <x v="65"/>
    <x v="67"/>
    <x v="63"/>
  </r>
  <r>
    <s v="(DT) Albuquerque6"/>
    <x v="2"/>
    <x v="2"/>
    <x v="3"/>
    <x v="2"/>
    <x v="35"/>
    <x v="3"/>
    <s v="https://tools.sig.systems/site/details/237"/>
    <m/>
    <x v="1"/>
    <x v="0"/>
    <x v="27"/>
    <x v="0"/>
    <x v="0"/>
    <x v="27"/>
    <x v="29"/>
    <x v="35"/>
  </r>
  <r>
    <s v="(DT) Denver (NO TOURS)6"/>
    <x v="2"/>
    <x v="2"/>
    <x v="3"/>
    <x v="2"/>
    <x v="97"/>
    <x v="3"/>
    <s v="https://tools.sig.systems/site/details/203"/>
    <s v="https://www.google.com/maps/d/edit?mid=1AjZHz2LTg0RMhZUOmyZsv_Y4MFcaP8g&amp;usp=sharing"/>
    <x v="1"/>
    <x v="0"/>
    <x v="3"/>
    <x v="25"/>
    <x v="0"/>
    <x v="6"/>
    <x v="69"/>
    <x v="96"/>
  </r>
  <r>
    <s v="(HUD) CDJR of Greensboro6"/>
    <x v="2"/>
    <x v="2"/>
    <x v="0"/>
    <x v="0"/>
    <x v="68"/>
    <x v="0"/>
    <s v="https://tools.sig.systems/site/details/215"/>
    <s v="https://www.google.com/maps/d/viewer?mid=1ejOzT7-x6RWnCf83BBP7XhiOiwEX3Wk&amp;ll=36.061264791292906%2C-79.87437695000003&amp;z=17"/>
    <x v="3"/>
    <x v="0"/>
    <x v="50"/>
    <x v="0"/>
    <x v="0"/>
    <x v="45"/>
    <x v="51"/>
    <x v="68"/>
  </r>
  <r>
    <s v="(ML) Collision Center N Little Rock6"/>
    <x v="2"/>
    <x v="2"/>
    <x v="1"/>
    <x v="1"/>
    <x v="106"/>
    <x v="1"/>
    <s v="https://tools.sig.systems/site/details/212"/>
    <s v="https://www.google.com/maps/d/edit?mid=1Oky35ERk_2kgyzCvDu_odQ2ZP62BtqA&amp;usp=sharing"/>
    <x v="1"/>
    <x v="0"/>
    <x v="3"/>
    <x v="0"/>
    <x v="0"/>
    <x v="6"/>
    <x v="77"/>
    <x v="105"/>
  </r>
  <r>
    <s v="(ML) Joe Machens Ford Lincoln I &amp; II6"/>
    <x v="2"/>
    <x v="2"/>
    <x v="1"/>
    <x v="1"/>
    <x v="77"/>
    <x v="1"/>
    <s v="https://tools.sig.systems/site/details/266"/>
    <s v="https://www.google.com/maps/d/viewer?hl=es&amp;mid=1C1oZdjH3dNvCvqdpIv_Lk0Yn1OCVn-4&amp;ll=38.965368114274455%2C-92.3405954&amp;z=15"/>
    <x v="1"/>
    <x v="0"/>
    <x v="3"/>
    <x v="27"/>
    <x v="0"/>
    <x v="52"/>
    <x v="11"/>
    <x v="77"/>
  </r>
  <r>
    <s v="(ML) Joe Machens VW6"/>
    <x v="2"/>
    <x v="2"/>
    <x v="1"/>
    <x v="1"/>
    <x v="19"/>
    <x v="1"/>
    <s v="https://tools.sig.systems/site/details/274"/>
    <s v="https://www.google.com/maps/d/viewer?hl=es&amp;mid=1C1oZdjH3dNvCvqdpIv_Lk0Yn1OCVn-4&amp;ll=38.965368114274455%2C-92.3405954&amp;z=15"/>
    <x v="1"/>
    <x v="0"/>
    <x v="3"/>
    <x v="8"/>
    <x v="0"/>
    <x v="17"/>
    <x v="11"/>
    <x v="19"/>
  </r>
  <r>
    <s v="(ML) Nissan of North Little Rock6"/>
    <x v="2"/>
    <x v="2"/>
    <x v="1"/>
    <x v="1"/>
    <x v="20"/>
    <x v="1"/>
    <s v="https://tools.sig.systems/site/details/216"/>
    <s v="https://www.google.com/maps/d/edit?mid=1Oky35ERk_2kgyzCvDu_odQ2ZP62BtqA&amp;usp=sharing"/>
    <x v="1"/>
    <x v="0"/>
    <x v="16"/>
    <x v="0"/>
    <x v="0"/>
    <x v="18"/>
    <x v="17"/>
    <x v="20"/>
  </r>
  <r>
    <s v="(PE) Honda of Danbury (NO TOURS)6"/>
    <x v="2"/>
    <x v="2"/>
    <x v="4"/>
    <x v="0"/>
    <x v="49"/>
    <x v="0"/>
    <s v="https://tools.sig.systems/site/details/190"/>
    <m/>
    <x v="1"/>
    <x v="0"/>
    <x v="3"/>
    <x v="19"/>
    <x v="9"/>
    <x v="6"/>
    <x v="36"/>
    <x v="49"/>
  </r>
  <r>
    <s v="(RV) Toms Camperland Mesa (NO TOURS)6"/>
    <x v="2"/>
    <x v="2"/>
    <x v="5"/>
    <x v="3"/>
    <x v="25"/>
    <x v="4"/>
    <s v="https://tools.sig.systems/site/details/222"/>
    <m/>
    <x v="1"/>
    <x v="0"/>
    <x v="20"/>
    <x v="0"/>
    <x v="0"/>
    <x v="6"/>
    <x v="21"/>
    <x v="25"/>
  </r>
  <r>
    <s v="(SCH) Prep Center Delray6"/>
    <x v="2"/>
    <x v="2"/>
    <x v="0"/>
    <x v="0"/>
    <x v="53"/>
    <x v="0"/>
    <s v="https://tools.sig.systems/site/details/321"/>
    <m/>
    <x v="1"/>
    <x v="0"/>
    <x v="40"/>
    <x v="0"/>
    <x v="0"/>
    <x v="6"/>
    <x v="39"/>
    <x v="53"/>
  </r>
  <r>
    <s v="(SCH) West Palm Beach I, II &amp; III6"/>
    <x v="2"/>
    <x v="2"/>
    <x v="6"/>
    <x v="0"/>
    <x v="54"/>
    <x v="0"/>
    <s v="https://tools.sig.systems/site/details/162"/>
    <m/>
    <x v="3"/>
    <x v="2"/>
    <x v="41"/>
    <x v="20"/>
    <x v="10"/>
    <x v="6"/>
    <x v="40"/>
    <x v="54"/>
  </r>
  <r>
    <s v="SIG Office6"/>
    <x v="2"/>
    <x v="2"/>
    <x v="2"/>
    <x v="0"/>
    <x v="85"/>
    <x v="2"/>
    <s v="https://tools.sig.systems/site/details/163"/>
    <m/>
    <x v="1"/>
    <x v="0"/>
    <x v="3"/>
    <x v="0"/>
    <x v="0"/>
    <x v="6"/>
    <x v="60"/>
    <x v="85"/>
  </r>
  <r>
    <s v="(AS) Audi of North Atlanta (NO TOURS)6"/>
    <x v="2"/>
    <x v="3"/>
    <x v="0"/>
    <x v="0"/>
    <x v="87"/>
    <x v="0"/>
    <s v="https://tools.sig.systems/site/details/124"/>
    <s v="https://www.google.com/maps/d/edit?mid=1jkN3DS1BhUqp_dztjjW0PDwKfo_Yxsw&amp;usp=sharing"/>
    <x v="1"/>
    <x v="0"/>
    <x v="62"/>
    <x v="0"/>
    <x v="0"/>
    <x v="57"/>
    <x v="61"/>
    <x v="87"/>
  </r>
  <r>
    <s v="(AS) Courtesy Honda Palm Harbor (NO TOURS)6"/>
    <x v="2"/>
    <x v="3"/>
    <x v="0"/>
    <x v="0"/>
    <x v="88"/>
    <x v="0"/>
    <s v="https://tools.sig.systems/site/details/176"/>
    <m/>
    <x v="3"/>
    <x v="0"/>
    <x v="63"/>
    <x v="0"/>
    <x v="0"/>
    <x v="58"/>
    <x v="24"/>
    <x v="88"/>
  </r>
  <r>
    <s v="(AS) Lexus Plano I &amp; II (NO TOURS)6"/>
    <x v="2"/>
    <x v="3"/>
    <x v="1"/>
    <x v="1"/>
    <x v="1"/>
    <x v="1"/>
    <s v="https://tools.sig.systems/site/details/167"/>
    <s v="https://www.google.com/maps/d/viewer?mid=1wg5suxVuxeNp_irHlvN772HcwD6W89E&amp;ll=33.06373951220261%2C-96.82758025000001&amp;z=18"/>
    <x v="1"/>
    <x v="0"/>
    <x v="1"/>
    <x v="0"/>
    <x v="1"/>
    <x v="1"/>
    <x v="1"/>
    <x v="1"/>
  </r>
  <r>
    <s v="(AS) Nalley Lexus &amp; Remote Lot Roswell (NO TOURS)6"/>
    <x v="2"/>
    <x v="3"/>
    <x v="2"/>
    <x v="0"/>
    <x v="4"/>
    <x v="2"/>
    <s v="https://tools.sig.systems/site/details/131"/>
    <s v="https://www.google.com/maps/d/edit?mid=1jkN3DS1BhUqp_dztjjW0PDwKfo_Yxsw&amp;usp=sharing"/>
    <x v="1"/>
    <x v="1"/>
    <x v="4"/>
    <x v="1"/>
    <x v="3"/>
    <x v="4"/>
    <x v="4"/>
    <x v="4"/>
  </r>
  <r>
    <s v="(AS) Park Place Mercedes Benz Arlington (NO TOURS)6"/>
    <x v="2"/>
    <x v="3"/>
    <x v="1"/>
    <x v="1"/>
    <x v="61"/>
    <x v="1"/>
    <s v="https://tools.sig.systems/site/details/169"/>
    <m/>
    <x v="1"/>
    <x v="0"/>
    <x v="46"/>
    <x v="0"/>
    <x v="11"/>
    <x v="41"/>
    <x v="46"/>
    <x v="61"/>
  </r>
  <r>
    <s v="(AS) Plano Auction (NO SPEAKERS)6"/>
    <x v="2"/>
    <x v="3"/>
    <x v="1"/>
    <x v="1"/>
    <x v="94"/>
    <x v="1"/>
    <s v="https://tools.sig.systems/site/details/140"/>
    <m/>
    <x v="1"/>
    <x v="0"/>
    <x v="3"/>
    <x v="34"/>
    <x v="0"/>
    <x v="64"/>
    <x v="66"/>
    <x v="94"/>
  </r>
  <r>
    <s v="(AS) Stevinson JLR (NO TOURS)6"/>
    <x v="2"/>
    <x v="3"/>
    <x v="3"/>
    <x v="2"/>
    <x v="64"/>
    <x v="3"/>
    <s v="https://tools.sig.systems/site/details/204"/>
    <m/>
    <x v="1"/>
    <x v="0"/>
    <x v="49"/>
    <x v="1"/>
    <x v="0"/>
    <x v="44"/>
    <x v="48"/>
    <x v="64"/>
  </r>
  <r>
    <s v="(DT) Colorado Springs (NO TOURS)6"/>
    <x v="2"/>
    <x v="3"/>
    <x v="3"/>
    <x v="2"/>
    <x v="65"/>
    <x v="3"/>
    <s v="https://tools.sig.systems/site/details/198"/>
    <m/>
    <x v="1"/>
    <x v="0"/>
    <x v="3"/>
    <x v="24"/>
    <x v="0"/>
    <x v="6"/>
    <x v="49"/>
    <x v="65"/>
  </r>
  <r>
    <s v="(HUD) Honda Greensboro6"/>
    <x v="2"/>
    <x v="3"/>
    <x v="0"/>
    <x v="0"/>
    <x v="37"/>
    <x v="0"/>
    <s v="https://tools.sig.systems/site/details/230"/>
    <s v="AS/ HUD - Crown Greensboro - Google My Maps"/>
    <x v="1"/>
    <x v="0"/>
    <x v="28"/>
    <x v="0"/>
    <x v="0"/>
    <x v="28"/>
    <x v="31"/>
    <x v="37"/>
  </r>
  <r>
    <s v="(KG) Baytown GMC Buick - Remote Lot (NO TOURS)6"/>
    <x v="2"/>
    <x v="3"/>
    <x v="2"/>
    <x v="1"/>
    <x v="70"/>
    <x v="2"/>
    <s v="https://tools.sig.systems/site/details/311"/>
    <m/>
    <x v="1"/>
    <x v="3"/>
    <x v="3"/>
    <x v="25"/>
    <x v="0"/>
    <x v="6"/>
    <x v="11"/>
    <x v="70"/>
  </r>
  <r>
    <s v="(KG) Baytown GMC Buick (NO TOURS)6"/>
    <x v="2"/>
    <x v="3"/>
    <x v="1"/>
    <x v="1"/>
    <x v="71"/>
    <x v="1"/>
    <s v="https://tools.sig.systems/site/details/239"/>
    <m/>
    <x v="1"/>
    <x v="0"/>
    <x v="52"/>
    <x v="0"/>
    <x v="0"/>
    <x v="47"/>
    <x v="53"/>
    <x v="71"/>
  </r>
  <r>
    <s v="(KT) Northwest CDJR (NO TOURS)6"/>
    <x v="2"/>
    <x v="3"/>
    <x v="1"/>
    <x v="1"/>
    <x v="15"/>
    <x v="1"/>
    <s v="https://tools.sig.systems/site/details/229"/>
    <m/>
    <x v="1"/>
    <x v="0"/>
    <x v="14"/>
    <x v="0"/>
    <x v="0"/>
    <x v="13"/>
    <x v="11"/>
    <x v="15"/>
  </r>
  <r>
    <s v="(MK) McKenny Salinas Honda6"/>
    <x v="2"/>
    <x v="3"/>
    <x v="0"/>
    <x v="0"/>
    <x v="104"/>
    <x v="0"/>
    <s v="https://tools.sig.systems/site/details/149"/>
    <m/>
    <x v="1"/>
    <x v="0"/>
    <x v="3"/>
    <x v="37"/>
    <x v="0"/>
    <x v="6"/>
    <x v="75"/>
    <x v="103"/>
  </r>
  <r>
    <s v="(ML) Columbia Honda (NO TOURS)6"/>
    <x v="2"/>
    <x v="3"/>
    <x v="1"/>
    <x v="1"/>
    <x v="75"/>
    <x v="1"/>
    <s v="https://tools.sig.systems/site/details/272"/>
    <s v="https://www.google.com/maps/d/viewer?hl=es&amp;mid=1C1oZdjH3dNvCvqdpIv_Lk0Yn1OCVn-4&amp;ll=38.965368114274426%2C-92.3405954&amp;z=15"/>
    <x v="1"/>
    <x v="0"/>
    <x v="3"/>
    <x v="26"/>
    <x v="0"/>
    <x v="50"/>
    <x v="56"/>
    <x v="75"/>
  </r>
  <r>
    <s v="(ML) Honda of Little Rock6"/>
    <x v="2"/>
    <x v="3"/>
    <x v="1"/>
    <x v="1"/>
    <x v="16"/>
    <x v="1"/>
    <s v="https://tools.sig.systems/site/details/249"/>
    <s v="https://www.google.com/maps/d/viewer?mid=1hvbKFMO-d5TXrKGU-g5dt_xcdArB1D0&amp;ll=34.71147784120261%2C-92.40574350000001&amp;z=17"/>
    <x v="1"/>
    <x v="0"/>
    <x v="15"/>
    <x v="0"/>
    <x v="0"/>
    <x v="14"/>
    <x v="15"/>
    <x v="16"/>
  </r>
  <r>
    <s v="(ML) Joe Machens E Collision Center6"/>
    <x v="2"/>
    <x v="3"/>
    <x v="1"/>
    <x v="1"/>
    <x v="76"/>
    <x v="1"/>
    <s v="https://tools.sig.systems/site/details/277"/>
    <s v="https://www.google.com/maps/d/viewer?hl=es&amp;mid=1C1oZdjH3dNvCvqdpIv_Lk0Yn1OCVn-4&amp;ll=38.965368114274455%2C-92.3405954&amp;z=15"/>
    <x v="1"/>
    <x v="0"/>
    <x v="6"/>
    <x v="0"/>
    <x v="0"/>
    <x v="51"/>
    <x v="57"/>
    <x v="76"/>
  </r>
  <r>
    <s v="(ML) Mazda VW-Lot B6"/>
    <x v="2"/>
    <x v="3"/>
    <x v="1"/>
    <x v="1"/>
    <x v="45"/>
    <x v="1"/>
    <s v="https://tools.sig.systems/site/details/205"/>
    <s v="https://www.google.com/maps/d/edit?mid=1Oky35ERk_2kgyzCvDu_odQ2ZP62BtqA&amp;usp=sharing"/>
    <x v="1"/>
    <x v="0"/>
    <x v="33"/>
    <x v="9"/>
    <x v="0"/>
    <x v="30"/>
    <x v="11"/>
    <x v="45"/>
  </r>
  <r>
    <s v="(ML) Nissan of Little Rock6"/>
    <x v="2"/>
    <x v="3"/>
    <x v="1"/>
    <x v="1"/>
    <x v="46"/>
    <x v="1"/>
    <s v="https://tools.sig.systems/site/details/224"/>
    <s v="https://www.google.com/maps/d/viewer?mid=1hvbKFMO-d5TXrKGU-g5dt_xcdArB1D0&amp;ll=34.71147784120261%2C-92.40574350000001&amp;z=17"/>
    <x v="1"/>
    <x v="0"/>
    <x v="34"/>
    <x v="0"/>
    <x v="0"/>
    <x v="34"/>
    <x v="7"/>
    <x v="46"/>
  </r>
  <r>
    <s v="(PE) BMW of Greenwich (NO TOURS)6"/>
    <x v="2"/>
    <x v="3"/>
    <x v="4"/>
    <x v="0"/>
    <x v="110"/>
    <x v="0"/>
    <s v="https://tools.sig.systems/site/details/186"/>
    <s v="https://www.google.com/maps/d/edit?hl=en&amp;mid=1UHmt7tH1ihTa85i0MfQIcTfVvIQg_vM&amp;ll=41.024187580466844%2C-73.63702405370861&amp;z=18"/>
    <x v="1"/>
    <x v="0"/>
    <x v="75"/>
    <x v="0"/>
    <x v="0"/>
    <x v="6"/>
    <x v="81"/>
    <x v="109"/>
  </r>
  <r>
    <s v="(PE) JLR PDI (NO TOURS)6"/>
    <x v="2"/>
    <x v="3"/>
    <x v="4"/>
    <x v="0"/>
    <x v="50"/>
    <x v="0"/>
    <s v="https://tools.sig.systems/site/details/179"/>
    <s v="https://www.google.com/maps/d/viewer?mid=1ubI2iKs1JyYXssuT4oLPnVvFnyLPi_s&amp;ll=40.878808846788026%2C-73.98560655&amp;z=17"/>
    <x v="1"/>
    <x v="0"/>
    <x v="37"/>
    <x v="0"/>
    <x v="0"/>
    <x v="6"/>
    <x v="11"/>
    <x v="50"/>
  </r>
  <r>
    <s v="(RV) Toms Camperland Surprise (NO TOURS)6"/>
    <x v="2"/>
    <x v="3"/>
    <x v="5"/>
    <x v="3"/>
    <x v="51"/>
    <x v="4"/>
    <s v="https://tools.sig.systems/site/details/254"/>
    <m/>
    <x v="5"/>
    <x v="0"/>
    <x v="38"/>
    <x v="0"/>
    <x v="0"/>
    <x v="6"/>
    <x v="37"/>
    <x v="51"/>
  </r>
  <r>
    <s v="(TC) Tavernier Creek Marina (NO TOURS)6"/>
    <x v="2"/>
    <x v="3"/>
    <x v="0"/>
    <x v="0"/>
    <x v="84"/>
    <x v="1"/>
    <s v="https://tools.sig.systems/site/details/164"/>
    <m/>
    <x v="6"/>
    <x v="0"/>
    <x v="60"/>
    <x v="0"/>
    <x v="0"/>
    <x v="6"/>
    <x v="59"/>
    <x v="84"/>
  </r>
  <r>
    <s v="(AS) Courtesy Hyundai/Nissan Tampa (NO TOURS)6"/>
    <x v="2"/>
    <x v="4"/>
    <x v="0"/>
    <x v="0"/>
    <x v="89"/>
    <x v="0"/>
    <s v="https://tools.sig.systems/site/details/128"/>
    <m/>
    <x v="0"/>
    <x v="0"/>
    <x v="64"/>
    <x v="0"/>
    <x v="0"/>
    <x v="59"/>
    <x v="62"/>
    <x v="89"/>
  </r>
  <r>
    <s v="(AS) Lexus Grapevine I &amp; II (NO TOURS)6"/>
    <x v="2"/>
    <x v="4"/>
    <x v="1"/>
    <x v="1"/>
    <x v="29"/>
    <x v="1"/>
    <s v="https://tools.sig.systems/site/details/136"/>
    <m/>
    <x v="1"/>
    <x v="0"/>
    <x v="23"/>
    <x v="0"/>
    <x v="7"/>
    <x v="23"/>
    <x v="24"/>
    <x v="29"/>
  </r>
  <r>
    <s v="(AS) Nalley BMW Collision Center (NO TOURS)6"/>
    <x v="2"/>
    <x v="4"/>
    <x v="0"/>
    <x v="0"/>
    <x v="3"/>
    <x v="0"/>
    <s v="https://tools.sig.systems/site/details/220"/>
    <m/>
    <x v="1"/>
    <x v="0"/>
    <x v="3"/>
    <x v="1"/>
    <x v="0"/>
    <x v="3"/>
    <x v="3"/>
    <x v="3"/>
  </r>
  <r>
    <s v="(AS) Park Place Mercedes Benz Ft. Worth (NO TOURS)6"/>
    <x v="2"/>
    <x v="4"/>
    <x v="1"/>
    <x v="1"/>
    <x v="5"/>
    <x v="1"/>
    <s v="https://tools.sig.systems/site/details/137"/>
    <s v="https://www.google.com/maps/d/edit?mid=18OEO_KbvYcgI3N1jE4gTMXfNHTNDrFU&amp;ll=32.66603989958274%2C-97.42021198201722&amp;z=18"/>
    <x v="1"/>
    <x v="0"/>
    <x v="5"/>
    <x v="0"/>
    <x v="4"/>
    <x v="5"/>
    <x v="5"/>
    <x v="5"/>
  </r>
  <r>
    <s v="(AS) Park Place Volvo Service Center (NO TOURS)6"/>
    <x v="2"/>
    <x v="4"/>
    <x v="1"/>
    <x v="1"/>
    <x v="62"/>
    <x v="1"/>
    <s v="https://tools.sig.systems/site/details/171"/>
    <s v="https://www.google.com/maps/d/edit?hl=es&amp;mid=1uPmsRMsXnp74hPFW2t-sp2totVWF_xY&amp;ll=32.83050137713022%2C-96.83197783061323&amp;z=17"/>
    <x v="1"/>
    <x v="0"/>
    <x v="47"/>
    <x v="0"/>
    <x v="0"/>
    <x v="42"/>
    <x v="11"/>
    <x v="62"/>
  </r>
  <r>
    <s v="(AS) Stevinson Lexus of Lakewood (NO TOURS)6"/>
    <x v="2"/>
    <x v="4"/>
    <x v="3"/>
    <x v="2"/>
    <x v="34"/>
    <x v="3"/>
    <s v="https://tools.sig.systems/site/details/260"/>
    <s v="https://www.google.com/maps/d/edit?mid=1nAyK85WaWREy0lfxnmWn3USs2gC0nP0&amp;usp=sharing"/>
    <x v="1"/>
    <x v="0"/>
    <x v="3"/>
    <x v="14"/>
    <x v="8"/>
    <x v="6"/>
    <x v="28"/>
    <x v="34"/>
  </r>
  <r>
    <s v="(DT) El Cajon (NO TOURS)6"/>
    <x v="2"/>
    <x v="4"/>
    <x v="5"/>
    <x v="4"/>
    <x v="66"/>
    <x v="4"/>
    <s v="https://tools.sig.systems/site/details/241"/>
    <m/>
    <x v="1"/>
    <x v="0"/>
    <x v="3"/>
    <x v="16"/>
    <x v="0"/>
    <x v="6"/>
    <x v="11"/>
    <x v="66"/>
  </r>
  <r>
    <s v="(HUD) Honda of Southpoint6"/>
    <x v="2"/>
    <x v="4"/>
    <x v="0"/>
    <x v="0"/>
    <x v="11"/>
    <x v="0"/>
    <s v="https://tools.sig.systems/site/details/195"/>
    <m/>
    <x v="0"/>
    <x v="0"/>
    <x v="10"/>
    <x v="4"/>
    <x v="0"/>
    <x v="10"/>
    <x v="11"/>
    <x v="11"/>
  </r>
  <r>
    <s v="(JE) Jim Ellis Ford Sandy Springs6"/>
    <x v="2"/>
    <x v="4"/>
    <x v="0"/>
    <x v="0"/>
    <x v="69"/>
    <x v="0"/>
    <s v="https://tools.sig.systems/site/details/142"/>
    <m/>
    <x v="1"/>
    <x v="0"/>
    <x v="51"/>
    <x v="0"/>
    <x v="0"/>
    <x v="46"/>
    <x v="52"/>
    <x v="69"/>
  </r>
  <r>
    <s v="(KG) Big Star CDJR of Clear Lake6"/>
    <x v="2"/>
    <x v="4"/>
    <x v="1"/>
    <x v="1"/>
    <x v="101"/>
    <x v="1"/>
    <s v="https://tools.sig.systems/site/details/232"/>
    <s v="https://www.google.com/maps/d/edit?mid=1DRwy5fy1g5UzGTA7a1OkQA-_CY8SQ2s&amp;usp=sharing"/>
    <x v="1"/>
    <x v="0"/>
    <x v="71"/>
    <x v="0"/>
    <x v="0"/>
    <x v="69"/>
    <x v="73"/>
    <x v="100"/>
  </r>
  <r>
    <s v="(KG) Texan CDJR6"/>
    <x v="2"/>
    <x v="4"/>
    <x v="1"/>
    <x v="1"/>
    <x v="13"/>
    <x v="1"/>
    <s v="https://tools.sig.systems/site/details/238"/>
    <s v="https://www.google.com/maps/d/edit?mid=1FNqK4dW8Z8gtSWuQLbStrtqe7lH8DIQ&amp;usp=sharing"/>
    <x v="1"/>
    <x v="0"/>
    <x v="12"/>
    <x v="0"/>
    <x v="5"/>
    <x v="11"/>
    <x v="13"/>
    <x v="13"/>
  </r>
  <r>
    <s v="(ML) Ford Lincoln of North Little Rock6"/>
    <x v="2"/>
    <x v="4"/>
    <x v="1"/>
    <x v="1"/>
    <x v="42"/>
    <x v="1"/>
    <s v="https://tools.sig.systems/site/details/214"/>
    <s v="https://www.google.com/maps/d/edit?mid=1Oky35ERk_2kgyzCvDu_odQ2ZP62BtqA&amp;usp=sharing"/>
    <x v="1"/>
    <x v="0"/>
    <x v="32"/>
    <x v="4"/>
    <x v="0"/>
    <x v="32"/>
    <x v="34"/>
    <x v="42"/>
  </r>
  <r>
    <s v="(ML) Joe Machens CDJR6"/>
    <x v="2"/>
    <x v="4"/>
    <x v="1"/>
    <x v="1"/>
    <x v="43"/>
    <x v="1"/>
    <s v="https://tools.sig.systems/site/details/273"/>
    <s v="https://www.google.com/maps/d/viewer?hl=es&amp;mid=1C1oZdjH3dNvCvqdpIv_Lk0Yn1OCVn-4&amp;ll=38.965368114274455%2C-92.3405954&amp;z=15"/>
    <x v="1"/>
    <x v="0"/>
    <x v="3"/>
    <x v="16"/>
    <x v="0"/>
    <x v="6"/>
    <x v="35"/>
    <x v="43"/>
  </r>
  <r>
    <s v="(ML) McLarty Gray-Daniels Ford Lincoln6"/>
    <x v="2"/>
    <x v="4"/>
    <x v="1"/>
    <x v="1"/>
    <x v="79"/>
    <x v="1"/>
    <s v="https://tools.sig.systems/site/details/151"/>
    <s v="https://www.google.com/maps/d/edit?mid=111nhCL4Xjj2Pq0zP5xUrMzHQqAihqa0&amp;usp=sharing"/>
    <x v="1"/>
    <x v="0"/>
    <x v="56"/>
    <x v="29"/>
    <x v="0"/>
    <x v="53"/>
    <x v="57"/>
    <x v="79"/>
  </r>
  <r>
    <s v="(ML) Nissan Of Benton6"/>
    <x v="2"/>
    <x v="4"/>
    <x v="1"/>
    <x v="1"/>
    <x v="80"/>
    <x v="1"/>
    <s v="https://tools.sig.systems/site/details/247"/>
    <m/>
    <x v="1"/>
    <x v="0"/>
    <x v="57"/>
    <x v="0"/>
    <x v="0"/>
    <x v="54"/>
    <x v="11"/>
    <x v="80"/>
  </r>
  <r>
    <s v="(PE) BMW of Mamaroneck (NO TOURS)6"/>
    <x v="2"/>
    <x v="4"/>
    <x v="4"/>
    <x v="0"/>
    <x v="111"/>
    <x v="0"/>
    <s v="https://tools.sig.systems/site/details/185"/>
    <m/>
    <x v="1"/>
    <x v="0"/>
    <x v="76"/>
    <x v="41"/>
    <x v="0"/>
    <x v="6"/>
    <x v="82"/>
    <x v="110"/>
  </r>
  <r>
    <s v="(PE) Mercedes Benz &amp; Smart Bldg. of Fairfield (NO TOURS)6"/>
    <x v="2"/>
    <x v="4"/>
    <x v="4"/>
    <x v="0"/>
    <x v="23"/>
    <x v="0"/>
    <s v="https://tools.sig.systems/site/details/192"/>
    <s v="https://www.google.com/maps/d/viewer?mid=1FEo41PzFJQjUIXXKitX5TNCtuqR6Vbs&amp;ll=41.1663376742533%2C-73.22955662049608&amp;z=16"/>
    <x v="1"/>
    <x v="0"/>
    <x v="3"/>
    <x v="9"/>
    <x v="0"/>
    <x v="20"/>
    <x v="19"/>
    <x v="23"/>
  </r>
  <r>
    <s v="(PE) Scofield Service Center (NO TOURS)6"/>
    <x v="2"/>
    <x v="4"/>
    <x v="4"/>
    <x v="0"/>
    <x v="113"/>
    <x v="0"/>
    <s v="https://tools.sig.systems/site/details/193"/>
    <s v="https://www.google.com/maps/d/viewer?mid=1FEo41PzFJQjUIXXKitX5TNCtuqR6Vbs&amp;ll=41.1663376742533%2C-73.22955662049608&amp;z=16"/>
    <x v="1"/>
    <x v="0"/>
    <x v="6"/>
    <x v="0"/>
    <x v="0"/>
    <x v="75"/>
    <x v="51"/>
    <x v="112"/>
  </r>
  <r>
    <s v="(RV) Sonny's Camp N Travel Concord6"/>
    <x v="2"/>
    <x v="4"/>
    <x v="0"/>
    <x v="0"/>
    <x v="114"/>
    <x v="0"/>
    <s v="https://tools.sig.systems/site/details/183"/>
    <m/>
    <x v="1"/>
    <x v="0"/>
    <x v="6"/>
    <x v="0"/>
    <x v="0"/>
    <x v="76"/>
    <x v="84"/>
    <x v="113"/>
  </r>
  <r>
    <s v="(AS) Courtesy Kia of Brandon (NO TOURS)6"/>
    <x v="2"/>
    <x v="5"/>
    <x v="0"/>
    <x v="0"/>
    <x v="57"/>
    <x v="0"/>
    <s v="https://tools.sig.systems/site/details/121"/>
    <s v="https://www.google.com/maps/d/edit?mid=15R4hTDQx56ij99--JgozdqOIZh-kSlk&amp;usp=sharing"/>
    <x v="0"/>
    <x v="0"/>
    <x v="3"/>
    <x v="22"/>
    <x v="0"/>
    <x v="38"/>
    <x v="43"/>
    <x v="57"/>
  </r>
  <r>
    <s v="(AS) David McDavid Honda I &amp; II (NO TOURS)6"/>
    <x v="2"/>
    <x v="5"/>
    <x v="1"/>
    <x v="1"/>
    <x v="90"/>
    <x v="1"/>
    <s v="https://tools.sig.systems/site/details/129"/>
    <m/>
    <x v="1"/>
    <x v="0"/>
    <x v="3"/>
    <x v="31"/>
    <x v="0"/>
    <x v="60"/>
    <x v="63"/>
    <x v="90"/>
  </r>
  <r>
    <s v="(AS) David McDavid Lincoln Frisco (NO TOURS)6"/>
    <x v="2"/>
    <x v="5"/>
    <x v="1"/>
    <x v="1"/>
    <x v="58"/>
    <x v="1"/>
    <s v="https://tools.sig.systems/site/details/182"/>
    <m/>
    <x v="1"/>
    <x v="0"/>
    <x v="43"/>
    <x v="0"/>
    <x v="0"/>
    <x v="39"/>
    <x v="44"/>
    <x v="58"/>
  </r>
  <r>
    <s v="(AS) Lexus Smyrna (NO TOURS)6"/>
    <x v="2"/>
    <x v="5"/>
    <x v="0"/>
    <x v="0"/>
    <x v="30"/>
    <x v="0"/>
    <s v="https://tools.sig.systems/site/details/133"/>
    <m/>
    <x v="1"/>
    <x v="0"/>
    <x v="24"/>
    <x v="0"/>
    <x v="0"/>
    <x v="24"/>
    <x v="25"/>
    <x v="30"/>
  </r>
  <r>
    <s v="(AS) Park Place Sprinter Van Center (NO TOURS)6"/>
    <x v="2"/>
    <x v="5"/>
    <x v="1"/>
    <x v="1"/>
    <x v="6"/>
    <x v="1"/>
    <s v="https://tools.sig.systems/site/details/138"/>
    <s v="https://www.google.com/maps/d/edit?hl=es&amp;mid=1uPmsRMsXnp74hPFW2t-sp2totVWF_xY&amp;ll=32.83050137713022%2C-96.83197783061323&amp;z=17"/>
    <x v="1"/>
    <x v="0"/>
    <x v="6"/>
    <x v="0"/>
    <x v="0"/>
    <x v="6"/>
    <x v="6"/>
    <x v="6"/>
  </r>
  <r>
    <s v="(AS) Park Place Volvo Sales (NO TOURS)6"/>
    <x v="2"/>
    <x v="5"/>
    <x v="1"/>
    <x v="1"/>
    <x v="33"/>
    <x v="1"/>
    <s v="https://tools.sig.systems/site/details/139"/>
    <s v="https://www.google.com/maps/d/edit?hl=es&amp;mid=1uPmsRMsXnp74hPFW2t-sp2totVWF_xY&amp;ll=32.83050137713022%2C-96.83197783061323&amp;z=17"/>
    <x v="1"/>
    <x v="0"/>
    <x v="26"/>
    <x v="0"/>
    <x v="0"/>
    <x v="26"/>
    <x v="27"/>
    <x v="33"/>
  </r>
  <r>
    <s v="(AS) Stevinson Porsche of Littleton (NO TOURS)6"/>
    <x v="2"/>
    <x v="5"/>
    <x v="3"/>
    <x v="2"/>
    <x v="7"/>
    <x v="3"/>
    <s v="https://tools.sig.systems/site/details/242"/>
    <m/>
    <x v="1"/>
    <x v="0"/>
    <x v="7"/>
    <x v="2"/>
    <x v="0"/>
    <x v="6"/>
    <x v="7"/>
    <x v="7"/>
  </r>
  <r>
    <s v="(AS) Stevinson Toyota West (NO TOURS)6"/>
    <x v="2"/>
    <x v="5"/>
    <x v="3"/>
    <x v="2"/>
    <x v="8"/>
    <x v="3"/>
    <s v="https://tools.sig.systems/site/details/240"/>
    <s v="https://www.google.com/maps/d/edit?mid=1nAyK85WaWREy0lfxnmWn3USs2gC0nP0&amp;usp=sharing"/>
    <x v="1"/>
    <x v="0"/>
    <x v="3"/>
    <x v="3"/>
    <x v="0"/>
    <x v="7"/>
    <x v="8"/>
    <x v="8"/>
  </r>
  <r>
    <s v="(DT) Escondido6"/>
    <x v="2"/>
    <x v="5"/>
    <x v="5"/>
    <x v="4"/>
    <x v="98"/>
    <x v="5"/>
    <s v="https://tools.sig.systems/site/details/196"/>
    <m/>
    <x v="1"/>
    <x v="4"/>
    <x v="20"/>
    <x v="0"/>
    <x v="0"/>
    <x v="6"/>
    <x v="70"/>
    <x v="97"/>
  </r>
  <r>
    <s v="(HUD) Nissan Greensboro6"/>
    <x v="2"/>
    <x v="5"/>
    <x v="0"/>
    <x v="0"/>
    <x v="12"/>
    <x v="0"/>
    <s v="https://tools.sig.systems/site/details/236"/>
    <s v="https://www.google.com/maps/d/viewer?mid=1ejOzT7-x6RWnCf83BBP7XhiOiwEX3Wk&amp;ll=36.061264791292906%2C-79.87437695000003&amp;z=17"/>
    <x v="1"/>
    <x v="0"/>
    <x v="11"/>
    <x v="0"/>
    <x v="0"/>
    <x v="6"/>
    <x v="12"/>
    <x v="12"/>
  </r>
  <r>
    <s v="(HUD) Paint and Body Center (NO TOURS)6"/>
    <x v="2"/>
    <x v="5"/>
    <x v="0"/>
    <x v="0"/>
    <x v="38"/>
    <x v="0"/>
    <s v="https://tools.sig.systems/site/details/256"/>
    <s v="https://www.google.com/maps/d/viewer?mid=1ejOzT7-x6RWnCf83BBP7XhiOiwEX3Wk&amp;ll=36.061264791292906%2C-79.87437695000003&amp;z=17"/>
    <x v="1"/>
    <x v="0"/>
    <x v="3"/>
    <x v="9"/>
    <x v="0"/>
    <x v="6"/>
    <x v="11"/>
    <x v="38"/>
  </r>
  <r>
    <s v="(KG) Big Star Ford6"/>
    <x v="2"/>
    <x v="5"/>
    <x v="1"/>
    <x v="1"/>
    <x v="102"/>
    <x v="1"/>
    <s v="https://tools.sig.systems/site/details/235"/>
    <m/>
    <x v="1"/>
    <x v="0"/>
    <x v="72"/>
    <x v="0"/>
    <x v="0"/>
    <x v="70"/>
    <x v="74"/>
    <x v="101"/>
  </r>
  <r>
    <s v="(KG) Big Star Honda6"/>
    <x v="2"/>
    <x v="5"/>
    <x v="1"/>
    <x v="1"/>
    <x v="72"/>
    <x v="1"/>
    <s v="https://tools.sig.systems/site/details/231"/>
    <m/>
    <x v="1"/>
    <x v="0"/>
    <x v="53"/>
    <x v="0"/>
    <x v="0"/>
    <x v="48"/>
    <x v="54"/>
    <x v="72"/>
  </r>
  <r>
    <s v="(ML) Joe Machens Capital City I &amp; II (NO TOURS)6"/>
    <x v="2"/>
    <x v="5"/>
    <x v="1"/>
    <x v="1"/>
    <x v="17"/>
    <x v="1"/>
    <s v="https://tools.sig.systems/site/details/271"/>
    <m/>
    <x v="1"/>
    <x v="0"/>
    <x v="3"/>
    <x v="6"/>
    <x v="0"/>
    <x v="15"/>
    <x v="16"/>
    <x v="17"/>
  </r>
  <r>
    <s v="(ML) McLarty Gray-Daniels Toyota Nissan6"/>
    <x v="2"/>
    <x v="5"/>
    <x v="1"/>
    <x v="1"/>
    <x v="108"/>
    <x v="1"/>
    <s v="https://tools.sig.systems/site/details/152"/>
    <s v="https://www.google.com/maps/d/edit?mid=111nhCL4Xjj2Pq0zP5xUrMzHQqAihqa0&amp;usp=sharing"/>
    <x v="1"/>
    <x v="0"/>
    <x v="3"/>
    <x v="40"/>
    <x v="0"/>
    <x v="72"/>
    <x v="79"/>
    <x v="107"/>
  </r>
  <r>
    <s v="(ML) McLarty-Gray Daniels Chevrolet6"/>
    <x v="2"/>
    <x v="5"/>
    <x v="1"/>
    <x v="1"/>
    <x v="109"/>
    <x v="1"/>
    <s v="https://tools.sig.systems/site/details/150"/>
    <m/>
    <x v="1"/>
    <x v="0"/>
    <x v="74"/>
    <x v="0"/>
    <x v="0"/>
    <x v="73"/>
    <x v="80"/>
    <x v="108"/>
  </r>
  <r>
    <s v="(PE) BMW Tenafly (NO TOURS)6"/>
    <x v="2"/>
    <x v="5"/>
    <x v="4"/>
    <x v="0"/>
    <x v="48"/>
    <x v="0"/>
    <s v="https://tools.sig.systems/site/details/155"/>
    <m/>
    <x v="1"/>
    <x v="0"/>
    <x v="36"/>
    <x v="18"/>
    <x v="0"/>
    <x v="6"/>
    <x v="19"/>
    <x v="48"/>
  </r>
  <r>
    <s v="(AS) Courtesy Honda Palm Harbor (NO TOURS)7"/>
    <x v="3"/>
    <x v="0"/>
    <x v="0"/>
    <x v="0"/>
    <x v="88"/>
    <x v="0"/>
    <s v="https://tools.sig.systems/site/details/176"/>
    <m/>
    <x v="3"/>
    <x v="0"/>
    <x v="63"/>
    <x v="0"/>
    <x v="0"/>
    <x v="58"/>
    <x v="24"/>
    <x v="88"/>
  </r>
  <r>
    <s v="(AS) Courtesy Hyundai/Nissan Tampa (NO TOURS)7"/>
    <x v="3"/>
    <x v="0"/>
    <x v="0"/>
    <x v="0"/>
    <x v="89"/>
    <x v="0"/>
    <s v="https://tools.sig.systems/site/details/128"/>
    <m/>
    <x v="0"/>
    <x v="0"/>
    <x v="64"/>
    <x v="0"/>
    <x v="0"/>
    <x v="59"/>
    <x v="62"/>
    <x v="89"/>
  </r>
  <r>
    <s v="(AS) Lexus Grapevine I &amp; II (NO TOURS)7"/>
    <x v="3"/>
    <x v="0"/>
    <x v="1"/>
    <x v="1"/>
    <x v="29"/>
    <x v="1"/>
    <s v="https://tools.sig.systems/site/details/136"/>
    <m/>
    <x v="1"/>
    <x v="0"/>
    <x v="23"/>
    <x v="0"/>
    <x v="7"/>
    <x v="23"/>
    <x v="24"/>
    <x v="29"/>
  </r>
  <r>
    <s v="(AS) Lexus Plano I &amp; II (NO TOURS)7"/>
    <x v="3"/>
    <x v="0"/>
    <x v="1"/>
    <x v="1"/>
    <x v="1"/>
    <x v="1"/>
    <s v="https://tools.sig.systems/site/details/167"/>
    <s v="https://www.google.com/maps/d/viewer?mid=1wg5suxVuxeNp_irHlvN772HcwD6W89E&amp;ll=33.06373951220261%2C-96.82758025000001&amp;z=18"/>
    <x v="1"/>
    <x v="0"/>
    <x v="1"/>
    <x v="0"/>
    <x v="1"/>
    <x v="1"/>
    <x v="1"/>
    <x v="1"/>
  </r>
  <r>
    <s v="(AS) Plaza Audi/Infiniti (NO TOURS)7"/>
    <x v="3"/>
    <x v="0"/>
    <x v="1"/>
    <x v="1"/>
    <x v="95"/>
    <x v="1"/>
    <s v="https://tools.sig.systems/site/details/141"/>
    <s v="https://www.google.com/maps/d/viewer?mid=1whGZ1PLqmhJnGFz8uigZqUL4cHGGW3w&amp;ll=38.668847686454825%2C-90.4433601&amp;z=17"/>
    <x v="1"/>
    <x v="0"/>
    <x v="68"/>
    <x v="35"/>
    <x v="0"/>
    <x v="65"/>
    <x v="67"/>
    <x v="63"/>
  </r>
  <r>
    <s v="(AS) Plaza Lexus/Mercedes/BMW (NO TOURS)7"/>
    <x v="3"/>
    <x v="0"/>
    <x v="1"/>
    <x v="1"/>
    <x v="63"/>
    <x v="1"/>
    <s v="https://tools.sig.systems/site/details/141"/>
    <s v="https://www.google.com/maps/d/viewer?mid=1whGZ1PLqmhJnGFz8uigZqUL4cHGGW3w&amp;ll=38.668847686454825%2C-90.4433601&amp;z=17"/>
    <x v="1"/>
    <x v="0"/>
    <x v="48"/>
    <x v="23"/>
    <x v="0"/>
    <x v="43"/>
    <x v="47"/>
    <x v="63"/>
  </r>
  <r>
    <s v="(AS) Stevinson JLR (NO TOURS)7"/>
    <x v="3"/>
    <x v="0"/>
    <x v="3"/>
    <x v="2"/>
    <x v="64"/>
    <x v="3"/>
    <s v="https://tools.sig.systems/site/details/204"/>
    <m/>
    <x v="1"/>
    <x v="0"/>
    <x v="49"/>
    <x v="1"/>
    <x v="0"/>
    <x v="44"/>
    <x v="48"/>
    <x v="64"/>
  </r>
  <r>
    <s v="(AS) Stevinson Lexus of Lakewood (NO TOURS)7"/>
    <x v="3"/>
    <x v="0"/>
    <x v="3"/>
    <x v="2"/>
    <x v="34"/>
    <x v="3"/>
    <s v="https://tools.sig.systems/site/details/260"/>
    <s v="https://www.google.com/maps/d/edit?mid=1nAyK85WaWREy0lfxnmWn3USs2gC0nP0&amp;usp=sharing"/>
    <x v="1"/>
    <x v="0"/>
    <x v="3"/>
    <x v="14"/>
    <x v="8"/>
    <x v="6"/>
    <x v="28"/>
    <x v="34"/>
  </r>
  <r>
    <s v="(DT) Escondido7"/>
    <x v="3"/>
    <x v="0"/>
    <x v="5"/>
    <x v="4"/>
    <x v="98"/>
    <x v="5"/>
    <s v="https://tools.sig.systems/site/details/196"/>
    <m/>
    <x v="1"/>
    <x v="4"/>
    <x v="20"/>
    <x v="0"/>
    <x v="0"/>
    <x v="6"/>
    <x v="70"/>
    <x v="97"/>
  </r>
  <r>
    <s v="(HUD) Nissan Greensboro7"/>
    <x v="3"/>
    <x v="0"/>
    <x v="0"/>
    <x v="0"/>
    <x v="12"/>
    <x v="0"/>
    <s v="https://tools.sig.systems/site/details/236"/>
    <s v="https://www.google.com/maps/d/viewer?mid=1ejOzT7-x6RWnCf83BBP7XhiOiwEX3Wk&amp;ll=36.061264791292906%2C-79.87437695000003&amp;z=17"/>
    <x v="1"/>
    <x v="0"/>
    <x v="11"/>
    <x v="0"/>
    <x v="0"/>
    <x v="6"/>
    <x v="12"/>
    <x v="12"/>
  </r>
  <r>
    <s v="(HUD) Paint and Body Center (NO TOURS)7"/>
    <x v="3"/>
    <x v="0"/>
    <x v="0"/>
    <x v="0"/>
    <x v="38"/>
    <x v="0"/>
    <s v="https://tools.sig.systems/site/details/256"/>
    <s v="https://www.google.com/maps/d/viewer?mid=1ejOzT7-x6RWnCf83BBP7XhiOiwEX3Wk&amp;ll=36.061264791292906%2C-79.87437695000003&amp;z=17"/>
    <x v="1"/>
    <x v="0"/>
    <x v="3"/>
    <x v="9"/>
    <x v="0"/>
    <x v="6"/>
    <x v="11"/>
    <x v="38"/>
  </r>
  <r>
    <s v="(KG) Truck Center Remote Storage Lot7"/>
    <x v="3"/>
    <x v="0"/>
    <x v="2"/>
    <x v="2"/>
    <x v="14"/>
    <x v="2"/>
    <s v="https://tools.sig.systems/site/details/144"/>
    <m/>
    <x v="1"/>
    <x v="0"/>
    <x v="13"/>
    <x v="5"/>
    <x v="0"/>
    <x v="12"/>
    <x v="14"/>
    <x v="14"/>
  </r>
  <r>
    <s v="(LM) Luther Mazda / Mitsubishi7"/>
    <x v="3"/>
    <x v="0"/>
    <x v="1"/>
    <x v="1"/>
    <x v="74"/>
    <x v="1"/>
    <s v="https://tools.sig.systems/site/details/147"/>
    <s v="https://www.google.com/maps/d/viewer?mid=1ot0ILX76JMuvd9yMuqkb4_e0yH1n7TA&amp;ll=45.07815812965141%2C-93.33506855000002&amp;z=17"/>
    <x v="1"/>
    <x v="0"/>
    <x v="55"/>
    <x v="0"/>
    <x v="12"/>
    <x v="6"/>
    <x v="55"/>
    <x v="74"/>
  </r>
  <r>
    <s v="(ML) Joe Machens Toyota7"/>
    <x v="3"/>
    <x v="0"/>
    <x v="1"/>
    <x v="1"/>
    <x v="18"/>
    <x v="1"/>
    <s v="https://tools.sig.systems/site/details/275"/>
    <s v="https://www.google.com/maps/d/viewer?hl=es&amp;mid=1C1oZdjH3dNvCvqdpIv_Lk0Yn1OCVn-4&amp;ll=38.965368114274455%2C-92.3405954&amp;z=15"/>
    <x v="1"/>
    <x v="0"/>
    <x v="3"/>
    <x v="7"/>
    <x v="0"/>
    <x v="16"/>
    <x v="11"/>
    <x v="18"/>
  </r>
  <r>
    <s v="(ML) Joe Machens VW7"/>
    <x v="3"/>
    <x v="0"/>
    <x v="1"/>
    <x v="1"/>
    <x v="19"/>
    <x v="1"/>
    <s v="https://tools.sig.systems/site/details/274"/>
    <s v="https://www.google.com/maps/d/viewer?hl=es&amp;mid=1C1oZdjH3dNvCvqdpIv_Lk0Yn1OCVn-4&amp;ll=38.965368114274455%2C-92.3405954&amp;z=15"/>
    <x v="1"/>
    <x v="0"/>
    <x v="3"/>
    <x v="8"/>
    <x v="0"/>
    <x v="17"/>
    <x v="11"/>
    <x v="19"/>
  </r>
  <r>
    <s v="(PE) Fairfield Collision (NO TOURS)7"/>
    <x v="3"/>
    <x v="0"/>
    <x v="4"/>
    <x v="0"/>
    <x v="22"/>
    <x v="0"/>
    <s v="https://tools.sig.systems/site/details/191"/>
    <m/>
    <x v="1"/>
    <x v="0"/>
    <x v="18"/>
    <x v="0"/>
    <x v="0"/>
    <x v="6"/>
    <x v="18"/>
    <x v="22"/>
  </r>
  <r>
    <s v="(AS) Courtesy CDJR of Brandon (NO TOURS)7"/>
    <x v="3"/>
    <x v="1"/>
    <x v="0"/>
    <x v="0"/>
    <x v="56"/>
    <x v="0"/>
    <s v="https://tools.sig.systems/site/details/126"/>
    <s v="https://www.google.com/maps/d/edit?mid=15R4hTDQx56ij99--JgozdqOIZh-kSlk&amp;usp=sharing"/>
    <x v="0"/>
    <x v="0"/>
    <x v="42"/>
    <x v="9"/>
    <x v="0"/>
    <x v="37"/>
    <x v="42"/>
    <x v="56"/>
  </r>
  <r>
    <s v="(AS) Courtesy Kia of Brandon (NO TOURS)7"/>
    <x v="3"/>
    <x v="1"/>
    <x v="0"/>
    <x v="0"/>
    <x v="57"/>
    <x v="0"/>
    <s v="https://tools.sig.systems/site/details/121"/>
    <s v="https://www.google.com/maps/d/edit?mid=15R4hTDQx56ij99--JgozdqOIZh-kSlk&amp;usp=sharing"/>
    <x v="0"/>
    <x v="0"/>
    <x v="3"/>
    <x v="22"/>
    <x v="0"/>
    <x v="38"/>
    <x v="43"/>
    <x v="57"/>
  </r>
  <r>
    <s v="(AS) David McDavid Lincoln Frisco (NO TOURS)7"/>
    <x v="3"/>
    <x v="1"/>
    <x v="1"/>
    <x v="1"/>
    <x v="58"/>
    <x v="1"/>
    <s v="https://tools.sig.systems/site/details/182"/>
    <m/>
    <x v="1"/>
    <x v="0"/>
    <x v="43"/>
    <x v="0"/>
    <x v="0"/>
    <x v="39"/>
    <x v="44"/>
    <x v="58"/>
  </r>
  <r>
    <s v="(AS) Mercedes Benz/Porsche Dallas I,II,III (NO TOURS)7"/>
    <x v="3"/>
    <x v="1"/>
    <x v="1"/>
    <x v="1"/>
    <x v="2"/>
    <x v="1"/>
    <s v="https://tools.sig.systems/site/details/168"/>
    <s v="https://www.google.com/maps/d/edit?hl=es&amp;mid=1uPmsRMsXnp74hPFW2t-sp2totVWF_xY&amp;ll=32.83050137713022%2C-96.83197783061323&amp;z=17"/>
    <x v="1"/>
    <x v="0"/>
    <x v="2"/>
    <x v="0"/>
    <x v="2"/>
    <x v="2"/>
    <x v="2"/>
    <x v="2"/>
  </r>
  <r>
    <s v="(AS) Mike Shaw Subaru Greeley (NO TOURS)7"/>
    <x v="3"/>
    <x v="1"/>
    <x v="3"/>
    <x v="2"/>
    <x v="91"/>
    <x v="3"/>
    <s v="https://tools.sig.systems/site/details/174"/>
    <s v="https://www.google.com/maps/d/viewer?mid=1gN2lJ0iT7m5VNhD7aDcxE8AdXqtcOZc&amp;ll=40.396096737592195%2C-104.746842&amp;z=16"/>
    <x v="1"/>
    <x v="0"/>
    <x v="65"/>
    <x v="32"/>
    <x v="0"/>
    <x v="61"/>
    <x v="11"/>
    <x v="91"/>
  </r>
  <r>
    <s v="(AS) Plano Auction (NO SPEAKERS)7"/>
    <x v="3"/>
    <x v="1"/>
    <x v="1"/>
    <x v="1"/>
    <x v="94"/>
    <x v="1"/>
    <s v="https://tools.sig.systems/site/details/140"/>
    <m/>
    <x v="1"/>
    <x v="0"/>
    <x v="3"/>
    <x v="34"/>
    <x v="0"/>
    <x v="64"/>
    <x v="66"/>
    <x v="94"/>
  </r>
  <r>
    <s v="(AS) Stevinson Porsche of Littleton (NO TOURS)7"/>
    <x v="3"/>
    <x v="1"/>
    <x v="3"/>
    <x v="2"/>
    <x v="7"/>
    <x v="3"/>
    <s v="https://tools.sig.systems/site/details/242"/>
    <m/>
    <x v="1"/>
    <x v="0"/>
    <x v="7"/>
    <x v="2"/>
    <x v="0"/>
    <x v="6"/>
    <x v="7"/>
    <x v="7"/>
  </r>
  <r>
    <s v="(DT) El Cajon (NO TOURS)7"/>
    <x v="3"/>
    <x v="1"/>
    <x v="5"/>
    <x v="4"/>
    <x v="66"/>
    <x v="4"/>
    <s v="https://tools.sig.systems/site/details/241"/>
    <m/>
    <x v="1"/>
    <x v="0"/>
    <x v="3"/>
    <x v="16"/>
    <x v="0"/>
    <x v="6"/>
    <x v="11"/>
    <x v="66"/>
  </r>
  <r>
    <s v="(JE) Jim Ellis Ford Sandy Springs7"/>
    <x v="3"/>
    <x v="1"/>
    <x v="0"/>
    <x v="0"/>
    <x v="69"/>
    <x v="0"/>
    <s v="https://tools.sig.systems/site/details/142"/>
    <m/>
    <x v="1"/>
    <x v="0"/>
    <x v="51"/>
    <x v="0"/>
    <x v="0"/>
    <x v="46"/>
    <x v="52"/>
    <x v="69"/>
  </r>
  <r>
    <s v="(KG) Texan GMC Buick (NO TOURS)7"/>
    <x v="3"/>
    <x v="1"/>
    <x v="1"/>
    <x v="1"/>
    <x v="41"/>
    <x v="1"/>
    <s v="https://tools.sig.systems/site/details/225"/>
    <s v="https://www.google.com/maps/d/edit?mid=1FNqK4dW8Z8gtSWuQLbStrtqe7lH8DIQ&amp;usp=sharing"/>
    <x v="1"/>
    <x v="0"/>
    <x v="31"/>
    <x v="0"/>
    <x v="0"/>
    <x v="31"/>
    <x v="33"/>
    <x v="41"/>
  </r>
  <r>
    <s v="(ML) BMW of Little Rock7"/>
    <x v="3"/>
    <x v="1"/>
    <x v="1"/>
    <x v="1"/>
    <x v="105"/>
    <x v="1"/>
    <s v="https://tools.sig.systems/site/details/217"/>
    <s v="https://www.google.com/maps/d/viewer?mid=1hvbKFMO-d5TXrKGU-g5dt_xcdArB1D0&amp;ll=34.71147784120261%2C-92.40574350000001&amp;z=17"/>
    <x v="1"/>
    <x v="0"/>
    <x v="3"/>
    <x v="38"/>
    <x v="0"/>
    <x v="6"/>
    <x v="76"/>
    <x v="104"/>
  </r>
  <r>
    <s v="(ML) Joe Machens Temporary 2.07"/>
    <x v="3"/>
    <x v="1"/>
    <x v="1"/>
    <x v="1"/>
    <x v="44"/>
    <x v="1"/>
    <s v="https://tools.sig.systems/site/details/278"/>
    <s v="https://www.google.com/maps/d/viewer?hl=es&amp;mid=1C1oZdjH3dNvCvqdpIv_Lk0Yn1OCVn-4&amp;ll=38.965368114274455%2C-92.3405954&amp;z=15"/>
    <x v="1"/>
    <x v="0"/>
    <x v="3"/>
    <x v="17"/>
    <x v="0"/>
    <x v="33"/>
    <x v="11"/>
    <x v="44"/>
  </r>
  <r>
    <s v="(ML) Mazda VW-Lot B7"/>
    <x v="3"/>
    <x v="1"/>
    <x v="1"/>
    <x v="1"/>
    <x v="45"/>
    <x v="1"/>
    <s v="https://tools.sig.systems/site/details/205"/>
    <s v="https://www.google.com/maps/d/edit?mid=1Oky35ERk_2kgyzCvDu_odQ2ZP62BtqA&amp;usp=sharing"/>
    <x v="1"/>
    <x v="0"/>
    <x v="33"/>
    <x v="9"/>
    <x v="0"/>
    <x v="30"/>
    <x v="11"/>
    <x v="45"/>
  </r>
  <r>
    <s v="(ML) Toyota N Little Rock7"/>
    <x v="3"/>
    <x v="1"/>
    <x v="1"/>
    <x v="1"/>
    <x v="21"/>
    <x v="1"/>
    <s v="https://tools.sig.systems/site/details/201"/>
    <s v="https://www.google.com/maps/d/edit?mid=1Oky35ERk_2kgyzCvDu_odQ2ZP62BtqA&amp;usp=sharing"/>
    <x v="1"/>
    <x v="0"/>
    <x v="17"/>
    <x v="0"/>
    <x v="0"/>
    <x v="19"/>
    <x v="11"/>
    <x v="21"/>
  </r>
  <r>
    <s v="(PE) JLR Darien PDI (NO TOURS)7"/>
    <x v="3"/>
    <x v="1"/>
    <x v="4"/>
    <x v="0"/>
    <x v="112"/>
    <x v="0"/>
    <s v="https://tools.sig.systems/site/details/187"/>
    <s v="https://www.google.com/maps/d/viewer?mid=1ebZp8DeTYSXNPgDIA63nFVDu9ohaO4E&amp;ll=41.08027837958441%2C-73.46597874999999&amp;z=15"/>
    <x v="1"/>
    <x v="0"/>
    <x v="6"/>
    <x v="0"/>
    <x v="0"/>
    <x v="74"/>
    <x v="83"/>
    <x v="111"/>
  </r>
  <r>
    <s v="(PE) JLR PDI (NO TOURS)7"/>
    <x v="3"/>
    <x v="1"/>
    <x v="4"/>
    <x v="0"/>
    <x v="50"/>
    <x v="0"/>
    <s v="https://tools.sig.systems/site/details/179"/>
    <s v="https://www.google.com/maps/d/viewer?mid=1ubI2iKs1JyYXssuT4oLPnVvFnyLPi_s&amp;ll=40.878808846788026%2C-73.98560655&amp;z=17"/>
    <x v="1"/>
    <x v="0"/>
    <x v="37"/>
    <x v="0"/>
    <x v="0"/>
    <x v="6"/>
    <x v="11"/>
    <x v="50"/>
  </r>
  <r>
    <s v="(AS) Coggin Mercedes Benz Ft Pierce (NO TOURS)7"/>
    <x v="3"/>
    <x v="2"/>
    <x v="0"/>
    <x v="0"/>
    <x v="28"/>
    <x v="0"/>
    <s v="https://tools.sig.systems/site/details/127"/>
    <s v="https://www.google.com/maps/d/viewer?mid=1AyViBuyeq7iwDua1SVudJ2A1BYi3IBA&amp;ll=27.38181516363982%2C-80.32568845000002&amp;z=18"/>
    <x v="1"/>
    <x v="0"/>
    <x v="22"/>
    <x v="13"/>
    <x v="0"/>
    <x v="22"/>
    <x v="23"/>
    <x v="28"/>
  </r>
  <r>
    <s v="(AS) Lexus Smyrna (NO TOURS)7"/>
    <x v="3"/>
    <x v="2"/>
    <x v="0"/>
    <x v="0"/>
    <x v="30"/>
    <x v="0"/>
    <s v="https://tools.sig.systems/site/details/133"/>
    <m/>
    <x v="1"/>
    <x v="0"/>
    <x v="24"/>
    <x v="0"/>
    <x v="0"/>
    <x v="24"/>
    <x v="25"/>
    <x v="30"/>
  </r>
  <r>
    <s v="(AS) Park Place Acura (NO TOURS)7"/>
    <x v="3"/>
    <x v="2"/>
    <x v="1"/>
    <x v="1"/>
    <x v="32"/>
    <x v="1"/>
    <s v="https://tools.sig.systems/site/details/259"/>
    <s v="https://www.google.com/maps/d/viewer?mid=1wg5suxVuxeNp_irHlvN772HcwD6W89E&amp;ll=33.06373951220261%2C-96.82758025000001&amp;z=18"/>
    <x v="1"/>
    <x v="0"/>
    <x v="25"/>
    <x v="0"/>
    <x v="0"/>
    <x v="25"/>
    <x v="11"/>
    <x v="32"/>
  </r>
  <r>
    <s v="(AS) Park Place Volvo Service Center (NO TOURS)7"/>
    <x v="3"/>
    <x v="2"/>
    <x v="1"/>
    <x v="1"/>
    <x v="62"/>
    <x v="1"/>
    <s v="https://tools.sig.systems/site/details/171"/>
    <s v="https://www.google.com/maps/d/edit?hl=es&amp;mid=1uPmsRMsXnp74hPFW2t-sp2totVWF_xY&amp;ll=32.83050137713022%2C-96.83197783061323&amp;z=17"/>
    <x v="1"/>
    <x v="0"/>
    <x v="47"/>
    <x v="0"/>
    <x v="0"/>
    <x v="42"/>
    <x v="11"/>
    <x v="62"/>
  </r>
  <r>
    <s v="(AS) Stevinson Toyota West (NO TOURS)7"/>
    <x v="3"/>
    <x v="2"/>
    <x v="3"/>
    <x v="2"/>
    <x v="8"/>
    <x v="3"/>
    <s v="https://tools.sig.systems/site/details/240"/>
    <s v="https://www.google.com/maps/d/edit?mid=1nAyK85WaWREy0lfxnmWn3USs2gC0nP0&amp;usp=sharing"/>
    <x v="1"/>
    <x v="0"/>
    <x v="3"/>
    <x v="3"/>
    <x v="0"/>
    <x v="7"/>
    <x v="8"/>
    <x v="8"/>
  </r>
  <r>
    <s v="(DT) N. Houston7"/>
    <x v="3"/>
    <x v="2"/>
    <x v="1"/>
    <x v="1"/>
    <x v="9"/>
    <x v="1"/>
    <s v="https://tools.sig.systems/site/details/250"/>
    <m/>
    <x v="1"/>
    <x v="0"/>
    <x v="8"/>
    <x v="0"/>
    <x v="0"/>
    <x v="8"/>
    <x v="9"/>
    <x v="9"/>
  </r>
  <r>
    <s v="(HUD) Honda Greensboro7"/>
    <x v="3"/>
    <x v="2"/>
    <x v="0"/>
    <x v="0"/>
    <x v="37"/>
    <x v="0"/>
    <s v="https://tools.sig.systems/site/details/230"/>
    <s v="AS/ HUD - Crown Greensboro - Google My Maps"/>
    <x v="1"/>
    <x v="0"/>
    <x v="28"/>
    <x v="0"/>
    <x v="0"/>
    <x v="28"/>
    <x v="31"/>
    <x v="37"/>
  </r>
  <r>
    <s v="(HUD) Honda of Southpoint7"/>
    <x v="3"/>
    <x v="2"/>
    <x v="0"/>
    <x v="0"/>
    <x v="11"/>
    <x v="0"/>
    <s v="https://tools.sig.systems/site/details/195"/>
    <m/>
    <x v="0"/>
    <x v="0"/>
    <x v="10"/>
    <x v="4"/>
    <x v="0"/>
    <x v="10"/>
    <x v="11"/>
    <x v="11"/>
  </r>
  <r>
    <s v="(KG) Texan CDJR7"/>
    <x v="3"/>
    <x v="2"/>
    <x v="1"/>
    <x v="1"/>
    <x v="13"/>
    <x v="1"/>
    <s v="https://tools.sig.systems/site/details/238"/>
    <s v="https://www.google.com/maps/d/edit?mid=1FNqK4dW8Z8gtSWuQLbStrtqe7lH8DIQ&amp;usp=sharing"/>
    <x v="1"/>
    <x v="0"/>
    <x v="12"/>
    <x v="0"/>
    <x v="5"/>
    <x v="11"/>
    <x v="13"/>
    <x v="13"/>
  </r>
  <r>
    <s v="(MK) McKenny Salinas Honda7"/>
    <x v="3"/>
    <x v="2"/>
    <x v="0"/>
    <x v="0"/>
    <x v="104"/>
    <x v="0"/>
    <s v="https://tools.sig.systems/site/details/149"/>
    <m/>
    <x v="1"/>
    <x v="0"/>
    <x v="3"/>
    <x v="37"/>
    <x v="0"/>
    <x v="6"/>
    <x v="75"/>
    <x v="103"/>
  </r>
  <r>
    <s v="(ML) Collision Center N Little Rock7"/>
    <x v="3"/>
    <x v="2"/>
    <x v="1"/>
    <x v="1"/>
    <x v="106"/>
    <x v="1"/>
    <s v="https://tools.sig.systems/site/details/212"/>
    <s v="https://www.google.com/maps/d/edit?mid=1Oky35ERk_2kgyzCvDu_odQ2ZP62BtqA&amp;usp=sharing"/>
    <x v="1"/>
    <x v="0"/>
    <x v="3"/>
    <x v="0"/>
    <x v="0"/>
    <x v="6"/>
    <x v="77"/>
    <x v="105"/>
  </r>
  <r>
    <s v="(ML) Joe Machens Nissan7"/>
    <x v="3"/>
    <x v="2"/>
    <x v="1"/>
    <x v="1"/>
    <x v="78"/>
    <x v="1"/>
    <s v="https://tools.sig.systems/site/details/279"/>
    <s v="https://www.google.com/maps/d/viewer?hl=es&amp;mid=1C1oZdjH3dNvCvqdpIv_Lk0Yn1OCVn-4&amp;ll=38.965368114274455%2C-92.3405954&amp;z=15"/>
    <x v="1"/>
    <x v="0"/>
    <x v="3"/>
    <x v="28"/>
    <x v="0"/>
    <x v="6"/>
    <x v="11"/>
    <x v="78"/>
  </r>
  <r>
    <s v="(ML) McLarty Gray-Daniels Ford Lincoln7"/>
    <x v="3"/>
    <x v="2"/>
    <x v="1"/>
    <x v="1"/>
    <x v="79"/>
    <x v="1"/>
    <s v="https://tools.sig.systems/site/details/151"/>
    <s v="https://www.google.com/maps/d/edit?mid=111nhCL4Xjj2Pq0zP5xUrMzHQqAihqa0&amp;usp=sharing"/>
    <x v="1"/>
    <x v="0"/>
    <x v="56"/>
    <x v="29"/>
    <x v="0"/>
    <x v="53"/>
    <x v="57"/>
    <x v="79"/>
  </r>
  <r>
    <s v="(PE) Mercedes Benz &amp; Smart Bldg. of Fairfield (NO TOURS)7"/>
    <x v="3"/>
    <x v="2"/>
    <x v="4"/>
    <x v="0"/>
    <x v="23"/>
    <x v="0"/>
    <s v="https://tools.sig.systems/site/details/192"/>
    <s v="https://www.google.com/maps/d/viewer?mid=1FEo41PzFJQjUIXXKitX5TNCtuqR6Vbs&amp;ll=41.1663376742533%2C-73.22955662049608&amp;z=16"/>
    <x v="1"/>
    <x v="0"/>
    <x v="3"/>
    <x v="9"/>
    <x v="0"/>
    <x v="20"/>
    <x v="19"/>
    <x v="23"/>
  </r>
  <r>
    <s v="(RV) Toms Camperland Surprise (NO TOURS)7"/>
    <x v="3"/>
    <x v="2"/>
    <x v="5"/>
    <x v="3"/>
    <x v="51"/>
    <x v="4"/>
    <s v="https://tools.sig.systems/site/details/254"/>
    <m/>
    <x v="5"/>
    <x v="0"/>
    <x v="38"/>
    <x v="0"/>
    <x v="0"/>
    <x v="6"/>
    <x v="37"/>
    <x v="51"/>
  </r>
  <r>
    <s v="(SCH) Prep Center Delray7"/>
    <x v="3"/>
    <x v="2"/>
    <x v="0"/>
    <x v="0"/>
    <x v="53"/>
    <x v="0"/>
    <s v="https://tools.sig.systems/site/details/321"/>
    <m/>
    <x v="1"/>
    <x v="0"/>
    <x v="40"/>
    <x v="0"/>
    <x v="0"/>
    <x v="6"/>
    <x v="39"/>
    <x v="53"/>
  </r>
  <r>
    <s v="(WAG) Greeley Chrysler Dodge Jeep Ram (NO TOURS)7"/>
    <x v="3"/>
    <x v="2"/>
    <x v="3"/>
    <x v="2"/>
    <x v="115"/>
    <x v="3"/>
    <s v="https://tools.sig.systems/site/details/130"/>
    <s v="https://www.google.com/maps/d/viewer?mid=1gN2lJ0iT7m5VNhD7aDcxE8AdXqtcOZc&amp;ll=40.396096737592195%2C-104.746842&amp;z=16"/>
    <x v="1"/>
    <x v="0"/>
    <x v="77"/>
    <x v="42"/>
    <x v="0"/>
    <x v="77"/>
    <x v="85"/>
    <x v="114"/>
  </r>
  <r>
    <s v="SIG Office7"/>
    <x v="3"/>
    <x v="2"/>
    <x v="2"/>
    <x v="0"/>
    <x v="85"/>
    <x v="2"/>
    <s v="https://tools.sig.systems/site/details/163"/>
    <m/>
    <x v="1"/>
    <x v="0"/>
    <x v="3"/>
    <x v="0"/>
    <x v="0"/>
    <x v="6"/>
    <x v="60"/>
    <x v="85"/>
  </r>
  <r>
    <s v="(AS) Bill Estes Ford (NO TOURS)7"/>
    <x v="3"/>
    <x v="3"/>
    <x v="0"/>
    <x v="0"/>
    <x v="55"/>
    <x v="0"/>
    <s v="https://tools.sig.systems/site/details/125"/>
    <m/>
    <x v="1"/>
    <x v="0"/>
    <x v="3"/>
    <x v="21"/>
    <x v="0"/>
    <x v="36"/>
    <x v="41"/>
    <x v="55"/>
  </r>
  <r>
    <s v="(AS) Coggin Honda Ft. Pierce (NO TOURS)7"/>
    <x v="3"/>
    <x v="3"/>
    <x v="0"/>
    <x v="0"/>
    <x v="0"/>
    <x v="0"/>
    <s v="https://tools.sig.systems/site/details/120"/>
    <s v="https://www.google.com/maps/d/viewer?mid=1AyViBuyeq7iwDua1SVudJ2A1BYi3IBA&amp;ll=27.38181516363982%2C-80.32568845000002&amp;z=18"/>
    <x v="0"/>
    <x v="0"/>
    <x v="0"/>
    <x v="0"/>
    <x v="0"/>
    <x v="0"/>
    <x v="0"/>
    <x v="0"/>
  </r>
  <r>
    <s v="(AS) David McDavid Honda I &amp; II (NO TOURS)7"/>
    <x v="3"/>
    <x v="3"/>
    <x v="1"/>
    <x v="1"/>
    <x v="90"/>
    <x v="1"/>
    <s v="https://tools.sig.systems/site/details/129"/>
    <m/>
    <x v="1"/>
    <x v="0"/>
    <x v="3"/>
    <x v="31"/>
    <x v="0"/>
    <x v="60"/>
    <x v="63"/>
    <x v="90"/>
  </r>
  <r>
    <s v="(AS) Nalley BMW Collision Center (NO TOURS)7"/>
    <x v="3"/>
    <x v="3"/>
    <x v="0"/>
    <x v="0"/>
    <x v="3"/>
    <x v="0"/>
    <s v="https://tools.sig.systems/site/details/220"/>
    <m/>
    <x v="1"/>
    <x v="0"/>
    <x v="3"/>
    <x v="1"/>
    <x v="0"/>
    <x v="3"/>
    <x v="3"/>
    <x v="3"/>
  </r>
  <r>
    <s v="(AS) Park Place Bodywerks Dallas (NO TOURS)7"/>
    <x v="3"/>
    <x v="3"/>
    <x v="1"/>
    <x v="1"/>
    <x v="59"/>
    <x v="1"/>
    <s v="https://tools.sig.systems/site/details/166"/>
    <s v="https://www.google.com/maps/d/edit?hl=es&amp;mid=1uPmsRMsXnp74hPFW2t-sp2totVWF_xY&amp;ll=32.83050137713022%2C-96.83197783061323&amp;z=17"/>
    <x v="1"/>
    <x v="0"/>
    <x v="44"/>
    <x v="9"/>
    <x v="0"/>
    <x v="6"/>
    <x v="45"/>
    <x v="59"/>
  </r>
  <r>
    <s v="(AS) Park Place Volvo Sales (NO TOURS)7"/>
    <x v="3"/>
    <x v="3"/>
    <x v="1"/>
    <x v="1"/>
    <x v="33"/>
    <x v="1"/>
    <s v="https://tools.sig.systems/site/details/139"/>
    <s v="https://www.google.com/maps/d/edit?hl=es&amp;mid=1uPmsRMsXnp74hPFW2t-sp2totVWF_xY&amp;ll=32.83050137713022%2C-96.83197783061323&amp;z=17"/>
    <x v="1"/>
    <x v="0"/>
    <x v="26"/>
    <x v="0"/>
    <x v="0"/>
    <x v="26"/>
    <x v="27"/>
    <x v="33"/>
  </r>
  <r>
    <s v="(DT) Albuquerque7"/>
    <x v="3"/>
    <x v="3"/>
    <x v="3"/>
    <x v="2"/>
    <x v="35"/>
    <x v="3"/>
    <s v="https://tools.sig.systems/site/details/237"/>
    <m/>
    <x v="1"/>
    <x v="0"/>
    <x v="27"/>
    <x v="0"/>
    <x v="0"/>
    <x v="27"/>
    <x v="29"/>
    <x v="35"/>
  </r>
  <r>
    <s v="(DT) W Houston7"/>
    <x v="3"/>
    <x v="3"/>
    <x v="1"/>
    <x v="1"/>
    <x v="10"/>
    <x v="1"/>
    <s v="https://tools.sig.systems/site/details/197"/>
    <m/>
    <x v="1"/>
    <x v="0"/>
    <x v="9"/>
    <x v="2"/>
    <x v="0"/>
    <x v="9"/>
    <x v="10"/>
    <x v="10"/>
  </r>
  <r>
    <s v="(HUD) CDJR of Greensboro7"/>
    <x v="3"/>
    <x v="3"/>
    <x v="0"/>
    <x v="0"/>
    <x v="68"/>
    <x v="0"/>
    <s v="https://tools.sig.systems/site/details/215"/>
    <s v="https://www.google.com/maps/d/viewer?mid=1ejOzT7-x6RWnCf83BBP7XhiOiwEX3Wk&amp;ll=36.061264791292906%2C-79.87437695000003&amp;z=17"/>
    <x v="3"/>
    <x v="0"/>
    <x v="50"/>
    <x v="0"/>
    <x v="0"/>
    <x v="45"/>
    <x v="51"/>
    <x v="68"/>
  </r>
  <r>
    <s v="(KT) Northwest CDJR (NO TOURS)7"/>
    <x v="3"/>
    <x v="3"/>
    <x v="1"/>
    <x v="1"/>
    <x v="15"/>
    <x v="1"/>
    <s v="https://tools.sig.systems/site/details/229"/>
    <m/>
    <x v="1"/>
    <x v="0"/>
    <x v="14"/>
    <x v="0"/>
    <x v="0"/>
    <x v="13"/>
    <x v="11"/>
    <x v="15"/>
  </r>
  <r>
    <s v="(ML) Columbia Honda (NO TOURS)7"/>
    <x v="3"/>
    <x v="3"/>
    <x v="1"/>
    <x v="1"/>
    <x v="75"/>
    <x v="1"/>
    <s v="https://tools.sig.systems/site/details/272"/>
    <s v="https://www.google.com/maps/d/viewer?hl=es&amp;mid=1C1oZdjH3dNvCvqdpIv_Lk0Yn1OCVn-4&amp;ll=38.965368114274426%2C-92.3405954&amp;z=15"/>
    <x v="1"/>
    <x v="0"/>
    <x v="3"/>
    <x v="26"/>
    <x v="0"/>
    <x v="50"/>
    <x v="56"/>
    <x v="75"/>
  </r>
  <r>
    <s v="(ML) Joe Machens Kia of Columbia7"/>
    <x v="3"/>
    <x v="3"/>
    <x v="1"/>
    <x v="1"/>
    <x v="107"/>
    <x v="1"/>
    <s v="https://tools.sig.systems/site/details/270"/>
    <s v="https://www.google.com/maps/d/viewer?hl=es&amp;mid=1C1oZdjH3dNvCvqdpIv_Lk0Yn1OCVn-4&amp;ll=38.965368114274455%2C-92.3405954&amp;z=15"/>
    <x v="1"/>
    <x v="0"/>
    <x v="3"/>
    <x v="39"/>
    <x v="0"/>
    <x v="6"/>
    <x v="78"/>
    <x v="106"/>
  </r>
  <r>
    <s v="(ML) McLarty Gray-Daniels Toyota Nissan7"/>
    <x v="3"/>
    <x v="3"/>
    <x v="1"/>
    <x v="1"/>
    <x v="108"/>
    <x v="1"/>
    <s v="https://tools.sig.systems/site/details/152"/>
    <s v="https://www.google.com/maps/d/edit?mid=111nhCL4Xjj2Pq0zP5xUrMzHQqAihqa0&amp;usp=sharing"/>
    <x v="1"/>
    <x v="0"/>
    <x v="3"/>
    <x v="40"/>
    <x v="0"/>
    <x v="72"/>
    <x v="79"/>
    <x v="107"/>
  </r>
  <r>
    <s v="(PE) BMW of Greenwich (NO TOURS)7"/>
    <x v="3"/>
    <x v="3"/>
    <x v="4"/>
    <x v="0"/>
    <x v="110"/>
    <x v="0"/>
    <s v="https://tools.sig.systems/site/details/186"/>
    <s v="https://www.google.com/maps/d/edit?hl=en&amp;mid=1UHmt7tH1ihTa85i0MfQIcTfVvIQg_vM&amp;ll=41.024187580466844%2C-73.63702405370861&amp;z=18"/>
    <x v="1"/>
    <x v="0"/>
    <x v="75"/>
    <x v="0"/>
    <x v="0"/>
    <x v="6"/>
    <x v="81"/>
    <x v="109"/>
  </r>
  <r>
    <s v="(PE) Hudson Toyota Nissan CDJR (NO TOURS)7"/>
    <x v="3"/>
    <x v="3"/>
    <x v="4"/>
    <x v="0"/>
    <x v="81"/>
    <x v="0"/>
    <s v="https://tools.sig.systems/site/details/156"/>
    <m/>
    <x v="1"/>
    <x v="0"/>
    <x v="49"/>
    <x v="30"/>
    <x v="0"/>
    <x v="55"/>
    <x v="58"/>
    <x v="81"/>
  </r>
  <r>
    <s v="(RML) Burleson Nissan7"/>
    <x v="3"/>
    <x v="3"/>
    <x v="1"/>
    <x v="1"/>
    <x v="82"/>
    <x v="1"/>
    <s v="https://tools.sig.systems/site/details/202"/>
    <m/>
    <x v="1"/>
    <x v="0"/>
    <x v="58"/>
    <x v="0"/>
    <x v="0"/>
    <x v="56"/>
    <x v="11"/>
    <x v="82"/>
  </r>
  <r>
    <s v="(RV) Sonny's Camp N Travel Concord7"/>
    <x v="3"/>
    <x v="3"/>
    <x v="0"/>
    <x v="0"/>
    <x v="114"/>
    <x v="0"/>
    <s v="https://tools.sig.systems/site/details/183"/>
    <m/>
    <x v="1"/>
    <x v="0"/>
    <x v="6"/>
    <x v="0"/>
    <x v="0"/>
    <x v="76"/>
    <x v="84"/>
    <x v="113"/>
  </r>
  <r>
    <s v="(RV) Toms Camperland Mesa (NO TOURS)7"/>
    <x v="3"/>
    <x v="3"/>
    <x v="5"/>
    <x v="3"/>
    <x v="25"/>
    <x v="4"/>
    <s v="https://tools.sig.systems/site/details/222"/>
    <m/>
    <x v="1"/>
    <x v="0"/>
    <x v="20"/>
    <x v="0"/>
    <x v="0"/>
    <x v="6"/>
    <x v="21"/>
    <x v="25"/>
  </r>
  <r>
    <s v="(AS) Atwell Prep Center-Dallas (NO TOURS)7"/>
    <x v="3"/>
    <x v="4"/>
    <x v="1"/>
    <x v="1"/>
    <x v="86"/>
    <x v="1"/>
    <s v="https://tools.sig.systems/site/details/165"/>
    <s v="https://www.google.com/maps/d/edit?hl=es&amp;mid=1uPmsRMsXnp74hPFW2t-sp2totVWF_xY&amp;ll=32.83050137713022%2C-96.83197783061323&amp;z=17"/>
    <x v="1"/>
    <x v="0"/>
    <x v="61"/>
    <x v="0"/>
    <x v="0"/>
    <x v="6"/>
    <x v="28"/>
    <x v="86"/>
  </r>
  <r>
    <s v="(AS) Nalley Lexus &amp; Remote Lot Roswell (NO TOURS)7"/>
    <x v="3"/>
    <x v="4"/>
    <x v="2"/>
    <x v="0"/>
    <x v="4"/>
    <x v="2"/>
    <s v="https://tools.sig.systems/site/details/131"/>
    <s v="https://www.google.com/maps/d/edit?mid=1jkN3DS1BhUqp_dztjjW0PDwKfo_Yxsw&amp;usp=sharing"/>
    <x v="1"/>
    <x v="1"/>
    <x v="4"/>
    <x v="1"/>
    <x v="3"/>
    <x v="4"/>
    <x v="4"/>
    <x v="4"/>
  </r>
  <r>
    <s v="(AS) Park Place Bodywerks Ft. Worth (NO TOURS)7"/>
    <x v="3"/>
    <x v="4"/>
    <x v="1"/>
    <x v="1"/>
    <x v="92"/>
    <x v="1"/>
    <s v="https://tools.sig.systems/site/details/134"/>
    <s v="https://www.google.com/maps/d/edit?mid=18OEO_KbvYcgI3N1jE4gTMXfNHTNDrFU&amp;ll=32.66603989958274%2C-97.42021198201722&amp;z=18"/>
    <x v="1"/>
    <x v="0"/>
    <x v="66"/>
    <x v="0"/>
    <x v="0"/>
    <x v="62"/>
    <x v="64"/>
    <x v="92"/>
  </r>
  <r>
    <s v="(AS) Park Place Sprinter Van Center (NO TOURS)7"/>
    <x v="3"/>
    <x v="4"/>
    <x v="1"/>
    <x v="1"/>
    <x v="6"/>
    <x v="1"/>
    <s v="https://tools.sig.systems/site/details/138"/>
    <s v="https://www.google.com/maps/d/edit?hl=es&amp;mid=1uPmsRMsXnp74hPFW2t-sp2totVWF_xY&amp;ll=32.83050137713022%2C-96.83197783061323&amp;z=17"/>
    <x v="1"/>
    <x v="0"/>
    <x v="6"/>
    <x v="0"/>
    <x v="0"/>
    <x v="6"/>
    <x v="6"/>
    <x v="6"/>
  </r>
  <r>
    <s v="(DT) Colorado Springs (NO TOURS)7"/>
    <x v="3"/>
    <x v="4"/>
    <x v="3"/>
    <x v="2"/>
    <x v="65"/>
    <x v="3"/>
    <s v="https://tools.sig.systems/site/details/198"/>
    <m/>
    <x v="1"/>
    <x v="0"/>
    <x v="3"/>
    <x v="24"/>
    <x v="0"/>
    <x v="6"/>
    <x v="49"/>
    <x v="65"/>
  </r>
  <r>
    <s v="(DT) Wichita7"/>
    <x v="3"/>
    <x v="4"/>
    <x v="1"/>
    <x v="1"/>
    <x v="36"/>
    <x v="1"/>
    <s v="https://tools.sig.systems/site/details/257"/>
    <m/>
    <x v="1"/>
    <x v="0"/>
    <x v="3"/>
    <x v="15"/>
    <x v="0"/>
    <x v="6"/>
    <x v="30"/>
    <x v="36"/>
  </r>
  <r>
    <s v="(HUD) BMW of Greensboro7"/>
    <x v="3"/>
    <x v="4"/>
    <x v="0"/>
    <x v="0"/>
    <x v="100"/>
    <x v="0"/>
    <s v="https://tools.sig.systems/site/details/219"/>
    <s v="https://www.google.com/maps/d/viewer?mid=1ejOzT7-x6RWnCf83BBP7XhiOiwEX3Wk&amp;ll=36.061264791292906%2C-79.87437695000003&amp;z=17"/>
    <x v="1"/>
    <x v="0"/>
    <x v="70"/>
    <x v="0"/>
    <x v="0"/>
    <x v="68"/>
    <x v="72"/>
    <x v="99"/>
  </r>
  <r>
    <s v="(KG) Clear Lake Pre-Owned7"/>
    <x v="3"/>
    <x v="4"/>
    <x v="1"/>
    <x v="1"/>
    <x v="39"/>
    <x v="1"/>
    <s v="https://tools.sig.systems/site/details/255"/>
    <s v="https://www.google.com/maps/d/edit?mid=1DRwy5fy1g5UzGTA7a1OkQA-_CY8SQ2s&amp;usp=sharing"/>
    <x v="1"/>
    <x v="0"/>
    <x v="29"/>
    <x v="0"/>
    <x v="0"/>
    <x v="29"/>
    <x v="32"/>
    <x v="39"/>
  </r>
  <r>
    <s v="(ML) Ford Lincoln of North Little Rock7"/>
    <x v="3"/>
    <x v="4"/>
    <x v="1"/>
    <x v="1"/>
    <x v="42"/>
    <x v="1"/>
    <s v="https://tools.sig.systems/site/details/214"/>
    <s v="https://www.google.com/maps/d/edit?mid=1Oky35ERk_2kgyzCvDu_odQ2ZP62BtqA&amp;usp=sharing"/>
    <x v="1"/>
    <x v="0"/>
    <x v="32"/>
    <x v="4"/>
    <x v="0"/>
    <x v="32"/>
    <x v="34"/>
    <x v="42"/>
  </r>
  <r>
    <s v="(ML) Joe Machens Ford Lincoln I &amp; II7"/>
    <x v="3"/>
    <x v="4"/>
    <x v="1"/>
    <x v="1"/>
    <x v="77"/>
    <x v="1"/>
    <s v="https://tools.sig.systems/site/details/266"/>
    <s v="https://www.google.com/maps/d/viewer?hl=es&amp;mid=1C1oZdjH3dNvCvqdpIv_Lk0Yn1OCVn-4&amp;ll=38.965368114274455%2C-92.3405954&amp;z=15"/>
    <x v="1"/>
    <x v="0"/>
    <x v="3"/>
    <x v="27"/>
    <x v="0"/>
    <x v="52"/>
    <x v="11"/>
    <x v="77"/>
  </r>
  <r>
    <s v="(ML) McLarty-Gray Daniels Chevrolet7"/>
    <x v="3"/>
    <x v="4"/>
    <x v="1"/>
    <x v="1"/>
    <x v="109"/>
    <x v="1"/>
    <s v="https://tools.sig.systems/site/details/150"/>
    <m/>
    <x v="1"/>
    <x v="0"/>
    <x v="74"/>
    <x v="0"/>
    <x v="0"/>
    <x v="73"/>
    <x v="80"/>
    <x v="108"/>
  </r>
  <r>
    <s v="(ML) Volvo Collision Corp7"/>
    <x v="3"/>
    <x v="4"/>
    <x v="1"/>
    <x v="1"/>
    <x v="47"/>
    <x v="1"/>
    <s v="https://tools.sig.systems/site/details/223"/>
    <m/>
    <x v="1"/>
    <x v="0"/>
    <x v="35"/>
    <x v="1"/>
    <x v="0"/>
    <x v="35"/>
    <x v="11"/>
    <x v="47"/>
  </r>
  <r>
    <s v="(PE) BMW of Mamaroneck (NO TOURS)7"/>
    <x v="3"/>
    <x v="4"/>
    <x v="4"/>
    <x v="0"/>
    <x v="111"/>
    <x v="0"/>
    <s v="https://tools.sig.systems/site/details/185"/>
    <m/>
    <x v="1"/>
    <x v="0"/>
    <x v="76"/>
    <x v="41"/>
    <x v="0"/>
    <x v="6"/>
    <x v="82"/>
    <x v="110"/>
  </r>
  <r>
    <s v="(PE) Honda of Danbury (NO TOURS)7"/>
    <x v="3"/>
    <x v="4"/>
    <x v="4"/>
    <x v="0"/>
    <x v="49"/>
    <x v="0"/>
    <s v="https://tools.sig.systems/site/details/190"/>
    <m/>
    <x v="1"/>
    <x v="0"/>
    <x v="3"/>
    <x v="19"/>
    <x v="9"/>
    <x v="6"/>
    <x v="36"/>
    <x v="49"/>
  </r>
  <r>
    <s v="(RV) Toms Camperland Avondale (NO TOURS)7"/>
    <x v="3"/>
    <x v="4"/>
    <x v="5"/>
    <x v="3"/>
    <x v="24"/>
    <x v="4"/>
    <s v="https://tools.sig.systems/site/details/248"/>
    <s v="https://www.google.com/maps/d/viewer?mid=1bDs0QGFZwL3vEeGKxjVMk_j4azr0-lg&amp;ll=33.4593758581648%2C-112.28793780000001&amp;z=18"/>
    <x v="2"/>
    <x v="0"/>
    <x v="19"/>
    <x v="10"/>
    <x v="0"/>
    <x v="6"/>
    <x v="20"/>
    <x v="24"/>
  </r>
  <r>
    <s v="(SCH) Auto Body Shop Lake Park7"/>
    <x v="3"/>
    <x v="4"/>
    <x v="0"/>
    <x v="0"/>
    <x v="83"/>
    <x v="0"/>
    <s v="https://tools.sig.systems/site/details/158"/>
    <m/>
    <x v="1"/>
    <x v="0"/>
    <x v="59"/>
    <x v="0"/>
    <x v="0"/>
    <x v="6"/>
    <x v="11"/>
    <x v="83"/>
  </r>
  <r>
    <s v="(SCH) Chevrolet North Palm7"/>
    <x v="3"/>
    <x v="4"/>
    <x v="0"/>
    <x v="0"/>
    <x v="52"/>
    <x v="0"/>
    <s v="https://tools.sig.systems/site/details/160"/>
    <m/>
    <x v="3"/>
    <x v="0"/>
    <x v="39"/>
    <x v="0"/>
    <x v="0"/>
    <x v="6"/>
    <x v="38"/>
    <x v="52"/>
  </r>
  <r>
    <s v="(TC) Tavernier Creek Marina (NO TOURS)7"/>
    <x v="3"/>
    <x v="4"/>
    <x v="0"/>
    <x v="0"/>
    <x v="84"/>
    <x v="1"/>
    <s v="https://tools.sig.systems/site/details/164"/>
    <m/>
    <x v="6"/>
    <x v="0"/>
    <x v="60"/>
    <x v="0"/>
    <x v="0"/>
    <x v="6"/>
    <x v="59"/>
    <x v="84"/>
  </r>
  <r>
    <s v="(AS) Coggin Acura Ft Pierce (NO TOURS)7"/>
    <x v="3"/>
    <x v="5"/>
    <x v="0"/>
    <x v="0"/>
    <x v="27"/>
    <x v="0"/>
    <s v="https://tools.sig.systems/site/details/118"/>
    <s v="https://www.google.com/maps/d/viewer?mid=1AyViBuyeq7iwDua1SVudJ2A1BYi3IBA&amp;ll=27.38181516363982%2C-80.32568845000002&amp;z=18"/>
    <x v="1"/>
    <x v="0"/>
    <x v="3"/>
    <x v="12"/>
    <x v="0"/>
    <x v="21"/>
    <x v="19"/>
    <x v="27"/>
  </r>
  <r>
    <s v="(AS) Nalley Luxury Collision Center (NO TOURS)7"/>
    <x v="3"/>
    <x v="5"/>
    <x v="0"/>
    <x v="0"/>
    <x v="31"/>
    <x v="0"/>
    <s v="https://tools.sig.systems/site/details/263"/>
    <s v="https://www.google.com/maps/d/edit?mid=1jkN3DS1BhUqp_dztjjW0PDwKfo_Yxsw&amp;usp=sharing"/>
    <x v="1"/>
    <x v="0"/>
    <x v="4"/>
    <x v="0"/>
    <x v="0"/>
    <x v="6"/>
    <x v="26"/>
    <x v="31"/>
  </r>
  <r>
    <s v="(AS) Park Place JLR DFW Airport (NO TOURS)7"/>
    <x v="3"/>
    <x v="5"/>
    <x v="1"/>
    <x v="1"/>
    <x v="93"/>
    <x v="1"/>
    <s v="https://tools.sig.systems/site/details/135"/>
    <m/>
    <x v="1"/>
    <x v="0"/>
    <x v="67"/>
    <x v="33"/>
    <x v="13"/>
    <x v="63"/>
    <x v="65"/>
    <x v="93"/>
  </r>
  <r>
    <s v="(AS) Park Place Mercedes Benz Ft. Worth (NO TOURS)7"/>
    <x v="3"/>
    <x v="5"/>
    <x v="1"/>
    <x v="1"/>
    <x v="5"/>
    <x v="1"/>
    <s v="https://tools.sig.systems/site/details/137"/>
    <s v="https://www.google.com/maps/d/edit?mid=18OEO_KbvYcgI3N1jE4gTMXfNHTNDrFU&amp;ll=32.66603989958274%2C-97.42021198201722&amp;z=18"/>
    <x v="1"/>
    <x v="0"/>
    <x v="5"/>
    <x v="0"/>
    <x v="4"/>
    <x v="5"/>
    <x v="5"/>
    <x v="5"/>
  </r>
  <r>
    <s v="(DT) Denver (NO TOURS)7"/>
    <x v="3"/>
    <x v="5"/>
    <x v="3"/>
    <x v="2"/>
    <x v="97"/>
    <x v="3"/>
    <s v="https://tools.sig.systems/site/details/203"/>
    <s v="https://www.google.com/maps/d/edit?mid=1AjZHz2LTg0RMhZUOmyZsv_Y4MFcaP8g&amp;usp=sharing"/>
    <x v="1"/>
    <x v="0"/>
    <x v="3"/>
    <x v="25"/>
    <x v="0"/>
    <x v="6"/>
    <x v="69"/>
    <x v="96"/>
  </r>
  <r>
    <s v="(HUD) Acura of Greensboro7"/>
    <x v="3"/>
    <x v="5"/>
    <x v="0"/>
    <x v="0"/>
    <x v="99"/>
    <x v="0"/>
    <s v="https://tools.sig.systems/site/details/213"/>
    <s v="https://www.google.com/maps/d/viewer?mid=1ejOzT7-x6RWnCf83BBP7XhiOiwEX3Wk&amp;ll=0%2C0&amp;z=17"/>
    <x v="1"/>
    <x v="0"/>
    <x v="69"/>
    <x v="0"/>
    <x v="0"/>
    <x v="67"/>
    <x v="71"/>
    <x v="98"/>
  </r>
  <r>
    <s v="(KG) Baytown GMC Buick - Remote Lot (NO TOURS)7"/>
    <x v="3"/>
    <x v="5"/>
    <x v="2"/>
    <x v="1"/>
    <x v="70"/>
    <x v="2"/>
    <s v="https://tools.sig.systems/site/details/311"/>
    <m/>
    <x v="1"/>
    <x v="3"/>
    <x v="3"/>
    <x v="25"/>
    <x v="0"/>
    <x v="6"/>
    <x v="11"/>
    <x v="70"/>
  </r>
  <r>
    <s v="(KG) Baytown GMC Buick (NO TOURS)7"/>
    <x v="3"/>
    <x v="5"/>
    <x v="1"/>
    <x v="1"/>
    <x v="71"/>
    <x v="1"/>
    <s v="https://tools.sig.systems/site/details/239"/>
    <m/>
    <x v="1"/>
    <x v="0"/>
    <x v="52"/>
    <x v="0"/>
    <x v="0"/>
    <x v="47"/>
    <x v="53"/>
    <x v="71"/>
  </r>
  <r>
    <s v="(KG) Big Star Honda7"/>
    <x v="3"/>
    <x v="5"/>
    <x v="1"/>
    <x v="1"/>
    <x v="72"/>
    <x v="1"/>
    <s v="https://tools.sig.systems/site/details/231"/>
    <m/>
    <x v="1"/>
    <x v="0"/>
    <x v="53"/>
    <x v="0"/>
    <x v="0"/>
    <x v="48"/>
    <x v="54"/>
    <x v="72"/>
  </r>
  <r>
    <s v="(KG) Kia of Phoenix (NO TOURS)7"/>
    <x v="3"/>
    <x v="5"/>
    <x v="5"/>
    <x v="3"/>
    <x v="40"/>
    <x v="4"/>
    <s v="https://tools.sig.systems/site/details/262"/>
    <m/>
    <x v="4"/>
    <x v="0"/>
    <x v="30"/>
    <x v="0"/>
    <x v="0"/>
    <x v="30"/>
    <x v="11"/>
    <x v="40"/>
  </r>
  <r>
    <s v="(ML) Honda of Little Rock7"/>
    <x v="3"/>
    <x v="5"/>
    <x v="1"/>
    <x v="1"/>
    <x v="16"/>
    <x v="1"/>
    <s v="https://tools.sig.systems/site/details/249"/>
    <s v="https://www.google.com/maps/d/viewer?mid=1hvbKFMO-d5TXrKGU-g5dt_xcdArB1D0&amp;ll=34.71147784120261%2C-92.40574350000001&amp;z=17"/>
    <x v="1"/>
    <x v="0"/>
    <x v="15"/>
    <x v="0"/>
    <x v="0"/>
    <x v="14"/>
    <x v="15"/>
    <x v="16"/>
  </r>
  <r>
    <s v="(ML) Joe Machens E Collision Center7"/>
    <x v="3"/>
    <x v="5"/>
    <x v="1"/>
    <x v="1"/>
    <x v="76"/>
    <x v="1"/>
    <s v="https://tools.sig.systems/site/details/277"/>
    <s v="https://www.google.com/maps/d/viewer?hl=es&amp;mid=1C1oZdjH3dNvCvqdpIv_Lk0Yn1OCVn-4&amp;ll=38.965368114274455%2C-92.3405954&amp;z=15"/>
    <x v="1"/>
    <x v="0"/>
    <x v="6"/>
    <x v="0"/>
    <x v="0"/>
    <x v="51"/>
    <x v="57"/>
    <x v="76"/>
  </r>
  <r>
    <s v="(ML) Nissan Of Benton7"/>
    <x v="3"/>
    <x v="5"/>
    <x v="1"/>
    <x v="1"/>
    <x v="80"/>
    <x v="1"/>
    <s v="https://tools.sig.systems/site/details/247"/>
    <m/>
    <x v="1"/>
    <x v="0"/>
    <x v="57"/>
    <x v="0"/>
    <x v="0"/>
    <x v="54"/>
    <x v="11"/>
    <x v="80"/>
  </r>
  <r>
    <s v="(PE) Scofield Service Center (NO TOURS)7"/>
    <x v="3"/>
    <x v="5"/>
    <x v="4"/>
    <x v="0"/>
    <x v="113"/>
    <x v="0"/>
    <s v="https://tools.sig.systems/site/details/193"/>
    <s v="https://www.google.com/maps/d/viewer?mid=1FEo41PzFJQjUIXXKitX5TNCtuqR6Vbs&amp;ll=41.1663376742533%2C-73.22955662049608&amp;z=16"/>
    <x v="1"/>
    <x v="0"/>
    <x v="6"/>
    <x v="0"/>
    <x v="0"/>
    <x v="75"/>
    <x v="51"/>
    <x v="112"/>
  </r>
  <r>
    <s v="(SCH) West Palm Beach I, II &amp; III7"/>
    <x v="3"/>
    <x v="5"/>
    <x v="6"/>
    <x v="0"/>
    <x v="54"/>
    <x v="0"/>
    <s v="https://tools.sig.systems/site/details/162"/>
    <m/>
    <x v="3"/>
    <x v="2"/>
    <x v="41"/>
    <x v="20"/>
    <x v="10"/>
    <x v="6"/>
    <x v="40"/>
    <x v="54"/>
  </r>
  <r>
    <s v="(AS) Audi of North Atlanta (NO TOURS)7"/>
    <x v="3"/>
    <x v="6"/>
    <x v="0"/>
    <x v="0"/>
    <x v="87"/>
    <x v="0"/>
    <s v="https://tools.sig.systems/site/details/124"/>
    <s v="https://www.google.com/maps/d/edit?mid=1jkN3DS1BhUqp_dztjjW0PDwKfo_Yxsw&amp;usp=sharing"/>
    <x v="1"/>
    <x v="0"/>
    <x v="62"/>
    <x v="0"/>
    <x v="0"/>
    <x v="57"/>
    <x v="61"/>
    <x v="87"/>
  </r>
  <r>
    <s v="(AS) Park Place MB Recon Center Dallas (NO TOURS)7"/>
    <x v="3"/>
    <x v="6"/>
    <x v="1"/>
    <x v="1"/>
    <x v="60"/>
    <x v="1"/>
    <s v="https://tools.sig.systems/site/details/170"/>
    <s v="https://www.google.com/maps/d/edit?hl=es&amp;mid=1uPmsRMsXnp74hPFW2t-sp2totVWF_xY&amp;ll=32.83050137713022%2C-96.83197783061323&amp;z=17"/>
    <x v="1"/>
    <x v="0"/>
    <x v="45"/>
    <x v="0"/>
    <x v="0"/>
    <x v="40"/>
    <x v="19"/>
    <x v="60"/>
  </r>
  <r>
    <s v="(AS) Park Place Mercedes Benz Arlington (NO TOURS)7"/>
    <x v="3"/>
    <x v="6"/>
    <x v="1"/>
    <x v="1"/>
    <x v="61"/>
    <x v="1"/>
    <s v="https://tools.sig.systems/site/details/169"/>
    <m/>
    <x v="1"/>
    <x v="0"/>
    <x v="46"/>
    <x v="0"/>
    <x v="11"/>
    <x v="41"/>
    <x v="46"/>
    <x v="61"/>
  </r>
  <r>
    <s v="(AS) Stevinson Chevrolet Golden (NO TOURS)7"/>
    <x v="3"/>
    <x v="6"/>
    <x v="7"/>
    <x v="2"/>
    <x v="96"/>
    <x v="3"/>
    <s v="https://tools.sig.systems/site/details/264"/>
    <s v="https://www.google.com/maps/d/edit?mid=1nAyK85WaWREy0lfxnmWn3USs2gC0nP0&amp;usp=sharing"/>
    <x v="1"/>
    <x v="0"/>
    <x v="3"/>
    <x v="36"/>
    <x v="0"/>
    <x v="66"/>
    <x v="68"/>
    <x v="95"/>
  </r>
  <r>
    <s v="(DT) Louisville7"/>
    <x v="3"/>
    <x v="6"/>
    <x v="0"/>
    <x v="0"/>
    <x v="67"/>
    <x v="0"/>
    <s v="https://tools.sig.systems/site/details/258"/>
    <m/>
    <x v="1"/>
    <x v="0"/>
    <x v="3"/>
    <x v="16"/>
    <x v="0"/>
    <x v="6"/>
    <x v="50"/>
    <x v="67"/>
  </r>
  <r>
    <s v="(KG) Big Star CDJR of Clear Lake7"/>
    <x v="3"/>
    <x v="6"/>
    <x v="1"/>
    <x v="1"/>
    <x v="101"/>
    <x v="1"/>
    <s v="https://tools.sig.systems/site/details/232"/>
    <s v="https://www.google.com/maps/d/edit?mid=1DRwy5fy1g5UzGTA7a1OkQA-_CY8SQ2s&amp;usp=sharing"/>
    <x v="1"/>
    <x v="0"/>
    <x v="71"/>
    <x v="0"/>
    <x v="0"/>
    <x v="69"/>
    <x v="73"/>
    <x v="100"/>
  </r>
  <r>
    <s v="(KG) Big Star Ford7"/>
    <x v="3"/>
    <x v="6"/>
    <x v="1"/>
    <x v="1"/>
    <x v="102"/>
    <x v="1"/>
    <s v="https://tools.sig.systems/site/details/235"/>
    <m/>
    <x v="1"/>
    <x v="0"/>
    <x v="72"/>
    <x v="0"/>
    <x v="0"/>
    <x v="70"/>
    <x v="74"/>
    <x v="101"/>
  </r>
  <r>
    <s v="(KG) Hyundai Surprise7"/>
    <x v="3"/>
    <x v="6"/>
    <x v="5"/>
    <x v="3"/>
    <x v="103"/>
    <x v="4"/>
    <s v="https://tools.sig.systems/site/details/269"/>
    <m/>
    <x v="4"/>
    <x v="0"/>
    <x v="73"/>
    <x v="0"/>
    <x v="0"/>
    <x v="71"/>
    <x v="11"/>
    <x v="102"/>
  </r>
  <r>
    <s v="(KG) JLR LEHI (NO TOURS)7"/>
    <x v="3"/>
    <x v="6"/>
    <x v="3"/>
    <x v="2"/>
    <x v="73"/>
    <x v="3"/>
    <s v="https://tools.sig.systems/site/details/145"/>
    <m/>
    <x v="1"/>
    <x v="0"/>
    <x v="54"/>
    <x v="0"/>
    <x v="0"/>
    <x v="49"/>
    <x v="11"/>
    <x v="73"/>
  </r>
  <r>
    <s v="(ML) Joe Machens Capital City I &amp; II (NO TOURS)7"/>
    <x v="3"/>
    <x v="6"/>
    <x v="1"/>
    <x v="1"/>
    <x v="17"/>
    <x v="1"/>
    <s v="https://tools.sig.systems/site/details/271"/>
    <m/>
    <x v="1"/>
    <x v="0"/>
    <x v="3"/>
    <x v="6"/>
    <x v="0"/>
    <x v="15"/>
    <x v="16"/>
    <x v="17"/>
  </r>
  <r>
    <s v="(ML) Joe Machens CDJR7"/>
    <x v="3"/>
    <x v="6"/>
    <x v="1"/>
    <x v="1"/>
    <x v="43"/>
    <x v="1"/>
    <s v="https://tools.sig.systems/site/details/273"/>
    <s v="https://www.google.com/maps/d/viewer?hl=es&amp;mid=1C1oZdjH3dNvCvqdpIv_Lk0Yn1OCVn-4&amp;ll=38.965368114274455%2C-92.3405954&amp;z=15"/>
    <x v="1"/>
    <x v="0"/>
    <x v="3"/>
    <x v="16"/>
    <x v="0"/>
    <x v="6"/>
    <x v="35"/>
    <x v="43"/>
  </r>
  <r>
    <s v="(ML) Nissan of Little Rock7"/>
    <x v="3"/>
    <x v="6"/>
    <x v="1"/>
    <x v="1"/>
    <x v="46"/>
    <x v="1"/>
    <s v="https://tools.sig.systems/site/details/224"/>
    <s v="https://www.google.com/maps/d/viewer?mid=1hvbKFMO-d5TXrKGU-g5dt_xcdArB1D0&amp;ll=34.71147784120261%2C-92.40574350000001&amp;z=17"/>
    <x v="1"/>
    <x v="0"/>
    <x v="34"/>
    <x v="0"/>
    <x v="0"/>
    <x v="34"/>
    <x v="7"/>
    <x v="46"/>
  </r>
  <r>
    <s v="(ML) Nissan of North Little Rock7"/>
    <x v="3"/>
    <x v="6"/>
    <x v="1"/>
    <x v="1"/>
    <x v="20"/>
    <x v="1"/>
    <s v="https://tools.sig.systems/site/details/216"/>
    <s v="https://www.google.com/maps/d/edit?mid=1Oky35ERk_2kgyzCvDu_odQ2ZP62BtqA&amp;usp=sharing"/>
    <x v="1"/>
    <x v="0"/>
    <x v="16"/>
    <x v="0"/>
    <x v="0"/>
    <x v="18"/>
    <x v="17"/>
    <x v="20"/>
  </r>
  <r>
    <s v="(PE) BMW Tenafly (NO TOURS)7"/>
    <x v="3"/>
    <x v="6"/>
    <x v="4"/>
    <x v="0"/>
    <x v="48"/>
    <x v="0"/>
    <s v="https://tools.sig.systems/site/details/155"/>
    <m/>
    <x v="1"/>
    <x v="0"/>
    <x v="36"/>
    <x v="18"/>
    <x v="0"/>
    <x v="6"/>
    <x v="19"/>
    <x v="48"/>
  </r>
  <r>
    <s v="(SCH) Delray I &amp; II7"/>
    <x v="3"/>
    <x v="6"/>
    <x v="0"/>
    <x v="0"/>
    <x v="26"/>
    <x v="0"/>
    <s v="https://tools.sig.systems/site/details/159"/>
    <m/>
    <x v="3"/>
    <x v="0"/>
    <x v="21"/>
    <x v="11"/>
    <x v="6"/>
    <x v="6"/>
    <x v="22"/>
    <x v="26"/>
  </r>
  <r>
    <s v="(AS) Nalley BMW Collision Center (NO TOURS)8"/>
    <x v="4"/>
    <x v="0"/>
    <x v="0"/>
    <x v="0"/>
    <x v="3"/>
    <x v="0"/>
    <s v="https://tools.sig.systems/site/details/220"/>
    <m/>
    <x v="1"/>
    <x v="0"/>
    <x v="3"/>
    <x v="1"/>
    <x v="0"/>
    <x v="3"/>
    <x v="3"/>
    <x v="3"/>
  </r>
  <r>
    <s v="(AS) Nalley Lexus &amp; Remote Lot Roswell (NO TOURS)8"/>
    <x v="4"/>
    <x v="0"/>
    <x v="2"/>
    <x v="0"/>
    <x v="4"/>
    <x v="2"/>
    <s v="https://tools.sig.systems/site/details/131"/>
    <s v="https://www.google.com/maps/d/edit?mid=1jkN3DS1BhUqp_dztjjW0PDwKfo_Yxsw&amp;usp=sharing"/>
    <x v="1"/>
    <x v="1"/>
    <x v="4"/>
    <x v="1"/>
    <x v="3"/>
    <x v="4"/>
    <x v="4"/>
    <x v="4"/>
  </r>
  <r>
    <s v="(AS) Park Place Mercedes Benz Arlington (NO TOURS)8"/>
    <x v="4"/>
    <x v="0"/>
    <x v="1"/>
    <x v="1"/>
    <x v="61"/>
    <x v="1"/>
    <s v="https://tools.sig.systems/site/details/169"/>
    <m/>
    <x v="1"/>
    <x v="0"/>
    <x v="46"/>
    <x v="0"/>
    <x v="11"/>
    <x v="41"/>
    <x v="46"/>
    <x v="61"/>
  </r>
  <r>
    <s v="(AS) Park Place Mercedes Benz Ft. Worth (NO TOURS)8"/>
    <x v="4"/>
    <x v="0"/>
    <x v="1"/>
    <x v="1"/>
    <x v="5"/>
    <x v="1"/>
    <s v="https://tools.sig.systems/site/details/137"/>
    <s v="https://www.google.com/maps/d/edit?mid=18OEO_KbvYcgI3N1jE4gTMXfNHTNDrFU&amp;ll=32.66603989958274%2C-97.42021198201722&amp;z=18"/>
    <x v="1"/>
    <x v="0"/>
    <x v="5"/>
    <x v="0"/>
    <x v="4"/>
    <x v="5"/>
    <x v="5"/>
    <x v="5"/>
  </r>
  <r>
    <s v="(AS) Stevinson Lexus of Lakewood (NO TOURS)8"/>
    <x v="4"/>
    <x v="0"/>
    <x v="3"/>
    <x v="2"/>
    <x v="34"/>
    <x v="3"/>
    <s v="https://tools.sig.systems/site/details/260"/>
    <s v="https://www.google.com/maps/d/edit?mid=1nAyK85WaWREy0lfxnmWn3USs2gC0nP0&amp;usp=sharing"/>
    <x v="1"/>
    <x v="0"/>
    <x v="3"/>
    <x v="14"/>
    <x v="8"/>
    <x v="6"/>
    <x v="28"/>
    <x v="34"/>
  </r>
  <r>
    <s v="(AS) Stevinson Porsche of Littleton (NO TOURS)8"/>
    <x v="4"/>
    <x v="0"/>
    <x v="3"/>
    <x v="2"/>
    <x v="7"/>
    <x v="3"/>
    <s v="https://tools.sig.systems/site/details/242"/>
    <m/>
    <x v="1"/>
    <x v="0"/>
    <x v="7"/>
    <x v="2"/>
    <x v="0"/>
    <x v="6"/>
    <x v="7"/>
    <x v="7"/>
  </r>
  <r>
    <s v="(DT) Albuquerque8"/>
    <x v="4"/>
    <x v="0"/>
    <x v="3"/>
    <x v="2"/>
    <x v="35"/>
    <x v="3"/>
    <s v="https://tools.sig.systems/site/details/237"/>
    <m/>
    <x v="1"/>
    <x v="0"/>
    <x v="27"/>
    <x v="0"/>
    <x v="0"/>
    <x v="27"/>
    <x v="29"/>
    <x v="35"/>
  </r>
  <r>
    <s v="(KG) Clear Lake Pre-Owned8"/>
    <x v="4"/>
    <x v="0"/>
    <x v="1"/>
    <x v="1"/>
    <x v="39"/>
    <x v="1"/>
    <s v="https://tools.sig.systems/site/details/255"/>
    <s v="https://www.google.com/maps/d/edit?mid=1DRwy5fy1g5UzGTA7a1OkQA-_CY8SQ2s&amp;usp=sharing"/>
    <x v="1"/>
    <x v="0"/>
    <x v="29"/>
    <x v="0"/>
    <x v="0"/>
    <x v="29"/>
    <x v="32"/>
    <x v="39"/>
  </r>
  <r>
    <s v="(KG) Truck Center Remote Storage Lot8"/>
    <x v="4"/>
    <x v="0"/>
    <x v="2"/>
    <x v="2"/>
    <x v="14"/>
    <x v="2"/>
    <s v="https://tools.sig.systems/site/details/144"/>
    <m/>
    <x v="1"/>
    <x v="0"/>
    <x v="13"/>
    <x v="5"/>
    <x v="0"/>
    <x v="12"/>
    <x v="14"/>
    <x v="14"/>
  </r>
  <r>
    <s v="(KT) Northwest CDJR (NO TOURS)8"/>
    <x v="4"/>
    <x v="0"/>
    <x v="1"/>
    <x v="1"/>
    <x v="15"/>
    <x v="1"/>
    <s v="https://tools.sig.systems/site/details/229"/>
    <m/>
    <x v="1"/>
    <x v="0"/>
    <x v="14"/>
    <x v="0"/>
    <x v="0"/>
    <x v="13"/>
    <x v="11"/>
    <x v="15"/>
  </r>
  <r>
    <s v="(MK) McKenny Salinas Honda8"/>
    <x v="4"/>
    <x v="0"/>
    <x v="0"/>
    <x v="0"/>
    <x v="104"/>
    <x v="0"/>
    <s v="https://tools.sig.systems/site/details/149"/>
    <m/>
    <x v="1"/>
    <x v="0"/>
    <x v="3"/>
    <x v="37"/>
    <x v="0"/>
    <x v="6"/>
    <x v="75"/>
    <x v="103"/>
  </r>
  <r>
    <s v="(ML) Joe Machens Temporary 2.08"/>
    <x v="4"/>
    <x v="0"/>
    <x v="1"/>
    <x v="1"/>
    <x v="44"/>
    <x v="1"/>
    <s v="https://tools.sig.systems/site/details/278"/>
    <s v="https://www.google.com/maps/d/viewer?hl=es&amp;mid=1C1oZdjH3dNvCvqdpIv_Lk0Yn1OCVn-4&amp;ll=38.965368114274455%2C-92.3405954&amp;z=15"/>
    <x v="1"/>
    <x v="0"/>
    <x v="3"/>
    <x v="17"/>
    <x v="0"/>
    <x v="33"/>
    <x v="11"/>
    <x v="44"/>
  </r>
  <r>
    <s v="(ML) Joe Machens Toyota8"/>
    <x v="4"/>
    <x v="0"/>
    <x v="1"/>
    <x v="1"/>
    <x v="18"/>
    <x v="1"/>
    <s v="https://tools.sig.systems/site/details/275"/>
    <s v="https://www.google.com/maps/d/viewer?hl=es&amp;mid=1C1oZdjH3dNvCvqdpIv_Lk0Yn1OCVn-4&amp;ll=38.965368114274455%2C-92.3405954&amp;z=15"/>
    <x v="1"/>
    <x v="0"/>
    <x v="3"/>
    <x v="7"/>
    <x v="0"/>
    <x v="16"/>
    <x v="11"/>
    <x v="18"/>
  </r>
  <r>
    <s v="(PE) JLR PDI (NO TOURS)8"/>
    <x v="4"/>
    <x v="0"/>
    <x v="4"/>
    <x v="0"/>
    <x v="50"/>
    <x v="0"/>
    <s v="https://tools.sig.systems/site/details/179"/>
    <s v="https://www.google.com/maps/d/viewer?mid=1ubI2iKs1JyYXssuT4oLPnVvFnyLPi_s&amp;ll=40.878808846788026%2C-73.98560655&amp;z=17"/>
    <x v="1"/>
    <x v="0"/>
    <x v="37"/>
    <x v="0"/>
    <x v="0"/>
    <x v="6"/>
    <x v="11"/>
    <x v="50"/>
  </r>
  <r>
    <s v="(PE) Mercedes Benz &amp; Smart Bldg. of Fairfield (NO TOURS)8"/>
    <x v="4"/>
    <x v="0"/>
    <x v="4"/>
    <x v="0"/>
    <x v="23"/>
    <x v="0"/>
    <s v="https://tools.sig.systems/site/details/192"/>
    <s v="https://www.google.com/maps/d/viewer?mid=1FEo41PzFJQjUIXXKitX5TNCtuqR6Vbs&amp;ll=41.1663376742533%2C-73.22955662049608&amp;z=16"/>
    <x v="1"/>
    <x v="0"/>
    <x v="3"/>
    <x v="9"/>
    <x v="0"/>
    <x v="20"/>
    <x v="19"/>
    <x v="23"/>
  </r>
  <r>
    <s v="(SCH) Delray I &amp; II8"/>
    <x v="4"/>
    <x v="0"/>
    <x v="0"/>
    <x v="0"/>
    <x v="26"/>
    <x v="0"/>
    <s v="https://tools.sig.systems/site/details/159"/>
    <m/>
    <x v="3"/>
    <x v="0"/>
    <x v="21"/>
    <x v="11"/>
    <x v="6"/>
    <x v="6"/>
    <x v="22"/>
    <x v="26"/>
  </r>
  <r>
    <s v="(AS) David McDavid Lincoln Frisco (NO TOURS)8"/>
    <x v="4"/>
    <x v="1"/>
    <x v="1"/>
    <x v="1"/>
    <x v="58"/>
    <x v="1"/>
    <s v="https://tools.sig.systems/site/details/182"/>
    <m/>
    <x v="1"/>
    <x v="0"/>
    <x v="43"/>
    <x v="0"/>
    <x v="0"/>
    <x v="39"/>
    <x v="44"/>
    <x v="58"/>
  </r>
  <r>
    <s v="(AS) Lexus Smyrna (NO TOURS)8"/>
    <x v="4"/>
    <x v="1"/>
    <x v="0"/>
    <x v="0"/>
    <x v="30"/>
    <x v="0"/>
    <s v="https://tools.sig.systems/site/details/133"/>
    <m/>
    <x v="1"/>
    <x v="0"/>
    <x v="24"/>
    <x v="0"/>
    <x v="0"/>
    <x v="24"/>
    <x v="25"/>
    <x v="30"/>
  </r>
  <r>
    <s v="(AS) Nalley Luxury Collision Center (NO TOURS)8"/>
    <x v="4"/>
    <x v="1"/>
    <x v="0"/>
    <x v="0"/>
    <x v="31"/>
    <x v="0"/>
    <s v="https://tools.sig.systems/site/details/263"/>
    <s v="https://www.google.com/maps/d/edit?mid=1jkN3DS1BhUqp_dztjjW0PDwKfo_Yxsw&amp;usp=sharing"/>
    <x v="1"/>
    <x v="0"/>
    <x v="4"/>
    <x v="0"/>
    <x v="0"/>
    <x v="6"/>
    <x v="26"/>
    <x v="31"/>
  </r>
  <r>
    <s v="(AS) Park Place MB Recon Center Dallas (NO TOURS)8"/>
    <x v="4"/>
    <x v="1"/>
    <x v="1"/>
    <x v="1"/>
    <x v="60"/>
    <x v="1"/>
    <s v="https://tools.sig.systems/site/details/170"/>
    <s v="https://www.google.com/maps/d/edit?hl=es&amp;mid=1uPmsRMsXnp74hPFW2t-sp2totVWF_xY&amp;ll=32.83050137713022%2C-96.83197783061323&amp;z=17"/>
    <x v="1"/>
    <x v="0"/>
    <x v="45"/>
    <x v="0"/>
    <x v="0"/>
    <x v="40"/>
    <x v="19"/>
    <x v="60"/>
  </r>
  <r>
    <s v="(AS) Park Place Sprinter Van Center (NO TOURS)8"/>
    <x v="4"/>
    <x v="1"/>
    <x v="1"/>
    <x v="1"/>
    <x v="6"/>
    <x v="1"/>
    <s v="https://tools.sig.systems/site/details/138"/>
    <s v="https://www.google.com/maps/d/edit?hl=es&amp;mid=1uPmsRMsXnp74hPFW2t-sp2totVWF_xY&amp;ll=32.83050137713022%2C-96.83197783061323&amp;z=17"/>
    <x v="1"/>
    <x v="0"/>
    <x v="6"/>
    <x v="0"/>
    <x v="0"/>
    <x v="6"/>
    <x v="6"/>
    <x v="6"/>
  </r>
  <r>
    <s v="(AS) Stevinson JLR (NO TOURS)8"/>
    <x v="4"/>
    <x v="1"/>
    <x v="3"/>
    <x v="2"/>
    <x v="64"/>
    <x v="3"/>
    <s v="https://tools.sig.systems/site/details/204"/>
    <m/>
    <x v="1"/>
    <x v="0"/>
    <x v="49"/>
    <x v="1"/>
    <x v="0"/>
    <x v="44"/>
    <x v="48"/>
    <x v="64"/>
  </r>
  <r>
    <s v="(AS) Stevinson Toyota West (NO TOURS)8"/>
    <x v="4"/>
    <x v="1"/>
    <x v="3"/>
    <x v="2"/>
    <x v="8"/>
    <x v="3"/>
    <s v="https://tools.sig.systems/site/details/240"/>
    <s v="https://www.google.com/maps/d/edit?mid=1nAyK85WaWREy0lfxnmWn3USs2gC0nP0&amp;usp=sharing"/>
    <x v="1"/>
    <x v="0"/>
    <x v="3"/>
    <x v="3"/>
    <x v="0"/>
    <x v="7"/>
    <x v="8"/>
    <x v="8"/>
  </r>
  <r>
    <s v="(KG) Big Star Honda8"/>
    <x v="4"/>
    <x v="1"/>
    <x v="1"/>
    <x v="1"/>
    <x v="72"/>
    <x v="1"/>
    <s v="https://tools.sig.systems/site/details/231"/>
    <m/>
    <x v="1"/>
    <x v="0"/>
    <x v="53"/>
    <x v="0"/>
    <x v="0"/>
    <x v="48"/>
    <x v="54"/>
    <x v="72"/>
  </r>
  <r>
    <s v="(KG) Kia of Phoenix (NO TOURS)8"/>
    <x v="4"/>
    <x v="1"/>
    <x v="5"/>
    <x v="3"/>
    <x v="40"/>
    <x v="4"/>
    <s v="https://tools.sig.systems/site/details/262"/>
    <m/>
    <x v="4"/>
    <x v="0"/>
    <x v="30"/>
    <x v="0"/>
    <x v="0"/>
    <x v="30"/>
    <x v="11"/>
    <x v="40"/>
  </r>
  <r>
    <s v="(KG) Texan CDJR8"/>
    <x v="4"/>
    <x v="1"/>
    <x v="1"/>
    <x v="1"/>
    <x v="13"/>
    <x v="1"/>
    <s v="https://tools.sig.systems/site/details/238"/>
    <s v="https://www.google.com/maps/d/edit?mid=1FNqK4dW8Z8gtSWuQLbStrtqe7lH8DIQ&amp;usp=sharing"/>
    <x v="1"/>
    <x v="0"/>
    <x v="12"/>
    <x v="0"/>
    <x v="5"/>
    <x v="11"/>
    <x v="13"/>
    <x v="13"/>
  </r>
  <r>
    <s v="(ML) Joe Machens E Collision Center8"/>
    <x v="4"/>
    <x v="1"/>
    <x v="1"/>
    <x v="1"/>
    <x v="76"/>
    <x v="1"/>
    <s v="https://tools.sig.systems/site/details/277"/>
    <s v="https://www.google.com/maps/d/viewer?hl=es&amp;mid=1C1oZdjH3dNvCvqdpIv_Lk0Yn1OCVn-4&amp;ll=38.965368114274455%2C-92.3405954&amp;z=15"/>
    <x v="1"/>
    <x v="0"/>
    <x v="6"/>
    <x v="0"/>
    <x v="0"/>
    <x v="51"/>
    <x v="57"/>
    <x v="76"/>
  </r>
  <r>
    <s v="(ML) Joe Machens Nissan8"/>
    <x v="4"/>
    <x v="1"/>
    <x v="1"/>
    <x v="1"/>
    <x v="78"/>
    <x v="1"/>
    <s v="https://tools.sig.systems/site/details/279"/>
    <s v="https://www.google.com/maps/d/viewer?hl=es&amp;mid=1C1oZdjH3dNvCvqdpIv_Lk0Yn1OCVn-4&amp;ll=38.965368114274455%2C-92.3405954&amp;z=15"/>
    <x v="1"/>
    <x v="0"/>
    <x v="3"/>
    <x v="28"/>
    <x v="0"/>
    <x v="6"/>
    <x v="11"/>
    <x v="78"/>
  </r>
  <r>
    <s v="(ML) Joe Machens VW8"/>
    <x v="4"/>
    <x v="1"/>
    <x v="1"/>
    <x v="1"/>
    <x v="19"/>
    <x v="1"/>
    <s v="https://tools.sig.systems/site/details/274"/>
    <s v="https://www.google.com/maps/d/viewer?hl=es&amp;mid=1C1oZdjH3dNvCvqdpIv_Lk0Yn1OCVn-4&amp;ll=38.965368114274455%2C-92.3405954&amp;z=15"/>
    <x v="1"/>
    <x v="0"/>
    <x v="3"/>
    <x v="8"/>
    <x v="0"/>
    <x v="17"/>
    <x v="11"/>
    <x v="19"/>
  </r>
  <r>
    <s v="(SCH) Auto Body Shop Lake Park8"/>
    <x v="4"/>
    <x v="1"/>
    <x v="0"/>
    <x v="0"/>
    <x v="83"/>
    <x v="0"/>
    <s v="https://tools.sig.systems/site/details/158"/>
    <m/>
    <x v="1"/>
    <x v="0"/>
    <x v="59"/>
    <x v="0"/>
    <x v="0"/>
    <x v="6"/>
    <x v="11"/>
    <x v="83"/>
  </r>
  <r>
    <s v="(SCH) Chevrolet North Palm8"/>
    <x v="4"/>
    <x v="1"/>
    <x v="0"/>
    <x v="0"/>
    <x v="52"/>
    <x v="0"/>
    <s v="https://tools.sig.systems/site/details/160"/>
    <m/>
    <x v="3"/>
    <x v="0"/>
    <x v="39"/>
    <x v="0"/>
    <x v="0"/>
    <x v="6"/>
    <x v="38"/>
    <x v="52"/>
  </r>
  <r>
    <s v="(AS) Courtesy Kia of Brandon (NO TOURS)8"/>
    <x v="4"/>
    <x v="2"/>
    <x v="0"/>
    <x v="0"/>
    <x v="57"/>
    <x v="0"/>
    <s v="https://tools.sig.systems/site/details/121"/>
    <s v="https://www.google.com/maps/d/edit?mid=15R4hTDQx56ij99--JgozdqOIZh-kSlk&amp;usp=sharing"/>
    <x v="0"/>
    <x v="0"/>
    <x v="3"/>
    <x v="22"/>
    <x v="0"/>
    <x v="38"/>
    <x v="43"/>
    <x v="57"/>
  </r>
  <r>
    <s v="(AS) Mike Shaw Subaru Greeley (NO TOURS)8"/>
    <x v="4"/>
    <x v="2"/>
    <x v="3"/>
    <x v="2"/>
    <x v="91"/>
    <x v="3"/>
    <s v="https://tools.sig.systems/site/details/174"/>
    <s v="https://www.google.com/maps/d/viewer?mid=1gN2lJ0iT7m5VNhD7aDcxE8AdXqtcOZc&amp;ll=40.396096737592195%2C-104.746842&amp;z=16"/>
    <x v="1"/>
    <x v="0"/>
    <x v="65"/>
    <x v="32"/>
    <x v="0"/>
    <x v="61"/>
    <x v="11"/>
    <x v="91"/>
  </r>
  <r>
    <s v="(AS) Park Place Volvo Sales (NO TOURS)8"/>
    <x v="4"/>
    <x v="2"/>
    <x v="1"/>
    <x v="1"/>
    <x v="33"/>
    <x v="1"/>
    <s v="https://tools.sig.systems/site/details/139"/>
    <s v="https://www.google.com/maps/d/edit?hl=es&amp;mid=1uPmsRMsXnp74hPFW2t-sp2totVWF_xY&amp;ll=32.83050137713022%2C-96.83197783061323&amp;z=17"/>
    <x v="1"/>
    <x v="0"/>
    <x v="26"/>
    <x v="0"/>
    <x v="0"/>
    <x v="26"/>
    <x v="27"/>
    <x v="33"/>
  </r>
  <r>
    <s v="(AS) Stevinson Chevrolet Golden (NO TOURS)8"/>
    <x v="4"/>
    <x v="2"/>
    <x v="7"/>
    <x v="2"/>
    <x v="96"/>
    <x v="3"/>
    <s v="https://tools.sig.systems/site/details/264"/>
    <s v="https://www.google.com/maps/d/edit?mid=1nAyK85WaWREy0lfxnmWn3USs2gC0nP0&amp;usp=sharing"/>
    <x v="1"/>
    <x v="0"/>
    <x v="3"/>
    <x v="36"/>
    <x v="0"/>
    <x v="66"/>
    <x v="68"/>
    <x v="95"/>
  </r>
  <r>
    <s v="(KG) Big Star Ford8"/>
    <x v="4"/>
    <x v="2"/>
    <x v="1"/>
    <x v="1"/>
    <x v="102"/>
    <x v="1"/>
    <s v="https://tools.sig.systems/site/details/235"/>
    <m/>
    <x v="1"/>
    <x v="0"/>
    <x v="72"/>
    <x v="0"/>
    <x v="0"/>
    <x v="70"/>
    <x v="74"/>
    <x v="101"/>
  </r>
  <r>
    <s v="(KG) Texan GMC Buick (NO TOURS)8"/>
    <x v="4"/>
    <x v="2"/>
    <x v="1"/>
    <x v="1"/>
    <x v="41"/>
    <x v="1"/>
    <s v="https://tools.sig.systems/site/details/225"/>
    <s v="https://www.google.com/maps/d/edit?mid=1FNqK4dW8Z8gtSWuQLbStrtqe7lH8DIQ&amp;usp=sharing"/>
    <x v="1"/>
    <x v="0"/>
    <x v="31"/>
    <x v="0"/>
    <x v="0"/>
    <x v="31"/>
    <x v="33"/>
    <x v="41"/>
  </r>
  <r>
    <s v="(ML) Joe Machens Kia of Columbia8"/>
    <x v="4"/>
    <x v="2"/>
    <x v="1"/>
    <x v="1"/>
    <x v="107"/>
    <x v="1"/>
    <s v="https://tools.sig.systems/site/details/270"/>
    <s v="https://www.google.com/maps/d/viewer?hl=es&amp;mid=1C1oZdjH3dNvCvqdpIv_Lk0Yn1OCVn-4&amp;ll=38.965368114274455%2C-92.3405954&amp;z=15"/>
    <x v="1"/>
    <x v="0"/>
    <x v="3"/>
    <x v="39"/>
    <x v="0"/>
    <x v="6"/>
    <x v="78"/>
    <x v="106"/>
  </r>
  <r>
    <s v="(ML) Mazda VW-Lot B8"/>
    <x v="4"/>
    <x v="2"/>
    <x v="1"/>
    <x v="1"/>
    <x v="45"/>
    <x v="1"/>
    <s v="https://tools.sig.systems/site/details/205"/>
    <s v="https://www.google.com/maps/d/edit?mid=1Oky35ERk_2kgyzCvDu_odQ2ZP62BtqA&amp;usp=sharing"/>
    <x v="1"/>
    <x v="0"/>
    <x v="33"/>
    <x v="9"/>
    <x v="0"/>
    <x v="30"/>
    <x v="11"/>
    <x v="45"/>
  </r>
  <r>
    <s v="(RV) Sonny's Camp N Travel Concord8"/>
    <x v="4"/>
    <x v="2"/>
    <x v="0"/>
    <x v="0"/>
    <x v="114"/>
    <x v="0"/>
    <s v="https://tools.sig.systems/site/details/183"/>
    <m/>
    <x v="1"/>
    <x v="0"/>
    <x v="6"/>
    <x v="0"/>
    <x v="0"/>
    <x v="76"/>
    <x v="84"/>
    <x v="113"/>
  </r>
  <r>
    <s v="(SCH) Prep Center Delray8"/>
    <x v="4"/>
    <x v="2"/>
    <x v="0"/>
    <x v="0"/>
    <x v="53"/>
    <x v="0"/>
    <s v="https://tools.sig.systems/site/details/321"/>
    <m/>
    <x v="1"/>
    <x v="0"/>
    <x v="40"/>
    <x v="0"/>
    <x v="0"/>
    <x v="6"/>
    <x v="39"/>
    <x v="53"/>
  </r>
  <r>
    <s v="(SCH) West Palm Beach I, II &amp; III8"/>
    <x v="4"/>
    <x v="2"/>
    <x v="6"/>
    <x v="0"/>
    <x v="54"/>
    <x v="0"/>
    <s v="https://tools.sig.systems/site/details/162"/>
    <m/>
    <x v="3"/>
    <x v="2"/>
    <x v="41"/>
    <x v="20"/>
    <x v="10"/>
    <x v="6"/>
    <x v="40"/>
    <x v="54"/>
  </r>
  <r>
    <s v="SIG Office8"/>
    <x v="4"/>
    <x v="2"/>
    <x v="2"/>
    <x v="0"/>
    <x v="85"/>
    <x v="2"/>
    <s v="https://tools.sig.systems/site/details/163"/>
    <m/>
    <x v="1"/>
    <x v="0"/>
    <x v="3"/>
    <x v="0"/>
    <x v="0"/>
    <x v="6"/>
    <x v="60"/>
    <x v="85"/>
  </r>
  <r>
    <s v="(AS) Courtesy Hyundai/Nissan Tampa (NO TOURS)8"/>
    <x v="4"/>
    <x v="3"/>
    <x v="0"/>
    <x v="0"/>
    <x v="89"/>
    <x v="0"/>
    <s v="https://tools.sig.systems/site/details/128"/>
    <m/>
    <x v="0"/>
    <x v="0"/>
    <x v="64"/>
    <x v="0"/>
    <x v="0"/>
    <x v="59"/>
    <x v="62"/>
    <x v="89"/>
  </r>
  <r>
    <s v="(AS) Park Place Bodywerks Ft. Worth (NO TOURS)8"/>
    <x v="4"/>
    <x v="3"/>
    <x v="1"/>
    <x v="1"/>
    <x v="92"/>
    <x v="1"/>
    <s v="https://tools.sig.systems/site/details/134"/>
    <s v="https://www.google.com/maps/d/edit?mid=18OEO_KbvYcgI3N1jE4gTMXfNHTNDrFU&amp;ll=32.66603989958274%2C-97.42021198201722&amp;z=18"/>
    <x v="1"/>
    <x v="0"/>
    <x v="66"/>
    <x v="0"/>
    <x v="0"/>
    <x v="62"/>
    <x v="64"/>
    <x v="92"/>
  </r>
  <r>
    <s v="(AS) Park Place Volvo Service Center (NO TOURS)8"/>
    <x v="4"/>
    <x v="3"/>
    <x v="1"/>
    <x v="1"/>
    <x v="62"/>
    <x v="1"/>
    <s v="https://tools.sig.systems/site/details/171"/>
    <s v="https://www.google.com/maps/d/edit?hl=es&amp;mid=1uPmsRMsXnp74hPFW2t-sp2totVWF_xY&amp;ll=32.83050137713022%2C-96.83197783061323&amp;z=17"/>
    <x v="1"/>
    <x v="0"/>
    <x v="47"/>
    <x v="0"/>
    <x v="0"/>
    <x v="42"/>
    <x v="11"/>
    <x v="62"/>
  </r>
  <r>
    <s v="(DT) Colorado Springs (NO TOURS)8"/>
    <x v="4"/>
    <x v="3"/>
    <x v="3"/>
    <x v="2"/>
    <x v="65"/>
    <x v="3"/>
    <s v="https://tools.sig.systems/site/details/198"/>
    <m/>
    <x v="1"/>
    <x v="0"/>
    <x v="3"/>
    <x v="24"/>
    <x v="0"/>
    <x v="6"/>
    <x v="49"/>
    <x v="65"/>
  </r>
  <r>
    <s v="(DT) Escondido8"/>
    <x v="4"/>
    <x v="3"/>
    <x v="5"/>
    <x v="4"/>
    <x v="98"/>
    <x v="5"/>
    <s v="https://tools.sig.systems/site/details/196"/>
    <m/>
    <x v="1"/>
    <x v="4"/>
    <x v="20"/>
    <x v="0"/>
    <x v="0"/>
    <x v="6"/>
    <x v="70"/>
    <x v="97"/>
  </r>
  <r>
    <s v="(DT) Louisville8"/>
    <x v="4"/>
    <x v="3"/>
    <x v="0"/>
    <x v="0"/>
    <x v="67"/>
    <x v="0"/>
    <s v="https://tools.sig.systems/site/details/258"/>
    <m/>
    <x v="1"/>
    <x v="0"/>
    <x v="3"/>
    <x v="16"/>
    <x v="0"/>
    <x v="6"/>
    <x v="50"/>
    <x v="67"/>
  </r>
  <r>
    <s v="(KG) Big Star CDJR of Clear Lake8"/>
    <x v="4"/>
    <x v="3"/>
    <x v="1"/>
    <x v="1"/>
    <x v="101"/>
    <x v="1"/>
    <s v="https://tools.sig.systems/site/details/232"/>
    <s v="https://www.google.com/maps/d/edit?mid=1DRwy5fy1g5UzGTA7a1OkQA-_CY8SQ2s&amp;usp=sharing"/>
    <x v="1"/>
    <x v="0"/>
    <x v="71"/>
    <x v="0"/>
    <x v="0"/>
    <x v="69"/>
    <x v="73"/>
    <x v="100"/>
  </r>
  <r>
    <s v="(LM) Luther Mazda / Mitsubishi8"/>
    <x v="4"/>
    <x v="3"/>
    <x v="1"/>
    <x v="1"/>
    <x v="74"/>
    <x v="1"/>
    <s v="https://tools.sig.systems/site/details/147"/>
    <s v="https://www.google.com/maps/d/viewer?mid=1ot0ILX76JMuvd9yMuqkb4_e0yH1n7TA&amp;ll=45.07815812965141%2C-93.33506855000002&amp;z=17"/>
    <x v="1"/>
    <x v="0"/>
    <x v="55"/>
    <x v="0"/>
    <x v="12"/>
    <x v="6"/>
    <x v="55"/>
    <x v="74"/>
  </r>
  <r>
    <s v="(ML) Joe Machens Ford Lincoln I &amp; II8"/>
    <x v="4"/>
    <x v="3"/>
    <x v="1"/>
    <x v="1"/>
    <x v="77"/>
    <x v="1"/>
    <s v="https://tools.sig.systems/site/details/266"/>
    <s v="https://www.google.com/maps/d/viewer?hl=es&amp;mid=1C1oZdjH3dNvCvqdpIv_Lk0Yn1OCVn-4&amp;ll=38.965368114274455%2C-92.3405954&amp;z=15"/>
    <x v="1"/>
    <x v="0"/>
    <x v="3"/>
    <x v="27"/>
    <x v="0"/>
    <x v="52"/>
    <x v="11"/>
    <x v="77"/>
  </r>
  <r>
    <s v="(ML) McLarty Gray-Daniels Ford Lincoln8"/>
    <x v="4"/>
    <x v="3"/>
    <x v="1"/>
    <x v="1"/>
    <x v="79"/>
    <x v="1"/>
    <s v="https://tools.sig.systems/site/details/151"/>
    <s v="https://www.google.com/maps/d/edit?mid=111nhCL4Xjj2Pq0zP5xUrMzHQqAihqa0&amp;usp=sharing"/>
    <x v="1"/>
    <x v="0"/>
    <x v="56"/>
    <x v="29"/>
    <x v="0"/>
    <x v="53"/>
    <x v="57"/>
    <x v="79"/>
  </r>
  <r>
    <s v="(PE) BMW of Greenwich (NO TOURS)8"/>
    <x v="4"/>
    <x v="3"/>
    <x v="4"/>
    <x v="0"/>
    <x v="110"/>
    <x v="0"/>
    <s v="https://tools.sig.systems/site/details/186"/>
    <s v="https://www.google.com/maps/d/edit?hl=en&amp;mid=1UHmt7tH1ihTa85i0MfQIcTfVvIQg_vM&amp;ll=41.024187580466844%2C-73.63702405370861&amp;z=18"/>
    <x v="1"/>
    <x v="0"/>
    <x v="75"/>
    <x v="0"/>
    <x v="0"/>
    <x v="6"/>
    <x v="81"/>
    <x v="109"/>
  </r>
  <r>
    <s v="(PE) JLR Darien PDI (NO TOURS)8"/>
    <x v="4"/>
    <x v="3"/>
    <x v="4"/>
    <x v="0"/>
    <x v="112"/>
    <x v="0"/>
    <s v="https://tools.sig.systems/site/details/187"/>
    <s v="https://www.google.com/maps/d/viewer?mid=1ebZp8DeTYSXNPgDIA63nFVDu9ohaO4E&amp;ll=41.08027837958441%2C-73.46597874999999&amp;z=15"/>
    <x v="1"/>
    <x v="0"/>
    <x v="6"/>
    <x v="0"/>
    <x v="0"/>
    <x v="74"/>
    <x v="83"/>
    <x v="111"/>
  </r>
  <r>
    <s v="(PE) Scofield Service Center (NO TOURS)8"/>
    <x v="4"/>
    <x v="3"/>
    <x v="4"/>
    <x v="0"/>
    <x v="113"/>
    <x v="0"/>
    <s v="https://tools.sig.systems/site/details/193"/>
    <s v="https://www.google.com/maps/d/viewer?mid=1FEo41PzFJQjUIXXKitX5TNCtuqR6Vbs&amp;ll=41.1663376742533%2C-73.22955662049608&amp;z=16"/>
    <x v="1"/>
    <x v="0"/>
    <x v="6"/>
    <x v="0"/>
    <x v="0"/>
    <x v="75"/>
    <x v="51"/>
    <x v="112"/>
  </r>
  <r>
    <s v="(TC) Tavernier Creek Marina (NO TOURS)8"/>
    <x v="4"/>
    <x v="3"/>
    <x v="0"/>
    <x v="0"/>
    <x v="84"/>
    <x v="1"/>
    <s v="https://tools.sig.systems/site/details/164"/>
    <m/>
    <x v="6"/>
    <x v="0"/>
    <x v="60"/>
    <x v="0"/>
    <x v="0"/>
    <x v="6"/>
    <x v="59"/>
    <x v="84"/>
  </r>
  <r>
    <s v="(WAG) Greeley Chrysler Dodge Jeep Ram (NO TOURS)8"/>
    <x v="4"/>
    <x v="3"/>
    <x v="3"/>
    <x v="2"/>
    <x v="115"/>
    <x v="3"/>
    <s v="https://tools.sig.systems/site/details/130"/>
    <s v="https://www.google.com/maps/d/viewer?mid=1gN2lJ0iT7m5VNhD7aDcxE8AdXqtcOZc&amp;ll=40.396096737592195%2C-104.746842&amp;z=16"/>
    <x v="1"/>
    <x v="0"/>
    <x v="77"/>
    <x v="42"/>
    <x v="0"/>
    <x v="77"/>
    <x v="85"/>
    <x v="114"/>
  </r>
  <r>
    <s v="(AS) Atwell Prep Center-Dallas (NO TOURS)8"/>
    <x v="4"/>
    <x v="4"/>
    <x v="1"/>
    <x v="1"/>
    <x v="86"/>
    <x v="1"/>
    <s v="https://tools.sig.systems/site/details/165"/>
    <s v="https://www.google.com/maps/d/edit?hl=es&amp;mid=1uPmsRMsXnp74hPFW2t-sp2totVWF_xY&amp;ll=32.83050137713022%2C-96.83197783061323&amp;z=17"/>
    <x v="1"/>
    <x v="0"/>
    <x v="61"/>
    <x v="0"/>
    <x v="0"/>
    <x v="6"/>
    <x v="28"/>
    <x v="86"/>
  </r>
  <r>
    <s v="(AS) Audi of North Atlanta (NO TOURS)8"/>
    <x v="4"/>
    <x v="4"/>
    <x v="0"/>
    <x v="0"/>
    <x v="87"/>
    <x v="0"/>
    <s v="https://tools.sig.systems/site/details/124"/>
    <s v="https://www.google.com/maps/d/edit?mid=1jkN3DS1BhUqp_dztjjW0PDwKfo_Yxsw&amp;usp=sharing"/>
    <x v="1"/>
    <x v="0"/>
    <x v="62"/>
    <x v="0"/>
    <x v="0"/>
    <x v="57"/>
    <x v="61"/>
    <x v="87"/>
  </r>
  <r>
    <s v="(AS) Courtesy Honda Palm Harbor (NO TOURS)8"/>
    <x v="4"/>
    <x v="4"/>
    <x v="0"/>
    <x v="0"/>
    <x v="88"/>
    <x v="0"/>
    <s v="https://tools.sig.systems/site/details/176"/>
    <m/>
    <x v="3"/>
    <x v="0"/>
    <x v="63"/>
    <x v="0"/>
    <x v="0"/>
    <x v="58"/>
    <x v="24"/>
    <x v="88"/>
  </r>
  <r>
    <s v="(AS) Park Place Bodywerks Dallas (NO TOURS)8"/>
    <x v="4"/>
    <x v="4"/>
    <x v="1"/>
    <x v="1"/>
    <x v="59"/>
    <x v="1"/>
    <s v="https://tools.sig.systems/site/details/166"/>
    <s v="https://www.google.com/maps/d/edit?hl=es&amp;mid=1uPmsRMsXnp74hPFW2t-sp2totVWF_xY&amp;ll=32.83050137713022%2C-96.83197783061323&amp;z=17"/>
    <x v="1"/>
    <x v="0"/>
    <x v="44"/>
    <x v="9"/>
    <x v="0"/>
    <x v="6"/>
    <x v="45"/>
    <x v="59"/>
  </r>
  <r>
    <s v="(AS) Plano Auction (NO SPEAKERS)8"/>
    <x v="4"/>
    <x v="4"/>
    <x v="1"/>
    <x v="1"/>
    <x v="94"/>
    <x v="1"/>
    <s v="https://tools.sig.systems/site/details/140"/>
    <m/>
    <x v="1"/>
    <x v="0"/>
    <x v="3"/>
    <x v="34"/>
    <x v="0"/>
    <x v="64"/>
    <x v="66"/>
    <x v="94"/>
  </r>
  <r>
    <s v="(DT) Denver (NO TOURS)8"/>
    <x v="4"/>
    <x v="4"/>
    <x v="3"/>
    <x v="2"/>
    <x v="97"/>
    <x v="3"/>
    <s v="https://tools.sig.systems/site/details/203"/>
    <s v="https://www.google.com/maps/d/edit?mid=1AjZHz2LTg0RMhZUOmyZsv_Y4MFcaP8g&amp;usp=sharing"/>
    <x v="1"/>
    <x v="0"/>
    <x v="3"/>
    <x v="25"/>
    <x v="0"/>
    <x v="6"/>
    <x v="69"/>
    <x v="96"/>
  </r>
  <r>
    <s v="(DT) El Cajon (NO TOURS)8"/>
    <x v="4"/>
    <x v="4"/>
    <x v="5"/>
    <x v="4"/>
    <x v="66"/>
    <x v="4"/>
    <s v="https://tools.sig.systems/site/details/241"/>
    <m/>
    <x v="1"/>
    <x v="0"/>
    <x v="3"/>
    <x v="16"/>
    <x v="0"/>
    <x v="6"/>
    <x v="11"/>
    <x v="66"/>
  </r>
  <r>
    <s v="(HUD) Acura of Greensboro8"/>
    <x v="4"/>
    <x v="4"/>
    <x v="0"/>
    <x v="0"/>
    <x v="99"/>
    <x v="0"/>
    <s v="https://tools.sig.systems/site/details/213"/>
    <s v="https://www.google.com/maps/d/viewer?mid=1ejOzT7-x6RWnCf83BBP7XhiOiwEX3Wk&amp;ll=0%2C0&amp;z=17"/>
    <x v="1"/>
    <x v="0"/>
    <x v="69"/>
    <x v="0"/>
    <x v="0"/>
    <x v="67"/>
    <x v="71"/>
    <x v="98"/>
  </r>
  <r>
    <s v="(JE) Jim Ellis Ford Sandy Springs8"/>
    <x v="4"/>
    <x v="4"/>
    <x v="0"/>
    <x v="0"/>
    <x v="69"/>
    <x v="0"/>
    <s v="https://tools.sig.systems/site/details/142"/>
    <m/>
    <x v="1"/>
    <x v="0"/>
    <x v="51"/>
    <x v="0"/>
    <x v="0"/>
    <x v="46"/>
    <x v="52"/>
    <x v="69"/>
  </r>
  <r>
    <s v="(KG) Baytown GMC Buick - Remote Lot (NO TOURS)8"/>
    <x v="4"/>
    <x v="4"/>
    <x v="2"/>
    <x v="1"/>
    <x v="70"/>
    <x v="2"/>
    <s v="https://tools.sig.systems/site/details/311"/>
    <m/>
    <x v="1"/>
    <x v="3"/>
    <x v="3"/>
    <x v="25"/>
    <x v="0"/>
    <x v="6"/>
    <x v="11"/>
    <x v="70"/>
  </r>
  <r>
    <s v="(KG) Baytown GMC Buick (NO TOURS)8"/>
    <x v="4"/>
    <x v="4"/>
    <x v="1"/>
    <x v="1"/>
    <x v="71"/>
    <x v="1"/>
    <s v="https://tools.sig.systems/site/details/239"/>
    <m/>
    <x v="1"/>
    <x v="0"/>
    <x v="52"/>
    <x v="0"/>
    <x v="0"/>
    <x v="47"/>
    <x v="53"/>
    <x v="71"/>
  </r>
  <r>
    <s v="(ML) BMW of Little Rock8"/>
    <x v="4"/>
    <x v="4"/>
    <x v="1"/>
    <x v="1"/>
    <x v="105"/>
    <x v="1"/>
    <s v="https://tools.sig.systems/site/details/217"/>
    <s v="https://www.google.com/maps/d/viewer?mid=1hvbKFMO-d5TXrKGU-g5dt_xcdArB1D0&amp;ll=34.71147784120261%2C-92.40574350000001&amp;z=17"/>
    <x v="1"/>
    <x v="0"/>
    <x v="3"/>
    <x v="38"/>
    <x v="0"/>
    <x v="6"/>
    <x v="76"/>
    <x v="104"/>
  </r>
  <r>
    <s v="(ML) McLarty Gray-Daniels Toyota Nissan8"/>
    <x v="4"/>
    <x v="4"/>
    <x v="1"/>
    <x v="1"/>
    <x v="108"/>
    <x v="1"/>
    <s v="https://tools.sig.systems/site/details/152"/>
    <s v="https://www.google.com/maps/d/edit?mid=111nhCL4Xjj2Pq0zP5xUrMzHQqAihqa0&amp;usp=sharing"/>
    <x v="1"/>
    <x v="0"/>
    <x v="3"/>
    <x v="40"/>
    <x v="0"/>
    <x v="72"/>
    <x v="79"/>
    <x v="107"/>
  </r>
  <r>
    <s v="(ML) Toyota N Little Rock8"/>
    <x v="4"/>
    <x v="4"/>
    <x v="1"/>
    <x v="1"/>
    <x v="21"/>
    <x v="1"/>
    <s v="https://tools.sig.systems/site/details/201"/>
    <s v="https://www.google.com/maps/d/edit?mid=1Oky35ERk_2kgyzCvDu_odQ2ZP62BtqA&amp;usp=sharing"/>
    <x v="1"/>
    <x v="0"/>
    <x v="17"/>
    <x v="0"/>
    <x v="0"/>
    <x v="19"/>
    <x v="11"/>
    <x v="21"/>
  </r>
  <r>
    <s v="(PE) BMW of Mamaroneck (NO TOURS)8"/>
    <x v="4"/>
    <x v="4"/>
    <x v="4"/>
    <x v="0"/>
    <x v="111"/>
    <x v="0"/>
    <s v="https://tools.sig.systems/site/details/185"/>
    <m/>
    <x v="1"/>
    <x v="0"/>
    <x v="76"/>
    <x v="41"/>
    <x v="0"/>
    <x v="6"/>
    <x v="82"/>
    <x v="110"/>
  </r>
  <r>
    <s v="(PE) Hudson Toyota Nissan CDJR (NO TOURS)8"/>
    <x v="4"/>
    <x v="4"/>
    <x v="4"/>
    <x v="0"/>
    <x v="81"/>
    <x v="0"/>
    <s v="https://tools.sig.systems/site/details/156"/>
    <m/>
    <x v="1"/>
    <x v="0"/>
    <x v="49"/>
    <x v="30"/>
    <x v="0"/>
    <x v="55"/>
    <x v="58"/>
    <x v="81"/>
  </r>
  <r>
    <s v="(RML) Burleson Nissan8"/>
    <x v="4"/>
    <x v="4"/>
    <x v="1"/>
    <x v="1"/>
    <x v="82"/>
    <x v="1"/>
    <s v="https://tools.sig.systems/site/details/202"/>
    <m/>
    <x v="1"/>
    <x v="0"/>
    <x v="58"/>
    <x v="0"/>
    <x v="0"/>
    <x v="56"/>
    <x v="11"/>
    <x v="82"/>
  </r>
  <r>
    <s v="(AS) Bill Estes Ford (NO TOURS)8"/>
    <x v="4"/>
    <x v="5"/>
    <x v="0"/>
    <x v="0"/>
    <x v="55"/>
    <x v="0"/>
    <s v="https://tools.sig.systems/site/details/125"/>
    <m/>
    <x v="1"/>
    <x v="0"/>
    <x v="3"/>
    <x v="21"/>
    <x v="0"/>
    <x v="36"/>
    <x v="41"/>
    <x v="55"/>
  </r>
  <r>
    <s v="(AS) Courtesy CDJR of Brandon (NO TOURS)8"/>
    <x v="4"/>
    <x v="5"/>
    <x v="0"/>
    <x v="0"/>
    <x v="56"/>
    <x v="0"/>
    <s v="https://tools.sig.systems/site/details/126"/>
    <s v="https://www.google.com/maps/d/edit?mid=15R4hTDQx56ij99--JgozdqOIZh-kSlk&amp;usp=sharing"/>
    <x v="0"/>
    <x v="0"/>
    <x v="42"/>
    <x v="9"/>
    <x v="0"/>
    <x v="37"/>
    <x v="42"/>
    <x v="56"/>
  </r>
  <r>
    <s v="(AS) David McDavid Honda I &amp; II (NO TOURS)8"/>
    <x v="4"/>
    <x v="5"/>
    <x v="1"/>
    <x v="1"/>
    <x v="90"/>
    <x v="1"/>
    <s v="https://tools.sig.systems/site/details/129"/>
    <m/>
    <x v="1"/>
    <x v="0"/>
    <x v="3"/>
    <x v="31"/>
    <x v="0"/>
    <x v="60"/>
    <x v="63"/>
    <x v="90"/>
  </r>
  <r>
    <s v="(AS) Park Place Acura (NO TOURS)8"/>
    <x v="4"/>
    <x v="5"/>
    <x v="1"/>
    <x v="1"/>
    <x v="32"/>
    <x v="1"/>
    <s v="https://tools.sig.systems/site/details/259"/>
    <s v="https://www.google.com/maps/d/viewer?mid=1wg5suxVuxeNp_irHlvN772HcwD6W89E&amp;ll=33.06373951220261%2C-96.82758025000001&amp;z=18"/>
    <x v="1"/>
    <x v="0"/>
    <x v="25"/>
    <x v="0"/>
    <x v="0"/>
    <x v="25"/>
    <x v="11"/>
    <x v="32"/>
  </r>
  <r>
    <s v="(AS) Plaza Audi/Infiniti (NO TOURS)8"/>
    <x v="4"/>
    <x v="5"/>
    <x v="1"/>
    <x v="1"/>
    <x v="95"/>
    <x v="1"/>
    <s v="https://tools.sig.systems/site/details/141"/>
    <s v="https://www.google.com/maps/d/viewer?mid=1whGZ1PLqmhJnGFz8uigZqUL4cHGGW3w&amp;ll=38.668847686454825%2C-90.4433601&amp;z=17"/>
    <x v="1"/>
    <x v="0"/>
    <x v="68"/>
    <x v="35"/>
    <x v="0"/>
    <x v="65"/>
    <x v="67"/>
    <x v="63"/>
  </r>
  <r>
    <s v="(DT) Wichita8"/>
    <x v="4"/>
    <x v="5"/>
    <x v="1"/>
    <x v="1"/>
    <x v="36"/>
    <x v="1"/>
    <s v="https://tools.sig.systems/site/details/257"/>
    <m/>
    <x v="1"/>
    <x v="0"/>
    <x v="3"/>
    <x v="15"/>
    <x v="0"/>
    <x v="6"/>
    <x v="30"/>
    <x v="36"/>
  </r>
  <r>
    <s v="(HUD) BMW of Greensboro8"/>
    <x v="4"/>
    <x v="5"/>
    <x v="0"/>
    <x v="0"/>
    <x v="100"/>
    <x v="0"/>
    <s v="https://tools.sig.systems/site/details/219"/>
    <s v="https://www.google.com/maps/d/viewer?mid=1ejOzT7-x6RWnCf83BBP7XhiOiwEX3Wk&amp;ll=36.061264791292906%2C-79.87437695000003&amp;z=17"/>
    <x v="1"/>
    <x v="0"/>
    <x v="70"/>
    <x v="0"/>
    <x v="0"/>
    <x v="68"/>
    <x v="72"/>
    <x v="99"/>
  </r>
  <r>
    <s v="(HUD) Paint and Body Center (NO TOURS)8"/>
    <x v="4"/>
    <x v="5"/>
    <x v="0"/>
    <x v="0"/>
    <x v="38"/>
    <x v="0"/>
    <s v="https://tools.sig.systems/site/details/256"/>
    <s v="https://www.google.com/maps/d/viewer?mid=1ejOzT7-x6RWnCf83BBP7XhiOiwEX3Wk&amp;ll=36.061264791292906%2C-79.87437695000003&amp;z=17"/>
    <x v="1"/>
    <x v="0"/>
    <x v="3"/>
    <x v="9"/>
    <x v="0"/>
    <x v="6"/>
    <x v="11"/>
    <x v="38"/>
  </r>
  <r>
    <s v="(KG) Hyundai Surprise8"/>
    <x v="4"/>
    <x v="5"/>
    <x v="5"/>
    <x v="3"/>
    <x v="103"/>
    <x v="4"/>
    <s v="https://tools.sig.systems/site/details/269"/>
    <m/>
    <x v="4"/>
    <x v="0"/>
    <x v="73"/>
    <x v="0"/>
    <x v="0"/>
    <x v="71"/>
    <x v="11"/>
    <x v="102"/>
  </r>
  <r>
    <s v="(ML) Collision Center N Little Rock8"/>
    <x v="4"/>
    <x v="5"/>
    <x v="1"/>
    <x v="1"/>
    <x v="106"/>
    <x v="1"/>
    <s v="https://tools.sig.systems/site/details/212"/>
    <s v="https://www.google.com/maps/d/edit?mid=1Oky35ERk_2kgyzCvDu_odQ2ZP62BtqA&amp;usp=sharing"/>
    <x v="1"/>
    <x v="0"/>
    <x v="3"/>
    <x v="0"/>
    <x v="0"/>
    <x v="6"/>
    <x v="77"/>
    <x v="105"/>
  </r>
  <r>
    <s v="(ML) Joe Machens CDJR8"/>
    <x v="4"/>
    <x v="5"/>
    <x v="1"/>
    <x v="1"/>
    <x v="43"/>
    <x v="1"/>
    <s v="https://tools.sig.systems/site/details/273"/>
    <s v="https://www.google.com/maps/d/viewer?hl=es&amp;mid=1C1oZdjH3dNvCvqdpIv_Lk0Yn1OCVn-4&amp;ll=38.965368114274455%2C-92.3405954&amp;z=15"/>
    <x v="1"/>
    <x v="0"/>
    <x v="3"/>
    <x v="16"/>
    <x v="0"/>
    <x v="6"/>
    <x v="35"/>
    <x v="43"/>
  </r>
  <r>
    <s v="(ML) McLarty-Gray Daniels Chevrolet8"/>
    <x v="4"/>
    <x v="5"/>
    <x v="1"/>
    <x v="1"/>
    <x v="109"/>
    <x v="1"/>
    <s v="https://tools.sig.systems/site/details/150"/>
    <m/>
    <x v="1"/>
    <x v="0"/>
    <x v="74"/>
    <x v="0"/>
    <x v="0"/>
    <x v="73"/>
    <x v="80"/>
    <x v="108"/>
  </r>
  <r>
    <s v="(ML) Volvo Collision Corp8"/>
    <x v="4"/>
    <x v="5"/>
    <x v="1"/>
    <x v="1"/>
    <x v="47"/>
    <x v="1"/>
    <s v="https://tools.sig.systems/site/details/223"/>
    <m/>
    <x v="1"/>
    <x v="0"/>
    <x v="35"/>
    <x v="1"/>
    <x v="0"/>
    <x v="35"/>
    <x v="11"/>
    <x v="47"/>
  </r>
  <r>
    <s v="(RV) Toms Camperland Surprise (NO TOURS)8"/>
    <x v="4"/>
    <x v="5"/>
    <x v="5"/>
    <x v="3"/>
    <x v="51"/>
    <x v="4"/>
    <s v="https://tools.sig.systems/site/details/254"/>
    <m/>
    <x v="5"/>
    <x v="0"/>
    <x v="38"/>
    <x v="0"/>
    <x v="0"/>
    <x v="6"/>
    <x v="37"/>
    <x v="51"/>
  </r>
  <r>
    <s v="(AS) Coggin Acura Ft Pierce (NO TOURS)8"/>
    <x v="4"/>
    <x v="6"/>
    <x v="0"/>
    <x v="0"/>
    <x v="27"/>
    <x v="0"/>
    <s v="https://tools.sig.systems/site/details/118"/>
    <s v="https://www.google.com/maps/d/viewer?mid=1AyViBuyeq7iwDua1SVudJ2A1BYi3IBA&amp;ll=27.38181516363982%2C-80.32568845000002&amp;z=18"/>
    <x v="1"/>
    <x v="0"/>
    <x v="3"/>
    <x v="12"/>
    <x v="0"/>
    <x v="21"/>
    <x v="19"/>
    <x v="27"/>
  </r>
  <r>
    <s v="(AS) Coggin Mercedes Benz Ft Pierce (NO TOURS)8"/>
    <x v="4"/>
    <x v="6"/>
    <x v="0"/>
    <x v="0"/>
    <x v="28"/>
    <x v="0"/>
    <s v="https://tools.sig.systems/site/details/127"/>
    <s v="https://www.google.com/maps/d/viewer?mid=1AyViBuyeq7iwDua1SVudJ2A1BYi3IBA&amp;ll=27.38181516363982%2C-80.32568845000002&amp;z=18"/>
    <x v="1"/>
    <x v="0"/>
    <x v="22"/>
    <x v="13"/>
    <x v="0"/>
    <x v="22"/>
    <x v="23"/>
    <x v="28"/>
  </r>
  <r>
    <s v="(AS) Mercedes Benz/Porsche Dallas I,II,III (NO TOURS)8"/>
    <x v="4"/>
    <x v="6"/>
    <x v="1"/>
    <x v="1"/>
    <x v="2"/>
    <x v="1"/>
    <s v="https://tools.sig.systems/site/details/168"/>
    <s v="https://www.google.com/maps/d/edit?hl=es&amp;mid=1uPmsRMsXnp74hPFW2t-sp2totVWF_xY&amp;ll=32.83050137713022%2C-96.83197783061323&amp;z=17"/>
    <x v="1"/>
    <x v="0"/>
    <x v="2"/>
    <x v="0"/>
    <x v="2"/>
    <x v="2"/>
    <x v="2"/>
    <x v="2"/>
  </r>
  <r>
    <s v="(AS) Plaza Lexus/Mercedes/BMW (NO TOURS)8"/>
    <x v="4"/>
    <x v="6"/>
    <x v="1"/>
    <x v="1"/>
    <x v="63"/>
    <x v="1"/>
    <s v="https://tools.sig.systems/site/details/141"/>
    <s v="https://www.google.com/maps/d/viewer?mid=1whGZ1PLqmhJnGFz8uigZqUL4cHGGW3w&amp;ll=38.668847686454825%2C-90.4433601&amp;z=17"/>
    <x v="1"/>
    <x v="0"/>
    <x v="48"/>
    <x v="23"/>
    <x v="0"/>
    <x v="43"/>
    <x v="47"/>
    <x v="63"/>
  </r>
  <r>
    <s v="(DT) W Houston8"/>
    <x v="4"/>
    <x v="6"/>
    <x v="1"/>
    <x v="1"/>
    <x v="10"/>
    <x v="1"/>
    <s v="https://tools.sig.systems/site/details/197"/>
    <m/>
    <x v="1"/>
    <x v="0"/>
    <x v="9"/>
    <x v="2"/>
    <x v="0"/>
    <x v="9"/>
    <x v="10"/>
    <x v="10"/>
  </r>
  <r>
    <s v="(HUD) CDJR of Greensboro8"/>
    <x v="4"/>
    <x v="6"/>
    <x v="0"/>
    <x v="0"/>
    <x v="68"/>
    <x v="0"/>
    <s v="https://tools.sig.systems/site/details/215"/>
    <s v="https://www.google.com/maps/d/viewer?mid=1ejOzT7-x6RWnCf83BBP7XhiOiwEX3Wk&amp;ll=36.061264791292906%2C-79.87437695000003&amp;z=17"/>
    <x v="3"/>
    <x v="0"/>
    <x v="50"/>
    <x v="0"/>
    <x v="0"/>
    <x v="45"/>
    <x v="51"/>
    <x v="68"/>
  </r>
  <r>
    <s v="(HUD) Nissan Greensboro8"/>
    <x v="4"/>
    <x v="6"/>
    <x v="0"/>
    <x v="0"/>
    <x v="12"/>
    <x v="0"/>
    <s v="https://tools.sig.systems/site/details/236"/>
    <s v="https://www.google.com/maps/d/viewer?mid=1ejOzT7-x6RWnCf83BBP7XhiOiwEX3Wk&amp;ll=36.061264791292906%2C-79.87437695000003&amp;z=17"/>
    <x v="1"/>
    <x v="0"/>
    <x v="11"/>
    <x v="0"/>
    <x v="0"/>
    <x v="6"/>
    <x v="12"/>
    <x v="12"/>
  </r>
  <r>
    <s v="(KG) JLR LEHI (NO TOURS)8"/>
    <x v="4"/>
    <x v="6"/>
    <x v="3"/>
    <x v="2"/>
    <x v="73"/>
    <x v="3"/>
    <s v="https://tools.sig.systems/site/details/145"/>
    <m/>
    <x v="1"/>
    <x v="0"/>
    <x v="54"/>
    <x v="0"/>
    <x v="0"/>
    <x v="49"/>
    <x v="11"/>
    <x v="73"/>
  </r>
  <r>
    <s v="(ML) Columbia Honda (NO TOURS)8"/>
    <x v="4"/>
    <x v="6"/>
    <x v="1"/>
    <x v="1"/>
    <x v="75"/>
    <x v="1"/>
    <s v="https://tools.sig.systems/site/details/272"/>
    <s v="https://www.google.com/maps/d/viewer?hl=es&amp;mid=1C1oZdjH3dNvCvqdpIv_Lk0Yn1OCVn-4&amp;ll=38.965368114274426%2C-92.3405954&amp;z=15"/>
    <x v="1"/>
    <x v="0"/>
    <x v="3"/>
    <x v="26"/>
    <x v="0"/>
    <x v="50"/>
    <x v="56"/>
    <x v="75"/>
  </r>
  <r>
    <s v="(ML) Joe Machens Capital City I &amp; II (NO TOURS)8"/>
    <x v="4"/>
    <x v="6"/>
    <x v="1"/>
    <x v="1"/>
    <x v="17"/>
    <x v="1"/>
    <s v="https://tools.sig.systems/site/details/271"/>
    <m/>
    <x v="1"/>
    <x v="0"/>
    <x v="3"/>
    <x v="6"/>
    <x v="0"/>
    <x v="15"/>
    <x v="16"/>
    <x v="17"/>
  </r>
  <r>
    <s v="(ML) Nissan Of Benton8"/>
    <x v="4"/>
    <x v="6"/>
    <x v="1"/>
    <x v="1"/>
    <x v="80"/>
    <x v="1"/>
    <s v="https://tools.sig.systems/site/details/247"/>
    <m/>
    <x v="1"/>
    <x v="0"/>
    <x v="57"/>
    <x v="0"/>
    <x v="0"/>
    <x v="54"/>
    <x v="11"/>
    <x v="80"/>
  </r>
  <r>
    <s v="(PE) BMW Tenafly (NO TOURS)8"/>
    <x v="4"/>
    <x v="6"/>
    <x v="4"/>
    <x v="0"/>
    <x v="48"/>
    <x v="0"/>
    <s v="https://tools.sig.systems/site/details/155"/>
    <m/>
    <x v="1"/>
    <x v="0"/>
    <x v="36"/>
    <x v="18"/>
    <x v="0"/>
    <x v="6"/>
    <x v="19"/>
    <x v="48"/>
  </r>
  <r>
    <s v="(PE) Honda of Danbury (NO TOURS)8"/>
    <x v="4"/>
    <x v="6"/>
    <x v="4"/>
    <x v="0"/>
    <x v="49"/>
    <x v="0"/>
    <s v="https://tools.sig.systems/site/details/190"/>
    <m/>
    <x v="1"/>
    <x v="0"/>
    <x v="3"/>
    <x v="19"/>
    <x v="9"/>
    <x v="6"/>
    <x v="36"/>
    <x v="49"/>
  </r>
  <r>
    <s v="(RV) Toms Camperland Mesa (NO TOURS)8"/>
    <x v="4"/>
    <x v="6"/>
    <x v="5"/>
    <x v="3"/>
    <x v="25"/>
    <x v="4"/>
    <s v="https://tools.sig.systems/site/details/222"/>
    <m/>
    <x v="1"/>
    <x v="0"/>
    <x v="20"/>
    <x v="0"/>
    <x v="0"/>
    <x v="6"/>
    <x v="21"/>
    <x v="25"/>
  </r>
  <r>
    <s v="(AS) Coggin Honda Ft. Pierce (NO TOURS)8"/>
    <x v="4"/>
    <x v="7"/>
    <x v="0"/>
    <x v="0"/>
    <x v="0"/>
    <x v="0"/>
    <s v="https://tools.sig.systems/site/details/120"/>
    <s v="https://www.google.com/maps/d/viewer?mid=1AyViBuyeq7iwDua1SVudJ2A1BYi3IBA&amp;ll=27.38181516363982%2C-80.32568845000002&amp;z=18"/>
    <x v="0"/>
    <x v="0"/>
    <x v="0"/>
    <x v="0"/>
    <x v="0"/>
    <x v="0"/>
    <x v="0"/>
    <x v="0"/>
  </r>
  <r>
    <s v="(AS) Lexus Grapevine I &amp; II (NO TOURS)8"/>
    <x v="4"/>
    <x v="7"/>
    <x v="1"/>
    <x v="1"/>
    <x v="29"/>
    <x v="1"/>
    <s v="https://tools.sig.systems/site/details/136"/>
    <m/>
    <x v="1"/>
    <x v="0"/>
    <x v="23"/>
    <x v="0"/>
    <x v="7"/>
    <x v="23"/>
    <x v="24"/>
    <x v="29"/>
  </r>
  <r>
    <s v="(AS) Lexus Plano I &amp; II (NO TOURS)8"/>
    <x v="4"/>
    <x v="7"/>
    <x v="1"/>
    <x v="1"/>
    <x v="1"/>
    <x v="1"/>
    <s v="https://tools.sig.systems/site/details/167"/>
    <s v="https://www.google.com/maps/d/viewer?mid=1wg5suxVuxeNp_irHlvN772HcwD6W89E&amp;ll=33.06373951220261%2C-96.82758025000001&amp;z=18"/>
    <x v="1"/>
    <x v="0"/>
    <x v="1"/>
    <x v="0"/>
    <x v="1"/>
    <x v="1"/>
    <x v="1"/>
    <x v="1"/>
  </r>
  <r>
    <s v="(AS) Park Place JLR DFW Airport (NO TOURS)8"/>
    <x v="4"/>
    <x v="7"/>
    <x v="1"/>
    <x v="1"/>
    <x v="93"/>
    <x v="1"/>
    <s v="https://tools.sig.systems/site/details/135"/>
    <m/>
    <x v="1"/>
    <x v="0"/>
    <x v="67"/>
    <x v="33"/>
    <x v="13"/>
    <x v="63"/>
    <x v="65"/>
    <x v="93"/>
  </r>
  <r>
    <s v="(DT) N. Houston8"/>
    <x v="4"/>
    <x v="7"/>
    <x v="1"/>
    <x v="1"/>
    <x v="9"/>
    <x v="1"/>
    <s v="https://tools.sig.systems/site/details/250"/>
    <m/>
    <x v="1"/>
    <x v="0"/>
    <x v="8"/>
    <x v="0"/>
    <x v="0"/>
    <x v="8"/>
    <x v="9"/>
    <x v="9"/>
  </r>
  <r>
    <s v="(HUD) Honda Greensboro8"/>
    <x v="4"/>
    <x v="7"/>
    <x v="0"/>
    <x v="0"/>
    <x v="37"/>
    <x v="0"/>
    <s v="https://tools.sig.systems/site/details/230"/>
    <s v="AS/ HUD - Crown Greensboro - Google My Maps"/>
    <x v="1"/>
    <x v="0"/>
    <x v="28"/>
    <x v="0"/>
    <x v="0"/>
    <x v="28"/>
    <x v="31"/>
    <x v="37"/>
  </r>
  <r>
    <s v="(HUD) Honda of Southpoint8"/>
    <x v="4"/>
    <x v="7"/>
    <x v="0"/>
    <x v="0"/>
    <x v="11"/>
    <x v="0"/>
    <s v="https://tools.sig.systems/site/details/195"/>
    <m/>
    <x v="0"/>
    <x v="0"/>
    <x v="10"/>
    <x v="4"/>
    <x v="0"/>
    <x v="10"/>
    <x v="11"/>
    <x v="11"/>
  </r>
  <r>
    <s v="(ML) Ford Lincoln of North Little Rock8"/>
    <x v="4"/>
    <x v="7"/>
    <x v="1"/>
    <x v="1"/>
    <x v="42"/>
    <x v="1"/>
    <s v="https://tools.sig.systems/site/details/214"/>
    <s v="https://www.google.com/maps/d/edit?mid=1Oky35ERk_2kgyzCvDu_odQ2ZP62BtqA&amp;usp=sharing"/>
    <x v="1"/>
    <x v="0"/>
    <x v="32"/>
    <x v="4"/>
    <x v="0"/>
    <x v="32"/>
    <x v="34"/>
    <x v="42"/>
  </r>
  <r>
    <s v="(ML) Honda of Little Rock8"/>
    <x v="4"/>
    <x v="7"/>
    <x v="1"/>
    <x v="1"/>
    <x v="16"/>
    <x v="1"/>
    <s v="https://tools.sig.systems/site/details/249"/>
    <s v="https://www.google.com/maps/d/viewer?mid=1hvbKFMO-d5TXrKGU-g5dt_xcdArB1D0&amp;ll=34.71147784120261%2C-92.40574350000001&amp;z=17"/>
    <x v="1"/>
    <x v="0"/>
    <x v="15"/>
    <x v="0"/>
    <x v="0"/>
    <x v="14"/>
    <x v="15"/>
    <x v="16"/>
  </r>
  <r>
    <s v="(ML) Nissan of Little Rock8"/>
    <x v="4"/>
    <x v="7"/>
    <x v="1"/>
    <x v="1"/>
    <x v="46"/>
    <x v="1"/>
    <s v="https://tools.sig.systems/site/details/224"/>
    <s v="https://www.google.com/maps/d/viewer?mid=1hvbKFMO-d5TXrKGU-g5dt_xcdArB1D0&amp;ll=34.71147784120261%2C-92.40574350000001&amp;z=17"/>
    <x v="1"/>
    <x v="0"/>
    <x v="34"/>
    <x v="0"/>
    <x v="0"/>
    <x v="34"/>
    <x v="7"/>
    <x v="46"/>
  </r>
  <r>
    <s v="(ML) Nissan of North Little Rock8"/>
    <x v="4"/>
    <x v="7"/>
    <x v="1"/>
    <x v="1"/>
    <x v="20"/>
    <x v="1"/>
    <s v="https://tools.sig.systems/site/details/216"/>
    <s v="https://www.google.com/maps/d/edit?mid=1Oky35ERk_2kgyzCvDu_odQ2ZP62BtqA&amp;usp=sharing"/>
    <x v="1"/>
    <x v="0"/>
    <x v="16"/>
    <x v="0"/>
    <x v="0"/>
    <x v="18"/>
    <x v="17"/>
    <x v="20"/>
  </r>
  <r>
    <s v="(PE) Fairfield Collision (NO TOURS)8"/>
    <x v="4"/>
    <x v="7"/>
    <x v="4"/>
    <x v="0"/>
    <x v="22"/>
    <x v="0"/>
    <s v="https://tools.sig.systems/site/details/191"/>
    <m/>
    <x v="1"/>
    <x v="0"/>
    <x v="18"/>
    <x v="0"/>
    <x v="0"/>
    <x v="6"/>
    <x v="18"/>
    <x v="22"/>
  </r>
  <r>
    <s v="(RV) Toms Camperland Avondale (NO TOURS)8"/>
    <x v="4"/>
    <x v="7"/>
    <x v="5"/>
    <x v="3"/>
    <x v="24"/>
    <x v="4"/>
    <s v="https://tools.sig.systems/site/details/248"/>
    <s v="https://www.google.com/maps/d/viewer?mid=1bDs0QGFZwL3vEeGKxjVMk_j4azr0-lg&amp;ll=33.4593758581648%2C-112.28793780000001&amp;z=18"/>
    <x v="2"/>
    <x v="0"/>
    <x v="19"/>
    <x v="10"/>
    <x v="0"/>
    <x v="6"/>
    <x v="20"/>
    <x v="24"/>
  </r>
  <r>
    <s v="(AS) David McDavid Lincoln Frisco (NO TOURS)9"/>
    <x v="5"/>
    <x v="0"/>
    <x v="1"/>
    <x v="1"/>
    <x v="58"/>
    <x v="1"/>
    <s v="https://tools.sig.systems/site/details/182"/>
    <m/>
    <x v="1"/>
    <x v="0"/>
    <x v="43"/>
    <x v="0"/>
    <x v="0"/>
    <x v="39"/>
    <x v="44"/>
    <x v="58"/>
  </r>
  <r>
    <s v="(AS) Lexus Grapevine I &amp; II (NO TOURS)9"/>
    <x v="5"/>
    <x v="0"/>
    <x v="1"/>
    <x v="1"/>
    <x v="29"/>
    <x v="1"/>
    <s v="https://tools.sig.systems/site/details/136"/>
    <m/>
    <x v="1"/>
    <x v="0"/>
    <x v="23"/>
    <x v="0"/>
    <x v="7"/>
    <x v="23"/>
    <x v="24"/>
    <x v="29"/>
  </r>
  <r>
    <s v="(DT) Louisville9"/>
    <x v="5"/>
    <x v="0"/>
    <x v="0"/>
    <x v="0"/>
    <x v="67"/>
    <x v="0"/>
    <s v="https://tools.sig.systems/site/details/258"/>
    <m/>
    <x v="1"/>
    <x v="0"/>
    <x v="3"/>
    <x v="16"/>
    <x v="0"/>
    <x v="6"/>
    <x v="50"/>
    <x v="67"/>
  </r>
  <r>
    <s v="(DT) N. Houston9"/>
    <x v="5"/>
    <x v="0"/>
    <x v="1"/>
    <x v="1"/>
    <x v="9"/>
    <x v="1"/>
    <s v="https://tools.sig.systems/site/details/250"/>
    <m/>
    <x v="1"/>
    <x v="0"/>
    <x v="8"/>
    <x v="0"/>
    <x v="0"/>
    <x v="8"/>
    <x v="9"/>
    <x v="9"/>
  </r>
  <r>
    <s v="(HUD) Acura of Greensboro9"/>
    <x v="5"/>
    <x v="0"/>
    <x v="0"/>
    <x v="0"/>
    <x v="99"/>
    <x v="0"/>
    <s v="https://tools.sig.systems/site/details/213"/>
    <s v="https://www.google.com/maps/d/viewer?mid=1ejOzT7-x6RWnCf83BBP7XhiOiwEX3Wk&amp;ll=0%2C0&amp;z=17"/>
    <x v="1"/>
    <x v="0"/>
    <x v="69"/>
    <x v="0"/>
    <x v="0"/>
    <x v="67"/>
    <x v="71"/>
    <x v="98"/>
  </r>
  <r>
    <s v="(KG) Hyundai Surprise9"/>
    <x v="5"/>
    <x v="0"/>
    <x v="5"/>
    <x v="3"/>
    <x v="103"/>
    <x v="4"/>
    <s v="https://tools.sig.systems/site/details/269"/>
    <m/>
    <x v="4"/>
    <x v="0"/>
    <x v="73"/>
    <x v="0"/>
    <x v="0"/>
    <x v="71"/>
    <x v="11"/>
    <x v="102"/>
  </r>
  <r>
    <s v="(KG) Truck Center Remote Storage Lot9"/>
    <x v="5"/>
    <x v="0"/>
    <x v="2"/>
    <x v="2"/>
    <x v="14"/>
    <x v="2"/>
    <s v="https://tools.sig.systems/site/details/144"/>
    <m/>
    <x v="1"/>
    <x v="0"/>
    <x v="13"/>
    <x v="5"/>
    <x v="0"/>
    <x v="12"/>
    <x v="14"/>
    <x v="14"/>
  </r>
  <r>
    <s v="(ML) Joe Machens Capital City I &amp; II (NO TOURS)9"/>
    <x v="5"/>
    <x v="0"/>
    <x v="1"/>
    <x v="1"/>
    <x v="17"/>
    <x v="1"/>
    <s v="https://tools.sig.systems/site/details/271"/>
    <m/>
    <x v="1"/>
    <x v="0"/>
    <x v="3"/>
    <x v="6"/>
    <x v="0"/>
    <x v="15"/>
    <x v="16"/>
    <x v="17"/>
  </r>
  <r>
    <s v="(ML) Joe Machens CDJR9"/>
    <x v="5"/>
    <x v="0"/>
    <x v="1"/>
    <x v="1"/>
    <x v="43"/>
    <x v="1"/>
    <s v="https://tools.sig.systems/site/details/273"/>
    <s v="https://www.google.com/maps/d/viewer?hl=es&amp;mid=1C1oZdjH3dNvCvqdpIv_Lk0Yn1OCVn-4&amp;ll=38.965368114274455%2C-92.3405954&amp;z=15"/>
    <x v="1"/>
    <x v="0"/>
    <x v="3"/>
    <x v="16"/>
    <x v="0"/>
    <x v="6"/>
    <x v="35"/>
    <x v="43"/>
  </r>
  <r>
    <s v="(ML) Toyota N Little Rock9"/>
    <x v="5"/>
    <x v="0"/>
    <x v="1"/>
    <x v="1"/>
    <x v="21"/>
    <x v="1"/>
    <s v="https://tools.sig.systems/site/details/201"/>
    <s v="https://www.google.com/maps/d/edit?mid=1Oky35ERk_2kgyzCvDu_odQ2ZP62BtqA&amp;usp=sharing"/>
    <x v="1"/>
    <x v="0"/>
    <x v="17"/>
    <x v="0"/>
    <x v="0"/>
    <x v="19"/>
    <x v="11"/>
    <x v="21"/>
  </r>
  <r>
    <s v="(RML) Burleson Nissan9"/>
    <x v="5"/>
    <x v="0"/>
    <x v="1"/>
    <x v="1"/>
    <x v="82"/>
    <x v="1"/>
    <s v="https://tools.sig.systems/site/details/202"/>
    <m/>
    <x v="1"/>
    <x v="0"/>
    <x v="58"/>
    <x v="0"/>
    <x v="0"/>
    <x v="56"/>
    <x v="11"/>
    <x v="82"/>
  </r>
  <r>
    <s v="(WAG) Greeley Chrysler Dodge Jeep Ram (NO TOURS)9"/>
    <x v="5"/>
    <x v="0"/>
    <x v="3"/>
    <x v="2"/>
    <x v="115"/>
    <x v="3"/>
    <s v="https://tools.sig.systems/site/details/130"/>
    <s v="https://www.google.com/maps/d/viewer?mid=1gN2lJ0iT7m5VNhD7aDcxE8AdXqtcOZc&amp;ll=40.396096737592195%2C-104.746842&amp;z=16"/>
    <x v="1"/>
    <x v="0"/>
    <x v="77"/>
    <x v="42"/>
    <x v="0"/>
    <x v="77"/>
    <x v="85"/>
    <x v="114"/>
  </r>
  <r>
    <s v="(AS) Atwell Prep Center-Dallas (NO TOURS)9"/>
    <x v="5"/>
    <x v="1"/>
    <x v="1"/>
    <x v="1"/>
    <x v="86"/>
    <x v="1"/>
    <s v="https://tools.sig.systems/site/details/165"/>
    <s v="https://www.google.com/maps/d/edit?hl=es&amp;mid=1uPmsRMsXnp74hPFW2t-sp2totVWF_xY&amp;ll=32.83050137713022%2C-96.83197783061323&amp;z=17"/>
    <x v="1"/>
    <x v="0"/>
    <x v="61"/>
    <x v="0"/>
    <x v="0"/>
    <x v="6"/>
    <x v="28"/>
    <x v="86"/>
  </r>
  <r>
    <s v="(AS) Mike Shaw Subaru Greeley (NO TOURS)9"/>
    <x v="5"/>
    <x v="1"/>
    <x v="3"/>
    <x v="2"/>
    <x v="91"/>
    <x v="3"/>
    <s v="https://tools.sig.systems/site/details/174"/>
    <s v="https://www.google.com/maps/d/viewer?mid=1gN2lJ0iT7m5VNhD7aDcxE8AdXqtcOZc&amp;ll=40.396096737592195%2C-104.746842&amp;z=16"/>
    <x v="1"/>
    <x v="0"/>
    <x v="65"/>
    <x v="32"/>
    <x v="0"/>
    <x v="61"/>
    <x v="11"/>
    <x v="91"/>
  </r>
  <r>
    <s v="(AS) Plaza Lexus/Mercedes/BMW (NO TOURS)9"/>
    <x v="5"/>
    <x v="1"/>
    <x v="1"/>
    <x v="1"/>
    <x v="63"/>
    <x v="1"/>
    <s v="https://tools.sig.systems/site/details/141"/>
    <s v="https://www.google.com/maps/d/viewer?mid=1whGZ1PLqmhJnGFz8uigZqUL4cHGGW3w&amp;ll=38.668847686454825%2C-90.4433601&amp;z=17"/>
    <x v="1"/>
    <x v="0"/>
    <x v="48"/>
    <x v="23"/>
    <x v="0"/>
    <x v="43"/>
    <x v="47"/>
    <x v="63"/>
  </r>
  <r>
    <s v="(AS) Stevinson Chevrolet Golden (NO TOURS)9"/>
    <x v="5"/>
    <x v="1"/>
    <x v="7"/>
    <x v="2"/>
    <x v="96"/>
    <x v="3"/>
    <s v="https://tools.sig.systems/site/details/264"/>
    <s v="https://www.google.com/maps/d/edit?mid=1nAyK85WaWREy0lfxnmWn3USs2gC0nP0&amp;usp=sharing"/>
    <x v="1"/>
    <x v="0"/>
    <x v="3"/>
    <x v="36"/>
    <x v="0"/>
    <x v="66"/>
    <x v="68"/>
    <x v="95"/>
  </r>
  <r>
    <s v="(DT) Escondido9"/>
    <x v="5"/>
    <x v="1"/>
    <x v="5"/>
    <x v="4"/>
    <x v="98"/>
    <x v="5"/>
    <s v="https://tools.sig.systems/site/details/196"/>
    <m/>
    <x v="1"/>
    <x v="4"/>
    <x v="20"/>
    <x v="0"/>
    <x v="0"/>
    <x v="6"/>
    <x v="70"/>
    <x v="97"/>
  </r>
  <r>
    <s v="(DT) W Houston9"/>
    <x v="5"/>
    <x v="1"/>
    <x v="1"/>
    <x v="1"/>
    <x v="10"/>
    <x v="1"/>
    <s v="https://tools.sig.systems/site/details/197"/>
    <m/>
    <x v="1"/>
    <x v="0"/>
    <x v="9"/>
    <x v="2"/>
    <x v="0"/>
    <x v="9"/>
    <x v="10"/>
    <x v="10"/>
  </r>
  <r>
    <s v="(HUD) BMW of Greensboro9"/>
    <x v="5"/>
    <x v="1"/>
    <x v="0"/>
    <x v="0"/>
    <x v="100"/>
    <x v="0"/>
    <s v="https://tools.sig.systems/site/details/219"/>
    <s v="https://www.google.com/maps/d/viewer?mid=1ejOzT7-x6RWnCf83BBP7XhiOiwEX3Wk&amp;ll=36.061264791292906%2C-79.87437695000003&amp;z=17"/>
    <x v="1"/>
    <x v="0"/>
    <x v="70"/>
    <x v="0"/>
    <x v="0"/>
    <x v="68"/>
    <x v="72"/>
    <x v="99"/>
  </r>
  <r>
    <s v="(KG) Kia of Phoenix (NO TOURS)9"/>
    <x v="5"/>
    <x v="1"/>
    <x v="5"/>
    <x v="3"/>
    <x v="40"/>
    <x v="4"/>
    <s v="https://tools.sig.systems/site/details/262"/>
    <m/>
    <x v="4"/>
    <x v="0"/>
    <x v="30"/>
    <x v="0"/>
    <x v="0"/>
    <x v="30"/>
    <x v="11"/>
    <x v="40"/>
  </r>
  <r>
    <s v="(ML) Honda of Little Rock9"/>
    <x v="5"/>
    <x v="1"/>
    <x v="1"/>
    <x v="1"/>
    <x v="16"/>
    <x v="1"/>
    <s v="https://tools.sig.systems/site/details/249"/>
    <s v="https://www.google.com/maps/d/viewer?mid=1hvbKFMO-d5TXrKGU-g5dt_xcdArB1D0&amp;ll=34.71147784120261%2C-92.40574350000001&amp;z=17"/>
    <x v="1"/>
    <x v="0"/>
    <x v="15"/>
    <x v="0"/>
    <x v="0"/>
    <x v="14"/>
    <x v="15"/>
    <x v="16"/>
  </r>
  <r>
    <s v="(ML) Joe Machens E Collision Center9"/>
    <x v="5"/>
    <x v="1"/>
    <x v="1"/>
    <x v="1"/>
    <x v="76"/>
    <x v="1"/>
    <s v="https://tools.sig.systems/site/details/277"/>
    <s v="https://www.google.com/maps/d/viewer?hl=es&amp;mid=1C1oZdjH3dNvCvqdpIv_Lk0Yn1OCVn-4&amp;ll=38.965368114274455%2C-92.3405954&amp;z=15"/>
    <x v="1"/>
    <x v="0"/>
    <x v="6"/>
    <x v="0"/>
    <x v="0"/>
    <x v="51"/>
    <x v="57"/>
    <x v="76"/>
  </r>
  <r>
    <s v="(ML) Volvo Collision Corp9"/>
    <x v="5"/>
    <x v="1"/>
    <x v="1"/>
    <x v="1"/>
    <x v="47"/>
    <x v="1"/>
    <s v="https://tools.sig.systems/site/details/223"/>
    <m/>
    <x v="1"/>
    <x v="0"/>
    <x v="35"/>
    <x v="1"/>
    <x v="0"/>
    <x v="35"/>
    <x v="11"/>
    <x v="47"/>
  </r>
  <r>
    <s v="(PE) Mercedes Benz &amp; Smart Bldg. of Fairfield (NO TOURS)9"/>
    <x v="5"/>
    <x v="1"/>
    <x v="4"/>
    <x v="0"/>
    <x v="23"/>
    <x v="0"/>
    <s v="https://tools.sig.systems/site/details/192"/>
    <s v="https://www.google.com/maps/d/viewer?mid=1FEo41PzFJQjUIXXKitX5TNCtuqR6Vbs&amp;ll=41.1663376742533%2C-73.22955662049608&amp;z=16"/>
    <x v="1"/>
    <x v="0"/>
    <x v="3"/>
    <x v="9"/>
    <x v="0"/>
    <x v="20"/>
    <x v="19"/>
    <x v="23"/>
  </r>
  <r>
    <s v="(PE) Scofield Service Center (NO TOURS)9"/>
    <x v="5"/>
    <x v="1"/>
    <x v="4"/>
    <x v="0"/>
    <x v="113"/>
    <x v="0"/>
    <s v="https://tools.sig.systems/site/details/193"/>
    <s v="https://www.google.com/maps/d/viewer?mid=1FEo41PzFJQjUIXXKitX5TNCtuqR6Vbs&amp;ll=41.1663376742533%2C-73.22955662049608&amp;z=16"/>
    <x v="1"/>
    <x v="0"/>
    <x v="6"/>
    <x v="0"/>
    <x v="0"/>
    <x v="75"/>
    <x v="51"/>
    <x v="112"/>
  </r>
  <r>
    <s v="(SCH) Chevrolet North Palm9"/>
    <x v="5"/>
    <x v="1"/>
    <x v="0"/>
    <x v="0"/>
    <x v="52"/>
    <x v="0"/>
    <s v="https://tools.sig.systems/site/details/160"/>
    <m/>
    <x v="3"/>
    <x v="0"/>
    <x v="39"/>
    <x v="0"/>
    <x v="0"/>
    <x v="6"/>
    <x v="38"/>
    <x v="52"/>
  </r>
  <r>
    <s v="(AS) Audi of North Atlanta (NO TOURS)9"/>
    <x v="5"/>
    <x v="2"/>
    <x v="0"/>
    <x v="0"/>
    <x v="87"/>
    <x v="0"/>
    <s v="https://tools.sig.systems/site/details/124"/>
    <s v="https://www.google.com/maps/d/edit?mid=1jkN3DS1BhUqp_dztjjW0PDwKfo_Yxsw&amp;usp=sharing"/>
    <x v="1"/>
    <x v="0"/>
    <x v="62"/>
    <x v="0"/>
    <x v="0"/>
    <x v="57"/>
    <x v="61"/>
    <x v="87"/>
  </r>
  <r>
    <s v="(AS) Lexus Plano I &amp; II (NO TOURS)9"/>
    <x v="5"/>
    <x v="2"/>
    <x v="1"/>
    <x v="1"/>
    <x v="1"/>
    <x v="1"/>
    <s v="https://tools.sig.systems/site/details/167"/>
    <s v="https://www.google.com/maps/d/viewer?mid=1wg5suxVuxeNp_irHlvN772HcwD6W89E&amp;ll=33.06373951220261%2C-96.82758025000001&amp;z=18"/>
    <x v="1"/>
    <x v="0"/>
    <x v="1"/>
    <x v="0"/>
    <x v="1"/>
    <x v="1"/>
    <x v="1"/>
    <x v="1"/>
  </r>
  <r>
    <s v="(AS) Nalley Luxury Collision Center (NO TOURS)9"/>
    <x v="5"/>
    <x v="2"/>
    <x v="0"/>
    <x v="0"/>
    <x v="31"/>
    <x v="0"/>
    <s v="https://tools.sig.systems/site/details/263"/>
    <s v="https://www.google.com/maps/d/edit?mid=1jkN3DS1BhUqp_dztjjW0PDwKfo_Yxsw&amp;usp=sharing"/>
    <x v="1"/>
    <x v="0"/>
    <x v="4"/>
    <x v="0"/>
    <x v="0"/>
    <x v="6"/>
    <x v="26"/>
    <x v="31"/>
  </r>
  <r>
    <s v="(AS) Plaza Audi/Infiniti (NO TOURS)9"/>
    <x v="5"/>
    <x v="2"/>
    <x v="1"/>
    <x v="1"/>
    <x v="95"/>
    <x v="1"/>
    <s v="https://tools.sig.systems/site/details/141"/>
    <s v="https://www.google.com/maps/d/viewer?mid=1whGZ1PLqmhJnGFz8uigZqUL4cHGGW3w&amp;ll=38.668847686454825%2C-90.4433601&amp;z=17"/>
    <x v="1"/>
    <x v="0"/>
    <x v="68"/>
    <x v="35"/>
    <x v="0"/>
    <x v="65"/>
    <x v="67"/>
    <x v="63"/>
  </r>
  <r>
    <s v="(AS) Stevinson JLR (NO TOURS)9"/>
    <x v="5"/>
    <x v="2"/>
    <x v="3"/>
    <x v="2"/>
    <x v="64"/>
    <x v="3"/>
    <s v="https://tools.sig.systems/site/details/204"/>
    <m/>
    <x v="1"/>
    <x v="0"/>
    <x v="49"/>
    <x v="1"/>
    <x v="0"/>
    <x v="44"/>
    <x v="48"/>
    <x v="64"/>
  </r>
  <r>
    <s v="(DT) El Cajon (NO TOURS)9"/>
    <x v="5"/>
    <x v="2"/>
    <x v="5"/>
    <x v="4"/>
    <x v="66"/>
    <x v="4"/>
    <s v="https://tools.sig.systems/site/details/241"/>
    <m/>
    <x v="1"/>
    <x v="0"/>
    <x v="3"/>
    <x v="16"/>
    <x v="0"/>
    <x v="6"/>
    <x v="11"/>
    <x v="66"/>
  </r>
  <r>
    <s v="(HUD) CDJR of Greensboro9"/>
    <x v="5"/>
    <x v="2"/>
    <x v="0"/>
    <x v="0"/>
    <x v="68"/>
    <x v="0"/>
    <s v="https://tools.sig.systems/site/details/215"/>
    <s v="https://www.google.com/maps/d/viewer?mid=1ejOzT7-x6RWnCf83BBP7XhiOiwEX3Wk&amp;ll=36.061264791292906%2C-79.87437695000003&amp;z=17"/>
    <x v="3"/>
    <x v="0"/>
    <x v="50"/>
    <x v="0"/>
    <x v="0"/>
    <x v="45"/>
    <x v="51"/>
    <x v="68"/>
  </r>
  <r>
    <s v="(ML) Ford Lincoln of North Little Rock9"/>
    <x v="5"/>
    <x v="2"/>
    <x v="1"/>
    <x v="1"/>
    <x v="42"/>
    <x v="1"/>
    <s v="https://tools.sig.systems/site/details/214"/>
    <s v="https://www.google.com/maps/d/edit?mid=1Oky35ERk_2kgyzCvDu_odQ2ZP62BtqA&amp;usp=sharing"/>
    <x v="1"/>
    <x v="0"/>
    <x v="32"/>
    <x v="4"/>
    <x v="0"/>
    <x v="32"/>
    <x v="34"/>
    <x v="42"/>
  </r>
  <r>
    <s v="(ML) Joe Machens Ford Lincoln I &amp; II9"/>
    <x v="5"/>
    <x v="2"/>
    <x v="1"/>
    <x v="1"/>
    <x v="77"/>
    <x v="1"/>
    <s v="https://tools.sig.systems/site/details/266"/>
    <s v="https://www.google.com/maps/d/viewer?hl=es&amp;mid=1C1oZdjH3dNvCvqdpIv_Lk0Yn1OCVn-4&amp;ll=38.965368114274455%2C-92.3405954&amp;z=15"/>
    <x v="1"/>
    <x v="0"/>
    <x v="3"/>
    <x v="27"/>
    <x v="0"/>
    <x v="52"/>
    <x v="11"/>
    <x v="77"/>
  </r>
  <r>
    <s v="(PE) JLR PDI (NO TOURS)9"/>
    <x v="5"/>
    <x v="2"/>
    <x v="4"/>
    <x v="0"/>
    <x v="50"/>
    <x v="0"/>
    <s v="https://tools.sig.systems/site/details/179"/>
    <s v="https://www.google.com/maps/d/viewer?mid=1ubI2iKs1JyYXssuT4oLPnVvFnyLPi_s&amp;ll=40.878808846788026%2C-73.98560655&amp;z=17"/>
    <x v="1"/>
    <x v="0"/>
    <x v="37"/>
    <x v="0"/>
    <x v="0"/>
    <x v="6"/>
    <x v="11"/>
    <x v="50"/>
  </r>
  <r>
    <s v="(TC) Tavernier Creek Marina (NO TOURS)9"/>
    <x v="5"/>
    <x v="2"/>
    <x v="0"/>
    <x v="0"/>
    <x v="84"/>
    <x v="1"/>
    <s v="https://tools.sig.systems/site/details/164"/>
    <m/>
    <x v="6"/>
    <x v="0"/>
    <x v="60"/>
    <x v="0"/>
    <x v="0"/>
    <x v="6"/>
    <x v="59"/>
    <x v="84"/>
  </r>
  <r>
    <s v="SIG Office9"/>
    <x v="5"/>
    <x v="2"/>
    <x v="2"/>
    <x v="0"/>
    <x v="85"/>
    <x v="2"/>
    <s v="https://tools.sig.systems/site/details/163"/>
    <m/>
    <x v="1"/>
    <x v="0"/>
    <x v="3"/>
    <x v="0"/>
    <x v="0"/>
    <x v="6"/>
    <x v="60"/>
    <x v="85"/>
  </r>
  <r>
    <s v="(AS) Bill Estes Ford (NO TOURS)9"/>
    <x v="5"/>
    <x v="3"/>
    <x v="0"/>
    <x v="0"/>
    <x v="55"/>
    <x v="0"/>
    <s v="https://tools.sig.systems/site/details/125"/>
    <m/>
    <x v="1"/>
    <x v="0"/>
    <x v="3"/>
    <x v="21"/>
    <x v="0"/>
    <x v="36"/>
    <x v="41"/>
    <x v="55"/>
  </r>
  <r>
    <s v="(AS) Mercedes Benz/Porsche Dallas I,II,III (NO TOURS)9"/>
    <x v="5"/>
    <x v="3"/>
    <x v="1"/>
    <x v="1"/>
    <x v="2"/>
    <x v="1"/>
    <s v="https://tools.sig.systems/site/details/168"/>
    <s v="https://www.google.com/maps/d/edit?hl=es&amp;mid=1uPmsRMsXnp74hPFW2t-sp2totVWF_xY&amp;ll=32.83050137713022%2C-96.83197783061323&amp;z=17"/>
    <x v="1"/>
    <x v="0"/>
    <x v="2"/>
    <x v="0"/>
    <x v="2"/>
    <x v="2"/>
    <x v="2"/>
    <x v="2"/>
  </r>
  <r>
    <s v="(AS) Nalley Lexus &amp; Remote Lot Roswell (NO TOURS)9"/>
    <x v="5"/>
    <x v="3"/>
    <x v="2"/>
    <x v="0"/>
    <x v="4"/>
    <x v="2"/>
    <s v="https://tools.sig.systems/site/details/131"/>
    <s v="https://www.google.com/maps/d/edit?mid=1jkN3DS1BhUqp_dztjjW0PDwKfo_Yxsw&amp;usp=sharing"/>
    <x v="1"/>
    <x v="1"/>
    <x v="4"/>
    <x v="1"/>
    <x v="3"/>
    <x v="4"/>
    <x v="4"/>
    <x v="4"/>
  </r>
  <r>
    <s v="(AS) Plano Auction (NO SPEAKERS)9"/>
    <x v="5"/>
    <x v="3"/>
    <x v="1"/>
    <x v="1"/>
    <x v="94"/>
    <x v="1"/>
    <s v="https://tools.sig.systems/site/details/140"/>
    <m/>
    <x v="1"/>
    <x v="0"/>
    <x v="3"/>
    <x v="34"/>
    <x v="0"/>
    <x v="64"/>
    <x v="66"/>
    <x v="94"/>
  </r>
  <r>
    <s v="(AS) Stevinson Lexus of Lakewood (NO TOURS)9"/>
    <x v="5"/>
    <x v="3"/>
    <x v="3"/>
    <x v="2"/>
    <x v="34"/>
    <x v="3"/>
    <s v="https://tools.sig.systems/site/details/260"/>
    <s v="https://www.google.com/maps/d/edit?mid=1nAyK85WaWREy0lfxnmWn3USs2gC0nP0&amp;usp=sharing"/>
    <x v="1"/>
    <x v="0"/>
    <x v="3"/>
    <x v="14"/>
    <x v="8"/>
    <x v="6"/>
    <x v="28"/>
    <x v="34"/>
  </r>
  <r>
    <s v="(HUD) Honda Greensboro9"/>
    <x v="5"/>
    <x v="3"/>
    <x v="0"/>
    <x v="0"/>
    <x v="37"/>
    <x v="0"/>
    <s v="https://tools.sig.systems/site/details/230"/>
    <s v="https://www.google.com/maps/d/viewer?mid=1ejOzT7-x6RWnCf83BBP7XhiOiwEX3Wk&amp;ll=36.061264791292906%2C-79.87437695000003&amp;z=17"/>
    <x v="1"/>
    <x v="0"/>
    <x v="28"/>
    <x v="0"/>
    <x v="0"/>
    <x v="28"/>
    <x v="31"/>
    <x v="37"/>
  </r>
  <r>
    <s v="(KG) Baytown GMC Buick - Remote Lot (NO TOURS)9"/>
    <x v="5"/>
    <x v="3"/>
    <x v="2"/>
    <x v="1"/>
    <x v="70"/>
    <x v="2"/>
    <s v="https://tools.sig.systems/site/details/311"/>
    <m/>
    <x v="1"/>
    <x v="3"/>
    <x v="3"/>
    <x v="25"/>
    <x v="0"/>
    <x v="6"/>
    <x v="11"/>
    <x v="70"/>
  </r>
  <r>
    <s v="(KG) Baytown GMC Buick (NO TOURS)9"/>
    <x v="5"/>
    <x v="3"/>
    <x v="1"/>
    <x v="1"/>
    <x v="71"/>
    <x v="1"/>
    <s v="https://tools.sig.systems/site/details/239"/>
    <m/>
    <x v="1"/>
    <x v="0"/>
    <x v="52"/>
    <x v="0"/>
    <x v="0"/>
    <x v="47"/>
    <x v="53"/>
    <x v="71"/>
  </r>
  <r>
    <s v="(ML) Columbia Honda (NO TOURS)9"/>
    <x v="5"/>
    <x v="3"/>
    <x v="1"/>
    <x v="1"/>
    <x v="75"/>
    <x v="1"/>
    <s v="https://tools.sig.systems/site/details/272"/>
    <s v="https://www.google.com/maps/d/viewer?hl=es&amp;mid=1C1oZdjH3dNvCvqdpIv_Lk0Yn1OCVn-4&amp;ll=38.965368114274426%2C-92.3405954&amp;z=15"/>
    <x v="1"/>
    <x v="0"/>
    <x v="3"/>
    <x v="26"/>
    <x v="0"/>
    <x v="50"/>
    <x v="56"/>
    <x v="75"/>
  </r>
  <r>
    <s v="(ML) Joe Machens Kia of Columbia9"/>
    <x v="5"/>
    <x v="3"/>
    <x v="1"/>
    <x v="1"/>
    <x v="107"/>
    <x v="1"/>
    <s v="https://tools.sig.systems/site/details/270"/>
    <s v="https://www.google.com/maps/d/viewer?hl=es&amp;mid=1C1oZdjH3dNvCvqdpIv_Lk0Yn1OCVn-4&amp;ll=38.965368114274455%2C-92.3405954&amp;z=15"/>
    <x v="1"/>
    <x v="0"/>
    <x v="3"/>
    <x v="39"/>
    <x v="0"/>
    <x v="6"/>
    <x v="78"/>
    <x v="106"/>
  </r>
  <r>
    <s v="(ML) Nissan of North Little Rock9"/>
    <x v="5"/>
    <x v="3"/>
    <x v="1"/>
    <x v="1"/>
    <x v="20"/>
    <x v="1"/>
    <s v="https://tools.sig.systems/site/details/216"/>
    <s v="https://www.google.com/maps/d/edit?mid=1Oky35ERk_2kgyzCvDu_odQ2ZP62BtqA&amp;usp=sharing"/>
    <x v="1"/>
    <x v="0"/>
    <x v="16"/>
    <x v="0"/>
    <x v="0"/>
    <x v="18"/>
    <x v="17"/>
    <x v="20"/>
  </r>
  <r>
    <s v="(PE) BMW of Greenwich (NO TOURS)9"/>
    <x v="5"/>
    <x v="3"/>
    <x v="4"/>
    <x v="0"/>
    <x v="110"/>
    <x v="0"/>
    <s v="https://tools.sig.systems/site/details/186"/>
    <s v="https://www.google.com/maps/d/edit?hl=en&amp;mid=1UHmt7tH1ihTa85i0MfQIcTfVvIQg_vM&amp;ll=41.024187580466844%2C-73.63702405370861&amp;z=18"/>
    <x v="1"/>
    <x v="0"/>
    <x v="75"/>
    <x v="0"/>
    <x v="0"/>
    <x v="6"/>
    <x v="81"/>
    <x v="109"/>
  </r>
  <r>
    <s v="(RV) Toms Camperland Surprise (NO TOURS)9"/>
    <x v="5"/>
    <x v="3"/>
    <x v="5"/>
    <x v="3"/>
    <x v="51"/>
    <x v="4"/>
    <s v="https://tools.sig.systems/site/details/254"/>
    <m/>
    <x v="5"/>
    <x v="0"/>
    <x v="38"/>
    <x v="0"/>
    <x v="0"/>
    <x v="6"/>
    <x v="37"/>
    <x v="51"/>
  </r>
  <r>
    <s v="(AS) Coggin Acura Ft Pierce (NO TOURS)9"/>
    <x v="5"/>
    <x v="4"/>
    <x v="0"/>
    <x v="0"/>
    <x v="27"/>
    <x v="0"/>
    <s v="https://tools.sig.systems/site/details/118"/>
    <s v="https://www.google.com/maps/d/viewer?mid=1AyViBuyeq7iwDua1SVudJ2A1BYi3IBA&amp;ll=27.38181516363982%2C-80.32568845000002&amp;z=18"/>
    <x v="1"/>
    <x v="0"/>
    <x v="3"/>
    <x v="12"/>
    <x v="0"/>
    <x v="21"/>
    <x v="19"/>
    <x v="27"/>
  </r>
  <r>
    <s v="(AS) Park Place Acura (NO TOURS)9"/>
    <x v="5"/>
    <x v="4"/>
    <x v="1"/>
    <x v="1"/>
    <x v="32"/>
    <x v="1"/>
    <s v="https://tools.sig.systems/site/details/259"/>
    <s v="https://www.google.com/maps/d/viewer?mid=1wg5suxVuxeNp_irHlvN772HcwD6W89E&amp;ll=33.06373951220261%2C-96.82758025000001&amp;z=18"/>
    <x v="1"/>
    <x v="0"/>
    <x v="25"/>
    <x v="0"/>
    <x v="0"/>
    <x v="25"/>
    <x v="11"/>
    <x v="32"/>
  </r>
  <r>
    <s v="(AS) Park Place Volvo Service Center (NO TOURS)9"/>
    <x v="5"/>
    <x v="4"/>
    <x v="1"/>
    <x v="1"/>
    <x v="62"/>
    <x v="1"/>
    <s v="https://tools.sig.systems/site/details/171"/>
    <s v="https://www.google.com/maps/d/edit?hl=es&amp;mid=1uPmsRMsXnp74hPFW2t-sp2totVWF_xY&amp;ll=32.83050137713022%2C-96.83197783061323&amp;z=17"/>
    <x v="1"/>
    <x v="0"/>
    <x v="47"/>
    <x v="0"/>
    <x v="0"/>
    <x v="42"/>
    <x v="11"/>
    <x v="62"/>
  </r>
  <r>
    <s v="(AS) Stevinson Porsche of Littleton (NO TOURS)9"/>
    <x v="5"/>
    <x v="4"/>
    <x v="3"/>
    <x v="2"/>
    <x v="7"/>
    <x v="3"/>
    <s v="https://tools.sig.systems/site/details/242"/>
    <m/>
    <x v="1"/>
    <x v="0"/>
    <x v="7"/>
    <x v="2"/>
    <x v="0"/>
    <x v="6"/>
    <x v="7"/>
    <x v="7"/>
  </r>
  <r>
    <s v="(HUD) Honda of Southpoint9"/>
    <x v="5"/>
    <x v="4"/>
    <x v="0"/>
    <x v="0"/>
    <x v="11"/>
    <x v="0"/>
    <s v="https://tools.sig.systems/site/details/195"/>
    <m/>
    <x v="0"/>
    <x v="0"/>
    <x v="10"/>
    <x v="4"/>
    <x v="0"/>
    <x v="10"/>
    <x v="11"/>
    <x v="11"/>
  </r>
  <r>
    <s v="(KG) Big Star CDJR of Clear Lake9"/>
    <x v="5"/>
    <x v="4"/>
    <x v="1"/>
    <x v="1"/>
    <x v="101"/>
    <x v="1"/>
    <s v="https://tools.sig.systems/site/details/232"/>
    <s v="https://www.google.com/maps/d/edit?mid=1DRwy5fy1g5UzGTA7a1OkQA-_CY8SQ2s&amp;usp=sharing"/>
    <x v="1"/>
    <x v="0"/>
    <x v="71"/>
    <x v="0"/>
    <x v="0"/>
    <x v="69"/>
    <x v="73"/>
    <x v="100"/>
  </r>
  <r>
    <s v="(ML) Joe Machens Nissan9"/>
    <x v="5"/>
    <x v="4"/>
    <x v="1"/>
    <x v="1"/>
    <x v="78"/>
    <x v="1"/>
    <s v="https://tools.sig.systems/site/details/279"/>
    <s v="https://www.google.com/maps/d/viewer?hl=es&amp;mid=1C1oZdjH3dNvCvqdpIv_Lk0Yn1OCVn-4&amp;ll=38.965368114274455%2C-92.3405954&amp;z=15"/>
    <x v="1"/>
    <x v="0"/>
    <x v="3"/>
    <x v="28"/>
    <x v="0"/>
    <x v="6"/>
    <x v="11"/>
    <x v="78"/>
  </r>
  <r>
    <s v="(ML) Nissan of Little Rock9"/>
    <x v="5"/>
    <x v="4"/>
    <x v="1"/>
    <x v="1"/>
    <x v="46"/>
    <x v="1"/>
    <s v="https://tools.sig.systems/site/details/224"/>
    <s v="https://www.google.com/maps/d/viewer?mid=1hvbKFMO-d5TXrKGU-g5dt_xcdArB1D0&amp;ll=34.71147784120261%2C-92.40574350000001&amp;z=17"/>
    <x v="1"/>
    <x v="0"/>
    <x v="34"/>
    <x v="0"/>
    <x v="0"/>
    <x v="34"/>
    <x v="7"/>
    <x v="46"/>
  </r>
  <r>
    <s v="(PE) BMW of Mamaroneck (NO TOURS)9"/>
    <x v="5"/>
    <x v="4"/>
    <x v="4"/>
    <x v="0"/>
    <x v="111"/>
    <x v="0"/>
    <s v="https://tools.sig.systems/site/details/185"/>
    <m/>
    <x v="1"/>
    <x v="0"/>
    <x v="76"/>
    <x v="41"/>
    <x v="0"/>
    <x v="6"/>
    <x v="82"/>
    <x v="110"/>
  </r>
  <r>
    <s v="(RV) Toms Camperland Mesa (NO TOURS)9"/>
    <x v="5"/>
    <x v="4"/>
    <x v="5"/>
    <x v="3"/>
    <x v="25"/>
    <x v="4"/>
    <s v="https://tools.sig.systems/site/details/222"/>
    <m/>
    <x v="1"/>
    <x v="0"/>
    <x v="20"/>
    <x v="0"/>
    <x v="0"/>
    <x v="6"/>
    <x v="21"/>
    <x v="25"/>
  </r>
  <r>
    <s v="(SCH) West Palm Beach I, II &amp; III9"/>
    <x v="5"/>
    <x v="4"/>
    <x v="6"/>
    <x v="0"/>
    <x v="54"/>
    <x v="0"/>
    <s v="https://tools.sig.systems/site/details/162"/>
    <m/>
    <x v="3"/>
    <x v="2"/>
    <x v="41"/>
    <x v="20"/>
    <x v="10"/>
    <x v="6"/>
    <x v="40"/>
    <x v="54"/>
  </r>
  <r>
    <s v="(AS) Lexus Smyrna (NO TOURS)9"/>
    <x v="5"/>
    <x v="5"/>
    <x v="0"/>
    <x v="0"/>
    <x v="30"/>
    <x v="0"/>
    <s v="https://tools.sig.systems/site/details/133"/>
    <m/>
    <x v="1"/>
    <x v="0"/>
    <x v="24"/>
    <x v="0"/>
    <x v="0"/>
    <x v="24"/>
    <x v="25"/>
    <x v="30"/>
  </r>
  <r>
    <s v="(AS) Nalley BMW Collision Center (NO TOURS)9"/>
    <x v="5"/>
    <x v="5"/>
    <x v="0"/>
    <x v="0"/>
    <x v="3"/>
    <x v="0"/>
    <s v="https://tools.sig.systems/site/details/220"/>
    <m/>
    <x v="1"/>
    <x v="0"/>
    <x v="3"/>
    <x v="1"/>
    <x v="0"/>
    <x v="3"/>
    <x v="3"/>
    <x v="3"/>
  </r>
  <r>
    <s v="(AS) Park Place Bodywerks Dallas (NO TOURS)9"/>
    <x v="5"/>
    <x v="5"/>
    <x v="1"/>
    <x v="1"/>
    <x v="59"/>
    <x v="1"/>
    <s v="https://tools.sig.systems/site/details/166"/>
    <s v="https://www.google.com/maps/d/edit?hl=es&amp;mid=1uPmsRMsXnp74hPFW2t-sp2totVWF_xY&amp;ll=32.83050137713022%2C-96.83197783061323&amp;z=17"/>
    <x v="1"/>
    <x v="0"/>
    <x v="44"/>
    <x v="9"/>
    <x v="0"/>
    <x v="6"/>
    <x v="45"/>
    <x v="59"/>
  </r>
  <r>
    <s v="(AS) Park Place Volvo Sales (NO TOURS)9"/>
    <x v="5"/>
    <x v="5"/>
    <x v="1"/>
    <x v="1"/>
    <x v="33"/>
    <x v="1"/>
    <s v="https://tools.sig.systems/site/details/139"/>
    <s v="https://www.google.com/maps/d/edit?hl=es&amp;mid=1uPmsRMsXnp74hPFW2t-sp2totVWF_xY&amp;ll=32.83050137713022%2C-96.83197783061323&amp;z=17"/>
    <x v="1"/>
    <x v="0"/>
    <x v="26"/>
    <x v="0"/>
    <x v="0"/>
    <x v="26"/>
    <x v="27"/>
    <x v="33"/>
  </r>
  <r>
    <s v="(AS) Stevinson Toyota West (NO TOURS)9"/>
    <x v="5"/>
    <x v="5"/>
    <x v="3"/>
    <x v="2"/>
    <x v="8"/>
    <x v="3"/>
    <s v="https://tools.sig.systems/site/details/240"/>
    <s v="https://www.google.com/maps/d/edit?mid=1nAyK85WaWREy0lfxnmWn3USs2gC0nP0&amp;usp=sharing"/>
    <x v="1"/>
    <x v="0"/>
    <x v="3"/>
    <x v="3"/>
    <x v="0"/>
    <x v="7"/>
    <x v="8"/>
    <x v="8"/>
  </r>
  <r>
    <s v="(DT) Wichita9"/>
    <x v="5"/>
    <x v="5"/>
    <x v="1"/>
    <x v="1"/>
    <x v="36"/>
    <x v="1"/>
    <s v="https://tools.sig.systems/site/details/257"/>
    <m/>
    <x v="1"/>
    <x v="0"/>
    <x v="3"/>
    <x v="15"/>
    <x v="0"/>
    <x v="6"/>
    <x v="30"/>
    <x v="36"/>
  </r>
  <r>
    <s v="(HUD) Nissan Greensboro9"/>
    <x v="5"/>
    <x v="5"/>
    <x v="0"/>
    <x v="0"/>
    <x v="12"/>
    <x v="0"/>
    <s v="https://tools.sig.systems/site/details/236"/>
    <s v="https://www.google.com/maps/d/viewer?mid=1ejOzT7-x6RWnCf83BBP7XhiOiwEX3Wk&amp;ll=36.061264791292906%2C-79.87437695000003&amp;z=17"/>
    <x v="1"/>
    <x v="0"/>
    <x v="11"/>
    <x v="0"/>
    <x v="0"/>
    <x v="6"/>
    <x v="12"/>
    <x v="12"/>
  </r>
  <r>
    <s v="(KG) Big Star Ford9"/>
    <x v="5"/>
    <x v="5"/>
    <x v="1"/>
    <x v="1"/>
    <x v="102"/>
    <x v="1"/>
    <s v="https://tools.sig.systems/site/details/235"/>
    <m/>
    <x v="1"/>
    <x v="0"/>
    <x v="72"/>
    <x v="0"/>
    <x v="0"/>
    <x v="70"/>
    <x v="74"/>
    <x v="101"/>
  </r>
  <r>
    <s v="(ML) BMW of Little Rock9"/>
    <x v="5"/>
    <x v="5"/>
    <x v="1"/>
    <x v="1"/>
    <x v="105"/>
    <x v="1"/>
    <s v="https://tools.sig.systems/site/details/217"/>
    <s v="https://www.google.com/maps/d/viewer?mid=1hvbKFMO-d5TXrKGU-g5dt_xcdArB1D0&amp;ll=34.71147784120261%2C-92.40574350000001&amp;z=17"/>
    <x v="1"/>
    <x v="0"/>
    <x v="3"/>
    <x v="38"/>
    <x v="0"/>
    <x v="6"/>
    <x v="76"/>
    <x v="104"/>
  </r>
  <r>
    <s v="(ML) Joe Machens Temporary 2.09"/>
    <x v="5"/>
    <x v="5"/>
    <x v="1"/>
    <x v="1"/>
    <x v="44"/>
    <x v="1"/>
    <s v="https://tools.sig.systems/site/details/278"/>
    <s v="https://www.google.com/maps/d/viewer?hl=es&amp;mid=1C1oZdjH3dNvCvqdpIv_Lk0Yn1OCVn-4&amp;ll=38.965368114274455%2C-92.3405954&amp;z=15"/>
    <x v="1"/>
    <x v="0"/>
    <x v="3"/>
    <x v="17"/>
    <x v="0"/>
    <x v="33"/>
    <x v="11"/>
    <x v="44"/>
  </r>
  <r>
    <s v="(ML) Nissan Of Benton9"/>
    <x v="5"/>
    <x v="5"/>
    <x v="1"/>
    <x v="1"/>
    <x v="80"/>
    <x v="1"/>
    <s v="https://tools.sig.systems/site/details/247"/>
    <m/>
    <x v="1"/>
    <x v="0"/>
    <x v="57"/>
    <x v="0"/>
    <x v="0"/>
    <x v="54"/>
    <x v="11"/>
    <x v="80"/>
  </r>
  <r>
    <s v="(PE) JLR Darien PDI (NO TOURS)9"/>
    <x v="5"/>
    <x v="5"/>
    <x v="4"/>
    <x v="0"/>
    <x v="112"/>
    <x v="0"/>
    <s v="https://tools.sig.systems/site/details/187"/>
    <s v="https://www.google.com/maps/d/viewer?mid=1ebZp8DeTYSXNPgDIA63nFVDu9ohaO4E&amp;ll=41.08027837958441%2C-73.46597874999999&amp;z=15"/>
    <x v="1"/>
    <x v="0"/>
    <x v="6"/>
    <x v="0"/>
    <x v="0"/>
    <x v="74"/>
    <x v="83"/>
    <x v="111"/>
  </r>
  <r>
    <s v="(RV) Toms Camperland Avondale (NO TOURS)9"/>
    <x v="5"/>
    <x v="5"/>
    <x v="5"/>
    <x v="3"/>
    <x v="24"/>
    <x v="4"/>
    <s v="https://tools.sig.systems/site/details/248"/>
    <s v="https://www.google.com/maps/d/viewer?mid=1bDs0QGFZwL3vEeGKxjVMk_j4azr0-lg&amp;ll=33.4593758581648%2C-112.28793780000001&amp;z=18"/>
    <x v="2"/>
    <x v="0"/>
    <x v="19"/>
    <x v="10"/>
    <x v="0"/>
    <x v="6"/>
    <x v="20"/>
    <x v="24"/>
  </r>
  <r>
    <s v="(SCH) Delray I &amp; II9"/>
    <x v="5"/>
    <x v="5"/>
    <x v="0"/>
    <x v="0"/>
    <x v="26"/>
    <x v="0"/>
    <s v="https://tools.sig.systems/site/details/159"/>
    <m/>
    <x v="3"/>
    <x v="0"/>
    <x v="21"/>
    <x v="11"/>
    <x v="6"/>
    <x v="6"/>
    <x v="22"/>
    <x v="26"/>
  </r>
  <r>
    <s v="(SCH) Prep Center Delray9"/>
    <x v="5"/>
    <x v="5"/>
    <x v="0"/>
    <x v="0"/>
    <x v="53"/>
    <x v="0"/>
    <s v="https://tools.sig.systems/site/details/321"/>
    <m/>
    <x v="1"/>
    <x v="0"/>
    <x v="40"/>
    <x v="0"/>
    <x v="0"/>
    <x v="6"/>
    <x v="39"/>
    <x v="53"/>
  </r>
  <r>
    <s v="(AS) Coggin Honda Ft. Pierce (NO TOURS)9"/>
    <x v="5"/>
    <x v="6"/>
    <x v="0"/>
    <x v="0"/>
    <x v="0"/>
    <x v="0"/>
    <s v="https://tools.sig.systems/site/details/120"/>
    <s v="https://www.google.com/maps/d/viewer?mid=1AyViBuyeq7iwDua1SVudJ2A1BYi3IBA&amp;ll=27.38181516363982%2C-80.32568845000002&amp;z=18"/>
    <x v="0"/>
    <x v="0"/>
    <x v="0"/>
    <x v="0"/>
    <x v="0"/>
    <x v="0"/>
    <x v="0"/>
    <x v="0"/>
  </r>
  <r>
    <s v="(AS) Courtesy Kia of Brandon (NO TOURS)9"/>
    <x v="5"/>
    <x v="6"/>
    <x v="0"/>
    <x v="0"/>
    <x v="57"/>
    <x v="0"/>
    <s v="https://tools.sig.systems/site/details/121"/>
    <s v="https://www.google.com/maps/d/edit?mid=15R4hTDQx56ij99--JgozdqOIZh-kSlk&amp;usp=sharing"/>
    <x v="0"/>
    <x v="0"/>
    <x v="3"/>
    <x v="22"/>
    <x v="0"/>
    <x v="38"/>
    <x v="43"/>
    <x v="57"/>
  </r>
  <r>
    <s v="(AS) David McDavid Honda I &amp; II (NO TOURS)9"/>
    <x v="5"/>
    <x v="6"/>
    <x v="1"/>
    <x v="1"/>
    <x v="90"/>
    <x v="1"/>
    <s v="https://tools.sig.systems/site/details/129"/>
    <m/>
    <x v="1"/>
    <x v="0"/>
    <x v="3"/>
    <x v="31"/>
    <x v="0"/>
    <x v="60"/>
    <x v="63"/>
    <x v="90"/>
  </r>
  <r>
    <s v="(AS) Park Place Bodywerks Ft. Worth (NO TOURS)9"/>
    <x v="5"/>
    <x v="6"/>
    <x v="1"/>
    <x v="1"/>
    <x v="92"/>
    <x v="1"/>
    <s v="https://tools.sig.systems/site/details/134"/>
    <s v="https://www.google.com/maps/d/edit?mid=18OEO_KbvYcgI3N1jE4gTMXfNHTNDrFU&amp;ll=32.66603989958274%2C-97.42021198201722&amp;z=18"/>
    <x v="1"/>
    <x v="0"/>
    <x v="66"/>
    <x v="0"/>
    <x v="0"/>
    <x v="62"/>
    <x v="64"/>
    <x v="92"/>
  </r>
  <r>
    <s v="(AS) Park Place Sprinter Van Center (NO TOURS)9"/>
    <x v="5"/>
    <x v="6"/>
    <x v="1"/>
    <x v="1"/>
    <x v="6"/>
    <x v="1"/>
    <s v="https://tools.sig.systems/site/details/138"/>
    <s v="https://www.google.com/maps/d/edit?hl=es&amp;mid=1uPmsRMsXnp74hPFW2t-sp2totVWF_xY&amp;ll=32.83050137713022%2C-96.83197783061323&amp;z=17"/>
    <x v="1"/>
    <x v="0"/>
    <x v="6"/>
    <x v="0"/>
    <x v="0"/>
    <x v="6"/>
    <x v="6"/>
    <x v="6"/>
  </r>
  <r>
    <s v="(DT) Albuquerque9"/>
    <x v="5"/>
    <x v="6"/>
    <x v="3"/>
    <x v="2"/>
    <x v="35"/>
    <x v="3"/>
    <s v="https://tools.sig.systems/site/details/237"/>
    <m/>
    <x v="1"/>
    <x v="0"/>
    <x v="27"/>
    <x v="0"/>
    <x v="0"/>
    <x v="27"/>
    <x v="29"/>
    <x v="35"/>
  </r>
  <r>
    <s v="(HUD) Paint and Body Center (NO TOURS)9"/>
    <x v="5"/>
    <x v="6"/>
    <x v="0"/>
    <x v="0"/>
    <x v="38"/>
    <x v="0"/>
    <s v="https://tools.sig.systems/site/details/256"/>
    <s v="https://www.google.com/maps/d/viewer?mid=1ejOzT7-x6RWnCf83BBP7XhiOiwEX3Wk&amp;ll=36.061264791292906%2C-79.87437695000003&amp;z=17"/>
    <x v="1"/>
    <x v="0"/>
    <x v="3"/>
    <x v="9"/>
    <x v="0"/>
    <x v="6"/>
    <x v="11"/>
    <x v="38"/>
  </r>
  <r>
    <s v="(JE) Jim Ellis Ford Sandy Springs9"/>
    <x v="5"/>
    <x v="6"/>
    <x v="0"/>
    <x v="0"/>
    <x v="69"/>
    <x v="0"/>
    <s v="https://tools.sig.systems/site/details/142"/>
    <m/>
    <x v="1"/>
    <x v="0"/>
    <x v="51"/>
    <x v="0"/>
    <x v="0"/>
    <x v="46"/>
    <x v="52"/>
    <x v="69"/>
  </r>
  <r>
    <s v="(KG) Big Star Honda9"/>
    <x v="5"/>
    <x v="6"/>
    <x v="1"/>
    <x v="1"/>
    <x v="72"/>
    <x v="1"/>
    <s v="https://tools.sig.systems/site/details/231"/>
    <m/>
    <x v="1"/>
    <x v="0"/>
    <x v="53"/>
    <x v="0"/>
    <x v="0"/>
    <x v="48"/>
    <x v="54"/>
    <x v="72"/>
  </r>
  <r>
    <s v="(LM) Luther Mazda / Mitsubishi9"/>
    <x v="5"/>
    <x v="6"/>
    <x v="1"/>
    <x v="1"/>
    <x v="74"/>
    <x v="1"/>
    <s v="https://tools.sig.systems/site/details/147"/>
    <s v="https://www.google.com/maps/d/viewer?mid=1ot0ILX76JMuvd9yMuqkb4_e0yH1n7TA&amp;ll=45.07815812965141%2C-93.33506855000002&amp;z=17"/>
    <x v="1"/>
    <x v="0"/>
    <x v="55"/>
    <x v="0"/>
    <x v="12"/>
    <x v="6"/>
    <x v="55"/>
    <x v="74"/>
  </r>
  <r>
    <s v="(ML) Joe Machens Toyota9"/>
    <x v="5"/>
    <x v="6"/>
    <x v="1"/>
    <x v="1"/>
    <x v="18"/>
    <x v="1"/>
    <s v="https://tools.sig.systems/site/details/275"/>
    <s v="https://www.google.com/maps/d/viewer?hl=es&amp;mid=1C1oZdjH3dNvCvqdpIv_Lk0Yn1OCVn-4&amp;ll=38.965368114274455%2C-92.3405954&amp;z=15"/>
    <x v="1"/>
    <x v="0"/>
    <x v="3"/>
    <x v="7"/>
    <x v="0"/>
    <x v="16"/>
    <x v="11"/>
    <x v="18"/>
  </r>
  <r>
    <s v="(ML) McLarty-Gray Daniels Chevrolet9"/>
    <x v="5"/>
    <x v="6"/>
    <x v="1"/>
    <x v="1"/>
    <x v="109"/>
    <x v="1"/>
    <s v="https://tools.sig.systems/site/details/150"/>
    <m/>
    <x v="1"/>
    <x v="0"/>
    <x v="74"/>
    <x v="0"/>
    <x v="0"/>
    <x v="73"/>
    <x v="80"/>
    <x v="108"/>
  </r>
  <r>
    <s v="(PE) BMW Tenafly (NO TOURS)9"/>
    <x v="5"/>
    <x v="6"/>
    <x v="4"/>
    <x v="0"/>
    <x v="48"/>
    <x v="0"/>
    <s v="https://tools.sig.systems/site/details/155"/>
    <m/>
    <x v="1"/>
    <x v="0"/>
    <x v="36"/>
    <x v="18"/>
    <x v="0"/>
    <x v="6"/>
    <x v="19"/>
    <x v="48"/>
  </r>
  <r>
    <s v="(AS) Coggin Mercedes Benz Ft Pierce (NO TOURS)9"/>
    <x v="5"/>
    <x v="7"/>
    <x v="0"/>
    <x v="0"/>
    <x v="28"/>
    <x v="0"/>
    <s v="https://tools.sig.systems/site/details/127"/>
    <s v="https://www.google.com/maps/d/viewer?mid=1AyViBuyeq7iwDua1SVudJ2A1BYi3IBA&amp;ll=27.38181516363982%2C-80.32568845000002&amp;z=18"/>
    <x v="1"/>
    <x v="0"/>
    <x v="22"/>
    <x v="13"/>
    <x v="0"/>
    <x v="22"/>
    <x v="23"/>
    <x v="28"/>
  </r>
  <r>
    <s v="(AS) Courtesy Hyundai/Nissan Tampa (NO TOURS)9"/>
    <x v="5"/>
    <x v="7"/>
    <x v="0"/>
    <x v="0"/>
    <x v="89"/>
    <x v="0"/>
    <s v="https://tools.sig.systems/site/details/128"/>
    <m/>
    <x v="0"/>
    <x v="0"/>
    <x v="64"/>
    <x v="0"/>
    <x v="0"/>
    <x v="59"/>
    <x v="62"/>
    <x v="89"/>
  </r>
  <r>
    <s v="(AS) Park Place JLR DFW Airport (NO TOURS)9"/>
    <x v="5"/>
    <x v="7"/>
    <x v="1"/>
    <x v="1"/>
    <x v="93"/>
    <x v="1"/>
    <s v="https://tools.sig.systems/site/details/135"/>
    <m/>
    <x v="1"/>
    <x v="0"/>
    <x v="67"/>
    <x v="33"/>
    <x v="13"/>
    <x v="63"/>
    <x v="65"/>
    <x v="93"/>
  </r>
  <r>
    <s v="(AS) Park Place Mercedes Benz Ft. Worth (NO TOURS)9"/>
    <x v="5"/>
    <x v="7"/>
    <x v="1"/>
    <x v="1"/>
    <x v="5"/>
    <x v="1"/>
    <s v="https://tools.sig.systems/site/details/137"/>
    <s v="https://www.google.com/maps/d/edit?mid=18OEO_KbvYcgI3N1jE4gTMXfNHTNDrFU&amp;ll=32.66603989958274%2C-97.42021198201722&amp;z=18"/>
    <x v="1"/>
    <x v="0"/>
    <x v="5"/>
    <x v="0"/>
    <x v="4"/>
    <x v="5"/>
    <x v="5"/>
    <x v="5"/>
  </r>
  <r>
    <s v="(DT) Colorado Springs (NO TOURS)9"/>
    <x v="5"/>
    <x v="7"/>
    <x v="3"/>
    <x v="2"/>
    <x v="65"/>
    <x v="3"/>
    <s v="https://tools.sig.systems/site/details/198"/>
    <m/>
    <x v="1"/>
    <x v="0"/>
    <x v="3"/>
    <x v="24"/>
    <x v="0"/>
    <x v="6"/>
    <x v="49"/>
    <x v="65"/>
  </r>
  <r>
    <s v="(KG) Clear Lake Pre-Owned9"/>
    <x v="5"/>
    <x v="7"/>
    <x v="1"/>
    <x v="1"/>
    <x v="39"/>
    <x v="1"/>
    <s v="https://tools.sig.systems/site/details/255"/>
    <s v="https://www.google.com/maps/d/edit?mid=1DRwy5fy1g5UzGTA7a1OkQA-_CY8SQ2s&amp;usp=sharing"/>
    <x v="1"/>
    <x v="0"/>
    <x v="29"/>
    <x v="0"/>
    <x v="0"/>
    <x v="29"/>
    <x v="32"/>
    <x v="39"/>
  </r>
  <r>
    <s v="(KG) JLR LEHI (NO TOURS)9"/>
    <x v="5"/>
    <x v="7"/>
    <x v="3"/>
    <x v="2"/>
    <x v="73"/>
    <x v="3"/>
    <s v="https://tools.sig.systems/site/details/145"/>
    <m/>
    <x v="1"/>
    <x v="0"/>
    <x v="54"/>
    <x v="0"/>
    <x v="0"/>
    <x v="49"/>
    <x v="11"/>
    <x v="73"/>
  </r>
  <r>
    <s v="(KG) Texan GMC Buick (NO TOURS)9"/>
    <x v="5"/>
    <x v="7"/>
    <x v="1"/>
    <x v="1"/>
    <x v="41"/>
    <x v="1"/>
    <s v="https://tools.sig.systems/site/details/225"/>
    <s v="https://www.google.com/maps/d/edit?mid=1FNqK4dW8Z8gtSWuQLbStrtqe7lH8DIQ&amp;usp=sharing"/>
    <x v="1"/>
    <x v="0"/>
    <x v="31"/>
    <x v="0"/>
    <x v="0"/>
    <x v="31"/>
    <x v="33"/>
    <x v="41"/>
  </r>
  <r>
    <s v="(ML) Joe Machens VW9"/>
    <x v="5"/>
    <x v="7"/>
    <x v="1"/>
    <x v="1"/>
    <x v="19"/>
    <x v="1"/>
    <s v="https://tools.sig.systems/site/details/274"/>
    <s v="https://www.google.com/maps/d/viewer?hl=es&amp;mid=1C1oZdjH3dNvCvqdpIv_Lk0Yn1OCVn-4&amp;ll=38.965368114274455%2C-92.3405954&amp;z=15"/>
    <x v="1"/>
    <x v="0"/>
    <x v="3"/>
    <x v="8"/>
    <x v="0"/>
    <x v="17"/>
    <x v="11"/>
    <x v="19"/>
  </r>
  <r>
    <s v="(ML) McLarty Gray-Daniels Toyota Nissan9"/>
    <x v="5"/>
    <x v="7"/>
    <x v="1"/>
    <x v="1"/>
    <x v="108"/>
    <x v="1"/>
    <s v="https://tools.sig.systems/site/details/152"/>
    <s v="https://www.google.com/maps/d/edit?mid=111nhCL4Xjj2Pq0zP5xUrMzHQqAihqa0&amp;usp=sharing"/>
    <x v="1"/>
    <x v="0"/>
    <x v="3"/>
    <x v="40"/>
    <x v="0"/>
    <x v="72"/>
    <x v="79"/>
    <x v="107"/>
  </r>
  <r>
    <s v="(PE) Hudson Toyota Nissan CDJR (NO TOURS)9"/>
    <x v="5"/>
    <x v="7"/>
    <x v="4"/>
    <x v="0"/>
    <x v="81"/>
    <x v="0"/>
    <s v="https://tools.sig.systems/site/details/156"/>
    <m/>
    <x v="1"/>
    <x v="0"/>
    <x v="49"/>
    <x v="30"/>
    <x v="0"/>
    <x v="55"/>
    <x v="58"/>
    <x v="81"/>
  </r>
  <r>
    <s v="(SCH) Auto Body Shop Lake Park9"/>
    <x v="5"/>
    <x v="7"/>
    <x v="0"/>
    <x v="0"/>
    <x v="83"/>
    <x v="0"/>
    <s v="https://tools.sig.systems/site/details/158"/>
    <m/>
    <x v="1"/>
    <x v="0"/>
    <x v="59"/>
    <x v="0"/>
    <x v="0"/>
    <x v="6"/>
    <x v="11"/>
    <x v="83"/>
  </r>
  <r>
    <s v="(AS) Courtesy CDJR of Brandon (NO TOURS)9"/>
    <x v="5"/>
    <x v="8"/>
    <x v="0"/>
    <x v="0"/>
    <x v="56"/>
    <x v="0"/>
    <s v="https://tools.sig.systems/site/details/126"/>
    <s v="https://www.google.com/maps/d/edit?mid=15R4hTDQx56ij99--JgozdqOIZh-kSlk&amp;usp=sharing"/>
    <x v="0"/>
    <x v="0"/>
    <x v="42"/>
    <x v="9"/>
    <x v="0"/>
    <x v="37"/>
    <x v="42"/>
    <x v="56"/>
  </r>
  <r>
    <s v="(AS) Courtesy Honda Palm Harbor (NO TOURS)9"/>
    <x v="5"/>
    <x v="8"/>
    <x v="0"/>
    <x v="0"/>
    <x v="88"/>
    <x v="0"/>
    <s v="https://tools.sig.systems/site/details/176"/>
    <m/>
    <x v="3"/>
    <x v="0"/>
    <x v="63"/>
    <x v="0"/>
    <x v="0"/>
    <x v="58"/>
    <x v="24"/>
    <x v="88"/>
  </r>
  <r>
    <s v="(AS) Park Place MB Recon Center Dallas (NO TOURS)9"/>
    <x v="5"/>
    <x v="8"/>
    <x v="1"/>
    <x v="1"/>
    <x v="60"/>
    <x v="1"/>
    <s v="https://tools.sig.systems/site/details/170"/>
    <s v="https://www.google.com/maps/d/edit?hl=es&amp;mid=1uPmsRMsXnp74hPFW2t-sp2totVWF_xY&amp;ll=32.83050137713022%2C-96.83197783061323&amp;z=17"/>
    <x v="1"/>
    <x v="0"/>
    <x v="45"/>
    <x v="0"/>
    <x v="0"/>
    <x v="40"/>
    <x v="19"/>
    <x v="60"/>
  </r>
  <r>
    <s v="(AS) Park Place Mercedes Benz Arlington (NO TOURS)9"/>
    <x v="5"/>
    <x v="8"/>
    <x v="1"/>
    <x v="1"/>
    <x v="61"/>
    <x v="1"/>
    <s v="https://tools.sig.systems/site/details/169"/>
    <m/>
    <x v="1"/>
    <x v="0"/>
    <x v="46"/>
    <x v="0"/>
    <x v="11"/>
    <x v="41"/>
    <x v="46"/>
    <x v="61"/>
  </r>
  <r>
    <s v="(DT) Denver (NO TOURS)9"/>
    <x v="5"/>
    <x v="8"/>
    <x v="3"/>
    <x v="2"/>
    <x v="97"/>
    <x v="3"/>
    <s v="https://tools.sig.systems/site/details/203"/>
    <s v="https://www.google.com/maps/d/edit?mid=1AjZHz2LTg0RMhZUOmyZsv_Y4MFcaP8g&amp;usp=sharing"/>
    <x v="1"/>
    <x v="0"/>
    <x v="3"/>
    <x v="25"/>
    <x v="0"/>
    <x v="6"/>
    <x v="69"/>
    <x v="96"/>
  </r>
  <r>
    <s v="(KG) Texan CDJR9"/>
    <x v="5"/>
    <x v="8"/>
    <x v="1"/>
    <x v="1"/>
    <x v="13"/>
    <x v="1"/>
    <s v="https://tools.sig.systems/site/details/238"/>
    <s v="https://www.google.com/maps/d/edit?mid=1FNqK4dW8Z8gtSWuQLbStrtqe7lH8DIQ&amp;usp=sharing"/>
    <x v="1"/>
    <x v="0"/>
    <x v="12"/>
    <x v="0"/>
    <x v="5"/>
    <x v="11"/>
    <x v="13"/>
    <x v="13"/>
  </r>
  <r>
    <s v="(KT) Northwest CDJR (NO TOURS)9"/>
    <x v="5"/>
    <x v="8"/>
    <x v="1"/>
    <x v="1"/>
    <x v="15"/>
    <x v="1"/>
    <s v="https://tools.sig.systems/site/details/229"/>
    <m/>
    <x v="1"/>
    <x v="0"/>
    <x v="14"/>
    <x v="0"/>
    <x v="0"/>
    <x v="13"/>
    <x v="11"/>
    <x v="15"/>
  </r>
  <r>
    <s v="(MK) McKenny Salinas Honda9"/>
    <x v="5"/>
    <x v="8"/>
    <x v="0"/>
    <x v="0"/>
    <x v="104"/>
    <x v="0"/>
    <s v="https://tools.sig.systems/site/details/149"/>
    <m/>
    <x v="1"/>
    <x v="0"/>
    <x v="3"/>
    <x v="37"/>
    <x v="0"/>
    <x v="6"/>
    <x v="75"/>
    <x v="103"/>
  </r>
  <r>
    <s v="(ML) Collision Center N Little Rock9"/>
    <x v="5"/>
    <x v="8"/>
    <x v="1"/>
    <x v="1"/>
    <x v="106"/>
    <x v="1"/>
    <s v="https://tools.sig.systems/site/details/212"/>
    <s v="https://www.google.com/maps/d/edit?mid=1Oky35ERk_2kgyzCvDu_odQ2ZP62BtqA&amp;usp=sharing"/>
    <x v="1"/>
    <x v="0"/>
    <x v="3"/>
    <x v="0"/>
    <x v="0"/>
    <x v="6"/>
    <x v="77"/>
    <x v="105"/>
  </r>
  <r>
    <s v="(ML) Mazda VW-Lot B9"/>
    <x v="5"/>
    <x v="8"/>
    <x v="1"/>
    <x v="1"/>
    <x v="45"/>
    <x v="1"/>
    <s v="https://tools.sig.systems/site/details/205"/>
    <s v="https://www.google.com/maps/d/edit?mid=1Oky35ERk_2kgyzCvDu_odQ2ZP62BtqA&amp;usp=sharing"/>
    <x v="1"/>
    <x v="0"/>
    <x v="33"/>
    <x v="9"/>
    <x v="0"/>
    <x v="30"/>
    <x v="11"/>
    <x v="45"/>
  </r>
  <r>
    <s v="(ML) McLarty Gray-Daniels Ford Lincoln9"/>
    <x v="5"/>
    <x v="8"/>
    <x v="1"/>
    <x v="1"/>
    <x v="79"/>
    <x v="1"/>
    <s v="https://tools.sig.systems/site/details/151"/>
    <s v="https://www.google.com/maps/d/edit?mid=111nhCL4Xjj2Pq0zP5xUrMzHQqAihqa0&amp;usp=sharing"/>
    <x v="1"/>
    <x v="0"/>
    <x v="56"/>
    <x v="29"/>
    <x v="0"/>
    <x v="53"/>
    <x v="57"/>
    <x v="79"/>
  </r>
  <r>
    <s v="(PE) Fairfield Collision (NO TOURS)9"/>
    <x v="5"/>
    <x v="8"/>
    <x v="4"/>
    <x v="0"/>
    <x v="22"/>
    <x v="0"/>
    <s v="https://tools.sig.systems/site/details/191"/>
    <m/>
    <x v="1"/>
    <x v="0"/>
    <x v="18"/>
    <x v="0"/>
    <x v="0"/>
    <x v="6"/>
    <x v="18"/>
    <x v="22"/>
  </r>
  <r>
    <s v="(PE) Honda of Danbury (NO TOURS)9"/>
    <x v="5"/>
    <x v="8"/>
    <x v="4"/>
    <x v="0"/>
    <x v="49"/>
    <x v="0"/>
    <s v="https://tools.sig.systems/site/details/190"/>
    <m/>
    <x v="1"/>
    <x v="0"/>
    <x v="3"/>
    <x v="19"/>
    <x v="9"/>
    <x v="6"/>
    <x v="36"/>
    <x v="49"/>
  </r>
  <r>
    <s v="(RV) Sonny's Camp N Travel Concord9"/>
    <x v="5"/>
    <x v="8"/>
    <x v="0"/>
    <x v="0"/>
    <x v="114"/>
    <x v="0"/>
    <s v="https://tools.sig.systems/site/details/183"/>
    <m/>
    <x v="1"/>
    <x v="0"/>
    <x v="6"/>
    <x v="0"/>
    <x v="0"/>
    <x v="76"/>
    <x v="84"/>
    <x v="113"/>
  </r>
  <r>
    <s v="(AS) Courtesy Hyundai/Nissan Tampa (NO TOURS)10"/>
    <x v="6"/>
    <x v="0"/>
    <x v="0"/>
    <x v="0"/>
    <x v="89"/>
    <x v="0"/>
    <s v="https://tools.sig.systems/site/details/128"/>
    <m/>
    <x v="0"/>
    <x v="0"/>
    <x v="64"/>
    <x v="0"/>
    <x v="0"/>
    <x v="59"/>
    <x v="62"/>
    <x v="89"/>
  </r>
  <r>
    <s v="(AS) Park Place Bodywerks Ft. Worth (NO TOURS)10"/>
    <x v="6"/>
    <x v="0"/>
    <x v="1"/>
    <x v="1"/>
    <x v="92"/>
    <x v="1"/>
    <s v="https://tools.sig.systems/site/details/134"/>
    <s v="https://www.google.com/maps/d/edit?mid=18OEO_KbvYcgI3N1jE4gTMXfNHTNDrFU&amp;ll=32.66603989958274%2C-97.42021198201722&amp;z=18"/>
    <x v="1"/>
    <x v="0"/>
    <x v="66"/>
    <x v="0"/>
    <x v="0"/>
    <x v="62"/>
    <x v="64"/>
    <x v="92"/>
  </r>
  <r>
    <s v="(DT) N. Houston10"/>
    <x v="6"/>
    <x v="0"/>
    <x v="1"/>
    <x v="1"/>
    <x v="9"/>
    <x v="1"/>
    <s v="https://tools.sig.systems/site/details/250"/>
    <m/>
    <x v="1"/>
    <x v="0"/>
    <x v="8"/>
    <x v="0"/>
    <x v="0"/>
    <x v="8"/>
    <x v="9"/>
    <x v="9"/>
  </r>
  <r>
    <s v="(DT) W Houston10"/>
    <x v="6"/>
    <x v="0"/>
    <x v="1"/>
    <x v="1"/>
    <x v="10"/>
    <x v="1"/>
    <s v="https://tools.sig.systems/site/details/197"/>
    <m/>
    <x v="1"/>
    <x v="0"/>
    <x v="9"/>
    <x v="2"/>
    <x v="0"/>
    <x v="9"/>
    <x v="10"/>
    <x v="10"/>
  </r>
  <r>
    <s v="(HUD) Acura of Greensboro10"/>
    <x v="6"/>
    <x v="0"/>
    <x v="0"/>
    <x v="0"/>
    <x v="99"/>
    <x v="0"/>
    <s v="https://tools.sig.systems/site/details/213"/>
    <s v="https://www.google.com/maps/d/viewer?mid=1ejOzT7-x6RWnCf83BBP7XhiOiwEX3Wk&amp;ll=0%2C0&amp;z=17"/>
    <x v="1"/>
    <x v="0"/>
    <x v="69"/>
    <x v="0"/>
    <x v="0"/>
    <x v="67"/>
    <x v="71"/>
    <x v="98"/>
  </r>
  <r>
    <s v="(KG) Clear Lake Pre-Owned10"/>
    <x v="6"/>
    <x v="0"/>
    <x v="1"/>
    <x v="1"/>
    <x v="39"/>
    <x v="1"/>
    <s v="https://tools.sig.systems/site/details/255"/>
    <s v="https://www.google.com/maps/d/edit?mid=1DRwy5fy1g5UzGTA7a1OkQA-_CY8SQ2s&amp;usp=sharing"/>
    <x v="1"/>
    <x v="0"/>
    <x v="29"/>
    <x v="0"/>
    <x v="0"/>
    <x v="29"/>
    <x v="32"/>
    <x v="39"/>
  </r>
  <r>
    <s v="(KG) Kia of Phoenix (NO TOURS)10"/>
    <x v="6"/>
    <x v="0"/>
    <x v="5"/>
    <x v="3"/>
    <x v="40"/>
    <x v="4"/>
    <s v="https://tools.sig.systems/site/details/262"/>
    <m/>
    <x v="4"/>
    <x v="0"/>
    <x v="30"/>
    <x v="0"/>
    <x v="0"/>
    <x v="30"/>
    <x v="11"/>
    <x v="40"/>
  </r>
  <r>
    <s v="(KG) Truck Center Remote Storage Lot10"/>
    <x v="6"/>
    <x v="0"/>
    <x v="2"/>
    <x v="2"/>
    <x v="14"/>
    <x v="2"/>
    <s v="https://tools.sig.systems/site/details/144"/>
    <m/>
    <x v="1"/>
    <x v="0"/>
    <x v="13"/>
    <x v="5"/>
    <x v="0"/>
    <x v="12"/>
    <x v="14"/>
    <x v="14"/>
  </r>
  <r>
    <s v="(KT) Northwest CDJR (NO TOURS)10"/>
    <x v="6"/>
    <x v="0"/>
    <x v="1"/>
    <x v="1"/>
    <x v="15"/>
    <x v="1"/>
    <s v="https://tools.sig.systems/site/details/229"/>
    <m/>
    <x v="1"/>
    <x v="0"/>
    <x v="14"/>
    <x v="0"/>
    <x v="0"/>
    <x v="13"/>
    <x v="11"/>
    <x v="15"/>
  </r>
  <r>
    <s v="(ML) McLarty Gray-Daniels Ford Lincoln10"/>
    <x v="6"/>
    <x v="0"/>
    <x v="1"/>
    <x v="1"/>
    <x v="79"/>
    <x v="1"/>
    <s v="https://tools.sig.systems/site/details/151"/>
    <s v="https://www.google.com/maps/d/edit?mid=111nhCL4Xjj2Pq0zP5xUrMzHQqAihqa0&amp;usp=sharing"/>
    <x v="1"/>
    <x v="0"/>
    <x v="56"/>
    <x v="29"/>
    <x v="0"/>
    <x v="53"/>
    <x v="57"/>
    <x v="79"/>
  </r>
  <r>
    <s v="(PE) Hudson Toyota Nissan CDJR (NO TOURS)10"/>
    <x v="6"/>
    <x v="0"/>
    <x v="4"/>
    <x v="0"/>
    <x v="81"/>
    <x v="0"/>
    <s v="https://tools.sig.systems/site/details/156"/>
    <m/>
    <x v="1"/>
    <x v="0"/>
    <x v="49"/>
    <x v="30"/>
    <x v="0"/>
    <x v="55"/>
    <x v="58"/>
    <x v="81"/>
  </r>
  <r>
    <s v="(RV) Toms Camperland Avondale (NO TOURS)10"/>
    <x v="6"/>
    <x v="0"/>
    <x v="5"/>
    <x v="3"/>
    <x v="24"/>
    <x v="4"/>
    <s v="https://tools.sig.systems/site/details/248"/>
    <s v="https://www.google.com/maps/d/viewer?mid=1bDs0QGFZwL3vEeGKxjVMk_j4azr0-lg&amp;ll=33.4593758581648%2C-112.28793780000001&amp;z=18"/>
    <x v="2"/>
    <x v="0"/>
    <x v="19"/>
    <x v="10"/>
    <x v="0"/>
    <x v="6"/>
    <x v="20"/>
    <x v="24"/>
  </r>
  <r>
    <s v="(AS) Nalley Lexus &amp; Remote Lot Roswell (NO TOURS)10"/>
    <x v="6"/>
    <x v="1"/>
    <x v="2"/>
    <x v="0"/>
    <x v="4"/>
    <x v="2"/>
    <s v="https://tools.sig.systems/site/details/131"/>
    <s v="https://www.google.com/maps/d/edit?mid=1jkN3DS1BhUqp_dztjjW0PDwKfo_Yxsw&amp;usp=sharing"/>
    <x v="1"/>
    <x v="1"/>
    <x v="4"/>
    <x v="1"/>
    <x v="3"/>
    <x v="4"/>
    <x v="4"/>
    <x v="4"/>
  </r>
  <r>
    <s v="(AS) Park Place Acura (NO TOURS)10"/>
    <x v="6"/>
    <x v="1"/>
    <x v="1"/>
    <x v="1"/>
    <x v="32"/>
    <x v="1"/>
    <s v="https://tools.sig.systems/site/details/259"/>
    <s v="https://www.google.com/maps/d/viewer?mid=1wg5suxVuxeNp_irHlvN772HcwD6W89E&amp;ll=33.06373951220261%2C-96.82758025000001&amp;z=18"/>
    <x v="1"/>
    <x v="0"/>
    <x v="25"/>
    <x v="0"/>
    <x v="0"/>
    <x v="25"/>
    <x v="11"/>
    <x v="32"/>
  </r>
  <r>
    <s v="(HUD) BMW of Greensboro10"/>
    <x v="6"/>
    <x v="1"/>
    <x v="0"/>
    <x v="0"/>
    <x v="100"/>
    <x v="0"/>
    <s v="https://tools.sig.systems/site/details/219"/>
    <s v="https://www.google.com/maps/d/viewer?mid=1ejOzT7-x6RWnCf83BBP7XhiOiwEX3Wk&amp;ll=36.061264791292906%2C-79.87437695000003&amp;z=17"/>
    <x v="1"/>
    <x v="0"/>
    <x v="70"/>
    <x v="0"/>
    <x v="0"/>
    <x v="68"/>
    <x v="72"/>
    <x v="99"/>
  </r>
  <r>
    <s v="(JE) Jim Ellis Ford Sandy Springs10"/>
    <x v="6"/>
    <x v="1"/>
    <x v="0"/>
    <x v="0"/>
    <x v="69"/>
    <x v="0"/>
    <s v="https://tools.sig.systems/site/details/142"/>
    <m/>
    <x v="1"/>
    <x v="0"/>
    <x v="51"/>
    <x v="0"/>
    <x v="0"/>
    <x v="46"/>
    <x v="52"/>
    <x v="69"/>
  </r>
  <r>
    <s v="(KG) JLR LEHI (NO TOURS)10"/>
    <x v="6"/>
    <x v="1"/>
    <x v="3"/>
    <x v="2"/>
    <x v="73"/>
    <x v="3"/>
    <s v="https://tools.sig.systems/site/details/145"/>
    <m/>
    <x v="1"/>
    <x v="0"/>
    <x v="54"/>
    <x v="0"/>
    <x v="0"/>
    <x v="49"/>
    <x v="11"/>
    <x v="73"/>
  </r>
  <r>
    <s v="(KG) Texan CDJR10"/>
    <x v="6"/>
    <x v="1"/>
    <x v="1"/>
    <x v="1"/>
    <x v="13"/>
    <x v="1"/>
    <s v="https://tools.sig.systems/site/details/238"/>
    <s v="https://www.google.com/maps/d/edit?mid=1FNqK4dW8Z8gtSWuQLbStrtqe7lH8DIQ&amp;usp=sharing"/>
    <x v="1"/>
    <x v="0"/>
    <x v="12"/>
    <x v="0"/>
    <x v="5"/>
    <x v="11"/>
    <x v="13"/>
    <x v="13"/>
  </r>
  <r>
    <s v="(ML) Columbia Honda (NO TOURS)10"/>
    <x v="6"/>
    <x v="1"/>
    <x v="1"/>
    <x v="1"/>
    <x v="75"/>
    <x v="1"/>
    <s v="https://tools.sig.systems/site/details/272"/>
    <s v="https://www.google.com/maps/d/viewer?hl=es&amp;mid=1C1oZdjH3dNvCvqdpIv_Lk0Yn1OCVn-4&amp;ll=38.965368114274426%2C-92.3405954&amp;z=15"/>
    <x v="1"/>
    <x v="0"/>
    <x v="3"/>
    <x v="26"/>
    <x v="0"/>
    <x v="50"/>
    <x v="56"/>
    <x v="75"/>
  </r>
  <r>
    <s v="(ML) McLarty Gray-Daniels Toyota Nissan10"/>
    <x v="6"/>
    <x v="1"/>
    <x v="1"/>
    <x v="1"/>
    <x v="108"/>
    <x v="1"/>
    <s v="https://tools.sig.systems/site/details/152"/>
    <s v="https://www.google.com/maps/d/edit?mid=111nhCL4Xjj2Pq0zP5xUrMzHQqAihqa0&amp;usp=sharing"/>
    <x v="1"/>
    <x v="0"/>
    <x v="3"/>
    <x v="40"/>
    <x v="0"/>
    <x v="72"/>
    <x v="79"/>
    <x v="107"/>
  </r>
  <r>
    <s v="(ML) Nissan Of Benton10"/>
    <x v="6"/>
    <x v="1"/>
    <x v="1"/>
    <x v="1"/>
    <x v="80"/>
    <x v="1"/>
    <s v="https://tools.sig.systems/site/details/247"/>
    <m/>
    <x v="1"/>
    <x v="0"/>
    <x v="57"/>
    <x v="0"/>
    <x v="0"/>
    <x v="54"/>
    <x v="11"/>
    <x v="80"/>
  </r>
  <r>
    <s v="(ML) Volvo Collision Corp10"/>
    <x v="6"/>
    <x v="1"/>
    <x v="1"/>
    <x v="1"/>
    <x v="47"/>
    <x v="1"/>
    <s v="https://tools.sig.systems/site/details/223"/>
    <m/>
    <x v="1"/>
    <x v="0"/>
    <x v="35"/>
    <x v="1"/>
    <x v="0"/>
    <x v="35"/>
    <x v="11"/>
    <x v="47"/>
  </r>
  <r>
    <s v="(RV) Toms Camperland Mesa (NO TOURS)10"/>
    <x v="6"/>
    <x v="1"/>
    <x v="5"/>
    <x v="3"/>
    <x v="25"/>
    <x v="4"/>
    <s v="https://tools.sig.systems/site/details/222"/>
    <m/>
    <x v="1"/>
    <x v="0"/>
    <x v="20"/>
    <x v="0"/>
    <x v="0"/>
    <x v="6"/>
    <x v="21"/>
    <x v="25"/>
  </r>
  <r>
    <s v="(AS) Bill Estes Ford (NO TOURS)10"/>
    <x v="6"/>
    <x v="2"/>
    <x v="0"/>
    <x v="0"/>
    <x v="55"/>
    <x v="0"/>
    <s v="https://tools.sig.systems/site/details/125"/>
    <m/>
    <x v="1"/>
    <x v="0"/>
    <x v="3"/>
    <x v="21"/>
    <x v="0"/>
    <x v="36"/>
    <x v="41"/>
    <x v="55"/>
  </r>
  <r>
    <s v="(AS) David McDavid Lincoln Frisco (NO TOURS)10"/>
    <x v="6"/>
    <x v="2"/>
    <x v="1"/>
    <x v="1"/>
    <x v="58"/>
    <x v="1"/>
    <s v="https://tools.sig.systems/site/details/182"/>
    <m/>
    <x v="1"/>
    <x v="0"/>
    <x v="43"/>
    <x v="0"/>
    <x v="0"/>
    <x v="39"/>
    <x v="44"/>
    <x v="58"/>
  </r>
  <r>
    <s v="(AS) Lexus Grapevine I &amp; II (NO TOURS)10"/>
    <x v="6"/>
    <x v="2"/>
    <x v="1"/>
    <x v="1"/>
    <x v="29"/>
    <x v="1"/>
    <s v="https://tools.sig.systems/site/details/136"/>
    <m/>
    <x v="1"/>
    <x v="0"/>
    <x v="23"/>
    <x v="0"/>
    <x v="7"/>
    <x v="23"/>
    <x v="24"/>
    <x v="29"/>
  </r>
  <r>
    <s v="(AS) Park Place Mercedes Benz Arlington (NO TOURS)10"/>
    <x v="6"/>
    <x v="2"/>
    <x v="1"/>
    <x v="1"/>
    <x v="61"/>
    <x v="1"/>
    <s v="https://tools.sig.systems/site/details/169"/>
    <m/>
    <x v="1"/>
    <x v="0"/>
    <x v="46"/>
    <x v="0"/>
    <x v="11"/>
    <x v="41"/>
    <x v="46"/>
    <x v="61"/>
  </r>
  <r>
    <s v="(HUD) Nissan Greensboro10"/>
    <x v="6"/>
    <x v="2"/>
    <x v="0"/>
    <x v="0"/>
    <x v="12"/>
    <x v="0"/>
    <s v="https://tools.sig.systems/site/details/236"/>
    <s v="https://www.google.com/maps/d/viewer?mid=1ejOzT7-x6RWnCf83BBP7XhiOiwEX3Wk&amp;ll=36.061264791292906%2C-79.87437695000003&amp;z=17"/>
    <x v="1"/>
    <x v="0"/>
    <x v="11"/>
    <x v="0"/>
    <x v="0"/>
    <x v="6"/>
    <x v="12"/>
    <x v="12"/>
  </r>
  <r>
    <s v="(KG) Hyundai Surprise10"/>
    <x v="6"/>
    <x v="2"/>
    <x v="5"/>
    <x v="3"/>
    <x v="103"/>
    <x v="4"/>
    <s v="https://tools.sig.systems/site/details/269"/>
    <m/>
    <x v="4"/>
    <x v="0"/>
    <x v="73"/>
    <x v="0"/>
    <x v="0"/>
    <x v="71"/>
    <x v="11"/>
    <x v="102"/>
  </r>
  <r>
    <s v="(KG) Texan GMC Buick (NO TOURS)10"/>
    <x v="6"/>
    <x v="2"/>
    <x v="1"/>
    <x v="1"/>
    <x v="41"/>
    <x v="1"/>
    <s v="https://tools.sig.systems/site/details/225"/>
    <s v="https://www.google.com/maps/d/edit?mid=1FNqK4dW8Z8gtSWuQLbStrtqe7lH8DIQ&amp;usp=sharing"/>
    <x v="1"/>
    <x v="0"/>
    <x v="31"/>
    <x v="0"/>
    <x v="0"/>
    <x v="31"/>
    <x v="33"/>
    <x v="41"/>
  </r>
  <r>
    <s v="(LM) Luther Mazda / Mitsubishi10"/>
    <x v="6"/>
    <x v="2"/>
    <x v="1"/>
    <x v="1"/>
    <x v="74"/>
    <x v="1"/>
    <s v="https://tools.sig.systems/site/details/147"/>
    <s v="https://www.google.com/maps/d/viewer?mid=1ot0ILX76JMuvd9yMuqkb4_e0yH1n7TA&amp;ll=45.07815812965141%2C-93.33506855000002&amp;z=17"/>
    <x v="1"/>
    <x v="0"/>
    <x v="55"/>
    <x v="0"/>
    <x v="12"/>
    <x v="6"/>
    <x v="55"/>
    <x v="74"/>
  </r>
  <r>
    <s v="(ML) Joe Machens CDJR10"/>
    <x v="6"/>
    <x v="2"/>
    <x v="1"/>
    <x v="1"/>
    <x v="43"/>
    <x v="1"/>
    <s v="https://tools.sig.systems/site/details/273"/>
    <s v="https://www.google.com/maps/d/viewer?hl=es&amp;mid=1C1oZdjH3dNvCvqdpIv_Lk0Yn1OCVn-4&amp;ll=38.965368114274455%2C-92.3405954&amp;z=15"/>
    <x v="1"/>
    <x v="0"/>
    <x v="3"/>
    <x v="16"/>
    <x v="0"/>
    <x v="6"/>
    <x v="35"/>
    <x v="43"/>
  </r>
  <r>
    <s v="(RV) Sonny's Camp N Travel Concord10"/>
    <x v="6"/>
    <x v="2"/>
    <x v="0"/>
    <x v="0"/>
    <x v="114"/>
    <x v="0"/>
    <s v="https://tools.sig.systems/site/details/183"/>
    <m/>
    <x v="1"/>
    <x v="0"/>
    <x v="6"/>
    <x v="0"/>
    <x v="0"/>
    <x v="76"/>
    <x v="84"/>
    <x v="113"/>
  </r>
  <r>
    <s v="(RV) Toms Camperland Surprise (NO TOURS)10"/>
    <x v="6"/>
    <x v="2"/>
    <x v="5"/>
    <x v="3"/>
    <x v="51"/>
    <x v="4"/>
    <s v="https://tools.sig.systems/site/details/254"/>
    <m/>
    <x v="5"/>
    <x v="0"/>
    <x v="38"/>
    <x v="0"/>
    <x v="0"/>
    <x v="6"/>
    <x v="37"/>
    <x v="51"/>
  </r>
  <r>
    <s v="SIG Office10"/>
    <x v="6"/>
    <x v="2"/>
    <x v="2"/>
    <x v="0"/>
    <x v="85"/>
    <x v="2"/>
    <s v="https://tools.sig.systems/site/details/163"/>
    <m/>
    <x v="1"/>
    <x v="0"/>
    <x v="3"/>
    <x v="0"/>
    <x v="0"/>
    <x v="6"/>
    <x v="60"/>
    <x v="85"/>
  </r>
  <r>
    <s v="(AS) Lexus Plano I &amp; II (NO TOURS)10"/>
    <x v="6"/>
    <x v="3"/>
    <x v="1"/>
    <x v="1"/>
    <x v="1"/>
    <x v="1"/>
    <s v="https://tools.sig.systems/site/details/167"/>
    <s v="https://www.google.com/maps/d/viewer?mid=1wg5suxVuxeNp_irHlvN772HcwD6W89E&amp;ll=33.06373951220261%2C-96.82758025000001&amp;z=18"/>
    <x v="1"/>
    <x v="0"/>
    <x v="1"/>
    <x v="0"/>
    <x v="1"/>
    <x v="1"/>
    <x v="1"/>
    <x v="1"/>
  </r>
  <r>
    <s v="(AS) Lexus Smyrna (NO TOURS)10"/>
    <x v="6"/>
    <x v="3"/>
    <x v="0"/>
    <x v="0"/>
    <x v="30"/>
    <x v="0"/>
    <s v="https://tools.sig.systems/site/details/133"/>
    <m/>
    <x v="1"/>
    <x v="0"/>
    <x v="24"/>
    <x v="0"/>
    <x v="0"/>
    <x v="24"/>
    <x v="25"/>
    <x v="30"/>
  </r>
  <r>
    <s v="(AS) Nalley BMW Collision Center (NO TOURS)10"/>
    <x v="6"/>
    <x v="3"/>
    <x v="0"/>
    <x v="0"/>
    <x v="3"/>
    <x v="0"/>
    <s v="https://tools.sig.systems/site/details/220"/>
    <m/>
    <x v="1"/>
    <x v="0"/>
    <x v="3"/>
    <x v="1"/>
    <x v="0"/>
    <x v="3"/>
    <x v="3"/>
    <x v="3"/>
  </r>
  <r>
    <s v="(AS) Park Place Volvo Sales (NO TOURS)10"/>
    <x v="6"/>
    <x v="3"/>
    <x v="1"/>
    <x v="1"/>
    <x v="33"/>
    <x v="1"/>
    <s v="https://tools.sig.systems/site/details/139"/>
    <s v="https://www.google.com/maps/d/edit?hl=es&amp;mid=1uPmsRMsXnp74hPFW2t-sp2totVWF_xY&amp;ll=32.83050137713022%2C-96.83197783061323&amp;z=17"/>
    <x v="1"/>
    <x v="0"/>
    <x v="26"/>
    <x v="0"/>
    <x v="0"/>
    <x v="26"/>
    <x v="27"/>
    <x v="33"/>
  </r>
  <r>
    <s v="(DT) Denver (NO TOURS)10"/>
    <x v="6"/>
    <x v="3"/>
    <x v="3"/>
    <x v="2"/>
    <x v="97"/>
    <x v="3"/>
    <s v="https://tools.sig.systems/site/details/203"/>
    <s v="https://www.google.com/maps/d/edit?mid=1AjZHz2LTg0RMhZUOmyZsv_Y4MFcaP8g&amp;usp=sharing"/>
    <x v="1"/>
    <x v="0"/>
    <x v="3"/>
    <x v="25"/>
    <x v="0"/>
    <x v="6"/>
    <x v="69"/>
    <x v="96"/>
  </r>
  <r>
    <s v="(DT) El Cajon (NO TOURS)10"/>
    <x v="6"/>
    <x v="3"/>
    <x v="5"/>
    <x v="4"/>
    <x v="66"/>
    <x v="4"/>
    <s v="https://tools.sig.systems/site/details/241"/>
    <m/>
    <x v="1"/>
    <x v="0"/>
    <x v="3"/>
    <x v="16"/>
    <x v="0"/>
    <x v="6"/>
    <x v="11"/>
    <x v="66"/>
  </r>
  <r>
    <s v="(HUD) CDJR of Greensboro10"/>
    <x v="6"/>
    <x v="3"/>
    <x v="0"/>
    <x v="0"/>
    <x v="68"/>
    <x v="6"/>
    <s v="https://tools.sig.systems/site/details/215"/>
    <s v="https://www.google.com/maps/d/viewer?mid=1ejOzT7-x6RWnCf83BBP7XhiOiwEX3Wk&amp;ll=36.061264791292906%2C-79.87437695000003&amp;z=17"/>
    <x v="3"/>
    <x v="0"/>
    <x v="50"/>
    <x v="0"/>
    <x v="0"/>
    <x v="45"/>
    <x v="51"/>
    <x v="68"/>
  </r>
  <r>
    <s v="(HUD) Honda of Southpoint10"/>
    <x v="6"/>
    <x v="3"/>
    <x v="0"/>
    <x v="0"/>
    <x v="11"/>
    <x v="0"/>
    <s v="https://tools.sig.systems/site/details/195"/>
    <m/>
    <x v="0"/>
    <x v="0"/>
    <x v="10"/>
    <x v="4"/>
    <x v="0"/>
    <x v="10"/>
    <x v="11"/>
    <x v="11"/>
  </r>
  <r>
    <s v="(KG) Big Star CDJR of Clear Lake10"/>
    <x v="6"/>
    <x v="3"/>
    <x v="1"/>
    <x v="1"/>
    <x v="101"/>
    <x v="1"/>
    <s v="https://tools.sig.systems/site/details/232"/>
    <s v="https://www.google.com/maps/d/edit?mid=1DRwy5fy1g5UzGTA7a1OkQA-_CY8SQ2s&amp;usp=sharing"/>
    <x v="1"/>
    <x v="0"/>
    <x v="71"/>
    <x v="0"/>
    <x v="0"/>
    <x v="69"/>
    <x v="73"/>
    <x v="100"/>
  </r>
  <r>
    <s v="(ML) Joe Machens VW10"/>
    <x v="6"/>
    <x v="3"/>
    <x v="1"/>
    <x v="1"/>
    <x v="19"/>
    <x v="1"/>
    <s v="https://tools.sig.systems/site/details/274"/>
    <s v="https://www.google.com/maps/d/viewer?hl=es&amp;mid=1C1oZdjH3dNvCvqdpIv_Lk0Yn1OCVn-4&amp;ll=38.965368114274455%2C-92.3405954&amp;z=15"/>
    <x v="1"/>
    <x v="0"/>
    <x v="3"/>
    <x v="8"/>
    <x v="0"/>
    <x v="17"/>
    <x v="11"/>
    <x v="19"/>
  </r>
  <r>
    <s v="(ML) Nissan of Little Rock10"/>
    <x v="6"/>
    <x v="3"/>
    <x v="1"/>
    <x v="1"/>
    <x v="46"/>
    <x v="1"/>
    <s v="https://tools.sig.systems/site/details/224"/>
    <s v="https://www.google.com/maps/d/viewer?mid=1hvbKFMO-d5TXrKGU-g5dt_xcdArB1D0&amp;ll=34.71147784120261%2C-92.40574350000001&amp;z=17"/>
    <x v="1"/>
    <x v="0"/>
    <x v="34"/>
    <x v="0"/>
    <x v="0"/>
    <x v="34"/>
    <x v="7"/>
    <x v="46"/>
  </r>
  <r>
    <s v="(PE) BMW of Greenwich (NO TOURS)10"/>
    <x v="6"/>
    <x v="3"/>
    <x v="4"/>
    <x v="0"/>
    <x v="110"/>
    <x v="0"/>
    <s v="https://tools.sig.systems/site/details/186"/>
    <s v="https://www.google.com/maps/d/edit?hl=en&amp;mid=1UHmt7tH1ihTa85i0MfQIcTfVvIQg_vM&amp;ll=41.024187580466844%2C-73.63702405370861&amp;z=18"/>
    <x v="1"/>
    <x v="0"/>
    <x v="75"/>
    <x v="0"/>
    <x v="0"/>
    <x v="6"/>
    <x v="81"/>
    <x v="109"/>
  </r>
  <r>
    <s v="(PE) Mercedes Benz &amp; Smart Bldg. of Fairfield (NO TOURS)10"/>
    <x v="6"/>
    <x v="3"/>
    <x v="4"/>
    <x v="0"/>
    <x v="23"/>
    <x v="0"/>
    <s v="https://tools.sig.systems/site/details/192"/>
    <s v="https://www.google.com/maps/d/viewer?mid=1FEo41PzFJQjUIXXKitX5TNCtuqR6Vbs&amp;ll=41.1663376742533%2C-73.22955662049608&amp;z=16"/>
    <x v="1"/>
    <x v="0"/>
    <x v="3"/>
    <x v="9"/>
    <x v="0"/>
    <x v="20"/>
    <x v="19"/>
    <x v="23"/>
  </r>
  <r>
    <s v="(AS) Coggin Honda Ft. Pierce (NO TOURS)10"/>
    <x v="6"/>
    <x v="4"/>
    <x v="0"/>
    <x v="0"/>
    <x v="0"/>
    <x v="0"/>
    <s v="https://tools.sig.systems/site/details/120"/>
    <s v="https://www.google.com/maps/d/viewer?mid=1AyViBuyeq7iwDua1SVudJ2A1BYi3IBA&amp;ll=27.38181516363982%2C-80.32568845000002&amp;z=18"/>
    <x v="0"/>
    <x v="0"/>
    <x v="0"/>
    <x v="0"/>
    <x v="0"/>
    <x v="0"/>
    <x v="0"/>
    <x v="0"/>
  </r>
  <r>
    <s v="(AS) Mercedes Benz/Porsche Dallas I,II,III (NO TOURS)10"/>
    <x v="6"/>
    <x v="4"/>
    <x v="1"/>
    <x v="1"/>
    <x v="2"/>
    <x v="1"/>
    <s v="https://tools.sig.systems/site/details/168"/>
    <s v="https://www.google.com/maps/d/edit?hl=es&amp;mid=1uPmsRMsXnp74hPFW2t-sp2totVWF_xY&amp;ll=32.83050137713022%2C-96.83197783061323&amp;z=17"/>
    <x v="1"/>
    <x v="0"/>
    <x v="2"/>
    <x v="0"/>
    <x v="2"/>
    <x v="2"/>
    <x v="2"/>
    <x v="2"/>
  </r>
  <r>
    <s v="(DT) Colorado Springs (NO TOURS)10"/>
    <x v="6"/>
    <x v="4"/>
    <x v="3"/>
    <x v="2"/>
    <x v="65"/>
    <x v="3"/>
    <s v="https://tools.sig.systems/site/details/198"/>
    <m/>
    <x v="1"/>
    <x v="0"/>
    <x v="3"/>
    <x v="24"/>
    <x v="0"/>
    <x v="6"/>
    <x v="49"/>
    <x v="65"/>
  </r>
  <r>
    <s v="(DT) Escondido10"/>
    <x v="6"/>
    <x v="4"/>
    <x v="5"/>
    <x v="4"/>
    <x v="98"/>
    <x v="5"/>
    <s v="https://tools.sig.systems/site/details/196"/>
    <m/>
    <x v="1"/>
    <x v="4"/>
    <x v="20"/>
    <x v="0"/>
    <x v="0"/>
    <x v="6"/>
    <x v="70"/>
    <x v="97"/>
  </r>
  <r>
    <s v="(HUD) Honda Greensboro10"/>
    <x v="6"/>
    <x v="4"/>
    <x v="0"/>
    <x v="0"/>
    <x v="37"/>
    <x v="0"/>
    <s v="https://tools.sig.systems/site/details/230"/>
    <s v="AS/ HUD - Crown Greensboro - Google My Maps"/>
    <x v="1"/>
    <x v="0"/>
    <x v="28"/>
    <x v="0"/>
    <x v="0"/>
    <x v="28"/>
    <x v="31"/>
    <x v="37"/>
  </r>
  <r>
    <s v="(KG) Baytown GMC Buick - Remote Lot (NO TOURS)10"/>
    <x v="6"/>
    <x v="4"/>
    <x v="2"/>
    <x v="1"/>
    <x v="70"/>
    <x v="2"/>
    <s v="https://tools.sig.systems/site/details/311"/>
    <m/>
    <x v="1"/>
    <x v="3"/>
    <x v="3"/>
    <x v="25"/>
    <x v="0"/>
    <x v="6"/>
    <x v="11"/>
    <x v="70"/>
  </r>
  <r>
    <s v="(KG) Baytown GMC Buick (NO TOURS)10"/>
    <x v="6"/>
    <x v="4"/>
    <x v="1"/>
    <x v="1"/>
    <x v="71"/>
    <x v="1"/>
    <s v="https://tools.sig.systems/site/details/239"/>
    <m/>
    <x v="1"/>
    <x v="0"/>
    <x v="52"/>
    <x v="0"/>
    <x v="0"/>
    <x v="47"/>
    <x v="53"/>
    <x v="71"/>
  </r>
  <r>
    <s v="(KG) Big Star Ford10"/>
    <x v="6"/>
    <x v="4"/>
    <x v="1"/>
    <x v="1"/>
    <x v="102"/>
    <x v="1"/>
    <s v="https://tools.sig.systems/site/details/235"/>
    <m/>
    <x v="1"/>
    <x v="0"/>
    <x v="72"/>
    <x v="0"/>
    <x v="0"/>
    <x v="70"/>
    <x v="74"/>
    <x v="101"/>
  </r>
  <r>
    <s v="(MK) McKenny Salinas Honda10"/>
    <x v="6"/>
    <x v="4"/>
    <x v="0"/>
    <x v="0"/>
    <x v="104"/>
    <x v="0"/>
    <s v="https://tools.sig.systems/site/details/149"/>
    <m/>
    <x v="1"/>
    <x v="0"/>
    <x v="3"/>
    <x v="37"/>
    <x v="0"/>
    <x v="6"/>
    <x v="75"/>
    <x v="103"/>
  </r>
  <r>
    <s v="(ML) BMW of Little Rock10"/>
    <x v="6"/>
    <x v="4"/>
    <x v="1"/>
    <x v="1"/>
    <x v="105"/>
    <x v="1"/>
    <s v="https://tools.sig.systems/site/details/217"/>
    <s v="https://www.google.com/maps/d/viewer?mid=1hvbKFMO-d5TXrKGU-g5dt_xcdArB1D0&amp;ll=34.71147784120261%2C-92.40574350000001&amp;z=17"/>
    <x v="1"/>
    <x v="0"/>
    <x v="3"/>
    <x v="38"/>
    <x v="0"/>
    <x v="6"/>
    <x v="76"/>
    <x v="104"/>
  </r>
  <r>
    <s v="(ML) Joe Machens Toyota10"/>
    <x v="6"/>
    <x v="4"/>
    <x v="1"/>
    <x v="1"/>
    <x v="18"/>
    <x v="1"/>
    <s v="https://tools.sig.systems/site/details/275"/>
    <s v="https://www.google.com/maps/d/viewer?hl=es&amp;mid=1C1oZdjH3dNvCvqdpIv_Lk0Yn1OCVn-4&amp;ll=38.965368114274455%2C-92.3405954&amp;z=15"/>
    <x v="1"/>
    <x v="0"/>
    <x v="3"/>
    <x v="7"/>
    <x v="0"/>
    <x v="16"/>
    <x v="11"/>
    <x v="18"/>
  </r>
  <r>
    <s v="(PE) BMW of Mamaroneck (NO TOURS)10"/>
    <x v="6"/>
    <x v="4"/>
    <x v="4"/>
    <x v="0"/>
    <x v="111"/>
    <x v="0"/>
    <s v="https://tools.sig.systems/site/details/185"/>
    <m/>
    <x v="1"/>
    <x v="0"/>
    <x v="76"/>
    <x v="41"/>
    <x v="0"/>
    <x v="6"/>
    <x v="82"/>
    <x v="110"/>
  </r>
  <r>
    <s v="(PE) JLR PDI (NO TOURS)10"/>
    <x v="6"/>
    <x v="4"/>
    <x v="4"/>
    <x v="0"/>
    <x v="50"/>
    <x v="0"/>
    <s v="https://tools.sig.systems/site/details/179"/>
    <s v="https://www.google.com/maps/d/viewer?mid=1ubI2iKs1JyYXssuT4oLPnVvFnyLPi_s&amp;ll=40.878808846788026%2C-73.98560655&amp;z=17"/>
    <x v="1"/>
    <x v="0"/>
    <x v="37"/>
    <x v="0"/>
    <x v="0"/>
    <x v="6"/>
    <x v="11"/>
    <x v="50"/>
  </r>
  <r>
    <s v="(RML) Burleson Nissan10"/>
    <x v="6"/>
    <x v="4"/>
    <x v="1"/>
    <x v="1"/>
    <x v="82"/>
    <x v="1"/>
    <s v="https://tools.sig.systems/site/details/202"/>
    <m/>
    <x v="1"/>
    <x v="0"/>
    <x v="58"/>
    <x v="0"/>
    <x v="0"/>
    <x v="56"/>
    <x v="11"/>
    <x v="82"/>
  </r>
  <r>
    <s v="(AS) Park Place JLR DFW Airport (NO TOURS)10"/>
    <x v="6"/>
    <x v="5"/>
    <x v="1"/>
    <x v="1"/>
    <x v="93"/>
    <x v="1"/>
    <s v="https://tools.sig.systems/site/details/135"/>
    <m/>
    <x v="1"/>
    <x v="0"/>
    <x v="67"/>
    <x v="33"/>
    <x v="13"/>
    <x v="63"/>
    <x v="65"/>
    <x v="93"/>
  </r>
  <r>
    <s v="(AS) Park Place Sprinter Van Center (NO TOURS)10"/>
    <x v="6"/>
    <x v="5"/>
    <x v="1"/>
    <x v="1"/>
    <x v="6"/>
    <x v="1"/>
    <s v="https://tools.sig.systems/site/details/138"/>
    <s v="https://www.google.com/maps/d/edit?hl=es&amp;mid=1uPmsRMsXnp74hPFW2t-sp2totVWF_xY&amp;ll=32.83050137713022%2C-96.83197783061323&amp;z=17"/>
    <x v="1"/>
    <x v="0"/>
    <x v="6"/>
    <x v="0"/>
    <x v="0"/>
    <x v="6"/>
    <x v="6"/>
    <x v="6"/>
  </r>
  <r>
    <s v="(AS) Stevinson Chevrolet Golden (NO TOURS)10"/>
    <x v="6"/>
    <x v="5"/>
    <x v="7"/>
    <x v="2"/>
    <x v="96"/>
    <x v="3"/>
    <s v="https://tools.sig.systems/site/details/264"/>
    <s v="https://www.google.com/maps/d/edit?mid=1nAyK85WaWREy0lfxnmWn3USs2gC0nP0&amp;usp=sharing"/>
    <x v="1"/>
    <x v="0"/>
    <x v="3"/>
    <x v="36"/>
    <x v="0"/>
    <x v="66"/>
    <x v="68"/>
    <x v="95"/>
  </r>
  <r>
    <s v="(AS) Stevinson JLR (NO TOURS)10"/>
    <x v="6"/>
    <x v="5"/>
    <x v="3"/>
    <x v="2"/>
    <x v="64"/>
    <x v="3"/>
    <s v="https://tools.sig.systems/site/details/204"/>
    <m/>
    <x v="1"/>
    <x v="0"/>
    <x v="49"/>
    <x v="1"/>
    <x v="0"/>
    <x v="44"/>
    <x v="48"/>
    <x v="64"/>
  </r>
  <r>
    <s v="(DT) Albuquerque10"/>
    <x v="6"/>
    <x v="5"/>
    <x v="3"/>
    <x v="2"/>
    <x v="35"/>
    <x v="3"/>
    <s v="https://tools.sig.systems/site/details/237"/>
    <m/>
    <x v="1"/>
    <x v="0"/>
    <x v="27"/>
    <x v="0"/>
    <x v="0"/>
    <x v="27"/>
    <x v="29"/>
    <x v="35"/>
  </r>
  <r>
    <s v="(DT) Wichita10"/>
    <x v="6"/>
    <x v="5"/>
    <x v="1"/>
    <x v="1"/>
    <x v="36"/>
    <x v="1"/>
    <s v="https://tools.sig.systems/site/details/257"/>
    <m/>
    <x v="1"/>
    <x v="0"/>
    <x v="3"/>
    <x v="15"/>
    <x v="0"/>
    <x v="6"/>
    <x v="30"/>
    <x v="36"/>
  </r>
  <r>
    <s v="(HUD) Paint and Body Center (NO TOURS)10"/>
    <x v="6"/>
    <x v="5"/>
    <x v="0"/>
    <x v="0"/>
    <x v="38"/>
    <x v="0"/>
    <s v="https://tools.sig.systems/site/details/256"/>
    <s v="https://www.google.com/maps/d/viewer?mid=1ejOzT7-x6RWnCf83BBP7XhiOiwEX3Wk&amp;ll=36.061264791292906%2C-79.87437695000003&amp;z=17"/>
    <x v="1"/>
    <x v="0"/>
    <x v="3"/>
    <x v="9"/>
    <x v="0"/>
    <x v="6"/>
    <x v="11"/>
    <x v="38"/>
  </r>
  <r>
    <s v="(ML) Joe Machens E Collision Center10"/>
    <x v="6"/>
    <x v="5"/>
    <x v="1"/>
    <x v="1"/>
    <x v="76"/>
    <x v="1"/>
    <s v="https://tools.sig.systems/site/details/277"/>
    <s v="https://www.google.com/maps/d/viewer?hl=es&amp;mid=1C1oZdjH3dNvCvqdpIv_Lk0Yn1OCVn-4&amp;ll=38.965368114274455%2C-92.3405954&amp;z=15"/>
    <x v="1"/>
    <x v="0"/>
    <x v="6"/>
    <x v="0"/>
    <x v="0"/>
    <x v="51"/>
    <x v="57"/>
    <x v="76"/>
  </r>
  <r>
    <s v="(ML) Joe Machens Ford Lincoln I &amp; II10"/>
    <x v="6"/>
    <x v="5"/>
    <x v="1"/>
    <x v="1"/>
    <x v="77"/>
    <x v="1"/>
    <s v="https://tools.sig.systems/site/details/266"/>
    <s v="https://www.google.com/maps/d/viewer?hl=es&amp;mid=1C1oZdjH3dNvCvqdpIv_Lk0Yn1OCVn-4&amp;ll=38.965368114274455%2C-92.3405954&amp;z=15"/>
    <x v="1"/>
    <x v="0"/>
    <x v="3"/>
    <x v="27"/>
    <x v="0"/>
    <x v="52"/>
    <x v="11"/>
    <x v="77"/>
  </r>
  <r>
    <s v="(ML) Nissan of North Little Rock10"/>
    <x v="6"/>
    <x v="5"/>
    <x v="1"/>
    <x v="1"/>
    <x v="20"/>
    <x v="1"/>
    <s v="https://tools.sig.systems/site/details/216"/>
    <s v="https://www.google.com/maps/d/edit?mid=1Oky35ERk_2kgyzCvDu_odQ2ZP62BtqA&amp;usp=sharing"/>
    <x v="1"/>
    <x v="0"/>
    <x v="16"/>
    <x v="0"/>
    <x v="0"/>
    <x v="18"/>
    <x v="17"/>
    <x v="20"/>
  </r>
  <r>
    <s v="(PE) Scofield Service Center (NO TOURS)10"/>
    <x v="6"/>
    <x v="5"/>
    <x v="4"/>
    <x v="0"/>
    <x v="113"/>
    <x v="0"/>
    <s v="https://tools.sig.systems/site/details/193"/>
    <s v="https://www.google.com/maps/d/viewer?mid=1FEo41PzFJQjUIXXKitX5TNCtuqR6Vbs&amp;ll=41.1663376742533%2C-73.22955662049608&amp;z=16"/>
    <x v="1"/>
    <x v="0"/>
    <x v="6"/>
    <x v="0"/>
    <x v="0"/>
    <x v="75"/>
    <x v="51"/>
    <x v="112"/>
  </r>
  <r>
    <s v="(SCH) Prep Center Delray10"/>
    <x v="6"/>
    <x v="5"/>
    <x v="0"/>
    <x v="0"/>
    <x v="53"/>
    <x v="0"/>
    <s v="https://tools.sig.systems/site/details/321"/>
    <m/>
    <x v="1"/>
    <x v="0"/>
    <x v="40"/>
    <x v="0"/>
    <x v="0"/>
    <x v="6"/>
    <x v="39"/>
    <x v="53"/>
  </r>
  <r>
    <s v="(TC) Tavernier Creek Marina (NO TOURS)10"/>
    <x v="6"/>
    <x v="5"/>
    <x v="0"/>
    <x v="0"/>
    <x v="84"/>
    <x v="1"/>
    <s v="https://tools.sig.systems/site/details/164"/>
    <m/>
    <x v="6"/>
    <x v="0"/>
    <x v="60"/>
    <x v="0"/>
    <x v="0"/>
    <x v="6"/>
    <x v="59"/>
    <x v="84"/>
  </r>
  <r>
    <s v="(AS) Atwell Prep Center-Dallas (NO TOURS)10"/>
    <x v="6"/>
    <x v="6"/>
    <x v="1"/>
    <x v="1"/>
    <x v="86"/>
    <x v="1"/>
    <s v="https://tools.sig.systems/site/details/165"/>
    <s v="https://www.google.com/maps/d/edit?hl=es&amp;mid=1uPmsRMsXnp74hPFW2t-sp2totVWF_xY&amp;ll=32.83050137713022%2C-96.83197783061323&amp;z=17"/>
    <x v="1"/>
    <x v="0"/>
    <x v="61"/>
    <x v="0"/>
    <x v="0"/>
    <x v="6"/>
    <x v="28"/>
    <x v="86"/>
  </r>
  <r>
    <s v="(AS) Coggin Acura Ft Pierce (NO TOURS)10"/>
    <x v="6"/>
    <x v="6"/>
    <x v="0"/>
    <x v="0"/>
    <x v="27"/>
    <x v="0"/>
    <s v="https://tools.sig.systems/site/details/118"/>
    <s v="https://www.google.com/maps/d/viewer?mid=1AyViBuyeq7iwDua1SVudJ2A1BYi3IBA&amp;ll=27.38181516363982%2C-80.32568845000002&amp;z=18"/>
    <x v="1"/>
    <x v="0"/>
    <x v="3"/>
    <x v="12"/>
    <x v="0"/>
    <x v="21"/>
    <x v="19"/>
    <x v="27"/>
  </r>
  <r>
    <s v="(AS) Courtesy CDJR of Brandon (NO TOURS)10"/>
    <x v="6"/>
    <x v="6"/>
    <x v="0"/>
    <x v="0"/>
    <x v="56"/>
    <x v="0"/>
    <s v="https://tools.sig.systems/site/details/126"/>
    <s v="https://www.google.com/maps/d/edit?mid=15R4hTDQx56ij99--JgozdqOIZh-kSlk&amp;usp=sharing"/>
    <x v="0"/>
    <x v="0"/>
    <x v="42"/>
    <x v="9"/>
    <x v="0"/>
    <x v="37"/>
    <x v="42"/>
    <x v="56"/>
  </r>
  <r>
    <s v="(AS) David McDavid Honda I &amp; II (NO TOURS)10"/>
    <x v="6"/>
    <x v="6"/>
    <x v="1"/>
    <x v="1"/>
    <x v="90"/>
    <x v="1"/>
    <s v="https://tools.sig.systems/site/details/129"/>
    <m/>
    <x v="1"/>
    <x v="0"/>
    <x v="3"/>
    <x v="31"/>
    <x v="0"/>
    <x v="60"/>
    <x v="63"/>
    <x v="90"/>
  </r>
  <r>
    <s v="(AS) Park Place Mercedes Benz Ft. Worth (NO TOURS)10"/>
    <x v="6"/>
    <x v="6"/>
    <x v="1"/>
    <x v="1"/>
    <x v="5"/>
    <x v="1"/>
    <s v="https://tools.sig.systems/site/details/137"/>
    <s v="https://www.google.com/maps/d/edit?mid=18OEO_KbvYcgI3N1jE4gTMXfNHTNDrFU&amp;ll=32.66603989958274%2C-97.42021198201722&amp;z=18"/>
    <x v="1"/>
    <x v="0"/>
    <x v="5"/>
    <x v="0"/>
    <x v="4"/>
    <x v="5"/>
    <x v="5"/>
    <x v="5"/>
  </r>
  <r>
    <s v="(AS) Stevinson Toyota West (NO TOURS)10"/>
    <x v="6"/>
    <x v="6"/>
    <x v="3"/>
    <x v="2"/>
    <x v="8"/>
    <x v="3"/>
    <s v="https://tools.sig.systems/site/details/240"/>
    <s v="https://www.google.com/maps/d/edit?mid=1nAyK85WaWREy0lfxnmWn3USs2gC0nP0&amp;usp=sharing"/>
    <x v="1"/>
    <x v="0"/>
    <x v="3"/>
    <x v="3"/>
    <x v="0"/>
    <x v="7"/>
    <x v="8"/>
    <x v="8"/>
  </r>
  <r>
    <s v="(ML) Honda of Little Rock10"/>
    <x v="6"/>
    <x v="6"/>
    <x v="1"/>
    <x v="1"/>
    <x v="16"/>
    <x v="1"/>
    <s v="https://tools.sig.systems/site/details/249"/>
    <s v="https://www.google.com/maps/d/viewer?mid=1hvbKFMO-d5TXrKGU-g5dt_xcdArB1D0&amp;ll=34.71147784120261%2C-92.40574350000001&amp;z=17"/>
    <x v="1"/>
    <x v="0"/>
    <x v="15"/>
    <x v="0"/>
    <x v="0"/>
    <x v="14"/>
    <x v="15"/>
    <x v="16"/>
  </r>
  <r>
    <s v="(ML) Joe Machens Temporary 2.010"/>
    <x v="6"/>
    <x v="6"/>
    <x v="1"/>
    <x v="1"/>
    <x v="44"/>
    <x v="1"/>
    <s v="https://tools.sig.systems/site/details/278"/>
    <s v="https://www.google.com/maps/d/viewer?hl=es&amp;mid=1C1oZdjH3dNvCvqdpIv_Lk0Yn1OCVn-4&amp;ll=38.965368114274455%2C-92.3405954&amp;z=15"/>
    <x v="1"/>
    <x v="0"/>
    <x v="3"/>
    <x v="17"/>
    <x v="0"/>
    <x v="33"/>
    <x v="11"/>
    <x v="44"/>
  </r>
  <r>
    <s v="(ML) Mazda VW-Lot B10"/>
    <x v="6"/>
    <x v="6"/>
    <x v="1"/>
    <x v="1"/>
    <x v="45"/>
    <x v="1"/>
    <s v="https://tools.sig.systems/site/details/205"/>
    <s v="https://www.google.com/maps/d/edit?mid=1Oky35ERk_2kgyzCvDu_odQ2ZP62BtqA&amp;usp=sharing"/>
    <x v="1"/>
    <x v="0"/>
    <x v="33"/>
    <x v="9"/>
    <x v="0"/>
    <x v="30"/>
    <x v="11"/>
    <x v="45"/>
  </r>
  <r>
    <s v="(PE) BMW Tenafly (NO TOURS)10"/>
    <x v="6"/>
    <x v="6"/>
    <x v="4"/>
    <x v="0"/>
    <x v="48"/>
    <x v="0"/>
    <s v="https://tools.sig.systems/site/details/155"/>
    <m/>
    <x v="1"/>
    <x v="0"/>
    <x v="36"/>
    <x v="18"/>
    <x v="0"/>
    <x v="6"/>
    <x v="19"/>
    <x v="48"/>
  </r>
  <r>
    <s v="(SCH) Auto Body Shop Lake Park10"/>
    <x v="6"/>
    <x v="6"/>
    <x v="0"/>
    <x v="0"/>
    <x v="83"/>
    <x v="0"/>
    <s v="https://tools.sig.systems/site/details/158"/>
    <m/>
    <x v="1"/>
    <x v="0"/>
    <x v="59"/>
    <x v="0"/>
    <x v="0"/>
    <x v="6"/>
    <x v="11"/>
    <x v="83"/>
  </r>
  <r>
    <s v="(AS) Courtesy Honda Palm Harbor (NO TOURS)10"/>
    <x v="6"/>
    <x v="7"/>
    <x v="0"/>
    <x v="0"/>
    <x v="88"/>
    <x v="0"/>
    <s v="https://tools.sig.systems/site/details/176"/>
    <m/>
    <x v="3"/>
    <x v="0"/>
    <x v="63"/>
    <x v="0"/>
    <x v="0"/>
    <x v="58"/>
    <x v="24"/>
    <x v="88"/>
  </r>
  <r>
    <s v="(AS) Park Place Bodywerks Dallas (NO TOURS)10"/>
    <x v="6"/>
    <x v="7"/>
    <x v="1"/>
    <x v="1"/>
    <x v="59"/>
    <x v="1"/>
    <s v="https://tools.sig.systems/site/details/166"/>
    <s v="https://www.google.com/maps/d/edit?hl=es&amp;mid=1uPmsRMsXnp74hPFW2t-sp2totVWF_xY&amp;ll=32.83050137713022%2C-96.83197783061323&amp;z=17"/>
    <x v="1"/>
    <x v="0"/>
    <x v="44"/>
    <x v="9"/>
    <x v="0"/>
    <x v="6"/>
    <x v="45"/>
    <x v="59"/>
  </r>
  <r>
    <s v="(AS) Stevinson Porsche of Littleton (NO TOURS)10"/>
    <x v="6"/>
    <x v="7"/>
    <x v="3"/>
    <x v="2"/>
    <x v="7"/>
    <x v="3"/>
    <s v="https://tools.sig.systems/site/details/242"/>
    <m/>
    <x v="1"/>
    <x v="0"/>
    <x v="7"/>
    <x v="2"/>
    <x v="0"/>
    <x v="6"/>
    <x v="7"/>
    <x v="7"/>
  </r>
  <r>
    <s v="(KG) Big Star Honda10"/>
    <x v="6"/>
    <x v="7"/>
    <x v="1"/>
    <x v="1"/>
    <x v="72"/>
    <x v="1"/>
    <s v="https://tools.sig.systems/site/details/231"/>
    <m/>
    <x v="1"/>
    <x v="0"/>
    <x v="53"/>
    <x v="0"/>
    <x v="0"/>
    <x v="48"/>
    <x v="54"/>
    <x v="72"/>
  </r>
  <r>
    <s v="(ML) Collision Center N Little Rock10"/>
    <x v="6"/>
    <x v="7"/>
    <x v="1"/>
    <x v="1"/>
    <x v="106"/>
    <x v="1"/>
    <s v="https://tools.sig.systems/site/details/212"/>
    <s v="https://www.google.com/maps/d/edit?mid=1Oky35ERk_2kgyzCvDu_odQ2ZP62BtqA&amp;usp=sharing"/>
    <x v="1"/>
    <x v="0"/>
    <x v="3"/>
    <x v="0"/>
    <x v="0"/>
    <x v="6"/>
    <x v="77"/>
    <x v="105"/>
  </r>
  <r>
    <s v="(ML) Joe Machens Capital City I &amp; II (NO TOURS)10"/>
    <x v="6"/>
    <x v="7"/>
    <x v="1"/>
    <x v="1"/>
    <x v="17"/>
    <x v="1"/>
    <s v="https://tools.sig.systems/site/details/271"/>
    <m/>
    <x v="1"/>
    <x v="0"/>
    <x v="3"/>
    <x v="6"/>
    <x v="0"/>
    <x v="15"/>
    <x v="16"/>
    <x v="17"/>
  </r>
  <r>
    <s v="(ML) Joe Machens Nissan10"/>
    <x v="6"/>
    <x v="7"/>
    <x v="1"/>
    <x v="1"/>
    <x v="78"/>
    <x v="1"/>
    <s v="https://tools.sig.systems/site/details/279"/>
    <s v="https://www.google.com/maps/d/viewer?hl=es&amp;mid=1C1oZdjH3dNvCvqdpIv_Lk0Yn1OCVn-4&amp;ll=38.965368114274455%2C-92.3405954&amp;z=15"/>
    <x v="1"/>
    <x v="0"/>
    <x v="3"/>
    <x v="28"/>
    <x v="0"/>
    <x v="6"/>
    <x v="11"/>
    <x v="78"/>
  </r>
  <r>
    <s v="(ML) McLarty-Gray Daniels Chevrolet10"/>
    <x v="6"/>
    <x v="7"/>
    <x v="1"/>
    <x v="1"/>
    <x v="109"/>
    <x v="1"/>
    <s v="https://tools.sig.systems/site/details/150"/>
    <m/>
    <x v="1"/>
    <x v="0"/>
    <x v="74"/>
    <x v="0"/>
    <x v="0"/>
    <x v="73"/>
    <x v="80"/>
    <x v="108"/>
  </r>
  <r>
    <s v="(PE) JLR Darien PDI (NO TOURS)10"/>
    <x v="6"/>
    <x v="7"/>
    <x v="4"/>
    <x v="0"/>
    <x v="112"/>
    <x v="0"/>
    <s v="https://tools.sig.systems/site/details/187"/>
    <s v="https://www.google.com/maps/d/viewer?mid=1ebZp8DeTYSXNPgDIA63nFVDu9ohaO4E&amp;ll=41.08027837958441%2C-73.46597874999999&amp;z=15"/>
    <x v="1"/>
    <x v="0"/>
    <x v="6"/>
    <x v="0"/>
    <x v="0"/>
    <x v="74"/>
    <x v="83"/>
    <x v="111"/>
  </r>
  <r>
    <s v="(SCH) Chevrolet North Palm10"/>
    <x v="6"/>
    <x v="7"/>
    <x v="0"/>
    <x v="0"/>
    <x v="52"/>
    <x v="0"/>
    <s v="https://tools.sig.systems/site/details/160"/>
    <m/>
    <x v="3"/>
    <x v="0"/>
    <x v="39"/>
    <x v="0"/>
    <x v="0"/>
    <x v="6"/>
    <x v="38"/>
    <x v="52"/>
  </r>
  <r>
    <s v="(AS) Audi of North Atlanta (NO TOURS)10"/>
    <x v="6"/>
    <x v="8"/>
    <x v="0"/>
    <x v="0"/>
    <x v="87"/>
    <x v="0"/>
    <s v="https://tools.sig.systems/site/details/124"/>
    <s v="https://www.google.com/maps/d/edit?mid=1jkN3DS1BhUqp_dztjjW0PDwKfo_Yxsw&amp;usp=sharing"/>
    <x v="1"/>
    <x v="0"/>
    <x v="62"/>
    <x v="0"/>
    <x v="0"/>
    <x v="57"/>
    <x v="61"/>
    <x v="87"/>
  </r>
  <r>
    <s v="(AS) Coggin Mercedes Benz Ft Pierce (NO TOURS)10"/>
    <x v="6"/>
    <x v="8"/>
    <x v="0"/>
    <x v="0"/>
    <x v="28"/>
    <x v="0"/>
    <s v="https://tools.sig.systems/site/details/127"/>
    <s v="https://www.google.com/maps/d/viewer?mid=1AyViBuyeq7iwDua1SVudJ2A1BYi3IBA&amp;ll=27.38181516363982%2C-80.32568845000002&amp;z=18"/>
    <x v="1"/>
    <x v="0"/>
    <x v="22"/>
    <x v="13"/>
    <x v="0"/>
    <x v="22"/>
    <x v="23"/>
    <x v="28"/>
  </r>
  <r>
    <s v="(AS) Park Place MB Recon Center Dallas (NO TOURS)10"/>
    <x v="6"/>
    <x v="8"/>
    <x v="1"/>
    <x v="1"/>
    <x v="60"/>
    <x v="1"/>
    <s v="https://tools.sig.systems/site/details/170"/>
    <s v="https://www.google.com/maps/d/edit?hl=es&amp;mid=1uPmsRMsXnp74hPFW2t-sp2totVWF_xY&amp;ll=32.83050137713022%2C-96.83197783061323&amp;z=17"/>
    <x v="1"/>
    <x v="0"/>
    <x v="45"/>
    <x v="0"/>
    <x v="0"/>
    <x v="40"/>
    <x v="19"/>
    <x v="60"/>
  </r>
  <r>
    <s v="(AS) Plano Auction (NO SPEAKERS)10"/>
    <x v="6"/>
    <x v="8"/>
    <x v="1"/>
    <x v="1"/>
    <x v="94"/>
    <x v="1"/>
    <s v="https://tools.sig.systems/site/details/140"/>
    <m/>
    <x v="1"/>
    <x v="0"/>
    <x v="3"/>
    <x v="34"/>
    <x v="0"/>
    <x v="64"/>
    <x v="66"/>
    <x v="94"/>
  </r>
  <r>
    <s v="(AS) Plaza Audi/Infiniti (NO TOURS)10"/>
    <x v="6"/>
    <x v="8"/>
    <x v="1"/>
    <x v="1"/>
    <x v="95"/>
    <x v="1"/>
    <s v="https://tools.sig.systems/site/details/141"/>
    <s v="https://www.google.com/maps/d/viewer?mid=1whGZ1PLqmhJnGFz8uigZqUL4cHGGW3w&amp;ll=38.668847686454825%2C-90.4433601&amp;z=17"/>
    <x v="1"/>
    <x v="0"/>
    <x v="68"/>
    <x v="35"/>
    <x v="0"/>
    <x v="65"/>
    <x v="67"/>
    <x v="63"/>
  </r>
  <r>
    <s v="(AS) Stevinson Lexus of Lakewood (NO TOURS)10"/>
    <x v="6"/>
    <x v="8"/>
    <x v="3"/>
    <x v="2"/>
    <x v="34"/>
    <x v="3"/>
    <s v="https://tools.sig.systems/site/details/260"/>
    <s v="https://www.google.com/maps/d/edit?mid=1nAyK85WaWREy0lfxnmWn3USs2gC0nP0&amp;usp=sharing"/>
    <x v="1"/>
    <x v="0"/>
    <x v="3"/>
    <x v="14"/>
    <x v="8"/>
    <x v="6"/>
    <x v="28"/>
    <x v="34"/>
  </r>
  <r>
    <s v="(ML) Ford Lincoln of North Little Rock10"/>
    <x v="6"/>
    <x v="8"/>
    <x v="1"/>
    <x v="1"/>
    <x v="42"/>
    <x v="1"/>
    <s v="https://tools.sig.systems/site/details/214"/>
    <s v="https://www.google.com/maps/d/edit?mid=1Oky35ERk_2kgyzCvDu_odQ2ZP62BtqA&amp;usp=sharing"/>
    <x v="1"/>
    <x v="0"/>
    <x v="32"/>
    <x v="4"/>
    <x v="0"/>
    <x v="32"/>
    <x v="34"/>
    <x v="42"/>
  </r>
  <r>
    <s v="(ML) Joe Machens Kia of Columbia10"/>
    <x v="6"/>
    <x v="8"/>
    <x v="1"/>
    <x v="1"/>
    <x v="107"/>
    <x v="1"/>
    <s v="https://tools.sig.systems/site/details/270"/>
    <s v="https://www.google.com/maps/d/viewer?hl=es&amp;mid=1C1oZdjH3dNvCvqdpIv_Lk0Yn1OCVn-4&amp;ll=38.965368114274455%2C-92.3405954&amp;z=15"/>
    <x v="1"/>
    <x v="0"/>
    <x v="3"/>
    <x v="39"/>
    <x v="0"/>
    <x v="6"/>
    <x v="78"/>
    <x v="106"/>
  </r>
  <r>
    <s v="(PE) Fairfield Collision (NO TOURS)10"/>
    <x v="6"/>
    <x v="8"/>
    <x v="4"/>
    <x v="0"/>
    <x v="22"/>
    <x v="0"/>
    <s v="https://tools.sig.systems/site/details/191"/>
    <m/>
    <x v="1"/>
    <x v="0"/>
    <x v="18"/>
    <x v="0"/>
    <x v="0"/>
    <x v="6"/>
    <x v="18"/>
    <x v="22"/>
  </r>
  <r>
    <s v="(SCH) Delray I &amp; II10"/>
    <x v="6"/>
    <x v="8"/>
    <x v="0"/>
    <x v="0"/>
    <x v="26"/>
    <x v="0"/>
    <s v="https://tools.sig.systems/site/details/159"/>
    <m/>
    <x v="3"/>
    <x v="0"/>
    <x v="21"/>
    <x v="11"/>
    <x v="6"/>
    <x v="6"/>
    <x v="22"/>
    <x v="26"/>
  </r>
  <r>
    <s v="(WAG) Greeley Chrysler Dodge Jeep Ram (NO TOURS)10"/>
    <x v="6"/>
    <x v="8"/>
    <x v="3"/>
    <x v="2"/>
    <x v="115"/>
    <x v="3"/>
    <s v="https://tools.sig.systems/site/details/130"/>
    <s v="https://www.google.com/maps/d/viewer?mid=1gN2lJ0iT7m5VNhD7aDcxE8AdXqtcOZc&amp;ll=40.396096737592195%2C-104.746842&amp;z=16"/>
    <x v="1"/>
    <x v="0"/>
    <x v="77"/>
    <x v="42"/>
    <x v="0"/>
    <x v="77"/>
    <x v="85"/>
    <x v="114"/>
  </r>
  <r>
    <s v="(AS) Courtesy Kia of Brandon (NO TOURS)10"/>
    <x v="6"/>
    <x v="9"/>
    <x v="0"/>
    <x v="0"/>
    <x v="57"/>
    <x v="0"/>
    <s v="https://tools.sig.systems/site/details/121"/>
    <s v="https://www.google.com/maps/d/edit?mid=15R4hTDQx56ij99--JgozdqOIZh-kSlk&amp;usp=sharing"/>
    <x v="0"/>
    <x v="0"/>
    <x v="3"/>
    <x v="22"/>
    <x v="0"/>
    <x v="38"/>
    <x v="43"/>
    <x v="57"/>
  </r>
  <r>
    <s v="(AS) Mike Shaw Subaru Greeley (NO TOURS)10"/>
    <x v="6"/>
    <x v="9"/>
    <x v="3"/>
    <x v="2"/>
    <x v="91"/>
    <x v="3"/>
    <s v="https://tools.sig.systems/site/details/174"/>
    <s v="https://www.google.com/maps/d/viewer?mid=1gN2lJ0iT7m5VNhD7aDcxE8AdXqtcOZc&amp;ll=40.396096737592195%2C-104.746842&amp;z=16"/>
    <x v="1"/>
    <x v="0"/>
    <x v="65"/>
    <x v="32"/>
    <x v="0"/>
    <x v="61"/>
    <x v="11"/>
    <x v="91"/>
  </r>
  <r>
    <s v="(AS) Nalley Luxury Collision Center (NO TOURS)10"/>
    <x v="6"/>
    <x v="9"/>
    <x v="0"/>
    <x v="0"/>
    <x v="31"/>
    <x v="0"/>
    <s v="https://tools.sig.systems/site/details/263"/>
    <s v="https://www.google.com/maps/d/edit?mid=1jkN3DS1BhUqp_dztjjW0PDwKfo_Yxsw&amp;usp=sharing"/>
    <x v="1"/>
    <x v="0"/>
    <x v="4"/>
    <x v="0"/>
    <x v="0"/>
    <x v="6"/>
    <x v="26"/>
    <x v="31"/>
  </r>
  <r>
    <s v="(AS) Park Place Volvo Service Center (NO TOURS)10"/>
    <x v="6"/>
    <x v="9"/>
    <x v="1"/>
    <x v="1"/>
    <x v="62"/>
    <x v="1"/>
    <s v="https://tools.sig.systems/site/details/171"/>
    <s v="https://www.google.com/maps/d/edit?hl=es&amp;mid=1uPmsRMsXnp74hPFW2t-sp2totVWF_xY&amp;ll=32.83050137713022%2C-96.83197783061323&amp;z=17"/>
    <x v="1"/>
    <x v="0"/>
    <x v="47"/>
    <x v="0"/>
    <x v="0"/>
    <x v="42"/>
    <x v="11"/>
    <x v="62"/>
  </r>
  <r>
    <s v="(AS) Plaza Lexus/Mercedes/BMW (NO TOURS)10"/>
    <x v="6"/>
    <x v="9"/>
    <x v="1"/>
    <x v="1"/>
    <x v="63"/>
    <x v="1"/>
    <s v="https://tools.sig.systems/site/details/141"/>
    <s v="https://www.google.com/maps/d/viewer?mid=1whGZ1PLqmhJnGFz8uigZqUL4cHGGW3w&amp;ll=38.668847686454825%2C-90.4433601&amp;z=17"/>
    <x v="1"/>
    <x v="0"/>
    <x v="48"/>
    <x v="23"/>
    <x v="0"/>
    <x v="43"/>
    <x v="47"/>
    <x v="63"/>
  </r>
  <r>
    <s v="(DT) Louisville10"/>
    <x v="6"/>
    <x v="9"/>
    <x v="0"/>
    <x v="0"/>
    <x v="67"/>
    <x v="0"/>
    <s v="https://tools.sig.systems/site/details/258"/>
    <m/>
    <x v="1"/>
    <x v="0"/>
    <x v="3"/>
    <x v="16"/>
    <x v="0"/>
    <x v="6"/>
    <x v="50"/>
    <x v="67"/>
  </r>
  <r>
    <s v="(ML) Toyota N Little Rock10"/>
    <x v="6"/>
    <x v="9"/>
    <x v="1"/>
    <x v="1"/>
    <x v="21"/>
    <x v="1"/>
    <s v="https://tools.sig.systems/site/details/201"/>
    <s v="https://www.google.com/maps/d/edit?mid=1Oky35ERk_2kgyzCvDu_odQ2ZP62BtqA&amp;usp=sharing"/>
    <x v="1"/>
    <x v="0"/>
    <x v="17"/>
    <x v="0"/>
    <x v="0"/>
    <x v="19"/>
    <x v="11"/>
    <x v="21"/>
  </r>
  <r>
    <s v="(PE) Honda of Danbury (NO TOURS)10"/>
    <x v="6"/>
    <x v="9"/>
    <x v="4"/>
    <x v="0"/>
    <x v="49"/>
    <x v="0"/>
    <s v="https://tools.sig.systems/site/details/190"/>
    <m/>
    <x v="1"/>
    <x v="0"/>
    <x v="3"/>
    <x v="19"/>
    <x v="9"/>
    <x v="6"/>
    <x v="36"/>
    <x v="49"/>
  </r>
  <r>
    <s v="(SCH) West Palm Beach I, II &amp; III10"/>
    <x v="6"/>
    <x v="9"/>
    <x v="6"/>
    <x v="0"/>
    <x v="54"/>
    <x v="0"/>
    <s v="https://tools.sig.systems/site/details/162"/>
    <m/>
    <x v="3"/>
    <x v="2"/>
    <x v="41"/>
    <x v="20"/>
    <x v="10"/>
    <x v="6"/>
    <x v="40"/>
    <x v="54"/>
  </r>
  <r>
    <s v="(AS) Courtesy Hyundai/Nissan Tampa (NO TOURS)11"/>
    <x v="7"/>
    <x v="0"/>
    <x v="0"/>
    <x v="0"/>
    <x v="89"/>
    <x v="0"/>
    <s v="https://tools.sig.systems/site/details/128"/>
    <m/>
    <x v="0"/>
    <x v="0"/>
    <x v="64"/>
    <x v="0"/>
    <x v="0"/>
    <x v="59"/>
    <x v="62"/>
    <x v="89"/>
  </r>
  <r>
    <s v="(AS) Park Place Bodywerks Ft. Worth (NO TOURS)11"/>
    <x v="7"/>
    <x v="0"/>
    <x v="1"/>
    <x v="1"/>
    <x v="92"/>
    <x v="1"/>
    <s v="https://tools.sig.systems/site/details/134"/>
    <s v="https://www.google.com/maps/d/edit?mid=18OEO_KbvYcgI3N1jE4gTMXfNHTNDrFU&amp;ll=32.66603989958274%2C-97.42021198201722&amp;z=18"/>
    <x v="1"/>
    <x v="0"/>
    <x v="66"/>
    <x v="0"/>
    <x v="0"/>
    <x v="62"/>
    <x v="64"/>
    <x v="92"/>
  </r>
  <r>
    <s v="(DT) N. Houston11"/>
    <x v="7"/>
    <x v="0"/>
    <x v="1"/>
    <x v="1"/>
    <x v="9"/>
    <x v="1"/>
    <s v="https://tools.sig.systems/site/details/250"/>
    <m/>
    <x v="1"/>
    <x v="0"/>
    <x v="8"/>
    <x v="0"/>
    <x v="0"/>
    <x v="8"/>
    <x v="9"/>
    <x v="9"/>
  </r>
  <r>
    <s v="(DT) W Houston11"/>
    <x v="7"/>
    <x v="0"/>
    <x v="1"/>
    <x v="1"/>
    <x v="10"/>
    <x v="1"/>
    <s v="https://tools.sig.systems/site/details/197"/>
    <m/>
    <x v="1"/>
    <x v="0"/>
    <x v="9"/>
    <x v="2"/>
    <x v="0"/>
    <x v="9"/>
    <x v="10"/>
    <x v="10"/>
  </r>
  <r>
    <s v="(HUD) Acura of Greensboro11"/>
    <x v="7"/>
    <x v="0"/>
    <x v="0"/>
    <x v="0"/>
    <x v="99"/>
    <x v="0"/>
    <s v="https://tools.sig.systems/site/details/213"/>
    <s v="https://www.google.com/maps/d/viewer?mid=1ejOzT7-x6RWnCf83BBP7XhiOiwEX3Wk&amp;ll=0%2C0&amp;z=17"/>
    <x v="1"/>
    <x v="0"/>
    <x v="69"/>
    <x v="0"/>
    <x v="0"/>
    <x v="67"/>
    <x v="71"/>
    <x v="98"/>
  </r>
  <r>
    <s v="(KG) Clear Lake Pre-Owned11"/>
    <x v="7"/>
    <x v="0"/>
    <x v="1"/>
    <x v="1"/>
    <x v="39"/>
    <x v="1"/>
    <s v="https://tools.sig.systems/site/details/255"/>
    <s v="https://www.google.com/maps/d/edit?mid=1DRwy5fy1g5UzGTA7a1OkQA-_CY8SQ2s&amp;usp=sharing"/>
    <x v="1"/>
    <x v="0"/>
    <x v="29"/>
    <x v="0"/>
    <x v="0"/>
    <x v="29"/>
    <x v="32"/>
    <x v="39"/>
  </r>
  <r>
    <s v="(KG) Truck Center Remote Storage Lot11"/>
    <x v="7"/>
    <x v="0"/>
    <x v="2"/>
    <x v="2"/>
    <x v="14"/>
    <x v="2"/>
    <s v="https://tools.sig.systems/site/details/144"/>
    <m/>
    <x v="1"/>
    <x v="0"/>
    <x v="13"/>
    <x v="5"/>
    <x v="0"/>
    <x v="12"/>
    <x v="14"/>
    <x v="14"/>
  </r>
  <r>
    <s v="(KT) Northwest CDJR (NO TOURS)11"/>
    <x v="7"/>
    <x v="0"/>
    <x v="1"/>
    <x v="1"/>
    <x v="15"/>
    <x v="1"/>
    <s v="https://tools.sig.systems/site/details/229"/>
    <m/>
    <x v="1"/>
    <x v="0"/>
    <x v="14"/>
    <x v="0"/>
    <x v="0"/>
    <x v="13"/>
    <x v="11"/>
    <x v="15"/>
  </r>
  <r>
    <s v="(PE) Hudson Toyota Nissan CDJR (NO TOURS)11"/>
    <x v="7"/>
    <x v="0"/>
    <x v="4"/>
    <x v="0"/>
    <x v="81"/>
    <x v="0"/>
    <s v="https://tools.sig.systems/site/details/156"/>
    <m/>
    <x v="1"/>
    <x v="0"/>
    <x v="49"/>
    <x v="30"/>
    <x v="0"/>
    <x v="55"/>
    <x v="58"/>
    <x v="81"/>
  </r>
  <r>
    <s v="(PE) Scofield Service Center (NO TOURS)11"/>
    <x v="7"/>
    <x v="0"/>
    <x v="4"/>
    <x v="0"/>
    <x v="113"/>
    <x v="0"/>
    <s v="https://tools.sig.systems/site/details/193"/>
    <s v="https://www.google.com/maps/d/viewer?mid=1FEo41PzFJQjUIXXKitX5TNCtuqR6Vbs&amp;ll=41.1663376742533%2C-73.22955662049608&amp;z=16"/>
    <x v="1"/>
    <x v="0"/>
    <x v="6"/>
    <x v="0"/>
    <x v="0"/>
    <x v="75"/>
    <x v="51"/>
    <x v="112"/>
  </r>
  <r>
    <s v="(RV) Toms Camperland Avondale (NO TOURS)11"/>
    <x v="7"/>
    <x v="0"/>
    <x v="5"/>
    <x v="3"/>
    <x v="24"/>
    <x v="4"/>
    <s v="https://tools.sig.systems/site/details/248"/>
    <s v="https://www.google.com/maps/d/viewer?mid=1bDs0QGFZwL3vEeGKxjVMk_j4azr0-lg&amp;ll=33.4593758581648%2C-112.28793780000001&amp;z=18"/>
    <x v="2"/>
    <x v="0"/>
    <x v="19"/>
    <x v="10"/>
    <x v="0"/>
    <x v="6"/>
    <x v="20"/>
    <x v="24"/>
  </r>
  <r>
    <s v="(AS) Park Place Acura (NO TOURS)11"/>
    <x v="7"/>
    <x v="1"/>
    <x v="1"/>
    <x v="1"/>
    <x v="32"/>
    <x v="1"/>
    <s v="https://tools.sig.systems/site/details/259"/>
    <s v="https://www.google.com/maps/d/viewer?mid=1wg5suxVuxeNp_irHlvN772HcwD6W89E&amp;ll=33.06373951220261%2C-96.82758025000001&amp;z=18"/>
    <x v="1"/>
    <x v="0"/>
    <x v="25"/>
    <x v="0"/>
    <x v="0"/>
    <x v="25"/>
    <x v="11"/>
    <x v="32"/>
  </r>
  <r>
    <s v="(HUD) BMW of Greensboro11"/>
    <x v="7"/>
    <x v="1"/>
    <x v="0"/>
    <x v="0"/>
    <x v="100"/>
    <x v="0"/>
    <s v="https://tools.sig.systems/site/details/219"/>
    <s v="https://www.google.com/maps/d/viewer?mid=1ejOzT7-x6RWnCf83BBP7XhiOiwEX3Wk&amp;ll=36.061264791292906%2C-79.87437695000003&amp;z=17"/>
    <x v="1"/>
    <x v="0"/>
    <x v="70"/>
    <x v="0"/>
    <x v="0"/>
    <x v="68"/>
    <x v="72"/>
    <x v="99"/>
  </r>
  <r>
    <s v="(HUD) Honda of Southpoint11"/>
    <x v="7"/>
    <x v="1"/>
    <x v="0"/>
    <x v="0"/>
    <x v="11"/>
    <x v="0"/>
    <s v="https://tools.sig.systems/site/details/195"/>
    <m/>
    <x v="0"/>
    <x v="0"/>
    <x v="10"/>
    <x v="4"/>
    <x v="0"/>
    <x v="10"/>
    <x v="11"/>
    <x v="11"/>
  </r>
  <r>
    <s v="(JE) Jim Ellis Ford Sandy Springs11"/>
    <x v="7"/>
    <x v="1"/>
    <x v="0"/>
    <x v="0"/>
    <x v="69"/>
    <x v="0"/>
    <s v="https://tools.sig.systems/site/details/142"/>
    <m/>
    <x v="1"/>
    <x v="0"/>
    <x v="51"/>
    <x v="0"/>
    <x v="0"/>
    <x v="46"/>
    <x v="52"/>
    <x v="69"/>
  </r>
  <r>
    <s v="(KG) Texan CDJR11"/>
    <x v="7"/>
    <x v="1"/>
    <x v="1"/>
    <x v="1"/>
    <x v="13"/>
    <x v="1"/>
    <s v="https://tools.sig.systems/site/details/238"/>
    <s v="https://www.google.com/maps/d/edit?mid=1FNqK4dW8Z8gtSWuQLbStrtqe7lH8DIQ&amp;usp=sharing"/>
    <x v="1"/>
    <x v="0"/>
    <x v="12"/>
    <x v="0"/>
    <x v="5"/>
    <x v="11"/>
    <x v="13"/>
    <x v="13"/>
  </r>
  <r>
    <s v="(ML) Columbia Honda (NO TOURS)11"/>
    <x v="7"/>
    <x v="1"/>
    <x v="1"/>
    <x v="1"/>
    <x v="75"/>
    <x v="1"/>
    <s v="https://tools.sig.systems/site/details/272"/>
    <s v="https://www.google.com/maps/d/viewer?hl=es&amp;mid=1C1oZdjH3dNvCvqdpIv_Lk0Yn1OCVn-4&amp;ll=38.965368114274426%2C-92.3405954&amp;z=15"/>
    <x v="1"/>
    <x v="0"/>
    <x v="3"/>
    <x v="26"/>
    <x v="0"/>
    <x v="50"/>
    <x v="56"/>
    <x v="75"/>
  </r>
  <r>
    <s v="(ML) McLarty Gray-Daniels Toyota Nissan11"/>
    <x v="7"/>
    <x v="1"/>
    <x v="1"/>
    <x v="1"/>
    <x v="108"/>
    <x v="1"/>
    <s v="https://tools.sig.systems/site/details/152"/>
    <s v="https://www.google.com/maps/d/edit?mid=111nhCL4Xjj2Pq0zP5xUrMzHQqAihqa0&amp;usp=sharing"/>
    <x v="1"/>
    <x v="0"/>
    <x v="3"/>
    <x v="40"/>
    <x v="0"/>
    <x v="72"/>
    <x v="79"/>
    <x v="107"/>
  </r>
  <r>
    <s v="(ML) McLarty-Gray Daniels Chevrolet11"/>
    <x v="7"/>
    <x v="1"/>
    <x v="1"/>
    <x v="1"/>
    <x v="109"/>
    <x v="1"/>
    <s v="https://tools.sig.systems/site/details/150"/>
    <m/>
    <x v="1"/>
    <x v="0"/>
    <x v="74"/>
    <x v="0"/>
    <x v="0"/>
    <x v="73"/>
    <x v="80"/>
    <x v="108"/>
  </r>
  <r>
    <s v="(RV) Toms Camperland Mesa (NO TOURS)11"/>
    <x v="7"/>
    <x v="1"/>
    <x v="5"/>
    <x v="3"/>
    <x v="25"/>
    <x v="4"/>
    <s v="https://tools.sig.systems/site/details/222"/>
    <m/>
    <x v="1"/>
    <x v="0"/>
    <x v="20"/>
    <x v="0"/>
    <x v="0"/>
    <x v="6"/>
    <x v="21"/>
    <x v="25"/>
  </r>
  <r>
    <s v="(AS) Bill Estes Ford (NO TOURS)11"/>
    <x v="7"/>
    <x v="2"/>
    <x v="0"/>
    <x v="0"/>
    <x v="55"/>
    <x v="0"/>
    <s v="https://tools.sig.systems/site/details/125"/>
    <m/>
    <x v="1"/>
    <x v="0"/>
    <x v="3"/>
    <x v="21"/>
    <x v="0"/>
    <x v="36"/>
    <x v="41"/>
    <x v="55"/>
  </r>
  <r>
    <s v="(AS) Lexus Grapevine I &amp; II (NO TOURS)11"/>
    <x v="7"/>
    <x v="2"/>
    <x v="1"/>
    <x v="1"/>
    <x v="29"/>
    <x v="1"/>
    <s v="https://tools.sig.systems/site/details/136"/>
    <m/>
    <x v="1"/>
    <x v="0"/>
    <x v="23"/>
    <x v="0"/>
    <x v="7"/>
    <x v="23"/>
    <x v="24"/>
    <x v="29"/>
  </r>
  <r>
    <s v="(AS) Park Place Mercedes Benz Arlington (NO TOURS)11"/>
    <x v="7"/>
    <x v="2"/>
    <x v="1"/>
    <x v="1"/>
    <x v="61"/>
    <x v="1"/>
    <s v="https://tools.sig.systems/site/details/169"/>
    <m/>
    <x v="1"/>
    <x v="0"/>
    <x v="46"/>
    <x v="0"/>
    <x v="11"/>
    <x v="41"/>
    <x v="46"/>
    <x v="61"/>
  </r>
  <r>
    <s v="(HUD) Nissan Greensboro11"/>
    <x v="7"/>
    <x v="2"/>
    <x v="0"/>
    <x v="0"/>
    <x v="12"/>
    <x v="0"/>
    <s v="https://tools.sig.systems/site/details/236"/>
    <s v="https://www.google.com/maps/d/viewer?mid=1ejOzT7-x6RWnCf83BBP7XhiOiwEX3Wk&amp;ll=36.061264791292906%2C-79.87437695000003&amp;z=17"/>
    <x v="1"/>
    <x v="0"/>
    <x v="11"/>
    <x v="0"/>
    <x v="0"/>
    <x v="6"/>
    <x v="12"/>
    <x v="12"/>
  </r>
  <r>
    <s v="(KG) Big Star Ford11"/>
    <x v="7"/>
    <x v="2"/>
    <x v="1"/>
    <x v="1"/>
    <x v="102"/>
    <x v="1"/>
    <s v="https://tools.sig.systems/site/details/235"/>
    <m/>
    <x v="1"/>
    <x v="0"/>
    <x v="72"/>
    <x v="0"/>
    <x v="0"/>
    <x v="70"/>
    <x v="74"/>
    <x v="101"/>
  </r>
  <r>
    <s v="(KG) Hyundai Surprise11"/>
    <x v="7"/>
    <x v="2"/>
    <x v="5"/>
    <x v="3"/>
    <x v="103"/>
    <x v="4"/>
    <s v="https://tools.sig.systems/site/details/269"/>
    <m/>
    <x v="4"/>
    <x v="0"/>
    <x v="73"/>
    <x v="0"/>
    <x v="0"/>
    <x v="71"/>
    <x v="11"/>
    <x v="102"/>
  </r>
  <r>
    <s v="(KG) Texan GMC Buick (NO TOURS)11"/>
    <x v="7"/>
    <x v="2"/>
    <x v="1"/>
    <x v="1"/>
    <x v="41"/>
    <x v="1"/>
    <s v="https://tools.sig.systems/site/details/225"/>
    <s v="https://www.google.com/maps/d/edit?mid=1FNqK4dW8Z8gtSWuQLbStrtqe7lH8DIQ&amp;usp=sharing"/>
    <x v="1"/>
    <x v="0"/>
    <x v="31"/>
    <x v="0"/>
    <x v="0"/>
    <x v="31"/>
    <x v="33"/>
    <x v="41"/>
  </r>
  <r>
    <s v="(LM) Luther Mazda / Mitsubishi11"/>
    <x v="7"/>
    <x v="2"/>
    <x v="1"/>
    <x v="1"/>
    <x v="74"/>
    <x v="1"/>
    <s v="https://tools.sig.systems/site/details/147"/>
    <s v="https://www.google.com/maps/d/viewer?mid=1ot0ILX76JMuvd9yMuqkb4_e0yH1n7TA&amp;ll=45.07815812965141%2C-93.33506855000002&amp;z=17"/>
    <x v="1"/>
    <x v="0"/>
    <x v="55"/>
    <x v="0"/>
    <x v="12"/>
    <x v="6"/>
    <x v="55"/>
    <x v="74"/>
  </r>
  <r>
    <s v="(ML) Joe Machens CDJR11"/>
    <x v="7"/>
    <x v="2"/>
    <x v="1"/>
    <x v="1"/>
    <x v="43"/>
    <x v="1"/>
    <s v="https://tools.sig.systems/site/details/273"/>
    <s v="https://www.google.com/maps/d/viewer?hl=es&amp;mid=1C1oZdjH3dNvCvqdpIv_Lk0Yn1OCVn-4&amp;ll=38.965368114274455%2C-92.3405954&amp;z=15"/>
    <x v="1"/>
    <x v="0"/>
    <x v="3"/>
    <x v="16"/>
    <x v="0"/>
    <x v="6"/>
    <x v="35"/>
    <x v="43"/>
  </r>
  <r>
    <s v="SIG Office11"/>
    <x v="7"/>
    <x v="2"/>
    <x v="2"/>
    <x v="0"/>
    <x v="85"/>
    <x v="2"/>
    <s v="https://tools.sig.systems/site/details/163"/>
    <m/>
    <x v="1"/>
    <x v="0"/>
    <x v="3"/>
    <x v="0"/>
    <x v="0"/>
    <x v="6"/>
    <x v="60"/>
    <x v="85"/>
  </r>
  <r>
    <s v="(AS) Lexus Plano I &amp; II (NO TOURS)11"/>
    <x v="7"/>
    <x v="3"/>
    <x v="1"/>
    <x v="1"/>
    <x v="1"/>
    <x v="1"/>
    <s v="https://tools.sig.systems/site/details/167"/>
    <s v="https://www.google.com/maps/d/viewer?mid=1wg5suxVuxeNp_irHlvN772HcwD6W89E&amp;ll=33.06373951220261%2C-96.82758025000001&amp;z=18"/>
    <x v="1"/>
    <x v="0"/>
    <x v="1"/>
    <x v="0"/>
    <x v="1"/>
    <x v="1"/>
    <x v="1"/>
    <x v="1"/>
  </r>
  <r>
    <s v="(AS) Mike Shaw Subaru Greeley (NO TOURS)11"/>
    <x v="7"/>
    <x v="3"/>
    <x v="3"/>
    <x v="2"/>
    <x v="91"/>
    <x v="3"/>
    <s v="https://tools.sig.systems/site/details/174"/>
    <s v="https://www.google.com/maps/d/viewer?mid=1gN2lJ0iT7m5VNhD7aDcxE8AdXqtcOZc&amp;ll=40.396096737592195%2C-104.746842&amp;z=16"/>
    <x v="1"/>
    <x v="0"/>
    <x v="65"/>
    <x v="32"/>
    <x v="0"/>
    <x v="61"/>
    <x v="11"/>
    <x v="91"/>
  </r>
  <r>
    <s v="(AS) Park Place Volvo Sales (NO TOURS)11"/>
    <x v="7"/>
    <x v="3"/>
    <x v="1"/>
    <x v="1"/>
    <x v="33"/>
    <x v="1"/>
    <s v="https://tools.sig.systems/site/details/139"/>
    <s v="https://www.google.com/maps/d/edit?hl=es&amp;mid=1uPmsRMsXnp74hPFW2t-sp2totVWF_xY&amp;ll=32.83050137713022%2C-96.83197783061323&amp;z=17"/>
    <x v="1"/>
    <x v="0"/>
    <x v="26"/>
    <x v="0"/>
    <x v="0"/>
    <x v="26"/>
    <x v="27"/>
    <x v="33"/>
  </r>
  <r>
    <s v="(AS) Plano Auction (NO SPEAKERS)11"/>
    <x v="7"/>
    <x v="3"/>
    <x v="1"/>
    <x v="1"/>
    <x v="94"/>
    <x v="1"/>
    <s v="https://tools.sig.systems/site/details/140"/>
    <m/>
    <x v="1"/>
    <x v="0"/>
    <x v="3"/>
    <x v="34"/>
    <x v="0"/>
    <x v="64"/>
    <x v="66"/>
    <x v="94"/>
  </r>
  <r>
    <s v="(DT) Denver (NO TOURS)11"/>
    <x v="7"/>
    <x v="3"/>
    <x v="3"/>
    <x v="2"/>
    <x v="97"/>
    <x v="3"/>
    <s v="https://tools.sig.systems/site/details/203"/>
    <s v="https://www.google.com/maps/d/edit?mid=1AjZHz2LTg0RMhZUOmyZsv_Y4MFcaP8g&amp;usp=sharing"/>
    <x v="1"/>
    <x v="0"/>
    <x v="3"/>
    <x v="25"/>
    <x v="0"/>
    <x v="6"/>
    <x v="69"/>
    <x v="96"/>
  </r>
  <r>
    <s v="(DT) El Cajon (NO TOURS)11"/>
    <x v="7"/>
    <x v="3"/>
    <x v="5"/>
    <x v="4"/>
    <x v="66"/>
    <x v="4"/>
    <s v="https://tools.sig.systems/site/details/241"/>
    <m/>
    <x v="1"/>
    <x v="0"/>
    <x v="3"/>
    <x v="16"/>
    <x v="0"/>
    <x v="6"/>
    <x v="11"/>
    <x v="66"/>
  </r>
  <r>
    <s v="(HUD) CDJR of Greensboro11"/>
    <x v="7"/>
    <x v="3"/>
    <x v="0"/>
    <x v="0"/>
    <x v="68"/>
    <x v="6"/>
    <s v="https://tools.sig.systems/site/details/215"/>
    <s v="https://www.google.com/maps/d/viewer?mid=1ejOzT7-x6RWnCf83BBP7XhiOiwEX3Wk&amp;ll=36.061264791292906%2C-79.87437695000003&amp;z=17"/>
    <x v="3"/>
    <x v="0"/>
    <x v="50"/>
    <x v="0"/>
    <x v="0"/>
    <x v="45"/>
    <x v="51"/>
    <x v="68"/>
  </r>
  <r>
    <s v="(KG) Big Star CDJR of Clear Lake11"/>
    <x v="7"/>
    <x v="3"/>
    <x v="1"/>
    <x v="1"/>
    <x v="101"/>
    <x v="1"/>
    <s v="https://tools.sig.systems/site/details/232"/>
    <s v="https://www.google.com/maps/d/edit?mid=1DRwy5fy1g5UzGTA7a1OkQA-_CY8SQ2s&amp;usp=sharing"/>
    <x v="1"/>
    <x v="0"/>
    <x v="71"/>
    <x v="0"/>
    <x v="0"/>
    <x v="69"/>
    <x v="73"/>
    <x v="100"/>
  </r>
  <r>
    <s v="(ML) Joe Machens VW11"/>
    <x v="7"/>
    <x v="3"/>
    <x v="1"/>
    <x v="1"/>
    <x v="19"/>
    <x v="1"/>
    <s v="https://tools.sig.systems/site/details/274"/>
    <s v="https://www.google.com/maps/d/viewer?hl=es&amp;mid=1C1oZdjH3dNvCvqdpIv_Lk0Yn1OCVn-4&amp;ll=38.965368114274455%2C-92.3405954&amp;z=15"/>
    <x v="1"/>
    <x v="0"/>
    <x v="3"/>
    <x v="8"/>
    <x v="0"/>
    <x v="17"/>
    <x v="11"/>
    <x v="19"/>
  </r>
  <r>
    <s v="(ML) Nissan of Little Rock11"/>
    <x v="7"/>
    <x v="3"/>
    <x v="1"/>
    <x v="1"/>
    <x v="46"/>
    <x v="1"/>
    <s v="https://tools.sig.systems/site/details/224"/>
    <s v="https://www.google.com/maps/d/viewer?mid=1hvbKFMO-d5TXrKGU-g5dt_xcdArB1D0&amp;ll=34.71147784120261%2C-92.40574350000001&amp;z=17"/>
    <x v="1"/>
    <x v="0"/>
    <x v="34"/>
    <x v="0"/>
    <x v="0"/>
    <x v="34"/>
    <x v="7"/>
    <x v="46"/>
  </r>
  <r>
    <s v="(PE) BMW of Greenwich (NO TOURS)11"/>
    <x v="7"/>
    <x v="3"/>
    <x v="4"/>
    <x v="0"/>
    <x v="110"/>
    <x v="0"/>
    <s v="https://tools.sig.systems/site/details/186"/>
    <s v="https://www.google.com/maps/d/edit?hl=en&amp;mid=1UHmt7tH1ihTa85i0MfQIcTfVvIQg_vM&amp;ll=41.024187580466844%2C-73.63702405370861&amp;z=18"/>
    <x v="1"/>
    <x v="0"/>
    <x v="75"/>
    <x v="0"/>
    <x v="0"/>
    <x v="6"/>
    <x v="81"/>
    <x v="109"/>
  </r>
  <r>
    <s v="(PE) Mercedes Benz &amp; Smart Bldg. of Fairfield (NO TOURS)11"/>
    <x v="7"/>
    <x v="3"/>
    <x v="4"/>
    <x v="0"/>
    <x v="23"/>
    <x v="0"/>
    <s v="https://tools.sig.systems/site/details/192"/>
    <s v="https://www.google.com/maps/d/viewer?mid=1FEo41PzFJQjUIXXKitX5TNCtuqR6Vbs&amp;ll=41.1663376742533%2C-73.22955662049608&amp;z=16"/>
    <x v="1"/>
    <x v="0"/>
    <x v="3"/>
    <x v="9"/>
    <x v="0"/>
    <x v="20"/>
    <x v="19"/>
    <x v="23"/>
  </r>
  <r>
    <s v="(AS) Coggin Honda Ft. Pierce (NO TOURS)11"/>
    <x v="7"/>
    <x v="4"/>
    <x v="0"/>
    <x v="0"/>
    <x v="0"/>
    <x v="0"/>
    <s v="https://tools.sig.systems/site/details/120"/>
    <s v="https://www.google.com/maps/d/viewer?mid=1AyViBuyeq7iwDua1SVudJ2A1BYi3IBA&amp;ll=27.38181516363982%2C-80.32568845000002&amp;z=18"/>
    <x v="0"/>
    <x v="0"/>
    <x v="0"/>
    <x v="0"/>
    <x v="0"/>
    <x v="0"/>
    <x v="0"/>
    <x v="0"/>
  </r>
  <r>
    <s v="(AS) Mercedes Benz/Porsche Dallas I,II,III (NO TOURS)11"/>
    <x v="7"/>
    <x v="4"/>
    <x v="1"/>
    <x v="1"/>
    <x v="2"/>
    <x v="1"/>
    <s v="https://tools.sig.systems/site/details/168"/>
    <s v="https://www.google.com/maps/d/edit?hl=es&amp;mid=1uPmsRMsXnp74hPFW2t-sp2totVWF_xY&amp;ll=32.83050137713022%2C-96.83197783061323&amp;z=17"/>
    <x v="1"/>
    <x v="0"/>
    <x v="2"/>
    <x v="0"/>
    <x v="2"/>
    <x v="2"/>
    <x v="2"/>
    <x v="2"/>
  </r>
  <r>
    <s v="(DT) Colorado Springs (NO TOURS)11"/>
    <x v="7"/>
    <x v="4"/>
    <x v="3"/>
    <x v="2"/>
    <x v="65"/>
    <x v="3"/>
    <s v="https://tools.sig.systems/site/details/198"/>
    <m/>
    <x v="1"/>
    <x v="0"/>
    <x v="3"/>
    <x v="24"/>
    <x v="0"/>
    <x v="6"/>
    <x v="49"/>
    <x v="65"/>
  </r>
  <r>
    <s v="(DT) Escondido11"/>
    <x v="7"/>
    <x v="4"/>
    <x v="5"/>
    <x v="4"/>
    <x v="98"/>
    <x v="5"/>
    <s v="https://tools.sig.systems/site/details/196"/>
    <m/>
    <x v="1"/>
    <x v="4"/>
    <x v="20"/>
    <x v="0"/>
    <x v="0"/>
    <x v="6"/>
    <x v="70"/>
    <x v="97"/>
  </r>
  <r>
    <s v="(HUD) Honda Greensboro11"/>
    <x v="7"/>
    <x v="4"/>
    <x v="0"/>
    <x v="0"/>
    <x v="37"/>
    <x v="0"/>
    <s v="https://tools.sig.systems/site/details/230"/>
    <s v="AS/ HUD - Crown Greensboro - Google My Maps"/>
    <x v="1"/>
    <x v="0"/>
    <x v="28"/>
    <x v="0"/>
    <x v="0"/>
    <x v="28"/>
    <x v="31"/>
    <x v="37"/>
  </r>
  <r>
    <s v="(ML) BMW of Little Rock11"/>
    <x v="7"/>
    <x v="4"/>
    <x v="1"/>
    <x v="1"/>
    <x v="105"/>
    <x v="1"/>
    <s v="https://tools.sig.systems/site/details/217"/>
    <s v="https://www.google.com/maps/d/viewer?mid=1hvbKFMO-d5TXrKGU-g5dt_xcdArB1D0&amp;ll=34.71147784120261%2C-92.40574350000001&amp;z=17"/>
    <x v="1"/>
    <x v="0"/>
    <x v="3"/>
    <x v="38"/>
    <x v="0"/>
    <x v="6"/>
    <x v="76"/>
    <x v="104"/>
  </r>
  <r>
    <s v="(ML) Joe Machens Toyota11"/>
    <x v="7"/>
    <x v="4"/>
    <x v="1"/>
    <x v="1"/>
    <x v="18"/>
    <x v="1"/>
    <s v="https://tools.sig.systems/site/details/275"/>
    <s v="https://www.google.com/maps/d/viewer?hl=es&amp;mid=1C1oZdjH3dNvCvqdpIv_Lk0Yn1OCVn-4&amp;ll=38.965368114274455%2C-92.3405954&amp;z=15"/>
    <x v="1"/>
    <x v="0"/>
    <x v="3"/>
    <x v="7"/>
    <x v="0"/>
    <x v="16"/>
    <x v="11"/>
    <x v="18"/>
  </r>
  <r>
    <s v="(ML) McLarty Gray-Daniels Ford Lincoln11"/>
    <x v="7"/>
    <x v="4"/>
    <x v="1"/>
    <x v="1"/>
    <x v="79"/>
    <x v="1"/>
    <s v="https://tools.sig.systems/site/details/151"/>
    <s v="https://www.google.com/maps/d/edit?mid=111nhCL4Xjj2Pq0zP5xUrMzHQqAihqa0&amp;usp=sharing"/>
    <x v="1"/>
    <x v="0"/>
    <x v="56"/>
    <x v="29"/>
    <x v="0"/>
    <x v="53"/>
    <x v="57"/>
    <x v="79"/>
  </r>
  <r>
    <s v="(PE) BMW of Mamaroneck (NO TOURS)11"/>
    <x v="7"/>
    <x v="4"/>
    <x v="4"/>
    <x v="0"/>
    <x v="111"/>
    <x v="0"/>
    <s v="https://tools.sig.systems/site/details/185"/>
    <m/>
    <x v="1"/>
    <x v="0"/>
    <x v="76"/>
    <x v="41"/>
    <x v="0"/>
    <x v="6"/>
    <x v="82"/>
    <x v="110"/>
  </r>
  <r>
    <s v="(PE) JLR PDI (NO TOURS)11"/>
    <x v="7"/>
    <x v="4"/>
    <x v="4"/>
    <x v="0"/>
    <x v="50"/>
    <x v="0"/>
    <s v="https://tools.sig.systems/site/details/179"/>
    <s v="https://www.google.com/maps/d/viewer?mid=1ubI2iKs1JyYXssuT4oLPnVvFnyLPi_s&amp;ll=40.878808846788026%2C-73.98560655&amp;z=17"/>
    <x v="1"/>
    <x v="0"/>
    <x v="37"/>
    <x v="0"/>
    <x v="0"/>
    <x v="6"/>
    <x v="11"/>
    <x v="50"/>
  </r>
  <r>
    <s v="(RML) Burleson Nissan11"/>
    <x v="7"/>
    <x v="4"/>
    <x v="1"/>
    <x v="1"/>
    <x v="82"/>
    <x v="1"/>
    <s v="https://tools.sig.systems/site/details/202"/>
    <m/>
    <x v="1"/>
    <x v="0"/>
    <x v="58"/>
    <x v="0"/>
    <x v="0"/>
    <x v="56"/>
    <x v="11"/>
    <x v="82"/>
  </r>
  <r>
    <s v="(AS) Courtesy Kia of Brandon (NO TOURS)11"/>
    <x v="7"/>
    <x v="5"/>
    <x v="0"/>
    <x v="0"/>
    <x v="57"/>
    <x v="0"/>
    <s v="https://tools.sig.systems/site/details/121"/>
    <s v="https://www.google.com/maps/d/edit?mid=15R4hTDQx56ij99--JgozdqOIZh-kSlk&amp;usp=sharing"/>
    <x v="0"/>
    <x v="0"/>
    <x v="3"/>
    <x v="22"/>
    <x v="0"/>
    <x v="38"/>
    <x v="43"/>
    <x v="57"/>
  </r>
  <r>
    <s v="(AS) Park Place Sprinter Van Center (NO TOURS)11"/>
    <x v="7"/>
    <x v="5"/>
    <x v="1"/>
    <x v="1"/>
    <x v="6"/>
    <x v="1"/>
    <s v="https://tools.sig.systems/site/details/138"/>
    <s v="https://www.google.com/maps/d/edit?hl=es&amp;mid=1uPmsRMsXnp74hPFW2t-sp2totVWF_xY&amp;ll=32.83050137713022%2C-96.83197783061323&amp;z=17"/>
    <x v="1"/>
    <x v="0"/>
    <x v="6"/>
    <x v="0"/>
    <x v="0"/>
    <x v="6"/>
    <x v="6"/>
    <x v="6"/>
  </r>
  <r>
    <s v="(AS) Stevinson Chevrolet Golden (NO TOURS)11"/>
    <x v="7"/>
    <x v="5"/>
    <x v="7"/>
    <x v="2"/>
    <x v="96"/>
    <x v="3"/>
    <s v="https://tools.sig.systems/site/details/264"/>
    <s v="https://www.google.com/maps/d/edit?mid=1nAyK85WaWREy0lfxnmWn3USs2gC0nP0&amp;usp=sharing"/>
    <x v="1"/>
    <x v="0"/>
    <x v="3"/>
    <x v="36"/>
    <x v="0"/>
    <x v="66"/>
    <x v="68"/>
    <x v="95"/>
  </r>
  <r>
    <s v="(AS) Stevinson JLR (NO TOURS)11"/>
    <x v="7"/>
    <x v="5"/>
    <x v="3"/>
    <x v="2"/>
    <x v="64"/>
    <x v="3"/>
    <s v="https://tools.sig.systems/site/details/204"/>
    <m/>
    <x v="1"/>
    <x v="0"/>
    <x v="49"/>
    <x v="1"/>
    <x v="0"/>
    <x v="44"/>
    <x v="48"/>
    <x v="64"/>
  </r>
  <r>
    <s v="(DT) Wichita11"/>
    <x v="7"/>
    <x v="5"/>
    <x v="1"/>
    <x v="1"/>
    <x v="36"/>
    <x v="1"/>
    <s v="https://tools.sig.systems/site/details/257"/>
    <m/>
    <x v="1"/>
    <x v="0"/>
    <x v="3"/>
    <x v="15"/>
    <x v="0"/>
    <x v="6"/>
    <x v="30"/>
    <x v="36"/>
  </r>
  <r>
    <s v="(HUD) Paint and Body Center (NO TOURS)11"/>
    <x v="7"/>
    <x v="5"/>
    <x v="0"/>
    <x v="0"/>
    <x v="38"/>
    <x v="0"/>
    <s v="https://tools.sig.systems/site/details/256"/>
    <s v="https://www.google.com/maps/d/viewer?mid=1ejOzT7-x6RWnCf83BBP7XhiOiwEX3Wk&amp;ll=36.061264791292906%2C-79.87437695000003&amp;z=17"/>
    <x v="1"/>
    <x v="0"/>
    <x v="3"/>
    <x v="9"/>
    <x v="0"/>
    <x v="6"/>
    <x v="11"/>
    <x v="38"/>
  </r>
  <r>
    <s v="(KG) JLR LEHI (NO TOURS)11"/>
    <x v="7"/>
    <x v="5"/>
    <x v="3"/>
    <x v="2"/>
    <x v="73"/>
    <x v="3"/>
    <s v="https://tools.sig.systems/site/details/145"/>
    <m/>
    <x v="1"/>
    <x v="0"/>
    <x v="54"/>
    <x v="0"/>
    <x v="0"/>
    <x v="49"/>
    <x v="11"/>
    <x v="73"/>
  </r>
  <r>
    <s v="(ML) Joe Machens E Collision Center11"/>
    <x v="7"/>
    <x v="5"/>
    <x v="1"/>
    <x v="1"/>
    <x v="76"/>
    <x v="1"/>
    <s v="https://tools.sig.systems/site/details/277"/>
    <s v="https://www.google.com/maps/d/viewer?hl=es&amp;mid=1C1oZdjH3dNvCvqdpIv_Lk0Yn1OCVn-4&amp;ll=38.965368114274455%2C-92.3405954&amp;z=15"/>
    <x v="1"/>
    <x v="0"/>
    <x v="6"/>
    <x v="0"/>
    <x v="0"/>
    <x v="51"/>
    <x v="57"/>
    <x v="76"/>
  </r>
  <r>
    <s v="(ML) Nissan Of Benton11"/>
    <x v="7"/>
    <x v="5"/>
    <x v="1"/>
    <x v="1"/>
    <x v="80"/>
    <x v="1"/>
    <s v="https://tools.sig.systems/site/details/247"/>
    <m/>
    <x v="1"/>
    <x v="0"/>
    <x v="57"/>
    <x v="0"/>
    <x v="0"/>
    <x v="54"/>
    <x v="11"/>
    <x v="80"/>
  </r>
  <r>
    <s v="(ML) Nissan of North Little Rock11"/>
    <x v="7"/>
    <x v="5"/>
    <x v="1"/>
    <x v="1"/>
    <x v="20"/>
    <x v="1"/>
    <s v="https://tools.sig.systems/site/details/216"/>
    <s v="https://www.google.com/maps/d/edit?mid=1Oky35ERk_2kgyzCvDu_odQ2ZP62BtqA&amp;usp=sharing"/>
    <x v="1"/>
    <x v="0"/>
    <x v="16"/>
    <x v="0"/>
    <x v="0"/>
    <x v="18"/>
    <x v="17"/>
    <x v="20"/>
  </r>
  <r>
    <s v="(ML) Toyota N Little Rock11"/>
    <x v="7"/>
    <x v="5"/>
    <x v="1"/>
    <x v="1"/>
    <x v="21"/>
    <x v="1"/>
    <s v="https://tools.sig.systems/site/details/201"/>
    <s v="https://www.google.com/maps/d/edit?mid=1Oky35ERk_2kgyzCvDu_odQ2ZP62BtqA&amp;usp=sharing"/>
    <x v="1"/>
    <x v="0"/>
    <x v="17"/>
    <x v="0"/>
    <x v="0"/>
    <x v="19"/>
    <x v="11"/>
    <x v="21"/>
  </r>
  <r>
    <s v="(RV) Toms Camperland Surprise (NO TOURS)11"/>
    <x v="7"/>
    <x v="5"/>
    <x v="5"/>
    <x v="3"/>
    <x v="51"/>
    <x v="4"/>
    <s v="https://tools.sig.systems/site/details/254"/>
    <m/>
    <x v="5"/>
    <x v="0"/>
    <x v="38"/>
    <x v="0"/>
    <x v="0"/>
    <x v="6"/>
    <x v="37"/>
    <x v="51"/>
  </r>
  <r>
    <s v="(SCH) Prep Center Delray11"/>
    <x v="7"/>
    <x v="5"/>
    <x v="0"/>
    <x v="0"/>
    <x v="53"/>
    <x v="0"/>
    <s v="https://tools.sig.systems/site/details/321"/>
    <m/>
    <x v="1"/>
    <x v="0"/>
    <x v="40"/>
    <x v="0"/>
    <x v="0"/>
    <x v="6"/>
    <x v="39"/>
    <x v="53"/>
  </r>
  <r>
    <s v="(TC) Tavernier Creek Marina (NO TOURS)11"/>
    <x v="7"/>
    <x v="5"/>
    <x v="0"/>
    <x v="0"/>
    <x v="84"/>
    <x v="1"/>
    <s v="https://tools.sig.systems/site/details/164"/>
    <m/>
    <x v="6"/>
    <x v="0"/>
    <x v="60"/>
    <x v="0"/>
    <x v="0"/>
    <x v="6"/>
    <x v="59"/>
    <x v="84"/>
  </r>
  <r>
    <s v="(AS) Atwell Prep Center-Dallas (NO TOURS)11"/>
    <x v="7"/>
    <x v="6"/>
    <x v="1"/>
    <x v="1"/>
    <x v="86"/>
    <x v="1"/>
    <s v="https://tools.sig.systems/site/details/165"/>
    <s v="https://www.google.com/maps/d/edit?hl=es&amp;mid=1uPmsRMsXnp74hPFW2t-sp2totVWF_xY&amp;ll=32.83050137713022%2C-96.83197783061323&amp;z=17"/>
    <x v="1"/>
    <x v="0"/>
    <x v="61"/>
    <x v="0"/>
    <x v="0"/>
    <x v="6"/>
    <x v="28"/>
    <x v="86"/>
  </r>
  <r>
    <s v="(AS) Coggin Acura Ft Pierce (NO TOURS)11"/>
    <x v="7"/>
    <x v="6"/>
    <x v="0"/>
    <x v="0"/>
    <x v="27"/>
    <x v="0"/>
    <s v="https://tools.sig.systems/site/details/118"/>
    <s v="https://www.google.com/maps/d/viewer?mid=1AyViBuyeq7iwDua1SVudJ2A1BYi3IBA&amp;ll=27.38181516363982%2C-80.32568845000002&amp;z=18"/>
    <x v="1"/>
    <x v="0"/>
    <x v="3"/>
    <x v="12"/>
    <x v="0"/>
    <x v="21"/>
    <x v="19"/>
    <x v="27"/>
  </r>
  <r>
    <s v="(AS) Courtesy CDJR of Brandon (NO TOURS)11"/>
    <x v="7"/>
    <x v="6"/>
    <x v="0"/>
    <x v="0"/>
    <x v="56"/>
    <x v="0"/>
    <s v="https://tools.sig.systems/site/details/126"/>
    <s v="https://www.google.com/maps/d/edit?mid=15R4hTDQx56ij99--JgozdqOIZh-kSlk&amp;usp=sharing"/>
    <x v="0"/>
    <x v="0"/>
    <x v="42"/>
    <x v="9"/>
    <x v="0"/>
    <x v="37"/>
    <x v="42"/>
    <x v="56"/>
  </r>
  <r>
    <s v="(AS) David McDavid Honda I &amp; II (NO TOURS)11"/>
    <x v="7"/>
    <x v="6"/>
    <x v="1"/>
    <x v="1"/>
    <x v="90"/>
    <x v="1"/>
    <s v="https://tools.sig.systems/site/details/129"/>
    <m/>
    <x v="1"/>
    <x v="0"/>
    <x v="3"/>
    <x v="31"/>
    <x v="0"/>
    <x v="60"/>
    <x v="63"/>
    <x v="90"/>
  </r>
  <r>
    <s v="(AS) Park Place Mercedes Benz Ft. Worth (NO TOURS)11"/>
    <x v="7"/>
    <x v="6"/>
    <x v="1"/>
    <x v="1"/>
    <x v="5"/>
    <x v="1"/>
    <s v="https://tools.sig.systems/site/details/137"/>
    <s v="https://www.google.com/maps/d/edit?mid=18OEO_KbvYcgI3N1jE4gTMXfNHTNDrFU&amp;ll=32.66603989958274%2C-97.42021198201722&amp;z=18"/>
    <x v="1"/>
    <x v="0"/>
    <x v="5"/>
    <x v="0"/>
    <x v="4"/>
    <x v="5"/>
    <x v="5"/>
    <x v="5"/>
  </r>
  <r>
    <s v="(AS) Stevinson Toyota West (NO TOURS)11"/>
    <x v="7"/>
    <x v="6"/>
    <x v="3"/>
    <x v="2"/>
    <x v="8"/>
    <x v="3"/>
    <s v="https://tools.sig.systems/site/details/240"/>
    <s v="https://www.google.com/maps/d/edit?mid=1nAyK85WaWREy0lfxnmWn3USs2gC0nP0&amp;usp=sharing"/>
    <x v="1"/>
    <x v="0"/>
    <x v="3"/>
    <x v="3"/>
    <x v="0"/>
    <x v="7"/>
    <x v="8"/>
    <x v="8"/>
  </r>
  <r>
    <s v="(MK) McKenny Salinas Honda11"/>
    <x v="7"/>
    <x v="6"/>
    <x v="0"/>
    <x v="0"/>
    <x v="104"/>
    <x v="0"/>
    <s v="https://tools.sig.systems/site/details/149"/>
    <m/>
    <x v="1"/>
    <x v="0"/>
    <x v="3"/>
    <x v="37"/>
    <x v="0"/>
    <x v="6"/>
    <x v="75"/>
    <x v="103"/>
  </r>
  <r>
    <s v="(ML) Honda of Little Rock11"/>
    <x v="7"/>
    <x v="6"/>
    <x v="1"/>
    <x v="1"/>
    <x v="16"/>
    <x v="1"/>
    <s v="https://tools.sig.systems/site/details/249"/>
    <s v="https://www.google.com/maps/d/viewer?mid=1hvbKFMO-d5TXrKGU-g5dt_xcdArB1D0&amp;ll=34.71147784120261%2C-92.40574350000001&amp;z=17"/>
    <x v="1"/>
    <x v="0"/>
    <x v="15"/>
    <x v="0"/>
    <x v="0"/>
    <x v="14"/>
    <x v="15"/>
    <x v="16"/>
  </r>
  <r>
    <s v="(ML) Joe Machens Temporary 2.011"/>
    <x v="7"/>
    <x v="6"/>
    <x v="1"/>
    <x v="1"/>
    <x v="44"/>
    <x v="1"/>
    <s v="https://tools.sig.systems/site/details/278"/>
    <s v="https://www.google.com/maps/d/viewer?hl=es&amp;mid=1C1oZdjH3dNvCvqdpIv_Lk0Yn1OCVn-4&amp;ll=38.965368114274455%2C-92.3405954&amp;z=15"/>
    <x v="1"/>
    <x v="0"/>
    <x v="3"/>
    <x v="17"/>
    <x v="0"/>
    <x v="33"/>
    <x v="11"/>
    <x v="44"/>
  </r>
  <r>
    <s v="(PE) BMW Tenafly (NO TOURS)11"/>
    <x v="7"/>
    <x v="6"/>
    <x v="4"/>
    <x v="0"/>
    <x v="48"/>
    <x v="0"/>
    <s v="https://tools.sig.systems/site/details/155"/>
    <m/>
    <x v="1"/>
    <x v="0"/>
    <x v="36"/>
    <x v="18"/>
    <x v="0"/>
    <x v="6"/>
    <x v="19"/>
    <x v="48"/>
  </r>
  <r>
    <s v="(SCH) Auto Body Shop Lake Park11"/>
    <x v="7"/>
    <x v="6"/>
    <x v="0"/>
    <x v="0"/>
    <x v="83"/>
    <x v="0"/>
    <s v="https://tools.sig.systems/site/details/158"/>
    <m/>
    <x v="1"/>
    <x v="0"/>
    <x v="59"/>
    <x v="0"/>
    <x v="0"/>
    <x v="6"/>
    <x v="11"/>
    <x v="83"/>
  </r>
  <r>
    <s v="(AS) Courtesy Honda Palm Harbor (NO TOURS)11"/>
    <x v="7"/>
    <x v="7"/>
    <x v="0"/>
    <x v="0"/>
    <x v="88"/>
    <x v="0"/>
    <s v="https://tools.sig.systems/site/details/176"/>
    <m/>
    <x v="3"/>
    <x v="0"/>
    <x v="63"/>
    <x v="0"/>
    <x v="0"/>
    <x v="58"/>
    <x v="24"/>
    <x v="88"/>
  </r>
  <r>
    <s v="(AS) Nalley Lexus &amp; Remote Lot Roswell (NO TOURS)11"/>
    <x v="7"/>
    <x v="7"/>
    <x v="2"/>
    <x v="0"/>
    <x v="4"/>
    <x v="2"/>
    <s v="https://tools.sig.systems/site/details/131"/>
    <s v="https://www.google.com/maps/d/edit?mid=1jkN3DS1BhUqp_dztjjW0PDwKfo_Yxsw&amp;usp=sharing"/>
    <x v="1"/>
    <x v="1"/>
    <x v="4"/>
    <x v="1"/>
    <x v="3"/>
    <x v="4"/>
    <x v="4"/>
    <x v="4"/>
  </r>
  <r>
    <s v="(AS) Park Place Bodywerks Dallas (NO TOURS)11"/>
    <x v="7"/>
    <x v="7"/>
    <x v="1"/>
    <x v="1"/>
    <x v="59"/>
    <x v="1"/>
    <s v="https://tools.sig.systems/site/details/166"/>
    <s v="https://www.google.com/maps/d/edit?hl=es&amp;mid=1uPmsRMsXnp74hPFW2t-sp2totVWF_xY&amp;ll=32.83050137713022%2C-96.83197783061323&amp;z=17"/>
    <x v="1"/>
    <x v="0"/>
    <x v="44"/>
    <x v="9"/>
    <x v="0"/>
    <x v="6"/>
    <x v="45"/>
    <x v="59"/>
  </r>
  <r>
    <s v="(AS) Park Place JLR DFW Airport (NO TOURS)11"/>
    <x v="7"/>
    <x v="7"/>
    <x v="1"/>
    <x v="1"/>
    <x v="93"/>
    <x v="1"/>
    <s v="https://tools.sig.systems/site/details/135"/>
    <m/>
    <x v="1"/>
    <x v="0"/>
    <x v="67"/>
    <x v="33"/>
    <x v="13"/>
    <x v="63"/>
    <x v="65"/>
    <x v="93"/>
  </r>
  <r>
    <s v="(AS) Stevinson Porsche of Littleton (NO TOURS)11"/>
    <x v="7"/>
    <x v="7"/>
    <x v="3"/>
    <x v="2"/>
    <x v="7"/>
    <x v="3"/>
    <s v="https://tools.sig.systems/site/details/242"/>
    <m/>
    <x v="1"/>
    <x v="0"/>
    <x v="7"/>
    <x v="2"/>
    <x v="0"/>
    <x v="6"/>
    <x v="7"/>
    <x v="7"/>
  </r>
  <r>
    <s v="(KG) Big Star Honda11"/>
    <x v="7"/>
    <x v="7"/>
    <x v="1"/>
    <x v="1"/>
    <x v="72"/>
    <x v="1"/>
    <s v="https://tools.sig.systems/site/details/231"/>
    <m/>
    <x v="1"/>
    <x v="0"/>
    <x v="53"/>
    <x v="0"/>
    <x v="0"/>
    <x v="48"/>
    <x v="54"/>
    <x v="72"/>
  </r>
  <r>
    <s v="(ML) Collision Center N Little Rock11"/>
    <x v="7"/>
    <x v="7"/>
    <x v="1"/>
    <x v="1"/>
    <x v="106"/>
    <x v="1"/>
    <s v="https://tools.sig.systems/site/details/212"/>
    <s v="https://www.google.com/maps/d/edit?mid=1Oky35ERk_2kgyzCvDu_odQ2ZP62BtqA&amp;usp=sharing"/>
    <x v="1"/>
    <x v="0"/>
    <x v="3"/>
    <x v="0"/>
    <x v="0"/>
    <x v="6"/>
    <x v="77"/>
    <x v="105"/>
  </r>
  <r>
    <s v="(ML) Joe Machens Capital City I &amp; II (NO TOURS)11"/>
    <x v="7"/>
    <x v="7"/>
    <x v="1"/>
    <x v="1"/>
    <x v="17"/>
    <x v="1"/>
    <s v="https://tools.sig.systems/site/details/271"/>
    <m/>
    <x v="1"/>
    <x v="0"/>
    <x v="3"/>
    <x v="6"/>
    <x v="0"/>
    <x v="15"/>
    <x v="16"/>
    <x v="17"/>
  </r>
  <r>
    <s v="(ML) Joe Machens Nissan11"/>
    <x v="7"/>
    <x v="7"/>
    <x v="1"/>
    <x v="1"/>
    <x v="78"/>
    <x v="1"/>
    <s v="https://tools.sig.systems/site/details/279"/>
    <s v="https://www.google.com/maps/d/viewer?hl=es&amp;mid=1C1oZdjH3dNvCvqdpIv_Lk0Yn1OCVn-4&amp;ll=38.965368114274455%2C-92.3405954&amp;z=15"/>
    <x v="1"/>
    <x v="0"/>
    <x v="3"/>
    <x v="28"/>
    <x v="0"/>
    <x v="6"/>
    <x v="11"/>
    <x v="78"/>
  </r>
  <r>
    <s v="(PE) JLR Darien PDI (NO TOURS)11"/>
    <x v="7"/>
    <x v="7"/>
    <x v="4"/>
    <x v="0"/>
    <x v="112"/>
    <x v="0"/>
    <s v="https://tools.sig.systems/site/details/187"/>
    <s v="https://www.google.com/maps/d/viewer?mid=1ebZp8DeTYSXNPgDIA63nFVDu9ohaO4E&amp;ll=41.08027837958441%2C-73.46597874999999&amp;z=15"/>
    <x v="1"/>
    <x v="0"/>
    <x v="6"/>
    <x v="0"/>
    <x v="0"/>
    <x v="74"/>
    <x v="83"/>
    <x v="111"/>
  </r>
  <r>
    <s v="(AS) Audi of North Atlanta (NO TOURS)11"/>
    <x v="7"/>
    <x v="8"/>
    <x v="0"/>
    <x v="0"/>
    <x v="87"/>
    <x v="0"/>
    <s v="https://tools.sig.systems/site/details/124"/>
    <s v="https://www.google.com/maps/d/edit?mid=1jkN3DS1BhUqp_dztjjW0PDwKfo_Yxsw&amp;usp=sharing"/>
    <x v="1"/>
    <x v="0"/>
    <x v="62"/>
    <x v="0"/>
    <x v="0"/>
    <x v="57"/>
    <x v="61"/>
    <x v="87"/>
  </r>
  <r>
    <s v="(AS) Coggin Mercedes Benz Ft Pierce (NO TOURS)11"/>
    <x v="7"/>
    <x v="8"/>
    <x v="0"/>
    <x v="0"/>
    <x v="28"/>
    <x v="0"/>
    <s v="https://tools.sig.systems/site/details/127"/>
    <s v="https://www.google.com/maps/d/viewer?mid=1AyViBuyeq7iwDua1SVudJ2A1BYi3IBA&amp;ll=27.38181516363982%2C-80.32568845000002&amp;z=18"/>
    <x v="1"/>
    <x v="0"/>
    <x v="22"/>
    <x v="13"/>
    <x v="0"/>
    <x v="22"/>
    <x v="23"/>
    <x v="28"/>
  </r>
  <r>
    <s v="(AS) Park Place MB Recon Center Dallas (NO TOURS)11"/>
    <x v="7"/>
    <x v="8"/>
    <x v="1"/>
    <x v="1"/>
    <x v="60"/>
    <x v="1"/>
    <s v="https://tools.sig.systems/site/details/170"/>
    <s v="https://www.google.com/maps/d/edit?hl=es&amp;mid=1uPmsRMsXnp74hPFW2t-sp2totVWF_xY&amp;ll=32.83050137713022%2C-96.83197783061323&amp;z=17"/>
    <x v="1"/>
    <x v="0"/>
    <x v="45"/>
    <x v="0"/>
    <x v="0"/>
    <x v="40"/>
    <x v="19"/>
    <x v="60"/>
  </r>
  <r>
    <s v="(AS) Stevinson Lexus of Lakewood (NO TOURS)11"/>
    <x v="7"/>
    <x v="8"/>
    <x v="3"/>
    <x v="2"/>
    <x v="34"/>
    <x v="3"/>
    <s v="https://tools.sig.systems/site/details/260"/>
    <s v="https://www.google.com/maps/d/edit?mid=1nAyK85WaWREy0lfxnmWn3USs2gC0nP0&amp;usp=sharing"/>
    <x v="1"/>
    <x v="0"/>
    <x v="3"/>
    <x v="14"/>
    <x v="8"/>
    <x v="6"/>
    <x v="28"/>
    <x v="34"/>
  </r>
  <r>
    <s v="(ML) Ford Lincoln of North Little Rock11"/>
    <x v="7"/>
    <x v="8"/>
    <x v="1"/>
    <x v="1"/>
    <x v="42"/>
    <x v="1"/>
    <s v="https://tools.sig.systems/site/details/214"/>
    <s v="https://www.google.com/maps/d/edit?mid=1Oky35ERk_2kgyzCvDu_odQ2ZP62BtqA&amp;usp=sharing"/>
    <x v="1"/>
    <x v="0"/>
    <x v="32"/>
    <x v="4"/>
    <x v="0"/>
    <x v="32"/>
    <x v="34"/>
    <x v="42"/>
  </r>
  <r>
    <s v="(ML) Joe Machens Kia of Columbia11"/>
    <x v="7"/>
    <x v="8"/>
    <x v="1"/>
    <x v="1"/>
    <x v="107"/>
    <x v="1"/>
    <s v="https://tools.sig.systems/site/details/270"/>
    <s v="https://www.google.com/maps/d/viewer?hl=es&amp;mid=1C1oZdjH3dNvCvqdpIv_Lk0Yn1OCVn-4&amp;ll=38.965368114274455%2C-92.3405954&amp;z=15"/>
    <x v="1"/>
    <x v="0"/>
    <x v="3"/>
    <x v="39"/>
    <x v="0"/>
    <x v="6"/>
    <x v="78"/>
    <x v="106"/>
  </r>
  <r>
    <s v="(SCH) Chevrolet North Palm11"/>
    <x v="7"/>
    <x v="8"/>
    <x v="0"/>
    <x v="0"/>
    <x v="52"/>
    <x v="0"/>
    <s v="https://tools.sig.systems/site/details/160"/>
    <m/>
    <x v="3"/>
    <x v="0"/>
    <x v="39"/>
    <x v="0"/>
    <x v="0"/>
    <x v="6"/>
    <x v="38"/>
    <x v="52"/>
  </r>
  <r>
    <s v="(SCH) Delray I &amp; II11"/>
    <x v="7"/>
    <x v="8"/>
    <x v="0"/>
    <x v="0"/>
    <x v="26"/>
    <x v="0"/>
    <s v="https://tools.sig.systems/site/details/159"/>
    <m/>
    <x v="3"/>
    <x v="0"/>
    <x v="21"/>
    <x v="11"/>
    <x v="6"/>
    <x v="6"/>
    <x v="22"/>
    <x v="26"/>
  </r>
  <r>
    <s v="(WAG) Greeley Chrysler Dodge Jeep Ram (NO TOURS)11"/>
    <x v="7"/>
    <x v="8"/>
    <x v="3"/>
    <x v="2"/>
    <x v="115"/>
    <x v="3"/>
    <s v="https://tools.sig.systems/site/details/130"/>
    <s v="https://www.google.com/maps/d/viewer?mid=1gN2lJ0iT7m5VNhD7aDcxE8AdXqtcOZc&amp;ll=40.396096737592195%2C-104.746842&amp;z=16"/>
    <x v="1"/>
    <x v="0"/>
    <x v="77"/>
    <x v="42"/>
    <x v="0"/>
    <x v="77"/>
    <x v="85"/>
    <x v="114"/>
  </r>
  <r>
    <s v="(AS) Nalley Luxury Collision Center (NO TOURS)11"/>
    <x v="7"/>
    <x v="9"/>
    <x v="0"/>
    <x v="0"/>
    <x v="31"/>
    <x v="0"/>
    <s v="https://tools.sig.systems/site/details/263"/>
    <s v="https://www.google.com/maps/d/edit?mid=1jkN3DS1BhUqp_dztjjW0PDwKfo_Yxsw&amp;usp=sharing"/>
    <x v="1"/>
    <x v="0"/>
    <x v="4"/>
    <x v="0"/>
    <x v="0"/>
    <x v="6"/>
    <x v="26"/>
    <x v="31"/>
  </r>
  <r>
    <s v="(AS) Park Place Volvo Service Center (NO TOURS)11"/>
    <x v="7"/>
    <x v="9"/>
    <x v="1"/>
    <x v="1"/>
    <x v="62"/>
    <x v="1"/>
    <s v="https://tools.sig.systems/site/details/171"/>
    <s v="https://www.google.com/maps/d/edit?hl=es&amp;mid=1uPmsRMsXnp74hPFW2t-sp2totVWF_xY&amp;ll=32.83050137713022%2C-96.83197783061323&amp;z=17"/>
    <x v="1"/>
    <x v="0"/>
    <x v="47"/>
    <x v="0"/>
    <x v="0"/>
    <x v="42"/>
    <x v="11"/>
    <x v="62"/>
  </r>
  <r>
    <s v="(AS) Plaza Lexus/Mercedes/BMW (NO TOURS)11"/>
    <x v="7"/>
    <x v="9"/>
    <x v="1"/>
    <x v="1"/>
    <x v="63"/>
    <x v="1"/>
    <s v="https://tools.sig.systems/site/details/141"/>
    <s v="https://www.google.com/maps/d/viewer?mid=1whGZ1PLqmhJnGFz8uigZqUL4cHGGW3w&amp;ll=38.668847686454825%2C-90.4433601&amp;z=17"/>
    <x v="1"/>
    <x v="0"/>
    <x v="48"/>
    <x v="23"/>
    <x v="0"/>
    <x v="43"/>
    <x v="47"/>
    <x v="63"/>
  </r>
  <r>
    <s v="(ML) Joe Machens Ford Lincoln I &amp; II11"/>
    <x v="7"/>
    <x v="9"/>
    <x v="1"/>
    <x v="1"/>
    <x v="77"/>
    <x v="1"/>
    <s v="https://tools.sig.systems/site/details/266"/>
    <s v="https://www.google.com/maps/d/viewer?hl=es&amp;mid=1C1oZdjH3dNvCvqdpIv_Lk0Yn1OCVn-4&amp;ll=38.965368114274455%2C-92.3405954&amp;z=15"/>
    <x v="1"/>
    <x v="0"/>
    <x v="3"/>
    <x v="27"/>
    <x v="0"/>
    <x v="52"/>
    <x v="11"/>
    <x v="77"/>
  </r>
  <r>
    <s v="(PE) Honda of Danbury (NO TOURS)11"/>
    <x v="7"/>
    <x v="9"/>
    <x v="4"/>
    <x v="0"/>
    <x v="49"/>
    <x v="0"/>
    <s v="https://tools.sig.systems/site/details/190"/>
    <m/>
    <x v="1"/>
    <x v="0"/>
    <x v="3"/>
    <x v="19"/>
    <x v="9"/>
    <x v="6"/>
    <x v="36"/>
    <x v="49"/>
  </r>
  <r>
    <s v="(SCH) West Palm Beach I, II &amp; III11"/>
    <x v="7"/>
    <x v="9"/>
    <x v="6"/>
    <x v="0"/>
    <x v="54"/>
    <x v="0"/>
    <s v="https://tools.sig.systems/site/details/162"/>
    <m/>
    <x v="3"/>
    <x v="2"/>
    <x v="41"/>
    <x v="20"/>
    <x v="10"/>
    <x v="6"/>
    <x v="40"/>
    <x v="54"/>
  </r>
  <r>
    <s v="(AS) David McDavid Lincoln Frisco (NO TOURS)11"/>
    <x v="7"/>
    <x v="10"/>
    <x v="1"/>
    <x v="1"/>
    <x v="58"/>
    <x v="1"/>
    <s v="https://tools.sig.systems/site/details/182"/>
    <m/>
    <x v="1"/>
    <x v="0"/>
    <x v="43"/>
    <x v="0"/>
    <x v="0"/>
    <x v="39"/>
    <x v="44"/>
    <x v="58"/>
  </r>
  <r>
    <s v="(AS) Lexus Smyrna (NO TOURS)11"/>
    <x v="7"/>
    <x v="10"/>
    <x v="0"/>
    <x v="0"/>
    <x v="30"/>
    <x v="0"/>
    <s v="https://tools.sig.systems/site/details/133"/>
    <m/>
    <x v="1"/>
    <x v="0"/>
    <x v="24"/>
    <x v="0"/>
    <x v="0"/>
    <x v="24"/>
    <x v="25"/>
    <x v="30"/>
  </r>
  <r>
    <s v="(AS) Nalley BMW Collision Center (NO TOURS)11"/>
    <x v="7"/>
    <x v="10"/>
    <x v="0"/>
    <x v="0"/>
    <x v="3"/>
    <x v="0"/>
    <s v="https://tools.sig.systems/site/details/220"/>
    <m/>
    <x v="1"/>
    <x v="0"/>
    <x v="3"/>
    <x v="1"/>
    <x v="0"/>
    <x v="3"/>
    <x v="3"/>
    <x v="3"/>
  </r>
  <r>
    <s v="(AS) Plaza Audi/Infiniti (NO TOURS)11"/>
    <x v="7"/>
    <x v="10"/>
    <x v="1"/>
    <x v="1"/>
    <x v="95"/>
    <x v="1"/>
    <s v="https://tools.sig.systems/site/details/141"/>
    <s v="https://www.google.com/maps/d/viewer?mid=1whGZ1PLqmhJnGFz8uigZqUL4cHGGW3w&amp;ll=38.668847686454825%2C-90.4433601&amp;z=17"/>
    <x v="1"/>
    <x v="0"/>
    <x v="68"/>
    <x v="35"/>
    <x v="0"/>
    <x v="65"/>
    <x v="67"/>
    <x v="63"/>
  </r>
  <r>
    <s v="(DT) Albuquerque11"/>
    <x v="7"/>
    <x v="10"/>
    <x v="3"/>
    <x v="2"/>
    <x v="35"/>
    <x v="3"/>
    <s v="https://tools.sig.systems/site/details/237"/>
    <m/>
    <x v="1"/>
    <x v="0"/>
    <x v="27"/>
    <x v="0"/>
    <x v="0"/>
    <x v="27"/>
    <x v="29"/>
    <x v="35"/>
  </r>
  <r>
    <s v="(DT) Louisville11"/>
    <x v="7"/>
    <x v="10"/>
    <x v="0"/>
    <x v="0"/>
    <x v="67"/>
    <x v="0"/>
    <s v="https://tools.sig.systems/site/details/258"/>
    <m/>
    <x v="1"/>
    <x v="0"/>
    <x v="3"/>
    <x v="16"/>
    <x v="0"/>
    <x v="6"/>
    <x v="50"/>
    <x v="67"/>
  </r>
  <r>
    <s v="(KG) Baytown GMC Buick - Remote Lot (NO TOURS)11"/>
    <x v="7"/>
    <x v="10"/>
    <x v="2"/>
    <x v="1"/>
    <x v="70"/>
    <x v="2"/>
    <s v="https://tools.sig.systems/site/details/311"/>
    <m/>
    <x v="1"/>
    <x v="3"/>
    <x v="3"/>
    <x v="25"/>
    <x v="0"/>
    <x v="6"/>
    <x v="11"/>
    <x v="70"/>
  </r>
  <r>
    <s v="(KG) Baytown GMC Buick (NO TOURS)11"/>
    <x v="7"/>
    <x v="10"/>
    <x v="1"/>
    <x v="1"/>
    <x v="71"/>
    <x v="1"/>
    <s v="https://tools.sig.systems/site/details/239"/>
    <m/>
    <x v="1"/>
    <x v="0"/>
    <x v="52"/>
    <x v="0"/>
    <x v="0"/>
    <x v="47"/>
    <x v="53"/>
    <x v="71"/>
  </r>
  <r>
    <s v="(KG) Kia of Phoenix (NO TOURS)11"/>
    <x v="7"/>
    <x v="10"/>
    <x v="5"/>
    <x v="3"/>
    <x v="40"/>
    <x v="4"/>
    <s v="https://tools.sig.systems/site/details/262"/>
    <m/>
    <x v="4"/>
    <x v="0"/>
    <x v="30"/>
    <x v="0"/>
    <x v="0"/>
    <x v="30"/>
    <x v="11"/>
    <x v="40"/>
  </r>
  <r>
    <s v="(ML) Mazda VW-Lot B11"/>
    <x v="7"/>
    <x v="10"/>
    <x v="1"/>
    <x v="1"/>
    <x v="45"/>
    <x v="1"/>
    <s v="https://tools.sig.systems/site/details/205"/>
    <s v="https://www.google.com/maps/d/edit?mid=1Oky35ERk_2kgyzCvDu_odQ2ZP62BtqA&amp;usp=sharing"/>
    <x v="1"/>
    <x v="0"/>
    <x v="33"/>
    <x v="9"/>
    <x v="0"/>
    <x v="30"/>
    <x v="11"/>
    <x v="45"/>
  </r>
  <r>
    <s v="(ML) Volvo Collision Corp11"/>
    <x v="7"/>
    <x v="10"/>
    <x v="1"/>
    <x v="1"/>
    <x v="47"/>
    <x v="1"/>
    <s v="https://tools.sig.systems/site/details/223"/>
    <m/>
    <x v="1"/>
    <x v="0"/>
    <x v="35"/>
    <x v="1"/>
    <x v="0"/>
    <x v="35"/>
    <x v="11"/>
    <x v="47"/>
  </r>
  <r>
    <s v="(PE) Fairfield Collision (NO TOURS)11"/>
    <x v="7"/>
    <x v="10"/>
    <x v="4"/>
    <x v="0"/>
    <x v="22"/>
    <x v="0"/>
    <s v="https://tools.sig.systems/site/details/191"/>
    <m/>
    <x v="1"/>
    <x v="0"/>
    <x v="18"/>
    <x v="0"/>
    <x v="0"/>
    <x v="6"/>
    <x v="18"/>
    <x v="22"/>
  </r>
  <r>
    <s v="(RV) Sonny's Camp N Travel Concord11"/>
    <x v="7"/>
    <x v="10"/>
    <x v="0"/>
    <x v="0"/>
    <x v="114"/>
    <x v="0"/>
    <s v="https://tools.sig.systems/site/details/183"/>
    <m/>
    <x v="1"/>
    <x v="0"/>
    <x v="6"/>
    <x v="0"/>
    <x v="0"/>
    <x v="76"/>
    <x v="84"/>
    <x v="113"/>
  </r>
  <r>
    <s v="(AS) Courtesy Hyundai/Nissan Tampa (NO TOURS)12"/>
    <x v="8"/>
    <x v="0"/>
    <x v="0"/>
    <x v="0"/>
    <x v="89"/>
    <x v="0"/>
    <s v="https://tools.sig.systems/site/details/128"/>
    <m/>
    <x v="0"/>
    <x v="0"/>
    <x v="64"/>
    <x v="0"/>
    <x v="0"/>
    <x v="59"/>
    <x v="62"/>
    <x v="89"/>
  </r>
  <r>
    <s v="(AS) Park Place Bodywerks Ft. Worth (NO TOURS)12"/>
    <x v="8"/>
    <x v="0"/>
    <x v="1"/>
    <x v="1"/>
    <x v="92"/>
    <x v="1"/>
    <s v="https://tools.sig.systems/site/details/134"/>
    <s v="https://www.google.com/maps/d/edit?mid=18OEO_KbvYcgI3N1jE4gTMXfNHTNDrFU&amp;ll=32.66603989958274%2C-97.42021198201722&amp;z=18"/>
    <x v="1"/>
    <x v="0"/>
    <x v="66"/>
    <x v="0"/>
    <x v="0"/>
    <x v="62"/>
    <x v="64"/>
    <x v="92"/>
  </r>
  <r>
    <s v="(DT) N. Houston12"/>
    <x v="8"/>
    <x v="0"/>
    <x v="1"/>
    <x v="1"/>
    <x v="9"/>
    <x v="1"/>
    <s v="https://tools.sig.systems/site/details/250"/>
    <m/>
    <x v="1"/>
    <x v="0"/>
    <x v="8"/>
    <x v="0"/>
    <x v="0"/>
    <x v="8"/>
    <x v="9"/>
    <x v="9"/>
  </r>
  <r>
    <s v="(DT) W Houston12"/>
    <x v="8"/>
    <x v="0"/>
    <x v="1"/>
    <x v="1"/>
    <x v="10"/>
    <x v="1"/>
    <s v="https://tools.sig.systems/site/details/197"/>
    <m/>
    <x v="1"/>
    <x v="0"/>
    <x v="9"/>
    <x v="2"/>
    <x v="0"/>
    <x v="9"/>
    <x v="10"/>
    <x v="10"/>
  </r>
  <r>
    <s v="(HUD) Acura of Greensboro12"/>
    <x v="8"/>
    <x v="0"/>
    <x v="0"/>
    <x v="0"/>
    <x v="99"/>
    <x v="0"/>
    <s v="https://tools.sig.systems/site/details/213"/>
    <s v="https://www.google.com/maps/d/viewer?mid=1ejOzT7-x6RWnCf83BBP7XhiOiwEX3Wk&amp;ll=0%2C0&amp;z=17"/>
    <x v="1"/>
    <x v="0"/>
    <x v="69"/>
    <x v="0"/>
    <x v="0"/>
    <x v="67"/>
    <x v="71"/>
    <x v="98"/>
  </r>
  <r>
    <s v="(KG) Clear Lake Pre-Owned12"/>
    <x v="8"/>
    <x v="0"/>
    <x v="1"/>
    <x v="1"/>
    <x v="39"/>
    <x v="1"/>
    <s v="https://tools.sig.systems/site/details/255"/>
    <s v="https://www.google.com/maps/d/edit?mid=1DRwy5fy1g5UzGTA7a1OkQA-_CY8SQ2s&amp;usp=sharing"/>
    <x v="1"/>
    <x v="0"/>
    <x v="29"/>
    <x v="0"/>
    <x v="0"/>
    <x v="29"/>
    <x v="32"/>
    <x v="39"/>
  </r>
  <r>
    <s v="(KG) Truck Center Remote Storage Lot12"/>
    <x v="8"/>
    <x v="0"/>
    <x v="2"/>
    <x v="2"/>
    <x v="14"/>
    <x v="2"/>
    <s v="https://tools.sig.systems/site/details/144"/>
    <m/>
    <x v="1"/>
    <x v="0"/>
    <x v="13"/>
    <x v="5"/>
    <x v="0"/>
    <x v="12"/>
    <x v="14"/>
    <x v="14"/>
  </r>
  <r>
    <s v="(ML) McLarty Gray-Daniels Ford Lincoln12"/>
    <x v="8"/>
    <x v="0"/>
    <x v="1"/>
    <x v="1"/>
    <x v="79"/>
    <x v="1"/>
    <s v="https://tools.sig.systems/site/details/151"/>
    <s v="https://www.google.com/maps/d/edit?mid=111nhCL4Xjj2Pq0zP5xUrMzHQqAihqa0&amp;usp=sharing"/>
    <x v="1"/>
    <x v="0"/>
    <x v="56"/>
    <x v="29"/>
    <x v="0"/>
    <x v="53"/>
    <x v="57"/>
    <x v="79"/>
  </r>
  <r>
    <s v="(PE) Hudson Toyota Nissan CDJR (NO TOURS)12"/>
    <x v="8"/>
    <x v="0"/>
    <x v="4"/>
    <x v="0"/>
    <x v="81"/>
    <x v="0"/>
    <s v="https://tools.sig.systems/site/details/156"/>
    <m/>
    <x v="1"/>
    <x v="0"/>
    <x v="49"/>
    <x v="30"/>
    <x v="0"/>
    <x v="55"/>
    <x v="58"/>
    <x v="81"/>
  </r>
  <r>
    <s v="(RV) Toms Camperland Avondale (NO TOURS)12"/>
    <x v="8"/>
    <x v="0"/>
    <x v="5"/>
    <x v="3"/>
    <x v="24"/>
    <x v="4"/>
    <s v="https://tools.sig.systems/site/details/248"/>
    <s v="https://www.google.com/maps/d/viewer?mid=1bDs0QGFZwL3vEeGKxjVMk_j4azr0-lg&amp;ll=33.4593758581648%2C-112.28793780000001&amp;z=18"/>
    <x v="2"/>
    <x v="0"/>
    <x v="19"/>
    <x v="10"/>
    <x v="0"/>
    <x v="6"/>
    <x v="20"/>
    <x v="24"/>
  </r>
  <r>
    <s v="(AS) Nalley Lexus &amp; Remote Lot Roswell (NO TOURS)12"/>
    <x v="8"/>
    <x v="1"/>
    <x v="2"/>
    <x v="0"/>
    <x v="4"/>
    <x v="2"/>
    <s v="https://tools.sig.systems/site/details/131"/>
    <s v="https://www.google.com/maps/d/edit?mid=1jkN3DS1BhUqp_dztjjW0PDwKfo_Yxsw&amp;usp=sharing"/>
    <x v="1"/>
    <x v="1"/>
    <x v="4"/>
    <x v="1"/>
    <x v="3"/>
    <x v="4"/>
    <x v="4"/>
    <x v="4"/>
  </r>
  <r>
    <s v="(AS) Park Place Acura (NO TOURS)12"/>
    <x v="8"/>
    <x v="1"/>
    <x v="1"/>
    <x v="1"/>
    <x v="32"/>
    <x v="1"/>
    <s v="https://tools.sig.systems/site/details/259"/>
    <s v="https://www.google.com/maps/d/viewer?mid=1wg5suxVuxeNp_irHlvN772HcwD6W89E&amp;ll=33.06373951220261%2C-96.82758025000001&amp;z=18"/>
    <x v="1"/>
    <x v="0"/>
    <x v="25"/>
    <x v="0"/>
    <x v="0"/>
    <x v="25"/>
    <x v="11"/>
    <x v="32"/>
  </r>
  <r>
    <s v="(DT) Denver (NO TOURS)12"/>
    <x v="8"/>
    <x v="1"/>
    <x v="3"/>
    <x v="2"/>
    <x v="97"/>
    <x v="3"/>
    <s v="https://tools.sig.systems/site/details/203"/>
    <s v="https://www.google.com/maps/d/edit?mid=1AjZHz2LTg0RMhZUOmyZsv_Y4MFcaP8g&amp;usp=sharing"/>
    <x v="1"/>
    <x v="0"/>
    <x v="3"/>
    <x v="25"/>
    <x v="0"/>
    <x v="6"/>
    <x v="69"/>
    <x v="96"/>
  </r>
  <r>
    <s v="(HUD) BMW of Greensboro12"/>
    <x v="8"/>
    <x v="1"/>
    <x v="0"/>
    <x v="0"/>
    <x v="100"/>
    <x v="0"/>
    <s v="https://tools.sig.systems/site/details/219"/>
    <s v="https://www.google.com/maps/d/viewer?mid=1ejOzT7-x6RWnCf83BBP7XhiOiwEX3Wk&amp;ll=36.061264791292906%2C-79.87437695000003&amp;z=17"/>
    <x v="1"/>
    <x v="0"/>
    <x v="70"/>
    <x v="0"/>
    <x v="0"/>
    <x v="68"/>
    <x v="72"/>
    <x v="99"/>
  </r>
  <r>
    <s v="(KG) JLR LEHI (NO TOURS)12"/>
    <x v="8"/>
    <x v="1"/>
    <x v="3"/>
    <x v="2"/>
    <x v="73"/>
    <x v="3"/>
    <s v="https://tools.sig.systems/site/details/145"/>
    <m/>
    <x v="1"/>
    <x v="0"/>
    <x v="54"/>
    <x v="0"/>
    <x v="0"/>
    <x v="49"/>
    <x v="11"/>
    <x v="73"/>
  </r>
  <r>
    <s v="(KG) Texan CDJR12"/>
    <x v="8"/>
    <x v="1"/>
    <x v="1"/>
    <x v="1"/>
    <x v="13"/>
    <x v="1"/>
    <s v="https://tools.sig.systems/site/details/238"/>
    <s v="https://www.google.com/maps/d/edit?mid=1FNqK4dW8Z8gtSWuQLbStrtqe7lH8DIQ&amp;usp=sharing"/>
    <x v="1"/>
    <x v="0"/>
    <x v="12"/>
    <x v="0"/>
    <x v="5"/>
    <x v="11"/>
    <x v="13"/>
    <x v="13"/>
  </r>
  <r>
    <s v="(LM) Luther Mazda / Mitsubishi12"/>
    <x v="8"/>
    <x v="1"/>
    <x v="1"/>
    <x v="1"/>
    <x v="74"/>
    <x v="1"/>
    <s v="https://tools.sig.systems/site/details/147"/>
    <s v="https://www.google.com/maps/d/viewer?mid=1ot0ILX76JMuvd9yMuqkb4_e0yH1n7TA&amp;ll=45.07815812965141%2C-93.33506855000002&amp;z=17"/>
    <x v="1"/>
    <x v="0"/>
    <x v="55"/>
    <x v="0"/>
    <x v="12"/>
    <x v="6"/>
    <x v="55"/>
    <x v="74"/>
  </r>
  <r>
    <s v="(ML) Columbia Honda (NO TOURS)12"/>
    <x v="8"/>
    <x v="1"/>
    <x v="1"/>
    <x v="1"/>
    <x v="75"/>
    <x v="1"/>
    <s v="https://tools.sig.systems/site/details/272"/>
    <s v="https://www.google.com/maps/d/viewer?hl=es&amp;mid=1C1oZdjH3dNvCvqdpIv_Lk0Yn1OCVn-4&amp;ll=38.965368114274426%2C-92.3405954&amp;z=15"/>
    <x v="1"/>
    <x v="0"/>
    <x v="3"/>
    <x v="26"/>
    <x v="0"/>
    <x v="50"/>
    <x v="56"/>
    <x v="75"/>
  </r>
  <r>
    <s v="(ML) McLarty Gray-Daniels Toyota Nissan12"/>
    <x v="8"/>
    <x v="1"/>
    <x v="1"/>
    <x v="1"/>
    <x v="108"/>
    <x v="1"/>
    <s v="https://tools.sig.systems/site/details/152"/>
    <s v="https://www.google.com/maps/d/edit?mid=111nhCL4Xjj2Pq0zP5xUrMzHQqAihqa0&amp;usp=sharing"/>
    <x v="1"/>
    <x v="0"/>
    <x v="3"/>
    <x v="40"/>
    <x v="0"/>
    <x v="72"/>
    <x v="79"/>
    <x v="107"/>
  </r>
  <r>
    <s v="(RV) Toms Camperland Mesa (NO TOURS)12"/>
    <x v="8"/>
    <x v="1"/>
    <x v="5"/>
    <x v="3"/>
    <x v="25"/>
    <x v="4"/>
    <s v="https://tools.sig.systems/site/details/222"/>
    <m/>
    <x v="1"/>
    <x v="0"/>
    <x v="20"/>
    <x v="0"/>
    <x v="0"/>
    <x v="6"/>
    <x v="21"/>
    <x v="25"/>
  </r>
  <r>
    <s v="(AS) Bill Estes Ford (NO TOURS)12"/>
    <x v="8"/>
    <x v="2"/>
    <x v="0"/>
    <x v="0"/>
    <x v="55"/>
    <x v="0"/>
    <s v="https://tools.sig.systems/site/details/125"/>
    <m/>
    <x v="1"/>
    <x v="0"/>
    <x v="3"/>
    <x v="21"/>
    <x v="0"/>
    <x v="36"/>
    <x v="41"/>
    <x v="55"/>
  </r>
  <r>
    <s v="(AS) Lexus Grapevine I &amp; II (NO TOURS)12"/>
    <x v="8"/>
    <x v="2"/>
    <x v="1"/>
    <x v="1"/>
    <x v="29"/>
    <x v="1"/>
    <s v="https://tools.sig.systems/site/details/136"/>
    <m/>
    <x v="1"/>
    <x v="0"/>
    <x v="23"/>
    <x v="0"/>
    <x v="7"/>
    <x v="23"/>
    <x v="24"/>
    <x v="29"/>
  </r>
  <r>
    <s v="(AS) Park Place Mercedes Benz Arlington (NO TOURS)12"/>
    <x v="8"/>
    <x v="2"/>
    <x v="1"/>
    <x v="1"/>
    <x v="61"/>
    <x v="1"/>
    <s v="https://tools.sig.systems/site/details/169"/>
    <m/>
    <x v="1"/>
    <x v="0"/>
    <x v="46"/>
    <x v="0"/>
    <x v="11"/>
    <x v="41"/>
    <x v="46"/>
    <x v="61"/>
  </r>
  <r>
    <s v="(HUD) Nissan Greensboro12"/>
    <x v="8"/>
    <x v="2"/>
    <x v="0"/>
    <x v="0"/>
    <x v="12"/>
    <x v="0"/>
    <s v="https://tools.sig.systems/site/details/236"/>
    <s v="https://www.google.com/maps/d/viewer?mid=1ejOzT7-x6RWnCf83BBP7XhiOiwEX3Wk&amp;ll=36.061264791292906%2C-79.87437695000003&amp;z=17"/>
    <x v="1"/>
    <x v="0"/>
    <x v="11"/>
    <x v="0"/>
    <x v="0"/>
    <x v="6"/>
    <x v="12"/>
    <x v="12"/>
  </r>
  <r>
    <s v="(KG) Big Star Ford12"/>
    <x v="8"/>
    <x v="2"/>
    <x v="1"/>
    <x v="1"/>
    <x v="102"/>
    <x v="1"/>
    <s v="https://tools.sig.systems/site/details/235"/>
    <m/>
    <x v="1"/>
    <x v="0"/>
    <x v="72"/>
    <x v="0"/>
    <x v="0"/>
    <x v="70"/>
    <x v="74"/>
    <x v="101"/>
  </r>
  <r>
    <s v="(KG) Hyundai Surprise12"/>
    <x v="8"/>
    <x v="2"/>
    <x v="5"/>
    <x v="3"/>
    <x v="103"/>
    <x v="4"/>
    <s v="https://tools.sig.systems/site/details/269"/>
    <m/>
    <x v="4"/>
    <x v="0"/>
    <x v="73"/>
    <x v="0"/>
    <x v="0"/>
    <x v="71"/>
    <x v="11"/>
    <x v="102"/>
  </r>
  <r>
    <s v="(KG) Texan GMC Buick (NO TOURS)12"/>
    <x v="8"/>
    <x v="2"/>
    <x v="1"/>
    <x v="1"/>
    <x v="41"/>
    <x v="1"/>
    <s v="https://tools.sig.systems/site/details/225"/>
    <s v="https://www.google.com/maps/d/edit?mid=1FNqK4dW8Z8gtSWuQLbStrtqe7lH8DIQ&amp;usp=sharing"/>
    <x v="1"/>
    <x v="0"/>
    <x v="31"/>
    <x v="0"/>
    <x v="0"/>
    <x v="31"/>
    <x v="33"/>
    <x v="41"/>
  </r>
  <r>
    <s v="(ML) Joe Machens CDJR12"/>
    <x v="8"/>
    <x v="2"/>
    <x v="1"/>
    <x v="1"/>
    <x v="43"/>
    <x v="1"/>
    <s v="https://tools.sig.systems/site/details/273"/>
    <s v="https://www.google.com/maps/d/viewer?hl=es&amp;mid=1C1oZdjH3dNvCvqdpIv_Lk0Yn1OCVn-4&amp;ll=38.965368114274455%2C-92.3405954&amp;z=15"/>
    <x v="1"/>
    <x v="0"/>
    <x v="3"/>
    <x v="16"/>
    <x v="0"/>
    <x v="6"/>
    <x v="35"/>
    <x v="43"/>
  </r>
  <r>
    <s v="SIG Office12"/>
    <x v="8"/>
    <x v="2"/>
    <x v="2"/>
    <x v="0"/>
    <x v="85"/>
    <x v="2"/>
    <s v="https://tools.sig.systems/site/details/163"/>
    <m/>
    <x v="1"/>
    <x v="0"/>
    <x v="3"/>
    <x v="0"/>
    <x v="0"/>
    <x v="6"/>
    <x v="60"/>
    <x v="85"/>
  </r>
  <r>
    <s v="(AS) Lexus Plano I &amp; II (NO TOURS)12"/>
    <x v="8"/>
    <x v="3"/>
    <x v="1"/>
    <x v="1"/>
    <x v="1"/>
    <x v="1"/>
    <s v="https://tools.sig.systems/site/details/167"/>
    <s v="https://www.google.com/maps/d/viewer?mid=1wg5suxVuxeNp_irHlvN772HcwD6W89E&amp;ll=33.06373951220261%2C-96.82758025000001&amp;z=18"/>
    <x v="1"/>
    <x v="0"/>
    <x v="1"/>
    <x v="0"/>
    <x v="1"/>
    <x v="1"/>
    <x v="1"/>
    <x v="1"/>
  </r>
  <r>
    <s v="(AS) Park Place Volvo Sales (NO TOURS)12"/>
    <x v="8"/>
    <x v="3"/>
    <x v="1"/>
    <x v="1"/>
    <x v="33"/>
    <x v="1"/>
    <s v="https://tools.sig.systems/site/details/139"/>
    <s v="https://www.google.com/maps/d/edit?hl=es&amp;mid=1uPmsRMsXnp74hPFW2t-sp2totVWF_xY&amp;ll=32.83050137713022%2C-96.83197783061323&amp;z=17"/>
    <x v="1"/>
    <x v="0"/>
    <x v="26"/>
    <x v="0"/>
    <x v="0"/>
    <x v="26"/>
    <x v="27"/>
    <x v="33"/>
  </r>
  <r>
    <s v="(AS) Park Place Volvo Service Center (NO TOURS)12"/>
    <x v="8"/>
    <x v="3"/>
    <x v="1"/>
    <x v="1"/>
    <x v="62"/>
    <x v="1"/>
    <s v="https://tools.sig.systems/site/details/171"/>
    <s v="https://www.google.com/maps/d/edit?hl=es&amp;mid=1uPmsRMsXnp74hPFW2t-sp2totVWF_xY&amp;ll=32.83050137713022%2C-96.83197783061323&amp;z=17"/>
    <x v="1"/>
    <x v="0"/>
    <x v="47"/>
    <x v="0"/>
    <x v="0"/>
    <x v="42"/>
    <x v="11"/>
    <x v="62"/>
  </r>
  <r>
    <s v="(DT) El Cajon (NO TOURS)12"/>
    <x v="8"/>
    <x v="3"/>
    <x v="5"/>
    <x v="4"/>
    <x v="66"/>
    <x v="4"/>
    <s v="https://tools.sig.systems/site/details/241"/>
    <m/>
    <x v="1"/>
    <x v="0"/>
    <x v="3"/>
    <x v="16"/>
    <x v="0"/>
    <x v="6"/>
    <x v="11"/>
    <x v="66"/>
  </r>
  <r>
    <s v="(HUD) CDJR of Greensboro12"/>
    <x v="8"/>
    <x v="3"/>
    <x v="0"/>
    <x v="0"/>
    <x v="68"/>
    <x v="6"/>
    <s v="https://tools.sig.systems/site/details/215"/>
    <s v="https://www.google.com/maps/d/viewer?mid=1ejOzT7-x6RWnCf83BBP7XhiOiwEX3Wk&amp;ll=36.061264791292906%2C-79.87437695000003&amp;z=17"/>
    <x v="3"/>
    <x v="0"/>
    <x v="50"/>
    <x v="0"/>
    <x v="0"/>
    <x v="45"/>
    <x v="51"/>
    <x v="68"/>
  </r>
  <r>
    <s v="(HUD) Honda of Southpoint12"/>
    <x v="8"/>
    <x v="3"/>
    <x v="0"/>
    <x v="0"/>
    <x v="11"/>
    <x v="0"/>
    <s v="https://tools.sig.systems/site/details/195"/>
    <m/>
    <x v="0"/>
    <x v="0"/>
    <x v="10"/>
    <x v="4"/>
    <x v="0"/>
    <x v="10"/>
    <x v="11"/>
    <x v="11"/>
  </r>
  <r>
    <s v="(KG) Big Star CDJR of Clear Lake12"/>
    <x v="8"/>
    <x v="3"/>
    <x v="1"/>
    <x v="1"/>
    <x v="101"/>
    <x v="1"/>
    <s v="https://tools.sig.systems/site/details/232"/>
    <s v="https://www.google.com/maps/d/edit?mid=1DRwy5fy1g5UzGTA7a1OkQA-_CY8SQ2s&amp;usp=sharing"/>
    <x v="1"/>
    <x v="0"/>
    <x v="71"/>
    <x v="0"/>
    <x v="0"/>
    <x v="69"/>
    <x v="73"/>
    <x v="100"/>
  </r>
  <r>
    <s v="(ML) Joe Machens VW12"/>
    <x v="8"/>
    <x v="3"/>
    <x v="1"/>
    <x v="1"/>
    <x v="19"/>
    <x v="1"/>
    <s v="https://tools.sig.systems/site/details/274"/>
    <s v="https://www.google.com/maps/d/viewer?hl=es&amp;mid=1C1oZdjH3dNvCvqdpIv_Lk0Yn1OCVn-4&amp;ll=38.965368114274455%2C-92.3405954&amp;z=15"/>
    <x v="1"/>
    <x v="0"/>
    <x v="3"/>
    <x v="8"/>
    <x v="0"/>
    <x v="17"/>
    <x v="11"/>
    <x v="19"/>
  </r>
  <r>
    <s v="(ML) Nissan of Little Rock12"/>
    <x v="8"/>
    <x v="3"/>
    <x v="1"/>
    <x v="1"/>
    <x v="46"/>
    <x v="1"/>
    <s v="https://tools.sig.systems/site/details/224"/>
    <s v="https://www.google.com/maps/d/viewer?mid=1hvbKFMO-d5TXrKGU-g5dt_xcdArB1D0&amp;ll=34.71147784120261%2C-92.40574350000001&amp;z=17"/>
    <x v="1"/>
    <x v="0"/>
    <x v="34"/>
    <x v="0"/>
    <x v="0"/>
    <x v="34"/>
    <x v="7"/>
    <x v="46"/>
  </r>
  <r>
    <s v="(PE) BMW of Greenwich (NO TOURS)12"/>
    <x v="8"/>
    <x v="3"/>
    <x v="4"/>
    <x v="0"/>
    <x v="110"/>
    <x v="0"/>
    <s v="https://tools.sig.systems/site/details/186"/>
    <s v="https://www.google.com/maps/d/edit?hl=en&amp;mid=1UHmt7tH1ihTa85i0MfQIcTfVvIQg_vM&amp;ll=41.024187580466844%2C-73.63702405370861&amp;z=18"/>
    <x v="1"/>
    <x v="0"/>
    <x v="75"/>
    <x v="0"/>
    <x v="0"/>
    <x v="6"/>
    <x v="81"/>
    <x v="109"/>
  </r>
  <r>
    <s v="(AS) Coggin Honda Ft. Pierce (NO TOURS)12"/>
    <x v="8"/>
    <x v="4"/>
    <x v="0"/>
    <x v="0"/>
    <x v="0"/>
    <x v="0"/>
    <s v="https://tools.sig.systems/site/details/120"/>
    <s v="https://www.google.com/maps/d/viewer?mid=1AyViBuyeq7iwDua1SVudJ2A1BYi3IBA&amp;ll=27.38181516363982%2C-80.32568845000002&amp;z=18"/>
    <x v="0"/>
    <x v="0"/>
    <x v="0"/>
    <x v="0"/>
    <x v="0"/>
    <x v="0"/>
    <x v="0"/>
    <x v="0"/>
  </r>
  <r>
    <s v="(AS) Mercedes Benz/Porsche Dallas I,II,III (NO TOURS)12"/>
    <x v="8"/>
    <x v="4"/>
    <x v="1"/>
    <x v="1"/>
    <x v="2"/>
    <x v="1"/>
    <s v="https://tools.sig.systems/site/details/168"/>
    <s v="https://www.google.com/maps/d/edit?hl=es&amp;mid=1uPmsRMsXnp74hPFW2t-sp2totVWF_xY&amp;ll=32.83050137713022%2C-96.83197783061323&amp;z=17"/>
    <x v="1"/>
    <x v="0"/>
    <x v="2"/>
    <x v="0"/>
    <x v="2"/>
    <x v="2"/>
    <x v="2"/>
    <x v="2"/>
  </r>
  <r>
    <s v="(AS) Mike Shaw Subaru Greeley (NO TOURS)12"/>
    <x v="8"/>
    <x v="4"/>
    <x v="3"/>
    <x v="2"/>
    <x v="91"/>
    <x v="3"/>
    <s v="https://tools.sig.systems/site/details/174"/>
    <s v="https://www.google.com/maps/d/viewer?mid=1gN2lJ0iT7m5VNhD7aDcxE8AdXqtcOZc&amp;ll=40.396096737592195%2C-104.746842&amp;z=16"/>
    <x v="1"/>
    <x v="0"/>
    <x v="65"/>
    <x v="32"/>
    <x v="0"/>
    <x v="61"/>
    <x v="11"/>
    <x v="91"/>
  </r>
  <r>
    <s v="(DT) Colorado Springs (NO TOURS)12"/>
    <x v="8"/>
    <x v="4"/>
    <x v="3"/>
    <x v="2"/>
    <x v="65"/>
    <x v="3"/>
    <s v="https://tools.sig.systems/site/details/198"/>
    <m/>
    <x v="1"/>
    <x v="0"/>
    <x v="3"/>
    <x v="24"/>
    <x v="0"/>
    <x v="6"/>
    <x v="49"/>
    <x v="65"/>
  </r>
  <r>
    <s v="(DT) Escondido12"/>
    <x v="8"/>
    <x v="4"/>
    <x v="5"/>
    <x v="4"/>
    <x v="98"/>
    <x v="5"/>
    <s v="https://tools.sig.systems/site/details/196"/>
    <m/>
    <x v="1"/>
    <x v="4"/>
    <x v="20"/>
    <x v="0"/>
    <x v="0"/>
    <x v="6"/>
    <x v="70"/>
    <x v="97"/>
  </r>
  <r>
    <s v="(HUD) Honda Greensboro12"/>
    <x v="8"/>
    <x v="4"/>
    <x v="0"/>
    <x v="0"/>
    <x v="37"/>
    <x v="0"/>
    <s v="https://tools.sig.systems/site/details/230"/>
    <s v="AS/ HUD - Crown Greensboro - Google My Maps"/>
    <x v="1"/>
    <x v="0"/>
    <x v="28"/>
    <x v="0"/>
    <x v="0"/>
    <x v="28"/>
    <x v="31"/>
    <x v="37"/>
  </r>
  <r>
    <s v="(ML) BMW of Little Rock12"/>
    <x v="8"/>
    <x v="4"/>
    <x v="1"/>
    <x v="1"/>
    <x v="105"/>
    <x v="1"/>
    <s v="https://tools.sig.systems/site/details/217"/>
    <s v="https://www.google.com/maps/d/viewer?mid=1hvbKFMO-d5TXrKGU-g5dt_xcdArB1D0&amp;ll=34.71147784120261%2C-92.40574350000001&amp;z=17"/>
    <x v="1"/>
    <x v="0"/>
    <x v="3"/>
    <x v="38"/>
    <x v="0"/>
    <x v="6"/>
    <x v="76"/>
    <x v="104"/>
  </r>
  <r>
    <s v="(ML) Honda of Little Rock12"/>
    <x v="8"/>
    <x v="4"/>
    <x v="1"/>
    <x v="1"/>
    <x v="16"/>
    <x v="1"/>
    <s v="https://tools.sig.systems/site/details/249"/>
    <s v="https://www.google.com/maps/d/viewer?mid=1hvbKFMO-d5TXrKGU-g5dt_xcdArB1D0&amp;ll=34.71147784120261%2C-92.40574350000001&amp;z=17"/>
    <x v="1"/>
    <x v="0"/>
    <x v="15"/>
    <x v="0"/>
    <x v="0"/>
    <x v="14"/>
    <x v="15"/>
    <x v="16"/>
  </r>
  <r>
    <s v="(ML) Joe Machens Toyota12"/>
    <x v="8"/>
    <x v="4"/>
    <x v="1"/>
    <x v="1"/>
    <x v="18"/>
    <x v="1"/>
    <s v="https://tools.sig.systems/site/details/275"/>
    <s v="https://www.google.com/maps/d/viewer?hl=es&amp;mid=1C1oZdjH3dNvCvqdpIv_Lk0Yn1OCVn-4&amp;ll=38.965368114274455%2C-92.3405954&amp;z=15"/>
    <x v="1"/>
    <x v="0"/>
    <x v="3"/>
    <x v="7"/>
    <x v="0"/>
    <x v="16"/>
    <x v="11"/>
    <x v="18"/>
  </r>
  <r>
    <s v="(PE) BMW of Mamaroneck (NO TOURS)12"/>
    <x v="8"/>
    <x v="4"/>
    <x v="4"/>
    <x v="0"/>
    <x v="111"/>
    <x v="0"/>
    <s v="https://tools.sig.systems/site/details/185"/>
    <m/>
    <x v="1"/>
    <x v="0"/>
    <x v="76"/>
    <x v="41"/>
    <x v="0"/>
    <x v="6"/>
    <x v="82"/>
    <x v="110"/>
  </r>
  <r>
    <s v="(PE) JLR PDI (NO TOURS)12"/>
    <x v="8"/>
    <x v="4"/>
    <x v="4"/>
    <x v="0"/>
    <x v="50"/>
    <x v="0"/>
    <s v="https://tools.sig.systems/site/details/179"/>
    <s v="https://www.google.com/maps/d/viewer?mid=1ubI2iKs1JyYXssuT4oLPnVvFnyLPi_s&amp;ll=40.878808846788026%2C-73.98560655&amp;z=17"/>
    <x v="1"/>
    <x v="0"/>
    <x v="37"/>
    <x v="0"/>
    <x v="0"/>
    <x v="6"/>
    <x v="11"/>
    <x v="50"/>
  </r>
  <r>
    <s v="(AS) Park Place Sprinter Van Center (NO TOURS)12"/>
    <x v="8"/>
    <x v="5"/>
    <x v="1"/>
    <x v="1"/>
    <x v="6"/>
    <x v="1"/>
    <s v="https://tools.sig.systems/site/details/138"/>
    <s v="https://www.google.com/maps/d/edit?hl=es&amp;mid=1uPmsRMsXnp74hPFW2t-sp2totVWF_xY&amp;ll=32.83050137713022%2C-96.83197783061323&amp;z=17"/>
    <x v="1"/>
    <x v="0"/>
    <x v="6"/>
    <x v="0"/>
    <x v="0"/>
    <x v="6"/>
    <x v="6"/>
    <x v="6"/>
  </r>
  <r>
    <s v="(AS) Stevinson Chevrolet Golden (NO TOURS)12"/>
    <x v="8"/>
    <x v="5"/>
    <x v="7"/>
    <x v="2"/>
    <x v="96"/>
    <x v="3"/>
    <s v="https://tools.sig.systems/site/details/264"/>
    <s v="https://www.google.com/maps/d/edit?mid=1nAyK85WaWREy0lfxnmWn3USs2gC0nP0&amp;usp=sharing"/>
    <x v="1"/>
    <x v="0"/>
    <x v="3"/>
    <x v="36"/>
    <x v="0"/>
    <x v="66"/>
    <x v="68"/>
    <x v="95"/>
  </r>
  <r>
    <s v="(AS) Stevinson JLR (NO TOURS)12"/>
    <x v="8"/>
    <x v="5"/>
    <x v="3"/>
    <x v="2"/>
    <x v="64"/>
    <x v="3"/>
    <s v="https://tools.sig.systems/site/details/204"/>
    <m/>
    <x v="1"/>
    <x v="0"/>
    <x v="49"/>
    <x v="1"/>
    <x v="0"/>
    <x v="44"/>
    <x v="48"/>
    <x v="64"/>
  </r>
  <r>
    <s v="(DT) Wichita12"/>
    <x v="8"/>
    <x v="5"/>
    <x v="1"/>
    <x v="1"/>
    <x v="36"/>
    <x v="1"/>
    <s v="https://tools.sig.systems/site/details/257"/>
    <m/>
    <x v="1"/>
    <x v="0"/>
    <x v="3"/>
    <x v="15"/>
    <x v="0"/>
    <x v="6"/>
    <x v="30"/>
    <x v="36"/>
  </r>
  <r>
    <s v="(HUD) Paint and Body Center (NO TOURS)12"/>
    <x v="8"/>
    <x v="5"/>
    <x v="0"/>
    <x v="0"/>
    <x v="38"/>
    <x v="0"/>
    <s v="https://tools.sig.systems/site/details/256"/>
    <s v="https://www.google.com/maps/d/viewer?mid=1ejOzT7-x6RWnCf83BBP7XhiOiwEX3Wk&amp;ll=36.061264791292906%2C-79.87437695000003&amp;z=17"/>
    <x v="1"/>
    <x v="0"/>
    <x v="3"/>
    <x v="9"/>
    <x v="0"/>
    <x v="6"/>
    <x v="11"/>
    <x v="38"/>
  </r>
  <r>
    <s v="(ML) Joe Machens E Collision Center12"/>
    <x v="8"/>
    <x v="5"/>
    <x v="1"/>
    <x v="1"/>
    <x v="76"/>
    <x v="1"/>
    <s v="https://tools.sig.systems/site/details/277"/>
    <s v="https://www.google.com/maps/d/viewer?hl=es&amp;mid=1C1oZdjH3dNvCvqdpIv_Lk0Yn1OCVn-4&amp;ll=38.965368114274455%2C-92.3405954&amp;z=15"/>
    <x v="1"/>
    <x v="0"/>
    <x v="6"/>
    <x v="0"/>
    <x v="0"/>
    <x v="51"/>
    <x v="57"/>
    <x v="76"/>
  </r>
  <r>
    <s v="(ML) Nissan of North Little Rock12"/>
    <x v="8"/>
    <x v="5"/>
    <x v="1"/>
    <x v="1"/>
    <x v="20"/>
    <x v="1"/>
    <s v="https://tools.sig.systems/site/details/216"/>
    <s v="https://www.google.com/maps/d/edit?mid=1Oky35ERk_2kgyzCvDu_odQ2ZP62BtqA&amp;usp=sharing"/>
    <x v="1"/>
    <x v="0"/>
    <x v="16"/>
    <x v="0"/>
    <x v="0"/>
    <x v="18"/>
    <x v="17"/>
    <x v="20"/>
  </r>
  <r>
    <s v="(ML) Toyota N Little Rock12"/>
    <x v="8"/>
    <x v="5"/>
    <x v="1"/>
    <x v="1"/>
    <x v="21"/>
    <x v="1"/>
    <s v="https://tools.sig.systems/site/details/201"/>
    <s v="https://www.google.com/maps/d/edit?mid=1Oky35ERk_2kgyzCvDu_odQ2ZP62BtqA&amp;usp=sharing"/>
    <x v="1"/>
    <x v="0"/>
    <x v="17"/>
    <x v="0"/>
    <x v="0"/>
    <x v="19"/>
    <x v="11"/>
    <x v="21"/>
  </r>
  <r>
    <s v="(PE) Scofield Service Center (NO TOURS)12"/>
    <x v="8"/>
    <x v="5"/>
    <x v="4"/>
    <x v="0"/>
    <x v="113"/>
    <x v="0"/>
    <s v="https://tools.sig.systems/site/details/193"/>
    <s v="https://www.google.com/maps/d/viewer?mid=1FEo41PzFJQjUIXXKitX5TNCtuqR6Vbs&amp;ll=41.1663376742533%2C-73.22955662049608&amp;z=16"/>
    <x v="1"/>
    <x v="0"/>
    <x v="6"/>
    <x v="0"/>
    <x v="0"/>
    <x v="75"/>
    <x v="51"/>
    <x v="112"/>
  </r>
  <r>
    <s v="(RML) Burleson Nissan12"/>
    <x v="8"/>
    <x v="5"/>
    <x v="1"/>
    <x v="1"/>
    <x v="82"/>
    <x v="1"/>
    <s v="https://tools.sig.systems/site/details/202"/>
    <m/>
    <x v="1"/>
    <x v="0"/>
    <x v="58"/>
    <x v="0"/>
    <x v="0"/>
    <x v="56"/>
    <x v="11"/>
    <x v="82"/>
  </r>
  <r>
    <s v="(RV) Toms Camperland Surprise (NO TOURS)12"/>
    <x v="8"/>
    <x v="5"/>
    <x v="5"/>
    <x v="3"/>
    <x v="51"/>
    <x v="4"/>
    <s v="https://tools.sig.systems/site/details/254"/>
    <m/>
    <x v="5"/>
    <x v="0"/>
    <x v="38"/>
    <x v="0"/>
    <x v="0"/>
    <x v="6"/>
    <x v="37"/>
    <x v="51"/>
  </r>
  <r>
    <s v="(SCH) Prep Center Delray12"/>
    <x v="8"/>
    <x v="5"/>
    <x v="0"/>
    <x v="0"/>
    <x v="53"/>
    <x v="0"/>
    <s v="https://tools.sig.systems/site/details/321"/>
    <m/>
    <x v="1"/>
    <x v="0"/>
    <x v="40"/>
    <x v="0"/>
    <x v="0"/>
    <x v="6"/>
    <x v="39"/>
    <x v="53"/>
  </r>
  <r>
    <s v="(TC) Tavernier Creek Marina (NO TOURS)12"/>
    <x v="8"/>
    <x v="5"/>
    <x v="0"/>
    <x v="0"/>
    <x v="84"/>
    <x v="1"/>
    <s v="https://tools.sig.systems/site/details/164"/>
    <m/>
    <x v="6"/>
    <x v="0"/>
    <x v="60"/>
    <x v="0"/>
    <x v="0"/>
    <x v="6"/>
    <x v="59"/>
    <x v="84"/>
  </r>
  <r>
    <s v="(AS) Atwell Prep Center-Dallas (NO TOURS)12"/>
    <x v="8"/>
    <x v="6"/>
    <x v="1"/>
    <x v="1"/>
    <x v="86"/>
    <x v="1"/>
    <s v="https://tools.sig.systems/site/details/165"/>
    <s v="https://www.google.com/maps/d/edit?hl=es&amp;mid=1uPmsRMsXnp74hPFW2t-sp2totVWF_xY&amp;ll=32.83050137713022%2C-96.83197783061323&amp;z=17"/>
    <x v="1"/>
    <x v="0"/>
    <x v="61"/>
    <x v="0"/>
    <x v="0"/>
    <x v="6"/>
    <x v="28"/>
    <x v="86"/>
  </r>
  <r>
    <s v="(AS) Coggin Acura Ft Pierce (NO TOURS)12"/>
    <x v="8"/>
    <x v="6"/>
    <x v="0"/>
    <x v="0"/>
    <x v="27"/>
    <x v="0"/>
    <s v="https://tools.sig.systems/site/details/118"/>
    <s v="https://www.google.com/maps/d/viewer?mid=1AyViBuyeq7iwDua1SVudJ2A1BYi3IBA&amp;ll=27.38181516363982%2C-80.32568845000002&amp;z=18"/>
    <x v="1"/>
    <x v="0"/>
    <x v="3"/>
    <x v="12"/>
    <x v="0"/>
    <x v="21"/>
    <x v="19"/>
    <x v="27"/>
  </r>
  <r>
    <s v="(AS) Courtesy CDJR of Brandon (NO TOURS)12"/>
    <x v="8"/>
    <x v="6"/>
    <x v="0"/>
    <x v="0"/>
    <x v="56"/>
    <x v="0"/>
    <s v="https://tools.sig.systems/site/details/126"/>
    <s v="https://www.google.com/maps/d/edit?mid=15R4hTDQx56ij99--JgozdqOIZh-kSlk&amp;usp=sharing"/>
    <x v="0"/>
    <x v="0"/>
    <x v="42"/>
    <x v="9"/>
    <x v="0"/>
    <x v="37"/>
    <x v="42"/>
    <x v="56"/>
  </r>
  <r>
    <s v="(AS) David McDavid Honda I &amp; II (NO TOURS)12"/>
    <x v="8"/>
    <x v="6"/>
    <x v="1"/>
    <x v="1"/>
    <x v="90"/>
    <x v="1"/>
    <s v="https://tools.sig.systems/site/details/129"/>
    <m/>
    <x v="1"/>
    <x v="0"/>
    <x v="3"/>
    <x v="31"/>
    <x v="0"/>
    <x v="60"/>
    <x v="63"/>
    <x v="90"/>
  </r>
  <r>
    <s v="(AS) Park Place Mercedes Benz Ft. Worth (NO TOURS)12"/>
    <x v="8"/>
    <x v="6"/>
    <x v="1"/>
    <x v="1"/>
    <x v="5"/>
    <x v="1"/>
    <s v="https://tools.sig.systems/site/details/137"/>
    <s v="https://www.google.com/maps/d/edit?mid=18OEO_KbvYcgI3N1jE4gTMXfNHTNDrFU&amp;ll=32.66603989958274%2C-97.42021198201722&amp;z=18"/>
    <x v="1"/>
    <x v="0"/>
    <x v="5"/>
    <x v="0"/>
    <x v="4"/>
    <x v="5"/>
    <x v="5"/>
    <x v="5"/>
  </r>
  <r>
    <s v="(AS) Stevinson Toyota West (NO TOURS)12"/>
    <x v="8"/>
    <x v="6"/>
    <x v="3"/>
    <x v="2"/>
    <x v="8"/>
    <x v="3"/>
    <s v="https://tools.sig.systems/site/details/240"/>
    <s v="https://www.google.com/maps/d/edit?mid=1nAyK85WaWREy0lfxnmWn3USs2gC0nP0&amp;usp=sharing"/>
    <x v="1"/>
    <x v="0"/>
    <x v="3"/>
    <x v="3"/>
    <x v="0"/>
    <x v="7"/>
    <x v="8"/>
    <x v="8"/>
  </r>
  <r>
    <s v="(ML) Joe Machens Temporary 2.012"/>
    <x v="8"/>
    <x v="6"/>
    <x v="1"/>
    <x v="1"/>
    <x v="44"/>
    <x v="1"/>
    <s v="https://tools.sig.systems/site/details/278"/>
    <s v="https://www.google.com/maps/d/viewer?hl=es&amp;mid=1C1oZdjH3dNvCvqdpIv_Lk0Yn1OCVn-4&amp;ll=38.965368114274455%2C-92.3405954&amp;z=15"/>
    <x v="1"/>
    <x v="0"/>
    <x v="3"/>
    <x v="17"/>
    <x v="0"/>
    <x v="33"/>
    <x v="11"/>
    <x v="44"/>
  </r>
  <r>
    <s v="(PE) BMW Tenafly (NO TOURS)12"/>
    <x v="8"/>
    <x v="6"/>
    <x v="4"/>
    <x v="0"/>
    <x v="48"/>
    <x v="0"/>
    <s v="https://tools.sig.systems/site/details/155"/>
    <m/>
    <x v="1"/>
    <x v="0"/>
    <x v="36"/>
    <x v="18"/>
    <x v="0"/>
    <x v="6"/>
    <x v="19"/>
    <x v="48"/>
  </r>
  <r>
    <s v="(SCH) Auto Body Shop Lake Park12"/>
    <x v="8"/>
    <x v="6"/>
    <x v="0"/>
    <x v="0"/>
    <x v="83"/>
    <x v="0"/>
    <s v="https://tools.sig.systems/site/details/158"/>
    <m/>
    <x v="1"/>
    <x v="0"/>
    <x v="59"/>
    <x v="0"/>
    <x v="0"/>
    <x v="6"/>
    <x v="11"/>
    <x v="83"/>
  </r>
  <r>
    <s v="(AS) Courtesy Honda Palm Harbor (NO TOURS)12"/>
    <x v="8"/>
    <x v="7"/>
    <x v="0"/>
    <x v="0"/>
    <x v="88"/>
    <x v="0"/>
    <s v="https://tools.sig.systems/site/details/176"/>
    <m/>
    <x v="3"/>
    <x v="0"/>
    <x v="63"/>
    <x v="0"/>
    <x v="0"/>
    <x v="58"/>
    <x v="24"/>
    <x v="88"/>
  </r>
  <r>
    <s v="(AS) David McDavid Lincoln Frisco (NO TOURS)12"/>
    <x v="8"/>
    <x v="7"/>
    <x v="1"/>
    <x v="1"/>
    <x v="58"/>
    <x v="1"/>
    <s v="https://tools.sig.systems/site/details/182"/>
    <m/>
    <x v="1"/>
    <x v="0"/>
    <x v="43"/>
    <x v="0"/>
    <x v="0"/>
    <x v="39"/>
    <x v="44"/>
    <x v="58"/>
  </r>
  <r>
    <s v="(AS) Park Place Bodywerks Dallas (NO TOURS)12"/>
    <x v="8"/>
    <x v="7"/>
    <x v="1"/>
    <x v="1"/>
    <x v="59"/>
    <x v="1"/>
    <s v="https://tools.sig.systems/site/details/166"/>
    <s v="https://www.google.com/maps/d/edit?hl=es&amp;mid=1uPmsRMsXnp74hPFW2t-sp2totVWF_xY&amp;ll=32.83050137713022%2C-96.83197783061323&amp;z=17"/>
    <x v="1"/>
    <x v="0"/>
    <x v="44"/>
    <x v="9"/>
    <x v="0"/>
    <x v="6"/>
    <x v="45"/>
    <x v="59"/>
  </r>
  <r>
    <s v="(AS) Park Place JLR DFW Airport (NO TOURS)12"/>
    <x v="8"/>
    <x v="7"/>
    <x v="1"/>
    <x v="1"/>
    <x v="93"/>
    <x v="1"/>
    <s v="https://tools.sig.systems/site/details/135"/>
    <m/>
    <x v="1"/>
    <x v="0"/>
    <x v="67"/>
    <x v="33"/>
    <x v="13"/>
    <x v="63"/>
    <x v="65"/>
    <x v="93"/>
  </r>
  <r>
    <s v="(AS) Stevinson Porsche of Littleton (NO TOURS)12"/>
    <x v="8"/>
    <x v="7"/>
    <x v="3"/>
    <x v="2"/>
    <x v="7"/>
    <x v="3"/>
    <s v="https://tools.sig.systems/site/details/242"/>
    <m/>
    <x v="1"/>
    <x v="0"/>
    <x v="7"/>
    <x v="2"/>
    <x v="0"/>
    <x v="6"/>
    <x v="7"/>
    <x v="7"/>
  </r>
  <r>
    <s v="(JE) Jim Ellis Ford Sandy Springs12"/>
    <x v="8"/>
    <x v="7"/>
    <x v="0"/>
    <x v="0"/>
    <x v="69"/>
    <x v="0"/>
    <s v="https://tools.sig.systems/site/details/142"/>
    <m/>
    <x v="1"/>
    <x v="0"/>
    <x v="51"/>
    <x v="0"/>
    <x v="0"/>
    <x v="46"/>
    <x v="52"/>
    <x v="69"/>
  </r>
  <r>
    <s v="(KG) Big Star Honda12"/>
    <x v="8"/>
    <x v="7"/>
    <x v="1"/>
    <x v="1"/>
    <x v="72"/>
    <x v="1"/>
    <s v="https://tools.sig.systems/site/details/231"/>
    <m/>
    <x v="1"/>
    <x v="0"/>
    <x v="53"/>
    <x v="0"/>
    <x v="0"/>
    <x v="48"/>
    <x v="54"/>
    <x v="72"/>
  </r>
  <r>
    <s v="(ML) Collision Center N Little Rock12"/>
    <x v="8"/>
    <x v="7"/>
    <x v="1"/>
    <x v="1"/>
    <x v="106"/>
    <x v="1"/>
    <s v="https://tools.sig.systems/site/details/212"/>
    <s v="https://www.google.com/maps/d/edit?mid=1Oky35ERk_2kgyzCvDu_odQ2ZP62BtqA&amp;usp=sharing"/>
    <x v="1"/>
    <x v="0"/>
    <x v="3"/>
    <x v="0"/>
    <x v="0"/>
    <x v="6"/>
    <x v="77"/>
    <x v="105"/>
  </r>
  <r>
    <s v="(ML) Joe Machens Nissan12"/>
    <x v="8"/>
    <x v="7"/>
    <x v="1"/>
    <x v="1"/>
    <x v="78"/>
    <x v="1"/>
    <s v="https://tools.sig.systems/site/details/279"/>
    <s v="https://www.google.com/maps/d/viewer?hl=es&amp;mid=1C1oZdjH3dNvCvqdpIv_Lk0Yn1OCVn-4&amp;ll=38.965368114274455%2C-92.3405954&amp;z=15"/>
    <x v="1"/>
    <x v="0"/>
    <x v="3"/>
    <x v="28"/>
    <x v="0"/>
    <x v="6"/>
    <x v="11"/>
    <x v="78"/>
  </r>
  <r>
    <s v="(PE) JLR Darien PDI (NO TOURS)12"/>
    <x v="8"/>
    <x v="7"/>
    <x v="4"/>
    <x v="0"/>
    <x v="112"/>
    <x v="0"/>
    <s v="https://tools.sig.systems/site/details/187"/>
    <s v="https://www.google.com/maps/d/viewer?mid=1ebZp8DeTYSXNPgDIA63nFVDu9ohaO4E&amp;ll=41.08027837958441%2C-73.46597874999999&amp;z=15"/>
    <x v="1"/>
    <x v="0"/>
    <x v="6"/>
    <x v="0"/>
    <x v="0"/>
    <x v="74"/>
    <x v="83"/>
    <x v="111"/>
  </r>
  <r>
    <s v="(AS) Audi of North Atlanta (NO TOURS)12"/>
    <x v="8"/>
    <x v="8"/>
    <x v="0"/>
    <x v="0"/>
    <x v="87"/>
    <x v="0"/>
    <s v="https://tools.sig.systems/site/details/124"/>
    <s v="https://www.google.com/maps/d/edit?mid=1jkN3DS1BhUqp_dztjjW0PDwKfo_Yxsw&amp;usp=sharing"/>
    <x v="1"/>
    <x v="0"/>
    <x v="62"/>
    <x v="0"/>
    <x v="0"/>
    <x v="57"/>
    <x v="61"/>
    <x v="87"/>
  </r>
  <r>
    <s v="(AS) Coggin Mercedes Benz Ft Pierce (NO TOURS)12"/>
    <x v="8"/>
    <x v="8"/>
    <x v="0"/>
    <x v="0"/>
    <x v="28"/>
    <x v="0"/>
    <s v="https://tools.sig.systems/site/details/127"/>
    <s v="https://www.google.com/maps/d/viewer?mid=1AyViBuyeq7iwDua1SVudJ2A1BYi3IBA&amp;ll=27.38181516363982%2C-80.32568845000002&amp;z=18"/>
    <x v="1"/>
    <x v="0"/>
    <x v="22"/>
    <x v="13"/>
    <x v="0"/>
    <x v="22"/>
    <x v="23"/>
    <x v="28"/>
  </r>
  <r>
    <s v="(AS) Park Place MB Recon Center Dallas (NO TOURS)12"/>
    <x v="8"/>
    <x v="8"/>
    <x v="1"/>
    <x v="1"/>
    <x v="60"/>
    <x v="1"/>
    <s v="https://tools.sig.systems/site/details/170"/>
    <s v="https://www.google.com/maps/d/edit?hl=es&amp;mid=1uPmsRMsXnp74hPFW2t-sp2totVWF_xY&amp;ll=32.83050137713022%2C-96.83197783061323&amp;z=17"/>
    <x v="1"/>
    <x v="0"/>
    <x v="45"/>
    <x v="0"/>
    <x v="0"/>
    <x v="40"/>
    <x v="19"/>
    <x v="60"/>
  </r>
  <r>
    <s v="(AS) Plano Auction (NO SPEAKERS)12"/>
    <x v="8"/>
    <x v="8"/>
    <x v="1"/>
    <x v="1"/>
    <x v="94"/>
    <x v="1"/>
    <s v="https://tools.sig.systems/site/details/140"/>
    <m/>
    <x v="1"/>
    <x v="0"/>
    <x v="3"/>
    <x v="34"/>
    <x v="0"/>
    <x v="64"/>
    <x v="66"/>
    <x v="94"/>
  </r>
  <r>
    <s v="(AS) Stevinson Lexus of Lakewood (NO TOURS)12"/>
    <x v="8"/>
    <x v="8"/>
    <x v="3"/>
    <x v="2"/>
    <x v="34"/>
    <x v="3"/>
    <s v="https://tools.sig.systems/site/details/260"/>
    <s v="https://www.google.com/maps/d/edit?mid=1nAyK85WaWREy0lfxnmWn3USs2gC0nP0&amp;usp=sharing"/>
    <x v="1"/>
    <x v="0"/>
    <x v="3"/>
    <x v="14"/>
    <x v="8"/>
    <x v="6"/>
    <x v="28"/>
    <x v="34"/>
  </r>
  <r>
    <s v="(ML) Ford Lincoln of North Little Rock12"/>
    <x v="8"/>
    <x v="8"/>
    <x v="1"/>
    <x v="1"/>
    <x v="42"/>
    <x v="1"/>
    <s v="https://tools.sig.systems/site/details/214"/>
    <s v="https://www.google.com/maps/d/edit?mid=1Oky35ERk_2kgyzCvDu_odQ2ZP62BtqA&amp;usp=sharing"/>
    <x v="1"/>
    <x v="0"/>
    <x v="32"/>
    <x v="4"/>
    <x v="0"/>
    <x v="32"/>
    <x v="34"/>
    <x v="42"/>
  </r>
  <r>
    <s v="(ML) Joe Machens Kia of Columbia12"/>
    <x v="8"/>
    <x v="8"/>
    <x v="1"/>
    <x v="1"/>
    <x v="107"/>
    <x v="1"/>
    <s v="https://tools.sig.systems/site/details/270"/>
    <s v="https://www.google.com/maps/d/viewer?hl=es&amp;mid=1C1oZdjH3dNvCvqdpIv_Lk0Yn1OCVn-4&amp;ll=38.965368114274455%2C-92.3405954&amp;z=15"/>
    <x v="1"/>
    <x v="0"/>
    <x v="3"/>
    <x v="39"/>
    <x v="0"/>
    <x v="6"/>
    <x v="78"/>
    <x v="106"/>
  </r>
  <r>
    <s v="(SCH) Delray I &amp; II12"/>
    <x v="8"/>
    <x v="8"/>
    <x v="0"/>
    <x v="0"/>
    <x v="26"/>
    <x v="0"/>
    <s v="https://tools.sig.systems/site/details/159"/>
    <m/>
    <x v="3"/>
    <x v="0"/>
    <x v="21"/>
    <x v="11"/>
    <x v="6"/>
    <x v="6"/>
    <x v="22"/>
    <x v="26"/>
  </r>
  <r>
    <s v="(WAG) Greeley Chrysler Dodge Jeep Ram (NO TOURS)12"/>
    <x v="8"/>
    <x v="8"/>
    <x v="3"/>
    <x v="2"/>
    <x v="115"/>
    <x v="3"/>
    <s v="https://tools.sig.systems/site/details/130"/>
    <s v="https://www.google.com/maps/d/viewer?mid=1gN2lJ0iT7m5VNhD7aDcxE8AdXqtcOZc&amp;ll=40.396096737592195%2C-104.746842&amp;z=16"/>
    <x v="1"/>
    <x v="0"/>
    <x v="77"/>
    <x v="42"/>
    <x v="0"/>
    <x v="77"/>
    <x v="85"/>
    <x v="114"/>
  </r>
  <r>
    <s v="(AS) Courtesy Kia of Brandon (NO TOURS)12"/>
    <x v="8"/>
    <x v="9"/>
    <x v="0"/>
    <x v="0"/>
    <x v="57"/>
    <x v="0"/>
    <s v="https://tools.sig.systems/site/details/121"/>
    <s v="https://www.google.com/maps/d/edit?mid=15R4hTDQx56ij99--JgozdqOIZh-kSlk&amp;usp=sharing"/>
    <x v="0"/>
    <x v="0"/>
    <x v="3"/>
    <x v="22"/>
    <x v="0"/>
    <x v="38"/>
    <x v="43"/>
    <x v="57"/>
  </r>
  <r>
    <s v="(AS) Nalley Luxury Collision Center (NO TOURS)12"/>
    <x v="8"/>
    <x v="9"/>
    <x v="0"/>
    <x v="0"/>
    <x v="31"/>
    <x v="0"/>
    <s v="https://tools.sig.systems/site/details/263"/>
    <s v="https://www.google.com/maps/d/edit?mid=1jkN3DS1BhUqp_dztjjW0PDwKfo_Yxsw&amp;usp=sharing"/>
    <x v="1"/>
    <x v="0"/>
    <x v="4"/>
    <x v="0"/>
    <x v="0"/>
    <x v="6"/>
    <x v="26"/>
    <x v="31"/>
  </r>
  <r>
    <s v="(AS) Plaza Lexus/Mercedes/BMW (NO TOURS)12"/>
    <x v="8"/>
    <x v="9"/>
    <x v="1"/>
    <x v="1"/>
    <x v="63"/>
    <x v="1"/>
    <s v="https://tools.sig.systems/site/details/141"/>
    <s v="https://www.google.com/maps/d/viewer?mid=1whGZ1PLqmhJnGFz8uigZqUL4cHGGW3w&amp;ll=38.668847686454825%2C-90.4433601&amp;z=17"/>
    <x v="1"/>
    <x v="0"/>
    <x v="48"/>
    <x v="23"/>
    <x v="0"/>
    <x v="43"/>
    <x v="47"/>
    <x v="63"/>
  </r>
  <r>
    <s v="(ML) Nissan Of Benton12"/>
    <x v="8"/>
    <x v="9"/>
    <x v="1"/>
    <x v="1"/>
    <x v="80"/>
    <x v="1"/>
    <s v="https://tools.sig.systems/site/details/247"/>
    <m/>
    <x v="1"/>
    <x v="0"/>
    <x v="57"/>
    <x v="0"/>
    <x v="0"/>
    <x v="54"/>
    <x v="11"/>
    <x v="80"/>
  </r>
  <r>
    <s v="(PE) Honda of Danbury (NO TOURS)12"/>
    <x v="8"/>
    <x v="9"/>
    <x v="4"/>
    <x v="0"/>
    <x v="49"/>
    <x v="0"/>
    <s v="https://tools.sig.systems/site/details/190"/>
    <m/>
    <x v="1"/>
    <x v="0"/>
    <x v="3"/>
    <x v="19"/>
    <x v="9"/>
    <x v="6"/>
    <x v="36"/>
    <x v="49"/>
  </r>
  <r>
    <s v="(SCH) West Palm Beach I, II &amp; III12"/>
    <x v="8"/>
    <x v="9"/>
    <x v="6"/>
    <x v="0"/>
    <x v="54"/>
    <x v="0"/>
    <s v="https://tools.sig.systems/site/details/162"/>
    <m/>
    <x v="3"/>
    <x v="2"/>
    <x v="41"/>
    <x v="20"/>
    <x v="10"/>
    <x v="6"/>
    <x v="40"/>
    <x v="54"/>
  </r>
  <r>
    <s v="(AS) Lexus Smyrna (NO TOURS)12"/>
    <x v="8"/>
    <x v="10"/>
    <x v="0"/>
    <x v="0"/>
    <x v="30"/>
    <x v="0"/>
    <s v="https://tools.sig.systems/site/details/133"/>
    <m/>
    <x v="1"/>
    <x v="0"/>
    <x v="24"/>
    <x v="0"/>
    <x v="0"/>
    <x v="24"/>
    <x v="25"/>
    <x v="30"/>
  </r>
  <r>
    <s v="(AS) Nalley BMW Collision Center (NO TOURS)12"/>
    <x v="8"/>
    <x v="10"/>
    <x v="0"/>
    <x v="0"/>
    <x v="3"/>
    <x v="0"/>
    <s v="https://tools.sig.systems/site/details/220"/>
    <m/>
    <x v="1"/>
    <x v="0"/>
    <x v="3"/>
    <x v="1"/>
    <x v="0"/>
    <x v="3"/>
    <x v="3"/>
    <x v="3"/>
  </r>
  <r>
    <s v="(AS) Plaza Audi/Infiniti (NO TOURS)12"/>
    <x v="8"/>
    <x v="10"/>
    <x v="1"/>
    <x v="1"/>
    <x v="95"/>
    <x v="1"/>
    <s v="https://tools.sig.systems/site/details/141"/>
    <s v="https://www.google.com/maps/d/viewer?mid=1whGZ1PLqmhJnGFz8uigZqUL4cHGGW3w&amp;ll=38.668847686454825%2C-90.4433601&amp;z=17"/>
    <x v="1"/>
    <x v="0"/>
    <x v="68"/>
    <x v="35"/>
    <x v="0"/>
    <x v="65"/>
    <x v="67"/>
    <x v="63"/>
  </r>
  <r>
    <s v="(DT) Albuquerque12"/>
    <x v="8"/>
    <x v="10"/>
    <x v="3"/>
    <x v="2"/>
    <x v="35"/>
    <x v="3"/>
    <s v="https://tools.sig.systems/site/details/237"/>
    <m/>
    <x v="1"/>
    <x v="0"/>
    <x v="27"/>
    <x v="0"/>
    <x v="0"/>
    <x v="27"/>
    <x v="29"/>
    <x v="35"/>
  </r>
  <r>
    <s v="(DT) Louisville12"/>
    <x v="8"/>
    <x v="10"/>
    <x v="0"/>
    <x v="0"/>
    <x v="67"/>
    <x v="0"/>
    <s v="https://tools.sig.systems/site/details/258"/>
    <m/>
    <x v="1"/>
    <x v="0"/>
    <x v="3"/>
    <x v="16"/>
    <x v="0"/>
    <x v="6"/>
    <x v="50"/>
    <x v="67"/>
  </r>
  <r>
    <s v="(KG) Baytown GMC Buick - Remote Lot (NO TOURS)12"/>
    <x v="8"/>
    <x v="10"/>
    <x v="2"/>
    <x v="1"/>
    <x v="70"/>
    <x v="2"/>
    <s v="https://tools.sig.systems/site/details/311"/>
    <m/>
    <x v="1"/>
    <x v="3"/>
    <x v="3"/>
    <x v="25"/>
    <x v="0"/>
    <x v="6"/>
    <x v="11"/>
    <x v="70"/>
  </r>
  <r>
    <s v="(KG) Baytown GMC Buick (NO TOURS)12"/>
    <x v="8"/>
    <x v="10"/>
    <x v="1"/>
    <x v="1"/>
    <x v="71"/>
    <x v="1"/>
    <s v="https://tools.sig.systems/site/details/239"/>
    <m/>
    <x v="1"/>
    <x v="0"/>
    <x v="52"/>
    <x v="0"/>
    <x v="0"/>
    <x v="47"/>
    <x v="53"/>
    <x v="71"/>
  </r>
  <r>
    <s v="(ML) Mazda VW-Lot B12"/>
    <x v="8"/>
    <x v="10"/>
    <x v="1"/>
    <x v="1"/>
    <x v="45"/>
    <x v="1"/>
    <s v="https://tools.sig.systems/site/details/205"/>
    <s v="https://www.google.com/maps/d/edit?mid=1Oky35ERk_2kgyzCvDu_odQ2ZP62BtqA&amp;usp=sharing"/>
    <x v="1"/>
    <x v="0"/>
    <x v="33"/>
    <x v="9"/>
    <x v="0"/>
    <x v="30"/>
    <x v="11"/>
    <x v="45"/>
  </r>
  <r>
    <s v="(ML) Volvo Collision Corp12"/>
    <x v="8"/>
    <x v="10"/>
    <x v="1"/>
    <x v="1"/>
    <x v="47"/>
    <x v="1"/>
    <s v="https://tools.sig.systems/site/details/223"/>
    <m/>
    <x v="1"/>
    <x v="0"/>
    <x v="35"/>
    <x v="1"/>
    <x v="0"/>
    <x v="35"/>
    <x v="11"/>
    <x v="47"/>
  </r>
  <r>
    <s v="(PE) Fairfield Collision (NO TOURS)12"/>
    <x v="8"/>
    <x v="10"/>
    <x v="4"/>
    <x v="0"/>
    <x v="22"/>
    <x v="0"/>
    <s v="https://tools.sig.systems/site/details/191"/>
    <m/>
    <x v="1"/>
    <x v="0"/>
    <x v="18"/>
    <x v="0"/>
    <x v="0"/>
    <x v="6"/>
    <x v="18"/>
    <x v="22"/>
  </r>
  <r>
    <s v="(SCH) Chevrolet North Palm12"/>
    <x v="8"/>
    <x v="10"/>
    <x v="0"/>
    <x v="0"/>
    <x v="52"/>
    <x v="0"/>
    <s v="https://tools.sig.systems/site/details/160"/>
    <m/>
    <x v="3"/>
    <x v="0"/>
    <x v="39"/>
    <x v="0"/>
    <x v="0"/>
    <x v="6"/>
    <x v="38"/>
    <x v="52"/>
  </r>
  <r>
    <s v="(KG) Kia of Phoenix (NO TOURS)12"/>
    <x v="8"/>
    <x v="11"/>
    <x v="5"/>
    <x v="3"/>
    <x v="40"/>
    <x v="4"/>
    <s v="https://tools.sig.systems/site/details/262"/>
    <m/>
    <x v="4"/>
    <x v="0"/>
    <x v="30"/>
    <x v="0"/>
    <x v="0"/>
    <x v="30"/>
    <x v="11"/>
    <x v="40"/>
  </r>
  <r>
    <s v="(KT) Northwest CDJR (NO TOURS)12"/>
    <x v="8"/>
    <x v="11"/>
    <x v="1"/>
    <x v="1"/>
    <x v="15"/>
    <x v="1"/>
    <s v="https://tools.sig.systems/site/details/229"/>
    <m/>
    <x v="1"/>
    <x v="0"/>
    <x v="14"/>
    <x v="0"/>
    <x v="0"/>
    <x v="13"/>
    <x v="11"/>
    <x v="15"/>
  </r>
  <r>
    <s v="(MK) McKenny Salinas Honda12"/>
    <x v="8"/>
    <x v="11"/>
    <x v="0"/>
    <x v="0"/>
    <x v="104"/>
    <x v="0"/>
    <s v="https://tools.sig.systems/site/details/149"/>
    <m/>
    <x v="1"/>
    <x v="0"/>
    <x v="3"/>
    <x v="37"/>
    <x v="0"/>
    <x v="6"/>
    <x v="75"/>
    <x v="103"/>
  </r>
  <r>
    <s v="(ML) Joe Machens Capital City I &amp; II (NO TOURS)12"/>
    <x v="8"/>
    <x v="11"/>
    <x v="1"/>
    <x v="1"/>
    <x v="17"/>
    <x v="1"/>
    <s v="https://tools.sig.systems/site/details/271"/>
    <m/>
    <x v="1"/>
    <x v="0"/>
    <x v="3"/>
    <x v="6"/>
    <x v="0"/>
    <x v="15"/>
    <x v="16"/>
    <x v="17"/>
  </r>
  <r>
    <s v="(ML) Joe Machens Ford Lincoln I &amp; II12"/>
    <x v="8"/>
    <x v="11"/>
    <x v="1"/>
    <x v="1"/>
    <x v="77"/>
    <x v="1"/>
    <s v="https://tools.sig.systems/site/details/266"/>
    <s v="https://www.google.com/maps/d/viewer?hl=es&amp;mid=1C1oZdjH3dNvCvqdpIv_Lk0Yn1OCVn-4&amp;ll=38.965368114274455%2C-92.3405954&amp;z=15"/>
    <x v="1"/>
    <x v="0"/>
    <x v="3"/>
    <x v="27"/>
    <x v="0"/>
    <x v="52"/>
    <x v="11"/>
    <x v="77"/>
  </r>
  <r>
    <s v="(ML) McLarty-Gray Daniels Chevrolet12"/>
    <x v="8"/>
    <x v="11"/>
    <x v="1"/>
    <x v="1"/>
    <x v="109"/>
    <x v="1"/>
    <s v="https://tools.sig.systems/site/details/150"/>
    <m/>
    <x v="1"/>
    <x v="0"/>
    <x v="74"/>
    <x v="0"/>
    <x v="0"/>
    <x v="73"/>
    <x v="80"/>
    <x v="108"/>
  </r>
  <r>
    <s v="(PE) Mercedes Benz &amp; Smart Bldg. of Fairfield (NO TOURS)12"/>
    <x v="8"/>
    <x v="11"/>
    <x v="4"/>
    <x v="0"/>
    <x v="23"/>
    <x v="0"/>
    <s v="https://tools.sig.systems/site/details/192"/>
    <s v="https://www.google.com/maps/d/viewer?mid=1FEo41PzFJQjUIXXKitX5TNCtuqR6Vbs&amp;ll=41.1663376742533%2C-73.22955662049608&amp;z=16"/>
    <x v="1"/>
    <x v="0"/>
    <x v="3"/>
    <x v="9"/>
    <x v="0"/>
    <x v="20"/>
    <x v="19"/>
    <x v="23"/>
  </r>
  <r>
    <s v="(RV) Sonny's Camp N Travel Concord12"/>
    <x v="8"/>
    <x v="11"/>
    <x v="0"/>
    <x v="0"/>
    <x v="114"/>
    <x v="0"/>
    <s v="https://tools.sig.systems/site/details/183"/>
    <m/>
    <x v="1"/>
    <x v="0"/>
    <x v="6"/>
    <x v="0"/>
    <x v="0"/>
    <x v="76"/>
    <x v="84"/>
    <x v="113"/>
  </r>
  <r>
    <s v="(AS) Nalley Lexus &amp; Remote Lot Roswell (NO TOURS)13"/>
    <x v="9"/>
    <x v="0"/>
    <x v="2"/>
    <x v="0"/>
    <x v="4"/>
    <x v="2"/>
    <s v="https://tools.sig.systems/site/details/131"/>
    <s v="https://www.google.com/maps/d/edit?mid=1jkN3DS1BhUqp_dztjjW0PDwKfo_Yxsw&amp;usp=sharing"/>
    <x v="1"/>
    <x v="1"/>
    <x v="4"/>
    <x v="1"/>
    <x v="3"/>
    <x v="4"/>
    <x v="4"/>
    <x v="4"/>
  </r>
  <r>
    <s v="(AS) Park Place Bodywerks Ft. Worth (NO TOURS)13"/>
    <x v="9"/>
    <x v="0"/>
    <x v="1"/>
    <x v="1"/>
    <x v="92"/>
    <x v="1"/>
    <s v="https://tools.sig.systems/site/details/134"/>
    <s v="https://www.google.com/maps/d/edit?mid=18OEO_KbvYcgI3N1jE4gTMXfNHTNDrFU&amp;ll=32.66603989958274%2C-97.42021198201722&amp;z=18"/>
    <x v="1"/>
    <x v="0"/>
    <x v="66"/>
    <x v="0"/>
    <x v="0"/>
    <x v="62"/>
    <x v="64"/>
    <x v="92"/>
  </r>
  <r>
    <s v="(DT) N. Houston13"/>
    <x v="9"/>
    <x v="0"/>
    <x v="1"/>
    <x v="1"/>
    <x v="9"/>
    <x v="1"/>
    <s v="https://tools.sig.systems/site/details/250"/>
    <m/>
    <x v="1"/>
    <x v="0"/>
    <x v="8"/>
    <x v="0"/>
    <x v="0"/>
    <x v="8"/>
    <x v="9"/>
    <x v="9"/>
  </r>
  <r>
    <s v="(DT) W Houston13"/>
    <x v="9"/>
    <x v="0"/>
    <x v="1"/>
    <x v="1"/>
    <x v="10"/>
    <x v="1"/>
    <s v="https://tools.sig.systems/site/details/197"/>
    <m/>
    <x v="1"/>
    <x v="0"/>
    <x v="9"/>
    <x v="2"/>
    <x v="0"/>
    <x v="9"/>
    <x v="10"/>
    <x v="10"/>
  </r>
  <r>
    <s v="(HUD) Acura of Greensboro13"/>
    <x v="9"/>
    <x v="0"/>
    <x v="0"/>
    <x v="0"/>
    <x v="99"/>
    <x v="0"/>
    <s v="https://tools.sig.systems/site/details/213"/>
    <s v="https://www.google.com/maps/d/viewer?mid=1ejOzT7-x6RWnCf83BBP7XhiOiwEX3Wk&amp;ll=0%2C0&amp;z=17"/>
    <x v="1"/>
    <x v="0"/>
    <x v="69"/>
    <x v="0"/>
    <x v="0"/>
    <x v="67"/>
    <x v="71"/>
    <x v="98"/>
  </r>
  <r>
    <s v="(KG) Clear Lake Pre-Owned13"/>
    <x v="9"/>
    <x v="0"/>
    <x v="1"/>
    <x v="1"/>
    <x v="39"/>
    <x v="1"/>
    <s v="https://tools.sig.systems/site/details/255"/>
    <s v="https://www.google.com/maps/d/edit?mid=1DRwy5fy1g5UzGTA7a1OkQA-_CY8SQ2s&amp;usp=sharing"/>
    <x v="1"/>
    <x v="0"/>
    <x v="29"/>
    <x v="0"/>
    <x v="0"/>
    <x v="29"/>
    <x v="32"/>
    <x v="39"/>
  </r>
  <r>
    <s v="(ML) McLarty Gray-Daniels Ford Lincoln13"/>
    <x v="9"/>
    <x v="0"/>
    <x v="1"/>
    <x v="1"/>
    <x v="79"/>
    <x v="1"/>
    <s v="https://tools.sig.systems/site/details/151"/>
    <s v="https://www.google.com/maps/d/edit?mid=111nhCL4Xjj2Pq0zP5xUrMzHQqAihqa0&amp;usp=sharing"/>
    <x v="1"/>
    <x v="0"/>
    <x v="56"/>
    <x v="29"/>
    <x v="0"/>
    <x v="53"/>
    <x v="57"/>
    <x v="79"/>
  </r>
  <r>
    <s v="(PE) Hudson Toyota Nissan CDJR (NO TOURS)13"/>
    <x v="9"/>
    <x v="0"/>
    <x v="4"/>
    <x v="0"/>
    <x v="81"/>
    <x v="0"/>
    <s v="https://tools.sig.systems/site/details/156"/>
    <m/>
    <x v="1"/>
    <x v="0"/>
    <x v="49"/>
    <x v="30"/>
    <x v="0"/>
    <x v="55"/>
    <x v="58"/>
    <x v="81"/>
  </r>
  <r>
    <s v="(PE) Scofield Service Center (NO TOURS)13"/>
    <x v="9"/>
    <x v="0"/>
    <x v="4"/>
    <x v="0"/>
    <x v="113"/>
    <x v="0"/>
    <s v="https://tools.sig.systems/site/details/193"/>
    <s v="https://www.google.com/maps/d/viewer?mid=1FEo41PzFJQjUIXXKitX5TNCtuqR6Vbs&amp;ll=41.1663376742533%2C-73.22955662049608&amp;z=16"/>
    <x v="1"/>
    <x v="0"/>
    <x v="6"/>
    <x v="0"/>
    <x v="0"/>
    <x v="75"/>
    <x v="51"/>
    <x v="112"/>
  </r>
  <r>
    <s v="(RV) Toms Camperland Avondale (NO TOURS)13"/>
    <x v="9"/>
    <x v="0"/>
    <x v="5"/>
    <x v="3"/>
    <x v="24"/>
    <x v="4"/>
    <s v="https://tools.sig.systems/site/details/248"/>
    <s v="https://www.google.com/maps/d/viewer?mid=1bDs0QGFZwL3vEeGKxjVMk_j4azr0-lg&amp;ll=33.4593758581648%2C-112.28793780000001&amp;z=18"/>
    <x v="2"/>
    <x v="0"/>
    <x v="19"/>
    <x v="10"/>
    <x v="0"/>
    <x v="6"/>
    <x v="20"/>
    <x v="24"/>
  </r>
  <r>
    <s v="(AS) Park Place Acura (NO TOURS)13"/>
    <x v="9"/>
    <x v="1"/>
    <x v="1"/>
    <x v="1"/>
    <x v="32"/>
    <x v="1"/>
    <s v="https://tools.sig.systems/site/details/259"/>
    <s v="https://www.google.com/maps/d/viewer?mid=1wg5suxVuxeNp_irHlvN772HcwD6W89E&amp;ll=33.06373951220261%2C-96.82758025000001&amp;z=18"/>
    <x v="1"/>
    <x v="0"/>
    <x v="25"/>
    <x v="0"/>
    <x v="0"/>
    <x v="25"/>
    <x v="11"/>
    <x v="32"/>
  </r>
  <r>
    <s v="(HUD) BMW of Greensboro13"/>
    <x v="9"/>
    <x v="1"/>
    <x v="0"/>
    <x v="0"/>
    <x v="100"/>
    <x v="0"/>
    <s v="https://tools.sig.systems/site/details/219"/>
    <s v="https://www.google.com/maps/d/viewer?mid=1ejOzT7-x6RWnCf83BBP7XhiOiwEX3Wk&amp;ll=36.061264791292906%2C-79.87437695000003&amp;z=17"/>
    <x v="1"/>
    <x v="0"/>
    <x v="70"/>
    <x v="0"/>
    <x v="0"/>
    <x v="68"/>
    <x v="72"/>
    <x v="99"/>
  </r>
  <r>
    <s v="(HUD) Honda of Southpoint13"/>
    <x v="9"/>
    <x v="1"/>
    <x v="0"/>
    <x v="0"/>
    <x v="11"/>
    <x v="0"/>
    <s v="https://tools.sig.systems/site/details/195"/>
    <m/>
    <x v="0"/>
    <x v="0"/>
    <x v="10"/>
    <x v="4"/>
    <x v="0"/>
    <x v="10"/>
    <x v="11"/>
    <x v="11"/>
  </r>
  <r>
    <s v="(KG) JLR LEHI (NO TOURS)13"/>
    <x v="9"/>
    <x v="1"/>
    <x v="3"/>
    <x v="2"/>
    <x v="73"/>
    <x v="3"/>
    <s v="https://tools.sig.systems/site/details/145"/>
    <m/>
    <x v="1"/>
    <x v="0"/>
    <x v="54"/>
    <x v="0"/>
    <x v="0"/>
    <x v="49"/>
    <x v="11"/>
    <x v="73"/>
  </r>
  <r>
    <s v="(KG) Texan CDJR13"/>
    <x v="9"/>
    <x v="1"/>
    <x v="1"/>
    <x v="1"/>
    <x v="13"/>
    <x v="1"/>
    <s v="https://tools.sig.systems/site/details/238"/>
    <s v="https://www.google.com/maps/d/edit?mid=1FNqK4dW8Z8gtSWuQLbStrtqe7lH8DIQ&amp;usp=sharing"/>
    <x v="1"/>
    <x v="0"/>
    <x v="12"/>
    <x v="0"/>
    <x v="5"/>
    <x v="11"/>
    <x v="13"/>
    <x v="13"/>
  </r>
  <r>
    <s v="(ML) Columbia Honda (NO TOURS)13"/>
    <x v="9"/>
    <x v="1"/>
    <x v="1"/>
    <x v="1"/>
    <x v="75"/>
    <x v="1"/>
    <s v="https://tools.sig.systems/site/details/272"/>
    <s v="https://www.google.com/maps/d/viewer?hl=es&amp;mid=1C1oZdjH3dNvCvqdpIv_Lk0Yn1OCVn-4&amp;ll=38.965368114274426%2C-92.3405954&amp;z=15"/>
    <x v="1"/>
    <x v="0"/>
    <x v="3"/>
    <x v="26"/>
    <x v="0"/>
    <x v="50"/>
    <x v="56"/>
    <x v="75"/>
  </r>
  <r>
    <s v="(ML) McLarty Gray-Daniels Toyota Nissan13"/>
    <x v="9"/>
    <x v="1"/>
    <x v="1"/>
    <x v="1"/>
    <x v="108"/>
    <x v="1"/>
    <s v="https://tools.sig.systems/site/details/152"/>
    <s v="https://www.google.com/maps/d/edit?mid=111nhCL4Xjj2Pq0zP5xUrMzHQqAihqa0&amp;usp=sharing"/>
    <x v="1"/>
    <x v="0"/>
    <x v="3"/>
    <x v="40"/>
    <x v="0"/>
    <x v="72"/>
    <x v="79"/>
    <x v="107"/>
  </r>
  <r>
    <s v="(RV) Toms Camperland Mesa (NO TOURS)13"/>
    <x v="9"/>
    <x v="1"/>
    <x v="5"/>
    <x v="3"/>
    <x v="25"/>
    <x v="4"/>
    <s v="https://tools.sig.systems/site/details/222"/>
    <m/>
    <x v="1"/>
    <x v="0"/>
    <x v="20"/>
    <x v="0"/>
    <x v="0"/>
    <x v="6"/>
    <x v="21"/>
    <x v="25"/>
  </r>
  <r>
    <s v="(AS) Bill Estes Ford (NO TOURS)13"/>
    <x v="9"/>
    <x v="2"/>
    <x v="0"/>
    <x v="0"/>
    <x v="55"/>
    <x v="0"/>
    <s v="https://tools.sig.systems/site/details/125"/>
    <m/>
    <x v="1"/>
    <x v="0"/>
    <x v="3"/>
    <x v="21"/>
    <x v="0"/>
    <x v="36"/>
    <x v="41"/>
    <x v="55"/>
  </r>
  <r>
    <s v="(AS) Lexus Grapevine I &amp; II (NO TOURS)13"/>
    <x v="9"/>
    <x v="2"/>
    <x v="1"/>
    <x v="1"/>
    <x v="29"/>
    <x v="1"/>
    <s v="https://tools.sig.systems/site/details/136"/>
    <m/>
    <x v="1"/>
    <x v="0"/>
    <x v="23"/>
    <x v="0"/>
    <x v="7"/>
    <x v="23"/>
    <x v="24"/>
    <x v="29"/>
  </r>
  <r>
    <s v="(HUD) Nissan Greensboro13"/>
    <x v="9"/>
    <x v="2"/>
    <x v="0"/>
    <x v="0"/>
    <x v="12"/>
    <x v="0"/>
    <s v="https://tools.sig.systems/site/details/236"/>
    <s v="https://www.google.com/maps/d/viewer?mid=1ejOzT7-x6RWnCf83BBP7XhiOiwEX3Wk&amp;ll=36.061264791292906%2C-79.87437695000003&amp;z=17"/>
    <x v="1"/>
    <x v="0"/>
    <x v="11"/>
    <x v="0"/>
    <x v="0"/>
    <x v="6"/>
    <x v="12"/>
    <x v="12"/>
  </r>
  <r>
    <s v="(KG) Hyundai Surprise13"/>
    <x v="9"/>
    <x v="2"/>
    <x v="5"/>
    <x v="3"/>
    <x v="103"/>
    <x v="4"/>
    <s v="https://tools.sig.systems/site/details/269"/>
    <m/>
    <x v="4"/>
    <x v="0"/>
    <x v="73"/>
    <x v="0"/>
    <x v="0"/>
    <x v="71"/>
    <x v="11"/>
    <x v="102"/>
  </r>
  <r>
    <s v="(KG) Texan GMC Buick (NO TOURS)13"/>
    <x v="9"/>
    <x v="2"/>
    <x v="1"/>
    <x v="1"/>
    <x v="41"/>
    <x v="1"/>
    <s v="https://tools.sig.systems/site/details/225"/>
    <s v="https://www.google.com/maps/d/edit?mid=1FNqK4dW8Z8gtSWuQLbStrtqe7lH8DIQ&amp;usp=sharing"/>
    <x v="1"/>
    <x v="0"/>
    <x v="31"/>
    <x v="0"/>
    <x v="0"/>
    <x v="31"/>
    <x v="33"/>
    <x v="41"/>
  </r>
  <r>
    <s v="(LM) Luther Mazda / Mitsubishi13"/>
    <x v="9"/>
    <x v="2"/>
    <x v="1"/>
    <x v="1"/>
    <x v="74"/>
    <x v="1"/>
    <s v="https://tools.sig.systems/site/details/147"/>
    <s v="https://www.google.com/maps/d/viewer?mid=1ot0ILX76JMuvd9yMuqkb4_e0yH1n7TA&amp;ll=45.07815812965141%2C-93.33506855000002&amp;z=17"/>
    <x v="1"/>
    <x v="0"/>
    <x v="55"/>
    <x v="0"/>
    <x v="12"/>
    <x v="6"/>
    <x v="55"/>
    <x v="74"/>
  </r>
  <r>
    <s v="(ML) Joe Machens CDJR13"/>
    <x v="9"/>
    <x v="2"/>
    <x v="1"/>
    <x v="1"/>
    <x v="43"/>
    <x v="1"/>
    <s v="https://tools.sig.systems/site/details/273"/>
    <s v="https://www.google.com/maps/d/viewer?hl=es&amp;mid=1C1oZdjH3dNvCvqdpIv_Lk0Yn1OCVn-4&amp;ll=38.965368114274455%2C-92.3405954&amp;z=15"/>
    <x v="1"/>
    <x v="0"/>
    <x v="3"/>
    <x v="16"/>
    <x v="0"/>
    <x v="6"/>
    <x v="35"/>
    <x v="43"/>
  </r>
  <r>
    <s v="(RV) Toms Camperland Surprise (NO TOURS)13"/>
    <x v="9"/>
    <x v="2"/>
    <x v="5"/>
    <x v="3"/>
    <x v="51"/>
    <x v="4"/>
    <s v="https://tools.sig.systems/site/details/254"/>
    <m/>
    <x v="5"/>
    <x v="0"/>
    <x v="38"/>
    <x v="0"/>
    <x v="0"/>
    <x v="6"/>
    <x v="37"/>
    <x v="51"/>
  </r>
  <r>
    <s v="SIG Office13"/>
    <x v="9"/>
    <x v="2"/>
    <x v="2"/>
    <x v="0"/>
    <x v="85"/>
    <x v="2"/>
    <s v="https://tools.sig.systems/site/details/163"/>
    <m/>
    <x v="1"/>
    <x v="0"/>
    <x v="3"/>
    <x v="0"/>
    <x v="0"/>
    <x v="6"/>
    <x v="60"/>
    <x v="85"/>
  </r>
  <r>
    <s v="(AS) Lexus Plano I &amp; II (NO TOURS)13"/>
    <x v="9"/>
    <x v="3"/>
    <x v="1"/>
    <x v="1"/>
    <x v="1"/>
    <x v="1"/>
    <s v="https://tools.sig.systems/site/details/167"/>
    <s v="https://www.google.com/maps/d/viewer?mid=1wg5suxVuxeNp_irHlvN772HcwD6W89E&amp;ll=33.06373951220261%2C-96.82758025000001&amp;z=18"/>
    <x v="1"/>
    <x v="0"/>
    <x v="1"/>
    <x v="0"/>
    <x v="1"/>
    <x v="1"/>
    <x v="1"/>
    <x v="1"/>
  </r>
  <r>
    <s v="(AS) Park Place Volvo Sales (NO TOURS)13"/>
    <x v="9"/>
    <x v="3"/>
    <x v="1"/>
    <x v="1"/>
    <x v="33"/>
    <x v="1"/>
    <s v="https://tools.sig.systems/site/details/139"/>
    <s v="https://www.google.com/maps/d/edit?hl=es&amp;mid=1uPmsRMsXnp74hPFW2t-sp2totVWF_xY&amp;ll=32.83050137713022%2C-96.83197783061323&amp;z=17"/>
    <x v="1"/>
    <x v="0"/>
    <x v="26"/>
    <x v="0"/>
    <x v="0"/>
    <x v="26"/>
    <x v="27"/>
    <x v="33"/>
  </r>
  <r>
    <s v="(DT) Denver (NO TOURS)13"/>
    <x v="9"/>
    <x v="3"/>
    <x v="3"/>
    <x v="2"/>
    <x v="97"/>
    <x v="3"/>
    <s v="https://tools.sig.systems/site/details/203"/>
    <s v="https://www.google.com/maps/d/edit?mid=1AjZHz2LTg0RMhZUOmyZsv_Y4MFcaP8g&amp;usp=sharing"/>
    <x v="1"/>
    <x v="0"/>
    <x v="3"/>
    <x v="25"/>
    <x v="0"/>
    <x v="6"/>
    <x v="69"/>
    <x v="96"/>
  </r>
  <r>
    <s v="(DT) El Cajon (NO TOURS)13"/>
    <x v="9"/>
    <x v="3"/>
    <x v="5"/>
    <x v="4"/>
    <x v="66"/>
    <x v="4"/>
    <s v="https://tools.sig.systems/site/details/241"/>
    <m/>
    <x v="1"/>
    <x v="0"/>
    <x v="3"/>
    <x v="16"/>
    <x v="0"/>
    <x v="6"/>
    <x v="11"/>
    <x v="66"/>
  </r>
  <r>
    <s v="(HUD) CDJR of Greensboro13"/>
    <x v="9"/>
    <x v="3"/>
    <x v="0"/>
    <x v="0"/>
    <x v="68"/>
    <x v="6"/>
    <s v="https://tools.sig.systems/site/details/215"/>
    <s v="https://www.google.com/maps/d/viewer?mid=1ejOzT7-x6RWnCf83BBP7XhiOiwEX3Wk&amp;ll=36.061264791292906%2C-79.87437695000003&amp;z=17"/>
    <x v="3"/>
    <x v="0"/>
    <x v="50"/>
    <x v="0"/>
    <x v="0"/>
    <x v="45"/>
    <x v="51"/>
    <x v="68"/>
  </r>
  <r>
    <s v="(KG) Big Star CDJR of Clear Lake13"/>
    <x v="9"/>
    <x v="3"/>
    <x v="1"/>
    <x v="1"/>
    <x v="101"/>
    <x v="1"/>
    <s v="https://tools.sig.systems/site/details/232"/>
    <s v="https://www.google.com/maps/d/edit?mid=1DRwy5fy1g5UzGTA7a1OkQA-_CY8SQ2s&amp;usp=sharing"/>
    <x v="1"/>
    <x v="0"/>
    <x v="71"/>
    <x v="0"/>
    <x v="0"/>
    <x v="69"/>
    <x v="73"/>
    <x v="100"/>
  </r>
  <r>
    <s v="(KG) Big Star Ford13"/>
    <x v="9"/>
    <x v="3"/>
    <x v="1"/>
    <x v="1"/>
    <x v="102"/>
    <x v="1"/>
    <s v="https://tools.sig.systems/site/details/235"/>
    <m/>
    <x v="1"/>
    <x v="0"/>
    <x v="72"/>
    <x v="0"/>
    <x v="0"/>
    <x v="70"/>
    <x v="74"/>
    <x v="101"/>
  </r>
  <r>
    <s v="(ML) Joe Machens VW13"/>
    <x v="9"/>
    <x v="3"/>
    <x v="1"/>
    <x v="1"/>
    <x v="19"/>
    <x v="1"/>
    <s v="https://tools.sig.systems/site/details/274"/>
    <s v="https://www.google.com/maps/d/viewer?hl=es&amp;mid=1C1oZdjH3dNvCvqdpIv_Lk0Yn1OCVn-4&amp;ll=38.965368114274455%2C-92.3405954&amp;z=15"/>
    <x v="1"/>
    <x v="0"/>
    <x v="3"/>
    <x v="8"/>
    <x v="0"/>
    <x v="17"/>
    <x v="11"/>
    <x v="19"/>
  </r>
  <r>
    <s v="(ML) Nissan of Little Rock13"/>
    <x v="9"/>
    <x v="3"/>
    <x v="1"/>
    <x v="1"/>
    <x v="46"/>
    <x v="1"/>
    <s v="https://tools.sig.systems/site/details/224"/>
    <s v="https://www.google.com/maps/d/viewer?mid=1hvbKFMO-d5TXrKGU-g5dt_xcdArB1D0&amp;ll=34.71147784120261%2C-92.40574350000001&amp;z=17"/>
    <x v="1"/>
    <x v="0"/>
    <x v="34"/>
    <x v="0"/>
    <x v="0"/>
    <x v="34"/>
    <x v="7"/>
    <x v="46"/>
  </r>
  <r>
    <s v="(PE) BMW of Greenwich (NO TOURS)13"/>
    <x v="9"/>
    <x v="3"/>
    <x v="4"/>
    <x v="0"/>
    <x v="110"/>
    <x v="0"/>
    <s v="https://tools.sig.systems/site/details/186"/>
    <s v="https://www.google.com/maps/d/edit?hl=en&amp;mid=1UHmt7tH1ihTa85i0MfQIcTfVvIQg_vM&amp;ll=41.024187580466844%2C-73.63702405370861&amp;z=18"/>
    <x v="1"/>
    <x v="0"/>
    <x v="75"/>
    <x v="0"/>
    <x v="0"/>
    <x v="6"/>
    <x v="81"/>
    <x v="109"/>
  </r>
  <r>
    <s v="(AS) Coggin Honda Ft. Pierce (NO TOURS)13"/>
    <x v="9"/>
    <x v="4"/>
    <x v="0"/>
    <x v="0"/>
    <x v="0"/>
    <x v="0"/>
    <s v="https://tools.sig.systems/site/details/120"/>
    <s v="https://www.google.com/maps/d/viewer?mid=1AyViBuyeq7iwDua1SVudJ2A1BYi3IBA&amp;ll=27.38181516363982%2C-80.32568845000002&amp;z=18"/>
    <x v="0"/>
    <x v="0"/>
    <x v="0"/>
    <x v="0"/>
    <x v="0"/>
    <x v="0"/>
    <x v="0"/>
    <x v="0"/>
  </r>
  <r>
    <s v="(AS) Mercedes Benz/Porsche Dallas I,II,III (NO TOURS)13"/>
    <x v="9"/>
    <x v="4"/>
    <x v="1"/>
    <x v="1"/>
    <x v="2"/>
    <x v="1"/>
    <s v="https://tools.sig.systems/site/details/168"/>
    <s v="https://www.google.com/maps/d/edit?hl=es&amp;mid=1uPmsRMsXnp74hPFW2t-sp2totVWF_xY&amp;ll=32.83050137713022%2C-96.83197783061323&amp;z=17"/>
    <x v="1"/>
    <x v="0"/>
    <x v="2"/>
    <x v="0"/>
    <x v="2"/>
    <x v="2"/>
    <x v="2"/>
    <x v="2"/>
  </r>
  <r>
    <s v="(DT) Colorado Springs (NO TOURS)13"/>
    <x v="9"/>
    <x v="4"/>
    <x v="3"/>
    <x v="2"/>
    <x v="65"/>
    <x v="3"/>
    <s v="https://tools.sig.systems/site/details/198"/>
    <m/>
    <x v="1"/>
    <x v="0"/>
    <x v="3"/>
    <x v="24"/>
    <x v="0"/>
    <x v="6"/>
    <x v="49"/>
    <x v="65"/>
  </r>
  <r>
    <s v="(HUD) Honda Greensboro13"/>
    <x v="9"/>
    <x v="4"/>
    <x v="0"/>
    <x v="0"/>
    <x v="37"/>
    <x v="0"/>
    <s v="https://tools.sig.systems/site/details/230"/>
    <s v="AS/ HUD - Crown Greensboro - Google My Maps"/>
    <x v="1"/>
    <x v="0"/>
    <x v="28"/>
    <x v="0"/>
    <x v="0"/>
    <x v="28"/>
    <x v="31"/>
    <x v="37"/>
  </r>
  <r>
    <s v="(ML) BMW of Little Rock13"/>
    <x v="9"/>
    <x v="4"/>
    <x v="1"/>
    <x v="1"/>
    <x v="105"/>
    <x v="1"/>
    <s v="https://tools.sig.systems/site/details/217"/>
    <s v="https://www.google.com/maps/d/viewer?mid=1hvbKFMO-d5TXrKGU-g5dt_xcdArB1D0&amp;ll=34.71147784120261%2C-92.40574350000001&amp;z=17"/>
    <x v="1"/>
    <x v="0"/>
    <x v="3"/>
    <x v="38"/>
    <x v="0"/>
    <x v="6"/>
    <x v="76"/>
    <x v="104"/>
  </r>
  <r>
    <s v="(ML) Joe Machens Toyota13"/>
    <x v="9"/>
    <x v="4"/>
    <x v="1"/>
    <x v="1"/>
    <x v="18"/>
    <x v="1"/>
    <s v="https://tools.sig.systems/site/details/275"/>
    <s v="https://www.google.com/maps/d/viewer?hl=es&amp;mid=1C1oZdjH3dNvCvqdpIv_Lk0Yn1OCVn-4&amp;ll=38.965368114274455%2C-92.3405954&amp;z=15"/>
    <x v="1"/>
    <x v="0"/>
    <x v="3"/>
    <x v="7"/>
    <x v="0"/>
    <x v="16"/>
    <x v="11"/>
    <x v="18"/>
  </r>
  <r>
    <s v="(PE) BMW of Mamaroneck (NO TOURS)13"/>
    <x v="9"/>
    <x v="4"/>
    <x v="4"/>
    <x v="0"/>
    <x v="111"/>
    <x v="0"/>
    <s v="https://tools.sig.systems/site/details/185"/>
    <m/>
    <x v="1"/>
    <x v="0"/>
    <x v="76"/>
    <x v="41"/>
    <x v="0"/>
    <x v="6"/>
    <x v="82"/>
    <x v="110"/>
  </r>
  <r>
    <s v="(PE) JLR PDI (NO TOURS)13"/>
    <x v="9"/>
    <x v="4"/>
    <x v="4"/>
    <x v="0"/>
    <x v="50"/>
    <x v="0"/>
    <s v="https://tools.sig.systems/site/details/179"/>
    <s v="https://www.google.com/maps/d/viewer?mid=1ubI2iKs1JyYXssuT4oLPnVvFnyLPi_s&amp;ll=40.878808846788026%2C-73.98560655&amp;z=17"/>
    <x v="1"/>
    <x v="0"/>
    <x v="37"/>
    <x v="0"/>
    <x v="0"/>
    <x v="6"/>
    <x v="11"/>
    <x v="50"/>
  </r>
  <r>
    <s v="(RML) Burleson Nissan13"/>
    <x v="9"/>
    <x v="4"/>
    <x v="1"/>
    <x v="1"/>
    <x v="82"/>
    <x v="1"/>
    <s v="https://tools.sig.systems/site/details/202"/>
    <m/>
    <x v="1"/>
    <x v="0"/>
    <x v="58"/>
    <x v="0"/>
    <x v="0"/>
    <x v="56"/>
    <x v="11"/>
    <x v="82"/>
  </r>
  <r>
    <s v="(AS) Park Place Mercedes Benz Arlington (NO TOURS)13"/>
    <x v="9"/>
    <x v="5"/>
    <x v="1"/>
    <x v="1"/>
    <x v="61"/>
    <x v="1"/>
    <s v="https://tools.sig.systems/site/details/169"/>
    <m/>
    <x v="1"/>
    <x v="0"/>
    <x v="46"/>
    <x v="0"/>
    <x v="11"/>
    <x v="41"/>
    <x v="46"/>
    <x v="61"/>
  </r>
  <r>
    <s v="(AS) Park Place Sprinter Van Center (NO TOURS)13"/>
    <x v="9"/>
    <x v="5"/>
    <x v="1"/>
    <x v="1"/>
    <x v="6"/>
    <x v="1"/>
    <s v="https://tools.sig.systems/site/details/138"/>
    <s v="https://www.google.com/maps/d/edit?hl=es&amp;mid=1uPmsRMsXnp74hPFW2t-sp2totVWF_xY&amp;ll=32.83050137713022%2C-96.83197783061323&amp;z=17"/>
    <x v="1"/>
    <x v="0"/>
    <x v="6"/>
    <x v="0"/>
    <x v="0"/>
    <x v="6"/>
    <x v="6"/>
    <x v="6"/>
  </r>
  <r>
    <s v="(AS) Stevinson Chevrolet Golden (NO TOURS)13"/>
    <x v="9"/>
    <x v="5"/>
    <x v="7"/>
    <x v="2"/>
    <x v="96"/>
    <x v="3"/>
    <s v="https://tools.sig.systems/site/details/264"/>
    <s v="https://www.google.com/maps/d/edit?mid=1nAyK85WaWREy0lfxnmWn3USs2gC0nP0&amp;usp=sharing"/>
    <x v="1"/>
    <x v="0"/>
    <x v="3"/>
    <x v="36"/>
    <x v="0"/>
    <x v="66"/>
    <x v="68"/>
    <x v="95"/>
  </r>
  <r>
    <s v="(AS) Stevinson JLR (NO TOURS)13"/>
    <x v="9"/>
    <x v="5"/>
    <x v="3"/>
    <x v="2"/>
    <x v="64"/>
    <x v="3"/>
    <s v="https://tools.sig.systems/site/details/204"/>
    <m/>
    <x v="1"/>
    <x v="0"/>
    <x v="49"/>
    <x v="1"/>
    <x v="0"/>
    <x v="44"/>
    <x v="48"/>
    <x v="64"/>
  </r>
  <r>
    <s v="(DT) Wichita13"/>
    <x v="9"/>
    <x v="5"/>
    <x v="1"/>
    <x v="1"/>
    <x v="36"/>
    <x v="1"/>
    <s v="https://tools.sig.systems/site/details/257"/>
    <m/>
    <x v="1"/>
    <x v="0"/>
    <x v="3"/>
    <x v="15"/>
    <x v="0"/>
    <x v="6"/>
    <x v="30"/>
    <x v="36"/>
  </r>
  <r>
    <s v="(HUD) Paint and Body Center (NO TOURS)13"/>
    <x v="9"/>
    <x v="5"/>
    <x v="0"/>
    <x v="0"/>
    <x v="38"/>
    <x v="0"/>
    <s v="https://tools.sig.systems/site/details/256"/>
    <s v="https://www.google.com/maps/d/viewer?mid=1ejOzT7-x6RWnCf83BBP7XhiOiwEX3Wk&amp;ll=36.061264791292906%2C-79.87437695000003&amp;z=17"/>
    <x v="1"/>
    <x v="0"/>
    <x v="3"/>
    <x v="9"/>
    <x v="0"/>
    <x v="6"/>
    <x v="11"/>
    <x v="38"/>
  </r>
  <r>
    <s v="(ML) Joe Machens E Collision Center13"/>
    <x v="9"/>
    <x v="5"/>
    <x v="1"/>
    <x v="1"/>
    <x v="76"/>
    <x v="1"/>
    <s v="https://tools.sig.systems/site/details/277"/>
    <s v="https://www.google.com/maps/d/viewer?hl=es&amp;mid=1C1oZdjH3dNvCvqdpIv_Lk0Yn1OCVn-4&amp;ll=38.965368114274455%2C-92.3405954&amp;z=15"/>
    <x v="1"/>
    <x v="0"/>
    <x v="6"/>
    <x v="0"/>
    <x v="0"/>
    <x v="51"/>
    <x v="57"/>
    <x v="76"/>
  </r>
  <r>
    <s v="(ML) Mazda VW-Lot B13"/>
    <x v="9"/>
    <x v="5"/>
    <x v="1"/>
    <x v="1"/>
    <x v="45"/>
    <x v="1"/>
    <s v="https://tools.sig.systems/site/details/205"/>
    <s v="https://www.google.com/maps/d/edit?mid=1Oky35ERk_2kgyzCvDu_odQ2ZP62BtqA&amp;usp=sharing"/>
    <x v="1"/>
    <x v="0"/>
    <x v="33"/>
    <x v="9"/>
    <x v="0"/>
    <x v="30"/>
    <x v="11"/>
    <x v="45"/>
  </r>
  <r>
    <s v="(ML) Nissan of North Little Rock13"/>
    <x v="9"/>
    <x v="5"/>
    <x v="1"/>
    <x v="1"/>
    <x v="20"/>
    <x v="1"/>
    <s v="https://tools.sig.systems/site/details/216"/>
    <s v="https://www.google.com/maps/d/edit?mid=1Oky35ERk_2kgyzCvDu_odQ2ZP62BtqA&amp;usp=sharing"/>
    <x v="1"/>
    <x v="0"/>
    <x v="16"/>
    <x v="0"/>
    <x v="0"/>
    <x v="18"/>
    <x v="17"/>
    <x v="20"/>
  </r>
  <r>
    <s v="(SCH) Prep Center Delray13"/>
    <x v="9"/>
    <x v="5"/>
    <x v="0"/>
    <x v="0"/>
    <x v="53"/>
    <x v="0"/>
    <s v="https://tools.sig.systems/site/details/321"/>
    <m/>
    <x v="1"/>
    <x v="0"/>
    <x v="40"/>
    <x v="0"/>
    <x v="0"/>
    <x v="6"/>
    <x v="39"/>
    <x v="53"/>
  </r>
  <r>
    <s v="(TC) Tavernier Creek Marina (NO TOURS)13"/>
    <x v="9"/>
    <x v="5"/>
    <x v="0"/>
    <x v="0"/>
    <x v="84"/>
    <x v="1"/>
    <s v="https://tools.sig.systems/site/details/164"/>
    <m/>
    <x v="6"/>
    <x v="0"/>
    <x v="60"/>
    <x v="0"/>
    <x v="0"/>
    <x v="6"/>
    <x v="59"/>
    <x v="84"/>
  </r>
  <r>
    <s v="(AS) Atwell Prep Center-Dallas (NO TOURS)13"/>
    <x v="9"/>
    <x v="6"/>
    <x v="1"/>
    <x v="1"/>
    <x v="86"/>
    <x v="1"/>
    <s v="https://tools.sig.systems/site/details/165"/>
    <s v="https://www.google.com/maps/d/edit?hl=es&amp;mid=1uPmsRMsXnp74hPFW2t-sp2totVWF_xY&amp;ll=32.83050137713022%2C-96.83197783061323&amp;z=17"/>
    <x v="1"/>
    <x v="0"/>
    <x v="61"/>
    <x v="0"/>
    <x v="0"/>
    <x v="6"/>
    <x v="28"/>
    <x v="86"/>
  </r>
  <r>
    <s v="(AS) Coggin Acura Ft Pierce (NO TOURS)13"/>
    <x v="9"/>
    <x v="6"/>
    <x v="0"/>
    <x v="0"/>
    <x v="27"/>
    <x v="0"/>
    <s v="https://tools.sig.systems/site/details/118"/>
    <s v="https://www.google.com/maps/d/viewer?mid=1AyViBuyeq7iwDua1SVudJ2A1BYi3IBA&amp;ll=27.38181516363982%2C-80.32568845000002&amp;z=18"/>
    <x v="1"/>
    <x v="0"/>
    <x v="3"/>
    <x v="12"/>
    <x v="0"/>
    <x v="21"/>
    <x v="19"/>
    <x v="27"/>
  </r>
  <r>
    <s v="(AS) Courtesy CDJR of Brandon (NO TOURS)13"/>
    <x v="9"/>
    <x v="6"/>
    <x v="0"/>
    <x v="0"/>
    <x v="56"/>
    <x v="0"/>
    <s v="https://tools.sig.systems/site/details/126"/>
    <s v="https://www.google.com/maps/d/edit?mid=15R4hTDQx56ij99--JgozdqOIZh-kSlk&amp;usp=sharing"/>
    <x v="0"/>
    <x v="0"/>
    <x v="42"/>
    <x v="9"/>
    <x v="0"/>
    <x v="37"/>
    <x v="42"/>
    <x v="56"/>
  </r>
  <r>
    <s v="(AS) Nalley BMW Collision Center (NO TOURS)13"/>
    <x v="9"/>
    <x v="6"/>
    <x v="0"/>
    <x v="0"/>
    <x v="3"/>
    <x v="0"/>
    <s v="https://tools.sig.systems/site/details/220"/>
    <m/>
    <x v="1"/>
    <x v="0"/>
    <x v="3"/>
    <x v="1"/>
    <x v="0"/>
    <x v="3"/>
    <x v="3"/>
    <x v="3"/>
  </r>
  <r>
    <s v="(AS) Park Place Mercedes Benz Ft. Worth (NO TOURS)13"/>
    <x v="9"/>
    <x v="6"/>
    <x v="1"/>
    <x v="1"/>
    <x v="5"/>
    <x v="1"/>
    <s v="https://tools.sig.systems/site/details/137"/>
    <s v="https://www.google.com/maps/d/edit?mid=18OEO_KbvYcgI3N1jE4gTMXfNHTNDrFU&amp;ll=32.66603989958274%2C-97.42021198201722&amp;z=18"/>
    <x v="1"/>
    <x v="0"/>
    <x v="5"/>
    <x v="0"/>
    <x v="4"/>
    <x v="5"/>
    <x v="5"/>
    <x v="5"/>
  </r>
  <r>
    <s v="(AS) Stevinson Toyota West (NO TOURS)13"/>
    <x v="9"/>
    <x v="6"/>
    <x v="3"/>
    <x v="2"/>
    <x v="8"/>
    <x v="3"/>
    <s v="https://tools.sig.systems/site/details/240"/>
    <s v="https://www.google.com/maps/d/edit?mid=1nAyK85WaWREy0lfxnmWn3USs2gC0nP0&amp;usp=sharing"/>
    <x v="1"/>
    <x v="0"/>
    <x v="3"/>
    <x v="3"/>
    <x v="0"/>
    <x v="7"/>
    <x v="8"/>
    <x v="8"/>
  </r>
  <r>
    <s v="(ML) Honda of Little Rock13"/>
    <x v="9"/>
    <x v="6"/>
    <x v="1"/>
    <x v="1"/>
    <x v="16"/>
    <x v="1"/>
    <s v="https://tools.sig.systems/site/details/249"/>
    <s v="https://www.google.com/maps/d/viewer?mid=1hvbKFMO-d5TXrKGU-g5dt_xcdArB1D0&amp;ll=34.71147784120261%2C-92.40574350000001&amp;z=17"/>
    <x v="1"/>
    <x v="0"/>
    <x v="15"/>
    <x v="0"/>
    <x v="0"/>
    <x v="14"/>
    <x v="15"/>
    <x v="16"/>
  </r>
  <r>
    <s v="(ML) Joe Machens Temporary 2.013"/>
    <x v="9"/>
    <x v="6"/>
    <x v="1"/>
    <x v="1"/>
    <x v="44"/>
    <x v="1"/>
    <s v="https://tools.sig.systems/site/details/278"/>
    <s v="https://www.google.com/maps/d/viewer?hl=es&amp;mid=1C1oZdjH3dNvCvqdpIv_Lk0Yn1OCVn-4&amp;ll=38.965368114274455%2C-92.3405954&amp;z=15"/>
    <x v="1"/>
    <x v="0"/>
    <x v="3"/>
    <x v="17"/>
    <x v="0"/>
    <x v="33"/>
    <x v="11"/>
    <x v="44"/>
  </r>
  <r>
    <s v="(PE) BMW Tenafly (NO TOURS)13"/>
    <x v="9"/>
    <x v="6"/>
    <x v="4"/>
    <x v="0"/>
    <x v="48"/>
    <x v="0"/>
    <s v="https://tools.sig.systems/site/details/155"/>
    <m/>
    <x v="1"/>
    <x v="0"/>
    <x v="36"/>
    <x v="18"/>
    <x v="0"/>
    <x v="6"/>
    <x v="19"/>
    <x v="48"/>
  </r>
  <r>
    <s v="(SCH) Auto Body Shop Lake Park13"/>
    <x v="9"/>
    <x v="6"/>
    <x v="0"/>
    <x v="0"/>
    <x v="83"/>
    <x v="0"/>
    <s v="https://tools.sig.systems/site/details/158"/>
    <m/>
    <x v="1"/>
    <x v="0"/>
    <x v="59"/>
    <x v="0"/>
    <x v="0"/>
    <x v="6"/>
    <x v="11"/>
    <x v="83"/>
  </r>
  <r>
    <s v="(AS) Courtesy Honda Palm Harbor (NO TOURS)13"/>
    <x v="9"/>
    <x v="7"/>
    <x v="0"/>
    <x v="0"/>
    <x v="88"/>
    <x v="0"/>
    <s v="https://tools.sig.systems/site/details/176"/>
    <m/>
    <x v="3"/>
    <x v="0"/>
    <x v="63"/>
    <x v="0"/>
    <x v="0"/>
    <x v="58"/>
    <x v="24"/>
    <x v="88"/>
  </r>
  <r>
    <s v="(AS) Park Place Bodywerks Dallas (NO TOURS)13"/>
    <x v="9"/>
    <x v="7"/>
    <x v="1"/>
    <x v="1"/>
    <x v="59"/>
    <x v="1"/>
    <s v="https://tools.sig.systems/site/details/166"/>
    <s v="https://www.google.com/maps/d/edit?hl=es&amp;mid=1uPmsRMsXnp74hPFW2t-sp2totVWF_xY&amp;ll=32.83050137713022%2C-96.83197783061323&amp;z=17"/>
    <x v="1"/>
    <x v="0"/>
    <x v="44"/>
    <x v="9"/>
    <x v="0"/>
    <x v="6"/>
    <x v="45"/>
    <x v="59"/>
  </r>
  <r>
    <s v="(AS) Stevinson Lexus of Lakewood (NO TOURS)13"/>
    <x v="9"/>
    <x v="7"/>
    <x v="3"/>
    <x v="2"/>
    <x v="34"/>
    <x v="3"/>
    <s v="https://tools.sig.systems/site/details/260"/>
    <s v="https://www.google.com/maps/d/edit?mid=1nAyK85WaWREy0lfxnmWn3USs2gC0nP0&amp;usp=sharing"/>
    <x v="1"/>
    <x v="0"/>
    <x v="3"/>
    <x v="14"/>
    <x v="8"/>
    <x v="6"/>
    <x v="28"/>
    <x v="34"/>
  </r>
  <r>
    <s v="(KG) Big Star Honda13"/>
    <x v="9"/>
    <x v="7"/>
    <x v="1"/>
    <x v="1"/>
    <x v="72"/>
    <x v="1"/>
    <s v="https://tools.sig.systems/site/details/231"/>
    <m/>
    <x v="1"/>
    <x v="0"/>
    <x v="53"/>
    <x v="0"/>
    <x v="0"/>
    <x v="48"/>
    <x v="54"/>
    <x v="72"/>
  </r>
  <r>
    <s v="(KG) Truck Center Remote Storage Lot13"/>
    <x v="9"/>
    <x v="7"/>
    <x v="2"/>
    <x v="2"/>
    <x v="14"/>
    <x v="2"/>
    <s v="https://tools.sig.systems/site/details/144"/>
    <m/>
    <x v="1"/>
    <x v="0"/>
    <x v="13"/>
    <x v="5"/>
    <x v="0"/>
    <x v="12"/>
    <x v="14"/>
    <x v="14"/>
  </r>
  <r>
    <s v="(ML) Collision Center N Little Rock13"/>
    <x v="9"/>
    <x v="7"/>
    <x v="1"/>
    <x v="1"/>
    <x v="106"/>
    <x v="1"/>
    <s v="https://tools.sig.systems/site/details/212"/>
    <s v="https://www.google.com/maps/d/edit?mid=1Oky35ERk_2kgyzCvDu_odQ2ZP62BtqA&amp;usp=sharing"/>
    <x v="1"/>
    <x v="0"/>
    <x v="3"/>
    <x v="0"/>
    <x v="0"/>
    <x v="6"/>
    <x v="77"/>
    <x v="105"/>
  </r>
  <r>
    <s v="(ML) Ford Lincoln of North Little Rock13"/>
    <x v="9"/>
    <x v="7"/>
    <x v="1"/>
    <x v="1"/>
    <x v="42"/>
    <x v="1"/>
    <s v="https://tools.sig.systems/site/details/214"/>
    <s v="https://www.google.com/maps/d/edit?mid=1Oky35ERk_2kgyzCvDu_odQ2ZP62BtqA&amp;usp=sharing"/>
    <x v="1"/>
    <x v="0"/>
    <x v="32"/>
    <x v="4"/>
    <x v="0"/>
    <x v="32"/>
    <x v="34"/>
    <x v="42"/>
  </r>
  <r>
    <s v="(ML) Joe Machens Nissan13"/>
    <x v="9"/>
    <x v="7"/>
    <x v="1"/>
    <x v="1"/>
    <x v="78"/>
    <x v="1"/>
    <s v="https://tools.sig.systems/site/details/279"/>
    <s v="https://www.google.com/maps/d/viewer?hl=es&amp;mid=1C1oZdjH3dNvCvqdpIv_Lk0Yn1OCVn-4&amp;ll=38.965368114274455%2C-92.3405954&amp;z=15"/>
    <x v="1"/>
    <x v="0"/>
    <x v="3"/>
    <x v="28"/>
    <x v="0"/>
    <x v="6"/>
    <x v="11"/>
    <x v="78"/>
  </r>
  <r>
    <s v="(PE) JLR Darien PDI (NO TOURS)13"/>
    <x v="9"/>
    <x v="7"/>
    <x v="4"/>
    <x v="0"/>
    <x v="112"/>
    <x v="0"/>
    <s v="https://tools.sig.systems/site/details/187"/>
    <s v="https://www.google.com/maps/d/viewer?mid=1ebZp8DeTYSXNPgDIA63nFVDu9ohaO4E&amp;ll=41.08027837958441%2C-73.46597874999999&amp;z=15"/>
    <x v="1"/>
    <x v="0"/>
    <x v="6"/>
    <x v="0"/>
    <x v="0"/>
    <x v="74"/>
    <x v="83"/>
    <x v="111"/>
  </r>
  <r>
    <s v="(AS) Audi of North Atlanta (NO TOURS)13"/>
    <x v="9"/>
    <x v="8"/>
    <x v="0"/>
    <x v="0"/>
    <x v="87"/>
    <x v="0"/>
    <s v="https://tools.sig.systems/site/details/124"/>
    <s v="https://www.google.com/maps/d/edit?mid=1jkN3DS1BhUqp_dztjjW0PDwKfo_Yxsw&amp;usp=sharing"/>
    <x v="1"/>
    <x v="0"/>
    <x v="62"/>
    <x v="0"/>
    <x v="0"/>
    <x v="57"/>
    <x v="61"/>
    <x v="87"/>
  </r>
  <r>
    <s v="(AS) Coggin Mercedes Benz Ft Pierce (NO TOURS)13"/>
    <x v="9"/>
    <x v="8"/>
    <x v="0"/>
    <x v="0"/>
    <x v="28"/>
    <x v="0"/>
    <s v="https://tools.sig.systems/site/details/127"/>
    <s v="https://www.google.com/maps/d/viewer?mid=1AyViBuyeq7iwDua1SVudJ2A1BYi3IBA&amp;ll=27.38181516363982%2C-80.32568845000002&amp;z=18"/>
    <x v="1"/>
    <x v="0"/>
    <x v="22"/>
    <x v="13"/>
    <x v="0"/>
    <x v="22"/>
    <x v="23"/>
    <x v="28"/>
  </r>
  <r>
    <s v="(AS) Park Place MB Recon Center Dallas (NO TOURS)13"/>
    <x v="9"/>
    <x v="8"/>
    <x v="1"/>
    <x v="1"/>
    <x v="60"/>
    <x v="1"/>
    <s v="https://tools.sig.systems/site/details/170"/>
    <s v="https://www.google.com/maps/d/edit?hl=es&amp;mid=1uPmsRMsXnp74hPFW2t-sp2totVWF_xY&amp;ll=32.83050137713022%2C-96.83197783061323&amp;z=17"/>
    <x v="1"/>
    <x v="0"/>
    <x v="45"/>
    <x v="0"/>
    <x v="0"/>
    <x v="40"/>
    <x v="19"/>
    <x v="60"/>
  </r>
  <r>
    <s v="(ML) Joe Machens Ford Lincoln I &amp; II13"/>
    <x v="9"/>
    <x v="8"/>
    <x v="1"/>
    <x v="1"/>
    <x v="77"/>
    <x v="1"/>
    <s v="https://tools.sig.systems/site/details/266"/>
    <s v="https://www.google.com/maps/d/viewer?hl=es&amp;mid=1C1oZdjH3dNvCvqdpIv_Lk0Yn1OCVn-4&amp;ll=38.965368114274455%2C-92.3405954&amp;z=15"/>
    <x v="1"/>
    <x v="0"/>
    <x v="3"/>
    <x v="27"/>
    <x v="0"/>
    <x v="52"/>
    <x v="11"/>
    <x v="77"/>
  </r>
  <r>
    <s v="(ML) Joe Machens Kia of Columbia13"/>
    <x v="9"/>
    <x v="8"/>
    <x v="1"/>
    <x v="1"/>
    <x v="107"/>
    <x v="1"/>
    <s v="https://tools.sig.systems/site/details/270"/>
    <s v="https://www.google.com/maps/d/viewer?hl=es&amp;mid=1C1oZdjH3dNvCvqdpIv_Lk0Yn1OCVn-4&amp;ll=38.965368114274455%2C-92.3405954&amp;z=15"/>
    <x v="1"/>
    <x v="0"/>
    <x v="3"/>
    <x v="39"/>
    <x v="0"/>
    <x v="6"/>
    <x v="78"/>
    <x v="106"/>
  </r>
  <r>
    <s v="(SCH) Delray I &amp; II13"/>
    <x v="9"/>
    <x v="8"/>
    <x v="0"/>
    <x v="0"/>
    <x v="26"/>
    <x v="0"/>
    <s v="https://tools.sig.systems/site/details/159"/>
    <m/>
    <x v="3"/>
    <x v="0"/>
    <x v="21"/>
    <x v="11"/>
    <x v="6"/>
    <x v="6"/>
    <x v="22"/>
    <x v="26"/>
  </r>
  <r>
    <s v="(WAG) Greeley Chrysler Dodge Jeep Ram (NO TOURS)13"/>
    <x v="9"/>
    <x v="8"/>
    <x v="3"/>
    <x v="2"/>
    <x v="115"/>
    <x v="3"/>
    <s v="https://tools.sig.systems/site/details/130"/>
    <s v="https://www.google.com/maps/d/viewer?mid=1gN2lJ0iT7m5VNhD7aDcxE8AdXqtcOZc&amp;ll=40.396096737592195%2C-104.746842&amp;z=16"/>
    <x v="1"/>
    <x v="0"/>
    <x v="77"/>
    <x v="42"/>
    <x v="0"/>
    <x v="77"/>
    <x v="85"/>
    <x v="114"/>
  </r>
  <r>
    <s v="(AS) Courtesy Kia of Brandon (NO TOURS)13"/>
    <x v="9"/>
    <x v="9"/>
    <x v="0"/>
    <x v="0"/>
    <x v="57"/>
    <x v="0"/>
    <s v="https://tools.sig.systems/site/details/121"/>
    <s v="https://www.google.com/maps/d/edit?mid=15R4hTDQx56ij99--JgozdqOIZh-kSlk&amp;usp=sharing"/>
    <x v="0"/>
    <x v="0"/>
    <x v="3"/>
    <x v="22"/>
    <x v="0"/>
    <x v="38"/>
    <x v="43"/>
    <x v="57"/>
  </r>
  <r>
    <s v="(AS) Nalley Luxury Collision Center (NO TOURS)13"/>
    <x v="9"/>
    <x v="9"/>
    <x v="0"/>
    <x v="0"/>
    <x v="31"/>
    <x v="0"/>
    <s v="https://tools.sig.systems/site/details/263"/>
    <s v="https://www.google.com/maps/d/edit?mid=1jkN3DS1BhUqp_dztjjW0PDwKfo_Yxsw&amp;usp=sharing"/>
    <x v="1"/>
    <x v="0"/>
    <x v="4"/>
    <x v="0"/>
    <x v="0"/>
    <x v="6"/>
    <x v="26"/>
    <x v="31"/>
  </r>
  <r>
    <s v="(AS) Park Place Volvo Service Center (NO TOURS)13"/>
    <x v="9"/>
    <x v="9"/>
    <x v="1"/>
    <x v="1"/>
    <x v="62"/>
    <x v="1"/>
    <s v="https://tools.sig.systems/site/details/171"/>
    <s v="https://www.google.com/maps/d/edit?hl=es&amp;mid=1uPmsRMsXnp74hPFW2t-sp2totVWF_xY&amp;ll=32.83050137713022%2C-96.83197783061323&amp;z=17"/>
    <x v="1"/>
    <x v="0"/>
    <x v="47"/>
    <x v="0"/>
    <x v="0"/>
    <x v="42"/>
    <x v="11"/>
    <x v="62"/>
  </r>
  <r>
    <s v="(AS) Plaza Lexus/Mercedes/BMW (NO TOURS)13"/>
    <x v="9"/>
    <x v="9"/>
    <x v="1"/>
    <x v="1"/>
    <x v="63"/>
    <x v="1"/>
    <s v="https://tools.sig.systems/site/details/141"/>
    <s v="https://www.google.com/maps/d/viewer?mid=1whGZ1PLqmhJnGFz8uigZqUL4cHGGW3w&amp;ll=38.668847686454825%2C-90.4433601&amp;z=17"/>
    <x v="1"/>
    <x v="0"/>
    <x v="48"/>
    <x v="23"/>
    <x v="0"/>
    <x v="43"/>
    <x v="47"/>
    <x v="63"/>
  </r>
  <r>
    <s v="(AS) Stevinson Porsche of Littleton (NO TOURS)13"/>
    <x v="9"/>
    <x v="9"/>
    <x v="3"/>
    <x v="2"/>
    <x v="7"/>
    <x v="3"/>
    <s v="https://tools.sig.systems/site/details/242"/>
    <m/>
    <x v="1"/>
    <x v="0"/>
    <x v="7"/>
    <x v="2"/>
    <x v="0"/>
    <x v="6"/>
    <x v="7"/>
    <x v="7"/>
  </r>
  <r>
    <s v="(SCH) West Palm Beach I, II &amp; III13"/>
    <x v="9"/>
    <x v="9"/>
    <x v="6"/>
    <x v="0"/>
    <x v="54"/>
    <x v="0"/>
    <s v="https://tools.sig.systems/site/details/162"/>
    <m/>
    <x v="3"/>
    <x v="2"/>
    <x v="41"/>
    <x v="20"/>
    <x v="10"/>
    <x v="6"/>
    <x v="40"/>
    <x v="54"/>
  </r>
  <r>
    <s v="(AS) David McDavid Lincoln Frisco (NO TOURS)13"/>
    <x v="9"/>
    <x v="10"/>
    <x v="1"/>
    <x v="1"/>
    <x v="58"/>
    <x v="1"/>
    <s v="https://tools.sig.systems/site/details/182"/>
    <m/>
    <x v="1"/>
    <x v="0"/>
    <x v="43"/>
    <x v="0"/>
    <x v="0"/>
    <x v="39"/>
    <x v="44"/>
    <x v="58"/>
  </r>
  <r>
    <s v="(AS) Lexus Smyrna (NO TOURS)13"/>
    <x v="9"/>
    <x v="10"/>
    <x v="0"/>
    <x v="0"/>
    <x v="30"/>
    <x v="0"/>
    <s v="https://tools.sig.systems/site/details/133"/>
    <m/>
    <x v="1"/>
    <x v="0"/>
    <x v="24"/>
    <x v="0"/>
    <x v="0"/>
    <x v="24"/>
    <x v="25"/>
    <x v="30"/>
  </r>
  <r>
    <s v="(AS) Plaza Audi/Infiniti (NO TOURS)13"/>
    <x v="9"/>
    <x v="10"/>
    <x v="1"/>
    <x v="1"/>
    <x v="95"/>
    <x v="1"/>
    <s v="https://tools.sig.systems/site/details/141"/>
    <s v="https://www.google.com/maps/d/viewer?mid=1whGZ1PLqmhJnGFz8uigZqUL4cHGGW3w&amp;ll=38.668847686454825%2C-90.4433601&amp;z=17"/>
    <x v="1"/>
    <x v="0"/>
    <x v="68"/>
    <x v="35"/>
    <x v="0"/>
    <x v="65"/>
    <x v="67"/>
    <x v="63"/>
  </r>
  <r>
    <s v="(DT) Albuquerque13"/>
    <x v="9"/>
    <x v="10"/>
    <x v="3"/>
    <x v="2"/>
    <x v="35"/>
    <x v="3"/>
    <s v="https://tools.sig.systems/site/details/237"/>
    <m/>
    <x v="1"/>
    <x v="0"/>
    <x v="27"/>
    <x v="0"/>
    <x v="0"/>
    <x v="27"/>
    <x v="29"/>
    <x v="35"/>
  </r>
  <r>
    <s v="(DT) Louisville13"/>
    <x v="9"/>
    <x v="10"/>
    <x v="0"/>
    <x v="0"/>
    <x v="67"/>
    <x v="0"/>
    <s v="https://tools.sig.systems/site/details/258"/>
    <m/>
    <x v="1"/>
    <x v="0"/>
    <x v="3"/>
    <x v="16"/>
    <x v="0"/>
    <x v="6"/>
    <x v="50"/>
    <x v="67"/>
  </r>
  <r>
    <s v="(KG) Baytown GMC Buick - Remote Lot (NO TOURS)13"/>
    <x v="9"/>
    <x v="10"/>
    <x v="2"/>
    <x v="1"/>
    <x v="70"/>
    <x v="2"/>
    <s v="https://tools.sig.systems/site/details/311"/>
    <m/>
    <x v="1"/>
    <x v="3"/>
    <x v="3"/>
    <x v="25"/>
    <x v="0"/>
    <x v="6"/>
    <x v="11"/>
    <x v="70"/>
  </r>
  <r>
    <s v="(KG) Baytown GMC Buick (NO TOURS)13"/>
    <x v="9"/>
    <x v="10"/>
    <x v="1"/>
    <x v="1"/>
    <x v="71"/>
    <x v="1"/>
    <s v="https://tools.sig.systems/site/details/239"/>
    <m/>
    <x v="1"/>
    <x v="0"/>
    <x v="52"/>
    <x v="0"/>
    <x v="0"/>
    <x v="47"/>
    <x v="53"/>
    <x v="71"/>
  </r>
  <r>
    <s v="(ML) Volvo Collision Corp13"/>
    <x v="9"/>
    <x v="10"/>
    <x v="1"/>
    <x v="1"/>
    <x v="47"/>
    <x v="1"/>
    <s v="https://tools.sig.systems/site/details/223"/>
    <m/>
    <x v="1"/>
    <x v="0"/>
    <x v="35"/>
    <x v="1"/>
    <x v="0"/>
    <x v="35"/>
    <x v="11"/>
    <x v="47"/>
  </r>
  <r>
    <s v="(PE) Fairfield Collision (NO TOURS)13"/>
    <x v="9"/>
    <x v="10"/>
    <x v="4"/>
    <x v="0"/>
    <x v="22"/>
    <x v="0"/>
    <s v="https://tools.sig.systems/site/details/191"/>
    <m/>
    <x v="1"/>
    <x v="0"/>
    <x v="18"/>
    <x v="0"/>
    <x v="0"/>
    <x v="6"/>
    <x v="18"/>
    <x v="22"/>
  </r>
  <r>
    <s v="(SCH) Chevrolet North Palm13"/>
    <x v="9"/>
    <x v="10"/>
    <x v="0"/>
    <x v="0"/>
    <x v="52"/>
    <x v="0"/>
    <s v="https://tools.sig.systems/site/details/160"/>
    <m/>
    <x v="3"/>
    <x v="0"/>
    <x v="39"/>
    <x v="0"/>
    <x v="0"/>
    <x v="6"/>
    <x v="38"/>
    <x v="52"/>
  </r>
  <r>
    <s v="(KG) Kia of Phoenix (NO TOURS)13"/>
    <x v="9"/>
    <x v="11"/>
    <x v="5"/>
    <x v="3"/>
    <x v="40"/>
    <x v="4"/>
    <s v="https://tools.sig.systems/site/details/262"/>
    <m/>
    <x v="4"/>
    <x v="0"/>
    <x v="30"/>
    <x v="0"/>
    <x v="0"/>
    <x v="30"/>
    <x v="11"/>
    <x v="40"/>
  </r>
  <r>
    <s v="(KT) Northwest CDJR (NO TOURS)13"/>
    <x v="9"/>
    <x v="11"/>
    <x v="1"/>
    <x v="1"/>
    <x v="15"/>
    <x v="1"/>
    <s v="https://tools.sig.systems/site/details/229"/>
    <m/>
    <x v="1"/>
    <x v="0"/>
    <x v="14"/>
    <x v="0"/>
    <x v="0"/>
    <x v="13"/>
    <x v="11"/>
    <x v="15"/>
  </r>
  <r>
    <s v="(MK) McKenny Salinas Honda13"/>
    <x v="9"/>
    <x v="11"/>
    <x v="0"/>
    <x v="0"/>
    <x v="104"/>
    <x v="0"/>
    <s v="https://tools.sig.systems/site/details/149"/>
    <m/>
    <x v="1"/>
    <x v="0"/>
    <x v="3"/>
    <x v="37"/>
    <x v="0"/>
    <x v="6"/>
    <x v="75"/>
    <x v="103"/>
  </r>
  <r>
    <s v="(ML) Joe Machens Capital City I &amp; II (NO TOURS)13"/>
    <x v="9"/>
    <x v="11"/>
    <x v="1"/>
    <x v="1"/>
    <x v="17"/>
    <x v="1"/>
    <s v="https://tools.sig.systems/site/details/271"/>
    <m/>
    <x v="1"/>
    <x v="0"/>
    <x v="3"/>
    <x v="6"/>
    <x v="0"/>
    <x v="15"/>
    <x v="16"/>
    <x v="17"/>
  </r>
  <r>
    <s v="(ML) McLarty-Gray Daniels Chevrolet13"/>
    <x v="9"/>
    <x v="11"/>
    <x v="1"/>
    <x v="1"/>
    <x v="109"/>
    <x v="1"/>
    <s v="https://tools.sig.systems/site/details/150"/>
    <m/>
    <x v="1"/>
    <x v="0"/>
    <x v="74"/>
    <x v="0"/>
    <x v="0"/>
    <x v="73"/>
    <x v="80"/>
    <x v="108"/>
  </r>
  <r>
    <s v="(ML) Nissan Of Benton13"/>
    <x v="9"/>
    <x v="11"/>
    <x v="1"/>
    <x v="1"/>
    <x v="80"/>
    <x v="1"/>
    <s v="https://tools.sig.systems/site/details/247"/>
    <m/>
    <x v="1"/>
    <x v="0"/>
    <x v="57"/>
    <x v="0"/>
    <x v="0"/>
    <x v="54"/>
    <x v="11"/>
    <x v="80"/>
  </r>
  <r>
    <s v="(ML) Toyota N Little Rock13"/>
    <x v="9"/>
    <x v="11"/>
    <x v="1"/>
    <x v="1"/>
    <x v="21"/>
    <x v="1"/>
    <s v="https://tools.sig.systems/site/details/201"/>
    <s v="https://www.google.com/maps/d/edit?mid=1Oky35ERk_2kgyzCvDu_odQ2ZP62BtqA&amp;usp=sharing"/>
    <x v="1"/>
    <x v="0"/>
    <x v="17"/>
    <x v="0"/>
    <x v="0"/>
    <x v="19"/>
    <x v="11"/>
    <x v="21"/>
  </r>
  <r>
    <s v="(PE) Mercedes Benz &amp; Smart Bldg. of Fairfield (NO TOURS)13"/>
    <x v="9"/>
    <x v="11"/>
    <x v="4"/>
    <x v="0"/>
    <x v="23"/>
    <x v="0"/>
    <s v="https://tools.sig.systems/site/details/192"/>
    <s v="https://www.google.com/maps/d/viewer?mid=1FEo41PzFJQjUIXXKitX5TNCtuqR6Vbs&amp;ll=41.1663376742533%2C-73.22955662049608&amp;z=16"/>
    <x v="1"/>
    <x v="0"/>
    <x v="3"/>
    <x v="9"/>
    <x v="0"/>
    <x v="20"/>
    <x v="19"/>
    <x v="23"/>
  </r>
  <r>
    <s v="(RV) Sonny's Camp N Travel Concord13"/>
    <x v="9"/>
    <x v="11"/>
    <x v="0"/>
    <x v="0"/>
    <x v="114"/>
    <x v="0"/>
    <s v="https://tools.sig.systems/site/details/183"/>
    <m/>
    <x v="1"/>
    <x v="0"/>
    <x v="6"/>
    <x v="0"/>
    <x v="0"/>
    <x v="76"/>
    <x v="84"/>
    <x v="113"/>
  </r>
  <r>
    <s v="(AS) Courtesy Hyundai/Nissan Tampa (NO TOURS)13"/>
    <x v="9"/>
    <x v="12"/>
    <x v="0"/>
    <x v="0"/>
    <x v="89"/>
    <x v="0"/>
    <s v="https://tools.sig.systems/site/details/128"/>
    <m/>
    <x v="0"/>
    <x v="0"/>
    <x v="64"/>
    <x v="0"/>
    <x v="0"/>
    <x v="59"/>
    <x v="62"/>
    <x v="89"/>
  </r>
  <r>
    <s v="(AS) David McDavid Honda I &amp; II (NO TOURS)13"/>
    <x v="9"/>
    <x v="12"/>
    <x v="1"/>
    <x v="1"/>
    <x v="90"/>
    <x v="1"/>
    <s v="https://tools.sig.systems/site/details/129"/>
    <m/>
    <x v="1"/>
    <x v="0"/>
    <x v="3"/>
    <x v="31"/>
    <x v="0"/>
    <x v="60"/>
    <x v="63"/>
    <x v="90"/>
  </r>
  <r>
    <s v="(AS) Mike Shaw Subaru Greeley (NO TOURS)13"/>
    <x v="9"/>
    <x v="12"/>
    <x v="3"/>
    <x v="2"/>
    <x v="91"/>
    <x v="3"/>
    <s v="https://tools.sig.systems/site/details/174"/>
    <s v="https://www.google.com/maps/d/viewer?mid=1gN2lJ0iT7m5VNhD7aDcxE8AdXqtcOZc&amp;ll=40.396096737592195%2C-104.746842&amp;z=16"/>
    <x v="1"/>
    <x v="0"/>
    <x v="65"/>
    <x v="32"/>
    <x v="0"/>
    <x v="61"/>
    <x v="11"/>
    <x v="91"/>
  </r>
  <r>
    <s v="(AS) Park Place JLR DFW Airport (NO TOURS)13"/>
    <x v="9"/>
    <x v="12"/>
    <x v="1"/>
    <x v="1"/>
    <x v="93"/>
    <x v="1"/>
    <s v="https://tools.sig.systems/site/details/135"/>
    <m/>
    <x v="1"/>
    <x v="0"/>
    <x v="67"/>
    <x v="33"/>
    <x v="13"/>
    <x v="63"/>
    <x v="65"/>
    <x v="93"/>
  </r>
  <r>
    <s v="(AS) Plano Auction (NO SPEAKERS)13"/>
    <x v="9"/>
    <x v="12"/>
    <x v="1"/>
    <x v="1"/>
    <x v="94"/>
    <x v="1"/>
    <s v="https://tools.sig.systems/site/details/140"/>
    <m/>
    <x v="1"/>
    <x v="0"/>
    <x v="3"/>
    <x v="34"/>
    <x v="0"/>
    <x v="64"/>
    <x v="66"/>
    <x v="94"/>
  </r>
  <r>
    <s v="(DT) Escondido13"/>
    <x v="9"/>
    <x v="12"/>
    <x v="5"/>
    <x v="4"/>
    <x v="98"/>
    <x v="5"/>
    <s v="https://tools.sig.systems/site/details/196"/>
    <m/>
    <x v="1"/>
    <x v="4"/>
    <x v="20"/>
    <x v="0"/>
    <x v="0"/>
    <x v="6"/>
    <x v="70"/>
    <x v="97"/>
  </r>
  <r>
    <s v="(JE) Jim Ellis Ford Sandy Springs13"/>
    <x v="9"/>
    <x v="12"/>
    <x v="0"/>
    <x v="0"/>
    <x v="69"/>
    <x v="0"/>
    <s v="https://tools.sig.systems/site/details/142"/>
    <m/>
    <x v="1"/>
    <x v="0"/>
    <x v="51"/>
    <x v="0"/>
    <x v="0"/>
    <x v="46"/>
    <x v="52"/>
    <x v="69"/>
  </r>
  <r>
    <s v="(PE) Honda of Danbury (NO TOURS)13"/>
    <x v="9"/>
    <x v="12"/>
    <x v="4"/>
    <x v="0"/>
    <x v="49"/>
    <x v="0"/>
    <s v="https://tools.sig.systems/site/details/190"/>
    <m/>
    <x v="1"/>
    <x v="0"/>
    <x v="3"/>
    <x v="19"/>
    <x v="9"/>
    <x v="6"/>
    <x v="36"/>
    <x v="49"/>
  </r>
  <r>
    <s v="(AS) Nalley Lexus &amp; Remote Lot Roswell (NO TOURS)14"/>
    <x v="10"/>
    <x v="0"/>
    <x v="2"/>
    <x v="0"/>
    <x v="4"/>
    <x v="2"/>
    <s v="https://tools.sig.systems/site/details/131"/>
    <s v="https://www.google.com/maps/d/edit?mid=1jkN3DS1BhUqp_dztjjW0PDwKfo_Yxsw&amp;usp=sharing"/>
    <x v="1"/>
    <x v="1"/>
    <x v="4"/>
    <x v="1"/>
    <x v="3"/>
    <x v="4"/>
    <x v="4"/>
    <x v="4"/>
  </r>
  <r>
    <s v="(AS) Park Place Bodywerks Ft. Worth (NO TOURS)14"/>
    <x v="10"/>
    <x v="0"/>
    <x v="1"/>
    <x v="1"/>
    <x v="92"/>
    <x v="1"/>
    <s v="https://tools.sig.systems/site/details/134"/>
    <s v="https://www.google.com/maps/d/edit?mid=18OEO_KbvYcgI3N1jE4gTMXfNHTNDrFU&amp;ll=32.66603989958274%2C-97.42021198201722&amp;z=18"/>
    <x v="1"/>
    <x v="0"/>
    <x v="66"/>
    <x v="0"/>
    <x v="0"/>
    <x v="62"/>
    <x v="64"/>
    <x v="92"/>
  </r>
  <r>
    <s v="(DT) W Houston14"/>
    <x v="10"/>
    <x v="0"/>
    <x v="1"/>
    <x v="1"/>
    <x v="10"/>
    <x v="1"/>
    <s v="https://tools.sig.systems/site/details/197"/>
    <m/>
    <x v="1"/>
    <x v="0"/>
    <x v="9"/>
    <x v="2"/>
    <x v="0"/>
    <x v="9"/>
    <x v="10"/>
    <x v="10"/>
  </r>
  <r>
    <s v="(HUD) Acura of Greensboro14"/>
    <x v="10"/>
    <x v="0"/>
    <x v="0"/>
    <x v="0"/>
    <x v="99"/>
    <x v="0"/>
    <s v="https://tools.sig.systems/site/details/213"/>
    <s v="https://www.google.com/maps/d/viewer?mid=1ejOzT7-x6RWnCf83BBP7XhiOiwEX3Wk&amp;ll=0%2C0&amp;z=17"/>
    <x v="1"/>
    <x v="0"/>
    <x v="69"/>
    <x v="0"/>
    <x v="0"/>
    <x v="67"/>
    <x v="71"/>
    <x v="98"/>
  </r>
  <r>
    <s v="(KG) Clear Lake Pre-Owned14"/>
    <x v="10"/>
    <x v="0"/>
    <x v="1"/>
    <x v="1"/>
    <x v="39"/>
    <x v="1"/>
    <s v="https://tools.sig.systems/site/details/255"/>
    <s v="https://www.google.com/maps/d/edit?mid=1DRwy5fy1g5UzGTA7a1OkQA-_CY8SQ2s&amp;usp=sharing"/>
    <x v="1"/>
    <x v="0"/>
    <x v="29"/>
    <x v="0"/>
    <x v="0"/>
    <x v="29"/>
    <x v="32"/>
    <x v="39"/>
  </r>
  <r>
    <s v="(ML) McLarty Gray-Daniels Ford Lincoln14"/>
    <x v="10"/>
    <x v="0"/>
    <x v="1"/>
    <x v="1"/>
    <x v="79"/>
    <x v="1"/>
    <s v="https://tools.sig.systems/site/details/151"/>
    <s v="https://www.google.com/maps/d/edit?mid=111nhCL4Xjj2Pq0zP5xUrMzHQqAihqa0&amp;usp=sharing"/>
    <x v="1"/>
    <x v="0"/>
    <x v="56"/>
    <x v="29"/>
    <x v="0"/>
    <x v="53"/>
    <x v="57"/>
    <x v="79"/>
  </r>
  <r>
    <s v="(PE) Hudson Toyota Nissan CDJR (NO TOURS)14"/>
    <x v="10"/>
    <x v="0"/>
    <x v="4"/>
    <x v="0"/>
    <x v="81"/>
    <x v="0"/>
    <s v="https://tools.sig.systems/site/details/156"/>
    <m/>
    <x v="1"/>
    <x v="0"/>
    <x v="49"/>
    <x v="30"/>
    <x v="0"/>
    <x v="55"/>
    <x v="58"/>
    <x v="81"/>
  </r>
  <r>
    <s v="(PE) Scofield Service Center (NO TOURS)14"/>
    <x v="10"/>
    <x v="0"/>
    <x v="4"/>
    <x v="0"/>
    <x v="113"/>
    <x v="0"/>
    <s v="https://tools.sig.systems/site/details/193"/>
    <s v="https://www.google.com/maps/d/viewer?mid=1FEo41PzFJQjUIXXKitX5TNCtuqR6Vbs&amp;ll=41.1663376742533%2C-73.22955662049608&amp;z=16"/>
    <x v="1"/>
    <x v="0"/>
    <x v="6"/>
    <x v="0"/>
    <x v="0"/>
    <x v="75"/>
    <x v="51"/>
    <x v="112"/>
  </r>
  <r>
    <s v="(RV) Toms Camperland Avondale (NO TOURS)14"/>
    <x v="10"/>
    <x v="0"/>
    <x v="5"/>
    <x v="3"/>
    <x v="24"/>
    <x v="4"/>
    <s v="https://tools.sig.systems/site/details/248"/>
    <s v="https://www.google.com/maps/d/viewer?mid=1bDs0QGFZwL3vEeGKxjVMk_j4azr0-lg&amp;ll=33.4593758581648%2C-112.28793780000001&amp;z=18"/>
    <x v="2"/>
    <x v="0"/>
    <x v="19"/>
    <x v="10"/>
    <x v="0"/>
    <x v="6"/>
    <x v="20"/>
    <x v="24"/>
  </r>
  <r>
    <s v="(AS) Park Place Acura (NO TOURS)14"/>
    <x v="10"/>
    <x v="1"/>
    <x v="1"/>
    <x v="1"/>
    <x v="32"/>
    <x v="1"/>
    <s v="https://tools.sig.systems/site/details/259"/>
    <s v="https://www.google.com/maps/d/viewer?mid=1wg5suxVuxeNp_irHlvN772HcwD6W89E&amp;ll=33.06373951220261%2C-96.82758025000001&amp;z=18"/>
    <x v="1"/>
    <x v="0"/>
    <x v="25"/>
    <x v="0"/>
    <x v="0"/>
    <x v="25"/>
    <x v="11"/>
    <x v="32"/>
  </r>
  <r>
    <s v="(KG) JLR LEHI (NO TOURS)14"/>
    <x v="10"/>
    <x v="1"/>
    <x v="3"/>
    <x v="2"/>
    <x v="73"/>
    <x v="3"/>
    <s v="https://tools.sig.systems/site/details/145"/>
    <m/>
    <x v="1"/>
    <x v="0"/>
    <x v="54"/>
    <x v="0"/>
    <x v="0"/>
    <x v="49"/>
    <x v="11"/>
    <x v="73"/>
  </r>
  <r>
    <s v="(KG) Texan CDJR14"/>
    <x v="10"/>
    <x v="1"/>
    <x v="1"/>
    <x v="1"/>
    <x v="13"/>
    <x v="1"/>
    <s v="https://tools.sig.systems/site/details/238"/>
    <s v="https://www.google.com/maps/d/edit?mid=1FNqK4dW8Z8gtSWuQLbStrtqe7lH8DIQ&amp;usp=sharing"/>
    <x v="1"/>
    <x v="0"/>
    <x v="12"/>
    <x v="0"/>
    <x v="5"/>
    <x v="11"/>
    <x v="13"/>
    <x v="13"/>
  </r>
  <r>
    <s v="(ML) Columbia Honda (NO TOURS)14"/>
    <x v="10"/>
    <x v="1"/>
    <x v="1"/>
    <x v="1"/>
    <x v="75"/>
    <x v="1"/>
    <s v="https://tools.sig.systems/site/details/272"/>
    <s v="https://www.google.com/maps/d/viewer?hl=es&amp;mid=1C1oZdjH3dNvCvqdpIv_Lk0Yn1OCVn-4&amp;ll=38.965368114274426%2C-92.3405954&amp;z=15"/>
    <x v="1"/>
    <x v="0"/>
    <x v="3"/>
    <x v="26"/>
    <x v="0"/>
    <x v="50"/>
    <x v="56"/>
    <x v="75"/>
  </r>
  <r>
    <s v="(ML) McLarty Gray-Daniels Toyota Nissan14"/>
    <x v="10"/>
    <x v="1"/>
    <x v="1"/>
    <x v="1"/>
    <x v="108"/>
    <x v="1"/>
    <s v="https://tools.sig.systems/site/details/152"/>
    <s v="https://www.google.com/maps/d/edit?mid=111nhCL4Xjj2Pq0zP5xUrMzHQqAihqa0&amp;usp=sharing"/>
    <x v="1"/>
    <x v="0"/>
    <x v="3"/>
    <x v="40"/>
    <x v="0"/>
    <x v="72"/>
    <x v="79"/>
    <x v="107"/>
  </r>
  <r>
    <s v="(RV) Toms Camperland Mesa (NO TOURS)14"/>
    <x v="10"/>
    <x v="1"/>
    <x v="5"/>
    <x v="3"/>
    <x v="25"/>
    <x v="4"/>
    <s v="https://tools.sig.systems/site/details/222"/>
    <m/>
    <x v="1"/>
    <x v="0"/>
    <x v="20"/>
    <x v="0"/>
    <x v="0"/>
    <x v="6"/>
    <x v="21"/>
    <x v="25"/>
  </r>
  <r>
    <s v="(SCH) Chevrolet North Palm14"/>
    <x v="10"/>
    <x v="1"/>
    <x v="0"/>
    <x v="0"/>
    <x v="52"/>
    <x v="0"/>
    <s v="https://tools.sig.systems/site/details/160"/>
    <m/>
    <x v="3"/>
    <x v="0"/>
    <x v="39"/>
    <x v="0"/>
    <x v="0"/>
    <x v="6"/>
    <x v="38"/>
    <x v="52"/>
  </r>
  <r>
    <s v="(AS) Bill Estes Ford (NO TOURS)14"/>
    <x v="10"/>
    <x v="2"/>
    <x v="0"/>
    <x v="0"/>
    <x v="55"/>
    <x v="0"/>
    <s v="https://tools.sig.systems/site/details/125"/>
    <m/>
    <x v="1"/>
    <x v="0"/>
    <x v="3"/>
    <x v="21"/>
    <x v="0"/>
    <x v="36"/>
    <x v="41"/>
    <x v="55"/>
  </r>
  <r>
    <s v="(AS) Park Place Mercedes Benz Arlington (NO TOURS)14"/>
    <x v="10"/>
    <x v="2"/>
    <x v="1"/>
    <x v="1"/>
    <x v="61"/>
    <x v="1"/>
    <s v="https://tools.sig.systems/site/details/169"/>
    <m/>
    <x v="1"/>
    <x v="0"/>
    <x v="46"/>
    <x v="0"/>
    <x v="11"/>
    <x v="41"/>
    <x v="46"/>
    <x v="61"/>
  </r>
  <r>
    <s v="(HUD) Nissan Greensboro14"/>
    <x v="10"/>
    <x v="2"/>
    <x v="0"/>
    <x v="0"/>
    <x v="12"/>
    <x v="0"/>
    <s v="https://tools.sig.systems/site/details/236"/>
    <s v="https://www.google.com/maps/d/viewer?mid=1ejOzT7-x6RWnCf83BBP7XhiOiwEX3Wk&amp;ll=36.061264791292906%2C-79.87437695000003&amp;z=17"/>
    <x v="1"/>
    <x v="0"/>
    <x v="11"/>
    <x v="0"/>
    <x v="0"/>
    <x v="6"/>
    <x v="12"/>
    <x v="12"/>
  </r>
  <r>
    <s v="(KG) Hyundai Surprise14"/>
    <x v="10"/>
    <x v="2"/>
    <x v="5"/>
    <x v="3"/>
    <x v="103"/>
    <x v="4"/>
    <s v="https://tools.sig.systems/site/details/269"/>
    <m/>
    <x v="4"/>
    <x v="0"/>
    <x v="73"/>
    <x v="0"/>
    <x v="0"/>
    <x v="71"/>
    <x v="11"/>
    <x v="102"/>
  </r>
  <r>
    <s v="(KG) Texan GMC Buick (NO TOURS)14"/>
    <x v="10"/>
    <x v="2"/>
    <x v="1"/>
    <x v="1"/>
    <x v="41"/>
    <x v="1"/>
    <s v="https://tools.sig.systems/site/details/225"/>
    <s v="https://www.google.com/maps/d/edit?mid=1FNqK4dW8Z8gtSWuQLbStrtqe7lH8DIQ&amp;usp=sharing"/>
    <x v="1"/>
    <x v="0"/>
    <x v="31"/>
    <x v="0"/>
    <x v="0"/>
    <x v="31"/>
    <x v="33"/>
    <x v="41"/>
  </r>
  <r>
    <s v="(LM) Luther Mazda / Mitsubishi14"/>
    <x v="10"/>
    <x v="2"/>
    <x v="1"/>
    <x v="1"/>
    <x v="74"/>
    <x v="1"/>
    <s v="https://tools.sig.systems/site/details/147"/>
    <s v="https://www.google.com/maps/d/viewer?mid=1ot0ILX76JMuvd9yMuqkb4_e0yH1n7TA&amp;ll=45.07815812965141%2C-93.33506855000002&amp;z=17"/>
    <x v="1"/>
    <x v="0"/>
    <x v="55"/>
    <x v="0"/>
    <x v="12"/>
    <x v="6"/>
    <x v="55"/>
    <x v="74"/>
  </r>
  <r>
    <s v="(ML) Joe Machens CDJR14"/>
    <x v="10"/>
    <x v="2"/>
    <x v="1"/>
    <x v="1"/>
    <x v="43"/>
    <x v="1"/>
    <s v="https://tools.sig.systems/site/details/273"/>
    <s v="https://www.google.com/maps/d/viewer?hl=es&amp;mid=1C1oZdjH3dNvCvqdpIv_Lk0Yn1OCVn-4&amp;ll=38.965368114274455%2C-92.3405954&amp;z=15"/>
    <x v="1"/>
    <x v="0"/>
    <x v="3"/>
    <x v="16"/>
    <x v="0"/>
    <x v="6"/>
    <x v="35"/>
    <x v="43"/>
  </r>
  <r>
    <s v="(RV) Toms Camperland Surprise (NO TOURS)14"/>
    <x v="10"/>
    <x v="2"/>
    <x v="5"/>
    <x v="3"/>
    <x v="51"/>
    <x v="4"/>
    <s v="https://tools.sig.systems/site/details/254"/>
    <m/>
    <x v="5"/>
    <x v="0"/>
    <x v="38"/>
    <x v="0"/>
    <x v="0"/>
    <x v="6"/>
    <x v="37"/>
    <x v="51"/>
  </r>
  <r>
    <s v="SIG Office14"/>
    <x v="10"/>
    <x v="2"/>
    <x v="2"/>
    <x v="0"/>
    <x v="85"/>
    <x v="2"/>
    <s v="https://tools.sig.systems/site/details/163"/>
    <m/>
    <x v="1"/>
    <x v="0"/>
    <x v="3"/>
    <x v="0"/>
    <x v="0"/>
    <x v="6"/>
    <x v="60"/>
    <x v="85"/>
  </r>
  <r>
    <s v="(AS) Lexus Plano I &amp; II (NO TOURS)14"/>
    <x v="10"/>
    <x v="3"/>
    <x v="1"/>
    <x v="1"/>
    <x v="1"/>
    <x v="1"/>
    <s v="https://tools.sig.systems/site/details/167"/>
    <s v="https://www.google.com/maps/d/viewer?mid=1wg5suxVuxeNp_irHlvN772HcwD6W89E&amp;ll=33.06373951220261%2C-96.82758025000001&amp;z=18"/>
    <x v="1"/>
    <x v="0"/>
    <x v="1"/>
    <x v="0"/>
    <x v="1"/>
    <x v="1"/>
    <x v="1"/>
    <x v="1"/>
  </r>
  <r>
    <s v="(AS) Park Place Volvo Sales (NO TOURS)14"/>
    <x v="10"/>
    <x v="3"/>
    <x v="1"/>
    <x v="1"/>
    <x v="33"/>
    <x v="1"/>
    <s v="https://tools.sig.systems/site/details/139"/>
    <s v="https://www.google.com/maps/d/edit?hl=es&amp;mid=1uPmsRMsXnp74hPFW2t-sp2totVWF_xY&amp;ll=32.83050137713022%2C-96.83197783061323&amp;z=17"/>
    <x v="1"/>
    <x v="0"/>
    <x v="26"/>
    <x v="0"/>
    <x v="0"/>
    <x v="26"/>
    <x v="27"/>
    <x v="33"/>
  </r>
  <r>
    <s v="(DT) Denver (NO TOURS)14"/>
    <x v="10"/>
    <x v="3"/>
    <x v="3"/>
    <x v="2"/>
    <x v="97"/>
    <x v="3"/>
    <s v="https://tools.sig.systems/site/details/203"/>
    <s v="https://www.google.com/maps/d/edit?mid=1AjZHz2LTg0RMhZUOmyZsv_Y4MFcaP8g&amp;usp=sharing"/>
    <x v="1"/>
    <x v="0"/>
    <x v="3"/>
    <x v="25"/>
    <x v="0"/>
    <x v="6"/>
    <x v="69"/>
    <x v="96"/>
  </r>
  <r>
    <s v="(HUD) CDJR of Greensboro14"/>
    <x v="10"/>
    <x v="3"/>
    <x v="0"/>
    <x v="0"/>
    <x v="68"/>
    <x v="6"/>
    <s v="https://tools.sig.systems/site/details/215"/>
    <s v="https://www.google.com/maps/d/viewer?mid=1ejOzT7-x6RWnCf83BBP7XhiOiwEX3Wk&amp;ll=36.061264791292906%2C-79.87437695000003&amp;z=17"/>
    <x v="3"/>
    <x v="0"/>
    <x v="50"/>
    <x v="0"/>
    <x v="0"/>
    <x v="45"/>
    <x v="51"/>
    <x v="68"/>
  </r>
  <r>
    <s v="(KG) Big Star CDJR of Clear Lake14"/>
    <x v="10"/>
    <x v="3"/>
    <x v="1"/>
    <x v="1"/>
    <x v="101"/>
    <x v="1"/>
    <s v="https://tools.sig.systems/site/details/232"/>
    <s v="https://www.google.com/maps/d/edit?mid=1DRwy5fy1g5UzGTA7a1OkQA-_CY8SQ2s&amp;usp=sharing"/>
    <x v="1"/>
    <x v="0"/>
    <x v="71"/>
    <x v="0"/>
    <x v="0"/>
    <x v="69"/>
    <x v="73"/>
    <x v="100"/>
  </r>
  <r>
    <s v="(ML) Joe Machens VW14"/>
    <x v="10"/>
    <x v="3"/>
    <x v="1"/>
    <x v="1"/>
    <x v="19"/>
    <x v="1"/>
    <s v="https://tools.sig.systems/site/details/274"/>
    <s v="https://www.google.com/maps/d/viewer?hl=es&amp;mid=1C1oZdjH3dNvCvqdpIv_Lk0Yn1OCVn-4&amp;ll=38.965368114274455%2C-92.3405954&amp;z=15"/>
    <x v="1"/>
    <x v="0"/>
    <x v="3"/>
    <x v="8"/>
    <x v="0"/>
    <x v="17"/>
    <x v="11"/>
    <x v="19"/>
  </r>
  <r>
    <s v="(ML) Nissan of Little Rock14"/>
    <x v="10"/>
    <x v="3"/>
    <x v="1"/>
    <x v="1"/>
    <x v="46"/>
    <x v="1"/>
    <s v="https://tools.sig.systems/site/details/224"/>
    <s v="https://www.google.com/maps/d/viewer?mid=1hvbKFMO-d5TXrKGU-g5dt_xcdArB1D0&amp;ll=34.71147784120261%2C-92.40574350000001&amp;z=17"/>
    <x v="1"/>
    <x v="0"/>
    <x v="34"/>
    <x v="0"/>
    <x v="0"/>
    <x v="34"/>
    <x v="7"/>
    <x v="46"/>
  </r>
  <r>
    <s v="(ML) Toyota N Little Rock14"/>
    <x v="10"/>
    <x v="3"/>
    <x v="1"/>
    <x v="1"/>
    <x v="21"/>
    <x v="1"/>
    <s v="https://tools.sig.systems/site/details/201"/>
    <s v="https://www.google.com/maps/d/edit?mid=1Oky35ERk_2kgyzCvDu_odQ2ZP62BtqA&amp;usp=sharing"/>
    <x v="1"/>
    <x v="0"/>
    <x v="17"/>
    <x v="0"/>
    <x v="0"/>
    <x v="19"/>
    <x v="11"/>
    <x v="21"/>
  </r>
  <r>
    <s v="(PE) BMW of Greenwich (NO TOURS)14"/>
    <x v="10"/>
    <x v="3"/>
    <x v="4"/>
    <x v="0"/>
    <x v="110"/>
    <x v="0"/>
    <s v="https://tools.sig.systems/site/details/186"/>
    <s v="https://www.google.com/maps/d/edit?hl=en&amp;mid=1UHmt7tH1ihTa85i0MfQIcTfVvIQg_vM&amp;ll=41.024187580466844%2C-73.63702405370861&amp;z=18"/>
    <x v="1"/>
    <x v="0"/>
    <x v="75"/>
    <x v="0"/>
    <x v="0"/>
    <x v="6"/>
    <x v="81"/>
    <x v="109"/>
  </r>
  <r>
    <s v="(AS) Mercedes Benz/Porsche Dallas I,II,III (NO TOURS)14"/>
    <x v="10"/>
    <x v="4"/>
    <x v="1"/>
    <x v="1"/>
    <x v="2"/>
    <x v="1"/>
    <s v="https://tools.sig.systems/site/details/168"/>
    <s v="https://www.google.com/maps/d/edit?hl=es&amp;mid=1uPmsRMsXnp74hPFW2t-sp2totVWF_xY&amp;ll=32.83050137713022%2C-96.83197783061323&amp;z=17"/>
    <x v="1"/>
    <x v="0"/>
    <x v="2"/>
    <x v="0"/>
    <x v="2"/>
    <x v="2"/>
    <x v="2"/>
    <x v="2"/>
  </r>
  <r>
    <s v="(DT) Colorado Springs (NO TOURS)14"/>
    <x v="10"/>
    <x v="4"/>
    <x v="3"/>
    <x v="2"/>
    <x v="65"/>
    <x v="3"/>
    <s v="https://tools.sig.systems/site/details/198"/>
    <m/>
    <x v="1"/>
    <x v="0"/>
    <x v="3"/>
    <x v="24"/>
    <x v="0"/>
    <x v="6"/>
    <x v="49"/>
    <x v="65"/>
  </r>
  <r>
    <s v="(HUD) Honda Greensboro14"/>
    <x v="10"/>
    <x v="4"/>
    <x v="0"/>
    <x v="0"/>
    <x v="37"/>
    <x v="0"/>
    <s v="https://tools.sig.systems/site/details/230"/>
    <s v="AS/ HUD - Crown Greensboro - Google My Maps"/>
    <x v="1"/>
    <x v="0"/>
    <x v="28"/>
    <x v="0"/>
    <x v="0"/>
    <x v="28"/>
    <x v="31"/>
    <x v="37"/>
  </r>
  <r>
    <s v="(HUD) Honda of Southpoint14"/>
    <x v="10"/>
    <x v="4"/>
    <x v="0"/>
    <x v="0"/>
    <x v="11"/>
    <x v="0"/>
    <s v="https://tools.sig.systems/site/details/195"/>
    <m/>
    <x v="0"/>
    <x v="0"/>
    <x v="10"/>
    <x v="4"/>
    <x v="0"/>
    <x v="10"/>
    <x v="11"/>
    <x v="11"/>
  </r>
  <r>
    <s v="(ML) Joe Machens Toyota14"/>
    <x v="10"/>
    <x v="4"/>
    <x v="1"/>
    <x v="1"/>
    <x v="18"/>
    <x v="1"/>
    <s v="https://tools.sig.systems/site/details/275"/>
    <s v="https://www.google.com/maps/d/viewer?hl=es&amp;mid=1C1oZdjH3dNvCvqdpIv_Lk0Yn1OCVn-4&amp;ll=38.965368114274455%2C-92.3405954&amp;z=15"/>
    <x v="1"/>
    <x v="0"/>
    <x v="3"/>
    <x v="7"/>
    <x v="0"/>
    <x v="16"/>
    <x v="11"/>
    <x v="18"/>
  </r>
  <r>
    <s v="(PE) JLR PDI (NO TOURS)14"/>
    <x v="10"/>
    <x v="4"/>
    <x v="4"/>
    <x v="0"/>
    <x v="50"/>
    <x v="0"/>
    <s v="https://tools.sig.systems/site/details/179"/>
    <s v="https://www.google.com/maps/d/viewer?mid=1ubI2iKs1JyYXssuT4oLPnVvFnyLPi_s&amp;ll=40.878808846788026%2C-73.98560655&amp;z=17"/>
    <x v="1"/>
    <x v="0"/>
    <x v="37"/>
    <x v="0"/>
    <x v="0"/>
    <x v="6"/>
    <x v="11"/>
    <x v="50"/>
  </r>
  <r>
    <s v="(RML) Burleson Nissan14"/>
    <x v="10"/>
    <x v="4"/>
    <x v="1"/>
    <x v="1"/>
    <x v="82"/>
    <x v="1"/>
    <s v="https://tools.sig.systems/site/details/202"/>
    <m/>
    <x v="1"/>
    <x v="0"/>
    <x v="58"/>
    <x v="0"/>
    <x v="0"/>
    <x v="56"/>
    <x v="11"/>
    <x v="82"/>
  </r>
  <r>
    <s v="(AS) Park Place Sprinter Van Center (NO TOURS)14"/>
    <x v="10"/>
    <x v="5"/>
    <x v="1"/>
    <x v="1"/>
    <x v="6"/>
    <x v="1"/>
    <s v="https://tools.sig.systems/site/details/138"/>
    <s v="https://www.google.com/maps/d/edit?hl=es&amp;mid=1uPmsRMsXnp74hPFW2t-sp2totVWF_xY&amp;ll=32.83050137713022%2C-96.83197783061323&amp;z=17"/>
    <x v="1"/>
    <x v="0"/>
    <x v="6"/>
    <x v="0"/>
    <x v="0"/>
    <x v="6"/>
    <x v="6"/>
    <x v="6"/>
  </r>
  <r>
    <s v="(AS) Stevinson Chevrolet Golden (NO TOURS)14"/>
    <x v="10"/>
    <x v="5"/>
    <x v="7"/>
    <x v="2"/>
    <x v="96"/>
    <x v="3"/>
    <s v="https://tools.sig.systems/site/details/264"/>
    <s v="https://www.google.com/maps/d/edit?mid=1nAyK85WaWREy0lfxnmWn3USs2gC0nP0&amp;usp=sharing"/>
    <x v="1"/>
    <x v="0"/>
    <x v="3"/>
    <x v="36"/>
    <x v="0"/>
    <x v="66"/>
    <x v="68"/>
    <x v="95"/>
  </r>
  <r>
    <s v="(DT) Wichita14"/>
    <x v="10"/>
    <x v="5"/>
    <x v="1"/>
    <x v="1"/>
    <x v="36"/>
    <x v="1"/>
    <s v="https://tools.sig.systems/site/details/257"/>
    <m/>
    <x v="1"/>
    <x v="0"/>
    <x v="3"/>
    <x v="15"/>
    <x v="0"/>
    <x v="6"/>
    <x v="30"/>
    <x v="36"/>
  </r>
  <r>
    <s v="(HUD) Paint and Body Center (NO TOURS)14"/>
    <x v="10"/>
    <x v="5"/>
    <x v="0"/>
    <x v="0"/>
    <x v="38"/>
    <x v="0"/>
    <s v="https://tools.sig.systems/site/details/256"/>
    <s v="https://www.google.com/maps/d/viewer?mid=1ejOzT7-x6RWnCf83BBP7XhiOiwEX3Wk&amp;ll=36.061264791292906%2C-79.87437695000003&amp;z=17"/>
    <x v="1"/>
    <x v="0"/>
    <x v="3"/>
    <x v="9"/>
    <x v="0"/>
    <x v="6"/>
    <x v="11"/>
    <x v="38"/>
  </r>
  <r>
    <s v="(ML) Joe Machens E Collision Center14"/>
    <x v="10"/>
    <x v="5"/>
    <x v="1"/>
    <x v="1"/>
    <x v="76"/>
    <x v="1"/>
    <s v="https://tools.sig.systems/site/details/277"/>
    <s v="https://www.google.com/maps/d/viewer?hl=es&amp;mid=1C1oZdjH3dNvCvqdpIv_Lk0Yn1OCVn-4&amp;ll=38.965368114274455%2C-92.3405954&amp;z=15"/>
    <x v="1"/>
    <x v="0"/>
    <x v="6"/>
    <x v="0"/>
    <x v="0"/>
    <x v="51"/>
    <x v="57"/>
    <x v="76"/>
  </r>
  <r>
    <s v="(ML) Nissan of North Little Rock14"/>
    <x v="10"/>
    <x v="5"/>
    <x v="1"/>
    <x v="1"/>
    <x v="20"/>
    <x v="1"/>
    <s v="https://tools.sig.systems/site/details/216"/>
    <s v="https://www.google.com/maps/d/edit?mid=1Oky35ERk_2kgyzCvDu_odQ2ZP62BtqA&amp;usp=sharing"/>
    <x v="1"/>
    <x v="0"/>
    <x v="16"/>
    <x v="0"/>
    <x v="0"/>
    <x v="18"/>
    <x v="17"/>
    <x v="20"/>
  </r>
  <r>
    <s v="(ML) Volvo Collision Corp14"/>
    <x v="10"/>
    <x v="5"/>
    <x v="1"/>
    <x v="1"/>
    <x v="47"/>
    <x v="1"/>
    <s v="https://tools.sig.systems/site/details/223"/>
    <m/>
    <x v="1"/>
    <x v="0"/>
    <x v="35"/>
    <x v="1"/>
    <x v="0"/>
    <x v="35"/>
    <x v="11"/>
    <x v="47"/>
  </r>
  <r>
    <s v="(SCH) Prep Center Delray14"/>
    <x v="10"/>
    <x v="5"/>
    <x v="0"/>
    <x v="0"/>
    <x v="53"/>
    <x v="0"/>
    <s v="https://tools.sig.systems/site/details/321"/>
    <m/>
    <x v="1"/>
    <x v="0"/>
    <x v="40"/>
    <x v="0"/>
    <x v="0"/>
    <x v="6"/>
    <x v="39"/>
    <x v="53"/>
  </r>
  <r>
    <s v="(TC) Tavernier Creek Marina (NO TOURS)14"/>
    <x v="10"/>
    <x v="5"/>
    <x v="0"/>
    <x v="0"/>
    <x v="84"/>
    <x v="1"/>
    <s v="https://tools.sig.systems/site/details/164"/>
    <m/>
    <x v="6"/>
    <x v="0"/>
    <x v="60"/>
    <x v="0"/>
    <x v="0"/>
    <x v="6"/>
    <x v="59"/>
    <x v="84"/>
  </r>
  <r>
    <s v="(WAG) Greeley Chrysler Dodge Jeep Ram (NO TOURS)14"/>
    <x v="10"/>
    <x v="5"/>
    <x v="3"/>
    <x v="2"/>
    <x v="115"/>
    <x v="3"/>
    <s v="https://tools.sig.systems/site/details/130"/>
    <s v="https://www.google.com/maps/d/viewer?mid=1gN2lJ0iT7m5VNhD7aDcxE8AdXqtcOZc&amp;ll=40.396096737592195%2C-104.746842&amp;z=16"/>
    <x v="1"/>
    <x v="0"/>
    <x v="77"/>
    <x v="42"/>
    <x v="0"/>
    <x v="77"/>
    <x v="85"/>
    <x v="114"/>
  </r>
  <r>
    <s v="(AS) Atwell Prep Center-Dallas (NO TOURS)14"/>
    <x v="10"/>
    <x v="6"/>
    <x v="1"/>
    <x v="1"/>
    <x v="86"/>
    <x v="1"/>
    <s v="https://tools.sig.systems/site/details/165"/>
    <s v="https://www.google.com/maps/d/edit?hl=es&amp;mid=1uPmsRMsXnp74hPFW2t-sp2totVWF_xY&amp;ll=32.83050137713022%2C-96.83197783061323&amp;z=17"/>
    <x v="1"/>
    <x v="0"/>
    <x v="61"/>
    <x v="0"/>
    <x v="0"/>
    <x v="6"/>
    <x v="28"/>
    <x v="86"/>
  </r>
  <r>
    <s v="(AS) Courtesy CDJR of Brandon (NO TOURS)14"/>
    <x v="10"/>
    <x v="6"/>
    <x v="0"/>
    <x v="0"/>
    <x v="56"/>
    <x v="0"/>
    <s v="https://tools.sig.systems/site/details/126"/>
    <s v="https://www.google.com/maps/d/edit?mid=15R4hTDQx56ij99--JgozdqOIZh-kSlk&amp;usp=sharing"/>
    <x v="0"/>
    <x v="0"/>
    <x v="42"/>
    <x v="9"/>
    <x v="0"/>
    <x v="37"/>
    <x v="42"/>
    <x v="56"/>
  </r>
  <r>
    <s v="(AS) Park Place Mercedes Benz Ft. Worth (NO TOURS)14"/>
    <x v="10"/>
    <x v="6"/>
    <x v="1"/>
    <x v="1"/>
    <x v="5"/>
    <x v="1"/>
    <s v="https://tools.sig.systems/site/details/137"/>
    <s v="https://www.google.com/maps/d/edit?mid=18OEO_KbvYcgI3N1jE4gTMXfNHTNDrFU&amp;ll=32.66603989958274%2C-97.42021198201722&amp;z=18"/>
    <x v="1"/>
    <x v="0"/>
    <x v="5"/>
    <x v="0"/>
    <x v="4"/>
    <x v="5"/>
    <x v="5"/>
    <x v="5"/>
  </r>
  <r>
    <s v="(AS) Stevinson Toyota West (NO TOURS)14"/>
    <x v="10"/>
    <x v="6"/>
    <x v="3"/>
    <x v="2"/>
    <x v="8"/>
    <x v="3"/>
    <s v="https://tools.sig.systems/site/details/240"/>
    <s v="https://www.google.com/maps/d/edit?mid=1nAyK85WaWREy0lfxnmWn3USs2gC0nP0&amp;usp=sharing"/>
    <x v="1"/>
    <x v="0"/>
    <x v="3"/>
    <x v="3"/>
    <x v="0"/>
    <x v="7"/>
    <x v="8"/>
    <x v="8"/>
  </r>
  <r>
    <s v="(DT) Louisville14"/>
    <x v="10"/>
    <x v="6"/>
    <x v="0"/>
    <x v="0"/>
    <x v="67"/>
    <x v="0"/>
    <s v="https://tools.sig.systems/site/details/258"/>
    <m/>
    <x v="1"/>
    <x v="0"/>
    <x v="3"/>
    <x v="16"/>
    <x v="0"/>
    <x v="6"/>
    <x v="50"/>
    <x v="67"/>
  </r>
  <r>
    <s v="(ML) Honda of Little Rock14"/>
    <x v="10"/>
    <x v="6"/>
    <x v="1"/>
    <x v="1"/>
    <x v="16"/>
    <x v="1"/>
    <s v="https://tools.sig.systems/site/details/249"/>
    <s v="https://www.google.com/maps/d/viewer?mid=1hvbKFMO-d5TXrKGU-g5dt_xcdArB1D0&amp;ll=34.71147784120261%2C-92.40574350000001&amp;z=17"/>
    <x v="1"/>
    <x v="0"/>
    <x v="15"/>
    <x v="0"/>
    <x v="0"/>
    <x v="14"/>
    <x v="15"/>
    <x v="16"/>
  </r>
  <r>
    <s v="(ML) Joe Machens Temporary 2.014"/>
    <x v="10"/>
    <x v="6"/>
    <x v="1"/>
    <x v="1"/>
    <x v="44"/>
    <x v="1"/>
    <s v="https://tools.sig.systems/site/details/278"/>
    <s v="https://www.google.com/maps/d/viewer?hl=es&amp;mid=1C1oZdjH3dNvCvqdpIv_Lk0Yn1OCVn-4&amp;ll=38.965368114274455%2C-92.3405954&amp;z=15"/>
    <x v="1"/>
    <x v="0"/>
    <x v="3"/>
    <x v="17"/>
    <x v="0"/>
    <x v="33"/>
    <x v="11"/>
    <x v="44"/>
  </r>
  <r>
    <s v="(PE) BMW Tenafly (NO TOURS)14"/>
    <x v="10"/>
    <x v="6"/>
    <x v="4"/>
    <x v="0"/>
    <x v="48"/>
    <x v="0"/>
    <s v="https://tools.sig.systems/site/details/155"/>
    <m/>
    <x v="1"/>
    <x v="0"/>
    <x v="36"/>
    <x v="18"/>
    <x v="0"/>
    <x v="6"/>
    <x v="19"/>
    <x v="48"/>
  </r>
  <r>
    <s v="(SCH) Auto Body Shop Lake Park14"/>
    <x v="10"/>
    <x v="6"/>
    <x v="0"/>
    <x v="0"/>
    <x v="83"/>
    <x v="0"/>
    <s v="https://tools.sig.systems/site/details/158"/>
    <m/>
    <x v="1"/>
    <x v="0"/>
    <x v="59"/>
    <x v="0"/>
    <x v="0"/>
    <x v="6"/>
    <x v="11"/>
    <x v="83"/>
  </r>
  <r>
    <s v="(AS) Courtesy Honda Palm Harbor (NO TOURS)14"/>
    <x v="10"/>
    <x v="7"/>
    <x v="0"/>
    <x v="0"/>
    <x v="88"/>
    <x v="0"/>
    <s v="https://tools.sig.systems/site/details/176"/>
    <m/>
    <x v="3"/>
    <x v="0"/>
    <x v="63"/>
    <x v="0"/>
    <x v="0"/>
    <x v="58"/>
    <x v="24"/>
    <x v="88"/>
  </r>
  <r>
    <s v="(AS) Park Place Bodywerks Dallas (NO TOURS)14"/>
    <x v="10"/>
    <x v="7"/>
    <x v="1"/>
    <x v="1"/>
    <x v="59"/>
    <x v="1"/>
    <s v="https://tools.sig.systems/site/details/166"/>
    <s v="https://www.google.com/maps/d/edit?hl=es&amp;mid=1uPmsRMsXnp74hPFW2t-sp2totVWF_xY&amp;ll=32.83050137713022%2C-96.83197783061323&amp;z=17"/>
    <x v="1"/>
    <x v="0"/>
    <x v="44"/>
    <x v="9"/>
    <x v="0"/>
    <x v="6"/>
    <x v="45"/>
    <x v="59"/>
  </r>
  <r>
    <s v="(AS) Stevinson Porsche of Littleton (NO TOURS)14"/>
    <x v="10"/>
    <x v="7"/>
    <x v="3"/>
    <x v="2"/>
    <x v="7"/>
    <x v="3"/>
    <s v="https://tools.sig.systems/site/details/242"/>
    <m/>
    <x v="1"/>
    <x v="0"/>
    <x v="7"/>
    <x v="2"/>
    <x v="0"/>
    <x v="6"/>
    <x v="7"/>
    <x v="7"/>
  </r>
  <r>
    <s v="(DT) N. Houston14"/>
    <x v="10"/>
    <x v="7"/>
    <x v="1"/>
    <x v="1"/>
    <x v="9"/>
    <x v="1"/>
    <s v="https://tools.sig.systems/site/details/250"/>
    <m/>
    <x v="1"/>
    <x v="0"/>
    <x v="8"/>
    <x v="0"/>
    <x v="0"/>
    <x v="8"/>
    <x v="9"/>
    <x v="9"/>
  </r>
  <r>
    <s v="(JE) Jim Ellis Ford Sandy Springs14"/>
    <x v="10"/>
    <x v="7"/>
    <x v="0"/>
    <x v="0"/>
    <x v="69"/>
    <x v="0"/>
    <s v="https://tools.sig.systems/site/details/142"/>
    <m/>
    <x v="1"/>
    <x v="0"/>
    <x v="51"/>
    <x v="0"/>
    <x v="0"/>
    <x v="46"/>
    <x v="52"/>
    <x v="69"/>
  </r>
  <r>
    <s v="(KG) Big Star Honda14"/>
    <x v="10"/>
    <x v="7"/>
    <x v="1"/>
    <x v="1"/>
    <x v="72"/>
    <x v="1"/>
    <s v="https://tools.sig.systems/site/details/231"/>
    <m/>
    <x v="1"/>
    <x v="0"/>
    <x v="53"/>
    <x v="0"/>
    <x v="0"/>
    <x v="48"/>
    <x v="54"/>
    <x v="72"/>
  </r>
  <r>
    <s v="(ML) BMW of Little Rock14"/>
    <x v="10"/>
    <x v="7"/>
    <x v="1"/>
    <x v="1"/>
    <x v="105"/>
    <x v="1"/>
    <s v="https://tools.sig.systems/site/details/217"/>
    <s v="https://www.google.com/maps/d/viewer?mid=1hvbKFMO-d5TXrKGU-g5dt_xcdArB1D0&amp;ll=34.71147784120261%2C-92.40574350000001&amp;z=17"/>
    <x v="1"/>
    <x v="0"/>
    <x v="3"/>
    <x v="38"/>
    <x v="0"/>
    <x v="6"/>
    <x v="76"/>
    <x v="104"/>
  </r>
  <r>
    <s v="(ML) Collision Center N Little Rock14"/>
    <x v="10"/>
    <x v="7"/>
    <x v="1"/>
    <x v="1"/>
    <x v="106"/>
    <x v="1"/>
    <s v="https://tools.sig.systems/site/details/212"/>
    <s v="https://www.google.com/maps/d/edit?mid=1Oky35ERk_2kgyzCvDu_odQ2ZP62BtqA&amp;usp=sharing"/>
    <x v="1"/>
    <x v="0"/>
    <x v="3"/>
    <x v="0"/>
    <x v="0"/>
    <x v="6"/>
    <x v="77"/>
    <x v="105"/>
  </r>
  <r>
    <s v="(ML) Joe Machens Nissan14"/>
    <x v="10"/>
    <x v="7"/>
    <x v="1"/>
    <x v="1"/>
    <x v="78"/>
    <x v="1"/>
    <s v="https://tools.sig.systems/site/details/279"/>
    <s v="https://www.google.com/maps/d/viewer?hl=es&amp;mid=1C1oZdjH3dNvCvqdpIv_Lk0Yn1OCVn-4&amp;ll=38.965368114274455%2C-92.3405954&amp;z=15"/>
    <x v="1"/>
    <x v="0"/>
    <x v="3"/>
    <x v="28"/>
    <x v="0"/>
    <x v="6"/>
    <x v="11"/>
    <x v="78"/>
  </r>
  <r>
    <s v="(PE) JLR Darien PDI (NO TOURS)14"/>
    <x v="10"/>
    <x v="7"/>
    <x v="4"/>
    <x v="0"/>
    <x v="112"/>
    <x v="0"/>
    <s v="https://tools.sig.systems/site/details/187"/>
    <s v="https://www.google.com/maps/d/viewer?mid=1ebZp8DeTYSXNPgDIA63nFVDu9ohaO4E&amp;ll=41.08027837958441%2C-73.46597874999999&amp;z=15"/>
    <x v="1"/>
    <x v="0"/>
    <x v="6"/>
    <x v="0"/>
    <x v="0"/>
    <x v="74"/>
    <x v="83"/>
    <x v="111"/>
  </r>
  <r>
    <s v="(AS) Audi of North Atlanta (NO TOURS)14"/>
    <x v="10"/>
    <x v="8"/>
    <x v="0"/>
    <x v="0"/>
    <x v="87"/>
    <x v="0"/>
    <s v="https://tools.sig.systems/site/details/124"/>
    <s v="https://www.google.com/maps/d/edit?mid=1jkN3DS1BhUqp_dztjjW0PDwKfo_Yxsw&amp;usp=sharing"/>
    <x v="1"/>
    <x v="0"/>
    <x v="62"/>
    <x v="0"/>
    <x v="0"/>
    <x v="57"/>
    <x v="61"/>
    <x v="87"/>
  </r>
  <r>
    <s v="(AS) Park Place MB Recon Center Dallas (NO TOURS)14"/>
    <x v="10"/>
    <x v="8"/>
    <x v="1"/>
    <x v="1"/>
    <x v="60"/>
    <x v="1"/>
    <s v="https://tools.sig.systems/site/details/170"/>
    <s v="https://www.google.com/maps/d/edit?hl=es&amp;mid=1uPmsRMsXnp74hPFW2t-sp2totVWF_xY&amp;ll=32.83050137713022%2C-96.83197783061323&amp;z=17"/>
    <x v="1"/>
    <x v="0"/>
    <x v="45"/>
    <x v="0"/>
    <x v="0"/>
    <x v="40"/>
    <x v="19"/>
    <x v="60"/>
  </r>
  <r>
    <s v="(AS) Stevinson Lexus of Lakewood (NO TOURS)14"/>
    <x v="10"/>
    <x v="8"/>
    <x v="3"/>
    <x v="2"/>
    <x v="34"/>
    <x v="3"/>
    <s v="https://tools.sig.systems/site/details/260"/>
    <s v="https://www.google.com/maps/d/edit?mid=1nAyK85WaWREy0lfxnmWn3USs2gC0nP0&amp;usp=sharing"/>
    <x v="1"/>
    <x v="0"/>
    <x v="3"/>
    <x v="14"/>
    <x v="8"/>
    <x v="6"/>
    <x v="28"/>
    <x v="34"/>
  </r>
  <r>
    <s v="(ML) Ford Lincoln of North Little Rock14"/>
    <x v="10"/>
    <x v="8"/>
    <x v="1"/>
    <x v="1"/>
    <x v="42"/>
    <x v="1"/>
    <s v="https://tools.sig.systems/site/details/214"/>
    <s v="https://www.google.com/maps/d/edit?mid=1Oky35ERk_2kgyzCvDu_odQ2ZP62BtqA&amp;usp=sharing"/>
    <x v="1"/>
    <x v="0"/>
    <x v="32"/>
    <x v="4"/>
    <x v="0"/>
    <x v="32"/>
    <x v="34"/>
    <x v="42"/>
  </r>
  <r>
    <s v="(ML) Joe Machens Ford Lincoln I &amp; II14"/>
    <x v="10"/>
    <x v="8"/>
    <x v="1"/>
    <x v="1"/>
    <x v="77"/>
    <x v="1"/>
    <s v="https://tools.sig.systems/site/details/266"/>
    <s v="https://www.google.com/maps/d/viewer?hl=es&amp;mid=1C1oZdjH3dNvCvqdpIv_Lk0Yn1OCVn-4&amp;ll=38.965368114274455%2C-92.3405954&amp;z=15"/>
    <x v="1"/>
    <x v="0"/>
    <x v="3"/>
    <x v="27"/>
    <x v="0"/>
    <x v="52"/>
    <x v="11"/>
    <x v="77"/>
  </r>
  <r>
    <s v="(SCH) Delray I &amp; II14"/>
    <x v="10"/>
    <x v="8"/>
    <x v="0"/>
    <x v="0"/>
    <x v="26"/>
    <x v="0"/>
    <s v="https://tools.sig.systems/site/details/159"/>
    <m/>
    <x v="3"/>
    <x v="0"/>
    <x v="21"/>
    <x v="11"/>
    <x v="6"/>
    <x v="6"/>
    <x v="22"/>
    <x v="26"/>
  </r>
  <r>
    <s v="(AS) Courtesy Kia of Brandon (NO TOURS)14"/>
    <x v="10"/>
    <x v="9"/>
    <x v="0"/>
    <x v="0"/>
    <x v="57"/>
    <x v="0"/>
    <s v="https://tools.sig.systems/site/details/121"/>
    <s v="https://www.google.com/maps/d/edit?mid=15R4hTDQx56ij99--JgozdqOIZh-kSlk&amp;usp=sharing"/>
    <x v="0"/>
    <x v="0"/>
    <x v="3"/>
    <x v="22"/>
    <x v="0"/>
    <x v="38"/>
    <x v="43"/>
    <x v="57"/>
  </r>
  <r>
    <s v="(AS) Nalley Luxury Collision Center (NO TOURS)14"/>
    <x v="10"/>
    <x v="9"/>
    <x v="0"/>
    <x v="0"/>
    <x v="31"/>
    <x v="0"/>
    <s v="https://tools.sig.systems/site/details/263"/>
    <s v="https://www.google.com/maps/d/edit?mid=1jkN3DS1BhUqp_dztjjW0PDwKfo_Yxsw&amp;usp=sharing"/>
    <x v="1"/>
    <x v="0"/>
    <x v="4"/>
    <x v="0"/>
    <x v="0"/>
    <x v="6"/>
    <x v="26"/>
    <x v="31"/>
  </r>
  <r>
    <s v="(AS) Park Place Volvo Service Center (NO TOURS)14"/>
    <x v="10"/>
    <x v="9"/>
    <x v="1"/>
    <x v="1"/>
    <x v="62"/>
    <x v="1"/>
    <s v="https://tools.sig.systems/site/details/171"/>
    <s v="https://www.google.com/maps/d/edit?hl=es&amp;mid=1uPmsRMsXnp74hPFW2t-sp2totVWF_xY&amp;ll=32.83050137713022%2C-96.83197783061323&amp;z=17"/>
    <x v="1"/>
    <x v="0"/>
    <x v="47"/>
    <x v="0"/>
    <x v="0"/>
    <x v="42"/>
    <x v="11"/>
    <x v="62"/>
  </r>
  <r>
    <s v="(AS) Plaza Lexus/Mercedes/BMW (NO TOURS)14"/>
    <x v="10"/>
    <x v="9"/>
    <x v="1"/>
    <x v="1"/>
    <x v="63"/>
    <x v="1"/>
    <s v="https://tools.sig.systems/site/details/141"/>
    <s v="https://www.google.com/maps/d/viewer?mid=1whGZ1PLqmhJnGFz8uigZqUL4cHGGW3w&amp;ll=38.668847686454825%2C-90.4433601&amp;z=17"/>
    <x v="1"/>
    <x v="0"/>
    <x v="48"/>
    <x v="23"/>
    <x v="0"/>
    <x v="43"/>
    <x v="47"/>
    <x v="63"/>
  </r>
  <r>
    <s v="(SCH) West Palm Beach I, II &amp; III14"/>
    <x v="10"/>
    <x v="9"/>
    <x v="6"/>
    <x v="0"/>
    <x v="54"/>
    <x v="0"/>
    <s v="https://tools.sig.systems/site/details/162"/>
    <m/>
    <x v="3"/>
    <x v="2"/>
    <x v="41"/>
    <x v="20"/>
    <x v="10"/>
    <x v="6"/>
    <x v="40"/>
    <x v="54"/>
  </r>
  <r>
    <s v="(AS) David McDavid Lincoln Frisco (NO TOURS)14"/>
    <x v="10"/>
    <x v="10"/>
    <x v="1"/>
    <x v="1"/>
    <x v="58"/>
    <x v="1"/>
    <s v="https://tools.sig.systems/site/details/182"/>
    <m/>
    <x v="1"/>
    <x v="0"/>
    <x v="43"/>
    <x v="0"/>
    <x v="0"/>
    <x v="39"/>
    <x v="44"/>
    <x v="58"/>
  </r>
  <r>
    <s v="(AS) Lexus Smyrna (NO TOURS)14"/>
    <x v="10"/>
    <x v="10"/>
    <x v="0"/>
    <x v="0"/>
    <x v="30"/>
    <x v="0"/>
    <s v="https://tools.sig.systems/site/details/133"/>
    <m/>
    <x v="1"/>
    <x v="0"/>
    <x v="24"/>
    <x v="0"/>
    <x v="0"/>
    <x v="24"/>
    <x v="25"/>
    <x v="30"/>
  </r>
  <r>
    <s v="(AS) Nalley BMW Collision Center (NO TOURS)14"/>
    <x v="10"/>
    <x v="10"/>
    <x v="0"/>
    <x v="0"/>
    <x v="3"/>
    <x v="0"/>
    <s v="https://tools.sig.systems/site/details/220"/>
    <m/>
    <x v="1"/>
    <x v="0"/>
    <x v="3"/>
    <x v="1"/>
    <x v="0"/>
    <x v="3"/>
    <x v="3"/>
    <x v="3"/>
  </r>
  <r>
    <s v="(AS) Plaza Audi/Infiniti (NO TOURS)14"/>
    <x v="10"/>
    <x v="10"/>
    <x v="1"/>
    <x v="1"/>
    <x v="95"/>
    <x v="1"/>
    <s v="https://tools.sig.systems/site/details/141"/>
    <s v="https://www.google.com/maps/d/viewer?mid=1whGZ1PLqmhJnGFz8uigZqUL4cHGGW3w&amp;ll=38.668847686454825%2C-90.4433601&amp;z=17"/>
    <x v="1"/>
    <x v="0"/>
    <x v="68"/>
    <x v="35"/>
    <x v="0"/>
    <x v="65"/>
    <x v="67"/>
    <x v="63"/>
  </r>
  <r>
    <s v="(KG) Baytown GMC Buick - Remote Lot (NO TOURS)14"/>
    <x v="10"/>
    <x v="10"/>
    <x v="2"/>
    <x v="1"/>
    <x v="70"/>
    <x v="2"/>
    <s v="https://tools.sig.systems/site/details/311"/>
    <m/>
    <x v="1"/>
    <x v="3"/>
    <x v="3"/>
    <x v="25"/>
    <x v="0"/>
    <x v="6"/>
    <x v="11"/>
    <x v="70"/>
  </r>
  <r>
    <s v="(KG) Baytown GMC Buick (NO TOURS)14"/>
    <x v="10"/>
    <x v="10"/>
    <x v="1"/>
    <x v="1"/>
    <x v="71"/>
    <x v="1"/>
    <s v="https://tools.sig.systems/site/details/239"/>
    <m/>
    <x v="1"/>
    <x v="0"/>
    <x v="52"/>
    <x v="0"/>
    <x v="0"/>
    <x v="47"/>
    <x v="53"/>
    <x v="71"/>
  </r>
  <r>
    <s v="(KG) Kia of Phoenix (NO TOURS)14"/>
    <x v="10"/>
    <x v="10"/>
    <x v="5"/>
    <x v="3"/>
    <x v="40"/>
    <x v="4"/>
    <s v="https://tools.sig.systems/site/details/262"/>
    <m/>
    <x v="4"/>
    <x v="0"/>
    <x v="30"/>
    <x v="0"/>
    <x v="0"/>
    <x v="30"/>
    <x v="11"/>
    <x v="40"/>
  </r>
  <r>
    <s v="(ML) Joe Machens Kia of Columbia14"/>
    <x v="10"/>
    <x v="10"/>
    <x v="1"/>
    <x v="1"/>
    <x v="107"/>
    <x v="1"/>
    <s v="https://tools.sig.systems/site/details/270"/>
    <s v="https://www.google.com/maps/d/viewer?hl=es&amp;mid=1C1oZdjH3dNvCvqdpIv_Lk0Yn1OCVn-4&amp;ll=38.965368114274455%2C-92.3405954&amp;z=15"/>
    <x v="1"/>
    <x v="0"/>
    <x v="3"/>
    <x v="39"/>
    <x v="0"/>
    <x v="6"/>
    <x v="78"/>
    <x v="106"/>
  </r>
  <r>
    <s v="(ML) Mazda VW-Lot B14"/>
    <x v="10"/>
    <x v="10"/>
    <x v="1"/>
    <x v="1"/>
    <x v="45"/>
    <x v="1"/>
    <s v="https://tools.sig.systems/site/details/205"/>
    <s v="https://www.google.com/maps/d/edit?mid=1Oky35ERk_2kgyzCvDu_odQ2ZP62BtqA&amp;usp=sharing"/>
    <x v="1"/>
    <x v="0"/>
    <x v="33"/>
    <x v="9"/>
    <x v="0"/>
    <x v="30"/>
    <x v="11"/>
    <x v="45"/>
  </r>
  <r>
    <s v="(PE) Fairfield Collision (NO TOURS)14"/>
    <x v="10"/>
    <x v="10"/>
    <x v="4"/>
    <x v="0"/>
    <x v="22"/>
    <x v="0"/>
    <s v="https://tools.sig.systems/site/details/191"/>
    <m/>
    <x v="1"/>
    <x v="0"/>
    <x v="18"/>
    <x v="0"/>
    <x v="0"/>
    <x v="6"/>
    <x v="18"/>
    <x v="22"/>
  </r>
  <r>
    <s v="(AS) Coggin Honda Ft. Pierce (NO TOURS)14"/>
    <x v="10"/>
    <x v="11"/>
    <x v="0"/>
    <x v="0"/>
    <x v="0"/>
    <x v="0"/>
    <s v="https://tools.sig.systems/site/details/120"/>
    <s v="https://www.google.com/maps/d/viewer?mid=1AyViBuyeq7iwDua1SVudJ2A1BYi3IBA&amp;ll=27.38181516363982%2C-80.32568845000002&amp;z=18"/>
    <x v="0"/>
    <x v="0"/>
    <x v="0"/>
    <x v="0"/>
    <x v="0"/>
    <x v="0"/>
    <x v="0"/>
    <x v="0"/>
  </r>
  <r>
    <s v="(AS) Courtesy Hyundai/Nissan Tampa (NO TOURS)14"/>
    <x v="10"/>
    <x v="11"/>
    <x v="0"/>
    <x v="0"/>
    <x v="89"/>
    <x v="0"/>
    <s v="https://tools.sig.systems/site/details/128"/>
    <m/>
    <x v="0"/>
    <x v="0"/>
    <x v="64"/>
    <x v="0"/>
    <x v="0"/>
    <x v="59"/>
    <x v="62"/>
    <x v="89"/>
  </r>
  <r>
    <s v="(DT) Albuquerque14"/>
    <x v="10"/>
    <x v="11"/>
    <x v="3"/>
    <x v="2"/>
    <x v="35"/>
    <x v="3"/>
    <s v="https://tools.sig.systems/site/details/237"/>
    <m/>
    <x v="1"/>
    <x v="0"/>
    <x v="27"/>
    <x v="0"/>
    <x v="0"/>
    <x v="27"/>
    <x v="29"/>
    <x v="35"/>
  </r>
  <r>
    <s v="(KT) Northwest CDJR (NO TOURS)14"/>
    <x v="10"/>
    <x v="11"/>
    <x v="1"/>
    <x v="1"/>
    <x v="15"/>
    <x v="1"/>
    <s v="https://tools.sig.systems/site/details/229"/>
    <m/>
    <x v="1"/>
    <x v="0"/>
    <x v="14"/>
    <x v="0"/>
    <x v="0"/>
    <x v="13"/>
    <x v="11"/>
    <x v="15"/>
  </r>
  <r>
    <s v="(MK) McKenny Salinas Honda14"/>
    <x v="10"/>
    <x v="11"/>
    <x v="0"/>
    <x v="0"/>
    <x v="104"/>
    <x v="0"/>
    <s v="https://tools.sig.systems/site/details/149"/>
    <m/>
    <x v="1"/>
    <x v="0"/>
    <x v="3"/>
    <x v="37"/>
    <x v="0"/>
    <x v="6"/>
    <x v="75"/>
    <x v="103"/>
  </r>
  <r>
    <s v="(ML) Joe Machens Capital City I &amp; II (NO TOURS)14"/>
    <x v="10"/>
    <x v="11"/>
    <x v="1"/>
    <x v="1"/>
    <x v="17"/>
    <x v="1"/>
    <s v="https://tools.sig.systems/site/details/271"/>
    <m/>
    <x v="1"/>
    <x v="0"/>
    <x v="3"/>
    <x v="6"/>
    <x v="0"/>
    <x v="15"/>
    <x v="16"/>
    <x v="17"/>
  </r>
  <r>
    <s v="(ML) Nissan Of Benton14"/>
    <x v="10"/>
    <x v="11"/>
    <x v="1"/>
    <x v="1"/>
    <x v="80"/>
    <x v="1"/>
    <s v="https://tools.sig.systems/site/details/247"/>
    <m/>
    <x v="1"/>
    <x v="0"/>
    <x v="57"/>
    <x v="0"/>
    <x v="0"/>
    <x v="54"/>
    <x v="11"/>
    <x v="80"/>
  </r>
  <r>
    <s v="(PE) Mercedes Benz &amp; Smart Bldg. of Fairfield (NO TOURS)14"/>
    <x v="10"/>
    <x v="11"/>
    <x v="4"/>
    <x v="0"/>
    <x v="23"/>
    <x v="0"/>
    <s v="https://tools.sig.systems/site/details/192"/>
    <s v="https://www.google.com/maps/d/viewer?mid=1FEo41PzFJQjUIXXKitX5TNCtuqR6Vbs&amp;ll=41.1663376742533%2C-73.22955662049608&amp;z=16"/>
    <x v="1"/>
    <x v="0"/>
    <x v="3"/>
    <x v="9"/>
    <x v="0"/>
    <x v="20"/>
    <x v="19"/>
    <x v="23"/>
  </r>
  <r>
    <s v="(RV) Sonny's Camp N Travel Concord14"/>
    <x v="10"/>
    <x v="11"/>
    <x v="0"/>
    <x v="0"/>
    <x v="114"/>
    <x v="0"/>
    <s v="https://tools.sig.systems/site/details/183"/>
    <m/>
    <x v="1"/>
    <x v="0"/>
    <x v="6"/>
    <x v="0"/>
    <x v="0"/>
    <x v="76"/>
    <x v="84"/>
    <x v="113"/>
  </r>
  <r>
    <s v="(AS) Coggin Acura Ft Pierce (NO TOURS)14"/>
    <x v="10"/>
    <x v="12"/>
    <x v="0"/>
    <x v="0"/>
    <x v="27"/>
    <x v="0"/>
    <s v="https://tools.sig.systems/site/details/118"/>
    <s v="https://www.google.com/maps/d/viewer?mid=1AyViBuyeq7iwDua1SVudJ2A1BYi3IBA&amp;ll=27.38181516363982%2C-80.32568845000002&amp;z=18"/>
    <x v="1"/>
    <x v="0"/>
    <x v="3"/>
    <x v="12"/>
    <x v="0"/>
    <x v="21"/>
    <x v="19"/>
    <x v="27"/>
  </r>
  <r>
    <s v="(AS) David McDavid Honda I &amp; II (NO TOURS)14"/>
    <x v="10"/>
    <x v="12"/>
    <x v="1"/>
    <x v="1"/>
    <x v="90"/>
    <x v="1"/>
    <s v="https://tools.sig.systems/site/details/129"/>
    <m/>
    <x v="1"/>
    <x v="0"/>
    <x v="3"/>
    <x v="31"/>
    <x v="0"/>
    <x v="60"/>
    <x v="63"/>
    <x v="90"/>
  </r>
  <r>
    <s v="(AS) Mike Shaw Subaru Greeley (NO TOURS)14"/>
    <x v="10"/>
    <x v="12"/>
    <x v="3"/>
    <x v="2"/>
    <x v="91"/>
    <x v="3"/>
    <s v="https://tools.sig.systems/site/details/174"/>
    <s v="https://www.google.com/maps/d/viewer?mid=1gN2lJ0iT7m5VNhD7aDcxE8AdXqtcOZc&amp;ll=40.396096737592195%2C-104.746842&amp;z=16"/>
    <x v="1"/>
    <x v="0"/>
    <x v="65"/>
    <x v="32"/>
    <x v="0"/>
    <x v="61"/>
    <x v="11"/>
    <x v="91"/>
  </r>
  <r>
    <s v="(AS) Park Place JLR DFW Airport (NO TOURS)14"/>
    <x v="10"/>
    <x v="12"/>
    <x v="1"/>
    <x v="1"/>
    <x v="93"/>
    <x v="1"/>
    <s v="https://tools.sig.systems/site/details/135"/>
    <m/>
    <x v="1"/>
    <x v="0"/>
    <x v="67"/>
    <x v="33"/>
    <x v="13"/>
    <x v="63"/>
    <x v="65"/>
    <x v="93"/>
  </r>
  <r>
    <s v="(AS) Plano Auction (NO SPEAKERS)14"/>
    <x v="10"/>
    <x v="12"/>
    <x v="1"/>
    <x v="1"/>
    <x v="94"/>
    <x v="1"/>
    <s v="https://tools.sig.systems/site/details/140"/>
    <m/>
    <x v="1"/>
    <x v="0"/>
    <x v="3"/>
    <x v="34"/>
    <x v="0"/>
    <x v="64"/>
    <x v="66"/>
    <x v="94"/>
  </r>
  <r>
    <s v="(DT) Escondido14"/>
    <x v="10"/>
    <x v="12"/>
    <x v="5"/>
    <x v="4"/>
    <x v="98"/>
    <x v="5"/>
    <s v="https://tools.sig.systems/site/details/196"/>
    <m/>
    <x v="1"/>
    <x v="4"/>
    <x v="20"/>
    <x v="0"/>
    <x v="0"/>
    <x v="6"/>
    <x v="70"/>
    <x v="97"/>
  </r>
  <r>
    <s v="(KG) Big Star Ford14"/>
    <x v="10"/>
    <x v="12"/>
    <x v="1"/>
    <x v="1"/>
    <x v="102"/>
    <x v="1"/>
    <s v="https://tools.sig.systems/site/details/235"/>
    <m/>
    <x v="1"/>
    <x v="0"/>
    <x v="72"/>
    <x v="0"/>
    <x v="0"/>
    <x v="70"/>
    <x v="74"/>
    <x v="101"/>
  </r>
  <r>
    <s v="(PE) Honda of Danbury (NO TOURS)14"/>
    <x v="10"/>
    <x v="12"/>
    <x v="4"/>
    <x v="0"/>
    <x v="49"/>
    <x v="0"/>
    <s v="https://tools.sig.systems/site/details/190"/>
    <m/>
    <x v="1"/>
    <x v="0"/>
    <x v="3"/>
    <x v="19"/>
    <x v="9"/>
    <x v="6"/>
    <x v="36"/>
    <x v="49"/>
  </r>
  <r>
    <s v="(AS) Coggin Mercedes Benz Ft Pierce (NO TOURS)14"/>
    <x v="10"/>
    <x v="13"/>
    <x v="0"/>
    <x v="0"/>
    <x v="28"/>
    <x v="0"/>
    <s v="https://tools.sig.systems/site/details/127"/>
    <s v="https://www.google.com/maps/d/viewer?mid=1AyViBuyeq7iwDua1SVudJ2A1BYi3IBA&amp;ll=27.38181516363982%2C-80.32568845000002&amp;z=18"/>
    <x v="1"/>
    <x v="0"/>
    <x v="22"/>
    <x v="13"/>
    <x v="0"/>
    <x v="22"/>
    <x v="23"/>
    <x v="28"/>
  </r>
  <r>
    <s v="(AS) Lexus Grapevine I &amp; II (NO TOURS)14"/>
    <x v="10"/>
    <x v="13"/>
    <x v="1"/>
    <x v="1"/>
    <x v="29"/>
    <x v="1"/>
    <s v="https://tools.sig.systems/site/details/136"/>
    <m/>
    <x v="1"/>
    <x v="0"/>
    <x v="23"/>
    <x v="0"/>
    <x v="7"/>
    <x v="23"/>
    <x v="24"/>
    <x v="29"/>
  </r>
  <r>
    <s v="(AS) Stevinson JLR (NO TOURS)14"/>
    <x v="10"/>
    <x v="13"/>
    <x v="3"/>
    <x v="2"/>
    <x v="64"/>
    <x v="3"/>
    <s v="https://tools.sig.systems/site/details/204"/>
    <m/>
    <x v="1"/>
    <x v="0"/>
    <x v="49"/>
    <x v="1"/>
    <x v="0"/>
    <x v="44"/>
    <x v="48"/>
    <x v="64"/>
  </r>
  <r>
    <s v="(DT) El Cajon (NO TOURS)14"/>
    <x v="10"/>
    <x v="13"/>
    <x v="5"/>
    <x v="4"/>
    <x v="66"/>
    <x v="4"/>
    <s v="https://tools.sig.systems/site/details/241"/>
    <m/>
    <x v="1"/>
    <x v="0"/>
    <x v="3"/>
    <x v="16"/>
    <x v="0"/>
    <x v="6"/>
    <x v="11"/>
    <x v="66"/>
  </r>
  <r>
    <s v="(HUD) BMW of Greensboro14"/>
    <x v="10"/>
    <x v="13"/>
    <x v="0"/>
    <x v="0"/>
    <x v="100"/>
    <x v="0"/>
    <s v="https://tools.sig.systems/site/details/219"/>
    <s v="https://www.google.com/maps/d/viewer?mid=1ejOzT7-x6RWnCf83BBP7XhiOiwEX3Wk&amp;ll=36.061264791292906%2C-79.87437695000003&amp;z=17"/>
    <x v="1"/>
    <x v="0"/>
    <x v="70"/>
    <x v="0"/>
    <x v="0"/>
    <x v="68"/>
    <x v="72"/>
    <x v="99"/>
  </r>
  <r>
    <s v="(KG) Truck Center Remote Storage Lot14"/>
    <x v="10"/>
    <x v="13"/>
    <x v="2"/>
    <x v="2"/>
    <x v="14"/>
    <x v="2"/>
    <s v="https://tools.sig.systems/site/details/144"/>
    <m/>
    <x v="1"/>
    <x v="0"/>
    <x v="13"/>
    <x v="5"/>
    <x v="0"/>
    <x v="12"/>
    <x v="14"/>
    <x v="14"/>
  </r>
  <r>
    <s v="(ML) McLarty-Gray Daniels Chevrolet14"/>
    <x v="10"/>
    <x v="13"/>
    <x v="1"/>
    <x v="1"/>
    <x v="109"/>
    <x v="1"/>
    <s v="https://tools.sig.systems/site/details/150"/>
    <m/>
    <x v="1"/>
    <x v="0"/>
    <x v="74"/>
    <x v="0"/>
    <x v="0"/>
    <x v="73"/>
    <x v="80"/>
    <x v="108"/>
  </r>
  <r>
    <s v="(PE) BMW of Mamaroneck (NO TOURS)14"/>
    <x v="10"/>
    <x v="13"/>
    <x v="4"/>
    <x v="0"/>
    <x v="111"/>
    <x v="0"/>
    <s v="https://tools.sig.systems/site/details/185"/>
    <m/>
    <x v="1"/>
    <x v="0"/>
    <x v="76"/>
    <x v="41"/>
    <x v="0"/>
    <x v="6"/>
    <x v="82"/>
    <x v="110"/>
  </r>
  <r>
    <s v="(AS) Park Place Bodywerks Ft. Worth (NO TOURS)15"/>
    <x v="11"/>
    <x v="0"/>
    <x v="1"/>
    <x v="1"/>
    <x v="92"/>
    <x v="1"/>
    <s v="https://tools.sig.systems/site/details/134"/>
    <s v="https://www.google.com/maps/d/edit?mid=18OEO_KbvYcgI3N1jE4gTMXfNHTNDrFU&amp;ll=32.66603989958274%2C-97.42021198201722&amp;z=18"/>
    <x v="1"/>
    <x v="0"/>
    <x v="66"/>
    <x v="0"/>
    <x v="0"/>
    <x v="62"/>
    <x v="64"/>
    <x v="92"/>
  </r>
  <r>
    <s v="(DT) W Houston15"/>
    <x v="11"/>
    <x v="0"/>
    <x v="1"/>
    <x v="1"/>
    <x v="10"/>
    <x v="1"/>
    <s v="https://tools.sig.systems/site/details/197"/>
    <m/>
    <x v="1"/>
    <x v="0"/>
    <x v="9"/>
    <x v="2"/>
    <x v="0"/>
    <x v="9"/>
    <x v="10"/>
    <x v="10"/>
  </r>
  <r>
    <s v="(HUD) Acura of Greensboro15"/>
    <x v="11"/>
    <x v="0"/>
    <x v="0"/>
    <x v="0"/>
    <x v="99"/>
    <x v="0"/>
    <s v="https://tools.sig.systems/site/details/213"/>
    <s v="https://www.google.com/maps/d/viewer?mid=1ejOzT7-x6RWnCf83BBP7XhiOiwEX3Wk&amp;ll=0%2C0&amp;z=17"/>
    <x v="1"/>
    <x v="0"/>
    <x v="69"/>
    <x v="0"/>
    <x v="0"/>
    <x v="67"/>
    <x v="71"/>
    <x v="98"/>
  </r>
  <r>
    <s v="(KG) Clear Lake Pre-Owned15"/>
    <x v="11"/>
    <x v="0"/>
    <x v="1"/>
    <x v="1"/>
    <x v="39"/>
    <x v="1"/>
    <s v="https://tools.sig.systems/site/details/255"/>
    <s v="https://www.google.com/maps/d/edit?mid=1DRwy5fy1g5UzGTA7a1OkQA-_CY8SQ2s&amp;usp=sharing"/>
    <x v="1"/>
    <x v="0"/>
    <x v="29"/>
    <x v="0"/>
    <x v="0"/>
    <x v="29"/>
    <x v="32"/>
    <x v="39"/>
  </r>
  <r>
    <s v="(ML) McLarty Gray-Daniels Ford Lincoln15"/>
    <x v="11"/>
    <x v="0"/>
    <x v="1"/>
    <x v="1"/>
    <x v="79"/>
    <x v="1"/>
    <s v="https://tools.sig.systems/site/details/151"/>
    <s v="https://www.google.com/maps/d/edit?mid=111nhCL4Xjj2Pq0zP5xUrMzHQqAihqa0&amp;usp=sharing"/>
    <x v="1"/>
    <x v="0"/>
    <x v="56"/>
    <x v="29"/>
    <x v="0"/>
    <x v="53"/>
    <x v="57"/>
    <x v="79"/>
  </r>
  <r>
    <s v="(PE) Hudson Toyota Nissan CDJR (NO TOURS)15"/>
    <x v="11"/>
    <x v="0"/>
    <x v="4"/>
    <x v="0"/>
    <x v="81"/>
    <x v="0"/>
    <s v="https://tools.sig.systems/site/details/156"/>
    <m/>
    <x v="1"/>
    <x v="0"/>
    <x v="49"/>
    <x v="30"/>
    <x v="0"/>
    <x v="55"/>
    <x v="58"/>
    <x v="81"/>
  </r>
  <r>
    <s v="(PE) Scofield Service Center (NO TOURS)15"/>
    <x v="11"/>
    <x v="0"/>
    <x v="4"/>
    <x v="0"/>
    <x v="113"/>
    <x v="0"/>
    <s v="https://tools.sig.systems/site/details/193"/>
    <s v="https://www.google.com/maps/d/viewer?mid=1FEo41PzFJQjUIXXKitX5TNCtuqR6Vbs&amp;ll=41.1663376742533%2C-73.22955662049608&amp;z=16"/>
    <x v="1"/>
    <x v="0"/>
    <x v="6"/>
    <x v="0"/>
    <x v="0"/>
    <x v="75"/>
    <x v="51"/>
    <x v="112"/>
  </r>
  <r>
    <s v="(RV) Toms Camperland Avondale (NO TOURS)15"/>
    <x v="11"/>
    <x v="0"/>
    <x v="5"/>
    <x v="3"/>
    <x v="24"/>
    <x v="4"/>
    <s v="https://tools.sig.systems/site/details/248"/>
    <s v="https://www.google.com/maps/d/viewer?mid=1bDs0QGFZwL3vEeGKxjVMk_j4azr0-lg&amp;ll=33.4593758581648%2C-112.28793780000001&amp;z=18"/>
    <x v="2"/>
    <x v="0"/>
    <x v="19"/>
    <x v="10"/>
    <x v="0"/>
    <x v="6"/>
    <x v="20"/>
    <x v="24"/>
  </r>
  <r>
    <s v="(KG) JLR LEHI (NO TOURS)15"/>
    <x v="11"/>
    <x v="1"/>
    <x v="3"/>
    <x v="2"/>
    <x v="73"/>
    <x v="3"/>
    <s v="https://tools.sig.systems/site/details/145"/>
    <m/>
    <x v="1"/>
    <x v="0"/>
    <x v="54"/>
    <x v="0"/>
    <x v="0"/>
    <x v="49"/>
    <x v="11"/>
    <x v="73"/>
  </r>
  <r>
    <s v="(KG) Texan CDJR15"/>
    <x v="11"/>
    <x v="1"/>
    <x v="1"/>
    <x v="1"/>
    <x v="13"/>
    <x v="1"/>
    <s v="https://tools.sig.systems/site/details/238"/>
    <s v="https://www.google.com/maps/d/edit?mid=1FNqK4dW8Z8gtSWuQLbStrtqe7lH8DIQ&amp;usp=sharing"/>
    <x v="1"/>
    <x v="0"/>
    <x v="12"/>
    <x v="0"/>
    <x v="5"/>
    <x v="11"/>
    <x v="13"/>
    <x v="13"/>
  </r>
  <r>
    <s v="(ML) Columbia Honda (NO TOURS)15"/>
    <x v="11"/>
    <x v="1"/>
    <x v="1"/>
    <x v="1"/>
    <x v="75"/>
    <x v="1"/>
    <s v="https://tools.sig.systems/site/details/272"/>
    <s v="https://www.google.com/maps/d/viewer?hl=es&amp;mid=1C1oZdjH3dNvCvqdpIv_Lk0Yn1OCVn-4&amp;ll=38.965368114274426%2C-92.3405954&amp;z=15"/>
    <x v="1"/>
    <x v="0"/>
    <x v="3"/>
    <x v="26"/>
    <x v="0"/>
    <x v="50"/>
    <x v="56"/>
    <x v="75"/>
  </r>
  <r>
    <s v="(ML) Joe Machens Kia of Columbia15"/>
    <x v="11"/>
    <x v="1"/>
    <x v="1"/>
    <x v="1"/>
    <x v="107"/>
    <x v="1"/>
    <s v="https://tools.sig.systems/site/details/270"/>
    <s v="https://www.google.com/maps/d/viewer?hl=es&amp;mid=1C1oZdjH3dNvCvqdpIv_Lk0Yn1OCVn-4&amp;ll=38.965368114274455%2C-92.3405954&amp;z=15"/>
    <x v="1"/>
    <x v="0"/>
    <x v="3"/>
    <x v="39"/>
    <x v="0"/>
    <x v="6"/>
    <x v="78"/>
    <x v="106"/>
  </r>
  <r>
    <s v="(ML) McLarty Gray-Daniels Toyota Nissan15"/>
    <x v="11"/>
    <x v="1"/>
    <x v="1"/>
    <x v="1"/>
    <x v="108"/>
    <x v="1"/>
    <s v="https://tools.sig.systems/site/details/152"/>
    <s v="https://www.google.com/maps/d/edit?mid=111nhCL4Xjj2Pq0zP5xUrMzHQqAihqa0&amp;usp=sharing"/>
    <x v="1"/>
    <x v="0"/>
    <x v="3"/>
    <x v="40"/>
    <x v="0"/>
    <x v="72"/>
    <x v="79"/>
    <x v="107"/>
  </r>
  <r>
    <s v="(PE) BMW of Mamaroneck (NO TOURS)15"/>
    <x v="11"/>
    <x v="1"/>
    <x v="4"/>
    <x v="0"/>
    <x v="111"/>
    <x v="0"/>
    <s v="https://tools.sig.systems/site/details/185"/>
    <m/>
    <x v="1"/>
    <x v="0"/>
    <x v="76"/>
    <x v="41"/>
    <x v="0"/>
    <x v="6"/>
    <x v="82"/>
    <x v="110"/>
  </r>
  <r>
    <s v="(RV) Toms Camperland Mesa (NO TOURS)15"/>
    <x v="11"/>
    <x v="1"/>
    <x v="5"/>
    <x v="3"/>
    <x v="25"/>
    <x v="4"/>
    <s v="https://tools.sig.systems/site/details/222"/>
    <m/>
    <x v="1"/>
    <x v="0"/>
    <x v="20"/>
    <x v="0"/>
    <x v="0"/>
    <x v="6"/>
    <x v="21"/>
    <x v="25"/>
  </r>
  <r>
    <s v="(SCH) Chevrolet North Palm15"/>
    <x v="11"/>
    <x v="1"/>
    <x v="0"/>
    <x v="0"/>
    <x v="52"/>
    <x v="0"/>
    <s v="https://tools.sig.systems/site/details/160"/>
    <m/>
    <x v="3"/>
    <x v="0"/>
    <x v="39"/>
    <x v="0"/>
    <x v="0"/>
    <x v="6"/>
    <x v="38"/>
    <x v="52"/>
  </r>
  <r>
    <s v="(AS) Bill Estes Ford (NO TOURS)15"/>
    <x v="11"/>
    <x v="2"/>
    <x v="0"/>
    <x v="0"/>
    <x v="55"/>
    <x v="0"/>
    <s v="https://tools.sig.systems/site/details/125"/>
    <m/>
    <x v="1"/>
    <x v="0"/>
    <x v="3"/>
    <x v="21"/>
    <x v="0"/>
    <x v="36"/>
    <x v="41"/>
    <x v="55"/>
  </r>
  <r>
    <s v="(AS) Park Place Mercedes Benz Arlington (NO TOURS)15"/>
    <x v="11"/>
    <x v="2"/>
    <x v="1"/>
    <x v="1"/>
    <x v="61"/>
    <x v="1"/>
    <s v="https://tools.sig.systems/site/details/169"/>
    <m/>
    <x v="1"/>
    <x v="0"/>
    <x v="46"/>
    <x v="0"/>
    <x v="11"/>
    <x v="41"/>
    <x v="46"/>
    <x v="61"/>
  </r>
  <r>
    <s v="(HUD) Nissan Greensboro15"/>
    <x v="11"/>
    <x v="2"/>
    <x v="0"/>
    <x v="0"/>
    <x v="12"/>
    <x v="0"/>
    <s v="https://tools.sig.systems/site/details/236"/>
    <s v="https://www.google.com/maps/d/viewer?mid=1ejOzT7-x6RWnCf83BBP7XhiOiwEX3Wk&amp;ll=36.061264791292906%2C-79.87437695000003&amp;z=17"/>
    <x v="1"/>
    <x v="0"/>
    <x v="11"/>
    <x v="0"/>
    <x v="0"/>
    <x v="6"/>
    <x v="12"/>
    <x v="12"/>
  </r>
  <r>
    <s v="(KG) Hyundai Surprise15"/>
    <x v="11"/>
    <x v="2"/>
    <x v="5"/>
    <x v="3"/>
    <x v="103"/>
    <x v="4"/>
    <s v="https://tools.sig.systems/site/details/269"/>
    <m/>
    <x v="4"/>
    <x v="0"/>
    <x v="73"/>
    <x v="0"/>
    <x v="0"/>
    <x v="71"/>
    <x v="11"/>
    <x v="102"/>
  </r>
  <r>
    <s v="(KG) Texan GMC Buick (NO TOURS)15"/>
    <x v="11"/>
    <x v="2"/>
    <x v="1"/>
    <x v="1"/>
    <x v="41"/>
    <x v="1"/>
    <s v="https://tools.sig.systems/site/details/225"/>
    <s v="https://www.google.com/maps/d/edit?mid=1FNqK4dW8Z8gtSWuQLbStrtqe7lH8DIQ&amp;usp=sharing"/>
    <x v="1"/>
    <x v="0"/>
    <x v="31"/>
    <x v="0"/>
    <x v="0"/>
    <x v="31"/>
    <x v="33"/>
    <x v="41"/>
  </r>
  <r>
    <s v="(LM) Luther Mazda / Mitsubishi15"/>
    <x v="11"/>
    <x v="2"/>
    <x v="1"/>
    <x v="1"/>
    <x v="74"/>
    <x v="1"/>
    <s v="https://tools.sig.systems/site/details/147"/>
    <s v="https://www.google.com/maps/d/viewer?mid=1ot0ILX76JMuvd9yMuqkb4_e0yH1n7TA&amp;ll=45.07815812965141%2C-93.33506855000002&amp;z=17"/>
    <x v="1"/>
    <x v="0"/>
    <x v="55"/>
    <x v="0"/>
    <x v="12"/>
    <x v="6"/>
    <x v="55"/>
    <x v="74"/>
  </r>
  <r>
    <s v="(ML) Joe Machens CDJR15"/>
    <x v="11"/>
    <x v="2"/>
    <x v="1"/>
    <x v="1"/>
    <x v="43"/>
    <x v="1"/>
    <s v="https://tools.sig.systems/site/details/273"/>
    <s v="https://www.google.com/maps/d/viewer?hl=es&amp;mid=1C1oZdjH3dNvCvqdpIv_Lk0Yn1OCVn-4&amp;ll=38.965368114274455%2C-92.3405954&amp;z=15"/>
    <x v="1"/>
    <x v="0"/>
    <x v="3"/>
    <x v="16"/>
    <x v="0"/>
    <x v="6"/>
    <x v="35"/>
    <x v="43"/>
  </r>
  <r>
    <s v="(RV) Toms Camperland Surprise (NO TOURS)15"/>
    <x v="11"/>
    <x v="2"/>
    <x v="5"/>
    <x v="3"/>
    <x v="51"/>
    <x v="4"/>
    <s v="https://tools.sig.systems/site/details/254"/>
    <m/>
    <x v="5"/>
    <x v="0"/>
    <x v="38"/>
    <x v="0"/>
    <x v="0"/>
    <x v="6"/>
    <x v="37"/>
    <x v="51"/>
  </r>
  <r>
    <s v="SIG Office15"/>
    <x v="11"/>
    <x v="2"/>
    <x v="2"/>
    <x v="0"/>
    <x v="85"/>
    <x v="2"/>
    <s v="https://tools.sig.systems/site/details/163"/>
    <m/>
    <x v="1"/>
    <x v="0"/>
    <x v="3"/>
    <x v="0"/>
    <x v="0"/>
    <x v="6"/>
    <x v="60"/>
    <x v="85"/>
  </r>
  <r>
    <s v="(AS) Park Place Volvo Sales (NO TOURS)15"/>
    <x v="11"/>
    <x v="3"/>
    <x v="1"/>
    <x v="1"/>
    <x v="33"/>
    <x v="1"/>
    <s v="https://tools.sig.systems/site/details/139"/>
    <s v="https://www.google.com/maps/d/edit?hl=es&amp;mid=1uPmsRMsXnp74hPFW2t-sp2totVWF_xY&amp;ll=32.83050137713022%2C-96.83197783061323&amp;z=17"/>
    <x v="1"/>
    <x v="0"/>
    <x v="26"/>
    <x v="0"/>
    <x v="0"/>
    <x v="26"/>
    <x v="27"/>
    <x v="33"/>
  </r>
  <r>
    <s v="(DT) Denver (NO TOURS)15"/>
    <x v="11"/>
    <x v="3"/>
    <x v="3"/>
    <x v="2"/>
    <x v="97"/>
    <x v="3"/>
    <s v="https://tools.sig.systems/site/details/203"/>
    <s v="https://www.google.com/maps/d/edit?mid=1AjZHz2LTg0RMhZUOmyZsv_Y4MFcaP8g&amp;usp=sharing"/>
    <x v="1"/>
    <x v="0"/>
    <x v="3"/>
    <x v="25"/>
    <x v="0"/>
    <x v="6"/>
    <x v="69"/>
    <x v="96"/>
  </r>
  <r>
    <s v="(DT) N. Houston15"/>
    <x v="11"/>
    <x v="3"/>
    <x v="1"/>
    <x v="1"/>
    <x v="9"/>
    <x v="1"/>
    <s v="https://tools.sig.systems/site/details/250"/>
    <m/>
    <x v="1"/>
    <x v="0"/>
    <x v="8"/>
    <x v="0"/>
    <x v="0"/>
    <x v="8"/>
    <x v="9"/>
    <x v="9"/>
  </r>
  <r>
    <s v="(HUD) CDJR of Greensboro15"/>
    <x v="11"/>
    <x v="3"/>
    <x v="0"/>
    <x v="0"/>
    <x v="68"/>
    <x v="6"/>
    <s v="https://tools.sig.systems/site/details/215"/>
    <s v="https://www.google.com/maps/d/viewer?mid=1ejOzT7-x6RWnCf83BBP7XhiOiwEX3Wk&amp;ll=36.061264791292906%2C-79.87437695000003&amp;z=17"/>
    <x v="3"/>
    <x v="0"/>
    <x v="50"/>
    <x v="0"/>
    <x v="0"/>
    <x v="45"/>
    <x v="51"/>
    <x v="68"/>
  </r>
  <r>
    <s v="(KG) Big Star CDJR of Clear Lake15"/>
    <x v="11"/>
    <x v="3"/>
    <x v="1"/>
    <x v="1"/>
    <x v="101"/>
    <x v="1"/>
    <s v="https://tools.sig.systems/site/details/232"/>
    <s v="https://www.google.com/maps/d/edit?mid=1DRwy5fy1g5UzGTA7a1OkQA-_CY8SQ2s&amp;usp=sharing"/>
    <x v="1"/>
    <x v="0"/>
    <x v="71"/>
    <x v="0"/>
    <x v="0"/>
    <x v="69"/>
    <x v="73"/>
    <x v="100"/>
  </r>
  <r>
    <s v="(ML) Joe Machens Ford Lincoln I &amp; II15"/>
    <x v="11"/>
    <x v="3"/>
    <x v="1"/>
    <x v="1"/>
    <x v="77"/>
    <x v="1"/>
    <s v="https://tools.sig.systems/site/details/266"/>
    <s v="https://www.google.com/maps/d/viewer?hl=es&amp;mid=1C1oZdjH3dNvCvqdpIv_Lk0Yn1OCVn-4&amp;ll=38.965368114274455%2C-92.3405954&amp;z=15"/>
    <x v="1"/>
    <x v="0"/>
    <x v="3"/>
    <x v="27"/>
    <x v="0"/>
    <x v="52"/>
    <x v="11"/>
    <x v="77"/>
  </r>
  <r>
    <s v="(ML) Joe Machens VW15"/>
    <x v="11"/>
    <x v="3"/>
    <x v="1"/>
    <x v="1"/>
    <x v="19"/>
    <x v="1"/>
    <s v="https://tools.sig.systems/site/details/274"/>
    <s v="https://www.google.com/maps/d/viewer?hl=es&amp;mid=1C1oZdjH3dNvCvqdpIv_Lk0Yn1OCVn-4&amp;ll=38.965368114274455%2C-92.3405954&amp;z=15"/>
    <x v="1"/>
    <x v="0"/>
    <x v="3"/>
    <x v="8"/>
    <x v="0"/>
    <x v="17"/>
    <x v="11"/>
    <x v="19"/>
  </r>
  <r>
    <s v="(ML) Nissan of Little Rock15"/>
    <x v="11"/>
    <x v="3"/>
    <x v="1"/>
    <x v="1"/>
    <x v="46"/>
    <x v="1"/>
    <s v="https://tools.sig.systems/site/details/224"/>
    <s v="https://www.google.com/maps/d/viewer?mid=1hvbKFMO-d5TXrKGU-g5dt_xcdArB1D0&amp;ll=34.71147784120261%2C-92.40574350000001&amp;z=17"/>
    <x v="1"/>
    <x v="0"/>
    <x v="34"/>
    <x v="0"/>
    <x v="0"/>
    <x v="34"/>
    <x v="7"/>
    <x v="46"/>
  </r>
  <r>
    <s v="(PE) BMW of Greenwich (NO TOURS)15"/>
    <x v="11"/>
    <x v="3"/>
    <x v="4"/>
    <x v="0"/>
    <x v="110"/>
    <x v="0"/>
    <s v="https://tools.sig.systems/site/details/186"/>
    <s v="https://www.google.com/maps/d/edit?hl=en&amp;mid=1UHmt7tH1ihTa85i0MfQIcTfVvIQg_vM&amp;ll=41.024187580466844%2C-73.63702405370861&amp;z=18"/>
    <x v="1"/>
    <x v="0"/>
    <x v="75"/>
    <x v="0"/>
    <x v="0"/>
    <x v="6"/>
    <x v="81"/>
    <x v="109"/>
  </r>
  <r>
    <s v="(AS) Mercedes Benz/Porsche Dallas I,II,III (NO TOURS)15"/>
    <x v="11"/>
    <x v="4"/>
    <x v="1"/>
    <x v="1"/>
    <x v="2"/>
    <x v="1"/>
    <s v="https://tools.sig.systems/site/details/168"/>
    <s v="https://www.google.com/maps/d/edit?hl=es&amp;mid=1uPmsRMsXnp74hPFW2t-sp2totVWF_xY&amp;ll=32.83050137713022%2C-96.83197783061323&amp;z=17"/>
    <x v="1"/>
    <x v="0"/>
    <x v="2"/>
    <x v="0"/>
    <x v="2"/>
    <x v="2"/>
    <x v="2"/>
    <x v="2"/>
  </r>
  <r>
    <s v="(HUD) Honda Greensboro15"/>
    <x v="11"/>
    <x v="4"/>
    <x v="0"/>
    <x v="0"/>
    <x v="37"/>
    <x v="0"/>
    <s v="https://tools.sig.systems/site/details/230"/>
    <s v="AS/ HUD - Crown Greensboro - Google My Maps"/>
    <x v="1"/>
    <x v="0"/>
    <x v="28"/>
    <x v="0"/>
    <x v="0"/>
    <x v="28"/>
    <x v="31"/>
    <x v="37"/>
  </r>
  <r>
    <s v="(HUD) Honda of Southpoint15"/>
    <x v="11"/>
    <x v="4"/>
    <x v="0"/>
    <x v="0"/>
    <x v="11"/>
    <x v="0"/>
    <s v="https://tools.sig.systems/site/details/195"/>
    <m/>
    <x v="0"/>
    <x v="0"/>
    <x v="10"/>
    <x v="4"/>
    <x v="0"/>
    <x v="10"/>
    <x v="11"/>
    <x v="11"/>
  </r>
  <r>
    <s v="(ML) BMW of Little Rock15"/>
    <x v="11"/>
    <x v="4"/>
    <x v="1"/>
    <x v="1"/>
    <x v="105"/>
    <x v="1"/>
    <s v="https://tools.sig.systems/site/details/217"/>
    <s v="https://www.google.com/maps/d/viewer?mid=1hvbKFMO-d5TXrKGU-g5dt_xcdArB1D0&amp;ll=34.71147784120261%2C-92.40574350000001&amp;z=17"/>
    <x v="1"/>
    <x v="0"/>
    <x v="3"/>
    <x v="38"/>
    <x v="0"/>
    <x v="6"/>
    <x v="76"/>
    <x v="104"/>
  </r>
  <r>
    <s v="(ML) Joe Machens Toyota15"/>
    <x v="11"/>
    <x v="4"/>
    <x v="1"/>
    <x v="1"/>
    <x v="18"/>
    <x v="1"/>
    <s v="https://tools.sig.systems/site/details/275"/>
    <s v="https://www.google.com/maps/d/viewer?hl=es&amp;mid=1C1oZdjH3dNvCvqdpIv_Lk0Yn1OCVn-4&amp;ll=38.965368114274455%2C-92.3405954&amp;z=15"/>
    <x v="1"/>
    <x v="0"/>
    <x v="3"/>
    <x v="7"/>
    <x v="0"/>
    <x v="16"/>
    <x v="11"/>
    <x v="18"/>
  </r>
  <r>
    <s v="(PE) JLR PDI (NO TOURS)15"/>
    <x v="11"/>
    <x v="4"/>
    <x v="4"/>
    <x v="0"/>
    <x v="50"/>
    <x v="0"/>
    <s v="https://tools.sig.systems/site/details/179"/>
    <s v="https://www.google.com/maps/d/viewer?mid=1ubI2iKs1JyYXssuT4oLPnVvFnyLPi_s&amp;ll=40.878808846788026%2C-73.98560655&amp;z=17"/>
    <x v="1"/>
    <x v="0"/>
    <x v="37"/>
    <x v="0"/>
    <x v="0"/>
    <x v="6"/>
    <x v="11"/>
    <x v="50"/>
  </r>
  <r>
    <s v="(AS) Mike Shaw Subaru Greeley (NO TOURS)15"/>
    <x v="11"/>
    <x v="5"/>
    <x v="3"/>
    <x v="2"/>
    <x v="91"/>
    <x v="3"/>
    <s v="https://tools.sig.systems/site/details/174"/>
    <s v="https://www.google.com/maps/d/viewer?mid=1gN2lJ0iT7m5VNhD7aDcxE8AdXqtcOZc&amp;ll=40.396096737592195%2C-104.746842&amp;z=16"/>
    <x v="1"/>
    <x v="0"/>
    <x v="65"/>
    <x v="32"/>
    <x v="0"/>
    <x v="61"/>
    <x v="11"/>
    <x v="91"/>
  </r>
  <r>
    <s v="(AS) Nalley Lexus &amp; Remote Lot Roswell (NO TOURS)15"/>
    <x v="11"/>
    <x v="5"/>
    <x v="2"/>
    <x v="0"/>
    <x v="4"/>
    <x v="2"/>
    <s v="https://tools.sig.systems/site/details/131"/>
    <s v="https://www.google.com/maps/d/edit?mid=1jkN3DS1BhUqp_dztjjW0PDwKfo_Yxsw&amp;usp=sharing"/>
    <x v="1"/>
    <x v="1"/>
    <x v="4"/>
    <x v="1"/>
    <x v="3"/>
    <x v="4"/>
    <x v="4"/>
    <x v="4"/>
  </r>
  <r>
    <s v="(AS) Park Place Sprinter Van Center (NO TOURS)15"/>
    <x v="11"/>
    <x v="5"/>
    <x v="1"/>
    <x v="1"/>
    <x v="6"/>
    <x v="1"/>
    <s v="https://tools.sig.systems/site/details/138"/>
    <s v="https://www.google.com/maps/d/edit?hl=es&amp;mid=1uPmsRMsXnp74hPFW2t-sp2totVWF_xY&amp;ll=32.83050137713022%2C-96.83197783061323&amp;z=17"/>
    <x v="1"/>
    <x v="0"/>
    <x v="6"/>
    <x v="0"/>
    <x v="0"/>
    <x v="6"/>
    <x v="6"/>
    <x v="6"/>
  </r>
  <r>
    <s v="(AS) Stevinson Chevrolet Golden (NO TOURS)15"/>
    <x v="11"/>
    <x v="5"/>
    <x v="7"/>
    <x v="2"/>
    <x v="96"/>
    <x v="3"/>
    <s v="https://tools.sig.systems/site/details/264"/>
    <s v="https://www.google.com/maps/d/edit?mid=1nAyK85WaWREy0lfxnmWn3USs2gC0nP0&amp;usp=sharing"/>
    <x v="1"/>
    <x v="0"/>
    <x v="3"/>
    <x v="36"/>
    <x v="0"/>
    <x v="66"/>
    <x v="68"/>
    <x v="95"/>
  </r>
  <r>
    <s v="(HUD) Paint and Body Center (NO TOURS)15"/>
    <x v="11"/>
    <x v="5"/>
    <x v="0"/>
    <x v="0"/>
    <x v="38"/>
    <x v="0"/>
    <s v="https://tools.sig.systems/site/details/256"/>
    <s v="https://www.google.com/maps/d/viewer?mid=1ejOzT7-x6RWnCf83BBP7XhiOiwEX3Wk&amp;ll=36.061264791292906%2C-79.87437695000003&amp;z=17"/>
    <x v="1"/>
    <x v="0"/>
    <x v="3"/>
    <x v="9"/>
    <x v="0"/>
    <x v="6"/>
    <x v="11"/>
    <x v="38"/>
  </r>
  <r>
    <s v="(KG) Truck Center Remote Storage Lot15"/>
    <x v="11"/>
    <x v="5"/>
    <x v="2"/>
    <x v="2"/>
    <x v="14"/>
    <x v="2"/>
    <s v="https://tools.sig.systems/site/details/144"/>
    <m/>
    <x v="1"/>
    <x v="0"/>
    <x v="13"/>
    <x v="5"/>
    <x v="0"/>
    <x v="12"/>
    <x v="14"/>
    <x v="14"/>
  </r>
  <r>
    <s v="(ML) Joe Machens E Collision Center15"/>
    <x v="11"/>
    <x v="5"/>
    <x v="1"/>
    <x v="1"/>
    <x v="76"/>
    <x v="1"/>
    <s v="https://tools.sig.systems/site/details/277"/>
    <s v="https://www.google.com/maps/d/viewer?hl=es&amp;mid=1C1oZdjH3dNvCvqdpIv_Lk0Yn1OCVn-4&amp;ll=38.965368114274455%2C-92.3405954&amp;z=15"/>
    <x v="1"/>
    <x v="0"/>
    <x v="6"/>
    <x v="0"/>
    <x v="0"/>
    <x v="51"/>
    <x v="57"/>
    <x v="76"/>
  </r>
  <r>
    <s v="(ML) Nissan of North Little Rock15"/>
    <x v="11"/>
    <x v="5"/>
    <x v="1"/>
    <x v="1"/>
    <x v="20"/>
    <x v="1"/>
    <s v="https://tools.sig.systems/site/details/216"/>
    <s v="https://www.google.com/maps/d/edit?mid=1Oky35ERk_2kgyzCvDu_odQ2ZP62BtqA&amp;usp=sharing"/>
    <x v="1"/>
    <x v="0"/>
    <x v="16"/>
    <x v="0"/>
    <x v="0"/>
    <x v="18"/>
    <x v="17"/>
    <x v="20"/>
  </r>
  <r>
    <s v="(SCH) Prep Center Delray15"/>
    <x v="11"/>
    <x v="5"/>
    <x v="0"/>
    <x v="0"/>
    <x v="53"/>
    <x v="0"/>
    <s v="https://tools.sig.systems/site/details/321"/>
    <m/>
    <x v="1"/>
    <x v="0"/>
    <x v="40"/>
    <x v="0"/>
    <x v="0"/>
    <x v="6"/>
    <x v="39"/>
    <x v="53"/>
  </r>
  <r>
    <s v="(AS) Atwell Prep Center-Dallas (NO TOURS)15"/>
    <x v="11"/>
    <x v="6"/>
    <x v="1"/>
    <x v="1"/>
    <x v="86"/>
    <x v="1"/>
    <s v="https://tools.sig.systems/site/details/165"/>
    <s v="https://www.google.com/maps/d/edit?hl=es&amp;mid=1uPmsRMsXnp74hPFW2t-sp2totVWF_xY&amp;ll=32.83050137713022%2C-96.83197783061323&amp;z=17"/>
    <x v="1"/>
    <x v="0"/>
    <x v="61"/>
    <x v="0"/>
    <x v="0"/>
    <x v="6"/>
    <x v="28"/>
    <x v="86"/>
  </r>
  <r>
    <s v="(AS) Park Place Mercedes Benz Ft. Worth (NO TOURS)15"/>
    <x v="11"/>
    <x v="6"/>
    <x v="1"/>
    <x v="1"/>
    <x v="5"/>
    <x v="1"/>
    <s v="https://tools.sig.systems/site/details/137"/>
    <s v="https://www.google.com/maps/d/edit?mid=18OEO_KbvYcgI3N1jE4gTMXfNHTNDrFU&amp;ll=32.66603989958274%2C-97.42021198201722&amp;z=18"/>
    <x v="1"/>
    <x v="0"/>
    <x v="5"/>
    <x v="0"/>
    <x v="4"/>
    <x v="5"/>
    <x v="5"/>
    <x v="5"/>
  </r>
  <r>
    <s v="(AS) Stevinson Toyota West (NO TOURS)15"/>
    <x v="11"/>
    <x v="6"/>
    <x v="3"/>
    <x v="2"/>
    <x v="8"/>
    <x v="3"/>
    <s v="https://tools.sig.systems/site/details/240"/>
    <s v="https://www.google.com/maps/d/edit?mid=1nAyK85WaWREy0lfxnmWn3USs2gC0nP0&amp;usp=sharing"/>
    <x v="1"/>
    <x v="0"/>
    <x v="3"/>
    <x v="3"/>
    <x v="0"/>
    <x v="7"/>
    <x v="8"/>
    <x v="8"/>
  </r>
  <r>
    <s v="(DT) Louisville15"/>
    <x v="11"/>
    <x v="6"/>
    <x v="0"/>
    <x v="0"/>
    <x v="67"/>
    <x v="0"/>
    <s v="https://tools.sig.systems/site/details/258"/>
    <m/>
    <x v="1"/>
    <x v="0"/>
    <x v="3"/>
    <x v="16"/>
    <x v="0"/>
    <x v="6"/>
    <x v="50"/>
    <x v="67"/>
  </r>
  <r>
    <s v="(KG) Big Star Ford15"/>
    <x v="11"/>
    <x v="6"/>
    <x v="1"/>
    <x v="1"/>
    <x v="102"/>
    <x v="1"/>
    <s v="https://tools.sig.systems/site/details/235"/>
    <m/>
    <x v="1"/>
    <x v="0"/>
    <x v="72"/>
    <x v="0"/>
    <x v="0"/>
    <x v="70"/>
    <x v="74"/>
    <x v="101"/>
  </r>
  <r>
    <s v="(ML) Honda of Little Rock15"/>
    <x v="11"/>
    <x v="6"/>
    <x v="1"/>
    <x v="1"/>
    <x v="16"/>
    <x v="1"/>
    <s v="https://tools.sig.systems/site/details/249"/>
    <s v="https://www.google.com/maps/d/viewer?mid=1hvbKFMO-d5TXrKGU-g5dt_xcdArB1D0&amp;ll=34.71147784120261%2C-92.40574350000001&amp;z=17"/>
    <x v="1"/>
    <x v="0"/>
    <x v="15"/>
    <x v="0"/>
    <x v="0"/>
    <x v="14"/>
    <x v="15"/>
    <x v="16"/>
  </r>
  <r>
    <s v="(ML) Joe Machens Temporary 2.015"/>
    <x v="11"/>
    <x v="6"/>
    <x v="1"/>
    <x v="1"/>
    <x v="44"/>
    <x v="1"/>
    <s v="https://tools.sig.systems/site/details/278"/>
    <s v="https://www.google.com/maps/d/viewer?hl=es&amp;mid=1C1oZdjH3dNvCvqdpIv_Lk0Yn1OCVn-4&amp;ll=38.965368114274455%2C-92.3405954&amp;z=15"/>
    <x v="1"/>
    <x v="0"/>
    <x v="3"/>
    <x v="17"/>
    <x v="0"/>
    <x v="33"/>
    <x v="11"/>
    <x v="44"/>
  </r>
  <r>
    <s v="(PE) BMW Tenafly (NO TOURS)15"/>
    <x v="11"/>
    <x v="6"/>
    <x v="4"/>
    <x v="0"/>
    <x v="48"/>
    <x v="0"/>
    <s v="https://tools.sig.systems/site/details/155"/>
    <m/>
    <x v="1"/>
    <x v="0"/>
    <x v="36"/>
    <x v="18"/>
    <x v="0"/>
    <x v="6"/>
    <x v="19"/>
    <x v="48"/>
  </r>
  <r>
    <s v="(SCH) Auto Body Shop Lake Park15"/>
    <x v="11"/>
    <x v="6"/>
    <x v="0"/>
    <x v="0"/>
    <x v="83"/>
    <x v="0"/>
    <s v="https://tools.sig.systems/site/details/158"/>
    <m/>
    <x v="1"/>
    <x v="0"/>
    <x v="59"/>
    <x v="0"/>
    <x v="0"/>
    <x v="6"/>
    <x v="11"/>
    <x v="83"/>
  </r>
  <r>
    <s v="(AS) Courtesy Honda Palm Harbor (NO TOURS)15"/>
    <x v="11"/>
    <x v="7"/>
    <x v="0"/>
    <x v="0"/>
    <x v="88"/>
    <x v="0"/>
    <s v="https://tools.sig.systems/site/details/176"/>
    <m/>
    <x v="3"/>
    <x v="0"/>
    <x v="63"/>
    <x v="0"/>
    <x v="0"/>
    <x v="58"/>
    <x v="24"/>
    <x v="88"/>
  </r>
  <r>
    <s v="(AS) Park Place Bodywerks Dallas (NO TOURS)15"/>
    <x v="11"/>
    <x v="7"/>
    <x v="1"/>
    <x v="1"/>
    <x v="59"/>
    <x v="1"/>
    <s v="https://tools.sig.systems/site/details/166"/>
    <s v="https://www.google.com/maps/d/edit?hl=es&amp;mid=1uPmsRMsXnp74hPFW2t-sp2totVWF_xY&amp;ll=32.83050137713022%2C-96.83197783061323&amp;z=17"/>
    <x v="1"/>
    <x v="0"/>
    <x v="44"/>
    <x v="9"/>
    <x v="0"/>
    <x v="6"/>
    <x v="45"/>
    <x v="59"/>
  </r>
  <r>
    <s v="(AS) Stevinson Porsche of Littleton (NO TOURS)15"/>
    <x v="11"/>
    <x v="7"/>
    <x v="3"/>
    <x v="2"/>
    <x v="7"/>
    <x v="3"/>
    <s v="https://tools.sig.systems/site/details/242"/>
    <m/>
    <x v="1"/>
    <x v="0"/>
    <x v="7"/>
    <x v="2"/>
    <x v="0"/>
    <x v="6"/>
    <x v="7"/>
    <x v="7"/>
  </r>
  <r>
    <s v="(DT) Wichita15"/>
    <x v="11"/>
    <x v="7"/>
    <x v="1"/>
    <x v="1"/>
    <x v="36"/>
    <x v="1"/>
    <s v="https://tools.sig.systems/site/details/257"/>
    <m/>
    <x v="1"/>
    <x v="0"/>
    <x v="3"/>
    <x v="15"/>
    <x v="0"/>
    <x v="6"/>
    <x v="30"/>
    <x v="36"/>
  </r>
  <r>
    <s v="(JE) Jim Ellis Ford Sandy Springs15"/>
    <x v="11"/>
    <x v="7"/>
    <x v="0"/>
    <x v="0"/>
    <x v="69"/>
    <x v="0"/>
    <s v="https://tools.sig.systems/site/details/142"/>
    <m/>
    <x v="1"/>
    <x v="0"/>
    <x v="51"/>
    <x v="0"/>
    <x v="0"/>
    <x v="46"/>
    <x v="52"/>
    <x v="69"/>
  </r>
  <r>
    <s v="(KG) Big Star Honda15"/>
    <x v="11"/>
    <x v="7"/>
    <x v="1"/>
    <x v="1"/>
    <x v="72"/>
    <x v="1"/>
    <s v="https://tools.sig.systems/site/details/231"/>
    <m/>
    <x v="1"/>
    <x v="0"/>
    <x v="53"/>
    <x v="0"/>
    <x v="0"/>
    <x v="48"/>
    <x v="54"/>
    <x v="72"/>
  </r>
  <r>
    <s v="(ML) Collision Center N Little Rock15"/>
    <x v="11"/>
    <x v="7"/>
    <x v="1"/>
    <x v="1"/>
    <x v="106"/>
    <x v="1"/>
    <s v="https://tools.sig.systems/site/details/212"/>
    <s v="https://www.google.com/maps/d/edit?mid=1Oky35ERk_2kgyzCvDu_odQ2ZP62BtqA&amp;usp=sharing"/>
    <x v="1"/>
    <x v="0"/>
    <x v="3"/>
    <x v="0"/>
    <x v="0"/>
    <x v="6"/>
    <x v="77"/>
    <x v="105"/>
  </r>
  <r>
    <s v="(ML) Joe Machens Nissan15"/>
    <x v="11"/>
    <x v="7"/>
    <x v="1"/>
    <x v="1"/>
    <x v="78"/>
    <x v="1"/>
    <s v="https://tools.sig.systems/site/details/279"/>
    <s v="https://www.google.com/maps/d/viewer?hl=es&amp;mid=1C1oZdjH3dNvCvqdpIv_Lk0Yn1OCVn-4&amp;ll=38.965368114274455%2C-92.3405954&amp;z=15"/>
    <x v="1"/>
    <x v="0"/>
    <x v="3"/>
    <x v="28"/>
    <x v="0"/>
    <x v="6"/>
    <x v="11"/>
    <x v="78"/>
  </r>
  <r>
    <s v="(TC) Tavernier Creek Marina (NO TOURS)15"/>
    <x v="11"/>
    <x v="7"/>
    <x v="0"/>
    <x v="0"/>
    <x v="84"/>
    <x v="1"/>
    <s v="https://tools.sig.systems/site/details/164"/>
    <m/>
    <x v="6"/>
    <x v="0"/>
    <x v="60"/>
    <x v="0"/>
    <x v="0"/>
    <x v="6"/>
    <x v="59"/>
    <x v="84"/>
  </r>
  <r>
    <s v="(AS) Audi of North Atlanta (NO TOURS)15"/>
    <x v="11"/>
    <x v="8"/>
    <x v="0"/>
    <x v="0"/>
    <x v="87"/>
    <x v="0"/>
    <s v="https://tools.sig.systems/site/details/124"/>
    <s v="https://www.google.com/maps/d/edit?mid=1jkN3DS1BhUqp_dztjjW0PDwKfo_Yxsw&amp;usp=sharing"/>
    <x v="1"/>
    <x v="0"/>
    <x v="62"/>
    <x v="0"/>
    <x v="0"/>
    <x v="57"/>
    <x v="61"/>
    <x v="87"/>
  </r>
  <r>
    <s v="(AS) Park Place MB Recon Center Dallas (NO TOURS)15"/>
    <x v="11"/>
    <x v="8"/>
    <x v="1"/>
    <x v="1"/>
    <x v="60"/>
    <x v="1"/>
    <s v="https://tools.sig.systems/site/details/170"/>
    <s v="https://www.google.com/maps/d/edit?hl=es&amp;mid=1uPmsRMsXnp74hPFW2t-sp2totVWF_xY&amp;ll=32.83050137713022%2C-96.83197783061323&amp;z=17"/>
    <x v="1"/>
    <x v="0"/>
    <x v="45"/>
    <x v="0"/>
    <x v="0"/>
    <x v="40"/>
    <x v="19"/>
    <x v="60"/>
  </r>
  <r>
    <s v="(AS) Stevinson Lexus of Lakewood (NO TOURS)15"/>
    <x v="11"/>
    <x v="8"/>
    <x v="3"/>
    <x v="2"/>
    <x v="34"/>
    <x v="3"/>
    <s v="https://tools.sig.systems/site/details/260"/>
    <s v="https://www.google.com/maps/d/edit?mid=1nAyK85WaWREy0lfxnmWn3USs2gC0nP0&amp;usp=sharing"/>
    <x v="1"/>
    <x v="0"/>
    <x v="3"/>
    <x v="14"/>
    <x v="8"/>
    <x v="6"/>
    <x v="28"/>
    <x v="34"/>
  </r>
  <r>
    <s v="(ML) Ford Lincoln of North Little Rock15"/>
    <x v="11"/>
    <x v="8"/>
    <x v="1"/>
    <x v="1"/>
    <x v="42"/>
    <x v="1"/>
    <s v="https://tools.sig.systems/site/details/214"/>
    <s v="https://www.google.com/maps/d/edit?mid=1Oky35ERk_2kgyzCvDu_odQ2ZP62BtqA&amp;usp=sharing"/>
    <x v="1"/>
    <x v="0"/>
    <x v="32"/>
    <x v="4"/>
    <x v="0"/>
    <x v="32"/>
    <x v="34"/>
    <x v="42"/>
  </r>
  <r>
    <s v="(SCH) Delray I &amp; II15"/>
    <x v="11"/>
    <x v="8"/>
    <x v="0"/>
    <x v="0"/>
    <x v="26"/>
    <x v="0"/>
    <s v="https://tools.sig.systems/site/details/159"/>
    <m/>
    <x v="3"/>
    <x v="0"/>
    <x v="21"/>
    <x v="11"/>
    <x v="6"/>
    <x v="6"/>
    <x v="22"/>
    <x v="26"/>
  </r>
  <r>
    <s v="(WAG) Greeley Chrysler Dodge Jeep Ram (NO TOURS)15"/>
    <x v="11"/>
    <x v="8"/>
    <x v="3"/>
    <x v="2"/>
    <x v="115"/>
    <x v="3"/>
    <s v="https://tools.sig.systems/site/details/130"/>
    <s v="https://www.google.com/maps/d/viewer?mid=1gN2lJ0iT7m5VNhD7aDcxE8AdXqtcOZc&amp;ll=40.396096737592195%2C-104.746842&amp;z=16"/>
    <x v="1"/>
    <x v="0"/>
    <x v="77"/>
    <x v="42"/>
    <x v="0"/>
    <x v="77"/>
    <x v="85"/>
    <x v="114"/>
  </r>
  <r>
    <s v="(AS) Nalley Luxury Collision Center (NO TOURS)15"/>
    <x v="11"/>
    <x v="9"/>
    <x v="0"/>
    <x v="0"/>
    <x v="31"/>
    <x v="0"/>
    <s v="https://tools.sig.systems/site/details/263"/>
    <s v="https://www.google.com/maps/d/edit?mid=1jkN3DS1BhUqp_dztjjW0PDwKfo_Yxsw&amp;usp=sharing"/>
    <x v="1"/>
    <x v="0"/>
    <x v="4"/>
    <x v="0"/>
    <x v="0"/>
    <x v="6"/>
    <x v="26"/>
    <x v="31"/>
  </r>
  <r>
    <s v="(AS) Park Place Volvo Service Center (NO TOURS)15"/>
    <x v="11"/>
    <x v="9"/>
    <x v="1"/>
    <x v="1"/>
    <x v="62"/>
    <x v="1"/>
    <s v="https://tools.sig.systems/site/details/171"/>
    <s v="https://www.google.com/maps/d/edit?hl=es&amp;mid=1uPmsRMsXnp74hPFW2t-sp2totVWF_xY&amp;ll=32.83050137713022%2C-96.83197783061323&amp;z=17"/>
    <x v="1"/>
    <x v="0"/>
    <x v="47"/>
    <x v="0"/>
    <x v="0"/>
    <x v="42"/>
    <x v="11"/>
    <x v="62"/>
  </r>
  <r>
    <s v="(DT) El Cajon (NO TOURS)15"/>
    <x v="11"/>
    <x v="9"/>
    <x v="5"/>
    <x v="4"/>
    <x v="66"/>
    <x v="4"/>
    <s v="https://tools.sig.systems/site/details/241"/>
    <m/>
    <x v="1"/>
    <x v="0"/>
    <x v="3"/>
    <x v="16"/>
    <x v="0"/>
    <x v="6"/>
    <x v="11"/>
    <x v="66"/>
  </r>
  <r>
    <s v="(ML) Toyota N Little Rock15"/>
    <x v="11"/>
    <x v="9"/>
    <x v="1"/>
    <x v="1"/>
    <x v="21"/>
    <x v="1"/>
    <s v="https://tools.sig.systems/site/details/201"/>
    <s v="https://www.google.com/maps/d/edit?mid=1Oky35ERk_2kgyzCvDu_odQ2ZP62BtqA&amp;usp=sharing"/>
    <x v="1"/>
    <x v="0"/>
    <x v="17"/>
    <x v="0"/>
    <x v="0"/>
    <x v="19"/>
    <x v="11"/>
    <x v="21"/>
  </r>
  <r>
    <s v="(SCH) West Palm Beach I, II &amp; III15"/>
    <x v="11"/>
    <x v="9"/>
    <x v="6"/>
    <x v="0"/>
    <x v="54"/>
    <x v="0"/>
    <s v="https://tools.sig.systems/site/details/162"/>
    <m/>
    <x v="3"/>
    <x v="2"/>
    <x v="41"/>
    <x v="20"/>
    <x v="10"/>
    <x v="6"/>
    <x v="40"/>
    <x v="54"/>
  </r>
  <r>
    <s v="(AS) Courtesy CDJR of Brandon (NO TOURS)15"/>
    <x v="11"/>
    <x v="10"/>
    <x v="0"/>
    <x v="0"/>
    <x v="56"/>
    <x v="0"/>
    <s v="https://tools.sig.systems/site/details/126"/>
    <s v="https://www.google.com/maps/d/edit?mid=15R4hTDQx56ij99--JgozdqOIZh-kSlk&amp;usp=sharing"/>
    <x v="0"/>
    <x v="0"/>
    <x v="42"/>
    <x v="9"/>
    <x v="0"/>
    <x v="37"/>
    <x v="42"/>
    <x v="56"/>
  </r>
  <r>
    <s v="(AS) David McDavid Lincoln Frisco (NO TOURS)15"/>
    <x v="11"/>
    <x v="10"/>
    <x v="1"/>
    <x v="1"/>
    <x v="58"/>
    <x v="1"/>
    <s v="https://tools.sig.systems/site/details/182"/>
    <m/>
    <x v="1"/>
    <x v="0"/>
    <x v="43"/>
    <x v="0"/>
    <x v="0"/>
    <x v="39"/>
    <x v="44"/>
    <x v="58"/>
  </r>
  <r>
    <s v="(AS) Lexus Smyrna (NO TOURS)15"/>
    <x v="11"/>
    <x v="10"/>
    <x v="0"/>
    <x v="0"/>
    <x v="30"/>
    <x v="0"/>
    <s v="https://tools.sig.systems/site/details/133"/>
    <m/>
    <x v="1"/>
    <x v="0"/>
    <x v="24"/>
    <x v="0"/>
    <x v="0"/>
    <x v="24"/>
    <x v="25"/>
    <x v="30"/>
  </r>
  <r>
    <s v="(AS) Nalley BMW Collision Center (NO TOURS)15"/>
    <x v="11"/>
    <x v="10"/>
    <x v="0"/>
    <x v="0"/>
    <x v="3"/>
    <x v="0"/>
    <s v="https://tools.sig.systems/site/details/220"/>
    <m/>
    <x v="1"/>
    <x v="0"/>
    <x v="3"/>
    <x v="1"/>
    <x v="0"/>
    <x v="3"/>
    <x v="3"/>
    <x v="3"/>
  </r>
  <r>
    <s v="(DT) Albuquerque15"/>
    <x v="11"/>
    <x v="10"/>
    <x v="3"/>
    <x v="2"/>
    <x v="35"/>
    <x v="3"/>
    <s v="https://tools.sig.systems/site/details/237"/>
    <m/>
    <x v="1"/>
    <x v="0"/>
    <x v="27"/>
    <x v="0"/>
    <x v="0"/>
    <x v="27"/>
    <x v="29"/>
    <x v="35"/>
  </r>
  <r>
    <s v="(ML) Mazda VW-Lot B15"/>
    <x v="11"/>
    <x v="10"/>
    <x v="1"/>
    <x v="1"/>
    <x v="45"/>
    <x v="1"/>
    <s v="https://tools.sig.systems/site/details/205"/>
    <s v="https://www.google.com/maps/d/edit?mid=1Oky35ERk_2kgyzCvDu_odQ2ZP62BtqA&amp;usp=sharing"/>
    <x v="1"/>
    <x v="0"/>
    <x v="33"/>
    <x v="9"/>
    <x v="0"/>
    <x v="30"/>
    <x v="11"/>
    <x v="45"/>
  </r>
  <r>
    <s v="(ML) Volvo Collision Corp15"/>
    <x v="11"/>
    <x v="10"/>
    <x v="1"/>
    <x v="1"/>
    <x v="47"/>
    <x v="1"/>
    <s v="https://tools.sig.systems/site/details/223"/>
    <m/>
    <x v="1"/>
    <x v="0"/>
    <x v="35"/>
    <x v="1"/>
    <x v="0"/>
    <x v="35"/>
    <x v="11"/>
    <x v="47"/>
  </r>
  <r>
    <s v="(PE) Fairfield Collision (NO TOURS)15"/>
    <x v="11"/>
    <x v="10"/>
    <x v="4"/>
    <x v="0"/>
    <x v="22"/>
    <x v="0"/>
    <s v="https://tools.sig.systems/site/details/191"/>
    <m/>
    <x v="1"/>
    <x v="0"/>
    <x v="18"/>
    <x v="0"/>
    <x v="0"/>
    <x v="6"/>
    <x v="18"/>
    <x v="22"/>
  </r>
  <r>
    <s v="(AS) Courtesy Kia of Brandon (NO TOURS)15"/>
    <x v="11"/>
    <x v="11"/>
    <x v="0"/>
    <x v="0"/>
    <x v="57"/>
    <x v="0"/>
    <s v="https://tools.sig.systems/site/details/121"/>
    <s v="https://www.google.com/maps/d/edit?mid=15R4hTDQx56ij99--JgozdqOIZh-kSlk&amp;usp=sharing"/>
    <x v="0"/>
    <x v="0"/>
    <x v="3"/>
    <x v="22"/>
    <x v="0"/>
    <x v="38"/>
    <x v="43"/>
    <x v="57"/>
  </r>
  <r>
    <s v="(DT) Colorado Springs (NO TOURS)15"/>
    <x v="11"/>
    <x v="11"/>
    <x v="3"/>
    <x v="2"/>
    <x v="65"/>
    <x v="3"/>
    <s v="https://tools.sig.systems/site/details/198"/>
    <m/>
    <x v="1"/>
    <x v="0"/>
    <x v="3"/>
    <x v="24"/>
    <x v="0"/>
    <x v="6"/>
    <x v="49"/>
    <x v="65"/>
  </r>
  <r>
    <s v="(KG) Kia of Phoenix (NO TOURS)15"/>
    <x v="11"/>
    <x v="11"/>
    <x v="5"/>
    <x v="3"/>
    <x v="40"/>
    <x v="4"/>
    <s v="https://tools.sig.systems/site/details/262"/>
    <m/>
    <x v="4"/>
    <x v="0"/>
    <x v="30"/>
    <x v="0"/>
    <x v="0"/>
    <x v="30"/>
    <x v="11"/>
    <x v="40"/>
  </r>
  <r>
    <s v="(KT) Northwest CDJR (NO TOURS)15"/>
    <x v="11"/>
    <x v="11"/>
    <x v="1"/>
    <x v="1"/>
    <x v="15"/>
    <x v="1"/>
    <s v="https://tools.sig.systems/site/details/229"/>
    <m/>
    <x v="1"/>
    <x v="0"/>
    <x v="14"/>
    <x v="0"/>
    <x v="0"/>
    <x v="13"/>
    <x v="11"/>
    <x v="15"/>
  </r>
  <r>
    <s v="(MK) McKenny Salinas Honda15"/>
    <x v="11"/>
    <x v="11"/>
    <x v="0"/>
    <x v="0"/>
    <x v="104"/>
    <x v="0"/>
    <s v="https://tools.sig.systems/site/details/149"/>
    <m/>
    <x v="1"/>
    <x v="0"/>
    <x v="3"/>
    <x v="37"/>
    <x v="0"/>
    <x v="6"/>
    <x v="75"/>
    <x v="103"/>
  </r>
  <r>
    <s v="(ML) Joe Machens Capital City I &amp; II (NO TOURS)15"/>
    <x v="11"/>
    <x v="11"/>
    <x v="1"/>
    <x v="1"/>
    <x v="17"/>
    <x v="1"/>
    <s v="https://tools.sig.systems/site/details/271"/>
    <m/>
    <x v="1"/>
    <x v="0"/>
    <x v="3"/>
    <x v="6"/>
    <x v="0"/>
    <x v="15"/>
    <x v="16"/>
    <x v="17"/>
  </r>
  <r>
    <s v="(ML) Nissan Of Benton15"/>
    <x v="11"/>
    <x v="11"/>
    <x v="1"/>
    <x v="1"/>
    <x v="80"/>
    <x v="1"/>
    <s v="https://tools.sig.systems/site/details/247"/>
    <m/>
    <x v="1"/>
    <x v="0"/>
    <x v="57"/>
    <x v="0"/>
    <x v="0"/>
    <x v="54"/>
    <x v="11"/>
    <x v="80"/>
  </r>
  <r>
    <s v="(PE) Mercedes Benz &amp; Smart Bldg. of Fairfield (NO TOURS)15"/>
    <x v="11"/>
    <x v="11"/>
    <x v="4"/>
    <x v="0"/>
    <x v="23"/>
    <x v="0"/>
    <s v="https://tools.sig.systems/site/details/192"/>
    <s v="https://www.google.com/maps/d/viewer?mid=1FEo41PzFJQjUIXXKitX5TNCtuqR6Vbs&amp;ll=41.1663376742533%2C-73.22955662049608&amp;z=16"/>
    <x v="1"/>
    <x v="0"/>
    <x v="3"/>
    <x v="9"/>
    <x v="0"/>
    <x v="20"/>
    <x v="19"/>
    <x v="23"/>
  </r>
  <r>
    <s v="(RV) Sonny's Camp N Travel Concord15"/>
    <x v="11"/>
    <x v="11"/>
    <x v="0"/>
    <x v="0"/>
    <x v="114"/>
    <x v="0"/>
    <s v="https://tools.sig.systems/site/details/183"/>
    <m/>
    <x v="1"/>
    <x v="0"/>
    <x v="6"/>
    <x v="0"/>
    <x v="0"/>
    <x v="76"/>
    <x v="84"/>
    <x v="113"/>
  </r>
  <r>
    <s v="(AS) Coggin Acura Ft Pierce (NO TOURS)15"/>
    <x v="11"/>
    <x v="12"/>
    <x v="0"/>
    <x v="0"/>
    <x v="27"/>
    <x v="0"/>
    <s v="https://tools.sig.systems/site/details/118"/>
    <s v="https://www.google.com/maps/d/viewer?mid=1AyViBuyeq7iwDua1SVudJ2A1BYi3IBA&amp;ll=27.38181516363982%2C-80.32568845000002&amp;z=18"/>
    <x v="1"/>
    <x v="0"/>
    <x v="3"/>
    <x v="12"/>
    <x v="0"/>
    <x v="21"/>
    <x v="19"/>
    <x v="27"/>
  </r>
  <r>
    <s v="(AS) Courtesy Hyundai/Nissan Tampa (NO TOURS)15"/>
    <x v="11"/>
    <x v="12"/>
    <x v="0"/>
    <x v="0"/>
    <x v="89"/>
    <x v="0"/>
    <s v="https://tools.sig.systems/site/details/128"/>
    <m/>
    <x v="0"/>
    <x v="0"/>
    <x v="64"/>
    <x v="0"/>
    <x v="0"/>
    <x v="59"/>
    <x v="62"/>
    <x v="89"/>
  </r>
  <r>
    <s v="(AS) David McDavid Honda I &amp; II (NO TOURS)15"/>
    <x v="11"/>
    <x v="12"/>
    <x v="1"/>
    <x v="1"/>
    <x v="90"/>
    <x v="1"/>
    <s v="https://tools.sig.systems/site/details/129"/>
    <m/>
    <x v="1"/>
    <x v="0"/>
    <x v="3"/>
    <x v="31"/>
    <x v="0"/>
    <x v="60"/>
    <x v="63"/>
    <x v="90"/>
  </r>
  <r>
    <s v="(AS) Park Place JLR DFW Airport (NO TOURS)15"/>
    <x v="11"/>
    <x v="12"/>
    <x v="1"/>
    <x v="1"/>
    <x v="93"/>
    <x v="1"/>
    <s v="https://tools.sig.systems/site/details/135"/>
    <m/>
    <x v="1"/>
    <x v="0"/>
    <x v="67"/>
    <x v="33"/>
    <x v="13"/>
    <x v="63"/>
    <x v="65"/>
    <x v="93"/>
  </r>
  <r>
    <s v="(AS) Plano Auction (NO SPEAKERS)15"/>
    <x v="11"/>
    <x v="12"/>
    <x v="1"/>
    <x v="1"/>
    <x v="94"/>
    <x v="1"/>
    <s v="https://tools.sig.systems/site/details/140"/>
    <m/>
    <x v="1"/>
    <x v="0"/>
    <x v="3"/>
    <x v="34"/>
    <x v="0"/>
    <x v="64"/>
    <x v="66"/>
    <x v="94"/>
  </r>
  <r>
    <s v="(PE) Honda of Danbury (NO TOURS)15"/>
    <x v="11"/>
    <x v="12"/>
    <x v="4"/>
    <x v="0"/>
    <x v="49"/>
    <x v="0"/>
    <s v="https://tools.sig.systems/site/details/190"/>
    <m/>
    <x v="1"/>
    <x v="0"/>
    <x v="3"/>
    <x v="19"/>
    <x v="9"/>
    <x v="6"/>
    <x v="36"/>
    <x v="49"/>
  </r>
  <r>
    <s v="(AS) Coggin Mercedes Benz Ft Pierce (NO TOURS)15"/>
    <x v="11"/>
    <x v="13"/>
    <x v="0"/>
    <x v="0"/>
    <x v="28"/>
    <x v="0"/>
    <s v="https://tools.sig.systems/site/details/127"/>
    <s v="https://www.google.com/maps/d/viewer?mid=1AyViBuyeq7iwDua1SVudJ2A1BYi3IBA&amp;ll=27.38181516363982%2C-80.32568845000002&amp;z=18"/>
    <x v="1"/>
    <x v="0"/>
    <x v="22"/>
    <x v="13"/>
    <x v="0"/>
    <x v="22"/>
    <x v="23"/>
    <x v="28"/>
  </r>
  <r>
    <s v="(AS) Lexus Grapevine I &amp; II (NO TOURS)15"/>
    <x v="11"/>
    <x v="13"/>
    <x v="1"/>
    <x v="1"/>
    <x v="29"/>
    <x v="1"/>
    <s v="https://tools.sig.systems/site/details/136"/>
    <m/>
    <x v="1"/>
    <x v="0"/>
    <x v="23"/>
    <x v="0"/>
    <x v="7"/>
    <x v="23"/>
    <x v="24"/>
    <x v="29"/>
  </r>
  <r>
    <s v="(AS) Park Place Acura (NO TOURS)15"/>
    <x v="11"/>
    <x v="13"/>
    <x v="1"/>
    <x v="1"/>
    <x v="32"/>
    <x v="1"/>
    <s v="https://tools.sig.systems/site/details/259"/>
    <s v="https://www.google.com/maps/d/viewer?mid=1wg5suxVuxeNp_irHlvN772HcwD6W89E&amp;ll=33.06373951220261%2C-96.82758025000001&amp;z=18"/>
    <x v="1"/>
    <x v="0"/>
    <x v="25"/>
    <x v="0"/>
    <x v="0"/>
    <x v="25"/>
    <x v="11"/>
    <x v="32"/>
  </r>
  <r>
    <s v="(AS) Plaza Lexus/Mercedes/BMW (NO TOURS)15"/>
    <x v="11"/>
    <x v="13"/>
    <x v="1"/>
    <x v="1"/>
    <x v="63"/>
    <x v="1"/>
    <s v="https://tools.sig.systems/site/details/141"/>
    <s v="https://www.google.com/maps/d/viewer?mid=1whGZ1PLqmhJnGFz8uigZqUL4cHGGW3w&amp;ll=38.668847686454825%2C-90.4433601&amp;z=17"/>
    <x v="1"/>
    <x v="0"/>
    <x v="48"/>
    <x v="23"/>
    <x v="0"/>
    <x v="43"/>
    <x v="47"/>
    <x v="63"/>
  </r>
  <r>
    <s v="(HUD) BMW of Greensboro15"/>
    <x v="11"/>
    <x v="13"/>
    <x v="0"/>
    <x v="0"/>
    <x v="100"/>
    <x v="0"/>
    <s v="https://tools.sig.systems/site/details/219"/>
    <s v="https://www.google.com/maps/d/viewer?mid=1ejOzT7-x6RWnCf83BBP7XhiOiwEX3Wk&amp;ll=36.061264791292906%2C-79.87437695000003&amp;z=17"/>
    <x v="1"/>
    <x v="0"/>
    <x v="70"/>
    <x v="0"/>
    <x v="0"/>
    <x v="68"/>
    <x v="72"/>
    <x v="99"/>
  </r>
  <r>
    <s v="(ML) McLarty-Gray Daniels Chevrolet15"/>
    <x v="11"/>
    <x v="13"/>
    <x v="1"/>
    <x v="1"/>
    <x v="109"/>
    <x v="1"/>
    <s v="https://tools.sig.systems/site/details/150"/>
    <m/>
    <x v="1"/>
    <x v="0"/>
    <x v="74"/>
    <x v="0"/>
    <x v="0"/>
    <x v="73"/>
    <x v="80"/>
    <x v="108"/>
  </r>
  <r>
    <s v="(AS) Coggin Honda Ft. Pierce (NO TOURS)15"/>
    <x v="11"/>
    <x v="14"/>
    <x v="0"/>
    <x v="0"/>
    <x v="0"/>
    <x v="0"/>
    <s v="https://tools.sig.systems/site/details/120"/>
    <s v="https://www.google.com/maps/d/viewer?mid=1AyViBuyeq7iwDua1SVudJ2A1BYi3IBA&amp;ll=27.38181516363982%2C-80.32568845000002&amp;z=18"/>
    <x v="0"/>
    <x v="0"/>
    <x v="0"/>
    <x v="0"/>
    <x v="0"/>
    <x v="0"/>
    <x v="0"/>
    <x v="0"/>
  </r>
  <r>
    <s v="(AS) Lexus Plano I &amp; II (NO TOURS)15"/>
    <x v="11"/>
    <x v="14"/>
    <x v="1"/>
    <x v="1"/>
    <x v="1"/>
    <x v="1"/>
    <s v="https://tools.sig.systems/site/details/167"/>
    <s v="https://www.google.com/maps/d/viewer?mid=1wg5suxVuxeNp_irHlvN772HcwD6W89E&amp;ll=33.06373951220261%2C-96.82758025000001&amp;z=18"/>
    <x v="1"/>
    <x v="0"/>
    <x v="1"/>
    <x v="0"/>
    <x v="1"/>
    <x v="1"/>
    <x v="1"/>
    <x v="1"/>
  </r>
  <r>
    <s v="(AS) Plaza Audi/Infiniti (NO TOURS)15"/>
    <x v="11"/>
    <x v="14"/>
    <x v="1"/>
    <x v="1"/>
    <x v="95"/>
    <x v="1"/>
    <s v="https://tools.sig.systems/site/details/141"/>
    <s v="https://www.google.com/maps/d/viewer?mid=1whGZ1PLqmhJnGFz8uigZqUL4cHGGW3w&amp;ll=38.668847686454825%2C-90.4433601&amp;z=17"/>
    <x v="1"/>
    <x v="0"/>
    <x v="68"/>
    <x v="35"/>
    <x v="0"/>
    <x v="65"/>
    <x v="67"/>
    <x v="63"/>
  </r>
  <r>
    <s v="(AS) Stevinson JLR (NO TOURS)15"/>
    <x v="11"/>
    <x v="14"/>
    <x v="3"/>
    <x v="2"/>
    <x v="64"/>
    <x v="3"/>
    <s v="https://tools.sig.systems/site/details/204"/>
    <m/>
    <x v="1"/>
    <x v="0"/>
    <x v="49"/>
    <x v="1"/>
    <x v="0"/>
    <x v="44"/>
    <x v="48"/>
    <x v="64"/>
  </r>
  <r>
    <s v="(DT) Escondido15"/>
    <x v="11"/>
    <x v="14"/>
    <x v="5"/>
    <x v="4"/>
    <x v="98"/>
    <x v="5"/>
    <s v="https://tools.sig.systems/site/details/196"/>
    <m/>
    <x v="1"/>
    <x v="4"/>
    <x v="20"/>
    <x v="0"/>
    <x v="0"/>
    <x v="6"/>
    <x v="70"/>
    <x v="97"/>
  </r>
  <r>
    <s v="(KG) Baytown GMC Buick - Remote Lot (NO TOURS)15"/>
    <x v="11"/>
    <x v="14"/>
    <x v="2"/>
    <x v="1"/>
    <x v="70"/>
    <x v="2"/>
    <s v="https://tools.sig.systems/site/details/311"/>
    <m/>
    <x v="1"/>
    <x v="3"/>
    <x v="3"/>
    <x v="25"/>
    <x v="0"/>
    <x v="6"/>
    <x v="11"/>
    <x v="70"/>
  </r>
  <r>
    <s v="(KG) Baytown GMC Buick (NO TOURS)15"/>
    <x v="11"/>
    <x v="14"/>
    <x v="1"/>
    <x v="1"/>
    <x v="71"/>
    <x v="1"/>
    <s v="https://tools.sig.systems/site/details/239"/>
    <m/>
    <x v="1"/>
    <x v="0"/>
    <x v="52"/>
    <x v="0"/>
    <x v="0"/>
    <x v="47"/>
    <x v="53"/>
    <x v="71"/>
  </r>
  <r>
    <s v="(PE) JLR Darien PDI (NO TOURS)15"/>
    <x v="11"/>
    <x v="14"/>
    <x v="4"/>
    <x v="0"/>
    <x v="112"/>
    <x v="0"/>
    <s v="https://tools.sig.systems/site/details/187"/>
    <s v="https://www.google.com/maps/d/viewer?mid=1ebZp8DeTYSXNPgDIA63nFVDu9ohaO4E&amp;ll=41.08027837958441%2C-73.46597874999999&amp;z=15"/>
    <x v="1"/>
    <x v="0"/>
    <x v="6"/>
    <x v="0"/>
    <x v="0"/>
    <x v="74"/>
    <x v="83"/>
    <x v="111"/>
  </r>
  <r>
    <s v="(RML) Burleson Nissan15"/>
    <x v="11"/>
    <x v="14"/>
    <x v="1"/>
    <x v="1"/>
    <x v="82"/>
    <x v="1"/>
    <s v="https://tools.sig.systems/site/details/202"/>
    <m/>
    <x v="1"/>
    <x v="0"/>
    <x v="58"/>
    <x v="0"/>
    <x v="0"/>
    <x v="56"/>
    <x v="11"/>
    <x v="82"/>
  </r>
  <r>
    <s v="(AS) Park Place Bodywerks Ft. Worth (NO TOURS)16"/>
    <x v="12"/>
    <x v="0"/>
    <x v="1"/>
    <x v="1"/>
    <x v="92"/>
    <x v="1"/>
    <s v="https://tools.sig.systems/site/details/134"/>
    <s v="https://www.google.com/maps/d/edit?mid=18OEO_KbvYcgI3N1jE4gTMXfNHTNDrFU&amp;ll=32.66603989958274%2C-97.42021198201722&amp;z=18"/>
    <x v="1"/>
    <x v="0"/>
    <x v="66"/>
    <x v="0"/>
    <x v="0"/>
    <x v="62"/>
    <x v="64"/>
    <x v="92"/>
  </r>
  <r>
    <s v="(DT) N. Houston16"/>
    <x v="12"/>
    <x v="0"/>
    <x v="1"/>
    <x v="1"/>
    <x v="9"/>
    <x v="1"/>
    <s v="https://tools.sig.systems/site/details/250"/>
    <m/>
    <x v="1"/>
    <x v="0"/>
    <x v="8"/>
    <x v="0"/>
    <x v="0"/>
    <x v="8"/>
    <x v="9"/>
    <x v="9"/>
  </r>
  <r>
    <s v="(HUD) Acura of Greensboro16"/>
    <x v="12"/>
    <x v="0"/>
    <x v="0"/>
    <x v="0"/>
    <x v="99"/>
    <x v="0"/>
    <s v="https://tools.sig.systems/site/details/213"/>
    <s v="https://www.google.com/maps/d/viewer?mid=1ejOzT7-x6RWnCf83BBP7XhiOiwEX3Wk&amp;ll=0%2C0&amp;z=17"/>
    <x v="1"/>
    <x v="0"/>
    <x v="69"/>
    <x v="0"/>
    <x v="0"/>
    <x v="67"/>
    <x v="71"/>
    <x v="98"/>
  </r>
  <r>
    <s v="(KG) Clear Lake Pre-Owned16"/>
    <x v="12"/>
    <x v="0"/>
    <x v="1"/>
    <x v="1"/>
    <x v="39"/>
    <x v="1"/>
    <s v="https://tools.sig.systems/site/details/255"/>
    <s v="https://www.google.com/maps/d/edit?mid=1DRwy5fy1g5UzGTA7a1OkQA-_CY8SQ2s&amp;usp=sharing"/>
    <x v="1"/>
    <x v="0"/>
    <x v="29"/>
    <x v="0"/>
    <x v="0"/>
    <x v="29"/>
    <x v="32"/>
    <x v="39"/>
  </r>
  <r>
    <s v="(PE) Hudson Toyota Nissan CDJR (NO TOURS)16"/>
    <x v="12"/>
    <x v="0"/>
    <x v="4"/>
    <x v="0"/>
    <x v="81"/>
    <x v="0"/>
    <s v="https://tools.sig.systems/site/details/156"/>
    <m/>
    <x v="1"/>
    <x v="0"/>
    <x v="49"/>
    <x v="30"/>
    <x v="0"/>
    <x v="55"/>
    <x v="58"/>
    <x v="81"/>
  </r>
  <r>
    <s v="(PE) Scofield Service Center (NO TOURS)16"/>
    <x v="12"/>
    <x v="0"/>
    <x v="4"/>
    <x v="0"/>
    <x v="113"/>
    <x v="0"/>
    <s v="https://tools.sig.systems/site/details/193"/>
    <s v="https://www.google.com/maps/d/viewer?mid=1FEo41PzFJQjUIXXKitX5TNCtuqR6Vbs&amp;ll=41.1663376742533%2C-73.22955662049608&amp;z=16"/>
    <x v="1"/>
    <x v="0"/>
    <x v="6"/>
    <x v="0"/>
    <x v="0"/>
    <x v="75"/>
    <x v="51"/>
    <x v="112"/>
  </r>
  <r>
    <s v="(RV) Toms Camperland Avondale (NO TOURS)16"/>
    <x v="12"/>
    <x v="0"/>
    <x v="5"/>
    <x v="3"/>
    <x v="24"/>
    <x v="4"/>
    <s v="https://tools.sig.systems/site/details/248"/>
    <s v="https://www.google.com/maps/d/viewer?mid=1bDs0QGFZwL3vEeGKxjVMk_j4azr0-lg&amp;ll=33.4593758581648%2C-112.28793780000001&amp;z=18"/>
    <x v="2"/>
    <x v="0"/>
    <x v="19"/>
    <x v="10"/>
    <x v="0"/>
    <x v="6"/>
    <x v="20"/>
    <x v="24"/>
  </r>
  <r>
    <s v="(TC) Tavernier Creek Marina (NO TOURS)16"/>
    <x v="12"/>
    <x v="0"/>
    <x v="0"/>
    <x v="0"/>
    <x v="84"/>
    <x v="1"/>
    <s v="https://tools.sig.systems/site/details/164"/>
    <m/>
    <x v="6"/>
    <x v="0"/>
    <x v="60"/>
    <x v="0"/>
    <x v="0"/>
    <x v="6"/>
    <x v="59"/>
    <x v="84"/>
  </r>
  <r>
    <s v="(AS) Nalley Lexus &amp; Remote Lot Roswell (NO TOURS)16"/>
    <x v="12"/>
    <x v="1"/>
    <x v="2"/>
    <x v="0"/>
    <x v="4"/>
    <x v="2"/>
    <s v="https://tools.sig.systems/site/details/131"/>
    <s v="https://www.google.com/maps/d/edit?mid=1jkN3DS1BhUqp_dztjjW0PDwKfo_Yxsw&amp;usp=sharing"/>
    <x v="1"/>
    <x v="1"/>
    <x v="4"/>
    <x v="1"/>
    <x v="3"/>
    <x v="4"/>
    <x v="4"/>
    <x v="4"/>
  </r>
  <r>
    <s v="(KG) JLR LEHI (NO TOURS)16"/>
    <x v="12"/>
    <x v="1"/>
    <x v="3"/>
    <x v="2"/>
    <x v="73"/>
    <x v="3"/>
    <s v="https://tools.sig.systems/site/details/145"/>
    <m/>
    <x v="1"/>
    <x v="0"/>
    <x v="54"/>
    <x v="0"/>
    <x v="0"/>
    <x v="49"/>
    <x v="11"/>
    <x v="73"/>
  </r>
  <r>
    <s v="(KG) Texan CDJR16"/>
    <x v="12"/>
    <x v="1"/>
    <x v="1"/>
    <x v="1"/>
    <x v="13"/>
    <x v="1"/>
    <s v="https://tools.sig.systems/site/details/238"/>
    <s v="https://www.google.com/maps/d/edit?mid=1FNqK4dW8Z8gtSWuQLbStrtqe7lH8DIQ&amp;usp=sharing"/>
    <x v="1"/>
    <x v="0"/>
    <x v="12"/>
    <x v="0"/>
    <x v="5"/>
    <x v="11"/>
    <x v="13"/>
    <x v="13"/>
  </r>
  <r>
    <s v="(ML) Columbia Honda (NO TOURS)16"/>
    <x v="12"/>
    <x v="1"/>
    <x v="1"/>
    <x v="1"/>
    <x v="75"/>
    <x v="1"/>
    <s v="https://tools.sig.systems/site/details/272"/>
    <s v="https://www.google.com/maps/d/viewer?hl=es&amp;mid=1C1oZdjH3dNvCvqdpIv_Lk0Yn1OCVn-4&amp;ll=38.965368114274426%2C-92.3405954&amp;z=15"/>
    <x v="1"/>
    <x v="0"/>
    <x v="3"/>
    <x v="26"/>
    <x v="0"/>
    <x v="50"/>
    <x v="56"/>
    <x v="75"/>
  </r>
  <r>
    <s v="(ML) Toyota N Little Rock16"/>
    <x v="12"/>
    <x v="1"/>
    <x v="1"/>
    <x v="1"/>
    <x v="21"/>
    <x v="1"/>
    <s v="https://tools.sig.systems/site/details/201"/>
    <s v="https://www.google.com/maps/d/edit?mid=1Oky35ERk_2kgyzCvDu_odQ2ZP62BtqA&amp;usp=sharing"/>
    <x v="1"/>
    <x v="0"/>
    <x v="17"/>
    <x v="0"/>
    <x v="0"/>
    <x v="19"/>
    <x v="11"/>
    <x v="21"/>
  </r>
  <r>
    <s v="(PE) BMW of Mamaroneck (NO TOURS)16"/>
    <x v="12"/>
    <x v="1"/>
    <x v="4"/>
    <x v="0"/>
    <x v="111"/>
    <x v="0"/>
    <s v="https://tools.sig.systems/site/details/185"/>
    <m/>
    <x v="1"/>
    <x v="0"/>
    <x v="76"/>
    <x v="41"/>
    <x v="0"/>
    <x v="6"/>
    <x v="82"/>
    <x v="110"/>
  </r>
  <r>
    <s v="(RV) Toms Camperland Mesa (NO TOURS)16"/>
    <x v="12"/>
    <x v="1"/>
    <x v="5"/>
    <x v="3"/>
    <x v="25"/>
    <x v="4"/>
    <s v="https://tools.sig.systems/site/details/222"/>
    <m/>
    <x v="1"/>
    <x v="0"/>
    <x v="20"/>
    <x v="0"/>
    <x v="0"/>
    <x v="6"/>
    <x v="21"/>
    <x v="25"/>
  </r>
  <r>
    <s v="(AS) Bill Estes Ford (NO TOURS)16"/>
    <x v="12"/>
    <x v="2"/>
    <x v="0"/>
    <x v="0"/>
    <x v="55"/>
    <x v="0"/>
    <s v="https://tools.sig.systems/site/details/125"/>
    <m/>
    <x v="1"/>
    <x v="0"/>
    <x v="3"/>
    <x v="21"/>
    <x v="0"/>
    <x v="36"/>
    <x v="41"/>
    <x v="55"/>
  </r>
  <r>
    <s v="(AS) Park Place Mercedes Benz Arlington (NO TOURS)16"/>
    <x v="12"/>
    <x v="2"/>
    <x v="1"/>
    <x v="1"/>
    <x v="61"/>
    <x v="1"/>
    <s v="https://tools.sig.systems/site/details/169"/>
    <m/>
    <x v="1"/>
    <x v="0"/>
    <x v="46"/>
    <x v="0"/>
    <x v="11"/>
    <x v="41"/>
    <x v="46"/>
    <x v="61"/>
  </r>
  <r>
    <s v="(HUD) Nissan Greensboro16"/>
    <x v="12"/>
    <x v="2"/>
    <x v="0"/>
    <x v="0"/>
    <x v="12"/>
    <x v="0"/>
    <s v="https://tools.sig.systems/site/details/236"/>
    <s v="https://www.google.com/maps/d/viewer?mid=1ejOzT7-x6RWnCf83BBP7XhiOiwEX3Wk&amp;ll=36.061264791292906%2C-79.87437695000003&amp;z=17"/>
    <x v="1"/>
    <x v="0"/>
    <x v="11"/>
    <x v="0"/>
    <x v="0"/>
    <x v="6"/>
    <x v="12"/>
    <x v="12"/>
  </r>
  <r>
    <s v="(KG) Hyundai Surprise16"/>
    <x v="12"/>
    <x v="2"/>
    <x v="5"/>
    <x v="3"/>
    <x v="103"/>
    <x v="4"/>
    <s v="https://tools.sig.systems/site/details/269"/>
    <m/>
    <x v="4"/>
    <x v="0"/>
    <x v="73"/>
    <x v="0"/>
    <x v="0"/>
    <x v="71"/>
    <x v="11"/>
    <x v="102"/>
  </r>
  <r>
    <s v="(KG) Texan GMC Buick (NO TOURS)16"/>
    <x v="12"/>
    <x v="2"/>
    <x v="1"/>
    <x v="1"/>
    <x v="41"/>
    <x v="1"/>
    <s v="https://tools.sig.systems/site/details/225"/>
    <s v="https://www.google.com/maps/d/edit?mid=1FNqK4dW8Z8gtSWuQLbStrtqe7lH8DIQ&amp;usp=sharing"/>
    <x v="1"/>
    <x v="0"/>
    <x v="31"/>
    <x v="0"/>
    <x v="0"/>
    <x v="31"/>
    <x v="33"/>
    <x v="41"/>
  </r>
  <r>
    <s v="(LM) Luther Mazda / Mitsubishi16"/>
    <x v="12"/>
    <x v="2"/>
    <x v="1"/>
    <x v="1"/>
    <x v="74"/>
    <x v="1"/>
    <s v="https://tools.sig.systems/site/details/147"/>
    <s v="https://www.google.com/maps/d/viewer?mid=1ot0ILX76JMuvd9yMuqkb4_e0yH1n7TA&amp;ll=45.07815812965141%2C-93.33506855000002&amp;z=17"/>
    <x v="1"/>
    <x v="0"/>
    <x v="55"/>
    <x v="0"/>
    <x v="12"/>
    <x v="6"/>
    <x v="55"/>
    <x v="74"/>
  </r>
  <r>
    <s v="(ML) Joe Machens CDJR16"/>
    <x v="12"/>
    <x v="2"/>
    <x v="1"/>
    <x v="1"/>
    <x v="43"/>
    <x v="1"/>
    <s v="https://tools.sig.systems/site/details/273"/>
    <s v="https://www.google.com/maps/d/viewer?hl=es&amp;mid=1C1oZdjH3dNvCvqdpIv_Lk0Yn1OCVn-4&amp;ll=38.965368114274455%2C-92.3405954&amp;z=15"/>
    <x v="1"/>
    <x v="0"/>
    <x v="3"/>
    <x v="16"/>
    <x v="0"/>
    <x v="6"/>
    <x v="35"/>
    <x v="43"/>
  </r>
  <r>
    <s v="(RV) Toms Camperland Surprise (NO TOURS)16"/>
    <x v="12"/>
    <x v="2"/>
    <x v="5"/>
    <x v="3"/>
    <x v="51"/>
    <x v="4"/>
    <s v="https://tools.sig.systems/site/details/254"/>
    <m/>
    <x v="5"/>
    <x v="0"/>
    <x v="38"/>
    <x v="0"/>
    <x v="0"/>
    <x v="6"/>
    <x v="37"/>
    <x v="51"/>
  </r>
  <r>
    <s v="(AS) Park Place Volvo Sales (NO TOURS)16"/>
    <x v="12"/>
    <x v="3"/>
    <x v="1"/>
    <x v="1"/>
    <x v="33"/>
    <x v="1"/>
    <s v="https://tools.sig.systems/site/details/139"/>
    <s v="https://www.google.com/maps/d/edit?hl=es&amp;mid=1uPmsRMsXnp74hPFW2t-sp2totVWF_xY&amp;ll=32.83050137713022%2C-96.83197783061323&amp;z=17"/>
    <x v="1"/>
    <x v="0"/>
    <x v="26"/>
    <x v="0"/>
    <x v="0"/>
    <x v="26"/>
    <x v="27"/>
    <x v="33"/>
  </r>
  <r>
    <s v="(AS) Stevinson Chevrolet Golden (NO TOURS)16"/>
    <x v="12"/>
    <x v="3"/>
    <x v="7"/>
    <x v="2"/>
    <x v="96"/>
    <x v="3"/>
    <s v="https://tools.sig.systems/site/details/264"/>
    <s v="https://www.google.com/maps/d/edit?mid=1nAyK85WaWREy0lfxnmWn3USs2gC0nP0&amp;usp=sharing"/>
    <x v="1"/>
    <x v="0"/>
    <x v="3"/>
    <x v="36"/>
    <x v="0"/>
    <x v="66"/>
    <x v="68"/>
    <x v="95"/>
  </r>
  <r>
    <s v="(DT) Denver (NO TOURS)16"/>
    <x v="12"/>
    <x v="3"/>
    <x v="3"/>
    <x v="2"/>
    <x v="97"/>
    <x v="3"/>
    <s v="https://tools.sig.systems/site/details/203"/>
    <s v="https://www.google.com/maps/d/edit?mid=1AjZHz2LTg0RMhZUOmyZsv_Y4MFcaP8g&amp;usp=sharing"/>
    <x v="1"/>
    <x v="0"/>
    <x v="3"/>
    <x v="25"/>
    <x v="0"/>
    <x v="6"/>
    <x v="69"/>
    <x v="96"/>
  </r>
  <r>
    <s v="(DT) Louisville16"/>
    <x v="12"/>
    <x v="3"/>
    <x v="0"/>
    <x v="0"/>
    <x v="67"/>
    <x v="0"/>
    <s v="https://tools.sig.systems/site/details/258"/>
    <m/>
    <x v="1"/>
    <x v="0"/>
    <x v="3"/>
    <x v="16"/>
    <x v="0"/>
    <x v="6"/>
    <x v="50"/>
    <x v="67"/>
  </r>
  <r>
    <s v="(HUD) CDJR of Greensboro16"/>
    <x v="12"/>
    <x v="3"/>
    <x v="0"/>
    <x v="0"/>
    <x v="68"/>
    <x v="6"/>
    <s v="https://tools.sig.systems/site/details/215"/>
    <s v="https://www.google.com/maps/d/viewer?mid=1ejOzT7-x6RWnCf83BBP7XhiOiwEX3Wk&amp;ll=36.061264791292906%2C-79.87437695000003&amp;z=17"/>
    <x v="3"/>
    <x v="0"/>
    <x v="50"/>
    <x v="0"/>
    <x v="0"/>
    <x v="45"/>
    <x v="51"/>
    <x v="68"/>
  </r>
  <r>
    <s v="(KG) Big Star CDJR of Clear Lake16"/>
    <x v="12"/>
    <x v="3"/>
    <x v="1"/>
    <x v="1"/>
    <x v="101"/>
    <x v="1"/>
    <s v="https://tools.sig.systems/site/details/232"/>
    <s v="https://www.google.com/maps/d/edit?mid=1DRwy5fy1g5UzGTA7a1OkQA-_CY8SQ2s&amp;usp=sharing"/>
    <x v="1"/>
    <x v="0"/>
    <x v="71"/>
    <x v="0"/>
    <x v="0"/>
    <x v="69"/>
    <x v="73"/>
    <x v="100"/>
  </r>
  <r>
    <s v="(ML) Joe Machens VW16"/>
    <x v="12"/>
    <x v="3"/>
    <x v="1"/>
    <x v="1"/>
    <x v="19"/>
    <x v="1"/>
    <s v="https://tools.sig.systems/site/details/274"/>
    <s v="https://www.google.com/maps/d/viewer?hl=es&amp;mid=1C1oZdjH3dNvCvqdpIv_Lk0Yn1OCVn-4&amp;ll=38.965368114274455%2C-92.3405954&amp;z=15"/>
    <x v="1"/>
    <x v="0"/>
    <x v="3"/>
    <x v="8"/>
    <x v="0"/>
    <x v="17"/>
    <x v="11"/>
    <x v="19"/>
  </r>
  <r>
    <s v="(ML) Nissan of Little Rock16"/>
    <x v="12"/>
    <x v="3"/>
    <x v="1"/>
    <x v="1"/>
    <x v="46"/>
    <x v="1"/>
    <s v="https://tools.sig.systems/site/details/224"/>
    <s v="https://www.google.com/maps/d/viewer?mid=1hvbKFMO-d5TXrKGU-g5dt_xcdArB1D0&amp;ll=34.71147784120261%2C-92.40574350000001&amp;z=17"/>
    <x v="1"/>
    <x v="0"/>
    <x v="34"/>
    <x v="0"/>
    <x v="0"/>
    <x v="34"/>
    <x v="7"/>
    <x v="46"/>
  </r>
  <r>
    <s v="(PE) BMW of Greenwich (NO TOURS)16"/>
    <x v="12"/>
    <x v="3"/>
    <x v="4"/>
    <x v="0"/>
    <x v="110"/>
    <x v="0"/>
    <s v="https://tools.sig.systems/site/details/186"/>
    <s v="https://www.google.com/maps/d/edit?hl=en&amp;mid=1UHmt7tH1ihTa85i0MfQIcTfVvIQg_vM&amp;ll=41.024187580466844%2C-73.63702405370861&amp;z=18"/>
    <x v="1"/>
    <x v="0"/>
    <x v="75"/>
    <x v="0"/>
    <x v="0"/>
    <x v="6"/>
    <x v="81"/>
    <x v="109"/>
  </r>
  <r>
    <s v="(AS) Mercedes Benz/Porsche Dallas I,II,III (NO TOURS)16"/>
    <x v="12"/>
    <x v="4"/>
    <x v="1"/>
    <x v="1"/>
    <x v="2"/>
    <x v="1"/>
    <s v="https://tools.sig.systems/site/details/168"/>
    <s v="https://www.google.com/maps/d/edit?hl=es&amp;mid=1uPmsRMsXnp74hPFW2t-sp2totVWF_xY&amp;ll=32.83050137713022%2C-96.83197783061323&amp;z=17"/>
    <x v="1"/>
    <x v="0"/>
    <x v="2"/>
    <x v="0"/>
    <x v="2"/>
    <x v="2"/>
    <x v="2"/>
    <x v="2"/>
  </r>
  <r>
    <s v="(DT) Colorado Springs (NO TOURS)16"/>
    <x v="12"/>
    <x v="4"/>
    <x v="3"/>
    <x v="2"/>
    <x v="65"/>
    <x v="3"/>
    <s v="https://tools.sig.systems/site/details/198"/>
    <m/>
    <x v="1"/>
    <x v="0"/>
    <x v="3"/>
    <x v="24"/>
    <x v="0"/>
    <x v="6"/>
    <x v="49"/>
    <x v="65"/>
  </r>
  <r>
    <s v="(HUD) Honda Greensboro16"/>
    <x v="12"/>
    <x v="4"/>
    <x v="0"/>
    <x v="0"/>
    <x v="37"/>
    <x v="0"/>
    <s v="https://tools.sig.systems/site/details/230"/>
    <s v="AS/ HUD - Crown Greensboro - Google My Maps"/>
    <x v="1"/>
    <x v="0"/>
    <x v="28"/>
    <x v="0"/>
    <x v="0"/>
    <x v="28"/>
    <x v="31"/>
    <x v="37"/>
  </r>
  <r>
    <s v="(HUD) Honda of Southpoint16"/>
    <x v="12"/>
    <x v="4"/>
    <x v="0"/>
    <x v="0"/>
    <x v="11"/>
    <x v="0"/>
    <s v="https://tools.sig.systems/site/details/195"/>
    <m/>
    <x v="0"/>
    <x v="0"/>
    <x v="10"/>
    <x v="4"/>
    <x v="0"/>
    <x v="10"/>
    <x v="11"/>
    <x v="11"/>
  </r>
  <r>
    <s v="(ML) BMW of Little Rock16"/>
    <x v="12"/>
    <x v="4"/>
    <x v="1"/>
    <x v="1"/>
    <x v="105"/>
    <x v="1"/>
    <s v="https://tools.sig.systems/site/details/217"/>
    <s v="https://www.google.com/maps/d/viewer?mid=1hvbKFMO-d5TXrKGU-g5dt_xcdArB1D0&amp;ll=34.71147784120261%2C-92.40574350000001&amp;z=17"/>
    <x v="1"/>
    <x v="0"/>
    <x v="3"/>
    <x v="38"/>
    <x v="0"/>
    <x v="6"/>
    <x v="76"/>
    <x v="104"/>
  </r>
  <r>
    <s v="(ML) Joe Machens Toyota16"/>
    <x v="12"/>
    <x v="4"/>
    <x v="1"/>
    <x v="1"/>
    <x v="18"/>
    <x v="1"/>
    <s v="https://tools.sig.systems/site/details/275"/>
    <s v="https://www.google.com/maps/d/viewer?hl=es&amp;mid=1C1oZdjH3dNvCvqdpIv_Lk0Yn1OCVn-4&amp;ll=38.965368114274455%2C-92.3405954&amp;z=15"/>
    <x v="1"/>
    <x v="0"/>
    <x v="3"/>
    <x v="7"/>
    <x v="0"/>
    <x v="16"/>
    <x v="11"/>
    <x v="18"/>
  </r>
  <r>
    <s v="(PE) JLR PDI (NO TOURS)16"/>
    <x v="12"/>
    <x v="4"/>
    <x v="4"/>
    <x v="0"/>
    <x v="50"/>
    <x v="0"/>
    <s v="https://tools.sig.systems/site/details/179"/>
    <s v="https://www.google.com/maps/d/viewer?mid=1ubI2iKs1JyYXssuT4oLPnVvFnyLPi_s&amp;ll=40.878808846788026%2C-73.98560655&amp;z=17"/>
    <x v="1"/>
    <x v="0"/>
    <x v="37"/>
    <x v="0"/>
    <x v="0"/>
    <x v="6"/>
    <x v="11"/>
    <x v="50"/>
  </r>
  <r>
    <s v="(AS) Park Place Sprinter Van Center (NO TOURS)16"/>
    <x v="12"/>
    <x v="5"/>
    <x v="1"/>
    <x v="1"/>
    <x v="6"/>
    <x v="1"/>
    <s v="https://tools.sig.systems/site/details/138"/>
    <s v="https://www.google.com/maps/d/edit?hl=es&amp;mid=1uPmsRMsXnp74hPFW2t-sp2totVWF_xY&amp;ll=32.83050137713022%2C-96.83197783061323&amp;z=17"/>
    <x v="1"/>
    <x v="0"/>
    <x v="6"/>
    <x v="0"/>
    <x v="0"/>
    <x v="6"/>
    <x v="6"/>
    <x v="6"/>
  </r>
  <r>
    <s v="(HUD) Paint and Body Center (NO TOURS)16"/>
    <x v="12"/>
    <x v="5"/>
    <x v="0"/>
    <x v="0"/>
    <x v="38"/>
    <x v="0"/>
    <s v="https://tools.sig.systems/site/details/256"/>
    <s v="https://www.google.com/maps/d/viewer?mid=1ejOzT7-x6RWnCf83BBP7XhiOiwEX3Wk&amp;ll=36.061264791292906%2C-79.87437695000003&amp;z=17"/>
    <x v="1"/>
    <x v="0"/>
    <x v="3"/>
    <x v="9"/>
    <x v="0"/>
    <x v="6"/>
    <x v="11"/>
    <x v="38"/>
  </r>
  <r>
    <s v="(ML) Joe Machens E Collision Center16"/>
    <x v="12"/>
    <x v="5"/>
    <x v="1"/>
    <x v="1"/>
    <x v="76"/>
    <x v="1"/>
    <s v="https://tools.sig.systems/site/details/277"/>
    <s v="https://www.google.com/maps/d/viewer?hl=es&amp;mid=1C1oZdjH3dNvCvqdpIv_Lk0Yn1OCVn-4&amp;ll=38.965368114274455%2C-92.3405954&amp;z=15"/>
    <x v="1"/>
    <x v="0"/>
    <x v="6"/>
    <x v="0"/>
    <x v="0"/>
    <x v="51"/>
    <x v="57"/>
    <x v="76"/>
  </r>
  <r>
    <s v="(ML) Joe Machens Ford Lincoln I &amp; II16"/>
    <x v="12"/>
    <x v="5"/>
    <x v="1"/>
    <x v="1"/>
    <x v="77"/>
    <x v="1"/>
    <s v="https://tools.sig.systems/site/details/266"/>
    <s v="https://www.google.com/maps/d/viewer?hl=es&amp;mid=1C1oZdjH3dNvCvqdpIv_Lk0Yn1OCVn-4&amp;ll=38.965368114274455%2C-92.3405954&amp;z=15"/>
    <x v="1"/>
    <x v="0"/>
    <x v="3"/>
    <x v="27"/>
    <x v="0"/>
    <x v="52"/>
    <x v="11"/>
    <x v="77"/>
  </r>
  <r>
    <s v="(ML) Nissan of North Little Rock16"/>
    <x v="12"/>
    <x v="5"/>
    <x v="1"/>
    <x v="1"/>
    <x v="20"/>
    <x v="1"/>
    <s v="https://tools.sig.systems/site/details/216"/>
    <s v="https://www.google.com/maps/d/edit?mid=1Oky35ERk_2kgyzCvDu_odQ2ZP62BtqA&amp;usp=sharing"/>
    <x v="1"/>
    <x v="0"/>
    <x v="16"/>
    <x v="0"/>
    <x v="0"/>
    <x v="18"/>
    <x v="17"/>
    <x v="20"/>
  </r>
  <r>
    <s v="(SCH) Chevrolet North Palm16"/>
    <x v="12"/>
    <x v="5"/>
    <x v="0"/>
    <x v="0"/>
    <x v="52"/>
    <x v="0"/>
    <s v="https://tools.sig.systems/site/details/160"/>
    <m/>
    <x v="3"/>
    <x v="0"/>
    <x v="39"/>
    <x v="0"/>
    <x v="0"/>
    <x v="6"/>
    <x v="38"/>
    <x v="52"/>
  </r>
  <r>
    <s v="(SCH) Prep Center Delray16"/>
    <x v="12"/>
    <x v="5"/>
    <x v="0"/>
    <x v="0"/>
    <x v="53"/>
    <x v="0"/>
    <s v="https://tools.sig.systems/site/details/321"/>
    <m/>
    <x v="1"/>
    <x v="0"/>
    <x v="40"/>
    <x v="0"/>
    <x v="0"/>
    <x v="6"/>
    <x v="39"/>
    <x v="53"/>
  </r>
  <r>
    <s v="(AS) Atwell Prep Center-Dallas (NO TOURS)16"/>
    <x v="12"/>
    <x v="6"/>
    <x v="1"/>
    <x v="1"/>
    <x v="86"/>
    <x v="1"/>
    <s v="https://tools.sig.systems/site/details/165"/>
    <s v="https://www.google.com/maps/d/edit?hl=es&amp;mid=1uPmsRMsXnp74hPFW2t-sp2totVWF_xY&amp;ll=32.83050137713022%2C-96.83197783061323&amp;z=17"/>
    <x v="1"/>
    <x v="0"/>
    <x v="61"/>
    <x v="0"/>
    <x v="0"/>
    <x v="6"/>
    <x v="28"/>
    <x v="86"/>
  </r>
  <r>
    <s v="(AS) Courtesy CDJR of Brandon (NO TOURS)16"/>
    <x v="12"/>
    <x v="6"/>
    <x v="0"/>
    <x v="0"/>
    <x v="56"/>
    <x v="0"/>
    <s v="https://tools.sig.systems/site/details/126"/>
    <s v="https://www.google.com/maps/d/edit?mid=15R4hTDQx56ij99--JgozdqOIZh-kSlk&amp;usp=sharing"/>
    <x v="0"/>
    <x v="0"/>
    <x v="42"/>
    <x v="9"/>
    <x v="0"/>
    <x v="37"/>
    <x v="42"/>
    <x v="56"/>
  </r>
  <r>
    <s v="(AS) Park Place Mercedes Benz Ft. Worth (NO TOURS)16"/>
    <x v="12"/>
    <x v="6"/>
    <x v="1"/>
    <x v="1"/>
    <x v="5"/>
    <x v="1"/>
    <s v="https://tools.sig.systems/site/details/137"/>
    <s v="https://www.google.com/maps/d/edit?mid=18OEO_KbvYcgI3N1jE4gTMXfNHTNDrFU&amp;ll=32.66603989958274%2C-97.42021198201722&amp;z=18"/>
    <x v="1"/>
    <x v="0"/>
    <x v="5"/>
    <x v="0"/>
    <x v="4"/>
    <x v="5"/>
    <x v="5"/>
    <x v="5"/>
  </r>
  <r>
    <s v="(AS) Stevinson Toyota West (NO TOURS)16"/>
    <x v="12"/>
    <x v="6"/>
    <x v="3"/>
    <x v="2"/>
    <x v="8"/>
    <x v="3"/>
    <s v="https://tools.sig.systems/site/details/240"/>
    <s v="https://www.google.com/maps/d/edit?mid=1nAyK85WaWREy0lfxnmWn3USs2gC0nP0&amp;usp=sharing"/>
    <x v="1"/>
    <x v="0"/>
    <x v="3"/>
    <x v="3"/>
    <x v="0"/>
    <x v="7"/>
    <x v="8"/>
    <x v="8"/>
  </r>
  <r>
    <s v="(ML) Honda of Little Rock16"/>
    <x v="12"/>
    <x v="6"/>
    <x v="1"/>
    <x v="1"/>
    <x v="16"/>
    <x v="1"/>
    <s v="https://tools.sig.systems/site/details/249"/>
    <s v="https://www.google.com/maps/d/viewer?mid=1hvbKFMO-d5TXrKGU-g5dt_xcdArB1D0&amp;ll=34.71147784120261%2C-92.40574350000001&amp;z=17"/>
    <x v="1"/>
    <x v="0"/>
    <x v="15"/>
    <x v="0"/>
    <x v="0"/>
    <x v="14"/>
    <x v="15"/>
    <x v="16"/>
  </r>
  <r>
    <s v="(ML) Joe Machens Temporary 2.016"/>
    <x v="12"/>
    <x v="6"/>
    <x v="1"/>
    <x v="1"/>
    <x v="44"/>
    <x v="1"/>
    <s v="https://tools.sig.systems/site/details/278"/>
    <s v="https://www.google.com/maps/d/viewer?hl=es&amp;mid=1C1oZdjH3dNvCvqdpIv_Lk0Yn1OCVn-4&amp;ll=38.965368114274455%2C-92.3405954&amp;z=15"/>
    <x v="1"/>
    <x v="0"/>
    <x v="3"/>
    <x v="17"/>
    <x v="0"/>
    <x v="33"/>
    <x v="11"/>
    <x v="44"/>
  </r>
  <r>
    <s v="(PE) BMW Tenafly (NO TOURS)16"/>
    <x v="12"/>
    <x v="6"/>
    <x v="4"/>
    <x v="0"/>
    <x v="48"/>
    <x v="0"/>
    <s v="https://tools.sig.systems/site/details/155"/>
    <m/>
    <x v="1"/>
    <x v="0"/>
    <x v="36"/>
    <x v="18"/>
    <x v="0"/>
    <x v="6"/>
    <x v="19"/>
    <x v="48"/>
  </r>
  <r>
    <s v="(SCH) Auto Body Shop Lake Park16"/>
    <x v="12"/>
    <x v="6"/>
    <x v="0"/>
    <x v="0"/>
    <x v="83"/>
    <x v="0"/>
    <s v="https://tools.sig.systems/site/details/158"/>
    <m/>
    <x v="1"/>
    <x v="0"/>
    <x v="59"/>
    <x v="0"/>
    <x v="0"/>
    <x v="6"/>
    <x v="11"/>
    <x v="83"/>
  </r>
  <r>
    <s v="(AS) Courtesy Honda Palm Harbor (NO TOURS)16"/>
    <x v="12"/>
    <x v="7"/>
    <x v="0"/>
    <x v="0"/>
    <x v="88"/>
    <x v="0"/>
    <s v="https://tools.sig.systems/site/details/176"/>
    <m/>
    <x v="3"/>
    <x v="0"/>
    <x v="63"/>
    <x v="0"/>
    <x v="0"/>
    <x v="58"/>
    <x v="24"/>
    <x v="88"/>
  </r>
  <r>
    <s v="(AS) Park Place Bodywerks Dallas (NO TOURS)16"/>
    <x v="12"/>
    <x v="7"/>
    <x v="1"/>
    <x v="1"/>
    <x v="59"/>
    <x v="1"/>
    <s v="https://tools.sig.systems/site/details/166"/>
    <s v="https://www.google.com/maps/d/edit?hl=es&amp;mid=1uPmsRMsXnp74hPFW2t-sp2totVWF_xY&amp;ll=32.83050137713022%2C-96.83197783061323&amp;z=17"/>
    <x v="1"/>
    <x v="0"/>
    <x v="44"/>
    <x v="9"/>
    <x v="0"/>
    <x v="6"/>
    <x v="45"/>
    <x v="59"/>
  </r>
  <r>
    <s v="(JE) Jim Ellis Ford Sandy Springs16"/>
    <x v="12"/>
    <x v="7"/>
    <x v="0"/>
    <x v="0"/>
    <x v="69"/>
    <x v="0"/>
    <s v="https://tools.sig.systems/site/details/142"/>
    <m/>
    <x v="1"/>
    <x v="0"/>
    <x v="51"/>
    <x v="0"/>
    <x v="0"/>
    <x v="46"/>
    <x v="52"/>
    <x v="69"/>
  </r>
  <r>
    <s v="(KG) Baytown GMC Buick - Remote Lot (NO TOURS)16"/>
    <x v="12"/>
    <x v="7"/>
    <x v="2"/>
    <x v="1"/>
    <x v="70"/>
    <x v="2"/>
    <s v="https://tools.sig.systems/site/details/311"/>
    <m/>
    <x v="1"/>
    <x v="3"/>
    <x v="3"/>
    <x v="25"/>
    <x v="0"/>
    <x v="6"/>
    <x v="11"/>
    <x v="70"/>
  </r>
  <r>
    <s v="(KG) Baytown GMC Buick (NO TOURS)16"/>
    <x v="12"/>
    <x v="7"/>
    <x v="1"/>
    <x v="1"/>
    <x v="71"/>
    <x v="1"/>
    <s v="https://tools.sig.systems/site/details/239"/>
    <m/>
    <x v="1"/>
    <x v="0"/>
    <x v="52"/>
    <x v="0"/>
    <x v="0"/>
    <x v="47"/>
    <x v="53"/>
    <x v="71"/>
  </r>
  <r>
    <s v="(KG) Big Star Honda16"/>
    <x v="12"/>
    <x v="7"/>
    <x v="1"/>
    <x v="1"/>
    <x v="72"/>
    <x v="1"/>
    <s v="https://tools.sig.systems/site/details/231"/>
    <m/>
    <x v="1"/>
    <x v="0"/>
    <x v="53"/>
    <x v="0"/>
    <x v="0"/>
    <x v="48"/>
    <x v="54"/>
    <x v="72"/>
  </r>
  <r>
    <s v="(ML) Collision Center N Little Rock16"/>
    <x v="12"/>
    <x v="7"/>
    <x v="1"/>
    <x v="1"/>
    <x v="106"/>
    <x v="1"/>
    <s v="https://tools.sig.systems/site/details/212"/>
    <s v="https://www.google.com/maps/d/edit?mid=1Oky35ERk_2kgyzCvDu_odQ2ZP62BtqA&amp;usp=sharing"/>
    <x v="1"/>
    <x v="0"/>
    <x v="3"/>
    <x v="0"/>
    <x v="0"/>
    <x v="6"/>
    <x v="77"/>
    <x v="105"/>
  </r>
  <r>
    <s v="(ML) Joe Machens Nissan16"/>
    <x v="12"/>
    <x v="7"/>
    <x v="1"/>
    <x v="1"/>
    <x v="78"/>
    <x v="1"/>
    <s v="https://tools.sig.systems/site/details/279"/>
    <s v="https://www.google.com/maps/d/viewer?hl=es&amp;mid=1C1oZdjH3dNvCvqdpIv_Lk0Yn1OCVn-4&amp;ll=38.965368114274455%2C-92.3405954&amp;z=15"/>
    <x v="1"/>
    <x v="0"/>
    <x v="3"/>
    <x v="28"/>
    <x v="0"/>
    <x v="6"/>
    <x v="11"/>
    <x v="78"/>
  </r>
  <r>
    <s v="(AS) Audi of North Atlanta (NO TOURS)16"/>
    <x v="12"/>
    <x v="8"/>
    <x v="0"/>
    <x v="0"/>
    <x v="87"/>
    <x v="0"/>
    <s v="https://tools.sig.systems/site/details/124"/>
    <s v="https://www.google.com/maps/d/edit?mid=1jkN3DS1BhUqp_dztjjW0PDwKfo_Yxsw&amp;usp=sharing"/>
    <x v="1"/>
    <x v="0"/>
    <x v="62"/>
    <x v="0"/>
    <x v="0"/>
    <x v="57"/>
    <x v="61"/>
    <x v="87"/>
  </r>
  <r>
    <s v="(AS) Park Place MB Recon Center Dallas (NO TOURS)16"/>
    <x v="12"/>
    <x v="8"/>
    <x v="1"/>
    <x v="1"/>
    <x v="60"/>
    <x v="1"/>
    <s v="https://tools.sig.systems/site/details/170"/>
    <s v="https://www.google.com/maps/d/edit?hl=es&amp;mid=1uPmsRMsXnp74hPFW2t-sp2totVWF_xY&amp;ll=32.83050137713022%2C-96.83197783061323&amp;z=17"/>
    <x v="1"/>
    <x v="0"/>
    <x v="45"/>
    <x v="0"/>
    <x v="0"/>
    <x v="40"/>
    <x v="19"/>
    <x v="60"/>
  </r>
  <r>
    <s v="(AS) Stevinson Lexus of Lakewood (NO TOURS)16"/>
    <x v="12"/>
    <x v="8"/>
    <x v="3"/>
    <x v="2"/>
    <x v="34"/>
    <x v="3"/>
    <s v="https://tools.sig.systems/site/details/260"/>
    <s v="https://www.google.com/maps/d/edit?mid=1nAyK85WaWREy0lfxnmWn3USs2gC0nP0&amp;usp=sharing"/>
    <x v="1"/>
    <x v="0"/>
    <x v="3"/>
    <x v="14"/>
    <x v="8"/>
    <x v="6"/>
    <x v="28"/>
    <x v="34"/>
  </r>
  <r>
    <s v="(ML) Ford Lincoln of North Little Rock16"/>
    <x v="12"/>
    <x v="8"/>
    <x v="1"/>
    <x v="1"/>
    <x v="42"/>
    <x v="1"/>
    <s v="https://tools.sig.systems/site/details/214"/>
    <s v="https://www.google.com/maps/d/edit?mid=1Oky35ERk_2kgyzCvDu_odQ2ZP62BtqA&amp;usp=sharing"/>
    <x v="1"/>
    <x v="0"/>
    <x v="32"/>
    <x v="4"/>
    <x v="0"/>
    <x v="32"/>
    <x v="34"/>
    <x v="42"/>
  </r>
  <r>
    <s v="(ML) Joe Machens Kia of Columbia16"/>
    <x v="12"/>
    <x v="8"/>
    <x v="1"/>
    <x v="1"/>
    <x v="107"/>
    <x v="1"/>
    <s v="https://tools.sig.systems/site/details/270"/>
    <s v="https://www.google.com/maps/d/viewer?hl=es&amp;mid=1C1oZdjH3dNvCvqdpIv_Lk0Yn1OCVn-4&amp;ll=38.965368114274455%2C-92.3405954&amp;z=15"/>
    <x v="1"/>
    <x v="0"/>
    <x v="3"/>
    <x v="39"/>
    <x v="0"/>
    <x v="6"/>
    <x v="78"/>
    <x v="106"/>
  </r>
  <r>
    <s v="(SCH) Delray I &amp; II16"/>
    <x v="12"/>
    <x v="8"/>
    <x v="0"/>
    <x v="0"/>
    <x v="26"/>
    <x v="0"/>
    <s v="https://tools.sig.systems/site/details/159"/>
    <m/>
    <x v="3"/>
    <x v="0"/>
    <x v="21"/>
    <x v="11"/>
    <x v="6"/>
    <x v="6"/>
    <x v="22"/>
    <x v="26"/>
  </r>
  <r>
    <s v="(WAG) Greeley Chrysler Dodge Jeep Ram (NO TOURS)16"/>
    <x v="12"/>
    <x v="8"/>
    <x v="3"/>
    <x v="2"/>
    <x v="115"/>
    <x v="3"/>
    <s v="https://tools.sig.systems/site/details/130"/>
    <s v="https://www.google.com/maps/d/viewer?mid=1gN2lJ0iT7m5VNhD7aDcxE8AdXqtcOZc&amp;ll=40.396096737592195%2C-104.746842&amp;z=16"/>
    <x v="1"/>
    <x v="0"/>
    <x v="77"/>
    <x v="42"/>
    <x v="0"/>
    <x v="77"/>
    <x v="85"/>
    <x v="114"/>
  </r>
  <r>
    <s v="(AS) Courtesy Kia of Brandon (NO TOURS)16"/>
    <x v="12"/>
    <x v="9"/>
    <x v="0"/>
    <x v="0"/>
    <x v="57"/>
    <x v="0"/>
    <s v="https://tools.sig.systems/site/details/121"/>
    <s v="https://www.google.com/maps/d/edit?mid=15R4hTDQx56ij99--JgozdqOIZh-kSlk&amp;usp=sharing"/>
    <x v="0"/>
    <x v="0"/>
    <x v="3"/>
    <x v="22"/>
    <x v="0"/>
    <x v="38"/>
    <x v="43"/>
    <x v="57"/>
  </r>
  <r>
    <s v="(AS) Nalley Luxury Collision Center (NO TOURS)16"/>
    <x v="12"/>
    <x v="9"/>
    <x v="0"/>
    <x v="0"/>
    <x v="31"/>
    <x v="0"/>
    <s v="https://tools.sig.systems/site/details/263"/>
    <s v="https://www.google.com/maps/d/edit?mid=1jkN3DS1BhUqp_dztjjW0PDwKfo_Yxsw&amp;usp=sharing"/>
    <x v="1"/>
    <x v="0"/>
    <x v="4"/>
    <x v="0"/>
    <x v="0"/>
    <x v="6"/>
    <x v="26"/>
    <x v="31"/>
  </r>
  <r>
    <s v="(AS) Park Place Volvo Service Center (NO TOURS)16"/>
    <x v="12"/>
    <x v="9"/>
    <x v="1"/>
    <x v="1"/>
    <x v="62"/>
    <x v="1"/>
    <s v="https://tools.sig.systems/site/details/171"/>
    <s v="https://www.google.com/maps/d/edit?hl=es&amp;mid=1uPmsRMsXnp74hPFW2t-sp2totVWF_xY&amp;ll=32.83050137713022%2C-96.83197783061323&amp;z=17"/>
    <x v="1"/>
    <x v="0"/>
    <x v="47"/>
    <x v="0"/>
    <x v="0"/>
    <x v="42"/>
    <x v="11"/>
    <x v="62"/>
  </r>
  <r>
    <s v="(SCH) West Palm Beach I, II &amp; III16"/>
    <x v="12"/>
    <x v="9"/>
    <x v="6"/>
    <x v="0"/>
    <x v="54"/>
    <x v="0"/>
    <s v="https://tools.sig.systems/site/details/162"/>
    <m/>
    <x v="3"/>
    <x v="2"/>
    <x v="41"/>
    <x v="20"/>
    <x v="10"/>
    <x v="6"/>
    <x v="40"/>
    <x v="54"/>
  </r>
  <r>
    <s v="(AS) David McDavid Lincoln Frisco (NO TOURS)16"/>
    <x v="12"/>
    <x v="10"/>
    <x v="1"/>
    <x v="1"/>
    <x v="58"/>
    <x v="1"/>
    <s v="https://tools.sig.systems/site/details/182"/>
    <m/>
    <x v="1"/>
    <x v="0"/>
    <x v="43"/>
    <x v="0"/>
    <x v="0"/>
    <x v="39"/>
    <x v="44"/>
    <x v="58"/>
  </r>
  <r>
    <s v="(AS) Lexus Smyrna (NO TOURS)16"/>
    <x v="12"/>
    <x v="10"/>
    <x v="0"/>
    <x v="0"/>
    <x v="30"/>
    <x v="0"/>
    <s v="https://tools.sig.systems/site/details/133"/>
    <m/>
    <x v="1"/>
    <x v="0"/>
    <x v="24"/>
    <x v="0"/>
    <x v="0"/>
    <x v="24"/>
    <x v="25"/>
    <x v="30"/>
  </r>
  <r>
    <s v="(AS) Nalley BMW Collision Center (NO TOURS)16"/>
    <x v="12"/>
    <x v="10"/>
    <x v="0"/>
    <x v="0"/>
    <x v="3"/>
    <x v="0"/>
    <s v="https://tools.sig.systems/site/details/220"/>
    <m/>
    <x v="1"/>
    <x v="0"/>
    <x v="3"/>
    <x v="1"/>
    <x v="0"/>
    <x v="3"/>
    <x v="3"/>
    <x v="3"/>
  </r>
  <r>
    <s v="(DT) Albuquerque16"/>
    <x v="12"/>
    <x v="10"/>
    <x v="3"/>
    <x v="2"/>
    <x v="35"/>
    <x v="3"/>
    <s v="https://tools.sig.systems/site/details/237"/>
    <m/>
    <x v="1"/>
    <x v="0"/>
    <x v="27"/>
    <x v="0"/>
    <x v="0"/>
    <x v="27"/>
    <x v="29"/>
    <x v="35"/>
  </r>
  <r>
    <s v="(ML) Mazda VW-Lot B16"/>
    <x v="12"/>
    <x v="10"/>
    <x v="1"/>
    <x v="1"/>
    <x v="45"/>
    <x v="1"/>
    <s v="https://tools.sig.systems/site/details/205"/>
    <s v="https://www.google.com/maps/d/edit?mid=1Oky35ERk_2kgyzCvDu_odQ2ZP62BtqA&amp;usp=sharing"/>
    <x v="1"/>
    <x v="0"/>
    <x v="33"/>
    <x v="9"/>
    <x v="0"/>
    <x v="30"/>
    <x v="11"/>
    <x v="45"/>
  </r>
  <r>
    <s v="(ML) Volvo Collision Corp16"/>
    <x v="12"/>
    <x v="10"/>
    <x v="1"/>
    <x v="1"/>
    <x v="47"/>
    <x v="1"/>
    <s v="https://tools.sig.systems/site/details/223"/>
    <m/>
    <x v="1"/>
    <x v="0"/>
    <x v="35"/>
    <x v="1"/>
    <x v="0"/>
    <x v="35"/>
    <x v="11"/>
    <x v="47"/>
  </r>
  <r>
    <s v="(PE) Fairfield Collision (NO TOURS)16"/>
    <x v="12"/>
    <x v="10"/>
    <x v="4"/>
    <x v="0"/>
    <x v="22"/>
    <x v="0"/>
    <s v="https://tools.sig.systems/site/details/191"/>
    <m/>
    <x v="1"/>
    <x v="0"/>
    <x v="18"/>
    <x v="0"/>
    <x v="0"/>
    <x v="6"/>
    <x v="18"/>
    <x v="22"/>
  </r>
  <r>
    <s v="(AS) David McDavid Honda I &amp; II (NO TOURS)16"/>
    <x v="12"/>
    <x v="11"/>
    <x v="1"/>
    <x v="1"/>
    <x v="90"/>
    <x v="1"/>
    <s v="https://tools.sig.systems/site/details/129"/>
    <m/>
    <x v="1"/>
    <x v="0"/>
    <x v="3"/>
    <x v="31"/>
    <x v="0"/>
    <x v="60"/>
    <x v="63"/>
    <x v="90"/>
  </r>
  <r>
    <s v="(KG) Kia of Phoenix (NO TOURS)16"/>
    <x v="12"/>
    <x v="11"/>
    <x v="5"/>
    <x v="3"/>
    <x v="40"/>
    <x v="4"/>
    <s v="https://tools.sig.systems/site/details/262"/>
    <m/>
    <x v="4"/>
    <x v="0"/>
    <x v="30"/>
    <x v="0"/>
    <x v="0"/>
    <x v="30"/>
    <x v="11"/>
    <x v="40"/>
  </r>
  <r>
    <s v="(KT) Northwest CDJR (NO TOURS)16"/>
    <x v="12"/>
    <x v="11"/>
    <x v="1"/>
    <x v="1"/>
    <x v="15"/>
    <x v="1"/>
    <s v="https://tools.sig.systems/site/details/229"/>
    <m/>
    <x v="1"/>
    <x v="0"/>
    <x v="14"/>
    <x v="0"/>
    <x v="0"/>
    <x v="13"/>
    <x v="11"/>
    <x v="15"/>
  </r>
  <r>
    <s v="(MK) McKenny Salinas Honda16"/>
    <x v="12"/>
    <x v="11"/>
    <x v="0"/>
    <x v="0"/>
    <x v="104"/>
    <x v="0"/>
    <s v="https://tools.sig.systems/site/details/149"/>
    <m/>
    <x v="1"/>
    <x v="0"/>
    <x v="3"/>
    <x v="37"/>
    <x v="0"/>
    <x v="6"/>
    <x v="75"/>
    <x v="103"/>
  </r>
  <r>
    <s v="(ML) Joe Machens Capital City I &amp; II (NO TOURS)16"/>
    <x v="12"/>
    <x v="11"/>
    <x v="1"/>
    <x v="1"/>
    <x v="17"/>
    <x v="1"/>
    <s v="https://tools.sig.systems/site/details/271"/>
    <m/>
    <x v="1"/>
    <x v="0"/>
    <x v="3"/>
    <x v="6"/>
    <x v="0"/>
    <x v="15"/>
    <x v="16"/>
    <x v="17"/>
  </r>
  <r>
    <s v="(ML) Nissan Of Benton16"/>
    <x v="12"/>
    <x v="11"/>
    <x v="1"/>
    <x v="1"/>
    <x v="80"/>
    <x v="1"/>
    <s v="https://tools.sig.systems/site/details/247"/>
    <m/>
    <x v="1"/>
    <x v="0"/>
    <x v="57"/>
    <x v="0"/>
    <x v="0"/>
    <x v="54"/>
    <x v="11"/>
    <x v="80"/>
  </r>
  <r>
    <s v="(PE) Mercedes Benz &amp; Smart Bldg. of Fairfield (NO TOURS)16"/>
    <x v="12"/>
    <x v="11"/>
    <x v="4"/>
    <x v="0"/>
    <x v="23"/>
    <x v="0"/>
    <s v="https://tools.sig.systems/site/details/192"/>
    <s v="https://www.google.com/maps/d/viewer?mid=1FEo41PzFJQjUIXXKitX5TNCtuqR6Vbs&amp;ll=41.1663376742533%2C-73.22955662049608&amp;z=16"/>
    <x v="1"/>
    <x v="0"/>
    <x v="3"/>
    <x v="9"/>
    <x v="0"/>
    <x v="20"/>
    <x v="19"/>
    <x v="23"/>
  </r>
  <r>
    <s v="(AS) Courtesy Hyundai/Nissan Tampa (NO TOURS)16"/>
    <x v="12"/>
    <x v="12"/>
    <x v="0"/>
    <x v="0"/>
    <x v="89"/>
    <x v="0"/>
    <s v="https://tools.sig.systems/site/details/128"/>
    <m/>
    <x v="0"/>
    <x v="0"/>
    <x v="64"/>
    <x v="0"/>
    <x v="0"/>
    <x v="59"/>
    <x v="62"/>
    <x v="89"/>
  </r>
  <r>
    <s v="(AS) Mike Shaw Subaru Greeley (NO TOURS)16"/>
    <x v="12"/>
    <x v="12"/>
    <x v="3"/>
    <x v="2"/>
    <x v="91"/>
    <x v="3"/>
    <s v="https://tools.sig.systems/site/details/174"/>
    <s v="https://www.google.com/maps/d/viewer?mid=1gN2lJ0iT7m5VNhD7aDcxE8AdXqtcOZc&amp;ll=40.396096737592195%2C-104.746842&amp;z=16"/>
    <x v="1"/>
    <x v="0"/>
    <x v="65"/>
    <x v="32"/>
    <x v="0"/>
    <x v="61"/>
    <x v="11"/>
    <x v="91"/>
  </r>
  <r>
    <s v="(AS) Park Place JLR DFW Airport (NO TOURS)16"/>
    <x v="12"/>
    <x v="12"/>
    <x v="1"/>
    <x v="1"/>
    <x v="93"/>
    <x v="1"/>
    <s v="https://tools.sig.systems/site/details/135"/>
    <m/>
    <x v="1"/>
    <x v="0"/>
    <x v="67"/>
    <x v="33"/>
    <x v="13"/>
    <x v="63"/>
    <x v="65"/>
    <x v="93"/>
  </r>
  <r>
    <s v="(AS) Plano Auction (NO SPEAKERS)16"/>
    <x v="12"/>
    <x v="12"/>
    <x v="1"/>
    <x v="1"/>
    <x v="94"/>
    <x v="1"/>
    <s v="https://tools.sig.systems/site/details/140"/>
    <m/>
    <x v="1"/>
    <x v="0"/>
    <x v="3"/>
    <x v="34"/>
    <x v="0"/>
    <x v="64"/>
    <x v="66"/>
    <x v="94"/>
  </r>
  <r>
    <s v="(KG) Big Star Ford16"/>
    <x v="12"/>
    <x v="12"/>
    <x v="1"/>
    <x v="1"/>
    <x v="102"/>
    <x v="1"/>
    <s v="https://tools.sig.systems/site/details/235"/>
    <m/>
    <x v="1"/>
    <x v="0"/>
    <x v="72"/>
    <x v="0"/>
    <x v="0"/>
    <x v="70"/>
    <x v="74"/>
    <x v="101"/>
  </r>
  <r>
    <s v="(PE) Honda of Danbury (NO TOURS)16"/>
    <x v="12"/>
    <x v="12"/>
    <x v="4"/>
    <x v="0"/>
    <x v="49"/>
    <x v="0"/>
    <s v="https://tools.sig.systems/site/details/190"/>
    <m/>
    <x v="1"/>
    <x v="0"/>
    <x v="3"/>
    <x v="19"/>
    <x v="9"/>
    <x v="6"/>
    <x v="36"/>
    <x v="49"/>
  </r>
  <r>
    <s v="(AS) Coggin Mercedes Benz Ft Pierce (NO TOURS)16"/>
    <x v="12"/>
    <x v="13"/>
    <x v="0"/>
    <x v="0"/>
    <x v="28"/>
    <x v="0"/>
    <s v="https://tools.sig.systems/site/details/127"/>
    <s v="https://www.google.com/maps/d/viewer?mid=1AyViBuyeq7iwDua1SVudJ2A1BYi3IBA&amp;ll=27.38181516363982%2C-80.32568845000002&amp;z=18"/>
    <x v="1"/>
    <x v="0"/>
    <x v="22"/>
    <x v="13"/>
    <x v="0"/>
    <x v="22"/>
    <x v="23"/>
    <x v="28"/>
  </r>
  <r>
    <s v="(AS) Lexus Grapevine I &amp; II (NO TOURS)16"/>
    <x v="12"/>
    <x v="13"/>
    <x v="1"/>
    <x v="1"/>
    <x v="29"/>
    <x v="1"/>
    <s v="https://tools.sig.systems/site/details/136"/>
    <m/>
    <x v="1"/>
    <x v="0"/>
    <x v="23"/>
    <x v="0"/>
    <x v="7"/>
    <x v="23"/>
    <x v="24"/>
    <x v="29"/>
  </r>
  <r>
    <s v="(AS) Plaza Lexus/Mercedes/BMW (NO TOURS)16"/>
    <x v="12"/>
    <x v="13"/>
    <x v="1"/>
    <x v="1"/>
    <x v="63"/>
    <x v="1"/>
    <s v="https://tools.sig.systems/site/details/141"/>
    <s v="https://www.google.com/maps/d/viewer?mid=1whGZ1PLqmhJnGFz8uigZqUL4cHGGW3w&amp;ll=38.668847686454825%2C-90.4433601&amp;z=17"/>
    <x v="1"/>
    <x v="0"/>
    <x v="48"/>
    <x v="23"/>
    <x v="0"/>
    <x v="43"/>
    <x v="47"/>
    <x v="63"/>
  </r>
  <r>
    <s v="(DT) El Cajon (NO TOURS)16"/>
    <x v="12"/>
    <x v="13"/>
    <x v="5"/>
    <x v="4"/>
    <x v="66"/>
    <x v="4"/>
    <s v="https://tools.sig.systems/site/details/241"/>
    <m/>
    <x v="1"/>
    <x v="0"/>
    <x v="3"/>
    <x v="16"/>
    <x v="0"/>
    <x v="6"/>
    <x v="11"/>
    <x v="66"/>
  </r>
  <r>
    <s v="(HUD) BMW of Greensboro16"/>
    <x v="12"/>
    <x v="13"/>
    <x v="0"/>
    <x v="0"/>
    <x v="100"/>
    <x v="0"/>
    <s v="https://tools.sig.systems/site/details/219"/>
    <s v="https://www.google.com/maps/d/viewer?mid=1ejOzT7-x6RWnCf83BBP7XhiOiwEX3Wk&amp;ll=36.061264791292906%2C-79.87437695000003&amp;z=17"/>
    <x v="1"/>
    <x v="0"/>
    <x v="70"/>
    <x v="0"/>
    <x v="0"/>
    <x v="68"/>
    <x v="72"/>
    <x v="99"/>
  </r>
  <r>
    <s v="(KG) Truck Center Remote Storage Lot16"/>
    <x v="12"/>
    <x v="13"/>
    <x v="2"/>
    <x v="2"/>
    <x v="14"/>
    <x v="2"/>
    <s v="https://tools.sig.systems/site/details/144"/>
    <m/>
    <x v="1"/>
    <x v="0"/>
    <x v="13"/>
    <x v="5"/>
    <x v="0"/>
    <x v="12"/>
    <x v="14"/>
    <x v="14"/>
  </r>
  <r>
    <s v="(ML) McLarty-Gray Daniels Chevrolet16"/>
    <x v="12"/>
    <x v="13"/>
    <x v="1"/>
    <x v="1"/>
    <x v="109"/>
    <x v="1"/>
    <s v="https://tools.sig.systems/site/details/150"/>
    <m/>
    <x v="1"/>
    <x v="0"/>
    <x v="74"/>
    <x v="0"/>
    <x v="0"/>
    <x v="73"/>
    <x v="80"/>
    <x v="108"/>
  </r>
  <r>
    <s v="(AS) Coggin Honda Ft. Pierce (NO TOURS)16"/>
    <x v="12"/>
    <x v="14"/>
    <x v="0"/>
    <x v="0"/>
    <x v="0"/>
    <x v="0"/>
    <s v="https://tools.sig.systems/site/details/120"/>
    <s v="https://www.google.com/maps/d/viewer?mid=1AyViBuyeq7iwDua1SVudJ2A1BYi3IBA&amp;ll=27.38181516363982%2C-80.32568845000002&amp;z=18"/>
    <x v="0"/>
    <x v="0"/>
    <x v="0"/>
    <x v="0"/>
    <x v="0"/>
    <x v="0"/>
    <x v="0"/>
    <x v="0"/>
  </r>
  <r>
    <s v="(AS) Lexus Plano I &amp; II (NO TOURS)16"/>
    <x v="12"/>
    <x v="14"/>
    <x v="1"/>
    <x v="1"/>
    <x v="1"/>
    <x v="1"/>
    <s v="https://tools.sig.systems/site/details/167"/>
    <s v="https://www.google.com/maps/d/viewer?mid=1wg5suxVuxeNp_irHlvN772HcwD6W89E&amp;ll=33.06373951220261%2C-96.82758025000001&amp;z=18"/>
    <x v="1"/>
    <x v="0"/>
    <x v="1"/>
    <x v="0"/>
    <x v="1"/>
    <x v="1"/>
    <x v="1"/>
    <x v="1"/>
  </r>
  <r>
    <s v="(AS) Plaza Audi/Infiniti (NO TOURS)16"/>
    <x v="12"/>
    <x v="14"/>
    <x v="1"/>
    <x v="1"/>
    <x v="95"/>
    <x v="1"/>
    <s v="https://tools.sig.systems/site/details/141"/>
    <s v="https://www.google.com/maps/d/viewer?mid=1whGZ1PLqmhJnGFz8uigZqUL4cHGGW3w&amp;ll=38.668847686454825%2C-90.4433601&amp;z=17"/>
    <x v="1"/>
    <x v="0"/>
    <x v="68"/>
    <x v="35"/>
    <x v="0"/>
    <x v="65"/>
    <x v="67"/>
    <x v="63"/>
  </r>
  <r>
    <s v="(AS) Stevinson JLR (NO TOURS)16"/>
    <x v="12"/>
    <x v="14"/>
    <x v="3"/>
    <x v="2"/>
    <x v="64"/>
    <x v="3"/>
    <s v="https://tools.sig.systems/site/details/204"/>
    <m/>
    <x v="1"/>
    <x v="0"/>
    <x v="49"/>
    <x v="1"/>
    <x v="0"/>
    <x v="44"/>
    <x v="48"/>
    <x v="64"/>
  </r>
  <r>
    <s v="(DT) Escondido16"/>
    <x v="12"/>
    <x v="14"/>
    <x v="5"/>
    <x v="4"/>
    <x v="98"/>
    <x v="5"/>
    <s v="https://tools.sig.systems/site/details/196"/>
    <m/>
    <x v="1"/>
    <x v="4"/>
    <x v="20"/>
    <x v="0"/>
    <x v="0"/>
    <x v="6"/>
    <x v="70"/>
    <x v="97"/>
  </r>
  <r>
    <s v="(ML) McLarty Gray-Daniels Ford Lincoln16"/>
    <x v="12"/>
    <x v="14"/>
    <x v="1"/>
    <x v="1"/>
    <x v="79"/>
    <x v="1"/>
    <s v="https://tools.sig.systems/site/details/151"/>
    <s v="https://www.google.com/maps/d/edit?mid=111nhCL4Xjj2Pq0zP5xUrMzHQqAihqa0&amp;usp=sharing"/>
    <x v="1"/>
    <x v="0"/>
    <x v="56"/>
    <x v="29"/>
    <x v="0"/>
    <x v="53"/>
    <x v="57"/>
    <x v="79"/>
  </r>
  <r>
    <s v="(PE) JLR Darien PDI (NO TOURS)16"/>
    <x v="12"/>
    <x v="14"/>
    <x v="4"/>
    <x v="0"/>
    <x v="112"/>
    <x v="0"/>
    <s v="https://tools.sig.systems/site/details/187"/>
    <s v="https://www.google.com/maps/d/viewer?mid=1ebZp8DeTYSXNPgDIA63nFVDu9ohaO4E&amp;ll=41.08027837958441%2C-73.46597874999999&amp;z=15"/>
    <x v="1"/>
    <x v="0"/>
    <x v="6"/>
    <x v="0"/>
    <x v="0"/>
    <x v="74"/>
    <x v="83"/>
    <x v="111"/>
  </r>
  <r>
    <s v="(RML) Burleson Nissan16"/>
    <x v="12"/>
    <x v="14"/>
    <x v="1"/>
    <x v="1"/>
    <x v="82"/>
    <x v="1"/>
    <s v="https://tools.sig.systems/site/details/202"/>
    <m/>
    <x v="1"/>
    <x v="0"/>
    <x v="58"/>
    <x v="0"/>
    <x v="0"/>
    <x v="56"/>
    <x v="11"/>
    <x v="82"/>
  </r>
  <r>
    <s v="(AS) Coggin Acura Ft Pierce (NO TOURS)16"/>
    <x v="12"/>
    <x v="15"/>
    <x v="0"/>
    <x v="0"/>
    <x v="27"/>
    <x v="0"/>
    <s v="https://tools.sig.systems/site/details/118"/>
    <s v="https://www.google.com/maps/d/viewer?mid=1AyViBuyeq7iwDua1SVudJ2A1BYi3IBA&amp;ll=27.38181516363982%2C-80.32568845000002&amp;z=18"/>
    <x v="1"/>
    <x v="0"/>
    <x v="3"/>
    <x v="12"/>
    <x v="0"/>
    <x v="21"/>
    <x v="19"/>
    <x v="27"/>
  </r>
  <r>
    <s v="(AS) Park Place Acura (NO TOURS)16"/>
    <x v="12"/>
    <x v="15"/>
    <x v="1"/>
    <x v="1"/>
    <x v="32"/>
    <x v="1"/>
    <s v="https://tools.sig.systems/site/details/259"/>
    <s v="https://www.google.com/maps/d/viewer?mid=1wg5suxVuxeNp_irHlvN772HcwD6W89E&amp;ll=33.06373951220261%2C-96.82758025000001&amp;z=18"/>
    <x v="1"/>
    <x v="0"/>
    <x v="25"/>
    <x v="0"/>
    <x v="0"/>
    <x v="25"/>
    <x v="11"/>
    <x v="32"/>
  </r>
  <r>
    <s v="(AS) Stevinson Porsche of Littleton (NO TOURS)16"/>
    <x v="12"/>
    <x v="15"/>
    <x v="3"/>
    <x v="2"/>
    <x v="7"/>
    <x v="3"/>
    <s v="https://tools.sig.systems/site/details/242"/>
    <m/>
    <x v="1"/>
    <x v="0"/>
    <x v="7"/>
    <x v="2"/>
    <x v="0"/>
    <x v="6"/>
    <x v="7"/>
    <x v="7"/>
  </r>
  <r>
    <s v="(DT) W Houston16"/>
    <x v="12"/>
    <x v="15"/>
    <x v="1"/>
    <x v="1"/>
    <x v="10"/>
    <x v="1"/>
    <s v="https://tools.sig.systems/site/details/197"/>
    <m/>
    <x v="1"/>
    <x v="0"/>
    <x v="9"/>
    <x v="2"/>
    <x v="0"/>
    <x v="9"/>
    <x v="10"/>
    <x v="10"/>
  </r>
  <r>
    <s v="(DT) Wichita16"/>
    <x v="12"/>
    <x v="15"/>
    <x v="1"/>
    <x v="1"/>
    <x v="36"/>
    <x v="1"/>
    <s v="https://tools.sig.systems/site/details/257"/>
    <m/>
    <x v="1"/>
    <x v="0"/>
    <x v="3"/>
    <x v="15"/>
    <x v="0"/>
    <x v="6"/>
    <x v="30"/>
    <x v="36"/>
  </r>
  <r>
    <s v="(ML) McLarty Gray-Daniels Toyota Nissan16"/>
    <x v="12"/>
    <x v="15"/>
    <x v="1"/>
    <x v="1"/>
    <x v="108"/>
    <x v="1"/>
    <s v="https://tools.sig.systems/site/details/152"/>
    <s v="https://www.google.com/maps/d/edit?mid=111nhCL4Xjj2Pq0zP5xUrMzHQqAihqa0&amp;usp=sharing"/>
    <x v="1"/>
    <x v="0"/>
    <x v="3"/>
    <x v="40"/>
    <x v="0"/>
    <x v="72"/>
    <x v="79"/>
    <x v="107"/>
  </r>
  <r>
    <s v="(RV) Sonny's Camp N Travel Concord16"/>
    <x v="12"/>
    <x v="15"/>
    <x v="0"/>
    <x v="0"/>
    <x v="114"/>
    <x v="0"/>
    <s v="https://tools.sig.systems/site/details/183"/>
    <m/>
    <x v="1"/>
    <x v="0"/>
    <x v="6"/>
    <x v="0"/>
    <x v="0"/>
    <x v="76"/>
    <x v="84"/>
    <x v="113"/>
  </r>
  <r>
    <s v="SIG Office16"/>
    <x v="12"/>
    <x v="15"/>
    <x v="2"/>
    <x v="0"/>
    <x v="85"/>
    <x v="2"/>
    <s v="https://tools.sig.systems/site/details/163"/>
    <m/>
    <x v="1"/>
    <x v="0"/>
    <x v="3"/>
    <x v="0"/>
    <x v="0"/>
    <x v="6"/>
    <x v="60"/>
    <x v="85"/>
  </r>
  <r>
    <s v="(AS) Park Place Bodywerks Ft. Worth (NO TOURS)17"/>
    <x v="13"/>
    <x v="0"/>
    <x v="1"/>
    <x v="1"/>
    <x v="92"/>
    <x v="1"/>
    <s v="https://tools.sig.systems/site/details/134"/>
    <s v="https://www.google.com/maps/d/edit?mid=18OEO_KbvYcgI3N1jE4gTMXfNHTNDrFU&amp;ll=32.66603989958274%2C-97.42021198201722&amp;z=18"/>
    <x v="1"/>
    <x v="0"/>
    <x v="66"/>
    <x v="0"/>
    <x v="0"/>
    <x v="62"/>
    <x v="64"/>
    <x v="92"/>
  </r>
  <r>
    <s v="(DT) Louisville17"/>
    <x v="13"/>
    <x v="0"/>
    <x v="0"/>
    <x v="0"/>
    <x v="67"/>
    <x v="0"/>
    <s v="https://tools.sig.systems/site/details/258"/>
    <m/>
    <x v="1"/>
    <x v="0"/>
    <x v="3"/>
    <x v="16"/>
    <x v="0"/>
    <x v="6"/>
    <x v="50"/>
    <x v="67"/>
  </r>
  <r>
    <s v="(DT) N. Houston17"/>
    <x v="13"/>
    <x v="0"/>
    <x v="1"/>
    <x v="1"/>
    <x v="9"/>
    <x v="1"/>
    <s v="https://tools.sig.systems/site/details/250"/>
    <m/>
    <x v="1"/>
    <x v="0"/>
    <x v="8"/>
    <x v="0"/>
    <x v="0"/>
    <x v="8"/>
    <x v="9"/>
    <x v="9"/>
  </r>
  <r>
    <s v="(KG) Clear Lake Pre-Owned17"/>
    <x v="13"/>
    <x v="0"/>
    <x v="1"/>
    <x v="1"/>
    <x v="39"/>
    <x v="1"/>
    <s v="https://tools.sig.systems/site/details/255"/>
    <s v="https://www.google.com/maps/d/edit?mid=1DRwy5fy1g5UzGTA7a1OkQA-_CY8SQ2s&amp;usp=sharing"/>
    <x v="1"/>
    <x v="0"/>
    <x v="29"/>
    <x v="0"/>
    <x v="0"/>
    <x v="29"/>
    <x v="32"/>
    <x v="39"/>
  </r>
  <r>
    <s v="(ML) Nissan Of Benton17"/>
    <x v="13"/>
    <x v="0"/>
    <x v="1"/>
    <x v="1"/>
    <x v="80"/>
    <x v="1"/>
    <s v="https://tools.sig.systems/site/details/247"/>
    <m/>
    <x v="1"/>
    <x v="0"/>
    <x v="57"/>
    <x v="0"/>
    <x v="0"/>
    <x v="54"/>
    <x v="11"/>
    <x v="80"/>
  </r>
  <r>
    <s v="(PE) Hudson Toyota Nissan CDJR (NO TOURS)17"/>
    <x v="13"/>
    <x v="0"/>
    <x v="4"/>
    <x v="0"/>
    <x v="81"/>
    <x v="0"/>
    <s v="https://tools.sig.systems/site/details/156"/>
    <m/>
    <x v="1"/>
    <x v="0"/>
    <x v="49"/>
    <x v="30"/>
    <x v="0"/>
    <x v="55"/>
    <x v="58"/>
    <x v="81"/>
  </r>
  <r>
    <s v="(PE) Scofield Service Center (NO TOURS)17"/>
    <x v="13"/>
    <x v="0"/>
    <x v="4"/>
    <x v="0"/>
    <x v="113"/>
    <x v="0"/>
    <s v="https://tools.sig.systems/site/details/193"/>
    <s v="https://www.google.com/maps/d/viewer?mid=1FEo41PzFJQjUIXXKitX5TNCtuqR6Vbs&amp;ll=41.1663376742533%2C-73.22955662049608&amp;z=16"/>
    <x v="1"/>
    <x v="0"/>
    <x v="6"/>
    <x v="0"/>
    <x v="0"/>
    <x v="75"/>
    <x v="51"/>
    <x v="112"/>
  </r>
  <r>
    <s v="(RV) Toms Camperland Avondale (NO TOURS)17"/>
    <x v="13"/>
    <x v="0"/>
    <x v="5"/>
    <x v="3"/>
    <x v="24"/>
    <x v="4"/>
    <s v="https://tools.sig.systems/site/details/248"/>
    <s v="https://www.google.com/maps/d/viewer?mid=1bDs0QGFZwL3vEeGKxjVMk_j4azr0-lg&amp;ll=33.4593758581648%2C-112.28793780000001&amp;z=18"/>
    <x v="2"/>
    <x v="0"/>
    <x v="19"/>
    <x v="10"/>
    <x v="0"/>
    <x v="6"/>
    <x v="20"/>
    <x v="24"/>
  </r>
  <r>
    <s v="(AS) Stevinson Toyota West (NO TOURS)17"/>
    <x v="13"/>
    <x v="1"/>
    <x v="3"/>
    <x v="2"/>
    <x v="8"/>
    <x v="3"/>
    <s v="https://tools.sig.systems/site/details/240"/>
    <s v="https://www.google.com/maps/d/edit?mid=1nAyK85WaWREy0lfxnmWn3USs2gC0nP0&amp;usp=sharing"/>
    <x v="1"/>
    <x v="0"/>
    <x v="3"/>
    <x v="3"/>
    <x v="0"/>
    <x v="7"/>
    <x v="8"/>
    <x v="8"/>
  </r>
  <r>
    <s v="(JE) Jim Ellis Ford Sandy Springs17"/>
    <x v="13"/>
    <x v="1"/>
    <x v="0"/>
    <x v="0"/>
    <x v="69"/>
    <x v="0"/>
    <s v="https://tools.sig.systems/site/details/142"/>
    <m/>
    <x v="1"/>
    <x v="0"/>
    <x v="51"/>
    <x v="0"/>
    <x v="0"/>
    <x v="46"/>
    <x v="52"/>
    <x v="69"/>
  </r>
  <r>
    <s v="(KG) Big Star Ford17"/>
    <x v="13"/>
    <x v="1"/>
    <x v="1"/>
    <x v="1"/>
    <x v="102"/>
    <x v="1"/>
    <s v="https://tools.sig.systems/site/details/235"/>
    <m/>
    <x v="1"/>
    <x v="0"/>
    <x v="72"/>
    <x v="0"/>
    <x v="0"/>
    <x v="70"/>
    <x v="74"/>
    <x v="101"/>
  </r>
  <r>
    <s v="(KG) Texan CDJR17"/>
    <x v="13"/>
    <x v="1"/>
    <x v="1"/>
    <x v="1"/>
    <x v="13"/>
    <x v="1"/>
    <s v="https://tools.sig.systems/site/details/238"/>
    <s v="https://www.google.com/maps/d/edit?mid=1FNqK4dW8Z8gtSWuQLbStrtqe7lH8DIQ&amp;usp=sharing"/>
    <x v="1"/>
    <x v="0"/>
    <x v="12"/>
    <x v="0"/>
    <x v="5"/>
    <x v="11"/>
    <x v="13"/>
    <x v="13"/>
  </r>
  <r>
    <s v="(ML) Columbia Honda (NO TOURS)17"/>
    <x v="13"/>
    <x v="1"/>
    <x v="1"/>
    <x v="1"/>
    <x v="75"/>
    <x v="1"/>
    <s v="https://tools.sig.systems/site/details/272"/>
    <s v="https://www.google.com/maps/d/viewer?hl=es&amp;mid=1C1oZdjH3dNvCvqdpIv_Lk0Yn1OCVn-4&amp;ll=38.965368114274426%2C-92.3405954&amp;z=15"/>
    <x v="1"/>
    <x v="0"/>
    <x v="3"/>
    <x v="26"/>
    <x v="0"/>
    <x v="50"/>
    <x v="56"/>
    <x v="75"/>
  </r>
  <r>
    <s v="(RV) Toms Camperland Mesa (NO TOURS)17"/>
    <x v="13"/>
    <x v="1"/>
    <x v="5"/>
    <x v="3"/>
    <x v="25"/>
    <x v="4"/>
    <s v="https://tools.sig.systems/site/details/222"/>
    <m/>
    <x v="1"/>
    <x v="0"/>
    <x v="20"/>
    <x v="0"/>
    <x v="0"/>
    <x v="6"/>
    <x v="21"/>
    <x v="25"/>
  </r>
  <r>
    <s v="(AS) Bill Estes Ford (NO TOURS)17"/>
    <x v="13"/>
    <x v="2"/>
    <x v="0"/>
    <x v="0"/>
    <x v="55"/>
    <x v="0"/>
    <s v="https://tools.sig.systems/site/details/125"/>
    <m/>
    <x v="1"/>
    <x v="0"/>
    <x v="3"/>
    <x v="21"/>
    <x v="0"/>
    <x v="36"/>
    <x v="41"/>
    <x v="55"/>
  </r>
  <r>
    <s v="(AS) Park Place Mercedes Benz Arlington (NO TOURS)17"/>
    <x v="13"/>
    <x v="2"/>
    <x v="1"/>
    <x v="1"/>
    <x v="61"/>
    <x v="1"/>
    <s v="https://tools.sig.systems/site/details/169"/>
    <m/>
    <x v="1"/>
    <x v="0"/>
    <x v="46"/>
    <x v="0"/>
    <x v="11"/>
    <x v="41"/>
    <x v="46"/>
    <x v="61"/>
  </r>
  <r>
    <s v="(KG) Hyundai Surprise17"/>
    <x v="13"/>
    <x v="2"/>
    <x v="5"/>
    <x v="3"/>
    <x v="103"/>
    <x v="4"/>
    <s v="https://tools.sig.systems/site/details/269"/>
    <m/>
    <x v="4"/>
    <x v="0"/>
    <x v="73"/>
    <x v="0"/>
    <x v="0"/>
    <x v="71"/>
    <x v="11"/>
    <x v="102"/>
  </r>
  <r>
    <s v="(KG) Texan GMC Buick (NO TOURS)17"/>
    <x v="13"/>
    <x v="2"/>
    <x v="1"/>
    <x v="1"/>
    <x v="41"/>
    <x v="1"/>
    <s v="https://tools.sig.systems/site/details/225"/>
    <s v="https://www.google.com/maps/d/edit?mid=1FNqK4dW8Z8gtSWuQLbStrtqe7lH8DIQ&amp;usp=sharing"/>
    <x v="1"/>
    <x v="0"/>
    <x v="31"/>
    <x v="0"/>
    <x v="0"/>
    <x v="31"/>
    <x v="33"/>
    <x v="41"/>
  </r>
  <r>
    <s v="(ML) Joe Machens CDJR17"/>
    <x v="13"/>
    <x v="2"/>
    <x v="1"/>
    <x v="1"/>
    <x v="43"/>
    <x v="1"/>
    <s v="https://tools.sig.systems/site/details/273"/>
    <s v="https://www.google.com/maps/d/viewer?hl=es&amp;mid=1C1oZdjH3dNvCvqdpIv_Lk0Yn1OCVn-4&amp;ll=38.965368114274455%2C-92.3405954&amp;z=15"/>
    <x v="1"/>
    <x v="0"/>
    <x v="3"/>
    <x v="16"/>
    <x v="0"/>
    <x v="6"/>
    <x v="35"/>
    <x v="43"/>
  </r>
  <r>
    <s v="(PE) BMW Tenafly (NO TOURS)17"/>
    <x v="13"/>
    <x v="2"/>
    <x v="4"/>
    <x v="0"/>
    <x v="48"/>
    <x v="0"/>
    <s v="https://tools.sig.systems/site/details/155"/>
    <m/>
    <x v="1"/>
    <x v="0"/>
    <x v="36"/>
    <x v="18"/>
    <x v="0"/>
    <x v="6"/>
    <x v="19"/>
    <x v="48"/>
  </r>
  <r>
    <s v="(RV) Toms Camperland Surprise (NO TOURS)17"/>
    <x v="13"/>
    <x v="2"/>
    <x v="5"/>
    <x v="3"/>
    <x v="51"/>
    <x v="4"/>
    <s v="https://tools.sig.systems/site/details/254"/>
    <m/>
    <x v="5"/>
    <x v="0"/>
    <x v="38"/>
    <x v="0"/>
    <x v="0"/>
    <x v="6"/>
    <x v="37"/>
    <x v="51"/>
  </r>
  <r>
    <s v="(AS) Courtesy Hyundai/Nissan Tampa (NO TOURS)17"/>
    <x v="13"/>
    <x v="3"/>
    <x v="0"/>
    <x v="0"/>
    <x v="89"/>
    <x v="0"/>
    <s v="https://tools.sig.systems/site/details/128"/>
    <m/>
    <x v="0"/>
    <x v="0"/>
    <x v="64"/>
    <x v="0"/>
    <x v="0"/>
    <x v="59"/>
    <x v="62"/>
    <x v="89"/>
  </r>
  <r>
    <s v="(AS) Park Place Volvo Sales (NO TOURS)17"/>
    <x v="13"/>
    <x v="3"/>
    <x v="1"/>
    <x v="1"/>
    <x v="33"/>
    <x v="1"/>
    <s v="https://tools.sig.systems/site/details/139"/>
    <s v="https://www.google.com/maps/d/edit?hl=es&amp;mid=1uPmsRMsXnp74hPFW2t-sp2totVWF_xY&amp;ll=32.83050137713022%2C-96.83197783061323&amp;z=17"/>
    <x v="1"/>
    <x v="0"/>
    <x v="26"/>
    <x v="0"/>
    <x v="0"/>
    <x v="26"/>
    <x v="27"/>
    <x v="33"/>
  </r>
  <r>
    <s v="(DT) Denver (NO TOURS)17"/>
    <x v="13"/>
    <x v="3"/>
    <x v="3"/>
    <x v="2"/>
    <x v="97"/>
    <x v="3"/>
    <s v="https://tools.sig.systems/site/details/203"/>
    <s v="https://www.google.com/maps/d/edit?mid=1AjZHz2LTg0RMhZUOmyZsv_Y4MFcaP8g&amp;usp=sharing"/>
    <x v="1"/>
    <x v="0"/>
    <x v="3"/>
    <x v="25"/>
    <x v="0"/>
    <x v="6"/>
    <x v="69"/>
    <x v="96"/>
  </r>
  <r>
    <s v="(KG) Big Star CDJR of Clear Lake17"/>
    <x v="13"/>
    <x v="3"/>
    <x v="1"/>
    <x v="1"/>
    <x v="101"/>
    <x v="1"/>
    <s v="https://tools.sig.systems/site/details/232"/>
    <s v="https://www.google.com/maps/d/edit?mid=1DRwy5fy1g5UzGTA7a1OkQA-_CY8SQ2s&amp;usp=sharing"/>
    <x v="1"/>
    <x v="0"/>
    <x v="71"/>
    <x v="0"/>
    <x v="0"/>
    <x v="69"/>
    <x v="73"/>
    <x v="100"/>
  </r>
  <r>
    <s v="(ML) Ford Lincoln of North Little Rock17"/>
    <x v="13"/>
    <x v="3"/>
    <x v="1"/>
    <x v="1"/>
    <x v="42"/>
    <x v="1"/>
    <s v="https://tools.sig.systems/site/details/214"/>
    <s v="https://www.google.com/maps/d/edit?mid=1Oky35ERk_2kgyzCvDu_odQ2ZP62BtqA&amp;usp=sharing"/>
    <x v="1"/>
    <x v="0"/>
    <x v="32"/>
    <x v="4"/>
    <x v="0"/>
    <x v="32"/>
    <x v="34"/>
    <x v="42"/>
  </r>
  <r>
    <s v="(ML) Joe Machens VW17"/>
    <x v="13"/>
    <x v="3"/>
    <x v="1"/>
    <x v="1"/>
    <x v="19"/>
    <x v="1"/>
    <s v="https://tools.sig.systems/site/details/274"/>
    <s v="https://www.google.com/maps/d/viewer?hl=es&amp;mid=1C1oZdjH3dNvCvqdpIv_Lk0Yn1OCVn-4&amp;ll=38.965368114274455%2C-92.3405954&amp;z=15"/>
    <x v="1"/>
    <x v="0"/>
    <x v="3"/>
    <x v="8"/>
    <x v="0"/>
    <x v="17"/>
    <x v="11"/>
    <x v="19"/>
  </r>
  <r>
    <s v="(ML) Nissan of Little Rock17"/>
    <x v="13"/>
    <x v="3"/>
    <x v="1"/>
    <x v="1"/>
    <x v="46"/>
    <x v="1"/>
    <s v="https://tools.sig.systems/site/details/224"/>
    <s v="https://www.google.com/maps/d/viewer?mid=1hvbKFMO-d5TXrKGU-g5dt_xcdArB1D0&amp;ll=34.71147784120261%2C-92.40574350000001&amp;z=17"/>
    <x v="1"/>
    <x v="0"/>
    <x v="34"/>
    <x v="0"/>
    <x v="0"/>
    <x v="34"/>
    <x v="7"/>
    <x v="46"/>
  </r>
  <r>
    <s v="(PE) BMW of Greenwich (NO TOURS)17"/>
    <x v="13"/>
    <x v="3"/>
    <x v="4"/>
    <x v="0"/>
    <x v="110"/>
    <x v="0"/>
    <s v="https://tools.sig.systems/site/details/186"/>
    <s v="https://www.google.com/maps/d/edit?hl=en&amp;mid=1UHmt7tH1ihTa85i0MfQIcTfVvIQg_vM&amp;ll=41.024187580466844%2C-73.63702405370861&amp;z=18"/>
    <x v="1"/>
    <x v="0"/>
    <x v="75"/>
    <x v="0"/>
    <x v="0"/>
    <x v="6"/>
    <x v="81"/>
    <x v="109"/>
  </r>
  <r>
    <s v="(AS) Mercedes Benz/Porsche Dallas I,II,III (NO TOURS)17"/>
    <x v="13"/>
    <x v="4"/>
    <x v="1"/>
    <x v="1"/>
    <x v="2"/>
    <x v="1"/>
    <s v="https://tools.sig.systems/site/details/168"/>
    <s v="https://www.google.com/maps/d/edit?hl=es&amp;mid=1uPmsRMsXnp74hPFW2t-sp2totVWF_xY&amp;ll=32.83050137713022%2C-96.83197783061323&amp;z=17"/>
    <x v="1"/>
    <x v="0"/>
    <x v="2"/>
    <x v="0"/>
    <x v="2"/>
    <x v="2"/>
    <x v="2"/>
    <x v="2"/>
  </r>
  <r>
    <s v="(DT) Colorado Springs (NO TOURS)17"/>
    <x v="13"/>
    <x v="4"/>
    <x v="3"/>
    <x v="2"/>
    <x v="65"/>
    <x v="3"/>
    <s v="https://tools.sig.systems/site/details/198"/>
    <m/>
    <x v="1"/>
    <x v="0"/>
    <x v="3"/>
    <x v="24"/>
    <x v="0"/>
    <x v="6"/>
    <x v="49"/>
    <x v="65"/>
  </r>
  <r>
    <s v="(ML) BMW of Little Rock17"/>
    <x v="13"/>
    <x v="4"/>
    <x v="1"/>
    <x v="1"/>
    <x v="105"/>
    <x v="1"/>
    <s v="https://tools.sig.systems/site/details/217"/>
    <s v="https://www.google.com/maps/d/viewer?mid=1hvbKFMO-d5TXrKGU-g5dt_xcdArB1D0&amp;ll=34.71147784120261%2C-92.40574350000001&amp;z=17"/>
    <x v="1"/>
    <x v="0"/>
    <x v="3"/>
    <x v="38"/>
    <x v="0"/>
    <x v="6"/>
    <x v="76"/>
    <x v="104"/>
  </r>
  <r>
    <s v="(ML) Joe Machens Toyota17"/>
    <x v="13"/>
    <x v="4"/>
    <x v="1"/>
    <x v="1"/>
    <x v="18"/>
    <x v="1"/>
    <s v="https://tools.sig.systems/site/details/275"/>
    <s v="https://www.google.com/maps/d/viewer?hl=es&amp;mid=1C1oZdjH3dNvCvqdpIv_Lk0Yn1OCVn-4&amp;ll=38.965368114274455%2C-92.3405954&amp;z=15"/>
    <x v="1"/>
    <x v="0"/>
    <x v="3"/>
    <x v="7"/>
    <x v="0"/>
    <x v="16"/>
    <x v="11"/>
    <x v="18"/>
  </r>
  <r>
    <s v="(ML) Toyota N Little Rock17"/>
    <x v="13"/>
    <x v="4"/>
    <x v="1"/>
    <x v="1"/>
    <x v="21"/>
    <x v="1"/>
    <s v="https://tools.sig.systems/site/details/201"/>
    <s v="https://www.google.com/maps/d/edit?mid=1Oky35ERk_2kgyzCvDu_odQ2ZP62BtqA&amp;usp=sharing"/>
    <x v="1"/>
    <x v="0"/>
    <x v="17"/>
    <x v="0"/>
    <x v="0"/>
    <x v="19"/>
    <x v="11"/>
    <x v="21"/>
  </r>
  <r>
    <s v="(PE) JLR PDI (NO TOURS)17"/>
    <x v="13"/>
    <x v="4"/>
    <x v="4"/>
    <x v="0"/>
    <x v="50"/>
    <x v="0"/>
    <s v="https://tools.sig.systems/site/details/179"/>
    <s v="https://www.google.com/maps/d/viewer?mid=1ubI2iKs1JyYXssuT4oLPnVvFnyLPi_s&amp;ll=40.878808846788026%2C-73.98560655&amp;z=17"/>
    <x v="1"/>
    <x v="0"/>
    <x v="37"/>
    <x v="0"/>
    <x v="0"/>
    <x v="6"/>
    <x v="11"/>
    <x v="50"/>
  </r>
  <r>
    <s v="(AS) Park Place Sprinter Van Center (NO TOURS)17"/>
    <x v="13"/>
    <x v="5"/>
    <x v="1"/>
    <x v="1"/>
    <x v="6"/>
    <x v="1"/>
    <s v="https://tools.sig.systems/site/details/138"/>
    <s v="https://www.google.com/maps/d/edit?hl=es&amp;mid=1uPmsRMsXnp74hPFW2t-sp2totVWF_xY&amp;ll=32.83050137713022%2C-96.83197783061323&amp;z=17"/>
    <x v="1"/>
    <x v="0"/>
    <x v="6"/>
    <x v="0"/>
    <x v="0"/>
    <x v="6"/>
    <x v="6"/>
    <x v="6"/>
  </r>
  <r>
    <s v="(AS) Stevinson Chevrolet Golden (NO TOURS)17"/>
    <x v="13"/>
    <x v="5"/>
    <x v="7"/>
    <x v="2"/>
    <x v="96"/>
    <x v="3"/>
    <s v="https://tools.sig.systems/site/details/264"/>
    <s v="https://www.google.com/maps/d/edit?mid=1nAyK85WaWREy0lfxnmWn3USs2gC0nP0&amp;usp=sharing"/>
    <x v="1"/>
    <x v="0"/>
    <x v="3"/>
    <x v="36"/>
    <x v="0"/>
    <x v="66"/>
    <x v="68"/>
    <x v="95"/>
  </r>
  <r>
    <s v="(HUD) Honda of Southpoint17"/>
    <x v="13"/>
    <x v="5"/>
    <x v="0"/>
    <x v="0"/>
    <x v="11"/>
    <x v="0"/>
    <s v="https://tools.sig.systems/site/details/195"/>
    <m/>
    <x v="0"/>
    <x v="0"/>
    <x v="10"/>
    <x v="4"/>
    <x v="0"/>
    <x v="10"/>
    <x v="11"/>
    <x v="11"/>
  </r>
  <r>
    <s v="(HUD) Nissan Greensboro17"/>
    <x v="13"/>
    <x v="5"/>
    <x v="0"/>
    <x v="0"/>
    <x v="12"/>
    <x v="0"/>
    <s v="https://tools.sig.systems/site/details/236"/>
    <s v="https://www.google.com/maps/d/viewer?mid=1ejOzT7-x6RWnCf83BBP7XhiOiwEX3Wk&amp;ll=36.061264791292906%2C-79.87437695000003&amp;z=17"/>
    <x v="1"/>
    <x v="0"/>
    <x v="11"/>
    <x v="0"/>
    <x v="0"/>
    <x v="6"/>
    <x v="12"/>
    <x v="12"/>
  </r>
  <r>
    <s v="(ML) Joe Machens E Collision Center17"/>
    <x v="13"/>
    <x v="5"/>
    <x v="1"/>
    <x v="1"/>
    <x v="76"/>
    <x v="1"/>
    <s v="https://tools.sig.systems/site/details/277"/>
    <s v="https://www.google.com/maps/d/viewer?hl=es&amp;mid=1C1oZdjH3dNvCvqdpIv_Lk0Yn1OCVn-4&amp;ll=38.965368114274455%2C-92.3405954&amp;z=15"/>
    <x v="1"/>
    <x v="0"/>
    <x v="6"/>
    <x v="0"/>
    <x v="0"/>
    <x v="51"/>
    <x v="57"/>
    <x v="76"/>
  </r>
  <r>
    <s v="(ML) Joe Machens Nissan17"/>
    <x v="13"/>
    <x v="5"/>
    <x v="1"/>
    <x v="1"/>
    <x v="78"/>
    <x v="1"/>
    <s v="https://tools.sig.systems/site/details/279"/>
    <s v="https://www.google.com/maps/d/viewer?hl=es&amp;mid=1C1oZdjH3dNvCvqdpIv_Lk0Yn1OCVn-4&amp;ll=38.965368114274455%2C-92.3405954&amp;z=15"/>
    <x v="1"/>
    <x v="0"/>
    <x v="3"/>
    <x v="28"/>
    <x v="0"/>
    <x v="6"/>
    <x v="11"/>
    <x v="78"/>
  </r>
  <r>
    <s v="(ML) Nissan of North Little Rock17"/>
    <x v="13"/>
    <x v="5"/>
    <x v="1"/>
    <x v="1"/>
    <x v="20"/>
    <x v="1"/>
    <s v="https://tools.sig.systems/site/details/216"/>
    <s v="https://www.google.com/maps/d/edit?mid=1Oky35ERk_2kgyzCvDu_odQ2ZP62BtqA&amp;usp=sharing"/>
    <x v="1"/>
    <x v="0"/>
    <x v="16"/>
    <x v="0"/>
    <x v="0"/>
    <x v="18"/>
    <x v="17"/>
    <x v="20"/>
  </r>
  <r>
    <s v="(PE) BMW of Mamaroneck (NO TOURS)17"/>
    <x v="13"/>
    <x v="5"/>
    <x v="4"/>
    <x v="0"/>
    <x v="111"/>
    <x v="0"/>
    <s v="https://tools.sig.systems/site/details/185"/>
    <m/>
    <x v="1"/>
    <x v="0"/>
    <x v="76"/>
    <x v="41"/>
    <x v="0"/>
    <x v="6"/>
    <x v="82"/>
    <x v="110"/>
  </r>
  <r>
    <s v="(SCH) Prep Center Delray17"/>
    <x v="13"/>
    <x v="5"/>
    <x v="0"/>
    <x v="0"/>
    <x v="53"/>
    <x v="0"/>
    <s v="https://tools.sig.systems/site/details/321"/>
    <m/>
    <x v="1"/>
    <x v="0"/>
    <x v="40"/>
    <x v="0"/>
    <x v="0"/>
    <x v="6"/>
    <x v="39"/>
    <x v="53"/>
  </r>
  <r>
    <s v="(AS) Courtesy CDJR of Brandon (NO TOURS)17"/>
    <x v="13"/>
    <x v="6"/>
    <x v="0"/>
    <x v="0"/>
    <x v="56"/>
    <x v="0"/>
    <s v="https://tools.sig.systems/site/details/126"/>
    <s v="https://www.google.com/maps/d/edit?mid=15R4hTDQx56ij99--JgozdqOIZh-kSlk&amp;usp=sharing"/>
    <x v="0"/>
    <x v="0"/>
    <x v="42"/>
    <x v="9"/>
    <x v="0"/>
    <x v="37"/>
    <x v="42"/>
    <x v="56"/>
  </r>
  <r>
    <s v="(AS) Park Place Mercedes Benz Ft. Worth (NO TOURS)17"/>
    <x v="13"/>
    <x v="6"/>
    <x v="1"/>
    <x v="1"/>
    <x v="5"/>
    <x v="1"/>
    <s v="https://tools.sig.systems/site/details/137"/>
    <s v="https://www.google.com/maps/d/edit?mid=18OEO_KbvYcgI3N1jE4gTMXfNHTNDrFU&amp;ll=32.66603989958274%2C-97.42021198201722&amp;z=18"/>
    <x v="1"/>
    <x v="0"/>
    <x v="5"/>
    <x v="0"/>
    <x v="4"/>
    <x v="5"/>
    <x v="5"/>
    <x v="5"/>
  </r>
  <r>
    <s v="(ML) Honda of Little Rock17"/>
    <x v="13"/>
    <x v="6"/>
    <x v="1"/>
    <x v="1"/>
    <x v="16"/>
    <x v="1"/>
    <s v="https://tools.sig.systems/site/details/249"/>
    <s v="https://www.google.com/maps/d/viewer?mid=1hvbKFMO-d5TXrKGU-g5dt_xcdArB1D0&amp;ll=34.71147784120261%2C-92.40574350000001&amp;z=17"/>
    <x v="1"/>
    <x v="0"/>
    <x v="15"/>
    <x v="0"/>
    <x v="0"/>
    <x v="14"/>
    <x v="15"/>
    <x v="16"/>
  </r>
  <r>
    <s v="(ML) Joe Machens Ford Lincoln I &amp; II17"/>
    <x v="13"/>
    <x v="6"/>
    <x v="1"/>
    <x v="1"/>
    <x v="77"/>
    <x v="1"/>
    <s v="https://tools.sig.systems/site/details/266"/>
    <s v="https://www.google.com/maps/d/viewer?hl=es&amp;mid=1C1oZdjH3dNvCvqdpIv_Lk0Yn1OCVn-4&amp;ll=38.965368114274455%2C-92.3405954&amp;z=15"/>
    <x v="1"/>
    <x v="0"/>
    <x v="3"/>
    <x v="27"/>
    <x v="0"/>
    <x v="52"/>
    <x v="11"/>
    <x v="77"/>
  </r>
  <r>
    <s v="(ML) Joe Machens Temporary 2.017"/>
    <x v="13"/>
    <x v="6"/>
    <x v="1"/>
    <x v="1"/>
    <x v="44"/>
    <x v="1"/>
    <s v="https://tools.sig.systems/site/details/278"/>
    <s v="https://www.google.com/maps/d/viewer?hl=es&amp;mid=1C1oZdjH3dNvCvqdpIv_Lk0Yn1OCVn-4&amp;ll=38.965368114274455%2C-92.3405954&amp;z=15"/>
    <x v="1"/>
    <x v="0"/>
    <x v="3"/>
    <x v="17"/>
    <x v="0"/>
    <x v="33"/>
    <x v="11"/>
    <x v="44"/>
  </r>
  <r>
    <s v="(AS) Courtesy Honda Palm Harbor (NO TOURS)17"/>
    <x v="13"/>
    <x v="7"/>
    <x v="0"/>
    <x v="0"/>
    <x v="88"/>
    <x v="0"/>
    <s v="https://tools.sig.systems/site/details/176"/>
    <m/>
    <x v="3"/>
    <x v="0"/>
    <x v="63"/>
    <x v="0"/>
    <x v="0"/>
    <x v="58"/>
    <x v="24"/>
    <x v="88"/>
  </r>
  <r>
    <s v="(AS) Nalley Lexus &amp; Remote Lot Roswell (NO TOURS)17"/>
    <x v="13"/>
    <x v="7"/>
    <x v="2"/>
    <x v="0"/>
    <x v="4"/>
    <x v="2"/>
    <s v="https://tools.sig.systems/site/details/131"/>
    <s v="https://www.google.com/maps/d/edit?mid=1jkN3DS1BhUqp_dztjjW0PDwKfo_Yxsw&amp;usp=sharing"/>
    <x v="1"/>
    <x v="1"/>
    <x v="4"/>
    <x v="1"/>
    <x v="3"/>
    <x v="4"/>
    <x v="4"/>
    <x v="4"/>
  </r>
  <r>
    <s v="(AS) Park Place Bodywerks Dallas (NO TOURS)17"/>
    <x v="13"/>
    <x v="7"/>
    <x v="1"/>
    <x v="1"/>
    <x v="59"/>
    <x v="1"/>
    <s v="https://tools.sig.systems/site/details/166"/>
    <s v="https://www.google.com/maps/d/edit?hl=es&amp;mid=1uPmsRMsXnp74hPFW2t-sp2totVWF_xY&amp;ll=32.83050137713022%2C-96.83197783061323&amp;z=17"/>
    <x v="1"/>
    <x v="0"/>
    <x v="44"/>
    <x v="9"/>
    <x v="0"/>
    <x v="6"/>
    <x v="45"/>
    <x v="59"/>
  </r>
  <r>
    <s v="(KG) Big Star Honda17"/>
    <x v="13"/>
    <x v="7"/>
    <x v="1"/>
    <x v="1"/>
    <x v="72"/>
    <x v="1"/>
    <s v="https://tools.sig.systems/site/details/231"/>
    <m/>
    <x v="1"/>
    <x v="0"/>
    <x v="53"/>
    <x v="0"/>
    <x v="0"/>
    <x v="48"/>
    <x v="54"/>
    <x v="72"/>
  </r>
  <r>
    <s v="(ML) Collision Center N Little Rock17"/>
    <x v="13"/>
    <x v="7"/>
    <x v="1"/>
    <x v="1"/>
    <x v="106"/>
    <x v="1"/>
    <s v="https://tools.sig.systems/site/details/212"/>
    <s v="https://www.google.com/maps/d/edit?mid=1Oky35ERk_2kgyzCvDu_odQ2ZP62BtqA&amp;usp=sharing"/>
    <x v="1"/>
    <x v="0"/>
    <x v="3"/>
    <x v="0"/>
    <x v="0"/>
    <x v="6"/>
    <x v="77"/>
    <x v="105"/>
  </r>
  <r>
    <s v="(SCH) Chevrolet North Palm17"/>
    <x v="13"/>
    <x v="7"/>
    <x v="0"/>
    <x v="0"/>
    <x v="52"/>
    <x v="0"/>
    <s v="https://tools.sig.systems/site/details/160"/>
    <m/>
    <x v="3"/>
    <x v="0"/>
    <x v="39"/>
    <x v="0"/>
    <x v="0"/>
    <x v="6"/>
    <x v="38"/>
    <x v="52"/>
  </r>
  <r>
    <s v="(AS) Audi of North Atlanta (NO TOURS)17"/>
    <x v="13"/>
    <x v="8"/>
    <x v="0"/>
    <x v="0"/>
    <x v="87"/>
    <x v="0"/>
    <s v="https://tools.sig.systems/site/details/124"/>
    <s v="https://www.google.com/maps/d/edit?mid=1jkN3DS1BhUqp_dztjjW0PDwKfo_Yxsw&amp;usp=sharing"/>
    <x v="1"/>
    <x v="0"/>
    <x v="62"/>
    <x v="0"/>
    <x v="0"/>
    <x v="57"/>
    <x v="61"/>
    <x v="87"/>
  </r>
  <r>
    <s v="(AS) Park Place MB Recon Center Dallas (NO TOURS)17"/>
    <x v="13"/>
    <x v="8"/>
    <x v="1"/>
    <x v="1"/>
    <x v="60"/>
    <x v="1"/>
    <s v="https://tools.sig.systems/site/details/170"/>
    <s v="https://www.google.com/maps/d/edit?hl=es&amp;mid=1uPmsRMsXnp74hPFW2t-sp2totVWF_xY&amp;ll=32.83050137713022%2C-96.83197783061323&amp;z=17"/>
    <x v="1"/>
    <x v="0"/>
    <x v="45"/>
    <x v="0"/>
    <x v="0"/>
    <x v="40"/>
    <x v="19"/>
    <x v="60"/>
  </r>
  <r>
    <s v="(AS) Stevinson Lexus of Lakewood (NO TOURS)17"/>
    <x v="13"/>
    <x v="8"/>
    <x v="3"/>
    <x v="2"/>
    <x v="34"/>
    <x v="3"/>
    <s v="https://tools.sig.systems/site/details/260"/>
    <s v="https://www.google.com/maps/d/edit?mid=1nAyK85WaWREy0lfxnmWn3USs2gC0nP0&amp;usp=sharing"/>
    <x v="1"/>
    <x v="0"/>
    <x v="3"/>
    <x v="14"/>
    <x v="8"/>
    <x v="6"/>
    <x v="28"/>
    <x v="34"/>
  </r>
  <r>
    <s v="(ML) Joe Machens Kia of Columbia17"/>
    <x v="13"/>
    <x v="8"/>
    <x v="1"/>
    <x v="1"/>
    <x v="107"/>
    <x v="1"/>
    <s v="https://tools.sig.systems/site/details/270"/>
    <s v="https://www.google.com/maps/d/viewer?hl=es&amp;mid=1C1oZdjH3dNvCvqdpIv_Lk0Yn1OCVn-4&amp;ll=38.965368114274455%2C-92.3405954&amp;z=15"/>
    <x v="1"/>
    <x v="0"/>
    <x v="3"/>
    <x v="39"/>
    <x v="0"/>
    <x v="6"/>
    <x v="78"/>
    <x v="106"/>
  </r>
  <r>
    <s v="(SCH) Auto Body Shop Lake Park17"/>
    <x v="13"/>
    <x v="8"/>
    <x v="0"/>
    <x v="0"/>
    <x v="83"/>
    <x v="0"/>
    <s v="https://tools.sig.systems/site/details/158"/>
    <m/>
    <x v="1"/>
    <x v="0"/>
    <x v="59"/>
    <x v="0"/>
    <x v="0"/>
    <x v="6"/>
    <x v="11"/>
    <x v="83"/>
  </r>
  <r>
    <s v="(SCH) Delray I &amp; II17"/>
    <x v="13"/>
    <x v="8"/>
    <x v="0"/>
    <x v="0"/>
    <x v="26"/>
    <x v="0"/>
    <s v="https://tools.sig.systems/site/details/159"/>
    <m/>
    <x v="3"/>
    <x v="0"/>
    <x v="21"/>
    <x v="11"/>
    <x v="6"/>
    <x v="6"/>
    <x v="22"/>
    <x v="26"/>
  </r>
  <r>
    <s v="(WAG) Greeley Chrysler Dodge Jeep Ram (NO TOURS)17"/>
    <x v="13"/>
    <x v="8"/>
    <x v="3"/>
    <x v="2"/>
    <x v="115"/>
    <x v="3"/>
    <s v="https://tools.sig.systems/site/details/130"/>
    <s v="https://www.google.com/maps/d/viewer?mid=1gN2lJ0iT7m5VNhD7aDcxE8AdXqtcOZc&amp;ll=40.396096737592195%2C-104.746842&amp;z=16"/>
    <x v="1"/>
    <x v="0"/>
    <x v="77"/>
    <x v="42"/>
    <x v="0"/>
    <x v="77"/>
    <x v="85"/>
    <x v="114"/>
  </r>
  <r>
    <s v="(AS) Courtesy Kia of Brandon (NO TOURS)17"/>
    <x v="13"/>
    <x v="9"/>
    <x v="0"/>
    <x v="0"/>
    <x v="57"/>
    <x v="0"/>
    <s v="https://tools.sig.systems/site/details/121"/>
    <s v="https://www.google.com/maps/d/edit?mid=15R4hTDQx56ij99--JgozdqOIZh-kSlk&amp;usp=sharing"/>
    <x v="0"/>
    <x v="0"/>
    <x v="3"/>
    <x v="22"/>
    <x v="0"/>
    <x v="38"/>
    <x v="43"/>
    <x v="57"/>
  </r>
  <r>
    <s v="(AS) Park Place Volvo Service Center (NO TOURS)17"/>
    <x v="13"/>
    <x v="9"/>
    <x v="1"/>
    <x v="1"/>
    <x v="62"/>
    <x v="1"/>
    <s v="https://tools.sig.systems/site/details/171"/>
    <s v="https://www.google.com/maps/d/edit?hl=es&amp;mid=1uPmsRMsXnp74hPFW2t-sp2totVWF_xY&amp;ll=32.83050137713022%2C-96.83197783061323&amp;z=17"/>
    <x v="1"/>
    <x v="0"/>
    <x v="47"/>
    <x v="0"/>
    <x v="0"/>
    <x v="42"/>
    <x v="11"/>
    <x v="62"/>
  </r>
  <r>
    <s v="(SCH) West Palm Beach I, II &amp; III17"/>
    <x v="13"/>
    <x v="9"/>
    <x v="6"/>
    <x v="0"/>
    <x v="54"/>
    <x v="0"/>
    <s v="https://tools.sig.systems/site/details/162"/>
    <m/>
    <x v="3"/>
    <x v="2"/>
    <x v="41"/>
    <x v="20"/>
    <x v="10"/>
    <x v="6"/>
    <x v="40"/>
    <x v="54"/>
  </r>
  <r>
    <s v="(AS) David McDavid Lincoln Frisco (NO TOURS)17"/>
    <x v="13"/>
    <x v="10"/>
    <x v="1"/>
    <x v="1"/>
    <x v="58"/>
    <x v="1"/>
    <s v="https://tools.sig.systems/site/details/182"/>
    <m/>
    <x v="1"/>
    <x v="0"/>
    <x v="43"/>
    <x v="0"/>
    <x v="0"/>
    <x v="39"/>
    <x v="44"/>
    <x v="58"/>
  </r>
  <r>
    <s v="(AS) Lexus Smyrna (NO TOURS)17"/>
    <x v="13"/>
    <x v="10"/>
    <x v="0"/>
    <x v="0"/>
    <x v="30"/>
    <x v="0"/>
    <s v="https://tools.sig.systems/site/details/133"/>
    <m/>
    <x v="1"/>
    <x v="0"/>
    <x v="24"/>
    <x v="0"/>
    <x v="0"/>
    <x v="24"/>
    <x v="25"/>
    <x v="30"/>
  </r>
  <r>
    <s v="(AS) Nalley BMW Collision Center (NO TOURS)17"/>
    <x v="13"/>
    <x v="10"/>
    <x v="0"/>
    <x v="0"/>
    <x v="3"/>
    <x v="0"/>
    <s v="https://tools.sig.systems/site/details/220"/>
    <m/>
    <x v="1"/>
    <x v="0"/>
    <x v="3"/>
    <x v="1"/>
    <x v="0"/>
    <x v="3"/>
    <x v="3"/>
    <x v="3"/>
  </r>
  <r>
    <s v="(AS) Nalley Luxury Collision Center (NO TOURS)17"/>
    <x v="13"/>
    <x v="10"/>
    <x v="0"/>
    <x v="0"/>
    <x v="31"/>
    <x v="0"/>
    <s v="https://tools.sig.systems/site/details/263"/>
    <s v="https://www.google.com/maps/d/edit?mid=1jkN3DS1BhUqp_dztjjW0PDwKfo_Yxsw&amp;usp=sharing"/>
    <x v="1"/>
    <x v="0"/>
    <x v="4"/>
    <x v="0"/>
    <x v="0"/>
    <x v="6"/>
    <x v="26"/>
    <x v="31"/>
  </r>
  <r>
    <s v="(DT) Albuquerque17"/>
    <x v="13"/>
    <x v="10"/>
    <x v="3"/>
    <x v="2"/>
    <x v="35"/>
    <x v="3"/>
    <s v="https://tools.sig.systems/site/details/237"/>
    <m/>
    <x v="1"/>
    <x v="0"/>
    <x v="27"/>
    <x v="0"/>
    <x v="0"/>
    <x v="27"/>
    <x v="29"/>
    <x v="35"/>
  </r>
  <r>
    <s v="(ML) Mazda VW-Lot B17"/>
    <x v="13"/>
    <x v="10"/>
    <x v="1"/>
    <x v="1"/>
    <x v="45"/>
    <x v="1"/>
    <s v="https://tools.sig.systems/site/details/205"/>
    <s v="https://www.google.com/maps/d/edit?mid=1Oky35ERk_2kgyzCvDu_odQ2ZP62BtqA&amp;usp=sharing"/>
    <x v="1"/>
    <x v="0"/>
    <x v="33"/>
    <x v="9"/>
    <x v="0"/>
    <x v="30"/>
    <x v="11"/>
    <x v="45"/>
  </r>
  <r>
    <s v="(ML) Volvo Collision Corp17"/>
    <x v="13"/>
    <x v="10"/>
    <x v="1"/>
    <x v="1"/>
    <x v="47"/>
    <x v="1"/>
    <s v="https://tools.sig.systems/site/details/223"/>
    <m/>
    <x v="1"/>
    <x v="0"/>
    <x v="35"/>
    <x v="1"/>
    <x v="0"/>
    <x v="35"/>
    <x v="11"/>
    <x v="47"/>
  </r>
  <r>
    <s v="(PE) Fairfield Collision (NO TOURS)17"/>
    <x v="13"/>
    <x v="10"/>
    <x v="4"/>
    <x v="0"/>
    <x v="22"/>
    <x v="0"/>
    <s v="https://tools.sig.systems/site/details/191"/>
    <m/>
    <x v="1"/>
    <x v="0"/>
    <x v="18"/>
    <x v="0"/>
    <x v="0"/>
    <x v="6"/>
    <x v="18"/>
    <x v="22"/>
  </r>
  <r>
    <s v="(AS) Atwell Prep Center-Dallas (NO TOURS)17"/>
    <x v="13"/>
    <x v="11"/>
    <x v="1"/>
    <x v="1"/>
    <x v="86"/>
    <x v="1"/>
    <s v="https://tools.sig.systems/site/details/165"/>
    <s v="https://www.google.com/maps/d/edit?hl=es&amp;mid=1uPmsRMsXnp74hPFW2t-sp2totVWF_xY&amp;ll=32.83050137713022%2C-96.83197783061323&amp;z=17"/>
    <x v="1"/>
    <x v="0"/>
    <x v="61"/>
    <x v="0"/>
    <x v="0"/>
    <x v="6"/>
    <x v="28"/>
    <x v="86"/>
  </r>
  <r>
    <s v="(HUD) Acura of Greensboro17"/>
    <x v="13"/>
    <x v="11"/>
    <x v="0"/>
    <x v="0"/>
    <x v="99"/>
    <x v="0"/>
    <s v="https://tools.sig.systems/site/details/213"/>
    <s v="https://www.google.com/maps/d/viewer?mid=1ejOzT7-x6RWnCf83BBP7XhiOiwEX3Wk&amp;ll=0%2C0&amp;z=17"/>
    <x v="1"/>
    <x v="0"/>
    <x v="69"/>
    <x v="0"/>
    <x v="0"/>
    <x v="67"/>
    <x v="71"/>
    <x v="98"/>
  </r>
  <r>
    <s v="(KG) Kia of Phoenix (NO TOURS)17"/>
    <x v="13"/>
    <x v="11"/>
    <x v="5"/>
    <x v="3"/>
    <x v="40"/>
    <x v="4"/>
    <s v="https://tools.sig.systems/site/details/262"/>
    <m/>
    <x v="4"/>
    <x v="0"/>
    <x v="30"/>
    <x v="0"/>
    <x v="0"/>
    <x v="30"/>
    <x v="11"/>
    <x v="40"/>
  </r>
  <r>
    <s v="(KT) Northwest CDJR (NO TOURS)17"/>
    <x v="13"/>
    <x v="11"/>
    <x v="1"/>
    <x v="1"/>
    <x v="15"/>
    <x v="1"/>
    <s v="https://tools.sig.systems/site/details/229"/>
    <m/>
    <x v="1"/>
    <x v="0"/>
    <x v="14"/>
    <x v="0"/>
    <x v="0"/>
    <x v="13"/>
    <x v="11"/>
    <x v="15"/>
  </r>
  <r>
    <s v="(LM) Luther Mazda / Mitsubishi17"/>
    <x v="13"/>
    <x v="11"/>
    <x v="1"/>
    <x v="1"/>
    <x v="74"/>
    <x v="1"/>
    <s v="https://tools.sig.systems/site/details/147"/>
    <s v="https://www.google.com/maps/d/viewer?mid=1ot0ILX76JMuvd9yMuqkb4_e0yH1n7TA&amp;ll=45.07815812965141%2C-93.33506855000002&amp;z=17"/>
    <x v="1"/>
    <x v="0"/>
    <x v="55"/>
    <x v="0"/>
    <x v="12"/>
    <x v="6"/>
    <x v="55"/>
    <x v="74"/>
  </r>
  <r>
    <s v="(MK) McKenny Salinas Honda17"/>
    <x v="13"/>
    <x v="11"/>
    <x v="0"/>
    <x v="0"/>
    <x v="104"/>
    <x v="0"/>
    <s v="https://tools.sig.systems/site/details/149"/>
    <m/>
    <x v="1"/>
    <x v="0"/>
    <x v="3"/>
    <x v="37"/>
    <x v="0"/>
    <x v="6"/>
    <x v="75"/>
    <x v="103"/>
  </r>
  <r>
    <s v="(ML) Joe Machens Capital City I &amp; II (NO TOURS)17"/>
    <x v="13"/>
    <x v="11"/>
    <x v="1"/>
    <x v="1"/>
    <x v="17"/>
    <x v="1"/>
    <s v="https://tools.sig.systems/site/details/271"/>
    <m/>
    <x v="1"/>
    <x v="0"/>
    <x v="3"/>
    <x v="6"/>
    <x v="0"/>
    <x v="15"/>
    <x v="16"/>
    <x v="17"/>
  </r>
  <r>
    <s v="(PE) Mercedes Benz &amp; Smart Bldg. of Fairfield (NO TOURS)17"/>
    <x v="13"/>
    <x v="11"/>
    <x v="4"/>
    <x v="0"/>
    <x v="23"/>
    <x v="0"/>
    <s v="https://tools.sig.systems/site/details/192"/>
    <s v="https://www.google.com/maps/d/viewer?mid=1FEo41PzFJQjUIXXKitX5TNCtuqR6Vbs&amp;ll=41.1663376742533%2C-73.22955662049608&amp;z=16"/>
    <x v="1"/>
    <x v="0"/>
    <x v="3"/>
    <x v="9"/>
    <x v="0"/>
    <x v="20"/>
    <x v="19"/>
    <x v="23"/>
  </r>
  <r>
    <s v="(AS) David McDavid Honda I &amp; II (NO TOURS)17"/>
    <x v="13"/>
    <x v="12"/>
    <x v="1"/>
    <x v="1"/>
    <x v="90"/>
    <x v="1"/>
    <s v="https://tools.sig.systems/site/details/129"/>
    <m/>
    <x v="1"/>
    <x v="0"/>
    <x v="3"/>
    <x v="31"/>
    <x v="0"/>
    <x v="60"/>
    <x v="63"/>
    <x v="90"/>
  </r>
  <r>
    <s v="(AS) Mike Shaw Subaru Greeley (NO TOURS)17"/>
    <x v="13"/>
    <x v="12"/>
    <x v="3"/>
    <x v="2"/>
    <x v="91"/>
    <x v="3"/>
    <s v="https://tools.sig.systems/site/details/174"/>
    <s v="https://www.google.com/maps/d/viewer?mid=1gN2lJ0iT7m5VNhD7aDcxE8AdXqtcOZc&amp;ll=40.396096737592195%2C-104.746842&amp;z=16"/>
    <x v="1"/>
    <x v="0"/>
    <x v="65"/>
    <x v="32"/>
    <x v="0"/>
    <x v="61"/>
    <x v="11"/>
    <x v="91"/>
  </r>
  <r>
    <s v="(AS) Park Place JLR DFW Airport (NO TOURS)17"/>
    <x v="13"/>
    <x v="12"/>
    <x v="1"/>
    <x v="1"/>
    <x v="93"/>
    <x v="1"/>
    <s v="https://tools.sig.systems/site/details/135"/>
    <m/>
    <x v="1"/>
    <x v="0"/>
    <x v="67"/>
    <x v="33"/>
    <x v="13"/>
    <x v="63"/>
    <x v="65"/>
    <x v="93"/>
  </r>
  <r>
    <s v="(HUD) BMW of Greensboro17"/>
    <x v="13"/>
    <x v="12"/>
    <x v="0"/>
    <x v="0"/>
    <x v="100"/>
    <x v="0"/>
    <s v="https://tools.sig.systems/site/details/219"/>
    <s v="https://www.google.com/maps/d/viewer?mid=1ejOzT7-x6RWnCf83BBP7XhiOiwEX3Wk&amp;ll=36.061264791292906%2C-79.87437695000003&amp;z=17"/>
    <x v="1"/>
    <x v="0"/>
    <x v="70"/>
    <x v="0"/>
    <x v="0"/>
    <x v="68"/>
    <x v="72"/>
    <x v="99"/>
  </r>
  <r>
    <s v="(PE) Honda of Danbury (NO TOURS)17"/>
    <x v="13"/>
    <x v="12"/>
    <x v="4"/>
    <x v="0"/>
    <x v="49"/>
    <x v="0"/>
    <s v="https://tools.sig.systems/site/details/190"/>
    <m/>
    <x v="1"/>
    <x v="0"/>
    <x v="3"/>
    <x v="19"/>
    <x v="9"/>
    <x v="6"/>
    <x v="36"/>
    <x v="49"/>
  </r>
  <r>
    <s v="(AS) Coggin Mercedes Benz Ft Pierce (NO TOURS)17"/>
    <x v="13"/>
    <x v="13"/>
    <x v="0"/>
    <x v="0"/>
    <x v="28"/>
    <x v="0"/>
    <s v="https://tools.sig.systems/site/details/127"/>
    <s v="https://www.google.com/maps/d/viewer?mid=1AyViBuyeq7iwDua1SVudJ2A1BYi3IBA&amp;ll=27.38181516363982%2C-80.32568845000002&amp;z=18"/>
    <x v="1"/>
    <x v="0"/>
    <x v="22"/>
    <x v="13"/>
    <x v="0"/>
    <x v="22"/>
    <x v="23"/>
    <x v="28"/>
  </r>
  <r>
    <s v="(AS) Lexus Grapevine I &amp; II (NO TOURS)17"/>
    <x v="13"/>
    <x v="13"/>
    <x v="1"/>
    <x v="1"/>
    <x v="29"/>
    <x v="1"/>
    <s v="https://tools.sig.systems/site/details/136"/>
    <m/>
    <x v="1"/>
    <x v="0"/>
    <x v="23"/>
    <x v="0"/>
    <x v="7"/>
    <x v="23"/>
    <x v="24"/>
    <x v="29"/>
  </r>
  <r>
    <s v="(AS) Plaza Lexus/Mercedes/BMW (NO TOURS)17"/>
    <x v="13"/>
    <x v="13"/>
    <x v="1"/>
    <x v="1"/>
    <x v="63"/>
    <x v="1"/>
    <s v="https://tools.sig.systems/site/details/141"/>
    <s v="https://www.google.com/maps/d/viewer?mid=1whGZ1PLqmhJnGFz8uigZqUL4cHGGW3w&amp;ll=38.668847686454825%2C-90.4433601&amp;z=17"/>
    <x v="1"/>
    <x v="0"/>
    <x v="48"/>
    <x v="23"/>
    <x v="0"/>
    <x v="43"/>
    <x v="47"/>
    <x v="63"/>
  </r>
  <r>
    <s v="(DT) El Cajon (NO TOURS)17"/>
    <x v="13"/>
    <x v="13"/>
    <x v="5"/>
    <x v="4"/>
    <x v="66"/>
    <x v="4"/>
    <s v="https://tools.sig.systems/site/details/241"/>
    <m/>
    <x v="1"/>
    <x v="0"/>
    <x v="3"/>
    <x v="16"/>
    <x v="0"/>
    <x v="6"/>
    <x v="11"/>
    <x v="66"/>
  </r>
  <r>
    <s v="(KG) Truck Center Remote Storage Lot17"/>
    <x v="13"/>
    <x v="13"/>
    <x v="2"/>
    <x v="2"/>
    <x v="14"/>
    <x v="2"/>
    <s v="https://tools.sig.systems/site/details/144"/>
    <m/>
    <x v="1"/>
    <x v="0"/>
    <x v="13"/>
    <x v="5"/>
    <x v="0"/>
    <x v="12"/>
    <x v="14"/>
    <x v="14"/>
  </r>
  <r>
    <s v="(ML) McLarty-Gray Daniels Chevrolet17"/>
    <x v="13"/>
    <x v="13"/>
    <x v="1"/>
    <x v="1"/>
    <x v="109"/>
    <x v="1"/>
    <s v="https://tools.sig.systems/site/details/150"/>
    <m/>
    <x v="1"/>
    <x v="0"/>
    <x v="74"/>
    <x v="0"/>
    <x v="0"/>
    <x v="73"/>
    <x v="80"/>
    <x v="108"/>
  </r>
  <r>
    <s v="(AS) Coggin Honda Ft. Pierce (NO TOURS)17"/>
    <x v="13"/>
    <x v="14"/>
    <x v="0"/>
    <x v="0"/>
    <x v="0"/>
    <x v="0"/>
    <s v="https://tools.sig.systems/site/details/120"/>
    <s v="https://www.google.com/maps/d/viewer?mid=1AyViBuyeq7iwDua1SVudJ2A1BYi3IBA&amp;ll=27.38181516363982%2C-80.32568845000002&amp;z=18"/>
    <x v="0"/>
    <x v="0"/>
    <x v="0"/>
    <x v="0"/>
    <x v="0"/>
    <x v="0"/>
    <x v="0"/>
    <x v="0"/>
  </r>
  <r>
    <s v="(AS) Lexus Plano I &amp; II (NO TOURS)17"/>
    <x v="13"/>
    <x v="14"/>
    <x v="1"/>
    <x v="1"/>
    <x v="1"/>
    <x v="1"/>
    <s v="https://tools.sig.systems/site/details/167"/>
    <s v="https://www.google.com/maps/d/viewer?mid=1wg5suxVuxeNp_irHlvN772HcwD6W89E&amp;ll=33.06373951220261%2C-96.82758025000001&amp;z=18"/>
    <x v="1"/>
    <x v="0"/>
    <x v="1"/>
    <x v="0"/>
    <x v="1"/>
    <x v="1"/>
    <x v="1"/>
    <x v="1"/>
  </r>
  <r>
    <s v="(AS) Plaza Audi/Infiniti (NO TOURS)17"/>
    <x v="13"/>
    <x v="14"/>
    <x v="1"/>
    <x v="1"/>
    <x v="95"/>
    <x v="1"/>
    <s v="https://tools.sig.systems/site/details/141"/>
    <s v="https://www.google.com/maps/d/viewer?mid=1whGZ1PLqmhJnGFz8uigZqUL4cHGGW3w&amp;ll=38.668847686454825%2C-90.4433601&amp;z=17"/>
    <x v="1"/>
    <x v="0"/>
    <x v="68"/>
    <x v="35"/>
    <x v="0"/>
    <x v="65"/>
    <x v="67"/>
    <x v="63"/>
  </r>
  <r>
    <s v="(AS) Stevinson JLR (NO TOURS)17"/>
    <x v="13"/>
    <x v="14"/>
    <x v="3"/>
    <x v="2"/>
    <x v="64"/>
    <x v="3"/>
    <s v="https://tools.sig.systems/site/details/204"/>
    <m/>
    <x v="1"/>
    <x v="0"/>
    <x v="49"/>
    <x v="1"/>
    <x v="0"/>
    <x v="44"/>
    <x v="48"/>
    <x v="64"/>
  </r>
  <r>
    <s v="(DT) Escondido17"/>
    <x v="13"/>
    <x v="14"/>
    <x v="5"/>
    <x v="4"/>
    <x v="98"/>
    <x v="5"/>
    <s v="https://tools.sig.systems/site/details/196"/>
    <m/>
    <x v="1"/>
    <x v="4"/>
    <x v="20"/>
    <x v="0"/>
    <x v="0"/>
    <x v="6"/>
    <x v="70"/>
    <x v="97"/>
  </r>
  <r>
    <s v="(HUD) CDJR of Greensboro17"/>
    <x v="13"/>
    <x v="14"/>
    <x v="0"/>
    <x v="0"/>
    <x v="68"/>
    <x v="6"/>
    <s v="https://tools.sig.systems/site/details/215"/>
    <s v="https://www.google.com/maps/d/viewer?mid=1ejOzT7-x6RWnCf83BBP7XhiOiwEX3Wk&amp;ll=36.061264791292906%2C-79.87437695000003&amp;z=17"/>
    <x v="3"/>
    <x v="0"/>
    <x v="50"/>
    <x v="0"/>
    <x v="0"/>
    <x v="45"/>
    <x v="51"/>
    <x v="68"/>
  </r>
  <r>
    <s v="(PE) JLR Darien PDI (NO TOURS)17"/>
    <x v="13"/>
    <x v="14"/>
    <x v="4"/>
    <x v="0"/>
    <x v="112"/>
    <x v="0"/>
    <s v="https://tools.sig.systems/site/details/187"/>
    <s v="https://www.google.com/maps/d/viewer?mid=1ebZp8DeTYSXNPgDIA63nFVDu9ohaO4E&amp;ll=41.08027837958441%2C-73.46597874999999&amp;z=15"/>
    <x v="1"/>
    <x v="0"/>
    <x v="6"/>
    <x v="0"/>
    <x v="0"/>
    <x v="74"/>
    <x v="83"/>
    <x v="111"/>
  </r>
  <r>
    <s v="(AS) Coggin Acura Ft Pierce (NO TOURS)17"/>
    <x v="13"/>
    <x v="15"/>
    <x v="0"/>
    <x v="0"/>
    <x v="27"/>
    <x v="0"/>
    <s v="https://tools.sig.systems/site/details/118"/>
    <s v="https://www.google.com/maps/d/viewer?mid=1AyViBuyeq7iwDua1SVudJ2A1BYi3IBA&amp;ll=27.38181516363982%2C-80.32568845000002&amp;z=18"/>
    <x v="1"/>
    <x v="0"/>
    <x v="3"/>
    <x v="12"/>
    <x v="0"/>
    <x v="21"/>
    <x v="19"/>
    <x v="27"/>
  </r>
  <r>
    <s v="(AS) Park Place Acura (NO TOURS)17"/>
    <x v="13"/>
    <x v="15"/>
    <x v="1"/>
    <x v="1"/>
    <x v="32"/>
    <x v="1"/>
    <s v="https://tools.sig.systems/site/details/259"/>
    <s v="https://www.google.com/maps/d/viewer?mid=1wg5suxVuxeNp_irHlvN772HcwD6W89E&amp;ll=33.06373951220261%2C-96.82758025000001&amp;z=18"/>
    <x v="1"/>
    <x v="0"/>
    <x v="25"/>
    <x v="0"/>
    <x v="0"/>
    <x v="25"/>
    <x v="11"/>
    <x v="32"/>
  </r>
  <r>
    <s v="(AS) Plano Auction (NO SPEAKERS)17"/>
    <x v="13"/>
    <x v="15"/>
    <x v="1"/>
    <x v="1"/>
    <x v="94"/>
    <x v="1"/>
    <s v="https://tools.sig.systems/site/details/140"/>
    <m/>
    <x v="1"/>
    <x v="0"/>
    <x v="3"/>
    <x v="34"/>
    <x v="0"/>
    <x v="64"/>
    <x v="66"/>
    <x v="94"/>
  </r>
  <r>
    <s v="(DT) W Houston17"/>
    <x v="13"/>
    <x v="15"/>
    <x v="1"/>
    <x v="1"/>
    <x v="10"/>
    <x v="1"/>
    <s v="https://tools.sig.systems/site/details/197"/>
    <m/>
    <x v="1"/>
    <x v="0"/>
    <x v="9"/>
    <x v="2"/>
    <x v="0"/>
    <x v="9"/>
    <x v="10"/>
    <x v="10"/>
  </r>
  <r>
    <s v="(DT) Wichita17"/>
    <x v="13"/>
    <x v="15"/>
    <x v="1"/>
    <x v="1"/>
    <x v="36"/>
    <x v="1"/>
    <s v="https://tools.sig.systems/site/details/257"/>
    <m/>
    <x v="1"/>
    <x v="0"/>
    <x v="3"/>
    <x v="15"/>
    <x v="0"/>
    <x v="6"/>
    <x v="30"/>
    <x v="36"/>
  </r>
  <r>
    <s v="(HUD) Honda Greensboro17"/>
    <x v="13"/>
    <x v="15"/>
    <x v="0"/>
    <x v="0"/>
    <x v="37"/>
    <x v="0"/>
    <s v="https://tools.sig.systems/site/details/230"/>
    <s v="AS/ HUD - Crown Greensboro - Google My Maps"/>
    <x v="1"/>
    <x v="0"/>
    <x v="28"/>
    <x v="0"/>
    <x v="0"/>
    <x v="28"/>
    <x v="31"/>
    <x v="37"/>
  </r>
  <r>
    <s v="(ML) McLarty Gray-Daniels Toyota Nissan17"/>
    <x v="13"/>
    <x v="15"/>
    <x v="1"/>
    <x v="1"/>
    <x v="108"/>
    <x v="1"/>
    <s v="https://tools.sig.systems/site/details/152"/>
    <s v="https://www.google.com/maps/d/edit?mid=111nhCL4Xjj2Pq0zP5xUrMzHQqAihqa0&amp;usp=sharing"/>
    <x v="1"/>
    <x v="0"/>
    <x v="3"/>
    <x v="40"/>
    <x v="0"/>
    <x v="72"/>
    <x v="79"/>
    <x v="107"/>
  </r>
  <r>
    <s v="(RV) Sonny's Camp N Travel Concord17"/>
    <x v="13"/>
    <x v="15"/>
    <x v="0"/>
    <x v="0"/>
    <x v="114"/>
    <x v="0"/>
    <s v="https://tools.sig.systems/site/details/183"/>
    <m/>
    <x v="1"/>
    <x v="0"/>
    <x v="6"/>
    <x v="0"/>
    <x v="0"/>
    <x v="76"/>
    <x v="84"/>
    <x v="113"/>
  </r>
  <r>
    <s v="SIG Office17"/>
    <x v="13"/>
    <x v="15"/>
    <x v="2"/>
    <x v="0"/>
    <x v="85"/>
    <x v="2"/>
    <s v="https://tools.sig.systems/site/details/163"/>
    <m/>
    <x v="1"/>
    <x v="0"/>
    <x v="3"/>
    <x v="0"/>
    <x v="0"/>
    <x v="6"/>
    <x v="60"/>
    <x v="85"/>
  </r>
  <r>
    <s v="(AS) Stevinson Porsche of Littleton (NO TOURS)17"/>
    <x v="13"/>
    <x v="16"/>
    <x v="3"/>
    <x v="2"/>
    <x v="7"/>
    <x v="3"/>
    <s v="https://tools.sig.systems/site/details/242"/>
    <m/>
    <x v="1"/>
    <x v="0"/>
    <x v="7"/>
    <x v="2"/>
    <x v="0"/>
    <x v="6"/>
    <x v="7"/>
    <x v="7"/>
  </r>
  <r>
    <s v="(HUD) Paint and Body Center (NO TOURS)17"/>
    <x v="13"/>
    <x v="16"/>
    <x v="0"/>
    <x v="0"/>
    <x v="38"/>
    <x v="0"/>
    <s v="https://tools.sig.systems/site/details/256"/>
    <s v="https://www.google.com/maps/d/viewer?mid=1ejOzT7-x6RWnCf83BBP7XhiOiwEX3Wk&amp;ll=36.061264791292906%2C-79.87437695000003&amp;z=17"/>
    <x v="1"/>
    <x v="0"/>
    <x v="3"/>
    <x v="9"/>
    <x v="0"/>
    <x v="6"/>
    <x v="11"/>
    <x v="38"/>
  </r>
  <r>
    <s v="(KG) Baytown GMC Buick - Remote Lot (NO TOURS)17"/>
    <x v="13"/>
    <x v="16"/>
    <x v="2"/>
    <x v="1"/>
    <x v="70"/>
    <x v="2"/>
    <s v="https://tools.sig.systems/site/details/311"/>
    <m/>
    <x v="1"/>
    <x v="3"/>
    <x v="3"/>
    <x v="25"/>
    <x v="0"/>
    <x v="6"/>
    <x v="11"/>
    <x v="70"/>
  </r>
  <r>
    <s v="(KG) Baytown GMC Buick (NO TOURS)17"/>
    <x v="13"/>
    <x v="16"/>
    <x v="1"/>
    <x v="1"/>
    <x v="71"/>
    <x v="1"/>
    <s v="https://tools.sig.systems/site/details/239"/>
    <m/>
    <x v="1"/>
    <x v="0"/>
    <x v="52"/>
    <x v="0"/>
    <x v="0"/>
    <x v="47"/>
    <x v="53"/>
    <x v="71"/>
  </r>
  <r>
    <s v="(KG) JLR LEHI (NO TOURS)17"/>
    <x v="13"/>
    <x v="16"/>
    <x v="3"/>
    <x v="2"/>
    <x v="73"/>
    <x v="3"/>
    <s v="https://tools.sig.systems/site/details/145"/>
    <m/>
    <x v="1"/>
    <x v="0"/>
    <x v="54"/>
    <x v="0"/>
    <x v="0"/>
    <x v="49"/>
    <x v="11"/>
    <x v="73"/>
  </r>
  <r>
    <s v="(ML) McLarty Gray-Daniels Ford Lincoln17"/>
    <x v="13"/>
    <x v="16"/>
    <x v="1"/>
    <x v="1"/>
    <x v="79"/>
    <x v="1"/>
    <s v="https://tools.sig.systems/site/details/151"/>
    <s v="https://www.google.com/maps/d/edit?mid=111nhCL4Xjj2Pq0zP5xUrMzHQqAihqa0&amp;usp=sharing"/>
    <x v="1"/>
    <x v="0"/>
    <x v="56"/>
    <x v="29"/>
    <x v="0"/>
    <x v="53"/>
    <x v="57"/>
    <x v="79"/>
  </r>
  <r>
    <s v="(RML) Burleson Nissan17"/>
    <x v="13"/>
    <x v="16"/>
    <x v="1"/>
    <x v="1"/>
    <x v="82"/>
    <x v="1"/>
    <s v="https://tools.sig.systems/site/details/202"/>
    <m/>
    <x v="1"/>
    <x v="0"/>
    <x v="58"/>
    <x v="0"/>
    <x v="0"/>
    <x v="56"/>
    <x v="11"/>
    <x v="82"/>
  </r>
  <r>
    <s v="(TC) Tavernier Creek Marina (NO TOURS)17"/>
    <x v="13"/>
    <x v="16"/>
    <x v="0"/>
    <x v="0"/>
    <x v="84"/>
    <x v="1"/>
    <s v="https://tools.sig.systems/site/details/164"/>
    <m/>
    <x v="6"/>
    <x v="0"/>
    <x v="60"/>
    <x v="0"/>
    <x v="0"/>
    <x v="6"/>
    <x v="59"/>
    <x v="84"/>
  </r>
  <r>
    <s v="(AS) Park Place Bodywerks Ft. Worth (NO TOURS)18"/>
    <x v="14"/>
    <x v="0"/>
    <x v="1"/>
    <x v="1"/>
    <x v="92"/>
    <x v="1"/>
    <s v="https://tools.sig.systems/site/details/134"/>
    <s v="https://www.google.com/maps/d/edit?mid=18OEO_KbvYcgI3N1jE4gTMXfNHTNDrFU&amp;ll=32.66603989958274%2C-97.42021198201722&amp;z=18"/>
    <x v="1"/>
    <x v="0"/>
    <x v="66"/>
    <x v="0"/>
    <x v="0"/>
    <x v="62"/>
    <x v="64"/>
    <x v="92"/>
  </r>
  <r>
    <s v="(DT) Louisville18"/>
    <x v="14"/>
    <x v="0"/>
    <x v="0"/>
    <x v="0"/>
    <x v="67"/>
    <x v="0"/>
    <s v="https://tools.sig.systems/site/details/258"/>
    <m/>
    <x v="1"/>
    <x v="0"/>
    <x v="3"/>
    <x v="16"/>
    <x v="0"/>
    <x v="6"/>
    <x v="50"/>
    <x v="67"/>
  </r>
  <r>
    <s v="(KG) Clear Lake Pre-Owned18"/>
    <x v="14"/>
    <x v="0"/>
    <x v="1"/>
    <x v="1"/>
    <x v="39"/>
    <x v="1"/>
    <s v="https://tools.sig.systems/site/details/255"/>
    <s v="https://www.google.com/maps/d/edit?mid=1DRwy5fy1g5UzGTA7a1OkQA-_CY8SQ2s&amp;usp=sharing"/>
    <x v="1"/>
    <x v="0"/>
    <x v="29"/>
    <x v="0"/>
    <x v="0"/>
    <x v="29"/>
    <x v="32"/>
    <x v="39"/>
  </r>
  <r>
    <s v="(ML) Nissan Of Benton18"/>
    <x v="14"/>
    <x v="0"/>
    <x v="1"/>
    <x v="1"/>
    <x v="80"/>
    <x v="1"/>
    <s v="https://tools.sig.systems/site/details/247"/>
    <m/>
    <x v="1"/>
    <x v="0"/>
    <x v="57"/>
    <x v="0"/>
    <x v="0"/>
    <x v="54"/>
    <x v="11"/>
    <x v="80"/>
  </r>
  <r>
    <s v="(PE) Hudson Toyota Nissan CDJR (NO TOURS)18"/>
    <x v="14"/>
    <x v="0"/>
    <x v="4"/>
    <x v="0"/>
    <x v="81"/>
    <x v="0"/>
    <s v="https://tools.sig.systems/site/details/156"/>
    <m/>
    <x v="1"/>
    <x v="0"/>
    <x v="49"/>
    <x v="30"/>
    <x v="0"/>
    <x v="55"/>
    <x v="58"/>
    <x v="81"/>
  </r>
  <r>
    <s v="(PE) Scofield Service Center (NO TOURS)18"/>
    <x v="14"/>
    <x v="0"/>
    <x v="4"/>
    <x v="0"/>
    <x v="113"/>
    <x v="0"/>
    <s v="https://tools.sig.systems/site/details/193"/>
    <s v="https://www.google.com/maps/d/viewer?mid=1FEo41PzFJQjUIXXKitX5TNCtuqR6Vbs&amp;ll=41.1663376742533%2C-73.22955662049608&amp;z=16"/>
    <x v="1"/>
    <x v="0"/>
    <x v="6"/>
    <x v="0"/>
    <x v="0"/>
    <x v="75"/>
    <x v="51"/>
    <x v="112"/>
  </r>
  <r>
    <s v="(RV) Toms Camperland Avondale (NO TOURS)18"/>
    <x v="14"/>
    <x v="0"/>
    <x v="5"/>
    <x v="3"/>
    <x v="24"/>
    <x v="4"/>
    <s v="https://tools.sig.systems/site/details/248"/>
    <s v="https://www.google.com/maps/d/viewer?mid=1bDs0QGFZwL3vEeGKxjVMk_j4azr0-lg&amp;ll=33.4593758581648%2C-112.28793780000001&amp;z=18"/>
    <x v="2"/>
    <x v="0"/>
    <x v="19"/>
    <x v="10"/>
    <x v="0"/>
    <x v="6"/>
    <x v="20"/>
    <x v="24"/>
  </r>
  <r>
    <s v="(AS) Nalley Lexus &amp; Remote Lot Roswell (NO TOURS)18"/>
    <x v="14"/>
    <x v="1"/>
    <x v="2"/>
    <x v="0"/>
    <x v="4"/>
    <x v="2"/>
    <s v="https://tools.sig.systems/site/details/131"/>
    <s v="https://www.google.com/maps/d/edit?mid=1jkN3DS1BhUqp_dztjjW0PDwKfo_Yxsw&amp;usp=sharing"/>
    <x v="1"/>
    <x v="1"/>
    <x v="4"/>
    <x v="1"/>
    <x v="3"/>
    <x v="4"/>
    <x v="4"/>
    <x v="4"/>
  </r>
  <r>
    <s v="(JE) Jim Ellis Ford Sandy Springs18"/>
    <x v="14"/>
    <x v="1"/>
    <x v="0"/>
    <x v="0"/>
    <x v="69"/>
    <x v="0"/>
    <s v="https://tools.sig.systems/site/details/142"/>
    <m/>
    <x v="1"/>
    <x v="0"/>
    <x v="51"/>
    <x v="0"/>
    <x v="0"/>
    <x v="46"/>
    <x v="52"/>
    <x v="69"/>
  </r>
  <r>
    <s v="(KG) Big Star Ford18"/>
    <x v="14"/>
    <x v="1"/>
    <x v="1"/>
    <x v="1"/>
    <x v="102"/>
    <x v="1"/>
    <s v="https://tools.sig.systems/site/details/235"/>
    <m/>
    <x v="1"/>
    <x v="0"/>
    <x v="72"/>
    <x v="0"/>
    <x v="0"/>
    <x v="70"/>
    <x v="74"/>
    <x v="101"/>
  </r>
  <r>
    <s v="(KG) Texan CDJR18"/>
    <x v="14"/>
    <x v="1"/>
    <x v="1"/>
    <x v="1"/>
    <x v="13"/>
    <x v="1"/>
    <s v="https://tools.sig.systems/site/details/238"/>
    <s v="https://www.google.com/maps/d/edit?mid=1FNqK4dW8Z8gtSWuQLbStrtqe7lH8DIQ&amp;usp=sharing"/>
    <x v="1"/>
    <x v="0"/>
    <x v="12"/>
    <x v="0"/>
    <x v="5"/>
    <x v="11"/>
    <x v="13"/>
    <x v="13"/>
  </r>
  <r>
    <s v="(ML) Columbia Honda (NO TOURS)18"/>
    <x v="14"/>
    <x v="1"/>
    <x v="1"/>
    <x v="1"/>
    <x v="75"/>
    <x v="1"/>
    <s v="https://tools.sig.systems/site/details/272"/>
    <s v="https://www.google.com/maps/d/viewer?hl=es&amp;mid=1C1oZdjH3dNvCvqdpIv_Lk0Yn1OCVn-4&amp;ll=38.965368114274426%2C-92.3405954&amp;z=15"/>
    <x v="1"/>
    <x v="0"/>
    <x v="3"/>
    <x v="26"/>
    <x v="0"/>
    <x v="50"/>
    <x v="56"/>
    <x v="75"/>
  </r>
  <r>
    <s v="(RV) Toms Camperland Mesa (NO TOURS)18"/>
    <x v="14"/>
    <x v="1"/>
    <x v="5"/>
    <x v="3"/>
    <x v="25"/>
    <x v="4"/>
    <s v="https://tools.sig.systems/site/details/222"/>
    <m/>
    <x v="1"/>
    <x v="0"/>
    <x v="20"/>
    <x v="0"/>
    <x v="0"/>
    <x v="6"/>
    <x v="21"/>
    <x v="25"/>
  </r>
  <r>
    <s v="(AS) Bill Estes Ford (NO TOURS)18"/>
    <x v="14"/>
    <x v="2"/>
    <x v="0"/>
    <x v="0"/>
    <x v="55"/>
    <x v="0"/>
    <s v="https://tools.sig.systems/site/details/125"/>
    <m/>
    <x v="1"/>
    <x v="0"/>
    <x v="3"/>
    <x v="21"/>
    <x v="0"/>
    <x v="36"/>
    <x v="41"/>
    <x v="55"/>
  </r>
  <r>
    <s v="(AS) Park Place Mercedes Benz Arlington (NO TOURS)18"/>
    <x v="14"/>
    <x v="2"/>
    <x v="1"/>
    <x v="1"/>
    <x v="61"/>
    <x v="1"/>
    <s v="https://tools.sig.systems/site/details/169"/>
    <m/>
    <x v="1"/>
    <x v="0"/>
    <x v="46"/>
    <x v="0"/>
    <x v="11"/>
    <x v="41"/>
    <x v="46"/>
    <x v="61"/>
  </r>
  <r>
    <s v="(KG) Hyundai Surprise18"/>
    <x v="14"/>
    <x v="2"/>
    <x v="5"/>
    <x v="3"/>
    <x v="103"/>
    <x v="4"/>
    <s v="https://tools.sig.systems/site/details/269"/>
    <m/>
    <x v="4"/>
    <x v="0"/>
    <x v="73"/>
    <x v="0"/>
    <x v="0"/>
    <x v="71"/>
    <x v="11"/>
    <x v="102"/>
  </r>
  <r>
    <s v="(KG) Texan GMC Buick (NO TOURS)18"/>
    <x v="14"/>
    <x v="2"/>
    <x v="1"/>
    <x v="1"/>
    <x v="41"/>
    <x v="1"/>
    <s v="https://tools.sig.systems/site/details/225"/>
    <s v="https://www.google.com/maps/d/edit?mid=1FNqK4dW8Z8gtSWuQLbStrtqe7lH8DIQ&amp;usp=sharing"/>
    <x v="1"/>
    <x v="0"/>
    <x v="31"/>
    <x v="0"/>
    <x v="0"/>
    <x v="31"/>
    <x v="33"/>
    <x v="41"/>
  </r>
  <r>
    <s v="(ML) Joe Machens CDJR18"/>
    <x v="14"/>
    <x v="2"/>
    <x v="1"/>
    <x v="1"/>
    <x v="43"/>
    <x v="1"/>
    <s v="https://tools.sig.systems/site/details/273"/>
    <s v="https://www.google.com/maps/d/viewer?hl=es&amp;mid=1C1oZdjH3dNvCvqdpIv_Lk0Yn1OCVn-4&amp;ll=38.965368114274455%2C-92.3405954&amp;z=15"/>
    <x v="1"/>
    <x v="0"/>
    <x v="3"/>
    <x v="16"/>
    <x v="0"/>
    <x v="6"/>
    <x v="35"/>
    <x v="43"/>
  </r>
  <r>
    <s v="(PE) BMW Tenafly (NO TOURS)18"/>
    <x v="14"/>
    <x v="2"/>
    <x v="4"/>
    <x v="0"/>
    <x v="48"/>
    <x v="0"/>
    <s v="https://tools.sig.systems/site/details/155"/>
    <m/>
    <x v="1"/>
    <x v="0"/>
    <x v="36"/>
    <x v="18"/>
    <x v="0"/>
    <x v="6"/>
    <x v="19"/>
    <x v="48"/>
  </r>
  <r>
    <s v="(AS) Park Place Volvo Sales (NO TOURS)18"/>
    <x v="14"/>
    <x v="3"/>
    <x v="1"/>
    <x v="1"/>
    <x v="33"/>
    <x v="1"/>
    <s v="https://tools.sig.systems/site/details/139"/>
    <s v="https://www.google.com/maps/d/edit?hl=es&amp;mid=1uPmsRMsXnp74hPFW2t-sp2totVWF_xY&amp;ll=32.83050137713022%2C-96.83197783061323&amp;z=17"/>
    <x v="1"/>
    <x v="0"/>
    <x v="26"/>
    <x v="0"/>
    <x v="0"/>
    <x v="26"/>
    <x v="27"/>
    <x v="33"/>
  </r>
  <r>
    <s v="(KG) Big Star CDJR of Clear Lake18"/>
    <x v="14"/>
    <x v="3"/>
    <x v="1"/>
    <x v="1"/>
    <x v="101"/>
    <x v="1"/>
    <s v="https://tools.sig.systems/site/details/232"/>
    <s v="https://www.google.com/maps/d/edit?mid=1DRwy5fy1g5UzGTA7a1OkQA-_CY8SQ2s&amp;usp=sharing"/>
    <x v="1"/>
    <x v="0"/>
    <x v="71"/>
    <x v="0"/>
    <x v="0"/>
    <x v="69"/>
    <x v="73"/>
    <x v="100"/>
  </r>
  <r>
    <s v="(LM) Luther Mazda / Mitsubishi18"/>
    <x v="14"/>
    <x v="3"/>
    <x v="1"/>
    <x v="1"/>
    <x v="74"/>
    <x v="1"/>
    <s v="https://tools.sig.systems/site/details/147"/>
    <s v="https://www.google.com/maps/d/viewer?mid=1ot0ILX76JMuvd9yMuqkb4_e0yH1n7TA&amp;ll=45.07815812965141%2C-93.33506855000002&amp;z=17"/>
    <x v="1"/>
    <x v="0"/>
    <x v="55"/>
    <x v="0"/>
    <x v="12"/>
    <x v="6"/>
    <x v="55"/>
    <x v="74"/>
  </r>
  <r>
    <s v="(ML) Ford Lincoln of North Little Rock18"/>
    <x v="14"/>
    <x v="3"/>
    <x v="1"/>
    <x v="1"/>
    <x v="42"/>
    <x v="1"/>
    <s v="https://tools.sig.systems/site/details/214"/>
    <s v="https://www.google.com/maps/d/edit?mid=1Oky35ERk_2kgyzCvDu_odQ2ZP62BtqA&amp;usp=sharing"/>
    <x v="1"/>
    <x v="0"/>
    <x v="32"/>
    <x v="4"/>
    <x v="0"/>
    <x v="32"/>
    <x v="34"/>
    <x v="42"/>
  </r>
  <r>
    <s v="(ML) Joe Machens VW18"/>
    <x v="14"/>
    <x v="3"/>
    <x v="1"/>
    <x v="1"/>
    <x v="19"/>
    <x v="1"/>
    <s v="https://tools.sig.systems/site/details/274"/>
    <s v="https://www.google.com/maps/d/viewer?hl=es&amp;mid=1C1oZdjH3dNvCvqdpIv_Lk0Yn1OCVn-4&amp;ll=38.965368114274455%2C-92.3405954&amp;z=15"/>
    <x v="1"/>
    <x v="0"/>
    <x v="3"/>
    <x v="8"/>
    <x v="0"/>
    <x v="17"/>
    <x v="11"/>
    <x v="19"/>
  </r>
  <r>
    <s v="(ML) Nissan of Little Rock18"/>
    <x v="14"/>
    <x v="3"/>
    <x v="1"/>
    <x v="1"/>
    <x v="46"/>
    <x v="1"/>
    <s v="https://tools.sig.systems/site/details/224"/>
    <s v="https://www.google.com/maps/d/viewer?mid=1hvbKFMO-d5TXrKGU-g5dt_xcdArB1D0&amp;ll=34.71147784120261%2C-92.40574350000001&amp;z=17"/>
    <x v="1"/>
    <x v="0"/>
    <x v="34"/>
    <x v="0"/>
    <x v="0"/>
    <x v="34"/>
    <x v="7"/>
    <x v="46"/>
  </r>
  <r>
    <s v="(PE) BMW of Greenwich (NO TOURS)18"/>
    <x v="14"/>
    <x v="3"/>
    <x v="4"/>
    <x v="0"/>
    <x v="110"/>
    <x v="0"/>
    <s v="https://tools.sig.systems/site/details/186"/>
    <s v="https://www.google.com/maps/d/edit?hl=en&amp;mid=1UHmt7tH1ihTa85i0MfQIcTfVvIQg_vM&amp;ll=41.024187580466844%2C-73.63702405370861&amp;z=18"/>
    <x v="1"/>
    <x v="0"/>
    <x v="75"/>
    <x v="0"/>
    <x v="0"/>
    <x v="6"/>
    <x v="81"/>
    <x v="109"/>
  </r>
  <r>
    <s v="(AS) Mercedes Benz/Porsche Dallas I,II,III (NO TOURS)18"/>
    <x v="14"/>
    <x v="4"/>
    <x v="1"/>
    <x v="1"/>
    <x v="2"/>
    <x v="1"/>
    <s v="https://tools.sig.systems/site/details/168"/>
    <s v="https://www.google.com/maps/d/edit?hl=es&amp;mid=1uPmsRMsXnp74hPFW2t-sp2totVWF_xY&amp;ll=32.83050137713022%2C-96.83197783061323&amp;z=17"/>
    <x v="1"/>
    <x v="0"/>
    <x v="2"/>
    <x v="0"/>
    <x v="2"/>
    <x v="2"/>
    <x v="2"/>
    <x v="2"/>
  </r>
  <r>
    <s v="(DT) Colorado Springs (NO TOURS)18"/>
    <x v="14"/>
    <x v="4"/>
    <x v="3"/>
    <x v="2"/>
    <x v="65"/>
    <x v="3"/>
    <s v="https://tools.sig.systems/site/details/198"/>
    <m/>
    <x v="1"/>
    <x v="0"/>
    <x v="3"/>
    <x v="24"/>
    <x v="0"/>
    <x v="6"/>
    <x v="49"/>
    <x v="65"/>
  </r>
  <r>
    <s v="(ML) BMW of Little Rock18"/>
    <x v="14"/>
    <x v="4"/>
    <x v="1"/>
    <x v="1"/>
    <x v="105"/>
    <x v="1"/>
    <s v="https://tools.sig.systems/site/details/217"/>
    <s v="https://www.google.com/maps/d/viewer?mid=1hvbKFMO-d5TXrKGU-g5dt_xcdArB1D0&amp;ll=34.71147784120261%2C-92.40574350000001&amp;z=17"/>
    <x v="1"/>
    <x v="0"/>
    <x v="3"/>
    <x v="38"/>
    <x v="0"/>
    <x v="6"/>
    <x v="76"/>
    <x v="104"/>
  </r>
  <r>
    <s v="(ML) Joe Machens Toyota18"/>
    <x v="14"/>
    <x v="4"/>
    <x v="1"/>
    <x v="1"/>
    <x v="18"/>
    <x v="1"/>
    <s v="https://tools.sig.systems/site/details/275"/>
    <s v="https://www.google.com/maps/d/viewer?hl=es&amp;mid=1C1oZdjH3dNvCvqdpIv_Lk0Yn1OCVn-4&amp;ll=38.965368114274455%2C-92.3405954&amp;z=15"/>
    <x v="1"/>
    <x v="0"/>
    <x v="3"/>
    <x v="7"/>
    <x v="0"/>
    <x v="16"/>
    <x v="11"/>
    <x v="18"/>
  </r>
  <r>
    <s v="(ML) Toyota N Little Rock18"/>
    <x v="14"/>
    <x v="4"/>
    <x v="1"/>
    <x v="1"/>
    <x v="21"/>
    <x v="1"/>
    <s v="https://tools.sig.systems/site/details/201"/>
    <s v="https://www.google.com/maps/d/edit?mid=1Oky35ERk_2kgyzCvDu_odQ2ZP62BtqA&amp;usp=sharing"/>
    <x v="1"/>
    <x v="0"/>
    <x v="17"/>
    <x v="0"/>
    <x v="0"/>
    <x v="19"/>
    <x v="11"/>
    <x v="21"/>
  </r>
  <r>
    <s v="(PE) JLR PDI (NO TOURS)18"/>
    <x v="14"/>
    <x v="4"/>
    <x v="4"/>
    <x v="0"/>
    <x v="50"/>
    <x v="0"/>
    <s v="https://tools.sig.systems/site/details/179"/>
    <s v="https://www.google.com/maps/d/viewer?mid=1ubI2iKs1JyYXssuT4oLPnVvFnyLPi_s&amp;ll=40.878808846788026%2C-73.98560655&amp;z=17"/>
    <x v="1"/>
    <x v="0"/>
    <x v="37"/>
    <x v="0"/>
    <x v="0"/>
    <x v="6"/>
    <x v="11"/>
    <x v="50"/>
  </r>
  <r>
    <s v="(AS) Park Place Sprinter Van Center (NO TOURS)18"/>
    <x v="14"/>
    <x v="5"/>
    <x v="1"/>
    <x v="1"/>
    <x v="6"/>
    <x v="1"/>
    <s v="https://tools.sig.systems/site/details/138"/>
    <s v="https://www.google.com/maps/d/edit?hl=es&amp;mid=1uPmsRMsXnp74hPFW2t-sp2totVWF_xY&amp;ll=32.83050137713022%2C-96.83197783061323&amp;z=17"/>
    <x v="1"/>
    <x v="0"/>
    <x v="6"/>
    <x v="0"/>
    <x v="0"/>
    <x v="6"/>
    <x v="6"/>
    <x v="6"/>
  </r>
  <r>
    <s v="(AS) Stevinson Chevrolet Golden (NO TOURS)18"/>
    <x v="14"/>
    <x v="5"/>
    <x v="7"/>
    <x v="2"/>
    <x v="96"/>
    <x v="3"/>
    <s v="https://tools.sig.systems/site/details/264"/>
    <s v="https://www.google.com/maps/d/edit?mid=1nAyK85WaWREy0lfxnmWn3USs2gC0nP0&amp;usp=sharing"/>
    <x v="1"/>
    <x v="0"/>
    <x v="3"/>
    <x v="36"/>
    <x v="0"/>
    <x v="66"/>
    <x v="68"/>
    <x v="95"/>
  </r>
  <r>
    <s v="(AS) Stevinson Lexus of Lakewood (NO TOURS)18"/>
    <x v="14"/>
    <x v="5"/>
    <x v="3"/>
    <x v="2"/>
    <x v="34"/>
    <x v="3"/>
    <s v="https://tools.sig.systems/site/details/260"/>
    <s v="https://www.google.com/maps/d/edit?mid=1nAyK85WaWREy0lfxnmWn3USs2gC0nP0&amp;usp=sharing"/>
    <x v="1"/>
    <x v="0"/>
    <x v="3"/>
    <x v="14"/>
    <x v="8"/>
    <x v="6"/>
    <x v="28"/>
    <x v="34"/>
  </r>
  <r>
    <s v="(HUD) Honda of Southpoint18"/>
    <x v="14"/>
    <x v="5"/>
    <x v="0"/>
    <x v="0"/>
    <x v="11"/>
    <x v="0"/>
    <s v="https://tools.sig.systems/site/details/195"/>
    <m/>
    <x v="0"/>
    <x v="0"/>
    <x v="10"/>
    <x v="4"/>
    <x v="0"/>
    <x v="10"/>
    <x v="11"/>
    <x v="11"/>
  </r>
  <r>
    <s v="(ML) Joe Machens E Collision Center18"/>
    <x v="14"/>
    <x v="5"/>
    <x v="1"/>
    <x v="1"/>
    <x v="76"/>
    <x v="1"/>
    <s v="https://tools.sig.systems/site/details/277"/>
    <s v="https://www.google.com/maps/d/viewer?hl=es&amp;mid=1C1oZdjH3dNvCvqdpIv_Lk0Yn1OCVn-4&amp;ll=38.965368114274455%2C-92.3405954&amp;z=15"/>
    <x v="1"/>
    <x v="0"/>
    <x v="6"/>
    <x v="0"/>
    <x v="0"/>
    <x v="51"/>
    <x v="57"/>
    <x v="76"/>
  </r>
  <r>
    <s v="(ML) Nissan of North Little Rock18"/>
    <x v="14"/>
    <x v="5"/>
    <x v="1"/>
    <x v="1"/>
    <x v="20"/>
    <x v="1"/>
    <s v="https://tools.sig.systems/site/details/216"/>
    <s v="https://www.google.com/maps/d/edit?mid=1Oky35ERk_2kgyzCvDu_odQ2ZP62BtqA&amp;usp=sharing"/>
    <x v="1"/>
    <x v="0"/>
    <x v="16"/>
    <x v="0"/>
    <x v="0"/>
    <x v="18"/>
    <x v="17"/>
    <x v="20"/>
  </r>
  <r>
    <s v="(PE) BMW of Mamaroneck (NO TOURS)18"/>
    <x v="14"/>
    <x v="5"/>
    <x v="4"/>
    <x v="0"/>
    <x v="111"/>
    <x v="0"/>
    <s v="https://tools.sig.systems/site/details/185"/>
    <m/>
    <x v="1"/>
    <x v="0"/>
    <x v="76"/>
    <x v="41"/>
    <x v="0"/>
    <x v="6"/>
    <x v="82"/>
    <x v="110"/>
  </r>
  <r>
    <s v="(SCH) Prep Center Delray18"/>
    <x v="14"/>
    <x v="5"/>
    <x v="0"/>
    <x v="0"/>
    <x v="53"/>
    <x v="0"/>
    <s v="https://tools.sig.systems/site/details/321"/>
    <m/>
    <x v="1"/>
    <x v="0"/>
    <x v="40"/>
    <x v="0"/>
    <x v="0"/>
    <x v="6"/>
    <x v="39"/>
    <x v="53"/>
  </r>
  <r>
    <s v="(AS) Atwell Prep Center-Dallas (NO TOURS)18"/>
    <x v="14"/>
    <x v="6"/>
    <x v="1"/>
    <x v="1"/>
    <x v="86"/>
    <x v="1"/>
    <s v="https://tools.sig.systems/site/details/165"/>
    <s v="https://www.google.com/maps/d/edit?hl=es&amp;mid=1uPmsRMsXnp74hPFW2t-sp2totVWF_xY&amp;ll=32.83050137713022%2C-96.83197783061323&amp;z=17"/>
    <x v="1"/>
    <x v="0"/>
    <x v="61"/>
    <x v="0"/>
    <x v="0"/>
    <x v="6"/>
    <x v="28"/>
    <x v="86"/>
  </r>
  <r>
    <s v="(AS) Courtesy CDJR of Brandon (NO TOURS)18"/>
    <x v="14"/>
    <x v="6"/>
    <x v="0"/>
    <x v="0"/>
    <x v="56"/>
    <x v="0"/>
    <s v="https://tools.sig.systems/site/details/126"/>
    <s v="https://www.google.com/maps/d/edit?mid=15R4hTDQx56ij99--JgozdqOIZh-kSlk&amp;usp=sharing"/>
    <x v="0"/>
    <x v="0"/>
    <x v="42"/>
    <x v="9"/>
    <x v="0"/>
    <x v="37"/>
    <x v="42"/>
    <x v="56"/>
  </r>
  <r>
    <s v="(AS) Park Place Mercedes Benz Ft. Worth (NO TOURS)18"/>
    <x v="14"/>
    <x v="6"/>
    <x v="1"/>
    <x v="1"/>
    <x v="5"/>
    <x v="1"/>
    <s v="https://tools.sig.systems/site/details/137"/>
    <s v="https://www.google.com/maps/d/edit?mid=18OEO_KbvYcgI3N1jE4gTMXfNHTNDrFU&amp;ll=32.66603989958274%2C-97.42021198201722&amp;z=18"/>
    <x v="1"/>
    <x v="0"/>
    <x v="5"/>
    <x v="0"/>
    <x v="4"/>
    <x v="5"/>
    <x v="5"/>
    <x v="5"/>
  </r>
  <r>
    <s v="(AS) Stevinson Toyota West (NO TOURS)18"/>
    <x v="14"/>
    <x v="6"/>
    <x v="3"/>
    <x v="2"/>
    <x v="8"/>
    <x v="3"/>
    <s v="https://tools.sig.systems/site/details/240"/>
    <s v="https://www.google.com/maps/d/edit?mid=1nAyK85WaWREy0lfxnmWn3USs2gC0nP0&amp;usp=sharing"/>
    <x v="1"/>
    <x v="0"/>
    <x v="3"/>
    <x v="3"/>
    <x v="0"/>
    <x v="7"/>
    <x v="8"/>
    <x v="8"/>
  </r>
  <r>
    <s v="(ML) Honda of Little Rock18"/>
    <x v="14"/>
    <x v="6"/>
    <x v="1"/>
    <x v="1"/>
    <x v="16"/>
    <x v="1"/>
    <s v="https://tools.sig.systems/site/details/249"/>
    <s v="https://www.google.com/maps/d/viewer?mid=1hvbKFMO-d5TXrKGU-g5dt_xcdArB1D0&amp;ll=34.71147784120261%2C-92.40574350000001&amp;z=17"/>
    <x v="1"/>
    <x v="0"/>
    <x v="15"/>
    <x v="0"/>
    <x v="0"/>
    <x v="14"/>
    <x v="15"/>
    <x v="16"/>
  </r>
  <r>
    <s v="(ML) Joe Machens Temporary 2.018"/>
    <x v="14"/>
    <x v="6"/>
    <x v="1"/>
    <x v="1"/>
    <x v="44"/>
    <x v="1"/>
    <s v="https://tools.sig.systems/site/details/278"/>
    <s v="https://www.google.com/maps/d/viewer?hl=es&amp;mid=1C1oZdjH3dNvCvqdpIv_Lk0Yn1OCVn-4&amp;ll=38.965368114274455%2C-92.3405954&amp;z=15"/>
    <x v="1"/>
    <x v="0"/>
    <x v="3"/>
    <x v="17"/>
    <x v="0"/>
    <x v="33"/>
    <x v="11"/>
    <x v="44"/>
  </r>
  <r>
    <s v="(SCH) Auto Body Shop Lake Park18"/>
    <x v="14"/>
    <x v="6"/>
    <x v="0"/>
    <x v="0"/>
    <x v="83"/>
    <x v="0"/>
    <s v="https://tools.sig.systems/site/details/158"/>
    <m/>
    <x v="1"/>
    <x v="0"/>
    <x v="59"/>
    <x v="0"/>
    <x v="0"/>
    <x v="6"/>
    <x v="11"/>
    <x v="83"/>
  </r>
  <r>
    <s v="(AS) Courtesy Honda Palm Harbor (NO TOURS)18"/>
    <x v="14"/>
    <x v="7"/>
    <x v="0"/>
    <x v="0"/>
    <x v="88"/>
    <x v="0"/>
    <s v="https://tools.sig.systems/site/details/176"/>
    <m/>
    <x v="3"/>
    <x v="0"/>
    <x v="63"/>
    <x v="0"/>
    <x v="0"/>
    <x v="58"/>
    <x v="24"/>
    <x v="88"/>
  </r>
  <r>
    <s v="(AS) Park Place Bodywerks Dallas (NO TOURS)18"/>
    <x v="14"/>
    <x v="7"/>
    <x v="1"/>
    <x v="1"/>
    <x v="59"/>
    <x v="1"/>
    <s v="https://tools.sig.systems/site/details/166"/>
    <s v="https://www.google.com/maps/d/edit?hl=es&amp;mid=1uPmsRMsXnp74hPFW2t-sp2totVWF_xY&amp;ll=32.83050137713022%2C-96.83197783061323&amp;z=17"/>
    <x v="1"/>
    <x v="0"/>
    <x v="44"/>
    <x v="9"/>
    <x v="0"/>
    <x v="6"/>
    <x v="45"/>
    <x v="59"/>
  </r>
  <r>
    <s v="(KG) Big Star Honda18"/>
    <x v="14"/>
    <x v="7"/>
    <x v="1"/>
    <x v="1"/>
    <x v="72"/>
    <x v="1"/>
    <s v="https://tools.sig.systems/site/details/231"/>
    <m/>
    <x v="1"/>
    <x v="0"/>
    <x v="53"/>
    <x v="0"/>
    <x v="0"/>
    <x v="48"/>
    <x v="54"/>
    <x v="72"/>
  </r>
  <r>
    <s v="(ML) Collision Center N Little Rock18"/>
    <x v="14"/>
    <x v="7"/>
    <x v="1"/>
    <x v="1"/>
    <x v="106"/>
    <x v="1"/>
    <s v="https://tools.sig.systems/site/details/212"/>
    <s v="https://www.google.com/maps/d/edit?mid=1Oky35ERk_2kgyzCvDu_odQ2ZP62BtqA&amp;usp=sharing"/>
    <x v="1"/>
    <x v="0"/>
    <x v="3"/>
    <x v="0"/>
    <x v="0"/>
    <x v="6"/>
    <x v="77"/>
    <x v="105"/>
  </r>
  <r>
    <s v="(ML) Joe Machens Nissan18"/>
    <x v="14"/>
    <x v="7"/>
    <x v="1"/>
    <x v="1"/>
    <x v="78"/>
    <x v="1"/>
    <s v="https://tools.sig.systems/site/details/279"/>
    <s v="https://www.google.com/maps/d/viewer?hl=es&amp;mid=1C1oZdjH3dNvCvqdpIv_Lk0Yn1OCVn-4&amp;ll=38.965368114274455%2C-92.3405954&amp;z=15"/>
    <x v="1"/>
    <x v="0"/>
    <x v="3"/>
    <x v="28"/>
    <x v="0"/>
    <x v="6"/>
    <x v="11"/>
    <x v="78"/>
  </r>
  <r>
    <s v="(SCH) Chevrolet North Palm18"/>
    <x v="14"/>
    <x v="7"/>
    <x v="0"/>
    <x v="0"/>
    <x v="52"/>
    <x v="0"/>
    <s v="https://tools.sig.systems/site/details/160"/>
    <m/>
    <x v="3"/>
    <x v="0"/>
    <x v="39"/>
    <x v="0"/>
    <x v="0"/>
    <x v="6"/>
    <x v="38"/>
    <x v="52"/>
  </r>
  <r>
    <s v="(AS) Park Place MB Recon Center Dallas (NO TOURS)18"/>
    <x v="14"/>
    <x v="8"/>
    <x v="1"/>
    <x v="1"/>
    <x v="60"/>
    <x v="1"/>
    <s v="https://tools.sig.systems/site/details/170"/>
    <s v="https://www.google.com/maps/d/edit?hl=es&amp;mid=1uPmsRMsXnp74hPFW2t-sp2totVWF_xY&amp;ll=32.83050137713022%2C-96.83197783061323&amp;z=17"/>
    <x v="1"/>
    <x v="0"/>
    <x v="45"/>
    <x v="0"/>
    <x v="0"/>
    <x v="40"/>
    <x v="19"/>
    <x v="60"/>
  </r>
  <r>
    <s v="(ML) Joe Machens Ford Lincoln I &amp; II18"/>
    <x v="14"/>
    <x v="8"/>
    <x v="1"/>
    <x v="1"/>
    <x v="77"/>
    <x v="1"/>
    <s v="https://tools.sig.systems/site/details/266"/>
    <s v="https://www.google.com/maps/d/viewer?hl=es&amp;mid=1C1oZdjH3dNvCvqdpIv_Lk0Yn1OCVn-4&amp;ll=38.965368114274455%2C-92.3405954&amp;z=15"/>
    <x v="1"/>
    <x v="0"/>
    <x v="3"/>
    <x v="27"/>
    <x v="0"/>
    <x v="52"/>
    <x v="11"/>
    <x v="77"/>
  </r>
  <r>
    <s v="(ML) Joe Machens Kia of Columbia18"/>
    <x v="14"/>
    <x v="8"/>
    <x v="1"/>
    <x v="1"/>
    <x v="107"/>
    <x v="1"/>
    <s v="https://tools.sig.systems/site/details/270"/>
    <s v="https://www.google.com/maps/d/viewer?hl=es&amp;mid=1C1oZdjH3dNvCvqdpIv_Lk0Yn1OCVn-4&amp;ll=38.965368114274455%2C-92.3405954&amp;z=15"/>
    <x v="1"/>
    <x v="0"/>
    <x v="3"/>
    <x v="39"/>
    <x v="0"/>
    <x v="6"/>
    <x v="78"/>
    <x v="106"/>
  </r>
  <r>
    <s v="(SCH) Delray I &amp; II18"/>
    <x v="14"/>
    <x v="8"/>
    <x v="0"/>
    <x v="0"/>
    <x v="26"/>
    <x v="0"/>
    <s v="https://tools.sig.systems/site/details/159"/>
    <m/>
    <x v="3"/>
    <x v="0"/>
    <x v="21"/>
    <x v="11"/>
    <x v="6"/>
    <x v="6"/>
    <x v="22"/>
    <x v="26"/>
  </r>
  <r>
    <s v="(WAG) Greeley Chrysler Dodge Jeep Ram (NO TOURS)18"/>
    <x v="14"/>
    <x v="8"/>
    <x v="3"/>
    <x v="2"/>
    <x v="115"/>
    <x v="3"/>
    <s v="https://tools.sig.systems/site/details/130"/>
    <s v="https://www.google.com/maps/d/viewer?mid=1gN2lJ0iT7m5VNhD7aDcxE8AdXqtcOZc&amp;ll=40.396096737592195%2C-104.746842&amp;z=16"/>
    <x v="1"/>
    <x v="0"/>
    <x v="77"/>
    <x v="42"/>
    <x v="0"/>
    <x v="77"/>
    <x v="85"/>
    <x v="114"/>
  </r>
  <r>
    <s v="(AS) Courtesy Kia of Brandon (NO TOURS)18"/>
    <x v="14"/>
    <x v="9"/>
    <x v="0"/>
    <x v="0"/>
    <x v="57"/>
    <x v="0"/>
    <s v="https://tools.sig.systems/site/details/121"/>
    <s v="https://www.google.com/maps/d/edit?mid=15R4hTDQx56ij99--JgozdqOIZh-kSlk&amp;usp=sharing"/>
    <x v="0"/>
    <x v="0"/>
    <x v="3"/>
    <x v="22"/>
    <x v="0"/>
    <x v="38"/>
    <x v="43"/>
    <x v="57"/>
  </r>
  <r>
    <s v="(DT) Denver (NO TOURS)18"/>
    <x v="14"/>
    <x v="9"/>
    <x v="3"/>
    <x v="2"/>
    <x v="97"/>
    <x v="3"/>
    <s v="https://tools.sig.systems/site/details/203"/>
    <s v="https://www.google.com/maps/d/edit?mid=1AjZHz2LTg0RMhZUOmyZsv_Y4MFcaP8g&amp;usp=sharing"/>
    <x v="1"/>
    <x v="0"/>
    <x v="3"/>
    <x v="25"/>
    <x v="0"/>
    <x v="6"/>
    <x v="69"/>
    <x v="96"/>
  </r>
  <r>
    <s v="(SCH) West Palm Beach I, II &amp; III18"/>
    <x v="14"/>
    <x v="9"/>
    <x v="6"/>
    <x v="0"/>
    <x v="54"/>
    <x v="0"/>
    <s v="https://tools.sig.systems/site/details/162"/>
    <m/>
    <x v="3"/>
    <x v="2"/>
    <x v="41"/>
    <x v="20"/>
    <x v="10"/>
    <x v="6"/>
    <x v="40"/>
    <x v="54"/>
  </r>
  <r>
    <s v="(AS) David McDavid Lincoln Frisco (NO TOURS)18"/>
    <x v="14"/>
    <x v="10"/>
    <x v="1"/>
    <x v="1"/>
    <x v="58"/>
    <x v="1"/>
    <s v="https://tools.sig.systems/site/details/182"/>
    <m/>
    <x v="1"/>
    <x v="0"/>
    <x v="43"/>
    <x v="0"/>
    <x v="0"/>
    <x v="39"/>
    <x v="44"/>
    <x v="58"/>
  </r>
  <r>
    <s v="(AS) Lexus Smyrna (NO TOURS)18"/>
    <x v="14"/>
    <x v="10"/>
    <x v="0"/>
    <x v="0"/>
    <x v="30"/>
    <x v="0"/>
    <s v="https://tools.sig.systems/site/details/133"/>
    <m/>
    <x v="1"/>
    <x v="0"/>
    <x v="24"/>
    <x v="0"/>
    <x v="0"/>
    <x v="24"/>
    <x v="25"/>
    <x v="30"/>
  </r>
  <r>
    <s v="(AS) Nalley BMW Collision Center (NO TOURS)18"/>
    <x v="14"/>
    <x v="10"/>
    <x v="0"/>
    <x v="0"/>
    <x v="3"/>
    <x v="0"/>
    <s v="https://tools.sig.systems/site/details/220"/>
    <m/>
    <x v="1"/>
    <x v="0"/>
    <x v="3"/>
    <x v="1"/>
    <x v="0"/>
    <x v="3"/>
    <x v="3"/>
    <x v="3"/>
  </r>
  <r>
    <s v="(DT) Albuquerque18"/>
    <x v="14"/>
    <x v="10"/>
    <x v="3"/>
    <x v="2"/>
    <x v="35"/>
    <x v="3"/>
    <s v="https://tools.sig.systems/site/details/237"/>
    <m/>
    <x v="1"/>
    <x v="0"/>
    <x v="27"/>
    <x v="0"/>
    <x v="0"/>
    <x v="27"/>
    <x v="29"/>
    <x v="35"/>
  </r>
  <r>
    <s v="(ML) Mazda VW-Lot B18"/>
    <x v="14"/>
    <x v="10"/>
    <x v="1"/>
    <x v="1"/>
    <x v="45"/>
    <x v="1"/>
    <s v="https://tools.sig.systems/site/details/205"/>
    <s v="https://www.google.com/maps/d/edit?mid=1Oky35ERk_2kgyzCvDu_odQ2ZP62BtqA&amp;usp=sharing"/>
    <x v="1"/>
    <x v="0"/>
    <x v="33"/>
    <x v="9"/>
    <x v="0"/>
    <x v="30"/>
    <x v="11"/>
    <x v="45"/>
  </r>
  <r>
    <s v="(ML) Volvo Collision Corp18"/>
    <x v="14"/>
    <x v="10"/>
    <x v="1"/>
    <x v="1"/>
    <x v="47"/>
    <x v="1"/>
    <s v="https://tools.sig.systems/site/details/223"/>
    <m/>
    <x v="1"/>
    <x v="0"/>
    <x v="35"/>
    <x v="1"/>
    <x v="0"/>
    <x v="35"/>
    <x v="11"/>
    <x v="47"/>
  </r>
  <r>
    <s v="(PE) Fairfield Collision (NO TOURS)18"/>
    <x v="14"/>
    <x v="10"/>
    <x v="4"/>
    <x v="0"/>
    <x v="22"/>
    <x v="0"/>
    <s v="https://tools.sig.systems/site/details/191"/>
    <m/>
    <x v="1"/>
    <x v="0"/>
    <x v="18"/>
    <x v="0"/>
    <x v="0"/>
    <x v="6"/>
    <x v="18"/>
    <x v="22"/>
  </r>
  <r>
    <s v="(HUD) Acura of Greensboro18"/>
    <x v="14"/>
    <x v="11"/>
    <x v="0"/>
    <x v="0"/>
    <x v="99"/>
    <x v="0"/>
    <s v="https://tools.sig.systems/site/details/213"/>
    <s v="https://www.google.com/maps/d/viewer?mid=1ejOzT7-x6RWnCf83BBP7XhiOiwEX3Wk&amp;ll=0%2C0&amp;z=17"/>
    <x v="1"/>
    <x v="0"/>
    <x v="69"/>
    <x v="0"/>
    <x v="0"/>
    <x v="67"/>
    <x v="71"/>
    <x v="98"/>
  </r>
  <r>
    <s v="(KG) Kia of Phoenix (NO TOURS)18"/>
    <x v="14"/>
    <x v="11"/>
    <x v="5"/>
    <x v="3"/>
    <x v="40"/>
    <x v="4"/>
    <s v="https://tools.sig.systems/site/details/262"/>
    <m/>
    <x v="4"/>
    <x v="0"/>
    <x v="30"/>
    <x v="0"/>
    <x v="0"/>
    <x v="30"/>
    <x v="11"/>
    <x v="40"/>
  </r>
  <r>
    <s v="(KT) Northwest CDJR (NO TOURS)18"/>
    <x v="14"/>
    <x v="11"/>
    <x v="1"/>
    <x v="1"/>
    <x v="15"/>
    <x v="1"/>
    <s v="https://tools.sig.systems/site/details/229"/>
    <m/>
    <x v="1"/>
    <x v="0"/>
    <x v="14"/>
    <x v="0"/>
    <x v="0"/>
    <x v="13"/>
    <x v="11"/>
    <x v="15"/>
  </r>
  <r>
    <s v="(MK) McKenny Salinas Honda18"/>
    <x v="14"/>
    <x v="11"/>
    <x v="0"/>
    <x v="0"/>
    <x v="104"/>
    <x v="0"/>
    <s v="https://tools.sig.systems/site/details/149"/>
    <m/>
    <x v="1"/>
    <x v="0"/>
    <x v="3"/>
    <x v="37"/>
    <x v="0"/>
    <x v="6"/>
    <x v="75"/>
    <x v="103"/>
  </r>
  <r>
    <s v="(ML) Joe Machens Capital City I &amp; II (NO TOURS)18"/>
    <x v="14"/>
    <x v="11"/>
    <x v="1"/>
    <x v="1"/>
    <x v="17"/>
    <x v="1"/>
    <s v="https://tools.sig.systems/site/details/271"/>
    <m/>
    <x v="1"/>
    <x v="0"/>
    <x v="3"/>
    <x v="6"/>
    <x v="0"/>
    <x v="15"/>
    <x v="16"/>
    <x v="17"/>
  </r>
  <r>
    <s v="(AS) Courtesy Hyundai/Nissan Tampa (NO TOURS)18"/>
    <x v="14"/>
    <x v="12"/>
    <x v="0"/>
    <x v="0"/>
    <x v="89"/>
    <x v="0"/>
    <s v="https://tools.sig.systems/site/details/128"/>
    <m/>
    <x v="0"/>
    <x v="0"/>
    <x v="64"/>
    <x v="0"/>
    <x v="0"/>
    <x v="59"/>
    <x v="62"/>
    <x v="89"/>
  </r>
  <r>
    <s v="(AS) Mike Shaw Subaru Greeley (NO TOURS)18"/>
    <x v="14"/>
    <x v="12"/>
    <x v="3"/>
    <x v="2"/>
    <x v="91"/>
    <x v="3"/>
    <s v="https://tools.sig.systems/site/details/174"/>
    <s v="https://www.google.com/maps/d/viewer?mid=1gN2lJ0iT7m5VNhD7aDcxE8AdXqtcOZc&amp;ll=40.396096737592195%2C-104.746842&amp;z=16"/>
    <x v="1"/>
    <x v="0"/>
    <x v="65"/>
    <x v="32"/>
    <x v="0"/>
    <x v="61"/>
    <x v="11"/>
    <x v="91"/>
  </r>
  <r>
    <s v="(AS) Park Place JLR DFW Airport (NO TOURS)18"/>
    <x v="14"/>
    <x v="12"/>
    <x v="1"/>
    <x v="1"/>
    <x v="93"/>
    <x v="1"/>
    <s v="https://tools.sig.systems/site/details/135"/>
    <m/>
    <x v="1"/>
    <x v="0"/>
    <x v="67"/>
    <x v="33"/>
    <x v="13"/>
    <x v="63"/>
    <x v="65"/>
    <x v="93"/>
  </r>
  <r>
    <s v="(AS) Plano Auction (NO SPEAKERS)18"/>
    <x v="14"/>
    <x v="12"/>
    <x v="1"/>
    <x v="1"/>
    <x v="94"/>
    <x v="1"/>
    <s v="https://tools.sig.systems/site/details/140"/>
    <m/>
    <x v="1"/>
    <x v="0"/>
    <x v="3"/>
    <x v="34"/>
    <x v="0"/>
    <x v="64"/>
    <x v="66"/>
    <x v="94"/>
  </r>
  <r>
    <s v="(HUD) BMW of Greensboro18"/>
    <x v="14"/>
    <x v="12"/>
    <x v="0"/>
    <x v="0"/>
    <x v="100"/>
    <x v="0"/>
    <s v="https://tools.sig.systems/site/details/219"/>
    <s v="https://www.google.com/maps/d/viewer?mid=1ejOzT7-x6RWnCf83BBP7XhiOiwEX3Wk&amp;ll=36.061264791292906%2C-79.87437695000003&amp;z=17"/>
    <x v="1"/>
    <x v="0"/>
    <x v="70"/>
    <x v="0"/>
    <x v="0"/>
    <x v="68"/>
    <x v="72"/>
    <x v="99"/>
  </r>
  <r>
    <s v="(PE) Honda of Danbury (NO TOURS)18"/>
    <x v="14"/>
    <x v="12"/>
    <x v="4"/>
    <x v="0"/>
    <x v="49"/>
    <x v="0"/>
    <s v="https://tools.sig.systems/site/details/190"/>
    <m/>
    <x v="1"/>
    <x v="0"/>
    <x v="3"/>
    <x v="19"/>
    <x v="9"/>
    <x v="6"/>
    <x v="36"/>
    <x v="49"/>
  </r>
  <r>
    <s v="(PE) Mercedes Benz &amp; Smart Bldg. of Fairfield (NO TOURS)18"/>
    <x v="14"/>
    <x v="12"/>
    <x v="4"/>
    <x v="0"/>
    <x v="23"/>
    <x v="0"/>
    <s v="https://tools.sig.systems/site/details/192"/>
    <s v="https://www.google.com/maps/d/viewer?mid=1FEo41PzFJQjUIXXKitX5TNCtuqR6Vbs&amp;ll=41.1663376742533%2C-73.22955662049608&amp;z=16"/>
    <x v="1"/>
    <x v="0"/>
    <x v="3"/>
    <x v="9"/>
    <x v="0"/>
    <x v="20"/>
    <x v="19"/>
    <x v="23"/>
  </r>
  <r>
    <s v="(AS) Coggin Mercedes Benz Ft Pierce (NO TOURS)18"/>
    <x v="14"/>
    <x v="13"/>
    <x v="0"/>
    <x v="0"/>
    <x v="28"/>
    <x v="0"/>
    <s v="https://tools.sig.systems/site/details/127"/>
    <s v="https://www.google.com/maps/d/viewer?mid=1AyViBuyeq7iwDua1SVudJ2A1BYi3IBA&amp;ll=27.38181516363982%2C-80.32568845000002&amp;z=18"/>
    <x v="1"/>
    <x v="0"/>
    <x v="22"/>
    <x v="13"/>
    <x v="0"/>
    <x v="22"/>
    <x v="23"/>
    <x v="28"/>
  </r>
  <r>
    <s v="(AS) Plaza Lexus/Mercedes/BMW (NO TOURS)18"/>
    <x v="14"/>
    <x v="13"/>
    <x v="1"/>
    <x v="1"/>
    <x v="63"/>
    <x v="1"/>
    <s v="https://tools.sig.systems/site/details/141"/>
    <s v="https://www.google.com/maps/d/viewer?mid=1whGZ1PLqmhJnGFz8uigZqUL4cHGGW3w&amp;ll=38.668847686454825%2C-90.4433601&amp;z=17"/>
    <x v="1"/>
    <x v="0"/>
    <x v="48"/>
    <x v="23"/>
    <x v="0"/>
    <x v="43"/>
    <x v="47"/>
    <x v="63"/>
  </r>
  <r>
    <s v="(DT) El Cajon (NO TOURS)18"/>
    <x v="14"/>
    <x v="13"/>
    <x v="5"/>
    <x v="4"/>
    <x v="66"/>
    <x v="4"/>
    <s v="https://tools.sig.systems/site/details/241"/>
    <m/>
    <x v="1"/>
    <x v="0"/>
    <x v="3"/>
    <x v="16"/>
    <x v="0"/>
    <x v="6"/>
    <x v="11"/>
    <x v="66"/>
  </r>
  <r>
    <s v="(HUD) Nissan Greensboro18"/>
    <x v="14"/>
    <x v="13"/>
    <x v="0"/>
    <x v="0"/>
    <x v="12"/>
    <x v="0"/>
    <s v="https://tools.sig.systems/site/details/236"/>
    <s v="https://www.google.com/maps/d/viewer?mid=1ejOzT7-x6RWnCf83BBP7XhiOiwEX3Wk&amp;ll=36.061264791292906%2C-79.87437695000003&amp;z=17"/>
    <x v="1"/>
    <x v="0"/>
    <x v="11"/>
    <x v="0"/>
    <x v="0"/>
    <x v="6"/>
    <x v="12"/>
    <x v="12"/>
  </r>
  <r>
    <s v="(KG) Truck Center Remote Storage Lot18"/>
    <x v="14"/>
    <x v="13"/>
    <x v="2"/>
    <x v="2"/>
    <x v="14"/>
    <x v="2"/>
    <s v="https://tools.sig.systems/site/details/144"/>
    <m/>
    <x v="1"/>
    <x v="0"/>
    <x v="13"/>
    <x v="5"/>
    <x v="0"/>
    <x v="12"/>
    <x v="14"/>
    <x v="14"/>
  </r>
  <r>
    <s v="(ML) McLarty-Gray Daniels Chevrolet18"/>
    <x v="14"/>
    <x v="13"/>
    <x v="1"/>
    <x v="1"/>
    <x v="109"/>
    <x v="1"/>
    <s v="https://tools.sig.systems/site/details/150"/>
    <m/>
    <x v="1"/>
    <x v="0"/>
    <x v="74"/>
    <x v="0"/>
    <x v="0"/>
    <x v="73"/>
    <x v="80"/>
    <x v="108"/>
  </r>
  <r>
    <s v="(AS) Coggin Honda Ft. Pierce (NO TOURS)18"/>
    <x v="14"/>
    <x v="14"/>
    <x v="0"/>
    <x v="0"/>
    <x v="0"/>
    <x v="0"/>
    <s v="https://tools.sig.systems/site/details/120"/>
    <s v="https://www.google.com/maps/d/viewer?mid=1AyViBuyeq7iwDua1SVudJ2A1BYi3IBA&amp;ll=27.38181516363982%2C-80.32568845000002&amp;z=18"/>
    <x v="0"/>
    <x v="0"/>
    <x v="0"/>
    <x v="0"/>
    <x v="0"/>
    <x v="0"/>
    <x v="0"/>
    <x v="0"/>
  </r>
  <r>
    <s v="(AS) Lexus Plano I &amp; II (NO TOURS)18"/>
    <x v="14"/>
    <x v="14"/>
    <x v="1"/>
    <x v="1"/>
    <x v="1"/>
    <x v="1"/>
    <s v="https://tools.sig.systems/site/details/167"/>
    <s v="https://www.google.com/maps/d/viewer?mid=1wg5suxVuxeNp_irHlvN772HcwD6W89E&amp;ll=33.06373951220261%2C-96.82758025000001&amp;z=18"/>
    <x v="1"/>
    <x v="0"/>
    <x v="1"/>
    <x v="0"/>
    <x v="1"/>
    <x v="1"/>
    <x v="1"/>
    <x v="1"/>
  </r>
  <r>
    <s v="(AS) Plaza Audi/Infiniti (NO TOURS)18"/>
    <x v="14"/>
    <x v="14"/>
    <x v="1"/>
    <x v="1"/>
    <x v="95"/>
    <x v="1"/>
    <s v="https://tools.sig.systems/site/details/141"/>
    <s v="https://www.google.com/maps/d/viewer?mid=1whGZ1PLqmhJnGFz8uigZqUL4cHGGW3w&amp;ll=38.668847686454825%2C-90.4433601&amp;z=17"/>
    <x v="1"/>
    <x v="0"/>
    <x v="68"/>
    <x v="35"/>
    <x v="0"/>
    <x v="65"/>
    <x v="67"/>
    <x v="63"/>
  </r>
  <r>
    <s v="(AS) Stevinson JLR (NO TOURS)18"/>
    <x v="14"/>
    <x v="14"/>
    <x v="3"/>
    <x v="2"/>
    <x v="64"/>
    <x v="3"/>
    <s v="https://tools.sig.systems/site/details/204"/>
    <m/>
    <x v="1"/>
    <x v="0"/>
    <x v="49"/>
    <x v="1"/>
    <x v="0"/>
    <x v="44"/>
    <x v="48"/>
    <x v="64"/>
  </r>
  <r>
    <s v="(DT) Escondido18"/>
    <x v="14"/>
    <x v="14"/>
    <x v="5"/>
    <x v="4"/>
    <x v="98"/>
    <x v="5"/>
    <s v="https://tools.sig.systems/site/details/196"/>
    <m/>
    <x v="1"/>
    <x v="4"/>
    <x v="20"/>
    <x v="0"/>
    <x v="0"/>
    <x v="6"/>
    <x v="70"/>
    <x v="97"/>
  </r>
  <r>
    <s v="(HUD) CDJR of Greensboro18"/>
    <x v="14"/>
    <x v="14"/>
    <x v="0"/>
    <x v="0"/>
    <x v="68"/>
    <x v="6"/>
    <s v="https://tools.sig.systems/site/details/215"/>
    <s v="https://www.google.com/maps/d/viewer?mid=1ejOzT7-x6RWnCf83BBP7XhiOiwEX3Wk&amp;ll=36.061264791292906%2C-79.87437695000003&amp;z=17"/>
    <x v="3"/>
    <x v="0"/>
    <x v="50"/>
    <x v="0"/>
    <x v="0"/>
    <x v="45"/>
    <x v="51"/>
    <x v="68"/>
  </r>
  <r>
    <s v="(PE) JLR Darien PDI (NO TOURS)18"/>
    <x v="14"/>
    <x v="14"/>
    <x v="4"/>
    <x v="0"/>
    <x v="112"/>
    <x v="0"/>
    <s v="https://tools.sig.systems/site/details/187"/>
    <s v="https://www.google.com/maps/d/viewer?mid=1ebZp8DeTYSXNPgDIA63nFVDu9ohaO4E&amp;ll=41.08027837958441%2C-73.46597874999999&amp;z=15"/>
    <x v="1"/>
    <x v="0"/>
    <x v="6"/>
    <x v="0"/>
    <x v="0"/>
    <x v="74"/>
    <x v="83"/>
    <x v="111"/>
  </r>
  <r>
    <s v="(AS) Coggin Acura Ft Pierce (NO TOURS)18"/>
    <x v="14"/>
    <x v="15"/>
    <x v="0"/>
    <x v="0"/>
    <x v="27"/>
    <x v="0"/>
    <s v="https://tools.sig.systems/site/details/118"/>
    <s v="https://www.google.com/maps/d/viewer?mid=1AyViBuyeq7iwDua1SVudJ2A1BYi3IBA&amp;ll=27.38181516363982%2C-80.32568845000002&amp;z=18"/>
    <x v="1"/>
    <x v="0"/>
    <x v="3"/>
    <x v="12"/>
    <x v="0"/>
    <x v="21"/>
    <x v="19"/>
    <x v="27"/>
  </r>
  <r>
    <s v="(AS) Park Place Acura (NO TOURS)18"/>
    <x v="14"/>
    <x v="15"/>
    <x v="1"/>
    <x v="1"/>
    <x v="32"/>
    <x v="1"/>
    <s v="https://tools.sig.systems/site/details/259"/>
    <s v="https://www.google.com/maps/d/viewer?mid=1wg5suxVuxeNp_irHlvN772HcwD6W89E&amp;ll=33.06373951220261%2C-96.82758025000001&amp;z=18"/>
    <x v="1"/>
    <x v="0"/>
    <x v="25"/>
    <x v="0"/>
    <x v="0"/>
    <x v="25"/>
    <x v="11"/>
    <x v="32"/>
  </r>
  <r>
    <s v="(AS) Park Place Volvo Service Center (NO TOURS)18"/>
    <x v="14"/>
    <x v="15"/>
    <x v="1"/>
    <x v="1"/>
    <x v="62"/>
    <x v="1"/>
    <s v="https://tools.sig.systems/site/details/171"/>
    <s v="https://www.google.com/maps/d/edit?hl=es&amp;mid=1uPmsRMsXnp74hPFW2t-sp2totVWF_xY&amp;ll=32.83050137713022%2C-96.83197783061323&amp;z=17"/>
    <x v="1"/>
    <x v="0"/>
    <x v="47"/>
    <x v="0"/>
    <x v="0"/>
    <x v="42"/>
    <x v="11"/>
    <x v="62"/>
  </r>
  <r>
    <s v="(DT) W Houston18"/>
    <x v="14"/>
    <x v="15"/>
    <x v="1"/>
    <x v="1"/>
    <x v="10"/>
    <x v="1"/>
    <s v="https://tools.sig.systems/site/details/197"/>
    <m/>
    <x v="1"/>
    <x v="0"/>
    <x v="9"/>
    <x v="2"/>
    <x v="0"/>
    <x v="9"/>
    <x v="10"/>
    <x v="10"/>
  </r>
  <r>
    <s v="(DT) Wichita18"/>
    <x v="14"/>
    <x v="15"/>
    <x v="1"/>
    <x v="1"/>
    <x v="36"/>
    <x v="1"/>
    <s v="https://tools.sig.systems/site/details/257"/>
    <m/>
    <x v="1"/>
    <x v="0"/>
    <x v="3"/>
    <x v="15"/>
    <x v="0"/>
    <x v="6"/>
    <x v="30"/>
    <x v="36"/>
  </r>
  <r>
    <s v="(HUD) Honda Greensboro18"/>
    <x v="14"/>
    <x v="15"/>
    <x v="0"/>
    <x v="0"/>
    <x v="37"/>
    <x v="0"/>
    <s v="https://tools.sig.systems/site/details/230"/>
    <s v="AS/ HUD - Crown Greensboro - Google My Maps"/>
    <x v="1"/>
    <x v="0"/>
    <x v="28"/>
    <x v="0"/>
    <x v="0"/>
    <x v="28"/>
    <x v="31"/>
    <x v="37"/>
  </r>
  <r>
    <s v="(ML) McLarty Gray-Daniels Toyota Nissan18"/>
    <x v="14"/>
    <x v="15"/>
    <x v="1"/>
    <x v="1"/>
    <x v="108"/>
    <x v="1"/>
    <s v="https://tools.sig.systems/site/details/152"/>
    <s v="https://www.google.com/maps/d/edit?mid=111nhCL4Xjj2Pq0zP5xUrMzHQqAihqa0&amp;usp=sharing"/>
    <x v="1"/>
    <x v="0"/>
    <x v="3"/>
    <x v="40"/>
    <x v="0"/>
    <x v="72"/>
    <x v="79"/>
    <x v="107"/>
  </r>
  <r>
    <s v="(RV) Sonny's Camp N Travel Concord18"/>
    <x v="14"/>
    <x v="15"/>
    <x v="0"/>
    <x v="0"/>
    <x v="114"/>
    <x v="0"/>
    <s v="https://tools.sig.systems/site/details/183"/>
    <m/>
    <x v="1"/>
    <x v="0"/>
    <x v="6"/>
    <x v="0"/>
    <x v="0"/>
    <x v="76"/>
    <x v="84"/>
    <x v="113"/>
  </r>
  <r>
    <s v="(AS) Audi of North Atlanta (NO TOURS)18"/>
    <x v="14"/>
    <x v="16"/>
    <x v="0"/>
    <x v="0"/>
    <x v="87"/>
    <x v="0"/>
    <s v="https://tools.sig.systems/site/details/124"/>
    <s v="https://www.google.com/maps/d/edit?mid=1jkN3DS1BhUqp_dztjjW0PDwKfo_Yxsw&amp;usp=sharing"/>
    <x v="1"/>
    <x v="0"/>
    <x v="62"/>
    <x v="0"/>
    <x v="0"/>
    <x v="57"/>
    <x v="61"/>
    <x v="87"/>
  </r>
  <r>
    <s v="(AS) Stevinson Porsche of Littleton (NO TOURS)18"/>
    <x v="14"/>
    <x v="16"/>
    <x v="3"/>
    <x v="2"/>
    <x v="7"/>
    <x v="3"/>
    <s v="https://tools.sig.systems/site/details/242"/>
    <m/>
    <x v="1"/>
    <x v="0"/>
    <x v="7"/>
    <x v="2"/>
    <x v="0"/>
    <x v="6"/>
    <x v="7"/>
    <x v="7"/>
  </r>
  <r>
    <s v="(HUD) Paint and Body Center (NO TOURS)18"/>
    <x v="14"/>
    <x v="16"/>
    <x v="0"/>
    <x v="0"/>
    <x v="38"/>
    <x v="0"/>
    <s v="https://tools.sig.systems/site/details/256"/>
    <s v="https://www.google.com/maps/d/viewer?mid=1ejOzT7-x6RWnCf83BBP7XhiOiwEX3Wk&amp;ll=36.061264791292906%2C-79.87437695000003&amp;z=17"/>
    <x v="1"/>
    <x v="0"/>
    <x v="3"/>
    <x v="9"/>
    <x v="0"/>
    <x v="6"/>
    <x v="11"/>
    <x v="38"/>
  </r>
  <r>
    <s v="(KG) Baytown GMC Buick - Remote Lot (NO TOURS)18"/>
    <x v="14"/>
    <x v="16"/>
    <x v="2"/>
    <x v="1"/>
    <x v="70"/>
    <x v="2"/>
    <s v="https://tools.sig.systems/site/details/311"/>
    <m/>
    <x v="1"/>
    <x v="3"/>
    <x v="3"/>
    <x v="25"/>
    <x v="0"/>
    <x v="6"/>
    <x v="11"/>
    <x v="70"/>
  </r>
  <r>
    <s v="(KG) Baytown GMC Buick (NO TOURS)18"/>
    <x v="14"/>
    <x v="16"/>
    <x v="1"/>
    <x v="1"/>
    <x v="71"/>
    <x v="1"/>
    <s v="https://tools.sig.systems/site/details/239"/>
    <m/>
    <x v="1"/>
    <x v="0"/>
    <x v="52"/>
    <x v="0"/>
    <x v="0"/>
    <x v="47"/>
    <x v="53"/>
    <x v="71"/>
  </r>
  <r>
    <s v="(ML) McLarty Gray-Daniels Ford Lincoln18"/>
    <x v="14"/>
    <x v="16"/>
    <x v="1"/>
    <x v="1"/>
    <x v="79"/>
    <x v="1"/>
    <s v="https://tools.sig.systems/site/details/151"/>
    <s v="https://www.google.com/maps/d/edit?mid=111nhCL4Xjj2Pq0zP5xUrMzHQqAihqa0&amp;usp=sharing"/>
    <x v="1"/>
    <x v="0"/>
    <x v="56"/>
    <x v="29"/>
    <x v="0"/>
    <x v="53"/>
    <x v="57"/>
    <x v="79"/>
  </r>
  <r>
    <s v="(RML) Burleson Nissan18"/>
    <x v="14"/>
    <x v="16"/>
    <x v="1"/>
    <x v="1"/>
    <x v="82"/>
    <x v="1"/>
    <s v="https://tools.sig.systems/site/details/202"/>
    <m/>
    <x v="1"/>
    <x v="0"/>
    <x v="58"/>
    <x v="0"/>
    <x v="0"/>
    <x v="56"/>
    <x v="11"/>
    <x v="82"/>
  </r>
  <r>
    <s v="(TC) Tavernier Creek Marina (NO TOURS)18"/>
    <x v="14"/>
    <x v="16"/>
    <x v="0"/>
    <x v="0"/>
    <x v="84"/>
    <x v="1"/>
    <s v="https://tools.sig.systems/site/details/164"/>
    <m/>
    <x v="6"/>
    <x v="0"/>
    <x v="60"/>
    <x v="0"/>
    <x v="0"/>
    <x v="6"/>
    <x v="59"/>
    <x v="84"/>
  </r>
  <r>
    <s v="(AS) David McDavid Honda I &amp; II (NO TOURS)18"/>
    <x v="14"/>
    <x v="17"/>
    <x v="1"/>
    <x v="1"/>
    <x v="90"/>
    <x v="1"/>
    <s v="https://tools.sig.systems/site/details/129"/>
    <m/>
    <x v="1"/>
    <x v="0"/>
    <x v="3"/>
    <x v="31"/>
    <x v="0"/>
    <x v="60"/>
    <x v="63"/>
    <x v="90"/>
  </r>
  <r>
    <s v="(AS) Lexus Grapevine I &amp; II (NO TOURS)18"/>
    <x v="14"/>
    <x v="17"/>
    <x v="1"/>
    <x v="1"/>
    <x v="29"/>
    <x v="1"/>
    <s v="https://tools.sig.systems/site/details/136"/>
    <m/>
    <x v="1"/>
    <x v="0"/>
    <x v="23"/>
    <x v="0"/>
    <x v="7"/>
    <x v="23"/>
    <x v="24"/>
    <x v="29"/>
  </r>
  <r>
    <s v="(AS) Nalley Luxury Collision Center (NO TOURS)18"/>
    <x v="14"/>
    <x v="17"/>
    <x v="0"/>
    <x v="0"/>
    <x v="31"/>
    <x v="0"/>
    <s v="https://tools.sig.systems/site/details/263"/>
    <s v="https://www.google.com/maps/d/edit?mid=1jkN3DS1BhUqp_dztjjW0PDwKfo_Yxsw&amp;usp=sharing"/>
    <x v="1"/>
    <x v="0"/>
    <x v="4"/>
    <x v="0"/>
    <x v="0"/>
    <x v="6"/>
    <x v="26"/>
    <x v="31"/>
  </r>
  <r>
    <s v="(DT) N. Houston18"/>
    <x v="14"/>
    <x v="17"/>
    <x v="1"/>
    <x v="1"/>
    <x v="9"/>
    <x v="1"/>
    <s v="https://tools.sig.systems/site/details/250"/>
    <m/>
    <x v="1"/>
    <x v="0"/>
    <x v="8"/>
    <x v="0"/>
    <x v="0"/>
    <x v="8"/>
    <x v="9"/>
    <x v="9"/>
  </r>
  <r>
    <s v="(KG) JLR LEHI (NO TOURS)18"/>
    <x v="14"/>
    <x v="17"/>
    <x v="3"/>
    <x v="2"/>
    <x v="73"/>
    <x v="3"/>
    <s v="https://tools.sig.systems/site/details/145"/>
    <m/>
    <x v="1"/>
    <x v="0"/>
    <x v="54"/>
    <x v="0"/>
    <x v="0"/>
    <x v="49"/>
    <x v="11"/>
    <x v="73"/>
  </r>
  <r>
    <s v="(RV) Toms Camperland Surprise (NO TOURS)18"/>
    <x v="14"/>
    <x v="17"/>
    <x v="5"/>
    <x v="3"/>
    <x v="51"/>
    <x v="4"/>
    <s v="https://tools.sig.systems/site/details/254"/>
    <m/>
    <x v="5"/>
    <x v="0"/>
    <x v="38"/>
    <x v="0"/>
    <x v="0"/>
    <x v="6"/>
    <x v="37"/>
    <x v="51"/>
  </r>
  <r>
    <s v="SIG Office18"/>
    <x v="14"/>
    <x v="17"/>
    <x v="2"/>
    <x v="0"/>
    <x v="85"/>
    <x v="2"/>
    <s v="https://tools.sig.systems/site/details/163"/>
    <m/>
    <x v="1"/>
    <x v="0"/>
    <x v="3"/>
    <x v="0"/>
    <x v="0"/>
    <x v="6"/>
    <x v="60"/>
    <x v="85"/>
  </r>
  <r>
    <s v="(AS) Park Place Bodywerks Ft. Worth (NO TOURS)19"/>
    <x v="15"/>
    <x v="0"/>
    <x v="1"/>
    <x v="1"/>
    <x v="92"/>
    <x v="1"/>
    <s v="https://tools.sig.systems/site/details/134"/>
    <s v="https://www.google.com/maps/d/edit?mid=18OEO_KbvYcgI3N1jE4gTMXfNHTNDrFU&amp;ll=32.66603989958274%2C-97.42021198201722&amp;z=18"/>
    <x v="1"/>
    <x v="0"/>
    <x v="66"/>
    <x v="0"/>
    <x v="0"/>
    <x v="62"/>
    <x v="64"/>
    <x v="92"/>
  </r>
  <r>
    <s v="(DT) Louisville19"/>
    <x v="15"/>
    <x v="0"/>
    <x v="0"/>
    <x v="0"/>
    <x v="67"/>
    <x v="0"/>
    <s v="https://tools.sig.systems/site/details/258"/>
    <m/>
    <x v="1"/>
    <x v="0"/>
    <x v="3"/>
    <x v="16"/>
    <x v="0"/>
    <x v="6"/>
    <x v="50"/>
    <x v="67"/>
  </r>
  <r>
    <s v="(KG) Clear Lake Pre-Owned19"/>
    <x v="15"/>
    <x v="0"/>
    <x v="1"/>
    <x v="1"/>
    <x v="39"/>
    <x v="1"/>
    <s v="https://tools.sig.systems/site/details/255"/>
    <s v="https://www.google.com/maps/d/edit?mid=1DRwy5fy1g5UzGTA7a1OkQA-_CY8SQ2s&amp;usp=sharing"/>
    <x v="1"/>
    <x v="0"/>
    <x v="29"/>
    <x v="0"/>
    <x v="0"/>
    <x v="29"/>
    <x v="32"/>
    <x v="39"/>
  </r>
  <r>
    <s v="(ML) Nissan Of Benton19"/>
    <x v="15"/>
    <x v="0"/>
    <x v="1"/>
    <x v="1"/>
    <x v="80"/>
    <x v="1"/>
    <s v="https://tools.sig.systems/site/details/247"/>
    <m/>
    <x v="1"/>
    <x v="0"/>
    <x v="57"/>
    <x v="0"/>
    <x v="0"/>
    <x v="54"/>
    <x v="11"/>
    <x v="80"/>
  </r>
  <r>
    <s v="(PE) Hudson Toyota Nissan CDJR (NO TOURS)19"/>
    <x v="15"/>
    <x v="0"/>
    <x v="4"/>
    <x v="0"/>
    <x v="81"/>
    <x v="0"/>
    <s v="https://tools.sig.systems/site/details/156"/>
    <m/>
    <x v="1"/>
    <x v="0"/>
    <x v="49"/>
    <x v="30"/>
    <x v="0"/>
    <x v="55"/>
    <x v="58"/>
    <x v="81"/>
  </r>
  <r>
    <s v="(PE) Scofield Service Center (NO TOURS)19"/>
    <x v="15"/>
    <x v="0"/>
    <x v="4"/>
    <x v="0"/>
    <x v="113"/>
    <x v="0"/>
    <s v="https://tools.sig.systems/site/details/193"/>
    <s v="https://www.google.com/maps/d/viewer?mid=1FEo41PzFJQjUIXXKitX5TNCtuqR6Vbs&amp;ll=41.1663376742533%2C-73.22955662049608&amp;z=16"/>
    <x v="1"/>
    <x v="0"/>
    <x v="6"/>
    <x v="0"/>
    <x v="0"/>
    <x v="75"/>
    <x v="51"/>
    <x v="112"/>
  </r>
  <r>
    <s v="(RV) Toms Camperland Avondale (NO TOURS)19"/>
    <x v="15"/>
    <x v="0"/>
    <x v="5"/>
    <x v="3"/>
    <x v="24"/>
    <x v="4"/>
    <s v="https://tools.sig.systems/site/details/248"/>
    <s v="https://www.google.com/maps/d/viewer?mid=1bDs0QGFZwL3vEeGKxjVMk_j4azr0-lg&amp;ll=33.4593758581648%2C-112.28793780000001&amp;z=18"/>
    <x v="2"/>
    <x v="0"/>
    <x v="19"/>
    <x v="10"/>
    <x v="0"/>
    <x v="6"/>
    <x v="20"/>
    <x v="24"/>
  </r>
  <r>
    <s v="(JE) Jim Ellis Ford Sandy Springs19"/>
    <x v="15"/>
    <x v="1"/>
    <x v="0"/>
    <x v="0"/>
    <x v="69"/>
    <x v="0"/>
    <s v="https://tools.sig.systems/site/details/142"/>
    <m/>
    <x v="1"/>
    <x v="0"/>
    <x v="51"/>
    <x v="0"/>
    <x v="0"/>
    <x v="46"/>
    <x v="52"/>
    <x v="69"/>
  </r>
  <r>
    <s v="(KG) Big Star Ford19"/>
    <x v="15"/>
    <x v="1"/>
    <x v="1"/>
    <x v="1"/>
    <x v="102"/>
    <x v="1"/>
    <s v="https://tools.sig.systems/site/details/235"/>
    <m/>
    <x v="1"/>
    <x v="0"/>
    <x v="72"/>
    <x v="0"/>
    <x v="0"/>
    <x v="70"/>
    <x v="74"/>
    <x v="101"/>
  </r>
  <r>
    <s v="(KG) Texan CDJR19"/>
    <x v="15"/>
    <x v="1"/>
    <x v="1"/>
    <x v="1"/>
    <x v="13"/>
    <x v="1"/>
    <s v="https://tools.sig.systems/site/details/238"/>
    <s v="https://www.google.com/maps/d/edit?mid=1FNqK4dW8Z8gtSWuQLbStrtqe7lH8DIQ&amp;usp=sharing"/>
    <x v="1"/>
    <x v="0"/>
    <x v="12"/>
    <x v="0"/>
    <x v="5"/>
    <x v="11"/>
    <x v="13"/>
    <x v="13"/>
  </r>
  <r>
    <s v="(RV) Toms Camperland Mesa (NO TOURS)19"/>
    <x v="15"/>
    <x v="1"/>
    <x v="5"/>
    <x v="3"/>
    <x v="25"/>
    <x v="4"/>
    <s v="https://tools.sig.systems/site/details/222"/>
    <m/>
    <x v="1"/>
    <x v="0"/>
    <x v="20"/>
    <x v="0"/>
    <x v="0"/>
    <x v="6"/>
    <x v="21"/>
    <x v="25"/>
  </r>
  <r>
    <s v="(AS) Bill Estes Ford (NO TOURS)19"/>
    <x v="15"/>
    <x v="2"/>
    <x v="0"/>
    <x v="0"/>
    <x v="55"/>
    <x v="0"/>
    <s v="https://tools.sig.systems/site/details/125"/>
    <m/>
    <x v="1"/>
    <x v="0"/>
    <x v="3"/>
    <x v="21"/>
    <x v="0"/>
    <x v="36"/>
    <x v="41"/>
    <x v="55"/>
  </r>
  <r>
    <s v="(AS) Park Place Mercedes Benz Arlington (NO TOURS)19"/>
    <x v="15"/>
    <x v="2"/>
    <x v="1"/>
    <x v="1"/>
    <x v="61"/>
    <x v="1"/>
    <s v="https://tools.sig.systems/site/details/169"/>
    <m/>
    <x v="1"/>
    <x v="0"/>
    <x v="46"/>
    <x v="0"/>
    <x v="11"/>
    <x v="41"/>
    <x v="46"/>
    <x v="61"/>
  </r>
  <r>
    <s v="(KG) Hyundai Surprise19"/>
    <x v="15"/>
    <x v="2"/>
    <x v="5"/>
    <x v="3"/>
    <x v="103"/>
    <x v="4"/>
    <s v="https://tools.sig.systems/site/details/269"/>
    <m/>
    <x v="4"/>
    <x v="0"/>
    <x v="73"/>
    <x v="0"/>
    <x v="0"/>
    <x v="71"/>
    <x v="11"/>
    <x v="102"/>
  </r>
  <r>
    <s v="(KG) Texan GMC Buick (NO TOURS)19"/>
    <x v="15"/>
    <x v="2"/>
    <x v="1"/>
    <x v="1"/>
    <x v="41"/>
    <x v="1"/>
    <s v="https://tools.sig.systems/site/details/225"/>
    <s v="https://www.google.com/maps/d/edit?mid=1FNqK4dW8Z8gtSWuQLbStrtqe7lH8DIQ&amp;usp=sharing"/>
    <x v="1"/>
    <x v="0"/>
    <x v="31"/>
    <x v="0"/>
    <x v="0"/>
    <x v="31"/>
    <x v="33"/>
    <x v="41"/>
  </r>
  <r>
    <s v="(LM) Luther Mazda / Mitsubishi19"/>
    <x v="15"/>
    <x v="2"/>
    <x v="1"/>
    <x v="1"/>
    <x v="74"/>
    <x v="1"/>
    <s v="https://tools.sig.systems/site/details/147"/>
    <s v="https://www.google.com/maps/d/viewer?mid=1ot0ILX76JMuvd9yMuqkb4_e0yH1n7TA&amp;ll=45.07815812965141%2C-93.33506855000002&amp;z=17"/>
    <x v="1"/>
    <x v="0"/>
    <x v="55"/>
    <x v="0"/>
    <x v="12"/>
    <x v="6"/>
    <x v="55"/>
    <x v="74"/>
  </r>
  <r>
    <s v="(ML) Columbia Honda (NO TOURS)19"/>
    <x v="15"/>
    <x v="2"/>
    <x v="1"/>
    <x v="1"/>
    <x v="75"/>
    <x v="1"/>
    <s v="https://tools.sig.systems/site/details/272"/>
    <s v="https://www.google.com/maps/d/viewer?hl=es&amp;mid=1C1oZdjH3dNvCvqdpIv_Lk0Yn1OCVn-4&amp;ll=38.965368114274426%2C-92.3405954&amp;z=15"/>
    <x v="1"/>
    <x v="0"/>
    <x v="3"/>
    <x v="26"/>
    <x v="0"/>
    <x v="50"/>
    <x v="56"/>
    <x v="75"/>
  </r>
  <r>
    <s v="(ML) Joe Machens CDJR19"/>
    <x v="15"/>
    <x v="2"/>
    <x v="1"/>
    <x v="1"/>
    <x v="43"/>
    <x v="1"/>
    <s v="https://tools.sig.systems/site/details/273"/>
    <s v="https://www.google.com/maps/d/viewer?hl=es&amp;mid=1C1oZdjH3dNvCvqdpIv_Lk0Yn1OCVn-4&amp;ll=38.965368114274455%2C-92.3405954&amp;z=15"/>
    <x v="1"/>
    <x v="0"/>
    <x v="3"/>
    <x v="16"/>
    <x v="0"/>
    <x v="6"/>
    <x v="35"/>
    <x v="43"/>
  </r>
  <r>
    <s v="(PE) BMW Tenafly (NO TOURS)19"/>
    <x v="15"/>
    <x v="2"/>
    <x v="4"/>
    <x v="0"/>
    <x v="48"/>
    <x v="0"/>
    <s v="https://tools.sig.systems/site/details/155"/>
    <m/>
    <x v="1"/>
    <x v="0"/>
    <x v="36"/>
    <x v="18"/>
    <x v="0"/>
    <x v="6"/>
    <x v="19"/>
    <x v="48"/>
  </r>
  <r>
    <s v="(AS) Park Place Volvo Sales (NO TOURS)19"/>
    <x v="15"/>
    <x v="3"/>
    <x v="1"/>
    <x v="1"/>
    <x v="33"/>
    <x v="1"/>
    <s v="https://tools.sig.systems/site/details/139"/>
    <s v="https://www.google.com/maps/d/edit?hl=es&amp;mid=1uPmsRMsXnp74hPFW2t-sp2totVWF_xY&amp;ll=32.83050137713022%2C-96.83197783061323&amp;z=17"/>
    <x v="1"/>
    <x v="0"/>
    <x v="26"/>
    <x v="0"/>
    <x v="0"/>
    <x v="26"/>
    <x v="27"/>
    <x v="33"/>
  </r>
  <r>
    <s v="(DT) Denver (NO TOURS)19"/>
    <x v="15"/>
    <x v="3"/>
    <x v="3"/>
    <x v="2"/>
    <x v="97"/>
    <x v="3"/>
    <s v="https://tools.sig.systems/site/details/203"/>
    <s v="https://www.google.com/maps/d/edit?mid=1AjZHz2LTg0RMhZUOmyZsv_Y4MFcaP8g&amp;usp=sharing"/>
    <x v="1"/>
    <x v="0"/>
    <x v="3"/>
    <x v="25"/>
    <x v="0"/>
    <x v="6"/>
    <x v="69"/>
    <x v="96"/>
  </r>
  <r>
    <s v="(KG) Big Star CDJR of Clear Lake19"/>
    <x v="15"/>
    <x v="3"/>
    <x v="1"/>
    <x v="1"/>
    <x v="101"/>
    <x v="1"/>
    <s v="https://tools.sig.systems/site/details/232"/>
    <s v="https://www.google.com/maps/d/edit?mid=1DRwy5fy1g5UzGTA7a1OkQA-_CY8SQ2s&amp;usp=sharing"/>
    <x v="1"/>
    <x v="0"/>
    <x v="71"/>
    <x v="0"/>
    <x v="0"/>
    <x v="69"/>
    <x v="73"/>
    <x v="100"/>
  </r>
  <r>
    <s v="(ML) Ford Lincoln of North Little Rock19"/>
    <x v="15"/>
    <x v="3"/>
    <x v="1"/>
    <x v="1"/>
    <x v="42"/>
    <x v="1"/>
    <s v="https://tools.sig.systems/site/details/214"/>
    <s v="https://www.google.com/maps/d/edit?mid=1Oky35ERk_2kgyzCvDu_odQ2ZP62BtqA&amp;usp=sharing"/>
    <x v="1"/>
    <x v="0"/>
    <x v="32"/>
    <x v="4"/>
    <x v="0"/>
    <x v="32"/>
    <x v="34"/>
    <x v="42"/>
  </r>
  <r>
    <s v="(ML) Joe Machens VW19"/>
    <x v="15"/>
    <x v="3"/>
    <x v="1"/>
    <x v="1"/>
    <x v="19"/>
    <x v="1"/>
    <s v="https://tools.sig.systems/site/details/274"/>
    <s v="https://www.google.com/maps/d/viewer?hl=es&amp;mid=1C1oZdjH3dNvCvqdpIv_Lk0Yn1OCVn-4&amp;ll=38.965368114274455%2C-92.3405954&amp;z=15"/>
    <x v="1"/>
    <x v="0"/>
    <x v="3"/>
    <x v="8"/>
    <x v="0"/>
    <x v="17"/>
    <x v="11"/>
    <x v="19"/>
  </r>
  <r>
    <s v="(ML) Nissan of Little Rock19"/>
    <x v="15"/>
    <x v="3"/>
    <x v="1"/>
    <x v="1"/>
    <x v="46"/>
    <x v="1"/>
    <s v="https://tools.sig.systems/site/details/224"/>
    <s v="https://www.google.com/maps/d/viewer?mid=1hvbKFMO-d5TXrKGU-g5dt_xcdArB1D0&amp;ll=34.71147784120261%2C-92.40574350000001&amp;z=17"/>
    <x v="1"/>
    <x v="0"/>
    <x v="34"/>
    <x v="0"/>
    <x v="0"/>
    <x v="34"/>
    <x v="7"/>
    <x v="46"/>
  </r>
  <r>
    <s v="(PE) BMW of Greenwich (NO TOURS)19"/>
    <x v="15"/>
    <x v="3"/>
    <x v="4"/>
    <x v="0"/>
    <x v="110"/>
    <x v="0"/>
    <s v="https://tools.sig.systems/site/details/186"/>
    <s v="https://www.google.com/maps/d/edit?hl=en&amp;mid=1UHmt7tH1ihTa85i0MfQIcTfVvIQg_vM&amp;ll=41.024187580466844%2C-73.63702405370861&amp;z=18"/>
    <x v="1"/>
    <x v="0"/>
    <x v="75"/>
    <x v="0"/>
    <x v="0"/>
    <x v="6"/>
    <x v="81"/>
    <x v="109"/>
  </r>
  <r>
    <s v="(PE) JLR Darien PDI (NO TOURS)19"/>
    <x v="15"/>
    <x v="3"/>
    <x v="4"/>
    <x v="0"/>
    <x v="112"/>
    <x v="0"/>
    <s v="https://tools.sig.systems/site/details/187"/>
    <s v="https://www.google.com/maps/d/viewer?mid=1ebZp8DeTYSXNPgDIA63nFVDu9ohaO4E&amp;ll=41.08027837958441%2C-73.46597874999999&amp;z=15"/>
    <x v="1"/>
    <x v="0"/>
    <x v="6"/>
    <x v="0"/>
    <x v="0"/>
    <x v="74"/>
    <x v="83"/>
    <x v="111"/>
  </r>
  <r>
    <s v="(AS) Mercedes Benz/Porsche Dallas I,II,III (NO TOURS)19"/>
    <x v="15"/>
    <x v="4"/>
    <x v="1"/>
    <x v="1"/>
    <x v="2"/>
    <x v="1"/>
    <s v="https://tools.sig.systems/site/details/168"/>
    <s v="https://www.google.com/maps/d/edit?hl=es&amp;mid=1uPmsRMsXnp74hPFW2t-sp2totVWF_xY&amp;ll=32.83050137713022%2C-96.83197783061323&amp;z=17"/>
    <x v="1"/>
    <x v="0"/>
    <x v="2"/>
    <x v="0"/>
    <x v="2"/>
    <x v="2"/>
    <x v="2"/>
    <x v="2"/>
  </r>
  <r>
    <s v="(ML) BMW of Little Rock19"/>
    <x v="15"/>
    <x v="4"/>
    <x v="1"/>
    <x v="1"/>
    <x v="105"/>
    <x v="1"/>
    <s v="https://tools.sig.systems/site/details/217"/>
    <s v="https://www.google.com/maps/d/viewer?mid=1hvbKFMO-d5TXrKGU-g5dt_xcdArB1D0&amp;ll=34.71147784120261%2C-92.40574350000001&amp;z=17"/>
    <x v="1"/>
    <x v="0"/>
    <x v="3"/>
    <x v="38"/>
    <x v="0"/>
    <x v="6"/>
    <x v="76"/>
    <x v="104"/>
  </r>
  <r>
    <s v="(ML) Joe Machens Toyota19"/>
    <x v="15"/>
    <x v="4"/>
    <x v="1"/>
    <x v="1"/>
    <x v="18"/>
    <x v="1"/>
    <s v="https://tools.sig.systems/site/details/275"/>
    <s v="https://www.google.com/maps/d/viewer?hl=es&amp;mid=1C1oZdjH3dNvCvqdpIv_Lk0Yn1OCVn-4&amp;ll=38.965368114274455%2C-92.3405954&amp;z=15"/>
    <x v="1"/>
    <x v="0"/>
    <x v="3"/>
    <x v="7"/>
    <x v="0"/>
    <x v="16"/>
    <x v="11"/>
    <x v="18"/>
  </r>
  <r>
    <s v="(ML) Toyota N Little Rock19"/>
    <x v="15"/>
    <x v="4"/>
    <x v="1"/>
    <x v="1"/>
    <x v="21"/>
    <x v="1"/>
    <s v="https://tools.sig.systems/site/details/201"/>
    <s v="https://www.google.com/maps/d/edit?mid=1Oky35ERk_2kgyzCvDu_odQ2ZP62BtqA&amp;usp=sharing"/>
    <x v="1"/>
    <x v="0"/>
    <x v="17"/>
    <x v="0"/>
    <x v="0"/>
    <x v="19"/>
    <x v="11"/>
    <x v="21"/>
  </r>
  <r>
    <s v="(PE) JLR PDI (NO TOURS)19"/>
    <x v="15"/>
    <x v="4"/>
    <x v="4"/>
    <x v="0"/>
    <x v="50"/>
    <x v="0"/>
    <s v="https://tools.sig.systems/site/details/179"/>
    <s v="https://www.google.com/maps/d/viewer?mid=1ubI2iKs1JyYXssuT4oLPnVvFnyLPi_s&amp;ll=40.878808846788026%2C-73.98560655&amp;z=17"/>
    <x v="1"/>
    <x v="0"/>
    <x v="37"/>
    <x v="0"/>
    <x v="0"/>
    <x v="6"/>
    <x v="11"/>
    <x v="50"/>
  </r>
  <r>
    <s v="(AS) Park Place Sprinter Van Center (NO TOURS)19"/>
    <x v="15"/>
    <x v="5"/>
    <x v="1"/>
    <x v="1"/>
    <x v="6"/>
    <x v="1"/>
    <s v="https://tools.sig.systems/site/details/138"/>
    <s v="https://www.google.com/maps/d/edit?hl=es&amp;mid=1uPmsRMsXnp74hPFW2t-sp2totVWF_xY&amp;ll=32.83050137713022%2C-96.83197783061323&amp;z=17"/>
    <x v="1"/>
    <x v="0"/>
    <x v="6"/>
    <x v="0"/>
    <x v="0"/>
    <x v="6"/>
    <x v="6"/>
    <x v="6"/>
  </r>
  <r>
    <s v="(AS) Stevinson Chevrolet Golden (NO TOURS)19"/>
    <x v="15"/>
    <x v="5"/>
    <x v="7"/>
    <x v="2"/>
    <x v="96"/>
    <x v="3"/>
    <s v="https://tools.sig.systems/site/details/264"/>
    <s v="https://www.google.com/maps/d/edit?mid=1nAyK85WaWREy0lfxnmWn3USs2gC0nP0&amp;usp=sharing"/>
    <x v="1"/>
    <x v="0"/>
    <x v="3"/>
    <x v="36"/>
    <x v="0"/>
    <x v="66"/>
    <x v="68"/>
    <x v="95"/>
  </r>
  <r>
    <s v="(HUD) Honda of Southpoint19"/>
    <x v="15"/>
    <x v="5"/>
    <x v="0"/>
    <x v="0"/>
    <x v="11"/>
    <x v="0"/>
    <s v="https://tools.sig.systems/site/details/195"/>
    <m/>
    <x v="0"/>
    <x v="0"/>
    <x v="10"/>
    <x v="4"/>
    <x v="0"/>
    <x v="10"/>
    <x v="11"/>
    <x v="11"/>
  </r>
  <r>
    <s v="(ML) Joe Machens E Collision Center19"/>
    <x v="15"/>
    <x v="5"/>
    <x v="1"/>
    <x v="1"/>
    <x v="76"/>
    <x v="1"/>
    <s v="https://tools.sig.systems/site/details/277"/>
    <s v="https://www.google.com/maps/d/viewer?hl=es&amp;mid=1C1oZdjH3dNvCvqdpIv_Lk0Yn1OCVn-4&amp;ll=38.965368114274455%2C-92.3405954&amp;z=15"/>
    <x v="1"/>
    <x v="0"/>
    <x v="6"/>
    <x v="0"/>
    <x v="0"/>
    <x v="51"/>
    <x v="57"/>
    <x v="76"/>
  </r>
  <r>
    <s v="(ML) Nissan of North Little Rock19"/>
    <x v="15"/>
    <x v="5"/>
    <x v="1"/>
    <x v="1"/>
    <x v="20"/>
    <x v="1"/>
    <s v="https://tools.sig.systems/site/details/216"/>
    <s v="https://www.google.com/maps/d/edit?mid=1Oky35ERk_2kgyzCvDu_odQ2ZP62BtqA&amp;usp=sharing"/>
    <x v="1"/>
    <x v="0"/>
    <x v="16"/>
    <x v="0"/>
    <x v="0"/>
    <x v="18"/>
    <x v="17"/>
    <x v="20"/>
  </r>
  <r>
    <s v="(PE) BMW of Mamaroneck (NO TOURS)19"/>
    <x v="15"/>
    <x v="5"/>
    <x v="4"/>
    <x v="0"/>
    <x v="111"/>
    <x v="0"/>
    <s v="https://tools.sig.systems/site/details/185"/>
    <m/>
    <x v="1"/>
    <x v="0"/>
    <x v="76"/>
    <x v="41"/>
    <x v="0"/>
    <x v="6"/>
    <x v="82"/>
    <x v="110"/>
  </r>
  <r>
    <s v="(PE) Honda of Danbury (NO TOURS)19"/>
    <x v="15"/>
    <x v="5"/>
    <x v="4"/>
    <x v="0"/>
    <x v="49"/>
    <x v="0"/>
    <s v="https://tools.sig.systems/site/details/190"/>
    <m/>
    <x v="1"/>
    <x v="0"/>
    <x v="3"/>
    <x v="19"/>
    <x v="9"/>
    <x v="6"/>
    <x v="36"/>
    <x v="49"/>
  </r>
  <r>
    <s v="(SCH) Prep Center Delray19"/>
    <x v="15"/>
    <x v="5"/>
    <x v="0"/>
    <x v="0"/>
    <x v="53"/>
    <x v="0"/>
    <s v="https://tools.sig.systems/site/details/321"/>
    <m/>
    <x v="1"/>
    <x v="0"/>
    <x v="40"/>
    <x v="0"/>
    <x v="0"/>
    <x v="6"/>
    <x v="39"/>
    <x v="53"/>
  </r>
  <r>
    <s v="(AS) Atwell Prep Center-Dallas (NO TOURS)19"/>
    <x v="15"/>
    <x v="6"/>
    <x v="1"/>
    <x v="1"/>
    <x v="86"/>
    <x v="1"/>
    <s v="https://tools.sig.systems/site/details/165"/>
    <s v="https://www.google.com/maps/d/edit?hl=es&amp;mid=1uPmsRMsXnp74hPFW2t-sp2totVWF_xY&amp;ll=32.83050137713022%2C-96.83197783061323&amp;z=17"/>
    <x v="1"/>
    <x v="0"/>
    <x v="61"/>
    <x v="0"/>
    <x v="0"/>
    <x v="6"/>
    <x v="28"/>
    <x v="86"/>
  </r>
  <r>
    <s v="(AS) Park Place Mercedes Benz Ft. Worth (NO TOURS)19"/>
    <x v="15"/>
    <x v="6"/>
    <x v="1"/>
    <x v="1"/>
    <x v="5"/>
    <x v="1"/>
    <s v="https://tools.sig.systems/site/details/137"/>
    <s v="https://www.google.com/maps/d/edit?mid=18OEO_KbvYcgI3N1jE4gTMXfNHTNDrFU&amp;ll=32.66603989958274%2C-97.42021198201722&amp;z=18"/>
    <x v="1"/>
    <x v="0"/>
    <x v="5"/>
    <x v="0"/>
    <x v="4"/>
    <x v="5"/>
    <x v="5"/>
    <x v="5"/>
  </r>
  <r>
    <s v="(AS) Stevinson Toyota West (NO TOURS)19"/>
    <x v="15"/>
    <x v="6"/>
    <x v="3"/>
    <x v="2"/>
    <x v="8"/>
    <x v="3"/>
    <s v="https://tools.sig.systems/site/details/240"/>
    <s v="https://www.google.com/maps/d/edit?mid=1nAyK85WaWREy0lfxnmWn3USs2gC0nP0&amp;usp=sharing"/>
    <x v="1"/>
    <x v="0"/>
    <x v="3"/>
    <x v="3"/>
    <x v="0"/>
    <x v="7"/>
    <x v="8"/>
    <x v="8"/>
  </r>
  <r>
    <s v="(ML) Honda of Little Rock19"/>
    <x v="15"/>
    <x v="6"/>
    <x v="1"/>
    <x v="1"/>
    <x v="16"/>
    <x v="1"/>
    <s v="https://tools.sig.systems/site/details/249"/>
    <s v="https://www.google.com/maps/d/viewer?mid=1hvbKFMO-d5TXrKGU-g5dt_xcdArB1D0&amp;ll=34.71147784120261%2C-92.40574350000001&amp;z=17"/>
    <x v="1"/>
    <x v="0"/>
    <x v="15"/>
    <x v="0"/>
    <x v="0"/>
    <x v="14"/>
    <x v="15"/>
    <x v="16"/>
  </r>
  <r>
    <s v="(ML) Joe Machens Temporary 2.019"/>
    <x v="15"/>
    <x v="6"/>
    <x v="1"/>
    <x v="1"/>
    <x v="44"/>
    <x v="1"/>
    <s v="https://tools.sig.systems/site/details/278"/>
    <s v="https://www.google.com/maps/d/viewer?hl=es&amp;mid=1C1oZdjH3dNvCvqdpIv_Lk0Yn1OCVn-4&amp;ll=38.965368114274455%2C-92.3405954&amp;z=15"/>
    <x v="1"/>
    <x v="0"/>
    <x v="3"/>
    <x v="17"/>
    <x v="0"/>
    <x v="33"/>
    <x v="11"/>
    <x v="44"/>
  </r>
  <r>
    <s v="(SCH) Auto Body Shop Lake Park19"/>
    <x v="15"/>
    <x v="6"/>
    <x v="0"/>
    <x v="0"/>
    <x v="83"/>
    <x v="0"/>
    <s v="https://tools.sig.systems/site/details/158"/>
    <m/>
    <x v="1"/>
    <x v="0"/>
    <x v="59"/>
    <x v="0"/>
    <x v="0"/>
    <x v="6"/>
    <x v="11"/>
    <x v="83"/>
  </r>
  <r>
    <s v="(AS) Courtesy Honda Palm Harbor (NO TOURS)19"/>
    <x v="15"/>
    <x v="7"/>
    <x v="0"/>
    <x v="0"/>
    <x v="88"/>
    <x v="0"/>
    <s v="https://tools.sig.systems/site/details/176"/>
    <m/>
    <x v="3"/>
    <x v="0"/>
    <x v="63"/>
    <x v="0"/>
    <x v="0"/>
    <x v="58"/>
    <x v="24"/>
    <x v="88"/>
  </r>
  <r>
    <s v="(AS) Nalley Lexus &amp; Remote Lot Roswell (NO TOURS)19"/>
    <x v="15"/>
    <x v="7"/>
    <x v="2"/>
    <x v="0"/>
    <x v="4"/>
    <x v="2"/>
    <s v="https://tools.sig.systems/site/details/131"/>
    <s v="https://www.google.com/maps/d/edit?mid=1jkN3DS1BhUqp_dztjjW0PDwKfo_Yxsw&amp;usp=sharing"/>
    <x v="1"/>
    <x v="1"/>
    <x v="4"/>
    <x v="1"/>
    <x v="3"/>
    <x v="4"/>
    <x v="4"/>
    <x v="4"/>
  </r>
  <r>
    <s v="(AS) Park Place Bodywerks Dallas (NO TOURS)19"/>
    <x v="15"/>
    <x v="7"/>
    <x v="1"/>
    <x v="1"/>
    <x v="59"/>
    <x v="1"/>
    <s v="https://tools.sig.systems/site/details/166"/>
    <s v="https://www.google.com/maps/d/edit?hl=es&amp;mid=1uPmsRMsXnp74hPFW2t-sp2totVWF_xY&amp;ll=32.83050137713022%2C-96.83197783061323&amp;z=17"/>
    <x v="1"/>
    <x v="0"/>
    <x v="44"/>
    <x v="9"/>
    <x v="0"/>
    <x v="6"/>
    <x v="45"/>
    <x v="59"/>
  </r>
  <r>
    <s v="(KG) Big Star Honda19"/>
    <x v="15"/>
    <x v="7"/>
    <x v="1"/>
    <x v="1"/>
    <x v="72"/>
    <x v="1"/>
    <s v="https://tools.sig.systems/site/details/231"/>
    <m/>
    <x v="1"/>
    <x v="0"/>
    <x v="53"/>
    <x v="0"/>
    <x v="0"/>
    <x v="48"/>
    <x v="54"/>
    <x v="72"/>
  </r>
  <r>
    <s v="(ML) Collision Center N Little Rock19"/>
    <x v="15"/>
    <x v="7"/>
    <x v="1"/>
    <x v="1"/>
    <x v="106"/>
    <x v="1"/>
    <s v="https://tools.sig.systems/site/details/212"/>
    <s v="https://www.google.com/maps/d/edit?mid=1Oky35ERk_2kgyzCvDu_odQ2ZP62BtqA&amp;usp=sharing"/>
    <x v="1"/>
    <x v="0"/>
    <x v="3"/>
    <x v="0"/>
    <x v="0"/>
    <x v="6"/>
    <x v="77"/>
    <x v="105"/>
  </r>
  <r>
    <s v="(ML) Joe Machens Nissan19"/>
    <x v="15"/>
    <x v="7"/>
    <x v="1"/>
    <x v="1"/>
    <x v="78"/>
    <x v="1"/>
    <s v="https://tools.sig.systems/site/details/279"/>
    <s v="https://www.google.com/maps/d/viewer?hl=es&amp;mid=1C1oZdjH3dNvCvqdpIv_Lk0Yn1OCVn-4&amp;ll=38.965368114274455%2C-92.3405954&amp;z=15"/>
    <x v="1"/>
    <x v="0"/>
    <x v="3"/>
    <x v="28"/>
    <x v="0"/>
    <x v="6"/>
    <x v="11"/>
    <x v="78"/>
  </r>
  <r>
    <s v="(AS) Park Place MB Recon Center Dallas (NO TOURS)19"/>
    <x v="15"/>
    <x v="8"/>
    <x v="1"/>
    <x v="1"/>
    <x v="60"/>
    <x v="1"/>
    <s v="https://tools.sig.systems/site/details/170"/>
    <s v="https://www.google.com/maps/d/edit?hl=es&amp;mid=1uPmsRMsXnp74hPFW2t-sp2totVWF_xY&amp;ll=32.83050137713022%2C-96.83197783061323&amp;z=17"/>
    <x v="1"/>
    <x v="0"/>
    <x v="45"/>
    <x v="0"/>
    <x v="0"/>
    <x v="40"/>
    <x v="19"/>
    <x v="60"/>
  </r>
  <r>
    <s v="(AS) Stevinson Lexus of Lakewood (NO TOURS)19"/>
    <x v="15"/>
    <x v="8"/>
    <x v="3"/>
    <x v="2"/>
    <x v="34"/>
    <x v="3"/>
    <s v="https://tools.sig.systems/site/details/260"/>
    <s v="https://www.google.com/maps/d/edit?mid=1nAyK85WaWREy0lfxnmWn3USs2gC0nP0&amp;usp=sharing"/>
    <x v="1"/>
    <x v="0"/>
    <x v="3"/>
    <x v="14"/>
    <x v="8"/>
    <x v="6"/>
    <x v="28"/>
    <x v="34"/>
  </r>
  <r>
    <s v="(ML) Joe Machens Ford Lincoln I &amp; II19"/>
    <x v="15"/>
    <x v="8"/>
    <x v="1"/>
    <x v="1"/>
    <x v="77"/>
    <x v="1"/>
    <s v="https://tools.sig.systems/site/details/266"/>
    <s v="https://www.google.com/maps/d/viewer?hl=es&amp;mid=1C1oZdjH3dNvCvqdpIv_Lk0Yn1OCVn-4&amp;ll=38.965368114274455%2C-92.3405954&amp;z=15"/>
    <x v="1"/>
    <x v="0"/>
    <x v="3"/>
    <x v="27"/>
    <x v="0"/>
    <x v="52"/>
    <x v="11"/>
    <x v="77"/>
  </r>
  <r>
    <s v="(ML) Joe Machens Kia of Columbia19"/>
    <x v="15"/>
    <x v="8"/>
    <x v="1"/>
    <x v="1"/>
    <x v="107"/>
    <x v="1"/>
    <s v="https://tools.sig.systems/site/details/270"/>
    <s v="https://www.google.com/maps/d/viewer?hl=es&amp;mid=1C1oZdjH3dNvCvqdpIv_Lk0Yn1OCVn-4&amp;ll=38.965368114274455%2C-92.3405954&amp;z=15"/>
    <x v="1"/>
    <x v="0"/>
    <x v="3"/>
    <x v="39"/>
    <x v="0"/>
    <x v="6"/>
    <x v="78"/>
    <x v="106"/>
  </r>
  <r>
    <s v="(SCH) Delray I &amp; II19"/>
    <x v="15"/>
    <x v="8"/>
    <x v="0"/>
    <x v="0"/>
    <x v="26"/>
    <x v="0"/>
    <s v="https://tools.sig.systems/site/details/159"/>
    <m/>
    <x v="3"/>
    <x v="0"/>
    <x v="21"/>
    <x v="11"/>
    <x v="6"/>
    <x v="6"/>
    <x v="22"/>
    <x v="26"/>
  </r>
  <r>
    <s v="(SCH) West Palm Beach I, II &amp; III19"/>
    <x v="15"/>
    <x v="9"/>
    <x v="6"/>
    <x v="0"/>
    <x v="54"/>
    <x v="0"/>
    <s v="https://tools.sig.systems/site/details/162"/>
    <m/>
    <x v="3"/>
    <x v="2"/>
    <x v="41"/>
    <x v="20"/>
    <x v="10"/>
    <x v="6"/>
    <x v="40"/>
    <x v="54"/>
  </r>
  <r>
    <s v="(WAG) Greeley Chrysler Dodge Jeep Ram (NO TOURS)19"/>
    <x v="15"/>
    <x v="9"/>
    <x v="3"/>
    <x v="2"/>
    <x v="115"/>
    <x v="3"/>
    <s v="https://tools.sig.systems/site/details/130"/>
    <s v="https://www.google.com/maps/d/viewer?mid=1gN2lJ0iT7m5VNhD7aDcxE8AdXqtcOZc&amp;ll=40.396096737592195%2C-104.746842&amp;z=16"/>
    <x v="1"/>
    <x v="0"/>
    <x v="77"/>
    <x v="42"/>
    <x v="0"/>
    <x v="77"/>
    <x v="85"/>
    <x v="114"/>
  </r>
  <r>
    <s v="(AS) David McDavid Lincoln Frisco (NO TOURS)19"/>
    <x v="15"/>
    <x v="10"/>
    <x v="1"/>
    <x v="1"/>
    <x v="58"/>
    <x v="1"/>
    <s v="https://tools.sig.systems/site/details/182"/>
    <m/>
    <x v="1"/>
    <x v="0"/>
    <x v="43"/>
    <x v="0"/>
    <x v="0"/>
    <x v="39"/>
    <x v="44"/>
    <x v="58"/>
  </r>
  <r>
    <s v="(AS) Lexus Smyrna (NO TOURS)19"/>
    <x v="15"/>
    <x v="10"/>
    <x v="0"/>
    <x v="0"/>
    <x v="30"/>
    <x v="0"/>
    <s v="https://tools.sig.systems/site/details/133"/>
    <m/>
    <x v="1"/>
    <x v="0"/>
    <x v="24"/>
    <x v="0"/>
    <x v="0"/>
    <x v="24"/>
    <x v="25"/>
    <x v="30"/>
  </r>
  <r>
    <s v="(AS) Mike Shaw Subaru Greeley (NO TOURS)19"/>
    <x v="15"/>
    <x v="10"/>
    <x v="3"/>
    <x v="2"/>
    <x v="91"/>
    <x v="3"/>
    <s v="https://tools.sig.systems/site/details/174"/>
    <s v="https://www.google.com/maps/d/viewer?mid=1gN2lJ0iT7m5VNhD7aDcxE8AdXqtcOZc&amp;ll=40.396096737592195%2C-104.746842&amp;z=16"/>
    <x v="1"/>
    <x v="0"/>
    <x v="65"/>
    <x v="32"/>
    <x v="0"/>
    <x v="61"/>
    <x v="11"/>
    <x v="91"/>
  </r>
  <r>
    <s v="(ML) Mazda VW-Lot B19"/>
    <x v="15"/>
    <x v="10"/>
    <x v="1"/>
    <x v="1"/>
    <x v="45"/>
    <x v="1"/>
    <s v="https://tools.sig.systems/site/details/205"/>
    <s v="https://www.google.com/maps/d/edit?mid=1Oky35ERk_2kgyzCvDu_odQ2ZP62BtqA&amp;usp=sharing"/>
    <x v="1"/>
    <x v="0"/>
    <x v="33"/>
    <x v="9"/>
    <x v="0"/>
    <x v="30"/>
    <x v="11"/>
    <x v="45"/>
  </r>
  <r>
    <s v="(ML) Volvo Collision Corp19"/>
    <x v="15"/>
    <x v="10"/>
    <x v="1"/>
    <x v="1"/>
    <x v="47"/>
    <x v="1"/>
    <s v="https://tools.sig.systems/site/details/223"/>
    <m/>
    <x v="1"/>
    <x v="0"/>
    <x v="35"/>
    <x v="1"/>
    <x v="0"/>
    <x v="35"/>
    <x v="11"/>
    <x v="47"/>
  </r>
  <r>
    <s v="(PE) Fairfield Collision (NO TOURS)19"/>
    <x v="15"/>
    <x v="10"/>
    <x v="4"/>
    <x v="0"/>
    <x v="22"/>
    <x v="0"/>
    <s v="https://tools.sig.systems/site/details/191"/>
    <m/>
    <x v="1"/>
    <x v="0"/>
    <x v="18"/>
    <x v="0"/>
    <x v="0"/>
    <x v="6"/>
    <x v="18"/>
    <x v="22"/>
  </r>
  <r>
    <s v="(AS) Nalley BMW Collision Center (NO TOURS)19"/>
    <x v="15"/>
    <x v="11"/>
    <x v="0"/>
    <x v="0"/>
    <x v="3"/>
    <x v="0"/>
    <s v="https://tools.sig.systems/site/details/220"/>
    <m/>
    <x v="1"/>
    <x v="0"/>
    <x v="3"/>
    <x v="1"/>
    <x v="0"/>
    <x v="3"/>
    <x v="3"/>
    <x v="3"/>
  </r>
  <r>
    <s v="(AS) Park Place Volvo Service Center (NO TOURS)19"/>
    <x v="15"/>
    <x v="11"/>
    <x v="1"/>
    <x v="1"/>
    <x v="62"/>
    <x v="1"/>
    <s v="https://tools.sig.systems/site/details/171"/>
    <s v="https://www.google.com/maps/d/edit?hl=es&amp;mid=1uPmsRMsXnp74hPFW2t-sp2totVWF_xY&amp;ll=32.83050137713022%2C-96.83197783061323&amp;z=17"/>
    <x v="1"/>
    <x v="0"/>
    <x v="47"/>
    <x v="0"/>
    <x v="0"/>
    <x v="42"/>
    <x v="11"/>
    <x v="62"/>
  </r>
  <r>
    <s v="(HUD) Acura of Greensboro19"/>
    <x v="15"/>
    <x v="11"/>
    <x v="0"/>
    <x v="0"/>
    <x v="99"/>
    <x v="0"/>
    <s v="https://tools.sig.systems/site/details/213"/>
    <s v="https://www.google.com/maps/d/viewer?mid=1ejOzT7-x6RWnCf83BBP7XhiOiwEX3Wk&amp;ll=0%2C0&amp;z=17"/>
    <x v="1"/>
    <x v="0"/>
    <x v="69"/>
    <x v="0"/>
    <x v="0"/>
    <x v="67"/>
    <x v="71"/>
    <x v="98"/>
  </r>
  <r>
    <s v="(KG) Kia of Phoenix (NO TOURS)19"/>
    <x v="15"/>
    <x v="11"/>
    <x v="5"/>
    <x v="3"/>
    <x v="40"/>
    <x v="4"/>
    <s v="https://tools.sig.systems/site/details/262"/>
    <m/>
    <x v="4"/>
    <x v="0"/>
    <x v="30"/>
    <x v="0"/>
    <x v="0"/>
    <x v="30"/>
    <x v="11"/>
    <x v="40"/>
  </r>
  <r>
    <s v="(MK) McKenny Salinas Honda19"/>
    <x v="15"/>
    <x v="11"/>
    <x v="0"/>
    <x v="0"/>
    <x v="104"/>
    <x v="0"/>
    <s v="https://tools.sig.systems/site/details/149"/>
    <m/>
    <x v="1"/>
    <x v="0"/>
    <x v="3"/>
    <x v="37"/>
    <x v="0"/>
    <x v="6"/>
    <x v="75"/>
    <x v="103"/>
  </r>
  <r>
    <s v="(ML) Joe Machens Capital City I &amp; II (NO TOURS)19"/>
    <x v="15"/>
    <x v="11"/>
    <x v="1"/>
    <x v="1"/>
    <x v="17"/>
    <x v="1"/>
    <s v="https://tools.sig.systems/site/details/271"/>
    <m/>
    <x v="1"/>
    <x v="0"/>
    <x v="3"/>
    <x v="6"/>
    <x v="0"/>
    <x v="15"/>
    <x v="16"/>
    <x v="17"/>
  </r>
  <r>
    <s v="(PE) Mercedes Benz &amp; Smart Bldg. of Fairfield (NO TOURS)19"/>
    <x v="15"/>
    <x v="11"/>
    <x v="4"/>
    <x v="0"/>
    <x v="23"/>
    <x v="0"/>
    <s v="https://tools.sig.systems/site/details/192"/>
    <s v="https://www.google.com/maps/d/viewer?mid=1FEo41PzFJQjUIXXKitX5TNCtuqR6Vbs&amp;ll=41.1663376742533%2C-73.22955662049608&amp;z=16"/>
    <x v="1"/>
    <x v="0"/>
    <x v="3"/>
    <x v="9"/>
    <x v="0"/>
    <x v="20"/>
    <x v="19"/>
    <x v="23"/>
  </r>
  <r>
    <s v="(AS) Courtesy Hyundai/Nissan Tampa (NO TOURS)19"/>
    <x v="15"/>
    <x v="12"/>
    <x v="0"/>
    <x v="0"/>
    <x v="89"/>
    <x v="0"/>
    <s v="https://tools.sig.systems/site/details/128"/>
    <m/>
    <x v="0"/>
    <x v="0"/>
    <x v="64"/>
    <x v="0"/>
    <x v="0"/>
    <x v="59"/>
    <x v="62"/>
    <x v="89"/>
  </r>
  <r>
    <s v="(AS) David McDavid Honda I &amp; II (NO TOURS)19"/>
    <x v="15"/>
    <x v="12"/>
    <x v="1"/>
    <x v="1"/>
    <x v="90"/>
    <x v="1"/>
    <s v="https://tools.sig.systems/site/details/129"/>
    <m/>
    <x v="1"/>
    <x v="0"/>
    <x v="3"/>
    <x v="31"/>
    <x v="0"/>
    <x v="60"/>
    <x v="63"/>
    <x v="90"/>
  </r>
  <r>
    <s v="(AS) Plano Auction (NO SPEAKERS)19"/>
    <x v="15"/>
    <x v="12"/>
    <x v="1"/>
    <x v="1"/>
    <x v="94"/>
    <x v="1"/>
    <s v="https://tools.sig.systems/site/details/140"/>
    <m/>
    <x v="1"/>
    <x v="0"/>
    <x v="3"/>
    <x v="34"/>
    <x v="0"/>
    <x v="64"/>
    <x v="66"/>
    <x v="94"/>
  </r>
  <r>
    <s v="(DT) Albuquerque19"/>
    <x v="15"/>
    <x v="12"/>
    <x v="3"/>
    <x v="2"/>
    <x v="35"/>
    <x v="3"/>
    <s v="https://tools.sig.systems/site/details/237"/>
    <m/>
    <x v="1"/>
    <x v="0"/>
    <x v="27"/>
    <x v="0"/>
    <x v="0"/>
    <x v="27"/>
    <x v="29"/>
    <x v="35"/>
  </r>
  <r>
    <s v="(HUD) BMW of Greensboro19"/>
    <x v="15"/>
    <x v="12"/>
    <x v="0"/>
    <x v="0"/>
    <x v="100"/>
    <x v="0"/>
    <s v="https://tools.sig.systems/site/details/219"/>
    <s v="https://www.google.com/maps/d/viewer?mid=1ejOzT7-x6RWnCf83BBP7XhiOiwEX3Wk&amp;ll=36.061264791292906%2C-79.87437695000003&amp;z=17"/>
    <x v="1"/>
    <x v="0"/>
    <x v="70"/>
    <x v="0"/>
    <x v="0"/>
    <x v="68"/>
    <x v="72"/>
    <x v="99"/>
  </r>
  <r>
    <s v="(AS) Coggin Mercedes Benz Ft Pierce (NO TOURS)19"/>
    <x v="15"/>
    <x v="13"/>
    <x v="0"/>
    <x v="0"/>
    <x v="28"/>
    <x v="0"/>
    <s v="https://tools.sig.systems/site/details/127"/>
    <s v="https://www.google.com/maps/d/viewer?mid=1AyViBuyeq7iwDua1SVudJ2A1BYi3IBA&amp;ll=27.38181516363982%2C-80.32568845000002&amp;z=18"/>
    <x v="1"/>
    <x v="0"/>
    <x v="22"/>
    <x v="13"/>
    <x v="0"/>
    <x v="22"/>
    <x v="23"/>
    <x v="28"/>
  </r>
  <r>
    <s v="(AS) Plaza Lexus/Mercedes/BMW (NO TOURS)19"/>
    <x v="15"/>
    <x v="13"/>
    <x v="1"/>
    <x v="1"/>
    <x v="63"/>
    <x v="1"/>
    <s v="https://tools.sig.systems/site/details/141"/>
    <s v="https://www.google.com/maps/d/viewer?mid=1whGZ1PLqmhJnGFz8uigZqUL4cHGGW3w&amp;ll=38.668847686454825%2C-90.4433601&amp;z=17"/>
    <x v="1"/>
    <x v="0"/>
    <x v="48"/>
    <x v="23"/>
    <x v="0"/>
    <x v="43"/>
    <x v="47"/>
    <x v="63"/>
  </r>
  <r>
    <s v="(DT) El Cajon (NO TOURS)19"/>
    <x v="15"/>
    <x v="13"/>
    <x v="5"/>
    <x v="4"/>
    <x v="66"/>
    <x v="4"/>
    <s v="https://tools.sig.systems/site/details/241"/>
    <m/>
    <x v="1"/>
    <x v="0"/>
    <x v="3"/>
    <x v="16"/>
    <x v="0"/>
    <x v="6"/>
    <x v="11"/>
    <x v="66"/>
  </r>
  <r>
    <s v="(HUD) Nissan Greensboro19"/>
    <x v="15"/>
    <x v="13"/>
    <x v="0"/>
    <x v="0"/>
    <x v="12"/>
    <x v="0"/>
    <s v="https://tools.sig.systems/site/details/236"/>
    <s v="https://www.google.com/maps/d/viewer?mid=1ejOzT7-x6RWnCf83BBP7XhiOiwEX3Wk&amp;ll=36.061264791292906%2C-79.87437695000003&amp;z=17"/>
    <x v="1"/>
    <x v="0"/>
    <x v="11"/>
    <x v="0"/>
    <x v="0"/>
    <x v="6"/>
    <x v="12"/>
    <x v="12"/>
  </r>
  <r>
    <s v="(KG) Truck Center Remote Storage Lot19"/>
    <x v="15"/>
    <x v="13"/>
    <x v="2"/>
    <x v="2"/>
    <x v="14"/>
    <x v="2"/>
    <s v="https://tools.sig.systems/site/details/144"/>
    <m/>
    <x v="1"/>
    <x v="0"/>
    <x v="13"/>
    <x v="5"/>
    <x v="0"/>
    <x v="12"/>
    <x v="14"/>
    <x v="14"/>
  </r>
  <r>
    <s v="(ML) McLarty-Gray Daniels Chevrolet19"/>
    <x v="15"/>
    <x v="13"/>
    <x v="1"/>
    <x v="1"/>
    <x v="109"/>
    <x v="1"/>
    <s v="https://tools.sig.systems/site/details/150"/>
    <m/>
    <x v="1"/>
    <x v="0"/>
    <x v="74"/>
    <x v="0"/>
    <x v="0"/>
    <x v="73"/>
    <x v="80"/>
    <x v="108"/>
  </r>
  <r>
    <s v="(AS) Coggin Honda Ft. Pierce (NO TOURS)19"/>
    <x v="15"/>
    <x v="14"/>
    <x v="0"/>
    <x v="0"/>
    <x v="0"/>
    <x v="0"/>
    <s v="https://tools.sig.systems/site/details/120"/>
    <s v="https://www.google.com/maps/d/viewer?mid=1AyViBuyeq7iwDua1SVudJ2A1BYi3IBA&amp;ll=27.38181516363982%2C-80.32568845000002&amp;z=18"/>
    <x v="0"/>
    <x v="0"/>
    <x v="0"/>
    <x v="0"/>
    <x v="0"/>
    <x v="0"/>
    <x v="0"/>
    <x v="0"/>
  </r>
  <r>
    <s v="(AS) Lexus Plano I &amp; II (NO TOURS)19"/>
    <x v="15"/>
    <x v="14"/>
    <x v="1"/>
    <x v="1"/>
    <x v="1"/>
    <x v="1"/>
    <s v="https://tools.sig.systems/site/details/167"/>
    <s v="https://www.google.com/maps/d/viewer?mid=1wg5suxVuxeNp_irHlvN772HcwD6W89E&amp;ll=33.06373951220261%2C-96.82758025000001&amp;z=18"/>
    <x v="1"/>
    <x v="0"/>
    <x v="1"/>
    <x v="0"/>
    <x v="1"/>
    <x v="1"/>
    <x v="1"/>
    <x v="1"/>
  </r>
  <r>
    <s v="(AS) Plaza Audi/Infiniti (NO TOURS)19"/>
    <x v="15"/>
    <x v="14"/>
    <x v="1"/>
    <x v="1"/>
    <x v="95"/>
    <x v="1"/>
    <s v="https://tools.sig.systems/site/details/141"/>
    <s v="https://www.google.com/maps/d/viewer?mid=1whGZ1PLqmhJnGFz8uigZqUL4cHGGW3w&amp;ll=38.668847686454825%2C-90.4433601&amp;z=17"/>
    <x v="1"/>
    <x v="0"/>
    <x v="68"/>
    <x v="35"/>
    <x v="0"/>
    <x v="65"/>
    <x v="67"/>
    <x v="63"/>
  </r>
  <r>
    <s v="(AS) Stevinson JLR (NO TOURS)19"/>
    <x v="15"/>
    <x v="14"/>
    <x v="3"/>
    <x v="2"/>
    <x v="64"/>
    <x v="3"/>
    <s v="https://tools.sig.systems/site/details/204"/>
    <m/>
    <x v="1"/>
    <x v="0"/>
    <x v="49"/>
    <x v="1"/>
    <x v="0"/>
    <x v="44"/>
    <x v="48"/>
    <x v="64"/>
  </r>
  <r>
    <s v="(HUD) CDJR of Greensboro19"/>
    <x v="15"/>
    <x v="14"/>
    <x v="0"/>
    <x v="0"/>
    <x v="68"/>
    <x v="6"/>
    <s v="https://tools.sig.systems/site/details/215"/>
    <s v="https://www.google.com/maps/d/viewer?mid=1ejOzT7-x6RWnCf83BBP7XhiOiwEX3Wk&amp;ll=36.061264791292906%2C-79.87437695000003&amp;z=17"/>
    <x v="3"/>
    <x v="0"/>
    <x v="50"/>
    <x v="0"/>
    <x v="0"/>
    <x v="45"/>
    <x v="51"/>
    <x v="68"/>
  </r>
  <r>
    <s v="(AS) Coggin Acura Ft Pierce (NO TOURS)19"/>
    <x v="15"/>
    <x v="15"/>
    <x v="0"/>
    <x v="0"/>
    <x v="27"/>
    <x v="0"/>
    <s v="https://tools.sig.systems/site/details/118"/>
    <s v="https://www.google.com/maps/d/viewer?mid=1AyViBuyeq7iwDua1SVudJ2A1BYi3IBA&amp;ll=27.38181516363982%2C-80.32568845000002&amp;z=18"/>
    <x v="1"/>
    <x v="0"/>
    <x v="3"/>
    <x v="12"/>
    <x v="0"/>
    <x v="21"/>
    <x v="19"/>
    <x v="27"/>
  </r>
  <r>
    <s v="(AS) Park Place Acura (NO TOURS)19"/>
    <x v="15"/>
    <x v="15"/>
    <x v="1"/>
    <x v="1"/>
    <x v="32"/>
    <x v="1"/>
    <s v="https://tools.sig.systems/site/details/259"/>
    <s v="https://www.google.com/maps/d/viewer?mid=1wg5suxVuxeNp_irHlvN772HcwD6W89E&amp;ll=33.06373951220261%2C-96.82758025000001&amp;z=18"/>
    <x v="1"/>
    <x v="0"/>
    <x v="25"/>
    <x v="0"/>
    <x v="0"/>
    <x v="25"/>
    <x v="11"/>
    <x v="32"/>
  </r>
  <r>
    <s v="(DT) Escondido19"/>
    <x v="15"/>
    <x v="15"/>
    <x v="5"/>
    <x v="4"/>
    <x v="98"/>
    <x v="5"/>
    <s v="https://tools.sig.systems/site/details/196"/>
    <m/>
    <x v="1"/>
    <x v="4"/>
    <x v="20"/>
    <x v="0"/>
    <x v="0"/>
    <x v="6"/>
    <x v="70"/>
    <x v="97"/>
  </r>
  <r>
    <s v="(DT) W Houston19"/>
    <x v="15"/>
    <x v="15"/>
    <x v="1"/>
    <x v="1"/>
    <x v="10"/>
    <x v="1"/>
    <s v="https://tools.sig.systems/site/details/197"/>
    <m/>
    <x v="1"/>
    <x v="0"/>
    <x v="9"/>
    <x v="2"/>
    <x v="0"/>
    <x v="9"/>
    <x v="10"/>
    <x v="10"/>
  </r>
  <r>
    <s v="(DT) Wichita19"/>
    <x v="15"/>
    <x v="15"/>
    <x v="1"/>
    <x v="1"/>
    <x v="36"/>
    <x v="1"/>
    <s v="https://tools.sig.systems/site/details/257"/>
    <m/>
    <x v="1"/>
    <x v="0"/>
    <x v="3"/>
    <x v="15"/>
    <x v="0"/>
    <x v="6"/>
    <x v="30"/>
    <x v="36"/>
  </r>
  <r>
    <s v="(HUD) Honda Greensboro19"/>
    <x v="15"/>
    <x v="15"/>
    <x v="0"/>
    <x v="0"/>
    <x v="37"/>
    <x v="0"/>
    <s v="https://tools.sig.systems/site/details/230"/>
    <s v="AS/ HUD - Crown Greensboro - Google My Maps"/>
    <x v="1"/>
    <x v="0"/>
    <x v="28"/>
    <x v="0"/>
    <x v="0"/>
    <x v="28"/>
    <x v="31"/>
    <x v="37"/>
  </r>
  <r>
    <s v="(ML) McLarty Gray-Daniels Toyota Nissan19"/>
    <x v="15"/>
    <x v="15"/>
    <x v="1"/>
    <x v="1"/>
    <x v="108"/>
    <x v="1"/>
    <s v="https://tools.sig.systems/site/details/152"/>
    <s v="https://www.google.com/maps/d/edit?mid=111nhCL4Xjj2Pq0zP5xUrMzHQqAihqa0&amp;usp=sharing"/>
    <x v="1"/>
    <x v="0"/>
    <x v="3"/>
    <x v="40"/>
    <x v="0"/>
    <x v="72"/>
    <x v="79"/>
    <x v="107"/>
  </r>
  <r>
    <s v="(RV) Sonny's Camp N Travel Concord19"/>
    <x v="15"/>
    <x v="15"/>
    <x v="0"/>
    <x v="0"/>
    <x v="114"/>
    <x v="0"/>
    <s v="https://tools.sig.systems/site/details/183"/>
    <m/>
    <x v="1"/>
    <x v="0"/>
    <x v="6"/>
    <x v="0"/>
    <x v="0"/>
    <x v="76"/>
    <x v="84"/>
    <x v="113"/>
  </r>
  <r>
    <s v="(AS) Audi of North Atlanta (NO TOURS)19"/>
    <x v="15"/>
    <x v="16"/>
    <x v="0"/>
    <x v="0"/>
    <x v="87"/>
    <x v="0"/>
    <s v="https://tools.sig.systems/site/details/124"/>
    <s v="https://www.google.com/maps/d/edit?mid=1jkN3DS1BhUqp_dztjjW0PDwKfo_Yxsw&amp;usp=sharing"/>
    <x v="1"/>
    <x v="0"/>
    <x v="62"/>
    <x v="0"/>
    <x v="0"/>
    <x v="57"/>
    <x v="61"/>
    <x v="87"/>
  </r>
  <r>
    <s v="(AS) Stevinson Porsche of Littleton (NO TOURS)19"/>
    <x v="15"/>
    <x v="16"/>
    <x v="3"/>
    <x v="2"/>
    <x v="7"/>
    <x v="3"/>
    <s v="https://tools.sig.systems/site/details/242"/>
    <m/>
    <x v="1"/>
    <x v="0"/>
    <x v="7"/>
    <x v="2"/>
    <x v="0"/>
    <x v="6"/>
    <x v="7"/>
    <x v="7"/>
  </r>
  <r>
    <s v="(HUD) Paint and Body Center (NO TOURS)19"/>
    <x v="15"/>
    <x v="16"/>
    <x v="0"/>
    <x v="0"/>
    <x v="38"/>
    <x v="0"/>
    <s v="https://tools.sig.systems/site/details/256"/>
    <s v="https://www.google.com/maps/d/viewer?mid=1ejOzT7-x6RWnCf83BBP7XhiOiwEX3Wk&amp;ll=36.061264791292906%2C-79.87437695000003&amp;z=17"/>
    <x v="1"/>
    <x v="0"/>
    <x v="3"/>
    <x v="9"/>
    <x v="0"/>
    <x v="6"/>
    <x v="11"/>
    <x v="38"/>
  </r>
  <r>
    <s v="(KG) Baytown GMC Buick - Remote Lot (NO TOURS)19"/>
    <x v="15"/>
    <x v="16"/>
    <x v="2"/>
    <x v="1"/>
    <x v="70"/>
    <x v="2"/>
    <s v="https://tools.sig.systems/site/details/311"/>
    <m/>
    <x v="1"/>
    <x v="3"/>
    <x v="3"/>
    <x v="25"/>
    <x v="0"/>
    <x v="6"/>
    <x v="11"/>
    <x v="70"/>
  </r>
  <r>
    <s v="(KG) Baytown GMC Buick (NO TOURS)19"/>
    <x v="15"/>
    <x v="16"/>
    <x v="1"/>
    <x v="1"/>
    <x v="71"/>
    <x v="1"/>
    <s v="https://tools.sig.systems/site/details/239"/>
    <m/>
    <x v="1"/>
    <x v="0"/>
    <x v="52"/>
    <x v="0"/>
    <x v="0"/>
    <x v="47"/>
    <x v="53"/>
    <x v="71"/>
  </r>
  <r>
    <s v="(ML) McLarty Gray-Daniels Ford Lincoln19"/>
    <x v="15"/>
    <x v="16"/>
    <x v="1"/>
    <x v="1"/>
    <x v="79"/>
    <x v="1"/>
    <s v="https://tools.sig.systems/site/details/151"/>
    <s v="https://www.google.com/maps/d/edit?mid=111nhCL4Xjj2Pq0zP5xUrMzHQqAihqa0&amp;usp=sharing"/>
    <x v="1"/>
    <x v="0"/>
    <x v="56"/>
    <x v="29"/>
    <x v="0"/>
    <x v="53"/>
    <x v="57"/>
    <x v="79"/>
  </r>
  <r>
    <s v="(TC) Tavernier Creek Marina (NO TOURS)19"/>
    <x v="15"/>
    <x v="16"/>
    <x v="0"/>
    <x v="0"/>
    <x v="84"/>
    <x v="1"/>
    <s v="https://tools.sig.systems/site/details/164"/>
    <m/>
    <x v="6"/>
    <x v="0"/>
    <x v="60"/>
    <x v="0"/>
    <x v="0"/>
    <x v="6"/>
    <x v="59"/>
    <x v="84"/>
  </r>
  <r>
    <s v="(AS) Courtesy Kia of Brandon (NO TOURS)19"/>
    <x v="15"/>
    <x v="17"/>
    <x v="0"/>
    <x v="0"/>
    <x v="57"/>
    <x v="0"/>
    <s v="https://tools.sig.systems/site/details/121"/>
    <s v="https://www.google.com/maps/d/edit?mid=15R4hTDQx56ij99--JgozdqOIZh-kSlk&amp;usp=sharing"/>
    <x v="0"/>
    <x v="0"/>
    <x v="3"/>
    <x v="22"/>
    <x v="0"/>
    <x v="38"/>
    <x v="43"/>
    <x v="57"/>
  </r>
  <r>
    <s v="(AS) Lexus Grapevine I &amp; II (NO TOURS)19"/>
    <x v="15"/>
    <x v="17"/>
    <x v="1"/>
    <x v="1"/>
    <x v="29"/>
    <x v="1"/>
    <s v="https://tools.sig.systems/site/details/136"/>
    <m/>
    <x v="1"/>
    <x v="0"/>
    <x v="23"/>
    <x v="0"/>
    <x v="7"/>
    <x v="23"/>
    <x v="24"/>
    <x v="29"/>
  </r>
  <r>
    <s v="(AS) Nalley Luxury Collision Center (NO TOURS)19"/>
    <x v="15"/>
    <x v="17"/>
    <x v="0"/>
    <x v="0"/>
    <x v="31"/>
    <x v="0"/>
    <s v="https://tools.sig.systems/site/details/263"/>
    <s v="https://www.google.com/maps/d/edit?mid=1jkN3DS1BhUqp_dztjjW0PDwKfo_Yxsw&amp;usp=sharing"/>
    <x v="1"/>
    <x v="0"/>
    <x v="4"/>
    <x v="0"/>
    <x v="0"/>
    <x v="6"/>
    <x v="26"/>
    <x v="31"/>
  </r>
  <r>
    <s v="(DT) N. Houston19"/>
    <x v="15"/>
    <x v="17"/>
    <x v="1"/>
    <x v="1"/>
    <x v="9"/>
    <x v="1"/>
    <s v="https://tools.sig.systems/site/details/250"/>
    <m/>
    <x v="1"/>
    <x v="0"/>
    <x v="8"/>
    <x v="0"/>
    <x v="0"/>
    <x v="8"/>
    <x v="9"/>
    <x v="9"/>
  </r>
  <r>
    <s v="(KG) JLR LEHI (NO TOURS)19"/>
    <x v="15"/>
    <x v="17"/>
    <x v="3"/>
    <x v="2"/>
    <x v="73"/>
    <x v="3"/>
    <s v="https://tools.sig.systems/site/details/145"/>
    <m/>
    <x v="1"/>
    <x v="0"/>
    <x v="54"/>
    <x v="0"/>
    <x v="0"/>
    <x v="49"/>
    <x v="11"/>
    <x v="73"/>
  </r>
  <r>
    <s v="(RML) Burleson Nissan19"/>
    <x v="15"/>
    <x v="17"/>
    <x v="1"/>
    <x v="1"/>
    <x v="82"/>
    <x v="1"/>
    <s v="https://tools.sig.systems/site/details/202"/>
    <m/>
    <x v="1"/>
    <x v="0"/>
    <x v="58"/>
    <x v="0"/>
    <x v="0"/>
    <x v="56"/>
    <x v="11"/>
    <x v="82"/>
  </r>
  <r>
    <s v="SIG Office19"/>
    <x v="15"/>
    <x v="17"/>
    <x v="2"/>
    <x v="0"/>
    <x v="85"/>
    <x v="2"/>
    <s v="https://tools.sig.systems/site/details/163"/>
    <m/>
    <x v="1"/>
    <x v="0"/>
    <x v="3"/>
    <x v="0"/>
    <x v="0"/>
    <x v="6"/>
    <x v="60"/>
    <x v="85"/>
  </r>
  <r>
    <s v="(AS) Courtesy CDJR of Brandon (NO TOURS)19"/>
    <x v="15"/>
    <x v="18"/>
    <x v="0"/>
    <x v="0"/>
    <x v="56"/>
    <x v="0"/>
    <s v="https://tools.sig.systems/site/details/126"/>
    <s v="https://www.google.com/maps/d/edit?mid=15R4hTDQx56ij99--JgozdqOIZh-kSlk&amp;usp=sharing"/>
    <x v="0"/>
    <x v="0"/>
    <x v="42"/>
    <x v="9"/>
    <x v="0"/>
    <x v="37"/>
    <x v="42"/>
    <x v="56"/>
  </r>
  <r>
    <s v="(AS) Park Place JLR DFW Airport (NO TOURS)19"/>
    <x v="15"/>
    <x v="18"/>
    <x v="1"/>
    <x v="1"/>
    <x v="93"/>
    <x v="1"/>
    <s v="https://tools.sig.systems/site/details/135"/>
    <m/>
    <x v="1"/>
    <x v="0"/>
    <x v="67"/>
    <x v="33"/>
    <x v="13"/>
    <x v="63"/>
    <x v="65"/>
    <x v="93"/>
  </r>
  <r>
    <s v="(DT) Colorado Springs (NO TOURS)19"/>
    <x v="15"/>
    <x v="18"/>
    <x v="3"/>
    <x v="2"/>
    <x v="65"/>
    <x v="3"/>
    <s v="https://tools.sig.systems/site/details/198"/>
    <m/>
    <x v="1"/>
    <x v="0"/>
    <x v="3"/>
    <x v="24"/>
    <x v="0"/>
    <x v="6"/>
    <x v="49"/>
    <x v="65"/>
  </r>
  <r>
    <s v="(KT) Northwest CDJR (NO TOURS)19"/>
    <x v="15"/>
    <x v="18"/>
    <x v="1"/>
    <x v="1"/>
    <x v="15"/>
    <x v="1"/>
    <s v="https://tools.sig.systems/site/details/229"/>
    <m/>
    <x v="1"/>
    <x v="0"/>
    <x v="14"/>
    <x v="0"/>
    <x v="0"/>
    <x v="13"/>
    <x v="11"/>
    <x v="15"/>
  </r>
  <r>
    <s v="(RV) Toms Camperland Surprise (NO TOURS)19"/>
    <x v="15"/>
    <x v="18"/>
    <x v="5"/>
    <x v="3"/>
    <x v="51"/>
    <x v="4"/>
    <s v="https://tools.sig.systems/site/details/254"/>
    <m/>
    <x v="5"/>
    <x v="0"/>
    <x v="38"/>
    <x v="0"/>
    <x v="0"/>
    <x v="6"/>
    <x v="37"/>
    <x v="51"/>
  </r>
  <r>
    <s v="(SCH) Chevrolet North Palm19"/>
    <x v="15"/>
    <x v="18"/>
    <x v="0"/>
    <x v="0"/>
    <x v="52"/>
    <x v="0"/>
    <s v="https://tools.sig.systems/site/details/160"/>
    <m/>
    <x v="3"/>
    <x v="0"/>
    <x v="39"/>
    <x v="0"/>
    <x v="0"/>
    <x v="6"/>
    <x v="38"/>
    <x v="52"/>
  </r>
  <r>
    <s v="(AS) Park Place Bodywerks Ft. Worth (NO TOURS)20"/>
    <x v="16"/>
    <x v="0"/>
    <x v="1"/>
    <x v="1"/>
    <x v="92"/>
    <x v="1"/>
    <s v="https://tools.sig.systems/site/details/134"/>
    <s v="https://www.google.com/maps/d/edit?mid=18OEO_KbvYcgI3N1jE4gTMXfNHTNDrFU&amp;ll=32.66603989958274%2C-97.42021198201722&amp;z=18"/>
    <x v="1"/>
    <x v="0"/>
    <x v="66"/>
    <x v="0"/>
    <x v="0"/>
    <x v="62"/>
    <x v="64"/>
    <x v="92"/>
  </r>
  <r>
    <s v="(DT) Louisville20"/>
    <x v="16"/>
    <x v="0"/>
    <x v="0"/>
    <x v="0"/>
    <x v="67"/>
    <x v="0"/>
    <s v="https://tools.sig.systems/site/details/258"/>
    <m/>
    <x v="1"/>
    <x v="0"/>
    <x v="3"/>
    <x v="16"/>
    <x v="0"/>
    <x v="6"/>
    <x v="50"/>
    <x v="67"/>
  </r>
  <r>
    <s v="(ML) Nissan Of Benton20"/>
    <x v="16"/>
    <x v="0"/>
    <x v="1"/>
    <x v="1"/>
    <x v="80"/>
    <x v="1"/>
    <s v="https://tools.sig.systems/site/details/247"/>
    <m/>
    <x v="1"/>
    <x v="0"/>
    <x v="57"/>
    <x v="0"/>
    <x v="0"/>
    <x v="54"/>
    <x v="11"/>
    <x v="80"/>
  </r>
  <r>
    <s v="(PE) Hudson Toyota Nissan CDJR (NO TOURS)20"/>
    <x v="16"/>
    <x v="0"/>
    <x v="4"/>
    <x v="0"/>
    <x v="81"/>
    <x v="0"/>
    <s v="https://tools.sig.systems/site/details/156"/>
    <m/>
    <x v="1"/>
    <x v="0"/>
    <x v="49"/>
    <x v="30"/>
    <x v="0"/>
    <x v="55"/>
    <x v="58"/>
    <x v="81"/>
  </r>
  <r>
    <s v="(PE) Scofield Service Center (NO TOURS)20"/>
    <x v="16"/>
    <x v="0"/>
    <x v="4"/>
    <x v="0"/>
    <x v="113"/>
    <x v="0"/>
    <s v="https://tools.sig.systems/site/details/193"/>
    <s v="https://www.google.com/maps/d/viewer?mid=1FEo41PzFJQjUIXXKitX5TNCtuqR6Vbs&amp;ll=41.1663376742533%2C-73.22955662049608&amp;z=16"/>
    <x v="1"/>
    <x v="0"/>
    <x v="6"/>
    <x v="0"/>
    <x v="0"/>
    <x v="75"/>
    <x v="51"/>
    <x v="112"/>
  </r>
  <r>
    <s v="(RV) Toms Camperland Avondale (NO TOURS)20"/>
    <x v="16"/>
    <x v="0"/>
    <x v="5"/>
    <x v="3"/>
    <x v="24"/>
    <x v="4"/>
    <s v="https://tools.sig.systems/site/details/248"/>
    <s v="https://www.google.com/maps/d/viewer?mid=1bDs0QGFZwL3vEeGKxjVMk_j4azr0-lg&amp;ll=33.4593758581648%2C-112.28793780000001&amp;z=18"/>
    <x v="2"/>
    <x v="0"/>
    <x v="19"/>
    <x v="10"/>
    <x v="0"/>
    <x v="6"/>
    <x v="20"/>
    <x v="24"/>
  </r>
  <r>
    <s v="(JE) Jim Ellis Ford Sandy Springs20"/>
    <x v="16"/>
    <x v="1"/>
    <x v="0"/>
    <x v="0"/>
    <x v="69"/>
    <x v="0"/>
    <s v="https://tools.sig.systems/site/details/142"/>
    <m/>
    <x v="1"/>
    <x v="0"/>
    <x v="51"/>
    <x v="0"/>
    <x v="0"/>
    <x v="46"/>
    <x v="52"/>
    <x v="69"/>
  </r>
  <r>
    <s v="(KG) Texan CDJR20"/>
    <x v="16"/>
    <x v="1"/>
    <x v="1"/>
    <x v="1"/>
    <x v="13"/>
    <x v="1"/>
    <s v="https://tools.sig.systems/site/details/238"/>
    <s v="https://www.google.com/maps/d/edit?mid=1FNqK4dW8Z8gtSWuQLbStrtqe7lH8DIQ&amp;usp=sharing"/>
    <x v="1"/>
    <x v="0"/>
    <x v="12"/>
    <x v="0"/>
    <x v="5"/>
    <x v="11"/>
    <x v="13"/>
    <x v="13"/>
  </r>
  <r>
    <s v="(ML) Columbia Honda (NO TOURS)20"/>
    <x v="16"/>
    <x v="1"/>
    <x v="1"/>
    <x v="1"/>
    <x v="75"/>
    <x v="1"/>
    <s v="https://tools.sig.systems/site/details/272"/>
    <s v="https://www.google.com/maps/d/viewer?hl=es&amp;mid=1C1oZdjH3dNvCvqdpIv_Lk0Yn1OCVn-4&amp;ll=38.965368114274426%2C-92.3405954&amp;z=15"/>
    <x v="1"/>
    <x v="0"/>
    <x v="3"/>
    <x v="26"/>
    <x v="0"/>
    <x v="50"/>
    <x v="56"/>
    <x v="75"/>
  </r>
  <r>
    <s v="(RV) Toms Camperland Mesa (NO TOURS)20"/>
    <x v="16"/>
    <x v="1"/>
    <x v="5"/>
    <x v="3"/>
    <x v="25"/>
    <x v="4"/>
    <s v="https://tools.sig.systems/site/details/222"/>
    <m/>
    <x v="1"/>
    <x v="0"/>
    <x v="20"/>
    <x v="0"/>
    <x v="0"/>
    <x v="6"/>
    <x v="21"/>
    <x v="25"/>
  </r>
  <r>
    <s v="(WAG) Greeley Chrysler Dodge Jeep Ram (NO TOURS)20"/>
    <x v="16"/>
    <x v="1"/>
    <x v="3"/>
    <x v="2"/>
    <x v="115"/>
    <x v="3"/>
    <s v="https://tools.sig.systems/site/details/130"/>
    <s v="https://www.google.com/maps/d/viewer?mid=1gN2lJ0iT7m5VNhD7aDcxE8AdXqtcOZc&amp;ll=40.396096737592195%2C-104.746842&amp;z=16"/>
    <x v="1"/>
    <x v="0"/>
    <x v="77"/>
    <x v="42"/>
    <x v="0"/>
    <x v="77"/>
    <x v="85"/>
    <x v="114"/>
  </r>
  <r>
    <s v="(AS) Bill Estes Ford (NO TOURS)20"/>
    <x v="16"/>
    <x v="2"/>
    <x v="0"/>
    <x v="0"/>
    <x v="55"/>
    <x v="0"/>
    <s v="https://tools.sig.systems/site/details/125"/>
    <m/>
    <x v="1"/>
    <x v="0"/>
    <x v="3"/>
    <x v="21"/>
    <x v="0"/>
    <x v="36"/>
    <x v="41"/>
    <x v="55"/>
  </r>
  <r>
    <s v="(AS) Park Place Mercedes Benz Arlington (NO TOURS)20"/>
    <x v="16"/>
    <x v="2"/>
    <x v="1"/>
    <x v="1"/>
    <x v="61"/>
    <x v="1"/>
    <s v="https://tools.sig.systems/site/details/169"/>
    <m/>
    <x v="1"/>
    <x v="0"/>
    <x v="46"/>
    <x v="0"/>
    <x v="11"/>
    <x v="41"/>
    <x v="46"/>
    <x v="61"/>
  </r>
  <r>
    <s v="(KG) Texan GMC Buick (NO TOURS)20"/>
    <x v="16"/>
    <x v="2"/>
    <x v="1"/>
    <x v="1"/>
    <x v="41"/>
    <x v="1"/>
    <s v="https://tools.sig.systems/site/details/225"/>
    <s v="https://www.google.com/maps/d/edit?mid=1FNqK4dW8Z8gtSWuQLbStrtqe7lH8DIQ&amp;usp=sharing"/>
    <x v="1"/>
    <x v="0"/>
    <x v="31"/>
    <x v="0"/>
    <x v="0"/>
    <x v="31"/>
    <x v="33"/>
    <x v="41"/>
  </r>
  <r>
    <s v="(LM) Luther Mazda / Mitsubishi20"/>
    <x v="16"/>
    <x v="2"/>
    <x v="1"/>
    <x v="1"/>
    <x v="74"/>
    <x v="1"/>
    <s v="https://tools.sig.systems/site/details/147"/>
    <s v="https://www.google.com/maps/d/viewer?mid=1ot0ILX76JMuvd9yMuqkb4_e0yH1n7TA&amp;ll=45.07815812965141%2C-93.33506855000002&amp;z=17"/>
    <x v="1"/>
    <x v="0"/>
    <x v="55"/>
    <x v="0"/>
    <x v="12"/>
    <x v="6"/>
    <x v="55"/>
    <x v="74"/>
  </r>
  <r>
    <s v="(ML) Joe Machens CDJR20"/>
    <x v="16"/>
    <x v="2"/>
    <x v="1"/>
    <x v="1"/>
    <x v="43"/>
    <x v="1"/>
    <s v="https://tools.sig.systems/site/details/273"/>
    <s v="https://www.google.com/maps/d/viewer?hl=es&amp;mid=1C1oZdjH3dNvCvqdpIv_Lk0Yn1OCVn-4&amp;ll=38.965368114274455%2C-92.3405954&amp;z=15"/>
    <x v="1"/>
    <x v="0"/>
    <x v="3"/>
    <x v="16"/>
    <x v="0"/>
    <x v="6"/>
    <x v="35"/>
    <x v="43"/>
  </r>
  <r>
    <s v="(PE) BMW of Greenwich (NO TOURS)20"/>
    <x v="16"/>
    <x v="2"/>
    <x v="4"/>
    <x v="0"/>
    <x v="110"/>
    <x v="0"/>
    <s v="https://tools.sig.systems/site/details/186"/>
    <s v="https://www.google.com/maps/d/edit?hl=en&amp;mid=1UHmt7tH1ihTa85i0MfQIcTfVvIQg_vM&amp;ll=41.024187580466844%2C-73.63702405370861&amp;z=18"/>
    <x v="1"/>
    <x v="0"/>
    <x v="75"/>
    <x v="0"/>
    <x v="0"/>
    <x v="6"/>
    <x v="81"/>
    <x v="109"/>
  </r>
  <r>
    <s v="(AS) Park Place Volvo Sales (NO TOURS)20"/>
    <x v="16"/>
    <x v="3"/>
    <x v="1"/>
    <x v="1"/>
    <x v="33"/>
    <x v="1"/>
    <s v="https://tools.sig.systems/site/details/139"/>
    <s v="https://www.google.com/maps/d/edit?hl=es&amp;mid=1uPmsRMsXnp74hPFW2t-sp2totVWF_xY&amp;ll=32.83050137713022%2C-96.83197783061323&amp;z=17"/>
    <x v="1"/>
    <x v="0"/>
    <x v="26"/>
    <x v="0"/>
    <x v="0"/>
    <x v="26"/>
    <x v="27"/>
    <x v="33"/>
  </r>
  <r>
    <s v="(DT) Denver (NO TOURS)20"/>
    <x v="16"/>
    <x v="3"/>
    <x v="3"/>
    <x v="2"/>
    <x v="97"/>
    <x v="3"/>
    <s v="https://tools.sig.systems/site/details/203"/>
    <s v="https://www.google.com/maps/d/edit?mid=1AjZHz2LTg0RMhZUOmyZsv_Y4MFcaP8g&amp;usp=sharing"/>
    <x v="1"/>
    <x v="0"/>
    <x v="3"/>
    <x v="25"/>
    <x v="0"/>
    <x v="6"/>
    <x v="69"/>
    <x v="96"/>
  </r>
  <r>
    <s v="(ML) Ford Lincoln of North Little Rock20"/>
    <x v="16"/>
    <x v="3"/>
    <x v="1"/>
    <x v="1"/>
    <x v="42"/>
    <x v="1"/>
    <s v="https://tools.sig.systems/site/details/214"/>
    <s v="https://www.google.com/maps/d/edit?mid=1Oky35ERk_2kgyzCvDu_odQ2ZP62BtqA&amp;usp=sharing"/>
    <x v="1"/>
    <x v="0"/>
    <x v="32"/>
    <x v="4"/>
    <x v="0"/>
    <x v="32"/>
    <x v="34"/>
    <x v="42"/>
  </r>
  <r>
    <s v="(ML) Joe Machens VW20"/>
    <x v="16"/>
    <x v="3"/>
    <x v="1"/>
    <x v="1"/>
    <x v="19"/>
    <x v="1"/>
    <s v="https://tools.sig.systems/site/details/274"/>
    <s v="https://www.google.com/maps/d/viewer?hl=es&amp;mid=1C1oZdjH3dNvCvqdpIv_Lk0Yn1OCVn-4&amp;ll=38.965368114274455%2C-92.3405954&amp;z=15"/>
    <x v="1"/>
    <x v="0"/>
    <x v="3"/>
    <x v="8"/>
    <x v="0"/>
    <x v="17"/>
    <x v="11"/>
    <x v="19"/>
  </r>
  <r>
    <s v="(ML) Nissan of Little Rock20"/>
    <x v="16"/>
    <x v="3"/>
    <x v="1"/>
    <x v="1"/>
    <x v="46"/>
    <x v="1"/>
    <s v="https://tools.sig.systems/site/details/224"/>
    <s v="https://www.google.com/maps/d/viewer?mid=1hvbKFMO-d5TXrKGU-g5dt_xcdArB1D0&amp;ll=34.71147784120261%2C-92.40574350000001&amp;z=17"/>
    <x v="1"/>
    <x v="0"/>
    <x v="34"/>
    <x v="0"/>
    <x v="0"/>
    <x v="34"/>
    <x v="7"/>
    <x v="46"/>
  </r>
  <r>
    <s v="(SCH) Chevrolet North Palm20"/>
    <x v="16"/>
    <x v="3"/>
    <x v="0"/>
    <x v="0"/>
    <x v="52"/>
    <x v="0"/>
    <s v="https://tools.sig.systems/site/details/160"/>
    <m/>
    <x v="3"/>
    <x v="0"/>
    <x v="39"/>
    <x v="0"/>
    <x v="0"/>
    <x v="6"/>
    <x v="38"/>
    <x v="52"/>
  </r>
  <r>
    <s v="(AS) Mercedes Benz/Porsche Dallas I,II,III (NO TOURS)20"/>
    <x v="16"/>
    <x v="4"/>
    <x v="1"/>
    <x v="1"/>
    <x v="2"/>
    <x v="1"/>
    <s v="https://tools.sig.systems/site/details/168"/>
    <s v="https://www.google.com/maps/d/edit?hl=es&amp;mid=1uPmsRMsXnp74hPFW2t-sp2totVWF_xY&amp;ll=32.83050137713022%2C-96.83197783061323&amp;z=17"/>
    <x v="1"/>
    <x v="0"/>
    <x v="2"/>
    <x v="0"/>
    <x v="2"/>
    <x v="2"/>
    <x v="2"/>
    <x v="2"/>
  </r>
  <r>
    <s v="(ML) Joe Machens Toyota20"/>
    <x v="16"/>
    <x v="4"/>
    <x v="1"/>
    <x v="1"/>
    <x v="18"/>
    <x v="1"/>
    <s v="https://tools.sig.systems/site/details/275"/>
    <s v="https://www.google.com/maps/d/viewer?hl=es&amp;mid=1C1oZdjH3dNvCvqdpIv_Lk0Yn1OCVn-4&amp;ll=38.965368114274455%2C-92.3405954&amp;z=15"/>
    <x v="1"/>
    <x v="0"/>
    <x v="3"/>
    <x v="7"/>
    <x v="0"/>
    <x v="16"/>
    <x v="11"/>
    <x v="18"/>
  </r>
  <r>
    <s v="(ML) Toyota N Little Rock20"/>
    <x v="16"/>
    <x v="4"/>
    <x v="1"/>
    <x v="1"/>
    <x v="21"/>
    <x v="1"/>
    <s v="https://tools.sig.systems/site/details/201"/>
    <s v="https://www.google.com/maps/d/edit?mid=1Oky35ERk_2kgyzCvDu_odQ2ZP62BtqA&amp;usp=sharing"/>
    <x v="1"/>
    <x v="0"/>
    <x v="17"/>
    <x v="0"/>
    <x v="0"/>
    <x v="19"/>
    <x v="11"/>
    <x v="21"/>
  </r>
  <r>
    <s v="(PE) JLR PDI (NO TOURS)20"/>
    <x v="16"/>
    <x v="4"/>
    <x v="4"/>
    <x v="0"/>
    <x v="50"/>
    <x v="0"/>
    <s v="https://tools.sig.systems/site/details/179"/>
    <s v="https://www.google.com/maps/d/viewer?mid=1ubI2iKs1JyYXssuT4oLPnVvFnyLPi_s&amp;ll=40.878808846788026%2C-73.98560655&amp;z=17"/>
    <x v="1"/>
    <x v="0"/>
    <x v="37"/>
    <x v="0"/>
    <x v="0"/>
    <x v="6"/>
    <x v="11"/>
    <x v="50"/>
  </r>
  <r>
    <s v="(AS) Nalley BMW Collision Center (NO TOURS)20"/>
    <x v="16"/>
    <x v="5"/>
    <x v="0"/>
    <x v="0"/>
    <x v="3"/>
    <x v="0"/>
    <s v="https://tools.sig.systems/site/details/220"/>
    <m/>
    <x v="1"/>
    <x v="0"/>
    <x v="3"/>
    <x v="1"/>
    <x v="0"/>
    <x v="3"/>
    <x v="3"/>
    <x v="3"/>
  </r>
  <r>
    <s v="(AS) Park Place Sprinter Van Center (NO TOURS)20"/>
    <x v="16"/>
    <x v="5"/>
    <x v="1"/>
    <x v="1"/>
    <x v="6"/>
    <x v="1"/>
    <s v="https://tools.sig.systems/site/details/138"/>
    <s v="https://www.google.com/maps/d/edit?hl=es&amp;mid=1uPmsRMsXnp74hPFW2t-sp2totVWF_xY&amp;ll=32.83050137713022%2C-96.83197783061323&amp;z=17"/>
    <x v="1"/>
    <x v="0"/>
    <x v="6"/>
    <x v="0"/>
    <x v="0"/>
    <x v="6"/>
    <x v="6"/>
    <x v="6"/>
  </r>
  <r>
    <s v="(AS) Stevinson Chevrolet Golden (NO TOURS)20"/>
    <x v="16"/>
    <x v="5"/>
    <x v="7"/>
    <x v="2"/>
    <x v="96"/>
    <x v="3"/>
    <s v="https://tools.sig.systems/site/details/264"/>
    <s v="https://www.google.com/maps/d/edit?mid=1nAyK85WaWREy0lfxnmWn3USs2gC0nP0&amp;usp=sharing"/>
    <x v="1"/>
    <x v="0"/>
    <x v="3"/>
    <x v="36"/>
    <x v="0"/>
    <x v="66"/>
    <x v="68"/>
    <x v="95"/>
  </r>
  <r>
    <s v="(HUD) Honda of Southpoint20"/>
    <x v="16"/>
    <x v="5"/>
    <x v="0"/>
    <x v="0"/>
    <x v="11"/>
    <x v="0"/>
    <s v="https://tools.sig.systems/site/details/195"/>
    <m/>
    <x v="0"/>
    <x v="0"/>
    <x v="10"/>
    <x v="4"/>
    <x v="0"/>
    <x v="10"/>
    <x v="11"/>
    <x v="11"/>
  </r>
  <r>
    <s v="(ML) Joe Machens E Collision Center20"/>
    <x v="16"/>
    <x v="5"/>
    <x v="1"/>
    <x v="1"/>
    <x v="76"/>
    <x v="1"/>
    <s v="https://tools.sig.systems/site/details/277"/>
    <s v="https://www.google.com/maps/d/viewer?hl=es&amp;mid=1C1oZdjH3dNvCvqdpIv_Lk0Yn1OCVn-4&amp;ll=38.965368114274455%2C-92.3405954&amp;z=15"/>
    <x v="1"/>
    <x v="0"/>
    <x v="6"/>
    <x v="0"/>
    <x v="0"/>
    <x v="51"/>
    <x v="57"/>
    <x v="76"/>
  </r>
  <r>
    <s v="(ML) Nissan of North Little Rock20"/>
    <x v="16"/>
    <x v="5"/>
    <x v="1"/>
    <x v="1"/>
    <x v="20"/>
    <x v="1"/>
    <s v="https://tools.sig.systems/site/details/216"/>
    <s v="https://www.google.com/maps/d/edit?mid=1Oky35ERk_2kgyzCvDu_odQ2ZP62BtqA&amp;usp=sharing"/>
    <x v="1"/>
    <x v="0"/>
    <x v="16"/>
    <x v="0"/>
    <x v="0"/>
    <x v="18"/>
    <x v="17"/>
    <x v="20"/>
  </r>
  <r>
    <s v="(PE) BMW of Mamaroneck (NO TOURS)20"/>
    <x v="16"/>
    <x v="5"/>
    <x v="4"/>
    <x v="0"/>
    <x v="111"/>
    <x v="0"/>
    <s v="https://tools.sig.systems/site/details/185"/>
    <m/>
    <x v="1"/>
    <x v="0"/>
    <x v="76"/>
    <x v="41"/>
    <x v="0"/>
    <x v="6"/>
    <x v="82"/>
    <x v="110"/>
  </r>
  <r>
    <s v="(SCH) Prep Center Delray20"/>
    <x v="16"/>
    <x v="5"/>
    <x v="0"/>
    <x v="0"/>
    <x v="53"/>
    <x v="0"/>
    <s v="https://tools.sig.systems/site/details/321"/>
    <m/>
    <x v="1"/>
    <x v="0"/>
    <x v="40"/>
    <x v="0"/>
    <x v="0"/>
    <x v="6"/>
    <x v="39"/>
    <x v="53"/>
  </r>
  <r>
    <s v="(AS) Atwell Prep Center-Dallas (NO TOURS)20"/>
    <x v="16"/>
    <x v="6"/>
    <x v="1"/>
    <x v="1"/>
    <x v="86"/>
    <x v="1"/>
    <s v="https://tools.sig.systems/site/details/165"/>
    <s v="https://www.google.com/maps/d/edit?hl=es&amp;mid=1uPmsRMsXnp74hPFW2t-sp2totVWF_xY&amp;ll=32.83050137713022%2C-96.83197783061323&amp;z=17"/>
    <x v="1"/>
    <x v="0"/>
    <x v="61"/>
    <x v="0"/>
    <x v="0"/>
    <x v="6"/>
    <x v="28"/>
    <x v="86"/>
  </r>
  <r>
    <s v="(AS) Park Place Mercedes Benz Ft. Worth (NO TOURS)20"/>
    <x v="16"/>
    <x v="6"/>
    <x v="1"/>
    <x v="1"/>
    <x v="5"/>
    <x v="1"/>
    <s v="https://tools.sig.systems/site/details/137"/>
    <s v="https://www.google.com/maps/d/edit?mid=18OEO_KbvYcgI3N1jE4gTMXfNHTNDrFU&amp;ll=32.66603989958274%2C-97.42021198201722&amp;z=18"/>
    <x v="1"/>
    <x v="0"/>
    <x v="5"/>
    <x v="0"/>
    <x v="4"/>
    <x v="5"/>
    <x v="5"/>
    <x v="5"/>
  </r>
  <r>
    <s v="(AS) Stevinson Toyota West (NO TOURS)20"/>
    <x v="16"/>
    <x v="6"/>
    <x v="3"/>
    <x v="2"/>
    <x v="8"/>
    <x v="3"/>
    <s v="https://tools.sig.systems/site/details/240"/>
    <s v="https://www.google.com/maps/d/edit?mid=1nAyK85WaWREy0lfxnmWn3USs2gC0nP0&amp;usp=sharing"/>
    <x v="1"/>
    <x v="0"/>
    <x v="3"/>
    <x v="3"/>
    <x v="0"/>
    <x v="7"/>
    <x v="8"/>
    <x v="8"/>
  </r>
  <r>
    <s v="(ML) Honda of Little Rock20"/>
    <x v="16"/>
    <x v="6"/>
    <x v="1"/>
    <x v="1"/>
    <x v="16"/>
    <x v="1"/>
    <s v="https://tools.sig.systems/site/details/249"/>
    <s v="https://www.google.com/maps/d/viewer?mid=1hvbKFMO-d5TXrKGU-g5dt_xcdArB1D0&amp;ll=34.71147784120261%2C-92.40574350000001&amp;z=17"/>
    <x v="1"/>
    <x v="0"/>
    <x v="15"/>
    <x v="0"/>
    <x v="0"/>
    <x v="14"/>
    <x v="15"/>
    <x v="16"/>
  </r>
  <r>
    <s v="(ML) Joe Machens Temporary 2.020"/>
    <x v="16"/>
    <x v="6"/>
    <x v="1"/>
    <x v="1"/>
    <x v="44"/>
    <x v="1"/>
    <s v="https://tools.sig.systems/site/details/278"/>
    <s v="https://www.google.com/maps/d/viewer?hl=es&amp;mid=1C1oZdjH3dNvCvqdpIv_Lk0Yn1OCVn-4&amp;ll=38.965368114274455%2C-92.3405954&amp;z=15"/>
    <x v="1"/>
    <x v="0"/>
    <x v="3"/>
    <x v="17"/>
    <x v="0"/>
    <x v="33"/>
    <x v="11"/>
    <x v="44"/>
  </r>
  <r>
    <s v="(SCH) Auto Body Shop Lake Park20"/>
    <x v="16"/>
    <x v="6"/>
    <x v="0"/>
    <x v="0"/>
    <x v="83"/>
    <x v="0"/>
    <s v="https://tools.sig.systems/site/details/158"/>
    <m/>
    <x v="1"/>
    <x v="0"/>
    <x v="59"/>
    <x v="0"/>
    <x v="0"/>
    <x v="6"/>
    <x v="11"/>
    <x v="83"/>
  </r>
  <r>
    <s v="(AS) Courtesy Honda Palm Harbor (NO TOURS)20"/>
    <x v="16"/>
    <x v="7"/>
    <x v="0"/>
    <x v="0"/>
    <x v="88"/>
    <x v="0"/>
    <s v="https://tools.sig.systems/site/details/176"/>
    <m/>
    <x v="3"/>
    <x v="0"/>
    <x v="63"/>
    <x v="0"/>
    <x v="0"/>
    <x v="58"/>
    <x v="24"/>
    <x v="88"/>
  </r>
  <r>
    <s v="(AS) Nalley Lexus &amp; Remote Lot Roswell (NO TOURS)20"/>
    <x v="16"/>
    <x v="7"/>
    <x v="2"/>
    <x v="0"/>
    <x v="4"/>
    <x v="2"/>
    <s v="https://tools.sig.systems/site/details/131"/>
    <s v="https://www.google.com/maps/d/edit?mid=1jkN3DS1BhUqp_dztjjW0PDwKfo_Yxsw&amp;usp=sharing"/>
    <x v="1"/>
    <x v="1"/>
    <x v="4"/>
    <x v="1"/>
    <x v="3"/>
    <x v="4"/>
    <x v="4"/>
    <x v="4"/>
  </r>
  <r>
    <s v="(AS) Park Place Bodywerks Dallas (NO TOURS)20"/>
    <x v="16"/>
    <x v="7"/>
    <x v="1"/>
    <x v="1"/>
    <x v="59"/>
    <x v="1"/>
    <s v="https://tools.sig.systems/site/details/166"/>
    <s v="https://www.google.com/maps/d/edit?hl=es&amp;mid=1uPmsRMsXnp74hPFW2t-sp2totVWF_xY&amp;ll=32.83050137713022%2C-96.83197783061323&amp;z=17"/>
    <x v="1"/>
    <x v="0"/>
    <x v="44"/>
    <x v="9"/>
    <x v="0"/>
    <x v="6"/>
    <x v="45"/>
    <x v="59"/>
  </r>
  <r>
    <s v="(KG) Big Star Honda20"/>
    <x v="16"/>
    <x v="7"/>
    <x v="1"/>
    <x v="1"/>
    <x v="72"/>
    <x v="1"/>
    <s v="https://tools.sig.systems/site/details/231"/>
    <m/>
    <x v="1"/>
    <x v="0"/>
    <x v="53"/>
    <x v="0"/>
    <x v="0"/>
    <x v="48"/>
    <x v="54"/>
    <x v="72"/>
  </r>
  <r>
    <s v="(ML) Collision Center N Little Rock20"/>
    <x v="16"/>
    <x v="7"/>
    <x v="1"/>
    <x v="1"/>
    <x v="106"/>
    <x v="1"/>
    <s v="https://tools.sig.systems/site/details/212"/>
    <s v="https://www.google.com/maps/d/edit?mid=1Oky35ERk_2kgyzCvDu_odQ2ZP62BtqA&amp;usp=sharing"/>
    <x v="1"/>
    <x v="0"/>
    <x v="3"/>
    <x v="0"/>
    <x v="0"/>
    <x v="6"/>
    <x v="77"/>
    <x v="105"/>
  </r>
  <r>
    <s v="(ML) Joe Machens Nissan20"/>
    <x v="16"/>
    <x v="7"/>
    <x v="1"/>
    <x v="1"/>
    <x v="78"/>
    <x v="1"/>
    <s v="https://tools.sig.systems/site/details/279"/>
    <s v="https://www.google.com/maps/d/viewer?hl=es&amp;mid=1C1oZdjH3dNvCvqdpIv_Lk0Yn1OCVn-4&amp;ll=38.965368114274455%2C-92.3405954&amp;z=15"/>
    <x v="1"/>
    <x v="0"/>
    <x v="3"/>
    <x v="28"/>
    <x v="0"/>
    <x v="6"/>
    <x v="11"/>
    <x v="78"/>
  </r>
  <r>
    <s v="(AS) Park Place MB Recon Center Dallas (NO TOURS)20"/>
    <x v="16"/>
    <x v="8"/>
    <x v="1"/>
    <x v="1"/>
    <x v="60"/>
    <x v="1"/>
    <s v="https://tools.sig.systems/site/details/170"/>
    <s v="https://www.google.com/maps/d/edit?hl=es&amp;mid=1uPmsRMsXnp74hPFW2t-sp2totVWF_xY&amp;ll=32.83050137713022%2C-96.83197783061323&amp;z=17"/>
    <x v="1"/>
    <x v="0"/>
    <x v="45"/>
    <x v="0"/>
    <x v="0"/>
    <x v="40"/>
    <x v="19"/>
    <x v="60"/>
  </r>
  <r>
    <s v="(AS) Stevinson Lexus of Lakewood (NO TOURS)20"/>
    <x v="16"/>
    <x v="8"/>
    <x v="3"/>
    <x v="2"/>
    <x v="34"/>
    <x v="3"/>
    <s v="https://tools.sig.systems/site/details/260"/>
    <s v="https://www.google.com/maps/d/edit?mid=1nAyK85WaWREy0lfxnmWn3USs2gC0nP0&amp;usp=sharing"/>
    <x v="1"/>
    <x v="0"/>
    <x v="3"/>
    <x v="14"/>
    <x v="8"/>
    <x v="6"/>
    <x v="28"/>
    <x v="34"/>
  </r>
  <r>
    <s v="(ML) Joe Machens Ford Lincoln I &amp; II20"/>
    <x v="16"/>
    <x v="8"/>
    <x v="1"/>
    <x v="1"/>
    <x v="77"/>
    <x v="1"/>
    <s v="https://tools.sig.systems/site/details/266"/>
    <s v="https://www.google.com/maps/d/viewer?hl=es&amp;mid=1C1oZdjH3dNvCvqdpIv_Lk0Yn1OCVn-4&amp;ll=38.965368114274455%2C-92.3405954&amp;z=15"/>
    <x v="1"/>
    <x v="0"/>
    <x v="3"/>
    <x v="27"/>
    <x v="0"/>
    <x v="52"/>
    <x v="11"/>
    <x v="77"/>
  </r>
  <r>
    <s v="(ML) Joe Machens Kia of Columbia20"/>
    <x v="16"/>
    <x v="8"/>
    <x v="1"/>
    <x v="1"/>
    <x v="107"/>
    <x v="1"/>
    <s v="https://tools.sig.systems/site/details/270"/>
    <s v="https://www.google.com/maps/d/viewer?hl=es&amp;mid=1C1oZdjH3dNvCvqdpIv_Lk0Yn1OCVn-4&amp;ll=38.965368114274455%2C-92.3405954&amp;z=15"/>
    <x v="1"/>
    <x v="0"/>
    <x v="3"/>
    <x v="39"/>
    <x v="0"/>
    <x v="6"/>
    <x v="78"/>
    <x v="106"/>
  </r>
  <r>
    <s v="(SCH) Delray I &amp; II20"/>
    <x v="16"/>
    <x v="8"/>
    <x v="0"/>
    <x v="0"/>
    <x v="26"/>
    <x v="0"/>
    <s v="https://tools.sig.systems/site/details/159"/>
    <m/>
    <x v="3"/>
    <x v="0"/>
    <x v="21"/>
    <x v="11"/>
    <x v="6"/>
    <x v="6"/>
    <x v="22"/>
    <x v="26"/>
  </r>
  <r>
    <s v="(AS) Park Place Volvo Service Center (NO TOURS)20"/>
    <x v="16"/>
    <x v="9"/>
    <x v="1"/>
    <x v="1"/>
    <x v="62"/>
    <x v="1"/>
    <s v="https://tools.sig.systems/site/details/171"/>
    <s v="https://www.google.com/maps/d/edit?hl=es&amp;mid=1uPmsRMsXnp74hPFW2t-sp2totVWF_xY&amp;ll=32.83050137713022%2C-96.83197783061323&amp;z=17"/>
    <x v="1"/>
    <x v="0"/>
    <x v="47"/>
    <x v="0"/>
    <x v="0"/>
    <x v="42"/>
    <x v="11"/>
    <x v="62"/>
  </r>
  <r>
    <s v="(DT) Escondido20"/>
    <x v="16"/>
    <x v="9"/>
    <x v="5"/>
    <x v="4"/>
    <x v="98"/>
    <x v="5"/>
    <s v="https://tools.sig.systems/site/details/196"/>
    <m/>
    <x v="1"/>
    <x v="4"/>
    <x v="20"/>
    <x v="0"/>
    <x v="0"/>
    <x v="6"/>
    <x v="70"/>
    <x v="97"/>
  </r>
  <r>
    <s v="(SCH) West Palm Beach I, II &amp; III20"/>
    <x v="16"/>
    <x v="9"/>
    <x v="6"/>
    <x v="0"/>
    <x v="54"/>
    <x v="0"/>
    <s v="https://tools.sig.systems/site/details/162"/>
    <m/>
    <x v="3"/>
    <x v="2"/>
    <x v="41"/>
    <x v="20"/>
    <x v="10"/>
    <x v="6"/>
    <x v="40"/>
    <x v="54"/>
  </r>
  <r>
    <s v="(AS) David McDavid Lincoln Frisco (NO TOURS)20"/>
    <x v="16"/>
    <x v="10"/>
    <x v="1"/>
    <x v="1"/>
    <x v="58"/>
    <x v="1"/>
    <s v="https://tools.sig.systems/site/details/182"/>
    <m/>
    <x v="1"/>
    <x v="0"/>
    <x v="43"/>
    <x v="0"/>
    <x v="0"/>
    <x v="39"/>
    <x v="44"/>
    <x v="58"/>
  </r>
  <r>
    <s v="(AS) Lexus Smyrna (NO TOURS)20"/>
    <x v="16"/>
    <x v="10"/>
    <x v="0"/>
    <x v="0"/>
    <x v="30"/>
    <x v="0"/>
    <s v="https://tools.sig.systems/site/details/133"/>
    <m/>
    <x v="1"/>
    <x v="0"/>
    <x v="24"/>
    <x v="0"/>
    <x v="0"/>
    <x v="24"/>
    <x v="25"/>
    <x v="30"/>
  </r>
  <r>
    <s v="(AS) Mike Shaw Subaru Greeley (NO TOURS)20"/>
    <x v="16"/>
    <x v="10"/>
    <x v="3"/>
    <x v="2"/>
    <x v="91"/>
    <x v="3"/>
    <s v="https://tools.sig.systems/site/details/174"/>
    <s v="https://www.google.com/maps/d/viewer?mid=1gN2lJ0iT7m5VNhD7aDcxE8AdXqtcOZc&amp;ll=40.396096737592195%2C-104.746842&amp;z=16"/>
    <x v="1"/>
    <x v="0"/>
    <x v="65"/>
    <x v="32"/>
    <x v="0"/>
    <x v="61"/>
    <x v="11"/>
    <x v="91"/>
  </r>
  <r>
    <s v="(ML) Mazda VW-Lot B20"/>
    <x v="16"/>
    <x v="10"/>
    <x v="1"/>
    <x v="1"/>
    <x v="45"/>
    <x v="1"/>
    <s v="https://tools.sig.systems/site/details/205"/>
    <s v="https://www.google.com/maps/d/edit?mid=1Oky35ERk_2kgyzCvDu_odQ2ZP62BtqA&amp;usp=sharing"/>
    <x v="1"/>
    <x v="0"/>
    <x v="33"/>
    <x v="9"/>
    <x v="0"/>
    <x v="30"/>
    <x v="11"/>
    <x v="45"/>
  </r>
  <r>
    <s v="(ML) Volvo Collision Corp20"/>
    <x v="16"/>
    <x v="10"/>
    <x v="1"/>
    <x v="1"/>
    <x v="47"/>
    <x v="1"/>
    <s v="https://tools.sig.systems/site/details/223"/>
    <m/>
    <x v="1"/>
    <x v="0"/>
    <x v="35"/>
    <x v="1"/>
    <x v="0"/>
    <x v="35"/>
    <x v="11"/>
    <x v="47"/>
  </r>
  <r>
    <s v="(PE) Fairfield Collision (NO TOURS)20"/>
    <x v="16"/>
    <x v="10"/>
    <x v="4"/>
    <x v="0"/>
    <x v="22"/>
    <x v="0"/>
    <s v="https://tools.sig.systems/site/details/191"/>
    <m/>
    <x v="1"/>
    <x v="0"/>
    <x v="18"/>
    <x v="0"/>
    <x v="0"/>
    <x v="6"/>
    <x v="18"/>
    <x v="22"/>
  </r>
  <r>
    <s v="(AS) Coggin Honda Ft. Pierce (NO TOURS)20"/>
    <x v="16"/>
    <x v="11"/>
    <x v="0"/>
    <x v="0"/>
    <x v="0"/>
    <x v="0"/>
    <s v="https://tools.sig.systems/site/details/120"/>
    <s v="https://www.google.com/maps/d/viewer?mid=1AyViBuyeq7iwDua1SVudJ2A1BYi3IBA&amp;ll=27.38181516363982%2C-80.32568845000002&amp;z=18"/>
    <x v="0"/>
    <x v="0"/>
    <x v="0"/>
    <x v="0"/>
    <x v="0"/>
    <x v="0"/>
    <x v="0"/>
    <x v="0"/>
  </r>
  <r>
    <s v="(HUD) Acura of Greensboro20"/>
    <x v="16"/>
    <x v="11"/>
    <x v="0"/>
    <x v="0"/>
    <x v="99"/>
    <x v="0"/>
    <s v="https://tools.sig.systems/site/details/213"/>
    <s v="https://www.google.com/maps/d/viewer?mid=1ejOzT7-x6RWnCf83BBP7XhiOiwEX3Wk&amp;ll=0%2C0&amp;z=17"/>
    <x v="1"/>
    <x v="0"/>
    <x v="69"/>
    <x v="0"/>
    <x v="0"/>
    <x v="67"/>
    <x v="71"/>
    <x v="98"/>
  </r>
  <r>
    <s v="(KG) Kia of Phoenix (NO TOURS)20"/>
    <x v="16"/>
    <x v="11"/>
    <x v="5"/>
    <x v="3"/>
    <x v="40"/>
    <x v="4"/>
    <s v="https://tools.sig.systems/site/details/262"/>
    <m/>
    <x v="4"/>
    <x v="0"/>
    <x v="30"/>
    <x v="0"/>
    <x v="0"/>
    <x v="30"/>
    <x v="11"/>
    <x v="40"/>
  </r>
  <r>
    <s v="(MK) McKenny Salinas Honda20"/>
    <x v="16"/>
    <x v="11"/>
    <x v="0"/>
    <x v="0"/>
    <x v="104"/>
    <x v="0"/>
    <s v="https://tools.sig.systems/site/details/149"/>
    <m/>
    <x v="1"/>
    <x v="0"/>
    <x v="3"/>
    <x v="37"/>
    <x v="0"/>
    <x v="6"/>
    <x v="75"/>
    <x v="103"/>
  </r>
  <r>
    <s v="(ML) Joe Machens Capital City I &amp; II (NO TOURS)20"/>
    <x v="16"/>
    <x v="11"/>
    <x v="1"/>
    <x v="1"/>
    <x v="17"/>
    <x v="1"/>
    <s v="https://tools.sig.systems/site/details/271"/>
    <m/>
    <x v="1"/>
    <x v="0"/>
    <x v="3"/>
    <x v="6"/>
    <x v="0"/>
    <x v="15"/>
    <x v="16"/>
    <x v="17"/>
  </r>
  <r>
    <s v="(PE) BMW Tenafly (NO TOURS)20"/>
    <x v="16"/>
    <x v="11"/>
    <x v="4"/>
    <x v="0"/>
    <x v="48"/>
    <x v="0"/>
    <s v="https://tools.sig.systems/site/details/155"/>
    <m/>
    <x v="1"/>
    <x v="0"/>
    <x v="36"/>
    <x v="18"/>
    <x v="0"/>
    <x v="6"/>
    <x v="19"/>
    <x v="48"/>
  </r>
  <r>
    <s v="(PE) Mercedes Benz &amp; Smart Bldg. of Fairfield (NO TOURS)20"/>
    <x v="16"/>
    <x v="11"/>
    <x v="4"/>
    <x v="0"/>
    <x v="23"/>
    <x v="0"/>
    <s v="https://tools.sig.systems/site/details/192"/>
    <s v="https://www.google.com/maps/d/viewer?mid=1FEo41PzFJQjUIXXKitX5TNCtuqR6Vbs&amp;ll=41.1663376742533%2C-73.22955662049608&amp;z=16"/>
    <x v="1"/>
    <x v="0"/>
    <x v="3"/>
    <x v="9"/>
    <x v="0"/>
    <x v="20"/>
    <x v="19"/>
    <x v="23"/>
  </r>
  <r>
    <s v="(AS) Courtesy Hyundai/Nissan Tampa (NO TOURS)20"/>
    <x v="16"/>
    <x v="12"/>
    <x v="0"/>
    <x v="0"/>
    <x v="89"/>
    <x v="0"/>
    <s v="https://tools.sig.systems/site/details/128"/>
    <m/>
    <x v="0"/>
    <x v="0"/>
    <x v="64"/>
    <x v="0"/>
    <x v="0"/>
    <x v="59"/>
    <x v="62"/>
    <x v="89"/>
  </r>
  <r>
    <s v="(AS) David McDavid Honda I &amp; II (NO TOURS)20"/>
    <x v="16"/>
    <x v="12"/>
    <x v="1"/>
    <x v="1"/>
    <x v="90"/>
    <x v="1"/>
    <s v="https://tools.sig.systems/site/details/129"/>
    <m/>
    <x v="1"/>
    <x v="0"/>
    <x v="3"/>
    <x v="31"/>
    <x v="0"/>
    <x v="60"/>
    <x v="63"/>
    <x v="90"/>
  </r>
  <r>
    <s v="(DT) Albuquerque20"/>
    <x v="16"/>
    <x v="12"/>
    <x v="3"/>
    <x v="2"/>
    <x v="35"/>
    <x v="3"/>
    <s v="https://tools.sig.systems/site/details/237"/>
    <m/>
    <x v="1"/>
    <x v="0"/>
    <x v="27"/>
    <x v="0"/>
    <x v="0"/>
    <x v="27"/>
    <x v="29"/>
    <x v="35"/>
  </r>
  <r>
    <s v="(HUD) BMW of Greensboro20"/>
    <x v="16"/>
    <x v="12"/>
    <x v="0"/>
    <x v="0"/>
    <x v="100"/>
    <x v="0"/>
    <s v="https://tools.sig.systems/site/details/219"/>
    <s v="https://www.google.com/maps/d/viewer?mid=1ejOzT7-x6RWnCf83BBP7XhiOiwEX3Wk&amp;ll=36.061264791292906%2C-79.87437695000003&amp;z=17"/>
    <x v="1"/>
    <x v="0"/>
    <x v="70"/>
    <x v="0"/>
    <x v="0"/>
    <x v="68"/>
    <x v="72"/>
    <x v="99"/>
  </r>
  <r>
    <s v="(AS) Coggin Mercedes Benz Ft Pierce (NO TOURS)20"/>
    <x v="16"/>
    <x v="13"/>
    <x v="0"/>
    <x v="0"/>
    <x v="28"/>
    <x v="0"/>
    <s v="https://tools.sig.systems/site/details/127"/>
    <s v="https://www.google.com/maps/d/viewer?mid=1AyViBuyeq7iwDua1SVudJ2A1BYi3IBA&amp;ll=27.38181516363982%2C-80.32568845000002&amp;z=18"/>
    <x v="1"/>
    <x v="0"/>
    <x v="22"/>
    <x v="13"/>
    <x v="0"/>
    <x v="22"/>
    <x v="23"/>
    <x v="28"/>
  </r>
  <r>
    <s v="(AS) Plaza Lexus/Mercedes/BMW (NO TOURS)20"/>
    <x v="16"/>
    <x v="13"/>
    <x v="1"/>
    <x v="1"/>
    <x v="63"/>
    <x v="1"/>
    <s v="https://tools.sig.systems/site/details/141"/>
    <s v="https://www.google.com/maps/d/viewer?mid=1whGZ1PLqmhJnGFz8uigZqUL4cHGGW3w&amp;ll=38.668847686454825%2C-90.4433601&amp;z=17"/>
    <x v="1"/>
    <x v="0"/>
    <x v="48"/>
    <x v="23"/>
    <x v="0"/>
    <x v="43"/>
    <x v="47"/>
    <x v="63"/>
  </r>
  <r>
    <s v="(DT) El Cajon (NO TOURS)20"/>
    <x v="16"/>
    <x v="13"/>
    <x v="5"/>
    <x v="4"/>
    <x v="66"/>
    <x v="4"/>
    <s v="https://tools.sig.systems/site/details/241"/>
    <m/>
    <x v="1"/>
    <x v="0"/>
    <x v="3"/>
    <x v="16"/>
    <x v="0"/>
    <x v="6"/>
    <x v="11"/>
    <x v="66"/>
  </r>
  <r>
    <s v="(HUD) Nissan Greensboro20"/>
    <x v="16"/>
    <x v="13"/>
    <x v="0"/>
    <x v="0"/>
    <x v="12"/>
    <x v="0"/>
    <s v="https://tools.sig.systems/site/details/236"/>
    <s v="https://www.google.com/maps/d/viewer?mid=1ejOzT7-x6RWnCf83BBP7XhiOiwEX3Wk&amp;ll=36.061264791292906%2C-79.87437695000003&amp;z=17"/>
    <x v="1"/>
    <x v="0"/>
    <x v="11"/>
    <x v="0"/>
    <x v="0"/>
    <x v="6"/>
    <x v="12"/>
    <x v="12"/>
  </r>
  <r>
    <s v="(KG) Truck Center Remote Storage Lot20"/>
    <x v="16"/>
    <x v="13"/>
    <x v="2"/>
    <x v="2"/>
    <x v="14"/>
    <x v="2"/>
    <s v="https://tools.sig.systems/site/details/144"/>
    <m/>
    <x v="1"/>
    <x v="0"/>
    <x v="13"/>
    <x v="5"/>
    <x v="0"/>
    <x v="12"/>
    <x v="14"/>
    <x v="14"/>
  </r>
  <r>
    <s v="(ML) McLarty-Gray Daniels Chevrolet20"/>
    <x v="16"/>
    <x v="13"/>
    <x v="1"/>
    <x v="1"/>
    <x v="109"/>
    <x v="1"/>
    <s v="https://tools.sig.systems/site/details/150"/>
    <m/>
    <x v="1"/>
    <x v="0"/>
    <x v="74"/>
    <x v="0"/>
    <x v="0"/>
    <x v="73"/>
    <x v="80"/>
    <x v="108"/>
  </r>
  <r>
    <s v="(AS) Lexus Plano I &amp; II (NO TOURS)20"/>
    <x v="16"/>
    <x v="14"/>
    <x v="1"/>
    <x v="1"/>
    <x v="1"/>
    <x v="1"/>
    <s v="https://tools.sig.systems/site/details/167"/>
    <s v="https://www.google.com/maps/d/viewer?mid=1wg5suxVuxeNp_irHlvN772HcwD6W89E&amp;ll=33.06373951220261%2C-96.82758025000001&amp;z=18"/>
    <x v="1"/>
    <x v="0"/>
    <x v="1"/>
    <x v="0"/>
    <x v="1"/>
    <x v="1"/>
    <x v="1"/>
    <x v="1"/>
  </r>
  <r>
    <s v="(AS) Plaza Audi/Infiniti (NO TOURS)20"/>
    <x v="16"/>
    <x v="14"/>
    <x v="1"/>
    <x v="1"/>
    <x v="95"/>
    <x v="1"/>
    <s v="https://tools.sig.systems/site/details/141"/>
    <s v="https://www.google.com/maps/d/viewer?mid=1whGZ1PLqmhJnGFz8uigZqUL4cHGGW3w&amp;ll=38.668847686454825%2C-90.4433601&amp;z=17"/>
    <x v="1"/>
    <x v="0"/>
    <x v="68"/>
    <x v="35"/>
    <x v="0"/>
    <x v="65"/>
    <x v="67"/>
    <x v="63"/>
  </r>
  <r>
    <s v="(AS) Stevinson JLR (NO TOURS)20"/>
    <x v="16"/>
    <x v="14"/>
    <x v="3"/>
    <x v="2"/>
    <x v="64"/>
    <x v="3"/>
    <s v="https://tools.sig.systems/site/details/204"/>
    <m/>
    <x v="1"/>
    <x v="0"/>
    <x v="49"/>
    <x v="1"/>
    <x v="0"/>
    <x v="44"/>
    <x v="48"/>
    <x v="64"/>
  </r>
  <r>
    <s v="(HUD) CDJR of Greensboro20"/>
    <x v="16"/>
    <x v="14"/>
    <x v="0"/>
    <x v="0"/>
    <x v="68"/>
    <x v="6"/>
    <s v="https://tools.sig.systems/site/details/215"/>
    <s v="https://www.google.com/maps/d/viewer?mid=1ejOzT7-x6RWnCf83BBP7XhiOiwEX3Wk&amp;ll=36.061264791292906%2C-79.87437695000003&amp;z=17"/>
    <x v="3"/>
    <x v="0"/>
    <x v="50"/>
    <x v="0"/>
    <x v="0"/>
    <x v="45"/>
    <x v="51"/>
    <x v="68"/>
  </r>
  <r>
    <s v="(PE) JLR Darien PDI (NO TOURS)20"/>
    <x v="16"/>
    <x v="14"/>
    <x v="4"/>
    <x v="0"/>
    <x v="112"/>
    <x v="0"/>
    <s v="https://tools.sig.systems/site/details/187"/>
    <s v="https://www.google.com/maps/d/viewer?mid=1ebZp8DeTYSXNPgDIA63nFVDu9ohaO4E&amp;ll=41.08027837958441%2C-73.46597874999999&amp;z=15"/>
    <x v="1"/>
    <x v="0"/>
    <x v="6"/>
    <x v="0"/>
    <x v="0"/>
    <x v="74"/>
    <x v="83"/>
    <x v="111"/>
  </r>
  <r>
    <s v="(AS) Coggin Acura Ft Pierce (NO TOURS)20"/>
    <x v="16"/>
    <x v="15"/>
    <x v="0"/>
    <x v="0"/>
    <x v="27"/>
    <x v="0"/>
    <s v="https://tools.sig.systems/site/details/118"/>
    <s v="https://www.google.com/maps/d/viewer?mid=1AyViBuyeq7iwDua1SVudJ2A1BYi3IBA&amp;ll=27.38181516363982%2C-80.32568845000002&amp;z=18"/>
    <x v="1"/>
    <x v="0"/>
    <x v="3"/>
    <x v="12"/>
    <x v="0"/>
    <x v="21"/>
    <x v="19"/>
    <x v="27"/>
  </r>
  <r>
    <s v="(AS) Park Place Acura (NO TOURS)20"/>
    <x v="16"/>
    <x v="15"/>
    <x v="1"/>
    <x v="1"/>
    <x v="32"/>
    <x v="1"/>
    <s v="https://tools.sig.systems/site/details/259"/>
    <s v="https://www.google.com/maps/d/viewer?mid=1wg5suxVuxeNp_irHlvN772HcwD6W89E&amp;ll=33.06373951220261%2C-96.82758025000001&amp;z=18"/>
    <x v="1"/>
    <x v="0"/>
    <x v="25"/>
    <x v="0"/>
    <x v="0"/>
    <x v="25"/>
    <x v="11"/>
    <x v="32"/>
  </r>
  <r>
    <s v="(DT) W Houston20"/>
    <x v="16"/>
    <x v="15"/>
    <x v="1"/>
    <x v="1"/>
    <x v="10"/>
    <x v="1"/>
    <s v="https://tools.sig.systems/site/details/197"/>
    <m/>
    <x v="1"/>
    <x v="0"/>
    <x v="9"/>
    <x v="2"/>
    <x v="0"/>
    <x v="9"/>
    <x v="10"/>
    <x v="10"/>
  </r>
  <r>
    <s v="(DT) Wichita20"/>
    <x v="16"/>
    <x v="15"/>
    <x v="1"/>
    <x v="1"/>
    <x v="36"/>
    <x v="1"/>
    <s v="https://tools.sig.systems/site/details/257"/>
    <m/>
    <x v="1"/>
    <x v="0"/>
    <x v="3"/>
    <x v="15"/>
    <x v="0"/>
    <x v="6"/>
    <x v="30"/>
    <x v="36"/>
  </r>
  <r>
    <s v="(HUD) Honda Greensboro20"/>
    <x v="16"/>
    <x v="15"/>
    <x v="0"/>
    <x v="0"/>
    <x v="37"/>
    <x v="0"/>
    <s v="https://tools.sig.systems/site/details/230"/>
    <s v="AS/ HUD - Crown Greensboro - Google My Maps"/>
    <x v="1"/>
    <x v="0"/>
    <x v="28"/>
    <x v="0"/>
    <x v="0"/>
    <x v="28"/>
    <x v="31"/>
    <x v="37"/>
  </r>
  <r>
    <s v="(ML) McLarty Gray-Daniels Toyota Nissan20"/>
    <x v="16"/>
    <x v="15"/>
    <x v="1"/>
    <x v="1"/>
    <x v="108"/>
    <x v="1"/>
    <s v="https://tools.sig.systems/site/details/152"/>
    <s v="https://www.google.com/maps/d/edit?mid=111nhCL4Xjj2Pq0zP5xUrMzHQqAihqa0&amp;usp=sharing"/>
    <x v="1"/>
    <x v="0"/>
    <x v="3"/>
    <x v="40"/>
    <x v="0"/>
    <x v="72"/>
    <x v="79"/>
    <x v="107"/>
  </r>
  <r>
    <s v="(RV) Sonny's Camp N Travel Concord20"/>
    <x v="16"/>
    <x v="15"/>
    <x v="0"/>
    <x v="0"/>
    <x v="114"/>
    <x v="0"/>
    <s v="https://tools.sig.systems/site/details/183"/>
    <m/>
    <x v="1"/>
    <x v="0"/>
    <x v="6"/>
    <x v="0"/>
    <x v="0"/>
    <x v="76"/>
    <x v="84"/>
    <x v="113"/>
  </r>
  <r>
    <s v="(AS) Audi of North Atlanta (NO TOURS)20"/>
    <x v="16"/>
    <x v="16"/>
    <x v="0"/>
    <x v="0"/>
    <x v="87"/>
    <x v="0"/>
    <s v="https://tools.sig.systems/site/details/124"/>
    <s v="https://www.google.com/maps/d/edit?mid=1jkN3DS1BhUqp_dztjjW0PDwKfo_Yxsw&amp;usp=sharing"/>
    <x v="1"/>
    <x v="0"/>
    <x v="62"/>
    <x v="0"/>
    <x v="0"/>
    <x v="57"/>
    <x v="61"/>
    <x v="87"/>
  </r>
  <r>
    <s v="(AS) Stevinson Porsche of Littleton (NO TOURS)20"/>
    <x v="16"/>
    <x v="16"/>
    <x v="3"/>
    <x v="2"/>
    <x v="7"/>
    <x v="3"/>
    <s v="https://tools.sig.systems/site/details/242"/>
    <m/>
    <x v="1"/>
    <x v="0"/>
    <x v="7"/>
    <x v="2"/>
    <x v="0"/>
    <x v="6"/>
    <x v="7"/>
    <x v="7"/>
  </r>
  <r>
    <s v="(HUD) Paint and Body Center (NO TOURS)20"/>
    <x v="16"/>
    <x v="16"/>
    <x v="0"/>
    <x v="0"/>
    <x v="38"/>
    <x v="0"/>
    <s v="https://tools.sig.systems/site/details/256"/>
    <s v="https://www.google.com/maps/d/viewer?mid=1ejOzT7-x6RWnCf83BBP7XhiOiwEX3Wk&amp;ll=36.061264791292906%2C-79.87437695000003&amp;z=17"/>
    <x v="1"/>
    <x v="0"/>
    <x v="3"/>
    <x v="9"/>
    <x v="0"/>
    <x v="6"/>
    <x v="11"/>
    <x v="38"/>
  </r>
  <r>
    <s v="(KG) Baytown GMC Buick - Remote Lot (NO TOURS)20"/>
    <x v="16"/>
    <x v="16"/>
    <x v="2"/>
    <x v="1"/>
    <x v="70"/>
    <x v="2"/>
    <s v="https://tools.sig.systems/site/details/311"/>
    <m/>
    <x v="1"/>
    <x v="3"/>
    <x v="3"/>
    <x v="25"/>
    <x v="0"/>
    <x v="6"/>
    <x v="11"/>
    <x v="70"/>
  </r>
  <r>
    <s v="(KG) Baytown GMC Buick (NO TOURS)20"/>
    <x v="16"/>
    <x v="16"/>
    <x v="1"/>
    <x v="1"/>
    <x v="71"/>
    <x v="1"/>
    <s v="https://tools.sig.systems/site/details/239"/>
    <m/>
    <x v="1"/>
    <x v="0"/>
    <x v="52"/>
    <x v="0"/>
    <x v="0"/>
    <x v="47"/>
    <x v="53"/>
    <x v="71"/>
  </r>
  <r>
    <s v="(ML) McLarty Gray-Daniels Ford Lincoln20"/>
    <x v="16"/>
    <x v="16"/>
    <x v="1"/>
    <x v="1"/>
    <x v="79"/>
    <x v="1"/>
    <s v="https://tools.sig.systems/site/details/151"/>
    <s v="https://www.google.com/maps/d/edit?mid=111nhCL4Xjj2Pq0zP5xUrMzHQqAihqa0&amp;usp=sharing"/>
    <x v="1"/>
    <x v="0"/>
    <x v="56"/>
    <x v="29"/>
    <x v="0"/>
    <x v="53"/>
    <x v="57"/>
    <x v="79"/>
  </r>
  <r>
    <s v="(TC) Tavernier Creek Marina (NO TOURS)20"/>
    <x v="16"/>
    <x v="16"/>
    <x v="0"/>
    <x v="0"/>
    <x v="84"/>
    <x v="1"/>
    <s v="https://tools.sig.systems/site/details/164"/>
    <m/>
    <x v="6"/>
    <x v="0"/>
    <x v="60"/>
    <x v="0"/>
    <x v="0"/>
    <x v="6"/>
    <x v="59"/>
    <x v="84"/>
  </r>
  <r>
    <s v="(AS) Courtesy Kia of Brandon (NO TOURS)20"/>
    <x v="16"/>
    <x v="17"/>
    <x v="0"/>
    <x v="0"/>
    <x v="57"/>
    <x v="0"/>
    <s v="https://tools.sig.systems/site/details/121"/>
    <s v="https://www.google.com/maps/d/edit?mid=15R4hTDQx56ij99--JgozdqOIZh-kSlk&amp;usp=sharing"/>
    <x v="0"/>
    <x v="0"/>
    <x v="3"/>
    <x v="22"/>
    <x v="0"/>
    <x v="38"/>
    <x v="43"/>
    <x v="57"/>
  </r>
  <r>
    <s v="(AS) Lexus Grapevine I &amp; II (NO TOURS)20"/>
    <x v="16"/>
    <x v="17"/>
    <x v="1"/>
    <x v="1"/>
    <x v="29"/>
    <x v="1"/>
    <s v="https://tools.sig.systems/site/details/136"/>
    <m/>
    <x v="1"/>
    <x v="0"/>
    <x v="23"/>
    <x v="0"/>
    <x v="7"/>
    <x v="23"/>
    <x v="24"/>
    <x v="29"/>
  </r>
  <r>
    <s v="(AS) Nalley Luxury Collision Center (NO TOURS)20"/>
    <x v="16"/>
    <x v="17"/>
    <x v="0"/>
    <x v="0"/>
    <x v="31"/>
    <x v="0"/>
    <s v="https://tools.sig.systems/site/details/263"/>
    <s v="https://www.google.com/maps/d/edit?mid=1jkN3DS1BhUqp_dztjjW0PDwKfo_Yxsw&amp;usp=sharing"/>
    <x v="1"/>
    <x v="0"/>
    <x v="4"/>
    <x v="0"/>
    <x v="0"/>
    <x v="6"/>
    <x v="26"/>
    <x v="31"/>
  </r>
  <r>
    <s v="(DT) N. Houston20"/>
    <x v="16"/>
    <x v="17"/>
    <x v="1"/>
    <x v="1"/>
    <x v="9"/>
    <x v="1"/>
    <s v="https://tools.sig.systems/site/details/250"/>
    <m/>
    <x v="1"/>
    <x v="0"/>
    <x v="8"/>
    <x v="0"/>
    <x v="0"/>
    <x v="8"/>
    <x v="9"/>
    <x v="9"/>
  </r>
  <r>
    <s v="(KG) JLR LEHI (NO TOURS)20"/>
    <x v="16"/>
    <x v="17"/>
    <x v="3"/>
    <x v="2"/>
    <x v="73"/>
    <x v="3"/>
    <s v="https://tools.sig.systems/site/details/145"/>
    <m/>
    <x v="1"/>
    <x v="0"/>
    <x v="54"/>
    <x v="0"/>
    <x v="0"/>
    <x v="49"/>
    <x v="11"/>
    <x v="73"/>
  </r>
  <r>
    <s v="(ML) BMW of Little Rock20"/>
    <x v="16"/>
    <x v="17"/>
    <x v="1"/>
    <x v="1"/>
    <x v="105"/>
    <x v="1"/>
    <s v="https://tools.sig.systems/site/details/217"/>
    <s v="https://www.google.com/maps/d/viewer?mid=1hvbKFMO-d5TXrKGU-g5dt_xcdArB1D0&amp;ll=34.71147784120261%2C-92.40574350000001&amp;z=17"/>
    <x v="1"/>
    <x v="0"/>
    <x v="3"/>
    <x v="38"/>
    <x v="0"/>
    <x v="6"/>
    <x v="76"/>
    <x v="104"/>
  </r>
  <r>
    <s v="SIG Office20"/>
    <x v="16"/>
    <x v="17"/>
    <x v="2"/>
    <x v="0"/>
    <x v="85"/>
    <x v="2"/>
    <s v="https://tools.sig.systems/site/details/163"/>
    <m/>
    <x v="1"/>
    <x v="0"/>
    <x v="3"/>
    <x v="0"/>
    <x v="0"/>
    <x v="6"/>
    <x v="60"/>
    <x v="85"/>
  </r>
  <r>
    <s v="(AS) Park Place JLR DFW Airport (NO TOURS)20"/>
    <x v="16"/>
    <x v="18"/>
    <x v="1"/>
    <x v="1"/>
    <x v="93"/>
    <x v="1"/>
    <s v="https://tools.sig.systems/site/details/135"/>
    <m/>
    <x v="1"/>
    <x v="0"/>
    <x v="67"/>
    <x v="33"/>
    <x v="13"/>
    <x v="63"/>
    <x v="65"/>
    <x v="93"/>
  </r>
  <r>
    <s v="(AS) Plano Auction (NO SPEAKERS)20"/>
    <x v="16"/>
    <x v="18"/>
    <x v="1"/>
    <x v="1"/>
    <x v="94"/>
    <x v="1"/>
    <s v="https://tools.sig.systems/site/details/140"/>
    <m/>
    <x v="1"/>
    <x v="0"/>
    <x v="3"/>
    <x v="34"/>
    <x v="0"/>
    <x v="64"/>
    <x v="66"/>
    <x v="94"/>
  </r>
  <r>
    <s v="(DT) Colorado Springs (NO TOURS)20"/>
    <x v="16"/>
    <x v="18"/>
    <x v="3"/>
    <x v="2"/>
    <x v="65"/>
    <x v="3"/>
    <s v="https://tools.sig.systems/site/details/198"/>
    <m/>
    <x v="1"/>
    <x v="0"/>
    <x v="3"/>
    <x v="24"/>
    <x v="0"/>
    <x v="6"/>
    <x v="49"/>
    <x v="65"/>
  </r>
  <r>
    <s v="(KG) Clear Lake Pre-Owned20"/>
    <x v="16"/>
    <x v="18"/>
    <x v="1"/>
    <x v="1"/>
    <x v="39"/>
    <x v="1"/>
    <s v="https://tools.sig.systems/site/details/255"/>
    <s v="https://www.google.com/maps/d/edit?mid=1DRwy5fy1g5UzGTA7a1OkQA-_CY8SQ2s&amp;usp=sharing"/>
    <x v="1"/>
    <x v="0"/>
    <x v="29"/>
    <x v="0"/>
    <x v="0"/>
    <x v="29"/>
    <x v="32"/>
    <x v="39"/>
  </r>
  <r>
    <s v="(KT) Northwest CDJR (NO TOURS)20"/>
    <x v="16"/>
    <x v="18"/>
    <x v="1"/>
    <x v="1"/>
    <x v="15"/>
    <x v="1"/>
    <s v="https://tools.sig.systems/site/details/229"/>
    <m/>
    <x v="1"/>
    <x v="0"/>
    <x v="14"/>
    <x v="0"/>
    <x v="0"/>
    <x v="13"/>
    <x v="11"/>
    <x v="15"/>
  </r>
  <r>
    <s v="(PE) Honda of Danbury (NO TOURS)20"/>
    <x v="16"/>
    <x v="18"/>
    <x v="4"/>
    <x v="0"/>
    <x v="49"/>
    <x v="0"/>
    <s v="https://tools.sig.systems/site/details/190"/>
    <m/>
    <x v="1"/>
    <x v="0"/>
    <x v="3"/>
    <x v="19"/>
    <x v="9"/>
    <x v="6"/>
    <x v="36"/>
    <x v="49"/>
  </r>
  <r>
    <s v="(RV) Toms Camperland Surprise (NO TOURS)20"/>
    <x v="16"/>
    <x v="18"/>
    <x v="5"/>
    <x v="3"/>
    <x v="51"/>
    <x v="4"/>
    <s v="https://tools.sig.systems/site/details/254"/>
    <m/>
    <x v="5"/>
    <x v="0"/>
    <x v="38"/>
    <x v="0"/>
    <x v="0"/>
    <x v="6"/>
    <x v="37"/>
    <x v="51"/>
  </r>
  <r>
    <s v="(AS) Courtesy CDJR of Brandon (NO TOURS)20"/>
    <x v="16"/>
    <x v="19"/>
    <x v="0"/>
    <x v="0"/>
    <x v="56"/>
    <x v="0"/>
    <s v="https://tools.sig.systems/site/details/126"/>
    <s v="https://www.google.com/maps/d/edit?mid=15R4hTDQx56ij99--JgozdqOIZh-kSlk&amp;usp=sharing"/>
    <x v="0"/>
    <x v="0"/>
    <x v="42"/>
    <x v="9"/>
    <x v="0"/>
    <x v="37"/>
    <x v="42"/>
    <x v="56"/>
  </r>
  <r>
    <s v="(KG) Big Star CDJR of Clear Lake20"/>
    <x v="16"/>
    <x v="19"/>
    <x v="1"/>
    <x v="1"/>
    <x v="101"/>
    <x v="1"/>
    <s v="https://tools.sig.systems/site/details/232"/>
    <s v="https://www.google.com/maps/d/edit?mid=1DRwy5fy1g5UzGTA7a1OkQA-_CY8SQ2s&amp;usp=sharing"/>
    <x v="1"/>
    <x v="0"/>
    <x v="71"/>
    <x v="0"/>
    <x v="0"/>
    <x v="69"/>
    <x v="73"/>
    <x v="100"/>
  </r>
  <r>
    <s v="(KG) Big Star Ford20"/>
    <x v="16"/>
    <x v="19"/>
    <x v="1"/>
    <x v="1"/>
    <x v="102"/>
    <x v="1"/>
    <s v="https://tools.sig.systems/site/details/235"/>
    <m/>
    <x v="1"/>
    <x v="0"/>
    <x v="72"/>
    <x v="0"/>
    <x v="0"/>
    <x v="70"/>
    <x v="74"/>
    <x v="101"/>
  </r>
  <r>
    <s v="(KG) Hyundai Surprise20"/>
    <x v="16"/>
    <x v="19"/>
    <x v="5"/>
    <x v="3"/>
    <x v="103"/>
    <x v="4"/>
    <s v="https://tools.sig.systems/site/details/269"/>
    <m/>
    <x v="4"/>
    <x v="0"/>
    <x v="73"/>
    <x v="0"/>
    <x v="0"/>
    <x v="71"/>
    <x v="11"/>
    <x v="102"/>
  </r>
  <r>
    <s v="(RML) Burleson Nissan20"/>
    <x v="16"/>
    <x v="19"/>
    <x v="1"/>
    <x v="1"/>
    <x v="82"/>
    <x v="1"/>
    <s v="https://tools.sig.systems/site/details/202"/>
    <m/>
    <x v="1"/>
    <x v="0"/>
    <x v="58"/>
    <x v="0"/>
    <x v="0"/>
    <x v="56"/>
    <x v="11"/>
    <x v="82"/>
  </r>
  <r>
    <s v="(AS) Park Place Bodywerks Ft. Worth (NO TOURS)21"/>
    <x v="17"/>
    <x v="0"/>
    <x v="1"/>
    <x v="1"/>
    <x v="92"/>
    <x v="1"/>
    <s v="https://tools.sig.systems/site/details/134"/>
    <s v="https://www.google.com/maps/d/edit?mid=18OEO_KbvYcgI3N1jE4gTMXfNHTNDrFU&amp;ll=32.66603989958274%2C-97.42021198201722&amp;z=18"/>
    <x v="1"/>
    <x v="0"/>
    <x v="66"/>
    <x v="0"/>
    <x v="0"/>
    <x v="62"/>
    <x v="64"/>
    <x v="92"/>
  </r>
  <r>
    <s v="(DT) Louisville21"/>
    <x v="17"/>
    <x v="0"/>
    <x v="0"/>
    <x v="0"/>
    <x v="67"/>
    <x v="0"/>
    <s v="https://tools.sig.systems/site/details/258"/>
    <m/>
    <x v="1"/>
    <x v="0"/>
    <x v="3"/>
    <x v="16"/>
    <x v="0"/>
    <x v="6"/>
    <x v="50"/>
    <x v="67"/>
  </r>
  <r>
    <s v="(ML) Nissan Of Benton21"/>
    <x v="17"/>
    <x v="0"/>
    <x v="1"/>
    <x v="1"/>
    <x v="80"/>
    <x v="1"/>
    <s v="https://tools.sig.systems/site/details/247"/>
    <m/>
    <x v="1"/>
    <x v="0"/>
    <x v="57"/>
    <x v="0"/>
    <x v="0"/>
    <x v="54"/>
    <x v="11"/>
    <x v="80"/>
  </r>
  <r>
    <s v="(PE) Hudson Toyota Nissan CDJR (NO TOURS)21"/>
    <x v="17"/>
    <x v="0"/>
    <x v="4"/>
    <x v="0"/>
    <x v="81"/>
    <x v="0"/>
    <s v="https://tools.sig.systems/site/details/156"/>
    <m/>
    <x v="1"/>
    <x v="0"/>
    <x v="49"/>
    <x v="30"/>
    <x v="0"/>
    <x v="55"/>
    <x v="58"/>
    <x v="81"/>
  </r>
  <r>
    <s v="(PE) Scofield Service Center (NO TOURS)21"/>
    <x v="17"/>
    <x v="0"/>
    <x v="4"/>
    <x v="0"/>
    <x v="113"/>
    <x v="0"/>
    <s v="https://tools.sig.systems/site/details/193"/>
    <s v="https://www.google.com/maps/d/viewer?mid=1FEo41PzFJQjUIXXKitX5TNCtuqR6Vbs&amp;ll=41.1663376742533%2C-73.22955662049608&amp;z=16"/>
    <x v="1"/>
    <x v="0"/>
    <x v="6"/>
    <x v="0"/>
    <x v="0"/>
    <x v="75"/>
    <x v="51"/>
    <x v="112"/>
  </r>
  <r>
    <s v="(RV) Toms Camperland Avondale (NO TOURS)21"/>
    <x v="17"/>
    <x v="0"/>
    <x v="5"/>
    <x v="3"/>
    <x v="24"/>
    <x v="4"/>
    <s v="https://tools.sig.systems/site/details/248"/>
    <s v="https://www.google.com/maps/d/viewer?mid=1bDs0QGFZwL3vEeGKxjVMk_j4azr0-lg&amp;ll=33.4593758581648%2C-112.28793780000001&amp;z=18"/>
    <x v="2"/>
    <x v="0"/>
    <x v="19"/>
    <x v="10"/>
    <x v="0"/>
    <x v="6"/>
    <x v="20"/>
    <x v="24"/>
  </r>
  <r>
    <s v="(JE) Jim Ellis Ford Sandy Springs21"/>
    <x v="17"/>
    <x v="1"/>
    <x v="0"/>
    <x v="0"/>
    <x v="69"/>
    <x v="0"/>
    <s v="https://tools.sig.systems/site/details/142"/>
    <m/>
    <x v="1"/>
    <x v="0"/>
    <x v="51"/>
    <x v="0"/>
    <x v="0"/>
    <x v="46"/>
    <x v="52"/>
    <x v="69"/>
  </r>
  <r>
    <s v="(KG) Texan CDJR21"/>
    <x v="17"/>
    <x v="1"/>
    <x v="1"/>
    <x v="1"/>
    <x v="13"/>
    <x v="1"/>
    <s v="https://tools.sig.systems/site/details/238"/>
    <s v="https://www.google.com/maps/d/edit?mid=1FNqK4dW8Z8gtSWuQLbStrtqe7lH8DIQ&amp;usp=sharing"/>
    <x v="1"/>
    <x v="0"/>
    <x v="12"/>
    <x v="0"/>
    <x v="5"/>
    <x v="11"/>
    <x v="13"/>
    <x v="13"/>
  </r>
  <r>
    <s v="(ML) Columbia Honda (NO TOURS)21"/>
    <x v="17"/>
    <x v="1"/>
    <x v="1"/>
    <x v="1"/>
    <x v="75"/>
    <x v="1"/>
    <s v="https://tools.sig.systems/site/details/272"/>
    <s v="https://www.google.com/maps/d/viewer?hl=es&amp;mid=1C1oZdjH3dNvCvqdpIv_Lk0Yn1OCVn-4&amp;ll=38.965368114274426%2C-92.3405954&amp;z=15"/>
    <x v="1"/>
    <x v="0"/>
    <x v="3"/>
    <x v="26"/>
    <x v="0"/>
    <x v="50"/>
    <x v="56"/>
    <x v="75"/>
  </r>
  <r>
    <s v="(RV) Toms Camperland Mesa (NO TOURS)21"/>
    <x v="17"/>
    <x v="1"/>
    <x v="5"/>
    <x v="3"/>
    <x v="25"/>
    <x v="4"/>
    <s v="https://tools.sig.systems/site/details/222"/>
    <m/>
    <x v="1"/>
    <x v="0"/>
    <x v="20"/>
    <x v="0"/>
    <x v="0"/>
    <x v="6"/>
    <x v="21"/>
    <x v="25"/>
  </r>
  <r>
    <s v="(WAG) Greeley Chrysler Dodge Jeep Ram (NO TOURS)21"/>
    <x v="17"/>
    <x v="1"/>
    <x v="3"/>
    <x v="2"/>
    <x v="115"/>
    <x v="3"/>
    <s v="https://tools.sig.systems/site/details/130"/>
    <s v="https://www.google.com/maps/d/viewer?mid=1gN2lJ0iT7m5VNhD7aDcxE8AdXqtcOZc&amp;ll=40.396096737592195%2C-104.746842&amp;z=16"/>
    <x v="1"/>
    <x v="0"/>
    <x v="77"/>
    <x v="42"/>
    <x v="0"/>
    <x v="77"/>
    <x v="85"/>
    <x v="114"/>
  </r>
  <r>
    <s v="(AS) Bill Estes Ford (NO TOURS)21"/>
    <x v="17"/>
    <x v="2"/>
    <x v="0"/>
    <x v="0"/>
    <x v="55"/>
    <x v="0"/>
    <s v="https://tools.sig.systems/site/details/125"/>
    <m/>
    <x v="1"/>
    <x v="0"/>
    <x v="3"/>
    <x v="21"/>
    <x v="0"/>
    <x v="36"/>
    <x v="41"/>
    <x v="55"/>
  </r>
  <r>
    <s v="(AS) Park Place Mercedes Benz Arlington (NO TOURS)21"/>
    <x v="17"/>
    <x v="2"/>
    <x v="1"/>
    <x v="1"/>
    <x v="61"/>
    <x v="1"/>
    <s v="https://tools.sig.systems/site/details/169"/>
    <m/>
    <x v="1"/>
    <x v="0"/>
    <x v="46"/>
    <x v="0"/>
    <x v="11"/>
    <x v="41"/>
    <x v="46"/>
    <x v="61"/>
  </r>
  <r>
    <s v="(KG) Texan GMC Buick (NO TOURS)21"/>
    <x v="17"/>
    <x v="2"/>
    <x v="1"/>
    <x v="1"/>
    <x v="41"/>
    <x v="1"/>
    <s v="https://tools.sig.systems/site/details/225"/>
    <s v="https://www.google.com/maps/d/edit?mid=1FNqK4dW8Z8gtSWuQLbStrtqe7lH8DIQ&amp;usp=sharing"/>
    <x v="1"/>
    <x v="0"/>
    <x v="31"/>
    <x v="0"/>
    <x v="0"/>
    <x v="31"/>
    <x v="33"/>
    <x v="41"/>
  </r>
  <r>
    <s v="(LM) Luther Mazda / Mitsubishi21"/>
    <x v="17"/>
    <x v="2"/>
    <x v="1"/>
    <x v="1"/>
    <x v="74"/>
    <x v="1"/>
    <s v="https://tools.sig.systems/site/details/147"/>
    <s v="https://www.google.com/maps/d/viewer?mid=1ot0ILX76JMuvd9yMuqkb4_e0yH1n7TA&amp;ll=45.07815812965141%2C-93.33506855000002&amp;z=17"/>
    <x v="1"/>
    <x v="0"/>
    <x v="55"/>
    <x v="0"/>
    <x v="12"/>
    <x v="6"/>
    <x v="55"/>
    <x v="74"/>
  </r>
  <r>
    <s v="(ML) Joe Machens CDJR21"/>
    <x v="17"/>
    <x v="2"/>
    <x v="1"/>
    <x v="1"/>
    <x v="43"/>
    <x v="1"/>
    <s v="https://tools.sig.systems/site/details/273"/>
    <s v="https://www.google.com/maps/d/viewer?hl=es&amp;mid=1C1oZdjH3dNvCvqdpIv_Lk0Yn1OCVn-4&amp;ll=38.965368114274455%2C-92.3405954&amp;z=15"/>
    <x v="1"/>
    <x v="0"/>
    <x v="3"/>
    <x v="16"/>
    <x v="0"/>
    <x v="6"/>
    <x v="35"/>
    <x v="43"/>
  </r>
  <r>
    <s v="(PE) BMW of Greenwich (NO TOURS)21"/>
    <x v="17"/>
    <x v="2"/>
    <x v="4"/>
    <x v="0"/>
    <x v="110"/>
    <x v="0"/>
    <s v="https://tools.sig.systems/site/details/186"/>
    <s v="https://www.google.com/maps/d/edit?hl=en&amp;mid=1UHmt7tH1ihTa85i0MfQIcTfVvIQg_vM&amp;ll=41.024187580466844%2C-73.63702405370861&amp;z=18"/>
    <x v="1"/>
    <x v="0"/>
    <x v="75"/>
    <x v="0"/>
    <x v="0"/>
    <x v="6"/>
    <x v="81"/>
    <x v="109"/>
  </r>
  <r>
    <s v="(AS) Park Place Volvo Sales (NO TOURS)21"/>
    <x v="17"/>
    <x v="3"/>
    <x v="1"/>
    <x v="1"/>
    <x v="33"/>
    <x v="1"/>
    <s v="https://tools.sig.systems/site/details/139"/>
    <s v="https://www.google.com/maps/d/edit?hl=es&amp;mid=1uPmsRMsXnp74hPFW2t-sp2totVWF_xY&amp;ll=32.83050137713022%2C-96.83197783061323&amp;z=17"/>
    <x v="1"/>
    <x v="0"/>
    <x v="26"/>
    <x v="0"/>
    <x v="0"/>
    <x v="26"/>
    <x v="27"/>
    <x v="33"/>
  </r>
  <r>
    <s v="(DT) Denver (NO TOURS)21"/>
    <x v="17"/>
    <x v="3"/>
    <x v="3"/>
    <x v="2"/>
    <x v="97"/>
    <x v="3"/>
    <s v="https://tools.sig.systems/site/details/203"/>
    <s v="https://www.google.com/maps/d/edit?mid=1AjZHz2LTg0RMhZUOmyZsv_Y4MFcaP8g&amp;usp=sharing"/>
    <x v="1"/>
    <x v="0"/>
    <x v="3"/>
    <x v="25"/>
    <x v="0"/>
    <x v="6"/>
    <x v="69"/>
    <x v="96"/>
  </r>
  <r>
    <s v="(HUD) CDJR of Greensboro21"/>
    <x v="17"/>
    <x v="3"/>
    <x v="0"/>
    <x v="0"/>
    <x v="68"/>
    <x v="6"/>
    <s v="https://tools.sig.systems/site/details/215"/>
    <s v="https://www.google.com/maps/d/viewer?mid=1ejOzT7-x6RWnCf83BBP7XhiOiwEX3Wk&amp;ll=36.061264791292906%2C-79.87437695000003&amp;z=17"/>
    <x v="3"/>
    <x v="0"/>
    <x v="50"/>
    <x v="0"/>
    <x v="0"/>
    <x v="45"/>
    <x v="51"/>
    <x v="68"/>
  </r>
  <r>
    <s v="(ML) Joe Machens VW21"/>
    <x v="17"/>
    <x v="3"/>
    <x v="1"/>
    <x v="1"/>
    <x v="19"/>
    <x v="1"/>
    <s v="https://tools.sig.systems/site/details/274"/>
    <s v="https://www.google.com/maps/d/viewer?hl=es&amp;mid=1C1oZdjH3dNvCvqdpIv_Lk0Yn1OCVn-4&amp;ll=38.965368114274455%2C-92.3405954&amp;z=15"/>
    <x v="1"/>
    <x v="0"/>
    <x v="3"/>
    <x v="8"/>
    <x v="0"/>
    <x v="17"/>
    <x v="11"/>
    <x v="19"/>
  </r>
  <r>
    <s v="(ML) Nissan of Little Rock21"/>
    <x v="17"/>
    <x v="3"/>
    <x v="1"/>
    <x v="1"/>
    <x v="46"/>
    <x v="1"/>
    <s v="https://tools.sig.systems/site/details/224"/>
    <s v="https://www.google.com/maps/d/viewer?mid=1hvbKFMO-d5TXrKGU-g5dt_xcdArB1D0&amp;ll=34.71147784120261%2C-92.40574350000001&amp;z=17"/>
    <x v="1"/>
    <x v="0"/>
    <x v="34"/>
    <x v="0"/>
    <x v="0"/>
    <x v="34"/>
    <x v="7"/>
    <x v="46"/>
  </r>
  <r>
    <s v="(SCH) Chevrolet North Palm21"/>
    <x v="17"/>
    <x v="3"/>
    <x v="0"/>
    <x v="0"/>
    <x v="52"/>
    <x v="0"/>
    <s v="https://tools.sig.systems/site/details/160"/>
    <m/>
    <x v="3"/>
    <x v="0"/>
    <x v="39"/>
    <x v="0"/>
    <x v="0"/>
    <x v="6"/>
    <x v="38"/>
    <x v="52"/>
  </r>
  <r>
    <s v="SIG Office21"/>
    <x v="17"/>
    <x v="3"/>
    <x v="2"/>
    <x v="0"/>
    <x v="85"/>
    <x v="2"/>
    <s v="https://tools.sig.systems/site/details/163"/>
    <m/>
    <x v="1"/>
    <x v="0"/>
    <x v="3"/>
    <x v="0"/>
    <x v="0"/>
    <x v="6"/>
    <x v="60"/>
    <x v="85"/>
  </r>
  <r>
    <s v="(AS) Mercedes Benz/Porsche Dallas I,II,III (NO TOURS)21"/>
    <x v="17"/>
    <x v="4"/>
    <x v="1"/>
    <x v="1"/>
    <x v="2"/>
    <x v="1"/>
    <s v="https://tools.sig.systems/site/details/168"/>
    <s v="https://www.google.com/maps/d/edit?hl=es&amp;mid=1uPmsRMsXnp74hPFW2t-sp2totVWF_xY&amp;ll=32.83050137713022%2C-96.83197783061323&amp;z=17"/>
    <x v="1"/>
    <x v="0"/>
    <x v="2"/>
    <x v="0"/>
    <x v="2"/>
    <x v="2"/>
    <x v="2"/>
    <x v="2"/>
  </r>
  <r>
    <s v="(ML) BMW of Little Rock21"/>
    <x v="17"/>
    <x v="4"/>
    <x v="1"/>
    <x v="1"/>
    <x v="105"/>
    <x v="1"/>
    <s v="https://tools.sig.systems/site/details/217"/>
    <s v="https://www.google.com/maps/d/viewer?mid=1hvbKFMO-d5TXrKGU-g5dt_xcdArB1D0&amp;ll=34.71147784120261%2C-92.40574350000001&amp;z=17"/>
    <x v="1"/>
    <x v="0"/>
    <x v="3"/>
    <x v="38"/>
    <x v="0"/>
    <x v="6"/>
    <x v="76"/>
    <x v="104"/>
  </r>
  <r>
    <s v="(ML) Joe Machens Toyota21"/>
    <x v="17"/>
    <x v="4"/>
    <x v="1"/>
    <x v="1"/>
    <x v="18"/>
    <x v="1"/>
    <s v="https://tools.sig.systems/site/details/275"/>
    <s v="https://www.google.com/maps/d/viewer?hl=es&amp;mid=1C1oZdjH3dNvCvqdpIv_Lk0Yn1OCVn-4&amp;ll=38.965368114274455%2C-92.3405954&amp;z=15"/>
    <x v="1"/>
    <x v="0"/>
    <x v="3"/>
    <x v="7"/>
    <x v="0"/>
    <x v="16"/>
    <x v="11"/>
    <x v="18"/>
  </r>
  <r>
    <s v="(PE) JLR PDI (NO TOURS)21"/>
    <x v="17"/>
    <x v="4"/>
    <x v="4"/>
    <x v="0"/>
    <x v="50"/>
    <x v="0"/>
    <s v="https://tools.sig.systems/site/details/179"/>
    <s v="https://www.google.com/maps/d/viewer?mid=1ubI2iKs1JyYXssuT4oLPnVvFnyLPi_s&amp;ll=40.878808846788026%2C-73.98560655&amp;z=17"/>
    <x v="1"/>
    <x v="0"/>
    <x v="37"/>
    <x v="0"/>
    <x v="0"/>
    <x v="6"/>
    <x v="11"/>
    <x v="50"/>
  </r>
  <r>
    <s v="(AS) Park Place Sprinter Van Center (NO TOURS)21"/>
    <x v="17"/>
    <x v="5"/>
    <x v="1"/>
    <x v="1"/>
    <x v="6"/>
    <x v="1"/>
    <s v="https://tools.sig.systems/site/details/138"/>
    <s v="https://www.google.com/maps/d/edit?hl=es&amp;mid=1uPmsRMsXnp74hPFW2t-sp2totVWF_xY&amp;ll=32.83050137713022%2C-96.83197783061323&amp;z=17"/>
    <x v="1"/>
    <x v="0"/>
    <x v="6"/>
    <x v="0"/>
    <x v="0"/>
    <x v="6"/>
    <x v="6"/>
    <x v="6"/>
  </r>
  <r>
    <s v="(HUD) Honda of Southpoint21"/>
    <x v="17"/>
    <x v="5"/>
    <x v="0"/>
    <x v="0"/>
    <x v="11"/>
    <x v="0"/>
    <s v="https://tools.sig.systems/site/details/195"/>
    <m/>
    <x v="0"/>
    <x v="0"/>
    <x v="10"/>
    <x v="4"/>
    <x v="0"/>
    <x v="10"/>
    <x v="11"/>
    <x v="11"/>
  </r>
  <r>
    <s v="(HUD) Paint and Body Center (NO TOURS)21"/>
    <x v="17"/>
    <x v="5"/>
    <x v="0"/>
    <x v="0"/>
    <x v="38"/>
    <x v="0"/>
    <s v="https://tools.sig.systems/site/details/256"/>
    <s v="https://www.google.com/maps/d/viewer?mid=1ejOzT7-x6RWnCf83BBP7XhiOiwEX3Wk&amp;ll=36.061264791292906%2C-79.87437695000003&amp;z=17"/>
    <x v="1"/>
    <x v="0"/>
    <x v="3"/>
    <x v="9"/>
    <x v="0"/>
    <x v="6"/>
    <x v="11"/>
    <x v="38"/>
  </r>
  <r>
    <s v="(KG) Big Star Ford21"/>
    <x v="17"/>
    <x v="5"/>
    <x v="1"/>
    <x v="1"/>
    <x v="102"/>
    <x v="1"/>
    <s v="https://tools.sig.systems/site/details/235"/>
    <m/>
    <x v="1"/>
    <x v="0"/>
    <x v="72"/>
    <x v="0"/>
    <x v="0"/>
    <x v="70"/>
    <x v="74"/>
    <x v="101"/>
  </r>
  <r>
    <s v="(ML) Joe Machens E Collision Center21"/>
    <x v="17"/>
    <x v="5"/>
    <x v="1"/>
    <x v="1"/>
    <x v="76"/>
    <x v="1"/>
    <s v="https://tools.sig.systems/site/details/277"/>
    <s v="https://www.google.com/maps/d/viewer?hl=es&amp;mid=1C1oZdjH3dNvCvqdpIv_Lk0Yn1OCVn-4&amp;ll=38.965368114274455%2C-92.3405954&amp;z=15"/>
    <x v="1"/>
    <x v="0"/>
    <x v="6"/>
    <x v="0"/>
    <x v="0"/>
    <x v="51"/>
    <x v="57"/>
    <x v="76"/>
  </r>
  <r>
    <s v="(PE) BMW of Mamaroneck (NO TOURS)21"/>
    <x v="17"/>
    <x v="5"/>
    <x v="4"/>
    <x v="0"/>
    <x v="111"/>
    <x v="0"/>
    <s v="https://tools.sig.systems/site/details/185"/>
    <m/>
    <x v="1"/>
    <x v="0"/>
    <x v="76"/>
    <x v="41"/>
    <x v="0"/>
    <x v="6"/>
    <x v="82"/>
    <x v="110"/>
  </r>
  <r>
    <s v="(RML) Burleson Nissan21"/>
    <x v="17"/>
    <x v="5"/>
    <x v="1"/>
    <x v="1"/>
    <x v="82"/>
    <x v="1"/>
    <s v="https://tools.sig.systems/site/details/202"/>
    <m/>
    <x v="1"/>
    <x v="0"/>
    <x v="58"/>
    <x v="0"/>
    <x v="0"/>
    <x v="56"/>
    <x v="11"/>
    <x v="82"/>
  </r>
  <r>
    <s v="(SCH) Prep Center Delray21"/>
    <x v="17"/>
    <x v="5"/>
    <x v="0"/>
    <x v="0"/>
    <x v="53"/>
    <x v="0"/>
    <s v="https://tools.sig.systems/site/details/321"/>
    <m/>
    <x v="1"/>
    <x v="0"/>
    <x v="40"/>
    <x v="0"/>
    <x v="0"/>
    <x v="6"/>
    <x v="39"/>
    <x v="53"/>
  </r>
  <r>
    <s v="(AS) Atwell Prep Center-Dallas (NO TOURS)21"/>
    <x v="17"/>
    <x v="6"/>
    <x v="1"/>
    <x v="1"/>
    <x v="86"/>
    <x v="1"/>
    <s v="https://tools.sig.systems/site/details/165"/>
    <s v="https://www.google.com/maps/d/edit?hl=es&amp;mid=1uPmsRMsXnp74hPFW2t-sp2totVWF_xY&amp;ll=32.83050137713022%2C-96.83197783061323&amp;z=17"/>
    <x v="1"/>
    <x v="0"/>
    <x v="61"/>
    <x v="0"/>
    <x v="0"/>
    <x v="6"/>
    <x v="28"/>
    <x v="86"/>
  </r>
  <r>
    <s v="(AS) Courtesy Hyundai/Nissan Tampa (NO TOURS)21"/>
    <x v="17"/>
    <x v="6"/>
    <x v="0"/>
    <x v="0"/>
    <x v="89"/>
    <x v="0"/>
    <s v="https://tools.sig.systems/site/details/128"/>
    <m/>
    <x v="0"/>
    <x v="0"/>
    <x v="64"/>
    <x v="0"/>
    <x v="0"/>
    <x v="59"/>
    <x v="62"/>
    <x v="89"/>
  </r>
  <r>
    <s v="(AS) Park Place Mercedes Benz Ft. Worth (NO TOURS)21"/>
    <x v="17"/>
    <x v="6"/>
    <x v="1"/>
    <x v="1"/>
    <x v="5"/>
    <x v="1"/>
    <s v="https://tools.sig.systems/site/details/137"/>
    <s v="https://www.google.com/maps/d/edit?mid=18OEO_KbvYcgI3N1jE4gTMXfNHTNDrFU&amp;ll=32.66603989958274%2C-97.42021198201722&amp;z=18"/>
    <x v="1"/>
    <x v="0"/>
    <x v="5"/>
    <x v="0"/>
    <x v="4"/>
    <x v="5"/>
    <x v="5"/>
    <x v="5"/>
  </r>
  <r>
    <s v="(AS) Plano Auction (NO SPEAKERS)21"/>
    <x v="17"/>
    <x v="6"/>
    <x v="1"/>
    <x v="1"/>
    <x v="94"/>
    <x v="1"/>
    <s v="https://tools.sig.systems/site/details/140"/>
    <m/>
    <x v="1"/>
    <x v="0"/>
    <x v="3"/>
    <x v="34"/>
    <x v="0"/>
    <x v="64"/>
    <x v="66"/>
    <x v="94"/>
  </r>
  <r>
    <s v="(ML) Joe Machens Temporary 2.021"/>
    <x v="17"/>
    <x v="6"/>
    <x v="1"/>
    <x v="1"/>
    <x v="44"/>
    <x v="1"/>
    <s v="https://tools.sig.systems/site/details/278"/>
    <s v="https://www.google.com/maps/d/viewer?hl=es&amp;mid=1C1oZdjH3dNvCvqdpIv_Lk0Yn1OCVn-4&amp;ll=38.965368114274455%2C-92.3405954&amp;z=15"/>
    <x v="1"/>
    <x v="0"/>
    <x v="3"/>
    <x v="17"/>
    <x v="0"/>
    <x v="33"/>
    <x v="11"/>
    <x v="44"/>
  </r>
  <r>
    <s v="(SCH) Auto Body Shop Lake Park21"/>
    <x v="17"/>
    <x v="6"/>
    <x v="0"/>
    <x v="0"/>
    <x v="83"/>
    <x v="0"/>
    <s v="https://tools.sig.systems/site/details/158"/>
    <m/>
    <x v="1"/>
    <x v="0"/>
    <x v="59"/>
    <x v="0"/>
    <x v="0"/>
    <x v="6"/>
    <x v="11"/>
    <x v="83"/>
  </r>
  <r>
    <s v="(AS) Courtesy Honda Palm Harbor (NO TOURS)21"/>
    <x v="17"/>
    <x v="7"/>
    <x v="0"/>
    <x v="0"/>
    <x v="88"/>
    <x v="0"/>
    <s v="https://tools.sig.systems/site/details/176"/>
    <m/>
    <x v="3"/>
    <x v="0"/>
    <x v="63"/>
    <x v="0"/>
    <x v="0"/>
    <x v="58"/>
    <x v="24"/>
    <x v="88"/>
  </r>
  <r>
    <s v="(AS) Nalley Lexus &amp; Remote Lot Roswell (NO TOURS)21"/>
    <x v="17"/>
    <x v="7"/>
    <x v="2"/>
    <x v="0"/>
    <x v="4"/>
    <x v="2"/>
    <s v="https://tools.sig.systems/site/details/131"/>
    <s v="https://www.google.com/maps/d/edit?mid=1jkN3DS1BhUqp_dztjjW0PDwKfo_Yxsw&amp;usp=sharing"/>
    <x v="1"/>
    <x v="1"/>
    <x v="4"/>
    <x v="1"/>
    <x v="3"/>
    <x v="4"/>
    <x v="4"/>
    <x v="4"/>
  </r>
  <r>
    <s v="(AS) Park Place Bodywerks Dallas (NO TOURS)21"/>
    <x v="17"/>
    <x v="7"/>
    <x v="1"/>
    <x v="1"/>
    <x v="59"/>
    <x v="1"/>
    <s v="https://tools.sig.systems/site/details/166"/>
    <s v="https://www.google.com/maps/d/edit?hl=es&amp;mid=1uPmsRMsXnp74hPFW2t-sp2totVWF_xY&amp;ll=32.83050137713022%2C-96.83197783061323&amp;z=17"/>
    <x v="1"/>
    <x v="0"/>
    <x v="44"/>
    <x v="9"/>
    <x v="0"/>
    <x v="6"/>
    <x v="45"/>
    <x v="59"/>
  </r>
  <r>
    <s v="(KG) Big Star Honda21"/>
    <x v="17"/>
    <x v="7"/>
    <x v="1"/>
    <x v="1"/>
    <x v="72"/>
    <x v="1"/>
    <s v="https://tools.sig.systems/site/details/231"/>
    <m/>
    <x v="1"/>
    <x v="0"/>
    <x v="53"/>
    <x v="0"/>
    <x v="0"/>
    <x v="48"/>
    <x v="54"/>
    <x v="72"/>
  </r>
  <r>
    <s v="(ML) Joe Machens Nissan21"/>
    <x v="17"/>
    <x v="7"/>
    <x v="1"/>
    <x v="1"/>
    <x v="78"/>
    <x v="1"/>
    <s v="https://tools.sig.systems/site/details/279"/>
    <s v="https://www.google.com/maps/d/viewer?hl=es&amp;mid=1C1oZdjH3dNvCvqdpIv_Lk0Yn1OCVn-4&amp;ll=38.965368114274455%2C-92.3405954&amp;z=15"/>
    <x v="1"/>
    <x v="0"/>
    <x v="3"/>
    <x v="28"/>
    <x v="0"/>
    <x v="6"/>
    <x v="11"/>
    <x v="78"/>
  </r>
  <r>
    <s v="(AS) Park Place MB Recon Center Dallas (NO TOURS)21"/>
    <x v="17"/>
    <x v="8"/>
    <x v="1"/>
    <x v="1"/>
    <x v="60"/>
    <x v="1"/>
    <s v="https://tools.sig.systems/site/details/170"/>
    <s v="https://www.google.com/maps/d/edit?hl=es&amp;mid=1uPmsRMsXnp74hPFW2t-sp2totVWF_xY&amp;ll=32.83050137713022%2C-96.83197783061323&amp;z=17"/>
    <x v="1"/>
    <x v="0"/>
    <x v="45"/>
    <x v="0"/>
    <x v="0"/>
    <x v="40"/>
    <x v="19"/>
    <x v="60"/>
  </r>
  <r>
    <s v="(ML) Joe Machens Ford Lincoln I &amp; II21"/>
    <x v="17"/>
    <x v="8"/>
    <x v="1"/>
    <x v="1"/>
    <x v="77"/>
    <x v="1"/>
    <s v="https://tools.sig.systems/site/details/266"/>
    <s v="https://www.google.com/maps/d/viewer?hl=es&amp;mid=1C1oZdjH3dNvCvqdpIv_Lk0Yn1OCVn-4&amp;ll=38.965368114274455%2C-92.3405954&amp;z=15"/>
    <x v="1"/>
    <x v="0"/>
    <x v="3"/>
    <x v="27"/>
    <x v="0"/>
    <x v="52"/>
    <x v="11"/>
    <x v="77"/>
  </r>
  <r>
    <s v="(ML) Joe Machens Kia of Columbia21"/>
    <x v="17"/>
    <x v="8"/>
    <x v="1"/>
    <x v="1"/>
    <x v="107"/>
    <x v="1"/>
    <s v="https://tools.sig.systems/site/details/270"/>
    <s v="https://www.google.com/maps/d/viewer?hl=es&amp;mid=1C1oZdjH3dNvCvqdpIv_Lk0Yn1OCVn-4&amp;ll=38.965368114274455%2C-92.3405954&amp;z=15"/>
    <x v="1"/>
    <x v="0"/>
    <x v="3"/>
    <x v="39"/>
    <x v="0"/>
    <x v="6"/>
    <x v="78"/>
    <x v="106"/>
  </r>
  <r>
    <s v="(SCH) Delray I &amp; II21"/>
    <x v="17"/>
    <x v="8"/>
    <x v="0"/>
    <x v="0"/>
    <x v="26"/>
    <x v="0"/>
    <s v="https://tools.sig.systems/site/details/159"/>
    <m/>
    <x v="3"/>
    <x v="0"/>
    <x v="21"/>
    <x v="11"/>
    <x v="6"/>
    <x v="6"/>
    <x v="22"/>
    <x v="26"/>
  </r>
  <r>
    <s v="(AS) Park Place Volvo Service Center (NO TOURS)21"/>
    <x v="17"/>
    <x v="9"/>
    <x v="1"/>
    <x v="1"/>
    <x v="62"/>
    <x v="1"/>
    <s v="https://tools.sig.systems/site/details/171"/>
    <s v="https://www.google.com/maps/d/edit?hl=es&amp;mid=1uPmsRMsXnp74hPFW2t-sp2totVWF_xY&amp;ll=32.83050137713022%2C-96.83197783061323&amp;z=17"/>
    <x v="1"/>
    <x v="0"/>
    <x v="47"/>
    <x v="0"/>
    <x v="0"/>
    <x v="42"/>
    <x v="11"/>
    <x v="62"/>
  </r>
  <r>
    <s v="(DT) Escondido21"/>
    <x v="17"/>
    <x v="9"/>
    <x v="5"/>
    <x v="4"/>
    <x v="98"/>
    <x v="5"/>
    <s v="https://tools.sig.systems/site/details/196"/>
    <m/>
    <x v="1"/>
    <x v="4"/>
    <x v="20"/>
    <x v="0"/>
    <x v="0"/>
    <x v="6"/>
    <x v="70"/>
    <x v="97"/>
  </r>
  <r>
    <s v="(SCH) West Palm Beach I, II &amp; III21"/>
    <x v="17"/>
    <x v="9"/>
    <x v="6"/>
    <x v="0"/>
    <x v="54"/>
    <x v="0"/>
    <s v="https://tools.sig.systems/site/details/162"/>
    <m/>
    <x v="3"/>
    <x v="2"/>
    <x v="41"/>
    <x v="20"/>
    <x v="10"/>
    <x v="6"/>
    <x v="40"/>
    <x v="54"/>
  </r>
  <r>
    <s v="(AS) David McDavid Lincoln Frisco (NO TOURS)21"/>
    <x v="17"/>
    <x v="10"/>
    <x v="1"/>
    <x v="1"/>
    <x v="58"/>
    <x v="1"/>
    <s v="https://tools.sig.systems/site/details/182"/>
    <m/>
    <x v="1"/>
    <x v="0"/>
    <x v="43"/>
    <x v="0"/>
    <x v="0"/>
    <x v="39"/>
    <x v="44"/>
    <x v="58"/>
  </r>
  <r>
    <s v="(AS) Lexus Smyrna (NO TOURS)21"/>
    <x v="17"/>
    <x v="10"/>
    <x v="0"/>
    <x v="0"/>
    <x v="30"/>
    <x v="0"/>
    <s v="https://tools.sig.systems/site/details/133"/>
    <m/>
    <x v="1"/>
    <x v="0"/>
    <x v="24"/>
    <x v="0"/>
    <x v="0"/>
    <x v="24"/>
    <x v="25"/>
    <x v="30"/>
  </r>
  <r>
    <s v="(AS) Nalley BMW Collision Center (NO TOURS)21"/>
    <x v="17"/>
    <x v="10"/>
    <x v="0"/>
    <x v="0"/>
    <x v="3"/>
    <x v="0"/>
    <s v="https://tools.sig.systems/site/details/220"/>
    <m/>
    <x v="1"/>
    <x v="0"/>
    <x v="3"/>
    <x v="1"/>
    <x v="0"/>
    <x v="3"/>
    <x v="3"/>
    <x v="3"/>
  </r>
  <r>
    <s v="(DT) Albuquerque21"/>
    <x v="17"/>
    <x v="10"/>
    <x v="3"/>
    <x v="2"/>
    <x v="35"/>
    <x v="3"/>
    <s v="https://tools.sig.systems/site/details/237"/>
    <m/>
    <x v="1"/>
    <x v="0"/>
    <x v="27"/>
    <x v="0"/>
    <x v="0"/>
    <x v="27"/>
    <x v="29"/>
    <x v="35"/>
  </r>
  <r>
    <s v="(DT) Wichita21"/>
    <x v="17"/>
    <x v="10"/>
    <x v="1"/>
    <x v="1"/>
    <x v="36"/>
    <x v="1"/>
    <s v="https://tools.sig.systems/site/details/257"/>
    <m/>
    <x v="1"/>
    <x v="0"/>
    <x v="3"/>
    <x v="15"/>
    <x v="0"/>
    <x v="6"/>
    <x v="30"/>
    <x v="36"/>
  </r>
  <r>
    <s v="(ML) Volvo Collision Corp21"/>
    <x v="17"/>
    <x v="10"/>
    <x v="1"/>
    <x v="1"/>
    <x v="47"/>
    <x v="1"/>
    <s v="https://tools.sig.systems/site/details/223"/>
    <m/>
    <x v="1"/>
    <x v="0"/>
    <x v="35"/>
    <x v="1"/>
    <x v="0"/>
    <x v="35"/>
    <x v="11"/>
    <x v="47"/>
  </r>
  <r>
    <s v="(PE) Fairfield Collision (NO TOURS)21"/>
    <x v="17"/>
    <x v="10"/>
    <x v="4"/>
    <x v="0"/>
    <x v="22"/>
    <x v="0"/>
    <s v="https://tools.sig.systems/site/details/191"/>
    <m/>
    <x v="1"/>
    <x v="0"/>
    <x v="18"/>
    <x v="0"/>
    <x v="0"/>
    <x v="6"/>
    <x v="18"/>
    <x v="22"/>
  </r>
  <r>
    <s v="(AS) Stevinson Toyota West (NO TOURS)21"/>
    <x v="17"/>
    <x v="11"/>
    <x v="3"/>
    <x v="2"/>
    <x v="8"/>
    <x v="3"/>
    <s v="https://tools.sig.systems/site/details/240"/>
    <s v="https://www.google.com/maps/d/edit?mid=1nAyK85WaWREy0lfxnmWn3USs2gC0nP0&amp;usp=sharing"/>
    <x v="1"/>
    <x v="0"/>
    <x v="3"/>
    <x v="3"/>
    <x v="0"/>
    <x v="7"/>
    <x v="8"/>
    <x v="8"/>
  </r>
  <r>
    <s v="(HUD) Acura of Greensboro21"/>
    <x v="17"/>
    <x v="11"/>
    <x v="0"/>
    <x v="0"/>
    <x v="99"/>
    <x v="0"/>
    <s v="https://tools.sig.systems/site/details/213"/>
    <s v="https://www.google.com/maps/d/viewer?mid=1ejOzT7-x6RWnCf83BBP7XhiOiwEX3Wk&amp;ll=0%2C0&amp;z=17"/>
    <x v="1"/>
    <x v="0"/>
    <x v="69"/>
    <x v="0"/>
    <x v="0"/>
    <x v="67"/>
    <x v="71"/>
    <x v="98"/>
  </r>
  <r>
    <s v="(MK) McKenny Salinas Honda21"/>
    <x v="17"/>
    <x v="11"/>
    <x v="0"/>
    <x v="0"/>
    <x v="104"/>
    <x v="0"/>
    <s v="https://tools.sig.systems/site/details/149"/>
    <m/>
    <x v="1"/>
    <x v="0"/>
    <x v="3"/>
    <x v="37"/>
    <x v="0"/>
    <x v="6"/>
    <x v="75"/>
    <x v="103"/>
  </r>
  <r>
    <s v="(ML) Joe Machens Capital City I &amp; II (NO TOURS)21"/>
    <x v="17"/>
    <x v="11"/>
    <x v="1"/>
    <x v="1"/>
    <x v="17"/>
    <x v="1"/>
    <s v="https://tools.sig.systems/site/details/271"/>
    <m/>
    <x v="1"/>
    <x v="0"/>
    <x v="3"/>
    <x v="6"/>
    <x v="0"/>
    <x v="15"/>
    <x v="16"/>
    <x v="17"/>
  </r>
  <r>
    <s v="(PE) Mercedes Benz &amp; Smart Bldg. of Fairfield (NO TOURS)21"/>
    <x v="17"/>
    <x v="11"/>
    <x v="4"/>
    <x v="0"/>
    <x v="23"/>
    <x v="0"/>
    <s v="https://tools.sig.systems/site/details/192"/>
    <s v="https://www.google.com/maps/d/viewer?mid=1FEo41PzFJQjUIXXKitX5TNCtuqR6Vbs&amp;ll=41.1663376742533%2C-73.22955662049608&amp;z=16"/>
    <x v="1"/>
    <x v="0"/>
    <x v="3"/>
    <x v="9"/>
    <x v="0"/>
    <x v="20"/>
    <x v="19"/>
    <x v="23"/>
  </r>
  <r>
    <s v="(AS) David McDavid Honda I &amp; II (NO TOURS)21"/>
    <x v="17"/>
    <x v="12"/>
    <x v="1"/>
    <x v="1"/>
    <x v="90"/>
    <x v="1"/>
    <s v="https://tools.sig.systems/site/details/129"/>
    <m/>
    <x v="1"/>
    <x v="0"/>
    <x v="3"/>
    <x v="31"/>
    <x v="0"/>
    <x v="60"/>
    <x v="63"/>
    <x v="90"/>
  </r>
  <r>
    <s v="(AS) Mike Shaw Subaru Greeley (NO TOURS)21"/>
    <x v="17"/>
    <x v="12"/>
    <x v="3"/>
    <x v="2"/>
    <x v="91"/>
    <x v="3"/>
    <s v="https://tools.sig.systems/site/details/174"/>
    <s v="https://www.google.com/maps/d/viewer?mid=1gN2lJ0iT7m5VNhD7aDcxE8AdXqtcOZc&amp;ll=40.396096737592195%2C-104.746842&amp;z=16"/>
    <x v="1"/>
    <x v="0"/>
    <x v="65"/>
    <x v="32"/>
    <x v="0"/>
    <x v="61"/>
    <x v="11"/>
    <x v="91"/>
  </r>
  <r>
    <s v="(HUD) BMW of Greensboro21"/>
    <x v="17"/>
    <x v="12"/>
    <x v="0"/>
    <x v="0"/>
    <x v="100"/>
    <x v="0"/>
    <s v="https://tools.sig.systems/site/details/219"/>
    <s v="https://www.google.com/maps/d/viewer?mid=1ejOzT7-x6RWnCf83BBP7XhiOiwEX3Wk&amp;ll=36.061264791292906%2C-79.87437695000003&amp;z=17"/>
    <x v="1"/>
    <x v="0"/>
    <x v="70"/>
    <x v="0"/>
    <x v="0"/>
    <x v="68"/>
    <x v="72"/>
    <x v="99"/>
  </r>
  <r>
    <s v="(PE) Honda of Danbury (NO TOURS)21"/>
    <x v="17"/>
    <x v="12"/>
    <x v="4"/>
    <x v="0"/>
    <x v="49"/>
    <x v="0"/>
    <s v="https://tools.sig.systems/site/details/190"/>
    <m/>
    <x v="1"/>
    <x v="0"/>
    <x v="3"/>
    <x v="19"/>
    <x v="9"/>
    <x v="6"/>
    <x v="36"/>
    <x v="49"/>
  </r>
  <r>
    <s v="(AS) Coggin Mercedes Benz Ft Pierce (NO TOURS)21"/>
    <x v="17"/>
    <x v="13"/>
    <x v="0"/>
    <x v="0"/>
    <x v="28"/>
    <x v="0"/>
    <s v="https://tools.sig.systems/site/details/127"/>
    <s v="https://www.google.com/maps/d/viewer?mid=1AyViBuyeq7iwDua1SVudJ2A1BYi3IBA&amp;ll=27.38181516363982%2C-80.32568845000002&amp;z=18"/>
    <x v="1"/>
    <x v="0"/>
    <x v="22"/>
    <x v="13"/>
    <x v="0"/>
    <x v="22"/>
    <x v="23"/>
    <x v="28"/>
  </r>
  <r>
    <s v="(AS) Plaza Lexus/Mercedes/BMW (NO TOURS)21"/>
    <x v="17"/>
    <x v="13"/>
    <x v="1"/>
    <x v="1"/>
    <x v="63"/>
    <x v="1"/>
    <s v="https://tools.sig.systems/site/details/141"/>
    <s v="https://www.google.com/maps/d/viewer?mid=1whGZ1PLqmhJnGFz8uigZqUL4cHGGW3w&amp;ll=38.668847686454825%2C-90.4433601&amp;z=17"/>
    <x v="1"/>
    <x v="0"/>
    <x v="48"/>
    <x v="23"/>
    <x v="0"/>
    <x v="43"/>
    <x v="47"/>
    <x v="63"/>
  </r>
  <r>
    <s v="(DT) El Cajon (NO TOURS)21"/>
    <x v="17"/>
    <x v="13"/>
    <x v="5"/>
    <x v="4"/>
    <x v="66"/>
    <x v="4"/>
    <s v="https://tools.sig.systems/site/details/241"/>
    <m/>
    <x v="1"/>
    <x v="0"/>
    <x v="3"/>
    <x v="16"/>
    <x v="0"/>
    <x v="6"/>
    <x v="11"/>
    <x v="66"/>
  </r>
  <r>
    <s v="(HUD) Nissan Greensboro21"/>
    <x v="17"/>
    <x v="13"/>
    <x v="0"/>
    <x v="0"/>
    <x v="12"/>
    <x v="0"/>
    <s v="https://tools.sig.systems/site/details/236"/>
    <s v="https://www.google.com/maps/d/viewer?mid=1ejOzT7-x6RWnCf83BBP7XhiOiwEX3Wk&amp;ll=36.061264791292906%2C-79.87437695000003&amp;z=17"/>
    <x v="1"/>
    <x v="0"/>
    <x v="11"/>
    <x v="0"/>
    <x v="0"/>
    <x v="6"/>
    <x v="12"/>
    <x v="12"/>
  </r>
  <r>
    <s v="(KG) Truck Center Remote Storage Lot21"/>
    <x v="17"/>
    <x v="13"/>
    <x v="2"/>
    <x v="2"/>
    <x v="14"/>
    <x v="2"/>
    <s v="https://tools.sig.systems/site/details/144"/>
    <m/>
    <x v="1"/>
    <x v="0"/>
    <x v="13"/>
    <x v="5"/>
    <x v="0"/>
    <x v="12"/>
    <x v="14"/>
    <x v="14"/>
  </r>
  <r>
    <s v="(ML) McLarty-Gray Daniels Chevrolet21"/>
    <x v="17"/>
    <x v="13"/>
    <x v="1"/>
    <x v="1"/>
    <x v="109"/>
    <x v="1"/>
    <s v="https://tools.sig.systems/site/details/150"/>
    <m/>
    <x v="1"/>
    <x v="0"/>
    <x v="74"/>
    <x v="0"/>
    <x v="0"/>
    <x v="73"/>
    <x v="80"/>
    <x v="108"/>
  </r>
  <r>
    <s v="(AS) Coggin Honda Ft. Pierce (NO TOURS)21"/>
    <x v="17"/>
    <x v="14"/>
    <x v="0"/>
    <x v="0"/>
    <x v="0"/>
    <x v="0"/>
    <s v="https://tools.sig.systems/site/details/120"/>
    <s v="https://www.google.com/maps/d/viewer?mid=1AyViBuyeq7iwDua1SVudJ2A1BYi3IBA&amp;ll=27.38181516363982%2C-80.32568845000002&amp;z=18"/>
    <x v="0"/>
    <x v="0"/>
    <x v="0"/>
    <x v="0"/>
    <x v="0"/>
    <x v="0"/>
    <x v="0"/>
    <x v="0"/>
  </r>
  <r>
    <s v="(AS) Lexus Plano I &amp; II (NO TOURS)21"/>
    <x v="17"/>
    <x v="14"/>
    <x v="1"/>
    <x v="1"/>
    <x v="1"/>
    <x v="1"/>
    <s v="https://tools.sig.systems/site/details/167"/>
    <s v="https://www.google.com/maps/d/viewer?mid=1wg5suxVuxeNp_irHlvN772HcwD6W89E&amp;ll=33.06373951220261%2C-96.82758025000001&amp;z=18"/>
    <x v="1"/>
    <x v="0"/>
    <x v="1"/>
    <x v="0"/>
    <x v="1"/>
    <x v="1"/>
    <x v="1"/>
    <x v="1"/>
  </r>
  <r>
    <s v="(AS) Plaza Audi/Infiniti (NO TOURS)21"/>
    <x v="17"/>
    <x v="14"/>
    <x v="1"/>
    <x v="1"/>
    <x v="95"/>
    <x v="1"/>
    <s v="https://tools.sig.systems/site/details/141"/>
    <s v="https://www.google.com/maps/d/viewer?mid=1whGZ1PLqmhJnGFz8uigZqUL4cHGGW3w&amp;ll=38.668847686454825%2C-90.4433601&amp;z=17"/>
    <x v="1"/>
    <x v="0"/>
    <x v="68"/>
    <x v="35"/>
    <x v="0"/>
    <x v="65"/>
    <x v="67"/>
    <x v="63"/>
  </r>
  <r>
    <s v="(AS) Stevinson JLR (NO TOURS)21"/>
    <x v="17"/>
    <x v="14"/>
    <x v="3"/>
    <x v="2"/>
    <x v="64"/>
    <x v="3"/>
    <s v="https://tools.sig.systems/site/details/204"/>
    <m/>
    <x v="1"/>
    <x v="0"/>
    <x v="49"/>
    <x v="1"/>
    <x v="0"/>
    <x v="44"/>
    <x v="48"/>
    <x v="64"/>
  </r>
  <r>
    <s v="(PE) JLR Darien PDI (NO TOURS)21"/>
    <x v="17"/>
    <x v="14"/>
    <x v="4"/>
    <x v="0"/>
    <x v="112"/>
    <x v="0"/>
    <s v="https://tools.sig.systems/site/details/187"/>
    <s v="https://www.google.com/maps/d/viewer?mid=1ebZp8DeTYSXNPgDIA63nFVDu9ohaO4E&amp;ll=41.08027837958441%2C-73.46597874999999&amp;z=15"/>
    <x v="1"/>
    <x v="0"/>
    <x v="6"/>
    <x v="0"/>
    <x v="0"/>
    <x v="74"/>
    <x v="83"/>
    <x v="111"/>
  </r>
  <r>
    <s v="(AS) Coggin Acura Ft Pierce (NO TOURS)21"/>
    <x v="17"/>
    <x v="15"/>
    <x v="0"/>
    <x v="0"/>
    <x v="27"/>
    <x v="0"/>
    <s v="https://tools.sig.systems/site/details/118"/>
    <s v="https://www.google.com/maps/d/viewer?mid=1AyViBuyeq7iwDua1SVudJ2A1BYi3IBA&amp;ll=27.38181516363982%2C-80.32568845000002&amp;z=18"/>
    <x v="1"/>
    <x v="0"/>
    <x v="3"/>
    <x v="12"/>
    <x v="0"/>
    <x v="21"/>
    <x v="19"/>
    <x v="27"/>
  </r>
  <r>
    <s v="(AS) Park Place Acura (NO TOURS)21"/>
    <x v="17"/>
    <x v="15"/>
    <x v="1"/>
    <x v="1"/>
    <x v="32"/>
    <x v="1"/>
    <s v="https://tools.sig.systems/site/details/259"/>
    <s v="https://www.google.com/maps/d/viewer?mid=1wg5suxVuxeNp_irHlvN772HcwD6W89E&amp;ll=33.06373951220261%2C-96.82758025000001&amp;z=18"/>
    <x v="1"/>
    <x v="0"/>
    <x v="25"/>
    <x v="0"/>
    <x v="0"/>
    <x v="25"/>
    <x v="11"/>
    <x v="32"/>
  </r>
  <r>
    <s v="(DT) W Houston21"/>
    <x v="17"/>
    <x v="15"/>
    <x v="1"/>
    <x v="1"/>
    <x v="10"/>
    <x v="1"/>
    <s v="https://tools.sig.systems/site/details/197"/>
    <m/>
    <x v="1"/>
    <x v="0"/>
    <x v="9"/>
    <x v="2"/>
    <x v="0"/>
    <x v="9"/>
    <x v="10"/>
    <x v="10"/>
  </r>
  <r>
    <s v="(HUD) Honda Greensboro21"/>
    <x v="17"/>
    <x v="15"/>
    <x v="0"/>
    <x v="0"/>
    <x v="37"/>
    <x v="0"/>
    <s v="https://tools.sig.systems/site/details/230"/>
    <s v="AS/ HUD - Crown Greensboro - Google My Maps"/>
    <x v="1"/>
    <x v="0"/>
    <x v="28"/>
    <x v="0"/>
    <x v="0"/>
    <x v="28"/>
    <x v="31"/>
    <x v="37"/>
  </r>
  <r>
    <s v="(ML) Honda of Little Rock21"/>
    <x v="17"/>
    <x v="15"/>
    <x v="1"/>
    <x v="1"/>
    <x v="16"/>
    <x v="1"/>
    <s v="https://tools.sig.systems/site/details/249"/>
    <s v="https://www.google.com/maps/d/viewer?mid=1hvbKFMO-d5TXrKGU-g5dt_xcdArB1D0&amp;ll=34.71147784120261%2C-92.40574350000001&amp;z=17"/>
    <x v="1"/>
    <x v="0"/>
    <x v="15"/>
    <x v="0"/>
    <x v="0"/>
    <x v="14"/>
    <x v="15"/>
    <x v="16"/>
  </r>
  <r>
    <s v="(ML) McLarty Gray-Daniels Toyota Nissan21"/>
    <x v="17"/>
    <x v="15"/>
    <x v="1"/>
    <x v="1"/>
    <x v="108"/>
    <x v="1"/>
    <s v="https://tools.sig.systems/site/details/152"/>
    <s v="https://www.google.com/maps/d/edit?mid=111nhCL4Xjj2Pq0zP5xUrMzHQqAihqa0&amp;usp=sharing"/>
    <x v="1"/>
    <x v="0"/>
    <x v="3"/>
    <x v="40"/>
    <x v="0"/>
    <x v="72"/>
    <x v="79"/>
    <x v="107"/>
  </r>
  <r>
    <s v="(AS) Audi of North Atlanta (NO TOURS)21"/>
    <x v="17"/>
    <x v="16"/>
    <x v="0"/>
    <x v="0"/>
    <x v="87"/>
    <x v="0"/>
    <s v="https://tools.sig.systems/site/details/124"/>
    <s v="https://www.google.com/maps/d/edit?mid=1jkN3DS1BhUqp_dztjjW0PDwKfo_Yxsw&amp;usp=sharing"/>
    <x v="1"/>
    <x v="0"/>
    <x v="62"/>
    <x v="0"/>
    <x v="0"/>
    <x v="57"/>
    <x v="61"/>
    <x v="87"/>
  </r>
  <r>
    <s v="(AS) Stevinson Porsche of Littleton (NO TOURS)21"/>
    <x v="17"/>
    <x v="16"/>
    <x v="3"/>
    <x v="2"/>
    <x v="7"/>
    <x v="3"/>
    <s v="https://tools.sig.systems/site/details/242"/>
    <m/>
    <x v="1"/>
    <x v="0"/>
    <x v="7"/>
    <x v="2"/>
    <x v="0"/>
    <x v="6"/>
    <x v="7"/>
    <x v="7"/>
  </r>
  <r>
    <s v="(KG) Baytown GMC Buick - Remote Lot (NO TOURS)21"/>
    <x v="17"/>
    <x v="16"/>
    <x v="2"/>
    <x v="1"/>
    <x v="70"/>
    <x v="2"/>
    <s v="https://tools.sig.systems/site/details/311"/>
    <m/>
    <x v="1"/>
    <x v="3"/>
    <x v="3"/>
    <x v="25"/>
    <x v="0"/>
    <x v="6"/>
    <x v="11"/>
    <x v="70"/>
  </r>
  <r>
    <s v="(KG) Baytown GMC Buick (NO TOURS)21"/>
    <x v="17"/>
    <x v="16"/>
    <x v="1"/>
    <x v="1"/>
    <x v="71"/>
    <x v="1"/>
    <s v="https://tools.sig.systems/site/details/239"/>
    <m/>
    <x v="1"/>
    <x v="0"/>
    <x v="52"/>
    <x v="0"/>
    <x v="0"/>
    <x v="47"/>
    <x v="53"/>
    <x v="71"/>
  </r>
  <r>
    <s v="(ML) McLarty Gray-Daniels Ford Lincoln21"/>
    <x v="17"/>
    <x v="16"/>
    <x v="1"/>
    <x v="1"/>
    <x v="79"/>
    <x v="1"/>
    <s v="https://tools.sig.systems/site/details/151"/>
    <s v="https://www.google.com/maps/d/edit?mid=111nhCL4Xjj2Pq0zP5xUrMzHQqAihqa0&amp;usp=sharing"/>
    <x v="1"/>
    <x v="0"/>
    <x v="56"/>
    <x v="29"/>
    <x v="0"/>
    <x v="53"/>
    <x v="57"/>
    <x v="79"/>
  </r>
  <r>
    <s v="(ML) Nissan of North Little Rock21"/>
    <x v="17"/>
    <x v="16"/>
    <x v="1"/>
    <x v="1"/>
    <x v="20"/>
    <x v="1"/>
    <s v="https://tools.sig.systems/site/details/216"/>
    <s v="https://www.google.com/maps/d/edit?mid=1Oky35ERk_2kgyzCvDu_odQ2ZP62BtqA&amp;usp=sharing"/>
    <x v="1"/>
    <x v="0"/>
    <x v="16"/>
    <x v="0"/>
    <x v="0"/>
    <x v="18"/>
    <x v="17"/>
    <x v="20"/>
  </r>
  <r>
    <s v="(AS) Courtesy Kia of Brandon (NO TOURS)21"/>
    <x v="17"/>
    <x v="17"/>
    <x v="0"/>
    <x v="0"/>
    <x v="57"/>
    <x v="0"/>
    <s v="https://tools.sig.systems/site/details/121"/>
    <s v="https://www.google.com/maps/d/edit?mid=15R4hTDQx56ij99--JgozdqOIZh-kSlk&amp;usp=sharing"/>
    <x v="0"/>
    <x v="0"/>
    <x v="3"/>
    <x v="22"/>
    <x v="0"/>
    <x v="38"/>
    <x v="43"/>
    <x v="57"/>
  </r>
  <r>
    <s v="(AS) Lexus Grapevine I &amp; II (NO TOURS)21"/>
    <x v="17"/>
    <x v="17"/>
    <x v="1"/>
    <x v="1"/>
    <x v="29"/>
    <x v="1"/>
    <s v="https://tools.sig.systems/site/details/136"/>
    <m/>
    <x v="1"/>
    <x v="0"/>
    <x v="23"/>
    <x v="0"/>
    <x v="7"/>
    <x v="23"/>
    <x v="24"/>
    <x v="29"/>
  </r>
  <r>
    <s v="(AS) Nalley Luxury Collision Center (NO TOURS)21"/>
    <x v="17"/>
    <x v="17"/>
    <x v="0"/>
    <x v="0"/>
    <x v="31"/>
    <x v="0"/>
    <s v="https://tools.sig.systems/site/details/263"/>
    <s v="https://www.google.com/maps/d/edit?mid=1jkN3DS1BhUqp_dztjjW0PDwKfo_Yxsw&amp;usp=sharing"/>
    <x v="1"/>
    <x v="0"/>
    <x v="4"/>
    <x v="0"/>
    <x v="0"/>
    <x v="6"/>
    <x v="26"/>
    <x v="31"/>
  </r>
  <r>
    <s v="(KG) JLR LEHI (NO TOURS)21"/>
    <x v="17"/>
    <x v="17"/>
    <x v="3"/>
    <x v="2"/>
    <x v="73"/>
    <x v="3"/>
    <s v="https://tools.sig.systems/site/details/145"/>
    <m/>
    <x v="1"/>
    <x v="0"/>
    <x v="54"/>
    <x v="0"/>
    <x v="0"/>
    <x v="49"/>
    <x v="11"/>
    <x v="73"/>
  </r>
  <r>
    <s v="(ML) Mazda VW-Lot B21"/>
    <x v="17"/>
    <x v="17"/>
    <x v="1"/>
    <x v="1"/>
    <x v="45"/>
    <x v="1"/>
    <s v="https://tools.sig.systems/site/details/205"/>
    <s v="https://www.google.com/maps/d/edit?mid=1Oky35ERk_2kgyzCvDu_odQ2ZP62BtqA&amp;usp=sharing"/>
    <x v="1"/>
    <x v="0"/>
    <x v="33"/>
    <x v="9"/>
    <x v="0"/>
    <x v="30"/>
    <x v="11"/>
    <x v="45"/>
  </r>
  <r>
    <s v="(AS) Park Place JLR DFW Airport (NO TOURS)21"/>
    <x v="17"/>
    <x v="18"/>
    <x v="1"/>
    <x v="1"/>
    <x v="93"/>
    <x v="1"/>
    <s v="https://tools.sig.systems/site/details/135"/>
    <m/>
    <x v="1"/>
    <x v="0"/>
    <x v="67"/>
    <x v="33"/>
    <x v="13"/>
    <x v="63"/>
    <x v="65"/>
    <x v="93"/>
  </r>
  <r>
    <s v="(AS) Stevinson Chevrolet Golden (NO TOURS)21"/>
    <x v="17"/>
    <x v="18"/>
    <x v="7"/>
    <x v="2"/>
    <x v="96"/>
    <x v="3"/>
    <s v="https://tools.sig.systems/site/details/264"/>
    <s v="https://www.google.com/maps/d/edit?mid=1nAyK85WaWREy0lfxnmWn3USs2gC0nP0&amp;usp=sharing"/>
    <x v="1"/>
    <x v="0"/>
    <x v="3"/>
    <x v="36"/>
    <x v="0"/>
    <x v="66"/>
    <x v="68"/>
    <x v="95"/>
  </r>
  <r>
    <s v="(DT) Colorado Springs (NO TOURS)21"/>
    <x v="17"/>
    <x v="18"/>
    <x v="3"/>
    <x v="2"/>
    <x v="65"/>
    <x v="3"/>
    <s v="https://tools.sig.systems/site/details/198"/>
    <m/>
    <x v="1"/>
    <x v="0"/>
    <x v="3"/>
    <x v="24"/>
    <x v="0"/>
    <x v="6"/>
    <x v="49"/>
    <x v="65"/>
  </r>
  <r>
    <s v="(KG) Clear Lake Pre-Owned21"/>
    <x v="17"/>
    <x v="18"/>
    <x v="1"/>
    <x v="1"/>
    <x v="39"/>
    <x v="1"/>
    <s v="https://tools.sig.systems/site/details/255"/>
    <s v="https://www.google.com/maps/d/edit?mid=1DRwy5fy1g5UzGTA7a1OkQA-_CY8SQ2s&amp;usp=sharing"/>
    <x v="1"/>
    <x v="0"/>
    <x v="29"/>
    <x v="0"/>
    <x v="0"/>
    <x v="29"/>
    <x v="32"/>
    <x v="39"/>
  </r>
  <r>
    <s v="(ML) Collision Center N Little Rock21"/>
    <x v="17"/>
    <x v="18"/>
    <x v="1"/>
    <x v="1"/>
    <x v="106"/>
    <x v="1"/>
    <s v="https://tools.sig.systems/site/details/212"/>
    <s v="https://www.google.com/maps/d/edit?mid=1Oky35ERk_2kgyzCvDu_odQ2ZP62BtqA&amp;usp=sharing"/>
    <x v="1"/>
    <x v="0"/>
    <x v="3"/>
    <x v="0"/>
    <x v="0"/>
    <x v="6"/>
    <x v="77"/>
    <x v="105"/>
  </r>
  <r>
    <s v="(RV) Toms Camperland Surprise (NO TOURS)21"/>
    <x v="17"/>
    <x v="18"/>
    <x v="5"/>
    <x v="3"/>
    <x v="51"/>
    <x v="4"/>
    <s v="https://tools.sig.systems/site/details/254"/>
    <m/>
    <x v="5"/>
    <x v="0"/>
    <x v="38"/>
    <x v="0"/>
    <x v="0"/>
    <x v="6"/>
    <x v="37"/>
    <x v="51"/>
  </r>
  <r>
    <s v="(AS) Courtesy CDJR of Brandon (NO TOURS)21"/>
    <x v="17"/>
    <x v="19"/>
    <x v="0"/>
    <x v="0"/>
    <x v="56"/>
    <x v="0"/>
    <s v="https://tools.sig.systems/site/details/126"/>
    <s v="https://www.google.com/maps/d/edit?mid=15R4hTDQx56ij99--JgozdqOIZh-kSlk&amp;usp=sharing"/>
    <x v="0"/>
    <x v="0"/>
    <x v="42"/>
    <x v="9"/>
    <x v="0"/>
    <x v="37"/>
    <x v="42"/>
    <x v="56"/>
  </r>
  <r>
    <s v="(KG) Big Star CDJR of Clear Lake21"/>
    <x v="17"/>
    <x v="19"/>
    <x v="1"/>
    <x v="1"/>
    <x v="101"/>
    <x v="1"/>
    <s v="https://tools.sig.systems/site/details/232"/>
    <s v="https://www.google.com/maps/d/edit?mid=1DRwy5fy1g5UzGTA7a1OkQA-_CY8SQ2s&amp;usp=sharing"/>
    <x v="1"/>
    <x v="0"/>
    <x v="71"/>
    <x v="0"/>
    <x v="0"/>
    <x v="69"/>
    <x v="73"/>
    <x v="100"/>
  </r>
  <r>
    <s v="(KG) Hyundai Surprise21"/>
    <x v="17"/>
    <x v="19"/>
    <x v="5"/>
    <x v="3"/>
    <x v="103"/>
    <x v="4"/>
    <s v="https://tools.sig.systems/site/details/269"/>
    <m/>
    <x v="4"/>
    <x v="0"/>
    <x v="73"/>
    <x v="0"/>
    <x v="0"/>
    <x v="71"/>
    <x v="11"/>
    <x v="102"/>
  </r>
  <r>
    <s v="(ML) Ford Lincoln of North Little Rock21"/>
    <x v="17"/>
    <x v="19"/>
    <x v="1"/>
    <x v="1"/>
    <x v="42"/>
    <x v="1"/>
    <s v="https://tools.sig.systems/site/details/214"/>
    <s v="https://www.google.com/maps/d/edit?mid=1Oky35ERk_2kgyzCvDu_odQ2ZP62BtqA&amp;usp=sharing"/>
    <x v="1"/>
    <x v="0"/>
    <x v="32"/>
    <x v="4"/>
    <x v="0"/>
    <x v="32"/>
    <x v="34"/>
    <x v="42"/>
  </r>
  <r>
    <s v="(PE) BMW Tenafly (NO TOURS)21"/>
    <x v="17"/>
    <x v="19"/>
    <x v="4"/>
    <x v="0"/>
    <x v="48"/>
    <x v="0"/>
    <s v="https://tools.sig.systems/site/details/155"/>
    <m/>
    <x v="1"/>
    <x v="0"/>
    <x v="36"/>
    <x v="18"/>
    <x v="0"/>
    <x v="6"/>
    <x v="19"/>
    <x v="48"/>
  </r>
  <r>
    <s v="(AS) Stevinson Lexus of Lakewood (NO TOURS)21"/>
    <x v="17"/>
    <x v="20"/>
    <x v="3"/>
    <x v="2"/>
    <x v="34"/>
    <x v="3"/>
    <s v="https://tools.sig.systems/site/details/260"/>
    <s v="https://www.google.com/maps/d/edit?mid=1nAyK85WaWREy0lfxnmWn3USs2gC0nP0&amp;usp=sharing"/>
    <x v="1"/>
    <x v="0"/>
    <x v="3"/>
    <x v="14"/>
    <x v="8"/>
    <x v="6"/>
    <x v="28"/>
    <x v="34"/>
  </r>
  <r>
    <s v="(DT) N. Houston21"/>
    <x v="17"/>
    <x v="20"/>
    <x v="1"/>
    <x v="1"/>
    <x v="9"/>
    <x v="1"/>
    <s v="https://tools.sig.systems/site/details/250"/>
    <m/>
    <x v="1"/>
    <x v="0"/>
    <x v="8"/>
    <x v="0"/>
    <x v="0"/>
    <x v="8"/>
    <x v="9"/>
    <x v="9"/>
  </r>
  <r>
    <s v="(KG) Kia of Phoenix (NO TOURS)21"/>
    <x v="17"/>
    <x v="20"/>
    <x v="5"/>
    <x v="3"/>
    <x v="40"/>
    <x v="4"/>
    <s v="https://tools.sig.systems/site/details/262"/>
    <m/>
    <x v="4"/>
    <x v="0"/>
    <x v="30"/>
    <x v="0"/>
    <x v="0"/>
    <x v="30"/>
    <x v="11"/>
    <x v="40"/>
  </r>
  <r>
    <s v="(KT) Northwest CDJR (NO TOURS)21"/>
    <x v="17"/>
    <x v="20"/>
    <x v="1"/>
    <x v="1"/>
    <x v="15"/>
    <x v="1"/>
    <s v="https://tools.sig.systems/site/details/229"/>
    <m/>
    <x v="1"/>
    <x v="0"/>
    <x v="14"/>
    <x v="0"/>
    <x v="0"/>
    <x v="13"/>
    <x v="11"/>
    <x v="15"/>
  </r>
  <r>
    <s v="(ML) Toyota N Little Rock21"/>
    <x v="17"/>
    <x v="20"/>
    <x v="1"/>
    <x v="1"/>
    <x v="21"/>
    <x v="1"/>
    <s v="https://tools.sig.systems/site/details/201"/>
    <s v="https://www.google.com/maps/d/edit?mid=1Oky35ERk_2kgyzCvDu_odQ2ZP62BtqA&amp;usp=sharing"/>
    <x v="1"/>
    <x v="0"/>
    <x v="17"/>
    <x v="0"/>
    <x v="0"/>
    <x v="19"/>
    <x v="11"/>
    <x v="21"/>
  </r>
  <r>
    <s v="(RV) Sonny's Camp N Travel Concord21"/>
    <x v="17"/>
    <x v="20"/>
    <x v="0"/>
    <x v="0"/>
    <x v="114"/>
    <x v="0"/>
    <s v="https://tools.sig.systems/site/details/183"/>
    <m/>
    <x v="1"/>
    <x v="0"/>
    <x v="6"/>
    <x v="0"/>
    <x v="0"/>
    <x v="76"/>
    <x v="84"/>
    <x v="113"/>
  </r>
  <r>
    <s v="(TC) Tavernier Creek Marina (NO TOURS)21"/>
    <x v="17"/>
    <x v="20"/>
    <x v="0"/>
    <x v="0"/>
    <x v="84"/>
    <x v="1"/>
    <s v="https://tools.sig.systems/site/details/164"/>
    <m/>
    <x v="6"/>
    <x v="0"/>
    <x v="60"/>
    <x v="0"/>
    <x v="0"/>
    <x v="6"/>
    <x v="59"/>
    <x v="84"/>
  </r>
  <r>
    <s v="(AS) Park Place Bodywerks Ft. Worth (NO TOURS)22"/>
    <x v="18"/>
    <x v="0"/>
    <x v="1"/>
    <x v="1"/>
    <x v="92"/>
    <x v="1"/>
    <s v="https://tools.sig.systems/site/details/134"/>
    <s v="https://www.google.com/maps/d/edit?mid=18OEO_KbvYcgI3N1jE4gTMXfNHTNDrFU&amp;ll=32.66603989958274%2C-97.42021198201722&amp;z=18"/>
    <x v="1"/>
    <x v="0"/>
    <x v="66"/>
    <x v="0"/>
    <x v="0"/>
    <x v="62"/>
    <x v="64"/>
    <x v="92"/>
  </r>
  <r>
    <s v="(DT) Louisville22"/>
    <x v="18"/>
    <x v="0"/>
    <x v="0"/>
    <x v="0"/>
    <x v="67"/>
    <x v="0"/>
    <s v="https://tools.sig.systems/site/details/258"/>
    <m/>
    <x v="1"/>
    <x v="0"/>
    <x v="3"/>
    <x v="16"/>
    <x v="0"/>
    <x v="6"/>
    <x v="50"/>
    <x v="67"/>
  </r>
  <r>
    <s v="(ML) Nissan Of Benton22"/>
    <x v="18"/>
    <x v="0"/>
    <x v="1"/>
    <x v="1"/>
    <x v="80"/>
    <x v="1"/>
    <s v="https://tools.sig.systems/site/details/247"/>
    <m/>
    <x v="1"/>
    <x v="0"/>
    <x v="57"/>
    <x v="0"/>
    <x v="0"/>
    <x v="54"/>
    <x v="11"/>
    <x v="80"/>
  </r>
  <r>
    <s v="(PE) Hudson Toyota Nissan CDJR (NO TOURS)22"/>
    <x v="18"/>
    <x v="0"/>
    <x v="4"/>
    <x v="0"/>
    <x v="81"/>
    <x v="0"/>
    <s v="https://tools.sig.systems/site/details/156"/>
    <m/>
    <x v="1"/>
    <x v="0"/>
    <x v="49"/>
    <x v="30"/>
    <x v="0"/>
    <x v="55"/>
    <x v="58"/>
    <x v="81"/>
  </r>
  <r>
    <s v="(PE) Scofield Service Center (NO TOURS)22"/>
    <x v="18"/>
    <x v="0"/>
    <x v="4"/>
    <x v="0"/>
    <x v="113"/>
    <x v="0"/>
    <s v="https://tools.sig.systems/site/details/193"/>
    <s v="https://www.google.com/maps/d/viewer?mid=1FEo41PzFJQjUIXXKitX5TNCtuqR6Vbs&amp;ll=41.1663376742533%2C-73.22955662049608&amp;z=16"/>
    <x v="1"/>
    <x v="0"/>
    <x v="6"/>
    <x v="0"/>
    <x v="0"/>
    <x v="75"/>
    <x v="51"/>
    <x v="112"/>
  </r>
  <r>
    <s v="(RV) Toms Camperland Avondale (NO TOURS)22"/>
    <x v="18"/>
    <x v="0"/>
    <x v="5"/>
    <x v="3"/>
    <x v="24"/>
    <x v="4"/>
    <s v="https://tools.sig.systems/site/details/248"/>
    <s v="https://www.google.com/maps/d/viewer?mid=1bDs0QGFZwL3vEeGKxjVMk_j4azr0-lg&amp;ll=33.4593758581648%2C-112.28793780000001&amp;z=18"/>
    <x v="2"/>
    <x v="0"/>
    <x v="19"/>
    <x v="10"/>
    <x v="0"/>
    <x v="6"/>
    <x v="20"/>
    <x v="24"/>
  </r>
  <r>
    <s v="(AS) Plano Auction (NO SPEAKERS)22"/>
    <x v="18"/>
    <x v="1"/>
    <x v="1"/>
    <x v="1"/>
    <x v="94"/>
    <x v="1"/>
    <s v="https://tools.sig.systems/site/details/140"/>
    <m/>
    <x v="1"/>
    <x v="0"/>
    <x v="3"/>
    <x v="34"/>
    <x v="0"/>
    <x v="64"/>
    <x v="66"/>
    <x v="94"/>
  </r>
  <r>
    <s v="(JE) Jim Ellis Ford Sandy Springs22"/>
    <x v="18"/>
    <x v="1"/>
    <x v="0"/>
    <x v="0"/>
    <x v="69"/>
    <x v="0"/>
    <s v="https://tools.sig.systems/site/details/142"/>
    <m/>
    <x v="1"/>
    <x v="0"/>
    <x v="51"/>
    <x v="0"/>
    <x v="0"/>
    <x v="46"/>
    <x v="52"/>
    <x v="69"/>
  </r>
  <r>
    <s v="(KG) Texan CDJR22"/>
    <x v="18"/>
    <x v="1"/>
    <x v="1"/>
    <x v="1"/>
    <x v="13"/>
    <x v="1"/>
    <s v="https://tools.sig.systems/site/details/238"/>
    <s v="https://www.google.com/maps/d/edit?mid=1FNqK4dW8Z8gtSWuQLbStrtqe7lH8DIQ&amp;usp=sharing"/>
    <x v="1"/>
    <x v="0"/>
    <x v="12"/>
    <x v="0"/>
    <x v="5"/>
    <x v="11"/>
    <x v="13"/>
    <x v="13"/>
  </r>
  <r>
    <s v="(ML) Columbia Honda (NO TOURS)22"/>
    <x v="18"/>
    <x v="1"/>
    <x v="1"/>
    <x v="1"/>
    <x v="75"/>
    <x v="1"/>
    <s v="https://tools.sig.systems/site/details/272"/>
    <s v="https://www.google.com/maps/d/viewer?hl=es&amp;mid=1C1oZdjH3dNvCvqdpIv_Lk0Yn1OCVn-4&amp;ll=38.965368114274426%2C-92.3405954&amp;z=15"/>
    <x v="1"/>
    <x v="0"/>
    <x v="3"/>
    <x v="26"/>
    <x v="0"/>
    <x v="50"/>
    <x v="56"/>
    <x v="75"/>
  </r>
  <r>
    <s v="(PE) BMW Tenafly (NO TOURS)22"/>
    <x v="18"/>
    <x v="1"/>
    <x v="4"/>
    <x v="0"/>
    <x v="48"/>
    <x v="0"/>
    <s v="https://tools.sig.systems/site/details/155"/>
    <m/>
    <x v="1"/>
    <x v="0"/>
    <x v="36"/>
    <x v="18"/>
    <x v="0"/>
    <x v="6"/>
    <x v="19"/>
    <x v="48"/>
  </r>
  <r>
    <s v="(RV) Toms Camperland Mesa (NO TOURS)22"/>
    <x v="18"/>
    <x v="1"/>
    <x v="5"/>
    <x v="3"/>
    <x v="25"/>
    <x v="4"/>
    <s v="https://tools.sig.systems/site/details/222"/>
    <m/>
    <x v="1"/>
    <x v="0"/>
    <x v="20"/>
    <x v="0"/>
    <x v="0"/>
    <x v="6"/>
    <x v="21"/>
    <x v="25"/>
  </r>
  <r>
    <s v="(AS) Bill Estes Ford (NO TOURS)22"/>
    <x v="18"/>
    <x v="2"/>
    <x v="0"/>
    <x v="0"/>
    <x v="55"/>
    <x v="0"/>
    <s v="https://tools.sig.systems/site/details/125"/>
    <m/>
    <x v="1"/>
    <x v="0"/>
    <x v="3"/>
    <x v="21"/>
    <x v="0"/>
    <x v="36"/>
    <x v="41"/>
    <x v="55"/>
  </r>
  <r>
    <s v="(AS) Park Place Mercedes Benz Arlington (NO TOURS)22"/>
    <x v="18"/>
    <x v="2"/>
    <x v="1"/>
    <x v="1"/>
    <x v="61"/>
    <x v="1"/>
    <s v="https://tools.sig.systems/site/details/169"/>
    <m/>
    <x v="1"/>
    <x v="0"/>
    <x v="46"/>
    <x v="0"/>
    <x v="11"/>
    <x v="41"/>
    <x v="46"/>
    <x v="61"/>
  </r>
  <r>
    <s v="(KG) Texan GMC Buick (NO TOURS)22"/>
    <x v="18"/>
    <x v="2"/>
    <x v="1"/>
    <x v="1"/>
    <x v="41"/>
    <x v="1"/>
    <s v="https://tools.sig.systems/site/details/225"/>
    <s v="https://www.google.com/maps/d/edit?mid=1FNqK4dW8Z8gtSWuQLbStrtqe7lH8DIQ&amp;usp=sharing"/>
    <x v="1"/>
    <x v="0"/>
    <x v="31"/>
    <x v="0"/>
    <x v="0"/>
    <x v="31"/>
    <x v="33"/>
    <x v="41"/>
  </r>
  <r>
    <s v="(LM) Luther Mazda / Mitsubishi22"/>
    <x v="18"/>
    <x v="2"/>
    <x v="1"/>
    <x v="1"/>
    <x v="74"/>
    <x v="1"/>
    <s v="https://tools.sig.systems/site/details/147"/>
    <s v="https://www.google.com/maps/d/viewer?mid=1ot0ILX76JMuvd9yMuqkb4_e0yH1n7TA&amp;ll=45.07815812965141%2C-93.33506855000002&amp;z=17"/>
    <x v="1"/>
    <x v="0"/>
    <x v="55"/>
    <x v="0"/>
    <x v="12"/>
    <x v="6"/>
    <x v="55"/>
    <x v="74"/>
  </r>
  <r>
    <s v="(ML) Joe Machens CDJR22"/>
    <x v="18"/>
    <x v="2"/>
    <x v="1"/>
    <x v="1"/>
    <x v="43"/>
    <x v="1"/>
    <s v="https://tools.sig.systems/site/details/273"/>
    <s v="https://www.google.com/maps/d/viewer?hl=es&amp;mid=1C1oZdjH3dNvCvqdpIv_Lk0Yn1OCVn-4&amp;ll=38.965368114274455%2C-92.3405954&amp;z=15"/>
    <x v="1"/>
    <x v="0"/>
    <x v="3"/>
    <x v="16"/>
    <x v="0"/>
    <x v="6"/>
    <x v="35"/>
    <x v="43"/>
  </r>
  <r>
    <s v="(PE) BMW of Greenwich (NO TOURS)22"/>
    <x v="18"/>
    <x v="2"/>
    <x v="4"/>
    <x v="0"/>
    <x v="110"/>
    <x v="0"/>
    <s v="https://tools.sig.systems/site/details/186"/>
    <s v="https://www.google.com/maps/d/edit?hl=en&amp;mid=1UHmt7tH1ihTa85i0MfQIcTfVvIQg_vM&amp;ll=41.024187580466844%2C-73.63702405370861&amp;z=18"/>
    <x v="1"/>
    <x v="0"/>
    <x v="75"/>
    <x v="0"/>
    <x v="0"/>
    <x v="6"/>
    <x v="81"/>
    <x v="109"/>
  </r>
  <r>
    <s v="(AS) Park Place Volvo Sales (NO TOURS)22"/>
    <x v="18"/>
    <x v="3"/>
    <x v="1"/>
    <x v="1"/>
    <x v="33"/>
    <x v="1"/>
    <s v="https://tools.sig.systems/site/details/139"/>
    <s v="https://www.google.com/maps/d/edit?hl=es&amp;mid=1uPmsRMsXnp74hPFW2t-sp2totVWF_xY&amp;ll=32.83050137713022%2C-96.83197783061323&amp;z=17"/>
    <x v="1"/>
    <x v="0"/>
    <x v="26"/>
    <x v="0"/>
    <x v="0"/>
    <x v="26"/>
    <x v="27"/>
    <x v="33"/>
  </r>
  <r>
    <s v="(AS) Park Place Volvo Service Center (NO TOURS)22"/>
    <x v="18"/>
    <x v="3"/>
    <x v="1"/>
    <x v="1"/>
    <x v="62"/>
    <x v="1"/>
    <s v="https://tools.sig.systems/site/details/171"/>
    <s v="https://www.google.com/maps/d/edit?hl=es&amp;mid=1uPmsRMsXnp74hPFW2t-sp2totVWF_xY&amp;ll=32.83050137713022%2C-96.83197783061323&amp;z=17"/>
    <x v="1"/>
    <x v="0"/>
    <x v="47"/>
    <x v="0"/>
    <x v="0"/>
    <x v="42"/>
    <x v="11"/>
    <x v="62"/>
  </r>
  <r>
    <s v="(DT) Denver (NO TOURS)22"/>
    <x v="18"/>
    <x v="3"/>
    <x v="3"/>
    <x v="2"/>
    <x v="97"/>
    <x v="3"/>
    <s v="https://tools.sig.systems/site/details/203"/>
    <s v="https://www.google.com/maps/d/edit?mid=1AjZHz2LTg0RMhZUOmyZsv_Y4MFcaP8g&amp;usp=sharing"/>
    <x v="1"/>
    <x v="0"/>
    <x v="3"/>
    <x v="25"/>
    <x v="0"/>
    <x v="6"/>
    <x v="69"/>
    <x v="96"/>
  </r>
  <r>
    <s v="(ML) Joe Machens VW22"/>
    <x v="18"/>
    <x v="3"/>
    <x v="1"/>
    <x v="1"/>
    <x v="19"/>
    <x v="1"/>
    <s v="https://tools.sig.systems/site/details/274"/>
    <s v="https://www.google.com/maps/d/viewer?hl=es&amp;mid=1C1oZdjH3dNvCvqdpIv_Lk0Yn1OCVn-4&amp;ll=38.965368114274455%2C-92.3405954&amp;z=15"/>
    <x v="1"/>
    <x v="0"/>
    <x v="3"/>
    <x v="8"/>
    <x v="0"/>
    <x v="17"/>
    <x v="11"/>
    <x v="19"/>
  </r>
  <r>
    <s v="(ML) Nissan of Little Rock22"/>
    <x v="18"/>
    <x v="3"/>
    <x v="1"/>
    <x v="1"/>
    <x v="46"/>
    <x v="1"/>
    <s v="https://tools.sig.systems/site/details/224"/>
    <s v="https://www.google.com/maps/d/viewer?mid=1hvbKFMO-d5TXrKGU-g5dt_xcdArB1D0&amp;ll=34.71147784120261%2C-92.40574350000001&amp;z=17"/>
    <x v="1"/>
    <x v="0"/>
    <x v="34"/>
    <x v="0"/>
    <x v="0"/>
    <x v="34"/>
    <x v="7"/>
    <x v="46"/>
  </r>
  <r>
    <s v="(SCH) Chevrolet North Palm22"/>
    <x v="18"/>
    <x v="3"/>
    <x v="0"/>
    <x v="0"/>
    <x v="52"/>
    <x v="0"/>
    <s v="https://tools.sig.systems/site/details/160"/>
    <m/>
    <x v="3"/>
    <x v="0"/>
    <x v="39"/>
    <x v="0"/>
    <x v="0"/>
    <x v="6"/>
    <x v="38"/>
    <x v="52"/>
  </r>
  <r>
    <s v="SIG Office22"/>
    <x v="18"/>
    <x v="3"/>
    <x v="2"/>
    <x v="0"/>
    <x v="85"/>
    <x v="2"/>
    <s v="https://tools.sig.systems/site/details/163"/>
    <m/>
    <x v="1"/>
    <x v="0"/>
    <x v="3"/>
    <x v="0"/>
    <x v="0"/>
    <x v="6"/>
    <x v="60"/>
    <x v="85"/>
  </r>
  <r>
    <s v="(AS) Mercedes Benz/Porsche Dallas I,II,III (NO TOURS)22"/>
    <x v="18"/>
    <x v="4"/>
    <x v="1"/>
    <x v="1"/>
    <x v="2"/>
    <x v="1"/>
    <s v="https://tools.sig.systems/site/details/168"/>
    <s v="https://www.google.com/maps/d/edit?hl=es&amp;mid=1uPmsRMsXnp74hPFW2t-sp2totVWF_xY&amp;ll=32.83050137713022%2C-96.83197783061323&amp;z=17"/>
    <x v="1"/>
    <x v="0"/>
    <x v="2"/>
    <x v="0"/>
    <x v="2"/>
    <x v="2"/>
    <x v="2"/>
    <x v="2"/>
  </r>
  <r>
    <s v="(ML) BMW of Little Rock22"/>
    <x v="18"/>
    <x v="4"/>
    <x v="1"/>
    <x v="1"/>
    <x v="105"/>
    <x v="1"/>
    <s v="https://tools.sig.systems/site/details/217"/>
    <s v="https://www.google.com/maps/d/viewer?mid=1hvbKFMO-d5TXrKGU-g5dt_xcdArB1D0&amp;ll=34.71147784120261%2C-92.40574350000001&amp;z=17"/>
    <x v="1"/>
    <x v="0"/>
    <x v="3"/>
    <x v="38"/>
    <x v="0"/>
    <x v="6"/>
    <x v="76"/>
    <x v="104"/>
  </r>
  <r>
    <s v="(ML) Joe Machens Toyota22"/>
    <x v="18"/>
    <x v="4"/>
    <x v="1"/>
    <x v="1"/>
    <x v="18"/>
    <x v="1"/>
    <s v="https://tools.sig.systems/site/details/275"/>
    <s v="https://www.google.com/maps/d/viewer?hl=es&amp;mid=1C1oZdjH3dNvCvqdpIv_Lk0Yn1OCVn-4&amp;ll=38.965368114274455%2C-92.3405954&amp;z=15"/>
    <x v="1"/>
    <x v="0"/>
    <x v="3"/>
    <x v="7"/>
    <x v="0"/>
    <x v="16"/>
    <x v="11"/>
    <x v="18"/>
  </r>
  <r>
    <s v="(PE) JLR PDI (NO TOURS)22"/>
    <x v="18"/>
    <x v="4"/>
    <x v="4"/>
    <x v="0"/>
    <x v="50"/>
    <x v="0"/>
    <s v="https://tools.sig.systems/site/details/179"/>
    <s v="https://www.google.com/maps/d/viewer?mid=1ubI2iKs1JyYXssuT4oLPnVvFnyLPi_s&amp;ll=40.878808846788026%2C-73.98560655&amp;z=17"/>
    <x v="1"/>
    <x v="0"/>
    <x v="37"/>
    <x v="0"/>
    <x v="0"/>
    <x v="6"/>
    <x v="11"/>
    <x v="50"/>
  </r>
  <r>
    <s v="(AS) Park Place Sprinter Van Center (NO TOURS)22"/>
    <x v="18"/>
    <x v="5"/>
    <x v="1"/>
    <x v="1"/>
    <x v="6"/>
    <x v="1"/>
    <s v="https://tools.sig.systems/site/details/138"/>
    <s v="https://www.google.com/maps/d/edit?hl=es&amp;mid=1uPmsRMsXnp74hPFW2t-sp2totVWF_xY&amp;ll=32.83050137713022%2C-96.83197783061323&amp;z=17"/>
    <x v="1"/>
    <x v="0"/>
    <x v="6"/>
    <x v="0"/>
    <x v="0"/>
    <x v="6"/>
    <x v="6"/>
    <x v="6"/>
  </r>
  <r>
    <s v="(HUD) Honda of Southpoint22"/>
    <x v="18"/>
    <x v="5"/>
    <x v="0"/>
    <x v="0"/>
    <x v="11"/>
    <x v="0"/>
    <s v="https://tools.sig.systems/site/details/195"/>
    <m/>
    <x v="0"/>
    <x v="0"/>
    <x v="10"/>
    <x v="4"/>
    <x v="0"/>
    <x v="10"/>
    <x v="11"/>
    <x v="11"/>
  </r>
  <r>
    <s v="(KG) Truck Center Remote Storage Lot22"/>
    <x v="18"/>
    <x v="5"/>
    <x v="2"/>
    <x v="2"/>
    <x v="14"/>
    <x v="2"/>
    <s v="https://tools.sig.systems/site/details/144"/>
    <m/>
    <x v="1"/>
    <x v="0"/>
    <x v="13"/>
    <x v="5"/>
    <x v="0"/>
    <x v="12"/>
    <x v="14"/>
    <x v="14"/>
  </r>
  <r>
    <s v="(ML) Joe Machens E Collision Center22"/>
    <x v="18"/>
    <x v="5"/>
    <x v="1"/>
    <x v="1"/>
    <x v="76"/>
    <x v="1"/>
    <s v="https://tools.sig.systems/site/details/277"/>
    <s v="https://www.google.com/maps/d/viewer?hl=es&amp;mid=1C1oZdjH3dNvCvqdpIv_Lk0Yn1OCVn-4&amp;ll=38.965368114274455%2C-92.3405954&amp;z=15"/>
    <x v="1"/>
    <x v="0"/>
    <x v="6"/>
    <x v="0"/>
    <x v="0"/>
    <x v="51"/>
    <x v="57"/>
    <x v="76"/>
  </r>
  <r>
    <s v="(PE) BMW of Mamaroneck (NO TOURS)22"/>
    <x v="18"/>
    <x v="5"/>
    <x v="4"/>
    <x v="0"/>
    <x v="111"/>
    <x v="0"/>
    <s v="https://tools.sig.systems/site/details/185"/>
    <m/>
    <x v="1"/>
    <x v="0"/>
    <x v="76"/>
    <x v="41"/>
    <x v="0"/>
    <x v="6"/>
    <x v="82"/>
    <x v="110"/>
  </r>
  <r>
    <s v="(RML) Burleson Nissan22"/>
    <x v="18"/>
    <x v="5"/>
    <x v="1"/>
    <x v="1"/>
    <x v="82"/>
    <x v="1"/>
    <s v="https://tools.sig.systems/site/details/202"/>
    <m/>
    <x v="1"/>
    <x v="0"/>
    <x v="58"/>
    <x v="0"/>
    <x v="0"/>
    <x v="56"/>
    <x v="11"/>
    <x v="82"/>
  </r>
  <r>
    <s v="(SCH) Prep Center Delray22"/>
    <x v="18"/>
    <x v="5"/>
    <x v="0"/>
    <x v="0"/>
    <x v="53"/>
    <x v="0"/>
    <s v="https://tools.sig.systems/site/details/321"/>
    <m/>
    <x v="1"/>
    <x v="0"/>
    <x v="40"/>
    <x v="0"/>
    <x v="0"/>
    <x v="6"/>
    <x v="39"/>
    <x v="53"/>
  </r>
  <r>
    <s v="(AS) Atwell Prep Center-Dallas (NO TOURS)22"/>
    <x v="18"/>
    <x v="6"/>
    <x v="1"/>
    <x v="1"/>
    <x v="86"/>
    <x v="1"/>
    <s v="https://tools.sig.systems/site/details/165"/>
    <s v="https://www.google.com/maps/d/edit?hl=es&amp;mid=1uPmsRMsXnp74hPFW2t-sp2totVWF_xY&amp;ll=32.83050137713022%2C-96.83197783061323&amp;z=17"/>
    <x v="1"/>
    <x v="0"/>
    <x v="61"/>
    <x v="0"/>
    <x v="0"/>
    <x v="6"/>
    <x v="28"/>
    <x v="86"/>
  </r>
  <r>
    <s v="(AS) Park Place Mercedes Benz Ft. Worth (NO TOURS)22"/>
    <x v="18"/>
    <x v="6"/>
    <x v="1"/>
    <x v="1"/>
    <x v="5"/>
    <x v="1"/>
    <s v="https://tools.sig.systems/site/details/137"/>
    <s v="https://www.google.com/maps/d/edit?mid=18OEO_KbvYcgI3N1jE4gTMXfNHTNDrFU&amp;ll=32.66603989958274%2C-97.42021198201722&amp;z=18"/>
    <x v="1"/>
    <x v="0"/>
    <x v="5"/>
    <x v="0"/>
    <x v="4"/>
    <x v="5"/>
    <x v="5"/>
    <x v="5"/>
  </r>
  <r>
    <s v="(AS) Stevinson Toyota West (NO TOURS)22"/>
    <x v="18"/>
    <x v="6"/>
    <x v="3"/>
    <x v="2"/>
    <x v="8"/>
    <x v="3"/>
    <s v="https://tools.sig.systems/site/details/240"/>
    <s v="https://www.google.com/maps/d/edit?mid=1nAyK85WaWREy0lfxnmWn3USs2gC0nP0&amp;usp=sharing"/>
    <x v="1"/>
    <x v="0"/>
    <x v="3"/>
    <x v="3"/>
    <x v="0"/>
    <x v="7"/>
    <x v="8"/>
    <x v="8"/>
  </r>
  <r>
    <s v="(ML) Joe Machens Temporary 2.022"/>
    <x v="18"/>
    <x v="6"/>
    <x v="1"/>
    <x v="1"/>
    <x v="44"/>
    <x v="1"/>
    <s v="https://tools.sig.systems/site/details/278"/>
    <s v="https://www.google.com/maps/d/viewer?hl=es&amp;mid=1C1oZdjH3dNvCvqdpIv_Lk0Yn1OCVn-4&amp;ll=38.965368114274455%2C-92.3405954&amp;z=15"/>
    <x v="1"/>
    <x v="0"/>
    <x v="3"/>
    <x v="17"/>
    <x v="0"/>
    <x v="33"/>
    <x v="11"/>
    <x v="44"/>
  </r>
  <r>
    <s v="(SCH) Auto Body Shop Lake Park22"/>
    <x v="18"/>
    <x v="6"/>
    <x v="0"/>
    <x v="0"/>
    <x v="83"/>
    <x v="0"/>
    <s v="https://tools.sig.systems/site/details/158"/>
    <m/>
    <x v="1"/>
    <x v="0"/>
    <x v="59"/>
    <x v="0"/>
    <x v="0"/>
    <x v="6"/>
    <x v="11"/>
    <x v="83"/>
  </r>
  <r>
    <s v="(AS) Courtesy Honda Palm Harbor (NO TOURS)22"/>
    <x v="18"/>
    <x v="7"/>
    <x v="0"/>
    <x v="0"/>
    <x v="88"/>
    <x v="0"/>
    <s v="https://tools.sig.systems/site/details/176"/>
    <m/>
    <x v="3"/>
    <x v="0"/>
    <x v="63"/>
    <x v="0"/>
    <x v="0"/>
    <x v="58"/>
    <x v="24"/>
    <x v="88"/>
  </r>
  <r>
    <s v="(AS) Nalley Lexus &amp; Remote Lot Roswell (NO TOURS)22"/>
    <x v="18"/>
    <x v="7"/>
    <x v="2"/>
    <x v="0"/>
    <x v="4"/>
    <x v="2"/>
    <s v="https://tools.sig.systems/site/details/131"/>
    <s v="https://www.google.com/maps/d/edit?mid=1jkN3DS1BhUqp_dztjjW0PDwKfo_Yxsw&amp;usp=sharing"/>
    <x v="1"/>
    <x v="1"/>
    <x v="4"/>
    <x v="1"/>
    <x v="3"/>
    <x v="4"/>
    <x v="4"/>
    <x v="4"/>
  </r>
  <r>
    <s v="(AS) Park Place Bodywerks Dallas (NO TOURS)22"/>
    <x v="18"/>
    <x v="7"/>
    <x v="1"/>
    <x v="1"/>
    <x v="59"/>
    <x v="1"/>
    <s v="https://tools.sig.systems/site/details/166"/>
    <s v="https://www.google.com/maps/d/edit?hl=es&amp;mid=1uPmsRMsXnp74hPFW2t-sp2totVWF_xY&amp;ll=32.83050137713022%2C-96.83197783061323&amp;z=17"/>
    <x v="1"/>
    <x v="0"/>
    <x v="44"/>
    <x v="9"/>
    <x v="0"/>
    <x v="6"/>
    <x v="45"/>
    <x v="59"/>
  </r>
  <r>
    <s v="(KG) Big Star Honda22"/>
    <x v="18"/>
    <x v="7"/>
    <x v="1"/>
    <x v="1"/>
    <x v="72"/>
    <x v="1"/>
    <s v="https://tools.sig.systems/site/details/231"/>
    <m/>
    <x v="1"/>
    <x v="0"/>
    <x v="53"/>
    <x v="0"/>
    <x v="0"/>
    <x v="48"/>
    <x v="54"/>
    <x v="72"/>
  </r>
  <r>
    <s v="(ML) Joe Machens Nissan22"/>
    <x v="18"/>
    <x v="7"/>
    <x v="1"/>
    <x v="1"/>
    <x v="78"/>
    <x v="1"/>
    <s v="https://tools.sig.systems/site/details/279"/>
    <s v="https://www.google.com/maps/d/viewer?hl=es&amp;mid=1C1oZdjH3dNvCvqdpIv_Lk0Yn1OCVn-4&amp;ll=38.965368114274455%2C-92.3405954&amp;z=15"/>
    <x v="1"/>
    <x v="0"/>
    <x v="3"/>
    <x v="28"/>
    <x v="0"/>
    <x v="6"/>
    <x v="11"/>
    <x v="78"/>
  </r>
  <r>
    <s v="(AS) Park Place MB Recon Center Dallas (NO TOURS)22"/>
    <x v="18"/>
    <x v="8"/>
    <x v="1"/>
    <x v="1"/>
    <x v="60"/>
    <x v="1"/>
    <s v="https://tools.sig.systems/site/details/170"/>
    <s v="https://www.google.com/maps/d/edit?hl=es&amp;mid=1uPmsRMsXnp74hPFW2t-sp2totVWF_xY&amp;ll=32.83050137713022%2C-96.83197783061323&amp;z=17"/>
    <x v="1"/>
    <x v="0"/>
    <x v="45"/>
    <x v="0"/>
    <x v="0"/>
    <x v="40"/>
    <x v="19"/>
    <x v="60"/>
  </r>
  <r>
    <s v="(ML) Joe Machens Ford Lincoln I &amp; II22"/>
    <x v="18"/>
    <x v="8"/>
    <x v="1"/>
    <x v="1"/>
    <x v="77"/>
    <x v="1"/>
    <s v="https://tools.sig.systems/site/details/266"/>
    <s v="https://www.google.com/maps/d/viewer?hl=es&amp;mid=1C1oZdjH3dNvCvqdpIv_Lk0Yn1OCVn-4&amp;ll=38.965368114274455%2C-92.3405954&amp;z=15"/>
    <x v="1"/>
    <x v="0"/>
    <x v="3"/>
    <x v="27"/>
    <x v="0"/>
    <x v="52"/>
    <x v="11"/>
    <x v="77"/>
  </r>
  <r>
    <s v="(ML) Joe Machens Kia of Columbia22"/>
    <x v="18"/>
    <x v="8"/>
    <x v="1"/>
    <x v="1"/>
    <x v="107"/>
    <x v="1"/>
    <s v="https://tools.sig.systems/site/details/270"/>
    <s v="https://www.google.com/maps/d/viewer?hl=es&amp;mid=1C1oZdjH3dNvCvqdpIv_Lk0Yn1OCVn-4&amp;ll=38.965368114274455%2C-92.3405954&amp;z=15"/>
    <x v="1"/>
    <x v="0"/>
    <x v="3"/>
    <x v="39"/>
    <x v="0"/>
    <x v="6"/>
    <x v="78"/>
    <x v="106"/>
  </r>
  <r>
    <s v="(SCH) Delray I &amp; II22"/>
    <x v="18"/>
    <x v="8"/>
    <x v="0"/>
    <x v="0"/>
    <x v="26"/>
    <x v="0"/>
    <s v="https://tools.sig.systems/site/details/159"/>
    <m/>
    <x v="3"/>
    <x v="0"/>
    <x v="21"/>
    <x v="11"/>
    <x v="6"/>
    <x v="6"/>
    <x v="22"/>
    <x v="26"/>
  </r>
  <r>
    <s v="(DT) N. Houston22"/>
    <x v="18"/>
    <x v="9"/>
    <x v="1"/>
    <x v="1"/>
    <x v="9"/>
    <x v="1"/>
    <s v="https://tools.sig.systems/site/details/250"/>
    <m/>
    <x v="1"/>
    <x v="0"/>
    <x v="8"/>
    <x v="0"/>
    <x v="0"/>
    <x v="8"/>
    <x v="9"/>
    <x v="9"/>
  </r>
  <r>
    <s v="(SCH) West Palm Beach I, II &amp; III22"/>
    <x v="18"/>
    <x v="9"/>
    <x v="6"/>
    <x v="0"/>
    <x v="54"/>
    <x v="0"/>
    <s v="https://tools.sig.systems/site/details/162"/>
    <m/>
    <x v="3"/>
    <x v="2"/>
    <x v="41"/>
    <x v="20"/>
    <x v="10"/>
    <x v="6"/>
    <x v="40"/>
    <x v="54"/>
  </r>
  <r>
    <s v="(AS) David McDavid Lincoln Frisco (NO TOURS)22"/>
    <x v="18"/>
    <x v="10"/>
    <x v="1"/>
    <x v="1"/>
    <x v="58"/>
    <x v="1"/>
    <s v="https://tools.sig.systems/site/details/182"/>
    <m/>
    <x v="1"/>
    <x v="0"/>
    <x v="43"/>
    <x v="0"/>
    <x v="0"/>
    <x v="39"/>
    <x v="44"/>
    <x v="58"/>
  </r>
  <r>
    <s v="(AS) Lexus Smyrna (NO TOURS)22"/>
    <x v="18"/>
    <x v="10"/>
    <x v="0"/>
    <x v="0"/>
    <x v="30"/>
    <x v="0"/>
    <s v="https://tools.sig.systems/site/details/133"/>
    <m/>
    <x v="1"/>
    <x v="0"/>
    <x v="24"/>
    <x v="0"/>
    <x v="0"/>
    <x v="24"/>
    <x v="25"/>
    <x v="30"/>
  </r>
  <r>
    <s v="(AS) Nalley BMW Collision Center (NO TOURS)22"/>
    <x v="18"/>
    <x v="10"/>
    <x v="0"/>
    <x v="0"/>
    <x v="3"/>
    <x v="0"/>
    <s v="https://tools.sig.systems/site/details/220"/>
    <m/>
    <x v="1"/>
    <x v="0"/>
    <x v="3"/>
    <x v="1"/>
    <x v="0"/>
    <x v="3"/>
    <x v="3"/>
    <x v="3"/>
  </r>
  <r>
    <s v="(DT) Albuquerque22"/>
    <x v="18"/>
    <x v="10"/>
    <x v="3"/>
    <x v="2"/>
    <x v="35"/>
    <x v="3"/>
    <s v="https://tools.sig.systems/site/details/237"/>
    <m/>
    <x v="1"/>
    <x v="0"/>
    <x v="27"/>
    <x v="0"/>
    <x v="0"/>
    <x v="27"/>
    <x v="29"/>
    <x v="35"/>
  </r>
  <r>
    <s v="(ML) Volvo Collision Corp22"/>
    <x v="18"/>
    <x v="10"/>
    <x v="1"/>
    <x v="1"/>
    <x v="47"/>
    <x v="1"/>
    <s v="https://tools.sig.systems/site/details/223"/>
    <m/>
    <x v="1"/>
    <x v="0"/>
    <x v="35"/>
    <x v="1"/>
    <x v="0"/>
    <x v="35"/>
    <x v="11"/>
    <x v="47"/>
  </r>
  <r>
    <s v="(PE) Fairfield Collision (NO TOURS)22"/>
    <x v="18"/>
    <x v="10"/>
    <x v="4"/>
    <x v="0"/>
    <x v="22"/>
    <x v="0"/>
    <s v="https://tools.sig.systems/site/details/191"/>
    <m/>
    <x v="1"/>
    <x v="0"/>
    <x v="18"/>
    <x v="0"/>
    <x v="0"/>
    <x v="6"/>
    <x v="18"/>
    <x v="22"/>
  </r>
  <r>
    <s v="(AS) Audi of North Atlanta (NO TOURS)22"/>
    <x v="18"/>
    <x v="11"/>
    <x v="0"/>
    <x v="0"/>
    <x v="87"/>
    <x v="0"/>
    <s v="https://tools.sig.systems/site/details/124"/>
    <s v="https://www.google.com/maps/d/edit?mid=1jkN3DS1BhUqp_dztjjW0PDwKfo_Yxsw&amp;usp=sharing"/>
    <x v="1"/>
    <x v="0"/>
    <x v="62"/>
    <x v="0"/>
    <x v="0"/>
    <x v="57"/>
    <x v="61"/>
    <x v="87"/>
  </r>
  <r>
    <s v="(HUD) Acura of Greensboro22"/>
    <x v="18"/>
    <x v="11"/>
    <x v="0"/>
    <x v="0"/>
    <x v="99"/>
    <x v="0"/>
    <s v="https://tools.sig.systems/site/details/213"/>
    <s v="https://www.google.com/maps/d/viewer?mid=1ejOzT7-x6RWnCf83BBP7XhiOiwEX3Wk&amp;ll=0%2C0&amp;z=17"/>
    <x v="1"/>
    <x v="0"/>
    <x v="69"/>
    <x v="0"/>
    <x v="0"/>
    <x v="67"/>
    <x v="71"/>
    <x v="98"/>
  </r>
  <r>
    <s v="(MK) McKenny Salinas Honda22"/>
    <x v="18"/>
    <x v="11"/>
    <x v="0"/>
    <x v="0"/>
    <x v="104"/>
    <x v="0"/>
    <s v="https://tools.sig.systems/site/details/149"/>
    <m/>
    <x v="1"/>
    <x v="0"/>
    <x v="3"/>
    <x v="37"/>
    <x v="0"/>
    <x v="6"/>
    <x v="75"/>
    <x v="103"/>
  </r>
  <r>
    <s v="(ML) Joe Machens Capital City I &amp; II (NO TOURS)22"/>
    <x v="18"/>
    <x v="11"/>
    <x v="1"/>
    <x v="1"/>
    <x v="17"/>
    <x v="1"/>
    <s v="https://tools.sig.systems/site/details/271"/>
    <m/>
    <x v="1"/>
    <x v="0"/>
    <x v="3"/>
    <x v="6"/>
    <x v="0"/>
    <x v="15"/>
    <x v="16"/>
    <x v="17"/>
  </r>
  <r>
    <s v="(PE) Mercedes Benz &amp; Smart Bldg. of Fairfield (NO TOURS)22"/>
    <x v="18"/>
    <x v="11"/>
    <x v="4"/>
    <x v="0"/>
    <x v="23"/>
    <x v="0"/>
    <s v="https://tools.sig.systems/site/details/192"/>
    <s v="https://www.google.com/maps/d/viewer?mid=1FEo41PzFJQjUIXXKitX5TNCtuqR6Vbs&amp;ll=41.1663376742533%2C-73.22955662049608&amp;z=16"/>
    <x v="1"/>
    <x v="0"/>
    <x v="3"/>
    <x v="9"/>
    <x v="0"/>
    <x v="20"/>
    <x v="19"/>
    <x v="23"/>
  </r>
  <r>
    <s v="(AS) David McDavid Honda I &amp; II (NO TOURS)22"/>
    <x v="18"/>
    <x v="12"/>
    <x v="1"/>
    <x v="1"/>
    <x v="90"/>
    <x v="1"/>
    <s v="https://tools.sig.systems/site/details/129"/>
    <m/>
    <x v="1"/>
    <x v="0"/>
    <x v="3"/>
    <x v="31"/>
    <x v="0"/>
    <x v="60"/>
    <x v="63"/>
    <x v="90"/>
  </r>
  <r>
    <s v="(AS) Mike Shaw Subaru Greeley (NO TOURS)22"/>
    <x v="18"/>
    <x v="12"/>
    <x v="3"/>
    <x v="2"/>
    <x v="91"/>
    <x v="3"/>
    <s v="https://tools.sig.systems/site/details/174"/>
    <s v="https://www.google.com/maps/d/viewer?mid=1gN2lJ0iT7m5VNhD7aDcxE8AdXqtcOZc&amp;ll=40.396096737592195%2C-104.746842&amp;z=16"/>
    <x v="1"/>
    <x v="0"/>
    <x v="65"/>
    <x v="32"/>
    <x v="0"/>
    <x v="61"/>
    <x v="11"/>
    <x v="91"/>
  </r>
  <r>
    <s v="(HUD) BMW of Greensboro22"/>
    <x v="18"/>
    <x v="12"/>
    <x v="0"/>
    <x v="0"/>
    <x v="100"/>
    <x v="0"/>
    <s v="https://tools.sig.systems/site/details/219"/>
    <s v="https://www.google.com/maps/d/viewer?mid=1ejOzT7-x6RWnCf83BBP7XhiOiwEX3Wk&amp;ll=36.061264791292906%2C-79.87437695000003&amp;z=17"/>
    <x v="1"/>
    <x v="0"/>
    <x v="70"/>
    <x v="0"/>
    <x v="0"/>
    <x v="68"/>
    <x v="72"/>
    <x v="99"/>
  </r>
  <r>
    <s v="(PE) Honda of Danbury (NO TOURS)22"/>
    <x v="18"/>
    <x v="12"/>
    <x v="4"/>
    <x v="0"/>
    <x v="49"/>
    <x v="0"/>
    <s v="https://tools.sig.systems/site/details/190"/>
    <m/>
    <x v="1"/>
    <x v="0"/>
    <x v="3"/>
    <x v="19"/>
    <x v="9"/>
    <x v="6"/>
    <x v="36"/>
    <x v="49"/>
  </r>
  <r>
    <s v="(AS) Coggin Mercedes Benz Ft Pierce (NO TOURS)22"/>
    <x v="18"/>
    <x v="13"/>
    <x v="0"/>
    <x v="0"/>
    <x v="28"/>
    <x v="0"/>
    <s v="https://tools.sig.systems/site/details/127"/>
    <s v="https://www.google.com/maps/d/viewer?mid=1AyViBuyeq7iwDua1SVudJ2A1BYi3IBA&amp;ll=27.38181516363982%2C-80.32568845000002&amp;z=18"/>
    <x v="1"/>
    <x v="0"/>
    <x v="22"/>
    <x v="13"/>
    <x v="0"/>
    <x v="22"/>
    <x v="23"/>
    <x v="28"/>
  </r>
  <r>
    <s v="(DT) El Cajon (NO TOURS)22"/>
    <x v="18"/>
    <x v="13"/>
    <x v="5"/>
    <x v="4"/>
    <x v="66"/>
    <x v="4"/>
    <s v="https://tools.sig.systems/site/details/241"/>
    <m/>
    <x v="1"/>
    <x v="0"/>
    <x v="3"/>
    <x v="16"/>
    <x v="0"/>
    <x v="6"/>
    <x v="11"/>
    <x v="66"/>
  </r>
  <r>
    <s v="(HUD) Nissan Greensboro22"/>
    <x v="18"/>
    <x v="13"/>
    <x v="0"/>
    <x v="0"/>
    <x v="12"/>
    <x v="0"/>
    <s v="https://tools.sig.systems/site/details/236"/>
    <s v="https://www.google.com/maps/d/viewer?mid=1ejOzT7-x6RWnCf83BBP7XhiOiwEX3Wk&amp;ll=36.061264791292906%2C-79.87437695000003&amp;z=17"/>
    <x v="1"/>
    <x v="0"/>
    <x v="11"/>
    <x v="0"/>
    <x v="0"/>
    <x v="6"/>
    <x v="12"/>
    <x v="12"/>
  </r>
  <r>
    <s v="(ML) McLarty-Gray Daniels Chevrolet22"/>
    <x v="18"/>
    <x v="13"/>
    <x v="1"/>
    <x v="1"/>
    <x v="109"/>
    <x v="1"/>
    <s v="https://tools.sig.systems/site/details/150"/>
    <m/>
    <x v="1"/>
    <x v="0"/>
    <x v="74"/>
    <x v="0"/>
    <x v="0"/>
    <x v="73"/>
    <x v="80"/>
    <x v="108"/>
  </r>
  <r>
    <s v="(WAG) Greeley Chrysler Dodge Jeep Ram (NO TOURS)22"/>
    <x v="18"/>
    <x v="13"/>
    <x v="3"/>
    <x v="2"/>
    <x v="115"/>
    <x v="3"/>
    <s v="https://tools.sig.systems/site/details/130"/>
    <s v="https://www.google.com/maps/d/viewer?mid=1gN2lJ0iT7m5VNhD7aDcxE8AdXqtcOZc&amp;ll=40.396096737592195%2C-104.746842&amp;z=16"/>
    <x v="1"/>
    <x v="0"/>
    <x v="77"/>
    <x v="42"/>
    <x v="0"/>
    <x v="77"/>
    <x v="85"/>
    <x v="114"/>
  </r>
  <r>
    <s v="(AS) Coggin Honda Ft. Pierce (NO TOURS)22"/>
    <x v="18"/>
    <x v="14"/>
    <x v="0"/>
    <x v="0"/>
    <x v="0"/>
    <x v="0"/>
    <s v="https://tools.sig.systems/site/details/120"/>
    <s v="https://www.google.com/maps/d/viewer?mid=1AyViBuyeq7iwDua1SVudJ2A1BYi3IBA&amp;ll=27.38181516363982%2C-80.32568845000002&amp;z=18"/>
    <x v="0"/>
    <x v="0"/>
    <x v="0"/>
    <x v="0"/>
    <x v="0"/>
    <x v="0"/>
    <x v="0"/>
    <x v="0"/>
  </r>
  <r>
    <s v="(AS) Lexus Plano I &amp; II (NO TOURS)22"/>
    <x v="18"/>
    <x v="14"/>
    <x v="1"/>
    <x v="1"/>
    <x v="1"/>
    <x v="1"/>
    <s v="https://tools.sig.systems/site/details/167"/>
    <s v="https://www.google.com/maps/d/viewer?mid=1wg5suxVuxeNp_irHlvN772HcwD6W89E&amp;ll=33.06373951220261%2C-96.82758025000001&amp;z=18"/>
    <x v="1"/>
    <x v="0"/>
    <x v="1"/>
    <x v="0"/>
    <x v="1"/>
    <x v="1"/>
    <x v="1"/>
    <x v="1"/>
  </r>
  <r>
    <s v="(AS) Stevinson JLR (NO TOURS)22"/>
    <x v="18"/>
    <x v="14"/>
    <x v="3"/>
    <x v="2"/>
    <x v="64"/>
    <x v="3"/>
    <s v="https://tools.sig.systems/site/details/204"/>
    <m/>
    <x v="1"/>
    <x v="0"/>
    <x v="49"/>
    <x v="1"/>
    <x v="0"/>
    <x v="44"/>
    <x v="48"/>
    <x v="64"/>
  </r>
  <r>
    <s v="(HUD) CDJR of Greensboro22"/>
    <x v="18"/>
    <x v="14"/>
    <x v="0"/>
    <x v="0"/>
    <x v="68"/>
    <x v="6"/>
    <s v="https://tools.sig.systems/site/details/215"/>
    <s v="https://www.google.com/maps/d/viewer?mid=1ejOzT7-x6RWnCf83BBP7XhiOiwEX3Wk&amp;ll=36.061264791292906%2C-79.87437695000003&amp;z=17"/>
    <x v="3"/>
    <x v="0"/>
    <x v="50"/>
    <x v="0"/>
    <x v="0"/>
    <x v="45"/>
    <x v="51"/>
    <x v="68"/>
  </r>
  <r>
    <s v="(PE) JLR Darien PDI (NO TOURS)22"/>
    <x v="18"/>
    <x v="14"/>
    <x v="4"/>
    <x v="0"/>
    <x v="112"/>
    <x v="0"/>
    <s v="https://tools.sig.systems/site/details/187"/>
    <s v="https://www.google.com/maps/d/viewer?mid=1ebZp8DeTYSXNPgDIA63nFVDu9ohaO4E&amp;ll=41.08027837958441%2C-73.46597874999999&amp;z=15"/>
    <x v="1"/>
    <x v="0"/>
    <x v="6"/>
    <x v="0"/>
    <x v="0"/>
    <x v="74"/>
    <x v="83"/>
    <x v="111"/>
  </r>
  <r>
    <s v="(AS) Coggin Acura Ft Pierce (NO TOURS)22"/>
    <x v="18"/>
    <x v="15"/>
    <x v="0"/>
    <x v="0"/>
    <x v="27"/>
    <x v="0"/>
    <s v="https://tools.sig.systems/site/details/118"/>
    <s v="https://www.google.com/maps/d/viewer?mid=1AyViBuyeq7iwDua1SVudJ2A1BYi3IBA&amp;ll=27.38181516363982%2C-80.32568845000002&amp;z=18"/>
    <x v="1"/>
    <x v="0"/>
    <x v="3"/>
    <x v="12"/>
    <x v="0"/>
    <x v="21"/>
    <x v="19"/>
    <x v="27"/>
  </r>
  <r>
    <s v="(AS) Park Place Acura (NO TOURS)22"/>
    <x v="18"/>
    <x v="15"/>
    <x v="1"/>
    <x v="1"/>
    <x v="32"/>
    <x v="1"/>
    <s v="https://tools.sig.systems/site/details/259"/>
    <s v="https://www.google.com/maps/d/viewer?mid=1wg5suxVuxeNp_irHlvN772HcwD6W89E&amp;ll=33.06373951220261%2C-96.82758025000001&amp;z=18"/>
    <x v="1"/>
    <x v="0"/>
    <x v="25"/>
    <x v="0"/>
    <x v="0"/>
    <x v="25"/>
    <x v="11"/>
    <x v="32"/>
  </r>
  <r>
    <s v="(DT) W Houston22"/>
    <x v="18"/>
    <x v="15"/>
    <x v="1"/>
    <x v="1"/>
    <x v="10"/>
    <x v="1"/>
    <s v="https://tools.sig.systems/site/details/197"/>
    <m/>
    <x v="1"/>
    <x v="0"/>
    <x v="9"/>
    <x v="2"/>
    <x v="0"/>
    <x v="9"/>
    <x v="10"/>
    <x v="10"/>
  </r>
  <r>
    <s v="(HUD) Honda Greensboro22"/>
    <x v="18"/>
    <x v="15"/>
    <x v="0"/>
    <x v="0"/>
    <x v="37"/>
    <x v="0"/>
    <s v="https://tools.sig.systems/site/details/230"/>
    <s v="AS/ HUD - Crown Greensboro - Google My Maps"/>
    <x v="1"/>
    <x v="0"/>
    <x v="28"/>
    <x v="0"/>
    <x v="0"/>
    <x v="28"/>
    <x v="31"/>
    <x v="37"/>
  </r>
  <r>
    <s v="(ML) Honda of Little Rock22"/>
    <x v="18"/>
    <x v="15"/>
    <x v="1"/>
    <x v="1"/>
    <x v="16"/>
    <x v="1"/>
    <s v="https://tools.sig.systems/site/details/249"/>
    <s v="https://www.google.com/maps/d/viewer?mid=1hvbKFMO-d5TXrKGU-g5dt_xcdArB1D0&amp;ll=34.71147784120261%2C-92.40574350000001&amp;z=17"/>
    <x v="1"/>
    <x v="0"/>
    <x v="15"/>
    <x v="0"/>
    <x v="0"/>
    <x v="14"/>
    <x v="15"/>
    <x v="16"/>
  </r>
  <r>
    <s v="(ML) McLarty Gray-Daniels Toyota Nissan22"/>
    <x v="18"/>
    <x v="15"/>
    <x v="1"/>
    <x v="1"/>
    <x v="108"/>
    <x v="1"/>
    <s v="https://tools.sig.systems/site/details/152"/>
    <s v="https://www.google.com/maps/d/edit?mid=111nhCL4Xjj2Pq0zP5xUrMzHQqAihqa0&amp;usp=sharing"/>
    <x v="1"/>
    <x v="0"/>
    <x v="3"/>
    <x v="40"/>
    <x v="0"/>
    <x v="72"/>
    <x v="79"/>
    <x v="107"/>
  </r>
  <r>
    <s v="(AS) Stevinson Porsche of Littleton (NO TOURS)22"/>
    <x v="18"/>
    <x v="16"/>
    <x v="3"/>
    <x v="2"/>
    <x v="7"/>
    <x v="3"/>
    <s v="https://tools.sig.systems/site/details/242"/>
    <m/>
    <x v="1"/>
    <x v="0"/>
    <x v="7"/>
    <x v="2"/>
    <x v="0"/>
    <x v="6"/>
    <x v="7"/>
    <x v="7"/>
  </r>
  <r>
    <s v="(HUD) Paint and Body Center (NO TOURS)22"/>
    <x v="18"/>
    <x v="16"/>
    <x v="0"/>
    <x v="0"/>
    <x v="38"/>
    <x v="0"/>
    <s v="https://tools.sig.systems/site/details/256"/>
    <s v="https://www.google.com/maps/d/viewer?mid=1ejOzT7-x6RWnCf83BBP7XhiOiwEX3Wk&amp;ll=36.061264791292906%2C-79.87437695000003&amp;z=17"/>
    <x v="1"/>
    <x v="0"/>
    <x v="3"/>
    <x v="9"/>
    <x v="0"/>
    <x v="6"/>
    <x v="11"/>
    <x v="38"/>
  </r>
  <r>
    <s v="(KG) Baytown GMC Buick - Remote Lot (NO TOURS)22"/>
    <x v="18"/>
    <x v="16"/>
    <x v="2"/>
    <x v="1"/>
    <x v="70"/>
    <x v="2"/>
    <s v="https://tools.sig.systems/site/details/311"/>
    <m/>
    <x v="1"/>
    <x v="3"/>
    <x v="3"/>
    <x v="25"/>
    <x v="0"/>
    <x v="6"/>
    <x v="11"/>
    <x v="70"/>
  </r>
  <r>
    <s v="(KG) Baytown GMC Buick (NO TOURS)22"/>
    <x v="18"/>
    <x v="16"/>
    <x v="1"/>
    <x v="1"/>
    <x v="71"/>
    <x v="1"/>
    <s v="https://tools.sig.systems/site/details/239"/>
    <m/>
    <x v="1"/>
    <x v="0"/>
    <x v="52"/>
    <x v="0"/>
    <x v="0"/>
    <x v="47"/>
    <x v="53"/>
    <x v="71"/>
  </r>
  <r>
    <s v="(ML) McLarty Gray-Daniels Ford Lincoln22"/>
    <x v="18"/>
    <x v="16"/>
    <x v="1"/>
    <x v="1"/>
    <x v="79"/>
    <x v="1"/>
    <s v="https://tools.sig.systems/site/details/151"/>
    <s v="https://www.google.com/maps/d/edit?mid=111nhCL4Xjj2Pq0zP5xUrMzHQqAihqa0&amp;usp=sharing"/>
    <x v="1"/>
    <x v="0"/>
    <x v="56"/>
    <x v="29"/>
    <x v="0"/>
    <x v="53"/>
    <x v="57"/>
    <x v="79"/>
  </r>
  <r>
    <s v="(ML) Nissan of North Little Rock22"/>
    <x v="18"/>
    <x v="16"/>
    <x v="1"/>
    <x v="1"/>
    <x v="20"/>
    <x v="1"/>
    <s v="https://tools.sig.systems/site/details/216"/>
    <s v="https://www.google.com/maps/d/edit?mid=1Oky35ERk_2kgyzCvDu_odQ2ZP62BtqA&amp;usp=sharing"/>
    <x v="1"/>
    <x v="0"/>
    <x v="16"/>
    <x v="0"/>
    <x v="0"/>
    <x v="18"/>
    <x v="17"/>
    <x v="20"/>
  </r>
  <r>
    <s v="(AS) Courtesy Kia of Brandon (NO TOURS)22"/>
    <x v="18"/>
    <x v="17"/>
    <x v="0"/>
    <x v="0"/>
    <x v="57"/>
    <x v="0"/>
    <s v="https://tools.sig.systems/site/details/121"/>
    <s v="https://www.google.com/maps/d/edit?mid=15R4hTDQx56ij99--JgozdqOIZh-kSlk&amp;usp=sharing"/>
    <x v="0"/>
    <x v="0"/>
    <x v="3"/>
    <x v="22"/>
    <x v="0"/>
    <x v="38"/>
    <x v="43"/>
    <x v="57"/>
  </r>
  <r>
    <s v="(AS) Lexus Grapevine I &amp; II (NO TOURS)22"/>
    <x v="18"/>
    <x v="17"/>
    <x v="1"/>
    <x v="1"/>
    <x v="29"/>
    <x v="1"/>
    <s v="https://tools.sig.systems/site/details/136"/>
    <m/>
    <x v="1"/>
    <x v="0"/>
    <x v="23"/>
    <x v="0"/>
    <x v="7"/>
    <x v="23"/>
    <x v="24"/>
    <x v="29"/>
  </r>
  <r>
    <s v="(AS) Nalley Luxury Collision Center (NO TOURS)22"/>
    <x v="18"/>
    <x v="17"/>
    <x v="0"/>
    <x v="0"/>
    <x v="31"/>
    <x v="0"/>
    <s v="https://tools.sig.systems/site/details/263"/>
    <s v="https://www.google.com/maps/d/edit?mid=1jkN3DS1BhUqp_dztjjW0PDwKfo_Yxsw&amp;usp=sharing"/>
    <x v="1"/>
    <x v="0"/>
    <x v="4"/>
    <x v="0"/>
    <x v="0"/>
    <x v="6"/>
    <x v="26"/>
    <x v="31"/>
  </r>
  <r>
    <s v="(KG) JLR LEHI (NO TOURS)22"/>
    <x v="18"/>
    <x v="17"/>
    <x v="3"/>
    <x v="2"/>
    <x v="73"/>
    <x v="3"/>
    <s v="https://tools.sig.systems/site/details/145"/>
    <m/>
    <x v="1"/>
    <x v="0"/>
    <x v="54"/>
    <x v="0"/>
    <x v="0"/>
    <x v="49"/>
    <x v="11"/>
    <x v="73"/>
  </r>
  <r>
    <s v="(ML) Mazda VW-Lot B22"/>
    <x v="18"/>
    <x v="17"/>
    <x v="1"/>
    <x v="1"/>
    <x v="45"/>
    <x v="1"/>
    <s v="https://tools.sig.systems/site/details/205"/>
    <s v="https://www.google.com/maps/d/edit?mid=1Oky35ERk_2kgyzCvDu_odQ2ZP62BtqA&amp;usp=sharing"/>
    <x v="1"/>
    <x v="0"/>
    <x v="33"/>
    <x v="9"/>
    <x v="0"/>
    <x v="30"/>
    <x v="11"/>
    <x v="45"/>
  </r>
  <r>
    <s v="(AS) Stevinson Chevrolet Golden (NO TOURS)22"/>
    <x v="18"/>
    <x v="18"/>
    <x v="7"/>
    <x v="2"/>
    <x v="96"/>
    <x v="3"/>
    <s v="https://tools.sig.systems/site/details/264"/>
    <s v="https://www.google.com/maps/d/edit?mid=1nAyK85WaWREy0lfxnmWn3USs2gC0nP0&amp;usp=sharing"/>
    <x v="1"/>
    <x v="0"/>
    <x v="3"/>
    <x v="36"/>
    <x v="0"/>
    <x v="66"/>
    <x v="68"/>
    <x v="95"/>
  </r>
  <r>
    <s v="(DT) Colorado Springs (NO TOURS)22"/>
    <x v="18"/>
    <x v="18"/>
    <x v="3"/>
    <x v="2"/>
    <x v="65"/>
    <x v="3"/>
    <s v="https://tools.sig.systems/site/details/198"/>
    <m/>
    <x v="1"/>
    <x v="0"/>
    <x v="3"/>
    <x v="24"/>
    <x v="0"/>
    <x v="6"/>
    <x v="49"/>
    <x v="65"/>
  </r>
  <r>
    <s v="(DT) Wichita22"/>
    <x v="18"/>
    <x v="18"/>
    <x v="1"/>
    <x v="1"/>
    <x v="36"/>
    <x v="1"/>
    <s v="https://tools.sig.systems/site/details/257"/>
    <m/>
    <x v="1"/>
    <x v="0"/>
    <x v="3"/>
    <x v="15"/>
    <x v="0"/>
    <x v="6"/>
    <x v="30"/>
    <x v="36"/>
  </r>
  <r>
    <s v="(KG) Clear Lake Pre-Owned22"/>
    <x v="18"/>
    <x v="18"/>
    <x v="1"/>
    <x v="1"/>
    <x v="39"/>
    <x v="1"/>
    <s v="https://tools.sig.systems/site/details/255"/>
    <s v="https://www.google.com/maps/d/edit?mid=1DRwy5fy1g5UzGTA7a1OkQA-_CY8SQ2s&amp;usp=sharing"/>
    <x v="1"/>
    <x v="0"/>
    <x v="29"/>
    <x v="0"/>
    <x v="0"/>
    <x v="29"/>
    <x v="32"/>
    <x v="39"/>
  </r>
  <r>
    <s v="(KG) Hyundai Surprise22"/>
    <x v="18"/>
    <x v="18"/>
    <x v="5"/>
    <x v="3"/>
    <x v="103"/>
    <x v="4"/>
    <s v="https://tools.sig.systems/site/details/269"/>
    <m/>
    <x v="4"/>
    <x v="0"/>
    <x v="73"/>
    <x v="0"/>
    <x v="0"/>
    <x v="71"/>
    <x v="11"/>
    <x v="102"/>
  </r>
  <r>
    <s v="(ML) Collision Center N Little Rock22"/>
    <x v="18"/>
    <x v="18"/>
    <x v="1"/>
    <x v="1"/>
    <x v="106"/>
    <x v="1"/>
    <s v="https://tools.sig.systems/site/details/212"/>
    <s v="https://www.google.com/maps/d/edit?mid=1Oky35ERk_2kgyzCvDu_odQ2ZP62BtqA&amp;usp=sharing"/>
    <x v="1"/>
    <x v="0"/>
    <x v="3"/>
    <x v="0"/>
    <x v="0"/>
    <x v="6"/>
    <x v="77"/>
    <x v="105"/>
  </r>
  <r>
    <s v="(RV) Toms Camperland Surprise (NO TOURS)22"/>
    <x v="18"/>
    <x v="18"/>
    <x v="5"/>
    <x v="3"/>
    <x v="51"/>
    <x v="4"/>
    <s v="https://tools.sig.systems/site/details/254"/>
    <m/>
    <x v="5"/>
    <x v="0"/>
    <x v="38"/>
    <x v="0"/>
    <x v="0"/>
    <x v="6"/>
    <x v="37"/>
    <x v="51"/>
  </r>
  <r>
    <s v="(AS) Courtesy CDJR of Brandon (NO TOURS)22"/>
    <x v="18"/>
    <x v="19"/>
    <x v="0"/>
    <x v="0"/>
    <x v="56"/>
    <x v="0"/>
    <s v="https://tools.sig.systems/site/details/126"/>
    <s v="https://www.google.com/maps/d/edit?mid=15R4hTDQx56ij99--JgozdqOIZh-kSlk&amp;usp=sharing"/>
    <x v="0"/>
    <x v="0"/>
    <x v="42"/>
    <x v="9"/>
    <x v="0"/>
    <x v="37"/>
    <x v="42"/>
    <x v="56"/>
  </r>
  <r>
    <s v="(KG) Big Star CDJR of Clear Lake22"/>
    <x v="18"/>
    <x v="19"/>
    <x v="1"/>
    <x v="1"/>
    <x v="101"/>
    <x v="1"/>
    <s v="https://tools.sig.systems/site/details/232"/>
    <s v="https://www.google.com/maps/d/edit?mid=1DRwy5fy1g5UzGTA7a1OkQA-_CY8SQ2s&amp;usp=sharing"/>
    <x v="1"/>
    <x v="0"/>
    <x v="71"/>
    <x v="0"/>
    <x v="0"/>
    <x v="69"/>
    <x v="73"/>
    <x v="100"/>
  </r>
  <r>
    <s v="(KG) Big Star Ford22"/>
    <x v="18"/>
    <x v="19"/>
    <x v="1"/>
    <x v="1"/>
    <x v="102"/>
    <x v="1"/>
    <s v="https://tools.sig.systems/site/details/235"/>
    <m/>
    <x v="1"/>
    <x v="0"/>
    <x v="72"/>
    <x v="0"/>
    <x v="0"/>
    <x v="70"/>
    <x v="74"/>
    <x v="101"/>
  </r>
  <r>
    <s v="(ML) Ford Lincoln of North Little Rock22"/>
    <x v="18"/>
    <x v="19"/>
    <x v="1"/>
    <x v="1"/>
    <x v="42"/>
    <x v="1"/>
    <s v="https://tools.sig.systems/site/details/214"/>
    <s v="https://www.google.com/maps/d/edit?mid=1Oky35ERk_2kgyzCvDu_odQ2ZP62BtqA&amp;usp=sharing"/>
    <x v="1"/>
    <x v="0"/>
    <x v="32"/>
    <x v="4"/>
    <x v="0"/>
    <x v="32"/>
    <x v="34"/>
    <x v="42"/>
  </r>
  <r>
    <s v="(AS) Plaza Lexus/Mercedes/BMW (NO TOURS)22"/>
    <x v="18"/>
    <x v="20"/>
    <x v="1"/>
    <x v="1"/>
    <x v="63"/>
    <x v="1"/>
    <s v="https://tools.sig.systems/site/details/141"/>
    <s v="https://www.google.com/maps/d/viewer?mid=1whGZ1PLqmhJnGFz8uigZqUL4cHGGW3w&amp;ll=38.668847686454825%2C-90.4433601&amp;z=17"/>
    <x v="1"/>
    <x v="0"/>
    <x v="48"/>
    <x v="23"/>
    <x v="0"/>
    <x v="43"/>
    <x v="47"/>
    <x v="63"/>
  </r>
  <r>
    <s v="(AS) Stevinson Lexus of Lakewood (NO TOURS)22"/>
    <x v="18"/>
    <x v="20"/>
    <x v="3"/>
    <x v="2"/>
    <x v="34"/>
    <x v="3"/>
    <s v="https://tools.sig.systems/site/details/260"/>
    <s v="https://www.google.com/maps/d/edit?mid=1nAyK85WaWREy0lfxnmWn3USs2gC0nP0&amp;usp=sharing"/>
    <x v="1"/>
    <x v="0"/>
    <x v="3"/>
    <x v="14"/>
    <x v="8"/>
    <x v="6"/>
    <x v="28"/>
    <x v="34"/>
  </r>
  <r>
    <s v="(KG) Kia of Phoenix (NO TOURS)22"/>
    <x v="18"/>
    <x v="20"/>
    <x v="5"/>
    <x v="3"/>
    <x v="40"/>
    <x v="4"/>
    <s v="https://tools.sig.systems/site/details/262"/>
    <m/>
    <x v="4"/>
    <x v="0"/>
    <x v="30"/>
    <x v="0"/>
    <x v="0"/>
    <x v="30"/>
    <x v="11"/>
    <x v="40"/>
  </r>
  <r>
    <s v="(KT) Northwest CDJR (NO TOURS)22"/>
    <x v="18"/>
    <x v="20"/>
    <x v="1"/>
    <x v="1"/>
    <x v="15"/>
    <x v="1"/>
    <s v="https://tools.sig.systems/site/details/229"/>
    <m/>
    <x v="1"/>
    <x v="0"/>
    <x v="14"/>
    <x v="0"/>
    <x v="0"/>
    <x v="13"/>
    <x v="11"/>
    <x v="15"/>
  </r>
  <r>
    <s v="(ML) Toyota N Little Rock22"/>
    <x v="18"/>
    <x v="20"/>
    <x v="1"/>
    <x v="1"/>
    <x v="21"/>
    <x v="1"/>
    <s v="https://tools.sig.systems/site/details/201"/>
    <s v="https://www.google.com/maps/d/edit?mid=1Oky35ERk_2kgyzCvDu_odQ2ZP62BtqA&amp;usp=sharing"/>
    <x v="1"/>
    <x v="0"/>
    <x v="17"/>
    <x v="0"/>
    <x v="0"/>
    <x v="19"/>
    <x v="11"/>
    <x v="21"/>
  </r>
  <r>
    <s v="(TC) Tavernier Creek Marina (NO TOURS)22"/>
    <x v="18"/>
    <x v="20"/>
    <x v="0"/>
    <x v="0"/>
    <x v="84"/>
    <x v="1"/>
    <s v="https://tools.sig.systems/site/details/164"/>
    <m/>
    <x v="6"/>
    <x v="0"/>
    <x v="60"/>
    <x v="0"/>
    <x v="0"/>
    <x v="6"/>
    <x v="59"/>
    <x v="84"/>
  </r>
  <r>
    <s v="(AS) Courtesy Hyundai/Nissan Tampa (NO TOURS)22"/>
    <x v="18"/>
    <x v="21"/>
    <x v="0"/>
    <x v="0"/>
    <x v="89"/>
    <x v="0"/>
    <s v="https://tools.sig.systems/site/details/128"/>
    <m/>
    <x v="0"/>
    <x v="0"/>
    <x v="64"/>
    <x v="0"/>
    <x v="0"/>
    <x v="59"/>
    <x v="62"/>
    <x v="89"/>
  </r>
  <r>
    <s v="(AS) Park Place JLR DFW Airport (NO TOURS)22"/>
    <x v="18"/>
    <x v="21"/>
    <x v="1"/>
    <x v="1"/>
    <x v="93"/>
    <x v="1"/>
    <s v="https://tools.sig.systems/site/details/135"/>
    <m/>
    <x v="1"/>
    <x v="0"/>
    <x v="67"/>
    <x v="33"/>
    <x v="13"/>
    <x v="63"/>
    <x v="65"/>
    <x v="93"/>
  </r>
  <r>
    <s v="(AS) Plaza Audi/Infiniti (NO TOURS)22"/>
    <x v="18"/>
    <x v="21"/>
    <x v="1"/>
    <x v="1"/>
    <x v="95"/>
    <x v="1"/>
    <s v="https://tools.sig.systems/site/details/141"/>
    <s v="https://www.google.com/maps/d/viewer?mid=1whGZ1PLqmhJnGFz8uigZqUL4cHGGW3w&amp;ll=38.668847686454825%2C-90.4433601&amp;z=17"/>
    <x v="1"/>
    <x v="0"/>
    <x v="68"/>
    <x v="35"/>
    <x v="0"/>
    <x v="65"/>
    <x v="67"/>
    <x v="63"/>
  </r>
  <r>
    <s v="(DT) Escondido22"/>
    <x v="18"/>
    <x v="21"/>
    <x v="5"/>
    <x v="4"/>
    <x v="98"/>
    <x v="5"/>
    <s v="https://tools.sig.systems/site/details/196"/>
    <m/>
    <x v="1"/>
    <x v="4"/>
    <x v="20"/>
    <x v="0"/>
    <x v="0"/>
    <x v="6"/>
    <x v="70"/>
    <x v="97"/>
  </r>
  <r>
    <s v="(RV) Sonny's Camp N Travel Concord22"/>
    <x v="18"/>
    <x v="21"/>
    <x v="0"/>
    <x v="0"/>
    <x v="114"/>
    <x v="0"/>
    <s v="https://tools.sig.systems/site/details/183"/>
    <m/>
    <x v="1"/>
    <x v="0"/>
    <x v="6"/>
    <x v="0"/>
    <x v="0"/>
    <x v="76"/>
    <x v="84"/>
    <x v="113"/>
  </r>
  <r>
    <s v="(AS) Park Place Bodywerks Ft. Worth (NO TOURS)23"/>
    <x v="19"/>
    <x v="0"/>
    <x v="1"/>
    <x v="1"/>
    <x v="92"/>
    <x v="1"/>
    <s v="https://tools.sig.systems/site/details/134"/>
    <s v="https://www.google.com/maps/d/edit?mid=18OEO_KbvYcgI3N1jE4gTMXfNHTNDrFU&amp;ll=32.66603989958274%2C-97.42021198201722&amp;z=18"/>
    <x v="1"/>
    <x v="0"/>
    <x v="66"/>
    <x v="0"/>
    <x v="0"/>
    <x v="62"/>
    <x v="64"/>
    <x v="92"/>
  </r>
  <r>
    <s v="(DT) Louisville23"/>
    <x v="19"/>
    <x v="0"/>
    <x v="0"/>
    <x v="0"/>
    <x v="67"/>
    <x v="0"/>
    <s v="https://tools.sig.systems/site/details/258"/>
    <m/>
    <x v="1"/>
    <x v="0"/>
    <x v="3"/>
    <x v="16"/>
    <x v="0"/>
    <x v="6"/>
    <x v="50"/>
    <x v="67"/>
  </r>
  <r>
    <s v="(ML) Nissan Of Benton23"/>
    <x v="19"/>
    <x v="0"/>
    <x v="1"/>
    <x v="1"/>
    <x v="80"/>
    <x v="1"/>
    <s v="https://tools.sig.systems/site/details/247"/>
    <m/>
    <x v="1"/>
    <x v="0"/>
    <x v="57"/>
    <x v="0"/>
    <x v="0"/>
    <x v="54"/>
    <x v="11"/>
    <x v="80"/>
  </r>
  <r>
    <s v="(PE) Hudson Toyota Nissan CDJR (NO TOURS)23"/>
    <x v="19"/>
    <x v="0"/>
    <x v="4"/>
    <x v="0"/>
    <x v="81"/>
    <x v="0"/>
    <s v="https://tools.sig.systems/site/details/156"/>
    <m/>
    <x v="1"/>
    <x v="0"/>
    <x v="49"/>
    <x v="30"/>
    <x v="0"/>
    <x v="55"/>
    <x v="58"/>
    <x v="81"/>
  </r>
  <r>
    <s v="(PE) Scofield Service Center (NO TOURS)23"/>
    <x v="19"/>
    <x v="0"/>
    <x v="4"/>
    <x v="0"/>
    <x v="113"/>
    <x v="0"/>
    <s v="https://tools.sig.systems/site/details/193"/>
    <s v="https://www.google.com/maps/d/viewer?mid=1FEo41PzFJQjUIXXKitX5TNCtuqR6Vbs&amp;ll=41.1663376742533%2C-73.22955662049608&amp;z=16"/>
    <x v="1"/>
    <x v="0"/>
    <x v="6"/>
    <x v="0"/>
    <x v="0"/>
    <x v="75"/>
    <x v="51"/>
    <x v="112"/>
  </r>
  <r>
    <s v="(RV) Toms Camperland Avondale (NO TOURS)23"/>
    <x v="19"/>
    <x v="0"/>
    <x v="5"/>
    <x v="3"/>
    <x v="24"/>
    <x v="4"/>
    <s v="https://tools.sig.systems/site/details/248"/>
    <s v="https://www.google.com/maps/d/viewer?mid=1bDs0QGFZwL3vEeGKxjVMk_j4azr0-lg&amp;ll=33.4593758581648%2C-112.28793780000001&amp;z=18"/>
    <x v="2"/>
    <x v="0"/>
    <x v="19"/>
    <x v="10"/>
    <x v="0"/>
    <x v="6"/>
    <x v="20"/>
    <x v="24"/>
  </r>
  <r>
    <s v="(AS) Bill Estes Ford (NO TOURS)23"/>
    <x v="19"/>
    <x v="1"/>
    <x v="0"/>
    <x v="0"/>
    <x v="55"/>
    <x v="0"/>
    <s v="https://tools.sig.systems/site/details/125"/>
    <m/>
    <x v="1"/>
    <x v="0"/>
    <x v="3"/>
    <x v="21"/>
    <x v="0"/>
    <x v="36"/>
    <x v="41"/>
    <x v="55"/>
  </r>
  <r>
    <s v="(JE) Jim Ellis Ford Sandy Springs23"/>
    <x v="19"/>
    <x v="1"/>
    <x v="0"/>
    <x v="0"/>
    <x v="69"/>
    <x v="0"/>
    <s v="https://tools.sig.systems/site/details/142"/>
    <m/>
    <x v="1"/>
    <x v="0"/>
    <x v="51"/>
    <x v="0"/>
    <x v="0"/>
    <x v="46"/>
    <x v="52"/>
    <x v="69"/>
  </r>
  <r>
    <s v="(KG) Texan CDJR23"/>
    <x v="19"/>
    <x v="1"/>
    <x v="1"/>
    <x v="1"/>
    <x v="13"/>
    <x v="1"/>
    <s v="https://tools.sig.systems/site/details/238"/>
    <s v="https://www.google.com/maps/d/edit?mid=1FNqK4dW8Z8gtSWuQLbStrtqe7lH8DIQ&amp;usp=sharing"/>
    <x v="1"/>
    <x v="0"/>
    <x v="12"/>
    <x v="0"/>
    <x v="5"/>
    <x v="11"/>
    <x v="13"/>
    <x v="13"/>
  </r>
  <r>
    <s v="(ML) Columbia Honda (NO TOURS)23"/>
    <x v="19"/>
    <x v="1"/>
    <x v="1"/>
    <x v="1"/>
    <x v="75"/>
    <x v="1"/>
    <s v="https://tools.sig.systems/site/details/272"/>
    <s v="https://www.google.com/maps/d/viewer?hl=es&amp;mid=1C1oZdjH3dNvCvqdpIv_Lk0Yn1OCVn-4&amp;ll=38.965368114274426%2C-92.3405954&amp;z=15"/>
    <x v="1"/>
    <x v="0"/>
    <x v="3"/>
    <x v="26"/>
    <x v="0"/>
    <x v="50"/>
    <x v="56"/>
    <x v="75"/>
  </r>
  <r>
    <s v="(RV) Toms Camperland Mesa (NO TOURS)23"/>
    <x v="19"/>
    <x v="1"/>
    <x v="5"/>
    <x v="3"/>
    <x v="25"/>
    <x v="4"/>
    <s v="https://tools.sig.systems/site/details/222"/>
    <m/>
    <x v="1"/>
    <x v="0"/>
    <x v="20"/>
    <x v="0"/>
    <x v="0"/>
    <x v="6"/>
    <x v="21"/>
    <x v="25"/>
  </r>
  <r>
    <s v="(AS) Park Place Mercedes Benz Arlington (NO TOURS)23"/>
    <x v="19"/>
    <x v="2"/>
    <x v="1"/>
    <x v="1"/>
    <x v="61"/>
    <x v="1"/>
    <s v="https://tools.sig.systems/site/details/169"/>
    <m/>
    <x v="1"/>
    <x v="0"/>
    <x v="46"/>
    <x v="0"/>
    <x v="11"/>
    <x v="41"/>
    <x v="46"/>
    <x v="61"/>
  </r>
  <r>
    <s v="(KG) Texan GMC Buick (NO TOURS)23"/>
    <x v="19"/>
    <x v="2"/>
    <x v="1"/>
    <x v="1"/>
    <x v="41"/>
    <x v="1"/>
    <s v="https://tools.sig.systems/site/details/225"/>
    <s v="https://www.google.com/maps/d/edit?mid=1FNqK4dW8Z8gtSWuQLbStrtqe7lH8DIQ&amp;usp=sharing"/>
    <x v="1"/>
    <x v="0"/>
    <x v="31"/>
    <x v="0"/>
    <x v="0"/>
    <x v="31"/>
    <x v="33"/>
    <x v="41"/>
  </r>
  <r>
    <s v="(LM) Luther Mazda / Mitsubishi23"/>
    <x v="19"/>
    <x v="2"/>
    <x v="1"/>
    <x v="1"/>
    <x v="74"/>
    <x v="1"/>
    <s v="https://tools.sig.systems/site/details/147"/>
    <s v="https://www.google.com/maps/d/viewer?mid=1ot0ILX76JMuvd9yMuqkb4_e0yH1n7TA&amp;ll=45.07815812965141%2C-93.33506855000002&amp;z=17"/>
    <x v="1"/>
    <x v="0"/>
    <x v="55"/>
    <x v="0"/>
    <x v="12"/>
    <x v="6"/>
    <x v="55"/>
    <x v="74"/>
  </r>
  <r>
    <s v="(ML) Joe Machens CDJR23"/>
    <x v="19"/>
    <x v="2"/>
    <x v="1"/>
    <x v="1"/>
    <x v="43"/>
    <x v="1"/>
    <s v="https://tools.sig.systems/site/details/273"/>
    <s v="https://www.google.com/maps/d/viewer?hl=es&amp;mid=1C1oZdjH3dNvCvqdpIv_Lk0Yn1OCVn-4&amp;ll=38.965368114274455%2C-92.3405954&amp;z=15"/>
    <x v="1"/>
    <x v="0"/>
    <x v="3"/>
    <x v="16"/>
    <x v="0"/>
    <x v="6"/>
    <x v="35"/>
    <x v="43"/>
  </r>
  <r>
    <s v="(PE) BMW of Greenwich (NO TOURS)23"/>
    <x v="19"/>
    <x v="2"/>
    <x v="4"/>
    <x v="0"/>
    <x v="110"/>
    <x v="0"/>
    <s v="https://tools.sig.systems/site/details/186"/>
    <s v="https://www.google.com/maps/d/edit?hl=en&amp;mid=1UHmt7tH1ihTa85i0MfQIcTfVvIQg_vM&amp;ll=41.024187580466844%2C-73.63702405370861&amp;z=18"/>
    <x v="1"/>
    <x v="0"/>
    <x v="75"/>
    <x v="0"/>
    <x v="0"/>
    <x v="6"/>
    <x v="81"/>
    <x v="109"/>
  </r>
  <r>
    <s v="(AS) Park Place Volvo Sales (NO TOURS)23"/>
    <x v="19"/>
    <x v="3"/>
    <x v="1"/>
    <x v="1"/>
    <x v="33"/>
    <x v="1"/>
    <s v="https://tools.sig.systems/site/details/139"/>
    <s v="https://www.google.com/maps/d/edit?hl=es&amp;mid=1uPmsRMsXnp74hPFW2t-sp2totVWF_xY&amp;ll=32.83050137713022%2C-96.83197783061323&amp;z=17"/>
    <x v="1"/>
    <x v="0"/>
    <x v="26"/>
    <x v="0"/>
    <x v="0"/>
    <x v="26"/>
    <x v="27"/>
    <x v="33"/>
  </r>
  <r>
    <s v="(AS) Park Place Volvo Service Center (NO TOURS)23"/>
    <x v="19"/>
    <x v="3"/>
    <x v="1"/>
    <x v="1"/>
    <x v="62"/>
    <x v="1"/>
    <s v="https://tools.sig.systems/site/details/171"/>
    <s v="https://www.google.com/maps/d/edit?hl=es&amp;mid=1uPmsRMsXnp74hPFW2t-sp2totVWF_xY&amp;ll=32.83050137713022%2C-96.83197783061323&amp;z=17"/>
    <x v="1"/>
    <x v="0"/>
    <x v="47"/>
    <x v="0"/>
    <x v="0"/>
    <x v="42"/>
    <x v="11"/>
    <x v="62"/>
  </r>
  <r>
    <s v="(DT) Denver (NO TOURS)23"/>
    <x v="19"/>
    <x v="3"/>
    <x v="3"/>
    <x v="2"/>
    <x v="97"/>
    <x v="3"/>
    <s v="https://tools.sig.systems/site/details/203"/>
    <s v="https://www.google.com/maps/d/edit?mid=1AjZHz2LTg0RMhZUOmyZsv_Y4MFcaP8g&amp;usp=sharing"/>
    <x v="1"/>
    <x v="0"/>
    <x v="3"/>
    <x v="25"/>
    <x v="0"/>
    <x v="6"/>
    <x v="69"/>
    <x v="96"/>
  </r>
  <r>
    <s v="(ML) Joe Machens VW23"/>
    <x v="19"/>
    <x v="3"/>
    <x v="1"/>
    <x v="1"/>
    <x v="19"/>
    <x v="1"/>
    <s v="https://tools.sig.systems/site/details/274"/>
    <s v="https://www.google.com/maps/d/viewer?hl=es&amp;mid=1C1oZdjH3dNvCvqdpIv_Lk0Yn1OCVn-4&amp;ll=38.965368114274455%2C-92.3405954&amp;z=15"/>
    <x v="1"/>
    <x v="0"/>
    <x v="3"/>
    <x v="8"/>
    <x v="0"/>
    <x v="17"/>
    <x v="11"/>
    <x v="19"/>
  </r>
  <r>
    <s v="(ML) Nissan of Little Rock23"/>
    <x v="19"/>
    <x v="3"/>
    <x v="1"/>
    <x v="1"/>
    <x v="46"/>
    <x v="1"/>
    <s v="https://tools.sig.systems/site/details/224"/>
    <s v="https://www.google.com/maps/d/viewer?mid=1hvbKFMO-d5TXrKGU-g5dt_xcdArB1D0&amp;ll=34.71147784120261%2C-92.40574350000001&amp;z=17"/>
    <x v="1"/>
    <x v="0"/>
    <x v="34"/>
    <x v="0"/>
    <x v="0"/>
    <x v="34"/>
    <x v="7"/>
    <x v="46"/>
  </r>
  <r>
    <s v="(SCH) Chevrolet North Palm23"/>
    <x v="19"/>
    <x v="3"/>
    <x v="0"/>
    <x v="0"/>
    <x v="52"/>
    <x v="0"/>
    <s v="https://tools.sig.systems/site/details/160"/>
    <m/>
    <x v="3"/>
    <x v="0"/>
    <x v="39"/>
    <x v="0"/>
    <x v="0"/>
    <x v="6"/>
    <x v="38"/>
    <x v="52"/>
  </r>
  <r>
    <s v="(AS) Mercedes Benz/Porsche Dallas I,II,III (NO TOURS)23"/>
    <x v="19"/>
    <x v="4"/>
    <x v="1"/>
    <x v="1"/>
    <x v="2"/>
    <x v="1"/>
    <s v="https://tools.sig.systems/site/details/168"/>
    <s v="https://www.google.com/maps/d/edit?hl=es&amp;mid=1uPmsRMsXnp74hPFW2t-sp2totVWF_xY&amp;ll=32.83050137713022%2C-96.83197783061323&amp;z=17"/>
    <x v="1"/>
    <x v="0"/>
    <x v="2"/>
    <x v="0"/>
    <x v="2"/>
    <x v="2"/>
    <x v="2"/>
    <x v="2"/>
  </r>
  <r>
    <s v="(ML) BMW of Little Rock23"/>
    <x v="19"/>
    <x v="4"/>
    <x v="1"/>
    <x v="1"/>
    <x v="105"/>
    <x v="1"/>
    <s v="https://tools.sig.systems/site/details/217"/>
    <s v="https://www.google.com/maps/d/viewer?mid=1hvbKFMO-d5TXrKGU-g5dt_xcdArB1D0&amp;ll=34.71147784120261%2C-92.40574350000001&amp;z=17"/>
    <x v="1"/>
    <x v="0"/>
    <x v="3"/>
    <x v="38"/>
    <x v="0"/>
    <x v="6"/>
    <x v="76"/>
    <x v="104"/>
  </r>
  <r>
    <s v="(ML) Joe Machens Toyota23"/>
    <x v="19"/>
    <x v="4"/>
    <x v="1"/>
    <x v="1"/>
    <x v="18"/>
    <x v="1"/>
    <s v="https://tools.sig.systems/site/details/275"/>
    <s v="https://www.google.com/maps/d/viewer?hl=es&amp;mid=1C1oZdjH3dNvCvqdpIv_Lk0Yn1OCVn-4&amp;ll=38.965368114274455%2C-92.3405954&amp;z=15"/>
    <x v="1"/>
    <x v="0"/>
    <x v="3"/>
    <x v="7"/>
    <x v="0"/>
    <x v="16"/>
    <x v="11"/>
    <x v="18"/>
  </r>
  <r>
    <s v="(PE) JLR PDI (NO TOURS)23"/>
    <x v="19"/>
    <x v="4"/>
    <x v="4"/>
    <x v="0"/>
    <x v="50"/>
    <x v="0"/>
    <s v="https://tools.sig.systems/site/details/179"/>
    <s v="https://www.google.com/maps/d/viewer?mid=1ubI2iKs1JyYXssuT4oLPnVvFnyLPi_s&amp;ll=40.878808846788026%2C-73.98560655&amp;z=17"/>
    <x v="1"/>
    <x v="0"/>
    <x v="37"/>
    <x v="0"/>
    <x v="0"/>
    <x v="6"/>
    <x v="11"/>
    <x v="50"/>
  </r>
  <r>
    <s v="(AS) Park Place Sprinter Van Center (NO TOURS)23"/>
    <x v="19"/>
    <x v="5"/>
    <x v="1"/>
    <x v="1"/>
    <x v="6"/>
    <x v="1"/>
    <s v="https://tools.sig.systems/site/details/138"/>
    <s v="https://www.google.com/maps/d/edit?hl=es&amp;mid=1uPmsRMsXnp74hPFW2t-sp2totVWF_xY&amp;ll=32.83050137713022%2C-96.83197783061323&amp;z=17"/>
    <x v="1"/>
    <x v="0"/>
    <x v="6"/>
    <x v="0"/>
    <x v="0"/>
    <x v="6"/>
    <x v="6"/>
    <x v="6"/>
  </r>
  <r>
    <s v="(HUD) Honda of Southpoint23"/>
    <x v="19"/>
    <x v="5"/>
    <x v="0"/>
    <x v="0"/>
    <x v="11"/>
    <x v="0"/>
    <s v="https://tools.sig.systems/site/details/195"/>
    <m/>
    <x v="0"/>
    <x v="0"/>
    <x v="10"/>
    <x v="4"/>
    <x v="0"/>
    <x v="10"/>
    <x v="11"/>
    <x v="11"/>
  </r>
  <r>
    <s v="(KG) Big Star CDJR of Clear Lake23"/>
    <x v="19"/>
    <x v="5"/>
    <x v="1"/>
    <x v="1"/>
    <x v="101"/>
    <x v="1"/>
    <s v="https://tools.sig.systems/site/details/232"/>
    <s v="https://www.google.com/maps/d/edit?mid=1DRwy5fy1g5UzGTA7a1OkQA-_CY8SQ2s&amp;usp=sharing"/>
    <x v="1"/>
    <x v="0"/>
    <x v="71"/>
    <x v="0"/>
    <x v="0"/>
    <x v="69"/>
    <x v="73"/>
    <x v="100"/>
  </r>
  <r>
    <s v="(ML) Joe Machens E Collision Center23"/>
    <x v="19"/>
    <x v="5"/>
    <x v="1"/>
    <x v="1"/>
    <x v="76"/>
    <x v="1"/>
    <s v="https://tools.sig.systems/site/details/277"/>
    <s v="https://www.google.com/maps/d/viewer?hl=es&amp;mid=1C1oZdjH3dNvCvqdpIv_Lk0Yn1OCVn-4&amp;ll=38.965368114274455%2C-92.3405954&amp;z=15"/>
    <x v="1"/>
    <x v="0"/>
    <x v="6"/>
    <x v="0"/>
    <x v="0"/>
    <x v="51"/>
    <x v="57"/>
    <x v="76"/>
  </r>
  <r>
    <s v="(PE) BMW of Mamaroneck (NO TOURS)23"/>
    <x v="19"/>
    <x v="5"/>
    <x v="4"/>
    <x v="0"/>
    <x v="111"/>
    <x v="0"/>
    <s v="https://tools.sig.systems/site/details/185"/>
    <m/>
    <x v="1"/>
    <x v="0"/>
    <x v="76"/>
    <x v="41"/>
    <x v="0"/>
    <x v="6"/>
    <x v="82"/>
    <x v="110"/>
  </r>
  <r>
    <s v="(RML) Burleson Nissan23"/>
    <x v="19"/>
    <x v="5"/>
    <x v="1"/>
    <x v="1"/>
    <x v="82"/>
    <x v="1"/>
    <s v="https://tools.sig.systems/site/details/202"/>
    <m/>
    <x v="1"/>
    <x v="0"/>
    <x v="58"/>
    <x v="0"/>
    <x v="0"/>
    <x v="56"/>
    <x v="11"/>
    <x v="82"/>
  </r>
  <r>
    <s v="(SCH) Prep Center Delray23"/>
    <x v="19"/>
    <x v="5"/>
    <x v="0"/>
    <x v="0"/>
    <x v="53"/>
    <x v="0"/>
    <s v="https://tools.sig.systems/site/details/321"/>
    <m/>
    <x v="1"/>
    <x v="0"/>
    <x v="40"/>
    <x v="0"/>
    <x v="0"/>
    <x v="6"/>
    <x v="39"/>
    <x v="53"/>
  </r>
  <r>
    <s v="(AS) Atwell Prep Center-Dallas (NO TOURS)23"/>
    <x v="19"/>
    <x v="6"/>
    <x v="1"/>
    <x v="1"/>
    <x v="86"/>
    <x v="1"/>
    <s v="https://tools.sig.systems/site/details/165"/>
    <s v="https://www.google.com/maps/d/edit?hl=es&amp;mid=1uPmsRMsXnp74hPFW2t-sp2totVWF_xY&amp;ll=32.83050137713022%2C-96.83197783061323&amp;z=17"/>
    <x v="1"/>
    <x v="0"/>
    <x v="61"/>
    <x v="0"/>
    <x v="0"/>
    <x v="6"/>
    <x v="28"/>
    <x v="86"/>
  </r>
  <r>
    <s v="(AS) Coggin Acura Ft Pierce (NO TOURS)23"/>
    <x v="19"/>
    <x v="6"/>
    <x v="0"/>
    <x v="0"/>
    <x v="27"/>
    <x v="0"/>
    <s v="https://tools.sig.systems/site/details/118"/>
    <s v="https://www.google.com/maps/d/viewer?mid=1AyViBuyeq7iwDua1SVudJ2A1BYi3IBA&amp;ll=27.38181516363982%2C-80.32568845000002&amp;z=18"/>
    <x v="1"/>
    <x v="0"/>
    <x v="3"/>
    <x v="12"/>
    <x v="0"/>
    <x v="21"/>
    <x v="19"/>
    <x v="27"/>
  </r>
  <r>
    <s v="(AS) Park Place Mercedes Benz Ft. Worth (NO TOURS)23"/>
    <x v="19"/>
    <x v="6"/>
    <x v="1"/>
    <x v="1"/>
    <x v="5"/>
    <x v="1"/>
    <s v="https://tools.sig.systems/site/details/137"/>
    <s v="https://www.google.com/maps/d/edit?mid=18OEO_KbvYcgI3N1jE4gTMXfNHTNDrFU&amp;ll=32.66603989958274%2C-97.42021198201722&amp;z=18"/>
    <x v="1"/>
    <x v="0"/>
    <x v="5"/>
    <x v="0"/>
    <x v="4"/>
    <x v="5"/>
    <x v="5"/>
    <x v="5"/>
  </r>
  <r>
    <s v="(ML) Joe Machens Temporary 2.023"/>
    <x v="19"/>
    <x v="6"/>
    <x v="1"/>
    <x v="1"/>
    <x v="44"/>
    <x v="1"/>
    <s v="https://tools.sig.systems/site/details/278"/>
    <s v="https://www.google.com/maps/d/viewer?hl=es&amp;mid=1C1oZdjH3dNvCvqdpIv_Lk0Yn1OCVn-4&amp;ll=38.965368114274455%2C-92.3405954&amp;z=15"/>
    <x v="1"/>
    <x v="0"/>
    <x v="3"/>
    <x v="17"/>
    <x v="0"/>
    <x v="33"/>
    <x v="11"/>
    <x v="44"/>
  </r>
  <r>
    <s v="(ML) McLarty Gray-Daniels Ford Lincoln23"/>
    <x v="19"/>
    <x v="6"/>
    <x v="1"/>
    <x v="1"/>
    <x v="79"/>
    <x v="1"/>
    <s v="https://tools.sig.systems/site/details/151"/>
    <s v="https://www.google.com/maps/d/edit?mid=111nhCL4Xjj2Pq0zP5xUrMzHQqAihqa0&amp;usp=sharing"/>
    <x v="1"/>
    <x v="0"/>
    <x v="56"/>
    <x v="29"/>
    <x v="0"/>
    <x v="53"/>
    <x v="57"/>
    <x v="79"/>
  </r>
  <r>
    <s v="(SCH) Auto Body Shop Lake Park23"/>
    <x v="19"/>
    <x v="6"/>
    <x v="0"/>
    <x v="0"/>
    <x v="83"/>
    <x v="0"/>
    <s v="https://tools.sig.systems/site/details/158"/>
    <m/>
    <x v="1"/>
    <x v="0"/>
    <x v="59"/>
    <x v="0"/>
    <x v="0"/>
    <x v="6"/>
    <x v="11"/>
    <x v="83"/>
  </r>
  <r>
    <s v="(AS) Courtesy Honda Palm Harbor (NO TOURS)23"/>
    <x v="19"/>
    <x v="7"/>
    <x v="0"/>
    <x v="0"/>
    <x v="88"/>
    <x v="0"/>
    <s v="https://tools.sig.systems/site/details/176"/>
    <m/>
    <x v="3"/>
    <x v="0"/>
    <x v="63"/>
    <x v="0"/>
    <x v="0"/>
    <x v="58"/>
    <x v="24"/>
    <x v="88"/>
  </r>
  <r>
    <s v="(AS) Nalley Lexus &amp; Remote Lot Roswell (NO TOURS)23"/>
    <x v="19"/>
    <x v="7"/>
    <x v="2"/>
    <x v="0"/>
    <x v="4"/>
    <x v="2"/>
    <s v="https://tools.sig.systems/site/details/131"/>
    <s v="https://www.google.com/maps/d/edit?mid=1jkN3DS1BhUqp_dztjjW0PDwKfo_Yxsw&amp;usp=sharing"/>
    <x v="1"/>
    <x v="1"/>
    <x v="4"/>
    <x v="1"/>
    <x v="3"/>
    <x v="4"/>
    <x v="4"/>
    <x v="4"/>
  </r>
  <r>
    <s v="(AS) Park Place Bodywerks Dallas (NO TOURS)23"/>
    <x v="19"/>
    <x v="7"/>
    <x v="1"/>
    <x v="1"/>
    <x v="59"/>
    <x v="1"/>
    <s v="https://tools.sig.systems/site/details/166"/>
    <s v="https://www.google.com/maps/d/edit?hl=es&amp;mid=1uPmsRMsXnp74hPFW2t-sp2totVWF_xY&amp;ll=32.83050137713022%2C-96.83197783061323&amp;z=17"/>
    <x v="1"/>
    <x v="0"/>
    <x v="44"/>
    <x v="9"/>
    <x v="0"/>
    <x v="6"/>
    <x v="45"/>
    <x v="59"/>
  </r>
  <r>
    <s v="(KG) Big Star Honda23"/>
    <x v="19"/>
    <x v="7"/>
    <x v="1"/>
    <x v="1"/>
    <x v="72"/>
    <x v="1"/>
    <s v="https://tools.sig.systems/site/details/231"/>
    <m/>
    <x v="1"/>
    <x v="0"/>
    <x v="53"/>
    <x v="0"/>
    <x v="0"/>
    <x v="48"/>
    <x v="54"/>
    <x v="72"/>
  </r>
  <r>
    <s v="(ML) Joe Machens Nissan23"/>
    <x v="19"/>
    <x v="7"/>
    <x v="1"/>
    <x v="1"/>
    <x v="78"/>
    <x v="1"/>
    <s v="https://tools.sig.systems/site/details/279"/>
    <s v="https://www.google.com/maps/d/viewer?hl=es&amp;mid=1C1oZdjH3dNvCvqdpIv_Lk0Yn1OCVn-4&amp;ll=38.965368114274455%2C-92.3405954&amp;z=15"/>
    <x v="1"/>
    <x v="0"/>
    <x v="3"/>
    <x v="28"/>
    <x v="0"/>
    <x v="6"/>
    <x v="11"/>
    <x v="78"/>
  </r>
  <r>
    <s v="(AS) Park Place MB Recon Center Dallas (NO TOURS)23"/>
    <x v="19"/>
    <x v="8"/>
    <x v="1"/>
    <x v="1"/>
    <x v="60"/>
    <x v="1"/>
    <s v="https://tools.sig.systems/site/details/170"/>
    <s v="https://www.google.com/maps/d/edit?hl=es&amp;mid=1uPmsRMsXnp74hPFW2t-sp2totVWF_xY&amp;ll=32.83050137713022%2C-96.83197783061323&amp;z=17"/>
    <x v="1"/>
    <x v="0"/>
    <x v="45"/>
    <x v="0"/>
    <x v="0"/>
    <x v="40"/>
    <x v="19"/>
    <x v="60"/>
  </r>
  <r>
    <s v="(ML) Joe Machens Ford Lincoln I &amp; II23"/>
    <x v="19"/>
    <x v="8"/>
    <x v="1"/>
    <x v="1"/>
    <x v="77"/>
    <x v="1"/>
    <s v="https://tools.sig.systems/site/details/266"/>
    <s v="https://www.google.com/maps/d/viewer?hl=es&amp;mid=1C1oZdjH3dNvCvqdpIv_Lk0Yn1OCVn-4&amp;ll=38.965368114274455%2C-92.3405954&amp;z=15"/>
    <x v="1"/>
    <x v="0"/>
    <x v="3"/>
    <x v="27"/>
    <x v="0"/>
    <x v="52"/>
    <x v="11"/>
    <x v="77"/>
  </r>
  <r>
    <s v="(ML) Joe Machens Kia of Columbia23"/>
    <x v="19"/>
    <x v="8"/>
    <x v="1"/>
    <x v="1"/>
    <x v="107"/>
    <x v="1"/>
    <s v="https://tools.sig.systems/site/details/270"/>
    <s v="https://www.google.com/maps/d/viewer?hl=es&amp;mid=1C1oZdjH3dNvCvqdpIv_Lk0Yn1OCVn-4&amp;ll=38.965368114274455%2C-92.3405954&amp;z=15"/>
    <x v="1"/>
    <x v="0"/>
    <x v="3"/>
    <x v="39"/>
    <x v="0"/>
    <x v="6"/>
    <x v="78"/>
    <x v="106"/>
  </r>
  <r>
    <s v="(SCH) Delray I &amp; II23"/>
    <x v="19"/>
    <x v="8"/>
    <x v="0"/>
    <x v="0"/>
    <x v="26"/>
    <x v="0"/>
    <s v="https://tools.sig.systems/site/details/159"/>
    <m/>
    <x v="3"/>
    <x v="0"/>
    <x v="21"/>
    <x v="11"/>
    <x v="6"/>
    <x v="6"/>
    <x v="22"/>
    <x v="26"/>
  </r>
  <r>
    <s v="(DT) W Houston23"/>
    <x v="19"/>
    <x v="9"/>
    <x v="1"/>
    <x v="1"/>
    <x v="10"/>
    <x v="1"/>
    <s v="https://tools.sig.systems/site/details/197"/>
    <m/>
    <x v="1"/>
    <x v="0"/>
    <x v="9"/>
    <x v="2"/>
    <x v="0"/>
    <x v="9"/>
    <x v="10"/>
    <x v="10"/>
  </r>
  <r>
    <s v="(SCH) West Palm Beach I, II &amp; III23"/>
    <x v="19"/>
    <x v="9"/>
    <x v="6"/>
    <x v="0"/>
    <x v="54"/>
    <x v="0"/>
    <s v="https://tools.sig.systems/site/details/162"/>
    <m/>
    <x v="3"/>
    <x v="2"/>
    <x v="41"/>
    <x v="20"/>
    <x v="10"/>
    <x v="6"/>
    <x v="40"/>
    <x v="54"/>
  </r>
  <r>
    <s v="SIG Office23"/>
    <x v="19"/>
    <x v="9"/>
    <x v="2"/>
    <x v="0"/>
    <x v="85"/>
    <x v="2"/>
    <s v="https://tools.sig.systems/site/details/163"/>
    <m/>
    <x v="1"/>
    <x v="0"/>
    <x v="3"/>
    <x v="0"/>
    <x v="0"/>
    <x v="6"/>
    <x v="60"/>
    <x v="85"/>
  </r>
  <r>
    <s v="(AS) David McDavid Lincoln Frisco (NO TOURS)23"/>
    <x v="19"/>
    <x v="10"/>
    <x v="1"/>
    <x v="1"/>
    <x v="58"/>
    <x v="1"/>
    <s v="https://tools.sig.systems/site/details/182"/>
    <m/>
    <x v="1"/>
    <x v="0"/>
    <x v="43"/>
    <x v="0"/>
    <x v="0"/>
    <x v="39"/>
    <x v="44"/>
    <x v="58"/>
  </r>
  <r>
    <s v="(AS) Nalley BMW Collision Center (NO TOURS)23"/>
    <x v="19"/>
    <x v="10"/>
    <x v="0"/>
    <x v="0"/>
    <x v="3"/>
    <x v="0"/>
    <s v="https://tools.sig.systems/site/details/220"/>
    <m/>
    <x v="1"/>
    <x v="0"/>
    <x v="3"/>
    <x v="1"/>
    <x v="0"/>
    <x v="3"/>
    <x v="3"/>
    <x v="3"/>
  </r>
  <r>
    <s v="(DT) Albuquerque23"/>
    <x v="19"/>
    <x v="10"/>
    <x v="3"/>
    <x v="2"/>
    <x v="35"/>
    <x v="3"/>
    <s v="https://tools.sig.systems/site/details/237"/>
    <m/>
    <x v="1"/>
    <x v="0"/>
    <x v="27"/>
    <x v="0"/>
    <x v="0"/>
    <x v="27"/>
    <x v="29"/>
    <x v="35"/>
  </r>
  <r>
    <s v="(ML) McLarty-Gray Daniels Chevrolet23"/>
    <x v="19"/>
    <x v="10"/>
    <x v="1"/>
    <x v="1"/>
    <x v="109"/>
    <x v="1"/>
    <s v="https://tools.sig.systems/site/details/150"/>
    <m/>
    <x v="1"/>
    <x v="0"/>
    <x v="74"/>
    <x v="0"/>
    <x v="0"/>
    <x v="73"/>
    <x v="80"/>
    <x v="108"/>
  </r>
  <r>
    <s v="(ML) Volvo Collision Corp23"/>
    <x v="19"/>
    <x v="10"/>
    <x v="1"/>
    <x v="1"/>
    <x v="47"/>
    <x v="1"/>
    <s v="https://tools.sig.systems/site/details/223"/>
    <m/>
    <x v="1"/>
    <x v="0"/>
    <x v="35"/>
    <x v="1"/>
    <x v="0"/>
    <x v="35"/>
    <x v="11"/>
    <x v="47"/>
  </r>
  <r>
    <s v="(PE) Fairfield Collision (NO TOURS)23"/>
    <x v="19"/>
    <x v="10"/>
    <x v="4"/>
    <x v="0"/>
    <x v="22"/>
    <x v="0"/>
    <s v="https://tools.sig.systems/site/details/191"/>
    <m/>
    <x v="1"/>
    <x v="0"/>
    <x v="18"/>
    <x v="0"/>
    <x v="0"/>
    <x v="6"/>
    <x v="18"/>
    <x v="22"/>
  </r>
  <r>
    <s v="(AS) Mike Shaw Subaru Greeley (NO TOURS)23"/>
    <x v="19"/>
    <x v="11"/>
    <x v="3"/>
    <x v="2"/>
    <x v="91"/>
    <x v="3"/>
    <s v="https://tools.sig.systems/site/details/174"/>
    <s v="https://www.google.com/maps/d/viewer?mid=1gN2lJ0iT7m5VNhD7aDcxE8AdXqtcOZc&amp;ll=40.396096737592195%2C-104.746842&amp;z=16"/>
    <x v="1"/>
    <x v="0"/>
    <x v="65"/>
    <x v="32"/>
    <x v="0"/>
    <x v="61"/>
    <x v="11"/>
    <x v="91"/>
  </r>
  <r>
    <s v="(HUD) Acura of Greensboro23"/>
    <x v="19"/>
    <x v="11"/>
    <x v="0"/>
    <x v="0"/>
    <x v="99"/>
    <x v="0"/>
    <s v="https://tools.sig.systems/site/details/213"/>
    <s v="https://www.google.com/maps/d/viewer?mid=1ejOzT7-x6RWnCf83BBP7XhiOiwEX3Wk&amp;ll=0%2C0&amp;z=17"/>
    <x v="1"/>
    <x v="0"/>
    <x v="69"/>
    <x v="0"/>
    <x v="0"/>
    <x v="67"/>
    <x v="71"/>
    <x v="98"/>
  </r>
  <r>
    <s v="(MK) McKenny Salinas Honda23"/>
    <x v="19"/>
    <x v="11"/>
    <x v="0"/>
    <x v="0"/>
    <x v="104"/>
    <x v="0"/>
    <s v="https://tools.sig.systems/site/details/149"/>
    <m/>
    <x v="1"/>
    <x v="0"/>
    <x v="3"/>
    <x v="37"/>
    <x v="0"/>
    <x v="6"/>
    <x v="75"/>
    <x v="103"/>
  </r>
  <r>
    <s v="(ML) Joe Machens Capital City I &amp; II (NO TOURS)23"/>
    <x v="19"/>
    <x v="11"/>
    <x v="1"/>
    <x v="1"/>
    <x v="17"/>
    <x v="1"/>
    <s v="https://tools.sig.systems/site/details/271"/>
    <m/>
    <x v="1"/>
    <x v="0"/>
    <x v="3"/>
    <x v="6"/>
    <x v="0"/>
    <x v="15"/>
    <x v="16"/>
    <x v="17"/>
  </r>
  <r>
    <s v="(PE) Mercedes Benz &amp; Smart Bldg. of Fairfield (NO TOURS)23"/>
    <x v="19"/>
    <x v="11"/>
    <x v="4"/>
    <x v="0"/>
    <x v="23"/>
    <x v="0"/>
    <s v="https://tools.sig.systems/site/details/192"/>
    <s v="https://www.google.com/maps/d/viewer?mid=1FEo41PzFJQjUIXXKitX5TNCtuqR6Vbs&amp;ll=41.1663376742533%2C-73.22955662049608&amp;z=16"/>
    <x v="1"/>
    <x v="0"/>
    <x v="3"/>
    <x v="9"/>
    <x v="0"/>
    <x v="20"/>
    <x v="19"/>
    <x v="23"/>
  </r>
  <r>
    <s v="(AS) David McDavid Honda I &amp; II (NO TOURS)23"/>
    <x v="19"/>
    <x v="12"/>
    <x v="1"/>
    <x v="1"/>
    <x v="90"/>
    <x v="1"/>
    <s v="https://tools.sig.systems/site/details/129"/>
    <m/>
    <x v="1"/>
    <x v="0"/>
    <x v="3"/>
    <x v="31"/>
    <x v="0"/>
    <x v="60"/>
    <x v="63"/>
    <x v="90"/>
  </r>
  <r>
    <s v="(AS) Plano Auction (NO SPEAKERS)23"/>
    <x v="19"/>
    <x v="12"/>
    <x v="1"/>
    <x v="1"/>
    <x v="94"/>
    <x v="1"/>
    <s v="https://tools.sig.systems/site/details/140"/>
    <m/>
    <x v="1"/>
    <x v="0"/>
    <x v="3"/>
    <x v="34"/>
    <x v="0"/>
    <x v="64"/>
    <x v="66"/>
    <x v="94"/>
  </r>
  <r>
    <s v="(HUD) BMW of Greensboro23"/>
    <x v="19"/>
    <x v="12"/>
    <x v="0"/>
    <x v="0"/>
    <x v="100"/>
    <x v="0"/>
    <s v="https://tools.sig.systems/site/details/219"/>
    <s v="https://www.google.com/maps/d/viewer?mid=1ejOzT7-x6RWnCf83BBP7XhiOiwEX3Wk&amp;ll=36.061264791292906%2C-79.87437695000003&amp;z=17"/>
    <x v="1"/>
    <x v="0"/>
    <x v="70"/>
    <x v="0"/>
    <x v="0"/>
    <x v="68"/>
    <x v="72"/>
    <x v="99"/>
  </r>
  <r>
    <s v="(PE) Honda of Danbury (NO TOURS)23"/>
    <x v="19"/>
    <x v="12"/>
    <x v="4"/>
    <x v="0"/>
    <x v="49"/>
    <x v="0"/>
    <s v="https://tools.sig.systems/site/details/190"/>
    <m/>
    <x v="1"/>
    <x v="0"/>
    <x v="3"/>
    <x v="19"/>
    <x v="9"/>
    <x v="6"/>
    <x v="36"/>
    <x v="49"/>
  </r>
  <r>
    <s v="(AS) Coggin Mercedes Benz Ft Pierce (NO TOURS)23"/>
    <x v="19"/>
    <x v="13"/>
    <x v="0"/>
    <x v="0"/>
    <x v="28"/>
    <x v="0"/>
    <s v="https://tools.sig.systems/site/details/127"/>
    <s v="https://www.google.com/maps/d/viewer?mid=1AyViBuyeq7iwDua1SVudJ2A1BYi3IBA&amp;ll=27.38181516363982%2C-80.32568845000002&amp;z=18"/>
    <x v="1"/>
    <x v="0"/>
    <x v="22"/>
    <x v="13"/>
    <x v="0"/>
    <x v="22"/>
    <x v="23"/>
    <x v="28"/>
  </r>
  <r>
    <s v="(DT) El Cajon (NO TOURS)23"/>
    <x v="19"/>
    <x v="13"/>
    <x v="5"/>
    <x v="4"/>
    <x v="66"/>
    <x v="4"/>
    <s v="https://tools.sig.systems/site/details/241"/>
    <m/>
    <x v="1"/>
    <x v="0"/>
    <x v="3"/>
    <x v="16"/>
    <x v="0"/>
    <x v="6"/>
    <x v="11"/>
    <x v="66"/>
  </r>
  <r>
    <s v="(HUD) Nissan Greensboro23"/>
    <x v="19"/>
    <x v="13"/>
    <x v="0"/>
    <x v="0"/>
    <x v="12"/>
    <x v="0"/>
    <s v="https://tools.sig.systems/site/details/236"/>
    <s v="https://www.google.com/maps/d/viewer?mid=1ejOzT7-x6RWnCf83BBP7XhiOiwEX3Wk&amp;ll=36.061264791292906%2C-79.87437695000003&amp;z=17"/>
    <x v="1"/>
    <x v="0"/>
    <x v="11"/>
    <x v="0"/>
    <x v="0"/>
    <x v="6"/>
    <x v="12"/>
    <x v="12"/>
  </r>
  <r>
    <s v="(KG) Truck Center Remote Storage Lot23"/>
    <x v="19"/>
    <x v="13"/>
    <x v="2"/>
    <x v="2"/>
    <x v="14"/>
    <x v="2"/>
    <s v="https://tools.sig.systems/site/details/144"/>
    <m/>
    <x v="1"/>
    <x v="0"/>
    <x v="13"/>
    <x v="5"/>
    <x v="0"/>
    <x v="12"/>
    <x v="14"/>
    <x v="14"/>
  </r>
  <r>
    <s v="(WAG) Greeley Chrysler Dodge Jeep Ram (NO TOURS)23"/>
    <x v="19"/>
    <x v="13"/>
    <x v="3"/>
    <x v="2"/>
    <x v="115"/>
    <x v="3"/>
    <s v="https://tools.sig.systems/site/details/130"/>
    <s v="https://www.google.com/maps/d/viewer?mid=1gN2lJ0iT7m5VNhD7aDcxE8AdXqtcOZc&amp;ll=40.396096737592195%2C-104.746842&amp;z=16"/>
    <x v="1"/>
    <x v="0"/>
    <x v="77"/>
    <x v="42"/>
    <x v="0"/>
    <x v="77"/>
    <x v="85"/>
    <x v="114"/>
  </r>
  <r>
    <s v="(AS) Coggin Honda Ft. Pierce (NO TOURS)23"/>
    <x v="19"/>
    <x v="14"/>
    <x v="0"/>
    <x v="0"/>
    <x v="0"/>
    <x v="0"/>
    <s v="https://tools.sig.systems/site/details/120"/>
    <s v="https://www.google.com/maps/d/viewer?mid=1AyViBuyeq7iwDua1SVudJ2A1BYi3IBA&amp;ll=27.38181516363982%2C-80.32568845000002&amp;z=18"/>
    <x v="0"/>
    <x v="0"/>
    <x v="0"/>
    <x v="0"/>
    <x v="0"/>
    <x v="0"/>
    <x v="0"/>
    <x v="0"/>
  </r>
  <r>
    <s v="(AS) Lexus Plano I &amp; II (NO TOURS)23"/>
    <x v="19"/>
    <x v="14"/>
    <x v="1"/>
    <x v="1"/>
    <x v="1"/>
    <x v="1"/>
    <s v="https://tools.sig.systems/site/details/167"/>
    <s v="https://www.google.com/maps/d/viewer?mid=1wg5suxVuxeNp_irHlvN772HcwD6W89E&amp;ll=33.06373951220261%2C-96.82758025000001&amp;z=18"/>
    <x v="1"/>
    <x v="0"/>
    <x v="1"/>
    <x v="0"/>
    <x v="1"/>
    <x v="1"/>
    <x v="1"/>
    <x v="1"/>
  </r>
  <r>
    <s v="(AS) Stevinson JLR (NO TOURS)23"/>
    <x v="19"/>
    <x v="14"/>
    <x v="3"/>
    <x v="2"/>
    <x v="64"/>
    <x v="3"/>
    <s v="https://tools.sig.systems/site/details/204"/>
    <m/>
    <x v="1"/>
    <x v="0"/>
    <x v="49"/>
    <x v="1"/>
    <x v="0"/>
    <x v="44"/>
    <x v="48"/>
    <x v="64"/>
  </r>
  <r>
    <s v="(HUD) CDJR of Greensboro23"/>
    <x v="19"/>
    <x v="14"/>
    <x v="0"/>
    <x v="0"/>
    <x v="68"/>
    <x v="6"/>
    <s v="https://tools.sig.systems/site/details/215"/>
    <s v="https://www.google.com/maps/d/viewer?mid=1ejOzT7-x6RWnCf83BBP7XhiOiwEX3Wk&amp;ll=36.061264791292906%2C-79.87437695000003&amp;z=17"/>
    <x v="3"/>
    <x v="0"/>
    <x v="50"/>
    <x v="0"/>
    <x v="0"/>
    <x v="45"/>
    <x v="51"/>
    <x v="68"/>
  </r>
  <r>
    <s v="(PE) JLR Darien PDI (NO TOURS)23"/>
    <x v="19"/>
    <x v="14"/>
    <x v="4"/>
    <x v="0"/>
    <x v="112"/>
    <x v="0"/>
    <s v="https://tools.sig.systems/site/details/187"/>
    <s v="https://www.google.com/maps/d/viewer?mid=1ebZp8DeTYSXNPgDIA63nFVDu9ohaO4E&amp;ll=41.08027837958441%2C-73.46597874999999&amp;z=15"/>
    <x v="1"/>
    <x v="0"/>
    <x v="6"/>
    <x v="0"/>
    <x v="0"/>
    <x v="74"/>
    <x v="83"/>
    <x v="111"/>
  </r>
  <r>
    <s v="(AS) Park Place Acura (NO TOURS)23"/>
    <x v="19"/>
    <x v="15"/>
    <x v="1"/>
    <x v="1"/>
    <x v="32"/>
    <x v="1"/>
    <s v="https://tools.sig.systems/site/details/259"/>
    <s v="https://www.google.com/maps/d/viewer?mid=1wg5suxVuxeNp_irHlvN772HcwD6W89E&amp;ll=33.06373951220261%2C-96.82758025000001&amp;z=18"/>
    <x v="1"/>
    <x v="0"/>
    <x v="25"/>
    <x v="0"/>
    <x v="0"/>
    <x v="25"/>
    <x v="11"/>
    <x v="32"/>
  </r>
  <r>
    <s v="(DT) Wichita23"/>
    <x v="19"/>
    <x v="15"/>
    <x v="1"/>
    <x v="1"/>
    <x v="36"/>
    <x v="1"/>
    <s v="https://tools.sig.systems/site/details/257"/>
    <m/>
    <x v="1"/>
    <x v="0"/>
    <x v="3"/>
    <x v="15"/>
    <x v="0"/>
    <x v="6"/>
    <x v="30"/>
    <x v="36"/>
  </r>
  <r>
    <s v="(HUD) Honda Greensboro23"/>
    <x v="19"/>
    <x v="15"/>
    <x v="0"/>
    <x v="0"/>
    <x v="37"/>
    <x v="0"/>
    <s v="https://tools.sig.systems/site/details/230"/>
    <s v="AS/ HUD - Crown Greensboro - Google My Maps"/>
    <x v="1"/>
    <x v="0"/>
    <x v="28"/>
    <x v="0"/>
    <x v="0"/>
    <x v="28"/>
    <x v="31"/>
    <x v="37"/>
  </r>
  <r>
    <s v="(ML) Honda of Little Rock23"/>
    <x v="19"/>
    <x v="15"/>
    <x v="1"/>
    <x v="1"/>
    <x v="16"/>
    <x v="1"/>
    <s v="https://tools.sig.systems/site/details/249"/>
    <s v="https://www.google.com/maps/d/viewer?mid=1hvbKFMO-d5TXrKGU-g5dt_xcdArB1D0&amp;ll=34.71147784120261%2C-92.40574350000001&amp;z=17"/>
    <x v="1"/>
    <x v="0"/>
    <x v="15"/>
    <x v="0"/>
    <x v="0"/>
    <x v="14"/>
    <x v="15"/>
    <x v="16"/>
  </r>
  <r>
    <s v="(ML) McLarty Gray-Daniels Toyota Nissan23"/>
    <x v="19"/>
    <x v="15"/>
    <x v="1"/>
    <x v="1"/>
    <x v="108"/>
    <x v="1"/>
    <s v="https://tools.sig.systems/site/details/152"/>
    <s v="https://www.google.com/maps/d/edit?mid=111nhCL4Xjj2Pq0zP5xUrMzHQqAihqa0&amp;usp=sharing"/>
    <x v="1"/>
    <x v="0"/>
    <x v="3"/>
    <x v="40"/>
    <x v="0"/>
    <x v="72"/>
    <x v="79"/>
    <x v="107"/>
  </r>
  <r>
    <s v="(AS) Audi of North Atlanta (NO TOURS)23"/>
    <x v="19"/>
    <x v="16"/>
    <x v="0"/>
    <x v="0"/>
    <x v="87"/>
    <x v="0"/>
    <s v="https://tools.sig.systems/site/details/124"/>
    <s v="https://www.google.com/maps/d/edit?mid=1jkN3DS1BhUqp_dztjjW0PDwKfo_Yxsw&amp;usp=sharing"/>
    <x v="1"/>
    <x v="0"/>
    <x v="62"/>
    <x v="0"/>
    <x v="0"/>
    <x v="57"/>
    <x v="61"/>
    <x v="87"/>
  </r>
  <r>
    <s v="(AS) Stevinson Porsche of Littleton (NO TOURS)23"/>
    <x v="19"/>
    <x v="16"/>
    <x v="3"/>
    <x v="2"/>
    <x v="7"/>
    <x v="3"/>
    <s v="https://tools.sig.systems/site/details/242"/>
    <m/>
    <x v="1"/>
    <x v="0"/>
    <x v="7"/>
    <x v="2"/>
    <x v="0"/>
    <x v="6"/>
    <x v="7"/>
    <x v="7"/>
  </r>
  <r>
    <s v="(HUD) Paint and Body Center (NO TOURS)23"/>
    <x v="19"/>
    <x v="16"/>
    <x v="0"/>
    <x v="0"/>
    <x v="38"/>
    <x v="0"/>
    <s v="https://tools.sig.systems/site/details/256"/>
    <s v="https://www.google.com/maps/d/viewer?mid=1ejOzT7-x6RWnCf83BBP7XhiOiwEX3Wk&amp;ll=36.061264791292906%2C-79.87437695000003&amp;z=17"/>
    <x v="1"/>
    <x v="0"/>
    <x v="3"/>
    <x v="9"/>
    <x v="0"/>
    <x v="6"/>
    <x v="11"/>
    <x v="38"/>
  </r>
  <r>
    <s v="(KG) Baytown GMC Buick - Remote Lot (NO TOURS)23"/>
    <x v="19"/>
    <x v="16"/>
    <x v="2"/>
    <x v="1"/>
    <x v="70"/>
    <x v="2"/>
    <s v="https://tools.sig.systems/site/details/311"/>
    <m/>
    <x v="1"/>
    <x v="3"/>
    <x v="3"/>
    <x v="25"/>
    <x v="0"/>
    <x v="6"/>
    <x v="11"/>
    <x v="70"/>
  </r>
  <r>
    <s v="(KG) Baytown GMC Buick (NO TOURS)23"/>
    <x v="19"/>
    <x v="16"/>
    <x v="1"/>
    <x v="1"/>
    <x v="71"/>
    <x v="1"/>
    <s v="https://tools.sig.systems/site/details/239"/>
    <m/>
    <x v="1"/>
    <x v="0"/>
    <x v="52"/>
    <x v="0"/>
    <x v="0"/>
    <x v="47"/>
    <x v="53"/>
    <x v="71"/>
  </r>
  <r>
    <s v="(ML) Nissan of North Little Rock23"/>
    <x v="19"/>
    <x v="16"/>
    <x v="1"/>
    <x v="1"/>
    <x v="20"/>
    <x v="1"/>
    <s v="https://tools.sig.systems/site/details/216"/>
    <s v="https://www.google.com/maps/d/edit?mid=1Oky35ERk_2kgyzCvDu_odQ2ZP62BtqA&amp;usp=sharing"/>
    <x v="1"/>
    <x v="0"/>
    <x v="16"/>
    <x v="0"/>
    <x v="0"/>
    <x v="18"/>
    <x v="17"/>
    <x v="20"/>
  </r>
  <r>
    <s v="(AS) Courtesy Kia of Brandon (NO TOURS)23"/>
    <x v="19"/>
    <x v="17"/>
    <x v="0"/>
    <x v="0"/>
    <x v="57"/>
    <x v="0"/>
    <s v="https://tools.sig.systems/site/details/121"/>
    <s v="https://www.google.com/maps/d/edit?mid=15R4hTDQx56ij99--JgozdqOIZh-kSlk&amp;usp=sharing"/>
    <x v="0"/>
    <x v="0"/>
    <x v="3"/>
    <x v="22"/>
    <x v="0"/>
    <x v="38"/>
    <x v="43"/>
    <x v="57"/>
  </r>
  <r>
    <s v="(AS) Nalley Luxury Collision Center (NO TOURS)23"/>
    <x v="19"/>
    <x v="17"/>
    <x v="0"/>
    <x v="0"/>
    <x v="31"/>
    <x v="0"/>
    <s v="https://tools.sig.systems/site/details/263"/>
    <s v="https://www.google.com/maps/d/edit?mid=1jkN3DS1BhUqp_dztjjW0PDwKfo_Yxsw&amp;usp=sharing"/>
    <x v="1"/>
    <x v="0"/>
    <x v="4"/>
    <x v="0"/>
    <x v="0"/>
    <x v="6"/>
    <x v="26"/>
    <x v="31"/>
  </r>
  <r>
    <s v="(DT) N. Houston23"/>
    <x v="19"/>
    <x v="17"/>
    <x v="1"/>
    <x v="1"/>
    <x v="9"/>
    <x v="1"/>
    <s v="https://tools.sig.systems/site/details/250"/>
    <m/>
    <x v="1"/>
    <x v="0"/>
    <x v="8"/>
    <x v="0"/>
    <x v="0"/>
    <x v="8"/>
    <x v="9"/>
    <x v="9"/>
  </r>
  <r>
    <s v="(KG) JLR LEHI (NO TOURS)23"/>
    <x v="19"/>
    <x v="17"/>
    <x v="3"/>
    <x v="2"/>
    <x v="73"/>
    <x v="3"/>
    <s v="https://tools.sig.systems/site/details/145"/>
    <m/>
    <x v="1"/>
    <x v="0"/>
    <x v="54"/>
    <x v="0"/>
    <x v="0"/>
    <x v="49"/>
    <x v="11"/>
    <x v="73"/>
  </r>
  <r>
    <s v="(ML) Mazda VW-Lot B23"/>
    <x v="19"/>
    <x v="17"/>
    <x v="1"/>
    <x v="1"/>
    <x v="45"/>
    <x v="1"/>
    <s v="https://tools.sig.systems/site/details/205"/>
    <s v="https://www.google.com/maps/d/edit?mid=1Oky35ERk_2kgyzCvDu_odQ2ZP62BtqA&amp;usp=sharing"/>
    <x v="1"/>
    <x v="0"/>
    <x v="33"/>
    <x v="9"/>
    <x v="0"/>
    <x v="30"/>
    <x v="11"/>
    <x v="45"/>
  </r>
  <r>
    <s v="(AS) Stevinson Chevrolet Golden (NO TOURS)23"/>
    <x v="19"/>
    <x v="18"/>
    <x v="7"/>
    <x v="2"/>
    <x v="96"/>
    <x v="3"/>
    <s v="https://tools.sig.systems/site/details/264"/>
    <s v="https://www.google.com/maps/d/edit?mid=1nAyK85WaWREy0lfxnmWn3USs2gC0nP0&amp;usp=sharing"/>
    <x v="1"/>
    <x v="0"/>
    <x v="3"/>
    <x v="36"/>
    <x v="0"/>
    <x v="66"/>
    <x v="68"/>
    <x v="95"/>
  </r>
  <r>
    <s v="(DT) Colorado Springs (NO TOURS)23"/>
    <x v="19"/>
    <x v="18"/>
    <x v="3"/>
    <x v="2"/>
    <x v="65"/>
    <x v="3"/>
    <s v="https://tools.sig.systems/site/details/198"/>
    <m/>
    <x v="1"/>
    <x v="0"/>
    <x v="3"/>
    <x v="24"/>
    <x v="0"/>
    <x v="6"/>
    <x v="49"/>
    <x v="65"/>
  </r>
  <r>
    <s v="(KG) Clear Lake Pre-Owned23"/>
    <x v="19"/>
    <x v="18"/>
    <x v="1"/>
    <x v="1"/>
    <x v="39"/>
    <x v="1"/>
    <s v="https://tools.sig.systems/site/details/255"/>
    <s v="https://www.google.com/maps/d/edit?mid=1DRwy5fy1g5UzGTA7a1OkQA-_CY8SQ2s&amp;usp=sharing"/>
    <x v="1"/>
    <x v="0"/>
    <x v="29"/>
    <x v="0"/>
    <x v="0"/>
    <x v="29"/>
    <x v="32"/>
    <x v="39"/>
  </r>
  <r>
    <s v="(ML) Collision Center N Little Rock23"/>
    <x v="19"/>
    <x v="18"/>
    <x v="1"/>
    <x v="1"/>
    <x v="106"/>
    <x v="1"/>
    <s v="https://tools.sig.systems/site/details/212"/>
    <s v="https://www.google.com/maps/d/edit?mid=1Oky35ERk_2kgyzCvDu_odQ2ZP62BtqA&amp;usp=sharing"/>
    <x v="1"/>
    <x v="0"/>
    <x v="3"/>
    <x v="0"/>
    <x v="0"/>
    <x v="6"/>
    <x v="77"/>
    <x v="105"/>
  </r>
  <r>
    <s v="(ML) Ford Lincoln of North Little Rock23"/>
    <x v="19"/>
    <x v="18"/>
    <x v="1"/>
    <x v="1"/>
    <x v="42"/>
    <x v="1"/>
    <s v="https://tools.sig.systems/site/details/214"/>
    <s v="https://www.google.com/maps/d/edit?mid=1Oky35ERk_2kgyzCvDu_odQ2ZP62BtqA&amp;usp=sharing"/>
    <x v="1"/>
    <x v="0"/>
    <x v="32"/>
    <x v="4"/>
    <x v="0"/>
    <x v="32"/>
    <x v="34"/>
    <x v="42"/>
  </r>
  <r>
    <s v="(RV) Toms Camperland Surprise (NO TOURS)23"/>
    <x v="19"/>
    <x v="18"/>
    <x v="5"/>
    <x v="3"/>
    <x v="51"/>
    <x v="4"/>
    <s v="https://tools.sig.systems/site/details/254"/>
    <m/>
    <x v="5"/>
    <x v="0"/>
    <x v="38"/>
    <x v="0"/>
    <x v="0"/>
    <x v="6"/>
    <x v="37"/>
    <x v="51"/>
  </r>
  <r>
    <s v="(AS) Courtesy CDJR of Brandon (NO TOURS)23"/>
    <x v="19"/>
    <x v="19"/>
    <x v="0"/>
    <x v="0"/>
    <x v="56"/>
    <x v="0"/>
    <s v="https://tools.sig.systems/site/details/126"/>
    <s v="https://www.google.com/maps/d/edit?mid=15R4hTDQx56ij99--JgozdqOIZh-kSlk&amp;usp=sharing"/>
    <x v="0"/>
    <x v="0"/>
    <x v="42"/>
    <x v="9"/>
    <x v="0"/>
    <x v="37"/>
    <x v="42"/>
    <x v="56"/>
  </r>
  <r>
    <s v="(AS) Stevinson Toyota West (NO TOURS)23"/>
    <x v="19"/>
    <x v="19"/>
    <x v="3"/>
    <x v="2"/>
    <x v="8"/>
    <x v="3"/>
    <s v="https://tools.sig.systems/site/details/240"/>
    <s v="https://www.google.com/maps/d/edit?mid=1nAyK85WaWREy0lfxnmWn3USs2gC0nP0&amp;usp=sharing"/>
    <x v="1"/>
    <x v="0"/>
    <x v="3"/>
    <x v="3"/>
    <x v="0"/>
    <x v="7"/>
    <x v="8"/>
    <x v="8"/>
  </r>
  <r>
    <s v="(KG) Big Star Ford23"/>
    <x v="19"/>
    <x v="19"/>
    <x v="1"/>
    <x v="1"/>
    <x v="102"/>
    <x v="1"/>
    <s v="https://tools.sig.systems/site/details/235"/>
    <m/>
    <x v="1"/>
    <x v="0"/>
    <x v="72"/>
    <x v="0"/>
    <x v="0"/>
    <x v="70"/>
    <x v="74"/>
    <x v="101"/>
  </r>
  <r>
    <s v="(PE) BMW Tenafly (NO TOURS)23"/>
    <x v="19"/>
    <x v="19"/>
    <x v="4"/>
    <x v="0"/>
    <x v="48"/>
    <x v="0"/>
    <s v="https://tools.sig.systems/site/details/155"/>
    <m/>
    <x v="1"/>
    <x v="0"/>
    <x v="36"/>
    <x v="18"/>
    <x v="0"/>
    <x v="6"/>
    <x v="19"/>
    <x v="48"/>
  </r>
  <r>
    <s v="(AS) Plaza Lexus/Mercedes/BMW (NO TOURS)23"/>
    <x v="19"/>
    <x v="20"/>
    <x v="1"/>
    <x v="1"/>
    <x v="63"/>
    <x v="1"/>
    <s v="https://tools.sig.systems/site/details/141"/>
    <s v="https://www.google.com/maps/d/viewer?mid=1whGZ1PLqmhJnGFz8uigZqUL4cHGGW3w&amp;ll=38.668847686454825%2C-90.4433601&amp;z=17"/>
    <x v="1"/>
    <x v="0"/>
    <x v="48"/>
    <x v="23"/>
    <x v="0"/>
    <x v="43"/>
    <x v="47"/>
    <x v="63"/>
  </r>
  <r>
    <s v="(AS) Stevinson Lexus of Lakewood (NO TOURS)23"/>
    <x v="19"/>
    <x v="20"/>
    <x v="3"/>
    <x v="2"/>
    <x v="34"/>
    <x v="3"/>
    <s v="https://tools.sig.systems/site/details/260"/>
    <s v="https://www.google.com/maps/d/edit?mid=1nAyK85WaWREy0lfxnmWn3USs2gC0nP0&amp;usp=sharing"/>
    <x v="1"/>
    <x v="0"/>
    <x v="3"/>
    <x v="14"/>
    <x v="8"/>
    <x v="6"/>
    <x v="28"/>
    <x v="34"/>
  </r>
  <r>
    <s v="(KG) Kia of Phoenix (NO TOURS)23"/>
    <x v="19"/>
    <x v="20"/>
    <x v="5"/>
    <x v="3"/>
    <x v="40"/>
    <x v="4"/>
    <s v="https://tools.sig.systems/site/details/262"/>
    <m/>
    <x v="4"/>
    <x v="0"/>
    <x v="30"/>
    <x v="0"/>
    <x v="0"/>
    <x v="30"/>
    <x v="11"/>
    <x v="40"/>
  </r>
  <r>
    <s v="(ML) Toyota N Little Rock23"/>
    <x v="19"/>
    <x v="20"/>
    <x v="1"/>
    <x v="1"/>
    <x v="21"/>
    <x v="1"/>
    <s v="https://tools.sig.systems/site/details/201"/>
    <s v="https://www.google.com/maps/d/edit?mid=1Oky35ERk_2kgyzCvDu_odQ2ZP62BtqA&amp;usp=sharing"/>
    <x v="1"/>
    <x v="0"/>
    <x v="17"/>
    <x v="0"/>
    <x v="0"/>
    <x v="19"/>
    <x v="11"/>
    <x v="21"/>
  </r>
  <r>
    <s v="(TC) Tavernier Creek Marina (NO TOURS)23"/>
    <x v="19"/>
    <x v="20"/>
    <x v="0"/>
    <x v="0"/>
    <x v="84"/>
    <x v="1"/>
    <s v="https://tools.sig.systems/site/details/164"/>
    <m/>
    <x v="6"/>
    <x v="0"/>
    <x v="60"/>
    <x v="0"/>
    <x v="0"/>
    <x v="6"/>
    <x v="59"/>
    <x v="84"/>
  </r>
  <r>
    <s v="(AS) Courtesy Hyundai/Nissan Tampa (NO TOURS)23"/>
    <x v="19"/>
    <x v="21"/>
    <x v="0"/>
    <x v="0"/>
    <x v="89"/>
    <x v="0"/>
    <s v="https://tools.sig.systems/site/details/128"/>
    <m/>
    <x v="0"/>
    <x v="0"/>
    <x v="64"/>
    <x v="0"/>
    <x v="0"/>
    <x v="59"/>
    <x v="62"/>
    <x v="89"/>
  </r>
  <r>
    <s v="(AS) Park Place JLR DFW Airport (NO TOURS)23"/>
    <x v="19"/>
    <x v="21"/>
    <x v="1"/>
    <x v="1"/>
    <x v="93"/>
    <x v="1"/>
    <s v="https://tools.sig.systems/site/details/135"/>
    <m/>
    <x v="1"/>
    <x v="0"/>
    <x v="67"/>
    <x v="33"/>
    <x v="13"/>
    <x v="63"/>
    <x v="65"/>
    <x v="93"/>
  </r>
  <r>
    <s v="(AS) Plaza Audi/Infiniti (NO TOURS)23"/>
    <x v="19"/>
    <x v="21"/>
    <x v="1"/>
    <x v="1"/>
    <x v="95"/>
    <x v="1"/>
    <s v="https://tools.sig.systems/site/details/141"/>
    <s v="https://www.google.com/maps/d/viewer?mid=1whGZ1PLqmhJnGFz8uigZqUL4cHGGW3w&amp;ll=38.668847686454825%2C-90.4433601&amp;z=17"/>
    <x v="1"/>
    <x v="0"/>
    <x v="68"/>
    <x v="35"/>
    <x v="0"/>
    <x v="65"/>
    <x v="67"/>
    <x v="63"/>
  </r>
  <r>
    <s v="(DT) Escondido23"/>
    <x v="19"/>
    <x v="21"/>
    <x v="5"/>
    <x v="4"/>
    <x v="98"/>
    <x v="5"/>
    <s v="https://tools.sig.systems/site/details/196"/>
    <m/>
    <x v="1"/>
    <x v="4"/>
    <x v="20"/>
    <x v="0"/>
    <x v="0"/>
    <x v="6"/>
    <x v="70"/>
    <x v="97"/>
  </r>
  <r>
    <s v="(RV) Sonny's Camp N Travel Concord23"/>
    <x v="19"/>
    <x v="21"/>
    <x v="0"/>
    <x v="0"/>
    <x v="114"/>
    <x v="0"/>
    <s v="https://tools.sig.systems/site/details/183"/>
    <m/>
    <x v="1"/>
    <x v="0"/>
    <x v="6"/>
    <x v="0"/>
    <x v="0"/>
    <x v="76"/>
    <x v="84"/>
    <x v="113"/>
  </r>
  <r>
    <s v="(AS) Lexus Grapevine I &amp; II (NO TOURS)23"/>
    <x v="19"/>
    <x v="22"/>
    <x v="1"/>
    <x v="1"/>
    <x v="29"/>
    <x v="1"/>
    <s v="https://tools.sig.systems/site/details/136"/>
    <m/>
    <x v="1"/>
    <x v="0"/>
    <x v="23"/>
    <x v="0"/>
    <x v="7"/>
    <x v="23"/>
    <x v="24"/>
    <x v="29"/>
  </r>
  <r>
    <s v="(AS) Lexus Smyrna (NO TOURS)23"/>
    <x v="19"/>
    <x v="22"/>
    <x v="0"/>
    <x v="0"/>
    <x v="30"/>
    <x v="0"/>
    <s v="https://tools.sig.systems/site/details/133"/>
    <m/>
    <x v="1"/>
    <x v="0"/>
    <x v="24"/>
    <x v="0"/>
    <x v="0"/>
    <x v="24"/>
    <x v="25"/>
    <x v="30"/>
  </r>
  <r>
    <s v="(KG) Hyundai Surprise23"/>
    <x v="19"/>
    <x v="22"/>
    <x v="5"/>
    <x v="3"/>
    <x v="103"/>
    <x v="4"/>
    <s v="https://tools.sig.systems/site/details/269"/>
    <m/>
    <x v="4"/>
    <x v="0"/>
    <x v="73"/>
    <x v="0"/>
    <x v="0"/>
    <x v="71"/>
    <x v="11"/>
    <x v="102"/>
  </r>
  <r>
    <s v="(KT) Northwest CDJR (NO TOURS)23"/>
    <x v="19"/>
    <x v="22"/>
    <x v="1"/>
    <x v="1"/>
    <x v="15"/>
    <x v="1"/>
    <s v="https://tools.sig.systems/site/details/229"/>
    <m/>
    <x v="1"/>
    <x v="0"/>
    <x v="14"/>
    <x v="0"/>
    <x v="0"/>
    <x v="13"/>
    <x v="11"/>
    <x v="15"/>
  </r>
  <r>
    <s v="(AS) Park Place Bodywerks Ft. Worth (NO TOURS)24"/>
    <x v="20"/>
    <x v="0"/>
    <x v="1"/>
    <x v="1"/>
    <x v="92"/>
    <x v="1"/>
    <s v="https://tools.sig.systems/site/details/134"/>
    <s v="https://www.google.com/maps/d/edit?mid=18OEO_KbvYcgI3N1jE4gTMXfNHTNDrFU&amp;ll=32.66603989958274%2C-97.42021198201722&amp;z=18"/>
    <x v="1"/>
    <x v="0"/>
    <x v="66"/>
    <x v="0"/>
    <x v="0"/>
    <x v="62"/>
    <x v="64"/>
    <x v="92"/>
  </r>
  <r>
    <s v="(DT) Louisville24"/>
    <x v="20"/>
    <x v="0"/>
    <x v="0"/>
    <x v="0"/>
    <x v="67"/>
    <x v="0"/>
    <s v="https://tools.sig.systems/site/details/258"/>
    <m/>
    <x v="1"/>
    <x v="0"/>
    <x v="3"/>
    <x v="16"/>
    <x v="0"/>
    <x v="6"/>
    <x v="50"/>
    <x v="67"/>
  </r>
  <r>
    <s v="(ML) McLarty-Gray Daniels Chevrolet24"/>
    <x v="20"/>
    <x v="0"/>
    <x v="1"/>
    <x v="1"/>
    <x v="109"/>
    <x v="1"/>
    <s v="https://tools.sig.systems/site/details/150"/>
    <m/>
    <x v="1"/>
    <x v="0"/>
    <x v="74"/>
    <x v="0"/>
    <x v="0"/>
    <x v="73"/>
    <x v="80"/>
    <x v="108"/>
  </r>
  <r>
    <s v="(ML) Nissan Of Benton24"/>
    <x v="20"/>
    <x v="0"/>
    <x v="1"/>
    <x v="1"/>
    <x v="80"/>
    <x v="1"/>
    <s v="https://tools.sig.systems/site/details/247"/>
    <m/>
    <x v="1"/>
    <x v="0"/>
    <x v="57"/>
    <x v="0"/>
    <x v="0"/>
    <x v="54"/>
    <x v="11"/>
    <x v="80"/>
  </r>
  <r>
    <s v="(PE) Scofield Service Center (NO TOURS)24"/>
    <x v="20"/>
    <x v="0"/>
    <x v="4"/>
    <x v="0"/>
    <x v="113"/>
    <x v="0"/>
    <s v="https://tools.sig.systems/site/details/193"/>
    <s v="https://www.google.com/maps/d/viewer?mid=1FEo41PzFJQjUIXXKitX5TNCtuqR6Vbs&amp;ll=41.1663376742533%2C-73.22955662049608&amp;z=16"/>
    <x v="1"/>
    <x v="0"/>
    <x v="6"/>
    <x v="0"/>
    <x v="0"/>
    <x v="75"/>
    <x v="51"/>
    <x v="112"/>
  </r>
  <r>
    <s v="(RV) Toms Camperland Avondale (NO TOURS)24"/>
    <x v="20"/>
    <x v="0"/>
    <x v="5"/>
    <x v="3"/>
    <x v="24"/>
    <x v="4"/>
    <s v="https://tools.sig.systems/site/details/248"/>
    <s v="https://www.google.com/maps/d/viewer?mid=1bDs0QGFZwL3vEeGKxjVMk_j4azr0-lg&amp;ll=33.4593758581648%2C-112.28793780000001&amp;z=18"/>
    <x v="2"/>
    <x v="0"/>
    <x v="19"/>
    <x v="10"/>
    <x v="0"/>
    <x v="6"/>
    <x v="20"/>
    <x v="24"/>
  </r>
  <r>
    <s v="(JE) Jim Ellis Ford Sandy Springs24"/>
    <x v="20"/>
    <x v="1"/>
    <x v="0"/>
    <x v="0"/>
    <x v="69"/>
    <x v="0"/>
    <s v="https://tools.sig.systems/site/details/142"/>
    <m/>
    <x v="1"/>
    <x v="0"/>
    <x v="51"/>
    <x v="0"/>
    <x v="0"/>
    <x v="46"/>
    <x v="52"/>
    <x v="69"/>
  </r>
  <r>
    <s v="(KG) Texan CDJR24"/>
    <x v="20"/>
    <x v="1"/>
    <x v="1"/>
    <x v="1"/>
    <x v="13"/>
    <x v="1"/>
    <s v="https://tools.sig.systems/site/details/238"/>
    <s v="https://www.google.com/maps/d/edit?mid=1FNqK4dW8Z8gtSWuQLbStrtqe7lH8DIQ&amp;usp=sharing"/>
    <x v="1"/>
    <x v="0"/>
    <x v="12"/>
    <x v="0"/>
    <x v="5"/>
    <x v="11"/>
    <x v="13"/>
    <x v="13"/>
  </r>
  <r>
    <s v="(ML) Columbia Honda (NO TOURS)24"/>
    <x v="20"/>
    <x v="1"/>
    <x v="1"/>
    <x v="1"/>
    <x v="75"/>
    <x v="1"/>
    <s v="https://tools.sig.systems/site/details/272"/>
    <s v="https://www.google.com/maps/d/viewer?hl=es&amp;mid=1C1oZdjH3dNvCvqdpIv_Lk0Yn1OCVn-4&amp;ll=38.965368114274426%2C-92.3405954&amp;z=15"/>
    <x v="1"/>
    <x v="0"/>
    <x v="3"/>
    <x v="26"/>
    <x v="0"/>
    <x v="50"/>
    <x v="56"/>
    <x v="75"/>
  </r>
  <r>
    <s v="(ML) McLarty Gray-Daniels Ford Lincoln24"/>
    <x v="20"/>
    <x v="1"/>
    <x v="1"/>
    <x v="1"/>
    <x v="79"/>
    <x v="1"/>
    <s v="https://tools.sig.systems/site/details/151"/>
    <s v="https://www.google.com/maps/d/edit?mid=111nhCL4Xjj2Pq0zP5xUrMzHQqAihqa0&amp;usp=sharing"/>
    <x v="1"/>
    <x v="0"/>
    <x v="56"/>
    <x v="29"/>
    <x v="0"/>
    <x v="53"/>
    <x v="57"/>
    <x v="79"/>
  </r>
  <r>
    <s v="(AS) Park Place Mercedes Benz Arlington (NO TOURS)24"/>
    <x v="20"/>
    <x v="2"/>
    <x v="1"/>
    <x v="1"/>
    <x v="61"/>
    <x v="1"/>
    <s v="https://tools.sig.systems/site/details/169"/>
    <m/>
    <x v="1"/>
    <x v="0"/>
    <x v="46"/>
    <x v="0"/>
    <x v="11"/>
    <x v="41"/>
    <x v="46"/>
    <x v="61"/>
  </r>
  <r>
    <s v="(KG) Texan GMC Buick (NO TOURS)24"/>
    <x v="20"/>
    <x v="2"/>
    <x v="1"/>
    <x v="1"/>
    <x v="41"/>
    <x v="1"/>
    <s v="https://tools.sig.systems/site/details/225"/>
    <s v="https://www.google.com/maps/d/edit?mid=1FNqK4dW8Z8gtSWuQLbStrtqe7lH8DIQ&amp;usp=sharing"/>
    <x v="1"/>
    <x v="0"/>
    <x v="31"/>
    <x v="0"/>
    <x v="0"/>
    <x v="31"/>
    <x v="33"/>
    <x v="41"/>
  </r>
  <r>
    <s v="(LM) Luther Mazda / Mitsubishi24"/>
    <x v="20"/>
    <x v="2"/>
    <x v="1"/>
    <x v="1"/>
    <x v="74"/>
    <x v="1"/>
    <s v="https://tools.sig.systems/site/details/147"/>
    <s v="https://www.google.com/maps/d/viewer?mid=1ot0ILX76JMuvd9yMuqkb4_e0yH1n7TA&amp;ll=45.07815812965141%2C-93.33506855000002&amp;z=17"/>
    <x v="1"/>
    <x v="0"/>
    <x v="55"/>
    <x v="0"/>
    <x v="12"/>
    <x v="6"/>
    <x v="55"/>
    <x v="74"/>
  </r>
  <r>
    <s v="(ML) Joe Machens CDJR24"/>
    <x v="20"/>
    <x v="2"/>
    <x v="1"/>
    <x v="1"/>
    <x v="43"/>
    <x v="1"/>
    <s v="https://tools.sig.systems/site/details/273"/>
    <s v="https://www.google.com/maps/d/viewer?hl=es&amp;mid=1C1oZdjH3dNvCvqdpIv_Lk0Yn1OCVn-4&amp;ll=38.965368114274455%2C-92.3405954&amp;z=15"/>
    <x v="1"/>
    <x v="0"/>
    <x v="3"/>
    <x v="16"/>
    <x v="0"/>
    <x v="6"/>
    <x v="35"/>
    <x v="43"/>
  </r>
  <r>
    <s v="(PE) BMW of Greenwich (NO TOURS)24"/>
    <x v="20"/>
    <x v="2"/>
    <x v="4"/>
    <x v="0"/>
    <x v="110"/>
    <x v="0"/>
    <s v="https://tools.sig.systems/site/details/186"/>
    <s v="https://www.google.com/maps/d/edit?hl=en&amp;mid=1UHmt7tH1ihTa85i0MfQIcTfVvIQg_vM&amp;ll=41.024187580466844%2C-73.63702405370861&amp;z=18"/>
    <x v="1"/>
    <x v="0"/>
    <x v="75"/>
    <x v="0"/>
    <x v="0"/>
    <x v="6"/>
    <x v="81"/>
    <x v="109"/>
  </r>
  <r>
    <s v="(AS) Park Place Volvo Sales (NO TOURS)24"/>
    <x v="20"/>
    <x v="3"/>
    <x v="1"/>
    <x v="1"/>
    <x v="33"/>
    <x v="1"/>
    <s v="https://tools.sig.systems/site/details/139"/>
    <s v="https://www.google.com/maps/d/edit?hl=es&amp;mid=1uPmsRMsXnp74hPFW2t-sp2totVWF_xY&amp;ll=32.83050137713022%2C-96.83197783061323&amp;z=17"/>
    <x v="1"/>
    <x v="0"/>
    <x v="26"/>
    <x v="0"/>
    <x v="0"/>
    <x v="26"/>
    <x v="27"/>
    <x v="33"/>
  </r>
  <r>
    <s v="(DT) Denver (NO TOURS)24"/>
    <x v="20"/>
    <x v="3"/>
    <x v="3"/>
    <x v="2"/>
    <x v="97"/>
    <x v="3"/>
    <s v="https://tools.sig.systems/site/details/203"/>
    <s v="https://www.google.com/maps/d/edit?mid=1AjZHz2LTg0RMhZUOmyZsv_Y4MFcaP8g&amp;usp=sharing"/>
    <x v="1"/>
    <x v="0"/>
    <x v="3"/>
    <x v="25"/>
    <x v="0"/>
    <x v="6"/>
    <x v="69"/>
    <x v="96"/>
  </r>
  <r>
    <s v="(ML) Joe Machens Nissan24"/>
    <x v="20"/>
    <x v="3"/>
    <x v="1"/>
    <x v="1"/>
    <x v="78"/>
    <x v="1"/>
    <s v="https://tools.sig.systems/site/details/279"/>
    <s v="https://www.google.com/maps/d/viewer?hl=es&amp;mid=1C1oZdjH3dNvCvqdpIv_Lk0Yn1OCVn-4&amp;ll=38.965368114274455%2C-92.3405954&amp;z=15"/>
    <x v="1"/>
    <x v="0"/>
    <x v="3"/>
    <x v="28"/>
    <x v="0"/>
    <x v="6"/>
    <x v="11"/>
    <x v="78"/>
  </r>
  <r>
    <s v="(ML) Joe Machens VW24"/>
    <x v="20"/>
    <x v="3"/>
    <x v="1"/>
    <x v="1"/>
    <x v="19"/>
    <x v="1"/>
    <s v="https://tools.sig.systems/site/details/274"/>
    <s v="https://www.google.com/maps/d/viewer?hl=es&amp;mid=1C1oZdjH3dNvCvqdpIv_Lk0Yn1OCVn-4&amp;ll=38.965368114274455%2C-92.3405954&amp;z=15"/>
    <x v="1"/>
    <x v="0"/>
    <x v="3"/>
    <x v="8"/>
    <x v="0"/>
    <x v="17"/>
    <x v="11"/>
    <x v="19"/>
  </r>
  <r>
    <s v="(ML) Nissan of Little Rock24"/>
    <x v="20"/>
    <x v="3"/>
    <x v="1"/>
    <x v="1"/>
    <x v="46"/>
    <x v="1"/>
    <s v="https://tools.sig.systems/site/details/224"/>
    <s v="https://www.google.com/maps/d/viewer?mid=1hvbKFMO-d5TXrKGU-g5dt_xcdArB1D0&amp;ll=34.71147784120261%2C-92.40574350000001&amp;z=17"/>
    <x v="1"/>
    <x v="0"/>
    <x v="34"/>
    <x v="0"/>
    <x v="0"/>
    <x v="34"/>
    <x v="7"/>
    <x v="46"/>
  </r>
  <r>
    <s v="(SCH) Chevrolet North Palm24"/>
    <x v="20"/>
    <x v="3"/>
    <x v="0"/>
    <x v="0"/>
    <x v="52"/>
    <x v="0"/>
    <s v="https://tools.sig.systems/site/details/160"/>
    <m/>
    <x v="3"/>
    <x v="0"/>
    <x v="39"/>
    <x v="0"/>
    <x v="0"/>
    <x v="6"/>
    <x v="38"/>
    <x v="52"/>
  </r>
  <r>
    <s v="(AS) Mercedes Benz/Porsche Dallas I,II,III (NO TOURS)24"/>
    <x v="20"/>
    <x v="4"/>
    <x v="1"/>
    <x v="1"/>
    <x v="2"/>
    <x v="1"/>
    <s v="https://tools.sig.systems/site/details/168"/>
    <s v="https://www.google.com/maps/d/edit?hl=es&amp;mid=1uPmsRMsXnp74hPFW2t-sp2totVWF_xY&amp;ll=32.83050137713022%2C-96.83197783061323&amp;z=17"/>
    <x v="1"/>
    <x v="0"/>
    <x v="2"/>
    <x v="0"/>
    <x v="2"/>
    <x v="2"/>
    <x v="2"/>
    <x v="2"/>
  </r>
  <r>
    <s v="(ML) BMW of Little Rock24"/>
    <x v="20"/>
    <x v="4"/>
    <x v="1"/>
    <x v="1"/>
    <x v="105"/>
    <x v="1"/>
    <s v="https://tools.sig.systems/site/details/217"/>
    <s v="https://www.google.com/maps/d/viewer?mid=1hvbKFMO-d5TXrKGU-g5dt_xcdArB1D0&amp;ll=34.71147784120261%2C-92.40574350000001&amp;z=17"/>
    <x v="1"/>
    <x v="0"/>
    <x v="3"/>
    <x v="38"/>
    <x v="0"/>
    <x v="6"/>
    <x v="76"/>
    <x v="104"/>
  </r>
  <r>
    <s v="(ML) Joe Machens Toyota24"/>
    <x v="20"/>
    <x v="4"/>
    <x v="1"/>
    <x v="1"/>
    <x v="18"/>
    <x v="1"/>
    <s v="https://tools.sig.systems/site/details/275"/>
    <s v="https://www.google.com/maps/d/viewer?hl=es&amp;mid=1C1oZdjH3dNvCvqdpIv_Lk0Yn1OCVn-4&amp;ll=38.965368114274455%2C-92.3405954&amp;z=15"/>
    <x v="1"/>
    <x v="0"/>
    <x v="3"/>
    <x v="7"/>
    <x v="0"/>
    <x v="16"/>
    <x v="11"/>
    <x v="18"/>
  </r>
  <r>
    <s v="(PE) JLR PDI (NO TOURS)24"/>
    <x v="20"/>
    <x v="4"/>
    <x v="4"/>
    <x v="0"/>
    <x v="50"/>
    <x v="0"/>
    <s v="https://tools.sig.systems/site/details/179"/>
    <s v="https://www.google.com/maps/d/viewer?mid=1ubI2iKs1JyYXssuT4oLPnVvFnyLPi_s&amp;ll=40.878808846788026%2C-73.98560655&amp;z=17"/>
    <x v="1"/>
    <x v="0"/>
    <x v="37"/>
    <x v="0"/>
    <x v="0"/>
    <x v="6"/>
    <x v="11"/>
    <x v="50"/>
  </r>
  <r>
    <s v="(AS) Park Place Sprinter Van Center (NO TOURS)24"/>
    <x v="20"/>
    <x v="5"/>
    <x v="1"/>
    <x v="1"/>
    <x v="6"/>
    <x v="1"/>
    <s v="https://tools.sig.systems/site/details/138"/>
    <s v="https://www.google.com/maps/d/edit?hl=es&amp;mid=1uPmsRMsXnp74hPFW2t-sp2totVWF_xY&amp;ll=32.83050137713022%2C-96.83197783061323&amp;z=17"/>
    <x v="1"/>
    <x v="0"/>
    <x v="6"/>
    <x v="0"/>
    <x v="0"/>
    <x v="6"/>
    <x v="6"/>
    <x v="6"/>
  </r>
  <r>
    <s v="(HUD) Honda of Southpoint24"/>
    <x v="20"/>
    <x v="5"/>
    <x v="0"/>
    <x v="0"/>
    <x v="11"/>
    <x v="0"/>
    <s v="https://tools.sig.systems/site/details/195"/>
    <m/>
    <x v="0"/>
    <x v="0"/>
    <x v="10"/>
    <x v="4"/>
    <x v="0"/>
    <x v="10"/>
    <x v="11"/>
    <x v="11"/>
  </r>
  <r>
    <s v="(ML) Honda of Little Rock24"/>
    <x v="20"/>
    <x v="5"/>
    <x v="1"/>
    <x v="1"/>
    <x v="16"/>
    <x v="1"/>
    <s v="https://tools.sig.systems/site/details/249"/>
    <s v="https://www.google.com/maps/d/viewer?mid=1hvbKFMO-d5TXrKGU-g5dt_xcdArB1D0&amp;ll=34.71147784120261%2C-92.40574350000001&amp;z=17"/>
    <x v="1"/>
    <x v="0"/>
    <x v="15"/>
    <x v="0"/>
    <x v="0"/>
    <x v="14"/>
    <x v="15"/>
    <x v="16"/>
  </r>
  <r>
    <s v="(ML) Joe Machens E Collision Center24"/>
    <x v="20"/>
    <x v="5"/>
    <x v="1"/>
    <x v="1"/>
    <x v="76"/>
    <x v="1"/>
    <s v="https://tools.sig.systems/site/details/277"/>
    <s v="https://www.google.com/maps/d/viewer?hl=es&amp;mid=1C1oZdjH3dNvCvqdpIv_Lk0Yn1OCVn-4&amp;ll=38.965368114274455%2C-92.3405954&amp;z=15"/>
    <x v="1"/>
    <x v="0"/>
    <x v="6"/>
    <x v="0"/>
    <x v="0"/>
    <x v="51"/>
    <x v="57"/>
    <x v="76"/>
  </r>
  <r>
    <s v="(PE) BMW of Mamaroneck (NO TOURS)24"/>
    <x v="20"/>
    <x v="5"/>
    <x v="4"/>
    <x v="0"/>
    <x v="111"/>
    <x v="0"/>
    <s v="https://tools.sig.systems/site/details/185"/>
    <m/>
    <x v="1"/>
    <x v="0"/>
    <x v="76"/>
    <x v="41"/>
    <x v="0"/>
    <x v="6"/>
    <x v="82"/>
    <x v="110"/>
  </r>
  <r>
    <s v="(RML) Burleson Nissan24"/>
    <x v="20"/>
    <x v="5"/>
    <x v="1"/>
    <x v="1"/>
    <x v="82"/>
    <x v="1"/>
    <s v="https://tools.sig.systems/site/details/202"/>
    <m/>
    <x v="1"/>
    <x v="0"/>
    <x v="58"/>
    <x v="0"/>
    <x v="0"/>
    <x v="56"/>
    <x v="11"/>
    <x v="82"/>
  </r>
  <r>
    <s v="(SCH) Prep Center Delray24"/>
    <x v="20"/>
    <x v="5"/>
    <x v="0"/>
    <x v="0"/>
    <x v="53"/>
    <x v="0"/>
    <s v="https://tools.sig.systems/site/details/321"/>
    <m/>
    <x v="1"/>
    <x v="0"/>
    <x v="40"/>
    <x v="0"/>
    <x v="0"/>
    <x v="6"/>
    <x v="39"/>
    <x v="53"/>
  </r>
  <r>
    <s v="(AS) Atwell Prep Center-Dallas (NO TOURS)24"/>
    <x v="20"/>
    <x v="6"/>
    <x v="1"/>
    <x v="1"/>
    <x v="86"/>
    <x v="1"/>
    <s v="https://tools.sig.systems/site/details/165"/>
    <s v="https://www.google.com/maps/d/edit?hl=es&amp;mid=1uPmsRMsXnp74hPFW2t-sp2totVWF_xY&amp;ll=32.83050137713022%2C-96.83197783061323&amp;z=17"/>
    <x v="1"/>
    <x v="0"/>
    <x v="61"/>
    <x v="0"/>
    <x v="0"/>
    <x v="6"/>
    <x v="28"/>
    <x v="86"/>
  </r>
  <r>
    <s v="(AS) Park Place Mercedes Benz Ft. Worth (NO TOURS)24"/>
    <x v="20"/>
    <x v="6"/>
    <x v="1"/>
    <x v="1"/>
    <x v="5"/>
    <x v="1"/>
    <s v="https://tools.sig.systems/site/details/137"/>
    <s v="https://www.google.com/maps/d/edit?mid=18OEO_KbvYcgI3N1jE4gTMXfNHTNDrFU&amp;ll=32.66603989958274%2C-97.42021198201722&amp;z=18"/>
    <x v="1"/>
    <x v="0"/>
    <x v="5"/>
    <x v="0"/>
    <x v="4"/>
    <x v="5"/>
    <x v="5"/>
    <x v="5"/>
  </r>
  <r>
    <s v="(ML) Ford Lincoln of North Little Rock24"/>
    <x v="20"/>
    <x v="6"/>
    <x v="1"/>
    <x v="1"/>
    <x v="42"/>
    <x v="1"/>
    <s v="https://tools.sig.systems/site/details/214"/>
    <s v="https://www.google.com/maps/d/edit?mid=1Oky35ERk_2kgyzCvDu_odQ2ZP62BtqA&amp;usp=sharing"/>
    <x v="1"/>
    <x v="0"/>
    <x v="32"/>
    <x v="4"/>
    <x v="0"/>
    <x v="32"/>
    <x v="34"/>
    <x v="42"/>
  </r>
  <r>
    <s v="(ML) Joe Machens Temporary 2.024"/>
    <x v="20"/>
    <x v="6"/>
    <x v="1"/>
    <x v="1"/>
    <x v="44"/>
    <x v="1"/>
    <s v="https://tools.sig.systems/site/details/278"/>
    <s v="https://www.google.com/maps/d/viewer?hl=es&amp;mid=1C1oZdjH3dNvCvqdpIv_Lk0Yn1OCVn-4&amp;ll=38.965368114274455%2C-92.3405954&amp;z=15"/>
    <x v="1"/>
    <x v="0"/>
    <x v="3"/>
    <x v="17"/>
    <x v="0"/>
    <x v="33"/>
    <x v="11"/>
    <x v="44"/>
  </r>
  <r>
    <s v="(SCH) Auto Body Shop Lake Park24"/>
    <x v="20"/>
    <x v="6"/>
    <x v="0"/>
    <x v="0"/>
    <x v="83"/>
    <x v="0"/>
    <s v="https://tools.sig.systems/site/details/158"/>
    <m/>
    <x v="1"/>
    <x v="0"/>
    <x v="59"/>
    <x v="0"/>
    <x v="0"/>
    <x v="6"/>
    <x v="11"/>
    <x v="83"/>
  </r>
  <r>
    <s v="(AS) Courtesy Honda Palm Harbor (NO TOURS)24"/>
    <x v="20"/>
    <x v="7"/>
    <x v="0"/>
    <x v="0"/>
    <x v="88"/>
    <x v="0"/>
    <s v="https://tools.sig.systems/site/details/176"/>
    <m/>
    <x v="3"/>
    <x v="0"/>
    <x v="63"/>
    <x v="0"/>
    <x v="0"/>
    <x v="58"/>
    <x v="24"/>
    <x v="88"/>
  </r>
  <r>
    <s v="(AS) Nalley Lexus &amp; Remote Lot Roswell (NO TOURS)24"/>
    <x v="20"/>
    <x v="7"/>
    <x v="2"/>
    <x v="0"/>
    <x v="4"/>
    <x v="2"/>
    <s v="https://tools.sig.systems/site/details/131"/>
    <s v="https://www.google.com/maps/d/edit?mid=1jkN3DS1BhUqp_dztjjW0PDwKfo_Yxsw&amp;usp=sharing"/>
    <x v="1"/>
    <x v="1"/>
    <x v="4"/>
    <x v="1"/>
    <x v="3"/>
    <x v="4"/>
    <x v="4"/>
    <x v="4"/>
  </r>
  <r>
    <s v="(AS) Park Place Bodywerks Dallas (NO TOURS)24"/>
    <x v="20"/>
    <x v="7"/>
    <x v="1"/>
    <x v="1"/>
    <x v="59"/>
    <x v="1"/>
    <s v="https://tools.sig.systems/site/details/166"/>
    <s v="https://www.google.com/maps/d/edit?hl=es&amp;mid=1uPmsRMsXnp74hPFW2t-sp2totVWF_xY&amp;ll=32.83050137713022%2C-96.83197783061323&amp;z=17"/>
    <x v="1"/>
    <x v="0"/>
    <x v="44"/>
    <x v="9"/>
    <x v="0"/>
    <x v="6"/>
    <x v="45"/>
    <x v="59"/>
  </r>
  <r>
    <s v="(KG) Big Star Honda24"/>
    <x v="20"/>
    <x v="7"/>
    <x v="1"/>
    <x v="1"/>
    <x v="72"/>
    <x v="1"/>
    <s v="https://tools.sig.systems/site/details/231"/>
    <m/>
    <x v="1"/>
    <x v="0"/>
    <x v="53"/>
    <x v="0"/>
    <x v="0"/>
    <x v="48"/>
    <x v="54"/>
    <x v="72"/>
  </r>
  <r>
    <s v="(AS) Park Place MB Recon Center Dallas (NO TOURS)24"/>
    <x v="20"/>
    <x v="8"/>
    <x v="1"/>
    <x v="1"/>
    <x v="60"/>
    <x v="1"/>
    <s v="https://tools.sig.systems/site/details/170"/>
    <s v="https://www.google.com/maps/d/edit?hl=es&amp;mid=1uPmsRMsXnp74hPFW2t-sp2totVWF_xY&amp;ll=32.83050137713022%2C-96.83197783061323&amp;z=17"/>
    <x v="1"/>
    <x v="0"/>
    <x v="45"/>
    <x v="0"/>
    <x v="0"/>
    <x v="40"/>
    <x v="19"/>
    <x v="60"/>
  </r>
  <r>
    <s v="(ML) Joe Machens Ford Lincoln I &amp; II24"/>
    <x v="20"/>
    <x v="8"/>
    <x v="1"/>
    <x v="1"/>
    <x v="77"/>
    <x v="1"/>
    <s v="https://tools.sig.systems/site/details/266"/>
    <s v="https://www.google.com/maps/d/viewer?hl=es&amp;mid=1C1oZdjH3dNvCvqdpIv_Lk0Yn1OCVn-4&amp;ll=38.965368114274455%2C-92.3405954&amp;z=15"/>
    <x v="1"/>
    <x v="0"/>
    <x v="3"/>
    <x v="27"/>
    <x v="0"/>
    <x v="52"/>
    <x v="11"/>
    <x v="77"/>
  </r>
  <r>
    <s v="(ML) Joe Machens Kia of Columbia24"/>
    <x v="20"/>
    <x v="8"/>
    <x v="1"/>
    <x v="1"/>
    <x v="107"/>
    <x v="1"/>
    <s v="https://tools.sig.systems/site/details/270"/>
    <s v="https://www.google.com/maps/d/viewer?hl=es&amp;mid=1C1oZdjH3dNvCvqdpIv_Lk0Yn1OCVn-4&amp;ll=38.965368114274455%2C-92.3405954&amp;z=15"/>
    <x v="1"/>
    <x v="0"/>
    <x v="3"/>
    <x v="39"/>
    <x v="0"/>
    <x v="6"/>
    <x v="78"/>
    <x v="106"/>
  </r>
  <r>
    <s v="(SCH) Delray I &amp; II24"/>
    <x v="20"/>
    <x v="8"/>
    <x v="0"/>
    <x v="0"/>
    <x v="26"/>
    <x v="0"/>
    <s v="https://tools.sig.systems/site/details/159"/>
    <m/>
    <x v="3"/>
    <x v="0"/>
    <x v="21"/>
    <x v="11"/>
    <x v="6"/>
    <x v="6"/>
    <x v="22"/>
    <x v="26"/>
  </r>
  <r>
    <s v="(SCH) West Palm Beach I, II &amp; III24"/>
    <x v="20"/>
    <x v="9"/>
    <x v="6"/>
    <x v="0"/>
    <x v="54"/>
    <x v="0"/>
    <s v="https://tools.sig.systems/site/details/162"/>
    <m/>
    <x v="3"/>
    <x v="2"/>
    <x v="41"/>
    <x v="20"/>
    <x v="10"/>
    <x v="6"/>
    <x v="40"/>
    <x v="54"/>
  </r>
  <r>
    <s v="SIG Office24"/>
    <x v="20"/>
    <x v="9"/>
    <x v="2"/>
    <x v="0"/>
    <x v="85"/>
    <x v="2"/>
    <s v="https://tools.sig.systems/site/details/163"/>
    <m/>
    <x v="1"/>
    <x v="0"/>
    <x v="3"/>
    <x v="0"/>
    <x v="0"/>
    <x v="6"/>
    <x v="60"/>
    <x v="85"/>
  </r>
  <r>
    <s v="(AS) David McDavid Lincoln Frisco (NO TOURS)24"/>
    <x v="20"/>
    <x v="10"/>
    <x v="1"/>
    <x v="1"/>
    <x v="58"/>
    <x v="1"/>
    <s v="https://tools.sig.systems/site/details/182"/>
    <m/>
    <x v="1"/>
    <x v="0"/>
    <x v="43"/>
    <x v="0"/>
    <x v="0"/>
    <x v="39"/>
    <x v="44"/>
    <x v="58"/>
  </r>
  <r>
    <s v="(AS) Nalley BMW Collision Center (NO TOURS)24"/>
    <x v="20"/>
    <x v="10"/>
    <x v="0"/>
    <x v="0"/>
    <x v="3"/>
    <x v="0"/>
    <s v="https://tools.sig.systems/site/details/220"/>
    <m/>
    <x v="1"/>
    <x v="0"/>
    <x v="3"/>
    <x v="1"/>
    <x v="0"/>
    <x v="3"/>
    <x v="3"/>
    <x v="3"/>
  </r>
  <r>
    <s v="(DT) Albuquerque24"/>
    <x v="20"/>
    <x v="10"/>
    <x v="3"/>
    <x v="2"/>
    <x v="35"/>
    <x v="3"/>
    <s v="https://tools.sig.systems/site/details/237"/>
    <m/>
    <x v="1"/>
    <x v="0"/>
    <x v="27"/>
    <x v="0"/>
    <x v="0"/>
    <x v="27"/>
    <x v="29"/>
    <x v="35"/>
  </r>
  <r>
    <s v="(HUD) BMW of Greensboro24"/>
    <x v="20"/>
    <x v="10"/>
    <x v="0"/>
    <x v="0"/>
    <x v="100"/>
    <x v="0"/>
    <s v="https://tools.sig.systems/site/details/219"/>
    <s v="https://www.google.com/maps/d/viewer?mid=1ejOzT7-x6RWnCf83BBP7XhiOiwEX3Wk&amp;ll=36.061264791292906%2C-79.87437695000003&amp;z=17"/>
    <x v="1"/>
    <x v="0"/>
    <x v="70"/>
    <x v="0"/>
    <x v="0"/>
    <x v="68"/>
    <x v="72"/>
    <x v="99"/>
  </r>
  <r>
    <s v="(ML) Volvo Collision Corp24"/>
    <x v="20"/>
    <x v="10"/>
    <x v="1"/>
    <x v="1"/>
    <x v="47"/>
    <x v="1"/>
    <s v="https://tools.sig.systems/site/details/223"/>
    <m/>
    <x v="1"/>
    <x v="0"/>
    <x v="35"/>
    <x v="1"/>
    <x v="0"/>
    <x v="35"/>
    <x v="11"/>
    <x v="47"/>
  </r>
  <r>
    <s v="(PE) Fairfield Collision (NO TOURS)24"/>
    <x v="20"/>
    <x v="10"/>
    <x v="4"/>
    <x v="0"/>
    <x v="22"/>
    <x v="0"/>
    <s v="https://tools.sig.systems/site/details/191"/>
    <m/>
    <x v="1"/>
    <x v="0"/>
    <x v="18"/>
    <x v="0"/>
    <x v="0"/>
    <x v="6"/>
    <x v="18"/>
    <x v="22"/>
  </r>
  <r>
    <s v="(HUD) Acura of Greensboro24"/>
    <x v="20"/>
    <x v="11"/>
    <x v="0"/>
    <x v="0"/>
    <x v="99"/>
    <x v="0"/>
    <s v="https://tools.sig.systems/site/details/213"/>
    <s v="https://www.google.com/maps/d/viewer?mid=1ejOzT7-x6RWnCf83BBP7XhiOiwEX3Wk&amp;ll=0%2C0&amp;z=17"/>
    <x v="1"/>
    <x v="0"/>
    <x v="69"/>
    <x v="0"/>
    <x v="0"/>
    <x v="67"/>
    <x v="71"/>
    <x v="98"/>
  </r>
  <r>
    <s v="(MK) McKenny Salinas Honda24"/>
    <x v="20"/>
    <x v="11"/>
    <x v="0"/>
    <x v="0"/>
    <x v="104"/>
    <x v="0"/>
    <s v="https://tools.sig.systems/site/details/149"/>
    <m/>
    <x v="1"/>
    <x v="0"/>
    <x v="3"/>
    <x v="37"/>
    <x v="0"/>
    <x v="6"/>
    <x v="75"/>
    <x v="103"/>
  </r>
  <r>
    <s v="(ML) Joe Machens Capital City I &amp; II (NO TOURS)24"/>
    <x v="20"/>
    <x v="11"/>
    <x v="1"/>
    <x v="1"/>
    <x v="17"/>
    <x v="1"/>
    <s v="https://tools.sig.systems/site/details/271"/>
    <m/>
    <x v="1"/>
    <x v="0"/>
    <x v="3"/>
    <x v="6"/>
    <x v="0"/>
    <x v="15"/>
    <x v="16"/>
    <x v="17"/>
  </r>
  <r>
    <s v="(PE) JLR Darien PDI (NO TOURS)24"/>
    <x v="20"/>
    <x v="11"/>
    <x v="4"/>
    <x v="0"/>
    <x v="112"/>
    <x v="0"/>
    <s v="https://tools.sig.systems/site/details/187"/>
    <s v="https://www.google.com/maps/d/viewer?mid=1ebZp8DeTYSXNPgDIA63nFVDu9ohaO4E&amp;ll=41.08027837958441%2C-73.46597874999999&amp;z=15"/>
    <x v="1"/>
    <x v="0"/>
    <x v="6"/>
    <x v="0"/>
    <x v="0"/>
    <x v="74"/>
    <x v="83"/>
    <x v="111"/>
  </r>
  <r>
    <s v="(PE) Mercedes Benz &amp; Smart Bldg. of Fairfield (NO TOURS)24"/>
    <x v="20"/>
    <x v="11"/>
    <x v="4"/>
    <x v="0"/>
    <x v="23"/>
    <x v="0"/>
    <s v="https://tools.sig.systems/site/details/192"/>
    <s v="https://www.google.com/maps/d/viewer?mid=1FEo41PzFJQjUIXXKitX5TNCtuqR6Vbs&amp;ll=41.1663376742533%2C-73.22955662049608&amp;z=16"/>
    <x v="1"/>
    <x v="0"/>
    <x v="3"/>
    <x v="9"/>
    <x v="0"/>
    <x v="20"/>
    <x v="19"/>
    <x v="23"/>
  </r>
  <r>
    <s v="(RV) Sonny's Camp N Travel Concord24"/>
    <x v="20"/>
    <x v="11"/>
    <x v="0"/>
    <x v="0"/>
    <x v="114"/>
    <x v="0"/>
    <s v="https://tools.sig.systems/site/details/183"/>
    <m/>
    <x v="1"/>
    <x v="0"/>
    <x v="6"/>
    <x v="0"/>
    <x v="0"/>
    <x v="76"/>
    <x v="84"/>
    <x v="113"/>
  </r>
  <r>
    <s v="(AS) David McDavid Honda I &amp; II (NO TOURS)24"/>
    <x v="20"/>
    <x v="12"/>
    <x v="1"/>
    <x v="1"/>
    <x v="90"/>
    <x v="1"/>
    <s v="https://tools.sig.systems/site/details/129"/>
    <m/>
    <x v="1"/>
    <x v="0"/>
    <x v="3"/>
    <x v="31"/>
    <x v="0"/>
    <x v="60"/>
    <x v="63"/>
    <x v="90"/>
  </r>
  <r>
    <s v="(AS) Mike Shaw Subaru Greeley (NO TOURS)24"/>
    <x v="20"/>
    <x v="12"/>
    <x v="3"/>
    <x v="2"/>
    <x v="91"/>
    <x v="3"/>
    <s v="https://tools.sig.systems/site/details/174"/>
    <s v="https://www.google.com/maps/d/viewer?mid=1gN2lJ0iT7m5VNhD7aDcxE8AdXqtcOZc&amp;ll=40.396096737592195%2C-104.746842&amp;z=16"/>
    <x v="1"/>
    <x v="0"/>
    <x v="65"/>
    <x v="32"/>
    <x v="0"/>
    <x v="61"/>
    <x v="11"/>
    <x v="91"/>
  </r>
  <r>
    <s v="(AS) Plano Auction (NO SPEAKERS)24"/>
    <x v="20"/>
    <x v="12"/>
    <x v="1"/>
    <x v="1"/>
    <x v="94"/>
    <x v="1"/>
    <s v="https://tools.sig.systems/site/details/140"/>
    <m/>
    <x v="1"/>
    <x v="0"/>
    <x v="3"/>
    <x v="34"/>
    <x v="0"/>
    <x v="64"/>
    <x v="66"/>
    <x v="94"/>
  </r>
  <r>
    <s v="(PE) Honda of Danbury (NO TOURS)24"/>
    <x v="20"/>
    <x v="12"/>
    <x v="4"/>
    <x v="0"/>
    <x v="49"/>
    <x v="0"/>
    <s v="https://tools.sig.systems/site/details/190"/>
    <m/>
    <x v="1"/>
    <x v="0"/>
    <x v="3"/>
    <x v="19"/>
    <x v="9"/>
    <x v="6"/>
    <x v="36"/>
    <x v="49"/>
  </r>
  <r>
    <s v="(AS) Coggin Mercedes Benz Ft Pierce (NO TOURS)24"/>
    <x v="20"/>
    <x v="13"/>
    <x v="0"/>
    <x v="0"/>
    <x v="28"/>
    <x v="0"/>
    <s v="https://tools.sig.systems/site/details/127"/>
    <s v="https://www.google.com/maps/d/viewer?mid=1AyViBuyeq7iwDua1SVudJ2A1BYi3IBA&amp;ll=27.38181516363982%2C-80.32568845000002&amp;z=18"/>
    <x v="1"/>
    <x v="0"/>
    <x v="22"/>
    <x v="13"/>
    <x v="0"/>
    <x v="22"/>
    <x v="23"/>
    <x v="28"/>
  </r>
  <r>
    <s v="(DT) El Cajon (NO TOURS)24"/>
    <x v="20"/>
    <x v="13"/>
    <x v="5"/>
    <x v="4"/>
    <x v="66"/>
    <x v="4"/>
    <s v="https://tools.sig.systems/site/details/241"/>
    <m/>
    <x v="1"/>
    <x v="0"/>
    <x v="3"/>
    <x v="16"/>
    <x v="0"/>
    <x v="6"/>
    <x v="11"/>
    <x v="66"/>
  </r>
  <r>
    <s v="(HUD) Nissan Greensboro24"/>
    <x v="20"/>
    <x v="13"/>
    <x v="0"/>
    <x v="0"/>
    <x v="12"/>
    <x v="0"/>
    <s v="https://tools.sig.systems/site/details/236"/>
    <s v="https://www.google.com/maps/d/viewer?mid=1ejOzT7-x6RWnCf83BBP7XhiOiwEX3Wk&amp;ll=36.061264791292906%2C-79.87437695000003&amp;z=17"/>
    <x v="1"/>
    <x v="0"/>
    <x v="11"/>
    <x v="0"/>
    <x v="0"/>
    <x v="6"/>
    <x v="12"/>
    <x v="12"/>
  </r>
  <r>
    <s v="(KG) Truck Center Remote Storage Lot24"/>
    <x v="20"/>
    <x v="13"/>
    <x v="2"/>
    <x v="2"/>
    <x v="14"/>
    <x v="2"/>
    <s v="https://tools.sig.systems/site/details/144"/>
    <m/>
    <x v="1"/>
    <x v="0"/>
    <x v="13"/>
    <x v="5"/>
    <x v="0"/>
    <x v="12"/>
    <x v="14"/>
    <x v="14"/>
  </r>
  <r>
    <s v="(WAG) Greeley Chrysler Dodge Jeep Ram (NO TOURS)24"/>
    <x v="20"/>
    <x v="13"/>
    <x v="3"/>
    <x v="2"/>
    <x v="115"/>
    <x v="3"/>
    <s v="https://tools.sig.systems/site/details/130"/>
    <s v="https://www.google.com/maps/d/viewer?mid=1gN2lJ0iT7m5VNhD7aDcxE8AdXqtcOZc&amp;ll=40.396096737592195%2C-104.746842&amp;z=16"/>
    <x v="1"/>
    <x v="0"/>
    <x v="77"/>
    <x v="42"/>
    <x v="0"/>
    <x v="77"/>
    <x v="85"/>
    <x v="114"/>
  </r>
  <r>
    <s v="(AS) Coggin Honda Ft. Pierce (NO TOURS)24"/>
    <x v="20"/>
    <x v="14"/>
    <x v="0"/>
    <x v="0"/>
    <x v="0"/>
    <x v="0"/>
    <s v="https://tools.sig.systems/site/details/120"/>
    <s v="https://www.google.com/maps/d/viewer?mid=1AyViBuyeq7iwDua1SVudJ2A1BYi3IBA&amp;ll=27.38181516363982%2C-80.32568845000002&amp;z=18"/>
    <x v="0"/>
    <x v="0"/>
    <x v="0"/>
    <x v="0"/>
    <x v="0"/>
    <x v="0"/>
    <x v="0"/>
    <x v="0"/>
  </r>
  <r>
    <s v="(AS) Lexus Plano I &amp; II (NO TOURS)24"/>
    <x v="20"/>
    <x v="14"/>
    <x v="1"/>
    <x v="1"/>
    <x v="1"/>
    <x v="1"/>
    <s v="https://tools.sig.systems/site/details/167"/>
    <s v="https://www.google.com/maps/d/viewer?mid=1wg5suxVuxeNp_irHlvN772HcwD6W89E&amp;ll=33.06373951220261%2C-96.82758025000001&amp;z=18"/>
    <x v="1"/>
    <x v="0"/>
    <x v="1"/>
    <x v="0"/>
    <x v="1"/>
    <x v="1"/>
    <x v="1"/>
    <x v="1"/>
  </r>
  <r>
    <s v="(AS) Stevinson JLR (NO TOURS)24"/>
    <x v="20"/>
    <x v="14"/>
    <x v="3"/>
    <x v="2"/>
    <x v="64"/>
    <x v="3"/>
    <s v="https://tools.sig.systems/site/details/204"/>
    <m/>
    <x v="1"/>
    <x v="0"/>
    <x v="49"/>
    <x v="1"/>
    <x v="0"/>
    <x v="44"/>
    <x v="48"/>
    <x v="64"/>
  </r>
  <r>
    <s v="(HUD) CDJR of Greensboro24"/>
    <x v="20"/>
    <x v="14"/>
    <x v="0"/>
    <x v="0"/>
    <x v="68"/>
    <x v="6"/>
    <s v="https://tools.sig.systems/site/details/215"/>
    <s v="https://www.google.com/maps/d/viewer?mid=1ejOzT7-x6RWnCf83BBP7XhiOiwEX3Wk&amp;ll=36.061264791292906%2C-79.87437695000003&amp;z=17"/>
    <x v="3"/>
    <x v="0"/>
    <x v="50"/>
    <x v="0"/>
    <x v="0"/>
    <x v="45"/>
    <x v="51"/>
    <x v="68"/>
  </r>
  <r>
    <s v="(AS) Coggin Acura Ft Pierce (NO TOURS)24"/>
    <x v="20"/>
    <x v="15"/>
    <x v="0"/>
    <x v="0"/>
    <x v="27"/>
    <x v="0"/>
    <s v="https://tools.sig.systems/site/details/118"/>
    <s v="https://www.google.com/maps/d/viewer?mid=1AyViBuyeq7iwDua1SVudJ2A1BYi3IBA&amp;ll=27.38181516363982%2C-80.32568845000002&amp;z=18"/>
    <x v="1"/>
    <x v="0"/>
    <x v="3"/>
    <x v="12"/>
    <x v="0"/>
    <x v="21"/>
    <x v="19"/>
    <x v="27"/>
  </r>
  <r>
    <s v="(AS) Park Place Acura (NO TOURS)24"/>
    <x v="20"/>
    <x v="15"/>
    <x v="1"/>
    <x v="1"/>
    <x v="32"/>
    <x v="1"/>
    <s v="https://tools.sig.systems/site/details/259"/>
    <s v="https://www.google.com/maps/d/viewer?mid=1wg5suxVuxeNp_irHlvN772HcwD6W89E&amp;ll=33.06373951220261%2C-96.82758025000001&amp;z=18"/>
    <x v="1"/>
    <x v="0"/>
    <x v="25"/>
    <x v="0"/>
    <x v="0"/>
    <x v="25"/>
    <x v="11"/>
    <x v="32"/>
  </r>
  <r>
    <s v="(DT) W Houston24"/>
    <x v="20"/>
    <x v="15"/>
    <x v="1"/>
    <x v="1"/>
    <x v="10"/>
    <x v="1"/>
    <s v="https://tools.sig.systems/site/details/197"/>
    <m/>
    <x v="1"/>
    <x v="0"/>
    <x v="9"/>
    <x v="2"/>
    <x v="0"/>
    <x v="9"/>
    <x v="10"/>
    <x v="10"/>
  </r>
  <r>
    <s v="(HUD) Honda Greensboro24"/>
    <x v="20"/>
    <x v="15"/>
    <x v="0"/>
    <x v="0"/>
    <x v="37"/>
    <x v="0"/>
    <s v="https://tools.sig.systems/site/details/230"/>
    <s v="AS/ HUD - Crown Greensboro - Google My Maps"/>
    <x v="1"/>
    <x v="0"/>
    <x v="28"/>
    <x v="0"/>
    <x v="0"/>
    <x v="28"/>
    <x v="31"/>
    <x v="37"/>
  </r>
  <r>
    <s v="(ML) McLarty Gray-Daniels Toyota Nissan24"/>
    <x v="20"/>
    <x v="15"/>
    <x v="1"/>
    <x v="1"/>
    <x v="108"/>
    <x v="1"/>
    <s v="https://tools.sig.systems/site/details/152"/>
    <s v="https://www.google.com/maps/d/edit?mid=111nhCL4Xjj2Pq0zP5xUrMzHQqAihqa0&amp;usp=sharing"/>
    <x v="1"/>
    <x v="0"/>
    <x v="3"/>
    <x v="40"/>
    <x v="0"/>
    <x v="72"/>
    <x v="79"/>
    <x v="107"/>
  </r>
  <r>
    <s v="(AS) Audi of North Atlanta (NO TOURS)24"/>
    <x v="20"/>
    <x v="16"/>
    <x v="0"/>
    <x v="0"/>
    <x v="87"/>
    <x v="0"/>
    <s v="https://tools.sig.systems/site/details/124"/>
    <s v="https://www.google.com/maps/d/edit?mid=1jkN3DS1BhUqp_dztjjW0PDwKfo_Yxsw&amp;usp=sharing"/>
    <x v="1"/>
    <x v="0"/>
    <x v="62"/>
    <x v="0"/>
    <x v="0"/>
    <x v="57"/>
    <x v="61"/>
    <x v="87"/>
  </r>
  <r>
    <s v="(AS) Stevinson Porsche of Littleton (NO TOURS)24"/>
    <x v="20"/>
    <x v="16"/>
    <x v="3"/>
    <x v="2"/>
    <x v="7"/>
    <x v="3"/>
    <s v="https://tools.sig.systems/site/details/242"/>
    <m/>
    <x v="1"/>
    <x v="0"/>
    <x v="7"/>
    <x v="2"/>
    <x v="0"/>
    <x v="6"/>
    <x v="7"/>
    <x v="7"/>
  </r>
  <r>
    <s v="(HUD) Paint and Body Center (NO TOURS)24"/>
    <x v="20"/>
    <x v="16"/>
    <x v="0"/>
    <x v="0"/>
    <x v="38"/>
    <x v="0"/>
    <s v="https://tools.sig.systems/site/details/256"/>
    <s v="https://www.google.com/maps/d/viewer?mid=1ejOzT7-x6RWnCf83BBP7XhiOiwEX3Wk&amp;ll=36.061264791292906%2C-79.87437695000003&amp;z=17"/>
    <x v="1"/>
    <x v="0"/>
    <x v="3"/>
    <x v="9"/>
    <x v="0"/>
    <x v="6"/>
    <x v="11"/>
    <x v="38"/>
  </r>
  <r>
    <s v="(KG) Baytown GMC Buick - Remote Lot (NO TOURS)24"/>
    <x v="20"/>
    <x v="16"/>
    <x v="2"/>
    <x v="1"/>
    <x v="70"/>
    <x v="2"/>
    <s v="https://tools.sig.systems/site/details/311"/>
    <m/>
    <x v="1"/>
    <x v="3"/>
    <x v="3"/>
    <x v="25"/>
    <x v="0"/>
    <x v="6"/>
    <x v="11"/>
    <x v="70"/>
  </r>
  <r>
    <s v="(KG) Baytown GMC Buick (NO TOURS)24"/>
    <x v="20"/>
    <x v="16"/>
    <x v="1"/>
    <x v="1"/>
    <x v="71"/>
    <x v="1"/>
    <s v="https://tools.sig.systems/site/details/239"/>
    <m/>
    <x v="1"/>
    <x v="0"/>
    <x v="52"/>
    <x v="0"/>
    <x v="0"/>
    <x v="47"/>
    <x v="53"/>
    <x v="71"/>
  </r>
  <r>
    <s v="(ML) Nissan of North Little Rock24"/>
    <x v="20"/>
    <x v="16"/>
    <x v="1"/>
    <x v="1"/>
    <x v="20"/>
    <x v="1"/>
    <s v="https://tools.sig.systems/site/details/216"/>
    <s v="https://www.google.com/maps/d/edit?mid=1Oky35ERk_2kgyzCvDu_odQ2ZP62BtqA&amp;usp=sharing"/>
    <x v="1"/>
    <x v="0"/>
    <x v="16"/>
    <x v="0"/>
    <x v="0"/>
    <x v="18"/>
    <x v="17"/>
    <x v="20"/>
  </r>
  <r>
    <s v="(AS) Courtesy Kia of Brandon (NO TOURS)24"/>
    <x v="20"/>
    <x v="17"/>
    <x v="0"/>
    <x v="0"/>
    <x v="57"/>
    <x v="0"/>
    <s v="https://tools.sig.systems/site/details/121"/>
    <s v="https://www.google.com/maps/d/edit?mid=15R4hTDQx56ij99--JgozdqOIZh-kSlk&amp;usp=sharing"/>
    <x v="0"/>
    <x v="0"/>
    <x v="3"/>
    <x v="22"/>
    <x v="0"/>
    <x v="38"/>
    <x v="43"/>
    <x v="57"/>
  </r>
  <r>
    <s v="(AS) Nalley Luxury Collision Center (NO TOURS)24"/>
    <x v="20"/>
    <x v="17"/>
    <x v="0"/>
    <x v="0"/>
    <x v="31"/>
    <x v="0"/>
    <s v="https://tools.sig.systems/site/details/263"/>
    <s v="https://www.google.com/maps/d/edit?mid=1jkN3DS1BhUqp_dztjjW0PDwKfo_Yxsw&amp;usp=sharing"/>
    <x v="1"/>
    <x v="0"/>
    <x v="4"/>
    <x v="0"/>
    <x v="0"/>
    <x v="6"/>
    <x v="26"/>
    <x v="31"/>
  </r>
  <r>
    <s v="(DT) N. Houston24"/>
    <x v="20"/>
    <x v="17"/>
    <x v="1"/>
    <x v="1"/>
    <x v="9"/>
    <x v="1"/>
    <s v="https://tools.sig.systems/site/details/250"/>
    <m/>
    <x v="1"/>
    <x v="0"/>
    <x v="8"/>
    <x v="0"/>
    <x v="0"/>
    <x v="8"/>
    <x v="9"/>
    <x v="9"/>
  </r>
  <r>
    <s v="(KG) JLR LEHI (NO TOURS)24"/>
    <x v="20"/>
    <x v="17"/>
    <x v="3"/>
    <x v="2"/>
    <x v="73"/>
    <x v="3"/>
    <s v="https://tools.sig.systems/site/details/145"/>
    <m/>
    <x v="1"/>
    <x v="0"/>
    <x v="54"/>
    <x v="0"/>
    <x v="0"/>
    <x v="49"/>
    <x v="11"/>
    <x v="73"/>
  </r>
  <r>
    <s v="(ML) Mazda VW-Lot B24"/>
    <x v="20"/>
    <x v="17"/>
    <x v="1"/>
    <x v="1"/>
    <x v="45"/>
    <x v="1"/>
    <s v="https://tools.sig.systems/site/details/205"/>
    <s v="https://www.google.com/maps/d/edit?mid=1Oky35ERk_2kgyzCvDu_odQ2ZP62BtqA&amp;usp=sharing"/>
    <x v="1"/>
    <x v="0"/>
    <x v="33"/>
    <x v="9"/>
    <x v="0"/>
    <x v="30"/>
    <x v="11"/>
    <x v="45"/>
  </r>
  <r>
    <s v="(AS) Stevinson Chevrolet Golden (NO TOURS)24"/>
    <x v="20"/>
    <x v="18"/>
    <x v="7"/>
    <x v="2"/>
    <x v="96"/>
    <x v="3"/>
    <s v="https://tools.sig.systems/site/details/264"/>
    <s v="https://www.google.com/maps/d/edit?mid=1nAyK85WaWREy0lfxnmWn3USs2gC0nP0&amp;usp=sharing"/>
    <x v="1"/>
    <x v="0"/>
    <x v="3"/>
    <x v="36"/>
    <x v="0"/>
    <x v="66"/>
    <x v="68"/>
    <x v="95"/>
  </r>
  <r>
    <s v="(DT) Colorado Springs (NO TOURS)24"/>
    <x v="20"/>
    <x v="18"/>
    <x v="3"/>
    <x v="2"/>
    <x v="65"/>
    <x v="3"/>
    <s v="https://tools.sig.systems/site/details/198"/>
    <m/>
    <x v="1"/>
    <x v="0"/>
    <x v="3"/>
    <x v="24"/>
    <x v="0"/>
    <x v="6"/>
    <x v="49"/>
    <x v="65"/>
  </r>
  <r>
    <s v="(KG) Big Star Ford24"/>
    <x v="20"/>
    <x v="18"/>
    <x v="1"/>
    <x v="1"/>
    <x v="102"/>
    <x v="1"/>
    <s v="https://tools.sig.systems/site/details/235"/>
    <m/>
    <x v="1"/>
    <x v="0"/>
    <x v="72"/>
    <x v="0"/>
    <x v="0"/>
    <x v="70"/>
    <x v="74"/>
    <x v="101"/>
  </r>
  <r>
    <s v="(KG) Clear Lake Pre-Owned24"/>
    <x v="20"/>
    <x v="18"/>
    <x v="1"/>
    <x v="1"/>
    <x v="39"/>
    <x v="1"/>
    <s v="https://tools.sig.systems/site/details/255"/>
    <s v="https://www.google.com/maps/d/edit?mid=1DRwy5fy1g5UzGTA7a1OkQA-_CY8SQ2s&amp;usp=sharing"/>
    <x v="1"/>
    <x v="0"/>
    <x v="29"/>
    <x v="0"/>
    <x v="0"/>
    <x v="29"/>
    <x v="32"/>
    <x v="39"/>
  </r>
  <r>
    <s v="(ML) Collision Center N Little Rock24"/>
    <x v="20"/>
    <x v="18"/>
    <x v="1"/>
    <x v="1"/>
    <x v="106"/>
    <x v="1"/>
    <s v="https://tools.sig.systems/site/details/212"/>
    <s v="https://www.google.com/maps/d/edit?mid=1Oky35ERk_2kgyzCvDu_odQ2ZP62BtqA&amp;usp=sharing"/>
    <x v="1"/>
    <x v="0"/>
    <x v="3"/>
    <x v="0"/>
    <x v="0"/>
    <x v="6"/>
    <x v="77"/>
    <x v="105"/>
  </r>
  <r>
    <s v="(RV) Toms Camperland Surprise (NO TOURS)24"/>
    <x v="20"/>
    <x v="18"/>
    <x v="5"/>
    <x v="3"/>
    <x v="51"/>
    <x v="4"/>
    <s v="https://tools.sig.systems/site/details/254"/>
    <m/>
    <x v="5"/>
    <x v="0"/>
    <x v="38"/>
    <x v="0"/>
    <x v="0"/>
    <x v="6"/>
    <x v="37"/>
    <x v="51"/>
  </r>
  <r>
    <s v="(AS) Courtesy CDJR of Brandon (NO TOURS)24"/>
    <x v="20"/>
    <x v="19"/>
    <x v="0"/>
    <x v="0"/>
    <x v="56"/>
    <x v="0"/>
    <s v="https://tools.sig.systems/site/details/126"/>
    <s v="https://www.google.com/maps/d/edit?mid=15R4hTDQx56ij99--JgozdqOIZh-kSlk&amp;usp=sharing"/>
    <x v="0"/>
    <x v="0"/>
    <x v="42"/>
    <x v="9"/>
    <x v="0"/>
    <x v="37"/>
    <x v="42"/>
    <x v="56"/>
  </r>
  <r>
    <s v="(AS) Stevinson Toyota West (NO TOURS)24"/>
    <x v="20"/>
    <x v="19"/>
    <x v="3"/>
    <x v="2"/>
    <x v="8"/>
    <x v="3"/>
    <s v="https://tools.sig.systems/site/details/240"/>
    <s v="https://www.google.com/maps/d/edit?mid=1nAyK85WaWREy0lfxnmWn3USs2gC0nP0&amp;usp=sharing"/>
    <x v="1"/>
    <x v="0"/>
    <x v="3"/>
    <x v="3"/>
    <x v="0"/>
    <x v="7"/>
    <x v="8"/>
    <x v="8"/>
  </r>
  <r>
    <s v="(KG) Big Star CDJR of Clear Lake24"/>
    <x v="20"/>
    <x v="19"/>
    <x v="1"/>
    <x v="1"/>
    <x v="101"/>
    <x v="1"/>
    <s v="https://tools.sig.systems/site/details/232"/>
    <s v="https://www.google.com/maps/d/edit?mid=1DRwy5fy1g5UzGTA7a1OkQA-_CY8SQ2s&amp;usp=sharing"/>
    <x v="1"/>
    <x v="0"/>
    <x v="71"/>
    <x v="0"/>
    <x v="0"/>
    <x v="69"/>
    <x v="73"/>
    <x v="100"/>
  </r>
  <r>
    <s v="(PE) BMW Tenafly (NO TOURS)24"/>
    <x v="20"/>
    <x v="19"/>
    <x v="4"/>
    <x v="0"/>
    <x v="48"/>
    <x v="0"/>
    <s v="https://tools.sig.systems/site/details/155"/>
    <m/>
    <x v="1"/>
    <x v="0"/>
    <x v="36"/>
    <x v="18"/>
    <x v="0"/>
    <x v="6"/>
    <x v="19"/>
    <x v="48"/>
  </r>
  <r>
    <s v="(AS) Plaza Lexus/Mercedes/BMW (NO TOURS)24"/>
    <x v="20"/>
    <x v="20"/>
    <x v="1"/>
    <x v="1"/>
    <x v="63"/>
    <x v="1"/>
    <s v="https://tools.sig.systems/site/details/141"/>
    <s v="https://www.google.com/maps/d/viewer?mid=1whGZ1PLqmhJnGFz8uigZqUL4cHGGW3w&amp;ll=38.668847686454825%2C-90.4433601&amp;z=17"/>
    <x v="1"/>
    <x v="0"/>
    <x v="48"/>
    <x v="23"/>
    <x v="0"/>
    <x v="43"/>
    <x v="47"/>
    <x v="63"/>
  </r>
  <r>
    <s v="(AS) Stevinson Lexus of Lakewood (NO TOURS)24"/>
    <x v="20"/>
    <x v="20"/>
    <x v="3"/>
    <x v="2"/>
    <x v="34"/>
    <x v="3"/>
    <s v="https://tools.sig.systems/site/details/260"/>
    <s v="https://www.google.com/maps/d/edit?mid=1nAyK85WaWREy0lfxnmWn3USs2gC0nP0&amp;usp=sharing"/>
    <x v="1"/>
    <x v="0"/>
    <x v="3"/>
    <x v="14"/>
    <x v="8"/>
    <x v="6"/>
    <x v="28"/>
    <x v="34"/>
  </r>
  <r>
    <s v="(KG) Kia of Phoenix (NO TOURS)24"/>
    <x v="20"/>
    <x v="20"/>
    <x v="5"/>
    <x v="3"/>
    <x v="40"/>
    <x v="4"/>
    <s v="https://tools.sig.systems/site/details/262"/>
    <m/>
    <x v="4"/>
    <x v="0"/>
    <x v="30"/>
    <x v="0"/>
    <x v="0"/>
    <x v="30"/>
    <x v="11"/>
    <x v="40"/>
  </r>
  <r>
    <s v="(ML) Toyota N Little Rock24"/>
    <x v="20"/>
    <x v="20"/>
    <x v="1"/>
    <x v="1"/>
    <x v="21"/>
    <x v="1"/>
    <s v="https://tools.sig.systems/site/details/201"/>
    <s v="https://www.google.com/maps/d/edit?mid=1Oky35ERk_2kgyzCvDu_odQ2ZP62BtqA&amp;usp=sharing"/>
    <x v="1"/>
    <x v="0"/>
    <x v="17"/>
    <x v="0"/>
    <x v="0"/>
    <x v="19"/>
    <x v="11"/>
    <x v="21"/>
  </r>
  <r>
    <s v="(TC) Tavernier Creek Marina (NO TOURS)24"/>
    <x v="20"/>
    <x v="20"/>
    <x v="0"/>
    <x v="0"/>
    <x v="84"/>
    <x v="1"/>
    <s v="https://tools.sig.systems/site/details/164"/>
    <m/>
    <x v="6"/>
    <x v="0"/>
    <x v="60"/>
    <x v="0"/>
    <x v="0"/>
    <x v="6"/>
    <x v="59"/>
    <x v="84"/>
  </r>
  <r>
    <s v="(AS) Courtesy Hyundai/Nissan Tampa (NO TOURS)24"/>
    <x v="20"/>
    <x v="21"/>
    <x v="0"/>
    <x v="0"/>
    <x v="89"/>
    <x v="0"/>
    <s v="https://tools.sig.systems/site/details/128"/>
    <m/>
    <x v="0"/>
    <x v="0"/>
    <x v="64"/>
    <x v="0"/>
    <x v="0"/>
    <x v="59"/>
    <x v="62"/>
    <x v="89"/>
  </r>
  <r>
    <s v="(AS) Park Place JLR DFW Airport (NO TOURS)24"/>
    <x v="20"/>
    <x v="21"/>
    <x v="1"/>
    <x v="1"/>
    <x v="93"/>
    <x v="1"/>
    <s v="https://tools.sig.systems/site/details/135"/>
    <m/>
    <x v="1"/>
    <x v="0"/>
    <x v="67"/>
    <x v="33"/>
    <x v="13"/>
    <x v="63"/>
    <x v="65"/>
    <x v="93"/>
  </r>
  <r>
    <s v="(AS) Plaza Audi/Infiniti (NO TOURS)24"/>
    <x v="20"/>
    <x v="21"/>
    <x v="1"/>
    <x v="1"/>
    <x v="95"/>
    <x v="1"/>
    <s v="https://tools.sig.systems/site/details/141"/>
    <s v="https://www.google.com/maps/d/viewer?mid=1whGZ1PLqmhJnGFz8uigZqUL4cHGGW3w&amp;ll=38.668847686454825%2C-90.4433601&amp;z=17"/>
    <x v="1"/>
    <x v="0"/>
    <x v="68"/>
    <x v="35"/>
    <x v="0"/>
    <x v="65"/>
    <x v="67"/>
    <x v="63"/>
  </r>
  <r>
    <s v="(DT) Escondido24"/>
    <x v="20"/>
    <x v="21"/>
    <x v="5"/>
    <x v="4"/>
    <x v="98"/>
    <x v="5"/>
    <s v="https://tools.sig.systems/site/details/196"/>
    <m/>
    <x v="1"/>
    <x v="4"/>
    <x v="20"/>
    <x v="0"/>
    <x v="0"/>
    <x v="6"/>
    <x v="70"/>
    <x v="97"/>
  </r>
  <r>
    <s v="(AS) Lexus Grapevine I &amp; II (NO TOURS)24"/>
    <x v="20"/>
    <x v="22"/>
    <x v="1"/>
    <x v="1"/>
    <x v="29"/>
    <x v="1"/>
    <s v="https://tools.sig.systems/site/details/136"/>
    <m/>
    <x v="1"/>
    <x v="0"/>
    <x v="23"/>
    <x v="0"/>
    <x v="7"/>
    <x v="23"/>
    <x v="24"/>
    <x v="29"/>
  </r>
  <r>
    <s v="(AS) Lexus Smyrna (NO TOURS)24"/>
    <x v="20"/>
    <x v="22"/>
    <x v="0"/>
    <x v="0"/>
    <x v="30"/>
    <x v="0"/>
    <s v="https://tools.sig.systems/site/details/133"/>
    <m/>
    <x v="1"/>
    <x v="0"/>
    <x v="24"/>
    <x v="0"/>
    <x v="0"/>
    <x v="24"/>
    <x v="25"/>
    <x v="30"/>
  </r>
  <r>
    <s v="(KG) Hyundai Surprise24"/>
    <x v="20"/>
    <x v="22"/>
    <x v="5"/>
    <x v="3"/>
    <x v="103"/>
    <x v="4"/>
    <s v="https://tools.sig.systems/site/details/269"/>
    <m/>
    <x v="4"/>
    <x v="0"/>
    <x v="73"/>
    <x v="0"/>
    <x v="0"/>
    <x v="71"/>
    <x v="11"/>
    <x v="102"/>
  </r>
  <r>
    <s v="(KT) Northwest CDJR (NO TOURS)24"/>
    <x v="20"/>
    <x v="22"/>
    <x v="1"/>
    <x v="1"/>
    <x v="15"/>
    <x v="1"/>
    <s v="https://tools.sig.systems/site/details/229"/>
    <m/>
    <x v="1"/>
    <x v="0"/>
    <x v="14"/>
    <x v="0"/>
    <x v="0"/>
    <x v="13"/>
    <x v="11"/>
    <x v="15"/>
  </r>
  <r>
    <s v="(AS) Bill Estes Ford (NO TOURS)24"/>
    <x v="20"/>
    <x v="23"/>
    <x v="0"/>
    <x v="0"/>
    <x v="55"/>
    <x v="0"/>
    <s v="https://tools.sig.systems/site/details/125"/>
    <m/>
    <x v="1"/>
    <x v="0"/>
    <x v="3"/>
    <x v="21"/>
    <x v="0"/>
    <x v="36"/>
    <x v="41"/>
    <x v="55"/>
  </r>
  <r>
    <s v="(AS) Park Place Volvo Service Center (NO TOURS)24"/>
    <x v="20"/>
    <x v="23"/>
    <x v="1"/>
    <x v="1"/>
    <x v="62"/>
    <x v="1"/>
    <s v="https://tools.sig.systems/site/details/171"/>
    <s v="https://www.google.com/maps/d/edit?hl=es&amp;mid=1uPmsRMsXnp74hPFW2t-sp2totVWF_xY&amp;ll=32.83050137713022%2C-96.83197783061323&amp;z=17"/>
    <x v="1"/>
    <x v="0"/>
    <x v="47"/>
    <x v="0"/>
    <x v="0"/>
    <x v="42"/>
    <x v="11"/>
    <x v="62"/>
  </r>
  <r>
    <s v="(DT) Wichita24"/>
    <x v="20"/>
    <x v="23"/>
    <x v="1"/>
    <x v="1"/>
    <x v="36"/>
    <x v="1"/>
    <s v="https://tools.sig.systems/site/details/257"/>
    <m/>
    <x v="1"/>
    <x v="0"/>
    <x v="3"/>
    <x v="15"/>
    <x v="0"/>
    <x v="6"/>
    <x v="30"/>
    <x v="36"/>
  </r>
  <r>
    <s v="(PE) Hudson Toyota Nissan CDJR (NO TOURS)24"/>
    <x v="20"/>
    <x v="23"/>
    <x v="4"/>
    <x v="0"/>
    <x v="81"/>
    <x v="0"/>
    <s v="https://tools.sig.systems/site/details/156"/>
    <m/>
    <x v="1"/>
    <x v="0"/>
    <x v="49"/>
    <x v="30"/>
    <x v="0"/>
    <x v="55"/>
    <x v="58"/>
    <x v="81"/>
  </r>
  <r>
    <s v="(RV) Toms Camperland Mesa (NO TOURS)24"/>
    <x v="20"/>
    <x v="23"/>
    <x v="5"/>
    <x v="3"/>
    <x v="25"/>
    <x v="4"/>
    <s v="https://tools.sig.systems/site/details/222"/>
    <m/>
    <x v="1"/>
    <x v="0"/>
    <x v="20"/>
    <x v="0"/>
    <x v="0"/>
    <x v="6"/>
    <x v="21"/>
    <x v="25"/>
  </r>
  <r>
    <s v="(AS) Park Place Acura (NO TOURS)25"/>
    <x v="21"/>
    <x v="0"/>
    <x v="1"/>
    <x v="1"/>
    <x v="32"/>
    <x v="1"/>
    <s v="https://tools.sig.systems/site/details/259"/>
    <s v="https://www.google.com/maps/d/viewer?mid=1wg5suxVuxeNp_irHlvN772HcwD6W89E&amp;ll=33.06373951220261%2C-96.82758025000001&amp;z=18"/>
    <x v="1"/>
    <x v="0"/>
    <x v="25"/>
    <x v="0"/>
    <x v="0"/>
    <x v="25"/>
    <x v="11"/>
    <x v="32"/>
  </r>
  <r>
    <s v="(AS) Park Place Bodywerks Ft. Worth (NO TOURS)25"/>
    <x v="21"/>
    <x v="0"/>
    <x v="1"/>
    <x v="1"/>
    <x v="92"/>
    <x v="1"/>
    <s v="https://tools.sig.systems/site/details/134"/>
    <s v="https://www.google.com/maps/d/edit?mid=18OEO_KbvYcgI3N1jE4gTMXfNHTNDrFU&amp;ll=32.66603989958274%2C-97.42021198201722&amp;z=18"/>
    <x v="1"/>
    <x v="0"/>
    <x v="66"/>
    <x v="0"/>
    <x v="0"/>
    <x v="62"/>
    <x v="64"/>
    <x v="92"/>
  </r>
  <r>
    <s v="(DT) Louisville25"/>
    <x v="21"/>
    <x v="0"/>
    <x v="0"/>
    <x v="0"/>
    <x v="67"/>
    <x v="0"/>
    <s v="https://tools.sig.systems/site/details/258"/>
    <m/>
    <x v="1"/>
    <x v="0"/>
    <x v="3"/>
    <x v="16"/>
    <x v="0"/>
    <x v="6"/>
    <x v="50"/>
    <x v="67"/>
  </r>
  <r>
    <s v="(ML) Nissan Of Benton25"/>
    <x v="21"/>
    <x v="0"/>
    <x v="1"/>
    <x v="1"/>
    <x v="80"/>
    <x v="1"/>
    <s v="https://tools.sig.systems/site/details/247"/>
    <m/>
    <x v="1"/>
    <x v="0"/>
    <x v="57"/>
    <x v="0"/>
    <x v="0"/>
    <x v="54"/>
    <x v="11"/>
    <x v="80"/>
  </r>
  <r>
    <s v="(PE) Scofield Service Center (NO TOURS)25"/>
    <x v="21"/>
    <x v="0"/>
    <x v="4"/>
    <x v="0"/>
    <x v="113"/>
    <x v="0"/>
    <s v="https://tools.sig.systems/site/details/193"/>
    <s v="https://www.google.com/maps/d/viewer?mid=1FEo41PzFJQjUIXXKitX5TNCtuqR6Vbs&amp;ll=41.1663376742533%2C-73.22955662049608&amp;z=16"/>
    <x v="1"/>
    <x v="0"/>
    <x v="6"/>
    <x v="0"/>
    <x v="0"/>
    <x v="75"/>
    <x v="51"/>
    <x v="112"/>
  </r>
  <r>
    <s v="(RV) Toms Camperland Avondale (NO TOURS)25"/>
    <x v="21"/>
    <x v="0"/>
    <x v="5"/>
    <x v="3"/>
    <x v="24"/>
    <x v="4"/>
    <s v="https://tools.sig.systems/site/details/248"/>
    <s v="https://www.google.com/maps/d/viewer?mid=1bDs0QGFZwL3vEeGKxjVMk_j4azr0-lg&amp;ll=33.4593758581648%2C-112.28793780000001&amp;z=18"/>
    <x v="2"/>
    <x v="0"/>
    <x v="19"/>
    <x v="10"/>
    <x v="0"/>
    <x v="6"/>
    <x v="20"/>
    <x v="24"/>
  </r>
  <r>
    <s v="(JE) Jim Ellis Ford Sandy Springs25"/>
    <x v="21"/>
    <x v="1"/>
    <x v="0"/>
    <x v="0"/>
    <x v="69"/>
    <x v="0"/>
    <s v="https://tools.sig.systems/site/details/142"/>
    <m/>
    <x v="1"/>
    <x v="0"/>
    <x v="51"/>
    <x v="0"/>
    <x v="0"/>
    <x v="46"/>
    <x v="52"/>
    <x v="69"/>
  </r>
  <r>
    <s v="(KG) Texan CDJR25"/>
    <x v="21"/>
    <x v="1"/>
    <x v="1"/>
    <x v="1"/>
    <x v="13"/>
    <x v="1"/>
    <s v="https://tools.sig.systems/site/details/238"/>
    <s v="https://www.google.com/maps/d/edit?mid=1FNqK4dW8Z8gtSWuQLbStrtqe7lH8DIQ&amp;usp=sharing"/>
    <x v="1"/>
    <x v="0"/>
    <x v="12"/>
    <x v="0"/>
    <x v="5"/>
    <x v="11"/>
    <x v="13"/>
    <x v="13"/>
  </r>
  <r>
    <s v="(ML) Columbia Honda (NO TOURS)25"/>
    <x v="21"/>
    <x v="1"/>
    <x v="1"/>
    <x v="1"/>
    <x v="75"/>
    <x v="1"/>
    <s v="https://tools.sig.systems/site/details/272"/>
    <s v="https://www.google.com/maps/d/viewer?hl=es&amp;mid=1C1oZdjH3dNvCvqdpIv_Lk0Yn1OCVn-4&amp;ll=38.965368114274426%2C-92.3405954&amp;z=15"/>
    <x v="1"/>
    <x v="0"/>
    <x v="3"/>
    <x v="26"/>
    <x v="0"/>
    <x v="50"/>
    <x v="56"/>
    <x v="75"/>
  </r>
  <r>
    <s v="(ML) McLarty Gray-Daniels Ford Lincoln25"/>
    <x v="21"/>
    <x v="1"/>
    <x v="1"/>
    <x v="1"/>
    <x v="79"/>
    <x v="1"/>
    <s v="https://tools.sig.systems/site/details/151"/>
    <s v="https://www.google.com/maps/d/edit?mid=111nhCL4Xjj2Pq0zP5xUrMzHQqAihqa0&amp;usp=sharing"/>
    <x v="1"/>
    <x v="0"/>
    <x v="56"/>
    <x v="29"/>
    <x v="0"/>
    <x v="53"/>
    <x v="57"/>
    <x v="79"/>
  </r>
  <r>
    <s v="(AS) Park Place Mercedes Benz Arlington (NO TOURS)25"/>
    <x v="21"/>
    <x v="2"/>
    <x v="1"/>
    <x v="1"/>
    <x v="61"/>
    <x v="1"/>
    <s v="https://tools.sig.systems/site/details/169"/>
    <m/>
    <x v="1"/>
    <x v="0"/>
    <x v="46"/>
    <x v="0"/>
    <x v="11"/>
    <x v="41"/>
    <x v="46"/>
    <x v="61"/>
  </r>
  <r>
    <s v="(KG) Texan GMC Buick (NO TOURS)25"/>
    <x v="21"/>
    <x v="2"/>
    <x v="1"/>
    <x v="1"/>
    <x v="41"/>
    <x v="1"/>
    <s v="https://tools.sig.systems/site/details/225"/>
    <s v="https://www.google.com/maps/d/edit?mid=1FNqK4dW8Z8gtSWuQLbStrtqe7lH8DIQ&amp;usp=sharing"/>
    <x v="1"/>
    <x v="0"/>
    <x v="31"/>
    <x v="0"/>
    <x v="0"/>
    <x v="31"/>
    <x v="33"/>
    <x v="41"/>
  </r>
  <r>
    <s v="(LM) Luther Mazda / Mitsubishi25"/>
    <x v="21"/>
    <x v="2"/>
    <x v="1"/>
    <x v="1"/>
    <x v="74"/>
    <x v="1"/>
    <s v="https://tools.sig.systems/site/details/147"/>
    <s v="https://www.google.com/maps/d/viewer?mid=1ot0ILX76JMuvd9yMuqkb4_e0yH1n7TA&amp;ll=45.07815812965141%2C-93.33506855000002&amp;z=17"/>
    <x v="1"/>
    <x v="0"/>
    <x v="55"/>
    <x v="0"/>
    <x v="12"/>
    <x v="6"/>
    <x v="55"/>
    <x v="74"/>
  </r>
  <r>
    <s v="(ML) Joe Machens CDJR25"/>
    <x v="21"/>
    <x v="2"/>
    <x v="1"/>
    <x v="1"/>
    <x v="43"/>
    <x v="1"/>
    <s v="https://tools.sig.systems/site/details/273"/>
    <s v="https://www.google.com/maps/d/viewer?hl=es&amp;mid=1C1oZdjH3dNvCvqdpIv_Lk0Yn1OCVn-4&amp;ll=38.965368114274455%2C-92.3405954&amp;z=15"/>
    <x v="1"/>
    <x v="0"/>
    <x v="3"/>
    <x v="16"/>
    <x v="0"/>
    <x v="6"/>
    <x v="35"/>
    <x v="43"/>
  </r>
  <r>
    <s v="(PE) BMW of Greenwich (NO TOURS)25"/>
    <x v="21"/>
    <x v="2"/>
    <x v="4"/>
    <x v="0"/>
    <x v="110"/>
    <x v="0"/>
    <s v="https://tools.sig.systems/site/details/186"/>
    <s v="https://www.google.com/maps/d/edit?hl=en&amp;mid=1UHmt7tH1ihTa85i0MfQIcTfVvIQg_vM&amp;ll=41.024187580466844%2C-73.63702405370861&amp;z=18"/>
    <x v="1"/>
    <x v="0"/>
    <x v="75"/>
    <x v="0"/>
    <x v="0"/>
    <x v="6"/>
    <x v="81"/>
    <x v="109"/>
  </r>
  <r>
    <s v="(AS) Park Place Volvo Sales (NO TOURS)25"/>
    <x v="21"/>
    <x v="3"/>
    <x v="1"/>
    <x v="1"/>
    <x v="33"/>
    <x v="1"/>
    <s v="https://tools.sig.systems/site/details/139"/>
    <s v="https://www.google.com/maps/d/edit?hl=es&amp;mid=1uPmsRMsXnp74hPFW2t-sp2totVWF_xY&amp;ll=32.83050137713022%2C-96.83197783061323&amp;z=17"/>
    <x v="1"/>
    <x v="0"/>
    <x v="26"/>
    <x v="0"/>
    <x v="0"/>
    <x v="26"/>
    <x v="27"/>
    <x v="33"/>
  </r>
  <r>
    <s v="(DT) Denver (NO TOURS)25"/>
    <x v="21"/>
    <x v="3"/>
    <x v="3"/>
    <x v="2"/>
    <x v="97"/>
    <x v="3"/>
    <s v="https://tools.sig.systems/site/details/203"/>
    <s v="https://www.google.com/maps/d/edit?mid=1AjZHz2LTg0RMhZUOmyZsv_Y4MFcaP8g&amp;usp=sharing"/>
    <x v="1"/>
    <x v="0"/>
    <x v="3"/>
    <x v="25"/>
    <x v="0"/>
    <x v="6"/>
    <x v="69"/>
    <x v="96"/>
  </r>
  <r>
    <s v="(ML) Joe Machens VW25"/>
    <x v="21"/>
    <x v="3"/>
    <x v="1"/>
    <x v="1"/>
    <x v="19"/>
    <x v="1"/>
    <s v="https://tools.sig.systems/site/details/274"/>
    <s v="https://www.google.com/maps/d/viewer?hl=es&amp;mid=1C1oZdjH3dNvCvqdpIv_Lk0Yn1OCVn-4&amp;ll=38.965368114274455%2C-92.3405954&amp;z=15"/>
    <x v="1"/>
    <x v="0"/>
    <x v="3"/>
    <x v="8"/>
    <x v="0"/>
    <x v="17"/>
    <x v="11"/>
    <x v="19"/>
  </r>
  <r>
    <s v="(PE) Honda of Danbury (NO TOURS)25"/>
    <x v="21"/>
    <x v="3"/>
    <x v="4"/>
    <x v="0"/>
    <x v="49"/>
    <x v="0"/>
    <s v="https://tools.sig.systems/site/details/190"/>
    <m/>
    <x v="1"/>
    <x v="0"/>
    <x v="3"/>
    <x v="19"/>
    <x v="9"/>
    <x v="6"/>
    <x v="36"/>
    <x v="49"/>
  </r>
  <r>
    <s v="(SCH) Chevrolet North Palm25"/>
    <x v="21"/>
    <x v="3"/>
    <x v="0"/>
    <x v="0"/>
    <x v="52"/>
    <x v="0"/>
    <s v="https://tools.sig.systems/site/details/160"/>
    <m/>
    <x v="3"/>
    <x v="0"/>
    <x v="39"/>
    <x v="0"/>
    <x v="0"/>
    <x v="6"/>
    <x v="38"/>
    <x v="52"/>
  </r>
  <r>
    <s v="(AS) Mercedes Benz/Porsche Dallas I,II,III (NO TOURS)25"/>
    <x v="21"/>
    <x v="4"/>
    <x v="1"/>
    <x v="1"/>
    <x v="2"/>
    <x v="1"/>
    <s v="https://tools.sig.systems/site/details/168"/>
    <s v="https://www.google.com/maps/d/edit?hl=es&amp;mid=1uPmsRMsXnp74hPFW2t-sp2totVWF_xY&amp;ll=32.83050137713022%2C-96.83197783061323&amp;z=17"/>
    <x v="1"/>
    <x v="0"/>
    <x v="2"/>
    <x v="0"/>
    <x v="2"/>
    <x v="2"/>
    <x v="2"/>
    <x v="2"/>
  </r>
  <r>
    <s v="(ML) Joe Machens Toyota25"/>
    <x v="21"/>
    <x v="4"/>
    <x v="1"/>
    <x v="1"/>
    <x v="18"/>
    <x v="1"/>
    <s v="https://tools.sig.systems/site/details/275"/>
    <s v="https://www.google.com/maps/d/viewer?hl=es&amp;mid=1C1oZdjH3dNvCvqdpIv_Lk0Yn1OCVn-4&amp;ll=38.965368114274455%2C-92.3405954&amp;z=15"/>
    <x v="1"/>
    <x v="0"/>
    <x v="3"/>
    <x v="7"/>
    <x v="0"/>
    <x v="16"/>
    <x v="11"/>
    <x v="18"/>
  </r>
  <r>
    <s v="(PE) JLR PDI (NO TOURS)25"/>
    <x v="21"/>
    <x v="4"/>
    <x v="4"/>
    <x v="0"/>
    <x v="50"/>
    <x v="0"/>
    <s v="https://tools.sig.systems/site/details/179"/>
    <s v="https://www.google.com/maps/d/viewer?mid=1ubI2iKs1JyYXssuT4oLPnVvFnyLPi_s&amp;ll=40.878808846788026%2C-73.98560655&amp;z=17"/>
    <x v="1"/>
    <x v="0"/>
    <x v="37"/>
    <x v="0"/>
    <x v="0"/>
    <x v="6"/>
    <x v="11"/>
    <x v="50"/>
  </r>
  <r>
    <s v="(AS) Park Place Sprinter Van Center (NO TOURS)25"/>
    <x v="21"/>
    <x v="5"/>
    <x v="1"/>
    <x v="1"/>
    <x v="6"/>
    <x v="1"/>
    <s v="https://tools.sig.systems/site/details/138"/>
    <s v="https://www.google.com/maps/d/edit?hl=es&amp;mid=1uPmsRMsXnp74hPFW2t-sp2totVWF_xY&amp;ll=32.83050137713022%2C-96.83197783061323&amp;z=17"/>
    <x v="1"/>
    <x v="0"/>
    <x v="6"/>
    <x v="0"/>
    <x v="0"/>
    <x v="6"/>
    <x v="6"/>
    <x v="6"/>
  </r>
  <r>
    <s v="(HUD) Honda of Southpoint25"/>
    <x v="21"/>
    <x v="5"/>
    <x v="0"/>
    <x v="0"/>
    <x v="11"/>
    <x v="0"/>
    <s v="https://tools.sig.systems/site/details/195"/>
    <m/>
    <x v="0"/>
    <x v="0"/>
    <x v="10"/>
    <x v="4"/>
    <x v="0"/>
    <x v="10"/>
    <x v="11"/>
    <x v="11"/>
  </r>
  <r>
    <s v="(KG) Big Star CDJR of Clear Lake25"/>
    <x v="21"/>
    <x v="5"/>
    <x v="1"/>
    <x v="1"/>
    <x v="101"/>
    <x v="1"/>
    <s v="https://tools.sig.systems/site/details/232"/>
    <s v="https://www.google.com/maps/d/edit?mid=1DRwy5fy1g5UzGTA7a1OkQA-_CY8SQ2s&amp;usp=sharing"/>
    <x v="1"/>
    <x v="0"/>
    <x v="71"/>
    <x v="0"/>
    <x v="0"/>
    <x v="69"/>
    <x v="73"/>
    <x v="100"/>
  </r>
  <r>
    <s v="(ML) Joe Machens E Collision Center25"/>
    <x v="21"/>
    <x v="5"/>
    <x v="1"/>
    <x v="1"/>
    <x v="76"/>
    <x v="1"/>
    <s v="https://tools.sig.systems/site/details/277"/>
    <s v="https://www.google.com/maps/d/viewer?hl=es&amp;mid=1C1oZdjH3dNvCvqdpIv_Lk0Yn1OCVn-4&amp;ll=38.965368114274455%2C-92.3405954&amp;z=15"/>
    <x v="1"/>
    <x v="0"/>
    <x v="6"/>
    <x v="0"/>
    <x v="0"/>
    <x v="51"/>
    <x v="57"/>
    <x v="76"/>
  </r>
  <r>
    <s v="(RML) Burleson Nissan25"/>
    <x v="21"/>
    <x v="5"/>
    <x v="1"/>
    <x v="1"/>
    <x v="82"/>
    <x v="1"/>
    <s v="https://tools.sig.systems/site/details/202"/>
    <m/>
    <x v="1"/>
    <x v="0"/>
    <x v="58"/>
    <x v="0"/>
    <x v="0"/>
    <x v="56"/>
    <x v="11"/>
    <x v="82"/>
  </r>
  <r>
    <s v="(SCH) Prep Center Delray25"/>
    <x v="21"/>
    <x v="5"/>
    <x v="0"/>
    <x v="0"/>
    <x v="53"/>
    <x v="0"/>
    <s v="https://tools.sig.systems/site/details/321"/>
    <m/>
    <x v="1"/>
    <x v="0"/>
    <x v="40"/>
    <x v="0"/>
    <x v="0"/>
    <x v="6"/>
    <x v="39"/>
    <x v="53"/>
  </r>
  <r>
    <s v="(AS) Atwell Prep Center-Dallas (NO TOURS)25"/>
    <x v="21"/>
    <x v="6"/>
    <x v="1"/>
    <x v="1"/>
    <x v="86"/>
    <x v="1"/>
    <s v="https://tools.sig.systems/site/details/165"/>
    <s v="https://www.google.com/maps/d/edit?hl=es&amp;mid=1uPmsRMsXnp74hPFW2t-sp2totVWF_xY&amp;ll=32.83050137713022%2C-96.83197783061323&amp;z=17"/>
    <x v="1"/>
    <x v="0"/>
    <x v="61"/>
    <x v="0"/>
    <x v="0"/>
    <x v="6"/>
    <x v="28"/>
    <x v="86"/>
  </r>
  <r>
    <s v="(AS) Park Place Mercedes Benz Ft. Worth (NO TOURS)25"/>
    <x v="21"/>
    <x v="6"/>
    <x v="1"/>
    <x v="1"/>
    <x v="5"/>
    <x v="1"/>
    <s v="https://tools.sig.systems/site/details/137"/>
    <s v="https://www.google.com/maps/d/edit?mid=18OEO_KbvYcgI3N1jE4gTMXfNHTNDrFU&amp;ll=32.66603989958274%2C-97.42021198201722&amp;z=18"/>
    <x v="1"/>
    <x v="0"/>
    <x v="5"/>
    <x v="0"/>
    <x v="4"/>
    <x v="5"/>
    <x v="5"/>
    <x v="5"/>
  </r>
  <r>
    <s v="(ML) Ford Lincoln of North Little Rock25"/>
    <x v="21"/>
    <x v="6"/>
    <x v="1"/>
    <x v="1"/>
    <x v="42"/>
    <x v="1"/>
    <s v="https://tools.sig.systems/site/details/214"/>
    <s v="https://www.google.com/maps/d/edit?mid=1Oky35ERk_2kgyzCvDu_odQ2ZP62BtqA&amp;usp=sharing"/>
    <x v="1"/>
    <x v="0"/>
    <x v="32"/>
    <x v="4"/>
    <x v="0"/>
    <x v="32"/>
    <x v="34"/>
    <x v="42"/>
  </r>
  <r>
    <s v="(ML) Joe Machens Temporary 2.025"/>
    <x v="21"/>
    <x v="6"/>
    <x v="1"/>
    <x v="1"/>
    <x v="44"/>
    <x v="1"/>
    <s v="https://tools.sig.systems/site/details/278"/>
    <s v="https://www.google.com/maps/d/viewer?hl=es&amp;mid=1C1oZdjH3dNvCvqdpIv_Lk0Yn1OCVn-4&amp;ll=38.965368114274455%2C-92.3405954&amp;z=15"/>
    <x v="1"/>
    <x v="0"/>
    <x v="3"/>
    <x v="17"/>
    <x v="0"/>
    <x v="33"/>
    <x v="11"/>
    <x v="44"/>
  </r>
  <r>
    <s v="(SCH) Auto Body Shop Lake Park25"/>
    <x v="21"/>
    <x v="6"/>
    <x v="0"/>
    <x v="0"/>
    <x v="83"/>
    <x v="0"/>
    <s v="https://tools.sig.systems/site/details/158"/>
    <m/>
    <x v="1"/>
    <x v="0"/>
    <x v="59"/>
    <x v="0"/>
    <x v="0"/>
    <x v="6"/>
    <x v="11"/>
    <x v="83"/>
  </r>
  <r>
    <s v="(AS) Courtesy Honda Palm Harbor (NO TOURS)25"/>
    <x v="21"/>
    <x v="7"/>
    <x v="0"/>
    <x v="0"/>
    <x v="88"/>
    <x v="0"/>
    <s v="https://tools.sig.systems/site/details/176"/>
    <m/>
    <x v="3"/>
    <x v="0"/>
    <x v="63"/>
    <x v="0"/>
    <x v="0"/>
    <x v="58"/>
    <x v="24"/>
    <x v="88"/>
  </r>
  <r>
    <s v="(AS) Nalley Lexus &amp; Remote Lot Roswell (NO TOURS)25"/>
    <x v="21"/>
    <x v="7"/>
    <x v="2"/>
    <x v="0"/>
    <x v="4"/>
    <x v="2"/>
    <s v="https://tools.sig.systems/site/details/131"/>
    <s v="https://www.google.com/maps/d/edit?mid=1jkN3DS1BhUqp_dztjjW0PDwKfo_Yxsw&amp;usp=sharing"/>
    <x v="1"/>
    <x v="1"/>
    <x v="4"/>
    <x v="1"/>
    <x v="3"/>
    <x v="4"/>
    <x v="4"/>
    <x v="4"/>
  </r>
  <r>
    <s v="(AS) Park Place Bodywerks Dallas (NO TOURS)25"/>
    <x v="21"/>
    <x v="7"/>
    <x v="1"/>
    <x v="1"/>
    <x v="59"/>
    <x v="1"/>
    <s v="https://tools.sig.systems/site/details/166"/>
    <s v="https://www.google.com/maps/d/edit?hl=es&amp;mid=1uPmsRMsXnp74hPFW2t-sp2totVWF_xY&amp;ll=32.83050137713022%2C-96.83197783061323&amp;z=17"/>
    <x v="1"/>
    <x v="0"/>
    <x v="44"/>
    <x v="9"/>
    <x v="0"/>
    <x v="6"/>
    <x v="45"/>
    <x v="59"/>
  </r>
  <r>
    <s v="(ML) Joe Machens Nissan25"/>
    <x v="21"/>
    <x v="7"/>
    <x v="1"/>
    <x v="1"/>
    <x v="78"/>
    <x v="1"/>
    <s v="https://tools.sig.systems/site/details/279"/>
    <s v="https://www.google.com/maps/d/viewer?hl=es&amp;mid=1C1oZdjH3dNvCvqdpIv_Lk0Yn1OCVn-4&amp;ll=38.965368114274455%2C-92.3405954&amp;z=15"/>
    <x v="1"/>
    <x v="0"/>
    <x v="3"/>
    <x v="28"/>
    <x v="0"/>
    <x v="6"/>
    <x v="11"/>
    <x v="78"/>
  </r>
  <r>
    <s v="(AS) Park Place MB Recon Center Dallas (NO TOURS)25"/>
    <x v="21"/>
    <x v="8"/>
    <x v="1"/>
    <x v="1"/>
    <x v="60"/>
    <x v="1"/>
    <s v="https://tools.sig.systems/site/details/170"/>
    <s v="https://www.google.com/maps/d/edit?hl=es&amp;mid=1uPmsRMsXnp74hPFW2t-sp2totVWF_xY&amp;ll=32.83050137713022%2C-96.83197783061323&amp;z=17"/>
    <x v="1"/>
    <x v="0"/>
    <x v="45"/>
    <x v="0"/>
    <x v="0"/>
    <x v="40"/>
    <x v="19"/>
    <x v="60"/>
  </r>
  <r>
    <s v="(ML) Joe Machens Kia of Columbia25"/>
    <x v="21"/>
    <x v="8"/>
    <x v="1"/>
    <x v="1"/>
    <x v="107"/>
    <x v="1"/>
    <s v="https://tools.sig.systems/site/details/270"/>
    <s v="https://www.google.com/maps/d/viewer?hl=es&amp;mid=1C1oZdjH3dNvCvqdpIv_Lk0Yn1OCVn-4&amp;ll=38.965368114274455%2C-92.3405954&amp;z=15"/>
    <x v="1"/>
    <x v="0"/>
    <x v="3"/>
    <x v="39"/>
    <x v="0"/>
    <x v="6"/>
    <x v="78"/>
    <x v="106"/>
  </r>
  <r>
    <s v="(SCH) Delray I &amp; II25"/>
    <x v="21"/>
    <x v="8"/>
    <x v="0"/>
    <x v="0"/>
    <x v="26"/>
    <x v="0"/>
    <s v="https://tools.sig.systems/site/details/159"/>
    <m/>
    <x v="3"/>
    <x v="0"/>
    <x v="21"/>
    <x v="11"/>
    <x v="6"/>
    <x v="6"/>
    <x v="22"/>
    <x v="26"/>
  </r>
  <r>
    <s v="(WAG) Greeley Chrysler Dodge Jeep Ram (NO TOURS)25"/>
    <x v="21"/>
    <x v="8"/>
    <x v="3"/>
    <x v="2"/>
    <x v="115"/>
    <x v="3"/>
    <s v="https://tools.sig.systems/site/details/130"/>
    <s v="https://www.google.com/maps/d/viewer?mid=1gN2lJ0iT7m5VNhD7aDcxE8AdXqtcOZc&amp;ll=40.396096737592195%2C-104.746842&amp;z=16"/>
    <x v="1"/>
    <x v="0"/>
    <x v="77"/>
    <x v="42"/>
    <x v="0"/>
    <x v="77"/>
    <x v="85"/>
    <x v="114"/>
  </r>
  <r>
    <s v="(DT) Colorado Springs (NO TOURS)25"/>
    <x v="21"/>
    <x v="9"/>
    <x v="3"/>
    <x v="2"/>
    <x v="65"/>
    <x v="3"/>
    <s v="https://tools.sig.systems/site/details/198"/>
    <m/>
    <x v="1"/>
    <x v="0"/>
    <x v="3"/>
    <x v="24"/>
    <x v="0"/>
    <x v="6"/>
    <x v="49"/>
    <x v="65"/>
  </r>
  <r>
    <s v="(SCH) West Palm Beach I, II &amp; III25"/>
    <x v="21"/>
    <x v="9"/>
    <x v="6"/>
    <x v="0"/>
    <x v="54"/>
    <x v="0"/>
    <s v="https://tools.sig.systems/site/details/162"/>
    <m/>
    <x v="3"/>
    <x v="2"/>
    <x v="41"/>
    <x v="20"/>
    <x v="10"/>
    <x v="6"/>
    <x v="40"/>
    <x v="54"/>
  </r>
  <r>
    <s v="(AS) David McDavid Lincoln Frisco (NO TOURS)25"/>
    <x v="21"/>
    <x v="10"/>
    <x v="1"/>
    <x v="1"/>
    <x v="58"/>
    <x v="1"/>
    <s v="https://tools.sig.systems/site/details/182"/>
    <m/>
    <x v="1"/>
    <x v="0"/>
    <x v="43"/>
    <x v="0"/>
    <x v="0"/>
    <x v="39"/>
    <x v="44"/>
    <x v="58"/>
  </r>
  <r>
    <s v="(AS) Nalley BMW Collision Center (NO TOURS)25"/>
    <x v="21"/>
    <x v="10"/>
    <x v="0"/>
    <x v="0"/>
    <x v="3"/>
    <x v="0"/>
    <s v="https://tools.sig.systems/site/details/220"/>
    <m/>
    <x v="1"/>
    <x v="0"/>
    <x v="3"/>
    <x v="1"/>
    <x v="0"/>
    <x v="3"/>
    <x v="3"/>
    <x v="3"/>
  </r>
  <r>
    <s v="(DT) Albuquerque25"/>
    <x v="21"/>
    <x v="10"/>
    <x v="3"/>
    <x v="2"/>
    <x v="35"/>
    <x v="3"/>
    <s v="https://tools.sig.systems/site/details/237"/>
    <m/>
    <x v="1"/>
    <x v="0"/>
    <x v="27"/>
    <x v="0"/>
    <x v="0"/>
    <x v="27"/>
    <x v="29"/>
    <x v="35"/>
  </r>
  <r>
    <s v="(ML) Volvo Collision Corp25"/>
    <x v="21"/>
    <x v="10"/>
    <x v="1"/>
    <x v="1"/>
    <x v="47"/>
    <x v="1"/>
    <s v="https://tools.sig.systems/site/details/223"/>
    <m/>
    <x v="1"/>
    <x v="0"/>
    <x v="35"/>
    <x v="1"/>
    <x v="0"/>
    <x v="35"/>
    <x v="11"/>
    <x v="47"/>
  </r>
  <r>
    <s v="(PE) Fairfield Collision (NO TOURS)25"/>
    <x v="21"/>
    <x v="10"/>
    <x v="4"/>
    <x v="0"/>
    <x v="22"/>
    <x v="0"/>
    <s v="https://tools.sig.systems/site/details/191"/>
    <m/>
    <x v="1"/>
    <x v="0"/>
    <x v="18"/>
    <x v="0"/>
    <x v="0"/>
    <x v="6"/>
    <x v="18"/>
    <x v="22"/>
  </r>
  <r>
    <s v="(RV) Sonny's Camp N Travel Concord25"/>
    <x v="21"/>
    <x v="10"/>
    <x v="0"/>
    <x v="0"/>
    <x v="114"/>
    <x v="0"/>
    <s v="https://tools.sig.systems/site/details/183"/>
    <m/>
    <x v="1"/>
    <x v="0"/>
    <x v="6"/>
    <x v="0"/>
    <x v="0"/>
    <x v="76"/>
    <x v="84"/>
    <x v="113"/>
  </r>
  <r>
    <s v="(AS) Stevinson JLR (NO TOURS)25"/>
    <x v="21"/>
    <x v="11"/>
    <x v="3"/>
    <x v="2"/>
    <x v="64"/>
    <x v="3"/>
    <s v="https://tools.sig.systems/site/details/204"/>
    <m/>
    <x v="1"/>
    <x v="0"/>
    <x v="49"/>
    <x v="1"/>
    <x v="0"/>
    <x v="44"/>
    <x v="48"/>
    <x v="64"/>
  </r>
  <r>
    <s v="(HUD) Acura of Greensboro25"/>
    <x v="21"/>
    <x v="11"/>
    <x v="0"/>
    <x v="0"/>
    <x v="99"/>
    <x v="0"/>
    <s v="https://tools.sig.systems/site/details/213"/>
    <s v="https://www.google.com/maps/d/viewer?mid=1ejOzT7-x6RWnCf83BBP7XhiOiwEX3Wk&amp;ll=0%2C0&amp;z=17"/>
    <x v="1"/>
    <x v="0"/>
    <x v="69"/>
    <x v="0"/>
    <x v="0"/>
    <x v="67"/>
    <x v="71"/>
    <x v="98"/>
  </r>
  <r>
    <s v="(MK) McKenny Salinas Honda25"/>
    <x v="21"/>
    <x v="11"/>
    <x v="0"/>
    <x v="0"/>
    <x v="104"/>
    <x v="0"/>
    <s v="https://tools.sig.systems/site/details/149"/>
    <m/>
    <x v="1"/>
    <x v="0"/>
    <x v="3"/>
    <x v="37"/>
    <x v="0"/>
    <x v="6"/>
    <x v="75"/>
    <x v="103"/>
  </r>
  <r>
    <s v="(ML) Joe Machens Capital City I &amp; II (NO TOURS)25"/>
    <x v="21"/>
    <x v="11"/>
    <x v="1"/>
    <x v="1"/>
    <x v="17"/>
    <x v="1"/>
    <s v="https://tools.sig.systems/site/details/271"/>
    <m/>
    <x v="1"/>
    <x v="0"/>
    <x v="3"/>
    <x v="6"/>
    <x v="0"/>
    <x v="15"/>
    <x v="16"/>
    <x v="17"/>
  </r>
  <r>
    <s v="(PE) Mercedes Benz &amp; Smart Bldg. of Fairfield (NO TOURS)25"/>
    <x v="21"/>
    <x v="11"/>
    <x v="4"/>
    <x v="0"/>
    <x v="23"/>
    <x v="0"/>
    <s v="https://tools.sig.systems/site/details/192"/>
    <s v="https://www.google.com/maps/d/viewer?mid=1FEo41PzFJQjUIXXKitX5TNCtuqR6Vbs&amp;ll=41.1663376742533%2C-73.22955662049608&amp;z=16"/>
    <x v="1"/>
    <x v="0"/>
    <x v="3"/>
    <x v="9"/>
    <x v="0"/>
    <x v="20"/>
    <x v="19"/>
    <x v="23"/>
  </r>
  <r>
    <s v="(AS) David McDavid Honda I &amp; II (NO TOURS)25"/>
    <x v="21"/>
    <x v="12"/>
    <x v="1"/>
    <x v="1"/>
    <x v="90"/>
    <x v="1"/>
    <s v="https://tools.sig.systems/site/details/129"/>
    <m/>
    <x v="1"/>
    <x v="0"/>
    <x v="3"/>
    <x v="31"/>
    <x v="0"/>
    <x v="60"/>
    <x v="63"/>
    <x v="90"/>
  </r>
  <r>
    <s v="(AS) Mike Shaw Subaru Greeley (NO TOURS)25"/>
    <x v="21"/>
    <x v="12"/>
    <x v="3"/>
    <x v="2"/>
    <x v="91"/>
    <x v="3"/>
    <s v="https://tools.sig.systems/site/details/174"/>
    <s v="https://www.google.com/maps/d/viewer?mid=1gN2lJ0iT7m5VNhD7aDcxE8AdXqtcOZc&amp;ll=40.396096737592195%2C-104.746842&amp;z=16"/>
    <x v="1"/>
    <x v="0"/>
    <x v="65"/>
    <x v="32"/>
    <x v="0"/>
    <x v="61"/>
    <x v="11"/>
    <x v="91"/>
  </r>
  <r>
    <s v="(AS) Plano Auction (NO SPEAKERS)25"/>
    <x v="21"/>
    <x v="12"/>
    <x v="1"/>
    <x v="1"/>
    <x v="94"/>
    <x v="1"/>
    <s v="https://tools.sig.systems/site/details/140"/>
    <m/>
    <x v="1"/>
    <x v="0"/>
    <x v="3"/>
    <x v="34"/>
    <x v="0"/>
    <x v="64"/>
    <x v="66"/>
    <x v="94"/>
  </r>
  <r>
    <s v="(HUD) BMW of Greensboro25"/>
    <x v="21"/>
    <x v="12"/>
    <x v="0"/>
    <x v="0"/>
    <x v="100"/>
    <x v="0"/>
    <s v="https://tools.sig.systems/site/details/219"/>
    <s v="https://www.google.com/maps/d/viewer?mid=1ejOzT7-x6RWnCf83BBP7XhiOiwEX3Wk&amp;ll=36.061264791292906%2C-79.87437695000003&amp;z=17"/>
    <x v="1"/>
    <x v="0"/>
    <x v="70"/>
    <x v="0"/>
    <x v="0"/>
    <x v="68"/>
    <x v="72"/>
    <x v="99"/>
  </r>
  <r>
    <s v="(AS) Coggin Mercedes Benz Ft Pierce (NO TOURS)25"/>
    <x v="21"/>
    <x v="13"/>
    <x v="0"/>
    <x v="0"/>
    <x v="28"/>
    <x v="0"/>
    <s v="https://tools.sig.systems/site/details/127"/>
    <s v="https://www.google.com/maps/d/viewer?mid=1AyViBuyeq7iwDua1SVudJ2A1BYi3IBA&amp;ll=27.38181516363982%2C-80.32568845000002&amp;z=18"/>
    <x v="1"/>
    <x v="0"/>
    <x v="22"/>
    <x v="13"/>
    <x v="0"/>
    <x v="22"/>
    <x v="23"/>
    <x v="28"/>
  </r>
  <r>
    <s v="(DT) El Cajon (NO TOURS)25"/>
    <x v="21"/>
    <x v="13"/>
    <x v="5"/>
    <x v="4"/>
    <x v="66"/>
    <x v="4"/>
    <s v="https://tools.sig.systems/site/details/241"/>
    <m/>
    <x v="1"/>
    <x v="0"/>
    <x v="3"/>
    <x v="16"/>
    <x v="0"/>
    <x v="6"/>
    <x v="11"/>
    <x v="66"/>
  </r>
  <r>
    <s v="(HUD) Nissan Greensboro25"/>
    <x v="21"/>
    <x v="13"/>
    <x v="0"/>
    <x v="0"/>
    <x v="12"/>
    <x v="0"/>
    <s v="https://tools.sig.systems/site/details/236"/>
    <s v="https://www.google.com/maps/d/viewer?mid=1ejOzT7-x6RWnCf83BBP7XhiOiwEX3Wk&amp;ll=36.061264791292906%2C-79.87437695000003&amp;z=17"/>
    <x v="1"/>
    <x v="0"/>
    <x v="11"/>
    <x v="0"/>
    <x v="0"/>
    <x v="6"/>
    <x v="12"/>
    <x v="12"/>
  </r>
  <r>
    <s v="(KG) Truck Center Remote Storage Lot25"/>
    <x v="21"/>
    <x v="13"/>
    <x v="2"/>
    <x v="2"/>
    <x v="14"/>
    <x v="2"/>
    <s v="https://tools.sig.systems/site/details/144"/>
    <m/>
    <x v="1"/>
    <x v="0"/>
    <x v="13"/>
    <x v="5"/>
    <x v="0"/>
    <x v="12"/>
    <x v="14"/>
    <x v="14"/>
  </r>
  <r>
    <s v="(ML) McLarty-Gray Daniels Chevrolet25"/>
    <x v="21"/>
    <x v="13"/>
    <x v="1"/>
    <x v="1"/>
    <x v="109"/>
    <x v="1"/>
    <s v="https://tools.sig.systems/site/details/150"/>
    <m/>
    <x v="1"/>
    <x v="0"/>
    <x v="74"/>
    <x v="0"/>
    <x v="0"/>
    <x v="73"/>
    <x v="80"/>
    <x v="108"/>
  </r>
  <r>
    <s v="(AS) Coggin Honda Ft. Pierce (NO TOURS)25"/>
    <x v="21"/>
    <x v="14"/>
    <x v="0"/>
    <x v="0"/>
    <x v="0"/>
    <x v="0"/>
    <s v="https://tools.sig.systems/site/details/120"/>
    <s v="https://www.google.com/maps/d/viewer?mid=1AyViBuyeq7iwDua1SVudJ2A1BYi3IBA&amp;ll=27.38181516363982%2C-80.32568845000002&amp;z=18"/>
    <x v="0"/>
    <x v="0"/>
    <x v="0"/>
    <x v="0"/>
    <x v="0"/>
    <x v="0"/>
    <x v="0"/>
    <x v="0"/>
  </r>
  <r>
    <s v="(AS) Lexus Plano I &amp; II (NO TOURS)25"/>
    <x v="21"/>
    <x v="14"/>
    <x v="1"/>
    <x v="1"/>
    <x v="1"/>
    <x v="1"/>
    <s v="https://tools.sig.systems/site/details/167"/>
    <s v="https://www.google.com/maps/d/viewer?mid=1wg5suxVuxeNp_irHlvN772HcwD6W89E&amp;ll=33.06373951220261%2C-96.82758025000001&amp;z=18"/>
    <x v="1"/>
    <x v="0"/>
    <x v="1"/>
    <x v="0"/>
    <x v="1"/>
    <x v="1"/>
    <x v="1"/>
    <x v="1"/>
  </r>
  <r>
    <s v="(HUD) CDJR of Greensboro25"/>
    <x v="21"/>
    <x v="14"/>
    <x v="0"/>
    <x v="0"/>
    <x v="68"/>
    <x v="6"/>
    <s v="https://tools.sig.systems/site/details/215"/>
    <s v="https://www.google.com/maps/d/viewer?mid=1ejOzT7-x6RWnCf83BBP7XhiOiwEX3Wk&amp;ll=36.061264791292906%2C-79.87437695000003&amp;z=17"/>
    <x v="3"/>
    <x v="0"/>
    <x v="50"/>
    <x v="0"/>
    <x v="0"/>
    <x v="45"/>
    <x v="51"/>
    <x v="68"/>
  </r>
  <r>
    <s v="(PE) JLR Darien PDI (NO TOURS)25"/>
    <x v="21"/>
    <x v="14"/>
    <x v="4"/>
    <x v="0"/>
    <x v="112"/>
    <x v="0"/>
    <s v="https://tools.sig.systems/site/details/187"/>
    <s v="https://www.google.com/maps/d/viewer?mid=1ebZp8DeTYSXNPgDIA63nFVDu9ohaO4E&amp;ll=41.08027837958441%2C-73.46597874999999&amp;z=15"/>
    <x v="1"/>
    <x v="0"/>
    <x v="6"/>
    <x v="0"/>
    <x v="0"/>
    <x v="74"/>
    <x v="83"/>
    <x v="111"/>
  </r>
  <r>
    <s v="(AS) Coggin Acura Ft Pierce (NO TOURS)25"/>
    <x v="21"/>
    <x v="15"/>
    <x v="0"/>
    <x v="0"/>
    <x v="27"/>
    <x v="0"/>
    <s v="https://tools.sig.systems/site/details/118"/>
    <s v="https://www.google.com/maps/d/viewer?mid=1AyViBuyeq7iwDua1SVudJ2A1BYi3IBA&amp;ll=27.38181516363982%2C-80.32568845000002&amp;z=18"/>
    <x v="1"/>
    <x v="0"/>
    <x v="3"/>
    <x v="12"/>
    <x v="0"/>
    <x v="21"/>
    <x v="19"/>
    <x v="27"/>
  </r>
  <r>
    <s v="(DT) W Houston25"/>
    <x v="21"/>
    <x v="15"/>
    <x v="1"/>
    <x v="1"/>
    <x v="10"/>
    <x v="1"/>
    <s v="https://tools.sig.systems/site/details/197"/>
    <m/>
    <x v="1"/>
    <x v="0"/>
    <x v="9"/>
    <x v="2"/>
    <x v="0"/>
    <x v="9"/>
    <x v="10"/>
    <x v="10"/>
  </r>
  <r>
    <s v="(HUD) Honda Greensboro25"/>
    <x v="21"/>
    <x v="15"/>
    <x v="0"/>
    <x v="0"/>
    <x v="37"/>
    <x v="0"/>
    <s v="https://tools.sig.systems/site/details/230"/>
    <s v="AS/ HUD - Crown Greensboro - Google My Maps"/>
    <x v="1"/>
    <x v="0"/>
    <x v="28"/>
    <x v="0"/>
    <x v="0"/>
    <x v="28"/>
    <x v="31"/>
    <x v="37"/>
  </r>
  <r>
    <s v="(ML) Honda of Little Rock25"/>
    <x v="21"/>
    <x v="15"/>
    <x v="1"/>
    <x v="1"/>
    <x v="16"/>
    <x v="1"/>
    <s v="https://tools.sig.systems/site/details/249"/>
    <s v="https://www.google.com/maps/d/viewer?mid=1hvbKFMO-d5TXrKGU-g5dt_xcdArB1D0&amp;ll=34.71147784120261%2C-92.40574350000001&amp;z=17"/>
    <x v="1"/>
    <x v="0"/>
    <x v="15"/>
    <x v="0"/>
    <x v="0"/>
    <x v="14"/>
    <x v="15"/>
    <x v="16"/>
  </r>
  <r>
    <s v="(ML) McLarty Gray-Daniels Toyota Nissan25"/>
    <x v="21"/>
    <x v="15"/>
    <x v="1"/>
    <x v="1"/>
    <x v="108"/>
    <x v="1"/>
    <s v="https://tools.sig.systems/site/details/152"/>
    <s v="https://www.google.com/maps/d/edit?mid=111nhCL4Xjj2Pq0zP5xUrMzHQqAihqa0&amp;usp=sharing"/>
    <x v="1"/>
    <x v="0"/>
    <x v="3"/>
    <x v="40"/>
    <x v="0"/>
    <x v="72"/>
    <x v="79"/>
    <x v="107"/>
  </r>
  <r>
    <s v="(AS) Audi of North Atlanta (NO TOURS)25"/>
    <x v="21"/>
    <x v="16"/>
    <x v="0"/>
    <x v="0"/>
    <x v="87"/>
    <x v="0"/>
    <s v="https://tools.sig.systems/site/details/124"/>
    <s v="https://www.google.com/maps/d/edit?mid=1jkN3DS1BhUqp_dztjjW0PDwKfo_Yxsw&amp;usp=sharing"/>
    <x v="1"/>
    <x v="0"/>
    <x v="62"/>
    <x v="0"/>
    <x v="0"/>
    <x v="57"/>
    <x v="61"/>
    <x v="87"/>
  </r>
  <r>
    <s v="(HUD) Paint and Body Center (NO TOURS)25"/>
    <x v="21"/>
    <x v="16"/>
    <x v="0"/>
    <x v="0"/>
    <x v="38"/>
    <x v="0"/>
    <s v="https://tools.sig.systems/site/details/256"/>
    <s v="https://www.google.com/maps/d/viewer?mid=1ejOzT7-x6RWnCf83BBP7XhiOiwEX3Wk&amp;ll=36.061264791292906%2C-79.87437695000003&amp;z=17"/>
    <x v="1"/>
    <x v="0"/>
    <x v="3"/>
    <x v="9"/>
    <x v="0"/>
    <x v="6"/>
    <x v="11"/>
    <x v="38"/>
  </r>
  <r>
    <s v="(KG) Baytown GMC Buick - Remote Lot (NO TOURS)25"/>
    <x v="21"/>
    <x v="16"/>
    <x v="2"/>
    <x v="1"/>
    <x v="70"/>
    <x v="2"/>
    <s v="https://tools.sig.systems/site/details/311"/>
    <m/>
    <x v="1"/>
    <x v="3"/>
    <x v="3"/>
    <x v="25"/>
    <x v="0"/>
    <x v="6"/>
    <x v="11"/>
    <x v="70"/>
  </r>
  <r>
    <s v="(KG) Baytown GMC Buick (NO TOURS)25"/>
    <x v="21"/>
    <x v="16"/>
    <x v="1"/>
    <x v="1"/>
    <x v="71"/>
    <x v="1"/>
    <s v="https://tools.sig.systems/site/details/239"/>
    <m/>
    <x v="1"/>
    <x v="0"/>
    <x v="52"/>
    <x v="0"/>
    <x v="0"/>
    <x v="47"/>
    <x v="53"/>
    <x v="71"/>
  </r>
  <r>
    <s v="(ML) Nissan of Little Rock25"/>
    <x v="21"/>
    <x v="16"/>
    <x v="1"/>
    <x v="1"/>
    <x v="46"/>
    <x v="1"/>
    <s v="https://tools.sig.systems/site/details/224"/>
    <s v="https://www.google.com/maps/d/viewer?mid=1hvbKFMO-d5TXrKGU-g5dt_xcdArB1D0&amp;ll=34.71147784120261%2C-92.40574350000001&amp;z=17"/>
    <x v="1"/>
    <x v="0"/>
    <x v="34"/>
    <x v="0"/>
    <x v="0"/>
    <x v="34"/>
    <x v="7"/>
    <x v="46"/>
  </r>
  <r>
    <s v="(ML) Nissan of North Little Rock25"/>
    <x v="21"/>
    <x v="16"/>
    <x v="1"/>
    <x v="1"/>
    <x v="20"/>
    <x v="1"/>
    <s v="https://tools.sig.systems/site/details/216"/>
    <s v="https://www.google.com/maps/d/edit?mid=1Oky35ERk_2kgyzCvDu_odQ2ZP62BtqA&amp;usp=sharing"/>
    <x v="1"/>
    <x v="0"/>
    <x v="16"/>
    <x v="0"/>
    <x v="0"/>
    <x v="18"/>
    <x v="17"/>
    <x v="20"/>
  </r>
  <r>
    <s v="(AS) Courtesy Kia of Brandon (NO TOURS)25"/>
    <x v="21"/>
    <x v="17"/>
    <x v="0"/>
    <x v="0"/>
    <x v="57"/>
    <x v="0"/>
    <s v="https://tools.sig.systems/site/details/121"/>
    <s v="https://www.google.com/maps/d/edit?mid=15R4hTDQx56ij99--JgozdqOIZh-kSlk&amp;usp=sharing"/>
    <x v="0"/>
    <x v="0"/>
    <x v="3"/>
    <x v="22"/>
    <x v="0"/>
    <x v="38"/>
    <x v="43"/>
    <x v="57"/>
  </r>
  <r>
    <s v="(AS) Nalley Luxury Collision Center (NO TOURS)25"/>
    <x v="21"/>
    <x v="17"/>
    <x v="0"/>
    <x v="0"/>
    <x v="31"/>
    <x v="0"/>
    <s v="https://tools.sig.systems/site/details/263"/>
    <s v="https://www.google.com/maps/d/edit?mid=1jkN3DS1BhUqp_dztjjW0PDwKfo_Yxsw&amp;usp=sharing"/>
    <x v="1"/>
    <x v="0"/>
    <x v="4"/>
    <x v="0"/>
    <x v="0"/>
    <x v="6"/>
    <x v="26"/>
    <x v="31"/>
  </r>
  <r>
    <s v="(DT) N. Houston25"/>
    <x v="21"/>
    <x v="17"/>
    <x v="1"/>
    <x v="1"/>
    <x v="9"/>
    <x v="1"/>
    <s v="https://tools.sig.systems/site/details/250"/>
    <m/>
    <x v="1"/>
    <x v="0"/>
    <x v="8"/>
    <x v="0"/>
    <x v="0"/>
    <x v="8"/>
    <x v="9"/>
    <x v="9"/>
  </r>
  <r>
    <s v="(KG) JLR LEHI (NO TOURS)25"/>
    <x v="21"/>
    <x v="17"/>
    <x v="3"/>
    <x v="2"/>
    <x v="73"/>
    <x v="3"/>
    <s v="https://tools.sig.systems/site/details/145"/>
    <m/>
    <x v="1"/>
    <x v="0"/>
    <x v="54"/>
    <x v="0"/>
    <x v="0"/>
    <x v="49"/>
    <x v="11"/>
    <x v="73"/>
  </r>
  <r>
    <s v="(ML) BMW of Little Rock25"/>
    <x v="21"/>
    <x v="17"/>
    <x v="1"/>
    <x v="1"/>
    <x v="105"/>
    <x v="1"/>
    <s v="https://tools.sig.systems/site/details/217"/>
    <s v="https://www.google.com/maps/d/viewer?mid=1hvbKFMO-d5TXrKGU-g5dt_xcdArB1D0&amp;ll=34.71147784120261%2C-92.40574350000001&amp;z=17"/>
    <x v="1"/>
    <x v="0"/>
    <x v="3"/>
    <x v="38"/>
    <x v="0"/>
    <x v="6"/>
    <x v="76"/>
    <x v="104"/>
  </r>
  <r>
    <s v="(ML) Mazda VW-Lot B25"/>
    <x v="21"/>
    <x v="17"/>
    <x v="1"/>
    <x v="1"/>
    <x v="45"/>
    <x v="1"/>
    <s v="https://tools.sig.systems/site/details/205"/>
    <s v="https://www.google.com/maps/d/edit?mid=1Oky35ERk_2kgyzCvDu_odQ2ZP62BtqA&amp;usp=sharing"/>
    <x v="1"/>
    <x v="0"/>
    <x v="33"/>
    <x v="9"/>
    <x v="0"/>
    <x v="30"/>
    <x v="11"/>
    <x v="45"/>
  </r>
  <r>
    <s v="(AS) Lexus Smyrna (NO TOURS)25"/>
    <x v="21"/>
    <x v="18"/>
    <x v="0"/>
    <x v="0"/>
    <x v="30"/>
    <x v="0"/>
    <s v="https://tools.sig.systems/site/details/133"/>
    <m/>
    <x v="1"/>
    <x v="0"/>
    <x v="24"/>
    <x v="0"/>
    <x v="0"/>
    <x v="24"/>
    <x v="25"/>
    <x v="30"/>
  </r>
  <r>
    <s v="(AS) Stevinson Chevrolet Golden (NO TOURS)25"/>
    <x v="21"/>
    <x v="18"/>
    <x v="7"/>
    <x v="2"/>
    <x v="96"/>
    <x v="3"/>
    <s v="https://tools.sig.systems/site/details/264"/>
    <s v="https://www.google.com/maps/d/edit?mid=1nAyK85WaWREy0lfxnmWn3USs2gC0nP0&amp;usp=sharing"/>
    <x v="1"/>
    <x v="0"/>
    <x v="3"/>
    <x v="36"/>
    <x v="0"/>
    <x v="66"/>
    <x v="68"/>
    <x v="95"/>
  </r>
  <r>
    <s v="(KG) Clear Lake Pre-Owned25"/>
    <x v="21"/>
    <x v="18"/>
    <x v="1"/>
    <x v="1"/>
    <x v="39"/>
    <x v="1"/>
    <s v="https://tools.sig.systems/site/details/255"/>
    <s v="https://www.google.com/maps/d/edit?mid=1DRwy5fy1g5UzGTA7a1OkQA-_CY8SQ2s&amp;usp=sharing"/>
    <x v="1"/>
    <x v="0"/>
    <x v="29"/>
    <x v="0"/>
    <x v="0"/>
    <x v="29"/>
    <x v="32"/>
    <x v="39"/>
  </r>
  <r>
    <s v="(ML) Collision Center N Little Rock25"/>
    <x v="21"/>
    <x v="18"/>
    <x v="1"/>
    <x v="1"/>
    <x v="106"/>
    <x v="1"/>
    <s v="https://tools.sig.systems/site/details/212"/>
    <s v="https://www.google.com/maps/d/edit?mid=1Oky35ERk_2kgyzCvDu_odQ2ZP62BtqA&amp;usp=sharing"/>
    <x v="1"/>
    <x v="0"/>
    <x v="3"/>
    <x v="0"/>
    <x v="0"/>
    <x v="6"/>
    <x v="77"/>
    <x v="105"/>
  </r>
  <r>
    <s v="(RV) Toms Camperland Surprise (NO TOURS)25"/>
    <x v="21"/>
    <x v="18"/>
    <x v="5"/>
    <x v="3"/>
    <x v="51"/>
    <x v="4"/>
    <s v="https://tools.sig.systems/site/details/254"/>
    <m/>
    <x v="5"/>
    <x v="0"/>
    <x v="38"/>
    <x v="0"/>
    <x v="0"/>
    <x v="6"/>
    <x v="37"/>
    <x v="51"/>
  </r>
  <r>
    <s v="(AS) Courtesy CDJR of Brandon (NO TOURS)25"/>
    <x v="21"/>
    <x v="19"/>
    <x v="0"/>
    <x v="0"/>
    <x v="56"/>
    <x v="0"/>
    <s v="https://tools.sig.systems/site/details/126"/>
    <s v="https://www.google.com/maps/d/edit?mid=15R4hTDQx56ij99--JgozdqOIZh-kSlk&amp;usp=sharing"/>
    <x v="0"/>
    <x v="0"/>
    <x v="42"/>
    <x v="9"/>
    <x v="0"/>
    <x v="37"/>
    <x v="42"/>
    <x v="56"/>
  </r>
  <r>
    <s v="(AS) Stevinson Toyota West (NO TOURS)25"/>
    <x v="21"/>
    <x v="19"/>
    <x v="3"/>
    <x v="2"/>
    <x v="8"/>
    <x v="3"/>
    <s v="https://tools.sig.systems/site/details/240"/>
    <s v="https://www.google.com/maps/d/edit?mid=1nAyK85WaWREy0lfxnmWn3USs2gC0nP0&amp;usp=sharing"/>
    <x v="1"/>
    <x v="0"/>
    <x v="3"/>
    <x v="3"/>
    <x v="0"/>
    <x v="7"/>
    <x v="8"/>
    <x v="8"/>
  </r>
  <r>
    <s v="(KG) Big Star Ford25"/>
    <x v="21"/>
    <x v="19"/>
    <x v="1"/>
    <x v="1"/>
    <x v="102"/>
    <x v="1"/>
    <s v="https://tools.sig.systems/site/details/235"/>
    <m/>
    <x v="1"/>
    <x v="0"/>
    <x v="72"/>
    <x v="0"/>
    <x v="0"/>
    <x v="70"/>
    <x v="74"/>
    <x v="101"/>
  </r>
  <r>
    <s v="(PE) BMW Tenafly (NO TOURS)25"/>
    <x v="21"/>
    <x v="19"/>
    <x v="4"/>
    <x v="0"/>
    <x v="48"/>
    <x v="0"/>
    <s v="https://tools.sig.systems/site/details/155"/>
    <m/>
    <x v="1"/>
    <x v="0"/>
    <x v="36"/>
    <x v="18"/>
    <x v="0"/>
    <x v="6"/>
    <x v="19"/>
    <x v="48"/>
  </r>
  <r>
    <s v="(AS) Plaza Lexus/Mercedes/BMW (NO TOURS)25"/>
    <x v="21"/>
    <x v="20"/>
    <x v="1"/>
    <x v="1"/>
    <x v="63"/>
    <x v="1"/>
    <s v="https://tools.sig.systems/site/details/141"/>
    <s v="https://www.google.com/maps/d/viewer?mid=1whGZ1PLqmhJnGFz8uigZqUL4cHGGW3w&amp;ll=38.668847686454825%2C-90.4433601&amp;z=17"/>
    <x v="1"/>
    <x v="0"/>
    <x v="48"/>
    <x v="23"/>
    <x v="0"/>
    <x v="43"/>
    <x v="47"/>
    <x v="63"/>
  </r>
  <r>
    <s v="(AS) Stevinson Lexus of Lakewood (NO TOURS)25"/>
    <x v="21"/>
    <x v="20"/>
    <x v="3"/>
    <x v="2"/>
    <x v="34"/>
    <x v="3"/>
    <s v="https://tools.sig.systems/site/details/260"/>
    <s v="https://www.google.com/maps/d/edit?mid=1nAyK85WaWREy0lfxnmWn3USs2gC0nP0&amp;usp=sharing"/>
    <x v="1"/>
    <x v="0"/>
    <x v="3"/>
    <x v="14"/>
    <x v="8"/>
    <x v="6"/>
    <x v="28"/>
    <x v="34"/>
  </r>
  <r>
    <s v="(KG) Kia of Phoenix (NO TOURS)25"/>
    <x v="21"/>
    <x v="20"/>
    <x v="5"/>
    <x v="3"/>
    <x v="40"/>
    <x v="4"/>
    <s v="https://tools.sig.systems/site/details/262"/>
    <m/>
    <x v="4"/>
    <x v="0"/>
    <x v="30"/>
    <x v="0"/>
    <x v="0"/>
    <x v="30"/>
    <x v="11"/>
    <x v="40"/>
  </r>
  <r>
    <s v="(ML) Toyota N Little Rock25"/>
    <x v="21"/>
    <x v="20"/>
    <x v="1"/>
    <x v="1"/>
    <x v="21"/>
    <x v="1"/>
    <s v="https://tools.sig.systems/site/details/201"/>
    <s v="https://www.google.com/maps/d/edit?mid=1Oky35ERk_2kgyzCvDu_odQ2ZP62BtqA&amp;usp=sharing"/>
    <x v="1"/>
    <x v="0"/>
    <x v="17"/>
    <x v="0"/>
    <x v="0"/>
    <x v="19"/>
    <x v="11"/>
    <x v="21"/>
  </r>
  <r>
    <s v="(TC) Tavernier Creek Marina (NO TOURS)25"/>
    <x v="21"/>
    <x v="20"/>
    <x v="0"/>
    <x v="0"/>
    <x v="84"/>
    <x v="1"/>
    <s v="https://tools.sig.systems/site/details/164"/>
    <m/>
    <x v="6"/>
    <x v="0"/>
    <x v="60"/>
    <x v="0"/>
    <x v="0"/>
    <x v="6"/>
    <x v="59"/>
    <x v="84"/>
  </r>
  <r>
    <s v="(AS) Courtesy Hyundai/Nissan Tampa (NO TOURS)25"/>
    <x v="21"/>
    <x v="21"/>
    <x v="0"/>
    <x v="0"/>
    <x v="89"/>
    <x v="0"/>
    <s v="https://tools.sig.systems/site/details/128"/>
    <m/>
    <x v="0"/>
    <x v="0"/>
    <x v="64"/>
    <x v="0"/>
    <x v="0"/>
    <x v="59"/>
    <x v="62"/>
    <x v="89"/>
  </r>
  <r>
    <s v="(AS) Park Place JLR DFW Airport (NO TOURS)25"/>
    <x v="21"/>
    <x v="21"/>
    <x v="1"/>
    <x v="1"/>
    <x v="93"/>
    <x v="1"/>
    <s v="https://tools.sig.systems/site/details/135"/>
    <m/>
    <x v="1"/>
    <x v="0"/>
    <x v="67"/>
    <x v="33"/>
    <x v="13"/>
    <x v="63"/>
    <x v="65"/>
    <x v="93"/>
  </r>
  <r>
    <s v="(AS) Plaza Audi/Infiniti (NO TOURS)25"/>
    <x v="21"/>
    <x v="21"/>
    <x v="1"/>
    <x v="1"/>
    <x v="95"/>
    <x v="1"/>
    <s v="https://tools.sig.systems/site/details/141"/>
    <s v="https://www.google.com/maps/d/viewer?mid=1whGZ1PLqmhJnGFz8uigZqUL4cHGGW3w&amp;ll=38.668847686454825%2C-90.4433601&amp;z=17"/>
    <x v="1"/>
    <x v="0"/>
    <x v="68"/>
    <x v="35"/>
    <x v="0"/>
    <x v="65"/>
    <x v="67"/>
    <x v="63"/>
  </r>
  <r>
    <s v="(DT) Escondido25"/>
    <x v="21"/>
    <x v="21"/>
    <x v="5"/>
    <x v="4"/>
    <x v="98"/>
    <x v="5"/>
    <s v="https://tools.sig.systems/site/details/196"/>
    <m/>
    <x v="1"/>
    <x v="4"/>
    <x v="20"/>
    <x v="0"/>
    <x v="0"/>
    <x v="6"/>
    <x v="70"/>
    <x v="97"/>
  </r>
  <r>
    <s v="(AS) Lexus Grapevine I &amp; II (NO TOURS)25"/>
    <x v="21"/>
    <x v="22"/>
    <x v="1"/>
    <x v="1"/>
    <x v="29"/>
    <x v="1"/>
    <s v="https://tools.sig.systems/site/details/136"/>
    <m/>
    <x v="1"/>
    <x v="0"/>
    <x v="23"/>
    <x v="0"/>
    <x v="7"/>
    <x v="23"/>
    <x v="24"/>
    <x v="29"/>
  </r>
  <r>
    <s v="(AS) Park Place Volvo Service Center (NO TOURS)25"/>
    <x v="21"/>
    <x v="22"/>
    <x v="1"/>
    <x v="1"/>
    <x v="62"/>
    <x v="1"/>
    <s v="https://tools.sig.systems/site/details/171"/>
    <s v="https://www.google.com/maps/d/edit?hl=es&amp;mid=1uPmsRMsXnp74hPFW2t-sp2totVWF_xY&amp;ll=32.83050137713022%2C-96.83197783061323&amp;z=17"/>
    <x v="1"/>
    <x v="0"/>
    <x v="47"/>
    <x v="0"/>
    <x v="0"/>
    <x v="42"/>
    <x v="11"/>
    <x v="62"/>
  </r>
  <r>
    <s v="(KG) Hyundai Surprise25"/>
    <x v="21"/>
    <x v="22"/>
    <x v="5"/>
    <x v="3"/>
    <x v="103"/>
    <x v="4"/>
    <s v="https://tools.sig.systems/site/details/269"/>
    <m/>
    <x v="4"/>
    <x v="0"/>
    <x v="73"/>
    <x v="0"/>
    <x v="0"/>
    <x v="71"/>
    <x v="11"/>
    <x v="102"/>
  </r>
  <r>
    <s v="(KT) Northwest CDJR (NO TOURS)25"/>
    <x v="21"/>
    <x v="22"/>
    <x v="1"/>
    <x v="1"/>
    <x v="15"/>
    <x v="1"/>
    <s v="https://tools.sig.systems/site/details/229"/>
    <m/>
    <x v="1"/>
    <x v="0"/>
    <x v="14"/>
    <x v="0"/>
    <x v="0"/>
    <x v="13"/>
    <x v="11"/>
    <x v="15"/>
  </r>
  <r>
    <s v="(AS) Bill Estes Ford (NO TOURS)25"/>
    <x v="21"/>
    <x v="23"/>
    <x v="0"/>
    <x v="0"/>
    <x v="55"/>
    <x v="0"/>
    <s v="https://tools.sig.systems/site/details/125"/>
    <m/>
    <x v="1"/>
    <x v="0"/>
    <x v="3"/>
    <x v="21"/>
    <x v="0"/>
    <x v="36"/>
    <x v="41"/>
    <x v="55"/>
  </r>
  <r>
    <s v="(AS) Stevinson Porsche of Littleton (NO TOURS)25"/>
    <x v="21"/>
    <x v="23"/>
    <x v="3"/>
    <x v="2"/>
    <x v="7"/>
    <x v="3"/>
    <s v="https://tools.sig.systems/site/details/242"/>
    <m/>
    <x v="1"/>
    <x v="0"/>
    <x v="7"/>
    <x v="2"/>
    <x v="0"/>
    <x v="6"/>
    <x v="7"/>
    <x v="7"/>
  </r>
  <r>
    <s v="(DT) Wichita25"/>
    <x v="21"/>
    <x v="23"/>
    <x v="1"/>
    <x v="1"/>
    <x v="36"/>
    <x v="1"/>
    <s v="https://tools.sig.systems/site/details/257"/>
    <m/>
    <x v="1"/>
    <x v="0"/>
    <x v="3"/>
    <x v="15"/>
    <x v="0"/>
    <x v="6"/>
    <x v="30"/>
    <x v="36"/>
  </r>
  <r>
    <s v="(PE) Hudson Toyota Nissan CDJR (NO TOURS)25"/>
    <x v="21"/>
    <x v="23"/>
    <x v="4"/>
    <x v="0"/>
    <x v="81"/>
    <x v="0"/>
    <s v="https://tools.sig.systems/site/details/156"/>
    <m/>
    <x v="1"/>
    <x v="0"/>
    <x v="49"/>
    <x v="30"/>
    <x v="0"/>
    <x v="55"/>
    <x v="58"/>
    <x v="81"/>
  </r>
  <r>
    <s v="SIG Office25"/>
    <x v="21"/>
    <x v="23"/>
    <x v="2"/>
    <x v="0"/>
    <x v="85"/>
    <x v="2"/>
    <s v="https://tools.sig.systems/site/details/163"/>
    <m/>
    <x v="1"/>
    <x v="0"/>
    <x v="3"/>
    <x v="0"/>
    <x v="0"/>
    <x v="6"/>
    <x v="60"/>
    <x v="85"/>
  </r>
  <r>
    <s v="(KG) Big Star Honda25"/>
    <x v="21"/>
    <x v="24"/>
    <x v="1"/>
    <x v="1"/>
    <x v="72"/>
    <x v="1"/>
    <s v="https://tools.sig.systems/site/details/231"/>
    <m/>
    <x v="1"/>
    <x v="0"/>
    <x v="53"/>
    <x v="0"/>
    <x v="0"/>
    <x v="48"/>
    <x v="54"/>
    <x v="72"/>
  </r>
  <r>
    <s v="(ML) Joe Machens Ford Lincoln I &amp; II25"/>
    <x v="21"/>
    <x v="24"/>
    <x v="1"/>
    <x v="1"/>
    <x v="77"/>
    <x v="1"/>
    <s v="https://tools.sig.systems/site/details/266"/>
    <s v="https://www.google.com/maps/d/viewer?hl=es&amp;mid=1C1oZdjH3dNvCvqdpIv_Lk0Yn1OCVn-4&amp;ll=38.965368114274455%2C-92.3405954&amp;z=15"/>
    <x v="1"/>
    <x v="0"/>
    <x v="3"/>
    <x v="27"/>
    <x v="0"/>
    <x v="52"/>
    <x v="11"/>
    <x v="77"/>
  </r>
  <r>
    <s v="(PE) BMW of Mamaroneck (NO TOURS)25"/>
    <x v="21"/>
    <x v="24"/>
    <x v="4"/>
    <x v="0"/>
    <x v="111"/>
    <x v="0"/>
    <s v="https://tools.sig.systems/site/details/185"/>
    <m/>
    <x v="1"/>
    <x v="0"/>
    <x v="76"/>
    <x v="41"/>
    <x v="0"/>
    <x v="6"/>
    <x v="82"/>
    <x v="110"/>
  </r>
  <r>
    <s v="(RV) Toms Camperland Mesa (NO TOURS)25"/>
    <x v="21"/>
    <x v="24"/>
    <x v="5"/>
    <x v="3"/>
    <x v="25"/>
    <x v="4"/>
    <s v="https://tools.sig.systems/site/details/222"/>
    <m/>
    <x v="1"/>
    <x v="0"/>
    <x v="20"/>
    <x v="0"/>
    <x v="0"/>
    <x v="6"/>
    <x v="21"/>
    <x v="25"/>
  </r>
  <r>
    <s v="(AS) Park Place Bodywerks Ft. Worth (NO TOURS)26"/>
    <x v="22"/>
    <x v="0"/>
    <x v="1"/>
    <x v="1"/>
    <x v="92"/>
    <x v="1"/>
    <s v="https://tools.sig.systems/site/details/134"/>
    <s v="https://www.google.com/maps/d/edit?mid=18OEO_KbvYcgI3N1jE4gTMXfNHTNDrFU&amp;ll=32.66603989958274%2C-97.42021198201722&amp;z=18"/>
    <x v="1"/>
    <x v="0"/>
    <x v="66"/>
    <x v="0"/>
    <x v="0"/>
    <x v="62"/>
    <x v="64"/>
    <x v="92"/>
  </r>
  <r>
    <s v="(DT) Louisville26"/>
    <x v="22"/>
    <x v="0"/>
    <x v="0"/>
    <x v="0"/>
    <x v="67"/>
    <x v="0"/>
    <s v="https://tools.sig.systems/site/details/258"/>
    <m/>
    <x v="1"/>
    <x v="0"/>
    <x v="3"/>
    <x v="16"/>
    <x v="0"/>
    <x v="6"/>
    <x v="50"/>
    <x v="67"/>
  </r>
  <r>
    <s v="(ML) Nissan Of Benton26"/>
    <x v="22"/>
    <x v="0"/>
    <x v="1"/>
    <x v="1"/>
    <x v="80"/>
    <x v="1"/>
    <s v="https://tools.sig.systems/site/details/247"/>
    <m/>
    <x v="1"/>
    <x v="0"/>
    <x v="57"/>
    <x v="0"/>
    <x v="0"/>
    <x v="54"/>
    <x v="11"/>
    <x v="80"/>
  </r>
  <r>
    <s v="(PE) Scofield Service Center (NO TOURS)26"/>
    <x v="22"/>
    <x v="0"/>
    <x v="4"/>
    <x v="0"/>
    <x v="113"/>
    <x v="0"/>
    <s v="https://tools.sig.systems/site/details/193"/>
    <s v="https://www.google.com/maps/d/viewer?mid=1FEo41PzFJQjUIXXKitX5TNCtuqR6Vbs&amp;ll=41.1663376742533%2C-73.22955662049608&amp;z=16"/>
    <x v="1"/>
    <x v="0"/>
    <x v="6"/>
    <x v="0"/>
    <x v="0"/>
    <x v="75"/>
    <x v="51"/>
    <x v="112"/>
  </r>
  <r>
    <s v="(RV) Toms Camperland Avondale (NO TOURS)26"/>
    <x v="22"/>
    <x v="0"/>
    <x v="5"/>
    <x v="3"/>
    <x v="24"/>
    <x v="4"/>
    <s v="https://tools.sig.systems/site/details/248"/>
    <s v="https://www.google.com/maps/d/viewer?mid=1bDs0QGFZwL3vEeGKxjVMk_j4azr0-lg&amp;ll=33.4593758581648%2C-112.28793780000001&amp;z=18"/>
    <x v="2"/>
    <x v="0"/>
    <x v="19"/>
    <x v="10"/>
    <x v="0"/>
    <x v="6"/>
    <x v="20"/>
    <x v="24"/>
  </r>
  <r>
    <s v="(HUD) CDJR of Greensboro26"/>
    <x v="22"/>
    <x v="1"/>
    <x v="0"/>
    <x v="0"/>
    <x v="68"/>
    <x v="6"/>
    <s v="https://tools.sig.systems/site/details/215"/>
    <s v="https://www.google.com/maps/d/viewer?mid=1ejOzT7-x6RWnCf83BBP7XhiOiwEX3Wk&amp;ll=36.061264791292906%2C-79.87437695000003&amp;z=17"/>
    <x v="3"/>
    <x v="0"/>
    <x v="50"/>
    <x v="0"/>
    <x v="0"/>
    <x v="45"/>
    <x v="51"/>
    <x v="68"/>
  </r>
  <r>
    <s v="(JE) Jim Ellis Ford Sandy Springs26"/>
    <x v="22"/>
    <x v="1"/>
    <x v="0"/>
    <x v="0"/>
    <x v="69"/>
    <x v="0"/>
    <s v="https://tools.sig.systems/site/details/142"/>
    <m/>
    <x v="1"/>
    <x v="0"/>
    <x v="51"/>
    <x v="0"/>
    <x v="0"/>
    <x v="46"/>
    <x v="52"/>
    <x v="69"/>
  </r>
  <r>
    <s v="(KG) Texan CDJR26"/>
    <x v="22"/>
    <x v="1"/>
    <x v="1"/>
    <x v="1"/>
    <x v="13"/>
    <x v="1"/>
    <s v="https://tools.sig.systems/site/details/238"/>
    <s v="https://www.google.com/maps/d/edit?mid=1FNqK4dW8Z8gtSWuQLbStrtqe7lH8DIQ&amp;usp=sharing"/>
    <x v="1"/>
    <x v="0"/>
    <x v="12"/>
    <x v="0"/>
    <x v="5"/>
    <x v="11"/>
    <x v="13"/>
    <x v="13"/>
  </r>
  <r>
    <s v="(ML) Columbia Honda (NO TOURS)26"/>
    <x v="22"/>
    <x v="1"/>
    <x v="1"/>
    <x v="1"/>
    <x v="75"/>
    <x v="1"/>
    <s v="https://tools.sig.systems/site/details/272"/>
    <s v="https://www.google.com/maps/d/viewer?hl=es&amp;mid=1C1oZdjH3dNvCvqdpIv_Lk0Yn1OCVn-4&amp;ll=38.965368114274426%2C-92.3405954&amp;z=15"/>
    <x v="1"/>
    <x v="0"/>
    <x v="3"/>
    <x v="26"/>
    <x v="0"/>
    <x v="50"/>
    <x v="56"/>
    <x v="75"/>
  </r>
  <r>
    <s v="(AS) Park Place Mercedes Benz Arlington (NO TOURS)26"/>
    <x v="22"/>
    <x v="2"/>
    <x v="1"/>
    <x v="1"/>
    <x v="61"/>
    <x v="1"/>
    <s v="https://tools.sig.systems/site/details/169"/>
    <m/>
    <x v="1"/>
    <x v="0"/>
    <x v="46"/>
    <x v="0"/>
    <x v="11"/>
    <x v="41"/>
    <x v="46"/>
    <x v="61"/>
  </r>
  <r>
    <s v="(KG) Texan GMC Buick (NO TOURS)26"/>
    <x v="22"/>
    <x v="2"/>
    <x v="1"/>
    <x v="1"/>
    <x v="41"/>
    <x v="1"/>
    <s v="https://tools.sig.systems/site/details/225"/>
    <s v="https://www.google.com/maps/d/edit?mid=1FNqK4dW8Z8gtSWuQLbStrtqe7lH8DIQ&amp;usp=sharing"/>
    <x v="1"/>
    <x v="0"/>
    <x v="31"/>
    <x v="0"/>
    <x v="0"/>
    <x v="31"/>
    <x v="33"/>
    <x v="41"/>
  </r>
  <r>
    <s v="(LM) Luther Mazda / Mitsubishi26"/>
    <x v="22"/>
    <x v="2"/>
    <x v="1"/>
    <x v="1"/>
    <x v="74"/>
    <x v="1"/>
    <s v="https://tools.sig.systems/site/details/147"/>
    <s v="https://www.google.com/maps/d/viewer?mid=1ot0ILX76JMuvd9yMuqkb4_e0yH1n7TA&amp;ll=45.07815812965141%2C-93.33506855000002&amp;z=17"/>
    <x v="1"/>
    <x v="0"/>
    <x v="55"/>
    <x v="0"/>
    <x v="12"/>
    <x v="6"/>
    <x v="55"/>
    <x v="74"/>
  </r>
  <r>
    <s v="(ML) Joe Machens CDJR26"/>
    <x v="22"/>
    <x v="2"/>
    <x v="1"/>
    <x v="1"/>
    <x v="43"/>
    <x v="1"/>
    <s v="https://tools.sig.systems/site/details/273"/>
    <s v="https://www.google.com/maps/d/viewer?hl=es&amp;mid=1C1oZdjH3dNvCvqdpIv_Lk0Yn1OCVn-4&amp;ll=38.965368114274455%2C-92.3405954&amp;z=15"/>
    <x v="1"/>
    <x v="0"/>
    <x v="3"/>
    <x v="16"/>
    <x v="0"/>
    <x v="6"/>
    <x v="35"/>
    <x v="43"/>
  </r>
  <r>
    <s v="(PE) BMW of Greenwich (NO TOURS)26"/>
    <x v="22"/>
    <x v="2"/>
    <x v="4"/>
    <x v="0"/>
    <x v="110"/>
    <x v="0"/>
    <s v="https://tools.sig.systems/site/details/186"/>
    <s v="https://www.google.com/maps/d/edit?hl=en&amp;mid=1UHmt7tH1ihTa85i0MfQIcTfVvIQg_vM&amp;ll=41.024187580466844%2C-73.63702405370861&amp;z=18"/>
    <x v="1"/>
    <x v="0"/>
    <x v="75"/>
    <x v="0"/>
    <x v="0"/>
    <x v="6"/>
    <x v="81"/>
    <x v="109"/>
  </r>
  <r>
    <s v="(AS) Park Place Volvo Sales (NO TOURS)26"/>
    <x v="22"/>
    <x v="3"/>
    <x v="1"/>
    <x v="1"/>
    <x v="33"/>
    <x v="1"/>
    <s v="https://tools.sig.systems/site/details/139"/>
    <s v="https://www.google.com/maps/d/edit?hl=es&amp;mid=1uPmsRMsXnp74hPFW2t-sp2totVWF_xY&amp;ll=32.83050137713022%2C-96.83197783061323&amp;z=17"/>
    <x v="1"/>
    <x v="0"/>
    <x v="26"/>
    <x v="0"/>
    <x v="0"/>
    <x v="26"/>
    <x v="27"/>
    <x v="33"/>
  </r>
  <r>
    <s v="(AS) Park Place Volvo Service Center (NO TOURS)26"/>
    <x v="22"/>
    <x v="3"/>
    <x v="1"/>
    <x v="1"/>
    <x v="62"/>
    <x v="1"/>
    <s v="https://tools.sig.systems/site/details/171"/>
    <s v="https://www.google.com/maps/d/edit?hl=es&amp;mid=1uPmsRMsXnp74hPFW2t-sp2totVWF_xY&amp;ll=32.83050137713022%2C-96.83197783061323&amp;z=17"/>
    <x v="1"/>
    <x v="0"/>
    <x v="47"/>
    <x v="0"/>
    <x v="0"/>
    <x v="42"/>
    <x v="11"/>
    <x v="62"/>
  </r>
  <r>
    <s v="(DT) Denver (NO TOURS)26"/>
    <x v="22"/>
    <x v="3"/>
    <x v="3"/>
    <x v="2"/>
    <x v="97"/>
    <x v="3"/>
    <s v="https://tools.sig.systems/site/details/203"/>
    <s v="https://www.google.com/maps/d/edit?mid=1AjZHz2LTg0RMhZUOmyZsv_Y4MFcaP8g&amp;usp=sharing"/>
    <x v="1"/>
    <x v="0"/>
    <x v="3"/>
    <x v="25"/>
    <x v="0"/>
    <x v="6"/>
    <x v="69"/>
    <x v="96"/>
  </r>
  <r>
    <s v="(ML) Joe Machens VW26"/>
    <x v="22"/>
    <x v="3"/>
    <x v="1"/>
    <x v="1"/>
    <x v="19"/>
    <x v="1"/>
    <s v="https://tools.sig.systems/site/details/274"/>
    <s v="https://www.google.com/maps/d/viewer?hl=es&amp;mid=1C1oZdjH3dNvCvqdpIv_Lk0Yn1OCVn-4&amp;ll=38.965368114274455%2C-92.3405954&amp;z=15"/>
    <x v="1"/>
    <x v="0"/>
    <x v="3"/>
    <x v="8"/>
    <x v="0"/>
    <x v="17"/>
    <x v="11"/>
    <x v="19"/>
  </r>
  <r>
    <s v="(SCH) Chevrolet North Palm26"/>
    <x v="22"/>
    <x v="3"/>
    <x v="0"/>
    <x v="0"/>
    <x v="52"/>
    <x v="0"/>
    <s v="https://tools.sig.systems/site/details/160"/>
    <m/>
    <x v="3"/>
    <x v="0"/>
    <x v="39"/>
    <x v="0"/>
    <x v="0"/>
    <x v="6"/>
    <x v="38"/>
    <x v="52"/>
  </r>
  <r>
    <s v="(AS) Mercedes Benz/Porsche Dallas I,II,III (NO TOURS)26"/>
    <x v="22"/>
    <x v="4"/>
    <x v="1"/>
    <x v="1"/>
    <x v="2"/>
    <x v="1"/>
    <s v="https://tools.sig.systems/site/details/168"/>
    <s v="https://www.google.com/maps/d/edit?hl=es&amp;mid=1uPmsRMsXnp74hPFW2t-sp2totVWF_xY&amp;ll=32.83050137713022%2C-96.83197783061323&amp;z=17"/>
    <x v="1"/>
    <x v="0"/>
    <x v="2"/>
    <x v="0"/>
    <x v="2"/>
    <x v="2"/>
    <x v="2"/>
    <x v="2"/>
  </r>
  <r>
    <s v="(ML) Joe Machens Toyota26"/>
    <x v="22"/>
    <x v="4"/>
    <x v="1"/>
    <x v="1"/>
    <x v="18"/>
    <x v="1"/>
    <s v="https://tools.sig.systems/site/details/275"/>
    <s v="https://www.google.com/maps/d/viewer?hl=es&amp;mid=1C1oZdjH3dNvCvqdpIv_Lk0Yn1OCVn-4&amp;ll=38.965368114274455%2C-92.3405954&amp;z=15"/>
    <x v="1"/>
    <x v="0"/>
    <x v="3"/>
    <x v="7"/>
    <x v="0"/>
    <x v="16"/>
    <x v="11"/>
    <x v="18"/>
  </r>
  <r>
    <s v="(PE) JLR PDI (NO TOURS)26"/>
    <x v="22"/>
    <x v="4"/>
    <x v="4"/>
    <x v="0"/>
    <x v="50"/>
    <x v="0"/>
    <s v="https://tools.sig.systems/site/details/179"/>
    <s v="https://www.google.com/maps/d/viewer?mid=1ubI2iKs1JyYXssuT4oLPnVvFnyLPi_s&amp;ll=40.878808846788026%2C-73.98560655&amp;z=17"/>
    <x v="1"/>
    <x v="0"/>
    <x v="37"/>
    <x v="0"/>
    <x v="0"/>
    <x v="6"/>
    <x v="11"/>
    <x v="50"/>
  </r>
  <r>
    <s v="(AS) Park Place Sprinter Van Center (NO TOURS)26"/>
    <x v="22"/>
    <x v="5"/>
    <x v="1"/>
    <x v="1"/>
    <x v="6"/>
    <x v="1"/>
    <s v="https://tools.sig.systems/site/details/138"/>
    <s v="https://www.google.com/maps/d/edit?hl=es&amp;mid=1uPmsRMsXnp74hPFW2t-sp2totVWF_xY&amp;ll=32.83050137713022%2C-96.83197783061323&amp;z=17"/>
    <x v="1"/>
    <x v="0"/>
    <x v="6"/>
    <x v="0"/>
    <x v="0"/>
    <x v="6"/>
    <x v="6"/>
    <x v="6"/>
  </r>
  <r>
    <s v="(HUD) Honda of Southpoint26"/>
    <x v="22"/>
    <x v="5"/>
    <x v="0"/>
    <x v="0"/>
    <x v="11"/>
    <x v="0"/>
    <s v="https://tools.sig.systems/site/details/195"/>
    <m/>
    <x v="0"/>
    <x v="0"/>
    <x v="10"/>
    <x v="4"/>
    <x v="0"/>
    <x v="10"/>
    <x v="11"/>
    <x v="11"/>
  </r>
  <r>
    <s v="(KG) Big Star CDJR of Clear Lake26"/>
    <x v="22"/>
    <x v="5"/>
    <x v="1"/>
    <x v="1"/>
    <x v="101"/>
    <x v="1"/>
    <s v="https://tools.sig.systems/site/details/232"/>
    <s v="https://www.google.com/maps/d/edit?mid=1DRwy5fy1g5UzGTA7a1OkQA-_CY8SQ2s&amp;usp=sharing"/>
    <x v="1"/>
    <x v="0"/>
    <x v="71"/>
    <x v="0"/>
    <x v="0"/>
    <x v="69"/>
    <x v="73"/>
    <x v="100"/>
  </r>
  <r>
    <s v="(ML) Joe Machens E Collision Center26"/>
    <x v="22"/>
    <x v="5"/>
    <x v="1"/>
    <x v="1"/>
    <x v="76"/>
    <x v="1"/>
    <s v="https://tools.sig.systems/site/details/277"/>
    <s v="https://www.google.com/maps/d/viewer?hl=es&amp;mid=1C1oZdjH3dNvCvqdpIv_Lk0Yn1OCVn-4&amp;ll=38.965368114274455%2C-92.3405954&amp;z=15"/>
    <x v="1"/>
    <x v="0"/>
    <x v="6"/>
    <x v="0"/>
    <x v="0"/>
    <x v="51"/>
    <x v="57"/>
    <x v="76"/>
  </r>
  <r>
    <s v="(RML) Burleson Nissan26"/>
    <x v="22"/>
    <x v="5"/>
    <x v="1"/>
    <x v="1"/>
    <x v="82"/>
    <x v="1"/>
    <s v="https://tools.sig.systems/site/details/202"/>
    <m/>
    <x v="1"/>
    <x v="0"/>
    <x v="58"/>
    <x v="0"/>
    <x v="0"/>
    <x v="56"/>
    <x v="11"/>
    <x v="82"/>
  </r>
  <r>
    <s v="(SCH) Prep Center Delray26"/>
    <x v="22"/>
    <x v="5"/>
    <x v="0"/>
    <x v="0"/>
    <x v="53"/>
    <x v="0"/>
    <s v="https://tools.sig.systems/site/details/321"/>
    <m/>
    <x v="1"/>
    <x v="0"/>
    <x v="40"/>
    <x v="0"/>
    <x v="0"/>
    <x v="6"/>
    <x v="39"/>
    <x v="53"/>
  </r>
  <r>
    <s v="(AS) Atwell Prep Center-Dallas (NO TOURS)26"/>
    <x v="22"/>
    <x v="6"/>
    <x v="1"/>
    <x v="1"/>
    <x v="86"/>
    <x v="1"/>
    <s v="https://tools.sig.systems/site/details/165"/>
    <s v="https://www.google.com/maps/d/edit?hl=es&amp;mid=1uPmsRMsXnp74hPFW2t-sp2totVWF_xY&amp;ll=32.83050137713022%2C-96.83197783061323&amp;z=17"/>
    <x v="1"/>
    <x v="0"/>
    <x v="61"/>
    <x v="0"/>
    <x v="0"/>
    <x v="6"/>
    <x v="28"/>
    <x v="86"/>
  </r>
  <r>
    <s v="(AS) Park Place Mercedes Benz Ft. Worth (NO TOURS)26"/>
    <x v="22"/>
    <x v="6"/>
    <x v="1"/>
    <x v="1"/>
    <x v="5"/>
    <x v="1"/>
    <s v="https://tools.sig.systems/site/details/137"/>
    <s v="https://www.google.com/maps/d/edit?mid=18OEO_KbvYcgI3N1jE4gTMXfNHTNDrFU&amp;ll=32.66603989958274%2C-97.42021198201722&amp;z=18"/>
    <x v="1"/>
    <x v="0"/>
    <x v="5"/>
    <x v="0"/>
    <x v="4"/>
    <x v="5"/>
    <x v="5"/>
    <x v="5"/>
  </r>
  <r>
    <s v="(ML) Ford Lincoln of North Little Rock26"/>
    <x v="22"/>
    <x v="6"/>
    <x v="1"/>
    <x v="1"/>
    <x v="42"/>
    <x v="1"/>
    <s v="https://tools.sig.systems/site/details/214"/>
    <s v="https://www.google.com/maps/d/edit?mid=1Oky35ERk_2kgyzCvDu_odQ2ZP62BtqA&amp;usp=sharing"/>
    <x v="1"/>
    <x v="0"/>
    <x v="32"/>
    <x v="4"/>
    <x v="0"/>
    <x v="32"/>
    <x v="34"/>
    <x v="42"/>
  </r>
  <r>
    <s v="(ML) Joe Machens Temporary 2.026"/>
    <x v="22"/>
    <x v="6"/>
    <x v="1"/>
    <x v="1"/>
    <x v="44"/>
    <x v="1"/>
    <s v="https://tools.sig.systems/site/details/278"/>
    <s v="https://www.google.com/maps/d/viewer?hl=es&amp;mid=1C1oZdjH3dNvCvqdpIv_Lk0Yn1OCVn-4&amp;ll=38.965368114274455%2C-92.3405954&amp;z=15"/>
    <x v="1"/>
    <x v="0"/>
    <x v="3"/>
    <x v="17"/>
    <x v="0"/>
    <x v="33"/>
    <x v="11"/>
    <x v="44"/>
  </r>
  <r>
    <s v="(SCH) Auto Body Shop Lake Park26"/>
    <x v="22"/>
    <x v="6"/>
    <x v="0"/>
    <x v="0"/>
    <x v="83"/>
    <x v="0"/>
    <s v="https://tools.sig.systems/site/details/158"/>
    <m/>
    <x v="1"/>
    <x v="0"/>
    <x v="59"/>
    <x v="0"/>
    <x v="0"/>
    <x v="6"/>
    <x v="11"/>
    <x v="83"/>
  </r>
  <r>
    <s v="(AS) Courtesy Honda Palm Harbor (NO TOURS)26"/>
    <x v="22"/>
    <x v="7"/>
    <x v="0"/>
    <x v="0"/>
    <x v="88"/>
    <x v="0"/>
    <s v="https://tools.sig.systems/site/details/176"/>
    <m/>
    <x v="3"/>
    <x v="0"/>
    <x v="63"/>
    <x v="0"/>
    <x v="0"/>
    <x v="58"/>
    <x v="24"/>
    <x v="88"/>
  </r>
  <r>
    <s v="(AS) Nalley Lexus &amp; Remote Lot Roswell (NO TOURS)26"/>
    <x v="22"/>
    <x v="7"/>
    <x v="2"/>
    <x v="0"/>
    <x v="4"/>
    <x v="2"/>
    <s v="https://tools.sig.systems/site/details/131"/>
    <s v="https://www.google.com/maps/d/edit?mid=1jkN3DS1BhUqp_dztjjW0PDwKfo_Yxsw&amp;usp=sharing"/>
    <x v="1"/>
    <x v="1"/>
    <x v="4"/>
    <x v="1"/>
    <x v="3"/>
    <x v="4"/>
    <x v="4"/>
    <x v="4"/>
  </r>
  <r>
    <s v="(AS) Park Place Bodywerks Dallas (NO TOURS)26"/>
    <x v="22"/>
    <x v="7"/>
    <x v="1"/>
    <x v="1"/>
    <x v="59"/>
    <x v="1"/>
    <s v="https://tools.sig.systems/site/details/166"/>
    <s v="https://www.google.com/maps/d/edit?hl=es&amp;mid=1uPmsRMsXnp74hPFW2t-sp2totVWF_xY&amp;ll=32.83050137713022%2C-96.83197783061323&amp;z=17"/>
    <x v="1"/>
    <x v="0"/>
    <x v="44"/>
    <x v="9"/>
    <x v="0"/>
    <x v="6"/>
    <x v="45"/>
    <x v="59"/>
  </r>
  <r>
    <s v="(ML) Joe Machens Nissan26"/>
    <x v="22"/>
    <x v="7"/>
    <x v="1"/>
    <x v="1"/>
    <x v="78"/>
    <x v="1"/>
    <s v="https://tools.sig.systems/site/details/279"/>
    <s v="https://www.google.com/maps/d/viewer?hl=es&amp;mid=1C1oZdjH3dNvCvqdpIv_Lk0Yn1OCVn-4&amp;ll=38.965368114274455%2C-92.3405954&amp;z=15"/>
    <x v="1"/>
    <x v="0"/>
    <x v="3"/>
    <x v="28"/>
    <x v="0"/>
    <x v="6"/>
    <x v="11"/>
    <x v="78"/>
  </r>
  <r>
    <s v="(AS) Park Place MB Recon Center Dallas (NO TOURS)26"/>
    <x v="22"/>
    <x v="8"/>
    <x v="1"/>
    <x v="1"/>
    <x v="60"/>
    <x v="1"/>
    <s v="https://tools.sig.systems/site/details/170"/>
    <s v="https://www.google.com/maps/d/edit?hl=es&amp;mid=1uPmsRMsXnp74hPFW2t-sp2totVWF_xY&amp;ll=32.83050137713022%2C-96.83197783061323&amp;z=17"/>
    <x v="1"/>
    <x v="0"/>
    <x v="45"/>
    <x v="0"/>
    <x v="0"/>
    <x v="40"/>
    <x v="19"/>
    <x v="60"/>
  </r>
  <r>
    <s v="(ML) Joe Machens Kia of Columbia26"/>
    <x v="22"/>
    <x v="8"/>
    <x v="1"/>
    <x v="1"/>
    <x v="107"/>
    <x v="1"/>
    <s v="https://tools.sig.systems/site/details/270"/>
    <s v="https://www.google.com/maps/d/viewer?hl=es&amp;mid=1C1oZdjH3dNvCvqdpIv_Lk0Yn1OCVn-4&amp;ll=38.965368114274455%2C-92.3405954&amp;z=15"/>
    <x v="1"/>
    <x v="0"/>
    <x v="3"/>
    <x v="39"/>
    <x v="0"/>
    <x v="6"/>
    <x v="78"/>
    <x v="106"/>
  </r>
  <r>
    <s v="(SCH) Delray I &amp; II26"/>
    <x v="22"/>
    <x v="8"/>
    <x v="0"/>
    <x v="0"/>
    <x v="26"/>
    <x v="0"/>
    <s v="https://tools.sig.systems/site/details/159"/>
    <m/>
    <x v="3"/>
    <x v="0"/>
    <x v="21"/>
    <x v="11"/>
    <x v="6"/>
    <x v="6"/>
    <x v="22"/>
    <x v="26"/>
  </r>
  <r>
    <s v="(WAG) Greeley Chrysler Dodge Jeep Ram (NO TOURS)26"/>
    <x v="22"/>
    <x v="8"/>
    <x v="3"/>
    <x v="2"/>
    <x v="115"/>
    <x v="3"/>
    <s v="https://tools.sig.systems/site/details/130"/>
    <s v="https://www.google.com/maps/d/viewer?mid=1gN2lJ0iT7m5VNhD7aDcxE8AdXqtcOZc&amp;ll=40.396096737592195%2C-104.746842&amp;z=16"/>
    <x v="1"/>
    <x v="0"/>
    <x v="77"/>
    <x v="42"/>
    <x v="0"/>
    <x v="77"/>
    <x v="85"/>
    <x v="114"/>
  </r>
  <r>
    <s v="(SCH) West Palm Beach I, II &amp; III26"/>
    <x v="22"/>
    <x v="9"/>
    <x v="6"/>
    <x v="0"/>
    <x v="54"/>
    <x v="0"/>
    <s v="https://tools.sig.systems/site/details/162"/>
    <m/>
    <x v="3"/>
    <x v="2"/>
    <x v="41"/>
    <x v="20"/>
    <x v="10"/>
    <x v="6"/>
    <x v="40"/>
    <x v="54"/>
  </r>
  <r>
    <s v="(AS) David McDavid Lincoln Frisco (NO TOURS)26"/>
    <x v="22"/>
    <x v="10"/>
    <x v="1"/>
    <x v="1"/>
    <x v="58"/>
    <x v="1"/>
    <s v="https://tools.sig.systems/site/details/182"/>
    <m/>
    <x v="1"/>
    <x v="0"/>
    <x v="43"/>
    <x v="0"/>
    <x v="0"/>
    <x v="39"/>
    <x v="44"/>
    <x v="58"/>
  </r>
  <r>
    <s v="(AS) Nalley BMW Collision Center (NO TOURS)26"/>
    <x v="22"/>
    <x v="10"/>
    <x v="0"/>
    <x v="0"/>
    <x v="3"/>
    <x v="0"/>
    <s v="https://tools.sig.systems/site/details/220"/>
    <m/>
    <x v="1"/>
    <x v="0"/>
    <x v="3"/>
    <x v="1"/>
    <x v="0"/>
    <x v="3"/>
    <x v="3"/>
    <x v="3"/>
  </r>
  <r>
    <s v="(AS) Plano Auction (NO SPEAKERS)26"/>
    <x v="22"/>
    <x v="10"/>
    <x v="1"/>
    <x v="1"/>
    <x v="94"/>
    <x v="1"/>
    <s v="https://tools.sig.systems/site/details/140"/>
    <m/>
    <x v="1"/>
    <x v="0"/>
    <x v="3"/>
    <x v="34"/>
    <x v="0"/>
    <x v="64"/>
    <x v="66"/>
    <x v="94"/>
  </r>
  <r>
    <s v="(DT) Albuquerque26"/>
    <x v="22"/>
    <x v="10"/>
    <x v="3"/>
    <x v="2"/>
    <x v="35"/>
    <x v="3"/>
    <s v="https://tools.sig.systems/site/details/237"/>
    <m/>
    <x v="1"/>
    <x v="0"/>
    <x v="27"/>
    <x v="0"/>
    <x v="0"/>
    <x v="27"/>
    <x v="29"/>
    <x v="35"/>
  </r>
  <r>
    <s v="(ML) Volvo Collision Corp26"/>
    <x v="22"/>
    <x v="10"/>
    <x v="1"/>
    <x v="1"/>
    <x v="47"/>
    <x v="1"/>
    <s v="https://tools.sig.systems/site/details/223"/>
    <m/>
    <x v="1"/>
    <x v="0"/>
    <x v="35"/>
    <x v="1"/>
    <x v="0"/>
    <x v="35"/>
    <x v="11"/>
    <x v="47"/>
  </r>
  <r>
    <s v="(PE) Fairfield Collision (NO TOURS)26"/>
    <x v="22"/>
    <x v="10"/>
    <x v="4"/>
    <x v="0"/>
    <x v="22"/>
    <x v="0"/>
    <s v="https://tools.sig.systems/site/details/191"/>
    <m/>
    <x v="1"/>
    <x v="0"/>
    <x v="18"/>
    <x v="0"/>
    <x v="0"/>
    <x v="6"/>
    <x v="18"/>
    <x v="22"/>
  </r>
  <r>
    <s v="(HUD) Acura of Greensboro26"/>
    <x v="22"/>
    <x v="11"/>
    <x v="0"/>
    <x v="0"/>
    <x v="99"/>
    <x v="0"/>
    <s v="https://tools.sig.systems/site/details/213"/>
    <s v="https://www.google.com/maps/d/viewer?mid=1ejOzT7-x6RWnCf83BBP7XhiOiwEX3Wk&amp;ll=0%2C0&amp;z=17"/>
    <x v="1"/>
    <x v="0"/>
    <x v="69"/>
    <x v="0"/>
    <x v="0"/>
    <x v="67"/>
    <x v="71"/>
    <x v="98"/>
  </r>
  <r>
    <s v="(MK) McKenny Salinas Honda26"/>
    <x v="22"/>
    <x v="11"/>
    <x v="0"/>
    <x v="0"/>
    <x v="104"/>
    <x v="0"/>
    <s v="https://tools.sig.systems/site/details/149"/>
    <m/>
    <x v="1"/>
    <x v="0"/>
    <x v="3"/>
    <x v="37"/>
    <x v="0"/>
    <x v="6"/>
    <x v="75"/>
    <x v="103"/>
  </r>
  <r>
    <s v="(ML) Joe Machens Capital City I &amp; II (NO TOURS)26"/>
    <x v="22"/>
    <x v="11"/>
    <x v="1"/>
    <x v="1"/>
    <x v="17"/>
    <x v="1"/>
    <s v="https://tools.sig.systems/site/details/271"/>
    <m/>
    <x v="1"/>
    <x v="0"/>
    <x v="3"/>
    <x v="6"/>
    <x v="0"/>
    <x v="15"/>
    <x v="16"/>
    <x v="17"/>
  </r>
  <r>
    <s v="(PE) Mercedes Benz &amp; Smart Bldg. of Fairfield (NO TOURS)26"/>
    <x v="22"/>
    <x v="11"/>
    <x v="4"/>
    <x v="0"/>
    <x v="23"/>
    <x v="0"/>
    <s v="https://tools.sig.systems/site/details/192"/>
    <s v="https://www.google.com/maps/d/viewer?mid=1FEo41PzFJQjUIXXKitX5TNCtuqR6Vbs&amp;ll=41.1663376742533%2C-73.22955662049608&amp;z=16"/>
    <x v="1"/>
    <x v="0"/>
    <x v="3"/>
    <x v="9"/>
    <x v="0"/>
    <x v="20"/>
    <x v="19"/>
    <x v="23"/>
  </r>
  <r>
    <s v="(AS) David McDavid Honda I &amp; II (NO TOURS)26"/>
    <x v="22"/>
    <x v="12"/>
    <x v="1"/>
    <x v="1"/>
    <x v="90"/>
    <x v="1"/>
    <s v="https://tools.sig.systems/site/details/129"/>
    <m/>
    <x v="1"/>
    <x v="0"/>
    <x v="3"/>
    <x v="31"/>
    <x v="0"/>
    <x v="60"/>
    <x v="63"/>
    <x v="90"/>
  </r>
  <r>
    <s v="(AS) Mike Shaw Subaru Greeley (NO TOURS)26"/>
    <x v="22"/>
    <x v="12"/>
    <x v="3"/>
    <x v="2"/>
    <x v="91"/>
    <x v="3"/>
    <s v="https://tools.sig.systems/site/details/174"/>
    <s v="https://www.google.com/maps/d/viewer?mid=1gN2lJ0iT7m5VNhD7aDcxE8AdXqtcOZc&amp;ll=40.396096737592195%2C-104.746842&amp;z=16"/>
    <x v="1"/>
    <x v="0"/>
    <x v="65"/>
    <x v="32"/>
    <x v="0"/>
    <x v="61"/>
    <x v="11"/>
    <x v="91"/>
  </r>
  <r>
    <s v="(HUD) BMW of Greensboro26"/>
    <x v="22"/>
    <x v="12"/>
    <x v="0"/>
    <x v="0"/>
    <x v="100"/>
    <x v="0"/>
    <s v="https://tools.sig.systems/site/details/219"/>
    <s v="https://www.google.com/maps/d/viewer?mid=1ejOzT7-x6RWnCf83BBP7XhiOiwEX3Wk&amp;ll=36.061264791292906%2C-79.87437695000003&amp;z=17"/>
    <x v="1"/>
    <x v="0"/>
    <x v="70"/>
    <x v="0"/>
    <x v="0"/>
    <x v="68"/>
    <x v="72"/>
    <x v="99"/>
  </r>
  <r>
    <s v="(AS) Coggin Mercedes Benz Ft Pierce (NO TOURS)26"/>
    <x v="22"/>
    <x v="13"/>
    <x v="0"/>
    <x v="0"/>
    <x v="28"/>
    <x v="0"/>
    <s v="https://tools.sig.systems/site/details/127"/>
    <s v="https://www.google.com/maps/d/viewer?mid=1AyViBuyeq7iwDua1SVudJ2A1BYi3IBA&amp;ll=27.38181516363982%2C-80.32568845000002&amp;z=18"/>
    <x v="1"/>
    <x v="0"/>
    <x v="22"/>
    <x v="13"/>
    <x v="0"/>
    <x v="22"/>
    <x v="23"/>
    <x v="28"/>
  </r>
  <r>
    <s v="(DT) El Cajon (NO TOURS)26"/>
    <x v="22"/>
    <x v="13"/>
    <x v="5"/>
    <x v="4"/>
    <x v="66"/>
    <x v="4"/>
    <s v="https://tools.sig.systems/site/details/241"/>
    <m/>
    <x v="1"/>
    <x v="0"/>
    <x v="3"/>
    <x v="16"/>
    <x v="0"/>
    <x v="6"/>
    <x v="11"/>
    <x v="66"/>
  </r>
  <r>
    <s v="(HUD) Nissan Greensboro26"/>
    <x v="22"/>
    <x v="13"/>
    <x v="0"/>
    <x v="0"/>
    <x v="12"/>
    <x v="0"/>
    <s v="https://tools.sig.systems/site/details/236"/>
    <s v="https://www.google.com/maps/d/viewer?mid=1ejOzT7-x6RWnCf83BBP7XhiOiwEX3Wk&amp;ll=36.061264791292906%2C-79.87437695000003&amp;z=17"/>
    <x v="1"/>
    <x v="0"/>
    <x v="11"/>
    <x v="0"/>
    <x v="0"/>
    <x v="6"/>
    <x v="12"/>
    <x v="12"/>
  </r>
  <r>
    <s v="(KG) Truck Center Remote Storage Lot26"/>
    <x v="22"/>
    <x v="13"/>
    <x v="2"/>
    <x v="2"/>
    <x v="14"/>
    <x v="2"/>
    <s v="https://tools.sig.systems/site/details/144"/>
    <m/>
    <x v="1"/>
    <x v="0"/>
    <x v="13"/>
    <x v="5"/>
    <x v="0"/>
    <x v="12"/>
    <x v="14"/>
    <x v="14"/>
  </r>
  <r>
    <s v="(ML) McLarty-Gray Daniels Chevrolet26"/>
    <x v="22"/>
    <x v="13"/>
    <x v="1"/>
    <x v="1"/>
    <x v="109"/>
    <x v="1"/>
    <s v="https://tools.sig.systems/site/details/150"/>
    <m/>
    <x v="1"/>
    <x v="0"/>
    <x v="74"/>
    <x v="0"/>
    <x v="0"/>
    <x v="73"/>
    <x v="80"/>
    <x v="108"/>
  </r>
  <r>
    <s v="(AS) Coggin Honda Ft. Pierce (NO TOURS)26"/>
    <x v="22"/>
    <x v="14"/>
    <x v="0"/>
    <x v="0"/>
    <x v="0"/>
    <x v="0"/>
    <s v="https://tools.sig.systems/site/details/120"/>
    <s v="https://www.google.com/maps/d/viewer?mid=1AyViBuyeq7iwDua1SVudJ2A1BYi3IBA&amp;ll=27.38181516363982%2C-80.32568845000002&amp;z=18"/>
    <x v="0"/>
    <x v="0"/>
    <x v="0"/>
    <x v="0"/>
    <x v="0"/>
    <x v="0"/>
    <x v="0"/>
    <x v="0"/>
  </r>
  <r>
    <s v="(AS) Lexus Plano I &amp; II (NO TOURS)26"/>
    <x v="22"/>
    <x v="14"/>
    <x v="1"/>
    <x v="1"/>
    <x v="1"/>
    <x v="1"/>
    <s v="https://tools.sig.systems/site/details/167"/>
    <s v="https://www.google.com/maps/d/viewer?mid=1wg5suxVuxeNp_irHlvN772HcwD6W89E&amp;ll=33.06373951220261%2C-96.82758025000001&amp;z=18"/>
    <x v="1"/>
    <x v="0"/>
    <x v="1"/>
    <x v="0"/>
    <x v="1"/>
    <x v="1"/>
    <x v="1"/>
    <x v="1"/>
  </r>
  <r>
    <s v="(AS) Stevinson JLR (NO TOURS)26"/>
    <x v="22"/>
    <x v="14"/>
    <x v="3"/>
    <x v="2"/>
    <x v="64"/>
    <x v="3"/>
    <s v="https://tools.sig.systems/site/details/204"/>
    <m/>
    <x v="1"/>
    <x v="0"/>
    <x v="49"/>
    <x v="1"/>
    <x v="0"/>
    <x v="44"/>
    <x v="48"/>
    <x v="64"/>
  </r>
  <r>
    <s v="(PE) JLR Darien PDI (NO TOURS)26"/>
    <x v="22"/>
    <x v="14"/>
    <x v="4"/>
    <x v="0"/>
    <x v="112"/>
    <x v="0"/>
    <s v="https://tools.sig.systems/site/details/187"/>
    <s v="https://www.google.com/maps/d/viewer?mid=1ebZp8DeTYSXNPgDIA63nFVDu9ohaO4E&amp;ll=41.08027837958441%2C-73.46597874999999&amp;z=15"/>
    <x v="1"/>
    <x v="0"/>
    <x v="6"/>
    <x v="0"/>
    <x v="0"/>
    <x v="74"/>
    <x v="83"/>
    <x v="111"/>
  </r>
  <r>
    <s v="(AS) Coggin Acura Ft Pierce (NO TOURS)26"/>
    <x v="22"/>
    <x v="15"/>
    <x v="0"/>
    <x v="0"/>
    <x v="27"/>
    <x v="0"/>
    <s v="https://tools.sig.systems/site/details/118"/>
    <s v="https://www.google.com/maps/d/viewer?mid=1AyViBuyeq7iwDua1SVudJ2A1BYi3IBA&amp;ll=27.38181516363982%2C-80.32568845000002&amp;z=18"/>
    <x v="1"/>
    <x v="0"/>
    <x v="3"/>
    <x v="12"/>
    <x v="0"/>
    <x v="21"/>
    <x v="19"/>
    <x v="27"/>
  </r>
  <r>
    <s v="(AS) Park Place Acura (NO TOURS)26"/>
    <x v="22"/>
    <x v="15"/>
    <x v="1"/>
    <x v="1"/>
    <x v="32"/>
    <x v="1"/>
    <s v="https://tools.sig.systems/site/details/259"/>
    <s v="https://www.google.com/maps/d/viewer?mid=1wg5suxVuxeNp_irHlvN772HcwD6W89E&amp;ll=33.06373951220261%2C-96.82758025000001&amp;z=18"/>
    <x v="1"/>
    <x v="0"/>
    <x v="25"/>
    <x v="0"/>
    <x v="0"/>
    <x v="25"/>
    <x v="11"/>
    <x v="32"/>
  </r>
  <r>
    <s v="(HUD) Honda Greensboro26"/>
    <x v="22"/>
    <x v="15"/>
    <x v="0"/>
    <x v="0"/>
    <x v="37"/>
    <x v="0"/>
    <s v="https://tools.sig.systems/site/details/230"/>
    <s v="AS/ HUD - Crown Greensboro - Google My Maps"/>
    <x v="1"/>
    <x v="0"/>
    <x v="28"/>
    <x v="0"/>
    <x v="0"/>
    <x v="28"/>
    <x v="31"/>
    <x v="37"/>
  </r>
  <r>
    <s v="(ML) Honda of Little Rock26"/>
    <x v="22"/>
    <x v="15"/>
    <x v="1"/>
    <x v="1"/>
    <x v="16"/>
    <x v="1"/>
    <s v="https://tools.sig.systems/site/details/249"/>
    <s v="https://www.google.com/maps/d/viewer?mid=1hvbKFMO-d5TXrKGU-g5dt_xcdArB1D0&amp;ll=34.71147784120261%2C-92.40574350000001&amp;z=17"/>
    <x v="1"/>
    <x v="0"/>
    <x v="15"/>
    <x v="0"/>
    <x v="0"/>
    <x v="14"/>
    <x v="15"/>
    <x v="16"/>
  </r>
  <r>
    <s v="(ML) McLarty Gray-Daniels Toyota Nissan26"/>
    <x v="22"/>
    <x v="15"/>
    <x v="1"/>
    <x v="1"/>
    <x v="108"/>
    <x v="1"/>
    <s v="https://tools.sig.systems/site/details/152"/>
    <s v="https://www.google.com/maps/d/edit?mid=111nhCL4Xjj2Pq0zP5xUrMzHQqAihqa0&amp;usp=sharing"/>
    <x v="1"/>
    <x v="0"/>
    <x v="3"/>
    <x v="40"/>
    <x v="0"/>
    <x v="72"/>
    <x v="79"/>
    <x v="107"/>
  </r>
  <r>
    <s v="(AS) Audi of North Atlanta (NO TOURS)26"/>
    <x v="22"/>
    <x v="16"/>
    <x v="0"/>
    <x v="0"/>
    <x v="87"/>
    <x v="0"/>
    <s v="https://tools.sig.systems/site/details/124"/>
    <s v="https://www.google.com/maps/d/edit?mid=1jkN3DS1BhUqp_dztjjW0PDwKfo_Yxsw&amp;usp=sharing"/>
    <x v="1"/>
    <x v="0"/>
    <x v="62"/>
    <x v="0"/>
    <x v="0"/>
    <x v="57"/>
    <x v="61"/>
    <x v="87"/>
  </r>
  <r>
    <s v="(HUD) Paint and Body Center (NO TOURS)26"/>
    <x v="22"/>
    <x v="16"/>
    <x v="0"/>
    <x v="0"/>
    <x v="38"/>
    <x v="0"/>
    <s v="https://tools.sig.systems/site/details/256"/>
    <s v="https://www.google.com/maps/d/viewer?mid=1ejOzT7-x6RWnCf83BBP7XhiOiwEX3Wk&amp;ll=36.061264791292906%2C-79.87437695000003&amp;z=17"/>
    <x v="1"/>
    <x v="0"/>
    <x v="3"/>
    <x v="9"/>
    <x v="0"/>
    <x v="6"/>
    <x v="11"/>
    <x v="38"/>
  </r>
  <r>
    <s v="(ML) McLarty Gray-Daniels Ford Lincoln26"/>
    <x v="22"/>
    <x v="16"/>
    <x v="1"/>
    <x v="1"/>
    <x v="79"/>
    <x v="1"/>
    <s v="https://tools.sig.systems/site/details/151"/>
    <s v="https://www.google.com/maps/d/edit?mid=111nhCL4Xjj2Pq0zP5xUrMzHQqAihqa0&amp;usp=sharing"/>
    <x v="1"/>
    <x v="0"/>
    <x v="56"/>
    <x v="29"/>
    <x v="0"/>
    <x v="53"/>
    <x v="57"/>
    <x v="79"/>
  </r>
  <r>
    <s v="(ML) Nissan of Little Rock26"/>
    <x v="22"/>
    <x v="16"/>
    <x v="1"/>
    <x v="1"/>
    <x v="46"/>
    <x v="1"/>
    <s v="https://tools.sig.systems/site/details/224"/>
    <s v="https://www.google.com/maps/d/viewer?mid=1hvbKFMO-d5TXrKGU-g5dt_xcdArB1D0&amp;ll=34.71147784120261%2C-92.40574350000001&amp;z=17"/>
    <x v="1"/>
    <x v="0"/>
    <x v="34"/>
    <x v="0"/>
    <x v="0"/>
    <x v="34"/>
    <x v="7"/>
    <x v="46"/>
  </r>
  <r>
    <s v="(ML) Nissan of North Little Rock26"/>
    <x v="22"/>
    <x v="16"/>
    <x v="1"/>
    <x v="1"/>
    <x v="20"/>
    <x v="1"/>
    <s v="https://tools.sig.systems/site/details/216"/>
    <s v="https://www.google.com/maps/d/edit?mid=1Oky35ERk_2kgyzCvDu_odQ2ZP62BtqA&amp;usp=sharing"/>
    <x v="1"/>
    <x v="0"/>
    <x v="16"/>
    <x v="0"/>
    <x v="0"/>
    <x v="18"/>
    <x v="17"/>
    <x v="20"/>
  </r>
  <r>
    <s v="(AS) Courtesy Kia of Brandon (NO TOURS)26"/>
    <x v="22"/>
    <x v="17"/>
    <x v="0"/>
    <x v="0"/>
    <x v="57"/>
    <x v="0"/>
    <s v="https://tools.sig.systems/site/details/121"/>
    <s v="https://www.google.com/maps/d/edit?mid=15R4hTDQx56ij99--JgozdqOIZh-kSlk&amp;usp=sharing"/>
    <x v="0"/>
    <x v="0"/>
    <x v="3"/>
    <x v="22"/>
    <x v="0"/>
    <x v="38"/>
    <x v="43"/>
    <x v="57"/>
  </r>
  <r>
    <s v="(AS) Nalley Luxury Collision Center (NO TOURS)26"/>
    <x v="22"/>
    <x v="17"/>
    <x v="0"/>
    <x v="0"/>
    <x v="31"/>
    <x v="0"/>
    <s v="https://tools.sig.systems/site/details/263"/>
    <s v="https://www.google.com/maps/d/edit?mid=1jkN3DS1BhUqp_dztjjW0PDwKfo_Yxsw&amp;usp=sharing"/>
    <x v="1"/>
    <x v="0"/>
    <x v="4"/>
    <x v="0"/>
    <x v="0"/>
    <x v="6"/>
    <x v="26"/>
    <x v="31"/>
  </r>
  <r>
    <s v="(DT) N. Houston26"/>
    <x v="22"/>
    <x v="17"/>
    <x v="1"/>
    <x v="1"/>
    <x v="9"/>
    <x v="1"/>
    <s v="https://tools.sig.systems/site/details/250"/>
    <m/>
    <x v="1"/>
    <x v="0"/>
    <x v="8"/>
    <x v="0"/>
    <x v="0"/>
    <x v="8"/>
    <x v="9"/>
    <x v="9"/>
  </r>
  <r>
    <s v="(KG) JLR LEHI (NO TOURS)26"/>
    <x v="22"/>
    <x v="17"/>
    <x v="3"/>
    <x v="2"/>
    <x v="73"/>
    <x v="3"/>
    <s v="https://tools.sig.systems/site/details/145"/>
    <m/>
    <x v="1"/>
    <x v="0"/>
    <x v="54"/>
    <x v="0"/>
    <x v="0"/>
    <x v="49"/>
    <x v="11"/>
    <x v="73"/>
  </r>
  <r>
    <s v="(ML) BMW of Little Rock26"/>
    <x v="22"/>
    <x v="17"/>
    <x v="1"/>
    <x v="1"/>
    <x v="105"/>
    <x v="1"/>
    <s v="https://tools.sig.systems/site/details/217"/>
    <s v="https://www.google.com/maps/d/viewer?mid=1hvbKFMO-d5TXrKGU-g5dt_xcdArB1D0&amp;ll=34.71147784120261%2C-92.40574350000001&amp;z=17"/>
    <x v="1"/>
    <x v="0"/>
    <x v="3"/>
    <x v="38"/>
    <x v="0"/>
    <x v="6"/>
    <x v="76"/>
    <x v="104"/>
  </r>
  <r>
    <s v="(PE) BMW of Mamaroneck (NO TOURS)26"/>
    <x v="22"/>
    <x v="17"/>
    <x v="4"/>
    <x v="0"/>
    <x v="111"/>
    <x v="0"/>
    <s v="https://tools.sig.systems/site/details/185"/>
    <m/>
    <x v="1"/>
    <x v="0"/>
    <x v="76"/>
    <x v="41"/>
    <x v="0"/>
    <x v="6"/>
    <x v="82"/>
    <x v="110"/>
  </r>
  <r>
    <s v="(AS) Stevinson Chevrolet Golden (NO TOURS)26"/>
    <x v="22"/>
    <x v="18"/>
    <x v="7"/>
    <x v="2"/>
    <x v="96"/>
    <x v="3"/>
    <s v="https://tools.sig.systems/site/details/264"/>
    <s v="https://www.google.com/maps/d/edit?mid=1nAyK85WaWREy0lfxnmWn3USs2gC0nP0&amp;usp=sharing"/>
    <x v="1"/>
    <x v="0"/>
    <x v="3"/>
    <x v="36"/>
    <x v="0"/>
    <x v="66"/>
    <x v="68"/>
    <x v="95"/>
  </r>
  <r>
    <s v="(DT) Colorado Springs (NO TOURS)26"/>
    <x v="22"/>
    <x v="18"/>
    <x v="3"/>
    <x v="2"/>
    <x v="65"/>
    <x v="3"/>
    <s v="https://tools.sig.systems/site/details/198"/>
    <m/>
    <x v="1"/>
    <x v="0"/>
    <x v="3"/>
    <x v="24"/>
    <x v="0"/>
    <x v="6"/>
    <x v="49"/>
    <x v="65"/>
  </r>
  <r>
    <s v="(KG) Clear Lake Pre-Owned26"/>
    <x v="22"/>
    <x v="18"/>
    <x v="1"/>
    <x v="1"/>
    <x v="39"/>
    <x v="1"/>
    <s v="https://tools.sig.systems/site/details/255"/>
    <s v="https://www.google.com/maps/d/edit?mid=1DRwy5fy1g5UzGTA7a1OkQA-_CY8SQ2s&amp;usp=sharing"/>
    <x v="1"/>
    <x v="0"/>
    <x v="29"/>
    <x v="0"/>
    <x v="0"/>
    <x v="29"/>
    <x v="32"/>
    <x v="39"/>
  </r>
  <r>
    <s v="(PE) Honda of Danbury (NO TOURS)26"/>
    <x v="22"/>
    <x v="18"/>
    <x v="4"/>
    <x v="0"/>
    <x v="49"/>
    <x v="0"/>
    <s v="https://tools.sig.systems/site/details/190"/>
    <m/>
    <x v="1"/>
    <x v="0"/>
    <x v="3"/>
    <x v="19"/>
    <x v="9"/>
    <x v="6"/>
    <x v="36"/>
    <x v="49"/>
  </r>
  <r>
    <s v="(RV) Toms Camperland Surprise (NO TOURS)26"/>
    <x v="22"/>
    <x v="18"/>
    <x v="5"/>
    <x v="3"/>
    <x v="51"/>
    <x v="4"/>
    <s v="https://tools.sig.systems/site/details/254"/>
    <m/>
    <x v="5"/>
    <x v="0"/>
    <x v="38"/>
    <x v="0"/>
    <x v="0"/>
    <x v="6"/>
    <x v="37"/>
    <x v="51"/>
  </r>
  <r>
    <s v="(AS) Courtesy CDJR of Brandon (NO TOURS)26"/>
    <x v="22"/>
    <x v="19"/>
    <x v="0"/>
    <x v="0"/>
    <x v="56"/>
    <x v="0"/>
    <s v="https://tools.sig.systems/site/details/126"/>
    <s v="https://www.google.com/maps/d/edit?mid=15R4hTDQx56ij99--JgozdqOIZh-kSlk&amp;usp=sharing"/>
    <x v="0"/>
    <x v="0"/>
    <x v="42"/>
    <x v="9"/>
    <x v="0"/>
    <x v="37"/>
    <x v="42"/>
    <x v="56"/>
  </r>
  <r>
    <s v="(AS) Stevinson Toyota West (NO TOURS)26"/>
    <x v="22"/>
    <x v="19"/>
    <x v="3"/>
    <x v="2"/>
    <x v="8"/>
    <x v="3"/>
    <s v="https://tools.sig.systems/site/details/240"/>
    <s v="https://www.google.com/maps/d/edit?mid=1nAyK85WaWREy0lfxnmWn3USs2gC0nP0&amp;usp=sharing"/>
    <x v="1"/>
    <x v="0"/>
    <x v="3"/>
    <x v="3"/>
    <x v="0"/>
    <x v="7"/>
    <x v="8"/>
    <x v="8"/>
  </r>
  <r>
    <s v="(KG) Big Star Ford26"/>
    <x v="22"/>
    <x v="19"/>
    <x v="1"/>
    <x v="1"/>
    <x v="102"/>
    <x v="1"/>
    <s v="https://tools.sig.systems/site/details/235"/>
    <m/>
    <x v="1"/>
    <x v="0"/>
    <x v="72"/>
    <x v="0"/>
    <x v="0"/>
    <x v="70"/>
    <x v="74"/>
    <x v="101"/>
  </r>
  <r>
    <s v="(AS) Plaza Lexus/Mercedes/BMW (NO TOURS)26"/>
    <x v="22"/>
    <x v="20"/>
    <x v="1"/>
    <x v="1"/>
    <x v="63"/>
    <x v="1"/>
    <s v="https://tools.sig.systems/site/details/141"/>
    <s v="https://www.google.com/maps/d/viewer?mid=1whGZ1PLqmhJnGFz8uigZqUL4cHGGW3w&amp;ll=38.668847686454825%2C-90.4433601&amp;z=17"/>
    <x v="1"/>
    <x v="0"/>
    <x v="48"/>
    <x v="23"/>
    <x v="0"/>
    <x v="43"/>
    <x v="47"/>
    <x v="63"/>
  </r>
  <r>
    <s v="(AS) Stevinson Lexus of Lakewood (NO TOURS)26"/>
    <x v="22"/>
    <x v="20"/>
    <x v="3"/>
    <x v="2"/>
    <x v="34"/>
    <x v="3"/>
    <s v="https://tools.sig.systems/site/details/260"/>
    <s v="https://www.google.com/maps/d/edit?mid=1nAyK85WaWREy0lfxnmWn3USs2gC0nP0&amp;usp=sharing"/>
    <x v="1"/>
    <x v="0"/>
    <x v="3"/>
    <x v="14"/>
    <x v="8"/>
    <x v="6"/>
    <x v="28"/>
    <x v="34"/>
  </r>
  <r>
    <s v="(KG) Kia of Phoenix (NO TOURS)26"/>
    <x v="22"/>
    <x v="20"/>
    <x v="5"/>
    <x v="3"/>
    <x v="40"/>
    <x v="4"/>
    <s v="https://tools.sig.systems/site/details/262"/>
    <m/>
    <x v="4"/>
    <x v="0"/>
    <x v="30"/>
    <x v="0"/>
    <x v="0"/>
    <x v="30"/>
    <x v="11"/>
    <x v="40"/>
  </r>
  <r>
    <s v="(ML) Toyota N Little Rock26"/>
    <x v="22"/>
    <x v="20"/>
    <x v="1"/>
    <x v="1"/>
    <x v="21"/>
    <x v="1"/>
    <s v="https://tools.sig.systems/site/details/201"/>
    <s v="https://www.google.com/maps/d/edit?mid=1Oky35ERk_2kgyzCvDu_odQ2ZP62BtqA&amp;usp=sharing"/>
    <x v="1"/>
    <x v="0"/>
    <x v="17"/>
    <x v="0"/>
    <x v="0"/>
    <x v="19"/>
    <x v="11"/>
    <x v="21"/>
  </r>
  <r>
    <s v="(TC) Tavernier Creek Marina (NO TOURS)26"/>
    <x v="22"/>
    <x v="20"/>
    <x v="0"/>
    <x v="0"/>
    <x v="84"/>
    <x v="1"/>
    <s v="https://tools.sig.systems/site/details/164"/>
    <m/>
    <x v="6"/>
    <x v="0"/>
    <x v="60"/>
    <x v="0"/>
    <x v="0"/>
    <x v="6"/>
    <x v="59"/>
    <x v="84"/>
  </r>
  <r>
    <s v="(AS) Courtesy Hyundai/Nissan Tampa (NO TOURS)26"/>
    <x v="22"/>
    <x v="21"/>
    <x v="0"/>
    <x v="0"/>
    <x v="89"/>
    <x v="0"/>
    <s v="https://tools.sig.systems/site/details/128"/>
    <m/>
    <x v="0"/>
    <x v="0"/>
    <x v="64"/>
    <x v="0"/>
    <x v="0"/>
    <x v="59"/>
    <x v="62"/>
    <x v="89"/>
  </r>
  <r>
    <s v="(AS) Park Place JLR DFW Airport (NO TOURS)26"/>
    <x v="22"/>
    <x v="21"/>
    <x v="1"/>
    <x v="1"/>
    <x v="93"/>
    <x v="1"/>
    <s v="https://tools.sig.systems/site/details/135"/>
    <m/>
    <x v="1"/>
    <x v="0"/>
    <x v="67"/>
    <x v="33"/>
    <x v="13"/>
    <x v="63"/>
    <x v="65"/>
    <x v="93"/>
  </r>
  <r>
    <s v="(AS) Plaza Audi/Infiniti (NO TOURS)26"/>
    <x v="22"/>
    <x v="21"/>
    <x v="1"/>
    <x v="1"/>
    <x v="95"/>
    <x v="1"/>
    <s v="https://tools.sig.systems/site/details/141"/>
    <s v="https://www.google.com/maps/d/viewer?mid=1whGZ1PLqmhJnGFz8uigZqUL4cHGGW3w&amp;ll=38.668847686454825%2C-90.4433601&amp;z=17"/>
    <x v="1"/>
    <x v="0"/>
    <x v="68"/>
    <x v="35"/>
    <x v="0"/>
    <x v="65"/>
    <x v="67"/>
    <x v="63"/>
  </r>
  <r>
    <s v="(DT) Escondido26"/>
    <x v="22"/>
    <x v="21"/>
    <x v="5"/>
    <x v="4"/>
    <x v="98"/>
    <x v="5"/>
    <s v="https://tools.sig.systems/site/details/196"/>
    <m/>
    <x v="1"/>
    <x v="4"/>
    <x v="20"/>
    <x v="0"/>
    <x v="0"/>
    <x v="6"/>
    <x v="70"/>
    <x v="97"/>
  </r>
  <r>
    <s v="(RV) Sonny's Camp N Travel Concord26"/>
    <x v="22"/>
    <x v="21"/>
    <x v="0"/>
    <x v="0"/>
    <x v="114"/>
    <x v="0"/>
    <s v="https://tools.sig.systems/site/details/183"/>
    <m/>
    <x v="1"/>
    <x v="0"/>
    <x v="6"/>
    <x v="0"/>
    <x v="0"/>
    <x v="76"/>
    <x v="84"/>
    <x v="113"/>
  </r>
  <r>
    <s v="(AS) Lexus Grapevine I &amp; II (NO TOURS)26"/>
    <x v="22"/>
    <x v="22"/>
    <x v="1"/>
    <x v="1"/>
    <x v="29"/>
    <x v="1"/>
    <s v="https://tools.sig.systems/site/details/136"/>
    <m/>
    <x v="1"/>
    <x v="0"/>
    <x v="23"/>
    <x v="0"/>
    <x v="7"/>
    <x v="23"/>
    <x v="24"/>
    <x v="29"/>
  </r>
  <r>
    <s v="(AS) Lexus Smyrna (NO TOURS)26"/>
    <x v="22"/>
    <x v="22"/>
    <x v="0"/>
    <x v="0"/>
    <x v="30"/>
    <x v="0"/>
    <s v="https://tools.sig.systems/site/details/133"/>
    <m/>
    <x v="1"/>
    <x v="0"/>
    <x v="24"/>
    <x v="0"/>
    <x v="0"/>
    <x v="24"/>
    <x v="25"/>
    <x v="30"/>
  </r>
  <r>
    <s v="(KG) Hyundai Surprise26"/>
    <x v="22"/>
    <x v="22"/>
    <x v="5"/>
    <x v="3"/>
    <x v="103"/>
    <x v="4"/>
    <s v="https://tools.sig.systems/site/details/269"/>
    <m/>
    <x v="4"/>
    <x v="0"/>
    <x v="73"/>
    <x v="0"/>
    <x v="0"/>
    <x v="71"/>
    <x v="11"/>
    <x v="102"/>
  </r>
  <r>
    <s v="(AS) Bill Estes Ford (NO TOURS)26"/>
    <x v="22"/>
    <x v="23"/>
    <x v="0"/>
    <x v="0"/>
    <x v="55"/>
    <x v="0"/>
    <s v="https://tools.sig.systems/site/details/125"/>
    <m/>
    <x v="1"/>
    <x v="0"/>
    <x v="3"/>
    <x v="21"/>
    <x v="0"/>
    <x v="36"/>
    <x v="41"/>
    <x v="55"/>
  </r>
  <r>
    <s v="(DT) Wichita26"/>
    <x v="22"/>
    <x v="23"/>
    <x v="1"/>
    <x v="1"/>
    <x v="36"/>
    <x v="1"/>
    <s v="https://tools.sig.systems/site/details/257"/>
    <m/>
    <x v="1"/>
    <x v="0"/>
    <x v="3"/>
    <x v="15"/>
    <x v="0"/>
    <x v="6"/>
    <x v="30"/>
    <x v="36"/>
  </r>
  <r>
    <s v="(PE) Hudson Toyota Nissan CDJR (NO TOURS)26"/>
    <x v="22"/>
    <x v="23"/>
    <x v="4"/>
    <x v="0"/>
    <x v="81"/>
    <x v="0"/>
    <s v="https://tools.sig.systems/site/details/156"/>
    <m/>
    <x v="1"/>
    <x v="0"/>
    <x v="49"/>
    <x v="30"/>
    <x v="0"/>
    <x v="55"/>
    <x v="58"/>
    <x v="81"/>
  </r>
  <r>
    <s v="(RV) Toms Camperland Mesa (NO TOURS)26"/>
    <x v="22"/>
    <x v="23"/>
    <x v="5"/>
    <x v="3"/>
    <x v="25"/>
    <x v="4"/>
    <s v="https://tools.sig.systems/site/details/222"/>
    <m/>
    <x v="1"/>
    <x v="0"/>
    <x v="20"/>
    <x v="0"/>
    <x v="0"/>
    <x v="6"/>
    <x v="21"/>
    <x v="25"/>
  </r>
  <r>
    <s v="SIG Office26"/>
    <x v="22"/>
    <x v="23"/>
    <x v="2"/>
    <x v="0"/>
    <x v="85"/>
    <x v="2"/>
    <s v="https://tools.sig.systems/site/details/163"/>
    <m/>
    <x v="1"/>
    <x v="0"/>
    <x v="3"/>
    <x v="0"/>
    <x v="0"/>
    <x v="6"/>
    <x v="60"/>
    <x v="85"/>
  </r>
  <r>
    <s v="(KG) Big Star Honda26"/>
    <x v="22"/>
    <x v="24"/>
    <x v="1"/>
    <x v="1"/>
    <x v="72"/>
    <x v="1"/>
    <s v="https://tools.sig.systems/site/details/231"/>
    <m/>
    <x v="1"/>
    <x v="0"/>
    <x v="53"/>
    <x v="0"/>
    <x v="0"/>
    <x v="48"/>
    <x v="54"/>
    <x v="72"/>
  </r>
  <r>
    <s v="(ML) Joe Machens Ford Lincoln I &amp; II26"/>
    <x v="22"/>
    <x v="24"/>
    <x v="1"/>
    <x v="1"/>
    <x v="77"/>
    <x v="1"/>
    <s v="https://tools.sig.systems/site/details/266"/>
    <s v="https://www.google.com/maps/d/viewer?hl=es&amp;mid=1C1oZdjH3dNvCvqdpIv_Lk0Yn1OCVn-4&amp;ll=38.965368114274455%2C-92.3405954&amp;z=15"/>
    <x v="1"/>
    <x v="0"/>
    <x v="3"/>
    <x v="27"/>
    <x v="0"/>
    <x v="52"/>
    <x v="11"/>
    <x v="77"/>
  </r>
  <r>
    <s v="(ML) Mazda VW-Lot B26"/>
    <x v="22"/>
    <x v="24"/>
    <x v="1"/>
    <x v="1"/>
    <x v="45"/>
    <x v="1"/>
    <s v="https://tools.sig.systems/site/details/205"/>
    <s v="https://www.google.com/maps/d/edit?mid=1Oky35ERk_2kgyzCvDu_odQ2ZP62BtqA&amp;usp=sharing"/>
    <x v="1"/>
    <x v="0"/>
    <x v="33"/>
    <x v="9"/>
    <x v="0"/>
    <x v="30"/>
    <x v="11"/>
    <x v="45"/>
  </r>
  <r>
    <s v="(AS) Stevinson Porsche of Littleton (NO TOURS)26"/>
    <x v="22"/>
    <x v="25"/>
    <x v="3"/>
    <x v="2"/>
    <x v="7"/>
    <x v="3"/>
    <s v="https://tools.sig.systems/site/details/242"/>
    <m/>
    <x v="1"/>
    <x v="0"/>
    <x v="7"/>
    <x v="2"/>
    <x v="0"/>
    <x v="6"/>
    <x v="7"/>
    <x v="7"/>
  </r>
  <r>
    <s v="(DT) W Houston26"/>
    <x v="22"/>
    <x v="25"/>
    <x v="1"/>
    <x v="1"/>
    <x v="10"/>
    <x v="1"/>
    <s v="https://tools.sig.systems/site/details/197"/>
    <m/>
    <x v="1"/>
    <x v="0"/>
    <x v="9"/>
    <x v="2"/>
    <x v="0"/>
    <x v="9"/>
    <x v="10"/>
    <x v="10"/>
  </r>
  <r>
    <s v="(KG) Baytown GMC Buick - Remote Lot (NO TOURS)26"/>
    <x v="22"/>
    <x v="25"/>
    <x v="2"/>
    <x v="1"/>
    <x v="70"/>
    <x v="2"/>
    <s v="https://tools.sig.systems/site/details/311"/>
    <m/>
    <x v="1"/>
    <x v="3"/>
    <x v="3"/>
    <x v="25"/>
    <x v="0"/>
    <x v="6"/>
    <x v="11"/>
    <x v="70"/>
  </r>
  <r>
    <s v="(KG) Baytown GMC Buick (NO TOURS)26"/>
    <x v="22"/>
    <x v="25"/>
    <x v="1"/>
    <x v="1"/>
    <x v="71"/>
    <x v="1"/>
    <s v="https://tools.sig.systems/site/details/239"/>
    <m/>
    <x v="1"/>
    <x v="0"/>
    <x v="52"/>
    <x v="0"/>
    <x v="0"/>
    <x v="47"/>
    <x v="53"/>
    <x v="71"/>
  </r>
  <r>
    <s v="(KT) Northwest CDJR (NO TOURS)26"/>
    <x v="22"/>
    <x v="25"/>
    <x v="1"/>
    <x v="1"/>
    <x v="15"/>
    <x v="1"/>
    <s v="https://tools.sig.systems/site/details/229"/>
    <m/>
    <x v="1"/>
    <x v="0"/>
    <x v="14"/>
    <x v="0"/>
    <x v="0"/>
    <x v="13"/>
    <x v="11"/>
    <x v="15"/>
  </r>
  <r>
    <s v="(ML) Collision Center N Little Rock26"/>
    <x v="22"/>
    <x v="25"/>
    <x v="1"/>
    <x v="1"/>
    <x v="106"/>
    <x v="1"/>
    <s v="https://tools.sig.systems/site/details/212"/>
    <s v="https://www.google.com/maps/d/edit?mid=1Oky35ERk_2kgyzCvDu_odQ2ZP62BtqA&amp;usp=sharing"/>
    <x v="1"/>
    <x v="0"/>
    <x v="3"/>
    <x v="0"/>
    <x v="0"/>
    <x v="6"/>
    <x v="77"/>
    <x v="105"/>
  </r>
  <r>
    <s v="(PE) BMW Tenafly (NO TOURS)26"/>
    <x v="22"/>
    <x v="25"/>
    <x v="4"/>
    <x v="0"/>
    <x v="48"/>
    <x v="0"/>
    <s v="https://tools.sig.systems/site/details/155"/>
    <m/>
    <x v="1"/>
    <x v="0"/>
    <x v="36"/>
    <x v="18"/>
    <x v="0"/>
    <x v="6"/>
    <x v="19"/>
    <x v="48"/>
  </r>
  <r>
    <s v="(AS) Coggin Honda Ft. Pierce (NO TOURS)27"/>
    <x v="23"/>
    <x v="0"/>
    <x v="0"/>
    <x v="0"/>
    <x v="0"/>
    <x v="0"/>
    <s v="https://tools.sig.systems/site/details/120"/>
    <s v="https://www.google.com/maps/d/viewer?mid=1AyViBuyeq7iwDua1SVudJ2A1BYi3IBA&amp;ll=27.38181516363982%2C-80.32568845000002&amp;z=18"/>
    <x v="0"/>
    <x v="0"/>
    <x v="0"/>
    <x v="0"/>
    <x v="0"/>
    <x v="0"/>
    <x v="0"/>
    <x v="0"/>
  </r>
  <r>
    <s v="(AS) Park Place Bodywerks Ft. Worth (NO TOURS)27"/>
    <x v="23"/>
    <x v="0"/>
    <x v="1"/>
    <x v="1"/>
    <x v="92"/>
    <x v="1"/>
    <s v="https://tools.sig.systems/site/details/134"/>
    <s v="https://www.google.com/maps/d/edit?mid=18OEO_KbvYcgI3N1jE4gTMXfNHTNDrFU&amp;ll=32.66603989958274%2C-97.42021198201722&amp;z=18"/>
    <x v="1"/>
    <x v="0"/>
    <x v="66"/>
    <x v="0"/>
    <x v="0"/>
    <x v="62"/>
    <x v="64"/>
    <x v="92"/>
  </r>
  <r>
    <s v="(ML) Nissan Of Benton27"/>
    <x v="23"/>
    <x v="0"/>
    <x v="1"/>
    <x v="1"/>
    <x v="80"/>
    <x v="1"/>
    <s v="https://tools.sig.systems/site/details/247"/>
    <m/>
    <x v="1"/>
    <x v="0"/>
    <x v="57"/>
    <x v="0"/>
    <x v="0"/>
    <x v="54"/>
    <x v="11"/>
    <x v="80"/>
  </r>
  <r>
    <s v="(PE) Scofield Service Center (NO TOURS)27"/>
    <x v="23"/>
    <x v="0"/>
    <x v="4"/>
    <x v="0"/>
    <x v="113"/>
    <x v="0"/>
    <s v="https://tools.sig.systems/site/details/193"/>
    <s v="https://www.google.com/maps/d/viewer?mid=1FEo41PzFJQjUIXXKitX5TNCtuqR6Vbs&amp;ll=41.1663376742533%2C-73.22955662049608&amp;z=16"/>
    <x v="1"/>
    <x v="0"/>
    <x v="6"/>
    <x v="0"/>
    <x v="0"/>
    <x v="75"/>
    <x v="51"/>
    <x v="112"/>
  </r>
  <r>
    <s v="(RV) Toms Camperland Avondale (NO TOURS)27"/>
    <x v="23"/>
    <x v="0"/>
    <x v="5"/>
    <x v="3"/>
    <x v="24"/>
    <x v="4"/>
    <s v="https://tools.sig.systems/site/details/248"/>
    <s v="https://www.google.com/maps/d/viewer?mid=1bDs0QGFZwL3vEeGKxjVMk_j4azr0-lg&amp;ll=33.4593758581648%2C-112.28793780000001&amp;z=18"/>
    <x v="2"/>
    <x v="0"/>
    <x v="19"/>
    <x v="10"/>
    <x v="0"/>
    <x v="6"/>
    <x v="20"/>
    <x v="24"/>
  </r>
  <r>
    <s v="(JE) Jim Ellis Ford Sandy Springs27"/>
    <x v="23"/>
    <x v="1"/>
    <x v="0"/>
    <x v="0"/>
    <x v="69"/>
    <x v="0"/>
    <s v="https://tools.sig.systems/site/details/142"/>
    <m/>
    <x v="1"/>
    <x v="0"/>
    <x v="51"/>
    <x v="0"/>
    <x v="0"/>
    <x v="46"/>
    <x v="52"/>
    <x v="69"/>
  </r>
  <r>
    <s v="(KG) Big Star CDJR of Clear Lake27"/>
    <x v="23"/>
    <x v="1"/>
    <x v="1"/>
    <x v="1"/>
    <x v="101"/>
    <x v="1"/>
    <s v="https://tools.sig.systems/site/details/232"/>
    <s v="https://www.google.com/maps/d/edit?mid=1DRwy5fy1g5UzGTA7a1OkQA-_CY8SQ2s&amp;usp=sharing"/>
    <x v="1"/>
    <x v="0"/>
    <x v="71"/>
    <x v="0"/>
    <x v="0"/>
    <x v="69"/>
    <x v="73"/>
    <x v="100"/>
  </r>
  <r>
    <s v="(KG) Texan CDJR27"/>
    <x v="23"/>
    <x v="1"/>
    <x v="1"/>
    <x v="1"/>
    <x v="13"/>
    <x v="1"/>
    <s v="https://tools.sig.systems/site/details/238"/>
    <s v="https://www.google.com/maps/d/edit?mid=1FNqK4dW8Z8gtSWuQLbStrtqe7lH8DIQ&amp;usp=sharing"/>
    <x v="1"/>
    <x v="0"/>
    <x v="12"/>
    <x v="0"/>
    <x v="5"/>
    <x v="11"/>
    <x v="13"/>
    <x v="13"/>
  </r>
  <r>
    <s v="(ML) Columbia Honda (NO TOURS)27"/>
    <x v="23"/>
    <x v="1"/>
    <x v="1"/>
    <x v="1"/>
    <x v="75"/>
    <x v="1"/>
    <s v="https://tools.sig.systems/site/details/272"/>
    <s v="https://www.google.com/maps/d/viewer?hl=es&amp;mid=1C1oZdjH3dNvCvqdpIv_Lk0Yn1OCVn-4&amp;ll=38.965368114274426%2C-92.3405954&amp;z=15"/>
    <x v="1"/>
    <x v="0"/>
    <x v="3"/>
    <x v="26"/>
    <x v="0"/>
    <x v="50"/>
    <x v="56"/>
    <x v="75"/>
  </r>
  <r>
    <s v="(AS) Park Place Mercedes Benz Arlington (NO TOURS)27"/>
    <x v="23"/>
    <x v="2"/>
    <x v="1"/>
    <x v="1"/>
    <x v="61"/>
    <x v="1"/>
    <s v="https://tools.sig.systems/site/details/169"/>
    <m/>
    <x v="1"/>
    <x v="0"/>
    <x v="46"/>
    <x v="0"/>
    <x v="11"/>
    <x v="41"/>
    <x v="46"/>
    <x v="61"/>
  </r>
  <r>
    <s v="(KG) Texan GMC Buick (NO TOURS)27"/>
    <x v="23"/>
    <x v="2"/>
    <x v="1"/>
    <x v="1"/>
    <x v="41"/>
    <x v="1"/>
    <s v="https://tools.sig.systems/site/details/225"/>
    <s v="https://www.google.com/maps/d/edit?mid=1FNqK4dW8Z8gtSWuQLbStrtqe7lH8DIQ&amp;usp=sharing"/>
    <x v="1"/>
    <x v="0"/>
    <x v="31"/>
    <x v="0"/>
    <x v="0"/>
    <x v="31"/>
    <x v="33"/>
    <x v="41"/>
  </r>
  <r>
    <s v="(LM) Luther Mazda / Mitsubishi27"/>
    <x v="23"/>
    <x v="2"/>
    <x v="1"/>
    <x v="1"/>
    <x v="74"/>
    <x v="1"/>
    <s v="https://tools.sig.systems/site/details/147"/>
    <s v="https://www.google.com/maps/d/viewer?mid=1ot0ILX76JMuvd9yMuqkb4_e0yH1n7TA&amp;ll=45.07815812965141%2C-93.33506855000002&amp;z=17"/>
    <x v="1"/>
    <x v="0"/>
    <x v="55"/>
    <x v="0"/>
    <x v="12"/>
    <x v="6"/>
    <x v="55"/>
    <x v="74"/>
  </r>
  <r>
    <s v="(ML) Joe Machens CDJR27"/>
    <x v="23"/>
    <x v="2"/>
    <x v="1"/>
    <x v="1"/>
    <x v="43"/>
    <x v="1"/>
    <s v="https://tools.sig.systems/site/details/273"/>
    <s v="https://www.google.com/maps/d/viewer?hl=es&amp;mid=1C1oZdjH3dNvCvqdpIv_Lk0Yn1OCVn-4&amp;ll=38.965368114274455%2C-92.3405954&amp;z=15"/>
    <x v="1"/>
    <x v="0"/>
    <x v="3"/>
    <x v="16"/>
    <x v="0"/>
    <x v="6"/>
    <x v="35"/>
    <x v="43"/>
  </r>
  <r>
    <s v="(AS) Mike Shaw Subaru Greeley (NO TOURS)27"/>
    <x v="23"/>
    <x v="3"/>
    <x v="3"/>
    <x v="2"/>
    <x v="91"/>
    <x v="3"/>
    <s v="https://tools.sig.systems/site/details/174"/>
    <s v="https://www.google.com/maps/d/viewer?mid=1gN2lJ0iT7m5VNhD7aDcxE8AdXqtcOZc&amp;ll=40.396096737592195%2C-104.746842&amp;z=16"/>
    <x v="1"/>
    <x v="0"/>
    <x v="65"/>
    <x v="32"/>
    <x v="0"/>
    <x v="61"/>
    <x v="11"/>
    <x v="91"/>
  </r>
  <r>
    <s v="(AS) Park Place Volvo Sales (NO TOURS)27"/>
    <x v="23"/>
    <x v="3"/>
    <x v="1"/>
    <x v="1"/>
    <x v="33"/>
    <x v="1"/>
    <s v="https://tools.sig.systems/site/details/139"/>
    <s v="https://www.google.com/maps/d/edit?hl=es&amp;mid=1uPmsRMsXnp74hPFW2t-sp2totVWF_xY&amp;ll=32.83050137713022%2C-96.83197783061323&amp;z=17"/>
    <x v="1"/>
    <x v="0"/>
    <x v="26"/>
    <x v="0"/>
    <x v="0"/>
    <x v="26"/>
    <x v="27"/>
    <x v="33"/>
  </r>
  <r>
    <s v="(DT) Denver (NO TOURS)27"/>
    <x v="23"/>
    <x v="3"/>
    <x v="3"/>
    <x v="2"/>
    <x v="97"/>
    <x v="3"/>
    <s v="https://tools.sig.systems/site/details/203"/>
    <s v="https://www.google.com/maps/d/edit?mid=1AjZHz2LTg0RMhZUOmyZsv_Y4MFcaP8g&amp;usp=sharing"/>
    <x v="1"/>
    <x v="0"/>
    <x v="3"/>
    <x v="25"/>
    <x v="0"/>
    <x v="6"/>
    <x v="69"/>
    <x v="96"/>
  </r>
  <r>
    <s v="(ML) Joe Machens VW27"/>
    <x v="23"/>
    <x v="3"/>
    <x v="1"/>
    <x v="1"/>
    <x v="19"/>
    <x v="1"/>
    <s v="https://tools.sig.systems/site/details/274"/>
    <s v="https://www.google.com/maps/d/viewer?hl=es&amp;mid=1C1oZdjH3dNvCvqdpIv_Lk0Yn1OCVn-4&amp;ll=38.965368114274455%2C-92.3405954&amp;z=15"/>
    <x v="1"/>
    <x v="0"/>
    <x v="3"/>
    <x v="8"/>
    <x v="0"/>
    <x v="17"/>
    <x v="11"/>
    <x v="19"/>
  </r>
  <r>
    <s v="(SCH) Chevrolet North Palm27"/>
    <x v="23"/>
    <x v="3"/>
    <x v="0"/>
    <x v="0"/>
    <x v="52"/>
    <x v="0"/>
    <s v="https://tools.sig.systems/site/details/160"/>
    <m/>
    <x v="3"/>
    <x v="0"/>
    <x v="39"/>
    <x v="0"/>
    <x v="0"/>
    <x v="6"/>
    <x v="38"/>
    <x v="52"/>
  </r>
  <r>
    <s v="(AS) Mercedes Benz/Porsche Dallas I,II,III (NO TOURS)27"/>
    <x v="23"/>
    <x v="4"/>
    <x v="1"/>
    <x v="1"/>
    <x v="2"/>
    <x v="1"/>
    <s v="https://tools.sig.systems/site/details/168"/>
    <s v="https://www.google.com/maps/d/edit?hl=es&amp;mid=1uPmsRMsXnp74hPFW2t-sp2totVWF_xY&amp;ll=32.83050137713022%2C-96.83197783061323&amp;z=17"/>
    <x v="1"/>
    <x v="0"/>
    <x v="2"/>
    <x v="0"/>
    <x v="2"/>
    <x v="2"/>
    <x v="2"/>
    <x v="2"/>
  </r>
  <r>
    <s v="(ML) Joe Machens Toyota27"/>
    <x v="23"/>
    <x v="4"/>
    <x v="1"/>
    <x v="1"/>
    <x v="18"/>
    <x v="1"/>
    <s v="https://tools.sig.systems/site/details/275"/>
    <s v="https://www.google.com/maps/d/viewer?hl=es&amp;mid=1C1oZdjH3dNvCvqdpIv_Lk0Yn1OCVn-4&amp;ll=38.965368114274455%2C-92.3405954&amp;z=15"/>
    <x v="1"/>
    <x v="0"/>
    <x v="3"/>
    <x v="7"/>
    <x v="0"/>
    <x v="16"/>
    <x v="11"/>
    <x v="18"/>
  </r>
  <r>
    <s v="(PE) JLR PDI (NO TOURS)27"/>
    <x v="23"/>
    <x v="4"/>
    <x v="4"/>
    <x v="0"/>
    <x v="50"/>
    <x v="0"/>
    <s v="https://tools.sig.systems/site/details/179"/>
    <s v="https://www.google.com/maps/d/viewer?mid=1ubI2iKs1JyYXssuT4oLPnVvFnyLPi_s&amp;ll=40.878808846788026%2C-73.98560655&amp;z=17"/>
    <x v="1"/>
    <x v="0"/>
    <x v="37"/>
    <x v="0"/>
    <x v="0"/>
    <x v="6"/>
    <x v="11"/>
    <x v="50"/>
  </r>
  <r>
    <s v="(AS) Park Place Sprinter Van Center (NO TOURS)27"/>
    <x v="23"/>
    <x v="5"/>
    <x v="1"/>
    <x v="1"/>
    <x v="6"/>
    <x v="1"/>
    <s v="https://tools.sig.systems/site/details/138"/>
    <s v="https://www.google.com/maps/d/edit?hl=es&amp;mid=1uPmsRMsXnp74hPFW2t-sp2totVWF_xY&amp;ll=32.83050137713022%2C-96.83197783061323&amp;z=17"/>
    <x v="1"/>
    <x v="0"/>
    <x v="6"/>
    <x v="0"/>
    <x v="0"/>
    <x v="6"/>
    <x v="6"/>
    <x v="6"/>
  </r>
  <r>
    <s v="(AS) Park Place Volvo Service Center (NO TOURS)27"/>
    <x v="23"/>
    <x v="5"/>
    <x v="1"/>
    <x v="1"/>
    <x v="62"/>
    <x v="1"/>
    <s v="https://tools.sig.systems/site/details/171"/>
    <s v="https://www.google.com/maps/d/edit?hl=es&amp;mid=1uPmsRMsXnp74hPFW2t-sp2totVWF_xY&amp;ll=32.83050137713022%2C-96.83197783061323&amp;z=17"/>
    <x v="1"/>
    <x v="0"/>
    <x v="47"/>
    <x v="0"/>
    <x v="0"/>
    <x v="42"/>
    <x v="11"/>
    <x v="62"/>
  </r>
  <r>
    <s v="(HUD) Honda of Southpoint27"/>
    <x v="23"/>
    <x v="5"/>
    <x v="0"/>
    <x v="0"/>
    <x v="11"/>
    <x v="0"/>
    <s v="https://tools.sig.systems/site/details/195"/>
    <m/>
    <x v="0"/>
    <x v="0"/>
    <x v="10"/>
    <x v="4"/>
    <x v="0"/>
    <x v="10"/>
    <x v="11"/>
    <x v="11"/>
  </r>
  <r>
    <s v="(ML) Joe Machens E Collision Center27"/>
    <x v="23"/>
    <x v="5"/>
    <x v="1"/>
    <x v="1"/>
    <x v="76"/>
    <x v="1"/>
    <s v="https://tools.sig.systems/site/details/277"/>
    <s v="https://www.google.com/maps/d/viewer?hl=es&amp;mid=1C1oZdjH3dNvCvqdpIv_Lk0Yn1OCVn-4&amp;ll=38.965368114274455%2C-92.3405954&amp;z=15"/>
    <x v="1"/>
    <x v="0"/>
    <x v="6"/>
    <x v="0"/>
    <x v="0"/>
    <x v="51"/>
    <x v="57"/>
    <x v="76"/>
  </r>
  <r>
    <s v="(RML) Burleson Nissan27"/>
    <x v="23"/>
    <x v="5"/>
    <x v="1"/>
    <x v="1"/>
    <x v="82"/>
    <x v="1"/>
    <s v="https://tools.sig.systems/site/details/202"/>
    <m/>
    <x v="1"/>
    <x v="0"/>
    <x v="58"/>
    <x v="0"/>
    <x v="0"/>
    <x v="56"/>
    <x v="11"/>
    <x v="82"/>
  </r>
  <r>
    <s v="(SCH) Prep Center Delray27"/>
    <x v="23"/>
    <x v="5"/>
    <x v="0"/>
    <x v="0"/>
    <x v="53"/>
    <x v="0"/>
    <s v="https://tools.sig.systems/site/details/321"/>
    <m/>
    <x v="1"/>
    <x v="0"/>
    <x v="40"/>
    <x v="0"/>
    <x v="0"/>
    <x v="6"/>
    <x v="39"/>
    <x v="53"/>
  </r>
  <r>
    <s v="(AS) Atwell Prep Center-Dallas (NO TOURS)27"/>
    <x v="23"/>
    <x v="6"/>
    <x v="1"/>
    <x v="1"/>
    <x v="86"/>
    <x v="1"/>
    <s v="https://tools.sig.systems/site/details/165"/>
    <s v="https://www.google.com/maps/d/edit?hl=es&amp;mid=1uPmsRMsXnp74hPFW2t-sp2totVWF_xY&amp;ll=32.83050137713022%2C-96.83197783061323&amp;z=17"/>
    <x v="1"/>
    <x v="0"/>
    <x v="61"/>
    <x v="0"/>
    <x v="0"/>
    <x v="6"/>
    <x v="28"/>
    <x v="86"/>
  </r>
  <r>
    <s v="(AS) Park Place Mercedes Benz Ft. Worth (NO TOURS)27"/>
    <x v="23"/>
    <x v="6"/>
    <x v="1"/>
    <x v="1"/>
    <x v="5"/>
    <x v="1"/>
    <s v="https://tools.sig.systems/site/details/137"/>
    <s v="https://www.google.com/maps/d/edit?mid=18OEO_KbvYcgI3N1jE4gTMXfNHTNDrFU&amp;ll=32.66603989958274%2C-97.42021198201722&amp;z=18"/>
    <x v="1"/>
    <x v="0"/>
    <x v="5"/>
    <x v="0"/>
    <x v="4"/>
    <x v="5"/>
    <x v="5"/>
    <x v="5"/>
  </r>
  <r>
    <s v="(HUD) Honda Greensboro27"/>
    <x v="23"/>
    <x v="6"/>
    <x v="0"/>
    <x v="0"/>
    <x v="37"/>
    <x v="0"/>
    <s v="https://tools.sig.systems/site/details/230"/>
    <s v="AS/ HUD - Crown Greensboro - Google My Maps"/>
    <x v="1"/>
    <x v="0"/>
    <x v="28"/>
    <x v="0"/>
    <x v="0"/>
    <x v="28"/>
    <x v="31"/>
    <x v="37"/>
  </r>
  <r>
    <s v="(ML) Joe Machens Temporary 2.027"/>
    <x v="23"/>
    <x v="6"/>
    <x v="1"/>
    <x v="1"/>
    <x v="44"/>
    <x v="1"/>
    <s v="https://tools.sig.systems/site/details/278"/>
    <s v="https://www.google.com/maps/d/viewer?hl=es&amp;mid=1C1oZdjH3dNvCvqdpIv_Lk0Yn1OCVn-4&amp;ll=38.965368114274455%2C-92.3405954&amp;z=15"/>
    <x v="1"/>
    <x v="0"/>
    <x v="3"/>
    <x v="17"/>
    <x v="0"/>
    <x v="33"/>
    <x v="11"/>
    <x v="44"/>
  </r>
  <r>
    <s v="(SCH) Auto Body Shop Lake Park27"/>
    <x v="23"/>
    <x v="6"/>
    <x v="0"/>
    <x v="0"/>
    <x v="83"/>
    <x v="0"/>
    <s v="https://tools.sig.systems/site/details/158"/>
    <m/>
    <x v="1"/>
    <x v="0"/>
    <x v="59"/>
    <x v="0"/>
    <x v="0"/>
    <x v="6"/>
    <x v="11"/>
    <x v="83"/>
  </r>
  <r>
    <s v="(AS) Courtesy Honda Palm Harbor (NO TOURS)27"/>
    <x v="23"/>
    <x v="7"/>
    <x v="0"/>
    <x v="0"/>
    <x v="88"/>
    <x v="0"/>
    <s v="https://tools.sig.systems/site/details/176"/>
    <m/>
    <x v="3"/>
    <x v="0"/>
    <x v="63"/>
    <x v="0"/>
    <x v="0"/>
    <x v="58"/>
    <x v="24"/>
    <x v="88"/>
  </r>
  <r>
    <s v="(AS) Nalley Lexus &amp; Remote Lot Roswell (NO TOURS)27"/>
    <x v="23"/>
    <x v="7"/>
    <x v="2"/>
    <x v="0"/>
    <x v="4"/>
    <x v="2"/>
    <s v="https://tools.sig.systems/site/details/131"/>
    <s v="https://www.google.com/maps/d/edit?mid=1jkN3DS1BhUqp_dztjjW0PDwKfo_Yxsw&amp;usp=sharing"/>
    <x v="1"/>
    <x v="1"/>
    <x v="4"/>
    <x v="1"/>
    <x v="3"/>
    <x v="4"/>
    <x v="4"/>
    <x v="4"/>
  </r>
  <r>
    <s v="(AS) Park Place Bodywerks Dallas (NO TOURS)27"/>
    <x v="23"/>
    <x v="7"/>
    <x v="1"/>
    <x v="1"/>
    <x v="59"/>
    <x v="1"/>
    <s v="https://tools.sig.systems/site/details/166"/>
    <s v="https://www.google.com/maps/d/edit?hl=es&amp;mid=1uPmsRMsXnp74hPFW2t-sp2totVWF_xY&amp;ll=32.83050137713022%2C-96.83197783061323&amp;z=17"/>
    <x v="1"/>
    <x v="0"/>
    <x v="44"/>
    <x v="9"/>
    <x v="0"/>
    <x v="6"/>
    <x v="45"/>
    <x v="59"/>
  </r>
  <r>
    <s v="(ML) Joe Machens Nissan27"/>
    <x v="23"/>
    <x v="7"/>
    <x v="1"/>
    <x v="1"/>
    <x v="78"/>
    <x v="1"/>
    <s v="https://tools.sig.systems/site/details/279"/>
    <s v="https://www.google.com/maps/d/viewer?hl=es&amp;mid=1C1oZdjH3dNvCvqdpIv_Lk0Yn1OCVn-4&amp;ll=38.965368114274455%2C-92.3405954&amp;z=15"/>
    <x v="1"/>
    <x v="0"/>
    <x v="3"/>
    <x v="28"/>
    <x v="0"/>
    <x v="6"/>
    <x v="11"/>
    <x v="78"/>
  </r>
  <r>
    <s v="(AS) Park Place MB Recon Center Dallas (NO TOURS)27"/>
    <x v="23"/>
    <x v="8"/>
    <x v="1"/>
    <x v="1"/>
    <x v="60"/>
    <x v="1"/>
    <s v="https://tools.sig.systems/site/details/170"/>
    <s v="https://www.google.com/maps/d/edit?hl=es&amp;mid=1uPmsRMsXnp74hPFW2t-sp2totVWF_xY&amp;ll=32.83050137713022%2C-96.83197783061323&amp;z=17"/>
    <x v="1"/>
    <x v="0"/>
    <x v="45"/>
    <x v="0"/>
    <x v="0"/>
    <x v="40"/>
    <x v="19"/>
    <x v="60"/>
  </r>
  <r>
    <s v="(ML) Joe Machens Kia of Columbia27"/>
    <x v="23"/>
    <x v="8"/>
    <x v="1"/>
    <x v="1"/>
    <x v="107"/>
    <x v="1"/>
    <s v="https://tools.sig.systems/site/details/270"/>
    <s v="https://www.google.com/maps/d/viewer?hl=es&amp;mid=1C1oZdjH3dNvCvqdpIv_Lk0Yn1OCVn-4&amp;ll=38.965368114274455%2C-92.3405954&amp;z=15"/>
    <x v="1"/>
    <x v="0"/>
    <x v="3"/>
    <x v="39"/>
    <x v="0"/>
    <x v="6"/>
    <x v="78"/>
    <x v="106"/>
  </r>
  <r>
    <s v="(SCH) Delray I &amp; II27"/>
    <x v="23"/>
    <x v="8"/>
    <x v="0"/>
    <x v="0"/>
    <x v="26"/>
    <x v="0"/>
    <s v="https://tools.sig.systems/site/details/159"/>
    <m/>
    <x v="3"/>
    <x v="0"/>
    <x v="21"/>
    <x v="11"/>
    <x v="6"/>
    <x v="6"/>
    <x v="22"/>
    <x v="26"/>
  </r>
  <r>
    <s v="(WAG) Greeley Chrysler Dodge Jeep Ram (NO TOURS)27"/>
    <x v="23"/>
    <x v="8"/>
    <x v="3"/>
    <x v="2"/>
    <x v="115"/>
    <x v="3"/>
    <s v="https://tools.sig.systems/site/details/130"/>
    <s v="https://www.google.com/maps/d/viewer?mid=1gN2lJ0iT7m5VNhD7aDcxE8AdXqtcOZc&amp;ll=40.396096737592195%2C-104.746842&amp;z=16"/>
    <x v="1"/>
    <x v="0"/>
    <x v="77"/>
    <x v="42"/>
    <x v="0"/>
    <x v="77"/>
    <x v="85"/>
    <x v="114"/>
  </r>
  <r>
    <s v="(SCH) West Palm Beach I, II &amp; III27"/>
    <x v="23"/>
    <x v="9"/>
    <x v="6"/>
    <x v="0"/>
    <x v="54"/>
    <x v="0"/>
    <s v="https://tools.sig.systems/site/details/162"/>
    <m/>
    <x v="3"/>
    <x v="2"/>
    <x v="41"/>
    <x v="20"/>
    <x v="10"/>
    <x v="6"/>
    <x v="40"/>
    <x v="54"/>
  </r>
  <r>
    <s v="(AS) David McDavid Lincoln Frisco (NO TOURS)27"/>
    <x v="23"/>
    <x v="10"/>
    <x v="1"/>
    <x v="1"/>
    <x v="58"/>
    <x v="1"/>
    <s v="https://tools.sig.systems/site/details/182"/>
    <m/>
    <x v="1"/>
    <x v="0"/>
    <x v="43"/>
    <x v="0"/>
    <x v="0"/>
    <x v="39"/>
    <x v="44"/>
    <x v="58"/>
  </r>
  <r>
    <s v="(AS) Nalley BMW Collision Center (NO TOURS)27"/>
    <x v="23"/>
    <x v="10"/>
    <x v="0"/>
    <x v="0"/>
    <x v="3"/>
    <x v="0"/>
    <s v="https://tools.sig.systems/site/details/220"/>
    <m/>
    <x v="1"/>
    <x v="0"/>
    <x v="3"/>
    <x v="1"/>
    <x v="0"/>
    <x v="3"/>
    <x v="3"/>
    <x v="3"/>
  </r>
  <r>
    <s v="(DT) Albuquerque27"/>
    <x v="23"/>
    <x v="10"/>
    <x v="3"/>
    <x v="2"/>
    <x v="35"/>
    <x v="3"/>
    <s v="https://tools.sig.systems/site/details/237"/>
    <m/>
    <x v="1"/>
    <x v="0"/>
    <x v="27"/>
    <x v="0"/>
    <x v="0"/>
    <x v="27"/>
    <x v="29"/>
    <x v="35"/>
  </r>
  <r>
    <s v="(KT) Northwest CDJR (NO TOURS)27"/>
    <x v="23"/>
    <x v="10"/>
    <x v="1"/>
    <x v="1"/>
    <x v="15"/>
    <x v="1"/>
    <s v="https://tools.sig.systems/site/details/229"/>
    <m/>
    <x v="1"/>
    <x v="0"/>
    <x v="14"/>
    <x v="0"/>
    <x v="0"/>
    <x v="13"/>
    <x v="11"/>
    <x v="15"/>
  </r>
  <r>
    <s v="(ML) Volvo Collision Corp27"/>
    <x v="23"/>
    <x v="10"/>
    <x v="1"/>
    <x v="1"/>
    <x v="47"/>
    <x v="1"/>
    <s v="https://tools.sig.systems/site/details/223"/>
    <m/>
    <x v="1"/>
    <x v="0"/>
    <x v="35"/>
    <x v="1"/>
    <x v="0"/>
    <x v="35"/>
    <x v="11"/>
    <x v="47"/>
  </r>
  <r>
    <s v="(PE) Fairfield Collision (NO TOURS)27"/>
    <x v="23"/>
    <x v="10"/>
    <x v="4"/>
    <x v="0"/>
    <x v="22"/>
    <x v="0"/>
    <s v="https://tools.sig.systems/site/details/191"/>
    <m/>
    <x v="1"/>
    <x v="0"/>
    <x v="18"/>
    <x v="0"/>
    <x v="0"/>
    <x v="6"/>
    <x v="18"/>
    <x v="22"/>
  </r>
  <r>
    <s v="(HUD) Acura of Greensboro27"/>
    <x v="23"/>
    <x v="11"/>
    <x v="0"/>
    <x v="0"/>
    <x v="99"/>
    <x v="0"/>
    <s v="https://tools.sig.systems/site/details/213"/>
    <s v="https://www.google.com/maps/d/viewer?mid=1ejOzT7-x6RWnCf83BBP7XhiOiwEX3Wk&amp;ll=0%2C0&amp;z=17"/>
    <x v="1"/>
    <x v="0"/>
    <x v="69"/>
    <x v="0"/>
    <x v="0"/>
    <x v="67"/>
    <x v="71"/>
    <x v="98"/>
  </r>
  <r>
    <s v="(KG) Big Star Honda27"/>
    <x v="23"/>
    <x v="11"/>
    <x v="1"/>
    <x v="1"/>
    <x v="72"/>
    <x v="1"/>
    <s v="https://tools.sig.systems/site/details/231"/>
    <m/>
    <x v="1"/>
    <x v="0"/>
    <x v="53"/>
    <x v="0"/>
    <x v="0"/>
    <x v="48"/>
    <x v="54"/>
    <x v="72"/>
  </r>
  <r>
    <s v="(MK) McKenny Salinas Honda27"/>
    <x v="23"/>
    <x v="11"/>
    <x v="0"/>
    <x v="0"/>
    <x v="104"/>
    <x v="0"/>
    <s v="https://tools.sig.systems/site/details/149"/>
    <m/>
    <x v="1"/>
    <x v="0"/>
    <x v="3"/>
    <x v="37"/>
    <x v="0"/>
    <x v="6"/>
    <x v="75"/>
    <x v="103"/>
  </r>
  <r>
    <s v="(PE) Honda of Danbury (NO TOURS)27"/>
    <x v="23"/>
    <x v="11"/>
    <x v="4"/>
    <x v="0"/>
    <x v="49"/>
    <x v="0"/>
    <s v="https://tools.sig.systems/site/details/190"/>
    <m/>
    <x v="1"/>
    <x v="0"/>
    <x v="3"/>
    <x v="19"/>
    <x v="9"/>
    <x v="6"/>
    <x v="36"/>
    <x v="49"/>
  </r>
  <r>
    <s v="(PE) Mercedes Benz &amp; Smart Bldg. of Fairfield (NO TOURS)27"/>
    <x v="23"/>
    <x v="11"/>
    <x v="4"/>
    <x v="0"/>
    <x v="23"/>
    <x v="0"/>
    <s v="https://tools.sig.systems/site/details/192"/>
    <s v="https://www.google.com/maps/d/viewer?mid=1FEo41PzFJQjUIXXKitX5TNCtuqR6Vbs&amp;ll=41.1663376742533%2C-73.22955662049608&amp;z=16"/>
    <x v="1"/>
    <x v="0"/>
    <x v="3"/>
    <x v="9"/>
    <x v="0"/>
    <x v="20"/>
    <x v="19"/>
    <x v="23"/>
  </r>
  <r>
    <s v="(AS) David McDavid Honda I &amp; II (NO TOURS)27"/>
    <x v="23"/>
    <x v="12"/>
    <x v="1"/>
    <x v="1"/>
    <x v="90"/>
    <x v="1"/>
    <s v="https://tools.sig.systems/site/details/129"/>
    <m/>
    <x v="1"/>
    <x v="0"/>
    <x v="3"/>
    <x v="31"/>
    <x v="0"/>
    <x v="60"/>
    <x v="63"/>
    <x v="90"/>
  </r>
  <r>
    <s v="(AS) Plano Auction (NO SPEAKERS)27"/>
    <x v="23"/>
    <x v="12"/>
    <x v="1"/>
    <x v="1"/>
    <x v="94"/>
    <x v="1"/>
    <s v="https://tools.sig.systems/site/details/140"/>
    <m/>
    <x v="1"/>
    <x v="0"/>
    <x v="3"/>
    <x v="34"/>
    <x v="0"/>
    <x v="64"/>
    <x v="66"/>
    <x v="94"/>
  </r>
  <r>
    <s v="(HUD) BMW of Greensboro27"/>
    <x v="23"/>
    <x v="12"/>
    <x v="0"/>
    <x v="0"/>
    <x v="100"/>
    <x v="0"/>
    <s v="https://tools.sig.systems/site/details/219"/>
    <s v="https://www.google.com/maps/d/viewer?mid=1ejOzT7-x6RWnCf83BBP7XhiOiwEX3Wk&amp;ll=36.061264791292906%2C-79.87437695000003&amp;z=17"/>
    <x v="1"/>
    <x v="0"/>
    <x v="70"/>
    <x v="0"/>
    <x v="0"/>
    <x v="68"/>
    <x v="72"/>
    <x v="99"/>
  </r>
  <r>
    <s v="(AS) Coggin Mercedes Benz Ft Pierce (NO TOURS)27"/>
    <x v="23"/>
    <x v="13"/>
    <x v="0"/>
    <x v="0"/>
    <x v="28"/>
    <x v="0"/>
    <s v="https://tools.sig.systems/site/details/127"/>
    <s v="https://www.google.com/maps/d/viewer?mid=1AyViBuyeq7iwDua1SVudJ2A1BYi3IBA&amp;ll=27.38181516363982%2C-80.32568845000002&amp;z=18"/>
    <x v="1"/>
    <x v="0"/>
    <x v="22"/>
    <x v="13"/>
    <x v="0"/>
    <x v="22"/>
    <x v="23"/>
    <x v="28"/>
  </r>
  <r>
    <s v="(DT) El Cajon (NO TOURS)27"/>
    <x v="23"/>
    <x v="13"/>
    <x v="5"/>
    <x v="4"/>
    <x v="66"/>
    <x v="4"/>
    <s v="https://tools.sig.systems/site/details/241"/>
    <m/>
    <x v="1"/>
    <x v="0"/>
    <x v="3"/>
    <x v="16"/>
    <x v="0"/>
    <x v="6"/>
    <x v="11"/>
    <x v="66"/>
  </r>
  <r>
    <s v="(HUD) Nissan Greensboro27"/>
    <x v="23"/>
    <x v="13"/>
    <x v="0"/>
    <x v="0"/>
    <x v="12"/>
    <x v="0"/>
    <s v="https://tools.sig.systems/site/details/236"/>
    <s v="https://www.google.com/maps/d/viewer?mid=1ejOzT7-x6RWnCf83BBP7XhiOiwEX3Wk&amp;ll=36.061264791292906%2C-79.87437695000003&amp;z=17"/>
    <x v="1"/>
    <x v="0"/>
    <x v="11"/>
    <x v="0"/>
    <x v="0"/>
    <x v="6"/>
    <x v="12"/>
    <x v="12"/>
  </r>
  <r>
    <s v="(KG) Truck Center Remote Storage Lot27"/>
    <x v="23"/>
    <x v="13"/>
    <x v="2"/>
    <x v="2"/>
    <x v="14"/>
    <x v="2"/>
    <s v="https://tools.sig.systems/site/details/144"/>
    <m/>
    <x v="1"/>
    <x v="0"/>
    <x v="13"/>
    <x v="5"/>
    <x v="0"/>
    <x v="12"/>
    <x v="14"/>
    <x v="14"/>
  </r>
  <r>
    <s v="(ML) McLarty-Gray Daniels Chevrolet27"/>
    <x v="23"/>
    <x v="13"/>
    <x v="1"/>
    <x v="1"/>
    <x v="109"/>
    <x v="1"/>
    <s v="https://tools.sig.systems/site/details/150"/>
    <m/>
    <x v="1"/>
    <x v="0"/>
    <x v="74"/>
    <x v="0"/>
    <x v="0"/>
    <x v="73"/>
    <x v="80"/>
    <x v="108"/>
  </r>
  <r>
    <s v="(AS) Lexus Plano I &amp; II (NO TOURS)27"/>
    <x v="23"/>
    <x v="14"/>
    <x v="1"/>
    <x v="1"/>
    <x v="1"/>
    <x v="1"/>
    <s v="https://tools.sig.systems/site/details/167"/>
    <s v="https://www.google.com/maps/d/viewer?mid=1wg5suxVuxeNp_irHlvN772HcwD6W89E&amp;ll=33.06373951220261%2C-96.82758025000001&amp;z=18"/>
    <x v="1"/>
    <x v="0"/>
    <x v="1"/>
    <x v="0"/>
    <x v="1"/>
    <x v="1"/>
    <x v="1"/>
    <x v="1"/>
  </r>
  <r>
    <s v="(AS) Stevinson JLR (NO TOURS)27"/>
    <x v="23"/>
    <x v="14"/>
    <x v="3"/>
    <x v="2"/>
    <x v="64"/>
    <x v="3"/>
    <s v="https://tools.sig.systems/site/details/204"/>
    <m/>
    <x v="1"/>
    <x v="0"/>
    <x v="49"/>
    <x v="1"/>
    <x v="0"/>
    <x v="44"/>
    <x v="48"/>
    <x v="64"/>
  </r>
  <r>
    <s v="(HUD) CDJR of Greensboro27"/>
    <x v="23"/>
    <x v="14"/>
    <x v="0"/>
    <x v="0"/>
    <x v="68"/>
    <x v="6"/>
    <s v="https://tools.sig.systems/site/details/215"/>
    <s v="https://www.google.com/maps/d/viewer?mid=1ejOzT7-x6RWnCf83BBP7XhiOiwEX3Wk&amp;ll=36.061264791292906%2C-79.87437695000003&amp;z=17"/>
    <x v="3"/>
    <x v="0"/>
    <x v="50"/>
    <x v="0"/>
    <x v="0"/>
    <x v="45"/>
    <x v="51"/>
    <x v="68"/>
  </r>
  <r>
    <s v="(AS) Coggin Acura Ft Pierce (NO TOURS)27"/>
    <x v="23"/>
    <x v="15"/>
    <x v="0"/>
    <x v="0"/>
    <x v="27"/>
    <x v="0"/>
    <s v="https://tools.sig.systems/site/details/118"/>
    <s v="https://www.google.com/maps/d/viewer?mid=1AyViBuyeq7iwDua1SVudJ2A1BYi3IBA&amp;ll=27.38181516363982%2C-80.32568845000002&amp;z=18"/>
    <x v="1"/>
    <x v="0"/>
    <x v="3"/>
    <x v="12"/>
    <x v="0"/>
    <x v="21"/>
    <x v="19"/>
    <x v="27"/>
  </r>
  <r>
    <s v="(AS) Park Place Acura (NO TOURS)27"/>
    <x v="23"/>
    <x v="15"/>
    <x v="1"/>
    <x v="1"/>
    <x v="32"/>
    <x v="1"/>
    <s v="https://tools.sig.systems/site/details/259"/>
    <s v="https://www.google.com/maps/d/viewer?mid=1wg5suxVuxeNp_irHlvN772HcwD6W89E&amp;ll=33.06373951220261%2C-96.82758025000001&amp;z=18"/>
    <x v="1"/>
    <x v="0"/>
    <x v="25"/>
    <x v="0"/>
    <x v="0"/>
    <x v="25"/>
    <x v="11"/>
    <x v="32"/>
  </r>
  <r>
    <s v="(ML) Honda of Little Rock27"/>
    <x v="23"/>
    <x v="15"/>
    <x v="1"/>
    <x v="1"/>
    <x v="16"/>
    <x v="1"/>
    <s v="https://tools.sig.systems/site/details/249"/>
    <s v="https://www.google.com/maps/d/viewer?mid=1hvbKFMO-d5TXrKGU-g5dt_xcdArB1D0&amp;ll=34.71147784120261%2C-92.40574350000001&amp;z=17"/>
    <x v="1"/>
    <x v="0"/>
    <x v="15"/>
    <x v="0"/>
    <x v="0"/>
    <x v="14"/>
    <x v="15"/>
    <x v="16"/>
  </r>
  <r>
    <s v="(ML) McLarty Gray-Daniels Toyota Nissan27"/>
    <x v="23"/>
    <x v="15"/>
    <x v="1"/>
    <x v="1"/>
    <x v="108"/>
    <x v="1"/>
    <s v="https://tools.sig.systems/site/details/152"/>
    <s v="https://www.google.com/maps/d/edit?mid=111nhCL4Xjj2Pq0zP5xUrMzHQqAihqa0&amp;usp=sharing"/>
    <x v="1"/>
    <x v="0"/>
    <x v="3"/>
    <x v="40"/>
    <x v="0"/>
    <x v="72"/>
    <x v="79"/>
    <x v="107"/>
  </r>
  <r>
    <s v="(AS) Audi of North Atlanta (NO TOURS)27"/>
    <x v="23"/>
    <x v="16"/>
    <x v="0"/>
    <x v="0"/>
    <x v="87"/>
    <x v="0"/>
    <s v="https://tools.sig.systems/site/details/124"/>
    <s v="https://www.google.com/maps/d/edit?mid=1jkN3DS1BhUqp_dztjjW0PDwKfo_Yxsw&amp;usp=sharing"/>
    <x v="1"/>
    <x v="0"/>
    <x v="62"/>
    <x v="0"/>
    <x v="0"/>
    <x v="57"/>
    <x v="61"/>
    <x v="87"/>
  </r>
  <r>
    <s v="(HUD) Paint and Body Center (NO TOURS)27"/>
    <x v="23"/>
    <x v="16"/>
    <x v="0"/>
    <x v="0"/>
    <x v="38"/>
    <x v="0"/>
    <s v="https://tools.sig.systems/site/details/256"/>
    <s v="https://www.google.com/maps/d/viewer?mid=1ejOzT7-x6RWnCf83BBP7XhiOiwEX3Wk&amp;ll=36.061264791292906%2C-79.87437695000003&amp;z=17"/>
    <x v="1"/>
    <x v="0"/>
    <x v="3"/>
    <x v="9"/>
    <x v="0"/>
    <x v="6"/>
    <x v="11"/>
    <x v="38"/>
  </r>
  <r>
    <s v="(ML) McLarty Gray-Daniels Ford Lincoln27"/>
    <x v="23"/>
    <x v="16"/>
    <x v="1"/>
    <x v="1"/>
    <x v="79"/>
    <x v="1"/>
    <s v="https://tools.sig.systems/site/details/151"/>
    <s v="https://www.google.com/maps/d/edit?mid=111nhCL4Xjj2Pq0zP5xUrMzHQqAihqa0&amp;usp=sharing"/>
    <x v="1"/>
    <x v="0"/>
    <x v="56"/>
    <x v="29"/>
    <x v="0"/>
    <x v="53"/>
    <x v="57"/>
    <x v="79"/>
  </r>
  <r>
    <s v="(ML) Nissan of Little Rock27"/>
    <x v="23"/>
    <x v="16"/>
    <x v="1"/>
    <x v="1"/>
    <x v="46"/>
    <x v="1"/>
    <s v="https://tools.sig.systems/site/details/224"/>
    <s v="https://www.google.com/maps/d/viewer?mid=1hvbKFMO-d5TXrKGU-g5dt_xcdArB1D0&amp;ll=34.71147784120261%2C-92.40574350000001&amp;z=17"/>
    <x v="1"/>
    <x v="0"/>
    <x v="34"/>
    <x v="0"/>
    <x v="0"/>
    <x v="34"/>
    <x v="7"/>
    <x v="46"/>
  </r>
  <r>
    <s v="(ML) Nissan of North Little Rock27"/>
    <x v="23"/>
    <x v="16"/>
    <x v="1"/>
    <x v="1"/>
    <x v="20"/>
    <x v="1"/>
    <s v="https://tools.sig.systems/site/details/216"/>
    <s v="https://www.google.com/maps/d/edit?mid=1Oky35ERk_2kgyzCvDu_odQ2ZP62BtqA&amp;usp=sharing"/>
    <x v="1"/>
    <x v="0"/>
    <x v="16"/>
    <x v="0"/>
    <x v="0"/>
    <x v="18"/>
    <x v="17"/>
    <x v="20"/>
  </r>
  <r>
    <s v="(AS) Courtesy Kia of Brandon (NO TOURS)27"/>
    <x v="23"/>
    <x v="17"/>
    <x v="0"/>
    <x v="0"/>
    <x v="57"/>
    <x v="0"/>
    <s v="https://tools.sig.systems/site/details/121"/>
    <s v="https://www.google.com/maps/d/edit?mid=15R4hTDQx56ij99--JgozdqOIZh-kSlk&amp;usp=sharing"/>
    <x v="0"/>
    <x v="0"/>
    <x v="3"/>
    <x v="22"/>
    <x v="0"/>
    <x v="38"/>
    <x v="43"/>
    <x v="57"/>
  </r>
  <r>
    <s v="(AS) Nalley Luxury Collision Center (NO TOURS)27"/>
    <x v="23"/>
    <x v="17"/>
    <x v="0"/>
    <x v="0"/>
    <x v="31"/>
    <x v="0"/>
    <s v="https://tools.sig.systems/site/details/263"/>
    <s v="https://www.google.com/maps/d/edit?mid=1jkN3DS1BhUqp_dztjjW0PDwKfo_Yxsw&amp;usp=sharing"/>
    <x v="1"/>
    <x v="0"/>
    <x v="4"/>
    <x v="0"/>
    <x v="0"/>
    <x v="6"/>
    <x v="26"/>
    <x v="31"/>
  </r>
  <r>
    <s v="(DT) N. Houston27"/>
    <x v="23"/>
    <x v="17"/>
    <x v="1"/>
    <x v="1"/>
    <x v="9"/>
    <x v="1"/>
    <s v="https://tools.sig.systems/site/details/250"/>
    <m/>
    <x v="1"/>
    <x v="0"/>
    <x v="8"/>
    <x v="0"/>
    <x v="0"/>
    <x v="8"/>
    <x v="9"/>
    <x v="9"/>
  </r>
  <r>
    <s v="(KG) JLR LEHI (NO TOURS)27"/>
    <x v="23"/>
    <x v="17"/>
    <x v="3"/>
    <x v="2"/>
    <x v="73"/>
    <x v="3"/>
    <s v="https://tools.sig.systems/site/details/145"/>
    <m/>
    <x v="1"/>
    <x v="0"/>
    <x v="54"/>
    <x v="0"/>
    <x v="0"/>
    <x v="49"/>
    <x v="11"/>
    <x v="73"/>
  </r>
  <r>
    <s v="(ML) BMW of Little Rock27"/>
    <x v="23"/>
    <x v="17"/>
    <x v="1"/>
    <x v="1"/>
    <x v="105"/>
    <x v="1"/>
    <s v="https://tools.sig.systems/site/details/217"/>
    <s v="https://www.google.com/maps/d/viewer?mid=1hvbKFMO-d5TXrKGU-g5dt_xcdArB1D0&amp;ll=34.71147784120261%2C-92.40574350000001&amp;z=17"/>
    <x v="1"/>
    <x v="0"/>
    <x v="3"/>
    <x v="38"/>
    <x v="0"/>
    <x v="6"/>
    <x v="76"/>
    <x v="104"/>
  </r>
  <r>
    <s v="(PE) BMW of Greenwich (NO TOURS)27"/>
    <x v="23"/>
    <x v="17"/>
    <x v="4"/>
    <x v="0"/>
    <x v="110"/>
    <x v="0"/>
    <s v="https://tools.sig.systems/site/details/186"/>
    <s v="https://www.google.com/maps/d/edit?hl=en&amp;mid=1UHmt7tH1ihTa85i0MfQIcTfVvIQg_vM&amp;ll=41.024187580466844%2C-73.63702405370861&amp;z=18"/>
    <x v="1"/>
    <x v="0"/>
    <x v="75"/>
    <x v="0"/>
    <x v="0"/>
    <x v="6"/>
    <x v="81"/>
    <x v="109"/>
  </r>
  <r>
    <s v="(AS) Plaza Audi/Infiniti (NO TOURS)27"/>
    <x v="23"/>
    <x v="18"/>
    <x v="1"/>
    <x v="1"/>
    <x v="95"/>
    <x v="1"/>
    <s v="https://tools.sig.systems/site/details/141"/>
    <s v="https://www.google.com/maps/d/viewer?mid=1whGZ1PLqmhJnGFz8uigZqUL4cHGGW3w&amp;ll=38.668847686454825%2C-90.4433601&amp;z=17"/>
    <x v="1"/>
    <x v="0"/>
    <x v="68"/>
    <x v="35"/>
    <x v="0"/>
    <x v="65"/>
    <x v="67"/>
    <x v="63"/>
  </r>
  <r>
    <s v="(AS) Stevinson Chevrolet Golden (NO TOURS)27"/>
    <x v="23"/>
    <x v="18"/>
    <x v="7"/>
    <x v="2"/>
    <x v="96"/>
    <x v="3"/>
    <s v="https://tools.sig.systems/site/details/264"/>
    <s v="https://www.google.com/maps/d/edit?mid=1nAyK85WaWREy0lfxnmWn3USs2gC0nP0&amp;usp=sharing"/>
    <x v="1"/>
    <x v="0"/>
    <x v="3"/>
    <x v="36"/>
    <x v="0"/>
    <x v="66"/>
    <x v="68"/>
    <x v="95"/>
  </r>
  <r>
    <s v="(DT) Colorado Springs (NO TOURS)27"/>
    <x v="23"/>
    <x v="18"/>
    <x v="3"/>
    <x v="2"/>
    <x v="65"/>
    <x v="3"/>
    <s v="https://tools.sig.systems/site/details/198"/>
    <m/>
    <x v="1"/>
    <x v="0"/>
    <x v="3"/>
    <x v="24"/>
    <x v="0"/>
    <x v="6"/>
    <x v="49"/>
    <x v="65"/>
  </r>
  <r>
    <s v="(KG) Clear Lake Pre-Owned27"/>
    <x v="23"/>
    <x v="18"/>
    <x v="1"/>
    <x v="1"/>
    <x v="39"/>
    <x v="1"/>
    <s v="https://tools.sig.systems/site/details/255"/>
    <s v="https://www.google.com/maps/d/edit?mid=1DRwy5fy1g5UzGTA7a1OkQA-_CY8SQ2s&amp;usp=sharing"/>
    <x v="1"/>
    <x v="0"/>
    <x v="29"/>
    <x v="0"/>
    <x v="0"/>
    <x v="29"/>
    <x v="32"/>
    <x v="39"/>
  </r>
  <r>
    <s v="(RV) Toms Camperland Surprise (NO TOURS)27"/>
    <x v="23"/>
    <x v="18"/>
    <x v="5"/>
    <x v="3"/>
    <x v="51"/>
    <x v="4"/>
    <s v="https://tools.sig.systems/site/details/254"/>
    <m/>
    <x v="5"/>
    <x v="0"/>
    <x v="38"/>
    <x v="0"/>
    <x v="0"/>
    <x v="6"/>
    <x v="37"/>
    <x v="51"/>
  </r>
  <r>
    <s v="(AS) Courtesy CDJR of Brandon (NO TOURS)27"/>
    <x v="23"/>
    <x v="19"/>
    <x v="0"/>
    <x v="0"/>
    <x v="56"/>
    <x v="0"/>
    <s v="https://tools.sig.systems/site/details/126"/>
    <s v="https://www.google.com/maps/d/edit?mid=15R4hTDQx56ij99--JgozdqOIZh-kSlk&amp;usp=sharing"/>
    <x v="0"/>
    <x v="0"/>
    <x v="42"/>
    <x v="9"/>
    <x v="0"/>
    <x v="37"/>
    <x v="42"/>
    <x v="56"/>
  </r>
  <r>
    <s v="(KG) Big Star Ford27"/>
    <x v="23"/>
    <x v="19"/>
    <x v="1"/>
    <x v="1"/>
    <x v="102"/>
    <x v="1"/>
    <s v="https://tools.sig.systems/site/details/235"/>
    <m/>
    <x v="1"/>
    <x v="0"/>
    <x v="72"/>
    <x v="0"/>
    <x v="0"/>
    <x v="70"/>
    <x v="74"/>
    <x v="101"/>
  </r>
  <r>
    <s v="(ML) Ford Lincoln of North Little Rock27"/>
    <x v="23"/>
    <x v="19"/>
    <x v="1"/>
    <x v="1"/>
    <x v="42"/>
    <x v="1"/>
    <s v="https://tools.sig.systems/site/details/214"/>
    <s v="https://www.google.com/maps/d/edit?mid=1Oky35ERk_2kgyzCvDu_odQ2ZP62BtqA&amp;usp=sharing"/>
    <x v="1"/>
    <x v="0"/>
    <x v="32"/>
    <x v="4"/>
    <x v="0"/>
    <x v="32"/>
    <x v="34"/>
    <x v="42"/>
  </r>
  <r>
    <s v="(AS) Plaza Lexus/Mercedes/BMW (NO TOURS)27"/>
    <x v="23"/>
    <x v="20"/>
    <x v="1"/>
    <x v="1"/>
    <x v="63"/>
    <x v="1"/>
    <s v="https://tools.sig.systems/site/details/141"/>
    <s v="https://www.google.com/maps/d/viewer?mid=1whGZ1PLqmhJnGFz8uigZqUL4cHGGW3w&amp;ll=38.668847686454825%2C-90.4433601&amp;z=17"/>
    <x v="1"/>
    <x v="0"/>
    <x v="48"/>
    <x v="23"/>
    <x v="0"/>
    <x v="43"/>
    <x v="47"/>
    <x v="63"/>
  </r>
  <r>
    <s v="(AS) Stevinson Lexus of Lakewood (NO TOURS)27"/>
    <x v="23"/>
    <x v="20"/>
    <x v="3"/>
    <x v="2"/>
    <x v="34"/>
    <x v="3"/>
    <s v="https://tools.sig.systems/site/details/260"/>
    <s v="https://www.google.com/maps/d/edit?mid=1nAyK85WaWREy0lfxnmWn3USs2gC0nP0&amp;usp=sharing"/>
    <x v="1"/>
    <x v="0"/>
    <x v="3"/>
    <x v="14"/>
    <x v="8"/>
    <x v="6"/>
    <x v="28"/>
    <x v="34"/>
  </r>
  <r>
    <s v="(KG) Kia of Phoenix (NO TOURS)27"/>
    <x v="23"/>
    <x v="20"/>
    <x v="5"/>
    <x v="3"/>
    <x v="40"/>
    <x v="4"/>
    <s v="https://tools.sig.systems/site/details/262"/>
    <m/>
    <x v="4"/>
    <x v="0"/>
    <x v="30"/>
    <x v="0"/>
    <x v="0"/>
    <x v="30"/>
    <x v="11"/>
    <x v="40"/>
  </r>
  <r>
    <s v="(ML) Toyota N Little Rock27"/>
    <x v="23"/>
    <x v="20"/>
    <x v="1"/>
    <x v="1"/>
    <x v="21"/>
    <x v="1"/>
    <s v="https://tools.sig.systems/site/details/201"/>
    <s v="https://www.google.com/maps/d/edit?mid=1Oky35ERk_2kgyzCvDu_odQ2ZP62BtqA&amp;usp=sharing"/>
    <x v="1"/>
    <x v="0"/>
    <x v="17"/>
    <x v="0"/>
    <x v="0"/>
    <x v="19"/>
    <x v="11"/>
    <x v="21"/>
  </r>
  <r>
    <s v="(TC) Tavernier Creek Marina (NO TOURS)27"/>
    <x v="23"/>
    <x v="20"/>
    <x v="0"/>
    <x v="0"/>
    <x v="84"/>
    <x v="1"/>
    <s v="https://tools.sig.systems/site/details/164"/>
    <m/>
    <x v="6"/>
    <x v="0"/>
    <x v="60"/>
    <x v="0"/>
    <x v="0"/>
    <x v="6"/>
    <x v="59"/>
    <x v="84"/>
  </r>
  <r>
    <s v="(AS) Courtesy Hyundai/Nissan Tampa (NO TOURS)27"/>
    <x v="23"/>
    <x v="21"/>
    <x v="0"/>
    <x v="0"/>
    <x v="89"/>
    <x v="0"/>
    <s v="https://tools.sig.systems/site/details/128"/>
    <m/>
    <x v="0"/>
    <x v="0"/>
    <x v="64"/>
    <x v="0"/>
    <x v="0"/>
    <x v="59"/>
    <x v="62"/>
    <x v="89"/>
  </r>
  <r>
    <s v="(AS) Park Place JLR DFW Airport (NO TOURS)27"/>
    <x v="23"/>
    <x v="21"/>
    <x v="1"/>
    <x v="1"/>
    <x v="93"/>
    <x v="1"/>
    <s v="https://tools.sig.systems/site/details/135"/>
    <m/>
    <x v="1"/>
    <x v="0"/>
    <x v="67"/>
    <x v="33"/>
    <x v="13"/>
    <x v="63"/>
    <x v="65"/>
    <x v="93"/>
  </r>
  <r>
    <s v="(DT) Escondido27"/>
    <x v="23"/>
    <x v="21"/>
    <x v="5"/>
    <x v="4"/>
    <x v="98"/>
    <x v="5"/>
    <s v="https://tools.sig.systems/site/details/196"/>
    <m/>
    <x v="1"/>
    <x v="4"/>
    <x v="20"/>
    <x v="0"/>
    <x v="0"/>
    <x v="6"/>
    <x v="70"/>
    <x v="97"/>
  </r>
  <r>
    <s v="(RV) Sonny's Camp N Travel Concord27"/>
    <x v="23"/>
    <x v="21"/>
    <x v="0"/>
    <x v="0"/>
    <x v="114"/>
    <x v="0"/>
    <s v="https://tools.sig.systems/site/details/183"/>
    <m/>
    <x v="1"/>
    <x v="0"/>
    <x v="6"/>
    <x v="0"/>
    <x v="0"/>
    <x v="76"/>
    <x v="84"/>
    <x v="113"/>
  </r>
  <r>
    <s v="(AS) Lexus Grapevine I &amp; II (NO TOURS)27"/>
    <x v="23"/>
    <x v="22"/>
    <x v="1"/>
    <x v="1"/>
    <x v="29"/>
    <x v="1"/>
    <s v="https://tools.sig.systems/site/details/136"/>
    <m/>
    <x v="1"/>
    <x v="0"/>
    <x v="23"/>
    <x v="0"/>
    <x v="7"/>
    <x v="23"/>
    <x v="24"/>
    <x v="29"/>
  </r>
  <r>
    <s v="(AS) Lexus Smyrna (NO TOURS)27"/>
    <x v="23"/>
    <x v="22"/>
    <x v="0"/>
    <x v="0"/>
    <x v="30"/>
    <x v="0"/>
    <s v="https://tools.sig.systems/site/details/133"/>
    <m/>
    <x v="1"/>
    <x v="0"/>
    <x v="24"/>
    <x v="0"/>
    <x v="0"/>
    <x v="24"/>
    <x v="25"/>
    <x v="30"/>
  </r>
  <r>
    <s v="(KG) Hyundai Surprise27"/>
    <x v="23"/>
    <x v="22"/>
    <x v="5"/>
    <x v="3"/>
    <x v="103"/>
    <x v="4"/>
    <s v="https://tools.sig.systems/site/details/269"/>
    <m/>
    <x v="4"/>
    <x v="0"/>
    <x v="73"/>
    <x v="0"/>
    <x v="0"/>
    <x v="71"/>
    <x v="11"/>
    <x v="102"/>
  </r>
  <r>
    <s v="(AS) Bill Estes Ford (NO TOURS)27"/>
    <x v="23"/>
    <x v="23"/>
    <x v="0"/>
    <x v="0"/>
    <x v="55"/>
    <x v="0"/>
    <s v="https://tools.sig.systems/site/details/125"/>
    <m/>
    <x v="1"/>
    <x v="0"/>
    <x v="3"/>
    <x v="21"/>
    <x v="0"/>
    <x v="36"/>
    <x v="41"/>
    <x v="55"/>
  </r>
  <r>
    <s v="(DT) Wichita27"/>
    <x v="23"/>
    <x v="23"/>
    <x v="1"/>
    <x v="1"/>
    <x v="36"/>
    <x v="1"/>
    <s v="https://tools.sig.systems/site/details/257"/>
    <m/>
    <x v="1"/>
    <x v="0"/>
    <x v="3"/>
    <x v="15"/>
    <x v="0"/>
    <x v="6"/>
    <x v="30"/>
    <x v="36"/>
  </r>
  <r>
    <s v="(PE) Hudson Toyota Nissan CDJR (NO TOURS)27"/>
    <x v="23"/>
    <x v="23"/>
    <x v="4"/>
    <x v="0"/>
    <x v="81"/>
    <x v="0"/>
    <s v="https://tools.sig.systems/site/details/156"/>
    <m/>
    <x v="1"/>
    <x v="0"/>
    <x v="49"/>
    <x v="30"/>
    <x v="0"/>
    <x v="55"/>
    <x v="58"/>
    <x v="81"/>
  </r>
  <r>
    <s v="(RV) Toms Camperland Mesa (NO TOURS)27"/>
    <x v="23"/>
    <x v="23"/>
    <x v="5"/>
    <x v="3"/>
    <x v="25"/>
    <x v="4"/>
    <s v="https://tools.sig.systems/site/details/222"/>
    <m/>
    <x v="1"/>
    <x v="0"/>
    <x v="20"/>
    <x v="0"/>
    <x v="0"/>
    <x v="6"/>
    <x v="21"/>
    <x v="25"/>
  </r>
  <r>
    <s v="SIG Office27"/>
    <x v="23"/>
    <x v="23"/>
    <x v="2"/>
    <x v="0"/>
    <x v="85"/>
    <x v="2"/>
    <s v="https://tools.sig.systems/site/details/163"/>
    <m/>
    <x v="1"/>
    <x v="0"/>
    <x v="3"/>
    <x v="0"/>
    <x v="0"/>
    <x v="6"/>
    <x v="60"/>
    <x v="85"/>
  </r>
  <r>
    <s v="(ML) Joe Machens Ford Lincoln I &amp; II27"/>
    <x v="23"/>
    <x v="24"/>
    <x v="1"/>
    <x v="1"/>
    <x v="77"/>
    <x v="1"/>
    <s v="https://tools.sig.systems/site/details/266"/>
    <s v="https://www.google.com/maps/d/viewer?hl=es&amp;mid=1C1oZdjH3dNvCvqdpIv_Lk0Yn1OCVn-4&amp;ll=38.965368114274455%2C-92.3405954&amp;z=15"/>
    <x v="1"/>
    <x v="0"/>
    <x v="3"/>
    <x v="27"/>
    <x v="0"/>
    <x v="52"/>
    <x v="11"/>
    <x v="77"/>
  </r>
  <r>
    <s v="(ML) Mazda VW-Lot B27"/>
    <x v="23"/>
    <x v="24"/>
    <x v="1"/>
    <x v="1"/>
    <x v="45"/>
    <x v="1"/>
    <s v="https://tools.sig.systems/site/details/205"/>
    <s v="https://www.google.com/maps/d/edit?mid=1Oky35ERk_2kgyzCvDu_odQ2ZP62BtqA&amp;usp=sharing"/>
    <x v="1"/>
    <x v="0"/>
    <x v="33"/>
    <x v="9"/>
    <x v="0"/>
    <x v="30"/>
    <x v="11"/>
    <x v="45"/>
  </r>
  <r>
    <s v="(PE) BMW of Mamaroneck (NO TOURS)27"/>
    <x v="23"/>
    <x v="24"/>
    <x v="4"/>
    <x v="0"/>
    <x v="111"/>
    <x v="0"/>
    <s v="https://tools.sig.systems/site/details/185"/>
    <m/>
    <x v="1"/>
    <x v="0"/>
    <x v="76"/>
    <x v="41"/>
    <x v="0"/>
    <x v="6"/>
    <x v="82"/>
    <x v="110"/>
  </r>
  <r>
    <s v="(AS) Stevinson Porsche of Littleton (NO TOURS)27"/>
    <x v="23"/>
    <x v="25"/>
    <x v="3"/>
    <x v="2"/>
    <x v="7"/>
    <x v="3"/>
    <s v="https://tools.sig.systems/site/details/242"/>
    <m/>
    <x v="1"/>
    <x v="0"/>
    <x v="7"/>
    <x v="2"/>
    <x v="0"/>
    <x v="6"/>
    <x v="7"/>
    <x v="7"/>
  </r>
  <r>
    <s v="(DT) W Houston27"/>
    <x v="23"/>
    <x v="25"/>
    <x v="1"/>
    <x v="1"/>
    <x v="10"/>
    <x v="1"/>
    <s v="https://tools.sig.systems/site/details/197"/>
    <m/>
    <x v="1"/>
    <x v="0"/>
    <x v="9"/>
    <x v="2"/>
    <x v="0"/>
    <x v="9"/>
    <x v="10"/>
    <x v="10"/>
  </r>
  <r>
    <s v="(KG) Baytown GMC Buick - Remote Lot (NO TOURS)27"/>
    <x v="23"/>
    <x v="25"/>
    <x v="2"/>
    <x v="1"/>
    <x v="70"/>
    <x v="2"/>
    <s v="https://tools.sig.systems/site/details/311"/>
    <m/>
    <x v="1"/>
    <x v="3"/>
    <x v="3"/>
    <x v="25"/>
    <x v="0"/>
    <x v="6"/>
    <x v="11"/>
    <x v="70"/>
  </r>
  <r>
    <s v="(KG) Baytown GMC Buick (NO TOURS)27"/>
    <x v="23"/>
    <x v="25"/>
    <x v="1"/>
    <x v="1"/>
    <x v="71"/>
    <x v="1"/>
    <s v="https://tools.sig.systems/site/details/239"/>
    <m/>
    <x v="1"/>
    <x v="0"/>
    <x v="52"/>
    <x v="0"/>
    <x v="0"/>
    <x v="47"/>
    <x v="53"/>
    <x v="71"/>
  </r>
  <r>
    <s v="(ML) Collision Center N Little Rock27"/>
    <x v="23"/>
    <x v="25"/>
    <x v="1"/>
    <x v="1"/>
    <x v="106"/>
    <x v="1"/>
    <s v="https://tools.sig.systems/site/details/212"/>
    <s v="https://www.google.com/maps/d/edit?mid=1Oky35ERk_2kgyzCvDu_odQ2ZP62BtqA&amp;usp=sharing"/>
    <x v="1"/>
    <x v="0"/>
    <x v="3"/>
    <x v="0"/>
    <x v="0"/>
    <x v="6"/>
    <x v="77"/>
    <x v="105"/>
  </r>
  <r>
    <s v="(PE) BMW Tenafly (NO TOURS)27"/>
    <x v="23"/>
    <x v="25"/>
    <x v="4"/>
    <x v="0"/>
    <x v="48"/>
    <x v="0"/>
    <s v="https://tools.sig.systems/site/details/155"/>
    <m/>
    <x v="1"/>
    <x v="0"/>
    <x v="36"/>
    <x v="18"/>
    <x v="0"/>
    <x v="6"/>
    <x v="19"/>
    <x v="48"/>
  </r>
  <r>
    <s v="(AS) Stevinson Toyota West (NO TOURS)27"/>
    <x v="23"/>
    <x v="26"/>
    <x v="3"/>
    <x v="2"/>
    <x v="8"/>
    <x v="3"/>
    <s v="https://tools.sig.systems/site/details/240"/>
    <s v="https://www.google.com/maps/d/edit?mid=1nAyK85WaWREy0lfxnmWn3USs2gC0nP0&amp;usp=sharing"/>
    <x v="1"/>
    <x v="0"/>
    <x v="3"/>
    <x v="3"/>
    <x v="0"/>
    <x v="7"/>
    <x v="8"/>
    <x v="8"/>
  </r>
  <r>
    <s v="(DT) Louisville27"/>
    <x v="23"/>
    <x v="26"/>
    <x v="0"/>
    <x v="0"/>
    <x v="67"/>
    <x v="0"/>
    <s v="https://tools.sig.systems/site/details/258"/>
    <m/>
    <x v="1"/>
    <x v="0"/>
    <x v="3"/>
    <x v="16"/>
    <x v="0"/>
    <x v="6"/>
    <x v="50"/>
    <x v="67"/>
  </r>
  <r>
    <s v="(ML) Joe Machens Capital City I &amp; II (NO TOURS)27"/>
    <x v="23"/>
    <x v="26"/>
    <x v="1"/>
    <x v="1"/>
    <x v="17"/>
    <x v="1"/>
    <s v="https://tools.sig.systems/site/details/271"/>
    <m/>
    <x v="1"/>
    <x v="0"/>
    <x v="3"/>
    <x v="6"/>
    <x v="0"/>
    <x v="15"/>
    <x v="16"/>
    <x v="17"/>
  </r>
  <r>
    <s v="(PE) JLR Darien PDI (NO TOURS)27"/>
    <x v="23"/>
    <x v="26"/>
    <x v="4"/>
    <x v="0"/>
    <x v="112"/>
    <x v="0"/>
    <s v="https://tools.sig.systems/site/details/187"/>
    <s v="https://www.google.com/maps/d/viewer?mid=1ebZp8DeTYSXNPgDIA63nFVDu9ohaO4E&amp;ll=41.08027837958441%2C-73.46597874999999&amp;z=15"/>
    <x v="1"/>
    <x v="0"/>
    <x v="6"/>
    <x v="0"/>
    <x v="0"/>
    <x v="74"/>
    <x v="83"/>
    <x v="111"/>
  </r>
  <r>
    <s v="(AS) Park Place Bodywerks Ft. Worth (NO TOURS)28"/>
    <x v="24"/>
    <x v="0"/>
    <x v="1"/>
    <x v="1"/>
    <x v="92"/>
    <x v="1"/>
    <s v="https://tools.sig.systems/site/details/134"/>
    <s v="https://www.google.com/maps/d/edit?mid=18OEO_KbvYcgI3N1jE4gTMXfNHTNDrFU&amp;ll=32.66603989958274%2C-97.42021198201722&amp;z=18"/>
    <x v="1"/>
    <x v="0"/>
    <x v="66"/>
    <x v="0"/>
    <x v="0"/>
    <x v="62"/>
    <x v="64"/>
    <x v="92"/>
  </r>
  <r>
    <s v="(AS) Park Place Volvo Service Center (NO TOURS)28"/>
    <x v="24"/>
    <x v="0"/>
    <x v="1"/>
    <x v="1"/>
    <x v="62"/>
    <x v="1"/>
    <s v="https://tools.sig.systems/site/details/171"/>
    <s v="https://www.google.com/maps/d/edit?hl=es&amp;mid=1uPmsRMsXnp74hPFW2t-sp2totVWF_xY&amp;ll=32.83050137713022%2C-96.83197783061323&amp;z=17"/>
    <x v="1"/>
    <x v="0"/>
    <x v="47"/>
    <x v="0"/>
    <x v="0"/>
    <x v="42"/>
    <x v="11"/>
    <x v="62"/>
  </r>
  <r>
    <s v="(ML) Nissan Of Benton28"/>
    <x v="24"/>
    <x v="0"/>
    <x v="1"/>
    <x v="1"/>
    <x v="80"/>
    <x v="1"/>
    <s v="https://tools.sig.systems/site/details/247"/>
    <m/>
    <x v="1"/>
    <x v="0"/>
    <x v="57"/>
    <x v="0"/>
    <x v="0"/>
    <x v="54"/>
    <x v="11"/>
    <x v="80"/>
  </r>
  <r>
    <s v="(PE) Scofield Service Center (NO TOURS)28"/>
    <x v="24"/>
    <x v="0"/>
    <x v="4"/>
    <x v="0"/>
    <x v="113"/>
    <x v="0"/>
    <s v="https://tools.sig.systems/site/details/193"/>
    <s v="https://www.google.com/maps/d/viewer?mid=1FEo41PzFJQjUIXXKitX5TNCtuqR6Vbs&amp;ll=41.1663376742533%2C-73.22955662049608&amp;z=16"/>
    <x v="1"/>
    <x v="0"/>
    <x v="6"/>
    <x v="0"/>
    <x v="0"/>
    <x v="75"/>
    <x v="51"/>
    <x v="112"/>
  </r>
  <r>
    <s v="(RV) Toms Camperland Avondale (NO TOURS)28"/>
    <x v="24"/>
    <x v="0"/>
    <x v="5"/>
    <x v="3"/>
    <x v="24"/>
    <x v="4"/>
    <s v="https://tools.sig.systems/site/details/248"/>
    <s v="https://www.google.com/maps/d/viewer?mid=1bDs0QGFZwL3vEeGKxjVMk_j4azr0-lg&amp;ll=33.4593758581648%2C-112.28793780000001&amp;z=18"/>
    <x v="2"/>
    <x v="0"/>
    <x v="19"/>
    <x v="10"/>
    <x v="0"/>
    <x v="6"/>
    <x v="20"/>
    <x v="24"/>
  </r>
  <r>
    <s v="(AS) Lexus Smyrna (NO TOURS)28"/>
    <x v="24"/>
    <x v="1"/>
    <x v="0"/>
    <x v="0"/>
    <x v="30"/>
    <x v="0"/>
    <s v="https://tools.sig.systems/site/details/133"/>
    <m/>
    <x v="1"/>
    <x v="0"/>
    <x v="24"/>
    <x v="0"/>
    <x v="0"/>
    <x v="24"/>
    <x v="25"/>
    <x v="30"/>
  </r>
  <r>
    <s v="(KG) Texan CDJR28"/>
    <x v="24"/>
    <x v="1"/>
    <x v="1"/>
    <x v="1"/>
    <x v="13"/>
    <x v="1"/>
    <s v="https://tools.sig.systems/site/details/238"/>
    <s v="https://www.google.com/maps/d/edit?mid=1FNqK4dW8Z8gtSWuQLbStrtqe7lH8DIQ&amp;usp=sharing"/>
    <x v="1"/>
    <x v="0"/>
    <x v="12"/>
    <x v="0"/>
    <x v="5"/>
    <x v="11"/>
    <x v="13"/>
    <x v="13"/>
  </r>
  <r>
    <s v="(ML) Columbia Honda (NO TOURS)28"/>
    <x v="24"/>
    <x v="1"/>
    <x v="1"/>
    <x v="1"/>
    <x v="75"/>
    <x v="1"/>
    <s v="https://tools.sig.systems/site/details/272"/>
    <s v="https://www.google.com/maps/d/viewer?hl=es&amp;mid=1C1oZdjH3dNvCvqdpIv_Lk0Yn1OCVn-4&amp;ll=38.965368114274426%2C-92.3405954&amp;z=15"/>
    <x v="1"/>
    <x v="0"/>
    <x v="3"/>
    <x v="26"/>
    <x v="0"/>
    <x v="50"/>
    <x v="56"/>
    <x v="75"/>
  </r>
  <r>
    <s v="(KG) Texan GMC Buick (NO TOURS)28"/>
    <x v="24"/>
    <x v="2"/>
    <x v="1"/>
    <x v="1"/>
    <x v="41"/>
    <x v="1"/>
    <s v="https://tools.sig.systems/site/details/225"/>
    <s v="https://www.google.com/maps/d/edit?mid=1FNqK4dW8Z8gtSWuQLbStrtqe7lH8DIQ&amp;usp=sharing"/>
    <x v="1"/>
    <x v="0"/>
    <x v="31"/>
    <x v="0"/>
    <x v="0"/>
    <x v="31"/>
    <x v="33"/>
    <x v="41"/>
  </r>
  <r>
    <s v="(LM) Luther Mazda / Mitsubishi28"/>
    <x v="24"/>
    <x v="2"/>
    <x v="1"/>
    <x v="1"/>
    <x v="74"/>
    <x v="1"/>
    <s v="https://tools.sig.systems/site/details/147"/>
    <s v="https://www.google.com/maps/d/viewer?mid=1ot0ILX76JMuvd9yMuqkb4_e0yH1n7TA&amp;ll=45.07815812965141%2C-93.33506855000002&amp;z=17"/>
    <x v="1"/>
    <x v="0"/>
    <x v="55"/>
    <x v="0"/>
    <x v="12"/>
    <x v="6"/>
    <x v="55"/>
    <x v="74"/>
  </r>
  <r>
    <s v="(ML) Joe Machens CDJR28"/>
    <x v="24"/>
    <x v="2"/>
    <x v="1"/>
    <x v="1"/>
    <x v="43"/>
    <x v="1"/>
    <s v="https://tools.sig.systems/site/details/273"/>
    <s v="https://www.google.com/maps/d/viewer?hl=es&amp;mid=1C1oZdjH3dNvCvqdpIv_Lk0Yn1OCVn-4&amp;ll=38.965368114274455%2C-92.3405954&amp;z=15"/>
    <x v="1"/>
    <x v="0"/>
    <x v="3"/>
    <x v="16"/>
    <x v="0"/>
    <x v="6"/>
    <x v="35"/>
    <x v="43"/>
  </r>
  <r>
    <s v="(PE) BMW of Greenwich (NO TOURS)28"/>
    <x v="24"/>
    <x v="2"/>
    <x v="4"/>
    <x v="0"/>
    <x v="110"/>
    <x v="0"/>
    <s v="https://tools.sig.systems/site/details/186"/>
    <s v="https://www.google.com/maps/d/edit?hl=en&amp;mid=1UHmt7tH1ihTa85i0MfQIcTfVvIQg_vM&amp;ll=41.024187580466844%2C-73.63702405370861&amp;z=18"/>
    <x v="1"/>
    <x v="0"/>
    <x v="75"/>
    <x v="0"/>
    <x v="0"/>
    <x v="6"/>
    <x v="81"/>
    <x v="109"/>
  </r>
  <r>
    <s v="(PE) Honda of Danbury (NO TOURS)28"/>
    <x v="24"/>
    <x v="2"/>
    <x v="4"/>
    <x v="0"/>
    <x v="49"/>
    <x v="0"/>
    <s v="https://tools.sig.systems/site/details/190"/>
    <m/>
    <x v="1"/>
    <x v="0"/>
    <x v="3"/>
    <x v="19"/>
    <x v="9"/>
    <x v="6"/>
    <x v="36"/>
    <x v="49"/>
  </r>
  <r>
    <s v="(AS) Park Place Volvo Sales (NO TOURS)28"/>
    <x v="24"/>
    <x v="3"/>
    <x v="1"/>
    <x v="1"/>
    <x v="33"/>
    <x v="1"/>
    <s v="https://tools.sig.systems/site/details/139"/>
    <s v="https://www.google.com/maps/d/edit?hl=es&amp;mid=1uPmsRMsXnp74hPFW2t-sp2totVWF_xY&amp;ll=32.83050137713022%2C-96.83197783061323&amp;z=17"/>
    <x v="1"/>
    <x v="0"/>
    <x v="26"/>
    <x v="0"/>
    <x v="0"/>
    <x v="26"/>
    <x v="27"/>
    <x v="33"/>
  </r>
  <r>
    <s v="(HUD) Nissan Greensboro28"/>
    <x v="24"/>
    <x v="3"/>
    <x v="0"/>
    <x v="0"/>
    <x v="12"/>
    <x v="0"/>
    <s v="https://tools.sig.systems/site/details/236"/>
    <s v="https://www.google.com/maps/d/viewer?mid=1ejOzT7-x6RWnCf83BBP7XhiOiwEX3Wk&amp;ll=36.061264791292906%2C-79.87437695000003&amp;z=17"/>
    <x v="1"/>
    <x v="0"/>
    <x v="11"/>
    <x v="0"/>
    <x v="0"/>
    <x v="6"/>
    <x v="12"/>
    <x v="12"/>
  </r>
  <r>
    <s v="(ML) Joe Machens VW28"/>
    <x v="24"/>
    <x v="3"/>
    <x v="1"/>
    <x v="1"/>
    <x v="19"/>
    <x v="1"/>
    <s v="https://tools.sig.systems/site/details/274"/>
    <s v="https://www.google.com/maps/d/viewer?hl=es&amp;mid=1C1oZdjH3dNvCvqdpIv_Lk0Yn1OCVn-4&amp;ll=38.965368114274455%2C-92.3405954&amp;z=15"/>
    <x v="1"/>
    <x v="0"/>
    <x v="3"/>
    <x v="8"/>
    <x v="0"/>
    <x v="17"/>
    <x v="11"/>
    <x v="19"/>
  </r>
  <r>
    <s v="(SCH) Chevrolet North Palm28"/>
    <x v="24"/>
    <x v="3"/>
    <x v="0"/>
    <x v="0"/>
    <x v="52"/>
    <x v="0"/>
    <s v="https://tools.sig.systems/site/details/160"/>
    <m/>
    <x v="3"/>
    <x v="0"/>
    <x v="39"/>
    <x v="0"/>
    <x v="0"/>
    <x v="6"/>
    <x v="38"/>
    <x v="52"/>
  </r>
  <r>
    <s v="(AS) Mercedes Benz/Porsche Dallas I,II,III (NO TOURS)28"/>
    <x v="24"/>
    <x v="4"/>
    <x v="1"/>
    <x v="1"/>
    <x v="2"/>
    <x v="1"/>
    <s v="https://tools.sig.systems/site/details/168"/>
    <s v="https://www.google.com/maps/d/edit?hl=es&amp;mid=1uPmsRMsXnp74hPFW2t-sp2totVWF_xY&amp;ll=32.83050137713022%2C-96.83197783061323&amp;z=17"/>
    <x v="1"/>
    <x v="0"/>
    <x v="2"/>
    <x v="0"/>
    <x v="2"/>
    <x v="2"/>
    <x v="2"/>
    <x v="2"/>
  </r>
  <r>
    <s v="(ML) Joe Machens Toyota28"/>
    <x v="24"/>
    <x v="4"/>
    <x v="1"/>
    <x v="1"/>
    <x v="18"/>
    <x v="1"/>
    <s v="https://tools.sig.systems/site/details/275"/>
    <s v="https://www.google.com/maps/d/viewer?hl=es&amp;mid=1C1oZdjH3dNvCvqdpIv_Lk0Yn1OCVn-4&amp;ll=38.965368114274455%2C-92.3405954&amp;z=15"/>
    <x v="1"/>
    <x v="0"/>
    <x v="3"/>
    <x v="7"/>
    <x v="0"/>
    <x v="16"/>
    <x v="11"/>
    <x v="18"/>
  </r>
  <r>
    <s v="(PE) JLR PDI (NO TOURS)28"/>
    <x v="24"/>
    <x v="4"/>
    <x v="4"/>
    <x v="0"/>
    <x v="50"/>
    <x v="0"/>
    <s v="https://tools.sig.systems/site/details/179"/>
    <s v="https://www.google.com/maps/d/viewer?mid=1ubI2iKs1JyYXssuT4oLPnVvFnyLPi_s&amp;ll=40.878808846788026%2C-73.98560655&amp;z=17"/>
    <x v="1"/>
    <x v="0"/>
    <x v="37"/>
    <x v="0"/>
    <x v="0"/>
    <x v="6"/>
    <x v="11"/>
    <x v="50"/>
  </r>
  <r>
    <s v="(AS) Park Place Sprinter Van Center (NO TOURS)28"/>
    <x v="24"/>
    <x v="5"/>
    <x v="1"/>
    <x v="1"/>
    <x v="6"/>
    <x v="1"/>
    <s v="https://tools.sig.systems/site/details/138"/>
    <s v="https://www.google.com/maps/d/edit?hl=es&amp;mid=1uPmsRMsXnp74hPFW2t-sp2totVWF_xY&amp;ll=32.83050137713022%2C-96.83197783061323&amp;z=17"/>
    <x v="1"/>
    <x v="0"/>
    <x v="6"/>
    <x v="0"/>
    <x v="0"/>
    <x v="6"/>
    <x v="6"/>
    <x v="6"/>
  </r>
  <r>
    <s v="(HUD) Honda of Southpoint28"/>
    <x v="24"/>
    <x v="5"/>
    <x v="0"/>
    <x v="0"/>
    <x v="11"/>
    <x v="0"/>
    <s v="https://tools.sig.systems/site/details/195"/>
    <m/>
    <x v="0"/>
    <x v="0"/>
    <x v="10"/>
    <x v="4"/>
    <x v="0"/>
    <x v="10"/>
    <x v="11"/>
    <x v="11"/>
  </r>
  <r>
    <s v="(KG) Big Star Honda28"/>
    <x v="24"/>
    <x v="5"/>
    <x v="1"/>
    <x v="1"/>
    <x v="72"/>
    <x v="1"/>
    <s v="https://tools.sig.systems/site/details/231"/>
    <m/>
    <x v="1"/>
    <x v="0"/>
    <x v="53"/>
    <x v="0"/>
    <x v="0"/>
    <x v="48"/>
    <x v="54"/>
    <x v="72"/>
  </r>
  <r>
    <s v="(ML) Joe Machens E Collision Center28"/>
    <x v="24"/>
    <x v="5"/>
    <x v="1"/>
    <x v="1"/>
    <x v="76"/>
    <x v="1"/>
    <s v="https://tools.sig.systems/site/details/277"/>
    <s v="https://www.google.com/maps/d/viewer?hl=es&amp;mid=1C1oZdjH3dNvCvqdpIv_Lk0Yn1OCVn-4&amp;ll=38.965368114274455%2C-92.3405954&amp;z=15"/>
    <x v="1"/>
    <x v="0"/>
    <x v="6"/>
    <x v="0"/>
    <x v="0"/>
    <x v="51"/>
    <x v="57"/>
    <x v="76"/>
  </r>
  <r>
    <s v="(SCH) Prep Center Delray28"/>
    <x v="24"/>
    <x v="5"/>
    <x v="0"/>
    <x v="0"/>
    <x v="53"/>
    <x v="0"/>
    <s v="https://tools.sig.systems/site/details/321"/>
    <m/>
    <x v="1"/>
    <x v="0"/>
    <x v="40"/>
    <x v="0"/>
    <x v="0"/>
    <x v="6"/>
    <x v="39"/>
    <x v="53"/>
  </r>
  <r>
    <s v="(AS) Atwell Prep Center-Dallas (NO TOURS)28"/>
    <x v="24"/>
    <x v="6"/>
    <x v="1"/>
    <x v="1"/>
    <x v="86"/>
    <x v="1"/>
    <s v="https://tools.sig.systems/site/details/165"/>
    <s v="https://www.google.com/maps/d/edit?hl=es&amp;mid=1uPmsRMsXnp74hPFW2t-sp2totVWF_xY&amp;ll=32.83050137713022%2C-96.83197783061323&amp;z=17"/>
    <x v="1"/>
    <x v="0"/>
    <x v="61"/>
    <x v="0"/>
    <x v="0"/>
    <x v="6"/>
    <x v="28"/>
    <x v="86"/>
  </r>
  <r>
    <s v="(AS) Mike Shaw Subaru Greeley (NO TOURS)28"/>
    <x v="24"/>
    <x v="6"/>
    <x v="3"/>
    <x v="2"/>
    <x v="91"/>
    <x v="3"/>
    <s v="https://tools.sig.systems/site/details/174"/>
    <s v="https://www.google.com/maps/d/viewer?mid=1gN2lJ0iT7m5VNhD7aDcxE8AdXqtcOZc&amp;ll=40.396096737592195%2C-104.746842&amp;z=16"/>
    <x v="1"/>
    <x v="0"/>
    <x v="65"/>
    <x v="32"/>
    <x v="0"/>
    <x v="61"/>
    <x v="11"/>
    <x v="91"/>
  </r>
  <r>
    <s v="(AS) Park Place Mercedes Benz Ft. Worth (NO TOURS)28"/>
    <x v="24"/>
    <x v="6"/>
    <x v="1"/>
    <x v="1"/>
    <x v="5"/>
    <x v="1"/>
    <s v="https://tools.sig.systems/site/details/137"/>
    <s v="https://www.google.com/maps/d/edit?mid=18OEO_KbvYcgI3N1jE4gTMXfNHTNDrFU&amp;ll=32.66603989958274%2C-97.42021198201722&amp;z=18"/>
    <x v="1"/>
    <x v="0"/>
    <x v="5"/>
    <x v="0"/>
    <x v="4"/>
    <x v="5"/>
    <x v="5"/>
    <x v="5"/>
  </r>
  <r>
    <s v="(ML) Joe Machens Temporary 2.028"/>
    <x v="24"/>
    <x v="6"/>
    <x v="1"/>
    <x v="1"/>
    <x v="44"/>
    <x v="1"/>
    <s v="https://tools.sig.systems/site/details/278"/>
    <s v="https://www.google.com/maps/d/viewer?hl=es&amp;mid=1C1oZdjH3dNvCvqdpIv_Lk0Yn1OCVn-4&amp;ll=38.965368114274455%2C-92.3405954&amp;z=15"/>
    <x v="1"/>
    <x v="0"/>
    <x v="3"/>
    <x v="17"/>
    <x v="0"/>
    <x v="33"/>
    <x v="11"/>
    <x v="44"/>
  </r>
  <r>
    <s v="(SCH) Auto Body Shop Lake Park28"/>
    <x v="24"/>
    <x v="6"/>
    <x v="0"/>
    <x v="0"/>
    <x v="83"/>
    <x v="0"/>
    <s v="https://tools.sig.systems/site/details/158"/>
    <m/>
    <x v="1"/>
    <x v="0"/>
    <x v="59"/>
    <x v="0"/>
    <x v="0"/>
    <x v="6"/>
    <x v="11"/>
    <x v="83"/>
  </r>
  <r>
    <s v="(AS) Courtesy Honda Palm Harbor (NO TOURS)28"/>
    <x v="24"/>
    <x v="7"/>
    <x v="0"/>
    <x v="0"/>
    <x v="88"/>
    <x v="0"/>
    <s v="https://tools.sig.systems/site/details/176"/>
    <m/>
    <x v="3"/>
    <x v="0"/>
    <x v="63"/>
    <x v="0"/>
    <x v="0"/>
    <x v="58"/>
    <x v="24"/>
    <x v="88"/>
  </r>
  <r>
    <s v="(AS) Nalley Lexus &amp; Remote Lot Roswell (NO TOURS)28"/>
    <x v="24"/>
    <x v="7"/>
    <x v="2"/>
    <x v="0"/>
    <x v="4"/>
    <x v="2"/>
    <s v="https://tools.sig.systems/site/details/131"/>
    <s v="https://www.google.com/maps/d/edit?mid=1jkN3DS1BhUqp_dztjjW0PDwKfo_Yxsw&amp;usp=sharing"/>
    <x v="1"/>
    <x v="1"/>
    <x v="4"/>
    <x v="1"/>
    <x v="3"/>
    <x v="4"/>
    <x v="4"/>
    <x v="4"/>
  </r>
  <r>
    <s v="(AS) Park Place Bodywerks Dallas (NO TOURS)28"/>
    <x v="24"/>
    <x v="7"/>
    <x v="1"/>
    <x v="1"/>
    <x v="59"/>
    <x v="1"/>
    <s v="https://tools.sig.systems/site/details/166"/>
    <s v="https://www.google.com/maps/d/edit?hl=es&amp;mid=1uPmsRMsXnp74hPFW2t-sp2totVWF_xY&amp;ll=32.83050137713022%2C-96.83197783061323&amp;z=17"/>
    <x v="1"/>
    <x v="0"/>
    <x v="44"/>
    <x v="9"/>
    <x v="0"/>
    <x v="6"/>
    <x v="45"/>
    <x v="59"/>
  </r>
  <r>
    <s v="(ML) Joe Machens Nissan28"/>
    <x v="24"/>
    <x v="7"/>
    <x v="1"/>
    <x v="1"/>
    <x v="78"/>
    <x v="1"/>
    <s v="https://tools.sig.systems/site/details/279"/>
    <s v="https://www.google.com/maps/d/viewer?hl=es&amp;mid=1C1oZdjH3dNvCvqdpIv_Lk0Yn1OCVn-4&amp;ll=38.965368114274455%2C-92.3405954&amp;z=15"/>
    <x v="1"/>
    <x v="0"/>
    <x v="3"/>
    <x v="28"/>
    <x v="0"/>
    <x v="6"/>
    <x v="11"/>
    <x v="78"/>
  </r>
  <r>
    <s v="(AS) Park Place MB Recon Center Dallas (NO TOURS)28"/>
    <x v="24"/>
    <x v="8"/>
    <x v="1"/>
    <x v="1"/>
    <x v="60"/>
    <x v="1"/>
    <s v="https://tools.sig.systems/site/details/170"/>
    <s v="https://www.google.com/maps/d/edit?hl=es&amp;mid=1uPmsRMsXnp74hPFW2t-sp2totVWF_xY&amp;ll=32.83050137713022%2C-96.83197783061323&amp;z=17"/>
    <x v="1"/>
    <x v="0"/>
    <x v="45"/>
    <x v="0"/>
    <x v="0"/>
    <x v="40"/>
    <x v="19"/>
    <x v="60"/>
  </r>
  <r>
    <s v="(ML) Joe Machens Kia of Columbia28"/>
    <x v="24"/>
    <x v="8"/>
    <x v="1"/>
    <x v="1"/>
    <x v="107"/>
    <x v="1"/>
    <s v="https://tools.sig.systems/site/details/270"/>
    <s v="https://www.google.com/maps/d/viewer?hl=es&amp;mid=1C1oZdjH3dNvCvqdpIv_Lk0Yn1OCVn-4&amp;ll=38.965368114274455%2C-92.3405954&amp;z=15"/>
    <x v="1"/>
    <x v="0"/>
    <x v="3"/>
    <x v="39"/>
    <x v="0"/>
    <x v="6"/>
    <x v="78"/>
    <x v="106"/>
  </r>
  <r>
    <s v="(SCH) Delray I &amp; II28"/>
    <x v="24"/>
    <x v="8"/>
    <x v="0"/>
    <x v="0"/>
    <x v="26"/>
    <x v="0"/>
    <s v="https://tools.sig.systems/site/details/159"/>
    <m/>
    <x v="3"/>
    <x v="0"/>
    <x v="21"/>
    <x v="11"/>
    <x v="6"/>
    <x v="6"/>
    <x v="22"/>
    <x v="26"/>
  </r>
  <r>
    <s v="(WAG) Greeley Chrysler Dodge Jeep Ram (NO TOURS)28"/>
    <x v="24"/>
    <x v="8"/>
    <x v="3"/>
    <x v="2"/>
    <x v="115"/>
    <x v="3"/>
    <s v="https://tools.sig.systems/site/details/130"/>
    <s v="https://www.google.com/maps/d/viewer?mid=1gN2lJ0iT7m5VNhD7aDcxE8AdXqtcOZc&amp;ll=40.396096737592195%2C-104.746842&amp;z=16"/>
    <x v="1"/>
    <x v="0"/>
    <x v="77"/>
    <x v="42"/>
    <x v="0"/>
    <x v="77"/>
    <x v="85"/>
    <x v="114"/>
  </r>
  <r>
    <s v="(SCH) West Palm Beach I, II &amp; III28"/>
    <x v="24"/>
    <x v="9"/>
    <x v="6"/>
    <x v="0"/>
    <x v="54"/>
    <x v="0"/>
    <s v="https://tools.sig.systems/site/details/162"/>
    <m/>
    <x v="3"/>
    <x v="2"/>
    <x v="41"/>
    <x v="20"/>
    <x v="10"/>
    <x v="6"/>
    <x v="40"/>
    <x v="54"/>
  </r>
  <r>
    <s v="(AS) Coggin Honda Ft. Pierce (NO TOURS)28"/>
    <x v="24"/>
    <x v="10"/>
    <x v="0"/>
    <x v="0"/>
    <x v="0"/>
    <x v="0"/>
    <s v="https://tools.sig.systems/site/details/120"/>
    <s v="https://www.google.com/maps/d/viewer?mid=1AyViBuyeq7iwDua1SVudJ2A1BYi3IBA&amp;ll=27.38181516363982%2C-80.32568845000002&amp;z=18"/>
    <x v="0"/>
    <x v="0"/>
    <x v="0"/>
    <x v="0"/>
    <x v="0"/>
    <x v="0"/>
    <x v="0"/>
    <x v="0"/>
  </r>
  <r>
    <s v="(AS) David McDavid Lincoln Frisco (NO TOURS)28"/>
    <x v="24"/>
    <x v="10"/>
    <x v="1"/>
    <x v="1"/>
    <x v="58"/>
    <x v="1"/>
    <s v="https://tools.sig.systems/site/details/182"/>
    <m/>
    <x v="1"/>
    <x v="0"/>
    <x v="43"/>
    <x v="0"/>
    <x v="0"/>
    <x v="39"/>
    <x v="44"/>
    <x v="58"/>
  </r>
  <r>
    <s v="(AS) Nalley BMW Collision Center (NO TOURS)28"/>
    <x v="24"/>
    <x v="10"/>
    <x v="0"/>
    <x v="0"/>
    <x v="3"/>
    <x v="0"/>
    <s v="https://tools.sig.systems/site/details/220"/>
    <m/>
    <x v="1"/>
    <x v="0"/>
    <x v="3"/>
    <x v="1"/>
    <x v="0"/>
    <x v="3"/>
    <x v="3"/>
    <x v="3"/>
  </r>
  <r>
    <s v="(DT) Albuquerque28"/>
    <x v="24"/>
    <x v="10"/>
    <x v="3"/>
    <x v="2"/>
    <x v="35"/>
    <x v="3"/>
    <s v="https://tools.sig.systems/site/details/237"/>
    <m/>
    <x v="1"/>
    <x v="0"/>
    <x v="27"/>
    <x v="0"/>
    <x v="0"/>
    <x v="27"/>
    <x v="29"/>
    <x v="35"/>
  </r>
  <r>
    <s v="(ML) Volvo Collision Corp28"/>
    <x v="24"/>
    <x v="10"/>
    <x v="1"/>
    <x v="1"/>
    <x v="47"/>
    <x v="1"/>
    <s v="https://tools.sig.systems/site/details/223"/>
    <m/>
    <x v="1"/>
    <x v="0"/>
    <x v="35"/>
    <x v="1"/>
    <x v="0"/>
    <x v="35"/>
    <x v="11"/>
    <x v="47"/>
  </r>
  <r>
    <s v="(PE) Fairfield Collision (NO TOURS)28"/>
    <x v="24"/>
    <x v="10"/>
    <x v="4"/>
    <x v="0"/>
    <x v="22"/>
    <x v="0"/>
    <s v="https://tools.sig.systems/site/details/191"/>
    <m/>
    <x v="1"/>
    <x v="0"/>
    <x v="18"/>
    <x v="0"/>
    <x v="0"/>
    <x v="6"/>
    <x v="18"/>
    <x v="22"/>
  </r>
  <r>
    <s v="(HUD) Acura of Greensboro28"/>
    <x v="24"/>
    <x v="11"/>
    <x v="0"/>
    <x v="0"/>
    <x v="99"/>
    <x v="0"/>
    <s v="https://tools.sig.systems/site/details/213"/>
    <s v="https://www.google.com/maps/d/viewer?mid=1ejOzT7-x6RWnCf83BBP7XhiOiwEX3Wk&amp;ll=0%2C0&amp;z=17"/>
    <x v="1"/>
    <x v="0"/>
    <x v="69"/>
    <x v="0"/>
    <x v="0"/>
    <x v="67"/>
    <x v="71"/>
    <x v="98"/>
  </r>
  <r>
    <s v="(KG) Big Star CDJR of Clear Lake28"/>
    <x v="24"/>
    <x v="11"/>
    <x v="1"/>
    <x v="1"/>
    <x v="101"/>
    <x v="1"/>
    <s v="https://tools.sig.systems/site/details/232"/>
    <s v="https://www.google.com/maps/d/edit?mid=1DRwy5fy1g5UzGTA7a1OkQA-_CY8SQ2s&amp;usp=sharing"/>
    <x v="1"/>
    <x v="0"/>
    <x v="71"/>
    <x v="0"/>
    <x v="0"/>
    <x v="69"/>
    <x v="73"/>
    <x v="100"/>
  </r>
  <r>
    <s v="(KG) Big Star Ford28"/>
    <x v="24"/>
    <x v="11"/>
    <x v="1"/>
    <x v="1"/>
    <x v="102"/>
    <x v="1"/>
    <s v="https://tools.sig.systems/site/details/235"/>
    <m/>
    <x v="1"/>
    <x v="0"/>
    <x v="72"/>
    <x v="0"/>
    <x v="0"/>
    <x v="70"/>
    <x v="74"/>
    <x v="101"/>
  </r>
  <r>
    <s v="(MK) McKenny Salinas Honda28"/>
    <x v="24"/>
    <x v="11"/>
    <x v="0"/>
    <x v="0"/>
    <x v="104"/>
    <x v="0"/>
    <s v="https://tools.sig.systems/site/details/149"/>
    <m/>
    <x v="1"/>
    <x v="0"/>
    <x v="3"/>
    <x v="37"/>
    <x v="0"/>
    <x v="6"/>
    <x v="75"/>
    <x v="103"/>
  </r>
  <r>
    <s v="(PE) Mercedes Benz &amp; Smart Bldg. of Fairfield (NO TOURS)28"/>
    <x v="24"/>
    <x v="11"/>
    <x v="4"/>
    <x v="0"/>
    <x v="23"/>
    <x v="0"/>
    <s v="https://tools.sig.systems/site/details/192"/>
    <s v="https://www.google.com/maps/d/viewer?mid=1FEo41PzFJQjUIXXKitX5TNCtuqR6Vbs&amp;ll=41.1663376742533%2C-73.22955662049608&amp;z=16"/>
    <x v="1"/>
    <x v="0"/>
    <x v="3"/>
    <x v="9"/>
    <x v="0"/>
    <x v="20"/>
    <x v="19"/>
    <x v="23"/>
  </r>
  <r>
    <s v="(AS) David McDavid Honda I &amp; II (NO TOURS)28"/>
    <x v="24"/>
    <x v="12"/>
    <x v="1"/>
    <x v="1"/>
    <x v="90"/>
    <x v="1"/>
    <s v="https://tools.sig.systems/site/details/129"/>
    <m/>
    <x v="1"/>
    <x v="0"/>
    <x v="3"/>
    <x v="31"/>
    <x v="0"/>
    <x v="60"/>
    <x v="63"/>
    <x v="90"/>
  </r>
  <r>
    <s v="(AS) Plano Auction (NO SPEAKERS)28"/>
    <x v="24"/>
    <x v="12"/>
    <x v="1"/>
    <x v="1"/>
    <x v="94"/>
    <x v="1"/>
    <s v="https://tools.sig.systems/site/details/140"/>
    <m/>
    <x v="1"/>
    <x v="0"/>
    <x v="3"/>
    <x v="34"/>
    <x v="0"/>
    <x v="64"/>
    <x v="66"/>
    <x v="94"/>
  </r>
  <r>
    <s v="(HUD) BMW of Greensboro28"/>
    <x v="24"/>
    <x v="12"/>
    <x v="0"/>
    <x v="0"/>
    <x v="100"/>
    <x v="0"/>
    <s v="https://tools.sig.systems/site/details/219"/>
    <s v="https://www.google.com/maps/d/viewer?mid=1ejOzT7-x6RWnCf83BBP7XhiOiwEX3Wk&amp;ll=36.061264791292906%2C-79.87437695000003&amp;z=17"/>
    <x v="1"/>
    <x v="0"/>
    <x v="70"/>
    <x v="0"/>
    <x v="0"/>
    <x v="68"/>
    <x v="72"/>
    <x v="99"/>
  </r>
  <r>
    <s v="(AS) Coggin Mercedes Benz Ft Pierce (NO TOURS)28"/>
    <x v="24"/>
    <x v="13"/>
    <x v="0"/>
    <x v="0"/>
    <x v="28"/>
    <x v="0"/>
    <s v="https://tools.sig.systems/site/details/127"/>
    <s v="https://www.google.com/maps/d/viewer?mid=1AyViBuyeq7iwDua1SVudJ2A1BYi3IBA&amp;ll=27.38181516363982%2C-80.32568845000002&amp;z=18"/>
    <x v="1"/>
    <x v="0"/>
    <x v="22"/>
    <x v="13"/>
    <x v="0"/>
    <x v="22"/>
    <x v="23"/>
    <x v="28"/>
  </r>
  <r>
    <s v="(DT) El Cajon (NO TOURS)28"/>
    <x v="24"/>
    <x v="13"/>
    <x v="5"/>
    <x v="4"/>
    <x v="66"/>
    <x v="4"/>
    <s v="https://tools.sig.systems/site/details/241"/>
    <m/>
    <x v="1"/>
    <x v="0"/>
    <x v="3"/>
    <x v="16"/>
    <x v="0"/>
    <x v="6"/>
    <x v="11"/>
    <x v="66"/>
  </r>
  <r>
    <s v="(KG) Truck Center Remote Storage Lot28"/>
    <x v="24"/>
    <x v="13"/>
    <x v="2"/>
    <x v="2"/>
    <x v="14"/>
    <x v="2"/>
    <s v="https://tools.sig.systems/site/details/144"/>
    <m/>
    <x v="1"/>
    <x v="0"/>
    <x v="13"/>
    <x v="5"/>
    <x v="0"/>
    <x v="12"/>
    <x v="14"/>
    <x v="14"/>
  </r>
  <r>
    <s v="(ML) McLarty-Gray Daniels Chevrolet28"/>
    <x v="24"/>
    <x v="13"/>
    <x v="1"/>
    <x v="1"/>
    <x v="109"/>
    <x v="1"/>
    <s v="https://tools.sig.systems/site/details/150"/>
    <m/>
    <x v="1"/>
    <x v="0"/>
    <x v="74"/>
    <x v="0"/>
    <x v="0"/>
    <x v="73"/>
    <x v="80"/>
    <x v="108"/>
  </r>
  <r>
    <s v="(AS) Lexus Plano I &amp; II (NO TOURS)28"/>
    <x v="24"/>
    <x v="14"/>
    <x v="1"/>
    <x v="1"/>
    <x v="1"/>
    <x v="1"/>
    <s v="https://tools.sig.systems/site/details/167"/>
    <s v="https://www.google.com/maps/d/viewer?mid=1wg5suxVuxeNp_irHlvN772HcwD6W89E&amp;ll=33.06373951220261%2C-96.82758025000001&amp;z=18"/>
    <x v="1"/>
    <x v="0"/>
    <x v="1"/>
    <x v="0"/>
    <x v="1"/>
    <x v="1"/>
    <x v="1"/>
    <x v="1"/>
  </r>
  <r>
    <s v="(AS) Stevinson JLR (NO TOURS)28"/>
    <x v="24"/>
    <x v="14"/>
    <x v="3"/>
    <x v="2"/>
    <x v="64"/>
    <x v="3"/>
    <s v="https://tools.sig.systems/site/details/204"/>
    <m/>
    <x v="1"/>
    <x v="0"/>
    <x v="49"/>
    <x v="1"/>
    <x v="0"/>
    <x v="44"/>
    <x v="48"/>
    <x v="64"/>
  </r>
  <r>
    <s v="(HUD) CDJR of Greensboro28"/>
    <x v="24"/>
    <x v="14"/>
    <x v="0"/>
    <x v="0"/>
    <x v="68"/>
    <x v="6"/>
    <s v="https://tools.sig.systems/site/details/215"/>
    <s v="https://www.google.com/maps/d/viewer?mid=1ejOzT7-x6RWnCf83BBP7XhiOiwEX3Wk&amp;ll=36.061264791292906%2C-79.87437695000003&amp;z=17"/>
    <x v="3"/>
    <x v="0"/>
    <x v="50"/>
    <x v="0"/>
    <x v="0"/>
    <x v="45"/>
    <x v="51"/>
    <x v="68"/>
  </r>
  <r>
    <s v="(AS) Coggin Acura Ft Pierce (NO TOURS)28"/>
    <x v="24"/>
    <x v="15"/>
    <x v="0"/>
    <x v="0"/>
    <x v="27"/>
    <x v="0"/>
    <s v="https://tools.sig.systems/site/details/118"/>
    <s v="https://www.google.com/maps/d/viewer?mid=1AyViBuyeq7iwDua1SVudJ2A1BYi3IBA&amp;ll=27.38181516363982%2C-80.32568845000002&amp;z=18"/>
    <x v="1"/>
    <x v="0"/>
    <x v="3"/>
    <x v="12"/>
    <x v="0"/>
    <x v="21"/>
    <x v="19"/>
    <x v="27"/>
  </r>
  <r>
    <s v="(HUD) Honda Greensboro28"/>
    <x v="24"/>
    <x v="15"/>
    <x v="0"/>
    <x v="0"/>
    <x v="37"/>
    <x v="0"/>
    <s v="https://tools.sig.systems/site/details/230"/>
    <s v="AS/ HUD - Crown Greensboro - Google My Maps"/>
    <x v="1"/>
    <x v="0"/>
    <x v="28"/>
    <x v="0"/>
    <x v="0"/>
    <x v="28"/>
    <x v="31"/>
    <x v="37"/>
  </r>
  <r>
    <s v="(ML) Honda of Little Rock28"/>
    <x v="24"/>
    <x v="15"/>
    <x v="1"/>
    <x v="1"/>
    <x v="16"/>
    <x v="1"/>
    <s v="https://tools.sig.systems/site/details/249"/>
    <s v="https://www.google.com/maps/d/viewer?mid=1hvbKFMO-d5TXrKGU-g5dt_xcdArB1D0&amp;ll=34.71147784120261%2C-92.40574350000001&amp;z=17"/>
    <x v="1"/>
    <x v="0"/>
    <x v="15"/>
    <x v="0"/>
    <x v="0"/>
    <x v="14"/>
    <x v="15"/>
    <x v="16"/>
  </r>
  <r>
    <s v="(ML) McLarty Gray-Daniels Toyota Nissan28"/>
    <x v="24"/>
    <x v="15"/>
    <x v="1"/>
    <x v="1"/>
    <x v="108"/>
    <x v="1"/>
    <s v="https://tools.sig.systems/site/details/152"/>
    <s v="https://www.google.com/maps/d/edit?mid=111nhCL4Xjj2Pq0zP5xUrMzHQqAihqa0&amp;usp=sharing"/>
    <x v="1"/>
    <x v="0"/>
    <x v="3"/>
    <x v="40"/>
    <x v="0"/>
    <x v="72"/>
    <x v="79"/>
    <x v="107"/>
  </r>
  <r>
    <s v="(AS) Audi of North Atlanta (NO TOURS)28"/>
    <x v="24"/>
    <x v="16"/>
    <x v="0"/>
    <x v="0"/>
    <x v="87"/>
    <x v="0"/>
    <s v="https://tools.sig.systems/site/details/124"/>
    <s v="https://www.google.com/maps/d/edit?mid=1jkN3DS1BhUqp_dztjjW0PDwKfo_Yxsw&amp;usp=sharing"/>
    <x v="1"/>
    <x v="0"/>
    <x v="62"/>
    <x v="0"/>
    <x v="0"/>
    <x v="57"/>
    <x v="61"/>
    <x v="87"/>
  </r>
  <r>
    <s v="(ML) McLarty Gray-Daniels Ford Lincoln28"/>
    <x v="24"/>
    <x v="16"/>
    <x v="1"/>
    <x v="1"/>
    <x v="79"/>
    <x v="1"/>
    <s v="https://tools.sig.systems/site/details/151"/>
    <s v="https://www.google.com/maps/d/edit?mid=111nhCL4Xjj2Pq0zP5xUrMzHQqAihqa0&amp;usp=sharing"/>
    <x v="1"/>
    <x v="0"/>
    <x v="56"/>
    <x v="29"/>
    <x v="0"/>
    <x v="53"/>
    <x v="57"/>
    <x v="79"/>
  </r>
  <r>
    <s v="(ML) Nissan of Little Rock28"/>
    <x v="24"/>
    <x v="16"/>
    <x v="1"/>
    <x v="1"/>
    <x v="46"/>
    <x v="1"/>
    <s v="https://tools.sig.systems/site/details/224"/>
    <s v="https://www.google.com/maps/d/viewer?mid=1hvbKFMO-d5TXrKGU-g5dt_xcdArB1D0&amp;ll=34.71147784120261%2C-92.40574350000001&amp;z=17"/>
    <x v="1"/>
    <x v="0"/>
    <x v="34"/>
    <x v="0"/>
    <x v="0"/>
    <x v="34"/>
    <x v="7"/>
    <x v="46"/>
  </r>
  <r>
    <s v="(ML) Nissan of North Little Rock28"/>
    <x v="24"/>
    <x v="16"/>
    <x v="1"/>
    <x v="1"/>
    <x v="20"/>
    <x v="1"/>
    <s v="https://tools.sig.systems/site/details/216"/>
    <s v="https://www.google.com/maps/d/edit?mid=1Oky35ERk_2kgyzCvDu_odQ2ZP62BtqA&amp;usp=sharing"/>
    <x v="1"/>
    <x v="0"/>
    <x v="16"/>
    <x v="0"/>
    <x v="0"/>
    <x v="18"/>
    <x v="17"/>
    <x v="20"/>
  </r>
  <r>
    <s v="(AS) Courtesy Kia of Brandon (NO TOURS)28"/>
    <x v="24"/>
    <x v="17"/>
    <x v="0"/>
    <x v="0"/>
    <x v="57"/>
    <x v="0"/>
    <s v="https://tools.sig.systems/site/details/121"/>
    <s v="https://www.google.com/maps/d/edit?mid=15R4hTDQx56ij99--JgozdqOIZh-kSlk&amp;usp=sharing"/>
    <x v="0"/>
    <x v="0"/>
    <x v="3"/>
    <x v="22"/>
    <x v="0"/>
    <x v="38"/>
    <x v="43"/>
    <x v="57"/>
  </r>
  <r>
    <s v="(AS) Nalley Luxury Collision Center (NO TOURS)28"/>
    <x v="24"/>
    <x v="17"/>
    <x v="0"/>
    <x v="0"/>
    <x v="31"/>
    <x v="0"/>
    <s v="https://tools.sig.systems/site/details/263"/>
    <s v="https://www.google.com/maps/d/edit?mid=1jkN3DS1BhUqp_dztjjW0PDwKfo_Yxsw&amp;usp=sharing"/>
    <x v="1"/>
    <x v="0"/>
    <x v="4"/>
    <x v="0"/>
    <x v="0"/>
    <x v="6"/>
    <x v="26"/>
    <x v="31"/>
  </r>
  <r>
    <s v="(DT) N. Houston28"/>
    <x v="24"/>
    <x v="17"/>
    <x v="1"/>
    <x v="1"/>
    <x v="9"/>
    <x v="1"/>
    <s v="https://tools.sig.systems/site/details/250"/>
    <m/>
    <x v="1"/>
    <x v="0"/>
    <x v="8"/>
    <x v="0"/>
    <x v="0"/>
    <x v="8"/>
    <x v="9"/>
    <x v="9"/>
  </r>
  <r>
    <s v="(KG) JLR LEHI (NO TOURS)28"/>
    <x v="24"/>
    <x v="17"/>
    <x v="3"/>
    <x v="2"/>
    <x v="73"/>
    <x v="3"/>
    <s v="https://tools.sig.systems/site/details/145"/>
    <m/>
    <x v="1"/>
    <x v="0"/>
    <x v="54"/>
    <x v="0"/>
    <x v="0"/>
    <x v="49"/>
    <x v="11"/>
    <x v="73"/>
  </r>
  <r>
    <s v="(ML) BMW of Little Rock28"/>
    <x v="24"/>
    <x v="17"/>
    <x v="1"/>
    <x v="1"/>
    <x v="105"/>
    <x v="1"/>
    <s v="https://tools.sig.systems/site/details/217"/>
    <s v="https://www.google.com/maps/d/viewer?mid=1hvbKFMO-d5TXrKGU-g5dt_xcdArB1D0&amp;ll=34.71147784120261%2C-92.40574350000001&amp;z=17"/>
    <x v="1"/>
    <x v="0"/>
    <x v="3"/>
    <x v="38"/>
    <x v="0"/>
    <x v="6"/>
    <x v="76"/>
    <x v="104"/>
  </r>
  <r>
    <s v="(AS) Park Place Acura (NO TOURS)28"/>
    <x v="24"/>
    <x v="18"/>
    <x v="1"/>
    <x v="1"/>
    <x v="32"/>
    <x v="1"/>
    <s v="https://tools.sig.systems/site/details/259"/>
    <s v="https://www.google.com/maps/d/viewer?mid=1wg5suxVuxeNp_irHlvN772HcwD6W89E&amp;ll=33.06373951220261%2C-96.82758025000001&amp;z=18"/>
    <x v="1"/>
    <x v="0"/>
    <x v="25"/>
    <x v="0"/>
    <x v="0"/>
    <x v="25"/>
    <x v="11"/>
    <x v="32"/>
  </r>
  <r>
    <s v="(AS) Stevinson Chevrolet Golden (NO TOURS)28"/>
    <x v="24"/>
    <x v="18"/>
    <x v="7"/>
    <x v="2"/>
    <x v="96"/>
    <x v="3"/>
    <s v="https://tools.sig.systems/site/details/264"/>
    <s v="https://www.google.com/maps/d/edit?mid=1nAyK85WaWREy0lfxnmWn3USs2gC0nP0&amp;usp=sharing"/>
    <x v="1"/>
    <x v="0"/>
    <x v="3"/>
    <x v="36"/>
    <x v="0"/>
    <x v="66"/>
    <x v="68"/>
    <x v="95"/>
  </r>
  <r>
    <s v="(DT) Colorado Springs (NO TOURS)28"/>
    <x v="24"/>
    <x v="18"/>
    <x v="3"/>
    <x v="2"/>
    <x v="65"/>
    <x v="3"/>
    <s v="https://tools.sig.systems/site/details/198"/>
    <m/>
    <x v="1"/>
    <x v="0"/>
    <x v="3"/>
    <x v="24"/>
    <x v="0"/>
    <x v="6"/>
    <x v="49"/>
    <x v="65"/>
  </r>
  <r>
    <s v="(KG) Clear Lake Pre-Owned28"/>
    <x v="24"/>
    <x v="18"/>
    <x v="1"/>
    <x v="1"/>
    <x v="39"/>
    <x v="1"/>
    <s v="https://tools.sig.systems/site/details/255"/>
    <s v="https://www.google.com/maps/d/edit?mid=1DRwy5fy1g5UzGTA7a1OkQA-_CY8SQ2s&amp;usp=sharing"/>
    <x v="1"/>
    <x v="0"/>
    <x v="29"/>
    <x v="0"/>
    <x v="0"/>
    <x v="29"/>
    <x v="32"/>
    <x v="39"/>
  </r>
  <r>
    <s v="(RV) Toms Camperland Surprise (NO TOURS)28"/>
    <x v="24"/>
    <x v="18"/>
    <x v="5"/>
    <x v="3"/>
    <x v="51"/>
    <x v="4"/>
    <s v="https://tools.sig.systems/site/details/254"/>
    <m/>
    <x v="5"/>
    <x v="0"/>
    <x v="38"/>
    <x v="0"/>
    <x v="0"/>
    <x v="6"/>
    <x v="37"/>
    <x v="51"/>
  </r>
  <r>
    <s v="(AS) Courtesy CDJR of Brandon (NO TOURS)28"/>
    <x v="24"/>
    <x v="19"/>
    <x v="0"/>
    <x v="0"/>
    <x v="56"/>
    <x v="0"/>
    <s v="https://tools.sig.systems/site/details/126"/>
    <s v="https://www.google.com/maps/d/edit?mid=15R4hTDQx56ij99--JgozdqOIZh-kSlk&amp;usp=sharing"/>
    <x v="0"/>
    <x v="0"/>
    <x v="42"/>
    <x v="9"/>
    <x v="0"/>
    <x v="37"/>
    <x v="42"/>
    <x v="56"/>
  </r>
  <r>
    <s v="(AS) Stevinson Toyota West (NO TOURS)28"/>
    <x v="24"/>
    <x v="19"/>
    <x v="3"/>
    <x v="2"/>
    <x v="8"/>
    <x v="3"/>
    <s v="https://tools.sig.systems/site/details/240"/>
    <s v="https://www.google.com/maps/d/edit?mid=1nAyK85WaWREy0lfxnmWn3USs2gC0nP0&amp;usp=sharing"/>
    <x v="1"/>
    <x v="0"/>
    <x v="3"/>
    <x v="3"/>
    <x v="0"/>
    <x v="7"/>
    <x v="8"/>
    <x v="8"/>
  </r>
  <r>
    <s v="(ML) Ford Lincoln of North Little Rock28"/>
    <x v="24"/>
    <x v="19"/>
    <x v="1"/>
    <x v="1"/>
    <x v="42"/>
    <x v="1"/>
    <s v="https://tools.sig.systems/site/details/214"/>
    <s v="https://www.google.com/maps/d/edit?mid=1Oky35ERk_2kgyzCvDu_odQ2ZP62BtqA&amp;usp=sharing"/>
    <x v="1"/>
    <x v="0"/>
    <x v="32"/>
    <x v="4"/>
    <x v="0"/>
    <x v="32"/>
    <x v="34"/>
    <x v="42"/>
  </r>
  <r>
    <s v="(AS) Plaza Lexus/Mercedes/BMW (NO TOURS)28"/>
    <x v="24"/>
    <x v="20"/>
    <x v="1"/>
    <x v="1"/>
    <x v="63"/>
    <x v="1"/>
    <s v="https://tools.sig.systems/site/details/141"/>
    <s v="https://www.google.com/maps/d/viewer?mid=1whGZ1PLqmhJnGFz8uigZqUL4cHGGW3w&amp;ll=38.668847686454825%2C-90.4433601&amp;z=17"/>
    <x v="1"/>
    <x v="0"/>
    <x v="48"/>
    <x v="23"/>
    <x v="0"/>
    <x v="43"/>
    <x v="47"/>
    <x v="63"/>
  </r>
  <r>
    <s v="(AS) Stevinson Lexus of Lakewood (NO TOURS)28"/>
    <x v="24"/>
    <x v="20"/>
    <x v="3"/>
    <x v="2"/>
    <x v="34"/>
    <x v="3"/>
    <s v="https://tools.sig.systems/site/details/260"/>
    <s v="https://www.google.com/maps/d/edit?mid=1nAyK85WaWREy0lfxnmWn3USs2gC0nP0&amp;usp=sharing"/>
    <x v="1"/>
    <x v="0"/>
    <x v="3"/>
    <x v="14"/>
    <x v="8"/>
    <x v="6"/>
    <x v="28"/>
    <x v="34"/>
  </r>
  <r>
    <s v="(KG) Kia of Phoenix (NO TOURS)28"/>
    <x v="24"/>
    <x v="20"/>
    <x v="5"/>
    <x v="3"/>
    <x v="40"/>
    <x v="4"/>
    <s v="https://tools.sig.systems/site/details/262"/>
    <m/>
    <x v="4"/>
    <x v="0"/>
    <x v="30"/>
    <x v="0"/>
    <x v="0"/>
    <x v="30"/>
    <x v="11"/>
    <x v="40"/>
  </r>
  <r>
    <s v="(ML) Toyota N Little Rock28"/>
    <x v="24"/>
    <x v="20"/>
    <x v="1"/>
    <x v="1"/>
    <x v="21"/>
    <x v="1"/>
    <s v="https://tools.sig.systems/site/details/201"/>
    <s v="https://www.google.com/maps/d/edit?mid=1Oky35ERk_2kgyzCvDu_odQ2ZP62BtqA&amp;usp=sharing"/>
    <x v="1"/>
    <x v="0"/>
    <x v="17"/>
    <x v="0"/>
    <x v="0"/>
    <x v="19"/>
    <x v="11"/>
    <x v="21"/>
  </r>
  <r>
    <s v="(TC) Tavernier Creek Marina (NO TOURS)28"/>
    <x v="24"/>
    <x v="20"/>
    <x v="0"/>
    <x v="0"/>
    <x v="84"/>
    <x v="1"/>
    <s v="https://tools.sig.systems/site/details/164"/>
    <m/>
    <x v="6"/>
    <x v="0"/>
    <x v="60"/>
    <x v="0"/>
    <x v="0"/>
    <x v="6"/>
    <x v="59"/>
    <x v="84"/>
  </r>
  <r>
    <s v="(AS) Courtesy Hyundai/Nissan Tampa (NO TOURS)28"/>
    <x v="24"/>
    <x v="21"/>
    <x v="0"/>
    <x v="0"/>
    <x v="89"/>
    <x v="0"/>
    <s v="https://tools.sig.systems/site/details/128"/>
    <m/>
    <x v="0"/>
    <x v="0"/>
    <x v="64"/>
    <x v="0"/>
    <x v="0"/>
    <x v="59"/>
    <x v="62"/>
    <x v="89"/>
  </r>
  <r>
    <s v="(AS) Plaza Audi/Infiniti (NO TOURS)28"/>
    <x v="24"/>
    <x v="21"/>
    <x v="1"/>
    <x v="1"/>
    <x v="95"/>
    <x v="1"/>
    <s v="https://tools.sig.systems/site/details/141"/>
    <s v="https://www.google.com/maps/d/viewer?mid=1whGZ1PLqmhJnGFz8uigZqUL4cHGGW3w&amp;ll=38.668847686454825%2C-90.4433601&amp;z=17"/>
    <x v="1"/>
    <x v="0"/>
    <x v="68"/>
    <x v="35"/>
    <x v="0"/>
    <x v="65"/>
    <x v="67"/>
    <x v="63"/>
  </r>
  <r>
    <s v="(DT) Escondido28"/>
    <x v="24"/>
    <x v="21"/>
    <x v="5"/>
    <x v="4"/>
    <x v="98"/>
    <x v="5"/>
    <s v="https://tools.sig.systems/site/details/196"/>
    <m/>
    <x v="1"/>
    <x v="4"/>
    <x v="20"/>
    <x v="0"/>
    <x v="0"/>
    <x v="6"/>
    <x v="70"/>
    <x v="97"/>
  </r>
  <r>
    <s v="(RV) Sonny's Camp N Travel Concord28"/>
    <x v="24"/>
    <x v="21"/>
    <x v="0"/>
    <x v="0"/>
    <x v="114"/>
    <x v="0"/>
    <s v="https://tools.sig.systems/site/details/183"/>
    <m/>
    <x v="1"/>
    <x v="0"/>
    <x v="6"/>
    <x v="0"/>
    <x v="0"/>
    <x v="76"/>
    <x v="84"/>
    <x v="113"/>
  </r>
  <r>
    <s v="(AS) Lexus Grapevine I &amp; II (NO TOURS)28"/>
    <x v="24"/>
    <x v="22"/>
    <x v="1"/>
    <x v="1"/>
    <x v="29"/>
    <x v="1"/>
    <s v="https://tools.sig.systems/site/details/136"/>
    <m/>
    <x v="1"/>
    <x v="0"/>
    <x v="23"/>
    <x v="0"/>
    <x v="7"/>
    <x v="23"/>
    <x v="24"/>
    <x v="29"/>
  </r>
  <r>
    <s v="(KG) Hyundai Surprise28"/>
    <x v="24"/>
    <x v="22"/>
    <x v="5"/>
    <x v="3"/>
    <x v="103"/>
    <x v="4"/>
    <s v="https://tools.sig.systems/site/details/269"/>
    <m/>
    <x v="4"/>
    <x v="0"/>
    <x v="73"/>
    <x v="0"/>
    <x v="0"/>
    <x v="71"/>
    <x v="11"/>
    <x v="102"/>
  </r>
  <r>
    <s v="(KT) Northwest CDJR (NO TOURS)28"/>
    <x v="24"/>
    <x v="22"/>
    <x v="1"/>
    <x v="1"/>
    <x v="15"/>
    <x v="1"/>
    <s v="https://tools.sig.systems/site/details/229"/>
    <m/>
    <x v="1"/>
    <x v="0"/>
    <x v="14"/>
    <x v="0"/>
    <x v="0"/>
    <x v="13"/>
    <x v="11"/>
    <x v="15"/>
  </r>
  <r>
    <s v="(AS) Bill Estes Ford (NO TOURS)28"/>
    <x v="24"/>
    <x v="23"/>
    <x v="0"/>
    <x v="0"/>
    <x v="55"/>
    <x v="0"/>
    <s v="https://tools.sig.systems/site/details/125"/>
    <m/>
    <x v="1"/>
    <x v="0"/>
    <x v="3"/>
    <x v="21"/>
    <x v="0"/>
    <x v="36"/>
    <x v="41"/>
    <x v="55"/>
  </r>
  <r>
    <s v="(DT) Wichita28"/>
    <x v="24"/>
    <x v="23"/>
    <x v="1"/>
    <x v="1"/>
    <x v="36"/>
    <x v="1"/>
    <s v="https://tools.sig.systems/site/details/257"/>
    <m/>
    <x v="1"/>
    <x v="0"/>
    <x v="3"/>
    <x v="15"/>
    <x v="0"/>
    <x v="6"/>
    <x v="30"/>
    <x v="36"/>
  </r>
  <r>
    <s v="(PE) Hudson Toyota Nissan CDJR (NO TOURS)28"/>
    <x v="24"/>
    <x v="23"/>
    <x v="4"/>
    <x v="0"/>
    <x v="81"/>
    <x v="0"/>
    <s v="https://tools.sig.systems/site/details/156"/>
    <m/>
    <x v="1"/>
    <x v="0"/>
    <x v="49"/>
    <x v="30"/>
    <x v="0"/>
    <x v="55"/>
    <x v="58"/>
    <x v="81"/>
  </r>
  <r>
    <s v="(RV) Toms Camperland Mesa (NO TOURS)28"/>
    <x v="24"/>
    <x v="23"/>
    <x v="5"/>
    <x v="3"/>
    <x v="25"/>
    <x v="4"/>
    <s v="https://tools.sig.systems/site/details/222"/>
    <m/>
    <x v="1"/>
    <x v="0"/>
    <x v="20"/>
    <x v="0"/>
    <x v="0"/>
    <x v="6"/>
    <x v="21"/>
    <x v="25"/>
  </r>
  <r>
    <s v="SIG Office28"/>
    <x v="24"/>
    <x v="23"/>
    <x v="2"/>
    <x v="0"/>
    <x v="85"/>
    <x v="2"/>
    <s v="https://tools.sig.systems/site/details/163"/>
    <m/>
    <x v="1"/>
    <x v="0"/>
    <x v="3"/>
    <x v="0"/>
    <x v="0"/>
    <x v="6"/>
    <x v="60"/>
    <x v="85"/>
  </r>
  <r>
    <s v="(ML) Joe Machens Ford Lincoln I &amp; II28"/>
    <x v="24"/>
    <x v="24"/>
    <x v="1"/>
    <x v="1"/>
    <x v="77"/>
    <x v="1"/>
    <s v="https://tools.sig.systems/site/details/266"/>
    <s v="https://www.google.com/maps/d/viewer?hl=es&amp;mid=1C1oZdjH3dNvCvqdpIv_Lk0Yn1OCVn-4&amp;ll=38.965368114274455%2C-92.3405954&amp;z=15"/>
    <x v="1"/>
    <x v="0"/>
    <x v="3"/>
    <x v="27"/>
    <x v="0"/>
    <x v="52"/>
    <x v="11"/>
    <x v="77"/>
  </r>
  <r>
    <s v="(ML) Mazda VW-Lot B28"/>
    <x v="24"/>
    <x v="24"/>
    <x v="1"/>
    <x v="1"/>
    <x v="45"/>
    <x v="1"/>
    <s v="https://tools.sig.systems/site/details/205"/>
    <s v="https://www.google.com/maps/d/edit?mid=1Oky35ERk_2kgyzCvDu_odQ2ZP62BtqA&amp;usp=sharing"/>
    <x v="1"/>
    <x v="0"/>
    <x v="33"/>
    <x v="9"/>
    <x v="0"/>
    <x v="30"/>
    <x v="11"/>
    <x v="45"/>
  </r>
  <r>
    <s v="(PE) BMW of Mamaroneck (NO TOURS)28"/>
    <x v="24"/>
    <x v="24"/>
    <x v="4"/>
    <x v="0"/>
    <x v="111"/>
    <x v="0"/>
    <s v="https://tools.sig.systems/site/details/185"/>
    <m/>
    <x v="1"/>
    <x v="0"/>
    <x v="76"/>
    <x v="41"/>
    <x v="0"/>
    <x v="6"/>
    <x v="82"/>
    <x v="110"/>
  </r>
  <r>
    <s v="(AS) Stevinson Porsche of Littleton (NO TOURS)28"/>
    <x v="24"/>
    <x v="25"/>
    <x v="3"/>
    <x v="2"/>
    <x v="7"/>
    <x v="3"/>
    <s v="https://tools.sig.systems/site/details/242"/>
    <m/>
    <x v="1"/>
    <x v="0"/>
    <x v="7"/>
    <x v="2"/>
    <x v="0"/>
    <x v="6"/>
    <x v="7"/>
    <x v="7"/>
  </r>
  <r>
    <s v="(DT) W Houston28"/>
    <x v="24"/>
    <x v="25"/>
    <x v="1"/>
    <x v="1"/>
    <x v="10"/>
    <x v="1"/>
    <s v="https://tools.sig.systems/site/details/197"/>
    <m/>
    <x v="1"/>
    <x v="0"/>
    <x v="9"/>
    <x v="2"/>
    <x v="0"/>
    <x v="9"/>
    <x v="10"/>
    <x v="10"/>
  </r>
  <r>
    <s v="(KG) Baytown GMC Buick - Remote Lot (NO TOURS)28"/>
    <x v="24"/>
    <x v="25"/>
    <x v="2"/>
    <x v="1"/>
    <x v="70"/>
    <x v="2"/>
    <s v="https://tools.sig.systems/site/details/311"/>
    <m/>
    <x v="1"/>
    <x v="3"/>
    <x v="3"/>
    <x v="25"/>
    <x v="0"/>
    <x v="6"/>
    <x v="11"/>
    <x v="70"/>
  </r>
  <r>
    <s v="(KG) Baytown GMC Buick (NO TOURS)28"/>
    <x v="24"/>
    <x v="25"/>
    <x v="1"/>
    <x v="1"/>
    <x v="71"/>
    <x v="1"/>
    <s v="https://tools.sig.systems/site/details/239"/>
    <m/>
    <x v="1"/>
    <x v="0"/>
    <x v="52"/>
    <x v="0"/>
    <x v="0"/>
    <x v="47"/>
    <x v="53"/>
    <x v="71"/>
  </r>
  <r>
    <s v="(ML) Collision Center N Little Rock28"/>
    <x v="24"/>
    <x v="25"/>
    <x v="1"/>
    <x v="1"/>
    <x v="106"/>
    <x v="1"/>
    <s v="https://tools.sig.systems/site/details/212"/>
    <s v="https://www.google.com/maps/d/edit?mid=1Oky35ERk_2kgyzCvDu_odQ2ZP62BtqA&amp;usp=sharing"/>
    <x v="1"/>
    <x v="0"/>
    <x v="3"/>
    <x v="0"/>
    <x v="0"/>
    <x v="6"/>
    <x v="77"/>
    <x v="105"/>
  </r>
  <r>
    <s v="(PE) BMW Tenafly (NO TOURS)28"/>
    <x v="24"/>
    <x v="25"/>
    <x v="4"/>
    <x v="0"/>
    <x v="48"/>
    <x v="0"/>
    <s v="https://tools.sig.systems/site/details/155"/>
    <m/>
    <x v="1"/>
    <x v="0"/>
    <x v="36"/>
    <x v="18"/>
    <x v="0"/>
    <x v="6"/>
    <x v="19"/>
    <x v="48"/>
  </r>
  <r>
    <s v="(AS) Park Place JLR DFW Airport (NO TOURS)28"/>
    <x v="24"/>
    <x v="26"/>
    <x v="1"/>
    <x v="1"/>
    <x v="93"/>
    <x v="1"/>
    <s v="https://tools.sig.systems/site/details/135"/>
    <m/>
    <x v="1"/>
    <x v="0"/>
    <x v="67"/>
    <x v="33"/>
    <x v="13"/>
    <x v="63"/>
    <x v="65"/>
    <x v="93"/>
  </r>
  <r>
    <s v="(DT) Louisville28"/>
    <x v="24"/>
    <x v="26"/>
    <x v="0"/>
    <x v="0"/>
    <x v="67"/>
    <x v="0"/>
    <s v="https://tools.sig.systems/site/details/258"/>
    <m/>
    <x v="1"/>
    <x v="0"/>
    <x v="3"/>
    <x v="16"/>
    <x v="0"/>
    <x v="6"/>
    <x v="50"/>
    <x v="67"/>
  </r>
  <r>
    <s v="(ML) Joe Machens Capital City I &amp; II (NO TOURS)28"/>
    <x v="24"/>
    <x v="26"/>
    <x v="1"/>
    <x v="1"/>
    <x v="17"/>
    <x v="1"/>
    <s v="https://tools.sig.systems/site/details/271"/>
    <m/>
    <x v="1"/>
    <x v="0"/>
    <x v="3"/>
    <x v="6"/>
    <x v="0"/>
    <x v="15"/>
    <x v="16"/>
    <x v="17"/>
  </r>
  <r>
    <s v="(PE) JLR Darien PDI (NO TOURS)28"/>
    <x v="24"/>
    <x v="26"/>
    <x v="4"/>
    <x v="0"/>
    <x v="112"/>
    <x v="0"/>
    <s v="https://tools.sig.systems/site/details/187"/>
    <s v="https://www.google.com/maps/d/viewer?mid=1ebZp8DeTYSXNPgDIA63nFVDu9ohaO4E&amp;ll=41.08027837958441%2C-73.46597874999999&amp;z=15"/>
    <x v="1"/>
    <x v="0"/>
    <x v="6"/>
    <x v="0"/>
    <x v="0"/>
    <x v="74"/>
    <x v="83"/>
    <x v="111"/>
  </r>
  <r>
    <s v="(AS) Park Place Mercedes Benz Arlington (NO TOURS)28"/>
    <x v="24"/>
    <x v="27"/>
    <x v="1"/>
    <x v="1"/>
    <x v="61"/>
    <x v="1"/>
    <s v="https://tools.sig.systems/site/details/169"/>
    <m/>
    <x v="1"/>
    <x v="0"/>
    <x v="46"/>
    <x v="0"/>
    <x v="11"/>
    <x v="41"/>
    <x v="46"/>
    <x v="61"/>
  </r>
  <r>
    <s v="(DT) Denver (NO TOURS)28"/>
    <x v="24"/>
    <x v="27"/>
    <x v="3"/>
    <x v="2"/>
    <x v="97"/>
    <x v="3"/>
    <s v="https://tools.sig.systems/site/details/203"/>
    <s v="https://www.google.com/maps/d/edit?mid=1AjZHz2LTg0RMhZUOmyZsv_Y4MFcaP8g&amp;usp=sharing"/>
    <x v="1"/>
    <x v="0"/>
    <x v="3"/>
    <x v="25"/>
    <x v="0"/>
    <x v="6"/>
    <x v="69"/>
    <x v="96"/>
  </r>
  <r>
    <s v="(HUD) Paint and Body Center (NO TOURS)28"/>
    <x v="24"/>
    <x v="27"/>
    <x v="0"/>
    <x v="0"/>
    <x v="38"/>
    <x v="0"/>
    <s v="https://tools.sig.systems/site/details/256"/>
    <s v="https://www.google.com/maps/d/viewer?mid=1ejOzT7-x6RWnCf83BBP7XhiOiwEX3Wk&amp;ll=36.061264791292906%2C-79.87437695000003&amp;z=17"/>
    <x v="1"/>
    <x v="0"/>
    <x v="3"/>
    <x v="9"/>
    <x v="0"/>
    <x v="6"/>
    <x v="11"/>
    <x v="38"/>
  </r>
  <r>
    <s v="(JE) Jim Ellis Ford Sandy Springs28"/>
    <x v="24"/>
    <x v="27"/>
    <x v="0"/>
    <x v="0"/>
    <x v="69"/>
    <x v="0"/>
    <s v="https://tools.sig.systems/site/details/142"/>
    <m/>
    <x v="1"/>
    <x v="0"/>
    <x v="51"/>
    <x v="0"/>
    <x v="0"/>
    <x v="46"/>
    <x v="52"/>
    <x v="69"/>
  </r>
  <r>
    <s v="(RML) Burleson Nissan28"/>
    <x v="24"/>
    <x v="27"/>
    <x v="1"/>
    <x v="1"/>
    <x v="82"/>
    <x v="1"/>
    <s v="https://tools.sig.systems/site/details/202"/>
    <m/>
    <x v="1"/>
    <x v="0"/>
    <x v="58"/>
    <x v="0"/>
    <x v="0"/>
    <x v="56"/>
    <x v="11"/>
    <x v="82"/>
  </r>
  <r>
    <s v="(AS) Park Place Bodywerks Ft. Worth (NO TOURS)29"/>
    <x v="25"/>
    <x v="0"/>
    <x v="1"/>
    <x v="1"/>
    <x v="92"/>
    <x v="1"/>
    <s v="https://tools.sig.systems/site/details/134"/>
    <s v="https://www.google.com/maps/d/edit?mid=18OEO_KbvYcgI3N1jE4gTMXfNHTNDrFU&amp;ll=32.66603989958274%2C-97.42021198201722&amp;z=18"/>
    <x v="1"/>
    <x v="0"/>
    <x v="66"/>
    <x v="0"/>
    <x v="0"/>
    <x v="62"/>
    <x v="64"/>
    <x v="92"/>
  </r>
  <r>
    <s v="(AS) Park Place Volvo Service Center (NO TOURS)29"/>
    <x v="25"/>
    <x v="0"/>
    <x v="1"/>
    <x v="1"/>
    <x v="62"/>
    <x v="1"/>
    <s v="https://tools.sig.systems/site/details/171"/>
    <s v="https://www.google.com/maps/d/edit?hl=es&amp;mid=1uPmsRMsXnp74hPFW2t-sp2totVWF_xY&amp;ll=32.83050137713022%2C-96.83197783061323&amp;z=17"/>
    <x v="1"/>
    <x v="0"/>
    <x v="47"/>
    <x v="0"/>
    <x v="0"/>
    <x v="42"/>
    <x v="11"/>
    <x v="62"/>
  </r>
  <r>
    <s v="(ML) Nissan Of Benton29"/>
    <x v="25"/>
    <x v="0"/>
    <x v="1"/>
    <x v="1"/>
    <x v="80"/>
    <x v="1"/>
    <s v="https://tools.sig.systems/site/details/247"/>
    <m/>
    <x v="1"/>
    <x v="0"/>
    <x v="57"/>
    <x v="0"/>
    <x v="0"/>
    <x v="54"/>
    <x v="11"/>
    <x v="80"/>
  </r>
  <r>
    <s v="(PE) Scofield Service Center (NO TOURS)29"/>
    <x v="25"/>
    <x v="0"/>
    <x v="4"/>
    <x v="0"/>
    <x v="113"/>
    <x v="0"/>
    <s v="https://tools.sig.systems/site/details/193"/>
    <s v="https://www.google.com/maps/d/viewer?mid=1FEo41PzFJQjUIXXKitX5TNCtuqR6Vbs&amp;ll=41.1663376742533%2C-73.22955662049608&amp;z=16"/>
    <x v="1"/>
    <x v="0"/>
    <x v="6"/>
    <x v="0"/>
    <x v="0"/>
    <x v="75"/>
    <x v="51"/>
    <x v="112"/>
  </r>
  <r>
    <s v="(RV) Toms Camperland Avondale (NO TOURS)29"/>
    <x v="25"/>
    <x v="0"/>
    <x v="5"/>
    <x v="3"/>
    <x v="24"/>
    <x v="4"/>
    <s v="https://tools.sig.systems/site/details/248"/>
    <s v="https://www.google.com/maps/d/viewer?mid=1bDs0QGFZwL3vEeGKxjVMk_j4azr0-lg&amp;ll=33.4593758581648%2C-112.28793780000001&amp;z=18"/>
    <x v="2"/>
    <x v="0"/>
    <x v="19"/>
    <x v="10"/>
    <x v="0"/>
    <x v="6"/>
    <x v="20"/>
    <x v="24"/>
  </r>
  <r>
    <s v="(HUD) CDJR of Greensboro29"/>
    <x v="25"/>
    <x v="1"/>
    <x v="0"/>
    <x v="0"/>
    <x v="68"/>
    <x v="6"/>
    <s v="https://tools.sig.systems/site/details/215"/>
    <s v="https://www.google.com/maps/d/viewer?mid=1ejOzT7-x6RWnCf83BBP7XhiOiwEX3Wk&amp;ll=36.061264791292906%2C-79.87437695000003&amp;z=17"/>
    <x v="3"/>
    <x v="0"/>
    <x v="50"/>
    <x v="0"/>
    <x v="0"/>
    <x v="45"/>
    <x v="51"/>
    <x v="68"/>
  </r>
  <r>
    <s v="(KG) Texan CDJR29"/>
    <x v="25"/>
    <x v="1"/>
    <x v="1"/>
    <x v="1"/>
    <x v="13"/>
    <x v="1"/>
    <s v="https://tools.sig.systems/site/details/238"/>
    <s v="https://www.google.com/maps/d/edit?mid=1FNqK4dW8Z8gtSWuQLbStrtqe7lH8DIQ&amp;usp=sharing"/>
    <x v="1"/>
    <x v="0"/>
    <x v="12"/>
    <x v="0"/>
    <x v="5"/>
    <x v="11"/>
    <x v="13"/>
    <x v="13"/>
  </r>
  <r>
    <s v="(ML) Columbia Honda (NO TOURS)29"/>
    <x v="25"/>
    <x v="1"/>
    <x v="1"/>
    <x v="1"/>
    <x v="75"/>
    <x v="1"/>
    <s v="https://tools.sig.systems/site/details/272"/>
    <s v="https://www.google.com/maps/d/viewer?hl=es&amp;mid=1C1oZdjH3dNvCvqdpIv_Lk0Yn1OCVn-4&amp;ll=38.965368114274426%2C-92.3405954&amp;z=15"/>
    <x v="1"/>
    <x v="0"/>
    <x v="3"/>
    <x v="26"/>
    <x v="0"/>
    <x v="50"/>
    <x v="56"/>
    <x v="75"/>
  </r>
  <r>
    <s v="(KG) Texan GMC Buick (NO TOURS)29"/>
    <x v="25"/>
    <x v="2"/>
    <x v="1"/>
    <x v="1"/>
    <x v="41"/>
    <x v="1"/>
    <s v="https://tools.sig.systems/site/details/225"/>
    <s v="https://www.google.com/maps/d/edit?mid=1FNqK4dW8Z8gtSWuQLbStrtqe7lH8DIQ&amp;usp=sharing"/>
    <x v="1"/>
    <x v="0"/>
    <x v="31"/>
    <x v="0"/>
    <x v="0"/>
    <x v="31"/>
    <x v="33"/>
    <x v="41"/>
  </r>
  <r>
    <s v="(LM) Luther Mazda / Mitsubishi29"/>
    <x v="25"/>
    <x v="2"/>
    <x v="1"/>
    <x v="1"/>
    <x v="74"/>
    <x v="1"/>
    <s v="https://tools.sig.systems/site/details/147"/>
    <s v="https://www.google.com/maps/d/viewer?mid=1ot0ILX76JMuvd9yMuqkb4_e0yH1n7TA&amp;ll=45.07815812965141%2C-93.33506855000002&amp;z=17"/>
    <x v="1"/>
    <x v="0"/>
    <x v="55"/>
    <x v="0"/>
    <x v="12"/>
    <x v="6"/>
    <x v="55"/>
    <x v="74"/>
  </r>
  <r>
    <s v="(ML) Joe Machens CDJR29"/>
    <x v="25"/>
    <x v="2"/>
    <x v="1"/>
    <x v="1"/>
    <x v="43"/>
    <x v="1"/>
    <s v="https://tools.sig.systems/site/details/273"/>
    <s v="https://www.google.com/maps/d/viewer?hl=es&amp;mid=1C1oZdjH3dNvCvqdpIv_Lk0Yn1OCVn-4&amp;ll=38.965368114274455%2C-92.3405954&amp;z=15"/>
    <x v="1"/>
    <x v="0"/>
    <x v="3"/>
    <x v="16"/>
    <x v="0"/>
    <x v="6"/>
    <x v="35"/>
    <x v="43"/>
  </r>
  <r>
    <s v="(PE) BMW of Greenwich (NO TOURS)29"/>
    <x v="25"/>
    <x v="2"/>
    <x v="4"/>
    <x v="0"/>
    <x v="110"/>
    <x v="0"/>
    <s v="https://tools.sig.systems/site/details/186"/>
    <s v="https://www.google.com/maps/d/edit?hl=en&amp;mid=1UHmt7tH1ihTa85i0MfQIcTfVvIQg_vM&amp;ll=41.024187580466844%2C-73.63702405370861&amp;z=18"/>
    <x v="1"/>
    <x v="0"/>
    <x v="75"/>
    <x v="0"/>
    <x v="0"/>
    <x v="6"/>
    <x v="81"/>
    <x v="109"/>
  </r>
  <r>
    <s v="(AS) Park Place Volvo Sales (NO TOURS)29"/>
    <x v="25"/>
    <x v="3"/>
    <x v="1"/>
    <x v="1"/>
    <x v="33"/>
    <x v="1"/>
    <s v="https://tools.sig.systems/site/details/139"/>
    <s v="https://www.google.com/maps/d/edit?hl=es&amp;mid=1uPmsRMsXnp74hPFW2t-sp2totVWF_xY&amp;ll=32.83050137713022%2C-96.83197783061323&amp;z=17"/>
    <x v="1"/>
    <x v="0"/>
    <x v="26"/>
    <x v="0"/>
    <x v="0"/>
    <x v="26"/>
    <x v="27"/>
    <x v="33"/>
  </r>
  <r>
    <s v="(KG) Kia of Phoenix (NO TOURS)29"/>
    <x v="25"/>
    <x v="3"/>
    <x v="5"/>
    <x v="3"/>
    <x v="40"/>
    <x v="4"/>
    <s v="https://tools.sig.systems/site/details/262"/>
    <m/>
    <x v="4"/>
    <x v="0"/>
    <x v="30"/>
    <x v="0"/>
    <x v="0"/>
    <x v="30"/>
    <x v="11"/>
    <x v="40"/>
  </r>
  <r>
    <s v="(ML) Joe Machens VW29"/>
    <x v="25"/>
    <x v="3"/>
    <x v="1"/>
    <x v="1"/>
    <x v="19"/>
    <x v="1"/>
    <s v="https://tools.sig.systems/site/details/274"/>
    <s v="https://www.google.com/maps/d/viewer?hl=es&amp;mid=1C1oZdjH3dNvCvqdpIv_Lk0Yn1OCVn-4&amp;ll=38.965368114274455%2C-92.3405954&amp;z=15"/>
    <x v="1"/>
    <x v="0"/>
    <x v="3"/>
    <x v="8"/>
    <x v="0"/>
    <x v="17"/>
    <x v="11"/>
    <x v="19"/>
  </r>
  <r>
    <s v="(SCH) Chevrolet North Palm29"/>
    <x v="25"/>
    <x v="3"/>
    <x v="0"/>
    <x v="0"/>
    <x v="52"/>
    <x v="0"/>
    <s v="https://tools.sig.systems/site/details/160"/>
    <m/>
    <x v="3"/>
    <x v="0"/>
    <x v="39"/>
    <x v="0"/>
    <x v="0"/>
    <x v="6"/>
    <x v="38"/>
    <x v="52"/>
  </r>
  <r>
    <s v="(AS) Mercedes Benz/Porsche Dallas I,II,III (NO TOURS)29"/>
    <x v="25"/>
    <x v="4"/>
    <x v="1"/>
    <x v="1"/>
    <x v="2"/>
    <x v="1"/>
    <s v="https://tools.sig.systems/site/details/168"/>
    <s v="https://www.google.com/maps/d/edit?hl=es&amp;mid=1uPmsRMsXnp74hPFW2t-sp2totVWF_xY&amp;ll=32.83050137713022%2C-96.83197783061323&amp;z=17"/>
    <x v="1"/>
    <x v="0"/>
    <x v="2"/>
    <x v="0"/>
    <x v="2"/>
    <x v="2"/>
    <x v="2"/>
    <x v="2"/>
  </r>
  <r>
    <s v="(ML) Joe Machens Toyota29"/>
    <x v="25"/>
    <x v="4"/>
    <x v="1"/>
    <x v="1"/>
    <x v="18"/>
    <x v="1"/>
    <s v="https://tools.sig.systems/site/details/275"/>
    <s v="https://www.google.com/maps/d/viewer?hl=es&amp;mid=1C1oZdjH3dNvCvqdpIv_Lk0Yn1OCVn-4&amp;ll=38.965368114274455%2C-92.3405954&amp;z=15"/>
    <x v="1"/>
    <x v="0"/>
    <x v="3"/>
    <x v="7"/>
    <x v="0"/>
    <x v="16"/>
    <x v="11"/>
    <x v="18"/>
  </r>
  <r>
    <s v="(AS) Lexus Smyrna (NO TOURS)29"/>
    <x v="25"/>
    <x v="5"/>
    <x v="0"/>
    <x v="0"/>
    <x v="30"/>
    <x v="0"/>
    <s v="https://tools.sig.systems/site/details/133"/>
    <m/>
    <x v="1"/>
    <x v="0"/>
    <x v="24"/>
    <x v="0"/>
    <x v="0"/>
    <x v="24"/>
    <x v="25"/>
    <x v="30"/>
  </r>
  <r>
    <s v="(AS) Park Place Sprinter Van Center (NO TOURS)29"/>
    <x v="25"/>
    <x v="5"/>
    <x v="1"/>
    <x v="1"/>
    <x v="6"/>
    <x v="1"/>
    <s v="https://tools.sig.systems/site/details/138"/>
    <s v="https://www.google.com/maps/d/edit?hl=es&amp;mid=1uPmsRMsXnp74hPFW2t-sp2totVWF_xY&amp;ll=32.83050137713022%2C-96.83197783061323&amp;z=17"/>
    <x v="1"/>
    <x v="0"/>
    <x v="6"/>
    <x v="0"/>
    <x v="0"/>
    <x v="6"/>
    <x v="6"/>
    <x v="6"/>
  </r>
  <r>
    <s v="(HUD) Honda of Southpoint29"/>
    <x v="25"/>
    <x v="5"/>
    <x v="0"/>
    <x v="0"/>
    <x v="11"/>
    <x v="0"/>
    <s v="https://tools.sig.systems/site/details/195"/>
    <m/>
    <x v="0"/>
    <x v="0"/>
    <x v="10"/>
    <x v="4"/>
    <x v="0"/>
    <x v="10"/>
    <x v="11"/>
    <x v="11"/>
  </r>
  <r>
    <s v="(ML) Joe Machens E Collision Center29"/>
    <x v="25"/>
    <x v="5"/>
    <x v="1"/>
    <x v="1"/>
    <x v="76"/>
    <x v="1"/>
    <s v="https://tools.sig.systems/site/details/277"/>
    <s v="https://www.google.com/maps/d/viewer?hl=es&amp;mid=1C1oZdjH3dNvCvqdpIv_Lk0Yn1OCVn-4&amp;ll=38.965368114274455%2C-92.3405954&amp;z=15"/>
    <x v="1"/>
    <x v="0"/>
    <x v="6"/>
    <x v="0"/>
    <x v="0"/>
    <x v="51"/>
    <x v="57"/>
    <x v="76"/>
  </r>
  <r>
    <s v="(SCH) Prep Center Delray29"/>
    <x v="25"/>
    <x v="5"/>
    <x v="0"/>
    <x v="0"/>
    <x v="53"/>
    <x v="0"/>
    <s v="https://tools.sig.systems/site/details/321"/>
    <m/>
    <x v="1"/>
    <x v="0"/>
    <x v="40"/>
    <x v="0"/>
    <x v="0"/>
    <x v="6"/>
    <x v="39"/>
    <x v="53"/>
  </r>
  <r>
    <s v="(AS) Atwell Prep Center-Dallas (NO TOURS)29"/>
    <x v="25"/>
    <x v="6"/>
    <x v="1"/>
    <x v="1"/>
    <x v="86"/>
    <x v="1"/>
    <s v="https://tools.sig.systems/site/details/165"/>
    <s v="https://www.google.com/maps/d/edit?hl=es&amp;mid=1uPmsRMsXnp74hPFW2t-sp2totVWF_xY&amp;ll=32.83050137713022%2C-96.83197783061323&amp;z=17"/>
    <x v="1"/>
    <x v="0"/>
    <x v="61"/>
    <x v="0"/>
    <x v="0"/>
    <x v="6"/>
    <x v="28"/>
    <x v="86"/>
  </r>
  <r>
    <s v="(AS) Park Place Mercedes Benz Ft. Worth (NO TOURS)29"/>
    <x v="25"/>
    <x v="6"/>
    <x v="1"/>
    <x v="1"/>
    <x v="5"/>
    <x v="1"/>
    <s v="https://tools.sig.systems/site/details/137"/>
    <s v="https://www.google.com/maps/d/edit?mid=18OEO_KbvYcgI3N1jE4gTMXfNHTNDrFU&amp;ll=32.66603989958274%2C-97.42021198201722&amp;z=18"/>
    <x v="1"/>
    <x v="0"/>
    <x v="5"/>
    <x v="0"/>
    <x v="4"/>
    <x v="5"/>
    <x v="5"/>
    <x v="5"/>
  </r>
  <r>
    <s v="(HUD) Nissan Greensboro29"/>
    <x v="25"/>
    <x v="6"/>
    <x v="0"/>
    <x v="0"/>
    <x v="12"/>
    <x v="0"/>
    <s v="https://tools.sig.systems/site/details/236"/>
    <s v="https://www.google.com/maps/d/viewer?mid=1ejOzT7-x6RWnCf83BBP7XhiOiwEX3Wk&amp;ll=36.061264791292906%2C-79.87437695000003&amp;z=17"/>
    <x v="1"/>
    <x v="0"/>
    <x v="11"/>
    <x v="0"/>
    <x v="0"/>
    <x v="6"/>
    <x v="12"/>
    <x v="12"/>
  </r>
  <r>
    <s v="(ML) Joe Machens Temporary 2.029"/>
    <x v="25"/>
    <x v="6"/>
    <x v="1"/>
    <x v="1"/>
    <x v="44"/>
    <x v="1"/>
    <s v="https://tools.sig.systems/site/details/278"/>
    <s v="https://www.google.com/maps/d/viewer?hl=es&amp;mid=1C1oZdjH3dNvCvqdpIv_Lk0Yn1OCVn-4&amp;ll=38.965368114274455%2C-92.3405954&amp;z=15"/>
    <x v="1"/>
    <x v="0"/>
    <x v="3"/>
    <x v="17"/>
    <x v="0"/>
    <x v="33"/>
    <x v="11"/>
    <x v="44"/>
  </r>
  <r>
    <s v="(SCH) Auto Body Shop Lake Park29"/>
    <x v="25"/>
    <x v="6"/>
    <x v="0"/>
    <x v="0"/>
    <x v="83"/>
    <x v="0"/>
    <s v="https://tools.sig.systems/site/details/158"/>
    <m/>
    <x v="1"/>
    <x v="0"/>
    <x v="59"/>
    <x v="0"/>
    <x v="0"/>
    <x v="6"/>
    <x v="11"/>
    <x v="83"/>
  </r>
  <r>
    <s v="(AS) Courtesy Honda Palm Harbor (NO TOURS)29"/>
    <x v="25"/>
    <x v="7"/>
    <x v="0"/>
    <x v="0"/>
    <x v="88"/>
    <x v="0"/>
    <s v="https://tools.sig.systems/site/details/176"/>
    <m/>
    <x v="3"/>
    <x v="0"/>
    <x v="63"/>
    <x v="0"/>
    <x v="0"/>
    <x v="58"/>
    <x v="24"/>
    <x v="88"/>
  </r>
  <r>
    <s v="(AS) Nalley Lexus &amp; Remote Lot Roswell (NO TOURS)29"/>
    <x v="25"/>
    <x v="7"/>
    <x v="2"/>
    <x v="0"/>
    <x v="4"/>
    <x v="2"/>
    <s v="https://tools.sig.systems/site/details/131"/>
    <s v="https://www.google.com/maps/d/edit?mid=1jkN3DS1BhUqp_dztjjW0PDwKfo_Yxsw&amp;usp=sharing"/>
    <x v="1"/>
    <x v="1"/>
    <x v="4"/>
    <x v="1"/>
    <x v="3"/>
    <x v="4"/>
    <x v="4"/>
    <x v="4"/>
  </r>
  <r>
    <s v="(AS) Park Place Bodywerks Dallas (NO TOURS)29"/>
    <x v="25"/>
    <x v="7"/>
    <x v="1"/>
    <x v="1"/>
    <x v="59"/>
    <x v="1"/>
    <s v="https://tools.sig.systems/site/details/166"/>
    <s v="https://www.google.com/maps/d/edit?hl=es&amp;mid=1uPmsRMsXnp74hPFW2t-sp2totVWF_xY&amp;ll=32.83050137713022%2C-96.83197783061323&amp;z=17"/>
    <x v="1"/>
    <x v="0"/>
    <x v="44"/>
    <x v="9"/>
    <x v="0"/>
    <x v="6"/>
    <x v="45"/>
    <x v="59"/>
  </r>
  <r>
    <s v="(ML) Joe Machens Nissan29"/>
    <x v="25"/>
    <x v="7"/>
    <x v="1"/>
    <x v="1"/>
    <x v="78"/>
    <x v="1"/>
    <s v="https://tools.sig.systems/site/details/279"/>
    <s v="https://www.google.com/maps/d/viewer?hl=es&amp;mid=1C1oZdjH3dNvCvqdpIv_Lk0Yn1OCVn-4&amp;ll=38.965368114274455%2C-92.3405954&amp;z=15"/>
    <x v="1"/>
    <x v="0"/>
    <x v="3"/>
    <x v="28"/>
    <x v="0"/>
    <x v="6"/>
    <x v="11"/>
    <x v="78"/>
  </r>
  <r>
    <s v="(AS) Park Place Acura (NO TOURS)29"/>
    <x v="25"/>
    <x v="8"/>
    <x v="1"/>
    <x v="1"/>
    <x v="32"/>
    <x v="1"/>
    <s v="https://tools.sig.systems/site/details/259"/>
    <s v="https://www.google.com/maps/d/viewer?mid=1wg5suxVuxeNp_irHlvN772HcwD6W89E&amp;ll=33.06373951220261%2C-96.82758025000001&amp;z=18"/>
    <x v="1"/>
    <x v="0"/>
    <x v="25"/>
    <x v="0"/>
    <x v="0"/>
    <x v="25"/>
    <x v="11"/>
    <x v="32"/>
  </r>
  <r>
    <s v="(AS) Park Place MB Recon Center Dallas (NO TOURS)29"/>
    <x v="25"/>
    <x v="8"/>
    <x v="1"/>
    <x v="1"/>
    <x v="60"/>
    <x v="1"/>
    <s v="https://tools.sig.systems/site/details/170"/>
    <s v="https://www.google.com/maps/d/edit?hl=es&amp;mid=1uPmsRMsXnp74hPFW2t-sp2totVWF_xY&amp;ll=32.83050137713022%2C-96.83197783061323&amp;z=17"/>
    <x v="1"/>
    <x v="0"/>
    <x v="45"/>
    <x v="0"/>
    <x v="0"/>
    <x v="40"/>
    <x v="19"/>
    <x v="60"/>
  </r>
  <r>
    <s v="(ML) Joe Machens Kia of Columbia29"/>
    <x v="25"/>
    <x v="8"/>
    <x v="1"/>
    <x v="1"/>
    <x v="107"/>
    <x v="1"/>
    <s v="https://tools.sig.systems/site/details/270"/>
    <s v="https://www.google.com/maps/d/viewer?hl=es&amp;mid=1C1oZdjH3dNvCvqdpIv_Lk0Yn1OCVn-4&amp;ll=38.965368114274455%2C-92.3405954&amp;z=15"/>
    <x v="1"/>
    <x v="0"/>
    <x v="3"/>
    <x v="39"/>
    <x v="0"/>
    <x v="6"/>
    <x v="78"/>
    <x v="106"/>
  </r>
  <r>
    <s v="(SCH) Delray I &amp; II29"/>
    <x v="25"/>
    <x v="8"/>
    <x v="0"/>
    <x v="0"/>
    <x v="26"/>
    <x v="0"/>
    <s v="https://tools.sig.systems/site/details/159"/>
    <m/>
    <x v="3"/>
    <x v="0"/>
    <x v="21"/>
    <x v="11"/>
    <x v="6"/>
    <x v="6"/>
    <x v="22"/>
    <x v="26"/>
  </r>
  <r>
    <s v="(SCH) West Palm Beach I, II &amp; III29"/>
    <x v="25"/>
    <x v="9"/>
    <x v="6"/>
    <x v="0"/>
    <x v="54"/>
    <x v="0"/>
    <s v="https://tools.sig.systems/site/details/162"/>
    <m/>
    <x v="3"/>
    <x v="2"/>
    <x v="41"/>
    <x v="20"/>
    <x v="10"/>
    <x v="6"/>
    <x v="40"/>
    <x v="54"/>
  </r>
  <r>
    <s v="(AS) David McDavid Lincoln Frisco (NO TOURS)29"/>
    <x v="25"/>
    <x v="10"/>
    <x v="1"/>
    <x v="1"/>
    <x v="58"/>
    <x v="1"/>
    <s v="https://tools.sig.systems/site/details/182"/>
    <m/>
    <x v="1"/>
    <x v="0"/>
    <x v="43"/>
    <x v="0"/>
    <x v="0"/>
    <x v="39"/>
    <x v="44"/>
    <x v="58"/>
  </r>
  <r>
    <s v="(AS) Nalley BMW Collision Center (NO TOURS)29"/>
    <x v="25"/>
    <x v="10"/>
    <x v="0"/>
    <x v="0"/>
    <x v="3"/>
    <x v="0"/>
    <s v="https://tools.sig.systems/site/details/220"/>
    <m/>
    <x v="1"/>
    <x v="0"/>
    <x v="3"/>
    <x v="1"/>
    <x v="0"/>
    <x v="3"/>
    <x v="3"/>
    <x v="3"/>
  </r>
  <r>
    <s v="(ML) Volvo Collision Corp29"/>
    <x v="25"/>
    <x v="10"/>
    <x v="1"/>
    <x v="1"/>
    <x v="47"/>
    <x v="1"/>
    <s v="https://tools.sig.systems/site/details/223"/>
    <m/>
    <x v="1"/>
    <x v="0"/>
    <x v="35"/>
    <x v="1"/>
    <x v="0"/>
    <x v="35"/>
    <x v="11"/>
    <x v="47"/>
  </r>
  <r>
    <s v="(PE) Fairfield Collision (NO TOURS)29"/>
    <x v="25"/>
    <x v="10"/>
    <x v="4"/>
    <x v="0"/>
    <x v="22"/>
    <x v="0"/>
    <s v="https://tools.sig.systems/site/details/191"/>
    <m/>
    <x v="1"/>
    <x v="0"/>
    <x v="18"/>
    <x v="0"/>
    <x v="0"/>
    <x v="6"/>
    <x v="18"/>
    <x v="22"/>
  </r>
  <r>
    <s v="(PE) JLR PDI (NO TOURS)29"/>
    <x v="25"/>
    <x v="10"/>
    <x v="4"/>
    <x v="0"/>
    <x v="50"/>
    <x v="0"/>
    <s v="https://tools.sig.systems/site/details/179"/>
    <s v="https://www.google.com/maps/d/viewer?mid=1ubI2iKs1JyYXssuT4oLPnVvFnyLPi_s&amp;ll=40.878808846788026%2C-73.98560655&amp;z=17"/>
    <x v="1"/>
    <x v="0"/>
    <x v="37"/>
    <x v="0"/>
    <x v="0"/>
    <x v="6"/>
    <x v="11"/>
    <x v="50"/>
  </r>
  <r>
    <s v="(AS) Courtesy CDJR of Brandon (NO TOURS)29"/>
    <x v="25"/>
    <x v="11"/>
    <x v="0"/>
    <x v="0"/>
    <x v="56"/>
    <x v="0"/>
    <s v="https://tools.sig.systems/site/details/126"/>
    <s v="https://www.google.com/maps/d/edit?mid=15R4hTDQx56ij99--JgozdqOIZh-kSlk&amp;usp=sharing"/>
    <x v="0"/>
    <x v="0"/>
    <x v="42"/>
    <x v="9"/>
    <x v="0"/>
    <x v="37"/>
    <x v="42"/>
    <x v="56"/>
  </r>
  <r>
    <s v="(HUD) Acura of Greensboro29"/>
    <x v="25"/>
    <x v="11"/>
    <x v="0"/>
    <x v="0"/>
    <x v="99"/>
    <x v="0"/>
    <s v="https://tools.sig.systems/site/details/213"/>
    <s v="https://www.google.com/maps/d/viewer?mid=1ejOzT7-x6RWnCf83BBP7XhiOiwEX3Wk&amp;ll=0%2C0&amp;z=17"/>
    <x v="1"/>
    <x v="0"/>
    <x v="69"/>
    <x v="0"/>
    <x v="0"/>
    <x v="67"/>
    <x v="71"/>
    <x v="98"/>
  </r>
  <r>
    <s v="(KG) Big Star CDJR of Clear Lake29"/>
    <x v="25"/>
    <x v="11"/>
    <x v="1"/>
    <x v="1"/>
    <x v="101"/>
    <x v="1"/>
    <s v="https://tools.sig.systems/site/details/232"/>
    <s v="https://www.google.com/maps/d/edit?mid=1DRwy5fy1g5UzGTA7a1OkQA-_CY8SQ2s&amp;usp=sharing"/>
    <x v="1"/>
    <x v="0"/>
    <x v="71"/>
    <x v="0"/>
    <x v="0"/>
    <x v="69"/>
    <x v="73"/>
    <x v="100"/>
  </r>
  <r>
    <s v="(MK) McKenny Salinas Honda29"/>
    <x v="25"/>
    <x v="11"/>
    <x v="0"/>
    <x v="0"/>
    <x v="104"/>
    <x v="0"/>
    <s v="https://tools.sig.systems/site/details/149"/>
    <m/>
    <x v="1"/>
    <x v="0"/>
    <x v="3"/>
    <x v="37"/>
    <x v="0"/>
    <x v="6"/>
    <x v="75"/>
    <x v="103"/>
  </r>
  <r>
    <s v="(PE) Mercedes Benz &amp; Smart Bldg. of Fairfield (NO TOURS)29"/>
    <x v="25"/>
    <x v="11"/>
    <x v="4"/>
    <x v="0"/>
    <x v="23"/>
    <x v="0"/>
    <s v="https://tools.sig.systems/site/details/192"/>
    <s v="https://www.google.com/maps/d/viewer?mid=1FEo41PzFJQjUIXXKitX5TNCtuqR6Vbs&amp;ll=41.1663376742533%2C-73.22955662049608&amp;z=16"/>
    <x v="1"/>
    <x v="0"/>
    <x v="3"/>
    <x v="9"/>
    <x v="0"/>
    <x v="20"/>
    <x v="19"/>
    <x v="23"/>
  </r>
  <r>
    <s v="(AS) David McDavid Honda I &amp; II (NO TOURS)29"/>
    <x v="25"/>
    <x v="12"/>
    <x v="1"/>
    <x v="1"/>
    <x v="90"/>
    <x v="1"/>
    <s v="https://tools.sig.systems/site/details/129"/>
    <m/>
    <x v="1"/>
    <x v="0"/>
    <x v="3"/>
    <x v="31"/>
    <x v="0"/>
    <x v="60"/>
    <x v="63"/>
    <x v="90"/>
  </r>
  <r>
    <s v="(AS) Plano Auction (NO SPEAKERS)29"/>
    <x v="25"/>
    <x v="12"/>
    <x v="1"/>
    <x v="1"/>
    <x v="94"/>
    <x v="1"/>
    <s v="https://tools.sig.systems/site/details/140"/>
    <m/>
    <x v="1"/>
    <x v="0"/>
    <x v="3"/>
    <x v="34"/>
    <x v="0"/>
    <x v="64"/>
    <x v="66"/>
    <x v="94"/>
  </r>
  <r>
    <s v="(HUD) BMW of Greensboro29"/>
    <x v="25"/>
    <x v="12"/>
    <x v="0"/>
    <x v="0"/>
    <x v="100"/>
    <x v="0"/>
    <s v="https://tools.sig.systems/site/details/219"/>
    <s v="https://www.google.com/maps/d/viewer?mid=1ejOzT7-x6RWnCf83BBP7XhiOiwEX3Wk&amp;ll=36.061264791292906%2C-79.87437695000003&amp;z=17"/>
    <x v="1"/>
    <x v="0"/>
    <x v="70"/>
    <x v="0"/>
    <x v="0"/>
    <x v="68"/>
    <x v="72"/>
    <x v="99"/>
  </r>
  <r>
    <s v="(AS) Coggin Mercedes Benz Ft Pierce (NO TOURS)29"/>
    <x v="25"/>
    <x v="13"/>
    <x v="0"/>
    <x v="0"/>
    <x v="28"/>
    <x v="0"/>
    <s v="https://tools.sig.systems/site/details/127"/>
    <s v="https://www.google.com/maps/d/viewer?mid=1AyViBuyeq7iwDua1SVudJ2A1BYi3IBA&amp;ll=27.38181516363982%2C-80.32568845000002&amp;z=18"/>
    <x v="1"/>
    <x v="0"/>
    <x v="22"/>
    <x v="13"/>
    <x v="0"/>
    <x v="22"/>
    <x v="23"/>
    <x v="28"/>
  </r>
  <r>
    <s v="(DT) El Cajon (NO TOURS)29"/>
    <x v="25"/>
    <x v="13"/>
    <x v="5"/>
    <x v="4"/>
    <x v="66"/>
    <x v="4"/>
    <s v="https://tools.sig.systems/site/details/241"/>
    <m/>
    <x v="1"/>
    <x v="0"/>
    <x v="3"/>
    <x v="16"/>
    <x v="0"/>
    <x v="6"/>
    <x v="11"/>
    <x v="66"/>
  </r>
  <r>
    <s v="(KG) Truck Center Remote Storage Lot29"/>
    <x v="25"/>
    <x v="13"/>
    <x v="2"/>
    <x v="2"/>
    <x v="14"/>
    <x v="2"/>
    <s v="https://tools.sig.systems/site/details/144"/>
    <m/>
    <x v="1"/>
    <x v="0"/>
    <x v="13"/>
    <x v="5"/>
    <x v="0"/>
    <x v="12"/>
    <x v="14"/>
    <x v="14"/>
  </r>
  <r>
    <s v="(ML) McLarty-Gray Daniels Chevrolet29"/>
    <x v="25"/>
    <x v="13"/>
    <x v="1"/>
    <x v="1"/>
    <x v="109"/>
    <x v="1"/>
    <s v="https://tools.sig.systems/site/details/150"/>
    <m/>
    <x v="1"/>
    <x v="0"/>
    <x v="74"/>
    <x v="0"/>
    <x v="0"/>
    <x v="73"/>
    <x v="80"/>
    <x v="108"/>
  </r>
  <r>
    <s v="(AS) Coggin Honda Ft. Pierce (NO TOURS)29"/>
    <x v="25"/>
    <x v="14"/>
    <x v="0"/>
    <x v="0"/>
    <x v="0"/>
    <x v="0"/>
    <s v="https://tools.sig.systems/site/details/120"/>
    <s v="https://www.google.com/maps/d/viewer?mid=1AyViBuyeq7iwDua1SVudJ2A1BYi3IBA&amp;ll=27.38181516363982%2C-80.32568845000002&amp;z=18"/>
    <x v="0"/>
    <x v="0"/>
    <x v="0"/>
    <x v="0"/>
    <x v="0"/>
    <x v="0"/>
    <x v="0"/>
    <x v="0"/>
  </r>
  <r>
    <s v="(AS) Lexus Plano I &amp; II (NO TOURS)29"/>
    <x v="25"/>
    <x v="14"/>
    <x v="1"/>
    <x v="1"/>
    <x v="1"/>
    <x v="1"/>
    <s v="https://tools.sig.systems/site/details/167"/>
    <s v="https://www.google.com/maps/d/viewer?mid=1wg5suxVuxeNp_irHlvN772HcwD6W89E&amp;ll=33.06373951220261%2C-96.82758025000001&amp;z=18"/>
    <x v="1"/>
    <x v="0"/>
    <x v="1"/>
    <x v="0"/>
    <x v="1"/>
    <x v="1"/>
    <x v="1"/>
    <x v="1"/>
  </r>
  <r>
    <s v="(AS) Stevinson JLR (NO TOURS)29"/>
    <x v="25"/>
    <x v="14"/>
    <x v="3"/>
    <x v="2"/>
    <x v="64"/>
    <x v="3"/>
    <s v="https://tools.sig.systems/site/details/204"/>
    <m/>
    <x v="1"/>
    <x v="0"/>
    <x v="49"/>
    <x v="1"/>
    <x v="0"/>
    <x v="44"/>
    <x v="48"/>
    <x v="64"/>
  </r>
  <r>
    <s v="(AS) Coggin Acura Ft Pierce (NO TOURS)29"/>
    <x v="25"/>
    <x v="15"/>
    <x v="0"/>
    <x v="0"/>
    <x v="27"/>
    <x v="0"/>
    <s v="https://tools.sig.systems/site/details/118"/>
    <s v="https://www.google.com/maps/d/viewer?mid=1AyViBuyeq7iwDua1SVudJ2A1BYi3IBA&amp;ll=27.38181516363982%2C-80.32568845000002&amp;z=18"/>
    <x v="1"/>
    <x v="0"/>
    <x v="3"/>
    <x v="12"/>
    <x v="0"/>
    <x v="21"/>
    <x v="19"/>
    <x v="27"/>
  </r>
  <r>
    <s v="(HUD) Honda Greensboro29"/>
    <x v="25"/>
    <x v="15"/>
    <x v="0"/>
    <x v="0"/>
    <x v="37"/>
    <x v="0"/>
    <s v="https://tools.sig.systems/site/details/230"/>
    <s v="AS/ HUD - Crown Greensboro - Google My Maps"/>
    <x v="1"/>
    <x v="0"/>
    <x v="28"/>
    <x v="0"/>
    <x v="0"/>
    <x v="28"/>
    <x v="31"/>
    <x v="37"/>
  </r>
  <r>
    <s v="(ML) Honda of Little Rock29"/>
    <x v="25"/>
    <x v="15"/>
    <x v="1"/>
    <x v="1"/>
    <x v="16"/>
    <x v="1"/>
    <s v="https://tools.sig.systems/site/details/249"/>
    <s v="https://www.google.com/maps/d/viewer?mid=1hvbKFMO-d5TXrKGU-g5dt_xcdArB1D0&amp;ll=34.71147784120261%2C-92.40574350000001&amp;z=17"/>
    <x v="1"/>
    <x v="0"/>
    <x v="15"/>
    <x v="0"/>
    <x v="0"/>
    <x v="14"/>
    <x v="15"/>
    <x v="16"/>
  </r>
  <r>
    <s v="(ML) McLarty Gray-Daniels Toyota Nissan29"/>
    <x v="25"/>
    <x v="15"/>
    <x v="1"/>
    <x v="1"/>
    <x v="108"/>
    <x v="1"/>
    <s v="https://tools.sig.systems/site/details/152"/>
    <s v="https://www.google.com/maps/d/edit?mid=111nhCL4Xjj2Pq0zP5xUrMzHQqAihqa0&amp;usp=sharing"/>
    <x v="1"/>
    <x v="0"/>
    <x v="3"/>
    <x v="40"/>
    <x v="0"/>
    <x v="72"/>
    <x v="79"/>
    <x v="107"/>
  </r>
  <r>
    <s v="(AS) Audi of North Atlanta (NO TOURS)29"/>
    <x v="25"/>
    <x v="16"/>
    <x v="0"/>
    <x v="0"/>
    <x v="87"/>
    <x v="0"/>
    <s v="https://tools.sig.systems/site/details/124"/>
    <s v="https://www.google.com/maps/d/edit?mid=1jkN3DS1BhUqp_dztjjW0PDwKfo_Yxsw&amp;usp=sharing"/>
    <x v="1"/>
    <x v="0"/>
    <x v="62"/>
    <x v="0"/>
    <x v="0"/>
    <x v="57"/>
    <x v="61"/>
    <x v="87"/>
  </r>
  <r>
    <s v="(HUD) Paint and Body Center (NO TOURS)29"/>
    <x v="25"/>
    <x v="16"/>
    <x v="0"/>
    <x v="0"/>
    <x v="38"/>
    <x v="0"/>
    <s v="https://tools.sig.systems/site/details/256"/>
    <s v="https://www.google.com/maps/d/viewer?mid=1ejOzT7-x6RWnCf83BBP7XhiOiwEX3Wk&amp;ll=36.061264791292906%2C-79.87437695000003&amp;z=17"/>
    <x v="1"/>
    <x v="0"/>
    <x v="3"/>
    <x v="9"/>
    <x v="0"/>
    <x v="6"/>
    <x v="11"/>
    <x v="38"/>
  </r>
  <r>
    <s v="(ML) McLarty Gray-Daniels Ford Lincoln29"/>
    <x v="25"/>
    <x v="16"/>
    <x v="1"/>
    <x v="1"/>
    <x v="79"/>
    <x v="1"/>
    <s v="https://tools.sig.systems/site/details/151"/>
    <s v="https://www.google.com/maps/d/edit?mid=111nhCL4Xjj2Pq0zP5xUrMzHQqAihqa0&amp;usp=sharing"/>
    <x v="1"/>
    <x v="0"/>
    <x v="56"/>
    <x v="29"/>
    <x v="0"/>
    <x v="53"/>
    <x v="57"/>
    <x v="79"/>
  </r>
  <r>
    <s v="(ML) Nissan of Little Rock29"/>
    <x v="25"/>
    <x v="16"/>
    <x v="1"/>
    <x v="1"/>
    <x v="46"/>
    <x v="1"/>
    <s v="https://tools.sig.systems/site/details/224"/>
    <s v="https://www.google.com/maps/d/viewer?mid=1hvbKFMO-d5TXrKGU-g5dt_xcdArB1D0&amp;ll=34.71147784120261%2C-92.40574350000001&amp;z=17"/>
    <x v="1"/>
    <x v="0"/>
    <x v="34"/>
    <x v="0"/>
    <x v="0"/>
    <x v="34"/>
    <x v="7"/>
    <x v="46"/>
  </r>
  <r>
    <s v="(ML) Nissan of North Little Rock29"/>
    <x v="25"/>
    <x v="16"/>
    <x v="1"/>
    <x v="1"/>
    <x v="20"/>
    <x v="1"/>
    <s v="https://tools.sig.systems/site/details/216"/>
    <s v="https://www.google.com/maps/d/edit?mid=1Oky35ERk_2kgyzCvDu_odQ2ZP62BtqA&amp;usp=sharing"/>
    <x v="1"/>
    <x v="0"/>
    <x v="16"/>
    <x v="0"/>
    <x v="0"/>
    <x v="18"/>
    <x v="17"/>
    <x v="20"/>
  </r>
  <r>
    <s v="(AS) Courtesy Kia of Brandon (NO TOURS)29"/>
    <x v="25"/>
    <x v="17"/>
    <x v="0"/>
    <x v="0"/>
    <x v="57"/>
    <x v="0"/>
    <s v="https://tools.sig.systems/site/details/121"/>
    <s v="https://www.google.com/maps/d/edit?mid=15R4hTDQx56ij99--JgozdqOIZh-kSlk&amp;usp=sharing"/>
    <x v="0"/>
    <x v="0"/>
    <x v="3"/>
    <x v="22"/>
    <x v="0"/>
    <x v="38"/>
    <x v="43"/>
    <x v="57"/>
  </r>
  <r>
    <s v="(AS) Nalley Luxury Collision Center (NO TOURS)29"/>
    <x v="25"/>
    <x v="17"/>
    <x v="0"/>
    <x v="0"/>
    <x v="31"/>
    <x v="0"/>
    <s v="https://tools.sig.systems/site/details/263"/>
    <s v="https://www.google.com/maps/d/edit?mid=1jkN3DS1BhUqp_dztjjW0PDwKfo_Yxsw&amp;usp=sharing"/>
    <x v="1"/>
    <x v="0"/>
    <x v="4"/>
    <x v="0"/>
    <x v="0"/>
    <x v="6"/>
    <x v="26"/>
    <x v="31"/>
  </r>
  <r>
    <s v="(DT) N. Houston29"/>
    <x v="25"/>
    <x v="17"/>
    <x v="1"/>
    <x v="1"/>
    <x v="9"/>
    <x v="1"/>
    <s v="https://tools.sig.systems/site/details/250"/>
    <m/>
    <x v="1"/>
    <x v="0"/>
    <x v="8"/>
    <x v="0"/>
    <x v="0"/>
    <x v="8"/>
    <x v="9"/>
    <x v="9"/>
  </r>
  <r>
    <s v="(KG) JLR LEHI (NO TOURS)29"/>
    <x v="25"/>
    <x v="17"/>
    <x v="3"/>
    <x v="2"/>
    <x v="73"/>
    <x v="3"/>
    <s v="https://tools.sig.systems/site/details/145"/>
    <m/>
    <x v="1"/>
    <x v="0"/>
    <x v="54"/>
    <x v="0"/>
    <x v="0"/>
    <x v="49"/>
    <x v="11"/>
    <x v="73"/>
  </r>
  <r>
    <s v="(ML) BMW of Little Rock29"/>
    <x v="25"/>
    <x v="17"/>
    <x v="1"/>
    <x v="1"/>
    <x v="105"/>
    <x v="1"/>
    <s v="https://tools.sig.systems/site/details/217"/>
    <s v="https://www.google.com/maps/d/viewer?mid=1hvbKFMO-d5TXrKGU-g5dt_xcdArB1D0&amp;ll=34.71147784120261%2C-92.40574350000001&amp;z=17"/>
    <x v="1"/>
    <x v="0"/>
    <x v="3"/>
    <x v="38"/>
    <x v="0"/>
    <x v="6"/>
    <x v="76"/>
    <x v="104"/>
  </r>
  <r>
    <s v="(AS) Stevinson Chevrolet Golden (NO TOURS)29"/>
    <x v="25"/>
    <x v="18"/>
    <x v="7"/>
    <x v="2"/>
    <x v="96"/>
    <x v="3"/>
    <s v="https://tools.sig.systems/site/details/264"/>
    <s v="https://www.google.com/maps/d/edit?mid=1nAyK85WaWREy0lfxnmWn3USs2gC0nP0&amp;usp=sharing"/>
    <x v="1"/>
    <x v="0"/>
    <x v="3"/>
    <x v="36"/>
    <x v="0"/>
    <x v="66"/>
    <x v="68"/>
    <x v="95"/>
  </r>
  <r>
    <s v="(DT) Colorado Springs (NO TOURS)29"/>
    <x v="25"/>
    <x v="18"/>
    <x v="3"/>
    <x v="2"/>
    <x v="65"/>
    <x v="3"/>
    <s v="https://tools.sig.systems/site/details/198"/>
    <m/>
    <x v="1"/>
    <x v="0"/>
    <x v="3"/>
    <x v="24"/>
    <x v="0"/>
    <x v="6"/>
    <x v="49"/>
    <x v="65"/>
  </r>
  <r>
    <s v="(KG) Clear Lake Pre-Owned29"/>
    <x v="25"/>
    <x v="18"/>
    <x v="1"/>
    <x v="1"/>
    <x v="39"/>
    <x v="1"/>
    <s v="https://tools.sig.systems/site/details/255"/>
    <s v="https://www.google.com/maps/d/edit?mid=1DRwy5fy1g5UzGTA7a1OkQA-_CY8SQ2s&amp;usp=sharing"/>
    <x v="1"/>
    <x v="0"/>
    <x v="29"/>
    <x v="0"/>
    <x v="0"/>
    <x v="29"/>
    <x v="32"/>
    <x v="39"/>
  </r>
  <r>
    <s v="(ML) Mazda VW-Lot B29"/>
    <x v="25"/>
    <x v="18"/>
    <x v="1"/>
    <x v="1"/>
    <x v="45"/>
    <x v="1"/>
    <s v="https://tools.sig.systems/site/details/205"/>
    <s v="https://www.google.com/maps/d/edit?mid=1Oky35ERk_2kgyzCvDu_odQ2ZP62BtqA&amp;usp=sharing"/>
    <x v="1"/>
    <x v="0"/>
    <x v="33"/>
    <x v="9"/>
    <x v="0"/>
    <x v="30"/>
    <x v="11"/>
    <x v="45"/>
  </r>
  <r>
    <s v="(RV) Toms Camperland Surprise (NO TOURS)29"/>
    <x v="25"/>
    <x v="18"/>
    <x v="5"/>
    <x v="3"/>
    <x v="51"/>
    <x v="4"/>
    <s v="https://tools.sig.systems/site/details/254"/>
    <m/>
    <x v="5"/>
    <x v="0"/>
    <x v="38"/>
    <x v="0"/>
    <x v="0"/>
    <x v="6"/>
    <x v="37"/>
    <x v="51"/>
  </r>
  <r>
    <s v="(AS) Stevinson Toyota West (NO TOURS)29"/>
    <x v="25"/>
    <x v="19"/>
    <x v="3"/>
    <x v="2"/>
    <x v="8"/>
    <x v="3"/>
    <s v="https://tools.sig.systems/site/details/240"/>
    <s v="https://www.google.com/maps/d/edit?mid=1nAyK85WaWREy0lfxnmWn3USs2gC0nP0&amp;usp=sharing"/>
    <x v="1"/>
    <x v="0"/>
    <x v="3"/>
    <x v="3"/>
    <x v="0"/>
    <x v="7"/>
    <x v="8"/>
    <x v="8"/>
  </r>
  <r>
    <s v="(KG) Big Star Ford29"/>
    <x v="25"/>
    <x v="19"/>
    <x v="1"/>
    <x v="1"/>
    <x v="102"/>
    <x v="1"/>
    <s v="https://tools.sig.systems/site/details/235"/>
    <m/>
    <x v="1"/>
    <x v="0"/>
    <x v="72"/>
    <x v="0"/>
    <x v="0"/>
    <x v="70"/>
    <x v="74"/>
    <x v="101"/>
  </r>
  <r>
    <s v="(ML) Ford Lincoln of North Little Rock29"/>
    <x v="25"/>
    <x v="19"/>
    <x v="1"/>
    <x v="1"/>
    <x v="42"/>
    <x v="1"/>
    <s v="https://tools.sig.systems/site/details/214"/>
    <s v="https://www.google.com/maps/d/edit?mid=1Oky35ERk_2kgyzCvDu_odQ2ZP62BtqA&amp;usp=sharing"/>
    <x v="1"/>
    <x v="0"/>
    <x v="32"/>
    <x v="4"/>
    <x v="0"/>
    <x v="32"/>
    <x v="34"/>
    <x v="42"/>
  </r>
  <r>
    <s v="(AS) Plaza Lexus/Mercedes/BMW (NO TOURS)29"/>
    <x v="25"/>
    <x v="20"/>
    <x v="1"/>
    <x v="1"/>
    <x v="63"/>
    <x v="1"/>
    <s v="https://tools.sig.systems/site/details/141"/>
    <s v="https://www.google.com/maps/d/viewer?mid=1whGZ1PLqmhJnGFz8uigZqUL4cHGGW3w&amp;ll=38.668847686454825%2C-90.4433601&amp;z=17"/>
    <x v="1"/>
    <x v="0"/>
    <x v="48"/>
    <x v="23"/>
    <x v="0"/>
    <x v="43"/>
    <x v="47"/>
    <x v="63"/>
  </r>
  <r>
    <s v="(AS) Stevinson Lexus of Lakewood (NO TOURS)29"/>
    <x v="25"/>
    <x v="20"/>
    <x v="3"/>
    <x v="2"/>
    <x v="34"/>
    <x v="3"/>
    <s v="https://tools.sig.systems/site/details/260"/>
    <s v="https://www.google.com/maps/d/edit?mid=1nAyK85WaWREy0lfxnmWn3USs2gC0nP0&amp;usp=sharing"/>
    <x v="1"/>
    <x v="0"/>
    <x v="3"/>
    <x v="14"/>
    <x v="8"/>
    <x v="6"/>
    <x v="28"/>
    <x v="34"/>
  </r>
  <r>
    <s v="(ML) Toyota N Little Rock29"/>
    <x v="25"/>
    <x v="20"/>
    <x v="1"/>
    <x v="1"/>
    <x v="21"/>
    <x v="1"/>
    <s v="https://tools.sig.systems/site/details/201"/>
    <s v="https://www.google.com/maps/d/edit?mid=1Oky35ERk_2kgyzCvDu_odQ2ZP62BtqA&amp;usp=sharing"/>
    <x v="1"/>
    <x v="0"/>
    <x v="17"/>
    <x v="0"/>
    <x v="0"/>
    <x v="19"/>
    <x v="11"/>
    <x v="21"/>
  </r>
  <r>
    <s v="(TC) Tavernier Creek Marina (NO TOURS)29"/>
    <x v="25"/>
    <x v="20"/>
    <x v="0"/>
    <x v="0"/>
    <x v="84"/>
    <x v="1"/>
    <s v="https://tools.sig.systems/site/details/164"/>
    <m/>
    <x v="6"/>
    <x v="0"/>
    <x v="60"/>
    <x v="0"/>
    <x v="0"/>
    <x v="6"/>
    <x v="59"/>
    <x v="84"/>
  </r>
  <r>
    <s v="(AS) Courtesy Hyundai/Nissan Tampa (NO TOURS)29"/>
    <x v="25"/>
    <x v="21"/>
    <x v="0"/>
    <x v="0"/>
    <x v="89"/>
    <x v="0"/>
    <s v="https://tools.sig.systems/site/details/128"/>
    <m/>
    <x v="0"/>
    <x v="0"/>
    <x v="64"/>
    <x v="0"/>
    <x v="0"/>
    <x v="59"/>
    <x v="62"/>
    <x v="89"/>
  </r>
  <r>
    <s v="(AS) Plaza Audi/Infiniti (NO TOURS)29"/>
    <x v="25"/>
    <x v="21"/>
    <x v="1"/>
    <x v="1"/>
    <x v="95"/>
    <x v="1"/>
    <s v="https://tools.sig.systems/site/details/141"/>
    <s v="https://www.google.com/maps/d/viewer?mid=1whGZ1PLqmhJnGFz8uigZqUL4cHGGW3w&amp;ll=38.668847686454825%2C-90.4433601&amp;z=17"/>
    <x v="1"/>
    <x v="0"/>
    <x v="68"/>
    <x v="35"/>
    <x v="0"/>
    <x v="65"/>
    <x v="67"/>
    <x v="63"/>
  </r>
  <r>
    <s v="(DT) Escondido29"/>
    <x v="25"/>
    <x v="21"/>
    <x v="5"/>
    <x v="4"/>
    <x v="98"/>
    <x v="5"/>
    <s v="https://tools.sig.systems/site/details/196"/>
    <m/>
    <x v="1"/>
    <x v="4"/>
    <x v="20"/>
    <x v="0"/>
    <x v="0"/>
    <x v="6"/>
    <x v="70"/>
    <x v="97"/>
  </r>
  <r>
    <s v="(RV) Sonny's Camp N Travel Concord29"/>
    <x v="25"/>
    <x v="21"/>
    <x v="0"/>
    <x v="0"/>
    <x v="114"/>
    <x v="0"/>
    <s v="https://tools.sig.systems/site/details/183"/>
    <m/>
    <x v="1"/>
    <x v="0"/>
    <x v="6"/>
    <x v="0"/>
    <x v="0"/>
    <x v="76"/>
    <x v="84"/>
    <x v="113"/>
  </r>
  <r>
    <s v="(AS) Lexus Grapevine I &amp; II (NO TOURS)29"/>
    <x v="25"/>
    <x v="22"/>
    <x v="1"/>
    <x v="1"/>
    <x v="29"/>
    <x v="1"/>
    <s v="https://tools.sig.systems/site/details/136"/>
    <m/>
    <x v="1"/>
    <x v="0"/>
    <x v="23"/>
    <x v="0"/>
    <x v="7"/>
    <x v="23"/>
    <x v="24"/>
    <x v="29"/>
  </r>
  <r>
    <s v="(KG) Hyundai Surprise29"/>
    <x v="25"/>
    <x v="22"/>
    <x v="5"/>
    <x v="3"/>
    <x v="103"/>
    <x v="4"/>
    <s v="https://tools.sig.systems/site/details/269"/>
    <m/>
    <x v="4"/>
    <x v="0"/>
    <x v="73"/>
    <x v="0"/>
    <x v="0"/>
    <x v="71"/>
    <x v="11"/>
    <x v="102"/>
  </r>
  <r>
    <s v="(KT) Northwest CDJR (NO TOURS)29"/>
    <x v="25"/>
    <x v="22"/>
    <x v="1"/>
    <x v="1"/>
    <x v="15"/>
    <x v="1"/>
    <s v="https://tools.sig.systems/site/details/229"/>
    <m/>
    <x v="1"/>
    <x v="0"/>
    <x v="14"/>
    <x v="0"/>
    <x v="0"/>
    <x v="13"/>
    <x v="11"/>
    <x v="15"/>
  </r>
  <r>
    <s v="(AS) Bill Estes Ford (NO TOURS)29"/>
    <x v="25"/>
    <x v="23"/>
    <x v="0"/>
    <x v="0"/>
    <x v="55"/>
    <x v="0"/>
    <s v="https://tools.sig.systems/site/details/125"/>
    <m/>
    <x v="1"/>
    <x v="0"/>
    <x v="3"/>
    <x v="21"/>
    <x v="0"/>
    <x v="36"/>
    <x v="41"/>
    <x v="55"/>
  </r>
  <r>
    <s v="(DT) Wichita29"/>
    <x v="25"/>
    <x v="23"/>
    <x v="1"/>
    <x v="1"/>
    <x v="36"/>
    <x v="1"/>
    <s v="https://tools.sig.systems/site/details/257"/>
    <m/>
    <x v="1"/>
    <x v="0"/>
    <x v="3"/>
    <x v="15"/>
    <x v="0"/>
    <x v="6"/>
    <x v="30"/>
    <x v="36"/>
  </r>
  <r>
    <s v="(PE) Hudson Toyota Nissan CDJR (NO TOURS)29"/>
    <x v="25"/>
    <x v="23"/>
    <x v="4"/>
    <x v="0"/>
    <x v="81"/>
    <x v="0"/>
    <s v="https://tools.sig.systems/site/details/156"/>
    <m/>
    <x v="1"/>
    <x v="0"/>
    <x v="49"/>
    <x v="30"/>
    <x v="0"/>
    <x v="55"/>
    <x v="58"/>
    <x v="81"/>
  </r>
  <r>
    <s v="(RV) Toms Camperland Mesa (NO TOURS)29"/>
    <x v="25"/>
    <x v="23"/>
    <x v="5"/>
    <x v="3"/>
    <x v="25"/>
    <x v="4"/>
    <s v="https://tools.sig.systems/site/details/222"/>
    <m/>
    <x v="1"/>
    <x v="0"/>
    <x v="20"/>
    <x v="0"/>
    <x v="0"/>
    <x v="6"/>
    <x v="21"/>
    <x v="25"/>
  </r>
  <r>
    <s v="SIG Office29"/>
    <x v="25"/>
    <x v="23"/>
    <x v="2"/>
    <x v="0"/>
    <x v="85"/>
    <x v="2"/>
    <s v="https://tools.sig.systems/site/details/163"/>
    <m/>
    <x v="1"/>
    <x v="0"/>
    <x v="3"/>
    <x v="0"/>
    <x v="0"/>
    <x v="6"/>
    <x v="60"/>
    <x v="85"/>
  </r>
  <r>
    <s v="(KG) Big Star Honda29"/>
    <x v="25"/>
    <x v="24"/>
    <x v="1"/>
    <x v="1"/>
    <x v="72"/>
    <x v="1"/>
    <s v="https://tools.sig.systems/site/details/231"/>
    <m/>
    <x v="1"/>
    <x v="0"/>
    <x v="53"/>
    <x v="0"/>
    <x v="0"/>
    <x v="48"/>
    <x v="54"/>
    <x v="72"/>
  </r>
  <r>
    <s v="(ML) Joe Machens Ford Lincoln I &amp; II29"/>
    <x v="25"/>
    <x v="24"/>
    <x v="1"/>
    <x v="1"/>
    <x v="77"/>
    <x v="1"/>
    <s v="https://tools.sig.systems/site/details/266"/>
    <s v="https://www.google.com/maps/d/viewer?hl=es&amp;mid=1C1oZdjH3dNvCvqdpIv_Lk0Yn1OCVn-4&amp;ll=38.965368114274455%2C-92.3405954&amp;z=15"/>
    <x v="1"/>
    <x v="0"/>
    <x v="3"/>
    <x v="27"/>
    <x v="0"/>
    <x v="52"/>
    <x v="11"/>
    <x v="77"/>
  </r>
  <r>
    <s v="(PE) BMW of Mamaroneck (NO TOURS)29"/>
    <x v="25"/>
    <x v="24"/>
    <x v="4"/>
    <x v="0"/>
    <x v="111"/>
    <x v="0"/>
    <s v="https://tools.sig.systems/site/details/185"/>
    <m/>
    <x v="1"/>
    <x v="0"/>
    <x v="76"/>
    <x v="41"/>
    <x v="0"/>
    <x v="6"/>
    <x v="82"/>
    <x v="110"/>
  </r>
  <r>
    <s v="(AS) Stevinson Porsche of Littleton (NO TOURS)29"/>
    <x v="25"/>
    <x v="25"/>
    <x v="3"/>
    <x v="2"/>
    <x v="7"/>
    <x v="3"/>
    <s v="https://tools.sig.systems/site/details/242"/>
    <m/>
    <x v="1"/>
    <x v="0"/>
    <x v="7"/>
    <x v="2"/>
    <x v="0"/>
    <x v="6"/>
    <x v="7"/>
    <x v="7"/>
  </r>
  <r>
    <s v="(DT) W Houston29"/>
    <x v="25"/>
    <x v="25"/>
    <x v="1"/>
    <x v="1"/>
    <x v="10"/>
    <x v="1"/>
    <s v="https://tools.sig.systems/site/details/197"/>
    <m/>
    <x v="1"/>
    <x v="0"/>
    <x v="9"/>
    <x v="2"/>
    <x v="0"/>
    <x v="9"/>
    <x v="10"/>
    <x v="10"/>
  </r>
  <r>
    <s v="(KG) Baytown GMC Buick - Remote Lot (NO TOURS)29"/>
    <x v="25"/>
    <x v="25"/>
    <x v="2"/>
    <x v="1"/>
    <x v="70"/>
    <x v="2"/>
    <s v="https://tools.sig.systems/site/details/311"/>
    <m/>
    <x v="1"/>
    <x v="3"/>
    <x v="3"/>
    <x v="25"/>
    <x v="0"/>
    <x v="6"/>
    <x v="11"/>
    <x v="70"/>
  </r>
  <r>
    <s v="(KG) Baytown GMC Buick (NO TOURS)29"/>
    <x v="25"/>
    <x v="25"/>
    <x v="1"/>
    <x v="1"/>
    <x v="71"/>
    <x v="1"/>
    <s v="https://tools.sig.systems/site/details/239"/>
    <m/>
    <x v="1"/>
    <x v="0"/>
    <x v="52"/>
    <x v="0"/>
    <x v="0"/>
    <x v="47"/>
    <x v="53"/>
    <x v="71"/>
  </r>
  <r>
    <s v="(ML) Collision Center N Little Rock29"/>
    <x v="25"/>
    <x v="25"/>
    <x v="1"/>
    <x v="1"/>
    <x v="106"/>
    <x v="1"/>
    <s v="https://tools.sig.systems/site/details/212"/>
    <s v="https://www.google.com/maps/d/edit?mid=1Oky35ERk_2kgyzCvDu_odQ2ZP62BtqA&amp;usp=sharing"/>
    <x v="1"/>
    <x v="0"/>
    <x v="3"/>
    <x v="0"/>
    <x v="0"/>
    <x v="6"/>
    <x v="77"/>
    <x v="105"/>
  </r>
  <r>
    <s v="(PE) BMW Tenafly (NO TOURS)29"/>
    <x v="25"/>
    <x v="25"/>
    <x v="4"/>
    <x v="0"/>
    <x v="48"/>
    <x v="0"/>
    <s v="https://tools.sig.systems/site/details/155"/>
    <m/>
    <x v="1"/>
    <x v="0"/>
    <x v="36"/>
    <x v="18"/>
    <x v="0"/>
    <x v="6"/>
    <x v="19"/>
    <x v="48"/>
  </r>
  <r>
    <s v="(DT) Louisville29"/>
    <x v="25"/>
    <x v="26"/>
    <x v="0"/>
    <x v="0"/>
    <x v="67"/>
    <x v="0"/>
    <s v="https://tools.sig.systems/site/details/258"/>
    <m/>
    <x v="1"/>
    <x v="0"/>
    <x v="3"/>
    <x v="16"/>
    <x v="0"/>
    <x v="6"/>
    <x v="50"/>
    <x v="67"/>
  </r>
  <r>
    <s v="(ML) Joe Machens Capital City I &amp; II (NO TOURS)29"/>
    <x v="25"/>
    <x v="26"/>
    <x v="1"/>
    <x v="1"/>
    <x v="17"/>
    <x v="1"/>
    <s v="https://tools.sig.systems/site/details/271"/>
    <m/>
    <x v="1"/>
    <x v="0"/>
    <x v="3"/>
    <x v="6"/>
    <x v="0"/>
    <x v="15"/>
    <x v="16"/>
    <x v="17"/>
  </r>
  <r>
    <s v="(PE) JLR Darien PDI (NO TOURS)29"/>
    <x v="25"/>
    <x v="26"/>
    <x v="4"/>
    <x v="0"/>
    <x v="112"/>
    <x v="0"/>
    <s v="https://tools.sig.systems/site/details/187"/>
    <s v="https://www.google.com/maps/d/viewer?mid=1ebZp8DeTYSXNPgDIA63nFVDu9ohaO4E&amp;ll=41.08027837958441%2C-73.46597874999999&amp;z=15"/>
    <x v="1"/>
    <x v="0"/>
    <x v="6"/>
    <x v="0"/>
    <x v="0"/>
    <x v="74"/>
    <x v="83"/>
    <x v="111"/>
  </r>
  <r>
    <s v="(WAG) Greeley Chrysler Dodge Jeep Ram (NO TOURS)29"/>
    <x v="25"/>
    <x v="26"/>
    <x v="3"/>
    <x v="2"/>
    <x v="115"/>
    <x v="3"/>
    <s v="https://tools.sig.systems/site/details/130"/>
    <s v="https://www.google.com/maps/d/viewer?mid=1gN2lJ0iT7m5VNhD7aDcxE8AdXqtcOZc&amp;ll=40.396096737592195%2C-104.746842&amp;z=16"/>
    <x v="1"/>
    <x v="0"/>
    <x v="77"/>
    <x v="42"/>
    <x v="0"/>
    <x v="77"/>
    <x v="85"/>
    <x v="114"/>
  </r>
  <r>
    <s v="(AS) Park Place Mercedes Benz Arlington (NO TOURS)29"/>
    <x v="25"/>
    <x v="27"/>
    <x v="1"/>
    <x v="1"/>
    <x v="61"/>
    <x v="1"/>
    <s v="https://tools.sig.systems/site/details/169"/>
    <m/>
    <x v="1"/>
    <x v="0"/>
    <x v="46"/>
    <x v="0"/>
    <x v="11"/>
    <x v="41"/>
    <x v="46"/>
    <x v="61"/>
  </r>
  <r>
    <s v="(DT) Denver (NO TOURS)29"/>
    <x v="25"/>
    <x v="27"/>
    <x v="3"/>
    <x v="2"/>
    <x v="97"/>
    <x v="3"/>
    <s v="https://tools.sig.systems/site/details/203"/>
    <s v="https://www.google.com/maps/d/edit?mid=1AjZHz2LTg0RMhZUOmyZsv_Y4MFcaP8g&amp;usp=sharing"/>
    <x v="1"/>
    <x v="0"/>
    <x v="3"/>
    <x v="25"/>
    <x v="0"/>
    <x v="6"/>
    <x v="69"/>
    <x v="96"/>
  </r>
  <r>
    <s v="(JE) Jim Ellis Ford Sandy Springs29"/>
    <x v="25"/>
    <x v="27"/>
    <x v="0"/>
    <x v="0"/>
    <x v="69"/>
    <x v="0"/>
    <s v="https://tools.sig.systems/site/details/142"/>
    <m/>
    <x v="1"/>
    <x v="0"/>
    <x v="51"/>
    <x v="0"/>
    <x v="0"/>
    <x v="46"/>
    <x v="52"/>
    <x v="69"/>
  </r>
  <r>
    <s v="(RML) Burleson Nissan29"/>
    <x v="25"/>
    <x v="27"/>
    <x v="1"/>
    <x v="1"/>
    <x v="82"/>
    <x v="1"/>
    <s v="https://tools.sig.systems/site/details/202"/>
    <m/>
    <x v="1"/>
    <x v="0"/>
    <x v="58"/>
    <x v="0"/>
    <x v="0"/>
    <x v="56"/>
    <x v="11"/>
    <x v="82"/>
  </r>
  <r>
    <s v="(AS) Mike Shaw Subaru Greeley (NO TOURS)29"/>
    <x v="25"/>
    <x v="28"/>
    <x v="3"/>
    <x v="2"/>
    <x v="91"/>
    <x v="3"/>
    <s v="https://tools.sig.systems/site/details/174"/>
    <s v="https://www.google.com/maps/d/viewer?mid=1gN2lJ0iT7m5VNhD7aDcxE8AdXqtcOZc&amp;ll=40.396096737592195%2C-104.746842&amp;z=16"/>
    <x v="1"/>
    <x v="0"/>
    <x v="65"/>
    <x v="32"/>
    <x v="0"/>
    <x v="61"/>
    <x v="11"/>
    <x v="91"/>
  </r>
  <r>
    <s v="(AS) Park Place JLR DFW Airport (NO TOURS)29"/>
    <x v="25"/>
    <x v="28"/>
    <x v="1"/>
    <x v="1"/>
    <x v="93"/>
    <x v="1"/>
    <s v="https://tools.sig.systems/site/details/135"/>
    <m/>
    <x v="1"/>
    <x v="0"/>
    <x v="67"/>
    <x v="33"/>
    <x v="13"/>
    <x v="63"/>
    <x v="65"/>
    <x v="93"/>
  </r>
  <r>
    <s v="(DT) Albuquerque29"/>
    <x v="25"/>
    <x v="28"/>
    <x v="3"/>
    <x v="2"/>
    <x v="35"/>
    <x v="3"/>
    <s v="https://tools.sig.systems/site/details/237"/>
    <m/>
    <x v="1"/>
    <x v="0"/>
    <x v="27"/>
    <x v="0"/>
    <x v="0"/>
    <x v="27"/>
    <x v="29"/>
    <x v="35"/>
  </r>
  <r>
    <s v="(PE) Honda of Danbury (NO TOURS)29"/>
    <x v="25"/>
    <x v="28"/>
    <x v="4"/>
    <x v="0"/>
    <x v="49"/>
    <x v="0"/>
    <s v="https://tools.sig.systems/site/details/190"/>
    <m/>
    <x v="1"/>
    <x v="0"/>
    <x v="3"/>
    <x v="19"/>
    <x v="9"/>
    <x v="6"/>
    <x v="36"/>
    <x v="49"/>
  </r>
  <r>
    <s v="(AS) Park Place Bodywerks Ft. Worth (NO TOURS)30"/>
    <x v="26"/>
    <x v="0"/>
    <x v="1"/>
    <x v="1"/>
    <x v="92"/>
    <x v="1"/>
    <s v="https://tools.sig.systems/site/details/134"/>
    <s v="https://www.google.com/maps/d/edit?mid=18OEO_KbvYcgI3N1jE4gTMXfNHTNDrFU&amp;ll=32.66603989958274%2C-97.42021198201722&amp;z=18"/>
    <x v="1"/>
    <x v="0"/>
    <x v="66"/>
    <x v="0"/>
    <x v="0"/>
    <x v="62"/>
    <x v="64"/>
    <x v="92"/>
  </r>
  <r>
    <s v="(ML) Nissan Of Benton30"/>
    <x v="26"/>
    <x v="0"/>
    <x v="1"/>
    <x v="1"/>
    <x v="80"/>
    <x v="1"/>
    <s v="https://tools.sig.systems/site/details/247"/>
    <m/>
    <x v="1"/>
    <x v="0"/>
    <x v="57"/>
    <x v="0"/>
    <x v="0"/>
    <x v="54"/>
    <x v="11"/>
    <x v="80"/>
  </r>
  <r>
    <s v="(PE) Scofield Service Center (NO TOURS)30"/>
    <x v="26"/>
    <x v="0"/>
    <x v="4"/>
    <x v="0"/>
    <x v="113"/>
    <x v="0"/>
    <s v="https://tools.sig.systems/site/details/193"/>
    <s v="https://www.google.com/maps/d/viewer?mid=1FEo41PzFJQjUIXXKitX5TNCtuqR6Vbs&amp;ll=41.1663376742533%2C-73.22955662049608&amp;z=16"/>
    <x v="1"/>
    <x v="0"/>
    <x v="6"/>
    <x v="0"/>
    <x v="0"/>
    <x v="75"/>
    <x v="51"/>
    <x v="112"/>
  </r>
  <r>
    <s v="(RV) Toms Camperland Avondale (NO TOURS)30"/>
    <x v="26"/>
    <x v="0"/>
    <x v="5"/>
    <x v="3"/>
    <x v="24"/>
    <x v="4"/>
    <s v="https://tools.sig.systems/site/details/248"/>
    <s v="https://www.google.com/maps/d/viewer?mid=1bDs0QGFZwL3vEeGKxjVMk_j4azr0-lg&amp;ll=33.4593758581648%2C-112.28793780000001&amp;z=18"/>
    <x v="2"/>
    <x v="0"/>
    <x v="19"/>
    <x v="10"/>
    <x v="0"/>
    <x v="6"/>
    <x v="20"/>
    <x v="24"/>
  </r>
  <r>
    <s v="(AS) Stevinson Toyota West (NO TOURS)30"/>
    <x v="26"/>
    <x v="1"/>
    <x v="3"/>
    <x v="2"/>
    <x v="8"/>
    <x v="3"/>
    <s v="https://tools.sig.systems/site/details/240"/>
    <s v="https://www.google.com/maps/d/edit?mid=1nAyK85WaWREy0lfxnmWn3USs2gC0nP0&amp;usp=sharing"/>
    <x v="1"/>
    <x v="0"/>
    <x v="3"/>
    <x v="3"/>
    <x v="0"/>
    <x v="7"/>
    <x v="8"/>
    <x v="8"/>
  </r>
  <r>
    <s v="(KG) Texan CDJR30"/>
    <x v="26"/>
    <x v="1"/>
    <x v="1"/>
    <x v="1"/>
    <x v="13"/>
    <x v="1"/>
    <s v="https://tools.sig.systems/site/details/238"/>
    <s v="https://www.google.com/maps/d/edit?mid=1FNqK4dW8Z8gtSWuQLbStrtqe7lH8DIQ&amp;usp=sharing"/>
    <x v="1"/>
    <x v="0"/>
    <x v="12"/>
    <x v="0"/>
    <x v="5"/>
    <x v="11"/>
    <x v="13"/>
    <x v="13"/>
  </r>
  <r>
    <s v="(ML) Columbia Honda (NO TOURS)30"/>
    <x v="26"/>
    <x v="1"/>
    <x v="1"/>
    <x v="1"/>
    <x v="75"/>
    <x v="1"/>
    <s v="https://tools.sig.systems/site/details/272"/>
    <s v="https://www.google.com/maps/d/viewer?hl=es&amp;mid=1C1oZdjH3dNvCvqdpIv_Lk0Yn1OCVn-4&amp;ll=38.965368114274426%2C-92.3405954&amp;z=15"/>
    <x v="1"/>
    <x v="0"/>
    <x v="3"/>
    <x v="26"/>
    <x v="0"/>
    <x v="50"/>
    <x v="56"/>
    <x v="75"/>
  </r>
  <r>
    <s v="(KG) Kia of Phoenix (NO TOURS)30"/>
    <x v="26"/>
    <x v="2"/>
    <x v="5"/>
    <x v="3"/>
    <x v="40"/>
    <x v="4"/>
    <s v="https://tools.sig.systems/site/details/262"/>
    <m/>
    <x v="4"/>
    <x v="0"/>
    <x v="30"/>
    <x v="0"/>
    <x v="0"/>
    <x v="30"/>
    <x v="11"/>
    <x v="40"/>
  </r>
  <r>
    <s v="(KG) Texan GMC Buick (NO TOURS)30"/>
    <x v="26"/>
    <x v="2"/>
    <x v="1"/>
    <x v="1"/>
    <x v="41"/>
    <x v="1"/>
    <s v="https://tools.sig.systems/site/details/225"/>
    <s v="https://www.google.com/maps/d/edit?mid=1FNqK4dW8Z8gtSWuQLbStrtqe7lH8DIQ&amp;usp=sharing"/>
    <x v="1"/>
    <x v="0"/>
    <x v="31"/>
    <x v="0"/>
    <x v="0"/>
    <x v="31"/>
    <x v="33"/>
    <x v="41"/>
  </r>
  <r>
    <s v="(LM) Luther Mazda / Mitsubishi30"/>
    <x v="26"/>
    <x v="2"/>
    <x v="1"/>
    <x v="1"/>
    <x v="74"/>
    <x v="1"/>
    <s v="https://tools.sig.systems/site/details/147"/>
    <s v="https://www.google.com/maps/d/viewer?mid=1ot0ILX76JMuvd9yMuqkb4_e0yH1n7TA&amp;ll=45.07815812965141%2C-93.33506855000002&amp;z=17"/>
    <x v="1"/>
    <x v="0"/>
    <x v="55"/>
    <x v="0"/>
    <x v="12"/>
    <x v="6"/>
    <x v="55"/>
    <x v="74"/>
  </r>
  <r>
    <s v="(ML) Joe Machens CDJR30"/>
    <x v="26"/>
    <x v="2"/>
    <x v="1"/>
    <x v="1"/>
    <x v="43"/>
    <x v="1"/>
    <s v="https://tools.sig.systems/site/details/273"/>
    <s v="https://www.google.com/maps/d/viewer?hl=es&amp;mid=1C1oZdjH3dNvCvqdpIv_Lk0Yn1OCVn-4&amp;ll=38.965368114274455%2C-92.3405954&amp;z=15"/>
    <x v="1"/>
    <x v="0"/>
    <x v="3"/>
    <x v="16"/>
    <x v="0"/>
    <x v="6"/>
    <x v="35"/>
    <x v="43"/>
  </r>
  <r>
    <s v="(PE) BMW of Greenwich (NO TOURS)30"/>
    <x v="26"/>
    <x v="2"/>
    <x v="4"/>
    <x v="0"/>
    <x v="110"/>
    <x v="0"/>
    <s v="https://tools.sig.systems/site/details/186"/>
    <s v="https://www.google.com/maps/d/edit?hl=en&amp;mid=1UHmt7tH1ihTa85i0MfQIcTfVvIQg_vM&amp;ll=41.024187580466844%2C-73.63702405370861&amp;z=18"/>
    <x v="1"/>
    <x v="0"/>
    <x v="75"/>
    <x v="0"/>
    <x v="0"/>
    <x v="6"/>
    <x v="81"/>
    <x v="109"/>
  </r>
  <r>
    <s v="(ML) Joe Machens VW30"/>
    <x v="26"/>
    <x v="3"/>
    <x v="1"/>
    <x v="1"/>
    <x v="19"/>
    <x v="1"/>
    <s v="https://tools.sig.systems/site/details/274"/>
    <s v="https://www.google.com/maps/d/viewer?hl=es&amp;mid=1C1oZdjH3dNvCvqdpIv_Lk0Yn1OCVn-4&amp;ll=38.965368114274455%2C-92.3405954&amp;z=15"/>
    <x v="1"/>
    <x v="0"/>
    <x v="3"/>
    <x v="8"/>
    <x v="0"/>
    <x v="17"/>
    <x v="11"/>
    <x v="19"/>
  </r>
  <r>
    <s v="(ML) Mazda VW-Lot B30"/>
    <x v="26"/>
    <x v="3"/>
    <x v="1"/>
    <x v="1"/>
    <x v="45"/>
    <x v="1"/>
    <s v="https://tools.sig.systems/site/details/205"/>
    <s v="https://www.google.com/maps/d/edit?mid=1Oky35ERk_2kgyzCvDu_odQ2ZP62BtqA&amp;usp=sharing"/>
    <x v="1"/>
    <x v="0"/>
    <x v="33"/>
    <x v="9"/>
    <x v="0"/>
    <x v="30"/>
    <x v="11"/>
    <x v="45"/>
  </r>
  <r>
    <s v="(SCH) Chevrolet North Palm30"/>
    <x v="26"/>
    <x v="3"/>
    <x v="0"/>
    <x v="0"/>
    <x v="52"/>
    <x v="0"/>
    <s v="https://tools.sig.systems/site/details/160"/>
    <m/>
    <x v="3"/>
    <x v="0"/>
    <x v="39"/>
    <x v="0"/>
    <x v="0"/>
    <x v="6"/>
    <x v="38"/>
    <x v="52"/>
  </r>
  <r>
    <s v="(AS) Mercedes Benz/Porsche Dallas I,II,III (NO TOURS)30"/>
    <x v="26"/>
    <x v="4"/>
    <x v="1"/>
    <x v="1"/>
    <x v="2"/>
    <x v="1"/>
    <s v="https://tools.sig.systems/site/details/168"/>
    <s v="https://www.google.com/maps/d/edit?hl=es&amp;mid=1uPmsRMsXnp74hPFW2t-sp2totVWF_xY&amp;ll=32.83050137713022%2C-96.83197783061323&amp;z=17"/>
    <x v="1"/>
    <x v="0"/>
    <x v="2"/>
    <x v="0"/>
    <x v="2"/>
    <x v="2"/>
    <x v="2"/>
    <x v="2"/>
  </r>
  <r>
    <s v="(ML) Joe Machens Toyota30"/>
    <x v="26"/>
    <x v="4"/>
    <x v="1"/>
    <x v="1"/>
    <x v="18"/>
    <x v="1"/>
    <s v="https://tools.sig.systems/site/details/275"/>
    <s v="https://www.google.com/maps/d/viewer?hl=es&amp;mid=1C1oZdjH3dNvCvqdpIv_Lk0Yn1OCVn-4&amp;ll=38.965368114274455%2C-92.3405954&amp;z=15"/>
    <x v="1"/>
    <x v="0"/>
    <x v="3"/>
    <x v="7"/>
    <x v="0"/>
    <x v="16"/>
    <x v="11"/>
    <x v="18"/>
  </r>
  <r>
    <s v="(AS) Park Place Sprinter Van Center (NO TOURS)30"/>
    <x v="26"/>
    <x v="5"/>
    <x v="1"/>
    <x v="1"/>
    <x v="6"/>
    <x v="1"/>
    <s v="https://tools.sig.systems/site/details/138"/>
    <s v="https://www.google.com/maps/d/edit?hl=es&amp;mid=1uPmsRMsXnp74hPFW2t-sp2totVWF_xY&amp;ll=32.83050137713022%2C-96.83197783061323&amp;z=17"/>
    <x v="1"/>
    <x v="0"/>
    <x v="6"/>
    <x v="0"/>
    <x v="0"/>
    <x v="6"/>
    <x v="6"/>
    <x v="6"/>
  </r>
  <r>
    <s v="(AS) Park Place Volvo Service Center (NO TOURS)30"/>
    <x v="26"/>
    <x v="5"/>
    <x v="1"/>
    <x v="1"/>
    <x v="62"/>
    <x v="1"/>
    <s v="https://tools.sig.systems/site/details/171"/>
    <s v="https://www.google.com/maps/d/edit?hl=es&amp;mid=1uPmsRMsXnp74hPFW2t-sp2totVWF_xY&amp;ll=32.83050137713022%2C-96.83197783061323&amp;z=17"/>
    <x v="1"/>
    <x v="0"/>
    <x v="47"/>
    <x v="0"/>
    <x v="0"/>
    <x v="42"/>
    <x v="11"/>
    <x v="62"/>
  </r>
  <r>
    <s v="(HUD) Honda of Southpoint30"/>
    <x v="26"/>
    <x v="5"/>
    <x v="0"/>
    <x v="0"/>
    <x v="11"/>
    <x v="0"/>
    <s v="https://tools.sig.systems/site/details/195"/>
    <m/>
    <x v="0"/>
    <x v="0"/>
    <x v="10"/>
    <x v="4"/>
    <x v="0"/>
    <x v="10"/>
    <x v="11"/>
    <x v="11"/>
  </r>
  <r>
    <s v="(ML) Joe Machens E Collision Center30"/>
    <x v="26"/>
    <x v="5"/>
    <x v="1"/>
    <x v="1"/>
    <x v="76"/>
    <x v="1"/>
    <s v="https://tools.sig.systems/site/details/277"/>
    <s v="https://www.google.com/maps/d/viewer?hl=es&amp;mid=1C1oZdjH3dNvCvqdpIv_Lk0Yn1OCVn-4&amp;ll=38.965368114274455%2C-92.3405954&amp;z=15"/>
    <x v="1"/>
    <x v="0"/>
    <x v="6"/>
    <x v="0"/>
    <x v="0"/>
    <x v="51"/>
    <x v="57"/>
    <x v="76"/>
  </r>
  <r>
    <s v="(SCH) Prep Center Delray30"/>
    <x v="26"/>
    <x v="5"/>
    <x v="0"/>
    <x v="0"/>
    <x v="53"/>
    <x v="0"/>
    <s v="https://tools.sig.systems/site/details/321"/>
    <m/>
    <x v="1"/>
    <x v="0"/>
    <x v="40"/>
    <x v="0"/>
    <x v="0"/>
    <x v="6"/>
    <x v="39"/>
    <x v="53"/>
  </r>
  <r>
    <s v="(AS) Atwell Prep Center-Dallas (NO TOURS)30"/>
    <x v="26"/>
    <x v="6"/>
    <x v="1"/>
    <x v="1"/>
    <x v="86"/>
    <x v="1"/>
    <s v="https://tools.sig.systems/site/details/165"/>
    <s v="https://www.google.com/maps/d/edit?hl=es&amp;mid=1uPmsRMsXnp74hPFW2t-sp2totVWF_xY&amp;ll=32.83050137713022%2C-96.83197783061323&amp;z=17"/>
    <x v="1"/>
    <x v="0"/>
    <x v="61"/>
    <x v="0"/>
    <x v="0"/>
    <x v="6"/>
    <x v="28"/>
    <x v="86"/>
  </r>
  <r>
    <s v="(AS) Park Place Mercedes Benz Ft. Worth (NO TOURS)30"/>
    <x v="26"/>
    <x v="6"/>
    <x v="1"/>
    <x v="1"/>
    <x v="5"/>
    <x v="1"/>
    <s v="https://tools.sig.systems/site/details/137"/>
    <s v="https://www.google.com/maps/d/edit?mid=18OEO_KbvYcgI3N1jE4gTMXfNHTNDrFU&amp;ll=32.66603989958274%2C-97.42021198201722&amp;z=18"/>
    <x v="1"/>
    <x v="0"/>
    <x v="5"/>
    <x v="0"/>
    <x v="4"/>
    <x v="5"/>
    <x v="5"/>
    <x v="5"/>
  </r>
  <r>
    <s v="(HUD) Nissan Greensboro30"/>
    <x v="26"/>
    <x v="6"/>
    <x v="0"/>
    <x v="0"/>
    <x v="12"/>
    <x v="0"/>
    <s v="https://tools.sig.systems/site/details/236"/>
    <s v="https://www.google.com/maps/d/viewer?mid=1ejOzT7-x6RWnCf83BBP7XhiOiwEX3Wk&amp;ll=36.061264791292906%2C-79.87437695000003&amp;z=17"/>
    <x v="1"/>
    <x v="0"/>
    <x v="11"/>
    <x v="0"/>
    <x v="0"/>
    <x v="6"/>
    <x v="12"/>
    <x v="12"/>
  </r>
  <r>
    <s v="(ML) Joe Machens Temporary 2.030"/>
    <x v="26"/>
    <x v="6"/>
    <x v="1"/>
    <x v="1"/>
    <x v="44"/>
    <x v="1"/>
    <s v="https://tools.sig.systems/site/details/278"/>
    <s v="https://www.google.com/maps/d/viewer?hl=es&amp;mid=1C1oZdjH3dNvCvqdpIv_Lk0Yn1OCVn-4&amp;ll=38.965368114274455%2C-92.3405954&amp;z=15"/>
    <x v="1"/>
    <x v="0"/>
    <x v="3"/>
    <x v="17"/>
    <x v="0"/>
    <x v="33"/>
    <x v="11"/>
    <x v="44"/>
  </r>
  <r>
    <s v="(SCH) Auto Body Shop Lake Park30"/>
    <x v="26"/>
    <x v="6"/>
    <x v="0"/>
    <x v="0"/>
    <x v="83"/>
    <x v="0"/>
    <s v="https://tools.sig.systems/site/details/158"/>
    <m/>
    <x v="1"/>
    <x v="0"/>
    <x v="59"/>
    <x v="0"/>
    <x v="0"/>
    <x v="6"/>
    <x v="11"/>
    <x v="83"/>
  </r>
  <r>
    <s v="(AS) Courtesy Honda Palm Harbor (NO TOURS)30"/>
    <x v="26"/>
    <x v="7"/>
    <x v="0"/>
    <x v="0"/>
    <x v="88"/>
    <x v="0"/>
    <s v="https://tools.sig.systems/site/details/176"/>
    <m/>
    <x v="3"/>
    <x v="0"/>
    <x v="63"/>
    <x v="0"/>
    <x v="0"/>
    <x v="58"/>
    <x v="24"/>
    <x v="88"/>
  </r>
  <r>
    <s v="(AS) Nalley Lexus &amp; Remote Lot Roswell (NO TOURS)30"/>
    <x v="26"/>
    <x v="7"/>
    <x v="2"/>
    <x v="0"/>
    <x v="4"/>
    <x v="2"/>
    <s v="https://tools.sig.systems/site/details/131"/>
    <s v="https://www.google.com/maps/d/edit?mid=1jkN3DS1BhUqp_dztjjW0PDwKfo_Yxsw&amp;usp=sharing"/>
    <x v="1"/>
    <x v="1"/>
    <x v="4"/>
    <x v="1"/>
    <x v="3"/>
    <x v="4"/>
    <x v="4"/>
    <x v="4"/>
  </r>
  <r>
    <s v="(AS) Park Place Bodywerks Dallas (NO TOURS)30"/>
    <x v="26"/>
    <x v="7"/>
    <x v="1"/>
    <x v="1"/>
    <x v="59"/>
    <x v="1"/>
    <s v="https://tools.sig.systems/site/details/166"/>
    <s v="https://www.google.com/maps/d/edit?hl=es&amp;mid=1uPmsRMsXnp74hPFW2t-sp2totVWF_xY&amp;ll=32.83050137713022%2C-96.83197783061323&amp;z=17"/>
    <x v="1"/>
    <x v="0"/>
    <x v="44"/>
    <x v="9"/>
    <x v="0"/>
    <x v="6"/>
    <x v="45"/>
    <x v="59"/>
  </r>
  <r>
    <s v="(ML) Joe Machens Nissan30"/>
    <x v="26"/>
    <x v="7"/>
    <x v="1"/>
    <x v="1"/>
    <x v="78"/>
    <x v="1"/>
    <s v="https://tools.sig.systems/site/details/279"/>
    <s v="https://www.google.com/maps/d/viewer?hl=es&amp;mid=1C1oZdjH3dNvCvqdpIv_Lk0Yn1OCVn-4&amp;ll=38.965368114274455%2C-92.3405954&amp;z=15"/>
    <x v="1"/>
    <x v="0"/>
    <x v="3"/>
    <x v="28"/>
    <x v="0"/>
    <x v="6"/>
    <x v="11"/>
    <x v="78"/>
  </r>
  <r>
    <s v="(AS) Park Place MB Recon Center Dallas (NO TOURS)30"/>
    <x v="26"/>
    <x v="8"/>
    <x v="1"/>
    <x v="1"/>
    <x v="60"/>
    <x v="1"/>
    <s v="https://tools.sig.systems/site/details/170"/>
    <s v="https://www.google.com/maps/d/edit?hl=es&amp;mid=1uPmsRMsXnp74hPFW2t-sp2totVWF_xY&amp;ll=32.83050137713022%2C-96.83197783061323&amp;z=17"/>
    <x v="1"/>
    <x v="0"/>
    <x v="45"/>
    <x v="0"/>
    <x v="0"/>
    <x v="40"/>
    <x v="19"/>
    <x v="60"/>
  </r>
  <r>
    <s v="(ML) Joe Machens Kia of Columbia30"/>
    <x v="26"/>
    <x v="8"/>
    <x v="1"/>
    <x v="1"/>
    <x v="107"/>
    <x v="1"/>
    <s v="https://tools.sig.systems/site/details/270"/>
    <s v="https://www.google.com/maps/d/viewer?hl=es&amp;mid=1C1oZdjH3dNvCvqdpIv_Lk0Yn1OCVn-4&amp;ll=38.965368114274455%2C-92.3405954&amp;z=15"/>
    <x v="1"/>
    <x v="0"/>
    <x v="3"/>
    <x v="39"/>
    <x v="0"/>
    <x v="6"/>
    <x v="78"/>
    <x v="106"/>
  </r>
  <r>
    <s v="(RML) Burleson Nissan30"/>
    <x v="26"/>
    <x v="8"/>
    <x v="1"/>
    <x v="1"/>
    <x v="82"/>
    <x v="1"/>
    <s v="https://tools.sig.systems/site/details/202"/>
    <m/>
    <x v="1"/>
    <x v="0"/>
    <x v="58"/>
    <x v="0"/>
    <x v="0"/>
    <x v="56"/>
    <x v="11"/>
    <x v="82"/>
  </r>
  <r>
    <s v="(SCH) Delray I &amp; II30"/>
    <x v="26"/>
    <x v="8"/>
    <x v="0"/>
    <x v="0"/>
    <x v="26"/>
    <x v="0"/>
    <s v="https://tools.sig.systems/site/details/159"/>
    <m/>
    <x v="3"/>
    <x v="0"/>
    <x v="21"/>
    <x v="11"/>
    <x v="6"/>
    <x v="6"/>
    <x v="22"/>
    <x v="26"/>
  </r>
  <r>
    <s v="(SCH) West Palm Beach I, II &amp; III30"/>
    <x v="26"/>
    <x v="9"/>
    <x v="6"/>
    <x v="0"/>
    <x v="54"/>
    <x v="0"/>
    <s v="https://tools.sig.systems/site/details/162"/>
    <m/>
    <x v="3"/>
    <x v="2"/>
    <x v="41"/>
    <x v="20"/>
    <x v="10"/>
    <x v="6"/>
    <x v="40"/>
    <x v="54"/>
  </r>
  <r>
    <s v="(AS) David McDavid Lincoln Frisco (NO TOURS)30"/>
    <x v="26"/>
    <x v="10"/>
    <x v="1"/>
    <x v="1"/>
    <x v="58"/>
    <x v="1"/>
    <s v="https://tools.sig.systems/site/details/182"/>
    <m/>
    <x v="1"/>
    <x v="0"/>
    <x v="43"/>
    <x v="0"/>
    <x v="0"/>
    <x v="39"/>
    <x v="44"/>
    <x v="58"/>
  </r>
  <r>
    <s v="(AS) Nalley BMW Collision Center (NO TOURS)30"/>
    <x v="26"/>
    <x v="10"/>
    <x v="0"/>
    <x v="0"/>
    <x v="3"/>
    <x v="0"/>
    <s v="https://tools.sig.systems/site/details/220"/>
    <m/>
    <x v="1"/>
    <x v="0"/>
    <x v="3"/>
    <x v="1"/>
    <x v="0"/>
    <x v="3"/>
    <x v="3"/>
    <x v="3"/>
  </r>
  <r>
    <s v="(AS) Park Place Volvo Sales (NO TOURS)30"/>
    <x v="26"/>
    <x v="10"/>
    <x v="1"/>
    <x v="1"/>
    <x v="33"/>
    <x v="1"/>
    <s v="https://tools.sig.systems/site/details/139"/>
    <s v="https://www.google.com/maps/d/edit?hl=es&amp;mid=1uPmsRMsXnp74hPFW2t-sp2totVWF_xY&amp;ll=32.83050137713022%2C-96.83197783061323&amp;z=17"/>
    <x v="1"/>
    <x v="0"/>
    <x v="26"/>
    <x v="0"/>
    <x v="0"/>
    <x v="26"/>
    <x v="27"/>
    <x v="33"/>
  </r>
  <r>
    <s v="(ML) Volvo Collision Corp30"/>
    <x v="26"/>
    <x v="10"/>
    <x v="1"/>
    <x v="1"/>
    <x v="47"/>
    <x v="1"/>
    <s v="https://tools.sig.systems/site/details/223"/>
    <m/>
    <x v="1"/>
    <x v="0"/>
    <x v="35"/>
    <x v="1"/>
    <x v="0"/>
    <x v="35"/>
    <x v="11"/>
    <x v="47"/>
  </r>
  <r>
    <s v="(PE) Fairfield Collision (NO TOURS)30"/>
    <x v="26"/>
    <x v="10"/>
    <x v="4"/>
    <x v="0"/>
    <x v="22"/>
    <x v="0"/>
    <s v="https://tools.sig.systems/site/details/191"/>
    <m/>
    <x v="1"/>
    <x v="0"/>
    <x v="18"/>
    <x v="0"/>
    <x v="0"/>
    <x v="6"/>
    <x v="18"/>
    <x v="22"/>
  </r>
  <r>
    <s v="(HUD) Acura of Greensboro30"/>
    <x v="26"/>
    <x v="11"/>
    <x v="0"/>
    <x v="0"/>
    <x v="99"/>
    <x v="0"/>
    <s v="https://tools.sig.systems/site/details/213"/>
    <s v="https://www.google.com/maps/d/viewer?mid=1ejOzT7-x6RWnCf83BBP7XhiOiwEX3Wk&amp;ll=0%2C0&amp;z=17"/>
    <x v="1"/>
    <x v="0"/>
    <x v="69"/>
    <x v="0"/>
    <x v="0"/>
    <x v="67"/>
    <x v="71"/>
    <x v="98"/>
  </r>
  <r>
    <s v="(MK) McKenny Salinas Honda30"/>
    <x v="26"/>
    <x v="11"/>
    <x v="0"/>
    <x v="0"/>
    <x v="104"/>
    <x v="0"/>
    <s v="https://tools.sig.systems/site/details/149"/>
    <m/>
    <x v="1"/>
    <x v="0"/>
    <x v="3"/>
    <x v="37"/>
    <x v="0"/>
    <x v="6"/>
    <x v="75"/>
    <x v="103"/>
  </r>
  <r>
    <s v="(ML) Ford Lincoln of North Little Rock30"/>
    <x v="26"/>
    <x v="11"/>
    <x v="1"/>
    <x v="1"/>
    <x v="42"/>
    <x v="1"/>
    <s v="https://tools.sig.systems/site/details/214"/>
    <s v="https://www.google.com/maps/d/edit?mid=1Oky35ERk_2kgyzCvDu_odQ2ZP62BtqA&amp;usp=sharing"/>
    <x v="1"/>
    <x v="0"/>
    <x v="32"/>
    <x v="4"/>
    <x v="0"/>
    <x v="32"/>
    <x v="34"/>
    <x v="42"/>
  </r>
  <r>
    <s v="(PE) Mercedes Benz &amp; Smart Bldg. of Fairfield (NO TOURS)30"/>
    <x v="26"/>
    <x v="11"/>
    <x v="4"/>
    <x v="0"/>
    <x v="23"/>
    <x v="0"/>
    <s v="https://tools.sig.systems/site/details/192"/>
    <s v="https://www.google.com/maps/d/viewer?mid=1FEo41PzFJQjUIXXKitX5TNCtuqR6Vbs&amp;ll=41.1663376742533%2C-73.22955662049608&amp;z=16"/>
    <x v="1"/>
    <x v="0"/>
    <x v="3"/>
    <x v="9"/>
    <x v="0"/>
    <x v="20"/>
    <x v="19"/>
    <x v="23"/>
  </r>
  <r>
    <s v="(AS) David McDavid Honda I &amp; II (NO TOURS)30"/>
    <x v="26"/>
    <x v="12"/>
    <x v="1"/>
    <x v="1"/>
    <x v="90"/>
    <x v="1"/>
    <s v="https://tools.sig.systems/site/details/129"/>
    <m/>
    <x v="1"/>
    <x v="0"/>
    <x v="3"/>
    <x v="31"/>
    <x v="0"/>
    <x v="60"/>
    <x v="63"/>
    <x v="90"/>
  </r>
  <r>
    <s v="(AS) Plano Auction (NO SPEAKERS)30"/>
    <x v="26"/>
    <x v="12"/>
    <x v="1"/>
    <x v="1"/>
    <x v="94"/>
    <x v="1"/>
    <s v="https://tools.sig.systems/site/details/140"/>
    <m/>
    <x v="1"/>
    <x v="0"/>
    <x v="3"/>
    <x v="34"/>
    <x v="0"/>
    <x v="64"/>
    <x v="66"/>
    <x v="94"/>
  </r>
  <r>
    <s v="(HUD) BMW of Greensboro30"/>
    <x v="26"/>
    <x v="12"/>
    <x v="0"/>
    <x v="0"/>
    <x v="100"/>
    <x v="0"/>
    <s v="https://tools.sig.systems/site/details/219"/>
    <s v="https://www.google.com/maps/d/viewer?mid=1ejOzT7-x6RWnCf83BBP7XhiOiwEX3Wk&amp;ll=36.061264791292906%2C-79.87437695000003&amp;z=17"/>
    <x v="1"/>
    <x v="0"/>
    <x v="70"/>
    <x v="0"/>
    <x v="0"/>
    <x v="68"/>
    <x v="72"/>
    <x v="99"/>
  </r>
  <r>
    <s v="(AS) Coggin Mercedes Benz Ft Pierce (NO TOURS)30"/>
    <x v="26"/>
    <x v="13"/>
    <x v="0"/>
    <x v="0"/>
    <x v="28"/>
    <x v="0"/>
    <s v="https://tools.sig.systems/site/details/127"/>
    <s v="https://www.google.com/maps/d/viewer?mid=1AyViBuyeq7iwDua1SVudJ2A1BYi3IBA&amp;ll=27.38181516363982%2C-80.32568845000002&amp;z=18"/>
    <x v="1"/>
    <x v="0"/>
    <x v="22"/>
    <x v="13"/>
    <x v="0"/>
    <x v="22"/>
    <x v="23"/>
    <x v="28"/>
  </r>
  <r>
    <s v="(DT) El Cajon (NO TOURS)30"/>
    <x v="26"/>
    <x v="13"/>
    <x v="5"/>
    <x v="4"/>
    <x v="66"/>
    <x v="4"/>
    <s v="https://tools.sig.systems/site/details/241"/>
    <m/>
    <x v="1"/>
    <x v="0"/>
    <x v="3"/>
    <x v="16"/>
    <x v="0"/>
    <x v="6"/>
    <x v="11"/>
    <x v="66"/>
  </r>
  <r>
    <s v="(KG) Truck Center Remote Storage Lot30"/>
    <x v="26"/>
    <x v="13"/>
    <x v="2"/>
    <x v="2"/>
    <x v="14"/>
    <x v="2"/>
    <s v="https://tools.sig.systems/site/details/144"/>
    <m/>
    <x v="1"/>
    <x v="0"/>
    <x v="13"/>
    <x v="5"/>
    <x v="0"/>
    <x v="12"/>
    <x v="14"/>
    <x v="14"/>
  </r>
  <r>
    <s v="(ML) McLarty-Gray Daniels Chevrolet30"/>
    <x v="26"/>
    <x v="13"/>
    <x v="1"/>
    <x v="1"/>
    <x v="109"/>
    <x v="1"/>
    <s v="https://tools.sig.systems/site/details/150"/>
    <m/>
    <x v="1"/>
    <x v="0"/>
    <x v="74"/>
    <x v="0"/>
    <x v="0"/>
    <x v="73"/>
    <x v="80"/>
    <x v="108"/>
  </r>
  <r>
    <s v="(AS) Coggin Honda Ft. Pierce (NO TOURS)30"/>
    <x v="26"/>
    <x v="14"/>
    <x v="0"/>
    <x v="0"/>
    <x v="0"/>
    <x v="0"/>
    <s v="https://tools.sig.systems/site/details/120"/>
    <s v="https://www.google.com/maps/d/viewer?mid=1AyViBuyeq7iwDua1SVudJ2A1BYi3IBA&amp;ll=27.38181516363982%2C-80.32568845000002&amp;z=18"/>
    <x v="0"/>
    <x v="0"/>
    <x v="0"/>
    <x v="0"/>
    <x v="0"/>
    <x v="0"/>
    <x v="0"/>
    <x v="0"/>
  </r>
  <r>
    <s v="(AS) Mike Shaw Subaru Greeley (NO TOURS)30"/>
    <x v="26"/>
    <x v="14"/>
    <x v="3"/>
    <x v="2"/>
    <x v="91"/>
    <x v="3"/>
    <s v="https://tools.sig.systems/site/details/174"/>
    <s v="https://www.google.com/maps/d/viewer?mid=1gN2lJ0iT7m5VNhD7aDcxE8AdXqtcOZc&amp;ll=40.396096737592195%2C-104.746842&amp;z=16"/>
    <x v="1"/>
    <x v="0"/>
    <x v="65"/>
    <x v="32"/>
    <x v="0"/>
    <x v="61"/>
    <x v="11"/>
    <x v="91"/>
  </r>
  <r>
    <s v="(AS) Stevinson JLR (NO TOURS)30"/>
    <x v="26"/>
    <x v="14"/>
    <x v="3"/>
    <x v="2"/>
    <x v="64"/>
    <x v="3"/>
    <s v="https://tools.sig.systems/site/details/204"/>
    <m/>
    <x v="1"/>
    <x v="0"/>
    <x v="49"/>
    <x v="1"/>
    <x v="0"/>
    <x v="44"/>
    <x v="48"/>
    <x v="64"/>
  </r>
  <r>
    <s v="(DT) Albuquerque30"/>
    <x v="26"/>
    <x v="14"/>
    <x v="3"/>
    <x v="2"/>
    <x v="35"/>
    <x v="3"/>
    <s v="https://tools.sig.systems/site/details/237"/>
    <m/>
    <x v="1"/>
    <x v="0"/>
    <x v="27"/>
    <x v="0"/>
    <x v="0"/>
    <x v="27"/>
    <x v="29"/>
    <x v="35"/>
  </r>
  <r>
    <s v="(HUD) CDJR of Greensboro30"/>
    <x v="26"/>
    <x v="14"/>
    <x v="0"/>
    <x v="0"/>
    <x v="68"/>
    <x v="6"/>
    <s v="https://tools.sig.systems/site/details/215"/>
    <s v="https://www.google.com/maps/d/viewer?mid=1ejOzT7-x6RWnCf83BBP7XhiOiwEX3Wk&amp;ll=36.061264791292906%2C-79.87437695000003&amp;z=17"/>
    <x v="3"/>
    <x v="0"/>
    <x v="50"/>
    <x v="0"/>
    <x v="0"/>
    <x v="45"/>
    <x v="51"/>
    <x v="68"/>
  </r>
  <r>
    <s v="(AS) Coggin Acura Ft Pierce (NO TOURS)30"/>
    <x v="26"/>
    <x v="15"/>
    <x v="0"/>
    <x v="0"/>
    <x v="27"/>
    <x v="0"/>
    <s v="https://tools.sig.systems/site/details/118"/>
    <s v="https://www.google.com/maps/d/viewer?mid=1AyViBuyeq7iwDua1SVudJ2A1BYi3IBA&amp;ll=27.38181516363982%2C-80.32568845000002&amp;z=18"/>
    <x v="1"/>
    <x v="0"/>
    <x v="3"/>
    <x v="12"/>
    <x v="0"/>
    <x v="21"/>
    <x v="19"/>
    <x v="27"/>
  </r>
  <r>
    <s v="(HUD) Honda Greensboro30"/>
    <x v="26"/>
    <x v="15"/>
    <x v="0"/>
    <x v="0"/>
    <x v="37"/>
    <x v="0"/>
    <s v="https://tools.sig.systems/site/details/230"/>
    <s v="AS/ HUD - Crown Greensboro - Google My Maps"/>
    <x v="1"/>
    <x v="0"/>
    <x v="28"/>
    <x v="0"/>
    <x v="0"/>
    <x v="28"/>
    <x v="31"/>
    <x v="37"/>
  </r>
  <r>
    <s v="(ML) Honda of Little Rock30"/>
    <x v="26"/>
    <x v="15"/>
    <x v="1"/>
    <x v="1"/>
    <x v="16"/>
    <x v="1"/>
    <s v="https://tools.sig.systems/site/details/249"/>
    <s v="https://www.google.com/maps/d/viewer?mid=1hvbKFMO-d5TXrKGU-g5dt_xcdArB1D0&amp;ll=34.71147784120261%2C-92.40574350000001&amp;z=17"/>
    <x v="1"/>
    <x v="0"/>
    <x v="15"/>
    <x v="0"/>
    <x v="0"/>
    <x v="14"/>
    <x v="15"/>
    <x v="16"/>
  </r>
  <r>
    <s v="(PE) Honda of Danbury (NO TOURS)30"/>
    <x v="26"/>
    <x v="15"/>
    <x v="4"/>
    <x v="0"/>
    <x v="49"/>
    <x v="0"/>
    <s v="https://tools.sig.systems/site/details/190"/>
    <m/>
    <x v="1"/>
    <x v="0"/>
    <x v="3"/>
    <x v="19"/>
    <x v="9"/>
    <x v="6"/>
    <x v="36"/>
    <x v="49"/>
  </r>
  <r>
    <s v="(AS) Audi of North Atlanta (NO TOURS)30"/>
    <x v="26"/>
    <x v="16"/>
    <x v="0"/>
    <x v="0"/>
    <x v="87"/>
    <x v="0"/>
    <s v="https://tools.sig.systems/site/details/124"/>
    <s v="https://www.google.com/maps/d/edit?mid=1jkN3DS1BhUqp_dztjjW0PDwKfo_Yxsw&amp;usp=sharing"/>
    <x v="1"/>
    <x v="0"/>
    <x v="62"/>
    <x v="0"/>
    <x v="0"/>
    <x v="57"/>
    <x v="61"/>
    <x v="87"/>
  </r>
  <r>
    <s v="(HUD) Paint and Body Center (NO TOURS)30"/>
    <x v="26"/>
    <x v="16"/>
    <x v="0"/>
    <x v="0"/>
    <x v="38"/>
    <x v="0"/>
    <s v="https://tools.sig.systems/site/details/256"/>
    <s v="https://www.google.com/maps/d/viewer?mid=1ejOzT7-x6RWnCf83BBP7XhiOiwEX3Wk&amp;ll=36.061264791292906%2C-79.87437695000003&amp;z=17"/>
    <x v="1"/>
    <x v="0"/>
    <x v="3"/>
    <x v="9"/>
    <x v="0"/>
    <x v="6"/>
    <x v="11"/>
    <x v="38"/>
  </r>
  <r>
    <s v="(ML) Nissan of Little Rock30"/>
    <x v="26"/>
    <x v="16"/>
    <x v="1"/>
    <x v="1"/>
    <x v="46"/>
    <x v="1"/>
    <s v="https://tools.sig.systems/site/details/224"/>
    <s v="https://www.google.com/maps/d/viewer?mid=1hvbKFMO-d5TXrKGU-g5dt_xcdArB1D0&amp;ll=34.71147784120261%2C-92.40574350000001&amp;z=17"/>
    <x v="1"/>
    <x v="0"/>
    <x v="34"/>
    <x v="0"/>
    <x v="0"/>
    <x v="34"/>
    <x v="7"/>
    <x v="46"/>
  </r>
  <r>
    <s v="(ML) Nissan of North Little Rock30"/>
    <x v="26"/>
    <x v="16"/>
    <x v="1"/>
    <x v="1"/>
    <x v="20"/>
    <x v="1"/>
    <s v="https://tools.sig.systems/site/details/216"/>
    <s v="https://www.google.com/maps/d/edit?mid=1Oky35ERk_2kgyzCvDu_odQ2ZP62BtqA&amp;usp=sharing"/>
    <x v="1"/>
    <x v="0"/>
    <x v="16"/>
    <x v="0"/>
    <x v="0"/>
    <x v="18"/>
    <x v="17"/>
    <x v="20"/>
  </r>
  <r>
    <s v="(AS) Courtesy Kia of Brandon (NO TOURS)30"/>
    <x v="26"/>
    <x v="17"/>
    <x v="0"/>
    <x v="0"/>
    <x v="57"/>
    <x v="0"/>
    <s v="https://tools.sig.systems/site/details/121"/>
    <s v="https://www.google.com/maps/d/edit?mid=15R4hTDQx56ij99--JgozdqOIZh-kSlk&amp;usp=sharing"/>
    <x v="0"/>
    <x v="0"/>
    <x v="3"/>
    <x v="22"/>
    <x v="0"/>
    <x v="38"/>
    <x v="43"/>
    <x v="57"/>
  </r>
  <r>
    <s v="(AS) Nalley Luxury Collision Center (NO TOURS)30"/>
    <x v="26"/>
    <x v="17"/>
    <x v="0"/>
    <x v="0"/>
    <x v="31"/>
    <x v="0"/>
    <s v="https://tools.sig.systems/site/details/263"/>
    <s v="https://www.google.com/maps/d/edit?mid=1jkN3DS1BhUqp_dztjjW0PDwKfo_Yxsw&amp;usp=sharing"/>
    <x v="1"/>
    <x v="0"/>
    <x v="4"/>
    <x v="0"/>
    <x v="0"/>
    <x v="6"/>
    <x v="26"/>
    <x v="31"/>
  </r>
  <r>
    <s v="(DT) Denver (NO TOURS)30"/>
    <x v="26"/>
    <x v="17"/>
    <x v="3"/>
    <x v="2"/>
    <x v="97"/>
    <x v="3"/>
    <s v="https://tools.sig.systems/site/details/203"/>
    <s v="https://www.google.com/maps/d/edit?mid=1AjZHz2LTg0RMhZUOmyZsv_Y4MFcaP8g&amp;usp=sharing"/>
    <x v="1"/>
    <x v="0"/>
    <x v="3"/>
    <x v="25"/>
    <x v="0"/>
    <x v="6"/>
    <x v="69"/>
    <x v="96"/>
  </r>
  <r>
    <s v="(DT) N. Houston30"/>
    <x v="26"/>
    <x v="17"/>
    <x v="1"/>
    <x v="1"/>
    <x v="9"/>
    <x v="1"/>
    <s v="https://tools.sig.systems/site/details/250"/>
    <m/>
    <x v="1"/>
    <x v="0"/>
    <x v="8"/>
    <x v="0"/>
    <x v="0"/>
    <x v="8"/>
    <x v="9"/>
    <x v="9"/>
  </r>
  <r>
    <s v="(ML) BMW of Little Rock30"/>
    <x v="26"/>
    <x v="17"/>
    <x v="1"/>
    <x v="1"/>
    <x v="105"/>
    <x v="1"/>
    <s v="https://tools.sig.systems/site/details/217"/>
    <s v="https://www.google.com/maps/d/viewer?mid=1hvbKFMO-d5TXrKGU-g5dt_xcdArB1D0&amp;ll=34.71147784120261%2C-92.40574350000001&amp;z=17"/>
    <x v="1"/>
    <x v="0"/>
    <x v="3"/>
    <x v="38"/>
    <x v="0"/>
    <x v="6"/>
    <x v="76"/>
    <x v="104"/>
  </r>
  <r>
    <s v="(AS) Stevinson Chevrolet Golden (NO TOURS)30"/>
    <x v="26"/>
    <x v="18"/>
    <x v="7"/>
    <x v="2"/>
    <x v="96"/>
    <x v="3"/>
    <s v="https://tools.sig.systems/site/details/264"/>
    <s v="https://www.google.com/maps/d/edit?mid=1nAyK85WaWREy0lfxnmWn3USs2gC0nP0&amp;usp=sharing"/>
    <x v="1"/>
    <x v="0"/>
    <x v="3"/>
    <x v="36"/>
    <x v="0"/>
    <x v="66"/>
    <x v="68"/>
    <x v="95"/>
  </r>
  <r>
    <s v="(DT) Colorado Springs (NO TOURS)30"/>
    <x v="26"/>
    <x v="18"/>
    <x v="3"/>
    <x v="2"/>
    <x v="65"/>
    <x v="3"/>
    <s v="https://tools.sig.systems/site/details/198"/>
    <m/>
    <x v="1"/>
    <x v="0"/>
    <x v="3"/>
    <x v="24"/>
    <x v="0"/>
    <x v="6"/>
    <x v="49"/>
    <x v="65"/>
  </r>
  <r>
    <s v="(KG) Clear Lake Pre-Owned30"/>
    <x v="26"/>
    <x v="18"/>
    <x v="1"/>
    <x v="1"/>
    <x v="39"/>
    <x v="1"/>
    <s v="https://tools.sig.systems/site/details/255"/>
    <s v="https://www.google.com/maps/d/edit?mid=1DRwy5fy1g5UzGTA7a1OkQA-_CY8SQ2s&amp;usp=sharing"/>
    <x v="1"/>
    <x v="0"/>
    <x v="29"/>
    <x v="0"/>
    <x v="0"/>
    <x v="29"/>
    <x v="32"/>
    <x v="39"/>
  </r>
  <r>
    <s v="(KT) Northwest CDJR (NO TOURS)30"/>
    <x v="26"/>
    <x v="18"/>
    <x v="1"/>
    <x v="1"/>
    <x v="15"/>
    <x v="1"/>
    <s v="https://tools.sig.systems/site/details/229"/>
    <m/>
    <x v="1"/>
    <x v="0"/>
    <x v="14"/>
    <x v="0"/>
    <x v="0"/>
    <x v="13"/>
    <x v="11"/>
    <x v="15"/>
  </r>
  <r>
    <s v="(RV) Toms Camperland Surprise (NO TOURS)30"/>
    <x v="26"/>
    <x v="18"/>
    <x v="5"/>
    <x v="3"/>
    <x v="51"/>
    <x v="4"/>
    <s v="https://tools.sig.systems/site/details/254"/>
    <m/>
    <x v="5"/>
    <x v="0"/>
    <x v="38"/>
    <x v="0"/>
    <x v="0"/>
    <x v="6"/>
    <x v="37"/>
    <x v="51"/>
  </r>
  <r>
    <s v="(AS) Courtesy CDJR of Brandon (NO TOURS)30"/>
    <x v="26"/>
    <x v="19"/>
    <x v="0"/>
    <x v="0"/>
    <x v="56"/>
    <x v="0"/>
    <s v="https://tools.sig.systems/site/details/126"/>
    <s v="https://www.google.com/maps/d/edit?mid=15R4hTDQx56ij99--JgozdqOIZh-kSlk&amp;usp=sharing"/>
    <x v="0"/>
    <x v="0"/>
    <x v="42"/>
    <x v="9"/>
    <x v="0"/>
    <x v="37"/>
    <x v="42"/>
    <x v="56"/>
  </r>
  <r>
    <s v="(KG) Big Star CDJR of Clear Lake30"/>
    <x v="26"/>
    <x v="19"/>
    <x v="1"/>
    <x v="1"/>
    <x v="101"/>
    <x v="1"/>
    <s v="https://tools.sig.systems/site/details/232"/>
    <s v="https://www.google.com/maps/d/edit?mid=1DRwy5fy1g5UzGTA7a1OkQA-_CY8SQ2s&amp;usp=sharing"/>
    <x v="1"/>
    <x v="0"/>
    <x v="71"/>
    <x v="0"/>
    <x v="0"/>
    <x v="69"/>
    <x v="73"/>
    <x v="100"/>
  </r>
  <r>
    <s v="(KG) Big Star Ford30"/>
    <x v="26"/>
    <x v="19"/>
    <x v="1"/>
    <x v="1"/>
    <x v="102"/>
    <x v="1"/>
    <s v="https://tools.sig.systems/site/details/235"/>
    <m/>
    <x v="1"/>
    <x v="0"/>
    <x v="72"/>
    <x v="0"/>
    <x v="0"/>
    <x v="70"/>
    <x v="74"/>
    <x v="101"/>
  </r>
  <r>
    <s v="(AS) Plaza Lexus/Mercedes/BMW (NO TOURS)30"/>
    <x v="26"/>
    <x v="20"/>
    <x v="1"/>
    <x v="1"/>
    <x v="63"/>
    <x v="1"/>
    <s v="https://tools.sig.systems/site/details/141"/>
    <s v="https://www.google.com/maps/d/viewer?mid=1whGZ1PLqmhJnGFz8uigZqUL4cHGGW3w&amp;ll=38.668847686454825%2C-90.4433601&amp;z=17"/>
    <x v="1"/>
    <x v="0"/>
    <x v="48"/>
    <x v="23"/>
    <x v="0"/>
    <x v="43"/>
    <x v="47"/>
    <x v="63"/>
  </r>
  <r>
    <s v="(AS) Stevinson Lexus of Lakewood (NO TOURS)30"/>
    <x v="26"/>
    <x v="20"/>
    <x v="3"/>
    <x v="2"/>
    <x v="34"/>
    <x v="3"/>
    <s v="https://tools.sig.systems/site/details/260"/>
    <s v="https://www.google.com/maps/d/edit?mid=1nAyK85WaWREy0lfxnmWn3USs2gC0nP0&amp;usp=sharing"/>
    <x v="1"/>
    <x v="0"/>
    <x v="3"/>
    <x v="14"/>
    <x v="8"/>
    <x v="6"/>
    <x v="28"/>
    <x v="34"/>
  </r>
  <r>
    <s v="(ML) Toyota N Little Rock30"/>
    <x v="26"/>
    <x v="20"/>
    <x v="1"/>
    <x v="1"/>
    <x v="21"/>
    <x v="1"/>
    <s v="https://tools.sig.systems/site/details/201"/>
    <s v="https://www.google.com/maps/d/edit?mid=1Oky35ERk_2kgyzCvDu_odQ2ZP62BtqA&amp;usp=sharing"/>
    <x v="1"/>
    <x v="0"/>
    <x v="17"/>
    <x v="0"/>
    <x v="0"/>
    <x v="19"/>
    <x v="11"/>
    <x v="21"/>
  </r>
  <r>
    <s v="(TC) Tavernier Creek Marina (NO TOURS)30"/>
    <x v="26"/>
    <x v="20"/>
    <x v="0"/>
    <x v="0"/>
    <x v="84"/>
    <x v="1"/>
    <s v="https://tools.sig.systems/site/details/164"/>
    <m/>
    <x v="6"/>
    <x v="0"/>
    <x v="60"/>
    <x v="0"/>
    <x v="0"/>
    <x v="6"/>
    <x v="59"/>
    <x v="84"/>
  </r>
  <r>
    <s v="(AS) Courtesy Hyundai/Nissan Tampa (NO TOURS)30"/>
    <x v="26"/>
    <x v="21"/>
    <x v="0"/>
    <x v="0"/>
    <x v="89"/>
    <x v="0"/>
    <s v="https://tools.sig.systems/site/details/128"/>
    <m/>
    <x v="0"/>
    <x v="0"/>
    <x v="64"/>
    <x v="0"/>
    <x v="0"/>
    <x v="59"/>
    <x v="62"/>
    <x v="89"/>
  </r>
  <r>
    <s v="(AS) Plaza Audi/Infiniti (NO TOURS)30"/>
    <x v="26"/>
    <x v="21"/>
    <x v="1"/>
    <x v="1"/>
    <x v="95"/>
    <x v="1"/>
    <s v="https://tools.sig.systems/site/details/141"/>
    <s v="https://www.google.com/maps/d/viewer?mid=1whGZ1PLqmhJnGFz8uigZqUL4cHGGW3w&amp;ll=38.668847686454825%2C-90.4433601&amp;z=17"/>
    <x v="1"/>
    <x v="0"/>
    <x v="68"/>
    <x v="35"/>
    <x v="0"/>
    <x v="65"/>
    <x v="67"/>
    <x v="63"/>
  </r>
  <r>
    <s v="(DT) Escondido30"/>
    <x v="26"/>
    <x v="21"/>
    <x v="5"/>
    <x v="4"/>
    <x v="98"/>
    <x v="5"/>
    <s v="https://tools.sig.systems/site/details/196"/>
    <m/>
    <x v="1"/>
    <x v="4"/>
    <x v="20"/>
    <x v="0"/>
    <x v="0"/>
    <x v="6"/>
    <x v="70"/>
    <x v="97"/>
  </r>
  <r>
    <s v="(RV) Sonny's Camp N Travel Concord30"/>
    <x v="26"/>
    <x v="21"/>
    <x v="0"/>
    <x v="0"/>
    <x v="114"/>
    <x v="0"/>
    <s v="https://tools.sig.systems/site/details/183"/>
    <m/>
    <x v="1"/>
    <x v="0"/>
    <x v="6"/>
    <x v="0"/>
    <x v="0"/>
    <x v="76"/>
    <x v="84"/>
    <x v="113"/>
  </r>
  <r>
    <s v="(AS) Lexus Grapevine I &amp; II (NO TOURS)30"/>
    <x v="26"/>
    <x v="22"/>
    <x v="1"/>
    <x v="1"/>
    <x v="29"/>
    <x v="1"/>
    <s v="https://tools.sig.systems/site/details/136"/>
    <m/>
    <x v="1"/>
    <x v="0"/>
    <x v="23"/>
    <x v="0"/>
    <x v="7"/>
    <x v="23"/>
    <x v="24"/>
    <x v="29"/>
  </r>
  <r>
    <s v="(AS) Lexus Smyrna (NO TOURS)30"/>
    <x v="26"/>
    <x v="22"/>
    <x v="0"/>
    <x v="0"/>
    <x v="30"/>
    <x v="0"/>
    <s v="https://tools.sig.systems/site/details/133"/>
    <m/>
    <x v="1"/>
    <x v="0"/>
    <x v="24"/>
    <x v="0"/>
    <x v="0"/>
    <x v="24"/>
    <x v="25"/>
    <x v="30"/>
  </r>
  <r>
    <s v="(KG) Hyundai Surprise30"/>
    <x v="26"/>
    <x v="22"/>
    <x v="5"/>
    <x v="3"/>
    <x v="103"/>
    <x v="4"/>
    <s v="https://tools.sig.systems/site/details/269"/>
    <m/>
    <x v="4"/>
    <x v="0"/>
    <x v="73"/>
    <x v="0"/>
    <x v="0"/>
    <x v="71"/>
    <x v="11"/>
    <x v="102"/>
  </r>
  <r>
    <s v="(AS) Bill Estes Ford (NO TOURS)30"/>
    <x v="26"/>
    <x v="23"/>
    <x v="0"/>
    <x v="0"/>
    <x v="55"/>
    <x v="0"/>
    <s v="https://tools.sig.systems/site/details/125"/>
    <m/>
    <x v="1"/>
    <x v="0"/>
    <x v="3"/>
    <x v="21"/>
    <x v="0"/>
    <x v="36"/>
    <x v="41"/>
    <x v="55"/>
  </r>
  <r>
    <s v="(DT) Wichita30"/>
    <x v="26"/>
    <x v="23"/>
    <x v="1"/>
    <x v="1"/>
    <x v="36"/>
    <x v="1"/>
    <s v="https://tools.sig.systems/site/details/257"/>
    <m/>
    <x v="1"/>
    <x v="0"/>
    <x v="3"/>
    <x v="15"/>
    <x v="0"/>
    <x v="6"/>
    <x v="30"/>
    <x v="36"/>
  </r>
  <r>
    <s v="(PE) Hudson Toyota Nissan CDJR (NO TOURS)30"/>
    <x v="26"/>
    <x v="23"/>
    <x v="4"/>
    <x v="0"/>
    <x v="81"/>
    <x v="0"/>
    <s v="https://tools.sig.systems/site/details/156"/>
    <m/>
    <x v="1"/>
    <x v="0"/>
    <x v="49"/>
    <x v="30"/>
    <x v="0"/>
    <x v="55"/>
    <x v="58"/>
    <x v="81"/>
  </r>
  <r>
    <s v="(RV) Toms Camperland Mesa (NO TOURS)30"/>
    <x v="26"/>
    <x v="23"/>
    <x v="5"/>
    <x v="3"/>
    <x v="25"/>
    <x v="4"/>
    <s v="https://tools.sig.systems/site/details/222"/>
    <m/>
    <x v="1"/>
    <x v="0"/>
    <x v="20"/>
    <x v="0"/>
    <x v="0"/>
    <x v="6"/>
    <x v="21"/>
    <x v="25"/>
  </r>
  <r>
    <s v="SIG Office30"/>
    <x v="26"/>
    <x v="23"/>
    <x v="2"/>
    <x v="0"/>
    <x v="85"/>
    <x v="2"/>
    <s v="https://tools.sig.systems/site/details/163"/>
    <m/>
    <x v="1"/>
    <x v="0"/>
    <x v="3"/>
    <x v="0"/>
    <x v="0"/>
    <x v="6"/>
    <x v="60"/>
    <x v="85"/>
  </r>
  <r>
    <s v="(KG) Big Star Honda30"/>
    <x v="26"/>
    <x v="24"/>
    <x v="1"/>
    <x v="1"/>
    <x v="72"/>
    <x v="1"/>
    <s v="https://tools.sig.systems/site/details/231"/>
    <m/>
    <x v="1"/>
    <x v="0"/>
    <x v="53"/>
    <x v="0"/>
    <x v="0"/>
    <x v="48"/>
    <x v="54"/>
    <x v="72"/>
  </r>
  <r>
    <s v="(ML) Joe Machens Ford Lincoln I &amp; II30"/>
    <x v="26"/>
    <x v="24"/>
    <x v="1"/>
    <x v="1"/>
    <x v="77"/>
    <x v="1"/>
    <s v="https://tools.sig.systems/site/details/266"/>
    <s v="https://www.google.com/maps/d/viewer?hl=es&amp;mid=1C1oZdjH3dNvCvqdpIv_Lk0Yn1OCVn-4&amp;ll=38.965368114274455%2C-92.3405954&amp;z=15"/>
    <x v="1"/>
    <x v="0"/>
    <x v="3"/>
    <x v="27"/>
    <x v="0"/>
    <x v="52"/>
    <x v="11"/>
    <x v="77"/>
  </r>
  <r>
    <s v="(PE) BMW of Mamaroneck (NO TOURS)30"/>
    <x v="26"/>
    <x v="24"/>
    <x v="4"/>
    <x v="0"/>
    <x v="111"/>
    <x v="0"/>
    <s v="https://tools.sig.systems/site/details/185"/>
    <m/>
    <x v="1"/>
    <x v="0"/>
    <x v="76"/>
    <x v="41"/>
    <x v="0"/>
    <x v="6"/>
    <x v="82"/>
    <x v="110"/>
  </r>
  <r>
    <s v="(AS) Stevinson Porsche of Littleton (NO TOURS)30"/>
    <x v="26"/>
    <x v="25"/>
    <x v="3"/>
    <x v="2"/>
    <x v="7"/>
    <x v="3"/>
    <s v="https://tools.sig.systems/site/details/242"/>
    <m/>
    <x v="1"/>
    <x v="0"/>
    <x v="7"/>
    <x v="2"/>
    <x v="0"/>
    <x v="6"/>
    <x v="7"/>
    <x v="7"/>
  </r>
  <r>
    <s v="(DT) W Houston30"/>
    <x v="26"/>
    <x v="25"/>
    <x v="1"/>
    <x v="1"/>
    <x v="10"/>
    <x v="1"/>
    <s v="https://tools.sig.systems/site/details/197"/>
    <m/>
    <x v="1"/>
    <x v="0"/>
    <x v="9"/>
    <x v="2"/>
    <x v="0"/>
    <x v="9"/>
    <x v="10"/>
    <x v="10"/>
  </r>
  <r>
    <s v="(KG) Baytown GMC Buick - Remote Lot (NO TOURS)30"/>
    <x v="26"/>
    <x v="25"/>
    <x v="2"/>
    <x v="1"/>
    <x v="70"/>
    <x v="2"/>
    <s v="https://tools.sig.systems/site/details/311"/>
    <m/>
    <x v="1"/>
    <x v="3"/>
    <x v="3"/>
    <x v="25"/>
    <x v="0"/>
    <x v="6"/>
    <x v="11"/>
    <x v="70"/>
  </r>
  <r>
    <s v="(KG) Baytown GMC Buick (NO TOURS)30"/>
    <x v="26"/>
    <x v="25"/>
    <x v="1"/>
    <x v="1"/>
    <x v="71"/>
    <x v="1"/>
    <s v="https://tools.sig.systems/site/details/239"/>
    <m/>
    <x v="1"/>
    <x v="0"/>
    <x v="52"/>
    <x v="0"/>
    <x v="0"/>
    <x v="47"/>
    <x v="53"/>
    <x v="71"/>
  </r>
  <r>
    <s v="(ML) Collision Center N Little Rock30"/>
    <x v="26"/>
    <x v="25"/>
    <x v="1"/>
    <x v="1"/>
    <x v="106"/>
    <x v="1"/>
    <s v="https://tools.sig.systems/site/details/212"/>
    <s v="https://www.google.com/maps/d/edit?mid=1Oky35ERk_2kgyzCvDu_odQ2ZP62BtqA&amp;usp=sharing"/>
    <x v="1"/>
    <x v="0"/>
    <x v="3"/>
    <x v="0"/>
    <x v="0"/>
    <x v="6"/>
    <x v="77"/>
    <x v="105"/>
  </r>
  <r>
    <s v="(PE) BMW Tenafly (NO TOURS)30"/>
    <x v="26"/>
    <x v="25"/>
    <x v="4"/>
    <x v="0"/>
    <x v="48"/>
    <x v="0"/>
    <s v="https://tools.sig.systems/site/details/155"/>
    <m/>
    <x v="1"/>
    <x v="0"/>
    <x v="36"/>
    <x v="18"/>
    <x v="0"/>
    <x v="6"/>
    <x v="19"/>
    <x v="48"/>
  </r>
  <r>
    <s v="(AS) Park Place JLR DFW Airport (NO TOURS)30"/>
    <x v="26"/>
    <x v="26"/>
    <x v="1"/>
    <x v="1"/>
    <x v="93"/>
    <x v="1"/>
    <s v="https://tools.sig.systems/site/details/135"/>
    <m/>
    <x v="1"/>
    <x v="0"/>
    <x v="67"/>
    <x v="33"/>
    <x v="13"/>
    <x v="63"/>
    <x v="65"/>
    <x v="93"/>
  </r>
  <r>
    <s v="(DT) Louisville30"/>
    <x v="26"/>
    <x v="26"/>
    <x v="0"/>
    <x v="0"/>
    <x v="67"/>
    <x v="0"/>
    <s v="https://tools.sig.systems/site/details/258"/>
    <m/>
    <x v="1"/>
    <x v="0"/>
    <x v="3"/>
    <x v="16"/>
    <x v="0"/>
    <x v="6"/>
    <x v="50"/>
    <x v="67"/>
  </r>
  <r>
    <s v="(ML) Joe Machens Capital City I &amp; II (NO TOURS)30"/>
    <x v="26"/>
    <x v="26"/>
    <x v="1"/>
    <x v="1"/>
    <x v="17"/>
    <x v="1"/>
    <s v="https://tools.sig.systems/site/details/271"/>
    <m/>
    <x v="1"/>
    <x v="0"/>
    <x v="3"/>
    <x v="6"/>
    <x v="0"/>
    <x v="15"/>
    <x v="16"/>
    <x v="17"/>
  </r>
  <r>
    <s v="(PE) JLR Darien PDI (NO TOURS)30"/>
    <x v="26"/>
    <x v="26"/>
    <x v="4"/>
    <x v="0"/>
    <x v="112"/>
    <x v="0"/>
    <s v="https://tools.sig.systems/site/details/187"/>
    <s v="https://www.google.com/maps/d/viewer?mid=1ebZp8DeTYSXNPgDIA63nFVDu9ohaO4E&amp;ll=41.08027837958441%2C-73.46597874999999&amp;z=15"/>
    <x v="1"/>
    <x v="0"/>
    <x v="6"/>
    <x v="0"/>
    <x v="0"/>
    <x v="74"/>
    <x v="83"/>
    <x v="111"/>
  </r>
  <r>
    <s v="(AS) Park Place Mercedes Benz Arlington (NO TOURS)30"/>
    <x v="26"/>
    <x v="27"/>
    <x v="1"/>
    <x v="1"/>
    <x v="61"/>
    <x v="1"/>
    <s v="https://tools.sig.systems/site/details/169"/>
    <m/>
    <x v="1"/>
    <x v="0"/>
    <x v="46"/>
    <x v="0"/>
    <x v="11"/>
    <x v="41"/>
    <x v="46"/>
    <x v="61"/>
  </r>
  <r>
    <s v="(JE) Jim Ellis Ford Sandy Springs30"/>
    <x v="26"/>
    <x v="27"/>
    <x v="0"/>
    <x v="0"/>
    <x v="69"/>
    <x v="0"/>
    <s v="https://tools.sig.systems/site/details/142"/>
    <m/>
    <x v="1"/>
    <x v="0"/>
    <x v="51"/>
    <x v="0"/>
    <x v="0"/>
    <x v="46"/>
    <x v="52"/>
    <x v="69"/>
  </r>
  <r>
    <s v="(WAG) Greeley Chrysler Dodge Jeep Ram (NO TOURS)30"/>
    <x v="26"/>
    <x v="27"/>
    <x v="3"/>
    <x v="2"/>
    <x v="115"/>
    <x v="3"/>
    <s v="https://tools.sig.systems/site/details/130"/>
    <s v="https://www.google.com/maps/d/viewer?mid=1gN2lJ0iT7m5VNhD7aDcxE8AdXqtcOZc&amp;ll=40.396096737592195%2C-104.746842&amp;z=16"/>
    <x v="1"/>
    <x v="0"/>
    <x v="77"/>
    <x v="42"/>
    <x v="0"/>
    <x v="77"/>
    <x v="85"/>
    <x v="114"/>
  </r>
  <r>
    <s v="(AS) Lexus Plano I &amp; II (NO TOURS)30"/>
    <x v="26"/>
    <x v="28"/>
    <x v="1"/>
    <x v="1"/>
    <x v="1"/>
    <x v="1"/>
    <s v="https://tools.sig.systems/site/details/167"/>
    <s v="https://www.google.com/maps/d/viewer?mid=1wg5suxVuxeNp_irHlvN772HcwD6W89E&amp;ll=33.06373951220261%2C-96.82758025000001&amp;z=18"/>
    <x v="1"/>
    <x v="0"/>
    <x v="1"/>
    <x v="0"/>
    <x v="1"/>
    <x v="1"/>
    <x v="1"/>
    <x v="1"/>
  </r>
  <r>
    <s v="(ML) McLarty Gray-Daniels Toyota Nissan30"/>
    <x v="26"/>
    <x v="28"/>
    <x v="1"/>
    <x v="1"/>
    <x v="108"/>
    <x v="1"/>
    <s v="https://tools.sig.systems/site/details/152"/>
    <s v="https://www.google.com/maps/d/edit?mid=111nhCL4Xjj2Pq0zP5xUrMzHQqAihqa0&amp;usp=sharing"/>
    <x v="1"/>
    <x v="0"/>
    <x v="3"/>
    <x v="40"/>
    <x v="0"/>
    <x v="72"/>
    <x v="79"/>
    <x v="107"/>
  </r>
  <r>
    <s v="(AS) Park Place Acura (NO TOURS)30"/>
    <x v="26"/>
    <x v="29"/>
    <x v="1"/>
    <x v="1"/>
    <x v="32"/>
    <x v="1"/>
    <s v="https://tools.sig.systems/site/details/259"/>
    <s v="https://www.google.com/maps/d/viewer?mid=1wg5suxVuxeNp_irHlvN772HcwD6W89E&amp;ll=33.06373951220261%2C-96.82758025000001&amp;z=18"/>
    <x v="1"/>
    <x v="0"/>
    <x v="25"/>
    <x v="0"/>
    <x v="0"/>
    <x v="25"/>
    <x v="11"/>
    <x v="32"/>
  </r>
  <r>
    <s v="(KG) JLR LEHI (NO TOURS)30"/>
    <x v="26"/>
    <x v="29"/>
    <x v="3"/>
    <x v="2"/>
    <x v="73"/>
    <x v="3"/>
    <s v="https://tools.sig.systems/site/details/145"/>
    <m/>
    <x v="1"/>
    <x v="0"/>
    <x v="54"/>
    <x v="0"/>
    <x v="0"/>
    <x v="49"/>
    <x v="11"/>
    <x v="73"/>
  </r>
  <r>
    <s v="(ML) McLarty Gray-Daniels Ford Lincoln30"/>
    <x v="26"/>
    <x v="29"/>
    <x v="1"/>
    <x v="1"/>
    <x v="79"/>
    <x v="1"/>
    <s v="https://tools.sig.systems/site/details/151"/>
    <s v="https://www.google.com/maps/d/edit?mid=111nhCL4Xjj2Pq0zP5xUrMzHQqAihqa0&amp;usp=sharing"/>
    <x v="1"/>
    <x v="0"/>
    <x v="56"/>
    <x v="29"/>
    <x v="0"/>
    <x v="53"/>
    <x v="57"/>
    <x v="79"/>
  </r>
  <r>
    <s v="(PE) JLR PDI (NO TOURS)30"/>
    <x v="26"/>
    <x v="29"/>
    <x v="4"/>
    <x v="0"/>
    <x v="50"/>
    <x v="0"/>
    <s v="https://tools.sig.systems/site/details/179"/>
    <s v="https://www.google.com/maps/d/viewer?mid=1ubI2iKs1JyYXssuT4oLPnVvFnyLPi_s&amp;ll=40.878808846788026%2C-73.98560655&amp;z=17"/>
    <x v="1"/>
    <x v="0"/>
    <x v="37"/>
    <x v="0"/>
    <x v="0"/>
    <x v="6"/>
    <x v="11"/>
    <x v="50"/>
  </r>
  <r>
    <s v=""/>
    <x v="27"/>
    <x v="30"/>
    <x v="8"/>
    <x v="5"/>
    <x v="116"/>
    <x v="7"/>
    <e v="#N/A"/>
    <m/>
    <x v="7"/>
    <x v="5"/>
    <x v="78"/>
    <x v="43"/>
    <x v="14"/>
    <x v="78"/>
    <x v="86"/>
    <x v="115"/>
  </r>
  <r>
    <s v=""/>
    <x v="27"/>
    <x v="30"/>
    <x v="8"/>
    <x v="5"/>
    <x v="116"/>
    <x v="7"/>
    <e v="#N/A"/>
    <m/>
    <x v="7"/>
    <x v="5"/>
    <x v="79"/>
    <x v="44"/>
    <x v="15"/>
    <x v="79"/>
    <x v="87"/>
    <x v="116"/>
  </r>
  <r>
    <s v=""/>
    <x v="27"/>
    <x v="30"/>
    <x v="8"/>
    <x v="5"/>
    <x v="116"/>
    <x v="7"/>
    <e v="#N/A"/>
    <m/>
    <x v="7"/>
    <x v="5"/>
    <x v="78"/>
    <x v="43"/>
    <x v="14"/>
    <x v="78"/>
    <x v="86"/>
    <x v="115"/>
  </r>
  <r>
    <s v=""/>
    <x v="27"/>
    <x v="30"/>
    <x v="8"/>
    <x v="5"/>
    <x v="116"/>
    <x v="7"/>
    <e v="#N/A"/>
    <m/>
    <x v="7"/>
    <x v="5"/>
    <x v="78"/>
    <x v="43"/>
    <x v="14"/>
    <x v="78"/>
    <x v="86"/>
    <x v="115"/>
  </r>
  <r>
    <s v=""/>
    <x v="27"/>
    <x v="30"/>
    <x v="8"/>
    <x v="5"/>
    <x v="116"/>
    <x v="7"/>
    <e v="#N/A"/>
    <m/>
    <x v="7"/>
    <x v="5"/>
    <x v="78"/>
    <x v="43"/>
    <x v="14"/>
    <x v="78"/>
    <x v="86"/>
    <x v="115"/>
  </r>
  <r>
    <s v=""/>
    <x v="27"/>
    <x v="30"/>
    <x v="8"/>
    <x v="5"/>
    <x v="116"/>
    <x v="7"/>
    <e v="#N/A"/>
    <m/>
    <x v="1"/>
    <x v="6"/>
    <x v="78"/>
    <x v="43"/>
    <x v="14"/>
    <x v="78"/>
    <x v="86"/>
    <x v="115"/>
  </r>
  <r>
    <s v=""/>
    <x v="27"/>
    <x v="30"/>
    <x v="8"/>
    <x v="5"/>
    <x v="116"/>
    <x v="7"/>
    <e v="#N/A"/>
    <m/>
    <x v="7"/>
    <x v="5"/>
    <x v="78"/>
    <x v="43"/>
    <x v="14"/>
    <x v="78"/>
    <x v="86"/>
    <x v="115"/>
  </r>
  <r>
    <s v=""/>
    <x v="27"/>
    <x v="30"/>
    <x v="8"/>
    <x v="5"/>
    <x v="116"/>
    <x v="7"/>
    <e v="#N/A"/>
    <m/>
    <x v="7"/>
    <x v="5"/>
    <x v="79"/>
    <x v="44"/>
    <x v="15"/>
    <x v="79"/>
    <x v="87"/>
    <x v="116"/>
  </r>
  <r>
    <s v=""/>
    <x v="27"/>
    <x v="30"/>
    <x v="8"/>
    <x v="5"/>
    <x v="116"/>
    <x v="7"/>
    <e v="#N/A"/>
    <m/>
    <x v="7"/>
    <x v="5"/>
    <x v="78"/>
    <x v="43"/>
    <x v="14"/>
    <x v="78"/>
    <x v="86"/>
    <x v="115"/>
  </r>
  <r>
    <s v=""/>
    <x v="27"/>
    <x v="30"/>
    <x v="8"/>
    <x v="5"/>
    <x v="116"/>
    <x v="7"/>
    <e v="#N/A"/>
    <m/>
    <x v="7"/>
    <x v="5"/>
    <x v="78"/>
    <x v="43"/>
    <x v="14"/>
    <x v="78"/>
    <x v="86"/>
    <x v="115"/>
  </r>
  <r>
    <s v=""/>
    <x v="27"/>
    <x v="30"/>
    <x v="8"/>
    <x v="5"/>
    <x v="116"/>
    <x v="7"/>
    <e v="#N/A"/>
    <m/>
    <x v="1"/>
    <x v="6"/>
    <x v="78"/>
    <x v="43"/>
    <x v="14"/>
    <x v="78"/>
    <x v="86"/>
    <x v="115"/>
  </r>
  <r>
    <s v=""/>
    <x v="27"/>
    <x v="30"/>
    <x v="8"/>
    <x v="5"/>
    <x v="116"/>
    <x v="7"/>
    <e v="#N/A"/>
    <m/>
    <x v="7"/>
    <x v="5"/>
    <x v="78"/>
    <x v="43"/>
    <x v="14"/>
    <x v="78"/>
    <x v="86"/>
    <x v="115"/>
  </r>
  <r>
    <s v=""/>
    <x v="27"/>
    <x v="30"/>
    <x v="8"/>
    <x v="5"/>
    <x v="116"/>
    <x v="7"/>
    <e v="#N/A"/>
    <m/>
    <x v="7"/>
    <x v="5"/>
    <x v="79"/>
    <x v="44"/>
    <x v="15"/>
    <x v="79"/>
    <x v="87"/>
    <x v="116"/>
  </r>
  <r>
    <s v=""/>
    <x v="27"/>
    <x v="30"/>
    <x v="8"/>
    <x v="5"/>
    <x v="116"/>
    <x v="7"/>
    <e v="#N/A"/>
    <m/>
    <x v="7"/>
    <x v="5"/>
    <x v="78"/>
    <x v="43"/>
    <x v="14"/>
    <x v="78"/>
    <x v="86"/>
    <x v="115"/>
  </r>
  <r>
    <s v=""/>
    <x v="27"/>
    <x v="30"/>
    <x v="8"/>
    <x v="5"/>
    <x v="116"/>
    <x v="7"/>
    <e v="#N/A"/>
    <m/>
    <x v="1"/>
    <x v="6"/>
    <x v="78"/>
    <x v="43"/>
    <x v="14"/>
    <x v="78"/>
    <x v="86"/>
    <x v="115"/>
  </r>
  <r>
    <s v=""/>
    <x v="27"/>
    <x v="30"/>
    <x v="8"/>
    <x v="5"/>
    <x v="116"/>
    <x v="7"/>
    <e v="#N/A"/>
    <m/>
    <x v="7"/>
    <x v="5"/>
    <x v="78"/>
    <x v="43"/>
    <x v="14"/>
    <x v="78"/>
    <x v="86"/>
    <x v="115"/>
  </r>
  <r>
    <s v=""/>
    <x v="27"/>
    <x v="30"/>
    <x v="8"/>
    <x v="5"/>
    <x v="116"/>
    <x v="7"/>
    <e v="#N/A"/>
    <m/>
    <x v="7"/>
    <x v="5"/>
    <x v="79"/>
    <x v="44"/>
    <x v="15"/>
    <x v="79"/>
    <x v="87"/>
    <x v="116"/>
  </r>
  <r>
    <s v=""/>
    <x v="27"/>
    <x v="30"/>
    <x v="8"/>
    <x v="5"/>
    <x v="116"/>
    <x v="7"/>
    <e v="#N/A"/>
    <m/>
    <x v="7"/>
    <x v="5"/>
    <x v="78"/>
    <x v="43"/>
    <x v="14"/>
    <x v="78"/>
    <x v="86"/>
    <x v="115"/>
  </r>
  <r>
    <s v=""/>
    <x v="27"/>
    <x v="30"/>
    <x v="8"/>
    <x v="5"/>
    <x v="116"/>
    <x v="7"/>
    <e v="#N/A"/>
    <m/>
    <x v="7"/>
    <x v="5"/>
    <x v="78"/>
    <x v="43"/>
    <x v="14"/>
    <x v="78"/>
    <x v="86"/>
    <x v="115"/>
  </r>
  <r>
    <s v=""/>
    <x v="27"/>
    <x v="30"/>
    <x v="8"/>
    <x v="5"/>
    <x v="116"/>
    <x v="7"/>
    <e v="#N/A"/>
    <m/>
    <x v="1"/>
    <x v="6"/>
    <x v="78"/>
    <x v="43"/>
    <x v="14"/>
    <x v="78"/>
    <x v="86"/>
    <x v="115"/>
  </r>
  <r>
    <s v=""/>
    <x v="27"/>
    <x v="30"/>
    <x v="8"/>
    <x v="5"/>
    <x v="116"/>
    <x v="7"/>
    <e v="#N/A"/>
    <m/>
    <x v="7"/>
    <x v="5"/>
    <x v="78"/>
    <x v="43"/>
    <x v="14"/>
    <x v="78"/>
    <x v="86"/>
    <x v="115"/>
  </r>
  <r>
    <s v=""/>
    <x v="27"/>
    <x v="30"/>
    <x v="8"/>
    <x v="5"/>
    <x v="116"/>
    <x v="7"/>
    <e v="#N/A"/>
    <m/>
    <x v="7"/>
    <x v="5"/>
    <x v="79"/>
    <x v="44"/>
    <x v="15"/>
    <x v="79"/>
    <x v="87"/>
    <x v="116"/>
  </r>
  <r>
    <s v=""/>
    <x v="27"/>
    <x v="30"/>
    <x v="8"/>
    <x v="5"/>
    <x v="116"/>
    <x v="7"/>
    <e v="#N/A"/>
    <m/>
    <x v="7"/>
    <x v="5"/>
    <x v="78"/>
    <x v="43"/>
    <x v="14"/>
    <x v="78"/>
    <x v="86"/>
    <x v="115"/>
  </r>
  <r>
    <s v=""/>
    <x v="27"/>
    <x v="30"/>
    <x v="8"/>
    <x v="5"/>
    <x v="116"/>
    <x v="7"/>
    <e v="#N/A"/>
    <m/>
    <x v="7"/>
    <x v="5"/>
    <x v="78"/>
    <x v="43"/>
    <x v="14"/>
    <x v="78"/>
    <x v="86"/>
    <x v="115"/>
  </r>
  <r>
    <s v=""/>
    <x v="27"/>
    <x v="30"/>
    <x v="8"/>
    <x v="5"/>
    <x v="116"/>
    <x v="7"/>
    <e v="#N/A"/>
    <m/>
    <x v="1"/>
    <x v="6"/>
    <x v="78"/>
    <x v="43"/>
    <x v="14"/>
    <x v="78"/>
    <x v="86"/>
    <x v="115"/>
  </r>
  <r>
    <s v=""/>
    <x v="27"/>
    <x v="30"/>
    <x v="8"/>
    <x v="5"/>
    <x v="116"/>
    <x v="7"/>
    <e v="#N/A"/>
    <m/>
    <x v="7"/>
    <x v="5"/>
    <x v="78"/>
    <x v="43"/>
    <x v="14"/>
    <x v="78"/>
    <x v="86"/>
    <x v="115"/>
  </r>
  <r>
    <s v=""/>
    <x v="27"/>
    <x v="30"/>
    <x v="8"/>
    <x v="5"/>
    <x v="116"/>
    <x v="7"/>
    <e v="#N/A"/>
    <m/>
    <x v="7"/>
    <x v="5"/>
    <x v="79"/>
    <x v="44"/>
    <x v="15"/>
    <x v="79"/>
    <x v="87"/>
    <x v="116"/>
  </r>
  <r>
    <s v=""/>
    <x v="27"/>
    <x v="30"/>
    <x v="8"/>
    <x v="5"/>
    <x v="116"/>
    <x v="7"/>
    <e v="#N/A"/>
    <m/>
    <x v="7"/>
    <x v="5"/>
    <x v="78"/>
    <x v="43"/>
    <x v="14"/>
    <x v="78"/>
    <x v="86"/>
    <x v="115"/>
  </r>
  <r>
    <s v=""/>
    <x v="27"/>
    <x v="30"/>
    <x v="8"/>
    <x v="5"/>
    <x v="116"/>
    <x v="7"/>
    <e v="#N/A"/>
    <m/>
    <x v="7"/>
    <x v="5"/>
    <x v="78"/>
    <x v="43"/>
    <x v="14"/>
    <x v="78"/>
    <x v="86"/>
    <x v="115"/>
  </r>
  <r>
    <s v=""/>
    <x v="27"/>
    <x v="30"/>
    <x v="8"/>
    <x v="5"/>
    <x v="116"/>
    <x v="7"/>
    <e v="#N/A"/>
    <m/>
    <x v="1"/>
    <x v="6"/>
    <x v="78"/>
    <x v="43"/>
    <x v="14"/>
    <x v="78"/>
    <x v="86"/>
    <x v="115"/>
  </r>
  <r>
    <s v=""/>
    <x v="27"/>
    <x v="30"/>
    <x v="8"/>
    <x v="5"/>
    <x v="116"/>
    <x v="7"/>
    <e v="#N/A"/>
    <m/>
    <x v="7"/>
    <x v="5"/>
    <x v="78"/>
    <x v="43"/>
    <x v="14"/>
    <x v="78"/>
    <x v="86"/>
    <x v="115"/>
  </r>
  <r>
    <s v=""/>
    <x v="27"/>
    <x v="30"/>
    <x v="8"/>
    <x v="5"/>
    <x v="116"/>
    <x v="7"/>
    <e v="#N/A"/>
    <m/>
    <x v="7"/>
    <x v="5"/>
    <x v="79"/>
    <x v="44"/>
    <x v="15"/>
    <x v="79"/>
    <x v="87"/>
    <x v="116"/>
  </r>
  <r>
    <s v=""/>
    <x v="27"/>
    <x v="30"/>
    <x v="8"/>
    <x v="5"/>
    <x v="116"/>
    <x v="7"/>
    <e v="#N/A"/>
    <m/>
    <x v="7"/>
    <x v="5"/>
    <x v="78"/>
    <x v="43"/>
    <x v="14"/>
    <x v="78"/>
    <x v="86"/>
    <x v="115"/>
  </r>
  <r>
    <s v=""/>
    <x v="27"/>
    <x v="30"/>
    <x v="8"/>
    <x v="5"/>
    <x v="116"/>
    <x v="7"/>
    <e v="#N/A"/>
    <m/>
    <x v="7"/>
    <x v="5"/>
    <x v="78"/>
    <x v="43"/>
    <x v="14"/>
    <x v="78"/>
    <x v="86"/>
    <x v="115"/>
  </r>
  <r>
    <s v=""/>
    <x v="27"/>
    <x v="30"/>
    <x v="8"/>
    <x v="5"/>
    <x v="116"/>
    <x v="7"/>
    <e v="#N/A"/>
    <m/>
    <x v="7"/>
    <x v="5"/>
    <x v="78"/>
    <x v="43"/>
    <x v="14"/>
    <x v="78"/>
    <x v="86"/>
    <x v="115"/>
  </r>
  <r>
    <s v=""/>
    <x v="27"/>
    <x v="30"/>
    <x v="8"/>
    <x v="5"/>
    <x v="116"/>
    <x v="7"/>
    <e v="#N/A"/>
    <m/>
    <x v="1"/>
    <x v="6"/>
    <x v="78"/>
    <x v="43"/>
    <x v="14"/>
    <x v="78"/>
    <x v="86"/>
    <x v="115"/>
  </r>
  <r>
    <s v=""/>
    <x v="27"/>
    <x v="30"/>
    <x v="8"/>
    <x v="5"/>
    <x v="116"/>
    <x v="7"/>
    <e v="#N/A"/>
    <m/>
    <x v="7"/>
    <x v="5"/>
    <x v="79"/>
    <x v="44"/>
    <x v="15"/>
    <x v="79"/>
    <x v="87"/>
    <x v="116"/>
  </r>
  <r>
    <s v=""/>
    <x v="27"/>
    <x v="30"/>
    <x v="8"/>
    <x v="5"/>
    <x v="116"/>
    <x v="7"/>
    <e v="#N/A"/>
    <m/>
    <x v="7"/>
    <x v="5"/>
    <x v="78"/>
    <x v="43"/>
    <x v="14"/>
    <x v="78"/>
    <x v="86"/>
    <x v="115"/>
  </r>
  <r>
    <s v=""/>
    <x v="27"/>
    <x v="30"/>
    <x v="8"/>
    <x v="5"/>
    <x v="116"/>
    <x v="7"/>
    <e v="#N/A"/>
    <m/>
    <x v="7"/>
    <x v="5"/>
    <x v="78"/>
    <x v="43"/>
    <x v="14"/>
    <x v="78"/>
    <x v="86"/>
    <x v="115"/>
  </r>
  <r>
    <s v=""/>
    <x v="27"/>
    <x v="30"/>
    <x v="8"/>
    <x v="5"/>
    <x v="116"/>
    <x v="7"/>
    <e v="#N/A"/>
    <m/>
    <x v="1"/>
    <x v="6"/>
    <x v="78"/>
    <x v="43"/>
    <x v="14"/>
    <x v="78"/>
    <x v="86"/>
    <x v="115"/>
  </r>
  <r>
    <s v=""/>
    <x v="27"/>
    <x v="30"/>
    <x v="8"/>
    <x v="5"/>
    <x v="116"/>
    <x v="7"/>
    <e v="#N/A"/>
    <m/>
    <x v="7"/>
    <x v="5"/>
    <x v="78"/>
    <x v="43"/>
    <x v="14"/>
    <x v="78"/>
    <x v="86"/>
    <x v="115"/>
  </r>
  <r>
    <s v=""/>
    <x v="27"/>
    <x v="30"/>
    <x v="8"/>
    <x v="5"/>
    <x v="116"/>
    <x v="7"/>
    <e v="#N/A"/>
    <m/>
    <x v="7"/>
    <x v="5"/>
    <x v="79"/>
    <x v="44"/>
    <x v="15"/>
    <x v="79"/>
    <x v="87"/>
    <x v="116"/>
  </r>
  <r>
    <s v=""/>
    <x v="27"/>
    <x v="30"/>
    <x v="8"/>
    <x v="5"/>
    <x v="116"/>
    <x v="7"/>
    <e v="#N/A"/>
    <m/>
    <x v="7"/>
    <x v="5"/>
    <x v="78"/>
    <x v="43"/>
    <x v="14"/>
    <x v="78"/>
    <x v="86"/>
    <x v="115"/>
  </r>
  <r>
    <s v=""/>
    <x v="27"/>
    <x v="30"/>
    <x v="8"/>
    <x v="5"/>
    <x v="116"/>
    <x v="7"/>
    <e v="#N/A"/>
    <m/>
    <x v="7"/>
    <x v="5"/>
    <x v="78"/>
    <x v="43"/>
    <x v="14"/>
    <x v="78"/>
    <x v="86"/>
    <x v="115"/>
  </r>
  <r>
    <s v=""/>
    <x v="27"/>
    <x v="30"/>
    <x v="8"/>
    <x v="5"/>
    <x v="116"/>
    <x v="7"/>
    <e v="#N/A"/>
    <m/>
    <x v="1"/>
    <x v="6"/>
    <x v="78"/>
    <x v="43"/>
    <x v="14"/>
    <x v="78"/>
    <x v="86"/>
    <x v="115"/>
  </r>
  <r>
    <s v=""/>
    <x v="27"/>
    <x v="30"/>
    <x v="8"/>
    <x v="5"/>
    <x v="116"/>
    <x v="7"/>
    <e v="#N/A"/>
    <m/>
    <x v="7"/>
    <x v="5"/>
    <x v="78"/>
    <x v="43"/>
    <x v="14"/>
    <x v="78"/>
    <x v="86"/>
    <x v="115"/>
  </r>
  <r>
    <s v=""/>
    <x v="27"/>
    <x v="30"/>
    <x v="8"/>
    <x v="5"/>
    <x v="116"/>
    <x v="7"/>
    <e v="#N/A"/>
    <m/>
    <x v="7"/>
    <x v="5"/>
    <x v="79"/>
    <x v="44"/>
    <x v="15"/>
    <x v="79"/>
    <x v="87"/>
    <x v="116"/>
  </r>
  <r>
    <s v=""/>
    <x v="27"/>
    <x v="30"/>
    <x v="8"/>
    <x v="5"/>
    <x v="116"/>
    <x v="7"/>
    <e v="#N/A"/>
    <m/>
    <x v="7"/>
    <x v="5"/>
    <x v="78"/>
    <x v="43"/>
    <x v="14"/>
    <x v="78"/>
    <x v="86"/>
    <x v="115"/>
  </r>
  <r>
    <s v=""/>
    <x v="27"/>
    <x v="30"/>
    <x v="8"/>
    <x v="5"/>
    <x v="116"/>
    <x v="7"/>
    <e v="#N/A"/>
    <m/>
    <x v="7"/>
    <x v="5"/>
    <x v="78"/>
    <x v="43"/>
    <x v="14"/>
    <x v="78"/>
    <x v="86"/>
    <x v="115"/>
  </r>
  <r>
    <s v=""/>
    <x v="27"/>
    <x v="30"/>
    <x v="8"/>
    <x v="5"/>
    <x v="116"/>
    <x v="7"/>
    <e v="#N/A"/>
    <m/>
    <x v="1"/>
    <x v="6"/>
    <x v="78"/>
    <x v="43"/>
    <x v="14"/>
    <x v="78"/>
    <x v="86"/>
    <x v="115"/>
  </r>
  <r>
    <s v=""/>
    <x v="27"/>
    <x v="30"/>
    <x v="8"/>
    <x v="5"/>
    <x v="116"/>
    <x v="7"/>
    <e v="#N/A"/>
    <m/>
    <x v="7"/>
    <x v="5"/>
    <x v="78"/>
    <x v="43"/>
    <x v="14"/>
    <x v="78"/>
    <x v="86"/>
    <x v="115"/>
  </r>
  <r>
    <s v=""/>
    <x v="27"/>
    <x v="30"/>
    <x v="8"/>
    <x v="5"/>
    <x v="116"/>
    <x v="7"/>
    <e v="#N/A"/>
    <m/>
    <x v="7"/>
    <x v="5"/>
    <x v="79"/>
    <x v="44"/>
    <x v="15"/>
    <x v="79"/>
    <x v="87"/>
    <x v="116"/>
  </r>
  <r>
    <s v=""/>
    <x v="27"/>
    <x v="30"/>
    <x v="8"/>
    <x v="5"/>
    <x v="116"/>
    <x v="7"/>
    <e v="#N/A"/>
    <m/>
    <x v="7"/>
    <x v="5"/>
    <x v="78"/>
    <x v="43"/>
    <x v="14"/>
    <x v="78"/>
    <x v="86"/>
    <x v="115"/>
  </r>
  <r>
    <s v=""/>
    <x v="27"/>
    <x v="30"/>
    <x v="8"/>
    <x v="5"/>
    <x v="116"/>
    <x v="7"/>
    <e v="#N/A"/>
    <m/>
    <x v="7"/>
    <x v="5"/>
    <x v="78"/>
    <x v="43"/>
    <x v="14"/>
    <x v="78"/>
    <x v="86"/>
    <x v="115"/>
  </r>
  <r>
    <s v=""/>
    <x v="27"/>
    <x v="30"/>
    <x v="8"/>
    <x v="5"/>
    <x v="116"/>
    <x v="7"/>
    <e v="#N/A"/>
    <m/>
    <x v="1"/>
    <x v="6"/>
    <x v="78"/>
    <x v="43"/>
    <x v="14"/>
    <x v="78"/>
    <x v="86"/>
    <x v="115"/>
  </r>
  <r>
    <s v=""/>
    <x v="27"/>
    <x v="30"/>
    <x v="8"/>
    <x v="5"/>
    <x v="116"/>
    <x v="7"/>
    <e v="#N/A"/>
    <m/>
    <x v="7"/>
    <x v="5"/>
    <x v="78"/>
    <x v="43"/>
    <x v="14"/>
    <x v="78"/>
    <x v="86"/>
    <x v="115"/>
  </r>
  <r>
    <s v=""/>
    <x v="27"/>
    <x v="30"/>
    <x v="8"/>
    <x v="5"/>
    <x v="116"/>
    <x v="7"/>
    <e v="#N/A"/>
    <m/>
    <x v="7"/>
    <x v="5"/>
    <x v="79"/>
    <x v="44"/>
    <x v="15"/>
    <x v="79"/>
    <x v="87"/>
    <x v="116"/>
  </r>
  <r>
    <s v=""/>
    <x v="27"/>
    <x v="30"/>
    <x v="8"/>
    <x v="5"/>
    <x v="116"/>
    <x v="7"/>
    <e v="#N/A"/>
    <m/>
    <x v="7"/>
    <x v="5"/>
    <x v="78"/>
    <x v="43"/>
    <x v="14"/>
    <x v="78"/>
    <x v="86"/>
    <x v="115"/>
  </r>
  <r>
    <s v=""/>
    <x v="27"/>
    <x v="30"/>
    <x v="8"/>
    <x v="5"/>
    <x v="116"/>
    <x v="7"/>
    <e v="#N/A"/>
    <m/>
    <x v="7"/>
    <x v="5"/>
    <x v="78"/>
    <x v="43"/>
    <x v="14"/>
    <x v="78"/>
    <x v="86"/>
    <x v="115"/>
  </r>
  <r>
    <s v=""/>
    <x v="27"/>
    <x v="30"/>
    <x v="8"/>
    <x v="5"/>
    <x v="116"/>
    <x v="7"/>
    <e v="#N/A"/>
    <m/>
    <x v="1"/>
    <x v="6"/>
    <x v="78"/>
    <x v="43"/>
    <x v="14"/>
    <x v="78"/>
    <x v="86"/>
    <x v="115"/>
  </r>
  <r>
    <s v=""/>
    <x v="27"/>
    <x v="30"/>
    <x v="8"/>
    <x v="5"/>
    <x v="116"/>
    <x v="7"/>
    <e v="#N/A"/>
    <m/>
    <x v="7"/>
    <x v="5"/>
    <x v="78"/>
    <x v="43"/>
    <x v="14"/>
    <x v="78"/>
    <x v="86"/>
    <x v="115"/>
  </r>
  <r>
    <s v=""/>
    <x v="27"/>
    <x v="30"/>
    <x v="8"/>
    <x v="5"/>
    <x v="116"/>
    <x v="7"/>
    <e v="#N/A"/>
    <m/>
    <x v="7"/>
    <x v="5"/>
    <x v="79"/>
    <x v="44"/>
    <x v="15"/>
    <x v="79"/>
    <x v="87"/>
    <x v="116"/>
  </r>
  <r>
    <s v=""/>
    <x v="27"/>
    <x v="30"/>
    <x v="8"/>
    <x v="5"/>
    <x v="116"/>
    <x v="7"/>
    <e v="#N/A"/>
    <m/>
    <x v="7"/>
    <x v="5"/>
    <x v="78"/>
    <x v="43"/>
    <x v="14"/>
    <x v="78"/>
    <x v="86"/>
    <x v="115"/>
  </r>
  <r>
    <s v=""/>
    <x v="27"/>
    <x v="30"/>
    <x v="8"/>
    <x v="5"/>
    <x v="116"/>
    <x v="7"/>
    <e v="#N/A"/>
    <m/>
    <x v="7"/>
    <x v="5"/>
    <x v="78"/>
    <x v="43"/>
    <x v="14"/>
    <x v="78"/>
    <x v="86"/>
    <x v="115"/>
  </r>
  <r>
    <s v=""/>
    <x v="27"/>
    <x v="30"/>
    <x v="8"/>
    <x v="5"/>
    <x v="116"/>
    <x v="7"/>
    <e v="#N/A"/>
    <m/>
    <x v="1"/>
    <x v="6"/>
    <x v="78"/>
    <x v="43"/>
    <x v="14"/>
    <x v="78"/>
    <x v="86"/>
    <x v="115"/>
  </r>
  <r>
    <s v=""/>
    <x v="27"/>
    <x v="30"/>
    <x v="8"/>
    <x v="5"/>
    <x v="116"/>
    <x v="7"/>
    <e v="#N/A"/>
    <m/>
    <x v="7"/>
    <x v="5"/>
    <x v="78"/>
    <x v="43"/>
    <x v="14"/>
    <x v="78"/>
    <x v="86"/>
    <x v="115"/>
  </r>
  <r>
    <s v=""/>
    <x v="27"/>
    <x v="30"/>
    <x v="8"/>
    <x v="5"/>
    <x v="116"/>
    <x v="7"/>
    <e v="#N/A"/>
    <m/>
    <x v="7"/>
    <x v="5"/>
    <x v="79"/>
    <x v="44"/>
    <x v="15"/>
    <x v="79"/>
    <x v="87"/>
    <x v="116"/>
  </r>
  <r>
    <s v=""/>
    <x v="27"/>
    <x v="30"/>
    <x v="8"/>
    <x v="5"/>
    <x v="116"/>
    <x v="7"/>
    <e v="#N/A"/>
    <m/>
    <x v="7"/>
    <x v="5"/>
    <x v="78"/>
    <x v="43"/>
    <x v="14"/>
    <x v="78"/>
    <x v="86"/>
    <x v="115"/>
  </r>
  <r>
    <s v=""/>
    <x v="27"/>
    <x v="30"/>
    <x v="8"/>
    <x v="5"/>
    <x v="116"/>
    <x v="7"/>
    <e v="#N/A"/>
    <m/>
    <x v="7"/>
    <x v="5"/>
    <x v="78"/>
    <x v="43"/>
    <x v="14"/>
    <x v="78"/>
    <x v="86"/>
    <x v="115"/>
  </r>
  <r>
    <s v=""/>
    <x v="27"/>
    <x v="30"/>
    <x v="8"/>
    <x v="5"/>
    <x v="116"/>
    <x v="7"/>
    <e v="#N/A"/>
    <m/>
    <x v="1"/>
    <x v="6"/>
    <x v="78"/>
    <x v="43"/>
    <x v="14"/>
    <x v="78"/>
    <x v="86"/>
    <x v="115"/>
  </r>
  <r>
    <s v=""/>
    <x v="27"/>
    <x v="30"/>
    <x v="8"/>
    <x v="5"/>
    <x v="116"/>
    <x v="7"/>
    <e v="#N/A"/>
    <m/>
    <x v="7"/>
    <x v="5"/>
    <x v="78"/>
    <x v="43"/>
    <x v="14"/>
    <x v="78"/>
    <x v="86"/>
    <x v="115"/>
  </r>
  <r>
    <s v=""/>
    <x v="27"/>
    <x v="30"/>
    <x v="8"/>
    <x v="5"/>
    <x v="116"/>
    <x v="7"/>
    <e v="#N/A"/>
    <m/>
    <x v="7"/>
    <x v="5"/>
    <x v="79"/>
    <x v="44"/>
    <x v="15"/>
    <x v="79"/>
    <x v="87"/>
    <x v="116"/>
  </r>
  <r>
    <s v=""/>
    <x v="27"/>
    <x v="30"/>
    <x v="8"/>
    <x v="5"/>
    <x v="116"/>
    <x v="7"/>
    <e v="#N/A"/>
    <m/>
    <x v="7"/>
    <x v="5"/>
    <x v="78"/>
    <x v="43"/>
    <x v="14"/>
    <x v="78"/>
    <x v="86"/>
    <x v="115"/>
  </r>
  <r>
    <s v=""/>
    <x v="27"/>
    <x v="30"/>
    <x v="8"/>
    <x v="5"/>
    <x v="116"/>
    <x v="7"/>
    <e v="#N/A"/>
    <m/>
    <x v="7"/>
    <x v="5"/>
    <x v="78"/>
    <x v="43"/>
    <x v="14"/>
    <x v="78"/>
    <x v="86"/>
    <x v="115"/>
  </r>
  <r>
    <s v=""/>
    <x v="27"/>
    <x v="30"/>
    <x v="8"/>
    <x v="5"/>
    <x v="116"/>
    <x v="7"/>
    <e v="#N/A"/>
    <m/>
    <x v="1"/>
    <x v="6"/>
    <x v="78"/>
    <x v="43"/>
    <x v="14"/>
    <x v="78"/>
    <x v="86"/>
    <x v="115"/>
  </r>
  <r>
    <s v=""/>
    <x v="27"/>
    <x v="30"/>
    <x v="8"/>
    <x v="5"/>
    <x v="116"/>
    <x v="7"/>
    <e v="#N/A"/>
    <m/>
    <x v="7"/>
    <x v="5"/>
    <x v="78"/>
    <x v="43"/>
    <x v="14"/>
    <x v="78"/>
    <x v="86"/>
    <x v="115"/>
  </r>
  <r>
    <s v=""/>
    <x v="27"/>
    <x v="30"/>
    <x v="8"/>
    <x v="5"/>
    <x v="116"/>
    <x v="7"/>
    <e v="#N/A"/>
    <m/>
    <x v="7"/>
    <x v="5"/>
    <x v="79"/>
    <x v="44"/>
    <x v="15"/>
    <x v="79"/>
    <x v="87"/>
    <x v="116"/>
  </r>
  <r>
    <s v=""/>
    <x v="27"/>
    <x v="30"/>
    <x v="8"/>
    <x v="5"/>
    <x v="116"/>
    <x v="7"/>
    <e v="#N/A"/>
    <m/>
    <x v="7"/>
    <x v="5"/>
    <x v="78"/>
    <x v="43"/>
    <x v="14"/>
    <x v="78"/>
    <x v="86"/>
    <x v="115"/>
  </r>
  <r>
    <s v=""/>
    <x v="27"/>
    <x v="30"/>
    <x v="8"/>
    <x v="5"/>
    <x v="116"/>
    <x v="7"/>
    <e v="#N/A"/>
    <m/>
    <x v="7"/>
    <x v="5"/>
    <x v="78"/>
    <x v="43"/>
    <x v="14"/>
    <x v="78"/>
    <x v="86"/>
    <x v="115"/>
  </r>
  <r>
    <s v=""/>
    <x v="27"/>
    <x v="30"/>
    <x v="8"/>
    <x v="5"/>
    <x v="116"/>
    <x v="7"/>
    <e v="#N/A"/>
    <m/>
    <x v="7"/>
    <x v="5"/>
    <x v="79"/>
    <x v="44"/>
    <x v="15"/>
    <x v="79"/>
    <x v="87"/>
    <x v="116"/>
  </r>
  <r>
    <s v=""/>
    <x v="27"/>
    <x v="30"/>
    <x v="8"/>
    <x v="5"/>
    <x v="116"/>
    <x v="7"/>
    <e v="#N/A"/>
    <m/>
    <x v="1"/>
    <x v="6"/>
    <x v="78"/>
    <x v="43"/>
    <x v="14"/>
    <x v="78"/>
    <x v="86"/>
    <x v="115"/>
  </r>
  <r>
    <s v=""/>
    <x v="27"/>
    <x v="30"/>
    <x v="8"/>
    <x v="5"/>
    <x v="116"/>
    <x v="7"/>
    <e v="#N/A"/>
    <m/>
    <x v="7"/>
    <x v="5"/>
    <x v="78"/>
    <x v="43"/>
    <x v="14"/>
    <x v="78"/>
    <x v="86"/>
    <x v="115"/>
  </r>
  <r>
    <s v=""/>
    <x v="27"/>
    <x v="30"/>
    <x v="8"/>
    <x v="5"/>
    <x v="116"/>
    <x v="7"/>
    <e v="#N/A"/>
    <m/>
    <x v="7"/>
    <x v="5"/>
    <x v="78"/>
    <x v="43"/>
    <x v="14"/>
    <x v="78"/>
    <x v="86"/>
    <x v="115"/>
  </r>
  <r>
    <m/>
    <x v="27"/>
    <x v="30"/>
    <x v="8"/>
    <x v="5"/>
    <x v="116"/>
    <x v="7"/>
    <e v="#N/A"/>
    <m/>
    <x v="7"/>
    <x v="5"/>
    <x v="78"/>
    <x v="43"/>
    <x v="14"/>
    <x v="78"/>
    <x v="86"/>
    <x v="115"/>
  </r>
  <r>
    <m/>
    <x v="27"/>
    <x v="30"/>
    <x v="8"/>
    <x v="5"/>
    <x v="116"/>
    <x v="7"/>
    <e v="#N/A"/>
    <m/>
    <x v="7"/>
    <x v="5"/>
    <x v="79"/>
    <x v="44"/>
    <x v="15"/>
    <x v="79"/>
    <x v="87"/>
    <x v="116"/>
  </r>
  <r>
    <s v=""/>
    <x v="27"/>
    <x v="30"/>
    <x v="8"/>
    <x v="5"/>
    <x v="116"/>
    <x v="7"/>
    <e v="#N/A"/>
    <m/>
    <x v="1"/>
    <x v="6"/>
    <x v="78"/>
    <x v="43"/>
    <x v="14"/>
    <x v="78"/>
    <x v="86"/>
    <x v="115"/>
  </r>
  <r>
    <s v=""/>
    <x v="27"/>
    <x v="30"/>
    <x v="8"/>
    <x v="5"/>
    <x v="116"/>
    <x v="7"/>
    <e v="#N/A"/>
    <m/>
    <x v="7"/>
    <x v="5"/>
    <x v="78"/>
    <x v="43"/>
    <x v="14"/>
    <x v="78"/>
    <x v="86"/>
    <x v="115"/>
  </r>
  <r>
    <s v=""/>
    <x v="27"/>
    <x v="30"/>
    <x v="8"/>
    <x v="5"/>
    <x v="116"/>
    <x v="7"/>
    <e v="#N/A"/>
    <m/>
    <x v="7"/>
    <x v="5"/>
    <x v="78"/>
    <x v="43"/>
    <x v="14"/>
    <x v="78"/>
    <x v="86"/>
    <x v="115"/>
  </r>
  <r>
    <m/>
    <x v="27"/>
    <x v="30"/>
    <x v="8"/>
    <x v="5"/>
    <x v="116"/>
    <x v="7"/>
    <e v="#N/A"/>
    <m/>
    <x v="7"/>
    <x v="5"/>
    <x v="78"/>
    <x v="43"/>
    <x v="14"/>
    <x v="78"/>
    <x v="86"/>
    <x v="115"/>
  </r>
  <r>
    <m/>
    <x v="27"/>
    <x v="30"/>
    <x v="8"/>
    <x v="5"/>
    <x v="116"/>
    <x v="7"/>
    <e v="#N/A"/>
    <m/>
    <x v="7"/>
    <x v="5"/>
    <x v="79"/>
    <x v="44"/>
    <x v="15"/>
    <x v="79"/>
    <x v="87"/>
    <x v="116"/>
  </r>
  <r>
    <s v=""/>
    <x v="27"/>
    <x v="30"/>
    <x v="8"/>
    <x v="5"/>
    <x v="116"/>
    <x v="7"/>
    <e v="#N/A"/>
    <m/>
    <x v="1"/>
    <x v="6"/>
    <x v="78"/>
    <x v="43"/>
    <x v="14"/>
    <x v="78"/>
    <x v="86"/>
    <x v="115"/>
  </r>
  <r>
    <s v=""/>
    <x v="27"/>
    <x v="30"/>
    <x v="8"/>
    <x v="5"/>
    <x v="116"/>
    <x v="7"/>
    <e v="#N/A"/>
    <m/>
    <x v="7"/>
    <x v="5"/>
    <x v="78"/>
    <x v="43"/>
    <x v="14"/>
    <x v="78"/>
    <x v="86"/>
    <x v="115"/>
  </r>
  <r>
    <s v=""/>
    <x v="27"/>
    <x v="30"/>
    <x v="8"/>
    <x v="5"/>
    <x v="116"/>
    <x v="7"/>
    <e v="#N/A"/>
    <m/>
    <x v="7"/>
    <x v="5"/>
    <x v="78"/>
    <x v="43"/>
    <x v="14"/>
    <x v="78"/>
    <x v="86"/>
    <x v="115"/>
  </r>
  <r>
    <m/>
    <x v="27"/>
    <x v="30"/>
    <x v="8"/>
    <x v="5"/>
    <x v="116"/>
    <x v="7"/>
    <e v="#N/A"/>
    <m/>
    <x v="7"/>
    <x v="5"/>
    <x v="78"/>
    <x v="43"/>
    <x v="14"/>
    <x v="78"/>
    <x v="86"/>
    <x v="115"/>
  </r>
  <r>
    <m/>
    <x v="27"/>
    <x v="30"/>
    <x v="8"/>
    <x v="5"/>
    <x v="116"/>
    <x v="7"/>
    <e v="#N/A"/>
    <m/>
    <x v="7"/>
    <x v="5"/>
    <x v="79"/>
    <x v="44"/>
    <x v="15"/>
    <x v="79"/>
    <x v="87"/>
    <x v="116"/>
  </r>
  <r>
    <s v=""/>
    <x v="27"/>
    <x v="30"/>
    <x v="8"/>
    <x v="5"/>
    <x v="116"/>
    <x v="7"/>
    <e v="#N/A"/>
    <m/>
    <x v="1"/>
    <x v="6"/>
    <x v="78"/>
    <x v="43"/>
    <x v="14"/>
    <x v="78"/>
    <x v="86"/>
    <x v="115"/>
  </r>
  <r>
    <s v=""/>
    <x v="27"/>
    <x v="30"/>
    <x v="8"/>
    <x v="5"/>
    <x v="116"/>
    <x v="7"/>
    <e v="#N/A"/>
    <m/>
    <x v="7"/>
    <x v="5"/>
    <x v="78"/>
    <x v="43"/>
    <x v="14"/>
    <x v="78"/>
    <x v="86"/>
    <x v="115"/>
  </r>
  <r>
    <s v=""/>
    <x v="27"/>
    <x v="30"/>
    <x v="8"/>
    <x v="5"/>
    <x v="116"/>
    <x v="7"/>
    <e v="#N/A"/>
    <m/>
    <x v="7"/>
    <x v="5"/>
    <x v="78"/>
    <x v="43"/>
    <x v="14"/>
    <x v="78"/>
    <x v="86"/>
    <x v="115"/>
  </r>
  <r>
    <m/>
    <x v="27"/>
    <x v="30"/>
    <x v="8"/>
    <x v="5"/>
    <x v="116"/>
    <x v="7"/>
    <e v="#N/A"/>
    <m/>
    <x v="7"/>
    <x v="5"/>
    <x v="78"/>
    <x v="43"/>
    <x v="14"/>
    <x v="78"/>
    <x v="86"/>
    <x v="115"/>
  </r>
  <r>
    <m/>
    <x v="27"/>
    <x v="30"/>
    <x v="8"/>
    <x v="5"/>
    <x v="116"/>
    <x v="7"/>
    <e v="#N/A"/>
    <m/>
    <x v="7"/>
    <x v="5"/>
    <x v="79"/>
    <x v="44"/>
    <x v="15"/>
    <x v="79"/>
    <x v="87"/>
    <x v="116"/>
  </r>
  <r>
    <s v=""/>
    <x v="27"/>
    <x v="30"/>
    <x v="8"/>
    <x v="5"/>
    <x v="116"/>
    <x v="7"/>
    <e v="#N/A"/>
    <m/>
    <x v="1"/>
    <x v="6"/>
    <x v="78"/>
    <x v="43"/>
    <x v="14"/>
    <x v="78"/>
    <x v="86"/>
    <x v="115"/>
  </r>
  <r>
    <s v=""/>
    <x v="27"/>
    <x v="30"/>
    <x v="8"/>
    <x v="5"/>
    <x v="116"/>
    <x v="7"/>
    <e v="#N/A"/>
    <m/>
    <x v="7"/>
    <x v="5"/>
    <x v="78"/>
    <x v="43"/>
    <x v="14"/>
    <x v="78"/>
    <x v="86"/>
    <x v="115"/>
  </r>
  <r>
    <s v=""/>
    <x v="27"/>
    <x v="30"/>
    <x v="8"/>
    <x v="5"/>
    <x v="116"/>
    <x v="7"/>
    <e v="#N/A"/>
    <m/>
    <x v="7"/>
    <x v="5"/>
    <x v="78"/>
    <x v="43"/>
    <x v="14"/>
    <x v="78"/>
    <x v="86"/>
    <x v="115"/>
  </r>
  <r>
    <m/>
    <x v="27"/>
    <x v="30"/>
    <x v="8"/>
    <x v="5"/>
    <x v="116"/>
    <x v="7"/>
    <e v="#N/A"/>
    <m/>
    <x v="7"/>
    <x v="5"/>
    <x v="78"/>
    <x v="43"/>
    <x v="14"/>
    <x v="78"/>
    <x v="86"/>
    <x v="115"/>
  </r>
  <r>
    <m/>
    <x v="27"/>
    <x v="30"/>
    <x v="8"/>
    <x v="5"/>
    <x v="116"/>
    <x v="7"/>
    <e v="#N/A"/>
    <m/>
    <x v="7"/>
    <x v="5"/>
    <x v="79"/>
    <x v="44"/>
    <x v="15"/>
    <x v="79"/>
    <x v="87"/>
    <x v="116"/>
  </r>
  <r>
    <s v=""/>
    <x v="27"/>
    <x v="30"/>
    <x v="8"/>
    <x v="5"/>
    <x v="116"/>
    <x v="7"/>
    <e v="#N/A"/>
    <m/>
    <x v="1"/>
    <x v="6"/>
    <x v="78"/>
    <x v="43"/>
    <x v="14"/>
    <x v="78"/>
    <x v="86"/>
    <x v="115"/>
  </r>
  <r>
    <s v=""/>
    <x v="27"/>
    <x v="30"/>
    <x v="8"/>
    <x v="5"/>
    <x v="116"/>
    <x v="7"/>
    <e v="#N/A"/>
    <m/>
    <x v="7"/>
    <x v="5"/>
    <x v="78"/>
    <x v="43"/>
    <x v="14"/>
    <x v="78"/>
    <x v="86"/>
    <x v="115"/>
  </r>
  <r>
    <s v=""/>
    <x v="27"/>
    <x v="30"/>
    <x v="8"/>
    <x v="5"/>
    <x v="116"/>
    <x v="7"/>
    <e v="#N/A"/>
    <m/>
    <x v="7"/>
    <x v="5"/>
    <x v="78"/>
    <x v="43"/>
    <x v="14"/>
    <x v="78"/>
    <x v="86"/>
    <x v="1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F2293B-1279-4754-9F92-85E5AAA7021A}" name="Split Principal" cacheId="18" applyNumberFormats="0" applyBorderFormats="0" applyFontFormats="0" applyPatternFormats="0" applyAlignmentFormats="0" applyWidthHeightFormats="1" dataCaption="Valores" updatedVersion="8" minRefreshableVersion="3" showDrill="0" rowGrandTotals="0" colGrandTotals="0" createdVersion="4" compact="0" compactData="0" multipleFieldFilters="0">
  <location ref="A18:F28" firstHeaderRow="1" firstDataRow="1" firstDataCol="5"/>
  <pivotFields count="17">
    <pivotField compact="0" outline="0" showAll="0"/>
    <pivotField axis="axisRow" compact="0" outline="0" showAll="0" defaultSubtotal="0">
      <items count="41">
        <item h="1" x="13"/>
        <item h="1" x="14"/>
        <item h="1" x="8"/>
        <item h="1" x="15"/>
        <item h="1" x="9"/>
        <item x="10"/>
        <item h="1" x="11"/>
        <item h="1" x="12"/>
        <item h="1" x="7"/>
        <item h="1" x="6"/>
        <item h="1" x="1"/>
        <item h="1" x="2"/>
        <item h="1" x="3"/>
        <item h="1" x="4"/>
        <item h="1" x="5"/>
        <item h="1" x="16"/>
        <item h="1" x="17"/>
        <item h="1" x="18"/>
        <item h="1" x="19"/>
        <item h="1" x="20"/>
        <item h="1" x="21"/>
        <item h="1" x="22"/>
        <item h="1" x="23"/>
        <item h="1" x="24"/>
        <item h="1" x="25"/>
        <item h="1" x="26"/>
        <item h="1" m="1" x="31"/>
        <item h="1" x="0"/>
        <item h="1" m="1" x="32"/>
        <item h="1" m="1" x="33"/>
        <item h="1" m="1" x="34"/>
        <item h="1" m="1" x="35"/>
        <item h="1" m="1" x="36"/>
        <item h="1" m="1" x="37"/>
        <item h="1" m="1" x="38"/>
        <item h="1" m="1" x="39"/>
        <item h="1" m="1" x="40"/>
        <item h="1" m="1" x="28"/>
        <item h="1" m="1" x="29"/>
        <item h="1" m="1" x="30"/>
        <item h="1" x="27"/>
      </items>
    </pivotField>
    <pivotField dataField="1" compact="0" outline="0" showAll="0" defaultSubtotal="0">
      <items count="42">
        <item h="1" m="1" x="41"/>
        <item h="1" x="0"/>
        <item h="1" x="1"/>
        <item h="1" x="2"/>
        <item h="1" x="3"/>
        <item h="1" x="4"/>
        <item h="1" x="5"/>
        <item h="1" x="6"/>
        <item x="7"/>
        <item h="1" x="8"/>
        <item h="1" x="9"/>
        <item h="1" x="10"/>
        <item h="1" x="11"/>
        <item h="1" x="12"/>
        <item h="1" x="13"/>
        <item h="1" x="14"/>
        <item h="1" x="15"/>
        <item h="1" x="16"/>
        <item h="1" x="17"/>
        <item h="1" x="18"/>
        <item h="1" x="19"/>
        <item h="1" x="20"/>
        <item h="1" x="21"/>
        <item h="1" x="22"/>
        <item h="1" x="23"/>
        <item h="1" x="24"/>
        <item h="1" x="25"/>
        <item h="1" x="26"/>
        <item h="1" x="27"/>
        <item h="1" x="28"/>
        <item h="1" x="29"/>
        <item h="1" m="1" x="31"/>
        <item h="1" m="1" x="32"/>
        <item h="1" m="1" x="33"/>
        <item h="1" m="1" x="34"/>
        <item h="1" m="1" x="35"/>
        <item h="1" m="1" x="36"/>
        <item h="1" m="1" x="37"/>
        <item h="1" m="1" x="38"/>
        <item h="1" m="1" x="39"/>
        <item h="1" m="1" x="40"/>
        <item h="1" x="30"/>
      </items>
    </pivotField>
    <pivotField name="Log Time" axis="axisRow" compact="0" outline="0" showAll="0" defaultSubtotal="0">
      <items count="17">
        <item m="1" x="13"/>
        <item x="2"/>
        <item m="1" x="16"/>
        <item m="1" x="11"/>
        <item x="4"/>
        <item x="0"/>
        <item x="7"/>
        <item x="1"/>
        <item m="1" x="12"/>
        <item x="3"/>
        <item x="5"/>
        <item m="1" x="10"/>
        <item x="8"/>
        <item m="1" x="15"/>
        <item m="1" x="14"/>
        <item m="1" x="9"/>
        <item x="6"/>
      </items>
    </pivotField>
    <pivotField compact="0" outline="0" showAll="0" defaultSubtotal="0">
      <items count="7">
        <item x="1"/>
        <item x="0"/>
        <item x="2"/>
        <item x="4"/>
        <item m="1" x="6"/>
        <item x="5"/>
        <item x="3"/>
      </items>
    </pivotField>
    <pivotField name="Sites" axis="axisRow" compact="0" outline="0" showAll="0" nonAutoSortDefault="1" defaultSubtotal="0">
      <items count="388">
        <item m="1" x="201"/>
        <item m="1" x="202"/>
        <item m="1" x="236"/>
        <item m="1" x="241"/>
        <item m="1" x="230"/>
        <item m="1" x="237"/>
        <item m="1" x="186"/>
        <item m="1" x="190"/>
        <item m="1" x="231"/>
        <item m="1" x="366"/>
        <item m="1" x="263"/>
        <item m="1" x="169"/>
        <item m="1" x="219"/>
        <item m="1" x="276"/>
        <item m="1" x="277"/>
        <item m="1" x="170"/>
        <item m="1" x="187"/>
        <item m="1" x="171"/>
        <item m="1" x="212"/>
        <item m="1" x="213"/>
        <item m="1" x="189"/>
        <item m="1" x="188"/>
        <item m="1" x="172"/>
        <item m="1" x="173"/>
        <item m="1" x="225"/>
        <item m="1" x="226"/>
        <item m="1" x="197"/>
        <item m="1" x="174"/>
        <item m="1" x="203"/>
        <item m="1" x="253"/>
        <item m="1" x="175"/>
        <item m="1" x="176"/>
        <item m="1" x="223"/>
        <item m="1" x="200"/>
        <item m="1" x="191"/>
        <item m="1" x="177"/>
        <item m="1" x="242"/>
        <item m="1" x="274"/>
        <item m="1" x="275"/>
        <item m="1" x="193"/>
        <item m="1" x="194"/>
        <item m="1" x="243"/>
        <item m="1" x="192"/>
        <item m="1" x="254"/>
        <item m="1" x="240"/>
        <item m="1" x="178"/>
        <item m="1" x="183"/>
        <item m="1" x="179"/>
        <item m="1" x="214"/>
        <item m="1" x="181"/>
        <item m="1" x="185"/>
        <item m="1" x="227"/>
        <item m="1" x="218"/>
        <item m="1" x="224"/>
        <item m="1" x="232"/>
        <item m="1" x="184"/>
        <item m="1" x="204"/>
        <item m="1" x="255"/>
        <item m="1" x="196"/>
        <item m="1" x="205"/>
        <item m="1" x="182"/>
        <item m="1" x="228"/>
        <item m="1" x="229"/>
        <item m="1" x="210"/>
        <item m="1" x="238"/>
        <item m="1" x="256"/>
        <item m="1" x="244"/>
        <item m="1" x="258"/>
        <item m="1" x="245"/>
        <item m="1" x="246"/>
        <item m="1" x="247"/>
        <item m="1" x="206"/>
        <item m="1" x="207"/>
        <item m="1" x="208"/>
        <item m="1" x="195"/>
        <item m="1" x="198"/>
        <item m="1" x="199"/>
        <item m="1" x="363"/>
        <item m="1" x="248"/>
        <item m="1" x="257"/>
        <item m="1" x="216"/>
        <item m="1" x="220"/>
        <item m="1" x="250"/>
        <item m="1" x="249"/>
        <item m="1" x="221"/>
        <item m="1" x="260"/>
        <item m="1" x="259"/>
        <item m="1" x="217"/>
        <item m="1" x="233"/>
        <item m="1" x="222"/>
        <item m="1" x="251"/>
        <item m="1" x="234"/>
        <item m="1" x="261"/>
        <item m="1" x="235"/>
        <item m="1" x="252"/>
        <item m="1" x="143"/>
        <item m="1" x="142"/>
        <item x="55"/>
        <item m="1" x="141"/>
        <item m="1" x="167"/>
        <item m="1" x="138"/>
        <item m="1" x="140"/>
        <item x="88"/>
        <item m="1" x="136"/>
        <item m="1" x="134"/>
        <item m="1" x="137"/>
        <item m="1" x="135"/>
        <item m="1" x="267"/>
        <item m="1" x="268"/>
        <item m="1" x="265"/>
        <item m="1" x="266"/>
        <item sd="0" m="1" x="139"/>
        <item x="30"/>
        <item m="1" x="132"/>
        <item m="1" x="145"/>
        <item m="1" x="162"/>
        <item m="1" x="127"/>
        <item m="1" x="166"/>
        <item m="1" x="130"/>
        <item m="1" x="122"/>
        <item m="1" x="125"/>
        <item m="1" x="126"/>
        <item m="1" x="123"/>
        <item m="1" x="119"/>
        <item m="1" x="117"/>
        <item m="1" x="118"/>
        <item m="1" x="120"/>
        <item m="1" x="124"/>
        <item x="94"/>
        <item m="1" x="163"/>
        <item m="1" x="164"/>
        <item x="96"/>
        <item x="64"/>
        <item m="1" x="121"/>
        <item x="7"/>
        <item x="8"/>
        <item x="35"/>
        <item m="1" x="146"/>
        <item x="65"/>
        <item x="97"/>
        <item m="1" x="149"/>
        <item x="67"/>
        <item x="98"/>
        <item m="1" x="148"/>
        <item x="9"/>
        <item x="10"/>
        <item x="36"/>
        <item m="1" x="319"/>
        <item m="1" x="288"/>
        <item m="1" x="364"/>
        <item m="1" x="383"/>
        <item m="1" x="373"/>
        <item m="1" x="290"/>
        <item m="1" x="320"/>
        <item x="69"/>
        <item x="71"/>
        <item x="101"/>
        <item x="102"/>
        <item x="72"/>
        <item x="39"/>
        <item x="103"/>
        <item x="73"/>
        <item x="40"/>
        <item n="(KG) Northwest CDJR" m="1" x="165"/>
        <item x="13"/>
        <item x="41"/>
        <item x="14"/>
        <item x="74"/>
        <item x="104"/>
        <item x="105"/>
        <item x="106"/>
        <item x="75"/>
        <item x="42"/>
        <item x="16"/>
        <item x="17"/>
        <item x="43"/>
        <item x="76"/>
        <item x="77"/>
        <item m="1" x="357"/>
        <item x="107"/>
        <item x="18"/>
        <item x="19"/>
        <item x="45"/>
        <item x="79"/>
        <item x="108"/>
        <item x="109"/>
        <item x="80"/>
        <item x="46"/>
        <item x="20"/>
        <item x="21"/>
        <item x="47"/>
        <item x="110"/>
        <item x="111"/>
        <item m="1" x="159"/>
        <item m="1" x="155"/>
        <item x="22"/>
        <item x="48"/>
        <item x="49"/>
        <item x="81"/>
        <item m="1" x="144"/>
        <item x="112"/>
        <item m="1" x="156"/>
        <item x="50"/>
        <item x="23"/>
        <item m="1" x="161"/>
        <item m="1" x="147"/>
        <item x="113"/>
        <item x="82"/>
        <item x="114"/>
        <item x="24"/>
        <item x="25"/>
        <item x="51"/>
        <item x="83"/>
        <item m="1" x="129"/>
        <item x="52"/>
        <item m="1" x="273"/>
        <item m="1" x="272"/>
        <item m="1" x="152"/>
        <item m="1" x="270"/>
        <item m="1" x="271"/>
        <item m="1" x="269"/>
        <item x="84"/>
        <item m="1" x="264"/>
        <item m="1" x="308"/>
        <item m="1" x="365"/>
        <item m="1" x="283"/>
        <item m="1" x="382"/>
        <item m="1" x="368"/>
        <item m="1" x="375"/>
        <item m="1" x="311"/>
        <item m="1" x="333"/>
        <item m="1" x="287"/>
        <item m="1" x="376"/>
        <item m="1" x="386"/>
        <item m="1" x="305"/>
        <item m="1" x="340"/>
        <item m="1" x="295"/>
        <item m="1" x="372"/>
        <item m="1" x="304"/>
        <item m="1" x="279"/>
        <item m="1" x="358"/>
        <item m="1" x="293"/>
        <item m="1" x="385"/>
        <item m="1" x="367"/>
        <item m="1" x="310"/>
        <item m="1" x="301"/>
        <item m="1" x="315"/>
        <item m="1" x="369"/>
        <item m="1" x="309"/>
        <item m="1" x="360"/>
        <item m="1" x="341"/>
        <item m="1" x="286"/>
        <item m="1" x="384"/>
        <item m="1" x="377"/>
        <item m="1" x="359"/>
        <item m="1" x="345"/>
        <item m="1" x="284"/>
        <item m="1" x="350"/>
        <item m="1" x="331"/>
        <item m="1" x="321"/>
        <item m="1" x="314"/>
        <item m="1" x="380"/>
        <item m="1" x="338"/>
        <item m="1" x="334"/>
        <item m="1" x="335"/>
        <item m="1" x="307"/>
        <item m="1" x="285"/>
        <item m="1" x="278"/>
        <item m="1" x="343"/>
        <item m="1" x="322"/>
        <item m="1" x="282"/>
        <item m="1" x="349"/>
        <item m="1" x="302"/>
        <item m="1" x="352"/>
        <item m="1" x="317"/>
        <item m="1" x="318"/>
        <item m="1" x="313"/>
        <item m="1" x="291"/>
        <item m="1" x="332"/>
        <item m="1" x="337"/>
        <item m="1" x="300"/>
        <item m="1" x="297"/>
        <item m="1" x="325"/>
        <item m="1" x="354"/>
        <item m="1" x="353"/>
        <item x="116"/>
        <item m="1" x="347"/>
        <item m="1" x="328"/>
        <item m="1" x="303"/>
        <item m="1" x="329"/>
        <item m="1" x="361"/>
        <item m="1" x="316"/>
        <item m="1" x="355"/>
        <item m="1" x="281"/>
        <item m="1" x="330"/>
        <item m="1" x="292"/>
        <item m="1" x="370"/>
        <item m="1" x="280"/>
        <item m="1" x="371"/>
        <item m="1" x="346"/>
        <item m="1" x="339"/>
        <item m="1" x="327"/>
        <item m="1" x="356"/>
        <item m="1" x="387"/>
        <item m="1" x="324"/>
        <item m="1" x="326"/>
        <item m="1" x="374"/>
        <item m="1" x="351"/>
        <item m="1" x="294"/>
        <item m="1" x="378"/>
        <item m="1" x="312"/>
        <item m="1" x="296"/>
        <item m="1" x="299"/>
        <item m="1" x="362"/>
        <item m="1" x="323"/>
        <item m="1" x="289"/>
        <item m="1" x="379"/>
        <item m="1" x="298"/>
        <item m="1" x="348"/>
        <item m="1" x="344"/>
        <item m="1" x="381"/>
        <item m="1" x="342"/>
        <item m="1" x="306"/>
        <item m="1" x="336"/>
        <item x="78"/>
        <item x="11"/>
        <item x="100"/>
        <item m="1" x="262"/>
        <item x="68"/>
        <item x="37"/>
        <item x="99"/>
        <item x="12"/>
        <item m="1" x="215"/>
        <item m="1" x="180"/>
        <item m="1" x="168"/>
        <item x="44"/>
        <item m="1" x="160"/>
        <item m="1" x="158"/>
        <item m="1" x="211"/>
        <item m="1" x="209"/>
        <item x="26"/>
        <item x="54"/>
        <item m="1" x="133"/>
        <item m="1" x="131"/>
        <item x="85"/>
        <item m="1" x="239"/>
        <item x="38"/>
        <item m="1" x="128"/>
        <item m="1" x="153"/>
        <item m="1" x="157"/>
        <item m="1" x="150"/>
        <item x="95"/>
        <item x="63"/>
        <item x="91"/>
        <item x="15"/>
        <item m="1" x="154"/>
        <item x="70"/>
        <item m="1" x="151"/>
        <item x="53"/>
        <item x="66"/>
        <item x="115"/>
        <item x="86"/>
        <item x="87"/>
        <item x="27"/>
        <item x="0"/>
        <item x="28"/>
        <item x="56"/>
        <item x="57"/>
        <item x="58"/>
        <item x="89"/>
        <item x="90"/>
        <item x="1"/>
        <item x="2"/>
        <item x="29"/>
        <item x="3"/>
        <item x="4"/>
        <item x="31"/>
        <item x="32"/>
        <item x="6"/>
        <item x="61"/>
        <item x="33"/>
        <item x="34"/>
        <item x="59"/>
        <item x="60"/>
        <item x="62"/>
        <item x="92"/>
        <item x="93"/>
        <item x="5"/>
      </items>
    </pivotField>
    <pivotField axis="axisRow" compact="0" outline="0" showAll="0" defaultSubtotal="0">
      <items count="15">
        <item m="1" x="12"/>
        <item m="1" x="11"/>
        <item m="1" x="14"/>
        <item x="0"/>
        <item x="1"/>
        <item x="3"/>
        <item m="1" x="13"/>
        <item x="4"/>
        <item m="1" x="8"/>
        <item x="2"/>
        <item x="7"/>
        <item m="1" x="10"/>
        <item m="1" x="9"/>
        <item x="6"/>
        <item x="5"/>
      </items>
    </pivotField>
    <pivotField compact="0" outline="0" showAll="0" defaultSubtotal="0"/>
    <pivotField compact="0" outline="0" showAll="0"/>
    <pivotField compact="0" outline="0" showAll="0" defaultSubtotal="0">
      <items count="14">
        <item x="2"/>
        <item m="1" x="13"/>
        <item x="0"/>
        <item m="1" x="11"/>
        <item x="3"/>
        <item m="1" x="12"/>
        <item m="1" x="10"/>
        <item x="4"/>
        <item x="6"/>
        <item x="1"/>
        <item x="7"/>
        <item m="1" x="8"/>
        <item m="1" x="9"/>
        <item x="5"/>
      </items>
    </pivotField>
    <pivotField compact="0" outline="0" showAll="0" includeNewItemsInFilter="1"/>
    <pivotField compact="0" outline="0" showAll="0"/>
    <pivotField compact="0" outline="0" showAll="0"/>
    <pivotField compact="0" outline="0" showAll="0"/>
    <pivotField compact="0" outline="0" showAll="0"/>
    <pivotField compact="0" outline="0" showAll="0"/>
    <pivotField axis="axisRow" compact="0" outline="0" showAll="0">
      <items count="122">
        <item x="27"/>
        <item x="0"/>
        <item x="57"/>
        <item x="87"/>
        <item x="55"/>
        <item x="56"/>
        <item x="28"/>
        <item x="89"/>
        <item x="90"/>
        <item x="114"/>
        <item x="4"/>
        <item x="30"/>
        <item x="92"/>
        <item x="93"/>
        <item x="29"/>
        <item x="5"/>
        <item x="6"/>
        <item x="33"/>
        <item x="94"/>
        <item x="63"/>
        <item x="69"/>
        <item x="14"/>
        <item x="73"/>
        <item x="74"/>
        <item x="103"/>
        <item x="108"/>
        <item x="79"/>
        <item x="107"/>
        <item x="48"/>
        <item x="81"/>
        <item x="83"/>
        <item x="26"/>
        <item x="52"/>
        <item x="54"/>
        <item x="85"/>
        <item x="84"/>
        <item x="86"/>
        <item x="59"/>
        <item x="1"/>
        <item x="2"/>
        <item x="61"/>
        <item x="60"/>
        <item x="62"/>
        <item x="91"/>
        <item x="88"/>
        <item x="50"/>
        <item x="58"/>
        <item x="113"/>
        <item x="110"/>
        <item x="109"/>
        <item x="111"/>
        <item m="1" x="117"/>
        <item x="49"/>
        <item x="22"/>
        <item x="23"/>
        <item x="112"/>
        <item m="1" x="119"/>
        <item x="11"/>
        <item x="97"/>
        <item x="65"/>
        <item m="1" x="118"/>
        <item x="21"/>
        <item x="82"/>
        <item x="96"/>
        <item x="64"/>
        <item x="45"/>
        <item x="105"/>
        <item x="98"/>
        <item x="42"/>
        <item x="68"/>
        <item x="20"/>
        <item x="104"/>
        <item x="99"/>
        <item x="3"/>
        <item x="25"/>
        <item x="47"/>
        <item x="46"/>
        <item x="41"/>
        <item x="15"/>
        <item x="37"/>
        <item x="72"/>
        <item x="100"/>
        <item x="101"/>
        <item x="12"/>
        <item x="35"/>
        <item x="13"/>
        <item x="71"/>
        <item x="8"/>
        <item x="66"/>
        <item x="7"/>
        <item x="80"/>
        <item x="24"/>
        <item x="16"/>
        <item x="9"/>
        <item x="51"/>
        <item x="39"/>
        <item x="38"/>
        <item x="36"/>
        <item x="67"/>
        <item x="32"/>
        <item x="34"/>
        <item x="40"/>
        <item x="31"/>
        <item x="95"/>
        <item x="77"/>
        <item m="1" x="120"/>
        <item x="102"/>
        <item x="106"/>
        <item x="17"/>
        <item x="75"/>
        <item x="43"/>
        <item x="19"/>
        <item x="18"/>
        <item x="76"/>
        <item x="44"/>
        <item x="78"/>
        <item x="70"/>
        <item x="53"/>
        <item x="115"/>
        <item x="116"/>
        <item x="10"/>
        <item t="default"/>
      </items>
    </pivotField>
  </pivotFields>
  <rowFields count="5">
    <field x="1"/>
    <field x="3"/>
    <field x="5"/>
    <field x="6"/>
    <field x="16"/>
  </rowFields>
  <rowItems count="10">
    <i>
      <x v="5"/>
      <x v="4"/>
      <x v="200"/>
      <x v="3"/>
      <x v="50"/>
    </i>
    <i r="1">
      <x v="5"/>
      <x v="102"/>
      <x v="3"/>
      <x v="44"/>
    </i>
    <i r="2">
      <x v="154"/>
      <x v="3"/>
      <x v="20"/>
    </i>
    <i r="1">
      <x v="7"/>
      <x v="144"/>
      <x v="4"/>
      <x v="93"/>
    </i>
    <i r="2">
      <x v="158"/>
      <x v="4"/>
      <x v="80"/>
    </i>
    <i r="2">
      <x v="169"/>
      <x v="4"/>
      <x v="71"/>
    </i>
    <i r="2">
      <x v="170"/>
      <x v="4"/>
      <x v="66"/>
    </i>
    <i r="2">
      <x v="324"/>
      <x v="4"/>
      <x v="115"/>
    </i>
    <i r="2">
      <x v="382"/>
      <x v="4"/>
      <x v="37"/>
    </i>
    <i r="1">
      <x v="9"/>
      <x v="134"/>
      <x v="5"/>
      <x v="89"/>
    </i>
  </rowItems>
  <colItems count="1">
    <i/>
  </colItems>
  <dataFields count="1">
    <dataField name="Suma de Station" fld="2" baseField="0" baseItem="0"/>
  </dataFields>
  <formats count="1493">
    <format dxfId="7999">
      <pivotArea field="5" type="button" dataOnly="0" labelOnly="1" outline="0" axis="axisRow" fieldPosition="2"/>
    </format>
    <format dxfId="7998">
      <pivotArea field="5" type="button" dataOnly="0" labelOnly="1" outline="0" axis="axisRow" fieldPosition="2"/>
    </format>
    <format dxfId="7997">
      <pivotArea field="4" type="button" dataOnly="0" labelOnly="1" outline="0"/>
    </format>
    <format dxfId="7996">
      <pivotArea field="3" type="button" dataOnly="0" labelOnly="1" outline="0" axis="axisRow" fieldPosition="1"/>
    </format>
    <format dxfId="7995">
      <pivotArea field="1" type="button" dataOnly="0" labelOnly="1" outline="0" axis="axisRow" fieldPosition="0"/>
    </format>
    <format dxfId="7994">
      <pivotArea field="6" type="button" dataOnly="0" labelOnly="1" outline="0" axis="axisRow" fieldPosition="3"/>
    </format>
    <format dxfId="7993">
      <pivotArea field="9" type="button" dataOnly="0" labelOnly="1" outline="0"/>
    </format>
    <format dxfId="7992">
      <pivotArea dataOnly="0" labelOnly="1" outline="0" fieldPosition="0">
        <references count="2">
          <reference field="1" count="0" selected="0"/>
          <reference field="3" count="1">
            <x v="1"/>
          </reference>
        </references>
      </pivotArea>
    </format>
    <format dxfId="7991">
      <pivotArea dataOnly="0" labelOnly="1" outline="0" fieldPosition="0">
        <references count="2">
          <reference field="1" count="1" selected="0">
            <x v="1"/>
          </reference>
          <reference field="3" count="1">
            <x v="1"/>
          </reference>
        </references>
      </pivotArea>
    </format>
    <format dxfId="7990">
      <pivotArea dataOnly="0" labelOnly="1" outline="0" fieldPosition="0">
        <references count="2">
          <reference field="1" count="1" selected="0">
            <x v="3"/>
          </reference>
          <reference field="3" count="1">
            <x v="1"/>
          </reference>
        </references>
      </pivotArea>
    </format>
    <format dxfId="7989">
      <pivotArea dataOnly="0" labelOnly="1" outline="0" fieldPosition="0">
        <references count="2">
          <reference field="1" count="1" selected="0">
            <x v="4"/>
          </reference>
          <reference field="3" count="1">
            <x v="1"/>
          </reference>
        </references>
      </pivotArea>
    </format>
    <format dxfId="7988">
      <pivotArea dataOnly="0" labelOnly="1" outline="0" fieldPosition="0">
        <references count="2">
          <reference field="1" count="1" selected="0">
            <x v="5"/>
          </reference>
          <reference field="3" count="1">
            <x v="1"/>
          </reference>
        </references>
      </pivotArea>
    </format>
    <format dxfId="7987">
      <pivotArea dataOnly="0" labelOnly="1" outline="0" fieldPosition="0">
        <references count="2">
          <reference field="1" count="1" selected="0">
            <x v="8"/>
          </reference>
          <reference field="3" count="1">
            <x v="1"/>
          </reference>
        </references>
      </pivotArea>
    </format>
    <format dxfId="7986">
      <pivotArea dataOnly="0" labelOnly="1" outline="0" fieldPosition="0">
        <references count="2">
          <reference field="1" count="1" selected="0">
            <x v="10"/>
          </reference>
          <reference field="3" count="1">
            <x v="1"/>
          </reference>
        </references>
      </pivotArea>
    </format>
    <format dxfId="7985">
      <pivotArea dataOnly="0" labelOnly="1" outline="0" fieldPosition="0">
        <references count="2">
          <reference field="1" count="1" selected="0">
            <x v="11"/>
          </reference>
          <reference field="3" count="1">
            <x v="1"/>
          </reference>
        </references>
      </pivotArea>
    </format>
    <format dxfId="7984">
      <pivotArea dataOnly="0" labelOnly="1" outline="0" fieldPosition="0">
        <references count="2">
          <reference field="1" count="1" selected="0">
            <x v="12"/>
          </reference>
          <reference field="3" count="1">
            <x v="1"/>
          </reference>
        </references>
      </pivotArea>
    </format>
    <format dxfId="7983">
      <pivotArea dataOnly="0" labelOnly="1" outline="0" fieldPosition="0">
        <references count="2">
          <reference field="1" count="1" selected="0">
            <x v="13"/>
          </reference>
          <reference field="3" count="1">
            <x v="1"/>
          </reference>
        </references>
      </pivotArea>
    </format>
    <format dxfId="7982">
      <pivotArea dataOnly="0" labelOnly="1" outline="0" fieldPosition="0">
        <references count="2">
          <reference field="1" count="1" selected="0">
            <x v="15"/>
          </reference>
          <reference field="3" count="1">
            <x v="1"/>
          </reference>
        </references>
      </pivotArea>
    </format>
    <format dxfId="7981">
      <pivotArea dataOnly="0" labelOnly="1" outline="0" fieldPosition="0">
        <references count="2">
          <reference field="1" count="1" selected="0">
            <x v="16"/>
          </reference>
          <reference field="3" count="1">
            <x v="1"/>
          </reference>
        </references>
      </pivotArea>
    </format>
    <format dxfId="7980">
      <pivotArea dataOnly="0" labelOnly="1" outline="0" fieldPosition="0">
        <references count="2">
          <reference field="1" count="1" selected="0">
            <x v="17"/>
          </reference>
          <reference field="3" count="1">
            <x v="1"/>
          </reference>
        </references>
      </pivotArea>
    </format>
    <format dxfId="7979">
      <pivotArea dataOnly="0" labelOnly="1" outline="0" fieldPosition="0">
        <references count="2">
          <reference field="1" count="1" selected="0">
            <x v="18"/>
          </reference>
          <reference field="3" count="1">
            <x v="1"/>
          </reference>
        </references>
      </pivotArea>
    </format>
    <format dxfId="7978">
      <pivotArea dataOnly="0" labelOnly="1" outline="0" fieldPosition="0">
        <references count="2">
          <reference field="1" count="1" selected="0">
            <x v="19"/>
          </reference>
          <reference field="3" count="1">
            <x v="1"/>
          </reference>
        </references>
      </pivotArea>
    </format>
    <format dxfId="7977">
      <pivotArea dataOnly="0" labelOnly="1" outline="0" fieldPosition="0">
        <references count="2">
          <reference field="1" count="1" selected="0">
            <x v="20"/>
          </reference>
          <reference field="3" count="1">
            <x v="1"/>
          </reference>
        </references>
      </pivotArea>
    </format>
    <format dxfId="7976">
      <pivotArea dataOnly="0" labelOnly="1" outline="0" fieldPosition="0">
        <references count="2">
          <reference field="1" count="1" selected="0">
            <x v="21"/>
          </reference>
          <reference field="3" count="1">
            <x v="1"/>
          </reference>
        </references>
      </pivotArea>
    </format>
    <format dxfId="7975">
      <pivotArea dataOnly="0" labelOnly="1" outline="0" fieldPosition="0">
        <references count="2">
          <reference field="1" count="1" selected="0">
            <x v="22"/>
          </reference>
          <reference field="3" count="1">
            <x v="1"/>
          </reference>
        </references>
      </pivotArea>
    </format>
    <format dxfId="7974">
      <pivotArea dataOnly="0" labelOnly="1" outline="0" fieldPosition="0">
        <references count="2">
          <reference field="1" count="1" selected="0">
            <x v="24"/>
          </reference>
          <reference field="3" count="1">
            <x v="1"/>
          </reference>
        </references>
      </pivotArea>
    </format>
    <format dxfId="7973">
      <pivotArea dataOnly="0" labelOnly="1" outline="0" fieldPosition="0">
        <references count="2">
          <reference field="1" count="0" selected="0"/>
          <reference field="3" count="1">
            <x v="1"/>
          </reference>
        </references>
      </pivotArea>
    </format>
    <format dxfId="7972">
      <pivotArea dataOnly="0" labelOnly="1" outline="0" fieldPosition="0">
        <references count="1">
          <reference field="1" count="0"/>
        </references>
      </pivotArea>
    </format>
    <format dxfId="7971">
      <pivotArea dataOnly="0" labelOnly="1" outline="0" fieldPosition="0">
        <references count="2">
          <reference field="1" count="0" selected="0"/>
          <reference field="3" count="1">
            <x v="4"/>
          </reference>
        </references>
      </pivotArea>
    </format>
    <format dxfId="7970">
      <pivotArea dataOnly="0" labelOnly="1" outline="0" fieldPosition="0">
        <references count="2">
          <reference field="1" count="0" selected="0"/>
          <reference field="3" count="1">
            <x v="5"/>
          </reference>
        </references>
      </pivotArea>
    </format>
    <format dxfId="7969">
      <pivotArea dataOnly="0" labelOnly="1" outline="0" fieldPosition="0">
        <references count="2">
          <reference field="1" count="0" selected="0"/>
          <reference field="3" count="1">
            <x v="6"/>
          </reference>
        </references>
      </pivotArea>
    </format>
    <format dxfId="7968">
      <pivotArea dataOnly="0" labelOnly="1" outline="0" fieldPosition="0">
        <references count="2">
          <reference field="1" count="0" selected="0"/>
          <reference field="3" count="1">
            <x v="7"/>
          </reference>
        </references>
      </pivotArea>
    </format>
    <format dxfId="7967">
      <pivotArea dataOnly="0" labelOnly="1" outline="0" fieldPosition="0">
        <references count="2">
          <reference field="1" count="0" selected="0"/>
          <reference field="3" count="1">
            <x v="9"/>
          </reference>
        </references>
      </pivotArea>
    </format>
    <format dxfId="7966">
      <pivotArea dataOnly="0" labelOnly="1" outline="0" fieldPosition="0">
        <references count="2">
          <reference field="1" count="0" selected="0"/>
          <reference field="3" count="1">
            <x v="10"/>
          </reference>
        </references>
      </pivotArea>
    </format>
    <format dxfId="7965">
      <pivotArea dataOnly="0" labelOnly="1" outline="0" fieldPosition="0">
        <references count="2">
          <reference field="1" count="0" selected="0"/>
          <reference field="3" count="1">
            <x v="11"/>
          </reference>
        </references>
      </pivotArea>
    </format>
    <format dxfId="7964">
      <pivotArea dataOnly="0" labelOnly="1" outline="0" fieldPosition="0">
        <references count="2">
          <reference field="1" count="0" selected="0"/>
          <reference field="3" count="1">
            <x v="1"/>
          </reference>
        </references>
      </pivotArea>
    </format>
    <format dxfId="7963">
      <pivotArea dataOnly="0" labelOnly="1" outline="0" fieldPosition="0">
        <references count="2">
          <reference field="1" count="0" selected="0"/>
          <reference field="3" count="0"/>
        </references>
      </pivotArea>
    </format>
    <format dxfId="7962">
      <pivotArea dataOnly="0" labelOnly="1" outline="0" fieldPosition="0">
        <references count="2">
          <reference field="1" count="0" selected="0"/>
          <reference field="3" count="7">
            <x v="1"/>
            <x v="4"/>
            <x v="5"/>
            <x v="7"/>
            <x v="9"/>
            <x v="10"/>
            <x v="11"/>
          </reference>
        </references>
      </pivotArea>
    </format>
    <format dxfId="7961">
      <pivotArea field="4" type="button" dataOnly="0" labelOnly="1" outline="0"/>
    </format>
    <format dxfId="7960">
      <pivotArea dataOnly="0" labelOnly="1" outline="0" fieldPosition="0">
        <references count="1">
          <reference field="1" count="27">
            <x v="0"/>
            <x v="1"/>
            <x v="2"/>
            <x v="3"/>
            <x v="4"/>
            <x v="5"/>
            <x v="6"/>
            <x v="7"/>
            <x v="8"/>
            <x v="9"/>
            <x v="10"/>
            <x v="11"/>
            <x v="12"/>
            <x v="13"/>
            <x v="14"/>
            <x v="15"/>
            <x v="16"/>
            <x v="17"/>
            <x v="18"/>
            <x v="19"/>
            <x v="20"/>
            <x v="21"/>
            <x v="22"/>
            <x v="23"/>
            <x v="24"/>
            <x v="25"/>
            <x v="27"/>
          </reference>
        </references>
      </pivotArea>
    </format>
    <format dxfId="7959">
      <pivotArea dataOnly="0" labelOnly="1" outline="0" offset="IV1" fieldPosition="0">
        <references count="1">
          <reference field="1" count="1">
            <x v="26"/>
          </reference>
        </references>
      </pivotArea>
    </format>
    <format dxfId="7958">
      <pivotArea dataOnly="0" labelOnly="1" outline="0" fieldPosition="0">
        <references count="2">
          <reference field="1" count="1" selected="0">
            <x v="0"/>
          </reference>
          <reference field="3" count="0"/>
        </references>
      </pivotArea>
    </format>
    <format dxfId="7957">
      <pivotArea dataOnly="0" labelOnly="1" outline="0" fieldPosition="0">
        <references count="2">
          <reference field="1" count="1" selected="0">
            <x v="1"/>
          </reference>
          <reference field="3" count="0"/>
        </references>
      </pivotArea>
    </format>
    <format dxfId="7956">
      <pivotArea dataOnly="0" labelOnly="1" outline="0" fieldPosition="0">
        <references count="2">
          <reference field="1" count="1" selected="0">
            <x v="2"/>
          </reference>
          <reference field="3" count="0"/>
        </references>
      </pivotArea>
    </format>
    <format dxfId="7955">
      <pivotArea dataOnly="0" labelOnly="1" outline="0" fieldPosition="0">
        <references count="2">
          <reference field="1" count="1" selected="0">
            <x v="3"/>
          </reference>
          <reference field="3" count="0"/>
        </references>
      </pivotArea>
    </format>
    <format dxfId="7954">
      <pivotArea dataOnly="0" labelOnly="1" outline="0" fieldPosition="0">
        <references count="2">
          <reference field="1" count="1" selected="0">
            <x v="4"/>
          </reference>
          <reference field="3" count="0"/>
        </references>
      </pivotArea>
    </format>
    <format dxfId="7953">
      <pivotArea dataOnly="0" labelOnly="1" outline="0" fieldPosition="0">
        <references count="2">
          <reference field="1" count="1" selected="0">
            <x v="5"/>
          </reference>
          <reference field="3" count="0"/>
        </references>
      </pivotArea>
    </format>
    <format dxfId="7952">
      <pivotArea dataOnly="0" labelOnly="1" outline="0" fieldPosition="0">
        <references count="2">
          <reference field="1" count="1" selected="0">
            <x v="6"/>
          </reference>
          <reference field="3" count="0"/>
        </references>
      </pivotArea>
    </format>
    <format dxfId="7951">
      <pivotArea dataOnly="0" labelOnly="1" outline="0" fieldPosition="0">
        <references count="2">
          <reference field="1" count="1" selected="0">
            <x v="7"/>
          </reference>
          <reference field="3" count="0"/>
        </references>
      </pivotArea>
    </format>
    <format dxfId="7950">
      <pivotArea dataOnly="0" labelOnly="1" outline="0" fieldPosition="0">
        <references count="2">
          <reference field="1" count="1" selected="0">
            <x v="8"/>
          </reference>
          <reference field="3" count="0"/>
        </references>
      </pivotArea>
    </format>
    <format dxfId="7949">
      <pivotArea dataOnly="0" labelOnly="1" outline="0" fieldPosition="0">
        <references count="2">
          <reference field="1" count="1" selected="0">
            <x v="9"/>
          </reference>
          <reference field="3" count="0"/>
        </references>
      </pivotArea>
    </format>
    <format dxfId="7948">
      <pivotArea dataOnly="0" labelOnly="1" outline="0" fieldPosition="0">
        <references count="2">
          <reference field="1" count="1" selected="0">
            <x v="27"/>
          </reference>
          <reference field="3" count="0"/>
        </references>
      </pivotArea>
    </format>
    <format dxfId="7947">
      <pivotArea dataOnly="0" labelOnly="1" outline="0" fieldPosition="0">
        <references count="2">
          <reference field="1" count="1" selected="0">
            <x v="10"/>
          </reference>
          <reference field="3" count="0"/>
        </references>
      </pivotArea>
    </format>
    <format dxfId="7946">
      <pivotArea dataOnly="0" labelOnly="1" outline="0" fieldPosition="0">
        <references count="2">
          <reference field="1" count="1" selected="0">
            <x v="11"/>
          </reference>
          <reference field="3" count="0"/>
        </references>
      </pivotArea>
    </format>
    <format dxfId="7945">
      <pivotArea dataOnly="0" labelOnly="1" outline="0" fieldPosition="0">
        <references count="2">
          <reference field="1" count="1" selected="0">
            <x v="12"/>
          </reference>
          <reference field="3" count="0"/>
        </references>
      </pivotArea>
    </format>
    <format dxfId="7944">
      <pivotArea dataOnly="0" labelOnly="1" outline="0" fieldPosition="0">
        <references count="2">
          <reference field="1" count="1" selected="0">
            <x v="13"/>
          </reference>
          <reference field="3" count="0"/>
        </references>
      </pivotArea>
    </format>
    <format dxfId="7943">
      <pivotArea dataOnly="0" labelOnly="1" outline="0" fieldPosition="0">
        <references count="2">
          <reference field="1" count="1" selected="0">
            <x v="14"/>
          </reference>
          <reference field="3" count="0"/>
        </references>
      </pivotArea>
    </format>
    <format dxfId="7942">
      <pivotArea dataOnly="0" labelOnly="1" outline="0" fieldPosition="0">
        <references count="2">
          <reference field="1" count="1" selected="0">
            <x v="15"/>
          </reference>
          <reference field="3" count="0"/>
        </references>
      </pivotArea>
    </format>
    <format dxfId="7941">
      <pivotArea dataOnly="0" labelOnly="1" outline="0" fieldPosition="0">
        <references count="2">
          <reference field="1" count="1" selected="0">
            <x v="16"/>
          </reference>
          <reference field="3" count="0"/>
        </references>
      </pivotArea>
    </format>
    <format dxfId="7940">
      <pivotArea dataOnly="0" labelOnly="1" outline="0" fieldPosition="0">
        <references count="2">
          <reference field="1" count="1" selected="0">
            <x v="17"/>
          </reference>
          <reference field="3" count="0"/>
        </references>
      </pivotArea>
    </format>
    <format dxfId="7939">
      <pivotArea dataOnly="0" labelOnly="1" outline="0" fieldPosition="0">
        <references count="2">
          <reference field="1" count="1" selected="0">
            <x v="18"/>
          </reference>
          <reference field="3" count="0"/>
        </references>
      </pivotArea>
    </format>
    <format dxfId="7938">
      <pivotArea dataOnly="0" labelOnly="1" outline="0" fieldPosition="0">
        <references count="2">
          <reference field="1" count="1" selected="0">
            <x v="19"/>
          </reference>
          <reference field="3" count="0"/>
        </references>
      </pivotArea>
    </format>
    <format dxfId="7937">
      <pivotArea dataOnly="0" labelOnly="1" outline="0" fieldPosition="0">
        <references count="2">
          <reference field="1" count="1" selected="0">
            <x v="20"/>
          </reference>
          <reference field="3" count="0"/>
        </references>
      </pivotArea>
    </format>
    <format dxfId="7936">
      <pivotArea dataOnly="0" labelOnly="1" outline="0" fieldPosition="0">
        <references count="2">
          <reference field="1" count="1" selected="0">
            <x v="21"/>
          </reference>
          <reference field="3" count="0"/>
        </references>
      </pivotArea>
    </format>
    <format dxfId="7935">
      <pivotArea dataOnly="0" labelOnly="1" outline="0" fieldPosition="0">
        <references count="2">
          <reference field="1" count="1" selected="0">
            <x v="22"/>
          </reference>
          <reference field="3" count="0"/>
        </references>
      </pivotArea>
    </format>
    <format dxfId="7934">
      <pivotArea dataOnly="0" labelOnly="1" outline="0" fieldPosition="0">
        <references count="2">
          <reference field="1" count="1" selected="0">
            <x v="23"/>
          </reference>
          <reference field="3" count="0"/>
        </references>
      </pivotArea>
    </format>
    <format dxfId="7933">
      <pivotArea dataOnly="0" labelOnly="1" outline="0" fieldPosition="0">
        <references count="2">
          <reference field="1" count="1" selected="0">
            <x v="24"/>
          </reference>
          <reference field="3" count="0"/>
        </references>
      </pivotArea>
    </format>
    <format dxfId="7932">
      <pivotArea dataOnly="0" labelOnly="1" outline="0" fieldPosition="0">
        <references count="2">
          <reference field="1" count="1" selected="0">
            <x v="25"/>
          </reference>
          <reference field="3" count="0"/>
        </references>
      </pivotArea>
    </format>
    <format dxfId="7931">
      <pivotArea dataOnly="0" labelOnly="1" outline="0" offset="IV1" fieldPosition="0">
        <references count="2">
          <reference field="1" count="1" selected="0">
            <x v="26"/>
          </reference>
          <reference field="3" count="1">
            <x v="1"/>
          </reference>
        </references>
      </pivotArea>
    </format>
    <format dxfId="7930">
      <pivotArea dataOnly="0" labelOnly="1" outline="0" fieldPosition="0">
        <references count="3">
          <reference field="1" count="1" selected="0">
            <x v="0"/>
          </reference>
          <reference field="3" count="1" selected="0">
            <x v="1"/>
          </reference>
          <reference field="5" count="1">
            <x v="76"/>
          </reference>
        </references>
      </pivotArea>
    </format>
    <format dxfId="7929">
      <pivotArea dataOnly="0" labelOnly="1" outline="0" fieldPosition="0">
        <references count="2">
          <reference field="1" count="0" selected="0"/>
          <reference field="3" count="1">
            <x v="11"/>
          </reference>
        </references>
      </pivotArea>
    </format>
    <format dxfId="7928">
      <pivotArea field="5" type="button" dataOnly="0" labelOnly="1" outline="0" axis="axisRow" fieldPosition="2"/>
    </format>
    <format dxfId="7927">
      <pivotArea dataOnly="0" labelOnly="1" outline="0" fieldPosition="0">
        <references count="3">
          <reference field="1" count="1" selected="0">
            <x v="0"/>
          </reference>
          <reference field="3" count="1" selected="0">
            <x v="1"/>
          </reference>
          <reference field="5" count="4">
            <x v="75"/>
            <x v="76"/>
            <x v="166"/>
            <x v="222"/>
          </reference>
        </references>
      </pivotArea>
    </format>
    <format dxfId="7926">
      <pivotArea dataOnly="0" labelOnly="1" outline="0" fieldPosition="0">
        <references count="3">
          <reference field="1" count="1" selected="0">
            <x v="0"/>
          </reference>
          <reference field="3" count="1" selected="0">
            <x v="4"/>
          </reference>
          <reference field="5" count="19">
            <x v="65"/>
            <x v="70"/>
            <x v="191"/>
            <x v="192"/>
            <x v="193"/>
            <x v="194"/>
            <x v="195"/>
            <x v="196"/>
            <x v="197"/>
            <x v="198"/>
            <x v="199"/>
            <x v="200"/>
            <x v="201"/>
            <x v="202"/>
            <x v="203"/>
            <x v="204"/>
            <x v="205"/>
            <x v="206"/>
            <x v="337"/>
          </reference>
        </references>
      </pivotArea>
    </format>
    <format dxfId="7925">
      <pivotArea dataOnly="0" labelOnly="1" outline="0" fieldPosition="0">
        <references count="3">
          <reference field="1" count="1" selected="0">
            <x v="0"/>
          </reference>
          <reference field="3" count="1" selected="0">
            <x v="5"/>
          </reference>
          <reference field="5" count="39">
            <x v="24"/>
            <x v="25"/>
            <x v="28"/>
            <x v="33"/>
            <x v="88"/>
            <x v="96"/>
            <x v="97"/>
            <x v="98"/>
            <x v="99"/>
            <x v="100"/>
            <x v="101"/>
            <x v="102"/>
            <x v="103"/>
            <x v="104"/>
            <x v="111"/>
            <x v="112"/>
            <x v="116"/>
            <x v="117"/>
            <x v="141"/>
            <x v="147"/>
            <x v="148"/>
            <x v="149"/>
            <x v="150"/>
            <x v="151"/>
            <x v="152"/>
            <x v="153"/>
            <x v="154"/>
            <x v="168"/>
            <x v="212"/>
            <x v="213"/>
            <x v="214"/>
            <x v="215"/>
            <x v="216"/>
            <x v="217"/>
            <x v="218"/>
            <x v="219"/>
            <x v="220"/>
            <x v="221"/>
            <x v="268"/>
          </reference>
        </references>
      </pivotArea>
    </format>
    <format dxfId="7924">
      <pivotArea dataOnly="0" labelOnly="1" outline="0" fieldPosition="0">
        <references count="3">
          <reference field="1" count="1" selected="0">
            <x v="0"/>
          </reference>
          <reference field="3" count="1" selected="0">
            <x v="7"/>
          </reference>
          <reference field="5" count="50">
            <x v="6"/>
            <x v="7"/>
            <x v="16"/>
            <x v="20"/>
            <x v="22"/>
            <x v="27"/>
            <x v="32"/>
            <x v="34"/>
            <x v="36"/>
            <x v="47"/>
            <x v="51"/>
            <x v="52"/>
            <x v="56"/>
            <x v="61"/>
            <x v="66"/>
            <x v="68"/>
            <x v="83"/>
            <x v="94"/>
            <x v="95"/>
            <x v="107"/>
            <x v="108"/>
            <x v="109"/>
            <x v="110"/>
            <x v="113"/>
            <x v="118"/>
            <x v="119"/>
            <x v="120"/>
            <x v="121"/>
            <x v="122"/>
            <x v="123"/>
            <x v="124"/>
            <x v="125"/>
            <x v="126"/>
            <x v="127"/>
            <x v="128"/>
            <x v="129"/>
            <x v="130"/>
            <x v="137"/>
            <x v="145"/>
            <x v="146"/>
            <x v="155"/>
            <x v="156"/>
            <x v="163"/>
            <x v="170"/>
            <x v="172"/>
            <x v="175"/>
            <x v="177"/>
            <x v="180"/>
            <x v="182"/>
            <x v="183"/>
          </reference>
        </references>
      </pivotArea>
    </format>
    <format dxfId="7923">
      <pivotArea dataOnly="0" labelOnly="1" outline="0" fieldPosition="0">
        <references count="3">
          <reference field="1" count="1" selected="0">
            <x v="0"/>
          </reference>
          <reference field="3" count="1" selected="0">
            <x v="7"/>
          </reference>
          <reference field="5" count="36">
            <x v="3"/>
            <x v="21"/>
            <x v="29"/>
            <x v="41"/>
            <x v="44"/>
            <x v="59"/>
            <x v="62"/>
            <x v="87"/>
            <x v="89"/>
            <x v="91"/>
            <x v="93"/>
            <x v="105"/>
            <x v="106"/>
            <x v="144"/>
            <x v="157"/>
            <x v="158"/>
            <x v="159"/>
            <x v="164"/>
            <x v="165"/>
            <x v="167"/>
            <x v="169"/>
            <x v="171"/>
            <x v="173"/>
            <x v="174"/>
            <x v="176"/>
            <x v="178"/>
            <x v="179"/>
            <x v="181"/>
            <x v="184"/>
            <x v="185"/>
            <x v="186"/>
            <x v="187"/>
            <x v="188"/>
            <x v="189"/>
            <x v="190"/>
            <x v="207"/>
          </reference>
        </references>
      </pivotArea>
    </format>
    <format dxfId="7922">
      <pivotArea dataOnly="0" labelOnly="1" outline="0" fieldPosition="0">
        <references count="3">
          <reference field="1" count="1" selected="0">
            <x v="0"/>
          </reference>
          <reference field="3" count="1" selected="0">
            <x v="9"/>
          </reference>
          <reference field="5" count="43">
            <x v="0"/>
            <x v="4"/>
            <x v="8"/>
            <x v="10"/>
            <x v="11"/>
            <x v="12"/>
            <x v="13"/>
            <x v="14"/>
            <x v="18"/>
            <x v="19"/>
            <x v="26"/>
            <x v="31"/>
            <x v="35"/>
            <x v="37"/>
            <x v="38"/>
            <x v="39"/>
            <x v="40"/>
            <x v="42"/>
            <x v="43"/>
            <x v="45"/>
            <x v="49"/>
            <x v="53"/>
            <x v="58"/>
            <x v="63"/>
            <x v="64"/>
            <x v="67"/>
            <x v="71"/>
            <x v="74"/>
            <x v="77"/>
            <x v="81"/>
            <x v="84"/>
            <x v="85"/>
            <x v="86"/>
            <x v="114"/>
            <x v="115"/>
            <x v="132"/>
            <x v="133"/>
            <x v="134"/>
            <x v="135"/>
            <x v="136"/>
            <x v="138"/>
            <x v="139"/>
            <x v="161"/>
          </reference>
        </references>
      </pivotArea>
    </format>
    <format dxfId="7921">
      <pivotArea dataOnly="0" labelOnly="1" outline="0" fieldPosition="0">
        <references count="3">
          <reference field="1" count="1" selected="0">
            <x v="0"/>
          </reference>
          <reference field="3" count="1" selected="0">
            <x v="10"/>
          </reference>
          <reference field="5" count="13">
            <x v="23"/>
            <x v="30"/>
            <x v="80"/>
            <x v="90"/>
            <x v="92"/>
            <x v="140"/>
            <x v="142"/>
            <x v="143"/>
            <x v="160"/>
            <x v="162"/>
            <x v="209"/>
            <x v="210"/>
            <x v="211"/>
          </reference>
        </references>
      </pivotArea>
    </format>
    <format dxfId="7920">
      <pivotArea dataOnly="0" labelOnly="1" outline="0" fieldPosition="0">
        <references count="3">
          <reference field="1" count="1" selected="0">
            <x v="0"/>
          </reference>
          <reference field="3" count="1" selected="0">
            <x v="11"/>
          </reference>
          <reference field="5" count="19">
            <x v="1"/>
            <x v="2"/>
            <x v="5"/>
            <x v="9"/>
            <x v="15"/>
            <x v="17"/>
            <x v="46"/>
            <x v="48"/>
            <x v="50"/>
            <x v="54"/>
            <x v="55"/>
            <x v="57"/>
            <x v="60"/>
            <x v="69"/>
            <x v="72"/>
            <x v="73"/>
            <x v="78"/>
            <x v="79"/>
            <x v="82"/>
          </reference>
        </references>
      </pivotArea>
    </format>
    <format dxfId="7919">
      <pivotArea dataOnly="0" labelOnly="1" outline="0" fieldPosition="0">
        <references count="3">
          <reference field="1" count="1" selected="0">
            <x v="1"/>
          </reference>
          <reference field="3" count="1" selected="0">
            <x v="1"/>
          </reference>
          <reference field="5" count="4">
            <x v="75"/>
            <x v="76"/>
            <x v="166"/>
            <x v="222"/>
          </reference>
        </references>
      </pivotArea>
    </format>
    <format dxfId="7918">
      <pivotArea dataOnly="0" labelOnly="1" outline="0" fieldPosition="0">
        <references count="3">
          <reference field="1" count="1" selected="0">
            <x v="1"/>
          </reference>
          <reference field="3" count="1" selected="0">
            <x v="4"/>
          </reference>
          <reference field="5" count="19">
            <x v="65"/>
            <x v="70"/>
            <x v="191"/>
            <x v="192"/>
            <x v="193"/>
            <x v="194"/>
            <x v="195"/>
            <x v="196"/>
            <x v="197"/>
            <x v="198"/>
            <x v="199"/>
            <x v="200"/>
            <x v="201"/>
            <x v="202"/>
            <x v="203"/>
            <x v="204"/>
            <x v="205"/>
            <x v="206"/>
            <x v="337"/>
          </reference>
        </references>
      </pivotArea>
    </format>
    <format dxfId="7917">
      <pivotArea dataOnly="0" labelOnly="1" outline="0" fieldPosition="0">
        <references count="3">
          <reference field="1" count="1" selected="0">
            <x v="1"/>
          </reference>
          <reference field="3" count="1" selected="0">
            <x v="5"/>
          </reference>
          <reference field="5" count="39">
            <x v="24"/>
            <x v="25"/>
            <x v="28"/>
            <x v="33"/>
            <x v="88"/>
            <x v="96"/>
            <x v="97"/>
            <x v="98"/>
            <x v="99"/>
            <x v="100"/>
            <x v="101"/>
            <x v="102"/>
            <x v="103"/>
            <x v="104"/>
            <x v="111"/>
            <x v="112"/>
            <x v="116"/>
            <x v="117"/>
            <x v="141"/>
            <x v="147"/>
            <x v="148"/>
            <x v="149"/>
            <x v="150"/>
            <x v="151"/>
            <x v="152"/>
            <x v="153"/>
            <x v="154"/>
            <x v="168"/>
            <x v="212"/>
            <x v="213"/>
            <x v="214"/>
            <x v="215"/>
            <x v="216"/>
            <x v="217"/>
            <x v="218"/>
            <x v="219"/>
            <x v="220"/>
            <x v="221"/>
            <x v="268"/>
          </reference>
        </references>
      </pivotArea>
    </format>
    <format dxfId="7916">
      <pivotArea dataOnly="0" labelOnly="1" outline="0" fieldPosition="0">
        <references count="3">
          <reference field="1" count="1" selected="0">
            <x v="1"/>
          </reference>
          <reference field="3" count="1" selected="0">
            <x v="7"/>
          </reference>
          <reference field="5" count="50">
            <x v="6"/>
            <x v="7"/>
            <x v="16"/>
            <x v="20"/>
            <x v="22"/>
            <x v="27"/>
            <x v="32"/>
            <x v="34"/>
            <x v="36"/>
            <x v="47"/>
            <x v="51"/>
            <x v="52"/>
            <x v="56"/>
            <x v="61"/>
            <x v="66"/>
            <x v="68"/>
            <x v="83"/>
            <x v="94"/>
            <x v="95"/>
            <x v="107"/>
            <x v="108"/>
            <x v="109"/>
            <x v="110"/>
            <x v="113"/>
            <x v="118"/>
            <x v="119"/>
            <x v="120"/>
            <x v="121"/>
            <x v="122"/>
            <x v="123"/>
            <x v="124"/>
            <x v="125"/>
            <x v="126"/>
            <x v="127"/>
            <x v="128"/>
            <x v="129"/>
            <x v="130"/>
            <x v="137"/>
            <x v="145"/>
            <x v="146"/>
            <x v="155"/>
            <x v="156"/>
            <x v="163"/>
            <x v="170"/>
            <x v="172"/>
            <x v="175"/>
            <x v="177"/>
            <x v="180"/>
            <x v="182"/>
            <x v="183"/>
          </reference>
        </references>
      </pivotArea>
    </format>
    <format dxfId="7915">
      <pivotArea dataOnly="0" labelOnly="1" outline="0" fieldPosition="0">
        <references count="3">
          <reference field="1" count="1" selected="0">
            <x v="1"/>
          </reference>
          <reference field="3" count="1" selected="0">
            <x v="7"/>
          </reference>
          <reference field="5" count="36">
            <x v="3"/>
            <x v="21"/>
            <x v="29"/>
            <x v="41"/>
            <x v="44"/>
            <x v="59"/>
            <x v="62"/>
            <x v="87"/>
            <x v="89"/>
            <x v="91"/>
            <x v="93"/>
            <x v="105"/>
            <x v="106"/>
            <x v="144"/>
            <x v="157"/>
            <x v="158"/>
            <x v="159"/>
            <x v="164"/>
            <x v="165"/>
            <x v="167"/>
            <x v="169"/>
            <x v="171"/>
            <x v="173"/>
            <x v="174"/>
            <x v="176"/>
            <x v="178"/>
            <x v="179"/>
            <x v="181"/>
            <x v="184"/>
            <x v="185"/>
            <x v="186"/>
            <x v="187"/>
            <x v="188"/>
            <x v="189"/>
            <x v="190"/>
            <x v="207"/>
          </reference>
        </references>
      </pivotArea>
    </format>
    <format dxfId="7914">
      <pivotArea dataOnly="0" labelOnly="1" outline="0" fieldPosition="0">
        <references count="3">
          <reference field="1" count="1" selected="0">
            <x v="1"/>
          </reference>
          <reference field="3" count="1" selected="0">
            <x v="9"/>
          </reference>
          <reference field="5" count="43">
            <x v="0"/>
            <x v="4"/>
            <x v="8"/>
            <x v="10"/>
            <x v="11"/>
            <x v="12"/>
            <x v="13"/>
            <x v="14"/>
            <x v="18"/>
            <x v="19"/>
            <x v="26"/>
            <x v="31"/>
            <x v="35"/>
            <x v="37"/>
            <x v="38"/>
            <x v="39"/>
            <x v="40"/>
            <x v="42"/>
            <x v="43"/>
            <x v="45"/>
            <x v="49"/>
            <x v="53"/>
            <x v="58"/>
            <x v="63"/>
            <x v="64"/>
            <x v="67"/>
            <x v="71"/>
            <x v="74"/>
            <x v="77"/>
            <x v="81"/>
            <x v="84"/>
            <x v="85"/>
            <x v="86"/>
            <x v="114"/>
            <x v="115"/>
            <x v="132"/>
            <x v="133"/>
            <x v="134"/>
            <x v="135"/>
            <x v="136"/>
            <x v="138"/>
            <x v="139"/>
            <x v="161"/>
          </reference>
        </references>
      </pivotArea>
    </format>
    <format dxfId="7913">
      <pivotArea dataOnly="0" labelOnly="1" outline="0" fieldPosition="0">
        <references count="3">
          <reference field="1" count="1" selected="0">
            <x v="1"/>
          </reference>
          <reference field="3" count="1" selected="0">
            <x v="10"/>
          </reference>
          <reference field="5" count="13">
            <x v="23"/>
            <x v="30"/>
            <x v="80"/>
            <x v="90"/>
            <x v="92"/>
            <x v="140"/>
            <x v="142"/>
            <x v="143"/>
            <x v="160"/>
            <x v="162"/>
            <x v="209"/>
            <x v="210"/>
            <x v="211"/>
          </reference>
        </references>
      </pivotArea>
    </format>
    <format dxfId="7912">
      <pivotArea dataOnly="0" labelOnly="1" outline="0" fieldPosition="0">
        <references count="3">
          <reference field="1" count="1" selected="0">
            <x v="1"/>
          </reference>
          <reference field="3" count="1" selected="0">
            <x v="11"/>
          </reference>
          <reference field="5" count="19">
            <x v="1"/>
            <x v="2"/>
            <x v="5"/>
            <x v="9"/>
            <x v="15"/>
            <x v="17"/>
            <x v="46"/>
            <x v="48"/>
            <x v="50"/>
            <x v="54"/>
            <x v="55"/>
            <x v="57"/>
            <x v="60"/>
            <x v="69"/>
            <x v="72"/>
            <x v="73"/>
            <x v="78"/>
            <x v="79"/>
            <x v="82"/>
          </reference>
        </references>
      </pivotArea>
    </format>
    <format dxfId="7911">
      <pivotArea dataOnly="0" labelOnly="1" outline="0" fieldPosition="0">
        <references count="3">
          <reference field="1" count="1" selected="0">
            <x v="2"/>
          </reference>
          <reference field="3" count="1" selected="0">
            <x v="1"/>
          </reference>
          <reference field="5" count="4">
            <x v="75"/>
            <x v="76"/>
            <x v="166"/>
            <x v="222"/>
          </reference>
        </references>
      </pivotArea>
    </format>
    <format dxfId="7910">
      <pivotArea dataOnly="0" labelOnly="1" outline="0" fieldPosition="0">
        <references count="3">
          <reference field="1" count="1" selected="0">
            <x v="2"/>
          </reference>
          <reference field="3" count="1" selected="0">
            <x v="4"/>
          </reference>
          <reference field="5" count="19">
            <x v="65"/>
            <x v="70"/>
            <x v="191"/>
            <x v="192"/>
            <x v="193"/>
            <x v="194"/>
            <x v="195"/>
            <x v="196"/>
            <x v="197"/>
            <x v="198"/>
            <x v="199"/>
            <x v="200"/>
            <x v="201"/>
            <x v="202"/>
            <x v="203"/>
            <x v="204"/>
            <x v="205"/>
            <x v="206"/>
            <x v="337"/>
          </reference>
        </references>
      </pivotArea>
    </format>
    <format dxfId="7909">
      <pivotArea dataOnly="0" labelOnly="1" outline="0" fieldPosition="0">
        <references count="3">
          <reference field="1" count="1" selected="0">
            <x v="2"/>
          </reference>
          <reference field="3" count="1" selected="0">
            <x v="5"/>
          </reference>
          <reference field="5" count="39">
            <x v="24"/>
            <x v="25"/>
            <x v="28"/>
            <x v="33"/>
            <x v="88"/>
            <x v="96"/>
            <x v="97"/>
            <x v="98"/>
            <x v="99"/>
            <x v="100"/>
            <x v="101"/>
            <x v="102"/>
            <x v="103"/>
            <x v="104"/>
            <x v="111"/>
            <x v="112"/>
            <x v="116"/>
            <x v="117"/>
            <x v="141"/>
            <x v="147"/>
            <x v="148"/>
            <x v="149"/>
            <x v="150"/>
            <x v="151"/>
            <x v="152"/>
            <x v="153"/>
            <x v="154"/>
            <x v="168"/>
            <x v="212"/>
            <x v="213"/>
            <x v="214"/>
            <x v="215"/>
            <x v="216"/>
            <x v="217"/>
            <x v="218"/>
            <x v="219"/>
            <x v="220"/>
            <x v="221"/>
            <x v="321"/>
          </reference>
        </references>
      </pivotArea>
    </format>
    <format dxfId="7908">
      <pivotArea dataOnly="0" labelOnly="1" outline="0" fieldPosition="0">
        <references count="3">
          <reference field="1" count="1" selected="0">
            <x v="2"/>
          </reference>
          <reference field="3" count="1" selected="0">
            <x v="7"/>
          </reference>
          <reference field="5" count="50">
            <x v="6"/>
            <x v="7"/>
            <x v="16"/>
            <x v="20"/>
            <x v="22"/>
            <x v="27"/>
            <x v="32"/>
            <x v="34"/>
            <x v="36"/>
            <x v="47"/>
            <x v="51"/>
            <x v="52"/>
            <x v="56"/>
            <x v="61"/>
            <x v="66"/>
            <x v="68"/>
            <x v="83"/>
            <x v="94"/>
            <x v="95"/>
            <x v="107"/>
            <x v="108"/>
            <x v="109"/>
            <x v="110"/>
            <x v="113"/>
            <x v="118"/>
            <x v="119"/>
            <x v="120"/>
            <x v="121"/>
            <x v="122"/>
            <x v="123"/>
            <x v="124"/>
            <x v="125"/>
            <x v="126"/>
            <x v="127"/>
            <x v="128"/>
            <x v="129"/>
            <x v="130"/>
            <x v="137"/>
            <x v="145"/>
            <x v="146"/>
            <x v="155"/>
            <x v="156"/>
            <x v="163"/>
            <x v="170"/>
            <x v="172"/>
            <x v="175"/>
            <x v="177"/>
            <x v="180"/>
            <x v="182"/>
            <x v="183"/>
          </reference>
        </references>
      </pivotArea>
    </format>
    <format dxfId="7907">
      <pivotArea dataOnly="0" labelOnly="1" outline="0" fieldPosition="0">
        <references count="3">
          <reference field="1" count="1" selected="0">
            <x v="2"/>
          </reference>
          <reference field="3" count="1" selected="0">
            <x v="7"/>
          </reference>
          <reference field="5" count="36">
            <x v="3"/>
            <x v="21"/>
            <x v="29"/>
            <x v="41"/>
            <x v="44"/>
            <x v="59"/>
            <x v="62"/>
            <x v="87"/>
            <x v="89"/>
            <x v="91"/>
            <x v="93"/>
            <x v="105"/>
            <x v="106"/>
            <x v="144"/>
            <x v="157"/>
            <x v="158"/>
            <x v="159"/>
            <x v="164"/>
            <x v="165"/>
            <x v="167"/>
            <x v="169"/>
            <x v="171"/>
            <x v="173"/>
            <x v="174"/>
            <x v="176"/>
            <x v="178"/>
            <x v="179"/>
            <x v="181"/>
            <x v="184"/>
            <x v="185"/>
            <x v="186"/>
            <x v="187"/>
            <x v="188"/>
            <x v="189"/>
            <x v="190"/>
            <x v="207"/>
          </reference>
        </references>
      </pivotArea>
    </format>
    <format dxfId="7906">
      <pivotArea dataOnly="0" labelOnly="1" outline="0" fieldPosition="0">
        <references count="3">
          <reference field="1" count="1" selected="0">
            <x v="2"/>
          </reference>
          <reference field="3" count="1" selected="0">
            <x v="9"/>
          </reference>
          <reference field="5" count="43">
            <x v="0"/>
            <x v="4"/>
            <x v="8"/>
            <x v="10"/>
            <x v="11"/>
            <x v="12"/>
            <x v="13"/>
            <x v="14"/>
            <x v="18"/>
            <x v="19"/>
            <x v="26"/>
            <x v="31"/>
            <x v="35"/>
            <x v="37"/>
            <x v="38"/>
            <x v="39"/>
            <x v="40"/>
            <x v="42"/>
            <x v="43"/>
            <x v="45"/>
            <x v="49"/>
            <x v="53"/>
            <x v="58"/>
            <x v="63"/>
            <x v="64"/>
            <x v="67"/>
            <x v="71"/>
            <x v="74"/>
            <x v="77"/>
            <x v="81"/>
            <x v="84"/>
            <x v="85"/>
            <x v="86"/>
            <x v="114"/>
            <x v="115"/>
            <x v="132"/>
            <x v="133"/>
            <x v="134"/>
            <x v="135"/>
            <x v="136"/>
            <x v="138"/>
            <x v="139"/>
            <x v="161"/>
          </reference>
        </references>
      </pivotArea>
    </format>
    <format dxfId="7905">
      <pivotArea dataOnly="0" labelOnly="1" outline="0" fieldPosition="0">
        <references count="3">
          <reference field="1" count="1" selected="0">
            <x v="2"/>
          </reference>
          <reference field="3" count="1" selected="0">
            <x v="10"/>
          </reference>
          <reference field="5" count="13">
            <x v="23"/>
            <x v="30"/>
            <x v="80"/>
            <x v="90"/>
            <x v="92"/>
            <x v="140"/>
            <x v="142"/>
            <x v="143"/>
            <x v="160"/>
            <x v="162"/>
            <x v="209"/>
            <x v="210"/>
            <x v="211"/>
          </reference>
        </references>
      </pivotArea>
    </format>
    <format dxfId="7904">
      <pivotArea dataOnly="0" labelOnly="1" outline="0" fieldPosition="0">
        <references count="3">
          <reference field="1" count="1" selected="0">
            <x v="2"/>
          </reference>
          <reference field="3" count="1" selected="0">
            <x v="11"/>
          </reference>
          <reference field="5" count="19">
            <x v="1"/>
            <x v="2"/>
            <x v="5"/>
            <x v="9"/>
            <x v="15"/>
            <x v="17"/>
            <x v="46"/>
            <x v="48"/>
            <x v="50"/>
            <x v="54"/>
            <x v="55"/>
            <x v="57"/>
            <x v="60"/>
            <x v="69"/>
            <x v="72"/>
            <x v="73"/>
            <x v="78"/>
            <x v="79"/>
            <x v="82"/>
          </reference>
        </references>
      </pivotArea>
    </format>
    <format dxfId="7903">
      <pivotArea dataOnly="0" labelOnly="1" outline="0" fieldPosition="0">
        <references count="3">
          <reference field="1" count="1" selected="0">
            <x v="3"/>
          </reference>
          <reference field="3" count="1" selected="0">
            <x v="1"/>
          </reference>
          <reference field="5" count="4">
            <x v="75"/>
            <x v="76"/>
            <x v="166"/>
            <x v="222"/>
          </reference>
        </references>
      </pivotArea>
    </format>
    <format dxfId="7902">
      <pivotArea dataOnly="0" labelOnly="1" outline="0" fieldPosition="0">
        <references count="3">
          <reference field="1" count="1" selected="0">
            <x v="3"/>
          </reference>
          <reference field="3" count="1" selected="0">
            <x v="4"/>
          </reference>
          <reference field="5" count="16">
            <x v="65"/>
            <x v="70"/>
            <x v="191"/>
            <x v="192"/>
            <x v="193"/>
            <x v="194"/>
            <x v="195"/>
            <x v="197"/>
            <x v="198"/>
            <x v="199"/>
            <x v="201"/>
            <x v="202"/>
            <x v="203"/>
            <x v="204"/>
            <x v="205"/>
            <x v="337"/>
          </reference>
        </references>
      </pivotArea>
    </format>
    <format dxfId="7901">
      <pivotArea dataOnly="0" labelOnly="1" outline="0" fieldPosition="0">
        <references count="3">
          <reference field="1" count="1" selected="0">
            <x v="3"/>
          </reference>
          <reference field="3" count="1" selected="0">
            <x v="5"/>
          </reference>
          <reference field="5" count="39">
            <x v="24"/>
            <x v="25"/>
            <x v="28"/>
            <x v="33"/>
            <x v="88"/>
            <x v="96"/>
            <x v="97"/>
            <x v="98"/>
            <x v="99"/>
            <x v="100"/>
            <x v="101"/>
            <x v="102"/>
            <x v="103"/>
            <x v="104"/>
            <x v="111"/>
            <x v="112"/>
            <x v="116"/>
            <x v="117"/>
            <x v="141"/>
            <x v="147"/>
            <x v="148"/>
            <x v="149"/>
            <x v="150"/>
            <x v="151"/>
            <x v="152"/>
            <x v="153"/>
            <x v="154"/>
            <x v="168"/>
            <x v="212"/>
            <x v="213"/>
            <x v="214"/>
            <x v="215"/>
            <x v="216"/>
            <x v="217"/>
            <x v="218"/>
            <x v="219"/>
            <x v="220"/>
            <x v="221"/>
            <x v="321"/>
          </reference>
        </references>
      </pivotArea>
    </format>
    <format dxfId="7900">
      <pivotArea dataOnly="0" labelOnly="1" outline="0" fieldPosition="0">
        <references count="3">
          <reference field="1" count="1" selected="0">
            <x v="3"/>
          </reference>
          <reference field="3" count="1" selected="0">
            <x v="7"/>
          </reference>
          <reference field="5" count="50">
            <x v="6"/>
            <x v="7"/>
            <x v="16"/>
            <x v="20"/>
            <x v="22"/>
            <x v="27"/>
            <x v="32"/>
            <x v="34"/>
            <x v="36"/>
            <x v="47"/>
            <x v="51"/>
            <x v="52"/>
            <x v="56"/>
            <x v="61"/>
            <x v="66"/>
            <x v="68"/>
            <x v="83"/>
            <x v="94"/>
            <x v="95"/>
            <x v="107"/>
            <x v="108"/>
            <x v="109"/>
            <x v="110"/>
            <x v="113"/>
            <x v="118"/>
            <x v="119"/>
            <x v="120"/>
            <x v="121"/>
            <x v="122"/>
            <x v="123"/>
            <x v="124"/>
            <x v="125"/>
            <x v="126"/>
            <x v="127"/>
            <x v="128"/>
            <x v="129"/>
            <x v="130"/>
            <x v="137"/>
            <x v="145"/>
            <x v="146"/>
            <x v="155"/>
            <x v="156"/>
            <x v="163"/>
            <x v="170"/>
            <x v="172"/>
            <x v="175"/>
            <x v="177"/>
            <x v="180"/>
            <x v="182"/>
            <x v="183"/>
          </reference>
        </references>
      </pivotArea>
    </format>
    <format dxfId="7899">
      <pivotArea dataOnly="0" labelOnly="1" outline="0" fieldPosition="0">
        <references count="3">
          <reference field="1" count="1" selected="0">
            <x v="3"/>
          </reference>
          <reference field="3" count="1" selected="0">
            <x v="7"/>
          </reference>
          <reference field="5" count="36">
            <x v="3"/>
            <x v="21"/>
            <x v="29"/>
            <x v="41"/>
            <x v="44"/>
            <x v="59"/>
            <x v="62"/>
            <x v="87"/>
            <x v="89"/>
            <x v="91"/>
            <x v="93"/>
            <x v="105"/>
            <x v="106"/>
            <x v="144"/>
            <x v="157"/>
            <x v="158"/>
            <x v="159"/>
            <x v="164"/>
            <x v="165"/>
            <x v="167"/>
            <x v="169"/>
            <x v="171"/>
            <x v="173"/>
            <x v="174"/>
            <x v="176"/>
            <x v="178"/>
            <x v="179"/>
            <x v="181"/>
            <x v="184"/>
            <x v="185"/>
            <x v="186"/>
            <x v="187"/>
            <x v="188"/>
            <x v="189"/>
            <x v="190"/>
            <x v="207"/>
          </reference>
        </references>
      </pivotArea>
    </format>
    <format dxfId="7898">
      <pivotArea dataOnly="0" labelOnly="1" outline="0" fieldPosition="0">
        <references count="3">
          <reference field="1" count="1" selected="0">
            <x v="3"/>
          </reference>
          <reference field="3" count="1" selected="0">
            <x v="9"/>
          </reference>
          <reference field="5" count="43">
            <x v="0"/>
            <x v="4"/>
            <x v="8"/>
            <x v="10"/>
            <x v="11"/>
            <x v="12"/>
            <x v="13"/>
            <x v="14"/>
            <x v="18"/>
            <x v="19"/>
            <x v="26"/>
            <x v="31"/>
            <x v="35"/>
            <x v="37"/>
            <x v="38"/>
            <x v="39"/>
            <x v="40"/>
            <x v="42"/>
            <x v="43"/>
            <x v="45"/>
            <x v="49"/>
            <x v="53"/>
            <x v="58"/>
            <x v="63"/>
            <x v="64"/>
            <x v="67"/>
            <x v="71"/>
            <x v="74"/>
            <x v="77"/>
            <x v="81"/>
            <x v="84"/>
            <x v="85"/>
            <x v="86"/>
            <x v="114"/>
            <x v="115"/>
            <x v="132"/>
            <x v="133"/>
            <x v="134"/>
            <x v="135"/>
            <x v="136"/>
            <x v="138"/>
            <x v="139"/>
            <x v="161"/>
          </reference>
        </references>
      </pivotArea>
    </format>
    <format dxfId="7897">
      <pivotArea dataOnly="0" labelOnly="1" outline="0" fieldPosition="0">
        <references count="3">
          <reference field="1" count="1" selected="0">
            <x v="3"/>
          </reference>
          <reference field="3" count="1" selected="0">
            <x v="10"/>
          </reference>
          <reference field="5" count="13">
            <x v="23"/>
            <x v="30"/>
            <x v="80"/>
            <x v="90"/>
            <x v="92"/>
            <x v="140"/>
            <x v="142"/>
            <x v="143"/>
            <x v="160"/>
            <x v="162"/>
            <x v="209"/>
            <x v="210"/>
            <x v="211"/>
          </reference>
        </references>
      </pivotArea>
    </format>
    <format dxfId="7896">
      <pivotArea dataOnly="0" labelOnly="1" outline="0" fieldPosition="0">
        <references count="3">
          <reference field="1" count="1" selected="0">
            <x v="3"/>
          </reference>
          <reference field="3" count="1" selected="0">
            <x v="11"/>
          </reference>
          <reference field="5" count="22">
            <x v="1"/>
            <x v="2"/>
            <x v="5"/>
            <x v="9"/>
            <x v="15"/>
            <x v="17"/>
            <x v="46"/>
            <x v="48"/>
            <x v="50"/>
            <x v="54"/>
            <x v="55"/>
            <x v="57"/>
            <x v="60"/>
            <x v="69"/>
            <x v="72"/>
            <x v="73"/>
            <x v="78"/>
            <x v="79"/>
            <x v="82"/>
            <x v="196"/>
            <x v="200"/>
            <x v="206"/>
          </reference>
        </references>
      </pivotArea>
    </format>
    <format dxfId="7895">
      <pivotArea dataOnly="0" labelOnly="1" outline="0" fieldPosition="0">
        <references count="3">
          <reference field="1" count="1" selected="0">
            <x v="4"/>
          </reference>
          <reference field="3" count="1" selected="0">
            <x v="1"/>
          </reference>
          <reference field="5" count="4">
            <x v="75"/>
            <x v="76"/>
            <x v="166"/>
            <x v="222"/>
          </reference>
        </references>
      </pivotArea>
    </format>
    <format dxfId="7894">
      <pivotArea dataOnly="0" labelOnly="1" outline="0" fieldPosition="0">
        <references count="3">
          <reference field="1" count="1" selected="0">
            <x v="4"/>
          </reference>
          <reference field="3" count="1" selected="0">
            <x v="4"/>
          </reference>
          <reference field="5" count="19">
            <x v="65"/>
            <x v="70"/>
            <x v="191"/>
            <x v="192"/>
            <x v="193"/>
            <x v="194"/>
            <x v="195"/>
            <x v="196"/>
            <x v="197"/>
            <x v="198"/>
            <x v="199"/>
            <x v="200"/>
            <x v="201"/>
            <x v="202"/>
            <x v="203"/>
            <x v="204"/>
            <x v="205"/>
            <x v="206"/>
            <x v="337"/>
          </reference>
        </references>
      </pivotArea>
    </format>
    <format dxfId="7893">
      <pivotArea dataOnly="0" labelOnly="1" outline="0" fieldPosition="0">
        <references count="3">
          <reference field="1" count="1" selected="0">
            <x v="4"/>
          </reference>
          <reference field="3" count="1" selected="0">
            <x v="5"/>
          </reference>
          <reference field="5" count="39">
            <x v="24"/>
            <x v="25"/>
            <x v="28"/>
            <x v="33"/>
            <x v="88"/>
            <x v="96"/>
            <x v="97"/>
            <x v="98"/>
            <x v="99"/>
            <x v="100"/>
            <x v="101"/>
            <x v="102"/>
            <x v="103"/>
            <x v="104"/>
            <x v="111"/>
            <x v="112"/>
            <x v="116"/>
            <x v="117"/>
            <x v="141"/>
            <x v="147"/>
            <x v="148"/>
            <x v="149"/>
            <x v="150"/>
            <x v="151"/>
            <x v="152"/>
            <x v="153"/>
            <x v="154"/>
            <x v="168"/>
            <x v="212"/>
            <x v="213"/>
            <x v="214"/>
            <x v="215"/>
            <x v="216"/>
            <x v="217"/>
            <x v="218"/>
            <x v="219"/>
            <x v="220"/>
            <x v="221"/>
            <x v="321"/>
          </reference>
        </references>
      </pivotArea>
    </format>
    <format dxfId="7892">
      <pivotArea dataOnly="0" labelOnly="1" outline="0" fieldPosition="0">
        <references count="3">
          <reference field="1" count="1" selected="0">
            <x v="4"/>
          </reference>
          <reference field="3" count="1" selected="0">
            <x v="7"/>
          </reference>
          <reference field="5" count="50">
            <x v="6"/>
            <x v="7"/>
            <x v="16"/>
            <x v="20"/>
            <x v="22"/>
            <x v="27"/>
            <x v="32"/>
            <x v="34"/>
            <x v="36"/>
            <x v="47"/>
            <x v="51"/>
            <x v="52"/>
            <x v="56"/>
            <x v="61"/>
            <x v="66"/>
            <x v="68"/>
            <x v="83"/>
            <x v="94"/>
            <x v="95"/>
            <x v="107"/>
            <x v="108"/>
            <x v="109"/>
            <x v="110"/>
            <x v="113"/>
            <x v="118"/>
            <x v="119"/>
            <x v="120"/>
            <x v="121"/>
            <x v="122"/>
            <x v="123"/>
            <x v="124"/>
            <x v="125"/>
            <x v="126"/>
            <x v="127"/>
            <x v="128"/>
            <x v="129"/>
            <x v="130"/>
            <x v="137"/>
            <x v="145"/>
            <x v="146"/>
            <x v="155"/>
            <x v="156"/>
            <x v="163"/>
            <x v="170"/>
            <x v="172"/>
            <x v="175"/>
            <x v="177"/>
            <x v="180"/>
            <x v="182"/>
            <x v="183"/>
          </reference>
        </references>
      </pivotArea>
    </format>
    <format dxfId="7891">
      <pivotArea dataOnly="0" labelOnly="1" outline="0" fieldPosition="0">
        <references count="3">
          <reference field="1" count="1" selected="0">
            <x v="4"/>
          </reference>
          <reference field="3" count="1" selected="0">
            <x v="7"/>
          </reference>
          <reference field="5" count="36">
            <x v="3"/>
            <x v="21"/>
            <x v="29"/>
            <x v="41"/>
            <x v="44"/>
            <x v="59"/>
            <x v="62"/>
            <x v="87"/>
            <x v="89"/>
            <x v="91"/>
            <x v="93"/>
            <x v="105"/>
            <x v="106"/>
            <x v="144"/>
            <x v="157"/>
            <x v="158"/>
            <x v="159"/>
            <x v="164"/>
            <x v="165"/>
            <x v="167"/>
            <x v="169"/>
            <x v="171"/>
            <x v="173"/>
            <x v="174"/>
            <x v="176"/>
            <x v="178"/>
            <x v="179"/>
            <x v="181"/>
            <x v="184"/>
            <x v="185"/>
            <x v="186"/>
            <x v="187"/>
            <x v="188"/>
            <x v="189"/>
            <x v="190"/>
            <x v="207"/>
          </reference>
        </references>
      </pivotArea>
    </format>
    <format dxfId="7890">
      <pivotArea dataOnly="0" labelOnly="1" outline="0" fieldPosition="0">
        <references count="3">
          <reference field="1" count="1" selected="0">
            <x v="4"/>
          </reference>
          <reference field="3" count="1" selected="0">
            <x v="9"/>
          </reference>
          <reference field="5" count="43">
            <x v="0"/>
            <x v="4"/>
            <x v="8"/>
            <x v="10"/>
            <x v="11"/>
            <x v="12"/>
            <x v="13"/>
            <x v="14"/>
            <x v="18"/>
            <x v="19"/>
            <x v="26"/>
            <x v="31"/>
            <x v="35"/>
            <x v="37"/>
            <x v="38"/>
            <x v="39"/>
            <x v="40"/>
            <x v="42"/>
            <x v="43"/>
            <x v="45"/>
            <x v="49"/>
            <x v="53"/>
            <x v="58"/>
            <x v="63"/>
            <x v="64"/>
            <x v="67"/>
            <x v="71"/>
            <x v="74"/>
            <x v="77"/>
            <x v="81"/>
            <x v="84"/>
            <x v="85"/>
            <x v="86"/>
            <x v="114"/>
            <x v="115"/>
            <x v="132"/>
            <x v="133"/>
            <x v="134"/>
            <x v="135"/>
            <x v="136"/>
            <x v="138"/>
            <x v="139"/>
            <x v="161"/>
          </reference>
        </references>
      </pivotArea>
    </format>
    <format dxfId="7889">
      <pivotArea dataOnly="0" labelOnly="1" outline="0" fieldPosition="0">
        <references count="3">
          <reference field="1" count="1" selected="0">
            <x v="4"/>
          </reference>
          <reference field="3" count="1" selected="0">
            <x v="10"/>
          </reference>
          <reference field="5" count="13">
            <x v="23"/>
            <x v="30"/>
            <x v="80"/>
            <x v="90"/>
            <x v="92"/>
            <x v="140"/>
            <x v="142"/>
            <x v="143"/>
            <x v="160"/>
            <x v="162"/>
            <x v="209"/>
            <x v="210"/>
            <x v="211"/>
          </reference>
        </references>
      </pivotArea>
    </format>
    <format dxfId="7888">
      <pivotArea dataOnly="0" labelOnly="1" outline="0" fieldPosition="0">
        <references count="3">
          <reference field="1" count="1" selected="0">
            <x v="4"/>
          </reference>
          <reference field="3" count="1" selected="0">
            <x v="11"/>
          </reference>
          <reference field="5" count="19">
            <x v="1"/>
            <x v="2"/>
            <x v="5"/>
            <x v="9"/>
            <x v="15"/>
            <x v="17"/>
            <x v="46"/>
            <x v="48"/>
            <x v="50"/>
            <x v="54"/>
            <x v="55"/>
            <x v="57"/>
            <x v="60"/>
            <x v="69"/>
            <x v="72"/>
            <x v="73"/>
            <x v="78"/>
            <x v="79"/>
            <x v="82"/>
          </reference>
        </references>
      </pivotArea>
    </format>
    <format dxfId="7887">
      <pivotArea dataOnly="0" labelOnly="1" outline="0" fieldPosition="0">
        <references count="3">
          <reference field="1" count="1" selected="0">
            <x v="5"/>
          </reference>
          <reference field="3" count="1" selected="0">
            <x v="1"/>
          </reference>
          <reference field="5" count="4">
            <x v="75"/>
            <x v="76"/>
            <x v="166"/>
            <x v="222"/>
          </reference>
        </references>
      </pivotArea>
    </format>
    <format dxfId="7886">
      <pivotArea dataOnly="0" labelOnly="1" outline="0" fieldPosition="0">
        <references count="3">
          <reference field="1" count="1" selected="0">
            <x v="5"/>
          </reference>
          <reference field="3" count="1" selected="0">
            <x v="4"/>
          </reference>
          <reference field="5" count="19">
            <x v="65"/>
            <x v="70"/>
            <x v="191"/>
            <x v="192"/>
            <x v="193"/>
            <x v="194"/>
            <x v="195"/>
            <x v="196"/>
            <x v="197"/>
            <x v="198"/>
            <x v="199"/>
            <x v="200"/>
            <x v="201"/>
            <x v="202"/>
            <x v="203"/>
            <x v="204"/>
            <x v="205"/>
            <x v="206"/>
            <x v="337"/>
          </reference>
        </references>
      </pivotArea>
    </format>
    <format dxfId="7885">
      <pivotArea dataOnly="0" labelOnly="1" outline="0" fieldPosition="0">
        <references count="3">
          <reference field="1" count="1" selected="0">
            <x v="5"/>
          </reference>
          <reference field="3" count="1" selected="0">
            <x v="5"/>
          </reference>
          <reference field="5" count="39">
            <x v="24"/>
            <x v="25"/>
            <x v="28"/>
            <x v="33"/>
            <x v="88"/>
            <x v="96"/>
            <x v="97"/>
            <x v="98"/>
            <x v="99"/>
            <x v="100"/>
            <x v="101"/>
            <x v="102"/>
            <x v="103"/>
            <x v="104"/>
            <x v="111"/>
            <x v="112"/>
            <x v="116"/>
            <x v="117"/>
            <x v="141"/>
            <x v="147"/>
            <x v="148"/>
            <x v="149"/>
            <x v="150"/>
            <x v="151"/>
            <x v="152"/>
            <x v="153"/>
            <x v="154"/>
            <x v="168"/>
            <x v="212"/>
            <x v="213"/>
            <x v="214"/>
            <x v="215"/>
            <x v="216"/>
            <x v="217"/>
            <x v="218"/>
            <x v="219"/>
            <x v="220"/>
            <x v="221"/>
            <x v="321"/>
          </reference>
        </references>
      </pivotArea>
    </format>
    <format dxfId="7884">
      <pivotArea dataOnly="0" labelOnly="1" outline="0" fieldPosition="0">
        <references count="3">
          <reference field="1" count="1" selected="0">
            <x v="5"/>
          </reference>
          <reference field="3" count="1" selected="0">
            <x v="7"/>
          </reference>
          <reference field="5" count="50">
            <x v="6"/>
            <x v="7"/>
            <x v="16"/>
            <x v="20"/>
            <x v="22"/>
            <x v="27"/>
            <x v="32"/>
            <x v="34"/>
            <x v="36"/>
            <x v="47"/>
            <x v="51"/>
            <x v="52"/>
            <x v="56"/>
            <x v="61"/>
            <x v="66"/>
            <x v="68"/>
            <x v="83"/>
            <x v="94"/>
            <x v="95"/>
            <x v="107"/>
            <x v="108"/>
            <x v="109"/>
            <x v="110"/>
            <x v="113"/>
            <x v="118"/>
            <x v="119"/>
            <x v="120"/>
            <x v="121"/>
            <x v="122"/>
            <x v="123"/>
            <x v="124"/>
            <x v="125"/>
            <x v="126"/>
            <x v="127"/>
            <x v="128"/>
            <x v="129"/>
            <x v="130"/>
            <x v="137"/>
            <x v="145"/>
            <x v="146"/>
            <x v="155"/>
            <x v="156"/>
            <x v="163"/>
            <x v="170"/>
            <x v="172"/>
            <x v="175"/>
            <x v="177"/>
            <x v="180"/>
            <x v="182"/>
            <x v="183"/>
          </reference>
        </references>
      </pivotArea>
    </format>
    <format dxfId="7883">
      <pivotArea dataOnly="0" labelOnly="1" outline="0" fieldPosition="0">
        <references count="3">
          <reference field="1" count="1" selected="0">
            <x v="5"/>
          </reference>
          <reference field="3" count="1" selected="0">
            <x v="7"/>
          </reference>
          <reference field="5" count="36">
            <x v="3"/>
            <x v="21"/>
            <x v="29"/>
            <x v="41"/>
            <x v="44"/>
            <x v="59"/>
            <x v="62"/>
            <x v="87"/>
            <x v="89"/>
            <x v="91"/>
            <x v="93"/>
            <x v="105"/>
            <x v="106"/>
            <x v="144"/>
            <x v="157"/>
            <x v="158"/>
            <x v="159"/>
            <x v="164"/>
            <x v="165"/>
            <x v="167"/>
            <x v="169"/>
            <x v="171"/>
            <x v="173"/>
            <x v="174"/>
            <x v="176"/>
            <x v="178"/>
            <x v="179"/>
            <x v="181"/>
            <x v="184"/>
            <x v="185"/>
            <x v="186"/>
            <x v="187"/>
            <x v="188"/>
            <x v="189"/>
            <x v="190"/>
            <x v="207"/>
          </reference>
        </references>
      </pivotArea>
    </format>
    <format dxfId="7882">
      <pivotArea dataOnly="0" labelOnly="1" outline="0" fieldPosition="0">
        <references count="3">
          <reference field="1" count="1" selected="0">
            <x v="5"/>
          </reference>
          <reference field="3" count="1" selected="0">
            <x v="9"/>
          </reference>
          <reference field="5" count="43">
            <x v="0"/>
            <x v="4"/>
            <x v="8"/>
            <x v="10"/>
            <x v="11"/>
            <x v="12"/>
            <x v="13"/>
            <x v="14"/>
            <x v="18"/>
            <x v="19"/>
            <x v="26"/>
            <x v="31"/>
            <x v="35"/>
            <x v="37"/>
            <x v="38"/>
            <x v="39"/>
            <x v="40"/>
            <x v="42"/>
            <x v="43"/>
            <x v="45"/>
            <x v="49"/>
            <x v="53"/>
            <x v="58"/>
            <x v="63"/>
            <x v="64"/>
            <x v="67"/>
            <x v="71"/>
            <x v="74"/>
            <x v="77"/>
            <x v="81"/>
            <x v="84"/>
            <x v="85"/>
            <x v="86"/>
            <x v="114"/>
            <x v="115"/>
            <x v="132"/>
            <x v="133"/>
            <x v="134"/>
            <x v="135"/>
            <x v="136"/>
            <x v="138"/>
            <x v="139"/>
            <x v="161"/>
          </reference>
        </references>
      </pivotArea>
    </format>
    <format dxfId="7881">
      <pivotArea dataOnly="0" labelOnly="1" outline="0" fieldPosition="0">
        <references count="3">
          <reference field="1" count="1" selected="0">
            <x v="5"/>
          </reference>
          <reference field="3" count="1" selected="0">
            <x v="10"/>
          </reference>
          <reference field="5" count="13">
            <x v="23"/>
            <x v="30"/>
            <x v="80"/>
            <x v="90"/>
            <x v="92"/>
            <x v="140"/>
            <x v="142"/>
            <x v="143"/>
            <x v="160"/>
            <x v="162"/>
            <x v="209"/>
            <x v="210"/>
            <x v="211"/>
          </reference>
        </references>
      </pivotArea>
    </format>
    <format dxfId="7880">
      <pivotArea dataOnly="0" labelOnly="1" outline="0" fieldPosition="0">
        <references count="3">
          <reference field="1" count="1" selected="0">
            <x v="5"/>
          </reference>
          <reference field="3" count="1" selected="0">
            <x v="11"/>
          </reference>
          <reference field="5" count="19">
            <x v="1"/>
            <x v="2"/>
            <x v="5"/>
            <x v="9"/>
            <x v="15"/>
            <x v="17"/>
            <x v="46"/>
            <x v="48"/>
            <x v="50"/>
            <x v="54"/>
            <x v="55"/>
            <x v="57"/>
            <x v="60"/>
            <x v="69"/>
            <x v="72"/>
            <x v="73"/>
            <x v="78"/>
            <x v="79"/>
            <x v="82"/>
          </reference>
        </references>
      </pivotArea>
    </format>
    <format dxfId="7879">
      <pivotArea dataOnly="0" labelOnly="1" outline="0" fieldPosition="0">
        <references count="3">
          <reference field="1" count="1" selected="0">
            <x v="6"/>
          </reference>
          <reference field="3" count="1" selected="0">
            <x v="1"/>
          </reference>
          <reference field="5" count="4">
            <x v="75"/>
            <x v="76"/>
            <x v="166"/>
            <x v="222"/>
          </reference>
        </references>
      </pivotArea>
    </format>
    <format dxfId="7878">
      <pivotArea dataOnly="0" labelOnly="1" outline="0" fieldPosition="0">
        <references count="3">
          <reference field="1" count="1" selected="0">
            <x v="6"/>
          </reference>
          <reference field="3" count="1" selected="0">
            <x v="4"/>
          </reference>
          <reference field="5" count="19">
            <x v="65"/>
            <x v="70"/>
            <x v="191"/>
            <x v="192"/>
            <x v="193"/>
            <x v="194"/>
            <x v="195"/>
            <x v="196"/>
            <x v="197"/>
            <x v="198"/>
            <x v="199"/>
            <x v="200"/>
            <x v="201"/>
            <x v="202"/>
            <x v="203"/>
            <x v="204"/>
            <x v="205"/>
            <x v="206"/>
            <x v="337"/>
          </reference>
        </references>
      </pivotArea>
    </format>
    <format dxfId="7877">
      <pivotArea dataOnly="0" labelOnly="1" outline="0" fieldPosition="0">
        <references count="3">
          <reference field="1" count="1" selected="0">
            <x v="6"/>
          </reference>
          <reference field="3" count="1" selected="0">
            <x v="5"/>
          </reference>
          <reference field="5" count="39">
            <x v="24"/>
            <x v="25"/>
            <x v="28"/>
            <x v="33"/>
            <x v="88"/>
            <x v="96"/>
            <x v="97"/>
            <x v="98"/>
            <x v="99"/>
            <x v="100"/>
            <x v="101"/>
            <x v="102"/>
            <x v="103"/>
            <x v="104"/>
            <x v="111"/>
            <x v="112"/>
            <x v="116"/>
            <x v="117"/>
            <x v="141"/>
            <x v="147"/>
            <x v="148"/>
            <x v="149"/>
            <x v="150"/>
            <x v="151"/>
            <x v="152"/>
            <x v="153"/>
            <x v="154"/>
            <x v="168"/>
            <x v="212"/>
            <x v="213"/>
            <x v="214"/>
            <x v="215"/>
            <x v="216"/>
            <x v="217"/>
            <x v="218"/>
            <x v="219"/>
            <x v="220"/>
            <x v="221"/>
            <x v="321"/>
          </reference>
        </references>
      </pivotArea>
    </format>
    <format dxfId="7876">
      <pivotArea dataOnly="0" labelOnly="1" outline="0" fieldPosition="0">
        <references count="3">
          <reference field="1" count="1" selected="0">
            <x v="6"/>
          </reference>
          <reference field="3" count="1" selected="0">
            <x v="7"/>
          </reference>
          <reference field="5" count="50">
            <x v="6"/>
            <x v="7"/>
            <x v="16"/>
            <x v="20"/>
            <x v="22"/>
            <x v="27"/>
            <x v="32"/>
            <x v="34"/>
            <x v="36"/>
            <x v="47"/>
            <x v="51"/>
            <x v="52"/>
            <x v="56"/>
            <x v="61"/>
            <x v="66"/>
            <x v="68"/>
            <x v="83"/>
            <x v="94"/>
            <x v="95"/>
            <x v="107"/>
            <x v="108"/>
            <x v="109"/>
            <x v="110"/>
            <x v="113"/>
            <x v="118"/>
            <x v="119"/>
            <x v="120"/>
            <x v="121"/>
            <x v="122"/>
            <x v="123"/>
            <x v="124"/>
            <x v="125"/>
            <x v="126"/>
            <x v="127"/>
            <x v="128"/>
            <x v="129"/>
            <x v="130"/>
            <x v="137"/>
            <x v="145"/>
            <x v="146"/>
            <x v="155"/>
            <x v="156"/>
            <x v="163"/>
            <x v="170"/>
            <x v="172"/>
            <x v="175"/>
            <x v="177"/>
            <x v="180"/>
            <x v="182"/>
            <x v="183"/>
          </reference>
        </references>
      </pivotArea>
    </format>
    <format dxfId="7875">
      <pivotArea dataOnly="0" labelOnly="1" outline="0" fieldPosition="0">
        <references count="3">
          <reference field="1" count="1" selected="0">
            <x v="6"/>
          </reference>
          <reference field="3" count="1" selected="0">
            <x v="7"/>
          </reference>
          <reference field="5" count="36">
            <x v="3"/>
            <x v="21"/>
            <x v="29"/>
            <x v="41"/>
            <x v="44"/>
            <x v="59"/>
            <x v="62"/>
            <x v="87"/>
            <x v="89"/>
            <x v="91"/>
            <x v="93"/>
            <x v="105"/>
            <x v="106"/>
            <x v="144"/>
            <x v="157"/>
            <x v="158"/>
            <x v="159"/>
            <x v="164"/>
            <x v="165"/>
            <x v="167"/>
            <x v="169"/>
            <x v="171"/>
            <x v="173"/>
            <x v="174"/>
            <x v="176"/>
            <x v="178"/>
            <x v="179"/>
            <x v="181"/>
            <x v="184"/>
            <x v="185"/>
            <x v="186"/>
            <x v="187"/>
            <x v="188"/>
            <x v="189"/>
            <x v="190"/>
            <x v="207"/>
          </reference>
        </references>
      </pivotArea>
    </format>
    <format dxfId="7874">
      <pivotArea dataOnly="0" labelOnly="1" outline="0" fieldPosition="0">
        <references count="3">
          <reference field="1" count="1" selected="0">
            <x v="6"/>
          </reference>
          <reference field="3" count="1" selected="0">
            <x v="9"/>
          </reference>
          <reference field="5" count="43">
            <x v="0"/>
            <x v="4"/>
            <x v="8"/>
            <x v="10"/>
            <x v="11"/>
            <x v="12"/>
            <x v="13"/>
            <x v="14"/>
            <x v="18"/>
            <x v="19"/>
            <x v="26"/>
            <x v="31"/>
            <x v="35"/>
            <x v="37"/>
            <x v="38"/>
            <x v="39"/>
            <x v="40"/>
            <x v="42"/>
            <x v="43"/>
            <x v="45"/>
            <x v="49"/>
            <x v="53"/>
            <x v="58"/>
            <x v="63"/>
            <x v="64"/>
            <x v="67"/>
            <x v="71"/>
            <x v="74"/>
            <x v="77"/>
            <x v="81"/>
            <x v="84"/>
            <x v="85"/>
            <x v="86"/>
            <x v="114"/>
            <x v="115"/>
            <x v="132"/>
            <x v="133"/>
            <x v="134"/>
            <x v="135"/>
            <x v="136"/>
            <x v="138"/>
            <x v="139"/>
            <x v="161"/>
          </reference>
        </references>
      </pivotArea>
    </format>
    <format dxfId="7873">
      <pivotArea dataOnly="0" labelOnly="1" outline="0" fieldPosition="0">
        <references count="3">
          <reference field="1" count="1" selected="0">
            <x v="6"/>
          </reference>
          <reference field="3" count="1" selected="0">
            <x v="10"/>
          </reference>
          <reference field="5" count="13">
            <x v="23"/>
            <x v="30"/>
            <x v="80"/>
            <x v="90"/>
            <x v="92"/>
            <x v="140"/>
            <x v="142"/>
            <x v="143"/>
            <x v="160"/>
            <x v="162"/>
            <x v="209"/>
            <x v="210"/>
            <x v="211"/>
          </reference>
        </references>
      </pivotArea>
    </format>
    <format dxfId="7872">
      <pivotArea dataOnly="0" labelOnly="1" outline="0" fieldPosition="0">
        <references count="3">
          <reference field="1" count="1" selected="0">
            <x v="6"/>
          </reference>
          <reference field="3" count="1" selected="0">
            <x v="11"/>
          </reference>
          <reference field="5" count="19">
            <x v="1"/>
            <x v="2"/>
            <x v="5"/>
            <x v="9"/>
            <x v="15"/>
            <x v="17"/>
            <x v="46"/>
            <x v="48"/>
            <x v="50"/>
            <x v="54"/>
            <x v="55"/>
            <x v="57"/>
            <x v="60"/>
            <x v="69"/>
            <x v="72"/>
            <x v="73"/>
            <x v="78"/>
            <x v="79"/>
            <x v="82"/>
          </reference>
        </references>
      </pivotArea>
    </format>
    <format dxfId="7871">
      <pivotArea dataOnly="0" labelOnly="1" outline="0" fieldPosition="0">
        <references count="3">
          <reference field="1" count="1" selected="0">
            <x v="7"/>
          </reference>
          <reference field="3" count="1" selected="0">
            <x v="1"/>
          </reference>
          <reference field="5" count="4">
            <x v="75"/>
            <x v="76"/>
            <x v="166"/>
            <x v="222"/>
          </reference>
        </references>
      </pivotArea>
    </format>
    <format dxfId="7870">
      <pivotArea dataOnly="0" labelOnly="1" outline="0" fieldPosition="0">
        <references count="3">
          <reference field="1" count="1" selected="0">
            <x v="7"/>
          </reference>
          <reference field="3" count="1" selected="0">
            <x v="4"/>
          </reference>
          <reference field="5" count="19">
            <x v="65"/>
            <x v="70"/>
            <x v="191"/>
            <x v="192"/>
            <x v="193"/>
            <x v="194"/>
            <x v="195"/>
            <x v="196"/>
            <x v="197"/>
            <x v="198"/>
            <x v="199"/>
            <x v="200"/>
            <x v="201"/>
            <x v="202"/>
            <x v="203"/>
            <x v="204"/>
            <x v="205"/>
            <x v="206"/>
            <x v="337"/>
          </reference>
        </references>
      </pivotArea>
    </format>
    <format dxfId="7869">
      <pivotArea dataOnly="0" labelOnly="1" outline="0" fieldPosition="0">
        <references count="3">
          <reference field="1" count="1" selected="0">
            <x v="7"/>
          </reference>
          <reference field="3" count="1" selected="0">
            <x v="5"/>
          </reference>
          <reference field="5" count="39">
            <x v="24"/>
            <x v="25"/>
            <x v="28"/>
            <x v="33"/>
            <x v="88"/>
            <x v="96"/>
            <x v="97"/>
            <x v="98"/>
            <x v="99"/>
            <x v="100"/>
            <x v="101"/>
            <x v="102"/>
            <x v="103"/>
            <x v="104"/>
            <x v="111"/>
            <x v="112"/>
            <x v="116"/>
            <x v="117"/>
            <x v="141"/>
            <x v="147"/>
            <x v="148"/>
            <x v="149"/>
            <x v="150"/>
            <x v="151"/>
            <x v="152"/>
            <x v="153"/>
            <x v="154"/>
            <x v="168"/>
            <x v="212"/>
            <x v="213"/>
            <x v="214"/>
            <x v="215"/>
            <x v="216"/>
            <x v="217"/>
            <x v="218"/>
            <x v="219"/>
            <x v="220"/>
            <x v="221"/>
            <x v="321"/>
          </reference>
        </references>
      </pivotArea>
    </format>
    <format dxfId="7868">
      <pivotArea dataOnly="0" labelOnly="1" outline="0" fieldPosition="0">
        <references count="3">
          <reference field="1" count="1" selected="0">
            <x v="7"/>
          </reference>
          <reference field="3" count="1" selected="0">
            <x v="7"/>
          </reference>
          <reference field="5" count="50">
            <x v="6"/>
            <x v="7"/>
            <x v="16"/>
            <x v="20"/>
            <x v="22"/>
            <x v="27"/>
            <x v="32"/>
            <x v="34"/>
            <x v="36"/>
            <x v="47"/>
            <x v="51"/>
            <x v="52"/>
            <x v="56"/>
            <x v="61"/>
            <x v="66"/>
            <x v="68"/>
            <x v="83"/>
            <x v="94"/>
            <x v="95"/>
            <x v="107"/>
            <x v="108"/>
            <x v="109"/>
            <x v="110"/>
            <x v="113"/>
            <x v="118"/>
            <x v="119"/>
            <x v="120"/>
            <x v="121"/>
            <x v="122"/>
            <x v="123"/>
            <x v="124"/>
            <x v="125"/>
            <x v="126"/>
            <x v="127"/>
            <x v="128"/>
            <x v="129"/>
            <x v="130"/>
            <x v="137"/>
            <x v="145"/>
            <x v="146"/>
            <x v="155"/>
            <x v="156"/>
            <x v="163"/>
            <x v="170"/>
            <x v="172"/>
            <x v="175"/>
            <x v="177"/>
            <x v="180"/>
            <x v="182"/>
            <x v="183"/>
          </reference>
        </references>
      </pivotArea>
    </format>
    <format dxfId="7867">
      <pivotArea dataOnly="0" labelOnly="1" outline="0" fieldPosition="0">
        <references count="3">
          <reference field="1" count="1" selected="0">
            <x v="7"/>
          </reference>
          <reference field="3" count="1" selected="0">
            <x v="7"/>
          </reference>
          <reference field="5" count="36">
            <x v="3"/>
            <x v="21"/>
            <x v="29"/>
            <x v="41"/>
            <x v="44"/>
            <x v="59"/>
            <x v="62"/>
            <x v="87"/>
            <x v="89"/>
            <x v="91"/>
            <x v="93"/>
            <x v="105"/>
            <x v="106"/>
            <x v="144"/>
            <x v="157"/>
            <x v="158"/>
            <x v="159"/>
            <x v="164"/>
            <x v="165"/>
            <x v="167"/>
            <x v="169"/>
            <x v="171"/>
            <x v="173"/>
            <x v="174"/>
            <x v="176"/>
            <x v="178"/>
            <x v="179"/>
            <x v="181"/>
            <x v="184"/>
            <x v="185"/>
            <x v="186"/>
            <x v="187"/>
            <x v="188"/>
            <x v="189"/>
            <x v="190"/>
            <x v="207"/>
          </reference>
        </references>
      </pivotArea>
    </format>
    <format dxfId="7866">
      <pivotArea dataOnly="0" labelOnly="1" outline="0" fieldPosition="0">
        <references count="3">
          <reference field="1" count="1" selected="0">
            <x v="7"/>
          </reference>
          <reference field="3" count="1" selected="0">
            <x v="9"/>
          </reference>
          <reference field="5" count="43">
            <x v="0"/>
            <x v="4"/>
            <x v="8"/>
            <x v="10"/>
            <x v="11"/>
            <x v="12"/>
            <x v="13"/>
            <x v="14"/>
            <x v="18"/>
            <x v="19"/>
            <x v="26"/>
            <x v="31"/>
            <x v="35"/>
            <x v="37"/>
            <x v="38"/>
            <x v="39"/>
            <x v="40"/>
            <x v="42"/>
            <x v="43"/>
            <x v="45"/>
            <x v="49"/>
            <x v="53"/>
            <x v="58"/>
            <x v="63"/>
            <x v="64"/>
            <x v="67"/>
            <x v="71"/>
            <x v="74"/>
            <x v="77"/>
            <x v="81"/>
            <x v="84"/>
            <x v="85"/>
            <x v="86"/>
            <x v="114"/>
            <x v="115"/>
            <x v="132"/>
            <x v="133"/>
            <x v="134"/>
            <x v="135"/>
            <x v="136"/>
            <x v="138"/>
            <x v="139"/>
            <x v="161"/>
          </reference>
        </references>
      </pivotArea>
    </format>
    <format dxfId="7865">
      <pivotArea dataOnly="0" labelOnly="1" outline="0" fieldPosition="0">
        <references count="3">
          <reference field="1" count="1" selected="0">
            <x v="7"/>
          </reference>
          <reference field="3" count="1" selected="0">
            <x v="10"/>
          </reference>
          <reference field="5" count="13">
            <x v="23"/>
            <x v="30"/>
            <x v="80"/>
            <x v="90"/>
            <x v="92"/>
            <x v="140"/>
            <x v="142"/>
            <x v="143"/>
            <x v="160"/>
            <x v="162"/>
            <x v="209"/>
            <x v="210"/>
            <x v="211"/>
          </reference>
        </references>
      </pivotArea>
    </format>
    <format dxfId="7864">
      <pivotArea dataOnly="0" labelOnly="1" outline="0" fieldPosition="0">
        <references count="3">
          <reference field="1" count="1" selected="0">
            <x v="7"/>
          </reference>
          <reference field="3" count="1" selected="0">
            <x v="11"/>
          </reference>
          <reference field="5" count="19">
            <x v="1"/>
            <x v="2"/>
            <x v="5"/>
            <x v="9"/>
            <x v="15"/>
            <x v="17"/>
            <x v="46"/>
            <x v="48"/>
            <x v="50"/>
            <x v="54"/>
            <x v="55"/>
            <x v="57"/>
            <x v="60"/>
            <x v="69"/>
            <x v="72"/>
            <x v="73"/>
            <x v="78"/>
            <x v="79"/>
            <x v="82"/>
          </reference>
        </references>
      </pivotArea>
    </format>
    <format dxfId="7863">
      <pivotArea dataOnly="0" labelOnly="1" outline="0" fieldPosition="0">
        <references count="3">
          <reference field="1" count="1" selected="0">
            <x v="8"/>
          </reference>
          <reference field="3" count="1" selected="0">
            <x v="1"/>
          </reference>
          <reference field="5" count="4">
            <x v="75"/>
            <x v="76"/>
            <x v="166"/>
            <x v="222"/>
          </reference>
        </references>
      </pivotArea>
    </format>
    <format dxfId="7862">
      <pivotArea dataOnly="0" labelOnly="1" outline="0" fieldPosition="0">
        <references count="3">
          <reference field="1" count="1" selected="0">
            <x v="8"/>
          </reference>
          <reference field="3" count="1" selected="0">
            <x v="4"/>
          </reference>
          <reference field="5" count="19">
            <x v="65"/>
            <x v="70"/>
            <x v="191"/>
            <x v="192"/>
            <x v="193"/>
            <x v="194"/>
            <x v="195"/>
            <x v="196"/>
            <x v="197"/>
            <x v="198"/>
            <x v="199"/>
            <x v="200"/>
            <x v="201"/>
            <x v="202"/>
            <x v="203"/>
            <x v="204"/>
            <x v="205"/>
            <x v="206"/>
            <x v="337"/>
          </reference>
        </references>
      </pivotArea>
    </format>
    <format dxfId="7861">
      <pivotArea dataOnly="0" labelOnly="1" outline="0" fieldPosition="0">
        <references count="3">
          <reference field="1" count="1" selected="0">
            <x v="8"/>
          </reference>
          <reference field="3" count="1" selected="0">
            <x v="5"/>
          </reference>
          <reference field="5" count="39">
            <x v="24"/>
            <x v="25"/>
            <x v="28"/>
            <x v="33"/>
            <x v="88"/>
            <x v="96"/>
            <x v="97"/>
            <x v="98"/>
            <x v="99"/>
            <x v="100"/>
            <x v="101"/>
            <x v="102"/>
            <x v="103"/>
            <x v="104"/>
            <x v="111"/>
            <x v="112"/>
            <x v="116"/>
            <x v="117"/>
            <x v="141"/>
            <x v="147"/>
            <x v="148"/>
            <x v="149"/>
            <x v="150"/>
            <x v="151"/>
            <x v="152"/>
            <x v="153"/>
            <x v="154"/>
            <x v="168"/>
            <x v="212"/>
            <x v="213"/>
            <x v="214"/>
            <x v="215"/>
            <x v="216"/>
            <x v="217"/>
            <x v="218"/>
            <x v="219"/>
            <x v="220"/>
            <x v="221"/>
            <x v="321"/>
          </reference>
        </references>
      </pivotArea>
    </format>
    <format dxfId="7860">
      <pivotArea dataOnly="0" labelOnly="1" outline="0" fieldPosition="0">
        <references count="3">
          <reference field="1" count="1" selected="0">
            <x v="8"/>
          </reference>
          <reference field="3" count="1" selected="0">
            <x v="7"/>
          </reference>
          <reference field="5" count="50">
            <x v="6"/>
            <x v="7"/>
            <x v="16"/>
            <x v="20"/>
            <x v="22"/>
            <x v="27"/>
            <x v="32"/>
            <x v="34"/>
            <x v="36"/>
            <x v="47"/>
            <x v="51"/>
            <x v="52"/>
            <x v="56"/>
            <x v="61"/>
            <x v="66"/>
            <x v="68"/>
            <x v="83"/>
            <x v="94"/>
            <x v="95"/>
            <x v="107"/>
            <x v="108"/>
            <x v="109"/>
            <x v="110"/>
            <x v="113"/>
            <x v="118"/>
            <x v="119"/>
            <x v="120"/>
            <x v="121"/>
            <x v="122"/>
            <x v="123"/>
            <x v="124"/>
            <x v="125"/>
            <x v="126"/>
            <x v="127"/>
            <x v="128"/>
            <x v="129"/>
            <x v="130"/>
            <x v="137"/>
            <x v="145"/>
            <x v="146"/>
            <x v="155"/>
            <x v="156"/>
            <x v="163"/>
            <x v="170"/>
            <x v="172"/>
            <x v="175"/>
            <x v="177"/>
            <x v="180"/>
            <x v="182"/>
            <x v="183"/>
          </reference>
        </references>
      </pivotArea>
    </format>
    <format dxfId="7859">
      <pivotArea dataOnly="0" labelOnly="1" outline="0" fieldPosition="0">
        <references count="3">
          <reference field="1" count="1" selected="0">
            <x v="8"/>
          </reference>
          <reference field="3" count="1" selected="0">
            <x v="7"/>
          </reference>
          <reference field="5" count="36">
            <x v="3"/>
            <x v="21"/>
            <x v="29"/>
            <x v="41"/>
            <x v="44"/>
            <x v="59"/>
            <x v="62"/>
            <x v="87"/>
            <x v="89"/>
            <x v="91"/>
            <x v="93"/>
            <x v="105"/>
            <x v="106"/>
            <x v="144"/>
            <x v="157"/>
            <x v="158"/>
            <x v="159"/>
            <x v="164"/>
            <x v="165"/>
            <x v="167"/>
            <x v="169"/>
            <x v="171"/>
            <x v="173"/>
            <x v="174"/>
            <x v="176"/>
            <x v="178"/>
            <x v="179"/>
            <x v="181"/>
            <x v="184"/>
            <x v="185"/>
            <x v="186"/>
            <x v="187"/>
            <x v="188"/>
            <x v="189"/>
            <x v="190"/>
            <x v="207"/>
          </reference>
        </references>
      </pivotArea>
    </format>
    <format dxfId="7858">
      <pivotArea dataOnly="0" labelOnly="1" outline="0" fieldPosition="0">
        <references count="3">
          <reference field="1" count="1" selected="0">
            <x v="8"/>
          </reference>
          <reference field="3" count="1" selected="0">
            <x v="9"/>
          </reference>
          <reference field="5" count="43">
            <x v="0"/>
            <x v="4"/>
            <x v="8"/>
            <x v="10"/>
            <x v="11"/>
            <x v="12"/>
            <x v="13"/>
            <x v="14"/>
            <x v="18"/>
            <x v="19"/>
            <x v="26"/>
            <x v="31"/>
            <x v="35"/>
            <x v="37"/>
            <x v="38"/>
            <x v="39"/>
            <x v="40"/>
            <x v="42"/>
            <x v="43"/>
            <x v="45"/>
            <x v="49"/>
            <x v="53"/>
            <x v="58"/>
            <x v="63"/>
            <x v="64"/>
            <x v="67"/>
            <x v="71"/>
            <x v="74"/>
            <x v="77"/>
            <x v="81"/>
            <x v="84"/>
            <x v="85"/>
            <x v="86"/>
            <x v="114"/>
            <x v="115"/>
            <x v="132"/>
            <x v="133"/>
            <x v="134"/>
            <x v="135"/>
            <x v="136"/>
            <x v="138"/>
            <x v="139"/>
            <x v="161"/>
          </reference>
        </references>
      </pivotArea>
    </format>
    <format dxfId="7857">
      <pivotArea dataOnly="0" labelOnly="1" outline="0" fieldPosition="0">
        <references count="3">
          <reference field="1" count="1" selected="0">
            <x v="8"/>
          </reference>
          <reference field="3" count="1" selected="0">
            <x v="10"/>
          </reference>
          <reference field="5" count="13">
            <x v="23"/>
            <x v="30"/>
            <x v="80"/>
            <x v="90"/>
            <x v="92"/>
            <x v="140"/>
            <x v="142"/>
            <x v="143"/>
            <x v="160"/>
            <x v="162"/>
            <x v="209"/>
            <x v="210"/>
            <x v="211"/>
          </reference>
        </references>
      </pivotArea>
    </format>
    <format dxfId="7856">
      <pivotArea dataOnly="0" labelOnly="1" outline="0" fieldPosition="0">
        <references count="3">
          <reference field="1" count="1" selected="0">
            <x v="8"/>
          </reference>
          <reference field="3" count="1" selected="0">
            <x v="11"/>
          </reference>
          <reference field="5" count="19">
            <x v="1"/>
            <x v="2"/>
            <x v="5"/>
            <x v="9"/>
            <x v="15"/>
            <x v="17"/>
            <x v="46"/>
            <x v="48"/>
            <x v="50"/>
            <x v="54"/>
            <x v="55"/>
            <x v="57"/>
            <x v="60"/>
            <x v="69"/>
            <x v="72"/>
            <x v="73"/>
            <x v="78"/>
            <x v="79"/>
            <x v="82"/>
          </reference>
        </references>
      </pivotArea>
    </format>
    <format dxfId="7855">
      <pivotArea dataOnly="0" labelOnly="1" outline="0" fieldPosition="0">
        <references count="3">
          <reference field="1" count="1" selected="0">
            <x v="9"/>
          </reference>
          <reference field="3" count="1" selected="0">
            <x v="1"/>
          </reference>
          <reference field="5" count="4">
            <x v="75"/>
            <x v="76"/>
            <x v="166"/>
            <x v="222"/>
          </reference>
        </references>
      </pivotArea>
    </format>
    <format dxfId="7854">
      <pivotArea dataOnly="0" labelOnly="1" outline="0" fieldPosition="0">
        <references count="3">
          <reference field="1" count="1" selected="0">
            <x v="9"/>
          </reference>
          <reference field="3" count="1" selected="0">
            <x v="4"/>
          </reference>
          <reference field="5" count="19">
            <x v="65"/>
            <x v="70"/>
            <x v="191"/>
            <x v="192"/>
            <x v="193"/>
            <x v="194"/>
            <x v="195"/>
            <x v="196"/>
            <x v="197"/>
            <x v="198"/>
            <x v="199"/>
            <x v="200"/>
            <x v="201"/>
            <x v="202"/>
            <x v="203"/>
            <x v="204"/>
            <x v="205"/>
            <x v="206"/>
            <x v="337"/>
          </reference>
        </references>
      </pivotArea>
    </format>
    <format dxfId="7853">
      <pivotArea dataOnly="0" labelOnly="1" outline="0" fieldPosition="0">
        <references count="3">
          <reference field="1" count="1" selected="0">
            <x v="9"/>
          </reference>
          <reference field="3" count="1" selected="0">
            <x v="5"/>
          </reference>
          <reference field="5" count="39">
            <x v="24"/>
            <x v="25"/>
            <x v="28"/>
            <x v="33"/>
            <x v="88"/>
            <x v="96"/>
            <x v="97"/>
            <x v="98"/>
            <x v="99"/>
            <x v="100"/>
            <x v="101"/>
            <x v="102"/>
            <x v="103"/>
            <x v="104"/>
            <x v="111"/>
            <x v="112"/>
            <x v="116"/>
            <x v="117"/>
            <x v="141"/>
            <x v="147"/>
            <x v="148"/>
            <x v="149"/>
            <x v="150"/>
            <x v="151"/>
            <x v="152"/>
            <x v="153"/>
            <x v="154"/>
            <x v="168"/>
            <x v="212"/>
            <x v="213"/>
            <x v="214"/>
            <x v="215"/>
            <x v="216"/>
            <x v="217"/>
            <x v="218"/>
            <x v="219"/>
            <x v="220"/>
            <x v="221"/>
            <x v="321"/>
          </reference>
        </references>
      </pivotArea>
    </format>
    <format dxfId="7852">
      <pivotArea dataOnly="0" labelOnly="1" outline="0" fieldPosition="0">
        <references count="3">
          <reference field="1" count="1" selected="0">
            <x v="9"/>
          </reference>
          <reference field="3" count="1" selected="0">
            <x v="7"/>
          </reference>
          <reference field="5" count="50">
            <x v="6"/>
            <x v="7"/>
            <x v="16"/>
            <x v="20"/>
            <x v="22"/>
            <x v="27"/>
            <x v="32"/>
            <x v="34"/>
            <x v="36"/>
            <x v="47"/>
            <x v="51"/>
            <x v="52"/>
            <x v="56"/>
            <x v="61"/>
            <x v="66"/>
            <x v="68"/>
            <x v="83"/>
            <x v="94"/>
            <x v="95"/>
            <x v="107"/>
            <x v="108"/>
            <x v="109"/>
            <x v="110"/>
            <x v="113"/>
            <x v="118"/>
            <x v="119"/>
            <x v="120"/>
            <x v="121"/>
            <x v="122"/>
            <x v="123"/>
            <x v="124"/>
            <x v="125"/>
            <x v="126"/>
            <x v="127"/>
            <x v="128"/>
            <x v="129"/>
            <x v="130"/>
            <x v="137"/>
            <x v="145"/>
            <x v="146"/>
            <x v="155"/>
            <x v="156"/>
            <x v="163"/>
            <x v="170"/>
            <x v="172"/>
            <x v="175"/>
            <x v="177"/>
            <x v="180"/>
            <x v="182"/>
            <x v="183"/>
          </reference>
        </references>
      </pivotArea>
    </format>
    <format dxfId="7851">
      <pivotArea dataOnly="0" labelOnly="1" outline="0" fieldPosition="0">
        <references count="3">
          <reference field="1" count="1" selected="0">
            <x v="9"/>
          </reference>
          <reference field="3" count="1" selected="0">
            <x v="7"/>
          </reference>
          <reference field="5" count="36">
            <x v="3"/>
            <x v="21"/>
            <x v="29"/>
            <x v="41"/>
            <x v="44"/>
            <x v="59"/>
            <x v="62"/>
            <x v="87"/>
            <x v="89"/>
            <x v="91"/>
            <x v="93"/>
            <x v="105"/>
            <x v="106"/>
            <x v="144"/>
            <x v="157"/>
            <x v="158"/>
            <x v="159"/>
            <x v="164"/>
            <x v="165"/>
            <x v="167"/>
            <x v="169"/>
            <x v="171"/>
            <x v="173"/>
            <x v="174"/>
            <x v="176"/>
            <x v="178"/>
            <x v="179"/>
            <x v="181"/>
            <x v="184"/>
            <x v="185"/>
            <x v="186"/>
            <x v="187"/>
            <x v="188"/>
            <x v="189"/>
            <x v="190"/>
            <x v="207"/>
          </reference>
        </references>
      </pivotArea>
    </format>
    <format dxfId="7850">
      <pivotArea dataOnly="0" labelOnly="1" outline="0" fieldPosition="0">
        <references count="3">
          <reference field="1" count="1" selected="0">
            <x v="9"/>
          </reference>
          <reference field="3" count="1" selected="0">
            <x v="9"/>
          </reference>
          <reference field="5" count="43">
            <x v="0"/>
            <x v="4"/>
            <x v="8"/>
            <x v="10"/>
            <x v="11"/>
            <x v="12"/>
            <x v="13"/>
            <x v="14"/>
            <x v="18"/>
            <x v="19"/>
            <x v="26"/>
            <x v="31"/>
            <x v="35"/>
            <x v="37"/>
            <x v="38"/>
            <x v="39"/>
            <x v="40"/>
            <x v="42"/>
            <x v="43"/>
            <x v="45"/>
            <x v="49"/>
            <x v="53"/>
            <x v="58"/>
            <x v="63"/>
            <x v="64"/>
            <x v="67"/>
            <x v="71"/>
            <x v="74"/>
            <x v="77"/>
            <x v="81"/>
            <x v="84"/>
            <x v="85"/>
            <x v="86"/>
            <x v="114"/>
            <x v="115"/>
            <x v="132"/>
            <x v="133"/>
            <x v="134"/>
            <x v="135"/>
            <x v="136"/>
            <x v="138"/>
            <x v="139"/>
            <x v="161"/>
          </reference>
        </references>
      </pivotArea>
    </format>
    <format dxfId="7849">
      <pivotArea dataOnly="0" labelOnly="1" outline="0" fieldPosition="0">
        <references count="3">
          <reference field="1" count="1" selected="0">
            <x v="9"/>
          </reference>
          <reference field="3" count="1" selected="0">
            <x v="10"/>
          </reference>
          <reference field="5" count="14">
            <x v="1"/>
            <x v="23"/>
            <x v="30"/>
            <x v="80"/>
            <x v="90"/>
            <x v="92"/>
            <x v="140"/>
            <x v="142"/>
            <x v="143"/>
            <x v="160"/>
            <x v="162"/>
            <x v="209"/>
            <x v="210"/>
            <x v="211"/>
          </reference>
        </references>
      </pivotArea>
    </format>
    <format dxfId="7848">
      <pivotArea dataOnly="0" labelOnly="1" outline="0" fieldPosition="0">
        <references count="3">
          <reference field="1" count="1" selected="0">
            <x v="9"/>
          </reference>
          <reference field="3" count="1" selected="0">
            <x v="11"/>
          </reference>
          <reference field="5" count="18">
            <x v="2"/>
            <x v="5"/>
            <x v="9"/>
            <x v="15"/>
            <x v="17"/>
            <x v="46"/>
            <x v="48"/>
            <x v="50"/>
            <x v="54"/>
            <x v="55"/>
            <x v="57"/>
            <x v="60"/>
            <x v="69"/>
            <x v="72"/>
            <x v="73"/>
            <x v="78"/>
            <x v="79"/>
            <x v="82"/>
          </reference>
        </references>
      </pivotArea>
    </format>
    <format dxfId="7847">
      <pivotArea dataOnly="0" labelOnly="1" outline="0" fieldPosition="0">
        <references count="3">
          <reference field="1" count="1" selected="0">
            <x v="27"/>
          </reference>
          <reference field="3" count="1" selected="0">
            <x v="1"/>
          </reference>
          <reference field="5" count="4">
            <x v="75"/>
            <x v="76"/>
            <x v="166"/>
            <x v="222"/>
          </reference>
        </references>
      </pivotArea>
    </format>
    <format dxfId="7846">
      <pivotArea dataOnly="0" labelOnly="1" outline="0" fieldPosition="0">
        <references count="3">
          <reference field="1" count="1" selected="0">
            <x v="27"/>
          </reference>
          <reference field="3" count="1" selected="0">
            <x v="4"/>
          </reference>
          <reference field="5" count="19">
            <x v="65"/>
            <x v="70"/>
            <x v="191"/>
            <x v="192"/>
            <x v="193"/>
            <x v="194"/>
            <x v="195"/>
            <x v="196"/>
            <x v="197"/>
            <x v="198"/>
            <x v="199"/>
            <x v="200"/>
            <x v="201"/>
            <x v="202"/>
            <x v="203"/>
            <x v="204"/>
            <x v="205"/>
            <x v="206"/>
            <x v="337"/>
          </reference>
        </references>
      </pivotArea>
    </format>
    <format dxfId="7845">
      <pivotArea dataOnly="0" labelOnly="1" outline="0" fieldPosition="0">
        <references count="3">
          <reference field="1" count="1" selected="0">
            <x v="27"/>
          </reference>
          <reference field="3" count="1" selected="0">
            <x v="5"/>
          </reference>
          <reference field="5" count="39">
            <x v="24"/>
            <x v="25"/>
            <x v="28"/>
            <x v="33"/>
            <x v="88"/>
            <x v="96"/>
            <x v="97"/>
            <x v="98"/>
            <x v="99"/>
            <x v="100"/>
            <x v="101"/>
            <x v="102"/>
            <x v="103"/>
            <x v="104"/>
            <x v="111"/>
            <x v="112"/>
            <x v="116"/>
            <x v="117"/>
            <x v="141"/>
            <x v="147"/>
            <x v="148"/>
            <x v="149"/>
            <x v="150"/>
            <x v="151"/>
            <x v="152"/>
            <x v="153"/>
            <x v="154"/>
            <x v="168"/>
            <x v="212"/>
            <x v="213"/>
            <x v="214"/>
            <x v="215"/>
            <x v="216"/>
            <x v="217"/>
            <x v="218"/>
            <x v="219"/>
            <x v="220"/>
            <x v="221"/>
            <x v="318"/>
          </reference>
        </references>
      </pivotArea>
    </format>
    <format dxfId="7844">
      <pivotArea dataOnly="0" labelOnly="1" outline="0" fieldPosition="0">
        <references count="3">
          <reference field="1" count="1" selected="0">
            <x v="27"/>
          </reference>
          <reference field="3" count="1" selected="0">
            <x v="7"/>
          </reference>
          <reference field="5" count="50">
            <x v="6"/>
            <x v="7"/>
            <x v="16"/>
            <x v="20"/>
            <x v="22"/>
            <x v="27"/>
            <x v="32"/>
            <x v="34"/>
            <x v="36"/>
            <x v="47"/>
            <x v="51"/>
            <x v="52"/>
            <x v="56"/>
            <x v="61"/>
            <x v="66"/>
            <x v="68"/>
            <x v="83"/>
            <x v="94"/>
            <x v="95"/>
            <x v="107"/>
            <x v="108"/>
            <x v="109"/>
            <x v="110"/>
            <x v="113"/>
            <x v="118"/>
            <x v="119"/>
            <x v="120"/>
            <x v="121"/>
            <x v="122"/>
            <x v="123"/>
            <x v="124"/>
            <x v="125"/>
            <x v="126"/>
            <x v="127"/>
            <x v="128"/>
            <x v="129"/>
            <x v="130"/>
            <x v="137"/>
            <x v="145"/>
            <x v="146"/>
            <x v="155"/>
            <x v="156"/>
            <x v="163"/>
            <x v="170"/>
            <x v="172"/>
            <x v="175"/>
            <x v="177"/>
            <x v="180"/>
            <x v="182"/>
            <x v="183"/>
          </reference>
        </references>
      </pivotArea>
    </format>
    <format dxfId="7843">
      <pivotArea dataOnly="0" labelOnly="1" outline="0" fieldPosition="0">
        <references count="3">
          <reference field="1" count="1" selected="0">
            <x v="27"/>
          </reference>
          <reference field="3" count="1" selected="0">
            <x v="7"/>
          </reference>
          <reference field="5" count="36">
            <x v="3"/>
            <x v="21"/>
            <x v="29"/>
            <x v="41"/>
            <x v="44"/>
            <x v="59"/>
            <x v="62"/>
            <x v="87"/>
            <x v="89"/>
            <x v="91"/>
            <x v="93"/>
            <x v="105"/>
            <x v="106"/>
            <x v="144"/>
            <x v="157"/>
            <x v="158"/>
            <x v="159"/>
            <x v="164"/>
            <x v="165"/>
            <x v="167"/>
            <x v="169"/>
            <x v="171"/>
            <x v="173"/>
            <x v="174"/>
            <x v="176"/>
            <x v="178"/>
            <x v="179"/>
            <x v="181"/>
            <x v="184"/>
            <x v="185"/>
            <x v="186"/>
            <x v="187"/>
            <x v="188"/>
            <x v="189"/>
            <x v="190"/>
            <x v="207"/>
          </reference>
        </references>
      </pivotArea>
    </format>
    <format dxfId="7842">
      <pivotArea dataOnly="0" labelOnly="1" outline="0" fieldPosition="0">
        <references count="3">
          <reference field="1" count="1" selected="0">
            <x v="27"/>
          </reference>
          <reference field="3" count="1" selected="0">
            <x v="9"/>
          </reference>
          <reference field="5" count="43">
            <x v="0"/>
            <x v="4"/>
            <x v="8"/>
            <x v="10"/>
            <x v="11"/>
            <x v="12"/>
            <x v="13"/>
            <x v="14"/>
            <x v="18"/>
            <x v="19"/>
            <x v="26"/>
            <x v="31"/>
            <x v="35"/>
            <x v="37"/>
            <x v="38"/>
            <x v="39"/>
            <x v="40"/>
            <x v="42"/>
            <x v="43"/>
            <x v="45"/>
            <x v="49"/>
            <x v="53"/>
            <x v="58"/>
            <x v="63"/>
            <x v="64"/>
            <x v="67"/>
            <x v="71"/>
            <x v="74"/>
            <x v="77"/>
            <x v="81"/>
            <x v="84"/>
            <x v="85"/>
            <x v="86"/>
            <x v="114"/>
            <x v="115"/>
            <x v="132"/>
            <x v="133"/>
            <x v="134"/>
            <x v="135"/>
            <x v="136"/>
            <x v="138"/>
            <x v="139"/>
            <x v="161"/>
          </reference>
        </references>
      </pivotArea>
    </format>
    <format dxfId="7841">
      <pivotArea dataOnly="0" labelOnly="1" outline="0" fieldPosition="0">
        <references count="3">
          <reference field="1" count="1" selected="0">
            <x v="27"/>
          </reference>
          <reference field="3" count="1" selected="0">
            <x v="10"/>
          </reference>
          <reference field="5" count="13">
            <x v="23"/>
            <x v="30"/>
            <x v="80"/>
            <x v="90"/>
            <x v="92"/>
            <x v="140"/>
            <x v="142"/>
            <x v="143"/>
            <x v="160"/>
            <x v="162"/>
            <x v="209"/>
            <x v="210"/>
            <x v="211"/>
          </reference>
        </references>
      </pivotArea>
    </format>
    <format dxfId="7840">
      <pivotArea dataOnly="0" labelOnly="1" outline="0" fieldPosition="0">
        <references count="3">
          <reference field="1" count="1" selected="0">
            <x v="27"/>
          </reference>
          <reference field="3" count="1" selected="0">
            <x v="11"/>
          </reference>
          <reference field="5" count="19">
            <x v="1"/>
            <x v="2"/>
            <x v="5"/>
            <x v="9"/>
            <x v="15"/>
            <x v="17"/>
            <x v="46"/>
            <x v="48"/>
            <x v="50"/>
            <x v="54"/>
            <x v="55"/>
            <x v="57"/>
            <x v="60"/>
            <x v="69"/>
            <x v="72"/>
            <x v="73"/>
            <x v="78"/>
            <x v="79"/>
            <x v="82"/>
          </reference>
        </references>
      </pivotArea>
    </format>
    <format dxfId="7839">
      <pivotArea dataOnly="0" labelOnly="1" outline="0" fieldPosition="0">
        <references count="3">
          <reference field="1" count="1" selected="0">
            <x v="10"/>
          </reference>
          <reference field="3" count="1" selected="0">
            <x v="1"/>
          </reference>
          <reference field="5" count="4">
            <x v="75"/>
            <x v="76"/>
            <x v="166"/>
            <x v="222"/>
          </reference>
        </references>
      </pivotArea>
    </format>
    <format dxfId="7838">
      <pivotArea dataOnly="0" labelOnly="1" outline="0" fieldPosition="0">
        <references count="3">
          <reference field="1" count="1" selected="0">
            <x v="10"/>
          </reference>
          <reference field="3" count="1" selected="0">
            <x v="4"/>
          </reference>
          <reference field="5" count="19">
            <x v="65"/>
            <x v="70"/>
            <x v="191"/>
            <x v="192"/>
            <x v="193"/>
            <x v="194"/>
            <x v="195"/>
            <x v="196"/>
            <x v="197"/>
            <x v="198"/>
            <x v="199"/>
            <x v="200"/>
            <x v="201"/>
            <x v="202"/>
            <x v="203"/>
            <x v="204"/>
            <x v="205"/>
            <x v="206"/>
            <x v="337"/>
          </reference>
        </references>
      </pivotArea>
    </format>
    <format dxfId="7837">
      <pivotArea dataOnly="0" labelOnly="1" outline="0" fieldPosition="0">
        <references count="3">
          <reference field="1" count="1" selected="0">
            <x v="10"/>
          </reference>
          <reference field="3" count="1" selected="0">
            <x v="5"/>
          </reference>
          <reference field="5" count="39">
            <x v="24"/>
            <x v="25"/>
            <x v="28"/>
            <x v="33"/>
            <x v="88"/>
            <x v="96"/>
            <x v="97"/>
            <x v="98"/>
            <x v="99"/>
            <x v="100"/>
            <x v="101"/>
            <x v="102"/>
            <x v="103"/>
            <x v="104"/>
            <x v="111"/>
            <x v="112"/>
            <x v="116"/>
            <x v="117"/>
            <x v="141"/>
            <x v="147"/>
            <x v="148"/>
            <x v="149"/>
            <x v="150"/>
            <x v="151"/>
            <x v="152"/>
            <x v="153"/>
            <x v="154"/>
            <x v="168"/>
            <x v="212"/>
            <x v="213"/>
            <x v="214"/>
            <x v="215"/>
            <x v="216"/>
            <x v="217"/>
            <x v="218"/>
            <x v="219"/>
            <x v="220"/>
            <x v="221"/>
            <x v="318"/>
          </reference>
        </references>
      </pivotArea>
    </format>
    <format dxfId="7836">
      <pivotArea dataOnly="0" labelOnly="1" outline="0" fieldPosition="0">
        <references count="3">
          <reference field="1" count="1" selected="0">
            <x v="10"/>
          </reference>
          <reference field="3" count="1" selected="0">
            <x v="7"/>
          </reference>
          <reference field="5" count="50">
            <x v="6"/>
            <x v="7"/>
            <x v="16"/>
            <x v="20"/>
            <x v="22"/>
            <x v="27"/>
            <x v="32"/>
            <x v="34"/>
            <x v="36"/>
            <x v="47"/>
            <x v="51"/>
            <x v="52"/>
            <x v="56"/>
            <x v="61"/>
            <x v="66"/>
            <x v="68"/>
            <x v="83"/>
            <x v="94"/>
            <x v="95"/>
            <x v="107"/>
            <x v="108"/>
            <x v="109"/>
            <x v="110"/>
            <x v="113"/>
            <x v="118"/>
            <x v="119"/>
            <x v="120"/>
            <x v="121"/>
            <x v="122"/>
            <x v="123"/>
            <x v="124"/>
            <x v="125"/>
            <x v="126"/>
            <x v="127"/>
            <x v="128"/>
            <x v="129"/>
            <x v="130"/>
            <x v="137"/>
            <x v="145"/>
            <x v="146"/>
            <x v="155"/>
            <x v="156"/>
            <x v="163"/>
            <x v="170"/>
            <x v="172"/>
            <x v="175"/>
            <x v="177"/>
            <x v="180"/>
            <x v="182"/>
            <x v="183"/>
          </reference>
        </references>
      </pivotArea>
    </format>
    <format dxfId="7835">
      <pivotArea dataOnly="0" labelOnly="1" outline="0" fieldPosition="0">
        <references count="3">
          <reference field="1" count="1" selected="0">
            <x v="10"/>
          </reference>
          <reference field="3" count="1" selected="0">
            <x v="7"/>
          </reference>
          <reference field="5" count="36">
            <x v="3"/>
            <x v="21"/>
            <x v="29"/>
            <x v="41"/>
            <x v="44"/>
            <x v="59"/>
            <x v="62"/>
            <x v="87"/>
            <x v="89"/>
            <x v="91"/>
            <x v="93"/>
            <x v="105"/>
            <x v="106"/>
            <x v="144"/>
            <x v="157"/>
            <x v="158"/>
            <x v="159"/>
            <x v="164"/>
            <x v="165"/>
            <x v="167"/>
            <x v="169"/>
            <x v="171"/>
            <x v="173"/>
            <x v="174"/>
            <x v="176"/>
            <x v="178"/>
            <x v="179"/>
            <x v="181"/>
            <x v="184"/>
            <x v="185"/>
            <x v="186"/>
            <x v="187"/>
            <x v="188"/>
            <x v="189"/>
            <x v="190"/>
            <x v="207"/>
          </reference>
        </references>
      </pivotArea>
    </format>
    <format dxfId="7834">
      <pivotArea dataOnly="0" labelOnly="1" outline="0" fieldPosition="0">
        <references count="3">
          <reference field="1" count="1" selected="0">
            <x v="10"/>
          </reference>
          <reference field="3" count="1" selected="0">
            <x v="9"/>
          </reference>
          <reference field="5" count="43">
            <x v="0"/>
            <x v="4"/>
            <x v="8"/>
            <x v="10"/>
            <x v="11"/>
            <x v="12"/>
            <x v="13"/>
            <x v="14"/>
            <x v="18"/>
            <x v="19"/>
            <x v="26"/>
            <x v="31"/>
            <x v="35"/>
            <x v="37"/>
            <x v="38"/>
            <x v="39"/>
            <x v="40"/>
            <x v="42"/>
            <x v="43"/>
            <x v="45"/>
            <x v="49"/>
            <x v="53"/>
            <x v="58"/>
            <x v="63"/>
            <x v="64"/>
            <x v="67"/>
            <x v="71"/>
            <x v="74"/>
            <x v="77"/>
            <x v="81"/>
            <x v="84"/>
            <x v="85"/>
            <x v="86"/>
            <x v="114"/>
            <x v="115"/>
            <x v="132"/>
            <x v="133"/>
            <x v="134"/>
            <x v="135"/>
            <x v="136"/>
            <x v="138"/>
            <x v="139"/>
            <x v="161"/>
          </reference>
        </references>
      </pivotArea>
    </format>
    <format dxfId="7833">
      <pivotArea dataOnly="0" labelOnly="1" outline="0" fieldPosition="0">
        <references count="3">
          <reference field="1" count="1" selected="0">
            <x v="10"/>
          </reference>
          <reference field="3" count="1" selected="0">
            <x v="10"/>
          </reference>
          <reference field="5" count="13">
            <x v="23"/>
            <x v="30"/>
            <x v="80"/>
            <x v="90"/>
            <x v="92"/>
            <x v="140"/>
            <x v="142"/>
            <x v="143"/>
            <x v="160"/>
            <x v="162"/>
            <x v="209"/>
            <x v="210"/>
            <x v="211"/>
          </reference>
        </references>
      </pivotArea>
    </format>
    <format dxfId="7832">
      <pivotArea dataOnly="0" labelOnly="1" outline="0" fieldPosition="0">
        <references count="3">
          <reference field="1" count="1" selected="0">
            <x v="10"/>
          </reference>
          <reference field="3" count="1" selected="0">
            <x v="11"/>
          </reference>
          <reference field="5" count="19">
            <x v="1"/>
            <x v="2"/>
            <x v="5"/>
            <x v="9"/>
            <x v="15"/>
            <x v="17"/>
            <x v="46"/>
            <x v="48"/>
            <x v="50"/>
            <x v="54"/>
            <x v="55"/>
            <x v="57"/>
            <x v="60"/>
            <x v="69"/>
            <x v="72"/>
            <x v="73"/>
            <x v="78"/>
            <x v="79"/>
            <x v="82"/>
          </reference>
        </references>
      </pivotArea>
    </format>
    <format dxfId="7831">
      <pivotArea dataOnly="0" labelOnly="1" outline="0" fieldPosition="0">
        <references count="3">
          <reference field="1" count="1" selected="0">
            <x v="11"/>
          </reference>
          <reference field="3" count="1" selected="0">
            <x v="1"/>
          </reference>
          <reference field="5" count="4">
            <x v="75"/>
            <x v="76"/>
            <x v="166"/>
            <x v="222"/>
          </reference>
        </references>
      </pivotArea>
    </format>
    <format dxfId="7830">
      <pivotArea dataOnly="0" labelOnly="1" outline="0" fieldPosition="0">
        <references count="3">
          <reference field="1" count="1" selected="0">
            <x v="11"/>
          </reference>
          <reference field="3" count="1" selected="0">
            <x v="4"/>
          </reference>
          <reference field="5" count="19">
            <x v="65"/>
            <x v="70"/>
            <x v="191"/>
            <x v="192"/>
            <x v="193"/>
            <x v="194"/>
            <x v="195"/>
            <x v="196"/>
            <x v="197"/>
            <x v="198"/>
            <x v="199"/>
            <x v="200"/>
            <x v="201"/>
            <x v="202"/>
            <x v="203"/>
            <x v="204"/>
            <x v="205"/>
            <x v="206"/>
            <x v="337"/>
          </reference>
        </references>
      </pivotArea>
    </format>
    <format dxfId="7829">
      <pivotArea dataOnly="0" labelOnly="1" outline="0" fieldPosition="0">
        <references count="3">
          <reference field="1" count="1" selected="0">
            <x v="11"/>
          </reference>
          <reference field="3" count="1" selected="0">
            <x v="5"/>
          </reference>
          <reference field="5" count="39">
            <x v="24"/>
            <x v="25"/>
            <x v="28"/>
            <x v="33"/>
            <x v="88"/>
            <x v="96"/>
            <x v="97"/>
            <x v="98"/>
            <x v="99"/>
            <x v="100"/>
            <x v="101"/>
            <x v="102"/>
            <x v="103"/>
            <x v="104"/>
            <x v="111"/>
            <x v="112"/>
            <x v="116"/>
            <x v="117"/>
            <x v="141"/>
            <x v="147"/>
            <x v="148"/>
            <x v="149"/>
            <x v="150"/>
            <x v="151"/>
            <x v="152"/>
            <x v="153"/>
            <x v="154"/>
            <x v="168"/>
            <x v="212"/>
            <x v="213"/>
            <x v="214"/>
            <x v="215"/>
            <x v="216"/>
            <x v="217"/>
            <x v="218"/>
            <x v="219"/>
            <x v="220"/>
            <x v="221"/>
            <x v="320"/>
          </reference>
        </references>
      </pivotArea>
    </format>
    <format dxfId="7828">
      <pivotArea dataOnly="0" labelOnly="1" outline="0" fieldPosition="0">
        <references count="3">
          <reference field="1" count="1" selected="0">
            <x v="11"/>
          </reference>
          <reference field="3" count="1" selected="0">
            <x v="7"/>
          </reference>
          <reference field="5" count="50">
            <x v="6"/>
            <x v="7"/>
            <x v="16"/>
            <x v="20"/>
            <x v="22"/>
            <x v="27"/>
            <x v="32"/>
            <x v="34"/>
            <x v="36"/>
            <x v="47"/>
            <x v="51"/>
            <x v="52"/>
            <x v="56"/>
            <x v="61"/>
            <x v="66"/>
            <x v="68"/>
            <x v="83"/>
            <x v="94"/>
            <x v="95"/>
            <x v="107"/>
            <x v="108"/>
            <x v="109"/>
            <x v="110"/>
            <x v="113"/>
            <x v="118"/>
            <x v="119"/>
            <x v="120"/>
            <x v="121"/>
            <x v="122"/>
            <x v="123"/>
            <x v="124"/>
            <x v="125"/>
            <x v="126"/>
            <x v="127"/>
            <x v="128"/>
            <x v="129"/>
            <x v="130"/>
            <x v="137"/>
            <x v="145"/>
            <x v="146"/>
            <x v="155"/>
            <x v="156"/>
            <x v="163"/>
            <x v="170"/>
            <x v="172"/>
            <x v="175"/>
            <x v="177"/>
            <x v="180"/>
            <x v="182"/>
            <x v="183"/>
          </reference>
        </references>
      </pivotArea>
    </format>
    <format dxfId="7827">
      <pivotArea dataOnly="0" labelOnly="1" outline="0" fieldPosition="0">
        <references count="3">
          <reference field="1" count="1" selected="0">
            <x v="11"/>
          </reference>
          <reference field="3" count="1" selected="0">
            <x v="7"/>
          </reference>
          <reference field="5" count="36">
            <x v="3"/>
            <x v="21"/>
            <x v="29"/>
            <x v="41"/>
            <x v="44"/>
            <x v="59"/>
            <x v="62"/>
            <x v="87"/>
            <x v="89"/>
            <x v="91"/>
            <x v="93"/>
            <x v="105"/>
            <x v="106"/>
            <x v="144"/>
            <x v="157"/>
            <x v="158"/>
            <x v="159"/>
            <x v="164"/>
            <x v="165"/>
            <x v="167"/>
            <x v="169"/>
            <x v="171"/>
            <x v="173"/>
            <x v="174"/>
            <x v="176"/>
            <x v="178"/>
            <x v="179"/>
            <x v="181"/>
            <x v="184"/>
            <x v="185"/>
            <x v="186"/>
            <x v="187"/>
            <x v="188"/>
            <x v="189"/>
            <x v="190"/>
            <x v="207"/>
          </reference>
        </references>
      </pivotArea>
    </format>
    <format dxfId="7826">
      <pivotArea dataOnly="0" labelOnly="1" outline="0" fieldPosition="0">
        <references count="3">
          <reference field="1" count="1" selected="0">
            <x v="11"/>
          </reference>
          <reference field="3" count="1" selected="0">
            <x v="9"/>
          </reference>
          <reference field="5" count="43">
            <x v="0"/>
            <x v="4"/>
            <x v="8"/>
            <x v="10"/>
            <x v="11"/>
            <x v="12"/>
            <x v="13"/>
            <x v="14"/>
            <x v="18"/>
            <x v="19"/>
            <x v="26"/>
            <x v="31"/>
            <x v="35"/>
            <x v="37"/>
            <x v="38"/>
            <x v="39"/>
            <x v="40"/>
            <x v="42"/>
            <x v="43"/>
            <x v="45"/>
            <x v="49"/>
            <x v="53"/>
            <x v="58"/>
            <x v="63"/>
            <x v="64"/>
            <x v="67"/>
            <x v="71"/>
            <x v="74"/>
            <x v="77"/>
            <x v="81"/>
            <x v="84"/>
            <x v="85"/>
            <x v="86"/>
            <x v="114"/>
            <x v="115"/>
            <x v="132"/>
            <x v="133"/>
            <x v="134"/>
            <x v="135"/>
            <x v="136"/>
            <x v="138"/>
            <x v="139"/>
            <x v="161"/>
          </reference>
        </references>
      </pivotArea>
    </format>
    <format dxfId="7825">
      <pivotArea dataOnly="0" labelOnly="1" outline="0" fieldPosition="0">
        <references count="3">
          <reference field="1" count="1" selected="0">
            <x v="11"/>
          </reference>
          <reference field="3" count="1" selected="0">
            <x v="10"/>
          </reference>
          <reference field="5" count="13">
            <x v="23"/>
            <x v="30"/>
            <x v="80"/>
            <x v="90"/>
            <x v="92"/>
            <x v="140"/>
            <x v="142"/>
            <x v="143"/>
            <x v="160"/>
            <x v="162"/>
            <x v="209"/>
            <x v="210"/>
            <x v="211"/>
          </reference>
        </references>
      </pivotArea>
    </format>
    <format dxfId="7824">
      <pivotArea dataOnly="0" labelOnly="1" outline="0" fieldPosition="0">
        <references count="3">
          <reference field="1" count="1" selected="0">
            <x v="11"/>
          </reference>
          <reference field="3" count="1" selected="0">
            <x v="11"/>
          </reference>
          <reference field="5" count="19">
            <x v="1"/>
            <x v="2"/>
            <x v="5"/>
            <x v="9"/>
            <x v="15"/>
            <x v="17"/>
            <x v="46"/>
            <x v="48"/>
            <x v="50"/>
            <x v="54"/>
            <x v="55"/>
            <x v="57"/>
            <x v="60"/>
            <x v="69"/>
            <x v="72"/>
            <x v="73"/>
            <x v="78"/>
            <x v="79"/>
            <x v="82"/>
          </reference>
        </references>
      </pivotArea>
    </format>
    <format dxfId="7823">
      <pivotArea dataOnly="0" labelOnly="1" outline="0" fieldPosition="0">
        <references count="3">
          <reference field="1" count="1" selected="0">
            <x v="12"/>
          </reference>
          <reference field="3" count="1" selected="0">
            <x v="1"/>
          </reference>
          <reference field="5" count="4">
            <x v="75"/>
            <x v="76"/>
            <x v="166"/>
            <x v="222"/>
          </reference>
        </references>
      </pivotArea>
    </format>
    <format dxfId="7822">
      <pivotArea dataOnly="0" labelOnly="1" outline="0" fieldPosition="0">
        <references count="3">
          <reference field="1" count="1" selected="0">
            <x v="12"/>
          </reference>
          <reference field="3" count="1" selected="0">
            <x v="4"/>
          </reference>
          <reference field="5" count="19">
            <x v="65"/>
            <x v="70"/>
            <x v="191"/>
            <x v="192"/>
            <x v="193"/>
            <x v="194"/>
            <x v="195"/>
            <x v="196"/>
            <x v="197"/>
            <x v="198"/>
            <x v="199"/>
            <x v="200"/>
            <x v="201"/>
            <x v="202"/>
            <x v="203"/>
            <x v="204"/>
            <x v="205"/>
            <x v="206"/>
            <x v="337"/>
          </reference>
        </references>
      </pivotArea>
    </format>
    <format dxfId="7821">
      <pivotArea dataOnly="0" labelOnly="1" outline="0" fieldPosition="0">
        <references count="3">
          <reference field="1" count="1" selected="0">
            <x v="12"/>
          </reference>
          <reference field="3" count="1" selected="0">
            <x v="5"/>
          </reference>
          <reference field="5" count="39">
            <x v="24"/>
            <x v="25"/>
            <x v="28"/>
            <x v="33"/>
            <x v="88"/>
            <x v="96"/>
            <x v="97"/>
            <x v="98"/>
            <x v="99"/>
            <x v="100"/>
            <x v="101"/>
            <x v="102"/>
            <x v="103"/>
            <x v="104"/>
            <x v="111"/>
            <x v="112"/>
            <x v="116"/>
            <x v="117"/>
            <x v="141"/>
            <x v="147"/>
            <x v="148"/>
            <x v="149"/>
            <x v="150"/>
            <x v="151"/>
            <x v="152"/>
            <x v="153"/>
            <x v="154"/>
            <x v="168"/>
            <x v="212"/>
            <x v="213"/>
            <x v="214"/>
            <x v="215"/>
            <x v="216"/>
            <x v="217"/>
            <x v="218"/>
            <x v="219"/>
            <x v="220"/>
            <x v="221"/>
            <x v="318"/>
          </reference>
        </references>
      </pivotArea>
    </format>
    <format dxfId="7820">
      <pivotArea dataOnly="0" labelOnly="1" outline="0" fieldPosition="0">
        <references count="3">
          <reference field="1" count="1" selected="0">
            <x v="12"/>
          </reference>
          <reference field="3" count="1" selected="0">
            <x v="7"/>
          </reference>
          <reference field="5" count="50">
            <x v="6"/>
            <x v="7"/>
            <x v="16"/>
            <x v="20"/>
            <x v="22"/>
            <x v="27"/>
            <x v="32"/>
            <x v="34"/>
            <x v="36"/>
            <x v="47"/>
            <x v="51"/>
            <x v="52"/>
            <x v="56"/>
            <x v="61"/>
            <x v="66"/>
            <x v="68"/>
            <x v="83"/>
            <x v="94"/>
            <x v="95"/>
            <x v="107"/>
            <x v="108"/>
            <x v="109"/>
            <x v="110"/>
            <x v="113"/>
            <x v="118"/>
            <x v="119"/>
            <x v="120"/>
            <x v="121"/>
            <x v="122"/>
            <x v="123"/>
            <x v="124"/>
            <x v="125"/>
            <x v="126"/>
            <x v="127"/>
            <x v="128"/>
            <x v="129"/>
            <x v="130"/>
            <x v="137"/>
            <x v="145"/>
            <x v="146"/>
            <x v="155"/>
            <x v="156"/>
            <x v="163"/>
            <x v="170"/>
            <x v="172"/>
            <x v="175"/>
            <x v="177"/>
            <x v="180"/>
            <x v="182"/>
            <x v="183"/>
          </reference>
        </references>
      </pivotArea>
    </format>
    <format dxfId="7819">
      <pivotArea dataOnly="0" labelOnly="1" outline="0" fieldPosition="0">
        <references count="3">
          <reference field="1" count="1" selected="0">
            <x v="12"/>
          </reference>
          <reference field="3" count="1" selected="0">
            <x v="7"/>
          </reference>
          <reference field="5" count="36">
            <x v="3"/>
            <x v="21"/>
            <x v="29"/>
            <x v="41"/>
            <x v="44"/>
            <x v="59"/>
            <x v="62"/>
            <x v="87"/>
            <x v="89"/>
            <x v="91"/>
            <x v="93"/>
            <x v="105"/>
            <x v="106"/>
            <x v="144"/>
            <x v="157"/>
            <x v="158"/>
            <x v="159"/>
            <x v="164"/>
            <x v="165"/>
            <x v="167"/>
            <x v="169"/>
            <x v="171"/>
            <x v="173"/>
            <x v="174"/>
            <x v="176"/>
            <x v="178"/>
            <x v="179"/>
            <x v="181"/>
            <x v="184"/>
            <x v="185"/>
            <x v="186"/>
            <x v="187"/>
            <x v="188"/>
            <x v="189"/>
            <x v="190"/>
            <x v="207"/>
          </reference>
        </references>
      </pivotArea>
    </format>
    <format dxfId="7818">
      <pivotArea dataOnly="0" labelOnly="1" outline="0" fieldPosition="0">
        <references count="3">
          <reference field="1" count="1" selected="0">
            <x v="12"/>
          </reference>
          <reference field="3" count="1" selected="0">
            <x v="9"/>
          </reference>
          <reference field="5" count="43">
            <x v="0"/>
            <x v="4"/>
            <x v="8"/>
            <x v="10"/>
            <x v="11"/>
            <x v="12"/>
            <x v="13"/>
            <x v="14"/>
            <x v="18"/>
            <x v="19"/>
            <x v="26"/>
            <x v="31"/>
            <x v="35"/>
            <x v="37"/>
            <x v="38"/>
            <x v="39"/>
            <x v="40"/>
            <x v="42"/>
            <x v="43"/>
            <x v="45"/>
            <x v="49"/>
            <x v="53"/>
            <x v="58"/>
            <x v="63"/>
            <x v="64"/>
            <x v="67"/>
            <x v="71"/>
            <x v="74"/>
            <x v="77"/>
            <x v="81"/>
            <x v="84"/>
            <x v="85"/>
            <x v="86"/>
            <x v="114"/>
            <x v="115"/>
            <x v="132"/>
            <x v="133"/>
            <x v="134"/>
            <x v="135"/>
            <x v="136"/>
            <x v="138"/>
            <x v="139"/>
            <x v="161"/>
          </reference>
        </references>
      </pivotArea>
    </format>
    <format dxfId="7817">
      <pivotArea dataOnly="0" labelOnly="1" outline="0" fieldPosition="0">
        <references count="3">
          <reference field="1" count="1" selected="0">
            <x v="12"/>
          </reference>
          <reference field="3" count="1" selected="0">
            <x v="10"/>
          </reference>
          <reference field="5" count="13">
            <x v="23"/>
            <x v="30"/>
            <x v="80"/>
            <x v="90"/>
            <x v="92"/>
            <x v="140"/>
            <x v="142"/>
            <x v="143"/>
            <x v="160"/>
            <x v="162"/>
            <x v="209"/>
            <x v="210"/>
            <x v="211"/>
          </reference>
        </references>
      </pivotArea>
    </format>
    <format dxfId="7816">
      <pivotArea dataOnly="0" labelOnly="1" outline="0" fieldPosition="0">
        <references count="3">
          <reference field="1" count="1" selected="0">
            <x v="12"/>
          </reference>
          <reference field="3" count="1" selected="0">
            <x v="11"/>
          </reference>
          <reference field="5" count="19">
            <x v="1"/>
            <x v="2"/>
            <x v="5"/>
            <x v="9"/>
            <x v="15"/>
            <x v="17"/>
            <x v="46"/>
            <x v="48"/>
            <x v="50"/>
            <x v="54"/>
            <x v="55"/>
            <x v="57"/>
            <x v="60"/>
            <x v="69"/>
            <x v="72"/>
            <x v="73"/>
            <x v="78"/>
            <x v="79"/>
            <x v="82"/>
          </reference>
        </references>
      </pivotArea>
    </format>
    <format dxfId="7815">
      <pivotArea dataOnly="0" labelOnly="1" outline="0" fieldPosition="0">
        <references count="3">
          <reference field="1" count="1" selected="0">
            <x v="13"/>
          </reference>
          <reference field="3" count="1" selected="0">
            <x v="1"/>
          </reference>
          <reference field="5" count="4">
            <x v="75"/>
            <x v="76"/>
            <x v="166"/>
            <x v="222"/>
          </reference>
        </references>
      </pivotArea>
    </format>
    <format dxfId="7814">
      <pivotArea dataOnly="0" labelOnly="1" outline="0" fieldPosition="0">
        <references count="3">
          <reference field="1" count="1" selected="0">
            <x v="13"/>
          </reference>
          <reference field="3" count="1" selected="0">
            <x v="4"/>
          </reference>
          <reference field="5" count="19">
            <x v="65"/>
            <x v="70"/>
            <x v="191"/>
            <x v="192"/>
            <x v="193"/>
            <x v="194"/>
            <x v="195"/>
            <x v="196"/>
            <x v="197"/>
            <x v="198"/>
            <x v="199"/>
            <x v="200"/>
            <x v="201"/>
            <x v="202"/>
            <x v="203"/>
            <x v="204"/>
            <x v="205"/>
            <x v="206"/>
            <x v="337"/>
          </reference>
        </references>
      </pivotArea>
    </format>
    <format dxfId="7813">
      <pivotArea dataOnly="0" labelOnly="1" outline="0" fieldPosition="0">
        <references count="3">
          <reference field="1" count="1" selected="0">
            <x v="13"/>
          </reference>
          <reference field="3" count="1" selected="0">
            <x v="5"/>
          </reference>
          <reference field="5" count="39">
            <x v="24"/>
            <x v="25"/>
            <x v="28"/>
            <x v="33"/>
            <x v="88"/>
            <x v="96"/>
            <x v="97"/>
            <x v="98"/>
            <x v="99"/>
            <x v="100"/>
            <x v="101"/>
            <x v="102"/>
            <x v="103"/>
            <x v="104"/>
            <x v="111"/>
            <x v="112"/>
            <x v="116"/>
            <x v="117"/>
            <x v="141"/>
            <x v="147"/>
            <x v="148"/>
            <x v="149"/>
            <x v="150"/>
            <x v="151"/>
            <x v="152"/>
            <x v="153"/>
            <x v="154"/>
            <x v="168"/>
            <x v="212"/>
            <x v="213"/>
            <x v="214"/>
            <x v="215"/>
            <x v="216"/>
            <x v="217"/>
            <x v="218"/>
            <x v="219"/>
            <x v="220"/>
            <x v="221"/>
            <x v="321"/>
          </reference>
        </references>
      </pivotArea>
    </format>
    <format dxfId="7812">
      <pivotArea dataOnly="0" labelOnly="1" outline="0" fieldPosition="0">
        <references count="3">
          <reference field="1" count="1" selected="0">
            <x v="13"/>
          </reference>
          <reference field="3" count="1" selected="0">
            <x v="7"/>
          </reference>
          <reference field="5" count="50">
            <x v="6"/>
            <x v="7"/>
            <x v="16"/>
            <x v="20"/>
            <x v="22"/>
            <x v="27"/>
            <x v="32"/>
            <x v="34"/>
            <x v="36"/>
            <x v="47"/>
            <x v="51"/>
            <x v="52"/>
            <x v="56"/>
            <x v="61"/>
            <x v="66"/>
            <x v="68"/>
            <x v="83"/>
            <x v="94"/>
            <x v="95"/>
            <x v="107"/>
            <x v="108"/>
            <x v="109"/>
            <x v="110"/>
            <x v="113"/>
            <x v="118"/>
            <x v="119"/>
            <x v="120"/>
            <x v="121"/>
            <x v="122"/>
            <x v="123"/>
            <x v="124"/>
            <x v="125"/>
            <x v="126"/>
            <x v="127"/>
            <x v="128"/>
            <x v="129"/>
            <x v="130"/>
            <x v="137"/>
            <x v="145"/>
            <x v="146"/>
            <x v="155"/>
            <x v="156"/>
            <x v="163"/>
            <x v="170"/>
            <x v="172"/>
            <x v="175"/>
            <x v="177"/>
            <x v="180"/>
            <x v="182"/>
            <x v="183"/>
          </reference>
        </references>
      </pivotArea>
    </format>
    <format dxfId="7811">
      <pivotArea dataOnly="0" labelOnly="1" outline="0" fieldPosition="0">
        <references count="3">
          <reference field="1" count="1" selected="0">
            <x v="13"/>
          </reference>
          <reference field="3" count="1" selected="0">
            <x v="7"/>
          </reference>
          <reference field="5" count="36">
            <x v="3"/>
            <x v="21"/>
            <x v="29"/>
            <x v="41"/>
            <x v="44"/>
            <x v="59"/>
            <x v="62"/>
            <x v="87"/>
            <x v="89"/>
            <x v="91"/>
            <x v="93"/>
            <x v="105"/>
            <x v="106"/>
            <x v="144"/>
            <x v="157"/>
            <x v="158"/>
            <x v="159"/>
            <x v="164"/>
            <x v="165"/>
            <x v="167"/>
            <x v="169"/>
            <x v="171"/>
            <x v="173"/>
            <x v="174"/>
            <x v="176"/>
            <x v="178"/>
            <x v="179"/>
            <x v="181"/>
            <x v="184"/>
            <x v="185"/>
            <x v="186"/>
            <x v="187"/>
            <x v="188"/>
            <x v="189"/>
            <x v="190"/>
            <x v="207"/>
          </reference>
        </references>
      </pivotArea>
    </format>
    <format dxfId="7810">
      <pivotArea dataOnly="0" labelOnly="1" outline="0" fieldPosition="0">
        <references count="3">
          <reference field="1" count="1" selected="0">
            <x v="13"/>
          </reference>
          <reference field="3" count="1" selected="0">
            <x v="9"/>
          </reference>
          <reference field="5" count="44">
            <x v="0"/>
            <x v="4"/>
            <x v="8"/>
            <x v="10"/>
            <x v="11"/>
            <x v="12"/>
            <x v="13"/>
            <x v="14"/>
            <x v="18"/>
            <x v="19"/>
            <x v="26"/>
            <x v="31"/>
            <x v="35"/>
            <x v="37"/>
            <x v="38"/>
            <x v="39"/>
            <x v="40"/>
            <x v="42"/>
            <x v="43"/>
            <x v="45"/>
            <x v="49"/>
            <x v="53"/>
            <x v="58"/>
            <x v="63"/>
            <x v="64"/>
            <x v="67"/>
            <x v="71"/>
            <x v="74"/>
            <x v="77"/>
            <x v="81"/>
            <x v="84"/>
            <x v="85"/>
            <x v="86"/>
            <x v="114"/>
            <x v="115"/>
            <x v="132"/>
            <x v="133"/>
            <x v="134"/>
            <x v="135"/>
            <x v="136"/>
            <x v="138"/>
            <x v="139"/>
            <x v="161"/>
            <x v="210"/>
          </reference>
        </references>
      </pivotArea>
    </format>
    <format dxfId="7809">
      <pivotArea dataOnly="0" labelOnly="1" outline="0" fieldPosition="0">
        <references count="3">
          <reference field="1" count="1" selected="0">
            <x v="13"/>
          </reference>
          <reference field="3" count="1" selected="0">
            <x v="10"/>
          </reference>
          <reference field="5" count="12">
            <x v="23"/>
            <x v="30"/>
            <x v="80"/>
            <x v="90"/>
            <x v="92"/>
            <x v="140"/>
            <x v="142"/>
            <x v="143"/>
            <x v="160"/>
            <x v="162"/>
            <x v="209"/>
            <x v="211"/>
          </reference>
        </references>
      </pivotArea>
    </format>
    <format dxfId="7808">
      <pivotArea dataOnly="0" labelOnly="1" outline="0" fieldPosition="0">
        <references count="3">
          <reference field="1" count="1" selected="0">
            <x v="13"/>
          </reference>
          <reference field="3" count="1" selected="0">
            <x v="11"/>
          </reference>
          <reference field="5" count="19">
            <x v="1"/>
            <x v="2"/>
            <x v="5"/>
            <x v="9"/>
            <x v="15"/>
            <x v="17"/>
            <x v="46"/>
            <x v="48"/>
            <x v="50"/>
            <x v="54"/>
            <x v="55"/>
            <x v="57"/>
            <x v="60"/>
            <x v="69"/>
            <x v="72"/>
            <x v="73"/>
            <x v="78"/>
            <x v="79"/>
            <x v="82"/>
          </reference>
        </references>
      </pivotArea>
    </format>
    <format dxfId="7807">
      <pivotArea dataOnly="0" labelOnly="1" outline="0" fieldPosition="0">
        <references count="3">
          <reference field="1" count="1" selected="0">
            <x v="14"/>
          </reference>
          <reference field="3" count="1" selected="0">
            <x v="1"/>
          </reference>
          <reference field="5" count="4">
            <x v="75"/>
            <x v="76"/>
            <x v="166"/>
            <x v="222"/>
          </reference>
        </references>
      </pivotArea>
    </format>
    <format dxfId="7806">
      <pivotArea dataOnly="0" labelOnly="1" outline="0" fieldPosition="0">
        <references count="3">
          <reference field="1" count="1" selected="0">
            <x v="14"/>
          </reference>
          <reference field="3" count="1" selected="0">
            <x v="4"/>
          </reference>
          <reference field="5" count="19">
            <x v="65"/>
            <x v="70"/>
            <x v="191"/>
            <x v="192"/>
            <x v="193"/>
            <x v="194"/>
            <x v="195"/>
            <x v="196"/>
            <x v="197"/>
            <x v="198"/>
            <x v="199"/>
            <x v="200"/>
            <x v="201"/>
            <x v="202"/>
            <x v="203"/>
            <x v="204"/>
            <x v="205"/>
            <x v="206"/>
            <x v="337"/>
          </reference>
        </references>
      </pivotArea>
    </format>
    <format dxfId="7805">
      <pivotArea dataOnly="0" labelOnly="1" outline="0" fieldPosition="0">
        <references count="3">
          <reference field="1" count="1" selected="0">
            <x v="14"/>
          </reference>
          <reference field="3" count="1" selected="0">
            <x v="5"/>
          </reference>
          <reference field="5" count="39">
            <x v="24"/>
            <x v="25"/>
            <x v="28"/>
            <x v="33"/>
            <x v="88"/>
            <x v="96"/>
            <x v="97"/>
            <x v="98"/>
            <x v="99"/>
            <x v="100"/>
            <x v="101"/>
            <x v="102"/>
            <x v="103"/>
            <x v="104"/>
            <x v="111"/>
            <x v="112"/>
            <x v="116"/>
            <x v="117"/>
            <x v="141"/>
            <x v="147"/>
            <x v="148"/>
            <x v="149"/>
            <x v="150"/>
            <x v="151"/>
            <x v="152"/>
            <x v="153"/>
            <x v="154"/>
            <x v="168"/>
            <x v="212"/>
            <x v="213"/>
            <x v="214"/>
            <x v="215"/>
            <x v="216"/>
            <x v="217"/>
            <x v="218"/>
            <x v="219"/>
            <x v="220"/>
            <x v="221"/>
            <x v="321"/>
          </reference>
        </references>
      </pivotArea>
    </format>
    <format dxfId="7804">
      <pivotArea dataOnly="0" labelOnly="1" outline="0" fieldPosition="0">
        <references count="3">
          <reference field="1" count="1" selected="0">
            <x v="14"/>
          </reference>
          <reference field="3" count="1" selected="0">
            <x v="7"/>
          </reference>
          <reference field="5" count="50">
            <x v="6"/>
            <x v="7"/>
            <x v="16"/>
            <x v="20"/>
            <x v="22"/>
            <x v="27"/>
            <x v="32"/>
            <x v="34"/>
            <x v="36"/>
            <x v="47"/>
            <x v="51"/>
            <x v="52"/>
            <x v="56"/>
            <x v="61"/>
            <x v="66"/>
            <x v="68"/>
            <x v="83"/>
            <x v="94"/>
            <x v="95"/>
            <x v="107"/>
            <x v="108"/>
            <x v="109"/>
            <x v="110"/>
            <x v="113"/>
            <x v="118"/>
            <x v="119"/>
            <x v="120"/>
            <x v="121"/>
            <x v="122"/>
            <x v="123"/>
            <x v="124"/>
            <x v="125"/>
            <x v="126"/>
            <x v="127"/>
            <x v="128"/>
            <x v="129"/>
            <x v="130"/>
            <x v="137"/>
            <x v="145"/>
            <x v="146"/>
            <x v="155"/>
            <x v="156"/>
            <x v="163"/>
            <x v="170"/>
            <x v="172"/>
            <x v="175"/>
            <x v="177"/>
            <x v="180"/>
            <x v="182"/>
            <x v="183"/>
          </reference>
        </references>
      </pivotArea>
    </format>
    <format dxfId="7803">
      <pivotArea dataOnly="0" labelOnly="1" outline="0" fieldPosition="0">
        <references count="3">
          <reference field="1" count="1" selected="0">
            <x v="14"/>
          </reference>
          <reference field="3" count="1" selected="0">
            <x v="7"/>
          </reference>
          <reference field="5" count="36">
            <x v="3"/>
            <x v="21"/>
            <x v="29"/>
            <x v="41"/>
            <x v="44"/>
            <x v="59"/>
            <x v="62"/>
            <x v="87"/>
            <x v="89"/>
            <x v="91"/>
            <x v="93"/>
            <x v="105"/>
            <x v="106"/>
            <x v="144"/>
            <x v="157"/>
            <x v="158"/>
            <x v="159"/>
            <x v="164"/>
            <x v="165"/>
            <x v="167"/>
            <x v="169"/>
            <x v="171"/>
            <x v="173"/>
            <x v="174"/>
            <x v="176"/>
            <x v="178"/>
            <x v="179"/>
            <x v="181"/>
            <x v="184"/>
            <x v="185"/>
            <x v="186"/>
            <x v="187"/>
            <x v="188"/>
            <x v="189"/>
            <x v="190"/>
            <x v="207"/>
          </reference>
        </references>
      </pivotArea>
    </format>
    <format dxfId="7802">
      <pivotArea dataOnly="0" labelOnly="1" outline="0" fieldPosition="0">
        <references count="3">
          <reference field="1" count="1" selected="0">
            <x v="14"/>
          </reference>
          <reference field="3" count="1" selected="0">
            <x v="9"/>
          </reference>
          <reference field="5" count="44">
            <x v="0"/>
            <x v="4"/>
            <x v="8"/>
            <x v="10"/>
            <x v="11"/>
            <x v="12"/>
            <x v="13"/>
            <x v="14"/>
            <x v="18"/>
            <x v="19"/>
            <x v="26"/>
            <x v="31"/>
            <x v="35"/>
            <x v="37"/>
            <x v="38"/>
            <x v="39"/>
            <x v="40"/>
            <x v="42"/>
            <x v="43"/>
            <x v="45"/>
            <x v="49"/>
            <x v="53"/>
            <x v="58"/>
            <x v="63"/>
            <x v="64"/>
            <x v="67"/>
            <x v="71"/>
            <x v="74"/>
            <x v="77"/>
            <x v="81"/>
            <x v="84"/>
            <x v="85"/>
            <x v="86"/>
            <x v="114"/>
            <x v="115"/>
            <x v="132"/>
            <x v="133"/>
            <x v="134"/>
            <x v="135"/>
            <x v="136"/>
            <x v="138"/>
            <x v="139"/>
            <x v="161"/>
            <x v="210"/>
          </reference>
        </references>
      </pivotArea>
    </format>
    <format dxfId="7801">
      <pivotArea dataOnly="0" labelOnly="1" outline="0" fieldPosition="0">
        <references count="3">
          <reference field="1" count="1" selected="0">
            <x v="14"/>
          </reference>
          <reference field="3" count="1" selected="0">
            <x v="10"/>
          </reference>
          <reference field="5" count="12">
            <x v="23"/>
            <x v="30"/>
            <x v="80"/>
            <x v="90"/>
            <x v="92"/>
            <x v="140"/>
            <x v="142"/>
            <x v="143"/>
            <x v="160"/>
            <x v="162"/>
            <x v="209"/>
            <x v="211"/>
          </reference>
        </references>
      </pivotArea>
    </format>
    <format dxfId="7800">
      <pivotArea dataOnly="0" labelOnly="1" outline="0" fieldPosition="0">
        <references count="3">
          <reference field="1" count="1" selected="0">
            <x v="14"/>
          </reference>
          <reference field="3" count="1" selected="0">
            <x v="11"/>
          </reference>
          <reference field="5" count="19">
            <x v="1"/>
            <x v="2"/>
            <x v="5"/>
            <x v="9"/>
            <x v="15"/>
            <x v="17"/>
            <x v="46"/>
            <x v="48"/>
            <x v="50"/>
            <x v="54"/>
            <x v="55"/>
            <x v="57"/>
            <x v="60"/>
            <x v="69"/>
            <x v="72"/>
            <x v="73"/>
            <x v="78"/>
            <x v="79"/>
            <x v="82"/>
          </reference>
        </references>
      </pivotArea>
    </format>
    <format dxfId="7799">
      <pivotArea dataOnly="0" labelOnly="1" outline="0" fieldPosition="0">
        <references count="3">
          <reference field="1" count="1" selected="0">
            <x v="15"/>
          </reference>
          <reference field="3" count="1" selected="0">
            <x v="1"/>
          </reference>
          <reference field="5" count="4">
            <x v="75"/>
            <x v="76"/>
            <x v="166"/>
            <x v="222"/>
          </reference>
        </references>
      </pivotArea>
    </format>
    <format dxfId="7798">
      <pivotArea dataOnly="0" labelOnly="1" outline="0" fieldPosition="0">
        <references count="3">
          <reference field="1" count="1" selected="0">
            <x v="15"/>
          </reference>
          <reference field="3" count="1" selected="0">
            <x v="4"/>
          </reference>
          <reference field="5" count="19">
            <x v="65"/>
            <x v="70"/>
            <x v="191"/>
            <x v="192"/>
            <x v="193"/>
            <x v="194"/>
            <x v="195"/>
            <x v="196"/>
            <x v="197"/>
            <x v="198"/>
            <x v="199"/>
            <x v="200"/>
            <x v="201"/>
            <x v="202"/>
            <x v="203"/>
            <x v="204"/>
            <x v="205"/>
            <x v="206"/>
            <x v="337"/>
          </reference>
        </references>
      </pivotArea>
    </format>
    <format dxfId="7797">
      <pivotArea dataOnly="0" labelOnly="1" outline="0" fieldPosition="0">
        <references count="3">
          <reference field="1" count="1" selected="0">
            <x v="15"/>
          </reference>
          <reference field="3" count="1" selected="0">
            <x v="5"/>
          </reference>
          <reference field="5" count="39">
            <x v="24"/>
            <x v="25"/>
            <x v="28"/>
            <x v="33"/>
            <x v="88"/>
            <x v="96"/>
            <x v="97"/>
            <x v="98"/>
            <x v="99"/>
            <x v="100"/>
            <x v="101"/>
            <x v="102"/>
            <x v="103"/>
            <x v="104"/>
            <x v="111"/>
            <x v="112"/>
            <x v="116"/>
            <x v="117"/>
            <x v="141"/>
            <x v="147"/>
            <x v="148"/>
            <x v="149"/>
            <x v="150"/>
            <x v="151"/>
            <x v="152"/>
            <x v="153"/>
            <x v="154"/>
            <x v="168"/>
            <x v="212"/>
            <x v="213"/>
            <x v="214"/>
            <x v="215"/>
            <x v="216"/>
            <x v="217"/>
            <x v="218"/>
            <x v="219"/>
            <x v="220"/>
            <x v="221"/>
            <x v="321"/>
          </reference>
        </references>
      </pivotArea>
    </format>
    <format dxfId="7796">
      <pivotArea dataOnly="0" labelOnly="1" outline="0" fieldPosition="0">
        <references count="3">
          <reference field="1" count="1" selected="0">
            <x v="15"/>
          </reference>
          <reference field="3" count="1" selected="0">
            <x v="7"/>
          </reference>
          <reference field="5" count="50">
            <x v="6"/>
            <x v="7"/>
            <x v="16"/>
            <x v="20"/>
            <x v="22"/>
            <x v="27"/>
            <x v="32"/>
            <x v="34"/>
            <x v="36"/>
            <x v="47"/>
            <x v="51"/>
            <x v="52"/>
            <x v="56"/>
            <x v="61"/>
            <x v="66"/>
            <x v="68"/>
            <x v="83"/>
            <x v="94"/>
            <x v="95"/>
            <x v="107"/>
            <x v="108"/>
            <x v="109"/>
            <x v="110"/>
            <x v="113"/>
            <x v="118"/>
            <x v="119"/>
            <x v="120"/>
            <x v="121"/>
            <x v="122"/>
            <x v="123"/>
            <x v="124"/>
            <x v="125"/>
            <x v="126"/>
            <x v="127"/>
            <x v="128"/>
            <x v="129"/>
            <x v="130"/>
            <x v="137"/>
            <x v="145"/>
            <x v="146"/>
            <x v="155"/>
            <x v="156"/>
            <x v="163"/>
            <x v="170"/>
            <x v="172"/>
            <x v="175"/>
            <x v="177"/>
            <x v="180"/>
            <x v="182"/>
            <x v="183"/>
          </reference>
        </references>
      </pivotArea>
    </format>
    <format dxfId="7795">
      <pivotArea dataOnly="0" labelOnly="1" outline="0" fieldPosition="0">
        <references count="3">
          <reference field="1" count="1" selected="0">
            <x v="15"/>
          </reference>
          <reference field="3" count="1" selected="0">
            <x v="7"/>
          </reference>
          <reference field="5" count="36">
            <x v="3"/>
            <x v="21"/>
            <x v="29"/>
            <x v="41"/>
            <x v="44"/>
            <x v="59"/>
            <x v="62"/>
            <x v="87"/>
            <x v="89"/>
            <x v="91"/>
            <x v="93"/>
            <x v="105"/>
            <x v="106"/>
            <x v="144"/>
            <x v="157"/>
            <x v="158"/>
            <x v="159"/>
            <x v="164"/>
            <x v="165"/>
            <x v="167"/>
            <x v="169"/>
            <x v="171"/>
            <x v="173"/>
            <x v="174"/>
            <x v="176"/>
            <x v="178"/>
            <x v="179"/>
            <x v="181"/>
            <x v="184"/>
            <x v="185"/>
            <x v="186"/>
            <x v="187"/>
            <x v="188"/>
            <x v="189"/>
            <x v="190"/>
            <x v="207"/>
          </reference>
        </references>
      </pivotArea>
    </format>
    <format dxfId="7794">
      <pivotArea dataOnly="0" labelOnly="1" outline="0" fieldPosition="0">
        <references count="3">
          <reference field="1" count="1" selected="0">
            <x v="15"/>
          </reference>
          <reference field="3" count="1" selected="0">
            <x v="9"/>
          </reference>
          <reference field="5" count="43">
            <x v="0"/>
            <x v="4"/>
            <x v="8"/>
            <x v="10"/>
            <x v="11"/>
            <x v="12"/>
            <x v="13"/>
            <x v="14"/>
            <x v="18"/>
            <x v="19"/>
            <x v="26"/>
            <x v="31"/>
            <x v="35"/>
            <x v="37"/>
            <x v="38"/>
            <x v="39"/>
            <x v="40"/>
            <x v="42"/>
            <x v="43"/>
            <x v="45"/>
            <x v="49"/>
            <x v="53"/>
            <x v="58"/>
            <x v="63"/>
            <x v="64"/>
            <x v="67"/>
            <x v="71"/>
            <x v="74"/>
            <x v="77"/>
            <x v="81"/>
            <x v="84"/>
            <x v="85"/>
            <x v="86"/>
            <x v="114"/>
            <x v="115"/>
            <x v="132"/>
            <x v="133"/>
            <x v="134"/>
            <x v="135"/>
            <x v="136"/>
            <x v="138"/>
            <x v="139"/>
            <x v="161"/>
          </reference>
        </references>
      </pivotArea>
    </format>
    <format dxfId="7793">
      <pivotArea dataOnly="0" labelOnly="1" outline="0" fieldPosition="0">
        <references count="3">
          <reference field="1" count="1" selected="0">
            <x v="15"/>
          </reference>
          <reference field="3" count="1" selected="0">
            <x v="10"/>
          </reference>
          <reference field="5" count="13">
            <x v="23"/>
            <x v="30"/>
            <x v="80"/>
            <x v="90"/>
            <x v="92"/>
            <x v="140"/>
            <x v="142"/>
            <x v="143"/>
            <x v="160"/>
            <x v="162"/>
            <x v="209"/>
            <x v="210"/>
            <x v="211"/>
          </reference>
        </references>
      </pivotArea>
    </format>
    <format dxfId="7792">
      <pivotArea dataOnly="0" labelOnly="1" outline="0" fieldPosition="0">
        <references count="3">
          <reference field="1" count="1" selected="0">
            <x v="15"/>
          </reference>
          <reference field="3" count="1" selected="0">
            <x v="11"/>
          </reference>
          <reference field="5" count="19">
            <x v="1"/>
            <x v="2"/>
            <x v="5"/>
            <x v="9"/>
            <x v="15"/>
            <x v="17"/>
            <x v="46"/>
            <x v="48"/>
            <x v="50"/>
            <x v="54"/>
            <x v="55"/>
            <x v="57"/>
            <x v="60"/>
            <x v="69"/>
            <x v="72"/>
            <x v="73"/>
            <x v="78"/>
            <x v="79"/>
            <x v="82"/>
          </reference>
        </references>
      </pivotArea>
    </format>
    <format dxfId="7791">
      <pivotArea dataOnly="0" labelOnly="1" outline="0" fieldPosition="0">
        <references count="3">
          <reference field="1" count="1" selected="0">
            <x v="16"/>
          </reference>
          <reference field="3" count="1" selected="0">
            <x v="1"/>
          </reference>
          <reference field="5" count="4">
            <x v="75"/>
            <x v="76"/>
            <x v="166"/>
            <x v="222"/>
          </reference>
        </references>
      </pivotArea>
    </format>
    <format dxfId="7790">
      <pivotArea dataOnly="0" labelOnly="1" outline="0" fieldPosition="0">
        <references count="3">
          <reference field="1" count="1" selected="0">
            <x v="16"/>
          </reference>
          <reference field="3" count="1" selected="0">
            <x v="4"/>
          </reference>
          <reference field="5" count="19">
            <x v="65"/>
            <x v="70"/>
            <x v="191"/>
            <x v="192"/>
            <x v="193"/>
            <x v="194"/>
            <x v="195"/>
            <x v="196"/>
            <x v="197"/>
            <x v="198"/>
            <x v="199"/>
            <x v="200"/>
            <x v="201"/>
            <x v="202"/>
            <x v="203"/>
            <x v="204"/>
            <x v="205"/>
            <x v="206"/>
            <x v="337"/>
          </reference>
        </references>
      </pivotArea>
    </format>
    <format dxfId="7789">
      <pivotArea dataOnly="0" labelOnly="1" outline="0" fieldPosition="0">
        <references count="3">
          <reference field="1" count="1" selected="0">
            <x v="16"/>
          </reference>
          <reference field="3" count="1" selected="0">
            <x v="5"/>
          </reference>
          <reference field="5" count="39">
            <x v="24"/>
            <x v="25"/>
            <x v="28"/>
            <x v="33"/>
            <x v="88"/>
            <x v="96"/>
            <x v="97"/>
            <x v="98"/>
            <x v="99"/>
            <x v="100"/>
            <x v="101"/>
            <x v="102"/>
            <x v="103"/>
            <x v="104"/>
            <x v="111"/>
            <x v="112"/>
            <x v="116"/>
            <x v="117"/>
            <x v="141"/>
            <x v="147"/>
            <x v="148"/>
            <x v="149"/>
            <x v="150"/>
            <x v="151"/>
            <x v="152"/>
            <x v="153"/>
            <x v="154"/>
            <x v="168"/>
            <x v="212"/>
            <x v="213"/>
            <x v="214"/>
            <x v="215"/>
            <x v="216"/>
            <x v="217"/>
            <x v="218"/>
            <x v="219"/>
            <x v="220"/>
            <x v="221"/>
            <x v="321"/>
          </reference>
        </references>
      </pivotArea>
    </format>
    <format dxfId="7788">
      <pivotArea dataOnly="0" labelOnly="1" outline="0" fieldPosition="0">
        <references count="3">
          <reference field="1" count="1" selected="0">
            <x v="16"/>
          </reference>
          <reference field="3" count="1" selected="0">
            <x v="7"/>
          </reference>
          <reference field="5" count="50">
            <x v="6"/>
            <x v="7"/>
            <x v="16"/>
            <x v="20"/>
            <x v="22"/>
            <x v="27"/>
            <x v="32"/>
            <x v="34"/>
            <x v="36"/>
            <x v="47"/>
            <x v="51"/>
            <x v="52"/>
            <x v="56"/>
            <x v="61"/>
            <x v="66"/>
            <x v="68"/>
            <x v="83"/>
            <x v="94"/>
            <x v="95"/>
            <x v="107"/>
            <x v="108"/>
            <x v="109"/>
            <x v="110"/>
            <x v="113"/>
            <x v="118"/>
            <x v="119"/>
            <x v="120"/>
            <x v="121"/>
            <x v="122"/>
            <x v="123"/>
            <x v="124"/>
            <x v="125"/>
            <x v="126"/>
            <x v="127"/>
            <x v="128"/>
            <x v="129"/>
            <x v="130"/>
            <x v="137"/>
            <x v="145"/>
            <x v="146"/>
            <x v="155"/>
            <x v="156"/>
            <x v="163"/>
            <x v="170"/>
            <x v="172"/>
            <x v="175"/>
            <x v="177"/>
            <x v="180"/>
            <x v="182"/>
            <x v="183"/>
          </reference>
        </references>
      </pivotArea>
    </format>
    <format dxfId="7787">
      <pivotArea dataOnly="0" labelOnly="1" outline="0" fieldPosition="0">
        <references count="3">
          <reference field="1" count="1" selected="0">
            <x v="16"/>
          </reference>
          <reference field="3" count="1" selected="0">
            <x v="7"/>
          </reference>
          <reference field="5" count="36">
            <x v="3"/>
            <x v="21"/>
            <x v="29"/>
            <x v="41"/>
            <x v="44"/>
            <x v="59"/>
            <x v="62"/>
            <x v="87"/>
            <x v="89"/>
            <x v="91"/>
            <x v="93"/>
            <x v="105"/>
            <x v="106"/>
            <x v="144"/>
            <x v="157"/>
            <x v="158"/>
            <x v="159"/>
            <x v="164"/>
            <x v="165"/>
            <x v="167"/>
            <x v="169"/>
            <x v="171"/>
            <x v="173"/>
            <x v="174"/>
            <x v="176"/>
            <x v="178"/>
            <x v="179"/>
            <x v="181"/>
            <x v="184"/>
            <x v="185"/>
            <x v="186"/>
            <x v="187"/>
            <x v="188"/>
            <x v="189"/>
            <x v="190"/>
            <x v="207"/>
          </reference>
        </references>
      </pivotArea>
    </format>
    <format dxfId="7786">
      <pivotArea dataOnly="0" labelOnly="1" outline="0" fieldPosition="0">
        <references count="3">
          <reference field="1" count="1" selected="0">
            <x v="16"/>
          </reference>
          <reference field="3" count="1" selected="0">
            <x v="9"/>
          </reference>
          <reference field="5" count="43">
            <x v="0"/>
            <x v="4"/>
            <x v="8"/>
            <x v="10"/>
            <x v="11"/>
            <x v="12"/>
            <x v="13"/>
            <x v="14"/>
            <x v="18"/>
            <x v="19"/>
            <x v="26"/>
            <x v="31"/>
            <x v="35"/>
            <x v="37"/>
            <x v="38"/>
            <x v="39"/>
            <x v="40"/>
            <x v="42"/>
            <x v="43"/>
            <x v="45"/>
            <x v="49"/>
            <x v="53"/>
            <x v="58"/>
            <x v="63"/>
            <x v="64"/>
            <x v="67"/>
            <x v="71"/>
            <x v="74"/>
            <x v="77"/>
            <x v="81"/>
            <x v="84"/>
            <x v="85"/>
            <x v="86"/>
            <x v="114"/>
            <x v="115"/>
            <x v="132"/>
            <x v="133"/>
            <x v="134"/>
            <x v="135"/>
            <x v="136"/>
            <x v="138"/>
            <x v="139"/>
            <x v="161"/>
          </reference>
        </references>
      </pivotArea>
    </format>
    <format dxfId="7785">
      <pivotArea dataOnly="0" labelOnly="1" outline="0" fieldPosition="0">
        <references count="3">
          <reference field="1" count="1" selected="0">
            <x v="16"/>
          </reference>
          <reference field="3" count="1" selected="0">
            <x v="10"/>
          </reference>
          <reference field="5" count="13">
            <x v="23"/>
            <x v="30"/>
            <x v="80"/>
            <x v="90"/>
            <x v="92"/>
            <x v="140"/>
            <x v="142"/>
            <x v="143"/>
            <x v="160"/>
            <x v="162"/>
            <x v="209"/>
            <x v="210"/>
            <x v="211"/>
          </reference>
        </references>
      </pivotArea>
    </format>
    <format dxfId="7784">
      <pivotArea dataOnly="0" labelOnly="1" outline="0" fieldPosition="0">
        <references count="3">
          <reference field="1" count="1" selected="0">
            <x v="16"/>
          </reference>
          <reference field="3" count="1" selected="0">
            <x v="11"/>
          </reference>
          <reference field="5" count="19">
            <x v="1"/>
            <x v="2"/>
            <x v="5"/>
            <x v="9"/>
            <x v="15"/>
            <x v="17"/>
            <x v="46"/>
            <x v="48"/>
            <x v="50"/>
            <x v="54"/>
            <x v="55"/>
            <x v="57"/>
            <x v="60"/>
            <x v="69"/>
            <x v="72"/>
            <x v="73"/>
            <x v="78"/>
            <x v="79"/>
            <x v="82"/>
          </reference>
        </references>
      </pivotArea>
    </format>
    <format dxfId="7783">
      <pivotArea dataOnly="0" labelOnly="1" outline="0" fieldPosition="0">
        <references count="3">
          <reference field="1" count="1" selected="0">
            <x v="17"/>
          </reference>
          <reference field="3" count="1" selected="0">
            <x v="1"/>
          </reference>
          <reference field="5" count="4">
            <x v="75"/>
            <x v="76"/>
            <x v="166"/>
            <x v="222"/>
          </reference>
        </references>
      </pivotArea>
    </format>
    <format dxfId="7782">
      <pivotArea dataOnly="0" labelOnly="1" outline="0" fieldPosition="0">
        <references count="3">
          <reference field="1" count="1" selected="0">
            <x v="17"/>
          </reference>
          <reference field="3" count="1" selected="0">
            <x v="4"/>
          </reference>
          <reference field="5" count="19">
            <x v="65"/>
            <x v="70"/>
            <x v="191"/>
            <x v="192"/>
            <x v="193"/>
            <x v="194"/>
            <x v="195"/>
            <x v="196"/>
            <x v="197"/>
            <x v="198"/>
            <x v="199"/>
            <x v="200"/>
            <x v="201"/>
            <x v="202"/>
            <x v="203"/>
            <x v="204"/>
            <x v="205"/>
            <x v="206"/>
            <x v="337"/>
          </reference>
        </references>
      </pivotArea>
    </format>
    <format dxfId="7781">
      <pivotArea dataOnly="0" labelOnly="1" outline="0" fieldPosition="0">
        <references count="3">
          <reference field="1" count="1" selected="0">
            <x v="17"/>
          </reference>
          <reference field="3" count="1" selected="0">
            <x v="5"/>
          </reference>
          <reference field="5" count="39">
            <x v="24"/>
            <x v="25"/>
            <x v="28"/>
            <x v="33"/>
            <x v="88"/>
            <x v="96"/>
            <x v="97"/>
            <x v="98"/>
            <x v="99"/>
            <x v="100"/>
            <x v="101"/>
            <x v="102"/>
            <x v="103"/>
            <x v="104"/>
            <x v="111"/>
            <x v="112"/>
            <x v="116"/>
            <x v="117"/>
            <x v="141"/>
            <x v="147"/>
            <x v="148"/>
            <x v="149"/>
            <x v="150"/>
            <x v="151"/>
            <x v="152"/>
            <x v="153"/>
            <x v="154"/>
            <x v="168"/>
            <x v="212"/>
            <x v="213"/>
            <x v="214"/>
            <x v="215"/>
            <x v="216"/>
            <x v="217"/>
            <x v="218"/>
            <x v="219"/>
            <x v="220"/>
            <x v="221"/>
            <x v="321"/>
          </reference>
        </references>
      </pivotArea>
    </format>
    <format dxfId="7780">
      <pivotArea dataOnly="0" labelOnly="1" outline="0" fieldPosition="0">
        <references count="3">
          <reference field="1" count="1" selected="0">
            <x v="17"/>
          </reference>
          <reference field="3" count="1" selected="0">
            <x v="7"/>
          </reference>
          <reference field="5" count="50">
            <x v="6"/>
            <x v="7"/>
            <x v="16"/>
            <x v="20"/>
            <x v="22"/>
            <x v="27"/>
            <x v="32"/>
            <x v="34"/>
            <x v="36"/>
            <x v="47"/>
            <x v="51"/>
            <x v="52"/>
            <x v="56"/>
            <x v="61"/>
            <x v="66"/>
            <x v="68"/>
            <x v="83"/>
            <x v="94"/>
            <x v="95"/>
            <x v="107"/>
            <x v="108"/>
            <x v="109"/>
            <x v="110"/>
            <x v="113"/>
            <x v="118"/>
            <x v="119"/>
            <x v="120"/>
            <x v="121"/>
            <x v="122"/>
            <x v="123"/>
            <x v="124"/>
            <x v="125"/>
            <x v="126"/>
            <x v="127"/>
            <x v="128"/>
            <x v="129"/>
            <x v="130"/>
            <x v="137"/>
            <x v="145"/>
            <x v="146"/>
            <x v="155"/>
            <x v="156"/>
            <x v="163"/>
            <x v="170"/>
            <x v="172"/>
            <x v="175"/>
            <x v="177"/>
            <x v="180"/>
            <x v="182"/>
            <x v="183"/>
          </reference>
        </references>
      </pivotArea>
    </format>
    <format dxfId="7779">
      <pivotArea dataOnly="0" labelOnly="1" outline="0" fieldPosition="0">
        <references count="3">
          <reference field="1" count="1" selected="0">
            <x v="17"/>
          </reference>
          <reference field="3" count="1" selected="0">
            <x v="7"/>
          </reference>
          <reference field="5" count="36">
            <x v="3"/>
            <x v="21"/>
            <x v="29"/>
            <x v="41"/>
            <x v="44"/>
            <x v="59"/>
            <x v="62"/>
            <x v="87"/>
            <x v="89"/>
            <x v="91"/>
            <x v="93"/>
            <x v="105"/>
            <x v="106"/>
            <x v="144"/>
            <x v="157"/>
            <x v="158"/>
            <x v="159"/>
            <x v="164"/>
            <x v="165"/>
            <x v="167"/>
            <x v="169"/>
            <x v="171"/>
            <x v="173"/>
            <x v="174"/>
            <x v="176"/>
            <x v="178"/>
            <x v="179"/>
            <x v="181"/>
            <x v="184"/>
            <x v="185"/>
            <x v="186"/>
            <x v="187"/>
            <x v="188"/>
            <x v="189"/>
            <x v="190"/>
            <x v="207"/>
          </reference>
        </references>
      </pivotArea>
    </format>
    <format dxfId="7778">
      <pivotArea dataOnly="0" labelOnly="1" outline="0" fieldPosition="0">
        <references count="3">
          <reference field="1" count="1" selected="0">
            <x v="17"/>
          </reference>
          <reference field="3" count="1" selected="0">
            <x v="9"/>
          </reference>
          <reference field="5" count="43">
            <x v="0"/>
            <x v="4"/>
            <x v="8"/>
            <x v="10"/>
            <x v="11"/>
            <x v="12"/>
            <x v="13"/>
            <x v="14"/>
            <x v="18"/>
            <x v="19"/>
            <x v="26"/>
            <x v="31"/>
            <x v="35"/>
            <x v="37"/>
            <x v="38"/>
            <x v="39"/>
            <x v="40"/>
            <x v="42"/>
            <x v="43"/>
            <x v="45"/>
            <x v="49"/>
            <x v="53"/>
            <x v="58"/>
            <x v="63"/>
            <x v="64"/>
            <x v="67"/>
            <x v="71"/>
            <x v="74"/>
            <x v="77"/>
            <x v="81"/>
            <x v="84"/>
            <x v="85"/>
            <x v="86"/>
            <x v="114"/>
            <x v="115"/>
            <x v="132"/>
            <x v="133"/>
            <x v="134"/>
            <x v="135"/>
            <x v="136"/>
            <x v="138"/>
            <x v="139"/>
            <x v="161"/>
          </reference>
        </references>
      </pivotArea>
    </format>
    <format dxfId="7777">
      <pivotArea dataOnly="0" labelOnly="1" outline="0" fieldPosition="0">
        <references count="3">
          <reference field="1" count="1" selected="0">
            <x v="17"/>
          </reference>
          <reference field="3" count="1" selected="0">
            <x v="10"/>
          </reference>
          <reference field="5" count="13">
            <x v="23"/>
            <x v="30"/>
            <x v="80"/>
            <x v="90"/>
            <x v="92"/>
            <x v="140"/>
            <x v="142"/>
            <x v="143"/>
            <x v="160"/>
            <x v="162"/>
            <x v="209"/>
            <x v="210"/>
            <x v="211"/>
          </reference>
        </references>
      </pivotArea>
    </format>
    <format dxfId="7776">
      <pivotArea dataOnly="0" labelOnly="1" outline="0" fieldPosition="0">
        <references count="3">
          <reference field="1" count="1" selected="0">
            <x v="17"/>
          </reference>
          <reference field="3" count="1" selected="0">
            <x v="11"/>
          </reference>
          <reference field="5" count="19">
            <x v="1"/>
            <x v="2"/>
            <x v="5"/>
            <x v="9"/>
            <x v="15"/>
            <x v="17"/>
            <x v="46"/>
            <x v="48"/>
            <x v="50"/>
            <x v="54"/>
            <x v="55"/>
            <x v="57"/>
            <x v="60"/>
            <x v="69"/>
            <x v="72"/>
            <x v="73"/>
            <x v="78"/>
            <x v="79"/>
            <x v="82"/>
          </reference>
        </references>
      </pivotArea>
    </format>
    <format dxfId="7775">
      <pivotArea dataOnly="0" labelOnly="1" outline="0" fieldPosition="0">
        <references count="3">
          <reference field="1" count="1" selected="0">
            <x v="18"/>
          </reference>
          <reference field="3" count="1" selected="0">
            <x v="1"/>
          </reference>
          <reference field="5" count="4">
            <x v="75"/>
            <x v="76"/>
            <x v="166"/>
            <x v="222"/>
          </reference>
        </references>
      </pivotArea>
    </format>
    <format dxfId="7774">
      <pivotArea dataOnly="0" labelOnly="1" outline="0" fieldPosition="0">
        <references count="3">
          <reference field="1" count="1" selected="0">
            <x v="18"/>
          </reference>
          <reference field="3" count="1" selected="0">
            <x v="4"/>
          </reference>
          <reference field="5" count="19">
            <x v="65"/>
            <x v="70"/>
            <x v="191"/>
            <x v="192"/>
            <x v="193"/>
            <x v="194"/>
            <x v="195"/>
            <x v="196"/>
            <x v="197"/>
            <x v="198"/>
            <x v="199"/>
            <x v="200"/>
            <x v="201"/>
            <x v="202"/>
            <x v="203"/>
            <x v="204"/>
            <x v="205"/>
            <x v="206"/>
            <x v="337"/>
          </reference>
        </references>
      </pivotArea>
    </format>
    <format dxfId="7773">
      <pivotArea dataOnly="0" labelOnly="1" outline="0" fieldPosition="0">
        <references count="3">
          <reference field="1" count="1" selected="0">
            <x v="18"/>
          </reference>
          <reference field="3" count="1" selected="0">
            <x v="5"/>
          </reference>
          <reference field="5" count="39">
            <x v="24"/>
            <x v="25"/>
            <x v="28"/>
            <x v="33"/>
            <x v="88"/>
            <x v="96"/>
            <x v="97"/>
            <x v="98"/>
            <x v="99"/>
            <x v="100"/>
            <x v="101"/>
            <x v="102"/>
            <x v="103"/>
            <x v="104"/>
            <x v="111"/>
            <x v="112"/>
            <x v="116"/>
            <x v="117"/>
            <x v="141"/>
            <x v="147"/>
            <x v="148"/>
            <x v="149"/>
            <x v="150"/>
            <x v="151"/>
            <x v="152"/>
            <x v="153"/>
            <x v="154"/>
            <x v="168"/>
            <x v="212"/>
            <x v="213"/>
            <x v="214"/>
            <x v="215"/>
            <x v="216"/>
            <x v="217"/>
            <x v="218"/>
            <x v="219"/>
            <x v="220"/>
            <x v="221"/>
            <x v="321"/>
          </reference>
        </references>
      </pivotArea>
    </format>
    <format dxfId="7772">
      <pivotArea dataOnly="0" labelOnly="1" outline="0" fieldPosition="0">
        <references count="3">
          <reference field="1" count="1" selected="0">
            <x v="18"/>
          </reference>
          <reference field="3" count="1" selected="0">
            <x v="7"/>
          </reference>
          <reference field="5" count="50">
            <x v="6"/>
            <x v="7"/>
            <x v="16"/>
            <x v="20"/>
            <x v="22"/>
            <x v="27"/>
            <x v="32"/>
            <x v="34"/>
            <x v="36"/>
            <x v="47"/>
            <x v="51"/>
            <x v="52"/>
            <x v="56"/>
            <x v="61"/>
            <x v="66"/>
            <x v="68"/>
            <x v="83"/>
            <x v="94"/>
            <x v="95"/>
            <x v="107"/>
            <x v="108"/>
            <x v="109"/>
            <x v="110"/>
            <x v="113"/>
            <x v="118"/>
            <x v="119"/>
            <x v="120"/>
            <x v="121"/>
            <x v="122"/>
            <x v="123"/>
            <x v="124"/>
            <x v="125"/>
            <x v="126"/>
            <x v="127"/>
            <x v="128"/>
            <x v="129"/>
            <x v="130"/>
            <x v="137"/>
            <x v="145"/>
            <x v="146"/>
            <x v="155"/>
            <x v="156"/>
            <x v="163"/>
            <x v="170"/>
            <x v="172"/>
            <x v="175"/>
            <x v="177"/>
            <x v="180"/>
            <x v="182"/>
            <x v="183"/>
          </reference>
        </references>
      </pivotArea>
    </format>
    <format dxfId="7771">
      <pivotArea dataOnly="0" labelOnly="1" outline="0" fieldPosition="0">
        <references count="3">
          <reference field="1" count="1" selected="0">
            <x v="18"/>
          </reference>
          <reference field="3" count="1" selected="0">
            <x v="7"/>
          </reference>
          <reference field="5" count="36">
            <x v="3"/>
            <x v="21"/>
            <x v="29"/>
            <x v="41"/>
            <x v="44"/>
            <x v="59"/>
            <x v="62"/>
            <x v="87"/>
            <x v="89"/>
            <x v="91"/>
            <x v="93"/>
            <x v="105"/>
            <x v="106"/>
            <x v="144"/>
            <x v="157"/>
            <x v="158"/>
            <x v="159"/>
            <x v="164"/>
            <x v="165"/>
            <x v="167"/>
            <x v="169"/>
            <x v="171"/>
            <x v="173"/>
            <x v="174"/>
            <x v="176"/>
            <x v="178"/>
            <x v="179"/>
            <x v="181"/>
            <x v="184"/>
            <x v="185"/>
            <x v="186"/>
            <x v="187"/>
            <x v="188"/>
            <x v="189"/>
            <x v="190"/>
            <x v="207"/>
          </reference>
        </references>
      </pivotArea>
    </format>
    <format dxfId="7770">
      <pivotArea dataOnly="0" labelOnly="1" outline="0" fieldPosition="0">
        <references count="3">
          <reference field="1" count="1" selected="0">
            <x v="18"/>
          </reference>
          <reference field="3" count="1" selected="0">
            <x v="9"/>
          </reference>
          <reference field="5" count="43">
            <x v="0"/>
            <x v="4"/>
            <x v="8"/>
            <x v="10"/>
            <x v="11"/>
            <x v="12"/>
            <x v="13"/>
            <x v="14"/>
            <x v="18"/>
            <x v="19"/>
            <x v="26"/>
            <x v="31"/>
            <x v="35"/>
            <x v="37"/>
            <x v="38"/>
            <x v="39"/>
            <x v="40"/>
            <x v="42"/>
            <x v="43"/>
            <x v="45"/>
            <x v="49"/>
            <x v="53"/>
            <x v="58"/>
            <x v="63"/>
            <x v="64"/>
            <x v="67"/>
            <x v="71"/>
            <x v="74"/>
            <x v="77"/>
            <x v="81"/>
            <x v="84"/>
            <x v="85"/>
            <x v="86"/>
            <x v="114"/>
            <x v="115"/>
            <x v="132"/>
            <x v="133"/>
            <x v="134"/>
            <x v="135"/>
            <x v="136"/>
            <x v="138"/>
            <x v="139"/>
            <x v="161"/>
          </reference>
        </references>
      </pivotArea>
    </format>
    <format dxfId="7769">
      <pivotArea dataOnly="0" labelOnly="1" outline="0" fieldPosition="0">
        <references count="3">
          <reference field="1" count="1" selected="0">
            <x v="18"/>
          </reference>
          <reference field="3" count="1" selected="0">
            <x v="10"/>
          </reference>
          <reference field="5" count="12">
            <x v="23"/>
            <x v="30"/>
            <x v="80"/>
            <x v="90"/>
            <x v="92"/>
            <x v="140"/>
            <x v="142"/>
            <x v="143"/>
            <x v="160"/>
            <x v="209"/>
            <x v="210"/>
            <x v="211"/>
          </reference>
        </references>
      </pivotArea>
    </format>
    <format dxfId="7768">
      <pivotArea dataOnly="0" labelOnly="1" outline="0" fieldPosition="0">
        <references count="3">
          <reference field="1" count="1" selected="0">
            <x v="18"/>
          </reference>
          <reference field="3" count="1" selected="0">
            <x v="11"/>
          </reference>
          <reference field="5" count="20">
            <x v="1"/>
            <x v="2"/>
            <x v="5"/>
            <x v="9"/>
            <x v="15"/>
            <x v="17"/>
            <x v="46"/>
            <x v="48"/>
            <x v="50"/>
            <x v="54"/>
            <x v="55"/>
            <x v="57"/>
            <x v="60"/>
            <x v="69"/>
            <x v="72"/>
            <x v="73"/>
            <x v="78"/>
            <x v="79"/>
            <x v="82"/>
            <x v="162"/>
          </reference>
        </references>
      </pivotArea>
    </format>
    <format dxfId="7767">
      <pivotArea dataOnly="0" labelOnly="1" outline="0" fieldPosition="0">
        <references count="3">
          <reference field="1" count="1" selected="0">
            <x v="19"/>
          </reference>
          <reference field="3" count="1" selected="0">
            <x v="1"/>
          </reference>
          <reference field="5" count="4">
            <x v="75"/>
            <x v="76"/>
            <x v="166"/>
            <x v="222"/>
          </reference>
        </references>
      </pivotArea>
    </format>
    <format dxfId="7766">
      <pivotArea dataOnly="0" labelOnly="1" outline="0" fieldPosition="0">
        <references count="3">
          <reference field="1" count="1" selected="0">
            <x v="19"/>
          </reference>
          <reference field="3" count="1" selected="0">
            <x v="4"/>
          </reference>
          <reference field="5" count="19">
            <x v="65"/>
            <x v="70"/>
            <x v="191"/>
            <x v="192"/>
            <x v="193"/>
            <x v="194"/>
            <x v="195"/>
            <x v="196"/>
            <x v="197"/>
            <x v="198"/>
            <x v="199"/>
            <x v="200"/>
            <x v="201"/>
            <x v="202"/>
            <x v="203"/>
            <x v="204"/>
            <x v="205"/>
            <x v="206"/>
            <x v="337"/>
          </reference>
        </references>
      </pivotArea>
    </format>
    <format dxfId="7765">
      <pivotArea dataOnly="0" labelOnly="1" outline="0" fieldPosition="0">
        <references count="3">
          <reference field="1" count="1" selected="0">
            <x v="19"/>
          </reference>
          <reference field="3" count="1" selected="0">
            <x v="5"/>
          </reference>
          <reference field="5" count="39">
            <x v="24"/>
            <x v="25"/>
            <x v="28"/>
            <x v="33"/>
            <x v="88"/>
            <x v="96"/>
            <x v="97"/>
            <x v="98"/>
            <x v="99"/>
            <x v="100"/>
            <x v="101"/>
            <x v="102"/>
            <x v="103"/>
            <x v="104"/>
            <x v="111"/>
            <x v="112"/>
            <x v="116"/>
            <x v="117"/>
            <x v="141"/>
            <x v="147"/>
            <x v="148"/>
            <x v="149"/>
            <x v="150"/>
            <x v="151"/>
            <x v="152"/>
            <x v="153"/>
            <x v="154"/>
            <x v="168"/>
            <x v="212"/>
            <x v="213"/>
            <x v="214"/>
            <x v="215"/>
            <x v="216"/>
            <x v="217"/>
            <x v="218"/>
            <x v="219"/>
            <x v="220"/>
            <x v="221"/>
            <x v="321"/>
          </reference>
        </references>
      </pivotArea>
    </format>
    <format dxfId="7764">
      <pivotArea dataOnly="0" labelOnly="1" outline="0" fieldPosition="0">
        <references count="3">
          <reference field="1" count="1" selected="0">
            <x v="19"/>
          </reference>
          <reference field="3" count="1" selected="0">
            <x v="7"/>
          </reference>
          <reference field="5" count="50">
            <x v="6"/>
            <x v="7"/>
            <x v="16"/>
            <x v="20"/>
            <x v="22"/>
            <x v="27"/>
            <x v="32"/>
            <x v="34"/>
            <x v="36"/>
            <x v="47"/>
            <x v="51"/>
            <x v="52"/>
            <x v="56"/>
            <x v="61"/>
            <x v="66"/>
            <x v="68"/>
            <x v="83"/>
            <x v="94"/>
            <x v="95"/>
            <x v="107"/>
            <x v="108"/>
            <x v="109"/>
            <x v="110"/>
            <x v="113"/>
            <x v="118"/>
            <x v="119"/>
            <x v="120"/>
            <x v="121"/>
            <x v="122"/>
            <x v="123"/>
            <x v="124"/>
            <x v="125"/>
            <x v="126"/>
            <x v="127"/>
            <x v="128"/>
            <x v="129"/>
            <x v="130"/>
            <x v="137"/>
            <x v="145"/>
            <x v="146"/>
            <x v="155"/>
            <x v="156"/>
            <x v="163"/>
            <x v="170"/>
            <x v="172"/>
            <x v="175"/>
            <x v="177"/>
            <x v="180"/>
            <x v="182"/>
            <x v="183"/>
          </reference>
        </references>
      </pivotArea>
    </format>
    <format dxfId="7763">
      <pivotArea dataOnly="0" labelOnly="1" outline="0" fieldPosition="0">
        <references count="3">
          <reference field="1" count="1" selected="0">
            <x v="19"/>
          </reference>
          <reference field="3" count="1" selected="0">
            <x v="7"/>
          </reference>
          <reference field="5" count="36">
            <x v="3"/>
            <x v="21"/>
            <x v="29"/>
            <x v="41"/>
            <x v="44"/>
            <x v="59"/>
            <x v="62"/>
            <x v="87"/>
            <x v="89"/>
            <x v="91"/>
            <x v="93"/>
            <x v="105"/>
            <x v="106"/>
            <x v="144"/>
            <x v="157"/>
            <x v="158"/>
            <x v="159"/>
            <x v="164"/>
            <x v="165"/>
            <x v="167"/>
            <x v="169"/>
            <x v="171"/>
            <x v="173"/>
            <x v="174"/>
            <x v="176"/>
            <x v="178"/>
            <x v="179"/>
            <x v="181"/>
            <x v="184"/>
            <x v="185"/>
            <x v="186"/>
            <x v="187"/>
            <x v="188"/>
            <x v="189"/>
            <x v="190"/>
            <x v="207"/>
          </reference>
        </references>
      </pivotArea>
    </format>
    <format dxfId="7762">
      <pivotArea dataOnly="0" labelOnly="1" outline="0" fieldPosition="0">
        <references count="3">
          <reference field="1" count="1" selected="0">
            <x v="19"/>
          </reference>
          <reference field="3" count="1" selected="0">
            <x v="9"/>
          </reference>
          <reference field="5" count="43">
            <x v="0"/>
            <x v="4"/>
            <x v="8"/>
            <x v="10"/>
            <x v="11"/>
            <x v="12"/>
            <x v="13"/>
            <x v="14"/>
            <x v="18"/>
            <x v="19"/>
            <x v="26"/>
            <x v="31"/>
            <x v="35"/>
            <x v="37"/>
            <x v="38"/>
            <x v="39"/>
            <x v="40"/>
            <x v="42"/>
            <x v="43"/>
            <x v="45"/>
            <x v="49"/>
            <x v="53"/>
            <x v="58"/>
            <x v="63"/>
            <x v="64"/>
            <x v="67"/>
            <x v="71"/>
            <x v="74"/>
            <x v="77"/>
            <x v="81"/>
            <x v="84"/>
            <x v="85"/>
            <x v="86"/>
            <x v="114"/>
            <x v="115"/>
            <x v="132"/>
            <x v="133"/>
            <x v="134"/>
            <x v="135"/>
            <x v="136"/>
            <x v="138"/>
            <x v="139"/>
            <x v="161"/>
          </reference>
        </references>
      </pivotArea>
    </format>
    <format dxfId="7761">
      <pivotArea dataOnly="0" labelOnly="1" outline="0" fieldPosition="0">
        <references count="3">
          <reference field="1" count="1" selected="0">
            <x v="19"/>
          </reference>
          <reference field="3" count="1" selected="0">
            <x v="10"/>
          </reference>
          <reference field="5" count="12">
            <x v="23"/>
            <x v="30"/>
            <x v="80"/>
            <x v="90"/>
            <x v="92"/>
            <x v="140"/>
            <x v="142"/>
            <x v="143"/>
            <x v="160"/>
            <x v="209"/>
            <x v="210"/>
            <x v="211"/>
          </reference>
        </references>
      </pivotArea>
    </format>
    <format dxfId="7760">
      <pivotArea dataOnly="0" labelOnly="1" outline="0" fieldPosition="0">
        <references count="3">
          <reference field="1" count="1" selected="0">
            <x v="19"/>
          </reference>
          <reference field="3" count="1" selected="0">
            <x v="11"/>
          </reference>
          <reference field="5" count="20">
            <x v="1"/>
            <x v="2"/>
            <x v="5"/>
            <x v="9"/>
            <x v="15"/>
            <x v="17"/>
            <x v="46"/>
            <x v="48"/>
            <x v="50"/>
            <x v="54"/>
            <x v="55"/>
            <x v="57"/>
            <x v="60"/>
            <x v="69"/>
            <x v="72"/>
            <x v="73"/>
            <x v="78"/>
            <x v="79"/>
            <x v="82"/>
            <x v="162"/>
          </reference>
        </references>
      </pivotArea>
    </format>
    <format dxfId="7759">
      <pivotArea dataOnly="0" labelOnly="1" outline="0" fieldPosition="0">
        <references count="3">
          <reference field="1" count="1" selected="0">
            <x v="20"/>
          </reference>
          <reference field="3" count="1" selected="0">
            <x v="1"/>
          </reference>
          <reference field="5" count="4">
            <x v="75"/>
            <x v="76"/>
            <x v="166"/>
            <x v="222"/>
          </reference>
        </references>
      </pivotArea>
    </format>
    <format dxfId="7758">
      <pivotArea dataOnly="0" labelOnly="1" outline="0" fieldPosition="0">
        <references count="3">
          <reference field="1" count="1" selected="0">
            <x v="20"/>
          </reference>
          <reference field="3" count="1" selected="0">
            <x v="4"/>
          </reference>
          <reference field="5" count="21">
            <x v="65"/>
            <x v="70"/>
            <x v="103"/>
            <x v="191"/>
            <x v="192"/>
            <x v="193"/>
            <x v="194"/>
            <x v="195"/>
            <x v="196"/>
            <x v="197"/>
            <x v="198"/>
            <x v="199"/>
            <x v="200"/>
            <x v="201"/>
            <x v="202"/>
            <x v="203"/>
            <x v="204"/>
            <x v="205"/>
            <x v="206"/>
            <x v="213"/>
            <x v="337"/>
          </reference>
        </references>
      </pivotArea>
    </format>
    <format dxfId="7757">
      <pivotArea dataOnly="0" labelOnly="1" outline="0" fieldPosition="0">
        <references count="3">
          <reference field="1" count="1" selected="0">
            <x v="20"/>
          </reference>
          <reference field="3" count="1" selected="0">
            <x v="5"/>
          </reference>
          <reference field="5" count="37">
            <x v="24"/>
            <x v="25"/>
            <x v="28"/>
            <x v="33"/>
            <x v="88"/>
            <x v="96"/>
            <x v="97"/>
            <x v="98"/>
            <x v="99"/>
            <x v="100"/>
            <x v="101"/>
            <x v="102"/>
            <x v="104"/>
            <x v="111"/>
            <x v="112"/>
            <x v="116"/>
            <x v="117"/>
            <x v="141"/>
            <x v="147"/>
            <x v="148"/>
            <x v="149"/>
            <x v="150"/>
            <x v="151"/>
            <x v="152"/>
            <x v="153"/>
            <x v="154"/>
            <x v="168"/>
            <x v="212"/>
            <x v="214"/>
            <x v="215"/>
            <x v="216"/>
            <x v="217"/>
            <x v="218"/>
            <x v="219"/>
            <x v="220"/>
            <x v="221"/>
            <x v="321"/>
          </reference>
        </references>
      </pivotArea>
    </format>
    <format dxfId="7756">
      <pivotArea dataOnly="0" labelOnly="1" outline="0" fieldPosition="0">
        <references count="3">
          <reference field="1" count="1" selected="0">
            <x v="20"/>
          </reference>
          <reference field="3" count="1" selected="0">
            <x v="7"/>
          </reference>
          <reference field="5" count="50">
            <x v="6"/>
            <x v="7"/>
            <x v="16"/>
            <x v="20"/>
            <x v="22"/>
            <x v="27"/>
            <x v="32"/>
            <x v="34"/>
            <x v="36"/>
            <x v="47"/>
            <x v="51"/>
            <x v="52"/>
            <x v="56"/>
            <x v="61"/>
            <x v="66"/>
            <x v="68"/>
            <x v="83"/>
            <x v="94"/>
            <x v="95"/>
            <x v="107"/>
            <x v="108"/>
            <x v="109"/>
            <x v="110"/>
            <x v="113"/>
            <x v="118"/>
            <x v="119"/>
            <x v="120"/>
            <x v="121"/>
            <x v="122"/>
            <x v="123"/>
            <x v="124"/>
            <x v="125"/>
            <x v="126"/>
            <x v="127"/>
            <x v="128"/>
            <x v="129"/>
            <x v="130"/>
            <x v="137"/>
            <x v="145"/>
            <x v="146"/>
            <x v="155"/>
            <x v="156"/>
            <x v="163"/>
            <x v="170"/>
            <x v="172"/>
            <x v="175"/>
            <x v="177"/>
            <x v="180"/>
            <x v="182"/>
            <x v="183"/>
          </reference>
        </references>
      </pivotArea>
    </format>
    <format dxfId="7755">
      <pivotArea dataOnly="0" labelOnly="1" outline="0" fieldPosition="0">
        <references count="3">
          <reference field="1" count="1" selected="0">
            <x v="20"/>
          </reference>
          <reference field="3" count="1" selected="0">
            <x v="7"/>
          </reference>
          <reference field="5" count="36">
            <x v="3"/>
            <x v="21"/>
            <x v="29"/>
            <x v="41"/>
            <x v="44"/>
            <x v="59"/>
            <x v="62"/>
            <x v="87"/>
            <x v="89"/>
            <x v="91"/>
            <x v="93"/>
            <x v="105"/>
            <x v="106"/>
            <x v="144"/>
            <x v="157"/>
            <x v="158"/>
            <x v="159"/>
            <x v="164"/>
            <x v="165"/>
            <x v="167"/>
            <x v="169"/>
            <x v="171"/>
            <x v="173"/>
            <x v="174"/>
            <x v="176"/>
            <x v="178"/>
            <x v="179"/>
            <x v="181"/>
            <x v="184"/>
            <x v="185"/>
            <x v="186"/>
            <x v="187"/>
            <x v="188"/>
            <x v="189"/>
            <x v="190"/>
            <x v="207"/>
          </reference>
        </references>
      </pivotArea>
    </format>
    <format dxfId="7754">
      <pivotArea dataOnly="0" labelOnly="1" outline="0" fieldPosition="0">
        <references count="3">
          <reference field="1" count="1" selected="0">
            <x v="20"/>
          </reference>
          <reference field="3" count="1" selected="0">
            <x v="9"/>
          </reference>
          <reference field="5" count="43">
            <x v="0"/>
            <x v="4"/>
            <x v="8"/>
            <x v="10"/>
            <x v="11"/>
            <x v="12"/>
            <x v="13"/>
            <x v="14"/>
            <x v="18"/>
            <x v="19"/>
            <x v="26"/>
            <x v="31"/>
            <x v="35"/>
            <x v="37"/>
            <x v="38"/>
            <x v="39"/>
            <x v="40"/>
            <x v="42"/>
            <x v="43"/>
            <x v="45"/>
            <x v="49"/>
            <x v="53"/>
            <x v="58"/>
            <x v="63"/>
            <x v="64"/>
            <x v="67"/>
            <x v="71"/>
            <x v="74"/>
            <x v="77"/>
            <x v="81"/>
            <x v="84"/>
            <x v="85"/>
            <x v="86"/>
            <x v="114"/>
            <x v="115"/>
            <x v="132"/>
            <x v="133"/>
            <x v="134"/>
            <x v="135"/>
            <x v="136"/>
            <x v="138"/>
            <x v="139"/>
            <x v="161"/>
          </reference>
        </references>
      </pivotArea>
    </format>
    <format dxfId="7753">
      <pivotArea dataOnly="0" labelOnly="1" outline="0" fieldPosition="0">
        <references count="3">
          <reference field="1" count="1" selected="0">
            <x v="20"/>
          </reference>
          <reference field="3" count="1" selected="0">
            <x v="10"/>
          </reference>
          <reference field="5" count="12">
            <x v="23"/>
            <x v="30"/>
            <x v="80"/>
            <x v="90"/>
            <x v="92"/>
            <x v="140"/>
            <x v="142"/>
            <x v="143"/>
            <x v="160"/>
            <x v="209"/>
            <x v="210"/>
            <x v="211"/>
          </reference>
        </references>
      </pivotArea>
    </format>
    <format dxfId="7752">
      <pivotArea dataOnly="0" labelOnly="1" outline="0" fieldPosition="0">
        <references count="3">
          <reference field="1" count="1" selected="0">
            <x v="20"/>
          </reference>
          <reference field="3" count="1" selected="0">
            <x v="11"/>
          </reference>
          <reference field="5" count="20">
            <x v="1"/>
            <x v="2"/>
            <x v="5"/>
            <x v="9"/>
            <x v="15"/>
            <x v="17"/>
            <x v="46"/>
            <x v="48"/>
            <x v="50"/>
            <x v="54"/>
            <x v="55"/>
            <x v="57"/>
            <x v="60"/>
            <x v="69"/>
            <x v="72"/>
            <x v="73"/>
            <x v="78"/>
            <x v="79"/>
            <x v="82"/>
            <x v="162"/>
          </reference>
        </references>
      </pivotArea>
    </format>
    <format dxfId="7751">
      <pivotArea dataOnly="0" labelOnly="1" outline="0" fieldPosition="0">
        <references count="3">
          <reference field="1" count="1" selected="0">
            <x v="21"/>
          </reference>
          <reference field="3" count="1" selected="0">
            <x v="1"/>
          </reference>
          <reference field="5" count="4">
            <x v="75"/>
            <x v="76"/>
            <x v="166"/>
            <x v="222"/>
          </reference>
        </references>
      </pivotArea>
    </format>
    <format dxfId="7750">
      <pivotArea dataOnly="0" labelOnly="1" outline="0" fieldPosition="0">
        <references count="3">
          <reference field="1" count="1" selected="0">
            <x v="21"/>
          </reference>
          <reference field="3" count="1" selected="0">
            <x v="4"/>
          </reference>
          <reference field="5" count="19">
            <x v="65"/>
            <x v="70"/>
            <x v="191"/>
            <x v="192"/>
            <x v="193"/>
            <x v="194"/>
            <x v="195"/>
            <x v="196"/>
            <x v="197"/>
            <x v="198"/>
            <x v="199"/>
            <x v="200"/>
            <x v="201"/>
            <x v="202"/>
            <x v="203"/>
            <x v="204"/>
            <x v="205"/>
            <x v="206"/>
            <x v="337"/>
          </reference>
        </references>
      </pivotArea>
    </format>
    <format dxfId="7749">
      <pivotArea dataOnly="0" labelOnly="1" outline="0" fieldPosition="0">
        <references count="3">
          <reference field="1" count="1" selected="0">
            <x v="21"/>
          </reference>
          <reference field="3" count="1" selected="0">
            <x v="5"/>
          </reference>
          <reference field="5" count="39">
            <x v="24"/>
            <x v="25"/>
            <x v="28"/>
            <x v="33"/>
            <x v="88"/>
            <x v="96"/>
            <x v="97"/>
            <x v="98"/>
            <x v="99"/>
            <x v="100"/>
            <x v="101"/>
            <x v="102"/>
            <x v="103"/>
            <x v="104"/>
            <x v="111"/>
            <x v="112"/>
            <x v="116"/>
            <x v="117"/>
            <x v="141"/>
            <x v="147"/>
            <x v="148"/>
            <x v="149"/>
            <x v="150"/>
            <x v="151"/>
            <x v="152"/>
            <x v="153"/>
            <x v="154"/>
            <x v="168"/>
            <x v="212"/>
            <x v="213"/>
            <x v="214"/>
            <x v="215"/>
            <x v="216"/>
            <x v="217"/>
            <x v="218"/>
            <x v="219"/>
            <x v="220"/>
            <x v="221"/>
            <x v="321"/>
          </reference>
        </references>
      </pivotArea>
    </format>
    <format dxfId="7748">
      <pivotArea dataOnly="0" labelOnly="1" outline="0" fieldPosition="0">
        <references count="3">
          <reference field="1" count="1" selected="0">
            <x v="21"/>
          </reference>
          <reference field="3" count="1" selected="0">
            <x v="7"/>
          </reference>
          <reference field="5" count="50">
            <x v="6"/>
            <x v="7"/>
            <x v="16"/>
            <x v="20"/>
            <x v="22"/>
            <x v="27"/>
            <x v="32"/>
            <x v="34"/>
            <x v="36"/>
            <x v="47"/>
            <x v="51"/>
            <x v="52"/>
            <x v="56"/>
            <x v="61"/>
            <x v="66"/>
            <x v="68"/>
            <x v="83"/>
            <x v="94"/>
            <x v="95"/>
            <x v="107"/>
            <x v="108"/>
            <x v="109"/>
            <x v="110"/>
            <x v="113"/>
            <x v="118"/>
            <x v="119"/>
            <x v="120"/>
            <x v="121"/>
            <x v="122"/>
            <x v="123"/>
            <x v="124"/>
            <x v="125"/>
            <x v="126"/>
            <x v="127"/>
            <x v="128"/>
            <x v="129"/>
            <x v="130"/>
            <x v="137"/>
            <x v="145"/>
            <x v="146"/>
            <x v="155"/>
            <x v="156"/>
            <x v="163"/>
            <x v="170"/>
            <x v="172"/>
            <x v="175"/>
            <x v="177"/>
            <x v="180"/>
            <x v="182"/>
            <x v="183"/>
          </reference>
        </references>
      </pivotArea>
    </format>
    <format dxfId="7747">
      <pivotArea dataOnly="0" labelOnly="1" outline="0" fieldPosition="0">
        <references count="3">
          <reference field="1" count="1" selected="0">
            <x v="21"/>
          </reference>
          <reference field="3" count="1" selected="0">
            <x v="7"/>
          </reference>
          <reference field="5" count="36">
            <x v="3"/>
            <x v="21"/>
            <x v="29"/>
            <x v="41"/>
            <x v="44"/>
            <x v="59"/>
            <x v="62"/>
            <x v="87"/>
            <x v="89"/>
            <x v="91"/>
            <x v="93"/>
            <x v="105"/>
            <x v="106"/>
            <x v="144"/>
            <x v="157"/>
            <x v="158"/>
            <x v="159"/>
            <x v="164"/>
            <x v="165"/>
            <x v="167"/>
            <x v="169"/>
            <x v="171"/>
            <x v="173"/>
            <x v="174"/>
            <x v="176"/>
            <x v="178"/>
            <x v="179"/>
            <x v="181"/>
            <x v="184"/>
            <x v="185"/>
            <x v="186"/>
            <x v="187"/>
            <x v="188"/>
            <x v="189"/>
            <x v="190"/>
            <x v="207"/>
          </reference>
        </references>
      </pivotArea>
    </format>
    <format dxfId="7746">
      <pivotArea dataOnly="0" labelOnly="1" outline="0" fieldPosition="0">
        <references count="3">
          <reference field="1" count="1" selected="0">
            <x v="21"/>
          </reference>
          <reference field="3" count="1" selected="0">
            <x v="9"/>
          </reference>
          <reference field="5" count="44">
            <x v="0"/>
            <x v="4"/>
            <x v="8"/>
            <x v="10"/>
            <x v="11"/>
            <x v="12"/>
            <x v="13"/>
            <x v="14"/>
            <x v="18"/>
            <x v="19"/>
            <x v="26"/>
            <x v="31"/>
            <x v="35"/>
            <x v="37"/>
            <x v="38"/>
            <x v="39"/>
            <x v="40"/>
            <x v="42"/>
            <x v="43"/>
            <x v="45"/>
            <x v="49"/>
            <x v="53"/>
            <x v="58"/>
            <x v="63"/>
            <x v="64"/>
            <x v="67"/>
            <x v="71"/>
            <x v="74"/>
            <x v="77"/>
            <x v="80"/>
            <x v="81"/>
            <x v="84"/>
            <x v="85"/>
            <x v="86"/>
            <x v="114"/>
            <x v="115"/>
            <x v="132"/>
            <x v="133"/>
            <x v="134"/>
            <x v="135"/>
            <x v="136"/>
            <x v="138"/>
            <x v="139"/>
            <x v="161"/>
          </reference>
        </references>
      </pivotArea>
    </format>
    <format dxfId="7745">
      <pivotArea dataOnly="0" labelOnly="1" outline="0" fieldPosition="0">
        <references count="3">
          <reference field="1" count="1" selected="0">
            <x v="21"/>
          </reference>
          <reference field="3" count="1" selected="0">
            <x v="10"/>
          </reference>
          <reference field="5" count="11">
            <x v="23"/>
            <x v="30"/>
            <x v="90"/>
            <x v="92"/>
            <x v="140"/>
            <x v="142"/>
            <x v="143"/>
            <x v="160"/>
            <x v="209"/>
            <x v="210"/>
            <x v="211"/>
          </reference>
        </references>
      </pivotArea>
    </format>
    <format dxfId="7744">
      <pivotArea dataOnly="0" labelOnly="1" outline="0" fieldPosition="0">
        <references count="3">
          <reference field="1" count="1" selected="0">
            <x v="21"/>
          </reference>
          <reference field="3" count="1" selected="0">
            <x v="11"/>
          </reference>
          <reference field="5" count="20">
            <x v="1"/>
            <x v="2"/>
            <x v="5"/>
            <x v="9"/>
            <x v="15"/>
            <x v="17"/>
            <x v="46"/>
            <x v="48"/>
            <x v="50"/>
            <x v="54"/>
            <x v="55"/>
            <x v="57"/>
            <x v="60"/>
            <x v="69"/>
            <x v="72"/>
            <x v="73"/>
            <x v="78"/>
            <x v="79"/>
            <x v="82"/>
            <x v="162"/>
          </reference>
        </references>
      </pivotArea>
    </format>
    <format dxfId="7743">
      <pivotArea dataOnly="0" labelOnly="1" outline="0" fieldPosition="0">
        <references count="3">
          <reference field="1" count="1" selected="0">
            <x v="22"/>
          </reference>
          <reference field="3" count="1" selected="0">
            <x v="1"/>
          </reference>
          <reference field="5" count="4">
            <x v="75"/>
            <x v="76"/>
            <x v="166"/>
            <x v="222"/>
          </reference>
        </references>
      </pivotArea>
    </format>
    <format dxfId="7742">
      <pivotArea dataOnly="0" labelOnly="1" outline="0" fieldPosition="0">
        <references count="3">
          <reference field="1" count="1" selected="0">
            <x v="22"/>
          </reference>
          <reference field="3" count="1" selected="0">
            <x v="4"/>
          </reference>
          <reference field="5" count="19">
            <x v="65"/>
            <x v="70"/>
            <x v="191"/>
            <x v="192"/>
            <x v="193"/>
            <x v="194"/>
            <x v="195"/>
            <x v="196"/>
            <x v="197"/>
            <x v="198"/>
            <x v="199"/>
            <x v="200"/>
            <x v="201"/>
            <x v="202"/>
            <x v="203"/>
            <x v="204"/>
            <x v="205"/>
            <x v="206"/>
            <x v="337"/>
          </reference>
        </references>
      </pivotArea>
    </format>
    <format dxfId="7741">
      <pivotArea dataOnly="0" labelOnly="1" outline="0" fieldPosition="0">
        <references count="3">
          <reference field="1" count="1" selected="0">
            <x v="22"/>
          </reference>
          <reference field="3" count="1" selected="0">
            <x v="5"/>
          </reference>
          <reference field="5" count="44">
            <x v="3"/>
            <x v="24"/>
            <x v="25"/>
            <x v="28"/>
            <x v="33"/>
            <x v="41"/>
            <x v="44"/>
            <x v="66"/>
            <x v="88"/>
            <x v="96"/>
            <x v="97"/>
            <x v="98"/>
            <x v="99"/>
            <x v="100"/>
            <x v="101"/>
            <x v="102"/>
            <x v="103"/>
            <x v="104"/>
            <x v="111"/>
            <x v="112"/>
            <x v="116"/>
            <x v="117"/>
            <x v="128"/>
            <x v="141"/>
            <x v="147"/>
            <x v="148"/>
            <x v="149"/>
            <x v="150"/>
            <x v="151"/>
            <x v="152"/>
            <x v="153"/>
            <x v="154"/>
            <x v="168"/>
            <x v="212"/>
            <x v="213"/>
            <x v="214"/>
            <x v="215"/>
            <x v="216"/>
            <x v="217"/>
            <x v="218"/>
            <x v="219"/>
            <x v="220"/>
            <x v="221"/>
            <x v="321"/>
          </reference>
        </references>
      </pivotArea>
    </format>
    <format dxfId="7740">
      <pivotArea dataOnly="0" labelOnly="1" outline="0" fieldPosition="0">
        <references count="3">
          <reference field="1" count="1" selected="0">
            <x v="22"/>
          </reference>
          <reference field="3" count="1" selected="0">
            <x v="7"/>
          </reference>
          <reference field="5" count="50">
            <x v="6"/>
            <x v="7"/>
            <x v="16"/>
            <x v="20"/>
            <x v="22"/>
            <x v="27"/>
            <x v="32"/>
            <x v="34"/>
            <x v="36"/>
            <x v="47"/>
            <x v="51"/>
            <x v="52"/>
            <x v="56"/>
            <x v="61"/>
            <x v="68"/>
            <x v="83"/>
            <x v="94"/>
            <x v="95"/>
            <x v="107"/>
            <x v="108"/>
            <x v="109"/>
            <x v="110"/>
            <x v="113"/>
            <x v="118"/>
            <x v="119"/>
            <x v="120"/>
            <x v="121"/>
            <x v="122"/>
            <x v="123"/>
            <x v="124"/>
            <x v="125"/>
            <x v="126"/>
            <x v="127"/>
            <x v="129"/>
            <x v="130"/>
            <x v="137"/>
            <x v="145"/>
            <x v="146"/>
            <x v="155"/>
            <x v="156"/>
            <x v="163"/>
            <x v="170"/>
            <x v="172"/>
            <x v="175"/>
            <x v="177"/>
            <x v="180"/>
            <x v="182"/>
            <x v="183"/>
            <x v="184"/>
            <x v="185"/>
          </reference>
        </references>
      </pivotArea>
    </format>
    <format dxfId="7739">
      <pivotArea dataOnly="0" labelOnly="1" outline="0" fieldPosition="0">
        <references count="3">
          <reference field="1" count="1" selected="0">
            <x v="22"/>
          </reference>
          <reference field="3" count="1" selected="0">
            <x v="7"/>
          </reference>
          <reference field="5" count="31">
            <x v="21"/>
            <x v="29"/>
            <x v="59"/>
            <x v="62"/>
            <x v="87"/>
            <x v="89"/>
            <x v="91"/>
            <x v="93"/>
            <x v="105"/>
            <x v="106"/>
            <x v="144"/>
            <x v="157"/>
            <x v="158"/>
            <x v="159"/>
            <x v="164"/>
            <x v="165"/>
            <x v="167"/>
            <x v="169"/>
            <x v="171"/>
            <x v="173"/>
            <x v="174"/>
            <x v="176"/>
            <x v="178"/>
            <x v="179"/>
            <x v="181"/>
            <x v="186"/>
            <x v="187"/>
            <x v="188"/>
            <x v="189"/>
            <x v="190"/>
            <x v="207"/>
          </reference>
        </references>
      </pivotArea>
    </format>
    <format dxfId="7738">
      <pivotArea dataOnly="0" labelOnly="1" outline="0" fieldPosition="0">
        <references count="3">
          <reference field="1" count="1" selected="0">
            <x v="22"/>
          </reference>
          <reference field="3" count="1" selected="0">
            <x v="9"/>
          </reference>
          <reference field="5" count="43">
            <x v="0"/>
            <x v="4"/>
            <x v="8"/>
            <x v="10"/>
            <x v="11"/>
            <x v="12"/>
            <x v="13"/>
            <x v="14"/>
            <x v="18"/>
            <x v="19"/>
            <x v="26"/>
            <x v="31"/>
            <x v="35"/>
            <x v="37"/>
            <x v="38"/>
            <x v="39"/>
            <x v="40"/>
            <x v="42"/>
            <x v="43"/>
            <x v="45"/>
            <x v="49"/>
            <x v="53"/>
            <x v="58"/>
            <x v="63"/>
            <x v="64"/>
            <x v="67"/>
            <x v="71"/>
            <x v="74"/>
            <x v="77"/>
            <x v="81"/>
            <x v="84"/>
            <x v="85"/>
            <x v="86"/>
            <x v="114"/>
            <x v="115"/>
            <x v="132"/>
            <x v="133"/>
            <x v="134"/>
            <x v="135"/>
            <x v="136"/>
            <x v="138"/>
            <x v="139"/>
            <x v="161"/>
          </reference>
        </references>
      </pivotArea>
    </format>
    <format dxfId="7737">
      <pivotArea dataOnly="0" labelOnly="1" outline="0" fieldPosition="0">
        <references count="3">
          <reference field="1" count="1" selected="0">
            <x v="22"/>
          </reference>
          <reference field="3" count="1" selected="0">
            <x v="10"/>
          </reference>
          <reference field="5" count="12">
            <x v="23"/>
            <x v="30"/>
            <x v="80"/>
            <x v="90"/>
            <x v="92"/>
            <x v="140"/>
            <x v="142"/>
            <x v="143"/>
            <x v="160"/>
            <x v="209"/>
            <x v="210"/>
            <x v="211"/>
          </reference>
        </references>
      </pivotArea>
    </format>
    <format dxfId="7736">
      <pivotArea dataOnly="0" labelOnly="1" outline="0" fieldPosition="0">
        <references count="3">
          <reference field="1" count="1" selected="0">
            <x v="22"/>
          </reference>
          <reference field="3" count="1" selected="0">
            <x v="11"/>
          </reference>
          <reference field="5" count="20">
            <x v="1"/>
            <x v="2"/>
            <x v="5"/>
            <x v="9"/>
            <x v="15"/>
            <x v="17"/>
            <x v="46"/>
            <x v="48"/>
            <x v="50"/>
            <x v="54"/>
            <x v="55"/>
            <x v="57"/>
            <x v="60"/>
            <x v="69"/>
            <x v="72"/>
            <x v="73"/>
            <x v="78"/>
            <x v="79"/>
            <x v="82"/>
            <x v="162"/>
          </reference>
        </references>
      </pivotArea>
    </format>
    <format dxfId="7735">
      <pivotArea dataOnly="0" labelOnly="1" outline="0" fieldPosition="0">
        <references count="3">
          <reference field="1" count="1" selected="0">
            <x v="23"/>
          </reference>
          <reference field="3" count="1" selected="0">
            <x v="1"/>
          </reference>
          <reference field="5" count="4">
            <x v="75"/>
            <x v="76"/>
            <x v="166"/>
            <x v="222"/>
          </reference>
        </references>
      </pivotArea>
    </format>
    <format dxfId="7734">
      <pivotArea dataOnly="0" labelOnly="1" outline="0" fieldPosition="0">
        <references count="3">
          <reference field="1" count="1" selected="0">
            <x v="23"/>
          </reference>
          <reference field="3" count="1" selected="0">
            <x v="4"/>
          </reference>
          <reference field="5" count="19">
            <x v="65"/>
            <x v="70"/>
            <x v="191"/>
            <x v="192"/>
            <x v="193"/>
            <x v="194"/>
            <x v="195"/>
            <x v="196"/>
            <x v="197"/>
            <x v="198"/>
            <x v="199"/>
            <x v="200"/>
            <x v="201"/>
            <x v="202"/>
            <x v="203"/>
            <x v="204"/>
            <x v="205"/>
            <x v="206"/>
            <x v="337"/>
          </reference>
        </references>
      </pivotArea>
    </format>
    <format dxfId="7733">
      <pivotArea dataOnly="0" labelOnly="1" outline="0" fieldPosition="0">
        <references count="3">
          <reference field="1" count="1" selected="0">
            <x v="23"/>
          </reference>
          <reference field="3" count="1" selected="0">
            <x v="5"/>
          </reference>
          <reference field="5" count="39">
            <x v="24"/>
            <x v="25"/>
            <x v="28"/>
            <x v="33"/>
            <x v="88"/>
            <x v="96"/>
            <x v="97"/>
            <x v="98"/>
            <x v="99"/>
            <x v="100"/>
            <x v="101"/>
            <x v="102"/>
            <x v="103"/>
            <x v="104"/>
            <x v="111"/>
            <x v="112"/>
            <x v="116"/>
            <x v="117"/>
            <x v="141"/>
            <x v="147"/>
            <x v="148"/>
            <x v="149"/>
            <x v="150"/>
            <x v="151"/>
            <x v="152"/>
            <x v="153"/>
            <x v="154"/>
            <x v="168"/>
            <x v="212"/>
            <x v="213"/>
            <x v="214"/>
            <x v="215"/>
            <x v="216"/>
            <x v="217"/>
            <x v="218"/>
            <x v="219"/>
            <x v="220"/>
            <x v="221"/>
            <x v="321"/>
          </reference>
        </references>
      </pivotArea>
    </format>
    <format dxfId="7732">
      <pivotArea dataOnly="0" labelOnly="1" outline="0" fieldPosition="0">
        <references count="3">
          <reference field="1" count="1" selected="0">
            <x v="23"/>
          </reference>
          <reference field="3" count="1" selected="0">
            <x v="7"/>
          </reference>
          <reference field="5" count="50">
            <x v="6"/>
            <x v="7"/>
            <x v="16"/>
            <x v="20"/>
            <x v="22"/>
            <x v="27"/>
            <x v="32"/>
            <x v="34"/>
            <x v="36"/>
            <x v="47"/>
            <x v="51"/>
            <x v="52"/>
            <x v="56"/>
            <x v="61"/>
            <x v="66"/>
            <x v="68"/>
            <x v="83"/>
            <x v="94"/>
            <x v="95"/>
            <x v="107"/>
            <x v="108"/>
            <x v="109"/>
            <x v="110"/>
            <x v="113"/>
            <x v="118"/>
            <x v="119"/>
            <x v="120"/>
            <x v="121"/>
            <x v="122"/>
            <x v="123"/>
            <x v="124"/>
            <x v="125"/>
            <x v="126"/>
            <x v="127"/>
            <x v="128"/>
            <x v="129"/>
            <x v="130"/>
            <x v="137"/>
            <x v="145"/>
            <x v="146"/>
            <x v="155"/>
            <x v="156"/>
            <x v="163"/>
            <x v="170"/>
            <x v="172"/>
            <x v="175"/>
            <x v="177"/>
            <x v="180"/>
            <x v="182"/>
            <x v="183"/>
          </reference>
        </references>
      </pivotArea>
    </format>
    <format dxfId="7731">
      <pivotArea dataOnly="0" labelOnly="1" outline="0" fieldPosition="0">
        <references count="3">
          <reference field="1" count="1" selected="0">
            <x v="23"/>
          </reference>
          <reference field="3" count="1" selected="0">
            <x v="7"/>
          </reference>
          <reference field="5" count="36">
            <x v="3"/>
            <x v="21"/>
            <x v="29"/>
            <x v="41"/>
            <x v="44"/>
            <x v="59"/>
            <x v="62"/>
            <x v="87"/>
            <x v="89"/>
            <x v="91"/>
            <x v="93"/>
            <x v="105"/>
            <x v="106"/>
            <x v="144"/>
            <x v="157"/>
            <x v="158"/>
            <x v="159"/>
            <x v="164"/>
            <x v="165"/>
            <x v="167"/>
            <x v="169"/>
            <x v="171"/>
            <x v="173"/>
            <x v="174"/>
            <x v="176"/>
            <x v="178"/>
            <x v="179"/>
            <x v="181"/>
            <x v="184"/>
            <x v="185"/>
            <x v="186"/>
            <x v="187"/>
            <x v="188"/>
            <x v="189"/>
            <x v="190"/>
            <x v="207"/>
          </reference>
        </references>
      </pivotArea>
    </format>
    <format dxfId="7730">
      <pivotArea dataOnly="0" labelOnly="1" outline="0" fieldPosition="0">
        <references count="3">
          <reference field="1" count="1" selected="0">
            <x v="23"/>
          </reference>
          <reference field="3" count="1" selected="0">
            <x v="9"/>
          </reference>
          <reference field="5" count="43">
            <x v="0"/>
            <x v="4"/>
            <x v="8"/>
            <x v="10"/>
            <x v="11"/>
            <x v="12"/>
            <x v="13"/>
            <x v="14"/>
            <x v="18"/>
            <x v="19"/>
            <x v="26"/>
            <x v="31"/>
            <x v="35"/>
            <x v="37"/>
            <x v="38"/>
            <x v="39"/>
            <x v="40"/>
            <x v="42"/>
            <x v="43"/>
            <x v="45"/>
            <x v="49"/>
            <x v="53"/>
            <x v="58"/>
            <x v="63"/>
            <x v="64"/>
            <x v="67"/>
            <x v="71"/>
            <x v="74"/>
            <x v="77"/>
            <x v="81"/>
            <x v="84"/>
            <x v="85"/>
            <x v="86"/>
            <x v="114"/>
            <x v="115"/>
            <x v="132"/>
            <x v="133"/>
            <x v="134"/>
            <x v="135"/>
            <x v="136"/>
            <x v="138"/>
            <x v="139"/>
            <x v="161"/>
          </reference>
        </references>
      </pivotArea>
    </format>
    <format dxfId="7729">
      <pivotArea dataOnly="0" labelOnly="1" outline="0" fieldPosition="0">
        <references count="3">
          <reference field="1" count="1" selected="0">
            <x v="23"/>
          </reference>
          <reference field="3" count="1" selected="0">
            <x v="10"/>
          </reference>
          <reference field="5" count="12">
            <x v="23"/>
            <x v="30"/>
            <x v="80"/>
            <x v="90"/>
            <x v="92"/>
            <x v="140"/>
            <x v="142"/>
            <x v="143"/>
            <x v="160"/>
            <x v="209"/>
            <x v="210"/>
            <x v="211"/>
          </reference>
        </references>
      </pivotArea>
    </format>
    <format dxfId="7728">
      <pivotArea dataOnly="0" labelOnly="1" outline="0" fieldPosition="0">
        <references count="3">
          <reference field="1" count="1" selected="0">
            <x v="23"/>
          </reference>
          <reference field="3" count="1" selected="0">
            <x v="11"/>
          </reference>
          <reference field="5" count="20">
            <x v="1"/>
            <x v="2"/>
            <x v="5"/>
            <x v="9"/>
            <x v="15"/>
            <x v="17"/>
            <x v="46"/>
            <x v="48"/>
            <x v="50"/>
            <x v="54"/>
            <x v="55"/>
            <x v="57"/>
            <x v="60"/>
            <x v="69"/>
            <x v="72"/>
            <x v="73"/>
            <x v="78"/>
            <x v="79"/>
            <x v="82"/>
            <x v="162"/>
          </reference>
        </references>
      </pivotArea>
    </format>
    <format dxfId="7727">
      <pivotArea dataOnly="0" labelOnly="1" outline="0" fieldPosition="0">
        <references count="3">
          <reference field="1" count="1" selected="0">
            <x v="24"/>
          </reference>
          <reference field="3" count="1" selected="0">
            <x v="1"/>
          </reference>
          <reference field="5" count="4">
            <x v="75"/>
            <x v="76"/>
            <x v="166"/>
            <x v="222"/>
          </reference>
        </references>
      </pivotArea>
    </format>
    <format dxfId="7726">
      <pivotArea dataOnly="0" labelOnly="1" outline="0" fieldPosition="0">
        <references count="3">
          <reference field="1" count="1" selected="0">
            <x v="24"/>
          </reference>
          <reference field="3" count="1" selected="0">
            <x v="4"/>
          </reference>
          <reference field="5" count="19">
            <x v="65"/>
            <x v="70"/>
            <x v="191"/>
            <x v="192"/>
            <x v="193"/>
            <x v="194"/>
            <x v="195"/>
            <x v="196"/>
            <x v="197"/>
            <x v="198"/>
            <x v="199"/>
            <x v="200"/>
            <x v="201"/>
            <x v="202"/>
            <x v="203"/>
            <x v="204"/>
            <x v="205"/>
            <x v="206"/>
            <x v="337"/>
          </reference>
        </references>
      </pivotArea>
    </format>
    <format dxfId="7725">
      <pivotArea dataOnly="0" labelOnly="1" outline="0" fieldPosition="0">
        <references count="3">
          <reference field="1" count="1" selected="0">
            <x v="24"/>
          </reference>
          <reference field="3" count="1" selected="0">
            <x v="5"/>
          </reference>
          <reference field="5" count="39">
            <x v="24"/>
            <x v="25"/>
            <x v="28"/>
            <x v="33"/>
            <x v="88"/>
            <x v="96"/>
            <x v="97"/>
            <x v="98"/>
            <x v="99"/>
            <x v="100"/>
            <x v="101"/>
            <x v="102"/>
            <x v="103"/>
            <x v="104"/>
            <x v="111"/>
            <x v="112"/>
            <x v="116"/>
            <x v="117"/>
            <x v="141"/>
            <x v="147"/>
            <x v="148"/>
            <x v="149"/>
            <x v="150"/>
            <x v="151"/>
            <x v="152"/>
            <x v="153"/>
            <x v="154"/>
            <x v="168"/>
            <x v="212"/>
            <x v="213"/>
            <x v="214"/>
            <x v="215"/>
            <x v="216"/>
            <x v="217"/>
            <x v="218"/>
            <x v="219"/>
            <x v="220"/>
            <x v="221"/>
            <x v="321"/>
          </reference>
        </references>
      </pivotArea>
    </format>
    <format dxfId="7724">
      <pivotArea dataOnly="0" labelOnly="1" outline="0" fieldPosition="0">
        <references count="3">
          <reference field="1" count="1" selected="0">
            <x v="24"/>
          </reference>
          <reference field="3" count="1" selected="0">
            <x v="7"/>
          </reference>
          <reference field="5" count="50">
            <x v="6"/>
            <x v="7"/>
            <x v="16"/>
            <x v="20"/>
            <x v="22"/>
            <x v="27"/>
            <x v="32"/>
            <x v="34"/>
            <x v="36"/>
            <x v="47"/>
            <x v="51"/>
            <x v="52"/>
            <x v="56"/>
            <x v="61"/>
            <x v="66"/>
            <x v="68"/>
            <x v="83"/>
            <x v="94"/>
            <x v="95"/>
            <x v="107"/>
            <x v="108"/>
            <x v="109"/>
            <x v="110"/>
            <x v="113"/>
            <x v="118"/>
            <x v="119"/>
            <x v="120"/>
            <x v="121"/>
            <x v="122"/>
            <x v="123"/>
            <x v="124"/>
            <x v="125"/>
            <x v="126"/>
            <x v="127"/>
            <x v="128"/>
            <x v="129"/>
            <x v="130"/>
            <x v="137"/>
            <x v="145"/>
            <x v="146"/>
            <x v="155"/>
            <x v="156"/>
            <x v="163"/>
            <x v="170"/>
            <x v="172"/>
            <x v="175"/>
            <x v="177"/>
            <x v="180"/>
            <x v="182"/>
            <x v="183"/>
          </reference>
        </references>
      </pivotArea>
    </format>
    <format dxfId="7723">
      <pivotArea dataOnly="0" labelOnly="1" outline="0" fieldPosition="0">
        <references count="3">
          <reference field="1" count="1" selected="0">
            <x v="24"/>
          </reference>
          <reference field="3" count="1" selected="0">
            <x v="7"/>
          </reference>
          <reference field="5" count="36">
            <x v="3"/>
            <x v="21"/>
            <x v="29"/>
            <x v="41"/>
            <x v="44"/>
            <x v="59"/>
            <x v="62"/>
            <x v="87"/>
            <x v="89"/>
            <x v="91"/>
            <x v="93"/>
            <x v="105"/>
            <x v="106"/>
            <x v="144"/>
            <x v="157"/>
            <x v="158"/>
            <x v="159"/>
            <x v="164"/>
            <x v="165"/>
            <x v="167"/>
            <x v="169"/>
            <x v="171"/>
            <x v="173"/>
            <x v="174"/>
            <x v="176"/>
            <x v="178"/>
            <x v="179"/>
            <x v="181"/>
            <x v="184"/>
            <x v="185"/>
            <x v="186"/>
            <x v="187"/>
            <x v="188"/>
            <x v="189"/>
            <x v="190"/>
            <x v="207"/>
          </reference>
        </references>
      </pivotArea>
    </format>
    <format dxfId="7722">
      <pivotArea dataOnly="0" labelOnly="1" outline="0" fieldPosition="0">
        <references count="3">
          <reference field="1" count="1" selected="0">
            <x v="24"/>
          </reference>
          <reference field="3" count="1" selected="0">
            <x v="9"/>
          </reference>
          <reference field="5" count="43">
            <x v="0"/>
            <x v="4"/>
            <x v="8"/>
            <x v="10"/>
            <x v="11"/>
            <x v="12"/>
            <x v="13"/>
            <x v="14"/>
            <x v="18"/>
            <x v="19"/>
            <x v="26"/>
            <x v="31"/>
            <x v="35"/>
            <x v="37"/>
            <x v="38"/>
            <x v="39"/>
            <x v="40"/>
            <x v="42"/>
            <x v="43"/>
            <x v="45"/>
            <x v="49"/>
            <x v="53"/>
            <x v="58"/>
            <x v="63"/>
            <x v="64"/>
            <x v="67"/>
            <x v="71"/>
            <x v="74"/>
            <x v="77"/>
            <x v="81"/>
            <x v="84"/>
            <x v="85"/>
            <x v="86"/>
            <x v="114"/>
            <x v="115"/>
            <x v="132"/>
            <x v="133"/>
            <x v="134"/>
            <x v="135"/>
            <x v="136"/>
            <x v="138"/>
            <x v="139"/>
            <x v="161"/>
          </reference>
        </references>
      </pivotArea>
    </format>
    <format dxfId="7721">
      <pivotArea dataOnly="0" labelOnly="1" outline="0" fieldPosition="0">
        <references count="3">
          <reference field="1" count="1" selected="0">
            <x v="24"/>
          </reference>
          <reference field="3" count="1" selected="0">
            <x v="10"/>
          </reference>
          <reference field="5" count="12">
            <x v="23"/>
            <x v="30"/>
            <x v="80"/>
            <x v="90"/>
            <x v="92"/>
            <x v="140"/>
            <x v="142"/>
            <x v="143"/>
            <x v="160"/>
            <x v="209"/>
            <x v="210"/>
            <x v="211"/>
          </reference>
        </references>
      </pivotArea>
    </format>
    <format dxfId="7720">
      <pivotArea dataOnly="0" labelOnly="1" outline="0" fieldPosition="0">
        <references count="3">
          <reference field="1" count="1" selected="0">
            <x v="24"/>
          </reference>
          <reference field="3" count="1" selected="0">
            <x v="11"/>
          </reference>
          <reference field="5" count="20">
            <x v="1"/>
            <x v="2"/>
            <x v="5"/>
            <x v="9"/>
            <x v="15"/>
            <x v="17"/>
            <x v="46"/>
            <x v="48"/>
            <x v="50"/>
            <x v="54"/>
            <x v="55"/>
            <x v="57"/>
            <x v="60"/>
            <x v="69"/>
            <x v="72"/>
            <x v="73"/>
            <x v="78"/>
            <x v="79"/>
            <x v="82"/>
            <x v="162"/>
          </reference>
        </references>
      </pivotArea>
    </format>
    <format dxfId="7719">
      <pivotArea dataOnly="0" labelOnly="1" outline="0" fieldPosition="0">
        <references count="3">
          <reference field="1" count="1" selected="0">
            <x v="25"/>
          </reference>
          <reference field="3" count="1" selected="0">
            <x v="1"/>
          </reference>
          <reference field="5" count="4">
            <x v="75"/>
            <x v="76"/>
            <x v="166"/>
            <x v="222"/>
          </reference>
        </references>
      </pivotArea>
    </format>
    <format dxfId="7718">
      <pivotArea dataOnly="0" labelOnly="1" outline="0" fieldPosition="0">
        <references count="3">
          <reference field="1" count="1" selected="0">
            <x v="25"/>
          </reference>
          <reference field="3" count="1" selected="0">
            <x v="4"/>
          </reference>
          <reference field="5" count="19">
            <x v="65"/>
            <x v="70"/>
            <x v="191"/>
            <x v="192"/>
            <x v="193"/>
            <x v="194"/>
            <x v="195"/>
            <x v="196"/>
            <x v="197"/>
            <x v="198"/>
            <x v="199"/>
            <x v="200"/>
            <x v="201"/>
            <x v="202"/>
            <x v="203"/>
            <x v="204"/>
            <x v="205"/>
            <x v="206"/>
            <x v="337"/>
          </reference>
        </references>
      </pivotArea>
    </format>
    <format dxfId="7717">
      <pivotArea dataOnly="0" labelOnly="1" outline="0" fieldPosition="0">
        <references count="3">
          <reference field="1" count="1" selected="0">
            <x v="25"/>
          </reference>
          <reference field="3" count="1" selected="0">
            <x v="5"/>
          </reference>
          <reference field="5" count="39">
            <x v="24"/>
            <x v="25"/>
            <x v="28"/>
            <x v="33"/>
            <x v="88"/>
            <x v="96"/>
            <x v="97"/>
            <x v="98"/>
            <x v="99"/>
            <x v="100"/>
            <x v="101"/>
            <x v="102"/>
            <x v="103"/>
            <x v="104"/>
            <x v="111"/>
            <x v="112"/>
            <x v="116"/>
            <x v="117"/>
            <x v="141"/>
            <x v="147"/>
            <x v="148"/>
            <x v="149"/>
            <x v="150"/>
            <x v="151"/>
            <x v="152"/>
            <x v="153"/>
            <x v="154"/>
            <x v="168"/>
            <x v="212"/>
            <x v="213"/>
            <x v="214"/>
            <x v="215"/>
            <x v="216"/>
            <x v="217"/>
            <x v="218"/>
            <x v="219"/>
            <x v="220"/>
            <x v="221"/>
            <x v="321"/>
          </reference>
        </references>
      </pivotArea>
    </format>
    <format dxfId="7716">
      <pivotArea dataOnly="0" labelOnly="1" outline="0" fieldPosition="0">
        <references count="3">
          <reference field="1" count="1" selected="0">
            <x v="25"/>
          </reference>
          <reference field="3" count="1" selected="0">
            <x v="7"/>
          </reference>
          <reference field="5" count="50">
            <x v="6"/>
            <x v="7"/>
            <x v="16"/>
            <x v="20"/>
            <x v="22"/>
            <x v="27"/>
            <x v="32"/>
            <x v="34"/>
            <x v="36"/>
            <x v="47"/>
            <x v="51"/>
            <x v="52"/>
            <x v="56"/>
            <x v="61"/>
            <x v="66"/>
            <x v="68"/>
            <x v="83"/>
            <x v="94"/>
            <x v="95"/>
            <x v="107"/>
            <x v="108"/>
            <x v="109"/>
            <x v="110"/>
            <x v="113"/>
            <x v="118"/>
            <x v="119"/>
            <x v="120"/>
            <x v="121"/>
            <x v="122"/>
            <x v="123"/>
            <x v="124"/>
            <x v="125"/>
            <x v="126"/>
            <x v="127"/>
            <x v="128"/>
            <x v="129"/>
            <x v="130"/>
            <x v="137"/>
            <x v="145"/>
            <x v="146"/>
            <x v="155"/>
            <x v="156"/>
            <x v="163"/>
            <x v="170"/>
            <x v="172"/>
            <x v="175"/>
            <x v="177"/>
            <x v="180"/>
            <x v="182"/>
            <x v="183"/>
          </reference>
        </references>
      </pivotArea>
    </format>
    <format dxfId="7715">
      <pivotArea dataOnly="0" labelOnly="1" outline="0" fieldPosition="0">
        <references count="3">
          <reference field="1" count="1" selected="0">
            <x v="25"/>
          </reference>
          <reference field="3" count="1" selected="0">
            <x v="7"/>
          </reference>
          <reference field="5" count="36">
            <x v="3"/>
            <x v="21"/>
            <x v="29"/>
            <x v="41"/>
            <x v="44"/>
            <x v="59"/>
            <x v="62"/>
            <x v="87"/>
            <x v="89"/>
            <x v="91"/>
            <x v="93"/>
            <x v="105"/>
            <x v="106"/>
            <x v="144"/>
            <x v="157"/>
            <x v="158"/>
            <x v="159"/>
            <x v="164"/>
            <x v="165"/>
            <x v="167"/>
            <x v="169"/>
            <x v="171"/>
            <x v="173"/>
            <x v="174"/>
            <x v="176"/>
            <x v="178"/>
            <x v="179"/>
            <x v="181"/>
            <x v="184"/>
            <x v="185"/>
            <x v="186"/>
            <x v="187"/>
            <x v="188"/>
            <x v="189"/>
            <x v="190"/>
            <x v="207"/>
          </reference>
        </references>
      </pivotArea>
    </format>
    <format dxfId="7714">
      <pivotArea dataOnly="0" labelOnly="1" outline="0" fieldPosition="0">
        <references count="3">
          <reference field="1" count="1" selected="0">
            <x v="25"/>
          </reference>
          <reference field="3" count="1" selected="0">
            <x v="9"/>
          </reference>
          <reference field="5" count="43">
            <x v="0"/>
            <x v="4"/>
            <x v="8"/>
            <x v="10"/>
            <x v="11"/>
            <x v="12"/>
            <x v="13"/>
            <x v="14"/>
            <x v="18"/>
            <x v="19"/>
            <x v="26"/>
            <x v="31"/>
            <x v="35"/>
            <x v="37"/>
            <x v="38"/>
            <x v="39"/>
            <x v="40"/>
            <x v="42"/>
            <x v="43"/>
            <x v="45"/>
            <x v="49"/>
            <x v="53"/>
            <x v="58"/>
            <x v="63"/>
            <x v="64"/>
            <x v="67"/>
            <x v="71"/>
            <x v="74"/>
            <x v="77"/>
            <x v="81"/>
            <x v="84"/>
            <x v="85"/>
            <x v="86"/>
            <x v="114"/>
            <x v="115"/>
            <x v="132"/>
            <x v="133"/>
            <x v="134"/>
            <x v="135"/>
            <x v="136"/>
            <x v="138"/>
            <x v="139"/>
            <x v="161"/>
          </reference>
        </references>
      </pivotArea>
    </format>
    <format dxfId="7713">
      <pivotArea dataOnly="0" labelOnly="1" outline="0" fieldPosition="0">
        <references count="3">
          <reference field="1" count="1" selected="0">
            <x v="25"/>
          </reference>
          <reference field="3" count="1" selected="0">
            <x v="10"/>
          </reference>
          <reference field="5" count="12">
            <x v="23"/>
            <x v="30"/>
            <x v="80"/>
            <x v="90"/>
            <x v="92"/>
            <x v="140"/>
            <x v="142"/>
            <x v="143"/>
            <x v="160"/>
            <x v="209"/>
            <x v="210"/>
            <x v="211"/>
          </reference>
        </references>
      </pivotArea>
    </format>
    <format dxfId="7712">
      <pivotArea dataOnly="0" labelOnly="1" outline="0" fieldPosition="0">
        <references count="3">
          <reference field="1" count="1" selected="0">
            <x v="25"/>
          </reference>
          <reference field="3" count="1" selected="0">
            <x v="11"/>
          </reference>
          <reference field="5" count="20">
            <x v="1"/>
            <x v="2"/>
            <x v="5"/>
            <x v="9"/>
            <x v="15"/>
            <x v="17"/>
            <x v="46"/>
            <x v="48"/>
            <x v="50"/>
            <x v="54"/>
            <x v="55"/>
            <x v="57"/>
            <x v="60"/>
            <x v="69"/>
            <x v="72"/>
            <x v="73"/>
            <x v="78"/>
            <x v="79"/>
            <x v="82"/>
            <x v="162"/>
          </reference>
        </references>
      </pivotArea>
    </format>
    <format dxfId="7711">
      <pivotArea dataOnly="0" labelOnly="1" outline="0" fieldPosition="0">
        <references count="3">
          <reference field="1" count="1" selected="0">
            <x v="26"/>
          </reference>
          <reference field="3" count="1" selected="0">
            <x v="1"/>
          </reference>
          <reference field="5" count="4">
            <x v="75"/>
            <x v="76"/>
            <x v="166"/>
            <x v="222"/>
          </reference>
        </references>
      </pivotArea>
    </format>
    <format dxfId="7710">
      <pivotArea dataOnly="0" labelOnly="1" outline="0" fieldPosition="0">
        <references count="3">
          <reference field="1" count="1" selected="0">
            <x v="26"/>
          </reference>
          <reference field="3" count="1" selected="0">
            <x v="4"/>
          </reference>
          <reference field="5" count="19">
            <x v="65"/>
            <x v="70"/>
            <x v="191"/>
            <x v="192"/>
            <x v="193"/>
            <x v="194"/>
            <x v="195"/>
            <x v="196"/>
            <x v="197"/>
            <x v="198"/>
            <x v="199"/>
            <x v="200"/>
            <x v="201"/>
            <x v="202"/>
            <x v="203"/>
            <x v="204"/>
            <x v="205"/>
            <x v="206"/>
            <x v="337"/>
          </reference>
        </references>
      </pivotArea>
    </format>
    <format dxfId="7709">
      <pivotArea dataOnly="0" labelOnly="1" outline="0" fieldPosition="0">
        <references count="3">
          <reference field="1" count="1" selected="0">
            <x v="26"/>
          </reference>
          <reference field="3" count="1" selected="0">
            <x v="5"/>
          </reference>
          <reference field="5" count="39">
            <x v="24"/>
            <x v="25"/>
            <x v="28"/>
            <x v="33"/>
            <x v="88"/>
            <x v="96"/>
            <x v="97"/>
            <x v="98"/>
            <x v="99"/>
            <x v="100"/>
            <x v="101"/>
            <x v="102"/>
            <x v="103"/>
            <x v="104"/>
            <x v="111"/>
            <x v="112"/>
            <x v="116"/>
            <x v="117"/>
            <x v="141"/>
            <x v="147"/>
            <x v="148"/>
            <x v="149"/>
            <x v="150"/>
            <x v="151"/>
            <x v="152"/>
            <x v="153"/>
            <x v="154"/>
            <x v="168"/>
            <x v="212"/>
            <x v="213"/>
            <x v="214"/>
            <x v="215"/>
            <x v="216"/>
            <x v="217"/>
            <x v="218"/>
            <x v="219"/>
            <x v="220"/>
            <x v="221"/>
            <x v="321"/>
          </reference>
        </references>
      </pivotArea>
    </format>
    <format dxfId="7708">
      <pivotArea dataOnly="0" labelOnly="1" outline="0" fieldPosition="0">
        <references count="3">
          <reference field="1" count="1" selected="0">
            <x v="26"/>
          </reference>
          <reference field="3" count="1" selected="0">
            <x v="7"/>
          </reference>
          <reference field="5" count="50">
            <x v="6"/>
            <x v="7"/>
            <x v="16"/>
            <x v="20"/>
            <x v="22"/>
            <x v="27"/>
            <x v="32"/>
            <x v="34"/>
            <x v="36"/>
            <x v="47"/>
            <x v="51"/>
            <x v="52"/>
            <x v="56"/>
            <x v="61"/>
            <x v="66"/>
            <x v="68"/>
            <x v="83"/>
            <x v="94"/>
            <x v="95"/>
            <x v="107"/>
            <x v="108"/>
            <x v="109"/>
            <x v="110"/>
            <x v="113"/>
            <x v="118"/>
            <x v="119"/>
            <x v="120"/>
            <x v="121"/>
            <x v="122"/>
            <x v="123"/>
            <x v="124"/>
            <x v="125"/>
            <x v="126"/>
            <x v="127"/>
            <x v="128"/>
            <x v="129"/>
            <x v="130"/>
            <x v="137"/>
            <x v="145"/>
            <x v="146"/>
            <x v="155"/>
            <x v="156"/>
            <x v="163"/>
            <x v="170"/>
            <x v="172"/>
            <x v="175"/>
            <x v="177"/>
            <x v="180"/>
            <x v="182"/>
            <x v="183"/>
          </reference>
        </references>
      </pivotArea>
    </format>
    <format dxfId="7707">
      <pivotArea dataOnly="0" labelOnly="1" outline="0" fieldPosition="0">
        <references count="3">
          <reference field="1" count="1" selected="0">
            <x v="26"/>
          </reference>
          <reference field="3" count="1" selected="0">
            <x v="7"/>
          </reference>
          <reference field="5" count="36">
            <x v="3"/>
            <x v="21"/>
            <x v="29"/>
            <x v="41"/>
            <x v="44"/>
            <x v="59"/>
            <x v="62"/>
            <x v="87"/>
            <x v="89"/>
            <x v="91"/>
            <x v="93"/>
            <x v="105"/>
            <x v="106"/>
            <x v="144"/>
            <x v="157"/>
            <x v="158"/>
            <x v="159"/>
            <x v="164"/>
            <x v="165"/>
            <x v="167"/>
            <x v="169"/>
            <x v="171"/>
            <x v="173"/>
            <x v="174"/>
            <x v="176"/>
            <x v="178"/>
            <x v="179"/>
            <x v="181"/>
            <x v="184"/>
            <x v="185"/>
            <x v="186"/>
            <x v="187"/>
            <x v="188"/>
            <x v="189"/>
            <x v="190"/>
            <x v="207"/>
          </reference>
        </references>
      </pivotArea>
    </format>
    <format dxfId="7706">
      <pivotArea dataOnly="0" labelOnly="1" outline="0" fieldPosition="0">
        <references count="3">
          <reference field="1" count="1" selected="0">
            <x v="26"/>
          </reference>
          <reference field="3" count="1" selected="0">
            <x v="9"/>
          </reference>
          <reference field="5" count="43">
            <x v="0"/>
            <x v="4"/>
            <x v="8"/>
            <x v="10"/>
            <x v="11"/>
            <x v="12"/>
            <x v="13"/>
            <x v="14"/>
            <x v="18"/>
            <x v="19"/>
            <x v="26"/>
            <x v="31"/>
            <x v="35"/>
            <x v="37"/>
            <x v="38"/>
            <x v="39"/>
            <x v="40"/>
            <x v="42"/>
            <x v="43"/>
            <x v="45"/>
            <x v="49"/>
            <x v="53"/>
            <x v="58"/>
            <x v="63"/>
            <x v="64"/>
            <x v="67"/>
            <x v="71"/>
            <x v="74"/>
            <x v="77"/>
            <x v="81"/>
            <x v="84"/>
            <x v="85"/>
            <x v="86"/>
            <x v="114"/>
            <x v="115"/>
            <x v="132"/>
            <x v="133"/>
            <x v="134"/>
            <x v="135"/>
            <x v="136"/>
            <x v="138"/>
            <x v="139"/>
            <x v="161"/>
          </reference>
        </references>
      </pivotArea>
    </format>
    <format dxfId="7705">
      <pivotArea dataOnly="0" labelOnly="1" outline="0" fieldPosition="0">
        <references count="3">
          <reference field="1" count="1" selected="0">
            <x v="26"/>
          </reference>
          <reference field="3" count="1" selected="0">
            <x v="10"/>
          </reference>
          <reference field="5" count="12">
            <x v="23"/>
            <x v="30"/>
            <x v="80"/>
            <x v="90"/>
            <x v="92"/>
            <x v="140"/>
            <x v="142"/>
            <x v="143"/>
            <x v="160"/>
            <x v="209"/>
            <x v="210"/>
            <x v="211"/>
          </reference>
        </references>
      </pivotArea>
    </format>
    <format dxfId="7704">
      <pivotArea dataOnly="0" labelOnly="1" outline="0" fieldPosition="0">
        <references count="3">
          <reference field="1" count="1" selected="0">
            <x v="26"/>
          </reference>
          <reference field="3" count="1" selected="0">
            <x v="11"/>
          </reference>
          <reference field="5" count="20">
            <x v="1"/>
            <x v="2"/>
            <x v="5"/>
            <x v="9"/>
            <x v="15"/>
            <x v="17"/>
            <x v="46"/>
            <x v="48"/>
            <x v="50"/>
            <x v="54"/>
            <x v="55"/>
            <x v="57"/>
            <x v="60"/>
            <x v="69"/>
            <x v="72"/>
            <x v="73"/>
            <x v="78"/>
            <x v="79"/>
            <x v="82"/>
            <x v="162"/>
          </reference>
        </references>
      </pivotArea>
    </format>
    <format dxfId="7703">
      <pivotArea dataOnly="0" labelOnly="1" outline="0" fieldPosition="0">
        <references count="1">
          <reference field="1" count="0"/>
        </references>
      </pivotArea>
    </format>
    <format dxfId="7702">
      <pivotArea dataOnly="0" labelOnly="1" outline="0" fieldPosition="0">
        <references count="3">
          <reference field="1" count="1" selected="0">
            <x v="0"/>
          </reference>
          <reference field="3" count="1" selected="0">
            <x v="1"/>
          </reference>
          <reference field="5" count="4">
            <x v="75"/>
            <x v="76"/>
            <x v="166"/>
            <x v="222"/>
          </reference>
        </references>
      </pivotArea>
    </format>
    <format dxfId="7701">
      <pivotArea dataOnly="0" labelOnly="1" outline="0" fieldPosition="0">
        <references count="3">
          <reference field="1" count="1" selected="0">
            <x v="0"/>
          </reference>
          <reference field="3" count="1" selected="0">
            <x v="4"/>
          </reference>
          <reference field="5" count="19">
            <x v="65"/>
            <x v="70"/>
            <x v="191"/>
            <x v="192"/>
            <x v="193"/>
            <x v="194"/>
            <x v="195"/>
            <x v="196"/>
            <x v="197"/>
            <x v="198"/>
            <x v="199"/>
            <x v="200"/>
            <x v="201"/>
            <x v="202"/>
            <x v="203"/>
            <x v="204"/>
            <x v="205"/>
            <x v="206"/>
            <x v="337"/>
          </reference>
        </references>
      </pivotArea>
    </format>
    <format dxfId="7700">
      <pivotArea dataOnly="0" labelOnly="1" outline="0" fieldPosition="0">
        <references count="3">
          <reference field="1" count="1" selected="0">
            <x v="0"/>
          </reference>
          <reference field="3" count="1" selected="0">
            <x v="5"/>
          </reference>
          <reference field="5" count="39">
            <x v="24"/>
            <x v="25"/>
            <x v="28"/>
            <x v="33"/>
            <x v="88"/>
            <x v="96"/>
            <x v="97"/>
            <x v="98"/>
            <x v="99"/>
            <x v="100"/>
            <x v="101"/>
            <x v="102"/>
            <x v="103"/>
            <x v="104"/>
            <x v="111"/>
            <x v="112"/>
            <x v="116"/>
            <x v="117"/>
            <x v="141"/>
            <x v="147"/>
            <x v="148"/>
            <x v="149"/>
            <x v="150"/>
            <x v="151"/>
            <x v="152"/>
            <x v="153"/>
            <x v="154"/>
            <x v="168"/>
            <x v="212"/>
            <x v="213"/>
            <x v="214"/>
            <x v="215"/>
            <x v="216"/>
            <x v="217"/>
            <x v="218"/>
            <x v="219"/>
            <x v="220"/>
            <x v="221"/>
            <x v="268"/>
          </reference>
        </references>
      </pivotArea>
    </format>
    <format dxfId="7699">
      <pivotArea dataOnly="0" labelOnly="1" outline="0" fieldPosition="0">
        <references count="3">
          <reference field="1" count="1" selected="0">
            <x v="0"/>
          </reference>
          <reference field="3" count="1" selected="0">
            <x v="7"/>
          </reference>
          <reference field="5" count="50">
            <x v="6"/>
            <x v="7"/>
            <x v="16"/>
            <x v="20"/>
            <x v="22"/>
            <x v="27"/>
            <x v="32"/>
            <x v="34"/>
            <x v="36"/>
            <x v="47"/>
            <x v="51"/>
            <x v="52"/>
            <x v="56"/>
            <x v="61"/>
            <x v="66"/>
            <x v="68"/>
            <x v="83"/>
            <x v="94"/>
            <x v="95"/>
            <x v="107"/>
            <x v="108"/>
            <x v="109"/>
            <x v="110"/>
            <x v="113"/>
            <x v="118"/>
            <x v="119"/>
            <x v="120"/>
            <x v="121"/>
            <x v="122"/>
            <x v="123"/>
            <x v="124"/>
            <x v="125"/>
            <x v="126"/>
            <x v="127"/>
            <x v="128"/>
            <x v="129"/>
            <x v="130"/>
            <x v="137"/>
            <x v="145"/>
            <x v="146"/>
            <x v="155"/>
            <x v="156"/>
            <x v="163"/>
            <x v="170"/>
            <x v="172"/>
            <x v="175"/>
            <x v="177"/>
            <x v="180"/>
            <x v="182"/>
            <x v="183"/>
          </reference>
        </references>
      </pivotArea>
    </format>
    <format dxfId="7698">
      <pivotArea dataOnly="0" labelOnly="1" outline="0" fieldPosition="0">
        <references count="3">
          <reference field="1" count="1" selected="0">
            <x v="0"/>
          </reference>
          <reference field="3" count="1" selected="0">
            <x v="7"/>
          </reference>
          <reference field="5" count="36">
            <x v="3"/>
            <x v="21"/>
            <x v="29"/>
            <x v="41"/>
            <x v="44"/>
            <x v="59"/>
            <x v="62"/>
            <x v="87"/>
            <x v="89"/>
            <x v="91"/>
            <x v="93"/>
            <x v="105"/>
            <x v="106"/>
            <x v="144"/>
            <x v="157"/>
            <x v="158"/>
            <x v="159"/>
            <x v="164"/>
            <x v="165"/>
            <x v="167"/>
            <x v="169"/>
            <x v="171"/>
            <x v="173"/>
            <x v="174"/>
            <x v="176"/>
            <x v="178"/>
            <x v="179"/>
            <x v="181"/>
            <x v="184"/>
            <x v="185"/>
            <x v="186"/>
            <x v="187"/>
            <x v="188"/>
            <x v="189"/>
            <x v="190"/>
            <x v="207"/>
          </reference>
        </references>
      </pivotArea>
    </format>
    <format dxfId="7697">
      <pivotArea dataOnly="0" labelOnly="1" outline="0" fieldPosition="0">
        <references count="3">
          <reference field="1" count="1" selected="0">
            <x v="0"/>
          </reference>
          <reference field="3" count="1" selected="0">
            <x v="9"/>
          </reference>
          <reference field="5" count="43">
            <x v="0"/>
            <x v="4"/>
            <x v="8"/>
            <x v="10"/>
            <x v="11"/>
            <x v="12"/>
            <x v="13"/>
            <x v="14"/>
            <x v="18"/>
            <x v="19"/>
            <x v="26"/>
            <x v="31"/>
            <x v="35"/>
            <x v="37"/>
            <x v="38"/>
            <x v="39"/>
            <x v="40"/>
            <x v="42"/>
            <x v="43"/>
            <x v="45"/>
            <x v="49"/>
            <x v="53"/>
            <x v="58"/>
            <x v="63"/>
            <x v="64"/>
            <x v="67"/>
            <x v="71"/>
            <x v="74"/>
            <x v="77"/>
            <x v="81"/>
            <x v="84"/>
            <x v="85"/>
            <x v="86"/>
            <x v="114"/>
            <x v="115"/>
            <x v="132"/>
            <x v="133"/>
            <x v="134"/>
            <x v="135"/>
            <x v="136"/>
            <x v="138"/>
            <x v="139"/>
            <x v="161"/>
          </reference>
        </references>
      </pivotArea>
    </format>
    <format dxfId="7696">
      <pivotArea dataOnly="0" labelOnly="1" outline="0" fieldPosition="0">
        <references count="3">
          <reference field="1" count="1" selected="0">
            <x v="0"/>
          </reference>
          <reference field="3" count="1" selected="0">
            <x v="10"/>
          </reference>
          <reference field="5" count="13">
            <x v="23"/>
            <x v="30"/>
            <x v="80"/>
            <x v="90"/>
            <x v="92"/>
            <x v="140"/>
            <x v="142"/>
            <x v="143"/>
            <x v="160"/>
            <x v="162"/>
            <x v="209"/>
            <x v="210"/>
            <x v="211"/>
          </reference>
        </references>
      </pivotArea>
    </format>
    <format dxfId="7695">
      <pivotArea dataOnly="0" labelOnly="1" outline="0" fieldPosition="0">
        <references count="3">
          <reference field="1" count="1" selected="0">
            <x v="0"/>
          </reference>
          <reference field="3" count="1" selected="0">
            <x v="11"/>
          </reference>
          <reference field="5" count="19">
            <x v="1"/>
            <x v="2"/>
            <x v="5"/>
            <x v="9"/>
            <x v="15"/>
            <x v="17"/>
            <x v="46"/>
            <x v="48"/>
            <x v="50"/>
            <x v="54"/>
            <x v="55"/>
            <x v="57"/>
            <x v="60"/>
            <x v="69"/>
            <x v="72"/>
            <x v="73"/>
            <x v="78"/>
            <x v="79"/>
            <x v="82"/>
          </reference>
        </references>
      </pivotArea>
    </format>
    <format dxfId="7694">
      <pivotArea dataOnly="0" labelOnly="1" outline="0" fieldPosition="0">
        <references count="3">
          <reference field="1" count="1" selected="0">
            <x v="1"/>
          </reference>
          <reference field="3" count="1" selected="0">
            <x v="1"/>
          </reference>
          <reference field="5" count="4">
            <x v="75"/>
            <x v="76"/>
            <x v="166"/>
            <x v="222"/>
          </reference>
        </references>
      </pivotArea>
    </format>
    <format dxfId="7693">
      <pivotArea dataOnly="0" labelOnly="1" outline="0" fieldPosition="0">
        <references count="3">
          <reference field="1" count="1" selected="0">
            <x v="1"/>
          </reference>
          <reference field="3" count="1" selected="0">
            <x v="4"/>
          </reference>
          <reference field="5" count="19">
            <x v="65"/>
            <x v="70"/>
            <x v="191"/>
            <x v="192"/>
            <x v="193"/>
            <x v="194"/>
            <x v="195"/>
            <x v="196"/>
            <x v="197"/>
            <x v="198"/>
            <x v="199"/>
            <x v="200"/>
            <x v="201"/>
            <x v="202"/>
            <x v="203"/>
            <x v="204"/>
            <x v="205"/>
            <x v="206"/>
            <x v="337"/>
          </reference>
        </references>
      </pivotArea>
    </format>
    <format dxfId="7692">
      <pivotArea dataOnly="0" labelOnly="1" outline="0" fieldPosition="0">
        <references count="3">
          <reference field="1" count="1" selected="0">
            <x v="1"/>
          </reference>
          <reference field="3" count="1" selected="0">
            <x v="5"/>
          </reference>
          <reference field="5" count="39">
            <x v="24"/>
            <x v="25"/>
            <x v="28"/>
            <x v="33"/>
            <x v="88"/>
            <x v="96"/>
            <x v="97"/>
            <x v="98"/>
            <x v="99"/>
            <x v="100"/>
            <x v="101"/>
            <x v="102"/>
            <x v="103"/>
            <x v="104"/>
            <x v="111"/>
            <x v="112"/>
            <x v="116"/>
            <x v="117"/>
            <x v="141"/>
            <x v="147"/>
            <x v="148"/>
            <x v="149"/>
            <x v="150"/>
            <x v="151"/>
            <x v="152"/>
            <x v="153"/>
            <x v="154"/>
            <x v="168"/>
            <x v="212"/>
            <x v="213"/>
            <x v="214"/>
            <x v="215"/>
            <x v="216"/>
            <x v="217"/>
            <x v="218"/>
            <x v="219"/>
            <x v="220"/>
            <x v="221"/>
            <x v="268"/>
          </reference>
        </references>
      </pivotArea>
    </format>
    <format dxfId="7691">
      <pivotArea dataOnly="0" labelOnly="1" outline="0" fieldPosition="0">
        <references count="3">
          <reference field="1" count="1" selected="0">
            <x v="1"/>
          </reference>
          <reference field="3" count="1" selected="0">
            <x v="7"/>
          </reference>
          <reference field="5" count="50">
            <x v="6"/>
            <x v="7"/>
            <x v="16"/>
            <x v="20"/>
            <x v="22"/>
            <x v="27"/>
            <x v="32"/>
            <x v="34"/>
            <x v="36"/>
            <x v="47"/>
            <x v="51"/>
            <x v="52"/>
            <x v="56"/>
            <x v="61"/>
            <x v="66"/>
            <x v="68"/>
            <x v="83"/>
            <x v="94"/>
            <x v="95"/>
            <x v="107"/>
            <x v="108"/>
            <x v="109"/>
            <x v="110"/>
            <x v="113"/>
            <x v="118"/>
            <x v="119"/>
            <x v="120"/>
            <x v="121"/>
            <x v="122"/>
            <x v="123"/>
            <x v="124"/>
            <x v="125"/>
            <x v="126"/>
            <x v="127"/>
            <x v="128"/>
            <x v="129"/>
            <x v="130"/>
            <x v="137"/>
            <x v="145"/>
            <x v="146"/>
            <x v="155"/>
            <x v="156"/>
            <x v="163"/>
            <x v="170"/>
            <x v="172"/>
            <x v="175"/>
            <x v="177"/>
            <x v="180"/>
            <x v="182"/>
            <x v="183"/>
          </reference>
        </references>
      </pivotArea>
    </format>
    <format dxfId="7690">
      <pivotArea dataOnly="0" labelOnly="1" outline="0" fieldPosition="0">
        <references count="3">
          <reference field="1" count="1" selected="0">
            <x v="1"/>
          </reference>
          <reference field="3" count="1" selected="0">
            <x v="7"/>
          </reference>
          <reference field="5" count="36">
            <x v="3"/>
            <x v="21"/>
            <x v="29"/>
            <x v="41"/>
            <x v="44"/>
            <x v="59"/>
            <x v="62"/>
            <x v="87"/>
            <x v="89"/>
            <x v="91"/>
            <x v="93"/>
            <x v="105"/>
            <x v="106"/>
            <x v="144"/>
            <x v="157"/>
            <x v="158"/>
            <x v="159"/>
            <x v="164"/>
            <x v="165"/>
            <x v="167"/>
            <x v="169"/>
            <x v="171"/>
            <x v="173"/>
            <x v="174"/>
            <x v="176"/>
            <x v="178"/>
            <x v="179"/>
            <x v="181"/>
            <x v="184"/>
            <x v="185"/>
            <x v="186"/>
            <x v="187"/>
            <x v="188"/>
            <x v="189"/>
            <x v="190"/>
            <x v="207"/>
          </reference>
        </references>
      </pivotArea>
    </format>
    <format dxfId="7689">
      <pivotArea dataOnly="0" labelOnly="1" outline="0" fieldPosition="0">
        <references count="3">
          <reference field="1" count="1" selected="0">
            <x v="1"/>
          </reference>
          <reference field="3" count="1" selected="0">
            <x v="9"/>
          </reference>
          <reference field="5" count="43">
            <x v="0"/>
            <x v="4"/>
            <x v="8"/>
            <x v="10"/>
            <x v="11"/>
            <x v="12"/>
            <x v="13"/>
            <x v="14"/>
            <x v="18"/>
            <x v="19"/>
            <x v="26"/>
            <x v="31"/>
            <x v="35"/>
            <x v="37"/>
            <x v="38"/>
            <x v="39"/>
            <x v="40"/>
            <x v="42"/>
            <x v="43"/>
            <x v="45"/>
            <x v="49"/>
            <x v="53"/>
            <x v="58"/>
            <x v="63"/>
            <x v="64"/>
            <x v="67"/>
            <x v="71"/>
            <x v="74"/>
            <x v="77"/>
            <x v="81"/>
            <x v="84"/>
            <x v="85"/>
            <x v="86"/>
            <x v="114"/>
            <x v="115"/>
            <x v="132"/>
            <x v="133"/>
            <x v="134"/>
            <x v="135"/>
            <x v="136"/>
            <x v="138"/>
            <x v="139"/>
            <x v="161"/>
          </reference>
        </references>
      </pivotArea>
    </format>
    <format dxfId="7688">
      <pivotArea dataOnly="0" labelOnly="1" outline="0" fieldPosition="0">
        <references count="3">
          <reference field="1" count="1" selected="0">
            <x v="1"/>
          </reference>
          <reference field="3" count="1" selected="0">
            <x v="10"/>
          </reference>
          <reference field="5" count="13">
            <x v="23"/>
            <x v="30"/>
            <x v="80"/>
            <x v="90"/>
            <x v="92"/>
            <x v="140"/>
            <x v="142"/>
            <x v="143"/>
            <x v="160"/>
            <x v="162"/>
            <x v="209"/>
            <x v="210"/>
            <x v="211"/>
          </reference>
        </references>
      </pivotArea>
    </format>
    <format dxfId="7687">
      <pivotArea dataOnly="0" labelOnly="1" outline="0" fieldPosition="0">
        <references count="3">
          <reference field="1" count="1" selected="0">
            <x v="1"/>
          </reference>
          <reference field="3" count="1" selected="0">
            <x v="11"/>
          </reference>
          <reference field="5" count="19">
            <x v="1"/>
            <x v="2"/>
            <x v="5"/>
            <x v="9"/>
            <x v="15"/>
            <x v="17"/>
            <x v="46"/>
            <x v="48"/>
            <x v="50"/>
            <x v="54"/>
            <x v="55"/>
            <x v="57"/>
            <x v="60"/>
            <x v="69"/>
            <x v="72"/>
            <x v="73"/>
            <x v="78"/>
            <x v="79"/>
            <x v="82"/>
          </reference>
        </references>
      </pivotArea>
    </format>
    <format dxfId="7686">
      <pivotArea dataOnly="0" labelOnly="1" outline="0" fieldPosition="0">
        <references count="3">
          <reference field="1" count="1" selected="0">
            <x v="2"/>
          </reference>
          <reference field="3" count="1" selected="0">
            <x v="1"/>
          </reference>
          <reference field="5" count="4">
            <x v="75"/>
            <x v="76"/>
            <x v="166"/>
            <x v="222"/>
          </reference>
        </references>
      </pivotArea>
    </format>
    <format dxfId="7685">
      <pivotArea dataOnly="0" labelOnly="1" outline="0" fieldPosition="0">
        <references count="3">
          <reference field="1" count="1" selected="0">
            <x v="2"/>
          </reference>
          <reference field="3" count="1" selected="0">
            <x v="4"/>
          </reference>
          <reference field="5" count="19">
            <x v="65"/>
            <x v="70"/>
            <x v="191"/>
            <x v="192"/>
            <x v="193"/>
            <x v="194"/>
            <x v="195"/>
            <x v="196"/>
            <x v="197"/>
            <x v="198"/>
            <x v="199"/>
            <x v="200"/>
            <x v="201"/>
            <x v="202"/>
            <x v="203"/>
            <x v="204"/>
            <x v="205"/>
            <x v="206"/>
            <x v="337"/>
          </reference>
        </references>
      </pivotArea>
    </format>
    <format dxfId="7684">
      <pivotArea dataOnly="0" labelOnly="1" outline="0" fieldPosition="0">
        <references count="3">
          <reference field="1" count="1" selected="0">
            <x v="2"/>
          </reference>
          <reference field="3" count="1" selected="0">
            <x v="5"/>
          </reference>
          <reference field="5" count="39">
            <x v="24"/>
            <x v="25"/>
            <x v="28"/>
            <x v="33"/>
            <x v="88"/>
            <x v="96"/>
            <x v="97"/>
            <x v="98"/>
            <x v="99"/>
            <x v="100"/>
            <x v="101"/>
            <x v="102"/>
            <x v="103"/>
            <x v="104"/>
            <x v="111"/>
            <x v="112"/>
            <x v="116"/>
            <x v="117"/>
            <x v="141"/>
            <x v="147"/>
            <x v="148"/>
            <x v="149"/>
            <x v="150"/>
            <x v="151"/>
            <x v="152"/>
            <x v="153"/>
            <x v="154"/>
            <x v="168"/>
            <x v="212"/>
            <x v="213"/>
            <x v="214"/>
            <x v="215"/>
            <x v="216"/>
            <x v="217"/>
            <x v="218"/>
            <x v="219"/>
            <x v="220"/>
            <x v="221"/>
            <x v="321"/>
          </reference>
        </references>
      </pivotArea>
    </format>
    <format dxfId="7683">
      <pivotArea dataOnly="0" labelOnly="1" outline="0" fieldPosition="0">
        <references count="3">
          <reference field="1" count="1" selected="0">
            <x v="2"/>
          </reference>
          <reference field="3" count="1" selected="0">
            <x v="7"/>
          </reference>
          <reference field="5" count="50">
            <x v="6"/>
            <x v="7"/>
            <x v="16"/>
            <x v="20"/>
            <x v="22"/>
            <x v="27"/>
            <x v="32"/>
            <x v="34"/>
            <x v="36"/>
            <x v="47"/>
            <x v="51"/>
            <x v="52"/>
            <x v="56"/>
            <x v="61"/>
            <x v="66"/>
            <x v="68"/>
            <x v="83"/>
            <x v="94"/>
            <x v="95"/>
            <x v="107"/>
            <x v="108"/>
            <x v="109"/>
            <x v="110"/>
            <x v="113"/>
            <x v="118"/>
            <x v="119"/>
            <x v="120"/>
            <x v="121"/>
            <x v="122"/>
            <x v="123"/>
            <x v="124"/>
            <x v="125"/>
            <x v="126"/>
            <x v="127"/>
            <x v="128"/>
            <x v="129"/>
            <x v="130"/>
            <x v="137"/>
            <x v="145"/>
            <x v="146"/>
            <x v="155"/>
            <x v="156"/>
            <x v="163"/>
            <x v="170"/>
            <x v="172"/>
            <x v="175"/>
            <x v="177"/>
            <x v="180"/>
            <x v="182"/>
            <x v="183"/>
          </reference>
        </references>
      </pivotArea>
    </format>
    <format dxfId="7682">
      <pivotArea dataOnly="0" labelOnly="1" outline="0" fieldPosition="0">
        <references count="3">
          <reference field="1" count="1" selected="0">
            <x v="2"/>
          </reference>
          <reference field="3" count="1" selected="0">
            <x v="7"/>
          </reference>
          <reference field="5" count="36">
            <x v="3"/>
            <x v="21"/>
            <x v="29"/>
            <x v="41"/>
            <x v="44"/>
            <x v="59"/>
            <x v="62"/>
            <x v="87"/>
            <x v="89"/>
            <x v="91"/>
            <x v="93"/>
            <x v="105"/>
            <x v="106"/>
            <x v="144"/>
            <x v="157"/>
            <x v="158"/>
            <x v="159"/>
            <x v="164"/>
            <x v="165"/>
            <x v="167"/>
            <x v="169"/>
            <x v="171"/>
            <x v="173"/>
            <x v="174"/>
            <x v="176"/>
            <x v="178"/>
            <x v="179"/>
            <x v="181"/>
            <x v="184"/>
            <x v="185"/>
            <x v="186"/>
            <x v="187"/>
            <x v="188"/>
            <x v="189"/>
            <x v="190"/>
            <x v="207"/>
          </reference>
        </references>
      </pivotArea>
    </format>
    <format dxfId="7681">
      <pivotArea dataOnly="0" labelOnly="1" outline="0" fieldPosition="0">
        <references count="3">
          <reference field="1" count="1" selected="0">
            <x v="2"/>
          </reference>
          <reference field="3" count="1" selected="0">
            <x v="9"/>
          </reference>
          <reference field="5" count="43">
            <x v="0"/>
            <x v="4"/>
            <x v="8"/>
            <x v="10"/>
            <x v="11"/>
            <x v="12"/>
            <x v="13"/>
            <x v="14"/>
            <x v="18"/>
            <x v="19"/>
            <x v="26"/>
            <x v="31"/>
            <x v="35"/>
            <x v="37"/>
            <x v="38"/>
            <x v="39"/>
            <x v="40"/>
            <x v="42"/>
            <x v="43"/>
            <x v="45"/>
            <x v="49"/>
            <x v="53"/>
            <x v="58"/>
            <x v="63"/>
            <x v="64"/>
            <x v="67"/>
            <x v="71"/>
            <x v="74"/>
            <x v="77"/>
            <x v="81"/>
            <x v="84"/>
            <x v="85"/>
            <x v="86"/>
            <x v="114"/>
            <x v="115"/>
            <x v="132"/>
            <x v="133"/>
            <x v="134"/>
            <x v="135"/>
            <x v="136"/>
            <x v="138"/>
            <x v="139"/>
            <x v="161"/>
          </reference>
        </references>
      </pivotArea>
    </format>
    <format dxfId="7680">
      <pivotArea dataOnly="0" labelOnly="1" outline="0" fieldPosition="0">
        <references count="3">
          <reference field="1" count="1" selected="0">
            <x v="2"/>
          </reference>
          <reference field="3" count="1" selected="0">
            <x v="10"/>
          </reference>
          <reference field="5" count="13">
            <x v="23"/>
            <x v="30"/>
            <x v="80"/>
            <x v="90"/>
            <x v="92"/>
            <x v="140"/>
            <x v="142"/>
            <x v="143"/>
            <x v="160"/>
            <x v="162"/>
            <x v="209"/>
            <x v="210"/>
            <x v="211"/>
          </reference>
        </references>
      </pivotArea>
    </format>
    <format dxfId="7679">
      <pivotArea dataOnly="0" labelOnly="1" outline="0" fieldPosition="0">
        <references count="3">
          <reference field="1" count="1" selected="0">
            <x v="2"/>
          </reference>
          <reference field="3" count="1" selected="0">
            <x v="11"/>
          </reference>
          <reference field="5" count="19">
            <x v="1"/>
            <x v="2"/>
            <x v="5"/>
            <x v="9"/>
            <x v="15"/>
            <x v="17"/>
            <x v="46"/>
            <x v="48"/>
            <x v="50"/>
            <x v="54"/>
            <x v="55"/>
            <x v="57"/>
            <x v="60"/>
            <x v="69"/>
            <x v="72"/>
            <x v="73"/>
            <x v="78"/>
            <x v="79"/>
            <x v="82"/>
          </reference>
        </references>
      </pivotArea>
    </format>
    <format dxfId="7678">
      <pivotArea dataOnly="0" labelOnly="1" outline="0" fieldPosition="0">
        <references count="3">
          <reference field="1" count="1" selected="0">
            <x v="3"/>
          </reference>
          <reference field="3" count="1" selected="0">
            <x v="1"/>
          </reference>
          <reference field="5" count="4">
            <x v="75"/>
            <x v="76"/>
            <x v="166"/>
            <x v="222"/>
          </reference>
        </references>
      </pivotArea>
    </format>
    <format dxfId="7677">
      <pivotArea dataOnly="0" labelOnly="1" outline="0" fieldPosition="0">
        <references count="3">
          <reference field="1" count="1" selected="0">
            <x v="3"/>
          </reference>
          <reference field="3" count="1" selected="0">
            <x v="4"/>
          </reference>
          <reference field="5" count="16">
            <x v="65"/>
            <x v="70"/>
            <x v="191"/>
            <x v="192"/>
            <x v="193"/>
            <x v="194"/>
            <x v="195"/>
            <x v="197"/>
            <x v="198"/>
            <x v="199"/>
            <x v="201"/>
            <x v="202"/>
            <x v="203"/>
            <x v="204"/>
            <x v="205"/>
            <x v="337"/>
          </reference>
        </references>
      </pivotArea>
    </format>
    <format dxfId="7676">
      <pivotArea dataOnly="0" labelOnly="1" outline="0" fieldPosition="0">
        <references count="3">
          <reference field="1" count="1" selected="0">
            <x v="3"/>
          </reference>
          <reference field="3" count="1" selected="0">
            <x v="5"/>
          </reference>
          <reference field="5" count="39">
            <x v="24"/>
            <x v="25"/>
            <x v="28"/>
            <x v="33"/>
            <x v="88"/>
            <x v="96"/>
            <x v="97"/>
            <x v="98"/>
            <x v="99"/>
            <x v="100"/>
            <x v="101"/>
            <x v="102"/>
            <x v="103"/>
            <x v="104"/>
            <x v="111"/>
            <x v="112"/>
            <x v="116"/>
            <x v="117"/>
            <x v="141"/>
            <x v="147"/>
            <x v="148"/>
            <x v="149"/>
            <x v="150"/>
            <x v="151"/>
            <x v="152"/>
            <x v="153"/>
            <x v="154"/>
            <x v="168"/>
            <x v="212"/>
            <x v="213"/>
            <x v="214"/>
            <x v="215"/>
            <x v="216"/>
            <x v="217"/>
            <x v="218"/>
            <x v="219"/>
            <x v="220"/>
            <x v="221"/>
            <x v="321"/>
          </reference>
        </references>
      </pivotArea>
    </format>
    <format dxfId="7675">
      <pivotArea dataOnly="0" labelOnly="1" outline="0" fieldPosition="0">
        <references count="3">
          <reference field="1" count="1" selected="0">
            <x v="3"/>
          </reference>
          <reference field="3" count="1" selected="0">
            <x v="7"/>
          </reference>
          <reference field="5" count="50">
            <x v="6"/>
            <x v="7"/>
            <x v="16"/>
            <x v="20"/>
            <x v="22"/>
            <x v="27"/>
            <x v="32"/>
            <x v="34"/>
            <x v="36"/>
            <x v="47"/>
            <x v="51"/>
            <x v="52"/>
            <x v="56"/>
            <x v="61"/>
            <x v="66"/>
            <x v="68"/>
            <x v="83"/>
            <x v="94"/>
            <x v="95"/>
            <x v="107"/>
            <x v="108"/>
            <x v="109"/>
            <x v="110"/>
            <x v="113"/>
            <x v="118"/>
            <x v="119"/>
            <x v="120"/>
            <x v="121"/>
            <x v="122"/>
            <x v="123"/>
            <x v="124"/>
            <x v="125"/>
            <x v="126"/>
            <x v="127"/>
            <x v="128"/>
            <x v="129"/>
            <x v="130"/>
            <x v="137"/>
            <x v="145"/>
            <x v="146"/>
            <x v="155"/>
            <x v="156"/>
            <x v="163"/>
            <x v="170"/>
            <x v="172"/>
            <x v="175"/>
            <x v="177"/>
            <x v="180"/>
            <x v="182"/>
            <x v="183"/>
          </reference>
        </references>
      </pivotArea>
    </format>
    <format dxfId="7674">
      <pivotArea dataOnly="0" labelOnly="1" outline="0" fieldPosition="0">
        <references count="3">
          <reference field="1" count="1" selected="0">
            <x v="3"/>
          </reference>
          <reference field="3" count="1" selected="0">
            <x v="7"/>
          </reference>
          <reference field="5" count="36">
            <x v="3"/>
            <x v="21"/>
            <x v="29"/>
            <x v="41"/>
            <x v="44"/>
            <x v="59"/>
            <x v="62"/>
            <x v="87"/>
            <x v="89"/>
            <x v="91"/>
            <x v="93"/>
            <x v="105"/>
            <x v="106"/>
            <x v="144"/>
            <x v="157"/>
            <x v="158"/>
            <x v="159"/>
            <x v="164"/>
            <x v="165"/>
            <x v="167"/>
            <x v="169"/>
            <x v="171"/>
            <x v="173"/>
            <x v="174"/>
            <x v="176"/>
            <x v="178"/>
            <x v="179"/>
            <x v="181"/>
            <x v="184"/>
            <x v="185"/>
            <x v="186"/>
            <x v="187"/>
            <x v="188"/>
            <x v="189"/>
            <x v="190"/>
            <x v="207"/>
          </reference>
        </references>
      </pivotArea>
    </format>
    <format dxfId="7673">
      <pivotArea dataOnly="0" labelOnly="1" outline="0" fieldPosition="0">
        <references count="3">
          <reference field="1" count="1" selected="0">
            <x v="3"/>
          </reference>
          <reference field="3" count="1" selected="0">
            <x v="9"/>
          </reference>
          <reference field="5" count="43">
            <x v="0"/>
            <x v="4"/>
            <x v="8"/>
            <x v="10"/>
            <x v="11"/>
            <x v="12"/>
            <x v="13"/>
            <x v="14"/>
            <x v="18"/>
            <x v="19"/>
            <x v="26"/>
            <x v="31"/>
            <x v="35"/>
            <x v="37"/>
            <x v="38"/>
            <x v="39"/>
            <x v="40"/>
            <x v="42"/>
            <x v="43"/>
            <x v="45"/>
            <x v="49"/>
            <x v="53"/>
            <x v="58"/>
            <x v="63"/>
            <x v="64"/>
            <x v="67"/>
            <x v="71"/>
            <x v="74"/>
            <x v="77"/>
            <x v="81"/>
            <x v="84"/>
            <x v="85"/>
            <x v="86"/>
            <x v="114"/>
            <x v="115"/>
            <x v="132"/>
            <x v="133"/>
            <x v="134"/>
            <x v="135"/>
            <x v="136"/>
            <x v="138"/>
            <x v="139"/>
            <x v="161"/>
          </reference>
        </references>
      </pivotArea>
    </format>
    <format dxfId="7672">
      <pivotArea dataOnly="0" labelOnly="1" outline="0" fieldPosition="0">
        <references count="3">
          <reference field="1" count="1" selected="0">
            <x v="3"/>
          </reference>
          <reference field="3" count="1" selected="0">
            <x v="10"/>
          </reference>
          <reference field="5" count="13">
            <x v="23"/>
            <x v="30"/>
            <x v="80"/>
            <x v="90"/>
            <x v="92"/>
            <x v="140"/>
            <x v="142"/>
            <x v="143"/>
            <x v="160"/>
            <x v="162"/>
            <x v="209"/>
            <x v="210"/>
            <x v="211"/>
          </reference>
        </references>
      </pivotArea>
    </format>
    <format dxfId="7671">
      <pivotArea dataOnly="0" labelOnly="1" outline="0" fieldPosition="0">
        <references count="3">
          <reference field="1" count="1" selected="0">
            <x v="3"/>
          </reference>
          <reference field="3" count="1" selected="0">
            <x v="11"/>
          </reference>
          <reference field="5" count="22">
            <x v="1"/>
            <x v="2"/>
            <x v="5"/>
            <x v="9"/>
            <x v="15"/>
            <x v="17"/>
            <x v="46"/>
            <x v="48"/>
            <x v="50"/>
            <x v="54"/>
            <x v="55"/>
            <x v="57"/>
            <x v="60"/>
            <x v="69"/>
            <x v="72"/>
            <x v="73"/>
            <x v="78"/>
            <x v="79"/>
            <x v="82"/>
            <x v="196"/>
            <x v="200"/>
            <x v="206"/>
          </reference>
        </references>
      </pivotArea>
    </format>
    <format dxfId="7670">
      <pivotArea dataOnly="0" labelOnly="1" outline="0" fieldPosition="0">
        <references count="3">
          <reference field="1" count="1" selected="0">
            <x v="4"/>
          </reference>
          <reference field="3" count="1" selected="0">
            <x v="1"/>
          </reference>
          <reference field="5" count="4">
            <x v="75"/>
            <x v="76"/>
            <x v="166"/>
            <x v="222"/>
          </reference>
        </references>
      </pivotArea>
    </format>
    <format dxfId="7669">
      <pivotArea dataOnly="0" labelOnly="1" outline="0" fieldPosition="0">
        <references count="3">
          <reference field="1" count="1" selected="0">
            <x v="4"/>
          </reference>
          <reference field="3" count="1" selected="0">
            <x v="4"/>
          </reference>
          <reference field="5" count="19">
            <x v="65"/>
            <x v="70"/>
            <x v="191"/>
            <x v="192"/>
            <x v="193"/>
            <x v="194"/>
            <x v="195"/>
            <x v="196"/>
            <x v="197"/>
            <x v="198"/>
            <x v="199"/>
            <x v="200"/>
            <x v="201"/>
            <x v="202"/>
            <x v="203"/>
            <x v="204"/>
            <x v="205"/>
            <x v="206"/>
            <x v="337"/>
          </reference>
        </references>
      </pivotArea>
    </format>
    <format dxfId="7668">
      <pivotArea dataOnly="0" labelOnly="1" outline="0" fieldPosition="0">
        <references count="3">
          <reference field="1" count="1" selected="0">
            <x v="4"/>
          </reference>
          <reference field="3" count="1" selected="0">
            <x v="5"/>
          </reference>
          <reference field="5" count="39">
            <x v="24"/>
            <x v="25"/>
            <x v="28"/>
            <x v="33"/>
            <x v="88"/>
            <x v="96"/>
            <x v="97"/>
            <x v="98"/>
            <x v="99"/>
            <x v="100"/>
            <x v="101"/>
            <x v="102"/>
            <x v="103"/>
            <x v="104"/>
            <x v="111"/>
            <x v="112"/>
            <x v="116"/>
            <x v="117"/>
            <x v="141"/>
            <x v="147"/>
            <x v="148"/>
            <x v="149"/>
            <x v="150"/>
            <x v="151"/>
            <x v="152"/>
            <x v="153"/>
            <x v="154"/>
            <x v="168"/>
            <x v="212"/>
            <x v="213"/>
            <x v="214"/>
            <x v="215"/>
            <x v="216"/>
            <x v="217"/>
            <x v="218"/>
            <x v="219"/>
            <x v="220"/>
            <x v="221"/>
            <x v="321"/>
          </reference>
        </references>
      </pivotArea>
    </format>
    <format dxfId="7667">
      <pivotArea dataOnly="0" labelOnly="1" outline="0" fieldPosition="0">
        <references count="3">
          <reference field="1" count="1" selected="0">
            <x v="4"/>
          </reference>
          <reference field="3" count="1" selected="0">
            <x v="7"/>
          </reference>
          <reference field="5" count="50">
            <x v="6"/>
            <x v="7"/>
            <x v="16"/>
            <x v="20"/>
            <x v="22"/>
            <x v="27"/>
            <x v="32"/>
            <x v="34"/>
            <x v="36"/>
            <x v="47"/>
            <x v="51"/>
            <x v="52"/>
            <x v="56"/>
            <x v="61"/>
            <x v="66"/>
            <x v="68"/>
            <x v="83"/>
            <x v="94"/>
            <x v="95"/>
            <x v="107"/>
            <x v="108"/>
            <x v="109"/>
            <x v="110"/>
            <x v="113"/>
            <x v="118"/>
            <x v="119"/>
            <x v="120"/>
            <x v="121"/>
            <x v="122"/>
            <x v="123"/>
            <x v="124"/>
            <x v="125"/>
            <x v="126"/>
            <x v="127"/>
            <x v="128"/>
            <x v="129"/>
            <x v="130"/>
            <x v="137"/>
            <x v="145"/>
            <x v="146"/>
            <x v="155"/>
            <x v="156"/>
            <x v="163"/>
            <x v="170"/>
            <x v="172"/>
            <x v="175"/>
            <x v="177"/>
            <x v="180"/>
            <x v="182"/>
            <x v="183"/>
          </reference>
        </references>
      </pivotArea>
    </format>
    <format dxfId="7666">
      <pivotArea dataOnly="0" labelOnly="1" outline="0" fieldPosition="0">
        <references count="3">
          <reference field="1" count="1" selected="0">
            <x v="4"/>
          </reference>
          <reference field="3" count="1" selected="0">
            <x v="7"/>
          </reference>
          <reference field="5" count="36">
            <x v="3"/>
            <x v="21"/>
            <x v="29"/>
            <x v="41"/>
            <x v="44"/>
            <x v="59"/>
            <x v="62"/>
            <x v="87"/>
            <x v="89"/>
            <x v="91"/>
            <x v="93"/>
            <x v="105"/>
            <x v="106"/>
            <x v="144"/>
            <x v="157"/>
            <x v="158"/>
            <x v="159"/>
            <x v="164"/>
            <x v="165"/>
            <x v="167"/>
            <x v="169"/>
            <x v="171"/>
            <x v="173"/>
            <x v="174"/>
            <x v="176"/>
            <x v="178"/>
            <x v="179"/>
            <x v="181"/>
            <x v="184"/>
            <x v="185"/>
            <x v="186"/>
            <x v="187"/>
            <x v="188"/>
            <x v="189"/>
            <x v="190"/>
            <x v="207"/>
          </reference>
        </references>
      </pivotArea>
    </format>
    <format dxfId="7665">
      <pivotArea dataOnly="0" labelOnly="1" outline="0" fieldPosition="0">
        <references count="3">
          <reference field="1" count="1" selected="0">
            <x v="4"/>
          </reference>
          <reference field="3" count="1" selected="0">
            <x v="9"/>
          </reference>
          <reference field="5" count="43">
            <x v="0"/>
            <x v="4"/>
            <x v="8"/>
            <x v="10"/>
            <x v="11"/>
            <x v="12"/>
            <x v="13"/>
            <x v="14"/>
            <x v="18"/>
            <x v="19"/>
            <x v="26"/>
            <x v="31"/>
            <x v="35"/>
            <x v="37"/>
            <x v="38"/>
            <x v="39"/>
            <x v="40"/>
            <x v="42"/>
            <x v="43"/>
            <x v="45"/>
            <x v="49"/>
            <x v="53"/>
            <x v="58"/>
            <x v="63"/>
            <x v="64"/>
            <x v="67"/>
            <x v="71"/>
            <x v="74"/>
            <x v="77"/>
            <x v="81"/>
            <x v="84"/>
            <x v="85"/>
            <x v="86"/>
            <x v="114"/>
            <x v="115"/>
            <x v="132"/>
            <x v="133"/>
            <x v="134"/>
            <x v="135"/>
            <x v="136"/>
            <x v="138"/>
            <x v="139"/>
            <x v="161"/>
          </reference>
        </references>
      </pivotArea>
    </format>
    <format dxfId="7664">
      <pivotArea dataOnly="0" labelOnly="1" outline="0" fieldPosition="0">
        <references count="3">
          <reference field="1" count="1" selected="0">
            <x v="4"/>
          </reference>
          <reference field="3" count="1" selected="0">
            <x v="10"/>
          </reference>
          <reference field="5" count="13">
            <x v="23"/>
            <x v="30"/>
            <x v="80"/>
            <x v="90"/>
            <x v="92"/>
            <x v="140"/>
            <x v="142"/>
            <x v="143"/>
            <x v="160"/>
            <x v="162"/>
            <x v="209"/>
            <x v="210"/>
            <x v="211"/>
          </reference>
        </references>
      </pivotArea>
    </format>
    <format dxfId="7663">
      <pivotArea dataOnly="0" labelOnly="1" outline="0" fieldPosition="0">
        <references count="3">
          <reference field="1" count="1" selected="0">
            <x v="4"/>
          </reference>
          <reference field="3" count="1" selected="0">
            <x v="11"/>
          </reference>
          <reference field="5" count="19">
            <x v="1"/>
            <x v="2"/>
            <x v="5"/>
            <x v="9"/>
            <x v="15"/>
            <x v="17"/>
            <x v="46"/>
            <x v="48"/>
            <x v="50"/>
            <x v="54"/>
            <x v="55"/>
            <x v="57"/>
            <x v="60"/>
            <x v="69"/>
            <x v="72"/>
            <x v="73"/>
            <x v="78"/>
            <x v="79"/>
            <x v="82"/>
          </reference>
        </references>
      </pivotArea>
    </format>
    <format dxfId="7662">
      <pivotArea dataOnly="0" labelOnly="1" outline="0" fieldPosition="0">
        <references count="3">
          <reference field="1" count="1" selected="0">
            <x v="5"/>
          </reference>
          <reference field="3" count="1" selected="0">
            <x v="1"/>
          </reference>
          <reference field="5" count="4">
            <x v="75"/>
            <x v="76"/>
            <x v="166"/>
            <x v="222"/>
          </reference>
        </references>
      </pivotArea>
    </format>
    <format dxfId="7661">
      <pivotArea dataOnly="0" labelOnly="1" outline="0" fieldPosition="0">
        <references count="3">
          <reference field="1" count="1" selected="0">
            <x v="5"/>
          </reference>
          <reference field="3" count="1" selected="0">
            <x v="4"/>
          </reference>
          <reference field="5" count="19">
            <x v="65"/>
            <x v="70"/>
            <x v="191"/>
            <x v="192"/>
            <x v="193"/>
            <x v="194"/>
            <x v="195"/>
            <x v="196"/>
            <x v="197"/>
            <x v="198"/>
            <x v="199"/>
            <x v="200"/>
            <x v="201"/>
            <x v="202"/>
            <x v="203"/>
            <x v="204"/>
            <x v="205"/>
            <x v="206"/>
            <x v="337"/>
          </reference>
        </references>
      </pivotArea>
    </format>
    <format dxfId="7660">
      <pivotArea dataOnly="0" labelOnly="1" outline="0" fieldPosition="0">
        <references count="3">
          <reference field="1" count="1" selected="0">
            <x v="5"/>
          </reference>
          <reference field="3" count="1" selected="0">
            <x v="5"/>
          </reference>
          <reference field="5" count="39">
            <x v="24"/>
            <x v="25"/>
            <x v="28"/>
            <x v="33"/>
            <x v="88"/>
            <x v="96"/>
            <x v="97"/>
            <x v="98"/>
            <x v="99"/>
            <x v="100"/>
            <x v="101"/>
            <x v="102"/>
            <x v="103"/>
            <x v="104"/>
            <x v="111"/>
            <x v="112"/>
            <x v="116"/>
            <x v="117"/>
            <x v="141"/>
            <x v="147"/>
            <x v="148"/>
            <x v="149"/>
            <x v="150"/>
            <x v="151"/>
            <x v="152"/>
            <x v="153"/>
            <x v="154"/>
            <x v="168"/>
            <x v="212"/>
            <x v="213"/>
            <x v="214"/>
            <x v="215"/>
            <x v="216"/>
            <x v="217"/>
            <x v="218"/>
            <x v="219"/>
            <x v="220"/>
            <x v="221"/>
            <x v="321"/>
          </reference>
        </references>
      </pivotArea>
    </format>
    <format dxfId="7659">
      <pivotArea dataOnly="0" labelOnly="1" outline="0" fieldPosition="0">
        <references count="3">
          <reference field="1" count="1" selected="0">
            <x v="5"/>
          </reference>
          <reference field="3" count="1" selected="0">
            <x v="7"/>
          </reference>
          <reference field="5" count="50">
            <x v="6"/>
            <x v="7"/>
            <x v="16"/>
            <x v="20"/>
            <x v="22"/>
            <x v="27"/>
            <x v="32"/>
            <x v="34"/>
            <x v="36"/>
            <x v="47"/>
            <x v="51"/>
            <x v="52"/>
            <x v="56"/>
            <x v="61"/>
            <x v="66"/>
            <x v="68"/>
            <x v="83"/>
            <x v="94"/>
            <x v="95"/>
            <x v="107"/>
            <x v="108"/>
            <x v="109"/>
            <x v="110"/>
            <x v="113"/>
            <x v="118"/>
            <x v="119"/>
            <x v="120"/>
            <x v="121"/>
            <x v="122"/>
            <x v="123"/>
            <x v="124"/>
            <x v="125"/>
            <x v="126"/>
            <x v="127"/>
            <x v="128"/>
            <x v="129"/>
            <x v="130"/>
            <x v="137"/>
            <x v="145"/>
            <x v="146"/>
            <x v="155"/>
            <x v="156"/>
            <x v="163"/>
            <x v="170"/>
            <x v="172"/>
            <x v="175"/>
            <x v="177"/>
            <x v="180"/>
            <x v="182"/>
            <x v="183"/>
          </reference>
        </references>
      </pivotArea>
    </format>
    <format dxfId="7658">
      <pivotArea dataOnly="0" labelOnly="1" outline="0" fieldPosition="0">
        <references count="3">
          <reference field="1" count="1" selected="0">
            <x v="5"/>
          </reference>
          <reference field="3" count="1" selected="0">
            <x v="7"/>
          </reference>
          <reference field="5" count="36">
            <x v="3"/>
            <x v="21"/>
            <x v="29"/>
            <x v="41"/>
            <x v="44"/>
            <x v="59"/>
            <x v="62"/>
            <x v="87"/>
            <x v="89"/>
            <x v="91"/>
            <x v="93"/>
            <x v="105"/>
            <x v="106"/>
            <x v="144"/>
            <x v="157"/>
            <x v="158"/>
            <x v="159"/>
            <x v="164"/>
            <x v="165"/>
            <x v="167"/>
            <x v="169"/>
            <x v="171"/>
            <x v="173"/>
            <x v="174"/>
            <x v="176"/>
            <x v="178"/>
            <x v="179"/>
            <x v="181"/>
            <x v="184"/>
            <x v="185"/>
            <x v="186"/>
            <x v="187"/>
            <x v="188"/>
            <x v="189"/>
            <x v="190"/>
            <x v="207"/>
          </reference>
        </references>
      </pivotArea>
    </format>
    <format dxfId="7657">
      <pivotArea dataOnly="0" labelOnly="1" outline="0" fieldPosition="0">
        <references count="3">
          <reference field="1" count="1" selected="0">
            <x v="5"/>
          </reference>
          <reference field="3" count="1" selected="0">
            <x v="9"/>
          </reference>
          <reference field="5" count="43">
            <x v="0"/>
            <x v="4"/>
            <x v="8"/>
            <x v="10"/>
            <x v="11"/>
            <x v="12"/>
            <x v="13"/>
            <x v="14"/>
            <x v="18"/>
            <x v="19"/>
            <x v="26"/>
            <x v="31"/>
            <x v="35"/>
            <x v="37"/>
            <x v="38"/>
            <x v="39"/>
            <x v="40"/>
            <x v="42"/>
            <x v="43"/>
            <x v="45"/>
            <x v="49"/>
            <x v="53"/>
            <x v="58"/>
            <x v="63"/>
            <x v="64"/>
            <x v="67"/>
            <x v="71"/>
            <x v="74"/>
            <x v="77"/>
            <x v="81"/>
            <x v="84"/>
            <x v="85"/>
            <x v="86"/>
            <x v="114"/>
            <x v="115"/>
            <x v="132"/>
            <x v="133"/>
            <x v="134"/>
            <x v="135"/>
            <x v="136"/>
            <x v="138"/>
            <x v="139"/>
            <x v="161"/>
          </reference>
        </references>
      </pivotArea>
    </format>
    <format dxfId="7656">
      <pivotArea dataOnly="0" labelOnly="1" outline="0" fieldPosition="0">
        <references count="3">
          <reference field="1" count="1" selected="0">
            <x v="5"/>
          </reference>
          <reference field="3" count="1" selected="0">
            <x v="10"/>
          </reference>
          <reference field="5" count="13">
            <x v="23"/>
            <x v="30"/>
            <x v="80"/>
            <x v="90"/>
            <x v="92"/>
            <x v="140"/>
            <x v="142"/>
            <x v="143"/>
            <x v="160"/>
            <x v="162"/>
            <x v="209"/>
            <x v="210"/>
            <x v="211"/>
          </reference>
        </references>
      </pivotArea>
    </format>
    <format dxfId="7655">
      <pivotArea dataOnly="0" labelOnly="1" outline="0" fieldPosition="0">
        <references count="3">
          <reference field="1" count="1" selected="0">
            <x v="5"/>
          </reference>
          <reference field="3" count="1" selected="0">
            <x v="11"/>
          </reference>
          <reference field="5" count="19">
            <x v="1"/>
            <x v="2"/>
            <x v="5"/>
            <x v="9"/>
            <x v="15"/>
            <x v="17"/>
            <x v="46"/>
            <x v="48"/>
            <x v="50"/>
            <x v="54"/>
            <x v="55"/>
            <x v="57"/>
            <x v="60"/>
            <x v="69"/>
            <x v="72"/>
            <x v="73"/>
            <x v="78"/>
            <x v="79"/>
            <x v="82"/>
          </reference>
        </references>
      </pivotArea>
    </format>
    <format dxfId="7654">
      <pivotArea dataOnly="0" labelOnly="1" outline="0" fieldPosition="0">
        <references count="3">
          <reference field="1" count="1" selected="0">
            <x v="6"/>
          </reference>
          <reference field="3" count="1" selected="0">
            <x v="1"/>
          </reference>
          <reference field="5" count="4">
            <x v="75"/>
            <x v="76"/>
            <x v="166"/>
            <x v="222"/>
          </reference>
        </references>
      </pivotArea>
    </format>
    <format dxfId="7653">
      <pivotArea dataOnly="0" labelOnly="1" outline="0" fieldPosition="0">
        <references count="3">
          <reference field="1" count="1" selected="0">
            <x v="6"/>
          </reference>
          <reference field="3" count="1" selected="0">
            <x v="4"/>
          </reference>
          <reference field="5" count="19">
            <x v="65"/>
            <x v="70"/>
            <x v="191"/>
            <x v="192"/>
            <x v="193"/>
            <x v="194"/>
            <x v="195"/>
            <x v="196"/>
            <x v="197"/>
            <x v="198"/>
            <x v="199"/>
            <x v="200"/>
            <x v="201"/>
            <x v="202"/>
            <x v="203"/>
            <x v="204"/>
            <x v="205"/>
            <x v="206"/>
            <x v="337"/>
          </reference>
        </references>
      </pivotArea>
    </format>
    <format dxfId="7652">
      <pivotArea dataOnly="0" labelOnly="1" outline="0" fieldPosition="0">
        <references count="3">
          <reference field="1" count="1" selected="0">
            <x v="6"/>
          </reference>
          <reference field="3" count="1" selected="0">
            <x v="5"/>
          </reference>
          <reference field="5" count="39">
            <x v="24"/>
            <x v="25"/>
            <x v="28"/>
            <x v="33"/>
            <x v="88"/>
            <x v="96"/>
            <x v="97"/>
            <x v="98"/>
            <x v="99"/>
            <x v="100"/>
            <x v="101"/>
            <x v="102"/>
            <x v="103"/>
            <x v="104"/>
            <x v="111"/>
            <x v="112"/>
            <x v="116"/>
            <x v="117"/>
            <x v="141"/>
            <x v="147"/>
            <x v="148"/>
            <x v="149"/>
            <x v="150"/>
            <x v="151"/>
            <x v="152"/>
            <x v="153"/>
            <x v="154"/>
            <x v="168"/>
            <x v="212"/>
            <x v="213"/>
            <x v="214"/>
            <x v="215"/>
            <x v="216"/>
            <x v="217"/>
            <x v="218"/>
            <x v="219"/>
            <x v="220"/>
            <x v="221"/>
            <x v="321"/>
          </reference>
        </references>
      </pivotArea>
    </format>
    <format dxfId="7651">
      <pivotArea dataOnly="0" labelOnly="1" outline="0" fieldPosition="0">
        <references count="3">
          <reference field="1" count="1" selected="0">
            <x v="6"/>
          </reference>
          <reference field="3" count="1" selected="0">
            <x v="7"/>
          </reference>
          <reference field="5" count="50">
            <x v="6"/>
            <x v="7"/>
            <x v="16"/>
            <x v="20"/>
            <x v="22"/>
            <x v="27"/>
            <x v="32"/>
            <x v="34"/>
            <x v="36"/>
            <x v="47"/>
            <x v="51"/>
            <x v="52"/>
            <x v="56"/>
            <x v="61"/>
            <x v="66"/>
            <x v="68"/>
            <x v="83"/>
            <x v="94"/>
            <x v="95"/>
            <x v="107"/>
            <x v="108"/>
            <x v="109"/>
            <x v="110"/>
            <x v="113"/>
            <x v="118"/>
            <x v="119"/>
            <x v="120"/>
            <x v="121"/>
            <x v="122"/>
            <x v="123"/>
            <x v="124"/>
            <x v="125"/>
            <x v="126"/>
            <x v="127"/>
            <x v="128"/>
            <x v="129"/>
            <x v="130"/>
            <x v="137"/>
            <x v="145"/>
            <x v="146"/>
            <x v="155"/>
            <x v="156"/>
            <x v="163"/>
            <x v="170"/>
            <x v="172"/>
            <x v="175"/>
            <x v="177"/>
            <x v="180"/>
            <x v="182"/>
            <x v="183"/>
          </reference>
        </references>
      </pivotArea>
    </format>
    <format dxfId="7650">
      <pivotArea dataOnly="0" labelOnly="1" outline="0" fieldPosition="0">
        <references count="3">
          <reference field="1" count="1" selected="0">
            <x v="6"/>
          </reference>
          <reference field="3" count="1" selected="0">
            <x v="7"/>
          </reference>
          <reference field="5" count="36">
            <x v="3"/>
            <x v="21"/>
            <x v="29"/>
            <x v="41"/>
            <x v="44"/>
            <x v="59"/>
            <x v="62"/>
            <x v="87"/>
            <x v="89"/>
            <x v="91"/>
            <x v="93"/>
            <x v="105"/>
            <x v="106"/>
            <x v="144"/>
            <x v="157"/>
            <x v="158"/>
            <x v="159"/>
            <x v="164"/>
            <x v="165"/>
            <x v="167"/>
            <x v="169"/>
            <x v="171"/>
            <x v="173"/>
            <x v="174"/>
            <x v="176"/>
            <x v="178"/>
            <x v="179"/>
            <x v="181"/>
            <x v="184"/>
            <x v="185"/>
            <x v="186"/>
            <x v="187"/>
            <x v="188"/>
            <x v="189"/>
            <x v="190"/>
            <x v="207"/>
          </reference>
        </references>
      </pivotArea>
    </format>
    <format dxfId="7649">
      <pivotArea dataOnly="0" labelOnly="1" outline="0" fieldPosition="0">
        <references count="3">
          <reference field="1" count="1" selected="0">
            <x v="6"/>
          </reference>
          <reference field="3" count="1" selected="0">
            <x v="9"/>
          </reference>
          <reference field="5" count="43">
            <x v="0"/>
            <x v="4"/>
            <x v="8"/>
            <x v="10"/>
            <x v="11"/>
            <x v="12"/>
            <x v="13"/>
            <x v="14"/>
            <x v="18"/>
            <x v="19"/>
            <x v="26"/>
            <x v="31"/>
            <x v="35"/>
            <x v="37"/>
            <x v="38"/>
            <x v="39"/>
            <x v="40"/>
            <x v="42"/>
            <x v="43"/>
            <x v="45"/>
            <x v="49"/>
            <x v="53"/>
            <x v="58"/>
            <x v="63"/>
            <x v="64"/>
            <x v="67"/>
            <x v="71"/>
            <x v="74"/>
            <x v="77"/>
            <x v="81"/>
            <x v="84"/>
            <x v="85"/>
            <x v="86"/>
            <x v="114"/>
            <x v="115"/>
            <x v="132"/>
            <x v="133"/>
            <x v="134"/>
            <x v="135"/>
            <x v="136"/>
            <x v="138"/>
            <x v="139"/>
            <x v="161"/>
          </reference>
        </references>
      </pivotArea>
    </format>
    <format dxfId="7648">
      <pivotArea dataOnly="0" labelOnly="1" outline="0" fieldPosition="0">
        <references count="3">
          <reference field="1" count="1" selected="0">
            <x v="6"/>
          </reference>
          <reference field="3" count="1" selected="0">
            <x v="10"/>
          </reference>
          <reference field="5" count="13">
            <x v="23"/>
            <x v="30"/>
            <x v="80"/>
            <x v="90"/>
            <x v="92"/>
            <x v="140"/>
            <x v="142"/>
            <x v="143"/>
            <x v="160"/>
            <x v="162"/>
            <x v="209"/>
            <x v="210"/>
            <x v="211"/>
          </reference>
        </references>
      </pivotArea>
    </format>
    <format dxfId="7647">
      <pivotArea dataOnly="0" labelOnly="1" outline="0" fieldPosition="0">
        <references count="3">
          <reference field="1" count="1" selected="0">
            <x v="6"/>
          </reference>
          <reference field="3" count="1" selected="0">
            <x v="11"/>
          </reference>
          <reference field="5" count="19">
            <x v="1"/>
            <x v="2"/>
            <x v="5"/>
            <x v="9"/>
            <x v="15"/>
            <x v="17"/>
            <x v="46"/>
            <x v="48"/>
            <x v="50"/>
            <x v="54"/>
            <x v="55"/>
            <x v="57"/>
            <x v="60"/>
            <x v="69"/>
            <x v="72"/>
            <x v="73"/>
            <x v="78"/>
            <x v="79"/>
            <x v="82"/>
          </reference>
        </references>
      </pivotArea>
    </format>
    <format dxfId="7646">
      <pivotArea dataOnly="0" labelOnly="1" outline="0" fieldPosition="0">
        <references count="3">
          <reference field="1" count="1" selected="0">
            <x v="7"/>
          </reference>
          <reference field="3" count="1" selected="0">
            <x v="1"/>
          </reference>
          <reference field="5" count="4">
            <x v="75"/>
            <x v="76"/>
            <x v="166"/>
            <x v="222"/>
          </reference>
        </references>
      </pivotArea>
    </format>
    <format dxfId="7645">
      <pivotArea dataOnly="0" labelOnly="1" outline="0" fieldPosition="0">
        <references count="3">
          <reference field="1" count="1" selected="0">
            <x v="7"/>
          </reference>
          <reference field="3" count="1" selected="0">
            <x v="4"/>
          </reference>
          <reference field="5" count="19">
            <x v="65"/>
            <x v="70"/>
            <x v="191"/>
            <x v="192"/>
            <x v="193"/>
            <x v="194"/>
            <x v="195"/>
            <x v="196"/>
            <x v="197"/>
            <x v="198"/>
            <x v="199"/>
            <x v="200"/>
            <x v="201"/>
            <x v="202"/>
            <x v="203"/>
            <x v="204"/>
            <x v="205"/>
            <x v="206"/>
            <x v="337"/>
          </reference>
        </references>
      </pivotArea>
    </format>
    <format dxfId="7644">
      <pivotArea dataOnly="0" labelOnly="1" outline="0" fieldPosition="0">
        <references count="3">
          <reference field="1" count="1" selected="0">
            <x v="7"/>
          </reference>
          <reference field="3" count="1" selected="0">
            <x v="5"/>
          </reference>
          <reference field="5" count="39">
            <x v="24"/>
            <x v="25"/>
            <x v="28"/>
            <x v="33"/>
            <x v="88"/>
            <x v="96"/>
            <x v="97"/>
            <x v="98"/>
            <x v="99"/>
            <x v="100"/>
            <x v="101"/>
            <x v="102"/>
            <x v="103"/>
            <x v="104"/>
            <x v="111"/>
            <x v="112"/>
            <x v="116"/>
            <x v="117"/>
            <x v="141"/>
            <x v="147"/>
            <x v="148"/>
            <x v="149"/>
            <x v="150"/>
            <x v="151"/>
            <x v="152"/>
            <x v="153"/>
            <x v="154"/>
            <x v="168"/>
            <x v="212"/>
            <x v="213"/>
            <x v="214"/>
            <x v="215"/>
            <x v="216"/>
            <x v="217"/>
            <x v="218"/>
            <x v="219"/>
            <x v="220"/>
            <x v="221"/>
            <x v="321"/>
          </reference>
        </references>
      </pivotArea>
    </format>
    <format dxfId="7643">
      <pivotArea dataOnly="0" labelOnly="1" outline="0" fieldPosition="0">
        <references count="3">
          <reference field="1" count="1" selected="0">
            <x v="7"/>
          </reference>
          <reference field="3" count="1" selected="0">
            <x v="7"/>
          </reference>
          <reference field="5" count="50">
            <x v="6"/>
            <x v="7"/>
            <x v="16"/>
            <x v="20"/>
            <x v="22"/>
            <x v="27"/>
            <x v="32"/>
            <x v="34"/>
            <x v="36"/>
            <x v="47"/>
            <x v="51"/>
            <x v="52"/>
            <x v="56"/>
            <x v="61"/>
            <x v="66"/>
            <x v="68"/>
            <x v="83"/>
            <x v="94"/>
            <x v="95"/>
            <x v="107"/>
            <x v="108"/>
            <x v="109"/>
            <x v="110"/>
            <x v="113"/>
            <x v="118"/>
            <x v="119"/>
            <x v="120"/>
            <x v="121"/>
            <x v="122"/>
            <x v="123"/>
            <x v="124"/>
            <x v="125"/>
            <x v="126"/>
            <x v="127"/>
            <x v="128"/>
            <x v="129"/>
            <x v="130"/>
            <x v="137"/>
            <x v="145"/>
            <x v="146"/>
            <x v="155"/>
            <x v="156"/>
            <x v="163"/>
            <x v="170"/>
            <x v="172"/>
            <x v="175"/>
            <x v="177"/>
            <x v="180"/>
            <x v="182"/>
            <x v="183"/>
          </reference>
        </references>
      </pivotArea>
    </format>
    <format dxfId="7642">
      <pivotArea dataOnly="0" labelOnly="1" outline="0" fieldPosition="0">
        <references count="3">
          <reference field="1" count="1" selected="0">
            <x v="7"/>
          </reference>
          <reference field="3" count="1" selected="0">
            <x v="7"/>
          </reference>
          <reference field="5" count="36">
            <x v="3"/>
            <x v="21"/>
            <x v="29"/>
            <x v="41"/>
            <x v="44"/>
            <x v="59"/>
            <x v="62"/>
            <x v="87"/>
            <x v="89"/>
            <x v="91"/>
            <x v="93"/>
            <x v="105"/>
            <x v="106"/>
            <x v="144"/>
            <x v="157"/>
            <x v="158"/>
            <x v="159"/>
            <x v="164"/>
            <x v="165"/>
            <x v="167"/>
            <x v="169"/>
            <x v="171"/>
            <x v="173"/>
            <x v="174"/>
            <x v="176"/>
            <x v="178"/>
            <x v="179"/>
            <x v="181"/>
            <x v="184"/>
            <x v="185"/>
            <x v="186"/>
            <x v="187"/>
            <x v="188"/>
            <x v="189"/>
            <x v="190"/>
            <x v="207"/>
          </reference>
        </references>
      </pivotArea>
    </format>
    <format dxfId="7641">
      <pivotArea dataOnly="0" labelOnly="1" outline="0" fieldPosition="0">
        <references count="3">
          <reference field="1" count="1" selected="0">
            <x v="7"/>
          </reference>
          <reference field="3" count="1" selected="0">
            <x v="9"/>
          </reference>
          <reference field="5" count="43">
            <x v="0"/>
            <x v="4"/>
            <x v="8"/>
            <x v="10"/>
            <x v="11"/>
            <x v="12"/>
            <x v="13"/>
            <x v="14"/>
            <x v="18"/>
            <x v="19"/>
            <x v="26"/>
            <x v="31"/>
            <x v="35"/>
            <x v="37"/>
            <x v="38"/>
            <x v="39"/>
            <x v="40"/>
            <x v="42"/>
            <x v="43"/>
            <x v="45"/>
            <x v="49"/>
            <x v="53"/>
            <x v="58"/>
            <x v="63"/>
            <x v="64"/>
            <x v="67"/>
            <x v="71"/>
            <x v="74"/>
            <x v="77"/>
            <x v="81"/>
            <x v="84"/>
            <x v="85"/>
            <x v="86"/>
            <x v="114"/>
            <x v="115"/>
            <x v="132"/>
            <x v="133"/>
            <x v="134"/>
            <x v="135"/>
            <x v="136"/>
            <x v="138"/>
            <x v="139"/>
            <x v="161"/>
          </reference>
        </references>
      </pivotArea>
    </format>
    <format dxfId="7640">
      <pivotArea dataOnly="0" labelOnly="1" outline="0" fieldPosition="0">
        <references count="3">
          <reference field="1" count="1" selected="0">
            <x v="7"/>
          </reference>
          <reference field="3" count="1" selected="0">
            <x v="10"/>
          </reference>
          <reference field="5" count="13">
            <x v="23"/>
            <x v="30"/>
            <x v="80"/>
            <x v="90"/>
            <x v="92"/>
            <x v="140"/>
            <x v="142"/>
            <x v="143"/>
            <x v="160"/>
            <x v="162"/>
            <x v="209"/>
            <x v="210"/>
            <x v="211"/>
          </reference>
        </references>
      </pivotArea>
    </format>
    <format dxfId="7639">
      <pivotArea dataOnly="0" labelOnly="1" outline="0" fieldPosition="0">
        <references count="3">
          <reference field="1" count="1" selected="0">
            <x v="7"/>
          </reference>
          <reference field="3" count="1" selected="0">
            <x v="11"/>
          </reference>
          <reference field="5" count="19">
            <x v="1"/>
            <x v="2"/>
            <x v="5"/>
            <x v="9"/>
            <x v="15"/>
            <x v="17"/>
            <x v="46"/>
            <x v="48"/>
            <x v="50"/>
            <x v="54"/>
            <x v="55"/>
            <x v="57"/>
            <x v="60"/>
            <x v="69"/>
            <x v="72"/>
            <x v="73"/>
            <x v="78"/>
            <x v="79"/>
            <x v="82"/>
          </reference>
        </references>
      </pivotArea>
    </format>
    <format dxfId="7638">
      <pivotArea dataOnly="0" labelOnly="1" outline="0" fieldPosition="0">
        <references count="3">
          <reference field="1" count="1" selected="0">
            <x v="8"/>
          </reference>
          <reference field="3" count="1" selected="0">
            <x v="1"/>
          </reference>
          <reference field="5" count="4">
            <x v="75"/>
            <x v="76"/>
            <x v="166"/>
            <x v="222"/>
          </reference>
        </references>
      </pivotArea>
    </format>
    <format dxfId="7637">
      <pivotArea dataOnly="0" labelOnly="1" outline="0" fieldPosition="0">
        <references count="3">
          <reference field="1" count="1" selected="0">
            <x v="8"/>
          </reference>
          <reference field="3" count="1" selected="0">
            <x v="4"/>
          </reference>
          <reference field="5" count="19">
            <x v="65"/>
            <x v="70"/>
            <x v="191"/>
            <x v="192"/>
            <x v="193"/>
            <x v="194"/>
            <x v="195"/>
            <x v="196"/>
            <x v="197"/>
            <x v="198"/>
            <x v="199"/>
            <x v="200"/>
            <x v="201"/>
            <x v="202"/>
            <x v="203"/>
            <x v="204"/>
            <x v="205"/>
            <x v="206"/>
            <x v="337"/>
          </reference>
        </references>
      </pivotArea>
    </format>
    <format dxfId="7636">
      <pivotArea dataOnly="0" labelOnly="1" outline="0" fieldPosition="0">
        <references count="3">
          <reference field="1" count="1" selected="0">
            <x v="8"/>
          </reference>
          <reference field="3" count="1" selected="0">
            <x v="5"/>
          </reference>
          <reference field="5" count="39">
            <x v="24"/>
            <x v="25"/>
            <x v="28"/>
            <x v="33"/>
            <x v="88"/>
            <x v="96"/>
            <x v="97"/>
            <x v="98"/>
            <x v="99"/>
            <x v="100"/>
            <x v="101"/>
            <x v="102"/>
            <x v="103"/>
            <x v="104"/>
            <x v="111"/>
            <x v="112"/>
            <x v="116"/>
            <x v="117"/>
            <x v="141"/>
            <x v="147"/>
            <x v="148"/>
            <x v="149"/>
            <x v="150"/>
            <x v="151"/>
            <x v="152"/>
            <x v="153"/>
            <x v="154"/>
            <x v="168"/>
            <x v="212"/>
            <x v="213"/>
            <x v="214"/>
            <x v="215"/>
            <x v="216"/>
            <x v="217"/>
            <x v="218"/>
            <x v="219"/>
            <x v="220"/>
            <x v="221"/>
            <x v="321"/>
          </reference>
        </references>
      </pivotArea>
    </format>
    <format dxfId="7635">
      <pivotArea dataOnly="0" labelOnly="1" outline="0" fieldPosition="0">
        <references count="3">
          <reference field="1" count="1" selected="0">
            <x v="8"/>
          </reference>
          <reference field="3" count="1" selected="0">
            <x v="7"/>
          </reference>
          <reference field="5" count="50">
            <x v="6"/>
            <x v="7"/>
            <x v="16"/>
            <x v="20"/>
            <x v="22"/>
            <x v="27"/>
            <x v="32"/>
            <x v="34"/>
            <x v="36"/>
            <x v="47"/>
            <x v="51"/>
            <x v="52"/>
            <x v="56"/>
            <x v="61"/>
            <x v="66"/>
            <x v="68"/>
            <x v="83"/>
            <x v="94"/>
            <x v="95"/>
            <x v="107"/>
            <x v="108"/>
            <x v="109"/>
            <x v="110"/>
            <x v="113"/>
            <x v="118"/>
            <x v="119"/>
            <x v="120"/>
            <x v="121"/>
            <x v="122"/>
            <x v="123"/>
            <x v="124"/>
            <x v="125"/>
            <x v="126"/>
            <x v="127"/>
            <x v="128"/>
            <x v="129"/>
            <x v="130"/>
            <x v="137"/>
            <x v="145"/>
            <x v="146"/>
            <x v="155"/>
            <x v="156"/>
            <x v="163"/>
            <x v="170"/>
            <x v="172"/>
            <x v="175"/>
            <x v="177"/>
            <x v="180"/>
            <x v="182"/>
            <x v="183"/>
          </reference>
        </references>
      </pivotArea>
    </format>
    <format dxfId="7634">
      <pivotArea dataOnly="0" labelOnly="1" outline="0" fieldPosition="0">
        <references count="3">
          <reference field="1" count="1" selected="0">
            <x v="8"/>
          </reference>
          <reference field="3" count="1" selected="0">
            <x v="7"/>
          </reference>
          <reference field="5" count="36">
            <x v="3"/>
            <x v="21"/>
            <x v="29"/>
            <x v="41"/>
            <x v="44"/>
            <x v="59"/>
            <x v="62"/>
            <x v="87"/>
            <x v="89"/>
            <x v="91"/>
            <x v="93"/>
            <x v="105"/>
            <x v="106"/>
            <x v="144"/>
            <x v="157"/>
            <x v="158"/>
            <x v="159"/>
            <x v="164"/>
            <x v="165"/>
            <x v="167"/>
            <x v="169"/>
            <x v="171"/>
            <x v="173"/>
            <x v="174"/>
            <x v="176"/>
            <x v="178"/>
            <x v="179"/>
            <x v="181"/>
            <x v="184"/>
            <x v="185"/>
            <x v="186"/>
            <x v="187"/>
            <x v="188"/>
            <x v="189"/>
            <x v="190"/>
            <x v="207"/>
          </reference>
        </references>
      </pivotArea>
    </format>
    <format dxfId="7633">
      <pivotArea dataOnly="0" labelOnly="1" outline="0" fieldPosition="0">
        <references count="3">
          <reference field="1" count="1" selected="0">
            <x v="8"/>
          </reference>
          <reference field="3" count="1" selected="0">
            <x v="9"/>
          </reference>
          <reference field="5" count="43">
            <x v="0"/>
            <x v="4"/>
            <x v="8"/>
            <x v="10"/>
            <x v="11"/>
            <x v="12"/>
            <x v="13"/>
            <x v="14"/>
            <x v="18"/>
            <x v="19"/>
            <x v="26"/>
            <x v="31"/>
            <x v="35"/>
            <x v="37"/>
            <x v="38"/>
            <x v="39"/>
            <x v="40"/>
            <x v="42"/>
            <x v="43"/>
            <x v="45"/>
            <x v="49"/>
            <x v="53"/>
            <x v="58"/>
            <x v="63"/>
            <x v="64"/>
            <x v="67"/>
            <x v="71"/>
            <x v="74"/>
            <x v="77"/>
            <x v="81"/>
            <x v="84"/>
            <x v="85"/>
            <x v="86"/>
            <x v="114"/>
            <x v="115"/>
            <x v="132"/>
            <x v="133"/>
            <x v="134"/>
            <x v="135"/>
            <x v="136"/>
            <x v="138"/>
            <x v="139"/>
            <x v="161"/>
          </reference>
        </references>
      </pivotArea>
    </format>
    <format dxfId="7632">
      <pivotArea dataOnly="0" labelOnly="1" outline="0" fieldPosition="0">
        <references count="3">
          <reference field="1" count="1" selected="0">
            <x v="8"/>
          </reference>
          <reference field="3" count="1" selected="0">
            <x v="10"/>
          </reference>
          <reference field="5" count="13">
            <x v="23"/>
            <x v="30"/>
            <x v="80"/>
            <x v="90"/>
            <x v="92"/>
            <x v="140"/>
            <x v="142"/>
            <x v="143"/>
            <x v="160"/>
            <x v="162"/>
            <x v="209"/>
            <x v="210"/>
            <x v="211"/>
          </reference>
        </references>
      </pivotArea>
    </format>
    <format dxfId="7631">
      <pivotArea dataOnly="0" labelOnly="1" outline="0" fieldPosition="0">
        <references count="3">
          <reference field="1" count="1" selected="0">
            <x v="8"/>
          </reference>
          <reference field="3" count="1" selected="0">
            <x v="11"/>
          </reference>
          <reference field="5" count="19">
            <x v="1"/>
            <x v="2"/>
            <x v="5"/>
            <x v="9"/>
            <x v="15"/>
            <x v="17"/>
            <x v="46"/>
            <x v="48"/>
            <x v="50"/>
            <x v="54"/>
            <x v="55"/>
            <x v="57"/>
            <x v="60"/>
            <x v="69"/>
            <x v="72"/>
            <x v="73"/>
            <x v="78"/>
            <x v="79"/>
            <x v="82"/>
          </reference>
        </references>
      </pivotArea>
    </format>
    <format dxfId="7630">
      <pivotArea dataOnly="0" labelOnly="1" outline="0" fieldPosition="0">
        <references count="3">
          <reference field="1" count="1" selected="0">
            <x v="9"/>
          </reference>
          <reference field="3" count="1" selected="0">
            <x v="1"/>
          </reference>
          <reference field="5" count="4">
            <x v="75"/>
            <x v="76"/>
            <x v="166"/>
            <x v="222"/>
          </reference>
        </references>
      </pivotArea>
    </format>
    <format dxfId="7629">
      <pivotArea dataOnly="0" labelOnly="1" outline="0" fieldPosition="0">
        <references count="3">
          <reference field="1" count="1" selected="0">
            <x v="9"/>
          </reference>
          <reference field="3" count="1" selected="0">
            <x v="4"/>
          </reference>
          <reference field="5" count="19">
            <x v="65"/>
            <x v="70"/>
            <x v="191"/>
            <x v="192"/>
            <x v="193"/>
            <x v="194"/>
            <x v="195"/>
            <x v="196"/>
            <x v="197"/>
            <x v="198"/>
            <x v="199"/>
            <x v="200"/>
            <x v="201"/>
            <x v="202"/>
            <x v="203"/>
            <x v="204"/>
            <x v="205"/>
            <x v="206"/>
            <x v="337"/>
          </reference>
        </references>
      </pivotArea>
    </format>
    <format dxfId="7628">
      <pivotArea dataOnly="0" labelOnly="1" outline="0" fieldPosition="0">
        <references count="3">
          <reference field="1" count="1" selected="0">
            <x v="9"/>
          </reference>
          <reference field="3" count="1" selected="0">
            <x v="5"/>
          </reference>
          <reference field="5" count="39">
            <x v="24"/>
            <x v="25"/>
            <x v="28"/>
            <x v="33"/>
            <x v="88"/>
            <x v="96"/>
            <x v="97"/>
            <x v="98"/>
            <x v="99"/>
            <x v="100"/>
            <x v="101"/>
            <x v="102"/>
            <x v="103"/>
            <x v="104"/>
            <x v="111"/>
            <x v="112"/>
            <x v="116"/>
            <x v="117"/>
            <x v="141"/>
            <x v="147"/>
            <x v="148"/>
            <x v="149"/>
            <x v="150"/>
            <x v="151"/>
            <x v="152"/>
            <x v="153"/>
            <x v="154"/>
            <x v="168"/>
            <x v="212"/>
            <x v="213"/>
            <x v="214"/>
            <x v="215"/>
            <x v="216"/>
            <x v="217"/>
            <x v="218"/>
            <x v="219"/>
            <x v="220"/>
            <x v="221"/>
            <x v="321"/>
          </reference>
        </references>
      </pivotArea>
    </format>
    <format dxfId="7627">
      <pivotArea dataOnly="0" labelOnly="1" outline="0" fieldPosition="0">
        <references count="3">
          <reference field="1" count="1" selected="0">
            <x v="9"/>
          </reference>
          <reference field="3" count="1" selected="0">
            <x v="7"/>
          </reference>
          <reference field="5" count="50">
            <x v="6"/>
            <x v="7"/>
            <x v="16"/>
            <x v="20"/>
            <x v="22"/>
            <x v="27"/>
            <x v="32"/>
            <x v="34"/>
            <x v="36"/>
            <x v="47"/>
            <x v="51"/>
            <x v="52"/>
            <x v="56"/>
            <x v="61"/>
            <x v="66"/>
            <x v="68"/>
            <x v="83"/>
            <x v="94"/>
            <x v="95"/>
            <x v="107"/>
            <x v="108"/>
            <x v="109"/>
            <x v="110"/>
            <x v="113"/>
            <x v="118"/>
            <x v="119"/>
            <x v="120"/>
            <x v="121"/>
            <x v="122"/>
            <x v="123"/>
            <x v="124"/>
            <x v="125"/>
            <x v="126"/>
            <x v="127"/>
            <x v="128"/>
            <x v="129"/>
            <x v="130"/>
            <x v="137"/>
            <x v="145"/>
            <x v="146"/>
            <x v="155"/>
            <x v="156"/>
            <x v="163"/>
            <x v="170"/>
            <x v="172"/>
            <x v="175"/>
            <x v="177"/>
            <x v="180"/>
            <x v="182"/>
            <x v="183"/>
          </reference>
        </references>
      </pivotArea>
    </format>
    <format dxfId="7626">
      <pivotArea dataOnly="0" labelOnly="1" outline="0" fieldPosition="0">
        <references count="3">
          <reference field="1" count="1" selected="0">
            <x v="9"/>
          </reference>
          <reference field="3" count="1" selected="0">
            <x v="7"/>
          </reference>
          <reference field="5" count="36">
            <x v="3"/>
            <x v="21"/>
            <x v="29"/>
            <x v="41"/>
            <x v="44"/>
            <x v="59"/>
            <x v="62"/>
            <x v="87"/>
            <x v="89"/>
            <x v="91"/>
            <x v="93"/>
            <x v="105"/>
            <x v="106"/>
            <x v="144"/>
            <x v="157"/>
            <x v="158"/>
            <x v="159"/>
            <x v="164"/>
            <x v="165"/>
            <x v="167"/>
            <x v="169"/>
            <x v="171"/>
            <x v="173"/>
            <x v="174"/>
            <x v="176"/>
            <x v="178"/>
            <x v="179"/>
            <x v="181"/>
            <x v="184"/>
            <x v="185"/>
            <x v="186"/>
            <x v="187"/>
            <x v="188"/>
            <x v="189"/>
            <x v="190"/>
            <x v="207"/>
          </reference>
        </references>
      </pivotArea>
    </format>
    <format dxfId="7625">
      <pivotArea dataOnly="0" labelOnly="1" outline="0" fieldPosition="0">
        <references count="3">
          <reference field="1" count="1" selected="0">
            <x v="9"/>
          </reference>
          <reference field="3" count="1" selected="0">
            <x v="9"/>
          </reference>
          <reference field="5" count="43">
            <x v="0"/>
            <x v="4"/>
            <x v="8"/>
            <x v="10"/>
            <x v="11"/>
            <x v="12"/>
            <x v="13"/>
            <x v="14"/>
            <x v="18"/>
            <x v="19"/>
            <x v="26"/>
            <x v="31"/>
            <x v="35"/>
            <x v="37"/>
            <x v="38"/>
            <x v="39"/>
            <x v="40"/>
            <x v="42"/>
            <x v="43"/>
            <x v="45"/>
            <x v="49"/>
            <x v="53"/>
            <x v="58"/>
            <x v="63"/>
            <x v="64"/>
            <x v="67"/>
            <x v="71"/>
            <x v="74"/>
            <x v="77"/>
            <x v="81"/>
            <x v="84"/>
            <x v="85"/>
            <x v="86"/>
            <x v="114"/>
            <x v="115"/>
            <x v="132"/>
            <x v="133"/>
            <x v="134"/>
            <x v="135"/>
            <x v="136"/>
            <x v="138"/>
            <x v="139"/>
            <x v="161"/>
          </reference>
        </references>
      </pivotArea>
    </format>
    <format dxfId="7624">
      <pivotArea dataOnly="0" labelOnly="1" outline="0" fieldPosition="0">
        <references count="3">
          <reference field="1" count="1" selected="0">
            <x v="9"/>
          </reference>
          <reference field="3" count="1" selected="0">
            <x v="10"/>
          </reference>
          <reference field="5" count="14">
            <x v="1"/>
            <x v="23"/>
            <x v="30"/>
            <x v="80"/>
            <x v="90"/>
            <x v="92"/>
            <x v="140"/>
            <x v="142"/>
            <x v="143"/>
            <x v="160"/>
            <x v="162"/>
            <x v="209"/>
            <x v="210"/>
            <x v="211"/>
          </reference>
        </references>
      </pivotArea>
    </format>
    <format dxfId="7623">
      <pivotArea dataOnly="0" labelOnly="1" outline="0" fieldPosition="0">
        <references count="3">
          <reference field="1" count="1" selected="0">
            <x v="9"/>
          </reference>
          <reference field="3" count="1" selected="0">
            <x v="11"/>
          </reference>
          <reference field="5" count="18">
            <x v="2"/>
            <x v="5"/>
            <x v="9"/>
            <x v="15"/>
            <x v="17"/>
            <x v="46"/>
            <x v="48"/>
            <x v="50"/>
            <x v="54"/>
            <x v="55"/>
            <x v="57"/>
            <x v="60"/>
            <x v="69"/>
            <x v="72"/>
            <x v="73"/>
            <x v="78"/>
            <x v="79"/>
            <x v="82"/>
          </reference>
        </references>
      </pivotArea>
    </format>
    <format dxfId="7622">
      <pivotArea dataOnly="0" labelOnly="1" outline="0" fieldPosition="0">
        <references count="3">
          <reference field="1" count="1" selected="0">
            <x v="27"/>
          </reference>
          <reference field="3" count="1" selected="0">
            <x v="1"/>
          </reference>
          <reference field="5" count="4">
            <x v="75"/>
            <x v="76"/>
            <x v="166"/>
            <x v="222"/>
          </reference>
        </references>
      </pivotArea>
    </format>
    <format dxfId="7621">
      <pivotArea dataOnly="0" labelOnly="1" outline="0" fieldPosition="0">
        <references count="3">
          <reference field="1" count="1" selected="0">
            <x v="27"/>
          </reference>
          <reference field="3" count="1" selected="0">
            <x v="4"/>
          </reference>
          <reference field="5" count="19">
            <x v="65"/>
            <x v="70"/>
            <x v="191"/>
            <x v="192"/>
            <x v="193"/>
            <x v="194"/>
            <x v="195"/>
            <x v="196"/>
            <x v="197"/>
            <x v="198"/>
            <x v="199"/>
            <x v="200"/>
            <x v="201"/>
            <x v="202"/>
            <x v="203"/>
            <x v="204"/>
            <x v="205"/>
            <x v="206"/>
            <x v="337"/>
          </reference>
        </references>
      </pivotArea>
    </format>
    <format dxfId="7620">
      <pivotArea dataOnly="0" labelOnly="1" outline="0" fieldPosition="0">
        <references count="3">
          <reference field="1" count="1" selected="0">
            <x v="27"/>
          </reference>
          <reference field="3" count="1" selected="0">
            <x v="5"/>
          </reference>
          <reference field="5" count="39">
            <x v="24"/>
            <x v="25"/>
            <x v="28"/>
            <x v="33"/>
            <x v="88"/>
            <x v="96"/>
            <x v="97"/>
            <x v="98"/>
            <x v="99"/>
            <x v="100"/>
            <x v="101"/>
            <x v="102"/>
            <x v="103"/>
            <x v="104"/>
            <x v="111"/>
            <x v="112"/>
            <x v="116"/>
            <x v="117"/>
            <x v="141"/>
            <x v="147"/>
            <x v="148"/>
            <x v="149"/>
            <x v="150"/>
            <x v="151"/>
            <x v="152"/>
            <x v="153"/>
            <x v="154"/>
            <x v="168"/>
            <x v="212"/>
            <x v="213"/>
            <x v="214"/>
            <x v="215"/>
            <x v="216"/>
            <x v="217"/>
            <x v="218"/>
            <x v="219"/>
            <x v="220"/>
            <x v="221"/>
            <x v="318"/>
          </reference>
        </references>
      </pivotArea>
    </format>
    <format dxfId="7619">
      <pivotArea dataOnly="0" labelOnly="1" outline="0" fieldPosition="0">
        <references count="3">
          <reference field="1" count="1" selected="0">
            <x v="27"/>
          </reference>
          <reference field="3" count="1" selected="0">
            <x v="7"/>
          </reference>
          <reference field="5" count="50">
            <x v="6"/>
            <x v="7"/>
            <x v="16"/>
            <x v="20"/>
            <x v="22"/>
            <x v="27"/>
            <x v="32"/>
            <x v="34"/>
            <x v="36"/>
            <x v="47"/>
            <x v="51"/>
            <x v="52"/>
            <x v="56"/>
            <x v="61"/>
            <x v="66"/>
            <x v="68"/>
            <x v="83"/>
            <x v="94"/>
            <x v="95"/>
            <x v="107"/>
            <x v="108"/>
            <x v="109"/>
            <x v="110"/>
            <x v="113"/>
            <x v="118"/>
            <x v="119"/>
            <x v="120"/>
            <x v="121"/>
            <x v="122"/>
            <x v="123"/>
            <x v="124"/>
            <x v="125"/>
            <x v="126"/>
            <x v="127"/>
            <x v="128"/>
            <x v="129"/>
            <x v="130"/>
            <x v="137"/>
            <x v="145"/>
            <x v="146"/>
            <x v="155"/>
            <x v="156"/>
            <x v="163"/>
            <x v="170"/>
            <x v="172"/>
            <x v="175"/>
            <x v="177"/>
            <x v="180"/>
            <x v="182"/>
            <x v="183"/>
          </reference>
        </references>
      </pivotArea>
    </format>
    <format dxfId="7618">
      <pivotArea dataOnly="0" labelOnly="1" outline="0" fieldPosition="0">
        <references count="3">
          <reference field="1" count="1" selected="0">
            <x v="27"/>
          </reference>
          <reference field="3" count="1" selected="0">
            <x v="7"/>
          </reference>
          <reference field="5" count="36">
            <x v="3"/>
            <x v="21"/>
            <x v="29"/>
            <x v="41"/>
            <x v="44"/>
            <x v="59"/>
            <x v="62"/>
            <x v="87"/>
            <x v="89"/>
            <x v="91"/>
            <x v="93"/>
            <x v="105"/>
            <x v="106"/>
            <x v="144"/>
            <x v="157"/>
            <x v="158"/>
            <x v="159"/>
            <x v="164"/>
            <x v="165"/>
            <x v="167"/>
            <x v="169"/>
            <x v="171"/>
            <x v="173"/>
            <x v="174"/>
            <x v="176"/>
            <x v="178"/>
            <x v="179"/>
            <x v="181"/>
            <x v="184"/>
            <x v="185"/>
            <x v="186"/>
            <x v="187"/>
            <x v="188"/>
            <x v="189"/>
            <x v="190"/>
            <x v="207"/>
          </reference>
        </references>
      </pivotArea>
    </format>
    <format dxfId="7617">
      <pivotArea dataOnly="0" labelOnly="1" outline="0" fieldPosition="0">
        <references count="3">
          <reference field="1" count="1" selected="0">
            <x v="27"/>
          </reference>
          <reference field="3" count="1" selected="0">
            <x v="9"/>
          </reference>
          <reference field="5" count="43">
            <x v="0"/>
            <x v="4"/>
            <x v="8"/>
            <x v="10"/>
            <x v="11"/>
            <x v="12"/>
            <x v="13"/>
            <x v="14"/>
            <x v="18"/>
            <x v="19"/>
            <x v="26"/>
            <x v="31"/>
            <x v="35"/>
            <x v="37"/>
            <x v="38"/>
            <x v="39"/>
            <x v="40"/>
            <x v="42"/>
            <x v="43"/>
            <x v="45"/>
            <x v="49"/>
            <x v="53"/>
            <x v="58"/>
            <x v="63"/>
            <x v="64"/>
            <x v="67"/>
            <x v="71"/>
            <x v="74"/>
            <x v="77"/>
            <x v="81"/>
            <x v="84"/>
            <x v="85"/>
            <x v="86"/>
            <x v="114"/>
            <x v="115"/>
            <x v="132"/>
            <x v="133"/>
            <x v="134"/>
            <x v="135"/>
            <x v="136"/>
            <x v="138"/>
            <x v="139"/>
            <x v="161"/>
          </reference>
        </references>
      </pivotArea>
    </format>
    <format dxfId="7616">
      <pivotArea dataOnly="0" labelOnly="1" outline="0" fieldPosition="0">
        <references count="3">
          <reference field="1" count="1" selected="0">
            <x v="27"/>
          </reference>
          <reference field="3" count="1" selected="0">
            <x v="10"/>
          </reference>
          <reference field="5" count="13">
            <x v="23"/>
            <x v="30"/>
            <x v="80"/>
            <x v="90"/>
            <x v="92"/>
            <x v="140"/>
            <x v="142"/>
            <x v="143"/>
            <x v="160"/>
            <x v="162"/>
            <x v="209"/>
            <x v="210"/>
            <x v="211"/>
          </reference>
        </references>
      </pivotArea>
    </format>
    <format dxfId="7615">
      <pivotArea dataOnly="0" labelOnly="1" outline="0" fieldPosition="0">
        <references count="3">
          <reference field="1" count="1" selected="0">
            <x v="27"/>
          </reference>
          <reference field="3" count="1" selected="0">
            <x v="11"/>
          </reference>
          <reference field="5" count="19">
            <x v="1"/>
            <x v="2"/>
            <x v="5"/>
            <x v="9"/>
            <x v="15"/>
            <x v="17"/>
            <x v="46"/>
            <x v="48"/>
            <x v="50"/>
            <x v="54"/>
            <x v="55"/>
            <x v="57"/>
            <x v="60"/>
            <x v="69"/>
            <x v="72"/>
            <x v="73"/>
            <x v="78"/>
            <x v="79"/>
            <x v="82"/>
          </reference>
        </references>
      </pivotArea>
    </format>
    <format dxfId="7614">
      <pivotArea dataOnly="0" labelOnly="1" outline="0" fieldPosition="0">
        <references count="3">
          <reference field="1" count="1" selected="0">
            <x v="10"/>
          </reference>
          <reference field="3" count="1" selected="0">
            <x v="1"/>
          </reference>
          <reference field="5" count="4">
            <x v="75"/>
            <x v="76"/>
            <x v="166"/>
            <x v="222"/>
          </reference>
        </references>
      </pivotArea>
    </format>
    <format dxfId="7613">
      <pivotArea dataOnly="0" labelOnly="1" outline="0" fieldPosition="0">
        <references count="3">
          <reference field="1" count="1" selected="0">
            <x v="10"/>
          </reference>
          <reference field="3" count="1" selected="0">
            <x v="4"/>
          </reference>
          <reference field="5" count="19">
            <x v="65"/>
            <x v="70"/>
            <x v="191"/>
            <x v="192"/>
            <x v="193"/>
            <x v="194"/>
            <x v="195"/>
            <x v="196"/>
            <x v="197"/>
            <x v="198"/>
            <x v="199"/>
            <x v="200"/>
            <x v="201"/>
            <x v="202"/>
            <x v="203"/>
            <x v="204"/>
            <x v="205"/>
            <x v="206"/>
            <x v="337"/>
          </reference>
        </references>
      </pivotArea>
    </format>
    <format dxfId="7612">
      <pivotArea dataOnly="0" labelOnly="1" outline="0" fieldPosition="0">
        <references count="3">
          <reference field="1" count="1" selected="0">
            <x v="10"/>
          </reference>
          <reference field="3" count="1" selected="0">
            <x v="5"/>
          </reference>
          <reference field="5" count="39">
            <x v="24"/>
            <x v="25"/>
            <x v="28"/>
            <x v="33"/>
            <x v="88"/>
            <x v="96"/>
            <x v="97"/>
            <x v="98"/>
            <x v="99"/>
            <x v="100"/>
            <x v="101"/>
            <x v="102"/>
            <x v="103"/>
            <x v="104"/>
            <x v="111"/>
            <x v="112"/>
            <x v="116"/>
            <x v="117"/>
            <x v="141"/>
            <x v="147"/>
            <x v="148"/>
            <x v="149"/>
            <x v="150"/>
            <x v="151"/>
            <x v="152"/>
            <x v="153"/>
            <x v="154"/>
            <x v="168"/>
            <x v="212"/>
            <x v="213"/>
            <x v="214"/>
            <x v="215"/>
            <x v="216"/>
            <x v="217"/>
            <x v="218"/>
            <x v="219"/>
            <x v="220"/>
            <x v="221"/>
            <x v="318"/>
          </reference>
        </references>
      </pivotArea>
    </format>
    <format dxfId="7611">
      <pivotArea dataOnly="0" labelOnly="1" outline="0" fieldPosition="0">
        <references count="3">
          <reference field="1" count="1" selected="0">
            <x v="10"/>
          </reference>
          <reference field="3" count="1" selected="0">
            <x v="7"/>
          </reference>
          <reference field="5" count="50">
            <x v="6"/>
            <x v="7"/>
            <x v="16"/>
            <x v="20"/>
            <x v="22"/>
            <x v="27"/>
            <x v="32"/>
            <x v="34"/>
            <x v="36"/>
            <x v="47"/>
            <x v="51"/>
            <x v="52"/>
            <x v="56"/>
            <x v="61"/>
            <x v="66"/>
            <x v="68"/>
            <x v="83"/>
            <x v="94"/>
            <x v="95"/>
            <x v="107"/>
            <x v="108"/>
            <x v="109"/>
            <x v="110"/>
            <x v="113"/>
            <x v="118"/>
            <x v="119"/>
            <x v="120"/>
            <x v="121"/>
            <x v="122"/>
            <x v="123"/>
            <x v="124"/>
            <x v="125"/>
            <x v="126"/>
            <x v="127"/>
            <x v="128"/>
            <x v="129"/>
            <x v="130"/>
            <x v="137"/>
            <x v="145"/>
            <x v="146"/>
            <x v="155"/>
            <x v="156"/>
            <x v="163"/>
            <x v="170"/>
            <x v="172"/>
            <x v="175"/>
            <x v="177"/>
            <x v="180"/>
            <x v="182"/>
            <x v="183"/>
          </reference>
        </references>
      </pivotArea>
    </format>
    <format dxfId="7610">
      <pivotArea dataOnly="0" labelOnly="1" outline="0" fieldPosition="0">
        <references count="3">
          <reference field="1" count="1" selected="0">
            <x v="10"/>
          </reference>
          <reference field="3" count="1" selected="0">
            <x v="7"/>
          </reference>
          <reference field="5" count="36">
            <x v="3"/>
            <x v="21"/>
            <x v="29"/>
            <x v="41"/>
            <x v="44"/>
            <x v="59"/>
            <x v="62"/>
            <x v="87"/>
            <x v="89"/>
            <x v="91"/>
            <x v="93"/>
            <x v="105"/>
            <x v="106"/>
            <x v="144"/>
            <x v="157"/>
            <x v="158"/>
            <x v="159"/>
            <x v="164"/>
            <x v="165"/>
            <x v="167"/>
            <x v="169"/>
            <x v="171"/>
            <x v="173"/>
            <x v="174"/>
            <x v="176"/>
            <x v="178"/>
            <x v="179"/>
            <x v="181"/>
            <x v="184"/>
            <x v="185"/>
            <x v="186"/>
            <x v="187"/>
            <x v="188"/>
            <x v="189"/>
            <x v="190"/>
            <x v="207"/>
          </reference>
        </references>
      </pivotArea>
    </format>
    <format dxfId="7609">
      <pivotArea dataOnly="0" labelOnly="1" outline="0" fieldPosition="0">
        <references count="3">
          <reference field="1" count="1" selected="0">
            <x v="10"/>
          </reference>
          <reference field="3" count="1" selected="0">
            <x v="9"/>
          </reference>
          <reference field="5" count="43">
            <x v="0"/>
            <x v="4"/>
            <x v="8"/>
            <x v="10"/>
            <x v="11"/>
            <x v="12"/>
            <x v="13"/>
            <x v="14"/>
            <x v="18"/>
            <x v="19"/>
            <x v="26"/>
            <x v="31"/>
            <x v="35"/>
            <x v="37"/>
            <x v="38"/>
            <x v="39"/>
            <x v="40"/>
            <x v="42"/>
            <x v="43"/>
            <x v="45"/>
            <x v="49"/>
            <x v="53"/>
            <x v="58"/>
            <x v="63"/>
            <x v="64"/>
            <x v="67"/>
            <x v="71"/>
            <x v="74"/>
            <x v="77"/>
            <x v="81"/>
            <x v="84"/>
            <x v="85"/>
            <x v="86"/>
            <x v="114"/>
            <x v="115"/>
            <x v="132"/>
            <x v="133"/>
            <x v="134"/>
            <x v="135"/>
            <x v="136"/>
            <x v="138"/>
            <x v="139"/>
            <x v="161"/>
          </reference>
        </references>
      </pivotArea>
    </format>
    <format dxfId="7608">
      <pivotArea dataOnly="0" labelOnly="1" outline="0" fieldPosition="0">
        <references count="3">
          <reference field="1" count="1" selected="0">
            <x v="10"/>
          </reference>
          <reference field="3" count="1" selected="0">
            <x v="10"/>
          </reference>
          <reference field="5" count="13">
            <x v="23"/>
            <x v="30"/>
            <x v="80"/>
            <x v="90"/>
            <x v="92"/>
            <x v="140"/>
            <x v="142"/>
            <x v="143"/>
            <x v="160"/>
            <x v="162"/>
            <x v="209"/>
            <x v="210"/>
            <x v="211"/>
          </reference>
        </references>
      </pivotArea>
    </format>
    <format dxfId="7607">
      <pivotArea dataOnly="0" labelOnly="1" outline="0" fieldPosition="0">
        <references count="3">
          <reference field="1" count="1" selected="0">
            <x v="10"/>
          </reference>
          <reference field="3" count="1" selected="0">
            <x v="11"/>
          </reference>
          <reference field="5" count="19">
            <x v="1"/>
            <x v="2"/>
            <x v="5"/>
            <x v="9"/>
            <x v="15"/>
            <x v="17"/>
            <x v="46"/>
            <x v="48"/>
            <x v="50"/>
            <x v="54"/>
            <x v="55"/>
            <x v="57"/>
            <x v="60"/>
            <x v="69"/>
            <x v="72"/>
            <x v="73"/>
            <x v="78"/>
            <x v="79"/>
            <x v="82"/>
          </reference>
        </references>
      </pivotArea>
    </format>
    <format dxfId="7606">
      <pivotArea dataOnly="0" labelOnly="1" outline="0" fieldPosition="0">
        <references count="3">
          <reference field="1" count="1" selected="0">
            <x v="11"/>
          </reference>
          <reference field="3" count="1" selected="0">
            <x v="1"/>
          </reference>
          <reference field="5" count="4">
            <x v="75"/>
            <x v="76"/>
            <x v="166"/>
            <x v="222"/>
          </reference>
        </references>
      </pivotArea>
    </format>
    <format dxfId="7605">
      <pivotArea dataOnly="0" labelOnly="1" outline="0" fieldPosition="0">
        <references count="3">
          <reference field="1" count="1" selected="0">
            <x v="11"/>
          </reference>
          <reference field="3" count="1" selected="0">
            <x v="4"/>
          </reference>
          <reference field="5" count="19">
            <x v="65"/>
            <x v="70"/>
            <x v="191"/>
            <x v="192"/>
            <x v="193"/>
            <x v="194"/>
            <x v="195"/>
            <x v="196"/>
            <x v="197"/>
            <x v="198"/>
            <x v="199"/>
            <x v="200"/>
            <x v="201"/>
            <x v="202"/>
            <x v="203"/>
            <x v="204"/>
            <x v="205"/>
            <x v="206"/>
            <x v="337"/>
          </reference>
        </references>
      </pivotArea>
    </format>
    <format dxfId="7604">
      <pivotArea dataOnly="0" labelOnly="1" outline="0" fieldPosition="0">
        <references count="3">
          <reference field="1" count="1" selected="0">
            <x v="11"/>
          </reference>
          <reference field="3" count="1" selected="0">
            <x v="5"/>
          </reference>
          <reference field="5" count="39">
            <x v="24"/>
            <x v="25"/>
            <x v="28"/>
            <x v="33"/>
            <x v="88"/>
            <x v="96"/>
            <x v="97"/>
            <x v="98"/>
            <x v="99"/>
            <x v="100"/>
            <x v="101"/>
            <x v="102"/>
            <x v="103"/>
            <x v="104"/>
            <x v="111"/>
            <x v="112"/>
            <x v="116"/>
            <x v="117"/>
            <x v="141"/>
            <x v="147"/>
            <x v="148"/>
            <x v="149"/>
            <x v="150"/>
            <x v="151"/>
            <x v="152"/>
            <x v="153"/>
            <x v="154"/>
            <x v="168"/>
            <x v="212"/>
            <x v="213"/>
            <x v="214"/>
            <x v="215"/>
            <x v="216"/>
            <x v="217"/>
            <x v="218"/>
            <x v="219"/>
            <x v="220"/>
            <x v="221"/>
            <x v="320"/>
          </reference>
        </references>
      </pivotArea>
    </format>
    <format dxfId="7603">
      <pivotArea dataOnly="0" labelOnly="1" outline="0" fieldPosition="0">
        <references count="3">
          <reference field="1" count="1" selected="0">
            <x v="11"/>
          </reference>
          <reference field="3" count="1" selected="0">
            <x v="7"/>
          </reference>
          <reference field="5" count="50">
            <x v="6"/>
            <x v="7"/>
            <x v="16"/>
            <x v="20"/>
            <x v="22"/>
            <x v="27"/>
            <x v="32"/>
            <x v="34"/>
            <x v="36"/>
            <x v="47"/>
            <x v="51"/>
            <x v="52"/>
            <x v="56"/>
            <x v="61"/>
            <x v="66"/>
            <x v="68"/>
            <x v="83"/>
            <x v="94"/>
            <x v="95"/>
            <x v="107"/>
            <x v="108"/>
            <x v="109"/>
            <x v="110"/>
            <x v="113"/>
            <x v="118"/>
            <x v="119"/>
            <x v="120"/>
            <x v="121"/>
            <x v="122"/>
            <x v="123"/>
            <x v="124"/>
            <x v="125"/>
            <x v="126"/>
            <x v="127"/>
            <x v="128"/>
            <x v="129"/>
            <x v="130"/>
            <x v="137"/>
            <x v="145"/>
            <x v="146"/>
            <x v="155"/>
            <x v="156"/>
            <x v="163"/>
            <x v="170"/>
            <x v="172"/>
            <x v="175"/>
            <x v="177"/>
            <x v="180"/>
            <x v="182"/>
            <x v="183"/>
          </reference>
        </references>
      </pivotArea>
    </format>
    <format dxfId="7602">
      <pivotArea dataOnly="0" labelOnly="1" outline="0" fieldPosition="0">
        <references count="3">
          <reference field="1" count="1" selected="0">
            <x v="11"/>
          </reference>
          <reference field="3" count="1" selected="0">
            <x v="7"/>
          </reference>
          <reference field="5" count="36">
            <x v="3"/>
            <x v="21"/>
            <x v="29"/>
            <x v="41"/>
            <x v="44"/>
            <x v="59"/>
            <x v="62"/>
            <x v="87"/>
            <x v="89"/>
            <x v="91"/>
            <x v="93"/>
            <x v="105"/>
            <x v="106"/>
            <x v="144"/>
            <x v="157"/>
            <x v="158"/>
            <x v="159"/>
            <x v="164"/>
            <x v="165"/>
            <x v="167"/>
            <x v="169"/>
            <x v="171"/>
            <x v="173"/>
            <x v="174"/>
            <x v="176"/>
            <x v="178"/>
            <x v="179"/>
            <x v="181"/>
            <x v="184"/>
            <x v="185"/>
            <x v="186"/>
            <x v="187"/>
            <x v="188"/>
            <x v="189"/>
            <x v="190"/>
            <x v="207"/>
          </reference>
        </references>
      </pivotArea>
    </format>
    <format dxfId="7601">
      <pivotArea dataOnly="0" labelOnly="1" outline="0" fieldPosition="0">
        <references count="3">
          <reference field="1" count="1" selected="0">
            <x v="11"/>
          </reference>
          <reference field="3" count="1" selected="0">
            <x v="9"/>
          </reference>
          <reference field="5" count="43">
            <x v="0"/>
            <x v="4"/>
            <x v="8"/>
            <x v="10"/>
            <x v="11"/>
            <x v="12"/>
            <x v="13"/>
            <x v="14"/>
            <x v="18"/>
            <x v="19"/>
            <x v="26"/>
            <x v="31"/>
            <x v="35"/>
            <x v="37"/>
            <x v="38"/>
            <x v="39"/>
            <x v="40"/>
            <x v="42"/>
            <x v="43"/>
            <x v="45"/>
            <x v="49"/>
            <x v="53"/>
            <x v="58"/>
            <x v="63"/>
            <x v="64"/>
            <x v="67"/>
            <x v="71"/>
            <x v="74"/>
            <x v="77"/>
            <x v="81"/>
            <x v="84"/>
            <x v="85"/>
            <x v="86"/>
            <x v="114"/>
            <x v="115"/>
            <x v="132"/>
            <x v="133"/>
            <x v="134"/>
            <x v="135"/>
            <x v="136"/>
            <x v="138"/>
            <x v="139"/>
            <x v="161"/>
          </reference>
        </references>
      </pivotArea>
    </format>
    <format dxfId="7600">
      <pivotArea dataOnly="0" labelOnly="1" outline="0" fieldPosition="0">
        <references count="3">
          <reference field="1" count="1" selected="0">
            <x v="11"/>
          </reference>
          <reference field="3" count="1" selected="0">
            <x v="10"/>
          </reference>
          <reference field="5" count="13">
            <x v="23"/>
            <x v="30"/>
            <x v="80"/>
            <x v="90"/>
            <x v="92"/>
            <x v="140"/>
            <x v="142"/>
            <x v="143"/>
            <x v="160"/>
            <x v="162"/>
            <x v="209"/>
            <x v="210"/>
            <x v="211"/>
          </reference>
        </references>
      </pivotArea>
    </format>
    <format dxfId="7599">
      <pivotArea dataOnly="0" labelOnly="1" outline="0" fieldPosition="0">
        <references count="3">
          <reference field="1" count="1" selected="0">
            <x v="11"/>
          </reference>
          <reference field="3" count="1" selected="0">
            <x v="11"/>
          </reference>
          <reference field="5" count="19">
            <x v="1"/>
            <x v="2"/>
            <x v="5"/>
            <x v="9"/>
            <x v="15"/>
            <x v="17"/>
            <x v="46"/>
            <x v="48"/>
            <x v="50"/>
            <x v="54"/>
            <x v="55"/>
            <x v="57"/>
            <x v="60"/>
            <x v="69"/>
            <x v="72"/>
            <x v="73"/>
            <x v="78"/>
            <x v="79"/>
            <x v="82"/>
          </reference>
        </references>
      </pivotArea>
    </format>
    <format dxfId="7598">
      <pivotArea dataOnly="0" labelOnly="1" outline="0" fieldPosition="0">
        <references count="3">
          <reference field="1" count="1" selected="0">
            <x v="12"/>
          </reference>
          <reference field="3" count="1" selected="0">
            <x v="1"/>
          </reference>
          <reference field="5" count="4">
            <x v="75"/>
            <x v="76"/>
            <x v="166"/>
            <x v="222"/>
          </reference>
        </references>
      </pivotArea>
    </format>
    <format dxfId="7597">
      <pivotArea dataOnly="0" labelOnly="1" outline="0" fieldPosition="0">
        <references count="3">
          <reference field="1" count="1" selected="0">
            <x v="12"/>
          </reference>
          <reference field="3" count="1" selected="0">
            <x v="4"/>
          </reference>
          <reference field="5" count="19">
            <x v="65"/>
            <x v="70"/>
            <x v="191"/>
            <x v="192"/>
            <x v="193"/>
            <x v="194"/>
            <x v="195"/>
            <x v="196"/>
            <x v="197"/>
            <x v="198"/>
            <x v="199"/>
            <x v="200"/>
            <x v="201"/>
            <x v="202"/>
            <x v="203"/>
            <x v="204"/>
            <x v="205"/>
            <x v="206"/>
            <x v="337"/>
          </reference>
        </references>
      </pivotArea>
    </format>
    <format dxfId="7596">
      <pivotArea dataOnly="0" labelOnly="1" outline="0" fieldPosition="0">
        <references count="3">
          <reference field="1" count="1" selected="0">
            <x v="12"/>
          </reference>
          <reference field="3" count="1" selected="0">
            <x v="5"/>
          </reference>
          <reference field="5" count="39">
            <x v="24"/>
            <x v="25"/>
            <x v="28"/>
            <x v="33"/>
            <x v="88"/>
            <x v="96"/>
            <x v="97"/>
            <x v="98"/>
            <x v="99"/>
            <x v="100"/>
            <x v="101"/>
            <x v="102"/>
            <x v="103"/>
            <x v="104"/>
            <x v="111"/>
            <x v="112"/>
            <x v="116"/>
            <x v="117"/>
            <x v="141"/>
            <x v="147"/>
            <x v="148"/>
            <x v="149"/>
            <x v="150"/>
            <x v="151"/>
            <x v="152"/>
            <x v="153"/>
            <x v="154"/>
            <x v="168"/>
            <x v="212"/>
            <x v="213"/>
            <x v="214"/>
            <x v="215"/>
            <x v="216"/>
            <x v="217"/>
            <x v="218"/>
            <x v="219"/>
            <x v="220"/>
            <x v="221"/>
            <x v="318"/>
          </reference>
        </references>
      </pivotArea>
    </format>
    <format dxfId="7595">
      <pivotArea dataOnly="0" labelOnly="1" outline="0" fieldPosition="0">
        <references count="3">
          <reference field="1" count="1" selected="0">
            <x v="12"/>
          </reference>
          <reference field="3" count="1" selected="0">
            <x v="7"/>
          </reference>
          <reference field="5" count="50">
            <x v="6"/>
            <x v="7"/>
            <x v="16"/>
            <x v="20"/>
            <x v="22"/>
            <x v="27"/>
            <x v="32"/>
            <x v="34"/>
            <x v="36"/>
            <x v="47"/>
            <x v="51"/>
            <x v="52"/>
            <x v="56"/>
            <x v="61"/>
            <x v="66"/>
            <x v="68"/>
            <x v="83"/>
            <x v="94"/>
            <x v="95"/>
            <x v="107"/>
            <x v="108"/>
            <x v="109"/>
            <x v="110"/>
            <x v="113"/>
            <x v="118"/>
            <x v="119"/>
            <x v="120"/>
            <x v="121"/>
            <x v="122"/>
            <x v="123"/>
            <x v="124"/>
            <x v="125"/>
            <x v="126"/>
            <x v="127"/>
            <x v="128"/>
            <x v="129"/>
            <x v="130"/>
            <x v="137"/>
            <x v="145"/>
            <x v="146"/>
            <x v="155"/>
            <x v="156"/>
            <x v="163"/>
            <x v="170"/>
            <x v="172"/>
            <x v="175"/>
            <x v="177"/>
            <x v="180"/>
            <x v="182"/>
            <x v="183"/>
          </reference>
        </references>
      </pivotArea>
    </format>
    <format dxfId="7594">
      <pivotArea dataOnly="0" labelOnly="1" outline="0" fieldPosition="0">
        <references count="3">
          <reference field="1" count="1" selected="0">
            <x v="12"/>
          </reference>
          <reference field="3" count="1" selected="0">
            <x v="7"/>
          </reference>
          <reference field="5" count="36">
            <x v="3"/>
            <x v="21"/>
            <x v="29"/>
            <x v="41"/>
            <x v="44"/>
            <x v="59"/>
            <x v="62"/>
            <x v="87"/>
            <x v="89"/>
            <x v="91"/>
            <x v="93"/>
            <x v="105"/>
            <x v="106"/>
            <x v="144"/>
            <x v="157"/>
            <x v="158"/>
            <x v="159"/>
            <x v="164"/>
            <x v="165"/>
            <x v="167"/>
            <x v="169"/>
            <x v="171"/>
            <x v="173"/>
            <x v="174"/>
            <x v="176"/>
            <x v="178"/>
            <x v="179"/>
            <x v="181"/>
            <x v="184"/>
            <x v="185"/>
            <x v="186"/>
            <x v="187"/>
            <x v="188"/>
            <x v="189"/>
            <x v="190"/>
            <x v="207"/>
          </reference>
        </references>
      </pivotArea>
    </format>
    <format dxfId="7593">
      <pivotArea dataOnly="0" labelOnly="1" outline="0" fieldPosition="0">
        <references count="3">
          <reference field="1" count="1" selected="0">
            <x v="12"/>
          </reference>
          <reference field="3" count="1" selected="0">
            <x v="9"/>
          </reference>
          <reference field="5" count="43">
            <x v="0"/>
            <x v="4"/>
            <x v="8"/>
            <x v="10"/>
            <x v="11"/>
            <x v="12"/>
            <x v="13"/>
            <x v="14"/>
            <x v="18"/>
            <x v="19"/>
            <x v="26"/>
            <x v="31"/>
            <x v="35"/>
            <x v="37"/>
            <x v="38"/>
            <x v="39"/>
            <x v="40"/>
            <x v="42"/>
            <x v="43"/>
            <x v="45"/>
            <x v="49"/>
            <x v="53"/>
            <x v="58"/>
            <x v="63"/>
            <x v="64"/>
            <x v="67"/>
            <x v="71"/>
            <x v="74"/>
            <x v="77"/>
            <x v="81"/>
            <x v="84"/>
            <x v="85"/>
            <x v="86"/>
            <x v="114"/>
            <x v="115"/>
            <x v="132"/>
            <x v="133"/>
            <x v="134"/>
            <x v="135"/>
            <x v="136"/>
            <x v="138"/>
            <x v="139"/>
            <x v="161"/>
          </reference>
        </references>
      </pivotArea>
    </format>
    <format dxfId="7592">
      <pivotArea dataOnly="0" labelOnly="1" outline="0" fieldPosition="0">
        <references count="3">
          <reference field="1" count="1" selected="0">
            <x v="12"/>
          </reference>
          <reference field="3" count="1" selected="0">
            <x v="10"/>
          </reference>
          <reference field="5" count="13">
            <x v="23"/>
            <x v="30"/>
            <x v="80"/>
            <x v="90"/>
            <x v="92"/>
            <x v="140"/>
            <x v="142"/>
            <x v="143"/>
            <x v="160"/>
            <x v="162"/>
            <x v="209"/>
            <x v="210"/>
            <x v="211"/>
          </reference>
        </references>
      </pivotArea>
    </format>
    <format dxfId="7591">
      <pivotArea dataOnly="0" labelOnly="1" outline="0" fieldPosition="0">
        <references count="3">
          <reference field="1" count="1" selected="0">
            <x v="12"/>
          </reference>
          <reference field="3" count="1" selected="0">
            <x v="11"/>
          </reference>
          <reference field="5" count="19">
            <x v="1"/>
            <x v="2"/>
            <x v="5"/>
            <x v="9"/>
            <x v="15"/>
            <x v="17"/>
            <x v="46"/>
            <x v="48"/>
            <x v="50"/>
            <x v="54"/>
            <x v="55"/>
            <x v="57"/>
            <x v="60"/>
            <x v="69"/>
            <x v="72"/>
            <x v="73"/>
            <x v="78"/>
            <x v="79"/>
            <x v="82"/>
          </reference>
        </references>
      </pivotArea>
    </format>
    <format dxfId="7590">
      <pivotArea dataOnly="0" labelOnly="1" outline="0" fieldPosition="0">
        <references count="3">
          <reference field="1" count="1" selected="0">
            <x v="13"/>
          </reference>
          <reference field="3" count="1" selected="0">
            <x v="1"/>
          </reference>
          <reference field="5" count="4">
            <x v="75"/>
            <x v="76"/>
            <x v="166"/>
            <x v="222"/>
          </reference>
        </references>
      </pivotArea>
    </format>
    <format dxfId="7589">
      <pivotArea dataOnly="0" labelOnly="1" outline="0" fieldPosition="0">
        <references count="3">
          <reference field="1" count="1" selected="0">
            <x v="13"/>
          </reference>
          <reference field="3" count="1" selected="0">
            <x v="4"/>
          </reference>
          <reference field="5" count="19">
            <x v="65"/>
            <x v="70"/>
            <x v="191"/>
            <x v="192"/>
            <x v="193"/>
            <x v="194"/>
            <x v="195"/>
            <x v="196"/>
            <x v="197"/>
            <x v="198"/>
            <x v="199"/>
            <x v="200"/>
            <x v="201"/>
            <x v="202"/>
            <x v="203"/>
            <x v="204"/>
            <x v="205"/>
            <x v="206"/>
            <x v="337"/>
          </reference>
        </references>
      </pivotArea>
    </format>
    <format dxfId="7588">
      <pivotArea dataOnly="0" labelOnly="1" outline="0" fieldPosition="0">
        <references count="3">
          <reference field="1" count="1" selected="0">
            <x v="13"/>
          </reference>
          <reference field="3" count="1" selected="0">
            <x v="5"/>
          </reference>
          <reference field="5" count="39">
            <x v="24"/>
            <x v="25"/>
            <x v="28"/>
            <x v="33"/>
            <x v="88"/>
            <x v="96"/>
            <x v="97"/>
            <x v="98"/>
            <x v="99"/>
            <x v="100"/>
            <x v="101"/>
            <x v="102"/>
            <x v="103"/>
            <x v="104"/>
            <x v="111"/>
            <x v="112"/>
            <x v="116"/>
            <x v="117"/>
            <x v="141"/>
            <x v="147"/>
            <x v="148"/>
            <x v="149"/>
            <x v="150"/>
            <x v="151"/>
            <x v="152"/>
            <x v="153"/>
            <x v="154"/>
            <x v="168"/>
            <x v="212"/>
            <x v="213"/>
            <x v="214"/>
            <x v="215"/>
            <x v="216"/>
            <x v="217"/>
            <x v="218"/>
            <x v="219"/>
            <x v="220"/>
            <x v="221"/>
            <x v="321"/>
          </reference>
        </references>
      </pivotArea>
    </format>
    <format dxfId="7587">
      <pivotArea dataOnly="0" labelOnly="1" outline="0" fieldPosition="0">
        <references count="3">
          <reference field="1" count="1" selected="0">
            <x v="13"/>
          </reference>
          <reference field="3" count="1" selected="0">
            <x v="7"/>
          </reference>
          <reference field="5" count="50">
            <x v="6"/>
            <x v="7"/>
            <x v="16"/>
            <x v="20"/>
            <x v="22"/>
            <x v="27"/>
            <x v="32"/>
            <x v="34"/>
            <x v="36"/>
            <x v="47"/>
            <x v="51"/>
            <x v="52"/>
            <x v="56"/>
            <x v="61"/>
            <x v="66"/>
            <x v="68"/>
            <x v="83"/>
            <x v="94"/>
            <x v="95"/>
            <x v="107"/>
            <x v="108"/>
            <x v="109"/>
            <x v="110"/>
            <x v="113"/>
            <x v="118"/>
            <x v="119"/>
            <x v="120"/>
            <x v="121"/>
            <x v="122"/>
            <x v="123"/>
            <x v="124"/>
            <x v="125"/>
            <x v="126"/>
            <x v="127"/>
            <x v="128"/>
            <x v="129"/>
            <x v="130"/>
            <x v="137"/>
            <x v="145"/>
            <x v="146"/>
            <x v="155"/>
            <x v="156"/>
            <x v="163"/>
            <x v="170"/>
            <x v="172"/>
            <x v="175"/>
            <x v="177"/>
            <x v="180"/>
            <x v="182"/>
            <x v="183"/>
          </reference>
        </references>
      </pivotArea>
    </format>
    <format dxfId="7586">
      <pivotArea dataOnly="0" labelOnly="1" outline="0" fieldPosition="0">
        <references count="3">
          <reference field="1" count="1" selected="0">
            <x v="13"/>
          </reference>
          <reference field="3" count="1" selected="0">
            <x v="7"/>
          </reference>
          <reference field="5" count="36">
            <x v="3"/>
            <x v="21"/>
            <x v="29"/>
            <x v="41"/>
            <x v="44"/>
            <x v="59"/>
            <x v="62"/>
            <x v="87"/>
            <x v="89"/>
            <x v="91"/>
            <x v="93"/>
            <x v="105"/>
            <x v="106"/>
            <x v="144"/>
            <x v="157"/>
            <x v="158"/>
            <x v="159"/>
            <x v="164"/>
            <x v="165"/>
            <x v="167"/>
            <x v="169"/>
            <x v="171"/>
            <x v="173"/>
            <x v="174"/>
            <x v="176"/>
            <x v="178"/>
            <x v="179"/>
            <x v="181"/>
            <x v="184"/>
            <x v="185"/>
            <x v="186"/>
            <x v="187"/>
            <x v="188"/>
            <x v="189"/>
            <x v="190"/>
            <x v="207"/>
          </reference>
        </references>
      </pivotArea>
    </format>
    <format dxfId="7585">
      <pivotArea dataOnly="0" labelOnly="1" outline="0" fieldPosition="0">
        <references count="3">
          <reference field="1" count="1" selected="0">
            <x v="13"/>
          </reference>
          <reference field="3" count="1" selected="0">
            <x v="9"/>
          </reference>
          <reference field="5" count="44">
            <x v="0"/>
            <x v="4"/>
            <x v="8"/>
            <x v="10"/>
            <x v="11"/>
            <x v="12"/>
            <x v="13"/>
            <x v="14"/>
            <x v="18"/>
            <x v="19"/>
            <x v="26"/>
            <x v="31"/>
            <x v="35"/>
            <x v="37"/>
            <x v="38"/>
            <x v="39"/>
            <x v="40"/>
            <x v="42"/>
            <x v="43"/>
            <x v="45"/>
            <x v="49"/>
            <x v="53"/>
            <x v="58"/>
            <x v="63"/>
            <x v="64"/>
            <x v="67"/>
            <x v="71"/>
            <x v="74"/>
            <x v="77"/>
            <x v="81"/>
            <x v="84"/>
            <x v="85"/>
            <x v="86"/>
            <x v="114"/>
            <x v="115"/>
            <x v="132"/>
            <x v="133"/>
            <x v="134"/>
            <x v="135"/>
            <x v="136"/>
            <x v="138"/>
            <x v="139"/>
            <x v="161"/>
            <x v="210"/>
          </reference>
        </references>
      </pivotArea>
    </format>
    <format dxfId="7584">
      <pivotArea dataOnly="0" labelOnly="1" outline="0" fieldPosition="0">
        <references count="3">
          <reference field="1" count="1" selected="0">
            <x v="13"/>
          </reference>
          <reference field="3" count="1" selected="0">
            <x v="10"/>
          </reference>
          <reference field="5" count="12">
            <x v="23"/>
            <x v="30"/>
            <x v="80"/>
            <x v="90"/>
            <x v="92"/>
            <x v="140"/>
            <x v="142"/>
            <x v="143"/>
            <x v="160"/>
            <x v="162"/>
            <x v="209"/>
            <x v="211"/>
          </reference>
        </references>
      </pivotArea>
    </format>
    <format dxfId="7583">
      <pivotArea dataOnly="0" labelOnly="1" outline="0" fieldPosition="0">
        <references count="3">
          <reference field="1" count="1" selected="0">
            <x v="13"/>
          </reference>
          <reference field="3" count="1" selected="0">
            <x v="11"/>
          </reference>
          <reference field="5" count="19">
            <x v="1"/>
            <x v="2"/>
            <x v="5"/>
            <x v="9"/>
            <x v="15"/>
            <x v="17"/>
            <x v="46"/>
            <x v="48"/>
            <x v="50"/>
            <x v="54"/>
            <x v="55"/>
            <x v="57"/>
            <x v="60"/>
            <x v="69"/>
            <x v="72"/>
            <x v="73"/>
            <x v="78"/>
            <x v="79"/>
            <x v="82"/>
          </reference>
        </references>
      </pivotArea>
    </format>
    <format dxfId="7582">
      <pivotArea dataOnly="0" labelOnly="1" outline="0" fieldPosition="0">
        <references count="3">
          <reference field="1" count="1" selected="0">
            <x v="14"/>
          </reference>
          <reference field="3" count="1" selected="0">
            <x v="1"/>
          </reference>
          <reference field="5" count="4">
            <x v="75"/>
            <x v="76"/>
            <x v="166"/>
            <x v="222"/>
          </reference>
        </references>
      </pivotArea>
    </format>
    <format dxfId="7581">
      <pivotArea dataOnly="0" labelOnly="1" outline="0" fieldPosition="0">
        <references count="3">
          <reference field="1" count="1" selected="0">
            <x v="14"/>
          </reference>
          <reference field="3" count="1" selected="0">
            <x v="4"/>
          </reference>
          <reference field="5" count="19">
            <x v="65"/>
            <x v="70"/>
            <x v="191"/>
            <x v="192"/>
            <x v="193"/>
            <x v="194"/>
            <x v="195"/>
            <x v="196"/>
            <x v="197"/>
            <x v="198"/>
            <x v="199"/>
            <x v="200"/>
            <x v="201"/>
            <x v="202"/>
            <x v="203"/>
            <x v="204"/>
            <x v="205"/>
            <x v="206"/>
            <x v="337"/>
          </reference>
        </references>
      </pivotArea>
    </format>
    <format dxfId="7580">
      <pivotArea dataOnly="0" labelOnly="1" outline="0" fieldPosition="0">
        <references count="3">
          <reference field="1" count="1" selected="0">
            <x v="14"/>
          </reference>
          <reference field="3" count="1" selected="0">
            <x v="5"/>
          </reference>
          <reference field="5" count="39">
            <x v="24"/>
            <x v="25"/>
            <x v="28"/>
            <x v="33"/>
            <x v="88"/>
            <x v="96"/>
            <x v="97"/>
            <x v="98"/>
            <x v="99"/>
            <x v="100"/>
            <x v="101"/>
            <x v="102"/>
            <x v="103"/>
            <x v="104"/>
            <x v="111"/>
            <x v="112"/>
            <x v="116"/>
            <x v="117"/>
            <x v="141"/>
            <x v="147"/>
            <x v="148"/>
            <x v="149"/>
            <x v="150"/>
            <x v="151"/>
            <x v="152"/>
            <x v="153"/>
            <x v="154"/>
            <x v="168"/>
            <x v="212"/>
            <x v="213"/>
            <x v="214"/>
            <x v="215"/>
            <x v="216"/>
            <x v="217"/>
            <x v="218"/>
            <x v="219"/>
            <x v="220"/>
            <x v="221"/>
            <x v="321"/>
          </reference>
        </references>
      </pivotArea>
    </format>
    <format dxfId="7579">
      <pivotArea dataOnly="0" labelOnly="1" outline="0" fieldPosition="0">
        <references count="3">
          <reference field="1" count="1" selected="0">
            <x v="14"/>
          </reference>
          <reference field="3" count="1" selected="0">
            <x v="7"/>
          </reference>
          <reference field="5" count="50">
            <x v="6"/>
            <x v="7"/>
            <x v="16"/>
            <x v="20"/>
            <x v="22"/>
            <x v="27"/>
            <x v="32"/>
            <x v="34"/>
            <x v="36"/>
            <x v="47"/>
            <x v="51"/>
            <x v="52"/>
            <x v="56"/>
            <x v="61"/>
            <x v="66"/>
            <x v="68"/>
            <x v="83"/>
            <x v="94"/>
            <x v="95"/>
            <x v="107"/>
            <x v="108"/>
            <x v="109"/>
            <x v="110"/>
            <x v="113"/>
            <x v="118"/>
            <x v="119"/>
            <x v="120"/>
            <x v="121"/>
            <x v="122"/>
            <x v="123"/>
            <x v="124"/>
            <x v="125"/>
            <x v="126"/>
            <x v="127"/>
            <x v="128"/>
            <x v="129"/>
            <x v="130"/>
            <x v="137"/>
            <x v="145"/>
            <x v="146"/>
            <x v="155"/>
            <x v="156"/>
            <x v="163"/>
            <x v="170"/>
            <x v="172"/>
            <x v="175"/>
            <x v="177"/>
            <x v="180"/>
            <x v="182"/>
            <x v="183"/>
          </reference>
        </references>
      </pivotArea>
    </format>
    <format dxfId="7578">
      <pivotArea dataOnly="0" labelOnly="1" outline="0" fieldPosition="0">
        <references count="3">
          <reference field="1" count="1" selected="0">
            <x v="14"/>
          </reference>
          <reference field="3" count="1" selected="0">
            <x v="7"/>
          </reference>
          <reference field="5" count="36">
            <x v="3"/>
            <x v="21"/>
            <x v="29"/>
            <x v="41"/>
            <x v="44"/>
            <x v="59"/>
            <x v="62"/>
            <x v="87"/>
            <x v="89"/>
            <x v="91"/>
            <x v="93"/>
            <x v="105"/>
            <x v="106"/>
            <x v="144"/>
            <x v="157"/>
            <x v="158"/>
            <x v="159"/>
            <x v="164"/>
            <x v="165"/>
            <x v="167"/>
            <x v="169"/>
            <x v="171"/>
            <x v="173"/>
            <x v="174"/>
            <x v="176"/>
            <x v="178"/>
            <x v="179"/>
            <x v="181"/>
            <x v="184"/>
            <x v="185"/>
            <x v="186"/>
            <x v="187"/>
            <x v="188"/>
            <x v="189"/>
            <x v="190"/>
            <x v="207"/>
          </reference>
        </references>
      </pivotArea>
    </format>
    <format dxfId="7577">
      <pivotArea dataOnly="0" labelOnly="1" outline="0" fieldPosition="0">
        <references count="3">
          <reference field="1" count="1" selected="0">
            <x v="14"/>
          </reference>
          <reference field="3" count="1" selected="0">
            <x v="9"/>
          </reference>
          <reference field="5" count="44">
            <x v="0"/>
            <x v="4"/>
            <x v="8"/>
            <x v="10"/>
            <x v="11"/>
            <x v="12"/>
            <x v="13"/>
            <x v="14"/>
            <x v="18"/>
            <x v="19"/>
            <x v="26"/>
            <x v="31"/>
            <x v="35"/>
            <x v="37"/>
            <x v="38"/>
            <x v="39"/>
            <x v="40"/>
            <x v="42"/>
            <x v="43"/>
            <x v="45"/>
            <x v="49"/>
            <x v="53"/>
            <x v="58"/>
            <x v="63"/>
            <x v="64"/>
            <x v="67"/>
            <x v="71"/>
            <x v="74"/>
            <x v="77"/>
            <x v="81"/>
            <x v="84"/>
            <x v="85"/>
            <x v="86"/>
            <x v="114"/>
            <x v="115"/>
            <x v="132"/>
            <x v="133"/>
            <x v="134"/>
            <x v="135"/>
            <x v="136"/>
            <x v="138"/>
            <x v="139"/>
            <x v="161"/>
            <x v="210"/>
          </reference>
        </references>
      </pivotArea>
    </format>
    <format dxfId="7576">
      <pivotArea dataOnly="0" labelOnly="1" outline="0" fieldPosition="0">
        <references count="3">
          <reference field="1" count="1" selected="0">
            <x v="14"/>
          </reference>
          <reference field="3" count="1" selected="0">
            <x v="10"/>
          </reference>
          <reference field="5" count="12">
            <x v="23"/>
            <x v="30"/>
            <x v="80"/>
            <x v="90"/>
            <x v="92"/>
            <x v="140"/>
            <x v="142"/>
            <x v="143"/>
            <x v="160"/>
            <x v="162"/>
            <x v="209"/>
            <x v="211"/>
          </reference>
        </references>
      </pivotArea>
    </format>
    <format dxfId="7575">
      <pivotArea dataOnly="0" labelOnly="1" outline="0" fieldPosition="0">
        <references count="3">
          <reference field="1" count="1" selected="0">
            <x v="14"/>
          </reference>
          <reference field="3" count="1" selected="0">
            <x v="11"/>
          </reference>
          <reference field="5" count="19">
            <x v="1"/>
            <x v="2"/>
            <x v="5"/>
            <x v="9"/>
            <x v="15"/>
            <x v="17"/>
            <x v="46"/>
            <x v="48"/>
            <x v="50"/>
            <x v="54"/>
            <x v="55"/>
            <x v="57"/>
            <x v="60"/>
            <x v="69"/>
            <x v="72"/>
            <x v="73"/>
            <x v="78"/>
            <x v="79"/>
            <x v="82"/>
          </reference>
        </references>
      </pivotArea>
    </format>
    <format dxfId="7574">
      <pivotArea dataOnly="0" labelOnly="1" outline="0" fieldPosition="0">
        <references count="3">
          <reference field="1" count="1" selected="0">
            <x v="15"/>
          </reference>
          <reference field="3" count="1" selected="0">
            <x v="1"/>
          </reference>
          <reference field="5" count="4">
            <x v="75"/>
            <x v="76"/>
            <x v="166"/>
            <x v="222"/>
          </reference>
        </references>
      </pivotArea>
    </format>
    <format dxfId="7573">
      <pivotArea dataOnly="0" labelOnly="1" outline="0" fieldPosition="0">
        <references count="3">
          <reference field="1" count="1" selected="0">
            <x v="15"/>
          </reference>
          <reference field="3" count="1" selected="0">
            <x v="4"/>
          </reference>
          <reference field="5" count="19">
            <x v="65"/>
            <x v="70"/>
            <x v="191"/>
            <x v="192"/>
            <x v="193"/>
            <x v="194"/>
            <x v="195"/>
            <x v="196"/>
            <x v="197"/>
            <x v="198"/>
            <x v="199"/>
            <x v="200"/>
            <x v="201"/>
            <x v="202"/>
            <x v="203"/>
            <x v="204"/>
            <x v="205"/>
            <x v="206"/>
            <x v="337"/>
          </reference>
        </references>
      </pivotArea>
    </format>
    <format dxfId="7572">
      <pivotArea dataOnly="0" labelOnly="1" outline="0" fieldPosition="0">
        <references count="3">
          <reference field="1" count="1" selected="0">
            <x v="15"/>
          </reference>
          <reference field="3" count="1" selected="0">
            <x v="5"/>
          </reference>
          <reference field="5" count="39">
            <x v="24"/>
            <x v="25"/>
            <x v="28"/>
            <x v="33"/>
            <x v="88"/>
            <x v="96"/>
            <x v="97"/>
            <x v="98"/>
            <x v="99"/>
            <x v="100"/>
            <x v="101"/>
            <x v="102"/>
            <x v="103"/>
            <x v="104"/>
            <x v="111"/>
            <x v="112"/>
            <x v="116"/>
            <x v="117"/>
            <x v="141"/>
            <x v="147"/>
            <x v="148"/>
            <x v="149"/>
            <x v="150"/>
            <x v="151"/>
            <x v="152"/>
            <x v="153"/>
            <x v="154"/>
            <x v="168"/>
            <x v="212"/>
            <x v="213"/>
            <x v="214"/>
            <x v="215"/>
            <x v="216"/>
            <x v="217"/>
            <x v="218"/>
            <x v="219"/>
            <x v="220"/>
            <x v="221"/>
            <x v="321"/>
          </reference>
        </references>
      </pivotArea>
    </format>
    <format dxfId="7571">
      <pivotArea dataOnly="0" labelOnly="1" outline="0" fieldPosition="0">
        <references count="3">
          <reference field="1" count="1" selected="0">
            <x v="15"/>
          </reference>
          <reference field="3" count="1" selected="0">
            <x v="7"/>
          </reference>
          <reference field="5" count="50">
            <x v="6"/>
            <x v="7"/>
            <x v="16"/>
            <x v="20"/>
            <x v="22"/>
            <x v="27"/>
            <x v="32"/>
            <x v="34"/>
            <x v="36"/>
            <x v="47"/>
            <x v="51"/>
            <x v="52"/>
            <x v="56"/>
            <x v="61"/>
            <x v="66"/>
            <x v="68"/>
            <x v="83"/>
            <x v="94"/>
            <x v="95"/>
            <x v="107"/>
            <x v="108"/>
            <x v="109"/>
            <x v="110"/>
            <x v="113"/>
            <x v="118"/>
            <x v="119"/>
            <x v="120"/>
            <x v="121"/>
            <x v="122"/>
            <x v="123"/>
            <x v="124"/>
            <x v="125"/>
            <x v="126"/>
            <x v="127"/>
            <x v="128"/>
            <x v="129"/>
            <x v="130"/>
            <x v="137"/>
            <x v="145"/>
            <x v="146"/>
            <x v="155"/>
            <x v="156"/>
            <x v="163"/>
            <x v="170"/>
            <x v="172"/>
            <x v="175"/>
            <x v="177"/>
            <x v="180"/>
            <x v="182"/>
            <x v="183"/>
          </reference>
        </references>
      </pivotArea>
    </format>
    <format dxfId="7570">
      <pivotArea dataOnly="0" labelOnly="1" outline="0" fieldPosition="0">
        <references count="3">
          <reference field="1" count="1" selected="0">
            <x v="15"/>
          </reference>
          <reference field="3" count="1" selected="0">
            <x v="7"/>
          </reference>
          <reference field="5" count="36">
            <x v="3"/>
            <x v="21"/>
            <x v="29"/>
            <x v="41"/>
            <x v="44"/>
            <x v="59"/>
            <x v="62"/>
            <x v="87"/>
            <x v="89"/>
            <x v="91"/>
            <x v="93"/>
            <x v="105"/>
            <x v="106"/>
            <x v="144"/>
            <x v="157"/>
            <x v="158"/>
            <x v="159"/>
            <x v="164"/>
            <x v="165"/>
            <x v="167"/>
            <x v="169"/>
            <x v="171"/>
            <x v="173"/>
            <x v="174"/>
            <x v="176"/>
            <x v="178"/>
            <x v="179"/>
            <x v="181"/>
            <x v="184"/>
            <x v="185"/>
            <x v="186"/>
            <x v="187"/>
            <x v="188"/>
            <x v="189"/>
            <x v="190"/>
            <x v="207"/>
          </reference>
        </references>
      </pivotArea>
    </format>
    <format dxfId="7569">
      <pivotArea dataOnly="0" labelOnly="1" outline="0" fieldPosition="0">
        <references count="3">
          <reference field="1" count="1" selected="0">
            <x v="15"/>
          </reference>
          <reference field="3" count="1" selected="0">
            <x v="9"/>
          </reference>
          <reference field="5" count="43">
            <x v="0"/>
            <x v="4"/>
            <x v="8"/>
            <x v="10"/>
            <x v="11"/>
            <x v="12"/>
            <x v="13"/>
            <x v="14"/>
            <x v="18"/>
            <x v="19"/>
            <x v="26"/>
            <x v="31"/>
            <x v="35"/>
            <x v="37"/>
            <x v="38"/>
            <x v="39"/>
            <x v="40"/>
            <x v="42"/>
            <x v="43"/>
            <x v="45"/>
            <x v="49"/>
            <x v="53"/>
            <x v="58"/>
            <x v="63"/>
            <x v="64"/>
            <x v="67"/>
            <x v="71"/>
            <x v="74"/>
            <x v="77"/>
            <x v="81"/>
            <x v="84"/>
            <x v="85"/>
            <x v="86"/>
            <x v="114"/>
            <x v="115"/>
            <x v="132"/>
            <x v="133"/>
            <x v="134"/>
            <x v="135"/>
            <x v="136"/>
            <x v="138"/>
            <x v="139"/>
            <x v="161"/>
          </reference>
        </references>
      </pivotArea>
    </format>
    <format dxfId="7568">
      <pivotArea dataOnly="0" labelOnly="1" outline="0" fieldPosition="0">
        <references count="3">
          <reference field="1" count="1" selected="0">
            <x v="15"/>
          </reference>
          <reference field="3" count="1" selected="0">
            <x v="10"/>
          </reference>
          <reference field="5" count="13">
            <x v="23"/>
            <x v="30"/>
            <x v="80"/>
            <x v="90"/>
            <x v="92"/>
            <x v="140"/>
            <x v="142"/>
            <x v="143"/>
            <x v="160"/>
            <x v="162"/>
            <x v="209"/>
            <x v="210"/>
            <x v="211"/>
          </reference>
        </references>
      </pivotArea>
    </format>
    <format dxfId="7567">
      <pivotArea dataOnly="0" labelOnly="1" outline="0" fieldPosition="0">
        <references count="3">
          <reference field="1" count="1" selected="0">
            <x v="15"/>
          </reference>
          <reference field="3" count="1" selected="0">
            <x v="11"/>
          </reference>
          <reference field="5" count="19">
            <x v="1"/>
            <x v="2"/>
            <x v="5"/>
            <x v="9"/>
            <x v="15"/>
            <x v="17"/>
            <x v="46"/>
            <x v="48"/>
            <x v="50"/>
            <x v="54"/>
            <x v="55"/>
            <x v="57"/>
            <x v="60"/>
            <x v="69"/>
            <x v="72"/>
            <x v="73"/>
            <x v="78"/>
            <x v="79"/>
            <x v="82"/>
          </reference>
        </references>
      </pivotArea>
    </format>
    <format dxfId="7566">
      <pivotArea dataOnly="0" labelOnly="1" outline="0" fieldPosition="0">
        <references count="3">
          <reference field="1" count="1" selected="0">
            <x v="16"/>
          </reference>
          <reference field="3" count="1" selected="0">
            <x v="1"/>
          </reference>
          <reference field="5" count="4">
            <x v="75"/>
            <x v="76"/>
            <x v="166"/>
            <x v="222"/>
          </reference>
        </references>
      </pivotArea>
    </format>
    <format dxfId="7565">
      <pivotArea dataOnly="0" labelOnly="1" outline="0" fieldPosition="0">
        <references count="3">
          <reference field="1" count="1" selected="0">
            <x v="16"/>
          </reference>
          <reference field="3" count="1" selected="0">
            <x v="4"/>
          </reference>
          <reference field="5" count="19">
            <x v="65"/>
            <x v="70"/>
            <x v="191"/>
            <x v="192"/>
            <x v="193"/>
            <x v="194"/>
            <x v="195"/>
            <x v="196"/>
            <x v="197"/>
            <x v="198"/>
            <x v="199"/>
            <x v="200"/>
            <x v="201"/>
            <x v="202"/>
            <x v="203"/>
            <x v="204"/>
            <x v="205"/>
            <x v="206"/>
            <x v="337"/>
          </reference>
        </references>
      </pivotArea>
    </format>
    <format dxfId="7564">
      <pivotArea dataOnly="0" labelOnly="1" outline="0" fieldPosition="0">
        <references count="3">
          <reference field="1" count="1" selected="0">
            <x v="16"/>
          </reference>
          <reference field="3" count="1" selected="0">
            <x v="5"/>
          </reference>
          <reference field="5" count="39">
            <x v="24"/>
            <x v="25"/>
            <x v="28"/>
            <x v="33"/>
            <x v="88"/>
            <x v="96"/>
            <x v="97"/>
            <x v="98"/>
            <x v="99"/>
            <x v="100"/>
            <x v="101"/>
            <x v="102"/>
            <x v="103"/>
            <x v="104"/>
            <x v="111"/>
            <x v="112"/>
            <x v="116"/>
            <x v="117"/>
            <x v="141"/>
            <x v="147"/>
            <x v="148"/>
            <x v="149"/>
            <x v="150"/>
            <x v="151"/>
            <x v="152"/>
            <x v="153"/>
            <x v="154"/>
            <x v="168"/>
            <x v="212"/>
            <x v="213"/>
            <x v="214"/>
            <x v="215"/>
            <x v="216"/>
            <x v="217"/>
            <x v="218"/>
            <x v="219"/>
            <x v="220"/>
            <x v="221"/>
            <x v="321"/>
          </reference>
        </references>
      </pivotArea>
    </format>
    <format dxfId="7563">
      <pivotArea dataOnly="0" labelOnly="1" outline="0" fieldPosition="0">
        <references count="3">
          <reference field="1" count="1" selected="0">
            <x v="16"/>
          </reference>
          <reference field="3" count="1" selected="0">
            <x v="7"/>
          </reference>
          <reference field="5" count="50">
            <x v="6"/>
            <x v="7"/>
            <x v="16"/>
            <x v="20"/>
            <x v="22"/>
            <x v="27"/>
            <x v="32"/>
            <x v="34"/>
            <x v="36"/>
            <x v="47"/>
            <x v="51"/>
            <x v="52"/>
            <x v="56"/>
            <x v="61"/>
            <x v="66"/>
            <x v="68"/>
            <x v="83"/>
            <x v="94"/>
            <x v="95"/>
            <x v="107"/>
            <x v="108"/>
            <x v="109"/>
            <x v="110"/>
            <x v="113"/>
            <x v="118"/>
            <x v="119"/>
            <x v="120"/>
            <x v="121"/>
            <x v="122"/>
            <x v="123"/>
            <x v="124"/>
            <x v="125"/>
            <x v="126"/>
            <x v="127"/>
            <x v="128"/>
            <x v="129"/>
            <x v="130"/>
            <x v="137"/>
            <x v="145"/>
            <x v="146"/>
            <x v="155"/>
            <x v="156"/>
            <x v="163"/>
            <x v="170"/>
            <x v="172"/>
            <x v="175"/>
            <x v="177"/>
            <x v="180"/>
            <x v="182"/>
            <x v="183"/>
          </reference>
        </references>
      </pivotArea>
    </format>
    <format dxfId="7562">
      <pivotArea dataOnly="0" labelOnly="1" outline="0" fieldPosition="0">
        <references count="3">
          <reference field="1" count="1" selected="0">
            <x v="16"/>
          </reference>
          <reference field="3" count="1" selected="0">
            <x v="7"/>
          </reference>
          <reference field="5" count="36">
            <x v="3"/>
            <x v="21"/>
            <x v="29"/>
            <x v="41"/>
            <x v="44"/>
            <x v="59"/>
            <x v="62"/>
            <x v="87"/>
            <x v="89"/>
            <x v="91"/>
            <x v="93"/>
            <x v="105"/>
            <x v="106"/>
            <x v="144"/>
            <x v="157"/>
            <x v="158"/>
            <x v="159"/>
            <x v="164"/>
            <x v="165"/>
            <x v="167"/>
            <x v="169"/>
            <x v="171"/>
            <x v="173"/>
            <x v="174"/>
            <x v="176"/>
            <x v="178"/>
            <x v="179"/>
            <x v="181"/>
            <x v="184"/>
            <x v="185"/>
            <x v="186"/>
            <x v="187"/>
            <x v="188"/>
            <x v="189"/>
            <x v="190"/>
            <x v="207"/>
          </reference>
        </references>
      </pivotArea>
    </format>
    <format dxfId="7561">
      <pivotArea dataOnly="0" labelOnly="1" outline="0" fieldPosition="0">
        <references count="3">
          <reference field="1" count="1" selected="0">
            <x v="16"/>
          </reference>
          <reference field="3" count="1" selected="0">
            <x v="9"/>
          </reference>
          <reference field="5" count="43">
            <x v="0"/>
            <x v="4"/>
            <x v="8"/>
            <x v="10"/>
            <x v="11"/>
            <x v="12"/>
            <x v="13"/>
            <x v="14"/>
            <x v="18"/>
            <x v="19"/>
            <x v="26"/>
            <x v="31"/>
            <x v="35"/>
            <x v="37"/>
            <x v="38"/>
            <x v="39"/>
            <x v="40"/>
            <x v="42"/>
            <x v="43"/>
            <x v="45"/>
            <x v="49"/>
            <x v="53"/>
            <x v="58"/>
            <x v="63"/>
            <x v="64"/>
            <x v="67"/>
            <x v="71"/>
            <x v="74"/>
            <x v="77"/>
            <x v="81"/>
            <x v="84"/>
            <x v="85"/>
            <x v="86"/>
            <x v="114"/>
            <x v="115"/>
            <x v="132"/>
            <x v="133"/>
            <x v="134"/>
            <x v="135"/>
            <x v="136"/>
            <x v="138"/>
            <x v="139"/>
            <x v="161"/>
          </reference>
        </references>
      </pivotArea>
    </format>
    <format dxfId="7560">
      <pivotArea dataOnly="0" labelOnly="1" outline="0" fieldPosition="0">
        <references count="3">
          <reference field="1" count="1" selected="0">
            <x v="16"/>
          </reference>
          <reference field="3" count="1" selected="0">
            <x v="10"/>
          </reference>
          <reference field="5" count="13">
            <x v="23"/>
            <x v="30"/>
            <x v="80"/>
            <x v="90"/>
            <x v="92"/>
            <x v="140"/>
            <x v="142"/>
            <x v="143"/>
            <x v="160"/>
            <x v="162"/>
            <x v="209"/>
            <x v="210"/>
            <x v="211"/>
          </reference>
        </references>
      </pivotArea>
    </format>
    <format dxfId="7559">
      <pivotArea dataOnly="0" labelOnly="1" outline="0" fieldPosition="0">
        <references count="3">
          <reference field="1" count="1" selected="0">
            <x v="16"/>
          </reference>
          <reference field="3" count="1" selected="0">
            <x v="11"/>
          </reference>
          <reference field="5" count="19">
            <x v="1"/>
            <x v="2"/>
            <x v="5"/>
            <x v="9"/>
            <x v="15"/>
            <x v="17"/>
            <x v="46"/>
            <x v="48"/>
            <x v="50"/>
            <x v="54"/>
            <x v="55"/>
            <x v="57"/>
            <x v="60"/>
            <x v="69"/>
            <x v="72"/>
            <x v="73"/>
            <x v="78"/>
            <x v="79"/>
            <x v="82"/>
          </reference>
        </references>
      </pivotArea>
    </format>
    <format dxfId="7558">
      <pivotArea dataOnly="0" labelOnly="1" outline="0" fieldPosition="0">
        <references count="3">
          <reference field="1" count="1" selected="0">
            <x v="17"/>
          </reference>
          <reference field="3" count="1" selected="0">
            <x v="1"/>
          </reference>
          <reference field="5" count="4">
            <x v="75"/>
            <x v="76"/>
            <x v="166"/>
            <x v="222"/>
          </reference>
        </references>
      </pivotArea>
    </format>
    <format dxfId="7557">
      <pivotArea dataOnly="0" labelOnly="1" outline="0" fieldPosition="0">
        <references count="3">
          <reference field="1" count="1" selected="0">
            <x v="17"/>
          </reference>
          <reference field="3" count="1" selected="0">
            <x v="4"/>
          </reference>
          <reference field="5" count="19">
            <x v="65"/>
            <x v="70"/>
            <x v="191"/>
            <x v="192"/>
            <x v="193"/>
            <x v="194"/>
            <x v="195"/>
            <x v="196"/>
            <x v="197"/>
            <x v="198"/>
            <x v="199"/>
            <x v="200"/>
            <x v="201"/>
            <x v="202"/>
            <x v="203"/>
            <x v="204"/>
            <x v="205"/>
            <x v="206"/>
            <x v="337"/>
          </reference>
        </references>
      </pivotArea>
    </format>
    <format dxfId="7556">
      <pivotArea dataOnly="0" labelOnly="1" outline="0" fieldPosition="0">
        <references count="3">
          <reference field="1" count="1" selected="0">
            <x v="17"/>
          </reference>
          <reference field="3" count="1" selected="0">
            <x v="5"/>
          </reference>
          <reference field="5" count="39">
            <x v="24"/>
            <x v="25"/>
            <x v="28"/>
            <x v="33"/>
            <x v="88"/>
            <x v="96"/>
            <x v="97"/>
            <x v="98"/>
            <x v="99"/>
            <x v="100"/>
            <x v="101"/>
            <x v="102"/>
            <x v="103"/>
            <x v="104"/>
            <x v="111"/>
            <x v="112"/>
            <x v="116"/>
            <x v="117"/>
            <x v="141"/>
            <x v="147"/>
            <x v="148"/>
            <x v="149"/>
            <x v="150"/>
            <x v="151"/>
            <x v="152"/>
            <x v="153"/>
            <x v="154"/>
            <x v="168"/>
            <x v="212"/>
            <x v="213"/>
            <x v="214"/>
            <x v="215"/>
            <x v="216"/>
            <x v="217"/>
            <x v="218"/>
            <x v="219"/>
            <x v="220"/>
            <x v="221"/>
            <x v="321"/>
          </reference>
        </references>
      </pivotArea>
    </format>
    <format dxfId="7555">
      <pivotArea dataOnly="0" labelOnly="1" outline="0" fieldPosition="0">
        <references count="3">
          <reference field="1" count="1" selected="0">
            <x v="17"/>
          </reference>
          <reference field="3" count="1" selected="0">
            <x v="7"/>
          </reference>
          <reference field="5" count="50">
            <x v="6"/>
            <x v="7"/>
            <x v="16"/>
            <x v="20"/>
            <x v="22"/>
            <x v="27"/>
            <x v="32"/>
            <x v="34"/>
            <x v="36"/>
            <x v="47"/>
            <x v="51"/>
            <x v="52"/>
            <x v="56"/>
            <x v="61"/>
            <x v="66"/>
            <x v="68"/>
            <x v="83"/>
            <x v="94"/>
            <x v="95"/>
            <x v="107"/>
            <x v="108"/>
            <x v="109"/>
            <x v="110"/>
            <x v="113"/>
            <x v="118"/>
            <x v="119"/>
            <x v="120"/>
            <x v="121"/>
            <x v="122"/>
            <x v="123"/>
            <x v="124"/>
            <x v="125"/>
            <x v="126"/>
            <x v="127"/>
            <x v="128"/>
            <x v="129"/>
            <x v="130"/>
            <x v="137"/>
            <x v="145"/>
            <x v="146"/>
            <x v="155"/>
            <x v="156"/>
            <x v="163"/>
            <x v="170"/>
            <x v="172"/>
            <x v="175"/>
            <x v="177"/>
            <x v="180"/>
            <x v="182"/>
            <x v="183"/>
          </reference>
        </references>
      </pivotArea>
    </format>
    <format dxfId="7554">
      <pivotArea dataOnly="0" labelOnly="1" outline="0" fieldPosition="0">
        <references count="3">
          <reference field="1" count="1" selected="0">
            <x v="17"/>
          </reference>
          <reference field="3" count="1" selected="0">
            <x v="7"/>
          </reference>
          <reference field="5" count="36">
            <x v="3"/>
            <x v="21"/>
            <x v="29"/>
            <x v="41"/>
            <x v="44"/>
            <x v="59"/>
            <x v="62"/>
            <x v="87"/>
            <x v="89"/>
            <x v="91"/>
            <x v="93"/>
            <x v="105"/>
            <x v="106"/>
            <x v="144"/>
            <x v="157"/>
            <x v="158"/>
            <x v="159"/>
            <x v="164"/>
            <x v="165"/>
            <x v="167"/>
            <x v="169"/>
            <x v="171"/>
            <x v="173"/>
            <x v="174"/>
            <x v="176"/>
            <x v="178"/>
            <x v="179"/>
            <x v="181"/>
            <x v="184"/>
            <x v="185"/>
            <x v="186"/>
            <x v="187"/>
            <x v="188"/>
            <x v="189"/>
            <x v="190"/>
            <x v="207"/>
          </reference>
        </references>
      </pivotArea>
    </format>
    <format dxfId="7553">
      <pivotArea dataOnly="0" labelOnly="1" outline="0" fieldPosition="0">
        <references count="3">
          <reference field="1" count="1" selected="0">
            <x v="17"/>
          </reference>
          <reference field="3" count="1" selected="0">
            <x v="9"/>
          </reference>
          <reference field="5" count="43">
            <x v="0"/>
            <x v="4"/>
            <x v="8"/>
            <x v="10"/>
            <x v="11"/>
            <x v="12"/>
            <x v="13"/>
            <x v="14"/>
            <x v="18"/>
            <x v="19"/>
            <x v="26"/>
            <x v="31"/>
            <x v="35"/>
            <x v="37"/>
            <x v="38"/>
            <x v="39"/>
            <x v="40"/>
            <x v="42"/>
            <x v="43"/>
            <x v="45"/>
            <x v="49"/>
            <x v="53"/>
            <x v="58"/>
            <x v="63"/>
            <x v="64"/>
            <x v="67"/>
            <x v="71"/>
            <x v="74"/>
            <x v="77"/>
            <x v="81"/>
            <x v="84"/>
            <x v="85"/>
            <x v="86"/>
            <x v="114"/>
            <x v="115"/>
            <x v="132"/>
            <x v="133"/>
            <x v="134"/>
            <x v="135"/>
            <x v="136"/>
            <x v="138"/>
            <x v="139"/>
            <x v="161"/>
          </reference>
        </references>
      </pivotArea>
    </format>
    <format dxfId="7552">
      <pivotArea dataOnly="0" labelOnly="1" outline="0" fieldPosition="0">
        <references count="3">
          <reference field="1" count="1" selected="0">
            <x v="17"/>
          </reference>
          <reference field="3" count="1" selected="0">
            <x v="10"/>
          </reference>
          <reference field="5" count="13">
            <x v="23"/>
            <x v="30"/>
            <x v="80"/>
            <x v="90"/>
            <x v="92"/>
            <x v="140"/>
            <x v="142"/>
            <x v="143"/>
            <x v="160"/>
            <x v="162"/>
            <x v="209"/>
            <x v="210"/>
            <x v="211"/>
          </reference>
        </references>
      </pivotArea>
    </format>
    <format dxfId="7551">
      <pivotArea dataOnly="0" labelOnly="1" outline="0" fieldPosition="0">
        <references count="3">
          <reference field="1" count="1" selected="0">
            <x v="17"/>
          </reference>
          <reference field="3" count="1" selected="0">
            <x v="11"/>
          </reference>
          <reference field="5" count="19">
            <x v="1"/>
            <x v="2"/>
            <x v="5"/>
            <x v="9"/>
            <x v="15"/>
            <x v="17"/>
            <x v="46"/>
            <x v="48"/>
            <x v="50"/>
            <x v="54"/>
            <x v="55"/>
            <x v="57"/>
            <x v="60"/>
            <x v="69"/>
            <x v="72"/>
            <x v="73"/>
            <x v="78"/>
            <x v="79"/>
            <x v="82"/>
          </reference>
        </references>
      </pivotArea>
    </format>
    <format dxfId="7550">
      <pivotArea dataOnly="0" labelOnly="1" outline="0" fieldPosition="0">
        <references count="3">
          <reference field="1" count="1" selected="0">
            <x v="18"/>
          </reference>
          <reference field="3" count="1" selected="0">
            <x v="1"/>
          </reference>
          <reference field="5" count="4">
            <x v="75"/>
            <x v="76"/>
            <x v="166"/>
            <x v="222"/>
          </reference>
        </references>
      </pivotArea>
    </format>
    <format dxfId="7549">
      <pivotArea dataOnly="0" labelOnly="1" outline="0" fieldPosition="0">
        <references count="3">
          <reference field="1" count="1" selected="0">
            <x v="18"/>
          </reference>
          <reference field="3" count="1" selected="0">
            <x v="4"/>
          </reference>
          <reference field="5" count="19">
            <x v="65"/>
            <x v="70"/>
            <x v="191"/>
            <x v="192"/>
            <x v="193"/>
            <x v="194"/>
            <x v="195"/>
            <x v="196"/>
            <x v="197"/>
            <x v="198"/>
            <x v="199"/>
            <x v="200"/>
            <x v="201"/>
            <x v="202"/>
            <x v="203"/>
            <x v="204"/>
            <x v="205"/>
            <x v="206"/>
            <x v="337"/>
          </reference>
        </references>
      </pivotArea>
    </format>
    <format dxfId="7548">
      <pivotArea dataOnly="0" labelOnly="1" outline="0" fieldPosition="0">
        <references count="3">
          <reference field="1" count="1" selected="0">
            <x v="18"/>
          </reference>
          <reference field="3" count="1" selected="0">
            <x v="5"/>
          </reference>
          <reference field="5" count="39">
            <x v="24"/>
            <x v="25"/>
            <x v="28"/>
            <x v="33"/>
            <x v="88"/>
            <x v="96"/>
            <x v="97"/>
            <x v="98"/>
            <x v="99"/>
            <x v="100"/>
            <x v="101"/>
            <x v="102"/>
            <x v="103"/>
            <x v="104"/>
            <x v="111"/>
            <x v="112"/>
            <x v="116"/>
            <x v="117"/>
            <x v="141"/>
            <x v="147"/>
            <x v="148"/>
            <x v="149"/>
            <x v="150"/>
            <x v="151"/>
            <x v="152"/>
            <x v="153"/>
            <x v="154"/>
            <x v="168"/>
            <x v="212"/>
            <x v="213"/>
            <x v="214"/>
            <x v="215"/>
            <x v="216"/>
            <x v="217"/>
            <x v="218"/>
            <x v="219"/>
            <x v="220"/>
            <x v="221"/>
            <x v="321"/>
          </reference>
        </references>
      </pivotArea>
    </format>
    <format dxfId="7547">
      <pivotArea dataOnly="0" labelOnly="1" outline="0" fieldPosition="0">
        <references count="3">
          <reference field="1" count="1" selected="0">
            <x v="18"/>
          </reference>
          <reference field="3" count="1" selected="0">
            <x v="7"/>
          </reference>
          <reference field="5" count="50">
            <x v="6"/>
            <x v="7"/>
            <x v="16"/>
            <x v="20"/>
            <x v="22"/>
            <x v="27"/>
            <x v="32"/>
            <x v="34"/>
            <x v="36"/>
            <x v="47"/>
            <x v="51"/>
            <x v="52"/>
            <x v="56"/>
            <x v="61"/>
            <x v="66"/>
            <x v="68"/>
            <x v="83"/>
            <x v="94"/>
            <x v="95"/>
            <x v="107"/>
            <x v="108"/>
            <x v="109"/>
            <x v="110"/>
            <x v="113"/>
            <x v="118"/>
            <x v="119"/>
            <x v="120"/>
            <x v="121"/>
            <x v="122"/>
            <x v="123"/>
            <x v="124"/>
            <x v="125"/>
            <x v="126"/>
            <x v="127"/>
            <x v="128"/>
            <x v="129"/>
            <x v="130"/>
            <x v="137"/>
            <x v="145"/>
            <x v="146"/>
            <x v="155"/>
            <x v="156"/>
            <x v="163"/>
            <x v="170"/>
            <x v="172"/>
            <x v="175"/>
            <x v="177"/>
            <x v="180"/>
            <x v="182"/>
            <x v="183"/>
          </reference>
        </references>
      </pivotArea>
    </format>
    <format dxfId="7546">
      <pivotArea dataOnly="0" labelOnly="1" outline="0" fieldPosition="0">
        <references count="3">
          <reference field="1" count="1" selected="0">
            <x v="18"/>
          </reference>
          <reference field="3" count="1" selected="0">
            <x v="7"/>
          </reference>
          <reference field="5" count="36">
            <x v="3"/>
            <x v="21"/>
            <x v="29"/>
            <x v="41"/>
            <x v="44"/>
            <x v="59"/>
            <x v="62"/>
            <x v="87"/>
            <x v="89"/>
            <x v="91"/>
            <x v="93"/>
            <x v="105"/>
            <x v="106"/>
            <x v="144"/>
            <x v="157"/>
            <x v="158"/>
            <x v="159"/>
            <x v="164"/>
            <x v="165"/>
            <x v="167"/>
            <x v="169"/>
            <x v="171"/>
            <x v="173"/>
            <x v="174"/>
            <x v="176"/>
            <x v="178"/>
            <x v="179"/>
            <x v="181"/>
            <x v="184"/>
            <x v="185"/>
            <x v="186"/>
            <x v="187"/>
            <x v="188"/>
            <x v="189"/>
            <x v="190"/>
            <x v="207"/>
          </reference>
        </references>
      </pivotArea>
    </format>
    <format dxfId="7545">
      <pivotArea dataOnly="0" labelOnly="1" outline="0" fieldPosition="0">
        <references count="3">
          <reference field="1" count="1" selected="0">
            <x v="18"/>
          </reference>
          <reference field="3" count="1" selected="0">
            <x v="9"/>
          </reference>
          <reference field="5" count="43">
            <x v="0"/>
            <x v="4"/>
            <x v="8"/>
            <x v="10"/>
            <x v="11"/>
            <x v="12"/>
            <x v="13"/>
            <x v="14"/>
            <x v="18"/>
            <x v="19"/>
            <x v="26"/>
            <x v="31"/>
            <x v="35"/>
            <x v="37"/>
            <x v="38"/>
            <x v="39"/>
            <x v="40"/>
            <x v="42"/>
            <x v="43"/>
            <x v="45"/>
            <x v="49"/>
            <x v="53"/>
            <x v="58"/>
            <x v="63"/>
            <x v="64"/>
            <x v="67"/>
            <x v="71"/>
            <x v="74"/>
            <x v="77"/>
            <x v="81"/>
            <x v="84"/>
            <x v="85"/>
            <x v="86"/>
            <x v="114"/>
            <x v="115"/>
            <x v="132"/>
            <x v="133"/>
            <x v="134"/>
            <x v="135"/>
            <x v="136"/>
            <x v="138"/>
            <x v="139"/>
            <x v="161"/>
          </reference>
        </references>
      </pivotArea>
    </format>
    <format dxfId="7544">
      <pivotArea dataOnly="0" labelOnly="1" outline="0" fieldPosition="0">
        <references count="3">
          <reference field="1" count="1" selected="0">
            <x v="18"/>
          </reference>
          <reference field="3" count="1" selected="0">
            <x v="10"/>
          </reference>
          <reference field="5" count="12">
            <x v="23"/>
            <x v="30"/>
            <x v="80"/>
            <x v="90"/>
            <x v="92"/>
            <x v="140"/>
            <x v="142"/>
            <x v="143"/>
            <x v="160"/>
            <x v="209"/>
            <x v="210"/>
            <x v="211"/>
          </reference>
        </references>
      </pivotArea>
    </format>
    <format dxfId="7543">
      <pivotArea dataOnly="0" labelOnly="1" outline="0" fieldPosition="0">
        <references count="3">
          <reference field="1" count="1" selected="0">
            <x v="18"/>
          </reference>
          <reference field="3" count="1" selected="0">
            <x v="11"/>
          </reference>
          <reference field="5" count="20">
            <x v="1"/>
            <x v="2"/>
            <x v="5"/>
            <x v="9"/>
            <x v="15"/>
            <x v="17"/>
            <x v="46"/>
            <x v="48"/>
            <x v="50"/>
            <x v="54"/>
            <x v="55"/>
            <x v="57"/>
            <x v="60"/>
            <x v="69"/>
            <x v="72"/>
            <x v="73"/>
            <x v="78"/>
            <x v="79"/>
            <x v="82"/>
            <x v="162"/>
          </reference>
        </references>
      </pivotArea>
    </format>
    <format dxfId="7542">
      <pivotArea dataOnly="0" labelOnly="1" outline="0" fieldPosition="0">
        <references count="3">
          <reference field="1" count="1" selected="0">
            <x v="19"/>
          </reference>
          <reference field="3" count="1" selected="0">
            <x v="1"/>
          </reference>
          <reference field="5" count="4">
            <x v="75"/>
            <x v="76"/>
            <x v="166"/>
            <x v="222"/>
          </reference>
        </references>
      </pivotArea>
    </format>
    <format dxfId="7541">
      <pivotArea dataOnly="0" labelOnly="1" outline="0" fieldPosition="0">
        <references count="3">
          <reference field="1" count="1" selected="0">
            <x v="19"/>
          </reference>
          <reference field="3" count="1" selected="0">
            <x v="4"/>
          </reference>
          <reference field="5" count="19">
            <x v="65"/>
            <x v="70"/>
            <x v="191"/>
            <x v="192"/>
            <x v="193"/>
            <x v="194"/>
            <x v="195"/>
            <x v="196"/>
            <x v="197"/>
            <x v="198"/>
            <x v="199"/>
            <x v="200"/>
            <x v="201"/>
            <x v="202"/>
            <x v="203"/>
            <x v="204"/>
            <x v="205"/>
            <x v="206"/>
            <x v="337"/>
          </reference>
        </references>
      </pivotArea>
    </format>
    <format dxfId="7540">
      <pivotArea dataOnly="0" labelOnly="1" outline="0" fieldPosition="0">
        <references count="3">
          <reference field="1" count="1" selected="0">
            <x v="19"/>
          </reference>
          <reference field="3" count="1" selected="0">
            <x v="5"/>
          </reference>
          <reference field="5" count="39">
            <x v="24"/>
            <x v="25"/>
            <x v="28"/>
            <x v="33"/>
            <x v="88"/>
            <x v="96"/>
            <x v="97"/>
            <x v="98"/>
            <x v="99"/>
            <x v="100"/>
            <x v="101"/>
            <x v="102"/>
            <x v="103"/>
            <x v="104"/>
            <x v="111"/>
            <x v="112"/>
            <x v="116"/>
            <x v="117"/>
            <x v="141"/>
            <x v="147"/>
            <x v="148"/>
            <x v="149"/>
            <x v="150"/>
            <x v="151"/>
            <x v="152"/>
            <x v="153"/>
            <x v="154"/>
            <x v="168"/>
            <x v="212"/>
            <x v="213"/>
            <x v="214"/>
            <x v="215"/>
            <x v="216"/>
            <x v="217"/>
            <x v="218"/>
            <x v="219"/>
            <x v="220"/>
            <x v="221"/>
            <x v="321"/>
          </reference>
        </references>
      </pivotArea>
    </format>
    <format dxfId="7539">
      <pivotArea dataOnly="0" labelOnly="1" outline="0" fieldPosition="0">
        <references count="3">
          <reference field="1" count="1" selected="0">
            <x v="19"/>
          </reference>
          <reference field="3" count="1" selected="0">
            <x v="7"/>
          </reference>
          <reference field="5" count="50">
            <x v="6"/>
            <x v="7"/>
            <x v="16"/>
            <x v="20"/>
            <x v="22"/>
            <x v="27"/>
            <x v="32"/>
            <x v="34"/>
            <x v="36"/>
            <x v="47"/>
            <x v="51"/>
            <x v="52"/>
            <x v="56"/>
            <x v="61"/>
            <x v="66"/>
            <x v="68"/>
            <x v="83"/>
            <x v="94"/>
            <x v="95"/>
            <x v="107"/>
            <x v="108"/>
            <x v="109"/>
            <x v="110"/>
            <x v="113"/>
            <x v="118"/>
            <x v="119"/>
            <x v="120"/>
            <x v="121"/>
            <x v="122"/>
            <x v="123"/>
            <x v="124"/>
            <x v="125"/>
            <x v="126"/>
            <x v="127"/>
            <x v="128"/>
            <x v="129"/>
            <x v="130"/>
            <x v="137"/>
            <x v="145"/>
            <x v="146"/>
            <x v="155"/>
            <x v="156"/>
            <x v="163"/>
            <x v="170"/>
            <x v="172"/>
            <x v="175"/>
            <x v="177"/>
            <x v="180"/>
            <x v="182"/>
            <x v="183"/>
          </reference>
        </references>
      </pivotArea>
    </format>
    <format dxfId="7538">
      <pivotArea dataOnly="0" labelOnly="1" outline="0" fieldPosition="0">
        <references count="3">
          <reference field="1" count="1" selected="0">
            <x v="19"/>
          </reference>
          <reference field="3" count="1" selected="0">
            <x v="7"/>
          </reference>
          <reference field="5" count="36">
            <x v="3"/>
            <x v="21"/>
            <x v="29"/>
            <x v="41"/>
            <x v="44"/>
            <x v="59"/>
            <x v="62"/>
            <x v="87"/>
            <x v="89"/>
            <x v="91"/>
            <x v="93"/>
            <x v="105"/>
            <x v="106"/>
            <x v="144"/>
            <x v="157"/>
            <x v="158"/>
            <x v="159"/>
            <x v="164"/>
            <x v="165"/>
            <x v="167"/>
            <x v="169"/>
            <x v="171"/>
            <x v="173"/>
            <x v="174"/>
            <x v="176"/>
            <x v="178"/>
            <x v="179"/>
            <x v="181"/>
            <x v="184"/>
            <x v="185"/>
            <x v="186"/>
            <x v="187"/>
            <x v="188"/>
            <x v="189"/>
            <x v="190"/>
            <x v="207"/>
          </reference>
        </references>
      </pivotArea>
    </format>
    <format dxfId="7537">
      <pivotArea dataOnly="0" labelOnly="1" outline="0" fieldPosition="0">
        <references count="3">
          <reference field="1" count="1" selected="0">
            <x v="19"/>
          </reference>
          <reference field="3" count="1" selected="0">
            <x v="9"/>
          </reference>
          <reference field="5" count="43">
            <x v="0"/>
            <x v="4"/>
            <x v="8"/>
            <x v="10"/>
            <x v="11"/>
            <x v="12"/>
            <x v="13"/>
            <x v="14"/>
            <x v="18"/>
            <x v="19"/>
            <x v="26"/>
            <x v="31"/>
            <x v="35"/>
            <x v="37"/>
            <x v="38"/>
            <x v="39"/>
            <x v="40"/>
            <x v="42"/>
            <x v="43"/>
            <x v="45"/>
            <x v="49"/>
            <x v="53"/>
            <x v="58"/>
            <x v="63"/>
            <x v="64"/>
            <x v="67"/>
            <x v="71"/>
            <x v="74"/>
            <x v="77"/>
            <x v="81"/>
            <x v="84"/>
            <x v="85"/>
            <x v="86"/>
            <x v="114"/>
            <x v="115"/>
            <x v="132"/>
            <x v="133"/>
            <x v="134"/>
            <x v="135"/>
            <x v="136"/>
            <x v="138"/>
            <x v="139"/>
            <x v="161"/>
          </reference>
        </references>
      </pivotArea>
    </format>
    <format dxfId="7536">
      <pivotArea dataOnly="0" labelOnly="1" outline="0" fieldPosition="0">
        <references count="3">
          <reference field="1" count="1" selected="0">
            <x v="19"/>
          </reference>
          <reference field="3" count="1" selected="0">
            <x v="10"/>
          </reference>
          <reference field="5" count="12">
            <x v="23"/>
            <x v="30"/>
            <x v="80"/>
            <x v="90"/>
            <x v="92"/>
            <x v="140"/>
            <x v="142"/>
            <x v="143"/>
            <x v="160"/>
            <x v="209"/>
            <x v="210"/>
            <x v="211"/>
          </reference>
        </references>
      </pivotArea>
    </format>
    <format dxfId="7535">
      <pivotArea dataOnly="0" labelOnly="1" outline="0" fieldPosition="0">
        <references count="3">
          <reference field="1" count="1" selected="0">
            <x v="19"/>
          </reference>
          <reference field="3" count="1" selected="0">
            <x v="11"/>
          </reference>
          <reference field="5" count="20">
            <x v="1"/>
            <x v="2"/>
            <x v="5"/>
            <x v="9"/>
            <x v="15"/>
            <x v="17"/>
            <x v="46"/>
            <x v="48"/>
            <x v="50"/>
            <x v="54"/>
            <x v="55"/>
            <x v="57"/>
            <x v="60"/>
            <x v="69"/>
            <x v="72"/>
            <x v="73"/>
            <x v="78"/>
            <x v="79"/>
            <x v="82"/>
            <x v="162"/>
          </reference>
        </references>
      </pivotArea>
    </format>
    <format dxfId="7534">
      <pivotArea dataOnly="0" labelOnly="1" outline="0" fieldPosition="0">
        <references count="3">
          <reference field="1" count="1" selected="0">
            <x v="20"/>
          </reference>
          <reference field="3" count="1" selected="0">
            <x v="1"/>
          </reference>
          <reference field="5" count="4">
            <x v="75"/>
            <x v="76"/>
            <x v="166"/>
            <x v="222"/>
          </reference>
        </references>
      </pivotArea>
    </format>
    <format dxfId="7533">
      <pivotArea dataOnly="0" labelOnly="1" outline="0" fieldPosition="0">
        <references count="3">
          <reference field="1" count="1" selected="0">
            <x v="20"/>
          </reference>
          <reference field="3" count="1" selected="0">
            <x v="4"/>
          </reference>
          <reference field="5" count="21">
            <x v="65"/>
            <x v="70"/>
            <x v="103"/>
            <x v="191"/>
            <x v="192"/>
            <x v="193"/>
            <x v="194"/>
            <x v="195"/>
            <x v="196"/>
            <x v="197"/>
            <x v="198"/>
            <x v="199"/>
            <x v="200"/>
            <x v="201"/>
            <x v="202"/>
            <x v="203"/>
            <x v="204"/>
            <x v="205"/>
            <x v="206"/>
            <x v="213"/>
            <x v="337"/>
          </reference>
        </references>
      </pivotArea>
    </format>
    <format dxfId="7532">
      <pivotArea dataOnly="0" labelOnly="1" outline="0" fieldPosition="0">
        <references count="3">
          <reference field="1" count="1" selected="0">
            <x v="20"/>
          </reference>
          <reference field="3" count="1" selected="0">
            <x v="5"/>
          </reference>
          <reference field="5" count="37">
            <x v="24"/>
            <x v="25"/>
            <x v="28"/>
            <x v="33"/>
            <x v="88"/>
            <x v="96"/>
            <x v="97"/>
            <x v="98"/>
            <x v="99"/>
            <x v="100"/>
            <x v="101"/>
            <x v="102"/>
            <x v="104"/>
            <x v="111"/>
            <x v="112"/>
            <x v="116"/>
            <x v="117"/>
            <x v="141"/>
            <x v="147"/>
            <x v="148"/>
            <x v="149"/>
            <x v="150"/>
            <x v="151"/>
            <x v="152"/>
            <x v="153"/>
            <x v="154"/>
            <x v="168"/>
            <x v="212"/>
            <x v="214"/>
            <x v="215"/>
            <x v="216"/>
            <x v="217"/>
            <x v="218"/>
            <x v="219"/>
            <x v="220"/>
            <x v="221"/>
            <x v="321"/>
          </reference>
        </references>
      </pivotArea>
    </format>
    <format dxfId="7531">
      <pivotArea dataOnly="0" labelOnly="1" outline="0" fieldPosition="0">
        <references count="3">
          <reference field="1" count="1" selected="0">
            <x v="20"/>
          </reference>
          <reference field="3" count="1" selected="0">
            <x v="7"/>
          </reference>
          <reference field="5" count="50">
            <x v="6"/>
            <x v="7"/>
            <x v="16"/>
            <x v="20"/>
            <x v="22"/>
            <x v="27"/>
            <x v="32"/>
            <x v="34"/>
            <x v="36"/>
            <x v="47"/>
            <x v="51"/>
            <x v="52"/>
            <x v="56"/>
            <x v="61"/>
            <x v="66"/>
            <x v="68"/>
            <x v="83"/>
            <x v="94"/>
            <x v="95"/>
            <x v="107"/>
            <x v="108"/>
            <x v="109"/>
            <x v="110"/>
            <x v="113"/>
            <x v="118"/>
            <x v="119"/>
            <x v="120"/>
            <x v="121"/>
            <x v="122"/>
            <x v="123"/>
            <x v="124"/>
            <x v="125"/>
            <x v="126"/>
            <x v="127"/>
            <x v="128"/>
            <x v="129"/>
            <x v="130"/>
            <x v="137"/>
            <x v="145"/>
            <x v="146"/>
            <x v="155"/>
            <x v="156"/>
            <x v="163"/>
            <x v="170"/>
            <x v="172"/>
            <x v="175"/>
            <x v="177"/>
            <x v="180"/>
            <x v="182"/>
            <x v="183"/>
          </reference>
        </references>
      </pivotArea>
    </format>
    <format dxfId="7530">
      <pivotArea dataOnly="0" labelOnly="1" outline="0" fieldPosition="0">
        <references count="3">
          <reference field="1" count="1" selected="0">
            <x v="20"/>
          </reference>
          <reference field="3" count="1" selected="0">
            <x v="7"/>
          </reference>
          <reference field="5" count="36">
            <x v="3"/>
            <x v="21"/>
            <x v="29"/>
            <x v="41"/>
            <x v="44"/>
            <x v="59"/>
            <x v="62"/>
            <x v="87"/>
            <x v="89"/>
            <x v="91"/>
            <x v="93"/>
            <x v="105"/>
            <x v="106"/>
            <x v="144"/>
            <x v="157"/>
            <x v="158"/>
            <x v="159"/>
            <x v="164"/>
            <x v="165"/>
            <x v="167"/>
            <x v="169"/>
            <x v="171"/>
            <x v="173"/>
            <x v="174"/>
            <x v="176"/>
            <x v="178"/>
            <x v="179"/>
            <x v="181"/>
            <x v="184"/>
            <x v="185"/>
            <x v="186"/>
            <x v="187"/>
            <x v="188"/>
            <x v="189"/>
            <x v="190"/>
            <x v="207"/>
          </reference>
        </references>
      </pivotArea>
    </format>
    <format dxfId="7529">
      <pivotArea dataOnly="0" labelOnly="1" outline="0" fieldPosition="0">
        <references count="3">
          <reference field="1" count="1" selected="0">
            <x v="20"/>
          </reference>
          <reference field="3" count="1" selected="0">
            <x v="9"/>
          </reference>
          <reference field="5" count="43">
            <x v="0"/>
            <x v="4"/>
            <x v="8"/>
            <x v="10"/>
            <x v="11"/>
            <x v="12"/>
            <x v="13"/>
            <x v="14"/>
            <x v="18"/>
            <x v="19"/>
            <x v="26"/>
            <x v="31"/>
            <x v="35"/>
            <x v="37"/>
            <x v="38"/>
            <x v="39"/>
            <x v="40"/>
            <x v="42"/>
            <x v="43"/>
            <x v="45"/>
            <x v="49"/>
            <x v="53"/>
            <x v="58"/>
            <x v="63"/>
            <x v="64"/>
            <x v="67"/>
            <x v="71"/>
            <x v="74"/>
            <x v="77"/>
            <x v="81"/>
            <x v="84"/>
            <x v="85"/>
            <x v="86"/>
            <x v="114"/>
            <x v="115"/>
            <x v="132"/>
            <x v="133"/>
            <x v="134"/>
            <x v="135"/>
            <x v="136"/>
            <x v="138"/>
            <x v="139"/>
            <x v="161"/>
          </reference>
        </references>
      </pivotArea>
    </format>
    <format dxfId="7528">
      <pivotArea dataOnly="0" labelOnly="1" outline="0" fieldPosition="0">
        <references count="3">
          <reference field="1" count="1" selected="0">
            <x v="20"/>
          </reference>
          <reference field="3" count="1" selected="0">
            <x v="10"/>
          </reference>
          <reference field="5" count="12">
            <x v="23"/>
            <x v="30"/>
            <x v="80"/>
            <x v="90"/>
            <x v="92"/>
            <x v="140"/>
            <x v="142"/>
            <x v="143"/>
            <x v="160"/>
            <x v="209"/>
            <x v="210"/>
            <x v="211"/>
          </reference>
        </references>
      </pivotArea>
    </format>
    <format dxfId="7527">
      <pivotArea dataOnly="0" labelOnly="1" outline="0" fieldPosition="0">
        <references count="3">
          <reference field="1" count="1" selected="0">
            <x v="20"/>
          </reference>
          <reference field="3" count="1" selected="0">
            <x v="11"/>
          </reference>
          <reference field="5" count="20">
            <x v="1"/>
            <x v="2"/>
            <x v="5"/>
            <x v="9"/>
            <x v="15"/>
            <x v="17"/>
            <x v="46"/>
            <x v="48"/>
            <x v="50"/>
            <x v="54"/>
            <x v="55"/>
            <x v="57"/>
            <x v="60"/>
            <x v="69"/>
            <x v="72"/>
            <x v="73"/>
            <x v="78"/>
            <x v="79"/>
            <x v="82"/>
            <x v="162"/>
          </reference>
        </references>
      </pivotArea>
    </format>
    <format dxfId="7526">
      <pivotArea dataOnly="0" labelOnly="1" outline="0" fieldPosition="0">
        <references count="3">
          <reference field="1" count="1" selected="0">
            <x v="21"/>
          </reference>
          <reference field="3" count="1" selected="0">
            <x v="1"/>
          </reference>
          <reference field="5" count="4">
            <x v="75"/>
            <x v="76"/>
            <x v="166"/>
            <x v="222"/>
          </reference>
        </references>
      </pivotArea>
    </format>
    <format dxfId="7525">
      <pivotArea dataOnly="0" labelOnly="1" outline="0" fieldPosition="0">
        <references count="3">
          <reference field="1" count="1" selected="0">
            <x v="21"/>
          </reference>
          <reference field="3" count="1" selected="0">
            <x v="4"/>
          </reference>
          <reference field="5" count="19">
            <x v="65"/>
            <x v="70"/>
            <x v="191"/>
            <x v="192"/>
            <x v="193"/>
            <x v="194"/>
            <x v="195"/>
            <x v="196"/>
            <x v="197"/>
            <x v="198"/>
            <x v="199"/>
            <x v="200"/>
            <x v="201"/>
            <x v="202"/>
            <x v="203"/>
            <x v="204"/>
            <x v="205"/>
            <x v="206"/>
            <x v="337"/>
          </reference>
        </references>
      </pivotArea>
    </format>
    <format dxfId="7524">
      <pivotArea dataOnly="0" labelOnly="1" outline="0" fieldPosition="0">
        <references count="3">
          <reference field="1" count="1" selected="0">
            <x v="21"/>
          </reference>
          <reference field="3" count="1" selected="0">
            <x v="5"/>
          </reference>
          <reference field="5" count="39">
            <x v="24"/>
            <x v="25"/>
            <x v="28"/>
            <x v="33"/>
            <x v="88"/>
            <x v="96"/>
            <x v="97"/>
            <x v="98"/>
            <x v="99"/>
            <x v="100"/>
            <x v="101"/>
            <x v="102"/>
            <x v="103"/>
            <x v="104"/>
            <x v="111"/>
            <x v="112"/>
            <x v="116"/>
            <x v="117"/>
            <x v="141"/>
            <x v="147"/>
            <x v="148"/>
            <x v="149"/>
            <x v="150"/>
            <x v="151"/>
            <x v="152"/>
            <x v="153"/>
            <x v="154"/>
            <x v="168"/>
            <x v="212"/>
            <x v="213"/>
            <x v="214"/>
            <x v="215"/>
            <x v="216"/>
            <x v="217"/>
            <x v="218"/>
            <x v="219"/>
            <x v="220"/>
            <x v="221"/>
            <x v="321"/>
          </reference>
        </references>
      </pivotArea>
    </format>
    <format dxfId="7523">
      <pivotArea dataOnly="0" labelOnly="1" outline="0" fieldPosition="0">
        <references count="3">
          <reference field="1" count="1" selected="0">
            <x v="21"/>
          </reference>
          <reference field="3" count="1" selected="0">
            <x v="7"/>
          </reference>
          <reference field="5" count="50">
            <x v="6"/>
            <x v="7"/>
            <x v="16"/>
            <x v="20"/>
            <x v="22"/>
            <x v="27"/>
            <x v="32"/>
            <x v="34"/>
            <x v="36"/>
            <x v="47"/>
            <x v="51"/>
            <x v="52"/>
            <x v="56"/>
            <x v="61"/>
            <x v="66"/>
            <x v="68"/>
            <x v="83"/>
            <x v="94"/>
            <x v="95"/>
            <x v="107"/>
            <x v="108"/>
            <x v="109"/>
            <x v="110"/>
            <x v="113"/>
            <x v="118"/>
            <x v="119"/>
            <x v="120"/>
            <x v="121"/>
            <x v="122"/>
            <x v="123"/>
            <x v="124"/>
            <x v="125"/>
            <x v="126"/>
            <x v="127"/>
            <x v="128"/>
            <x v="129"/>
            <x v="130"/>
            <x v="137"/>
            <x v="145"/>
            <x v="146"/>
            <x v="155"/>
            <x v="156"/>
            <x v="163"/>
            <x v="170"/>
            <x v="172"/>
            <x v="175"/>
            <x v="177"/>
            <x v="180"/>
            <x v="182"/>
            <x v="183"/>
          </reference>
        </references>
      </pivotArea>
    </format>
    <format dxfId="7522">
      <pivotArea dataOnly="0" labelOnly="1" outline="0" fieldPosition="0">
        <references count="3">
          <reference field="1" count="1" selected="0">
            <x v="21"/>
          </reference>
          <reference field="3" count="1" selected="0">
            <x v="7"/>
          </reference>
          <reference field="5" count="36">
            <x v="3"/>
            <x v="21"/>
            <x v="29"/>
            <x v="41"/>
            <x v="44"/>
            <x v="59"/>
            <x v="62"/>
            <x v="87"/>
            <x v="89"/>
            <x v="91"/>
            <x v="93"/>
            <x v="105"/>
            <x v="106"/>
            <x v="144"/>
            <x v="157"/>
            <x v="158"/>
            <x v="159"/>
            <x v="164"/>
            <x v="165"/>
            <x v="167"/>
            <x v="169"/>
            <x v="171"/>
            <x v="173"/>
            <x v="174"/>
            <x v="176"/>
            <x v="178"/>
            <x v="179"/>
            <x v="181"/>
            <x v="184"/>
            <x v="185"/>
            <x v="186"/>
            <x v="187"/>
            <x v="188"/>
            <x v="189"/>
            <x v="190"/>
            <x v="207"/>
          </reference>
        </references>
      </pivotArea>
    </format>
    <format dxfId="7521">
      <pivotArea dataOnly="0" labelOnly="1" outline="0" fieldPosition="0">
        <references count="3">
          <reference field="1" count="1" selected="0">
            <x v="21"/>
          </reference>
          <reference field="3" count="1" selected="0">
            <x v="9"/>
          </reference>
          <reference field="5" count="44">
            <x v="0"/>
            <x v="4"/>
            <x v="8"/>
            <x v="10"/>
            <x v="11"/>
            <x v="12"/>
            <x v="13"/>
            <x v="14"/>
            <x v="18"/>
            <x v="19"/>
            <x v="26"/>
            <x v="31"/>
            <x v="35"/>
            <x v="37"/>
            <x v="38"/>
            <x v="39"/>
            <x v="40"/>
            <x v="42"/>
            <x v="43"/>
            <x v="45"/>
            <x v="49"/>
            <x v="53"/>
            <x v="58"/>
            <x v="63"/>
            <x v="64"/>
            <x v="67"/>
            <x v="71"/>
            <x v="74"/>
            <x v="77"/>
            <x v="80"/>
            <x v="81"/>
            <x v="84"/>
            <x v="85"/>
            <x v="86"/>
            <x v="114"/>
            <x v="115"/>
            <x v="132"/>
            <x v="133"/>
            <x v="134"/>
            <x v="135"/>
            <x v="136"/>
            <x v="138"/>
            <x v="139"/>
            <x v="161"/>
          </reference>
        </references>
      </pivotArea>
    </format>
    <format dxfId="7520">
      <pivotArea dataOnly="0" labelOnly="1" outline="0" fieldPosition="0">
        <references count="3">
          <reference field="1" count="1" selected="0">
            <x v="21"/>
          </reference>
          <reference field="3" count="1" selected="0">
            <x v="10"/>
          </reference>
          <reference field="5" count="11">
            <x v="23"/>
            <x v="30"/>
            <x v="90"/>
            <x v="92"/>
            <x v="140"/>
            <x v="142"/>
            <x v="143"/>
            <x v="160"/>
            <x v="209"/>
            <x v="210"/>
            <x v="211"/>
          </reference>
        </references>
      </pivotArea>
    </format>
    <format dxfId="7519">
      <pivotArea dataOnly="0" labelOnly="1" outline="0" fieldPosition="0">
        <references count="3">
          <reference field="1" count="1" selected="0">
            <x v="21"/>
          </reference>
          <reference field="3" count="1" selected="0">
            <x v="11"/>
          </reference>
          <reference field="5" count="20">
            <x v="1"/>
            <x v="2"/>
            <x v="5"/>
            <x v="9"/>
            <x v="15"/>
            <x v="17"/>
            <x v="46"/>
            <x v="48"/>
            <x v="50"/>
            <x v="54"/>
            <x v="55"/>
            <x v="57"/>
            <x v="60"/>
            <x v="69"/>
            <x v="72"/>
            <x v="73"/>
            <x v="78"/>
            <x v="79"/>
            <x v="82"/>
            <x v="162"/>
          </reference>
        </references>
      </pivotArea>
    </format>
    <format dxfId="7518">
      <pivotArea dataOnly="0" labelOnly="1" outline="0" fieldPosition="0">
        <references count="3">
          <reference field="1" count="1" selected="0">
            <x v="22"/>
          </reference>
          <reference field="3" count="1" selected="0">
            <x v="1"/>
          </reference>
          <reference field="5" count="4">
            <x v="75"/>
            <x v="76"/>
            <x v="166"/>
            <x v="222"/>
          </reference>
        </references>
      </pivotArea>
    </format>
    <format dxfId="7517">
      <pivotArea dataOnly="0" labelOnly="1" outline="0" fieldPosition="0">
        <references count="3">
          <reference field="1" count="1" selected="0">
            <x v="22"/>
          </reference>
          <reference field="3" count="1" selected="0">
            <x v="4"/>
          </reference>
          <reference field="5" count="19">
            <x v="65"/>
            <x v="70"/>
            <x v="191"/>
            <x v="192"/>
            <x v="193"/>
            <x v="194"/>
            <x v="195"/>
            <x v="196"/>
            <x v="197"/>
            <x v="198"/>
            <x v="199"/>
            <x v="200"/>
            <x v="201"/>
            <x v="202"/>
            <x v="203"/>
            <x v="204"/>
            <x v="205"/>
            <x v="206"/>
            <x v="337"/>
          </reference>
        </references>
      </pivotArea>
    </format>
    <format dxfId="7516">
      <pivotArea dataOnly="0" labelOnly="1" outline="0" fieldPosition="0">
        <references count="3">
          <reference field="1" count="1" selected="0">
            <x v="22"/>
          </reference>
          <reference field="3" count="1" selected="0">
            <x v="5"/>
          </reference>
          <reference field="5" count="44">
            <x v="3"/>
            <x v="24"/>
            <x v="25"/>
            <x v="28"/>
            <x v="33"/>
            <x v="41"/>
            <x v="44"/>
            <x v="66"/>
            <x v="88"/>
            <x v="96"/>
            <x v="97"/>
            <x v="98"/>
            <x v="99"/>
            <x v="100"/>
            <x v="101"/>
            <x v="102"/>
            <x v="103"/>
            <x v="104"/>
            <x v="111"/>
            <x v="112"/>
            <x v="116"/>
            <x v="117"/>
            <x v="128"/>
            <x v="141"/>
            <x v="147"/>
            <x v="148"/>
            <x v="149"/>
            <x v="150"/>
            <x v="151"/>
            <x v="152"/>
            <x v="153"/>
            <x v="154"/>
            <x v="168"/>
            <x v="212"/>
            <x v="213"/>
            <x v="214"/>
            <x v="215"/>
            <x v="216"/>
            <x v="217"/>
            <x v="218"/>
            <x v="219"/>
            <x v="220"/>
            <x v="221"/>
            <x v="321"/>
          </reference>
        </references>
      </pivotArea>
    </format>
    <format dxfId="7515">
      <pivotArea dataOnly="0" labelOnly="1" outline="0" fieldPosition="0">
        <references count="3">
          <reference field="1" count="1" selected="0">
            <x v="22"/>
          </reference>
          <reference field="3" count="1" selected="0">
            <x v="7"/>
          </reference>
          <reference field="5" count="50">
            <x v="6"/>
            <x v="7"/>
            <x v="16"/>
            <x v="20"/>
            <x v="22"/>
            <x v="27"/>
            <x v="32"/>
            <x v="34"/>
            <x v="36"/>
            <x v="47"/>
            <x v="51"/>
            <x v="52"/>
            <x v="56"/>
            <x v="61"/>
            <x v="68"/>
            <x v="83"/>
            <x v="94"/>
            <x v="95"/>
            <x v="107"/>
            <x v="108"/>
            <x v="109"/>
            <x v="110"/>
            <x v="113"/>
            <x v="118"/>
            <x v="119"/>
            <x v="120"/>
            <x v="121"/>
            <x v="122"/>
            <x v="123"/>
            <x v="124"/>
            <x v="125"/>
            <x v="126"/>
            <x v="127"/>
            <x v="129"/>
            <x v="130"/>
            <x v="137"/>
            <x v="145"/>
            <x v="146"/>
            <x v="155"/>
            <x v="156"/>
            <x v="163"/>
            <x v="170"/>
            <x v="172"/>
            <x v="175"/>
            <x v="177"/>
            <x v="180"/>
            <x v="182"/>
            <x v="183"/>
            <x v="184"/>
            <x v="185"/>
          </reference>
        </references>
      </pivotArea>
    </format>
    <format dxfId="7514">
      <pivotArea dataOnly="0" labelOnly="1" outline="0" fieldPosition="0">
        <references count="3">
          <reference field="1" count="1" selected="0">
            <x v="22"/>
          </reference>
          <reference field="3" count="1" selected="0">
            <x v="7"/>
          </reference>
          <reference field="5" count="31">
            <x v="21"/>
            <x v="29"/>
            <x v="59"/>
            <x v="62"/>
            <x v="87"/>
            <x v="89"/>
            <x v="91"/>
            <x v="93"/>
            <x v="105"/>
            <x v="106"/>
            <x v="144"/>
            <x v="157"/>
            <x v="158"/>
            <x v="159"/>
            <x v="164"/>
            <x v="165"/>
            <x v="167"/>
            <x v="169"/>
            <x v="171"/>
            <x v="173"/>
            <x v="174"/>
            <x v="176"/>
            <x v="178"/>
            <x v="179"/>
            <x v="181"/>
            <x v="186"/>
            <x v="187"/>
            <x v="188"/>
            <x v="189"/>
            <x v="190"/>
            <x v="207"/>
          </reference>
        </references>
      </pivotArea>
    </format>
    <format dxfId="7513">
      <pivotArea dataOnly="0" labelOnly="1" outline="0" fieldPosition="0">
        <references count="3">
          <reference field="1" count="1" selected="0">
            <x v="22"/>
          </reference>
          <reference field="3" count="1" selected="0">
            <x v="9"/>
          </reference>
          <reference field="5" count="43">
            <x v="0"/>
            <x v="4"/>
            <x v="8"/>
            <x v="10"/>
            <x v="11"/>
            <x v="12"/>
            <x v="13"/>
            <x v="14"/>
            <x v="18"/>
            <x v="19"/>
            <x v="26"/>
            <x v="31"/>
            <x v="35"/>
            <x v="37"/>
            <x v="38"/>
            <x v="39"/>
            <x v="40"/>
            <x v="42"/>
            <x v="43"/>
            <x v="45"/>
            <x v="49"/>
            <x v="53"/>
            <x v="58"/>
            <x v="63"/>
            <x v="64"/>
            <x v="67"/>
            <x v="71"/>
            <x v="74"/>
            <x v="77"/>
            <x v="81"/>
            <x v="84"/>
            <x v="85"/>
            <x v="86"/>
            <x v="114"/>
            <x v="115"/>
            <x v="132"/>
            <x v="133"/>
            <x v="134"/>
            <x v="135"/>
            <x v="136"/>
            <x v="138"/>
            <x v="139"/>
            <x v="161"/>
          </reference>
        </references>
      </pivotArea>
    </format>
    <format dxfId="7512">
      <pivotArea dataOnly="0" labelOnly="1" outline="0" fieldPosition="0">
        <references count="3">
          <reference field="1" count="1" selected="0">
            <x v="22"/>
          </reference>
          <reference field="3" count="1" selected="0">
            <x v="10"/>
          </reference>
          <reference field="5" count="12">
            <x v="23"/>
            <x v="30"/>
            <x v="80"/>
            <x v="90"/>
            <x v="92"/>
            <x v="140"/>
            <x v="142"/>
            <x v="143"/>
            <x v="160"/>
            <x v="209"/>
            <x v="210"/>
            <x v="211"/>
          </reference>
        </references>
      </pivotArea>
    </format>
    <format dxfId="7511">
      <pivotArea dataOnly="0" labelOnly="1" outline="0" fieldPosition="0">
        <references count="3">
          <reference field="1" count="1" selected="0">
            <x v="22"/>
          </reference>
          <reference field="3" count="1" selected="0">
            <x v="11"/>
          </reference>
          <reference field="5" count="20">
            <x v="1"/>
            <x v="2"/>
            <x v="5"/>
            <x v="9"/>
            <x v="15"/>
            <x v="17"/>
            <x v="46"/>
            <x v="48"/>
            <x v="50"/>
            <x v="54"/>
            <x v="55"/>
            <x v="57"/>
            <x v="60"/>
            <x v="69"/>
            <x v="72"/>
            <x v="73"/>
            <x v="78"/>
            <x v="79"/>
            <x v="82"/>
            <x v="162"/>
          </reference>
        </references>
      </pivotArea>
    </format>
    <format dxfId="7510">
      <pivotArea dataOnly="0" labelOnly="1" outline="0" fieldPosition="0">
        <references count="3">
          <reference field="1" count="1" selected="0">
            <x v="23"/>
          </reference>
          <reference field="3" count="1" selected="0">
            <x v="1"/>
          </reference>
          <reference field="5" count="4">
            <x v="75"/>
            <x v="76"/>
            <x v="166"/>
            <x v="222"/>
          </reference>
        </references>
      </pivotArea>
    </format>
    <format dxfId="7509">
      <pivotArea dataOnly="0" labelOnly="1" outline="0" fieldPosition="0">
        <references count="3">
          <reference field="1" count="1" selected="0">
            <x v="23"/>
          </reference>
          <reference field="3" count="1" selected="0">
            <x v="4"/>
          </reference>
          <reference field="5" count="19">
            <x v="65"/>
            <x v="70"/>
            <x v="191"/>
            <x v="192"/>
            <x v="193"/>
            <x v="194"/>
            <x v="195"/>
            <x v="196"/>
            <x v="197"/>
            <x v="198"/>
            <x v="199"/>
            <x v="200"/>
            <x v="201"/>
            <x v="202"/>
            <x v="203"/>
            <x v="204"/>
            <x v="205"/>
            <x v="206"/>
            <x v="337"/>
          </reference>
        </references>
      </pivotArea>
    </format>
    <format dxfId="7508">
      <pivotArea dataOnly="0" labelOnly="1" outline="0" fieldPosition="0">
        <references count="3">
          <reference field="1" count="1" selected="0">
            <x v="23"/>
          </reference>
          <reference field="3" count="1" selected="0">
            <x v="5"/>
          </reference>
          <reference field="5" count="39">
            <x v="24"/>
            <x v="25"/>
            <x v="28"/>
            <x v="33"/>
            <x v="88"/>
            <x v="96"/>
            <x v="97"/>
            <x v="98"/>
            <x v="99"/>
            <x v="100"/>
            <x v="101"/>
            <x v="102"/>
            <x v="103"/>
            <x v="104"/>
            <x v="111"/>
            <x v="112"/>
            <x v="116"/>
            <x v="117"/>
            <x v="141"/>
            <x v="147"/>
            <x v="148"/>
            <x v="149"/>
            <x v="150"/>
            <x v="151"/>
            <x v="152"/>
            <x v="153"/>
            <x v="154"/>
            <x v="168"/>
            <x v="212"/>
            <x v="213"/>
            <x v="214"/>
            <x v="215"/>
            <x v="216"/>
            <x v="217"/>
            <x v="218"/>
            <x v="219"/>
            <x v="220"/>
            <x v="221"/>
            <x v="321"/>
          </reference>
        </references>
      </pivotArea>
    </format>
    <format dxfId="7507">
      <pivotArea dataOnly="0" labelOnly="1" outline="0" fieldPosition="0">
        <references count="3">
          <reference field="1" count="1" selected="0">
            <x v="23"/>
          </reference>
          <reference field="3" count="1" selected="0">
            <x v="7"/>
          </reference>
          <reference field="5" count="50">
            <x v="6"/>
            <x v="7"/>
            <x v="16"/>
            <x v="20"/>
            <x v="22"/>
            <x v="27"/>
            <x v="32"/>
            <x v="34"/>
            <x v="36"/>
            <x v="47"/>
            <x v="51"/>
            <x v="52"/>
            <x v="56"/>
            <x v="61"/>
            <x v="66"/>
            <x v="68"/>
            <x v="83"/>
            <x v="94"/>
            <x v="95"/>
            <x v="107"/>
            <x v="108"/>
            <x v="109"/>
            <x v="110"/>
            <x v="113"/>
            <x v="118"/>
            <x v="119"/>
            <x v="120"/>
            <x v="121"/>
            <x v="122"/>
            <x v="123"/>
            <x v="124"/>
            <x v="125"/>
            <x v="126"/>
            <x v="127"/>
            <x v="128"/>
            <x v="129"/>
            <x v="130"/>
            <x v="137"/>
            <x v="145"/>
            <x v="146"/>
            <x v="155"/>
            <x v="156"/>
            <x v="163"/>
            <x v="170"/>
            <x v="172"/>
            <x v="175"/>
            <x v="177"/>
            <x v="180"/>
            <x v="182"/>
            <x v="183"/>
          </reference>
        </references>
      </pivotArea>
    </format>
    <format dxfId="7506">
      <pivotArea dataOnly="0" labelOnly="1" outline="0" fieldPosition="0">
        <references count="3">
          <reference field="1" count="1" selected="0">
            <x v="23"/>
          </reference>
          <reference field="3" count="1" selected="0">
            <x v="7"/>
          </reference>
          <reference field="5" count="36">
            <x v="3"/>
            <x v="21"/>
            <x v="29"/>
            <x v="41"/>
            <x v="44"/>
            <x v="59"/>
            <x v="62"/>
            <x v="87"/>
            <x v="89"/>
            <x v="91"/>
            <x v="93"/>
            <x v="105"/>
            <x v="106"/>
            <x v="144"/>
            <x v="157"/>
            <x v="158"/>
            <x v="159"/>
            <x v="164"/>
            <x v="165"/>
            <x v="167"/>
            <x v="169"/>
            <x v="171"/>
            <x v="173"/>
            <x v="174"/>
            <x v="176"/>
            <x v="178"/>
            <x v="179"/>
            <x v="181"/>
            <x v="184"/>
            <x v="185"/>
            <x v="186"/>
            <x v="187"/>
            <x v="188"/>
            <x v="189"/>
            <x v="190"/>
            <x v="207"/>
          </reference>
        </references>
      </pivotArea>
    </format>
    <format dxfId="7505">
      <pivotArea dataOnly="0" labelOnly="1" outline="0" fieldPosition="0">
        <references count="3">
          <reference field="1" count="1" selected="0">
            <x v="23"/>
          </reference>
          <reference field="3" count="1" selected="0">
            <x v="9"/>
          </reference>
          <reference field="5" count="43">
            <x v="0"/>
            <x v="4"/>
            <x v="8"/>
            <x v="10"/>
            <x v="11"/>
            <x v="12"/>
            <x v="13"/>
            <x v="14"/>
            <x v="18"/>
            <x v="19"/>
            <x v="26"/>
            <x v="31"/>
            <x v="35"/>
            <x v="37"/>
            <x v="38"/>
            <x v="39"/>
            <x v="40"/>
            <x v="42"/>
            <x v="43"/>
            <x v="45"/>
            <x v="49"/>
            <x v="53"/>
            <x v="58"/>
            <x v="63"/>
            <x v="64"/>
            <x v="67"/>
            <x v="71"/>
            <x v="74"/>
            <x v="77"/>
            <x v="81"/>
            <x v="84"/>
            <x v="85"/>
            <x v="86"/>
            <x v="114"/>
            <x v="115"/>
            <x v="132"/>
            <x v="133"/>
            <x v="134"/>
            <x v="135"/>
            <x v="136"/>
            <x v="138"/>
            <x v="139"/>
            <x v="161"/>
          </reference>
        </references>
      </pivotArea>
    </format>
    <format dxfId="7504">
      <pivotArea dataOnly="0" labelOnly="1" outline="0" fieldPosition="0">
        <references count="3">
          <reference field="1" count="1" selected="0">
            <x v="23"/>
          </reference>
          <reference field="3" count="1" selected="0">
            <x v="10"/>
          </reference>
          <reference field="5" count="12">
            <x v="23"/>
            <x v="30"/>
            <x v="80"/>
            <x v="90"/>
            <x v="92"/>
            <x v="140"/>
            <x v="142"/>
            <x v="143"/>
            <x v="160"/>
            <x v="209"/>
            <x v="210"/>
            <x v="211"/>
          </reference>
        </references>
      </pivotArea>
    </format>
    <format dxfId="7503">
      <pivotArea dataOnly="0" labelOnly="1" outline="0" fieldPosition="0">
        <references count="3">
          <reference field="1" count="1" selected="0">
            <x v="23"/>
          </reference>
          <reference field="3" count="1" selected="0">
            <x v="11"/>
          </reference>
          <reference field="5" count="20">
            <x v="1"/>
            <x v="2"/>
            <x v="5"/>
            <x v="9"/>
            <x v="15"/>
            <x v="17"/>
            <x v="46"/>
            <x v="48"/>
            <x v="50"/>
            <x v="54"/>
            <x v="55"/>
            <x v="57"/>
            <x v="60"/>
            <x v="69"/>
            <x v="72"/>
            <x v="73"/>
            <x v="78"/>
            <x v="79"/>
            <x v="82"/>
            <x v="162"/>
          </reference>
        </references>
      </pivotArea>
    </format>
    <format dxfId="7502">
      <pivotArea dataOnly="0" labelOnly="1" outline="0" fieldPosition="0">
        <references count="3">
          <reference field="1" count="1" selected="0">
            <x v="24"/>
          </reference>
          <reference field="3" count="1" selected="0">
            <x v="1"/>
          </reference>
          <reference field="5" count="4">
            <x v="75"/>
            <x v="76"/>
            <x v="166"/>
            <x v="222"/>
          </reference>
        </references>
      </pivotArea>
    </format>
    <format dxfId="7501">
      <pivotArea dataOnly="0" labelOnly="1" outline="0" fieldPosition="0">
        <references count="3">
          <reference field="1" count="1" selected="0">
            <x v="24"/>
          </reference>
          <reference field="3" count="1" selected="0">
            <x v="4"/>
          </reference>
          <reference field="5" count="19">
            <x v="65"/>
            <x v="70"/>
            <x v="191"/>
            <x v="192"/>
            <x v="193"/>
            <x v="194"/>
            <x v="195"/>
            <x v="196"/>
            <x v="197"/>
            <x v="198"/>
            <x v="199"/>
            <x v="200"/>
            <x v="201"/>
            <x v="202"/>
            <x v="203"/>
            <x v="204"/>
            <x v="205"/>
            <x v="206"/>
            <x v="337"/>
          </reference>
        </references>
      </pivotArea>
    </format>
    <format dxfId="7500">
      <pivotArea dataOnly="0" labelOnly="1" outline="0" fieldPosition="0">
        <references count="3">
          <reference field="1" count="1" selected="0">
            <x v="24"/>
          </reference>
          <reference field="3" count="1" selected="0">
            <x v="5"/>
          </reference>
          <reference field="5" count="39">
            <x v="24"/>
            <x v="25"/>
            <x v="28"/>
            <x v="33"/>
            <x v="88"/>
            <x v="96"/>
            <x v="97"/>
            <x v="98"/>
            <x v="99"/>
            <x v="100"/>
            <x v="101"/>
            <x v="102"/>
            <x v="103"/>
            <x v="104"/>
            <x v="111"/>
            <x v="112"/>
            <x v="116"/>
            <x v="117"/>
            <x v="141"/>
            <x v="147"/>
            <x v="148"/>
            <x v="149"/>
            <x v="150"/>
            <x v="151"/>
            <x v="152"/>
            <x v="153"/>
            <x v="154"/>
            <x v="168"/>
            <x v="212"/>
            <x v="213"/>
            <x v="214"/>
            <x v="215"/>
            <x v="216"/>
            <x v="217"/>
            <x v="218"/>
            <x v="219"/>
            <x v="220"/>
            <x v="221"/>
            <x v="321"/>
          </reference>
        </references>
      </pivotArea>
    </format>
    <format dxfId="7499">
      <pivotArea dataOnly="0" labelOnly="1" outline="0" fieldPosition="0">
        <references count="3">
          <reference field="1" count="1" selected="0">
            <x v="24"/>
          </reference>
          <reference field="3" count="1" selected="0">
            <x v="7"/>
          </reference>
          <reference field="5" count="50">
            <x v="6"/>
            <x v="7"/>
            <x v="16"/>
            <x v="20"/>
            <x v="22"/>
            <x v="27"/>
            <x v="32"/>
            <x v="34"/>
            <x v="36"/>
            <x v="47"/>
            <x v="51"/>
            <x v="52"/>
            <x v="56"/>
            <x v="61"/>
            <x v="66"/>
            <x v="68"/>
            <x v="83"/>
            <x v="94"/>
            <x v="95"/>
            <x v="107"/>
            <x v="108"/>
            <x v="109"/>
            <x v="110"/>
            <x v="113"/>
            <x v="118"/>
            <x v="119"/>
            <x v="120"/>
            <x v="121"/>
            <x v="122"/>
            <x v="123"/>
            <x v="124"/>
            <x v="125"/>
            <x v="126"/>
            <x v="127"/>
            <x v="128"/>
            <x v="129"/>
            <x v="130"/>
            <x v="137"/>
            <x v="145"/>
            <x v="146"/>
            <x v="155"/>
            <x v="156"/>
            <x v="163"/>
            <x v="170"/>
            <x v="172"/>
            <x v="175"/>
            <x v="177"/>
            <x v="180"/>
            <x v="182"/>
            <x v="183"/>
          </reference>
        </references>
      </pivotArea>
    </format>
    <format dxfId="7498">
      <pivotArea dataOnly="0" labelOnly="1" outline="0" fieldPosition="0">
        <references count="3">
          <reference field="1" count="1" selected="0">
            <x v="24"/>
          </reference>
          <reference field="3" count="1" selected="0">
            <x v="7"/>
          </reference>
          <reference field="5" count="36">
            <x v="3"/>
            <x v="21"/>
            <x v="29"/>
            <x v="41"/>
            <x v="44"/>
            <x v="59"/>
            <x v="62"/>
            <x v="87"/>
            <x v="89"/>
            <x v="91"/>
            <x v="93"/>
            <x v="105"/>
            <x v="106"/>
            <x v="144"/>
            <x v="157"/>
            <x v="158"/>
            <x v="159"/>
            <x v="164"/>
            <x v="165"/>
            <x v="167"/>
            <x v="169"/>
            <x v="171"/>
            <x v="173"/>
            <x v="174"/>
            <x v="176"/>
            <x v="178"/>
            <x v="179"/>
            <x v="181"/>
            <x v="184"/>
            <x v="185"/>
            <x v="186"/>
            <x v="187"/>
            <x v="188"/>
            <x v="189"/>
            <x v="190"/>
            <x v="207"/>
          </reference>
        </references>
      </pivotArea>
    </format>
    <format dxfId="7497">
      <pivotArea dataOnly="0" labelOnly="1" outline="0" fieldPosition="0">
        <references count="3">
          <reference field="1" count="1" selected="0">
            <x v="24"/>
          </reference>
          <reference field="3" count="1" selected="0">
            <x v="9"/>
          </reference>
          <reference field="5" count="43">
            <x v="0"/>
            <x v="4"/>
            <x v="8"/>
            <x v="10"/>
            <x v="11"/>
            <x v="12"/>
            <x v="13"/>
            <x v="14"/>
            <x v="18"/>
            <x v="19"/>
            <x v="26"/>
            <x v="31"/>
            <x v="35"/>
            <x v="37"/>
            <x v="38"/>
            <x v="39"/>
            <x v="40"/>
            <x v="42"/>
            <x v="43"/>
            <x v="45"/>
            <x v="49"/>
            <x v="53"/>
            <x v="58"/>
            <x v="63"/>
            <x v="64"/>
            <x v="67"/>
            <x v="71"/>
            <x v="74"/>
            <x v="77"/>
            <x v="81"/>
            <x v="84"/>
            <x v="85"/>
            <x v="86"/>
            <x v="114"/>
            <x v="115"/>
            <x v="132"/>
            <x v="133"/>
            <x v="134"/>
            <x v="135"/>
            <x v="136"/>
            <x v="138"/>
            <x v="139"/>
            <x v="161"/>
          </reference>
        </references>
      </pivotArea>
    </format>
    <format dxfId="7496">
      <pivotArea dataOnly="0" labelOnly="1" outline="0" fieldPosition="0">
        <references count="3">
          <reference field="1" count="1" selected="0">
            <x v="24"/>
          </reference>
          <reference field="3" count="1" selected="0">
            <x v="10"/>
          </reference>
          <reference field="5" count="12">
            <x v="23"/>
            <x v="30"/>
            <x v="80"/>
            <x v="90"/>
            <x v="92"/>
            <x v="140"/>
            <x v="142"/>
            <x v="143"/>
            <x v="160"/>
            <x v="209"/>
            <x v="210"/>
            <x v="211"/>
          </reference>
        </references>
      </pivotArea>
    </format>
    <format dxfId="7495">
      <pivotArea dataOnly="0" labelOnly="1" outline="0" fieldPosition="0">
        <references count="3">
          <reference field="1" count="1" selected="0">
            <x v="24"/>
          </reference>
          <reference field="3" count="1" selected="0">
            <x v="11"/>
          </reference>
          <reference field="5" count="20">
            <x v="1"/>
            <x v="2"/>
            <x v="5"/>
            <x v="9"/>
            <x v="15"/>
            <x v="17"/>
            <x v="46"/>
            <x v="48"/>
            <x v="50"/>
            <x v="54"/>
            <x v="55"/>
            <x v="57"/>
            <x v="60"/>
            <x v="69"/>
            <x v="72"/>
            <x v="73"/>
            <x v="78"/>
            <x v="79"/>
            <x v="82"/>
            <x v="162"/>
          </reference>
        </references>
      </pivotArea>
    </format>
    <format dxfId="7494">
      <pivotArea dataOnly="0" labelOnly="1" outline="0" fieldPosition="0">
        <references count="3">
          <reference field="1" count="1" selected="0">
            <x v="25"/>
          </reference>
          <reference field="3" count="1" selected="0">
            <x v="1"/>
          </reference>
          <reference field="5" count="4">
            <x v="75"/>
            <x v="76"/>
            <x v="166"/>
            <x v="222"/>
          </reference>
        </references>
      </pivotArea>
    </format>
    <format dxfId="7493">
      <pivotArea dataOnly="0" labelOnly="1" outline="0" fieldPosition="0">
        <references count="3">
          <reference field="1" count="1" selected="0">
            <x v="25"/>
          </reference>
          <reference field="3" count="1" selected="0">
            <x v="4"/>
          </reference>
          <reference field="5" count="19">
            <x v="65"/>
            <x v="70"/>
            <x v="191"/>
            <x v="192"/>
            <x v="193"/>
            <x v="194"/>
            <x v="195"/>
            <x v="196"/>
            <x v="197"/>
            <x v="198"/>
            <x v="199"/>
            <x v="200"/>
            <x v="201"/>
            <x v="202"/>
            <x v="203"/>
            <x v="204"/>
            <x v="205"/>
            <x v="206"/>
            <x v="337"/>
          </reference>
        </references>
      </pivotArea>
    </format>
    <format dxfId="7492">
      <pivotArea dataOnly="0" labelOnly="1" outline="0" fieldPosition="0">
        <references count="3">
          <reference field="1" count="1" selected="0">
            <x v="25"/>
          </reference>
          <reference field="3" count="1" selected="0">
            <x v="5"/>
          </reference>
          <reference field="5" count="39">
            <x v="24"/>
            <x v="25"/>
            <x v="28"/>
            <x v="33"/>
            <x v="88"/>
            <x v="96"/>
            <x v="97"/>
            <x v="98"/>
            <x v="99"/>
            <x v="100"/>
            <x v="101"/>
            <x v="102"/>
            <x v="103"/>
            <x v="104"/>
            <x v="111"/>
            <x v="112"/>
            <x v="116"/>
            <x v="117"/>
            <x v="141"/>
            <x v="147"/>
            <x v="148"/>
            <x v="149"/>
            <x v="150"/>
            <x v="151"/>
            <x v="152"/>
            <x v="153"/>
            <x v="154"/>
            <x v="168"/>
            <x v="212"/>
            <x v="213"/>
            <x v="214"/>
            <x v="215"/>
            <x v="216"/>
            <x v="217"/>
            <x v="218"/>
            <x v="219"/>
            <x v="220"/>
            <x v="221"/>
            <x v="321"/>
          </reference>
        </references>
      </pivotArea>
    </format>
    <format dxfId="7491">
      <pivotArea dataOnly="0" labelOnly="1" outline="0" fieldPosition="0">
        <references count="3">
          <reference field="1" count="1" selected="0">
            <x v="25"/>
          </reference>
          <reference field="3" count="1" selected="0">
            <x v="7"/>
          </reference>
          <reference field="5" count="50">
            <x v="6"/>
            <x v="7"/>
            <x v="16"/>
            <x v="20"/>
            <x v="22"/>
            <x v="27"/>
            <x v="32"/>
            <x v="34"/>
            <x v="36"/>
            <x v="47"/>
            <x v="51"/>
            <x v="52"/>
            <x v="56"/>
            <x v="61"/>
            <x v="66"/>
            <x v="68"/>
            <x v="83"/>
            <x v="94"/>
            <x v="95"/>
            <x v="107"/>
            <x v="108"/>
            <x v="109"/>
            <x v="110"/>
            <x v="113"/>
            <x v="118"/>
            <x v="119"/>
            <x v="120"/>
            <x v="121"/>
            <x v="122"/>
            <x v="123"/>
            <x v="124"/>
            <x v="125"/>
            <x v="126"/>
            <x v="127"/>
            <x v="128"/>
            <x v="129"/>
            <x v="130"/>
            <x v="137"/>
            <x v="145"/>
            <x v="146"/>
            <x v="155"/>
            <x v="156"/>
            <x v="163"/>
            <x v="170"/>
            <x v="172"/>
            <x v="175"/>
            <x v="177"/>
            <x v="180"/>
            <x v="182"/>
            <x v="183"/>
          </reference>
        </references>
      </pivotArea>
    </format>
    <format dxfId="7490">
      <pivotArea dataOnly="0" labelOnly="1" outline="0" fieldPosition="0">
        <references count="3">
          <reference field="1" count="1" selected="0">
            <x v="25"/>
          </reference>
          <reference field="3" count="1" selected="0">
            <x v="7"/>
          </reference>
          <reference field="5" count="36">
            <x v="3"/>
            <x v="21"/>
            <x v="29"/>
            <x v="41"/>
            <x v="44"/>
            <x v="59"/>
            <x v="62"/>
            <x v="87"/>
            <x v="89"/>
            <x v="91"/>
            <x v="93"/>
            <x v="105"/>
            <x v="106"/>
            <x v="144"/>
            <x v="157"/>
            <x v="158"/>
            <x v="159"/>
            <x v="164"/>
            <x v="165"/>
            <x v="167"/>
            <x v="169"/>
            <x v="171"/>
            <x v="173"/>
            <x v="174"/>
            <x v="176"/>
            <x v="178"/>
            <x v="179"/>
            <x v="181"/>
            <x v="184"/>
            <x v="185"/>
            <x v="186"/>
            <x v="187"/>
            <x v="188"/>
            <x v="189"/>
            <x v="190"/>
            <x v="207"/>
          </reference>
        </references>
      </pivotArea>
    </format>
    <format dxfId="7489">
      <pivotArea dataOnly="0" labelOnly="1" outline="0" fieldPosition="0">
        <references count="3">
          <reference field="1" count="1" selected="0">
            <x v="25"/>
          </reference>
          <reference field="3" count="1" selected="0">
            <x v="9"/>
          </reference>
          <reference field="5" count="43">
            <x v="0"/>
            <x v="4"/>
            <x v="8"/>
            <x v="10"/>
            <x v="11"/>
            <x v="12"/>
            <x v="13"/>
            <x v="14"/>
            <x v="18"/>
            <x v="19"/>
            <x v="26"/>
            <x v="31"/>
            <x v="35"/>
            <x v="37"/>
            <x v="38"/>
            <x v="39"/>
            <x v="40"/>
            <x v="42"/>
            <x v="43"/>
            <x v="45"/>
            <x v="49"/>
            <x v="53"/>
            <x v="58"/>
            <x v="63"/>
            <x v="64"/>
            <x v="67"/>
            <x v="71"/>
            <x v="74"/>
            <x v="77"/>
            <x v="81"/>
            <x v="84"/>
            <x v="85"/>
            <x v="86"/>
            <x v="114"/>
            <x v="115"/>
            <x v="132"/>
            <x v="133"/>
            <x v="134"/>
            <x v="135"/>
            <x v="136"/>
            <x v="138"/>
            <x v="139"/>
            <x v="161"/>
          </reference>
        </references>
      </pivotArea>
    </format>
    <format dxfId="7488">
      <pivotArea dataOnly="0" labelOnly="1" outline="0" fieldPosition="0">
        <references count="3">
          <reference field="1" count="1" selected="0">
            <x v="25"/>
          </reference>
          <reference field="3" count="1" selected="0">
            <x v="10"/>
          </reference>
          <reference field="5" count="12">
            <x v="23"/>
            <x v="30"/>
            <x v="80"/>
            <x v="90"/>
            <x v="92"/>
            <x v="140"/>
            <x v="142"/>
            <x v="143"/>
            <x v="160"/>
            <x v="209"/>
            <x v="210"/>
            <x v="211"/>
          </reference>
        </references>
      </pivotArea>
    </format>
    <format dxfId="7487">
      <pivotArea dataOnly="0" labelOnly="1" outline="0" fieldPosition="0">
        <references count="3">
          <reference field="1" count="1" selected="0">
            <x v="25"/>
          </reference>
          <reference field="3" count="1" selected="0">
            <x v="11"/>
          </reference>
          <reference field="5" count="20">
            <x v="1"/>
            <x v="2"/>
            <x v="5"/>
            <x v="9"/>
            <x v="15"/>
            <x v="17"/>
            <x v="46"/>
            <x v="48"/>
            <x v="50"/>
            <x v="54"/>
            <x v="55"/>
            <x v="57"/>
            <x v="60"/>
            <x v="69"/>
            <x v="72"/>
            <x v="73"/>
            <x v="78"/>
            <x v="79"/>
            <x v="82"/>
            <x v="162"/>
          </reference>
        </references>
      </pivotArea>
    </format>
    <format dxfId="7486">
      <pivotArea dataOnly="0" labelOnly="1" outline="0" fieldPosition="0">
        <references count="3">
          <reference field="1" count="1" selected="0">
            <x v="26"/>
          </reference>
          <reference field="3" count="1" selected="0">
            <x v="1"/>
          </reference>
          <reference field="5" count="4">
            <x v="75"/>
            <x v="76"/>
            <x v="166"/>
            <x v="222"/>
          </reference>
        </references>
      </pivotArea>
    </format>
    <format dxfId="7485">
      <pivotArea dataOnly="0" labelOnly="1" outline="0" fieldPosition="0">
        <references count="3">
          <reference field="1" count="1" selected="0">
            <x v="26"/>
          </reference>
          <reference field="3" count="1" selected="0">
            <x v="4"/>
          </reference>
          <reference field="5" count="19">
            <x v="65"/>
            <x v="70"/>
            <x v="191"/>
            <x v="192"/>
            <x v="193"/>
            <x v="194"/>
            <x v="195"/>
            <x v="196"/>
            <x v="197"/>
            <x v="198"/>
            <x v="199"/>
            <x v="200"/>
            <x v="201"/>
            <x v="202"/>
            <x v="203"/>
            <x v="204"/>
            <x v="205"/>
            <x v="206"/>
            <x v="337"/>
          </reference>
        </references>
      </pivotArea>
    </format>
    <format dxfId="7484">
      <pivotArea dataOnly="0" labelOnly="1" outline="0" fieldPosition="0">
        <references count="3">
          <reference field="1" count="1" selected="0">
            <x v="26"/>
          </reference>
          <reference field="3" count="1" selected="0">
            <x v="5"/>
          </reference>
          <reference field="5" count="39">
            <x v="24"/>
            <x v="25"/>
            <x v="28"/>
            <x v="33"/>
            <x v="88"/>
            <x v="96"/>
            <x v="97"/>
            <x v="98"/>
            <x v="99"/>
            <x v="100"/>
            <x v="101"/>
            <x v="102"/>
            <x v="103"/>
            <x v="104"/>
            <x v="111"/>
            <x v="112"/>
            <x v="116"/>
            <x v="117"/>
            <x v="141"/>
            <x v="147"/>
            <x v="148"/>
            <x v="149"/>
            <x v="150"/>
            <x v="151"/>
            <x v="152"/>
            <x v="153"/>
            <x v="154"/>
            <x v="168"/>
            <x v="212"/>
            <x v="213"/>
            <x v="214"/>
            <x v="215"/>
            <x v="216"/>
            <x v="217"/>
            <x v="218"/>
            <x v="219"/>
            <x v="220"/>
            <x v="221"/>
            <x v="321"/>
          </reference>
        </references>
      </pivotArea>
    </format>
    <format dxfId="7483">
      <pivotArea dataOnly="0" labelOnly="1" outline="0" fieldPosition="0">
        <references count="3">
          <reference field="1" count="1" selected="0">
            <x v="26"/>
          </reference>
          <reference field="3" count="1" selected="0">
            <x v="7"/>
          </reference>
          <reference field="5" count="50">
            <x v="6"/>
            <x v="7"/>
            <x v="16"/>
            <x v="20"/>
            <x v="22"/>
            <x v="27"/>
            <x v="32"/>
            <x v="34"/>
            <x v="36"/>
            <x v="47"/>
            <x v="51"/>
            <x v="52"/>
            <x v="56"/>
            <x v="61"/>
            <x v="66"/>
            <x v="68"/>
            <x v="83"/>
            <x v="94"/>
            <x v="95"/>
            <x v="107"/>
            <x v="108"/>
            <x v="109"/>
            <x v="110"/>
            <x v="113"/>
            <x v="118"/>
            <x v="119"/>
            <x v="120"/>
            <x v="121"/>
            <x v="122"/>
            <x v="123"/>
            <x v="124"/>
            <x v="125"/>
            <x v="126"/>
            <x v="127"/>
            <x v="128"/>
            <x v="129"/>
            <x v="130"/>
            <x v="137"/>
            <x v="145"/>
            <x v="146"/>
            <x v="155"/>
            <x v="156"/>
            <x v="163"/>
            <x v="170"/>
            <x v="172"/>
            <x v="175"/>
            <x v="177"/>
            <x v="180"/>
            <x v="182"/>
            <x v="183"/>
          </reference>
        </references>
      </pivotArea>
    </format>
    <format dxfId="7482">
      <pivotArea dataOnly="0" labelOnly="1" outline="0" fieldPosition="0">
        <references count="3">
          <reference field="1" count="1" selected="0">
            <x v="26"/>
          </reference>
          <reference field="3" count="1" selected="0">
            <x v="7"/>
          </reference>
          <reference field="5" count="36">
            <x v="3"/>
            <x v="21"/>
            <x v="29"/>
            <x v="41"/>
            <x v="44"/>
            <x v="59"/>
            <x v="62"/>
            <x v="87"/>
            <x v="89"/>
            <x v="91"/>
            <x v="93"/>
            <x v="105"/>
            <x v="106"/>
            <x v="144"/>
            <x v="157"/>
            <x v="158"/>
            <x v="159"/>
            <x v="164"/>
            <x v="165"/>
            <x v="167"/>
            <x v="169"/>
            <x v="171"/>
            <x v="173"/>
            <x v="174"/>
            <x v="176"/>
            <x v="178"/>
            <x v="179"/>
            <x v="181"/>
            <x v="184"/>
            <x v="185"/>
            <x v="186"/>
            <x v="187"/>
            <x v="188"/>
            <x v="189"/>
            <x v="190"/>
            <x v="207"/>
          </reference>
        </references>
      </pivotArea>
    </format>
    <format dxfId="7481">
      <pivotArea dataOnly="0" labelOnly="1" outline="0" fieldPosition="0">
        <references count="3">
          <reference field="1" count="1" selected="0">
            <x v="26"/>
          </reference>
          <reference field="3" count="1" selected="0">
            <x v="9"/>
          </reference>
          <reference field="5" count="43">
            <x v="0"/>
            <x v="4"/>
            <x v="8"/>
            <x v="10"/>
            <x v="11"/>
            <x v="12"/>
            <x v="13"/>
            <x v="14"/>
            <x v="18"/>
            <x v="19"/>
            <x v="26"/>
            <x v="31"/>
            <x v="35"/>
            <x v="37"/>
            <x v="38"/>
            <x v="39"/>
            <x v="40"/>
            <x v="42"/>
            <x v="43"/>
            <x v="45"/>
            <x v="49"/>
            <x v="53"/>
            <x v="58"/>
            <x v="63"/>
            <x v="64"/>
            <x v="67"/>
            <x v="71"/>
            <x v="74"/>
            <x v="77"/>
            <x v="81"/>
            <x v="84"/>
            <x v="85"/>
            <x v="86"/>
            <x v="114"/>
            <x v="115"/>
            <x v="132"/>
            <x v="133"/>
            <x v="134"/>
            <x v="135"/>
            <x v="136"/>
            <x v="138"/>
            <x v="139"/>
            <x v="161"/>
          </reference>
        </references>
      </pivotArea>
    </format>
    <format dxfId="7480">
      <pivotArea dataOnly="0" labelOnly="1" outline="0" fieldPosition="0">
        <references count="3">
          <reference field="1" count="1" selected="0">
            <x v="26"/>
          </reference>
          <reference field="3" count="1" selected="0">
            <x v="10"/>
          </reference>
          <reference field="5" count="12">
            <x v="23"/>
            <x v="30"/>
            <x v="80"/>
            <x v="90"/>
            <x v="92"/>
            <x v="140"/>
            <x v="142"/>
            <x v="143"/>
            <x v="160"/>
            <x v="209"/>
            <x v="210"/>
            <x v="211"/>
          </reference>
        </references>
      </pivotArea>
    </format>
    <format dxfId="7479">
      <pivotArea dataOnly="0" labelOnly="1" outline="0" fieldPosition="0">
        <references count="3">
          <reference field="1" count="1" selected="0">
            <x v="26"/>
          </reference>
          <reference field="3" count="1" selected="0">
            <x v="11"/>
          </reference>
          <reference field="5" count="20">
            <x v="1"/>
            <x v="2"/>
            <x v="5"/>
            <x v="9"/>
            <x v="15"/>
            <x v="17"/>
            <x v="46"/>
            <x v="48"/>
            <x v="50"/>
            <x v="54"/>
            <x v="55"/>
            <x v="57"/>
            <x v="60"/>
            <x v="69"/>
            <x v="72"/>
            <x v="73"/>
            <x v="78"/>
            <x v="79"/>
            <x v="82"/>
            <x v="162"/>
          </reference>
        </references>
      </pivotArea>
    </format>
    <format dxfId="7478">
      <pivotArea field="1" type="button" dataOnly="0" labelOnly="1" outline="0" axis="axisRow" fieldPosition="0"/>
    </format>
    <format dxfId="7477">
      <pivotArea field="3" type="button" dataOnly="0" labelOnly="1" outline="0" axis="axisRow" fieldPosition="1"/>
    </format>
    <format dxfId="7476">
      <pivotArea field="5" type="button" dataOnly="0" labelOnly="1" outline="0" axis="axisRow" fieldPosition="2"/>
    </format>
    <format dxfId="7475">
      <pivotArea dataOnly="0" labelOnly="1" outline="0" axis="axisValues" fieldPosition="0"/>
    </format>
    <format dxfId="7474">
      <pivotArea dataOnly="0" labelOnly="1" outline="0" fieldPosition="0">
        <references count="3">
          <reference field="1" count="0" selected="0"/>
          <reference field="3" count="1" selected="0">
            <x v="5"/>
          </reference>
          <reference field="5" count="1">
            <x v="320"/>
          </reference>
        </references>
      </pivotArea>
    </format>
    <format dxfId="7473">
      <pivotArea dataOnly="0" labelOnly="1" outline="0" fieldPosition="0">
        <references count="2">
          <reference field="1" count="0" selected="0"/>
          <reference field="3" count="0"/>
        </references>
      </pivotArea>
    </format>
    <format dxfId="7472">
      <pivotArea dataOnly="0" labelOnly="1" outline="0" fieldPosition="0">
        <references count="3">
          <reference field="1" count="0" selected="0"/>
          <reference field="3" count="1" selected="0">
            <x v="1"/>
          </reference>
          <reference field="5" count="3">
            <x v="75"/>
            <x v="76"/>
            <x v="222"/>
          </reference>
        </references>
      </pivotArea>
    </format>
    <format dxfId="7471">
      <pivotArea dataOnly="0" labelOnly="1" outline="0" fieldPosition="0">
        <references count="3">
          <reference field="1" count="0" selected="0"/>
          <reference field="3" count="1" selected="0">
            <x v="4"/>
          </reference>
          <reference field="5" count="5">
            <x v="195"/>
            <x v="196"/>
            <x v="199"/>
            <x v="200"/>
            <x v="201"/>
          </reference>
        </references>
      </pivotArea>
    </format>
    <format dxfId="7470">
      <pivotArea dataOnly="0" labelOnly="1" outline="0" fieldPosition="0">
        <references count="3">
          <reference field="1" count="0" selected="0"/>
          <reference field="3" count="1" selected="0">
            <x v="5"/>
          </reference>
          <reference field="5" count="8">
            <x v="33"/>
            <x v="97"/>
            <x v="151"/>
            <x v="208"/>
            <x v="212"/>
            <x v="218"/>
            <x v="219"/>
            <x v="220"/>
          </reference>
        </references>
      </pivotArea>
    </format>
    <format dxfId="7469">
      <pivotArea dataOnly="0" labelOnly="1" outline="0" fieldPosition="0">
        <references count="3">
          <reference field="1" count="0" selected="0"/>
          <reference field="3" count="1" selected="0">
            <x v="6"/>
          </reference>
          <reference field="5" count="1">
            <x v="131"/>
          </reference>
        </references>
      </pivotArea>
    </format>
    <format dxfId="7468">
      <pivotArea dataOnly="0" labelOnly="1" outline="0" fieldPosition="0">
        <references count="3">
          <reference field="1" count="0" selected="0"/>
          <reference field="3" count="1" selected="0">
            <x v="7"/>
          </reference>
          <reference field="5" count="23">
            <x v="6"/>
            <x v="7"/>
            <x v="16"/>
            <x v="20"/>
            <x v="21"/>
            <x v="34"/>
            <x v="93"/>
            <x v="95"/>
            <x v="113"/>
            <x v="118"/>
            <x v="121"/>
            <x v="123"/>
            <x v="137"/>
            <x v="145"/>
            <x v="146"/>
            <x v="163"/>
            <x v="164"/>
            <x v="167"/>
            <x v="170"/>
            <x v="171"/>
            <x v="175"/>
            <x v="176"/>
            <x v="190"/>
          </reference>
        </references>
      </pivotArea>
    </format>
    <format dxfId="7467">
      <pivotArea dataOnly="0" labelOnly="1" outline="0" fieldPosition="0">
        <references count="3">
          <reference field="1" count="0" selected="0"/>
          <reference field="3" count="1" selected="0">
            <x v="9"/>
          </reference>
          <reference field="5" count="11">
            <x v="26"/>
            <x v="35"/>
            <x v="39"/>
            <x v="40"/>
            <x v="42"/>
            <x v="58"/>
            <x v="67"/>
            <x v="74"/>
            <x v="115"/>
            <x v="136"/>
            <x v="139"/>
          </reference>
        </references>
      </pivotArea>
    </format>
    <format dxfId="7466">
      <pivotArea dataOnly="0" labelOnly="1" outline="0" fieldPosition="0">
        <references count="3">
          <reference field="1" count="0" selected="0"/>
          <reference field="3" count="1" selected="0">
            <x v="10"/>
          </reference>
          <reference field="5" count="2">
            <x v="140"/>
            <x v="209"/>
          </reference>
        </references>
      </pivotArea>
    </format>
    <format dxfId="7465">
      <pivotArea dataOnly="0" labelOnly="1" outline="0" fieldPosition="0">
        <references count="3">
          <reference field="1" count="0" selected="0"/>
          <reference field="3" count="1" selected="0">
            <x v="11"/>
          </reference>
          <reference field="5" count="4">
            <x v="46"/>
            <x v="50"/>
            <x v="55"/>
            <x v="60"/>
          </reference>
        </references>
      </pivotArea>
    </format>
    <format dxfId="7464">
      <pivotArea outline="0" fieldPosition="0">
        <references count="3">
          <reference field="1" count="0" selected="0"/>
          <reference field="3" count="5" selected="0">
            <x v="4"/>
            <x v="5"/>
            <x v="7"/>
            <x v="9"/>
            <x v="10"/>
          </reference>
          <reference field="5" count="54" selected="0">
            <x v="13"/>
            <x v="14"/>
            <x v="22"/>
            <x v="24"/>
            <x v="25"/>
            <x v="27"/>
            <x v="28"/>
            <x v="29"/>
            <x v="30"/>
            <x v="31"/>
            <x v="32"/>
            <x v="36"/>
            <x v="44"/>
            <x v="52"/>
            <x v="62"/>
            <x v="63"/>
            <x v="64"/>
            <x v="70"/>
            <x v="80"/>
            <x v="81"/>
            <x v="87"/>
            <x v="94"/>
            <x v="98"/>
            <x v="100"/>
            <x v="102"/>
            <x v="103"/>
            <x v="104"/>
            <x v="109"/>
            <x v="110"/>
            <x v="129"/>
            <x v="130"/>
            <x v="132"/>
            <x v="133"/>
            <x v="135"/>
            <x v="141"/>
            <x v="142"/>
            <x v="143"/>
            <x v="148"/>
            <x v="153"/>
            <x v="155"/>
            <x v="157"/>
            <x v="162"/>
            <x v="185"/>
            <x v="187"/>
            <x v="188"/>
            <x v="191"/>
            <x v="204"/>
            <x v="205"/>
            <x v="206"/>
            <x v="210"/>
            <x v="214"/>
            <x v="215"/>
            <x v="216"/>
            <x v="337"/>
          </reference>
        </references>
      </pivotArea>
    </format>
    <format dxfId="7463">
      <pivotArea outline="0" fieldPosition="0">
        <references count="3">
          <reference field="1" count="0" selected="0"/>
          <reference field="3" count="1" selected="0">
            <x v="11"/>
          </reference>
          <reference field="5" count="3" selected="0">
            <x v="48"/>
            <x v="72"/>
            <x v="73"/>
          </reference>
        </references>
      </pivotArea>
    </format>
    <format dxfId="7462">
      <pivotArea dataOnly="0" labelOnly="1" outline="0" fieldPosition="0">
        <references count="3">
          <reference field="1" count="0" selected="0"/>
          <reference field="3" count="1" selected="0">
            <x v="4"/>
          </reference>
          <reference field="5" count="6">
            <x v="70"/>
            <x v="191"/>
            <x v="204"/>
            <x v="205"/>
            <x v="206"/>
            <x v="337"/>
          </reference>
        </references>
      </pivotArea>
    </format>
    <format dxfId="7461">
      <pivotArea dataOnly="0" labelOnly="1" outline="0" fieldPosition="0">
        <references count="3">
          <reference field="1" count="0" selected="0"/>
          <reference field="3" count="1" selected="0">
            <x v="5"/>
          </reference>
          <reference field="5" count="14">
            <x v="24"/>
            <x v="25"/>
            <x v="28"/>
            <x v="98"/>
            <x v="100"/>
            <x v="102"/>
            <x v="103"/>
            <x v="104"/>
            <x v="141"/>
            <x v="148"/>
            <x v="153"/>
            <x v="214"/>
            <x v="215"/>
            <x v="216"/>
          </reference>
        </references>
      </pivotArea>
    </format>
    <format dxfId="7460">
      <pivotArea dataOnly="0" labelOnly="1" outline="0" fieldPosition="0">
        <references count="3">
          <reference field="1" count="0" selected="0"/>
          <reference field="3" count="1" selected="0">
            <x v="7"/>
          </reference>
          <reference field="5" count="19">
            <x v="22"/>
            <x v="27"/>
            <x v="29"/>
            <x v="32"/>
            <x v="36"/>
            <x v="44"/>
            <x v="52"/>
            <x v="62"/>
            <x v="87"/>
            <x v="94"/>
            <x v="109"/>
            <x v="110"/>
            <x v="129"/>
            <x v="130"/>
            <x v="155"/>
            <x v="157"/>
            <x v="185"/>
            <x v="187"/>
            <x v="188"/>
          </reference>
        </references>
      </pivotArea>
    </format>
    <format dxfId="7459">
      <pivotArea dataOnly="0" labelOnly="1" outline="0" fieldPosition="0">
        <references count="3">
          <reference field="1" count="0" selected="0"/>
          <reference field="3" count="1" selected="0">
            <x v="9"/>
          </reference>
          <reference field="5" count="9">
            <x v="13"/>
            <x v="14"/>
            <x v="31"/>
            <x v="63"/>
            <x v="64"/>
            <x v="81"/>
            <x v="132"/>
            <x v="133"/>
            <x v="135"/>
          </reference>
        </references>
      </pivotArea>
    </format>
    <format dxfId="7458">
      <pivotArea dataOnly="0" labelOnly="1" outline="0" fieldPosition="0">
        <references count="3">
          <reference field="1" count="0" selected="0"/>
          <reference field="3" count="1" selected="0">
            <x v="10"/>
          </reference>
          <reference field="5" count="6">
            <x v="30"/>
            <x v="80"/>
            <x v="142"/>
            <x v="143"/>
            <x v="162"/>
            <x v="210"/>
          </reference>
        </references>
      </pivotArea>
    </format>
    <format dxfId="7457">
      <pivotArea dataOnly="0" labelOnly="1" outline="0" fieldPosition="0">
        <references count="3">
          <reference field="1" count="0" selected="0"/>
          <reference field="3" count="1" selected="0">
            <x v="11"/>
          </reference>
          <reference field="5" count="3">
            <x v="48"/>
            <x v="72"/>
            <x v="73"/>
          </reference>
        </references>
      </pivotArea>
    </format>
    <format dxfId="7456">
      <pivotArea dataOnly="0" labelOnly="1" outline="0" fieldPosition="0">
        <references count="2">
          <reference field="1" count="0" selected="0"/>
          <reference field="3" count="7">
            <x v="1"/>
            <x v="4"/>
            <x v="5"/>
            <x v="7"/>
            <x v="9"/>
            <x v="10"/>
            <x v="11"/>
          </reference>
        </references>
      </pivotArea>
    </format>
    <format dxfId="7455">
      <pivotArea dataOnly="0" labelOnly="1" outline="0" fieldPosition="0">
        <references count="3">
          <reference field="1" count="0" selected="0"/>
          <reference field="3" count="1" selected="0">
            <x v="1"/>
          </reference>
          <reference field="5" count="1">
            <x v="166"/>
          </reference>
        </references>
      </pivotArea>
    </format>
    <format dxfId="7454">
      <pivotArea dataOnly="0" labelOnly="1" outline="0" fieldPosition="0">
        <references count="3">
          <reference field="1" count="0" selected="0"/>
          <reference field="3" count="1" selected="0">
            <x v="4"/>
          </reference>
          <reference field="5" count="3">
            <x v="193"/>
            <x v="194"/>
            <x v="202"/>
          </reference>
        </references>
      </pivotArea>
    </format>
    <format dxfId="7453">
      <pivotArea dataOnly="0" labelOnly="1" outline="0" fieldPosition="0">
        <references count="3">
          <reference field="1" count="0" selected="0"/>
          <reference field="3" count="1" selected="0">
            <x v="5"/>
          </reference>
          <reference field="5" count="11">
            <x v="96"/>
            <x v="99"/>
            <x v="101"/>
            <x v="111"/>
            <x v="147"/>
            <x v="149"/>
            <x v="150"/>
            <x v="154"/>
            <x v="168"/>
            <x v="217"/>
            <x v="221"/>
          </reference>
        </references>
      </pivotArea>
    </format>
    <format dxfId="7452">
      <pivotArea dataOnly="0" labelOnly="1" outline="0" fieldPosition="0">
        <references count="3">
          <reference field="1" count="0" selected="0"/>
          <reference field="3" count="1" selected="0">
            <x v="7"/>
          </reference>
          <reference field="5" count="23">
            <x v="3"/>
            <x v="41"/>
            <x v="47"/>
            <x v="51"/>
            <x v="56"/>
            <x v="105"/>
            <x v="107"/>
            <x v="108"/>
            <x v="119"/>
            <x v="120"/>
            <x v="125"/>
            <x v="128"/>
            <x v="144"/>
            <x v="158"/>
            <x v="159"/>
            <x v="165"/>
            <x v="169"/>
            <x v="172"/>
            <x v="178"/>
            <x v="182"/>
            <x v="184"/>
            <x v="186"/>
            <x v="207"/>
          </reference>
        </references>
      </pivotArea>
    </format>
    <format dxfId="7451">
      <pivotArea dataOnly="0" labelOnly="1" outline="0" fieldPosition="0">
        <references count="3">
          <reference field="1" count="0" selected="0"/>
          <reference field="3" count="1" selected="0">
            <x v="9"/>
          </reference>
          <reference field="5" count="10">
            <x v="0"/>
            <x v="4"/>
            <x v="8"/>
            <x v="10"/>
            <x v="11"/>
            <x v="84"/>
            <x v="85"/>
            <x v="86"/>
            <x v="134"/>
            <x v="161"/>
          </reference>
        </references>
      </pivotArea>
    </format>
    <format dxfId="7450">
      <pivotArea dataOnly="0" labelOnly="1" outline="0" fieldPosition="0">
        <references count="3">
          <reference field="1" count="0" selected="0"/>
          <reference field="3" count="1" selected="0">
            <x v="10"/>
          </reference>
          <reference field="5" count="2">
            <x v="90"/>
            <x v="211"/>
          </reference>
        </references>
      </pivotArea>
    </format>
    <format dxfId="7449">
      <pivotArea dataOnly="0" labelOnly="1" outline="0" fieldPosition="0">
        <references count="3">
          <reference field="1" count="0" selected="0"/>
          <reference field="3" count="1" selected="0">
            <x v="11"/>
          </reference>
          <reference field="5" count="4">
            <x v="9"/>
            <x v="15"/>
            <x v="17"/>
            <x v="54"/>
          </reference>
        </references>
      </pivotArea>
    </format>
    <format dxfId="7448">
      <pivotArea dataOnly="0" labelOnly="1" outline="0" fieldPosition="0">
        <references count="3">
          <reference field="1" count="0" selected="0"/>
          <reference field="3" count="1" selected="0">
            <x v="4"/>
          </reference>
          <reference field="5" count="5">
            <x v="65"/>
            <x v="192"/>
            <x v="197"/>
            <x v="198"/>
            <x v="203"/>
          </reference>
        </references>
      </pivotArea>
    </format>
    <format dxfId="7447">
      <pivotArea dataOnly="0" labelOnly="1" outline="0" fieldPosition="0">
        <references count="3">
          <reference field="1" count="0" selected="0"/>
          <reference field="3" count="1" selected="0">
            <x v="5"/>
          </reference>
          <reference field="5" count="6">
            <x v="88"/>
            <x v="112"/>
            <x v="116"/>
            <x v="117"/>
            <x v="152"/>
            <x v="213"/>
          </reference>
        </references>
      </pivotArea>
    </format>
    <format dxfId="7446">
      <pivotArea dataOnly="0" labelOnly="1" outline="0" fieldPosition="0">
        <references count="3">
          <reference field="1" count="0" selected="0"/>
          <reference field="3" count="1" selected="0">
            <x v="7"/>
          </reference>
          <reference field="5" count="21">
            <x v="59"/>
            <x v="61"/>
            <x v="66"/>
            <x v="68"/>
            <x v="83"/>
            <x v="89"/>
            <x v="91"/>
            <x v="106"/>
            <x v="122"/>
            <x v="124"/>
            <x v="126"/>
            <x v="127"/>
            <x v="156"/>
            <x v="173"/>
            <x v="174"/>
            <x v="177"/>
            <x v="179"/>
            <x v="180"/>
            <x v="181"/>
            <x v="183"/>
            <x v="189"/>
          </reference>
        </references>
      </pivotArea>
    </format>
    <format dxfId="7445">
      <pivotArea dataOnly="0" labelOnly="1" outline="0" fieldPosition="0">
        <references count="3">
          <reference field="1" count="0" selected="0"/>
          <reference field="3" count="1" selected="0">
            <x v="9"/>
          </reference>
          <reference field="5" count="13">
            <x v="12"/>
            <x v="18"/>
            <x v="19"/>
            <x v="37"/>
            <x v="38"/>
            <x v="43"/>
            <x v="45"/>
            <x v="49"/>
            <x v="53"/>
            <x v="71"/>
            <x v="77"/>
            <x v="114"/>
            <x v="138"/>
          </reference>
        </references>
      </pivotArea>
    </format>
    <format dxfId="7444">
      <pivotArea dataOnly="0" labelOnly="1" outline="0" fieldPosition="0">
        <references count="3">
          <reference field="1" count="0" selected="0"/>
          <reference field="3" count="1" selected="0">
            <x v="10"/>
          </reference>
          <reference field="5" count="3">
            <x v="23"/>
            <x v="92"/>
            <x v="160"/>
          </reference>
        </references>
      </pivotArea>
    </format>
    <format dxfId="7443">
      <pivotArea dataOnly="0" labelOnly="1" outline="0" fieldPosition="0">
        <references count="3">
          <reference field="1" count="0" selected="0"/>
          <reference field="3" count="1" selected="0">
            <x v="11"/>
          </reference>
          <reference field="5" count="7">
            <x v="1"/>
            <x v="2"/>
            <x v="5"/>
            <x v="57"/>
            <x v="69"/>
            <x v="79"/>
            <x v="82"/>
          </reference>
        </references>
      </pivotArea>
    </format>
    <format dxfId="7442">
      <pivotArea outline="0" collapsedLevelsAreSubtotals="1" fieldPosition="0"/>
    </format>
    <format dxfId="7441">
      <pivotArea dataOnly="0" labelOnly="1" outline="0" fieldPosition="0">
        <references count="2">
          <reference field="1" count="0" selected="0"/>
          <reference field="3" count="6">
            <x v="4"/>
            <x v="5"/>
            <x v="7"/>
            <x v="9"/>
            <x v="10"/>
            <x v="11"/>
          </reference>
        </references>
      </pivotArea>
    </format>
    <format dxfId="7440">
      <pivotArea dataOnly="0" labelOnly="1" outline="0" fieldPosition="0">
        <references count="3">
          <reference field="1" count="0" selected="0"/>
          <reference field="3" count="1" selected="0">
            <x v="4"/>
          </reference>
          <reference field="5" count="3">
            <x v="193"/>
            <x v="198"/>
            <x v="206"/>
          </reference>
        </references>
      </pivotArea>
    </format>
    <format dxfId="7439">
      <pivotArea dataOnly="0" labelOnly="1" outline="0" fieldPosition="0">
        <references count="3">
          <reference field="1" count="0" selected="0"/>
          <reference field="3" count="1" selected="0">
            <x v="5"/>
          </reference>
          <reference field="5" count="8">
            <x v="98"/>
            <x v="100"/>
            <x v="152"/>
            <x v="168"/>
            <x v="214"/>
            <x v="218"/>
            <x v="219"/>
            <x v="220"/>
          </reference>
        </references>
      </pivotArea>
    </format>
    <format dxfId="7438">
      <pivotArea dataOnly="0" labelOnly="1" outline="0" fieldPosition="0">
        <references count="3">
          <reference field="1" count="0" selected="0"/>
          <reference field="3" count="1" selected="0">
            <x v="7"/>
          </reference>
          <reference field="5" count="20">
            <x v="3"/>
            <x v="51"/>
            <x v="52"/>
            <x v="83"/>
            <x v="91"/>
            <x v="93"/>
            <x v="94"/>
            <x v="105"/>
            <x v="107"/>
            <x v="108"/>
            <x v="121"/>
            <x v="127"/>
            <x v="155"/>
            <x v="156"/>
            <x v="158"/>
            <x v="163"/>
            <x v="170"/>
            <x v="173"/>
            <x v="186"/>
            <x v="187"/>
          </reference>
        </references>
      </pivotArea>
    </format>
    <format dxfId="7437">
      <pivotArea dataOnly="0" labelOnly="1" outline="0" fieldPosition="0">
        <references count="3">
          <reference field="1" count="0" selected="0"/>
          <reference field="3" count="1" selected="0">
            <x v="9"/>
          </reference>
          <reference field="5" count="9">
            <x v="13"/>
            <x v="14"/>
            <x v="37"/>
            <x v="38"/>
            <x v="67"/>
            <x v="71"/>
            <x v="81"/>
            <x v="114"/>
            <x v="161"/>
          </reference>
        </references>
      </pivotArea>
    </format>
    <format dxfId="7436">
      <pivotArea dataOnly="0" labelOnly="1" outline="0" fieldPosition="0">
        <references count="3">
          <reference field="1" count="0" selected="0"/>
          <reference field="3" count="1" selected="0">
            <x v="10"/>
          </reference>
          <reference field="5" count="2">
            <x v="90"/>
            <x v="160"/>
          </reference>
        </references>
      </pivotArea>
    </format>
    <format dxfId="7435">
      <pivotArea dataOnly="0" labelOnly="1" outline="0" fieldPosition="0">
        <references count="3">
          <reference field="1" count="0" selected="0"/>
          <reference field="3" count="1" selected="0">
            <x v="11"/>
          </reference>
          <reference field="5" count="5">
            <x v="1"/>
            <x v="2"/>
            <x v="5"/>
            <x v="78"/>
            <x v="79"/>
          </reference>
        </references>
      </pivotArea>
    </format>
    <format dxfId="7434">
      <pivotArea dataOnly="0" labelOnly="1" outline="0" fieldPosition="0">
        <references count="2">
          <reference field="1" count="1" selected="0">
            <x v="0"/>
          </reference>
          <reference field="3" count="0"/>
        </references>
      </pivotArea>
    </format>
    <format dxfId="7433">
      <pivotArea dataOnly="0" labelOnly="1" outline="0" fieldPosition="0">
        <references count="2">
          <reference field="1" count="1" selected="0">
            <x v="1"/>
          </reference>
          <reference field="3" count="0"/>
        </references>
      </pivotArea>
    </format>
    <format dxfId="7432">
      <pivotArea dataOnly="0" labelOnly="1" outline="0" fieldPosition="0">
        <references count="2">
          <reference field="1" count="1" selected="0">
            <x v="2"/>
          </reference>
          <reference field="3" count="0"/>
        </references>
      </pivotArea>
    </format>
    <format dxfId="7431">
      <pivotArea dataOnly="0" labelOnly="1" outline="0" fieldPosition="0">
        <references count="2">
          <reference field="1" count="1" selected="0">
            <x v="3"/>
          </reference>
          <reference field="3" count="0"/>
        </references>
      </pivotArea>
    </format>
    <format dxfId="7430">
      <pivotArea dataOnly="0" labelOnly="1" outline="0" fieldPosition="0">
        <references count="2">
          <reference field="1" count="1" selected="0">
            <x v="4"/>
          </reference>
          <reference field="3" count="0"/>
        </references>
      </pivotArea>
    </format>
    <format dxfId="7429">
      <pivotArea dataOnly="0" labelOnly="1" outline="0" fieldPosition="0">
        <references count="2">
          <reference field="1" count="1" selected="0">
            <x v="5"/>
          </reference>
          <reference field="3" count="0"/>
        </references>
      </pivotArea>
    </format>
    <format dxfId="7428">
      <pivotArea dataOnly="0" labelOnly="1" outline="0" fieldPosition="0">
        <references count="2">
          <reference field="1" count="1" selected="0">
            <x v="6"/>
          </reference>
          <reference field="3" count="0"/>
        </references>
      </pivotArea>
    </format>
    <format dxfId="7427">
      <pivotArea dataOnly="0" labelOnly="1" outline="0" fieldPosition="0">
        <references count="2">
          <reference field="1" count="1" selected="0">
            <x v="7"/>
          </reference>
          <reference field="3" count="0"/>
        </references>
      </pivotArea>
    </format>
    <format dxfId="7426">
      <pivotArea dataOnly="0" labelOnly="1" outline="0" fieldPosition="0">
        <references count="2">
          <reference field="1" count="1" selected="0">
            <x v="8"/>
          </reference>
          <reference field="3" count="0"/>
        </references>
      </pivotArea>
    </format>
    <format dxfId="7425">
      <pivotArea dataOnly="0" labelOnly="1" outline="0" fieldPosition="0">
        <references count="2">
          <reference field="1" count="1" selected="0">
            <x v="9"/>
          </reference>
          <reference field="3" count="0"/>
        </references>
      </pivotArea>
    </format>
    <format dxfId="7424">
      <pivotArea dataOnly="0" labelOnly="1" outline="0" fieldPosition="0">
        <references count="2">
          <reference field="1" count="1" selected="0">
            <x v="27"/>
          </reference>
          <reference field="3" count="0"/>
        </references>
      </pivotArea>
    </format>
    <format dxfId="7423">
      <pivotArea dataOnly="0" labelOnly="1" outline="0" fieldPosition="0">
        <references count="2">
          <reference field="1" count="1" selected="0">
            <x v="10"/>
          </reference>
          <reference field="3" count="0"/>
        </references>
      </pivotArea>
    </format>
    <format dxfId="7422">
      <pivotArea dataOnly="0" labelOnly="1" outline="0" fieldPosition="0">
        <references count="2">
          <reference field="1" count="1" selected="0">
            <x v="11"/>
          </reference>
          <reference field="3" count="0"/>
        </references>
      </pivotArea>
    </format>
    <format dxfId="7421">
      <pivotArea dataOnly="0" labelOnly="1" outline="0" fieldPosition="0">
        <references count="2">
          <reference field="1" count="1" selected="0">
            <x v="12"/>
          </reference>
          <reference field="3" count="0"/>
        </references>
      </pivotArea>
    </format>
    <format dxfId="7420">
      <pivotArea dataOnly="0" labelOnly="1" outline="0" fieldPosition="0">
        <references count="2">
          <reference field="1" count="1" selected="0">
            <x v="13"/>
          </reference>
          <reference field="3" count="0"/>
        </references>
      </pivotArea>
    </format>
    <format dxfId="7419">
      <pivotArea dataOnly="0" labelOnly="1" outline="0" fieldPosition="0">
        <references count="2">
          <reference field="1" count="1" selected="0">
            <x v="14"/>
          </reference>
          <reference field="3" count="0"/>
        </references>
      </pivotArea>
    </format>
    <format dxfId="7418">
      <pivotArea dataOnly="0" labelOnly="1" outline="0" fieldPosition="0">
        <references count="2">
          <reference field="1" count="1" selected="0">
            <x v="15"/>
          </reference>
          <reference field="3" count="0"/>
        </references>
      </pivotArea>
    </format>
    <format dxfId="7417">
      <pivotArea dataOnly="0" labelOnly="1" outline="0" fieldPosition="0">
        <references count="2">
          <reference field="1" count="1" selected="0">
            <x v="16"/>
          </reference>
          <reference field="3" count="0"/>
        </references>
      </pivotArea>
    </format>
    <format dxfId="7416">
      <pivotArea dataOnly="0" labelOnly="1" outline="0" fieldPosition="0">
        <references count="2">
          <reference field="1" count="1" selected="0">
            <x v="17"/>
          </reference>
          <reference field="3" count="0"/>
        </references>
      </pivotArea>
    </format>
    <format dxfId="7415">
      <pivotArea dataOnly="0" labelOnly="1" outline="0" fieldPosition="0">
        <references count="2">
          <reference field="1" count="1" selected="0">
            <x v="18"/>
          </reference>
          <reference field="3" count="0"/>
        </references>
      </pivotArea>
    </format>
    <format dxfId="7414">
      <pivotArea dataOnly="0" labelOnly="1" outline="0" fieldPosition="0">
        <references count="2">
          <reference field="1" count="1" selected="0">
            <x v="19"/>
          </reference>
          <reference field="3" count="0"/>
        </references>
      </pivotArea>
    </format>
    <format dxfId="7413">
      <pivotArea dataOnly="0" labelOnly="1" outline="0" fieldPosition="0">
        <references count="2">
          <reference field="1" count="1" selected="0">
            <x v="20"/>
          </reference>
          <reference field="3" count="0"/>
        </references>
      </pivotArea>
    </format>
    <format dxfId="7412">
      <pivotArea dataOnly="0" labelOnly="1" outline="0" fieldPosition="0">
        <references count="2">
          <reference field="1" count="1" selected="0">
            <x v="21"/>
          </reference>
          <reference field="3" count="0"/>
        </references>
      </pivotArea>
    </format>
    <format dxfId="7411">
      <pivotArea dataOnly="0" labelOnly="1" outline="0" fieldPosition="0">
        <references count="2">
          <reference field="1" count="1" selected="0">
            <x v="22"/>
          </reference>
          <reference field="3" count="0"/>
        </references>
      </pivotArea>
    </format>
    <format dxfId="7410">
      <pivotArea dataOnly="0" labelOnly="1" outline="0" fieldPosition="0">
        <references count="2">
          <reference field="1" count="1" selected="0">
            <x v="23"/>
          </reference>
          <reference field="3" count="0"/>
        </references>
      </pivotArea>
    </format>
    <format dxfId="7409">
      <pivotArea dataOnly="0" labelOnly="1" outline="0" fieldPosition="0">
        <references count="2">
          <reference field="1" count="1" selected="0">
            <x v="24"/>
          </reference>
          <reference field="3" count="0"/>
        </references>
      </pivotArea>
    </format>
    <format dxfId="7408">
      <pivotArea dataOnly="0" labelOnly="1" outline="0" fieldPosition="0">
        <references count="2">
          <reference field="1" count="1" selected="0">
            <x v="25"/>
          </reference>
          <reference field="3" count="0"/>
        </references>
      </pivotArea>
    </format>
    <format dxfId="7407">
      <pivotArea dataOnly="0" labelOnly="1" outline="0" fieldPosition="0">
        <references count="2">
          <reference field="1" count="1" selected="0">
            <x v="26"/>
          </reference>
          <reference field="3" count="0"/>
        </references>
      </pivotArea>
    </format>
    <format dxfId="7406">
      <pivotArea dataOnly="0" outline="0" fieldPosition="0">
        <references count="1">
          <reference field="3" count="1">
            <x v="1"/>
          </reference>
        </references>
      </pivotArea>
    </format>
    <format dxfId="7405">
      <pivotArea dataOnly="0" outline="0" fieldPosition="0">
        <references count="1">
          <reference field="3" count="1">
            <x v="4"/>
          </reference>
        </references>
      </pivotArea>
    </format>
    <format dxfId="7404">
      <pivotArea dataOnly="0" labelOnly="1" outline="0" fieldPosition="0">
        <references count="3">
          <reference field="1" count="0" selected="0"/>
          <reference field="3" count="1" selected="0">
            <x v="5"/>
          </reference>
          <reference field="5" count="1">
            <x v="325"/>
          </reference>
        </references>
      </pivotArea>
    </format>
    <format dxfId="7403">
      <pivotArea dataOnly="0" labelOnly="1" outline="0" fieldPosition="0">
        <references count="3">
          <reference field="1" count="0" selected="0"/>
          <reference field="3" count="1" selected="0">
            <x v="5"/>
          </reference>
          <reference field="5" count="2">
            <x v="326"/>
            <x v="327"/>
          </reference>
        </references>
      </pivotArea>
    </format>
    <format dxfId="7402">
      <pivotArea dataOnly="0" labelOnly="1" outline="0" fieldPosition="0">
        <references count="3">
          <reference field="1" count="0" selected="0"/>
          <reference field="3" count="1" selected="0">
            <x v="5"/>
          </reference>
          <reference field="5" count="3">
            <x v="328"/>
            <x v="329"/>
            <x v="330"/>
          </reference>
        </references>
      </pivotArea>
    </format>
    <format dxfId="7401">
      <pivotArea dataOnly="0" labelOnly="1" outline="0" fieldPosition="0">
        <references count="3">
          <reference field="1" count="0" selected="0"/>
          <reference field="3" count="1" selected="0">
            <x v="5"/>
          </reference>
          <reference field="5" count="1">
            <x v="331"/>
          </reference>
        </references>
      </pivotArea>
    </format>
    <format dxfId="7400">
      <pivotArea dataOnly="0" labelOnly="1" outline="0" fieldPosition="0">
        <references count="3">
          <reference field="1" count="0" selected="0"/>
          <reference field="3" count="1" selected="0">
            <x v="9"/>
          </reference>
          <reference field="5" count="1">
            <x v="332"/>
          </reference>
        </references>
      </pivotArea>
    </format>
    <format dxfId="7399">
      <pivotArea dataOnly="0" labelOnly="1" outline="0" fieldPosition="0">
        <references count="3">
          <reference field="1" count="0" selected="0"/>
          <reference field="3" count="1" selected="0">
            <x v="7"/>
          </reference>
          <reference field="5" count="1">
            <x v="333"/>
          </reference>
        </references>
      </pivotArea>
    </format>
    <format dxfId="7398">
      <pivotArea dataOnly="0" labelOnly="1" outline="0" fieldPosition="0">
        <references count="3">
          <reference field="1" count="0" selected="0"/>
          <reference field="3" count="1" selected="0">
            <x v="4"/>
          </reference>
          <reference field="5" count="1">
            <x v="206"/>
          </reference>
        </references>
      </pivotArea>
    </format>
    <format dxfId="7397">
      <pivotArea dataOnly="0" labelOnly="1" outline="0" fieldPosition="0">
        <references count="3">
          <reference field="1" count="0" selected="0"/>
          <reference field="3" count="1" selected="0">
            <x v="10"/>
          </reference>
          <reference field="5" count="1">
            <x v="80"/>
          </reference>
        </references>
      </pivotArea>
    </format>
    <format dxfId="7396">
      <pivotArea dataOnly="0" labelOnly="1" outline="0" fieldPosition="0">
        <references count="3">
          <reference field="1" count="0" selected="0"/>
          <reference field="3" count="1" selected="0">
            <x v="11"/>
          </reference>
          <reference field="5" count="1">
            <x v="334"/>
          </reference>
        </references>
      </pivotArea>
    </format>
    <format dxfId="7395">
      <pivotArea dataOnly="0" labelOnly="1" outline="0" fieldPosition="0">
        <references count="3">
          <reference field="1" count="0" selected="0"/>
          <reference field="3" count="1" selected="0">
            <x v="7"/>
          </reference>
          <reference field="5" count="1">
            <x v="335"/>
          </reference>
        </references>
      </pivotArea>
    </format>
    <format dxfId="7394">
      <pivotArea dataOnly="0" labelOnly="1" outline="0" fieldPosition="0">
        <references count="3">
          <reference field="1" count="0" selected="0"/>
          <reference field="3" count="1" selected="0">
            <x v="1"/>
          </reference>
          <reference field="5" count="1">
            <x v="336"/>
          </reference>
        </references>
      </pivotArea>
    </format>
    <format dxfId="7393">
      <pivotArea dataOnly="0" labelOnly="1" outline="0" fieldPosition="0">
        <references count="3">
          <reference field="1" count="0" selected="0"/>
          <reference field="3" count="1" selected="0">
            <x v="1"/>
          </reference>
          <reference field="5" count="1">
            <x v="334"/>
          </reference>
        </references>
      </pivotArea>
    </format>
    <format dxfId="7392">
      <pivotArea dataOnly="0" labelOnly="1" outline="0" fieldPosition="0">
        <references count="3">
          <reference field="1" count="0" selected="0"/>
          <reference field="3" count="1" selected="0">
            <x v="2"/>
          </reference>
          <reference field="5" count="1">
            <x v="337"/>
          </reference>
        </references>
      </pivotArea>
    </format>
    <format dxfId="7391">
      <pivotArea dataOnly="0" labelOnly="1" outline="0" fieldPosition="0">
        <references count="2">
          <reference field="1" count="0" selected="0"/>
          <reference field="3" count="1">
            <x v="2"/>
          </reference>
        </references>
      </pivotArea>
    </format>
    <format dxfId="7390">
      <pivotArea dataOnly="0" labelOnly="1" outline="0" fieldPosition="0">
        <references count="3">
          <reference field="1" count="0" selected="0"/>
          <reference field="3" count="1" selected="0">
            <x v="9"/>
          </reference>
          <reference field="5" count="1">
            <x v="338"/>
          </reference>
        </references>
      </pivotArea>
    </format>
    <format dxfId="7389">
      <pivotArea dataOnly="0" labelOnly="1" outline="0" fieldPosition="0">
        <references count="3">
          <reference field="1" count="0" selected="0"/>
          <reference field="3" count="1" selected="0">
            <x v="7"/>
          </reference>
          <reference field="5" count="1">
            <x v="343"/>
          </reference>
        </references>
      </pivotArea>
    </format>
    <format dxfId="7388">
      <pivotArea dataOnly="0" labelOnly="1" outline="0" fieldPosition="0">
        <references count="3">
          <reference field="1" count="0" selected="0"/>
          <reference field="3" count="1" selected="0">
            <x v="9"/>
          </reference>
          <reference field="5" count="1">
            <x v="339"/>
          </reference>
        </references>
      </pivotArea>
    </format>
    <format dxfId="7387">
      <pivotArea dataOnly="0" labelOnly="1" outline="0" fieldPosition="0">
        <references count="3">
          <reference field="1" count="0" selected="0"/>
          <reference field="3" count="1" selected="0">
            <x v="5"/>
          </reference>
          <reference field="5" count="1">
            <x v="340"/>
          </reference>
        </references>
      </pivotArea>
    </format>
    <format dxfId="7386">
      <pivotArea dataOnly="0" labelOnly="1" outline="0" fieldPosition="0">
        <references count="3">
          <reference field="1" count="0" selected="0"/>
          <reference field="3" count="1" selected="0">
            <x v="5"/>
          </reference>
          <reference field="5" count="1">
            <x v="341"/>
          </reference>
        </references>
      </pivotArea>
    </format>
    <format dxfId="7385">
      <pivotArea dataOnly="0" labelOnly="1" outline="0" fieldPosition="0">
        <references count="3">
          <reference field="1" count="0" selected="0"/>
          <reference field="3" count="1" selected="0">
            <x v="7"/>
          </reference>
          <reference field="5" count="1">
            <x v="342"/>
          </reference>
        </references>
      </pivotArea>
    </format>
    <format dxfId="7384">
      <pivotArea dataOnly="0" labelOnly="1" outline="0" fieldPosition="0">
        <references count="3">
          <reference field="1" count="0" selected="0"/>
          <reference field="3" count="1" selected="0">
            <x v="1"/>
          </reference>
          <reference field="5" count="1">
            <x v="344"/>
          </reference>
        </references>
      </pivotArea>
    </format>
    <format dxfId="7383">
      <pivotArea dataOnly="0" labelOnly="1" outline="0" fieldPosition="0">
        <references count="3">
          <reference field="1" count="0" selected="0"/>
          <reference field="3" count="1" selected="0">
            <x v="9"/>
          </reference>
          <reference field="5" count="1">
            <x v="345"/>
          </reference>
        </references>
      </pivotArea>
    </format>
    <format dxfId="7382">
      <pivotArea dataOnly="0" labelOnly="1" outline="0" fieldPosition="0">
        <references count="3">
          <reference field="1" count="0" selected="0"/>
          <reference field="3" count="1" selected="0">
            <x v="5"/>
          </reference>
          <reference field="5" count="1">
            <x v="346"/>
          </reference>
        </references>
      </pivotArea>
    </format>
    <format dxfId="7381">
      <pivotArea dataOnly="0" labelOnly="1" outline="0" fieldPosition="0">
        <references count="3">
          <reference field="1" count="0" selected="0"/>
          <reference field="3" count="1" selected="0">
            <x v="5"/>
          </reference>
          <reference field="5" count="6">
            <x v="70"/>
            <x v="191"/>
            <x v="198"/>
            <x v="199"/>
            <x v="205"/>
            <x v="206"/>
          </reference>
        </references>
      </pivotArea>
    </format>
    <format dxfId="7380">
      <pivotArea dataOnly="0" labelOnly="1" outline="0" fieldPosition="0">
        <references count="3">
          <reference field="1" count="0" selected="0"/>
          <reference field="3" count="1" selected="0">
            <x v="7"/>
          </reference>
          <reference field="5" count="9">
            <x v="97"/>
            <x v="98"/>
            <x v="104"/>
            <x v="112"/>
            <x v="208"/>
            <x v="212"/>
            <x v="221"/>
            <x v="326"/>
            <x v="328"/>
          </reference>
        </references>
      </pivotArea>
    </format>
    <format dxfId="7379">
      <pivotArea dataOnly="0" labelOnly="1" outline="0" fieldPosition="0">
        <references count="3">
          <reference field="1" count="0" selected="0"/>
          <reference field="3" count="1" selected="0">
            <x v="9"/>
          </reference>
          <reference field="5" count="20">
            <x v="22"/>
            <x v="27"/>
            <x v="47"/>
            <x v="66"/>
            <x v="68"/>
            <x v="93"/>
            <x v="123"/>
            <x v="124"/>
            <x v="137"/>
            <x v="144"/>
            <x v="159"/>
            <x v="163"/>
            <x v="172"/>
            <x v="173"/>
            <x v="180"/>
            <x v="187"/>
            <x v="188"/>
            <x v="333"/>
            <x v="335"/>
            <x v="343"/>
          </reference>
        </references>
      </pivotArea>
    </format>
    <format dxfId="7378">
      <pivotArea dataOnly="0" labelOnly="1" outline="0" fieldPosition="0">
        <references count="3">
          <reference field="1" count="0" selected="0"/>
          <reference field="3" count="1" selected="0">
            <x v="10"/>
          </reference>
          <reference field="5" count="12">
            <x v="11"/>
            <x v="31"/>
            <x v="35"/>
            <x v="45"/>
            <x v="49"/>
            <x v="71"/>
            <x v="74"/>
            <x v="132"/>
            <x v="133"/>
            <x v="160"/>
            <x v="162"/>
            <x v="345"/>
          </reference>
        </references>
      </pivotArea>
    </format>
    <format dxfId="7377">
      <pivotArea dataOnly="0" labelOnly="1" outline="0" fieldPosition="0">
        <references count="3">
          <reference field="1" count="0" selected="0"/>
          <reference field="3" count="1" selected="0">
            <x v="11"/>
          </reference>
          <reference field="5" count="5">
            <x v="15"/>
            <x v="17"/>
            <x v="23"/>
            <x v="30"/>
            <x v="69"/>
          </reference>
        </references>
      </pivotArea>
    </format>
    <format dxfId="7376">
      <pivotArea dataOnly="0" labelOnly="1" outline="0" fieldPosition="0">
        <references count="3">
          <reference field="1" count="0" selected="0"/>
          <reference field="3" count="1" selected="0">
            <x v="13"/>
          </reference>
          <reference field="5" count="1">
            <x v="60"/>
          </reference>
        </references>
      </pivotArea>
    </format>
    <format dxfId="7375">
      <pivotArea dataOnly="0" labelOnly="1" outline="0" fieldPosition="0">
        <references count="2">
          <reference field="1" count="0" selected="0"/>
          <reference field="3" count="1">
            <x v="13"/>
          </reference>
        </references>
      </pivotArea>
    </format>
    <format dxfId="7374">
      <pivotArea dataOnly="0" labelOnly="1" outline="0" fieldPosition="0">
        <references count="3">
          <reference field="1" count="0" selected="0"/>
          <reference field="3" count="1" selected="0">
            <x v="5"/>
          </reference>
          <reference field="5" count="5">
            <x v="65"/>
            <x v="192"/>
            <x v="197"/>
            <x v="200"/>
            <x v="204"/>
          </reference>
        </references>
      </pivotArea>
    </format>
    <format dxfId="7373">
      <pivotArea dataOnly="0" labelOnly="1" outline="0" fieldPosition="0">
        <references count="3">
          <reference field="1" count="0" selected="0"/>
          <reference field="3" count="1" selected="0">
            <x v="7"/>
          </reference>
          <reference field="5" count="9">
            <x v="24"/>
            <x v="96"/>
            <x v="99"/>
            <x v="103"/>
            <x v="116"/>
            <x v="168"/>
            <x v="214"/>
            <x v="329"/>
            <x v="330"/>
          </reference>
        </references>
      </pivotArea>
    </format>
    <format dxfId="7372">
      <pivotArea dataOnly="0" labelOnly="1" outline="0" fieldPosition="0">
        <references count="3">
          <reference field="1" count="0" selected="0"/>
          <reference field="3" count="1" selected="0">
            <x v="9"/>
          </reference>
          <reference field="5" count="21">
            <x v="3"/>
            <x v="21"/>
            <x v="29"/>
            <x v="44"/>
            <x v="51"/>
            <x v="62"/>
            <x v="83"/>
            <x v="94"/>
            <x v="113"/>
            <x v="122"/>
            <x v="125"/>
            <x v="130"/>
            <x v="145"/>
            <x v="158"/>
            <x v="164"/>
            <x v="171"/>
            <x v="174"/>
            <x v="181"/>
            <x v="186"/>
            <x v="189"/>
            <x v="324"/>
          </reference>
        </references>
      </pivotArea>
    </format>
    <format dxfId="7371">
      <pivotArea dataOnly="0" labelOnly="1" outline="0" fieldPosition="0">
        <references count="3">
          <reference field="1" count="0" selected="0"/>
          <reference field="3" count="1" selected="0">
            <x v="10"/>
          </reference>
          <reference field="5" count="12">
            <x v="8"/>
            <x v="12"/>
            <x v="26"/>
            <x v="43"/>
            <x v="53"/>
            <x v="81"/>
            <x v="115"/>
            <x v="134"/>
            <x v="161"/>
            <x v="209"/>
            <x v="332"/>
            <x v="339"/>
          </reference>
        </references>
      </pivotArea>
    </format>
    <format dxfId="7370">
      <pivotArea dataOnly="0" labelOnly="1" outline="0" fieldPosition="0">
        <references count="3">
          <reference field="1" count="0" selected="0"/>
          <reference field="3" count="1" selected="0">
            <x v="11"/>
          </reference>
          <reference field="5" count="2">
            <x v="80"/>
            <x v="143"/>
          </reference>
        </references>
      </pivotArea>
    </format>
    <format dxfId="7369">
      <pivotArea dataOnly="0" labelOnly="1" outline="0" fieldPosition="0">
        <references count="3">
          <reference field="1" count="0" selected="0"/>
          <reference field="3" count="1" selected="0">
            <x v="13"/>
          </reference>
          <reference field="5" count="4">
            <x v="5"/>
            <x v="46"/>
            <x v="57"/>
            <x v="72"/>
          </reference>
        </references>
      </pivotArea>
    </format>
    <format dxfId="7368">
      <pivotArea dataOnly="0" labelOnly="1" outline="0" fieldPosition="0">
        <references count="3">
          <reference field="1" count="0" selected="0"/>
          <reference field="3" count="1" selected="0">
            <x v="5"/>
          </reference>
          <reference field="5" count="4">
            <x v="193"/>
            <x v="195"/>
            <x v="201"/>
            <x v="203"/>
          </reference>
        </references>
      </pivotArea>
    </format>
    <format dxfId="7367">
      <pivotArea dataOnly="0" labelOnly="1" outline="0" fieldPosition="0">
        <references count="3">
          <reference field="1" count="0" selected="0"/>
          <reference field="3" count="1" selected="0">
            <x v="7"/>
          </reference>
          <reference field="5" count="10">
            <x v="25"/>
            <x v="88"/>
            <x v="100"/>
            <x v="102"/>
            <x v="117"/>
            <x v="141"/>
            <x v="154"/>
            <x v="325"/>
            <x v="340"/>
            <x v="341"/>
          </reference>
        </references>
      </pivotArea>
    </format>
    <format dxfId="7366">
      <pivotArea dataOnly="0" labelOnly="1" outline="0" fieldPosition="0">
        <references count="3">
          <reference field="1" count="0" selected="0"/>
          <reference field="3" count="1" selected="0">
            <x v="9"/>
          </reference>
          <reference field="5" count="22">
            <x v="6"/>
            <x v="20"/>
            <x v="32"/>
            <x v="41"/>
            <x v="52"/>
            <x v="61"/>
            <x v="87"/>
            <x v="95"/>
            <x v="118"/>
            <x v="121"/>
            <x v="126"/>
            <x v="129"/>
            <x v="146"/>
            <x v="157"/>
            <x v="165"/>
            <x v="170"/>
            <x v="175"/>
            <x v="179"/>
            <x v="182"/>
            <x v="185"/>
            <x v="190"/>
            <x v="342"/>
          </reference>
        </references>
      </pivotArea>
    </format>
    <format dxfId="7365">
      <pivotArea dataOnly="0" labelOnly="1" outline="0" fieldPosition="0">
        <references count="3">
          <reference field="1" count="0" selected="0"/>
          <reference field="3" count="1" selected="0">
            <x v="10"/>
          </reference>
          <reference field="5" count="11">
            <x v="4"/>
            <x v="19"/>
            <x v="42"/>
            <x v="58"/>
            <x v="67"/>
            <x v="84"/>
            <x v="114"/>
            <x v="135"/>
            <x v="139"/>
            <x v="210"/>
            <x v="338"/>
          </reference>
        </references>
      </pivotArea>
    </format>
    <format dxfId="7364">
      <pivotArea dataOnly="0" labelOnly="1" outline="0" fieldPosition="0">
        <references count="3">
          <reference field="1" count="0" selected="0"/>
          <reference field="3" count="1" selected="0">
            <x v="11"/>
          </reference>
          <reference field="5" count="2">
            <x v="90"/>
            <x v="142"/>
          </reference>
        </references>
      </pivotArea>
    </format>
    <format dxfId="7363">
      <pivotArea dataOnly="0" labelOnly="1" outline="0" fieldPosition="0">
        <references count="3">
          <reference field="1" count="0" selected="0"/>
          <reference field="3" count="1" selected="0">
            <x v="13"/>
          </reference>
          <reference field="5" count="5">
            <x v="2"/>
            <x v="48"/>
            <x v="55"/>
            <x v="73"/>
            <x v="82"/>
          </reference>
        </references>
      </pivotArea>
    </format>
    <format dxfId="7362">
      <pivotArea dataOnly="0" labelOnly="1" outline="0" fieldPosition="0">
        <references count="3">
          <reference field="1" count="0" selected="0"/>
          <reference field="3" count="1" selected="0">
            <x v="5"/>
          </reference>
          <reference field="5" count="4">
            <x v="194"/>
            <x v="196"/>
            <x v="202"/>
            <x v="337"/>
          </reference>
        </references>
      </pivotArea>
    </format>
    <format dxfId="7361">
      <pivotArea dataOnly="0" labelOnly="1" outline="0" fieldPosition="0">
        <references count="3">
          <reference field="1" count="0" selected="0"/>
          <reference field="3" count="1" selected="0">
            <x v="7"/>
          </reference>
          <reference field="5" count="8">
            <x v="28"/>
            <x v="33"/>
            <x v="101"/>
            <x v="111"/>
            <x v="213"/>
            <x v="217"/>
            <x v="331"/>
            <x v="346"/>
          </reference>
        </references>
      </pivotArea>
    </format>
    <format dxfId="7360">
      <pivotArea dataOnly="0" labelOnly="1" outline="0" fieldPosition="0">
        <references count="3">
          <reference field="1" count="0" selected="0"/>
          <reference field="3" count="1" selected="0">
            <x v="9"/>
          </reference>
          <reference field="5" count="23">
            <x v="7"/>
            <x v="16"/>
            <x v="34"/>
            <x v="36"/>
            <x v="56"/>
            <x v="59"/>
            <x v="89"/>
            <x v="91"/>
            <x v="105"/>
            <x v="106"/>
            <x v="119"/>
            <x v="120"/>
            <x v="127"/>
            <x v="128"/>
            <x v="155"/>
            <x v="156"/>
            <x v="167"/>
            <x v="169"/>
            <x v="176"/>
            <x v="177"/>
            <x v="183"/>
            <x v="184"/>
            <x v="207"/>
          </reference>
        </references>
      </pivotArea>
    </format>
    <format dxfId="7359">
      <pivotArea dataOnly="0" labelOnly="1" outline="0" fieldPosition="0">
        <references count="3">
          <reference field="1" count="0" selected="0"/>
          <reference field="3" count="1" selected="0">
            <x v="10"/>
          </reference>
          <reference field="5" count="12">
            <x v="0"/>
            <x v="18"/>
            <x v="39"/>
            <x v="40"/>
            <x v="63"/>
            <x v="64"/>
            <x v="85"/>
            <x v="86"/>
            <x v="92"/>
            <x v="136"/>
            <x v="138"/>
            <x v="211"/>
          </reference>
        </references>
      </pivotArea>
    </format>
    <format dxfId="7358">
      <pivotArea dataOnly="0" labelOnly="1" outline="0" fieldPosition="0">
        <references count="3">
          <reference field="1" count="0" selected="0"/>
          <reference field="3" count="1" selected="0">
            <x v="11"/>
          </reference>
          <reference field="5" count="5">
            <x v="1"/>
            <x v="50"/>
            <x v="54"/>
            <x v="79"/>
            <x v="140"/>
          </reference>
        </references>
      </pivotArea>
    </format>
    <format dxfId="7357">
      <pivotArea dataOnly="0" labelOnly="1" outline="0" fieldPosition="0">
        <references count="3">
          <reference field="1" count="0" selected="0"/>
          <reference field="3" count="1" selected="0">
            <x v="13"/>
          </reference>
          <reference field="5" count="1">
            <x v="78"/>
          </reference>
        </references>
      </pivotArea>
    </format>
    <format dxfId="7356">
      <pivotArea dataOnly="0" labelOnly="1" outline="0" fieldPosition="0">
        <references count="3">
          <reference field="1" count="0" selected="0"/>
          <reference field="3" count="1" selected="0">
            <x v="8"/>
          </reference>
          <reference field="5" count="1">
            <x v="131"/>
          </reference>
        </references>
      </pivotArea>
    </format>
    <format dxfId="7355">
      <pivotArea dataOnly="0" labelOnly="1" outline="0" fieldPosition="0">
        <references count="2">
          <reference field="1" count="0" selected="0"/>
          <reference field="3" count="1">
            <x v="8"/>
          </reference>
        </references>
      </pivotArea>
    </format>
    <format dxfId="7354">
      <pivotArea dataOnly="0" labelOnly="1" outline="0" fieldPosition="0">
        <references count="2">
          <reference field="1" count="0" selected="0"/>
          <reference field="3" count="1">
            <x v="8"/>
          </reference>
        </references>
      </pivotArea>
    </format>
    <format dxfId="7353">
      <pivotArea dataOnly="0" labelOnly="1" outline="0" fieldPosition="0">
        <references count="2">
          <reference field="1" count="0" selected="0"/>
          <reference field="3" count="1">
            <x v="13"/>
          </reference>
        </references>
      </pivotArea>
    </format>
    <format dxfId="7352">
      <pivotArea dataOnly="0" labelOnly="1" outline="0" fieldPosition="0">
        <references count="3">
          <reference field="1" count="0" selected="0"/>
          <reference field="3" count="1" selected="0">
            <x v="1"/>
          </reference>
          <reference field="5" count="1">
            <x v="117"/>
          </reference>
        </references>
      </pivotArea>
    </format>
    <format dxfId="7351">
      <pivotArea dataOnly="0" labelOnly="1" outline="0" fieldPosition="0">
        <references count="3">
          <reference field="1" count="0" selected="0"/>
          <reference field="3" count="1" selected="0">
            <x v="1"/>
          </reference>
          <reference field="5" count="1">
            <x v="347"/>
          </reference>
        </references>
      </pivotArea>
    </format>
    <format dxfId="7350">
      <pivotArea dataOnly="0" labelOnly="1" outline="0" fieldPosition="0">
        <references count="3">
          <reference field="1" count="0" selected="0"/>
          <reference field="3" count="1" selected="0">
            <x v="1"/>
          </reference>
          <reference field="5" count="1">
            <x v="348"/>
          </reference>
        </references>
      </pivotArea>
    </format>
    <format dxfId="7349">
      <pivotArea dataOnly="0" labelOnly="1" outline="0" fieldPosition="0">
        <references count="3">
          <reference field="1" count="0" selected="0"/>
          <reference field="3" count="1" selected="0">
            <x v="9"/>
          </reference>
          <reference field="5" count="1">
            <x v="163"/>
          </reference>
        </references>
      </pivotArea>
    </format>
    <format dxfId="7348">
      <pivotArea dataOnly="0" labelOnly="1" outline="0" fieldPosition="0">
        <references count="3">
          <reference field="1" count="0" selected="0"/>
          <reference field="3" count="1" selected="0">
            <x v="9"/>
          </reference>
          <reference field="5" count="1">
            <x v="128"/>
          </reference>
        </references>
      </pivotArea>
    </format>
    <format dxfId="7347">
      <pivotArea dataOnly="0" labelOnly="1" outline="0" fieldPosition="0">
        <references count="3">
          <reference field="1" count="0" selected="0"/>
          <reference field="3" count="1" selected="0">
            <x v="9"/>
          </reference>
          <reference field="5" count="1">
            <x v="349"/>
          </reference>
        </references>
      </pivotArea>
    </format>
    <format dxfId="7346">
      <pivotArea dataOnly="0" labelOnly="1" outline="0" fieldPosition="0">
        <references count="3">
          <reference field="1" count="0" selected="0"/>
          <reference field="3" count="1" selected="0">
            <x v="7"/>
          </reference>
          <reference field="5" count="1">
            <x v="347"/>
          </reference>
        </references>
      </pivotArea>
    </format>
    <format dxfId="7345">
      <pivotArea dataOnly="0" labelOnly="1" outline="0" fieldPosition="0">
        <references count="3">
          <reference field="1" count="0" selected="0"/>
          <reference field="3" count="1" selected="0">
            <x v="9"/>
          </reference>
          <reference field="5" count="1">
            <x v="350"/>
          </reference>
        </references>
      </pivotArea>
    </format>
    <format dxfId="7344">
      <pivotArea dataOnly="0" labelOnly="1" outline="0" fieldPosition="0">
        <references count="3">
          <reference field="1" count="0" selected="0"/>
          <reference field="3" count="1" selected="0">
            <x v="9"/>
          </reference>
          <reference field="5" count="1">
            <x v="352"/>
          </reference>
        </references>
      </pivotArea>
    </format>
    <format dxfId="7343">
      <pivotArea dataOnly="0" labelOnly="1" outline="0" fieldPosition="0">
        <references count="3">
          <reference field="1" count="0" selected="0"/>
          <reference field="3" count="1" selected="0">
            <x v="9"/>
          </reference>
          <reference field="5" count="1">
            <x v="351"/>
          </reference>
        </references>
      </pivotArea>
    </format>
    <format dxfId="7342">
      <pivotArea dataOnly="0" labelOnly="1" outline="0" fieldPosition="0">
        <references count="3">
          <reference field="1" count="0" selected="0"/>
          <reference field="3" count="1" selected="0">
            <x v="5"/>
          </reference>
          <reference field="5" count="1">
            <x v="347"/>
          </reference>
        </references>
      </pivotArea>
    </format>
    <format dxfId="7341">
      <pivotArea dataOnly="0" labelOnly="1" outline="0" fieldPosition="0">
        <references count="3">
          <reference field="1" count="0" selected="0"/>
          <reference field="3" count="1" selected="0">
            <x v="7"/>
          </reference>
          <reference field="5" count="1">
            <x v="349"/>
          </reference>
        </references>
      </pivotArea>
    </format>
    <format dxfId="7340">
      <pivotArea dataOnly="0" labelOnly="1" outline="0" fieldPosition="0">
        <references count="3">
          <reference field="1" count="0" selected="0"/>
          <reference field="3" count="1" selected="0">
            <x v="7"/>
          </reference>
          <reference field="5" count="1">
            <x v="350"/>
          </reference>
        </references>
      </pivotArea>
    </format>
    <format dxfId="7339">
      <pivotArea dataOnly="0" labelOnly="1" outline="0" fieldPosition="0">
        <references count="3">
          <reference field="1" count="0" selected="0"/>
          <reference field="3" count="1" selected="0">
            <x v="9"/>
          </reference>
          <reference field="5" count="1">
            <x v="353"/>
          </reference>
        </references>
      </pivotArea>
    </format>
    <format dxfId="7338">
      <pivotArea dataOnly="0" labelOnly="1" outline="0" fieldPosition="0">
        <references count="3">
          <reference field="1" count="0" selected="0"/>
          <reference field="3" count="1" selected="0">
            <x v="9"/>
          </reference>
          <reference field="5" count="1">
            <x v="353"/>
          </reference>
        </references>
      </pivotArea>
    </format>
    <format dxfId="7337">
      <pivotArea dataOnly="0" labelOnly="1" outline="0" fieldPosition="0">
        <references count="3">
          <reference field="1" count="0" selected="0"/>
          <reference field="3" count="1" selected="0">
            <x v="3"/>
          </reference>
          <reference field="5" count="1">
            <x v="341"/>
          </reference>
        </references>
      </pivotArea>
    </format>
    <format dxfId="7336">
      <pivotArea dataOnly="0" labelOnly="1" outline="0" fieldPosition="0">
        <references count="3">
          <reference field="1" count="0" selected="0"/>
          <reference field="3" count="1" selected="0">
            <x v="3"/>
          </reference>
          <reference field="5" count="1">
            <x v="341"/>
          </reference>
        </references>
      </pivotArea>
    </format>
    <format dxfId="7335">
      <pivotArea dataOnly="0" labelOnly="1" outline="0" fieldPosition="0">
        <references count="2">
          <reference field="1" count="0" selected="0"/>
          <reference field="3" count="1">
            <x v="3"/>
          </reference>
        </references>
      </pivotArea>
    </format>
    <format dxfId="7334">
      <pivotArea field="1" type="button" dataOnly="0" labelOnly="1" outline="0" axis="axisRow" fieldPosition="0"/>
    </format>
    <format dxfId="7333">
      <pivotArea field="3" type="button" dataOnly="0" labelOnly="1" outline="0" axis="axisRow" fieldPosition="1"/>
    </format>
    <format dxfId="7332">
      <pivotArea field="5" type="button" dataOnly="0" labelOnly="1" outline="0" axis="axisRow" fieldPosition="2"/>
    </format>
    <format dxfId="7331">
      <pivotArea field="6" type="button" dataOnly="0" labelOnly="1" outline="0" axis="axisRow" fieldPosition="3"/>
    </format>
    <format dxfId="7330">
      <pivotArea dataOnly="0" labelOnly="1" outline="0" axis="axisValues" fieldPosition="0"/>
    </format>
    <format dxfId="7329">
      <pivotArea field="1" type="button" dataOnly="0" labelOnly="1" outline="0" axis="axisRow" fieldPosition="0"/>
    </format>
    <format dxfId="7328">
      <pivotArea field="3" type="button" dataOnly="0" labelOnly="1" outline="0" axis="axisRow" fieldPosition="1"/>
    </format>
    <format dxfId="7327">
      <pivotArea field="5" type="button" dataOnly="0" labelOnly="1" outline="0" axis="axisRow" fieldPosition="2"/>
    </format>
    <format dxfId="7326">
      <pivotArea field="6" type="button" dataOnly="0" labelOnly="1" outline="0" axis="axisRow" fieldPosition="3"/>
    </format>
    <format dxfId="7325">
      <pivotArea dataOnly="0" labelOnly="1" outline="0" axis="axisValues" fieldPosition="0"/>
    </format>
    <format dxfId="7324">
      <pivotArea dataOnly="0" labelOnly="1" outline="0" fieldPosition="0">
        <references count="3">
          <reference field="1" count="0" selected="0"/>
          <reference field="3" count="1" selected="0">
            <x v="7"/>
          </reference>
          <reference field="5" count="0"/>
        </references>
      </pivotArea>
    </format>
    <format dxfId="7323">
      <pivotArea dataOnly="0" labelOnly="1" outline="0" fieldPosition="0">
        <references count="4">
          <reference field="1" count="0" selected="0"/>
          <reference field="3" count="1" selected="0">
            <x v="7"/>
          </reference>
          <reference field="5" count="0" selected="0"/>
          <reference field="6" count="1">
            <x v="4"/>
          </reference>
        </references>
      </pivotArea>
    </format>
    <format dxfId="7322">
      <pivotArea dataOnly="0" labelOnly="1" outline="0" fieldPosition="0">
        <references count="3">
          <reference field="1" count="0" selected="0"/>
          <reference field="3" count="1" selected="0">
            <x v="1"/>
          </reference>
          <reference field="5" count="1">
            <x v="166"/>
          </reference>
        </references>
      </pivotArea>
    </format>
    <format dxfId="7321">
      <pivotArea dataOnly="0" labelOnly="1" outline="0" fieldPosition="0">
        <references count="3">
          <reference field="1" count="0" selected="0"/>
          <reference field="3" count="1" selected="0">
            <x v="4"/>
          </reference>
          <reference field="5" count="4">
            <x v="194"/>
            <x v="195"/>
            <x v="202"/>
            <x v="203"/>
          </reference>
        </references>
      </pivotArea>
    </format>
    <format dxfId="7320">
      <pivotArea dataOnly="0" labelOnly="1" outline="0" fieldPosition="0">
        <references count="3">
          <reference field="1" count="0" selected="0"/>
          <reference field="3" count="1" selected="0">
            <x v="5"/>
          </reference>
          <reference field="5" count="7">
            <x v="100"/>
            <x v="116"/>
            <x v="217"/>
            <x v="325"/>
            <x v="331"/>
            <x v="340"/>
            <x v="347"/>
          </reference>
        </references>
      </pivotArea>
    </format>
    <format dxfId="7319">
      <pivotArea dataOnly="0" labelOnly="1" outline="0" fieldPosition="0">
        <references count="3">
          <reference field="1" count="0" selected="0"/>
          <reference field="3" count="1" selected="0">
            <x v="7"/>
          </reference>
          <reference field="5" count="14">
            <x v="113"/>
            <x v="124"/>
            <x v="125"/>
            <x v="144"/>
            <x v="145"/>
            <x v="164"/>
            <x v="173"/>
            <x v="174"/>
            <x v="180"/>
            <x v="181"/>
            <x v="188"/>
            <x v="189"/>
            <x v="343"/>
            <x v="349"/>
          </reference>
        </references>
      </pivotArea>
    </format>
    <format dxfId="7318">
      <pivotArea dataOnly="0" labelOnly="1" outline="0" fieldPosition="0">
        <references count="3">
          <reference field="1" count="0" selected="0"/>
          <reference field="3" count="1" selected="0">
            <x v="9"/>
          </reference>
          <reference field="5" count="2">
            <x v="134"/>
            <x v="135"/>
          </reference>
        </references>
      </pivotArea>
    </format>
    <format dxfId="7317">
      <pivotArea dataOnly="0" labelOnly="1" outline="0" fieldPosition="0">
        <references count="3">
          <reference field="1" count="0" selected="0"/>
          <reference field="3" count="1" selected="0">
            <x v="10"/>
          </reference>
          <reference field="5" count="2">
            <x v="209"/>
            <x v="210"/>
          </reference>
        </references>
      </pivotArea>
    </format>
    <format dxfId="7316">
      <pivotArea dataOnly="0" labelOnly="1" outline="0" fieldPosition="0">
        <references count="4">
          <reference field="1" count="0" selected="0"/>
          <reference field="3" count="1" selected="0">
            <x v="1"/>
          </reference>
          <reference field="5" count="1" selected="0">
            <x v="166"/>
          </reference>
          <reference field="6" count="1">
            <x v="9"/>
          </reference>
        </references>
      </pivotArea>
    </format>
    <format dxfId="7315">
      <pivotArea dataOnly="0" labelOnly="1" outline="0" fieldPosition="0">
        <references count="4">
          <reference field="1" count="0" selected="0"/>
          <reference field="3" count="1" selected="0">
            <x v="4"/>
          </reference>
          <reference field="5" count="1" selected="0">
            <x v="194"/>
          </reference>
          <reference field="6" count="1">
            <x v="3"/>
          </reference>
        </references>
      </pivotArea>
    </format>
    <format dxfId="7314">
      <pivotArea dataOnly="0" labelOnly="1" outline="0" fieldPosition="0">
        <references count="4">
          <reference field="1" count="0" selected="0"/>
          <reference field="3" count="1" selected="0">
            <x v="4"/>
          </reference>
          <reference field="5" count="1" selected="0">
            <x v="195"/>
          </reference>
          <reference field="6" count="1">
            <x v="3"/>
          </reference>
        </references>
      </pivotArea>
    </format>
    <format dxfId="7313">
      <pivotArea dataOnly="0" labelOnly="1" outline="0" fieldPosition="0">
        <references count="4">
          <reference field="1" count="0" selected="0"/>
          <reference field="3" count="1" selected="0">
            <x v="4"/>
          </reference>
          <reference field="5" count="1" selected="0">
            <x v="202"/>
          </reference>
          <reference field="6" count="1">
            <x v="3"/>
          </reference>
        </references>
      </pivotArea>
    </format>
    <format dxfId="7312">
      <pivotArea dataOnly="0" labelOnly="1" outline="0" fieldPosition="0">
        <references count="4">
          <reference field="1" count="0" selected="0"/>
          <reference field="3" count="1" selected="0">
            <x v="4"/>
          </reference>
          <reference field="5" count="1" selected="0">
            <x v="203"/>
          </reference>
          <reference field="6" count="1">
            <x v="3"/>
          </reference>
        </references>
      </pivotArea>
    </format>
    <format dxfId="7311">
      <pivotArea dataOnly="0" labelOnly="1" outline="0" fieldPosition="0">
        <references count="4">
          <reference field="1" count="0" selected="0"/>
          <reference field="3" count="1" selected="0">
            <x v="5"/>
          </reference>
          <reference field="5" count="1" selected="0">
            <x v="100"/>
          </reference>
          <reference field="6" count="1">
            <x v="3"/>
          </reference>
        </references>
      </pivotArea>
    </format>
    <format dxfId="7310">
      <pivotArea dataOnly="0" labelOnly="1" outline="0" fieldPosition="0">
        <references count="4">
          <reference field="1" count="0" selected="0"/>
          <reference field="3" count="1" selected="0">
            <x v="5"/>
          </reference>
          <reference field="5" count="1" selected="0">
            <x v="116"/>
          </reference>
          <reference field="6" count="1">
            <x v="3"/>
          </reference>
        </references>
      </pivotArea>
    </format>
    <format dxfId="7309">
      <pivotArea dataOnly="0" labelOnly="1" outline="0" fieldPosition="0">
        <references count="4">
          <reference field="1" count="0" selected="0"/>
          <reference field="3" count="1" selected="0">
            <x v="5"/>
          </reference>
          <reference field="5" count="1" selected="0">
            <x v="331"/>
          </reference>
          <reference field="6" count="1">
            <x v="3"/>
          </reference>
        </references>
      </pivotArea>
    </format>
    <format dxfId="7308">
      <pivotArea dataOnly="0" labelOnly="1" outline="0" fieldPosition="0">
        <references count="4">
          <reference field="1" count="0" selected="0"/>
          <reference field="3" count="1" selected="0">
            <x v="5"/>
          </reference>
          <reference field="5" count="1" selected="0">
            <x v="340"/>
          </reference>
          <reference field="6" count="1">
            <x v="3"/>
          </reference>
        </references>
      </pivotArea>
    </format>
    <format dxfId="7307">
      <pivotArea dataOnly="0" labelOnly="1" outline="0" fieldPosition="0">
        <references count="4">
          <reference field="1" count="0" selected="0"/>
          <reference field="3" count="1" selected="0">
            <x v="5"/>
          </reference>
          <reference field="5" count="1" selected="0">
            <x v="347"/>
          </reference>
          <reference field="6" count="1">
            <x v="3"/>
          </reference>
        </references>
      </pivotArea>
    </format>
    <format dxfId="7306">
      <pivotArea dataOnly="0" labelOnly="1" outline="0" fieldPosition="0">
        <references count="4">
          <reference field="1" count="0" selected="0"/>
          <reference field="3" count="1" selected="0">
            <x v="7"/>
          </reference>
          <reference field="5" count="1" selected="0">
            <x v="113"/>
          </reference>
          <reference field="6" count="1">
            <x v="4"/>
          </reference>
        </references>
      </pivotArea>
    </format>
    <format dxfId="7305">
      <pivotArea dataOnly="0" labelOnly="1" outline="0" fieldPosition="0">
        <references count="4">
          <reference field="1" count="0" selected="0"/>
          <reference field="3" count="1" selected="0">
            <x v="7"/>
          </reference>
          <reference field="5" count="1" selected="0">
            <x v="124"/>
          </reference>
          <reference field="6" count="1">
            <x v="4"/>
          </reference>
        </references>
      </pivotArea>
    </format>
    <format dxfId="7304">
      <pivotArea dataOnly="0" labelOnly="1" outline="0" fieldPosition="0">
        <references count="4">
          <reference field="1" count="0" selected="0"/>
          <reference field="3" count="1" selected="0">
            <x v="7"/>
          </reference>
          <reference field="5" count="1" selected="0">
            <x v="125"/>
          </reference>
          <reference field="6" count="1">
            <x v="4"/>
          </reference>
        </references>
      </pivotArea>
    </format>
    <format dxfId="7303">
      <pivotArea dataOnly="0" labelOnly="1" outline="0" fieldPosition="0">
        <references count="4">
          <reference field="1" count="0" selected="0"/>
          <reference field="3" count="1" selected="0">
            <x v="7"/>
          </reference>
          <reference field="5" count="1" selected="0">
            <x v="145"/>
          </reference>
          <reference field="6" count="1">
            <x v="4"/>
          </reference>
        </references>
      </pivotArea>
    </format>
    <format dxfId="7302">
      <pivotArea dataOnly="0" labelOnly="1" outline="0" fieldPosition="0">
        <references count="4">
          <reference field="1" count="0" selected="0"/>
          <reference field="3" count="1" selected="0">
            <x v="7"/>
          </reference>
          <reference field="5" count="1" selected="0">
            <x v="164"/>
          </reference>
          <reference field="6" count="1">
            <x v="4"/>
          </reference>
        </references>
      </pivotArea>
    </format>
    <format dxfId="7301">
      <pivotArea dataOnly="0" labelOnly="1" outline="0" fieldPosition="0">
        <references count="4">
          <reference field="1" count="0" selected="0"/>
          <reference field="3" count="1" selected="0">
            <x v="7"/>
          </reference>
          <reference field="5" count="1" selected="0">
            <x v="173"/>
          </reference>
          <reference field="6" count="1">
            <x v="4"/>
          </reference>
        </references>
      </pivotArea>
    </format>
    <format dxfId="7300">
      <pivotArea dataOnly="0" labelOnly="1" outline="0" fieldPosition="0">
        <references count="4">
          <reference field="1" count="0" selected="0"/>
          <reference field="3" count="1" selected="0">
            <x v="7"/>
          </reference>
          <reference field="5" count="1" selected="0">
            <x v="180"/>
          </reference>
          <reference field="6" count="1">
            <x v="4"/>
          </reference>
        </references>
      </pivotArea>
    </format>
    <format dxfId="7299">
      <pivotArea dataOnly="0" labelOnly="1" outline="0" fieldPosition="0">
        <references count="4">
          <reference field="1" count="0" selected="0"/>
          <reference field="3" count="1" selected="0">
            <x v="7"/>
          </reference>
          <reference field="5" count="1" selected="0">
            <x v="181"/>
          </reference>
          <reference field="6" count="1">
            <x v="4"/>
          </reference>
        </references>
      </pivotArea>
    </format>
    <format dxfId="7298">
      <pivotArea dataOnly="0" labelOnly="1" outline="0" fieldPosition="0">
        <references count="4">
          <reference field="1" count="0" selected="0"/>
          <reference field="3" count="1" selected="0">
            <x v="7"/>
          </reference>
          <reference field="5" count="1" selected="0">
            <x v="188"/>
          </reference>
          <reference field="6" count="1">
            <x v="4"/>
          </reference>
        </references>
      </pivotArea>
    </format>
    <format dxfId="7297">
      <pivotArea dataOnly="0" labelOnly="1" outline="0" fieldPosition="0">
        <references count="4">
          <reference field="1" count="0" selected="0"/>
          <reference field="3" count="1" selected="0">
            <x v="7"/>
          </reference>
          <reference field="5" count="1" selected="0">
            <x v="189"/>
          </reference>
          <reference field="6" count="1">
            <x v="4"/>
          </reference>
        </references>
      </pivotArea>
    </format>
    <format dxfId="7296">
      <pivotArea dataOnly="0" labelOnly="1" outline="0" fieldPosition="0">
        <references count="4">
          <reference field="1" count="0" selected="0"/>
          <reference field="3" count="1" selected="0">
            <x v="7"/>
          </reference>
          <reference field="5" count="1" selected="0">
            <x v="343"/>
          </reference>
          <reference field="6" count="1">
            <x v="4"/>
          </reference>
        </references>
      </pivotArea>
    </format>
    <format dxfId="7295">
      <pivotArea dataOnly="0" labelOnly="1" outline="0" fieldPosition="0">
        <references count="4">
          <reference field="1" count="0" selected="0"/>
          <reference field="3" count="1" selected="0">
            <x v="9"/>
          </reference>
          <reference field="5" count="1" selected="0">
            <x v="135"/>
          </reference>
          <reference field="6" count="1">
            <x v="5"/>
          </reference>
        </references>
      </pivotArea>
    </format>
    <format dxfId="7294">
      <pivotArea dataOnly="0" labelOnly="1" outline="0" fieldPosition="0">
        <references count="4">
          <reference field="1" count="0" selected="0"/>
          <reference field="3" count="1" selected="0">
            <x v="10"/>
          </reference>
          <reference field="5" count="1" selected="0">
            <x v="210"/>
          </reference>
          <reference field="6" count="1">
            <x v="7"/>
          </reference>
        </references>
      </pivotArea>
    </format>
    <format dxfId="7293">
      <pivotArea outline="0" fieldPosition="0">
        <references count="2">
          <reference field="1" count="0" selected="0"/>
          <reference field="3" count="6" selected="0">
            <x v="3"/>
            <x v="4"/>
            <x v="5"/>
            <x v="7"/>
            <x v="9"/>
            <x v="10"/>
          </reference>
        </references>
      </pivotArea>
    </format>
    <format dxfId="7292">
      <pivotArea dataOnly="0" labelOnly="1" outline="0" fieldPosition="0">
        <references count="3">
          <reference field="1" count="0" selected="0"/>
          <reference field="3" count="1" selected="0">
            <x v="4"/>
          </reference>
          <reference field="5" count="3">
            <x v="197"/>
            <x v="198"/>
            <x v="206"/>
          </reference>
        </references>
      </pivotArea>
    </format>
    <format dxfId="7291">
      <pivotArea dataOnly="0" labelOnly="1" outline="0" fieldPosition="0">
        <references count="3">
          <reference field="1" count="0" selected="0"/>
          <reference field="3" count="1" selected="0">
            <x v="5"/>
          </reference>
          <reference field="5" count="6">
            <x v="96"/>
            <x v="104"/>
            <x v="112"/>
            <x v="217"/>
            <x v="325"/>
            <x v="329"/>
          </reference>
        </references>
      </pivotArea>
    </format>
    <format dxfId="7290">
      <pivotArea dataOnly="0" labelOnly="1" outline="0" fieldPosition="0">
        <references count="3">
          <reference field="1" count="0" selected="0"/>
          <reference field="3" count="1" selected="0">
            <x v="7"/>
          </reference>
          <reference field="5" count="10">
            <x v="119"/>
            <x v="120"/>
            <x v="159"/>
            <x v="174"/>
            <x v="175"/>
            <x v="183"/>
            <x v="184"/>
            <x v="349"/>
            <x v="351"/>
            <x v="352"/>
          </reference>
        </references>
      </pivotArea>
    </format>
    <format dxfId="7289">
      <pivotArea dataOnly="0" labelOnly="1" outline="0" fieldPosition="0">
        <references count="3">
          <reference field="1" count="0" selected="0"/>
          <reference field="3" count="1" selected="0">
            <x v="9"/>
          </reference>
          <reference field="5" count="2">
            <x v="132"/>
            <x v="353"/>
          </reference>
        </references>
      </pivotArea>
    </format>
    <format dxfId="7288">
      <pivotArea dataOnly="0" labelOnly="1" outline="0" fieldPosition="0">
        <references count="3">
          <reference field="1" count="0" selected="0"/>
          <reference field="3" count="1" selected="0">
            <x v="10"/>
          </reference>
          <reference field="5" count="2">
            <x v="162"/>
            <x v="209"/>
          </reference>
        </references>
      </pivotArea>
    </format>
    <format dxfId="7287">
      <pivotArea dataOnly="0" labelOnly="1" outline="0" fieldPosition="0">
        <references count="4">
          <reference field="1" count="0" selected="0"/>
          <reference field="3" count="1" selected="0">
            <x v="5"/>
          </reference>
          <reference field="5" count="1" selected="0">
            <x v="217"/>
          </reference>
          <reference field="6" count="1">
            <x v="3"/>
          </reference>
        </references>
      </pivotArea>
    </format>
    <format dxfId="7286">
      <pivotArea dataOnly="0" labelOnly="1" outline="0" fieldPosition="0">
        <references count="4">
          <reference field="1" count="0" selected="0"/>
          <reference field="3" count="1" selected="0">
            <x v="5"/>
          </reference>
          <reference field="5" count="1" selected="0">
            <x v="325"/>
          </reference>
          <reference field="6" count="1">
            <x v="3"/>
          </reference>
        </references>
      </pivotArea>
    </format>
    <format dxfId="7285">
      <pivotArea dataOnly="0" labelOnly="1" outline="0" fieldPosition="0">
        <references count="4">
          <reference field="1" count="0" selected="0"/>
          <reference field="3" count="1" selected="0">
            <x v="7"/>
          </reference>
          <reference field="5" count="1" selected="0">
            <x v="174"/>
          </reference>
          <reference field="6" count="1">
            <x v="4"/>
          </reference>
        </references>
      </pivotArea>
    </format>
    <format dxfId="7284">
      <pivotArea dataOnly="0" labelOnly="1" outline="0" fieldPosition="0">
        <references count="4">
          <reference field="1" count="0" selected="0"/>
          <reference field="3" count="1" selected="0">
            <x v="7"/>
          </reference>
          <reference field="5" count="1" selected="0">
            <x v="349"/>
          </reference>
          <reference field="6" count="1">
            <x v="4"/>
          </reference>
        </references>
      </pivotArea>
    </format>
    <format dxfId="7283">
      <pivotArea dataOnly="0" labelOnly="1" outline="0" fieldPosition="0">
        <references count="4">
          <reference field="1" count="0" selected="0"/>
          <reference field="3" count="1" selected="0">
            <x v="10"/>
          </reference>
          <reference field="5" count="1" selected="0">
            <x v="209"/>
          </reference>
          <reference field="6" count="1">
            <x v="7"/>
          </reference>
        </references>
      </pivotArea>
    </format>
    <format dxfId="7282">
      <pivotArea dataOnly="0" labelOnly="1" outline="0" fieldPosition="0">
        <references count="2">
          <reference field="1" count="0" selected="0"/>
          <reference field="3" count="6">
            <x v="3"/>
            <x v="4"/>
            <x v="5"/>
            <x v="7"/>
            <x v="9"/>
            <x v="10"/>
          </reference>
        </references>
      </pivotArea>
    </format>
    <format dxfId="7281">
      <pivotArea dataOnly="0" labelOnly="1" outline="0" fieldPosition="0">
        <references count="3">
          <reference field="1" count="0" selected="0"/>
          <reference field="3" count="1" selected="0">
            <x v="3"/>
          </reference>
          <reference field="5" count="1">
            <x v="341"/>
          </reference>
        </references>
      </pivotArea>
    </format>
    <format dxfId="7280">
      <pivotArea dataOnly="0" labelOnly="1" outline="0" fieldPosition="0">
        <references count="3">
          <reference field="1" count="0" selected="0"/>
          <reference field="3" count="1" selected="0">
            <x v="4"/>
          </reference>
          <reference field="5" count="3">
            <x v="196"/>
            <x v="197"/>
            <x v="337"/>
          </reference>
        </references>
      </pivotArea>
    </format>
    <format dxfId="7279">
      <pivotArea dataOnly="0" labelOnly="1" outline="0" fieldPosition="0">
        <references count="3">
          <reference field="1" count="0" selected="0"/>
          <reference field="3" count="1" selected="0">
            <x v="5"/>
          </reference>
          <reference field="5" count="7">
            <x v="98"/>
            <x v="111"/>
            <x v="112"/>
            <x v="213"/>
            <x v="214"/>
            <x v="329"/>
            <x v="346"/>
          </reference>
        </references>
      </pivotArea>
    </format>
    <format dxfId="7278">
      <pivotArea dataOnly="0" labelOnly="1" outline="0" fieldPosition="0">
        <references count="3">
          <reference field="1" count="0" selected="0"/>
          <reference field="3" count="1" selected="0">
            <x v="7"/>
          </reference>
          <reference field="5" count="15">
            <x v="118"/>
            <x v="123"/>
            <x v="126"/>
            <x v="137"/>
            <x v="146"/>
            <x v="159"/>
            <x v="165"/>
            <x v="172"/>
            <x v="175"/>
            <x v="182"/>
            <x v="187"/>
            <x v="190"/>
            <x v="335"/>
            <x v="342"/>
            <x v="350"/>
          </reference>
        </references>
      </pivotArea>
    </format>
    <format dxfId="7277">
      <pivotArea dataOnly="0" labelOnly="1" outline="0" fieldPosition="0">
        <references count="3">
          <reference field="1" count="0" selected="0"/>
          <reference field="3" count="1" selected="0">
            <x v="9"/>
          </reference>
          <reference field="5" count="2">
            <x v="133"/>
            <x v="136"/>
          </reference>
        </references>
      </pivotArea>
    </format>
    <format dxfId="7276">
      <pivotArea dataOnly="0" labelOnly="1" outline="0" fieldPosition="0">
        <references count="3">
          <reference field="1" count="0" selected="0"/>
          <reference field="3" count="1" selected="0">
            <x v="10"/>
          </reference>
          <reference field="5" count="2">
            <x v="162"/>
            <x v="211"/>
          </reference>
        </references>
      </pivotArea>
    </format>
    <format dxfId="7275">
      <pivotArea dataOnly="0" labelOnly="1" outline="0" fieldPosition="0">
        <references count="4">
          <reference field="1" count="0" selected="0"/>
          <reference field="3" count="1" selected="0">
            <x v="3"/>
          </reference>
          <reference field="5" count="1" selected="0">
            <x v="341"/>
          </reference>
          <reference field="6" count="1">
            <x v="3"/>
          </reference>
        </references>
      </pivotArea>
    </format>
    <format dxfId="7274">
      <pivotArea dataOnly="0" labelOnly="1" outline="0" fieldPosition="0">
        <references count="4">
          <reference field="1" count="0" selected="0"/>
          <reference field="3" count="1" selected="0">
            <x v="4"/>
          </reference>
          <reference field="5" count="1" selected="0">
            <x v="196"/>
          </reference>
          <reference field="6" count="1">
            <x v="3"/>
          </reference>
        </references>
      </pivotArea>
    </format>
    <format dxfId="7273">
      <pivotArea dataOnly="0" labelOnly="1" outline="0" fieldPosition="0">
        <references count="4">
          <reference field="1" count="0" selected="0"/>
          <reference field="3" count="1" selected="0">
            <x v="4"/>
          </reference>
          <reference field="5" count="1" selected="0">
            <x v="197"/>
          </reference>
          <reference field="6" count="1">
            <x v="3"/>
          </reference>
        </references>
      </pivotArea>
    </format>
    <format dxfId="7272">
      <pivotArea dataOnly="0" labelOnly="1" outline="0" fieldPosition="0">
        <references count="4">
          <reference field="1" count="0" selected="0"/>
          <reference field="3" count="1" selected="0">
            <x v="4"/>
          </reference>
          <reference field="5" count="1" selected="0">
            <x v="337"/>
          </reference>
          <reference field="6" count="1">
            <x v="3"/>
          </reference>
        </references>
      </pivotArea>
    </format>
    <format dxfId="7271">
      <pivotArea dataOnly="0" labelOnly="1" outline="0" fieldPosition="0">
        <references count="4">
          <reference field="1" count="0" selected="0"/>
          <reference field="3" count="1" selected="0">
            <x v="5"/>
          </reference>
          <reference field="5" count="1" selected="0">
            <x v="98"/>
          </reference>
          <reference field="6" count="1">
            <x v="3"/>
          </reference>
        </references>
      </pivotArea>
    </format>
    <format dxfId="7270">
      <pivotArea dataOnly="0" labelOnly="1" outline="0" fieldPosition="0">
        <references count="4">
          <reference field="1" count="0" selected="0"/>
          <reference field="3" count="1" selected="0">
            <x v="5"/>
          </reference>
          <reference field="5" count="1" selected="0">
            <x v="111"/>
          </reference>
          <reference field="6" count="1">
            <x v="3"/>
          </reference>
        </references>
      </pivotArea>
    </format>
    <format dxfId="7269">
      <pivotArea dataOnly="0" labelOnly="1" outline="0" fieldPosition="0">
        <references count="4">
          <reference field="1" count="0" selected="0"/>
          <reference field="3" count="1" selected="0">
            <x v="5"/>
          </reference>
          <reference field="5" count="1" selected="0">
            <x v="112"/>
          </reference>
          <reference field="6" count="1">
            <x v="3"/>
          </reference>
        </references>
      </pivotArea>
    </format>
    <format dxfId="7268">
      <pivotArea dataOnly="0" labelOnly="1" outline="0" fieldPosition="0">
        <references count="4">
          <reference field="1" count="0" selected="0"/>
          <reference field="3" count="1" selected="0">
            <x v="5"/>
          </reference>
          <reference field="5" count="1" selected="0">
            <x v="213"/>
          </reference>
          <reference field="6" count="1">
            <x v="3"/>
          </reference>
        </references>
      </pivotArea>
    </format>
    <format dxfId="7267">
      <pivotArea dataOnly="0" labelOnly="1" outline="0" fieldPosition="0">
        <references count="4">
          <reference field="1" count="0" selected="0"/>
          <reference field="3" count="1" selected="0">
            <x v="5"/>
          </reference>
          <reference field="5" count="1" selected="0">
            <x v="214"/>
          </reference>
          <reference field="6" count="1">
            <x v="3"/>
          </reference>
        </references>
      </pivotArea>
    </format>
    <format dxfId="7266">
      <pivotArea dataOnly="0" labelOnly="1" outline="0" fieldPosition="0">
        <references count="4">
          <reference field="1" count="0" selected="0"/>
          <reference field="3" count="1" selected="0">
            <x v="5"/>
          </reference>
          <reference field="5" count="1" selected="0">
            <x v="329"/>
          </reference>
          <reference field="6" count="1">
            <x v="3"/>
          </reference>
        </references>
      </pivotArea>
    </format>
    <format dxfId="7265">
      <pivotArea dataOnly="0" labelOnly="1" outline="0" fieldPosition="0">
        <references count="4">
          <reference field="1" count="0" selected="0"/>
          <reference field="3" count="1" selected="0">
            <x v="5"/>
          </reference>
          <reference field="5" count="1" selected="0">
            <x v="346"/>
          </reference>
          <reference field="6" count="1">
            <x v="3"/>
          </reference>
        </references>
      </pivotArea>
    </format>
    <format dxfId="7264">
      <pivotArea dataOnly="0" labelOnly="1" outline="0" fieldPosition="0">
        <references count="4">
          <reference field="1" count="0" selected="0"/>
          <reference field="3" count="1" selected="0">
            <x v="7"/>
          </reference>
          <reference field="5" count="1" selected="0">
            <x v="118"/>
          </reference>
          <reference field="6" count="1">
            <x v="4"/>
          </reference>
        </references>
      </pivotArea>
    </format>
    <format dxfId="7263">
      <pivotArea dataOnly="0" labelOnly="1" outline="0" fieldPosition="0">
        <references count="4">
          <reference field="1" count="0" selected="0"/>
          <reference field="3" count="1" selected="0">
            <x v="7"/>
          </reference>
          <reference field="5" count="1" selected="0">
            <x v="123"/>
          </reference>
          <reference field="6" count="1">
            <x v="4"/>
          </reference>
        </references>
      </pivotArea>
    </format>
    <format dxfId="7262">
      <pivotArea dataOnly="0" labelOnly="1" outline="0" fieldPosition="0">
        <references count="4">
          <reference field="1" count="0" selected="0"/>
          <reference field="3" count="1" selected="0">
            <x v="7"/>
          </reference>
          <reference field="5" count="1" selected="0">
            <x v="126"/>
          </reference>
          <reference field="6" count="1">
            <x v="4"/>
          </reference>
        </references>
      </pivotArea>
    </format>
    <format dxfId="7261">
      <pivotArea dataOnly="0" labelOnly="1" outline="0" fieldPosition="0">
        <references count="4">
          <reference field="1" count="0" selected="0"/>
          <reference field="3" count="1" selected="0">
            <x v="7"/>
          </reference>
          <reference field="5" count="1" selected="0">
            <x v="137"/>
          </reference>
          <reference field="6" count="1">
            <x v="4"/>
          </reference>
        </references>
      </pivotArea>
    </format>
    <format dxfId="7260">
      <pivotArea dataOnly="0" labelOnly="1" outline="0" fieldPosition="0">
        <references count="4">
          <reference field="1" count="0" selected="0"/>
          <reference field="3" count="1" selected="0">
            <x v="7"/>
          </reference>
          <reference field="5" count="1" selected="0">
            <x v="146"/>
          </reference>
          <reference field="6" count="1">
            <x v="4"/>
          </reference>
        </references>
      </pivotArea>
    </format>
    <format dxfId="7259">
      <pivotArea dataOnly="0" labelOnly="1" outline="0" fieldPosition="0">
        <references count="4">
          <reference field="1" count="0" selected="0"/>
          <reference field="3" count="1" selected="0">
            <x v="7"/>
          </reference>
          <reference field="5" count="1" selected="0">
            <x v="159"/>
          </reference>
          <reference field="6" count="1">
            <x v="4"/>
          </reference>
        </references>
      </pivotArea>
    </format>
    <format dxfId="7258">
      <pivotArea dataOnly="0" labelOnly="1" outline="0" fieldPosition="0">
        <references count="4">
          <reference field="1" count="0" selected="0"/>
          <reference field="3" count="1" selected="0">
            <x v="7"/>
          </reference>
          <reference field="5" count="1" selected="0">
            <x v="165"/>
          </reference>
          <reference field="6" count="1">
            <x v="4"/>
          </reference>
        </references>
      </pivotArea>
    </format>
    <format dxfId="7257">
      <pivotArea dataOnly="0" labelOnly="1" outline="0" fieldPosition="0">
        <references count="4">
          <reference field="1" count="0" selected="0"/>
          <reference field="3" count="1" selected="0">
            <x v="7"/>
          </reference>
          <reference field="5" count="1" selected="0">
            <x v="172"/>
          </reference>
          <reference field="6" count="1">
            <x v="4"/>
          </reference>
        </references>
      </pivotArea>
    </format>
    <format dxfId="7256">
      <pivotArea dataOnly="0" labelOnly="1" outline="0" fieldPosition="0">
        <references count="4">
          <reference field="1" count="0" selected="0"/>
          <reference field="3" count="1" selected="0">
            <x v="7"/>
          </reference>
          <reference field="5" count="1" selected="0">
            <x v="175"/>
          </reference>
          <reference field="6" count="1">
            <x v="4"/>
          </reference>
        </references>
      </pivotArea>
    </format>
    <format dxfId="7255">
      <pivotArea dataOnly="0" labelOnly="1" outline="0" fieldPosition="0">
        <references count="4">
          <reference field="1" count="0" selected="0"/>
          <reference field="3" count="1" selected="0">
            <x v="7"/>
          </reference>
          <reference field="5" count="1" selected="0">
            <x v="182"/>
          </reference>
          <reference field="6" count="1">
            <x v="4"/>
          </reference>
        </references>
      </pivotArea>
    </format>
    <format dxfId="7254">
      <pivotArea dataOnly="0" labelOnly="1" outline="0" fieldPosition="0">
        <references count="4">
          <reference field="1" count="0" selected="0"/>
          <reference field="3" count="1" selected="0">
            <x v="7"/>
          </reference>
          <reference field="5" count="1" selected="0">
            <x v="187"/>
          </reference>
          <reference field="6" count="1">
            <x v="4"/>
          </reference>
        </references>
      </pivotArea>
    </format>
    <format dxfId="7253">
      <pivotArea dataOnly="0" labelOnly="1" outline="0" fieldPosition="0">
        <references count="4">
          <reference field="1" count="0" selected="0"/>
          <reference field="3" count="1" selected="0">
            <x v="7"/>
          </reference>
          <reference field="5" count="1" selected="0">
            <x v="190"/>
          </reference>
          <reference field="6" count="1">
            <x v="4"/>
          </reference>
        </references>
      </pivotArea>
    </format>
    <format dxfId="7252">
      <pivotArea dataOnly="0" labelOnly="1" outline="0" fieldPosition="0">
        <references count="4">
          <reference field="1" count="0" selected="0"/>
          <reference field="3" count="1" selected="0">
            <x v="7"/>
          </reference>
          <reference field="5" count="1" selected="0">
            <x v="335"/>
          </reference>
          <reference field="6" count="1">
            <x v="4"/>
          </reference>
        </references>
      </pivotArea>
    </format>
    <format dxfId="7251">
      <pivotArea dataOnly="0" labelOnly="1" outline="0" fieldPosition="0">
        <references count="4">
          <reference field="1" count="0" selected="0"/>
          <reference field="3" count="1" selected="0">
            <x v="7"/>
          </reference>
          <reference field="5" count="1" selected="0">
            <x v="342"/>
          </reference>
          <reference field="6" count="1">
            <x v="4"/>
          </reference>
        </references>
      </pivotArea>
    </format>
    <format dxfId="7250">
      <pivotArea dataOnly="0" labelOnly="1" outline="0" fieldPosition="0">
        <references count="4">
          <reference field="1" count="0" selected="0"/>
          <reference field="3" count="1" selected="0">
            <x v="7"/>
          </reference>
          <reference field="5" count="1" selected="0">
            <x v="350"/>
          </reference>
          <reference field="6" count="1">
            <x v="4"/>
          </reference>
        </references>
      </pivotArea>
    </format>
    <format dxfId="7249">
      <pivotArea dataOnly="0" labelOnly="1" outline="0" fieldPosition="0">
        <references count="4">
          <reference field="1" count="0" selected="0"/>
          <reference field="3" count="1" selected="0">
            <x v="9"/>
          </reference>
          <reference field="5" count="1" selected="0">
            <x v="133"/>
          </reference>
          <reference field="6" count="1">
            <x v="5"/>
          </reference>
        </references>
      </pivotArea>
    </format>
    <format dxfId="7248">
      <pivotArea dataOnly="0" labelOnly="1" outline="0" fieldPosition="0">
        <references count="4">
          <reference field="1" count="0" selected="0"/>
          <reference field="3" count="1" selected="0">
            <x v="9"/>
          </reference>
          <reference field="5" count="1" selected="0">
            <x v="136"/>
          </reference>
          <reference field="6" count="1">
            <x v="5"/>
          </reference>
        </references>
      </pivotArea>
    </format>
    <format dxfId="7247">
      <pivotArea dataOnly="0" labelOnly="1" outline="0" fieldPosition="0">
        <references count="4">
          <reference field="1" count="0" selected="0"/>
          <reference field="3" count="1" selected="0">
            <x v="10"/>
          </reference>
          <reference field="5" count="1" selected="0">
            <x v="162"/>
          </reference>
          <reference field="6" count="1">
            <x v="7"/>
          </reference>
        </references>
      </pivotArea>
    </format>
    <format dxfId="7246">
      <pivotArea dataOnly="0" labelOnly="1" outline="0" fieldPosition="0">
        <references count="4">
          <reference field="1" count="0" selected="0"/>
          <reference field="3" count="1" selected="0">
            <x v="10"/>
          </reference>
          <reference field="5" count="1" selected="0">
            <x v="211"/>
          </reference>
          <reference field="6" count="1">
            <x v="7"/>
          </reference>
        </references>
      </pivotArea>
    </format>
    <format dxfId="7245">
      <pivotArea dataOnly="0" labelOnly="1" outline="0" fieldPosition="0">
        <references count="3">
          <reference field="1" count="0" selected="0"/>
          <reference field="3" count="1" selected="0">
            <x v="1"/>
          </reference>
          <reference field="5" count="1">
            <x v="344"/>
          </reference>
        </references>
      </pivotArea>
    </format>
    <format dxfId="7244">
      <pivotArea dataOnly="0" labelOnly="1" outline="0" fieldPosition="0">
        <references count="3">
          <reference field="1" count="0" selected="0"/>
          <reference field="3" count="1" selected="0">
            <x v="4"/>
          </reference>
          <reference field="5" count="4">
            <x v="193"/>
            <x v="198"/>
            <x v="201"/>
            <x v="205"/>
          </reference>
        </references>
      </pivotArea>
    </format>
    <format dxfId="7243">
      <pivotArea dataOnly="0" labelOnly="1" outline="0" fieldPosition="0">
        <references count="3">
          <reference field="1" count="0" selected="0"/>
          <reference field="3" count="1" selected="0">
            <x v="5"/>
          </reference>
          <reference field="5" count="8">
            <x v="97"/>
            <x v="101"/>
            <x v="104"/>
            <x v="141"/>
            <x v="154"/>
            <x v="212"/>
            <x v="221"/>
            <x v="328"/>
          </reference>
        </references>
      </pivotArea>
    </format>
    <format dxfId="7242">
      <pivotArea dataOnly="0" labelOnly="1" outline="0" fieldPosition="0">
        <references count="3">
          <reference field="1" count="0" selected="0"/>
          <reference field="3" count="1" selected="0">
            <x v="7"/>
          </reference>
          <reference field="5" count="14">
            <x v="106"/>
            <x v="119"/>
            <x v="122"/>
            <x v="127"/>
            <x v="155"/>
            <x v="158"/>
            <x v="167"/>
            <x v="171"/>
            <x v="176"/>
            <x v="183"/>
            <x v="186"/>
            <x v="207"/>
            <x v="324"/>
            <x v="352"/>
          </reference>
        </references>
      </pivotArea>
    </format>
    <format dxfId="7241">
      <pivotArea dataOnly="0" labelOnly="1" outline="0" fieldPosition="0">
        <references count="3">
          <reference field="1" count="0" selected="0"/>
          <reference field="3" count="1" selected="0">
            <x v="9"/>
          </reference>
          <reference field="5" count="3">
            <x v="132"/>
            <x v="138"/>
            <x v="161"/>
          </reference>
        </references>
      </pivotArea>
    </format>
    <format dxfId="7240">
      <pivotArea dataOnly="0" labelOnly="1" outline="0" fieldPosition="0">
        <references count="3">
          <reference field="1" count="0" selected="0"/>
          <reference field="3" count="1" selected="0">
            <x v="10"/>
          </reference>
          <reference field="5" count="1">
            <x v="140"/>
          </reference>
        </references>
      </pivotArea>
    </format>
    <format dxfId="7239">
      <pivotArea dataOnly="0" labelOnly="1" outline="0" fieldPosition="0">
        <references count="4">
          <reference field="1" count="0" selected="0"/>
          <reference field="3" count="1" selected="0">
            <x v="1"/>
          </reference>
          <reference field="5" count="1" selected="0">
            <x v="344"/>
          </reference>
          <reference field="6" count="1">
            <x v="9"/>
          </reference>
        </references>
      </pivotArea>
    </format>
    <format dxfId="7238">
      <pivotArea dataOnly="0" labelOnly="1" outline="0" fieldPosition="0">
        <references count="4">
          <reference field="1" count="0" selected="0"/>
          <reference field="3" count="1" selected="0">
            <x v="4"/>
          </reference>
          <reference field="5" count="1" selected="0">
            <x v="193"/>
          </reference>
          <reference field="6" count="1">
            <x v="3"/>
          </reference>
        </references>
      </pivotArea>
    </format>
    <format dxfId="7237">
      <pivotArea dataOnly="0" labelOnly="1" outline="0" fieldPosition="0">
        <references count="4">
          <reference field="1" count="0" selected="0"/>
          <reference field="3" count="1" selected="0">
            <x v="4"/>
          </reference>
          <reference field="5" count="1" selected="0">
            <x v="198"/>
          </reference>
          <reference field="6" count="1">
            <x v="3"/>
          </reference>
        </references>
      </pivotArea>
    </format>
    <format dxfId="7236">
      <pivotArea dataOnly="0" labelOnly="1" outline="0" fieldPosition="0">
        <references count="4">
          <reference field="1" count="0" selected="0"/>
          <reference field="3" count="1" selected="0">
            <x v="4"/>
          </reference>
          <reference field="5" count="1" selected="0">
            <x v="201"/>
          </reference>
          <reference field="6" count="1">
            <x v="3"/>
          </reference>
        </references>
      </pivotArea>
    </format>
    <format dxfId="7235">
      <pivotArea dataOnly="0" labelOnly="1" outline="0" fieldPosition="0">
        <references count="4">
          <reference field="1" count="0" selected="0"/>
          <reference field="3" count="1" selected="0">
            <x v="4"/>
          </reference>
          <reference field="5" count="1" selected="0">
            <x v="205"/>
          </reference>
          <reference field="6" count="1">
            <x v="3"/>
          </reference>
        </references>
      </pivotArea>
    </format>
    <format dxfId="7234">
      <pivotArea dataOnly="0" labelOnly="1" outline="0" fieldPosition="0">
        <references count="4">
          <reference field="1" count="0" selected="0"/>
          <reference field="3" count="1" selected="0">
            <x v="5"/>
          </reference>
          <reference field="5" count="1" selected="0">
            <x v="97"/>
          </reference>
          <reference field="6" count="1">
            <x v="3"/>
          </reference>
        </references>
      </pivotArea>
    </format>
    <format dxfId="7233">
      <pivotArea dataOnly="0" labelOnly="1" outline="0" fieldPosition="0">
        <references count="4">
          <reference field="1" count="0" selected="0"/>
          <reference field="3" count="1" selected="0">
            <x v="5"/>
          </reference>
          <reference field="5" count="1" selected="0">
            <x v="101"/>
          </reference>
          <reference field="6" count="1">
            <x v="3"/>
          </reference>
        </references>
      </pivotArea>
    </format>
    <format dxfId="7232">
      <pivotArea dataOnly="0" labelOnly="1" outline="0" fieldPosition="0">
        <references count="4">
          <reference field="1" count="0" selected="0"/>
          <reference field="3" count="1" selected="0">
            <x v="5"/>
          </reference>
          <reference field="5" count="1" selected="0">
            <x v="104"/>
          </reference>
          <reference field="6" count="1">
            <x v="3"/>
          </reference>
        </references>
      </pivotArea>
    </format>
    <format dxfId="7231">
      <pivotArea dataOnly="0" labelOnly="1" outline="0" fieldPosition="0">
        <references count="4">
          <reference field="1" count="0" selected="0"/>
          <reference field="3" count="1" selected="0">
            <x v="5"/>
          </reference>
          <reference field="5" count="1" selected="0">
            <x v="141"/>
          </reference>
          <reference field="6" count="1">
            <x v="3"/>
          </reference>
        </references>
      </pivotArea>
    </format>
    <format dxfId="7230">
      <pivotArea dataOnly="0" labelOnly="1" outline="0" fieldPosition="0">
        <references count="4">
          <reference field="1" count="0" selected="0"/>
          <reference field="3" count="1" selected="0">
            <x v="5"/>
          </reference>
          <reference field="5" count="1" selected="0">
            <x v="154"/>
          </reference>
          <reference field="6" count="1">
            <x v="3"/>
          </reference>
        </references>
      </pivotArea>
    </format>
    <format dxfId="7229">
      <pivotArea dataOnly="0" labelOnly="1" outline="0" fieldPosition="0">
        <references count="4">
          <reference field="1" count="0" selected="0"/>
          <reference field="3" count="1" selected="0">
            <x v="5"/>
          </reference>
          <reference field="5" count="1" selected="0">
            <x v="212"/>
          </reference>
          <reference field="6" count="1">
            <x v="3"/>
          </reference>
        </references>
      </pivotArea>
    </format>
    <format dxfId="7228">
      <pivotArea dataOnly="0" labelOnly="1" outline="0" fieldPosition="0">
        <references count="4">
          <reference field="1" count="0" selected="0"/>
          <reference field="3" count="1" selected="0">
            <x v="5"/>
          </reference>
          <reference field="5" count="1" selected="0">
            <x v="221"/>
          </reference>
          <reference field="6" count="1">
            <x v="4"/>
          </reference>
        </references>
      </pivotArea>
    </format>
    <format dxfId="7227">
      <pivotArea dataOnly="0" labelOnly="1" outline="0" fieldPosition="0">
        <references count="4">
          <reference field="1" count="0" selected="0"/>
          <reference field="3" count="1" selected="0">
            <x v="5"/>
          </reference>
          <reference field="5" count="1" selected="0">
            <x v="328"/>
          </reference>
          <reference field="6" count="1">
            <x v="3"/>
          </reference>
        </references>
      </pivotArea>
    </format>
    <format dxfId="7226">
      <pivotArea dataOnly="0" labelOnly="1" outline="0" fieldPosition="0">
        <references count="4">
          <reference field="1" count="0" selected="0"/>
          <reference field="3" count="1" selected="0">
            <x v="7"/>
          </reference>
          <reference field="5" count="1" selected="0">
            <x v="106"/>
          </reference>
          <reference field="6" count="1">
            <x v="4"/>
          </reference>
        </references>
      </pivotArea>
    </format>
    <format dxfId="7225">
      <pivotArea dataOnly="0" labelOnly="1" outline="0" fieldPosition="0">
        <references count="4">
          <reference field="1" count="0" selected="0"/>
          <reference field="3" count="1" selected="0">
            <x v="7"/>
          </reference>
          <reference field="5" count="1" selected="0">
            <x v="119"/>
          </reference>
          <reference field="6" count="1">
            <x v="4"/>
          </reference>
        </references>
      </pivotArea>
    </format>
    <format dxfId="7224">
      <pivotArea dataOnly="0" labelOnly="1" outline="0" fieldPosition="0">
        <references count="4">
          <reference field="1" count="0" selected="0"/>
          <reference field="3" count="1" selected="0">
            <x v="7"/>
          </reference>
          <reference field="5" count="1" selected="0">
            <x v="122"/>
          </reference>
          <reference field="6" count="1">
            <x v="4"/>
          </reference>
        </references>
      </pivotArea>
    </format>
    <format dxfId="7223">
      <pivotArea dataOnly="0" labelOnly="1" outline="0" fieldPosition="0">
        <references count="4">
          <reference field="1" count="0" selected="0"/>
          <reference field="3" count="1" selected="0">
            <x v="7"/>
          </reference>
          <reference field="5" count="1" selected="0">
            <x v="127"/>
          </reference>
          <reference field="6" count="1">
            <x v="4"/>
          </reference>
        </references>
      </pivotArea>
    </format>
    <format dxfId="7222">
      <pivotArea dataOnly="0" labelOnly="1" outline="0" fieldPosition="0">
        <references count="4">
          <reference field="1" count="0" selected="0"/>
          <reference field="3" count="1" selected="0">
            <x v="7"/>
          </reference>
          <reference field="5" count="1" selected="0">
            <x v="155"/>
          </reference>
          <reference field="6" count="1">
            <x v="4"/>
          </reference>
        </references>
      </pivotArea>
    </format>
    <format dxfId="7221">
      <pivotArea dataOnly="0" labelOnly="1" outline="0" fieldPosition="0">
        <references count="4">
          <reference field="1" count="0" selected="0"/>
          <reference field="3" count="1" selected="0">
            <x v="7"/>
          </reference>
          <reference field="5" count="1" selected="0">
            <x v="158"/>
          </reference>
          <reference field="6" count="1">
            <x v="4"/>
          </reference>
        </references>
      </pivotArea>
    </format>
    <format dxfId="7220">
      <pivotArea dataOnly="0" labelOnly="1" outline="0" fieldPosition="0">
        <references count="4">
          <reference field="1" count="0" selected="0"/>
          <reference field="3" count="1" selected="0">
            <x v="7"/>
          </reference>
          <reference field="5" count="1" selected="0">
            <x v="167"/>
          </reference>
          <reference field="6" count="1">
            <x v="4"/>
          </reference>
        </references>
      </pivotArea>
    </format>
    <format dxfId="7219">
      <pivotArea dataOnly="0" labelOnly="1" outline="0" fieldPosition="0">
        <references count="4">
          <reference field="1" count="0" selected="0"/>
          <reference field="3" count="1" selected="0">
            <x v="7"/>
          </reference>
          <reference field="5" count="1" selected="0">
            <x v="171"/>
          </reference>
          <reference field="6" count="1">
            <x v="4"/>
          </reference>
        </references>
      </pivotArea>
    </format>
    <format dxfId="7218">
      <pivotArea dataOnly="0" labelOnly="1" outline="0" fieldPosition="0">
        <references count="4">
          <reference field="1" count="0" selected="0"/>
          <reference field="3" count="1" selected="0">
            <x v="7"/>
          </reference>
          <reference field="5" count="1" selected="0">
            <x v="176"/>
          </reference>
          <reference field="6" count="1">
            <x v="4"/>
          </reference>
        </references>
      </pivotArea>
    </format>
    <format dxfId="7217">
      <pivotArea dataOnly="0" labelOnly="1" outline="0" fieldPosition="0">
        <references count="4">
          <reference field="1" count="0" selected="0"/>
          <reference field="3" count="1" selected="0">
            <x v="7"/>
          </reference>
          <reference field="5" count="1" selected="0">
            <x v="183"/>
          </reference>
          <reference field="6" count="1">
            <x v="4"/>
          </reference>
        </references>
      </pivotArea>
    </format>
    <format dxfId="7216">
      <pivotArea dataOnly="0" labelOnly="1" outline="0" fieldPosition="0">
        <references count="4">
          <reference field="1" count="0" selected="0"/>
          <reference field="3" count="1" selected="0">
            <x v="7"/>
          </reference>
          <reference field="5" count="1" selected="0">
            <x v="186"/>
          </reference>
          <reference field="6" count="1">
            <x v="4"/>
          </reference>
        </references>
      </pivotArea>
    </format>
    <format dxfId="7215">
      <pivotArea dataOnly="0" labelOnly="1" outline="0" fieldPosition="0">
        <references count="4">
          <reference field="1" count="0" selected="0"/>
          <reference field="3" count="1" selected="0">
            <x v="7"/>
          </reference>
          <reference field="5" count="1" selected="0">
            <x v="207"/>
          </reference>
          <reference field="6" count="1">
            <x v="4"/>
          </reference>
        </references>
      </pivotArea>
    </format>
    <format dxfId="7214">
      <pivotArea dataOnly="0" labelOnly="1" outline="0" fieldPosition="0">
        <references count="4">
          <reference field="1" count="0" selected="0"/>
          <reference field="3" count="1" selected="0">
            <x v="7"/>
          </reference>
          <reference field="5" count="1" selected="0">
            <x v="324"/>
          </reference>
          <reference field="6" count="1">
            <x v="4"/>
          </reference>
        </references>
      </pivotArea>
    </format>
    <format dxfId="7213">
      <pivotArea dataOnly="0" labelOnly="1" outline="0" fieldPosition="0">
        <references count="4">
          <reference field="1" count="0" selected="0"/>
          <reference field="3" count="1" selected="0">
            <x v="7"/>
          </reference>
          <reference field="5" count="1" selected="0">
            <x v="352"/>
          </reference>
          <reference field="6" count="1">
            <x v="4"/>
          </reference>
        </references>
      </pivotArea>
    </format>
    <format dxfId="7212">
      <pivotArea dataOnly="0" labelOnly="1" outline="0" fieldPosition="0">
        <references count="4">
          <reference field="1" count="0" selected="0"/>
          <reference field="3" count="1" selected="0">
            <x v="9"/>
          </reference>
          <reference field="5" count="1" selected="0">
            <x v="132"/>
          </reference>
          <reference field="6" count="1">
            <x v="5"/>
          </reference>
        </references>
      </pivotArea>
    </format>
    <format dxfId="7211">
      <pivotArea dataOnly="0" labelOnly="1" outline="0" fieldPosition="0">
        <references count="4">
          <reference field="1" count="0" selected="0"/>
          <reference field="3" count="1" selected="0">
            <x v="9"/>
          </reference>
          <reference field="5" count="1" selected="0">
            <x v="138"/>
          </reference>
          <reference field="6" count="1">
            <x v="5"/>
          </reference>
        </references>
      </pivotArea>
    </format>
    <format dxfId="7210">
      <pivotArea dataOnly="0" labelOnly="1" outline="0" fieldPosition="0">
        <references count="4">
          <reference field="1" count="0" selected="0"/>
          <reference field="3" count="1" selected="0">
            <x v="9"/>
          </reference>
          <reference field="5" count="1" selected="0">
            <x v="161"/>
          </reference>
          <reference field="6" count="1">
            <x v="5"/>
          </reference>
        </references>
      </pivotArea>
    </format>
    <format dxfId="7209">
      <pivotArea dataOnly="0" labelOnly="1" outline="0" fieldPosition="0">
        <references count="4">
          <reference field="1" count="0" selected="0"/>
          <reference field="3" count="1" selected="0">
            <x v="10"/>
          </reference>
          <reference field="5" count="1" selected="0">
            <x v="140"/>
          </reference>
          <reference field="6" count="1">
            <x v="7"/>
          </reference>
        </references>
      </pivotArea>
    </format>
    <format dxfId="7208">
      <pivotArea outline="0" collapsedLevelsAreSubtotals="1" fieldPosition="0"/>
    </format>
    <format dxfId="7207">
      <pivotArea dataOnly="0" labelOnly="1" outline="0" fieldPosition="0">
        <references count="1">
          <reference field="1" count="0"/>
        </references>
      </pivotArea>
    </format>
    <format dxfId="7206">
      <pivotArea dataOnly="0" labelOnly="1" outline="0" fieldPosition="0">
        <references count="2">
          <reference field="1" count="0" selected="0"/>
          <reference field="3" count="7">
            <x v="1"/>
            <x v="4"/>
            <x v="5"/>
            <x v="6"/>
            <x v="7"/>
            <x v="9"/>
            <x v="10"/>
          </reference>
        </references>
      </pivotArea>
    </format>
    <format dxfId="7205">
      <pivotArea dataOnly="0" labelOnly="1" outline="0" fieldPosition="0">
        <references count="3">
          <reference field="1" count="0" selected="0"/>
          <reference field="3" count="1" selected="0">
            <x v="1"/>
          </reference>
          <reference field="5" count="1">
            <x v="348"/>
          </reference>
        </references>
      </pivotArea>
    </format>
    <format dxfId="7204">
      <pivotArea dataOnly="0" labelOnly="1" outline="0" fieldPosition="0">
        <references count="3">
          <reference field="1" count="0" selected="0"/>
          <reference field="3" count="1" selected="0">
            <x v="4"/>
          </reference>
          <reference field="5" count="5">
            <x v="191"/>
            <x v="192"/>
            <x v="199"/>
            <x v="200"/>
            <x v="206"/>
          </reference>
        </references>
      </pivotArea>
    </format>
    <format dxfId="7203">
      <pivotArea dataOnly="0" labelOnly="1" outline="0" fieldPosition="0">
        <references count="3">
          <reference field="1" count="0" selected="0"/>
          <reference field="3" count="1" selected="0">
            <x v="5"/>
          </reference>
          <reference field="5" count="7">
            <x v="96"/>
            <x v="102"/>
            <x v="103"/>
            <x v="168"/>
            <x v="208"/>
            <x v="326"/>
            <x v="330"/>
          </reference>
        </references>
      </pivotArea>
    </format>
    <format dxfId="7202">
      <pivotArea dataOnly="0" labelOnly="1" outline="0" fieldPosition="0">
        <references count="3">
          <reference field="1" count="0" selected="0"/>
          <reference field="3" count="1" selected="0">
            <x v="6"/>
          </reference>
          <reference field="5" count="1">
            <x v="131"/>
          </reference>
        </references>
      </pivotArea>
    </format>
    <format dxfId="7201">
      <pivotArea dataOnly="0" labelOnly="1" outline="0" fieldPosition="0">
        <references count="3">
          <reference field="1" count="0" selected="0"/>
          <reference field="3" count="1" selected="0">
            <x v="7"/>
          </reference>
          <reference field="5" count="14">
            <x v="95"/>
            <x v="105"/>
            <x v="120"/>
            <x v="121"/>
            <x v="128"/>
            <x v="156"/>
            <x v="157"/>
            <x v="169"/>
            <x v="170"/>
            <x v="177"/>
            <x v="179"/>
            <x v="184"/>
            <x v="185"/>
            <x v="351"/>
          </reference>
        </references>
      </pivotArea>
    </format>
    <format dxfId="7200">
      <pivotArea dataOnly="0" labelOnly="1" outline="0" fieldPosition="0">
        <references count="3">
          <reference field="1" count="0" selected="0"/>
          <reference field="3" count="1" selected="0">
            <x v="9"/>
          </reference>
          <reference field="5" count="3">
            <x v="114"/>
            <x v="139"/>
            <x v="353"/>
          </reference>
        </references>
      </pivotArea>
    </format>
    <format dxfId="7199">
      <pivotArea dataOnly="0" labelOnly="1" outline="0" fieldPosition="0">
        <references count="3">
          <reference field="1" count="0" selected="0"/>
          <reference field="3" count="1" selected="0">
            <x v="10"/>
          </reference>
          <reference field="5" count="3">
            <x v="142"/>
            <x v="143"/>
            <x v="160"/>
          </reference>
        </references>
      </pivotArea>
    </format>
    <format dxfId="7198">
      <pivotArea dataOnly="0" labelOnly="1" outline="0" fieldPosition="0">
        <references count="4">
          <reference field="1" count="0" selected="0"/>
          <reference field="3" count="1" selected="0">
            <x v="1"/>
          </reference>
          <reference field="5" count="1" selected="0">
            <x v="348"/>
          </reference>
          <reference field="6" count="1">
            <x v="9"/>
          </reference>
        </references>
      </pivotArea>
    </format>
    <format dxfId="7197">
      <pivotArea dataOnly="0" labelOnly="1" outline="0" fieldPosition="0">
        <references count="4">
          <reference field="1" count="0" selected="0"/>
          <reference field="3" count="1" selected="0">
            <x v="4"/>
          </reference>
          <reference field="5" count="1" selected="0">
            <x v="191"/>
          </reference>
          <reference field="6" count="1">
            <x v="3"/>
          </reference>
        </references>
      </pivotArea>
    </format>
    <format dxfId="7196">
      <pivotArea dataOnly="0" labelOnly="1" outline="0" fieldPosition="0">
        <references count="4">
          <reference field="1" count="0" selected="0"/>
          <reference field="3" count="1" selected="0">
            <x v="4"/>
          </reference>
          <reference field="5" count="1" selected="0">
            <x v="192"/>
          </reference>
          <reference field="6" count="1">
            <x v="3"/>
          </reference>
        </references>
      </pivotArea>
    </format>
    <format dxfId="7195">
      <pivotArea dataOnly="0" labelOnly="1" outline="0" fieldPosition="0">
        <references count="4">
          <reference field="1" count="0" selected="0"/>
          <reference field="3" count="1" selected="0">
            <x v="4"/>
          </reference>
          <reference field="5" count="1" selected="0">
            <x v="199"/>
          </reference>
          <reference field="6" count="1">
            <x v="3"/>
          </reference>
        </references>
      </pivotArea>
    </format>
    <format dxfId="7194">
      <pivotArea dataOnly="0" labelOnly="1" outline="0" fieldPosition="0">
        <references count="4">
          <reference field="1" count="0" selected="0"/>
          <reference field="3" count="1" selected="0">
            <x v="4"/>
          </reference>
          <reference field="5" count="1" selected="0">
            <x v="206"/>
          </reference>
          <reference field="6" count="1">
            <x v="3"/>
          </reference>
        </references>
      </pivotArea>
    </format>
    <format dxfId="7193">
      <pivotArea dataOnly="0" labelOnly="1" outline="0" fieldPosition="0">
        <references count="4">
          <reference field="1" count="0" selected="0"/>
          <reference field="3" count="1" selected="0">
            <x v="5"/>
          </reference>
          <reference field="5" count="1" selected="0">
            <x v="96"/>
          </reference>
          <reference field="6" count="1">
            <x v="3"/>
          </reference>
        </references>
      </pivotArea>
    </format>
    <format dxfId="7192">
      <pivotArea dataOnly="0" labelOnly="1" outline="0" fieldPosition="0">
        <references count="4">
          <reference field="1" count="0" selected="0"/>
          <reference field="3" count="1" selected="0">
            <x v="5"/>
          </reference>
          <reference field="5" count="1" selected="0">
            <x v="102"/>
          </reference>
          <reference field="6" count="1">
            <x v="3"/>
          </reference>
        </references>
      </pivotArea>
    </format>
    <format dxfId="7191">
      <pivotArea dataOnly="0" labelOnly="1" outline="0" fieldPosition="0">
        <references count="4">
          <reference field="1" count="0" selected="0"/>
          <reference field="3" count="1" selected="0">
            <x v="5"/>
          </reference>
          <reference field="5" count="1" selected="0">
            <x v="103"/>
          </reference>
          <reference field="6" count="1">
            <x v="3"/>
          </reference>
        </references>
      </pivotArea>
    </format>
    <format dxfId="7190">
      <pivotArea dataOnly="0" labelOnly="1" outline="0" fieldPosition="0">
        <references count="4">
          <reference field="1" count="0" selected="0"/>
          <reference field="3" count="1" selected="0">
            <x v="5"/>
          </reference>
          <reference field="5" count="1" selected="0">
            <x v="168"/>
          </reference>
          <reference field="6" count="1">
            <x v="3"/>
          </reference>
        </references>
      </pivotArea>
    </format>
    <format dxfId="7189">
      <pivotArea dataOnly="0" labelOnly="1" outline="0" fieldPosition="0">
        <references count="4">
          <reference field="1" count="0" selected="0"/>
          <reference field="3" count="1" selected="0">
            <x v="5"/>
          </reference>
          <reference field="5" count="1" selected="0">
            <x v="208"/>
          </reference>
          <reference field="6" count="1">
            <x v="3"/>
          </reference>
        </references>
      </pivotArea>
    </format>
    <format dxfId="7188">
      <pivotArea dataOnly="0" labelOnly="1" outline="0" fieldPosition="0">
        <references count="4">
          <reference field="1" count="0" selected="0"/>
          <reference field="3" count="1" selected="0">
            <x v="5"/>
          </reference>
          <reference field="5" count="1" selected="0">
            <x v="326"/>
          </reference>
          <reference field="6" count="1">
            <x v="3"/>
          </reference>
        </references>
      </pivotArea>
    </format>
    <format dxfId="7187">
      <pivotArea dataOnly="0" labelOnly="1" outline="0" fieldPosition="0">
        <references count="4">
          <reference field="1" count="0" selected="0"/>
          <reference field="3" count="1" selected="0">
            <x v="5"/>
          </reference>
          <reference field="5" count="1" selected="0">
            <x v="330"/>
          </reference>
          <reference field="6" count="1">
            <x v="3"/>
          </reference>
        </references>
      </pivotArea>
    </format>
    <format dxfId="7186">
      <pivotArea dataOnly="0" labelOnly="1" outline="0" fieldPosition="0">
        <references count="4">
          <reference field="1" count="0" selected="0"/>
          <reference field="3" count="1" selected="0">
            <x v="6"/>
          </reference>
          <reference field="5" count="1" selected="0">
            <x v="131"/>
          </reference>
          <reference field="6" count="1">
            <x v="5"/>
          </reference>
        </references>
      </pivotArea>
    </format>
    <format dxfId="7185">
      <pivotArea dataOnly="0" labelOnly="1" outline="0" fieldPosition="0">
        <references count="4">
          <reference field="1" count="0" selected="0"/>
          <reference field="3" count="1" selected="0">
            <x v="7"/>
          </reference>
          <reference field="5" count="1" selected="0">
            <x v="95"/>
          </reference>
          <reference field="6" count="1">
            <x v="4"/>
          </reference>
        </references>
      </pivotArea>
    </format>
    <format dxfId="7184">
      <pivotArea dataOnly="0" labelOnly="1" outline="0" fieldPosition="0">
        <references count="4">
          <reference field="1" count="0" selected="0"/>
          <reference field="3" count="1" selected="0">
            <x v="7"/>
          </reference>
          <reference field="5" count="1" selected="0">
            <x v="105"/>
          </reference>
          <reference field="6" count="1">
            <x v="4"/>
          </reference>
        </references>
      </pivotArea>
    </format>
    <format dxfId="7183">
      <pivotArea dataOnly="0" labelOnly="1" outline="0" fieldPosition="0">
        <references count="4">
          <reference field="1" count="0" selected="0"/>
          <reference field="3" count="1" selected="0">
            <x v="7"/>
          </reference>
          <reference field="5" count="1" selected="0">
            <x v="120"/>
          </reference>
          <reference field="6" count="1">
            <x v="4"/>
          </reference>
        </references>
      </pivotArea>
    </format>
    <format dxfId="7182">
      <pivotArea dataOnly="0" labelOnly="1" outline="0" fieldPosition="0">
        <references count="4">
          <reference field="1" count="0" selected="0"/>
          <reference field="3" count="1" selected="0">
            <x v="7"/>
          </reference>
          <reference field="5" count="1" selected="0">
            <x v="121"/>
          </reference>
          <reference field="6" count="1">
            <x v="4"/>
          </reference>
        </references>
      </pivotArea>
    </format>
    <format dxfId="7181">
      <pivotArea dataOnly="0" labelOnly="1" outline="0" fieldPosition="0">
        <references count="4">
          <reference field="1" count="0" selected="0"/>
          <reference field="3" count="1" selected="0">
            <x v="7"/>
          </reference>
          <reference field="5" count="1" selected="0">
            <x v="156"/>
          </reference>
          <reference field="6" count="1">
            <x v="4"/>
          </reference>
        </references>
      </pivotArea>
    </format>
    <format dxfId="7180">
      <pivotArea dataOnly="0" labelOnly="1" outline="0" fieldPosition="0">
        <references count="4">
          <reference field="1" count="0" selected="0"/>
          <reference field="3" count="1" selected="0">
            <x v="7"/>
          </reference>
          <reference field="5" count="1" selected="0">
            <x v="157"/>
          </reference>
          <reference field="6" count="1">
            <x v="4"/>
          </reference>
        </references>
      </pivotArea>
    </format>
    <format dxfId="7179">
      <pivotArea dataOnly="0" labelOnly="1" outline="0" fieldPosition="0">
        <references count="4">
          <reference field="1" count="0" selected="0"/>
          <reference field="3" count="1" selected="0">
            <x v="7"/>
          </reference>
          <reference field="5" count="1" selected="0">
            <x v="169"/>
          </reference>
          <reference field="6" count="1">
            <x v="4"/>
          </reference>
        </references>
      </pivotArea>
    </format>
    <format dxfId="7178">
      <pivotArea dataOnly="0" labelOnly="1" outline="0" fieldPosition="0">
        <references count="4">
          <reference field="1" count="0" selected="0"/>
          <reference field="3" count="1" selected="0">
            <x v="7"/>
          </reference>
          <reference field="5" count="1" selected="0">
            <x v="170"/>
          </reference>
          <reference field="6" count="1">
            <x v="4"/>
          </reference>
        </references>
      </pivotArea>
    </format>
    <format dxfId="7177">
      <pivotArea dataOnly="0" labelOnly="1" outline="0" fieldPosition="0">
        <references count="4">
          <reference field="1" count="0" selected="0"/>
          <reference field="3" count="1" selected="0">
            <x v="7"/>
          </reference>
          <reference field="5" count="1" selected="0">
            <x v="177"/>
          </reference>
          <reference field="6" count="1">
            <x v="4"/>
          </reference>
        </references>
      </pivotArea>
    </format>
    <format dxfId="7176">
      <pivotArea dataOnly="0" labelOnly="1" outline="0" fieldPosition="0">
        <references count="4">
          <reference field="1" count="0" selected="0"/>
          <reference field="3" count="1" selected="0">
            <x v="7"/>
          </reference>
          <reference field="5" count="1" selected="0">
            <x v="179"/>
          </reference>
          <reference field="6" count="1">
            <x v="4"/>
          </reference>
        </references>
      </pivotArea>
    </format>
    <format dxfId="7175">
      <pivotArea dataOnly="0" labelOnly="1" outline="0" fieldPosition="0">
        <references count="4">
          <reference field="1" count="0" selected="0"/>
          <reference field="3" count="1" selected="0">
            <x v="7"/>
          </reference>
          <reference field="5" count="1" selected="0">
            <x v="184"/>
          </reference>
          <reference field="6" count="1">
            <x v="4"/>
          </reference>
        </references>
      </pivotArea>
    </format>
    <format dxfId="7174">
      <pivotArea dataOnly="0" labelOnly="1" outline="0" fieldPosition="0">
        <references count="4">
          <reference field="1" count="0" selected="0"/>
          <reference field="3" count="1" selected="0">
            <x v="7"/>
          </reference>
          <reference field="5" count="1" selected="0">
            <x v="185"/>
          </reference>
          <reference field="6" count="1">
            <x v="4"/>
          </reference>
        </references>
      </pivotArea>
    </format>
    <format dxfId="7173">
      <pivotArea dataOnly="0" labelOnly="1" outline="0" fieldPosition="0">
        <references count="4">
          <reference field="1" count="0" selected="0"/>
          <reference field="3" count="1" selected="0">
            <x v="7"/>
          </reference>
          <reference field="5" count="1" selected="0">
            <x v="351"/>
          </reference>
          <reference field="6" count="1">
            <x v="4"/>
          </reference>
        </references>
      </pivotArea>
    </format>
    <format dxfId="7172">
      <pivotArea dataOnly="0" labelOnly="1" outline="0" fieldPosition="0">
        <references count="4">
          <reference field="1" count="0" selected="0"/>
          <reference field="3" count="1" selected="0">
            <x v="9"/>
          </reference>
          <reference field="5" count="1" selected="0">
            <x v="114"/>
          </reference>
          <reference field="6" count="1">
            <x v="5"/>
          </reference>
        </references>
      </pivotArea>
    </format>
    <format dxfId="7171">
      <pivotArea dataOnly="0" labelOnly="1" outline="0" fieldPosition="0">
        <references count="4">
          <reference field="1" count="0" selected="0"/>
          <reference field="3" count="1" selected="0">
            <x v="9"/>
          </reference>
          <reference field="5" count="1" selected="0">
            <x v="139"/>
          </reference>
          <reference field="6" count="1">
            <x v="5"/>
          </reference>
        </references>
      </pivotArea>
    </format>
    <format dxfId="7170">
      <pivotArea dataOnly="0" labelOnly="1" outline="0" fieldPosition="0">
        <references count="4">
          <reference field="1" count="0" selected="0"/>
          <reference field="3" count="1" selected="0">
            <x v="9"/>
          </reference>
          <reference field="5" count="1" selected="0">
            <x v="353"/>
          </reference>
          <reference field="6" count="1">
            <x v="5"/>
          </reference>
        </references>
      </pivotArea>
    </format>
    <format dxfId="7169">
      <pivotArea dataOnly="0" labelOnly="1" outline="0" fieldPosition="0">
        <references count="4">
          <reference field="1" count="0" selected="0"/>
          <reference field="3" count="1" selected="0">
            <x v="10"/>
          </reference>
          <reference field="5" count="1" selected="0">
            <x v="142"/>
          </reference>
          <reference field="6" count="1">
            <x v="7"/>
          </reference>
        </references>
      </pivotArea>
    </format>
    <format dxfId="7168">
      <pivotArea dataOnly="0" labelOnly="1" outline="0" fieldPosition="0">
        <references count="4">
          <reference field="1" count="0" selected="0"/>
          <reference field="3" count="1" selected="0">
            <x v="10"/>
          </reference>
          <reference field="5" count="1" selected="0">
            <x v="143"/>
          </reference>
          <reference field="6" count="1">
            <x v="7"/>
          </reference>
        </references>
      </pivotArea>
    </format>
    <format dxfId="7167">
      <pivotArea dataOnly="0" labelOnly="1" outline="0" fieldPosition="0">
        <references count="4">
          <reference field="1" count="0" selected="0"/>
          <reference field="3" count="1" selected="0">
            <x v="10"/>
          </reference>
          <reference field="5" count="1" selected="0">
            <x v="160"/>
          </reference>
          <reference field="6" count="1">
            <x v="7"/>
          </reference>
        </references>
      </pivotArea>
    </format>
    <format dxfId="7166">
      <pivotArea dataOnly="0" labelOnly="1" outline="0" fieldPosition="0">
        <references count="2">
          <reference field="1" count="0" selected="0"/>
          <reference field="3" count="1">
            <x v="1"/>
          </reference>
        </references>
      </pivotArea>
    </format>
    <format dxfId="7165">
      <pivotArea dataOnly="0" labelOnly="1" outline="0" fieldPosition="0">
        <references count="3">
          <reference field="1" count="0" selected="0"/>
          <reference field="3" count="1" selected="0">
            <x v="3"/>
          </reference>
          <reference field="5" count="1">
            <x v="340"/>
          </reference>
        </references>
      </pivotArea>
    </format>
    <format dxfId="7164">
      <pivotArea dataOnly="0" labelOnly="1" outline="0" fieldPosition="0">
        <references count="3">
          <reference field="1" count="0" selected="0"/>
          <reference field="3" count="1" selected="0">
            <x v="7"/>
          </reference>
          <reference field="5" count="1">
            <x v="354"/>
          </reference>
        </references>
      </pivotArea>
    </format>
    <format dxfId="7163">
      <pivotArea dataOnly="0" labelOnly="1" outline="0" fieldPosition="0">
        <references count="3">
          <reference field="1" count="0" selected="0"/>
          <reference field="3" count="1" selected="0">
            <x v="7"/>
          </reference>
          <reference field="5" count="1">
            <x v="354"/>
          </reference>
        </references>
      </pivotArea>
    </format>
    <format dxfId="7162">
      <pivotArea dataOnly="0" labelOnly="1" outline="0" fieldPosition="0">
        <references count="3">
          <reference field="1" count="0" selected="0"/>
          <reference field="3" count="1" selected="0">
            <x v="4"/>
          </reference>
          <reference field="5" count="2">
            <x v="199"/>
            <x v="200"/>
          </reference>
        </references>
      </pivotArea>
    </format>
    <format dxfId="7161">
      <pivotArea dataOnly="0" labelOnly="1" outline="0" fieldPosition="0">
        <references count="3">
          <reference field="1" count="0" selected="0"/>
          <reference field="3" count="1" selected="0">
            <x v="10"/>
          </reference>
          <reference field="5" count="3">
            <x v="142"/>
            <x v="143"/>
            <x v="160"/>
          </reference>
        </references>
      </pivotArea>
    </format>
    <format dxfId="7160">
      <pivotArea dataOnly="0" labelOnly="1" outline="0" fieldPosition="0">
        <references count="3">
          <reference field="1" count="0" selected="0"/>
          <reference field="3" count="1" selected="0">
            <x v="1"/>
          </reference>
          <reference field="5" count="1">
            <x v="355"/>
          </reference>
        </references>
      </pivotArea>
    </format>
    <format dxfId="7159">
      <pivotArea dataOnly="0" labelOnly="1" outline="0" fieldPosition="0">
        <references count="3">
          <reference field="1" count="0" selected="0"/>
          <reference field="3" count="1" selected="0">
            <x v="1"/>
          </reference>
          <reference field="5" count="1">
            <x v="355"/>
          </reference>
        </references>
      </pivotArea>
    </format>
    <format dxfId="7158">
      <pivotArea dataOnly="0" labelOnly="1" outline="0" fieldPosition="0">
        <references count="3">
          <reference field="1" count="0" selected="0"/>
          <reference field="3" count="1" selected="0">
            <x v="14"/>
          </reference>
          <reference field="5" count="1">
            <x v="356"/>
          </reference>
        </references>
      </pivotArea>
    </format>
    <format dxfId="7157">
      <pivotArea dataOnly="0" labelOnly="1" outline="0" fieldPosition="0">
        <references count="3">
          <reference field="1" count="0" selected="0"/>
          <reference field="3" count="1" selected="0">
            <x v="14"/>
          </reference>
          <reference field="5" count="1">
            <x v="356"/>
          </reference>
        </references>
      </pivotArea>
    </format>
    <format dxfId="7156">
      <pivotArea dataOnly="0" labelOnly="1" outline="0" fieldPosition="0">
        <references count="3">
          <reference field="1" count="0" selected="0"/>
          <reference field="3" count="1" selected="0">
            <x v="1"/>
          </reference>
          <reference field="5" count="1">
            <x v="166"/>
          </reference>
        </references>
      </pivotArea>
    </format>
    <format dxfId="7155">
      <pivotArea dataOnly="0" labelOnly="1" outline="0" fieldPosition="0">
        <references count="3">
          <reference field="1" count="0" selected="0"/>
          <reference field="3" count="1" selected="0">
            <x v="3"/>
          </reference>
          <reference field="5" count="1">
            <x v="340"/>
          </reference>
        </references>
      </pivotArea>
    </format>
    <format dxfId="7154">
      <pivotArea dataOnly="0" labelOnly="1" outline="0" fieldPosition="0">
        <references count="3">
          <reference field="1" count="0" selected="0"/>
          <reference field="3" count="1" selected="0">
            <x v="4"/>
          </reference>
          <reference field="5" count="3">
            <x v="194"/>
            <x v="195"/>
            <x v="203"/>
          </reference>
        </references>
      </pivotArea>
    </format>
    <format dxfId="7153">
      <pivotArea dataOnly="0" labelOnly="1" outline="0" fieldPosition="0">
        <references count="3">
          <reference field="1" count="0" selected="0"/>
          <reference field="3" count="1" selected="0">
            <x v="5"/>
          </reference>
          <reference field="5" count="6">
            <x v="100"/>
            <x v="116"/>
            <x v="217"/>
            <x v="325"/>
            <x v="331"/>
            <x v="347"/>
          </reference>
        </references>
      </pivotArea>
    </format>
    <format dxfId="7152">
      <pivotArea dataOnly="0" labelOnly="1" outline="0" fieldPosition="0">
        <references count="3">
          <reference field="1" count="0" selected="0"/>
          <reference field="3" count="1" selected="0">
            <x v="7"/>
          </reference>
          <reference field="5" count="14">
            <x v="113"/>
            <x v="124"/>
            <x v="125"/>
            <x v="144"/>
            <x v="145"/>
            <x v="164"/>
            <x v="173"/>
            <x v="174"/>
            <x v="180"/>
            <x v="181"/>
            <x v="188"/>
            <x v="189"/>
            <x v="343"/>
            <x v="354"/>
          </reference>
        </references>
      </pivotArea>
    </format>
    <format dxfId="7151">
      <pivotArea dataOnly="0" labelOnly="1" outline="0" fieldPosition="0">
        <references count="3">
          <reference field="1" count="0" selected="0"/>
          <reference field="3" count="1" selected="0">
            <x v="9"/>
          </reference>
          <reference field="5" count="2">
            <x v="134"/>
            <x v="135"/>
          </reference>
        </references>
      </pivotArea>
    </format>
    <format dxfId="7150">
      <pivotArea dataOnly="0" labelOnly="1" outline="0" fieldPosition="0">
        <references count="3">
          <reference field="1" count="0" selected="0"/>
          <reference field="3" count="1" selected="0">
            <x v="10"/>
          </reference>
          <reference field="5" count="2">
            <x v="209"/>
            <x v="210"/>
          </reference>
        </references>
      </pivotArea>
    </format>
    <format dxfId="7149">
      <pivotArea dataOnly="0" labelOnly="1" outline="0" fieldPosition="0">
        <references count="3">
          <reference field="1" count="0" selected="0"/>
          <reference field="3" count="1" selected="0">
            <x v="3"/>
          </reference>
          <reference field="5" count="1">
            <x v="341"/>
          </reference>
        </references>
      </pivotArea>
    </format>
    <format dxfId="7148">
      <pivotArea dataOnly="0" labelOnly="1" outline="0" fieldPosition="0">
        <references count="3">
          <reference field="1" count="0" selected="0"/>
          <reference field="3" count="1" selected="0">
            <x v="4"/>
          </reference>
          <reference field="5" count="3">
            <x v="196"/>
            <x v="197"/>
            <x v="202"/>
          </reference>
        </references>
      </pivotArea>
    </format>
    <format dxfId="7147">
      <pivotArea dataOnly="0" labelOnly="1" outline="0" fieldPosition="0">
        <references count="3">
          <reference field="1" count="0" selected="0"/>
          <reference field="3" count="1" selected="0">
            <x v="5"/>
          </reference>
          <reference field="5" count="7">
            <x v="98"/>
            <x v="111"/>
            <x v="112"/>
            <x v="213"/>
            <x v="214"/>
            <x v="329"/>
            <x v="346"/>
          </reference>
        </references>
      </pivotArea>
    </format>
    <format dxfId="7146">
      <pivotArea dataOnly="0" labelOnly="1" outline="0" fieldPosition="0">
        <references count="3">
          <reference field="1" count="0" selected="0"/>
          <reference field="3" count="1" selected="0">
            <x v="7"/>
          </reference>
          <reference field="5" count="15">
            <x v="118"/>
            <x v="123"/>
            <x v="126"/>
            <x v="137"/>
            <x v="146"/>
            <x v="159"/>
            <x v="165"/>
            <x v="172"/>
            <x v="175"/>
            <x v="182"/>
            <x v="187"/>
            <x v="190"/>
            <x v="335"/>
            <x v="342"/>
            <x v="350"/>
          </reference>
        </references>
      </pivotArea>
    </format>
    <format dxfId="7145">
      <pivotArea dataOnly="0" labelOnly="1" outline="0" fieldPosition="0">
        <references count="3">
          <reference field="1" count="0" selected="0"/>
          <reference field="3" count="1" selected="0">
            <x v="9"/>
          </reference>
          <reference field="5" count="2">
            <x v="133"/>
            <x v="136"/>
          </reference>
        </references>
      </pivotArea>
    </format>
    <format dxfId="7144">
      <pivotArea dataOnly="0" labelOnly="1" outline="0" fieldPosition="0">
        <references count="3">
          <reference field="1" count="0" selected="0"/>
          <reference field="3" count="1" selected="0">
            <x v="10"/>
          </reference>
          <reference field="5" count="2">
            <x v="162"/>
            <x v="211"/>
          </reference>
        </references>
      </pivotArea>
    </format>
    <format dxfId="7143">
      <pivotArea dataOnly="0" labelOnly="1" outline="0" fieldPosition="0">
        <references count="3">
          <reference field="1" count="0" selected="0"/>
          <reference field="3" count="1" selected="0">
            <x v="1"/>
          </reference>
          <reference field="5" count="1">
            <x v="344"/>
          </reference>
        </references>
      </pivotArea>
    </format>
    <format dxfId="7142">
      <pivotArea dataOnly="0" labelOnly="1" outline="0" fieldPosition="0">
        <references count="3">
          <reference field="1" count="0" selected="0"/>
          <reference field="3" count="1" selected="0">
            <x v="4"/>
          </reference>
          <reference field="5" count="3">
            <x v="198"/>
            <x v="199"/>
            <x v="205"/>
          </reference>
        </references>
      </pivotArea>
    </format>
    <format dxfId="7141">
      <pivotArea dataOnly="0" labelOnly="1" outline="0" fieldPosition="0">
        <references count="3">
          <reference field="1" count="0" selected="0"/>
          <reference field="3" count="1" selected="0">
            <x v="5"/>
          </reference>
          <reference field="5" count="8">
            <x v="97"/>
            <x v="101"/>
            <x v="104"/>
            <x v="141"/>
            <x v="154"/>
            <x v="212"/>
            <x v="221"/>
            <x v="328"/>
          </reference>
        </references>
      </pivotArea>
    </format>
    <format dxfId="7140">
      <pivotArea dataOnly="0" labelOnly="1" outline="0" fieldPosition="0">
        <references count="3">
          <reference field="1" count="0" selected="0"/>
          <reference field="3" count="1" selected="0">
            <x v="7"/>
          </reference>
          <reference field="5" count="15">
            <x v="106"/>
            <x v="119"/>
            <x v="122"/>
            <x v="127"/>
            <x v="155"/>
            <x v="158"/>
            <x v="167"/>
            <x v="171"/>
            <x v="176"/>
            <x v="177"/>
            <x v="183"/>
            <x v="186"/>
            <x v="207"/>
            <x v="324"/>
            <x v="352"/>
          </reference>
        </references>
      </pivotArea>
    </format>
    <format dxfId="7139">
      <pivotArea dataOnly="0" labelOnly="1" outline="0" fieldPosition="0">
        <references count="3">
          <reference field="1" count="0" selected="0"/>
          <reference field="3" count="1" selected="0">
            <x v="9"/>
          </reference>
          <reference field="5" count="3">
            <x v="132"/>
            <x v="138"/>
            <x v="161"/>
          </reference>
        </references>
      </pivotArea>
    </format>
    <format dxfId="7138">
      <pivotArea dataOnly="0" labelOnly="1" outline="0" fieldPosition="0">
        <references count="3">
          <reference field="1" count="0" selected="0"/>
          <reference field="3" count="1" selected="0">
            <x v="10"/>
          </reference>
          <reference field="5" count="2">
            <x v="140"/>
            <x v="143"/>
          </reference>
        </references>
      </pivotArea>
    </format>
    <format dxfId="7137">
      <pivotArea dataOnly="0" labelOnly="1" outline="0" fieldPosition="0">
        <references count="3">
          <reference field="1" count="0" selected="0"/>
          <reference field="3" count="1" selected="0">
            <x v="14"/>
          </reference>
          <reference field="5" count="1">
            <x v="356"/>
          </reference>
        </references>
      </pivotArea>
    </format>
    <format dxfId="7136">
      <pivotArea dataOnly="0" labelOnly="1" outline="0" fieldPosition="0">
        <references count="3">
          <reference field="1" count="0" selected="0"/>
          <reference field="3" count="1" selected="0">
            <x v="1"/>
          </reference>
          <reference field="5" count="2">
            <x v="348"/>
            <x v="355"/>
          </reference>
        </references>
      </pivotArea>
    </format>
    <format dxfId="7135">
      <pivotArea dataOnly="0" labelOnly="1" outline="0" fieldPosition="0">
        <references count="3">
          <reference field="1" count="0" selected="0"/>
          <reference field="3" count="1" selected="0">
            <x v="4"/>
          </reference>
          <reference field="5" count="4">
            <x v="191"/>
            <x v="192"/>
            <x v="200"/>
            <x v="206"/>
          </reference>
        </references>
      </pivotArea>
    </format>
    <format dxfId="7134">
      <pivotArea dataOnly="0" labelOnly="1" outline="0" fieldPosition="0">
        <references count="3">
          <reference field="1" count="0" selected="0"/>
          <reference field="3" count="1" selected="0">
            <x v="5"/>
          </reference>
          <reference field="5" count="7">
            <x v="96"/>
            <x v="102"/>
            <x v="103"/>
            <x v="168"/>
            <x v="208"/>
            <x v="326"/>
            <x v="330"/>
          </reference>
        </references>
      </pivotArea>
    </format>
    <format dxfId="7133">
      <pivotArea dataOnly="0" labelOnly="1" outline="0" fieldPosition="0">
        <references count="3">
          <reference field="1" count="0" selected="0"/>
          <reference field="3" count="1" selected="0">
            <x v="6"/>
          </reference>
          <reference field="5" count="1">
            <x v="131"/>
          </reference>
        </references>
      </pivotArea>
    </format>
    <format dxfId="7132">
      <pivotArea dataOnly="0" labelOnly="1" outline="0" fieldPosition="0">
        <references count="3">
          <reference field="1" count="0" selected="0"/>
          <reference field="3" count="1" selected="0">
            <x v="7"/>
          </reference>
          <reference field="5" count="13">
            <x v="95"/>
            <x v="105"/>
            <x v="120"/>
            <x v="121"/>
            <x v="128"/>
            <x v="156"/>
            <x v="157"/>
            <x v="169"/>
            <x v="170"/>
            <x v="179"/>
            <x v="184"/>
            <x v="185"/>
            <x v="351"/>
          </reference>
        </references>
      </pivotArea>
    </format>
    <format dxfId="7131">
      <pivotArea dataOnly="0" labelOnly="1" outline="0" fieldPosition="0">
        <references count="3">
          <reference field="1" count="0" selected="0"/>
          <reference field="3" count="1" selected="0">
            <x v="9"/>
          </reference>
          <reference field="5" count="3">
            <x v="114"/>
            <x v="139"/>
            <x v="353"/>
          </reference>
        </references>
      </pivotArea>
    </format>
    <format dxfId="7130">
      <pivotArea dataOnly="0" labelOnly="1" outline="0" fieldPosition="0">
        <references count="3">
          <reference field="1" count="0" selected="0"/>
          <reference field="3" count="1" selected="0">
            <x v="10"/>
          </reference>
          <reference field="5" count="2">
            <x v="142"/>
            <x v="160"/>
          </reference>
        </references>
      </pivotArea>
    </format>
    <format dxfId="7129">
      <pivotArea dataOnly="0" labelOnly="1" outline="0" fieldPosition="0">
        <references count="3">
          <reference field="1" count="0" selected="0"/>
          <reference field="3" count="1" selected="0">
            <x v="1"/>
          </reference>
          <reference field="5" count="1">
            <x v="356"/>
          </reference>
        </references>
      </pivotArea>
    </format>
    <format dxfId="7128">
      <pivotArea dataOnly="0" labelOnly="1" outline="0" fieldPosition="0">
        <references count="3">
          <reference field="1" count="0" selected="0"/>
          <reference field="3" count="1" selected="0">
            <x v="1"/>
          </reference>
          <reference field="5" count="1">
            <x v="356"/>
          </reference>
        </references>
      </pivotArea>
    </format>
    <format dxfId="7127">
      <pivotArea dataOnly="0" labelOnly="1" outline="0" fieldPosition="0">
        <references count="3">
          <reference field="1" count="0" selected="0"/>
          <reference field="3" count="1" selected="0">
            <x v="1"/>
          </reference>
          <reference field="5" count="1">
            <x v="121"/>
          </reference>
        </references>
      </pivotArea>
    </format>
    <format dxfId="7126">
      <pivotArea dataOnly="0" labelOnly="1" outline="0" fieldPosition="0">
        <references count="3">
          <reference field="1" count="0" selected="0"/>
          <reference field="3" count="1" selected="0">
            <x v="1"/>
          </reference>
          <reference field="5" count="1">
            <x v="357"/>
          </reference>
        </references>
      </pivotArea>
    </format>
    <format dxfId="7125">
      <pivotArea dataOnly="0" labelOnly="1" outline="0" fieldPosition="0">
        <references count="3">
          <reference field="1" count="0" selected="0"/>
          <reference field="3" count="1" selected="0">
            <x v="7"/>
          </reference>
          <reference field="5" count="1">
            <x v="98"/>
          </reference>
        </references>
      </pivotArea>
    </format>
    <format dxfId="7124">
      <pivotArea dataOnly="0" labelOnly="1" outline="0" offset="A256" fieldPosition="0">
        <references count="3">
          <reference field="1" count="0" selected="0"/>
          <reference field="3" count="1" selected="0">
            <x v="7"/>
          </reference>
          <reference field="5" count="1">
            <x v="111"/>
          </reference>
        </references>
      </pivotArea>
    </format>
    <format dxfId="7123">
      <pivotArea dataOnly="0" labelOnly="1" outline="0" fieldPosition="0">
        <references count="3">
          <reference field="1" count="0" selected="0"/>
          <reference field="3" count="1" selected="0">
            <x v="7"/>
          </reference>
          <reference field="5" count="4">
            <x v="112"/>
            <x v="213"/>
            <x v="214"/>
            <x v="329"/>
          </reference>
        </references>
      </pivotArea>
    </format>
    <format dxfId="7122">
      <pivotArea dataOnly="0" labelOnly="1" outline="0" offset="A256" fieldPosition="0">
        <references count="3">
          <reference field="1" count="0" selected="0"/>
          <reference field="3" count="1" selected="0">
            <x v="7"/>
          </reference>
          <reference field="5" count="1">
            <x v="346"/>
          </reference>
        </references>
      </pivotArea>
    </format>
    <format dxfId="7121">
      <pivotArea dataOnly="0" labelOnly="1" outline="0" fieldPosition="0">
        <references count="3">
          <reference field="1" count="0" selected="0"/>
          <reference field="3" count="1" selected="0">
            <x v="7"/>
          </reference>
          <reference field="5" count="6">
            <x v="100"/>
            <x v="116"/>
            <x v="217"/>
            <x v="325"/>
            <x v="331"/>
            <x v="340"/>
          </reference>
        </references>
      </pivotArea>
    </format>
    <format dxfId="7120">
      <pivotArea dataOnly="0" labelOnly="1" outline="0" fieldPosition="0">
        <references count="3">
          <reference field="1" count="0" selected="0"/>
          <reference field="3" count="1" selected="0">
            <x v="9"/>
          </reference>
          <reference field="5" count="1">
            <x v="354"/>
          </reference>
        </references>
      </pivotArea>
    </format>
    <format dxfId="7119">
      <pivotArea dataOnly="0" labelOnly="1" outline="0" fieldPosition="0">
        <references count="3">
          <reference field="1" count="0" selected="0"/>
          <reference field="3" count="1" selected="0">
            <x v="7"/>
          </reference>
          <reference field="5" count="8">
            <x v="97"/>
            <x v="101"/>
            <x v="104"/>
            <x v="141"/>
            <x v="154"/>
            <x v="212"/>
            <x v="221"/>
            <x v="328"/>
          </reference>
        </references>
      </pivotArea>
    </format>
    <format dxfId="7118">
      <pivotArea dataOnly="0" labelOnly="1" outline="0" fieldPosition="0">
        <references count="3">
          <reference field="1" count="0" selected="0"/>
          <reference field="3" count="1" selected="0">
            <x v="7"/>
          </reference>
          <reference field="5" count="7">
            <x v="96"/>
            <x v="102"/>
            <x v="103"/>
            <x v="168"/>
            <x v="208"/>
            <x v="326"/>
            <x v="330"/>
          </reference>
        </references>
      </pivotArea>
    </format>
    <format dxfId="7117">
      <pivotArea dataOnly="0" labelOnly="1" outline="0" fieldPosition="0">
        <references count="3">
          <reference field="1" count="0" selected="0"/>
          <reference field="3" count="1" selected="0">
            <x v="10"/>
          </reference>
          <reference field="5" count="1">
            <x v="353"/>
          </reference>
        </references>
      </pivotArea>
    </format>
    <format dxfId="7116">
      <pivotArea dataOnly="0" labelOnly="1" outline="0" fieldPosition="0">
        <references count="3">
          <reference field="1" count="0" selected="0"/>
          <reference field="3" count="1" selected="0">
            <x v="9"/>
          </reference>
          <reference field="5" count="1">
            <x v="356"/>
          </reference>
        </references>
      </pivotArea>
    </format>
    <format dxfId="7115">
      <pivotArea dataOnly="0" labelOnly="1" outline="0" fieldPosition="0">
        <references count="3">
          <reference field="1" count="0" selected="0"/>
          <reference field="3" count="1" selected="0">
            <x v="7"/>
          </reference>
          <reference field="5" count="1">
            <x v="358"/>
          </reference>
        </references>
      </pivotArea>
    </format>
    <format dxfId="7114">
      <pivotArea dataOnly="0" labelOnly="1" outline="0" fieldPosition="0">
        <references count="3">
          <reference field="1" count="0" selected="0"/>
          <reference field="3" count="1" selected="0">
            <x v="7"/>
          </reference>
          <reference field="5" count="1">
            <x v="358"/>
          </reference>
        </references>
      </pivotArea>
    </format>
    <format dxfId="7113">
      <pivotArea dataOnly="0" labelOnly="1" outline="0" fieldPosition="0">
        <references count="3">
          <reference field="1" count="0" selected="0"/>
          <reference field="3" count="1" selected="0">
            <x v="7"/>
          </reference>
          <reference field="5" count="1">
            <x v="358"/>
          </reference>
        </references>
      </pivotArea>
    </format>
    <format dxfId="7112">
      <pivotArea dataOnly="0" labelOnly="1" outline="0" fieldPosition="0">
        <references count="3">
          <reference field="1" count="0" selected="0"/>
          <reference field="3" count="1" selected="0">
            <x v="11"/>
          </reference>
          <reference field="5" count="1">
            <x v="359"/>
          </reference>
        </references>
      </pivotArea>
    </format>
    <format dxfId="7111">
      <pivotArea dataOnly="0" labelOnly="1" outline="0" fieldPosition="0">
        <references count="3">
          <reference field="1" count="0" selected="0"/>
          <reference field="3" count="1" selected="0">
            <x v="11"/>
          </reference>
          <reference field="5" count="1">
            <x v="359"/>
          </reference>
        </references>
      </pivotArea>
    </format>
    <format dxfId="7110">
      <pivotArea outline="0" fieldPosition="0">
        <references count="2">
          <reference field="1" count="0" selected="0"/>
          <reference field="3" count="2" selected="0">
            <x v="10"/>
            <x v="11"/>
          </reference>
        </references>
      </pivotArea>
    </format>
    <format dxfId="7109">
      <pivotArea dataOnly="0" labelOnly="1" outline="0" fieldPosition="0">
        <references count="3">
          <reference field="1" count="0" selected="0"/>
          <reference field="3" count="1" selected="0">
            <x v="10"/>
          </reference>
          <reference field="5" count="2">
            <x v="135"/>
            <x v="139"/>
          </reference>
        </references>
      </pivotArea>
    </format>
    <format dxfId="7108">
      <pivotArea dataOnly="0" labelOnly="1" outline="0" fieldPosition="0">
        <references count="3">
          <reference field="1" count="0" selected="0"/>
          <reference field="3" count="1" selected="0">
            <x v="11"/>
          </reference>
          <reference field="5" count="1">
            <x v="359"/>
          </reference>
        </references>
      </pivotArea>
    </format>
    <format dxfId="7107">
      <pivotArea dataOnly="0" labelOnly="1" outline="0" fieldPosition="0">
        <references count="4">
          <reference field="1" count="0" selected="0"/>
          <reference field="3" count="1" selected="0">
            <x v="10"/>
          </reference>
          <reference field="5" count="1" selected="0">
            <x v="135"/>
          </reference>
          <reference field="6" count="1">
            <x v="7"/>
          </reference>
        </references>
      </pivotArea>
    </format>
    <format dxfId="7106">
      <pivotArea dataOnly="0" labelOnly="1" outline="0" fieldPosition="0">
        <references count="4">
          <reference field="1" count="0" selected="0"/>
          <reference field="3" count="1" selected="0">
            <x v="10"/>
          </reference>
          <reference field="5" count="1" selected="0">
            <x v="139"/>
          </reference>
          <reference field="6" count="1">
            <x v="7"/>
          </reference>
        </references>
      </pivotArea>
    </format>
    <format dxfId="7105">
      <pivotArea dataOnly="0" labelOnly="1" outline="0" fieldPosition="0">
        <references count="4">
          <reference field="1" count="0" selected="0"/>
          <reference field="3" count="1" selected="0">
            <x v="11"/>
          </reference>
          <reference field="5" count="1" selected="0">
            <x v="359"/>
          </reference>
          <reference field="6" count="1">
            <x v="8"/>
          </reference>
        </references>
      </pivotArea>
    </format>
    <format dxfId="7104">
      <pivotArea dataOnly="0" labelOnly="1" outline="0" fieldPosition="0">
        <references count="3">
          <reference field="1" count="0" selected="0"/>
          <reference field="3" count="1" selected="0">
            <x v="4"/>
          </reference>
          <reference field="5" count="2">
            <x v="100"/>
            <x v="116"/>
          </reference>
        </references>
      </pivotArea>
    </format>
    <format dxfId="7103">
      <pivotArea dataOnly="0" labelOnly="1" outline="0" fieldPosition="0">
        <references count="3">
          <reference field="1" count="0" selected="0"/>
          <reference field="3" count="1" selected="0">
            <x v="4"/>
          </reference>
          <reference field="5" count="3">
            <x v="325"/>
            <x v="331"/>
            <x v="340"/>
          </reference>
        </references>
      </pivotArea>
    </format>
    <format dxfId="7102">
      <pivotArea dataOnly="0" labelOnly="1" outline="0" fieldPosition="0">
        <references count="3">
          <reference field="1" count="0" selected="0"/>
          <reference field="3" count="1" selected="0">
            <x v="4"/>
          </reference>
          <reference field="5" count="1">
            <x v="112"/>
          </reference>
        </references>
      </pivotArea>
    </format>
    <format dxfId="7101">
      <pivotArea dataOnly="0" labelOnly="1" outline="0" fieldPosition="0">
        <references count="3">
          <reference field="1" count="0" selected="0"/>
          <reference field="3" count="1" selected="0">
            <x v="4"/>
          </reference>
          <reference field="5" count="1">
            <x v="98"/>
          </reference>
        </references>
      </pivotArea>
    </format>
    <format dxfId="7100">
      <pivotArea dataOnly="0" labelOnly="1" outline="0" fieldPosition="0">
        <references count="3">
          <reference field="1" count="0" selected="0"/>
          <reference field="3" count="1" selected="0">
            <x v="4"/>
          </reference>
          <reference field="5" count="1">
            <x v="111"/>
          </reference>
        </references>
      </pivotArea>
    </format>
    <format dxfId="7099">
      <pivotArea dataOnly="0" labelOnly="1" outline="0" fieldPosition="0">
        <references count="3">
          <reference field="1" count="0" selected="0"/>
          <reference field="3" count="1" selected="0">
            <x v="4"/>
          </reference>
          <reference field="5" count="3">
            <x v="213"/>
            <x v="214"/>
            <x v="329"/>
          </reference>
        </references>
      </pivotArea>
    </format>
    <format dxfId="7098">
      <pivotArea dataOnly="0" labelOnly="1" outline="0" fieldPosition="0">
        <references count="3">
          <reference field="1" count="0" selected="0"/>
          <reference field="3" count="1" selected="0">
            <x v="4"/>
          </reference>
          <reference field="5" count="1">
            <x v="346"/>
          </reference>
        </references>
      </pivotArea>
    </format>
    <format dxfId="7097">
      <pivotArea dataOnly="0" labelOnly="1" outline="0" fieldPosition="0">
        <references count="3">
          <reference field="1" count="0" selected="0"/>
          <reference field="3" count="1" selected="0">
            <x v="15"/>
          </reference>
          <reference field="5" count="1">
            <x v="341"/>
          </reference>
        </references>
      </pivotArea>
    </format>
    <format dxfId="7096">
      <pivotArea dataOnly="0" labelOnly="1" outline="0" fieldPosition="0">
        <references count="3">
          <reference field="1" count="0" selected="0"/>
          <reference field="3" count="1" selected="0">
            <x v="4"/>
          </reference>
          <reference field="5" count="1">
            <x v="97"/>
          </reference>
        </references>
      </pivotArea>
    </format>
    <format dxfId="7095">
      <pivotArea dataOnly="0" labelOnly="1" outline="0" fieldPosition="0">
        <references count="3">
          <reference field="1" count="0" selected="0"/>
          <reference field="3" count="1" selected="0">
            <x v="4"/>
          </reference>
          <reference field="5" count="4">
            <x v="101"/>
            <x v="104"/>
            <x v="141"/>
            <x v="154"/>
          </reference>
        </references>
      </pivotArea>
    </format>
    <format dxfId="7094">
      <pivotArea dataOnly="0" labelOnly="1" outline="0" fieldPosition="0">
        <references count="3">
          <reference field="1" count="0" selected="0"/>
          <reference field="3" count="1" selected="0">
            <x v="4"/>
          </reference>
          <reference field="5" count="1">
            <x v="221"/>
          </reference>
        </references>
      </pivotArea>
    </format>
    <format dxfId="7093">
      <pivotArea dataOnly="0" labelOnly="1" outline="0" fieldPosition="0">
        <references count="3">
          <reference field="1" count="0" selected="0"/>
          <reference field="3" count="1" selected="0">
            <x v="4"/>
          </reference>
          <reference field="5" count="1">
            <x v="212"/>
          </reference>
        </references>
      </pivotArea>
    </format>
    <format dxfId="7092">
      <pivotArea dataOnly="0" labelOnly="1" outline="0" fieldPosition="0">
        <references count="3">
          <reference field="1" count="0" selected="0"/>
          <reference field="3" count="1" selected="0">
            <x v="4"/>
          </reference>
          <reference field="5" count="1">
            <x v="328"/>
          </reference>
        </references>
      </pivotArea>
    </format>
    <format dxfId="7091">
      <pivotArea dataOnly="0" labelOnly="1" outline="0" fieldPosition="0">
        <references count="3">
          <reference field="1" count="0" selected="0"/>
          <reference field="3" count="1" selected="0">
            <x v="10"/>
          </reference>
          <reference field="5" count="1">
            <x v="359"/>
          </reference>
        </references>
      </pivotArea>
    </format>
    <format dxfId="7090">
      <pivotArea dataOnly="0" labelOnly="1" outline="0" fieldPosition="0">
        <references count="3">
          <reference field="1" count="0" selected="0"/>
          <reference field="3" count="1" selected="0">
            <x v="4"/>
          </reference>
          <reference field="5" count="1">
            <x v="102"/>
          </reference>
        </references>
      </pivotArea>
    </format>
    <format dxfId="7089">
      <pivotArea dataOnly="0" labelOnly="1" outline="0" fieldPosition="0">
        <references count="3">
          <reference field="1" count="0" selected="0"/>
          <reference field="3" count="1" selected="0">
            <x v="4"/>
          </reference>
          <reference field="5" count="1">
            <x v="96"/>
          </reference>
        </references>
      </pivotArea>
    </format>
    <format dxfId="7088">
      <pivotArea dataOnly="0" labelOnly="1" outline="0" fieldPosition="0">
        <references count="3">
          <reference field="1" count="0" selected="0"/>
          <reference field="3" count="1" selected="0">
            <x v="4"/>
          </reference>
          <reference field="5" count="2">
            <x v="103"/>
            <x v="168"/>
          </reference>
        </references>
      </pivotArea>
    </format>
    <format dxfId="7087">
      <pivotArea dataOnly="0" labelOnly="1" outline="0" fieldPosition="0">
        <references count="3">
          <reference field="1" count="0" selected="0"/>
          <reference field="3" count="1" selected="0">
            <x v="4"/>
          </reference>
          <reference field="5" count="2">
            <x v="208"/>
            <x v="326"/>
          </reference>
        </references>
      </pivotArea>
    </format>
    <format dxfId="7086">
      <pivotArea dataOnly="0" labelOnly="1" outline="0" fieldPosition="0">
        <references count="3">
          <reference field="1" count="0" selected="0"/>
          <reference field="3" count="1" selected="0">
            <x v="4"/>
          </reference>
          <reference field="5" count="1">
            <x v="330"/>
          </reference>
        </references>
      </pivotArea>
    </format>
    <format dxfId="7085">
      <pivotArea dataOnly="0" labelOnly="1" outline="0" fieldPosition="0">
        <references count="3">
          <reference field="1" count="0" selected="0"/>
          <reference field="3" count="1" selected="0">
            <x v="5"/>
          </reference>
          <reference field="5" count="1">
            <x v="358"/>
          </reference>
        </references>
      </pivotArea>
    </format>
    <format dxfId="7084">
      <pivotArea dataOnly="0" labelOnly="1" outline="0" fieldPosition="0">
        <references count="3">
          <reference field="1" count="0" selected="0"/>
          <reference field="3" count="1" selected="0">
            <x v="5"/>
          </reference>
          <reference field="5" count="1">
            <x v="358"/>
          </reference>
        </references>
      </pivotArea>
    </format>
    <format dxfId="7083">
      <pivotArea dataOnly="0" labelOnly="1" outline="0" fieldPosition="0">
        <references count="3">
          <reference field="1" count="0" selected="0"/>
          <reference field="3" count="1" selected="0">
            <x v="16"/>
          </reference>
          <reference field="5" count="1">
            <x v="341"/>
          </reference>
        </references>
      </pivotArea>
    </format>
    <format dxfId="7082">
      <pivotArea dataOnly="0" labelOnly="1" outline="0" fieldPosition="0">
        <references count="3">
          <reference field="1" count="0" selected="0"/>
          <reference field="3" count="1" selected="0">
            <x v="16"/>
          </reference>
          <reference field="5" count="1">
            <x v="341"/>
          </reference>
        </references>
      </pivotArea>
    </format>
    <format dxfId="7081">
      <pivotArea dataOnly="0" labelOnly="1" outline="0" fieldPosition="0">
        <references count="3">
          <reference field="1" count="0" selected="0"/>
          <reference field="3" count="1" selected="0">
            <x v="4"/>
          </reference>
          <reference field="5" count="3">
            <x v="191"/>
            <x v="196"/>
            <x v="203"/>
          </reference>
        </references>
      </pivotArea>
    </format>
    <format dxfId="7080">
      <pivotArea dataOnly="0" labelOnly="1" outline="0" fieldPosition="0">
        <references count="3">
          <reference field="1" count="0" selected="0"/>
          <reference field="3" count="1" selected="0">
            <x v="5"/>
          </reference>
          <reference field="5" count="4">
            <x v="101"/>
            <x v="154"/>
            <x v="212"/>
            <x v="213"/>
          </reference>
        </references>
      </pivotArea>
    </format>
    <format dxfId="7079">
      <pivotArea dataOnly="0" labelOnly="1" outline="0" fieldPosition="0">
        <references count="3">
          <reference field="1" count="0" selected="0"/>
          <reference field="3" count="1" selected="0">
            <x v="7"/>
          </reference>
          <reference field="5" count="6">
            <x v="121"/>
            <x v="124"/>
            <x v="159"/>
            <x v="165"/>
            <x v="181"/>
            <x v="184"/>
          </reference>
        </references>
      </pivotArea>
    </format>
    <format dxfId="7078">
      <pivotArea dataOnly="0" labelOnly="1" outline="0" fieldPosition="0">
        <references count="3">
          <reference field="1" count="0" selected="0"/>
          <reference field="3" count="1" selected="0">
            <x v="5"/>
          </reference>
          <reference field="5" count="3">
            <x v="98"/>
            <x v="101"/>
            <x v="212"/>
          </reference>
        </references>
      </pivotArea>
    </format>
    <format dxfId="7077">
      <pivotArea dataOnly="0" labelOnly="1" outline="0" fieldPosition="0">
        <references count="3">
          <reference field="1" count="0" selected="0"/>
          <reference field="3" count="1" selected="0">
            <x v="7"/>
          </reference>
          <reference field="5" count="6">
            <x v="95"/>
            <x v="105"/>
            <x v="124"/>
            <x v="173"/>
            <x v="182"/>
            <x v="335"/>
          </reference>
        </references>
      </pivotArea>
    </format>
    <format dxfId="7076">
      <pivotArea dataOnly="0" labelOnly="1" outline="0" fieldPosition="0">
        <references count="3">
          <reference field="1" count="0" selected="0"/>
          <reference field="3" count="1" selected="0">
            <x v="1"/>
          </reference>
          <reference field="5" count="2">
            <x v="166"/>
            <x v="347"/>
          </reference>
        </references>
      </pivotArea>
    </format>
    <format dxfId="7075">
      <pivotArea dataOnly="0" labelOnly="1" outline="0" fieldPosition="0">
        <references count="3">
          <reference field="1" count="0" selected="0"/>
          <reference field="3" count="1" selected="0">
            <x v="4"/>
          </reference>
          <reference field="5" count="2">
            <x v="195"/>
            <x v="203"/>
          </reference>
        </references>
      </pivotArea>
    </format>
    <format dxfId="7074">
      <pivotArea dataOnly="0" labelOnly="1" outline="0" fieldPosition="0">
        <references count="3">
          <reference field="1" count="0" selected="0"/>
          <reference field="3" count="1" selected="0">
            <x v="5"/>
          </reference>
          <reference field="5" count="5">
            <x v="100"/>
            <x v="116"/>
            <x v="325"/>
            <x v="331"/>
            <x v="340"/>
          </reference>
        </references>
      </pivotArea>
    </format>
    <format dxfId="7073">
      <pivotArea dataOnly="0" labelOnly="1" outline="0" fieldPosition="0">
        <references count="3">
          <reference field="1" count="0" selected="0"/>
          <reference field="3" count="1" selected="0">
            <x v="7"/>
          </reference>
          <reference field="5" count="14">
            <x v="113"/>
            <x v="124"/>
            <x v="125"/>
            <x v="144"/>
            <x v="145"/>
            <x v="164"/>
            <x v="173"/>
            <x v="174"/>
            <x v="180"/>
            <x v="181"/>
            <x v="188"/>
            <x v="189"/>
            <x v="343"/>
            <x v="354"/>
          </reference>
        </references>
      </pivotArea>
    </format>
    <format dxfId="7072">
      <pivotArea dataOnly="0" labelOnly="1" outline="0" fieldPosition="0">
        <references count="3">
          <reference field="1" count="0" selected="0"/>
          <reference field="3" count="1" selected="0">
            <x v="9"/>
          </reference>
          <reference field="5" count="2">
            <x v="134"/>
            <x v="135"/>
          </reference>
        </references>
      </pivotArea>
    </format>
    <format dxfId="7071">
      <pivotArea dataOnly="0" labelOnly="1" outline="0" fieldPosition="0">
        <references count="3">
          <reference field="1" count="0" selected="0"/>
          <reference field="3" count="1" selected="0">
            <x v="10"/>
          </reference>
          <reference field="5" count="2">
            <x v="209"/>
            <x v="210"/>
          </reference>
        </references>
      </pivotArea>
    </format>
    <format dxfId="7070">
      <pivotArea dataOnly="0" labelOnly="1" outline="0" fieldPosition="0">
        <references count="3">
          <reference field="1" count="0" selected="0"/>
          <reference field="3" count="1" selected="0">
            <x v="4"/>
          </reference>
          <reference field="5" count="3">
            <x v="196"/>
            <x v="197"/>
            <x v="202"/>
          </reference>
        </references>
      </pivotArea>
    </format>
    <format dxfId="7069">
      <pivotArea dataOnly="0" labelOnly="1" outline="0" fieldPosition="0">
        <references count="3">
          <reference field="1" count="0" selected="0"/>
          <reference field="3" count="1" selected="0">
            <x v="5"/>
          </reference>
          <reference field="5" count="1">
            <x v="98"/>
          </reference>
        </references>
      </pivotArea>
    </format>
    <format dxfId="7068">
      <pivotArea dataOnly="0" labelOnly="1" outline="0" offset="A256" fieldPosition="0">
        <references count="3">
          <reference field="1" count="0" selected="0"/>
          <reference field="3" count="1" selected="0">
            <x v="5"/>
          </reference>
          <reference field="5" count="1">
            <x v="111"/>
          </reference>
        </references>
      </pivotArea>
    </format>
    <format dxfId="7067">
      <pivotArea dataOnly="0" labelOnly="1" outline="0" fieldPosition="0">
        <references count="3">
          <reference field="1" count="0" selected="0"/>
          <reference field="3" count="1" selected="0">
            <x v="5"/>
          </reference>
          <reference field="5" count="4">
            <x v="112"/>
            <x v="213"/>
            <x v="214"/>
            <x v="329"/>
          </reference>
        </references>
      </pivotArea>
    </format>
    <format dxfId="7066">
      <pivotArea dataOnly="0" labelOnly="1" outline="0" offset="A256" fieldPosition="0">
        <references count="3">
          <reference field="1" count="0" selected="0"/>
          <reference field="3" count="1" selected="0">
            <x v="5"/>
          </reference>
          <reference field="5" count="1">
            <x v="346"/>
          </reference>
        </references>
      </pivotArea>
    </format>
    <format dxfId="7065">
      <pivotArea dataOnly="0" labelOnly="1" outline="0" fieldPosition="0">
        <references count="3">
          <reference field="1" count="0" selected="0"/>
          <reference field="3" count="1" selected="0">
            <x v="5"/>
          </reference>
          <reference field="5" count="1">
            <x v="358"/>
          </reference>
        </references>
      </pivotArea>
    </format>
    <format dxfId="7064">
      <pivotArea dataOnly="0" labelOnly="1" outline="0" fieldPosition="0">
        <references count="3">
          <reference field="1" count="0" selected="0"/>
          <reference field="3" count="1" selected="0">
            <x v="7"/>
          </reference>
          <reference field="5" count="14">
            <x v="118"/>
            <x v="123"/>
            <x v="126"/>
            <x v="137"/>
            <x v="146"/>
            <x v="159"/>
            <x v="165"/>
            <x v="172"/>
            <x v="175"/>
            <x v="182"/>
            <x v="187"/>
            <x v="190"/>
            <x v="335"/>
            <x v="342"/>
          </reference>
        </references>
      </pivotArea>
    </format>
    <format dxfId="7063">
      <pivotArea dataOnly="0" labelOnly="1" outline="0" fieldPosition="0">
        <references count="3">
          <reference field="1" count="0" selected="0"/>
          <reference field="3" count="1" selected="0">
            <x v="9"/>
          </reference>
          <reference field="5" count="2">
            <x v="133"/>
            <x v="136"/>
          </reference>
        </references>
      </pivotArea>
    </format>
    <format dxfId="7062">
      <pivotArea dataOnly="0" labelOnly="1" outline="0" fieldPosition="0">
        <references count="3">
          <reference field="1" count="0" selected="0"/>
          <reference field="3" count="1" selected="0">
            <x v="1"/>
          </reference>
          <reference field="5" count="2">
            <x v="344"/>
            <x v="356"/>
          </reference>
        </references>
      </pivotArea>
    </format>
    <format dxfId="7061">
      <pivotArea dataOnly="0" labelOnly="1" outline="0" fieldPosition="0">
        <references count="3">
          <reference field="1" count="0" selected="0"/>
          <reference field="3" count="1" selected="0">
            <x v="4"/>
          </reference>
          <reference field="5" count="3">
            <x v="198"/>
            <x v="199"/>
            <x v="205"/>
          </reference>
        </references>
      </pivotArea>
    </format>
    <format dxfId="7060">
      <pivotArea dataOnly="0" labelOnly="1" outline="0" fieldPosition="0">
        <references count="3">
          <reference field="1" count="0" selected="0"/>
          <reference field="3" count="1" selected="0">
            <x v="5"/>
          </reference>
          <reference field="5" count="8">
            <x v="97"/>
            <x v="101"/>
            <x v="104"/>
            <x v="141"/>
            <x v="154"/>
            <x v="212"/>
            <x v="221"/>
            <x v="328"/>
          </reference>
        </references>
      </pivotArea>
    </format>
    <format dxfId="7059">
      <pivotArea dataOnly="0" labelOnly="1" outline="0" fieldPosition="0">
        <references count="3">
          <reference field="1" count="0" selected="0"/>
          <reference field="3" count="1" selected="0">
            <x v="7"/>
          </reference>
          <reference field="5" count="14">
            <x v="106"/>
            <x v="119"/>
            <x v="122"/>
            <x v="127"/>
            <x v="155"/>
            <x v="158"/>
            <x v="167"/>
            <x v="171"/>
            <x v="176"/>
            <x v="177"/>
            <x v="183"/>
            <x v="186"/>
            <x v="207"/>
            <x v="324"/>
          </reference>
        </references>
      </pivotArea>
    </format>
    <format dxfId="7058">
      <pivotArea dataOnly="0" labelOnly="1" outline="0" fieldPosition="0">
        <references count="3">
          <reference field="1" count="0" selected="0"/>
          <reference field="3" count="1" selected="0">
            <x v="4"/>
          </reference>
          <reference field="5" count="4">
            <x v="191"/>
            <x v="192"/>
            <x v="200"/>
            <x v="206"/>
          </reference>
        </references>
      </pivotArea>
    </format>
    <format dxfId="7057">
      <pivotArea dataOnly="0" labelOnly="1" outline="0" fieldPosition="0">
        <references count="3">
          <reference field="1" count="0" selected="0"/>
          <reference field="3" count="1" selected="0">
            <x v="5"/>
          </reference>
          <reference field="5" count="6">
            <x v="96"/>
            <x v="102"/>
            <x v="103"/>
            <x v="168"/>
            <x v="208"/>
            <x v="326"/>
          </reference>
        </references>
      </pivotArea>
    </format>
    <format dxfId="7056">
      <pivotArea dataOnly="0" labelOnly="1" outline="0" offset="A256" fieldPosition="0">
        <references count="3">
          <reference field="1" count="0" selected="0"/>
          <reference field="3" count="1" selected="0">
            <x v="5"/>
          </reference>
          <reference field="5" count="1">
            <x v="330"/>
          </reference>
        </references>
      </pivotArea>
    </format>
    <format dxfId="7055">
      <pivotArea dataOnly="0" labelOnly="1" outline="0" fieldPosition="0">
        <references count="3">
          <reference field="1" count="0" selected="0"/>
          <reference field="3" count="1" selected="0">
            <x v="6"/>
          </reference>
          <reference field="5" count="1">
            <x v="131"/>
          </reference>
        </references>
      </pivotArea>
    </format>
    <format dxfId="7054">
      <pivotArea dataOnly="0" labelOnly="1" outline="0" fieldPosition="0">
        <references count="3">
          <reference field="1" count="0" selected="0"/>
          <reference field="3" count="1" selected="0">
            <x v="7"/>
          </reference>
          <reference field="5" count="13">
            <x v="95"/>
            <x v="105"/>
            <x v="120"/>
            <x v="121"/>
            <x v="128"/>
            <x v="156"/>
            <x v="157"/>
            <x v="169"/>
            <x v="170"/>
            <x v="179"/>
            <x v="184"/>
            <x v="185"/>
            <x v="351"/>
          </reference>
        </references>
      </pivotArea>
    </format>
    <format dxfId="7053">
      <pivotArea dataOnly="0" labelOnly="1" outline="0" fieldPosition="0">
        <references count="3">
          <reference field="1" count="0" selected="0"/>
          <reference field="3" count="1" selected="0">
            <x v="9"/>
          </reference>
          <reference field="5" count="2">
            <x v="114"/>
            <x v="139"/>
          </reference>
        </references>
      </pivotArea>
    </format>
    <format dxfId="7052">
      <pivotArea field="16" type="button" dataOnly="0" labelOnly="1" outline="0" axis="axisRow" fieldPosition="4"/>
    </format>
    <format dxfId="7051">
      <pivotArea field="16" type="button" dataOnly="0" labelOnly="1" outline="0" axis="axisRow" fieldPosition="4"/>
    </format>
    <format dxfId="7050">
      <pivotArea dataOnly="0" labelOnly="1" outline="0" fieldPosition="0">
        <references count="3">
          <reference field="1" count="0" selected="0"/>
          <reference field="3" count="1" selected="0">
            <x v="5"/>
          </reference>
          <reference field="5" count="1">
            <x v="330"/>
          </reference>
        </references>
      </pivotArea>
    </format>
    <format dxfId="7049">
      <pivotArea dataOnly="0" labelOnly="1" outline="0" fieldPosition="0">
        <references count="5">
          <reference field="1" count="0" selected="0"/>
          <reference field="3" count="1" selected="0">
            <x v="4"/>
          </reference>
          <reference field="5" count="1" selected="0">
            <x v="191"/>
          </reference>
          <reference field="6" count="1" selected="0">
            <x v="3"/>
          </reference>
          <reference field="16" count="1">
            <x v="49"/>
          </reference>
        </references>
      </pivotArea>
    </format>
    <format dxfId="7048">
      <pivotArea dataOnly="0" labelOnly="1" outline="0" fieldPosition="0">
        <references count="5">
          <reference field="1" count="0" selected="0"/>
          <reference field="3" count="1" selected="0">
            <x v="4"/>
          </reference>
          <reference field="5" count="1" selected="0">
            <x v="192"/>
          </reference>
          <reference field="6" count="1" selected="0">
            <x v="3"/>
          </reference>
          <reference field="16" count="1">
            <x v="48"/>
          </reference>
        </references>
      </pivotArea>
    </format>
    <format dxfId="7047">
      <pivotArea dataOnly="0" labelOnly="1" outline="0" fieldPosition="0">
        <references count="5">
          <reference field="1" count="0" selected="0"/>
          <reference field="3" count="1" selected="0">
            <x v="4"/>
          </reference>
          <reference field="5" count="1" selected="0">
            <x v="200"/>
          </reference>
          <reference field="6" count="1" selected="0">
            <x v="3"/>
          </reference>
          <reference field="16" count="1">
            <x v="50"/>
          </reference>
        </references>
      </pivotArea>
    </format>
    <format dxfId="7046">
      <pivotArea dataOnly="0" labelOnly="1" outline="0" fieldPosition="0">
        <references count="5">
          <reference field="1" count="0" selected="0"/>
          <reference field="3" count="1" selected="0">
            <x v="4"/>
          </reference>
          <reference field="5" count="1" selected="0">
            <x v="206"/>
          </reference>
          <reference field="6" count="1" selected="0">
            <x v="3"/>
          </reference>
          <reference field="16" count="1">
            <x v="55"/>
          </reference>
        </references>
      </pivotArea>
    </format>
    <format dxfId="7045">
      <pivotArea dataOnly="0" labelOnly="1" outline="0" fieldPosition="0">
        <references count="5">
          <reference field="1" count="0" selected="0"/>
          <reference field="3" count="1" selected="0">
            <x v="5"/>
          </reference>
          <reference field="5" count="1" selected="0">
            <x v="96"/>
          </reference>
          <reference field="6" count="1" selected="0">
            <x v="3"/>
          </reference>
          <reference field="16" count="1">
            <x v="3"/>
          </reference>
        </references>
      </pivotArea>
    </format>
    <format dxfId="7044">
      <pivotArea dataOnly="0" labelOnly="1" outline="0" fieldPosition="0">
        <references count="5">
          <reference field="1" count="0" selected="0"/>
          <reference field="3" count="1" selected="0">
            <x v="5"/>
          </reference>
          <reference field="5" count="1" selected="0">
            <x v="102"/>
          </reference>
          <reference field="6" count="1" selected="0">
            <x v="3"/>
          </reference>
          <reference field="16" count="1">
            <x v="44"/>
          </reference>
        </references>
      </pivotArea>
    </format>
    <format dxfId="7043">
      <pivotArea dataOnly="0" labelOnly="1" outline="0" fieldPosition="0">
        <references count="5">
          <reference field="1" count="0" selected="0"/>
          <reference field="3" count="1" selected="0">
            <x v="5"/>
          </reference>
          <reference field="5" count="1" selected="0">
            <x v="103"/>
          </reference>
          <reference field="6" count="1" selected="0">
            <x v="3"/>
          </reference>
          <reference field="16" count="1">
            <x v="7"/>
          </reference>
        </references>
      </pivotArea>
    </format>
    <format dxfId="7042">
      <pivotArea dataOnly="0" labelOnly="1" outline="0" fieldPosition="0">
        <references count="5">
          <reference field="1" count="0" selected="0"/>
          <reference field="3" count="1" selected="0">
            <x v="5"/>
          </reference>
          <reference field="5" count="1" selected="0">
            <x v="168"/>
          </reference>
          <reference field="6" count="1" selected="0">
            <x v="3"/>
          </reference>
          <reference field="16" count="1">
            <x v="24"/>
          </reference>
        </references>
      </pivotArea>
    </format>
    <format dxfId="7041">
      <pivotArea dataOnly="0" labelOnly="1" outline="0" fieldPosition="0">
        <references count="5">
          <reference field="1" count="0" selected="0"/>
          <reference field="3" count="1" selected="0">
            <x v="5"/>
          </reference>
          <reference field="5" count="1" selected="0">
            <x v="208"/>
          </reference>
          <reference field="6" count="1" selected="0">
            <x v="3"/>
          </reference>
          <reference field="16" count="1">
            <x v="47"/>
          </reference>
        </references>
      </pivotArea>
    </format>
    <format dxfId="7040">
      <pivotArea dataOnly="0" labelOnly="1" outline="0" fieldPosition="0">
        <references count="5">
          <reference field="1" count="0" selected="0"/>
          <reference field="3" count="1" selected="0">
            <x v="5"/>
          </reference>
          <reference field="5" count="1" selected="0">
            <x v="326"/>
          </reference>
          <reference field="6" count="1" selected="0">
            <x v="3"/>
          </reference>
          <reference field="16" count="1">
            <x v="72"/>
          </reference>
        </references>
      </pivotArea>
    </format>
    <format dxfId="7039">
      <pivotArea dataOnly="0" labelOnly="1" outline="0" fieldPosition="0">
        <references count="5">
          <reference field="1" count="0" selected="0"/>
          <reference field="3" count="1" selected="0">
            <x v="7"/>
          </reference>
          <reference field="5" count="1" selected="0">
            <x v="95"/>
          </reference>
          <reference field="6" count="1" selected="0">
            <x v="4"/>
          </reference>
          <reference field="16" count="1">
            <x v="36"/>
          </reference>
        </references>
      </pivotArea>
    </format>
    <format dxfId="7038">
      <pivotArea dataOnly="0" labelOnly="1" outline="0" fieldPosition="0">
        <references count="5">
          <reference field="1" count="0" selected="0"/>
          <reference field="3" count="1" selected="0">
            <x v="7"/>
          </reference>
          <reference field="5" count="1" selected="0">
            <x v="105"/>
          </reference>
          <reference field="6" count="1" selected="0">
            <x v="4"/>
          </reference>
          <reference field="16" count="1">
            <x v="8"/>
          </reference>
        </references>
      </pivotArea>
    </format>
    <format dxfId="7037">
      <pivotArea dataOnly="0" labelOnly="1" outline="0" fieldPosition="0">
        <references count="5">
          <reference field="1" count="0" selected="0"/>
          <reference field="3" count="1" selected="0">
            <x v="7"/>
          </reference>
          <reference field="5" count="1" selected="0">
            <x v="120"/>
          </reference>
          <reference field="6" count="1" selected="0">
            <x v="4"/>
          </reference>
          <reference field="16" count="1">
            <x v="12"/>
          </reference>
        </references>
      </pivotArea>
    </format>
    <format dxfId="7036">
      <pivotArea dataOnly="0" labelOnly="1" outline="0" fieldPosition="0">
        <references count="5">
          <reference field="1" count="0" selected="0"/>
          <reference field="3" count="1" selected="0">
            <x v="7"/>
          </reference>
          <reference field="5" count="1" selected="0">
            <x v="121"/>
          </reference>
          <reference field="6" count="1" selected="0">
            <x v="4"/>
          </reference>
          <reference field="16" count="1">
            <x v="13"/>
          </reference>
        </references>
      </pivotArea>
    </format>
    <format dxfId="7035">
      <pivotArea dataOnly="0" labelOnly="1" outline="0" fieldPosition="0">
        <references count="5">
          <reference field="1" count="0" selected="0"/>
          <reference field="3" count="1" selected="0">
            <x v="9"/>
          </reference>
          <reference field="5" count="1" selected="0">
            <x v="114"/>
          </reference>
          <reference field="6" count="1" selected="0">
            <x v="5"/>
          </reference>
          <reference field="16" count="1">
            <x v="9"/>
          </reference>
        </references>
      </pivotArea>
    </format>
    <format dxfId="7034">
      <pivotArea dataOnly="0" labelOnly="1" outline="0" fieldPosition="0">
        <references count="5">
          <reference field="1" count="0" selected="0"/>
          <reference field="3" count="1" selected="0">
            <x v="10"/>
          </reference>
          <reference field="5" count="1" selected="0">
            <x v="160"/>
          </reference>
          <reference field="6" count="1" selected="0">
            <x v="7"/>
          </reference>
          <reference field="16" count="1">
            <x v="106"/>
          </reference>
        </references>
      </pivotArea>
    </format>
    <format dxfId="7033">
      <pivotArea field="16" type="button" dataOnly="0" labelOnly="1" outline="0" axis="axisRow" fieldPosition="4"/>
    </format>
    <format dxfId="7032">
      <pivotArea dataOnly="0" labelOnly="1" outline="0" fieldPosition="0">
        <references count="3">
          <reference field="1" count="0" selected="0"/>
          <reference field="3" count="1" selected="0">
            <x v="5"/>
          </reference>
          <reference field="5" count="1">
            <x v="330"/>
          </reference>
        </references>
      </pivotArea>
    </format>
    <format dxfId="7031">
      <pivotArea dataOnly="0" labelOnly="1" outline="0" fieldPosition="0">
        <references count="5">
          <reference field="1" count="0" selected="0"/>
          <reference field="3" count="1" selected="0">
            <x v="4"/>
          </reference>
          <reference field="5" count="1" selected="0">
            <x v="191"/>
          </reference>
          <reference field="6" count="1" selected="0">
            <x v="3"/>
          </reference>
          <reference field="16" count="1">
            <x v="49"/>
          </reference>
        </references>
      </pivotArea>
    </format>
    <format dxfId="7030">
      <pivotArea dataOnly="0" labelOnly="1" outline="0" fieldPosition="0">
        <references count="5">
          <reference field="1" count="0" selected="0"/>
          <reference field="3" count="1" selected="0">
            <x v="4"/>
          </reference>
          <reference field="5" count="1" selected="0">
            <x v="192"/>
          </reference>
          <reference field="6" count="1" selected="0">
            <x v="3"/>
          </reference>
          <reference field="16" count="1">
            <x v="48"/>
          </reference>
        </references>
      </pivotArea>
    </format>
    <format dxfId="7029">
      <pivotArea dataOnly="0" labelOnly="1" outline="0" fieldPosition="0">
        <references count="5">
          <reference field="1" count="0" selected="0"/>
          <reference field="3" count="1" selected="0">
            <x v="4"/>
          </reference>
          <reference field="5" count="1" selected="0">
            <x v="200"/>
          </reference>
          <reference field="6" count="1" selected="0">
            <x v="3"/>
          </reference>
          <reference field="16" count="1">
            <x v="50"/>
          </reference>
        </references>
      </pivotArea>
    </format>
    <format dxfId="7028">
      <pivotArea dataOnly="0" labelOnly="1" outline="0" fieldPosition="0">
        <references count="5">
          <reference field="1" count="0" selected="0"/>
          <reference field="3" count="1" selected="0">
            <x v="4"/>
          </reference>
          <reference field="5" count="1" selected="0">
            <x v="206"/>
          </reference>
          <reference field="6" count="1" selected="0">
            <x v="3"/>
          </reference>
          <reference field="16" count="1">
            <x v="55"/>
          </reference>
        </references>
      </pivotArea>
    </format>
    <format dxfId="7027">
      <pivotArea dataOnly="0" labelOnly="1" outline="0" fieldPosition="0">
        <references count="5">
          <reference field="1" count="0" selected="0"/>
          <reference field="3" count="1" selected="0">
            <x v="5"/>
          </reference>
          <reference field="5" count="1" selected="0">
            <x v="96"/>
          </reference>
          <reference field="6" count="1" selected="0">
            <x v="3"/>
          </reference>
          <reference field="16" count="1">
            <x v="3"/>
          </reference>
        </references>
      </pivotArea>
    </format>
    <format dxfId="7026">
      <pivotArea dataOnly="0" labelOnly="1" outline="0" fieldPosition="0">
        <references count="5">
          <reference field="1" count="0" selected="0"/>
          <reference field="3" count="1" selected="0">
            <x v="5"/>
          </reference>
          <reference field="5" count="1" selected="0">
            <x v="102"/>
          </reference>
          <reference field="6" count="1" selected="0">
            <x v="3"/>
          </reference>
          <reference field="16" count="1">
            <x v="44"/>
          </reference>
        </references>
      </pivotArea>
    </format>
    <format dxfId="7025">
      <pivotArea dataOnly="0" labelOnly="1" outline="0" fieldPosition="0">
        <references count="5">
          <reference field="1" count="0" selected="0"/>
          <reference field="3" count="1" selected="0">
            <x v="5"/>
          </reference>
          <reference field="5" count="1" selected="0">
            <x v="103"/>
          </reference>
          <reference field="6" count="1" selected="0">
            <x v="3"/>
          </reference>
          <reference field="16" count="1">
            <x v="7"/>
          </reference>
        </references>
      </pivotArea>
    </format>
    <format dxfId="7024">
      <pivotArea dataOnly="0" labelOnly="1" outline="0" fieldPosition="0">
        <references count="5">
          <reference field="1" count="0" selected="0"/>
          <reference field="3" count="1" selected="0">
            <x v="5"/>
          </reference>
          <reference field="5" count="1" selected="0">
            <x v="168"/>
          </reference>
          <reference field="6" count="1" selected="0">
            <x v="3"/>
          </reference>
          <reference field="16" count="1">
            <x v="24"/>
          </reference>
        </references>
      </pivotArea>
    </format>
    <format dxfId="7023">
      <pivotArea dataOnly="0" labelOnly="1" outline="0" fieldPosition="0">
        <references count="5">
          <reference field="1" count="0" selected="0"/>
          <reference field="3" count="1" selected="0">
            <x v="5"/>
          </reference>
          <reference field="5" count="1" selected="0">
            <x v="208"/>
          </reference>
          <reference field="6" count="1" selected="0">
            <x v="3"/>
          </reference>
          <reference field="16" count="1">
            <x v="47"/>
          </reference>
        </references>
      </pivotArea>
    </format>
    <format dxfId="7022">
      <pivotArea dataOnly="0" labelOnly="1" outline="0" fieldPosition="0">
        <references count="5">
          <reference field="1" count="0" selected="0"/>
          <reference field="3" count="1" selected="0">
            <x v="5"/>
          </reference>
          <reference field="5" count="1" selected="0">
            <x v="326"/>
          </reference>
          <reference field="6" count="1" selected="0">
            <x v="3"/>
          </reference>
          <reference field="16" count="1">
            <x v="72"/>
          </reference>
        </references>
      </pivotArea>
    </format>
    <format dxfId="7021">
      <pivotArea dataOnly="0" labelOnly="1" outline="0" fieldPosition="0">
        <references count="5">
          <reference field="1" count="0" selected="0"/>
          <reference field="3" count="1" selected="0">
            <x v="7"/>
          </reference>
          <reference field="5" count="1" selected="0">
            <x v="95"/>
          </reference>
          <reference field="6" count="1" selected="0">
            <x v="4"/>
          </reference>
          <reference field="16" count="1">
            <x v="36"/>
          </reference>
        </references>
      </pivotArea>
    </format>
    <format dxfId="7020">
      <pivotArea dataOnly="0" labelOnly="1" outline="0" fieldPosition="0">
        <references count="5">
          <reference field="1" count="0" selected="0"/>
          <reference field="3" count="1" selected="0">
            <x v="7"/>
          </reference>
          <reference field="5" count="1" selected="0">
            <x v="105"/>
          </reference>
          <reference field="6" count="1" selected="0">
            <x v="4"/>
          </reference>
          <reference field="16" count="1">
            <x v="8"/>
          </reference>
        </references>
      </pivotArea>
    </format>
    <format dxfId="7019">
      <pivotArea dataOnly="0" labelOnly="1" outline="0" fieldPosition="0">
        <references count="5">
          <reference field="1" count="0" selected="0"/>
          <reference field="3" count="1" selected="0">
            <x v="7"/>
          </reference>
          <reference field="5" count="1" selected="0">
            <x v="120"/>
          </reference>
          <reference field="6" count="1" selected="0">
            <x v="4"/>
          </reference>
          <reference field="16" count="1">
            <x v="12"/>
          </reference>
        </references>
      </pivotArea>
    </format>
    <format dxfId="7018">
      <pivotArea dataOnly="0" labelOnly="1" outline="0" fieldPosition="0">
        <references count="5">
          <reference field="1" count="0" selected="0"/>
          <reference field="3" count="1" selected="0">
            <x v="7"/>
          </reference>
          <reference field="5" count="1" selected="0">
            <x v="121"/>
          </reference>
          <reference field="6" count="1" selected="0">
            <x v="4"/>
          </reference>
          <reference field="16" count="1">
            <x v="13"/>
          </reference>
        </references>
      </pivotArea>
    </format>
    <format dxfId="7017">
      <pivotArea dataOnly="0" labelOnly="1" outline="0" fieldPosition="0">
        <references count="5">
          <reference field="1" count="0" selected="0"/>
          <reference field="3" count="1" selected="0">
            <x v="9"/>
          </reference>
          <reference field="5" count="1" selected="0">
            <x v="114"/>
          </reference>
          <reference field="6" count="1" selected="0">
            <x v="5"/>
          </reference>
          <reference field="16" count="1">
            <x v="9"/>
          </reference>
        </references>
      </pivotArea>
    </format>
    <format dxfId="7016">
      <pivotArea dataOnly="0" labelOnly="1" outline="0" fieldPosition="0">
        <references count="5">
          <reference field="1" count="0" selected="0"/>
          <reference field="3" count="1" selected="0">
            <x v="10"/>
          </reference>
          <reference field="5" count="1" selected="0">
            <x v="160"/>
          </reference>
          <reference field="6" count="1" selected="0">
            <x v="7"/>
          </reference>
          <reference field="16" count="1">
            <x v="106"/>
          </reference>
        </references>
      </pivotArea>
    </format>
    <format dxfId="7015">
      <pivotArea field="16" type="button" dataOnly="0" labelOnly="1" outline="0" axis="axisRow" fieldPosition="4"/>
    </format>
    <format dxfId="7014">
      <pivotArea dataOnly="0" labelOnly="1" outline="0" fieldPosition="0">
        <references count="3">
          <reference field="1" count="0" selected="0"/>
          <reference field="3" count="1" selected="0">
            <x v="5"/>
          </reference>
          <reference field="5" count="1">
            <x v="330"/>
          </reference>
        </references>
      </pivotArea>
    </format>
    <format dxfId="7013">
      <pivotArea dataOnly="0" labelOnly="1" outline="0" fieldPosition="0">
        <references count="5">
          <reference field="1" count="0" selected="0"/>
          <reference field="3" count="1" selected="0">
            <x v="4"/>
          </reference>
          <reference field="5" count="1" selected="0">
            <x v="191"/>
          </reference>
          <reference field="6" count="1" selected="0">
            <x v="3"/>
          </reference>
          <reference field="16" count="1">
            <x v="49"/>
          </reference>
        </references>
      </pivotArea>
    </format>
    <format dxfId="7012">
      <pivotArea dataOnly="0" labelOnly="1" outline="0" fieldPosition="0">
        <references count="5">
          <reference field="1" count="0" selected="0"/>
          <reference field="3" count="1" selected="0">
            <x v="4"/>
          </reference>
          <reference field="5" count="1" selected="0">
            <x v="192"/>
          </reference>
          <reference field="6" count="1" selected="0">
            <x v="3"/>
          </reference>
          <reference field="16" count="1">
            <x v="48"/>
          </reference>
        </references>
      </pivotArea>
    </format>
    <format dxfId="7011">
      <pivotArea dataOnly="0" labelOnly="1" outline="0" fieldPosition="0">
        <references count="5">
          <reference field="1" count="0" selected="0"/>
          <reference field="3" count="1" selected="0">
            <x v="4"/>
          </reference>
          <reference field="5" count="1" selected="0">
            <x v="200"/>
          </reference>
          <reference field="6" count="1" selected="0">
            <x v="3"/>
          </reference>
          <reference field="16" count="1">
            <x v="50"/>
          </reference>
        </references>
      </pivotArea>
    </format>
    <format dxfId="7010">
      <pivotArea dataOnly="0" labelOnly="1" outline="0" fieldPosition="0">
        <references count="5">
          <reference field="1" count="0" selected="0"/>
          <reference field="3" count="1" selected="0">
            <x v="4"/>
          </reference>
          <reference field="5" count="1" selected="0">
            <x v="206"/>
          </reference>
          <reference field="6" count="1" selected="0">
            <x v="3"/>
          </reference>
          <reference field="16" count="1">
            <x v="55"/>
          </reference>
        </references>
      </pivotArea>
    </format>
    <format dxfId="7009">
      <pivotArea dataOnly="0" labelOnly="1" outline="0" fieldPosition="0">
        <references count="5">
          <reference field="1" count="0" selected="0"/>
          <reference field="3" count="1" selected="0">
            <x v="5"/>
          </reference>
          <reference field="5" count="1" selected="0">
            <x v="96"/>
          </reference>
          <reference field="6" count="1" selected="0">
            <x v="3"/>
          </reference>
          <reference field="16" count="1">
            <x v="3"/>
          </reference>
        </references>
      </pivotArea>
    </format>
    <format dxfId="7008">
      <pivotArea dataOnly="0" labelOnly="1" outline="0" fieldPosition="0">
        <references count="5">
          <reference field="1" count="0" selected="0"/>
          <reference field="3" count="1" selected="0">
            <x v="5"/>
          </reference>
          <reference field="5" count="1" selected="0">
            <x v="102"/>
          </reference>
          <reference field="6" count="1" selected="0">
            <x v="3"/>
          </reference>
          <reference field="16" count="1">
            <x v="44"/>
          </reference>
        </references>
      </pivotArea>
    </format>
    <format dxfId="7007">
      <pivotArea dataOnly="0" labelOnly="1" outline="0" fieldPosition="0">
        <references count="5">
          <reference field="1" count="0" selected="0"/>
          <reference field="3" count="1" selected="0">
            <x v="5"/>
          </reference>
          <reference field="5" count="1" selected="0">
            <x v="103"/>
          </reference>
          <reference field="6" count="1" selected="0">
            <x v="3"/>
          </reference>
          <reference field="16" count="1">
            <x v="7"/>
          </reference>
        </references>
      </pivotArea>
    </format>
    <format dxfId="7006">
      <pivotArea dataOnly="0" labelOnly="1" outline="0" fieldPosition="0">
        <references count="5">
          <reference field="1" count="0" selected="0"/>
          <reference field="3" count="1" selected="0">
            <x v="5"/>
          </reference>
          <reference field="5" count="1" selected="0">
            <x v="168"/>
          </reference>
          <reference field="6" count="1" selected="0">
            <x v="3"/>
          </reference>
          <reference field="16" count="1">
            <x v="24"/>
          </reference>
        </references>
      </pivotArea>
    </format>
    <format dxfId="7005">
      <pivotArea dataOnly="0" labelOnly="1" outline="0" fieldPosition="0">
        <references count="5">
          <reference field="1" count="0" selected="0"/>
          <reference field="3" count="1" selected="0">
            <x v="5"/>
          </reference>
          <reference field="5" count="1" selected="0">
            <x v="208"/>
          </reference>
          <reference field="6" count="1" selected="0">
            <x v="3"/>
          </reference>
          <reference field="16" count="1">
            <x v="47"/>
          </reference>
        </references>
      </pivotArea>
    </format>
    <format dxfId="7004">
      <pivotArea dataOnly="0" labelOnly="1" outline="0" fieldPosition="0">
        <references count="5">
          <reference field="1" count="0" selected="0"/>
          <reference field="3" count="1" selected="0">
            <x v="5"/>
          </reference>
          <reference field="5" count="1" selected="0">
            <x v="326"/>
          </reference>
          <reference field="6" count="1" selected="0">
            <x v="3"/>
          </reference>
          <reference field="16" count="1">
            <x v="72"/>
          </reference>
        </references>
      </pivotArea>
    </format>
    <format dxfId="7003">
      <pivotArea dataOnly="0" labelOnly="1" outline="0" fieldPosition="0">
        <references count="5">
          <reference field="1" count="0" selected="0"/>
          <reference field="3" count="1" selected="0">
            <x v="7"/>
          </reference>
          <reference field="5" count="1" selected="0">
            <x v="95"/>
          </reference>
          <reference field="6" count="1" selected="0">
            <x v="4"/>
          </reference>
          <reference field="16" count="1">
            <x v="36"/>
          </reference>
        </references>
      </pivotArea>
    </format>
    <format dxfId="7002">
      <pivotArea dataOnly="0" labelOnly="1" outline="0" fieldPosition="0">
        <references count="5">
          <reference field="1" count="0" selected="0"/>
          <reference field="3" count="1" selected="0">
            <x v="7"/>
          </reference>
          <reference field="5" count="1" selected="0">
            <x v="105"/>
          </reference>
          <reference field="6" count="1" selected="0">
            <x v="4"/>
          </reference>
          <reference field="16" count="1">
            <x v="8"/>
          </reference>
        </references>
      </pivotArea>
    </format>
    <format dxfId="7001">
      <pivotArea dataOnly="0" labelOnly="1" outline="0" fieldPosition="0">
        <references count="5">
          <reference field="1" count="0" selected="0"/>
          <reference field="3" count="1" selected="0">
            <x v="7"/>
          </reference>
          <reference field="5" count="1" selected="0">
            <x v="120"/>
          </reference>
          <reference field="6" count="1" selected="0">
            <x v="4"/>
          </reference>
          <reference field="16" count="1">
            <x v="12"/>
          </reference>
        </references>
      </pivotArea>
    </format>
    <format dxfId="7000">
      <pivotArea dataOnly="0" labelOnly="1" outline="0" fieldPosition="0">
        <references count="5">
          <reference field="1" count="0" selected="0"/>
          <reference field="3" count="1" selected="0">
            <x v="7"/>
          </reference>
          <reference field="5" count="1" selected="0">
            <x v="121"/>
          </reference>
          <reference field="6" count="1" selected="0">
            <x v="4"/>
          </reference>
          <reference field="16" count="1">
            <x v="13"/>
          </reference>
        </references>
      </pivotArea>
    </format>
    <format dxfId="6999">
      <pivotArea dataOnly="0" labelOnly="1" outline="0" fieldPosition="0">
        <references count="5">
          <reference field="1" count="0" selected="0"/>
          <reference field="3" count="1" selected="0">
            <x v="9"/>
          </reference>
          <reference field="5" count="1" selected="0">
            <x v="114"/>
          </reference>
          <reference field="6" count="1" selected="0">
            <x v="5"/>
          </reference>
          <reference field="16" count="1">
            <x v="9"/>
          </reference>
        </references>
      </pivotArea>
    </format>
    <format dxfId="6998">
      <pivotArea dataOnly="0" labelOnly="1" outline="0" fieldPosition="0">
        <references count="5">
          <reference field="1" count="0" selected="0"/>
          <reference field="3" count="1" selected="0">
            <x v="10"/>
          </reference>
          <reference field="5" count="1" selected="0">
            <x v="160"/>
          </reference>
          <reference field="6" count="1" selected="0">
            <x v="7"/>
          </reference>
          <reference field="16" count="1">
            <x v="106"/>
          </reference>
        </references>
      </pivotArea>
    </format>
    <format dxfId="6997">
      <pivotArea field="16" type="button" dataOnly="0" labelOnly="1" outline="0" axis="axisRow" fieldPosition="4"/>
    </format>
    <format dxfId="6996">
      <pivotArea dataOnly="0" labelOnly="1" outline="0" fieldPosition="0">
        <references count="3">
          <reference field="1" count="0" selected="0"/>
          <reference field="3" count="1" selected="0">
            <x v="5"/>
          </reference>
          <reference field="5" count="1">
            <x v="330"/>
          </reference>
        </references>
      </pivotArea>
    </format>
    <format dxfId="6995">
      <pivotArea dataOnly="0" labelOnly="1" outline="0" fieldPosition="0">
        <references count="5">
          <reference field="1" count="0" selected="0"/>
          <reference field="3" count="1" selected="0">
            <x v="4"/>
          </reference>
          <reference field="5" count="1" selected="0">
            <x v="191"/>
          </reference>
          <reference field="6" count="1" selected="0">
            <x v="3"/>
          </reference>
          <reference field="16" count="1">
            <x v="49"/>
          </reference>
        </references>
      </pivotArea>
    </format>
    <format dxfId="6994">
      <pivotArea dataOnly="0" labelOnly="1" outline="0" fieldPosition="0">
        <references count="5">
          <reference field="1" count="0" selected="0"/>
          <reference field="3" count="1" selected="0">
            <x v="4"/>
          </reference>
          <reference field="5" count="1" selected="0">
            <x v="192"/>
          </reference>
          <reference field="6" count="1" selected="0">
            <x v="3"/>
          </reference>
          <reference field="16" count="1">
            <x v="48"/>
          </reference>
        </references>
      </pivotArea>
    </format>
    <format dxfId="6993">
      <pivotArea dataOnly="0" labelOnly="1" outline="0" fieldPosition="0">
        <references count="5">
          <reference field="1" count="0" selected="0"/>
          <reference field="3" count="1" selected="0">
            <x v="4"/>
          </reference>
          <reference field="5" count="1" selected="0">
            <x v="200"/>
          </reference>
          <reference field="6" count="1" selected="0">
            <x v="3"/>
          </reference>
          <reference field="16" count="1">
            <x v="50"/>
          </reference>
        </references>
      </pivotArea>
    </format>
    <format dxfId="6992">
      <pivotArea dataOnly="0" labelOnly="1" outline="0" fieldPosition="0">
        <references count="5">
          <reference field="1" count="0" selected="0"/>
          <reference field="3" count="1" selected="0">
            <x v="4"/>
          </reference>
          <reference field="5" count="1" selected="0">
            <x v="206"/>
          </reference>
          <reference field="6" count="1" selected="0">
            <x v="3"/>
          </reference>
          <reference field="16" count="1">
            <x v="55"/>
          </reference>
        </references>
      </pivotArea>
    </format>
    <format dxfId="6991">
      <pivotArea dataOnly="0" labelOnly="1" outline="0" fieldPosition="0">
        <references count="5">
          <reference field="1" count="0" selected="0"/>
          <reference field="3" count="1" selected="0">
            <x v="5"/>
          </reference>
          <reference field="5" count="1" selected="0">
            <x v="96"/>
          </reference>
          <reference field="6" count="1" selected="0">
            <x v="3"/>
          </reference>
          <reference field="16" count="1">
            <x v="3"/>
          </reference>
        </references>
      </pivotArea>
    </format>
    <format dxfId="6990">
      <pivotArea dataOnly="0" labelOnly="1" outline="0" fieldPosition="0">
        <references count="5">
          <reference field="1" count="0" selected="0"/>
          <reference field="3" count="1" selected="0">
            <x v="5"/>
          </reference>
          <reference field="5" count="1" selected="0">
            <x v="102"/>
          </reference>
          <reference field="6" count="1" selected="0">
            <x v="3"/>
          </reference>
          <reference field="16" count="1">
            <x v="44"/>
          </reference>
        </references>
      </pivotArea>
    </format>
    <format dxfId="6989">
      <pivotArea dataOnly="0" labelOnly="1" outline="0" fieldPosition="0">
        <references count="5">
          <reference field="1" count="0" selected="0"/>
          <reference field="3" count="1" selected="0">
            <x v="5"/>
          </reference>
          <reference field="5" count="1" selected="0">
            <x v="103"/>
          </reference>
          <reference field="6" count="1" selected="0">
            <x v="3"/>
          </reference>
          <reference field="16" count="1">
            <x v="7"/>
          </reference>
        </references>
      </pivotArea>
    </format>
    <format dxfId="6988">
      <pivotArea dataOnly="0" labelOnly="1" outline="0" fieldPosition="0">
        <references count="5">
          <reference field="1" count="0" selected="0"/>
          <reference field="3" count="1" selected="0">
            <x v="5"/>
          </reference>
          <reference field="5" count="1" selected="0">
            <x v="168"/>
          </reference>
          <reference field="6" count="1" selected="0">
            <x v="3"/>
          </reference>
          <reference field="16" count="1">
            <x v="24"/>
          </reference>
        </references>
      </pivotArea>
    </format>
    <format dxfId="6987">
      <pivotArea dataOnly="0" labelOnly="1" outline="0" fieldPosition="0">
        <references count="5">
          <reference field="1" count="0" selected="0"/>
          <reference field="3" count="1" selected="0">
            <x v="5"/>
          </reference>
          <reference field="5" count="1" selected="0">
            <x v="208"/>
          </reference>
          <reference field="6" count="1" selected="0">
            <x v="3"/>
          </reference>
          <reference field="16" count="1">
            <x v="47"/>
          </reference>
        </references>
      </pivotArea>
    </format>
    <format dxfId="6986">
      <pivotArea dataOnly="0" labelOnly="1" outline="0" fieldPosition="0">
        <references count="5">
          <reference field="1" count="0" selected="0"/>
          <reference field="3" count="1" selected="0">
            <x v="5"/>
          </reference>
          <reference field="5" count="1" selected="0">
            <x v="326"/>
          </reference>
          <reference field="6" count="1" selected="0">
            <x v="3"/>
          </reference>
          <reference field="16" count="1">
            <x v="72"/>
          </reference>
        </references>
      </pivotArea>
    </format>
    <format dxfId="6985">
      <pivotArea dataOnly="0" labelOnly="1" outline="0" fieldPosition="0">
        <references count="5">
          <reference field="1" count="0" selected="0"/>
          <reference field="3" count="1" selected="0">
            <x v="7"/>
          </reference>
          <reference field="5" count="1" selected="0">
            <x v="95"/>
          </reference>
          <reference field="6" count="1" selected="0">
            <x v="4"/>
          </reference>
          <reference field="16" count="1">
            <x v="36"/>
          </reference>
        </references>
      </pivotArea>
    </format>
    <format dxfId="6984">
      <pivotArea dataOnly="0" labelOnly="1" outline="0" fieldPosition="0">
        <references count="5">
          <reference field="1" count="0" selected="0"/>
          <reference field="3" count="1" selected="0">
            <x v="7"/>
          </reference>
          <reference field="5" count="1" selected="0">
            <x v="105"/>
          </reference>
          <reference field="6" count="1" selected="0">
            <x v="4"/>
          </reference>
          <reference field="16" count="1">
            <x v="8"/>
          </reference>
        </references>
      </pivotArea>
    </format>
    <format dxfId="6983">
      <pivotArea dataOnly="0" labelOnly="1" outline="0" fieldPosition="0">
        <references count="5">
          <reference field="1" count="0" selected="0"/>
          <reference field="3" count="1" selected="0">
            <x v="7"/>
          </reference>
          <reference field="5" count="1" selected="0">
            <x v="120"/>
          </reference>
          <reference field="6" count="1" selected="0">
            <x v="4"/>
          </reference>
          <reference field="16" count="1">
            <x v="12"/>
          </reference>
        </references>
      </pivotArea>
    </format>
    <format dxfId="6982">
      <pivotArea dataOnly="0" labelOnly="1" outline="0" fieldPosition="0">
        <references count="5">
          <reference field="1" count="0" selected="0"/>
          <reference field="3" count="1" selected="0">
            <x v="7"/>
          </reference>
          <reference field="5" count="1" selected="0">
            <x v="121"/>
          </reference>
          <reference field="6" count="1" selected="0">
            <x v="4"/>
          </reference>
          <reference field="16" count="1">
            <x v="13"/>
          </reference>
        </references>
      </pivotArea>
    </format>
    <format dxfId="6981">
      <pivotArea dataOnly="0" labelOnly="1" outline="0" fieldPosition="0">
        <references count="5">
          <reference field="1" count="0" selected="0"/>
          <reference field="3" count="1" selected="0">
            <x v="9"/>
          </reference>
          <reference field="5" count="1" selected="0">
            <x v="114"/>
          </reference>
          <reference field="6" count="1" selected="0">
            <x v="5"/>
          </reference>
          <reference field="16" count="1">
            <x v="9"/>
          </reference>
        </references>
      </pivotArea>
    </format>
    <format dxfId="6980">
      <pivotArea dataOnly="0" labelOnly="1" outline="0" fieldPosition="0">
        <references count="5">
          <reference field="1" count="0" selected="0"/>
          <reference field="3" count="1" selected="0">
            <x v="10"/>
          </reference>
          <reference field="5" count="1" selected="0">
            <x v="160"/>
          </reference>
          <reference field="6" count="1" selected="0">
            <x v="7"/>
          </reference>
          <reference field="16" count="1">
            <x v="106"/>
          </reference>
        </references>
      </pivotArea>
    </format>
    <format dxfId="6979">
      <pivotArea dataOnly="0" labelOnly="1" outline="0" fieldPosition="0">
        <references count="5">
          <reference field="1" count="0" selected="0"/>
          <reference field="3" count="1" selected="0">
            <x v="1"/>
          </reference>
          <reference field="5" count="1" selected="0">
            <x v="166"/>
          </reference>
          <reference field="6" count="1" selected="0">
            <x v="9"/>
          </reference>
          <reference field="16" count="1">
            <x v="21"/>
          </reference>
        </references>
      </pivotArea>
    </format>
    <format dxfId="6978">
      <pivotArea dataOnly="0" labelOnly="1" outline="0" fieldPosition="0">
        <references count="5">
          <reference field="1" count="0" selected="0"/>
          <reference field="3" count="1" selected="0">
            <x v="1"/>
          </reference>
          <reference field="5" count="1" selected="0">
            <x v="347"/>
          </reference>
          <reference field="6" count="1" selected="0">
            <x v="9"/>
          </reference>
          <reference field="16" count="1">
            <x v="10"/>
          </reference>
        </references>
      </pivotArea>
    </format>
    <format dxfId="6977">
      <pivotArea dataOnly="0" labelOnly="1" outline="0" fieldPosition="0">
        <references count="5">
          <reference field="1" count="0" selected="0"/>
          <reference field="3" count="1" selected="0">
            <x v="5"/>
          </reference>
          <reference field="5" count="1" selected="0">
            <x v="100"/>
          </reference>
          <reference field="6" count="1" selected="0">
            <x v="3"/>
          </reference>
          <reference field="16" count="1">
            <x v="1"/>
          </reference>
        </references>
      </pivotArea>
    </format>
    <format dxfId="6976">
      <pivotArea dataOnly="0" labelOnly="1" outline="0" fieldPosition="0">
        <references count="5">
          <reference field="1" count="0" selected="0"/>
          <reference field="3" count="1" selected="0">
            <x v="5"/>
          </reference>
          <reference field="5" count="1" selected="0">
            <x v="116"/>
          </reference>
          <reference field="6" count="1" selected="0">
            <x v="3"/>
          </reference>
          <reference field="16" count="1">
            <x v="73"/>
          </reference>
        </references>
      </pivotArea>
    </format>
    <format dxfId="6975">
      <pivotArea dataOnly="0" labelOnly="1" outline="0" fieldPosition="0">
        <references count="5">
          <reference field="1" count="0" selected="0"/>
          <reference field="3" count="1" selected="0">
            <x v="7"/>
          </reference>
          <reference field="5" count="1" selected="0">
            <x v="113"/>
          </reference>
          <reference field="6" count="1" selected="0">
            <x v="4"/>
          </reference>
          <reference field="16" count="1">
            <x v="39"/>
          </reference>
        </references>
      </pivotArea>
    </format>
    <format dxfId="6974">
      <pivotArea dataOnly="0" labelOnly="1" outline="0" fieldPosition="0">
        <references count="5">
          <reference field="1" count="0" selected="0"/>
          <reference field="3" count="1" selected="0">
            <x v="7"/>
          </reference>
          <reference field="5" count="1" selected="0">
            <x v="124"/>
          </reference>
          <reference field="6" count="1" selected="0">
            <x v="4"/>
          </reference>
          <reference field="16" count="1">
            <x v="15"/>
          </reference>
        </references>
      </pivotArea>
    </format>
    <format dxfId="6973">
      <pivotArea dataOnly="0" labelOnly="1" outline="0" fieldPosition="0">
        <references count="5">
          <reference field="1" count="0" selected="0"/>
          <reference field="3" count="1" selected="0">
            <x v="7"/>
          </reference>
          <reference field="5" count="1" selected="0">
            <x v="125"/>
          </reference>
          <reference field="6" count="1" selected="0">
            <x v="4"/>
          </reference>
          <reference field="16" count="1">
            <x v="16"/>
          </reference>
        </references>
      </pivotArea>
    </format>
    <format dxfId="6972">
      <pivotArea dataOnly="0" labelOnly="1" outline="0" fieldPosition="0">
        <references count="5">
          <reference field="1" count="0" selected="0"/>
          <reference field="3" count="1" selected="0">
            <x v="7"/>
          </reference>
          <reference field="5" count="1" selected="0">
            <x v="144"/>
          </reference>
          <reference field="6" count="1" selected="0">
            <x v="4"/>
          </reference>
          <reference field="16" count="1">
            <x v="93"/>
          </reference>
        </references>
      </pivotArea>
    </format>
    <format dxfId="6971">
      <pivotArea dataOnly="0" labelOnly="1" outline="0" fieldPosition="0">
        <references count="5">
          <reference field="1" count="0" selected="0"/>
          <reference field="3" count="1" selected="0">
            <x v="7"/>
          </reference>
          <reference field="5" count="1" selected="0">
            <x v="145"/>
          </reference>
          <reference field="6" count="1" selected="0">
            <x v="4"/>
          </reference>
          <reference field="16" count="1">
            <x v="97"/>
          </reference>
        </references>
      </pivotArea>
    </format>
    <format dxfId="6970">
      <pivotArea dataOnly="0" labelOnly="1" outline="0" fieldPosition="0">
        <references count="5">
          <reference field="1" count="0" selected="0"/>
          <reference field="3" count="1" selected="0">
            <x v="7"/>
          </reference>
          <reference field="5" count="1" selected="0">
            <x v="164"/>
          </reference>
          <reference field="6" count="1" selected="0">
            <x v="4"/>
          </reference>
          <reference field="16" count="1">
            <x v="85"/>
          </reference>
        </references>
      </pivotArea>
    </format>
    <format dxfId="6969">
      <pivotArea dataOnly="0" labelOnly="1" outline="0" fieldPosition="0">
        <references count="5">
          <reference field="1" count="0" selected="0"/>
          <reference field="3" count="1" selected="0">
            <x v="7"/>
          </reference>
          <reference field="5" count="1" selected="0">
            <x v="173"/>
          </reference>
          <reference field="6" count="1" selected="0">
            <x v="4"/>
          </reference>
          <reference field="16" count="1">
            <x v="92"/>
          </reference>
        </references>
      </pivotArea>
    </format>
    <format dxfId="6968">
      <pivotArea dataOnly="0" labelOnly="1" outline="0" fieldPosition="0">
        <references count="5">
          <reference field="1" count="0" selected="0"/>
          <reference field="3" count="1" selected="0">
            <x v="7"/>
          </reference>
          <reference field="5" count="1" selected="0">
            <x v="174"/>
          </reference>
          <reference field="6" count="1" selected="0">
            <x v="4"/>
          </reference>
          <reference field="16" count="1">
            <x v="108"/>
          </reference>
        </references>
      </pivotArea>
    </format>
    <format dxfId="6967">
      <pivotArea dataOnly="0" labelOnly="1" outline="0" fieldPosition="0">
        <references count="5">
          <reference field="1" count="0" selected="0"/>
          <reference field="3" count="1" selected="0">
            <x v="7"/>
          </reference>
          <reference field="5" count="1" selected="0">
            <x v="180"/>
          </reference>
          <reference field="6" count="1" selected="0">
            <x v="4"/>
          </reference>
          <reference field="16" count="1">
            <x v="112"/>
          </reference>
        </references>
      </pivotArea>
    </format>
    <format dxfId="6966">
      <pivotArea dataOnly="0" labelOnly="1" outline="0" fieldPosition="0">
        <references count="5">
          <reference field="1" count="0" selected="0"/>
          <reference field="3" count="1" selected="0">
            <x v="7"/>
          </reference>
          <reference field="5" count="1" selected="0">
            <x v="181"/>
          </reference>
          <reference field="6" count="1" selected="0">
            <x v="4"/>
          </reference>
          <reference field="16" count="1">
            <x v="111"/>
          </reference>
        </references>
      </pivotArea>
    </format>
    <format dxfId="6965">
      <pivotArea dataOnly="0" labelOnly="1" outline="0" fieldPosition="0">
        <references count="5">
          <reference field="1" count="0" selected="0"/>
          <reference field="3" count="1" selected="0">
            <x v="7"/>
          </reference>
          <reference field="5" count="1" selected="0">
            <x v="188"/>
          </reference>
          <reference field="6" count="1" selected="0">
            <x v="4"/>
          </reference>
          <reference field="16" count="1">
            <x v="70"/>
          </reference>
        </references>
      </pivotArea>
    </format>
    <format dxfId="6964">
      <pivotArea dataOnly="0" labelOnly="1" outline="0" fieldPosition="0">
        <references count="5">
          <reference field="1" count="0" selected="0"/>
          <reference field="3" count="1" selected="0">
            <x v="7"/>
          </reference>
          <reference field="5" count="1" selected="0">
            <x v="189"/>
          </reference>
          <reference field="6" count="1" selected="0">
            <x v="4"/>
          </reference>
          <reference field="16" count="1">
            <x v="61"/>
          </reference>
        </references>
      </pivotArea>
    </format>
    <format dxfId="6963">
      <pivotArea dataOnly="0" labelOnly="1" outline="0" fieldPosition="0">
        <references count="5">
          <reference field="1" count="0" selected="0"/>
          <reference field="3" count="1" selected="0">
            <x v="7"/>
          </reference>
          <reference field="5" count="1" selected="0">
            <x v="343"/>
          </reference>
          <reference field="6" count="1" selected="0">
            <x v="4"/>
          </reference>
          <reference field="16" count="1">
            <x v="38"/>
          </reference>
        </references>
      </pivotArea>
    </format>
    <format dxfId="6962">
      <pivotArea dataOnly="0" labelOnly="1" outline="0" fieldPosition="0">
        <references count="5">
          <reference field="1" count="0" selected="0"/>
          <reference field="3" count="1" selected="0">
            <x v="7"/>
          </reference>
          <reference field="5" count="1" selected="0">
            <x v="354"/>
          </reference>
          <reference field="6" count="1" selected="0">
            <x v="4"/>
          </reference>
          <reference field="16" count="1">
            <x v="78"/>
          </reference>
        </references>
      </pivotArea>
    </format>
    <format dxfId="6961">
      <pivotArea dataOnly="0" labelOnly="1" outline="0" fieldPosition="0">
        <references count="5">
          <reference field="1" count="0" selected="0"/>
          <reference field="3" count="1" selected="0">
            <x v="9"/>
          </reference>
          <reference field="5" count="1" selected="0">
            <x v="135"/>
          </reference>
          <reference field="6" count="1" selected="0">
            <x v="5"/>
          </reference>
          <reference field="16" count="1">
            <x v="87"/>
          </reference>
        </references>
      </pivotArea>
    </format>
    <format dxfId="6960">
      <pivotArea dataOnly="0" labelOnly="1" outline="0" fieldPosition="0">
        <references count="5">
          <reference field="1" count="0" selected="0"/>
          <reference field="3" count="1" selected="0">
            <x v="10"/>
          </reference>
          <reference field="5" count="1" selected="0">
            <x v="209"/>
          </reference>
          <reference field="6" count="1" selected="0">
            <x v="7"/>
          </reference>
          <reference field="16" count="1">
            <x v="91"/>
          </reference>
        </references>
      </pivotArea>
    </format>
    <format dxfId="6959">
      <pivotArea dataOnly="0" labelOnly="1" outline="0" fieldPosition="0">
        <references count="5">
          <reference field="1" count="0" selected="0"/>
          <reference field="3" count="1" selected="0">
            <x v="10"/>
          </reference>
          <reference field="5" count="1" selected="0">
            <x v="210"/>
          </reference>
          <reference field="6" count="1" selected="0">
            <x v="7"/>
          </reference>
          <reference field="16" count="1">
            <x v="74"/>
          </reference>
        </references>
      </pivotArea>
    </format>
    <format dxfId="6958">
      <pivotArea dataOnly="0" labelOnly="1" outline="0" fieldPosition="0">
        <references count="5">
          <reference field="1" count="0" selected="0"/>
          <reference field="3" count="1" selected="0">
            <x v="1"/>
          </reference>
          <reference field="5" count="1" selected="0">
            <x v="166"/>
          </reference>
          <reference field="6" count="1" selected="0">
            <x v="9"/>
          </reference>
          <reference field="16" count="1">
            <x v="21"/>
          </reference>
        </references>
      </pivotArea>
    </format>
    <format dxfId="6957">
      <pivotArea dataOnly="0" labelOnly="1" outline="0" fieldPosition="0">
        <references count="5">
          <reference field="1" count="0" selected="0"/>
          <reference field="3" count="1" selected="0">
            <x v="1"/>
          </reference>
          <reference field="5" count="1" selected="0">
            <x v="347"/>
          </reference>
          <reference field="6" count="1" selected="0">
            <x v="9"/>
          </reference>
          <reference field="16" count="1">
            <x v="10"/>
          </reference>
        </references>
      </pivotArea>
    </format>
    <format dxfId="6956">
      <pivotArea dataOnly="0" labelOnly="1" outline="0" fieldPosition="0">
        <references count="5">
          <reference field="1" count="0" selected="0"/>
          <reference field="3" count="1" selected="0">
            <x v="5"/>
          </reference>
          <reference field="5" count="1" selected="0">
            <x v="100"/>
          </reference>
          <reference field="6" count="1" selected="0">
            <x v="3"/>
          </reference>
          <reference field="16" count="1">
            <x v="1"/>
          </reference>
        </references>
      </pivotArea>
    </format>
    <format dxfId="6955">
      <pivotArea dataOnly="0" labelOnly="1" outline="0" fieldPosition="0">
        <references count="5">
          <reference field="1" count="0" selected="0"/>
          <reference field="3" count="1" selected="0">
            <x v="5"/>
          </reference>
          <reference field="5" count="1" selected="0">
            <x v="116"/>
          </reference>
          <reference field="6" count="1" selected="0">
            <x v="3"/>
          </reference>
          <reference field="16" count="1">
            <x v="73"/>
          </reference>
        </references>
      </pivotArea>
    </format>
    <format dxfId="6954">
      <pivotArea dataOnly="0" labelOnly="1" outline="0" fieldPosition="0">
        <references count="5">
          <reference field="1" count="0" selected="0"/>
          <reference field="3" count="1" selected="0">
            <x v="7"/>
          </reference>
          <reference field="5" count="1" selected="0">
            <x v="113"/>
          </reference>
          <reference field="6" count="1" selected="0">
            <x v="4"/>
          </reference>
          <reference field="16" count="1">
            <x v="39"/>
          </reference>
        </references>
      </pivotArea>
    </format>
    <format dxfId="6953">
      <pivotArea dataOnly="0" labelOnly="1" outline="0" fieldPosition="0">
        <references count="5">
          <reference field="1" count="0" selected="0"/>
          <reference field="3" count="1" selected="0">
            <x v="7"/>
          </reference>
          <reference field="5" count="1" selected="0">
            <x v="124"/>
          </reference>
          <reference field="6" count="1" selected="0">
            <x v="4"/>
          </reference>
          <reference field="16" count="1">
            <x v="15"/>
          </reference>
        </references>
      </pivotArea>
    </format>
    <format dxfId="6952">
      <pivotArea dataOnly="0" labelOnly="1" outline="0" fieldPosition="0">
        <references count="5">
          <reference field="1" count="0" selected="0"/>
          <reference field="3" count="1" selected="0">
            <x v="7"/>
          </reference>
          <reference field="5" count="1" selected="0">
            <x v="125"/>
          </reference>
          <reference field="6" count="1" selected="0">
            <x v="4"/>
          </reference>
          <reference field="16" count="1">
            <x v="16"/>
          </reference>
        </references>
      </pivotArea>
    </format>
    <format dxfId="6951">
      <pivotArea dataOnly="0" labelOnly="1" outline="0" fieldPosition="0">
        <references count="5">
          <reference field="1" count="0" selected="0"/>
          <reference field="3" count="1" selected="0">
            <x v="7"/>
          </reference>
          <reference field="5" count="1" selected="0">
            <x v="144"/>
          </reference>
          <reference field="6" count="1" selected="0">
            <x v="4"/>
          </reference>
          <reference field="16" count="1">
            <x v="93"/>
          </reference>
        </references>
      </pivotArea>
    </format>
    <format dxfId="6950">
      <pivotArea dataOnly="0" labelOnly="1" outline="0" fieldPosition="0">
        <references count="5">
          <reference field="1" count="0" selected="0"/>
          <reference field="3" count="1" selected="0">
            <x v="7"/>
          </reference>
          <reference field="5" count="1" selected="0">
            <x v="145"/>
          </reference>
          <reference field="6" count="1" selected="0">
            <x v="4"/>
          </reference>
          <reference field="16" count="1">
            <x v="97"/>
          </reference>
        </references>
      </pivotArea>
    </format>
    <format dxfId="6949">
      <pivotArea dataOnly="0" labelOnly="1" outline="0" fieldPosition="0">
        <references count="5">
          <reference field="1" count="0" selected="0"/>
          <reference field="3" count="1" selected="0">
            <x v="7"/>
          </reference>
          <reference field="5" count="1" selected="0">
            <x v="164"/>
          </reference>
          <reference field="6" count="1" selected="0">
            <x v="4"/>
          </reference>
          <reference field="16" count="1">
            <x v="85"/>
          </reference>
        </references>
      </pivotArea>
    </format>
    <format dxfId="6948">
      <pivotArea dataOnly="0" labelOnly="1" outline="0" fieldPosition="0">
        <references count="5">
          <reference field="1" count="0" selected="0"/>
          <reference field="3" count="1" selected="0">
            <x v="7"/>
          </reference>
          <reference field="5" count="1" selected="0">
            <x v="173"/>
          </reference>
          <reference field="6" count="1" selected="0">
            <x v="4"/>
          </reference>
          <reference field="16" count="1">
            <x v="92"/>
          </reference>
        </references>
      </pivotArea>
    </format>
    <format dxfId="6947">
      <pivotArea dataOnly="0" labelOnly="1" outline="0" fieldPosition="0">
        <references count="5">
          <reference field="1" count="0" selected="0"/>
          <reference field="3" count="1" selected="0">
            <x v="7"/>
          </reference>
          <reference field="5" count="1" selected="0">
            <x v="174"/>
          </reference>
          <reference field="6" count="1" selected="0">
            <x v="4"/>
          </reference>
          <reference field="16" count="1">
            <x v="108"/>
          </reference>
        </references>
      </pivotArea>
    </format>
    <format dxfId="6946">
      <pivotArea dataOnly="0" labelOnly="1" outline="0" fieldPosition="0">
        <references count="5">
          <reference field="1" count="0" selected="0"/>
          <reference field="3" count="1" selected="0">
            <x v="7"/>
          </reference>
          <reference field="5" count="1" selected="0">
            <x v="180"/>
          </reference>
          <reference field="6" count="1" selected="0">
            <x v="4"/>
          </reference>
          <reference field="16" count="1">
            <x v="112"/>
          </reference>
        </references>
      </pivotArea>
    </format>
    <format dxfId="6945">
      <pivotArea dataOnly="0" labelOnly="1" outline="0" fieldPosition="0">
        <references count="5">
          <reference field="1" count="0" selected="0"/>
          <reference field="3" count="1" selected="0">
            <x v="7"/>
          </reference>
          <reference field="5" count="1" selected="0">
            <x v="181"/>
          </reference>
          <reference field="6" count="1" selected="0">
            <x v="4"/>
          </reference>
          <reference field="16" count="1">
            <x v="111"/>
          </reference>
        </references>
      </pivotArea>
    </format>
    <format dxfId="6944">
      <pivotArea dataOnly="0" labelOnly="1" outline="0" fieldPosition="0">
        <references count="5">
          <reference field="1" count="0" selected="0"/>
          <reference field="3" count="1" selected="0">
            <x v="7"/>
          </reference>
          <reference field="5" count="1" selected="0">
            <x v="188"/>
          </reference>
          <reference field="6" count="1" selected="0">
            <x v="4"/>
          </reference>
          <reference field="16" count="1">
            <x v="70"/>
          </reference>
        </references>
      </pivotArea>
    </format>
    <format dxfId="6943">
      <pivotArea dataOnly="0" labelOnly="1" outline="0" fieldPosition="0">
        <references count="5">
          <reference field="1" count="0" selected="0"/>
          <reference field="3" count="1" selected="0">
            <x v="7"/>
          </reference>
          <reference field="5" count="1" selected="0">
            <x v="189"/>
          </reference>
          <reference field="6" count="1" selected="0">
            <x v="4"/>
          </reference>
          <reference field="16" count="1">
            <x v="61"/>
          </reference>
        </references>
      </pivotArea>
    </format>
    <format dxfId="6942">
      <pivotArea dataOnly="0" labelOnly="1" outline="0" fieldPosition="0">
        <references count="5">
          <reference field="1" count="0" selected="0"/>
          <reference field="3" count="1" selected="0">
            <x v="7"/>
          </reference>
          <reference field="5" count="1" selected="0">
            <x v="343"/>
          </reference>
          <reference field="6" count="1" selected="0">
            <x v="4"/>
          </reference>
          <reference field="16" count="1">
            <x v="38"/>
          </reference>
        </references>
      </pivotArea>
    </format>
    <format dxfId="6941">
      <pivotArea dataOnly="0" labelOnly="1" outline="0" fieldPosition="0">
        <references count="5">
          <reference field="1" count="0" selected="0"/>
          <reference field="3" count="1" selected="0">
            <x v="7"/>
          </reference>
          <reference field="5" count="1" selected="0">
            <x v="354"/>
          </reference>
          <reference field="6" count="1" selected="0">
            <x v="4"/>
          </reference>
          <reference field="16" count="1">
            <x v="78"/>
          </reference>
        </references>
      </pivotArea>
    </format>
    <format dxfId="6940">
      <pivotArea dataOnly="0" labelOnly="1" outline="0" fieldPosition="0">
        <references count="5">
          <reference field="1" count="0" selected="0"/>
          <reference field="3" count="1" selected="0">
            <x v="9"/>
          </reference>
          <reference field="5" count="1" selected="0">
            <x v="135"/>
          </reference>
          <reference field="6" count="1" selected="0">
            <x v="5"/>
          </reference>
          <reference field="16" count="1">
            <x v="87"/>
          </reference>
        </references>
      </pivotArea>
    </format>
    <format dxfId="6939">
      <pivotArea dataOnly="0" labelOnly="1" outline="0" fieldPosition="0">
        <references count="5">
          <reference field="1" count="0" selected="0"/>
          <reference field="3" count="1" selected="0">
            <x v="10"/>
          </reference>
          <reference field="5" count="1" selected="0">
            <x v="209"/>
          </reference>
          <reference field="6" count="1" selected="0">
            <x v="7"/>
          </reference>
          <reference field="16" count="1">
            <x v="91"/>
          </reference>
        </references>
      </pivotArea>
    </format>
    <format dxfId="6938">
      <pivotArea dataOnly="0" labelOnly="1" outline="0" fieldPosition="0">
        <references count="5">
          <reference field="1" count="0" selected="0"/>
          <reference field="3" count="1" selected="0">
            <x v="10"/>
          </reference>
          <reference field="5" count="1" selected="0">
            <x v="210"/>
          </reference>
          <reference field="6" count="1" selected="0">
            <x v="7"/>
          </reference>
          <reference field="16" count="1">
            <x v="74"/>
          </reference>
        </references>
      </pivotArea>
    </format>
    <format dxfId="6937">
      <pivotArea dataOnly="0" labelOnly="1" outline="0" fieldPosition="0">
        <references count="5">
          <reference field="1" count="0" selected="0"/>
          <reference field="3" count="1" selected="0">
            <x v="1"/>
          </reference>
          <reference field="5" count="1" selected="0">
            <x v="166"/>
          </reference>
          <reference field="6" count="1" selected="0">
            <x v="9"/>
          </reference>
          <reference field="16" count="1">
            <x v="21"/>
          </reference>
        </references>
      </pivotArea>
    </format>
    <format dxfId="6936">
      <pivotArea dataOnly="0" labelOnly="1" outline="0" fieldPosition="0">
        <references count="5">
          <reference field="1" count="0" selected="0"/>
          <reference field="3" count="1" selected="0">
            <x v="1"/>
          </reference>
          <reference field="5" count="1" selected="0">
            <x v="347"/>
          </reference>
          <reference field="6" count="1" selected="0">
            <x v="9"/>
          </reference>
          <reference field="16" count="1">
            <x v="10"/>
          </reference>
        </references>
      </pivotArea>
    </format>
    <format dxfId="6935">
      <pivotArea dataOnly="0" labelOnly="1" outline="0" fieldPosition="0">
        <references count="5">
          <reference field="1" count="0" selected="0"/>
          <reference field="3" count="1" selected="0">
            <x v="5"/>
          </reference>
          <reference field="5" count="1" selected="0">
            <x v="100"/>
          </reference>
          <reference field="6" count="1" selected="0">
            <x v="3"/>
          </reference>
          <reference field="16" count="1">
            <x v="1"/>
          </reference>
        </references>
      </pivotArea>
    </format>
    <format dxfId="6934">
      <pivotArea dataOnly="0" labelOnly="1" outline="0" fieldPosition="0">
        <references count="5">
          <reference field="1" count="0" selected="0"/>
          <reference field="3" count="1" selected="0">
            <x v="5"/>
          </reference>
          <reference field="5" count="1" selected="0">
            <x v="116"/>
          </reference>
          <reference field="6" count="1" selected="0">
            <x v="3"/>
          </reference>
          <reference field="16" count="1">
            <x v="73"/>
          </reference>
        </references>
      </pivotArea>
    </format>
    <format dxfId="6933">
      <pivotArea dataOnly="0" labelOnly="1" outline="0" fieldPosition="0">
        <references count="5">
          <reference field="1" count="0" selected="0"/>
          <reference field="3" count="1" selected="0">
            <x v="7"/>
          </reference>
          <reference field="5" count="1" selected="0">
            <x v="113"/>
          </reference>
          <reference field="6" count="1" selected="0">
            <x v="4"/>
          </reference>
          <reference field="16" count="1">
            <x v="39"/>
          </reference>
        </references>
      </pivotArea>
    </format>
    <format dxfId="6932">
      <pivotArea dataOnly="0" labelOnly="1" outline="0" fieldPosition="0">
        <references count="5">
          <reference field="1" count="0" selected="0"/>
          <reference field="3" count="1" selected="0">
            <x v="7"/>
          </reference>
          <reference field="5" count="1" selected="0">
            <x v="124"/>
          </reference>
          <reference field="6" count="1" selected="0">
            <x v="4"/>
          </reference>
          <reference field="16" count="1">
            <x v="15"/>
          </reference>
        </references>
      </pivotArea>
    </format>
    <format dxfId="6931">
      <pivotArea dataOnly="0" labelOnly="1" outline="0" fieldPosition="0">
        <references count="5">
          <reference field="1" count="0" selected="0"/>
          <reference field="3" count="1" selected="0">
            <x v="7"/>
          </reference>
          <reference field="5" count="1" selected="0">
            <x v="125"/>
          </reference>
          <reference field="6" count="1" selected="0">
            <x v="4"/>
          </reference>
          <reference field="16" count="1">
            <x v="16"/>
          </reference>
        </references>
      </pivotArea>
    </format>
    <format dxfId="6930">
      <pivotArea dataOnly="0" labelOnly="1" outline="0" fieldPosition="0">
        <references count="5">
          <reference field="1" count="0" selected="0"/>
          <reference field="3" count="1" selected="0">
            <x v="7"/>
          </reference>
          <reference field="5" count="1" selected="0">
            <x v="144"/>
          </reference>
          <reference field="6" count="1" selected="0">
            <x v="4"/>
          </reference>
          <reference field="16" count="1">
            <x v="93"/>
          </reference>
        </references>
      </pivotArea>
    </format>
    <format dxfId="6929">
      <pivotArea dataOnly="0" labelOnly="1" outline="0" fieldPosition="0">
        <references count="5">
          <reference field="1" count="0" selected="0"/>
          <reference field="3" count="1" selected="0">
            <x v="7"/>
          </reference>
          <reference field="5" count="1" selected="0">
            <x v="145"/>
          </reference>
          <reference field="6" count="1" selected="0">
            <x v="4"/>
          </reference>
          <reference field="16" count="1">
            <x v="97"/>
          </reference>
        </references>
      </pivotArea>
    </format>
    <format dxfId="6928">
      <pivotArea dataOnly="0" labelOnly="1" outline="0" fieldPosition="0">
        <references count="5">
          <reference field="1" count="0" selected="0"/>
          <reference field="3" count="1" selected="0">
            <x v="7"/>
          </reference>
          <reference field="5" count="1" selected="0">
            <x v="164"/>
          </reference>
          <reference field="6" count="1" selected="0">
            <x v="4"/>
          </reference>
          <reference field="16" count="1">
            <x v="85"/>
          </reference>
        </references>
      </pivotArea>
    </format>
    <format dxfId="6927">
      <pivotArea dataOnly="0" labelOnly="1" outline="0" fieldPosition="0">
        <references count="5">
          <reference field="1" count="0" selected="0"/>
          <reference field="3" count="1" selected="0">
            <x v="7"/>
          </reference>
          <reference field="5" count="1" selected="0">
            <x v="173"/>
          </reference>
          <reference field="6" count="1" selected="0">
            <x v="4"/>
          </reference>
          <reference field="16" count="1">
            <x v="92"/>
          </reference>
        </references>
      </pivotArea>
    </format>
    <format dxfId="6926">
      <pivotArea dataOnly="0" labelOnly="1" outline="0" fieldPosition="0">
        <references count="5">
          <reference field="1" count="0" selected="0"/>
          <reference field="3" count="1" selected="0">
            <x v="7"/>
          </reference>
          <reference field="5" count="1" selected="0">
            <x v="174"/>
          </reference>
          <reference field="6" count="1" selected="0">
            <x v="4"/>
          </reference>
          <reference field="16" count="1">
            <x v="108"/>
          </reference>
        </references>
      </pivotArea>
    </format>
    <format dxfId="6925">
      <pivotArea dataOnly="0" labelOnly="1" outline="0" fieldPosition="0">
        <references count="5">
          <reference field="1" count="0" selected="0"/>
          <reference field="3" count="1" selected="0">
            <x v="7"/>
          </reference>
          <reference field="5" count="1" selected="0">
            <x v="180"/>
          </reference>
          <reference field="6" count="1" selected="0">
            <x v="4"/>
          </reference>
          <reference field="16" count="1">
            <x v="112"/>
          </reference>
        </references>
      </pivotArea>
    </format>
    <format dxfId="6924">
      <pivotArea dataOnly="0" labelOnly="1" outline="0" fieldPosition="0">
        <references count="5">
          <reference field="1" count="0" selected="0"/>
          <reference field="3" count="1" selected="0">
            <x v="7"/>
          </reference>
          <reference field="5" count="1" selected="0">
            <x v="181"/>
          </reference>
          <reference field="6" count="1" selected="0">
            <x v="4"/>
          </reference>
          <reference field="16" count="1">
            <x v="111"/>
          </reference>
        </references>
      </pivotArea>
    </format>
    <format dxfId="6923">
      <pivotArea dataOnly="0" labelOnly="1" outline="0" fieldPosition="0">
        <references count="5">
          <reference field="1" count="0" selected="0"/>
          <reference field="3" count="1" selected="0">
            <x v="7"/>
          </reference>
          <reference field="5" count="1" selected="0">
            <x v="188"/>
          </reference>
          <reference field="6" count="1" selected="0">
            <x v="4"/>
          </reference>
          <reference field="16" count="1">
            <x v="70"/>
          </reference>
        </references>
      </pivotArea>
    </format>
    <format dxfId="6922">
      <pivotArea dataOnly="0" labelOnly="1" outline="0" fieldPosition="0">
        <references count="5">
          <reference field="1" count="0" selected="0"/>
          <reference field="3" count="1" selected="0">
            <x v="7"/>
          </reference>
          <reference field="5" count="1" selected="0">
            <x v="189"/>
          </reference>
          <reference field="6" count="1" selected="0">
            <x v="4"/>
          </reference>
          <reference field="16" count="1">
            <x v="61"/>
          </reference>
        </references>
      </pivotArea>
    </format>
    <format dxfId="6921">
      <pivotArea dataOnly="0" labelOnly="1" outline="0" fieldPosition="0">
        <references count="5">
          <reference field="1" count="0" selected="0"/>
          <reference field="3" count="1" selected="0">
            <x v="7"/>
          </reference>
          <reference field="5" count="1" selected="0">
            <x v="343"/>
          </reference>
          <reference field="6" count="1" selected="0">
            <x v="4"/>
          </reference>
          <reference field="16" count="1">
            <x v="38"/>
          </reference>
        </references>
      </pivotArea>
    </format>
    <format dxfId="6920">
      <pivotArea dataOnly="0" labelOnly="1" outline="0" fieldPosition="0">
        <references count="5">
          <reference field="1" count="0" selected="0"/>
          <reference field="3" count="1" selected="0">
            <x v="7"/>
          </reference>
          <reference field="5" count="1" selected="0">
            <x v="354"/>
          </reference>
          <reference field="6" count="1" selected="0">
            <x v="4"/>
          </reference>
          <reference field="16" count="1">
            <x v="78"/>
          </reference>
        </references>
      </pivotArea>
    </format>
    <format dxfId="6919">
      <pivotArea dataOnly="0" labelOnly="1" outline="0" fieldPosition="0">
        <references count="5">
          <reference field="1" count="0" selected="0"/>
          <reference field="3" count="1" selected="0">
            <x v="9"/>
          </reference>
          <reference field="5" count="1" selected="0">
            <x v="135"/>
          </reference>
          <reference field="6" count="1" selected="0">
            <x v="5"/>
          </reference>
          <reference field="16" count="1">
            <x v="87"/>
          </reference>
        </references>
      </pivotArea>
    </format>
    <format dxfId="6918">
      <pivotArea dataOnly="0" labelOnly="1" outline="0" fieldPosition="0">
        <references count="5">
          <reference field="1" count="0" selected="0"/>
          <reference field="3" count="1" selected="0">
            <x v="10"/>
          </reference>
          <reference field="5" count="1" selected="0">
            <x v="209"/>
          </reference>
          <reference field="6" count="1" selected="0">
            <x v="7"/>
          </reference>
          <reference field="16" count="1">
            <x v="91"/>
          </reference>
        </references>
      </pivotArea>
    </format>
    <format dxfId="6917">
      <pivotArea dataOnly="0" labelOnly="1" outline="0" fieldPosition="0">
        <references count="5">
          <reference field="1" count="0" selected="0"/>
          <reference field="3" count="1" selected="0">
            <x v="10"/>
          </reference>
          <reference field="5" count="1" selected="0">
            <x v="210"/>
          </reference>
          <reference field="6" count="1" selected="0">
            <x v="7"/>
          </reference>
          <reference field="16" count="1">
            <x v="74"/>
          </reference>
        </references>
      </pivotArea>
    </format>
    <format dxfId="6916">
      <pivotArea dataOnly="0" labelOnly="1" outline="0" fieldPosition="0">
        <references count="5">
          <reference field="1" count="0" selected="0"/>
          <reference field="3" count="1" selected="0">
            <x v="1"/>
          </reference>
          <reference field="5" count="1" selected="0">
            <x v="166"/>
          </reference>
          <reference field="6" count="1" selected="0">
            <x v="9"/>
          </reference>
          <reference field="16" count="1">
            <x v="21"/>
          </reference>
        </references>
      </pivotArea>
    </format>
    <format dxfId="6915">
      <pivotArea dataOnly="0" labelOnly="1" outline="0" fieldPosition="0">
        <references count="5">
          <reference field="1" count="0" selected="0"/>
          <reference field="3" count="1" selected="0">
            <x v="1"/>
          </reference>
          <reference field="5" count="1" selected="0">
            <x v="347"/>
          </reference>
          <reference field="6" count="1" selected="0">
            <x v="9"/>
          </reference>
          <reference field="16" count="1">
            <x v="10"/>
          </reference>
        </references>
      </pivotArea>
    </format>
    <format dxfId="6914">
      <pivotArea dataOnly="0" labelOnly="1" outline="0" fieldPosition="0">
        <references count="5">
          <reference field="1" count="0" selected="0"/>
          <reference field="3" count="1" selected="0">
            <x v="5"/>
          </reference>
          <reference field="5" count="1" selected="0">
            <x v="100"/>
          </reference>
          <reference field="6" count="1" selected="0">
            <x v="3"/>
          </reference>
          <reference field="16" count="1">
            <x v="1"/>
          </reference>
        </references>
      </pivotArea>
    </format>
    <format dxfId="6913">
      <pivotArea dataOnly="0" labelOnly="1" outline="0" fieldPosition="0">
        <references count="5">
          <reference field="1" count="0" selected="0"/>
          <reference field="3" count="1" selected="0">
            <x v="5"/>
          </reference>
          <reference field="5" count="1" selected="0">
            <x v="116"/>
          </reference>
          <reference field="6" count="1" selected="0">
            <x v="3"/>
          </reference>
          <reference field="16" count="1">
            <x v="73"/>
          </reference>
        </references>
      </pivotArea>
    </format>
    <format dxfId="6912">
      <pivotArea dataOnly="0" labelOnly="1" outline="0" fieldPosition="0">
        <references count="5">
          <reference field="1" count="0" selected="0"/>
          <reference field="3" count="1" selected="0">
            <x v="7"/>
          </reference>
          <reference field="5" count="1" selected="0">
            <x v="113"/>
          </reference>
          <reference field="6" count="1" selected="0">
            <x v="4"/>
          </reference>
          <reference field="16" count="1">
            <x v="39"/>
          </reference>
        </references>
      </pivotArea>
    </format>
    <format dxfId="6911">
      <pivotArea dataOnly="0" labelOnly="1" outline="0" fieldPosition="0">
        <references count="5">
          <reference field="1" count="0" selected="0"/>
          <reference field="3" count="1" selected="0">
            <x v="7"/>
          </reference>
          <reference field="5" count="1" selected="0">
            <x v="124"/>
          </reference>
          <reference field="6" count="1" selected="0">
            <x v="4"/>
          </reference>
          <reference field="16" count="1">
            <x v="15"/>
          </reference>
        </references>
      </pivotArea>
    </format>
    <format dxfId="6910">
      <pivotArea dataOnly="0" labelOnly="1" outline="0" fieldPosition="0">
        <references count="5">
          <reference field="1" count="0" selected="0"/>
          <reference field="3" count="1" selected="0">
            <x v="7"/>
          </reference>
          <reference field="5" count="1" selected="0">
            <x v="125"/>
          </reference>
          <reference field="6" count="1" selected="0">
            <x v="4"/>
          </reference>
          <reference field="16" count="1">
            <x v="16"/>
          </reference>
        </references>
      </pivotArea>
    </format>
    <format dxfId="6909">
      <pivotArea dataOnly="0" labelOnly="1" outline="0" fieldPosition="0">
        <references count="5">
          <reference field="1" count="0" selected="0"/>
          <reference field="3" count="1" selected="0">
            <x v="7"/>
          </reference>
          <reference field="5" count="1" selected="0">
            <x v="144"/>
          </reference>
          <reference field="6" count="1" selected="0">
            <x v="4"/>
          </reference>
          <reference field="16" count="1">
            <x v="93"/>
          </reference>
        </references>
      </pivotArea>
    </format>
    <format dxfId="6908">
      <pivotArea dataOnly="0" labelOnly="1" outline="0" fieldPosition="0">
        <references count="5">
          <reference field="1" count="0" selected="0"/>
          <reference field="3" count="1" selected="0">
            <x v="7"/>
          </reference>
          <reference field="5" count="1" selected="0">
            <x v="145"/>
          </reference>
          <reference field="6" count="1" selected="0">
            <x v="4"/>
          </reference>
          <reference field="16" count="1">
            <x v="97"/>
          </reference>
        </references>
      </pivotArea>
    </format>
    <format dxfId="6907">
      <pivotArea dataOnly="0" labelOnly="1" outline="0" fieldPosition="0">
        <references count="5">
          <reference field="1" count="0" selected="0"/>
          <reference field="3" count="1" selected="0">
            <x v="7"/>
          </reference>
          <reference field="5" count="1" selected="0">
            <x v="164"/>
          </reference>
          <reference field="6" count="1" selected="0">
            <x v="4"/>
          </reference>
          <reference field="16" count="1">
            <x v="85"/>
          </reference>
        </references>
      </pivotArea>
    </format>
    <format dxfId="6906">
      <pivotArea dataOnly="0" labelOnly="1" outline="0" fieldPosition="0">
        <references count="5">
          <reference field="1" count="0" selected="0"/>
          <reference field="3" count="1" selected="0">
            <x v="7"/>
          </reference>
          <reference field="5" count="1" selected="0">
            <x v="173"/>
          </reference>
          <reference field="6" count="1" selected="0">
            <x v="4"/>
          </reference>
          <reference field="16" count="1">
            <x v="92"/>
          </reference>
        </references>
      </pivotArea>
    </format>
    <format dxfId="6905">
      <pivotArea dataOnly="0" labelOnly="1" outline="0" fieldPosition="0">
        <references count="5">
          <reference field="1" count="0" selected="0"/>
          <reference field="3" count="1" selected="0">
            <x v="7"/>
          </reference>
          <reference field="5" count="1" selected="0">
            <x v="174"/>
          </reference>
          <reference field="6" count="1" selected="0">
            <x v="4"/>
          </reference>
          <reference field="16" count="1">
            <x v="108"/>
          </reference>
        </references>
      </pivotArea>
    </format>
    <format dxfId="6904">
      <pivotArea dataOnly="0" labelOnly="1" outline="0" fieldPosition="0">
        <references count="5">
          <reference field="1" count="0" selected="0"/>
          <reference field="3" count="1" selected="0">
            <x v="7"/>
          </reference>
          <reference field="5" count="1" selected="0">
            <x v="180"/>
          </reference>
          <reference field="6" count="1" selected="0">
            <x v="4"/>
          </reference>
          <reference field="16" count="1">
            <x v="112"/>
          </reference>
        </references>
      </pivotArea>
    </format>
    <format dxfId="6903">
      <pivotArea dataOnly="0" labelOnly="1" outline="0" fieldPosition="0">
        <references count="5">
          <reference field="1" count="0" selected="0"/>
          <reference field="3" count="1" selected="0">
            <x v="7"/>
          </reference>
          <reference field="5" count="1" selected="0">
            <x v="181"/>
          </reference>
          <reference field="6" count="1" selected="0">
            <x v="4"/>
          </reference>
          <reference field="16" count="1">
            <x v="111"/>
          </reference>
        </references>
      </pivotArea>
    </format>
    <format dxfId="6902">
      <pivotArea dataOnly="0" labelOnly="1" outline="0" fieldPosition="0">
        <references count="5">
          <reference field="1" count="0" selected="0"/>
          <reference field="3" count="1" selected="0">
            <x v="7"/>
          </reference>
          <reference field="5" count="1" selected="0">
            <x v="188"/>
          </reference>
          <reference field="6" count="1" selected="0">
            <x v="4"/>
          </reference>
          <reference field="16" count="1">
            <x v="70"/>
          </reference>
        </references>
      </pivotArea>
    </format>
    <format dxfId="6901">
      <pivotArea dataOnly="0" labelOnly="1" outline="0" fieldPosition="0">
        <references count="5">
          <reference field="1" count="0" selected="0"/>
          <reference field="3" count="1" selected="0">
            <x v="7"/>
          </reference>
          <reference field="5" count="1" selected="0">
            <x v="189"/>
          </reference>
          <reference field="6" count="1" selected="0">
            <x v="4"/>
          </reference>
          <reference field="16" count="1">
            <x v="61"/>
          </reference>
        </references>
      </pivotArea>
    </format>
    <format dxfId="6900">
      <pivotArea dataOnly="0" labelOnly="1" outline="0" fieldPosition="0">
        <references count="5">
          <reference field="1" count="0" selected="0"/>
          <reference field="3" count="1" selected="0">
            <x v="7"/>
          </reference>
          <reference field="5" count="1" selected="0">
            <x v="343"/>
          </reference>
          <reference field="6" count="1" selected="0">
            <x v="4"/>
          </reference>
          <reference field="16" count="1">
            <x v="38"/>
          </reference>
        </references>
      </pivotArea>
    </format>
    <format dxfId="6899">
      <pivotArea dataOnly="0" labelOnly="1" outline="0" fieldPosition="0">
        <references count="5">
          <reference field="1" count="0" selected="0"/>
          <reference field="3" count="1" selected="0">
            <x v="7"/>
          </reference>
          <reference field="5" count="1" selected="0">
            <x v="354"/>
          </reference>
          <reference field="6" count="1" selected="0">
            <x v="4"/>
          </reference>
          <reference field="16" count="1">
            <x v="78"/>
          </reference>
        </references>
      </pivotArea>
    </format>
    <format dxfId="6898">
      <pivotArea dataOnly="0" labelOnly="1" outline="0" fieldPosition="0">
        <references count="5">
          <reference field="1" count="0" selected="0"/>
          <reference field="3" count="1" selected="0">
            <x v="9"/>
          </reference>
          <reference field="5" count="1" selected="0">
            <x v="135"/>
          </reference>
          <reference field="6" count="1" selected="0">
            <x v="5"/>
          </reference>
          <reference field="16" count="1">
            <x v="87"/>
          </reference>
        </references>
      </pivotArea>
    </format>
    <format dxfId="6897">
      <pivotArea dataOnly="0" labelOnly="1" outline="0" fieldPosition="0">
        <references count="5">
          <reference field="1" count="0" selected="0"/>
          <reference field="3" count="1" selected="0">
            <x v="10"/>
          </reference>
          <reference field="5" count="1" selected="0">
            <x v="209"/>
          </reference>
          <reference field="6" count="1" selected="0">
            <x v="7"/>
          </reference>
          <reference field="16" count="1">
            <x v="91"/>
          </reference>
        </references>
      </pivotArea>
    </format>
    <format dxfId="6896">
      <pivotArea dataOnly="0" labelOnly="1" outline="0" fieldPosition="0">
        <references count="5">
          <reference field="1" count="0" selected="0"/>
          <reference field="3" count="1" selected="0">
            <x v="10"/>
          </reference>
          <reference field="5" count="1" selected="0">
            <x v="210"/>
          </reference>
          <reference field="6" count="1" selected="0">
            <x v="7"/>
          </reference>
          <reference field="16" count="1">
            <x v="74"/>
          </reference>
        </references>
      </pivotArea>
    </format>
    <format dxfId="6895">
      <pivotArea dataOnly="0" labelOnly="1" outline="0" fieldPosition="0">
        <references count="3">
          <reference field="1" count="0" selected="0"/>
          <reference field="3" count="1" selected="0">
            <x v="5"/>
          </reference>
          <reference field="5" count="1">
            <x v="111"/>
          </reference>
        </references>
      </pivotArea>
    </format>
    <format dxfId="6894">
      <pivotArea dataOnly="0" labelOnly="1" outline="0" fieldPosition="0">
        <references count="3">
          <reference field="1" count="0" selected="0"/>
          <reference field="3" count="1" selected="0">
            <x v="5"/>
          </reference>
          <reference field="5" count="1">
            <x v="346"/>
          </reference>
        </references>
      </pivotArea>
    </format>
    <format dxfId="6893">
      <pivotArea dataOnly="0" labelOnly="1" outline="0" fieldPosition="0">
        <references count="5">
          <reference field="1" count="0" selected="0"/>
          <reference field="3" count="1" selected="0">
            <x v="4"/>
          </reference>
          <reference field="5" count="1" selected="0">
            <x v="196"/>
          </reference>
          <reference field="6" count="1" selected="0">
            <x v="3"/>
          </reference>
          <reference field="16" count="1">
            <x v="28"/>
          </reference>
        </references>
      </pivotArea>
    </format>
    <format dxfId="6892">
      <pivotArea dataOnly="0" labelOnly="1" outline="0" fieldPosition="0">
        <references count="5">
          <reference field="1" count="0" selected="0"/>
          <reference field="3" count="1" selected="0">
            <x v="4"/>
          </reference>
          <reference field="5" count="1" selected="0">
            <x v="197"/>
          </reference>
          <reference field="6" count="1" selected="0">
            <x v="3"/>
          </reference>
          <reference field="16" count="1">
            <x v="52"/>
          </reference>
        </references>
      </pivotArea>
    </format>
    <format dxfId="6891">
      <pivotArea dataOnly="0" labelOnly="1" outline="0" fieldPosition="0">
        <references count="5">
          <reference field="1" count="0" selected="0"/>
          <reference field="3" count="1" selected="0">
            <x v="4"/>
          </reference>
          <reference field="5" count="1" selected="0">
            <x v="202"/>
          </reference>
          <reference field="6" count="1" selected="0">
            <x v="3"/>
          </reference>
          <reference field="16" count="1">
            <x v="45"/>
          </reference>
        </references>
      </pivotArea>
    </format>
    <format dxfId="6890">
      <pivotArea dataOnly="0" labelOnly="1" outline="0" fieldPosition="0">
        <references count="5">
          <reference field="1" count="0" selected="0"/>
          <reference field="3" count="1" selected="0">
            <x v="5"/>
          </reference>
          <reference field="5" count="1" selected="0">
            <x v="98"/>
          </reference>
          <reference field="6" count="1" selected="0">
            <x v="3"/>
          </reference>
          <reference field="16" count="1">
            <x v="0"/>
          </reference>
        </references>
      </pivotArea>
    </format>
    <format dxfId="6889">
      <pivotArea dataOnly="0" labelOnly="1" outline="0" fieldPosition="0">
        <references count="5">
          <reference field="1" count="0" selected="0"/>
          <reference field="3" count="1" selected="0">
            <x v="5"/>
          </reference>
          <reference field="5" count="1" selected="0">
            <x v="112"/>
          </reference>
          <reference field="6" count="1" selected="0">
            <x v="3"/>
          </reference>
          <reference field="16" count="1">
            <x v="11"/>
          </reference>
        </references>
      </pivotArea>
    </format>
    <format dxfId="6888">
      <pivotArea dataOnly="0" labelOnly="1" outline="0" fieldPosition="0">
        <references count="5">
          <reference field="1" count="0" selected="0"/>
          <reference field="3" count="1" selected="0">
            <x v="5"/>
          </reference>
          <reference field="5" count="1" selected="0">
            <x v="213"/>
          </reference>
          <reference field="6" count="1" selected="0">
            <x v="3"/>
          </reference>
          <reference field="16" count="1">
            <x v="102"/>
          </reference>
        </references>
      </pivotArea>
    </format>
    <format dxfId="6887">
      <pivotArea dataOnly="0" labelOnly="1" outline="0" fieldPosition="0">
        <references count="5">
          <reference field="1" count="0" selected="0"/>
          <reference field="3" count="1" selected="0">
            <x v="5"/>
          </reference>
          <reference field="5" count="1" selected="0">
            <x v="214"/>
          </reference>
          <reference field="6" count="1" selected="0">
            <x v="3"/>
          </reference>
          <reference field="16" count="1">
            <x v="32"/>
          </reference>
        </references>
      </pivotArea>
    </format>
    <format dxfId="6886">
      <pivotArea dataOnly="0" labelOnly="1" outline="0" fieldPosition="0">
        <references count="5">
          <reference field="1" count="0" selected="0"/>
          <reference field="3" count="1" selected="0">
            <x v="5"/>
          </reference>
          <reference field="5" count="1" selected="0">
            <x v="329"/>
          </reference>
          <reference field="6" count="1" selected="0">
            <x v="3"/>
          </reference>
          <reference field="16" count="1">
            <x v="79"/>
          </reference>
        </references>
      </pivotArea>
    </format>
    <format dxfId="6885">
      <pivotArea dataOnly="0" labelOnly="1" outline="0" fieldPosition="0">
        <references count="5">
          <reference field="1" count="0" selected="0"/>
          <reference field="3" count="1" selected="0">
            <x v="5"/>
          </reference>
          <reference field="5" count="1" selected="0">
            <x v="358"/>
          </reference>
          <reference field="6" count="1" selected="0">
            <x v="3"/>
          </reference>
          <reference field="16" count="1">
            <x v="117"/>
          </reference>
        </references>
      </pivotArea>
    </format>
    <format dxfId="6884">
      <pivotArea dataOnly="0" labelOnly="1" outline="0" fieldPosition="0">
        <references count="5">
          <reference field="1" count="0" selected="0"/>
          <reference field="3" count="1" selected="0">
            <x v="7"/>
          </reference>
          <reference field="5" count="1" selected="0">
            <x v="118"/>
          </reference>
          <reference field="6" count="1" selected="0">
            <x v="4"/>
          </reference>
          <reference field="16" count="1">
            <x v="99"/>
          </reference>
        </references>
      </pivotArea>
    </format>
    <format dxfId="6883">
      <pivotArea dataOnly="0" labelOnly="1" outline="0" fieldPosition="0">
        <references count="5">
          <reference field="1" count="0" selected="0"/>
          <reference field="3" count="1" selected="0">
            <x v="7"/>
          </reference>
          <reference field="5" count="1" selected="0">
            <x v="123"/>
          </reference>
          <reference field="6" count="1" selected="0">
            <x v="4"/>
          </reference>
          <reference field="16" count="1">
            <x v="40"/>
          </reference>
        </references>
      </pivotArea>
    </format>
    <format dxfId="6882">
      <pivotArea dataOnly="0" labelOnly="1" outline="0" fieldPosition="0">
        <references count="5">
          <reference field="1" count="0" selected="0"/>
          <reference field="3" count="1" selected="0">
            <x v="7"/>
          </reference>
          <reference field="5" count="1" selected="0">
            <x v="126"/>
          </reference>
          <reference field="6" count="1" selected="0">
            <x v="4"/>
          </reference>
          <reference field="16" count="1">
            <x v="17"/>
          </reference>
        </references>
      </pivotArea>
    </format>
    <format dxfId="6881">
      <pivotArea dataOnly="0" labelOnly="1" outline="0" fieldPosition="0">
        <references count="5">
          <reference field="1" count="0" selected="0"/>
          <reference field="3" count="1" selected="0">
            <x v="7"/>
          </reference>
          <reference field="5" count="1" selected="0">
            <x v="137"/>
          </reference>
          <reference field="6" count="1" selected="0">
            <x v="4"/>
          </reference>
          <reference field="16" count="1">
            <x v="60"/>
          </reference>
        </references>
      </pivotArea>
    </format>
    <format dxfId="6880">
      <pivotArea dataOnly="0" labelOnly="1" outline="0" fieldPosition="0">
        <references count="5">
          <reference field="1" count="0" selected="0"/>
          <reference field="3" count="1" selected="0">
            <x v="7"/>
          </reference>
          <reference field="5" count="1" selected="0">
            <x v="159"/>
          </reference>
          <reference field="6" count="1" selected="0">
            <x v="4"/>
          </reference>
          <reference field="16" count="1">
            <x v="95"/>
          </reference>
        </references>
      </pivotArea>
    </format>
    <format dxfId="6879">
      <pivotArea dataOnly="0" labelOnly="1" outline="0" fieldPosition="0">
        <references count="5">
          <reference field="1" count="0" selected="0"/>
          <reference field="3" count="1" selected="0">
            <x v="7"/>
          </reference>
          <reference field="5" count="1" selected="0">
            <x v="165"/>
          </reference>
          <reference field="6" count="1" selected="0">
            <x v="4"/>
          </reference>
          <reference field="16" count="1">
            <x v="77"/>
          </reference>
        </references>
      </pivotArea>
    </format>
    <format dxfId="6878">
      <pivotArea dataOnly="0" labelOnly="1" outline="0" fieldPosition="0">
        <references count="5">
          <reference field="1" count="0" selected="0"/>
          <reference field="3" count="1" selected="0">
            <x v="7"/>
          </reference>
          <reference field="5" count="1" selected="0">
            <x v="172"/>
          </reference>
          <reference field="6" count="1" selected="0">
            <x v="4"/>
          </reference>
          <reference field="16" count="1">
            <x v="68"/>
          </reference>
        </references>
      </pivotArea>
    </format>
    <format dxfId="6877">
      <pivotArea dataOnly="0" labelOnly="1" outline="0" fieldPosition="0">
        <references count="5">
          <reference field="1" count="0" selected="0"/>
          <reference field="3" count="1" selected="0">
            <x v="7"/>
          </reference>
          <reference field="5" count="1" selected="0">
            <x v="175"/>
          </reference>
          <reference field="6" count="1" selected="0">
            <x v="4"/>
          </reference>
          <reference field="16" count="1">
            <x v="110"/>
          </reference>
        </references>
      </pivotArea>
    </format>
    <format dxfId="6876">
      <pivotArea dataOnly="0" labelOnly="1" outline="0" fieldPosition="0">
        <references count="5">
          <reference field="1" count="0" selected="0"/>
          <reference field="3" count="1" selected="0">
            <x v="7"/>
          </reference>
          <reference field="5" count="1" selected="0">
            <x v="182"/>
          </reference>
          <reference field="6" count="1" selected="0">
            <x v="4"/>
          </reference>
          <reference field="16" count="1">
            <x v="65"/>
          </reference>
        </references>
      </pivotArea>
    </format>
    <format dxfId="6875">
      <pivotArea dataOnly="0" labelOnly="1" outline="0" fieldPosition="0">
        <references count="5">
          <reference field="1" count="0" selected="0"/>
          <reference field="3" count="1" selected="0">
            <x v="7"/>
          </reference>
          <reference field="5" count="1" selected="0">
            <x v="187"/>
          </reference>
          <reference field="6" count="1" selected="0">
            <x v="4"/>
          </reference>
          <reference field="16" count="1">
            <x v="76"/>
          </reference>
        </references>
      </pivotArea>
    </format>
    <format dxfId="6874">
      <pivotArea dataOnly="0" labelOnly="1" outline="0" fieldPosition="0">
        <references count="5">
          <reference field="1" count="0" selected="0"/>
          <reference field="3" count="1" selected="0">
            <x v="7"/>
          </reference>
          <reference field="5" count="1" selected="0">
            <x v="190"/>
          </reference>
          <reference field="6" count="1" selected="0">
            <x v="4"/>
          </reference>
          <reference field="16" count="1">
            <x v="75"/>
          </reference>
        </references>
      </pivotArea>
    </format>
    <format dxfId="6873">
      <pivotArea dataOnly="0" labelOnly="1" outline="0" fieldPosition="0">
        <references count="5">
          <reference field="1" count="0" selected="0"/>
          <reference field="3" count="1" selected="0">
            <x v="7"/>
          </reference>
          <reference field="5" count="1" selected="0">
            <x v="335"/>
          </reference>
          <reference field="6" count="1" selected="0">
            <x v="4"/>
          </reference>
          <reference field="16" count="1">
            <x v="114"/>
          </reference>
        </references>
      </pivotArea>
    </format>
    <format dxfId="6872">
      <pivotArea dataOnly="0" labelOnly="1" outline="0" fieldPosition="0">
        <references count="5">
          <reference field="1" count="0" selected="0"/>
          <reference field="3" count="1" selected="0">
            <x v="7"/>
          </reference>
          <reference field="5" count="1" selected="0">
            <x v="342"/>
          </reference>
          <reference field="6" count="1" selected="0">
            <x v="4"/>
          </reference>
          <reference field="16" count="1">
            <x v="14"/>
          </reference>
        </references>
      </pivotArea>
    </format>
    <format dxfId="6871">
      <pivotArea dataOnly="0" labelOnly="1" outline="0" fieldPosition="0">
        <references count="5">
          <reference field="1" count="0" selected="0"/>
          <reference field="3" count="1" selected="0">
            <x v="9"/>
          </reference>
          <reference field="5" count="1" selected="0">
            <x v="133"/>
          </reference>
          <reference field="6" count="1" selected="0">
            <x v="5"/>
          </reference>
          <reference field="16" count="1">
            <x v="100"/>
          </reference>
        </references>
      </pivotArea>
    </format>
    <format dxfId="6870">
      <pivotArea dataOnly="0" labelOnly="1" outline="0" fieldPosition="0">
        <references count="5">
          <reference field="1" count="0" selected="0"/>
          <reference field="3" count="1" selected="0">
            <x v="10"/>
          </reference>
          <reference field="5" count="1" selected="0">
            <x v="211"/>
          </reference>
          <reference field="6" count="1" selected="0">
            <x v="7"/>
          </reference>
          <reference field="16" count="1">
            <x v="94"/>
          </reference>
        </references>
      </pivotArea>
    </format>
    <format dxfId="6869">
      <pivotArea dataOnly="0" labelOnly="1" outline="0" fieldPosition="0">
        <references count="5">
          <reference field="1" count="0" selected="0"/>
          <reference field="3" count="1" selected="0">
            <x v="16"/>
          </reference>
          <reference field="5" count="1" selected="0">
            <x v="341"/>
          </reference>
          <reference field="6" count="1" selected="0">
            <x v="3"/>
          </reference>
          <reference field="16" count="1">
            <x v="33"/>
          </reference>
        </references>
      </pivotArea>
    </format>
    <format dxfId="6868">
      <pivotArea dataOnly="0" labelOnly="1" outline="0" fieldPosition="0">
        <references count="3">
          <reference field="1" count="0" selected="0"/>
          <reference field="3" count="1" selected="0">
            <x v="5"/>
          </reference>
          <reference field="5" count="1">
            <x v="111"/>
          </reference>
        </references>
      </pivotArea>
    </format>
    <format dxfId="6867">
      <pivotArea dataOnly="0" labelOnly="1" outline="0" fieldPosition="0">
        <references count="3">
          <reference field="1" count="0" selected="0"/>
          <reference field="3" count="1" selected="0">
            <x v="5"/>
          </reference>
          <reference field="5" count="1">
            <x v="346"/>
          </reference>
        </references>
      </pivotArea>
    </format>
    <format dxfId="6866">
      <pivotArea dataOnly="0" labelOnly="1" outline="0" fieldPosition="0">
        <references count="5">
          <reference field="1" count="0" selected="0"/>
          <reference field="3" count="1" selected="0">
            <x v="4"/>
          </reference>
          <reference field="5" count="1" selected="0">
            <x v="196"/>
          </reference>
          <reference field="6" count="1" selected="0">
            <x v="3"/>
          </reference>
          <reference field="16" count="1">
            <x v="28"/>
          </reference>
        </references>
      </pivotArea>
    </format>
    <format dxfId="6865">
      <pivotArea dataOnly="0" labelOnly="1" outline="0" fieldPosition="0">
        <references count="5">
          <reference field="1" count="0" selected="0"/>
          <reference field="3" count="1" selected="0">
            <x v="4"/>
          </reference>
          <reference field="5" count="1" selected="0">
            <x v="197"/>
          </reference>
          <reference field="6" count="1" selected="0">
            <x v="3"/>
          </reference>
          <reference field="16" count="1">
            <x v="52"/>
          </reference>
        </references>
      </pivotArea>
    </format>
    <format dxfId="6864">
      <pivotArea dataOnly="0" labelOnly="1" outline="0" fieldPosition="0">
        <references count="5">
          <reference field="1" count="0" selected="0"/>
          <reference field="3" count="1" selected="0">
            <x v="4"/>
          </reference>
          <reference field="5" count="1" selected="0">
            <x v="202"/>
          </reference>
          <reference field="6" count="1" selected="0">
            <x v="3"/>
          </reference>
          <reference field="16" count="1">
            <x v="45"/>
          </reference>
        </references>
      </pivotArea>
    </format>
    <format dxfId="6863">
      <pivotArea dataOnly="0" labelOnly="1" outline="0" fieldPosition="0">
        <references count="5">
          <reference field="1" count="0" selected="0"/>
          <reference field="3" count="1" selected="0">
            <x v="5"/>
          </reference>
          <reference field="5" count="1" selected="0">
            <x v="98"/>
          </reference>
          <reference field="6" count="1" selected="0">
            <x v="3"/>
          </reference>
          <reference field="16" count="1">
            <x v="0"/>
          </reference>
        </references>
      </pivotArea>
    </format>
    <format dxfId="6862">
      <pivotArea dataOnly="0" labelOnly="1" outline="0" fieldPosition="0">
        <references count="5">
          <reference field="1" count="0" selected="0"/>
          <reference field="3" count="1" selected="0">
            <x v="5"/>
          </reference>
          <reference field="5" count="1" selected="0">
            <x v="112"/>
          </reference>
          <reference field="6" count="1" selected="0">
            <x v="3"/>
          </reference>
          <reference field="16" count="1">
            <x v="11"/>
          </reference>
        </references>
      </pivotArea>
    </format>
    <format dxfId="6861">
      <pivotArea dataOnly="0" labelOnly="1" outline="0" fieldPosition="0">
        <references count="5">
          <reference field="1" count="0" selected="0"/>
          <reference field="3" count="1" selected="0">
            <x v="5"/>
          </reference>
          <reference field="5" count="1" selected="0">
            <x v="213"/>
          </reference>
          <reference field="6" count="1" selected="0">
            <x v="3"/>
          </reference>
          <reference field="16" count="1">
            <x v="102"/>
          </reference>
        </references>
      </pivotArea>
    </format>
    <format dxfId="6860">
      <pivotArea dataOnly="0" labelOnly="1" outline="0" fieldPosition="0">
        <references count="5">
          <reference field="1" count="0" selected="0"/>
          <reference field="3" count="1" selected="0">
            <x v="5"/>
          </reference>
          <reference field="5" count="1" selected="0">
            <x v="214"/>
          </reference>
          <reference field="6" count="1" selected="0">
            <x v="3"/>
          </reference>
          <reference field="16" count="1">
            <x v="32"/>
          </reference>
        </references>
      </pivotArea>
    </format>
    <format dxfId="6859">
      <pivotArea dataOnly="0" labelOnly="1" outline="0" fieldPosition="0">
        <references count="5">
          <reference field="1" count="0" selected="0"/>
          <reference field="3" count="1" selected="0">
            <x v="5"/>
          </reference>
          <reference field="5" count="1" selected="0">
            <x v="329"/>
          </reference>
          <reference field="6" count="1" selected="0">
            <x v="3"/>
          </reference>
          <reference field="16" count="1">
            <x v="79"/>
          </reference>
        </references>
      </pivotArea>
    </format>
    <format dxfId="6858">
      <pivotArea dataOnly="0" labelOnly="1" outline="0" fieldPosition="0">
        <references count="5">
          <reference field="1" count="0" selected="0"/>
          <reference field="3" count="1" selected="0">
            <x v="5"/>
          </reference>
          <reference field="5" count="1" selected="0">
            <x v="358"/>
          </reference>
          <reference field="6" count="1" selected="0">
            <x v="3"/>
          </reference>
          <reference field="16" count="1">
            <x v="117"/>
          </reference>
        </references>
      </pivotArea>
    </format>
    <format dxfId="6857">
      <pivotArea dataOnly="0" labelOnly="1" outline="0" fieldPosition="0">
        <references count="5">
          <reference field="1" count="0" selected="0"/>
          <reference field="3" count="1" selected="0">
            <x v="7"/>
          </reference>
          <reference field="5" count="1" selected="0">
            <x v="118"/>
          </reference>
          <reference field="6" count="1" selected="0">
            <x v="4"/>
          </reference>
          <reference field="16" count="1">
            <x v="99"/>
          </reference>
        </references>
      </pivotArea>
    </format>
    <format dxfId="6856">
      <pivotArea dataOnly="0" labelOnly="1" outline="0" fieldPosition="0">
        <references count="5">
          <reference field="1" count="0" selected="0"/>
          <reference field="3" count="1" selected="0">
            <x v="7"/>
          </reference>
          <reference field="5" count="1" selected="0">
            <x v="123"/>
          </reference>
          <reference field="6" count="1" selected="0">
            <x v="4"/>
          </reference>
          <reference field="16" count="1">
            <x v="40"/>
          </reference>
        </references>
      </pivotArea>
    </format>
    <format dxfId="6855">
      <pivotArea dataOnly="0" labelOnly="1" outline="0" fieldPosition="0">
        <references count="5">
          <reference field="1" count="0" selected="0"/>
          <reference field="3" count="1" selected="0">
            <x v="7"/>
          </reference>
          <reference field="5" count="1" selected="0">
            <x v="126"/>
          </reference>
          <reference field="6" count="1" selected="0">
            <x v="4"/>
          </reference>
          <reference field="16" count="1">
            <x v="17"/>
          </reference>
        </references>
      </pivotArea>
    </format>
    <format dxfId="6854">
      <pivotArea dataOnly="0" labelOnly="1" outline="0" fieldPosition="0">
        <references count="5">
          <reference field="1" count="0" selected="0"/>
          <reference field="3" count="1" selected="0">
            <x v="7"/>
          </reference>
          <reference field="5" count="1" selected="0">
            <x v="137"/>
          </reference>
          <reference field="6" count="1" selected="0">
            <x v="4"/>
          </reference>
          <reference field="16" count="1">
            <x v="60"/>
          </reference>
        </references>
      </pivotArea>
    </format>
    <format dxfId="6853">
      <pivotArea dataOnly="0" labelOnly="1" outline="0" fieldPosition="0">
        <references count="5">
          <reference field="1" count="0" selected="0"/>
          <reference field="3" count="1" selected="0">
            <x v="7"/>
          </reference>
          <reference field="5" count="1" selected="0">
            <x v="159"/>
          </reference>
          <reference field="6" count="1" selected="0">
            <x v="4"/>
          </reference>
          <reference field="16" count="1">
            <x v="95"/>
          </reference>
        </references>
      </pivotArea>
    </format>
    <format dxfId="6852">
      <pivotArea dataOnly="0" labelOnly="1" outline="0" fieldPosition="0">
        <references count="5">
          <reference field="1" count="0" selected="0"/>
          <reference field="3" count="1" selected="0">
            <x v="7"/>
          </reference>
          <reference field="5" count="1" selected="0">
            <x v="165"/>
          </reference>
          <reference field="6" count="1" selected="0">
            <x v="4"/>
          </reference>
          <reference field="16" count="1">
            <x v="77"/>
          </reference>
        </references>
      </pivotArea>
    </format>
    <format dxfId="6851">
      <pivotArea dataOnly="0" labelOnly="1" outline="0" fieldPosition="0">
        <references count="5">
          <reference field="1" count="0" selected="0"/>
          <reference field="3" count="1" selected="0">
            <x v="7"/>
          </reference>
          <reference field="5" count="1" selected="0">
            <x v="172"/>
          </reference>
          <reference field="6" count="1" selected="0">
            <x v="4"/>
          </reference>
          <reference field="16" count="1">
            <x v="68"/>
          </reference>
        </references>
      </pivotArea>
    </format>
    <format dxfId="6850">
      <pivotArea dataOnly="0" labelOnly="1" outline="0" fieldPosition="0">
        <references count="5">
          <reference field="1" count="0" selected="0"/>
          <reference field="3" count="1" selected="0">
            <x v="7"/>
          </reference>
          <reference field="5" count="1" selected="0">
            <x v="175"/>
          </reference>
          <reference field="6" count="1" selected="0">
            <x v="4"/>
          </reference>
          <reference field="16" count="1">
            <x v="110"/>
          </reference>
        </references>
      </pivotArea>
    </format>
    <format dxfId="6849">
      <pivotArea dataOnly="0" labelOnly="1" outline="0" fieldPosition="0">
        <references count="5">
          <reference field="1" count="0" selected="0"/>
          <reference field="3" count="1" selected="0">
            <x v="7"/>
          </reference>
          <reference field="5" count="1" selected="0">
            <x v="182"/>
          </reference>
          <reference field="6" count="1" selected="0">
            <x v="4"/>
          </reference>
          <reference field="16" count="1">
            <x v="65"/>
          </reference>
        </references>
      </pivotArea>
    </format>
    <format dxfId="6848">
      <pivotArea dataOnly="0" labelOnly="1" outline="0" fieldPosition="0">
        <references count="5">
          <reference field="1" count="0" selected="0"/>
          <reference field="3" count="1" selected="0">
            <x v="7"/>
          </reference>
          <reference field="5" count="1" selected="0">
            <x v="187"/>
          </reference>
          <reference field="6" count="1" selected="0">
            <x v="4"/>
          </reference>
          <reference field="16" count="1">
            <x v="76"/>
          </reference>
        </references>
      </pivotArea>
    </format>
    <format dxfId="6847">
      <pivotArea dataOnly="0" labelOnly="1" outline="0" fieldPosition="0">
        <references count="5">
          <reference field="1" count="0" selected="0"/>
          <reference field="3" count="1" selected="0">
            <x v="7"/>
          </reference>
          <reference field="5" count="1" selected="0">
            <x v="190"/>
          </reference>
          <reference field="6" count="1" selected="0">
            <x v="4"/>
          </reference>
          <reference field="16" count="1">
            <x v="75"/>
          </reference>
        </references>
      </pivotArea>
    </format>
    <format dxfId="6846">
      <pivotArea dataOnly="0" labelOnly="1" outline="0" fieldPosition="0">
        <references count="5">
          <reference field="1" count="0" selected="0"/>
          <reference field="3" count="1" selected="0">
            <x v="7"/>
          </reference>
          <reference field="5" count="1" selected="0">
            <x v="335"/>
          </reference>
          <reference field="6" count="1" selected="0">
            <x v="4"/>
          </reference>
          <reference field="16" count="1">
            <x v="114"/>
          </reference>
        </references>
      </pivotArea>
    </format>
    <format dxfId="6845">
      <pivotArea dataOnly="0" labelOnly="1" outline="0" fieldPosition="0">
        <references count="5">
          <reference field="1" count="0" selected="0"/>
          <reference field="3" count="1" selected="0">
            <x v="7"/>
          </reference>
          <reference field="5" count="1" selected="0">
            <x v="342"/>
          </reference>
          <reference field="6" count="1" selected="0">
            <x v="4"/>
          </reference>
          <reference field="16" count="1">
            <x v="14"/>
          </reference>
        </references>
      </pivotArea>
    </format>
    <format dxfId="6844">
      <pivotArea dataOnly="0" labelOnly="1" outline="0" fieldPosition="0">
        <references count="5">
          <reference field="1" count="0" selected="0"/>
          <reference field="3" count="1" selected="0">
            <x v="9"/>
          </reference>
          <reference field="5" count="1" selected="0">
            <x v="133"/>
          </reference>
          <reference field="6" count="1" selected="0">
            <x v="5"/>
          </reference>
          <reference field="16" count="1">
            <x v="100"/>
          </reference>
        </references>
      </pivotArea>
    </format>
    <format dxfId="6843">
      <pivotArea dataOnly="0" labelOnly="1" outline="0" fieldPosition="0">
        <references count="5">
          <reference field="1" count="0" selected="0"/>
          <reference field="3" count="1" selected="0">
            <x v="10"/>
          </reference>
          <reference field="5" count="1" selected="0">
            <x v="211"/>
          </reference>
          <reference field="6" count="1" selected="0">
            <x v="7"/>
          </reference>
          <reference field="16" count="1">
            <x v="94"/>
          </reference>
        </references>
      </pivotArea>
    </format>
    <format dxfId="6842">
      <pivotArea dataOnly="0" labelOnly="1" outline="0" fieldPosition="0">
        <references count="5">
          <reference field="1" count="0" selected="0"/>
          <reference field="3" count="1" selected="0">
            <x v="16"/>
          </reference>
          <reference field="5" count="1" selected="0">
            <x v="341"/>
          </reference>
          <reference field="6" count="1" selected="0">
            <x v="3"/>
          </reference>
          <reference field="16" count="1">
            <x v="33"/>
          </reference>
        </references>
      </pivotArea>
    </format>
    <format dxfId="6841">
      <pivotArea dataOnly="0" labelOnly="1" outline="0" fieldPosition="0">
        <references count="3">
          <reference field="1" count="0" selected="0"/>
          <reference field="3" count="1" selected="0">
            <x v="5"/>
          </reference>
          <reference field="5" count="1">
            <x v="111"/>
          </reference>
        </references>
      </pivotArea>
    </format>
    <format dxfId="6840">
      <pivotArea dataOnly="0" labelOnly="1" outline="0" fieldPosition="0">
        <references count="3">
          <reference field="1" count="0" selected="0"/>
          <reference field="3" count="1" selected="0">
            <x v="5"/>
          </reference>
          <reference field="5" count="1">
            <x v="346"/>
          </reference>
        </references>
      </pivotArea>
    </format>
    <format dxfId="6839">
      <pivotArea dataOnly="0" labelOnly="1" outline="0" fieldPosition="0">
        <references count="5">
          <reference field="1" count="0" selected="0"/>
          <reference field="3" count="1" selected="0">
            <x v="4"/>
          </reference>
          <reference field="5" count="1" selected="0">
            <x v="196"/>
          </reference>
          <reference field="6" count="1" selected="0">
            <x v="3"/>
          </reference>
          <reference field="16" count="1">
            <x v="28"/>
          </reference>
        </references>
      </pivotArea>
    </format>
    <format dxfId="6838">
      <pivotArea dataOnly="0" labelOnly="1" outline="0" fieldPosition="0">
        <references count="5">
          <reference field="1" count="0" selected="0"/>
          <reference field="3" count="1" selected="0">
            <x v="4"/>
          </reference>
          <reference field="5" count="1" selected="0">
            <x v="197"/>
          </reference>
          <reference field="6" count="1" selected="0">
            <x v="3"/>
          </reference>
          <reference field="16" count="1">
            <x v="52"/>
          </reference>
        </references>
      </pivotArea>
    </format>
    <format dxfId="6837">
      <pivotArea dataOnly="0" labelOnly="1" outline="0" fieldPosition="0">
        <references count="5">
          <reference field="1" count="0" selected="0"/>
          <reference field="3" count="1" selected="0">
            <x v="4"/>
          </reference>
          <reference field="5" count="1" selected="0">
            <x v="202"/>
          </reference>
          <reference field="6" count="1" selected="0">
            <x v="3"/>
          </reference>
          <reference field="16" count="1">
            <x v="45"/>
          </reference>
        </references>
      </pivotArea>
    </format>
    <format dxfId="6836">
      <pivotArea dataOnly="0" labelOnly="1" outline="0" fieldPosition="0">
        <references count="5">
          <reference field="1" count="0" selected="0"/>
          <reference field="3" count="1" selected="0">
            <x v="5"/>
          </reference>
          <reference field="5" count="1" selected="0">
            <x v="98"/>
          </reference>
          <reference field="6" count="1" selected="0">
            <x v="3"/>
          </reference>
          <reference field="16" count="1">
            <x v="0"/>
          </reference>
        </references>
      </pivotArea>
    </format>
    <format dxfId="6835">
      <pivotArea dataOnly="0" labelOnly="1" outline="0" fieldPosition="0">
        <references count="5">
          <reference field="1" count="0" selected="0"/>
          <reference field="3" count="1" selected="0">
            <x v="5"/>
          </reference>
          <reference field="5" count="1" selected="0">
            <x v="112"/>
          </reference>
          <reference field="6" count="1" selected="0">
            <x v="3"/>
          </reference>
          <reference field="16" count="1">
            <x v="11"/>
          </reference>
        </references>
      </pivotArea>
    </format>
    <format dxfId="6834">
      <pivotArea dataOnly="0" labelOnly="1" outline="0" fieldPosition="0">
        <references count="5">
          <reference field="1" count="0" selected="0"/>
          <reference field="3" count="1" selected="0">
            <x v="5"/>
          </reference>
          <reference field="5" count="1" selected="0">
            <x v="213"/>
          </reference>
          <reference field="6" count="1" selected="0">
            <x v="3"/>
          </reference>
          <reference field="16" count="1">
            <x v="102"/>
          </reference>
        </references>
      </pivotArea>
    </format>
    <format dxfId="6833">
      <pivotArea dataOnly="0" labelOnly="1" outline="0" fieldPosition="0">
        <references count="5">
          <reference field="1" count="0" selected="0"/>
          <reference field="3" count="1" selected="0">
            <x v="5"/>
          </reference>
          <reference field="5" count="1" selected="0">
            <x v="214"/>
          </reference>
          <reference field="6" count="1" selected="0">
            <x v="3"/>
          </reference>
          <reference field="16" count="1">
            <x v="32"/>
          </reference>
        </references>
      </pivotArea>
    </format>
    <format dxfId="6832">
      <pivotArea dataOnly="0" labelOnly="1" outline="0" fieldPosition="0">
        <references count="5">
          <reference field="1" count="0" selected="0"/>
          <reference field="3" count="1" selected="0">
            <x v="5"/>
          </reference>
          <reference field="5" count="1" selected="0">
            <x v="329"/>
          </reference>
          <reference field="6" count="1" selected="0">
            <x v="3"/>
          </reference>
          <reference field="16" count="1">
            <x v="79"/>
          </reference>
        </references>
      </pivotArea>
    </format>
    <format dxfId="6831">
      <pivotArea dataOnly="0" labelOnly="1" outline="0" fieldPosition="0">
        <references count="5">
          <reference field="1" count="0" selected="0"/>
          <reference field="3" count="1" selected="0">
            <x v="5"/>
          </reference>
          <reference field="5" count="1" selected="0">
            <x v="358"/>
          </reference>
          <reference field="6" count="1" selected="0">
            <x v="3"/>
          </reference>
          <reference field="16" count="1">
            <x v="117"/>
          </reference>
        </references>
      </pivotArea>
    </format>
    <format dxfId="6830">
      <pivotArea dataOnly="0" labelOnly="1" outline="0" fieldPosition="0">
        <references count="5">
          <reference field="1" count="0" selected="0"/>
          <reference field="3" count="1" selected="0">
            <x v="7"/>
          </reference>
          <reference field="5" count="1" selected="0">
            <x v="118"/>
          </reference>
          <reference field="6" count="1" selected="0">
            <x v="4"/>
          </reference>
          <reference field="16" count="1">
            <x v="99"/>
          </reference>
        </references>
      </pivotArea>
    </format>
    <format dxfId="6829">
      <pivotArea dataOnly="0" labelOnly="1" outline="0" fieldPosition="0">
        <references count="5">
          <reference field="1" count="0" selected="0"/>
          <reference field="3" count="1" selected="0">
            <x v="7"/>
          </reference>
          <reference field="5" count="1" selected="0">
            <x v="123"/>
          </reference>
          <reference field="6" count="1" selected="0">
            <x v="4"/>
          </reference>
          <reference field="16" count="1">
            <x v="40"/>
          </reference>
        </references>
      </pivotArea>
    </format>
    <format dxfId="6828">
      <pivotArea dataOnly="0" labelOnly="1" outline="0" fieldPosition="0">
        <references count="5">
          <reference field="1" count="0" selected="0"/>
          <reference field="3" count="1" selected="0">
            <x v="7"/>
          </reference>
          <reference field="5" count="1" selected="0">
            <x v="126"/>
          </reference>
          <reference field="6" count="1" selected="0">
            <x v="4"/>
          </reference>
          <reference field="16" count="1">
            <x v="17"/>
          </reference>
        </references>
      </pivotArea>
    </format>
    <format dxfId="6827">
      <pivotArea dataOnly="0" labelOnly="1" outline="0" fieldPosition="0">
        <references count="5">
          <reference field="1" count="0" selected="0"/>
          <reference field="3" count="1" selected="0">
            <x v="7"/>
          </reference>
          <reference field="5" count="1" selected="0">
            <x v="137"/>
          </reference>
          <reference field="6" count="1" selected="0">
            <x v="4"/>
          </reference>
          <reference field="16" count="1">
            <x v="60"/>
          </reference>
        </references>
      </pivotArea>
    </format>
    <format dxfId="6826">
      <pivotArea dataOnly="0" labelOnly="1" outline="0" fieldPosition="0">
        <references count="5">
          <reference field="1" count="0" selected="0"/>
          <reference field="3" count="1" selected="0">
            <x v="7"/>
          </reference>
          <reference field="5" count="1" selected="0">
            <x v="159"/>
          </reference>
          <reference field="6" count="1" selected="0">
            <x v="4"/>
          </reference>
          <reference field="16" count="1">
            <x v="95"/>
          </reference>
        </references>
      </pivotArea>
    </format>
    <format dxfId="6825">
      <pivotArea dataOnly="0" labelOnly="1" outline="0" fieldPosition="0">
        <references count="5">
          <reference field="1" count="0" selected="0"/>
          <reference field="3" count="1" selected="0">
            <x v="7"/>
          </reference>
          <reference field="5" count="1" selected="0">
            <x v="165"/>
          </reference>
          <reference field="6" count="1" selected="0">
            <x v="4"/>
          </reference>
          <reference field="16" count="1">
            <x v="77"/>
          </reference>
        </references>
      </pivotArea>
    </format>
    <format dxfId="6824">
      <pivotArea dataOnly="0" labelOnly="1" outline="0" fieldPosition="0">
        <references count="5">
          <reference field="1" count="0" selected="0"/>
          <reference field="3" count="1" selected="0">
            <x v="7"/>
          </reference>
          <reference field="5" count="1" selected="0">
            <x v="172"/>
          </reference>
          <reference field="6" count="1" selected="0">
            <x v="4"/>
          </reference>
          <reference field="16" count="1">
            <x v="68"/>
          </reference>
        </references>
      </pivotArea>
    </format>
    <format dxfId="6823">
      <pivotArea dataOnly="0" labelOnly="1" outline="0" fieldPosition="0">
        <references count="5">
          <reference field="1" count="0" selected="0"/>
          <reference field="3" count="1" selected="0">
            <x v="7"/>
          </reference>
          <reference field="5" count="1" selected="0">
            <x v="175"/>
          </reference>
          <reference field="6" count="1" selected="0">
            <x v="4"/>
          </reference>
          <reference field="16" count="1">
            <x v="110"/>
          </reference>
        </references>
      </pivotArea>
    </format>
    <format dxfId="6822">
      <pivotArea dataOnly="0" labelOnly="1" outline="0" fieldPosition="0">
        <references count="5">
          <reference field="1" count="0" selected="0"/>
          <reference field="3" count="1" selected="0">
            <x v="7"/>
          </reference>
          <reference field="5" count="1" selected="0">
            <x v="182"/>
          </reference>
          <reference field="6" count="1" selected="0">
            <x v="4"/>
          </reference>
          <reference field="16" count="1">
            <x v="65"/>
          </reference>
        </references>
      </pivotArea>
    </format>
    <format dxfId="6821">
      <pivotArea dataOnly="0" labelOnly="1" outline="0" fieldPosition="0">
        <references count="5">
          <reference field="1" count="0" selected="0"/>
          <reference field="3" count="1" selected="0">
            <x v="7"/>
          </reference>
          <reference field="5" count="1" selected="0">
            <x v="187"/>
          </reference>
          <reference field="6" count="1" selected="0">
            <x v="4"/>
          </reference>
          <reference field="16" count="1">
            <x v="76"/>
          </reference>
        </references>
      </pivotArea>
    </format>
    <format dxfId="6820">
      <pivotArea dataOnly="0" labelOnly="1" outline="0" fieldPosition="0">
        <references count="5">
          <reference field="1" count="0" selected="0"/>
          <reference field="3" count="1" selected="0">
            <x v="7"/>
          </reference>
          <reference field="5" count="1" selected="0">
            <x v="190"/>
          </reference>
          <reference field="6" count="1" selected="0">
            <x v="4"/>
          </reference>
          <reference field="16" count="1">
            <x v="75"/>
          </reference>
        </references>
      </pivotArea>
    </format>
    <format dxfId="6819">
      <pivotArea dataOnly="0" labelOnly="1" outline="0" fieldPosition="0">
        <references count="5">
          <reference field="1" count="0" selected="0"/>
          <reference field="3" count="1" selected="0">
            <x v="7"/>
          </reference>
          <reference field="5" count="1" selected="0">
            <x v="335"/>
          </reference>
          <reference field="6" count="1" selected="0">
            <x v="4"/>
          </reference>
          <reference field="16" count="1">
            <x v="114"/>
          </reference>
        </references>
      </pivotArea>
    </format>
    <format dxfId="6818">
      <pivotArea dataOnly="0" labelOnly="1" outline="0" fieldPosition="0">
        <references count="5">
          <reference field="1" count="0" selected="0"/>
          <reference field="3" count="1" selected="0">
            <x v="7"/>
          </reference>
          <reference field="5" count="1" selected="0">
            <x v="342"/>
          </reference>
          <reference field="6" count="1" selected="0">
            <x v="4"/>
          </reference>
          <reference field="16" count="1">
            <x v="14"/>
          </reference>
        </references>
      </pivotArea>
    </format>
    <format dxfId="6817">
      <pivotArea dataOnly="0" labelOnly="1" outline="0" fieldPosition="0">
        <references count="5">
          <reference field="1" count="0" selected="0"/>
          <reference field="3" count="1" selected="0">
            <x v="9"/>
          </reference>
          <reference field="5" count="1" selected="0">
            <x v="133"/>
          </reference>
          <reference field="6" count="1" selected="0">
            <x v="5"/>
          </reference>
          <reference field="16" count="1">
            <x v="100"/>
          </reference>
        </references>
      </pivotArea>
    </format>
    <format dxfId="6816">
      <pivotArea dataOnly="0" labelOnly="1" outline="0" fieldPosition="0">
        <references count="5">
          <reference field="1" count="0" selected="0"/>
          <reference field="3" count="1" selected="0">
            <x v="10"/>
          </reference>
          <reference field="5" count="1" selected="0">
            <x v="211"/>
          </reference>
          <reference field="6" count="1" selected="0">
            <x v="7"/>
          </reference>
          <reference field="16" count="1">
            <x v="94"/>
          </reference>
        </references>
      </pivotArea>
    </format>
    <format dxfId="6815">
      <pivotArea dataOnly="0" labelOnly="1" outline="0" fieldPosition="0">
        <references count="5">
          <reference field="1" count="0" selected="0"/>
          <reference field="3" count="1" selected="0">
            <x v="16"/>
          </reference>
          <reference field="5" count="1" selected="0">
            <x v="341"/>
          </reference>
          <reference field="6" count="1" selected="0">
            <x v="3"/>
          </reference>
          <reference field="16" count="1">
            <x v="33"/>
          </reference>
        </references>
      </pivotArea>
    </format>
    <format dxfId="6814">
      <pivotArea dataOnly="0" labelOnly="1" outline="0" fieldPosition="0">
        <references count="3">
          <reference field="1" count="0" selected="0"/>
          <reference field="3" count="1" selected="0">
            <x v="5"/>
          </reference>
          <reference field="5" count="1">
            <x v="111"/>
          </reference>
        </references>
      </pivotArea>
    </format>
    <format dxfId="6813">
      <pivotArea dataOnly="0" labelOnly="1" outline="0" fieldPosition="0">
        <references count="3">
          <reference field="1" count="0" selected="0"/>
          <reference field="3" count="1" selected="0">
            <x v="5"/>
          </reference>
          <reference field="5" count="1">
            <x v="346"/>
          </reference>
        </references>
      </pivotArea>
    </format>
    <format dxfId="6812">
      <pivotArea dataOnly="0" labelOnly="1" outline="0" fieldPosition="0">
        <references count="5">
          <reference field="1" count="0" selected="0"/>
          <reference field="3" count="1" selected="0">
            <x v="4"/>
          </reference>
          <reference field="5" count="1" selected="0">
            <x v="196"/>
          </reference>
          <reference field="6" count="1" selected="0">
            <x v="3"/>
          </reference>
          <reference field="16" count="1">
            <x v="28"/>
          </reference>
        </references>
      </pivotArea>
    </format>
    <format dxfId="6811">
      <pivotArea dataOnly="0" labelOnly="1" outline="0" fieldPosition="0">
        <references count="5">
          <reference field="1" count="0" selected="0"/>
          <reference field="3" count="1" selected="0">
            <x v="4"/>
          </reference>
          <reference field="5" count="1" selected="0">
            <x v="197"/>
          </reference>
          <reference field="6" count="1" selected="0">
            <x v="3"/>
          </reference>
          <reference field="16" count="1">
            <x v="52"/>
          </reference>
        </references>
      </pivotArea>
    </format>
    <format dxfId="6810">
      <pivotArea dataOnly="0" labelOnly="1" outline="0" fieldPosition="0">
        <references count="5">
          <reference field="1" count="0" selected="0"/>
          <reference field="3" count="1" selected="0">
            <x v="4"/>
          </reference>
          <reference field="5" count="1" selected="0">
            <x v="202"/>
          </reference>
          <reference field="6" count="1" selected="0">
            <x v="3"/>
          </reference>
          <reference field="16" count="1">
            <x v="45"/>
          </reference>
        </references>
      </pivotArea>
    </format>
    <format dxfId="6809">
      <pivotArea dataOnly="0" labelOnly="1" outline="0" fieldPosition="0">
        <references count="5">
          <reference field="1" count="0" selected="0"/>
          <reference field="3" count="1" selected="0">
            <x v="5"/>
          </reference>
          <reference field="5" count="1" selected="0">
            <x v="98"/>
          </reference>
          <reference field="6" count="1" selected="0">
            <x v="3"/>
          </reference>
          <reference field="16" count="1">
            <x v="0"/>
          </reference>
        </references>
      </pivotArea>
    </format>
    <format dxfId="6808">
      <pivotArea dataOnly="0" labelOnly="1" outline="0" fieldPosition="0">
        <references count="5">
          <reference field="1" count="0" selected="0"/>
          <reference field="3" count="1" selected="0">
            <x v="5"/>
          </reference>
          <reference field="5" count="1" selected="0">
            <x v="112"/>
          </reference>
          <reference field="6" count="1" selected="0">
            <x v="3"/>
          </reference>
          <reference field="16" count="1">
            <x v="11"/>
          </reference>
        </references>
      </pivotArea>
    </format>
    <format dxfId="6807">
      <pivotArea dataOnly="0" labelOnly="1" outline="0" fieldPosition="0">
        <references count="5">
          <reference field="1" count="0" selected="0"/>
          <reference field="3" count="1" selected="0">
            <x v="5"/>
          </reference>
          <reference field="5" count="1" selected="0">
            <x v="213"/>
          </reference>
          <reference field="6" count="1" selected="0">
            <x v="3"/>
          </reference>
          <reference field="16" count="1">
            <x v="102"/>
          </reference>
        </references>
      </pivotArea>
    </format>
    <format dxfId="6806">
      <pivotArea dataOnly="0" labelOnly="1" outline="0" fieldPosition="0">
        <references count="5">
          <reference field="1" count="0" selected="0"/>
          <reference field="3" count="1" selected="0">
            <x v="5"/>
          </reference>
          <reference field="5" count="1" selected="0">
            <x v="214"/>
          </reference>
          <reference field="6" count="1" selected="0">
            <x v="3"/>
          </reference>
          <reference field="16" count="1">
            <x v="32"/>
          </reference>
        </references>
      </pivotArea>
    </format>
    <format dxfId="6805">
      <pivotArea dataOnly="0" labelOnly="1" outline="0" fieldPosition="0">
        <references count="5">
          <reference field="1" count="0" selected="0"/>
          <reference field="3" count="1" selected="0">
            <x v="5"/>
          </reference>
          <reference field="5" count="1" selected="0">
            <x v="329"/>
          </reference>
          <reference field="6" count="1" selected="0">
            <x v="3"/>
          </reference>
          <reference field="16" count="1">
            <x v="79"/>
          </reference>
        </references>
      </pivotArea>
    </format>
    <format dxfId="6804">
      <pivotArea dataOnly="0" labelOnly="1" outline="0" fieldPosition="0">
        <references count="5">
          <reference field="1" count="0" selected="0"/>
          <reference field="3" count="1" selected="0">
            <x v="5"/>
          </reference>
          <reference field="5" count="1" selected="0">
            <x v="358"/>
          </reference>
          <reference field="6" count="1" selected="0">
            <x v="3"/>
          </reference>
          <reference field="16" count="1">
            <x v="117"/>
          </reference>
        </references>
      </pivotArea>
    </format>
    <format dxfId="6803">
      <pivotArea dataOnly="0" labelOnly="1" outline="0" fieldPosition="0">
        <references count="5">
          <reference field="1" count="0" selected="0"/>
          <reference field="3" count="1" selected="0">
            <x v="7"/>
          </reference>
          <reference field="5" count="1" selected="0">
            <x v="118"/>
          </reference>
          <reference field="6" count="1" selected="0">
            <x v="4"/>
          </reference>
          <reference field="16" count="1">
            <x v="99"/>
          </reference>
        </references>
      </pivotArea>
    </format>
    <format dxfId="6802">
      <pivotArea dataOnly="0" labelOnly="1" outline="0" fieldPosition="0">
        <references count="5">
          <reference field="1" count="0" selected="0"/>
          <reference field="3" count="1" selected="0">
            <x v="7"/>
          </reference>
          <reference field="5" count="1" selected="0">
            <x v="123"/>
          </reference>
          <reference field="6" count="1" selected="0">
            <x v="4"/>
          </reference>
          <reference field="16" count="1">
            <x v="40"/>
          </reference>
        </references>
      </pivotArea>
    </format>
    <format dxfId="6801">
      <pivotArea dataOnly="0" labelOnly="1" outline="0" fieldPosition="0">
        <references count="5">
          <reference field="1" count="0" selected="0"/>
          <reference field="3" count="1" selected="0">
            <x v="7"/>
          </reference>
          <reference field="5" count="1" selected="0">
            <x v="126"/>
          </reference>
          <reference field="6" count="1" selected="0">
            <x v="4"/>
          </reference>
          <reference field="16" count="1">
            <x v="17"/>
          </reference>
        </references>
      </pivotArea>
    </format>
    <format dxfId="6800">
      <pivotArea dataOnly="0" labelOnly="1" outline="0" fieldPosition="0">
        <references count="5">
          <reference field="1" count="0" selected="0"/>
          <reference field="3" count="1" selected="0">
            <x v="7"/>
          </reference>
          <reference field="5" count="1" selected="0">
            <x v="137"/>
          </reference>
          <reference field="6" count="1" selected="0">
            <x v="4"/>
          </reference>
          <reference field="16" count="1">
            <x v="60"/>
          </reference>
        </references>
      </pivotArea>
    </format>
    <format dxfId="6799">
      <pivotArea dataOnly="0" labelOnly="1" outline="0" fieldPosition="0">
        <references count="5">
          <reference field="1" count="0" selected="0"/>
          <reference field="3" count="1" selected="0">
            <x v="7"/>
          </reference>
          <reference field="5" count="1" selected="0">
            <x v="159"/>
          </reference>
          <reference field="6" count="1" selected="0">
            <x v="4"/>
          </reference>
          <reference field="16" count="1">
            <x v="95"/>
          </reference>
        </references>
      </pivotArea>
    </format>
    <format dxfId="6798">
      <pivotArea dataOnly="0" labelOnly="1" outline="0" fieldPosition="0">
        <references count="5">
          <reference field="1" count="0" selected="0"/>
          <reference field="3" count="1" selected="0">
            <x v="7"/>
          </reference>
          <reference field="5" count="1" selected="0">
            <x v="165"/>
          </reference>
          <reference field="6" count="1" selected="0">
            <x v="4"/>
          </reference>
          <reference field="16" count="1">
            <x v="77"/>
          </reference>
        </references>
      </pivotArea>
    </format>
    <format dxfId="6797">
      <pivotArea dataOnly="0" labelOnly="1" outline="0" fieldPosition="0">
        <references count="5">
          <reference field="1" count="0" selected="0"/>
          <reference field="3" count="1" selected="0">
            <x v="7"/>
          </reference>
          <reference field="5" count="1" selected="0">
            <x v="172"/>
          </reference>
          <reference field="6" count="1" selected="0">
            <x v="4"/>
          </reference>
          <reference field="16" count="1">
            <x v="68"/>
          </reference>
        </references>
      </pivotArea>
    </format>
    <format dxfId="6796">
      <pivotArea dataOnly="0" labelOnly="1" outline="0" fieldPosition="0">
        <references count="5">
          <reference field="1" count="0" selected="0"/>
          <reference field="3" count="1" selected="0">
            <x v="7"/>
          </reference>
          <reference field="5" count="1" selected="0">
            <x v="175"/>
          </reference>
          <reference field="6" count="1" selected="0">
            <x v="4"/>
          </reference>
          <reference field="16" count="1">
            <x v="110"/>
          </reference>
        </references>
      </pivotArea>
    </format>
    <format dxfId="6795">
      <pivotArea dataOnly="0" labelOnly="1" outline="0" fieldPosition="0">
        <references count="5">
          <reference field="1" count="0" selected="0"/>
          <reference field="3" count="1" selected="0">
            <x v="7"/>
          </reference>
          <reference field="5" count="1" selected="0">
            <x v="182"/>
          </reference>
          <reference field="6" count="1" selected="0">
            <x v="4"/>
          </reference>
          <reference field="16" count="1">
            <x v="65"/>
          </reference>
        </references>
      </pivotArea>
    </format>
    <format dxfId="6794">
      <pivotArea dataOnly="0" labelOnly="1" outline="0" fieldPosition="0">
        <references count="5">
          <reference field="1" count="0" selected="0"/>
          <reference field="3" count="1" selected="0">
            <x v="7"/>
          </reference>
          <reference field="5" count="1" selected="0">
            <x v="187"/>
          </reference>
          <reference field="6" count="1" selected="0">
            <x v="4"/>
          </reference>
          <reference field="16" count="1">
            <x v="76"/>
          </reference>
        </references>
      </pivotArea>
    </format>
    <format dxfId="6793">
      <pivotArea dataOnly="0" labelOnly="1" outline="0" fieldPosition="0">
        <references count="5">
          <reference field="1" count="0" selected="0"/>
          <reference field="3" count="1" selected="0">
            <x v="7"/>
          </reference>
          <reference field="5" count="1" selected="0">
            <x v="190"/>
          </reference>
          <reference field="6" count="1" selected="0">
            <x v="4"/>
          </reference>
          <reference field="16" count="1">
            <x v="75"/>
          </reference>
        </references>
      </pivotArea>
    </format>
    <format dxfId="6792">
      <pivotArea dataOnly="0" labelOnly="1" outline="0" fieldPosition="0">
        <references count="5">
          <reference field="1" count="0" selected="0"/>
          <reference field="3" count="1" selected="0">
            <x v="7"/>
          </reference>
          <reference field="5" count="1" selected="0">
            <x v="335"/>
          </reference>
          <reference field="6" count="1" selected="0">
            <x v="4"/>
          </reference>
          <reference field="16" count="1">
            <x v="114"/>
          </reference>
        </references>
      </pivotArea>
    </format>
    <format dxfId="6791">
      <pivotArea dataOnly="0" labelOnly="1" outline="0" fieldPosition="0">
        <references count="5">
          <reference field="1" count="0" selected="0"/>
          <reference field="3" count="1" selected="0">
            <x v="7"/>
          </reference>
          <reference field="5" count="1" selected="0">
            <x v="342"/>
          </reference>
          <reference field="6" count="1" selected="0">
            <x v="4"/>
          </reference>
          <reference field="16" count="1">
            <x v="14"/>
          </reference>
        </references>
      </pivotArea>
    </format>
    <format dxfId="6790">
      <pivotArea dataOnly="0" labelOnly="1" outline="0" fieldPosition="0">
        <references count="5">
          <reference field="1" count="0" selected="0"/>
          <reference field="3" count="1" selected="0">
            <x v="9"/>
          </reference>
          <reference field="5" count="1" selected="0">
            <x v="133"/>
          </reference>
          <reference field="6" count="1" selected="0">
            <x v="5"/>
          </reference>
          <reference field="16" count="1">
            <x v="100"/>
          </reference>
        </references>
      </pivotArea>
    </format>
    <format dxfId="6789">
      <pivotArea dataOnly="0" labelOnly="1" outline="0" fieldPosition="0">
        <references count="5">
          <reference field="1" count="0" selected="0"/>
          <reference field="3" count="1" selected="0">
            <x v="10"/>
          </reference>
          <reference field="5" count="1" selected="0">
            <x v="211"/>
          </reference>
          <reference field="6" count="1" selected="0">
            <x v="7"/>
          </reference>
          <reference field="16" count="1">
            <x v="94"/>
          </reference>
        </references>
      </pivotArea>
    </format>
    <format dxfId="6788">
      <pivotArea dataOnly="0" labelOnly="1" outline="0" fieldPosition="0">
        <references count="5">
          <reference field="1" count="0" selected="0"/>
          <reference field="3" count="1" selected="0">
            <x v="16"/>
          </reference>
          <reference field="5" count="1" selected="0">
            <x v="341"/>
          </reference>
          <reference field="6" count="1" selected="0">
            <x v="3"/>
          </reference>
          <reference field="16" count="1">
            <x v="33"/>
          </reference>
        </references>
      </pivotArea>
    </format>
    <format dxfId="6787">
      <pivotArea dataOnly="0" labelOnly="1" outline="0" fieldPosition="0">
        <references count="5">
          <reference field="1" count="0" selected="0"/>
          <reference field="3" count="1" selected="0">
            <x v="1"/>
          </reference>
          <reference field="5" count="1" selected="0">
            <x v="344"/>
          </reference>
          <reference field="6" count="1" selected="0">
            <x v="9"/>
          </reference>
          <reference field="16" count="1">
            <x v="34"/>
          </reference>
        </references>
      </pivotArea>
    </format>
    <format dxfId="6786">
      <pivotArea dataOnly="0" labelOnly="1" outline="0" fieldPosition="0">
        <references count="5">
          <reference field="1" count="0" selected="0"/>
          <reference field="3" count="1" selected="0">
            <x v="1"/>
          </reference>
          <reference field="5" count="1" selected="0">
            <x v="356"/>
          </reference>
          <reference field="6" count="1" selected="0">
            <x v="9"/>
          </reference>
          <reference field="16" count="1">
            <x v="116"/>
          </reference>
        </references>
      </pivotArea>
    </format>
    <format dxfId="6785">
      <pivotArea dataOnly="0" labelOnly="1" outline="0" fieldPosition="0">
        <references count="5">
          <reference field="1" count="0" selected="0"/>
          <reference field="3" count="1" selected="0">
            <x v="4"/>
          </reference>
          <reference field="5" count="1" selected="0">
            <x v="198"/>
          </reference>
          <reference field="6" count="1" selected="0">
            <x v="3"/>
          </reference>
          <reference field="16" count="1">
            <x v="29"/>
          </reference>
        </references>
      </pivotArea>
    </format>
    <format dxfId="6784">
      <pivotArea dataOnly="0" labelOnly="1" outline="0" fieldPosition="0">
        <references count="5">
          <reference field="1" count="0" selected="0"/>
          <reference field="3" count="1" selected="0">
            <x v="4"/>
          </reference>
          <reference field="5" count="1" selected="0">
            <x v="199"/>
          </reference>
          <reference field="6" count="1" selected="0">
            <x v="3"/>
          </reference>
          <reference field="16" count="1">
            <x v="51"/>
          </reference>
        </references>
      </pivotArea>
    </format>
    <format dxfId="6783">
      <pivotArea dataOnly="0" labelOnly="1" outline="0" fieldPosition="0">
        <references count="5">
          <reference field="1" count="0" selected="0"/>
          <reference field="3" count="1" selected="0">
            <x v="4"/>
          </reference>
          <reference field="5" count="1" selected="0">
            <x v="205"/>
          </reference>
          <reference field="6" count="1" selected="0">
            <x v="3"/>
          </reference>
          <reference field="16" count="1">
            <x v="56"/>
          </reference>
        </references>
      </pivotArea>
    </format>
    <format dxfId="6782">
      <pivotArea dataOnly="0" labelOnly="1" outline="0" fieldPosition="0">
        <references count="5">
          <reference field="1" count="0" selected="0"/>
          <reference field="3" count="1" selected="0">
            <x v="5"/>
          </reference>
          <reference field="5" count="1" selected="0">
            <x v="97"/>
          </reference>
          <reference field="6" count="1" selected="0">
            <x v="3"/>
          </reference>
          <reference field="16" count="1">
            <x v="4"/>
          </reference>
        </references>
      </pivotArea>
    </format>
    <format dxfId="6781">
      <pivotArea dataOnly="0" labelOnly="1" outline="0" fieldPosition="0">
        <references count="5">
          <reference field="1" count="0" selected="0"/>
          <reference field="3" count="1" selected="0">
            <x v="5"/>
          </reference>
          <reference field="5" count="1" selected="0">
            <x v="101"/>
          </reference>
          <reference field="6" count="1" selected="0">
            <x v="3"/>
          </reference>
          <reference field="16" count="1">
            <x v="5"/>
          </reference>
        </references>
      </pivotArea>
    </format>
    <format dxfId="6780">
      <pivotArea dataOnly="0" labelOnly="1" outline="0" fieldPosition="0">
        <references count="5">
          <reference field="1" count="0" selected="0"/>
          <reference field="3" count="1" selected="0">
            <x v="5"/>
          </reference>
          <reference field="5" count="1" selected="0">
            <x v="104"/>
          </reference>
          <reference field="6" count="1" selected="0">
            <x v="3"/>
          </reference>
          <reference field="16" count="1">
            <x v="2"/>
          </reference>
        </references>
      </pivotArea>
    </format>
    <format dxfId="6779">
      <pivotArea dataOnly="0" labelOnly="1" outline="0" fieldPosition="0">
        <references count="5">
          <reference field="1" count="0" selected="0"/>
          <reference field="3" count="1" selected="0">
            <x v="5"/>
          </reference>
          <reference field="5" count="1" selected="0">
            <x v="141"/>
          </reference>
          <reference field="6" count="1" selected="0">
            <x v="3"/>
          </reference>
          <reference field="16" count="1">
            <x v="98"/>
          </reference>
        </references>
      </pivotArea>
    </format>
    <format dxfId="6778">
      <pivotArea dataOnly="0" labelOnly="1" outline="0" fieldPosition="0">
        <references count="5">
          <reference field="1" count="0" selected="0"/>
          <reference field="3" count="1" selected="0">
            <x v="5"/>
          </reference>
          <reference field="5" count="1" selected="0">
            <x v="154"/>
          </reference>
          <reference field="6" count="1" selected="0">
            <x v="3"/>
          </reference>
          <reference field="16" count="1">
            <x v="20"/>
          </reference>
        </references>
      </pivotArea>
    </format>
    <format dxfId="6777">
      <pivotArea dataOnly="0" labelOnly="1" outline="0" fieldPosition="0">
        <references count="5">
          <reference field="1" count="0" selected="0"/>
          <reference field="3" count="1" selected="0">
            <x v="5"/>
          </reference>
          <reference field="5" count="1" selected="0">
            <x v="212"/>
          </reference>
          <reference field="6" count="1" selected="0">
            <x v="3"/>
          </reference>
          <reference field="16" count="1">
            <x v="30"/>
          </reference>
        </references>
      </pivotArea>
    </format>
    <format dxfId="6776">
      <pivotArea dataOnly="0" labelOnly="1" outline="0" fieldPosition="0">
        <references count="5">
          <reference field="1" count="0" selected="0"/>
          <reference field="3" count="1" selected="0">
            <x v="5"/>
          </reference>
          <reference field="5" count="1" selected="0">
            <x v="221"/>
          </reference>
          <reference field="6" count="1" selected="0">
            <x v="4"/>
          </reference>
          <reference field="16" count="1">
            <x v="35"/>
          </reference>
        </references>
      </pivotArea>
    </format>
    <format dxfId="6775">
      <pivotArea dataOnly="0" labelOnly="1" outline="0" fieldPosition="0">
        <references count="5">
          <reference field="1" count="0" selected="0"/>
          <reference field="3" count="1" selected="0">
            <x v="5"/>
          </reference>
          <reference field="5" count="1" selected="0">
            <x v="328"/>
          </reference>
          <reference field="6" count="1" selected="0">
            <x v="3"/>
          </reference>
          <reference field="16" count="1">
            <x v="69"/>
          </reference>
        </references>
      </pivotArea>
    </format>
    <format dxfId="6774">
      <pivotArea dataOnly="0" labelOnly="1" outline="0" fieldPosition="0">
        <references count="5">
          <reference field="1" count="0" selected="0"/>
          <reference field="3" count="1" selected="0">
            <x v="7"/>
          </reference>
          <reference field="5" count="1" selected="0">
            <x v="106"/>
          </reference>
          <reference field="6" count="1" selected="0">
            <x v="4"/>
          </reference>
          <reference field="16" count="1">
            <x v="46"/>
          </reference>
        </references>
      </pivotArea>
    </format>
    <format dxfId="6773">
      <pivotArea dataOnly="0" labelOnly="1" outline="0" fieldPosition="0">
        <references count="5">
          <reference field="1" count="0" selected="0"/>
          <reference field="3" count="1" selected="0">
            <x v="7"/>
          </reference>
          <reference field="5" count="1" selected="0">
            <x v="119"/>
          </reference>
          <reference field="6" count="1" selected="0">
            <x v="4"/>
          </reference>
          <reference field="16" count="1">
            <x v="37"/>
          </reference>
        </references>
      </pivotArea>
    </format>
    <format dxfId="6772">
      <pivotArea dataOnly="0" labelOnly="1" outline="0" fieldPosition="0">
        <references count="5">
          <reference field="1" count="0" selected="0"/>
          <reference field="3" count="1" selected="0">
            <x v="7"/>
          </reference>
          <reference field="5" count="1" selected="0">
            <x v="122"/>
          </reference>
          <reference field="6" count="1" selected="0">
            <x v="4"/>
          </reference>
          <reference field="16" count="1">
            <x v="41"/>
          </reference>
        </references>
      </pivotArea>
    </format>
    <format dxfId="6771">
      <pivotArea dataOnly="0" labelOnly="1" outline="0" fieldPosition="0">
        <references count="5">
          <reference field="1" count="0" selected="0"/>
          <reference field="3" count="1" selected="0">
            <x v="7"/>
          </reference>
          <reference field="5" count="1" selected="0">
            <x v="127"/>
          </reference>
          <reference field="6" count="1" selected="0">
            <x v="4"/>
          </reference>
          <reference field="16" count="1">
            <x v="42"/>
          </reference>
        </references>
      </pivotArea>
    </format>
    <format dxfId="6770">
      <pivotArea dataOnly="0" labelOnly="1" outline="0" fieldPosition="0">
        <references count="5">
          <reference field="1" count="0" selected="0"/>
          <reference field="3" count="1" selected="0">
            <x v="1"/>
          </reference>
          <reference field="5" count="1" selected="0">
            <x v="344"/>
          </reference>
          <reference field="6" count="1" selected="0">
            <x v="9"/>
          </reference>
          <reference field="16" count="1">
            <x v="34"/>
          </reference>
        </references>
      </pivotArea>
    </format>
    <format dxfId="6769">
      <pivotArea dataOnly="0" labelOnly="1" outline="0" fieldPosition="0">
        <references count="5">
          <reference field="1" count="0" selected="0"/>
          <reference field="3" count="1" selected="0">
            <x v="1"/>
          </reference>
          <reference field="5" count="1" selected="0">
            <x v="356"/>
          </reference>
          <reference field="6" count="1" selected="0">
            <x v="9"/>
          </reference>
          <reference field="16" count="1">
            <x v="116"/>
          </reference>
        </references>
      </pivotArea>
    </format>
    <format dxfId="6768">
      <pivotArea dataOnly="0" labelOnly="1" outline="0" fieldPosition="0">
        <references count="5">
          <reference field="1" count="0" selected="0"/>
          <reference field="3" count="1" selected="0">
            <x v="4"/>
          </reference>
          <reference field="5" count="1" selected="0">
            <x v="198"/>
          </reference>
          <reference field="6" count="1" selected="0">
            <x v="3"/>
          </reference>
          <reference field="16" count="1">
            <x v="29"/>
          </reference>
        </references>
      </pivotArea>
    </format>
    <format dxfId="6767">
      <pivotArea dataOnly="0" labelOnly="1" outline="0" fieldPosition="0">
        <references count="5">
          <reference field="1" count="0" selected="0"/>
          <reference field="3" count="1" selected="0">
            <x v="4"/>
          </reference>
          <reference field="5" count="1" selected="0">
            <x v="199"/>
          </reference>
          <reference field="6" count="1" selected="0">
            <x v="3"/>
          </reference>
          <reference field="16" count="1">
            <x v="51"/>
          </reference>
        </references>
      </pivotArea>
    </format>
    <format dxfId="6766">
      <pivotArea dataOnly="0" labelOnly="1" outline="0" fieldPosition="0">
        <references count="5">
          <reference field="1" count="0" selected="0"/>
          <reference field="3" count="1" selected="0">
            <x v="4"/>
          </reference>
          <reference field="5" count="1" selected="0">
            <x v="205"/>
          </reference>
          <reference field="6" count="1" selected="0">
            <x v="3"/>
          </reference>
          <reference field="16" count="1">
            <x v="56"/>
          </reference>
        </references>
      </pivotArea>
    </format>
    <format dxfId="6765">
      <pivotArea dataOnly="0" labelOnly="1" outline="0" fieldPosition="0">
        <references count="5">
          <reference field="1" count="0" selected="0"/>
          <reference field="3" count="1" selected="0">
            <x v="5"/>
          </reference>
          <reference field="5" count="1" selected="0">
            <x v="97"/>
          </reference>
          <reference field="6" count="1" selected="0">
            <x v="3"/>
          </reference>
          <reference field="16" count="1">
            <x v="4"/>
          </reference>
        </references>
      </pivotArea>
    </format>
    <format dxfId="6764">
      <pivotArea dataOnly="0" labelOnly="1" outline="0" fieldPosition="0">
        <references count="5">
          <reference field="1" count="0" selected="0"/>
          <reference field="3" count="1" selected="0">
            <x v="5"/>
          </reference>
          <reference field="5" count="1" selected="0">
            <x v="101"/>
          </reference>
          <reference field="6" count="1" selected="0">
            <x v="3"/>
          </reference>
          <reference field="16" count="1">
            <x v="5"/>
          </reference>
        </references>
      </pivotArea>
    </format>
    <format dxfId="6763">
      <pivotArea dataOnly="0" labelOnly="1" outline="0" fieldPosition="0">
        <references count="5">
          <reference field="1" count="0" selected="0"/>
          <reference field="3" count="1" selected="0">
            <x v="5"/>
          </reference>
          <reference field="5" count="1" selected="0">
            <x v="104"/>
          </reference>
          <reference field="6" count="1" selected="0">
            <x v="3"/>
          </reference>
          <reference field="16" count="1">
            <x v="2"/>
          </reference>
        </references>
      </pivotArea>
    </format>
    <format dxfId="6762">
      <pivotArea dataOnly="0" labelOnly="1" outline="0" fieldPosition="0">
        <references count="5">
          <reference field="1" count="0" selected="0"/>
          <reference field="3" count="1" selected="0">
            <x v="5"/>
          </reference>
          <reference field="5" count="1" selected="0">
            <x v="141"/>
          </reference>
          <reference field="6" count="1" selected="0">
            <x v="3"/>
          </reference>
          <reference field="16" count="1">
            <x v="98"/>
          </reference>
        </references>
      </pivotArea>
    </format>
    <format dxfId="6761">
      <pivotArea dataOnly="0" labelOnly="1" outline="0" fieldPosition="0">
        <references count="5">
          <reference field="1" count="0" selected="0"/>
          <reference field="3" count="1" selected="0">
            <x v="5"/>
          </reference>
          <reference field="5" count="1" selected="0">
            <x v="154"/>
          </reference>
          <reference field="6" count="1" selected="0">
            <x v="3"/>
          </reference>
          <reference field="16" count="1">
            <x v="20"/>
          </reference>
        </references>
      </pivotArea>
    </format>
    <format dxfId="6760">
      <pivotArea dataOnly="0" labelOnly="1" outline="0" fieldPosition="0">
        <references count="5">
          <reference field="1" count="0" selected="0"/>
          <reference field="3" count="1" selected="0">
            <x v="5"/>
          </reference>
          <reference field="5" count="1" selected="0">
            <x v="212"/>
          </reference>
          <reference field="6" count="1" selected="0">
            <x v="3"/>
          </reference>
          <reference field="16" count="1">
            <x v="30"/>
          </reference>
        </references>
      </pivotArea>
    </format>
    <format dxfId="6759">
      <pivotArea dataOnly="0" labelOnly="1" outline="0" fieldPosition="0">
        <references count="5">
          <reference field="1" count="0" selected="0"/>
          <reference field="3" count="1" selected="0">
            <x v="5"/>
          </reference>
          <reference field="5" count="1" selected="0">
            <x v="221"/>
          </reference>
          <reference field="6" count="1" selected="0">
            <x v="4"/>
          </reference>
          <reference field="16" count="1">
            <x v="35"/>
          </reference>
        </references>
      </pivotArea>
    </format>
    <format dxfId="6758">
      <pivotArea dataOnly="0" labelOnly="1" outline="0" fieldPosition="0">
        <references count="5">
          <reference field="1" count="0" selected="0"/>
          <reference field="3" count="1" selected="0">
            <x v="5"/>
          </reference>
          <reference field="5" count="1" selected="0">
            <x v="328"/>
          </reference>
          <reference field="6" count="1" selected="0">
            <x v="3"/>
          </reference>
          <reference field="16" count="1">
            <x v="69"/>
          </reference>
        </references>
      </pivotArea>
    </format>
    <format dxfId="6757">
      <pivotArea dataOnly="0" labelOnly="1" outline="0" fieldPosition="0">
        <references count="5">
          <reference field="1" count="0" selected="0"/>
          <reference field="3" count="1" selected="0">
            <x v="7"/>
          </reference>
          <reference field="5" count="1" selected="0">
            <x v="106"/>
          </reference>
          <reference field="6" count="1" selected="0">
            <x v="4"/>
          </reference>
          <reference field="16" count="1">
            <x v="46"/>
          </reference>
        </references>
      </pivotArea>
    </format>
    <format dxfId="6756">
      <pivotArea dataOnly="0" labelOnly="1" outline="0" fieldPosition="0">
        <references count="5">
          <reference field="1" count="0" selected="0"/>
          <reference field="3" count="1" selected="0">
            <x v="7"/>
          </reference>
          <reference field="5" count="1" selected="0">
            <x v="119"/>
          </reference>
          <reference field="6" count="1" selected="0">
            <x v="4"/>
          </reference>
          <reference field="16" count="1">
            <x v="37"/>
          </reference>
        </references>
      </pivotArea>
    </format>
    <format dxfId="6755">
      <pivotArea dataOnly="0" labelOnly="1" outline="0" fieldPosition="0">
        <references count="5">
          <reference field="1" count="0" selected="0"/>
          <reference field="3" count="1" selected="0">
            <x v="7"/>
          </reference>
          <reference field="5" count="1" selected="0">
            <x v="122"/>
          </reference>
          <reference field="6" count="1" selected="0">
            <x v="4"/>
          </reference>
          <reference field="16" count="1">
            <x v="41"/>
          </reference>
        </references>
      </pivotArea>
    </format>
    <format dxfId="6754">
      <pivotArea dataOnly="0" labelOnly="1" outline="0" fieldPosition="0">
        <references count="5">
          <reference field="1" count="0" selected="0"/>
          <reference field="3" count="1" selected="0">
            <x v="7"/>
          </reference>
          <reference field="5" count="1" selected="0">
            <x v="127"/>
          </reference>
          <reference field="6" count="1" selected="0">
            <x v="4"/>
          </reference>
          <reference field="16" count="1">
            <x v="42"/>
          </reference>
        </references>
      </pivotArea>
    </format>
    <format dxfId="6753">
      <pivotArea dataOnly="0" labelOnly="1" outline="0" fieldPosition="0">
        <references count="5">
          <reference field="1" count="0" selected="0"/>
          <reference field="3" count="1" selected="0">
            <x v="1"/>
          </reference>
          <reference field="5" count="1" selected="0">
            <x v="344"/>
          </reference>
          <reference field="6" count="1" selected="0">
            <x v="9"/>
          </reference>
          <reference field="16" count="1">
            <x v="34"/>
          </reference>
        </references>
      </pivotArea>
    </format>
    <format dxfId="6752">
      <pivotArea dataOnly="0" labelOnly="1" outline="0" fieldPosition="0">
        <references count="5">
          <reference field="1" count="0" selected="0"/>
          <reference field="3" count="1" selected="0">
            <x v="1"/>
          </reference>
          <reference field="5" count="1" selected="0">
            <x v="356"/>
          </reference>
          <reference field="6" count="1" selected="0">
            <x v="9"/>
          </reference>
          <reference field="16" count="1">
            <x v="116"/>
          </reference>
        </references>
      </pivotArea>
    </format>
    <format dxfId="6751">
      <pivotArea dataOnly="0" labelOnly="1" outline="0" fieldPosition="0">
        <references count="5">
          <reference field="1" count="0" selected="0"/>
          <reference field="3" count="1" selected="0">
            <x v="4"/>
          </reference>
          <reference field="5" count="1" selected="0">
            <x v="198"/>
          </reference>
          <reference field="6" count="1" selected="0">
            <x v="3"/>
          </reference>
          <reference field="16" count="1">
            <x v="29"/>
          </reference>
        </references>
      </pivotArea>
    </format>
    <format dxfId="6750">
      <pivotArea dataOnly="0" labelOnly="1" outline="0" fieldPosition="0">
        <references count="5">
          <reference field="1" count="0" selected="0"/>
          <reference field="3" count="1" selected="0">
            <x v="4"/>
          </reference>
          <reference field="5" count="1" selected="0">
            <x v="199"/>
          </reference>
          <reference field="6" count="1" selected="0">
            <x v="3"/>
          </reference>
          <reference field="16" count="1">
            <x v="51"/>
          </reference>
        </references>
      </pivotArea>
    </format>
    <format dxfId="6749">
      <pivotArea dataOnly="0" labelOnly="1" outline="0" fieldPosition="0">
        <references count="5">
          <reference field="1" count="0" selected="0"/>
          <reference field="3" count="1" selected="0">
            <x v="4"/>
          </reference>
          <reference field="5" count="1" selected="0">
            <x v="205"/>
          </reference>
          <reference field="6" count="1" selected="0">
            <x v="3"/>
          </reference>
          <reference field="16" count="1">
            <x v="56"/>
          </reference>
        </references>
      </pivotArea>
    </format>
    <format dxfId="6748">
      <pivotArea dataOnly="0" labelOnly="1" outline="0" fieldPosition="0">
        <references count="5">
          <reference field="1" count="0" selected="0"/>
          <reference field="3" count="1" selected="0">
            <x v="5"/>
          </reference>
          <reference field="5" count="1" selected="0">
            <x v="97"/>
          </reference>
          <reference field="6" count="1" selected="0">
            <x v="3"/>
          </reference>
          <reference field="16" count="1">
            <x v="4"/>
          </reference>
        </references>
      </pivotArea>
    </format>
    <format dxfId="6747">
      <pivotArea dataOnly="0" labelOnly="1" outline="0" fieldPosition="0">
        <references count="5">
          <reference field="1" count="0" selected="0"/>
          <reference field="3" count="1" selected="0">
            <x v="5"/>
          </reference>
          <reference field="5" count="1" selected="0">
            <x v="101"/>
          </reference>
          <reference field="6" count="1" selected="0">
            <x v="3"/>
          </reference>
          <reference field="16" count="1">
            <x v="5"/>
          </reference>
        </references>
      </pivotArea>
    </format>
    <format dxfId="6746">
      <pivotArea dataOnly="0" labelOnly="1" outline="0" fieldPosition="0">
        <references count="5">
          <reference field="1" count="0" selected="0"/>
          <reference field="3" count="1" selected="0">
            <x v="5"/>
          </reference>
          <reference field="5" count="1" selected="0">
            <x v="104"/>
          </reference>
          <reference field="6" count="1" selected="0">
            <x v="3"/>
          </reference>
          <reference field="16" count="1">
            <x v="2"/>
          </reference>
        </references>
      </pivotArea>
    </format>
    <format dxfId="6745">
      <pivotArea dataOnly="0" labelOnly="1" outline="0" fieldPosition="0">
        <references count="5">
          <reference field="1" count="0" selected="0"/>
          <reference field="3" count="1" selected="0">
            <x v="5"/>
          </reference>
          <reference field="5" count="1" selected="0">
            <x v="141"/>
          </reference>
          <reference field="6" count="1" selected="0">
            <x v="3"/>
          </reference>
          <reference field="16" count="1">
            <x v="98"/>
          </reference>
        </references>
      </pivotArea>
    </format>
    <format dxfId="6744">
      <pivotArea dataOnly="0" labelOnly="1" outline="0" fieldPosition="0">
        <references count="5">
          <reference field="1" count="0" selected="0"/>
          <reference field="3" count="1" selected="0">
            <x v="5"/>
          </reference>
          <reference field="5" count="1" selected="0">
            <x v="154"/>
          </reference>
          <reference field="6" count="1" selected="0">
            <x v="3"/>
          </reference>
          <reference field="16" count="1">
            <x v="20"/>
          </reference>
        </references>
      </pivotArea>
    </format>
    <format dxfId="6743">
      <pivotArea dataOnly="0" labelOnly="1" outline="0" fieldPosition="0">
        <references count="5">
          <reference field="1" count="0" selected="0"/>
          <reference field="3" count="1" selected="0">
            <x v="5"/>
          </reference>
          <reference field="5" count="1" selected="0">
            <x v="212"/>
          </reference>
          <reference field="6" count="1" selected="0">
            <x v="3"/>
          </reference>
          <reference field="16" count="1">
            <x v="30"/>
          </reference>
        </references>
      </pivotArea>
    </format>
    <format dxfId="6742">
      <pivotArea dataOnly="0" labelOnly="1" outline="0" fieldPosition="0">
        <references count="5">
          <reference field="1" count="0" selected="0"/>
          <reference field="3" count="1" selected="0">
            <x v="5"/>
          </reference>
          <reference field="5" count="1" selected="0">
            <x v="221"/>
          </reference>
          <reference field="6" count="1" selected="0">
            <x v="4"/>
          </reference>
          <reference field="16" count="1">
            <x v="35"/>
          </reference>
        </references>
      </pivotArea>
    </format>
    <format dxfId="6741">
      <pivotArea dataOnly="0" labelOnly="1" outline="0" fieldPosition="0">
        <references count="5">
          <reference field="1" count="0" selected="0"/>
          <reference field="3" count="1" selected="0">
            <x v="5"/>
          </reference>
          <reference field="5" count="1" selected="0">
            <x v="328"/>
          </reference>
          <reference field="6" count="1" selected="0">
            <x v="3"/>
          </reference>
          <reference field="16" count="1">
            <x v="69"/>
          </reference>
        </references>
      </pivotArea>
    </format>
    <format dxfId="6740">
      <pivotArea dataOnly="0" labelOnly="1" outline="0" fieldPosition="0">
        <references count="5">
          <reference field="1" count="0" selected="0"/>
          <reference field="3" count="1" selected="0">
            <x v="7"/>
          </reference>
          <reference field="5" count="1" selected="0">
            <x v="106"/>
          </reference>
          <reference field="6" count="1" selected="0">
            <x v="4"/>
          </reference>
          <reference field="16" count="1">
            <x v="46"/>
          </reference>
        </references>
      </pivotArea>
    </format>
    <format dxfId="6739">
      <pivotArea dataOnly="0" labelOnly="1" outline="0" fieldPosition="0">
        <references count="5">
          <reference field="1" count="0" selected="0"/>
          <reference field="3" count="1" selected="0">
            <x v="7"/>
          </reference>
          <reference field="5" count="1" selected="0">
            <x v="119"/>
          </reference>
          <reference field="6" count="1" selected="0">
            <x v="4"/>
          </reference>
          <reference field="16" count="1">
            <x v="37"/>
          </reference>
        </references>
      </pivotArea>
    </format>
    <format dxfId="6738">
      <pivotArea dataOnly="0" labelOnly="1" outline="0" fieldPosition="0">
        <references count="5">
          <reference field="1" count="0" selected="0"/>
          <reference field="3" count="1" selected="0">
            <x v="7"/>
          </reference>
          <reference field="5" count="1" selected="0">
            <x v="122"/>
          </reference>
          <reference field="6" count="1" selected="0">
            <x v="4"/>
          </reference>
          <reference field="16" count="1">
            <x v="41"/>
          </reference>
        </references>
      </pivotArea>
    </format>
    <format dxfId="6737">
      <pivotArea dataOnly="0" labelOnly="1" outline="0" fieldPosition="0">
        <references count="5">
          <reference field="1" count="0" selected="0"/>
          <reference field="3" count="1" selected="0">
            <x v="7"/>
          </reference>
          <reference field="5" count="1" selected="0">
            <x v="127"/>
          </reference>
          <reference field="6" count="1" selected="0">
            <x v="4"/>
          </reference>
          <reference field="16" count="1">
            <x v="42"/>
          </reference>
        </references>
      </pivotArea>
    </format>
    <format dxfId="6736">
      <pivotArea dataOnly="0" labelOnly="1" outline="0" fieldPosition="0">
        <references count="5">
          <reference field="1" count="0" selected="0"/>
          <reference field="3" count="1" selected="0">
            <x v="1"/>
          </reference>
          <reference field="5" count="1" selected="0">
            <x v="344"/>
          </reference>
          <reference field="6" count="1" selected="0">
            <x v="9"/>
          </reference>
          <reference field="16" count="1">
            <x v="34"/>
          </reference>
        </references>
      </pivotArea>
    </format>
    <format dxfId="6735">
      <pivotArea dataOnly="0" labelOnly="1" outline="0" fieldPosition="0">
        <references count="5">
          <reference field="1" count="0" selected="0"/>
          <reference field="3" count="1" selected="0">
            <x v="1"/>
          </reference>
          <reference field="5" count="1" selected="0">
            <x v="356"/>
          </reference>
          <reference field="6" count="1" selected="0">
            <x v="9"/>
          </reference>
          <reference field="16" count="1">
            <x v="116"/>
          </reference>
        </references>
      </pivotArea>
    </format>
    <format dxfId="6734">
      <pivotArea dataOnly="0" labelOnly="1" outline="0" fieldPosition="0">
        <references count="5">
          <reference field="1" count="0" selected="0"/>
          <reference field="3" count="1" selected="0">
            <x v="4"/>
          </reference>
          <reference field="5" count="1" selected="0">
            <x v="198"/>
          </reference>
          <reference field="6" count="1" selected="0">
            <x v="3"/>
          </reference>
          <reference field="16" count="1">
            <x v="29"/>
          </reference>
        </references>
      </pivotArea>
    </format>
    <format dxfId="6733">
      <pivotArea dataOnly="0" labelOnly="1" outline="0" fieldPosition="0">
        <references count="5">
          <reference field="1" count="0" selected="0"/>
          <reference field="3" count="1" selected="0">
            <x v="4"/>
          </reference>
          <reference field="5" count="1" selected="0">
            <x v="199"/>
          </reference>
          <reference field="6" count="1" selected="0">
            <x v="3"/>
          </reference>
          <reference field="16" count="1">
            <x v="51"/>
          </reference>
        </references>
      </pivotArea>
    </format>
    <format dxfId="6732">
      <pivotArea dataOnly="0" labelOnly="1" outline="0" fieldPosition="0">
        <references count="5">
          <reference field="1" count="0" selected="0"/>
          <reference field="3" count="1" selected="0">
            <x v="4"/>
          </reference>
          <reference field="5" count="1" selected="0">
            <x v="205"/>
          </reference>
          <reference field="6" count="1" selected="0">
            <x v="3"/>
          </reference>
          <reference field="16" count="1">
            <x v="56"/>
          </reference>
        </references>
      </pivotArea>
    </format>
    <format dxfId="6731">
      <pivotArea dataOnly="0" labelOnly="1" outline="0" fieldPosition="0">
        <references count="5">
          <reference field="1" count="0" selected="0"/>
          <reference field="3" count="1" selected="0">
            <x v="5"/>
          </reference>
          <reference field="5" count="1" selected="0">
            <x v="97"/>
          </reference>
          <reference field="6" count="1" selected="0">
            <x v="3"/>
          </reference>
          <reference field="16" count="1">
            <x v="4"/>
          </reference>
        </references>
      </pivotArea>
    </format>
    <format dxfId="6730">
      <pivotArea dataOnly="0" labelOnly="1" outline="0" fieldPosition="0">
        <references count="5">
          <reference field="1" count="0" selected="0"/>
          <reference field="3" count="1" selected="0">
            <x v="5"/>
          </reference>
          <reference field="5" count="1" selected="0">
            <x v="101"/>
          </reference>
          <reference field="6" count="1" selected="0">
            <x v="3"/>
          </reference>
          <reference field="16" count="1">
            <x v="5"/>
          </reference>
        </references>
      </pivotArea>
    </format>
    <format dxfId="6729">
      <pivotArea dataOnly="0" labelOnly="1" outline="0" fieldPosition="0">
        <references count="5">
          <reference field="1" count="0" selected="0"/>
          <reference field="3" count="1" selected="0">
            <x v="5"/>
          </reference>
          <reference field="5" count="1" selected="0">
            <x v="104"/>
          </reference>
          <reference field="6" count="1" selected="0">
            <x v="3"/>
          </reference>
          <reference field="16" count="1">
            <x v="2"/>
          </reference>
        </references>
      </pivotArea>
    </format>
    <format dxfId="6728">
      <pivotArea dataOnly="0" labelOnly="1" outline="0" fieldPosition="0">
        <references count="5">
          <reference field="1" count="0" selected="0"/>
          <reference field="3" count="1" selected="0">
            <x v="5"/>
          </reference>
          <reference field="5" count="1" selected="0">
            <x v="141"/>
          </reference>
          <reference field="6" count="1" selected="0">
            <x v="3"/>
          </reference>
          <reference field="16" count="1">
            <x v="98"/>
          </reference>
        </references>
      </pivotArea>
    </format>
    <format dxfId="6727">
      <pivotArea dataOnly="0" labelOnly="1" outline="0" fieldPosition="0">
        <references count="5">
          <reference field="1" count="0" selected="0"/>
          <reference field="3" count="1" selected="0">
            <x v="5"/>
          </reference>
          <reference field="5" count="1" selected="0">
            <x v="154"/>
          </reference>
          <reference field="6" count="1" selected="0">
            <x v="3"/>
          </reference>
          <reference field="16" count="1">
            <x v="20"/>
          </reference>
        </references>
      </pivotArea>
    </format>
    <format dxfId="6726">
      <pivotArea dataOnly="0" labelOnly="1" outline="0" fieldPosition="0">
        <references count="5">
          <reference field="1" count="0" selected="0"/>
          <reference field="3" count="1" selected="0">
            <x v="5"/>
          </reference>
          <reference field="5" count="1" selected="0">
            <x v="212"/>
          </reference>
          <reference field="6" count="1" selected="0">
            <x v="3"/>
          </reference>
          <reference field="16" count="1">
            <x v="30"/>
          </reference>
        </references>
      </pivotArea>
    </format>
    <format dxfId="6725">
      <pivotArea dataOnly="0" labelOnly="1" outline="0" fieldPosition="0">
        <references count="5">
          <reference field="1" count="0" selected="0"/>
          <reference field="3" count="1" selected="0">
            <x v="5"/>
          </reference>
          <reference field="5" count="1" selected="0">
            <x v="221"/>
          </reference>
          <reference field="6" count="1" selected="0">
            <x v="4"/>
          </reference>
          <reference field="16" count="1">
            <x v="35"/>
          </reference>
        </references>
      </pivotArea>
    </format>
    <format dxfId="6724">
      <pivotArea dataOnly="0" labelOnly="1" outline="0" fieldPosition="0">
        <references count="5">
          <reference field="1" count="0" selected="0"/>
          <reference field="3" count="1" selected="0">
            <x v="5"/>
          </reference>
          <reference field="5" count="1" selected="0">
            <x v="328"/>
          </reference>
          <reference field="6" count="1" selected="0">
            <x v="3"/>
          </reference>
          <reference field="16" count="1">
            <x v="69"/>
          </reference>
        </references>
      </pivotArea>
    </format>
    <format dxfId="6723">
      <pivotArea dataOnly="0" labelOnly="1" outline="0" fieldPosition="0">
        <references count="5">
          <reference field="1" count="0" selected="0"/>
          <reference field="3" count="1" selected="0">
            <x v="7"/>
          </reference>
          <reference field="5" count="1" selected="0">
            <x v="106"/>
          </reference>
          <reference field="6" count="1" selected="0">
            <x v="4"/>
          </reference>
          <reference field="16" count="1">
            <x v="46"/>
          </reference>
        </references>
      </pivotArea>
    </format>
    <format dxfId="6722">
      <pivotArea dataOnly="0" labelOnly="1" outline="0" fieldPosition="0">
        <references count="5">
          <reference field="1" count="0" selected="0"/>
          <reference field="3" count="1" selected="0">
            <x v="7"/>
          </reference>
          <reference field="5" count="1" selected="0">
            <x v="119"/>
          </reference>
          <reference field="6" count="1" selected="0">
            <x v="4"/>
          </reference>
          <reference field="16" count="1">
            <x v="37"/>
          </reference>
        </references>
      </pivotArea>
    </format>
    <format dxfId="6721">
      <pivotArea dataOnly="0" labelOnly="1" outline="0" fieldPosition="0">
        <references count="5">
          <reference field="1" count="0" selected="0"/>
          <reference field="3" count="1" selected="0">
            <x v="7"/>
          </reference>
          <reference field="5" count="1" selected="0">
            <x v="122"/>
          </reference>
          <reference field="6" count="1" selected="0">
            <x v="4"/>
          </reference>
          <reference field="16" count="1">
            <x v="41"/>
          </reference>
        </references>
      </pivotArea>
    </format>
    <format dxfId="6720">
      <pivotArea dataOnly="0" labelOnly="1" outline="0" fieldPosition="0">
        <references count="5">
          <reference field="1" count="0" selected="0"/>
          <reference field="3" count="1" selected="0">
            <x v="7"/>
          </reference>
          <reference field="5" count="1" selected="0">
            <x v="127"/>
          </reference>
          <reference field="6" count="1" selected="0">
            <x v="4"/>
          </reference>
          <reference field="16" count="1">
            <x v="42"/>
          </reference>
        </references>
      </pivotArea>
    </format>
    <format dxfId="6719">
      <pivotArea dataOnly="0" labelOnly="1" outline="0" fieldPosition="0">
        <references count="3">
          <reference field="1" count="0" selected="0"/>
          <reference field="3" count="1" selected="0">
            <x v="5"/>
          </reference>
          <reference field="5" count="1">
            <x v="330"/>
          </reference>
        </references>
      </pivotArea>
    </format>
    <format dxfId="6718">
      <pivotArea dataOnly="0" labelOnly="1" outline="0" fieldPosition="0">
        <references count="5">
          <reference field="1" count="0" selected="0"/>
          <reference field="3" count="1" selected="0">
            <x v="4"/>
          </reference>
          <reference field="5" count="1" selected="0">
            <x v="191"/>
          </reference>
          <reference field="6" count="1" selected="0">
            <x v="3"/>
          </reference>
          <reference field="16" count="1">
            <x v="49"/>
          </reference>
        </references>
      </pivotArea>
    </format>
    <format dxfId="6717">
      <pivotArea dataOnly="0" labelOnly="1" outline="0" fieldPosition="0">
        <references count="5">
          <reference field="1" count="0" selected="0"/>
          <reference field="3" count="1" selected="0">
            <x v="4"/>
          </reference>
          <reference field="5" count="1" selected="0">
            <x v="192"/>
          </reference>
          <reference field="6" count="1" selected="0">
            <x v="3"/>
          </reference>
          <reference field="16" count="1">
            <x v="48"/>
          </reference>
        </references>
      </pivotArea>
    </format>
    <format dxfId="6716">
      <pivotArea dataOnly="0" labelOnly="1" outline="0" fieldPosition="0">
        <references count="5">
          <reference field="1" count="0" selected="0"/>
          <reference field="3" count="1" selected="0">
            <x v="4"/>
          </reference>
          <reference field="5" count="1" selected="0">
            <x v="200"/>
          </reference>
          <reference field="6" count="1" selected="0">
            <x v="3"/>
          </reference>
          <reference field="16" count="1">
            <x v="50"/>
          </reference>
        </references>
      </pivotArea>
    </format>
    <format dxfId="6715">
      <pivotArea dataOnly="0" labelOnly="1" outline="0" fieldPosition="0">
        <references count="5">
          <reference field="1" count="0" selected="0"/>
          <reference field="3" count="1" selected="0">
            <x v="4"/>
          </reference>
          <reference field="5" count="1" selected="0">
            <x v="206"/>
          </reference>
          <reference field="6" count="1" selected="0">
            <x v="3"/>
          </reference>
          <reference field="16" count="1">
            <x v="55"/>
          </reference>
        </references>
      </pivotArea>
    </format>
    <format dxfId="6714">
      <pivotArea dataOnly="0" labelOnly="1" outline="0" fieldPosition="0">
        <references count="5">
          <reference field="1" count="0" selected="0"/>
          <reference field="3" count="1" selected="0">
            <x v="5"/>
          </reference>
          <reference field="5" count="1" selected="0">
            <x v="96"/>
          </reference>
          <reference field="6" count="1" selected="0">
            <x v="3"/>
          </reference>
          <reference field="16" count="1">
            <x v="3"/>
          </reference>
        </references>
      </pivotArea>
    </format>
    <format dxfId="6713">
      <pivotArea dataOnly="0" labelOnly="1" outline="0" fieldPosition="0">
        <references count="5">
          <reference field="1" count="0" selected="0"/>
          <reference field="3" count="1" selected="0">
            <x v="5"/>
          </reference>
          <reference field="5" count="1" selected="0">
            <x v="102"/>
          </reference>
          <reference field="6" count="1" selected="0">
            <x v="3"/>
          </reference>
          <reference field="16" count="1">
            <x v="44"/>
          </reference>
        </references>
      </pivotArea>
    </format>
    <format dxfId="6712">
      <pivotArea dataOnly="0" labelOnly="1" outline="0" fieldPosition="0">
        <references count="5">
          <reference field="1" count="0" selected="0"/>
          <reference field="3" count="1" selected="0">
            <x v="5"/>
          </reference>
          <reference field="5" count="1" selected="0">
            <x v="103"/>
          </reference>
          <reference field="6" count="1" selected="0">
            <x v="3"/>
          </reference>
          <reference field="16" count="1">
            <x v="7"/>
          </reference>
        </references>
      </pivotArea>
    </format>
    <format dxfId="6711">
      <pivotArea dataOnly="0" labelOnly="1" outline="0" fieldPosition="0">
        <references count="5">
          <reference field="1" count="0" selected="0"/>
          <reference field="3" count="1" selected="0">
            <x v="5"/>
          </reference>
          <reference field="5" count="1" selected="0">
            <x v="168"/>
          </reference>
          <reference field="6" count="1" selected="0">
            <x v="3"/>
          </reference>
          <reference field="16" count="1">
            <x v="24"/>
          </reference>
        </references>
      </pivotArea>
    </format>
    <format dxfId="6710">
      <pivotArea dataOnly="0" labelOnly="1" outline="0" fieldPosition="0">
        <references count="5">
          <reference field="1" count="0" selected="0"/>
          <reference field="3" count="1" selected="0">
            <x v="5"/>
          </reference>
          <reference field="5" count="1" selected="0">
            <x v="208"/>
          </reference>
          <reference field="6" count="1" selected="0">
            <x v="3"/>
          </reference>
          <reference field="16" count="1">
            <x v="47"/>
          </reference>
        </references>
      </pivotArea>
    </format>
    <format dxfId="6709">
      <pivotArea dataOnly="0" labelOnly="1" outline="0" fieldPosition="0">
        <references count="5">
          <reference field="1" count="0" selected="0"/>
          <reference field="3" count="1" selected="0">
            <x v="5"/>
          </reference>
          <reference field="5" count="1" selected="0">
            <x v="326"/>
          </reference>
          <reference field="6" count="1" selected="0">
            <x v="3"/>
          </reference>
          <reference field="16" count="1">
            <x v="72"/>
          </reference>
        </references>
      </pivotArea>
    </format>
    <format dxfId="6708">
      <pivotArea dataOnly="0" labelOnly="1" outline="0" fieldPosition="0">
        <references count="5">
          <reference field="1" count="0" selected="0"/>
          <reference field="3" count="1" selected="0">
            <x v="7"/>
          </reference>
          <reference field="5" count="1" selected="0">
            <x v="95"/>
          </reference>
          <reference field="6" count="1" selected="0">
            <x v="4"/>
          </reference>
          <reference field="16" count="1">
            <x v="36"/>
          </reference>
        </references>
      </pivotArea>
    </format>
    <format dxfId="6707">
      <pivotArea dataOnly="0" labelOnly="1" outline="0" fieldPosition="0">
        <references count="5">
          <reference field="1" count="0" selected="0"/>
          <reference field="3" count="1" selected="0">
            <x v="7"/>
          </reference>
          <reference field="5" count="1" selected="0">
            <x v="105"/>
          </reference>
          <reference field="6" count="1" selected="0">
            <x v="4"/>
          </reference>
          <reference field="16" count="1">
            <x v="8"/>
          </reference>
        </references>
      </pivotArea>
    </format>
    <format dxfId="6706">
      <pivotArea dataOnly="0" labelOnly="1" outline="0" fieldPosition="0">
        <references count="5">
          <reference field="1" count="0" selected="0"/>
          <reference field="3" count="1" selected="0">
            <x v="7"/>
          </reference>
          <reference field="5" count="1" selected="0">
            <x v="120"/>
          </reference>
          <reference field="6" count="1" selected="0">
            <x v="4"/>
          </reference>
          <reference field="16" count="1">
            <x v="12"/>
          </reference>
        </references>
      </pivotArea>
    </format>
    <format dxfId="6705">
      <pivotArea dataOnly="0" labelOnly="1" outline="0" fieldPosition="0">
        <references count="5">
          <reference field="1" count="0" selected="0"/>
          <reference field="3" count="1" selected="0">
            <x v="7"/>
          </reference>
          <reference field="5" count="1" selected="0">
            <x v="121"/>
          </reference>
          <reference field="6" count="1" selected="0">
            <x v="4"/>
          </reference>
          <reference field="16" count="1">
            <x v="13"/>
          </reference>
        </references>
      </pivotArea>
    </format>
    <format dxfId="6704">
      <pivotArea dataOnly="0" labelOnly="1" outline="0" fieldPosition="0">
        <references count="5">
          <reference field="1" count="0" selected="0"/>
          <reference field="3" count="1" selected="0">
            <x v="9"/>
          </reference>
          <reference field="5" count="1" selected="0">
            <x v="114"/>
          </reference>
          <reference field="6" count="1" selected="0">
            <x v="5"/>
          </reference>
          <reference field="16" count="1">
            <x v="9"/>
          </reference>
        </references>
      </pivotArea>
    </format>
    <format dxfId="6703">
      <pivotArea dataOnly="0" labelOnly="1" outline="0" fieldPosition="0">
        <references count="5">
          <reference field="1" count="0" selected="0"/>
          <reference field="3" count="1" selected="0">
            <x v="10"/>
          </reference>
          <reference field="5" count="1" selected="0">
            <x v="160"/>
          </reference>
          <reference field="6" count="1" selected="0">
            <x v="7"/>
          </reference>
          <reference field="16" count="1">
            <x v="106"/>
          </reference>
        </references>
      </pivotArea>
    </format>
    <format dxfId="6702">
      <pivotArea dataOnly="0" labelOnly="1" outline="0" fieldPosition="0">
        <references count="3">
          <reference field="1" count="0" selected="0"/>
          <reference field="3" count="1" selected="0">
            <x v="5"/>
          </reference>
          <reference field="5" count="1">
            <x v="330"/>
          </reference>
        </references>
      </pivotArea>
    </format>
    <format dxfId="6701">
      <pivotArea dataOnly="0" labelOnly="1" outline="0" fieldPosition="0">
        <references count="5">
          <reference field="1" count="0" selected="0"/>
          <reference field="3" count="1" selected="0">
            <x v="9"/>
          </reference>
          <reference field="5" count="1" selected="0">
            <x v="161"/>
          </reference>
          <reference field="6" count="1" selected="0">
            <x v="5"/>
          </reference>
          <reference field="16" count="1">
            <x v="22"/>
          </reference>
        </references>
      </pivotArea>
    </format>
    <format dxfId="6700">
      <pivotArea dataOnly="0" labelOnly="1" outline="0" fieldPosition="0">
        <references count="5">
          <reference field="1" count="0" selected="0"/>
          <reference field="3" count="1" selected="0">
            <x v="10"/>
          </reference>
          <reference field="5" count="1" selected="0">
            <x v="143"/>
          </reference>
          <reference field="6" count="1" selected="0">
            <x v="7"/>
          </reference>
          <reference field="16" count="1">
            <x v="105"/>
          </reference>
        </references>
      </pivotArea>
    </format>
    <format dxfId="6699">
      <pivotArea dataOnly="0" labelOnly="1" outline="0" fieldPosition="0">
        <references count="5">
          <reference field="1" count="0" selected="0"/>
          <reference field="3" count="1" selected="0">
            <x v="10"/>
          </reference>
          <reference field="5" count="1" selected="0">
            <x v="359"/>
          </reference>
          <reference field="6" count="1" selected="0">
            <x v="7"/>
          </reference>
          <reference field="16" count="1">
            <x v="88"/>
          </reference>
        </references>
      </pivotArea>
    </format>
    <format dxfId="6698">
      <pivotArea dataOnly="0" labelOnly="1" outline="0" fieldPosition="0">
        <references count="3">
          <reference field="1" count="0" selected="0"/>
          <reference field="3" count="1" selected="0">
            <x v="4"/>
          </reference>
          <reference field="5" count="1">
            <x v="202"/>
          </reference>
        </references>
      </pivotArea>
    </format>
    <format dxfId="6697">
      <pivotArea dataOnly="0" labelOnly="1" outline="0" fieldPosition="0">
        <references count="3">
          <reference field="1" count="0" selected="0"/>
          <reference field="3" count="1" selected="0">
            <x v="5"/>
          </reference>
          <reference field="5" count="1">
            <x v="98"/>
          </reference>
        </references>
      </pivotArea>
    </format>
    <format dxfId="6696">
      <pivotArea dataOnly="0" labelOnly="1" outline="0" fieldPosition="0">
        <references count="3">
          <reference field="1" count="0" selected="0"/>
          <reference field="3" count="1" selected="0">
            <x v="5"/>
          </reference>
          <reference field="5" count="1">
            <x v="111"/>
          </reference>
        </references>
      </pivotArea>
    </format>
    <format dxfId="6695">
      <pivotArea dataOnly="0" labelOnly="1" outline="0" fieldPosition="0">
        <references count="3">
          <reference field="1" count="0" selected="0"/>
          <reference field="3" count="1" selected="0">
            <x v="5"/>
          </reference>
          <reference field="5" count="4">
            <x v="112"/>
            <x v="213"/>
            <x v="214"/>
            <x v="329"/>
          </reference>
        </references>
      </pivotArea>
    </format>
    <format dxfId="6694">
      <pivotArea dataOnly="0" labelOnly="1" outline="0" fieldPosition="0">
        <references count="3">
          <reference field="1" count="0" selected="0"/>
          <reference field="3" count="1" selected="0">
            <x v="5"/>
          </reference>
          <reference field="5" count="1">
            <x v="346"/>
          </reference>
        </references>
      </pivotArea>
    </format>
    <format dxfId="6693">
      <pivotArea dataOnly="0" labelOnly="1" outline="0" fieldPosition="0">
        <references count="3">
          <reference field="1" count="0" selected="0"/>
          <reference field="3" count="1" selected="0">
            <x v="5"/>
          </reference>
          <reference field="5" count="1">
            <x v="358"/>
          </reference>
        </references>
      </pivotArea>
    </format>
    <format dxfId="6692">
      <pivotArea dataOnly="0" labelOnly="1" outline="0" fieldPosition="0">
        <references count="3">
          <reference field="1" count="0" selected="0"/>
          <reference field="3" count="1" selected="0">
            <x v="7"/>
          </reference>
          <reference field="5" count="14">
            <x v="118"/>
            <x v="123"/>
            <x v="126"/>
            <x v="137"/>
            <x v="146"/>
            <x v="159"/>
            <x v="165"/>
            <x v="172"/>
            <x v="175"/>
            <x v="182"/>
            <x v="187"/>
            <x v="190"/>
            <x v="335"/>
            <x v="342"/>
          </reference>
        </references>
      </pivotArea>
    </format>
    <format dxfId="6691">
      <pivotArea dataOnly="0" labelOnly="1" outline="0" fieldPosition="0">
        <references count="3">
          <reference field="1" count="0" selected="0"/>
          <reference field="3" count="1" selected="0">
            <x v="9"/>
          </reference>
          <reference field="5" count="2">
            <x v="133"/>
            <x v="136"/>
          </reference>
        </references>
      </pivotArea>
    </format>
    <format dxfId="6690">
      <pivotArea dataOnly="0" labelOnly="1" outline="0" fieldPosition="0">
        <references count="3">
          <reference field="1" count="0" selected="0"/>
          <reference field="3" count="1" selected="0">
            <x v="10"/>
          </reference>
          <reference field="5" count="2">
            <x v="162"/>
            <x v="211"/>
          </reference>
        </references>
      </pivotArea>
    </format>
    <format dxfId="6689">
      <pivotArea dataOnly="0" labelOnly="1" outline="0" fieldPosition="0">
        <references count="3">
          <reference field="1" count="0" selected="0"/>
          <reference field="3" count="1" selected="0">
            <x v="16"/>
          </reference>
          <reference field="5" count="1">
            <x v="341"/>
          </reference>
        </references>
      </pivotArea>
    </format>
    <format dxfId="6688">
      <pivotArea field="16" type="button" dataOnly="0" labelOnly="1" outline="0" axis="axisRow" fieldPosition="4"/>
    </format>
    <format dxfId="6687">
      <pivotArea dataOnly="0" labelOnly="1" outline="0" fieldPosition="0">
        <references count="3">
          <reference field="1" count="0" selected="0"/>
          <reference field="3" count="1" selected="0">
            <x v="5"/>
          </reference>
          <reference field="5" count="1">
            <x v="111"/>
          </reference>
        </references>
      </pivotArea>
    </format>
    <format dxfId="6686">
      <pivotArea dataOnly="0" labelOnly="1" outline="0" fieldPosition="0">
        <references count="3">
          <reference field="1" count="0" selected="0"/>
          <reference field="3" count="1" selected="0">
            <x v="5"/>
          </reference>
          <reference field="5" count="1">
            <x v="346"/>
          </reference>
        </references>
      </pivotArea>
    </format>
    <format dxfId="6685">
      <pivotArea dataOnly="0" labelOnly="1" outline="0" fieldPosition="0">
        <references count="5">
          <reference field="1" count="0" selected="0"/>
          <reference field="3" count="1" selected="0">
            <x v="4"/>
          </reference>
          <reference field="5" count="1" selected="0">
            <x v="196"/>
          </reference>
          <reference field="6" count="1" selected="0">
            <x v="3"/>
          </reference>
          <reference field="16" count="1">
            <x v="28"/>
          </reference>
        </references>
      </pivotArea>
    </format>
    <format dxfId="6684">
      <pivotArea dataOnly="0" labelOnly="1" outline="0" fieldPosition="0">
        <references count="5">
          <reference field="1" count="0" selected="0"/>
          <reference field="3" count="1" selected="0">
            <x v="4"/>
          </reference>
          <reference field="5" count="1" selected="0">
            <x v="197"/>
          </reference>
          <reference field="6" count="1" selected="0">
            <x v="3"/>
          </reference>
          <reference field="16" count="1">
            <x v="52"/>
          </reference>
        </references>
      </pivotArea>
    </format>
    <format dxfId="6683">
      <pivotArea dataOnly="0" labelOnly="1" outline="0" fieldPosition="0">
        <references count="5">
          <reference field="1" count="0" selected="0"/>
          <reference field="3" count="1" selected="0">
            <x v="4"/>
          </reference>
          <reference field="5" count="1" selected="0">
            <x v="202"/>
          </reference>
          <reference field="6" count="1" selected="0">
            <x v="3"/>
          </reference>
          <reference field="16" count="1">
            <x v="45"/>
          </reference>
        </references>
      </pivotArea>
    </format>
    <format dxfId="6682">
      <pivotArea dataOnly="0" labelOnly="1" outline="0" fieldPosition="0">
        <references count="5">
          <reference field="1" count="0" selected="0"/>
          <reference field="3" count="1" selected="0">
            <x v="5"/>
          </reference>
          <reference field="5" count="1" selected="0">
            <x v="98"/>
          </reference>
          <reference field="6" count="1" selected="0">
            <x v="3"/>
          </reference>
          <reference field="16" count="1">
            <x v="0"/>
          </reference>
        </references>
      </pivotArea>
    </format>
    <format dxfId="6681">
      <pivotArea dataOnly="0" labelOnly="1" outline="0" fieldPosition="0">
        <references count="5">
          <reference field="1" count="0" selected="0"/>
          <reference field="3" count="1" selected="0">
            <x v="5"/>
          </reference>
          <reference field="5" count="1" selected="0">
            <x v="112"/>
          </reference>
          <reference field="6" count="1" selected="0">
            <x v="3"/>
          </reference>
          <reference field="16" count="1">
            <x v="11"/>
          </reference>
        </references>
      </pivotArea>
    </format>
    <format dxfId="6680">
      <pivotArea dataOnly="0" labelOnly="1" outline="0" fieldPosition="0">
        <references count="5">
          <reference field="1" count="0" selected="0"/>
          <reference field="3" count="1" selected="0">
            <x v="5"/>
          </reference>
          <reference field="5" count="1" selected="0">
            <x v="213"/>
          </reference>
          <reference field="6" count="1" selected="0">
            <x v="3"/>
          </reference>
          <reference field="16" count="1">
            <x v="102"/>
          </reference>
        </references>
      </pivotArea>
    </format>
    <format dxfId="6679">
      <pivotArea dataOnly="0" labelOnly="1" outline="0" fieldPosition="0">
        <references count="5">
          <reference field="1" count="0" selected="0"/>
          <reference field="3" count="1" selected="0">
            <x v="5"/>
          </reference>
          <reference field="5" count="1" selected="0">
            <x v="214"/>
          </reference>
          <reference field="6" count="1" selected="0">
            <x v="3"/>
          </reference>
          <reference field="16" count="1">
            <x v="32"/>
          </reference>
        </references>
      </pivotArea>
    </format>
    <format dxfId="6678">
      <pivotArea dataOnly="0" labelOnly="1" outline="0" fieldPosition="0">
        <references count="5">
          <reference field="1" count="0" selected="0"/>
          <reference field="3" count="1" selected="0">
            <x v="5"/>
          </reference>
          <reference field="5" count="1" selected="0">
            <x v="329"/>
          </reference>
          <reference field="6" count="1" selected="0">
            <x v="3"/>
          </reference>
          <reference field="16" count="1">
            <x v="79"/>
          </reference>
        </references>
      </pivotArea>
    </format>
    <format dxfId="6677">
      <pivotArea dataOnly="0" labelOnly="1" outline="0" fieldPosition="0">
        <references count="5">
          <reference field="1" count="0" selected="0"/>
          <reference field="3" count="1" selected="0">
            <x v="5"/>
          </reference>
          <reference field="5" count="1" selected="0">
            <x v="358"/>
          </reference>
          <reference field="6" count="1" selected="0">
            <x v="3"/>
          </reference>
          <reference field="16" count="1">
            <x v="117"/>
          </reference>
        </references>
      </pivotArea>
    </format>
    <format dxfId="6676">
      <pivotArea dataOnly="0" labelOnly="1" outline="0" fieldPosition="0">
        <references count="5">
          <reference field="1" count="0" selected="0"/>
          <reference field="3" count="1" selected="0">
            <x v="7"/>
          </reference>
          <reference field="5" count="1" selected="0">
            <x v="118"/>
          </reference>
          <reference field="6" count="1" selected="0">
            <x v="4"/>
          </reference>
          <reference field="16" count="1">
            <x v="99"/>
          </reference>
        </references>
      </pivotArea>
    </format>
    <format dxfId="6675">
      <pivotArea dataOnly="0" labelOnly="1" outline="0" fieldPosition="0">
        <references count="5">
          <reference field="1" count="0" selected="0"/>
          <reference field="3" count="1" selected="0">
            <x v="7"/>
          </reference>
          <reference field="5" count="1" selected="0">
            <x v="123"/>
          </reference>
          <reference field="6" count="1" selected="0">
            <x v="4"/>
          </reference>
          <reference field="16" count="1">
            <x v="40"/>
          </reference>
        </references>
      </pivotArea>
    </format>
    <format dxfId="6674">
      <pivotArea dataOnly="0" labelOnly="1" outline="0" fieldPosition="0">
        <references count="5">
          <reference field="1" count="0" selected="0"/>
          <reference field="3" count="1" selected="0">
            <x v="7"/>
          </reference>
          <reference field="5" count="1" selected="0">
            <x v="126"/>
          </reference>
          <reference field="6" count="1" selected="0">
            <x v="4"/>
          </reference>
          <reference field="16" count="1">
            <x v="17"/>
          </reference>
        </references>
      </pivotArea>
    </format>
    <format dxfId="6673">
      <pivotArea dataOnly="0" labelOnly="1" outline="0" fieldPosition="0">
        <references count="5">
          <reference field="1" count="0" selected="0"/>
          <reference field="3" count="1" selected="0">
            <x v="7"/>
          </reference>
          <reference field="5" count="1" selected="0">
            <x v="137"/>
          </reference>
          <reference field="6" count="1" selected="0">
            <x v="4"/>
          </reference>
          <reference field="16" count="1">
            <x v="60"/>
          </reference>
        </references>
      </pivotArea>
    </format>
    <format dxfId="6672">
      <pivotArea dataOnly="0" labelOnly="1" outline="0" fieldPosition="0">
        <references count="5">
          <reference field="1" count="0" selected="0"/>
          <reference field="3" count="1" selected="0">
            <x v="7"/>
          </reference>
          <reference field="5" count="1" selected="0">
            <x v="159"/>
          </reference>
          <reference field="6" count="1" selected="0">
            <x v="4"/>
          </reference>
          <reference field="16" count="1">
            <x v="95"/>
          </reference>
        </references>
      </pivotArea>
    </format>
    <format dxfId="6671">
      <pivotArea dataOnly="0" labelOnly="1" outline="0" fieldPosition="0">
        <references count="5">
          <reference field="1" count="0" selected="0"/>
          <reference field="3" count="1" selected="0">
            <x v="7"/>
          </reference>
          <reference field="5" count="1" selected="0">
            <x v="165"/>
          </reference>
          <reference field="6" count="1" selected="0">
            <x v="4"/>
          </reference>
          <reference field="16" count="1">
            <x v="77"/>
          </reference>
        </references>
      </pivotArea>
    </format>
    <format dxfId="6670">
      <pivotArea dataOnly="0" labelOnly="1" outline="0" fieldPosition="0">
        <references count="5">
          <reference field="1" count="0" selected="0"/>
          <reference field="3" count="1" selected="0">
            <x v="7"/>
          </reference>
          <reference field="5" count="1" selected="0">
            <x v="172"/>
          </reference>
          <reference field="6" count="1" selected="0">
            <x v="4"/>
          </reference>
          <reference field="16" count="1">
            <x v="68"/>
          </reference>
        </references>
      </pivotArea>
    </format>
    <format dxfId="6669">
      <pivotArea dataOnly="0" labelOnly="1" outline="0" fieldPosition="0">
        <references count="5">
          <reference field="1" count="0" selected="0"/>
          <reference field="3" count="1" selected="0">
            <x v="7"/>
          </reference>
          <reference field="5" count="1" selected="0">
            <x v="175"/>
          </reference>
          <reference field="6" count="1" selected="0">
            <x v="4"/>
          </reference>
          <reference field="16" count="1">
            <x v="110"/>
          </reference>
        </references>
      </pivotArea>
    </format>
    <format dxfId="6668">
      <pivotArea dataOnly="0" labelOnly="1" outline="0" fieldPosition="0">
        <references count="5">
          <reference field="1" count="0" selected="0"/>
          <reference field="3" count="1" selected="0">
            <x v="7"/>
          </reference>
          <reference field="5" count="1" selected="0">
            <x v="182"/>
          </reference>
          <reference field="6" count="1" selected="0">
            <x v="4"/>
          </reference>
          <reference field="16" count="1">
            <x v="65"/>
          </reference>
        </references>
      </pivotArea>
    </format>
    <format dxfId="6667">
      <pivotArea dataOnly="0" labelOnly="1" outline="0" fieldPosition="0">
        <references count="5">
          <reference field="1" count="0" selected="0"/>
          <reference field="3" count="1" selected="0">
            <x v="7"/>
          </reference>
          <reference field="5" count="1" selected="0">
            <x v="187"/>
          </reference>
          <reference field="6" count="1" selected="0">
            <x v="4"/>
          </reference>
          <reference field="16" count="1">
            <x v="76"/>
          </reference>
        </references>
      </pivotArea>
    </format>
    <format dxfId="6666">
      <pivotArea dataOnly="0" labelOnly="1" outline="0" fieldPosition="0">
        <references count="5">
          <reference field="1" count="0" selected="0"/>
          <reference field="3" count="1" selected="0">
            <x v="7"/>
          </reference>
          <reference field="5" count="1" selected="0">
            <x v="190"/>
          </reference>
          <reference field="6" count="1" selected="0">
            <x v="4"/>
          </reference>
          <reference field="16" count="1">
            <x v="75"/>
          </reference>
        </references>
      </pivotArea>
    </format>
    <format dxfId="6665">
      <pivotArea dataOnly="0" labelOnly="1" outline="0" fieldPosition="0">
        <references count="5">
          <reference field="1" count="0" selected="0"/>
          <reference field="3" count="1" selected="0">
            <x v="7"/>
          </reference>
          <reference field="5" count="1" selected="0">
            <x v="335"/>
          </reference>
          <reference field="6" count="1" selected="0">
            <x v="4"/>
          </reference>
          <reference field="16" count="1">
            <x v="114"/>
          </reference>
        </references>
      </pivotArea>
    </format>
    <format dxfId="6664">
      <pivotArea dataOnly="0" labelOnly="1" outline="0" fieldPosition="0">
        <references count="5">
          <reference field="1" count="0" selected="0"/>
          <reference field="3" count="1" selected="0">
            <x v="7"/>
          </reference>
          <reference field="5" count="1" selected="0">
            <x v="342"/>
          </reference>
          <reference field="6" count="1" selected="0">
            <x v="4"/>
          </reference>
          <reference field="16" count="1">
            <x v="14"/>
          </reference>
        </references>
      </pivotArea>
    </format>
    <format dxfId="6663">
      <pivotArea dataOnly="0" labelOnly="1" outline="0" fieldPosition="0">
        <references count="5">
          <reference field="1" count="0" selected="0"/>
          <reference field="3" count="1" selected="0">
            <x v="9"/>
          </reference>
          <reference field="5" count="1" selected="0">
            <x v="133"/>
          </reference>
          <reference field="6" count="1" selected="0">
            <x v="5"/>
          </reference>
          <reference field="16" count="1">
            <x v="100"/>
          </reference>
        </references>
      </pivotArea>
    </format>
    <format dxfId="6662">
      <pivotArea dataOnly="0" labelOnly="1" outline="0" fieldPosition="0">
        <references count="5">
          <reference field="1" count="0" selected="0"/>
          <reference field="3" count="1" selected="0">
            <x v="10"/>
          </reference>
          <reference field="5" count="1" selected="0">
            <x v="211"/>
          </reference>
          <reference field="6" count="1" selected="0">
            <x v="7"/>
          </reference>
          <reference field="16" count="1">
            <x v="94"/>
          </reference>
        </references>
      </pivotArea>
    </format>
    <format dxfId="6661">
      <pivotArea dataOnly="0" labelOnly="1" outline="0" fieldPosition="0">
        <references count="5">
          <reference field="1" count="0" selected="0"/>
          <reference field="3" count="1" selected="0">
            <x v="16"/>
          </reference>
          <reference field="5" count="1" selected="0">
            <x v="341"/>
          </reference>
          <reference field="6" count="1" selected="0">
            <x v="3"/>
          </reference>
          <reference field="16" count="1">
            <x v="33"/>
          </reference>
        </references>
      </pivotArea>
    </format>
    <format dxfId="6660">
      <pivotArea dataOnly="0" labelOnly="1" outline="0" fieldPosition="0">
        <references count="3">
          <reference field="1" count="0" selected="0"/>
          <reference field="3" count="1" selected="0">
            <x v="7"/>
          </reference>
          <reference field="5" count="1">
            <x v="361"/>
          </reference>
        </references>
      </pivotArea>
    </format>
    <format dxfId="6659">
      <pivotArea dataOnly="0" labelOnly="1" outline="0" fieldPosition="0">
        <references count="3">
          <reference field="1" count="0" selected="0"/>
          <reference field="3" count="1" selected="0">
            <x v="7"/>
          </reference>
          <reference field="5" count="1">
            <x v="361"/>
          </reference>
        </references>
      </pivotArea>
    </format>
    <format dxfId="6658">
      <pivotArea dataOnly="0" labelOnly="1" outline="0" fieldPosition="0">
        <references count="3">
          <reference field="1" count="0" selected="0"/>
          <reference field="3" count="1" selected="0">
            <x v="9"/>
          </reference>
          <reference field="5" count="1">
            <x v="360"/>
          </reference>
        </references>
      </pivotArea>
    </format>
    <format dxfId="6657">
      <pivotArea dataOnly="0" labelOnly="1" outline="0" fieldPosition="0">
        <references count="5">
          <reference field="1" count="0" selected="0"/>
          <reference field="3" count="1" selected="0">
            <x v="5"/>
          </reference>
          <reference field="5" count="1" selected="0">
            <x v="362"/>
          </reference>
          <reference field="6" count="1" selected="0">
            <x v="3"/>
          </reference>
          <reference field="16" count="1">
            <x v="3"/>
          </reference>
        </references>
      </pivotArea>
    </format>
    <format dxfId="6656">
      <pivotArea dataOnly="0" labelOnly="1" outline="0" fieldPosition="0">
        <references count="3">
          <reference field="1" count="0" selected="0"/>
          <reference field="3" count="1" selected="0">
            <x v="5"/>
          </reference>
          <reference field="5" count="1">
            <x v="362"/>
          </reference>
        </references>
      </pivotArea>
    </format>
    <format dxfId="6655">
      <pivotArea dataOnly="0" labelOnly="1" outline="0" fieldPosition="0">
        <references count="3">
          <reference field="1" count="0" selected="0"/>
          <reference field="3" count="1" selected="0">
            <x v="5"/>
          </reference>
          <reference field="5" count="1">
            <x v="367"/>
          </reference>
        </references>
      </pivotArea>
    </format>
    <format dxfId="6654">
      <pivotArea dataOnly="0" labelOnly="1" outline="0" fieldPosition="0">
        <references count="3">
          <reference field="1" count="0" selected="0"/>
          <reference field="3" count="1" selected="0">
            <x v="7"/>
          </reference>
          <reference field="5" count="15">
            <x v="155"/>
            <x v="158"/>
            <x v="167"/>
            <x v="171"/>
            <x v="176"/>
            <x v="177"/>
            <x v="183"/>
            <x v="186"/>
            <x v="207"/>
            <x v="324"/>
            <x v="352"/>
            <x v="368"/>
            <x v="382"/>
            <x v="383"/>
            <x v="384"/>
          </reference>
        </references>
      </pivotArea>
    </format>
    <format dxfId="6653">
      <pivotArea dataOnly="0" labelOnly="1" outline="0" fieldPosition="0">
        <references count="3">
          <reference field="1" count="0" selected="0"/>
          <reference field="3" count="1" selected="0">
            <x v="5"/>
          </reference>
          <reference field="5" count="1">
            <x v="366"/>
          </reference>
        </references>
      </pivotArea>
    </format>
    <format dxfId="6652">
      <pivotArea dataOnly="0" labelOnly="1" outline="0" fieldPosition="0">
        <references count="5">
          <reference field="1" count="0" selected="0"/>
          <reference field="3" count="1" selected="0">
            <x v="5"/>
          </reference>
          <reference field="5" count="1" selected="0">
            <x v="366"/>
          </reference>
          <reference field="6" count="1" selected="0">
            <x v="3"/>
          </reference>
          <reference field="16" count="1">
            <x v="5"/>
          </reference>
        </references>
      </pivotArea>
    </format>
    <format dxfId="6651">
      <pivotArea dataOnly="0" labelOnly="1" outline="0" fieldPosition="0">
        <references count="5">
          <reference field="1" count="0" selected="0"/>
          <reference field="3" count="1" selected="0">
            <x v="5"/>
          </reference>
          <reference field="5" count="1" selected="0">
            <x v="367"/>
          </reference>
          <reference field="6" count="1" selected="0">
            <x v="3"/>
          </reference>
          <reference field="16" count="1">
            <x v="2"/>
          </reference>
        </references>
      </pivotArea>
    </format>
    <format dxfId="6650">
      <pivotArea dataOnly="0" labelOnly="1" outline="0" fieldPosition="0">
        <references count="5">
          <reference field="1" count="0" selected="0"/>
          <reference field="3" count="1" selected="0">
            <x v="7"/>
          </reference>
          <reference field="5" count="1" selected="0">
            <x v="155"/>
          </reference>
          <reference field="6" count="1" selected="0">
            <x v="4"/>
          </reference>
          <reference field="16" count="1">
            <x v="86"/>
          </reference>
        </references>
      </pivotArea>
    </format>
    <format dxfId="6649">
      <pivotArea dataOnly="0" labelOnly="1" outline="0" fieldPosition="0">
        <references count="5">
          <reference field="1" count="0" selected="0"/>
          <reference field="3" count="1" selected="0">
            <x v="7"/>
          </reference>
          <reference field="5" count="1" selected="0">
            <x v="158"/>
          </reference>
          <reference field="6" count="1" selected="0">
            <x v="4"/>
          </reference>
          <reference field="16" count="1">
            <x v="80"/>
          </reference>
        </references>
      </pivotArea>
    </format>
    <format dxfId="6648">
      <pivotArea dataOnly="0" labelOnly="1" outline="0" fieldPosition="0">
        <references count="5">
          <reference field="1" count="0" selected="0"/>
          <reference field="3" count="1" selected="0">
            <x v="7"/>
          </reference>
          <reference field="5" count="1" selected="0">
            <x v="167"/>
          </reference>
          <reference field="6" count="1" selected="0">
            <x v="4"/>
          </reference>
          <reference field="16" count="1">
            <x v="23"/>
          </reference>
        </references>
      </pivotArea>
    </format>
    <format dxfId="6647">
      <pivotArea dataOnly="0" labelOnly="1" outline="0" fieldPosition="0">
        <references count="5">
          <reference field="1" count="0" selected="0"/>
          <reference field="3" count="1" selected="0">
            <x v="7"/>
          </reference>
          <reference field="5" count="1" selected="0">
            <x v="171"/>
          </reference>
          <reference field="6" count="1" selected="0">
            <x v="4"/>
          </reference>
          <reference field="16" count="1">
            <x v="109"/>
          </reference>
        </references>
      </pivotArea>
    </format>
    <format dxfId="6646">
      <pivotArea dataOnly="0" labelOnly="1" outline="0" fieldPosition="0">
        <references count="5">
          <reference field="1" count="0" selected="0"/>
          <reference field="3" count="1" selected="0">
            <x v="7"/>
          </reference>
          <reference field="5" count="1" selected="0">
            <x v="176"/>
          </reference>
          <reference field="6" count="1" selected="0">
            <x v="4"/>
          </reference>
          <reference field="16" count="1">
            <x v="113"/>
          </reference>
        </references>
      </pivotArea>
    </format>
    <format dxfId="6645">
      <pivotArea dataOnly="0" labelOnly="1" outline="0" fieldPosition="0">
        <references count="5">
          <reference field="1" count="0" selected="0"/>
          <reference field="3" count="1" selected="0">
            <x v="7"/>
          </reference>
          <reference field="5" count="1" selected="0">
            <x v="177"/>
          </reference>
          <reference field="6" count="1" selected="0">
            <x v="4"/>
          </reference>
          <reference field="16" count="1">
            <x v="104"/>
          </reference>
        </references>
      </pivotArea>
    </format>
    <format dxfId="6644">
      <pivotArea dataOnly="0" labelOnly="1" outline="0" fieldPosition="0">
        <references count="5">
          <reference field="1" count="0" selected="0"/>
          <reference field="3" count="1" selected="0">
            <x v="7"/>
          </reference>
          <reference field="5" count="1" selected="0">
            <x v="183"/>
          </reference>
          <reference field="6" count="1" selected="0">
            <x v="4"/>
          </reference>
          <reference field="16" count="1">
            <x v="26"/>
          </reference>
        </references>
      </pivotArea>
    </format>
    <format dxfId="6643">
      <pivotArea dataOnly="0" labelOnly="1" outline="0" fieldPosition="0">
        <references count="5">
          <reference field="1" count="0" selected="0"/>
          <reference field="3" count="1" selected="0">
            <x v="7"/>
          </reference>
          <reference field="5" count="1" selected="0">
            <x v="186"/>
          </reference>
          <reference field="6" count="1" selected="0">
            <x v="4"/>
          </reference>
          <reference field="16" count="1">
            <x v="90"/>
          </reference>
        </references>
      </pivotArea>
    </format>
    <format dxfId="6642">
      <pivotArea dataOnly="0" labelOnly="1" outline="0" fieldPosition="0">
        <references count="5">
          <reference field="1" count="0" selected="0"/>
          <reference field="3" count="1" selected="0">
            <x v="7"/>
          </reference>
          <reference field="5" count="1" selected="0">
            <x v="207"/>
          </reference>
          <reference field="6" count="1" selected="0">
            <x v="4"/>
          </reference>
          <reference field="16" count="1">
            <x v="62"/>
          </reference>
        </references>
      </pivotArea>
    </format>
    <format dxfId="6641">
      <pivotArea dataOnly="0" labelOnly="1" outline="0" fieldPosition="0">
        <references count="5">
          <reference field="1" count="0" selected="0"/>
          <reference field="3" count="1" selected="0">
            <x v="7"/>
          </reference>
          <reference field="5" count="1" selected="0">
            <x v="324"/>
          </reference>
          <reference field="6" count="1" selected="0">
            <x v="4"/>
          </reference>
          <reference field="16" count="1">
            <x v="115"/>
          </reference>
        </references>
      </pivotArea>
    </format>
    <format dxfId="6640">
      <pivotArea dataOnly="0" labelOnly="1" outline="0" fieldPosition="0">
        <references count="5">
          <reference field="1" count="0" selected="0"/>
          <reference field="3" count="1" selected="0">
            <x v="7"/>
          </reference>
          <reference field="5" count="1" selected="0">
            <x v="352"/>
          </reference>
          <reference field="6" count="1" selected="0">
            <x v="4"/>
          </reference>
          <reference field="16" count="1">
            <x v="19"/>
          </reference>
        </references>
      </pivotArea>
    </format>
    <format dxfId="6639">
      <pivotArea dataOnly="0" labelOnly="1" outline="0" fieldPosition="0">
        <references count="5">
          <reference field="1" count="0" selected="0"/>
          <reference field="3" count="1" selected="0">
            <x v="7"/>
          </reference>
          <reference field="5" count="1" selected="0">
            <x v="368"/>
          </reference>
          <reference field="6" count="1" selected="0">
            <x v="4"/>
          </reference>
          <reference field="16" count="1">
            <x v="46"/>
          </reference>
        </references>
      </pivotArea>
    </format>
    <format dxfId="6638">
      <pivotArea dataOnly="0" labelOnly="1" outline="0" fieldPosition="0">
        <references count="5">
          <reference field="1" count="0" selected="0"/>
          <reference field="3" count="1" selected="0">
            <x v="7"/>
          </reference>
          <reference field="5" count="1" selected="0">
            <x v="382"/>
          </reference>
          <reference field="6" count="1" selected="0">
            <x v="4"/>
          </reference>
          <reference field="16" count="1">
            <x v="37"/>
          </reference>
        </references>
      </pivotArea>
    </format>
    <format dxfId="6637">
      <pivotArea dataOnly="0" labelOnly="1" outline="0" fieldPosition="0">
        <references count="5">
          <reference field="1" count="0" selected="0"/>
          <reference field="3" count="1" selected="0">
            <x v="7"/>
          </reference>
          <reference field="5" count="1" selected="0">
            <x v="383"/>
          </reference>
          <reference field="6" count="1" selected="0">
            <x v="4"/>
          </reference>
          <reference field="16" count="1">
            <x v="41"/>
          </reference>
        </references>
      </pivotArea>
    </format>
    <format dxfId="6636">
      <pivotArea dataOnly="0" labelOnly="1" outline="0" fieldPosition="0">
        <references count="5">
          <reference field="1" count="0" selected="0"/>
          <reference field="3" count="1" selected="0">
            <x v="7"/>
          </reference>
          <reference field="5" count="1" selected="0">
            <x v="384"/>
          </reference>
          <reference field="6" count="1" selected="0">
            <x v="4"/>
          </reference>
          <reference field="16" count="1">
            <x v="42"/>
          </reference>
        </references>
      </pivotArea>
    </format>
    <format dxfId="6635">
      <pivotArea dataOnly="0" labelOnly="1" outline="0" fieldPosition="0">
        <references count="5">
          <reference field="1" count="0" selected="0"/>
          <reference field="3" count="1" selected="0">
            <x v="9"/>
          </reference>
          <reference field="5" count="1" selected="0">
            <x v="132"/>
          </reference>
          <reference field="6" count="1" selected="0">
            <x v="5"/>
          </reference>
          <reference field="16" count="1">
            <x v="64"/>
          </reference>
        </references>
      </pivotArea>
    </format>
    <format dxfId="6634">
      <pivotArea dataOnly="0" labelOnly="1" outline="0" fieldPosition="0">
        <references count="5">
          <reference field="1" count="0" selected="0"/>
          <reference field="3" count="1" selected="0">
            <x v="9"/>
          </reference>
          <reference field="5" count="1" selected="0">
            <x v="138"/>
          </reference>
          <reference field="6" count="1" selected="0">
            <x v="5"/>
          </reference>
          <reference field="16" count="1">
            <x v="59"/>
          </reference>
        </references>
      </pivotArea>
    </format>
    <format dxfId="6633">
      <pivotArea dataOnly="0" labelOnly="1" outline="0" fieldPosition="0">
        <references count="3">
          <reference field="1" count="0" selected="0"/>
          <reference field="3" count="1" selected="0">
            <x v="7"/>
          </reference>
          <reference field="5" count="3">
            <x v="371"/>
            <x v="372"/>
            <x v="378"/>
          </reference>
        </references>
      </pivotArea>
    </format>
    <format dxfId="6632">
      <pivotArea dataOnly="0" labelOnly="1" outline="0" fieldPosition="0">
        <references count="3">
          <reference field="1" count="0" selected="0"/>
          <reference field="3" count="1" selected="0">
            <x v="9"/>
          </reference>
          <reference field="5" count="1">
            <x v="134"/>
          </reference>
        </references>
      </pivotArea>
    </format>
    <format dxfId="6631">
      <pivotArea dataOnly="0" labelOnly="1" outline="0" fieldPosition="0">
        <references count="3">
          <reference field="1" count="0" selected="0"/>
          <reference field="3" count="1" selected="0">
            <x v="1"/>
          </reference>
          <reference field="5" count="1">
            <x v="375"/>
          </reference>
        </references>
      </pivotArea>
    </format>
    <format dxfId="6630">
      <pivotArea dataOnly="0" labelOnly="1" outline="0" fieldPosition="0">
        <references count="3">
          <reference field="1" count="0" selected="0"/>
          <reference field="3" count="1" selected="0">
            <x v="5"/>
          </reference>
          <reference field="5" count="1">
            <x v="374"/>
          </reference>
        </references>
      </pivotArea>
    </format>
    <format dxfId="6629">
      <pivotArea dataOnly="0" labelOnly="1" outline="0" fieldPosition="0">
        <references count="3">
          <reference field="1" count="0" selected="0"/>
          <reference field="3" count="1" selected="0">
            <x v="7"/>
          </reference>
          <reference field="5" count="6">
            <x v="124"/>
            <x v="144"/>
            <x v="145"/>
            <x v="164"/>
            <x v="173"/>
            <x v="174"/>
          </reference>
        </references>
      </pivotArea>
    </format>
    <format dxfId="6628">
      <pivotArea dataOnly="0" labelOnly="1" outline="0" fieldPosition="0">
        <references count="3">
          <reference field="1" count="0" selected="0"/>
          <reference field="3" count="1" selected="0">
            <x v="5"/>
          </reference>
          <reference field="5" count="1">
            <x v="364"/>
          </reference>
        </references>
      </pivotArea>
    </format>
    <format dxfId="6627">
      <pivotArea dataOnly="0" labelOnly="1" outline="0" fieldPosition="0">
        <references count="3">
          <reference field="1" count="0" selected="0"/>
          <reference field="3" count="1" selected="0">
            <x v="5"/>
          </reference>
          <reference field="5" count="3">
            <x v="363"/>
            <x v="365"/>
            <x v="376"/>
          </reference>
        </references>
      </pivotArea>
    </format>
    <format dxfId="6626">
      <pivotArea dataOnly="0" labelOnly="1" outline="0" fieldPosition="0">
        <references count="3">
          <reference field="1" count="0" selected="0"/>
          <reference field="3" count="1" selected="0">
            <x v="7"/>
          </reference>
          <reference field="5" count="4">
            <x v="373"/>
            <x v="377"/>
            <x v="379"/>
            <x v="380"/>
          </reference>
        </references>
      </pivotArea>
    </format>
    <format dxfId="6625">
      <pivotArea dataOnly="0" labelOnly="1" outline="0" fieldPosition="0">
        <references count="3">
          <reference field="1" count="0" selected="0"/>
          <reference field="3" count="1" selected="0">
            <x v="9"/>
          </reference>
          <reference field="5" count="1">
            <x v="381"/>
          </reference>
        </references>
      </pivotArea>
    </format>
    <format dxfId="6624">
      <pivotArea dataOnly="0" labelOnly="1" outline="0" fieldPosition="0">
        <references count="3">
          <reference field="1" count="0" selected="0"/>
          <reference field="3" count="1" selected="0">
            <x v="5"/>
          </reference>
          <reference field="5" count="1">
            <x v="369"/>
          </reference>
        </references>
      </pivotArea>
    </format>
    <format dxfId="6623">
      <pivotArea dataOnly="0" labelOnly="1" outline="0" fieldPosition="0">
        <references count="3">
          <reference field="1" count="0" selected="0"/>
          <reference field="3" count="1" selected="0">
            <x v="6"/>
          </reference>
          <reference field="5" count="1">
            <x v="131"/>
          </reference>
        </references>
      </pivotArea>
    </format>
    <format dxfId="6622">
      <pivotArea dataOnly="0" labelOnly="1" outline="0" fieldPosition="0">
        <references count="3">
          <reference field="1" count="0" selected="0"/>
          <reference field="3" count="1" selected="0">
            <x v="7"/>
          </reference>
          <reference field="5" count="9">
            <x v="128"/>
            <x v="156"/>
            <x v="157"/>
            <x v="169"/>
            <x v="170"/>
            <x v="179"/>
            <x v="184"/>
            <x v="185"/>
            <x v="351"/>
          </reference>
        </references>
      </pivotArea>
    </format>
    <format dxfId="6621">
      <pivotArea dataOnly="0" labelOnly="1" outline="0" fieldPosition="0">
        <references count="5">
          <reference field="1" count="0" selected="0"/>
          <reference field="3" count="1" selected="0">
            <x v="5"/>
          </reference>
          <reference field="5" count="1" selected="0">
            <x v="369"/>
          </reference>
          <reference field="6" count="1" selected="0">
            <x v="3"/>
          </reference>
          <reference field="16" count="1">
            <x v="7"/>
          </reference>
        </references>
      </pivotArea>
    </format>
    <format dxfId="6620">
      <pivotArea dataOnly="0" labelOnly="1" outline="0" fieldPosition="0">
        <references count="5">
          <reference field="1" count="0" selected="0"/>
          <reference field="3" count="1" selected="0">
            <x v="6"/>
          </reference>
          <reference field="5" count="1" selected="0">
            <x v="131"/>
          </reference>
          <reference field="6" count="1" selected="0">
            <x v="5"/>
          </reference>
          <reference field="16" count="1">
            <x v="103"/>
          </reference>
        </references>
      </pivotArea>
    </format>
    <format dxfId="6619">
      <pivotArea dataOnly="0" labelOnly="1" outline="0" fieldPosition="0">
        <references count="5">
          <reference field="1" count="0" selected="0"/>
          <reference field="3" count="1" selected="0">
            <x v="7"/>
          </reference>
          <reference field="5" count="1" selected="0">
            <x v="128"/>
          </reference>
          <reference field="6" count="1" selected="0">
            <x v="4"/>
          </reference>
          <reference field="16" count="1">
            <x v="18"/>
          </reference>
        </references>
      </pivotArea>
    </format>
    <format dxfId="6618">
      <pivotArea dataOnly="0" labelOnly="1" outline="0" fieldPosition="0">
        <references count="5">
          <reference field="1" count="0" selected="0"/>
          <reference field="3" count="1" selected="0">
            <x v="7"/>
          </reference>
          <reference field="5" count="1" selected="0">
            <x v="156"/>
          </reference>
          <reference field="6" count="1" selected="0">
            <x v="4"/>
          </reference>
          <reference field="16" count="1">
            <x v="81"/>
          </reference>
        </references>
      </pivotArea>
    </format>
    <format dxfId="6617">
      <pivotArea dataOnly="0" labelOnly="1" outline="0" fieldPosition="0">
        <references count="5">
          <reference field="1" count="0" selected="0"/>
          <reference field="3" count="1" selected="0">
            <x v="7"/>
          </reference>
          <reference field="5" count="1" selected="0">
            <x v="157"/>
          </reference>
          <reference field="6" count="1" selected="0">
            <x v="4"/>
          </reference>
          <reference field="16" count="1">
            <x v="82"/>
          </reference>
        </references>
      </pivotArea>
    </format>
    <format dxfId="6616">
      <pivotArea dataOnly="0" labelOnly="1" outline="0" fieldPosition="0">
        <references count="5">
          <reference field="1" count="0" selected="0"/>
          <reference field="3" count="1" selected="0">
            <x v="7"/>
          </reference>
          <reference field="5" count="1" selected="0">
            <x v="169"/>
          </reference>
          <reference field="6" count="1" selected="0">
            <x v="4"/>
          </reference>
          <reference field="16" count="1">
            <x v="71"/>
          </reference>
        </references>
      </pivotArea>
    </format>
    <format dxfId="6615">
      <pivotArea dataOnly="0" labelOnly="1" outline="0" fieldPosition="0">
        <references count="5">
          <reference field="1" count="0" selected="0"/>
          <reference field="3" count="1" selected="0">
            <x v="7"/>
          </reference>
          <reference field="5" count="1" selected="0">
            <x v="170"/>
          </reference>
          <reference field="6" count="1" selected="0">
            <x v="4"/>
          </reference>
          <reference field="16" count="1">
            <x v="66"/>
          </reference>
        </references>
      </pivotArea>
    </format>
    <format dxfId="6614">
      <pivotArea dataOnly="0" labelOnly="1" outline="0" fieldPosition="0">
        <references count="5">
          <reference field="1" count="0" selected="0"/>
          <reference field="3" count="1" selected="0">
            <x v="7"/>
          </reference>
          <reference field="5" count="1" selected="0">
            <x v="179"/>
          </reference>
          <reference field="6" count="1" selected="0">
            <x v="4"/>
          </reference>
          <reference field="16" count="1">
            <x v="107"/>
          </reference>
        </references>
      </pivotArea>
    </format>
    <format dxfId="6613">
      <pivotArea dataOnly="0" labelOnly="1" outline="0" fieldPosition="0">
        <references count="5">
          <reference field="1" count="0" selected="0"/>
          <reference field="3" count="1" selected="0">
            <x v="7"/>
          </reference>
          <reference field="5" count="1" selected="0">
            <x v="184"/>
          </reference>
          <reference field="6" count="1" selected="0">
            <x v="4"/>
          </reference>
          <reference field="16" count="1">
            <x v="27"/>
          </reference>
        </references>
      </pivotArea>
    </format>
    <format dxfId="6612">
      <pivotArea dataOnly="0" labelOnly="1" outline="0" fieldPosition="0">
        <references count="5">
          <reference field="1" count="0" selected="0"/>
          <reference field="3" count="1" selected="0">
            <x v="7"/>
          </reference>
          <reference field="5" count="1" selected="0">
            <x v="185"/>
          </reference>
          <reference field="6" count="1" selected="0">
            <x v="4"/>
          </reference>
          <reference field="16" count="1">
            <x v="25"/>
          </reference>
        </references>
      </pivotArea>
    </format>
    <format dxfId="6611">
      <pivotArea dataOnly="0" labelOnly="1" outline="0" fieldPosition="0">
        <references count="5">
          <reference field="1" count="0" selected="0"/>
          <reference field="3" count="1" selected="0">
            <x v="7"/>
          </reference>
          <reference field="5" count="1" selected="0">
            <x v="351"/>
          </reference>
          <reference field="6" count="1" selected="0">
            <x v="4"/>
          </reference>
          <reference field="16" count="1">
            <x v="19"/>
          </reference>
        </references>
      </pivotArea>
    </format>
    <format dxfId="6610">
      <pivotArea dataOnly="0" labelOnly="1" outline="0" fieldPosition="0">
        <references count="5">
          <reference field="1" count="0" selected="0"/>
          <reference field="3" count="1" selected="0">
            <x v="7"/>
          </reference>
          <reference field="5" count="1" selected="0">
            <x v="361"/>
          </reference>
          <reference field="6" count="1" selected="0">
            <x v="4"/>
          </reference>
          <reference field="16" count="1">
            <x v="36"/>
          </reference>
        </references>
      </pivotArea>
    </format>
    <format dxfId="6609">
      <pivotArea dataOnly="0" labelOnly="1" outline="0" fieldPosition="0">
        <references count="5">
          <reference field="1" count="0" selected="0"/>
          <reference field="3" count="1" selected="0">
            <x v="7"/>
          </reference>
          <reference field="5" count="1" selected="0">
            <x v="370"/>
          </reference>
          <reference field="6" count="1" selected="0">
            <x v="4"/>
          </reference>
          <reference field="16" count="1">
            <x v="8"/>
          </reference>
        </references>
      </pivotArea>
    </format>
    <format dxfId="6608">
      <pivotArea dataOnly="0" labelOnly="1" outline="0" fieldPosition="0">
        <references count="5">
          <reference field="1" count="0" selected="0"/>
          <reference field="3" count="1" selected="0">
            <x v="7"/>
          </reference>
          <reference field="5" count="1" selected="0">
            <x v="385"/>
          </reference>
          <reference field="6" count="1" selected="0">
            <x v="4"/>
          </reference>
          <reference field="16" count="1">
            <x v="12"/>
          </reference>
        </references>
      </pivotArea>
    </format>
    <format dxfId="6607">
      <pivotArea dataOnly="0" labelOnly="1" outline="0" fieldPosition="0">
        <references count="5">
          <reference field="1" count="0" selected="0"/>
          <reference field="3" count="1" selected="0">
            <x v="7"/>
          </reference>
          <reference field="5" count="1" selected="0">
            <x v="386"/>
          </reference>
          <reference field="6" count="1" selected="0">
            <x v="4"/>
          </reference>
          <reference field="16" count="1">
            <x v="13"/>
          </reference>
        </references>
      </pivotArea>
    </format>
    <format dxfId="6606">
      <pivotArea dataOnly="0" labelOnly="1" outline="0" fieldPosition="0">
        <references count="5">
          <reference field="1" count="0" selected="0"/>
          <reference field="3" count="1" selected="0">
            <x v="9"/>
          </reference>
          <reference field="5" count="1" selected="0">
            <x v="139"/>
          </reference>
          <reference field="6" count="1" selected="0">
            <x v="5"/>
          </reference>
          <reference field="16" count="1">
            <x v="63"/>
          </reference>
        </references>
      </pivotArea>
    </format>
    <format dxfId="6605">
      <pivotArea dataOnly="0" labelOnly="1" outline="0" fieldPosition="0">
        <references count="5">
          <reference field="1" count="0" selected="0"/>
          <reference field="3" count="1" selected="0">
            <x v="9"/>
          </reference>
          <reference field="5" count="1" selected="0">
            <x v="353"/>
          </reference>
          <reference field="6" count="1" selected="0">
            <x v="5"/>
          </reference>
          <reference field="16" count="1">
            <x v="43"/>
          </reference>
        </references>
      </pivotArea>
    </format>
    <format dxfId="6604">
      <pivotArea dataOnly="0" labelOnly="1" outline="0" fieldPosition="0">
        <references count="5">
          <reference field="1" count="0" selected="0"/>
          <reference field="3" count="1" selected="0">
            <x v="9"/>
          </reference>
          <reference field="5" count="1" selected="0">
            <x v="360"/>
          </reference>
          <reference field="6" count="1" selected="0">
            <x v="5"/>
          </reference>
          <reference field="16" count="1">
            <x v="9"/>
          </reference>
        </references>
      </pivotArea>
    </format>
    <format dxfId="6603">
      <pivotArea dataOnly="0" labelOnly="1" outline="0" fieldPosition="0">
        <references count="5">
          <reference field="1" count="0" selected="0"/>
          <reference field="3" count="1" selected="0">
            <x v="10"/>
          </reference>
          <reference field="5" count="1" selected="0">
            <x v="142"/>
          </reference>
          <reference field="6" count="1" selected="0">
            <x v="14"/>
          </reference>
          <reference field="16" count="1">
            <x v="58"/>
          </reference>
        </references>
      </pivotArea>
    </format>
    <format dxfId="6602">
      <pivotArea dataOnly="0" labelOnly="1" outline="0" fieldPosition="0">
        <references count="5">
          <reference field="1" count="0" selected="0"/>
          <reference field="3" count="1" selected="0">
            <x v="7"/>
          </reference>
          <reference field="5" count="1" selected="0">
            <x v="146"/>
          </reference>
          <reference field="6" count="1" selected="0">
            <x v="4"/>
          </reference>
          <reference field="16" count="1">
            <x v="97"/>
          </reference>
        </references>
      </pivotArea>
    </format>
    <format dxfId="6601">
      <pivotArea dataOnly="0" labelOnly="1" outline="0" fieldPosition="0">
        <references count="5">
          <reference field="1" count="0" selected="0"/>
          <reference field="3" count="1" selected="0">
            <x v="5"/>
          </reference>
          <reference field="5" count="1" selected="0">
            <x v="365"/>
          </reference>
          <reference field="6" count="1" selected="0">
            <x v="3"/>
          </reference>
          <reference field="16" count="1">
            <x v="6"/>
          </reference>
        </references>
      </pivotArea>
    </format>
    <format dxfId="6600">
      <pivotArea dataOnly="0" labelOnly="1" outline="0" fieldPosition="0">
        <references count="5">
          <reference field="1" count="0" selected="0"/>
          <reference field="3" count="1" selected="0">
            <x v="5"/>
          </reference>
          <reference field="5" count="1" selected="0">
            <x v="376"/>
          </reference>
          <reference field="6" count="1" selected="0">
            <x v="3"/>
          </reference>
          <reference field="16" count="1">
            <x v="102"/>
          </reference>
        </references>
      </pivotArea>
    </format>
    <format dxfId="6599">
      <pivotArea dataOnly="0" labelOnly="1" outline="0" fieldPosition="0">
        <references count="5">
          <reference field="1" count="0" selected="0"/>
          <reference field="3" count="1" selected="0">
            <x v="5"/>
          </reference>
          <reference field="5" count="1" selected="0">
            <x v="363"/>
          </reference>
          <reference field="6" count="1" selected="0">
            <x v="3"/>
          </reference>
          <reference field="16" count="1">
            <x v="0"/>
          </reference>
        </references>
      </pivotArea>
    </format>
    <format dxfId="6598">
      <pivotArea dataOnly="0" labelOnly="1" outline="0" fieldPosition="0">
        <references count="3">
          <reference field="1" count="0" selected="0"/>
          <reference field="3" count="1" selected="0">
            <x v="7"/>
          </reference>
          <reference field="5" count="4">
            <x v="373"/>
            <x v="377"/>
            <x v="379"/>
            <x v="380"/>
          </reference>
        </references>
      </pivotArea>
    </format>
    <format dxfId="6597">
      <pivotArea dataOnly="0" labelOnly="1" outline="0" fieldPosition="0">
        <references count="5">
          <reference field="1" count="0" selected="0"/>
          <reference field="3" count="1" selected="0">
            <x v="7"/>
          </reference>
          <reference field="5" count="1" selected="0">
            <x v="373"/>
          </reference>
          <reference field="6" count="1" selected="0">
            <x v="4"/>
          </reference>
          <reference field="16" count="1">
            <x v="14"/>
          </reference>
        </references>
      </pivotArea>
    </format>
    <format dxfId="6596">
      <pivotArea dataOnly="0" labelOnly="1" outline="0" fieldPosition="0">
        <references count="5">
          <reference field="1" count="0" selected="0"/>
          <reference field="3" count="1" selected="0">
            <x v="7"/>
          </reference>
          <reference field="5" count="1" selected="0">
            <x v="377"/>
          </reference>
          <reference field="6" count="1" selected="0">
            <x v="4"/>
          </reference>
          <reference field="16" count="1">
            <x v="99"/>
          </reference>
        </references>
      </pivotArea>
    </format>
    <format dxfId="6595">
      <pivotArea dataOnly="0" labelOnly="1" outline="0" fieldPosition="0">
        <references count="5">
          <reference field="1" count="0" selected="0"/>
          <reference field="3" count="1" selected="0">
            <x v="7"/>
          </reference>
          <reference field="5" count="1" selected="0">
            <x v="379"/>
          </reference>
          <reference field="6" count="1" selected="0">
            <x v="4"/>
          </reference>
          <reference field="16" count="1">
            <x v="40"/>
          </reference>
        </references>
      </pivotArea>
    </format>
    <format dxfId="6594">
      <pivotArea dataOnly="0" labelOnly="1" outline="0" fieldPosition="0">
        <references count="5">
          <reference field="1" count="0" selected="0"/>
          <reference field="3" count="1" selected="0">
            <x v="7"/>
          </reference>
          <reference field="5" count="1" selected="0">
            <x v="380"/>
          </reference>
          <reference field="6" count="1" selected="0">
            <x v="4"/>
          </reference>
          <reference field="16" count="1">
            <x v="17"/>
          </reference>
        </references>
      </pivotArea>
    </format>
    <format dxfId="6593">
      <pivotArea dataOnly="0" labelOnly="1" outline="0" fieldPosition="0">
        <references count="5">
          <reference field="1" count="0" selected="0"/>
          <reference field="3" count="1" selected="0">
            <x v="9"/>
          </reference>
          <reference field="5" count="1" selected="0">
            <x v="136"/>
          </reference>
          <reference field="6" count="1" selected="0">
            <x v="5"/>
          </reference>
          <reference field="16" count="1">
            <x v="84"/>
          </reference>
        </references>
      </pivotArea>
    </format>
    <format dxfId="6592">
      <pivotArea dataOnly="0" labelOnly="1" outline="0" fieldPosition="0">
        <references count="5">
          <reference field="1" count="0" selected="0"/>
          <reference field="3" count="1" selected="0">
            <x v="9"/>
          </reference>
          <reference field="5" count="1" selected="0">
            <x v="381"/>
          </reference>
          <reference field="6" count="1" selected="0">
            <x v="5"/>
          </reference>
          <reference field="16" count="1">
            <x v="100"/>
          </reference>
        </references>
      </pivotArea>
    </format>
    <format dxfId="6591">
      <pivotArea dataOnly="0" labelOnly="1" outline="0" fieldPosition="0">
        <references count="5">
          <reference field="1" count="0" selected="0"/>
          <reference field="3" count="1" selected="0">
            <x v="10"/>
          </reference>
          <reference field="5" count="1" selected="0">
            <x v="162"/>
          </reference>
          <reference field="6" count="1" selected="0">
            <x v="7"/>
          </reference>
          <reference field="16" count="1">
            <x v="101"/>
          </reference>
        </references>
      </pivotArea>
    </format>
    <format dxfId="6590">
      <pivotArea dataOnly="0" labelOnly="1" outline="0" fieldPosition="0">
        <references count="3">
          <reference field="1" count="0" selected="0"/>
          <reference field="3" count="1" selected="0">
            <x v="7"/>
          </reference>
          <reference field="5" count="2">
            <x v="385"/>
            <x v="386"/>
          </reference>
        </references>
      </pivotArea>
    </format>
    <format dxfId="6589">
      <pivotArea dataOnly="0" labelOnly="1" outline="0" fieldPosition="0">
        <references count="3">
          <reference field="1" count="0" selected="0"/>
          <reference field="3" count="1" selected="0">
            <x v="7"/>
          </reference>
          <reference field="5" count="3">
            <x v="361"/>
            <x v="370"/>
            <x v="385"/>
          </reference>
        </references>
      </pivotArea>
    </format>
    <format dxfId="6588">
      <pivotArea dataOnly="0" labelOnly="1" outline="0" fieldPosition="0">
        <references count="3">
          <reference field="1" count="0" selected="0"/>
          <reference field="3" count="1" selected="0">
            <x v="7"/>
          </reference>
          <reference field="5" count="1">
            <x v="370"/>
          </reference>
        </references>
      </pivotArea>
    </format>
    <format dxfId="6587">
      <pivotArea dataOnly="0" labelOnly="1" outline="0" fieldPosition="0">
        <references count="3">
          <reference field="1" count="0" selected="0"/>
          <reference field="3" count="1" selected="0">
            <x v="7"/>
          </reference>
          <reference field="5" count="1">
            <x v="385"/>
          </reference>
        </references>
      </pivotArea>
    </format>
    <format dxfId="6586">
      <pivotArea dataOnly="0" labelOnly="1" outline="0" fieldPosition="0">
        <references count="3">
          <reference field="1" count="0" selected="0"/>
          <reference field="3" count="1" selected="0">
            <x v="7"/>
          </reference>
          <reference field="5" count="1">
            <x v="386"/>
          </reference>
        </references>
      </pivotArea>
    </format>
    <format dxfId="6585">
      <pivotArea dataOnly="0" labelOnly="1" outline="0" fieldPosition="0">
        <references count="3">
          <reference field="1" count="0" selected="0"/>
          <reference field="3" count="1" selected="0">
            <x v="7"/>
          </reference>
          <reference field="5" count="4">
            <x v="368"/>
            <x v="382"/>
            <x v="383"/>
            <x v="384"/>
          </reference>
        </references>
      </pivotArea>
    </format>
    <format dxfId="6584">
      <pivotArea dataOnly="0" labelOnly="1" outline="0" fieldPosition="0">
        <references count="3">
          <reference field="1" count="0" selected="0"/>
          <reference field="3" count="1" selected="0">
            <x v="7"/>
          </reference>
          <reference field="5" count="4">
            <x v="373"/>
            <x v="377"/>
            <x v="379"/>
            <x v="380"/>
          </reference>
        </references>
      </pivotArea>
    </format>
    <format dxfId="6583">
      <pivotArea dataOnly="0" labelOnly="1" outline="0" fieldPosition="0">
        <references count="3">
          <reference field="1" count="0" selected="0"/>
          <reference field="3" count="1" selected="0">
            <x v="7"/>
          </reference>
          <reference field="5" count="3">
            <x v="371"/>
            <x v="372"/>
            <x v="378"/>
          </reference>
        </references>
      </pivotArea>
    </format>
    <format dxfId="6582">
      <pivotArea dataOnly="0" labelOnly="1" outline="0" fieldPosition="0">
        <references count="5">
          <reference field="1" count="0" selected="0"/>
          <reference field="3" count="1" selected="0">
            <x v="1"/>
          </reference>
          <reference field="5" count="1" selected="0">
            <x v="375"/>
          </reference>
          <reference field="6" count="1" selected="0">
            <x v="9"/>
          </reference>
          <reference field="16" count="1">
            <x v="10"/>
          </reference>
        </references>
      </pivotArea>
    </format>
    <format dxfId="6581">
      <pivotArea dataOnly="0" labelOnly="1" outline="0" fieldPosition="0">
        <references count="5">
          <reference field="1" count="0" selected="0"/>
          <reference field="3" count="1" selected="0">
            <x v="4"/>
          </reference>
          <reference field="5" count="1" selected="0">
            <x v="195"/>
          </reference>
          <reference field="6" count="1" selected="0">
            <x v="3"/>
          </reference>
          <reference field="16" count="1">
            <x v="53"/>
          </reference>
        </references>
      </pivotArea>
    </format>
    <format dxfId="6580">
      <pivotArea dataOnly="0" labelOnly="1" outline="0" fieldPosition="0">
        <references count="5">
          <reference field="1" count="0" selected="0"/>
          <reference field="3" count="1" selected="0">
            <x v="4"/>
          </reference>
          <reference field="5" count="1" selected="0">
            <x v="203"/>
          </reference>
          <reference field="6" count="1" selected="0">
            <x v="3"/>
          </reference>
          <reference field="16" count="1">
            <x v="54"/>
          </reference>
        </references>
      </pivotArea>
    </format>
    <format dxfId="6579">
      <pivotArea dataOnly="0" labelOnly="1" outline="0" fieldPosition="0">
        <references count="5">
          <reference field="1" count="0" selected="0"/>
          <reference field="3" count="1" selected="0">
            <x v="5"/>
          </reference>
          <reference field="5" count="1" selected="0">
            <x v="325"/>
          </reference>
          <reference field="6" count="1" selected="0">
            <x v="3"/>
          </reference>
          <reference field="16" count="1">
            <x v="57"/>
          </reference>
        </references>
      </pivotArea>
    </format>
    <format dxfId="6578">
      <pivotArea dataOnly="0" labelOnly="1" outline="0" fieldPosition="0">
        <references count="5">
          <reference field="1" count="0" selected="0"/>
          <reference field="3" count="1" selected="0">
            <x v="5"/>
          </reference>
          <reference field="5" count="1" selected="0">
            <x v="331"/>
          </reference>
          <reference field="6" count="1" selected="0">
            <x v="3"/>
          </reference>
          <reference field="16" count="1">
            <x v="83"/>
          </reference>
        </references>
      </pivotArea>
    </format>
    <format dxfId="6577">
      <pivotArea dataOnly="0" labelOnly="1" outline="0" fieldPosition="0">
        <references count="5">
          <reference field="1" count="0" selected="0"/>
          <reference field="3" count="1" selected="0">
            <x v="5"/>
          </reference>
          <reference field="5" count="1" selected="0">
            <x v="340"/>
          </reference>
          <reference field="6" count="1" selected="0">
            <x v="3"/>
          </reference>
          <reference field="16" count="1">
            <x v="31"/>
          </reference>
        </references>
      </pivotArea>
    </format>
    <format dxfId="6576">
      <pivotArea dataOnly="0" labelOnly="1" outline="0" fieldPosition="0">
        <references count="5">
          <reference field="1" count="0" selected="0"/>
          <reference field="3" count="1" selected="0">
            <x v="5"/>
          </reference>
          <reference field="5" count="1" selected="0">
            <x v="364"/>
          </reference>
          <reference field="6" count="1" selected="0">
            <x v="3"/>
          </reference>
          <reference field="16" count="1">
            <x v="1"/>
          </reference>
        </references>
      </pivotArea>
    </format>
    <format dxfId="6575">
      <pivotArea dataOnly="0" labelOnly="1" outline="0" fieldPosition="0">
        <references count="5">
          <reference field="1" count="0" selected="0"/>
          <reference field="3" count="1" selected="0">
            <x v="5"/>
          </reference>
          <reference field="5" count="1" selected="0">
            <x v="374"/>
          </reference>
          <reference field="6" count="1" selected="0">
            <x v="3"/>
          </reference>
          <reference field="16" count="1">
            <x v="73"/>
          </reference>
        </references>
      </pivotArea>
    </format>
    <format dxfId="6574">
      <pivotArea dataOnly="0" labelOnly="1" outline="0" fieldPosition="0">
        <references count="5">
          <reference field="1" count="0" selected="0"/>
          <reference field="3" count="1" selected="0">
            <x v="7"/>
          </reference>
          <reference field="5" count="1" selected="0">
            <x v="124"/>
          </reference>
          <reference field="6" count="1" selected="0">
            <x v="4"/>
          </reference>
          <reference field="16" count="1">
            <x v="118"/>
          </reference>
        </references>
      </pivotArea>
    </format>
    <format dxfId="6573">
      <pivotArea dataOnly="0" labelOnly="1" outline="0" fieldPosition="0">
        <references count="5">
          <reference field="1" count="0" selected="0"/>
          <reference field="3" count="1" selected="0">
            <x v="7"/>
          </reference>
          <reference field="5" count="1" selected="0">
            <x v="371"/>
          </reference>
          <reference field="6" count="1" selected="0">
            <x v="4"/>
          </reference>
          <reference field="16" count="1">
            <x v="38"/>
          </reference>
        </references>
      </pivotArea>
    </format>
    <format dxfId="6572">
      <pivotArea dataOnly="0" labelOnly="1" outline="0" fieldPosition="0">
        <references count="5">
          <reference field="1" count="0" selected="0"/>
          <reference field="3" count="1" selected="0">
            <x v="7"/>
          </reference>
          <reference field="5" count="1" selected="0">
            <x v="372"/>
          </reference>
          <reference field="6" count="1" selected="0">
            <x v="4"/>
          </reference>
          <reference field="16" count="1">
            <x v="39"/>
          </reference>
        </references>
      </pivotArea>
    </format>
    <format dxfId="6571">
      <pivotArea dataOnly="0" labelOnly="1" outline="0" fieldPosition="0">
        <references count="5">
          <reference field="1" count="0" selected="0"/>
          <reference field="3" count="1" selected="0">
            <x v="7"/>
          </reference>
          <reference field="5" count="1" selected="0">
            <x v="378"/>
          </reference>
          <reference field="6" count="1" selected="0">
            <x v="4"/>
          </reference>
          <reference field="16" count="1">
            <x v="16"/>
          </reference>
        </references>
      </pivotArea>
    </format>
    <format dxfId="6570">
      <pivotArea dataOnly="0" labelOnly="1" outline="0" fieldPosition="0">
        <references count="5">
          <reference field="1" count="0" selected="0"/>
          <reference field="3" count="1" selected="0">
            <x v="9"/>
          </reference>
          <reference field="5" count="1" selected="0">
            <x v="134"/>
          </reference>
          <reference field="6" count="1" selected="0">
            <x v="5"/>
          </reference>
          <reference field="16" count="1">
            <x v="89"/>
          </reference>
        </references>
      </pivotArea>
    </format>
    <format dxfId="6569">
      <pivotArea dataOnly="0" labelOnly="1" outline="0" fieldPosition="0">
        <references count="3">
          <reference field="1" count="0" selected="0"/>
          <reference field="3" count="1" selected="0">
            <x v="7"/>
          </reference>
          <reference field="5" count="1">
            <x v="370"/>
          </reference>
        </references>
      </pivotArea>
    </format>
    <format dxfId="6568">
      <pivotArea dataOnly="0" labelOnly="1" outline="0" fieldPosition="0">
        <references count="3">
          <reference field="1" count="0" selected="0"/>
          <reference field="3" count="1" selected="0">
            <x v="7"/>
          </reference>
          <reference field="5" count="1">
            <x v="387"/>
          </reference>
        </references>
      </pivotArea>
    </format>
    <format dxfId="6567">
      <pivotArea dataOnly="0" labelOnly="1" outline="0" fieldPosition="0">
        <references count="3">
          <reference field="1" count="0" selected="0"/>
          <reference field="3" count="1" selected="0">
            <x v="7"/>
          </reference>
          <reference field="5" count="1">
            <x v="387"/>
          </reference>
        </references>
      </pivotArea>
    </format>
    <format dxfId="6566">
      <pivotArea dataOnly="0" labelOnly="1" outline="0" fieldPosition="0">
        <references count="3">
          <reference field="1" count="0" selected="0"/>
          <reference field="3" count="1" selected="0">
            <x v="7"/>
          </reference>
          <reference field="5" count="1">
            <x v="387"/>
          </reference>
        </references>
      </pivotArea>
    </format>
    <format dxfId="6565">
      <pivotArea dataOnly="0" labelOnly="1" outline="0" fieldPosition="0">
        <references count="5">
          <reference field="1" count="0" selected="0"/>
          <reference field="3" count="1" selected="0">
            <x v="7"/>
          </reference>
          <reference field="5" count="1" selected="0">
            <x v="387"/>
          </reference>
          <reference field="6" count="1" selected="0">
            <x v="4"/>
          </reference>
          <reference field="16" count="1">
            <x v="15"/>
          </reference>
        </references>
      </pivotArea>
    </format>
    <format dxfId="6564">
      <pivotArea dataOnly="0" labelOnly="1" outline="0" fieldPosition="0">
        <references count="5">
          <reference field="1" count="0" selected="0"/>
          <reference field="3" count="1" selected="0">
            <x v="7"/>
          </reference>
          <reference field="5" count="1" selected="0">
            <x v="387"/>
          </reference>
          <reference field="6" count="1" selected="0">
            <x v="4"/>
          </reference>
          <reference field="16" count="1">
            <x v="15"/>
          </reference>
        </references>
      </pivotArea>
    </format>
    <format dxfId="6563">
      <pivotArea dataOnly="0" labelOnly="1" outline="0" fieldPosition="0">
        <references count="5">
          <reference field="1" count="0" selected="0"/>
          <reference field="3" count="1" selected="0">
            <x v="7"/>
          </reference>
          <reference field="5" count="1" selected="0">
            <x v="387"/>
          </reference>
          <reference field="6" count="1" selected="0">
            <x v="4"/>
          </reference>
          <reference field="16" count="1">
            <x v="15"/>
          </reference>
        </references>
      </pivotArea>
    </format>
    <format dxfId="6562">
      <pivotArea dataOnly="0" labelOnly="1" outline="0" fieldPosition="0">
        <references count="5">
          <reference field="1" count="0" selected="0"/>
          <reference field="3" count="1" selected="0">
            <x v="7"/>
          </reference>
          <reference field="5" count="1" selected="0">
            <x v="387"/>
          </reference>
          <reference field="6" count="1" selected="0">
            <x v="4"/>
          </reference>
          <reference field="16" count="1">
            <x v="15"/>
          </reference>
        </references>
      </pivotArea>
    </format>
    <format dxfId="6561">
      <pivotArea dataOnly="0" labelOnly="1" outline="0" fieldPosition="0">
        <references count="5">
          <reference field="1" count="0" selected="0"/>
          <reference field="3" count="1" selected="0">
            <x v="5"/>
          </reference>
          <reference field="5" count="1" selected="0">
            <x v="328"/>
          </reference>
          <reference field="6" count="1" selected="0">
            <x v="13"/>
          </reference>
          <reference field="16" count="1">
            <x v="69"/>
          </reference>
        </references>
      </pivotArea>
    </format>
    <format dxfId="6560">
      <pivotArea dataOnly="0" labelOnly="1" outline="0" fieldPosition="0">
        <references count="5">
          <reference field="1" count="0" selected="0"/>
          <reference field="3" count="1" selected="0">
            <x v="7"/>
          </reference>
          <reference field="5" count="1" selected="0">
            <x v="145"/>
          </reference>
          <reference field="6" count="1" selected="0">
            <x v="4"/>
          </reference>
          <reference field="16" count="1">
            <x v="120"/>
          </reference>
        </references>
      </pivotArea>
    </format>
    <format dxfId="6559">
      <pivotArea dataOnly="0" labelOnly="1" outline="0" fieldPosition="0">
        <references count="5">
          <reference field="1" count="0" selected="0"/>
          <reference field="3" count="1" selected="0">
            <x v="5"/>
          </reference>
          <reference field="5" count="1" selected="0">
            <x v="330"/>
          </reference>
          <reference field="6" count="1" selected="0">
            <x v="3"/>
          </reference>
          <reference field="16" count="1">
            <x v="67"/>
          </reference>
        </references>
      </pivotArea>
    </format>
    <format dxfId="6558">
      <pivotArea dataOnly="0" labelOnly="1" outline="0" fieldPosition="0">
        <references count="5">
          <reference field="1" count="0" selected="0"/>
          <reference field="3" count="1" selected="0">
            <x v="5"/>
          </reference>
          <reference field="5" count="1" selected="0">
            <x v="346"/>
          </reference>
          <reference field="6" count="1" selected="0">
            <x v="3"/>
          </reference>
          <reference field="16" count="1">
            <x v="96"/>
          </reference>
        </references>
      </pivotArea>
    </format>
    <format dxfId="6557">
      <pivotArea dataOnly="0" labelOnly="1" outline="0" offset="IV2" fieldPosition="0">
        <references count="4">
          <reference field="1" count="0" selected="0"/>
          <reference field="3" count="1" selected="0">
            <x v="7"/>
          </reference>
          <reference field="5" count="1" selected="0">
            <x v="177"/>
          </reference>
          <reference field="6" count="1">
            <x v="4"/>
          </reference>
        </references>
      </pivotArea>
    </format>
    <format dxfId="6556">
      <pivotArea outline="0" fieldPosition="0">
        <references count="5">
          <reference field="1" count="0" selected="0"/>
          <reference field="3" count="1" selected="0">
            <x v="7"/>
          </reference>
          <reference field="5" count="4" selected="0">
            <x v="128"/>
            <x v="172"/>
            <x v="179"/>
            <x v="383"/>
          </reference>
          <reference field="6" count="1" selected="0">
            <x v="4"/>
          </reference>
          <reference field="16" count="4" selected="0">
            <x v="18"/>
            <x v="41"/>
            <x v="68"/>
            <x v="107"/>
          </reference>
        </references>
      </pivotArea>
    </format>
    <format dxfId="6555">
      <pivotArea dataOnly="0" labelOnly="1" outline="0" offset="IV4:IV7" fieldPosition="0">
        <references count="1">
          <reference field="1" count="0"/>
        </references>
      </pivotArea>
    </format>
    <format dxfId="6554">
      <pivotArea dataOnly="0" labelOnly="1" outline="0" fieldPosition="0">
        <references count="2">
          <reference field="1" count="0" selected="0"/>
          <reference field="3" count="1">
            <x v="7"/>
          </reference>
        </references>
      </pivotArea>
    </format>
    <format dxfId="6553">
      <pivotArea dataOnly="0" labelOnly="1" outline="0" fieldPosition="0">
        <references count="3">
          <reference field="1" count="0" selected="0"/>
          <reference field="3" count="1" selected="0">
            <x v="7"/>
          </reference>
          <reference field="5" count="4">
            <x v="128"/>
            <x v="172"/>
            <x v="179"/>
            <x v="383"/>
          </reference>
        </references>
      </pivotArea>
    </format>
    <format dxfId="6552">
      <pivotArea dataOnly="0" labelOnly="1" outline="0" fieldPosition="0">
        <references count="4">
          <reference field="1" count="0" selected="0"/>
          <reference field="3" count="1" selected="0">
            <x v="7"/>
          </reference>
          <reference field="5" count="1" selected="0">
            <x v="128"/>
          </reference>
          <reference field="6" count="1">
            <x v="4"/>
          </reference>
        </references>
      </pivotArea>
    </format>
    <format dxfId="6551">
      <pivotArea dataOnly="0" labelOnly="1" outline="0" fieldPosition="0">
        <references count="5">
          <reference field="1" count="0" selected="0"/>
          <reference field="3" count="1" selected="0">
            <x v="7"/>
          </reference>
          <reference field="5" count="1" selected="0">
            <x v="128"/>
          </reference>
          <reference field="6" count="1" selected="0">
            <x v="4"/>
          </reference>
          <reference field="16" count="1">
            <x v="18"/>
          </reference>
        </references>
      </pivotArea>
    </format>
    <format dxfId="6550">
      <pivotArea dataOnly="0" labelOnly="1" outline="0" fieldPosition="0">
        <references count="5">
          <reference field="1" count="0" selected="0"/>
          <reference field="3" count="1" selected="0">
            <x v="7"/>
          </reference>
          <reference field="5" count="1" selected="0">
            <x v="172"/>
          </reference>
          <reference field="6" count="1" selected="0">
            <x v="4"/>
          </reference>
          <reference field="16" count="1">
            <x v="68"/>
          </reference>
        </references>
      </pivotArea>
    </format>
    <format dxfId="6549">
      <pivotArea dataOnly="0" labelOnly="1" outline="0" fieldPosition="0">
        <references count="5">
          <reference field="1" count="0" selected="0"/>
          <reference field="3" count="1" selected="0">
            <x v="7"/>
          </reference>
          <reference field="5" count="1" selected="0">
            <x v="383"/>
          </reference>
          <reference field="6" count="1" selected="0">
            <x v="4"/>
          </reference>
          <reference field="16" count="1">
            <x v="41"/>
          </reference>
        </references>
      </pivotArea>
    </format>
    <format dxfId="6548">
      <pivotArea outline="0" fieldPosition="0">
        <references count="5">
          <reference field="1" count="0" selected="0"/>
          <reference field="3" count="1" selected="0">
            <x v="7"/>
          </reference>
          <reference field="5" count="1" selected="0">
            <x v="179"/>
          </reference>
          <reference field="6" count="1" selected="0">
            <x v="4"/>
          </reference>
          <reference field="16" count="1" selected="0">
            <x v="107"/>
          </reference>
        </references>
      </pivotArea>
    </format>
    <format dxfId="6547">
      <pivotArea dataOnly="0" labelOnly="1" outline="0" offset="IV6" fieldPosition="0">
        <references count="1">
          <reference field="1" count="0"/>
        </references>
      </pivotArea>
    </format>
    <format dxfId="6546">
      <pivotArea dataOnly="0" labelOnly="1" outline="0" offset="IV3" fieldPosition="0">
        <references count="2">
          <reference field="1" count="0" selected="0"/>
          <reference field="3" count="1">
            <x v="7"/>
          </reference>
        </references>
      </pivotArea>
    </format>
    <format dxfId="6545">
      <pivotArea dataOnly="0" labelOnly="1" outline="0" fieldPosition="0">
        <references count="3">
          <reference field="1" count="0" selected="0"/>
          <reference field="3" count="1" selected="0">
            <x v="7"/>
          </reference>
          <reference field="5" count="1">
            <x v="179"/>
          </reference>
        </references>
      </pivotArea>
    </format>
    <format dxfId="6544">
      <pivotArea dataOnly="0" labelOnly="1" outline="0" offset="IV3" fieldPosition="0">
        <references count="4">
          <reference field="1" count="0" selected="0"/>
          <reference field="3" count="1" selected="0">
            <x v="7"/>
          </reference>
          <reference field="5" count="1" selected="0">
            <x v="128"/>
          </reference>
          <reference field="6" count="1">
            <x v="4"/>
          </reference>
        </references>
      </pivotArea>
    </format>
    <format dxfId="6543">
      <pivotArea dataOnly="0" labelOnly="1" outline="0" fieldPosition="0">
        <references count="5">
          <reference field="1" count="0" selected="0"/>
          <reference field="3" count="1" selected="0">
            <x v="7"/>
          </reference>
          <reference field="5" count="1" selected="0">
            <x v="179"/>
          </reference>
          <reference field="6" count="1" selected="0">
            <x v="4"/>
          </reference>
          <reference field="16" count="1">
            <x v="107"/>
          </reference>
        </references>
      </pivotArea>
    </format>
    <format dxfId="6542">
      <pivotArea outline="0" fieldPosition="0">
        <references count="5">
          <reference field="1" count="0" selected="0"/>
          <reference field="3" count="1" selected="0">
            <x v="5"/>
          </reference>
          <reference field="5" count="1" selected="0">
            <x v="366"/>
          </reference>
          <reference field="6" count="1" selected="0">
            <x v="3"/>
          </reference>
          <reference field="16" count="1" selected="0">
            <x v="5"/>
          </reference>
        </references>
      </pivotArea>
    </format>
    <format dxfId="6541">
      <pivotArea dataOnly="0" labelOnly="1" outline="0" fieldPosition="0">
        <references count="4">
          <reference field="1" count="0" selected="0"/>
          <reference field="3" count="1" selected="0">
            <x v="5"/>
          </reference>
          <reference field="5" count="1" selected="0">
            <x v="366"/>
          </reference>
          <reference field="6" count="1">
            <x v="3"/>
          </reference>
        </references>
      </pivotArea>
    </format>
    <format dxfId="6540">
      <pivotArea dataOnly="0" labelOnly="1" outline="0" fieldPosition="0">
        <references count="2">
          <reference field="1" count="0" selected="0"/>
          <reference field="3" count="1">
            <x v="5"/>
          </reference>
        </references>
      </pivotArea>
    </format>
    <format dxfId="6539">
      <pivotArea dataOnly="0" labelOnly="1" outline="0" offset="IV1" fieldPosition="0">
        <references count="2">
          <reference field="1" count="0" selected="0"/>
          <reference field="3" count="1">
            <x v="7"/>
          </reference>
        </references>
      </pivotArea>
    </format>
    <format dxfId="6538">
      <pivotArea dataOnly="0" labelOnly="1" outline="0" offset="IV1" fieldPosition="0">
        <references count="1">
          <reference field="1" count="0"/>
        </references>
      </pivotArea>
    </format>
    <format dxfId="6537">
      <pivotArea dataOnly="0" labelOnly="1" outline="0" offset="IV3" fieldPosition="0">
        <references count="2">
          <reference field="1" count="0" selected="0"/>
          <reference field="3" count="1">
            <x v="5"/>
          </reference>
        </references>
      </pivotArea>
    </format>
    <format dxfId="6536">
      <pivotArea dataOnly="0" labelOnly="1" outline="0" fieldPosition="0">
        <references count="2">
          <reference field="1" count="0" selected="0"/>
          <reference field="3" count="1">
            <x v="5"/>
          </reference>
        </references>
      </pivotArea>
    </format>
    <format dxfId="6535">
      <pivotArea dataOnly="0" labelOnly="1" outline="0" offset="IV4" fieldPosition="0">
        <references count="1">
          <reference field="1" count="0"/>
        </references>
      </pivotArea>
    </format>
    <format dxfId="6534">
      <pivotArea dataOnly="0" labelOnly="1" outline="0" offset="IV3" fieldPosition="0">
        <references count="1">
          <reference field="1" count="0"/>
        </references>
      </pivotArea>
    </format>
    <format dxfId="6533">
      <pivotArea dataOnly="0" labelOnly="1" outline="0" offset="IV256" fieldPosition="0">
        <references count="2">
          <reference field="1" count="0" selected="0"/>
          <reference field="3" count="1">
            <x v="5"/>
          </reference>
        </references>
      </pivotArea>
    </format>
    <format dxfId="6532">
      <pivotArea dataOnly="0" labelOnly="1" outline="0" offset="IV1" fieldPosition="0">
        <references count="2">
          <reference field="1" count="0" selected="0"/>
          <reference field="3" count="1">
            <x v="5"/>
          </reference>
        </references>
      </pivotArea>
    </format>
    <format dxfId="6531">
      <pivotArea outline="0" fieldPosition="0">
        <references count="5">
          <reference field="1" count="0" selected="0"/>
          <reference field="3" count="1" selected="0">
            <x v="7"/>
          </reference>
          <reference field="5" count="1" selected="0">
            <x v="173"/>
          </reference>
          <reference field="6" count="1" selected="0">
            <x v="4"/>
          </reference>
          <reference field="16" count="1" selected="0">
            <x v="92"/>
          </reference>
        </references>
      </pivotArea>
    </format>
    <format dxfId="6530">
      <pivotArea dataOnly="0" labelOnly="1" outline="0" fieldPosition="0">
        <references count="5">
          <reference field="1" count="0" selected="0"/>
          <reference field="3" count="1" selected="0">
            <x v="7"/>
          </reference>
          <reference field="5" count="1" selected="0">
            <x v="173"/>
          </reference>
          <reference field="6" count="1" selected="0">
            <x v="4"/>
          </reference>
          <reference field="16" count="1">
            <x v="92"/>
          </reference>
        </references>
      </pivotArea>
    </format>
    <format dxfId="6529">
      <pivotArea outline="0" fieldPosition="0">
        <references count="5">
          <reference field="1" count="0" selected="0"/>
          <reference field="3" count="1" selected="0">
            <x v="5"/>
          </reference>
          <reference field="5" count="1" selected="0">
            <x v="366"/>
          </reference>
          <reference field="6" count="1" selected="0">
            <x v="3"/>
          </reference>
          <reference field="16" count="1" selected="0">
            <x v="5"/>
          </reference>
        </references>
      </pivotArea>
    </format>
    <format dxfId="6528">
      <pivotArea dataOnly="0" labelOnly="1" outline="0" fieldPosition="0">
        <references count="3">
          <reference field="1" count="0" selected="0"/>
          <reference field="3" count="1" selected="0">
            <x v="5"/>
          </reference>
          <reference field="5" count="1">
            <x v="366"/>
          </reference>
        </references>
      </pivotArea>
    </format>
    <format dxfId="6527">
      <pivotArea dataOnly="0" labelOnly="1" outline="0" offset="IV256" fieldPosition="0">
        <references count="4">
          <reference field="1" count="0" selected="0"/>
          <reference field="3" count="1" selected="0">
            <x v="5"/>
          </reference>
          <reference field="5" count="1" selected="0">
            <x v="212"/>
          </reference>
          <reference field="6" count="1">
            <x v="3"/>
          </reference>
        </references>
      </pivotArea>
    </format>
    <format dxfId="6526">
      <pivotArea dataOnly="0" labelOnly="1" outline="0" fieldPosition="0">
        <references count="5">
          <reference field="1" count="0" selected="0"/>
          <reference field="3" count="1" selected="0">
            <x v="5"/>
          </reference>
          <reference field="5" count="1" selected="0">
            <x v="366"/>
          </reference>
          <reference field="6" count="1" selected="0">
            <x v="3"/>
          </reference>
          <reference field="16" count="1">
            <x v="5"/>
          </reference>
        </references>
      </pivotArea>
    </format>
    <format dxfId="6525">
      <pivotArea outline="0" fieldPosition="0">
        <references count="5">
          <reference field="1" count="0" selected="0"/>
          <reference field="3" count="1" selected="0">
            <x v="4"/>
          </reference>
          <reference field="5" count="1" selected="0">
            <x v="200"/>
          </reference>
          <reference field="6" count="1" selected="0">
            <x v="3"/>
          </reference>
          <reference field="16" count="1" selected="0">
            <x v="50"/>
          </reference>
        </references>
      </pivotArea>
    </format>
    <format dxfId="6524">
      <pivotArea outline="0" fieldPosition="0">
        <references count="5">
          <reference field="1" count="0" selected="0"/>
          <reference field="3" count="1" selected="0">
            <x v="5"/>
          </reference>
          <reference field="5" count="1" selected="0">
            <x v="102"/>
          </reference>
          <reference field="6" count="1" selected="0">
            <x v="3"/>
          </reference>
          <reference field="16" count="1" selected="0">
            <x v="44"/>
          </reference>
        </references>
      </pivotArea>
    </format>
    <format dxfId="35">
      <pivotArea dataOnly="0" labelOnly="1" outline="0" fieldPosition="0">
        <references count="3">
          <reference field="1" count="0" selected="0"/>
          <reference field="3" count="1" selected="0">
            <x v="4"/>
          </reference>
          <reference field="5" count="1">
            <x v="200"/>
          </reference>
        </references>
      </pivotArea>
    </format>
    <format dxfId="33">
      <pivotArea dataOnly="0" labelOnly="1" outline="0" fieldPosition="0">
        <references count="3">
          <reference field="1" count="0" selected="0"/>
          <reference field="3" count="1" selected="0">
            <x v="5"/>
          </reference>
          <reference field="5" count="2">
            <x v="102"/>
            <x v="154"/>
          </reference>
        </references>
      </pivotArea>
    </format>
    <format dxfId="31">
      <pivotArea dataOnly="0" labelOnly="1" outline="0" fieldPosition="0">
        <references count="3">
          <reference field="1" count="0" selected="0"/>
          <reference field="3" count="1" selected="0">
            <x v="7"/>
          </reference>
          <reference field="5" count="6">
            <x v="144"/>
            <x v="158"/>
            <x v="169"/>
            <x v="170"/>
            <x v="324"/>
            <x v="382"/>
          </reference>
        </references>
      </pivotArea>
    </format>
    <format dxfId="29">
      <pivotArea dataOnly="0" labelOnly="1" outline="0" fieldPosition="0">
        <references count="3">
          <reference field="1" count="0" selected="0"/>
          <reference field="3" count="1" selected="0">
            <x v="9"/>
          </reference>
          <reference field="5" count="1">
            <x v="134"/>
          </reference>
        </references>
      </pivotArea>
    </format>
    <format dxfId="27">
      <pivotArea dataOnly="0" labelOnly="1" outline="0" fieldPosition="0">
        <references count="4">
          <reference field="1" count="0" selected="0"/>
          <reference field="3" count="1" selected="0">
            <x v="4"/>
          </reference>
          <reference field="5" count="1" selected="0">
            <x v="200"/>
          </reference>
          <reference field="6" count="1">
            <x v="3"/>
          </reference>
        </references>
      </pivotArea>
    </format>
    <format dxfId="25">
      <pivotArea dataOnly="0" labelOnly="1" outline="0" fieldPosition="0">
        <references count="4">
          <reference field="1" count="0" selected="0"/>
          <reference field="3" count="1" selected="0">
            <x v="7"/>
          </reference>
          <reference field="5" count="1" selected="0">
            <x v="144"/>
          </reference>
          <reference field="6" count="1">
            <x v="4"/>
          </reference>
        </references>
      </pivotArea>
    </format>
    <format dxfId="22">
      <pivotArea dataOnly="0" labelOnly="1" outline="0" fieldPosition="0">
        <references count="4">
          <reference field="1" count="0" selected="0"/>
          <reference field="3" count="1" selected="0">
            <x v="9"/>
          </reference>
          <reference field="5" count="1" selected="0">
            <x v="134"/>
          </reference>
          <reference field="6" count="1">
            <x v="5"/>
          </reference>
        </references>
      </pivotArea>
    </format>
    <format dxfId="19">
      <pivotArea dataOnly="0" labelOnly="1" outline="0" fieldPosition="0">
        <references count="5">
          <reference field="1" count="0" selected="0"/>
          <reference field="3" count="1" selected="0">
            <x v="4"/>
          </reference>
          <reference field="5" count="1" selected="0">
            <x v="200"/>
          </reference>
          <reference field="6" count="1" selected="0">
            <x v="3"/>
          </reference>
          <reference field="16" count="1">
            <x v="50"/>
          </reference>
        </references>
      </pivotArea>
    </format>
    <format dxfId="17">
      <pivotArea dataOnly="0" labelOnly="1" outline="0" fieldPosition="0">
        <references count="5">
          <reference field="1" count="0" selected="0"/>
          <reference field="3" count="1" selected="0">
            <x v="5"/>
          </reference>
          <reference field="5" count="1" selected="0">
            <x v="102"/>
          </reference>
          <reference field="6" count="1" selected="0">
            <x v="3"/>
          </reference>
          <reference field="16" count="1">
            <x v="44"/>
          </reference>
        </references>
      </pivotArea>
    </format>
    <format dxfId="15">
      <pivotArea dataOnly="0" labelOnly="1" outline="0" fieldPosition="0">
        <references count="5">
          <reference field="1" count="0" selected="0"/>
          <reference field="3" count="1" selected="0">
            <x v="5"/>
          </reference>
          <reference field="5" count="1" selected="0">
            <x v="154"/>
          </reference>
          <reference field="6" count="1" selected="0">
            <x v="3"/>
          </reference>
          <reference field="16" count="1">
            <x v="20"/>
          </reference>
        </references>
      </pivotArea>
    </format>
    <format dxfId="13">
      <pivotArea dataOnly="0" labelOnly="1" outline="0" fieldPosition="0">
        <references count="5">
          <reference field="1" count="0" selected="0"/>
          <reference field="3" count="1" selected="0">
            <x v="7"/>
          </reference>
          <reference field="5" count="1" selected="0">
            <x v="144"/>
          </reference>
          <reference field="6" count="1" selected="0">
            <x v="4"/>
          </reference>
          <reference field="16" count="1">
            <x v="93"/>
          </reference>
        </references>
      </pivotArea>
    </format>
    <format dxfId="11">
      <pivotArea dataOnly="0" labelOnly="1" outline="0" fieldPosition="0">
        <references count="5">
          <reference field="1" count="0" selected="0"/>
          <reference field="3" count="1" selected="0">
            <x v="7"/>
          </reference>
          <reference field="5" count="1" selected="0">
            <x v="158"/>
          </reference>
          <reference field="6" count="1" selected="0">
            <x v="4"/>
          </reference>
          <reference field="16" count="1">
            <x v="80"/>
          </reference>
        </references>
      </pivotArea>
    </format>
    <format dxfId="9">
      <pivotArea dataOnly="0" labelOnly="1" outline="0" fieldPosition="0">
        <references count="5">
          <reference field="1" count="0" selected="0"/>
          <reference field="3" count="1" selected="0">
            <x v="7"/>
          </reference>
          <reference field="5" count="1" selected="0">
            <x v="169"/>
          </reference>
          <reference field="6" count="1" selected="0">
            <x v="4"/>
          </reference>
          <reference field="16" count="1">
            <x v="71"/>
          </reference>
        </references>
      </pivotArea>
    </format>
    <format dxfId="7">
      <pivotArea dataOnly="0" labelOnly="1" outline="0" fieldPosition="0">
        <references count="5">
          <reference field="1" count="0" selected="0"/>
          <reference field="3" count="1" selected="0">
            <x v="7"/>
          </reference>
          <reference field="5" count="1" selected="0">
            <x v="170"/>
          </reference>
          <reference field="6" count="1" selected="0">
            <x v="4"/>
          </reference>
          <reference field="16" count="1">
            <x v="66"/>
          </reference>
        </references>
      </pivotArea>
    </format>
    <format dxfId="5">
      <pivotArea dataOnly="0" labelOnly="1" outline="0" fieldPosition="0">
        <references count="5">
          <reference field="1" count="0" selected="0"/>
          <reference field="3" count="1" selected="0">
            <x v="7"/>
          </reference>
          <reference field="5" count="1" selected="0">
            <x v="324"/>
          </reference>
          <reference field="6" count="1" selected="0">
            <x v="4"/>
          </reference>
          <reference field="16" count="1">
            <x v="115"/>
          </reference>
        </references>
      </pivotArea>
    </format>
    <format dxfId="3">
      <pivotArea dataOnly="0" labelOnly="1" outline="0" fieldPosition="0">
        <references count="5">
          <reference field="1" count="0" selected="0"/>
          <reference field="3" count="1" selected="0">
            <x v="7"/>
          </reference>
          <reference field="5" count="1" selected="0">
            <x v="382"/>
          </reference>
          <reference field="6" count="1" selected="0">
            <x v="4"/>
          </reference>
          <reference field="16" count="1">
            <x v="37"/>
          </reference>
        </references>
      </pivotArea>
    </format>
    <format dxfId="1">
      <pivotArea dataOnly="0" labelOnly="1" outline="0" fieldPosition="0">
        <references count="5">
          <reference field="1" count="0" selected="0"/>
          <reference field="3" count="1" selected="0">
            <x v="9"/>
          </reference>
          <reference field="5" count="1" selected="0">
            <x v="134"/>
          </reference>
          <reference field="6" count="1" selected="0">
            <x v="5"/>
          </reference>
          <reference field="16" count="1">
            <x v="89"/>
          </reference>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D24BA5-6D4B-453D-90D5-E57D1F812072}" name="Station t1" cacheId="18" applyNumberFormats="0" applyBorderFormats="0" applyFontFormats="0" applyPatternFormats="0" applyAlignmentFormats="0" applyWidthHeightFormats="1" dataCaption="Valores" updatedVersion="8" minRefreshableVersion="3" rowGrandTotals="0" colGrandTotals="0" itemPrintTitles="1" createdVersion="4" indent="0" outline="1" outlineData="1" multipleFieldFilters="0" colHeaderCaption="Station">
  <location ref="B15:B16" firstHeaderRow="1" firstDataRow="2" firstDataCol="0"/>
  <pivotFields count="17">
    <pivotField showAll="0"/>
    <pivotField showAll="0">
      <items count="42">
        <item h="1" m="1" x="28"/>
        <item h="1" m="1" x="29"/>
        <item h="1" m="1" x="30"/>
        <item h="1" x="0"/>
        <item h="1" x="1"/>
        <item h="1" x="2"/>
        <item h="1" x="3"/>
        <item h="1" x="4"/>
        <item h="1" x="5"/>
        <item h="1" x="6"/>
        <item h="1" x="7"/>
        <item h="1" x="8"/>
        <item h="1" x="9"/>
        <item x="10"/>
        <item h="1" x="11"/>
        <item h="1" x="12"/>
        <item h="1" x="13"/>
        <item h="1" x="14"/>
        <item h="1" x="15"/>
        <item h="1" x="16"/>
        <item h="1" x="17"/>
        <item h="1" x="18"/>
        <item h="1" x="19"/>
        <item h="1" x="20"/>
        <item h="1" x="21"/>
        <item h="1" x="22"/>
        <item h="1" x="23"/>
        <item h="1" x="24"/>
        <item h="1" x="25"/>
        <item h="1" x="26"/>
        <item h="1" m="1" x="31"/>
        <item h="1" m="1" x="32"/>
        <item h="1" m="1" x="33"/>
        <item h="1" m="1" x="34"/>
        <item h="1" m="1" x="35"/>
        <item h="1" m="1" x="36"/>
        <item h="1" m="1" x="37"/>
        <item h="1" m="1" x="38"/>
        <item h="1" m="1" x="39"/>
        <item h="1" m="1" x="40"/>
        <item h="1" x="27"/>
        <item t="default"/>
      </items>
    </pivotField>
    <pivotField axis="axisCol" showAll="0">
      <items count="43">
        <item h="1" x="0"/>
        <item h="1" x="1"/>
        <item h="1" x="2"/>
        <item h="1" x="3"/>
        <item h="1" x="4"/>
        <item h="1" x="5"/>
        <item h="1" x="6"/>
        <item x="7"/>
        <item h="1" x="8"/>
        <item h="1" x="9"/>
        <item h="1" x="10"/>
        <item h="1" x="11"/>
        <item h="1" x="12"/>
        <item h="1" x="13"/>
        <item h="1" x="14"/>
        <item h="1" x="15"/>
        <item h="1" x="16"/>
        <item h="1" x="17"/>
        <item h="1" x="18"/>
        <item h="1" x="19"/>
        <item h="1" x="20"/>
        <item h="1" x="21"/>
        <item h="1" x="22"/>
        <item h="1" x="23"/>
        <item h="1" x="24"/>
        <item h="1" x="25"/>
        <item h="1" x="26"/>
        <item h="1" x="27"/>
        <item h="1" x="28"/>
        <item h="1" x="29"/>
        <item h="1" m="1" x="31"/>
        <item h="1" m="1" x="41"/>
        <item h="1" m="1" x="32"/>
        <item h="1" m="1" x="33"/>
        <item h="1" m="1" x="34"/>
        <item h="1" m="1" x="35"/>
        <item h="1" m="1" x="36"/>
        <item h="1" m="1" x="37"/>
        <item h="1" m="1" x="38"/>
        <item h="1" m="1" x="39"/>
        <item h="1" m="1" x="40"/>
        <item h="1" x="30"/>
        <item t="default"/>
      </items>
    </pivotField>
    <pivotField showAll="0"/>
    <pivotField showAll="0"/>
    <pivotField showAll="0">
      <items count="389">
        <item m="1" x="308"/>
        <item m="1" x="201"/>
        <item m="1" x="365"/>
        <item m="1" x="236"/>
        <item m="1" x="283"/>
        <item m="1" x="382"/>
        <item m="1" x="230"/>
        <item m="1" x="368"/>
        <item m="1" x="186"/>
        <item m="1" x="190"/>
        <item m="1" x="231"/>
        <item m="1" x="366"/>
        <item m="1" x="263"/>
        <item m="1" x="169"/>
        <item m="1" x="219"/>
        <item m="1" x="276"/>
        <item m="1" x="277"/>
        <item m="1" x="170"/>
        <item m="1" x="187"/>
        <item m="1" x="171"/>
        <item m="1" x="212"/>
        <item m="1" x="213"/>
        <item m="1" x="189"/>
        <item m="1" x="375"/>
        <item m="1" x="311"/>
        <item m="1" x="172"/>
        <item m="1" x="173"/>
        <item m="1" x="225"/>
        <item m="1" x="226"/>
        <item m="1" x="197"/>
        <item m="1" x="174"/>
        <item m="1" x="203"/>
        <item m="1" x="333"/>
        <item m="1" x="175"/>
        <item m="1" x="176"/>
        <item m="1" x="223"/>
        <item m="1" x="191"/>
        <item m="1" x="177"/>
        <item m="1" x="242"/>
        <item m="1" x="274"/>
        <item m="1" x="275"/>
        <item m="1" x="193"/>
        <item m="1" x="194"/>
        <item m="1" x="287"/>
        <item m="1" x="192"/>
        <item m="1" x="376"/>
        <item m="1" x="254"/>
        <item m="1" x="386"/>
        <item m="1" x="178"/>
        <item m="1" x="183"/>
        <item m="1" x="179"/>
        <item m="1" x="214"/>
        <item m="1" x="181"/>
        <item m="1" x="185"/>
        <item m="1" x="227"/>
        <item m="1" x="218"/>
        <item m="1" x="224"/>
        <item m="1" x="232"/>
        <item m="1" x="184"/>
        <item m="1" x="204"/>
        <item m="1" x="255"/>
        <item m="1" x="305"/>
        <item m="1" x="340"/>
        <item m="1" x="182"/>
        <item m="1" x="228"/>
        <item m="1" x="295"/>
        <item m="1" x="210"/>
        <item m="1" x="372"/>
        <item m="1" x="256"/>
        <item m="1" x="244"/>
        <item m="1" x="258"/>
        <item m="1" x="245"/>
        <item m="1" x="246"/>
        <item m="1" x="247"/>
        <item m="1" x="206"/>
        <item m="1" x="304"/>
        <item m="1" x="208"/>
        <item m="1" x="195"/>
        <item m="1" x="279"/>
        <item m="1" x="199"/>
        <item m="1" x="363"/>
        <item m="1" x="358"/>
        <item m="1" x="257"/>
        <item m="1" x="216"/>
        <item m="1" x="220"/>
        <item m="1" x="250"/>
        <item m="1" x="249"/>
        <item m="1" x="221"/>
        <item m="1" x="260"/>
        <item m="1" x="259"/>
        <item m="1" x="293"/>
        <item m="1" x="385"/>
        <item m="1" x="367"/>
        <item m="1" x="317"/>
        <item m="1" x="251"/>
        <item m="1" x="310"/>
        <item m="1" x="301"/>
        <item m="1" x="315"/>
        <item m="1" x="252"/>
        <item m="1" x="143"/>
        <item m="1" x="142"/>
        <item x="55"/>
        <item m="1" x="141"/>
        <item m="1" x="167"/>
        <item m="1" x="138"/>
        <item m="1" x="139"/>
        <item m="1" x="140"/>
        <item x="88"/>
        <item m="1" x="136"/>
        <item m="1" x="134"/>
        <item m="1" x="369"/>
        <item m="1" x="309"/>
        <item m="1" x="267"/>
        <item m="1" x="268"/>
        <item m="1" x="265"/>
        <item m="1" x="266"/>
        <item x="30"/>
        <item m="1" x="132"/>
        <item m="1" x="145"/>
        <item m="1" x="162"/>
        <item m="1" x="360"/>
        <item m="1" x="166"/>
        <item m="1" x="129"/>
        <item m="1" x="130"/>
        <item m="1" x="122"/>
        <item m="1" x="125"/>
        <item m="1" x="126"/>
        <item m="1" x="123"/>
        <item m="1" x="119"/>
        <item m="1" x="117"/>
        <item m="1" x="118"/>
        <item m="1" x="120"/>
        <item m="1" x="124"/>
        <item x="94"/>
        <item m="1" x="163"/>
        <item m="1" x="164"/>
        <item x="96"/>
        <item x="64"/>
        <item m="1" x="121"/>
        <item x="7"/>
        <item x="8"/>
        <item x="35"/>
        <item m="1" x="146"/>
        <item x="65"/>
        <item x="97"/>
        <item m="1" x="149"/>
        <item x="98"/>
        <item x="67"/>
        <item m="1" x="148"/>
        <item x="9"/>
        <item m="1" x="341"/>
        <item x="10"/>
        <item x="36"/>
        <item m="1" x="319"/>
        <item m="1" x="288"/>
        <item m="1" x="383"/>
        <item m="1" x="373"/>
        <item m="1" x="286"/>
        <item m="1" x="320"/>
        <item x="69"/>
        <item x="71"/>
        <item m="1" x="318"/>
        <item x="101"/>
        <item m="1" x="384"/>
        <item m="1" x="377"/>
        <item m="1" x="359"/>
        <item x="103"/>
        <item x="73"/>
        <item x="40"/>
        <item m="1" x="165"/>
        <item m="1" x="345"/>
        <item m="1" x="284"/>
        <item x="14"/>
        <item m="1" x="350"/>
        <item x="104"/>
        <item m="1" x="331"/>
        <item x="106"/>
        <item m="1" x="321"/>
        <item x="42"/>
        <item m="1" x="314"/>
        <item m="1" x="380"/>
        <item m="1" x="352"/>
        <item x="43"/>
        <item x="77"/>
        <item x="18"/>
        <item x="45"/>
        <item x="79"/>
        <item x="108"/>
        <item x="109"/>
        <item m="1" x="338"/>
        <item m="1" x="334"/>
        <item m="1" x="335"/>
        <item x="21"/>
        <item x="47"/>
        <item m="1" x="307"/>
        <item x="110"/>
        <item x="111"/>
        <item m="1" x="159"/>
        <item x="48"/>
        <item m="1" x="155"/>
        <item x="22"/>
        <item x="49"/>
        <item x="112"/>
        <item m="1" x="156"/>
        <item m="1" x="158"/>
        <item x="50"/>
        <item x="23"/>
        <item m="1" x="161"/>
        <item m="1" x="285"/>
        <item m="1" x="147"/>
        <item x="113"/>
        <item m="1" x="278"/>
        <item x="24"/>
        <item x="25"/>
        <item m="1" x="302"/>
        <item x="51"/>
        <item m="1" x="343"/>
        <item m="1" x="322"/>
        <item x="52"/>
        <item m="1" x="273"/>
        <item m="1" x="282"/>
        <item m="1" x="152"/>
        <item m="1" x="270"/>
        <item m="1" x="271"/>
        <item m="1" x="269"/>
        <item x="84"/>
        <item m="1" x="349"/>
        <item m="1" x="264"/>
        <item m="1" x="313"/>
        <item m="1" x="291"/>
        <item m="1" x="332"/>
        <item m="1" x="240"/>
        <item x="39"/>
        <item m="1" x="337"/>
        <item m="1" x="241"/>
        <item x="80"/>
        <item m="1" x="300"/>
        <item m="1" x="297"/>
        <item x="17"/>
        <item m="1" x="325"/>
        <item x="75"/>
        <item x="19"/>
        <item m="1" x="354"/>
        <item x="76"/>
        <item m="1" x="202"/>
        <item x="16"/>
        <item m="1" x="357"/>
        <item x="107"/>
        <item m="1" x="196"/>
        <item m="1" x="353"/>
        <item x="116"/>
        <item m="1" x="347"/>
        <item x="20"/>
        <item m="1" x="135"/>
        <item m="1" x="328"/>
        <item m="1" x="303"/>
        <item m="1" x="329"/>
        <item m="1" x="361"/>
        <item m="1" x="316"/>
        <item m="1" x="144"/>
        <item m="1" x="355"/>
        <item m="1" x="281"/>
        <item m="1" x="330"/>
        <item m="1" x="292"/>
        <item m="1" x="370"/>
        <item m="1" x="280"/>
        <item m="1" x="272"/>
        <item m="1" x="371"/>
        <item m="1" x="346"/>
        <item m="1" x="339"/>
        <item m="1" x="253"/>
        <item x="46"/>
        <item x="102"/>
        <item m="1" x="217"/>
        <item m="1" x="238"/>
        <item m="1" x="207"/>
        <item m="1" x="248"/>
        <item m="1" x="327"/>
        <item m="1" x="356"/>
        <item m="1" x="387"/>
        <item m="1" x="364"/>
        <item x="41"/>
        <item x="105"/>
        <item m="1" x="137"/>
        <item x="72"/>
        <item m="1" x="324"/>
        <item x="81"/>
        <item m="1" x="326"/>
        <item m="1" x="374"/>
        <item m="1" x="290"/>
        <item m="1" x="233"/>
        <item m="1" x="351"/>
        <item m="1" x="234"/>
        <item m="1" x="294"/>
        <item m="1" x="261"/>
        <item m="1" x="378"/>
        <item m="1" x="237"/>
        <item m="1" x="312"/>
        <item m="1" x="296"/>
        <item m="1" x="235"/>
        <item m="1" x="299"/>
        <item m="1" x="127"/>
        <item m="1" x="362"/>
        <item m="1" x="323"/>
        <item x="82"/>
        <item m="1" x="289"/>
        <item m="1" x="379"/>
        <item m="1" x="298"/>
        <item m="1" x="198"/>
        <item m="1" x="200"/>
        <item m="1" x="348"/>
        <item m="1" x="344"/>
        <item m="1" x="188"/>
        <item x="13"/>
        <item m="1" x="229"/>
        <item m="1" x="243"/>
        <item m="1" x="205"/>
        <item m="1" x="222"/>
        <item m="1" x="381"/>
        <item x="83"/>
        <item x="74"/>
        <item m="1" x="342"/>
        <item m="1" x="306"/>
        <item x="114"/>
        <item m="1" x="336"/>
        <item x="78"/>
        <item x="11"/>
        <item x="100"/>
        <item m="1" x="262"/>
        <item x="68"/>
        <item x="37"/>
        <item x="99"/>
        <item x="12"/>
        <item m="1" x="215"/>
        <item m="1" x="180"/>
        <item m="1" x="168"/>
        <item x="44"/>
        <item m="1" x="160"/>
        <item m="1" x="211"/>
        <item m="1" x="209"/>
        <item x="26"/>
        <item x="54"/>
        <item m="1" x="133"/>
        <item m="1" x="131"/>
        <item x="85"/>
        <item m="1" x="239"/>
        <item x="38"/>
        <item m="1" x="128"/>
        <item m="1" x="153"/>
        <item m="1" x="157"/>
        <item m="1" x="150"/>
        <item x="95"/>
        <item x="63"/>
        <item x="91"/>
        <item x="15"/>
        <item m="1" x="154"/>
        <item x="70"/>
        <item m="1" x="151"/>
        <item x="53"/>
        <item x="66"/>
        <item x="115"/>
        <item x="86"/>
        <item x="87"/>
        <item x="27"/>
        <item x="0"/>
        <item x="28"/>
        <item x="56"/>
        <item x="57"/>
        <item x="58"/>
        <item x="89"/>
        <item x="90"/>
        <item x="1"/>
        <item x="2"/>
        <item x="29"/>
        <item x="3"/>
        <item x="4"/>
        <item x="31"/>
        <item x="32"/>
        <item x="6"/>
        <item x="61"/>
        <item x="33"/>
        <item x="34"/>
        <item x="59"/>
        <item x="60"/>
        <item x="62"/>
        <item x="92"/>
        <item x="93"/>
        <item x="5"/>
        <item t="default"/>
      </items>
    </pivotField>
    <pivotField showAll="0"/>
    <pivotField showAll="0"/>
    <pivotField showAll="0"/>
    <pivotField showAll="0"/>
    <pivotField showAll="0" includeNewItemsInFilter="1"/>
    <pivotField showAll="0"/>
    <pivotField showAll="0"/>
    <pivotField showAll="0"/>
    <pivotField showAll="0"/>
    <pivotField showAll="0"/>
    <pivotField showAll="0"/>
  </pivotFields>
  <rowItems count="1">
    <i/>
  </rowItems>
  <colFields count="1">
    <field x="2"/>
  </colFields>
  <colItems count="1">
    <i>
      <x v="7"/>
    </i>
  </colItems>
  <formats count="15">
    <format dxfId="8014">
      <pivotArea field="5" type="button" dataOnly="0" labelOnly="1" outline="0"/>
    </format>
    <format dxfId="8013">
      <pivotArea dataOnly="0" labelOnly="1" outline="0" axis="axisValues" fieldPosition="0"/>
    </format>
    <format dxfId="8012">
      <pivotArea outline="0" collapsedLevelsAreSubtotals="1" fieldPosition="0"/>
    </format>
    <format dxfId="8011">
      <pivotArea outline="0" collapsedLevelsAreSubtotals="1" fieldPosition="0"/>
    </format>
    <format dxfId="8010">
      <pivotArea field="2" type="button" dataOnly="0" labelOnly="1" outline="0" axis="axisCol" fieldPosition="0"/>
    </format>
    <format dxfId="8009">
      <pivotArea dataOnly="0" labelOnly="1" fieldPosition="0">
        <references count="1">
          <reference field="2" count="0"/>
        </references>
      </pivotArea>
    </format>
    <format dxfId="8008">
      <pivotArea dataOnly="0" labelOnly="1" fieldPosition="0">
        <references count="1">
          <reference field="2" count="0"/>
        </references>
      </pivotArea>
    </format>
    <format dxfId="8007">
      <pivotArea type="all" dataOnly="0" outline="0" fieldPosition="0"/>
    </format>
    <format dxfId="8006">
      <pivotArea field="2" type="button" dataOnly="0" labelOnly="1" outline="0" axis="axisCol" fieldPosition="0"/>
    </format>
    <format dxfId="8005">
      <pivotArea dataOnly="0" labelOnly="1" fieldPosition="0">
        <references count="1">
          <reference field="2" count="0"/>
        </references>
      </pivotArea>
    </format>
    <format dxfId="8004">
      <pivotArea type="all" dataOnly="0" outline="0" fieldPosition="0"/>
    </format>
    <format dxfId="8003">
      <pivotArea field="2" type="button" dataOnly="0" labelOnly="1" outline="0" axis="axisCol" fieldPosition="0"/>
    </format>
    <format dxfId="8002">
      <pivotArea dataOnly="0" labelOnly="1" fieldPosition="0">
        <references count="1">
          <reference field="2" count="0"/>
        </references>
      </pivotArea>
    </format>
    <format dxfId="8001">
      <pivotArea field="2" type="button" dataOnly="0" labelOnly="1" outline="0" axis="axisCol" fieldPosition="0"/>
    </format>
    <format dxfId="8000">
      <pivotArea field="2" type="button" dataOnly="0" labelOnly="1" outline="0" axis="axisCol"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F4827B-41A9-4684-840F-DD81F191E5C1}" name="Split Principal PT2" cacheId="18" applyNumberFormats="0" applyBorderFormats="0" applyFontFormats="0" applyPatternFormats="0" applyAlignmentFormats="0" applyWidthHeightFormats="1" dataCaption="Valores" updatedVersion="8" minRefreshableVersion="3" showDrill="0" rowGrandTotals="0" colGrandTotals="0" createdVersion="4" compact="0" compactData="0" multipleFieldFilters="0">
  <location ref="K18:W28" firstHeaderRow="1" firstDataRow="1" firstDataCol="12"/>
  <pivotFields count="17">
    <pivotField compact="0" outline="0" showAll="0"/>
    <pivotField axis="axisRow" compact="0" outline="0" showAll="0" defaultSubtotal="0">
      <items count="41">
        <item h="1" x="13"/>
        <item h="1" x="14"/>
        <item h="1" x="8"/>
        <item h="1" x="15"/>
        <item h="1" x="9"/>
        <item x="10"/>
        <item h="1" x="11"/>
        <item h="1" x="12"/>
        <item h="1" x="7"/>
        <item h="1" x="6"/>
        <item h="1" x="0"/>
        <item h="1" x="1"/>
        <item h="1" x="2"/>
        <item h="1" x="3"/>
        <item h="1" x="4"/>
        <item h="1" x="5"/>
        <item h="1" x="16"/>
        <item h="1" x="17"/>
        <item h="1" x="18"/>
        <item h="1" x="19"/>
        <item h="1" x="20"/>
        <item h="1" x="21"/>
        <item h="1" x="22"/>
        <item h="1" x="23"/>
        <item h="1" x="24"/>
        <item h="1" x="25"/>
        <item h="1" x="26"/>
        <item h="1" m="1" x="31"/>
        <item h="1" m="1" x="32"/>
        <item h="1" m="1" x="33"/>
        <item h="1" m="1" x="34"/>
        <item h="1" m="1" x="35"/>
        <item h="1" m="1" x="36"/>
        <item h="1" m="1" x="37"/>
        <item h="1" m="1" x="38"/>
        <item h="1" m="1" x="39"/>
        <item h="1" m="1" x="40"/>
        <item h="1" m="1" x="28"/>
        <item h="1" m="1" x="29"/>
        <item h="1" m="1" x="30"/>
        <item h="1" x="27"/>
      </items>
    </pivotField>
    <pivotField dataField="1" compact="0" outline="0" showAll="0" defaultSubtotal="0">
      <items count="42">
        <item h="1" m="1" x="41"/>
        <item h="1" x="0"/>
        <item h="1" x="1"/>
        <item h="1" x="2"/>
        <item h="1" x="3"/>
        <item h="1" x="4"/>
        <item h="1" x="5"/>
        <item h="1" x="6"/>
        <item x="7"/>
        <item h="1" x="8"/>
        <item h="1" x="9"/>
        <item h="1" x="10"/>
        <item h="1" x="11"/>
        <item h="1" x="12"/>
        <item h="1" x="13"/>
        <item h="1" x="14"/>
        <item h="1" x="15"/>
        <item h="1" x="16"/>
        <item h="1" x="17"/>
        <item h="1" x="18"/>
        <item h="1" x="19"/>
        <item h="1" x="20"/>
        <item h="1" x="21"/>
        <item h="1" x="22"/>
        <item h="1" x="23"/>
        <item h="1" x="24"/>
        <item h="1" x="25"/>
        <item h="1" x="26"/>
        <item h="1" x="27"/>
        <item h="1" x="28"/>
        <item h="1" x="29"/>
        <item h="1" m="1" x="31"/>
        <item h="1" m="1" x="32"/>
        <item h="1" m="1" x="33"/>
        <item h="1" m="1" x="34"/>
        <item h="1" m="1" x="35"/>
        <item h="1" m="1" x="36"/>
        <item h="1" m="1" x="37"/>
        <item h="1" m="1" x="38"/>
        <item h="1" m="1" x="39"/>
        <item h="1" m="1" x="40"/>
        <item h="1" x="30"/>
      </items>
    </pivotField>
    <pivotField name="Log Time " axis="axisRow" compact="0" outline="0" showAll="0" defaultSubtotal="0">
      <items count="17">
        <item x="2"/>
        <item m="1" x="16"/>
        <item m="1" x="11"/>
        <item x="4"/>
        <item x="0"/>
        <item x="7"/>
        <item x="1"/>
        <item m="1" x="12"/>
        <item x="3"/>
        <item x="5"/>
        <item m="1" x="10"/>
        <item x="8"/>
        <item m="1" x="15"/>
        <item m="1" x="14"/>
        <item m="1" x="13"/>
        <item m="1" x="9"/>
        <item x="6"/>
      </items>
    </pivotField>
    <pivotField name="T.Z." axis="axisRow" compact="0" outline="0" showAll="0" defaultSubtotal="0">
      <items count="7">
        <item x="1"/>
        <item x="0"/>
        <item m="1" x="6"/>
        <item x="2"/>
        <item x="4"/>
        <item x="5"/>
        <item x="3"/>
      </items>
    </pivotField>
    <pivotField name="Sites" axis="axisRow" compact="0" outline="0" showAll="0" nonAutoSortDefault="1" defaultSubtotal="0">
      <items count="388">
        <item m="1" x="201"/>
        <item m="1" x="202"/>
        <item m="1" x="236"/>
        <item m="1" x="241"/>
        <item m="1" x="230"/>
        <item m="1" x="237"/>
        <item m="1" x="186"/>
        <item m="1" x="190"/>
        <item m="1" x="231"/>
        <item m="1" x="366"/>
        <item m="1" x="263"/>
        <item m="1" x="169"/>
        <item m="1" x="219"/>
        <item m="1" x="276"/>
        <item m="1" x="277"/>
        <item m="1" x="170"/>
        <item m="1" x="187"/>
        <item m="1" x="171"/>
        <item m="1" x="212"/>
        <item m="1" x="213"/>
        <item m="1" x="189"/>
        <item m="1" x="188"/>
        <item m="1" x="172"/>
        <item m="1" x="173"/>
        <item m="1" x="225"/>
        <item m="1" x="226"/>
        <item m="1" x="197"/>
        <item m="1" x="174"/>
        <item m="1" x="203"/>
        <item m="1" x="253"/>
        <item m="1" x="175"/>
        <item m="1" x="176"/>
        <item m="1" x="223"/>
        <item m="1" x="200"/>
        <item m="1" x="191"/>
        <item m="1" x="177"/>
        <item m="1" x="242"/>
        <item m="1" x="274"/>
        <item m="1" x="275"/>
        <item m="1" x="193"/>
        <item m="1" x="194"/>
        <item m="1" x="243"/>
        <item m="1" x="192"/>
        <item m="1" x="254"/>
        <item m="1" x="240"/>
        <item m="1" x="178"/>
        <item m="1" x="183"/>
        <item m="1" x="179"/>
        <item m="1" x="214"/>
        <item m="1" x="181"/>
        <item m="1" x="185"/>
        <item m="1" x="227"/>
        <item m="1" x="218"/>
        <item m="1" x="224"/>
        <item m="1" x="232"/>
        <item m="1" x="184"/>
        <item m="1" x="204"/>
        <item m="1" x="255"/>
        <item m="1" x="196"/>
        <item m="1" x="205"/>
        <item m="1" x="182"/>
        <item m="1" x="228"/>
        <item m="1" x="229"/>
        <item m="1" x="210"/>
        <item m="1" x="238"/>
        <item m="1" x="256"/>
        <item m="1" x="244"/>
        <item m="1" x="258"/>
        <item m="1" x="245"/>
        <item m="1" x="246"/>
        <item m="1" x="247"/>
        <item m="1" x="206"/>
        <item m="1" x="207"/>
        <item m="1" x="208"/>
        <item m="1" x="195"/>
        <item m="1" x="198"/>
        <item m="1" x="199"/>
        <item m="1" x="363"/>
        <item m="1" x="248"/>
        <item m="1" x="257"/>
        <item m="1" x="216"/>
        <item m="1" x="220"/>
        <item m="1" x="250"/>
        <item m="1" x="249"/>
        <item m="1" x="221"/>
        <item m="1" x="260"/>
        <item m="1" x="259"/>
        <item m="1" x="217"/>
        <item m="1" x="233"/>
        <item m="1" x="222"/>
        <item m="1" x="251"/>
        <item m="1" x="234"/>
        <item m="1" x="261"/>
        <item m="1" x="235"/>
        <item m="1" x="252"/>
        <item m="1" x="143"/>
        <item m="1" x="142"/>
        <item x="55"/>
        <item m="1" x="141"/>
        <item m="1" x="167"/>
        <item m="1" x="138"/>
        <item m="1" x="139"/>
        <item m="1" x="140"/>
        <item x="88"/>
        <item m="1" x="136"/>
        <item m="1" x="134"/>
        <item m="1" x="137"/>
        <item m="1" x="135"/>
        <item m="1" x="267"/>
        <item m="1" x="268"/>
        <item m="1" x="265"/>
        <item m="1" x="266"/>
        <item x="30"/>
        <item m="1" x="132"/>
        <item m="1" x="145"/>
        <item m="1" x="162"/>
        <item m="1" x="127"/>
        <item m="1" x="166"/>
        <item m="1" x="129"/>
        <item m="1" x="130"/>
        <item m="1" x="122"/>
        <item m="1" x="125"/>
        <item m="1" x="126"/>
        <item m="1" x="123"/>
        <item m="1" x="119"/>
        <item m="1" x="117"/>
        <item m="1" x="118"/>
        <item m="1" x="120"/>
        <item m="1" x="124"/>
        <item x="94"/>
        <item m="1" x="163"/>
        <item m="1" x="164"/>
        <item x="96"/>
        <item x="64"/>
        <item m="1" x="121"/>
        <item x="7"/>
        <item x="8"/>
        <item x="35"/>
        <item m="1" x="146"/>
        <item x="65"/>
        <item x="97"/>
        <item m="1" x="149"/>
        <item x="98"/>
        <item x="67"/>
        <item m="1" x="148"/>
        <item x="9"/>
        <item x="10"/>
        <item x="36"/>
        <item m="1" x="319"/>
        <item m="1" x="288"/>
        <item m="1" x="364"/>
        <item m="1" x="383"/>
        <item m="1" x="373"/>
        <item m="1" x="290"/>
        <item m="1" x="320"/>
        <item x="69"/>
        <item x="71"/>
        <item x="101"/>
        <item x="102"/>
        <item x="72"/>
        <item x="39"/>
        <item x="103"/>
        <item x="73"/>
        <item x="40"/>
        <item m="1" x="165"/>
        <item x="13"/>
        <item x="41"/>
        <item x="14"/>
        <item x="74"/>
        <item x="104"/>
        <item x="105"/>
        <item x="106"/>
        <item x="75"/>
        <item x="42"/>
        <item x="16"/>
        <item x="17"/>
        <item x="43"/>
        <item x="76"/>
        <item x="77"/>
        <item m="1" x="357"/>
        <item x="107"/>
        <item x="18"/>
        <item x="19"/>
        <item x="45"/>
        <item x="79"/>
        <item x="108"/>
        <item x="109"/>
        <item x="80"/>
        <item x="46"/>
        <item x="20"/>
        <item x="21"/>
        <item x="47"/>
        <item x="110"/>
        <item x="111"/>
        <item m="1" x="159"/>
        <item x="48"/>
        <item m="1" x="155"/>
        <item x="22"/>
        <item x="49"/>
        <item x="81"/>
        <item m="1" x="144"/>
        <item x="112"/>
        <item m="1" x="156"/>
        <item m="1" x="158"/>
        <item x="50"/>
        <item x="23"/>
        <item m="1" x="161"/>
        <item m="1" x="147"/>
        <item x="113"/>
        <item x="82"/>
        <item x="114"/>
        <item x="24"/>
        <item x="25"/>
        <item x="51"/>
        <item x="83"/>
        <item x="52"/>
        <item m="1" x="273"/>
        <item m="1" x="272"/>
        <item m="1" x="152"/>
        <item m="1" x="270"/>
        <item m="1" x="271"/>
        <item m="1" x="269"/>
        <item x="84"/>
        <item m="1" x="264"/>
        <item m="1" x="308"/>
        <item m="1" x="365"/>
        <item m="1" x="283"/>
        <item m="1" x="382"/>
        <item m="1" x="368"/>
        <item m="1" x="375"/>
        <item m="1" x="311"/>
        <item m="1" x="333"/>
        <item m="1" x="287"/>
        <item m="1" x="376"/>
        <item m="1" x="386"/>
        <item m="1" x="305"/>
        <item m="1" x="340"/>
        <item m="1" x="295"/>
        <item m="1" x="372"/>
        <item m="1" x="304"/>
        <item m="1" x="279"/>
        <item m="1" x="358"/>
        <item m="1" x="293"/>
        <item m="1" x="385"/>
        <item m="1" x="367"/>
        <item m="1" x="310"/>
        <item m="1" x="301"/>
        <item m="1" x="315"/>
        <item m="1" x="369"/>
        <item m="1" x="309"/>
        <item m="1" x="360"/>
        <item m="1" x="341"/>
        <item m="1" x="286"/>
        <item m="1" x="384"/>
        <item m="1" x="377"/>
        <item m="1" x="359"/>
        <item m="1" x="345"/>
        <item m="1" x="284"/>
        <item m="1" x="350"/>
        <item m="1" x="331"/>
        <item m="1" x="321"/>
        <item m="1" x="314"/>
        <item m="1" x="380"/>
        <item m="1" x="338"/>
        <item m="1" x="334"/>
        <item m="1" x="335"/>
        <item m="1" x="307"/>
        <item m="1" x="285"/>
        <item m="1" x="278"/>
        <item m="1" x="343"/>
        <item m="1" x="322"/>
        <item m="1" x="282"/>
        <item m="1" x="349"/>
        <item m="1" x="302"/>
        <item m="1" x="352"/>
        <item m="1" x="317"/>
        <item m="1" x="318"/>
        <item m="1" x="313"/>
        <item m="1" x="291"/>
        <item m="1" x="332"/>
        <item m="1" x="337"/>
        <item m="1" x="300"/>
        <item m="1" x="297"/>
        <item m="1" x="325"/>
        <item m="1" x="354"/>
        <item m="1" x="353"/>
        <item x="116"/>
        <item m="1" x="347"/>
        <item m="1" x="328"/>
        <item m="1" x="303"/>
        <item m="1" x="329"/>
        <item m="1" x="361"/>
        <item m="1" x="316"/>
        <item m="1" x="355"/>
        <item m="1" x="281"/>
        <item m="1" x="330"/>
        <item m="1" x="292"/>
        <item m="1" x="370"/>
        <item m="1" x="280"/>
        <item m="1" x="371"/>
        <item m="1" x="346"/>
        <item m="1" x="339"/>
        <item m="1" x="327"/>
        <item m="1" x="356"/>
        <item m="1" x="387"/>
        <item m="1" x="324"/>
        <item m="1" x="326"/>
        <item m="1" x="374"/>
        <item m="1" x="351"/>
        <item m="1" x="294"/>
        <item m="1" x="378"/>
        <item m="1" x="312"/>
        <item m="1" x="296"/>
        <item m="1" x="299"/>
        <item m="1" x="362"/>
        <item m="1" x="323"/>
        <item m="1" x="289"/>
        <item m="1" x="379"/>
        <item m="1" x="298"/>
        <item m="1" x="348"/>
        <item m="1" x="344"/>
        <item m="1" x="381"/>
        <item m="1" x="342"/>
        <item m="1" x="306"/>
        <item m="1" x="336"/>
        <item x="78"/>
        <item x="11"/>
        <item x="100"/>
        <item m="1" x="262"/>
        <item x="68"/>
        <item x="37"/>
        <item x="99"/>
        <item x="12"/>
        <item m="1" x="215"/>
        <item m="1" x="180"/>
        <item m="1" x="168"/>
        <item x="44"/>
        <item m="1" x="160"/>
        <item m="1" x="211"/>
        <item m="1" x="209"/>
        <item x="26"/>
        <item x="54"/>
        <item m="1" x="133"/>
        <item m="1" x="131"/>
        <item x="85"/>
        <item m="1" x="239"/>
        <item x="38"/>
        <item m="1" x="128"/>
        <item m="1" x="153"/>
        <item m="1" x="157"/>
        <item m="1" x="150"/>
        <item x="95"/>
        <item x="63"/>
        <item x="91"/>
        <item x="15"/>
        <item m="1" x="154"/>
        <item x="70"/>
        <item m="1" x="151"/>
        <item x="53"/>
        <item x="66"/>
        <item x="115"/>
        <item x="86"/>
        <item x="87"/>
        <item x="27"/>
        <item x="0"/>
        <item x="28"/>
        <item x="56"/>
        <item x="57"/>
        <item x="58"/>
        <item x="89"/>
        <item x="90"/>
        <item x="1"/>
        <item x="2"/>
        <item x="29"/>
        <item x="3"/>
        <item x="4"/>
        <item x="31"/>
        <item x="32"/>
        <item x="6"/>
        <item x="61"/>
        <item x="33"/>
        <item x="34"/>
        <item x="59"/>
        <item x="60"/>
        <item x="62"/>
        <item x="92"/>
        <item x="93"/>
        <item x="5"/>
      </items>
    </pivotField>
    <pivotField axis="axisRow" compact="0" outline="0" showAll="0" defaultSubtotal="0">
      <items count="15">
        <item m="1" x="12"/>
        <item m="1" x="14"/>
        <item x="0"/>
        <item x="3"/>
        <item m="1" x="13"/>
        <item x="4"/>
        <item m="1" x="8"/>
        <item x="2"/>
        <item x="7"/>
        <item x="1"/>
        <item m="1" x="11"/>
        <item m="1" x="10"/>
        <item m="1" x="9"/>
        <item x="6"/>
        <item x="5"/>
      </items>
    </pivotField>
    <pivotField compact="0" outline="0" showAll="0" defaultSubtotal="0"/>
    <pivotField compact="0" outline="0" showAll="0"/>
    <pivotField axis="axisRow" compact="0" outline="0" showAll="0" defaultSubtotal="0">
      <items count="14">
        <item x="2"/>
        <item m="1" x="13"/>
        <item x="0"/>
        <item m="1" x="11"/>
        <item x="3"/>
        <item m="1" x="12"/>
        <item m="1" x="10"/>
        <item x="4"/>
        <item x="6"/>
        <item x="7"/>
        <item x="1"/>
        <item m="1" x="8"/>
        <item m="1" x="9"/>
        <item x="5"/>
      </items>
    </pivotField>
    <pivotField axis="axisRow" compact="0" outline="0" showAll="0" includeNewItemsInFilter="1" defaultSubtotal="0">
      <items count="8">
        <item m="1" x="7"/>
        <item x="0"/>
        <item x="2"/>
        <item x="3"/>
        <item x="4"/>
        <item x="6"/>
        <item x="5"/>
        <item x="1"/>
      </items>
    </pivotField>
    <pivotField axis="axisRow" compact="0" outline="0" showAll="0" defaultSubtotal="0">
      <items count="83">
        <item m="1" x="81"/>
        <item x="6"/>
        <item x="63"/>
        <item x="44"/>
        <item x="18"/>
        <item x="49"/>
        <item x="9"/>
        <item m="1" x="80"/>
        <item x="76"/>
        <item x="19"/>
        <item x="56"/>
        <item x="22"/>
        <item m="1" x="82"/>
        <item x="36"/>
        <item x="3"/>
        <item x="54"/>
        <item x="20"/>
        <item x="31"/>
        <item x="28"/>
        <item x="38"/>
        <item x="15"/>
        <item x="11"/>
        <item x="62"/>
        <item x="52"/>
        <item x="73"/>
        <item x="27"/>
        <item x="77"/>
        <item x="8"/>
        <item x="50"/>
        <item x="10"/>
        <item x="53"/>
        <item x="70"/>
        <item x="16"/>
        <item x="24"/>
        <item x="60"/>
        <item x="59"/>
        <item x="58"/>
        <item x="7"/>
        <item x="48"/>
        <item x="74"/>
        <item x="29"/>
        <item x="34"/>
        <item x="37"/>
        <item x="41"/>
        <item x="17"/>
        <item x="32"/>
        <item x="72"/>
        <item x="55"/>
        <item x="61"/>
        <item x="13"/>
        <item x="57"/>
        <item x="30"/>
        <item x="1"/>
        <item x="39"/>
        <item x="35"/>
        <item x="68"/>
        <item x="71"/>
        <item x="33"/>
        <item x="51"/>
        <item x="12"/>
        <item x="75"/>
        <item x="14"/>
        <item x="21"/>
        <item x="40"/>
        <item x="65"/>
        <item x="78"/>
        <item x="79"/>
        <item x="0"/>
        <item x="42"/>
        <item x="43"/>
        <item x="64"/>
        <item x="2"/>
        <item x="23"/>
        <item x="4"/>
        <item x="25"/>
        <item x="46"/>
        <item x="26"/>
        <item x="45"/>
        <item x="47"/>
        <item x="66"/>
        <item x="67"/>
        <item x="5"/>
        <item x="69"/>
      </items>
    </pivotField>
    <pivotField axis="axisRow" compact="0" outline="0" showAll="0" defaultSubtotal="0">
      <items count="47">
        <item m="1" x="45"/>
        <item x="9"/>
        <item x="2"/>
        <item x="16"/>
        <item x="1"/>
        <item x="12"/>
        <item x="4"/>
        <item x="38"/>
        <item x="0"/>
        <item x="17"/>
        <item x="8"/>
        <item x="36"/>
        <item x="24"/>
        <item x="28"/>
        <item x="18"/>
        <item x="6"/>
        <item x="7"/>
        <item x="15"/>
        <item x="37"/>
        <item x="35"/>
        <item x="21"/>
        <item x="41"/>
        <item x="10"/>
        <item x="19"/>
        <item x="34"/>
        <item x="30"/>
        <item x="42"/>
        <item x="27"/>
        <item x="29"/>
        <item x="5"/>
        <item x="20"/>
        <item x="25"/>
        <item x="40"/>
        <item x="26"/>
        <item m="1" x="46"/>
        <item x="39"/>
        <item x="23"/>
        <item x="11"/>
        <item x="3"/>
        <item x="32"/>
        <item x="43"/>
        <item x="44"/>
        <item x="13"/>
        <item x="22"/>
        <item x="31"/>
        <item x="14"/>
        <item x="33"/>
      </items>
    </pivotField>
    <pivotField axis="axisRow" compact="0" outline="0" showAll="0" defaultSubtotal="0">
      <items count="17">
        <item x="3"/>
        <item x="6"/>
        <item x="9"/>
        <item x="0"/>
        <item x="12"/>
        <item x="1"/>
        <item sd="0" x="10"/>
        <item x="5"/>
        <item m="1" x="16"/>
        <item x="14"/>
        <item x="15"/>
        <item x="2"/>
        <item x="7"/>
        <item x="11"/>
        <item x="8"/>
        <item x="13"/>
        <item x="4"/>
      </items>
    </pivotField>
    <pivotField axis="axisRow" compact="0" outline="0" showAll="0" defaultSubtotal="0">
      <items count="83">
        <item x="74"/>
        <item x="43"/>
        <item x="44"/>
        <item x="30"/>
        <item x="51"/>
        <item x="76"/>
        <item x="75"/>
        <item m="1" x="81"/>
        <item x="3"/>
        <item x="33"/>
        <item x="9"/>
        <item x="8"/>
        <item x="17"/>
        <item x="35"/>
        <item m="1" x="80"/>
        <item x="15"/>
        <item x="55"/>
        <item x="6"/>
        <item x="36"/>
        <item x="65"/>
        <item x="70"/>
        <item x="61"/>
        <item x="49"/>
        <item x="12"/>
        <item x="34"/>
        <item x="50"/>
        <item x="20"/>
        <item x="7"/>
        <item x="68"/>
        <item x="27"/>
        <item x="66"/>
        <item x="11"/>
        <item x="47"/>
        <item x="19"/>
        <item x="10"/>
        <item x="56"/>
        <item x="31"/>
        <item x="52"/>
        <item x="48"/>
        <item x="45"/>
        <item x="77"/>
        <item x="57"/>
        <item x="28"/>
        <item x="24"/>
        <item x="29"/>
        <item x="1"/>
        <item x="32"/>
        <item x="14"/>
        <item x="54"/>
        <item x="21"/>
        <item x="73"/>
        <item x="58"/>
        <item x="18"/>
        <item x="53"/>
        <item x="64"/>
        <item x="72"/>
        <item x="71"/>
        <item x="69"/>
        <item x="46"/>
        <item m="1" x="82"/>
        <item x="16"/>
        <item x="13"/>
        <item x="78"/>
        <item x="79"/>
        <item x="0"/>
        <item x="22"/>
        <item x="37"/>
        <item x="38"/>
        <item x="39"/>
        <item x="59"/>
        <item x="60"/>
        <item x="2"/>
        <item x="23"/>
        <item x="4"/>
        <item x="25"/>
        <item x="41"/>
        <item x="26"/>
        <item x="40"/>
        <item x="42"/>
        <item x="62"/>
        <item x="63"/>
        <item x="5"/>
        <item x="67"/>
      </items>
    </pivotField>
    <pivotField axis="axisRow" compact="0" outline="0" showAll="0" defaultSubtotal="0">
      <items count="90">
        <item m="1" x="89"/>
        <item x="19"/>
        <item x="0"/>
        <item x="12"/>
        <item x="65"/>
        <item x="83"/>
        <item x="46"/>
        <item x="24"/>
        <item x="81"/>
        <item m="1" x="88"/>
        <item x="17"/>
        <item x="66"/>
        <item x="74"/>
        <item x="31"/>
        <item x="11"/>
        <item x="38"/>
        <item x="51"/>
        <item x="28"/>
        <item x="35"/>
        <item x="49"/>
        <item x="8"/>
        <item x="40"/>
        <item x="57"/>
        <item x="37"/>
        <item x="18"/>
        <item x="58"/>
        <item x="72"/>
        <item x="80"/>
        <item x="22"/>
        <item x="48"/>
        <item x="21"/>
        <item x="30"/>
        <item x="25"/>
        <item x="34"/>
        <item x="15"/>
        <item x="29"/>
        <item x="55"/>
        <item x="68"/>
        <item x="16"/>
        <item x="47"/>
        <item x="54"/>
        <item x="10"/>
        <item x="9"/>
        <item x="61"/>
        <item x="20"/>
        <item x="53"/>
        <item x="67"/>
        <item x="7"/>
        <item x="56"/>
        <item x="75"/>
        <item x="50"/>
        <item x="13"/>
        <item x="82"/>
        <item x="59"/>
        <item x="70"/>
        <item x="1"/>
        <item x="33"/>
        <item x="84"/>
        <item x="73"/>
        <item x="69"/>
        <item x="79"/>
        <item x="41"/>
        <item x="32"/>
        <item x="85"/>
        <item x="36"/>
        <item x="14"/>
        <item x="76"/>
        <item x="78"/>
        <item x="60"/>
        <item x="77"/>
        <item x="52"/>
        <item x="39"/>
        <item x="86"/>
        <item x="87"/>
        <item x="23"/>
        <item x="42"/>
        <item x="43"/>
        <item x="44"/>
        <item x="62"/>
        <item x="63"/>
        <item x="2"/>
        <item x="3"/>
        <item x="4"/>
        <item x="26"/>
        <item x="6"/>
        <item x="27"/>
        <item x="45"/>
        <item x="64"/>
        <item x="5"/>
        <item x="71"/>
      </items>
    </pivotField>
    <pivotField compact="0" outline="0" showAll="0"/>
  </pivotFields>
  <rowFields count="12">
    <field x="1"/>
    <field x="3"/>
    <field x="5"/>
    <field x="6"/>
    <field x="4"/>
    <field x="9"/>
    <field x="11"/>
    <field x="12"/>
    <field x="13"/>
    <field x="14"/>
    <field x="15"/>
    <field x="10"/>
  </rowFields>
  <rowItems count="10">
    <i>
      <x v="5"/>
      <x v="3"/>
      <x v="201"/>
      <x v="2"/>
      <x v="1"/>
      <x v="10"/>
      <x v="1"/>
      <x v="8"/>
      <x v="3"/>
      <x/>
      <x v="5"/>
      <x v="1"/>
    </i>
    <i r="1">
      <x v="4"/>
      <x v="103"/>
      <x v="2"/>
      <x v="1"/>
      <x v="4"/>
      <x v="2"/>
      <x v="8"/>
      <x v="3"/>
      <x v="51"/>
      <x v="7"/>
      <x v="1"/>
    </i>
    <i r="2">
      <x v="155"/>
      <x v="2"/>
      <x v="1"/>
      <x v="10"/>
      <x v="58"/>
      <x v="8"/>
      <x v="3"/>
      <x v="58"/>
      <x v="70"/>
      <x v="1"/>
    </i>
    <i r="1">
      <x v="6"/>
      <x v="145"/>
      <x v="9"/>
      <x/>
      <x v="10"/>
      <x v="27"/>
      <x v="8"/>
      <x v="3"/>
      <x v="11"/>
      <x v="42"/>
      <x v="1"/>
    </i>
    <i r="2">
      <x v="159"/>
      <x v="9"/>
      <x/>
      <x v="10"/>
      <x v="30"/>
      <x v="8"/>
      <x v="3"/>
      <x v="38"/>
      <x v="40"/>
      <x v="1"/>
    </i>
    <i r="2">
      <x v="170"/>
      <x v="9"/>
      <x/>
      <x v="10"/>
      <x v="14"/>
      <x v="7"/>
      <x v="3"/>
      <x v="17"/>
      <x v="66"/>
      <x v="1"/>
    </i>
    <i r="2">
      <x v="171"/>
      <x v="9"/>
      <x/>
      <x v="10"/>
      <x v="14"/>
      <x v="8"/>
      <x v="3"/>
      <x v="17"/>
      <x v="69"/>
      <x v="1"/>
    </i>
    <i r="2">
      <x v="325"/>
      <x v="9"/>
      <x/>
      <x v="10"/>
      <x v="14"/>
      <x v="13"/>
      <x v="3"/>
      <x v="17"/>
      <x v="14"/>
      <x v="1"/>
    </i>
    <i r="2">
      <x v="382"/>
      <x v="9"/>
      <x/>
      <x v="10"/>
      <x v="3"/>
      <x v="1"/>
      <x v="3"/>
      <x v="17"/>
      <x v="86"/>
      <x v="1"/>
    </i>
    <i r="1">
      <x v="8"/>
      <x v="135"/>
      <x v="3"/>
      <x v="3"/>
      <x v="10"/>
      <x v="37"/>
      <x v="2"/>
      <x v="3"/>
      <x v="17"/>
      <x v="47"/>
      <x v="1"/>
    </i>
  </rowItems>
  <colItems count="1">
    <i/>
  </colItems>
  <dataFields count="1">
    <dataField name="Sum of Station" fld="2" baseField="0" baseItem="0"/>
  </dataFields>
  <formats count="2922">
    <format dxfId="10936">
      <pivotArea field="5" type="button" dataOnly="0" labelOnly="1" outline="0" axis="axisRow" fieldPosition="2"/>
    </format>
    <format dxfId="10935">
      <pivotArea field="5" type="button" dataOnly="0" labelOnly="1" outline="0" axis="axisRow" fieldPosition="2"/>
    </format>
    <format dxfId="10934">
      <pivotArea field="4" type="button" dataOnly="0" labelOnly="1" outline="0" axis="axisRow" fieldPosition="4"/>
    </format>
    <format dxfId="10933">
      <pivotArea field="3" type="button" dataOnly="0" labelOnly="1" outline="0" axis="axisRow" fieldPosition="1"/>
    </format>
    <format dxfId="10932">
      <pivotArea field="1" type="button" dataOnly="0" labelOnly="1" outline="0" axis="axisRow" fieldPosition="0"/>
    </format>
    <format dxfId="10931">
      <pivotArea field="6" type="button" dataOnly="0" labelOnly="1" outline="0" axis="axisRow" fieldPosition="3"/>
    </format>
    <format dxfId="10930">
      <pivotArea field="9" type="button" dataOnly="0" labelOnly="1" outline="0" axis="axisRow" fieldPosition="5"/>
    </format>
    <format dxfId="10929">
      <pivotArea field="5" type="button" dataOnly="0" labelOnly="1" outline="0" axis="axisRow" fieldPosition="2"/>
    </format>
    <format dxfId="10928">
      <pivotArea dataOnly="0" labelOnly="1" outline="0" fieldPosition="0">
        <references count="1">
          <reference field="9" count="0"/>
        </references>
      </pivotArea>
    </format>
    <format dxfId="10927">
      <pivotArea field="6" type="button" dataOnly="0" labelOnly="1" outline="0" axis="axisRow" fieldPosition="3"/>
    </format>
    <format dxfId="10926">
      <pivotArea field="4" type="button" dataOnly="0" labelOnly="1" outline="0" axis="axisRow" fieldPosition="4"/>
    </format>
    <format dxfId="10925">
      <pivotArea dataOnly="0" labelOnly="1" outline="0" fieldPosition="0">
        <references count="1">
          <reference field="6" count="0"/>
        </references>
      </pivotArea>
    </format>
    <format dxfId="10924">
      <pivotArea dataOnly="0" labelOnly="1" outline="0" fieldPosition="0">
        <references count="1">
          <reference field="9" count="0"/>
        </references>
      </pivotArea>
    </format>
    <format dxfId="10923">
      <pivotArea dataOnly="0" labelOnly="1" outline="0" fieldPosition="0">
        <references count="5">
          <reference field="3" count="1" selected="0">
            <x v="0"/>
          </reference>
          <reference field="4" count="1" selected="0">
            <x v="4"/>
          </reference>
          <reference field="5" count="1" selected="0">
            <x v="167"/>
          </reference>
          <reference field="6" count="1" selected="0">
            <x v="7"/>
          </reference>
          <reference field="9" count="1">
            <x v="10"/>
          </reference>
        </references>
      </pivotArea>
    </format>
    <format dxfId="10922">
      <pivotArea dataOnly="0" labelOnly="1" outline="0" fieldPosition="0">
        <references count="5">
          <reference field="3" count="1" selected="0">
            <x v="3"/>
          </reference>
          <reference field="4" count="1" selected="0">
            <x v="1"/>
          </reference>
          <reference field="5" count="1" selected="0">
            <x v="104"/>
          </reference>
          <reference field="6" count="1" selected="0">
            <x v="2"/>
          </reference>
          <reference field="9" count="1">
            <x v="2"/>
          </reference>
        </references>
      </pivotArea>
    </format>
    <format dxfId="10921">
      <pivotArea dataOnly="0" labelOnly="1" outline="0" fieldPosition="0">
        <references count="5">
          <reference field="3" count="1" selected="0">
            <x v="3"/>
          </reference>
          <reference field="4" count="1" selected="0">
            <x v="1"/>
          </reference>
          <reference field="5" count="1" selected="0">
            <x v="118"/>
          </reference>
          <reference field="6" count="1" selected="0">
            <x v="2"/>
          </reference>
          <reference field="9" count="1">
            <x v="10"/>
          </reference>
        </references>
      </pivotArea>
    </format>
    <format dxfId="10920">
      <pivotArea dataOnly="0" labelOnly="1" outline="0" fieldPosition="0">
        <references count="5">
          <reference field="3" count="1" selected="0">
            <x v="4"/>
          </reference>
          <reference field="4" count="1" selected="0">
            <x v="1"/>
          </reference>
          <reference field="5" count="1" selected="0">
            <x v="66"/>
          </reference>
          <reference field="6" count="1" selected="0">
            <x v="2"/>
          </reference>
          <reference field="9" count="1">
            <x v="4"/>
          </reference>
        </references>
      </pivotArea>
    </format>
    <format dxfId="10919">
      <pivotArea dataOnly="0" labelOnly="1" outline="0" fieldPosition="0">
        <references count="5">
          <reference field="3" count="1" selected="0">
            <x v="4"/>
          </reference>
          <reference field="4" count="1" selected="0">
            <x v="0"/>
          </reference>
          <reference field="5" count="1" selected="0">
            <x v="129"/>
          </reference>
          <reference field="6" count="1" selected="0">
            <x v="9"/>
          </reference>
          <reference field="9" count="1">
            <x v="10"/>
          </reference>
        </references>
      </pivotArea>
    </format>
    <format dxfId="10918">
      <pivotArea dataOnly="0" labelOnly="1" outline="0" fieldPosition="0">
        <references count="5">
          <reference field="3" count="1" selected="0">
            <x v="4"/>
          </reference>
          <reference field="4" count="1" selected="0">
            <x v="1"/>
          </reference>
          <reference field="5" count="1" selected="0">
            <x v="143"/>
          </reference>
          <reference field="6" count="1" selected="0">
            <x v="2"/>
          </reference>
          <reference field="9" count="2">
            <x v="4"/>
            <x v="10"/>
          </reference>
        </references>
      </pivotArea>
    </format>
    <format dxfId="10917">
      <pivotArea dataOnly="0" labelOnly="1" outline="0" fieldPosition="0">
        <references count="5">
          <reference field="3" count="1" selected="0">
            <x v="4"/>
          </reference>
          <reference field="4" count="1" selected="0">
            <x v="1"/>
          </reference>
          <reference field="5" count="1" selected="0">
            <x v="149"/>
          </reference>
          <reference field="6" count="1" selected="0">
            <x v="2"/>
          </reference>
          <reference field="9" count="2">
            <x v="4"/>
            <x v="10"/>
          </reference>
        </references>
      </pivotArea>
    </format>
    <format dxfId="10916">
      <pivotArea dataOnly="0" labelOnly="1" outline="0" fieldPosition="0">
        <references count="5">
          <reference field="3" count="1" selected="0">
            <x v="4"/>
          </reference>
          <reference field="4" count="1" selected="0">
            <x v="1"/>
          </reference>
          <reference field="5" count="1" selected="0">
            <x v="152"/>
          </reference>
          <reference field="6" count="1" selected="0">
            <x v="2"/>
          </reference>
          <reference field="9" count="2">
            <x v="1"/>
            <x v="2"/>
          </reference>
        </references>
      </pivotArea>
    </format>
    <format dxfId="10915">
      <pivotArea dataOnly="0" labelOnly="1" outline="0" fieldPosition="0">
        <references count="5">
          <reference field="3" count="1" selected="0">
            <x v="4"/>
          </reference>
          <reference field="4" count="1" selected="0">
            <x v="1"/>
          </reference>
          <reference field="5" count="1" selected="0">
            <x v="269"/>
          </reference>
          <reference field="6" count="1" selected="0">
            <x v="2"/>
          </reference>
          <reference field="9" count="1">
            <x v="10"/>
          </reference>
        </references>
      </pivotArea>
    </format>
    <format dxfId="10914">
      <pivotArea dataOnly="0" labelOnly="1" outline="0" fieldPosition="0">
        <references count="5">
          <reference field="3" count="1" selected="0">
            <x v="4"/>
          </reference>
          <reference field="4" count="1" selected="0">
            <x v="1"/>
          </reference>
          <reference field="5" count="1" selected="0">
            <x v="215"/>
          </reference>
          <reference field="6" count="1" selected="0">
            <x v="2"/>
          </reference>
          <reference field="9" count="2">
            <x v="3"/>
            <x v="4"/>
          </reference>
        </references>
      </pivotArea>
    </format>
    <format dxfId="10913">
      <pivotArea dataOnly="0" labelOnly="1" outline="0" fieldPosition="0">
        <references count="5">
          <reference field="3" count="1" selected="0">
            <x v="4"/>
          </reference>
          <reference field="4" count="1" selected="0">
            <x v="1"/>
          </reference>
          <reference field="5" count="1" selected="0">
            <x v="216"/>
          </reference>
          <reference field="6" count="1" selected="0">
            <x v="2"/>
          </reference>
          <reference field="9" count="2">
            <x v="3"/>
            <x v="4"/>
          </reference>
        </references>
      </pivotArea>
    </format>
    <format dxfId="10912">
      <pivotArea dataOnly="0" labelOnly="1" outline="0" fieldPosition="0">
        <references count="5">
          <reference field="3" count="1" selected="0">
            <x v="4"/>
          </reference>
          <reference field="4" count="1" selected="0">
            <x v="1"/>
          </reference>
          <reference field="5" count="1" selected="0">
            <x v="44"/>
          </reference>
          <reference field="6" count="1" selected="0">
            <x v="2"/>
          </reference>
          <reference field="9" count="1">
            <x v="4"/>
          </reference>
        </references>
      </pivotArea>
    </format>
    <format dxfId="10911">
      <pivotArea dataOnly="0" labelOnly="1" outline="0" fieldPosition="0">
        <references count="5">
          <reference field="3" count="1" selected="0">
            <x v="4"/>
          </reference>
          <reference field="4" count="1" selected="0">
            <x v="1"/>
          </reference>
          <reference field="5" count="1" selected="0">
            <x v="3"/>
          </reference>
          <reference field="6" count="1" selected="0">
            <x v="2"/>
          </reference>
          <reference field="9" count="1">
            <x v="10"/>
          </reference>
        </references>
      </pivotArea>
    </format>
    <format dxfId="10910">
      <pivotArea dataOnly="0" labelOnly="1" outline="0" fieldPosition="0">
        <references count="5">
          <reference field="3" count="1" selected="0">
            <x v="4"/>
          </reference>
          <reference field="4" count="1" selected="0">
            <x v="1"/>
          </reference>
          <reference field="5" count="1" selected="0">
            <x v="217"/>
          </reference>
          <reference field="6" count="1" selected="0">
            <x v="2"/>
          </reference>
          <reference field="9" count="2">
            <x v="3"/>
            <x v="4"/>
          </reference>
        </references>
      </pivotArea>
    </format>
    <format dxfId="10909">
      <pivotArea dataOnly="0" labelOnly="1" outline="0" fieldPosition="0">
        <references count="5">
          <reference field="3" count="1" selected="0">
            <x v="4"/>
          </reference>
          <reference field="4" count="1" selected="0">
            <x v="1"/>
          </reference>
          <reference field="5" count="1" selected="0">
            <x v="319"/>
          </reference>
          <reference field="6" count="1" selected="0">
            <x v="2"/>
          </reference>
          <reference field="9" count="1">
            <x v="10"/>
          </reference>
        </references>
      </pivotArea>
    </format>
    <format dxfId="10908">
      <pivotArea dataOnly="0" labelOnly="1" outline="0" fieldPosition="0">
        <references count="5">
          <reference field="3" count="1" selected="0">
            <x v="4"/>
          </reference>
          <reference field="4" count="1" selected="0">
            <x v="1"/>
          </reference>
          <reference field="5" count="1" selected="0">
            <x v="41"/>
          </reference>
          <reference field="6" count="1" selected="0">
            <x v="2"/>
          </reference>
          <reference field="9" count="1">
            <x v="2"/>
          </reference>
        </references>
      </pivotArea>
    </format>
    <format dxfId="10907">
      <pivotArea dataOnly="0" labelOnly="1" outline="0" fieldPosition="0">
        <references count="5">
          <reference field="3" count="1" selected="0">
            <x v="4"/>
          </reference>
          <reference field="4" count="1" selected="0">
            <x v="1"/>
          </reference>
          <reference field="5" count="1" selected="0">
            <x v="321"/>
          </reference>
          <reference field="6" count="1" selected="0">
            <x v="2"/>
          </reference>
          <reference field="9" count="1">
            <x v="10"/>
          </reference>
        </references>
      </pivotArea>
    </format>
    <format dxfId="10906">
      <pivotArea dataOnly="0" labelOnly="1" outline="0" fieldPosition="0">
        <references count="5">
          <reference field="3" count="1" selected="0">
            <x v="4"/>
          </reference>
          <reference field="4" count="1" selected="0">
            <x v="1"/>
          </reference>
          <reference field="5" count="1" selected="0">
            <x v="322"/>
          </reference>
          <reference field="6" count="1" selected="0">
            <x v="1"/>
          </reference>
          <reference field="9" count="1">
            <x v="10"/>
          </reference>
        </references>
      </pivotArea>
    </format>
    <format dxfId="10905">
      <pivotArea dataOnly="0" labelOnly="1" outline="0" fieldPosition="0">
        <references count="5">
          <reference field="3" count="1" selected="0">
            <x v="4"/>
          </reference>
          <reference field="4" count="1" selected="0">
            <x v="1"/>
          </reference>
          <reference field="5" count="1" selected="0">
            <x v="322"/>
          </reference>
          <reference field="6" count="1" selected="0">
            <x v="2"/>
          </reference>
          <reference field="9" count="1">
            <x v="10"/>
          </reference>
        </references>
      </pivotArea>
    </format>
    <format dxfId="10904">
      <pivotArea dataOnly="0" labelOnly="1" outline="0" fieldPosition="0">
        <references count="5">
          <reference field="3" count="1" selected="0">
            <x v="6"/>
          </reference>
          <reference field="4" count="1" selected="0">
            <x v="1"/>
          </reference>
          <reference field="5" count="1" selected="0">
            <x v="52"/>
          </reference>
          <reference field="6" count="1" selected="0">
            <x v="2"/>
          </reference>
          <reference field="9" count="3">
            <x v="4"/>
            <x v="5"/>
            <x v="10"/>
          </reference>
        </references>
      </pivotArea>
    </format>
    <format dxfId="10903">
      <pivotArea dataOnly="0" labelOnly="1" outline="0" fieldPosition="0">
        <references count="5">
          <reference field="3" count="1" selected="0">
            <x v="6"/>
          </reference>
          <reference field="4" count="1" selected="0">
            <x v="0"/>
          </reference>
          <reference field="5" count="1" selected="0">
            <x v="56"/>
          </reference>
          <reference field="6" count="1" selected="0">
            <x v="2"/>
          </reference>
          <reference field="9" count="1">
            <x v="2"/>
          </reference>
        </references>
      </pivotArea>
    </format>
    <format dxfId="10902">
      <pivotArea dataOnly="0" labelOnly="1" outline="0" fieldPosition="0">
        <references count="5">
          <reference field="3" count="1" selected="0">
            <x v="6"/>
          </reference>
          <reference field="4" count="1" selected="0">
            <x v="1"/>
          </reference>
          <reference field="5" count="1" selected="0">
            <x v="66"/>
          </reference>
          <reference field="6" count="1" selected="0">
            <x v="2"/>
          </reference>
          <reference field="9" count="2">
            <x v="4"/>
            <x v="5"/>
          </reference>
        </references>
      </pivotArea>
    </format>
    <format dxfId="10901">
      <pivotArea dataOnly="0" labelOnly="1" outline="0" fieldPosition="0">
        <references count="5">
          <reference field="3" count="1" selected="0">
            <x v="6"/>
          </reference>
          <reference field="4" count="1" selected="0">
            <x v="1"/>
          </reference>
          <reference field="5" count="1" selected="0">
            <x v="94"/>
          </reference>
          <reference field="6" count="1" selected="0">
            <x v="2"/>
          </reference>
          <reference field="9" count="2">
            <x v="4"/>
            <x v="5"/>
          </reference>
        </references>
      </pivotArea>
    </format>
    <format dxfId="10900">
      <pivotArea dataOnly="0" labelOnly="1" outline="0" fieldPosition="0">
        <references count="5">
          <reference field="3" count="1" selected="0">
            <x v="6"/>
          </reference>
          <reference field="4" count="1" selected="0">
            <x v="1"/>
          </reference>
          <reference field="5" count="1" selected="0">
            <x v="125"/>
          </reference>
          <reference field="6" count="1" selected="0">
            <x v="9"/>
          </reference>
          <reference field="9" count="1">
            <x v="10"/>
          </reference>
        </references>
      </pivotArea>
    </format>
    <format dxfId="10899">
      <pivotArea dataOnly="0" labelOnly="1" outline="0" fieldPosition="0">
        <references count="5">
          <reference field="3" count="1" selected="0">
            <x v="6"/>
          </reference>
          <reference field="4" count="1" selected="0">
            <x v="2"/>
          </reference>
          <reference field="5" count="1" selected="0">
            <x v="189"/>
          </reference>
          <reference field="6" count="1" selected="0">
            <x v="9"/>
          </reference>
          <reference field="9" count="1">
            <x v="10"/>
          </reference>
        </references>
      </pivotArea>
    </format>
    <format dxfId="10898">
      <pivotArea dataOnly="0" labelOnly="1" outline="0" fieldPosition="0">
        <references count="5">
          <reference field="3" count="1" selected="0">
            <x v="8"/>
          </reference>
          <reference field="4" count="1" selected="0">
            <x v="0"/>
          </reference>
          <reference field="5" count="1" selected="0">
            <x v="40"/>
          </reference>
          <reference field="6" count="1" selected="0">
            <x v="9"/>
          </reference>
          <reference field="9" count="2">
            <x v="9"/>
            <x v="10"/>
          </reference>
        </references>
      </pivotArea>
    </format>
    <format dxfId="10897">
      <pivotArea dataOnly="0" labelOnly="1" outline="0" fieldPosition="0">
        <references count="5">
          <reference field="3" count="1" selected="0">
            <x v="8"/>
          </reference>
          <reference field="4" count="1" selected="0">
            <x v="3"/>
          </reference>
          <reference field="5" count="1" selected="0">
            <x v="80"/>
          </reference>
          <reference field="6" count="1" selected="0">
            <x v="3"/>
          </reference>
          <reference field="9" count="1">
            <x v="10"/>
          </reference>
        </references>
      </pivotArea>
    </format>
    <format dxfId="10896">
      <pivotArea dataOnly="0" labelOnly="1" outline="0" fieldPosition="0">
        <references count="5">
          <reference field="3" count="1" selected="0">
            <x v="8"/>
          </reference>
          <reference field="4" count="1" selected="0">
            <x v="0"/>
          </reference>
          <reference field="5" count="1" selected="0">
            <x v="134"/>
          </reference>
          <reference field="6" count="1" selected="0">
            <x v="3"/>
          </reference>
          <reference field="9" count="1">
            <x v="10"/>
          </reference>
        </references>
      </pivotArea>
    </format>
    <format dxfId="10895">
      <pivotArea dataOnly="0" labelOnly="1" outline="0" fieldPosition="0">
        <references count="5">
          <reference field="3" count="1" selected="0">
            <x v="8"/>
          </reference>
          <reference field="4" count="1" selected="0">
            <x v="0"/>
          </reference>
          <reference field="5" count="1" selected="0">
            <x v="162"/>
          </reference>
          <reference field="6" count="1" selected="0">
            <x v="3"/>
          </reference>
          <reference field="9" count="1">
            <x v="10"/>
          </reference>
        </references>
      </pivotArea>
    </format>
    <format dxfId="10894">
      <pivotArea dataOnly="0" labelOnly="1" outline="0" fieldPosition="0">
        <references count="5">
          <reference field="3" count="1" selected="0">
            <x v="8"/>
          </reference>
          <reference field="4" count="1" selected="0">
            <x v="3"/>
          </reference>
          <reference field="5" count="1" selected="0">
            <x v="212"/>
          </reference>
          <reference field="6" count="1" selected="0">
            <x v="3"/>
          </reference>
          <reference field="9" count="1">
            <x v="10"/>
          </reference>
        </references>
      </pivotArea>
    </format>
    <format dxfId="10893">
      <pivotArea dataOnly="0" labelOnly="1" outline="0" fieldPosition="0">
        <references count="5">
          <reference field="3" count="1" selected="0">
            <x v="9"/>
          </reference>
          <reference field="4" count="1" selected="0">
            <x v="0"/>
          </reference>
          <reference field="5" count="1" selected="0">
            <x v="90"/>
          </reference>
          <reference field="6" count="1" selected="0">
            <x v="0"/>
          </reference>
          <reference field="9" count="1">
            <x v="0"/>
          </reference>
        </references>
      </pivotArea>
    </format>
    <format dxfId="10892">
      <pivotArea dataOnly="0" labelOnly="1" outline="0" fieldPosition="0">
        <references count="5">
          <reference field="3" count="1" selected="0">
            <x v="9"/>
          </reference>
          <reference field="4" count="1" selected="0">
            <x v="3"/>
          </reference>
          <reference field="5" count="1" selected="0">
            <x v="213"/>
          </reference>
          <reference field="6" count="1" selected="0">
            <x v="5"/>
          </reference>
          <reference field="9" count="2">
            <x v="7"/>
            <x v="10"/>
          </reference>
        </references>
      </pivotArea>
    </format>
    <format dxfId="10891">
      <pivotArea dataOnly="0" labelOnly="1" outline="0" fieldPosition="0">
        <references count="5">
          <reference field="3" count="1" selected="0">
            <x v="9"/>
          </reference>
          <reference field="4" count="1" selected="0">
            <x v="3"/>
          </reference>
          <reference field="5" count="1" selected="0">
            <x v="1"/>
          </reference>
          <reference field="6" count="1" selected="0">
            <x v="5"/>
          </reference>
          <reference field="9" count="1">
            <x v="4"/>
          </reference>
        </references>
      </pivotArea>
    </format>
    <format dxfId="10890">
      <pivotArea dataOnly="0" labelOnly="1" outline="0" fieldPosition="0">
        <references count="5">
          <reference field="3" count="1" selected="0">
            <x v="9"/>
          </reference>
          <reference field="4" count="1" selected="0">
            <x v="3"/>
          </reference>
          <reference field="5" count="1" selected="0">
            <x v="92"/>
          </reference>
          <reference field="6" count="1" selected="0">
            <x v="0"/>
          </reference>
          <reference field="9" count="2">
            <x v="7"/>
            <x v="10"/>
          </reference>
        </references>
      </pivotArea>
    </format>
    <format dxfId="10889">
      <pivotArea dataOnly="0" labelOnly="1" outline="0" fieldPosition="0">
        <references count="5">
          <reference field="3" count="1" selected="0">
            <x v="10"/>
          </reference>
          <reference field="4" count="1" selected="0">
            <x v="4"/>
          </reference>
          <reference field="5" count="1" selected="0">
            <x v="50"/>
          </reference>
          <reference field="6" count="1" selected="0">
            <x v="5"/>
          </reference>
          <reference field="9" count="1">
            <x v="10"/>
          </reference>
        </references>
      </pivotArea>
    </format>
    <format dxfId="10888">
      <pivotArea dataOnly="0" labelOnly="1" outline="0" fieldPosition="0">
        <references count="5">
          <reference field="3" count="1" selected="0">
            <x v="10"/>
          </reference>
          <reference field="4" count="1" selected="0">
            <x v="3"/>
          </reference>
          <reference field="5" count="1" selected="0">
            <x v="69"/>
          </reference>
          <reference field="6" count="1" selected="0">
            <x v="5"/>
          </reference>
          <reference field="9" count="2">
            <x v="4"/>
            <x v="7"/>
          </reference>
        </references>
      </pivotArea>
    </format>
    <format dxfId="10887">
      <pivotArea dataOnly="0" labelOnly="1" outline="0" fieldPosition="0">
        <references count="5">
          <reference field="3" count="1" selected="0">
            <x v="10"/>
          </reference>
          <reference field="4" count="1" selected="0">
            <x v="4"/>
          </reference>
          <reference field="5" count="1" selected="0">
            <x v="163"/>
          </reference>
          <reference field="6" count="1" selected="0">
            <x v="5"/>
          </reference>
          <reference field="9" count="1">
            <x v="7"/>
          </reference>
        </references>
      </pivotArea>
    </format>
    <format dxfId="10886">
      <pivotArea dataOnly="0" labelOnly="1" outline="0" fieldPosition="0">
        <references count="5">
          <reference field="3" count="1" selected="0">
            <x v="10"/>
          </reference>
          <reference field="4" count="1" selected="0">
            <x v="1"/>
          </reference>
          <reference field="5" count="1" selected="0">
            <x v="195"/>
          </reference>
          <reference field="6" count="1" selected="0">
            <x v="2"/>
          </reference>
          <reference field="9" count="1">
            <x v="10"/>
          </reference>
        </references>
      </pivotArea>
    </format>
    <format dxfId="10885">
      <pivotArea dataOnly="0" labelOnly="1" outline="0" fieldPosition="0">
        <references count="5">
          <reference field="3" count="1" selected="0">
            <x v="10"/>
          </reference>
          <reference field="4" count="1" selected="0">
            <x v="1"/>
          </reference>
          <reference field="5" count="1" selected="0">
            <x v="201"/>
          </reference>
          <reference field="6" count="1" selected="0">
            <x v="2"/>
          </reference>
          <reference field="9" count="1">
            <x v="10"/>
          </reference>
        </references>
      </pivotArea>
    </format>
    <format dxfId="10884">
      <pivotArea dataOnly="0" labelOnly="1" outline="0" fieldPosition="0">
        <references count="5">
          <reference field="3" count="1" selected="0">
            <x v="10"/>
          </reference>
          <reference field="4" count="1" selected="0">
            <x v="1"/>
          </reference>
          <reference field="5" count="1" selected="0">
            <x v="208"/>
          </reference>
          <reference field="6" count="1" selected="0">
            <x v="2"/>
          </reference>
          <reference field="9" count="1">
            <x v="10"/>
          </reference>
        </references>
      </pivotArea>
    </format>
    <format dxfId="10883">
      <pivotArea dataOnly="0" labelOnly="1" outline="0" fieldPosition="0">
        <references count="5">
          <reference field="3" count="1" selected="0">
            <x v="10"/>
          </reference>
          <reference field="4" count="1" selected="0">
            <x v="4"/>
          </reference>
          <reference field="5" count="1" selected="0">
            <x v="1"/>
          </reference>
          <reference field="6" count="1" selected="0">
            <x v="5"/>
          </reference>
          <reference field="9" count="1">
            <x v="4"/>
          </reference>
        </references>
      </pivotArea>
    </format>
    <format dxfId="10882">
      <pivotArea field="3" type="button" dataOnly="0" labelOnly="1" outline="0" axis="axisRow" fieldPosition="1"/>
    </format>
    <format dxfId="10881">
      <pivotArea field="5" type="button" dataOnly="0" labelOnly="1" outline="0" axis="axisRow" fieldPosition="2"/>
    </format>
    <format dxfId="10880">
      <pivotArea field="6" type="button" dataOnly="0" labelOnly="1" outline="0" axis="axisRow" fieldPosition="3"/>
    </format>
    <format dxfId="10879">
      <pivotArea field="4" type="button" dataOnly="0" labelOnly="1" outline="0" axis="axisRow" fieldPosition="4"/>
    </format>
    <format dxfId="10878">
      <pivotArea field="9" type="button" dataOnly="0" labelOnly="1" outline="0" axis="axisRow" fieldPosition="5"/>
    </format>
    <format dxfId="10877">
      <pivotArea dataOnly="0" labelOnly="1" outline="0" fieldPosition="0">
        <references count="1">
          <reference field="4" count="0"/>
        </references>
      </pivotArea>
    </format>
    <format dxfId="10876">
      <pivotArea dataOnly="0" labelOnly="1" outline="0" fieldPosition="0">
        <references count="1">
          <reference field="6" count="0"/>
        </references>
      </pivotArea>
    </format>
    <format dxfId="10875">
      <pivotArea dataOnly="0" outline="0" fieldPosition="0">
        <references count="1">
          <reference field="4" count="1">
            <x v="1"/>
          </reference>
        </references>
      </pivotArea>
    </format>
    <format dxfId="10874">
      <pivotArea dataOnly="0" labelOnly="1" outline="0" fieldPosition="0">
        <references count="1">
          <reference field="6" count="0"/>
        </references>
      </pivotArea>
    </format>
    <format dxfId="10873">
      <pivotArea dataOnly="0" labelOnly="1" outline="0" fieldPosition="0">
        <references count="1">
          <reference field="4" count="0"/>
        </references>
      </pivotArea>
    </format>
    <format dxfId="10872">
      <pivotArea dataOnly="0" labelOnly="1" outline="0" fieldPosition="0">
        <references count="1">
          <reference field="3" count="0"/>
        </references>
      </pivotArea>
    </format>
    <format dxfId="10871">
      <pivotArea dataOnly="0" labelOnly="1" outline="0" fieldPosition="0">
        <references count="2">
          <reference field="3" count="1" selected="0">
            <x v="0"/>
          </reference>
          <reference field="5" count="3">
            <x v="75"/>
            <x v="76"/>
            <x v="223"/>
          </reference>
        </references>
      </pivotArea>
    </format>
    <format dxfId="10870">
      <pivotArea dataOnly="0" labelOnly="1" outline="0" fieldPosition="0">
        <references count="2">
          <reference field="3" count="1" selected="0">
            <x v="3"/>
          </reference>
          <reference field="5" count="5">
            <x v="195"/>
            <x v="197"/>
            <x v="200"/>
            <x v="201"/>
            <x v="202"/>
          </reference>
        </references>
      </pivotArea>
    </format>
    <format dxfId="10869">
      <pivotArea dataOnly="0" labelOnly="1" outline="0" fieldPosition="0">
        <references count="2">
          <reference field="3" count="1" selected="0">
            <x v="4"/>
          </reference>
          <reference field="5" count="8">
            <x v="33"/>
            <x v="97"/>
            <x v="152"/>
            <x v="210"/>
            <x v="214"/>
            <x v="219"/>
            <x v="220"/>
            <x v="221"/>
          </reference>
        </references>
      </pivotArea>
    </format>
    <format dxfId="10868">
      <pivotArea dataOnly="0" labelOnly="1" outline="0" fieldPosition="0">
        <references count="2">
          <reference field="3" count="1" selected="0">
            <x v="5"/>
          </reference>
          <reference field="5" count="1">
            <x v="132"/>
          </reference>
        </references>
      </pivotArea>
    </format>
    <format dxfId="10867">
      <pivotArea dataOnly="0" labelOnly="1" outline="0" fieldPosition="0">
        <references count="2">
          <reference field="3" count="1" selected="0">
            <x v="6"/>
          </reference>
          <reference field="5" count="23">
            <x v="6"/>
            <x v="7"/>
            <x v="16"/>
            <x v="20"/>
            <x v="21"/>
            <x v="34"/>
            <x v="93"/>
            <x v="95"/>
            <x v="113"/>
            <x v="119"/>
            <x v="122"/>
            <x v="124"/>
            <x v="138"/>
            <x v="146"/>
            <x v="147"/>
            <x v="164"/>
            <x v="165"/>
            <x v="168"/>
            <x v="171"/>
            <x v="172"/>
            <x v="176"/>
            <x v="177"/>
            <x v="191"/>
          </reference>
        </references>
      </pivotArea>
    </format>
    <format dxfId="10866">
      <pivotArea dataOnly="0" labelOnly="1" outline="0" fieldPosition="0">
        <references count="2">
          <reference field="3" count="1" selected="0">
            <x v="8"/>
          </reference>
          <reference field="5" count="11">
            <x v="26"/>
            <x v="35"/>
            <x v="39"/>
            <x v="40"/>
            <x v="42"/>
            <x v="58"/>
            <x v="67"/>
            <x v="74"/>
            <x v="115"/>
            <x v="137"/>
            <x v="140"/>
          </reference>
        </references>
      </pivotArea>
    </format>
    <format dxfId="10865">
      <pivotArea dataOnly="0" labelOnly="1" outline="0" fieldPosition="0">
        <references count="2">
          <reference field="3" count="1" selected="0">
            <x v="9"/>
          </reference>
          <reference field="5" count="2">
            <x v="141"/>
            <x v="211"/>
          </reference>
        </references>
      </pivotArea>
    </format>
    <format dxfId="10864">
      <pivotArea dataOnly="0" labelOnly="1" outline="0" fieldPosition="0">
        <references count="2">
          <reference field="3" count="1" selected="0">
            <x v="10"/>
          </reference>
          <reference field="5" count="4">
            <x v="46"/>
            <x v="50"/>
            <x v="55"/>
            <x v="60"/>
          </reference>
        </references>
      </pivotArea>
    </format>
    <format dxfId="10863">
      <pivotArea dataOnly="0" labelOnly="1" outline="0" fieldPosition="0">
        <references count="3">
          <reference field="3" count="1" selected="0">
            <x v="0"/>
          </reference>
          <reference field="5" count="1" selected="0">
            <x v="76"/>
          </reference>
          <reference field="6" count="1">
            <x v="7"/>
          </reference>
        </references>
      </pivotArea>
    </format>
    <format dxfId="10862">
      <pivotArea dataOnly="0" labelOnly="1" outline="0" fieldPosition="0">
        <references count="3">
          <reference field="3" count="1" selected="0">
            <x v="3"/>
          </reference>
          <reference field="5" count="1" selected="0">
            <x v="195"/>
          </reference>
          <reference field="6" count="1">
            <x v="2"/>
          </reference>
        </references>
      </pivotArea>
    </format>
    <format dxfId="10861">
      <pivotArea dataOnly="0" labelOnly="1" outline="0" fieldPosition="0">
        <references count="3">
          <reference field="3" count="1" selected="0">
            <x v="5"/>
          </reference>
          <reference field="5" count="1" selected="0">
            <x v="132"/>
          </reference>
          <reference field="6" count="1">
            <x v="3"/>
          </reference>
        </references>
      </pivotArea>
    </format>
    <format dxfId="10860">
      <pivotArea dataOnly="0" labelOnly="1" outline="0" fieldPosition="0">
        <references count="3">
          <reference field="3" count="1" selected="0">
            <x v="6"/>
          </reference>
          <reference field="5" count="1" selected="0">
            <x v="6"/>
          </reference>
          <reference field="6" count="1">
            <x v="2"/>
          </reference>
        </references>
      </pivotArea>
    </format>
    <format dxfId="10859">
      <pivotArea dataOnly="0" labelOnly="1" outline="0" fieldPosition="0">
        <references count="3">
          <reference field="3" count="1" selected="0">
            <x v="6"/>
          </reference>
          <reference field="5" count="1" selected="0">
            <x v="34"/>
          </reference>
          <reference field="6" count="1">
            <x v="9"/>
          </reference>
        </references>
      </pivotArea>
    </format>
    <format dxfId="10858">
      <pivotArea dataOnly="0" labelOnly="1" outline="0" fieldPosition="0">
        <references count="3">
          <reference field="3" count="1" selected="0">
            <x v="6"/>
          </reference>
          <reference field="5" count="1" selected="0">
            <x v="21"/>
          </reference>
          <reference field="6" count="1">
            <x v="2"/>
          </reference>
        </references>
      </pivotArea>
    </format>
    <format dxfId="10857">
      <pivotArea dataOnly="0" labelOnly="1" outline="0" fieldPosition="0">
        <references count="3">
          <reference field="3" count="1" selected="0">
            <x v="6"/>
          </reference>
          <reference field="5" count="1" selected="0">
            <x v="165"/>
          </reference>
          <reference field="6" count="1">
            <x v="9"/>
          </reference>
        </references>
      </pivotArea>
    </format>
    <format dxfId="10856">
      <pivotArea dataOnly="0" labelOnly="1" outline="0" fieldPosition="0">
        <references count="3">
          <reference field="3" count="1" selected="0">
            <x v="8"/>
          </reference>
          <reference field="5" count="1" selected="0">
            <x v="26"/>
          </reference>
          <reference field="6" count="1">
            <x v="3"/>
          </reference>
        </references>
      </pivotArea>
    </format>
    <format dxfId="10855">
      <pivotArea dataOnly="0" labelOnly="1" outline="0" fieldPosition="0">
        <references count="3">
          <reference field="3" count="1" selected="0">
            <x v="8"/>
          </reference>
          <reference field="5" count="1" selected="0">
            <x v="35"/>
          </reference>
          <reference field="6" count="1">
            <x v="9"/>
          </reference>
        </references>
      </pivotArea>
    </format>
    <format dxfId="10854">
      <pivotArea dataOnly="0" labelOnly="1" outline="0" fieldPosition="0">
        <references count="3">
          <reference field="3" count="1" selected="0">
            <x v="8"/>
          </reference>
          <reference field="5" count="1" selected="0">
            <x v="115"/>
          </reference>
          <reference field="6" count="1">
            <x v="3"/>
          </reference>
        </references>
      </pivotArea>
    </format>
    <format dxfId="10853">
      <pivotArea dataOnly="0" labelOnly="1" outline="0" fieldPosition="0">
        <references count="3">
          <reference field="3" count="1" selected="0">
            <x v="8"/>
          </reference>
          <reference field="5" count="1" selected="0">
            <x v="42"/>
          </reference>
          <reference field="6" count="1">
            <x v="9"/>
          </reference>
        </references>
      </pivotArea>
    </format>
    <format dxfId="10852">
      <pivotArea dataOnly="0" labelOnly="1" outline="0" fieldPosition="0">
        <references count="3">
          <reference field="3" count="1" selected="0">
            <x v="9"/>
          </reference>
          <reference field="5" count="1" selected="0">
            <x v="141"/>
          </reference>
          <reference field="6" count="1">
            <x v="5"/>
          </reference>
        </references>
      </pivotArea>
    </format>
    <format dxfId="10851">
      <pivotArea dataOnly="0" labelOnly="1" outline="0" fieldPosition="0">
        <references count="4">
          <reference field="3" count="1" selected="0">
            <x v="0"/>
          </reference>
          <reference field="4" count="1">
            <x v="1"/>
          </reference>
          <reference field="5" count="1" selected="0">
            <x v="76"/>
          </reference>
          <reference field="6" count="1" selected="0">
            <x v="7"/>
          </reference>
        </references>
      </pivotArea>
    </format>
    <format dxfId="10850">
      <pivotArea dataOnly="0" labelOnly="1" outline="0" fieldPosition="0">
        <references count="4">
          <reference field="3" count="1" selected="0">
            <x v="5"/>
          </reference>
          <reference field="4" count="1">
            <x v="3"/>
          </reference>
          <reference field="5" count="1" selected="0">
            <x v="132"/>
          </reference>
          <reference field="6" count="1" selected="0">
            <x v="3"/>
          </reference>
        </references>
      </pivotArea>
    </format>
    <format dxfId="10849">
      <pivotArea dataOnly="0" labelOnly="1" outline="0" fieldPosition="0">
        <references count="4">
          <reference field="3" count="1" selected="0">
            <x v="6"/>
          </reference>
          <reference field="4" count="1">
            <x v="1"/>
          </reference>
          <reference field="5" count="1" selected="0">
            <x v="6"/>
          </reference>
          <reference field="6" count="1" selected="0">
            <x v="2"/>
          </reference>
        </references>
      </pivotArea>
    </format>
    <format dxfId="10848">
      <pivotArea dataOnly="0" labelOnly="1" outline="0" fieldPosition="0">
        <references count="4">
          <reference field="3" count="1" selected="0">
            <x v="6"/>
          </reference>
          <reference field="4" count="1">
            <x v="0"/>
          </reference>
          <reference field="5" count="1" selected="0">
            <x v="34"/>
          </reference>
          <reference field="6" count="1" selected="0">
            <x v="9"/>
          </reference>
        </references>
      </pivotArea>
    </format>
    <format dxfId="10847">
      <pivotArea dataOnly="0" labelOnly="1" outline="0" fieldPosition="0">
        <references count="4">
          <reference field="3" count="1" selected="0">
            <x v="6"/>
          </reference>
          <reference field="4" count="1">
            <x v="1"/>
          </reference>
          <reference field="5" count="1" selected="0">
            <x v="21"/>
          </reference>
          <reference field="6" count="1" selected="0">
            <x v="2"/>
          </reference>
        </references>
      </pivotArea>
    </format>
    <format dxfId="10846">
      <pivotArea dataOnly="0" labelOnly="1" outline="0" fieldPosition="0">
        <references count="4">
          <reference field="3" count="1" selected="0">
            <x v="6"/>
          </reference>
          <reference field="4" count="1">
            <x v="0"/>
          </reference>
          <reference field="5" count="1" selected="0">
            <x v="165"/>
          </reference>
          <reference field="6" count="1" selected="0">
            <x v="9"/>
          </reference>
        </references>
      </pivotArea>
    </format>
    <format dxfId="10845">
      <pivotArea dataOnly="0" labelOnly="1" outline="0" fieldPosition="0">
        <references count="4">
          <reference field="3" count="1" selected="0">
            <x v="8"/>
          </reference>
          <reference field="4" count="1">
            <x v="3"/>
          </reference>
          <reference field="5" count="1" selected="0">
            <x v="26"/>
          </reference>
          <reference field="6" count="1" selected="0">
            <x v="3"/>
          </reference>
        </references>
      </pivotArea>
    </format>
    <format dxfId="10844">
      <pivotArea dataOnly="0" labelOnly="1" outline="0" fieldPosition="0">
        <references count="4">
          <reference field="3" count="1" selected="0">
            <x v="8"/>
          </reference>
          <reference field="4" count="1">
            <x v="0"/>
          </reference>
          <reference field="5" count="1" selected="0">
            <x v="35"/>
          </reference>
          <reference field="6" count="1" selected="0">
            <x v="9"/>
          </reference>
        </references>
      </pivotArea>
    </format>
    <format dxfId="10843">
      <pivotArea dataOnly="0" labelOnly="1" outline="0" fieldPosition="0">
        <references count="4">
          <reference field="3" count="1" selected="0">
            <x v="8"/>
          </reference>
          <reference field="4" count="1">
            <x v="3"/>
          </reference>
          <reference field="5" count="1" selected="0">
            <x v="115"/>
          </reference>
          <reference field="6" count="1" selected="0">
            <x v="3"/>
          </reference>
        </references>
      </pivotArea>
    </format>
    <format dxfId="10842">
      <pivotArea dataOnly="0" labelOnly="1" outline="0" fieldPosition="0">
        <references count="4">
          <reference field="3" count="1" selected="0">
            <x v="8"/>
          </reference>
          <reference field="4" count="1">
            <x v="0"/>
          </reference>
          <reference field="5" count="1" selected="0">
            <x v="42"/>
          </reference>
          <reference field="6" count="1" selected="0">
            <x v="9"/>
          </reference>
        </references>
      </pivotArea>
    </format>
    <format dxfId="10841">
      <pivotArea dataOnly="0" labelOnly="1" outline="0" fieldPosition="0">
        <references count="4">
          <reference field="3" count="1" selected="0">
            <x v="9"/>
          </reference>
          <reference field="4" count="1">
            <x v="4"/>
          </reference>
          <reference field="5" count="1" selected="0">
            <x v="141"/>
          </reference>
          <reference field="6" count="1" selected="0">
            <x v="5"/>
          </reference>
        </references>
      </pivotArea>
    </format>
    <format dxfId="10840">
      <pivotArea dataOnly="0" labelOnly="1" outline="0" fieldPosition="0">
        <references count="4">
          <reference field="3" count="1" selected="0">
            <x v="9"/>
          </reference>
          <reference field="4" count="1">
            <x v="3"/>
          </reference>
          <reference field="5" count="1" selected="0">
            <x v="211"/>
          </reference>
          <reference field="6" count="1" selected="0">
            <x v="5"/>
          </reference>
        </references>
      </pivotArea>
    </format>
    <format dxfId="10839">
      <pivotArea dataOnly="0" labelOnly="1" outline="0" fieldPosition="0">
        <references count="4">
          <reference field="3" count="1" selected="0">
            <x v="10"/>
          </reference>
          <reference field="4" count="1">
            <x v="4"/>
          </reference>
          <reference field="5" count="1" selected="0">
            <x v="46"/>
          </reference>
          <reference field="6" count="1" selected="0">
            <x v="5"/>
          </reference>
        </references>
      </pivotArea>
    </format>
    <format dxfId="10838">
      <pivotArea dataOnly="0" labelOnly="1" outline="0" fieldPosition="0">
        <references count="4">
          <reference field="3" count="1" selected="0">
            <x v="10"/>
          </reference>
          <reference field="4" count="1">
            <x v="3"/>
          </reference>
          <reference field="5" count="1" selected="0">
            <x v="50"/>
          </reference>
          <reference field="6" count="1" selected="0">
            <x v="5"/>
          </reference>
        </references>
      </pivotArea>
    </format>
    <format dxfId="10837">
      <pivotArea dataOnly="0" labelOnly="1" outline="0" fieldPosition="0">
        <references count="4">
          <reference field="3" count="1" selected="0">
            <x v="10"/>
          </reference>
          <reference field="4" count="1">
            <x v="4"/>
          </reference>
          <reference field="5" count="1" selected="0">
            <x v="55"/>
          </reference>
          <reference field="6" count="1" selected="0">
            <x v="5"/>
          </reference>
        </references>
      </pivotArea>
    </format>
    <format dxfId="10836">
      <pivotArea dataOnly="0" labelOnly="1" outline="0" fieldPosition="0">
        <references count="5">
          <reference field="3" count="1" selected="0">
            <x v="0"/>
          </reference>
          <reference field="4" count="1" selected="0">
            <x v="1"/>
          </reference>
          <reference field="5" count="1" selected="0">
            <x v="76"/>
          </reference>
          <reference field="6" count="1" selected="0">
            <x v="7"/>
          </reference>
          <reference field="9" count="1">
            <x v="10"/>
          </reference>
        </references>
      </pivotArea>
    </format>
    <format dxfId="10835">
      <pivotArea dataOnly="0" labelOnly="1" outline="0" fieldPosition="0">
        <references count="5">
          <reference field="3" count="1" selected="0">
            <x v="0"/>
          </reference>
          <reference field="4" count="1" selected="0">
            <x v="1"/>
          </reference>
          <reference field="5" count="1" selected="0">
            <x v="223"/>
          </reference>
          <reference field="6" count="1" selected="0">
            <x v="7"/>
          </reference>
          <reference field="9" count="1">
            <x v="10"/>
          </reference>
        </references>
      </pivotArea>
    </format>
    <format dxfId="10834">
      <pivotArea dataOnly="0" labelOnly="1" outline="0" fieldPosition="0">
        <references count="5">
          <reference field="3" count="1" selected="0">
            <x v="0"/>
          </reference>
          <reference field="4" count="1" selected="0">
            <x v="1"/>
          </reference>
          <reference field="5" count="1" selected="0">
            <x v="75"/>
          </reference>
          <reference field="6" count="1" selected="0">
            <x v="7"/>
          </reference>
          <reference field="9" count="1">
            <x v="10"/>
          </reference>
        </references>
      </pivotArea>
    </format>
    <format dxfId="10833">
      <pivotArea dataOnly="0" labelOnly="1" outline="0" fieldPosition="0">
        <references count="5">
          <reference field="3" count="1" selected="0">
            <x v="3"/>
          </reference>
          <reference field="4" count="1" selected="0">
            <x v="1"/>
          </reference>
          <reference field="5" count="1" selected="0">
            <x v="195"/>
          </reference>
          <reference field="6" count="1" selected="0">
            <x v="2"/>
          </reference>
          <reference field="9" count="1">
            <x v="10"/>
          </reference>
        </references>
      </pivotArea>
    </format>
    <format dxfId="10832">
      <pivotArea dataOnly="0" labelOnly="1" outline="0" fieldPosition="0">
        <references count="5">
          <reference field="3" count="1" selected="0">
            <x v="3"/>
          </reference>
          <reference field="4" count="1" selected="0">
            <x v="1"/>
          </reference>
          <reference field="5" count="1" selected="0">
            <x v="197"/>
          </reference>
          <reference field="6" count="1" selected="0">
            <x v="2"/>
          </reference>
          <reference field="9" count="1">
            <x v="10"/>
          </reference>
        </references>
      </pivotArea>
    </format>
    <format dxfId="10831">
      <pivotArea dataOnly="0" labelOnly="1" outline="0" fieldPosition="0">
        <references count="5">
          <reference field="3" count="1" selected="0">
            <x v="3"/>
          </reference>
          <reference field="4" count="1" selected="0">
            <x v="1"/>
          </reference>
          <reference field="5" count="1" selected="0">
            <x v="201"/>
          </reference>
          <reference field="6" count="1" selected="0">
            <x v="2"/>
          </reference>
          <reference field="9" count="1">
            <x v="10"/>
          </reference>
        </references>
      </pivotArea>
    </format>
    <format dxfId="10830">
      <pivotArea dataOnly="0" labelOnly="1" outline="0" fieldPosition="0">
        <references count="5">
          <reference field="3" count="1" selected="0">
            <x v="3"/>
          </reference>
          <reference field="4" count="1" selected="0">
            <x v="1"/>
          </reference>
          <reference field="5" count="1" selected="0">
            <x v="202"/>
          </reference>
          <reference field="6" count="1" selected="0">
            <x v="2"/>
          </reference>
          <reference field="9" count="1">
            <x v="10"/>
          </reference>
        </references>
      </pivotArea>
    </format>
    <format dxfId="10829">
      <pivotArea dataOnly="0" labelOnly="1" outline="0" fieldPosition="0">
        <references count="5">
          <reference field="3" count="1" selected="0">
            <x v="3"/>
          </reference>
          <reference field="4" count="1" selected="0">
            <x v="1"/>
          </reference>
          <reference field="5" count="1" selected="0">
            <x v="200"/>
          </reference>
          <reference field="6" count="1" selected="0">
            <x v="2"/>
          </reference>
          <reference field="9" count="1">
            <x v="10"/>
          </reference>
        </references>
      </pivotArea>
    </format>
    <format dxfId="10828">
      <pivotArea dataOnly="0" labelOnly="1" outline="0" fieldPosition="0">
        <references count="5">
          <reference field="3" count="1" selected="0">
            <x v="4"/>
          </reference>
          <reference field="4" count="1" selected="0">
            <x v="1"/>
          </reference>
          <reference field="5" count="1" selected="0">
            <x v="97"/>
          </reference>
          <reference field="6" count="1" selected="0">
            <x v="2"/>
          </reference>
          <reference field="9" count="1">
            <x v="10"/>
          </reference>
        </references>
      </pivotArea>
    </format>
    <format dxfId="10827">
      <pivotArea dataOnly="0" labelOnly="1" outline="0" fieldPosition="0">
        <references count="5">
          <reference field="3" count="1" selected="0">
            <x v="4"/>
          </reference>
          <reference field="4" count="1" selected="0">
            <x v="1"/>
          </reference>
          <reference field="5" count="1" selected="0">
            <x v="152"/>
          </reference>
          <reference field="6" count="1" selected="0">
            <x v="2"/>
          </reference>
          <reference field="9" count="1">
            <x v="2"/>
          </reference>
        </references>
      </pivotArea>
    </format>
    <format dxfId="10826">
      <pivotArea dataOnly="0" labelOnly="1" outline="0" fieldPosition="0">
        <references count="5">
          <reference field="3" count="1" selected="0">
            <x v="4"/>
          </reference>
          <reference field="4" count="1" selected="0">
            <x v="1"/>
          </reference>
          <reference field="5" count="1" selected="0">
            <x v="33"/>
          </reference>
          <reference field="6" count="1" selected="0">
            <x v="2"/>
          </reference>
          <reference field="9" count="1">
            <x v="10"/>
          </reference>
        </references>
      </pivotArea>
    </format>
    <format dxfId="10825">
      <pivotArea dataOnly="0" labelOnly="1" outline="0" fieldPosition="0">
        <references count="5">
          <reference field="3" count="1" selected="0">
            <x v="4"/>
          </reference>
          <reference field="4" count="1" selected="0">
            <x v="1"/>
          </reference>
          <reference field="5" count="1" selected="0">
            <x v="214"/>
          </reference>
          <reference field="6" count="1" selected="0">
            <x v="2"/>
          </reference>
          <reference field="9" count="1">
            <x v="10"/>
          </reference>
        </references>
      </pivotArea>
    </format>
    <format dxfId="10824">
      <pivotArea dataOnly="0" labelOnly="1" outline="0" fieldPosition="0">
        <references count="5">
          <reference field="3" count="1" selected="0">
            <x v="4"/>
          </reference>
          <reference field="4" count="1" selected="0">
            <x v="1"/>
          </reference>
          <reference field="5" count="1" selected="0">
            <x v="210"/>
          </reference>
          <reference field="6" count="1" selected="0">
            <x v="2"/>
          </reference>
          <reference field="9" count="1">
            <x v="10"/>
          </reference>
        </references>
      </pivotArea>
    </format>
    <format dxfId="10823">
      <pivotArea dataOnly="0" labelOnly="1" outline="0" fieldPosition="0">
        <references count="5">
          <reference field="3" count="1" selected="0">
            <x v="5"/>
          </reference>
          <reference field="4" count="1" selected="0">
            <x v="3"/>
          </reference>
          <reference field="5" count="1" selected="0">
            <x v="132"/>
          </reference>
          <reference field="6" count="1" selected="0">
            <x v="3"/>
          </reference>
          <reference field="9" count="1">
            <x v="10"/>
          </reference>
        </references>
      </pivotArea>
    </format>
    <format dxfId="10822">
      <pivotArea dataOnly="0" labelOnly="1" outline="0" fieldPosition="0">
        <references count="5">
          <reference field="3" count="1" selected="0">
            <x v="6"/>
          </reference>
          <reference field="4" count="1" selected="0">
            <x v="1"/>
          </reference>
          <reference field="5" count="1" selected="0">
            <x v="6"/>
          </reference>
          <reference field="6" count="1" selected="0">
            <x v="2"/>
          </reference>
          <reference field="9" count="1">
            <x v="10"/>
          </reference>
        </references>
      </pivotArea>
    </format>
    <format dxfId="10821">
      <pivotArea dataOnly="0" labelOnly="1" outline="0" fieldPosition="0">
        <references count="5">
          <reference field="3" count="1" selected="0">
            <x v="6"/>
          </reference>
          <reference field="4" count="1" selected="0">
            <x v="1"/>
          </reference>
          <reference field="5" count="1" selected="0">
            <x v="7"/>
          </reference>
          <reference field="6" count="1" selected="0">
            <x v="2"/>
          </reference>
          <reference field="9" count="1">
            <x v="4"/>
          </reference>
        </references>
      </pivotArea>
    </format>
    <format dxfId="10820">
      <pivotArea dataOnly="0" labelOnly="1" outline="0" fieldPosition="0">
        <references count="5">
          <reference field="3" count="1" selected="0">
            <x v="6"/>
          </reference>
          <reference field="4" count="1" selected="0">
            <x v="1"/>
          </reference>
          <reference field="5" count="1" selected="0">
            <x v="16"/>
          </reference>
          <reference field="6" count="1" selected="0">
            <x v="2"/>
          </reference>
          <reference field="9" count="1">
            <x v="2"/>
          </reference>
        </references>
      </pivotArea>
    </format>
    <format dxfId="10819">
      <pivotArea dataOnly="0" labelOnly="1" outline="0" fieldPosition="0">
        <references count="5">
          <reference field="3" count="1" selected="0">
            <x v="6"/>
          </reference>
          <reference field="4" count="1" selected="0">
            <x v="1"/>
          </reference>
          <reference field="5" count="1" selected="0">
            <x v="20"/>
          </reference>
          <reference field="6" count="1" selected="0">
            <x v="2"/>
          </reference>
          <reference field="9" count="1">
            <x v="2"/>
          </reference>
        </references>
      </pivotArea>
    </format>
    <format dxfId="10818">
      <pivotArea dataOnly="0" labelOnly="1" outline="0" fieldPosition="0">
        <references count="5">
          <reference field="3" count="1" selected="0">
            <x v="6"/>
          </reference>
          <reference field="4" count="1" selected="0">
            <x v="0"/>
          </reference>
          <reference field="5" count="1" selected="0">
            <x v="34"/>
          </reference>
          <reference field="6" count="1" selected="0">
            <x v="9"/>
          </reference>
          <reference field="9" count="1">
            <x v="10"/>
          </reference>
        </references>
      </pivotArea>
    </format>
    <format dxfId="10817">
      <pivotArea dataOnly="0" labelOnly="1" outline="0" fieldPosition="0">
        <references count="5">
          <reference field="3" count="1" selected="0">
            <x v="6"/>
          </reference>
          <reference field="4" count="1" selected="0">
            <x v="0"/>
          </reference>
          <reference field="5" count="1" selected="0">
            <x v="95"/>
          </reference>
          <reference field="6" count="1" selected="0">
            <x v="9"/>
          </reference>
          <reference field="9" count="1">
            <x v="10"/>
          </reference>
        </references>
      </pivotArea>
    </format>
    <format dxfId="10816">
      <pivotArea dataOnly="0" labelOnly="1" outline="0" fieldPosition="0">
        <references count="5">
          <reference field="3" count="1" selected="0">
            <x v="6"/>
          </reference>
          <reference field="4" count="1" selected="0">
            <x v="0"/>
          </reference>
          <reference field="5" count="1" selected="0">
            <x v="113"/>
          </reference>
          <reference field="6" count="1" selected="0">
            <x v="9"/>
          </reference>
          <reference field="9" count="1">
            <x v="10"/>
          </reference>
        </references>
      </pivotArea>
    </format>
    <format dxfId="10815">
      <pivotArea dataOnly="0" labelOnly="1" outline="0" fieldPosition="0">
        <references count="5">
          <reference field="3" count="1" selected="0">
            <x v="6"/>
          </reference>
          <reference field="4" count="1" selected="0">
            <x v="0"/>
          </reference>
          <reference field="5" count="1" selected="0">
            <x v="119"/>
          </reference>
          <reference field="6" count="1" selected="0">
            <x v="9"/>
          </reference>
          <reference field="9" count="1">
            <x v="10"/>
          </reference>
        </references>
      </pivotArea>
    </format>
    <format dxfId="10814">
      <pivotArea dataOnly="0" labelOnly="1" outline="0" fieldPosition="0">
        <references count="5">
          <reference field="3" count="1" selected="0">
            <x v="6"/>
          </reference>
          <reference field="4" count="1" selected="0">
            <x v="0"/>
          </reference>
          <reference field="5" count="1" selected="0">
            <x v="124"/>
          </reference>
          <reference field="6" count="1" selected="0">
            <x v="9"/>
          </reference>
          <reference field="9" count="1">
            <x v="10"/>
          </reference>
        </references>
      </pivotArea>
    </format>
    <format dxfId="10813">
      <pivotArea dataOnly="0" labelOnly="1" outline="0" fieldPosition="0">
        <references count="5">
          <reference field="3" count="1" selected="0">
            <x v="6"/>
          </reference>
          <reference field="4" count="1" selected="0">
            <x v="0"/>
          </reference>
          <reference field="5" count="1" selected="0">
            <x v="138"/>
          </reference>
          <reference field="6" count="1" selected="0">
            <x v="9"/>
          </reference>
          <reference field="9" count="1">
            <x v="10"/>
          </reference>
        </references>
      </pivotArea>
    </format>
    <format dxfId="10812">
      <pivotArea dataOnly="0" labelOnly="1" outline="0" fieldPosition="0">
        <references count="5">
          <reference field="3" count="1" selected="0">
            <x v="6"/>
          </reference>
          <reference field="4" count="1" selected="0">
            <x v="0"/>
          </reference>
          <reference field="5" count="1" selected="0">
            <x v="146"/>
          </reference>
          <reference field="6" count="1" selected="0">
            <x v="9"/>
          </reference>
          <reference field="9" count="1">
            <x v="10"/>
          </reference>
        </references>
      </pivotArea>
    </format>
    <format dxfId="10811">
      <pivotArea dataOnly="0" labelOnly="1" outline="0" fieldPosition="0">
        <references count="5">
          <reference field="3" count="1" selected="0">
            <x v="6"/>
          </reference>
          <reference field="4" count="1" selected="0">
            <x v="0"/>
          </reference>
          <reference field="5" count="1" selected="0">
            <x v="147"/>
          </reference>
          <reference field="6" count="1" selected="0">
            <x v="9"/>
          </reference>
          <reference field="9" count="1">
            <x v="10"/>
          </reference>
        </references>
      </pivotArea>
    </format>
    <format dxfId="10810">
      <pivotArea dataOnly="0" labelOnly="1" outline="0" fieldPosition="0">
        <references count="5">
          <reference field="3" count="1" selected="0">
            <x v="6"/>
          </reference>
          <reference field="4" count="1" selected="0">
            <x v="0"/>
          </reference>
          <reference field="5" count="1" selected="0">
            <x v="176"/>
          </reference>
          <reference field="6" count="1" selected="0">
            <x v="9"/>
          </reference>
          <reference field="9" count="1">
            <x v="10"/>
          </reference>
        </references>
      </pivotArea>
    </format>
    <format dxfId="10809">
      <pivotArea dataOnly="0" labelOnly="1" outline="0" fieldPosition="0">
        <references count="5">
          <reference field="3" count="1" selected="0">
            <x v="6"/>
          </reference>
          <reference field="4" count="1" selected="0">
            <x v="0"/>
          </reference>
          <reference field="5" count="1" selected="0">
            <x v="191"/>
          </reference>
          <reference field="6" count="1" selected="0">
            <x v="9"/>
          </reference>
          <reference field="9" count="1">
            <x v="10"/>
          </reference>
        </references>
      </pivotArea>
    </format>
    <format dxfId="10808">
      <pivotArea dataOnly="0" labelOnly="1" outline="0" fieldPosition="0">
        <references count="5">
          <reference field="3" count="1" selected="0">
            <x v="6"/>
          </reference>
          <reference field="4" count="1" selected="0">
            <x v="0"/>
          </reference>
          <reference field="5" count="1" selected="0">
            <x v="172"/>
          </reference>
          <reference field="6" count="1" selected="0">
            <x v="9"/>
          </reference>
          <reference field="9" count="1">
            <x v="10"/>
          </reference>
        </references>
      </pivotArea>
    </format>
    <format dxfId="10807">
      <pivotArea dataOnly="0" labelOnly="1" outline="0" fieldPosition="0">
        <references count="5">
          <reference field="3" count="1" selected="0">
            <x v="6"/>
          </reference>
          <reference field="4" count="1" selected="0">
            <x v="0"/>
          </reference>
          <reference field="5" count="1" selected="0">
            <x v="177"/>
          </reference>
          <reference field="6" count="1" selected="0">
            <x v="9"/>
          </reference>
          <reference field="9" count="1">
            <x v="10"/>
          </reference>
        </references>
      </pivotArea>
    </format>
    <format dxfId="10806">
      <pivotArea dataOnly="0" labelOnly="1" outline="0" fieldPosition="0">
        <references count="5">
          <reference field="3" count="1" selected="0">
            <x v="6"/>
          </reference>
          <reference field="4" count="1" selected="0">
            <x v="1"/>
          </reference>
          <reference field="5" count="1" selected="0">
            <x v="21"/>
          </reference>
          <reference field="6" count="1" selected="0">
            <x v="2"/>
          </reference>
          <reference field="9" count="1">
            <x v="10"/>
          </reference>
        </references>
      </pivotArea>
    </format>
    <format dxfId="10805">
      <pivotArea dataOnly="0" labelOnly="1" outline="0" fieldPosition="0">
        <references count="5">
          <reference field="3" count="1" selected="0">
            <x v="6"/>
          </reference>
          <reference field="4" count="1" selected="0">
            <x v="0"/>
          </reference>
          <reference field="5" count="1" selected="0">
            <x v="165"/>
          </reference>
          <reference field="6" count="1" selected="0">
            <x v="9"/>
          </reference>
          <reference field="9" count="1">
            <x v="10"/>
          </reference>
        </references>
      </pivotArea>
    </format>
    <format dxfId="10804">
      <pivotArea dataOnly="0" labelOnly="1" outline="0" fieldPosition="0">
        <references count="5">
          <reference field="3" count="1" selected="0">
            <x v="6"/>
          </reference>
          <reference field="4" count="1" selected="0">
            <x v="0"/>
          </reference>
          <reference field="5" count="1" selected="0">
            <x v="168"/>
          </reference>
          <reference field="6" count="1" selected="0">
            <x v="9"/>
          </reference>
          <reference field="9" count="1">
            <x v="10"/>
          </reference>
        </references>
      </pivotArea>
    </format>
    <format dxfId="10803">
      <pivotArea dataOnly="0" labelOnly="1" outline="0" fieldPosition="0">
        <references count="5">
          <reference field="3" count="1" selected="0">
            <x v="8"/>
          </reference>
          <reference field="4" count="1" selected="0">
            <x v="3"/>
          </reference>
          <reference field="5" count="1" selected="0">
            <x v="26"/>
          </reference>
          <reference field="6" count="1" selected="0">
            <x v="3"/>
          </reference>
          <reference field="9" count="1">
            <x v="10"/>
          </reference>
        </references>
      </pivotArea>
    </format>
    <format dxfId="10802">
      <pivotArea dataOnly="0" labelOnly="1" outline="0" fieldPosition="0">
        <references count="5">
          <reference field="3" count="1" selected="0">
            <x v="8"/>
          </reference>
          <reference field="4" count="1" selected="0">
            <x v="0"/>
          </reference>
          <reference field="5" count="1" selected="0">
            <x v="35"/>
          </reference>
          <reference field="6" count="1" selected="0">
            <x v="9"/>
          </reference>
          <reference field="9" count="1">
            <x v="10"/>
          </reference>
        </references>
      </pivotArea>
    </format>
    <format dxfId="10801">
      <pivotArea dataOnly="0" labelOnly="1" outline="0" fieldPosition="0">
        <references count="5">
          <reference field="3" count="1" selected="0">
            <x v="8"/>
          </reference>
          <reference field="4" count="1" selected="0">
            <x v="0"/>
          </reference>
          <reference field="5" count="1" selected="0">
            <x v="39"/>
          </reference>
          <reference field="6" count="1" selected="0">
            <x v="9"/>
          </reference>
          <reference field="9" count="1">
            <x v="10"/>
          </reference>
        </references>
      </pivotArea>
    </format>
    <format dxfId="10800">
      <pivotArea dataOnly="0" labelOnly="1" outline="0" fieldPosition="0">
        <references count="5">
          <reference field="3" count="1" selected="0">
            <x v="8"/>
          </reference>
          <reference field="4" count="1" selected="0">
            <x v="0"/>
          </reference>
          <reference field="5" count="1" selected="0">
            <x v="40"/>
          </reference>
          <reference field="6" count="1" selected="0">
            <x v="9"/>
          </reference>
          <reference field="9" count="1">
            <x v="10"/>
          </reference>
        </references>
      </pivotArea>
    </format>
    <format dxfId="10799">
      <pivotArea dataOnly="0" labelOnly="1" outline="0" fieldPosition="0">
        <references count="5">
          <reference field="3" count="1" selected="0">
            <x v="8"/>
          </reference>
          <reference field="4" count="1" selected="0">
            <x v="0"/>
          </reference>
          <reference field="5" count="1" selected="0">
            <x v="74"/>
          </reference>
          <reference field="6" count="1" selected="0">
            <x v="9"/>
          </reference>
          <reference field="9" count="1">
            <x v="10"/>
          </reference>
        </references>
      </pivotArea>
    </format>
    <format dxfId="10798">
      <pivotArea dataOnly="0" labelOnly="1" outline="0" fieldPosition="0">
        <references count="5">
          <reference field="3" count="1" selected="0">
            <x v="8"/>
          </reference>
          <reference field="4" count="1" selected="0">
            <x v="3"/>
          </reference>
          <reference field="5" count="1" selected="0">
            <x v="115"/>
          </reference>
          <reference field="6" count="1" selected="0">
            <x v="3"/>
          </reference>
          <reference field="9" count="1">
            <x v="10"/>
          </reference>
        </references>
      </pivotArea>
    </format>
    <format dxfId="10797">
      <pivotArea dataOnly="0" labelOnly="1" outline="0" fieldPosition="0">
        <references count="5">
          <reference field="3" count="1" selected="0">
            <x v="8"/>
          </reference>
          <reference field="4" count="1" selected="0">
            <x v="3"/>
          </reference>
          <reference field="5" count="1" selected="0">
            <x v="137"/>
          </reference>
          <reference field="6" count="1" selected="0">
            <x v="3"/>
          </reference>
          <reference field="9" count="1">
            <x v="10"/>
          </reference>
        </references>
      </pivotArea>
    </format>
    <format dxfId="10796">
      <pivotArea dataOnly="0" labelOnly="1" outline="0" fieldPosition="0">
        <references count="5">
          <reference field="3" count="1" selected="0">
            <x v="8"/>
          </reference>
          <reference field="4" count="1" selected="0">
            <x v="3"/>
          </reference>
          <reference field="5" count="1" selected="0">
            <x v="140"/>
          </reference>
          <reference field="6" count="1" selected="0">
            <x v="3"/>
          </reference>
          <reference field="9" count="1">
            <x v="10"/>
          </reference>
        </references>
      </pivotArea>
    </format>
    <format dxfId="10795">
      <pivotArea dataOnly="0" labelOnly="1" outline="0" fieldPosition="0">
        <references count="5">
          <reference field="3" count="1" selected="0">
            <x v="8"/>
          </reference>
          <reference field="4" count="1" selected="0">
            <x v="0"/>
          </reference>
          <reference field="5" count="1" selected="0">
            <x v="42"/>
          </reference>
          <reference field="6" count="1" selected="0">
            <x v="9"/>
          </reference>
          <reference field="9" count="1">
            <x v="10"/>
          </reference>
        </references>
      </pivotArea>
    </format>
    <format dxfId="10794">
      <pivotArea dataOnly="0" labelOnly="1" outline="0" fieldPosition="0">
        <references count="5">
          <reference field="3" count="1" selected="0">
            <x v="8"/>
          </reference>
          <reference field="4" count="1" selected="0">
            <x v="0"/>
          </reference>
          <reference field="5" count="1" selected="0">
            <x v="58"/>
          </reference>
          <reference field="6" count="1" selected="0">
            <x v="9"/>
          </reference>
          <reference field="9" count="1">
            <x v="10"/>
          </reference>
        </references>
      </pivotArea>
    </format>
    <format dxfId="10793">
      <pivotArea dataOnly="0" labelOnly="1" outline="0" fieldPosition="0">
        <references count="5">
          <reference field="3" count="1" selected="0">
            <x v="9"/>
          </reference>
          <reference field="4" count="1" selected="0">
            <x v="4"/>
          </reference>
          <reference field="5" count="1" selected="0">
            <x v="141"/>
          </reference>
          <reference field="6" count="1" selected="0">
            <x v="5"/>
          </reference>
          <reference field="9" count="1">
            <x v="10"/>
          </reference>
        </references>
      </pivotArea>
    </format>
    <format dxfId="10792">
      <pivotArea dataOnly="0" labelOnly="1" outline="0" fieldPosition="0">
        <references count="5">
          <reference field="3" count="1" selected="0">
            <x v="9"/>
          </reference>
          <reference field="4" count="1" selected="0">
            <x v="3"/>
          </reference>
          <reference field="5" count="1" selected="0">
            <x v="211"/>
          </reference>
          <reference field="6" count="1" selected="0">
            <x v="5"/>
          </reference>
          <reference field="9" count="1">
            <x v="10"/>
          </reference>
        </references>
      </pivotArea>
    </format>
    <format dxfId="10791">
      <pivotArea dataOnly="0" labelOnly="1" outline="0" fieldPosition="0">
        <references count="5">
          <reference field="3" count="1" selected="0">
            <x v="10"/>
          </reference>
          <reference field="4" count="1" selected="0">
            <x v="4"/>
          </reference>
          <reference field="5" count="1" selected="0">
            <x v="46"/>
          </reference>
          <reference field="6" count="1" selected="0">
            <x v="5"/>
          </reference>
          <reference field="9" count="1">
            <x v="7"/>
          </reference>
        </references>
      </pivotArea>
    </format>
    <format dxfId="10790">
      <pivotArea dataOnly="0" labelOnly="1" outline="0" fieldPosition="0">
        <references count="5">
          <reference field="3" count="1" selected="0">
            <x v="10"/>
          </reference>
          <reference field="4" count="1" selected="0">
            <x v="3"/>
          </reference>
          <reference field="5" count="1" selected="0">
            <x v="50"/>
          </reference>
          <reference field="6" count="1" selected="0">
            <x v="5"/>
          </reference>
          <reference field="9" count="1">
            <x v="10"/>
          </reference>
        </references>
      </pivotArea>
    </format>
    <format dxfId="10789">
      <pivotArea dataOnly="0" labelOnly="1" outline="0" fieldPosition="0">
        <references count="5">
          <reference field="3" count="1" selected="0">
            <x v="10"/>
          </reference>
          <reference field="4" count="1" selected="0">
            <x v="4"/>
          </reference>
          <reference field="5" count="1" selected="0">
            <x v="55"/>
          </reference>
          <reference field="6" count="1" selected="0">
            <x v="5"/>
          </reference>
          <reference field="9" count="1">
            <x v="7"/>
          </reference>
        </references>
      </pivotArea>
    </format>
    <format dxfId="10788">
      <pivotArea dataOnly="0" labelOnly="1" outline="0" fieldPosition="0">
        <references count="5">
          <reference field="3" count="1" selected="0">
            <x v="10"/>
          </reference>
          <reference field="4" count="1" selected="0">
            <x v="4"/>
          </reference>
          <reference field="5" count="1" selected="0">
            <x v="60"/>
          </reference>
          <reference field="6" count="1" selected="0">
            <x v="5"/>
          </reference>
          <reference field="9" count="1">
            <x v="7"/>
          </reference>
        </references>
      </pivotArea>
    </format>
    <format dxfId="10787">
      <pivotArea dataOnly="0" labelOnly="1" outline="0" fieldPosition="0">
        <references count="2">
          <reference field="3" count="1" selected="0">
            <x v="3"/>
          </reference>
          <reference field="5" count="6">
            <x v="70"/>
            <x v="192"/>
            <x v="203"/>
            <x v="206"/>
            <x v="207"/>
            <x v="208"/>
          </reference>
        </references>
      </pivotArea>
    </format>
    <format dxfId="10786">
      <pivotArea dataOnly="0" labelOnly="1" outline="0" fieldPosition="0">
        <references count="2">
          <reference field="3" count="1" selected="0">
            <x v="4"/>
          </reference>
          <reference field="5" count="14">
            <x v="24"/>
            <x v="25"/>
            <x v="28"/>
            <x v="98"/>
            <x v="100"/>
            <x v="103"/>
            <x v="104"/>
            <x v="105"/>
            <x v="143"/>
            <x v="149"/>
            <x v="154"/>
            <x v="215"/>
            <x v="216"/>
            <x v="217"/>
          </reference>
        </references>
      </pivotArea>
    </format>
    <format dxfId="10785">
      <pivotArea dataOnly="0" labelOnly="1" outline="0" fieldPosition="0">
        <references count="2">
          <reference field="3" count="1" selected="0">
            <x v="6"/>
          </reference>
          <reference field="5" count="19">
            <x v="22"/>
            <x v="27"/>
            <x v="29"/>
            <x v="32"/>
            <x v="36"/>
            <x v="44"/>
            <x v="52"/>
            <x v="62"/>
            <x v="87"/>
            <x v="94"/>
            <x v="110"/>
            <x v="111"/>
            <x v="130"/>
            <x v="131"/>
            <x v="156"/>
            <x v="158"/>
            <x v="186"/>
            <x v="188"/>
            <x v="189"/>
          </reference>
        </references>
      </pivotArea>
    </format>
    <format dxfId="10784">
      <pivotArea dataOnly="0" labelOnly="1" outline="0" fieldPosition="0">
        <references count="2">
          <reference field="3" count="1" selected="0">
            <x v="8"/>
          </reference>
          <reference field="5" count="9">
            <x v="13"/>
            <x v="14"/>
            <x v="31"/>
            <x v="63"/>
            <x v="64"/>
            <x v="81"/>
            <x v="133"/>
            <x v="134"/>
            <x v="136"/>
          </reference>
        </references>
      </pivotArea>
    </format>
    <format dxfId="10783">
      <pivotArea dataOnly="0" labelOnly="1" outline="0" fieldPosition="0">
        <references count="2">
          <reference field="3" count="1" selected="0">
            <x v="9"/>
          </reference>
          <reference field="5" count="6">
            <x v="30"/>
            <x v="80"/>
            <x v="142"/>
            <x v="144"/>
            <x v="163"/>
            <x v="212"/>
          </reference>
        </references>
      </pivotArea>
    </format>
    <format dxfId="10782">
      <pivotArea dataOnly="0" labelOnly="1" outline="0" fieldPosition="0">
        <references count="2">
          <reference field="3" count="1" selected="0">
            <x v="10"/>
          </reference>
          <reference field="5" count="3">
            <x v="48"/>
            <x v="72"/>
            <x v="73"/>
          </reference>
        </references>
      </pivotArea>
    </format>
    <format dxfId="10781">
      <pivotArea dataOnly="0" labelOnly="1" outline="0" fieldPosition="0">
        <references count="3">
          <reference field="3" count="1" selected="0">
            <x v="3"/>
          </reference>
          <reference field="5" count="1" selected="0">
            <x v="70"/>
          </reference>
          <reference field="6" count="1">
            <x v="2"/>
          </reference>
        </references>
      </pivotArea>
    </format>
    <format dxfId="10780">
      <pivotArea dataOnly="0" labelOnly="1" outline="0" fieldPosition="0">
        <references count="3">
          <reference field="3" count="1" selected="0">
            <x v="6"/>
          </reference>
          <reference field="5" count="1" selected="0">
            <x v="22"/>
          </reference>
          <reference field="6" count="1">
            <x v="9"/>
          </reference>
        </references>
      </pivotArea>
    </format>
    <format dxfId="10779">
      <pivotArea dataOnly="0" labelOnly="1" outline="0" fieldPosition="0">
        <references count="3">
          <reference field="3" count="1" selected="0">
            <x v="6"/>
          </reference>
          <reference field="5" count="1" selected="0">
            <x v="36"/>
          </reference>
          <reference field="6" count="1">
            <x v="2"/>
          </reference>
        </references>
      </pivotArea>
    </format>
    <format dxfId="10778">
      <pivotArea dataOnly="0" labelOnly="1" outline="0" fieldPosition="0">
        <references count="3">
          <reference field="3" count="1" selected="0">
            <x v="6"/>
          </reference>
          <reference field="5" count="1" selected="0">
            <x v="110"/>
          </reference>
          <reference field="6" count="1">
            <x v="9"/>
          </reference>
        </references>
      </pivotArea>
    </format>
    <format dxfId="10777">
      <pivotArea dataOnly="0" labelOnly="1" outline="0" fieldPosition="0">
        <references count="3">
          <reference field="3" count="1" selected="0">
            <x v="6"/>
          </reference>
          <reference field="5" count="1" selected="0">
            <x v="44"/>
          </reference>
          <reference field="6" count="1">
            <x v="2"/>
          </reference>
        </references>
      </pivotArea>
    </format>
    <format dxfId="10776">
      <pivotArea dataOnly="0" labelOnly="1" outline="0" fieldPosition="0">
        <references count="3">
          <reference field="3" count="1" selected="0">
            <x v="6"/>
          </reference>
          <reference field="5" count="1" selected="0">
            <x v="189"/>
          </reference>
          <reference field="6" count="1">
            <x v="9"/>
          </reference>
        </references>
      </pivotArea>
    </format>
    <format dxfId="10775">
      <pivotArea dataOnly="0" labelOnly="1" outline="0" fieldPosition="0">
        <references count="3">
          <reference field="3" count="1" selected="0">
            <x v="6"/>
          </reference>
          <reference field="5" count="1" selected="0">
            <x v="87"/>
          </reference>
          <reference field="6" count="1">
            <x v="5"/>
          </reference>
        </references>
      </pivotArea>
    </format>
    <format dxfId="10774">
      <pivotArea dataOnly="0" labelOnly="1" outline="0" fieldPosition="0">
        <references count="3">
          <reference field="3" count="1" selected="0">
            <x v="6"/>
          </reference>
          <reference field="5" count="1" selected="0">
            <x v="62"/>
          </reference>
          <reference field="6" count="1">
            <x v="2"/>
          </reference>
        </references>
      </pivotArea>
    </format>
    <format dxfId="10773">
      <pivotArea dataOnly="0" labelOnly="1" outline="0" fieldPosition="0">
        <references count="3">
          <reference field="3" count="1" selected="0">
            <x v="8"/>
          </reference>
          <reference field="5" count="1" selected="0">
            <x v="31"/>
          </reference>
          <reference field="6" count="1">
            <x v="3"/>
          </reference>
        </references>
      </pivotArea>
    </format>
    <format dxfId="10772">
      <pivotArea dataOnly="0" labelOnly="1" outline="0" fieldPosition="0">
        <references count="3">
          <reference field="3" count="1" selected="0">
            <x v="8"/>
          </reference>
          <reference field="5" count="1" selected="0">
            <x v="63"/>
          </reference>
          <reference field="6" count="1">
            <x v="9"/>
          </reference>
        </references>
      </pivotArea>
    </format>
    <format dxfId="10771">
      <pivotArea dataOnly="0" labelOnly="1" outline="0" fieldPosition="0">
        <references count="3">
          <reference field="3" count="1" selected="0">
            <x v="8"/>
          </reference>
          <reference field="5" count="1" selected="0">
            <x v="133"/>
          </reference>
          <reference field="6" count="1">
            <x v="3"/>
          </reference>
        </references>
      </pivotArea>
    </format>
    <format dxfId="10770">
      <pivotArea dataOnly="0" labelOnly="1" outline="0" fieldPosition="0">
        <references count="3">
          <reference field="3" count="1" selected="0">
            <x v="8"/>
          </reference>
          <reference field="5" count="1" selected="0">
            <x v="64"/>
          </reference>
          <reference field="6" count="1">
            <x v="9"/>
          </reference>
        </references>
      </pivotArea>
    </format>
    <format dxfId="10769">
      <pivotArea dataOnly="0" labelOnly="1" outline="0" fieldPosition="0">
        <references count="3">
          <reference field="3" count="1" selected="0">
            <x v="9"/>
          </reference>
          <reference field="5" count="1" selected="0">
            <x v="30"/>
          </reference>
          <reference field="6" count="1">
            <x v="5"/>
          </reference>
        </references>
      </pivotArea>
    </format>
    <format dxfId="10768">
      <pivotArea dataOnly="0" labelOnly="1" outline="0" fieldPosition="0">
        <references count="3">
          <reference field="3" count="1" selected="0">
            <x v="9"/>
          </reference>
          <reference field="5" count="1" selected="0">
            <x v="80"/>
          </reference>
          <reference field="6" count="1">
            <x v="3"/>
          </reference>
        </references>
      </pivotArea>
    </format>
    <format dxfId="10767">
      <pivotArea dataOnly="0" labelOnly="1" outline="0" fieldPosition="0">
        <references count="3">
          <reference field="3" count="1" selected="0">
            <x v="9"/>
          </reference>
          <reference field="5" count="1" selected="0">
            <x v="142"/>
          </reference>
          <reference field="6" count="1">
            <x v="5"/>
          </reference>
        </references>
      </pivotArea>
    </format>
    <format dxfId="10766">
      <pivotArea dataOnly="0" labelOnly="1" outline="0" fieldPosition="0">
        <references count="4">
          <reference field="3" count="1" selected="0">
            <x v="3"/>
          </reference>
          <reference field="4" count="1">
            <x v="1"/>
          </reference>
          <reference field="5" count="1" selected="0">
            <x v="70"/>
          </reference>
          <reference field="6" count="1" selected="0">
            <x v="2"/>
          </reference>
        </references>
      </pivotArea>
    </format>
    <format dxfId="10765">
      <pivotArea dataOnly="0" labelOnly="1" outline="0" fieldPosition="0">
        <references count="4">
          <reference field="3" count="1" selected="0">
            <x v="6"/>
          </reference>
          <reference field="4" count="1">
            <x v="0"/>
          </reference>
          <reference field="5" count="1" selected="0">
            <x v="22"/>
          </reference>
          <reference field="6" count="1" selected="0">
            <x v="9"/>
          </reference>
        </references>
      </pivotArea>
    </format>
    <format dxfId="10764">
      <pivotArea dataOnly="0" labelOnly="1" outline="0" fieldPosition="0">
        <references count="4">
          <reference field="3" count="1" selected="0">
            <x v="6"/>
          </reference>
          <reference field="4" count="1">
            <x v="1"/>
          </reference>
          <reference field="5" count="1" selected="0">
            <x v="36"/>
          </reference>
          <reference field="6" count="1" selected="0">
            <x v="2"/>
          </reference>
        </references>
      </pivotArea>
    </format>
    <format dxfId="10763">
      <pivotArea dataOnly="0" labelOnly="1" outline="0" fieldPosition="0">
        <references count="4">
          <reference field="3" count="1" selected="0">
            <x v="6"/>
          </reference>
          <reference field="4" count="1">
            <x v="0"/>
          </reference>
          <reference field="5" count="1" selected="0">
            <x v="110"/>
          </reference>
          <reference field="6" count="1" selected="0">
            <x v="9"/>
          </reference>
        </references>
      </pivotArea>
    </format>
    <format dxfId="10762">
      <pivotArea dataOnly="0" labelOnly="1" outline="0" fieldPosition="0">
        <references count="4">
          <reference field="3" count="1" selected="0">
            <x v="6"/>
          </reference>
          <reference field="4" count="1">
            <x v="1"/>
          </reference>
          <reference field="5" count="1" selected="0">
            <x v="44"/>
          </reference>
          <reference field="6" count="1" selected="0">
            <x v="2"/>
          </reference>
        </references>
      </pivotArea>
    </format>
    <format dxfId="10761">
      <pivotArea dataOnly="0" labelOnly="1" outline="0" fieldPosition="0">
        <references count="4">
          <reference field="3" count="1" selected="0">
            <x v="6"/>
          </reference>
          <reference field="4" count="1">
            <x v="0"/>
          </reference>
          <reference field="5" count="1" selected="0">
            <x v="189"/>
          </reference>
          <reference field="6" count="1" selected="0">
            <x v="9"/>
          </reference>
        </references>
      </pivotArea>
    </format>
    <format dxfId="10760">
      <pivotArea dataOnly="0" labelOnly="1" outline="0" fieldPosition="0">
        <references count="4">
          <reference field="3" count="1" selected="0">
            <x v="6"/>
          </reference>
          <reference field="4" count="1">
            <x v="1"/>
          </reference>
          <reference field="5" count="1" selected="0">
            <x v="62"/>
          </reference>
          <reference field="6" count="1" selected="0">
            <x v="2"/>
          </reference>
        </references>
      </pivotArea>
    </format>
    <format dxfId="10759">
      <pivotArea dataOnly="0" labelOnly="1" outline="0" fieldPosition="0">
        <references count="4">
          <reference field="3" count="1" selected="0">
            <x v="8"/>
          </reference>
          <reference field="4" count="1">
            <x v="0"/>
          </reference>
          <reference field="5" count="1" selected="0">
            <x v="13"/>
          </reference>
          <reference field="6" count="1" selected="0">
            <x v="9"/>
          </reference>
        </references>
      </pivotArea>
    </format>
    <format dxfId="10758">
      <pivotArea dataOnly="0" labelOnly="1" outline="0" fieldPosition="0">
        <references count="4">
          <reference field="3" count="1" selected="0">
            <x v="8"/>
          </reference>
          <reference field="4" count="1">
            <x v="3"/>
          </reference>
          <reference field="5" count="1" selected="0">
            <x v="31"/>
          </reference>
          <reference field="6" count="1" selected="0">
            <x v="3"/>
          </reference>
        </references>
      </pivotArea>
    </format>
    <format dxfId="10757">
      <pivotArea dataOnly="0" labelOnly="1" outline="0" fieldPosition="0">
        <references count="4">
          <reference field="3" count="1" selected="0">
            <x v="8"/>
          </reference>
          <reference field="4" count="1">
            <x v="0"/>
          </reference>
          <reference field="5" count="1" selected="0">
            <x v="63"/>
          </reference>
          <reference field="6" count="1" selected="0">
            <x v="9"/>
          </reference>
        </references>
      </pivotArea>
    </format>
    <format dxfId="10756">
      <pivotArea dataOnly="0" labelOnly="1" outline="0" fieldPosition="0">
        <references count="4">
          <reference field="3" count="1" selected="0">
            <x v="8"/>
          </reference>
          <reference field="4" count="1">
            <x v="3"/>
          </reference>
          <reference field="5" count="1" selected="0">
            <x v="133"/>
          </reference>
          <reference field="6" count="1" selected="0">
            <x v="3"/>
          </reference>
        </references>
      </pivotArea>
    </format>
    <format dxfId="10755">
      <pivotArea dataOnly="0" labelOnly="1" outline="0" fieldPosition="0">
        <references count="4">
          <reference field="3" count="1" selected="0">
            <x v="8"/>
          </reference>
          <reference field="4" count="1">
            <x v="0"/>
          </reference>
          <reference field="5" count="1" selected="0">
            <x v="64"/>
          </reference>
          <reference field="6" count="1" selected="0">
            <x v="9"/>
          </reference>
        </references>
      </pivotArea>
    </format>
    <format dxfId="10754">
      <pivotArea dataOnly="0" labelOnly="1" outline="0" fieldPosition="0">
        <references count="4">
          <reference field="3" count="1" selected="0">
            <x v="9"/>
          </reference>
          <reference field="4" count="1">
            <x v="4"/>
          </reference>
          <reference field="5" count="1" selected="0">
            <x v="30"/>
          </reference>
          <reference field="6" count="1" selected="0">
            <x v="5"/>
          </reference>
        </references>
      </pivotArea>
    </format>
    <format dxfId="10753">
      <pivotArea dataOnly="0" labelOnly="1" outline="0" fieldPosition="0">
        <references count="4">
          <reference field="3" count="1" selected="0">
            <x v="9"/>
          </reference>
          <reference field="4" count="1">
            <x v="3"/>
          </reference>
          <reference field="5" count="1" selected="0">
            <x v="80"/>
          </reference>
          <reference field="6" count="1" selected="0">
            <x v="3"/>
          </reference>
        </references>
      </pivotArea>
    </format>
    <format dxfId="10752">
      <pivotArea dataOnly="0" labelOnly="1" outline="0" fieldPosition="0">
        <references count="4">
          <reference field="3" count="1" selected="0">
            <x v="9"/>
          </reference>
          <reference field="4" count="1">
            <x v="4"/>
          </reference>
          <reference field="5" count="1" selected="0">
            <x v="142"/>
          </reference>
          <reference field="6" count="1" selected="0">
            <x v="5"/>
          </reference>
        </references>
      </pivotArea>
    </format>
    <format dxfId="10751">
      <pivotArea dataOnly="0" labelOnly="1" outline="0" fieldPosition="0">
        <references count="4">
          <reference field="3" count="1" selected="0">
            <x v="9"/>
          </reference>
          <reference field="4" count="1">
            <x v="3"/>
          </reference>
          <reference field="5" count="1" selected="0">
            <x v="163"/>
          </reference>
          <reference field="6" count="1" selected="0">
            <x v="5"/>
          </reference>
        </references>
      </pivotArea>
    </format>
    <format dxfId="10750">
      <pivotArea dataOnly="0" labelOnly="1" outline="0" fieldPosition="0">
        <references count="4">
          <reference field="3" count="1" selected="0">
            <x v="10"/>
          </reference>
          <reference field="4" count="1">
            <x v="4"/>
          </reference>
          <reference field="5" count="1" selected="0">
            <x v="48"/>
          </reference>
          <reference field="6" count="1" selected="0">
            <x v="5"/>
          </reference>
        </references>
      </pivotArea>
    </format>
    <format dxfId="10749">
      <pivotArea dataOnly="0" labelOnly="1" outline="0" fieldPosition="0">
        <references count="5">
          <reference field="3" count="1" selected="0">
            <x v="3"/>
          </reference>
          <reference field="4" count="1" selected="0">
            <x v="1"/>
          </reference>
          <reference field="5" count="1" selected="0">
            <x v="70"/>
          </reference>
          <reference field="6" count="1" selected="0">
            <x v="2"/>
          </reference>
          <reference field="9" count="1">
            <x v="10"/>
          </reference>
        </references>
      </pivotArea>
    </format>
    <format dxfId="10748">
      <pivotArea dataOnly="0" labelOnly="1" outline="0" fieldPosition="0">
        <references count="5">
          <reference field="3" count="1" selected="0">
            <x v="3"/>
          </reference>
          <reference field="4" count="1" selected="0">
            <x v="1"/>
          </reference>
          <reference field="5" count="1" selected="0">
            <x v="192"/>
          </reference>
          <reference field="6" count="1" selected="0">
            <x v="2"/>
          </reference>
          <reference field="9" count="1">
            <x v="10"/>
          </reference>
        </references>
      </pivotArea>
    </format>
    <format dxfId="10747">
      <pivotArea dataOnly="0" labelOnly="1" outline="0" fieldPosition="0">
        <references count="5">
          <reference field="3" count="1" selected="0">
            <x v="3"/>
          </reference>
          <reference field="4" count="1" selected="0">
            <x v="1"/>
          </reference>
          <reference field="5" count="1" selected="0">
            <x v="203"/>
          </reference>
          <reference field="6" count="1" selected="0">
            <x v="2"/>
          </reference>
          <reference field="9" count="1">
            <x v="10"/>
          </reference>
        </references>
      </pivotArea>
    </format>
    <format dxfId="10746">
      <pivotArea dataOnly="0" labelOnly="1" outline="0" fieldPosition="0">
        <references count="5">
          <reference field="3" count="1" selected="0">
            <x v="3"/>
          </reference>
          <reference field="4" count="1" selected="0">
            <x v="1"/>
          </reference>
          <reference field="5" count="1" selected="0">
            <x v="206"/>
          </reference>
          <reference field="6" count="1" selected="0">
            <x v="2"/>
          </reference>
          <reference field="9" count="1">
            <x v="10"/>
          </reference>
        </references>
      </pivotArea>
    </format>
    <format dxfId="10745">
      <pivotArea dataOnly="0" labelOnly="1" outline="0" fieldPosition="0">
        <references count="5">
          <reference field="3" count="1" selected="0">
            <x v="3"/>
          </reference>
          <reference field="4" count="1" selected="0">
            <x v="1"/>
          </reference>
          <reference field="5" count="1" selected="0">
            <x v="207"/>
          </reference>
          <reference field="6" count="1" selected="0">
            <x v="2"/>
          </reference>
          <reference field="9" count="1">
            <x v="10"/>
          </reference>
        </references>
      </pivotArea>
    </format>
    <format dxfId="10744">
      <pivotArea dataOnly="0" labelOnly="1" outline="0" fieldPosition="0">
        <references count="5">
          <reference field="3" count="1" selected="0">
            <x v="4"/>
          </reference>
          <reference field="4" count="1" selected="0">
            <x v="1"/>
          </reference>
          <reference field="5" count="1" selected="0">
            <x v="24"/>
          </reference>
          <reference field="6" count="1" selected="0">
            <x v="2"/>
          </reference>
          <reference field="9" count="1">
            <x v="10"/>
          </reference>
        </references>
      </pivotArea>
    </format>
    <format dxfId="10743">
      <pivotArea dataOnly="0" labelOnly="1" outline="0" fieldPosition="0">
        <references count="5">
          <reference field="3" count="1" selected="0">
            <x v="4"/>
          </reference>
          <reference field="4" count="1" selected="0">
            <x v="1"/>
          </reference>
          <reference field="5" count="1" selected="0">
            <x v="25"/>
          </reference>
          <reference field="6" count="1" selected="0">
            <x v="2"/>
          </reference>
          <reference field="9" count="1">
            <x v="10"/>
          </reference>
        </references>
      </pivotArea>
    </format>
    <format dxfId="10742">
      <pivotArea dataOnly="0" labelOnly="1" outline="0" fieldPosition="0">
        <references count="5">
          <reference field="3" count="1" selected="0">
            <x v="4"/>
          </reference>
          <reference field="4" count="1" selected="0">
            <x v="1"/>
          </reference>
          <reference field="5" count="1" selected="0">
            <x v="28"/>
          </reference>
          <reference field="6" count="1" selected="0">
            <x v="2"/>
          </reference>
          <reference field="9" count="1">
            <x v="10"/>
          </reference>
        </references>
      </pivotArea>
    </format>
    <format dxfId="10741">
      <pivotArea dataOnly="0" labelOnly="1" outline="0" fieldPosition="0">
        <references count="5">
          <reference field="3" count="1" selected="0">
            <x v="4"/>
          </reference>
          <reference field="4" count="1" selected="0">
            <x v="1"/>
          </reference>
          <reference field="5" count="1" selected="0">
            <x v="103"/>
          </reference>
          <reference field="6" count="1" selected="0">
            <x v="2"/>
          </reference>
          <reference field="9" count="1">
            <x v="4"/>
          </reference>
        </references>
      </pivotArea>
    </format>
    <format dxfId="10740">
      <pivotArea dataOnly="0" labelOnly="1" outline="0" fieldPosition="0">
        <references count="5">
          <reference field="3" count="1" selected="0">
            <x v="4"/>
          </reference>
          <reference field="4" count="1" selected="0">
            <x v="1"/>
          </reference>
          <reference field="5" count="1" selected="0">
            <x v="104"/>
          </reference>
          <reference field="6" count="1" selected="0">
            <x v="2"/>
          </reference>
          <reference field="9" count="1">
            <x v="2"/>
          </reference>
        </references>
      </pivotArea>
    </format>
    <format dxfId="10739">
      <pivotArea dataOnly="0" labelOnly="1" outline="0" fieldPosition="0">
        <references count="5">
          <reference field="3" count="1" selected="0">
            <x v="4"/>
          </reference>
          <reference field="4" count="1" selected="0">
            <x v="1"/>
          </reference>
          <reference field="5" count="1" selected="0">
            <x v="105"/>
          </reference>
          <reference field="6" count="1" selected="0">
            <x v="2"/>
          </reference>
          <reference field="9" count="1">
            <x v="2"/>
          </reference>
        </references>
      </pivotArea>
    </format>
    <format dxfId="10738">
      <pivotArea dataOnly="0" labelOnly="1" outline="0" fieldPosition="0">
        <references count="5">
          <reference field="3" count="1" selected="0">
            <x v="4"/>
          </reference>
          <reference field="4" count="1" selected="0">
            <x v="1"/>
          </reference>
          <reference field="5" count="1" selected="0">
            <x v="143"/>
          </reference>
          <reference field="6" count="1" selected="0">
            <x v="2"/>
          </reference>
          <reference field="9" count="1">
            <x v="10"/>
          </reference>
        </references>
      </pivotArea>
    </format>
    <format dxfId="10737">
      <pivotArea dataOnly="0" labelOnly="1" outline="0" fieldPosition="0">
        <references count="5">
          <reference field="3" count="1" selected="0">
            <x v="4"/>
          </reference>
          <reference field="4" count="1" selected="0">
            <x v="1"/>
          </reference>
          <reference field="5" count="1" selected="0">
            <x v="149"/>
          </reference>
          <reference field="6" count="1" selected="0">
            <x v="2"/>
          </reference>
          <reference field="9" count="1">
            <x v="10"/>
          </reference>
        </references>
      </pivotArea>
    </format>
    <format dxfId="10736">
      <pivotArea dataOnly="0" labelOnly="1" outline="0" fieldPosition="0">
        <references count="5">
          <reference field="3" count="1" selected="0">
            <x v="4"/>
          </reference>
          <reference field="4" count="1" selected="0">
            <x v="1"/>
          </reference>
          <reference field="5" count="1" selected="0">
            <x v="154"/>
          </reference>
          <reference field="6" count="1" selected="0">
            <x v="2"/>
          </reference>
          <reference field="9" count="1">
            <x v="10"/>
          </reference>
        </references>
      </pivotArea>
    </format>
    <format dxfId="10735">
      <pivotArea dataOnly="0" labelOnly="1" outline="0" fieldPosition="0">
        <references count="5">
          <reference field="3" count="1" selected="0">
            <x v="4"/>
          </reference>
          <reference field="4" count="1" selected="0">
            <x v="1"/>
          </reference>
          <reference field="5" count="1" selected="0">
            <x v="216"/>
          </reference>
          <reference field="6" count="1" selected="0">
            <x v="2"/>
          </reference>
          <reference field="9" count="1">
            <x v="4"/>
          </reference>
        </references>
      </pivotArea>
    </format>
    <format dxfId="10734">
      <pivotArea dataOnly="0" labelOnly="1" outline="0" fieldPosition="0">
        <references count="5">
          <reference field="3" count="1" selected="0">
            <x v="4"/>
          </reference>
          <reference field="4" count="1" selected="0">
            <x v="1"/>
          </reference>
          <reference field="5" count="1" selected="0">
            <x v="217"/>
          </reference>
          <reference field="6" count="1" selected="0">
            <x v="2"/>
          </reference>
          <reference field="9" count="1">
            <x v="4"/>
          </reference>
        </references>
      </pivotArea>
    </format>
    <format dxfId="10733">
      <pivotArea dataOnly="0" labelOnly="1" outline="0" fieldPosition="0">
        <references count="5">
          <reference field="3" count="1" selected="0">
            <x v="6"/>
          </reference>
          <reference field="4" count="1" selected="0">
            <x v="0"/>
          </reference>
          <reference field="5" count="1" selected="0">
            <x v="22"/>
          </reference>
          <reference field="6" count="1" selected="0">
            <x v="9"/>
          </reference>
          <reference field="9" count="1">
            <x v="10"/>
          </reference>
        </references>
      </pivotArea>
    </format>
    <format dxfId="10732">
      <pivotArea dataOnly="0" labelOnly="1" outline="0" fieldPosition="0">
        <references count="5">
          <reference field="3" count="1" selected="0">
            <x v="6"/>
          </reference>
          <reference field="4" count="1" selected="0">
            <x v="0"/>
          </reference>
          <reference field="5" count="1" selected="0">
            <x v="27"/>
          </reference>
          <reference field="6" count="1" selected="0">
            <x v="9"/>
          </reference>
          <reference field="9" count="1">
            <x v="10"/>
          </reference>
        </references>
      </pivotArea>
    </format>
    <format dxfId="10731">
      <pivotArea dataOnly="0" labelOnly="1" outline="0" fieldPosition="0">
        <references count="5">
          <reference field="3" count="1" selected="0">
            <x v="6"/>
          </reference>
          <reference field="4" count="1" selected="0">
            <x v="0"/>
          </reference>
          <reference field="5" count="1" selected="0">
            <x v="32"/>
          </reference>
          <reference field="6" count="1" selected="0">
            <x v="9"/>
          </reference>
          <reference field="9" count="1">
            <x v="10"/>
          </reference>
        </references>
      </pivotArea>
    </format>
    <format dxfId="10730">
      <pivotArea dataOnly="0" labelOnly="1" outline="0" fieldPosition="0">
        <references count="5">
          <reference field="3" count="1" selected="0">
            <x v="6"/>
          </reference>
          <reference field="4" count="1" selected="0">
            <x v="1"/>
          </reference>
          <reference field="5" count="1" selected="0">
            <x v="36"/>
          </reference>
          <reference field="6" count="1" selected="0">
            <x v="2"/>
          </reference>
          <reference field="9" count="1">
            <x v="2"/>
          </reference>
        </references>
      </pivotArea>
    </format>
    <format dxfId="10729">
      <pivotArea dataOnly="0" labelOnly="1" outline="0" fieldPosition="0">
        <references count="5">
          <reference field="3" count="1" selected="0">
            <x v="6"/>
          </reference>
          <reference field="4" count="1" selected="0">
            <x v="1"/>
          </reference>
          <reference field="5" count="1" selected="0">
            <x v="52"/>
          </reference>
          <reference field="6" count="1" selected="0">
            <x v="2"/>
          </reference>
          <reference field="9" count="1">
            <x v="4"/>
          </reference>
        </references>
      </pivotArea>
    </format>
    <format dxfId="10728">
      <pivotArea dataOnly="0" labelOnly="1" outline="0" fieldPosition="0">
        <references count="5">
          <reference field="3" count="1" selected="0">
            <x v="6"/>
          </reference>
          <reference field="4" count="1" selected="0">
            <x v="1"/>
          </reference>
          <reference field="5" count="1" selected="0">
            <x v="94"/>
          </reference>
          <reference field="6" count="1" selected="0">
            <x v="2"/>
          </reference>
          <reference field="9" count="1">
            <x v="4"/>
          </reference>
        </references>
      </pivotArea>
    </format>
    <format dxfId="10727">
      <pivotArea dataOnly="0" labelOnly="1" outline="0" fieldPosition="0">
        <references count="5">
          <reference field="3" count="1" selected="0">
            <x v="6"/>
          </reference>
          <reference field="4" count="1" selected="0">
            <x v="0"/>
          </reference>
          <reference field="5" count="1" selected="0">
            <x v="110"/>
          </reference>
          <reference field="6" count="1" selected="0">
            <x v="9"/>
          </reference>
          <reference field="9" count="1">
            <x v="10"/>
          </reference>
        </references>
      </pivotArea>
    </format>
    <format dxfId="10726">
      <pivotArea dataOnly="0" labelOnly="1" outline="0" fieldPosition="0">
        <references count="5">
          <reference field="3" count="1" selected="0">
            <x v="6"/>
          </reference>
          <reference field="4" count="1" selected="0">
            <x v="0"/>
          </reference>
          <reference field="5" count="1" selected="0">
            <x v="111"/>
          </reference>
          <reference field="6" count="1" selected="0">
            <x v="9"/>
          </reference>
          <reference field="9" count="1">
            <x v="10"/>
          </reference>
        </references>
      </pivotArea>
    </format>
    <format dxfId="10725">
      <pivotArea dataOnly="0" labelOnly="1" outline="0" fieldPosition="0">
        <references count="5">
          <reference field="3" count="1" selected="0">
            <x v="6"/>
          </reference>
          <reference field="4" count="1" selected="0">
            <x v="0"/>
          </reference>
          <reference field="5" count="1" selected="0">
            <x v="130"/>
          </reference>
          <reference field="6" count="1" selected="0">
            <x v="9"/>
          </reference>
          <reference field="9" count="1">
            <x v="10"/>
          </reference>
        </references>
      </pivotArea>
    </format>
    <format dxfId="10724">
      <pivotArea dataOnly="0" labelOnly="1" outline="0" fieldPosition="0">
        <references count="5">
          <reference field="3" count="1" selected="0">
            <x v="6"/>
          </reference>
          <reference field="4" count="1" selected="0">
            <x v="0"/>
          </reference>
          <reference field="5" count="1" selected="0">
            <x v="131"/>
          </reference>
          <reference field="6" count="1" selected="0">
            <x v="9"/>
          </reference>
          <reference field="9" count="1">
            <x v="10"/>
          </reference>
        </references>
      </pivotArea>
    </format>
    <format dxfId="10723">
      <pivotArea dataOnly="0" labelOnly="1" outline="0" fieldPosition="0">
        <references count="5">
          <reference field="3" count="1" selected="0">
            <x v="6"/>
          </reference>
          <reference field="4" count="1" selected="0">
            <x v="0"/>
          </reference>
          <reference field="5" count="1" selected="0">
            <x v="186"/>
          </reference>
          <reference field="6" count="1" selected="0">
            <x v="9"/>
          </reference>
          <reference field="9" count="1">
            <x v="10"/>
          </reference>
        </references>
      </pivotArea>
    </format>
    <format dxfId="10722">
      <pivotArea dataOnly="0" labelOnly="1" outline="0" fieldPosition="0">
        <references count="5">
          <reference field="3" count="1" selected="0">
            <x v="6"/>
          </reference>
          <reference field="4" count="1" selected="0">
            <x v="1"/>
          </reference>
          <reference field="5" count="1" selected="0">
            <x v="44"/>
          </reference>
          <reference field="6" count="1" selected="0">
            <x v="2"/>
          </reference>
          <reference field="9" count="1">
            <x v="4"/>
          </reference>
        </references>
      </pivotArea>
    </format>
    <format dxfId="10721">
      <pivotArea dataOnly="0" labelOnly="1" outline="0" fieldPosition="0">
        <references count="5">
          <reference field="3" count="1" selected="0">
            <x v="6"/>
          </reference>
          <reference field="4" count="1" selected="0">
            <x v="0"/>
          </reference>
          <reference field="5" count="1" selected="0">
            <x v="189"/>
          </reference>
          <reference field="6" count="1" selected="0">
            <x v="9"/>
          </reference>
          <reference field="9" count="1">
            <x v="10"/>
          </reference>
        </references>
      </pivotArea>
    </format>
    <format dxfId="10720">
      <pivotArea dataOnly="0" labelOnly="1" outline="0" fieldPosition="0">
        <references count="5">
          <reference field="3" count="1" selected="0">
            <x v="6"/>
          </reference>
          <reference field="4" count="1" selected="0">
            <x v="0"/>
          </reference>
          <reference field="5" count="1" selected="0">
            <x v="29"/>
          </reference>
          <reference field="6" count="1" selected="0">
            <x v="9"/>
          </reference>
          <reference field="9" count="1">
            <x v="10"/>
          </reference>
        </references>
      </pivotArea>
    </format>
    <format dxfId="10719">
      <pivotArea dataOnly="0" labelOnly="1" outline="0" fieldPosition="0">
        <references count="5">
          <reference field="3" count="1" selected="0">
            <x v="6"/>
          </reference>
          <reference field="4" count="1" selected="0">
            <x v="0"/>
          </reference>
          <reference field="5" count="1" selected="0">
            <x v="158"/>
          </reference>
          <reference field="6" count="1" selected="0">
            <x v="9"/>
          </reference>
          <reference field="9" count="1">
            <x v="10"/>
          </reference>
        </references>
      </pivotArea>
    </format>
    <format dxfId="10718">
      <pivotArea dataOnly="0" labelOnly="1" outline="0" fieldPosition="0">
        <references count="5">
          <reference field="3" count="1" selected="0">
            <x v="6"/>
          </reference>
          <reference field="4" count="1" selected="0">
            <x v="0"/>
          </reference>
          <reference field="5" count="1" selected="0">
            <x v="87"/>
          </reference>
          <reference field="6" count="1" selected="0">
            <x v="5"/>
          </reference>
          <reference field="9" count="1">
            <x v="10"/>
          </reference>
        </references>
      </pivotArea>
    </format>
    <format dxfId="10717">
      <pivotArea dataOnly="0" labelOnly="1" outline="0" fieldPosition="0">
        <references count="5">
          <reference field="3" count="1" selected="0">
            <x v="6"/>
          </reference>
          <reference field="4" count="1" selected="0">
            <x v="1"/>
          </reference>
          <reference field="5" count="1" selected="0">
            <x v="62"/>
          </reference>
          <reference field="6" count="1" selected="0">
            <x v="2"/>
          </reference>
          <reference field="9" count="1">
            <x v="4"/>
          </reference>
        </references>
      </pivotArea>
    </format>
    <format dxfId="10716">
      <pivotArea dataOnly="0" labelOnly="1" outline="0" fieldPosition="0">
        <references count="5">
          <reference field="3" count="1" selected="0">
            <x v="8"/>
          </reference>
          <reference field="4" count="1" selected="0">
            <x v="3"/>
          </reference>
          <reference field="5" count="1" selected="0">
            <x v="31"/>
          </reference>
          <reference field="6" count="1" selected="0">
            <x v="3"/>
          </reference>
          <reference field="9" count="1">
            <x v="10"/>
          </reference>
        </references>
      </pivotArea>
    </format>
    <format dxfId="10715">
      <pivotArea dataOnly="0" labelOnly="1" outline="0" fieldPosition="0">
        <references count="5">
          <reference field="3" count="1" selected="0">
            <x v="8"/>
          </reference>
          <reference field="4" count="1" selected="0">
            <x v="0"/>
          </reference>
          <reference field="5" count="1" selected="0">
            <x v="63"/>
          </reference>
          <reference field="6" count="1" selected="0">
            <x v="9"/>
          </reference>
          <reference field="9" count="1">
            <x v="10"/>
          </reference>
        </references>
      </pivotArea>
    </format>
    <format dxfId="10714">
      <pivotArea dataOnly="0" labelOnly="1" outline="0" fieldPosition="0">
        <references count="5">
          <reference field="3" count="1" selected="0">
            <x v="8"/>
          </reference>
          <reference field="4" count="1" selected="0">
            <x v="3"/>
          </reference>
          <reference field="5" count="1" selected="0">
            <x v="133"/>
          </reference>
          <reference field="6" count="1" selected="0">
            <x v="3"/>
          </reference>
          <reference field="9" count="1">
            <x v="10"/>
          </reference>
        </references>
      </pivotArea>
    </format>
    <format dxfId="10713">
      <pivotArea dataOnly="0" labelOnly="1" outline="0" fieldPosition="0">
        <references count="5">
          <reference field="3" count="1" selected="0">
            <x v="8"/>
          </reference>
          <reference field="4" count="1" selected="0">
            <x v="3"/>
          </reference>
          <reference field="5" count="1" selected="0">
            <x v="134"/>
          </reference>
          <reference field="6" count="1" selected="0">
            <x v="3"/>
          </reference>
          <reference field="9" count="1">
            <x v="10"/>
          </reference>
        </references>
      </pivotArea>
    </format>
    <format dxfId="10712">
      <pivotArea dataOnly="0" labelOnly="1" outline="0" fieldPosition="0">
        <references count="5">
          <reference field="3" count="1" selected="0">
            <x v="8"/>
          </reference>
          <reference field="4" count="1" selected="0">
            <x v="3"/>
          </reference>
          <reference field="5" count="1" selected="0">
            <x v="136"/>
          </reference>
          <reference field="6" count="1" selected="0">
            <x v="3"/>
          </reference>
          <reference field="9" count="1">
            <x v="10"/>
          </reference>
        </references>
      </pivotArea>
    </format>
    <format dxfId="10711">
      <pivotArea dataOnly="0" labelOnly="1" outline="0" fieldPosition="0">
        <references count="5">
          <reference field="3" count="1" selected="0">
            <x v="8"/>
          </reference>
          <reference field="4" count="1" selected="0">
            <x v="0"/>
          </reference>
          <reference field="5" count="1" selected="0">
            <x v="64"/>
          </reference>
          <reference field="6" count="1" selected="0">
            <x v="9"/>
          </reference>
          <reference field="9" count="1">
            <x v="10"/>
          </reference>
        </references>
      </pivotArea>
    </format>
    <format dxfId="10710">
      <pivotArea dataOnly="0" labelOnly="1" outline="0" fieldPosition="0">
        <references count="5">
          <reference field="3" count="1" selected="0">
            <x v="9"/>
          </reference>
          <reference field="4" count="1" selected="0">
            <x v="4"/>
          </reference>
          <reference field="5" count="1" selected="0">
            <x v="30"/>
          </reference>
          <reference field="6" count="1" selected="0">
            <x v="5"/>
          </reference>
          <reference field="9" count="1">
            <x v="10"/>
          </reference>
        </references>
      </pivotArea>
    </format>
    <format dxfId="10709">
      <pivotArea dataOnly="0" labelOnly="1" outline="0" fieldPosition="0">
        <references count="5">
          <reference field="3" count="1" selected="0">
            <x v="9"/>
          </reference>
          <reference field="4" count="1" selected="0">
            <x v="3"/>
          </reference>
          <reference field="5" count="1" selected="0">
            <x v="80"/>
          </reference>
          <reference field="6" count="1" selected="0">
            <x v="3"/>
          </reference>
          <reference field="9" count="1">
            <x v="10"/>
          </reference>
        </references>
      </pivotArea>
    </format>
    <format dxfId="10708">
      <pivotArea dataOnly="0" labelOnly="1" outline="0" fieldPosition="0">
        <references count="5">
          <reference field="3" count="1" selected="0">
            <x v="9"/>
          </reference>
          <reference field="4" count="1" selected="0">
            <x v="4"/>
          </reference>
          <reference field="5" count="1" selected="0">
            <x v="142"/>
          </reference>
          <reference field="6" count="1" selected="0">
            <x v="5"/>
          </reference>
          <reference field="9" count="1">
            <x v="10"/>
          </reference>
        </references>
      </pivotArea>
    </format>
    <format dxfId="10707">
      <pivotArea dataOnly="0" labelOnly="1" outline="0" fieldPosition="0">
        <references count="5">
          <reference field="3" count="1" selected="0">
            <x v="9"/>
          </reference>
          <reference field="4" count="1" selected="0">
            <x v="4"/>
          </reference>
          <reference field="5" count="1" selected="0">
            <x v="144"/>
          </reference>
          <reference field="6" count="1" selected="0">
            <x v="5"/>
          </reference>
          <reference field="9" count="1">
            <x v="10"/>
          </reference>
        </references>
      </pivotArea>
    </format>
    <format dxfId="10706">
      <pivotArea dataOnly="0" labelOnly="1" outline="0" fieldPosition="0">
        <references count="5">
          <reference field="3" count="1" selected="0">
            <x v="9"/>
          </reference>
          <reference field="4" count="1" selected="0">
            <x v="3"/>
          </reference>
          <reference field="5" count="1" selected="0">
            <x v="163"/>
          </reference>
          <reference field="6" count="1" selected="0">
            <x v="5"/>
          </reference>
          <reference field="9" count="1">
            <x v="7"/>
          </reference>
        </references>
      </pivotArea>
    </format>
    <format dxfId="10705">
      <pivotArea dataOnly="0" labelOnly="1" outline="0" fieldPosition="0">
        <references count="5">
          <reference field="3" count="1" selected="0">
            <x v="9"/>
          </reference>
          <reference field="4" count="1" selected="0">
            <x v="3"/>
          </reference>
          <reference field="5" count="1" selected="0">
            <x v="212"/>
          </reference>
          <reference field="6" count="1" selected="0">
            <x v="5"/>
          </reference>
          <reference field="9" count="1">
            <x v="10"/>
          </reference>
        </references>
      </pivotArea>
    </format>
    <format dxfId="10704">
      <pivotArea dataOnly="0" labelOnly="1" outline="0" fieldPosition="0">
        <references count="5">
          <reference field="3" count="1" selected="0">
            <x v="10"/>
          </reference>
          <reference field="4" count="1" selected="0">
            <x v="4"/>
          </reference>
          <reference field="5" count="1" selected="0">
            <x v="48"/>
          </reference>
          <reference field="6" count="1" selected="0">
            <x v="5"/>
          </reference>
          <reference field="9" count="1">
            <x v="6"/>
          </reference>
        </references>
      </pivotArea>
    </format>
    <format dxfId="10703">
      <pivotArea dataOnly="0" labelOnly="1" outline="0" fieldPosition="0">
        <references count="5">
          <reference field="3" count="1" selected="0">
            <x v="10"/>
          </reference>
          <reference field="4" count="1" selected="0">
            <x v="4"/>
          </reference>
          <reference field="5" count="1" selected="0">
            <x v="73"/>
          </reference>
          <reference field="6" count="1" selected="0">
            <x v="5"/>
          </reference>
          <reference field="9" count="1">
            <x v="7"/>
          </reference>
        </references>
      </pivotArea>
    </format>
    <format dxfId="10702">
      <pivotArea dataOnly="0" labelOnly="1" outline="0" fieldPosition="0">
        <references count="5">
          <reference field="3" count="1" selected="0">
            <x v="10"/>
          </reference>
          <reference field="4" count="1" selected="0">
            <x v="4"/>
          </reference>
          <reference field="5" count="1" selected="0">
            <x v="72"/>
          </reference>
          <reference field="6" count="1" selected="0">
            <x v="5"/>
          </reference>
          <reference field="9" count="1">
            <x v="7"/>
          </reference>
        </references>
      </pivotArea>
    </format>
    <format dxfId="10701">
      <pivotArea dataOnly="0" labelOnly="1" outline="0" fieldPosition="0">
        <references count="1">
          <reference field="3" count="7">
            <x v="0"/>
            <x v="3"/>
            <x v="4"/>
            <x v="6"/>
            <x v="8"/>
            <x v="9"/>
            <x v="10"/>
          </reference>
        </references>
      </pivotArea>
    </format>
    <format dxfId="10700">
      <pivotArea dataOnly="0" labelOnly="1" outline="0" fieldPosition="0">
        <references count="2">
          <reference field="3" count="1" selected="0">
            <x v="0"/>
          </reference>
          <reference field="5" count="1">
            <x v="167"/>
          </reference>
        </references>
      </pivotArea>
    </format>
    <format dxfId="10699">
      <pivotArea dataOnly="0" labelOnly="1" outline="0" fieldPosition="0">
        <references count="2">
          <reference field="3" count="1" selected="0">
            <x v="3"/>
          </reference>
          <reference field="5" count="3">
            <x v="194"/>
            <x v="196"/>
            <x v="204"/>
          </reference>
        </references>
      </pivotArea>
    </format>
    <format dxfId="10698">
      <pivotArea dataOnly="0" labelOnly="1" outline="0" fieldPosition="0">
        <references count="2">
          <reference field="3" count="1" selected="0">
            <x v="4"/>
          </reference>
          <reference field="5" count="11">
            <x v="96"/>
            <x v="99"/>
            <x v="101"/>
            <x v="102"/>
            <x v="148"/>
            <x v="150"/>
            <x v="151"/>
            <x v="155"/>
            <x v="169"/>
            <x v="218"/>
            <x v="222"/>
          </reference>
        </references>
      </pivotArea>
    </format>
    <format dxfId="10697">
      <pivotArea dataOnly="0" labelOnly="1" outline="0" fieldPosition="0">
        <references count="2">
          <reference field="3" count="1" selected="0">
            <x v="6"/>
          </reference>
          <reference field="5" count="23">
            <x v="3"/>
            <x v="41"/>
            <x v="47"/>
            <x v="51"/>
            <x v="56"/>
            <x v="106"/>
            <x v="108"/>
            <x v="109"/>
            <x v="120"/>
            <x v="121"/>
            <x v="126"/>
            <x v="129"/>
            <x v="145"/>
            <x v="159"/>
            <x v="160"/>
            <x v="166"/>
            <x v="170"/>
            <x v="173"/>
            <x v="179"/>
            <x v="183"/>
            <x v="185"/>
            <x v="187"/>
            <x v="209"/>
          </reference>
        </references>
      </pivotArea>
    </format>
    <format dxfId="10696">
      <pivotArea dataOnly="0" labelOnly="1" outline="0" fieldPosition="0">
        <references count="2">
          <reference field="3" count="1" selected="0">
            <x v="8"/>
          </reference>
          <reference field="5" count="10">
            <x v="0"/>
            <x v="4"/>
            <x v="8"/>
            <x v="10"/>
            <x v="11"/>
            <x v="84"/>
            <x v="85"/>
            <x v="86"/>
            <x v="135"/>
            <x v="162"/>
          </reference>
        </references>
      </pivotArea>
    </format>
    <format dxfId="10695">
      <pivotArea dataOnly="0" labelOnly="1" outline="0" fieldPosition="0">
        <references count="2">
          <reference field="3" count="1" selected="0">
            <x v="9"/>
          </reference>
          <reference field="5" count="2">
            <x v="90"/>
            <x v="213"/>
          </reference>
        </references>
      </pivotArea>
    </format>
    <format dxfId="10694">
      <pivotArea dataOnly="0" labelOnly="1" outline="0" fieldPosition="0">
        <references count="2">
          <reference field="3" count="1" selected="0">
            <x v="10"/>
          </reference>
          <reference field="5" count="4">
            <x v="9"/>
            <x v="15"/>
            <x v="17"/>
            <x v="54"/>
          </reference>
        </references>
      </pivotArea>
    </format>
    <format dxfId="10693">
      <pivotArea dataOnly="0" labelOnly="1" outline="0" fieldPosition="0">
        <references count="3">
          <reference field="3" count="1" selected="0">
            <x v="0"/>
          </reference>
          <reference field="5" count="1" selected="0">
            <x v="167"/>
          </reference>
          <reference field="6" count="1">
            <x v="7"/>
          </reference>
        </references>
      </pivotArea>
    </format>
    <format dxfId="10692">
      <pivotArea dataOnly="0" labelOnly="1" outline="0" fieldPosition="0">
        <references count="3">
          <reference field="3" count="1" selected="0">
            <x v="4"/>
          </reference>
          <reference field="5" count="1" selected="0">
            <x v="222"/>
          </reference>
          <reference field="6" count="1">
            <x v="9"/>
          </reference>
        </references>
      </pivotArea>
    </format>
    <format dxfId="10691">
      <pivotArea dataOnly="0" labelOnly="1" outline="0" fieldPosition="0">
        <references count="3">
          <reference field="3" count="1" selected="0">
            <x v="4"/>
          </reference>
          <reference field="5" count="1" selected="0">
            <x v="150"/>
          </reference>
          <reference field="6" count="1">
            <x v="2"/>
          </reference>
        </references>
      </pivotArea>
    </format>
    <format dxfId="10690">
      <pivotArea dataOnly="0" labelOnly="1" outline="0" fieldPosition="0">
        <references count="3">
          <reference field="3" count="1" selected="0">
            <x v="6"/>
          </reference>
          <reference field="5" count="1" selected="0">
            <x v="41"/>
          </reference>
          <reference field="6" count="1">
            <x v="2"/>
          </reference>
        </references>
      </pivotArea>
    </format>
    <format dxfId="10689">
      <pivotArea dataOnly="0" labelOnly="1" outline="0" fieldPosition="0">
        <references count="3">
          <reference field="3" count="1" selected="0">
            <x v="8"/>
          </reference>
          <reference field="5" count="1" selected="0">
            <x v="0"/>
          </reference>
          <reference field="6" count="1">
            <x v="9"/>
          </reference>
        </references>
      </pivotArea>
    </format>
    <format dxfId="10688">
      <pivotArea dataOnly="0" labelOnly="1" outline="0" fieldPosition="0">
        <references count="3">
          <reference field="3" count="1" selected="0">
            <x v="8"/>
          </reference>
          <reference field="5" count="1" selected="0">
            <x v="86"/>
          </reference>
          <reference field="6" count="1">
            <x v="6"/>
          </reference>
        </references>
      </pivotArea>
    </format>
    <format dxfId="10687">
      <pivotArea dataOnly="0" labelOnly="1" outline="0" fieldPosition="0">
        <references count="3">
          <reference field="3" count="1" selected="0">
            <x v="8"/>
          </reference>
          <reference field="5" count="1" selected="0">
            <x v="135"/>
          </reference>
          <reference field="6" count="1">
            <x v="3"/>
          </reference>
        </references>
      </pivotArea>
    </format>
    <format dxfId="10686">
      <pivotArea dataOnly="0" labelOnly="1" outline="0" fieldPosition="0">
        <references count="3">
          <reference field="3" count="1" selected="0">
            <x v="9"/>
          </reference>
          <reference field="5" count="1" selected="0">
            <x v="213"/>
          </reference>
          <reference field="6" count="1">
            <x v="5"/>
          </reference>
        </references>
      </pivotArea>
    </format>
    <format dxfId="10685">
      <pivotArea dataOnly="0" labelOnly="1" outline="0" fieldPosition="0">
        <references count="4">
          <reference field="3" count="1" selected="0">
            <x v="0"/>
          </reference>
          <reference field="4" count="1">
            <x v="3"/>
          </reference>
          <reference field="5" count="1" selected="0">
            <x v="167"/>
          </reference>
          <reference field="6" count="1" selected="0">
            <x v="7"/>
          </reference>
        </references>
      </pivotArea>
    </format>
    <format dxfId="10684">
      <pivotArea dataOnly="0" labelOnly="1" outline="0" fieldPosition="0">
        <references count="4">
          <reference field="3" count="1" selected="0">
            <x v="6"/>
          </reference>
          <reference field="4" count="1">
            <x v="1"/>
          </reference>
          <reference field="5" count="1" selected="0">
            <x v="41"/>
          </reference>
          <reference field="6" count="1" selected="0">
            <x v="2"/>
          </reference>
        </references>
      </pivotArea>
    </format>
    <format dxfId="10683">
      <pivotArea dataOnly="0" labelOnly="1" outline="0" fieldPosition="0">
        <references count="4">
          <reference field="3" count="1" selected="0">
            <x v="8"/>
          </reference>
          <reference field="4" count="1">
            <x v="0"/>
          </reference>
          <reference field="5" count="1" selected="0">
            <x v="0"/>
          </reference>
          <reference field="6" count="1" selected="0">
            <x v="9"/>
          </reference>
        </references>
      </pivotArea>
    </format>
    <format dxfId="10682">
      <pivotArea dataOnly="0" labelOnly="1" outline="0" fieldPosition="0">
        <references count="4">
          <reference field="3" count="1" selected="0">
            <x v="8"/>
          </reference>
          <reference field="4" count="1">
            <x v="3"/>
          </reference>
          <reference field="5" count="1" selected="0">
            <x v="86"/>
          </reference>
          <reference field="6" count="1" selected="0">
            <x v="6"/>
          </reference>
        </references>
      </pivotArea>
    </format>
    <format dxfId="10681">
      <pivotArea dataOnly="0" labelOnly="1" outline="0" fieldPosition="0">
        <references count="4">
          <reference field="3" count="1" selected="0">
            <x v="9"/>
          </reference>
          <reference field="4" count="1">
            <x v="3"/>
          </reference>
          <reference field="5" count="1" selected="0">
            <x v="213"/>
          </reference>
          <reference field="6" count="1" selected="0">
            <x v="5"/>
          </reference>
        </references>
      </pivotArea>
    </format>
    <format dxfId="10680">
      <pivotArea dataOnly="0" labelOnly="1" outline="0" fieldPosition="0">
        <references count="4">
          <reference field="3" count="1" selected="0">
            <x v="10"/>
          </reference>
          <reference field="4" count="1">
            <x v="4"/>
          </reference>
          <reference field="5" count="1" selected="0">
            <x v="9"/>
          </reference>
          <reference field="6" count="1" selected="0">
            <x v="5"/>
          </reference>
        </references>
      </pivotArea>
    </format>
    <format dxfId="10679">
      <pivotArea dataOnly="0" labelOnly="1" outline="0" fieldPosition="0">
        <references count="4">
          <reference field="3" count="1" selected="0">
            <x v="10"/>
          </reference>
          <reference field="4" count="1">
            <x v="3"/>
          </reference>
          <reference field="5" count="1" selected="0">
            <x v="15"/>
          </reference>
          <reference field="6" count="1" selected="0">
            <x v="5"/>
          </reference>
        </references>
      </pivotArea>
    </format>
    <format dxfId="10678">
      <pivotArea dataOnly="0" labelOnly="1" outline="0" fieldPosition="0">
        <references count="5">
          <reference field="3" count="1" selected="0">
            <x v="0"/>
          </reference>
          <reference field="4" count="1" selected="0">
            <x v="3"/>
          </reference>
          <reference field="5" count="1" selected="0">
            <x v="167"/>
          </reference>
          <reference field="6" count="1" selected="0">
            <x v="7"/>
          </reference>
          <reference field="9" count="1">
            <x v="10"/>
          </reference>
        </references>
      </pivotArea>
    </format>
    <format dxfId="10677">
      <pivotArea dataOnly="0" labelOnly="1" outline="0" fieldPosition="0">
        <references count="5">
          <reference field="3" count="1" selected="0">
            <x v="3"/>
          </reference>
          <reference field="4" count="1" selected="0">
            <x v="1"/>
          </reference>
          <reference field="5" count="1" selected="0">
            <x v="196"/>
          </reference>
          <reference field="6" count="1" selected="0">
            <x v="2"/>
          </reference>
          <reference field="9" count="1">
            <x v="10"/>
          </reference>
        </references>
      </pivotArea>
    </format>
    <format dxfId="10676">
      <pivotArea dataOnly="0" labelOnly="1" outline="0" fieldPosition="0">
        <references count="5">
          <reference field="3" count="1" selected="0">
            <x v="3"/>
          </reference>
          <reference field="4" count="1" selected="0">
            <x v="1"/>
          </reference>
          <reference field="5" count="1" selected="0">
            <x v="204"/>
          </reference>
          <reference field="6" count="1" selected="0">
            <x v="2"/>
          </reference>
          <reference field="9" count="1">
            <x v="10"/>
          </reference>
        </references>
      </pivotArea>
    </format>
    <format dxfId="10675">
      <pivotArea dataOnly="0" labelOnly="1" outline="0" fieldPosition="0">
        <references count="5">
          <reference field="3" count="1" selected="0">
            <x v="4"/>
          </reference>
          <reference field="4" count="1" selected="0">
            <x v="1"/>
          </reference>
          <reference field="5" count="1" selected="0">
            <x v="96"/>
          </reference>
          <reference field="6" count="1" selected="0">
            <x v="2"/>
          </reference>
          <reference field="9" count="1">
            <x v="10"/>
          </reference>
        </references>
      </pivotArea>
    </format>
    <format dxfId="10674">
      <pivotArea dataOnly="0" labelOnly="1" outline="0" fieldPosition="0">
        <references count="5">
          <reference field="3" count="1" selected="0">
            <x v="4"/>
          </reference>
          <reference field="4" count="1" selected="0">
            <x v="1"/>
          </reference>
          <reference field="5" count="1" selected="0">
            <x v="99"/>
          </reference>
          <reference field="6" count="1" selected="0">
            <x v="2"/>
          </reference>
          <reference field="9" count="1">
            <x v="10"/>
          </reference>
        </references>
      </pivotArea>
    </format>
    <format dxfId="10673">
      <pivotArea dataOnly="0" labelOnly="1" outline="0" fieldPosition="0">
        <references count="5">
          <reference field="3" count="1" selected="0">
            <x v="4"/>
          </reference>
          <reference field="4" count="1" selected="0">
            <x v="1"/>
          </reference>
          <reference field="5" count="1" selected="0">
            <x v="101"/>
          </reference>
          <reference field="6" count="1" selected="0">
            <x v="2"/>
          </reference>
          <reference field="9" count="1">
            <x v="10"/>
          </reference>
        </references>
      </pivotArea>
    </format>
    <format dxfId="10672">
      <pivotArea dataOnly="0" labelOnly="1" outline="0" fieldPosition="0">
        <references count="5">
          <reference field="3" count="1" selected="0">
            <x v="4"/>
          </reference>
          <reference field="4" count="1" selected="0">
            <x v="1"/>
          </reference>
          <reference field="5" count="1" selected="0">
            <x v="102"/>
          </reference>
          <reference field="6" count="1" selected="0">
            <x v="2"/>
          </reference>
          <reference field="9" count="1">
            <x v="2"/>
          </reference>
        </references>
      </pivotArea>
    </format>
    <format dxfId="10671">
      <pivotArea dataOnly="0" labelOnly="1" outline="0" fieldPosition="0">
        <references count="5">
          <reference field="3" count="1" selected="0">
            <x v="4"/>
          </reference>
          <reference field="4" count="1" selected="0">
            <x v="1"/>
          </reference>
          <reference field="5" count="1" selected="0">
            <x v="148"/>
          </reference>
          <reference field="6" count="1" selected="0">
            <x v="2"/>
          </reference>
          <reference field="9" count="1">
            <x v="10"/>
          </reference>
        </references>
      </pivotArea>
    </format>
    <format dxfId="10670">
      <pivotArea dataOnly="0" labelOnly="1" outline="0" fieldPosition="0">
        <references count="5">
          <reference field="3" count="1" selected="0">
            <x v="4"/>
          </reference>
          <reference field="4" count="1" selected="0">
            <x v="1"/>
          </reference>
          <reference field="5" count="1" selected="0">
            <x v="151"/>
          </reference>
          <reference field="6" count="1" selected="0">
            <x v="2"/>
          </reference>
          <reference field="9" count="1">
            <x v="10"/>
          </reference>
        </references>
      </pivotArea>
    </format>
    <format dxfId="10669">
      <pivotArea dataOnly="0" labelOnly="1" outline="0" fieldPosition="0">
        <references count="5">
          <reference field="3" count="1" selected="0">
            <x v="4"/>
          </reference>
          <reference field="4" count="1" selected="0">
            <x v="1"/>
          </reference>
          <reference field="5" count="1" selected="0">
            <x v="155"/>
          </reference>
          <reference field="6" count="1" selected="0">
            <x v="2"/>
          </reference>
          <reference field="9" count="1">
            <x v="10"/>
          </reference>
        </references>
      </pivotArea>
    </format>
    <format dxfId="10668">
      <pivotArea dataOnly="0" labelOnly="1" outline="0" fieldPosition="0">
        <references count="5">
          <reference field="3" count="1" selected="0">
            <x v="4"/>
          </reference>
          <reference field="4" count="1" selected="0">
            <x v="1"/>
          </reference>
          <reference field="5" count="1" selected="0">
            <x v="218"/>
          </reference>
          <reference field="6" count="1" selected="0">
            <x v="2"/>
          </reference>
          <reference field="9" count="1">
            <x v="10"/>
          </reference>
        </references>
      </pivotArea>
    </format>
    <format dxfId="10667">
      <pivotArea dataOnly="0" labelOnly="1" outline="0" fieldPosition="0">
        <references count="5">
          <reference field="3" count="1" selected="0">
            <x v="4"/>
          </reference>
          <reference field="4" count="1" selected="0">
            <x v="1"/>
          </reference>
          <reference field="5" count="1" selected="0">
            <x v="222"/>
          </reference>
          <reference field="6" count="1" selected="0">
            <x v="9"/>
          </reference>
          <reference field="9" count="1">
            <x v="8"/>
          </reference>
        </references>
      </pivotArea>
    </format>
    <format dxfId="10666">
      <pivotArea dataOnly="0" labelOnly="1" outline="0" fieldPosition="0">
        <references count="5">
          <reference field="3" count="1" selected="0">
            <x v="4"/>
          </reference>
          <reference field="4" count="1" selected="0">
            <x v="1"/>
          </reference>
          <reference field="5" count="1" selected="0">
            <x v="150"/>
          </reference>
          <reference field="6" count="1" selected="0">
            <x v="2"/>
          </reference>
          <reference field="9" count="1">
            <x v="4"/>
          </reference>
        </references>
      </pivotArea>
    </format>
    <format dxfId="10665">
      <pivotArea dataOnly="0" labelOnly="1" outline="0" fieldPosition="0">
        <references count="5">
          <reference field="3" count="1" selected="0">
            <x v="6"/>
          </reference>
          <reference field="4" count="1" selected="0">
            <x v="1"/>
          </reference>
          <reference field="5" count="1" selected="0">
            <x v="47"/>
          </reference>
          <reference field="6" count="1" selected="0">
            <x v="2"/>
          </reference>
          <reference field="9" count="1">
            <x v="2"/>
          </reference>
        </references>
      </pivotArea>
    </format>
    <format dxfId="10664">
      <pivotArea dataOnly="0" labelOnly="1" outline="0" fieldPosition="0">
        <references count="5">
          <reference field="3" count="1" selected="0">
            <x v="6"/>
          </reference>
          <reference field="4" count="1" selected="0">
            <x v="1"/>
          </reference>
          <reference field="5" count="1" selected="0">
            <x v="56"/>
          </reference>
          <reference field="6" count="1" selected="0">
            <x v="2"/>
          </reference>
          <reference field="9" count="1">
            <x v="2"/>
          </reference>
        </references>
      </pivotArea>
    </format>
    <format dxfId="10663">
      <pivotArea dataOnly="0" labelOnly="1" outline="0" fieldPosition="0">
        <references count="5">
          <reference field="3" count="1" selected="0">
            <x v="6"/>
          </reference>
          <reference field="4" count="1" selected="0">
            <x v="0"/>
          </reference>
          <reference field="5" count="1" selected="0">
            <x v="120"/>
          </reference>
          <reference field="6" count="1" selected="0">
            <x v="9"/>
          </reference>
          <reference field="9" count="1">
            <x v="10"/>
          </reference>
        </references>
      </pivotArea>
    </format>
    <format dxfId="10662">
      <pivotArea dataOnly="0" labelOnly="1" outline="0" fieldPosition="0">
        <references count="5">
          <reference field="3" count="1" selected="0">
            <x v="6"/>
          </reference>
          <reference field="4" count="1" selected="0">
            <x v="0"/>
          </reference>
          <reference field="5" count="1" selected="0">
            <x v="121"/>
          </reference>
          <reference field="6" count="1" selected="0">
            <x v="9"/>
          </reference>
          <reference field="9" count="1">
            <x v="10"/>
          </reference>
        </references>
      </pivotArea>
    </format>
    <format dxfId="10661">
      <pivotArea dataOnly="0" labelOnly="1" outline="0" fieldPosition="0">
        <references count="5">
          <reference field="3" count="1" selected="0">
            <x v="6"/>
          </reference>
          <reference field="4" count="1" selected="0">
            <x v="0"/>
          </reference>
          <reference field="5" count="1" selected="0">
            <x v="126"/>
          </reference>
          <reference field="6" count="1" selected="0">
            <x v="9"/>
          </reference>
          <reference field="9" count="1">
            <x v="10"/>
          </reference>
        </references>
      </pivotArea>
    </format>
    <format dxfId="10660">
      <pivotArea dataOnly="0" labelOnly="1" outline="0" fieldPosition="0">
        <references count="5">
          <reference field="3" count="1" selected="0">
            <x v="6"/>
          </reference>
          <reference field="4" count="1" selected="0">
            <x v="0"/>
          </reference>
          <reference field="5" count="1" selected="0">
            <x v="129"/>
          </reference>
          <reference field="6" count="1" selected="0">
            <x v="9"/>
          </reference>
          <reference field="9" count="1">
            <x v="10"/>
          </reference>
        </references>
      </pivotArea>
    </format>
    <format dxfId="10659">
      <pivotArea dataOnly="0" labelOnly="1" outline="0" fieldPosition="0">
        <references count="5">
          <reference field="3" count="1" selected="0">
            <x v="6"/>
          </reference>
          <reference field="4" count="1" selected="0">
            <x v="0"/>
          </reference>
          <reference field="5" count="1" selected="0">
            <x v="173"/>
          </reference>
          <reference field="6" count="1" selected="0">
            <x v="9"/>
          </reference>
          <reference field="9" count="1">
            <x v="10"/>
          </reference>
        </references>
      </pivotArea>
    </format>
    <format dxfId="10658">
      <pivotArea dataOnly="0" labelOnly="1" outline="0" fieldPosition="0">
        <references count="5">
          <reference field="3" count="1" selected="0">
            <x v="6"/>
          </reference>
          <reference field="4" count="1" selected="0">
            <x v="0"/>
          </reference>
          <reference field="5" count="1" selected="0">
            <x v="183"/>
          </reference>
          <reference field="6" count="1" selected="0">
            <x v="9"/>
          </reference>
          <reference field="9" count="1">
            <x v="10"/>
          </reference>
        </references>
      </pivotArea>
    </format>
    <format dxfId="10657">
      <pivotArea dataOnly="0" labelOnly="1" outline="0" fieldPosition="0">
        <references count="5">
          <reference field="3" count="1" selected="0">
            <x v="6"/>
          </reference>
          <reference field="4" count="1" selected="0">
            <x v="0"/>
          </reference>
          <reference field="5" count="1" selected="0">
            <x v="185"/>
          </reference>
          <reference field="6" count="1" selected="0">
            <x v="9"/>
          </reference>
          <reference field="9" count="1">
            <x v="10"/>
          </reference>
        </references>
      </pivotArea>
    </format>
    <format dxfId="10656">
      <pivotArea dataOnly="0" labelOnly="1" outline="0" fieldPosition="0">
        <references count="5">
          <reference field="3" count="1" selected="0">
            <x v="6"/>
          </reference>
          <reference field="4" count="1" selected="0">
            <x v="0"/>
          </reference>
          <reference field="5" count="1" selected="0">
            <x v="145"/>
          </reference>
          <reference field="6" count="1" selected="0">
            <x v="9"/>
          </reference>
          <reference field="9" count="1">
            <x v="10"/>
          </reference>
        </references>
      </pivotArea>
    </format>
    <format dxfId="10655">
      <pivotArea dataOnly="0" labelOnly="1" outline="0" fieldPosition="0">
        <references count="5">
          <reference field="3" count="1" selected="0">
            <x v="6"/>
          </reference>
          <reference field="4" count="1" selected="0">
            <x v="0"/>
          </reference>
          <reference field="5" count="1" selected="0">
            <x v="160"/>
          </reference>
          <reference field="6" count="1" selected="0">
            <x v="9"/>
          </reference>
          <reference field="9" count="1">
            <x v="10"/>
          </reference>
        </references>
      </pivotArea>
    </format>
    <format dxfId="10654">
      <pivotArea dataOnly="0" labelOnly="1" outline="0" fieldPosition="0">
        <references count="5">
          <reference field="3" count="1" selected="0">
            <x v="6"/>
          </reference>
          <reference field="4" count="1" selected="0">
            <x v="0"/>
          </reference>
          <reference field="5" count="1" selected="0">
            <x v="179"/>
          </reference>
          <reference field="6" count="1" selected="0">
            <x v="9"/>
          </reference>
          <reference field="9" count="1">
            <x v="10"/>
          </reference>
        </references>
      </pivotArea>
    </format>
    <format dxfId="10653">
      <pivotArea dataOnly="0" labelOnly="1" outline="0" fieldPosition="0">
        <references count="5">
          <reference field="3" count="1" selected="0">
            <x v="6"/>
          </reference>
          <reference field="4" count="1" selected="0">
            <x v="0"/>
          </reference>
          <reference field="5" count="1" selected="0">
            <x v="166"/>
          </reference>
          <reference field="6" count="1" selected="0">
            <x v="9"/>
          </reference>
          <reference field="9" count="1">
            <x v="10"/>
          </reference>
        </references>
      </pivotArea>
    </format>
    <format dxfId="10652">
      <pivotArea dataOnly="0" labelOnly="1" outline="0" fieldPosition="0">
        <references count="5">
          <reference field="3" count="1" selected="0">
            <x v="6"/>
          </reference>
          <reference field="4" count="1" selected="0">
            <x v="0"/>
          </reference>
          <reference field="5" count="1" selected="0">
            <x v="170"/>
          </reference>
          <reference field="6" count="1" selected="0">
            <x v="9"/>
          </reference>
          <reference field="9" count="1">
            <x v="10"/>
          </reference>
        </references>
      </pivotArea>
    </format>
    <format dxfId="10651">
      <pivotArea dataOnly="0" labelOnly="1" outline="0" fieldPosition="0">
        <references count="5">
          <reference field="3" count="1" selected="0">
            <x v="6"/>
          </reference>
          <reference field="4" count="1" selected="0">
            <x v="0"/>
          </reference>
          <reference field="5" count="1" selected="0">
            <x v="209"/>
          </reference>
          <reference field="6" count="1" selected="0">
            <x v="9"/>
          </reference>
          <reference field="9" count="1">
            <x v="10"/>
          </reference>
        </references>
      </pivotArea>
    </format>
    <format dxfId="10650">
      <pivotArea dataOnly="0" labelOnly="1" outline="0" fieldPosition="0">
        <references count="5">
          <reference field="3" count="1" selected="0">
            <x v="6"/>
          </reference>
          <reference field="4" count="1" selected="0">
            <x v="1"/>
          </reference>
          <reference field="5" count="1" selected="0">
            <x v="41"/>
          </reference>
          <reference field="6" count="1" selected="0">
            <x v="2"/>
          </reference>
          <reference field="9" count="1">
            <x v="2"/>
          </reference>
        </references>
      </pivotArea>
    </format>
    <format dxfId="10649">
      <pivotArea dataOnly="0" labelOnly="1" outline="0" fieldPosition="0">
        <references count="5">
          <reference field="3" count="1" selected="0">
            <x v="8"/>
          </reference>
          <reference field="4" count="1" selected="0">
            <x v="0"/>
          </reference>
          <reference field="5" count="1" selected="0">
            <x v="0"/>
          </reference>
          <reference field="6" count="1" selected="0">
            <x v="9"/>
          </reference>
          <reference field="9" count="1">
            <x v="10"/>
          </reference>
        </references>
      </pivotArea>
    </format>
    <format dxfId="10648">
      <pivotArea dataOnly="0" labelOnly="1" outline="0" fieldPosition="0">
        <references count="5">
          <reference field="3" count="1" selected="0">
            <x v="8"/>
          </reference>
          <reference field="4" count="1" selected="0">
            <x v="0"/>
          </reference>
          <reference field="5" count="1" selected="0">
            <x v="4"/>
          </reference>
          <reference field="6" count="1" selected="0">
            <x v="9"/>
          </reference>
          <reference field="9" count="1">
            <x v="10"/>
          </reference>
        </references>
      </pivotArea>
    </format>
    <format dxfId="10647">
      <pivotArea dataOnly="0" labelOnly="1" outline="0" fieldPosition="0">
        <references count="5">
          <reference field="3" count="1" selected="0">
            <x v="8"/>
          </reference>
          <reference field="4" count="1" selected="0">
            <x v="0"/>
          </reference>
          <reference field="5" count="1" selected="0">
            <x v="8"/>
          </reference>
          <reference field="6" count="1" selected="0">
            <x v="9"/>
          </reference>
          <reference field="9" count="1">
            <x v="10"/>
          </reference>
        </references>
      </pivotArea>
    </format>
    <format dxfId="10646">
      <pivotArea dataOnly="0" labelOnly="1" outline="0" fieldPosition="0">
        <references count="5">
          <reference field="3" count="1" selected="0">
            <x v="8"/>
          </reference>
          <reference field="4" count="1" selected="0">
            <x v="0"/>
          </reference>
          <reference field="5" count="1" selected="0">
            <x v="10"/>
          </reference>
          <reference field="6" count="1" selected="0">
            <x v="9"/>
          </reference>
          <reference field="9" count="1">
            <x v="10"/>
          </reference>
        </references>
      </pivotArea>
    </format>
    <format dxfId="10645">
      <pivotArea dataOnly="0" labelOnly="1" outline="0" fieldPosition="0">
        <references count="5">
          <reference field="3" count="1" selected="0">
            <x v="8"/>
          </reference>
          <reference field="4" count="1" selected="0">
            <x v="0"/>
          </reference>
          <reference field="5" count="1" selected="0">
            <x v="11"/>
          </reference>
          <reference field="6" count="1" selected="0">
            <x v="9"/>
          </reference>
          <reference field="9" count="1">
            <x v="10"/>
          </reference>
        </references>
      </pivotArea>
    </format>
    <format dxfId="10644">
      <pivotArea dataOnly="0" labelOnly="1" outline="0" fieldPosition="0">
        <references count="5">
          <reference field="3" count="1" selected="0">
            <x v="8"/>
          </reference>
          <reference field="4" count="1" selected="0">
            <x v="0"/>
          </reference>
          <reference field="5" count="1" selected="0">
            <x v="84"/>
          </reference>
          <reference field="6" count="1" selected="0">
            <x v="9"/>
          </reference>
          <reference field="9" count="1">
            <x v="10"/>
          </reference>
        </references>
      </pivotArea>
    </format>
    <format dxfId="10643">
      <pivotArea dataOnly="0" labelOnly="1" outline="0" fieldPosition="0">
        <references count="5">
          <reference field="3" count="1" selected="0">
            <x v="8"/>
          </reference>
          <reference field="4" count="1" selected="0">
            <x v="0"/>
          </reference>
          <reference field="5" count="1" selected="0">
            <x v="85"/>
          </reference>
          <reference field="6" count="1" selected="0">
            <x v="9"/>
          </reference>
          <reference field="9" count="1">
            <x v="10"/>
          </reference>
        </references>
      </pivotArea>
    </format>
    <format dxfId="10642">
      <pivotArea dataOnly="0" labelOnly="1" outline="0" fieldPosition="0">
        <references count="5">
          <reference field="3" count="1" selected="0">
            <x v="8"/>
          </reference>
          <reference field="4" count="1" selected="0">
            <x v="3"/>
          </reference>
          <reference field="5" count="1" selected="0">
            <x v="86"/>
          </reference>
          <reference field="6" count="1" selected="0">
            <x v="6"/>
          </reference>
          <reference field="9" count="1">
            <x v="10"/>
          </reference>
        </references>
      </pivotArea>
    </format>
    <format dxfId="10641">
      <pivotArea dataOnly="0" labelOnly="1" outline="0" fieldPosition="0">
        <references count="5">
          <reference field="3" count="1" selected="0">
            <x v="8"/>
          </reference>
          <reference field="4" count="1" selected="0">
            <x v="3"/>
          </reference>
          <reference field="5" count="1" selected="0">
            <x v="135"/>
          </reference>
          <reference field="6" count="1" selected="0">
            <x v="3"/>
          </reference>
          <reference field="9" count="1">
            <x v="10"/>
          </reference>
        </references>
      </pivotArea>
    </format>
    <format dxfId="10640">
      <pivotArea dataOnly="0" labelOnly="1" outline="0" fieldPosition="0">
        <references count="5">
          <reference field="3" count="1" selected="0">
            <x v="9"/>
          </reference>
          <reference field="4" count="1" selected="0">
            <x v="3"/>
          </reference>
          <reference field="5" count="1" selected="0">
            <x v="213"/>
          </reference>
          <reference field="6" count="1" selected="0">
            <x v="5"/>
          </reference>
          <reference field="9" count="1">
            <x v="10"/>
          </reference>
        </references>
      </pivotArea>
    </format>
    <format dxfId="10639">
      <pivotArea dataOnly="0" labelOnly="1" outline="0" fieldPosition="0">
        <references count="5">
          <reference field="3" count="1" selected="0">
            <x v="10"/>
          </reference>
          <reference field="4" count="1" selected="0">
            <x v="4"/>
          </reference>
          <reference field="5" count="1" selected="0">
            <x v="9"/>
          </reference>
          <reference field="6" count="1" selected="0">
            <x v="5"/>
          </reference>
          <reference field="9" count="1">
            <x v="7"/>
          </reference>
        </references>
      </pivotArea>
    </format>
    <format dxfId="10638">
      <pivotArea dataOnly="0" labelOnly="1" outline="0" fieldPosition="0">
        <references count="5">
          <reference field="3" count="1" selected="0">
            <x v="10"/>
          </reference>
          <reference field="4" count="1" selected="0">
            <x v="3"/>
          </reference>
          <reference field="5" count="1" selected="0">
            <x v="15"/>
          </reference>
          <reference field="6" count="1" selected="0">
            <x v="5"/>
          </reference>
          <reference field="9" count="1">
            <x v="4"/>
          </reference>
        </references>
      </pivotArea>
    </format>
    <format dxfId="10637">
      <pivotArea dataOnly="0" labelOnly="1" outline="0" fieldPosition="0">
        <references count="5">
          <reference field="3" count="1" selected="0">
            <x v="10"/>
          </reference>
          <reference field="4" count="1" selected="0">
            <x v="3"/>
          </reference>
          <reference field="5" count="1" selected="0">
            <x v="17"/>
          </reference>
          <reference field="6" count="1" selected="0">
            <x v="5"/>
          </reference>
          <reference field="9" count="1">
            <x v="7"/>
          </reference>
        </references>
      </pivotArea>
    </format>
    <format dxfId="10636">
      <pivotArea dataOnly="0" labelOnly="1" outline="0" fieldPosition="0">
        <references count="5">
          <reference field="3" count="1" selected="0">
            <x v="10"/>
          </reference>
          <reference field="4" count="1" selected="0">
            <x v="3"/>
          </reference>
          <reference field="5" count="1" selected="0">
            <x v="54"/>
          </reference>
          <reference field="6" count="1" selected="0">
            <x v="5"/>
          </reference>
          <reference field="9" count="1">
            <x v="7"/>
          </reference>
        </references>
      </pivotArea>
    </format>
    <format dxfId="10635">
      <pivotArea dataOnly="0" labelOnly="1" outline="0" fieldPosition="0">
        <references count="2">
          <reference field="3" count="1" selected="0">
            <x v="3"/>
          </reference>
          <reference field="5" count="5">
            <x v="65"/>
            <x v="193"/>
            <x v="198"/>
            <x v="199"/>
            <x v="205"/>
          </reference>
        </references>
      </pivotArea>
    </format>
    <format dxfId="10634">
      <pivotArea dataOnly="0" labelOnly="1" outline="0" fieldPosition="0">
        <references count="2">
          <reference field="3" count="1" selected="0">
            <x v="4"/>
          </reference>
          <reference field="5" count="6">
            <x v="88"/>
            <x v="112"/>
            <x v="116"/>
            <x v="117"/>
            <x v="118"/>
            <x v="153"/>
          </reference>
        </references>
      </pivotArea>
    </format>
    <format dxfId="10633">
      <pivotArea dataOnly="0" labelOnly="1" outline="0" fieldPosition="0">
        <references count="2">
          <reference field="3" count="1" selected="0">
            <x v="6"/>
          </reference>
          <reference field="5" count="21">
            <x v="59"/>
            <x v="61"/>
            <x v="66"/>
            <x v="68"/>
            <x v="83"/>
            <x v="89"/>
            <x v="91"/>
            <x v="107"/>
            <x v="123"/>
            <x v="125"/>
            <x v="127"/>
            <x v="128"/>
            <x v="157"/>
            <x v="174"/>
            <x v="175"/>
            <x v="178"/>
            <x v="180"/>
            <x v="181"/>
            <x v="182"/>
            <x v="184"/>
            <x v="190"/>
          </reference>
        </references>
      </pivotArea>
    </format>
    <format dxfId="10632">
      <pivotArea dataOnly="0" labelOnly="1" outline="0" fieldPosition="0">
        <references count="2">
          <reference field="3" count="1" selected="0">
            <x v="8"/>
          </reference>
          <reference field="5" count="13">
            <x v="12"/>
            <x v="18"/>
            <x v="19"/>
            <x v="37"/>
            <x v="38"/>
            <x v="43"/>
            <x v="45"/>
            <x v="49"/>
            <x v="53"/>
            <x v="71"/>
            <x v="77"/>
            <x v="114"/>
            <x v="139"/>
          </reference>
        </references>
      </pivotArea>
    </format>
    <format dxfId="10631">
      <pivotArea dataOnly="0" labelOnly="1" outline="0" fieldPosition="0">
        <references count="2">
          <reference field="3" count="1" selected="0">
            <x v="9"/>
          </reference>
          <reference field="5" count="3">
            <x v="23"/>
            <x v="92"/>
            <x v="161"/>
          </reference>
        </references>
      </pivotArea>
    </format>
    <format dxfId="10630">
      <pivotArea dataOnly="0" labelOnly="1" outline="0" fieldPosition="0">
        <references count="2">
          <reference field="3" count="1" selected="0">
            <x v="10"/>
          </reference>
          <reference field="5" count="7">
            <x v="1"/>
            <x v="2"/>
            <x v="5"/>
            <x v="57"/>
            <x v="69"/>
            <x v="79"/>
            <x v="82"/>
          </reference>
        </references>
      </pivotArea>
    </format>
    <format dxfId="10629">
      <pivotArea dataOnly="0" labelOnly="1" outline="0" fieldPosition="0">
        <references count="3">
          <reference field="3" count="1" selected="0">
            <x v="3"/>
          </reference>
          <reference field="5" count="1" selected="0">
            <x v="65"/>
          </reference>
          <reference field="6" count="1">
            <x v="2"/>
          </reference>
        </references>
      </pivotArea>
    </format>
    <format dxfId="10628">
      <pivotArea dataOnly="0" labelOnly="1" outline="0" fieldPosition="0">
        <references count="3">
          <reference field="3" count="1" selected="0">
            <x v="4"/>
          </reference>
          <reference field="5" count="1" selected="0">
            <x v="88"/>
          </reference>
          <reference field="6" count="1">
            <x v="3"/>
          </reference>
        </references>
      </pivotArea>
    </format>
    <format dxfId="10627">
      <pivotArea dataOnly="0" labelOnly="1" outline="0" fieldPosition="0">
        <references count="3">
          <reference field="3" count="1" selected="0">
            <x v="4"/>
          </reference>
          <reference field="5" count="1" selected="0">
            <x v="116"/>
          </reference>
          <reference field="6" count="1">
            <x v="2"/>
          </reference>
        </references>
      </pivotArea>
    </format>
    <format dxfId="10626">
      <pivotArea dataOnly="0" labelOnly="1" outline="0" fieldPosition="0">
        <references count="3">
          <reference field="3" count="1" selected="0">
            <x v="6"/>
          </reference>
          <reference field="5" count="1" selected="0">
            <x v="123"/>
          </reference>
          <reference field="6" count="1">
            <x v="9"/>
          </reference>
        </references>
      </pivotArea>
    </format>
    <format dxfId="10625">
      <pivotArea dataOnly="0" labelOnly="1" outline="0" fieldPosition="0">
        <references count="3">
          <reference field="3" count="1" selected="0">
            <x v="6"/>
          </reference>
          <reference field="5" count="1" selected="0">
            <x v="91"/>
          </reference>
          <reference field="6" count="1">
            <x v="5"/>
          </reference>
        </references>
      </pivotArea>
    </format>
    <format dxfId="10624">
      <pivotArea dataOnly="0" labelOnly="1" outline="0" fieldPosition="0">
        <references count="3">
          <reference field="3" count="1" selected="0">
            <x v="6"/>
          </reference>
          <reference field="5" count="1" selected="0">
            <x v="59"/>
          </reference>
          <reference field="6" count="1">
            <x v="2"/>
          </reference>
        </references>
      </pivotArea>
    </format>
    <format dxfId="10623">
      <pivotArea dataOnly="0" labelOnly="1" outline="0" fieldPosition="0">
        <references count="3">
          <reference field="3" count="1" selected="0">
            <x v="6"/>
          </reference>
          <reference field="5" count="1" selected="0">
            <x v="89"/>
          </reference>
          <reference field="6" count="1">
            <x v="5"/>
          </reference>
        </references>
      </pivotArea>
    </format>
    <format dxfId="10622">
      <pivotArea dataOnly="0" labelOnly="1" outline="0" fieldPosition="0">
        <references count="3">
          <reference field="3" count="1" selected="0">
            <x v="8"/>
          </reference>
          <reference field="5" count="1" selected="0">
            <x v="12"/>
          </reference>
          <reference field="6" count="1">
            <x v="9"/>
          </reference>
        </references>
      </pivotArea>
    </format>
    <format dxfId="10621">
      <pivotArea dataOnly="0" labelOnly="1" outline="0" fieldPosition="0">
        <references count="3">
          <reference field="3" count="1" selected="0">
            <x v="9"/>
          </reference>
          <reference field="5" count="1" selected="0">
            <x v="23"/>
          </reference>
          <reference field="6" count="1">
            <x v="5"/>
          </reference>
        </references>
      </pivotArea>
    </format>
    <format dxfId="10620">
      <pivotArea dataOnly="0" labelOnly="1" outline="0" fieldPosition="0">
        <references count="3">
          <reference field="3" count="1" selected="0">
            <x v="9"/>
          </reference>
          <reference field="5" count="1" selected="0">
            <x v="92"/>
          </reference>
          <reference field="6" count="1">
            <x v="0"/>
          </reference>
        </references>
      </pivotArea>
    </format>
    <format dxfId="10619">
      <pivotArea dataOnly="0" labelOnly="1" outline="0" fieldPosition="0">
        <references count="3">
          <reference field="3" count="1" selected="0">
            <x v="10"/>
          </reference>
          <reference field="5" count="1" selected="0">
            <x v="2"/>
          </reference>
          <reference field="6" count="1">
            <x v="5"/>
          </reference>
        </references>
      </pivotArea>
    </format>
    <format dxfId="10618">
      <pivotArea dataOnly="0" labelOnly="1" outline="0" fieldPosition="0">
        <references count="4">
          <reference field="3" count="1" selected="0">
            <x v="3"/>
          </reference>
          <reference field="4" count="1">
            <x v="1"/>
          </reference>
          <reference field="5" count="1" selected="0">
            <x v="65"/>
          </reference>
          <reference field="6" count="1" selected="0">
            <x v="2"/>
          </reference>
        </references>
      </pivotArea>
    </format>
    <format dxfId="10617">
      <pivotArea dataOnly="0" labelOnly="1" outline="0" fieldPosition="0">
        <references count="4">
          <reference field="3" count="1" selected="0">
            <x v="6"/>
          </reference>
          <reference field="4" count="1">
            <x v="0"/>
          </reference>
          <reference field="5" count="1" selected="0">
            <x v="123"/>
          </reference>
          <reference field="6" count="1" selected="0">
            <x v="9"/>
          </reference>
        </references>
      </pivotArea>
    </format>
    <format dxfId="10616">
      <pivotArea dataOnly="0" labelOnly="1" outline="0" fieldPosition="0">
        <references count="4">
          <reference field="3" count="1" selected="0">
            <x v="6"/>
          </reference>
          <reference field="4" count="1">
            <x v="1"/>
          </reference>
          <reference field="5" count="1" selected="0">
            <x v="59"/>
          </reference>
          <reference field="6" count="1" selected="0">
            <x v="2"/>
          </reference>
        </references>
      </pivotArea>
    </format>
    <format dxfId="10615">
      <pivotArea dataOnly="0" labelOnly="1" outline="0" fieldPosition="0">
        <references count="4">
          <reference field="3" count="1" selected="0">
            <x v="6"/>
          </reference>
          <reference field="4" count="1">
            <x v="0"/>
          </reference>
          <reference field="5" count="1" selected="0">
            <x v="89"/>
          </reference>
          <reference field="6" count="1" selected="0">
            <x v="5"/>
          </reference>
        </references>
      </pivotArea>
    </format>
    <format dxfId="10614">
      <pivotArea dataOnly="0" labelOnly="1" outline="0" fieldPosition="0">
        <references count="4">
          <reference field="3" count="1" selected="0">
            <x v="9"/>
          </reference>
          <reference field="4" count="1">
            <x v="4"/>
          </reference>
          <reference field="5" count="1" selected="0">
            <x v="23"/>
          </reference>
          <reference field="6" count="1" selected="0">
            <x v="5"/>
          </reference>
        </references>
      </pivotArea>
    </format>
    <format dxfId="10613">
      <pivotArea dataOnly="0" labelOnly="1" outline="0" fieldPosition="0">
        <references count="4">
          <reference field="3" count="1" selected="0">
            <x v="10"/>
          </reference>
          <reference field="4" count="1">
            <x v="3"/>
          </reference>
          <reference field="5" count="1" selected="0">
            <x v="69"/>
          </reference>
          <reference field="6" count="1" selected="0">
            <x v="5"/>
          </reference>
        </references>
      </pivotArea>
    </format>
    <format dxfId="10612">
      <pivotArea dataOnly="0" labelOnly="1" outline="0" fieldPosition="0">
        <references count="4">
          <reference field="3" count="1" selected="0">
            <x v="10"/>
          </reference>
          <reference field="4" count="1">
            <x v="4"/>
          </reference>
          <reference field="5" count="1" selected="0">
            <x v="82"/>
          </reference>
          <reference field="6" count="1" selected="0">
            <x v="5"/>
          </reference>
        </references>
      </pivotArea>
    </format>
    <format dxfId="10611">
      <pivotArea dataOnly="0" labelOnly="1" outline="0" fieldPosition="0">
        <references count="4">
          <reference field="3" count="1" selected="0">
            <x v="10"/>
          </reference>
          <reference field="4" count="1">
            <x v="3"/>
          </reference>
          <reference field="5" count="1" selected="0">
            <x v="1"/>
          </reference>
          <reference field="6" count="1" selected="0">
            <x v="5"/>
          </reference>
        </references>
      </pivotArea>
    </format>
    <format dxfId="10610">
      <pivotArea dataOnly="0" labelOnly="1" outline="0" fieldPosition="0">
        <references count="4">
          <reference field="3" count="1" selected="0">
            <x v="10"/>
          </reference>
          <reference field="4" count="1">
            <x v="4"/>
          </reference>
          <reference field="5" count="1" selected="0">
            <x v="5"/>
          </reference>
          <reference field="6" count="1" selected="0">
            <x v="5"/>
          </reference>
        </references>
      </pivotArea>
    </format>
    <format dxfId="10609">
      <pivotArea dataOnly="0" labelOnly="1" outline="0" fieldPosition="0">
        <references count="5">
          <reference field="3" count="1" selected="0">
            <x v="3"/>
          </reference>
          <reference field="4" count="1" selected="0">
            <x v="1"/>
          </reference>
          <reference field="5" count="1" selected="0">
            <x v="65"/>
          </reference>
          <reference field="6" count="1" selected="0">
            <x v="2"/>
          </reference>
          <reference field="9" count="1">
            <x v="10"/>
          </reference>
        </references>
      </pivotArea>
    </format>
    <format dxfId="10608">
      <pivotArea dataOnly="0" labelOnly="1" outline="0" fieldPosition="0">
        <references count="5">
          <reference field="3" count="1" selected="0">
            <x v="3"/>
          </reference>
          <reference field="4" count="1" selected="0">
            <x v="1"/>
          </reference>
          <reference field="5" count="1" selected="0">
            <x v="193"/>
          </reference>
          <reference field="6" count="1" selected="0">
            <x v="2"/>
          </reference>
          <reference field="9" count="1">
            <x v="10"/>
          </reference>
        </references>
      </pivotArea>
    </format>
    <format dxfId="10607">
      <pivotArea dataOnly="0" labelOnly="1" outline="0" fieldPosition="0">
        <references count="5">
          <reference field="3" count="1" selected="0">
            <x v="3"/>
          </reference>
          <reference field="4" count="1" selected="0">
            <x v="1"/>
          </reference>
          <reference field="5" count="1" selected="0">
            <x v="198"/>
          </reference>
          <reference field="6" count="1" selected="0">
            <x v="2"/>
          </reference>
          <reference field="9" count="1">
            <x v="10"/>
          </reference>
        </references>
      </pivotArea>
    </format>
    <format dxfId="10606">
      <pivotArea dataOnly="0" labelOnly="1" outline="0" fieldPosition="0">
        <references count="5">
          <reference field="3" count="1" selected="0">
            <x v="3"/>
          </reference>
          <reference field="4" count="1" selected="0">
            <x v="1"/>
          </reference>
          <reference field="5" count="1" selected="0">
            <x v="205"/>
          </reference>
          <reference field="6" count="1" selected="0">
            <x v="2"/>
          </reference>
          <reference field="9" count="1">
            <x v="10"/>
          </reference>
        </references>
      </pivotArea>
    </format>
    <format dxfId="10605">
      <pivotArea dataOnly="0" labelOnly="1" outline="0" fieldPosition="0">
        <references count="5">
          <reference field="3" count="1" selected="0">
            <x v="4"/>
          </reference>
          <reference field="4" count="1" selected="0">
            <x v="1"/>
          </reference>
          <reference field="5" count="1" selected="0">
            <x v="112"/>
          </reference>
          <reference field="6" count="1" selected="0">
            <x v="2"/>
          </reference>
          <reference field="9" count="1">
            <x v="10"/>
          </reference>
        </references>
      </pivotArea>
    </format>
    <format dxfId="10604">
      <pivotArea dataOnly="0" labelOnly="1" outline="0" fieldPosition="0">
        <references count="5">
          <reference field="3" count="1" selected="0">
            <x v="4"/>
          </reference>
          <reference field="4" count="1" selected="0">
            <x v="1"/>
          </reference>
          <reference field="5" count="1" selected="0">
            <x v="117"/>
          </reference>
          <reference field="6" count="1" selected="0">
            <x v="2"/>
          </reference>
          <reference field="9" count="1">
            <x v="4"/>
          </reference>
        </references>
      </pivotArea>
    </format>
    <format dxfId="10603">
      <pivotArea dataOnly="0" labelOnly="1" outline="0" fieldPosition="0">
        <references count="5">
          <reference field="3" count="1" selected="0">
            <x v="4"/>
          </reference>
          <reference field="4" count="1" selected="0">
            <x v="1"/>
          </reference>
          <reference field="5" count="1" selected="0">
            <x v="118"/>
          </reference>
          <reference field="6" count="1" selected="0">
            <x v="2"/>
          </reference>
          <reference field="9" count="1">
            <x v="10"/>
          </reference>
        </references>
      </pivotArea>
    </format>
    <format dxfId="10602">
      <pivotArea dataOnly="0" labelOnly="1" outline="0" fieldPosition="0">
        <references count="5">
          <reference field="3" count="1" selected="0">
            <x v="4"/>
          </reference>
          <reference field="4" count="1" selected="0">
            <x v="1"/>
          </reference>
          <reference field="5" count="1" selected="0">
            <x v="88"/>
          </reference>
          <reference field="6" count="1" selected="0">
            <x v="3"/>
          </reference>
          <reference field="9" count="1">
            <x v="10"/>
          </reference>
        </references>
      </pivotArea>
    </format>
    <format dxfId="10601">
      <pivotArea dataOnly="0" labelOnly="1" outline="0" fieldPosition="0">
        <references count="5">
          <reference field="3" count="1" selected="0">
            <x v="4"/>
          </reference>
          <reference field="4" count="1" selected="0">
            <x v="1"/>
          </reference>
          <reference field="5" count="1" selected="0">
            <x v="116"/>
          </reference>
          <reference field="6" count="1" selected="0">
            <x v="2"/>
          </reference>
          <reference field="9" count="1">
            <x v="10"/>
          </reference>
        </references>
      </pivotArea>
    </format>
    <format dxfId="10600">
      <pivotArea dataOnly="0" labelOnly="1" outline="0" fieldPosition="0">
        <references count="5">
          <reference field="3" count="1" selected="0">
            <x v="6"/>
          </reference>
          <reference field="4" count="1" selected="0">
            <x v="1"/>
          </reference>
          <reference field="5" count="1" selected="0">
            <x v="61"/>
          </reference>
          <reference field="6" count="1" selected="0">
            <x v="2"/>
          </reference>
          <reference field="9" count="1">
            <x v="2"/>
          </reference>
        </references>
      </pivotArea>
    </format>
    <format dxfId="10599">
      <pivotArea dataOnly="0" labelOnly="1" outline="0" fieldPosition="0">
        <references count="5">
          <reference field="3" count="1" selected="0">
            <x v="6"/>
          </reference>
          <reference field="4" count="1" selected="0">
            <x v="1"/>
          </reference>
          <reference field="5" count="1" selected="0">
            <x v="66"/>
          </reference>
          <reference field="6" count="1" selected="0">
            <x v="2"/>
          </reference>
          <reference field="9" count="1">
            <x v="4"/>
          </reference>
        </references>
      </pivotArea>
    </format>
    <format dxfId="10598">
      <pivotArea dataOnly="0" labelOnly="1" outline="0" fieldPosition="0">
        <references count="5">
          <reference field="3" count="1" selected="0">
            <x v="6"/>
          </reference>
          <reference field="4" count="1" selected="0">
            <x v="1"/>
          </reference>
          <reference field="5" count="1" selected="0">
            <x v="68"/>
          </reference>
          <reference field="6" count="1" selected="0">
            <x v="2"/>
          </reference>
          <reference field="9" count="1">
            <x v="2"/>
          </reference>
        </references>
      </pivotArea>
    </format>
    <format dxfId="10597">
      <pivotArea dataOnly="0" labelOnly="1" outline="0" fieldPosition="0">
        <references count="5">
          <reference field="3" count="1" selected="0">
            <x v="6"/>
          </reference>
          <reference field="4" count="1" selected="0">
            <x v="0"/>
          </reference>
          <reference field="5" count="1" selected="0">
            <x v="123"/>
          </reference>
          <reference field="6" count="1" selected="0">
            <x v="9"/>
          </reference>
          <reference field="9" count="1">
            <x v="10"/>
          </reference>
        </references>
      </pivotArea>
    </format>
    <format dxfId="10596">
      <pivotArea dataOnly="0" labelOnly="1" outline="0" fieldPosition="0">
        <references count="5">
          <reference field="3" count="1" selected="0">
            <x v="6"/>
          </reference>
          <reference field="4" count="1" selected="0">
            <x v="0"/>
          </reference>
          <reference field="5" count="1" selected="0">
            <x v="125"/>
          </reference>
          <reference field="6" count="1" selected="0">
            <x v="9"/>
          </reference>
          <reference field="9" count="1">
            <x v="10"/>
          </reference>
        </references>
      </pivotArea>
    </format>
    <format dxfId="10595">
      <pivotArea dataOnly="0" labelOnly="1" outline="0" fieldPosition="0">
        <references count="5">
          <reference field="3" count="1" selected="0">
            <x v="6"/>
          </reference>
          <reference field="4" count="1" selected="0">
            <x v="0"/>
          </reference>
          <reference field="5" count="1" selected="0">
            <x v="127"/>
          </reference>
          <reference field="6" count="1" selected="0">
            <x v="9"/>
          </reference>
          <reference field="9" count="1">
            <x v="10"/>
          </reference>
        </references>
      </pivotArea>
    </format>
    <format dxfId="10594">
      <pivotArea dataOnly="0" labelOnly="1" outline="0" fieldPosition="0">
        <references count="5">
          <reference field="3" count="1" selected="0">
            <x v="6"/>
          </reference>
          <reference field="4" count="1" selected="0">
            <x v="0"/>
          </reference>
          <reference field="5" count="1" selected="0">
            <x v="178"/>
          </reference>
          <reference field="6" count="1" selected="0">
            <x v="9"/>
          </reference>
          <reference field="9" count="1">
            <x v="10"/>
          </reference>
        </references>
      </pivotArea>
    </format>
    <format dxfId="10593">
      <pivotArea dataOnly="0" labelOnly="1" outline="0" fieldPosition="0">
        <references count="5">
          <reference field="3" count="1" selected="0">
            <x v="6"/>
          </reference>
          <reference field="4" count="1" selected="0">
            <x v="0"/>
          </reference>
          <reference field="5" count="1" selected="0">
            <x v="181"/>
          </reference>
          <reference field="6" count="1" selected="0">
            <x v="9"/>
          </reference>
          <reference field="9" count="1">
            <x v="10"/>
          </reference>
        </references>
      </pivotArea>
    </format>
    <format dxfId="10592">
      <pivotArea dataOnly="0" labelOnly="1" outline="0" fieldPosition="0">
        <references count="5">
          <reference field="3" count="1" selected="0">
            <x v="6"/>
          </reference>
          <reference field="4" count="1" selected="0">
            <x v="0"/>
          </reference>
          <reference field="5" count="1" selected="0">
            <x v="184"/>
          </reference>
          <reference field="6" count="1" selected="0">
            <x v="9"/>
          </reference>
          <reference field="9" count="1">
            <x v="10"/>
          </reference>
        </references>
      </pivotArea>
    </format>
    <format dxfId="10591">
      <pivotArea dataOnly="0" labelOnly="1" outline="0" fieldPosition="0">
        <references count="5">
          <reference field="3" count="1" selected="0">
            <x v="6"/>
          </reference>
          <reference field="4" count="1" selected="0">
            <x v="0"/>
          </reference>
          <reference field="5" count="1" selected="0">
            <x v="190"/>
          </reference>
          <reference field="6" count="1" selected="0">
            <x v="9"/>
          </reference>
          <reference field="9" count="1">
            <x v="10"/>
          </reference>
        </references>
      </pivotArea>
    </format>
    <format dxfId="10590">
      <pivotArea dataOnly="0" labelOnly="1" outline="0" fieldPosition="0">
        <references count="5">
          <reference field="3" count="1" selected="0">
            <x v="6"/>
          </reference>
          <reference field="4" count="1" selected="0">
            <x v="0"/>
          </reference>
          <reference field="5" count="1" selected="0">
            <x v="175"/>
          </reference>
          <reference field="6" count="1" selected="0">
            <x v="9"/>
          </reference>
          <reference field="9" count="1">
            <x v="10"/>
          </reference>
        </references>
      </pivotArea>
    </format>
    <format dxfId="10589">
      <pivotArea dataOnly="0" labelOnly="1" outline="0" fieldPosition="0">
        <references count="5">
          <reference field="3" count="1" selected="0">
            <x v="6"/>
          </reference>
          <reference field="4" count="1" selected="0">
            <x v="0"/>
          </reference>
          <reference field="5" count="1" selected="0">
            <x v="182"/>
          </reference>
          <reference field="6" count="1" selected="0">
            <x v="9"/>
          </reference>
          <reference field="9" count="1">
            <x v="10"/>
          </reference>
        </references>
      </pivotArea>
    </format>
    <format dxfId="10588">
      <pivotArea dataOnly="0" labelOnly="1" outline="0" fieldPosition="0">
        <references count="5">
          <reference field="3" count="1" selected="0">
            <x v="6"/>
          </reference>
          <reference field="4" count="1" selected="0">
            <x v="0"/>
          </reference>
          <reference field="5" count="1" selected="0">
            <x v="180"/>
          </reference>
          <reference field="6" count="1" selected="0">
            <x v="9"/>
          </reference>
          <reference field="9" count="1">
            <x v="10"/>
          </reference>
        </references>
      </pivotArea>
    </format>
    <format dxfId="10587">
      <pivotArea dataOnly="0" labelOnly="1" outline="0" fieldPosition="0">
        <references count="5">
          <reference field="3" count="1" selected="0">
            <x v="6"/>
          </reference>
          <reference field="4" count="1" selected="0">
            <x v="0"/>
          </reference>
          <reference field="5" count="1" selected="0">
            <x v="107"/>
          </reference>
          <reference field="6" count="1" selected="0">
            <x v="9"/>
          </reference>
          <reference field="9" count="1">
            <x v="10"/>
          </reference>
        </references>
      </pivotArea>
    </format>
    <format dxfId="10586">
      <pivotArea dataOnly="0" labelOnly="1" outline="0" fieldPosition="0">
        <references count="5">
          <reference field="3" count="1" selected="0">
            <x v="6"/>
          </reference>
          <reference field="4" count="1" selected="0">
            <x v="0"/>
          </reference>
          <reference field="5" count="1" selected="0">
            <x v="91"/>
          </reference>
          <reference field="6" count="1" selected="0">
            <x v="5"/>
          </reference>
          <reference field="9" count="1">
            <x v="10"/>
          </reference>
        </references>
      </pivotArea>
    </format>
    <format dxfId="10585">
      <pivotArea dataOnly="0" labelOnly="1" outline="0" fieldPosition="0">
        <references count="5">
          <reference field="3" count="1" selected="0">
            <x v="6"/>
          </reference>
          <reference field="4" count="1" selected="0">
            <x v="1"/>
          </reference>
          <reference field="5" count="1" selected="0">
            <x v="59"/>
          </reference>
          <reference field="6" count="1" selected="0">
            <x v="2"/>
          </reference>
          <reference field="9" count="1">
            <x v="10"/>
          </reference>
        </references>
      </pivotArea>
    </format>
    <format dxfId="10584">
      <pivotArea dataOnly="0" labelOnly="1" outline="0" fieldPosition="0">
        <references count="5">
          <reference field="3" count="1" selected="0">
            <x v="6"/>
          </reference>
          <reference field="4" count="1" selected="0">
            <x v="0"/>
          </reference>
          <reference field="5" count="1" selected="0">
            <x v="89"/>
          </reference>
          <reference field="6" count="1" selected="0">
            <x v="5"/>
          </reference>
          <reference field="9" count="1">
            <x v="10"/>
          </reference>
        </references>
      </pivotArea>
    </format>
    <format dxfId="10583">
      <pivotArea dataOnly="0" labelOnly="1" outline="0" fieldPosition="0">
        <references count="5">
          <reference field="3" count="1" selected="0">
            <x v="8"/>
          </reference>
          <reference field="4" count="1" selected="0">
            <x v="0"/>
          </reference>
          <reference field="5" count="1" selected="0">
            <x v="12"/>
          </reference>
          <reference field="6" count="1" selected="0">
            <x v="9"/>
          </reference>
          <reference field="9" count="1">
            <x v="10"/>
          </reference>
        </references>
      </pivotArea>
    </format>
    <format dxfId="10582">
      <pivotArea dataOnly="0" labelOnly="1" outline="0" fieldPosition="0">
        <references count="5">
          <reference field="3" count="1" selected="0">
            <x v="8"/>
          </reference>
          <reference field="4" count="1" selected="0">
            <x v="0"/>
          </reference>
          <reference field="5" count="1" selected="0">
            <x v="18"/>
          </reference>
          <reference field="6" count="1" selected="0">
            <x v="9"/>
          </reference>
          <reference field="9" count="1">
            <x v="10"/>
          </reference>
        </references>
      </pivotArea>
    </format>
    <format dxfId="10581">
      <pivotArea dataOnly="0" labelOnly="1" outline="0" fieldPosition="0">
        <references count="5">
          <reference field="3" count="1" selected="0">
            <x v="8"/>
          </reference>
          <reference field="4" count="1" selected="0">
            <x v="0"/>
          </reference>
          <reference field="5" count="1" selected="0">
            <x v="19"/>
          </reference>
          <reference field="6" count="1" selected="0">
            <x v="9"/>
          </reference>
          <reference field="9" count="1">
            <x v="10"/>
          </reference>
        </references>
      </pivotArea>
    </format>
    <format dxfId="10580">
      <pivotArea dataOnly="0" labelOnly="1" outline="0" fieldPosition="0">
        <references count="5">
          <reference field="3" count="1" selected="0">
            <x v="8"/>
          </reference>
          <reference field="4" count="1" selected="0">
            <x v="0"/>
          </reference>
          <reference field="5" count="1" selected="0">
            <x v="43"/>
          </reference>
          <reference field="6" count="1" selected="0">
            <x v="9"/>
          </reference>
          <reference field="9" count="1">
            <x v="10"/>
          </reference>
        </references>
      </pivotArea>
    </format>
    <format dxfId="10579">
      <pivotArea dataOnly="0" labelOnly="1" outline="0" fieldPosition="0">
        <references count="5">
          <reference field="3" count="1" selected="0">
            <x v="8"/>
          </reference>
          <reference field="4" count="1" selected="0">
            <x v="0"/>
          </reference>
          <reference field="5" count="1" selected="0">
            <x v="45"/>
          </reference>
          <reference field="6" count="1" selected="0">
            <x v="9"/>
          </reference>
          <reference field="9" count="1">
            <x v="10"/>
          </reference>
        </references>
      </pivotArea>
    </format>
    <format dxfId="10578">
      <pivotArea dataOnly="0" labelOnly="1" outline="0" fieldPosition="0">
        <references count="5">
          <reference field="3" count="1" selected="0">
            <x v="8"/>
          </reference>
          <reference field="4" count="1" selected="0">
            <x v="0"/>
          </reference>
          <reference field="5" count="1" selected="0">
            <x v="49"/>
          </reference>
          <reference field="6" count="1" selected="0">
            <x v="9"/>
          </reference>
          <reference field="9" count="1">
            <x v="0"/>
          </reference>
        </references>
      </pivotArea>
    </format>
    <format dxfId="10577">
      <pivotArea dataOnly="0" labelOnly="1" outline="0" fieldPosition="0">
        <references count="5">
          <reference field="3" count="1" selected="0">
            <x v="8"/>
          </reference>
          <reference field="4" count="1" selected="0">
            <x v="0"/>
          </reference>
          <reference field="5" count="1" selected="0">
            <x v="53"/>
          </reference>
          <reference field="6" count="1" selected="0">
            <x v="9"/>
          </reference>
          <reference field="9" count="1">
            <x v="10"/>
          </reference>
        </references>
      </pivotArea>
    </format>
    <format dxfId="10576">
      <pivotArea dataOnly="0" labelOnly="1" outline="0" fieldPosition="0">
        <references count="5">
          <reference field="3" count="1" selected="0">
            <x v="8"/>
          </reference>
          <reference field="4" count="1" selected="0">
            <x v="4"/>
          </reference>
          <reference field="5" count="1" selected="0">
            <x v="77"/>
          </reference>
          <reference field="6" count="1" selected="0">
            <x v="5"/>
          </reference>
          <reference field="9" count="1">
            <x v="10"/>
          </reference>
        </references>
      </pivotArea>
    </format>
    <format dxfId="10575">
      <pivotArea dataOnly="0" labelOnly="1" outline="0" fieldPosition="0">
        <references count="5">
          <reference field="3" count="1" selected="0">
            <x v="8"/>
          </reference>
          <reference field="4" count="1" selected="0">
            <x v="3"/>
          </reference>
          <reference field="5" count="1" selected="0">
            <x v="139"/>
          </reference>
          <reference field="6" count="1" selected="0">
            <x v="3"/>
          </reference>
          <reference field="9" count="1">
            <x v="10"/>
          </reference>
        </references>
      </pivotArea>
    </format>
    <format dxfId="10574">
      <pivotArea dataOnly="0" labelOnly="1" outline="0" fieldPosition="0">
        <references count="5">
          <reference field="3" count="1" selected="0">
            <x v="9"/>
          </reference>
          <reference field="4" count="1" selected="0">
            <x v="4"/>
          </reference>
          <reference field="5" count="1" selected="0">
            <x v="23"/>
          </reference>
          <reference field="6" count="1" selected="0">
            <x v="5"/>
          </reference>
          <reference field="9" count="1">
            <x v="10"/>
          </reference>
        </references>
      </pivotArea>
    </format>
    <format dxfId="10573">
      <pivotArea dataOnly="0" labelOnly="1" outline="0" fieldPosition="0">
        <references count="5">
          <reference field="3" count="1" selected="0">
            <x v="9"/>
          </reference>
          <reference field="4" count="1" selected="0">
            <x v="3"/>
          </reference>
          <reference field="5" count="1" selected="0">
            <x v="92"/>
          </reference>
          <reference field="6" count="1" selected="0">
            <x v="0"/>
          </reference>
          <reference field="9" count="1">
            <x v="7"/>
          </reference>
        </references>
      </pivotArea>
    </format>
    <format dxfId="10572">
      <pivotArea dataOnly="0" labelOnly="1" outline="0" fieldPosition="0">
        <references count="5">
          <reference field="3" count="1" selected="0">
            <x v="10"/>
          </reference>
          <reference field="4" count="1" selected="0">
            <x v="4"/>
          </reference>
          <reference field="5" count="1" selected="0">
            <x v="57"/>
          </reference>
          <reference field="6" count="1" selected="0">
            <x v="5"/>
          </reference>
          <reference field="9" count="1">
            <x v="7"/>
          </reference>
        </references>
      </pivotArea>
    </format>
    <format dxfId="10571">
      <pivotArea dataOnly="0" labelOnly="1" outline="0" fieldPosition="0">
        <references count="5">
          <reference field="3" count="1" selected="0">
            <x v="10"/>
          </reference>
          <reference field="4" count="1" selected="0">
            <x v="3"/>
          </reference>
          <reference field="5" count="1" selected="0">
            <x v="69"/>
          </reference>
          <reference field="6" count="1" selected="0">
            <x v="5"/>
          </reference>
          <reference field="9" count="1">
            <x v="4"/>
          </reference>
        </references>
      </pivotArea>
    </format>
    <format dxfId="10570">
      <pivotArea dataOnly="0" labelOnly="1" outline="0" fieldPosition="0">
        <references count="5">
          <reference field="3" count="1" selected="0">
            <x v="10"/>
          </reference>
          <reference field="4" count="1" selected="0">
            <x v="4"/>
          </reference>
          <reference field="5" count="1" selected="0">
            <x v="82"/>
          </reference>
          <reference field="6" count="1" selected="0">
            <x v="5"/>
          </reference>
          <reference field="9" count="1">
            <x v="4"/>
          </reference>
        </references>
      </pivotArea>
    </format>
    <format dxfId="10569">
      <pivotArea dataOnly="0" labelOnly="1" outline="0" fieldPosition="0">
        <references count="1">
          <reference field="3" count="6">
            <x v="3"/>
            <x v="4"/>
            <x v="6"/>
            <x v="8"/>
            <x v="9"/>
            <x v="10"/>
          </reference>
        </references>
      </pivotArea>
    </format>
    <format dxfId="10568">
      <pivotArea dataOnly="0" labelOnly="1" outline="0" fieldPosition="0">
        <references count="2">
          <reference field="3" count="1" selected="0">
            <x v="3"/>
          </reference>
          <reference field="5" count="3">
            <x v="194"/>
            <x v="199"/>
            <x v="208"/>
          </reference>
        </references>
      </pivotArea>
    </format>
    <format dxfId="10567">
      <pivotArea dataOnly="0" labelOnly="1" outline="0" fieldPosition="0">
        <references count="2">
          <reference field="3" count="1" selected="0">
            <x v="4"/>
          </reference>
          <reference field="5" count="8">
            <x v="98"/>
            <x v="100"/>
            <x v="153"/>
            <x v="169"/>
            <x v="215"/>
            <x v="219"/>
            <x v="220"/>
            <x v="221"/>
          </reference>
        </references>
      </pivotArea>
    </format>
    <format dxfId="10566">
      <pivotArea dataOnly="0" labelOnly="1" outline="0" fieldPosition="0">
        <references count="2">
          <reference field="3" count="1" selected="0">
            <x v="6"/>
          </reference>
          <reference field="5" count="20">
            <x v="3"/>
            <x v="51"/>
            <x v="52"/>
            <x v="83"/>
            <x v="91"/>
            <x v="93"/>
            <x v="94"/>
            <x v="106"/>
            <x v="108"/>
            <x v="109"/>
            <x v="122"/>
            <x v="128"/>
            <x v="156"/>
            <x v="157"/>
            <x v="159"/>
            <x v="164"/>
            <x v="171"/>
            <x v="174"/>
            <x v="187"/>
            <x v="188"/>
          </reference>
        </references>
      </pivotArea>
    </format>
    <format dxfId="10565">
      <pivotArea dataOnly="0" labelOnly="1" outline="0" fieldPosition="0">
        <references count="2">
          <reference field="3" count="1" selected="0">
            <x v="8"/>
          </reference>
          <reference field="5" count="9">
            <x v="13"/>
            <x v="14"/>
            <x v="37"/>
            <x v="38"/>
            <x v="67"/>
            <x v="71"/>
            <x v="81"/>
            <x v="114"/>
            <x v="162"/>
          </reference>
        </references>
      </pivotArea>
    </format>
    <format dxfId="10564">
      <pivotArea dataOnly="0" labelOnly="1" outline="0" fieldPosition="0">
        <references count="2">
          <reference field="3" count="1" selected="0">
            <x v="9"/>
          </reference>
          <reference field="5" count="2">
            <x v="90"/>
            <x v="161"/>
          </reference>
        </references>
      </pivotArea>
    </format>
    <format dxfId="10563">
      <pivotArea dataOnly="0" labelOnly="1" outline="0" fieldPosition="0">
        <references count="2">
          <reference field="3" count="1" selected="0">
            <x v="10"/>
          </reference>
          <reference field="5" count="5">
            <x v="1"/>
            <x v="2"/>
            <x v="5"/>
            <x v="78"/>
            <x v="79"/>
          </reference>
        </references>
      </pivotArea>
    </format>
    <format dxfId="10562">
      <pivotArea dataOnly="0" labelOnly="1" outline="0" fieldPosition="0">
        <references count="3">
          <reference field="3" count="1" selected="0">
            <x v="3"/>
          </reference>
          <reference field="5" count="1" selected="0">
            <x v="194"/>
          </reference>
          <reference field="6" count="1">
            <x v="2"/>
          </reference>
        </references>
      </pivotArea>
    </format>
    <format dxfId="10561">
      <pivotArea dataOnly="0" labelOnly="1" outline="0" fieldPosition="0">
        <references count="3">
          <reference field="3" count="1" selected="0">
            <x v="6"/>
          </reference>
          <reference field="5" count="1" selected="0">
            <x v="108"/>
          </reference>
          <reference field="6" count="1">
            <x v="9"/>
          </reference>
        </references>
      </pivotArea>
    </format>
    <format dxfId="10560">
      <pivotArea dataOnly="0" labelOnly="1" outline="0" fieldPosition="0">
        <references count="3">
          <reference field="3" count="1" selected="0">
            <x v="6"/>
          </reference>
          <reference field="5" count="1" selected="0">
            <x v="3"/>
          </reference>
          <reference field="6" count="1">
            <x v="2"/>
          </reference>
        </references>
      </pivotArea>
    </format>
    <format dxfId="10559">
      <pivotArea dataOnly="0" labelOnly="1" outline="0" fieldPosition="0">
        <references count="3">
          <reference field="3" count="1" selected="0">
            <x v="6"/>
          </reference>
          <reference field="5" count="1" selected="0">
            <x v="187"/>
          </reference>
          <reference field="6" count="1">
            <x v="9"/>
          </reference>
        </references>
      </pivotArea>
    </format>
    <format dxfId="10558">
      <pivotArea dataOnly="0" labelOnly="1" outline="0" fieldPosition="0">
        <references count="3">
          <reference field="3" count="1" selected="0">
            <x v="6"/>
          </reference>
          <reference field="5" count="1" selected="0">
            <x v="91"/>
          </reference>
          <reference field="6" count="1">
            <x v="4"/>
          </reference>
        </references>
      </pivotArea>
    </format>
    <format dxfId="10557">
      <pivotArea dataOnly="0" labelOnly="1" outline="0" fieldPosition="0">
        <references count="3">
          <reference field="3" count="1" selected="0">
            <x v="6"/>
          </reference>
          <reference field="5" count="1" selected="0">
            <x v="93"/>
          </reference>
          <reference field="6" count="1">
            <x v="5"/>
          </reference>
        </references>
      </pivotArea>
    </format>
    <format dxfId="10556">
      <pivotArea dataOnly="0" labelOnly="1" outline="0" fieldPosition="0">
        <references count="3">
          <reference field="3" count="1" selected="0">
            <x v="8"/>
          </reference>
          <reference field="5" count="1" selected="0">
            <x v="13"/>
          </reference>
          <reference field="6" count="1">
            <x v="9"/>
          </reference>
        </references>
      </pivotArea>
    </format>
    <format dxfId="10555">
      <pivotArea dataOnly="0" labelOnly="1" outline="0" fieldPosition="0">
        <references count="3">
          <reference field="3" count="1" selected="0">
            <x v="8"/>
          </reference>
          <reference field="5" count="1" selected="0">
            <x v="71"/>
          </reference>
          <reference field="6" count="1">
            <x v="5"/>
          </reference>
        </references>
      </pivotArea>
    </format>
    <format dxfId="10554">
      <pivotArea dataOnly="0" labelOnly="1" outline="0" fieldPosition="0">
        <references count="3">
          <reference field="3" count="1" selected="0">
            <x v="8"/>
          </reference>
          <reference field="5" count="1" selected="0">
            <x v="81"/>
          </reference>
          <reference field="6" count="1">
            <x v="9"/>
          </reference>
        </references>
      </pivotArea>
    </format>
    <format dxfId="10553">
      <pivotArea dataOnly="0" labelOnly="1" outline="0" fieldPosition="0">
        <references count="3">
          <reference field="3" count="1" selected="0">
            <x v="8"/>
          </reference>
          <reference field="5" count="1" selected="0">
            <x v="114"/>
          </reference>
          <reference field="6" count="1">
            <x v="3"/>
          </reference>
        </references>
      </pivotArea>
    </format>
    <format dxfId="10552">
      <pivotArea dataOnly="0" labelOnly="1" outline="0" fieldPosition="0">
        <references count="3">
          <reference field="3" count="1" selected="0">
            <x v="9"/>
          </reference>
          <reference field="5" count="1" selected="0">
            <x v="90"/>
          </reference>
          <reference field="6" count="1">
            <x v="0"/>
          </reference>
        </references>
      </pivotArea>
    </format>
    <format dxfId="10551">
      <pivotArea dataOnly="0" labelOnly="1" outline="0" fieldPosition="0">
        <references count="3">
          <reference field="3" count="1" selected="0">
            <x v="9"/>
          </reference>
          <reference field="5" count="1" selected="0">
            <x v="161"/>
          </reference>
          <reference field="6" count="1">
            <x v="5"/>
          </reference>
        </references>
      </pivotArea>
    </format>
    <format dxfId="10550">
      <pivotArea dataOnly="0" labelOnly="1" outline="0" fieldPosition="0">
        <references count="4">
          <reference field="3" count="1" selected="0">
            <x v="3"/>
          </reference>
          <reference field="4" count="1">
            <x v="1"/>
          </reference>
          <reference field="5" count="1" selected="0">
            <x v="194"/>
          </reference>
          <reference field="6" count="1" selected="0">
            <x v="2"/>
          </reference>
        </references>
      </pivotArea>
    </format>
    <format dxfId="10549">
      <pivotArea dataOnly="0" labelOnly="1" outline="0" fieldPosition="0">
        <references count="4">
          <reference field="3" count="1" selected="0">
            <x v="6"/>
          </reference>
          <reference field="4" count="1">
            <x v="0"/>
          </reference>
          <reference field="5" count="1" selected="0">
            <x v="108"/>
          </reference>
          <reference field="6" count="1" selected="0">
            <x v="9"/>
          </reference>
        </references>
      </pivotArea>
    </format>
    <format dxfId="10548">
      <pivotArea dataOnly="0" labelOnly="1" outline="0" fieldPosition="0">
        <references count="4">
          <reference field="3" count="1" selected="0">
            <x v="6"/>
          </reference>
          <reference field="4" count="1">
            <x v="1"/>
          </reference>
          <reference field="5" count="1" selected="0">
            <x v="3"/>
          </reference>
          <reference field="6" count="1" selected="0">
            <x v="2"/>
          </reference>
        </references>
      </pivotArea>
    </format>
    <format dxfId="10547">
      <pivotArea dataOnly="0" labelOnly="1" outline="0" fieldPosition="0">
        <references count="4">
          <reference field="3" count="1" selected="0">
            <x v="6"/>
          </reference>
          <reference field="4" count="1">
            <x v="0"/>
          </reference>
          <reference field="5" count="1" selected="0">
            <x v="187"/>
          </reference>
          <reference field="6" count="1" selected="0">
            <x v="9"/>
          </reference>
        </references>
      </pivotArea>
    </format>
    <format dxfId="10546">
      <pivotArea dataOnly="0" labelOnly="1" outline="0" fieldPosition="0">
        <references count="4">
          <reference field="3" count="1" selected="0">
            <x v="8"/>
          </reference>
          <reference field="4" count="1">
            <x v="4"/>
          </reference>
          <reference field="5" count="1" selected="0">
            <x v="71"/>
          </reference>
          <reference field="6" count="1" selected="0">
            <x v="5"/>
          </reference>
        </references>
      </pivotArea>
    </format>
    <format dxfId="10545">
      <pivotArea dataOnly="0" labelOnly="1" outline="0" fieldPosition="0">
        <references count="4">
          <reference field="3" count="1" selected="0">
            <x v="8"/>
          </reference>
          <reference field="4" count="1">
            <x v="0"/>
          </reference>
          <reference field="5" count="1" selected="0">
            <x v="81"/>
          </reference>
          <reference field="6" count="1" selected="0">
            <x v="9"/>
          </reference>
        </references>
      </pivotArea>
    </format>
    <format dxfId="10544">
      <pivotArea dataOnly="0" labelOnly="1" outline="0" fieldPosition="0">
        <references count="4">
          <reference field="3" count="1" selected="0">
            <x v="8"/>
          </reference>
          <reference field="4" count="1">
            <x v="3"/>
          </reference>
          <reference field="5" count="1" selected="0">
            <x v="114"/>
          </reference>
          <reference field="6" count="1" selected="0">
            <x v="3"/>
          </reference>
        </references>
      </pivotArea>
    </format>
    <format dxfId="10543">
      <pivotArea dataOnly="0" labelOnly="1" outline="0" fieldPosition="0">
        <references count="4">
          <reference field="3" count="1" selected="0">
            <x v="9"/>
          </reference>
          <reference field="4" count="1">
            <x v="4"/>
          </reference>
          <reference field="5" count="1" selected="0">
            <x v="90"/>
          </reference>
          <reference field="6" count="1" selected="0">
            <x v="0"/>
          </reference>
        </references>
      </pivotArea>
    </format>
    <format dxfId="10542">
      <pivotArea dataOnly="0" labelOnly="1" outline="0" fieldPosition="0">
        <references count="4">
          <reference field="3" count="1" selected="0">
            <x v="9"/>
          </reference>
          <reference field="4" count="1">
            <x v="3"/>
          </reference>
          <reference field="5" count="1" selected="0">
            <x v="161"/>
          </reference>
          <reference field="6" count="1" selected="0">
            <x v="5"/>
          </reference>
        </references>
      </pivotArea>
    </format>
    <format dxfId="10541">
      <pivotArea dataOnly="0" labelOnly="1" outline="0" fieldPosition="0">
        <references count="4">
          <reference field="3" count="1" selected="0">
            <x v="10"/>
          </reference>
          <reference field="4" count="1">
            <x v="4"/>
          </reference>
          <reference field="5" count="1" selected="0">
            <x v="2"/>
          </reference>
          <reference field="6" count="1" selected="0">
            <x v="5"/>
          </reference>
        </references>
      </pivotArea>
    </format>
    <format dxfId="10540">
      <pivotArea dataOnly="0" labelOnly="1" outline="0" fieldPosition="0">
        <references count="4">
          <reference field="3" count="1" selected="0">
            <x v="10"/>
          </reference>
          <reference field="4" count="1">
            <x v="3"/>
          </reference>
          <reference field="5" count="1" selected="0">
            <x v="79"/>
          </reference>
          <reference field="6" count="1" selected="0">
            <x v="5"/>
          </reference>
        </references>
      </pivotArea>
    </format>
    <format dxfId="10539">
      <pivotArea dataOnly="0" labelOnly="1" outline="0" fieldPosition="0">
        <references count="4">
          <reference field="3" count="1" selected="0">
            <x v="10"/>
          </reference>
          <reference field="4" count="1">
            <x v="4"/>
          </reference>
          <reference field="5" count="1" selected="0">
            <x v="78"/>
          </reference>
          <reference field="6" count="1" selected="0">
            <x v="5"/>
          </reference>
        </references>
      </pivotArea>
    </format>
    <format dxfId="10538">
      <pivotArea dataOnly="0" labelOnly="1" outline="0" fieldPosition="0">
        <references count="5">
          <reference field="3" count="1" selected="0">
            <x v="3"/>
          </reference>
          <reference field="4" count="1" selected="0">
            <x v="1"/>
          </reference>
          <reference field="5" count="1" selected="0">
            <x v="194"/>
          </reference>
          <reference field="6" count="1" selected="0">
            <x v="2"/>
          </reference>
          <reference field="9" count="1">
            <x v="10"/>
          </reference>
        </references>
      </pivotArea>
    </format>
    <format dxfId="10537">
      <pivotArea dataOnly="0" labelOnly="1" outline="0" fieldPosition="0">
        <references count="5">
          <reference field="3" count="1" selected="0">
            <x v="3"/>
          </reference>
          <reference field="4" count="1" selected="0">
            <x v="1"/>
          </reference>
          <reference field="5" count="1" selected="0">
            <x v="208"/>
          </reference>
          <reference field="6" count="1" selected="0">
            <x v="2"/>
          </reference>
          <reference field="9" count="1">
            <x v="10"/>
          </reference>
        </references>
      </pivotArea>
    </format>
    <format dxfId="10536">
      <pivotArea dataOnly="0" labelOnly="1" outline="0" fieldPosition="0">
        <references count="5">
          <reference field="3" count="1" selected="0">
            <x v="3"/>
          </reference>
          <reference field="4" count="1" selected="0">
            <x v="1"/>
          </reference>
          <reference field="5" count="1" selected="0">
            <x v="199"/>
          </reference>
          <reference field="6" count="1" selected="0">
            <x v="2"/>
          </reference>
          <reference field="9" count="1">
            <x v="10"/>
          </reference>
        </references>
      </pivotArea>
    </format>
    <format dxfId="10535">
      <pivotArea dataOnly="0" labelOnly="1" outline="0" fieldPosition="0">
        <references count="5">
          <reference field="3" count="1" selected="0">
            <x v="4"/>
          </reference>
          <reference field="4" count="1" selected="0">
            <x v="1"/>
          </reference>
          <reference field="5" count="1" selected="0">
            <x v="98"/>
          </reference>
          <reference field="6" count="1" selected="0">
            <x v="2"/>
          </reference>
          <reference field="9" count="1">
            <x v="10"/>
          </reference>
        </references>
      </pivotArea>
    </format>
    <format dxfId="10534">
      <pivotArea dataOnly="0" labelOnly="1" outline="0" fieldPosition="0">
        <references count="5">
          <reference field="3" count="1" selected="0">
            <x v="4"/>
          </reference>
          <reference field="4" count="1" selected="0">
            <x v="1"/>
          </reference>
          <reference field="5" count="1" selected="0">
            <x v="100"/>
          </reference>
          <reference field="6" count="1" selected="0">
            <x v="2"/>
          </reference>
          <reference field="9" count="1">
            <x v="2"/>
          </reference>
        </references>
      </pivotArea>
    </format>
    <format dxfId="10533">
      <pivotArea dataOnly="0" labelOnly="1" outline="0" fieldPosition="0">
        <references count="5">
          <reference field="3" count="1" selected="0">
            <x v="4"/>
          </reference>
          <reference field="4" count="1" selected="0">
            <x v="1"/>
          </reference>
          <reference field="5" count="1" selected="0">
            <x v="169"/>
          </reference>
          <reference field="6" count="1" selected="0">
            <x v="2"/>
          </reference>
          <reference field="9" count="1">
            <x v="10"/>
          </reference>
        </references>
      </pivotArea>
    </format>
    <format dxfId="10532">
      <pivotArea dataOnly="0" labelOnly="1" outline="0" fieldPosition="0">
        <references count="5">
          <reference field="3" count="1" selected="0">
            <x v="4"/>
          </reference>
          <reference field="4" count="1" selected="0">
            <x v="1"/>
          </reference>
          <reference field="5" count="1" selected="0">
            <x v="215"/>
          </reference>
          <reference field="6" count="1" selected="0">
            <x v="2"/>
          </reference>
          <reference field="9" count="1">
            <x v="4"/>
          </reference>
        </references>
      </pivotArea>
    </format>
    <format dxfId="10531">
      <pivotArea dataOnly="0" labelOnly="1" outline="0" fieldPosition="0">
        <references count="5">
          <reference field="3" count="1" selected="0">
            <x v="4"/>
          </reference>
          <reference field="4" count="1" selected="0">
            <x v="1"/>
          </reference>
          <reference field="5" count="1" selected="0">
            <x v="219"/>
          </reference>
          <reference field="6" count="1" selected="0">
            <x v="2"/>
          </reference>
          <reference field="9" count="1">
            <x v="4"/>
          </reference>
        </references>
      </pivotArea>
    </format>
    <format dxfId="10530">
      <pivotArea dataOnly="0" labelOnly="1" outline="0" fieldPosition="0">
        <references count="5">
          <reference field="3" count="1" selected="0">
            <x v="4"/>
          </reference>
          <reference field="4" count="1" selected="0">
            <x v="1"/>
          </reference>
          <reference field="5" count="1" selected="0">
            <x v="220"/>
          </reference>
          <reference field="6" count="1" selected="0">
            <x v="2"/>
          </reference>
          <reference field="9" count="1">
            <x v="4"/>
          </reference>
        </references>
      </pivotArea>
    </format>
    <format dxfId="10529">
      <pivotArea dataOnly="0" labelOnly="1" outline="0" fieldPosition="0">
        <references count="5">
          <reference field="3" count="1" selected="0">
            <x v="4"/>
          </reference>
          <reference field="4" count="1" selected="0">
            <x v="1"/>
          </reference>
          <reference field="5" count="1" selected="0">
            <x v="221"/>
          </reference>
          <reference field="6" count="1" selected="0">
            <x v="2"/>
          </reference>
          <reference field="9" count="1">
            <x v="4"/>
          </reference>
        </references>
      </pivotArea>
    </format>
    <format dxfId="10528">
      <pivotArea dataOnly="0" labelOnly="1" outline="0" fieldPosition="0">
        <references count="5">
          <reference field="3" count="1" selected="0">
            <x v="4"/>
          </reference>
          <reference field="4" count="1" selected="0">
            <x v="1"/>
          </reference>
          <reference field="5" count="1" selected="0">
            <x v="153"/>
          </reference>
          <reference field="6" count="1" selected="0">
            <x v="2"/>
          </reference>
          <reference field="9" count="1">
            <x v="10"/>
          </reference>
        </references>
      </pivotArea>
    </format>
    <format dxfId="10527">
      <pivotArea dataOnly="0" labelOnly="1" outline="0" fieldPosition="0">
        <references count="5">
          <reference field="3" count="1" selected="0">
            <x v="6"/>
          </reference>
          <reference field="4" count="1" selected="0">
            <x v="1"/>
          </reference>
          <reference field="5" count="1" selected="0">
            <x v="51"/>
          </reference>
          <reference field="6" count="1" selected="0">
            <x v="2"/>
          </reference>
          <reference field="9" count="1">
            <x v="4"/>
          </reference>
        </references>
      </pivotArea>
    </format>
    <format dxfId="10526">
      <pivotArea dataOnly="0" labelOnly="1" outline="0" fieldPosition="0">
        <references count="5">
          <reference field="3" count="1" selected="0">
            <x v="6"/>
          </reference>
          <reference field="4" count="1" selected="0">
            <x v="1"/>
          </reference>
          <reference field="5" count="1" selected="0">
            <x v="52"/>
          </reference>
          <reference field="6" count="1" selected="0">
            <x v="2"/>
          </reference>
          <reference field="9" count="1">
            <x v="10"/>
          </reference>
        </references>
      </pivotArea>
    </format>
    <format dxfId="10525">
      <pivotArea dataOnly="0" labelOnly="1" outline="0" fieldPosition="0">
        <references count="5">
          <reference field="3" count="1" selected="0">
            <x v="6"/>
          </reference>
          <reference field="4" count="1" selected="0">
            <x v="1"/>
          </reference>
          <reference field="5" count="1" selected="0">
            <x v="83"/>
          </reference>
          <reference field="6" count="1" selected="0">
            <x v="2"/>
          </reference>
          <reference field="9" count="1">
            <x v="4"/>
          </reference>
        </references>
      </pivotArea>
    </format>
    <format dxfId="10524">
      <pivotArea dataOnly="0" labelOnly="1" outline="0" fieldPosition="0">
        <references count="5">
          <reference field="3" count="1" selected="0">
            <x v="6"/>
          </reference>
          <reference field="4" count="1" selected="0">
            <x v="1"/>
          </reference>
          <reference field="5" count="1" selected="0">
            <x v="94"/>
          </reference>
          <reference field="6" count="1" selected="0">
            <x v="2"/>
          </reference>
          <reference field="9" count="1">
            <x v="5"/>
          </reference>
        </references>
      </pivotArea>
    </format>
    <format dxfId="10523">
      <pivotArea dataOnly="0" labelOnly="1" outline="0" fieldPosition="0">
        <references count="5">
          <reference field="3" count="1" selected="0">
            <x v="6"/>
          </reference>
          <reference field="4" count="1" selected="0">
            <x v="0"/>
          </reference>
          <reference field="5" count="1" selected="0">
            <x v="108"/>
          </reference>
          <reference field="6" count="1" selected="0">
            <x v="9"/>
          </reference>
          <reference field="9" count="1">
            <x v="10"/>
          </reference>
        </references>
      </pivotArea>
    </format>
    <format dxfId="10522">
      <pivotArea dataOnly="0" labelOnly="1" outline="0" fieldPosition="0">
        <references count="5">
          <reference field="3" count="1" selected="0">
            <x v="6"/>
          </reference>
          <reference field="4" count="1" selected="0">
            <x v="0"/>
          </reference>
          <reference field="5" count="1" selected="0">
            <x v="109"/>
          </reference>
          <reference field="6" count="1" selected="0">
            <x v="9"/>
          </reference>
          <reference field="9" count="1">
            <x v="10"/>
          </reference>
        </references>
      </pivotArea>
    </format>
    <format dxfId="10521">
      <pivotArea dataOnly="0" labelOnly="1" outline="0" fieldPosition="0">
        <references count="5">
          <reference field="3" count="1" selected="0">
            <x v="6"/>
          </reference>
          <reference field="4" count="1" selected="0">
            <x v="0"/>
          </reference>
          <reference field="5" count="1" selected="0">
            <x v="122"/>
          </reference>
          <reference field="6" count="1" selected="0">
            <x v="9"/>
          </reference>
          <reference field="9" count="1">
            <x v="10"/>
          </reference>
        </references>
      </pivotArea>
    </format>
    <format dxfId="10520">
      <pivotArea dataOnly="0" labelOnly="1" outline="0" fieldPosition="0">
        <references count="5">
          <reference field="3" count="1" selected="0">
            <x v="6"/>
          </reference>
          <reference field="4" count="1" selected="0">
            <x v="0"/>
          </reference>
          <reference field="5" count="1" selected="0">
            <x v="128"/>
          </reference>
          <reference field="6" count="1" selected="0">
            <x v="9"/>
          </reference>
          <reference field="9" count="1">
            <x v="10"/>
          </reference>
        </references>
      </pivotArea>
    </format>
    <format dxfId="10519">
      <pivotArea dataOnly="0" labelOnly="1" outline="0" fieldPosition="0">
        <references count="5">
          <reference field="3" count="1" selected="0">
            <x v="6"/>
          </reference>
          <reference field="4" count="1" selected="0">
            <x v="0"/>
          </reference>
          <reference field="5" count="1" selected="0">
            <x v="156"/>
          </reference>
          <reference field="6" count="1" selected="0">
            <x v="9"/>
          </reference>
          <reference field="9" count="1">
            <x v="10"/>
          </reference>
        </references>
      </pivotArea>
    </format>
    <format dxfId="10518">
      <pivotArea dataOnly="0" labelOnly="1" outline="0" fieldPosition="0">
        <references count="5">
          <reference field="3" count="1" selected="0">
            <x v="6"/>
          </reference>
          <reference field="4" count="1" selected="0">
            <x v="0"/>
          </reference>
          <reference field="5" count="1" selected="0">
            <x v="157"/>
          </reference>
          <reference field="6" count="1" selected="0">
            <x v="9"/>
          </reference>
          <reference field="9" count="1">
            <x v="10"/>
          </reference>
        </references>
      </pivotArea>
    </format>
    <format dxfId="10517">
      <pivotArea dataOnly="0" labelOnly="1" outline="0" fieldPosition="0">
        <references count="5">
          <reference field="3" count="1" selected="0">
            <x v="6"/>
          </reference>
          <reference field="4" count="1" selected="0">
            <x v="0"/>
          </reference>
          <reference field="5" count="1" selected="0">
            <x v="164"/>
          </reference>
          <reference field="6" count="1" selected="0">
            <x v="9"/>
          </reference>
          <reference field="9" count="1">
            <x v="10"/>
          </reference>
        </references>
      </pivotArea>
    </format>
    <format dxfId="10516">
      <pivotArea dataOnly="0" labelOnly="1" outline="0" fieldPosition="0">
        <references count="5">
          <reference field="3" count="1" selected="0">
            <x v="6"/>
          </reference>
          <reference field="4" count="1" selected="0">
            <x v="0"/>
          </reference>
          <reference field="5" count="1" selected="0">
            <x v="171"/>
          </reference>
          <reference field="6" count="1" selected="0">
            <x v="9"/>
          </reference>
          <reference field="9" count="1">
            <x v="10"/>
          </reference>
        </references>
      </pivotArea>
    </format>
    <format dxfId="10515">
      <pivotArea dataOnly="0" labelOnly="1" outline="0" fieldPosition="0">
        <references count="5">
          <reference field="3" count="1" selected="0">
            <x v="6"/>
          </reference>
          <reference field="4" count="1" selected="0">
            <x v="1"/>
          </reference>
          <reference field="5" count="1" selected="0">
            <x v="3"/>
          </reference>
          <reference field="6" count="1" selected="0">
            <x v="2"/>
          </reference>
          <reference field="9" count="1">
            <x v="10"/>
          </reference>
        </references>
      </pivotArea>
    </format>
    <format dxfId="10514">
      <pivotArea dataOnly="0" labelOnly="1" outline="0" fieldPosition="0">
        <references count="5">
          <reference field="3" count="1" selected="0">
            <x v="6"/>
          </reference>
          <reference field="4" count="1" selected="0">
            <x v="0"/>
          </reference>
          <reference field="5" count="1" selected="0">
            <x v="187"/>
          </reference>
          <reference field="6" count="1" selected="0">
            <x v="9"/>
          </reference>
          <reference field="9" count="1">
            <x v="10"/>
          </reference>
        </references>
      </pivotArea>
    </format>
    <format dxfId="10513">
      <pivotArea dataOnly="0" labelOnly="1" outline="0" fieldPosition="0">
        <references count="5">
          <reference field="3" count="1" selected="0">
            <x v="6"/>
          </reference>
          <reference field="4" count="1" selected="0">
            <x v="0"/>
          </reference>
          <reference field="5" count="1" selected="0">
            <x v="174"/>
          </reference>
          <reference field="6" count="1" selected="0">
            <x v="9"/>
          </reference>
          <reference field="9" count="1">
            <x v="10"/>
          </reference>
        </references>
      </pivotArea>
    </format>
    <format dxfId="10512">
      <pivotArea dataOnly="0" labelOnly="1" outline="0" fieldPosition="0">
        <references count="5">
          <reference field="3" count="1" selected="0">
            <x v="6"/>
          </reference>
          <reference field="4" count="1" selected="0">
            <x v="0"/>
          </reference>
          <reference field="5" count="1" selected="0">
            <x v="188"/>
          </reference>
          <reference field="6" count="1" selected="0">
            <x v="9"/>
          </reference>
          <reference field="9" count="1">
            <x v="10"/>
          </reference>
        </references>
      </pivotArea>
    </format>
    <format dxfId="10511">
      <pivotArea dataOnly="0" labelOnly="1" outline="0" fieldPosition="0">
        <references count="5">
          <reference field="3" count="1" selected="0">
            <x v="6"/>
          </reference>
          <reference field="4" count="1" selected="0">
            <x v="0"/>
          </reference>
          <reference field="5" count="1" selected="0">
            <x v="106"/>
          </reference>
          <reference field="6" count="1" selected="0">
            <x v="9"/>
          </reference>
          <reference field="9" count="1">
            <x v="10"/>
          </reference>
        </references>
      </pivotArea>
    </format>
    <format dxfId="10510">
      <pivotArea dataOnly="0" labelOnly="1" outline="0" fieldPosition="0">
        <references count="5">
          <reference field="3" count="1" selected="0">
            <x v="6"/>
          </reference>
          <reference field="4" count="1" selected="0">
            <x v="0"/>
          </reference>
          <reference field="5" count="1" selected="0">
            <x v="159"/>
          </reference>
          <reference field="6" count="1" selected="0">
            <x v="9"/>
          </reference>
          <reference field="9" count="1">
            <x v="10"/>
          </reference>
        </references>
      </pivotArea>
    </format>
    <format dxfId="10509">
      <pivotArea dataOnly="0" labelOnly="1" outline="0" fieldPosition="0">
        <references count="5">
          <reference field="3" count="1" selected="0">
            <x v="6"/>
          </reference>
          <reference field="4" count="1" selected="0">
            <x v="0"/>
          </reference>
          <reference field="5" count="1" selected="0">
            <x v="91"/>
          </reference>
          <reference field="6" count="1" selected="0">
            <x v="4"/>
          </reference>
          <reference field="9" count="1">
            <x v="10"/>
          </reference>
        </references>
      </pivotArea>
    </format>
    <format dxfId="10508">
      <pivotArea dataOnly="0" labelOnly="1" outline="0" fieldPosition="0">
        <references count="5">
          <reference field="3" count="1" selected="0">
            <x v="6"/>
          </reference>
          <reference field="4" count="1" selected="0">
            <x v="0"/>
          </reference>
          <reference field="5" count="1" selected="0">
            <x v="93"/>
          </reference>
          <reference field="6" count="1" selected="0">
            <x v="5"/>
          </reference>
          <reference field="9" count="1">
            <x v="10"/>
          </reference>
        </references>
      </pivotArea>
    </format>
    <format dxfId="10507">
      <pivotArea dataOnly="0" labelOnly="1" outline="0" fieldPosition="0">
        <references count="5">
          <reference field="3" count="1" selected="0">
            <x v="8"/>
          </reference>
          <reference field="4" count="1" selected="0">
            <x v="0"/>
          </reference>
          <reference field="5" count="1" selected="0">
            <x v="13"/>
          </reference>
          <reference field="6" count="1" selected="0">
            <x v="9"/>
          </reference>
          <reference field="9" count="1">
            <x v="10"/>
          </reference>
        </references>
      </pivotArea>
    </format>
    <format dxfId="10506">
      <pivotArea dataOnly="0" labelOnly="1" outline="0" fieldPosition="0">
        <references count="5">
          <reference field="3" count="1" selected="0">
            <x v="8"/>
          </reference>
          <reference field="4" count="1" selected="0">
            <x v="0"/>
          </reference>
          <reference field="5" count="1" selected="0">
            <x v="14"/>
          </reference>
          <reference field="6" count="1" selected="0">
            <x v="9"/>
          </reference>
          <reference field="9" count="1">
            <x v="10"/>
          </reference>
        </references>
      </pivotArea>
    </format>
    <format dxfId="10505">
      <pivotArea dataOnly="0" labelOnly="1" outline="0" fieldPosition="0">
        <references count="5">
          <reference field="3" count="1" selected="0">
            <x v="8"/>
          </reference>
          <reference field="4" count="1" selected="0">
            <x v="0"/>
          </reference>
          <reference field="5" count="1" selected="0">
            <x v="37"/>
          </reference>
          <reference field="6" count="1" selected="0">
            <x v="9"/>
          </reference>
          <reference field="9" count="1">
            <x v="10"/>
          </reference>
        </references>
      </pivotArea>
    </format>
    <format dxfId="10504">
      <pivotArea dataOnly="0" labelOnly="1" outline="0" fieldPosition="0">
        <references count="5">
          <reference field="3" count="1" selected="0">
            <x v="8"/>
          </reference>
          <reference field="4" count="1" selected="0">
            <x v="0"/>
          </reference>
          <reference field="5" count="1" selected="0">
            <x v="38"/>
          </reference>
          <reference field="6" count="1" selected="0">
            <x v="9"/>
          </reference>
          <reference field="9" count="1">
            <x v="10"/>
          </reference>
        </references>
      </pivotArea>
    </format>
    <format dxfId="10503">
      <pivotArea dataOnly="0" labelOnly="1" outline="0" fieldPosition="0">
        <references count="5">
          <reference field="3" count="1" selected="0">
            <x v="8"/>
          </reference>
          <reference field="4" count="1" selected="0">
            <x v="0"/>
          </reference>
          <reference field="5" count="1" selected="0">
            <x v="67"/>
          </reference>
          <reference field="6" count="1" selected="0">
            <x v="9"/>
          </reference>
          <reference field="9" count="1">
            <x v="10"/>
          </reference>
        </references>
      </pivotArea>
    </format>
    <format dxfId="10502">
      <pivotArea dataOnly="0" labelOnly="1" outline="0" fieldPosition="0">
        <references count="5">
          <reference field="3" count="1" selected="0">
            <x v="8"/>
          </reference>
          <reference field="4" count="1" selected="0">
            <x v="4"/>
          </reference>
          <reference field="5" count="1" selected="0">
            <x v="71"/>
          </reference>
          <reference field="6" count="1" selected="0">
            <x v="5"/>
          </reference>
          <reference field="9" count="1">
            <x v="10"/>
          </reference>
        </references>
      </pivotArea>
    </format>
    <format dxfId="10501">
      <pivotArea dataOnly="0" labelOnly="1" outline="0" fieldPosition="0">
        <references count="5">
          <reference field="3" count="1" selected="0">
            <x v="8"/>
          </reference>
          <reference field="4" count="1" selected="0">
            <x v="0"/>
          </reference>
          <reference field="5" count="1" selected="0">
            <x v="81"/>
          </reference>
          <reference field="6" count="1" selected="0">
            <x v="9"/>
          </reference>
          <reference field="9" count="1">
            <x v="10"/>
          </reference>
        </references>
      </pivotArea>
    </format>
    <format dxfId="10500">
      <pivotArea dataOnly="0" labelOnly="1" outline="0" fieldPosition="0">
        <references count="5">
          <reference field="3" count="1" selected="0">
            <x v="8"/>
          </reference>
          <reference field="4" count="1" selected="0">
            <x v="3"/>
          </reference>
          <reference field="5" count="1" selected="0">
            <x v="114"/>
          </reference>
          <reference field="6" count="1" selected="0">
            <x v="3"/>
          </reference>
          <reference field="9" count="1">
            <x v="10"/>
          </reference>
        </references>
      </pivotArea>
    </format>
    <format dxfId="10499">
      <pivotArea dataOnly="0" labelOnly="1" outline="0" fieldPosition="0">
        <references count="5">
          <reference field="3" count="1" selected="0">
            <x v="8"/>
          </reference>
          <reference field="4" count="1" selected="0">
            <x v="3"/>
          </reference>
          <reference field="5" count="1" selected="0">
            <x v="162"/>
          </reference>
          <reference field="6" count="1" selected="0">
            <x v="3"/>
          </reference>
          <reference field="9" count="1">
            <x v="10"/>
          </reference>
        </references>
      </pivotArea>
    </format>
    <format dxfId="10498">
      <pivotArea dataOnly="0" labelOnly="1" outline="0" fieldPosition="0">
        <references count="5">
          <reference field="3" count="1" selected="0">
            <x v="9"/>
          </reference>
          <reference field="4" count="1" selected="0">
            <x v="4"/>
          </reference>
          <reference field="5" count="1" selected="0">
            <x v="90"/>
          </reference>
          <reference field="6" count="1" selected="0">
            <x v="0"/>
          </reference>
          <reference field="9" count="1">
            <x v="0"/>
          </reference>
        </references>
      </pivotArea>
    </format>
    <format dxfId="10497">
      <pivotArea dataOnly="0" labelOnly="1" outline="0" fieldPosition="0">
        <references count="5">
          <reference field="3" count="1" selected="0">
            <x v="9"/>
          </reference>
          <reference field="4" count="1" selected="0">
            <x v="3"/>
          </reference>
          <reference field="5" count="1" selected="0">
            <x v="161"/>
          </reference>
          <reference field="6" count="1" selected="0">
            <x v="5"/>
          </reference>
          <reference field="9" count="1">
            <x v="7"/>
          </reference>
        </references>
      </pivotArea>
    </format>
    <format dxfId="10496">
      <pivotArea dataOnly="0" labelOnly="1" outline="0" fieldPosition="0">
        <references count="5">
          <reference field="3" count="1" selected="0">
            <x v="10"/>
          </reference>
          <reference field="4" count="1" selected="0">
            <x v="4"/>
          </reference>
          <reference field="5" count="1" selected="0">
            <x v="2"/>
          </reference>
          <reference field="6" count="1" selected="0">
            <x v="5"/>
          </reference>
          <reference field="9" count="1">
            <x v="10"/>
          </reference>
        </references>
      </pivotArea>
    </format>
    <format dxfId="10495">
      <pivotArea dataOnly="0" labelOnly="1" outline="0" fieldPosition="0">
        <references count="5">
          <reference field="3" count="1" selected="0">
            <x v="10"/>
          </reference>
          <reference field="4" count="1" selected="0">
            <x v="3"/>
          </reference>
          <reference field="5" count="1" selected="0">
            <x v="79"/>
          </reference>
          <reference field="6" count="1" selected="0">
            <x v="5"/>
          </reference>
          <reference field="9" count="1">
            <x v="4"/>
          </reference>
        </references>
      </pivotArea>
    </format>
    <format dxfId="10494">
      <pivotArea dataOnly="0" labelOnly="1" outline="0" fieldPosition="0">
        <references count="5">
          <reference field="3" count="1" selected="0">
            <x v="10"/>
          </reference>
          <reference field="4" count="1" selected="0">
            <x v="3"/>
          </reference>
          <reference field="5" count="1" selected="0">
            <x v="1"/>
          </reference>
          <reference field="6" count="1" selected="0">
            <x v="5"/>
          </reference>
          <reference field="9" count="1">
            <x v="4"/>
          </reference>
        </references>
      </pivotArea>
    </format>
    <format dxfId="10493">
      <pivotArea dataOnly="0" labelOnly="1" outline="0" fieldPosition="0">
        <references count="5">
          <reference field="3" count="1" selected="0">
            <x v="10"/>
          </reference>
          <reference field="4" count="1" selected="0">
            <x v="4"/>
          </reference>
          <reference field="5" count="1" selected="0">
            <x v="78"/>
          </reference>
          <reference field="6" count="1" selected="0">
            <x v="5"/>
          </reference>
          <reference field="9" count="1">
            <x v="4"/>
          </reference>
        </references>
      </pivotArea>
    </format>
    <format dxfId="10492">
      <pivotArea dataOnly="0" labelOnly="1" outline="0" fieldPosition="0">
        <references count="5">
          <reference field="3" count="1" selected="0">
            <x v="10"/>
          </reference>
          <reference field="4" count="1" selected="0">
            <x v="4"/>
          </reference>
          <reference field="5" count="1" selected="0">
            <x v="5"/>
          </reference>
          <reference field="6" count="1" selected="0">
            <x v="5"/>
          </reference>
          <reference field="9" count="1">
            <x v="10"/>
          </reference>
        </references>
      </pivotArea>
    </format>
    <format dxfId="10491">
      <pivotArea dataOnly="0" labelOnly="1" outline="0" fieldPosition="0">
        <references count="6">
          <reference field="1" count="0" selected="0"/>
          <reference field="3" count="1" selected="0">
            <x v="4"/>
          </reference>
          <reference field="4" count="1" selected="0">
            <x v="1"/>
          </reference>
          <reference field="5" count="1" selected="0">
            <x v="329"/>
          </reference>
          <reference field="6" count="1" selected="0">
            <x v="2"/>
          </reference>
          <reference field="9" count="1">
            <x v="4"/>
          </reference>
        </references>
      </pivotArea>
    </format>
    <format dxfId="10490">
      <pivotArea dataOnly="0" labelOnly="1" outline="0" fieldPosition="0">
        <references count="6">
          <reference field="1" count="0" selected="0"/>
          <reference field="3" count="1" selected="0">
            <x v="4"/>
          </reference>
          <reference field="4" count="1" selected="0">
            <x v="1"/>
          </reference>
          <reference field="5" count="1" selected="0">
            <x v="326"/>
          </reference>
          <reference field="6" count="1" selected="0">
            <x v="2"/>
          </reference>
          <reference field="9" count="1">
            <x v="2"/>
          </reference>
        </references>
      </pivotArea>
    </format>
    <format dxfId="10489">
      <pivotArea dataOnly="0" labelOnly="1" outline="0" fieldPosition="0">
        <references count="6">
          <reference field="1" count="0" selected="0"/>
          <reference field="3" count="1" selected="0">
            <x v="4"/>
          </reference>
          <reference field="4" count="1" selected="0">
            <x v="1"/>
          </reference>
          <reference field="5" count="1" selected="0">
            <x v="327"/>
          </reference>
          <reference field="6" count="1" selected="0">
            <x v="2"/>
          </reference>
          <reference field="9" count="1">
            <x v="10"/>
          </reference>
        </references>
      </pivotArea>
    </format>
    <format dxfId="10488">
      <pivotArea dataOnly="0" labelOnly="1" outline="0" fieldPosition="0">
        <references count="6">
          <reference field="1" count="0" selected="0"/>
          <reference field="3" count="1" selected="0">
            <x v="4"/>
          </reference>
          <reference field="4" count="1" selected="0">
            <x v="1"/>
          </reference>
          <reference field="5" count="1" selected="0">
            <x v="330"/>
          </reference>
          <reference field="6" count="1" selected="0">
            <x v="2"/>
          </reference>
          <reference field="9" count="1">
            <x v="10"/>
          </reference>
        </references>
      </pivotArea>
    </format>
    <format dxfId="10487">
      <pivotArea dataOnly="0" labelOnly="1" outline="0" fieldPosition="0">
        <references count="6">
          <reference field="1" count="0" selected="0"/>
          <reference field="3" count="1" selected="0">
            <x v="6"/>
          </reference>
          <reference field="4" count="1" selected="0">
            <x v="0"/>
          </reference>
          <reference field="5" count="1" selected="0">
            <x v="325"/>
          </reference>
          <reference field="6" count="1" selected="0">
            <x v="9"/>
          </reference>
          <reference field="9" count="1">
            <x v="10"/>
          </reference>
        </references>
      </pivotArea>
    </format>
    <format dxfId="10486">
      <pivotArea dataOnly="0" labelOnly="1" outline="0" fieldPosition="0">
        <references count="6">
          <reference field="1" count="0" selected="0"/>
          <reference field="3" count="1" selected="0">
            <x v="6"/>
          </reference>
          <reference field="4" count="1" selected="0">
            <x v="1"/>
          </reference>
          <reference field="5" count="1" selected="0">
            <x v="334"/>
          </reference>
          <reference field="6" count="1" selected="0">
            <x v="2"/>
          </reference>
          <reference field="9" count="1">
            <x v="4"/>
          </reference>
        </references>
      </pivotArea>
    </format>
    <format dxfId="10485">
      <pivotArea dataOnly="0" labelOnly="1" outline="0" fieldPosition="0">
        <references count="6">
          <reference field="1" count="0" selected="0"/>
          <reference field="3" count="1" selected="0">
            <x v="10"/>
          </reference>
          <reference field="4" count="1" selected="0">
            <x v="4"/>
          </reference>
          <reference field="5" count="1" selected="0">
            <x v="335"/>
          </reference>
          <reference field="6" count="1" selected="0">
            <x v="5"/>
          </reference>
          <reference field="9" count="1">
            <x v="7"/>
          </reference>
        </references>
      </pivotArea>
    </format>
    <format dxfId="10484">
      <pivotArea dataOnly="0" labelOnly="1" outline="0" fieldPosition="0">
        <references count="6">
          <reference field="1" count="0" selected="0"/>
          <reference field="3" count="1" selected="0">
            <x v="6"/>
          </reference>
          <reference field="4" count="1" selected="0">
            <x v="0"/>
          </reference>
          <reference field="5" count="1" selected="0">
            <x v="336"/>
          </reference>
          <reference field="6" count="1" selected="0">
            <x v="9"/>
          </reference>
          <reference field="9" count="1">
            <x v="10"/>
          </reference>
        </references>
      </pivotArea>
    </format>
    <format dxfId="10483">
      <pivotArea dataOnly="0" labelOnly="1" outline="0" fieldPosition="0">
        <references count="6">
          <reference field="1" count="0" selected="0"/>
          <reference field="3" count="1" selected="0">
            <x v="0"/>
          </reference>
          <reference field="4" count="1" selected="0">
            <x v="1"/>
          </reference>
          <reference field="5" count="1" selected="0">
            <x v="337"/>
          </reference>
          <reference field="6" count="1" selected="0">
            <x v="7"/>
          </reference>
          <reference field="9" count="1">
            <x v="10"/>
          </reference>
        </references>
      </pivotArea>
    </format>
    <format dxfId="10482">
      <pivotArea dataOnly="0" labelOnly="1" outline="0" fieldPosition="0">
        <references count="6">
          <reference field="1" count="0" selected="0"/>
          <reference field="3" count="1" selected="0">
            <x v="0"/>
          </reference>
          <reference field="4" count="1" selected="0">
            <x v="4"/>
          </reference>
          <reference field="5" count="1" selected="0">
            <x v="335"/>
          </reference>
          <reference field="6" count="1" selected="0">
            <x v="7"/>
          </reference>
          <reference field="9" count="1">
            <x v="10"/>
          </reference>
        </references>
      </pivotArea>
    </format>
    <format dxfId="10481">
      <pivotArea dataOnly="0" labelOnly="1" outline="0" fieldPosition="0">
        <references count="6">
          <reference field="1" count="0" selected="0"/>
          <reference field="3" count="1" selected="0">
            <x v="3"/>
          </reference>
          <reference field="4" count="1" selected="0">
            <x v="1"/>
          </reference>
          <reference field="5" count="1" selected="0">
            <x v="203"/>
          </reference>
          <reference field="6" count="1" selected="0">
            <x v="9"/>
          </reference>
          <reference field="9" count="1">
            <x v="10"/>
          </reference>
        </references>
      </pivotArea>
    </format>
    <format dxfId="10480">
      <pivotArea dataOnly="0" labelOnly="1" outline="0" fieldPosition="0">
        <references count="6">
          <reference field="1" count="0" selected="0"/>
          <reference field="3" count="1" selected="0">
            <x v="1"/>
          </reference>
          <reference field="4" count="1" selected="0">
            <x v="1"/>
          </reference>
          <reference field="5" count="1" selected="0">
            <x v="203"/>
          </reference>
          <reference field="6" count="1" selected="0">
            <x v="9"/>
          </reference>
          <reference field="9" count="1">
            <x v="10"/>
          </reference>
        </references>
      </pivotArea>
    </format>
    <format dxfId="10479">
      <pivotArea dataOnly="0" labelOnly="1" outline="0" fieldPosition="0">
        <references count="6">
          <reference field="1" count="0" selected="0"/>
          <reference field="3" count="1" selected="0">
            <x v="4"/>
          </reference>
          <reference field="4" count="1" selected="0">
            <x v="1"/>
          </reference>
          <reference field="5" count="1" selected="0">
            <x v="328"/>
          </reference>
          <reference field="6" count="1" selected="0">
            <x v="2"/>
          </reference>
          <reference field="9" count="1">
            <x v="10"/>
          </reference>
        </references>
      </pivotArea>
    </format>
    <format dxfId="10478">
      <pivotArea dataOnly="0" labelOnly="1" outline="0" fieldPosition="0">
        <references count="6">
          <reference field="1" count="0" selected="0"/>
          <reference field="3" count="1" selected="0">
            <x v="8"/>
          </reference>
          <reference field="4" count="1" selected="0">
            <x v="4"/>
          </reference>
          <reference field="5" count="1" selected="0">
            <x v="333"/>
          </reference>
          <reference field="6" count="1" selected="0">
            <x v="5"/>
          </reference>
          <reference field="9" count="1">
            <x v="10"/>
          </reference>
        </references>
      </pivotArea>
    </format>
    <format dxfId="10477">
      <pivotArea dataOnly="0" labelOnly="1" outline="0" fieldPosition="0">
        <references count="6">
          <reference field="1" count="0" selected="0"/>
          <reference field="3" count="1" selected="0">
            <x v="8"/>
          </reference>
          <reference field="4" count="1" selected="0">
            <x v="0"/>
          </reference>
          <reference field="5" count="1" selected="0">
            <x v="338"/>
          </reference>
          <reference field="6" count="1" selected="0">
            <x v="9"/>
          </reference>
          <reference field="9" count="1">
            <x v="10"/>
          </reference>
        </references>
      </pivotArea>
    </format>
    <format dxfId="10476">
      <pivotArea dataOnly="0" labelOnly="1" outline="0" fieldPosition="0">
        <references count="6">
          <reference field="1" count="0" selected="0"/>
          <reference field="3" count="1" selected="0">
            <x v="6"/>
          </reference>
          <reference field="4" count="1" selected="0">
            <x v="0"/>
          </reference>
          <reference field="5" count="1" selected="0">
            <x v="343"/>
          </reference>
          <reference field="6" count="1" selected="0">
            <x v="9"/>
          </reference>
          <reference field="9" count="1">
            <x v="10"/>
          </reference>
        </references>
      </pivotArea>
    </format>
    <format dxfId="10475">
      <pivotArea dataOnly="0" labelOnly="1" outline="0" fieldPosition="0">
        <references count="6">
          <reference field="1" count="0" selected="0"/>
          <reference field="3" count="1" selected="0">
            <x v="8"/>
          </reference>
          <reference field="4" count="1" selected="0">
            <x v="0"/>
          </reference>
          <reference field="5" count="1" selected="0">
            <x v="339"/>
          </reference>
          <reference field="6" count="1" selected="0">
            <x v="9"/>
          </reference>
          <reference field="9" count="1">
            <x v="10"/>
          </reference>
        </references>
      </pivotArea>
    </format>
    <format dxfId="10474">
      <pivotArea dataOnly="0" labelOnly="1" outline="0" fieldPosition="0">
        <references count="6">
          <reference field="1" count="0" selected="0"/>
          <reference field="3" count="1" selected="0">
            <x v="4"/>
          </reference>
          <reference field="4" count="1" selected="0">
            <x v="1"/>
          </reference>
          <reference field="5" count="1" selected="0">
            <x v="340"/>
          </reference>
          <reference field="6" count="1" selected="0">
            <x v="2"/>
          </reference>
          <reference field="9" count="1">
            <x v="4"/>
          </reference>
        </references>
      </pivotArea>
    </format>
    <format dxfId="10473">
      <pivotArea dataOnly="0" labelOnly="1" outline="0" fieldPosition="0">
        <references count="6">
          <reference field="1" count="0" selected="0"/>
          <reference field="3" count="1" selected="0">
            <x v="4"/>
          </reference>
          <reference field="4" count="1" selected="0">
            <x v="1"/>
          </reference>
          <reference field="5" count="1" selected="0">
            <x v="341"/>
          </reference>
          <reference field="6" count="1" selected="0">
            <x v="2"/>
          </reference>
          <reference field="9" count="1">
            <x v="4"/>
          </reference>
        </references>
      </pivotArea>
    </format>
    <format dxfId="10472">
      <pivotArea dataOnly="0" labelOnly="1" outline="0" fieldPosition="0">
        <references count="6">
          <reference field="1" count="0" selected="0"/>
          <reference field="3" count="1" selected="0">
            <x v="6"/>
          </reference>
          <reference field="4" count="1" selected="0">
            <x v="0"/>
          </reference>
          <reference field="5" count="1" selected="0">
            <x v="342"/>
          </reference>
          <reference field="6" count="1" selected="0">
            <x v="9"/>
          </reference>
          <reference field="9" count="1">
            <x v="10"/>
          </reference>
        </references>
      </pivotArea>
    </format>
    <format dxfId="10471">
      <pivotArea dataOnly="0" labelOnly="1" outline="0" fieldPosition="0">
        <references count="6">
          <reference field="1" count="0" selected="0"/>
          <reference field="3" count="1" selected="0">
            <x v="0"/>
          </reference>
          <reference field="4" count="1" selected="0">
            <x v="1"/>
          </reference>
          <reference field="5" count="1" selected="0">
            <x v="344"/>
          </reference>
          <reference field="6" count="1" selected="0">
            <x v="7"/>
          </reference>
          <reference field="9" count="1">
            <x v="10"/>
          </reference>
        </references>
      </pivotArea>
    </format>
    <format dxfId="10470">
      <pivotArea dataOnly="0" labelOnly="1" outline="0" fieldPosition="0">
        <references count="6">
          <reference field="1" count="0" selected="0"/>
          <reference field="3" count="1" selected="0">
            <x v="8"/>
          </reference>
          <reference field="4" count="1" selected="0">
            <x v="0"/>
          </reference>
          <reference field="5" count="1" selected="0">
            <x v="345"/>
          </reference>
          <reference field="6" count="1" selected="0">
            <x v="9"/>
          </reference>
          <reference field="9" count="1">
            <x v="10"/>
          </reference>
        </references>
      </pivotArea>
    </format>
    <format dxfId="10469">
      <pivotArea dataOnly="0" labelOnly="1" outline="0" fieldPosition="0">
        <references count="6">
          <reference field="1" count="0" selected="0"/>
          <reference field="3" count="1" selected="0">
            <x v="4"/>
          </reference>
          <reference field="4" count="1" selected="0">
            <x v="1"/>
          </reference>
          <reference field="5" count="1" selected="0">
            <x v="332"/>
          </reference>
          <reference field="6" count="1" selected="0">
            <x v="2"/>
          </reference>
          <reference field="9" count="1">
            <x v="10"/>
          </reference>
        </references>
      </pivotArea>
    </format>
    <format dxfId="10468">
      <pivotArea dataOnly="0" labelOnly="1" outline="0" fieldPosition="0">
        <references count="6">
          <reference field="1" count="0" selected="0"/>
          <reference field="3" count="1" selected="0">
            <x v="4"/>
          </reference>
          <reference field="4" count="1" selected="0">
            <x v="1"/>
          </reference>
          <reference field="5" count="1" selected="0">
            <x v="346"/>
          </reference>
          <reference field="6" count="1" selected="0">
            <x v="2"/>
          </reference>
          <reference field="9" count="1">
            <x v="10"/>
          </reference>
        </references>
      </pivotArea>
    </format>
    <format dxfId="10467">
      <pivotArea dataOnly="0" labelOnly="1" outline="0" fieldPosition="0">
        <references count="6">
          <reference field="1" count="0" selected="0"/>
          <reference field="3" count="1" selected="0">
            <x v="4"/>
          </reference>
          <reference field="4" count="1" selected="0">
            <x v="1"/>
          </reference>
          <reference field="5" count="1" selected="0">
            <x v="70"/>
          </reference>
          <reference field="6" count="1" selected="0">
            <x v="9"/>
          </reference>
          <reference field="9" count="1">
            <x v="10"/>
          </reference>
        </references>
      </pivotArea>
    </format>
    <format dxfId="10466">
      <pivotArea dataOnly="0" labelOnly="1" outline="0" fieldPosition="0">
        <references count="6">
          <reference field="1" count="0" selected="0"/>
          <reference field="3" count="1" selected="0">
            <x v="4"/>
          </reference>
          <reference field="4" count="1" selected="0">
            <x v="1"/>
          </reference>
          <reference field="5" count="1" selected="0">
            <x v="192"/>
          </reference>
          <reference field="6" count="1" selected="0">
            <x v="9"/>
          </reference>
          <reference field="9" count="1">
            <x v="10"/>
          </reference>
        </references>
      </pivotArea>
    </format>
    <format dxfId="10465">
      <pivotArea dataOnly="0" labelOnly="1" outline="0" fieldPosition="0">
        <references count="6">
          <reference field="1" count="0" selected="0"/>
          <reference field="3" count="1" selected="0">
            <x v="4"/>
          </reference>
          <reference field="4" count="1" selected="0">
            <x v="1"/>
          </reference>
          <reference field="5" count="1" selected="0">
            <x v="199"/>
          </reference>
          <reference field="6" count="1" selected="0">
            <x v="9"/>
          </reference>
          <reference field="9" count="1">
            <x v="10"/>
          </reference>
        </references>
      </pivotArea>
    </format>
    <format dxfId="10464">
      <pivotArea dataOnly="0" labelOnly="1" outline="0" fieldPosition="0">
        <references count="6">
          <reference field="1" count="0" selected="0"/>
          <reference field="3" count="1" selected="0">
            <x v="4"/>
          </reference>
          <reference field="4" count="1" selected="0">
            <x v="1"/>
          </reference>
          <reference field="5" count="1" selected="0">
            <x v="200"/>
          </reference>
          <reference field="6" count="1" selected="0">
            <x v="9"/>
          </reference>
          <reference field="9" count="1">
            <x v="10"/>
          </reference>
        </references>
      </pivotArea>
    </format>
    <format dxfId="10463">
      <pivotArea dataOnly="0" labelOnly="1" outline="0" fieldPosition="0">
        <references count="6">
          <reference field="1" count="0" selected="0"/>
          <reference field="3" count="1" selected="0">
            <x v="4"/>
          </reference>
          <reference field="4" count="1" selected="0">
            <x v="1"/>
          </reference>
          <reference field="5" count="1" selected="0">
            <x v="207"/>
          </reference>
          <reference field="6" count="1" selected="0">
            <x v="9"/>
          </reference>
          <reference field="9" count="1">
            <x v="10"/>
          </reference>
        </references>
      </pivotArea>
    </format>
    <format dxfId="10462">
      <pivotArea dataOnly="0" labelOnly="1" outline="0" fieldPosition="0">
        <references count="6">
          <reference field="1" count="0" selected="0"/>
          <reference field="3" count="1" selected="0">
            <x v="4"/>
          </reference>
          <reference field="4" count="1" selected="0">
            <x v="1"/>
          </reference>
          <reference field="5" count="1" selected="0">
            <x v="208"/>
          </reference>
          <reference field="6" count="1" selected="0">
            <x v="9"/>
          </reference>
          <reference field="9" count="1">
            <x v="10"/>
          </reference>
        </references>
      </pivotArea>
    </format>
    <format dxfId="10461">
      <pivotArea dataOnly="0" labelOnly="1" outline="0" fieldPosition="0">
        <references count="6">
          <reference field="1" count="0" selected="0"/>
          <reference field="3" count="1" selected="0">
            <x v="6"/>
          </reference>
          <reference field="4" count="1" selected="0">
            <x v="1"/>
          </reference>
          <reference field="5" count="1" selected="0">
            <x v="97"/>
          </reference>
          <reference field="6" count="1" selected="0">
            <x v="9"/>
          </reference>
          <reference field="9" count="1">
            <x v="10"/>
          </reference>
        </references>
      </pivotArea>
    </format>
    <format dxfId="10460">
      <pivotArea dataOnly="0" labelOnly="1" outline="0" fieldPosition="0">
        <references count="6">
          <reference field="1" count="0" selected="0"/>
          <reference field="3" count="1" selected="0">
            <x v="6"/>
          </reference>
          <reference field="4" count="1" selected="0">
            <x v="1"/>
          </reference>
          <reference field="5" count="1" selected="0">
            <x v="98"/>
          </reference>
          <reference field="6" count="1" selected="0">
            <x v="9"/>
          </reference>
          <reference field="9" count="1">
            <x v="10"/>
          </reference>
        </references>
      </pivotArea>
    </format>
    <format dxfId="10459">
      <pivotArea dataOnly="0" labelOnly="1" outline="0" fieldPosition="0">
        <references count="6">
          <reference field="1" count="0" selected="0"/>
          <reference field="3" count="1" selected="0">
            <x v="6"/>
          </reference>
          <reference field="4" count="1" selected="0">
            <x v="1"/>
          </reference>
          <reference field="5" count="1" selected="0">
            <x v="105"/>
          </reference>
          <reference field="6" count="1" selected="0">
            <x v="9"/>
          </reference>
          <reference field="9" count="1">
            <x v="2"/>
          </reference>
        </references>
      </pivotArea>
    </format>
    <format dxfId="10458">
      <pivotArea dataOnly="0" labelOnly="1" outline="0" fieldPosition="0">
        <references count="6">
          <reference field="1" count="0" selected="0"/>
          <reference field="3" count="1" selected="0">
            <x v="6"/>
          </reference>
          <reference field="4" count="1" selected="0">
            <x v="1"/>
          </reference>
          <reference field="5" count="1" selected="0">
            <x v="222"/>
          </reference>
          <reference field="6" count="1" selected="0">
            <x v="3"/>
          </reference>
          <reference field="9" count="1">
            <x v="8"/>
          </reference>
        </references>
      </pivotArea>
    </format>
    <format dxfId="10457">
      <pivotArea dataOnly="0" labelOnly="1" outline="0" fieldPosition="0">
        <references count="6">
          <reference field="1" count="0" selected="0"/>
          <reference field="3" count="1" selected="0">
            <x v="6"/>
          </reference>
          <reference field="4" count="1" selected="0">
            <x v="1"/>
          </reference>
          <reference field="5" count="1" selected="0">
            <x v="329"/>
          </reference>
          <reference field="6" count="1" selected="0">
            <x v="9"/>
          </reference>
          <reference field="9" count="1">
            <x v="4"/>
          </reference>
        </references>
      </pivotArea>
    </format>
    <format dxfId="10456">
      <pivotArea dataOnly="0" labelOnly="1" outline="0" fieldPosition="0">
        <references count="6">
          <reference field="1" count="0" selected="0"/>
          <reference field="3" count="1" selected="0">
            <x v="4"/>
          </reference>
          <reference field="4" count="1" selected="0">
            <x v="1"/>
          </reference>
          <reference field="5" count="1" selected="0">
            <x v="65"/>
          </reference>
          <reference field="6" count="1" selected="0">
            <x v="9"/>
          </reference>
          <reference field="9" count="1">
            <x v="10"/>
          </reference>
        </references>
      </pivotArea>
    </format>
    <format dxfId="10455">
      <pivotArea dataOnly="0" labelOnly="1" outline="0" fieldPosition="0">
        <references count="6">
          <reference field="1" count="0" selected="0"/>
          <reference field="3" count="1" selected="0">
            <x v="4"/>
          </reference>
          <reference field="4" count="1" selected="0">
            <x v="1"/>
          </reference>
          <reference field="5" count="1" selected="0">
            <x v="193"/>
          </reference>
          <reference field="6" count="1" selected="0">
            <x v="9"/>
          </reference>
          <reference field="9" count="1">
            <x v="10"/>
          </reference>
        </references>
      </pivotArea>
    </format>
    <format dxfId="10454">
      <pivotArea dataOnly="0" labelOnly="1" outline="0" fieldPosition="0">
        <references count="6">
          <reference field="1" count="0" selected="0"/>
          <reference field="3" count="1" selected="0">
            <x v="4"/>
          </reference>
          <reference field="4" count="1" selected="0">
            <x v="1"/>
          </reference>
          <reference field="5" count="1" selected="0">
            <x v="198"/>
          </reference>
          <reference field="6" count="1" selected="0">
            <x v="9"/>
          </reference>
          <reference field="9" count="1">
            <x v="10"/>
          </reference>
        </references>
      </pivotArea>
    </format>
    <format dxfId="10453">
      <pivotArea dataOnly="0" labelOnly="1" outline="0" fieldPosition="0">
        <references count="6">
          <reference field="1" count="0" selected="0"/>
          <reference field="3" count="1" selected="0">
            <x v="4"/>
          </reference>
          <reference field="4" count="1" selected="0">
            <x v="1"/>
          </reference>
          <reference field="5" count="1" selected="0">
            <x v="201"/>
          </reference>
          <reference field="6" count="1" selected="0">
            <x v="9"/>
          </reference>
          <reference field="9" count="1">
            <x v="10"/>
          </reference>
        </references>
      </pivotArea>
    </format>
    <format dxfId="10452">
      <pivotArea dataOnly="0" labelOnly="1" outline="0" fieldPosition="0">
        <references count="6">
          <reference field="1" count="0" selected="0"/>
          <reference field="3" count="1" selected="0">
            <x v="4"/>
          </reference>
          <reference field="4" count="1" selected="0">
            <x v="1"/>
          </reference>
          <reference field="5" count="1" selected="0">
            <x v="206"/>
          </reference>
          <reference field="6" count="1" selected="0">
            <x v="9"/>
          </reference>
          <reference field="9" count="1">
            <x v="10"/>
          </reference>
        </references>
      </pivotArea>
    </format>
    <format dxfId="10451">
      <pivotArea dataOnly="0" labelOnly="1" outline="0" fieldPosition="0">
        <references count="6">
          <reference field="1" count="0" selected="0"/>
          <reference field="3" count="1" selected="0">
            <x v="6"/>
          </reference>
          <reference field="4" count="1" selected="0">
            <x v="1"/>
          </reference>
          <reference field="5" count="1" selected="0">
            <x v="24"/>
          </reference>
          <reference field="6" count="1" selected="0">
            <x v="9"/>
          </reference>
          <reference field="9" count="1">
            <x v="10"/>
          </reference>
        </references>
      </pivotArea>
    </format>
    <format dxfId="10450">
      <pivotArea dataOnly="0" labelOnly="1" outline="0" fieldPosition="0">
        <references count="6">
          <reference field="1" count="0" selected="0"/>
          <reference field="3" count="1" selected="0">
            <x v="6"/>
          </reference>
          <reference field="4" count="1" selected="0">
            <x v="1"/>
          </reference>
          <reference field="5" count="1" selected="0">
            <x v="96"/>
          </reference>
          <reference field="6" count="1" selected="0">
            <x v="9"/>
          </reference>
          <reference field="9" count="1">
            <x v="10"/>
          </reference>
        </references>
      </pivotArea>
    </format>
    <format dxfId="10449">
      <pivotArea dataOnly="0" labelOnly="1" outline="0" fieldPosition="0">
        <references count="6">
          <reference field="1" count="0" selected="0"/>
          <reference field="3" count="1" selected="0">
            <x v="6"/>
          </reference>
          <reference field="4" count="1" selected="0">
            <x v="1"/>
          </reference>
          <reference field="5" count="1" selected="0">
            <x v="99"/>
          </reference>
          <reference field="6" count="1" selected="0">
            <x v="9"/>
          </reference>
          <reference field="9" count="1">
            <x v="10"/>
          </reference>
        </references>
      </pivotArea>
    </format>
    <format dxfId="10448">
      <pivotArea dataOnly="0" labelOnly="1" outline="0" fieldPosition="0">
        <references count="6">
          <reference field="1" count="0" selected="0"/>
          <reference field="3" count="1" selected="0">
            <x v="6"/>
          </reference>
          <reference field="4" count="1" selected="0">
            <x v="1"/>
          </reference>
          <reference field="5" count="1" selected="0">
            <x v="104"/>
          </reference>
          <reference field="6" count="1" selected="0">
            <x v="9"/>
          </reference>
          <reference field="9" count="1">
            <x v="2"/>
          </reference>
        </references>
      </pivotArea>
    </format>
    <format dxfId="10447">
      <pivotArea dataOnly="0" labelOnly="1" outline="0" fieldPosition="0">
        <references count="6">
          <reference field="1" count="0" selected="0"/>
          <reference field="3" count="1" selected="0">
            <x v="6"/>
          </reference>
          <reference field="4" count="1" selected="0">
            <x v="1"/>
          </reference>
          <reference field="5" count="1" selected="0">
            <x v="215"/>
          </reference>
          <reference field="6" count="1" selected="0">
            <x v="9"/>
          </reference>
          <reference field="9" count="1">
            <x v="4"/>
          </reference>
        </references>
      </pivotArea>
    </format>
    <format dxfId="10446">
      <pivotArea dataOnly="0" labelOnly="1" outline="0" fieldPosition="0">
        <references count="6">
          <reference field="1" count="0" selected="0"/>
          <reference field="3" count="1" selected="0">
            <x v="8"/>
          </reference>
          <reference field="4" count="1" selected="0">
            <x v="1"/>
          </reference>
          <reference field="5" count="1" selected="0">
            <x v="83"/>
          </reference>
          <reference field="6" count="1" selected="0">
            <x v="9"/>
          </reference>
          <reference field="9" count="1">
            <x v="4"/>
          </reference>
        </references>
      </pivotArea>
    </format>
    <format dxfId="10445">
      <pivotArea dataOnly="0" labelOnly="1" outline="0" fieldPosition="0">
        <references count="6">
          <reference field="1" count="0" selected="0"/>
          <reference field="3" count="1" selected="0">
            <x v="8"/>
          </reference>
          <reference field="4" count="1" selected="0">
            <x v="1"/>
          </reference>
          <reference field="5" count="1" selected="0">
            <x v="94"/>
          </reference>
          <reference field="6" count="1" selected="0">
            <x v="9"/>
          </reference>
          <reference field="9" count="1">
            <x v="4"/>
          </reference>
        </references>
      </pivotArea>
    </format>
    <format dxfId="10444">
      <pivotArea dataOnly="0" labelOnly="1" outline="0" fieldPosition="0">
        <references count="6">
          <reference field="1" count="0" selected="0"/>
          <reference field="3" count="1" selected="0">
            <x v="4"/>
          </reference>
          <reference field="4" count="1" selected="0">
            <x v="1"/>
          </reference>
          <reference field="5" count="1" selected="0">
            <x v="194"/>
          </reference>
          <reference field="6" count="1" selected="0">
            <x v="9"/>
          </reference>
          <reference field="9" count="1">
            <x v="10"/>
          </reference>
        </references>
      </pivotArea>
    </format>
    <format dxfId="10443">
      <pivotArea dataOnly="0" labelOnly="1" outline="0" fieldPosition="0">
        <references count="6">
          <reference field="1" count="0" selected="0"/>
          <reference field="3" count="1" selected="0">
            <x v="4"/>
          </reference>
          <reference field="4" count="1" selected="0">
            <x v="1"/>
          </reference>
          <reference field="5" count="1" selected="0">
            <x v="197"/>
          </reference>
          <reference field="6" count="1" selected="0">
            <x v="9"/>
          </reference>
          <reference field="9" count="1">
            <x v="10"/>
          </reference>
        </references>
      </pivotArea>
    </format>
    <format dxfId="10442">
      <pivotArea dataOnly="0" labelOnly="1" outline="0" fieldPosition="0">
        <references count="6">
          <reference field="1" count="0" selected="0"/>
          <reference field="3" count="1" selected="0">
            <x v="4"/>
          </reference>
          <reference field="4" count="1" selected="0">
            <x v="1"/>
          </reference>
          <reference field="5" count="1" selected="0">
            <x v="202"/>
          </reference>
          <reference field="6" count="1" selected="0">
            <x v="9"/>
          </reference>
          <reference field="9" count="1">
            <x v="10"/>
          </reference>
        </references>
      </pivotArea>
    </format>
    <format dxfId="10441">
      <pivotArea dataOnly="0" labelOnly="1" outline="0" fieldPosition="0">
        <references count="6">
          <reference field="1" count="0" selected="0"/>
          <reference field="3" count="1" selected="0">
            <x v="4"/>
          </reference>
          <reference field="4" count="1" selected="0">
            <x v="1"/>
          </reference>
          <reference field="5" count="1" selected="0">
            <x v="205"/>
          </reference>
          <reference field="6" count="1" selected="0">
            <x v="9"/>
          </reference>
          <reference field="9" count="1">
            <x v="10"/>
          </reference>
        </references>
      </pivotArea>
    </format>
    <format dxfId="10440">
      <pivotArea dataOnly="0" labelOnly="1" outline="0" fieldPosition="0">
        <references count="6">
          <reference field="1" count="0" selected="0"/>
          <reference field="3" count="1" selected="0">
            <x v="6"/>
          </reference>
          <reference field="4" count="1" selected="0">
            <x v="1"/>
          </reference>
          <reference field="5" count="1" selected="0">
            <x v="25"/>
          </reference>
          <reference field="6" count="1" selected="0">
            <x v="9"/>
          </reference>
          <reference field="9" count="1">
            <x v="10"/>
          </reference>
        </references>
      </pivotArea>
    </format>
    <format dxfId="10439">
      <pivotArea dataOnly="0" labelOnly="1" outline="0" fieldPosition="0">
        <references count="6">
          <reference field="1" count="0" selected="0"/>
          <reference field="3" count="1" selected="0">
            <x v="6"/>
          </reference>
          <reference field="4" count="1" selected="0">
            <x v="1"/>
          </reference>
          <reference field="5" count="1" selected="0">
            <x v="88"/>
          </reference>
          <reference field="6" count="1" selected="0">
            <x v="5"/>
          </reference>
          <reference field="9" count="1">
            <x v="10"/>
          </reference>
        </references>
      </pivotArea>
    </format>
    <format dxfId="10438">
      <pivotArea dataOnly="0" labelOnly="1" outline="0" fieldPosition="0">
        <references count="6">
          <reference field="1" count="0" selected="0"/>
          <reference field="3" count="1" selected="0">
            <x v="6"/>
          </reference>
          <reference field="4" count="1" selected="0">
            <x v="1"/>
          </reference>
          <reference field="5" count="1" selected="0">
            <x v="100"/>
          </reference>
          <reference field="6" count="1" selected="0">
            <x v="9"/>
          </reference>
          <reference field="9" count="1">
            <x v="2"/>
          </reference>
        </references>
      </pivotArea>
    </format>
    <format dxfId="10437">
      <pivotArea dataOnly="0" labelOnly="1" outline="0" fieldPosition="0">
        <references count="6">
          <reference field="1" count="0" selected="0"/>
          <reference field="3" count="1" selected="0">
            <x v="6"/>
          </reference>
          <reference field="4" count="1" selected="0">
            <x v="1"/>
          </reference>
          <reference field="5" count="1" selected="0">
            <x v="103"/>
          </reference>
          <reference field="6" count="1" selected="0">
            <x v="9"/>
          </reference>
          <reference field="9" count="1">
            <x v="4"/>
          </reference>
        </references>
      </pivotArea>
    </format>
    <format dxfId="10436">
      <pivotArea dataOnly="0" labelOnly="1" outline="0" fieldPosition="0">
        <references count="6">
          <reference field="1" count="0" selected="0"/>
          <reference field="3" count="1" selected="0">
            <x v="6"/>
          </reference>
          <reference field="4" count="1" selected="0">
            <x v="1"/>
          </reference>
          <reference field="5" count="1" selected="0">
            <x v="117"/>
          </reference>
          <reference field="6" count="1" selected="0">
            <x v="9"/>
          </reference>
          <reference field="9" count="1">
            <x v="4"/>
          </reference>
        </references>
      </pivotArea>
    </format>
    <format dxfId="10435">
      <pivotArea dataOnly="0" labelOnly="1" outline="0" fieldPosition="0">
        <references count="6">
          <reference field="1" count="0" selected="0"/>
          <reference field="3" count="1" selected="0">
            <x v="6"/>
          </reference>
          <reference field="4" count="1" selected="0">
            <x v="1"/>
          </reference>
          <reference field="5" count="1" selected="0">
            <x v="326"/>
          </reference>
          <reference field="6" count="1" selected="0">
            <x v="9"/>
          </reference>
          <reference field="9" count="1">
            <x v="2"/>
          </reference>
        </references>
      </pivotArea>
    </format>
    <format dxfId="10434">
      <pivotArea dataOnly="0" labelOnly="1" outline="0" fieldPosition="0">
        <references count="6">
          <reference field="1" count="0" selected="0"/>
          <reference field="3" count="1" selected="0">
            <x v="6"/>
          </reference>
          <reference field="4" count="1" selected="0">
            <x v="1"/>
          </reference>
          <reference field="5" count="1" selected="0">
            <x v="340"/>
          </reference>
          <reference field="6" count="1" selected="0">
            <x v="9"/>
          </reference>
          <reference field="9" count="1">
            <x v="4"/>
          </reference>
        </references>
      </pivotArea>
    </format>
    <format dxfId="10433">
      <pivotArea dataOnly="0" labelOnly="1" outline="0" fieldPosition="0">
        <references count="6">
          <reference field="1" count="0" selected="0"/>
          <reference field="3" count="1" selected="0">
            <x v="6"/>
          </reference>
          <reference field="4" count="1" selected="0">
            <x v="1"/>
          </reference>
          <reference field="5" count="1" selected="0">
            <x v="341"/>
          </reference>
          <reference field="6" count="1" selected="0">
            <x v="9"/>
          </reference>
          <reference field="9" count="1">
            <x v="4"/>
          </reference>
        </references>
      </pivotArea>
    </format>
    <format dxfId="10432">
      <pivotArea dataOnly="0" labelOnly="1" outline="0" fieldPosition="0">
        <references count="6">
          <reference field="1" count="0" selected="0"/>
          <reference field="3" count="1" selected="0">
            <x v="10"/>
          </reference>
          <reference field="4" count="1" selected="0">
            <x v="4"/>
          </reference>
          <reference field="5" count="1" selected="0">
            <x v="90"/>
          </reference>
          <reference field="6" count="1" selected="0">
            <x v="10"/>
          </reference>
          <reference field="9" count="1">
            <x v="0"/>
          </reference>
        </references>
      </pivotArea>
    </format>
    <format dxfId="10431">
      <pivotArea dataOnly="0" labelOnly="1" outline="0" fieldPosition="0">
        <references count="6">
          <reference field="1" count="0" selected="0"/>
          <reference field="3" count="1" selected="0">
            <x v="12"/>
          </reference>
          <reference field="4" count="1" selected="0">
            <x v="4"/>
          </reference>
          <reference field="5" count="1" selected="0">
            <x v="82"/>
          </reference>
          <reference field="6" count="1" selected="0">
            <x v="6"/>
          </reference>
          <reference field="9" count="1">
            <x v="4"/>
          </reference>
        </references>
      </pivotArea>
    </format>
    <format dxfId="10430">
      <pivotArea dataOnly="0" labelOnly="1" outline="0" fieldPosition="0">
        <references count="6">
          <reference field="1" count="0" selected="0"/>
          <reference field="3" count="1" selected="0">
            <x v="4"/>
          </reference>
          <reference field="4" count="1" selected="0">
            <x v="1"/>
          </reference>
          <reference field="5" count="1" selected="0">
            <x v="195"/>
          </reference>
          <reference field="6" count="1" selected="0">
            <x v="9"/>
          </reference>
          <reference field="9" count="1">
            <x v="10"/>
          </reference>
        </references>
      </pivotArea>
    </format>
    <format dxfId="10429">
      <pivotArea dataOnly="0" labelOnly="1" outline="0" fieldPosition="0">
        <references count="6">
          <reference field="1" count="0" selected="0"/>
          <reference field="3" count="1" selected="0">
            <x v="4"/>
          </reference>
          <reference field="4" count="1" selected="0">
            <x v="1"/>
          </reference>
          <reference field="5" count="1" selected="0">
            <x v="196"/>
          </reference>
          <reference field="6" count="1" selected="0">
            <x v="9"/>
          </reference>
          <reference field="9" count="1">
            <x v="10"/>
          </reference>
        </references>
      </pivotArea>
    </format>
    <format dxfId="10428">
      <pivotArea dataOnly="0" labelOnly="1" outline="0" fieldPosition="0">
        <references count="6">
          <reference field="1" count="0" selected="0"/>
          <reference field="3" count="1" selected="0">
            <x v="4"/>
          </reference>
          <reference field="4" count="1" selected="0">
            <x v="1"/>
          </reference>
          <reference field="5" count="1" selected="0">
            <x v="203"/>
          </reference>
          <reference field="6" count="1" selected="0">
            <x v="9"/>
          </reference>
          <reference field="9" count="1">
            <x v="10"/>
          </reference>
        </references>
      </pivotArea>
    </format>
    <format dxfId="10427">
      <pivotArea dataOnly="0" labelOnly="1" outline="0" fieldPosition="0">
        <references count="6">
          <reference field="1" count="0" selected="0"/>
          <reference field="3" count="1" selected="0">
            <x v="4"/>
          </reference>
          <reference field="4" count="1" selected="0">
            <x v="1"/>
          </reference>
          <reference field="5" count="1" selected="0">
            <x v="204"/>
          </reference>
          <reference field="6" count="1" selected="0">
            <x v="9"/>
          </reference>
          <reference field="9" count="1">
            <x v="10"/>
          </reference>
        </references>
      </pivotArea>
    </format>
    <format dxfId="10426">
      <pivotArea dataOnly="0" labelOnly="1" outline="0" fieldPosition="0">
        <references count="6">
          <reference field="1" count="0" selected="0"/>
          <reference field="3" count="1" selected="0">
            <x v="6"/>
          </reference>
          <reference field="4" count="1" selected="0">
            <x v="1"/>
          </reference>
          <reference field="5" count="1" selected="0">
            <x v="28"/>
          </reference>
          <reference field="6" count="1" selected="0">
            <x v="9"/>
          </reference>
          <reference field="9" count="1">
            <x v="10"/>
          </reference>
        </references>
      </pivotArea>
    </format>
    <format dxfId="10425">
      <pivotArea dataOnly="0" labelOnly="1" outline="0" fieldPosition="0">
        <references count="6">
          <reference field="1" count="0" selected="0"/>
          <reference field="3" count="1" selected="0">
            <x v="6"/>
          </reference>
          <reference field="4" count="1" selected="0">
            <x v="1"/>
          </reference>
          <reference field="5" count="1" selected="0">
            <x v="33"/>
          </reference>
          <reference field="6" count="1" selected="0">
            <x v="9"/>
          </reference>
          <reference field="9" count="1">
            <x v="10"/>
          </reference>
        </references>
      </pivotArea>
    </format>
    <format dxfId="10424">
      <pivotArea dataOnly="0" labelOnly="1" outline="0" fieldPosition="0">
        <references count="6">
          <reference field="1" count="0" selected="0"/>
          <reference field="3" count="1" selected="0">
            <x v="6"/>
          </reference>
          <reference field="4" count="1" selected="0">
            <x v="1"/>
          </reference>
          <reference field="5" count="1" selected="0">
            <x v="101"/>
          </reference>
          <reference field="6" count="1" selected="0">
            <x v="9"/>
          </reference>
          <reference field="9" count="1">
            <x v="10"/>
          </reference>
        </references>
      </pivotArea>
    </format>
    <format dxfId="10423">
      <pivotArea dataOnly="0" labelOnly="1" outline="0" fieldPosition="0">
        <references count="6">
          <reference field="1" count="0" selected="0"/>
          <reference field="3" count="1" selected="0">
            <x v="6"/>
          </reference>
          <reference field="4" count="1" selected="0">
            <x v="1"/>
          </reference>
          <reference field="5" count="1" selected="0">
            <x v="102"/>
          </reference>
          <reference field="6" count="1" selected="0">
            <x v="9"/>
          </reference>
          <reference field="9" count="1">
            <x v="2"/>
          </reference>
        </references>
      </pivotArea>
    </format>
    <format dxfId="10422">
      <pivotArea dataOnly="0" labelOnly="1" outline="0" fieldPosition="0">
        <references count="6">
          <reference field="1" count="0" selected="0"/>
          <reference field="3" count="1" selected="0">
            <x v="8"/>
          </reference>
          <reference field="4" count="1" selected="0">
            <x v="1"/>
          </reference>
          <reference field="5" count="1" selected="0">
            <x v="36"/>
          </reference>
          <reference field="6" count="1" selected="0">
            <x v="9"/>
          </reference>
          <reference field="9" count="1">
            <x v="2"/>
          </reference>
        </references>
      </pivotArea>
    </format>
    <format dxfId="10421">
      <pivotArea dataOnly="0" labelOnly="1" outline="0" fieldPosition="0">
        <references count="6">
          <reference field="1" count="0" selected="0"/>
          <reference field="3" count="1" selected="0">
            <x v="12"/>
          </reference>
          <reference field="4" count="1" selected="0">
            <x v="4"/>
          </reference>
          <reference field="5" count="1" selected="0">
            <x v="78"/>
          </reference>
          <reference field="6" count="1" selected="0">
            <x v="6"/>
          </reference>
          <reference field="9" count="1">
            <x v="4"/>
          </reference>
        </references>
      </pivotArea>
    </format>
    <format dxfId="10420">
      <pivotArea dataOnly="0" labelOnly="1" outline="0" fieldPosition="0">
        <references count="6">
          <reference field="1" count="0" selected="0"/>
          <reference field="3" count="1" selected="0">
            <x v="6"/>
          </reference>
          <reference field="4" count="1" selected="0">
            <x v="1"/>
          </reference>
          <reference field="5" count="1" selected="0">
            <x v="105"/>
          </reference>
          <reference field="6" count="1" selected="0">
            <x v="9"/>
          </reference>
          <reference field="9" count="1">
            <x v="4"/>
          </reference>
        </references>
      </pivotArea>
    </format>
    <format dxfId="10419">
      <pivotArea dataOnly="0" labelOnly="1" outline="0" fieldPosition="0">
        <references count="6">
          <reference field="1" count="0" selected="0"/>
          <reference field="3" count="1" selected="0">
            <x v="6"/>
          </reference>
          <reference field="4" count="1" selected="0">
            <x v="1"/>
          </reference>
          <reference field="5" count="1" selected="0">
            <x v="112"/>
          </reference>
          <reference field="6" count="1" selected="0">
            <x v="9"/>
          </reference>
          <reference field="9" count="1">
            <x v="10"/>
          </reference>
        </references>
      </pivotArea>
    </format>
    <format dxfId="10418">
      <pivotArea dataOnly="0" labelOnly="1" outline="0" fieldPosition="0">
        <references count="6">
          <reference field="1" count="0" selected="0"/>
          <reference field="3" count="1" selected="0">
            <x v="6"/>
          </reference>
          <reference field="4" count="1" selected="0">
            <x v="1"/>
          </reference>
          <reference field="5" count="1" selected="0">
            <x v="210"/>
          </reference>
          <reference field="6" count="1" selected="0">
            <x v="9"/>
          </reference>
          <reference field="9" count="1">
            <x v="10"/>
          </reference>
        </references>
      </pivotArea>
    </format>
    <format dxfId="10417">
      <pivotArea dataOnly="0" labelOnly="1" outline="0" fieldPosition="0">
        <references count="6">
          <reference field="1" count="0" selected="0"/>
          <reference field="3" count="1" selected="0">
            <x v="6"/>
          </reference>
          <reference field="4" count="1" selected="0">
            <x v="1"/>
          </reference>
          <reference field="5" count="1" selected="0">
            <x v="214"/>
          </reference>
          <reference field="6" count="1" selected="0">
            <x v="9"/>
          </reference>
          <reference field="9" count="1">
            <x v="10"/>
          </reference>
        </references>
      </pivotArea>
    </format>
    <format dxfId="10416">
      <pivotArea dataOnly="0" labelOnly="1" outline="0" fieldPosition="0">
        <references count="6">
          <reference field="1" count="0" selected="0"/>
          <reference field="3" count="1" selected="0">
            <x v="6"/>
          </reference>
          <reference field="4" count="1" selected="0">
            <x v="1"/>
          </reference>
          <reference field="5" count="1" selected="0">
            <x v="222"/>
          </reference>
          <reference field="6" count="1" selected="0">
            <x v="3"/>
          </reference>
          <reference field="9" count="1">
            <x v="13"/>
          </reference>
        </references>
      </pivotArea>
    </format>
    <format dxfId="10415">
      <pivotArea dataOnly="0" labelOnly="1" outline="0" fieldPosition="0">
        <references count="6">
          <reference field="1" count="0" selected="0"/>
          <reference field="3" count="1" selected="0">
            <x v="6"/>
          </reference>
          <reference field="4" count="1" selected="0">
            <x v="1"/>
          </reference>
          <reference field="5" count="1" selected="0">
            <x v="327"/>
          </reference>
          <reference field="6" count="1" selected="0">
            <x v="9"/>
          </reference>
          <reference field="9" count="1">
            <x v="10"/>
          </reference>
        </references>
      </pivotArea>
    </format>
    <format dxfId="10414">
      <pivotArea dataOnly="0" labelOnly="1" outline="0" fieldPosition="0">
        <references count="6">
          <reference field="1" count="0" selected="0"/>
          <reference field="3" count="1" selected="0">
            <x v="6"/>
          </reference>
          <reference field="4" count="1" selected="0">
            <x v="1"/>
          </reference>
          <reference field="5" count="1" selected="0">
            <x v="329"/>
          </reference>
          <reference field="6" count="1" selected="0">
            <x v="9"/>
          </reference>
          <reference field="9" count="1">
            <x v="7"/>
          </reference>
        </references>
      </pivotArea>
    </format>
    <format dxfId="10413">
      <pivotArea dataOnly="0" labelOnly="1" outline="0" fieldPosition="0">
        <references count="6">
          <reference field="1" count="0" selected="0"/>
          <reference field="3" count="1" selected="0">
            <x v="8"/>
          </reference>
          <reference field="4" count="1" selected="0">
            <x v="0"/>
          </reference>
          <reference field="5" count="1" selected="0">
            <x v="22"/>
          </reference>
          <reference field="6" count="1" selected="0">
            <x v="3"/>
          </reference>
          <reference field="9" count="1">
            <x v="10"/>
          </reference>
        </references>
      </pivotArea>
    </format>
    <format dxfId="10412">
      <pivotArea dataOnly="0" labelOnly="1" outline="0" fieldPosition="0">
        <references count="6">
          <reference field="1" count="0" selected="0"/>
          <reference field="3" count="1" selected="0">
            <x v="8"/>
          </reference>
          <reference field="4" count="1" selected="0">
            <x v="0"/>
          </reference>
          <reference field="5" count="1" selected="0">
            <x v="27"/>
          </reference>
          <reference field="6" count="1" selected="0">
            <x v="3"/>
          </reference>
          <reference field="9" count="1">
            <x v="10"/>
          </reference>
        </references>
      </pivotArea>
    </format>
    <format dxfId="10411">
      <pivotArea dataOnly="0" labelOnly="1" outline="0" fieldPosition="0">
        <references count="6">
          <reference field="1" count="0" selected="0"/>
          <reference field="3" count="1" selected="0">
            <x v="8"/>
          </reference>
          <reference field="4" count="1" selected="0">
            <x v="1"/>
          </reference>
          <reference field="5" count="1" selected="0">
            <x v="47"/>
          </reference>
          <reference field="6" count="1" selected="0">
            <x v="9"/>
          </reference>
          <reference field="9" count="1">
            <x v="4"/>
          </reference>
        </references>
      </pivotArea>
    </format>
    <format dxfId="10410">
      <pivotArea dataOnly="0" labelOnly="1" outline="0" fieldPosition="0">
        <references count="6">
          <reference field="1" count="0" selected="0"/>
          <reference field="3" count="1" selected="0">
            <x v="8"/>
          </reference>
          <reference field="4" count="1" selected="0">
            <x v="1"/>
          </reference>
          <reference field="5" count="1" selected="0">
            <x v="66"/>
          </reference>
          <reference field="6" count="1" selected="0">
            <x v="9"/>
          </reference>
          <reference field="9" count="1">
            <x v="7"/>
          </reference>
        </references>
      </pivotArea>
    </format>
    <format dxfId="10409">
      <pivotArea dataOnly="0" labelOnly="1" outline="0" fieldPosition="0">
        <references count="6">
          <reference field="1" count="0" selected="0"/>
          <reference field="3" count="1" selected="0">
            <x v="8"/>
          </reference>
          <reference field="4" count="1" selected="0">
            <x v="1"/>
          </reference>
          <reference field="5" count="1" selected="0">
            <x v="68"/>
          </reference>
          <reference field="6" count="1" selected="0">
            <x v="9"/>
          </reference>
          <reference field="9" count="1">
            <x v="4"/>
          </reference>
        </references>
      </pivotArea>
    </format>
    <format dxfId="10408">
      <pivotArea dataOnly="0" labelOnly="1" outline="0" fieldPosition="0">
        <references count="6">
          <reference field="1" count="0" selected="0"/>
          <reference field="3" count="1" selected="0">
            <x v="8"/>
          </reference>
          <reference field="4" count="1" selected="0">
            <x v="0"/>
          </reference>
          <reference field="5" count="1" selected="0">
            <x v="93"/>
          </reference>
          <reference field="6" count="1" selected="0">
            <x v="6"/>
          </reference>
          <reference field="9" count="1">
            <x v="10"/>
          </reference>
        </references>
      </pivotArea>
    </format>
    <format dxfId="10407">
      <pivotArea dataOnly="0" labelOnly="1" outline="0" fieldPosition="0">
        <references count="6">
          <reference field="1" count="0" selected="0"/>
          <reference field="3" count="1" selected="0">
            <x v="8"/>
          </reference>
          <reference field="4" count="1" selected="0">
            <x v="0"/>
          </reference>
          <reference field="5" count="1" selected="0">
            <x v="124"/>
          </reference>
          <reference field="6" count="1" selected="0">
            <x v="3"/>
          </reference>
          <reference field="9" count="1">
            <x v="10"/>
          </reference>
        </references>
      </pivotArea>
    </format>
    <format dxfId="10406">
      <pivotArea dataOnly="0" labelOnly="1" outline="0" fieldPosition="0">
        <references count="6">
          <reference field="1" count="0" selected="0"/>
          <reference field="3" count="1" selected="0">
            <x v="8"/>
          </reference>
          <reference field="4" count="1" selected="0">
            <x v="0"/>
          </reference>
          <reference field="5" count="1" selected="0">
            <x v="125"/>
          </reference>
          <reference field="6" count="1" selected="0">
            <x v="3"/>
          </reference>
          <reference field="9" count="1">
            <x v="10"/>
          </reference>
        </references>
      </pivotArea>
    </format>
    <format dxfId="10405">
      <pivotArea dataOnly="0" labelOnly="1" outline="0" fieldPosition="0">
        <references count="6">
          <reference field="1" count="0" selected="0"/>
          <reference field="3" count="1" selected="0">
            <x v="8"/>
          </reference>
          <reference field="4" count="1" selected="0">
            <x v="0"/>
          </reference>
          <reference field="5" count="1" selected="0">
            <x v="138"/>
          </reference>
          <reference field="6" count="1" selected="0">
            <x v="3"/>
          </reference>
          <reference field="9" count="1">
            <x v="10"/>
          </reference>
        </references>
      </pivotArea>
    </format>
    <format dxfId="10404">
      <pivotArea dataOnly="0" labelOnly="1" outline="0" fieldPosition="0">
        <references count="6">
          <reference field="1" count="0" selected="0"/>
          <reference field="3" count="1" selected="0">
            <x v="8"/>
          </reference>
          <reference field="4" count="1" selected="0">
            <x v="0"/>
          </reference>
          <reference field="5" count="1" selected="0">
            <x v="145"/>
          </reference>
          <reference field="6" count="1" selected="0">
            <x v="3"/>
          </reference>
          <reference field="9" count="1">
            <x v="10"/>
          </reference>
        </references>
      </pivotArea>
    </format>
    <format dxfId="10403">
      <pivotArea dataOnly="0" labelOnly="1" outline="0" fieldPosition="0">
        <references count="6">
          <reference field="1" count="0" selected="0"/>
          <reference field="3" count="1" selected="0">
            <x v="8"/>
          </reference>
          <reference field="4" count="1" selected="0">
            <x v="0"/>
          </reference>
          <reference field="5" count="1" selected="0">
            <x v="160"/>
          </reference>
          <reference field="6" count="1" selected="0">
            <x v="3"/>
          </reference>
          <reference field="9" count="1">
            <x v="10"/>
          </reference>
        </references>
      </pivotArea>
    </format>
    <format dxfId="10402">
      <pivotArea dataOnly="0" labelOnly="1" outline="0" fieldPosition="0">
        <references count="6">
          <reference field="1" count="0" selected="0"/>
          <reference field="3" count="1" selected="0">
            <x v="8"/>
          </reference>
          <reference field="4" count="1" selected="0">
            <x v="0"/>
          </reference>
          <reference field="5" count="1" selected="0">
            <x v="164"/>
          </reference>
          <reference field="6" count="1" selected="0">
            <x v="3"/>
          </reference>
          <reference field="9" count="1">
            <x v="10"/>
          </reference>
        </references>
      </pivotArea>
    </format>
    <format dxfId="10401">
      <pivotArea dataOnly="0" labelOnly="1" outline="0" fieldPosition="0">
        <references count="6">
          <reference field="1" count="0" selected="0"/>
          <reference field="3" count="1" selected="0">
            <x v="8"/>
          </reference>
          <reference field="4" count="1" selected="0">
            <x v="0"/>
          </reference>
          <reference field="5" count="1" selected="0">
            <x v="173"/>
          </reference>
          <reference field="6" count="1" selected="0">
            <x v="3"/>
          </reference>
          <reference field="9" count="1">
            <x v="10"/>
          </reference>
        </references>
      </pivotArea>
    </format>
    <format dxfId="10400">
      <pivotArea dataOnly="0" labelOnly="1" outline="0" fieldPosition="0">
        <references count="6">
          <reference field="1" count="0" selected="0"/>
          <reference field="3" count="1" selected="0">
            <x v="8"/>
          </reference>
          <reference field="4" count="1" selected="0">
            <x v="0"/>
          </reference>
          <reference field="5" count="1" selected="0">
            <x v="174"/>
          </reference>
          <reference field="6" count="1" selected="0">
            <x v="3"/>
          </reference>
          <reference field="9" count="1">
            <x v="10"/>
          </reference>
        </references>
      </pivotArea>
    </format>
    <format dxfId="10399">
      <pivotArea dataOnly="0" labelOnly="1" outline="0" fieldPosition="0">
        <references count="6">
          <reference field="1" count="0" selected="0"/>
          <reference field="3" count="1" selected="0">
            <x v="8"/>
          </reference>
          <reference field="4" count="1" selected="0">
            <x v="0"/>
          </reference>
          <reference field="5" count="1" selected="0">
            <x v="181"/>
          </reference>
          <reference field="6" count="1" selected="0">
            <x v="3"/>
          </reference>
          <reference field="9" count="1">
            <x v="10"/>
          </reference>
        </references>
      </pivotArea>
    </format>
    <format dxfId="10398">
      <pivotArea dataOnly="0" labelOnly="1" outline="0" fieldPosition="0">
        <references count="6">
          <reference field="1" count="0" selected="0"/>
          <reference field="3" count="1" selected="0">
            <x v="8"/>
          </reference>
          <reference field="4" count="1" selected="0">
            <x v="0"/>
          </reference>
          <reference field="5" count="1" selected="0">
            <x v="188"/>
          </reference>
          <reference field="6" count="1" selected="0">
            <x v="3"/>
          </reference>
          <reference field="9" count="1">
            <x v="10"/>
          </reference>
        </references>
      </pivotArea>
    </format>
    <format dxfId="10397">
      <pivotArea dataOnly="0" labelOnly="1" outline="0" fieldPosition="0">
        <references count="6">
          <reference field="1" count="0" selected="0"/>
          <reference field="3" count="1" selected="0">
            <x v="8"/>
          </reference>
          <reference field="4" count="1" selected="0">
            <x v="0"/>
          </reference>
          <reference field="5" count="1" selected="0">
            <x v="189"/>
          </reference>
          <reference field="6" count="1" selected="0">
            <x v="3"/>
          </reference>
          <reference field="9" count="1">
            <x v="10"/>
          </reference>
        </references>
      </pivotArea>
    </format>
    <format dxfId="10396">
      <pivotArea dataOnly="0" labelOnly="1" outline="0" fieldPosition="0">
        <references count="6">
          <reference field="1" count="0" selected="0"/>
          <reference field="3" count="1" selected="0">
            <x v="8"/>
          </reference>
          <reference field="4" count="1" selected="0">
            <x v="1"/>
          </reference>
          <reference field="5" count="1" selected="0">
            <x v="334"/>
          </reference>
          <reference field="6" count="1" selected="0">
            <x v="9"/>
          </reference>
          <reference field="9" count="1">
            <x v="7"/>
          </reference>
        </references>
      </pivotArea>
    </format>
    <format dxfId="10395">
      <pivotArea dataOnly="0" labelOnly="1" outline="0" fieldPosition="0">
        <references count="6">
          <reference field="1" count="0" selected="0"/>
          <reference field="3" count="1" selected="0">
            <x v="8"/>
          </reference>
          <reference field="4" count="1" selected="0">
            <x v="0"/>
          </reference>
          <reference field="5" count="1" selected="0">
            <x v="336"/>
          </reference>
          <reference field="6" count="1" selected="0">
            <x v="3"/>
          </reference>
          <reference field="9" count="1">
            <x v="10"/>
          </reference>
        </references>
      </pivotArea>
    </format>
    <format dxfId="10394">
      <pivotArea dataOnly="0" labelOnly="1" outline="0" fieldPosition="0">
        <references count="6">
          <reference field="1" count="0" selected="0"/>
          <reference field="3" count="1" selected="0">
            <x v="8"/>
          </reference>
          <reference field="4" count="1" selected="0">
            <x v="0"/>
          </reference>
          <reference field="5" count="1" selected="0">
            <x v="343"/>
          </reference>
          <reference field="6" count="1" selected="0">
            <x v="3"/>
          </reference>
          <reference field="9" count="1">
            <x v="10"/>
          </reference>
        </references>
      </pivotArea>
    </format>
    <format dxfId="10393">
      <pivotArea dataOnly="0" labelOnly="1" outline="0" fieldPosition="0">
        <references count="6">
          <reference field="1" count="0" selected="0"/>
          <reference field="3" count="1" selected="0">
            <x v="9"/>
          </reference>
          <reference field="4" count="1" selected="0">
            <x v="0"/>
          </reference>
          <reference field="5" count="1" selected="0">
            <x v="11"/>
          </reference>
          <reference field="6" count="1" selected="0">
            <x v="3"/>
          </reference>
          <reference field="9" count="1">
            <x v="10"/>
          </reference>
        </references>
      </pivotArea>
    </format>
    <format dxfId="10392">
      <pivotArea dataOnly="0" labelOnly="1" outline="0" fieldPosition="0">
        <references count="6">
          <reference field="1" count="0" selected="0"/>
          <reference field="3" count="1" selected="0">
            <x v="9"/>
          </reference>
          <reference field="4" count="1" selected="0">
            <x v="3"/>
          </reference>
          <reference field="5" count="1" selected="0">
            <x v="31"/>
          </reference>
          <reference field="6" count="1" selected="0">
            <x v="5"/>
          </reference>
          <reference field="9" count="1">
            <x v="10"/>
          </reference>
        </references>
      </pivotArea>
    </format>
    <format dxfId="10391">
      <pivotArea dataOnly="0" labelOnly="1" outline="0" fieldPosition="0">
        <references count="6">
          <reference field="1" count="0" selected="0"/>
          <reference field="3" count="1" selected="0">
            <x v="9"/>
          </reference>
          <reference field="4" count="1" selected="0">
            <x v="0"/>
          </reference>
          <reference field="5" count="1" selected="0">
            <x v="35"/>
          </reference>
          <reference field="6" count="1" selected="0">
            <x v="3"/>
          </reference>
          <reference field="9" count="1">
            <x v="10"/>
          </reference>
        </references>
      </pivotArea>
    </format>
    <format dxfId="10390">
      <pivotArea dataOnly="0" labelOnly="1" outline="0" fieldPosition="0">
        <references count="6">
          <reference field="1" count="0" selected="0"/>
          <reference field="3" count="1" selected="0">
            <x v="9"/>
          </reference>
          <reference field="4" count="1" selected="0">
            <x v="0"/>
          </reference>
          <reference field="5" count="1" selected="0">
            <x v="45"/>
          </reference>
          <reference field="6" count="1" selected="0">
            <x v="3"/>
          </reference>
          <reference field="9" count="1">
            <x v="10"/>
          </reference>
        </references>
      </pivotArea>
    </format>
    <format dxfId="10389">
      <pivotArea dataOnly="0" labelOnly="1" outline="0" fieldPosition="0">
        <references count="6">
          <reference field="1" count="0" selected="0"/>
          <reference field="3" count="1" selected="0">
            <x v="9"/>
          </reference>
          <reference field="4" count="1" selected="0">
            <x v="0"/>
          </reference>
          <reference field="5" count="1" selected="0">
            <x v="49"/>
          </reference>
          <reference field="6" count="1" selected="0">
            <x v="3"/>
          </reference>
          <reference field="9" count="1">
            <x v="11"/>
          </reference>
        </references>
      </pivotArea>
    </format>
    <format dxfId="10388">
      <pivotArea dataOnly="0" labelOnly="1" outline="0" fieldPosition="0">
        <references count="6">
          <reference field="1" count="0" selected="0"/>
          <reference field="3" count="1" selected="0">
            <x v="9"/>
          </reference>
          <reference field="4" count="1" selected="0">
            <x v="4"/>
          </reference>
          <reference field="5" count="1" selected="0">
            <x v="71"/>
          </reference>
          <reference field="6" count="1" selected="0">
            <x v="6"/>
          </reference>
          <reference field="9" count="1">
            <x v="10"/>
          </reference>
        </references>
      </pivotArea>
    </format>
    <format dxfId="10387">
      <pivotArea dataOnly="0" labelOnly="1" outline="0" fieldPosition="0">
        <references count="6">
          <reference field="1" count="0" selected="0"/>
          <reference field="3" count="1" selected="0">
            <x v="9"/>
          </reference>
          <reference field="4" count="1" selected="0">
            <x v="0"/>
          </reference>
          <reference field="5" count="1" selected="0">
            <x v="74"/>
          </reference>
          <reference field="6" count="1" selected="0">
            <x v="3"/>
          </reference>
          <reference field="9" count="1">
            <x v="10"/>
          </reference>
        </references>
      </pivotArea>
    </format>
    <format dxfId="10386">
      <pivotArea dataOnly="0" labelOnly="1" outline="0" fieldPosition="0">
        <references count="6">
          <reference field="1" count="0" selected="0"/>
          <reference field="3" count="1" selected="0">
            <x v="9"/>
          </reference>
          <reference field="4" count="1" selected="0">
            <x v="3"/>
          </reference>
          <reference field="5" count="1" selected="0">
            <x v="133"/>
          </reference>
          <reference field="6" count="1" selected="0">
            <x v="5"/>
          </reference>
          <reference field="9" count="1">
            <x v="10"/>
          </reference>
        </references>
      </pivotArea>
    </format>
    <format dxfId="10385">
      <pivotArea dataOnly="0" labelOnly="1" outline="0" fieldPosition="0">
        <references count="6">
          <reference field="1" count="0" selected="0"/>
          <reference field="3" count="1" selected="0">
            <x v="9"/>
          </reference>
          <reference field="4" count="1" selected="0">
            <x v="3"/>
          </reference>
          <reference field="5" count="1" selected="0">
            <x v="134"/>
          </reference>
          <reference field="6" count="1" selected="0">
            <x v="5"/>
          </reference>
          <reference field="9" count="1">
            <x v="10"/>
          </reference>
        </references>
      </pivotArea>
    </format>
    <format dxfId="10384">
      <pivotArea dataOnly="0" labelOnly="1" outline="0" fieldPosition="0">
        <references count="6">
          <reference field="1" count="0" selected="0"/>
          <reference field="3" count="1" selected="0">
            <x v="9"/>
          </reference>
          <reference field="4" count="1" selected="0">
            <x v="3"/>
          </reference>
          <reference field="5" count="1" selected="0">
            <x v="161"/>
          </reference>
          <reference field="6" count="1" selected="0">
            <x v="5"/>
          </reference>
          <reference field="9" count="1">
            <x v="7"/>
          </reference>
        </references>
      </pivotArea>
    </format>
    <format dxfId="10383">
      <pivotArea dataOnly="0" labelOnly="1" outline="0" fieldPosition="0">
        <references count="6">
          <reference field="1" count="0" selected="0"/>
          <reference field="3" count="1" selected="0">
            <x v="9"/>
          </reference>
          <reference field="4" count="1" selected="0">
            <x v="3"/>
          </reference>
          <reference field="5" count="1" selected="0">
            <x v="163"/>
          </reference>
          <reference field="6" count="1" selected="0">
            <x v="5"/>
          </reference>
          <reference field="9" count="1">
            <x v="7"/>
          </reference>
        </references>
      </pivotArea>
    </format>
    <format dxfId="10382">
      <pivotArea dataOnly="0" labelOnly="1" outline="0" fieldPosition="0">
        <references count="6">
          <reference field="1" count="0" selected="0"/>
          <reference field="3" count="1" selected="0">
            <x v="9"/>
          </reference>
          <reference field="4" count="1" selected="0">
            <x v="0"/>
          </reference>
          <reference field="5" count="1" selected="0">
            <x v="345"/>
          </reference>
          <reference field="6" count="1" selected="0">
            <x v="3"/>
          </reference>
          <reference field="9" count="1">
            <x v="10"/>
          </reference>
        </references>
      </pivotArea>
    </format>
    <format dxfId="10381">
      <pivotArea dataOnly="0" labelOnly="1" outline="0" fieldPosition="0">
        <references count="6">
          <reference field="1" count="0" selected="0"/>
          <reference field="3" count="1" selected="0">
            <x v="10"/>
          </reference>
          <reference field="4" count="1" selected="0">
            <x v="3"/>
          </reference>
          <reference field="5" count="1" selected="0">
            <x v="15"/>
          </reference>
          <reference field="6" count="1" selected="0">
            <x v="5"/>
          </reference>
          <reference field="9" count="1">
            <x v="4"/>
          </reference>
        </references>
      </pivotArea>
    </format>
    <format dxfId="10380">
      <pivotArea dataOnly="0" labelOnly="1" outline="0" fieldPosition="0">
        <references count="6">
          <reference field="1" count="0" selected="0"/>
          <reference field="3" count="1" selected="0">
            <x v="10"/>
          </reference>
          <reference field="4" count="1" selected="0">
            <x v="3"/>
          </reference>
          <reference field="5" count="1" selected="0">
            <x v="17"/>
          </reference>
          <reference field="6" count="1" selected="0">
            <x v="5"/>
          </reference>
          <reference field="9" count="1">
            <x v="7"/>
          </reference>
        </references>
      </pivotArea>
    </format>
    <format dxfId="10379">
      <pivotArea dataOnly="0" labelOnly="1" outline="0" fieldPosition="0">
        <references count="6">
          <reference field="1" count="0" selected="0"/>
          <reference field="3" count="1" selected="0">
            <x v="10"/>
          </reference>
          <reference field="4" count="1" selected="0">
            <x v="4"/>
          </reference>
          <reference field="5" count="1" selected="0">
            <x v="23"/>
          </reference>
          <reference field="6" count="1" selected="0">
            <x v="6"/>
          </reference>
          <reference field="9" count="1">
            <x v="10"/>
          </reference>
        </references>
      </pivotArea>
    </format>
    <format dxfId="10378">
      <pivotArea dataOnly="0" labelOnly="1" outline="0" fieldPosition="0">
        <references count="6">
          <reference field="1" count="0" selected="0"/>
          <reference field="3" count="1" selected="0">
            <x v="10"/>
          </reference>
          <reference field="4" count="1" selected="0">
            <x v="4"/>
          </reference>
          <reference field="5" count="1" selected="0">
            <x v="30"/>
          </reference>
          <reference field="6" count="1" selected="0">
            <x v="6"/>
          </reference>
          <reference field="9" count="1">
            <x v="10"/>
          </reference>
        </references>
      </pivotArea>
    </format>
    <format dxfId="10377">
      <pivotArea dataOnly="0" labelOnly="1" outline="0" fieldPosition="0">
        <references count="6">
          <reference field="1" count="0" selected="0"/>
          <reference field="3" count="1" selected="0">
            <x v="10"/>
          </reference>
          <reference field="4" count="1" selected="0">
            <x v="3"/>
          </reference>
          <reference field="5" count="1" selected="0">
            <x v="69"/>
          </reference>
          <reference field="6" count="1" selected="0">
            <x v="5"/>
          </reference>
          <reference field="9" count="1">
            <x v="4"/>
          </reference>
        </references>
      </pivotArea>
    </format>
    <format dxfId="10376">
      <pivotArea dataOnly="0" labelOnly="1" outline="0" fieldPosition="0">
        <references count="6">
          <reference field="1" count="0" selected="0"/>
          <reference field="3" count="1" selected="0">
            <x v="12"/>
          </reference>
          <reference field="4" count="1" selected="0">
            <x v="4"/>
          </reference>
          <reference field="5" count="1" selected="0">
            <x v="60"/>
          </reference>
          <reference field="6" count="1" selected="0">
            <x v="6"/>
          </reference>
          <reference field="9" count="1">
            <x v="0"/>
          </reference>
        </references>
      </pivotArea>
    </format>
    <format dxfId="10375">
      <pivotArea dataOnly="0" labelOnly="1" outline="0" fieldPosition="0">
        <references count="6">
          <reference field="1" count="0" selected="0"/>
          <reference field="3" count="1" selected="0">
            <x v="6"/>
          </reference>
          <reference field="4" count="1" selected="0">
            <x v="1"/>
          </reference>
          <reference field="5" count="1" selected="0">
            <x v="104"/>
          </reference>
          <reference field="6" count="1" selected="0">
            <x v="9"/>
          </reference>
          <reference field="9" count="1">
            <x v="4"/>
          </reference>
        </references>
      </pivotArea>
    </format>
    <format dxfId="10374">
      <pivotArea dataOnly="0" labelOnly="1" outline="0" fieldPosition="0">
        <references count="6">
          <reference field="1" count="0" selected="0"/>
          <reference field="3" count="1" selected="0">
            <x v="6"/>
          </reference>
          <reference field="4" count="1" selected="0">
            <x v="1"/>
          </reference>
          <reference field="5" count="1" selected="0">
            <x v="116"/>
          </reference>
          <reference field="6" count="1" selected="0">
            <x v="9"/>
          </reference>
          <reference field="9" count="1">
            <x v="10"/>
          </reference>
        </references>
      </pivotArea>
    </format>
    <format dxfId="10373">
      <pivotArea dataOnly="0" labelOnly="1" outline="0" fieldPosition="0">
        <references count="6">
          <reference field="1" count="0" selected="0"/>
          <reference field="3" count="1" selected="0">
            <x v="6"/>
          </reference>
          <reference field="4" count="1" selected="0">
            <x v="1"/>
          </reference>
          <reference field="5" count="1" selected="0">
            <x v="169"/>
          </reference>
          <reference field="6" count="1" selected="0">
            <x v="9"/>
          </reference>
          <reference field="9" count="1">
            <x v="10"/>
          </reference>
        </references>
      </pivotArea>
    </format>
    <format dxfId="10372">
      <pivotArea dataOnly="0" labelOnly="1" outline="0" fieldPosition="0">
        <references count="6">
          <reference field="1" count="0" selected="0"/>
          <reference field="3" count="1" selected="0">
            <x v="6"/>
          </reference>
          <reference field="4" count="1" selected="0">
            <x v="1"/>
          </reference>
          <reference field="5" count="1" selected="0">
            <x v="215"/>
          </reference>
          <reference field="6" count="1" selected="0">
            <x v="9"/>
          </reference>
          <reference field="9" count="1">
            <x v="7"/>
          </reference>
        </references>
      </pivotArea>
    </format>
    <format dxfId="10371">
      <pivotArea dataOnly="0" labelOnly="1" outline="0" fieldPosition="0">
        <references count="6">
          <reference field="1" count="0" selected="0"/>
          <reference field="3" count="1" selected="0">
            <x v="6"/>
          </reference>
          <reference field="4" count="1" selected="0">
            <x v="1"/>
          </reference>
          <reference field="5" count="1" selected="0">
            <x v="330"/>
          </reference>
          <reference field="6" count="1" selected="0">
            <x v="9"/>
          </reference>
          <reference field="9" count="1">
            <x v="10"/>
          </reference>
        </references>
      </pivotArea>
    </format>
    <format dxfId="10370">
      <pivotArea dataOnly="0" labelOnly="1" outline="0" fieldPosition="0">
        <references count="6">
          <reference field="1" count="0" selected="0"/>
          <reference field="3" count="1" selected="0">
            <x v="6"/>
          </reference>
          <reference field="4" count="1" selected="0">
            <x v="1"/>
          </reference>
          <reference field="5" count="1" selected="0">
            <x v="331"/>
          </reference>
          <reference field="6" count="1" selected="0">
            <x v="9"/>
          </reference>
          <reference field="9" count="1">
            <x v="10"/>
          </reference>
        </references>
      </pivotArea>
    </format>
    <format dxfId="10369">
      <pivotArea dataOnly="0" labelOnly="1" outline="0" fieldPosition="0">
        <references count="6">
          <reference field="1" count="0" selected="0"/>
          <reference field="3" count="1" selected="0">
            <x v="8"/>
          </reference>
          <reference field="4" count="1" selected="0">
            <x v="1"/>
          </reference>
          <reference field="5" count="1" selected="0">
            <x v="3"/>
          </reference>
          <reference field="6" count="1" selected="0">
            <x v="9"/>
          </reference>
          <reference field="9" count="1">
            <x v="10"/>
          </reference>
        </references>
      </pivotArea>
    </format>
    <format dxfId="10368">
      <pivotArea dataOnly="0" labelOnly="1" outline="0" fieldPosition="0">
        <references count="6">
          <reference field="1" count="0" selected="0"/>
          <reference field="3" count="1" selected="0">
            <x v="8"/>
          </reference>
          <reference field="4" count="1" selected="0">
            <x v="1"/>
          </reference>
          <reference field="5" count="1" selected="0">
            <x v="21"/>
          </reference>
          <reference field="6" count="1" selected="0">
            <x v="9"/>
          </reference>
          <reference field="9" count="1">
            <x v="10"/>
          </reference>
        </references>
      </pivotArea>
    </format>
    <format dxfId="10367">
      <pivotArea dataOnly="0" labelOnly="1" outline="0" fieldPosition="0">
        <references count="6">
          <reference field="1" count="0" selected="0"/>
          <reference field="3" count="1" selected="0">
            <x v="8"/>
          </reference>
          <reference field="4" count="1" selected="0">
            <x v="0"/>
          </reference>
          <reference field="5" count="1" selected="0">
            <x v="29"/>
          </reference>
          <reference field="6" count="1" selected="0">
            <x v="3"/>
          </reference>
          <reference field="9" count="1">
            <x v="10"/>
          </reference>
        </references>
      </pivotArea>
    </format>
    <format dxfId="10366">
      <pivotArea dataOnly="0" labelOnly="1" outline="0" fieldPosition="0">
        <references count="6">
          <reference field="1" count="0" selected="0"/>
          <reference field="3" count="1" selected="0">
            <x v="8"/>
          </reference>
          <reference field="4" count="1" selected="0">
            <x v="1"/>
          </reference>
          <reference field="5" count="1" selected="0">
            <x v="44"/>
          </reference>
          <reference field="6" count="1" selected="0">
            <x v="9"/>
          </reference>
          <reference field="9" count="1">
            <x v="7"/>
          </reference>
        </references>
      </pivotArea>
    </format>
    <format dxfId="10365">
      <pivotArea dataOnly="0" labelOnly="1" outline="0" fieldPosition="0">
        <references count="6">
          <reference field="1" count="0" selected="0"/>
          <reference field="3" count="1" selected="0">
            <x v="8"/>
          </reference>
          <reference field="4" count="1" selected="0">
            <x v="1"/>
          </reference>
          <reference field="5" count="1" selected="0">
            <x v="51"/>
          </reference>
          <reference field="6" count="1" selected="0">
            <x v="9"/>
          </reference>
          <reference field="9" count="1">
            <x v="7"/>
          </reference>
        </references>
      </pivotArea>
    </format>
    <format dxfId="10364">
      <pivotArea dataOnly="0" labelOnly="1" outline="0" fieldPosition="0">
        <references count="6">
          <reference field="1" count="0" selected="0"/>
          <reference field="3" count="1" selected="0">
            <x v="8"/>
          </reference>
          <reference field="4" count="1" selected="0">
            <x v="1"/>
          </reference>
          <reference field="5" count="1" selected="0">
            <x v="62"/>
          </reference>
          <reference field="6" count="1" selected="0">
            <x v="9"/>
          </reference>
          <reference field="9" count="1">
            <x v="7"/>
          </reference>
        </references>
      </pivotArea>
    </format>
    <format dxfId="10363">
      <pivotArea dataOnly="0" labelOnly="1" outline="0" fieldPosition="0">
        <references count="6">
          <reference field="1" count="0" selected="0"/>
          <reference field="3" count="1" selected="0">
            <x v="8"/>
          </reference>
          <reference field="4" count="1" selected="0">
            <x v="1"/>
          </reference>
          <reference field="5" count="1" selected="0">
            <x v="83"/>
          </reference>
          <reference field="6" count="1" selected="0">
            <x v="9"/>
          </reference>
          <reference field="9" count="1">
            <x v="7"/>
          </reference>
        </references>
      </pivotArea>
    </format>
    <format dxfId="10362">
      <pivotArea dataOnly="0" labelOnly="1" outline="0" fieldPosition="0">
        <references count="6">
          <reference field="1" count="0" selected="0"/>
          <reference field="3" count="1" selected="0">
            <x v="8"/>
          </reference>
          <reference field="4" count="1" selected="0">
            <x v="1"/>
          </reference>
          <reference field="5" count="1" selected="0">
            <x v="94"/>
          </reference>
          <reference field="6" count="1" selected="0">
            <x v="9"/>
          </reference>
          <reference field="9" count="1">
            <x v="7"/>
          </reference>
        </references>
      </pivotArea>
    </format>
    <format dxfId="10361">
      <pivotArea dataOnly="0" labelOnly="1" outline="0" fieldPosition="0">
        <references count="6">
          <reference field="1" count="0" selected="0"/>
          <reference field="3" count="1" selected="0">
            <x v="8"/>
          </reference>
          <reference field="4" count="1" selected="0">
            <x v="0"/>
          </reference>
          <reference field="5" count="1" selected="0">
            <x v="113"/>
          </reference>
          <reference field="6" count="1" selected="0">
            <x v="3"/>
          </reference>
          <reference field="9" count="1">
            <x v="10"/>
          </reference>
        </references>
      </pivotArea>
    </format>
    <format dxfId="10360">
      <pivotArea dataOnly="0" labelOnly="1" outline="0" fieldPosition="0">
        <references count="6">
          <reference field="1" count="0" selected="0"/>
          <reference field="3" count="1" selected="0">
            <x v="8"/>
          </reference>
          <reference field="4" count="1" selected="0">
            <x v="0"/>
          </reference>
          <reference field="5" count="1" selected="0">
            <x v="123"/>
          </reference>
          <reference field="6" count="1" selected="0">
            <x v="3"/>
          </reference>
          <reference field="9" count="1">
            <x v="10"/>
          </reference>
        </references>
      </pivotArea>
    </format>
    <format dxfId="10359">
      <pivotArea dataOnly="0" labelOnly="1" outline="0" fieldPosition="0">
        <references count="6">
          <reference field="1" count="0" selected="0"/>
          <reference field="3" count="1" selected="0">
            <x v="8"/>
          </reference>
          <reference field="4" count="1" selected="0">
            <x v="0"/>
          </reference>
          <reference field="5" count="1" selected="0">
            <x v="126"/>
          </reference>
          <reference field="6" count="1" selected="0">
            <x v="3"/>
          </reference>
          <reference field="9" count="1">
            <x v="10"/>
          </reference>
        </references>
      </pivotArea>
    </format>
    <format dxfId="10358">
      <pivotArea dataOnly="0" labelOnly="1" outline="0" fieldPosition="0">
        <references count="6">
          <reference field="1" count="0" selected="0"/>
          <reference field="3" count="1" selected="0">
            <x v="8"/>
          </reference>
          <reference field="4" count="1" selected="0">
            <x v="0"/>
          </reference>
          <reference field="5" count="1" selected="0">
            <x v="131"/>
          </reference>
          <reference field="6" count="1" selected="0">
            <x v="3"/>
          </reference>
          <reference field="9" count="1">
            <x v="10"/>
          </reference>
        </references>
      </pivotArea>
    </format>
    <format dxfId="10357">
      <pivotArea dataOnly="0" labelOnly="1" outline="0" fieldPosition="0">
        <references count="6">
          <reference field="1" count="0" selected="0"/>
          <reference field="3" count="1" selected="0">
            <x v="8"/>
          </reference>
          <reference field="4" count="1" selected="0">
            <x v="0"/>
          </reference>
          <reference field="5" count="1" selected="0">
            <x v="146"/>
          </reference>
          <reference field="6" count="1" selected="0">
            <x v="3"/>
          </reference>
          <reference field="9" count="1">
            <x v="10"/>
          </reference>
        </references>
      </pivotArea>
    </format>
    <format dxfId="10356">
      <pivotArea dataOnly="0" labelOnly="1" outline="0" fieldPosition="0">
        <references count="6">
          <reference field="1" count="0" selected="0"/>
          <reference field="3" count="1" selected="0">
            <x v="8"/>
          </reference>
          <reference field="4" count="1" selected="0">
            <x v="0"/>
          </reference>
          <reference field="5" count="1" selected="0">
            <x v="159"/>
          </reference>
          <reference field="6" count="1" selected="0">
            <x v="3"/>
          </reference>
          <reference field="9" count="1">
            <x v="10"/>
          </reference>
        </references>
      </pivotArea>
    </format>
    <format dxfId="10355">
      <pivotArea dataOnly="0" labelOnly="1" outline="0" fieldPosition="0">
        <references count="6">
          <reference field="1" count="0" selected="0"/>
          <reference field="3" count="1" selected="0">
            <x v="8"/>
          </reference>
          <reference field="4" count="1" selected="0">
            <x v="0"/>
          </reference>
          <reference field="5" count="1" selected="0">
            <x v="165"/>
          </reference>
          <reference field="6" count="1" selected="0">
            <x v="3"/>
          </reference>
          <reference field="9" count="1">
            <x v="10"/>
          </reference>
        </references>
      </pivotArea>
    </format>
    <format dxfId="10354">
      <pivotArea dataOnly="0" labelOnly="1" outline="0" fieldPosition="0">
        <references count="6">
          <reference field="1" count="0" selected="0"/>
          <reference field="3" count="1" selected="0">
            <x v="8"/>
          </reference>
          <reference field="4" count="1" selected="0">
            <x v="0"/>
          </reference>
          <reference field="5" count="1" selected="0">
            <x v="172"/>
          </reference>
          <reference field="6" count="1" selected="0">
            <x v="3"/>
          </reference>
          <reference field="9" count="1">
            <x v="10"/>
          </reference>
        </references>
      </pivotArea>
    </format>
    <format dxfId="10353">
      <pivotArea dataOnly="0" labelOnly="1" outline="0" fieldPosition="0">
        <references count="6">
          <reference field="1" count="0" selected="0"/>
          <reference field="3" count="1" selected="0">
            <x v="8"/>
          </reference>
          <reference field="4" count="1" selected="0">
            <x v="0"/>
          </reference>
          <reference field="5" count="1" selected="0">
            <x v="175"/>
          </reference>
          <reference field="6" count="1" selected="0">
            <x v="3"/>
          </reference>
          <reference field="9" count="1">
            <x v="10"/>
          </reference>
        </references>
      </pivotArea>
    </format>
    <format dxfId="10352">
      <pivotArea dataOnly="0" labelOnly="1" outline="0" fieldPosition="0">
        <references count="6">
          <reference field="1" count="0" selected="0"/>
          <reference field="3" count="1" selected="0">
            <x v="8"/>
          </reference>
          <reference field="4" count="1" selected="0">
            <x v="0"/>
          </reference>
          <reference field="5" count="1" selected="0">
            <x v="182"/>
          </reference>
          <reference field="6" count="1" selected="0">
            <x v="3"/>
          </reference>
          <reference field="9" count="1">
            <x v="10"/>
          </reference>
        </references>
      </pivotArea>
    </format>
    <format dxfId="10351">
      <pivotArea dataOnly="0" labelOnly="1" outline="0" fieldPosition="0">
        <references count="6">
          <reference field="1" count="0" selected="0"/>
          <reference field="3" count="1" selected="0">
            <x v="8"/>
          </reference>
          <reference field="4" count="1" selected="0">
            <x v="0"/>
          </reference>
          <reference field="5" count="1" selected="0">
            <x v="187"/>
          </reference>
          <reference field="6" count="1" selected="0">
            <x v="3"/>
          </reference>
          <reference field="9" count="1">
            <x v="10"/>
          </reference>
        </references>
      </pivotArea>
    </format>
    <format dxfId="10350">
      <pivotArea dataOnly="0" labelOnly="1" outline="0" fieldPosition="0">
        <references count="6">
          <reference field="1" count="0" selected="0"/>
          <reference field="3" count="1" selected="0">
            <x v="8"/>
          </reference>
          <reference field="4" count="1" selected="0">
            <x v="0"/>
          </reference>
          <reference field="5" count="1" selected="0">
            <x v="190"/>
          </reference>
          <reference field="6" count="1" selected="0">
            <x v="3"/>
          </reference>
          <reference field="9" count="1">
            <x v="10"/>
          </reference>
        </references>
      </pivotArea>
    </format>
    <format dxfId="10349">
      <pivotArea dataOnly="0" labelOnly="1" outline="0" fieldPosition="0">
        <references count="6">
          <reference field="1" count="0" selected="0"/>
          <reference field="3" count="1" selected="0">
            <x v="8"/>
          </reference>
          <reference field="4" count="1" selected="0">
            <x v="0"/>
          </reference>
          <reference field="5" count="1" selected="0">
            <x v="325"/>
          </reference>
          <reference field="6" count="1" selected="0">
            <x v="3"/>
          </reference>
          <reference field="9" count="1">
            <x v="10"/>
          </reference>
        </references>
      </pivotArea>
    </format>
    <format dxfId="10348">
      <pivotArea dataOnly="0" labelOnly="1" outline="0" fieldPosition="0">
        <references count="6">
          <reference field="1" count="0" selected="0"/>
          <reference field="3" count="1" selected="0">
            <x v="9"/>
          </reference>
          <reference field="4" count="1" selected="0">
            <x v="0"/>
          </reference>
          <reference field="5" count="1" selected="0">
            <x v="8"/>
          </reference>
          <reference field="6" count="1" selected="0">
            <x v="3"/>
          </reference>
          <reference field="9" count="1">
            <x v="10"/>
          </reference>
        </references>
      </pivotArea>
    </format>
    <format dxfId="10347">
      <pivotArea dataOnly="0" labelOnly="1" outline="0" fieldPosition="0">
        <references count="6">
          <reference field="1" count="0" selected="0"/>
          <reference field="3" count="1" selected="0">
            <x v="9"/>
          </reference>
          <reference field="4" count="1" selected="0">
            <x v="0"/>
          </reference>
          <reference field="5" count="1" selected="0">
            <x v="12"/>
          </reference>
          <reference field="6" count="1" selected="0">
            <x v="3"/>
          </reference>
          <reference field="9" count="1">
            <x v="10"/>
          </reference>
        </references>
      </pivotArea>
    </format>
    <format dxfId="10346">
      <pivotArea dataOnly="0" labelOnly="1" outline="0" fieldPosition="0">
        <references count="6">
          <reference field="1" count="0" selected="0"/>
          <reference field="3" count="1" selected="0">
            <x v="9"/>
          </reference>
          <reference field="4" count="1" selected="0">
            <x v="3"/>
          </reference>
          <reference field="5" count="1" selected="0">
            <x v="26"/>
          </reference>
          <reference field="6" count="1" selected="0">
            <x v="5"/>
          </reference>
          <reference field="9" count="1">
            <x v="10"/>
          </reference>
        </references>
      </pivotArea>
    </format>
    <format dxfId="10345">
      <pivotArea dataOnly="0" labelOnly="1" outline="0" fieldPosition="0">
        <references count="6">
          <reference field="1" count="0" selected="0"/>
          <reference field="3" count="1" selected="0">
            <x v="9"/>
          </reference>
          <reference field="4" count="1" selected="0">
            <x v="0"/>
          </reference>
          <reference field="5" count="1" selected="0">
            <x v="43"/>
          </reference>
          <reference field="6" count="1" selected="0">
            <x v="3"/>
          </reference>
          <reference field="9" count="1">
            <x v="10"/>
          </reference>
        </references>
      </pivotArea>
    </format>
    <format dxfId="10344">
      <pivotArea dataOnly="0" labelOnly="1" outline="0" fieldPosition="0">
        <references count="6">
          <reference field="1" count="0" selected="0"/>
          <reference field="3" count="1" selected="0">
            <x v="9"/>
          </reference>
          <reference field="4" count="1" selected="0">
            <x v="0"/>
          </reference>
          <reference field="5" count="1" selected="0">
            <x v="53"/>
          </reference>
          <reference field="6" count="1" selected="0">
            <x v="3"/>
          </reference>
          <reference field="9" count="1">
            <x v="10"/>
          </reference>
        </references>
      </pivotArea>
    </format>
    <format dxfId="10343">
      <pivotArea dataOnly="0" labelOnly="1" outline="0" fieldPosition="0">
        <references count="6">
          <reference field="1" count="0" selected="0"/>
          <reference field="3" count="1" selected="0">
            <x v="9"/>
          </reference>
          <reference field="4" count="1" selected="0">
            <x v="0"/>
          </reference>
          <reference field="5" count="1" selected="0">
            <x v="81"/>
          </reference>
          <reference field="6" count="1" selected="0">
            <x v="3"/>
          </reference>
          <reference field="9" count="1">
            <x v="10"/>
          </reference>
        </references>
      </pivotArea>
    </format>
    <format dxfId="10342">
      <pivotArea dataOnly="0" labelOnly="1" outline="0" fieldPosition="0">
        <references count="6">
          <reference field="1" count="0" selected="0"/>
          <reference field="3" count="1" selected="0">
            <x v="9"/>
          </reference>
          <reference field="4" count="1" selected="0">
            <x v="3"/>
          </reference>
          <reference field="5" count="1" selected="0">
            <x v="115"/>
          </reference>
          <reference field="6" count="1" selected="0">
            <x v="5"/>
          </reference>
          <reference field="9" count="1">
            <x v="10"/>
          </reference>
        </references>
      </pivotArea>
    </format>
    <format dxfId="10341">
      <pivotArea dataOnly="0" labelOnly="1" outline="0" fieldPosition="0">
        <references count="6">
          <reference field="1" count="0" selected="0"/>
          <reference field="3" count="1" selected="0">
            <x v="9"/>
          </reference>
          <reference field="4" count="1" selected="0">
            <x v="3"/>
          </reference>
          <reference field="5" count="1" selected="0">
            <x v="135"/>
          </reference>
          <reference field="6" count="1" selected="0">
            <x v="5"/>
          </reference>
          <reference field="9" count="1">
            <x v="10"/>
          </reference>
        </references>
      </pivotArea>
    </format>
    <format dxfId="10340">
      <pivotArea dataOnly="0" labelOnly="1" outline="0" fieldPosition="0">
        <references count="6">
          <reference field="1" count="0" selected="0"/>
          <reference field="3" count="1" selected="0">
            <x v="9"/>
          </reference>
          <reference field="4" count="1" selected="0">
            <x v="3"/>
          </reference>
          <reference field="5" count="1" selected="0">
            <x v="162"/>
          </reference>
          <reference field="6" count="1" selected="0">
            <x v="5"/>
          </reference>
          <reference field="9" count="1">
            <x v="10"/>
          </reference>
        </references>
      </pivotArea>
    </format>
    <format dxfId="10339">
      <pivotArea dataOnly="0" labelOnly="1" outline="0" fieldPosition="0">
        <references count="6">
          <reference field="1" count="0" selected="0"/>
          <reference field="3" count="1" selected="0">
            <x v="9"/>
          </reference>
          <reference field="4" count="1" selected="0">
            <x v="3"/>
          </reference>
          <reference field="5" count="1" selected="0">
            <x v="211"/>
          </reference>
          <reference field="6" count="1" selected="0">
            <x v="5"/>
          </reference>
          <reference field="9" count="1">
            <x v="10"/>
          </reference>
        </references>
      </pivotArea>
    </format>
    <format dxfId="10338">
      <pivotArea dataOnly="0" labelOnly="1" outline="0" fieldPosition="0">
        <references count="6">
          <reference field="1" count="0" selected="0"/>
          <reference field="3" count="1" selected="0">
            <x v="9"/>
          </reference>
          <reference field="4" count="1" selected="0">
            <x v="4"/>
          </reference>
          <reference field="5" count="1" selected="0">
            <x v="333"/>
          </reference>
          <reference field="6" count="1" selected="0">
            <x v="6"/>
          </reference>
          <reference field="9" count="1">
            <x v="10"/>
          </reference>
        </references>
      </pivotArea>
    </format>
    <format dxfId="10337">
      <pivotArea dataOnly="0" labelOnly="1" outline="0" fieldPosition="0">
        <references count="6">
          <reference field="1" count="0" selected="0"/>
          <reference field="3" count="1" selected="0">
            <x v="9"/>
          </reference>
          <reference field="4" count="1" selected="0">
            <x v="0"/>
          </reference>
          <reference field="5" count="1" selected="0">
            <x v="339"/>
          </reference>
          <reference field="6" count="1" selected="0">
            <x v="3"/>
          </reference>
          <reference field="9" count="1">
            <x v="10"/>
          </reference>
        </references>
      </pivotArea>
    </format>
    <format dxfId="10336">
      <pivotArea dataOnly="0" labelOnly="1" outline="0" fieldPosition="0">
        <references count="6">
          <reference field="1" count="0" selected="0"/>
          <reference field="3" count="1" selected="0">
            <x v="10"/>
          </reference>
          <reference field="4" count="1" selected="0">
            <x v="3"/>
          </reference>
          <reference field="5" count="1" selected="0">
            <x v="80"/>
          </reference>
          <reference field="6" count="1" selected="0">
            <x v="5"/>
          </reference>
          <reference field="9" count="1">
            <x v="10"/>
          </reference>
        </references>
      </pivotArea>
    </format>
    <format dxfId="10335">
      <pivotArea dataOnly="0" labelOnly="1" outline="0" fieldPosition="0">
        <references count="6">
          <reference field="1" count="0" selected="0"/>
          <reference field="3" count="1" selected="0">
            <x v="10"/>
          </reference>
          <reference field="4" count="1" selected="0">
            <x v="4"/>
          </reference>
          <reference field="5" count="1" selected="0">
            <x v="144"/>
          </reference>
          <reference field="6" count="1" selected="0">
            <x v="6"/>
          </reference>
          <reference field="9" count="1">
            <x v="10"/>
          </reference>
        </references>
      </pivotArea>
    </format>
    <format dxfId="10334">
      <pivotArea dataOnly="0" labelOnly="1" outline="0" fieldPosition="0">
        <references count="6">
          <reference field="1" count="0" selected="0"/>
          <reference field="3" count="1" selected="0">
            <x v="12"/>
          </reference>
          <reference field="4" count="1" selected="0">
            <x v="4"/>
          </reference>
          <reference field="5" count="1" selected="0">
            <x v="5"/>
          </reference>
          <reference field="6" count="1" selected="0">
            <x v="6"/>
          </reference>
          <reference field="9" count="1">
            <x v="10"/>
          </reference>
        </references>
      </pivotArea>
    </format>
    <format dxfId="10333">
      <pivotArea dataOnly="0" labelOnly="1" outline="0" fieldPosition="0">
        <references count="6">
          <reference field="1" count="0" selected="0"/>
          <reference field="3" count="1" selected="0">
            <x v="12"/>
          </reference>
          <reference field="4" count="1" selected="0">
            <x v="4"/>
          </reference>
          <reference field="5" count="1" selected="0">
            <x v="46"/>
          </reference>
          <reference field="6" count="1" selected="0">
            <x v="6"/>
          </reference>
          <reference field="9" count="1">
            <x v="0"/>
          </reference>
        </references>
      </pivotArea>
    </format>
    <format dxfId="10332">
      <pivotArea dataOnly="0" labelOnly="1" outline="0" fieldPosition="0">
        <references count="6">
          <reference field="1" count="0" selected="0"/>
          <reference field="3" count="1" selected="0">
            <x v="12"/>
          </reference>
          <reference field="4" count="1" selected="0">
            <x v="4"/>
          </reference>
          <reference field="5" count="1" selected="0">
            <x v="57"/>
          </reference>
          <reference field="6" count="1" selected="0">
            <x v="6"/>
          </reference>
          <reference field="9" count="1">
            <x v="0"/>
          </reference>
        </references>
      </pivotArea>
    </format>
    <format dxfId="10331">
      <pivotArea dataOnly="0" labelOnly="1" outline="0" fieldPosition="0">
        <references count="6">
          <reference field="1" count="0" selected="0"/>
          <reference field="3" count="1" selected="0">
            <x v="12"/>
          </reference>
          <reference field="4" count="1" selected="0">
            <x v="4"/>
          </reference>
          <reference field="5" count="1" selected="0">
            <x v="72"/>
          </reference>
          <reference field="6" count="1" selected="0">
            <x v="6"/>
          </reference>
          <reference field="9" count="1">
            <x v="0"/>
          </reference>
        </references>
      </pivotArea>
    </format>
    <format dxfId="10330">
      <pivotArea dataOnly="0" labelOnly="1" outline="0" fieldPosition="0">
        <references count="6">
          <reference field="1" count="0" selected="0"/>
          <reference field="3" count="1" selected="0">
            <x v="6"/>
          </reference>
          <reference field="4" count="1" selected="0">
            <x v="1"/>
          </reference>
          <reference field="5" count="1" selected="0">
            <x v="100"/>
          </reference>
          <reference field="6" count="1" selected="0">
            <x v="9"/>
          </reference>
          <reference field="9" count="1">
            <x v="4"/>
          </reference>
        </references>
      </pivotArea>
    </format>
    <format dxfId="10329">
      <pivotArea dataOnly="0" labelOnly="1" outline="0" fieldPosition="0">
        <references count="6">
          <reference field="1" count="0" selected="0"/>
          <reference field="3" count="1" selected="0">
            <x v="6"/>
          </reference>
          <reference field="4" count="1" selected="0">
            <x v="1"/>
          </reference>
          <reference field="5" count="1" selected="0">
            <x v="103"/>
          </reference>
          <reference field="6" count="1" selected="0">
            <x v="9"/>
          </reference>
          <reference field="9" count="1">
            <x v="7"/>
          </reference>
        </references>
      </pivotArea>
    </format>
    <format dxfId="10328">
      <pivotArea dataOnly="0" labelOnly="1" outline="0" fieldPosition="0">
        <references count="6">
          <reference field="1" count="0" selected="0"/>
          <reference field="3" count="1" selected="0">
            <x v="6"/>
          </reference>
          <reference field="4" count="1" selected="0">
            <x v="1"/>
          </reference>
          <reference field="5" count="1" selected="0">
            <x v="117"/>
          </reference>
          <reference field="6" count="1" selected="0">
            <x v="9"/>
          </reference>
          <reference field="9" count="1">
            <x v="7"/>
          </reference>
        </references>
      </pivotArea>
    </format>
    <format dxfId="10327">
      <pivotArea dataOnly="0" labelOnly="1" outline="0" fieldPosition="0">
        <references count="6">
          <reference field="1" count="0" selected="0"/>
          <reference field="3" count="1" selected="0">
            <x v="6"/>
          </reference>
          <reference field="4" count="1" selected="0">
            <x v="1"/>
          </reference>
          <reference field="5" count="1" selected="0">
            <x v="143"/>
          </reference>
          <reference field="6" count="1" selected="0">
            <x v="9"/>
          </reference>
          <reference field="9" count="1">
            <x v="10"/>
          </reference>
        </references>
      </pivotArea>
    </format>
    <format dxfId="10326">
      <pivotArea dataOnly="0" labelOnly="1" outline="0" fieldPosition="0">
        <references count="6">
          <reference field="1" count="0" selected="0"/>
          <reference field="3" count="1" selected="0">
            <x v="6"/>
          </reference>
          <reference field="4" count="1" selected="0">
            <x v="1"/>
          </reference>
          <reference field="5" count="1" selected="0">
            <x v="155"/>
          </reference>
          <reference field="6" count="1" selected="0">
            <x v="9"/>
          </reference>
          <reference field="9" count="1">
            <x v="10"/>
          </reference>
        </references>
      </pivotArea>
    </format>
    <format dxfId="10325">
      <pivotArea dataOnly="0" labelOnly="1" outline="0" fieldPosition="0">
        <references count="6">
          <reference field="1" count="0" selected="0"/>
          <reference field="3" count="1" selected="0">
            <x v="6"/>
          </reference>
          <reference field="4" count="1" selected="0">
            <x v="1"/>
          </reference>
          <reference field="5" count="1" selected="0">
            <x v="326"/>
          </reference>
          <reference field="6" count="1" selected="0">
            <x v="9"/>
          </reference>
          <reference field="9" count="1">
            <x v="4"/>
          </reference>
        </references>
      </pivotArea>
    </format>
    <format dxfId="10324">
      <pivotArea dataOnly="0" labelOnly="1" outline="0" fieldPosition="0">
        <references count="6">
          <reference field="1" count="0" selected="0"/>
          <reference field="3" count="1" selected="0">
            <x v="6"/>
          </reference>
          <reference field="4" count="1" selected="0">
            <x v="1"/>
          </reference>
          <reference field="5" count="1" selected="0">
            <x v="340"/>
          </reference>
          <reference field="6" count="1" selected="0">
            <x v="9"/>
          </reference>
          <reference field="9" count="1">
            <x v="7"/>
          </reference>
        </references>
      </pivotArea>
    </format>
    <format dxfId="10323">
      <pivotArea dataOnly="0" labelOnly="1" outline="0" fieldPosition="0">
        <references count="6">
          <reference field="1" count="0" selected="0"/>
          <reference field="3" count="1" selected="0">
            <x v="6"/>
          </reference>
          <reference field="4" count="1" selected="0">
            <x v="1"/>
          </reference>
          <reference field="5" count="1" selected="0">
            <x v="341"/>
          </reference>
          <reference field="6" count="1" selected="0">
            <x v="9"/>
          </reference>
          <reference field="9" count="1">
            <x v="7"/>
          </reference>
        </references>
      </pivotArea>
    </format>
    <format dxfId="10322">
      <pivotArea dataOnly="0" labelOnly="1" outline="0" fieldPosition="0">
        <references count="6">
          <reference field="1" count="0" selected="0"/>
          <reference field="3" count="1" selected="0">
            <x v="8"/>
          </reference>
          <reference field="4" count="1" selected="0">
            <x v="1"/>
          </reference>
          <reference field="5" count="1" selected="0">
            <x v="6"/>
          </reference>
          <reference field="6" count="1" selected="0">
            <x v="9"/>
          </reference>
          <reference field="9" count="1">
            <x v="10"/>
          </reference>
        </references>
      </pivotArea>
    </format>
    <format dxfId="10321">
      <pivotArea dataOnly="0" labelOnly="1" outline="0" fieldPosition="0">
        <references count="6">
          <reference field="1" count="0" selected="0"/>
          <reference field="3" count="1" selected="0">
            <x v="8"/>
          </reference>
          <reference field="4" count="1" selected="0">
            <x v="1"/>
          </reference>
          <reference field="5" count="1" selected="0">
            <x v="20"/>
          </reference>
          <reference field="6" count="1" selected="0">
            <x v="9"/>
          </reference>
          <reference field="9" count="1">
            <x v="4"/>
          </reference>
        </references>
      </pivotArea>
    </format>
    <format dxfId="10320">
      <pivotArea dataOnly="0" labelOnly="1" outline="0" fieldPosition="0">
        <references count="6">
          <reference field="1" count="0" selected="0"/>
          <reference field="3" count="1" selected="0">
            <x v="8"/>
          </reference>
          <reference field="4" count="1" selected="0">
            <x v="0"/>
          </reference>
          <reference field="5" count="1" selected="0">
            <x v="32"/>
          </reference>
          <reference field="6" count="1" selected="0">
            <x v="3"/>
          </reference>
          <reference field="9" count="1">
            <x v="10"/>
          </reference>
        </references>
      </pivotArea>
    </format>
    <format dxfId="10319">
      <pivotArea dataOnly="0" labelOnly="1" outline="0" fieldPosition="0">
        <references count="6">
          <reference field="1" count="0" selected="0"/>
          <reference field="3" count="1" selected="0">
            <x v="8"/>
          </reference>
          <reference field="4" count="1" selected="0">
            <x v="1"/>
          </reference>
          <reference field="5" count="1" selected="0">
            <x v="41"/>
          </reference>
          <reference field="6" count="1" selected="0">
            <x v="9"/>
          </reference>
          <reference field="9" count="1">
            <x v="4"/>
          </reference>
        </references>
      </pivotArea>
    </format>
    <format dxfId="10318">
      <pivotArea dataOnly="0" labelOnly="1" outline="0" fieldPosition="0">
        <references count="6">
          <reference field="1" count="0" selected="0"/>
          <reference field="3" count="1" selected="0">
            <x v="8"/>
          </reference>
          <reference field="4" count="1" selected="0">
            <x v="1"/>
          </reference>
          <reference field="5" count="1" selected="0">
            <x v="52"/>
          </reference>
          <reference field="6" count="1" selected="0">
            <x v="9"/>
          </reference>
          <reference field="9" count="1">
            <x v="7"/>
          </reference>
        </references>
      </pivotArea>
    </format>
    <format dxfId="10317">
      <pivotArea dataOnly="0" labelOnly="1" outline="0" fieldPosition="0">
        <references count="6">
          <reference field="1" count="0" selected="0"/>
          <reference field="3" count="1" selected="0">
            <x v="8"/>
          </reference>
          <reference field="4" count="1" selected="0">
            <x v="1"/>
          </reference>
          <reference field="5" count="1" selected="0">
            <x v="61"/>
          </reference>
          <reference field="6" count="1" selected="0">
            <x v="9"/>
          </reference>
          <reference field="9" count="1">
            <x v="4"/>
          </reference>
        </references>
      </pivotArea>
    </format>
    <format dxfId="10316">
      <pivotArea dataOnly="0" labelOnly="1" outline="0" fieldPosition="0">
        <references count="6">
          <reference field="1" count="0" selected="0"/>
          <reference field="3" count="1" selected="0">
            <x v="8"/>
          </reference>
          <reference field="4" count="1" selected="0">
            <x v="0"/>
          </reference>
          <reference field="5" count="1" selected="0">
            <x v="87"/>
          </reference>
          <reference field="6" count="1" selected="0">
            <x v="6"/>
          </reference>
          <reference field="9" count="1">
            <x v="10"/>
          </reference>
        </references>
      </pivotArea>
    </format>
    <format dxfId="10315">
      <pivotArea dataOnly="0" labelOnly="1" outline="0" fieldPosition="0">
        <references count="6">
          <reference field="1" count="0" selected="0"/>
          <reference field="3" count="1" selected="0">
            <x v="8"/>
          </reference>
          <reference field="4" count="1" selected="0">
            <x v="0"/>
          </reference>
          <reference field="5" count="1" selected="0">
            <x v="95"/>
          </reference>
          <reference field="6" count="1" selected="0">
            <x v="3"/>
          </reference>
          <reference field="9" count="1">
            <x v="10"/>
          </reference>
        </references>
      </pivotArea>
    </format>
    <format dxfId="10314">
      <pivotArea dataOnly="0" labelOnly="1" outline="0" fieldPosition="0">
        <references count="6">
          <reference field="1" count="0" selected="0"/>
          <reference field="3" count="1" selected="0">
            <x v="8"/>
          </reference>
          <reference field="4" count="1" selected="0">
            <x v="0"/>
          </reference>
          <reference field="5" count="1" selected="0">
            <x v="119"/>
          </reference>
          <reference field="6" count="1" selected="0">
            <x v="3"/>
          </reference>
          <reference field="9" count="1">
            <x v="10"/>
          </reference>
        </references>
      </pivotArea>
    </format>
    <format dxfId="10313">
      <pivotArea dataOnly="0" labelOnly="1" outline="0" fieldPosition="0">
        <references count="6">
          <reference field="1" count="0" selected="0"/>
          <reference field="3" count="1" selected="0">
            <x v="8"/>
          </reference>
          <reference field="4" count="1" selected="0">
            <x v="0"/>
          </reference>
          <reference field="5" count="1" selected="0">
            <x v="122"/>
          </reference>
          <reference field="6" count="1" selected="0">
            <x v="3"/>
          </reference>
          <reference field="9" count="1">
            <x v="10"/>
          </reference>
        </references>
      </pivotArea>
    </format>
    <format dxfId="10312">
      <pivotArea dataOnly="0" labelOnly="1" outline="0" fieldPosition="0">
        <references count="6">
          <reference field="1" count="0" selected="0"/>
          <reference field="3" count="1" selected="0">
            <x v="8"/>
          </reference>
          <reference field="4" count="1" selected="0">
            <x v="0"/>
          </reference>
          <reference field="5" count="1" selected="0">
            <x v="127"/>
          </reference>
          <reference field="6" count="1" selected="0">
            <x v="3"/>
          </reference>
          <reference field="9" count="1">
            <x v="10"/>
          </reference>
        </references>
      </pivotArea>
    </format>
    <format dxfId="10311">
      <pivotArea dataOnly="0" labelOnly="1" outline="0" fieldPosition="0">
        <references count="6">
          <reference field="1" count="0" selected="0"/>
          <reference field="3" count="1" selected="0">
            <x v="8"/>
          </reference>
          <reference field="4" count="1" selected="0">
            <x v="0"/>
          </reference>
          <reference field="5" count="1" selected="0">
            <x v="130"/>
          </reference>
          <reference field="6" count="1" selected="0">
            <x v="3"/>
          </reference>
          <reference field="9" count="1">
            <x v="10"/>
          </reference>
        </references>
      </pivotArea>
    </format>
    <format dxfId="10310">
      <pivotArea dataOnly="0" labelOnly="1" outline="0" fieldPosition="0">
        <references count="6">
          <reference field="1" count="0" selected="0"/>
          <reference field="3" count="1" selected="0">
            <x v="8"/>
          </reference>
          <reference field="4" count="1" selected="0">
            <x v="0"/>
          </reference>
          <reference field="5" count="1" selected="0">
            <x v="147"/>
          </reference>
          <reference field="6" count="1" selected="0">
            <x v="3"/>
          </reference>
          <reference field="9" count="1">
            <x v="10"/>
          </reference>
        </references>
      </pivotArea>
    </format>
    <format dxfId="10309">
      <pivotArea dataOnly="0" labelOnly="1" outline="0" fieldPosition="0">
        <references count="6">
          <reference field="1" count="0" selected="0"/>
          <reference field="3" count="1" selected="0">
            <x v="8"/>
          </reference>
          <reference field="4" count="1" selected="0">
            <x v="0"/>
          </reference>
          <reference field="5" count="1" selected="0">
            <x v="158"/>
          </reference>
          <reference field="6" count="1" selected="0">
            <x v="3"/>
          </reference>
          <reference field="9" count="1">
            <x v="10"/>
          </reference>
        </references>
      </pivotArea>
    </format>
    <format dxfId="10308">
      <pivotArea dataOnly="0" labelOnly="1" outline="0" fieldPosition="0">
        <references count="6">
          <reference field="1" count="0" selected="0"/>
          <reference field="3" count="1" selected="0">
            <x v="8"/>
          </reference>
          <reference field="4" count="1" selected="0">
            <x v="0"/>
          </reference>
          <reference field="5" count="1" selected="0">
            <x v="166"/>
          </reference>
          <reference field="6" count="1" selected="0">
            <x v="3"/>
          </reference>
          <reference field="9" count="1">
            <x v="10"/>
          </reference>
        </references>
      </pivotArea>
    </format>
    <format dxfId="10307">
      <pivotArea dataOnly="0" labelOnly="1" outline="0" fieldPosition="0">
        <references count="6">
          <reference field="1" count="0" selected="0"/>
          <reference field="3" count="1" selected="0">
            <x v="8"/>
          </reference>
          <reference field="4" count="1" selected="0">
            <x v="0"/>
          </reference>
          <reference field="5" count="1" selected="0">
            <x v="171"/>
          </reference>
          <reference field="6" count="1" selected="0">
            <x v="3"/>
          </reference>
          <reference field="9" count="1">
            <x v="10"/>
          </reference>
        </references>
      </pivotArea>
    </format>
    <format dxfId="10306">
      <pivotArea dataOnly="0" labelOnly="1" outline="0" fieldPosition="0">
        <references count="6">
          <reference field="1" count="0" selected="0"/>
          <reference field="3" count="1" selected="0">
            <x v="8"/>
          </reference>
          <reference field="4" count="1" selected="0">
            <x v="0"/>
          </reference>
          <reference field="5" count="1" selected="0">
            <x v="176"/>
          </reference>
          <reference field="6" count="1" selected="0">
            <x v="3"/>
          </reference>
          <reference field="9" count="1">
            <x v="10"/>
          </reference>
        </references>
      </pivotArea>
    </format>
    <format dxfId="10305">
      <pivotArea dataOnly="0" labelOnly="1" outline="0" fieldPosition="0">
        <references count="6">
          <reference field="1" count="0" selected="0"/>
          <reference field="3" count="1" selected="0">
            <x v="8"/>
          </reference>
          <reference field="4" count="1" selected="0">
            <x v="0"/>
          </reference>
          <reference field="5" count="1" selected="0">
            <x v="180"/>
          </reference>
          <reference field="6" count="1" selected="0">
            <x v="3"/>
          </reference>
          <reference field="9" count="1">
            <x v="10"/>
          </reference>
        </references>
      </pivotArea>
    </format>
    <format dxfId="10304">
      <pivotArea dataOnly="0" labelOnly="1" outline="0" fieldPosition="0">
        <references count="6">
          <reference field="1" count="0" selected="0"/>
          <reference field="3" count="1" selected="0">
            <x v="8"/>
          </reference>
          <reference field="4" count="1" selected="0">
            <x v="0"/>
          </reference>
          <reference field="5" count="1" selected="0">
            <x v="183"/>
          </reference>
          <reference field="6" count="1" selected="0">
            <x v="3"/>
          </reference>
          <reference field="9" count="1">
            <x v="10"/>
          </reference>
        </references>
      </pivotArea>
    </format>
    <format dxfId="10303">
      <pivotArea dataOnly="0" labelOnly="1" outline="0" fieldPosition="0">
        <references count="6">
          <reference field="1" count="0" selected="0"/>
          <reference field="3" count="1" selected="0">
            <x v="8"/>
          </reference>
          <reference field="4" count="1" selected="0">
            <x v="0"/>
          </reference>
          <reference field="5" count="1" selected="0">
            <x v="186"/>
          </reference>
          <reference field="6" count="1" selected="0">
            <x v="3"/>
          </reference>
          <reference field="9" count="1">
            <x v="10"/>
          </reference>
        </references>
      </pivotArea>
    </format>
    <format dxfId="10302">
      <pivotArea dataOnly="0" labelOnly="1" outline="0" fieldPosition="0">
        <references count="6">
          <reference field="1" count="0" selected="0"/>
          <reference field="3" count="1" selected="0">
            <x v="8"/>
          </reference>
          <reference field="4" count="1" selected="0">
            <x v="0"/>
          </reference>
          <reference field="5" count="1" selected="0">
            <x v="191"/>
          </reference>
          <reference field="6" count="1" selected="0">
            <x v="3"/>
          </reference>
          <reference field="9" count="1">
            <x v="10"/>
          </reference>
        </references>
      </pivotArea>
    </format>
    <format dxfId="10301">
      <pivotArea dataOnly="0" labelOnly="1" outline="0" fieldPosition="0">
        <references count="6">
          <reference field="1" count="0" selected="0"/>
          <reference field="3" count="1" selected="0">
            <x v="8"/>
          </reference>
          <reference field="4" count="1" selected="0">
            <x v="0"/>
          </reference>
          <reference field="5" count="1" selected="0">
            <x v="342"/>
          </reference>
          <reference field="6" count="1" selected="0">
            <x v="3"/>
          </reference>
          <reference field="9" count="1">
            <x v="10"/>
          </reference>
        </references>
      </pivotArea>
    </format>
    <format dxfId="10300">
      <pivotArea dataOnly="0" labelOnly="1" outline="0" fieldPosition="0">
        <references count="6">
          <reference field="1" count="0" selected="0"/>
          <reference field="3" count="1" selected="0">
            <x v="9"/>
          </reference>
          <reference field="4" count="1" selected="0">
            <x v="0"/>
          </reference>
          <reference field="5" count="1" selected="0">
            <x v="4"/>
          </reference>
          <reference field="6" count="1" selected="0">
            <x v="3"/>
          </reference>
          <reference field="9" count="1">
            <x v="10"/>
          </reference>
        </references>
      </pivotArea>
    </format>
    <format dxfId="10299">
      <pivotArea dataOnly="0" labelOnly="1" outline="0" fieldPosition="0">
        <references count="6">
          <reference field="1" count="0" selected="0"/>
          <reference field="3" count="1" selected="0">
            <x v="9"/>
          </reference>
          <reference field="4" count="1" selected="0">
            <x v="0"/>
          </reference>
          <reference field="5" count="1" selected="0">
            <x v="19"/>
          </reference>
          <reference field="6" count="1" selected="0">
            <x v="3"/>
          </reference>
          <reference field="9" count="1">
            <x v="10"/>
          </reference>
        </references>
      </pivotArea>
    </format>
    <format dxfId="10298">
      <pivotArea dataOnly="0" labelOnly="1" outline="0" fieldPosition="0">
        <references count="6">
          <reference field="1" count="0" selected="0"/>
          <reference field="3" count="1" selected="0">
            <x v="9"/>
          </reference>
          <reference field="4" count="1" selected="0">
            <x v="0"/>
          </reference>
          <reference field="5" count="1" selected="0">
            <x v="42"/>
          </reference>
          <reference field="6" count="1" selected="0">
            <x v="3"/>
          </reference>
          <reference field="9" count="1">
            <x v="10"/>
          </reference>
        </references>
      </pivotArea>
    </format>
    <format dxfId="10297">
      <pivotArea dataOnly="0" labelOnly="1" outline="0" fieldPosition="0">
        <references count="6">
          <reference field="1" count="0" selected="0"/>
          <reference field="3" count="1" selected="0">
            <x v="9"/>
          </reference>
          <reference field="4" count="1" selected="0">
            <x v="0"/>
          </reference>
          <reference field="5" count="1" selected="0">
            <x v="58"/>
          </reference>
          <reference field="6" count="1" selected="0">
            <x v="3"/>
          </reference>
          <reference field="9" count="1">
            <x v="10"/>
          </reference>
        </references>
      </pivotArea>
    </format>
    <format dxfId="10296">
      <pivotArea dataOnly="0" labelOnly="1" outline="0" fieldPosition="0">
        <references count="6">
          <reference field="1" count="0" selected="0"/>
          <reference field="3" count="1" selected="0">
            <x v="9"/>
          </reference>
          <reference field="4" count="1" selected="0">
            <x v="0"/>
          </reference>
          <reference field="5" count="1" selected="0">
            <x v="67"/>
          </reference>
          <reference field="6" count="1" selected="0">
            <x v="3"/>
          </reference>
          <reference field="9" count="1">
            <x v="10"/>
          </reference>
        </references>
      </pivotArea>
    </format>
    <format dxfId="10295">
      <pivotArea dataOnly="0" labelOnly="1" outline="0" fieldPosition="0">
        <references count="6">
          <reference field="1" count="0" selected="0"/>
          <reference field="3" count="1" selected="0">
            <x v="9"/>
          </reference>
          <reference field="4" count="1" selected="0">
            <x v="0"/>
          </reference>
          <reference field="5" count="1" selected="0">
            <x v="84"/>
          </reference>
          <reference field="6" count="1" selected="0">
            <x v="3"/>
          </reference>
          <reference field="9" count="1">
            <x v="10"/>
          </reference>
        </references>
      </pivotArea>
    </format>
    <format dxfId="10294">
      <pivotArea dataOnly="0" labelOnly="1" outline="0" fieldPosition="0">
        <references count="6">
          <reference field="1" count="0" selected="0"/>
          <reference field="3" count="1" selected="0">
            <x v="9"/>
          </reference>
          <reference field="4" count="1" selected="0">
            <x v="3"/>
          </reference>
          <reference field="5" count="1" selected="0">
            <x v="114"/>
          </reference>
          <reference field="6" count="1" selected="0">
            <x v="5"/>
          </reference>
          <reference field="9" count="1">
            <x v="10"/>
          </reference>
        </references>
      </pivotArea>
    </format>
    <format dxfId="10293">
      <pivotArea dataOnly="0" labelOnly="1" outline="0" fieldPosition="0">
        <references count="6">
          <reference field="1" count="0" selected="0"/>
          <reference field="3" count="1" selected="0">
            <x v="9"/>
          </reference>
          <reference field="4" count="1" selected="0">
            <x v="3"/>
          </reference>
          <reference field="5" count="1" selected="0">
            <x v="136"/>
          </reference>
          <reference field="6" count="1" selected="0">
            <x v="5"/>
          </reference>
          <reference field="9" count="1">
            <x v="10"/>
          </reference>
        </references>
      </pivotArea>
    </format>
    <format dxfId="10292">
      <pivotArea dataOnly="0" labelOnly="1" outline="0" fieldPosition="0">
        <references count="6">
          <reference field="1" count="0" selected="0"/>
          <reference field="3" count="1" selected="0">
            <x v="9"/>
          </reference>
          <reference field="4" count="1" selected="0">
            <x v="3"/>
          </reference>
          <reference field="5" count="1" selected="0">
            <x v="140"/>
          </reference>
          <reference field="6" count="1" selected="0">
            <x v="5"/>
          </reference>
          <reference field="9" count="1">
            <x v="10"/>
          </reference>
        </references>
      </pivotArea>
    </format>
    <format dxfId="10291">
      <pivotArea dataOnly="0" labelOnly="1" outline="0" fieldPosition="0">
        <references count="6">
          <reference field="1" count="0" selected="0"/>
          <reference field="3" count="1" selected="0">
            <x v="9"/>
          </reference>
          <reference field="4" count="1" selected="0">
            <x v="3"/>
          </reference>
          <reference field="5" count="1" selected="0">
            <x v="212"/>
          </reference>
          <reference field="6" count="1" selected="0">
            <x v="5"/>
          </reference>
          <reference field="9" count="1">
            <x v="10"/>
          </reference>
        </references>
      </pivotArea>
    </format>
    <format dxfId="10290">
      <pivotArea dataOnly="0" labelOnly="1" outline="0" fieldPosition="0">
        <references count="6">
          <reference field="1" count="0" selected="0"/>
          <reference field="3" count="1" selected="0">
            <x v="9"/>
          </reference>
          <reference field="4" count="1" selected="0">
            <x v="0"/>
          </reference>
          <reference field="5" count="1" selected="0">
            <x v="338"/>
          </reference>
          <reference field="6" count="1" selected="0">
            <x v="3"/>
          </reference>
          <reference field="9" count="1">
            <x v="10"/>
          </reference>
        </references>
      </pivotArea>
    </format>
    <format dxfId="10289">
      <pivotArea dataOnly="0" labelOnly="1" outline="0" fieldPosition="0">
        <references count="6">
          <reference field="1" count="0" selected="0"/>
          <reference field="3" count="1" selected="0">
            <x v="10"/>
          </reference>
          <reference field="4" count="1" selected="0">
            <x v="4"/>
          </reference>
          <reference field="5" count="1" selected="0">
            <x v="90"/>
          </reference>
          <reference field="6" count="1" selected="0">
            <x v="10"/>
          </reference>
          <reference field="9" count="1">
            <x v="11"/>
          </reference>
        </references>
      </pivotArea>
    </format>
    <format dxfId="10288">
      <pivotArea dataOnly="0" labelOnly="1" outline="0" fieldPosition="0">
        <references count="6">
          <reference field="1" count="0" selected="0"/>
          <reference field="3" count="1" selected="0">
            <x v="10"/>
          </reference>
          <reference field="4" count="1" selected="0">
            <x v="4"/>
          </reference>
          <reference field="5" count="1" selected="0">
            <x v="142"/>
          </reference>
          <reference field="6" count="1" selected="0">
            <x v="6"/>
          </reference>
          <reference field="9" count="1">
            <x v="10"/>
          </reference>
        </references>
      </pivotArea>
    </format>
    <format dxfId="10287">
      <pivotArea dataOnly="0" labelOnly="1" outline="0" fieldPosition="0">
        <references count="6">
          <reference field="1" count="0" selected="0"/>
          <reference field="3" count="1" selected="0">
            <x v="12"/>
          </reference>
          <reference field="4" count="1" selected="0">
            <x v="4"/>
          </reference>
          <reference field="5" count="1" selected="0">
            <x v="2"/>
          </reference>
          <reference field="6" count="1" selected="0">
            <x v="6"/>
          </reference>
          <reference field="9" count="1">
            <x v="10"/>
          </reference>
        </references>
      </pivotArea>
    </format>
    <format dxfId="10286">
      <pivotArea dataOnly="0" labelOnly="1" outline="0" fieldPosition="0">
        <references count="6">
          <reference field="1" count="0" selected="0"/>
          <reference field="3" count="1" selected="0">
            <x v="12"/>
          </reference>
          <reference field="4" count="1" selected="0">
            <x v="4"/>
          </reference>
          <reference field="5" count="1" selected="0">
            <x v="48"/>
          </reference>
          <reference field="6" count="1" selected="0">
            <x v="6"/>
          </reference>
          <reference field="9" count="1">
            <x v="12"/>
          </reference>
        </references>
      </pivotArea>
    </format>
    <format dxfId="10285">
      <pivotArea dataOnly="0" labelOnly="1" outline="0" fieldPosition="0">
        <references count="6">
          <reference field="1" count="0" selected="0"/>
          <reference field="3" count="1" selected="0">
            <x v="12"/>
          </reference>
          <reference field="4" count="1" selected="0">
            <x v="4"/>
          </reference>
          <reference field="5" count="1" selected="0">
            <x v="55"/>
          </reference>
          <reference field="6" count="1" selected="0">
            <x v="6"/>
          </reference>
          <reference field="9" count="1">
            <x v="0"/>
          </reference>
        </references>
      </pivotArea>
    </format>
    <format dxfId="10284">
      <pivotArea dataOnly="0" labelOnly="1" outline="0" fieldPosition="0">
        <references count="6">
          <reference field="1" count="0" selected="0"/>
          <reference field="3" count="1" selected="0">
            <x v="12"/>
          </reference>
          <reference field="4" count="1" selected="0">
            <x v="4"/>
          </reference>
          <reference field="5" count="1" selected="0">
            <x v="73"/>
          </reference>
          <reference field="6" count="1" selected="0">
            <x v="6"/>
          </reference>
          <reference field="9" count="1">
            <x v="0"/>
          </reference>
        </references>
      </pivotArea>
    </format>
    <format dxfId="10283">
      <pivotArea dataOnly="0" labelOnly="1" outline="0" fieldPosition="0">
        <references count="6">
          <reference field="1" count="0" selected="0"/>
          <reference field="3" count="1" selected="0">
            <x v="12"/>
          </reference>
          <reference field="4" count="1" selected="0">
            <x v="4"/>
          </reference>
          <reference field="5" count="1" selected="0">
            <x v="82"/>
          </reference>
          <reference field="6" count="1" selected="0">
            <x v="6"/>
          </reference>
          <reference field="9" count="1">
            <x v="7"/>
          </reference>
        </references>
      </pivotArea>
    </format>
    <format dxfId="10282">
      <pivotArea dataOnly="0" labelOnly="1" outline="0" fieldPosition="0">
        <references count="6">
          <reference field="1" count="0" selected="0"/>
          <reference field="3" count="1" selected="0">
            <x v="6"/>
          </reference>
          <reference field="4" count="1" selected="0">
            <x v="1"/>
          </reference>
          <reference field="5" count="1" selected="0">
            <x v="102"/>
          </reference>
          <reference field="6" count="1" selected="0">
            <x v="9"/>
          </reference>
          <reference field="9" count="1">
            <x v="4"/>
          </reference>
        </references>
      </pivotArea>
    </format>
    <format dxfId="10281">
      <pivotArea dataOnly="0" labelOnly="1" outline="0" fieldPosition="0">
        <references count="6">
          <reference field="1" count="0" selected="0"/>
          <reference field="3" count="1" selected="0">
            <x v="6"/>
          </reference>
          <reference field="4" count="1" selected="0">
            <x v="1"/>
          </reference>
          <reference field="5" count="1" selected="0">
            <x v="118"/>
          </reference>
          <reference field="6" count="1" selected="0">
            <x v="9"/>
          </reference>
          <reference field="9" count="1">
            <x v="10"/>
          </reference>
        </references>
      </pivotArea>
    </format>
    <format dxfId="10280">
      <pivotArea dataOnly="0" labelOnly="1" outline="0" fieldPosition="0">
        <references count="6">
          <reference field="1" count="0" selected="0"/>
          <reference field="3" count="1" selected="0">
            <x v="6"/>
          </reference>
          <reference field="4" count="1" selected="0">
            <x v="1"/>
          </reference>
          <reference field="5" count="1" selected="0">
            <x v="218"/>
          </reference>
          <reference field="6" count="1" selected="0">
            <x v="9"/>
          </reference>
          <reference field="9" count="1">
            <x v="10"/>
          </reference>
        </references>
      </pivotArea>
    </format>
    <format dxfId="10279">
      <pivotArea dataOnly="0" labelOnly="1" outline="0" fieldPosition="0">
        <references count="6">
          <reference field="1" count="0" selected="0"/>
          <reference field="3" count="1" selected="0">
            <x v="6"/>
          </reference>
          <reference field="4" count="1" selected="0">
            <x v="1"/>
          </reference>
          <reference field="5" count="1" selected="0">
            <x v="332"/>
          </reference>
          <reference field="6" count="1" selected="0">
            <x v="9"/>
          </reference>
          <reference field="9" count="1">
            <x v="10"/>
          </reference>
        </references>
      </pivotArea>
    </format>
    <format dxfId="10278">
      <pivotArea dataOnly="0" labelOnly="1" outline="0" fieldPosition="0">
        <references count="6">
          <reference field="1" count="0" selected="0"/>
          <reference field="3" count="1" selected="0">
            <x v="6"/>
          </reference>
          <reference field="4" count="1" selected="0">
            <x v="1"/>
          </reference>
          <reference field="5" count="1" selected="0">
            <x v="346"/>
          </reference>
          <reference field="6" count="1" selected="0">
            <x v="9"/>
          </reference>
          <reference field="9" count="1">
            <x v="10"/>
          </reference>
        </references>
      </pivotArea>
    </format>
    <format dxfId="10277">
      <pivotArea dataOnly="0" labelOnly="1" outline="0" fieldPosition="0">
        <references count="6">
          <reference field="1" count="0" selected="0"/>
          <reference field="3" count="1" selected="0">
            <x v="8"/>
          </reference>
          <reference field="4" count="1" selected="0">
            <x v="1"/>
          </reference>
          <reference field="5" count="1" selected="0">
            <x v="7"/>
          </reference>
          <reference field="6" count="1" selected="0">
            <x v="9"/>
          </reference>
          <reference field="9" count="1">
            <x v="7"/>
          </reference>
        </references>
      </pivotArea>
    </format>
    <format dxfId="10276">
      <pivotArea dataOnly="0" labelOnly="1" outline="0" fieldPosition="0">
        <references count="6">
          <reference field="1" count="0" selected="0"/>
          <reference field="3" count="1" selected="0">
            <x v="8"/>
          </reference>
          <reference field="4" count="1" selected="0">
            <x v="1"/>
          </reference>
          <reference field="5" count="1" selected="0">
            <x v="16"/>
          </reference>
          <reference field="6" count="1" selected="0">
            <x v="9"/>
          </reference>
          <reference field="9" count="1">
            <x v="4"/>
          </reference>
        </references>
      </pivotArea>
    </format>
    <format dxfId="10275">
      <pivotArea dataOnly="0" labelOnly="1" outline="0" fieldPosition="0">
        <references count="6">
          <reference field="1" count="0" selected="0"/>
          <reference field="3" count="1" selected="0">
            <x v="8"/>
          </reference>
          <reference field="4" count="1" selected="0">
            <x v="0"/>
          </reference>
          <reference field="5" count="1" selected="0">
            <x v="34"/>
          </reference>
          <reference field="6" count="1" selected="0">
            <x v="3"/>
          </reference>
          <reference field="9" count="1">
            <x v="10"/>
          </reference>
        </references>
      </pivotArea>
    </format>
    <format dxfId="10274">
      <pivotArea dataOnly="0" labelOnly="1" outline="0" fieldPosition="0">
        <references count="6">
          <reference field="1" count="0" selected="0"/>
          <reference field="3" count="1" selected="0">
            <x v="8"/>
          </reference>
          <reference field="4" count="1" selected="0">
            <x v="1"/>
          </reference>
          <reference field="5" count="1" selected="0">
            <x v="36"/>
          </reference>
          <reference field="6" count="1" selected="0">
            <x v="9"/>
          </reference>
          <reference field="9" count="1">
            <x v="4"/>
          </reference>
        </references>
      </pivotArea>
    </format>
    <format dxfId="10273">
      <pivotArea dataOnly="0" labelOnly="1" outline="0" fieldPosition="0">
        <references count="6">
          <reference field="1" count="0" selected="0"/>
          <reference field="3" count="1" selected="0">
            <x v="8"/>
          </reference>
          <reference field="4" count="1" selected="0">
            <x v="1"/>
          </reference>
          <reference field="5" count="1" selected="0">
            <x v="56"/>
          </reference>
          <reference field="6" count="1" selected="0">
            <x v="9"/>
          </reference>
          <reference field="9" count="1">
            <x v="4"/>
          </reference>
        </references>
      </pivotArea>
    </format>
    <format dxfId="10272">
      <pivotArea dataOnly="0" labelOnly="1" outline="0" fieldPosition="0">
        <references count="6">
          <reference field="1" count="0" selected="0"/>
          <reference field="3" count="1" selected="0">
            <x v="8"/>
          </reference>
          <reference field="4" count="1" selected="0">
            <x v="1"/>
          </reference>
          <reference field="5" count="1" selected="0">
            <x v="59"/>
          </reference>
          <reference field="6" count="1" selected="0">
            <x v="9"/>
          </reference>
          <reference field="9" count="1">
            <x v="10"/>
          </reference>
        </references>
      </pivotArea>
    </format>
    <format dxfId="10271">
      <pivotArea dataOnly="0" labelOnly="1" outline="0" fieldPosition="0">
        <references count="6">
          <reference field="1" count="0" selected="0"/>
          <reference field="3" count="1" selected="0">
            <x v="8"/>
          </reference>
          <reference field="4" count="1" selected="0">
            <x v="0"/>
          </reference>
          <reference field="5" count="1" selected="0">
            <x v="89"/>
          </reference>
          <reference field="6" count="1" selected="0">
            <x v="6"/>
          </reference>
          <reference field="9" count="1">
            <x v="10"/>
          </reference>
        </references>
      </pivotArea>
    </format>
    <format dxfId="10270">
      <pivotArea dataOnly="0" labelOnly="1" outline="0" fieldPosition="0">
        <references count="6">
          <reference field="1" count="0" selected="0"/>
          <reference field="3" count="1" selected="0">
            <x v="8"/>
          </reference>
          <reference field="4" count="1" selected="0">
            <x v="0"/>
          </reference>
          <reference field="5" count="1" selected="0">
            <x v="91"/>
          </reference>
          <reference field="6" count="1" selected="0">
            <x v="6"/>
          </reference>
          <reference field="9" count="1">
            <x v="10"/>
          </reference>
        </references>
      </pivotArea>
    </format>
    <format dxfId="10269">
      <pivotArea dataOnly="0" labelOnly="1" outline="0" fieldPosition="0">
        <references count="6">
          <reference field="1" count="0" selected="0"/>
          <reference field="3" count="1" selected="0">
            <x v="8"/>
          </reference>
          <reference field="4" count="1" selected="0">
            <x v="0"/>
          </reference>
          <reference field="5" count="1" selected="0">
            <x v="106"/>
          </reference>
          <reference field="6" count="1" selected="0">
            <x v="3"/>
          </reference>
          <reference field="9" count="1">
            <x v="10"/>
          </reference>
        </references>
      </pivotArea>
    </format>
    <format dxfId="10268">
      <pivotArea dataOnly="0" labelOnly="1" outline="0" fieldPosition="0">
        <references count="6">
          <reference field="1" count="0" selected="0"/>
          <reference field="3" count="1" selected="0">
            <x v="8"/>
          </reference>
          <reference field="4" count="1" selected="0">
            <x v="0"/>
          </reference>
          <reference field="5" count="1" selected="0">
            <x v="107"/>
          </reference>
          <reference field="6" count="1" selected="0">
            <x v="3"/>
          </reference>
          <reference field="9" count="1">
            <x v="10"/>
          </reference>
        </references>
      </pivotArea>
    </format>
    <format dxfId="10267">
      <pivotArea dataOnly="0" labelOnly="1" outline="0" fieldPosition="0">
        <references count="6">
          <reference field="1" count="0" selected="0"/>
          <reference field="3" count="1" selected="0">
            <x v="8"/>
          </reference>
          <reference field="4" count="1" selected="0">
            <x v="0"/>
          </reference>
          <reference field="5" count="1" selected="0">
            <x v="120"/>
          </reference>
          <reference field="6" count="1" selected="0">
            <x v="3"/>
          </reference>
          <reference field="9" count="1">
            <x v="10"/>
          </reference>
        </references>
      </pivotArea>
    </format>
    <format dxfId="10266">
      <pivotArea dataOnly="0" labelOnly="1" outline="0" fieldPosition="0">
        <references count="6">
          <reference field="1" count="0" selected="0"/>
          <reference field="3" count="1" selected="0">
            <x v="8"/>
          </reference>
          <reference field="4" count="1" selected="0">
            <x v="0"/>
          </reference>
          <reference field="5" count="1" selected="0">
            <x v="121"/>
          </reference>
          <reference field="6" count="1" selected="0">
            <x v="3"/>
          </reference>
          <reference field="9" count="1">
            <x v="10"/>
          </reference>
        </references>
      </pivotArea>
    </format>
    <format dxfId="10265">
      <pivotArea dataOnly="0" labelOnly="1" outline="0" fieldPosition="0">
        <references count="6">
          <reference field="1" count="0" selected="0"/>
          <reference field="3" count="1" selected="0">
            <x v="8"/>
          </reference>
          <reference field="4" count="1" selected="0">
            <x v="0"/>
          </reference>
          <reference field="5" count="1" selected="0">
            <x v="128"/>
          </reference>
          <reference field="6" count="1" selected="0">
            <x v="3"/>
          </reference>
          <reference field="9" count="1">
            <x v="10"/>
          </reference>
        </references>
      </pivotArea>
    </format>
    <format dxfId="10264">
      <pivotArea dataOnly="0" labelOnly="1" outline="0" fieldPosition="0">
        <references count="6">
          <reference field="1" count="0" selected="0"/>
          <reference field="3" count="1" selected="0">
            <x v="8"/>
          </reference>
          <reference field="4" count="1" selected="0">
            <x v="0"/>
          </reference>
          <reference field="5" count="1" selected="0">
            <x v="129"/>
          </reference>
          <reference field="6" count="1" selected="0">
            <x v="3"/>
          </reference>
          <reference field="9" count="1">
            <x v="10"/>
          </reference>
        </references>
      </pivotArea>
    </format>
    <format dxfId="10263">
      <pivotArea dataOnly="0" labelOnly="1" outline="0" fieldPosition="0">
        <references count="6">
          <reference field="1" count="0" selected="0"/>
          <reference field="3" count="1" selected="0">
            <x v="8"/>
          </reference>
          <reference field="4" count="1" selected="0">
            <x v="0"/>
          </reference>
          <reference field="5" count="1" selected="0">
            <x v="156"/>
          </reference>
          <reference field="6" count="1" selected="0">
            <x v="3"/>
          </reference>
          <reference field="9" count="1">
            <x v="10"/>
          </reference>
        </references>
      </pivotArea>
    </format>
    <format dxfId="10262">
      <pivotArea dataOnly="0" labelOnly="1" outline="0" fieldPosition="0">
        <references count="6">
          <reference field="1" count="0" selected="0"/>
          <reference field="3" count="1" selected="0">
            <x v="8"/>
          </reference>
          <reference field="4" count="1" selected="0">
            <x v="0"/>
          </reference>
          <reference field="5" count="1" selected="0">
            <x v="157"/>
          </reference>
          <reference field="6" count="1" selected="0">
            <x v="3"/>
          </reference>
          <reference field="9" count="1">
            <x v="10"/>
          </reference>
        </references>
      </pivotArea>
    </format>
    <format dxfId="10261">
      <pivotArea dataOnly="0" labelOnly="1" outline="0" fieldPosition="0">
        <references count="6">
          <reference field="1" count="0" selected="0"/>
          <reference field="3" count="1" selected="0">
            <x v="8"/>
          </reference>
          <reference field="4" count="1" selected="0">
            <x v="0"/>
          </reference>
          <reference field="5" count="1" selected="0">
            <x v="168"/>
          </reference>
          <reference field="6" count="1" selected="0">
            <x v="3"/>
          </reference>
          <reference field="9" count="1">
            <x v="10"/>
          </reference>
        </references>
      </pivotArea>
    </format>
    <format dxfId="10260">
      <pivotArea dataOnly="0" labelOnly="1" outline="0" fieldPosition="0">
        <references count="6">
          <reference field="1" count="0" selected="0"/>
          <reference field="3" count="1" selected="0">
            <x v="8"/>
          </reference>
          <reference field="4" count="1" selected="0">
            <x v="0"/>
          </reference>
          <reference field="5" count="1" selected="0">
            <x v="170"/>
          </reference>
          <reference field="6" count="1" selected="0">
            <x v="3"/>
          </reference>
          <reference field="9" count="1">
            <x v="10"/>
          </reference>
        </references>
      </pivotArea>
    </format>
    <format dxfId="10259">
      <pivotArea dataOnly="0" labelOnly="1" outline="0" fieldPosition="0">
        <references count="6">
          <reference field="1" count="0" selected="0"/>
          <reference field="3" count="1" selected="0">
            <x v="8"/>
          </reference>
          <reference field="4" count="1" selected="0">
            <x v="0"/>
          </reference>
          <reference field="5" count="1" selected="0">
            <x v="177"/>
          </reference>
          <reference field="6" count="1" selected="0">
            <x v="3"/>
          </reference>
          <reference field="9" count="1">
            <x v="10"/>
          </reference>
        </references>
      </pivotArea>
    </format>
    <format dxfId="10258">
      <pivotArea dataOnly="0" labelOnly="1" outline="0" fieldPosition="0">
        <references count="6">
          <reference field="1" count="0" selected="0"/>
          <reference field="3" count="1" selected="0">
            <x v="8"/>
          </reference>
          <reference field="4" count="1" selected="0">
            <x v="0"/>
          </reference>
          <reference field="5" count="1" selected="0">
            <x v="178"/>
          </reference>
          <reference field="6" count="1" selected="0">
            <x v="3"/>
          </reference>
          <reference field="9" count="1">
            <x v="10"/>
          </reference>
        </references>
      </pivotArea>
    </format>
    <format dxfId="10257">
      <pivotArea dataOnly="0" labelOnly="1" outline="0" fieldPosition="0">
        <references count="6">
          <reference field="1" count="0" selected="0"/>
          <reference field="3" count="1" selected="0">
            <x v="8"/>
          </reference>
          <reference field="4" count="1" selected="0">
            <x v="0"/>
          </reference>
          <reference field="5" count="1" selected="0">
            <x v="184"/>
          </reference>
          <reference field="6" count="1" selected="0">
            <x v="3"/>
          </reference>
          <reference field="9" count="1">
            <x v="10"/>
          </reference>
        </references>
      </pivotArea>
    </format>
    <format dxfId="10256">
      <pivotArea dataOnly="0" labelOnly="1" outline="0" fieldPosition="0">
        <references count="6">
          <reference field="1" count="0" selected="0"/>
          <reference field="3" count="1" selected="0">
            <x v="8"/>
          </reference>
          <reference field="4" count="1" selected="0">
            <x v="0"/>
          </reference>
          <reference field="5" count="1" selected="0">
            <x v="185"/>
          </reference>
          <reference field="6" count="1" selected="0">
            <x v="3"/>
          </reference>
          <reference field="9" count="1">
            <x v="10"/>
          </reference>
        </references>
      </pivotArea>
    </format>
    <format dxfId="10255">
      <pivotArea dataOnly="0" labelOnly="1" outline="0" fieldPosition="0">
        <references count="6">
          <reference field="1" count="0" selected="0"/>
          <reference field="3" count="1" selected="0">
            <x v="8"/>
          </reference>
          <reference field="4" count="1" selected="0">
            <x v="0"/>
          </reference>
          <reference field="5" count="1" selected="0">
            <x v="209"/>
          </reference>
          <reference field="6" count="1" selected="0">
            <x v="3"/>
          </reference>
          <reference field="9" count="1">
            <x v="10"/>
          </reference>
        </references>
      </pivotArea>
    </format>
    <format dxfId="10254">
      <pivotArea dataOnly="0" labelOnly="1" outline="0" fieldPosition="0">
        <references count="6">
          <reference field="1" count="0" selected="0"/>
          <reference field="3" count="1" selected="0">
            <x v="9"/>
          </reference>
          <reference field="4" count="1" selected="0">
            <x v="0"/>
          </reference>
          <reference field="5" count="1" selected="0">
            <x v="0"/>
          </reference>
          <reference field="6" count="1" selected="0">
            <x v="3"/>
          </reference>
          <reference field="9" count="1">
            <x v="10"/>
          </reference>
        </references>
      </pivotArea>
    </format>
    <format dxfId="10253">
      <pivotArea dataOnly="0" labelOnly="1" outline="0" fieldPosition="0">
        <references count="6">
          <reference field="1" count="0" selected="0"/>
          <reference field="3" count="1" selected="0">
            <x v="9"/>
          </reference>
          <reference field="4" count="1" selected="0">
            <x v="0"/>
          </reference>
          <reference field="5" count="1" selected="0">
            <x v="18"/>
          </reference>
          <reference field="6" count="1" selected="0">
            <x v="3"/>
          </reference>
          <reference field="9" count="1">
            <x v="10"/>
          </reference>
        </references>
      </pivotArea>
    </format>
    <format dxfId="10252">
      <pivotArea dataOnly="0" labelOnly="1" outline="0" fieldPosition="0">
        <references count="6">
          <reference field="1" count="0" selected="0"/>
          <reference field="3" count="1" selected="0">
            <x v="9"/>
          </reference>
          <reference field="4" count="1" selected="0">
            <x v="0"/>
          </reference>
          <reference field="5" count="1" selected="0">
            <x v="39"/>
          </reference>
          <reference field="6" count="1" selected="0">
            <x v="3"/>
          </reference>
          <reference field="9" count="1">
            <x v="10"/>
          </reference>
        </references>
      </pivotArea>
    </format>
    <format dxfId="10251">
      <pivotArea dataOnly="0" labelOnly="1" outline="0" fieldPosition="0">
        <references count="6">
          <reference field="1" count="0" selected="0"/>
          <reference field="3" count="1" selected="0">
            <x v="9"/>
          </reference>
          <reference field="4" count="1" selected="0">
            <x v="0"/>
          </reference>
          <reference field="5" count="1" selected="0">
            <x v="40"/>
          </reference>
          <reference field="6" count="1" selected="0">
            <x v="3"/>
          </reference>
          <reference field="9" count="1">
            <x v="10"/>
          </reference>
        </references>
      </pivotArea>
    </format>
    <format dxfId="10250">
      <pivotArea dataOnly="0" labelOnly="1" outline="0" fieldPosition="0">
        <references count="6">
          <reference field="1" count="0" selected="0"/>
          <reference field="3" count="1" selected="0">
            <x v="9"/>
          </reference>
          <reference field="4" count="1" selected="0">
            <x v="0"/>
          </reference>
          <reference field="5" count="1" selected="0">
            <x v="63"/>
          </reference>
          <reference field="6" count="1" selected="0">
            <x v="3"/>
          </reference>
          <reference field="9" count="1">
            <x v="10"/>
          </reference>
        </references>
      </pivotArea>
    </format>
    <format dxfId="10249">
      <pivotArea dataOnly="0" labelOnly="1" outline="0" fieldPosition="0">
        <references count="6">
          <reference field="1" count="0" selected="0"/>
          <reference field="3" count="1" selected="0">
            <x v="9"/>
          </reference>
          <reference field="4" count="1" selected="0">
            <x v="0"/>
          </reference>
          <reference field="5" count="1" selected="0">
            <x v="64"/>
          </reference>
          <reference field="6" count="1" selected="0">
            <x v="3"/>
          </reference>
          <reference field="9" count="1">
            <x v="10"/>
          </reference>
        </references>
      </pivotArea>
    </format>
    <format dxfId="10248">
      <pivotArea dataOnly="0" labelOnly="1" outline="0" fieldPosition="0">
        <references count="6">
          <reference field="1" count="0" selected="0"/>
          <reference field="3" count="1" selected="0">
            <x v="9"/>
          </reference>
          <reference field="4" count="1" selected="0">
            <x v="0"/>
          </reference>
          <reference field="5" count="1" selected="0">
            <x v="85"/>
          </reference>
          <reference field="6" count="1" selected="0">
            <x v="3"/>
          </reference>
          <reference field="9" count="1">
            <x v="10"/>
          </reference>
        </references>
      </pivotArea>
    </format>
    <format dxfId="10247">
      <pivotArea dataOnly="0" labelOnly="1" outline="0" fieldPosition="0">
        <references count="6">
          <reference field="1" count="0" selected="0"/>
          <reference field="3" count="1" selected="0">
            <x v="9"/>
          </reference>
          <reference field="4" count="1" selected="0">
            <x v="3"/>
          </reference>
          <reference field="5" count="1" selected="0">
            <x v="86"/>
          </reference>
          <reference field="6" count="1" selected="0">
            <x v="0"/>
          </reference>
          <reference field="9" count="1">
            <x v="10"/>
          </reference>
        </references>
      </pivotArea>
    </format>
    <format dxfId="10246">
      <pivotArea dataOnly="0" labelOnly="1" outline="0" fieldPosition="0">
        <references count="6">
          <reference field="1" count="0" selected="0"/>
          <reference field="3" count="1" selected="0">
            <x v="9"/>
          </reference>
          <reference field="4" count="1" selected="0">
            <x v="3"/>
          </reference>
          <reference field="5" count="1" selected="0">
            <x v="92"/>
          </reference>
          <reference field="6" count="1" selected="0">
            <x v="0"/>
          </reference>
          <reference field="9" count="1">
            <x v="7"/>
          </reference>
        </references>
      </pivotArea>
    </format>
    <format dxfId="10245">
      <pivotArea dataOnly="0" labelOnly="1" outline="0" fieldPosition="0">
        <references count="6">
          <reference field="1" count="0" selected="0"/>
          <reference field="3" count="1" selected="0">
            <x v="9"/>
          </reference>
          <reference field="4" count="1" selected="0">
            <x v="3"/>
          </reference>
          <reference field="5" count="1" selected="0">
            <x v="137"/>
          </reference>
          <reference field="6" count="1" selected="0">
            <x v="5"/>
          </reference>
          <reference field="9" count="1">
            <x v="10"/>
          </reference>
        </references>
      </pivotArea>
    </format>
    <format dxfId="10244">
      <pivotArea dataOnly="0" labelOnly="1" outline="0" fieldPosition="0">
        <references count="6">
          <reference field="1" count="0" selected="0"/>
          <reference field="3" count="1" selected="0">
            <x v="9"/>
          </reference>
          <reference field="4" count="1" selected="0">
            <x v="3"/>
          </reference>
          <reference field="5" count="1" selected="0">
            <x v="139"/>
          </reference>
          <reference field="6" count="1" selected="0">
            <x v="5"/>
          </reference>
          <reference field="9" count="1">
            <x v="10"/>
          </reference>
        </references>
      </pivotArea>
    </format>
    <format dxfId="10243">
      <pivotArea dataOnly="0" labelOnly="1" outline="0" fieldPosition="0">
        <references count="6">
          <reference field="1" count="0" selected="0"/>
          <reference field="3" count="1" selected="0">
            <x v="9"/>
          </reference>
          <reference field="4" count="1" selected="0">
            <x v="3"/>
          </reference>
          <reference field="5" count="1" selected="0">
            <x v="213"/>
          </reference>
          <reference field="6" count="1" selected="0">
            <x v="5"/>
          </reference>
          <reference field="9" count="1">
            <x v="10"/>
          </reference>
        </references>
      </pivotArea>
    </format>
    <format dxfId="10242">
      <pivotArea dataOnly="0" labelOnly="1" outline="0" fieldPosition="0">
        <references count="6">
          <reference field="1" count="0" selected="0"/>
          <reference field="3" count="1" selected="0">
            <x v="10"/>
          </reference>
          <reference field="4" count="1" selected="0">
            <x v="3"/>
          </reference>
          <reference field="5" count="1" selected="0">
            <x v="1"/>
          </reference>
          <reference field="6" count="1" selected="0">
            <x v="5"/>
          </reference>
          <reference field="9" count="1">
            <x v="4"/>
          </reference>
        </references>
      </pivotArea>
    </format>
    <format dxfId="10241">
      <pivotArea dataOnly="0" labelOnly="1" outline="0" fieldPosition="0">
        <references count="6">
          <reference field="1" count="0" selected="0"/>
          <reference field="3" count="1" selected="0">
            <x v="10"/>
          </reference>
          <reference field="4" count="1" selected="0">
            <x v="3"/>
          </reference>
          <reference field="5" count="1" selected="0">
            <x v="50"/>
          </reference>
          <reference field="6" count="1" selected="0">
            <x v="5"/>
          </reference>
          <reference field="9" count="1">
            <x v="10"/>
          </reference>
        </references>
      </pivotArea>
    </format>
    <format dxfId="10240">
      <pivotArea dataOnly="0" labelOnly="1" outline="0" fieldPosition="0">
        <references count="6">
          <reference field="1" count="0" selected="0"/>
          <reference field="3" count="1" selected="0">
            <x v="10"/>
          </reference>
          <reference field="4" count="1" selected="0">
            <x v="3"/>
          </reference>
          <reference field="5" count="1" selected="0">
            <x v="54"/>
          </reference>
          <reference field="6" count="1" selected="0">
            <x v="5"/>
          </reference>
          <reference field="9" count="1">
            <x v="7"/>
          </reference>
        </references>
      </pivotArea>
    </format>
    <format dxfId="10239">
      <pivotArea dataOnly="0" labelOnly="1" outline="0" fieldPosition="0">
        <references count="6">
          <reference field="1" count="0" selected="0"/>
          <reference field="3" count="1" selected="0">
            <x v="10"/>
          </reference>
          <reference field="4" count="1" selected="0">
            <x v="3"/>
          </reference>
          <reference field="5" count="1" selected="0">
            <x v="79"/>
          </reference>
          <reference field="6" count="1" selected="0">
            <x v="5"/>
          </reference>
          <reference field="9" count="1">
            <x v="4"/>
          </reference>
        </references>
      </pivotArea>
    </format>
    <format dxfId="10238">
      <pivotArea dataOnly="0" labelOnly="1" outline="0" fieldPosition="0">
        <references count="6">
          <reference field="1" count="0" selected="0"/>
          <reference field="3" count="1" selected="0">
            <x v="10"/>
          </reference>
          <reference field="4" count="1" selected="0">
            <x v="4"/>
          </reference>
          <reference field="5" count="1" selected="0">
            <x v="141"/>
          </reference>
          <reference field="6" count="1" selected="0">
            <x v="6"/>
          </reference>
          <reference field="9" count="1">
            <x v="10"/>
          </reference>
        </references>
      </pivotArea>
    </format>
    <format dxfId="10237">
      <pivotArea dataOnly="0" labelOnly="1" outline="0" fieldPosition="0">
        <references count="6">
          <reference field="1" count="0" selected="0"/>
          <reference field="3" count="1" selected="0">
            <x v="12"/>
          </reference>
          <reference field="4" count="1" selected="0">
            <x v="4"/>
          </reference>
          <reference field="5" count="1" selected="0">
            <x v="78"/>
          </reference>
          <reference field="6" count="1" selected="0">
            <x v="6"/>
          </reference>
          <reference field="9" count="1">
            <x v="7"/>
          </reference>
        </references>
      </pivotArea>
    </format>
    <format dxfId="10236">
      <pivotArea dataOnly="0" labelOnly="1" outline="0" fieldPosition="0">
        <references count="6">
          <reference field="1" count="0" selected="0"/>
          <reference field="3" count="1" selected="0">
            <x v="7"/>
          </reference>
          <reference field="4" count="1" selected="0">
            <x v="3"/>
          </reference>
          <reference field="5" count="1" selected="0">
            <x v="132"/>
          </reference>
          <reference field="6" count="1" selected="0">
            <x v="5"/>
          </reference>
          <reference field="9" count="1">
            <x v="10"/>
          </reference>
        </references>
      </pivotArea>
    </format>
    <format dxfId="10235">
      <pivotArea dataOnly="0" labelOnly="1" outline="0" fieldPosition="0">
        <references count="6">
          <reference field="1" count="0" selected="0"/>
          <reference field="3" count="1" selected="0">
            <x v="9"/>
          </reference>
          <reference field="4" count="1" selected="0">
            <x v="0"/>
          </reference>
          <reference field="5" count="1" selected="0">
            <x v="162"/>
          </reference>
          <reference field="6" count="1" selected="0">
            <x v="5"/>
          </reference>
          <reference field="9" count="1">
            <x v="10"/>
          </reference>
        </references>
      </pivotArea>
    </format>
    <format dxfId="10234">
      <pivotArea dataOnly="0" labelOnly="1" outline="0" fieldPosition="0">
        <references count="6">
          <reference field="1" count="0" selected="0"/>
          <reference field="3" count="1" selected="0">
            <x v="0"/>
          </reference>
          <reference field="4" count="1" selected="0">
            <x v="1"/>
          </reference>
          <reference field="5" count="1" selected="0">
            <x v="117"/>
          </reference>
          <reference field="6" count="1" selected="0">
            <x v="7"/>
          </reference>
          <reference field="9" count="1">
            <x v="10"/>
          </reference>
        </references>
      </pivotArea>
    </format>
    <format dxfId="10233">
      <pivotArea dataOnly="0" labelOnly="1" outline="0" fieldPosition="0">
        <references count="6">
          <reference field="1" count="0" selected="0"/>
          <reference field="3" count="1" selected="0">
            <x v="0"/>
          </reference>
          <reference field="4" count="1" selected="0">
            <x v="1"/>
          </reference>
          <reference field="5" count="1" selected="0">
            <x v="347"/>
          </reference>
          <reference field="6" count="1" selected="0">
            <x v="7"/>
          </reference>
          <reference field="9" count="1">
            <x v="10"/>
          </reference>
        </references>
      </pivotArea>
    </format>
    <format dxfId="10232">
      <pivotArea dataOnly="0" labelOnly="1" outline="0" fieldPosition="0">
        <references count="6">
          <reference field="1" count="0" selected="0"/>
          <reference field="3" count="1" selected="0">
            <x v="0"/>
          </reference>
          <reference field="4" count="1" selected="0">
            <x v="1"/>
          </reference>
          <reference field="5" count="1" selected="0">
            <x v="348"/>
          </reference>
          <reference field="6" count="1" selected="0">
            <x v="7"/>
          </reference>
          <reference field="9" count="1">
            <x v="10"/>
          </reference>
        </references>
      </pivotArea>
    </format>
    <format dxfId="10231">
      <pivotArea dataOnly="0" labelOnly="1" outline="0" fieldPosition="0">
        <references count="6">
          <reference field="1" count="0" selected="0"/>
          <reference field="3" count="1" selected="0">
            <x v="6"/>
          </reference>
          <reference field="4" count="1" selected="0">
            <x v="1"/>
          </reference>
          <reference field="5" count="1" selected="0">
            <x v="327"/>
          </reference>
          <reference field="6" count="1" selected="0">
            <x v="9"/>
          </reference>
          <reference field="9" count="1">
            <x v="4"/>
          </reference>
        </references>
      </pivotArea>
    </format>
    <format dxfId="10230">
      <pivotArea dataOnly="0" labelOnly="1" outline="0" fieldPosition="0">
        <references count="6">
          <reference field="1" count="0" selected="0"/>
          <reference field="3" count="1" selected="0">
            <x v="8"/>
          </reference>
          <reference field="4" count="1" selected="0">
            <x v="0"/>
          </reference>
          <reference field="5" count="1" selected="0">
            <x v="349"/>
          </reference>
          <reference field="6" count="1" selected="0">
            <x v="3"/>
          </reference>
          <reference field="9" count="1">
            <x v="10"/>
          </reference>
        </references>
      </pivotArea>
    </format>
    <format dxfId="10229">
      <pivotArea dataOnly="0" labelOnly="1" outline="0" fieldPosition="0">
        <references count="6">
          <reference field="1" count="0" selected="0"/>
          <reference field="3" count="1" selected="0">
            <x v="6"/>
          </reference>
          <reference field="4" count="1" selected="0">
            <x v="1"/>
          </reference>
          <reference field="5" count="1" selected="0">
            <x v="347"/>
          </reference>
          <reference field="6" count="1" selected="0">
            <x v="9"/>
          </reference>
          <reference field="9" count="1">
            <x v="7"/>
          </reference>
        </references>
      </pivotArea>
    </format>
    <format dxfId="10228">
      <pivotArea dataOnly="0" labelOnly="1" outline="0" fieldPosition="0">
        <references count="6">
          <reference field="1" count="0" selected="0"/>
          <reference field="3" count="1" selected="0">
            <x v="8"/>
          </reference>
          <reference field="4" count="1" selected="0">
            <x v="0"/>
          </reference>
          <reference field="5" count="1" selected="0">
            <x v="350"/>
          </reference>
          <reference field="6" count="1" selected="0">
            <x v="3"/>
          </reference>
          <reference field="9" count="1">
            <x v="10"/>
          </reference>
        </references>
      </pivotArea>
    </format>
    <format dxfId="10227">
      <pivotArea dataOnly="0" labelOnly="1" outline="0" fieldPosition="0">
        <references count="6">
          <reference field="1" count="0" selected="0"/>
          <reference field="3" count="1" selected="0">
            <x v="8"/>
          </reference>
          <reference field="4" count="1" selected="0">
            <x v="0"/>
          </reference>
          <reference field="5" count="1" selected="0">
            <x v="352"/>
          </reference>
          <reference field="6" count="1" selected="0">
            <x v="3"/>
          </reference>
          <reference field="9" count="1">
            <x v="10"/>
          </reference>
        </references>
      </pivotArea>
    </format>
    <format dxfId="10226">
      <pivotArea dataOnly="0" labelOnly="1" outline="0" fieldPosition="0">
        <references count="6">
          <reference field="1" count="0" selected="0"/>
          <reference field="3" count="1" selected="0">
            <x v="8"/>
          </reference>
          <reference field="4" count="1" selected="0">
            <x v="0"/>
          </reference>
          <reference field="5" count="1" selected="0">
            <x v="351"/>
          </reference>
          <reference field="6" count="1" selected="0">
            <x v="3"/>
          </reference>
          <reference field="9" count="1">
            <x v="10"/>
          </reference>
        </references>
      </pivotArea>
    </format>
    <format dxfId="10225">
      <pivotArea dataOnly="0" labelOnly="1" outline="0" fieldPosition="0">
        <references count="6">
          <reference field="1" count="0" selected="0"/>
          <reference field="3" count="1" selected="0">
            <x v="4"/>
          </reference>
          <reference field="4" count="1" selected="0">
            <x v="1"/>
          </reference>
          <reference field="5" count="1" selected="0">
            <x v="347"/>
          </reference>
          <reference field="6" count="1" selected="0">
            <x v="2"/>
          </reference>
          <reference field="9" count="1">
            <x v="4"/>
          </reference>
        </references>
      </pivotArea>
    </format>
    <format dxfId="10224">
      <pivotArea dataOnly="0" labelOnly="1" outline="0" fieldPosition="0">
        <references count="6">
          <reference field="1" count="0" selected="0"/>
          <reference field="3" count="1" selected="0">
            <x v="6"/>
          </reference>
          <reference field="4" count="1" selected="0">
            <x v="0"/>
          </reference>
          <reference field="5" count="1" selected="0">
            <x v="349"/>
          </reference>
          <reference field="6" count="1" selected="0">
            <x v="9"/>
          </reference>
          <reference field="9" count="1">
            <x v="10"/>
          </reference>
        </references>
      </pivotArea>
    </format>
    <format dxfId="10223">
      <pivotArea dataOnly="0" labelOnly="1" outline="0" fieldPosition="0">
        <references count="6">
          <reference field="1" count="0" selected="0"/>
          <reference field="3" count="1" selected="0">
            <x v="9"/>
          </reference>
          <reference field="4" count="1" selected="0">
            <x v="3"/>
          </reference>
          <reference field="5" count="1" selected="0">
            <x v="211"/>
          </reference>
          <reference field="6" count="1" selected="0">
            <x v="3"/>
          </reference>
          <reference field="9" count="1">
            <x v="10"/>
          </reference>
        </references>
      </pivotArea>
    </format>
    <format dxfId="10222">
      <pivotArea dataOnly="0" labelOnly="1" outline="0" fieldPosition="0">
        <references count="6">
          <reference field="1" count="0" selected="0"/>
          <reference field="3" count="1" selected="0">
            <x v="9"/>
          </reference>
          <reference field="4" count="1" selected="0">
            <x v="3"/>
          </reference>
          <reference field="5" count="1" selected="0">
            <x v="212"/>
          </reference>
          <reference field="6" count="1" selected="0">
            <x v="3"/>
          </reference>
          <reference field="9" count="1">
            <x v="10"/>
          </reference>
        </references>
      </pivotArea>
    </format>
    <format dxfId="10221">
      <pivotArea dataOnly="0" labelOnly="1" outline="0" fieldPosition="0">
        <references count="6">
          <reference field="1" count="0" selected="0"/>
          <reference field="3" count="1" selected="0">
            <x v="6"/>
          </reference>
          <reference field="4" count="1" selected="0">
            <x v="0"/>
          </reference>
          <reference field="5" count="1" selected="0">
            <x v="350"/>
          </reference>
          <reference field="6" count="1" selected="0">
            <x v="9"/>
          </reference>
          <reference field="9" count="1">
            <x v="10"/>
          </reference>
        </references>
      </pivotArea>
    </format>
    <format dxfId="10220">
      <pivotArea dataOnly="0" labelOnly="1" outline="0" fieldPosition="0">
        <references count="6">
          <reference field="1" count="0" selected="0"/>
          <reference field="3" count="1" selected="0">
            <x v="9"/>
          </reference>
          <reference field="4" count="1" selected="0">
            <x v="3"/>
          </reference>
          <reference field="5" count="1" selected="0">
            <x v="163"/>
          </reference>
          <reference field="6" count="1" selected="0">
            <x v="3"/>
          </reference>
          <reference field="9" count="1">
            <x v="7"/>
          </reference>
        </references>
      </pivotArea>
    </format>
    <format dxfId="10219">
      <pivotArea dataOnly="0" labelOnly="1" outline="0" fieldPosition="0">
        <references count="6">
          <reference field="1" count="0" selected="0"/>
          <reference field="3" count="1" selected="0">
            <x v="9"/>
          </reference>
          <reference field="4" count="1" selected="0">
            <x v="3"/>
          </reference>
          <reference field="5" count="1" selected="0">
            <x v="213"/>
          </reference>
          <reference field="6" count="1" selected="0">
            <x v="3"/>
          </reference>
          <reference field="9" count="1">
            <x v="10"/>
          </reference>
        </references>
      </pivotArea>
    </format>
    <format dxfId="10218">
      <pivotArea dataOnly="0" labelOnly="1" outline="0" fieldPosition="0">
        <references count="6">
          <reference field="1" count="0" selected="0"/>
          <reference field="3" count="1" selected="0">
            <x v="6"/>
          </reference>
          <reference field="4" count="1" selected="0">
            <x v="0"/>
          </reference>
          <reference field="5" count="1" selected="0">
            <x v="352"/>
          </reference>
          <reference field="6" count="1" selected="0">
            <x v="9"/>
          </reference>
          <reference field="9" count="1">
            <x v="10"/>
          </reference>
        </references>
      </pivotArea>
    </format>
    <format dxfId="10217">
      <pivotArea dataOnly="0" labelOnly="1" outline="0" fieldPosition="0">
        <references count="6">
          <reference field="1" count="0" selected="0"/>
          <reference field="3" count="1" selected="0">
            <x v="6"/>
          </reference>
          <reference field="4" count="1" selected="0">
            <x v="0"/>
          </reference>
          <reference field="5" count="1" selected="0">
            <x v="351"/>
          </reference>
          <reference field="6" count="1" selected="0">
            <x v="9"/>
          </reference>
          <reference field="9" count="1">
            <x v="10"/>
          </reference>
        </references>
      </pivotArea>
    </format>
    <format dxfId="10216">
      <pivotArea dataOnly="0" labelOnly="1" outline="0" fieldPosition="0">
        <references count="6">
          <reference field="1" count="0" selected="0"/>
          <reference field="3" count="1" selected="0">
            <x v="9"/>
          </reference>
          <reference field="4" count="1" selected="0">
            <x v="3"/>
          </reference>
          <reference field="5" count="1" selected="0">
            <x v="161"/>
          </reference>
          <reference field="6" count="1" selected="0">
            <x v="3"/>
          </reference>
          <reference field="9" count="1">
            <x v="7"/>
          </reference>
        </references>
      </pivotArea>
    </format>
    <format dxfId="10215">
      <pivotArea dataOnly="0" labelOnly="1" outline="0" fieldPosition="0">
        <references count="6">
          <reference field="1" count="0" selected="0"/>
          <reference field="3" count="1" selected="0">
            <x v="9"/>
          </reference>
          <reference field="4" count="1" selected="0">
            <x v="6"/>
          </reference>
          <reference field="5" count="1" selected="0">
            <x v="211"/>
          </reference>
          <reference field="6" count="1" selected="0">
            <x v="5"/>
          </reference>
          <reference field="9" count="1">
            <x v="10"/>
          </reference>
        </references>
      </pivotArea>
    </format>
    <format dxfId="10214">
      <pivotArea dataOnly="0" labelOnly="1" outline="0" fieldPosition="0">
        <references count="6">
          <reference field="1" count="0" selected="0"/>
          <reference field="3" count="1" selected="0">
            <x v="9"/>
          </reference>
          <reference field="4" count="1" selected="0">
            <x v="6"/>
          </reference>
          <reference field="5" count="1" selected="0">
            <x v="212"/>
          </reference>
          <reference field="6" count="1" selected="0">
            <x v="5"/>
          </reference>
          <reference field="9" count="1">
            <x v="10"/>
          </reference>
        </references>
      </pivotArea>
    </format>
    <format dxfId="10213">
      <pivotArea dataOnly="0" labelOnly="1" outline="0" fieldPosition="0">
        <references count="6">
          <reference field="1" count="0" selected="0"/>
          <reference field="3" count="1" selected="0">
            <x v="9"/>
          </reference>
          <reference field="4" count="1" selected="0">
            <x v="6"/>
          </reference>
          <reference field="5" count="1" selected="0">
            <x v="163"/>
          </reference>
          <reference field="6" count="1" selected="0">
            <x v="5"/>
          </reference>
          <reference field="9" count="1">
            <x v="7"/>
          </reference>
        </references>
      </pivotArea>
    </format>
    <format dxfId="10212">
      <pivotArea dataOnly="0" labelOnly="1" outline="0" fieldPosition="0">
        <references count="6">
          <reference field="1" count="0" selected="0"/>
          <reference field="3" count="1" selected="0">
            <x v="9"/>
          </reference>
          <reference field="4" count="1" selected="0">
            <x v="6"/>
          </reference>
          <reference field="5" count="1" selected="0">
            <x v="213"/>
          </reference>
          <reference field="6" count="1" selected="0">
            <x v="5"/>
          </reference>
          <reference field="9" count="1">
            <x v="10"/>
          </reference>
        </references>
      </pivotArea>
    </format>
    <format dxfId="10211">
      <pivotArea dataOnly="0" labelOnly="1" outline="0" fieldPosition="0">
        <references count="6">
          <reference field="1" count="0" selected="0"/>
          <reference field="3" count="1" selected="0">
            <x v="9"/>
          </reference>
          <reference field="4" count="1" selected="0">
            <x v="6"/>
          </reference>
          <reference field="5" count="1" selected="0">
            <x v="161"/>
          </reference>
          <reference field="6" count="1" selected="0">
            <x v="5"/>
          </reference>
          <reference field="9" count="1">
            <x v="7"/>
          </reference>
        </references>
      </pivotArea>
    </format>
    <format dxfId="10210">
      <pivotArea field="11" type="button" dataOnly="0" labelOnly="1" outline="0" axis="axisRow" fieldPosition="6"/>
    </format>
    <format dxfId="10209">
      <pivotArea field="12" type="button" dataOnly="0" labelOnly="1" outline="0" axis="axisRow" fieldPosition="7"/>
    </format>
    <format dxfId="10208">
      <pivotArea field="13" type="button" dataOnly="0" labelOnly="1" outline="0" axis="axisRow" fieldPosition="8"/>
    </format>
    <format dxfId="10207">
      <pivotArea field="14" type="button" dataOnly="0" labelOnly="1" outline="0" axis="axisRow" fieldPosition="9"/>
    </format>
    <format dxfId="10206">
      <pivotArea dataOnly="0" labelOnly="1" outline="0" fieldPosition="0">
        <references count="7">
          <reference field="1" count="0" selected="0"/>
          <reference field="3" count="1" selected="0">
            <x v="0"/>
          </reference>
          <reference field="4" count="1" selected="0">
            <x v="3"/>
          </reference>
          <reference field="5" count="1" selected="0">
            <x v="167"/>
          </reference>
          <reference field="6" count="1" selected="0">
            <x v="7"/>
          </reference>
          <reference field="9" count="1" selected="0">
            <x v="10"/>
          </reference>
          <reference field="11" count="1">
            <x v="10"/>
          </reference>
        </references>
      </pivotArea>
    </format>
    <format dxfId="10205">
      <pivotArea dataOnly="0" labelOnly="1" outline="0" fieldPosition="0">
        <references count="7">
          <reference field="1" count="0" selected="0"/>
          <reference field="3" count="1" selected="0">
            <x v="3"/>
          </reference>
          <reference field="4" count="1" selected="0">
            <x v="1"/>
          </reference>
          <reference field="5" count="1" selected="0">
            <x v="196"/>
          </reference>
          <reference field="6" count="1" selected="0">
            <x v="2"/>
          </reference>
          <reference field="9" count="1" selected="0">
            <x v="10"/>
          </reference>
          <reference field="11" count="1">
            <x v="41"/>
          </reference>
        </references>
      </pivotArea>
    </format>
    <format dxfId="10204">
      <pivotArea dataOnly="0" labelOnly="1" outline="0" fieldPosition="0">
        <references count="7">
          <reference field="1" count="0" selected="0"/>
          <reference field="3" count="1" selected="0">
            <x v="3"/>
          </reference>
          <reference field="4" count="1" selected="0">
            <x v="1"/>
          </reference>
          <reference field="5" count="1" selected="0">
            <x v="197"/>
          </reference>
          <reference field="6" count="1" selected="0">
            <x v="2"/>
          </reference>
          <reference field="9" count="1" selected="0">
            <x v="10"/>
          </reference>
          <reference field="11" count="1">
            <x v="16"/>
          </reference>
        </references>
      </pivotArea>
    </format>
    <format dxfId="10203">
      <pivotArea dataOnly="0" labelOnly="1" outline="0" fieldPosition="0">
        <references count="7">
          <reference field="1" count="0" selected="0"/>
          <reference field="3" count="1" selected="0">
            <x v="3"/>
          </reference>
          <reference field="4" count="1" selected="0">
            <x v="1"/>
          </reference>
          <reference field="5" count="1" selected="0">
            <x v="205"/>
          </reference>
          <reference field="6" count="1" selected="0">
            <x v="2"/>
          </reference>
          <reference field="9" count="1" selected="0">
            <x v="10"/>
          </reference>
          <reference field="11" count="1">
            <x v="26"/>
          </reference>
        </references>
      </pivotArea>
    </format>
    <format dxfId="10202">
      <pivotArea dataOnly="0" labelOnly="1" outline="0" fieldPosition="0">
        <references count="7">
          <reference field="1" count="0" selected="0"/>
          <reference field="3" count="1" selected="0">
            <x v="4"/>
          </reference>
          <reference field="4" count="1" selected="0">
            <x v="1"/>
          </reference>
          <reference field="5" count="1" selected="0">
            <x v="100"/>
          </reference>
          <reference field="6" count="1" selected="0">
            <x v="2"/>
          </reference>
          <reference field="9" count="1" selected="0">
            <x v="2"/>
          </reference>
          <reference field="11" count="1">
            <x v="37"/>
          </reference>
        </references>
      </pivotArea>
    </format>
    <format dxfId="10201">
      <pivotArea dataOnly="0" labelOnly="1" outline="0" fieldPosition="0">
        <references count="7">
          <reference field="1" count="0" selected="0"/>
          <reference field="3" count="1" selected="0">
            <x v="4"/>
          </reference>
          <reference field="4" count="1" selected="0">
            <x v="1"/>
          </reference>
          <reference field="5" count="1" selected="0">
            <x v="116"/>
          </reference>
          <reference field="6" count="1" selected="0">
            <x v="2"/>
          </reference>
          <reference field="9" count="1" selected="0">
            <x v="10"/>
          </reference>
          <reference field="11" count="1">
            <x v="14"/>
          </reference>
        </references>
      </pivotArea>
    </format>
    <format dxfId="10200">
      <pivotArea dataOnly="0" labelOnly="1" outline="0" fieldPosition="0">
        <references count="7">
          <reference field="1" count="0" selected="0"/>
          <reference field="3" count="1" selected="0">
            <x v="4"/>
          </reference>
          <reference field="4" count="1" selected="0">
            <x v="1"/>
          </reference>
          <reference field="5" count="1" selected="0">
            <x v="218"/>
          </reference>
          <reference field="6" count="1" selected="0">
            <x v="2"/>
          </reference>
          <reference field="9" count="1" selected="0">
            <x v="10"/>
          </reference>
          <reference field="11" count="1">
            <x v="47"/>
          </reference>
        </references>
      </pivotArea>
    </format>
    <format dxfId="10199">
      <pivotArea dataOnly="0" labelOnly="1" outline="0" fieldPosition="0">
        <references count="7">
          <reference field="1" count="0" selected="0"/>
          <reference field="3" count="1" selected="0">
            <x v="4"/>
          </reference>
          <reference field="4" count="1" selected="0">
            <x v="1"/>
          </reference>
          <reference field="5" count="1" selected="0">
            <x v="332"/>
          </reference>
          <reference field="6" count="1" selected="0">
            <x v="2"/>
          </reference>
          <reference field="9" count="1" selected="0">
            <x v="10"/>
          </reference>
          <reference field="11" count="1">
            <x v="14"/>
          </reference>
        </references>
      </pivotArea>
    </format>
    <format dxfId="10198">
      <pivotArea dataOnly="0" labelOnly="1" outline="0" fieldPosition="0">
        <references count="7">
          <reference field="1" count="0" selected="0"/>
          <reference field="3" count="1" selected="0">
            <x v="4"/>
          </reference>
          <reference field="4" count="1" selected="0">
            <x v="1"/>
          </reference>
          <reference field="5" count="1" selected="0">
            <x v="347"/>
          </reference>
          <reference field="6" count="1" selected="0">
            <x v="2"/>
          </reference>
          <reference field="9" count="1" selected="0">
            <x v="4"/>
          </reference>
          <reference field="11" count="1">
            <x v="34"/>
          </reference>
        </references>
      </pivotArea>
    </format>
    <format dxfId="10197">
      <pivotArea dataOnly="0" labelOnly="1" outline="0" fieldPosition="0">
        <references count="7">
          <reference field="1" count="0" selected="0"/>
          <reference field="3" count="1" selected="0">
            <x v="6"/>
          </reference>
          <reference field="4" count="1" selected="0">
            <x v="0"/>
          </reference>
          <reference field="5" count="1" selected="0">
            <x v="113"/>
          </reference>
          <reference field="6" count="1" selected="0">
            <x v="9"/>
          </reference>
          <reference field="9" count="1" selected="0">
            <x v="10"/>
          </reference>
          <reference field="11" count="1">
            <x v="50"/>
          </reference>
        </references>
      </pivotArea>
    </format>
    <format dxfId="10196">
      <pivotArea dataOnly="0" labelOnly="1" outline="0" fieldPosition="0">
        <references count="7">
          <reference field="1" count="0" selected="0"/>
          <reference field="3" count="1" selected="0">
            <x v="6"/>
          </reference>
          <reference field="4" count="1" selected="0">
            <x v="0"/>
          </reference>
          <reference field="5" count="1" selected="0">
            <x v="126"/>
          </reference>
          <reference field="6" count="1" selected="0">
            <x v="9"/>
          </reference>
          <reference field="9" count="1" selected="0">
            <x v="10"/>
          </reference>
          <reference field="11" count="1">
            <x v="32"/>
          </reference>
        </references>
      </pivotArea>
    </format>
    <format dxfId="10195">
      <pivotArea dataOnly="0" labelOnly="1" outline="0" fieldPosition="0">
        <references count="7">
          <reference field="1" count="0" selected="0"/>
          <reference field="3" count="1" selected="0">
            <x v="6"/>
          </reference>
          <reference field="4" count="1" selected="0">
            <x v="0"/>
          </reference>
          <reference field="5" count="1" selected="0">
            <x v="145"/>
          </reference>
          <reference field="6" count="1" selected="0">
            <x v="9"/>
          </reference>
          <reference field="9" count="1" selected="0">
            <x v="10"/>
          </reference>
          <reference field="11" count="1">
            <x v="14"/>
          </reference>
        </references>
      </pivotArea>
    </format>
    <format dxfId="10194">
      <pivotArea dataOnly="0" labelOnly="1" outline="0" fieldPosition="0">
        <references count="7">
          <reference field="1" count="0" selected="0"/>
          <reference field="3" count="1" selected="0">
            <x v="6"/>
          </reference>
          <reference field="4" count="1" selected="0">
            <x v="0"/>
          </reference>
          <reference field="5" count="1" selected="0">
            <x v="146"/>
          </reference>
          <reference field="6" count="1" selected="0">
            <x v="9"/>
          </reference>
          <reference field="9" count="1" selected="0">
            <x v="10"/>
          </reference>
          <reference field="11" count="1">
            <x v="8"/>
          </reference>
        </references>
      </pivotArea>
    </format>
    <format dxfId="10193">
      <pivotArea dataOnly="0" labelOnly="1" outline="0" fieldPosition="0">
        <references count="7">
          <reference field="1" count="0" selected="0"/>
          <reference field="3" count="1" selected="0">
            <x v="6"/>
          </reference>
          <reference field="4" count="1" selected="0">
            <x v="0"/>
          </reference>
          <reference field="5" count="1" selected="0">
            <x v="165"/>
          </reference>
          <reference field="6" count="1" selected="0">
            <x v="9"/>
          </reference>
          <reference field="9" count="1" selected="0">
            <x v="10"/>
          </reference>
          <reference field="11" count="1">
            <x v="14"/>
          </reference>
        </references>
      </pivotArea>
    </format>
    <format dxfId="10192">
      <pivotArea dataOnly="0" labelOnly="1" outline="0" fieldPosition="0">
        <references count="7">
          <reference field="1" count="0" selected="0"/>
          <reference field="3" count="1" selected="0">
            <x v="6"/>
          </reference>
          <reference field="4" count="1" selected="0">
            <x v="0"/>
          </reference>
          <reference field="5" count="1" selected="0">
            <x v="174"/>
          </reference>
          <reference field="6" count="1" selected="0">
            <x v="9"/>
          </reference>
          <reference field="9" count="1" selected="0">
            <x v="10"/>
          </reference>
          <reference field="11" count="1">
            <x v="13"/>
          </reference>
        </references>
      </pivotArea>
    </format>
    <format dxfId="10191">
      <pivotArea dataOnly="0" labelOnly="1" outline="0" fieldPosition="0">
        <references count="7">
          <reference field="1" count="0" selected="0"/>
          <reference field="3" count="1" selected="0">
            <x v="6"/>
          </reference>
          <reference field="4" count="1" selected="0">
            <x v="0"/>
          </reference>
          <reference field="5" count="1" selected="0">
            <x v="175"/>
          </reference>
          <reference field="6" count="1" selected="0">
            <x v="9"/>
          </reference>
          <reference field="9" count="1" selected="0">
            <x v="10"/>
          </reference>
          <reference field="11" count="1">
            <x v="14"/>
          </reference>
        </references>
      </pivotArea>
    </format>
    <format dxfId="10190">
      <pivotArea dataOnly="0" labelOnly="1" outline="0" fieldPosition="0">
        <references count="7">
          <reference field="1" count="0" selected="0"/>
          <reference field="3" count="1" selected="0">
            <x v="6"/>
          </reference>
          <reference field="4" count="1" selected="0">
            <x v="0"/>
          </reference>
          <reference field="5" count="1" selected="0">
            <x v="182"/>
          </reference>
          <reference field="6" count="1" selected="0">
            <x v="9"/>
          </reference>
          <reference field="9" count="1" selected="0">
            <x v="10"/>
          </reference>
          <reference field="11" count="1">
            <x v="14"/>
          </reference>
        </references>
      </pivotArea>
    </format>
    <format dxfId="10189">
      <pivotArea dataOnly="0" labelOnly="1" outline="0" fieldPosition="0">
        <references count="7">
          <reference field="1" count="0" selected="0"/>
          <reference field="3" count="1" selected="0">
            <x v="6"/>
          </reference>
          <reference field="4" count="1" selected="0">
            <x v="0"/>
          </reference>
          <reference field="5" count="1" selected="0">
            <x v="189"/>
          </reference>
          <reference field="6" count="1" selected="0">
            <x v="9"/>
          </reference>
          <reference field="9" count="1" selected="0">
            <x v="10"/>
          </reference>
          <reference field="11" count="1">
            <x v="26"/>
          </reference>
        </references>
      </pivotArea>
    </format>
    <format dxfId="10188">
      <pivotArea dataOnly="0" labelOnly="1" outline="0" fieldPosition="0">
        <references count="7">
          <reference field="1" count="0" selected="0"/>
          <reference field="3" count="1" selected="0">
            <x v="6"/>
          </reference>
          <reference field="4" count="1" selected="0">
            <x v="0"/>
          </reference>
          <reference field="5" count="1" selected="0">
            <x v="190"/>
          </reference>
          <reference field="6" count="1" selected="0">
            <x v="9"/>
          </reference>
          <reference field="9" count="1" selected="0">
            <x v="10"/>
          </reference>
          <reference field="11" count="1">
            <x v="14"/>
          </reference>
        </references>
      </pivotArea>
    </format>
    <format dxfId="10187">
      <pivotArea dataOnly="0" labelOnly="1" outline="0" fieldPosition="0">
        <references count="7">
          <reference field="1" count="0" selected="0"/>
          <reference field="3" count="1" selected="0">
            <x v="6"/>
          </reference>
          <reference field="4" count="1" selected="0">
            <x v="0"/>
          </reference>
          <reference field="5" count="1" selected="0">
            <x v="343"/>
          </reference>
          <reference field="6" count="1" selected="0">
            <x v="9"/>
          </reference>
          <reference field="9" count="1" selected="0">
            <x v="10"/>
          </reference>
          <reference field="11" count="1">
            <x v="29"/>
          </reference>
        </references>
      </pivotArea>
    </format>
    <format dxfId="10186">
      <pivotArea dataOnly="0" labelOnly="1" outline="0" fieldPosition="0">
        <references count="7">
          <reference field="1" count="0" selected="0"/>
          <reference field="3" count="1" selected="0">
            <x v="6"/>
          </reference>
          <reference field="4" count="1" selected="0">
            <x v="0"/>
          </reference>
          <reference field="5" count="1" selected="0">
            <x v="349"/>
          </reference>
          <reference field="6" count="1" selected="0">
            <x v="9"/>
          </reference>
          <reference field="9" count="1" selected="0">
            <x v="10"/>
          </reference>
          <reference field="11" count="1">
            <x v="56"/>
          </reference>
        </references>
      </pivotArea>
    </format>
    <format dxfId="10185">
      <pivotArea dataOnly="0" labelOnly="1" outline="0" fieldPosition="0">
        <references count="7">
          <reference field="1" count="0" selected="0"/>
          <reference field="3" count="1" selected="0">
            <x v="8"/>
          </reference>
          <reference field="4" count="1" selected="0">
            <x v="3"/>
          </reference>
          <reference field="5" count="1" selected="0">
            <x v="135"/>
          </reference>
          <reference field="6" count="1" selected="0">
            <x v="3"/>
          </reference>
          <reference field="9" count="1" selected="0">
            <x v="10"/>
          </reference>
          <reference field="11" count="1">
            <x v="14"/>
          </reference>
        </references>
      </pivotArea>
    </format>
    <format dxfId="10184">
      <pivotArea dataOnly="0" labelOnly="1" outline="0" fieldPosition="0">
        <references count="7">
          <reference field="1" count="0" selected="0"/>
          <reference field="3" count="1" selected="0">
            <x v="8"/>
          </reference>
          <reference field="4" count="1" selected="0">
            <x v="3"/>
          </reference>
          <reference field="5" count="1" selected="0">
            <x v="136"/>
          </reference>
          <reference field="6" count="1" selected="0">
            <x v="3"/>
          </reference>
          <reference field="9" count="1" selected="0">
            <x v="10"/>
          </reference>
          <reference field="11" count="1">
            <x v="16"/>
          </reference>
        </references>
      </pivotArea>
    </format>
    <format dxfId="10183">
      <pivotArea dataOnly="0" labelOnly="1" outline="0" fieldPosition="0">
        <references count="7">
          <reference field="1" count="0" selected="0"/>
          <reference field="3" count="1" selected="0">
            <x v="9"/>
          </reference>
          <reference field="4" count="1" selected="0">
            <x v="6"/>
          </reference>
          <reference field="5" count="1" selected="0">
            <x v="211"/>
          </reference>
          <reference field="6" count="1" selected="0">
            <x v="5"/>
          </reference>
          <reference field="9" count="1" selected="0">
            <x v="10"/>
          </reference>
          <reference field="11" count="1">
            <x v="14"/>
          </reference>
        </references>
      </pivotArea>
    </format>
    <format dxfId="10182">
      <pivotArea dataOnly="0" labelOnly="1" outline="0" fieldPosition="0">
        <references count="8">
          <reference field="1" count="0" selected="0"/>
          <reference field="3" count="1" selected="0">
            <x v="0"/>
          </reference>
          <reference field="4" count="1" selected="0">
            <x v="3"/>
          </reference>
          <reference field="5" count="1" selected="0">
            <x v="167"/>
          </reference>
          <reference field="6" count="1" selected="0">
            <x v="7"/>
          </reference>
          <reference field="9" count="1" selected="0">
            <x v="10"/>
          </reference>
          <reference field="11" count="1" selected="0">
            <x v="10"/>
          </reference>
          <reference field="12" count="1">
            <x v="28"/>
          </reference>
        </references>
      </pivotArea>
    </format>
    <format dxfId="10181">
      <pivotArea dataOnly="0" labelOnly="1" outline="0" fieldPosition="0">
        <references count="8">
          <reference field="1" count="0" selected="0"/>
          <reference field="3" count="1" selected="0">
            <x v="3"/>
          </reference>
          <reference field="4" count="1" selected="0">
            <x v="1"/>
          </reference>
          <reference field="5" count="1" selected="0">
            <x v="196"/>
          </reference>
          <reference field="6" count="1" selected="0">
            <x v="2"/>
          </reference>
          <reference field="9" count="1" selected="0">
            <x v="10"/>
          </reference>
          <reference field="11" count="1" selected="0">
            <x v="41"/>
          </reference>
          <reference field="12" count="1">
            <x v="8"/>
          </reference>
        </references>
      </pivotArea>
    </format>
    <format dxfId="10180">
      <pivotArea dataOnly="0" labelOnly="1" outline="0" fieldPosition="0">
        <references count="8">
          <reference field="1" count="0" selected="0"/>
          <reference field="3" count="1" selected="0">
            <x v="3"/>
          </reference>
          <reference field="4" count="1" selected="0">
            <x v="1"/>
          </reference>
          <reference field="5" count="1" selected="0">
            <x v="205"/>
          </reference>
          <reference field="6" count="1" selected="0">
            <x v="2"/>
          </reference>
          <reference field="9" count="1" selected="0">
            <x v="10"/>
          </reference>
          <reference field="11" count="1" selected="0">
            <x v="26"/>
          </reference>
          <reference field="12" count="1">
            <x v="26"/>
          </reference>
        </references>
      </pivotArea>
    </format>
    <format dxfId="10179">
      <pivotArea dataOnly="0" labelOnly="1" outline="0" fieldPosition="0">
        <references count="8">
          <reference field="1" count="0" selected="0"/>
          <reference field="3" count="1" selected="0">
            <x v="4"/>
          </reference>
          <reference field="4" count="1" selected="0">
            <x v="1"/>
          </reference>
          <reference field="5" count="1" selected="0">
            <x v="100"/>
          </reference>
          <reference field="6" count="1" selected="0">
            <x v="2"/>
          </reference>
          <reference field="9" count="1" selected="0">
            <x v="2"/>
          </reference>
          <reference field="11" count="1" selected="0">
            <x v="37"/>
          </reference>
          <reference field="12" count="1">
            <x v="2"/>
          </reference>
        </references>
      </pivotArea>
    </format>
    <format dxfId="10178">
      <pivotArea dataOnly="0" labelOnly="1" outline="0" fieldPosition="0">
        <references count="8">
          <reference field="1" count="0" selected="0"/>
          <reference field="3" count="1" selected="0">
            <x v="4"/>
          </reference>
          <reference field="4" count="1" selected="0">
            <x v="1"/>
          </reference>
          <reference field="5" count="1" selected="0">
            <x v="116"/>
          </reference>
          <reference field="6" count="1" selected="0">
            <x v="2"/>
          </reference>
          <reference field="9" count="1" selected="0">
            <x v="10"/>
          </reference>
          <reference field="11" count="1" selected="0">
            <x v="14"/>
          </reference>
          <reference field="12" count="1">
            <x v="5"/>
          </reference>
        </references>
      </pivotArea>
    </format>
    <format dxfId="10177">
      <pivotArea dataOnly="0" labelOnly="1" outline="0" fieldPosition="0">
        <references count="8">
          <reference field="1" count="0" selected="0"/>
          <reference field="3" count="1" selected="0">
            <x v="4"/>
          </reference>
          <reference field="4" count="1" selected="0">
            <x v="1"/>
          </reference>
          <reference field="5" count="1" selected="0">
            <x v="218"/>
          </reference>
          <reference field="6" count="1" selected="0">
            <x v="2"/>
          </reference>
          <reference field="9" count="1" selected="0">
            <x v="10"/>
          </reference>
          <reference field="11" count="1" selected="0">
            <x v="47"/>
          </reference>
          <reference field="12" count="1">
            <x v="0"/>
          </reference>
        </references>
      </pivotArea>
    </format>
    <format dxfId="10176">
      <pivotArea dataOnly="0" labelOnly="1" outline="0" fieldPosition="0">
        <references count="8">
          <reference field="1" count="0" selected="0"/>
          <reference field="3" count="1" selected="0">
            <x v="6"/>
          </reference>
          <reference field="4" count="1" selected="0">
            <x v="0"/>
          </reference>
          <reference field="5" count="1" selected="0">
            <x v="126"/>
          </reference>
          <reference field="6" count="1" selected="0">
            <x v="9"/>
          </reference>
          <reference field="9" count="1" selected="0">
            <x v="10"/>
          </reference>
          <reference field="11" count="1" selected="0">
            <x v="32"/>
          </reference>
          <reference field="12" count="1">
            <x v="8"/>
          </reference>
        </references>
      </pivotArea>
    </format>
    <format dxfId="10175">
      <pivotArea dataOnly="0" labelOnly="1" outline="0" fieldPosition="0">
        <references count="8">
          <reference field="1" count="0" selected="0"/>
          <reference field="3" count="1" selected="0">
            <x v="6"/>
          </reference>
          <reference field="4" count="1" selected="0">
            <x v="0"/>
          </reference>
          <reference field="5" count="1" selected="0">
            <x v="146"/>
          </reference>
          <reference field="6" count="1" selected="0">
            <x v="9"/>
          </reference>
          <reference field="9" count="1" selected="0">
            <x v="10"/>
          </reference>
          <reference field="11" count="1" selected="0">
            <x v="8"/>
          </reference>
          <reference field="12" count="1">
            <x v="21"/>
          </reference>
        </references>
      </pivotArea>
    </format>
    <format dxfId="10174">
      <pivotArea dataOnly="0" labelOnly="1" outline="0" fieldPosition="0">
        <references count="8">
          <reference field="1" count="0" selected="0"/>
          <reference field="3" count="1" selected="0">
            <x v="6"/>
          </reference>
          <reference field="4" count="1" selected="0">
            <x v="0"/>
          </reference>
          <reference field="5" count="1" selected="0">
            <x v="165"/>
          </reference>
          <reference field="6" count="1" selected="0">
            <x v="9"/>
          </reference>
          <reference field="9" count="1" selected="0">
            <x v="10"/>
          </reference>
          <reference field="11" count="1" selected="0">
            <x v="14"/>
          </reference>
          <reference field="12" count="1">
            <x v="3"/>
          </reference>
        </references>
      </pivotArea>
    </format>
    <format dxfId="10173">
      <pivotArea dataOnly="0" labelOnly="1" outline="0" fieldPosition="0">
        <references count="8">
          <reference field="1" count="0" selected="0"/>
          <reference field="3" count="1" selected="0">
            <x v="6"/>
          </reference>
          <reference field="4" count="1" selected="0">
            <x v="0"/>
          </reference>
          <reference field="5" count="1" selected="0">
            <x v="174"/>
          </reference>
          <reference field="6" count="1" selected="0">
            <x v="9"/>
          </reference>
          <reference field="9" count="1" selected="0">
            <x v="10"/>
          </reference>
          <reference field="11" count="1" selected="0">
            <x v="13"/>
          </reference>
          <reference field="12" count="1">
            <x v="14"/>
          </reference>
        </references>
      </pivotArea>
    </format>
    <format dxfId="10172">
      <pivotArea dataOnly="0" labelOnly="1" outline="0" fieldPosition="0">
        <references count="8">
          <reference field="1" count="0" selected="0"/>
          <reference field="3" count="1" selected="0">
            <x v="6"/>
          </reference>
          <reference field="4" count="1" selected="0">
            <x v="0"/>
          </reference>
          <reference field="5" count="1" selected="0">
            <x v="175"/>
          </reference>
          <reference field="6" count="1" selected="0">
            <x v="9"/>
          </reference>
          <reference field="9" count="1" selected="0">
            <x v="10"/>
          </reference>
          <reference field="11" count="1" selected="0">
            <x v="14"/>
          </reference>
          <reference field="12" count="1">
            <x v="15"/>
          </reference>
        </references>
      </pivotArea>
    </format>
    <format dxfId="10171">
      <pivotArea dataOnly="0" labelOnly="1" outline="0" fieldPosition="0">
        <references count="8">
          <reference field="1" count="0" selected="0"/>
          <reference field="3" count="1" selected="0">
            <x v="6"/>
          </reference>
          <reference field="4" count="1" selected="0">
            <x v="0"/>
          </reference>
          <reference field="5" count="1" selected="0">
            <x v="182"/>
          </reference>
          <reference field="6" count="1" selected="0">
            <x v="9"/>
          </reference>
          <reference field="9" count="1" selected="0">
            <x v="10"/>
          </reference>
          <reference field="11" count="1" selected="0">
            <x v="14"/>
          </reference>
          <reference field="12" count="1">
            <x v="3"/>
          </reference>
        </references>
      </pivotArea>
    </format>
    <format dxfId="10170">
      <pivotArea dataOnly="0" labelOnly="1" outline="0" fieldPosition="0">
        <references count="8">
          <reference field="1" count="0" selected="0"/>
          <reference field="3" count="1" selected="0">
            <x v="6"/>
          </reference>
          <reference field="4" count="1" selected="0">
            <x v="0"/>
          </reference>
          <reference field="5" count="1" selected="0">
            <x v="189"/>
          </reference>
          <reference field="6" count="1" selected="0">
            <x v="9"/>
          </reference>
          <reference field="9" count="1" selected="0">
            <x v="10"/>
          </reference>
          <reference field="11" count="1" selected="0">
            <x v="26"/>
          </reference>
          <reference field="12" count="1">
            <x v="26"/>
          </reference>
        </references>
      </pivotArea>
    </format>
    <format dxfId="10169">
      <pivotArea dataOnly="0" labelOnly="1" outline="0" fieldPosition="0">
        <references count="8">
          <reference field="1" count="0" selected="0"/>
          <reference field="3" count="1" selected="0">
            <x v="6"/>
          </reference>
          <reference field="4" count="1" selected="0">
            <x v="0"/>
          </reference>
          <reference field="5" count="1" selected="0">
            <x v="190"/>
          </reference>
          <reference field="6" count="1" selected="0">
            <x v="9"/>
          </reference>
          <reference field="9" count="1" selected="0">
            <x v="10"/>
          </reference>
          <reference field="11" count="1" selected="0">
            <x v="14"/>
          </reference>
          <reference field="12" count="1">
            <x v="10"/>
          </reference>
        </references>
      </pivotArea>
    </format>
    <format dxfId="10168">
      <pivotArea dataOnly="0" labelOnly="1" outline="0" fieldPosition="0">
        <references count="8">
          <reference field="1" count="0" selected="0"/>
          <reference field="3" count="1" selected="0">
            <x v="6"/>
          </reference>
          <reference field="4" count="1" selected="0">
            <x v="0"/>
          </reference>
          <reference field="5" count="1" selected="0">
            <x v="343"/>
          </reference>
          <reference field="6" count="1" selected="0">
            <x v="9"/>
          </reference>
          <reference field="9" count="1" selected="0">
            <x v="10"/>
          </reference>
          <reference field="11" count="1" selected="0">
            <x v="29"/>
          </reference>
          <reference field="12" count="1">
            <x v="6"/>
          </reference>
        </references>
      </pivotArea>
    </format>
    <format dxfId="10167">
      <pivotArea dataOnly="0" labelOnly="1" outline="0" fieldPosition="0">
        <references count="8">
          <reference field="1" count="0" selected="0"/>
          <reference field="3" count="1" selected="0">
            <x v="6"/>
          </reference>
          <reference field="4" count="1" selected="0">
            <x v="0"/>
          </reference>
          <reference field="5" count="1" selected="0">
            <x v="349"/>
          </reference>
          <reference field="6" count="1" selected="0">
            <x v="9"/>
          </reference>
          <reference field="9" count="1" selected="0">
            <x v="10"/>
          </reference>
          <reference field="11" count="1" selected="0">
            <x v="56"/>
          </reference>
          <reference field="12" count="1">
            <x v="8"/>
          </reference>
        </references>
      </pivotArea>
    </format>
    <format dxfId="10166">
      <pivotArea dataOnly="0" labelOnly="1" outline="0" fieldPosition="0">
        <references count="8">
          <reference field="1" count="0" selected="0"/>
          <reference field="3" count="1" selected="0">
            <x v="9"/>
          </reference>
          <reference field="4" count="1" selected="0">
            <x v="6"/>
          </reference>
          <reference field="5" count="1" selected="0">
            <x v="211"/>
          </reference>
          <reference field="6" count="1" selected="0">
            <x v="5"/>
          </reference>
          <reference field="9" count="1" selected="0">
            <x v="10"/>
          </reference>
          <reference field="11" count="1" selected="0">
            <x v="14"/>
          </reference>
          <reference field="12" count="1">
            <x v="31"/>
          </reference>
        </references>
      </pivotArea>
    </format>
    <format dxfId="10165">
      <pivotArea dataOnly="0" labelOnly="1" outline="0" fieldPosition="0">
        <references count="8">
          <reference field="1" count="0" selected="0"/>
          <reference field="3" count="1" selected="0">
            <x v="9"/>
          </reference>
          <reference field="4" count="1" selected="0">
            <x v="6"/>
          </reference>
          <reference field="5" count="1" selected="0">
            <x v="212"/>
          </reference>
          <reference field="6" count="1" selected="0">
            <x v="5"/>
          </reference>
          <reference field="9" count="1" selected="0">
            <x v="10"/>
          </reference>
          <reference field="11" count="1" selected="0">
            <x v="14"/>
          </reference>
          <reference field="12" count="1">
            <x v="3"/>
          </reference>
        </references>
      </pivotArea>
    </format>
    <format dxfId="10164">
      <pivotArea dataOnly="0" labelOnly="1" outline="0" fieldPosition="0">
        <references count="9">
          <reference field="1" count="0" selected="0"/>
          <reference field="3" count="1" selected="0">
            <x v="0"/>
          </reference>
          <reference field="4" count="1" selected="0">
            <x v="3"/>
          </reference>
          <reference field="5" count="1" selected="0">
            <x v="167"/>
          </reference>
          <reference field="6" count="1" selected="0">
            <x v="7"/>
          </reference>
          <reference field="9" count="1" selected="0">
            <x v="10"/>
          </reference>
          <reference field="11" count="1" selected="0">
            <x v="10"/>
          </reference>
          <reference field="12" count="1" selected="0">
            <x v="28"/>
          </reference>
          <reference field="13" count="1">
            <x v="3"/>
          </reference>
        </references>
      </pivotArea>
    </format>
    <format dxfId="10163">
      <pivotArea dataOnly="0" labelOnly="1" outline="0" fieldPosition="0">
        <references count="9">
          <reference field="1" count="0" selected="0"/>
          <reference field="3" count="1" selected="0">
            <x v="3"/>
          </reference>
          <reference field="4" count="1" selected="0">
            <x v="1"/>
          </reference>
          <reference field="5" count="1" selected="0">
            <x v="205"/>
          </reference>
          <reference field="6" count="1" selected="0">
            <x v="2"/>
          </reference>
          <reference field="9" count="1" selected="0">
            <x v="10"/>
          </reference>
          <reference field="11" count="1" selected="0">
            <x v="26"/>
          </reference>
          <reference field="12" count="1" selected="0">
            <x v="26"/>
          </reference>
          <reference field="13" count="1">
            <x v="3"/>
          </reference>
        </references>
      </pivotArea>
    </format>
    <format dxfId="10162">
      <pivotArea dataOnly="0" labelOnly="1" outline="0" fieldPosition="0">
        <references count="9">
          <reference field="1" count="0" selected="0"/>
          <reference field="3" count="1" selected="0">
            <x v="4"/>
          </reference>
          <reference field="4" count="1" selected="0">
            <x v="1"/>
          </reference>
          <reference field="5" count="1" selected="0">
            <x v="218"/>
          </reference>
          <reference field="6" count="1" selected="0">
            <x v="2"/>
          </reference>
          <reference field="9" count="1" selected="0">
            <x v="10"/>
          </reference>
          <reference field="11" count="1" selected="0">
            <x v="47"/>
          </reference>
          <reference field="12" count="1" selected="0">
            <x v="0"/>
          </reference>
          <reference field="13" count="1">
            <x v="4"/>
          </reference>
        </references>
      </pivotArea>
    </format>
    <format dxfId="10161">
      <pivotArea dataOnly="0" labelOnly="1" outline="0" fieldPosition="0">
        <references count="9">
          <reference field="1" count="0" selected="0"/>
          <reference field="3" count="1" selected="0">
            <x v="4"/>
          </reference>
          <reference field="4" count="1" selected="0">
            <x v="1"/>
          </reference>
          <reference field="5" count="1" selected="0">
            <x v="332"/>
          </reference>
          <reference field="6" count="1" selected="0">
            <x v="2"/>
          </reference>
          <reference field="9" count="1" selected="0">
            <x v="10"/>
          </reference>
          <reference field="11" count="1" selected="0">
            <x v="14"/>
          </reference>
          <reference field="12" count="1" selected="0">
            <x v="8"/>
          </reference>
          <reference field="13" count="1">
            <x v="3"/>
          </reference>
        </references>
      </pivotArea>
    </format>
    <format dxfId="10160">
      <pivotArea dataOnly="0" labelOnly="1" outline="0" fieldPosition="0">
        <references count="9">
          <reference field="1" count="0" selected="0"/>
          <reference field="3" count="1" selected="0">
            <x v="6"/>
          </reference>
          <reference field="4" count="1" selected="0">
            <x v="0"/>
          </reference>
          <reference field="5" count="1" selected="0">
            <x v="126"/>
          </reference>
          <reference field="6" count="1" selected="0">
            <x v="9"/>
          </reference>
          <reference field="9" count="1" selected="0">
            <x v="10"/>
          </reference>
          <reference field="11" count="1" selected="0">
            <x v="32"/>
          </reference>
          <reference field="12" count="1" selected="0">
            <x v="8"/>
          </reference>
          <reference field="13" count="1">
            <x v="3"/>
          </reference>
        </references>
      </pivotArea>
    </format>
    <format dxfId="10159">
      <pivotArea dataOnly="0" labelOnly="1" outline="0" fieldPosition="0">
        <references count="10">
          <reference field="1" count="0" selected="0"/>
          <reference field="3" count="1" selected="0">
            <x v="0"/>
          </reference>
          <reference field="4" count="1" selected="0">
            <x v="3"/>
          </reference>
          <reference field="5" count="1" selected="0">
            <x v="167"/>
          </reference>
          <reference field="6" count="1" selected="0">
            <x v="7"/>
          </reference>
          <reference field="9" count="1" selected="0">
            <x v="10"/>
          </reference>
          <reference field="11" count="1" selected="0">
            <x v="10"/>
          </reference>
          <reference field="12" count="1" selected="0">
            <x v="28"/>
          </reference>
          <reference field="13" count="1" selected="0">
            <x v="3"/>
          </reference>
          <reference field="14" count="1">
            <x v="53"/>
          </reference>
        </references>
      </pivotArea>
    </format>
    <format dxfId="10158">
      <pivotArea dataOnly="0" labelOnly="1" outline="0" fieldPosition="0">
        <references count="10">
          <reference field="1" count="0" selected="0"/>
          <reference field="3" count="1" selected="0">
            <x v="3"/>
          </reference>
          <reference field="4" count="1" selected="0">
            <x v="1"/>
          </reference>
          <reference field="5" count="1" selected="0">
            <x v="196"/>
          </reference>
          <reference field="6" count="1" selected="0">
            <x v="2"/>
          </reference>
          <reference field="9" count="1" selected="0">
            <x v="10"/>
          </reference>
          <reference field="11" count="1" selected="0">
            <x v="41"/>
          </reference>
          <reference field="12" count="1" selected="0">
            <x v="8"/>
          </reference>
          <reference field="13" count="1" selected="0">
            <x v="3"/>
          </reference>
          <reference field="14" count="1">
            <x v="24"/>
          </reference>
        </references>
      </pivotArea>
    </format>
    <format dxfId="10157">
      <pivotArea dataOnly="0" labelOnly="1" outline="0" fieldPosition="0">
        <references count="10">
          <reference field="1" count="0" selected="0"/>
          <reference field="3" count="1" selected="0">
            <x v="3"/>
          </reference>
          <reference field="4" count="1" selected="0">
            <x v="1"/>
          </reference>
          <reference field="5" count="1" selected="0">
            <x v="197"/>
          </reference>
          <reference field="6" count="1" selected="0">
            <x v="2"/>
          </reference>
          <reference field="9" count="1" selected="0">
            <x v="10"/>
          </reference>
          <reference field="11" count="1" selected="0">
            <x v="16"/>
          </reference>
          <reference field="12" count="1" selected="0">
            <x v="8"/>
          </reference>
          <reference field="13" count="1" selected="0">
            <x v="3"/>
          </reference>
          <reference field="14" count="1">
            <x v="17"/>
          </reference>
        </references>
      </pivotArea>
    </format>
    <format dxfId="10156">
      <pivotArea dataOnly="0" labelOnly="1" outline="0" fieldPosition="0">
        <references count="10">
          <reference field="1" count="0" selected="0"/>
          <reference field="3" count="1" selected="0">
            <x v="3"/>
          </reference>
          <reference field="4" count="1" selected="0">
            <x v="1"/>
          </reference>
          <reference field="5" count="1" selected="0">
            <x v="205"/>
          </reference>
          <reference field="6" count="1" selected="0">
            <x v="2"/>
          </reference>
          <reference field="9" count="1" selected="0">
            <x v="10"/>
          </reference>
          <reference field="11" count="1" selected="0">
            <x v="26"/>
          </reference>
          <reference field="12" count="1" selected="0">
            <x v="26"/>
          </reference>
          <reference field="13" count="1" selected="0">
            <x v="3"/>
          </reference>
          <reference field="14" count="1">
            <x v="40"/>
          </reference>
        </references>
      </pivotArea>
    </format>
    <format dxfId="10155">
      <pivotArea dataOnly="0" labelOnly="1" outline="0" fieldPosition="0">
        <references count="10">
          <reference field="1" count="0" selected="0"/>
          <reference field="3" count="1" selected="0">
            <x v="4"/>
          </reference>
          <reference field="4" count="1" selected="0">
            <x v="1"/>
          </reference>
          <reference field="5" count="1" selected="0">
            <x v="100"/>
          </reference>
          <reference field="6" count="1" selected="0">
            <x v="2"/>
          </reference>
          <reference field="9" count="1" selected="0">
            <x v="2"/>
          </reference>
          <reference field="11" count="1" selected="0">
            <x v="37"/>
          </reference>
          <reference field="12" count="1" selected="0">
            <x v="2"/>
          </reference>
          <reference field="13" count="1" selected="0">
            <x v="3"/>
          </reference>
          <reference field="14" count="1">
            <x v="17"/>
          </reference>
        </references>
      </pivotArea>
    </format>
    <format dxfId="10154">
      <pivotArea dataOnly="0" labelOnly="1" outline="0" fieldPosition="0">
        <references count="10">
          <reference field="1" count="0" selected="0"/>
          <reference field="3" count="1" selected="0">
            <x v="4"/>
          </reference>
          <reference field="4" count="1" selected="0">
            <x v="1"/>
          </reference>
          <reference field="5" count="1" selected="0">
            <x v="116"/>
          </reference>
          <reference field="6" count="1" selected="0">
            <x v="2"/>
          </reference>
          <reference field="9" count="1" selected="0">
            <x v="10"/>
          </reference>
          <reference field="11" count="1" selected="0">
            <x v="14"/>
          </reference>
          <reference field="12" count="1" selected="0">
            <x v="5"/>
          </reference>
          <reference field="13" count="1" selected="0">
            <x v="3"/>
          </reference>
          <reference field="14" count="1">
            <x v="49"/>
          </reference>
        </references>
      </pivotArea>
    </format>
    <format dxfId="10153">
      <pivotArea dataOnly="0" labelOnly="1" outline="0" fieldPosition="0">
        <references count="10">
          <reference field="1" count="0" selected="0"/>
          <reference field="3" count="1" selected="0">
            <x v="4"/>
          </reference>
          <reference field="4" count="1" selected="0">
            <x v="1"/>
          </reference>
          <reference field="5" count="1" selected="0">
            <x v="218"/>
          </reference>
          <reference field="6" count="1" selected="0">
            <x v="2"/>
          </reference>
          <reference field="9" count="1" selected="0">
            <x v="10"/>
          </reference>
          <reference field="11" count="1" selected="0">
            <x v="47"/>
          </reference>
          <reference field="12" count="1" selected="0">
            <x v="0"/>
          </reference>
          <reference field="13" count="1" selected="0">
            <x v="4"/>
          </reference>
          <reference field="14" count="1">
            <x v="17"/>
          </reference>
        </references>
      </pivotArea>
    </format>
    <format dxfId="10152">
      <pivotArea dataOnly="0" labelOnly="1" outline="0" fieldPosition="0">
        <references count="10">
          <reference field="1" count="0" selected="0"/>
          <reference field="3" count="1" selected="0">
            <x v="4"/>
          </reference>
          <reference field="4" count="1" selected="0">
            <x v="1"/>
          </reference>
          <reference field="5" count="1" selected="0">
            <x v="332"/>
          </reference>
          <reference field="6" count="1" selected="0">
            <x v="2"/>
          </reference>
          <reference field="9" count="1" selected="0">
            <x v="10"/>
          </reference>
          <reference field="11" count="1" selected="0">
            <x v="14"/>
          </reference>
          <reference field="12" count="1" selected="0">
            <x v="8"/>
          </reference>
          <reference field="13" count="1" selected="0">
            <x v="3"/>
          </reference>
          <reference field="14" count="1">
            <x v="17"/>
          </reference>
        </references>
      </pivotArea>
    </format>
    <format dxfId="10151">
      <pivotArea dataOnly="0" labelOnly="1" outline="0" fieldPosition="0">
        <references count="10">
          <reference field="1" count="0" selected="0"/>
          <reference field="3" count="1" selected="0">
            <x v="4"/>
          </reference>
          <reference field="4" count="1" selected="0">
            <x v="1"/>
          </reference>
          <reference field="5" count="1" selected="0">
            <x v="347"/>
          </reference>
          <reference field="6" count="1" selected="0">
            <x v="2"/>
          </reference>
          <reference field="9" count="1" selected="0">
            <x v="4"/>
          </reference>
          <reference field="11" count="1" selected="0">
            <x v="34"/>
          </reference>
          <reference field="12" count="1" selected="0">
            <x v="8"/>
          </reference>
          <reference field="13" count="1" selected="0">
            <x v="3"/>
          </reference>
          <reference field="14" count="1">
            <x v="17"/>
          </reference>
        </references>
      </pivotArea>
    </format>
    <format dxfId="10150">
      <pivotArea dataOnly="0" labelOnly="1" outline="0" fieldPosition="0">
        <references count="10">
          <reference field="1" count="0" selected="0"/>
          <reference field="3" count="1" selected="0">
            <x v="6"/>
          </reference>
          <reference field="4" count="1" selected="0">
            <x v="0"/>
          </reference>
          <reference field="5" count="1" selected="0">
            <x v="113"/>
          </reference>
          <reference field="6" count="1" selected="0">
            <x v="9"/>
          </reference>
          <reference field="9" count="1" selected="0">
            <x v="10"/>
          </reference>
          <reference field="11" count="1" selected="0">
            <x v="50"/>
          </reference>
          <reference field="12" count="1" selected="0">
            <x v="8"/>
          </reference>
          <reference field="13" count="1" selected="0">
            <x v="3"/>
          </reference>
          <reference field="14" count="1">
            <x v="48"/>
          </reference>
        </references>
      </pivotArea>
    </format>
    <format dxfId="10149">
      <pivotArea dataOnly="0" labelOnly="1" outline="0" fieldPosition="0">
        <references count="10">
          <reference field="1" count="0" selected="0"/>
          <reference field="3" count="1" selected="0">
            <x v="6"/>
          </reference>
          <reference field="4" count="1" selected="0">
            <x v="0"/>
          </reference>
          <reference field="5" count="1" selected="0">
            <x v="126"/>
          </reference>
          <reference field="6" count="1" selected="0">
            <x v="9"/>
          </reference>
          <reference field="9" count="1" selected="0">
            <x v="10"/>
          </reference>
          <reference field="11" count="1" selected="0">
            <x v="32"/>
          </reference>
          <reference field="12" count="1" selected="0">
            <x v="8"/>
          </reference>
          <reference field="13" count="1" selected="0">
            <x v="3"/>
          </reference>
          <reference field="14" count="1">
            <x v="52"/>
          </reference>
        </references>
      </pivotArea>
    </format>
    <format dxfId="10148">
      <pivotArea dataOnly="0" labelOnly="1" outline="0" fieldPosition="0">
        <references count="10">
          <reference field="1" count="0" selected="0"/>
          <reference field="3" count="1" selected="0">
            <x v="6"/>
          </reference>
          <reference field="4" count="1" selected="0">
            <x v="0"/>
          </reference>
          <reference field="5" count="1" selected="0">
            <x v="145"/>
          </reference>
          <reference field="6" count="1" selected="0">
            <x v="9"/>
          </reference>
          <reference field="9" count="1" selected="0">
            <x v="10"/>
          </reference>
          <reference field="11" count="1" selected="0">
            <x v="14"/>
          </reference>
          <reference field="12" count="1" selected="0">
            <x v="8"/>
          </reference>
          <reference field="13" count="1" selected="0">
            <x v="3"/>
          </reference>
          <reference field="14" count="1">
            <x v="17"/>
          </reference>
        </references>
      </pivotArea>
    </format>
    <format dxfId="10147">
      <pivotArea dataOnly="0" labelOnly="1" outline="0" fieldPosition="0">
        <references count="10">
          <reference field="1" count="0" selected="0"/>
          <reference field="3" count="1" selected="0">
            <x v="6"/>
          </reference>
          <reference field="4" count="1" selected="0">
            <x v="0"/>
          </reference>
          <reference field="5" count="1" selected="0">
            <x v="146"/>
          </reference>
          <reference field="6" count="1" selected="0">
            <x v="9"/>
          </reference>
          <reference field="9" count="1" selected="0">
            <x v="10"/>
          </reference>
          <reference field="11" count="1" selected="0">
            <x v="8"/>
          </reference>
          <reference field="12" count="1" selected="0">
            <x v="21"/>
          </reference>
          <reference field="13" count="1" selected="0">
            <x v="3"/>
          </reference>
          <reference field="14" count="1">
            <x v="17"/>
          </reference>
        </references>
      </pivotArea>
    </format>
    <format dxfId="10146">
      <pivotArea dataOnly="0" labelOnly="1" outline="0" fieldPosition="0">
        <references count="10">
          <reference field="1" count="0" selected="0"/>
          <reference field="3" count="1" selected="0">
            <x v="6"/>
          </reference>
          <reference field="4" count="1" selected="0">
            <x v="0"/>
          </reference>
          <reference field="5" count="1" selected="0">
            <x v="165"/>
          </reference>
          <reference field="6" count="1" selected="0">
            <x v="9"/>
          </reference>
          <reference field="9" count="1" selected="0">
            <x v="10"/>
          </reference>
          <reference field="11" count="1" selected="0">
            <x v="14"/>
          </reference>
          <reference field="12" count="1" selected="0">
            <x v="3"/>
          </reference>
          <reference field="13" count="1" selected="0">
            <x v="3"/>
          </reference>
          <reference field="14" count="1">
            <x v="17"/>
          </reference>
        </references>
      </pivotArea>
    </format>
    <format dxfId="10145">
      <pivotArea dataOnly="0" labelOnly="1" outline="0" fieldPosition="0">
        <references count="10">
          <reference field="1" count="0" selected="0"/>
          <reference field="3" count="1" selected="0">
            <x v="6"/>
          </reference>
          <reference field="4" count="1" selected="0">
            <x v="0"/>
          </reference>
          <reference field="5" count="1" selected="0">
            <x v="174"/>
          </reference>
          <reference field="6" count="1" selected="0">
            <x v="9"/>
          </reference>
          <reference field="9" count="1" selected="0">
            <x v="10"/>
          </reference>
          <reference field="11" count="1" selected="0">
            <x v="13"/>
          </reference>
          <reference field="12" count="1" selected="0">
            <x v="14"/>
          </reference>
          <reference field="13" count="1" selected="0">
            <x v="3"/>
          </reference>
          <reference field="14" count="1">
            <x v="17"/>
          </reference>
        </references>
      </pivotArea>
    </format>
    <format dxfId="10144">
      <pivotArea dataOnly="0" labelOnly="1" outline="0" fieldPosition="0">
        <references count="10">
          <reference field="1" count="0" selected="0"/>
          <reference field="3" count="1" selected="0">
            <x v="6"/>
          </reference>
          <reference field="4" count="1" selected="0">
            <x v="0"/>
          </reference>
          <reference field="5" count="1" selected="0">
            <x v="175"/>
          </reference>
          <reference field="6" count="1" selected="0">
            <x v="9"/>
          </reference>
          <reference field="9" count="1" selected="0">
            <x v="10"/>
          </reference>
          <reference field="11" count="1" selected="0">
            <x v="14"/>
          </reference>
          <reference field="12" count="1" selected="0">
            <x v="15"/>
          </reference>
          <reference field="13" count="1" selected="0">
            <x v="3"/>
          </reference>
          <reference field="14" count="1">
            <x v="15"/>
          </reference>
        </references>
      </pivotArea>
    </format>
    <format dxfId="10143">
      <pivotArea dataOnly="0" labelOnly="1" outline="0" fieldPosition="0">
        <references count="10">
          <reference field="1" count="0" selected="0"/>
          <reference field="3" count="1" selected="0">
            <x v="6"/>
          </reference>
          <reference field="4" count="1" selected="0">
            <x v="0"/>
          </reference>
          <reference field="5" count="1" selected="0">
            <x v="182"/>
          </reference>
          <reference field="6" count="1" selected="0">
            <x v="9"/>
          </reference>
          <reference field="9" count="1" selected="0">
            <x v="10"/>
          </reference>
          <reference field="11" count="1" selected="0">
            <x v="14"/>
          </reference>
          <reference field="12" count="1" selected="0">
            <x v="3"/>
          </reference>
          <reference field="13" count="1" selected="0">
            <x v="3"/>
          </reference>
          <reference field="14" count="1">
            <x v="17"/>
          </reference>
        </references>
      </pivotArea>
    </format>
    <format dxfId="10142">
      <pivotArea dataOnly="0" labelOnly="1" outline="0" fieldPosition="0">
        <references count="10">
          <reference field="1" count="0" selected="0"/>
          <reference field="3" count="1" selected="0">
            <x v="6"/>
          </reference>
          <reference field="4" count="1" selected="0">
            <x v="0"/>
          </reference>
          <reference field="5" count="1" selected="0">
            <x v="189"/>
          </reference>
          <reference field="6" count="1" selected="0">
            <x v="9"/>
          </reference>
          <reference field="9" count="1" selected="0">
            <x v="10"/>
          </reference>
          <reference field="11" count="1" selected="0">
            <x v="26"/>
          </reference>
          <reference field="12" count="1" selected="0">
            <x v="26"/>
          </reference>
          <reference field="13" count="1" selected="0">
            <x v="3"/>
          </reference>
          <reference field="14" count="1">
            <x v="40"/>
          </reference>
        </references>
      </pivotArea>
    </format>
    <format dxfId="10141">
      <pivotArea dataOnly="0" labelOnly="1" outline="0" fieldPosition="0">
        <references count="10">
          <reference field="1" count="0" selected="0"/>
          <reference field="3" count="1" selected="0">
            <x v="6"/>
          </reference>
          <reference field="4" count="1" selected="0">
            <x v="0"/>
          </reference>
          <reference field="5" count="1" selected="0">
            <x v="190"/>
          </reference>
          <reference field="6" count="1" selected="0">
            <x v="9"/>
          </reference>
          <reference field="9" count="1" selected="0">
            <x v="10"/>
          </reference>
          <reference field="11" count="1" selected="0">
            <x v="14"/>
          </reference>
          <reference field="12" count="1" selected="0">
            <x v="10"/>
          </reference>
          <reference field="13" count="1" selected="0">
            <x v="3"/>
          </reference>
          <reference field="14" count="1">
            <x v="12"/>
          </reference>
        </references>
      </pivotArea>
    </format>
    <format dxfId="10140">
      <pivotArea dataOnly="0" labelOnly="1" outline="0" fieldPosition="0">
        <references count="10">
          <reference field="1" count="0" selected="0"/>
          <reference field="3" count="1" selected="0">
            <x v="6"/>
          </reference>
          <reference field="4" count="1" selected="0">
            <x v="0"/>
          </reference>
          <reference field="5" count="1" selected="0">
            <x v="343"/>
          </reference>
          <reference field="6" count="1" selected="0">
            <x v="9"/>
          </reference>
          <reference field="9" count="1" selected="0">
            <x v="10"/>
          </reference>
          <reference field="11" count="1" selected="0">
            <x v="29"/>
          </reference>
          <reference field="12" count="1" selected="0">
            <x v="6"/>
          </reference>
          <reference field="13" count="1" selected="0">
            <x v="3"/>
          </reference>
          <reference field="14" count="1">
            <x v="34"/>
          </reference>
        </references>
      </pivotArea>
    </format>
    <format dxfId="10139">
      <pivotArea dataOnly="0" labelOnly="1" outline="0" fieldPosition="0">
        <references count="10">
          <reference field="1" count="0" selected="0"/>
          <reference field="3" count="1" selected="0">
            <x v="6"/>
          </reference>
          <reference field="4" count="1" selected="0">
            <x v="0"/>
          </reference>
          <reference field="5" count="1" selected="0">
            <x v="349"/>
          </reference>
          <reference field="6" count="1" selected="0">
            <x v="9"/>
          </reference>
          <reference field="9" count="1" selected="0">
            <x v="10"/>
          </reference>
          <reference field="11" count="1" selected="0">
            <x v="56"/>
          </reference>
          <reference field="12" count="1" selected="0">
            <x v="8"/>
          </reference>
          <reference field="13" count="1" selected="0">
            <x v="3"/>
          </reference>
          <reference field="14" count="1">
            <x v="57"/>
          </reference>
        </references>
      </pivotArea>
    </format>
    <format dxfId="10138">
      <pivotArea dataOnly="0" labelOnly="1" outline="0" fieldPosition="0">
        <references count="10">
          <reference field="1" count="0" selected="0"/>
          <reference field="3" count="1" selected="0">
            <x v="8"/>
          </reference>
          <reference field="4" count="1" selected="0">
            <x v="3"/>
          </reference>
          <reference field="5" count="1" selected="0">
            <x v="135"/>
          </reference>
          <reference field="6" count="1" selected="0">
            <x v="3"/>
          </reference>
          <reference field="9" count="1" selected="0">
            <x v="10"/>
          </reference>
          <reference field="11" count="1" selected="0">
            <x v="14"/>
          </reference>
          <reference field="12" count="1" selected="0">
            <x v="8"/>
          </reference>
          <reference field="13" count="1" selected="0">
            <x v="3"/>
          </reference>
          <reference field="14" count="1">
            <x v="17"/>
          </reference>
        </references>
      </pivotArea>
    </format>
    <format dxfId="10137">
      <pivotArea dataOnly="0" labelOnly="1" outline="0" fieldPosition="0">
        <references count="10">
          <reference field="1" count="0" selected="0"/>
          <reference field="3" count="1" selected="0">
            <x v="8"/>
          </reference>
          <reference field="4" count="1" selected="0">
            <x v="3"/>
          </reference>
          <reference field="5" count="1" selected="0">
            <x v="136"/>
          </reference>
          <reference field="6" count="1" selected="0">
            <x v="3"/>
          </reference>
          <reference field="9" count="1" selected="0">
            <x v="10"/>
          </reference>
          <reference field="11" count="1" selected="0">
            <x v="16"/>
          </reference>
          <reference field="12" count="1" selected="0">
            <x v="8"/>
          </reference>
          <reference field="13" count="1" selected="0">
            <x v="3"/>
          </reference>
          <reference field="14" count="1">
            <x v="17"/>
          </reference>
        </references>
      </pivotArea>
    </format>
    <format dxfId="10136">
      <pivotArea dataOnly="0" labelOnly="1" outline="0" fieldPosition="0">
        <references count="10">
          <reference field="1" count="0" selected="0"/>
          <reference field="3" count="1" selected="0">
            <x v="9"/>
          </reference>
          <reference field="4" count="1" selected="0">
            <x v="6"/>
          </reference>
          <reference field="5" count="1" selected="0">
            <x v="211"/>
          </reference>
          <reference field="6" count="1" selected="0">
            <x v="5"/>
          </reference>
          <reference field="9" count="1" selected="0">
            <x v="10"/>
          </reference>
          <reference field="11" count="1" selected="0">
            <x v="14"/>
          </reference>
          <reference field="12" count="1" selected="0">
            <x v="31"/>
          </reference>
          <reference field="13" count="1" selected="0">
            <x v="3"/>
          </reference>
          <reference field="14" count="1">
            <x v="17"/>
          </reference>
        </references>
      </pivotArea>
    </format>
    <format dxfId="10135">
      <pivotArea dataOnly="0" labelOnly="1" outline="0" fieldPosition="0">
        <references count="10">
          <reference field="1" count="0" selected="0"/>
          <reference field="3" count="1" selected="0">
            <x v="9"/>
          </reference>
          <reference field="4" count="1" selected="0">
            <x v="6"/>
          </reference>
          <reference field="5" count="1" selected="0">
            <x v="212"/>
          </reference>
          <reference field="6" count="1" selected="0">
            <x v="5"/>
          </reference>
          <reference field="9" count="1" selected="0">
            <x v="10"/>
          </reference>
          <reference field="11" count="1" selected="0">
            <x v="14"/>
          </reference>
          <reference field="12" count="1" selected="0">
            <x v="3"/>
          </reference>
          <reference field="13" count="1" selected="0">
            <x v="3"/>
          </reference>
          <reference field="14" count="1">
            <x v="17"/>
          </reference>
        </references>
      </pivotArea>
    </format>
    <format dxfId="10134">
      <pivotArea dataOnly="0" labelOnly="1" outline="0" fieldPosition="0">
        <references count="7">
          <reference field="1" count="0" selected="0"/>
          <reference field="3" count="1" selected="0">
            <x v="0"/>
          </reference>
          <reference field="4" count="1" selected="0">
            <x v="3"/>
          </reference>
          <reference field="5" count="1" selected="0">
            <x v="167"/>
          </reference>
          <reference field="6" count="1" selected="0">
            <x v="7"/>
          </reference>
          <reference field="9" count="1" selected="0">
            <x v="10"/>
          </reference>
          <reference field="11" count="1">
            <x v="10"/>
          </reference>
        </references>
      </pivotArea>
    </format>
    <format dxfId="10133">
      <pivotArea dataOnly="0" labelOnly="1" outline="0" fieldPosition="0">
        <references count="7">
          <reference field="1" count="0" selected="0"/>
          <reference field="3" count="1" selected="0">
            <x v="3"/>
          </reference>
          <reference field="4" count="1" selected="0">
            <x v="1"/>
          </reference>
          <reference field="5" count="1" selected="0">
            <x v="196"/>
          </reference>
          <reference field="6" count="1" selected="0">
            <x v="2"/>
          </reference>
          <reference field="9" count="1" selected="0">
            <x v="10"/>
          </reference>
          <reference field="11" count="1">
            <x v="41"/>
          </reference>
        </references>
      </pivotArea>
    </format>
    <format dxfId="10132">
      <pivotArea dataOnly="0" labelOnly="1" outline="0" fieldPosition="0">
        <references count="7">
          <reference field="1" count="0" selected="0"/>
          <reference field="3" count="1" selected="0">
            <x v="3"/>
          </reference>
          <reference field="4" count="1" selected="0">
            <x v="1"/>
          </reference>
          <reference field="5" count="1" selected="0">
            <x v="197"/>
          </reference>
          <reference field="6" count="1" selected="0">
            <x v="2"/>
          </reference>
          <reference field="9" count="1" selected="0">
            <x v="10"/>
          </reference>
          <reference field="11" count="1">
            <x v="16"/>
          </reference>
        </references>
      </pivotArea>
    </format>
    <format dxfId="10131">
      <pivotArea dataOnly="0" labelOnly="1" outline="0" fieldPosition="0">
        <references count="7">
          <reference field="1" count="0" selected="0"/>
          <reference field="3" count="1" selected="0">
            <x v="3"/>
          </reference>
          <reference field="4" count="1" selected="0">
            <x v="1"/>
          </reference>
          <reference field="5" count="1" selected="0">
            <x v="205"/>
          </reference>
          <reference field="6" count="1" selected="0">
            <x v="2"/>
          </reference>
          <reference field="9" count="1" selected="0">
            <x v="10"/>
          </reference>
          <reference field="11" count="1">
            <x v="26"/>
          </reference>
        </references>
      </pivotArea>
    </format>
    <format dxfId="10130">
      <pivotArea dataOnly="0" labelOnly="1" outline="0" fieldPosition="0">
        <references count="7">
          <reference field="1" count="0" selected="0"/>
          <reference field="3" count="1" selected="0">
            <x v="4"/>
          </reference>
          <reference field="4" count="1" selected="0">
            <x v="1"/>
          </reference>
          <reference field="5" count="1" selected="0">
            <x v="100"/>
          </reference>
          <reference field="6" count="1" selected="0">
            <x v="2"/>
          </reference>
          <reference field="9" count="1" selected="0">
            <x v="2"/>
          </reference>
          <reference field="11" count="1">
            <x v="37"/>
          </reference>
        </references>
      </pivotArea>
    </format>
    <format dxfId="10129">
      <pivotArea dataOnly="0" labelOnly="1" outline="0" fieldPosition="0">
        <references count="7">
          <reference field="1" count="0" selected="0"/>
          <reference field="3" count="1" selected="0">
            <x v="4"/>
          </reference>
          <reference field="4" count="1" selected="0">
            <x v="1"/>
          </reference>
          <reference field="5" count="1" selected="0">
            <x v="116"/>
          </reference>
          <reference field="6" count="1" selected="0">
            <x v="2"/>
          </reference>
          <reference field="9" count="1" selected="0">
            <x v="10"/>
          </reference>
          <reference field="11" count="1">
            <x v="14"/>
          </reference>
        </references>
      </pivotArea>
    </format>
    <format dxfId="10128">
      <pivotArea dataOnly="0" labelOnly="1" outline="0" fieldPosition="0">
        <references count="7">
          <reference field="1" count="0" selected="0"/>
          <reference field="3" count="1" selected="0">
            <x v="4"/>
          </reference>
          <reference field="4" count="1" selected="0">
            <x v="1"/>
          </reference>
          <reference field="5" count="1" selected="0">
            <x v="218"/>
          </reference>
          <reference field="6" count="1" selected="0">
            <x v="2"/>
          </reference>
          <reference field="9" count="1" selected="0">
            <x v="10"/>
          </reference>
          <reference field="11" count="1">
            <x v="47"/>
          </reference>
        </references>
      </pivotArea>
    </format>
    <format dxfId="10127">
      <pivotArea dataOnly="0" labelOnly="1" outline="0" fieldPosition="0">
        <references count="7">
          <reference field="1" count="0" selected="0"/>
          <reference field="3" count="1" selected="0">
            <x v="4"/>
          </reference>
          <reference field="4" count="1" selected="0">
            <x v="1"/>
          </reference>
          <reference field="5" count="1" selected="0">
            <x v="332"/>
          </reference>
          <reference field="6" count="1" selected="0">
            <x v="2"/>
          </reference>
          <reference field="9" count="1" selected="0">
            <x v="10"/>
          </reference>
          <reference field="11" count="1">
            <x v="14"/>
          </reference>
        </references>
      </pivotArea>
    </format>
    <format dxfId="10126">
      <pivotArea dataOnly="0" labelOnly="1" outline="0" fieldPosition="0">
        <references count="7">
          <reference field="1" count="0" selected="0"/>
          <reference field="3" count="1" selected="0">
            <x v="4"/>
          </reference>
          <reference field="4" count="1" selected="0">
            <x v="1"/>
          </reference>
          <reference field="5" count="1" selected="0">
            <x v="347"/>
          </reference>
          <reference field="6" count="1" selected="0">
            <x v="2"/>
          </reference>
          <reference field="9" count="1" selected="0">
            <x v="4"/>
          </reference>
          <reference field="11" count="1">
            <x v="34"/>
          </reference>
        </references>
      </pivotArea>
    </format>
    <format dxfId="10125">
      <pivotArea dataOnly="0" labelOnly="1" outline="0" fieldPosition="0">
        <references count="7">
          <reference field="1" count="0" selected="0"/>
          <reference field="3" count="1" selected="0">
            <x v="6"/>
          </reference>
          <reference field="4" count="1" selected="0">
            <x v="0"/>
          </reference>
          <reference field="5" count="1" selected="0">
            <x v="113"/>
          </reference>
          <reference field="6" count="1" selected="0">
            <x v="9"/>
          </reference>
          <reference field="9" count="1" selected="0">
            <x v="10"/>
          </reference>
          <reference field="11" count="1">
            <x v="50"/>
          </reference>
        </references>
      </pivotArea>
    </format>
    <format dxfId="10124">
      <pivotArea dataOnly="0" labelOnly="1" outline="0" fieldPosition="0">
        <references count="7">
          <reference field="1" count="0" selected="0"/>
          <reference field="3" count="1" selected="0">
            <x v="6"/>
          </reference>
          <reference field="4" count="1" selected="0">
            <x v="0"/>
          </reference>
          <reference field="5" count="1" selected="0">
            <x v="126"/>
          </reference>
          <reference field="6" count="1" selected="0">
            <x v="9"/>
          </reference>
          <reference field="9" count="1" selected="0">
            <x v="10"/>
          </reference>
          <reference field="11" count="1">
            <x v="32"/>
          </reference>
        </references>
      </pivotArea>
    </format>
    <format dxfId="10123">
      <pivotArea dataOnly="0" labelOnly="1" outline="0" fieldPosition="0">
        <references count="7">
          <reference field="1" count="0" selected="0"/>
          <reference field="3" count="1" selected="0">
            <x v="6"/>
          </reference>
          <reference field="4" count="1" selected="0">
            <x v="0"/>
          </reference>
          <reference field="5" count="1" selected="0">
            <x v="145"/>
          </reference>
          <reference field="6" count="1" selected="0">
            <x v="9"/>
          </reference>
          <reference field="9" count="1" selected="0">
            <x v="10"/>
          </reference>
          <reference field="11" count="1">
            <x v="14"/>
          </reference>
        </references>
      </pivotArea>
    </format>
    <format dxfId="10122">
      <pivotArea dataOnly="0" labelOnly="1" outline="0" fieldPosition="0">
        <references count="7">
          <reference field="1" count="0" selected="0"/>
          <reference field="3" count="1" selected="0">
            <x v="6"/>
          </reference>
          <reference field="4" count="1" selected="0">
            <x v="0"/>
          </reference>
          <reference field="5" count="1" selected="0">
            <x v="146"/>
          </reference>
          <reference field="6" count="1" selected="0">
            <x v="9"/>
          </reference>
          <reference field="9" count="1" selected="0">
            <x v="10"/>
          </reference>
          <reference field="11" count="1">
            <x v="8"/>
          </reference>
        </references>
      </pivotArea>
    </format>
    <format dxfId="10121">
      <pivotArea dataOnly="0" labelOnly="1" outline="0" fieldPosition="0">
        <references count="7">
          <reference field="1" count="0" selected="0"/>
          <reference field="3" count="1" selected="0">
            <x v="6"/>
          </reference>
          <reference field="4" count="1" selected="0">
            <x v="0"/>
          </reference>
          <reference field="5" count="1" selected="0">
            <x v="165"/>
          </reference>
          <reference field="6" count="1" selected="0">
            <x v="9"/>
          </reference>
          <reference field="9" count="1" selected="0">
            <x v="10"/>
          </reference>
          <reference field="11" count="1">
            <x v="14"/>
          </reference>
        </references>
      </pivotArea>
    </format>
    <format dxfId="10120">
      <pivotArea dataOnly="0" labelOnly="1" outline="0" fieldPosition="0">
        <references count="7">
          <reference field="1" count="0" selected="0"/>
          <reference field="3" count="1" selected="0">
            <x v="6"/>
          </reference>
          <reference field="4" count="1" selected="0">
            <x v="0"/>
          </reference>
          <reference field="5" count="1" selected="0">
            <x v="174"/>
          </reference>
          <reference field="6" count="1" selected="0">
            <x v="9"/>
          </reference>
          <reference field="9" count="1" selected="0">
            <x v="10"/>
          </reference>
          <reference field="11" count="1">
            <x v="13"/>
          </reference>
        </references>
      </pivotArea>
    </format>
    <format dxfId="10119">
      <pivotArea dataOnly="0" labelOnly="1" outline="0" fieldPosition="0">
        <references count="7">
          <reference field="1" count="0" selected="0"/>
          <reference field="3" count="1" selected="0">
            <x v="6"/>
          </reference>
          <reference field="4" count="1" selected="0">
            <x v="0"/>
          </reference>
          <reference field="5" count="1" selected="0">
            <x v="175"/>
          </reference>
          <reference field="6" count="1" selected="0">
            <x v="9"/>
          </reference>
          <reference field="9" count="1" selected="0">
            <x v="10"/>
          </reference>
          <reference field="11" count="1">
            <x v="14"/>
          </reference>
        </references>
      </pivotArea>
    </format>
    <format dxfId="10118">
      <pivotArea dataOnly="0" labelOnly="1" outline="0" fieldPosition="0">
        <references count="7">
          <reference field="1" count="0" selected="0"/>
          <reference field="3" count="1" selected="0">
            <x v="6"/>
          </reference>
          <reference field="4" count="1" selected="0">
            <x v="0"/>
          </reference>
          <reference field="5" count="1" selected="0">
            <x v="182"/>
          </reference>
          <reference field="6" count="1" selected="0">
            <x v="9"/>
          </reference>
          <reference field="9" count="1" selected="0">
            <x v="10"/>
          </reference>
          <reference field="11" count="1">
            <x v="14"/>
          </reference>
        </references>
      </pivotArea>
    </format>
    <format dxfId="10117">
      <pivotArea dataOnly="0" labelOnly="1" outline="0" fieldPosition="0">
        <references count="7">
          <reference field="1" count="0" selected="0"/>
          <reference field="3" count="1" selected="0">
            <x v="6"/>
          </reference>
          <reference field="4" count="1" selected="0">
            <x v="0"/>
          </reference>
          <reference field="5" count="1" selected="0">
            <x v="189"/>
          </reference>
          <reference field="6" count="1" selected="0">
            <x v="9"/>
          </reference>
          <reference field="9" count="1" selected="0">
            <x v="10"/>
          </reference>
          <reference field="11" count="1">
            <x v="26"/>
          </reference>
        </references>
      </pivotArea>
    </format>
    <format dxfId="10116">
      <pivotArea dataOnly="0" labelOnly="1" outline="0" fieldPosition="0">
        <references count="7">
          <reference field="1" count="0" selected="0"/>
          <reference field="3" count="1" selected="0">
            <x v="6"/>
          </reference>
          <reference field="4" count="1" selected="0">
            <x v="0"/>
          </reference>
          <reference field="5" count="1" selected="0">
            <x v="190"/>
          </reference>
          <reference field="6" count="1" selected="0">
            <x v="9"/>
          </reference>
          <reference field="9" count="1" selected="0">
            <x v="10"/>
          </reference>
          <reference field="11" count="1">
            <x v="14"/>
          </reference>
        </references>
      </pivotArea>
    </format>
    <format dxfId="10115">
      <pivotArea dataOnly="0" labelOnly="1" outline="0" fieldPosition="0">
        <references count="7">
          <reference field="1" count="0" selected="0"/>
          <reference field="3" count="1" selected="0">
            <x v="6"/>
          </reference>
          <reference field="4" count="1" selected="0">
            <x v="0"/>
          </reference>
          <reference field="5" count="1" selected="0">
            <x v="343"/>
          </reference>
          <reference field="6" count="1" selected="0">
            <x v="9"/>
          </reference>
          <reference field="9" count="1" selected="0">
            <x v="10"/>
          </reference>
          <reference field="11" count="1">
            <x v="29"/>
          </reference>
        </references>
      </pivotArea>
    </format>
    <format dxfId="10114">
      <pivotArea dataOnly="0" labelOnly="1" outline="0" fieldPosition="0">
        <references count="7">
          <reference field="1" count="0" selected="0"/>
          <reference field="3" count="1" selected="0">
            <x v="6"/>
          </reference>
          <reference field="4" count="1" selected="0">
            <x v="0"/>
          </reference>
          <reference field="5" count="1" selected="0">
            <x v="349"/>
          </reference>
          <reference field="6" count="1" selected="0">
            <x v="9"/>
          </reference>
          <reference field="9" count="1" selected="0">
            <x v="10"/>
          </reference>
          <reference field="11" count="1">
            <x v="56"/>
          </reference>
        </references>
      </pivotArea>
    </format>
    <format dxfId="10113">
      <pivotArea dataOnly="0" labelOnly="1" outline="0" fieldPosition="0">
        <references count="7">
          <reference field="1" count="0" selected="0"/>
          <reference field="3" count="1" selected="0">
            <x v="8"/>
          </reference>
          <reference field="4" count="1" selected="0">
            <x v="3"/>
          </reference>
          <reference field="5" count="1" selected="0">
            <x v="135"/>
          </reference>
          <reference field="6" count="1" selected="0">
            <x v="3"/>
          </reference>
          <reference field="9" count="1" selected="0">
            <x v="10"/>
          </reference>
          <reference field="11" count="1">
            <x v="14"/>
          </reference>
        </references>
      </pivotArea>
    </format>
    <format dxfId="10112">
      <pivotArea dataOnly="0" labelOnly="1" outline="0" fieldPosition="0">
        <references count="7">
          <reference field="1" count="0" selected="0"/>
          <reference field="3" count="1" selected="0">
            <x v="8"/>
          </reference>
          <reference field="4" count="1" selected="0">
            <x v="3"/>
          </reference>
          <reference field="5" count="1" selected="0">
            <x v="136"/>
          </reference>
          <reference field="6" count="1" selected="0">
            <x v="3"/>
          </reference>
          <reference field="9" count="1" selected="0">
            <x v="10"/>
          </reference>
          <reference field="11" count="1">
            <x v="16"/>
          </reference>
        </references>
      </pivotArea>
    </format>
    <format dxfId="10111">
      <pivotArea dataOnly="0" labelOnly="1" outline="0" fieldPosition="0">
        <references count="7">
          <reference field="1" count="0" selected="0"/>
          <reference field="3" count="1" selected="0">
            <x v="9"/>
          </reference>
          <reference field="4" count="1" selected="0">
            <x v="6"/>
          </reference>
          <reference field="5" count="1" selected="0">
            <x v="211"/>
          </reference>
          <reference field="6" count="1" selected="0">
            <x v="5"/>
          </reference>
          <reference field="9" count="1" selected="0">
            <x v="10"/>
          </reference>
          <reference field="11" count="1">
            <x v="14"/>
          </reference>
        </references>
      </pivotArea>
    </format>
    <format dxfId="10110">
      <pivotArea dataOnly="0" labelOnly="1" outline="0" fieldPosition="0">
        <references count="8">
          <reference field="1" count="0" selected="0"/>
          <reference field="3" count="1" selected="0">
            <x v="0"/>
          </reference>
          <reference field="4" count="1" selected="0">
            <x v="3"/>
          </reference>
          <reference field="5" count="1" selected="0">
            <x v="167"/>
          </reference>
          <reference field="6" count="1" selected="0">
            <x v="7"/>
          </reference>
          <reference field="9" count="1" selected="0">
            <x v="10"/>
          </reference>
          <reference field="11" count="1" selected="0">
            <x v="10"/>
          </reference>
          <reference field="12" count="1">
            <x v="28"/>
          </reference>
        </references>
      </pivotArea>
    </format>
    <format dxfId="10109">
      <pivotArea dataOnly="0" labelOnly="1" outline="0" fieldPosition="0">
        <references count="8">
          <reference field="1" count="0" selected="0"/>
          <reference field="3" count="1" selected="0">
            <x v="3"/>
          </reference>
          <reference field="4" count="1" selected="0">
            <x v="1"/>
          </reference>
          <reference field="5" count="1" selected="0">
            <x v="196"/>
          </reference>
          <reference field="6" count="1" selected="0">
            <x v="2"/>
          </reference>
          <reference field="9" count="1" selected="0">
            <x v="10"/>
          </reference>
          <reference field="11" count="1" selected="0">
            <x v="41"/>
          </reference>
          <reference field="12" count="1">
            <x v="8"/>
          </reference>
        </references>
      </pivotArea>
    </format>
    <format dxfId="10108">
      <pivotArea dataOnly="0" labelOnly="1" outline="0" fieldPosition="0">
        <references count="8">
          <reference field="1" count="0" selected="0"/>
          <reference field="3" count="1" selected="0">
            <x v="3"/>
          </reference>
          <reference field="4" count="1" selected="0">
            <x v="1"/>
          </reference>
          <reference field="5" count="1" selected="0">
            <x v="205"/>
          </reference>
          <reference field="6" count="1" selected="0">
            <x v="2"/>
          </reference>
          <reference field="9" count="1" selected="0">
            <x v="10"/>
          </reference>
          <reference field="11" count="1" selected="0">
            <x v="26"/>
          </reference>
          <reference field="12" count="1">
            <x v="26"/>
          </reference>
        </references>
      </pivotArea>
    </format>
    <format dxfId="10107">
      <pivotArea dataOnly="0" labelOnly="1" outline="0" fieldPosition="0">
        <references count="8">
          <reference field="1" count="0" selected="0"/>
          <reference field="3" count="1" selected="0">
            <x v="4"/>
          </reference>
          <reference field="4" count="1" selected="0">
            <x v="1"/>
          </reference>
          <reference field="5" count="1" selected="0">
            <x v="100"/>
          </reference>
          <reference field="6" count="1" selected="0">
            <x v="2"/>
          </reference>
          <reference field="9" count="1" selected="0">
            <x v="2"/>
          </reference>
          <reference field="11" count="1" selected="0">
            <x v="37"/>
          </reference>
          <reference field="12" count="1">
            <x v="2"/>
          </reference>
        </references>
      </pivotArea>
    </format>
    <format dxfId="10106">
      <pivotArea dataOnly="0" labelOnly="1" outline="0" fieldPosition="0">
        <references count="8">
          <reference field="1" count="0" selected="0"/>
          <reference field="3" count="1" selected="0">
            <x v="4"/>
          </reference>
          <reference field="4" count="1" selected="0">
            <x v="1"/>
          </reference>
          <reference field="5" count="1" selected="0">
            <x v="116"/>
          </reference>
          <reference field="6" count="1" selected="0">
            <x v="2"/>
          </reference>
          <reference field="9" count="1" selected="0">
            <x v="10"/>
          </reference>
          <reference field="11" count="1" selected="0">
            <x v="14"/>
          </reference>
          <reference field="12" count="1">
            <x v="5"/>
          </reference>
        </references>
      </pivotArea>
    </format>
    <format dxfId="10105">
      <pivotArea dataOnly="0" labelOnly="1" outline="0" fieldPosition="0">
        <references count="8">
          <reference field="1" count="0" selected="0"/>
          <reference field="3" count="1" selected="0">
            <x v="4"/>
          </reference>
          <reference field="4" count="1" selected="0">
            <x v="1"/>
          </reference>
          <reference field="5" count="1" selected="0">
            <x v="218"/>
          </reference>
          <reference field="6" count="1" selected="0">
            <x v="2"/>
          </reference>
          <reference field="9" count="1" selected="0">
            <x v="10"/>
          </reference>
          <reference field="11" count="1" selected="0">
            <x v="47"/>
          </reference>
          <reference field="12" count="1">
            <x v="0"/>
          </reference>
        </references>
      </pivotArea>
    </format>
    <format dxfId="10104">
      <pivotArea dataOnly="0" labelOnly="1" outline="0" fieldPosition="0">
        <references count="8">
          <reference field="1" count="0" selected="0"/>
          <reference field="3" count="1" selected="0">
            <x v="6"/>
          </reference>
          <reference field="4" count="1" selected="0">
            <x v="0"/>
          </reference>
          <reference field="5" count="1" selected="0">
            <x v="126"/>
          </reference>
          <reference field="6" count="1" selected="0">
            <x v="9"/>
          </reference>
          <reference field="9" count="1" selected="0">
            <x v="10"/>
          </reference>
          <reference field="11" count="1" selected="0">
            <x v="32"/>
          </reference>
          <reference field="12" count="1">
            <x v="8"/>
          </reference>
        </references>
      </pivotArea>
    </format>
    <format dxfId="10103">
      <pivotArea dataOnly="0" labelOnly="1" outline="0" fieldPosition="0">
        <references count="8">
          <reference field="1" count="0" selected="0"/>
          <reference field="3" count="1" selected="0">
            <x v="6"/>
          </reference>
          <reference field="4" count="1" selected="0">
            <x v="0"/>
          </reference>
          <reference field="5" count="1" selected="0">
            <x v="146"/>
          </reference>
          <reference field="6" count="1" selected="0">
            <x v="9"/>
          </reference>
          <reference field="9" count="1" selected="0">
            <x v="10"/>
          </reference>
          <reference field="11" count="1" selected="0">
            <x v="8"/>
          </reference>
          <reference field="12" count="1">
            <x v="21"/>
          </reference>
        </references>
      </pivotArea>
    </format>
    <format dxfId="10102">
      <pivotArea dataOnly="0" labelOnly="1" outline="0" fieldPosition="0">
        <references count="8">
          <reference field="1" count="0" selected="0"/>
          <reference field="3" count="1" selected="0">
            <x v="6"/>
          </reference>
          <reference field="4" count="1" selected="0">
            <x v="0"/>
          </reference>
          <reference field="5" count="1" selected="0">
            <x v="165"/>
          </reference>
          <reference field="6" count="1" selected="0">
            <x v="9"/>
          </reference>
          <reference field="9" count="1" selected="0">
            <x v="10"/>
          </reference>
          <reference field="11" count="1" selected="0">
            <x v="14"/>
          </reference>
          <reference field="12" count="1">
            <x v="3"/>
          </reference>
        </references>
      </pivotArea>
    </format>
    <format dxfId="10101">
      <pivotArea dataOnly="0" labelOnly="1" outline="0" fieldPosition="0">
        <references count="8">
          <reference field="1" count="0" selected="0"/>
          <reference field="3" count="1" selected="0">
            <x v="6"/>
          </reference>
          <reference field="4" count="1" selected="0">
            <x v="0"/>
          </reference>
          <reference field="5" count="1" selected="0">
            <x v="174"/>
          </reference>
          <reference field="6" count="1" selected="0">
            <x v="9"/>
          </reference>
          <reference field="9" count="1" selected="0">
            <x v="10"/>
          </reference>
          <reference field="11" count="1" selected="0">
            <x v="13"/>
          </reference>
          <reference field="12" count="1">
            <x v="14"/>
          </reference>
        </references>
      </pivotArea>
    </format>
    <format dxfId="10100">
      <pivotArea dataOnly="0" labelOnly="1" outline="0" fieldPosition="0">
        <references count="8">
          <reference field="1" count="0" selected="0"/>
          <reference field="3" count="1" selected="0">
            <x v="6"/>
          </reference>
          <reference field="4" count="1" selected="0">
            <x v="0"/>
          </reference>
          <reference field="5" count="1" selected="0">
            <x v="175"/>
          </reference>
          <reference field="6" count="1" selected="0">
            <x v="9"/>
          </reference>
          <reference field="9" count="1" selected="0">
            <x v="10"/>
          </reference>
          <reference field="11" count="1" selected="0">
            <x v="14"/>
          </reference>
          <reference field="12" count="1">
            <x v="15"/>
          </reference>
        </references>
      </pivotArea>
    </format>
    <format dxfId="10099">
      <pivotArea dataOnly="0" labelOnly="1" outline="0" fieldPosition="0">
        <references count="8">
          <reference field="1" count="0" selected="0"/>
          <reference field="3" count="1" selected="0">
            <x v="6"/>
          </reference>
          <reference field="4" count="1" selected="0">
            <x v="0"/>
          </reference>
          <reference field="5" count="1" selected="0">
            <x v="182"/>
          </reference>
          <reference field="6" count="1" selected="0">
            <x v="9"/>
          </reference>
          <reference field="9" count="1" selected="0">
            <x v="10"/>
          </reference>
          <reference field="11" count="1" selected="0">
            <x v="14"/>
          </reference>
          <reference field="12" count="1">
            <x v="3"/>
          </reference>
        </references>
      </pivotArea>
    </format>
    <format dxfId="10098">
      <pivotArea dataOnly="0" labelOnly="1" outline="0" fieldPosition="0">
        <references count="8">
          <reference field="1" count="0" selected="0"/>
          <reference field="3" count="1" selected="0">
            <x v="6"/>
          </reference>
          <reference field="4" count="1" selected="0">
            <x v="0"/>
          </reference>
          <reference field="5" count="1" selected="0">
            <x v="189"/>
          </reference>
          <reference field="6" count="1" selected="0">
            <x v="9"/>
          </reference>
          <reference field="9" count="1" selected="0">
            <x v="10"/>
          </reference>
          <reference field="11" count="1" selected="0">
            <x v="26"/>
          </reference>
          <reference field="12" count="1">
            <x v="26"/>
          </reference>
        </references>
      </pivotArea>
    </format>
    <format dxfId="10097">
      <pivotArea dataOnly="0" labelOnly="1" outline="0" fieldPosition="0">
        <references count="8">
          <reference field="1" count="0" selected="0"/>
          <reference field="3" count="1" selected="0">
            <x v="6"/>
          </reference>
          <reference field="4" count="1" selected="0">
            <x v="0"/>
          </reference>
          <reference field="5" count="1" selected="0">
            <x v="190"/>
          </reference>
          <reference field="6" count="1" selected="0">
            <x v="9"/>
          </reference>
          <reference field="9" count="1" selected="0">
            <x v="10"/>
          </reference>
          <reference field="11" count="1" selected="0">
            <x v="14"/>
          </reference>
          <reference field="12" count="1">
            <x v="10"/>
          </reference>
        </references>
      </pivotArea>
    </format>
    <format dxfId="10096">
      <pivotArea dataOnly="0" labelOnly="1" outline="0" fieldPosition="0">
        <references count="8">
          <reference field="1" count="0" selected="0"/>
          <reference field="3" count="1" selected="0">
            <x v="6"/>
          </reference>
          <reference field="4" count="1" selected="0">
            <x v="0"/>
          </reference>
          <reference field="5" count="1" selected="0">
            <x v="343"/>
          </reference>
          <reference field="6" count="1" selected="0">
            <x v="9"/>
          </reference>
          <reference field="9" count="1" selected="0">
            <x v="10"/>
          </reference>
          <reference field="11" count="1" selected="0">
            <x v="29"/>
          </reference>
          <reference field="12" count="1">
            <x v="6"/>
          </reference>
        </references>
      </pivotArea>
    </format>
    <format dxfId="10095">
      <pivotArea dataOnly="0" labelOnly="1" outline="0" fieldPosition="0">
        <references count="8">
          <reference field="1" count="0" selected="0"/>
          <reference field="3" count="1" selected="0">
            <x v="6"/>
          </reference>
          <reference field="4" count="1" selected="0">
            <x v="0"/>
          </reference>
          <reference field="5" count="1" selected="0">
            <x v="349"/>
          </reference>
          <reference field="6" count="1" selected="0">
            <x v="9"/>
          </reference>
          <reference field="9" count="1" selected="0">
            <x v="10"/>
          </reference>
          <reference field="11" count="1" selected="0">
            <x v="56"/>
          </reference>
          <reference field="12" count="1">
            <x v="8"/>
          </reference>
        </references>
      </pivotArea>
    </format>
    <format dxfId="10094">
      <pivotArea dataOnly="0" labelOnly="1" outline="0" fieldPosition="0">
        <references count="8">
          <reference field="1" count="0" selected="0"/>
          <reference field="3" count="1" selected="0">
            <x v="9"/>
          </reference>
          <reference field="4" count="1" selected="0">
            <x v="6"/>
          </reference>
          <reference field="5" count="1" selected="0">
            <x v="211"/>
          </reference>
          <reference field="6" count="1" selected="0">
            <x v="5"/>
          </reference>
          <reference field="9" count="1" selected="0">
            <x v="10"/>
          </reference>
          <reference field="11" count="1" selected="0">
            <x v="14"/>
          </reference>
          <reference field="12" count="1">
            <x v="31"/>
          </reference>
        </references>
      </pivotArea>
    </format>
    <format dxfId="10093">
      <pivotArea dataOnly="0" labelOnly="1" outline="0" fieldPosition="0">
        <references count="8">
          <reference field="1" count="0" selected="0"/>
          <reference field="3" count="1" selected="0">
            <x v="9"/>
          </reference>
          <reference field="4" count="1" selected="0">
            <x v="6"/>
          </reference>
          <reference field="5" count="1" selected="0">
            <x v="212"/>
          </reference>
          <reference field="6" count="1" selected="0">
            <x v="5"/>
          </reference>
          <reference field="9" count="1" selected="0">
            <x v="10"/>
          </reference>
          <reference field="11" count="1" selected="0">
            <x v="14"/>
          </reference>
          <reference field="12" count="1">
            <x v="3"/>
          </reference>
        </references>
      </pivotArea>
    </format>
    <format dxfId="10092">
      <pivotArea dataOnly="0" labelOnly="1" outline="0" fieldPosition="0">
        <references count="9">
          <reference field="1" count="0" selected="0"/>
          <reference field="3" count="1" selected="0">
            <x v="0"/>
          </reference>
          <reference field="4" count="1" selected="0">
            <x v="3"/>
          </reference>
          <reference field="5" count="1" selected="0">
            <x v="167"/>
          </reference>
          <reference field="6" count="1" selected="0">
            <x v="7"/>
          </reference>
          <reference field="9" count="1" selected="0">
            <x v="10"/>
          </reference>
          <reference field="11" count="1" selected="0">
            <x v="10"/>
          </reference>
          <reference field="12" count="1" selected="0">
            <x v="28"/>
          </reference>
          <reference field="13" count="1">
            <x v="3"/>
          </reference>
        </references>
      </pivotArea>
    </format>
    <format dxfId="10091">
      <pivotArea dataOnly="0" labelOnly="1" outline="0" fieldPosition="0">
        <references count="9">
          <reference field="1" count="0" selected="0"/>
          <reference field="3" count="1" selected="0">
            <x v="3"/>
          </reference>
          <reference field="4" count="1" selected="0">
            <x v="1"/>
          </reference>
          <reference field="5" count="1" selected="0">
            <x v="205"/>
          </reference>
          <reference field="6" count="1" selected="0">
            <x v="2"/>
          </reference>
          <reference field="9" count="1" selected="0">
            <x v="10"/>
          </reference>
          <reference field="11" count="1" selected="0">
            <x v="26"/>
          </reference>
          <reference field="12" count="1" selected="0">
            <x v="26"/>
          </reference>
          <reference field="13" count="1">
            <x v="3"/>
          </reference>
        </references>
      </pivotArea>
    </format>
    <format dxfId="10090">
      <pivotArea dataOnly="0" labelOnly="1" outline="0" fieldPosition="0">
        <references count="9">
          <reference field="1" count="0" selected="0"/>
          <reference field="3" count="1" selected="0">
            <x v="4"/>
          </reference>
          <reference field="4" count="1" selected="0">
            <x v="1"/>
          </reference>
          <reference field="5" count="1" selected="0">
            <x v="218"/>
          </reference>
          <reference field="6" count="1" selected="0">
            <x v="2"/>
          </reference>
          <reference field="9" count="1" selected="0">
            <x v="10"/>
          </reference>
          <reference field="11" count="1" selected="0">
            <x v="47"/>
          </reference>
          <reference field="12" count="1" selected="0">
            <x v="0"/>
          </reference>
          <reference field="13" count="1">
            <x v="4"/>
          </reference>
        </references>
      </pivotArea>
    </format>
    <format dxfId="10089">
      <pivotArea dataOnly="0" labelOnly="1" outline="0" fieldPosition="0">
        <references count="9">
          <reference field="1" count="0" selected="0"/>
          <reference field="3" count="1" selected="0">
            <x v="4"/>
          </reference>
          <reference field="4" count="1" selected="0">
            <x v="1"/>
          </reference>
          <reference field="5" count="1" selected="0">
            <x v="332"/>
          </reference>
          <reference field="6" count="1" selected="0">
            <x v="2"/>
          </reference>
          <reference field="9" count="1" selected="0">
            <x v="10"/>
          </reference>
          <reference field="11" count="1" selected="0">
            <x v="14"/>
          </reference>
          <reference field="12" count="1" selected="0">
            <x v="8"/>
          </reference>
          <reference field="13" count="1">
            <x v="3"/>
          </reference>
        </references>
      </pivotArea>
    </format>
    <format dxfId="10088">
      <pivotArea dataOnly="0" labelOnly="1" outline="0" fieldPosition="0">
        <references count="9">
          <reference field="1" count="0" selected="0"/>
          <reference field="3" count="1" selected="0">
            <x v="6"/>
          </reference>
          <reference field="4" count="1" selected="0">
            <x v="0"/>
          </reference>
          <reference field="5" count="1" selected="0">
            <x v="126"/>
          </reference>
          <reference field="6" count="1" selected="0">
            <x v="9"/>
          </reference>
          <reference field="9" count="1" selected="0">
            <x v="10"/>
          </reference>
          <reference field="11" count="1" selected="0">
            <x v="32"/>
          </reference>
          <reference field="12" count="1" selected="0">
            <x v="8"/>
          </reference>
          <reference field="13" count="1">
            <x v="3"/>
          </reference>
        </references>
      </pivotArea>
    </format>
    <format dxfId="10087">
      <pivotArea dataOnly="0" labelOnly="1" outline="0" fieldPosition="0">
        <references count="10">
          <reference field="1" count="0" selected="0"/>
          <reference field="3" count="1" selected="0">
            <x v="0"/>
          </reference>
          <reference field="4" count="1" selected="0">
            <x v="3"/>
          </reference>
          <reference field="5" count="1" selected="0">
            <x v="167"/>
          </reference>
          <reference field="6" count="1" selected="0">
            <x v="7"/>
          </reference>
          <reference field="9" count="1" selected="0">
            <x v="10"/>
          </reference>
          <reference field="11" count="1" selected="0">
            <x v="10"/>
          </reference>
          <reference field="12" count="1" selected="0">
            <x v="28"/>
          </reference>
          <reference field="13" count="1" selected="0">
            <x v="3"/>
          </reference>
          <reference field="14" count="1">
            <x v="53"/>
          </reference>
        </references>
      </pivotArea>
    </format>
    <format dxfId="10086">
      <pivotArea dataOnly="0" labelOnly="1" outline="0" fieldPosition="0">
        <references count="10">
          <reference field="1" count="0" selected="0"/>
          <reference field="3" count="1" selected="0">
            <x v="3"/>
          </reference>
          <reference field="4" count="1" selected="0">
            <x v="1"/>
          </reference>
          <reference field="5" count="1" selected="0">
            <x v="196"/>
          </reference>
          <reference field="6" count="1" selected="0">
            <x v="2"/>
          </reference>
          <reference field="9" count="1" selected="0">
            <x v="10"/>
          </reference>
          <reference field="11" count="1" selected="0">
            <x v="41"/>
          </reference>
          <reference field="12" count="1" selected="0">
            <x v="8"/>
          </reference>
          <reference field="13" count="1" selected="0">
            <x v="3"/>
          </reference>
          <reference field="14" count="1">
            <x v="24"/>
          </reference>
        </references>
      </pivotArea>
    </format>
    <format dxfId="10085">
      <pivotArea dataOnly="0" labelOnly="1" outline="0" fieldPosition="0">
        <references count="10">
          <reference field="1" count="0" selected="0"/>
          <reference field="3" count="1" selected="0">
            <x v="3"/>
          </reference>
          <reference field="4" count="1" selected="0">
            <x v="1"/>
          </reference>
          <reference field="5" count="1" selected="0">
            <x v="197"/>
          </reference>
          <reference field="6" count="1" selected="0">
            <x v="2"/>
          </reference>
          <reference field="9" count="1" selected="0">
            <x v="10"/>
          </reference>
          <reference field="11" count="1" selected="0">
            <x v="16"/>
          </reference>
          <reference field="12" count="1" selected="0">
            <x v="8"/>
          </reference>
          <reference field="13" count="1" selected="0">
            <x v="3"/>
          </reference>
          <reference field="14" count="1">
            <x v="17"/>
          </reference>
        </references>
      </pivotArea>
    </format>
    <format dxfId="10084">
      <pivotArea dataOnly="0" labelOnly="1" outline="0" fieldPosition="0">
        <references count="10">
          <reference field="1" count="0" selected="0"/>
          <reference field="3" count="1" selected="0">
            <x v="3"/>
          </reference>
          <reference field="4" count="1" selected="0">
            <x v="1"/>
          </reference>
          <reference field="5" count="1" selected="0">
            <x v="205"/>
          </reference>
          <reference field="6" count="1" selected="0">
            <x v="2"/>
          </reference>
          <reference field="9" count="1" selected="0">
            <x v="10"/>
          </reference>
          <reference field="11" count="1" selected="0">
            <x v="26"/>
          </reference>
          <reference field="12" count="1" selected="0">
            <x v="26"/>
          </reference>
          <reference field="13" count="1" selected="0">
            <x v="3"/>
          </reference>
          <reference field="14" count="1">
            <x v="40"/>
          </reference>
        </references>
      </pivotArea>
    </format>
    <format dxfId="10083">
      <pivotArea dataOnly="0" labelOnly="1" outline="0" fieldPosition="0">
        <references count="10">
          <reference field="1" count="0" selected="0"/>
          <reference field="3" count="1" selected="0">
            <x v="4"/>
          </reference>
          <reference field="4" count="1" selected="0">
            <x v="1"/>
          </reference>
          <reference field="5" count="1" selected="0">
            <x v="100"/>
          </reference>
          <reference field="6" count="1" selected="0">
            <x v="2"/>
          </reference>
          <reference field="9" count="1" selected="0">
            <x v="2"/>
          </reference>
          <reference field="11" count="1" selected="0">
            <x v="37"/>
          </reference>
          <reference field="12" count="1" selected="0">
            <x v="2"/>
          </reference>
          <reference field="13" count="1" selected="0">
            <x v="3"/>
          </reference>
          <reference field="14" count="1">
            <x v="17"/>
          </reference>
        </references>
      </pivotArea>
    </format>
    <format dxfId="10082">
      <pivotArea dataOnly="0" labelOnly="1" outline="0" fieldPosition="0">
        <references count="10">
          <reference field="1" count="0" selected="0"/>
          <reference field="3" count="1" selected="0">
            <x v="4"/>
          </reference>
          <reference field="4" count="1" selected="0">
            <x v="1"/>
          </reference>
          <reference field="5" count="1" selected="0">
            <x v="116"/>
          </reference>
          <reference field="6" count="1" selected="0">
            <x v="2"/>
          </reference>
          <reference field="9" count="1" selected="0">
            <x v="10"/>
          </reference>
          <reference field="11" count="1" selected="0">
            <x v="14"/>
          </reference>
          <reference field="12" count="1" selected="0">
            <x v="5"/>
          </reference>
          <reference field="13" count="1" selected="0">
            <x v="3"/>
          </reference>
          <reference field="14" count="1">
            <x v="49"/>
          </reference>
        </references>
      </pivotArea>
    </format>
    <format dxfId="10081">
      <pivotArea dataOnly="0" labelOnly="1" outline="0" fieldPosition="0">
        <references count="10">
          <reference field="1" count="0" selected="0"/>
          <reference field="3" count="1" selected="0">
            <x v="4"/>
          </reference>
          <reference field="4" count="1" selected="0">
            <x v="1"/>
          </reference>
          <reference field="5" count="1" selected="0">
            <x v="218"/>
          </reference>
          <reference field="6" count="1" selected="0">
            <x v="2"/>
          </reference>
          <reference field="9" count="1" selected="0">
            <x v="10"/>
          </reference>
          <reference field="11" count="1" selected="0">
            <x v="47"/>
          </reference>
          <reference field="12" count="1" selected="0">
            <x v="0"/>
          </reference>
          <reference field="13" count="1" selected="0">
            <x v="4"/>
          </reference>
          <reference field="14" count="1">
            <x v="17"/>
          </reference>
        </references>
      </pivotArea>
    </format>
    <format dxfId="10080">
      <pivotArea dataOnly="0" labelOnly="1" outline="0" fieldPosition="0">
        <references count="10">
          <reference field="1" count="0" selected="0"/>
          <reference field="3" count="1" selected="0">
            <x v="4"/>
          </reference>
          <reference field="4" count="1" selected="0">
            <x v="1"/>
          </reference>
          <reference field="5" count="1" selected="0">
            <x v="332"/>
          </reference>
          <reference field="6" count="1" selected="0">
            <x v="2"/>
          </reference>
          <reference field="9" count="1" selected="0">
            <x v="10"/>
          </reference>
          <reference field="11" count="1" selected="0">
            <x v="14"/>
          </reference>
          <reference field="12" count="1" selected="0">
            <x v="8"/>
          </reference>
          <reference field="13" count="1" selected="0">
            <x v="3"/>
          </reference>
          <reference field="14" count="1">
            <x v="17"/>
          </reference>
        </references>
      </pivotArea>
    </format>
    <format dxfId="10079">
      <pivotArea dataOnly="0" labelOnly="1" outline="0" fieldPosition="0">
        <references count="10">
          <reference field="1" count="0" selected="0"/>
          <reference field="3" count="1" selected="0">
            <x v="4"/>
          </reference>
          <reference field="4" count="1" selected="0">
            <x v="1"/>
          </reference>
          <reference field="5" count="1" selected="0">
            <x v="347"/>
          </reference>
          <reference field="6" count="1" selected="0">
            <x v="2"/>
          </reference>
          <reference field="9" count="1" selected="0">
            <x v="4"/>
          </reference>
          <reference field="11" count="1" selected="0">
            <x v="34"/>
          </reference>
          <reference field="12" count="1" selected="0">
            <x v="8"/>
          </reference>
          <reference field="13" count="1" selected="0">
            <x v="3"/>
          </reference>
          <reference field="14" count="1">
            <x v="17"/>
          </reference>
        </references>
      </pivotArea>
    </format>
    <format dxfId="10078">
      <pivotArea dataOnly="0" labelOnly="1" outline="0" fieldPosition="0">
        <references count="10">
          <reference field="1" count="0" selected="0"/>
          <reference field="3" count="1" selected="0">
            <x v="6"/>
          </reference>
          <reference field="4" count="1" selected="0">
            <x v="0"/>
          </reference>
          <reference field="5" count="1" selected="0">
            <x v="113"/>
          </reference>
          <reference field="6" count="1" selected="0">
            <x v="9"/>
          </reference>
          <reference field="9" count="1" selected="0">
            <x v="10"/>
          </reference>
          <reference field="11" count="1" selected="0">
            <x v="50"/>
          </reference>
          <reference field="12" count="1" selected="0">
            <x v="8"/>
          </reference>
          <reference field="13" count="1" selected="0">
            <x v="3"/>
          </reference>
          <reference field="14" count="1">
            <x v="48"/>
          </reference>
        </references>
      </pivotArea>
    </format>
    <format dxfId="10077">
      <pivotArea dataOnly="0" labelOnly="1" outline="0" fieldPosition="0">
        <references count="10">
          <reference field="1" count="0" selected="0"/>
          <reference field="3" count="1" selected="0">
            <x v="6"/>
          </reference>
          <reference field="4" count="1" selected="0">
            <x v="0"/>
          </reference>
          <reference field="5" count="1" selected="0">
            <x v="126"/>
          </reference>
          <reference field="6" count="1" selected="0">
            <x v="9"/>
          </reference>
          <reference field="9" count="1" selected="0">
            <x v="10"/>
          </reference>
          <reference field="11" count="1" selected="0">
            <x v="32"/>
          </reference>
          <reference field="12" count="1" selected="0">
            <x v="8"/>
          </reference>
          <reference field="13" count="1" selected="0">
            <x v="3"/>
          </reference>
          <reference field="14" count="1">
            <x v="52"/>
          </reference>
        </references>
      </pivotArea>
    </format>
    <format dxfId="10076">
      <pivotArea dataOnly="0" labelOnly="1" outline="0" fieldPosition="0">
        <references count="10">
          <reference field="1" count="0" selected="0"/>
          <reference field="3" count="1" selected="0">
            <x v="6"/>
          </reference>
          <reference field="4" count="1" selected="0">
            <x v="0"/>
          </reference>
          <reference field="5" count="1" selected="0">
            <x v="145"/>
          </reference>
          <reference field="6" count="1" selected="0">
            <x v="9"/>
          </reference>
          <reference field="9" count="1" selected="0">
            <x v="10"/>
          </reference>
          <reference field="11" count="1" selected="0">
            <x v="14"/>
          </reference>
          <reference field="12" count="1" selected="0">
            <x v="8"/>
          </reference>
          <reference field="13" count="1" selected="0">
            <x v="3"/>
          </reference>
          <reference field="14" count="1">
            <x v="17"/>
          </reference>
        </references>
      </pivotArea>
    </format>
    <format dxfId="10075">
      <pivotArea dataOnly="0" labelOnly="1" outline="0" fieldPosition="0">
        <references count="10">
          <reference field="1" count="0" selected="0"/>
          <reference field="3" count="1" selected="0">
            <x v="6"/>
          </reference>
          <reference field="4" count="1" selected="0">
            <x v="0"/>
          </reference>
          <reference field="5" count="1" selected="0">
            <x v="146"/>
          </reference>
          <reference field="6" count="1" selected="0">
            <x v="9"/>
          </reference>
          <reference field="9" count="1" selected="0">
            <x v="10"/>
          </reference>
          <reference field="11" count="1" selected="0">
            <x v="8"/>
          </reference>
          <reference field="12" count="1" selected="0">
            <x v="21"/>
          </reference>
          <reference field="13" count="1" selected="0">
            <x v="3"/>
          </reference>
          <reference field="14" count="1">
            <x v="17"/>
          </reference>
        </references>
      </pivotArea>
    </format>
    <format dxfId="10074">
      <pivotArea dataOnly="0" labelOnly="1" outline="0" fieldPosition="0">
        <references count="10">
          <reference field="1" count="0" selected="0"/>
          <reference field="3" count="1" selected="0">
            <x v="6"/>
          </reference>
          <reference field="4" count="1" selected="0">
            <x v="0"/>
          </reference>
          <reference field="5" count="1" selected="0">
            <x v="165"/>
          </reference>
          <reference field="6" count="1" selected="0">
            <x v="9"/>
          </reference>
          <reference field="9" count="1" selected="0">
            <x v="10"/>
          </reference>
          <reference field="11" count="1" selected="0">
            <x v="14"/>
          </reference>
          <reference field="12" count="1" selected="0">
            <x v="3"/>
          </reference>
          <reference field="13" count="1" selected="0">
            <x v="3"/>
          </reference>
          <reference field="14" count="1">
            <x v="17"/>
          </reference>
        </references>
      </pivotArea>
    </format>
    <format dxfId="10073">
      <pivotArea dataOnly="0" labelOnly="1" outline="0" fieldPosition="0">
        <references count="10">
          <reference field="1" count="0" selected="0"/>
          <reference field="3" count="1" selected="0">
            <x v="6"/>
          </reference>
          <reference field="4" count="1" selected="0">
            <x v="0"/>
          </reference>
          <reference field="5" count="1" selected="0">
            <x v="174"/>
          </reference>
          <reference field="6" count="1" selected="0">
            <x v="9"/>
          </reference>
          <reference field="9" count="1" selected="0">
            <x v="10"/>
          </reference>
          <reference field="11" count="1" selected="0">
            <x v="13"/>
          </reference>
          <reference field="12" count="1" selected="0">
            <x v="14"/>
          </reference>
          <reference field="13" count="1" selected="0">
            <x v="3"/>
          </reference>
          <reference field="14" count="1">
            <x v="17"/>
          </reference>
        </references>
      </pivotArea>
    </format>
    <format dxfId="10072">
      <pivotArea dataOnly="0" labelOnly="1" outline="0" fieldPosition="0">
        <references count="10">
          <reference field="1" count="0" selected="0"/>
          <reference field="3" count="1" selected="0">
            <x v="6"/>
          </reference>
          <reference field="4" count="1" selected="0">
            <x v="0"/>
          </reference>
          <reference field="5" count="1" selected="0">
            <x v="175"/>
          </reference>
          <reference field="6" count="1" selected="0">
            <x v="9"/>
          </reference>
          <reference field="9" count="1" selected="0">
            <x v="10"/>
          </reference>
          <reference field="11" count="1" selected="0">
            <x v="14"/>
          </reference>
          <reference field="12" count="1" selected="0">
            <x v="15"/>
          </reference>
          <reference field="13" count="1" selected="0">
            <x v="3"/>
          </reference>
          <reference field="14" count="1">
            <x v="15"/>
          </reference>
        </references>
      </pivotArea>
    </format>
    <format dxfId="10071">
      <pivotArea dataOnly="0" labelOnly="1" outline="0" fieldPosition="0">
        <references count="10">
          <reference field="1" count="0" selected="0"/>
          <reference field="3" count="1" selected="0">
            <x v="6"/>
          </reference>
          <reference field="4" count="1" selected="0">
            <x v="0"/>
          </reference>
          <reference field="5" count="1" selected="0">
            <x v="182"/>
          </reference>
          <reference field="6" count="1" selected="0">
            <x v="9"/>
          </reference>
          <reference field="9" count="1" selected="0">
            <x v="10"/>
          </reference>
          <reference field="11" count="1" selected="0">
            <x v="14"/>
          </reference>
          <reference field="12" count="1" selected="0">
            <x v="3"/>
          </reference>
          <reference field="13" count="1" selected="0">
            <x v="3"/>
          </reference>
          <reference field="14" count="1">
            <x v="17"/>
          </reference>
        </references>
      </pivotArea>
    </format>
    <format dxfId="10070">
      <pivotArea dataOnly="0" labelOnly="1" outline="0" fieldPosition="0">
        <references count="10">
          <reference field="1" count="0" selected="0"/>
          <reference field="3" count="1" selected="0">
            <x v="6"/>
          </reference>
          <reference field="4" count="1" selected="0">
            <x v="0"/>
          </reference>
          <reference field="5" count="1" selected="0">
            <x v="189"/>
          </reference>
          <reference field="6" count="1" selected="0">
            <x v="9"/>
          </reference>
          <reference field="9" count="1" selected="0">
            <x v="10"/>
          </reference>
          <reference field="11" count="1" selected="0">
            <x v="26"/>
          </reference>
          <reference field="12" count="1" selected="0">
            <x v="26"/>
          </reference>
          <reference field="13" count="1" selected="0">
            <x v="3"/>
          </reference>
          <reference field="14" count="1">
            <x v="40"/>
          </reference>
        </references>
      </pivotArea>
    </format>
    <format dxfId="10069">
      <pivotArea dataOnly="0" labelOnly="1" outline="0" fieldPosition="0">
        <references count="10">
          <reference field="1" count="0" selected="0"/>
          <reference field="3" count="1" selected="0">
            <x v="6"/>
          </reference>
          <reference field="4" count="1" selected="0">
            <x v="0"/>
          </reference>
          <reference field="5" count="1" selected="0">
            <x v="190"/>
          </reference>
          <reference field="6" count="1" selected="0">
            <x v="9"/>
          </reference>
          <reference field="9" count="1" selected="0">
            <x v="10"/>
          </reference>
          <reference field="11" count="1" selected="0">
            <x v="14"/>
          </reference>
          <reference field="12" count="1" selected="0">
            <x v="10"/>
          </reference>
          <reference field="13" count="1" selected="0">
            <x v="3"/>
          </reference>
          <reference field="14" count="1">
            <x v="12"/>
          </reference>
        </references>
      </pivotArea>
    </format>
    <format dxfId="10068">
      <pivotArea dataOnly="0" labelOnly="1" outline="0" fieldPosition="0">
        <references count="10">
          <reference field="1" count="0" selected="0"/>
          <reference field="3" count="1" selected="0">
            <x v="6"/>
          </reference>
          <reference field="4" count="1" selected="0">
            <x v="0"/>
          </reference>
          <reference field="5" count="1" selected="0">
            <x v="343"/>
          </reference>
          <reference field="6" count="1" selected="0">
            <x v="9"/>
          </reference>
          <reference field="9" count="1" selected="0">
            <x v="10"/>
          </reference>
          <reference field="11" count="1" selected="0">
            <x v="29"/>
          </reference>
          <reference field="12" count="1" selected="0">
            <x v="6"/>
          </reference>
          <reference field="13" count="1" selected="0">
            <x v="3"/>
          </reference>
          <reference field="14" count="1">
            <x v="34"/>
          </reference>
        </references>
      </pivotArea>
    </format>
    <format dxfId="10067">
      <pivotArea dataOnly="0" labelOnly="1" outline="0" fieldPosition="0">
        <references count="10">
          <reference field="1" count="0" selected="0"/>
          <reference field="3" count="1" selected="0">
            <x v="6"/>
          </reference>
          <reference field="4" count="1" selected="0">
            <x v="0"/>
          </reference>
          <reference field="5" count="1" selected="0">
            <x v="349"/>
          </reference>
          <reference field="6" count="1" selected="0">
            <x v="9"/>
          </reference>
          <reference field="9" count="1" selected="0">
            <x v="10"/>
          </reference>
          <reference field="11" count="1" selected="0">
            <x v="56"/>
          </reference>
          <reference field="12" count="1" selected="0">
            <x v="8"/>
          </reference>
          <reference field="13" count="1" selected="0">
            <x v="3"/>
          </reference>
          <reference field="14" count="1">
            <x v="57"/>
          </reference>
        </references>
      </pivotArea>
    </format>
    <format dxfId="10066">
      <pivotArea dataOnly="0" labelOnly="1" outline="0" fieldPosition="0">
        <references count="10">
          <reference field="1" count="0" selected="0"/>
          <reference field="3" count="1" selected="0">
            <x v="8"/>
          </reference>
          <reference field="4" count="1" selected="0">
            <x v="3"/>
          </reference>
          <reference field="5" count="1" selected="0">
            <x v="135"/>
          </reference>
          <reference field="6" count="1" selected="0">
            <x v="3"/>
          </reference>
          <reference field="9" count="1" selected="0">
            <x v="10"/>
          </reference>
          <reference field="11" count="1" selected="0">
            <x v="14"/>
          </reference>
          <reference field="12" count="1" selected="0">
            <x v="8"/>
          </reference>
          <reference field="13" count="1" selected="0">
            <x v="3"/>
          </reference>
          <reference field="14" count="1">
            <x v="17"/>
          </reference>
        </references>
      </pivotArea>
    </format>
    <format dxfId="10065">
      <pivotArea dataOnly="0" labelOnly="1" outline="0" fieldPosition="0">
        <references count="10">
          <reference field="1" count="0" selected="0"/>
          <reference field="3" count="1" selected="0">
            <x v="8"/>
          </reference>
          <reference field="4" count="1" selected="0">
            <x v="3"/>
          </reference>
          <reference field="5" count="1" selected="0">
            <x v="136"/>
          </reference>
          <reference field="6" count="1" selected="0">
            <x v="3"/>
          </reference>
          <reference field="9" count="1" selected="0">
            <x v="10"/>
          </reference>
          <reference field="11" count="1" selected="0">
            <x v="16"/>
          </reference>
          <reference field="12" count="1" selected="0">
            <x v="8"/>
          </reference>
          <reference field="13" count="1" selected="0">
            <x v="3"/>
          </reference>
          <reference field="14" count="1">
            <x v="17"/>
          </reference>
        </references>
      </pivotArea>
    </format>
    <format dxfId="10064">
      <pivotArea dataOnly="0" labelOnly="1" outline="0" fieldPosition="0">
        <references count="10">
          <reference field="1" count="0" selected="0"/>
          <reference field="3" count="1" selected="0">
            <x v="9"/>
          </reference>
          <reference field="4" count="1" selected="0">
            <x v="6"/>
          </reference>
          <reference field="5" count="1" selected="0">
            <x v="211"/>
          </reference>
          <reference field="6" count="1" selected="0">
            <x v="5"/>
          </reference>
          <reference field="9" count="1" selected="0">
            <x v="10"/>
          </reference>
          <reference field="11" count="1" selected="0">
            <x v="14"/>
          </reference>
          <reference field="12" count="1" selected="0">
            <x v="31"/>
          </reference>
          <reference field="13" count="1" selected="0">
            <x v="3"/>
          </reference>
          <reference field="14" count="1">
            <x v="17"/>
          </reference>
        </references>
      </pivotArea>
    </format>
    <format dxfId="10063">
      <pivotArea dataOnly="0" labelOnly="1" outline="0" fieldPosition="0">
        <references count="10">
          <reference field="1" count="0" selected="0"/>
          <reference field="3" count="1" selected="0">
            <x v="9"/>
          </reference>
          <reference field="4" count="1" selected="0">
            <x v="6"/>
          </reference>
          <reference field="5" count="1" selected="0">
            <x v="212"/>
          </reference>
          <reference field="6" count="1" selected="0">
            <x v="5"/>
          </reference>
          <reference field="9" count="1" selected="0">
            <x v="10"/>
          </reference>
          <reference field="11" count="1" selected="0">
            <x v="14"/>
          </reference>
          <reference field="12" count="1" selected="0">
            <x v="3"/>
          </reference>
          <reference field="13" count="1" selected="0">
            <x v="3"/>
          </reference>
          <reference field="14" count="1">
            <x v="17"/>
          </reference>
        </references>
      </pivotArea>
    </format>
    <format dxfId="10062">
      <pivotArea dataOnly="0" labelOnly="1" outline="0" fieldPosition="0">
        <references count="7">
          <reference field="1" count="0" selected="0"/>
          <reference field="3" count="1" selected="0">
            <x v="0"/>
          </reference>
          <reference field="4" count="1" selected="0">
            <x v="3"/>
          </reference>
          <reference field="5" count="1" selected="0">
            <x v="167"/>
          </reference>
          <reference field="6" count="1" selected="0">
            <x v="7"/>
          </reference>
          <reference field="9" count="1" selected="0">
            <x v="10"/>
          </reference>
          <reference field="11" count="1">
            <x v="10"/>
          </reference>
        </references>
      </pivotArea>
    </format>
    <format dxfId="10061">
      <pivotArea dataOnly="0" labelOnly="1" outline="0" fieldPosition="0">
        <references count="7">
          <reference field="1" count="0" selected="0"/>
          <reference field="3" count="1" selected="0">
            <x v="3"/>
          </reference>
          <reference field="4" count="1" selected="0">
            <x v="1"/>
          </reference>
          <reference field="5" count="1" selected="0">
            <x v="196"/>
          </reference>
          <reference field="6" count="1" selected="0">
            <x v="2"/>
          </reference>
          <reference field="9" count="1" selected="0">
            <x v="10"/>
          </reference>
          <reference field="11" count="1">
            <x v="41"/>
          </reference>
        </references>
      </pivotArea>
    </format>
    <format dxfId="10060">
      <pivotArea dataOnly="0" labelOnly="1" outline="0" fieldPosition="0">
        <references count="7">
          <reference field="1" count="0" selected="0"/>
          <reference field="3" count="1" selected="0">
            <x v="3"/>
          </reference>
          <reference field="4" count="1" selected="0">
            <x v="1"/>
          </reference>
          <reference field="5" count="1" selected="0">
            <x v="197"/>
          </reference>
          <reference field="6" count="1" selected="0">
            <x v="2"/>
          </reference>
          <reference field="9" count="1" selected="0">
            <x v="10"/>
          </reference>
          <reference field="11" count="1">
            <x v="16"/>
          </reference>
        </references>
      </pivotArea>
    </format>
    <format dxfId="10059">
      <pivotArea dataOnly="0" labelOnly="1" outline="0" fieldPosition="0">
        <references count="7">
          <reference field="1" count="0" selected="0"/>
          <reference field="3" count="1" selected="0">
            <x v="3"/>
          </reference>
          <reference field="4" count="1" selected="0">
            <x v="1"/>
          </reference>
          <reference field="5" count="1" selected="0">
            <x v="205"/>
          </reference>
          <reference field="6" count="1" selected="0">
            <x v="2"/>
          </reference>
          <reference field="9" count="1" selected="0">
            <x v="10"/>
          </reference>
          <reference field="11" count="1">
            <x v="26"/>
          </reference>
        </references>
      </pivotArea>
    </format>
    <format dxfId="10058">
      <pivotArea dataOnly="0" labelOnly="1" outline="0" fieldPosition="0">
        <references count="7">
          <reference field="1" count="0" selected="0"/>
          <reference field="3" count="1" selected="0">
            <x v="4"/>
          </reference>
          <reference field="4" count="1" selected="0">
            <x v="1"/>
          </reference>
          <reference field="5" count="1" selected="0">
            <x v="100"/>
          </reference>
          <reference field="6" count="1" selected="0">
            <x v="2"/>
          </reference>
          <reference field="9" count="1" selected="0">
            <x v="2"/>
          </reference>
          <reference field="11" count="1">
            <x v="37"/>
          </reference>
        </references>
      </pivotArea>
    </format>
    <format dxfId="10057">
      <pivotArea dataOnly="0" labelOnly="1" outline="0" fieldPosition="0">
        <references count="7">
          <reference field="1" count="0" selected="0"/>
          <reference field="3" count="1" selected="0">
            <x v="4"/>
          </reference>
          <reference field="4" count="1" selected="0">
            <x v="1"/>
          </reference>
          <reference field="5" count="1" selected="0">
            <x v="116"/>
          </reference>
          <reference field="6" count="1" selected="0">
            <x v="2"/>
          </reference>
          <reference field="9" count="1" selected="0">
            <x v="10"/>
          </reference>
          <reference field="11" count="1">
            <x v="14"/>
          </reference>
        </references>
      </pivotArea>
    </format>
    <format dxfId="10056">
      <pivotArea dataOnly="0" labelOnly="1" outline="0" fieldPosition="0">
        <references count="7">
          <reference field="1" count="0" selected="0"/>
          <reference field="3" count="1" selected="0">
            <x v="4"/>
          </reference>
          <reference field="4" count="1" selected="0">
            <x v="1"/>
          </reference>
          <reference field="5" count="1" selected="0">
            <x v="218"/>
          </reference>
          <reference field="6" count="1" selected="0">
            <x v="2"/>
          </reference>
          <reference field="9" count="1" selected="0">
            <x v="10"/>
          </reference>
          <reference field="11" count="1">
            <x v="47"/>
          </reference>
        </references>
      </pivotArea>
    </format>
    <format dxfId="10055">
      <pivotArea dataOnly="0" labelOnly="1" outline="0" fieldPosition="0">
        <references count="7">
          <reference field="1" count="0" selected="0"/>
          <reference field="3" count="1" selected="0">
            <x v="4"/>
          </reference>
          <reference field="4" count="1" selected="0">
            <x v="1"/>
          </reference>
          <reference field="5" count="1" selected="0">
            <x v="332"/>
          </reference>
          <reference field="6" count="1" selected="0">
            <x v="2"/>
          </reference>
          <reference field="9" count="1" selected="0">
            <x v="10"/>
          </reference>
          <reference field="11" count="1">
            <x v="14"/>
          </reference>
        </references>
      </pivotArea>
    </format>
    <format dxfId="10054">
      <pivotArea dataOnly="0" labelOnly="1" outline="0" fieldPosition="0">
        <references count="7">
          <reference field="1" count="0" selected="0"/>
          <reference field="3" count="1" selected="0">
            <x v="4"/>
          </reference>
          <reference field="4" count="1" selected="0">
            <x v="1"/>
          </reference>
          <reference field="5" count="1" selected="0">
            <x v="347"/>
          </reference>
          <reference field="6" count="1" selected="0">
            <x v="2"/>
          </reference>
          <reference field="9" count="1" selected="0">
            <x v="4"/>
          </reference>
          <reference field="11" count="1">
            <x v="34"/>
          </reference>
        </references>
      </pivotArea>
    </format>
    <format dxfId="10053">
      <pivotArea dataOnly="0" labelOnly="1" outline="0" fieldPosition="0">
        <references count="7">
          <reference field="1" count="0" selected="0"/>
          <reference field="3" count="1" selected="0">
            <x v="6"/>
          </reference>
          <reference field="4" count="1" selected="0">
            <x v="0"/>
          </reference>
          <reference field="5" count="1" selected="0">
            <x v="113"/>
          </reference>
          <reference field="6" count="1" selected="0">
            <x v="9"/>
          </reference>
          <reference field="9" count="1" selected="0">
            <x v="10"/>
          </reference>
          <reference field="11" count="1">
            <x v="50"/>
          </reference>
        </references>
      </pivotArea>
    </format>
    <format dxfId="10052">
      <pivotArea dataOnly="0" labelOnly="1" outline="0" fieldPosition="0">
        <references count="7">
          <reference field="1" count="0" selected="0"/>
          <reference field="3" count="1" selected="0">
            <x v="6"/>
          </reference>
          <reference field="4" count="1" selected="0">
            <x v="0"/>
          </reference>
          <reference field="5" count="1" selected="0">
            <x v="126"/>
          </reference>
          <reference field="6" count="1" selected="0">
            <x v="9"/>
          </reference>
          <reference field="9" count="1" selected="0">
            <x v="10"/>
          </reference>
          <reference field="11" count="1">
            <x v="32"/>
          </reference>
        </references>
      </pivotArea>
    </format>
    <format dxfId="10051">
      <pivotArea dataOnly="0" labelOnly="1" outline="0" fieldPosition="0">
        <references count="7">
          <reference field="1" count="0" selected="0"/>
          <reference field="3" count="1" selected="0">
            <x v="6"/>
          </reference>
          <reference field="4" count="1" selected="0">
            <x v="0"/>
          </reference>
          <reference field="5" count="1" selected="0">
            <x v="145"/>
          </reference>
          <reference field="6" count="1" selected="0">
            <x v="9"/>
          </reference>
          <reference field="9" count="1" selected="0">
            <x v="10"/>
          </reference>
          <reference field="11" count="1">
            <x v="14"/>
          </reference>
        </references>
      </pivotArea>
    </format>
    <format dxfId="10050">
      <pivotArea dataOnly="0" labelOnly="1" outline="0" fieldPosition="0">
        <references count="7">
          <reference field="1" count="0" selected="0"/>
          <reference field="3" count="1" selected="0">
            <x v="6"/>
          </reference>
          <reference field="4" count="1" selected="0">
            <x v="0"/>
          </reference>
          <reference field="5" count="1" selected="0">
            <x v="146"/>
          </reference>
          <reference field="6" count="1" selected="0">
            <x v="9"/>
          </reference>
          <reference field="9" count="1" selected="0">
            <x v="10"/>
          </reference>
          <reference field="11" count="1">
            <x v="8"/>
          </reference>
        </references>
      </pivotArea>
    </format>
    <format dxfId="10049">
      <pivotArea dataOnly="0" labelOnly="1" outline="0" fieldPosition="0">
        <references count="7">
          <reference field="1" count="0" selected="0"/>
          <reference field="3" count="1" selected="0">
            <x v="6"/>
          </reference>
          <reference field="4" count="1" selected="0">
            <x v="0"/>
          </reference>
          <reference field="5" count="1" selected="0">
            <x v="165"/>
          </reference>
          <reference field="6" count="1" selected="0">
            <x v="9"/>
          </reference>
          <reference field="9" count="1" selected="0">
            <x v="10"/>
          </reference>
          <reference field="11" count="1">
            <x v="14"/>
          </reference>
        </references>
      </pivotArea>
    </format>
    <format dxfId="10048">
      <pivotArea dataOnly="0" labelOnly="1" outline="0" fieldPosition="0">
        <references count="7">
          <reference field="1" count="0" selected="0"/>
          <reference field="3" count="1" selected="0">
            <x v="6"/>
          </reference>
          <reference field="4" count="1" selected="0">
            <x v="0"/>
          </reference>
          <reference field="5" count="1" selected="0">
            <x v="174"/>
          </reference>
          <reference field="6" count="1" selected="0">
            <x v="9"/>
          </reference>
          <reference field="9" count="1" selected="0">
            <x v="10"/>
          </reference>
          <reference field="11" count="1">
            <x v="13"/>
          </reference>
        </references>
      </pivotArea>
    </format>
    <format dxfId="10047">
      <pivotArea dataOnly="0" labelOnly="1" outline="0" fieldPosition="0">
        <references count="7">
          <reference field="1" count="0" selected="0"/>
          <reference field="3" count="1" selected="0">
            <x v="6"/>
          </reference>
          <reference field="4" count="1" selected="0">
            <x v="0"/>
          </reference>
          <reference field="5" count="1" selected="0">
            <x v="175"/>
          </reference>
          <reference field="6" count="1" selected="0">
            <x v="9"/>
          </reference>
          <reference field="9" count="1" selected="0">
            <x v="10"/>
          </reference>
          <reference field="11" count="1">
            <x v="14"/>
          </reference>
        </references>
      </pivotArea>
    </format>
    <format dxfId="10046">
      <pivotArea dataOnly="0" labelOnly="1" outline="0" fieldPosition="0">
        <references count="7">
          <reference field="1" count="0" selected="0"/>
          <reference field="3" count="1" selected="0">
            <x v="6"/>
          </reference>
          <reference field="4" count="1" selected="0">
            <x v="0"/>
          </reference>
          <reference field="5" count="1" selected="0">
            <x v="182"/>
          </reference>
          <reference field="6" count="1" selected="0">
            <x v="9"/>
          </reference>
          <reference field="9" count="1" selected="0">
            <x v="10"/>
          </reference>
          <reference field="11" count="1">
            <x v="14"/>
          </reference>
        </references>
      </pivotArea>
    </format>
    <format dxfId="10045">
      <pivotArea dataOnly="0" labelOnly="1" outline="0" fieldPosition="0">
        <references count="7">
          <reference field="1" count="0" selected="0"/>
          <reference field="3" count="1" selected="0">
            <x v="6"/>
          </reference>
          <reference field="4" count="1" selected="0">
            <x v="0"/>
          </reference>
          <reference field="5" count="1" selected="0">
            <x v="189"/>
          </reference>
          <reference field="6" count="1" selected="0">
            <x v="9"/>
          </reference>
          <reference field="9" count="1" selected="0">
            <x v="10"/>
          </reference>
          <reference field="11" count="1">
            <x v="26"/>
          </reference>
        </references>
      </pivotArea>
    </format>
    <format dxfId="10044">
      <pivotArea dataOnly="0" labelOnly="1" outline="0" fieldPosition="0">
        <references count="7">
          <reference field="1" count="0" selected="0"/>
          <reference field="3" count="1" selected="0">
            <x v="6"/>
          </reference>
          <reference field="4" count="1" selected="0">
            <x v="0"/>
          </reference>
          <reference field="5" count="1" selected="0">
            <x v="190"/>
          </reference>
          <reference field="6" count="1" selected="0">
            <x v="9"/>
          </reference>
          <reference field="9" count="1" selected="0">
            <x v="10"/>
          </reference>
          <reference field="11" count="1">
            <x v="14"/>
          </reference>
        </references>
      </pivotArea>
    </format>
    <format dxfId="10043">
      <pivotArea dataOnly="0" labelOnly="1" outline="0" fieldPosition="0">
        <references count="7">
          <reference field="1" count="0" selected="0"/>
          <reference field="3" count="1" selected="0">
            <x v="6"/>
          </reference>
          <reference field="4" count="1" selected="0">
            <x v="0"/>
          </reference>
          <reference field="5" count="1" selected="0">
            <x v="343"/>
          </reference>
          <reference field="6" count="1" selected="0">
            <x v="9"/>
          </reference>
          <reference field="9" count="1" selected="0">
            <x v="10"/>
          </reference>
          <reference field="11" count="1">
            <x v="29"/>
          </reference>
        </references>
      </pivotArea>
    </format>
    <format dxfId="10042">
      <pivotArea dataOnly="0" labelOnly="1" outline="0" fieldPosition="0">
        <references count="7">
          <reference field="1" count="0" selected="0"/>
          <reference field="3" count="1" selected="0">
            <x v="6"/>
          </reference>
          <reference field="4" count="1" selected="0">
            <x v="0"/>
          </reference>
          <reference field="5" count="1" selected="0">
            <x v="349"/>
          </reference>
          <reference field="6" count="1" selected="0">
            <x v="9"/>
          </reference>
          <reference field="9" count="1" selected="0">
            <x v="10"/>
          </reference>
          <reference field="11" count="1">
            <x v="56"/>
          </reference>
        </references>
      </pivotArea>
    </format>
    <format dxfId="10041">
      <pivotArea dataOnly="0" labelOnly="1" outline="0" fieldPosition="0">
        <references count="7">
          <reference field="1" count="0" selected="0"/>
          <reference field="3" count="1" selected="0">
            <x v="8"/>
          </reference>
          <reference field="4" count="1" selected="0">
            <x v="3"/>
          </reference>
          <reference field="5" count="1" selected="0">
            <x v="135"/>
          </reference>
          <reference field="6" count="1" selected="0">
            <x v="3"/>
          </reference>
          <reference field="9" count="1" selected="0">
            <x v="10"/>
          </reference>
          <reference field="11" count="1">
            <x v="14"/>
          </reference>
        </references>
      </pivotArea>
    </format>
    <format dxfId="10040">
      <pivotArea dataOnly="0" labelOnly="1" outline="0" fieldPosition="0">
        <references count="7">
          <reference field="1" count="0" selected="0"/>
          <reference field="3" count="1" selected="0">
            <x v="8"/>
          </reference>
          <reference field="4" count="1" selected="0">
            <x v="3"/>
          </reference>
          <reference field="5" count="1" selected="0">
            <x v="136"/>
          </reference>
          <reference field="6" count="1" selected="0">
            <x v="3"/>
          </reference>
          <reference field="9" count="1" selected="0">
            <x v="10"/>
          </reference>
          <reference field="11" count="1">
            <x v="16"/>
          </reference>
        </references>
      </pivotArea>
    </format>
    <format dxfId="10039">
      <pivotArea dataOnly="0" labelOnly="1" outline="0" fieldPosition="0">
        <references count="7">
          <reference field="1" count="0" selected="0"/>
          <reference field="3" count="1" selected="0">
            <x v="9"/>
          </reference>
          <reference field="4" count="1" selected="0">
            <x v="6"/>
          </reference>
          <reference field="5" count="1" selected="0">
            <x v="211"/>
          </reference>
          <reference field="6" count="1" selected="0">
            <x v="5"/>
          </reference>
          <reference field="9" count="1" selected="0">
            <x v="10"/>
          </reference>
          <reference field="11" count="1">
            <x v="14"/>
          </reference>
        </references>
      </pivotArea>
    </format>
    <format dxfId="10038">
      <pivotArea dataOnly="0" labelOnly="1" outline="0" fieldPosition="0">
        <references count="9">
          <reference field="1" count="0" selected="0"/>
          <reference field="3" count="1" selected="0">
            <x v="0"/>
          </reference>
          <reference field="4" count="1" selected="0">
            <x v="3"/>
          </reference>
          <reference field="5" count="1" selected="0">
            <x v="167"/>
          </reference>
          <reference field="6" count="1" selected="0">
            <x v="7"/>
          </reference>
          <reference field="9" count="1" selected="0">
            <x v="10"/>
          </reference>
          <reference field="11" count="1" selected="0">
            <x v="10"/>
          </reference>
          <reference field="12" count="1" selected="0">
            <x v="28"/>
          </reference>
          <reference field="13" count="1">
            <x v="3"/>
          </reference>
        </references>
      </pivotArea>
    </format>
    <format dxfId="10037">
      <pivotArea dataOnly="0" labelOnly="1" outline="0" fieldPosition="0">
        <references count="9">
          <reference field="1" count="0" selected="0"/>
          <reference field="3" count="1" selected="0">
            <x v="3"/>
          </reference>
          <reference field="4" count="1" selected="0">
            <x v="1"/>
          </reference>
          <reference field="5" count="1" selected="0">
            <x v="205"/>
          </reference>
          <reference field="6" count="1" selected="0">
            <x v="2"/>
          </reference>
          <reference field="9" count="1" selected="0">
            <x v="10"/>
          </reference>
          <reference field="11" count="1" selected="0">
            <x v="26"/>
          </reference>
          <reference field="12" count="1" selected="0">
            <x v="26"/>
          </reference>
          <reference field="13" count="1">
            <x v="3"/>
          </reference>
        </references>
      </pivotArea>
    </format>
    <format dxfId="10036">
      <pivotArea dataOnly="0" labelOnly="1" outline="0" fieldPosition="0">
        <references count="9">
          <reference field="1" count="0" selected="0"/>
          <reference field="3" count="1" selected="0">
            <x v="4"/>
          </reference>
          <reference field="4" count="1" selected="0">
            <x v="1"/>
          </reference>
          <reference field="5" count="1" selected="0">
            <x v="218"/>
          </reference>
          <reference field="6" count="1" selected="0">
            <x v="2"/>
          </reference>
          <reference field="9" count="1" selected="0">
            <x v="10"/>
          </reference>
          <reference field="11" count="1" selected="0">
            <x v="47"/>
          </reference>
          <reference field="12" count="1" selected="0">
            <x v="0"/>
          </reference>
          <reference field="13" count="1">
            <x v="4"/>
          </reference>
        </references>
      </pivotArea>
    </format>
    <format dxfId="10035">
      <pivotArea dataOnly="0" labelOnly="1" outline="0" fieldPosition="0">
        <references count="9">
          <reference field="1" count="0" selected="0"/>
          <reference field="3" count="1" selected="0">
            <x v="4"/>
          </reference>
          <reference field="4" count="1" selected="0">
            <x v="1"/>
          </reference>
          <reference field="5" count="1" selected="0">
            <x v="332"/>
          </reference>
          <reference field="6" count="1" selected="0">
            <x v="2"/>
          </reference>
          <reference field="9" count="1" selected="0">
            <x v="10"/>
          </reference>
          <reference field="11" count="1" selected="0">
            <x v="14"/>
          </reference>
          <reference field="12" count="1" selected="0">
            <x v="8"/>
          </reference>
          <reference field="13" count="1">
            <x v="3"/>
          </reference>
        </references>
      </pivotArea>
    </format>
    <format dxfId="10034">
      <pivotArea dataOnly="0" labelOnly="1" outline="0" fieldPosition="0">
        <references count="9">
          <reference field="1" count="0" selected="0"/>
          <reference field="3" count="1" selected="0">
            <x v="6"/>
          </reference>
          <reference field="4" count="1" selected="0">
            <x v="0"/>
          </reference>
          <reference field="5" count="1" selected="0">
            <x v="126"/>
          </reference>
          <reference field="6" count="1" selected="0">
            <x v="9"/>
          </reference>
          <reference field="9" count="1" selected="0">
            <x v="10"/>
          </reference>
          <reference field="11" count="1" selected="0">
            <x v="32"/>
          </reference>
          <reference field="12" count="1" selected="0">
            <x v="8"/>
          </reference>
          <reference field="13" count="1">
            <x v="3"/>
          </reference>
        </references>
      </pivotArea>
    </format>
    <format dxfId="10033">
      <pivotArea dataOnly="0" labelOnly="1" outline="0" fieldPosition="0">
        <references count="10">
          <reference field="1" count="0" selected="0"/>
          <reference field="3" count="1" selected="0">
            <x v="0"/>
          </reference>
          <reference field="4" count="1" selected="0">
            <x v="3"/>
          </reference>
          <reference field="5" count="1" selected="0">
            <x v="167"/>
          </reference>
          <reference field="6" count="1" selected="0">
            <x v="7"/>
          </reference>
          <reference field="9" count="1" selected="0">
            <x v="10"/>
          </reference>
          <reference field="11" count="1" selected="0">
            <x v="10"/>
          </reference>
          <reference field="12" count="1" selected="0">
            <x v="28"/>
          </reference>
          <reference field="13" count="1" selected="0">
            <x v="3"/>
          </reference>
          <reference field="14" count="1">
            <x v="53"/>
          </reference>
        </references>
      </pivotArea>
    </format>
    <format dxfId="10032">
      <pivotArea dataOnly="0" labelOnly="1" outline="0" fieldPosition="0">
        <references count="10">
          <reference field="1" count="0" selected="0"/>
          <reference field="3" count="1" selected="0">
            <x v="3"/>
          </reference>
          <reference field="4" count="1" selected="0">
            <x v="1"/>
          </reference>
          <reference field="5" count="1" selected="0">
            <x v="196"/>
          </reference>
          <reference field="6" count="1" selected="0">
            <x v="2"/>
          </reference>
          <reference field="9" count="1" selected="0">
            <x v="10"/>
          </reference>
          <reference field="11" count="1" selected="0">
            <x v="41"/>
          </reference>
          <reference field="12" count="1" selected="0">
            <x v="8"/>
          </reference>
          <reference field="13" count="1" selected="0">
            <x v="3"/>
          </reference>
          <reference field="14" count="1">
            <x v="24"/>
          </reference>
        </references>
      </pivotArea>
    </format>
    <format dxfId="10031">
      <pivotArea dataOnly="0" labelOnly="1" outline="0" fieldPosition="0">
        <references count="10">
          <reference field="1" count="0" selected="0"/>
          <reference field="3" count="1" selected="0">
            <x v="3"/>
          </reference>
          <reference field="4" count="1" selected="0">
            <x v="1"/>
          </reference>
          <reference field="5" count="1" selected="0">
            <x v="197"/>
          </reference>
          <reference field="6" count="1" selected="0">
            <x v="2"/>
          </reference>
          <reference field="9" count="1" selected="0">
            <x v="10"/>
          </reference>
          <reference field="11" count="1" selected="0">
            <x v="16"/>
          </reference>
          <reference field="12" count="1" selected="0">
            <x v="8"/>
          </reference>
          <reference field="13" count="1" selected="0">
            <x v="3"/>
          </reference>
          <reference field="14" count="1">
            <x v="17"/>
          </reference>
        </references>
      </pivotArea>
    </format>
    <format dxfId="10030">
      <pivotArea dataOnly="0" labelOnly="1" outline="0" fieldPosition="0">
        <references count="10">
          <reference field="1" count="0" selected="0"/>
          <reference field="3" count="1" selected="0">
            <x v="3"/>
          </reference>
          <reference field="4" count="1" selected="0">
            <x v="1"/>
          </reference>
          <reference field="5" count="1" selected="0">
            <x v="205"/>
          </reference>
          <reference field="6" count="1" selected="0">
            <x v="2"/>
          </reference>
          <reference field="9" count="1" selected="0">
            <x v="10"/>
          </reference>
          <reference field="11" count="1" selected="0">
            <x v="26"/>
          </reference>
          <reference field="12" count="1" selected="0">
            <x v="26"/>
          </reference>
          <reference field="13" count="1" selected="0">
            <x v="3"/>
          </reference>
          <reference field="14" count="1">
            <x v="40"/>
          </reference>
        </references>
      </pivotArea>
    </format>
    <format dxfId="10029">
      <pivotArea dataOnly="0" labelOnly="1" outline="0" fieldPosition="0">
        <references count="10">
          <reference field="1" count="0" selected="0"/>
          <reference field="3" count="1" selected="0">
            <x v="4"/>
          </reference>
          <reference field="4" count="1" selected="0">
            <x v="1"/>
          </reference>
          <reference field="5" count="1" selected="0">
            <x v="100"/>
          </reference>
          <reference field="6" count="1" selected="0">
            <x v="2"/>
          </reference>
          <reference field="9" count="1" selected="0">
            <x v="2"/>
          </reference>
          <reference field="11" count="1" selected="0">
            <x v="37"/>
          </reference>
          <reference field="12" count="1" selected="0">
            <x v="2"/>
          </reference>
          <reference field="13" count="1" selected="0">
            <x v="3"/>
          </reference>
          <reference field="14" count="1">
            <x v="17"/>
          </reference>
        </references>
      </pivotArea>
    </format>
    <format dxfId="10028">
      <pivotArea dataOnly="0" labelOnly="1" outline="0" fieldPosition="0">
        <references count="10">
          <reference field="1" count="0" selected="0"/>
          <reference field="3" count="1" selected="0">
            <x v="4"/>
          </reference>
          <reference field="4" count="1" selected="0">
            <x v="1"/>
          </reference>
          <reference field="5" count="1" selected="0">
            <x v="116"/>
          </reference>
          <reference field="6" count="1" selected="0">
            <x v="2"/>
          </reference>
          <reference field="9" count="1" selected="0">
            <x v="10"/>
          </reference>
          <reference field="11" count="1" selected="0">
            <x v="14"/>
          </reference>
          <reference field="12" count="1" selected="0">
            <x v="5"/>
          </reference>
          <reference field="13" count="1" selected="0">
            <x v="3"/>
          </reference>
          <reference field="14" count="1">
            <x v="49"/>
          </reference>
        </references>
      </pivotArea>
    </format>
    <format dxfId="10027">
      <pivotArea dataOnly="0" labelOnly="1" outline="0" fieldPosition="0">
        <references count="10">
          <reference field="1" count="0" selected="0"/>
          <reference field="3" count="1" selected="0">
            <x v="4"/>
          </reference>
          <reference field="4" count="1" selected="0">
            <x v="1"/>
          </reference>
          <reference field="5" count="1" selected="0">
            <x v="218"/>
          </reference>
          <reference field="6" count="1" selected="0">
            <x v="2"/>
          </reference>
          <reference field="9" count="1" selected="0">
            <x v="10"/>
          </reference>
          <reference field="11" count="1" selected="0">
            <x v="47"/>
          </reference>
          <reference field="12" count="1" selected="0">
            <x v="0"/>
          </reference>
          <reference field="13" count="1" selected="0">
            <x v="4"/>
          </reference>
          <reference field="14" count="1">
            <x v="17"/>
          </reference>
        </references>
      </pivotArea>
    </format>
    <format dxfId="10026">
      <pivotArea dataOnly="0" labelOnly="1" outline="0" fieldPosition="0">
        <references count="10">
          <reference field="1" count="0" selected="0"/>
          <reference field="3" count="1" selected="0">
            <x v="4"/>
          </reference>
          <reference field="4" count="1" selected="0">
            <x v="1"/>
          </reference>
          <reference field="5" count="1" selected="0">
            <x v="332"/>
          </reference>
          <reference field="6" count="1" selected="0">
            <x v="2"/>
          </reference>
          <reference field="9" count="1" selected="0">
            <x v="10"/>
          </reference>
          <reference field="11" count="1" selected="0">
            <x v="14"/>
          </reference>
          <reference field="12" count="1" selected="0">
            <x v="8"/>
          </reference>
          <reference field="13" count="1" selected="0">
            <x v="3"/>
          </reference>
          <reference field="14" count="1">
            <x v="17"/>
          </reference>
        </references>
      </pivotArea>
    </format>
    <format dxfId="10025">
      <pivotArea dataOnly="0" labelOnly="1" outline="0" fieldPosition="0">
        <references count="10">
          <reference field="1" count="0" selected="0"/>
          <reference field="3" count="1" selected="0">
            <x v="4"/>
          </reference>
          <reference field="4" count="1" selected="0">
            <x v="1"/>
          </reference>
          <reference field="5" count="1" selected="0">
            <x v="347"/>
          </reference>
          <reference field="6" count="1" selected="0">
            <x v="2"/>
          </reference>
          <reference field="9" count="1" selected="0">
            <x v="4"/>
          </reference>
          <reference field="11" count="1" selected="0">
            <x v="34"/>
          </reference>
          <reference field="12" count="1" selected="0">
            <x v="8"/>
          </reference>
          <reference field="13" count="1" selected="0">
            <x v="3"/>
          </reference>
          <reference field="14" count="1">
            <x v="17"/>
          </reference>
        </references>
      </pivotArea>
    </format>
    <format dxfId="10024">
      <pivotArea dataOnly="0" labelOnly="1" outline="0" fieldPosition="0">
        <references count="10">
          <reference field="1" count="0" selected="0"/>
          <reference field="3" count="1" selected="0">
            <x v="6"/>
          </reference>
          <reference field="4" count="1" selected="0">
            <x v="0"/>
          </reference>
          <reference field="5" count="1" selected="0">
            <x v="113"/>
          </reference>
          <reference field="6" count="1" selected="0">
            <x v="9"/>
          </reference>
          <reference field="9" count="1" selected="0">
            <x v="10"/>
          </reference>
          <reference field="11" count="1" selected="0">
            <x v="50"/>
          </reference>
          <reference field="12" count="1" selected="0">
            <x v="8"/>
          </reference>
          <reference field="13" count="1" selected="0">
            <x v="3"/>
          </reference>
          <reference field="14" count="1">
            <x v="48"/>
          </reference>
        </references>
      </pivotArea>
    </format>
    <format dxfId="10023">
      <pivotArea dataOnly="0" labelOnly="1" outline="0" fieldPosition="0">
        <references count="10">
          <reference field="1" count="0" selected="0"/>
          <reference field="3" count="1" selected="0">
            <x v="6"/>
          </reference>
          <reference field="4" count="1" selected="0">
            <x v="0"/>
          </reference>
          <reference field="5" count="1" selected="0">
            <x v="126"/>
          </reference>
          <reference field="6" count="1" selected="0">
            <x v="9"/>
          </reference>
          <reference field="9" count="1" selected="0">
            <x v="10"/>
          </reference>
          <reference field="11" count="1" selected="0">
            <x v="32"/>
          </reference>
          <reference field="12" count="1" selected="0">
            <x v="8"/>
          </reference>
          <reference field="13" count="1" selected="0">
            <x v="3"/>
          </reference>
          <reference field="14" count="1">
            <x v="52"/>
          </reference>
        </references>
      </pivotArea>
    </format>
    <format dxfId="10022">
      <pivotArea dataOnly="0" labelOnly="1" outline="0" fieldPosition="0">
        <references count="10">
          <reference field="1" count="0" selected="0"/>
          <reference field="3" count="1" selected="0">
            <x v="6"/>
          </reference>
          <reference field="4" count="1" selected="0">
            <x v="0"/>
          </reference>
          <reference field="5" count="1" selected="0">
            <x v="145"/>
          </reference>
          <reference field="6" count="1" selected="0">
            <x v="9"/>
          </reference>
          <reference field="9" count="1" selected="0">
            <x v="10"/>
          </reference>
          <reference field="11" count="1" selected="0">
            <x v="14"/>
          </reference>
          <reference field="12" count="1" selected="0">
            <x v="8"/>
          </reference>
          <reference field="13" count="1" selected="0">
            <x v="3"/>
          </reference>
          <reference field="14" count="1">
            <x v="17"/>
          </reference>
        </references>
      </pivotArea>
    </format>
    <format dxfId="10021">
      <pivotArea dataOnly="0" labelOnly="1" outline="0" fieldPosition="0">
        <references count="10">
          <reference field="1" count="0" selected="0"/>
          <reference field="3" count="1" selected="0">
            <x v="6"/>
          </reference>
          <reference field="4" count="1" selected="0">
            <x v="0"/>
          </reference>
          <reference field="5" count="1" selected="0">
            <x v="146"/>
          </reference>
          <reference field="6" count="1" selected="0">
            <x v="9"/>
          </reference>
          <reference field="9" count="1" selected="0">
            <x v="10"/>
          </reference>
          <reference field="11" count="1" selected="0">
            <x v="8"/>
          </reference>
          <reference field="12" count="1" selected="0">
            <x v="21"/>
          </reference>
          <reference field="13" count="1" selected="0">
            <x v="3"/>
          </reference>
          <reference field="14" count="1">
            <x v="17"/>
          </reference>
        </references>
      </pivotArea>
    </format>
    <format dxfId="10020">
      <pivotArea dataOnly="0" labelOnly="1" outline="0" fieldPosition="0">
        <references count="10">
          <reference field="1" count="0" selected="0"/>
          <reference field="3" count="1" selected="0">
            <x v="6"/>
          </reference>
          <reference field="4" count="1" selected="0">
            <x v="0"/>
          </reference>
          <reference field="5" count="1" selected="0">
            <x v="165"/>
          </reference>
          <reference field="6" count="1" selected="0">
            <x v="9"/>
          </reference>
          <reference field="9" count="1" selected="0">
            <x v="10"/>
          </reference>
          <reference field="11" count="1" selected="0">
            <x v="14"/>
          </reference>
          <reference field="12" count="1" selected="0">
            <x v="3"/>
          </reference>
          <reference field="13" count="1" selected="0">
            <x v="3"/>
          </reference>
          <reference field="14" count="1">
            <x v="17"/>
          </reference>
        </references>
      </pivotArea>
    </format>
    <format dxfId="10019">
      <pivotArea dataOnly="0" labelOnly="1" outline="0" fieldPosition="0">
        <references count="10">
          <reference field="1" count="0" selected="0"/>
          <reference field="3" count="1" selected="0">
            <x v="6"/>
          </reference>
          <reference field="4" count="1" selected="0">
            <x v="0"/>
          </reference>
          <reference field="5" count="1" selected="0">
            <x v="174"/>
          </reference>
          <reference field="6" count="1" selected="0">
            <x v="9"/>
          </reference>
          <reference field="9" count="1" selected="0">
            <x v="10"/>
          </reference>
          <reference field="11" count="1" selected="0">
            <x v="13"/>
          </reference>
          <reference field="12" count="1" selected="0">
            <x v="14"/>
          </reference>
          <reference field="13" count="1" selected="0">
            <x v="3"/>
          </reference>
          <reference field="14" count="1">
            <x v="17"/>
          </reference>
        </references>
      </pivotArea>
    </format>
    <format dxfId="10018">
      <pivotArea dataOnly="0" labelOnly="1" outline="0" fieldPosition="0">
        <references count="10">
          <reference field="1" count="0" selected="0"/>
          <reference field="3" count="1" selected="0">
            <x v="6"/>
          </reference>
          <reference field="4" count="1" selected="0">
            <x v="0"/>
          </reference>
          <reference field="5" count="1" selected="0">
            <x v="175"/>
          </reference>
          <reference field="6" count="1" selected="0">
            <x v="9"/>
          </reference>
          <reference field="9" count="1" selected="0">
            <x v="10"/>
          </reference>
          <reference field="11" count="1" selected="0">
            <x v="14"/>
          </reference>
          <reference field="12" count="1" selected="0">
            <x v="15"/>
          </reference>
          <reference field="13" count="1" selected="0">
            <x v="3"/>
          </reference>
          <reference field="14" count="1">
            <x v="15"/>
          </reference>
        </references>
      </pivotArea>
    </format>
    <format dxfId="10017">
      <pivotArea dataOnly="0" labelOnly="1" outline="0" fieldPosition="0">
        <references count="10">
          <reference field="1" count="0" selected="0"/>
          <reference field="3" count="1" selected="0">
            <x v="6"/>
          </reference>
          <reference field="4" count="1" selected="0">
            <x v="0"/>
          </reference>
          <reference field="5" count="1" selected="0">
            <x v="182"/>
          </reference>
          <reference field="6" count="1" selected="0">
            <x v="9"/>
          </reference>
          <reference field="9" count="1" selected="0">
            <x v="10"/>
          </reference>
          <reference field="11" count="1" selected="0">
            <x v="14"/>
          </reference>
          <reference field="12" count="1" selected="0">
            <x v="3"/>
          </reference>
          <reference field="13" count="1" selected="0">
            <x v="3"/>
          </reference>
          <reference field="14" count="1">
            <x v="17"/>
          </reference>
        </references>
      </pivotArea>
    </format>
    <format dxfId="10016">
      <pivotArea dataOnly="0" labelOnly="1" outline="0" fieldPosition="0">
        <references count="10">
          <reference field="1" count="0" selected="0"/>
          <reference field="3" count="1" selected="0">
            <x v="6"/>
          </reference>
          <reference field="4" count="1" selected="0">
            <x v="0"/>
          </reference>
          <reference field="5" count="1" selected="0">
            <x v="189"/>
          </reference>
          <reference field="6" count="1" selected="0">
            <x v="9"/>
          </reference>
          <reference field="9" count="1" selected="0">
            <x v="10"/>
          </reference>
          <reference field="11" count="1" selected="0">
            <x v="26"/>
          </reference>
          <reference field="12" count="1" selected="0">
            <x v="26"/>
          </reference>
          <reference field="13" count="1" selected="0">
            <x v="3"/>
          </reference>
          <reference field="14" count="1">
            <x v="40"/>
          </reference>
        </references>
      </pivotArea>
    </format>
    <format dxfId="10015">
      <pivotArea dataOnly="0" labelOnly="1" outline="0" fieldPosition="0">
        <references count="10">
          <reference field="1" count="0" selected="0"/>
          <reference field="3" count="1" selected="0">
            <x v="6"/>
          </reference>
          <reference field="4" count="1" selected="0">
            <x v="0"/>
          </reference>
          <reference field="5" count="1" selected="0">
            <x v="190"/>
          </reference>
          <reference field="6" count="1" selected="0">
            <x v="9"/>
          </reference>
          <reference field="9" count="1" selected="0">
            <x v="10"/>
          </reference>
          <reference field="11" count="1" selected="0">
            <x v="14"/>
          </reference>
          <reference field="12" count="1" selected="0">
            <x v="10"/>
          </reference>
          <reference field="13" count="1" selected="0">
            <x v="3"/>
          </reference>
          <reference field="14" count="1">
            <x v="12"/>
          </reference>
        </references>
      </pivotArea>
    </format>
    <format dxfId="10014">
      <pivotArea dataOnly="0" labelOnly="1" outline="0" fieldPosition="0">
        <references count="10">
          <reference field="1" count="0" selected="0"/>
          <reference field="3" count="1" selected="0">
            <x v="6"/>
          </reference>
          <reference field="4" count="1" selected="0">
            <x v="0"/>
          </reference>
          <reference field="5" count="1" selected="0">
            <x v="343"/>
          </reference>
          <reference field="6" count="1" selected="0">
            <x v="9"/>
          </reference>
          <reference field="9" count="1" selected="0">
            <x v="10"/>
          </reference>
          <reference field="11" count="1" selected="0">
            <x v="29"/>
          </reference>
          <reference field="12" count="1" selected="0">
            <x v="6"/>
          </reference>
          <reference field="13" count="1" selected="0">
            <x v="3"/>
          </reference>
          <reference field="14" count="1">
            <x v="34"/>
          </reference>
        </references>
      </pivotArea>
    </format>
    <format dxfId="10013">
      <pivotArea dataOnly="0" labelOnly="1" outline="0" fieldPosition="0">
        <references count="10">
          <reference field="1" count="0" selected="0"/>
          <reference field="3" count="1" selected="0">
            <x v="6"/>
          </reference>
          <reference field="4" count="1" selected="0">
            <x v="0"/>
          </reference>
          <reference field="5" count="1" selected="0">
            <x v="349"/>
          </reference>
          <reference field="6" count="1" selected="0">
            <x v="9"/>
          </reference>
          <reference field="9" count="1" selected="0">
            <x v="10"/>
          </reference>
          <reference field="11" count="1" selected="0">
            <x v="56"/>
          </reference>
          <reference field="12" count="1" selected="0">
            <x v="8"/>
          </reference>
          <reference field="13" count="1" selected="0">
            <x v="3"/>
          </reference>
          <reference field="14" count="1">
            <x v="57"/>
          </reference>
        </references>
      </pivotArea>
    </format>
    <format dxfId="10012">
      <pivotArea dataOnly="0" labelOnly="1" outline="0" fieldPosition="0">
        <references count="10">
          <reference field="1" count="0" selected="0"/>
          <reference field="3" count="1" selected="0">
            <x v="8"/>
          </reference>
          <reference field="4" count="1" selected="0">
            <x v="3"/>
          </reference>
          <reference field="5" count="1" selected="0">
            <x v="135"/>
          </reference>
          <reference field="6" count="1" selected="0">
            <x v="3"/>
          </reference>
          <reference field="9" count="1" selected="0">
            <x v="10"/>
          </reference>
          <reference field="11" count="1" selected="0">
            <x v="14"/>
          </reference>
          <reference field="12" count="1" selected="0">
            <x v="8"/>
          </reference>
          <reference field="13" count="1" selected="0">
            <x v="3"/>
          </reference>
          <reference field="14" count="1">
            <x v="17"/>
          </reference>
        </references>
      </pivotArea>
    </format>
    <format dxfId="10011">
      <pivotArea dataOnly="0" labelOnly="1" outline="0" fieldPosition="0">
        <references count="10">
          <reference field="1" count="0" selected="0"/>
          <reference field="3" count="1" selected="0">
            <x v="8"/>
          </reference>
          <reference field="4" count="1" selected="0">
            <x v="3"/>
          </reference>
          <reference field="5" count="1" selected="0">
            <x v="136"/>
          </reference>
          <reference field="6" count="1" selected="0">
            <x v="3"/>
          </reference>
          <reference field="9" count="1" selected="0">
            <x v="10"/>
          </reference>
          <reference field="11" count="1" selected="0">
            <x v="16"/>
          </reference>
          <reference field="12" count="1" selected="0">
            <x v="8"/>
          </reference>
          <reference field="13" count="1" selected="0">
            <x v="3"/>
          </reference>
          <reference field="14" count="1">
            <x v="17"/>
          </reference>
        </references>
      </pivotArea>
    </format>
    <format dxfId="10010">
      <pivotArea dataOnly="0" labelOnly="1" outline="0" fieldPosition="0">
        <references count="10">
          <reference field="1" count="0" selected="0"/>
          <reference field="3" count="1" selected="0">
            <x v="9"/>
          </reference>
          <reference field="4" count="1" selected="0">
            <x v="6"/>
          </reference>
          <reference field="5" count="1" selected="0">
            <x v="211"/>
          </reference>
          <reference field="6" count="1" selected="0">
            <x v="5"/>
          </reference>
          <reference field="9" count="1" selected="0">
            <x v="10"/>
          </reference>
          <reference field="11" count="1" selected="0">
            <x v="14"/>
          </reference>
          <reference field="12" count="1" selected="0">
            <x v="31"/>
          </reference>
          <reference field="13" count="1" selected="0">
            <x v="3"/>
          </reference>
          <reference field="14" count="1">
            <x v="17"/>
          </reference>
        </references>
      </pivotArea>
    </format>
    <format dxfId="10009">
      <pivotArea dataOnly="0" labelOnly="1" outline="0" fieldPosition="0">
        <references count="10">
          <reference field="1" count="0" selected="0"/>
          <reference field="3" count="1" selected="0">
            <x v="9"/>
          </reference>
          <reference field="4" count="1" selected="0">
            <x v="6"/>
          </reference>
          <reference field="5" count="1" selected="0">
            <x v="212"/>
          </reference>
          <reference field="6" count="1" selected="0">
            <x v="5"/>
          </reference>
          <reference field="9" count="1" selected="0">
            <x v="10"/>
          </reference>
          <reference field="11" count="1" selected="0">
            <x v="14"/>
          </reference>
          <reference field="12" count="1" selected="0">
            <x v="3"/>
          </reference>
          <reference field="13" count="1" selected="0">
            <x v="3"/>
          </reference>
          <reference field="14" count="1">
            <x v="17"/>
          </reference>
        </references>
      </pivotArea>
    </format>
    <format dxfId="10008">
      <pivotArea field="12" type="button" dataOnly="0" labelOnly="1" outline="0" axis="axisRow" fieldPosition="7"/>
    </format>
    <format dxfId="10007">
      <pivotArea dataOnly="0" labelOnly="1" outline="0" fieldPosition="0">
        <references count="8">
          <reference field="1" count="0" selected="0"/>
          <reference field="3" count="1" selected="0">
            <x v="0"/>
          </reference>
          <reference field="4" count="1" selected="0">
            <x v="3"/>
          </reference>
          <reference field="5" count="1" selected="0">
            <x v="167"/>
          </reference>
          <reference field="6" count="1" selected="0">
            <x v="7"/>
          </reference>
          <reference field="9" count="1" selected="0">
            <x v="10"/>
          </reference>
          <reference field="11" count="1" selected="0">
            <x v="10"/>
          </reference>
          <reference field="12" count="1">
            <x v="28"/>
          </reference>
        </references>
      </pivotArea>
    </format>
    <format dxfId="10006">
      <pivotArea dataOnly="0" labelOnly="1" outline="0" fieldPosition="0">
        <references count="8">
          <reference field="1" count="0" selected="0"/>
          <reference field="3" count="1" selected="0">
            <x v="3"/>
          </reference>
          <reference field="4" count="1" selected="0">
            <x v="1"/>
          </reference>
          <reference field="5" count="1" selected="0">
            <x v="196"/>
          </reference>
          <reference field="6" count="1" selected="0">
            <x v="2"/>
          </reference>
          <reference field="9" count="1" selected="0">
            <x v="10"/>
          </reference>
          <reference field="11" count="1" selected="0">
            <x v="41"/>
          </reference>
          <reference field="12" count="1">
            <x v="8"/>
          </reference>
        </references>
      </pivotArea>
    </format>
    <format dxfId="10005">
      <pivotArea dataOnly="0" labelOnly="1" outline="0" fieldPosition="0">
        <references count="8">
          <reference field="1" count="0" selected="0"/>
          <reference field="3" count="1" selected="0">
            <x v="3"/>
          </reference>
          <reference field="4" count="1" selected="0">
            <x v="1"/>
          </reference>
          <reference field="5" count="1" selected="0">
            <x v="205"/>
          </reference>
          <reference field="6" count="1" selected="0">
            <x v="2"/>
          </reference>
          <reference field="9" count="1" selected="0">
            <x v="10"/>
          </reference>
          <reference field="11" count="1" selected="0">
            <x v="26"/>
          </reference>
          <reference field="12" count="1">
            <x v="26"/>
          </reference>
        </references>
      </pivotArea>
    </format>
    <format dxfId="10004">
      <pivotArea dataOnly="0" labelOnly="1" outline="0" fieldPosition="0">
        <references count="8">
          <reference field="1" count="0" selected="0"/>
          <reference field="3" count="1" selected="0">
            <x v="4"/>
          </reference>
          <reference field="4" count="1" selected="0">
            <x v="1"/>
          </reference>
          <reference field="5" count="1" selected="0">
            <x v="100"/>
          </reference>
          <reference field="6" count="1" selected="0">
            <x v="2"/>
          </reference>
          <reference field="9" count="1" selected="0">
            <x v="2"/>
          </reference>
          <reference field="11" count="1" selected="0">
            <x v="37"/>
          </reference>
          <reference field="12" count="1">
            <x v="2"/>
          </reference>
        </references>
      </pivotArea>
    </format>
    <format dxfId="10003">
      <pivotArea dataOnly="0" labelOnly="1" outline="0" fieldPosition="0">
        <references count="8">
          <reference field="1" count="0" selected="0"/>
          <reference field="3" count="1" selected="0">
            <x v="4"/>
          </reference>
          <reference field="4" count="1" selected="0">
            <x v="1"/>
          </reference>
          <reference field="5" count="1" selected="0">
            <x v="116"/>
          </reference>
          <reference field="6" count="1" selected="0">
            <x v="2"/>
          </reference>
          <reference field="9" count="1" selected="0">
            <x v="10"/>
          </reference>
          <reference field="11" count="1" selected="0">
            <x v="14"/>
          </reference>
          <reference field="12" count="1">
            <x v="5"/>
          </reference>
        </references>
      </pivotArea>
    </format>
    <format dxfId="10002">
      <pivotArea dataOnly="0" labelOnly="1" outline="0" fieldPosition="0">
        <references count="8">
          <reference field="1" count="0" selected="0"/>
          <reference field="3" count="1" selected="0">
            <x v="4"/>
          </reference>
          <reference field="4" count="1" selected="0">
            <x v="1"/>
          </reference>
          <reference field="5" count="1" selected="0">
            <x v="218"/>
          </reference>
          <reference field="6" count="1" selected="0">
            <x v="2"/>
          </reference>
          <reference field="9" count="1" selected="0">
            <x v="10"/>
          </reference>
          <reference field="11" count="1" selected="0">
            <x v="47"/>
          </reference>
          <reference field="12" count="1">
            <x v="0"/>
          </reference>
        </references>
      </pivotArea>
    </format>
    <format dxfId="10001">
      <pivotArea dataOnly="0" labelOnly="1" outline="0" fieldPosition="0">
        <references count="8">
          <reference field="1" count="0" selected="0"/>
          <reference field="3" count="1" selected="0">
            <x v="6"/>
          </reference>
          <reference field="4" count="1" selected="0">
            <x v="0"/>
          </reference>
          <reference field="5" count="1" selected="0">
            <x v="126"/>
          </reference>
          <reference field="6" count="1" selected="0">
            <x v="9"/>
          </reference>
          <reference field="9" count="1" selected="0">
            <x v="10"/>
          </reference>
          <reference field="11" count="1" selected="0">
            <x v="32"/>
          </reference>
          <reference field="12" count="1">
            <x v="8"/>
          </reference>
        </references>
      </pivotArea>
    </format>
    <format dxfId="10000">
      <pivotArea dataOnly="0" labelOnly="1" outline="0" fieldPosition="0">
        <references count="8">
          <reference field="1" count="0" selected="0"/>
          <reference field="3" count="1" selected="0">
            <x v="6"/>
          </reference>
          <reference field="4" count="1" selected="0">
            <x v="0"/>
          </reference>
          <reference field="5" count="1" selected="0">
            <x v="146"/>
          </reference>
          <reference field="6" count="1" selected="0">
            <x v="9"/>
          </reference>
          <reference field="9" count="1" selected="0">
            <x v="10"/>
          </reference>
          <reference field="11" count="1" selected="0">
            <x v="8"/>
          </reference>
          <reference field="12" count="1">
            <x v="21"/>
          </reference>
        </references>
      </pivotArea>
    </format>
    <format dxfId="9999">
      <pivotArea dataOnly="0" labelOnly="1" outline="0" fieldPosition="0">
        <references count="8">
          <reference field="1" count="0" selected="0"/>
          <reference field="3" count="1" selected="0">
            <x v="6"/>
          </reference>
          <reference field="4" count="1" selected="0">
            <x v="0"/>
          </reference>
          <reference field="5" count="1" selected="0">
            <x v="165"/>
          </reference>
          <reference field="6" count="1" selected="0">
            <x v="9"/>
          </reference>
          <reference field="9" count="1" selected="0">
            <x v="10"/>
          </reference>
          <reference field="11" count="1" selected="0">
            <x v="14"/>
          </reference>
          <reference field="12" count="1">
            <x v="3"/>
          </reference>
        </references>
      </pivotArea>
    </format>
    <format dxfId="9998">
      <pivotArea dataOnly="0" labelOnly="1" outline="0" fieldPosition="0">
        <references count="8">
          <reference field="1" count="0" selected="0"/>
          <reference field="3" count="1" selected="0">
            <x v="6"/>
          </reference>
          <reference field="4" count="1" selected="0">
            <x v="0"/>
          </reference>
          <reference field="5" count="1" selected="0">
            <x v="174"/>
          </reference>
          <reference field="6" count="1" selected="0">
            <x v="9"/>
          </reference>
          <reference field="9" count="1" selected="0">
            <x v="10"/>
          </reference>
          <reference field="11" count="1" selected="0">
            <x v="13"/>
          </reference>
          <reference field="12" count="1">
            <x v="14"/>
          </reference>
        </references>
      </pivotArea>
    </format>
    <format dxfId="9997">
      <pivotArea dataOnly="0" labelOnly="1" outline="0" fieldPosition="0">
        <references count="8">
          <reference field="1" count="0" selected="0"/>
          <reference field="3" count="1" selected="0">
            <x v="6"/>
          </reference>
          <reference field="4" count="1" selected="0">
            <x v="0"/>
          </reference>
          <reference field="5" count="1" selected="0">
            <x v="175"/>
          </reference>
          <reference field="6" count="1" selected="0">
            <x v="9"/>
          </reference>
          <reference field="9" count="1" selected="0">
            <x v="10"/>
          </reference>
          <reference field="11" count="1" selected="0">
            <x v="14"/>
          </reference>
          <reference field="12" count="1">
            <x v="15"/>
          </reference>
        </references>
      </pivotArea>
    </format>
    <format dxfId="9996">
      <pivotArea dataOnly="0" labelOnly="1" outline="0" fieldPosition="0">
        <references count="8">
          <reference field="1" count="0" selected="0"/>
          <reference field="3" count="1" selected="0">
            <x v="6"/>
          </reference>
          <reference field="4" count="1" selected="0">
            <x v="0"/>
          </reference>
          <reference field="5" count="1" selected="0">
            <x v="182"/>
          </reference>
          <reference field="6" count="1" selected="0">
            <x v="9"/>
          </reference>
          <reference field="9" count="1" selected="0">
            <x v="10"/>
          </reference>
          <reference field="11" count="1" selected="0">
            <x v="14"/>
          </reference>
          <reference field="12" count="1">
            <x v="3"/>
          </reference>
        </references>
      </pivotArea>
    </format>
    <format dxfId="9995">
      <pivotArea dataOnly="0" labelOnly="1" outline="0" fieldPosition="0">
        <references count="8">
          <reference field="1" count="0" selected="0"/>
          <reference field="3" count="1" selected="0">
            <x v="6"/>
          </reference>
          <reference field="4" count="1" selected="0">
            <x v="0"/>
          </reference>
          <reference field="5" count="1" selected="0">
            <x v="189"/>
          </reference>
          <reference field="6" count="1" selected="0">
            <x v="9"/>
          </reference>
          <reference field="9" count="1" selected="0">
            <x v="10"/>
          </reference>
          <reference field="11" count="1" selected="0">
            <x v="26"/>
          </reference>
          <reference field="12" count="1">
            <x v="26"/>
          </reference>
        </references>
      </pivotArea>
    </format>
    <format dxfId="9994">
      <pivotArea dataOnly="0" labelOnly="1" outline="0" fieldPosition="0">
        <references count="8">
          <reference field="1" count="0" selected="0"/>
          <reference field="3" count="1" selected="0">
            <x v="6"/>
          </reference>
          <reference field="4" count="1" selected="0">
            <x v="0"/>
          </reference>
          <reference field="5" count="1" selected="0">
            <x v="190"/>
          </reference>
          <reference field="6" count="1" selected="0">
            <x v="9"/>
          </reference>
          <reference field="9" count="1" selected="0">
            <x v="10"/>
          </reference>
          <reference field="11" count="1" selected="0">
            <x v="14"/>
          </reference>
          <reference field="12" count="1">
            <x v="10"/>
          </reference>
        </references>
      </pivotArea>
    </format>
    <format dxfId="9993">
      <pivotArea dataOnly="0" labelOnly="1" outline="0" fieldPosition="0">
        <references count="8">
          <reference field="1" count="0" selected="0"/>
          <reference field="3" count="1" selected="0">
            <x v="6"/>
          </reference>
          <reference field="4" count="1" selected="0">
            <x v="0"/>
          </reference>
          <reference field="5" count="1" selected="0">
            <x v="343"/>
          </reference>
          <reference field="6" count="1" selected="0">
            <x v="9"/>
          </reference>
          <reference field="9" count="1" selected="0">
            <x v="10"/>
          </reference>
          <reference field="11" count="1" selected="0">
            <x v="29"/>
          </reference>
          <reference field="12" count="1">
            <x v="6"/>
          </reference>
        </references>
      </pivotArea>
    </format>
    <format dxfId="9992">
      <pivotArea dataOnly="0" labelOnly="1" outline="0" fieldPosition="0">
        <references count="8">
          <reference field="1" count="0" selected="0"/>
          <reference field="3" count="1" selected="0">
            <x v="6"/>
          </reference>
          <reference field="4" count="1" selected="0">
            <x v="0"/>
          </reference>
          <reference field="5" count="1" selected="0">
            <x v="349"/>
          </reference>
          <reference field="6" count="1" selected="0">
            <x v="9"/>
          </reference>
          <reference field="9" count="1" selected="0">
            <x v="10"/>
          </reference>
          <reference field="11" count="1" selected="0">
            <x v="56"/>
          </reference>
          <reference field="12" count="1">
            <x v="8"/>
          </reference>
        </references>
      </pivotArea>
    </format>
    <format dxfId="9991">
      <pivotArea dataOnly="0" labelOnly="1" outline="0" fieldPosition="0">
        <references count="8">
          <reference field="1" count="0" selected="0"/>
          <reference field="3" count="1" selected="0">
            <x v="9"/>
          </reference>
          <reference field="4" count="1" selected="0">
            <x v="6"/>
          </reference>
          <reference field="5" count="1" selected="0">
            <x v="211"/>
          </reference>
          <reference field="6" count="1" selected="0">
            <x v="5"/>
          </reference>
          <reference field="9" count="1" selected="0">
            <x v="10"/>
          </reference>
          <reference field="11" count="1" selected="0">
            <x v="14"/>
          </reference>
          <reference field="12" count="1">
            <x v="31"/>
          </reference>
        </references>
      </pivotArea>
    </format>
    <format dxfId="9990">
      <pivotArea dataOnly="0" labelOnly="1" outline="0" fieldPosition="0">
        <references count="8">
          <reference field="1" count="0" selected="0"/>
          <reference field="3" count="1" selected="0">
            <x v="9"/>
          </reference>
          <reference field="4" count="1" selected="0">
            <x v="6"/>
          </reference>
          <reference field="5" count="1" selected="0">
            <x v="212"/>
          </reference>
          <reference field="6" count="1" selected="0">
            <x v="5"/>
          </reference>
          <reference field="9" count="1" selected="0">
            <x v="10"/>
          </reference>
          <reference field="11" count="1" selected="0">
            <x v="14"/>
          </reference>
          <reference field="12" count="1">
            <x v="3"/>
          </reference>
        </references>
      </pivotArea>
    </format>
    <format dxfId="9989">
      <pivotArea dataOnly="0" labelOnly="1" outline="0" fieldPosition="0">
        <references count="7">
          <reference field="1" count="0" selected="0"/>
          <reference field="3" count="1" selected="0">
            <x v="0"/>
          </reference>
          <reference field="4" count="1" selected="0">
            <x v="3"/>
          </reference>
          <reference field="5" count="1" selected="0">
            <x v="167"/>
          </reference>
          <reference field="6" count="1" selected="0">
            <x v="7"/>
          </reference>
          <reference field="9" count="1" selected="0">
            <x v="10"/>
          </reference>
          <reference field="11" count="1">
            <x v="41"/>
          </reference>
        </references>
      </pivotArea>
    </format>
    <format dxfId="9988">
      <pivotArea dataOnly="0" labelOnly="1" outline="0" fieldPosition="0">
        <references count="7">
          <reference field="1" count="0" selected="0"/>
          <reference field="3" count="1" selected="0">
            <x v="2"/>
          </reference>
          <reference field="4" count="1" selected="0">
            <x v="1"/>
          </reference>
          <reference field="5" count="1" selected="0">
            <x v="341"/>
          </reference>
          <reference field="6" count="1" selected="0">
            <x v="2"/>
          </reference>
          <reference field="9" count="1" selected="0">
            <x v="4"/>
          </reference>
          <reference field="11" count="1">
            <x v="14"/>
          </reference>
        </references>
      </pivotArea>
    </format>
    <format dxfId="9987">
      <pivotArea dataOnly="0" labelOnly="1" outline="0" fieldPosition="0">
        <references count="7">
          <reference field="1" count="0" selected="0"/>
          <reference field="3" count="1" selected="0">
            <x v="3"/>
          </reference>
          <reference field="4" count="1" selected="0">
            <x v="1"/>
          </reference>
          <reference field="5" count="1" selected="0">
            <x v="198"/>
          </reference>
          <reference field="6" count="1" selected="0">
            <x v="2"/>
          </reference>
          <reference field="9" count="1" selected="0">
            <x v="10"/>
          </reference>
          <reference field="11" count="1">
            <x v="39"/>
          </reference>
        </references>
      </pivotArea>
    </format>
    <format dxfId="9986">
      <pivotArea dataOnly="0" labelOnly="1" outline="0" fieldPosition="0">
        <references count="7">
          <reference field="1" count="0" selected="0"/>
          <reference field="3" count="1" selected="0">
            <x v="3"/>
          </reference>
          <reference field="4" count="1" selected="0">
            <x v="1"/>
          </reference>
          <reference field="5" count="1" selected="0">
            <x v="208"/>
          </reference>
          <reference field="6" count="1" selected="0">
            <x v="2"/>
          </reference>
          <reference field="9" count="1" selected="0">
            <x v="10"/>
          </reference>
          <reference field="11" count="1">
            <x v="9"/>
          </reference>
        </references>
      </pivotArea>
    </format>
    <format dxfId="9985">
      <pivotArea dataOnly="0" labelOnly="1" outline="0" fieldPosition="0">
        <references count="7">
          <reference field="1" count="0" selected="0"/>
          <reference field="3" count="1" selected="0">
            <x v="4"/>
          </reference>
          <reference field="4" count="1" selected="0">
            <x v="1"/>
          </reference>
          <reference field="5" count="1" selected="0">
            <x v="96"/>
          </reference>
          <reference field="6" count="1" selected="0">
            <x v="2"/>
          </reference>
          <reference field="9" count="1" selected="0">
            <x v="10"/>
          </reference>
          <reference field="11" count="1">
            <x v="1"/>
          </reference>
        </references>
      </pivotArea>
    </format>
    <format dxfId="9984">
      <pivotArea dataOnly="0" labelOnly="1" outline="0" fieldPosition="0">
        <references count="7">
          <reference field="1" count="0" selected="0"/>
          <reference field="3" count="1" selected="0">
            <x v="4"/>
          </reference>
          <reference field="4" count="1" selected="0">
            <x v="1"/>
          </reference>
          <reference field="5" count="1" selected="0">
            <x v="105"/>
          </reference>
          <reference field="6" count="1" selected="0">
            <x v="2"/>
          </reference>
          <reference field="9" count="1" selected="0">
            <x v="2"/>
          </reference>
          <reference field="11" count="1">
            <x v="14"/>
          </reference>
        </references>
      </pivotArea>
    </format>
    <format dxfId="9983">
      <pivotArea dataOnly="0" labelOnly="1" outline="0" fieldPosition="0">
        <references count="7">
          <reference field="1" count="0" selected="0"/>
          <reference field="3" count="1" selected="0">
            <x v="4"/>
          </reference>
          <reference field="4" count="1" selected="0">
            <x v="1"/>
          </reference>
          <reference field="5" count="1" selected="0">
            <x v="112"/>
          </reference>
          <reference field="6" count="1" selected="0">
            <x v="2"/>
          </reference>
          <reference field="9" count="1" selected="0">
            <x v="10"/>
          </reference>
          <reference field="11" count="1">
            <x v="55"/>
          </reference>
        </references>
      </pivotArea>
    </format>
    <format dxfId="9982">
      <pivotArea dataOnly="0" labelOnly="1" outline="0" fieldPosition="0">
        <references count="7">
          <reference field="1" count="0" selected="0"/>
          <reference field="3" count="1" selected="0">
            <x v="4"/>
          </reference>
          <reference field="4" count="1" selected="0">
            <x v="1"/>
          </reference>
          <reference field="5" count="1" selected="0">
            <x v="330"/>
          </reference>
          <reference field="6" count="1" selected="0">
            <x v="2"/>
          </reference>
          <reference field="9" count="1" selected="0">
            <x v="10"/>
          </reference>
          <reference field="11" count="1">
            <x v="12"/>
          </reference>
        </references>
      </pivotArea>
    </format>
    <format dxfId="9981">
      <pivotArea dataOnly="0" labelOnly="1" outline="0" fieldPosition="0">
        <references count="7">
          <reference field="1" count="0" selected="0"/>
          <reference field="3" count="1" selected="0">
            <x v="6"/>
          </reference>
          <reference field="4" count="1" selected="0">
            <x v="0"/>
          </reference>
          <reference field="5" count="1" selected="0">
            <x v="120"/>
          </reference>
          <reference field="6" count="1" selected="0">
            <x v="9"/>
          </reference>
          <reference field="9" count="1" selected="0">
            <x v="10"/>
          </reference>
          <reference field="11" count="1">
            <x v="31"/>
          </reference>
        </references>
      </pivotArea>
    </format>
    <format dxfId="9980">
      <pivotArea dataOnly="0" labelOnly="1" outline="0" fieldPosition="0">
        <references count="7">
          <reference field="1" count="0" selected="0"/>
          <reference field="3" count="1" selected="0">
            <x v="6"/>
          </reference>
          <reference field="4" count="1" selected="0">
            <x v="0"/>
          </reference>
          <reference field="5" count="1" selected="0">
            <x v="121"/>
          </reference>
          <reference field="6" count="1" selected="0">
            <x v="9"/>
          </reference>
          <reference field="9" count="1" selected="0">
            <x v="10"/>
          </reference>
          <reference field="11" count="1">
            <x v="14"/>
          </reference>
        </references>
      </pivotArea>
    </format>
    <format dxfId="9979">
      <pivotArea dataOnly="0" labelOnly="1" outline="0" fieldPosition="0">
        <references count="7">
          <reference field="1" count="0" selected="0"/>
          <reference field="3" count="1" selected="0">
            <x v="6"/>
          </reference>
          <reference field="4" count="1" selected="0">
            <x v="0"/>
          </reference>
          <reference field="5" count="1" selected="0">
            <x v="160"/>
          </reference>
          <reference field="6" count="1" selected="0">
            <x v="9"/>
          </reference>
          <reference field="9" count="1" selected="0">
            <x v="10"/>
          </reference>
          <reference field="11" count="1">
            <x v="47"/>
          </reference>
        </references>
      </pivotArea>
    </format>
    <format dxfId="9978">
      <pivotArea dataOnly="0" labelOnly="1" outline="0" fieldPosition="0">
        <references count="7">
          <reference field="1" count="0" selected="0"/>
          <reference field="3" count="1" selected="0">
            <x v="6"/>
          </reference>
          <reference field="4" count="1" selected="0">
            <x v="0"/>
          </reference>
          <reference field="5" count="1" selected="0">
            <x v="175"/>
          </reference>
          <reference field="6" count="1" selected="0">
            <x v="9"/>
          </reference>
          <reference field="9" count="1" selected="0">
            <x v="10"/>
          </reference>
          <reference field="11" count="1">
            <x v="50"/>
          </reference>
        </references>
      </pivotArea>
    </format>
    <format dxfId="9977">
      <pivotArea dataOnly="0" labelOnly="1" outline="0" fieldPosition="0">
        <references count="7">
          <reference field="1" count="0" selected="0"/>
          <reference field="3" count="1" selected="0">
            <x v="6"/>
          </reference>
          <reference field="4" count="1" selected="0">
            <x v="0"/>
          </reference>
          <reference field="5" count="1" selected="0">
            <x v="184"/>
          </reference>
          <reference field="6" count="1" selected="0">
            <x v="9"/>
          </reference>
          <reference field="9" count="1" selected="0">
            <x v="10"/>
          </reference>
          <reference field="11" count="1">
            <x v="20"/>
          </reference>
        </references>
      </pivotArea>
    </format>
    <format dxfId="9976">
      <pivotArea dataOnly="0" labelOnly="1" outline="0" fieldPosition="0">
        <references count="7">
          <reference field="1" count="0" selected="0"/>
          <reference field="3" count="1" selected="0">
            <x v="6"/>
          </reference>
          <reference field="4" count="1" selected="0">
            <x v="0"/>
          </reference>
          <reference field="5" count="1" selected="0">
            <x v="185"/>
          </reference>
          <reference field="6" count="1" selected="0">
            <x v="9"/>
          </reference>
          <reference field="9" count="1" selected="0">
            <x v="10"/>
          </reference>
          <reference field="11" count="1">
            <x v="55"/>
          </reference>
        </references>
      </pivotArea>
    </format>
    <format dxfId="9975">
      <pivotArea dataOnly="0" labelOnly="1" outline="0" fieldPosition="0">
        <references count="7">
          <reference field="1" count="0" selected="0"/>
          <reference field="3" count="1" selected="0">
            <x v="6"/>
          </reference>
          <reference field="4" count="1" selected="0">
            <x v="0"/>
          </reference>
          <reference field="5" count="1" selected="0">
            <x v="349"/>
          </reference>
          <reference field="6" count="1" selected="0">
            <x v="9"/>
          </reference>
          <reference field="9" count="1" selected="0">
            <x v="10"/>
          </reference>
          <reference field="11" count="1">
            <x v="46"/>
          </reference>
        </references>
      </pivotArea>
    </format>
    <format dxfId="9974">
      <pivotArea dataOnly="0" labelOnly="1" outline="0" fieldPosition="0">
        <references count="7">
          <reference field="1" count="0" selected="0"/>
          <reference field="3" count="1" selected="0">
            <x v="6"/>
          </reference>
          <reference field="4" count="1" selected="0">
            <x v="0"/>
          </reference>
          <reference field="5" count="1" selected="0">
            <x v="351"/>
          </reference>
          <reference field="6" count="1" selected="0">
            <x v="9"/>
          </reference>
          <reference field="9" count="1" selected="0">
            <x v="10"/>
          </reference>
          <reference field="11" count="1">
            <x v="14"/>
          </reference>
        </references>
      </pivotArea>
    </format>
    <format dxfId="9973">
      <pivotArea dataOnly="0" labelOnly="1" outline="0" fieldPosition="0">
        <references count="7">
          <reference field="1" count="0" selected="0"/>
          <reference field="3" count="1" selected="0">
            <x v="6"/>
          </reference>
          <reference field="4" count="1" selected="0">
            <x v="0"/>
          </reference>
          <reference field="5" count="1" selected="0">
            <x v="352"/>
          </reference>
          <reference field="6" count="1" selected="0">
            <x v="9"/>
          </reference>
          <reference field="9" count="1" selected="0">
            <x v="10"/>
          </reference>
          <reference field="11" count="1">
            <x v="19"/>
          </reference>
        </references>
      </pivotArea>
    </format>
    <format dxfId="9972">
      <pivotArea dataOnly="0" labelOnly="1" outline="0" fieldPosition="0">
        <references count="7">
          <reference field="1" count="0" selected="0"/>
          <reference field="3" count="1" selected="0">
            <x v="8"/>
          </reference>
          <reference field="4" count="1" selected="0">
            <x v="3"/>
          </reference>
          <reference field="5" count="1" selected="0">
            <x v="133"/>
          </reference>
          <reference field="6" count="1" selected="0">
            <x v="3"/>
          </reference>
          <reference field="9" count="1" selected="0">
            <x v="10"/>
          </reference>
          <reference field="11" count="1">
            <x v="47"/>
          </reference>
        </references>
      </pivotArea>
    </format>
    <format dxfId="9971">
      <pivotArea dataOnly="0" labelOnly="1" outline="0" fieldPosition="0">
        <references count="7">
          <reference field="1" count="0" selected="0"/>
          <reference field="3" count="1" selected="0">
            <x v="9"/>
          </reference>
          <reference field="4" count="1" selected="0">
            <x v="6"/>
          </reference>
          <reference field="5" count="1" selected="0">
            <x v="163"/>
          </reference>
          <reference field="6" count="1" selected="0">
            <x v="5"/>
          </reference>
          <reference field="9" count="1" selected="0">
            <x v="7"/>
          </reference>
          <reference field="11" count="1">
            <x v="14"/>
          </reference>
        </references>
      </pivotArea>
    </format>
    <format dxfId="9970">
      <pivotArea dataOnly="0" labelOnly="1" outline="0" fieldPosition="0">
        <references count="7">
          <reference field="1" count="0" selected="0"/>
          <reference field="3" count="1" selected="0">
            <x v="9"/>
          </reference>
          <reference field="4" count="1" selected="0">
            <x v="6"/>
          </reference>
          <reference field="5" count="1" selected="0">
            <x v="211"/>
          </reference>
          <reference field="6" count="1" selected="0">
            <x v="5"/>
          </reference>
          <reference field="9" count="1" selected="0">
            <x v="10"/>
          </reference>
          <reference field="11" count="1">
            <x v="31"/>
          </reference>
        </references>
      </pivotArea>
    </format>
    <format dxfId="9969">
      <pivotArea dataOnly="0" labelOnly="1" outline="0" fieldPosition="0">
        <references count="8">
          <reference field="1" count="0" selected="0"/>
          <reference field="3" count="1" selected="0">
            <x v="0"/>
          </reference>
          <reference field="4" count="1" selected="0">
            <x v="3"/>
          </reference>
          <reference field="5" count="1" selected="0">
            <x v="167"/>
          </reference>
          <reference field="6" count="1" selected="0">
            <x v="7"/>
          </reference>
          <reference field="9" count="1" selected="0">
            <x v="10"/>
          </reference>
          <reference field="11" count="1" selected="0">
            <x v="41"/>
          </reference>
          <reference field="12" count="1">
            <x v="8"/>
          </reference>
        </references>
      </pivotArea>
    </format>
    <format dxfId="9968">
      <pivotArea dataOnly="0" labelOnly="1" outline="0" fieldPosition="0">
        <references count="8">
          <reference field="1" count="0" selected="0"/>
          <reference field="3" count="1" selected="0">
            <x v="2"/>
          </reference>
          <reference field="4" count="1" selected="0">
            <x v="1"/>
          </reference>
          <reference field="5" count="1" selected="0">
            <x v="341"/>
          </reference>
          <reference field="6" count="1" selected="0">
            <x v="2"/>
          </reference>
          <reference field="9" count="1" selected="0">
            <x v="4"/>
          </reference>
          <reference field="11" count="1" selected="0">
            <x v="14"/>
          </reference>
          <reference field="12" count="1">
            <x v="13"/>
          </reference>
        </references>
      </pivotArea>
    </format>
    <format dxfId="9967">
      <pivotArea dataOnly="0" labelOnly="1" outline="0" fieldPosition="0">
        <references count="8">
          <reference field="1" count="0" selected="0"/>
          <reference field="3" count="1" selected="0">
            <x v="3"/>
          </reference>
          <reference field="4" count="1" selected="0">
            <x v="1"/>
          </reference>
          <reference field="5" count="1" selected="0">
            <x v="198"/>
          </reference>
          <reference field="6" count="1" selected="0">
            <x v="2"/>
          </reference>
          <reference field="9" count="1" selected="0">
            <x v="10"/>
          </reference>
          <reference field="11" count="1" selected="0">
            <x v="39"/>
          </reference>
          <reference field="12" count="1">
            <x v="8"/>
          </reference>
        </references>
      </pivotArea>
    </format>
    <format dxfId="9966">
      <pivotArea dataOnly="0" labelOnly="1" outline="0" fieldPosition="0">
        <references count="8">
          <reference field="1" count="0" selected="0"/>
          <reference field="3" count="1" selected="0">
            <x v="4"/>
          </reference>
          <reference field="4" count="1" selected="0">
            <x v="1"/>
          </reference>
          <reference field="5" count="1" selected="0">
            <x v="96"/>
          </reference>
          <reference field="6" count="1" selected="0">
            <x v="2"/>
          </reference>
          <reference field="9" count="1" selected="0">
            <x v="10"/>
          </reference>
          <reference field="11" count="1" selected="0">
            <x v="1"/>
          </reference>
          <reference field="12" count="1">
            <x v="8"/>
          </reference>
        </references>
      </pivotArea>
    </format>
    <format dxfId="9965">
      <pivotArea dataOnly="0" labelOnly="1" outline="0" fieldPosition="0">
        <references count="8">
          <reference field="1" count="0" selected="0"/>
          <reference field="3" count="1" selected="0">
            <x v="4"/>
          </reference>
          <reference field="4" count="1" selected="0">
            <x v="1"/>
          </reference>
          <reference field="5" count="1" selected="0">
            <x v="112"/>
          </reference>
          <reference field="6" count="1" selected="0">
            <x v="2"/>
          </reference>
          <reference field="9" count="1" selected="0">
            <x v="10"/>
          </reference>
          <reference field="11" count="1" selected="0">
            <x v="55"/>
          </reference>
          <reference field="12" count="1">
            <x v="19"/>
          </reference>
        </references>
      </pivotArea>
    </format>
    <format dxfId="9964">
      <pivotArea dataOnly="0" labelOnly="1" outline="0" fieldPosition="0">
        <references count="8">
          <reference field="1" count="0" selected="0"/>
          <reference field="3" count="1" selected="0">
            <x v="6"/>
          </reference>
          <reference field="4" count="1" selected="0">
            <x v="0"/>
          </reference>
          <reference field="5" count="1" selected="0">
            <x v="121"/>
          </reference>
          <reference field="6" count="1" selected="0">
            <x v="9"/>
          </reference>
          <reference field="9" count="1" selected="0">
            <x v="10"/>
          </reference>
          <reference field="11" count="1" selected="0">
            <x v="14"/>
          </reference>
          <reference field="12" count="1">
            <x v="23"/>
          </reference>
        </references>
      </pivotArea>
    </format>
    <format dxfId="9963">
      <pivotArea dataOnly="0" labelOnly="1" outline="0" fieldPosition="0">
        <references count="8">
          <reference field="1" count="0" selected="0"/>
          <reference field="3" count="1" selected="0">
            <x v="6"/>
          </reference>
          <reference field="4" count="1" selected="0">
            <x v="0"/>
          </reference>
          <reference field="5" count="1" selected="0">
            <x v="160"/>
          </reference>
          <reference field="6" count="1" selected="0">
            <x v="9"/>
          </reference>
          <reference field="9" count="1" selected="0">
            <x v="10"/>
          </reference>
          <reference field="11" count="1" selected="0">
            <x v="47"/>
          </reference>
          <reference field="12" count="1">
            <x v="0"/>
          </reference>
        </references>
      </pivotArea>
    </format>
    <format dxfId="9962">
      <pivotArea dataOnly="0" labelOnly="1" outline="0" fieldPosition="0">
        <references count="8">
          <reference field="1" count="0" selected="0"/>
          <reference field="3" count="1" selected="0">
            <x v="6"/>
          </reference>
          <reference field="4" count="1" selected="0">
            <x v="0"/>
          </reference>
          <reference field="5" count="1" selected="0">
            <x v="175"/>
          </reference>
          <reference field="6" count="1" selected="0">
            <x v="9"/>
          </reference>
          <reference field="9" count="1" selected="0">
            <x v="10"/>
          </reference>
          <reference field="11" count="1" selected="0">
            <x v="50"/>
          </reference>
          <reference field="12" count="1">
            <x v="8"/>
          </reference>
        </references>
      </pivotArea>
    </format>
    <format dxfId="9961">
      <pivotArea dataOnly="0" labelOnly="1" outline="0" fieldPosition="0">
        <references count="8">
          <reference field="1" count="0" selected="0"/>
          <reference field="3" count="1" selected="0">
            <x v="6"/>
          </reference>
          <reference field="4" count="1" selected="0">
            <x v="0"/>
          </reference>
          <reference field="5" count="1" selected="0">
            <x v="185"/>
          </reference>
          <reference field="6" count="1" selected="0">
            <x v="9"/>
          </reference>
          <reference field="9" count="1" selected="0">
            <x v="10"/>
          </reference>
          <reference field="11" count="1" selected="0">
            <x v="55"/>
          </reference>
          <reference field="12" count="1">
            <x v="19"/>
          </reference>
        </references>
      </pivotArea>
    </format>
    <format dxfId="9960">
      <pivotArea dataOnly="0" labelOnly="1" outline="0" fieldPosition="0">
        <references count="8">
          <reference field="1" count="0" selected="0"/>
          <reference field="3" count="1" selected="0">
            <x v="6"/>
          </reference>
          <reference field="4" count="1" selected="0">
            <x v="0"/>
          </reference>
          <reference field="5" count="1" selected="0">
            <x v="349"/>
          </reference>
          <reference field="6" count="1" selected="0">
            <x v="9"/>
          </reference>
          <reference field="9" count="1" selected="0">
            <x v="10"/>
          </reference>
          <reference field="11" count="1" selected="0">
            <x v="46"/>
          </reference>
          <reference field="12" count="1">
            <x v="8"/>
          </reference>
        </references>
      </pivotArea>
    </format>
    <format dxfId="9959">
      <pivotArea dataOnly="0" labelOnly="1" outline="0" fieldPosition="0">
        <references count="8">
          <reference field="1" count="0" selected="0"/>
          <reference field="3" count="1" selected="0">
            <x v="6"/>
          </reference>
          <reference field="4" count="1" selected="0">
            <x v="0"/>
          </reference>
          <reference field="5" count="1" selected="0">
            <x v="351"/>
          </reference>
          <reference field="6" count="1" selected="0">
            <x v="9"/>
          </reference>
          <reference field="9" count="1" selected="0">
            <x v="10"/>
          </reference>
          <reference field="11" count="1" selected="0">
            <x v="14"/>
          </reference>
          <reference field="12" count="1">
            <x v="15"/>
          </reference>
        </references>
      </pivotArea>
    </format>
    <format dxfId="9958">
      <pivotArea dataOnly="0" labelOnly="1" outline="0" fieldPosition="0">
        <references count="8">
          <reference field="1" count="0" selected="0"/>
          <reference field="3" count="1" selected="0">
            <x v="6"/>
          </reference>
          <reference field="4" count="1" selected="0">
            <x v="0"/>
          </reference>
          <reference field="5" count="1" selected="0">
            <x v="352"/>
          </reference>
          <reference field="6" count="1" selected="0">
            <x v="9"/>
          </reference>
          <reference field="9" count="1" selected="0">
            <x v="10"/>
          </reference>
          <reference field="11" count="1" selected="0">
            <x v="19"/>
          </reference>
          <reference field="12" count="1">
            <x v="8"/>
          </reference>
        </references>
      </pivotArea>
    </format>
    <format dxfId="9957">
      <pivotArea dataOnly="0" labelOnly="1" outline="0" fieldPosition="0">
        <references count="8">
          <reference field="1" count="0" selected="0"/>
          <reference field="3" count="1" selected="0">
            <x v="8"/>
          </reference>
          <reference field="4" count="1" selected="0">
            <x v="3"/>
          </reference>
          <reference field="5" count="1" selected="0">
            <x v="133"/>
          </reference>
          <reference field="6" count="1" selected="0">
            <x v="3"/>
          </reference>
          <reference field="9" count="1" selected="0">
            <x v="10"/>
          </reference>
          <reference field="11" count="1" selected="0">
            <x v="47"/>
          </reference>
          <reference field="12" count="1">
            <x v="0"/>
          </reference>
        </references>
      </pivotArea>
    </format>
    <format dxfId="9956">
      <pivotArea dataOnly="0" labelOnly="1" outline="0" fieldPosition="0">
        <references count="8">
          <reference field="1" count="0" selected="0"/>
          <reference field="3" count="1" selected="0">
            <x v="9"/>
          </reference>
          <reference field="4" count="1" selected="0">
            <x v="6"/>
          </reference>
          <reference field="5" count="1" selected="0">
            <x v="163"/>
          </reference>
          <reference field="6" count="1" selected="0">
            <x v="5"/>
          </reference>
          <reference field="9" count="1" selected="0">
            <x v="7"/>
          </reference>
          <reference field="11" count="1" selected="0">
            <x v="14"/>
          </reference>
          <reference field="12" count="1">
            <x v="3"/>
          </reference>
        </references>
      </pivotArea>
    </format>
    <format dxfId="9955">
      <pivotArea dataOnly="0" labelOnly="1" outline="0" fieldPosition="0">
        <references count="8">
          <reference field="1" count="0" selected="0"/>
          <reference field="3" count="1" selected="0">
            <x v="9"/>
          </reference>
          <reference field="4" count="1" selected="0">
            <x v="6"/>
          </reference>
          <reference field="5" count="1" selected="0">
            <x v="211"/>
          </reference>
          <reference field="6" count="1" selected="0">
            <x v="5"/>
          </reference>
          <reference field="9" count="1" selected="0">
            <x v="10"/>
          </reference>
          <reference field="11" count="1" selected="0">
            <x v="31"/>
          </reference>
          <reference field="12" count="1">
            <x v="8"/>
          </reference>
        </references>
      </pivotArea>
    </format>
    <format dxfId="9954">
      <pivotArea dataOnly="0" labelOnly="1" outline="0" fieldPosition="0">
        <references count="9">
          <reference field="1" count="0" selected="0"/>
          <reference field="3" count="1" selected="0">
            <x v="0"/>
          </reference>
          <reference field="4" count="1" selected="0">
            <x v="3"/>
          </reference>
          <reference field="5" count="1" selected="0">
            <x v="167"/>
          </reference>
          <reference field="6" count="1" selected="0">
            <x v="7"/>
          </reference>
          <reference field="9" count="1" selected="0">
            <x v="10"/>
          </reference>
          <reference field="11" count="1" selected="0">
            <x v="41"/>
          </reference>
          <reference field="12" count="1" selected="0">
            <x v="8"/>
          </reference>
          <reference field="13" count="1">
            <x v="3"/>
          </reference>
        </references>
      </pivotArea>
    </format>
    <format dxfId="9953">
      <pivotArea dataOnly="0" labelOnly="1" outline="0" fieldPosition="0">
        <references count="9">
          <reference field="1" count="0" selected="0"/>
          <reference field="3" count="1" selected="0">
            <x v="6"/>
          </reference>
          <reference field="4" count="1" selected="0">
            <x v="0"/>
          </reference>
          <reference field="5" count="1" selected="0">
            <x v="121"/>
          </reference>
          <reference field="6" count="1" selected="0">
            <x v="9"/>
          </reference>
          <reference field="9" count="1" selected="0">
            <x v="10"/>
          </reference>
          <reference field="11" count="1" selected="0">
            <x v="14"/>
          </reference>
          <reference field="12" count="1" selected="0">
            <x v="23"/>
          </reference>
          <reference field="13" count="1">
            <x v="2"/>
          </reference>
        </references>
      </pivotArea>
    </format>
    <format dxfId="9952">
      <pivotArea dataOnly="0" labelOnly="1" outline="0" fieldPosition="0">
        <references count="9">
          <reference field="1" count="0" selected="0"/>
          <reference field="3" count="1" selected="0">
            <x v="6"/>
          </reference>
          <reference field="4" count="1" selected="0">
            <x v="0"/>
          </reference>
          <reference field="5" count="1" selected="0">
            <x v="160"/>
          </reference>
          <reference field="6" count="1" selected="0">
            <x v="9"/>
          </reference>
          <reference field="9" count="1" selected="0">
            <x v="10"/>
          </reference>
          <reference field="11" count="1" selected="0">
            <x v="47"/>
          </reference>
          <reference field="12" count="1" selected="0">
            <x v="0"/>
          </reference>
          <reference field="13" count="1">
            <x v="4"/>
          </reference>
        </references>
      </pivotArea>
    </format>
    <format dxfId="9951">
      <pivotArea dataOnly="0" labelOnly="1" outline="0" fieldPosition="0">
        <references count="9">
          <reference field="1" count="0" selected="0"/>
          <reference field="3" count="1" selected="0">
            <x v="6"/>
          </reference>
          <reference field="4" count="1" selected="0">
            <x v="0"/>
          </reference>
          <reference field="5" count="1" selected="0">
            <x v="175"/>
          </reference>
          <reference field="6" count="1" selected="0">
            <x v="9"/>
          </reference>
          <reference field="9" count="1" selected="0">
            <x v="10"/>
          </reference>
          <reference field="11" count="1" selected="0">
            <x v="50"/>
          </reference>
          <reference field="12" count="1" selected="0">
            <x v="8"/>
          </reference>
          <reference field="13" count="1">
            <x v="3"/>
          </reference>
        </references>
      </pivotArea>
    </format>
    <format dxfId="9950">
      <pivotArea dataOnly="0" labelOnly="1" outline="0" fieldPosition="0">
        <references count="9">
          <reference field="1" count="0" selected="0"/>
          <reference field="3" count="1" selected="0">
            <x v="8"/>
          </reference>
          <reference field="4" count="1" selected="0">
            <x v="3"/>
          </reference>
          <reference field="5" count="1" selected="0">
            <x v="133"/>
          </reference>
          <reference field="6" count="1" selected="0">
            <x v="3"/>
          </reference>
          <reference field="9" count="1" selected="0">
            <x v="10"/>
          </reference>
          <reference field="11" count="1" selected="0">
            <x v="47"/>
          </reference>
          <reference field="12" count="1" selected="0">
            <x v="0"/>
          </reference>
          <reference field="13" count="1">
            <x v="4"/>
          </reference>
        </references>
      </pivotArea>
    </format>
    <format dxfId="9949">
      <pivotArea dataOnly="0" labelOnly="1" outline="0" fieldPosition="0">
        <references count="9">
          <reference field="1" count="0" selected="0"/>
          <reference field="3" count="1" selected="0">
            <x v="9"/>
          </reference>
          <reference field="4" count="1" selected="0">
            <x v="6"/>
          </reference>
          <reference field="5" count="1" selected="0">
            <x v="163"/>
          </reference>
          <reference field="6" count="1" selected="0">
            <x v="5"/>
          </reference>
          <reference field="9" count="1" selected="0">
            <x v="7"/>
          </reference>
          <reference field="11" count="1" selected="0">
            <x v="14"/>
          </reference>
          <reference field="12" count="1" selected="0">
            <x v="3"/>
          </reference>
          <reference field="13" count="1">
            <x v="3"/>
          </reference>
        </references>
      </pivotArea>
    </format>
    <format dxfId="9948">
      <pivotArea dataOnly="0" labelOnly="1" outline="0" fieldPosition="0">
        <references count="10">
          <reference field="1" count="0" selected="0"/>
          <reference field="3" count="1" selected="0">
            <x v="0"/>
          </reference>
          <reference field="4" count="1" selected="0">
            <x v="3"/>
          </reference>
          <reference field="5" count="1" selected="0">
            <x v="167"/>
          </reference>
          <reference field="6" count="1" selected="0">
            <x v="7"/>
          </reference>
          <reference field="9" count="1" selected="0">
            <x v="10"/>
          </reference>
          <reference field="11" count="1" selected="0">
            <x v="41"/>
          </reference>
          <reference field="12" count="1" selected="0">
            <x v="8"/>
          </reference>
          <reference field="13" count="1" selected="0">
            <x v="3"/>
          </reference>
          <reference field="14" count="1">
            <x v="24"/>
          </reference>
        </references>
      </pivotArea>
    </format>
    <format dxfId="9947">
      <pivotArea dataOnly="0" labelOnly="1" outline="0" fieldPosition="0">
        <references count="10">
          <reference field="1" count="0" selected="0"/>
          <reference field="3" count="1" selected="0">
            <x v="2"/>
          </reference>
          <reference field="4" count="1" selected="0">
            <x v="1"/>
          </reference>
          <reference field="5" count="1" selected="0">
            <x v="341"/>
          </reference>
          <reference field="6" count="1" selected="0">
            <x v="2"/>
          </reference>
          <reference field="9" count="1" selected="0">
            <x v="4"/>
          </reference>
          <reference field="11" count="1" selected="0">
            <x v="14"/>
          </reference>
          <reference field="12" count="1" selected="0">
            <x v="13"/>
          </reference>
          <reference field="13" count="1" selected="0">
            <x v="3"/>
          </reference>
          <reference field="14" count="1">
            <x v="17"/>
          </reference>
        </references>
      </pivotArea>
    </format>
    <format dxfId="9946">
      <pivotArea dataOnly="0" labelOnly="1" outline="0" fieldPosition="0">
        <references count="10">
          <reference field="1" count="0" selected="0"/>
          <reference field="3" count="1" selected="0">
            <x v="3"/>
          </reference>
          <reference field="4" count="1" selected="0">
            <x v="1"/>
          </reference>
          <reference field="5" count="1" selected="0">
            <x v="198"/>
          </reference>
          <reference field="6" count="1" selected="0">
            <x v="2"/>
          </reference>
          <reference field="9" count="1" selected="0">
            <x v="10"/>
          </reference>
          <reference field="11" count="1" selected="0">
            <x v="39"/>
          </reference>
          <reference field="12" count="1" selected="0">
            <x v="8"/>
          </reference>
          <reference field="13" count="1" selected="0">
            <x v="3"/>
          </reference>
          <reference field="14" count="1">
            <x v="50"/>
          </reference>
        </references>
      </pivotArea>
    </format>
    <format dxfId="9945">
      <pivotArea dataOnly="0" labelOnly="1" outline="0" fieldPosition="0">
        <references count="10">
          <reference field="1" count="0" selected="0"/>
          <reference field="3" count="1" selected="0">
            <x v="4"/>
          </reference>
          <reference field="4" count="1" selected="0">
            <x v="1"/>
          </reference>
          <reference field="5" count="1" selected="0">
            <x v="96"/>
          </reference>
          <reference field="6" count="1" selected="0">
            <x v="2"/>
          </reference>
          <reference field="9" count="1" selected="0">
            <x v="10"/>
          </reference>
          <reference field="11" count="1" selected="0">
            <x v="1"/>
          </reference>
          <reference field="12" count="1" selected="0">
            <x v="8"/>
          </reference>
          <reference field="13" count="1" selected="0">
            <x v="3"/>
          </reference>
          <reference field="14" count="1">
            <x v="6"/>
          </reference>
        </references>
      </pivotArea>
    </format>
    <format dxfId="9944">
      <pivotArea dataOnly="0" labelOnly="1" outline="0" fieldPosition="0">
        <references count="10">
          <reference field="1" count="0" selected="0"/>
          <reference field="3" count="1" selected="0">
            <x v="4"/>
          </reference>
          <reference field="4" count="1" selected="0">
            <x v="1"/>
          </reference>
          <reference field="5" count="1" selected="0">
            <x v="105"/>
          </reference>
          <reference field="6" count="1" selected="0">
            <x v="2"/>
          </reference>
          <reference field="9" count="1" selected="0">
            <x v="2"/>
          </reference>
          <reference field="11" count="1" selected="0">
            <x v="14"/>
          </reference>
          <reference field="12" count="1" selected="0">
            <x v="8"/>
          </reference>
          <reference field="13" count="1" selected="0">
            <x v="3"/>
          </reference>
          <reference field="14" count="1">
            <x v="17"/>
          </reference>
        </references>
      </pivotArea>
    </format>
    <format dxfId="9943">
      <pivotArea dataOnly="0" labelOnly="1" outline="0" fieldPosition="0">
        <references count="10">
          <reference field="1" count="0" selected="0"/>
          <reference field="3" count="1" selected="0">
            <x v="4"/>
          </reference>
          <reference field="4" count="1" selected="0">
            <x v="1"/>
          </reference>
          <reference field="5" count="1" selected="0">
            <x v="112"/>
          </reference>
          <reference field="6" count="1" selected="0">
            <x v="2"/>
          </reference>
          <reference field="9" count="1" selected="0">
            <x v="10"/>
          </reference>
          <reference field="11" count="1" selected="0">
            <x v="55"/>
          </reference>
          <reference field="12" count="1" selected="0">
            <x v="19"/>
          </reference>
          <reference field="13" count="1" selected="0">
            <x v="3"/>
          </reference>
          <reference field="14" count="1">
            <x v="19"/>
          </reference>
        </references>
      </pivotArea>
    </format>
    <format dxfId="9942">
      <pivotArea dataOnly="0" labelOnly="1" outline="0" fieldPosition="0">
        <references count="10">
          <reference field="1" count="0" selected="0"/>
          <reference field="3" count="1" selected="0">
            <x v="4"/>
          </reference>
          <reference field="4" count="1" selected="0">
            <x v="1"/>
          </reference>
          <reference field="5" count="1" selected="0">
            <x v="330"/>
          </reference>
          <reference field="6" count="1" selected="0">
            <x v="2"/>
          </reference>
          <reference field="9" count="1" selected="0">
            <x v="10"/>
          </reference>
          <reference field="11" count="1" selected="0">
            <x v="12"/>
          </reference>
          <reference field="12" count="1" selected="0">
            <x v="8"/>
          </reference>
          <reference field="13" count="1" selected="0">
            <x v="3"/>
          </reference>
          <reference field="14" count="1">
            <x v="17"/>
          </reference>
        </references>
      </pivotArea>
    </format>
    <format dxfId="9941">
      <pivotArea dataOnly="0" labelOnly="1" outline="0" fieldPosition="0">
        <references count="10">
          <reference field="1" count="0" selected="0"/>
          <reference field="3" count="1" selected="0">
            <x v="6"/>
          </reference>
          <reference field="4" count="1" selected="0">
            <x v="0"/>
          </reference>
          <reference field="5" count="1" selected="0">
            <x v="120"/>
          </reference>
          <reference field="6" count="1" selected="0">
            <x v="9"/>
          </reference>
          <reference field="9" count="1" selected="0">
            <x v="10"/>
          </reference>
          <reference field="11" count="1" selected="0">
            <x v="31"/>
          </reference>
          <reference field="12" count="1" selected="0">
            <x v="8"/>
          </reference>
          <reference field="13" count="1" selected="0">
            <x v="3"/>
          </reference>
          <reference field="14" count="1">
            <x v="28"/>
          </reference>
        </references>
      </pivotArea>
    </format>
    <format dxfId="9940">
      <pivotArea dataOnly="0" labelOnly="1" outline="0" fieldPosition="0">
        <references count="10">
          <reference field="1" count="0" selected="0"/>
          <reference field="3" count="1" selected="0">
            <x v="6"/>
          </reference>
          <reference field="4" count="1" selected="0">
            <x v="0"/>
          </reference>
          <reference field="5" count="1" selected="0">
            <x v="121"/>
          </reference>
          <reference field="6" count="1" selected="0">
            <x v="9"/>
          </reference>
          <reference field="9" count="1" selected="0">
            <x v="10"/>
          </reference>
          <reference field="11" count="1" selected="0">
            <x v="14"/>
          </reference>
          <reference field="12" count="1" selected="0">
            <x v="23"/>
          </reference>
          <reference field="13" count="1" selected="0">
            <x v="2"/>
          </reference>
          <reference field="14" count="1">
            <x v="17"/>
          </reference>
        </references>
      </pivotArea>
    </format>
    <format dxfId="9939">
      <pivotArea dataOnly="0" labelOnly="1" outline="0" fieldPosition="0">
        <references count="10">
          <reference field="1" count="0" selected="0"/>
          <reference field="3" count="1" selected="0">
            <x v="6"/>
          </reference>
          <reference field="4" count="1" selected="0">
            <x v="0"/>
          </reference>
          <reference field="5" count="1" selected="0">
            <x v="160"/>
          </reference>
          <reference field="6" count="1" selected="0">
            <x v="9"/>
          </reference>
          <reference field="9" count="1" selected="0">
            <x v="10"/>
          </reference>
          <reference field="11" count="1" selected="0">
            <x v="47"/>
          </reference>
          <reference field="12" count="1" selected="0">
            <x v="0"/>
          </reference>
          <reference field="13" count="1" selected="0">
            <x v="4"/>
          </reference>
          <reference field="14" count="1">
            <x v="17"/>
          </reference>
        </references>
      </pivotArea>
    </format>
    <format dxfId="9938">
      <pivotArea dataOnly="0" labelOnly="1" outline="0" fieldPosition="0">
        <references count="10">
          <reference field="1" count="0" selected="0"/>
          <reference field="3" count="1" selected="0">
            <x v="6"/>
          </reference>
          <reference field="4" count="1" selected="0">
            <x v="0"/>
          </reference>
          <reference field="5" count="1" selected="0">
            <x v="175"/>
          </reference>
          <reference field="6" count="1" selected="0">
            <x v="9"/>
          </reference>
          <reference field="9" count="1" selected="0">
            <x v="10"/>
          </reference>
          <reference field="11" count="1" selected="0">
            <x v="50"/>
          </reference>
          <reference field="12" count="1" selected="0">
            <x v="8"/>
          </reference>
          <reference field="13" count="1" selected="0">
            <x v="3"/>
          </reference>
          <reference field="14" count="1">
            <x v="48"/>
          </reference>
        </references>
      </pivotArea>
    </format>
    <format dxfId="9937">
      <pivotArea dataOnly="0" labelOnly="1" outline="0" fieldPosition="0">
        <references count="10">
          <reference field="1" count="0" selected="0"/>
          <reference field="3" count="1" selected="0">
            <x v="6"/>
          </reference>
          <reference field="4" count="1" selected="0">
            <x v="0"/>
          </reference>
          <reference field="5" count="1" selected="0">
            <x v="184"/>
          </reference>
          <reference field="6" count="1" selected="0">
            <x v="9"/>
          </reference>
          <reference field="9" count="1" selected="0">
            <x v="10"/>
          </reference>
          <reference field="11" count="1" selected="0">
            <x v="20"/>
          </reference>
          <reference field="12" count="1" selected="0">
            <x v="8"/>
          </reference>
          <reference field="13" count="1" selected="0">
            <x v="3"/>
          </reference>
          <reference field="14" count="1">
            <x v="47"/>
          </reference>
        </references>
      </pivotArea>
    </format>
    <format dxfId="9936">
      <pivotArea dataOnly="0" labelOnly="1" outline="0" fieldPosition="0">
        <references count="10">
          <reference field="1" count="0" selected="0"/>
          <reference field="3" count="1" selected="0">
            <x v="6"/>
          </reference>
          <reference field="4" count="1" selected="0">
            <x v="0"/>
          </reference>
          <reference field="5" count="1" selected="0">
            <x v="185"/>
          </reference>
          <reference field="6" count="1" selected="0">
            <x v="9"/>
          </reference>
          <reference field="9" count="1" selected="0">
            <x v="10"/>
          </reference>
          <reference field="11" count="1" selected="0">
            <x v="55"/>
          </reference>
          <reference field="12" count="1" selected="0">
            <x v="19"/>
          </reference>
          <reference field="13" count="1" selected="0">
            <x v="3"/>
          </reference>
          <reference field="14" count="1">
            <x v="19"/>
          </reference>
        </references>
      </pivotArea>
    </format>
    <format dxfId="9935">
      <pivotArea dataOnly="0" labelOnly="1" outline="0" fieldPosition="0">
        <references count="10">
          <reference field="1" count="0" selected="0"/>
          <reference field="3" count="1" selected="0">
            <x v="6"/>
          </reference>
          <reference field="4" count="1" selected="0">
            <x v="0"/>
          </reference>
          <reference field="5" count="1" selected="0">
            <x v="349"/>
          </reference>
          <reference field="6" count="1" selected="0">
            <x v="9"/>
          </reference>
          <reference field="9" count="1" selected="0">
            <x v="10"/>
          </reference>
          <reference field="11" count="1" selected="0">
            <x v="46"/>
          </reference>
          <reference field="12" count="1" selected="0">
            <x v="8"/>
          </reference>
          <reference field="13" count="1" selected="0">
            <x v="3"/>
          </reference>
          <reference field="14" count="1">
            <x v="20"/>
          </reference>
        </references>
      </pivotArea>
    </format>
    <format dxfId="9934">
      <pivotArea dataOnly="0" labelOnly="1" outline="0" fieldPosition="0">
        <references count="10">
          <reference field="1" count="0" selected="0"/>
          <reference field="3" count="1" selected="0">
            <x v="6"/>
          </reference>
          <reference field="4" count="1" selected="0">
            <x v="0"/>
          </reference>
          <reference field="5" count="1" selected="0">
            <x v="351"/>
          </reference>
          <reference field="6" count="1" selected="0">
            <x v="9"/>
          </reference>
          <reference field="9" count="1" selected="0">
            <x v="10"/>
          </reference>
          <reference field="11" count="1" selected="0">
            <x v="14"/>
          </reference>
          <reference field="12" count="1" selected="0">
            <x v="15"/>
          </reference>
          <reference field="13" count="1" selected="0">
            <x v="3"/>
          </reference>
          <reference field="14" count="1">
            <x v="15"/>
          </reference>
        </references>
      </pivotArea>
    </format>
    <format dxfId="9933">
      <pivotArea dataOnly="0" labelOnly="1" outline="0" fieldPosition="0">
        <references count="10">
          <reference field="1" count="0" selected="0"/>
          <reference field="3" count="1" selected="0">
            <x v="6"/>
          </reference>
          <reference field="4" count="1" selected="0">
            <x v="0"/>
          </reference>
          <reference field="5" count="1" selected="0">
            <x v="352"/>
          </reference>
          <reference field="6" count="1" selected="0">
            <x v="9"/>
          </reference>
          <reference field="9" count="1" selected="0">
            <x v="10"/>
          </reference>
          <reference field="11" count="1" selected="0">
            <x v="19"/>
          </reference>
          <reference field="12" count="1" selected="0">
            <x v="8"/>
          </reference>
          <reference field="13" count="1" selected="0">
            <x v="3"/>
          </reference>
          <reference field="14" count="1">
            <x v="17"/>
          </reference>
        </references>
      </pivotArea>
    </format>
    <format dxfId="9932">
      <pivotArea dataOnly="0" labelOnly="1" outline="0" fieldPosition="0">
        <references count="10">
          <reference field="1" count="0" selected="0"/>
          <reference field="3" count="1" selected="0">
            <x v="8"/>
          </reference>
          <reference field="4" count="1" selected="0">
            <x v="3"/>
          </reference>
          <reference field="5" count="1" selected="0">
            <x v="133"/>
          </reference>
          <reference field="6" count="1" selected="0">
            <x v="3"/>
          </reference>
          <reference field="9" count="1" selected="0">
            <x v="10"/>
          </reference>
          <reference field="11" count="1" selected="0">
            <x v="47"/>
          </reference>
          <reference field="12" count="1" selected="0">
            <x v="0"/>
          </reference>
          <reference field="13" count="1" selected="0">
            <x v="4"/>
          </reference>
          <reference field="14" count="1">
            <x v="17"/>
          </reference>
        </references>
      </pivotArea>
    </format>
    <format dxfId="9931">
      <pivotArea dataOnly="0" labelOnly="1" outline="0" fieldPosition="0">
        <references count="10">
          <reference field="1" count="0" selected="0"/>
          <reference field="3" count="1" selected="0">
            <x v="9"/>
          </reference>
          <reference field="4" count="1" selected="0">
            <x v="6"/>
          </reference>
          <reference field="5" count="1" selected="0">
            <x v="163"/>
          </reference>
          <reference field="6" count="1" selected="0">
            <x v="5"/>
          </reference>
          <reference field="9" count="1" selected="0">
            <x v="7"/>
          </reference>
          <reference field="11" count="1" selected="0">
            <x v="14"/>
          </reference>
          <reference field="12" count="1" selected="0">
            <x v="3"/>
          </reference>
          <reference field="13" count="1" selected="0">
            <x v="3"/>
          </reference>
          <reference field="14" count="1">
            <x v="17"/>
          </reference>
        </references>
      </pivotArea>
    </format>
    <format dxfId="9930">
      <pivotArea dataOnly="0" labelOnly="1" outline="0" fieldPosition="0">
        <references count="10">
          <reference field="1" count="0" selected="0"/>
          <reference field="3" count="1" selected="0">
            <x v="9"/>
          </reference>
          <reference field="4" count="1" selected="0">
            <x v="6"/>
          </reference>
          <reference field="5" count="1" selected="0">
            <x v="211"/>
          </reference>
          <reference field="6" count="1" selected="0">
            <x v="5"/>
          </reference>
          <reference field="9" count="1" selected="0">
            <x v="10"/>
          </reference>
          <reference field="11" count="1" selected="0">
            <x v="31"/>
          </reference>
          <reference field="12" count="1" selected="0">
            <x v="8"/>
          </reference>
          <reference field="13" count="1" selected="0">
            <x v="3"/>
          </reference>
          <reference field="14" count="1">
            <x v="28"/>
          </reference>
        </references>
      </pivotArea>
    </format>
    <format dxfId="9929">
      <pivotArea dataOnly="0" labelOnly="1" outline="0" fieldPosition="0">
        <references count="7">
          <reference field="1" count="0" selected="0"/>
          <reference field="3" count="1" selected="0">
            <x v="2"/>
          </reference>
          <reference field="4" count="1" selected="0">
            <x v="1"/>
          </reference>
          <reference field="5" count="1" selected="0">
            <x v="341"/>
          </reference>
          <reference field="6" count="1" selected="0">
            <x v="2"/>
          </reference>
          <reference field="9" count="1" selected="0">
            <x v="4"/>
          </reference>
          <reference field="11" count="1">
            <x v="8"/>
          </reference>
        </references>
      </pivotArea>
    </format>
    <format dxfId="9928">
      <pivotArea dataOnly="0" labelOnly="1" outline="0" fieldPosition="0">
        <references count="7">
          <reference field="1" count="0" selected="0"/>
          <reference field="3" count="1" selected="0">
            <x v="3"/>
          </reference>
          <reference field="4" count="1" selected="0">
            <x v="1"/>
          </reference>
          <reference field="5" count="1" selected="0">
            <x v="195"/>
          </reference>
          <reference field="6" count="1" selected="0">
            <x v="2"/>
          </reference>
          <reference field="9" count="1" selected="0">
            <x v="10"/>
          </reference>
          <reference field="11" count="1">
            <x v="2"/>
          </reference>
        </references>
      </pivotArea>
    </format>
    <format dxfId="9927">
      <pivotArea dataOnly="0" labelOnly="1" outline="0" fieldPosition="0">
        <references count="7">
          <reference field="1" count="0" selected="0"/>
          <reference field="3" count="1" selected="0">
            <x v="3"/>
          </reference>
          <reference field="4" count="1" selected="0">
            <x v="1"/>
          </reference>
          <reference field="5" count="1" selected="0">
            <x v="198"/>
          </reference>
          <reference field="6" count="1" selected="0">
            <x v="2"/>
          </reference>
          <reference field="9" count="1" selected="0">
            <x v="10"/>
          </reference>
          <reference field="11" count="1">
            <x v="14"/>
          </reference>
        </references>
      </pivotArea>
    </format>
    <format dxfId="9926">
      <pivotArea dataOnly="0" labelOnly="1" outline="0" fieldPosition="0">
        <references count="7">
          <reference field="1" count="0" selected="0"/>
          <reference field="3" count="1" selected="0">
            <x v="4"/>
          </reference>
          <reference field="4" count="1" selected="0">
            <x v="1"/>
          </reference>
          <reference field="5" count="1" selected="0">
            <x v="98"/>
          </reference>
          <reference field="6" count="1" selected="0">
            <x v="2"/>
          </reference>
          <reference field="9" count="1" selected="0">
            <x v="10"/>
          </reference>
          <reference field="11" count="1">
            <x v="22"/>
          </reference>
        </references>
      </pivotArea>
    </format>
    <format dxfId="9925">
      <pivotArea dataOnly="0" labelOnly="1" outline="0" fieldPosition="0">
        <references count="7">
          <reference field="1" count="0" selected="0"/>
          <reference field="3" count="1" selected="0">
            <x v="4"/>
          </reference>
          <reference field="4" count="1" selected="0">
            <x v="1"/>
          </reference>
          <reference field="5" count="1" selected="0">
            <x v="101"/>
          </reference>
          <reference field="6" count="1" selected="0">
            <x v="2"/>
          </reference>
          <reference field="9" count="1" selected="0">
            <x v="10"/>
          </reference>
          <reference field="11" count="1">
            <x v="3"/>
          </reference>
        </references>
      </pivotArea>
    </format>
    <format dxfId="9924">
      <pivotArea dataOnly="0" labelOnly="1" outline="0" fieldPosition="0">
        <references count="7">
          <reference field="1" count="0" selected="0"/>
          <reference field="3" count="1" selected="0">
            <x v="4"/>
          </reference>
          <reference field="4" count="1" selected="0">
            <x v="1"/>
          </reference>
          <reference field="5" count="1" selected="0">
            <x v="112"/>
          </reference>
          <reference field="6" count="1" selected="0">
            <x v="2"/>
          </reference>
          <reference field="9" count="1" selected="0">
            <x v="10"/>
          </reference>
          <reference field="11" count="1">
            <x v="14"/>
          </reference>
        </references>
      </pivotArea>
    </format>
    <format dxfId="9923">
      <pivotArea dataOnly="0" labelOnly="1" outline="0" fieldPosition="0">
        <references count="7">
          <reference field="1" count="0" selected="0"/>
          <reference field="3" count="1" selected="0">
            <x v="4"/>
          </reference>
          <reference field="4" count="1" selected="0">
            <x v="1"/>
          </reference>
          <reference field="5" count="1" selected="0">
            <x v="118"/>
          </reference>
          <reference field="6" count="1" selected="0">
            <x v="2"/>
          </reference>
          <reference field="9" count="1" selected="0">
            <x v="10"/>
          </reference>
          <reference field="11" count="1">
            <x v="45"/>
          </reference>
        </references>
      </pivotArea>
    </format>
    <format dxfId="9922">
      <pivotArea dataOnly="0" labelOnly="1" outline="0" fieldPosition="0">
        <references count="7">
          <reference field="1" count="0" selected="0"/>
          <reference field="3" count="1" selected="0">
            <x v="4"/>
          </reference>
          <reference field="4" count="1" selected="0">
            <x v="1"/>
          </reference>
          <reference field="5" count="1" selected="0">
            <x v="330"/>
          </reference>
          <reference field="6" count="1" selected="0">
            <x v="2"/>
          </reference>
          <reference field="9" count="1" selected="0">
            <x v="10"/>
          </reference>
          <reference field="11" count="1">
            <x v="3"/>
          </reference>
        </references>
      </pivotArea>
    </format>
    <format dxfId="9921">
      <pivotArea dataOnly="0" labelOnly="1" outline="0" fieldPosition="0">
        <references count="7">
          <reference field="1" count="0" selected="0"/>
          <reference field="3" count="1" selected="0">
            <x v="6"/>
          </reference>
          <reference field="4" count="1" selected="0">
            <x v="0"/>
          </reference>
          <reference field="5" count="1" selected="0">
            <x v="119"/>
          </reference>
          <reference field="6" count="1" selected="0">
            <x v="9"/>
          </reference>
          <reference field="9" count="1" selected="0">
            <x v="10"/>
          </reference>
          <reference field="11" count="1">
            <x v="32"/>
          </reference>
        </references>
      </pivotArea>
    </format>
    <format dxfId="9920">
      <pivotArea dataOnly="0" labelOnly="1" outline="0" fieldPosition="0">
        <references count="7">
          <reference field="1" count="0" selected="0"/>
          <reference field="3" count="1" selected="0">
            <x v="6"/>
          </reference>
          <reference field="4" count="1" selected="0">
            <x v="0"/>
          </reference>
          <reference field="5" count="1" selected="0">
            <x v="127"/>
          </reference>
          <reference field="6" count="1" selected="0">
            <x v="9"/>
          </reference>
          <reference field="9" count="1" selected="0">
            <x v="10"/>
          </reference>
          <reference field="11" count="1">
            <x v="2"/>
          </reference>
        </references>
      </pivotArea>
    </format>
    <format dxfId="9919">
      <pivotArea dataOnly="0" labelOnly="1" outline="0" fieldPosition="0">
        <references count="7">
          <reference field="1" count="0" selected="0"/>
          <reference field="3" count="1" selected="0">
            <x v="6"/>
          </reference>
          <reference field="4" count="1" selected="0">
            <x v="0"/>
          </reference>
          <reference field="5" count="1" selected="0">
            <x v="147"/>
          </reference>
          <reference field="6" count="1" selected="0">
            <x v="9"/>
          </reference>
          <reference field="9" count="1" selected="0">
            <x v="10"/>
          </reference>
          <reference field="11" count="1">
            <x v="14"/>
          </reference>
        </references>
      </pivotArea>
    </format>
    <format dxfId="9918">
      <pivotArea dataOnly="0" labelOnly="1" outline="0" fieldPosition="0">
        <references count="7">
          <reference field="1" count="0" selected="0"/>
          <reference field="3" count="1" selected="0">
            <x v="6"/>
          </reference>
          <reference field="4" count="1" selected="0">
            <x v="0"/>
          </reference>
          <reference field="5" count="1" selected="0">
            <x v="166"/>
          </reference>
          <reference field="6" count="1" selected="0">
            <x v="9"/>
          </reference>
          <reference field="9" count="1" selected="0">
            <x v="10"/>
          </reference>
          <reference field="11" count="1">
            <x v="18"/>
          </reference>
        </references>
      </pivotArea>
    </format>
    <format dxfId="9917">
      <pivotArea dataOnly="0" labelOnly="1" outline="0" fieldPosition="0">
        <references count="7">
          <reference field="1" count="0" selected="0"/>
          <reference field="3" count="1" selected="0">
            <x v="6"/>
          </reference>
          <reference field="4" count="1" selected="0">
            <x v="0"/>
          </reference>
          <reference field="5" count="1" selected="0">
            <x v="173"/>
          </reference>
          <reference field="6" count="1" selected="0">
            <x v="9"/>
          </reference>
          <reference field="9" count="1" selected="0">
            <x v="10"/>
          </reference>
          <reference field="11" count="1">
            <x v="41"/>
          </reference>
        </references>
      </pivotArea>
    </format>
    <format dxfId="9916">
      <pivotArea dataOnly="0" labelOnly="1" outline="0" fieldPosition="0">
        <references count="7">
          <reference field="1" count="0" selected="0"/>
          <reference field="3" count="1" selected="0">
            <x v="6"/>
          </reference>
          <reference field="4" count="1" selected="0">
            <x v="0"/>
          </reference>
          <reference field="5" count="1" selected="0">
            <x v="176"/>
          </reference>
          <reference field="6" count="1" selected="0">
            <x v="9"/>
          </reference>
          <reference field="9" count="1" selected="0">
            <x v="10"/>
          </reference>
          <reference field="11" count="1">
            <x v="14"/>
          </reference>
        </references>
      </pivotArea>
    </format>
    <format dxfId="9915">
      <pivotArea dataOnly="0" labelOnly="1" outline="0" fieldPosition="0">
        <references count="7">
          <reference field="1" count="0" selected="0"/>
          <reference field="3" count="1" selected="0">
            <x v="6"/>
          </reference>
          <reference field="4" count="1" selected="0">
            <x v="0"/>
          </reference>
          <reference field="5" count="1" selected="0">
            <x v="188"/>
          </reference>
          <reference field="6" count="1" selected="0">
            <x v="9"/>
          </reference>
          <reference field="9" count="1" selected="0">
            <x v="10"/>
          </reference>
          <reference field="11" count="1">
            <x v="5"/>
          </reference>
        </references>
      </pivotArea>
    </format>
    <format dxfId="9914">
      <pivotArea dataOnly="0" labelOnly="1" outline="0" fieldPosition="0">
        <references count="7">
          <reference field="1" count="0" selected="0"/>
          <reference field="3" count="1" selected="0">
            <x v="6"/>
          </reference>
          <reference field="4" count="1" selected="0">
            <x v="0"/>
          </reference>
          <reference field="5" count="1" selected="0">
            <x v="191"/>
          </reference>
          <reference field="6" count="1" selected="0">
            <x v="9"/>
          </reference>
          <reference field="9" count="1" selected="0">
            <x v="10"/>
          </reference>
          <reference field="11" count="1">
            <x v="16"/>
          </reference>
        </references>
      </pivotArea>
    </format>
    <format dxfId="9913">
      <pivotArea dataOnly="0" labelOnly="1" outline="0" fieldPosition="0">
        <references count="7">
          <reference field="1" count="0" selected="0"/>
          <reference field="3" count="1" selected="0">
            <x v="6"/>
          </reference>
          <reference field="4" count="1" selected="0">
            <x v="0"/>
          </reference>
          <reference field="5" count="1" selected="0">
            <x v="336"/>
          </reference>
          <reference field="6" count="1" selected="0">
            <x v="9"/>
          </reference>
          <reference field="9" count="1" selected="0">
            <x v="10"/>
          </reference>
          <reference field="11" count="1">
            <x v="46"/>
          </reference>
        </references>
      </pivotArea>
    </format>
    <format dxfId="9912">
      <pivotArea dataOnly="0" labelOnly="1" outline="0" fieldPosition="0">
        <references count="7">
          <reference field="1" count="0" selected="0"/>
          <reference field="3" count="1" selected="0">
            <x v="6"/>
          </reference>
          <reference field="4" count="1" selected="0">
            <x v="0"/>
          </reference>
          <reference field="5" count="1" selected="0">
            <x v="350"/>
          </reference>
          <reference field="6" count="1" selected="0">
            <x v="9"/>
          </reference>
          <reference field="9" count="1" selected="0">
            <x v="10"/>
          </reference>
          <reference field="11" count="1">
            <x v="10"/>
          </reference>
        </references>
      </pivotArea>
    </format>
    <format dxfId="9911">
      <pivotArea dataOnly="0" labelOnly="1" outline="0" fieldPosition="0">
        <references count="7">
          <reference field="1" count="0" selected="0"/>
          <reference field="3" count="1" selected="0">
            <x v="8"/>
          </reference>
          <reference field="4" count="1" selected="0">
            <x v="3"/>
          </reference>
          <reference field="5" count="1" selected="0">
            <x v="137"/>
          </reference>
          <reference field="6" count="1" selected="0">
            <x v="3"/>
          </reference>
          <reference field="9" count="1" selected="0">
            <x v="10"/>
          </reference>
          <reference field="11" count="1">
            <x v="7"/>
          </reference>
        </references>
      </pivotArea>
    </format>
    <format dxfId="9910">
      <pivotArea dataOnly="0" labelOnly="1" outline="0" fieldPosition="0">
        <references count="7">
          <reference field="1" count="0" selected="0"/>
          <reference field="3" count="1" selected="0">
            <x v="9"/>
          </reference>
          <reference field="4" count="1" selected="0">
            <x v="6"/>
          </reference>
          <reference field="5" count="1" selected="0">
            <x v="163"/>
          </reference>
          <reference field="6" count="1" selected="0">
            <x v="5"/>
          </reference>
          <reference field="9" count="1" selected="0">
            <x v="7"/>
          </reference>
          <reference field="11" count="1">
            <x v="27"/>
          </reference>
        </references>
      </pivotArea>
    </format>
    <format dxfId="9909">
      <pivotArea dataOnly="0" labelOnly="1" outline="0" fieldPosition="0">
        <references count="8">
          <reference field="1" count="0" selected="0"/>
          <reference field="3" count="1" selected="0">
            <x v="2"/>
          </reference>
          <reference field="4" count="1" selected="0">
            <x v="1"/>
          </reference>
          <reference field="5" count="1" selected="0">
            <x v="341"/>
          </reference>
          <reference field="6" count="1" selected="0">
            <x v="2"/>
          </reference>
          <reference field="9" count="1" selected="0">
            <x v="4"/>
          </reference>
          <reference field="11" count="1" selected="0">
            <x v="8"/>
          </reference>
          <reference field="12" count="1">
            <x v="21"/>
          </reference>
        </references>
      </pivotArea>
    </format>
    <format dxfId="9908">
      <pivotArea dataOnly="0" labelOnly="1" outline="0" fieldPosition="0">
        <references count="8">
          <reference field="1" count="0" selected="0"/>
          <reference field="3" count="1" selected="0">
            <x v="3"/>
          </reference>
          <reference field="4" count="1" selected="0">
            <x v="1"/>
          </reference>
          <reference field="5" count="1" selected="0">
            <x v="195"/>
          </reference>
          <reference field="6" count="1" selected="0">
            <x v="2"/>
          </reference>
          <reference field="9" count="1" selected="0">
            <x v="10"/>
          </reference>
          <reference field="11" count="1" selected="0">
            <x v="2"/>
          </reference>
          <reference field="12" count="1">
            <x v="8"/>
          </reference>
        </references>
      </pivotArea>
    </format>
    <format dxfId="9907">
      <pivotArea dataOnly="0" labelOnly="1" outline="0" fieldPosition="0">
        <references count="8">
          <reference field="1" count="0" selected="0"/>
          <reference field="3" count="1" selected="0">
            <x v="3"/>
          </reference>
          <reference field="4" count="1" selected="0">
            <x v="1"/>
          </reference>
          <reference field="5" count="1" selected="0">
            <x v="198"/>
          </reference>
          <reference field="6" count="1" selected="0">
            <x v="2"/>
          </reference>
          <reference field="9" count="1" selected="0">
            <x v="10"/>
          </reference>
          <reference field="11" count="1" selected="0">
            <x v="14"/>
          </reference>
          <reference field="12" count="1">
            <x v="16"/>
          </reference>
        </references>
      </pivotArea>
    </format>
    <format dxfId="9906">
      <pivotArea dataOnly="0" labelOnly="1" outline="0" fieldPosition="0">
        <references count="8">
          <reference field="1" count="0" selected="0"/>
          <reference field="3" count="1" selected="0">
            <x v="3"/>
          </reference>
          <reference field="4" count="1" selected="0">
            <x v="1"/>
          </reference>
          <reference field="5" count="1" selected="0">
            <x v="203"/>
          </reference>
          <reference field="6" count="1" selected="0">
            <x v="2"/>
          </reference>
          <reference field="9" count="1" selected="0">
            <x v="10"/>
          </reference>
          <reference field="11" count="1" selected="0">
            <x v="14"/>
          </reference>
          <reference field="12" count="1">
            <x v="32"/>
          </reference>
        </references>
      </pivotArea>
    </format>
    <format dxfId="9905">
      <pivotArea dataOnly="0" labelOnly="1" outline="0" fieldPosition="0">
        <references count="8">
          <reference field="1" count="0" selected="0"/>
          <reference field="3" count="1" selected="0">
            <x v="4"/>
          </reference>
          <reference field="4" count="1" selected="0">
            <x v="1"/>
          </reference>
          <reference field="5" count="1" selected="0">
            <x v="98"/>
          </reference>
          <reference field="6" count="1" selected="0">
            <x v="2"/>
          </reference>
          <reference field="9" count="1" selected="0">
            <x v="10"/>
          </reference>
          <reference field="11" count="1" selected="0">
            <x v="22"/>
          </reference>
          <reference field="12" count="1">
            <x v="8"/>
          </reference>
        </references>
      </pivotArea>
    </format>
    <format dxfId="9904">
      <pivotArea dataOnly="0" labelOnly="1" outline="0" fieldPosition="0">
        <references count="8">
          <reference field="1" count="0" selected="0"/>
          <reference field="3" count="1" selected="0">
            <x v="4"/>
          </reference>
          <reference field="4" count="1" selected="0">
            <x v="1"/>
          </reference>
          <reference field="5" count="1" selected="0">
            <x v="112"/>
          </reference>
          <reference field="6" count="1" selected="0">
            <x v="2"/>
          </reference>
          <reference field="9" count="1" selected="0">
            <x v="10"/>
          </reference>
          <reference field="11" count="1" selected="0">
            <x v="14"/>
          </reference>
          <reference field="12" count="1">
            <x v="11"/>
          </reference>
        </references>
      </pivotArea>
    </format>
    <format dxfId="9903">
      <pivotArea dataOnly="0" labelOnly="1" outline="0" fieldPosition="0">
        <references count="8">
          <reference field="1" count="0" selected="0"/>
          <reference field="3" count="1" selected="0">
            <x v="4"/>
          </reference>
          <reference field="4" count="1" selected="0">
            <x v="1"/>
          </reference>
          <reference field="5" count="1" selected="0">
            <x v="118"/>
          </reference>
          <reference field="6" count="1" selected="0">
            <x v="2"/>
          </reference>
          <reference field="9" count="1" selected="0">
            <x v="10"/>
          </reference>
          <reference field="11" count="1" selected="0">
            <x v="45"/>
          </reference>
          <reference field="12" count="1">
            <x v="6"/>
          </reference>
        </references>
      </pivotArea>
    </format>
    <format dxfId="9902">
      <pivotArea dataOnly="0" labelOnly="1" outline="0" fieldPosition="0">
        <references count="8">
          <reference field="1" count="0" selected="0"/>
          <reference field="3" count="1" selected="0">
            <x v="6"/>
          </reference>
          <reference field="4" count="1" selected="0">
            <x v="0"/>
          </reference>
          <reference field="5" count="1" selected="0">
            <x v="119"/>
          </reference>
          <reference field="6" count="1" selected="0">
            <x v="9"/>
          </reference>
          <reference field="9" count="1" selected="0">
            <x v="10"/>
          </reference>
          <reference field="11" count="1" selected="0">
            <x v="32"/>
          </reference>
          <reference field="12" count="1">
            <x v="8"/>
          </reference>
        </references>
      </pivotArea>
    </format>
    <format dxfId="9901">
      <pivotArea dataOnly="0" labelOnly="1" outline="0" fieldPosition="0">
        <references count="8">
          <reference field="1" count="0" selected="0"/>
          <reference field="3" count="1" selected="0">
            <x v="6"/>
          </reference>
          <reference field="4" count="1" selected="0">
            <x v="0"/>
          </reference>
          <reference field="5" count="1" selected="0">
            <x v="127"/>
          </reference>
          <reference field="6" count="1" selected="0">
            <x v="9"/>
          </reference>
          <reference field="9" count="1" selected="0">
            <x v="10"/>
          </reference>
          <reference field="11" count="1" selected="0">
            <x v="2"/>
          </reference>
          <reference field="12" count="1">
            <x v="8"/>
          </reference>
        </references>
      </pivotArea>
    </format>
    <format dxfId="9900">
      <pivotArea dataOnly="0" labelOnly="1" outline="0" fieldPosition="0">
        <references count="8">
          <reference field="1" count="0" selected="0"/>
          <reference field="3" count="1" selected="0">
            <x v="6"/>
          </reference>
          <reference field="4" count="1" selected="0">
            <x v="0"/>
          </reference>
          <reference field="5" count="1" selected="0">
            <x v="147"/>
          </reference>
          <reference field="6" count="1" selected="0">
            <x v="9"/>
          </reference>
          <reference field="9" count="1" selected="0">
            <x v="10"/>
          </reference>
          <reference field="11" count="1" selected="0">
            <x v="14"/>
          </reference>
          <reference field="12" count="1">
            <x v="4"/>
          </reference>
        </references>
      </pivotArea>
    </format>
    <format dxfId="9899">
      <pivotArea dataOnly="0" labelOnly="1" outline="0" fieldPosition="0">
        <references count="8">
          <reference field="1" count="0" selected="0"/>
          <reference field="3" count="1" selected="0">
            <x v="6"/>
          </reference>
          <reference field="4" count="1" selected="0">
            <x v="0"/>
          </reference>
          <reference field="5" count="1" selected="0">
            <x v="160"/>
          </reference>
          <reference field="6" count="1" selected="0">
            <x v="9"/>
          </reference>
          <reference field="9" count="1" selected="0">
            <x v="10"/>
          </reference>
          <reference field="11" count="1" selected="0">
            <x v="14"/>
          </reference>
          <reference field="12" count="1">
            <x v="18"/>
          </reference>
        </references>
      </pivotArea>
    </format>
    <format dxfId="9898">
      <pivotArea dataOnly="0" labelOnly="1" outline="0" fieldPosition="0">
        <references count="8">
          <reference field="1" count="0" selected="0"/>
          <reference field="3" count="1" selected="0">
            <x v="6"/>
          </reference>
          <reference field="4" count="1" selected="0">
            <x v="0"/>
          </reference>
          <reference field="5" count="1" selected="0">
            <x v="166"/>
          </reference>
          <reference field="6" count="1" selected="0">
            <x v="9"/>
          </reference>
          <reference field="9" count="1" selected="0">
            <x v="10"/>
          </reference>
          <reference field="11" count="1" selected="0">
            <x v="18"/>
          </reference>
          <reference field="12" count="1">
            <x v="8"/>
          </reference>
        </references>
      </pivotArea>
    </format>
    <format dxfId="9897">
      <pivotArea dataOnly="0" labelOnly="1" outline="0" fieldPosition="0">
        <references count="8">
          <reference field="1" count="0" selected="0"/>
          <reference field="3" count="1" selected="0">
            <x v="6"/>
          </reference>
          <reference field="4" count="1" selected="0">
            <x v="0"/>
          </reference>
          <reference field="5" count="1" selected="0">
            <x v="176"/>
          </reference>
          <reference field="6" count="1" selected="0">
            <x v="9"/>
          </reference>
          <reference field="9" count="1" selected="0">
            <x v="10"/>
          </reference>
          <reference field="11" count="1" selected="0">
            <x v="14"/>
          </reference>
          <reference field="12" count="1">
            <x v="1"/>
          </reference>
        </references>
      </pivotArea>
    </format>
    <format dxfId="9896">
      <pivotArea dataOnly="0" labelOnly="1" outline="0" fieldPosition="0">
        <references count="8">
          <reference field="1" count="0" selected="0"/>
          <reference field="3" count="1" selected="0">
            <x v="6"/>
          </reference>
          <reference field="4" count="1" selected="0">
            <x v="0"/>
          </reference>
          <reference field="5" count="1" selected="0">
            <x v="188"/>
          </reference>
          <reference field="6" count="1" selected="0">
            <x v="9"/>
          </reference>
          <reference field="9" count="1" selected="0">
            <x v="10"/>
          </reference>
          <reference field="11" count="1" selected="0">
            <x v="5"/>
          </reference>
          <reference field="12" count="1">
            <x v="4"/>
          </reference>
        </references>
      </pivotArea>
    </format>
    <format dxfId="9895">
      <pivotArea dataOnly="0" labelOnly="1" outline="0" fieldPosition="0">
        <references count="8">
          <reference field="1" count="0" selected="0"/>
          <reference field="3" count="1" selected="0">
            <x v="6"/>
          </reference>
          <reference field="4" count="1" selected="0">
            <x v="0"/>
          </reference>
          <reference field="5" count="1" selected="0">
            <x v="191"/>
          </reference>
          <reference field="6" count="1" selected="0">
            <x v="9"/>
          </reference>
          <reference field="9" count="1" selected="0">
            <x v="10"/>
          </reference>
          <reference field="11" count="1" selected="0">
            <x v="16"/>
          </reference>
          <reference field="12" count="1">
            <x v="8"/>
          </reference>
        </references>
      </pivotArea>
    </format>
    <format dxfId="9894">
      <pivotArea dataOnly="0" labelOnly="1" outline="0" fieldPosition="0">
        <references count="8">
          <reference field="1" count="0" selected="0"/>
          <reference field="3" count="1" selected="0">
            <x v="6"/>
          </reference>
          <reference field="4" count="1" selected="0">
            <x v="0"/>
          </reference>
          <reference field="5" count="1" selected="0">
            <x v="350"/>
          </reference>
          <reference field="6" count="1" selected="0">
            <x v="9"/>
          </reference>
          <reference field="9" count="1" selected="0">
            <x v="10"/>
          </reference>
          <reference field="11" count="1" selected="0">
            <x v="10"/>
          </reference>
          <reference field="12" count="1">
            <x v="28"/>
          </reference>
        </references>
      </pivotArea>
    </format>
    <format dxfId="9893">
      <pivotArea dataOnly="0" labelOnly="1" outline="0" fieldPosition="0">
        <references count="8">
          <reference field="1" count="0" selected="0"/>
          <reference field="3" count="1" selected="0">
            <x v="8"/>
          </reference>
          <reference field="4" count="1" selected="0">
            <x v="3"/>
          </reference>
          <reference field="5" count="1" selected="0">
            <x v="137"/>
          </reference>
          <reference field="6" count="1" selected="0">
            <x v="3"/>
          </reference>
          <reference field="9" count="1" selected="0">
            <x v="10"/>
          </reference>
          <reference field="11" count="1" selected="0">
            <x v="7"/>
          </reference>
          <reference field="12" count="1">
            <x v="3"/>
          </reference>
        </references>
      </pivotArea>
    </format>
    <format dxfId="9892">
      <pivotArea dataOnly="0" labelOnly="1" outline="0" fieldPosition="0">
        <references count="8">
          <reference field="1" count="0" selected="0"/>
          <reference field="3" count="1" selected="0">
            <x v="9"/>
          </reference>
          <reference field="4" count="1" selected="0">
            <x v="6"/>
          </reference>
          <reference field="5" count="1" selected="0">
            <x v="163"/>
          </reference>
          <reference field="6" count="1" selected="0">
            <x v="5"/>
          </reference>
          <reference field="9" count="1" selected="0">
            <x v="7"/>
          </reference>
          <reference field="11" count="1" selected="0">
            <x v="27"/>
          </reference>
          <reference field="12" count="1">
            <x v="8"/>
          </reference>
        </references>
      </pivotArea>
    </format>
    <format dxfId="9891">
      <pivotArea dataOnly="0" labelOnly="1" outline="0" fieldPosition="0">
        <references count="9">
          <reference field="1" count="0" selected="0"/>
          <reference field="3" count="1" selected="0">
            <x v="2"/>
          </reference>
          <reference field="4" count="1" selected="0">
            <x v="1"/>
          </reference>
          <reference field="5" count="1" selected="0">
            <x v="341"/>
          </reference>
          <reference field="6" count="1" selected="0">
            <x v="2"/>
          </reference>
          <reference field="9" count="1" selected="0">
            <x v="4"/>
          </reference>
          <reference field="11" count="1" selected="0">
            <x v="8"/>
          </reference>
          <reference field="12" count="1" selected="0">
            <x v="21"/>
          </reference>
          <reference field="13" count="1">
            <x v="3"/>
          </reference>
        </references>
      </pivotArea>
    </format>
    <format dxfId="9890">
      <pivotArea dataOnly="0" labelOnly="1" outline="0" fieldPosition="0">
        <references count="9">
          <reference field="1" count="0" selected="0"/>
          <reference field="3" count="1" selected="0">
            <x v="6"/>
          </reference>
          <reference field="4" count="1" selected="0">
            <x v="0"/>
          </reference>
          <reference field="5" count="1" selected="0">
            <x v="188"/>
          </reference>
          <reference field="6" count="1" selected="0">
            <x v="9"/>
          </reference>
          <reference field="9" count="1" selected="0">
            <x v="10"/>
          </reference>
          <reference field="11" count="1" selected="0">
            <x v="5"/>
          </reference>
          <reference field="12" count="1" selected="0">
            <x v="4"/>
          </reference>
          <reference field="13" count="1">
            <x v="3"/>
          </reference>
        </references>
      </pivotArea>
    </format>
    <format dxfId="9889">
      <pivotArea dataOnly="0" labelOnly="1" outline="0" fieldPosition="0">
        <references count="10">
          <reference field="1" count="0" selected="0"/>
          <reference field="3" count="1" selected="0">
            <x v="2"/>
          </reference>
          <reference field="4" count="1" selected="0">
            <x v="1"/>
          </reference>
          <reference field="5" count="1" selected="0">
            <x v="341"/>
          </reference>
          <reference field="6" count="1" selected="0">
            <x v="2"/>
          </reference>
          <reference field="9" count="1" selected="0">
            <x v="4"/>
          </reference>
          <reference field="11" count="1" selected="0">
            <x v="8"/>
          </reference>
          <reference field="12" count="1" selected="0">
            <x v="21"/>
          </reference>
          <reference field="13" count="1" selected="0">
            <x v="3"/>
          </reference>
          <reference field="14" count="1">
            <x v="17"/>
          </reference>
        </references>
      </pivotArea>
    </format>
    <format dxfId="9888">
      <pivotArea dataOnly="0" labelOnly="1" outline="0" fieldPosition="0">
        <references count="10">
          <reference field="1" count="0" selected="0"/>
          <reference field="3" count="1" selected="0">
            <x v="3"/>
          </reference>
          <reference field="4" count="1" selected="0">
            <x v="1"/>
          </reference>
          <reference field="5" count="1" selected="0">
            <x v="195"/>
          </reference>
          <reference field="6" count="1" selected="0">
            <x v="2"/>
          </reference>
          <reference field="9" count="1" selected="0">
            <x v="10"/>
          </reference>
          <reference field="11" count="1" selected="0">
            <x v="2"/>
          </reference>
          <reference field="12" count="1" selected="0">
            <x v="8"/>
          </reference>
          <reference field="13" count="1" selected="0">
            <x v="3"/>
          </reference>
          <reference field="14" count="1">
            <x v="51"/>
          </reference>
        </references>
      </pivotArea>
    </format>
    <format dxfId="9887">
      <pivotArea dataOnly="0" labelOnly="1" outline="0" fieldPosition="0">
        <references count="10">
          <reference field="1" count="0" selected="0"/>
          <reference field="3" count="1" selected="0">
            <x v="3"/>
          </reference>
          <reference field="4" count="1" selected="0">
            <x v="1"/>
          </reference>
          <reference field="5" count="1" selected="0">
            <x v="198"/>
          </reference>
          <reference field="6" count="1" selected="0">
            <x v="2"/>
          </reference>
          <reference field="9" count="1" selected="0">
            <x v="10"/>
          </reference>
          <reference field="11" count="1" selected="0">
            <x v="14"/>
          </reference>
          <reference field="12" count="1" selected="0">
            <x v="16"/>
          </reference>
          <reference field="13" count="1" selected="0">
            <x v="3"/>
          </reference>
          <reference field="14" count="1">
            <x v="7"/>
          </reference>
        </references>
      </pivotArea>
    </format>
    <format dxfId="9886">
      <pivotArea dataOnly="0" labelOnly="1" outline="0" fieldPosition="0">
        <references count="10">
          <reference field="1" count="0" selected="0"/>
          <reference field="3" count="1" selected="0">
            <x v="3"/>
          </reference>
          <reference field="4" count="1" selected="0">
            <x v="1"/>
          </reference>
          <reference field="5" count="1" selected="0">
            <x v="203"/>
          </reference>
          <reference field="6" count="1" selected="0">
            <x v="2"/>
          </reference>
          <reference field="9" count="1" selected="0">
            <x v="10"/>
          </reference>
          <reference field="11" count="1" selected="0">
            <x v="14"/>
          </reference>
          <reference field="12" count="1" selected="0">
            <x v="32"/>
          </reference>
          <reference field="13" count="1" selected="0">
            <x v="3"/>
          </reference>
          <reference field="14" count="1">
            <x v="55"/>
          </reference>
        </references>
      </pivotArea>
    </format>
    <format dxfId="9885">
      <pivotArea dataOnly="0" labelOnly="1" outline="0" fieldPosition="0">
        <references count="10">
          <reference field="1" count="0" selected="0"/>
          <reference field="3" count="1" selected="0">
            <x v="4"/>
          </reference>
          <reference field="4" count="1" selected="0">
            <x v="1"/>
          </reference>
          <reference field="5" count="1" selected="0">
            <x v="98"/>
          </reference>
          <reference field="6" count="1" selected="0">
            <x v="2"/>
          </reference>
          <reference field="9" count="1" selected="0">
            <x v="10"/>
          </reference>
          <reference field="11" count="1" selected="0">
            <x v="22"/>
          </reference>
          <reference field="12" count="1" selected="0">
            <x v="8"/>
          </reference>
          <reference field="13" count="1" selected="0">
            <x v="3"/>
          </reference>
          <reference field="14" count="1">
            <x v="41"/>
          </reference>
        </references>
      </pivotArea>
    </format>
    <format dxfId="9884">
      <pivotArea dataOnly="0" labelOnly="1" outline="0" fieldPosition="0">
        <references count="10">
          <reference field="1" count="0" selected="0"/>
          <reference field="3" count="1" selected="0">
            <x v="4"/>
          </reference>
          <reference field="4" count="1" selected="0">
            <x v="1"/>
          </reference>
          <reference field="5" count="1" selected="0">
            <x v="101"/>
          </reference>
          <reference field="6" count="1" selected="0">
            <x v="2"/>
          </reference>
          <reference field="9" count="1" selected="0">
            <x v="10"/>
          </reference>
          <reference field="11" count="1" selected="0">
            <x v="3"/>
          </reference>
          <reference field="12" count="1" selected="0">
            <x v="8"/>
          </reference>
          <reference field="13" count="1" selected="0">
            <x v="3"/>
          </reference>
          <reference field="14" count="1">
            <x v="17"/>
          </reference>
        </references>
      </pivotArea>
    </format>
    <format dxfId="9883">
      <pivotArea dataOnly="0" labelOnly="1" outline="0" fieldPosition="0">
        <references count="10">
          <reference field="1" count="0" selected="0"/>
          <reference field="3" count="1" selected="0">
            <x v="4"/>
          </reference>
          <reference field="4" count="1" selected="0">
            <x v="1"/>
          </reference>
          <reference field="5" count="1" selected="0">
            <x v="112"/>
          </reference>
          <reference field="6" count="1" selected="0">
            <x v="2"/>
          </reference>
          <reference field="9" count="1" selected="0">
            <x v="10"/>
          </reference>
          <reference field="11" count="1" selected="0">
            <x v="14"/>
          </reference>
          <reference field="12" count="1" selected="0">
            <x v="11"/>
          </reference>
          <reference field="13" count="1" selected="0">
            <x v="3"/>
          </reference>
          <reference field="14" count="1">
            <x v="30"/>
          </reference>
        </references>
      </pivotArea>
    </format>
    <format dxfId="9882">
      <pivotArea dataOnly="0" labelOnly="1" outline="0" fieldPosition="0">
        <references count="10">
          <reference field="1" count="0" selected="0"/>
          <reference field="3" count="1" selected="0">
            <x v="4"/>
          </reference>
          <reference field="4" count="1" selected="0">
            <x v="1"/>
          </reference>
          <reference field="5" count="1" selected="0">
            <x v="118"/>
          </reference>
          <reference field="6" count="1" selected="0">
            <x v="2"/>
          </reference>
          <reference field="9" count="1" selected="0">
            <x v="10"/>
          </reference>
          <reference field="11" count="1" selected="0">
            <x v="45"/>
          </reference>
          <reference field="12" count="1" selected="0">
            <x v="6"/>
          </reference>
          <reference field="13" count="1" selected="0">
            <x v="3"/>
          </reference>
          <reference field="14" count="1">
            <x v="46"/>
          </reference>
        </references>
      </pivotArea>
    </format>
    <format dxfId="9881">
      <pivotArea dataOnly="0" labelOnly="1" outline="0" fieldPosition="0">
        <references count="10">
          <reference field="1" count="0" selected="0"/>
          <reference field="3" count="1" selected="0">
            <x v="4"/>
          </reference>
          <reference field="4" count="1" selected="0">
            <x v="1"/>
          </reference>
          <reference field="5" count="1" selected="0">
            <x v="330"/>
          </reference>
          <reference field="6" count="1" selected="0">
            <x v="2"/>
          </reference>
          <reference field="9" count="1" selected="0">
            <x v="10"/>
          </reference>
          <reference field="11" count="1" selected="0">
            <x v="3"/>
          </reference>
          <reference field="12" count="1" selected="0">
            <x v="8"/>
          </reference>
          <reference field="13" count="1" selected="0">
            <x v="3"/>
          </reference>
          <reference field="14" count="1">
            <x v="17"/>
          </reference>
        </references>
      </pivotArea>
    </format>
    <format dxfId="9880">
      <pivotArea dataOnly="0" labelOnly="1" outline="0" fieldPosition="0">
        <references count="10">
          <reference field="1" count="0" selected="0"/>
          <reference field="3" count="1" selected="0">
            <x v="6"/>
          </reference>
          <reference field="4" count="1" selected="0">
            <x v="0"/>
          </reference>
          <reference field="5" count="1" selected="0">
            <x v="119"/>
          </reference>
          <reference field="6" count="1" selected="0">
            <x v="9"/>
          </reference>
          <reference field="9" count="1" selected="0">
            <x v="10"/>
          </reference>
          <reference field="11" count="1" selected="0">
            <x v="32"/>
          </reference>
          <reference field="12" count="1" selected="0">
            <x v="8"/>
          </reference>
          <reference field="13" count="1" selected="0">
            <x v="3"/>
          </reference>
          <reference field="14" count="1">
            <x v="52"/>
          </reference>
        </references>
      </pivotArea>
    </format>
    <format dxfId="9879">
      <pivotArea dataOnly="0" labelOnly="1" outline="0" fieldPosition="0">
        <references count="10">
          <reference field="1" count="0" selected="0"/>
          <reference field="3" count="1" selected="0">
            <x v="6"/>
          </reference>
          <reference field="4" count="1" selected="0">
            <x v="0"/>
          </reference>
          <reference field="5" count="1" selected="0">
            <x v="127"/>
          </reference>
          <reference field="6" count="1" selected="0">
            <x v="9"/>
          </reference>
          <reference field="9" count="1" selected="0">
            <x v="10"/>
          </reference>
          <reference field="11" count="1" selected="0">
            <x v="2"/>
          </reference>
          <reference field="12" count="1" selected="0">
            <x v="8"/>
          </reference>
          <reference field="13" count="1" selected="0">
            <x v="3"/>
          </reference>
          <reference field="14" count="1">
            <x v="51"/>
          </reference>
        </references>
      </pivotArea>
    </format>
    <format dxfId="9878">
      <pivotArea dataOnly="0" labelOnly="1" outline="0" fieldPosition="0">
        <references count="10">
          <reference field="1" count="0" selected="0"/>
          <reference field="3" count="1" selected="0">
            <x v="6"/>
          </reference>
          <reference field="4" count="1" selected="0">
            <x v="0"/>
          </reference>
          <reference field="5" count="1" selected="0">
            <x v="147"/>
          </reference>
          <reference field="6" count="1" selected="0">
            <x v="9"/>
          </reference>
          <reference field="9" count="1" selected="0">
            <x v="10"/>
          </reference>
          <reference field="11" count="1" selected="0">
            <x v="14"/>
          </reference>
          <reference field="12" count="1" selected="0">
            <x v="4"/>
          </reference>
          <reference field="13" count="1" selected="0">
            <x v="3"/>
          </reference>
          <reference field="14" count="1">
            <x v="8"/>
          </reference>
        </references>
      </pivotArea>
    </format>
    <format dxfId="9877">
      <pivotArea dataOnly="0" labelOnly="1" outline="0" fieldPosition="0">
        <references count="10">
          <reference field="1" count="0" selected="0"/>
          <reference field="3" count="1" selected="0">
            <x v="6"/>
          </reference>
          <reference field="4" count="1" selected="0">
            <x v="0"/>
          </reference>
          <reference field="5" count="1" selected="0">
            <x v="160"/>
          </reference>
          <reference field="6" count="1" selected="0">
            <x v="9"/>
          </reference>
          <reference field="9" count="1" selected="0">
            <x v="10"/>
          </reference>
          <reference field="11" count="1" selected="0">
            <x v="14"/>
          </reference>
          <reference field="12" count="1" selected="0">
            <x v="18"/>
          </reference>
          <reference field="13" count="1" selected="0">
            <x v="3"/>
          </reference>
          <reference field="14" count="1">
            <x v="17"/>
          </reference>
        </references>
      </pivotArea>
    </format>
    <format dxfId="9876">
      <pivotArea dataOnly="0" labelOnly="1" outline="0" fieldPosition="0">
        <references count="10">
          <reference field="1" count="0" selected="0"/>
          <reference field="3" count="1" selected="0">
            <x v="6"/>
          </reference>
          <reference field="4" count="1" selected="0">
            <x v="0"/>
          </reference>
          <reference field="5" count="1" selected="0">
            <x v="166"/>
          </reference>
          <reference field="6" count="1" selected="0">
            <x v="9"/>
          </reference>
          <reference field="9" count="1" selected="0">
            <x v="10"/>
          </reference>
          <reference field="11" count="1" selected="0">
            <x v="18"/>
          </reference>
          <reference field="12" count="1" selected="0">
            <x v="8"/>
          </reference>
          <reference field="13" count="1" selected="0">
            <x v="3"/>
          </reference>
          <reference field="14" count="1">
            <x v="42"/>
          </reference>
        </references>
      </pivotArea>
    </format>
    <format dxfId="9875">
      <pivotArea dataOnly="0" labelOnly="1" outline="0" fieldPosition="0">
        <references count="10">
          <reference field="1" count="0" selected="0"/>
          <reference field="3" count="1" selected="0">
            <x v="6"/>
          </reference>
          <reference field="4" count="1" selected="0">
            <x v="0"/>
          </reference>
          <reference field="5" count="1" selected="0">
            <x v="173"/>
          </reference>
          <reference field="6" count="1" selected="0">
            <x v="9"/>
          </reference>
          <reference field="9" count="1" selected="0">
            <x v="10"/>
          </reference>
          <reference field="11" count="1" selected="0">
            <x v="41"/>
          </reference>
          <reference field="12" count="1" selected="0">
            <x v="8"/>
          </reference>
          <reference field="13" count="1" selected="0">
            <x v="3"/>
          </reference>
          <reference field="14" count="1">
            <x v="24"/>
          </reference>
        </references>
      </pivotArea>
    </format>
    <format dxfId="9874">
      <pivotArea dataOnly="0" labelOnly="1" outline="0" fieldPosition="0">
        <references count="10">
          <reference field="1" count="0" selected="0"/>
          <reference field="3" count="1" selected="0">
            <x v="6"/>
          </reference>
          <reference field="4" count="1" selected="0">
            <x v="0"/>
          </reference>
          <reference field="5" count="1" selected="0">
            <x v="176"/>
          </reference>
          <reference field="6" count="1" selected="0">
            <x v="9"/>
          </reference>
          <reference field="9" count="1" selected="0">
            <x v="10"/>
          </reference>
          <reference field="11" count="1" selected="0">
            <x v="14"/>
          </reference>
          <reference field="12" count="1" selected="0">
            <x v="1"/>
          </reference>
          <reference field="13" count="1" selected="0">
            <x v="3"/>
          </reference>
          <reference field="14" count="1">
            <x v="17"/>
          </reference>
        </references>
      </pivotArea>
    </format>
    <format dxfId="9873">
      <pivotArea dataOnly="0" labelOnly="1" outline="0" fieldPosition="0">
        <references count="10">
          <reference field="1" count="0" selected="0"/>
          <reference field="3" count="1" selected="0">
            <x v="6"/>
          </reference>
          <reference field="4" count="1" selected="0">
            <x v="0"/>
          </reference>
          <reference field="5" count="1" selected="0">
            <x v="188"/>
          </reference>
          <reference field="6" count="1" selected="0">
            <x v="9"/>
          </reference>
          <reference field="9" count="1" selected="0">
            <x v="10"/>
          </reference>
          <reference field="11" count="1" selected="0">
            <x v="5"/>
          </reference>
          <reference field="12" count="1" selected="0">
            <x v="4"/>
          </reference>
          <reference field="13" count="1" selected="0">
            <x v="3"/>
          </reference>
          <reference field="14" count="1">
            <x v="2"/>
          </reference>
        </references>
      </pivotArea>
    </format>
    <format dxfId="9872">
      <pivotArea dataOnly="0" labelOnly="1" outline="0" fieldPosition="0">
        <references count="10">
          <reference field="1" count="0" selected="0"/>
          <reference field="3" count="1" selected="0">
            <x v="6"/>
          </reference>
          <reference field="4" count="1" selected="0">
            <x v="0"/>
          </reference>
          <reference field="5" count="1" selected="0">
            <x v="191"/>
          </reference>
          <reference field="6" count="1" selected="0">
            <x v="9"/>
          </reference>
          <reference field="9" count="1" selected="0">
            <x v="10"/>
          </reference>
          <reference field="11" count="1" selected="0">
            <x v="16"/>
          </reference>
          <reference field="12" count="1" selected="0">
            <x v="8"/>
          </reference>
          <reference field="13" count="1" selected="0">
            <x v="3"/>
          </reference>
          <reference field="14" count="1">
            <x v="17"/>
          </reference>
        </references>
      </pivotArea>
    </format>
    <format dxfId="9871">
      <pivotArea dataOnly="0" labelOnly="1" outline="0" fieldPosition="0">
        <references count="10">
          <reference field="1" count="0" selected="0"/>
          <reference field="3" count="1" selected="0">
            <x v="6"/>
          </reference>
          <reference field="4" count="1" selected="0">
            <x v="0"/>
          </reference>
          <reference field="5" count="1" selected="0">
            <x v="336"/>
          </reference>
          <reference field="6" count="1" selected="0">
            <x v="9"/>
          </reference>
          <reference field="9" count="1" selected="0">
            <x v="10"/>
          </reference>
          <reference field="11" count="1" selected="0">
            <x v="46"/>
          </reference>
          <reference field="12" count="1" selected="0">
            <x v="8"/>
          </reference>
          <reference field="13" count="1" selected="0">
            <x v="3"/>
          </reference>
          <reference field="14" count="1">
            <x v="20"/>
          </reference>
        </references>
      </pivotArea>
    </format>
    <format dxfId="9870">
      <pivotArea dataOnly="0" labelOnly="1" outline="0" fieldPosition="0">
        <references count="10">
          <reference field="1" count="0" selected="0"/>
          <reference field="3" count="1" selected="0">
            <x v="6"/>
          </reference>
          <reference field="4" count="1" selected="0">
            <x v="0"/>
          </reference>
          <reference field="5" count="1" selected="0">
            <x v="350"/>
          </reference>
          <reference field="6" count="1" selected="0">
            <x v="9"/>
          </reference>
          <reference field="9" count="1" selected="0">
            <x v="10"/>
          </reference>
          <reference field="11" count="1" selected="0">
            <x v="10"/>
          </reference>
          <reference field="12" count="1" selected="0">
            <x v="28"/>
          </reference>
          <reference field="13" count="1" selected="0">
            <x v="3"/>
          </reference>
          <reference field="14" count="1">
            <x v="53"/>
          </reference>
        </references>
      </pivotArea>
    </format>
    <format dxfId="9869">
      <pivotArea dataOnly="0" labelOnly="1" outline="0" fieldPosition="0">
        <references count="10">
          <reference field="1" count="0" selected="0"/>
          <reference field="3" count="1" selected="0">
            <x v="8"/>
          </reference>
          <reference field="4" count="1" selected="0">
            <x v="3"/>
          </reference>
          <reference field="5" count="1" selected="0">
            <x v="137"/>
          </reference>
          <reference field="6" count="1" selected="0">
            <x v="3"/>
          </reference>
          <reference field="9" count="1" selected="0">
            <x v="10"/>
          </reference>
          <reference field="11" count="1" selected="0">
            <x v="7"/>
          </reference>
          <reference field="12" count="1" selected="0">
            <x v="3"/>
          </reference>
          <reference field="13" count="1" selected="0">
            <x v="3"/>
          </reference>
          <reference field="14" count="1">
            <x v="17"/>
          </reference>
        </references>
      </pivotArea>
    </format>
    <format dxfId="9868">
      <pivotArea dataOnly="0" labelOnly="1" outline="0" fieldPosition="0">
        <references count="10">
          <reference field="1" count="0" selected="0"/>
          <reference field="3" count="1" selected="0">
            <x v="9"/>
          </reference>
          <reference field="4" count="1" selected="0">
            <x v="6"/>
          </reference>
          <reference field="5" count="1" selected="0">
            <x v="163"/>
          </reference>
          <reference field="6" count="1" selected="0">
            <x v="5"/>
          </reference>
          <reference field="9" count="1" selected="0">
            <x v="7"/>
          </reference>
          <reference field="11" count="1" selected="0">
            <x v="27"/>
          </reference>
          <reference field="12" count="1" selected="0">
            <x v="8"/>
          </reference>
          <reference field="13" count="1" selected="0">
            <x v="3"/>
          </reference>
          <reference field="14" count="1">
            <x v="11"/>
          </reference>
        </references>
      </pivotArea>
    </format>
    <format dxfId="9867">
      <pivotArea dataOnly="0" labelOnly="1" outline="0" fieldPosition="0">
        <references count="7">
          <reference field="1" count="0" selected="0"/>
          <reference field="3" count="1" selected="0">
            <x v="2"/>
          </reference>
          <reference field="4" count="1" selected="0">
            <x v="1"/>
          </reference>
          <reference field="5" count="1" selected="0">
            <x v="341"/>
          </reference>
          <reference field="6" count="1" selected="0">
            <x v="2"/>
          </reference>
          <reference field="9" count="1" selected="0">
            <x v="4"/>
          </reference>
          <reference field="11" count="1">
            <x v="8"/>
          </reference>
        </references>
      </pivotArea>
    </format>
    <format dxfId="9866">
      <pivotArea dataOnly="0" labelOnly="1" outline="0" fieldPosition="0">
        <references count="7">
          <reference field="1" count="0" selected="0"/>
          <reference field="3" count="1" selected="0">
            <x v="3"/>
          </reference>
          <reference field="4" count="1" selected="0">
            <x v="1"/>
          </reference>
          <reference field="5" count="1" selected="0">
            <x v="195"/>
          </reference>
          <reference field="6" count="1" selected="0">
            <x v="2"/>
          </reference>
          <reference field="9" count="1" selected="0">
            <x v="10"/>
          </reference>
          <reference field="11" count="1">
            <x v="2"/>
          </reference>
        </references>
      </pivotArea>
    </format>
    <format dxfId="9865">
      <pivotArea dataOnly="0" labelOnly="1" outline="0" fieldPosition="0">
        <references count="7">
          <reference field="1" count="0" selected="0"/>
          <reference field="3" count="1" selected="0">
            <x v="3"/>
          </reference>
          <reference field="4" count="1" selected="0">
            <x v="1"/>
          </reference>
          <reference field="5" count="1" selected="0">
            <x v="198"/>
          </reference>
          <reference field="6" count="1" selected="0">
            <x v="2"/>
          </reference>
          <reference field="9" count="1" selected="0">
            <x v="10"/>
          </reference>
          <reference field="11" count="1">
            <x v="14"/>
          </reference>
        </references>
      </pivotArea>
    </format>
    <format dxfId="9864">
      <pivotArea dataOnly="0" labelOnly="1" outline="0" fieldPosition="0">
        <references count="7">
          <reference field="1" count="0" selected="0"/>
          <reference field="3" count="1" selected="0">
            <x v="4"/>
          </reference>
          <reference field="4" count="1" selected="0">
            <x v="1"/>
          </reference>
          <reference field="5" count="1" selected="0">
            <x v="98"/>
          </reference>
          <reference field="6" count="1" selected="0">
            <x v="2"/>
          </reference>
          <reference field="9" count="1" selected="0">
            <x v="10"/>
          </reference>
          <reference field="11" count="1">
            <x v="22"/>
          </reference>
        </references>
      </pivotArea>
    </format>
    <format dxfId="9863">
      <pivotArea dataOnly="0" labelOnly="1" outline="0" fieldPosition="0">
        <references count="7">
          <reference field="1" count="0" selected="0"/>
          <reference field="3" count="1" selected="0">
            <x v="4"/>
          </reference>
          <reference field="4" count="1" selected="0">
            <x v="1"/>
          </reference>
          <reference field="5" count="1" selected="0">
            <x v="101"/>
          </reference>
          <reference field="6" count="1" selected="0">
            <x v="2"/>
          </reference>
          <reference field="9" count="1" selected="0">
            <x v="10"/>
          </reference>
          <reference field="11" count="1">
            <x v="3"/>
          </reference>
        </references>
      </pivotArea>
    </format>
    <format dxfId="9862">
      <pivotArea dataOnly="0" labelOnly="1" outline="0" fieldPosition="0">
        <references count="7">
          <reference field="1" count="0" selected="0"/>
          <reference field="3" count="1" selected="0">
            <x v="4"/>
          </reference>
          <reference field="4" count="1" selected="0">
            <x v="1"/>
          </reference>
          <reference field="5" count="1" selected="0">
            <x v="112"/>
          </reference>
          <reference field="6" count="1" selected="0">
            <x v="2"/>
          </reference>
          <reference field="9" count="1" selected="0">
            <x v="10"/>
          </reference>
          <reference field="11" count="1">
            <x v="14"/>
          </reference>
        </references>
      </pivotArea>
    </format>
    <format dxfId="9861">
      <pivotArea dataOnly="0" labelOnly="1" outline="0" fieldPosition="0">
        <references count="7">
          <reference field="1" count="0" selected="0"/>
          <reference field="3" count="1" selected="0">
            <x v="4"/>
          </reference>
          <reference field="4" count="1" selected="0">
            <x v="1"/>
          </reference>
          <reference field="5" count="1" selected="0">
            <x v="118"/>
          </reference>
          <reference field="6" count="1" selected="0">
            <x v="2"/>
          </reference>
          <reference field="9" count="1" selected="0">
            <x v="10"/>
          </reference>
          <reference field="11" count="1">
            <x v="45"/>
          </reference>
        </references>
      </pivotArea>
    </format>
    <format dxfId="9860">
      <pivotArea dataOnly="0" labelOnly="1" outline="0" fieldPosition="0">
        <references count="7">
          <reference field="1" count="0" selected="0"/>
          <reference field="3" count="1" selected="0">
            <x v="4"/>
          </reference>
          <reference field="4" count="1" selected="0">
            <x v="1"/>
          </reference>
          <reference field="5" count="1" selected="0">
            <x v="330"/>
          </reference>
          <reference field="6" count="1" selected="0">
            <x v="2"/>
          </reference>
          <reference field="9" count="1" selected="0">
            <x v="10"/>
          </reference>
          <reference field="11" count="1">
            <x v="3"/>
          </reference>
        </references>
      </pivotArea>
    </format>
    <format dxfId="9859">
      <pivotArea dataOnly="0" labelOnly="1" outline="0" fieldPosition="0">
        <references count="7">
          <reference field="1" count="0" selected="0"/>
          <reference field="3" count="1" selected="0">
            <x v="6"/>
          </reference>
          <reference field="4" count="1" selected="0">
            <x v="0"/>
          </reference>
          <reference field="5" count="1" selected="0">
            <x v="119"/>
          </reference>
          <reference field="6" count="1" selected="0">
            <x v="9"/>
          </reference>
          <reference field="9" count="1" selected="0">
            <x v="10"/>
          </reference>
          <reference field="11" count="1">
            <x v="32"/>
          </reference>
        </references>
      </pivotArea>
    </format>
    <format dxfId="9858">
      <pivotArea dataOnly="0" labelOnly="1" outline="0" fieldPosition="0">
        <references count="7">
          <reference field="1" count="0" selected="0"/>
          <reference field="3" count="1" selected="0">
            <x v="6"/>
          </reference>
          <reference field="4" count="1" selected="0">
            <x v="0"/>
          </reference>
          <reference field="5" count="1" selected="0">
            <x v="127"/>
          </reference>
          <reference field="6" count="1" selected="0">
            <x v="9"/>
          </reference>
          <reference field="9" count="1" selected="0">
            <x v="10"/>
          </reference>
          <reference field="11" count="1">
            <x v="2"/>
          </reference>
        </references>
      </pivotArea>
    </format>
    <format dxfId="9857">
      <pivotArea dataOnly="0" labelOnly="1" outline="0" fieldPosition="0">
        <references count="7">
          <reference field="1" count="0" selected="0"/>
          <reference field="3" count="1" selected="0">
            <x v="6"/>
          </reference>
          <reference field="4" count="1" selected="0">
            <x v="0"/>
          </reference>
          <reference field="5" count="1" selected="0">
            <x v="147"/>
          </reference>
          <reference field="6" count="1" selected="0">
            <x v="9"/>
          </reference>
          <reference field="9" count="1" selected="0">
            <x v="10"/>
          </reference>
          <reference field="11" count="1">
            <x v="14"/>
          </reference>
        </references>
      </pivotArea>
    </format>
    <format dxfId="9856">
      <pivotArea dataOnly="0" labelOnly="1" outline="0" fieldPosition="0">
        <references count="7">
          <reference field="1" count="0" selected="0"/>
          <reference field="3" count="1" selected="0">
            <x v="6"/>
          </reference>
          <reference field="4" count="1" selected="0">
            <x v="0"/>
          </reference>
          <reference field="5" count="1" selected="0">
            <x v="166"/>
          </reference>
          <reference field="6" count="1" selected="0">
            <x v="9"/>
          </reference>
          <reference field="9" count="1" selected="0">
            <x v="10"/>
          </reference>
          <reference field="11" count="1">
            <x v="18"/>
          </reference>
        </references>
      </pivotArea>
    </format>
    <format dxfId="9855">
      <pivotArea dataOnly="0" labelOnly="1" outline="0" fieldPosition="0">
        <references count="7">
          <reference field="1" count="0" selected="0"/>
          <reference field="3" count="1" selected="0">
            <x v="6"/>
          </reference>
          <reference field="4" count="1" selected="0">
            <x v="0"/>
          </reference>
          <reference field="5" count="1" selected="0">
            <x v="173"/>
          </reference>
          <reference field="6" count="1" selected="0">
            <x v="9"/>
          </reference>
          <reference field="9" count="1" selected="0">
            <x v="10"/>
          </reference>
          <reference field="11" count="1">
            <x v="41"/>
          </reference>
        </references>
      </pivotArea>
    </format>
    <format dxfId="9854">
      <pivotArea dataOnly="0" labelOnly="1" outline="0" fieldPosition="0">
        <references count="7">
          <reference field="1" count="0" selected="0"/>
          <reference field="3" count="1" selected="0">
            <x v="6"/>
          </reference>
          <reference field="4" count="1" selected="0">
            <x v="0"/>
          </reference>
          <reference field="5" count="1" selected="0">
            <x v="176"/>
          </reference>
          <reference field="6" count="1" selected="0">
            <x v="9"/>
          </reference>
          <reference field="9" count="1" selected="0">
            <x v="10"/>
          </reference>
          <reference field="11" count="1">
            <x v="14"/>
          </reference>
        </references>
      </pivotArea>
    </format>
    <format dxfId="9853">
      <pivotArea dataOnly="0" labelOnly="1" outline="0" fieldPosition="0">
        <references count="7">
          <reference field="1" count="0" selected="0"/>
          <reference field="3" count="1" selected="0">
            <x v="6"/>
          </reference>
          <reference field="4" count="1" selected="0">
            <x v="0"/>
          </reference>
          <reference field="5" count="1" selected="0">
            <x v="188"/>
          </reference>
          <reference field="6" count="1" selected="0">
            <x v="9"/>
          </reference>
          <reference field="9" count="1" selected="0">
            <x v="10"/>
          </reference>
          <reference field="11" count="1">
            <x v="5"/>
          </reference>
        </references>
      </pivotArea>
    </format>
    <format dxfId="9852">
      <pivotArea dataOnly="0" labelOnly="1" outline="0" fieldPosition="0">
        <references count="7">
          <reference field="1" count="0" selected="0"/>
          <reference field="3" count="1" selected="0">
            <x v="6"/>
          </reference>
          <reference field="4" count="1" selected="0">
            <x v="0"/>
          </reference>
          <reference field="5" count="1" selected="0">
            <x v="191"/>
          </reference>
          <reference field="6" count="1" selected="0">
            <x v="9"/>
          </reference>
          <reference field="9" count="1" selected="0">
            <x v="10"/>
          </reference>
          <reference field="11" count="1">
            <x v="16"/>
          </reference>
        </references>
      </pivotArea>
    </format>
    <format dxfId="9851">
      <pivotArea dataOnly="0" labelOnly="1" outline="0" fieldPosition="0">
        <references count="7">
          <reference field="1" count="0" selected="0"/>
          <reference field="3" count="1" selected="0">
            <x v="6"/>
          </reference>
          <reference field="4" count="1" selected="0">
            <x v="0"/>
          </reference>
          <reference field="5" count="1" selected="0">
            <x v="336"/>
          </reference>
          <reference field="6" count="1" selected="0">
            <x v="9"/>
          </reference>
          <reference field="9" count="1" selected="0">
            <x v="10"/>
          </reference>
          <reference field="11" count="1">
            <x v="46"/>
          </reference>
        </references>
      </pivotArea>
    </format>
    <format dxfId="9850">
      <pivotArea dataOnly="0" labelOnly="1" outline="0" fieldPosition="0">
        <references count="7">
          <reference field="1" count="0" selected="0"/>
          <reference field="3" count="1" selected="0">
            <x v="6"/>
          </reference>
          <reference field="4" count="1" selected="0">
            <x v="0"/>
          </reference>
          <reference field="5" count="1" selected="0">
            <x v="350"/>
          </reference>
          <reference field="6" count="1" selected="0">
            <x v="9"/>
          </reference>
          <reference field="9" count="1" selected="0">
            <x v="10"/>
          </reference>
          <reference field="11" count="1">
            <x v="10"/>
          </reference>
        </references>
      </pivotArea>
    </format>
    <format dxfId="9849">
      <pivotArea dataOnly="0" labelOnly="1" outline="0" fieldPosition="0">
        <references count="7">
          <reference field="1" count="0" selected="0"/>
          <reference field="3" count="1" selected="0">
            <x v="8"/>
          </reference>
          <reference field="4" count="1" selected="0">
            <x v="3"/>
          </reference>
          <reference field="5" count="1" selected="0">
            <x v="137"/>
          </reference>
          <reference field="6" count="1" selected="0">
            <x v="3"/>
          </reference>
          <reference field="9" count="1" selected="0">
            <x v="10"/>
          </reference>
          <reference field="11" count="1">
            <x v="7"/>
          </reference>
        </references>
      </pivotArea>
    </format>
    <format dxfId="9848">
      <pivotArea dataOnly="0" labelOnly="1" outline="0" fieldPosition="0">
        <references count="7">
          <reference field="1" count="0" selected="0"/>
          <reference field="3" count="1" selected="0">
            <x v="9"/>
          </reference>
          <reference field="4" count="1" selected="0">
            <x v="6"/>
          </reference>
          <reference field="5" count="1" selected="0">
            <x v="163"/>
          </reference>
          <reference field="6" count="1" selected="0">
            <x v="5"/>
          </reference>
          <reference field="9" count="1" selected="0">
            <x v="7"/>
          </reference>
          <reference field="11" count="1">
            <x v="27"/>
          </reference>
        </references>
      </pivotArea>
    </format>
    <format dxfId="9847">
      <pivotArea dataOnly="0" labelOnly="1" outline="0" fieldPosition="0">
        <references count="8">
          <reference field="1" count="0" selected="0"/>
          <reference field="3" count="1" selected="0">
            <x v="2"/>
          </reference>
          <reference field="4" count="1" selected="0">
            <x v="1"/>
          </reference>
          <reference field="5" count="1" selected="0">
            <x v="341"/>
          </reference>
          <reference field="6" count="1" selected="0">
            <x v="2"/>
          </reference>
          <reference field="9" count="1" selected="0">
            <x v="4"/>
          </reference>
          <reference field="11" count="1" selected="0">
            <x v="8"/>
          </reference>
          <reference field="12" count="1">
            <x v="21"/>
          </reference>
        </references>
      </pivotArea>
    </format>
    <format dxfId="9846">
      <pivotArea dataOnly="0" labelOnly="1" outline="0" fieldPosition="0">
        <references count="8">
          <reference field="1" count="0" selected="0"/>
          <reference field="3" count="1" selected="0">
            <x v="3"/>
          </reference>
          <reference field="4" count="1" selected="0">
            <x v="1"/>
          </reference>
          <reference field="5" count="1" selected="0">
            <x v="195"/>
          </reference>
          <reference field="6" count="1" selected="0">
            <x v="2"/>
          </reference>
          <reference field="9" count="1" selected="0">
            <x v="10"/>
          </reference>
          <reference field="11" count="1" selected="0">
            <x v="2"/>
          </reference>
          <reference field="12" count="1">
            <x v="8"/>
          </reference>
        </references>
      </pivotArea>
    </format>
    <format dxfId="9845">
      <pivotArea dataOnly="0" labelOnly="1" outline="0" fieldPosition="0">
        <references count="8">
          <reference field="1" count="0" selected="0"/>
          <reference field="3" count="1" selected="0">
            <x v="3"/>
          </reference>
          <reference field="4" count="1" selected="0">
            <x v="1"/>
          </reference>
          <reference field="5" count="1" selected="0">
            <x v="198"/>
          </reference>
          <reference field="6" count="1" selected="0">
            <x v="2"/>
          </reference>
          <reference field="9" count="1" selected="0">
            <x v="10"/>
          </reference>
          <reference field="11" count="1" selected="0">
            <x v="14"/>
          </reference>
          <reference field="12" count="1">
            <x v="16"/>
          </reference>
        </references>
      </pivotArea>
    </format>
    <format dxfId="9844">
      <pivotArea dataOnly="0" labelOnly="1" outline="0" fieldPosition="0">
        <references count="8">
          <reference field="1" count="0" selected="0"/>
          <reference field="3" count="1" selected="0">
            <x v="3"/>
          </reference>
          <reference field="4" count="1" selected="0">
            <x v="1"/>
          </reference>
          <reference field="5" count="1" selected="0">
            <x v="203"/>
          </reference>
          <reference field="6" count="1" selected="0">
            <x v="2"/>
          </reference>
          <reference field="9" count="1" selected="0">
            <x v="10"/>
          </reference>
          <reference field="11" count="1" selected="0">
            <x v="14"/>
          </reference>
          <reference field="12" count="1">
            <x v="32"/>
          </reference>
        </references>
      </pivotArea>
    </format>
    <format dxfId="9843">
      <pivotArea dataOnly="0" labelOnly="1" outline="0" fieldPosition="0">
        <references count="8">
          <reference field="1" count="0" selected="0"/>
          <reference field="3" count="1" selected="0">
            <x v="4"/>
          </reference>
          <reference field="4" count="1" selected="0">
            <x v="1"/>
          </reference>
          <reference field="5" count="1" selected="0">
            <x v="98"/>
          </reference>
          <reference field="6" count="1" selected="0">
            <x v="2"/>
          </reference>
          <reference field="9" count="1" selected="0">
            <x v="10"/>
          </reference>
          <reference field="11" count="1" selected="0">
            <x v="22"/>
          </reference>
          <reference field="12" count="1">
            <x v="8"/>
          </reference>
        </references>
      </pivotArea>
    </format>
    <format dxfId="9842">
      <pivotArea dataOnly="0" labelOnly="1" outline="0" fieldPosition="0">
        <references count="8">
          <reference field="1" count="0" selected="0"/>
          <reference field="3" count="1" selected="0">
            <x v="4"/>
          </reference>
          <reference field="4" count="1" selected="0">
            <x v="1"/>
          </reference>
          <reference field="5" count="1" selected="0">
            <x v="112"/>
          </reference>
          <reference field="6" count="1" selected="0">
            <x v="2"/>
          </reference>
          <reference field="9" count="1" selected="0">
            <x v="10"/>
          </reference>
          <reference field="11" count="1" selected="0">
            <x v="14"/>
          </reference>
          <reference field="12" count="1">
            <x v="11"/>
          </reference>
        </references>
      </pivotArea>
    </format>
    <format dxfId="9841">
      <pivotArea dataOnly="0" labelOnly="1" outline="0" fieldPosition="0">
        <references count="8">
          <reference field="1" count="0" selected="0"/>
          <reference field="3" count="1" selected="0">
            <x v="4"/>
          </reference>
          <reference field="4" count="1" selected="0">
            <x v="1"/>
          </reference>
          <reference field="5" count="1" selected="0">
            <x v="118"/>
          </reference>
          <reference field="6" count="1" selected="0">
            <x v="2"/>
          </reference>
          <reference field="9" count="1" selected="0">
            <x v="10"/>
          </reference>
          <reference field="11" count="1" selected="0">
            <x v="45"/>
          </reference>
          <reference field="12" count="1">
            <x v="6"/>
          </reference>
        </references>
      </pivotArea>
    </format>
    <format dxfId="9840">
      <pivotArea dataOnly="0" labelOnly="1" outline="0" fieldPosition="0">
        <references count="8">
          <reference field="1" count="0" selected="0"/>
          <reference field="3" count="1" selected="0">
            <x v="6"/>
          </reference>
          <reference field="4" count="1" selected="0">
            <x v="0"/>
          </reference>
          <reference field="5" count="1" selected="0">
            <x v="119"/>
          </reference>
          <reference field="6" count="1" selected="0">
            <x v="9"/>
          </reference>
          <reference field="9" count="1" selected="0">
            <x v="10"/>
          </reference>
          <reference field="11" count="1" selected="0">
            <x v="32"/>
          </reference>
          <reference field="12" count="1">
            <x v="8"/>
          </reference>
        </references>
      </pivotArea>
    </format>
    <format dxfId="9839">
      <pivotArea dataOnly="0" labelOnly="1" outline="0" fieldPosition="0">
        <references count="8">
          <reference field="1" count="0" selected="0"/>
          <reference field="3" count="1" selected="0">
            <x v="6"/>
          </reference>
          <reference field="4" count="1" selected="0">
            <x v="0"/>
          </reference>
          <reference field="5" count="1" selected="0">
            <x v="127"/>
          </reference>
          <reference field="6" count="1" selected="0">
            <x v="9"/>
          </reference>
          <reference field="9" count="1" selected="0">
            <x v="10"/>
          </reference>
          <reference field="11" count="1" selected="0">
            <x v="2"/>
          </reference>
          <reference field="12" count="1">
            <x v="8"/>
          </reference>
        </references>
      </pivotArea>
    </format>
    <format dxfId="9838">
      <pivotArea dataOnly="0" labelOnly="1" outline="0" fieldPosition="0">
        <references count="8">
          <reference field="1" count="0" selected="0"/>
          <reference field="3" count="1" selected="0">
            <x v="6"/>
          </reference>
          <reference field="4" count="1" selected="0">
            <x v="0"/>
          </reference>
          <reference field="5" count="1" selected="0">
            <x v="147"/>
          </reference>
          <reference field="6" count="1" selected="0">
            <x v="9"/>
          </reference>
          <reference field="9" count="1" selected="0">
            <x v="10"/>
          </reference>
          <reference field="11" count="1" selected="0">
            <x v="14"/>
          </reference>
          <reference field="12" count="1">
            <x v="4"/>
          </reference>
        </references>
      </pivotArea>
    </format>
    <format dxfId="9837">
      <pivotArea dataOnly="0" labelOnly="1" outline="0" fieldPosition="0">
        <references count="8">
          <reference field="1" count="0" selected="0"/>
          <reference field="3" count="1" selected="0">
            <x v="6"/>
          </reference>
          <reference field="4" count="1" selected="0">
            <x v="0"/>
          </reference>
          <reference field="5" count="1" selected="0">
            <x v="160"/>
          </reference>
          <reference field="6" count="1" selected="0">
            <x v="9"/>
          </reference>
          <reference field="9" count="1" selected="0">
            <x v="10"/>
          </reference>
          <reference field="11" count="1" selected="0">
            <x v="14"/>
          </reference>
          <reference field="12" count="1">
            <x v="18"/>
          </reference>
        </references>
      </pivotArea>
    </format>
    <format dxfId="9836">
      <pivotArea dataOnly="0" labelOnly="1" outline="0" fieldPosition="0">
        <references count="8">
          <reference field="1" count="0" selected="0"/>
          <reference field="3" count="1" selected="0">
            <x v="6"/>
          </reference>
          <reference field="4" count="1" selected="0">
            <x v="0"/>
          </reference>
          <reference field="5" count="1" selected="0">
            <x v="166"/>
          </reference>
          <reference field="6" count="1" selected="0">
            <x v="9"/>
          </reference>
          <reference field="9" count="1" selected="0">
            <x v="10"/>
          </reference>
          <reference field="11" count="1" selected="0">
            <x v="18"/>
          </reference>
          <reference field="12" count="1">
            <x v="8"/>
          </reference>
        </references>
      </pivotArea>
    </format>
    <format dxfId="9835">
      <pivotArea dataOnly="0" labelOnly="1" outline="0" fieldPosition="0">
        <references count="8">
          <reference field="1" count="0" selected="0"/>
          <reference field="3" count="1" selected="0">
            <x v="6"/>
          </reference>
          <reference field="4" count="1" selected="0">
            <x v="0"/>
          </reference>
          <reference field="5" count="1" selected="0">
            <x v="176"/>
          </reference>
          <reference field="6" count="1" selected="0">
            <x v="9"/>
          </reference>
          <reference field="9" count="1" selected="0">
            <x v="10"/>
          </reference>
          <reference field="11" count="1" selected="0">
            <x v="14"/>
          </reference>
          <reference field="12" count="1">
            <x v="1"/>
          </reference>
        </references>
      </pivotArea>
    </format>
    <format dxfId="9834">
      <pivotArea dataOnly="0" labelOnly="1" outline="0" fieldPosition="0">
        <references count="8">
          <reference field="1" count="0" selected="0"/>
          <reference field="3" count="1" selected="0">
            <x v="6"/>
          </reference>
          <reference field="4" count="1" selected="0">
            <x v="0"/>
          </reference>
          <reference field="5" count="1" selected="0">
            <x v="188"/>
          </reference>
          <reference field="6" count="1" selected="0">
            <x v="9"/>
          </reference>
          <reference field="9" count="1" selected="0">
            <x v="10"/>
          </reference>
          <reference field="11" count="1" selected="0">
            <x v="5"/>
          </reference>
          <reference field="12" count="1">
            <x v="4"/>
          </reference>
        </references>
      </pivotArea>
    </format>
    <format dxfId="9833">
      <pivotArea dataOnly="0" labelOnly="1" outline="0" fieldPosition="0">
        <references count="8">
          <reference field="1" count="0" selected="0"/>
          <reference field="3" count="1" selected="0">
            <x v="6"/>
          </reference>
          <reference field="4" count="1" selected="0">
            <x v="0"/>
          </reference>
          <reference field="5" count="1" selected="0">
            <x v="191"/>
          </reference>
          <reference field="6" count="1" selected="0">
            <x v="9"/>
          </reference>
          <reference field="9" count="1" selected="0">
            <x v="10"/>
          </reference>
          <reference field="11" count="1" selected="0">
            <x v="16"/>
          </reference>
          <reference field="12" count="1">
            <x v="8"/>
          </reference>
        </references>
      </pivotArea>
    </format>
    <format dxfId="9832">
      <pivotArea dataOnly="0" labelOnly="1" outline="0" fieldPosition="0">
        <references count="8">
          <reference field="1" count="0" selected="0"/>
          <reference field="3" count="1" selected="0">
            <x v="6"/>
          </reference>
          <reference field="4" count="1" selected="0">
            <x v="0"/>
          </reference>
          <reference field="5" count="1" selected="0">
            <x v="350"/>
          </reference>
          <reference field="6" count="1" selected="0">
            <x v="9"/>
          </reference>
          <reference field="9" count="1" selected="0">
            <x v="10"/>
          </reference>
          <reference field="11" count="1" selected="0">
            <x v="10"/>
          </reference>
          <reference field="12" count="1">
            <x v="28"/>
          </reference>
        </references>
      </pivotArea>
    </format>
    <format dxfId="9831">
      <pivotArea dataOnly="0" labelOnly="1" outline="0" fieldPosition="0">
        <references count="8">
          <reference field="1" count="0" selected="0"/>
          <reference field="3" count="1" selected="0">
            <x v="8"/>
          </reference>
          <reference field="4" count="1" selected="0">
            <x v="3"/>
          </reference>
          <reference field="5" count="1" selected="0">
            <x v="137"/>
          </reference>
          <reference field="6" count="1" selected="0">
            <x v="3"/>
          </reference>
          <reference field="9" count="1" selected="0">
            <x v="10"/>
          </reference>
          <reference field="11" count="1" selected="0">
            <x v="7"/>
          </reference>
          <reference field="12" count="1">
            <x v="3"/>
          </reference>
        </references>
      </pivotArea>
    </format>
    <format dxfId="9830">
      <pivotArea dataOnly="0" labelOnly="1" outline="0" fieldPosition="0">
        <references count="8">
          <reference field="1" count="0" selected="0"/>
          <reference field="3" count="1" selected="0">
            <x v="9"/>
          </reference>
          <reference field="4" count="1" selected="0">
            <x v="6"/>
          </reference>
          <reference field="5" count="1" selected="0">
            <x v="163"/>
          </reference>
          <reference field="6" count="1" selected="0">
            <x v="5"/>
          </reference>
          <reference field="9" count="1" selected="0">
            <x v="7"/>
          </reference>
          <reference field="11" count="1" selected="0">
            <x v="27"/>
          </reference>
          <reference field="12" count="1">
            <x v="8"/>
          </reference>
        </references>
      </pivotArea>
    </format>
    <format dxfId="9829">
      <pivotArea dataOnly="0" labelOnly="1" outline="0" fieldPosition="0">
        <references count="9">
          <reference field="1" count="0" selected="0"/>
          <reference field="3" count="1" selected="0">
            <x v="2"/>
          </reference>
          <reference field="4" count="1" selected="0">
            <x v="1"/>
          </reference>
          <reference field="5" count="1" selected="0">
            <x v="341"/>
          </reference>
          <reference field="6" count="1" selected="0">
            <x v="2"/>
          </reference>
          <reference field="9" count="1" selected="0">
            <x v="4"/>
          </reference>
          <reference field="11" count="1" selected="0">
            <x v="8"/>
          </reference>
          <reference field="12" count="1" selected="0">
            <x v="21"/>
          </reference>
          <reference field="13" count="1">
            <x v="3"/>
          </reference>
        </references>
      </pivotArea>
    </format>
    <format dxfId="9828">
      <pivotArea dataOnly="0" labelOnly="1" outline="0" fieldPosition="0">
        <references count="9">
          <reference field="1" count="0" selected="0"/>
          <reference field="3" count="1" selected="0">
            <x v="6"/>
          </reference>
          <reference field="4" count="1" selected="0">
            <x v="0"/>
          </reference>
          <reference field="5" count="1" selected="0">
            <x v="188"/>
          </reference>
          <reference field="6" count="1" selected="0">
            <x v="9"/>
          </reference>
          <reference field="9" count="1" selected="0">
            <x v="10"/>
          </reference>
          <reference field="11" count="1" selected="0">
            <x v="5"/>
          </reference>
          <reference field="12" count="1" selected="0">
            <x v="4"/>
          </reference>
          <reference field="13" count="1">
            <x v="3"/>
          </reference>
        </references>
      </pivotArea>
    </format>
    <format dxfId="9827">
      <pivotArea dataOnly="0" labelOnly="1" outline="0" fieldPosition="0">
        <references count="10">
          <reference field="1" count="0" selected="0"/>
          <reference field="3" count="1" selected="0">
            <x v="2"/>
          </reference>
          <reference field="4" count="1" selected="0">
            <x v="1"/>
          </reference>
          <reference field="5" count="1" selected="0">
            <x v="341"/>
          </reference>
          <reference field="6" count="1" selected="0">
            <x v="2"/>
          </reference>
          <reference field="9" count="1" selected="0">
            <x v="4"/>
          </reference>
          <reference field="11" count="1" selected="0">
            <x v="8"/>
          </reference>
          <reference field="12" count="1" selected="0">
            <x v="21"/>
          </reference>
          <reference field="13" count="1" selected="0">
            <x v="3"/>
          </reference>
          <reference field="14" count="1">
            <x v="17"/>
          </reference>
        </references>
      </pivotArea>
    </format>
    <format dxfId="9826">
      <pivotArea dataOnly="0" labelOnly="1" outline="0" fieldPosition="0">
        <references count="10">
          <reference field="1" count="0" selected="0"/>
          <reference field="3" count="1" selected="0">
            <x v="3"/>
          </reference>
          <reference field="4" count="1" selected="0">
            <x v="1"/>
          </reference>
          <reference field="5" count="1" selected="0">
            <x v="195"/>
          </reference>
          <reference field="6" count="1" selected="0">
            <x v="2"/>
          </reference>
          <reference field="9" count="1" selected="0">
            <x v="10"/>
          </reference>
          <reference field="11" count="1" selected="0">
            <x v="2"/>
          </reference>
          <reference field="12" count="1" selected="0">
            <x v="8"/>
          </reference>
          <reference field="13" count="1" selected="0">
            <x v="3"/>
          </reference>
          <reference field="14" count="1">
            <x v="51"/>
          </reference>
        </references>
      </pivotArea>
    </format>
    <format dxfId="9825">
      <pivotArea dataOnly="0" labelOnly="1" outline="0" fieldPosition="0">
        <references count="10">
          <reference field="1" count="0" selected="0"/>
          <reference field="3" count="1" selected="0">
            <x v="3"/>
          </reference>
          <reference field="4" count="1" selected="0">
            <x v="1"/>
          </reference>
          <reference field="5" count="1" selected="0">
            <x v="198"/>
          </reference>
          <reference field="6" count="1" selected="0">
            <x v="2"/>
          </reference>
          <reference field="9" count="1" selected="0">
            <x v="10"/>
          </reference>
          <reference field="11" count="1" selected="0">
            <x v="14"/>
          </reference>
          <reference field="12" count="1" selected="0">
            <x v="16"/>
          </reference>
          <reference field="13" count="1" selected="0">
            <x v="3"/>
          </reference>
          <reference field="14" count="1">
            <x v="7"/>
          </reference>
        </references>
      </pivotArea>
    </format>
    <format dxfId="9824">
      <pivotArea dataOnly="0" labelOnly="1" outline="0" fieldPosition="0">
        <references count="10">
          <reference field="1" count="0" selected="0"/>
          <reference field="3" count="1" selected="0">
            <x v="3"/>
          </reference>
          <reference field="4" count="1" selected="0">
            <x v="1"/>
          </reference>
          <reference field="5" count="1" selected="0">
            <x v="203"/>
          </reference>
          <reference field="6" count="1" selected="0">
            <x v="2"/>
          </reference>
          <reference field="9" count="1" selected="0">
            <x v="10"/>
          </reference>
          <reference field="11" count="1" selected="0">
            <x v="14"/>
          </reference>
          <reference field="12" count="1" selected="0">
            <x v="32"/>
          </reference>
          <reference field="13" count="1" selected="0">
            <x v="3"/>
          </reference>
          <reference field="14" count="1">
            <x v="55"/>
          </reference>
        </references>
      </pivotArea>
    </format>
    <format dxfId="9823">
      <pivotArea dataOnly="0" labelOnly="1" outline="0" fieldPosition="0">
        <references count="10">
          <reference field="1" count="0" selected="0"/>
          <reference field="3" count="1" selected="0">
            <x v="4"/>
          </reference>
          <reference field="4" count="1" selected="0">
            <x v="1"/>
          </reference>
          <reference field="5" count="1" selected="0">
            <x v="98"/>
          </reference>
          <reference field="6" count="1" selected="0">
            <x v="2"/>
          </reference>
          <reference field="9" count="1" selected="0">
            <x v="10"/>
          </reference>
          <reference field="11" count="1" selected="0">
            <x v="22"/>
          </reference>
          <reference field="12" count="1" selected="0">
            <x v="8"/>
          </reference>
          <reference field="13" count="1" selected="0">
            <x v="3"/>
          </reference>
          <reference field="14" count="1">
            <x v="41"/>
          </reference>
        </references>
      </pivotArea>
    </format>
    <format dxfId="9822">
      <pivotArea dataOnly="0" labelOnly="1" outline="0" fieldPosition="0">
        <references count="10">
          <reference field="1" count="0" selected="0"/>
          <reference field="3" count="1" selected="0">
            <x v="4"/>
          </reference>
          <reference field="4" count="1" selected="0">
            <x v="1"/>
          </reference>
          <reference field="5" count="1" selected="0">
            <x v="101"/>
          </reference>
          <reference field="6" count="1" selected="0">
            <x v="2"/>
          </reference>
          <reference field="9" count="1" selected="0">
            <x v="10"/>
          </reference>
          <reference field="11" count="1" selected="0">
            <x v="3"/>
          </reference>
          <reference field="12" count="1" selected="0">
            <x v="8"/>
          </reference>
          <reference field="13" count="1" selected="0">
            <x v="3"/>
          </reference>
          <reference field="14" count="1">
            <x v="17"/>
          </reference>
        </references>
      </pivotArea>
    </format>
    <format dxfId="9821">
      <pivotArea dataOnly="0" labelOnly="1" outline="0" fieldPosition="0">
        <references count="10">
          <reference field="1" count="0" selected="0"/>
          <reference field="3" count="1" selected="0">
            <x v="4"/>
          </reference>
          <reference field="4" count="1" selected="0">
            <x v="1"/>
          </reference>
          <reference field="5" count="1" selected="0">
            <x v="112"/>
          </reference>
          <reference field="6" count="1" selected="0">
            <x v="2"/>
          </reference>
          <reference field="9" count="1" selected="0">
            <x v="10"/>
          </reference>
          <reference field="11" count="1" selected="0">
            <x v="14"/>
          </reference>
          <reference field="12" count="1" selected="0">
            <x v="11"/>
          </reference>
          <reference field="13" count="1" selected="0">
            <x v="3"/>
          </reference>
          <reference field="14" count="1">
            <x v="30"/>
          </reference>
        </references>
      </pivotArea>
    </format>
    <format dxfId="9820">
      <pivotArea dataOnly="0" labelOnly="1" outline="0" fieldPosition="0">
        <references count="10">
          <reference field="1" count="0" selected="0"/>
          <reference field="3" count="1" selected="0">
            <x v="4"/>
          </reference>
          <reference field="4" count="1" selected="0">
            <x v="1"/>
          </reference>
          <reference field="5" count="1" selected="0">
            <x v="118"/>
          </reference>
          <reference field="6" count="1" selected="0">
            <x v="2"/>
          </reference>
          <reference field="9" count="1" selected="0">
            <x v="10"/>
          </reference>
          <reference field="11" count="1" selected="0">
            <x v="45"/>
          </reference>
          <reference field="12" count="1" selected="0">
            <x v="6"/>
          </reference>
          <reference field="13" count="1" selected="0">
            <x v="3"/>
          </reference>
          <reference field="14" count="1">
            <x v="46"/>
          </reference>
        </references>
      </pivotArea>
    </format>
    <format dxfId="9819">
      <pivotArea dataOnly="0" labelOnly="1" outline="0" fieldPosition="0">
        <references count="10">
          <reference field="1" count="0" selected="0"/>
          <reference field="3" count="1" selected="0">
            <x v="4"/>
          </reference>
          <reference field="4" count="1" selected="0">
            <x v="1"/>
          </reference>
          <reference field="5" count="1" selected="0">
            <x v="330"/>
          </reference>
          <reference field="6" count="1" selected="0">
            <x v="2"/>
          </reference>
          <reference field="9" count="1" selected="0">
            <x v="10"/>
          </reference>
          <reference field="11" count="1" selected="0">
            <x v="3"/>
          </reference>
          <reference field="12" count="1" selected="0">
            <x v="8"/>
          </reference>
          <reference field="13" count="1" selected="0">
            <x v="3"/>
          </reference>
          <reference field="14" count="1">
            <x v="17"/>
          </reference>
        </references>
      </pivotArea>
    </format>
    <format dxfId="9818">
      <pivotArea dataOnly="0" labelOnly="1" outline="0" fieldPosition="0">
        <references count="10">
          <reference field="1" count="0" selected="0"/>
          <reference field="3" count="1" selected="0">
            <x v="6"/>
          </reference>
          <reference field="4" count="1" selected="0">
            <x v="0"/>
          </reference>
          <reference field="5" count="1" selected="0">
            <x v="119"/>
          </reference>
          <reference field="6" count="1" selected="0">
            <x v="9"/>
          </reference>
          <reference field="9" count="1" selected="0">
            <x v="10"/>
          </reference>
          <reference field="11" count="1" selected="0">
            <x v="32"/>
          </reference>
          <reference field="12" count="1" selected="0">
            <x v="8"/>
          </reference>
          <reference field="13" count="1" selected="0">
            <x v="3"/>
          </reference>
          <reference field="14" count="1">
            <x v="52"/>
          </reference>
        </references>
      </pivotArea>
    </format>
    <format dxfId="9817">
      <pivotArea dataOnly="0" labelOnly="1" outline="0" fieldPosition="0">
        <references count="10">
          <reference field="1" count="0" selected="0"/>
          <reference field="3" count="1" selected="0">
            <x v="6"/>
          </reference>
          <reference field="4" count="1" selected="0">
            <x v="0"/>
          </reference>
          <reference field="5" count="1" selected="0">
            <x v="127"/>
          </reference>
          <reference field="6" count="1" selected="0">
            <x v="9"/>
          </reference>
          <reference field="9" count="1" selected="0">
            <x v="10"/>
          </reference>
          <reference field="11" count="1" selected="0">
            <x v="2"/>
          </reference>
          <reference field="12" count="1" selected="0">
            <x v="8"/>
          </reference>
          <reference field="13" count="1" selected="0">
            <x v="3"/>
          </reference>
          <reference field="14" count="1">
            <x v="51"/>
          </reference>
        </references>
      </pivotArea>
    </format>
    <format dxfId="9816">
      <pivotArea dataOnly="0" labelOnly="1" outline="0" fieldPosition="0">
        <references count="10">
          <reference field="1" count="0" selected="0"/>
          <reference field="3" count="1" selected="0">
            <x v="6"/>
          </reference>
          <reference field="4" count="1" selected="0">
            <x v="0"/>
          </reference>
          <reference field="5" count="1" selected="0">
            <x v="147"/>
          </reference>
          <reference field="6" count="1" selected="0">
            <x v="9"/>
          </reference>
          <reference field="9" count="1" selected="0">
            <x v="10"/>
          </reference>
          <reference field="11" count="1" selected="0">
            <x v="14"/>
          </reference>
          <reference field="12" count="1" selected="0">
            <x v="4"/>
          </reference>
          <reference field="13" count="1" selected="0">
            <x v="3"/>
          </reference>
          <reference field="14" count="1">
            <x v="8"/>
          </reference>
        </references>
      </pivotArea>
    </format>
    <format dxfId="9815">
      <pivotArea dataOnly="0" labelOnly="1" outline="0" fieldPosition="0">
        <references count="10">
          <reference field="1" count="0" selected="0"/>
          <reference field="3" count="1" selected="0">
            <x v="6"/>
          </reference>
          <reference field="4" count="1" selected="0">
            <x v="0"/>
          </reference>
          <reference field="5" count="1" selected="0">
            <x v="160"/>
          </reference>
          <reference field="6" count="1" selected="0">
            <x v="9"/>
          </reference>
          <reference field="9" count="1" selected="0">
            <x v="10"/>
          </reference>
          <reference field="11" count="1" selected="0">
            <x v="14"/>
          </reference>
          <reference field="12" count="1" selected="0">
            <x v="18"/>
          </reference>
          <reference field="13" count="1" selected="0">
            <x v="3"/>
          </reference>
          <reference field="14" count="1">
            <x v="17"/>
          </reference>
        </references>
      </pivotArea>
    </format>
    <format dxfId="9814">
      <pivotArea dataOnly="0" labelOnly="1" outline="0" fieldPosition="0">
        <references count="10">
          <reference field="1" count="0" selected="0"/>
          <reference field="3" count="1" selected="0">
            <x v="6"/>
          </reference>
          <reference field="4" count="1" selected="0">
            <x v="0"/>
          </reference>
          <reference field="5" count="1" selected="0">
            <x v="166"/>
          </reference>
          <reference field="6" count="1" selected="0">
            <x v="9"/>
          </reference>
          <reference field="9" count="1" selected="0">
            <x v="10"/>
          </reference>
          <reference field="11" count="1" selected="0">
            <x v="18"/>
          </reference>
          <reference field="12" count="1" selected="0">
            <x v="8"/>
          </reference>
          <reference field="13" count="1" selected="0">
            <x v="3"/>
          </reference>
          <reference field="14" count="1">
            <x v="42"/>
          </reference>
        </references>
      </pivotArea>
    </format>
    <format dxfId="9813">
      <pivotArea dataOnly="0" labelOnly="1" outline="0" fieldPosition="0">
        <references count="10">
          <reference field="1" count="0" selected="0"/>
          <reference field="3" count="1" selected="0">
            <x v="6"/>
          </reference>
          <reference field="4" count="1" selected="0">
            <x v="0"/>
          </reference>
          <reference field="5" count="1" selected="0">
            <x v="173"/>
          </reference>
          <reference field="6" count="1" selected="0">
            <x v="9"/>
          </reference>
          <reference field="9" count="1" selected="0">
            <x v="10"/>
          </reference>
          <reference field="11" count="1" selected="0">
            <x v="41"/>
          </reference>
          <reference field="12" count="1" selected="0">
            <x v="8"/>
          </reference>
          <reference field="13" count="1" selected="0">
            <x v="3"/>
          </reference>
          <reference field="14" count="1">
            <x v="24"/>
          </reference>
        </references>
      </pivotArea>
    </format>
    <format dxfId="9812">
      <pivotArea dataOnly="0" labelOnly="1" outline="0" fieldPosition="0">
        <references count="10">
          <reference field="1" count="0" selected="0"/>
          <reference field="3" count="1" selected="0">
            <x v="6"/>
          </reference>
          <reference field="4" count="1" selected="0">
            <x v="0"/>
          </reference>
          <reference field="5" count="1" selected="0">
            <x v="176"/>
          </reference>
          <reference field="6" count="1" selected="0">
            <x v="9"/>
          </reference>
          <reference field="9" count="1" selected="0">
            <x v="10"/>
          </reference>
          <reference field="11" count="1" selected="0">
            <x v="14"/>
          </reference>
          <reference field="12" count="1" selected="0">
            <x v="1"/>
          </reference>
          <reference field="13" count="1" selected="0">
            <x v="3"/>
          </reference>
          <reference field="14" count="1">
            <x v="17"/>
          </reference>
        </references>
      </pivotArea>
    </format>
    <format dxfId="9811">
      <pivotArea dataOnly="0" labelOnly="1" outline="0" fieldPosition="0">
        <references count="10">
          <reference field="1" count="0" selected="0"/>
          <reference field="3" count="1" selected="0">
            <x v="6"/>
          </reference>
          <reference field="4" count="1" selected="0">
            <x v="0"/>
          </reference>
          <reference field="5" count="1" selected="0">
            <x v="188"/>
          </reference>
          <reference field="6" count="1" selected="0">
            <x v="9"/>
          </reference>
          <reference field="9" count="1" selected="0">
            <x v="10"/>
          </reference>
          <reference field="11" count="1" selected="0">
            <x v="5"/>
          </reference>
          <reference field="12" count="1" selected="0">
            <x v="4"/>
          </reference>
          <reference field="13" count="1" selected="0">
            <x v="3"/>
          </reference>
          <reference field="14" count="1">
            <x v="2"/>
          </reference>
        </references>
      </pivotArea>
    </format>
    <format dxfId="9810">
      <pivotArea dataOnly="0" labelOnly="1" outline="0" fieldPosition="0">
        <references count="10">
          <reference field="1" count="0" selected="0"/>
          <reference field="3" count="1" selected="0">
            <x v="6"/>
          </reference>
          <reference field="4" count="1" selected="0">
            <x v="0"/>
          </reference>
          <reference field="5" count="1" selected="0">
            <x v="191"/>
          </reference>
          <reference field="6" count="1" selected="0">
            <x v="9"/>
          </reference>
          <reference field="9" count="1" selected="0">
            <x v="10"/>
          </reference>
          <reference field="11" count="1" selected="0">
            <x v="16"/>
          </reference>
          <reference field="12" count="1" selected="0">
            <x v="8"/>
          </reference>
          <reference field="13" count="1" selected="0">
            <x v="3"/>
          </reference>
          <reference field="14" count="1">
            <x v="17"/>
          </reference>
        </references>
      </pivotArea>
    </format>
    <format dxfId="9809">
      <pivotArea dataOnly="0" labelOnly="1" outline="0" fieldPosition="0">
        <references count="10">
          <reference field="1" count="0" selected="0"/>
          <reference field="3" count="1" selected="0">
            <x v="6"/>
          </reference>
          <reference field="4" count="1" selected="0">
            <x v="0"/>
          </reference>
          <reference field="5" count="1" selected="0">
            <x v="336"/>
          </reference>
          <reference field="6" count="1" selected="0">
            <x v="9"/>
          </reference>
          <reference field="9" count="1" selected="0">
            <x v="10"/>
          </reference>
          <reference field="11" count="1" selected="0">
            <x v="46"/>
          </reference>
          <reference field="12" count="1" selected="0">
            <x v="8"/>
          </reference>
          <reference field="13" count="1" selected="0">
            <x v="3"/>
          </reference>
          <reference field="14" count="1">
            <x v="20"/>
          </reference>
        </references>
      </pivotArea>
    </format>
    <format dxfId="9808">
      <pivotArea dataOnly="0" labelOnly="1" outline="0" fieldPosition="0">
        <references count="10">
          <reference field="1" count="0" selected="0"/>
          <reference field="3" count="1" selected="0">
            <x v="6"/>
          </reference>
          <reference field="4" count="1" selected="0">
            <x v="0"/>
          </reference>
          <reference field="5" count="1" selected="0">
            <x v="350"/>
          </reference>
          <reference field="6" count="1" selected="0">
            <x v="9"/>
          </reference>
          <reference field="9" count="1" selected="0">
            <x v="10"/>
          </reference>
          <reference field="11" count="1" selected="0">
            <x v="10"/>
          </reference>
          <reference field="12" count="1" selected="0">
            <x v="28"/>
          </reference>
          <reference field="13" count="1" selected="0">
            <x v="3"/>
          </reference>
          <reference field="14" count="1">
            <x v="53"/>
          </reference>
        </references>
      </pivotArea>
    </format>
    <format dxfId="9807">
      <pivotArea dataOnly="0" labelOnly="1" outline="0" fieldPosition="0">
        <references count="10">
          <reference field="1" count="0" selected="0"/>
          <reference field="3" count="1" selected="0">
            <x v="8"/>
          </reference>
          <reference field="4" count="1" selected="0">
            <x v="3"/>
          </reference>
          <reference field="5" count="1" selected="0">
            <x v="137"/>
          </reference>
          <reference field="6" count="1" selected="0">
            <x v="3"/>
          </reference>
          <reference field="9" count="1" selected="0">
            <x v="10"/>
          </reference>
          <reference field="11" count="1" selected="0">
            <x v="7"/>
          </reference>
          <reference field="12" count="1" selected="0">
            <x v="3"/>
          </reference>
          <reference field="13" count="1" selected="0">
            <x v="3"/>
          </reference>
          <reference field="14" count="1">
            <x v="17"/>
          </reference>
        </references>
      </pivotArea>
    </format>
    <format dxfId="9806">
      <pivotArea dataOnly="0" labelOnly="1" outline="0" fieldPosition="0">
        <references count="10">
          <reference field="1" count="0" selected="0"/>
          <reference field="3" count="1" selected="0">
            <x v="9"/>
          </reference>
          <reference field="4" count="1" selected="0">
            <x v="6"/>
          </reference>
          <reference field="5" count="1" selected="0">
            <x v="163"/>
          </reference>
          <reference field="6" count="1" selected="0">
            <x v="5"/>
          </reference>
          <reference field="9" count="1" selected="0">
            <x v="7"/>
          </reference>
          <reference field="11" count="1" selected="0">
            <x v="27"/>
          </reference>
          <reference field="12" count="1" selected="0">
            <x v="8"/>
          </reference>
          <reference field="13" count="1" selected="0">
            <x v="3"/>
          </reference>
          <reference field="14" count="1">
            <x v="11"/>
          </reference>
        </references>
      </pivotArea>
    </format>
    <format dxfId="9805">
      <pivotArea dataOnly="0" labelOnly="1" outline="0" fieldPosition="0">
        <references count="7">
          <reference field="1" count="0" selected="0"/>
          <reference field="3" count="1" selected="0">
            <x v="3"/>
          </reference>
          <reference field="4" count="1" selected="0">
            <x v="1"/>
          </reference>
          <reference field="5" count="1" selected="0">
            <x v="194"/>
          </reference>
          <reference field="6" count="1" selected="0">
            <x v="2"/>
          </reference>
          <reference field="9" count="1" selected="0">
            <x v="10"/>
          </reference>
          <reference field="11" count="1">
            <x v="14"/>
          </reference>
        </references>
      </pivotArea>
    </format>
    <format dxfId="9804">
      <pivotArea dataOnly="0" labelOnly="1" outline="0" fieldPosition="0">
        <references count="7">
          <reference field="1" count="0" selected="0"/>
          <reference field="3" count="1" selected="0">
            <x v="3"/>
          </reference>
          <reference field="4" count="1" selected="0">
            <x v="1"/>
          </reference>
          <reference field="5" count="1" selected="0">
            <x v="207"/>
          </reference>
          <reference field="6" count="1" selected="0">
            <x v="2"/>
          </reference>
          <reference field="9" count="1" selected="0">
            <x v="10"/>
          </reference>
          <reference field="11" count="1">
            <x v="14"/>
          </reference>
        </references>
      </pivotArea>
    </format>
    <format dxfId="9803">
      <pivotArea dataOnly="0" labelOnly="1" outline="0" fieldPosition="0">
        <references count="7">
          <reference field="1" count="0" selected="0"/>
          <reference field="3" count="1" selected="0">
            <x v="4"/>
          </reference>
          <reference field="4" count="1" selected="0">
            <x v="1"/>
          </reference>
          <reference field="5" count="1" selected="0">
            <x v="102"/>
          </reference>
          <reference field="6" count="1" selected="0">
            <x v="2"/>
          </reference>
          <reference field="9" count="1" selected="0">
            <x v="2"/>
          </reference>
          <reference field="11" count="1">
            <x v="40"/>
          </reference>
        </references>
      </pivotArea>
    </format>
    <format dxfId="9802">
      <pivotArea dataOnly="0" labelOnly="1" outline="0" fieldPosition="0">
        <references count="7">
          <reference field="1" count="0" selected="0"/>
          <reference field="3" count="1" selected="0">
            <x v="4"/>
          </reference>
          <reference field="4" count="1" selected="0">
            <x v="1"/>
          </reference>
          <reference field="5" count="1" selected="0">
            <x v="105"/>
          </reference>
          <reference field="6" count="1" selected="0">
            <x v="2"/>
          </reference>
          <reference field="9" count="1" selected="0">
            <x v="2"/>
          </reference>
          <reference field="11" count="1">
            <x v="14"/>
          </reference>
        </references>
      </pivotArea>
    </format>
    <format dxfId="9801">
      <pivotArea dataOnly="0" labelOnly="1" outline="0" fieldPosition="0">
        <references count="7">
          <reference field="1" count="0" selected="0"/>
          <reference field="3" count="1" selected="0">
            <x v="4"/>
          </reference>
          <reference field="4" count="1" selected="0">
            <x v="1"/>
          </reference>
          <reference field="5" count="1" selected="0">
            <x v="143"/>
          </reference>
          <reference field="6" count="1" selected="0">
            <x v="2"/>
          </reference>
          <reference field="9" count="1" selected="0">
            <x v="10"/>
          </reference>
          <reference field="11" count="1">
            <x v="18"/>
          </reference>
        </references>
      </pivotArea>
    </format>
    <format dxfId="9800">
      <pivotArea dataOnly="0" labelOnly="1" outline="0" fieldPosition="0">
        <references count="7">
          <reference field="1" count="0" selected="0"/>
          <reference field="3" count="1" selected="0">
            <x v="4"/>
          </reference>
          <reference field="4" count="1" selected="0">
            <x v="1"/>
          </reference>
          <reference field="5" count="1" selected="0">
            <x v="155"/>
          </reference>
          <reference field="6" count="1" selected="0">
            <x v="2"/>
          </reference>
          <reference field="9" count="1" selected="0">
            <x v="10"/>
          </reference>
          <reference field="11" count="1">
            <x v="46"/>
          </reference>
        </references>
      </pivotArea>
    </format>
    <format dxfId="9799">
      <pivotArea dataOnly="0" labelOnly="1" outline="0" fieldPosition="0">
        <references count="7">
          <reference field="1" count="0" selected="0"/>
          <reference field="3" count="1" selected="0">
            <x v="4"/>
          </reference>
          <reference field="4" count="1" selected="0">
            <x v="1"/>
          </reference>
          <reference field="5" count="1" selected="0">
            <x v="214"/>
          </reference>
          <reference field="6" count="1" selected="0">
            <x v="2"/>
          </reference>
          <reference field="9" count="1" selected="0">
            <x v="10"/>
          </reference>
          <reference field="11" count="1">
            <x v="14"/>
          </reference>
        </references>
      </pivotArea>
    </format>
    <format dxfId="9798">
      <pivotArea dataOnly="0" labelOnly="1" outline="0" fieldPosition="0">
        <references count="7">
          <reference field="1" count="0" selected="0"/>
          <reference field="3" count="1" selected="0">
            <x v="4"/>
          </reference>
          <reference field="4" count="1" selected="0">
            <x v="1"/>
          </reference>
          <reference field="5" count="1" selected="0">
            <x v="222"/>
          </reference>
          <reference field="6" count="1" selected="0">
            <x v="9"/>
          </reference>
          <reference field="9" count="1" selected="0">
            <x v="8"/>
          </reference>
          <reference field="11" count="1">
            <x v="13"/>
          </reference>
        </references>
      </pivotArea>
    </format>
    <format dxfId="9797">
      <pivotArea dataOnly="0" labelOnly="1" outline="0" fieldPosition="0">
        <references count="7">
          <reference field="1" count="0" selected="0"/>
          <reference field="3" count="1" selected="0">
            <x v="4"/>
          </reference>
          <reference field="4" count="1" selected="0">
            <x v="1"/>
          </reference>
          <reference field="5" count="1" selected="0">
            <x v="329"/>
          </reference>
          <reference field="6" count="1" selected="0">
            <x v="2"/>
          </reference>
          <reference field="9" count="1" selected="0">
            <x v="4"/>
          </reference>
          <reference field="11" count="1">
            <x v="11"/>
          </reference>
        </references>
      </pivotArea>
    </format>
    <format dxfId="9796">
      <pivotArea dataOnly="0" labelOnly="1" outline="0" fieldPosition="0">
        <references count="7">
          <reference field="1" count="0" selected="0"/>
          <reference field="3" count="1" selected="0">
            <x v="6"/>
          </reference>
          <reference field="4" count="1" selected="0">
            <x v="0"/>
          </reference>
          <reference field="5" count="1" selected="0">
            <x v="107"/>
          </reference>
          <reference field="6" count="1" selected="0">
            <x v="9"/>
          </reference>
          <reference field="9" count="1" selected="0">
            <x v="10"/>
          </reference>
          <reference field="11" count="1">
            <x v="14"/>
          </reference>
        </references>
      </pivotArea>
    </format>
    <format dxfId="9795">
      <pivotArea dataOnly="0" labelOnly="1" outline="0" fieldPosition="0">
        <references count="7">
          <reference field="1" count="0" selected="0"/>
          <reference field="3" count="1" selected="0">
            <x v="6"/>
          </reference>
          <reference field="4" count="1" selected="0">
            <x v="0"/>
          </reference>
          <reference field="5" count="1" selected="0">
            <x v="123"/>
          </reference>
          <reference field="6" count="1" selected="0">
            <x v="9"/>
          </reference>
          <reference field="9" count="1" selected="0">
            <x v="10"/>
          </reference>
          <reference field="11" count="1">
            <x v="9"/>
          </reference>
        </references>
      </pivotArea>
    </format>
    <format dxfId="9794">
      <pivotArea dataOnly="0" labelOnly="1" outline="0" fieldPosition="0">
        <references count="7">
          <reference field="1" count="0" selected="0"/>
          <reference field="3" count="1" selected="0">
            <x v="6"/>
          </reference>
          <reference field="4" count="1" selected="0">
            <x v="0"/>
          </reference>
          <reference field="5" count="1" selected="0">
            <x v="128"/>
          </reference>
          <reference field="6" count="1" selected="0">
            <x v="9"/>
          </reference>
          <reference field="9" count="1" selected="0">
            <x v="10"/>
          </reference>
          <reference field="11" count="1">
            <x v="14"/>
          </reference>
        </references>
      </pivotArea>
    </format>
    <format dxfId="9793">
      <pivotArea dataOnly="0" labelOnly="1" outline="0" fieldPosition="0">
        <references count="7">
          <reference field="1" count="0" selected="0"/>
          <reference field="3" count="1" selected="0">
            <x v="6"/>
          </reference>
          <reference field="4" count="1" selected="0">
            <x v="0"/>
          </reference>
          <reference field="5" count="1" selected="0">
            <x v="156"/>
          </reference>
          <reference field="6" count="1" selected="0">
            <x v="9"/>
          </reference>
          <reference field="9" count="1" selected="0">
            <x v="10"/>
          </reference>
          <reference field="11" count="1">
            <x v="36"/>
          </reference>
        </references>
      </pivotArea>
    </format>
    <format dxfId="9792">
      <pivotArea dataOnly="0" labelOnly="1" outline="0" fieldPosition="0">
        <references count="7">
          <reference field="1" count="0" selected="0"/>
          <reference field="3" count="1" selected="0">
            <x v="6"/>
          </reference>
          <reference field="4" count="1" selected="0">
            <x v="0"/>
          </reference>
          <reference field="5" count="1" selected="0">
            <x v="168"/>
          </reference>
          <reference field="6" count="1" selected="0">
            <x v="9"/>
          </reference>
          <reference field="9" count="1" selected="0">
            <x v="10"/>
          </reference>
          <reference field="11" count="1">
            <x v="14"/>
          </reference>
        </references>
      </pivotArea>
    </format>
    <format dxfId="9791">
      <pivotArea dataOnly="0" labelOnly="1" outline="0" fieldPosition="0">
        <references count="7">
          <reference field="1" count="0" selected="0"/>
          <reference field="3" count="1" selected="0">
            <x v="6"/>
          </reference>
          <reference field="4" count="1" selected="0">
            <x v="0"/>
          </reference>
          <reference field="5" count="1" selected="0">
            <x v="172"/>
          </reference>
          <reference field="6" count="1" selected="0">
            <x v="9"/>
          </reference>
          <reference field="9" count="1" selected="0">
            <x v="10"/>
          </reference>
          <reference field="11" count="1">
            <x v="10"/>
          </reference>
        </references>
      </pivotArea>
    </format>
    <format dxfId="9790">
      <pivotArea dataOnly="0" labelOnly="1" outline="0" fieldPosition="0">
        <references count="7">
          <reference field="1" count="0" selected="0"/>
          <reference field="3" count="1" selected="0">
            <x v="6"/>
          </reference>
          <reference field="4" count="1" selected="0">
            <x v="0"/>
          </reference>
          <reference field="5" count="1" selected="0">
            <x v="184"/>
          </reference>
          <reference field="6" count="1" selected="0">
            <x v="9"/>
          </reference>
          <reference field="9" count="1" selected="0">
            <x v="10"/>
          </reference>
          <reference field="11" count="1">
            <x v="36"/>
          </reference>
        </references>
      </pivotArea>
    </format>
    <format dxfId="9789">
      <pivotArea dataOnly="0" labelOnly="1" outline="0" fieldPosition="0">
        <references count="7">
          <reference field="1" count="0" selected="0"/>
          <reference field="3" count="1" selected="0">
            <x v="6"/>
          </reference>
          <reference field="4" count="1" selected="0">
            <x v="0"/>
          </reference>
          <reference field="5" count="1" selected="0">
            <x v="187"/>
          </reference>
          <reference field="6" count="1" selected="0">
            <x v="9"/>
          </reference>
          <reference field="9" count="1" selected="0">
            <x v="10"/>
          </reference>
          <reference field="11" count="1">
            <x v="14"/>
          </reference>
        </references>
      </pivotArea>
    </format>
    <format dxfId="9788">
      <pivotArea dataOnly="0" labelOnly="1" outline="0" fieldPosition="0">
        <references count="7">
          <reference field="1" count="0" selected="0"/>
          <reference field="3" count="1" selected="0">
            <x v="6"/>
          </reference>
          <reference field="4" count="1" selected="0">
            <x v="0"/>
          </reference>
          <reference field="5" count="1" selected="0">
            <x v="209"/>
          </reference>
          <reference field="6" count="1" selected="0">
            <x v="9"/>
          </reference>
          <reference field="9" count="1" selected="0">
            <x v="10"/>
          </reference>
          <reference field="11" count="1">
            <x v="41"/>
          </reference>
        </references>
      </pivotArea>
    </format>
    <format dxfId="9787">
      <pivotArea dataOnly="0" labelOnly="1" outline="0" fieldPosition="0">
        <references count="7">
          <reference field="1" count="0" selected="0"/>
          <reference field="3" count="1" selected="0">
            <x v="8"/>
          </reference>
          <reference field="4" count="1" selected="0">
            <x v="3"/>
          </reference>
          <reference field="5" count="1" selected="0">
            <x v="133"/>
          </reference>
          <reference field="6" count="1" selected="0">
            <x v="3"/>
          </reference>
          <reference field="9" count="1" selected="0">
            <x v="10"/>
          </reference>
          <reference field="11" count="1">
            <x v="14"/>
          </reference>
        </references>
      </pivotArea>
    </format>
    <format dxfId="9786">
      <pivotArea dataOnly="0" labelOnly="1" outline="0" fieldPosition="0">
        <references count="7">
          <reference field="1" count="0" selected="0"/>
          <reference field="3" count="1" selected="0">
            <x v="8"/>
          </reference>
          <reference field="4" count="1" selected="0">
            <x v="3"/>
          </reference>
          <reference field="5" count="1" selected="0">
            <x v="139"/>
          </reference>
          <reference field="6" count="1" selected="0">
            <x v="3"/>
          </reference>
          <reference field="9" count="1" selected="0">
            <x v="10"/>
          </reference>
          <reference field="11" count="1">
            <x v="9"/>
          </reference>
        </references>
      </pivotArea>
    </format>
    <format dxfId="9785">
      <pivotArea dataOnly="0" labelOnly="1" outline="0" fieldPosition="0">
        <references count="7">
          <reference field="1" count="0" selected="0"/>
          <reference field="3" count="1" selected="0">
            <x v="8"/>
          </reference>
          <reference field="4" count="1" selected="0">
            <x v="3"/>
          </reference>
          <reference field="5" count="1" selected="0">
            <x v="162"/>
          </reference>
          <reference field="6" count="1" selected="0">
            <x v="3"/>
          </reference>
          <reference field="9" count="1" selected="0">
            <x v="10"/>
          </reference>
          <reference field="11" count="1">
            <x v="53"/>
          </reference>
        </references>
      </pivotArea>
    </format>
    <format dxfId="9784">
      <pivotArea dataOnly="0" labelOnly="1" outline="0" fieldPosition="0">
        <references count="7">
          <reference field="1" count="0" selected="0"/>
          <reference field="3" count="1" selected="0">
            <x v="9"/>
          </reference>
          <reference field="4" count="1" selected="0">
            <x v="4"/>
          </reference>
          <reference field="5" count="1" selected="0">
            <x v="141"/>
          </reference>
          <reference field="6" count="1" selected="0">
            <x v="5"/>
          </reference>
          <reference field="9" count="1" selected="0">
            <x v="10"/>
          </reference>
          <reference field="11" count="1">
            <x v="40"/>
          </reference>
        </references>
      </pivotArea>
    </format>
    <format dxfId="9783">
      <pivotArea dataOnly="0" labelOnly="1" outline="0" fieldPosition="0">
        <references count="8">
          <reference field="1" count="0" selected="0"/>
          <reference field="3" count="1" selected="0">
            <x v="3"/>
          </reference>
          <reference field="4" count="1" selected="0">
            <x v="1"/>
          </reference>
          <reference field="5" count="1" selected="0">
            <x v="194"/>
          </reference>
          <reference field="6" count="1" selected="0">
            <x v="2"/>
          </reference>
          <reference field="9" count="1" selected="0">
            <x v="10"/>
          </reference>
          <reference field="11" count="1" selected="0">
            <x v="14"/>
          </reference>
          <reference field="12" count="1">
            <x v="11"/>
          </reference>
        </references>
      </pivotArea>
    </format>
    <format dxfId="9782">
      <pivotArea dataOnly="0" labelOnly="1" outline="0" fieldPosition="0">
        <references count="8">
          <reference field="1" count="0" selected="0"/>
          <reference field="3" count="1" selected="0">
            <x v="3"/>
          </reference>
          <reference field="4" count="1" selected="0">
            <x v="1"/>
          </reference>
          <reference field="5" count="1" selected="0">
            <x v="207"/>
          </reference>
          <reference field="6" count="1" selected="0">
            <x v="2"/>
          </reference>
          <reference field="9" count="1" selected="0">
            <x v="10"/>
          </reference>
          <reference field="11" count="1" selected="0">
            <x v="14"/>
          </reference>
          <reference field="12" count="1">
            <x v="10"/>
          </reference>
        </references>
      </pivotArea>
    </format>
    <format dxfId="9781">
      <pivotArea dataOnly="0" labelOnly="1" outline="0" fieldPosition="0">
        <references count="8">
          <reference field="1" count="0" selected="0"/>
          <reference field="3" count="1" selected="0">
            <x v="4"/>
          </reference>
          <reference field="4" count="1" selected="0">
            <x v="1"/>
          </reference>
          <reference field="5" count="1" selected="0">
            <x v="105"/>
          </reference>
          <reference field="6" count="1" selected="0">
            <x v="2"/>
          </reference>
          <reference field="9" count="1" selected="0">
            <x v="2"/>
          </reference>
          <reference field="11" count="1" selected="0">
            <x v="14"/>
          </reference>
          <reference field="12" count="1">
            <x v="15"/>
          </reference>
        </references>
      </pivotArea>
    </format>
    <format dxfId="9780">
      <pivotArea dataOnly="0" labelOnly="1" outline="0" fieldPosition="0">
        <references count="8">
          <reference field="1" count="0" selected="0"/>
          <reference field="3" count="1" selected="0">
            <x v="4"/>
          </reference>
          <reference field="4" count="1" selected="0">
            <x v="1"/>
          </reference>
          <reference field="5" count="1" selected="0">
            <x v="143"/>
          </reference>
          <reference field="6" count="1" selected="0">
            <x v="2"/>
          </reference>
          <reference field="9" count="1" selected="0">
            <x v="10"/>
          </reference>
          <reference field="11" count="1" selected="0">
            <x v="18"/>
          </reference>
          <reference field="12" count="1">
            <x v="8"/>
          </reference>
        </references>
      </pivotArea>
    </format>
    <format dxfId="9779">
      <pivotArea dataOnly="0" labelOnly="1" outline="0" fieldPosition="0">
        <references count="8">
          <reference field="1" count="0" selected="0"/>
          <reference field="3" count="1" selected="0">
            <x v="4"/>
          </reference>
          <reference field="4" count="1" selected="0">
            <x v="1"/>
          </reference>
          <reference field="5" count="1" selected="0">
            <x v="222"/>
          </reference>
          <reference field="6" count="1" selected="0">
            <x v="9"/>
          </reference>
          <reference field="9" count="1" selected="0">
            <x v="8"/>
          </reference>
          <reference field="11" count="1" selected="0">
            <x v="13"/>
          </reference>
          <reference field="12" count="1">
            <x v="14"/>
          </reference>
        </references>
      </pivotArea>
    </format>
    <format dxfId="9778">
      <pivotArea dataOnly="0" labelOnly="1" outline="0" fieldPosition="0">
        <references count="8">
          <reference field="1" count="0" selected="0"/>
          <reference field="3" count="1" selected="0">
            <x v="6"/>
          </reference>
          <reference field="4" count="1" selected="0">
            <x v="0"/>
          </reference>
          <reference field="5" count="1" selected="0">
            <x v="107"/>
          </reference>
          <reference field="6" count="1" selected="0">
            <x v="9"/>
          </reference>
          <reference field="9" count="1" selected="0">
            <x v="10"/>
          </reference>
          <reference field="11" count="1" selected="0">
            <x v="14"/>
          </reference>
          <reference field="12" count="1">
            <x v="1"/>
          </reference>
        </references>
      </pivotArea>
    </format>
    <format dxfId="9777">
      <pivotArea dataOnly="0" labelOnly="1" outline="0" fieldPosition="0">
        <references count="8">
          <reference field="1" count="0" selected="0"/>
          <reference field="3" count="1" selected="0">
            <x v="6"/>
          </reference>
          <reference field="4" count="1" selected="0">
            <x v="0"/>
          </reference>
          <reference field="5" count="1" selected="0">
            <x v="128"/>
          </reference>
          <reference field="6" count="1" selected="0">
            <x v="9"/>
          </reference>
          <reference field="9" count="1" selected="0">
            <x v="10"/>
          </reference>
          <reference field="11" count="1" selected="0">
            <x v="14"/>
          </reference>
          <reference field="12" count="1">
            <x v="13"/>
          </reference>
        </references>
      </pivotArea>
    </format>
    <format dxfId="9776">
      <pivotArea dataOnly="0" labelOnly="1" outline="0" fieldPosition="0">
        <references count="8">
          <reference field="1" count="0" selected="0"/>
          <reference field="3" count="1" selected="0">
            <x v="6"/>
          </reference>
          <reference field="4" count="1" selected="0">
            <x v="0"/>
          </reference>
          <reference field="5" count="1" selected="0">
            <x v="156"/>
          </reference>
          <reference field="6" count="1" selected="0">
            <x v="9"/>
          </reference>
          <reference field="9" count="1" selected="0">
            <x v="10"/>
          </reference>
          <reference field="11" count="1" selected="0">
            <x v="36"/>
          </reference>
          <reference field="12" count="1">
            <x v="8"/>
          </reference>
        </references>
      </pivotArea>
    </format>
    <format dxfId="9775">
      <pivotArea dataOnly="0" labelOnly="1" outline="0" fieldPosition="0">
        <references count="8">
          <reference field="1" count="0" selected="0"/>
          <reference field="3" count="1" selected="0">
            <x v="6"/>
          </reference>
          <reference field="4" count="1" selected="0">
            <x v="0"/>
          </reference>
          <reference field="5" count="1" selected="0">
            <x v="168"/>
          </reference>
          <reference field="6" count="1" selected="0">
            <x v="9"/>
          </reference>
          <reference field="9" count="1" selected="0">
            <x v="10"/>
          </reference>
          <reference field="11" count="1" selected="0">
            <x v="14"/>
          </reference>
          <reference field="12" count="1">
            <x v="3"/>
          </reference>
        </references>
      </pivotArea>
    </format>
    <format dxfId="9774">
      <pivotArea dataOnly="0" labelOnly="1" outline="0" fieldPosition="0">
        <references count="8">
          <reference field="1" count="0" selected="0"/>
          <reference field="3" count="1" selected="0">
            <x v="6"/>
          </reference>
          <reference field="4" count="1" selected="0">
            <x v="0"/>
          </reference>
          <reference field="5" count="1" selected="0">
            <x v="172"/>
          </reference>
          <reference field="6" count="1" selected="0">
            <x v="9"/>
          </reference>
          <reference field="9" count="1" selected="0">
            <x v="10"/>
          </reference>
          <reference field="11" count="1" selected="0">
            <x v="10"/>
          </reference>
          <reference field="12" count="1">
            <x v="28"/>
          </reference>
        </references>
      </pivotArea>
    </format>
    <format dxfId="9773">
      <pivotArea dataOnly="0" labelOnly="1" outline="0" fieldPosition="0">
        <references count="8">
          <reference field="1" count="0" selected="0"/>
          <reference field="3" count="1" selected="0">
            <x v="6"/>
          </reference>
          <reference field="4" count="1" selected="0">
            <x v="0"/>
          </reference>
          <reference field="5" count="1" selected="0">
            <x v="187"/>
          </reference>
          <reference field="6" count="1" selected="0">
            <x v="9"/>
          </reference>
          <reference field="9" count="1" selected="0">
            <x v="10"/>
          </reference>
          <reference field="11" count="1" selected="0">
            <x v="14"/>
          </reference>
          <reference field="12" count="1">
            <x v="3"/>
          </reference>
        </references>
      </pivotArea>
    </format>
    <format dxfId="9772">
      <pivotArea dataOnly="0" labelOnly="1" outline="0" fieldPosition="0">
        <references count="8">
          <reference field="1" count="0" selected="0"/>
          <reference field="3" count="1" selected="0">
            <x v="6"/>
          </reference>
          <reference field="4" count="1" selected="0">
            <x v="0"/>
          </reference>
          <reference field="5" count="1" selected="0">
            <x v="209"/>
          </reference>
          <reference field="6" count="1" selected="0">
            <x v="9"/>
          </reference>
          <reference field="9" count="1" selected="0">
            <x v="10"/>
          </reference>
          <reference field="11" count="1" selected="0">
            <x v="41"/>
          </reference>
          <reference field="12" count="1">
            <x v="8"/>
          </reference>
        </references>
      </pivotArea>
    </format>
    <format dxfId="9771">
      <pivotArea dataOnly="0" labelOnly="1" outline="0" fieldPosition="0">
        <references count="8">
          <reference field="1" count="0" selected="0"/>
          <reference field="3" count="1" selected="0">
            <x v="8"/>
          </reference>
          <reference field="4" count="1" selected="0">
            <x v="3"/>
          </reference>
          <reference field="5" count="1" selected="0">
            <x v="133"/>
          </reference>
          <reference field="6" count="1" selected="0">
            <x v="3"/>
          </reference>
          <reference field="9" count="1" selected="0">
            <x v="10"/>
          </reference>
          <reference field="11" count="1" selected="0">
            <x v="14"/>
          </reference>
          <reference field="12" count="1">
            <x v="12"/>
          </reference>
        </references>
      </pivotArea>
    </format>
    <format dxfId="9770">
      <pivotArea dataOnly="0" labelOnly="1" outline="0" fieldPosition="0">
        <references count="8">
          <reference field="1" count="0" selected="0"/>
          <reference field="3" count="1" selected="0">
            <x v="8"/>
          </reference>
          <reference field="4" count="1" selected="0">
            <x v="3"/>
          </reference>
          <reference field="5" count="1" selected="0">
            <x v="139"/>
          </reference>
          <reference field="6" count="1" selected="0">
            <x v="3"/>
          </reference>
          <reference field="9" count="1" selected="0">
            <x v="10"/>
          </reference>
          <reference field="11" count="1" selected="0">
            <x v="9"/>
          </reference>
          <reference field="12" count="1">
            <x v="22"/>
          </reference>
        </references>
      </pivotArea>
    </format>
    <format dxfId="9769">
      <pivotArea dataOnly="0" labelOnly="1" outline="0" fieldPosition="0">
        <references count="8">
          <reference field="1" count="0" selected="0"/>
          <reference field="3" count="1" selected="0">
            <x v="8"/>
          </reference>
          <reference field="4" count="1" selected="0">
            <x v="3"/>
          </reference>
          <reference field="5" count="1" selected="0">
            <x v="162"/>
          </reference>
          <reference field="6" count="1" selected="0">
            <x v="3"/>
          </reference>
          <reference field="9" count="1" selected="0">
            <x v="10"/>
          </reference>
          <reference field="11" count="1" selected="0">
            <x v="53"/>
          </reference>
          <reference field="12" count="1">
            <x v="8"/>
          </reference>
        </references>
      </pivotArea>
    </format>
    <format dxfId="9768">
      <pivotArea dataOnly="0" labelOnly="1" outline="0" fieldPosition="0">
        <references count="9">
          <reference field="1" count="0" selected="0"/>
          <reference field="3" count="1" selected="0">
            <x v="4"/>
          </reference>
          <reference field="4" count="1" selected="0">
            <x v="1"/>
          </reference>
          <reference field="5" count="1" selected="0">
            <x v="102"/>
          </reference>
          <reference field="6" count="1" selected="0">
            <x v="2"/>
          </reference>
          <reference field="9" count="1" selected="0">
            <x v="2"/>
          </reference>
          <reference field="11" count="1" selected="0">
            <x v="40"/>
          </reference>
          <reference field="12" count="1" selected="0">
            <x v="8"/>
          </reference>
          <reference field="13" count="1">
            <x v="3"/>
          </reference>
        </references>
      </pivotArea>
    </format>
    <format dxfId="9767">
      <pivotArea dataOnly="0" labelOnly="1" outline="0" fieldPosition="0">
        <references count="9">
          <reference field="1" count="0" selected="0"/>
          <reference field="3" count="1" selected="0">
            <x v="8"/>
          </reference>
          <reference field="4" count="1" selected="0">
            <x v="3"/>
          </reference>
          <reference field="5" count="1" selected="0">
            <x v="133"/>
          </reference>
          <reference field="6" count="1" selected="0">
            <x v="3"/>
          </reference>
          <reference field="9" count="1" selected="0">
            <x v="10"/>
          </reference>
          <reference field="11" count="1" selected="0">
            <x v="14"/>
          </reference>
          <reference field="12" count="1" selected="0">
            <x v="12"/>
          </reference>
          <reference field="13" count="1">
            <x v="3"/>
          </reference>
        </references>
      </pivotArea>
    </format>
    <format dxfId="9766">
      <pivotArea dataOnly="0" labelOnly="1" outline="0" fieldPosition="0">
        <references count="10">
          <reference field="1" count="0" selected="0"/>
          <reference field="3" count="1" selected="0">
            <x v="3"/>
          </reference>
          <reference field="4" count="1" selected="0">
            <x v="1"/>
          </reference>
          <reference field="5" count="1" selected="0">
            <x v="194"/>
          </reference>
          <reference field="6" count="1" selected="0">
            <x v="2"/>
          </reference>
          <reference field="9" count="1" selected="0">
            <x v="10"/>
          </reference>
          <reference field="11" count="1" selected="0">
            <x v="14"/>
          </reference>
          <reference field="12" count="1" selected="0">
            <x v="11"/>
          </reference>
          <reference field="13" count="1" selected="0">
            <x v="3"/>
          </reference>
          <reference field="14" count="1">
            <x v="30"/>
          </reference>
        </references>
      </pivotArea>
    </format>
    <format dxfId="9765">
      <pivotArea dataOnly="0" labelOnly="1" outline="0" fieldPosition="0">
        <references count="10">
          <reference field="1" count="0" selected="0"/>
          <reference field="3" count="1" selected="0">
            <x v="3"/>
          </reference>
          <reference field="4" count="1" selected="0">
            <x v="1"/>
          </reference>
          <reference field="5" count="1" selected="0">
            <x v="207"/>
          </reference>
          <reference field="6" count="1" selected="0">
            <x v="2"/>
          </reference>
          <reference field="9" count="1" selected="0">
            <x v="10"/>
          </reference>
          <reference field="11" count="1" selected="0">
            <x v="14"/>
          </reference>
          <reference field="12" count="1" selected="0">
            <x v="10"/>
          </reference>
          <reference field="13" count="1" selected="0">
            <x v="3"/>
          </reference>
          <reference field="14" count="1">
            <x v="12"/>
          </reference>
        </references>
      </pivotArea>
    </format>
    <format dxfId="9764">
      <pivotArea dataOnly="0" labelOnly="1" outline="0" fieldPosition="0">
        <references count="10">
          <reference field="1" count="0" selected="0"/>
          <reference field="3" count="1" selected="0">
            <x v="4"/>
          </reference>
          <reference field="4" count="1" selected="0">
            <x v="1"/>
          </reference>
          <reference field="5" count="1" selected="0">
            <x v="102"/>
          </reference>
          <reference field="6" count="1" selected="0">
            <x v="2"/>
          </reference>
          <reference field="9" count="1" selected="0">
            <x v="2"/>
          </reference>
          <reference field="11" count="1" selected="0">
            <x v="40"/>
          </reference>
          <reference field="12" count="1" selected="0">
            <x v="8"/>
          </reference>
          <reference field="13" count="1" selected="0">
            <x v="3"/>
          </reference>
          <reference field="14" count="1">
            <x v="44"/>
          </reference>
        </references>
      </pivotArea>
    </format>
    <format dxfId="9763">
      <pivotArea dataOnly="0" labelOnly="1" outline="0" fieldPosition="0">
        <references count="10">
          <reference field="1" count="0" selected="0"/>
          <reference field="3" count="1" selected="0">
            <x v="4"/>
          </reference>
          <reference field="4" count="1" selected="0">
            <x v="1"/>
          </reference>
          <reference field="5" count="1" selected="0">
            <x v="105"/>
          </reference>
          <reference field="6" count="1" selected="0">
            <x v="2"/>
          </reference>
          <reference field="9" count="1" selected="0">
            <x v="2"/>
          </reference>
          <reference field="11" count="1" selected="0">
            <x v="14"/>
          </reference>
          <reference field="12" count="1" selected="0">
            <x v="15"/>
          </reference>
          <reference field="13" count="1" selected="0">
            <x v="3"/>
          </reference>
          <reference field="14" count="1">
            <x v="15"/>
          </reference>
        </references>
      </pivotArea>
    </format>
    <format dxfId="9762">
      <pivotArea dataOnly="0" labelOnly="1" outline="0" fieldPosition="0">
        <references count="10">
          <reference field="1" count="0" selected="0"/>
          <reference field="3" count="1" selected="0">
            <x v="4"/>
          </reference>
          <reference field="4" count="1" selected="0">
            <x v="1"/>
          </reference>
          <reference field="5" count="1" selected="0">
            <x v="143"/>
          </reference>
          <reference field="6" count="1" selected="0">
            <x v="2"/>
          </reference>
          <reference field="9" count="1" selected="0">
            <x v="10"/>
          </reference>
          <reference field="11" count="1" selected="0">
            <x v="18"/>
          </reference>
          <reference field="12" count="1" selected="0">
            <x v="8"/>
          </reference>
          <reference field="13" count="1" selected="0">
            <x v="3"/>
          </reference>
          <reference field="14" count="1">
            <x v="42"/>
          </reference>
        </references>
      </pivotArea>
    </format>
    <format dxfId="9761">
      <pivotArea dataOnly="0" labelOnly="1" outline="0" fieldPosition="0">
        <references count="10">
          <reference field="1" count="0" selected="0"/>
          <reference field="3" count="1" selected="0">
            <x v="4"/>
          </reference>
          <reference field="4" count="1" selected="0">
            <x v="1"/>
          </reference>
          <reference field="5" count="1" selected="0">
            <x v="155"/>
          </reference>
          <reference field="6" count="1" selected="0">
            <x v="2"/>
          </reference>
          <reference field="9" count="1" selected="0">
            <x v="10"/>
          </reference>
          <reference field="11" count="1" selected="0">
            <x v="46"/>
          </reference>
          <reference field="12" count="1" selected="0">
            <x v="8"/>
          </reference>
          <reference field="13" count="1" selected="0">
            <x v="3"/>
          </reference>
          <reference field="14" count="1">
            <x v="20"/>
          </reference>
        </references>
      </pivotArea>
    </format>
    <format dxfId="9760">
      <pivotArea dataOnly="0" labelOnly="1" outline="0" fieldPosition="0">
        <references count="10">
          <reference field="1" count="0" selected="0"/>
          <reference field="3" count="1" selected="0">
            <x v="4"/>
          </reference>
          <reference field="4" count="1" selected="0">
            <x v="1"/>
          </reference>
          <reference field="5" count="1" selected="0">
            <x v="214"/>
          </reference>
          <reference field="6" count="1" selected="0">
            <x v="2"/>
          </reference>
          <reference field="9" count="1" selected="0">
            <x v="10"/>
          </reference>
          <reference field="11" count="1" selected="0">
            <x v="14"/>
          </reference>
          <reference field="12" count="1" selected="0">
            <x v="8"/>
          </reference>
          <reference field="13" count="1" selected="0">
            <x v="3"/>
          </reference>
          <reference field="14" count="1">
            <x v="17"/>
          </reference>
        </references>
      </pivotArea>
    </format>
    <format dxfId="9759">
      <pivotArea dataOnly="0" labelOnly="1" outline="0" fieldPosition="0">
        <references count="10">
          <reference field="1" count="0" selected="0"/>
          <reference field="3" count="1" selected="0">
            <x v="4"/>
          </reference>
          <reference field="4" count="1" selected="0">
            <x v="1"/>
          </reference>
          <reference field="5" count="1" selected="0">
            <x v="222"/>
          </reference>
          <reference field="6" count="1" selected="0">
            <x v="9"/>
          </reference>
          <reference field="9" count="1" selected="0">
            <x v="8"/>
          </reference>
          <reference field="11" count="1" selected="0">
            <x v="13"/>
          </reference>
          <reference field="12" count="1" selected="0">
            <x v="14"/>
          </reference>
          <reference field="13" count="1" selected="0">
            <x v="3"/>
          </reference>
          <reference field="14" count="1">
            <x v="17"/>
          </reference>
        </references>
      </pivotArea>
    </format>
    <format dxfId="9758">
      <pivotArea dataOnly="0" labelOnly="1" outline="0" fieldPosition="0">
        <references count="10">
          <reference field="1" count="0" selected="0"/>
          <reference field="3" count="1" selected="0">
            <x v="6"/>
          </reference>
          <reference field="4" count="1" selected="0">
            <x v="0"/>
          </reference>
          <reference field="5" count="1" selected="0">
            <x v="107"/>
          </reference>
          <reference field="6" count="1" selected="0">
            <x v="9"/>
          </reference>
          <reference field="9" count="1" selected="0">
            <x v="10"/>
          </reference>
          <reference field="11" count="1" selected="0">
            <x v="14"/>
          </reference>
          <reference field="12" count="1" selected="0">
            <x v="1"/>
          </reference>
          <reference field="13" count="1" selected="0">
            <x v="3"/>
          </reference>
          <reference field="14" count="1">
            <x v="17"/>
          </reference>
        </references>
      </pivotArea>
    </format>
    <format dxfId="9757">
      <pivotArea dataOnly="0" labelOnly="1" outline="0" fieldPosition="0">
        <references count="10">
          <reference field="1" count="0" selected="0"/>
          <reference field="3" count="1" selected="0">
            <x v="6"/>
          </reference>
          <reference field="4" count="1" selected="0">
            <x v="0"/>
          </reference>
          <reference field="5" count="1" selected="0">
            <x v="128"/>
          </reference>
          <reference field="6" count="1" selected="0">
            <x v="9"/>
          </reference>
          <reference field="9" count="1" selected="0">
            <x v="10"/>
          </reference>
          <reference field="11" count="1" selected="0">
            <x v="14"/>
          </reference>
          <reference field="12" count="1" selected="0">
            <x v="13"/>
          </reference>
          <reference field="13" count="1" selected="0">
            <x v="3"/>
          </reference>
          <reference field="14" count="1">
            <x v="17"/>
          </reference>
        </references>
      </pivotArea>
    </format>
    <format dxfId="9756">
      <pivotArea dataOnly="0" labelOnly="1" outline="0" fieldPosition="0">
        <references count="10">
          <reference field="1" count="0" selected="0"/>
          <reference field="3" count="1" selected="0">
            <x v="6"/>
          </reference>
          <reference field="4" count="1" selected="0">
            <x v="0"/>
          </reference>
          <reference field="5" count="1" selected="0">
            <x v="156"/>
          </reference>
          <reference field="6" count="1" selected="0">
            <x v="9"/>
          </reference>
          <reference field="9" count="1" selected="0">
            <x v="10"/>
          </reference>
          <reference field="11" count="1" selected="0">
            <x v="36"/>
          </reference>
          <reference field="12" count="1" selected="0">
            <x v="8"/>
          </reference>
          <reference field="13" count="1" selected="0">
            <x v="3"/>
          </reference>
          <reference field="14" count="1">
            <x v="35"/>
          </reference>
        </references>
      </pivotArea>
    </format>
    <format dxfId="9755">
      <pivotArea dataOnly="0" labelOnly="1" outline="0" fieldPosition="0">
        <references count="10">
          <reference field="1" count="0" selected="0"/>
          <reference field="3" count="1" selected="0">
            <x v="6"/>
          </reference>
          <reference field="4" count="1" selected="0">
            <x v="0"/>
          </reference>
          <reference field="5" count="1" selected="0">
            <x v="168"/>
          </reference>
          <reference field="6" count="1" selected="0">
            <x v="9"/>
          </reference>
          <reference field="9" count="1" selected="0">
            <x v="10"/>
          </reference>
          <reference field="11" count="1" selected="0">
            <x v="14"/>
          </reference>
          <reference field="12" count="1" selected="0">
            <x v="3"/>
          </reference>
          <reference field="13" count="1" selected="0">
            <x v="3"/>
          </reference>
          <reference field="14" count="1">
            <x v="17"/>
          </reference>
        </references>
      </pivotArea>
    </format>
    <format dxfId="9754">
      <pivotArea dataOnly="0" labelOnly="1" outline="0" fieldPosition="0">
        <references count="10">
          <reference field="1" count="0" selected="0"/>
          <reference field="3" count="1" selected="0">
            <x v="6"/>
          </reference>
          <reference field="4" count="1" selected="0">
            <x v="0"/>
          </reference>
          <reference field="5" count="1" selected="0">
            <x v="172"/>
          </reference>
          <reference field="6" count="1" selected="0">
            <x v="9"/>
          </reference>
          <reference field="9" count="1" selected="0">
            <x v="10"/>
          </reference>
          <reference field="11" count="1" selected="0">
            <x v="10"/>
          </reference>
          <reference field="12" count="1" selected="0">
            <x v="28"/>
          </reference>
          <reference field="13" count="1" selected="0">
            <x v="3"/>
          </reference>
          <reference field="14" count="1">
            <x v="53"/>
          </reference>
        </references>
      </pivotArea>
    </format>
    <format dxfId="9753">
      <pivotArea dataOnly="0" labelOnly="1" outline="0" fieldPosition="0">
        <references count="10">
          <reference field="1" count="0" selected="0"/>
          <reference field="3" count="1" selected="0">
            <x v="6"/>
          </reference>
          <reference field="4" count="1" selected="0">
            <x v="0"/>
          </reference>
          <reference field="5" count="1" selected="0">
            <x v="184"/>
          </reference>
          <reference field="6" count="1" selected="0">
            <x v="9"/>
          </reference>
          <reference field="9" count="1" selected="0">
            <x v="10"/>
          </reference>
          <reference field="11" count="1" selected="0">
            <x v="36"/>
          </reference>
          <reference field="12" count="1" selected="0">
            <x v="8"/>
          </reference>
          <reference field="13" count="1" selected="0">
            <x v="3"/>
          </reference>
          <reference field="14" count="1">
            <x v="35"/>
          </reference>
        </references>
      </pivotArea>
    </format>
    <format dxfId="9752">
      <pivotArea dataOnly="0" labelOnly="1" outline="0" fieldPosition="0">
        <references count="10">
          <reference field="1" count="0" selected="0"/>
          <reference field="3" count="1" selected="0">
            <x v="6"/>
          </reference>
          <reference field="4" count="1" selected="0">
            <x v="0"/>
          </reference>
          <reference field="5" count="1" selected="0">
            <x v="187"/>
          </reference>
          <reference field="6" count="1" selected="0">
            <x v="9"/>
          </reference>
          <reference field="9" count="1" selected="0">
            <x v="10"/>
          </reference>
          <reference field="11" count="1" selected="0">
            <x v="14"/>
          </reference>
          <reference field="12" count="1" selected="0">
            <x v="3"/>
          </reference>
          <reference field="13" count="1" selected="0">
            <x v="3"/>
          </reference>
          <reference field="14" count="1">
            <x v="17"/>
          </reference>
        </references>
      </pivotArea>
    </format>
    <format dxfId="9751">
      <pivotArea dataOnly="0" labelOnly="1" outline="0" fieldPosition="0">
        <references count="10">
          <reference field="1" count="0" selected="0"/>
          <reference field="3" count="1" selected="0">
            <x v="6"/>
          </reference>
          <reference field="4" count="1" selected="0">
            <x v="0"/>
          </reference>
          <reference field="5" count="1" selected="0">
            <x v="209"/>
          </reference>
          <reference field="6" count="1" selected="0">
            <x v="9"/>
          </reference>
          <reference field="9" count="1" selected="0">
            <x v="10"/>
          </reference>
          <reference field="11" count="1" selected="0">
            <x v="41"/>
          </reference>
          <reference field="12" count="1" selected="0">
            <x v="8"/>
          </reference>
          <reference field="13" count="1" selected="0">
            <x v="3"/>
          </reference>
          <reference field="14" count="1">
            <x v="24"/>
          </reference>
        </references>
      </pivotArea>
    </format>
    <format dxfId="9750">
      <pivotArea dataOnly="0" labelOnly="1" outline="0" fieldPosition="0">
        <references count="10">
          <reference field="1" count="0" selected="0"/>
          <reference field="3" count="1" selected="0">
            <x v="8"/>
          </reference>
          <reference field="4" count="1" selected="0">
            <x v="3"/>
          </reference>
          <reference field="5" count="1" selected="0">
            <x v="133"/>
          </reference>
          <reference field="6" count="1" selected="0">
            <x v="3"/>
          </reference>
          <reference field="9" count="1" selected="0">
            <x v="10"/>
          </reference>
          <reference field="11" count="1" selected="0">
            <x v="14"/>
          </reference>
          <reference field="12" count="1" selected="0">
            <x v="12"/>
          </reference>
          <reference field="13" count="1" selected="0">
            <x v="3"/>
          </reference>
          <reference field="14" count="1">
            <x v="17"/>
          </reference>
        </references>
      </pivotArea>
    </format>
    <format dxfId="9749">
      <pivotArea dataOnly="0" labelOnly="1" outline="0" fieldPosition="0">
        <references count="10">
          <reference field="1" count="0" selected="0"/>
          <reference field="3" count="1" selected="0">
            <x v="8"/>
          </reference>
          <reference field="4" count="1" selected="0">
            <x v="3"/>
          </reference>
          <reference field="5" count="1" selected="0">
            <x v="139"/>
          </reference>
          <reference field="6" count="1" selected="0">
            <x v="3"/>
          </reference>
          <reference field="9" count="1" selected="0">
            <x v="10"/>
          </reference>
          <reference field="11" count="1" selected="0">
            <x v="9"/>
          </reference>
          <reference field="12" count="1" selected="0">
            <x v="22"/>
          </reference>
          <reference field="13" count="1" selected="0">
            <x v="3"/>
          </reference>
          <reference field="14" count="1">
            <x v="17"/>
          </reference>
        </references>
      </pivotArea>
    </format>
    <format dxfId="9748">
      <pivotArea dataOnly="0" labelOnly="1" outline="0" fieldPosition="0">
        <references count="10">
          <reference field="1" count="0" selected="0"/>
          <reference field="3" count="1" selected="0">
            <x v="8"/>
          </reference>
          <reference field="4" count="1" selected="0">
            <x v="3"/>
          </reference>
          <reference field="5" count="1" selected="0">
            <x v="162"/>
          </reference>
          <reference field="6" count="1" selected="0">
            <x v="3"/>
          </reference>
          <reference field="9" count="1" selected="0">
            <x v="10"/>
          </reference>
          <reference field="11" count="1" selected="0">
            <x v="53"/>
          </reference>
          <reference field="12" count="1" selected="0">
            <x v="8"/>
          </reference>
          <reference field="13" count="1" selected="0">
            <x v="3"/>
          </reference>
          <reference field="14" count="1">
            <x v="17"/>
          </reference>
        </references>
      </pivotArea>
    </format>
    <format dxfId="9747">
      <pivotArea dataOnly="0" labelOnly="1" outline="0" fieldPosition="0">
        <references count="10">
          <reference field="1" count="0" selected="0"/>
          <reference field="3" count="1" selected="0">
            <x v="9"/>
          </reference>
          <reference field="4" count="1" selected="0">
            <x v="4"/>
          </reference>
          <reference field="5" count="1" selected="0">
            <x v="141"/>
          </reference>
          <reference field="6" count="1" selected="0">
            <x v="5"/>
          </reference>
          <reference field="9" count="1" selected="0">
            <x v="10"/>
          </reference>
          <reference field="11" count="1" selected="0">
            <x v="40"/>
          </reference>
          <reference field="12" count="1" selected="0">
            <x v="8"/>
          </reference>
          <reference field="13" count="1" selected="0">
            <x v="3"/>
          </reference>
          <reference field="14" count="1">
            <x v="44"/>
          </reference>
        </references>
      </pivotArea>
    </format>
    <format dxfId="9746">
      <pivotArea dataOnly="0" labelOnly="1" outline="0" fieldPosition="0">
        <references count="7">
          <reference field="1" count="0" selected="0"/>
          <reference field="3" count="1" selected="0">
            <x v="3"/>
          </reference>
          <reference field="4" count="1" selected="0">
            <x v="1"/>
          </reference>
          <reference field="5" count="1" selected="0">
            <x v="194"/>
          </reference>
          <reference field="6" count="1" selected="0">
            <x v="2"/>
          </reference>
          <reference field="9" count="1" selected="0">
            <x v="10"/>
          </reference>
          <reference field="11" count="1">
            <x v="14"/>
          </reference>
        </references>
      </pivotArea>
    </format>
    <format dxfId="9745">
      <pivotArea dataOnly="0" labelOnly="1" outline="0" fieldPosition="0">
        <references count="7">
          <reference field="1" count="0" selected="0"/>
          <reference field="3" count="1" selected="0">
            <x v="3"/>
          </reference>
          <reference field="4" count="1" selected="0">
            <x v="1"/>
          </reference>
          <reference field="5" count="1" selected="0">
            <x v="207"/>
          </reference>
          <reference field="6" count="1" selected="0">
            <x v="2"/>
          </reference>
          <reference field="9" count="1" selected="0">
            <x v="10"/>
          </reference>
          <reference field="11" count="1">
            <x v="14"/>
          </reference>
        </references>
      </pivotArea>
    </format>
    <format dxfId="9744">
      <pivotArea dataOnly="0" labelOnly="1" outline="0" fieldPosition="0">
        <references count="7">
          <reference field="1" count="0" selected="0"/>
          <reference field="3" count="1" selected="0">
            <x v="4"/>
          </reference>
          <reference field="4" count="1" selected="0">
            <x v="1"/>
          </reference>
          <reference field="5" count="1" selected="0">
            <x v="102"/>
          </reference>
          <reference field="6" count="1" selected="0">
            <x v="2"/>
          </reference>
          <reference field="9" count="1" selected="0">
            <x v="2"/>
          </reference>
          <reference field="11" count="1">
            <x v="40"/>
          </reference>
        </references>
      </pivotArea>
    </format>
    <format dxfId="9743">
      <pivotArea dataOnly="0" labelOnly="1" outline="0" fieldPosition="0">
        <references count="7">
          <reference field="1" count="0" selected="0"/>
          <reference field="3" count="1" selected="0">
            <x v="4"/>
          </reference>
          <reference field="4" count="1" selected="0">
            <x v="1"/>
          </reference>
          <reference field="5" count="1" selected="0">
            <x v="105"/>
          </reference>
          <reference field="6" count="1" selected="0">
            <x v="2"/>
          </reference>
          <reference field="9" count="1" selected="0">
            <x v="2"/>
          </reference>
          <reference field="11" count="1">
            <x v="14"/>
          </reference>
        </references>
      </pivotArea>
    </format>
    <format dxfId="9742">
      <pivotArea dataOnly="0" labelOnly="1" outline="0" fieldPosition="0">
        <references count="7">
          <reference field="1" count="0" selected="0"/>
          <reference field="3" count="1" selected="0">
            <x v="4"/>
          </reference>
          <reference field="4" count="1" selected="0">
            <x v="1"/>
          </reference>
          <reference field="5" count="1" selected="0">
            <x v="143"/>
          </reference>
          <reference field="6" count="1" selected="0">
            <x v="2"/>
          </reference>
          <reference field="9" count="1" selected="0">
            <x v="10"/>
          </reference>
          <reference field="11" count="1">
            <x v="18"/>
          </reference>
        </references>
      </pivotArea>
    </format>
    <format dxfId="9741">
      <pivotArea dataOnly="0" labelOnly="1" outline="0" fieldPosition="0">
        <references count="7">
          <reference field="1" count="0" selected="0"/>
          <reference field="3" count="1" selected="0">
            <x v="4"/>
          </reference>
          <reference field="4" count="1" selected="0">
            <x v="1"/>
          </reference>
          <reference field="5" count="1" selected="0">
            <x v="155"/>
          </reference>
          <reference field="6" count="1" selected="0">
            <x v="2"/>
          </reference>
          <reference field="9" count="1" selected="0">
            <x v="10"/>
          </reference>
          <reference field="11" count="1">
            <x v="46"/>
          </reference>
        </references>
      </pivotArea>
    </format>
    <format dxfId="9740">
      <pivotArea dataOnly="0" labelOnly="1" outline="0" fieldPosition="0">
        <references count="7">
          <reference field="1" count="0" selected="0"/>
          <reference field="3" count="1" selected="0">
            <x v="4"/>
          </reference>
          <reference field="4" count="1" selected="0">
            <x v="1"/>
          </reference>
          <reference field="5" count="1" selected="0">
            <x v="214"/>
          </reference>
          <reference field="6" count="1" selected="0">
            <x v="2"/>
          </reference>
          <reference field="9" count="1" selected="0">
            <x v="10"/>
          </reference>
          <reference field="11" count="1">
            <x v="14"/>
          </reference>
        </references>
      </pivotArea>
    </format>
    <format dxfId="9739">
      <pivotArea dataOnly="0" labelOnly="1" outline="0" fieldPosition="0">
        <references count="7">
          <reference field="1" count="0" selected="0"/>
          <reference field="3" count="1" selected="0">
            <x v="4"/>
          </reference>
          <reference field="4" count="1" selected="0">
            <x v="1"/>
          </reference>
          <reference field="5" count="1" selected="0">
            <x v="222"/>
          </reference>
          <reference field="6" count="1" selected="0">
            <x v="9"/>
          </reference>
          <reference field="9" count="1" selected="0">
            <x v="8"/>
          </reference>
          <reference field="11" count="1">
            <x v="13"/>
          </reference>
        </references>
      </pivotArea>
    </format>
    <format dxfId="9738">
      <pivotArea dataOnly="0" labelOnly="1" outline="0" fieldPosition="0">
        <references count="7">
          <reference field="1" count="0" selected="0"/>
          <reference field="3" count="1" selected="0">
            <x v="4"/>
          </reference>
          <reference field="4" count="1" selected="0">
            <x v="1"/>
          </reference>
          <reference field="5" count="1" selected="0">
            <x v="329"/>
          </reference>
          <reference field="6" count="1" selected="0">
            <x v="2"/>
          </reference>
          <reference field="9" count="1" selected="0">
            <x v="4"/>
          </reference>
          <reference field="11" count="1">
            <x v="11"/>
          </reference>
        </references>
      </pivotArea>
    </format>
    <format dxfId="9737">
      <pivotArea dataOnly="0" labelOnly="1" outline="0" fieldPosition="0">
        <references count="7">
          <reference field="1" count="0" selected="0"/>
          <reference field="3" count="1" selected="0">
            <x v="6"/>
          </reference>
          <reference field="4" count="1" selected="0">
            <x v="0"/>
          </reference>
          <reference field="5" count="1" selected="0">
            <x v="107"/>
          </reference>
          <reference field="6" count="1" selected="0">
            <x v="9"/>
          </reference>
          <reference field="9" count="1" selected="0">
            <x v="10"/>
          </reference>
          <reference field="11" count="1">
            <x v="14"/>
          </reference>
        </references>
      </pivotArea>
    </format>
    <format dxfId="9736">
      <pivotArea dataOnly="0" labelOnly="1" outline="0" fieldPosition="0">
        <references count="7">
          <reference field="1" count="0" selected="0"/>
          <reference field="3" count="1" selected="0">
            <x v="6"/>
          </reference>
          <reference field="4" count="1" selected="0">
            <x v="0"/>
          </reference>
          <reference field="5" count="1" selected="0">
            <x v="123"/>
          </reference>
          <reference field="6" count="1" selected="0">
            <x v="9"/>
          </reference>
          <reference field="9" count="1" selected="0">
            <x v="10"/>
          </reference>
          <reference field="11" count="1">
            <x v="9"/>
          </reference>
        </references>
      </pivotArea>
    </format>
    <format dxfId="9735">
      <pivotArea dataOnly="0" labelOnly="1" outline="0" fieldPosition="0">
        <references count="7">
          <reference field="1" count="0" selected="0"/>
          <reference field="3" count="1" selected="0">
            <x v="6"/>
          </reference>
          <reference field="4" count="1" selected="0">
            <x v="0"/>
          </reference>
          <reference field="5" count="1" selected="0">
            <x v="128"/>
          </reference>
          <reference field="6" count="1" selected="0">
            <x v="9"/>
          </reference>
          <reference field="9" count="1" selected="0">
            <x v="10"/>
          </reference>
          <reference field="11" count="1">
            <x v="14"/>
          </reference>
        </references>
      </pivotArea>
    </format>
    <format dxfId="9734">
      <pivotArea dataOnly="0" labelOnly="1" outline="0" fieldPosition="0">
        <references count="7">
          <reference field="1" count="0" selected="0"/>
          <reference field="3" count="1" selected="0">
            <x v="6"/>
          </reference>
          <reference field="4" count="1" selected="0">
            <x v="0"/>
          </reference>
          <reference field="5" count="1" selected="0">
            <x v="156"/>
          </reference>
          <reference field="6" count="1" selected="0">
            <x v="9"/>
          </reference>
          <reference field="9" count="1" selected="0">
            <x v="10"/>
          </reference>
          <reference field="11" count="1">
            <x v="36"/>
          </reference>
        </references>
      </pivotArea>
    </format>
    <format dxfId="9733">
      <pivotArea dataOnly="0" labelOnly="1" outline="0" fieldPosition="0">
        <references count="7">
          <reference field="1" count="0" selected="0"/>
          <reference field="3" count="1" selected="0">
            <x v="6"/>
          </reference>
          <reference field="4" count="1" selected="0">
            <x v="0"/>
          </reference>
          <reference field="5" count="1" selected="0">
            <x v="168"/>
          </reference>
          <reference field="6" count="1" selected="0">
            <x v="9"/>
          </reference>
          <reference field="9" count="1" selected="0">
            <x v="10"/>
          </reference>
          <reference field="11" count="1">
            <x v="14"/>
          </reference>
        </references>
      </pivotArea>
    </format>
    <format dxfId="9732">
      <pivotArea dataOnly="0" labelOnly="1" outline="0" fieldPosition="0">
        <references count="7">
          <reference field="1" count="0" selected="0"/>
          <reference field="3" count="1" selected="0">
            <x v="6"/>
          </reference>
          <reference field="4" count="1" selected="0">
            <x v="0"/>
          </reference>
          <reference field="5" count="1" selected="0">
            <x v="172"/>
          </reference>
          <reference field="6" count="1" selected="0">
            <x v="9"/>
          </reference>
          <reference field="9" count="1" selected="0">
            <x v="10"/>
          </reference>
          <reference field="11" count="1">
            <x v="10"/>
          </reference>
        </references>
      </pivotArea>
    </format>
    <format dxfId="9731">
      <pivotArea dataOnly="0" labelOnly="1" outline="0" fieldPosition="0">
        <references count="7">
          <reference field="1" count="0" selected="0"/>
          <reference field="3" count="1" selected="0">
            <x v="6"/>
          </reference>
          <reference field="4" count="1" selected="0">
            <x v="0"/>
          </reference>
          <reference field="5" count="1" selected="0">
            <x v="184"/>
          </reference>
          <reference field="6" count="1" selected="0">
            <x v="9"/>
          </reference>
          <reference field="9" count="1" selected="0">
            <x v="10"/>
          </reference>
          <reference field="11" count="1">
            <x v="36"/>
          </reference>
        </references>
      </pivotArea>
    </format>
    <format dxfId="9730">
      <pivotArea dataOnly="0" labelOnly="1" outline="0" fieldPosition="0">
        <references count="7">
          <reference field="1" count="0" selected="0"/>
          <reference field="3" count="1" selected="0">
            <x v="6"/>
          </reference>
          <reference field="4" count="1" selected="0">
            <x v="0"/>
          </reference>
          <reference field="5" count="1" selected="0">
            <x v="187"/>
          </reference>
          <reference field="6" count="1" selected="0">
            <x v="9"/>
          </reference>
          <reference field="9" count="1" selected="0">
            <x v="10"/>
          </reference>
          <reference field="11" count="1">
            <x v="14"/>
          </reference>
        </references>
      </pivotArea>
    </format>
    <format dxfId="9729">
      <pivotArea dataOnly="0" labelOnly="1" outline="0" fieldPosition="0">
        <references count="7">
          <reference field="1" count="0" selected="0"/>
          <reference field="3" count="1" selected="0">
            <x v="6"/>
          </reference>
          <reference field="4" count="1" selected="0">
            <x v="0"/>
          </reference>
          <reference field="5" count="1" selected="0">
            <x v="209"/>
          </reference>
          <reference field="6" count="1" selected="0">
            <x v="9"/>
          </reference>
          <reference field="9" count="1" selected="0">
            <x v="10"/>
          </reference>
          <reference field="11" count="1">
            <x v="41"/>
          </reference>
        </references>
      </pivotArea>
    </format>
    <format dxfId="9728">
      <pivotArea dataOnly="0" labelOnly="1" outline="0" fieldPosition="0">
        <references count="7">
          <reference field="1" count="0" selected="0"/>
          <reference field="3" count="1" selected="0">
            <x v="8"/>
          </reference>
          <reference field="4" count="1" selected="0">
            <x v="3"/>
          </reference>
          <reference field="5" count="1" selected="0">
            <x v="133"/>
          </reference>
          <reference field="6" count="1" selected="0">
            <x v="3"/>
          </reference>
          <reference field="9" count="1" selected="0">
            <x v="10"/>
          </reference>
          <reference field="11" count="1">
            <x v="14"/>
          </reference>
        </references>
      </pivotArea>
    </format>
    <format dxfId="9727">
      <pivotArea dataOnly="0" labelOnly="1" outline="0" fieldPosition="0">
        <references count="7">
          <reference field="1" count="0" selected="0"/>
          <reference field="3" count="1" selected="0">
            <x v="8"/>
          </reference>
          <reference field="4" count="1" selected="0">
            <x v="3"/>
          </reference>
          <reference field="5" count="1" selected="0">
            <x v="139"/>
          </reference>
          <reference field="6" count="1" selected="0">
            <x v="3"/>
          </reference>
          <reference field="9" count="1" selected="0">
            <x v="10"/>
          </reference>
          <reference field="11" count="1">
            <x v="9"/>
          </reference>
        </references>
      </pivotArea>
    </format>
    <format dxfId="9726">
      <pivotArea dataOnly="0" labelOnly="1" outline="0" fieldPosition="0">
        <references count="7">
          <reference field="1" count="0" selected="0"/>
          <reference field="3" count="1" selected="0">
            <x v="8"/>
          </reference>
          <reference field="4" count="1" selected="0">
            <x v="3"/>
          </reference>
          <reference field="5" count="1" selected="0">
            <x v="162"/>
          </reference>
          <reference field="6" count="1" selected="0">
            <x v="3"/>
          </reference>
          <reference field="9" count="1" selected="0">
            <x v="10"/>
          </reference>
          <reference field="11" count="1">
            <x v="53"/>
          </reference>
        </references>
      </pivotArea>
    </format>
    <format dxfId="9725">
      <pivotArea dataOnly="0" labelOnly="1" outline="0" fieldPosition="0">
        <references count="7">
          <reference field="1" count="0" selected="0"/>
          <reference field="3" count="1" selected="0">
            <x v="9"/>
          </reference>
          <reference field="4" count="1" selected="0">
            <x v="4"/>
          </reference>
          <reference field="5" count="1" selected="0">
            <x v="141"/>
          </reference>
          <reference field="6" count="1" selected="0">
            <x v="5"/>
          </reference>
          <reference field="9" count="1" selected="0">
            <x v="10"/>
          </reference>
          <reference field="11" count="1">
            <x v="40"/>
          </reference>
        </references>
      </pivotArea>
    </format>
    <format dxfId="9724">
      <pivotArea dataOnly="0" labelOnly="1" outline="0" fieldPosition="0">
        <references count="8">
          <reference field="1" count="0" selected="0"/>
          <reference field="3" count="1" selected="0">
            <x v="3"/>
          </reference>
          <reference field="4" count="1" selected="0">
            <x v="1"/>
          </reference>
          <reference field="5" count="1" selected="0">
            <x v="194"/>
          </reference>
          <reference field="6" count="1" selected="0">
            <x v="2"/>
          </reference>
          <reference field="9" count="1" selected="0">
            <x v="10"/>
          </reference>
          <reference field="11" count="1" selected="0">
            <x v="14"/>
          </reference>
          <reference field="12" count="1">
            <x v="11"/>
          </reference>
        </references>
      </pivotArea>
    </format>
    <format dxfId="9723">
      <pivotArea dataOnly="0" labelOnly="1" outline="0" fieldPosition="0">
        <references count="8">
          <reference field="1" count="0" selected="0"/>
          <reference field="3" count="1" selected="0">
            <x v="3"/>
          </reference>
          <reference field="4" count="1" selected="0">
            <x v="1"/>
          </reference>
          <reference field="5" count="1" selected="0">
            <x v="207"/>
          </reference>
          <reference field="6" count="1" selected="0">
            <x v="2"/>
          </reference>
          <reference field="9" count="1" selected="0">
            <x v="10"/>
          </reference>
          <reference field="11" count="1" selected="0">
            <x v="14"/>
          </reference>
          <reference field="12" count="1">
            <x v="10"/>
          </reference>
        </references>
      </pivotArea>
    </format>
    <format dxfId="9722">
      <pivotArea dataOnly="0" labelOnly="1" outline="0" fieldPosition="0">
        <references count="8">
          <reference field="1" count="0" selected="0"/>
          <reference field="3" count="1" selected="0">
            <x v="4"/>
          </reference>
          <reference field="4" count="1" selected="0">
            <x v="1"/>
          </reference>
          <reference field="5" count="1" selected="0">
            <x v="105"/>
          </reference>
          <reference field="6" count="1" selected="0">
            <x v="2"/>
          </reference>
          <reference field="9" count="1" selected="0">
            <x v="2"/>
          </reference>
          <reference field="11" count="1" selected="0">
            <x v="14"/>
          </reference>
          <reference field="12" count="1">
            <x v="15"/>
          </reference>
        </references>
      </pivotArea>
    </format>
    <format dxfId="9721">
      <pivotArea dataOnly="0" labelOnly="1" outline="0" fieldPosition="0">
        <references count="8">
          <reference field="1" count="0" selected="0"/>
          <reference field="3" count="1" selected="0">
            <x v="4"/>
          </reference>
          <reference field="4" count="1" selected="0">
            <x v="1"/>
          </reference>
          <reference field="5" count="1" selected="0">
            <x v="143"/>
          </reference>
          <reference field="6" count="1" selected="0">
            <x v="2"/>
          </reference>
          <reference field="9" count="1" selected="0">
            <x v="10"/>
          </reference>
          <reference field="11" count="1" selected="0">
            <x v="18"/>
          </reference>
          <reference field="12" count="1">
            <x v="8"/>
          </reference>
        </references>
      </pivotArea>
    </format>
    <format dxfId="9720">
      <pivotArea dataOnly="0" labelOnly="1" outline="0" fieldPosition="0">
        <references count="8">
          <reference field="1" count="0" selected="0"/>
          <reference field="3" count="1" selected="0">
            <x v="4"/>
          </reference>
          <reference field="4" count="1" selected="0">
            <x v="1"/>
          </reference>
          <reference field="5" count="1" selected="0">
            <x v="222"/>
          </reference>
          <reference field="6" count="1" selected="0">
            <x v="9"/>
          </reference>
          <reference field="9" count="1" selected="0">
            <x v="8"/>
          </reference>
          <reference field="11" count="1" selected="0">
            <x v="13"/>
          </reference>
          <reference field="12" count="1">
            <x v="14"/>
          </reference>
        </references>
      </pivotArea>
    </format>
    <format dxfId="9719">
      <pivotArea dataOnly="0" labelOnly="1" outline="0" fieldPosition="0">
        <references count="8">
          <reference field="1" count="0" selected="0"/>
          <reference field="3" count="1" selected="0">
            <x v="6"/>
          </reference>
          <reference field="4" count="1" selected="0">
            <x v="0"/>
          </reference>
          <reference field="5" count="1" selected="0">
            <x v="107"/>
          </reference>
          <reference field="6" count="1" selected="0">
            <x v="9"/>
          </reference>
          <reference field="9" count="1" selected="0">
            <x v="10"/>
          </reference>
          <reference field="11" count="1" selected="0">
            <x v="14"/>
          </reference>
          <reference field="12" count="1">
            <x v="1"/>
          </reference>
        </references>
      </pivotArea>
    </format>
    <format dxfId="9718">
      <pivotArea dataOnly="0" labelOnly="1" outline="0" fieldPosition="0">
        <references count="8">
          <reference field="1" count="0" selected="0"/>
          <reference field="3" count="1" selected="0">
            <x v="6"/>
          </reference>
          <reference field="4" count="1" selected="0">
            <x v="0"/>
          </reference>
          <reference field="5" count="1" selected="0">
            <x v="128"/>
          </reference>
          <reference field="6" count="1" selected="0">
            <x v="9"/>
          </reference>
          <reference field="9" count="1" selected="0">
            <x v="10"/>
          </reference>
          <reference field="11" count="1" selected="0">
            <x v="14"/>
          </reference>
          <reference field="12" count="1">
            <x v="13"/>
          </reference>
        </references>
      </pivotArea>
    </format>
    <format dxfId="9717">
      <pivotArea dataOnly="0" labelOnly="1" outline="0" fieldPosition="0">
        <references count="8">
          <reference field="1" count="0" selected="0"/>
          <reference field="3" count="1" selected="0">
            <x v="6"/>
          </reference>
          <reference field="4" count="1" selected="0">
            <x v="0"/>
          </reference>
          <reference field="5" count="1" selected="0">
            <x v="156"/>
          </reference>
          <reference field="6" count="1" selected="0">
            <x v="9"/>
          </reference>
          <reference field="9" count="1" selected="0">
            <x v="10"/>
          </reference>
          <reference field="11" count="1" selected="0">
            <x v="36"/>
          </reference>
          <reference field="12" count="1">
            <x v="8"/>
          </reference>
        </references>
      </pivotArea>
    </format>
    <format dxfId="9716">
      <pivotArea dataOnly="0" labelOnly="1" outline="0" fieldPosition="0">
        <references count="8">
          <reference field="1" count="0" selected="0"/>
          <reference field="3" count="1" selected="0">
            <x v="6"/>
          </reference>
          <reference field="4" count="1" selected="0">
            <x v="0"/>
          </reference>
          <reference field="5" count="1" selected="0">
            <x v="168"/>
          </reference>
          <reference field="6" count="1" selected="0">
            <x v="9"/>
          </reference>
          <reference field="9" count="1" selected="0">
            <x v="10"/>
          </reference>
          <reference field="11" count="1" selected="0">
            <x v="14"/>
          </reference>
          <reference field="12" count="1">
            <x v="3"/>
          </reference>
        </references>
      </pivotArea>
    </format>
    <format dxfId="9715">
      <pivotArea dataOnly="0" labelOnly="1" outline="0" fieldPosition="0">
        <references count="8">
          <reference field="1" count="0" selected="0"/>
          <reference field="3" count="1" selected="0">
            <x v="6"/>
          </reference>
          <reference field="4" count="1" selected="0">
            <x v="0"/>
          </reference>
          <reference field="5" count="1" selected="0">
            <x v="172"/>
          </reference>
          <reference field="6" count="1" selected="0">
            <x v="9"/>
          </reference>
          <reference field="9" count="1" selected="0">
            <x v="10"/>
          </reference>
          <reference field="11" count="1" selected="0">
            <x v="10"/>
          </reference>
          <reference field="12" count="1">
            <x v="28"/>
          </reference>
        </references>
      </pivotArea>
    </format>
    <format dxfId="9714">
      <pivotArea dataOnly="0" labelOnly="1" outline="0" fieldPosition="0">
        <references count="8">
          <reference field="1" count="0" selected="0"/>
          <reference field="3" count="1" selected="0">
            <x v="6"/>
          </reference>
          <reference field="4" count="1" selected="0">
            <x v="0"/>
          </reference>
          <reference field="5" count="1" selected="0">
            <x v="187"/>
          </reference>
          <reference field="6" count="1" selected="0">
            <x v="9"/>
          </reference>
          <reference field="9" count="1" selected="0">
            <x v="10"/>
          </reference>
          <reference field="11" count="1" selected="0">
            <x v="14"/>
          </reference>
          <reference field="12" count="1">
            <x v="3"/>
          </reference>
        </references>
      </pivotArea>
    </format>
    <format dxfId="9713">
      <pivotArea dataOnly="0" labelOnly="1" outline="0" fieldPosition="0">
        <references count="8">
          <reference field="1" count="0" selected="0"/>
          <reference field="3" count="1" selected="0">
            <x v="6"/>
          </reference>
          <reference field="4" count="1" selected="0">
            <x v="0"/>
          </reference>
          <reference field="5" count="1" selected="0">
            <x v="209"/>
          </reference>
          <reference field="6" count="1" selected="0">
            <x v="9"/>
          </reference>
          <reference field="9" count="1" selected="0">
            <x v="10"/>
          </reference>
          <reference field="11" count="1" selected="0">
            <x v="41"/>
          </reference>
          <reference field="12" count="1">
            <x v="8"/>
          </reference>
        </references>
      </pivotArea>
    </format>
    <format dxfId="9712">
      <pivotArea dataOnly="0" labelOnly="1" outline="0" fieldPosition="0">
        <references count="8">
          <reference field="1" count="0" selected="0"/>
          <reference field="3" count="1" selected="0">
            <x v="8"/>
          </reference>
          <reference field="4" count="1" selected="0">
            <x v="3"/>
          </reference>
          <reference field="5" count="1" selected="0">
            <x v="133"/>
          </reference>
          <reference field="6" count="1" selected="0">
            <x v="3"/>
          </reference>
          <reference field="9" count="1" selected="0">
            <x v="10"/>
          </reference>
          <reference field="11" count="1" selected="0">
            <x v="14"/>
          </reference>
          <reference field="12" count="1">
            <x v="12"/>
          </reference>
        </references>
      </pivotArea>
    </format>
    <format dxfId="9711">
      <pivotArea dataOnly="0" labelOnly="1" outline="0" fieldPosition="0">
        <references count="8">
          <reference field="1" count="0" selected="0"/>
          <reference field="3" count="1" selected="0">
            <x v="8"/>
          </reference>
          <reference field="4" count="1" selected="0">
            <x v="3"/>
          </reference>
          <reference field="5" count="1" selected="0">
            <x v="139"/>
          </reference>
          <reference field="6" count="1" selected="0">
            <x v="3"/>
          </reference>
          <reference field="9" count="1" selected="0">
            <x v="10"/>
          </reference>
          <reference field="11" count="1" selected="0">
            <x v="9"/>
          </reference>
          <reference field="12" count="1">
            <x v="22"/>
          </reference>
        </references>
      </pivotArea>
    </format>
    <format dxfId="9710">
      <pivotArea dataOnly="0" labelOnly="1" outline="0" fieldPosition="0">
        <references count="8">
          <reference field="1" count="0" selected="0"/>
          <reference field="3" count="1" selected="0">
            <x v="8"/>
          </reference>
          <reference field="4" count="1" selected="0">
            <x v="3"/>
          </reference>
          <reference field="5" count="1" selected="0">
            <x v="162"/>
          </reference>
          <reference field="6" count="1" selected="0">
            <x v="3"/>
          </reference>
          <reference field="9" count="1" selected="0">
            <x v="10"/>
          </reference>
          <reference field="11" count="1" selected="0">
            <x v="53"/>
          </reference>
          <reference field="12" count="1">
            <x v="8"/>
          </reference>
        </references>
      </pivotArea>
    </format>
    <format dxfId="9709">
      <pivotArea dataOnly="0" labelOnly="1" outline="0" fieldPosition="0">
        <references count="9">
          <reference field="1" count="0" selected="0"/>
          <reference field="3" count="1" selected="0">
            <x v="4"/>
          </reference>
          <reference field="4" count="1" selected="0">
            <x v="1"/>
          </reference>
          <reference field="5" count="1" selected="0">
            <x v="102"/>
          </reference>
          <reference field="6" count="1" selected="0">
            <x v="2"/>
          </reference>
          <reference field="9" count="1" selected="0">
            <x v="2"/>
          </reference>
          <reference field="11" count="1" selected="0">
            <x v="40"/>
          </reference>
          <reference field="12" count="1" selected="0">
            <x v="8"/>
          </reference>
          <reference field="13" count="1">
            <x v="3"/>
          </reference>
        </references>
      </pivotArea>
    </format>
    <format dxfId="9708">
      <pivotArea dataOnly="0" labelOnly="1" outline="0" fieldPosition="0">
        <references count="9">
          <reference field="1" count="0" selected="0"/>
          <reference field="3" count="1" selected="0">
            <x v="8"/>
          </reference>
          <reference field="4" count="1" selected="0">
            <x v="3"/>
          </reference>
          <reference field="5" count="1" selected="0">
            <x v="133"/>
          </reference>
          <reference field="6" count="1" selected="0">
            <x v="3"/>
          </reference>
          <reference field="9" count="1" selected="0">
            <x v="10"/>
          </reference>
          <reference field="11" count="1" selected="0">
            <x v="14"/>
          </reference>
          <reference field="12" count="1" selected="0">
            <x v="12"/>
          </reference>
          <reference field="13" count="1">
            <x v="3"/>
          </reference>
        </references>
      </pivotArea>
    </format>
    <format dxfId="9707">
      <pivotArea dataOnly="0" labelOnly="1" outline="0" fieldPosition="0">
        <references count="10">
          <reference field="1" count="0" selected="0"/>
          <reference field="3" count="1" selected="0">
            <x v="3"/>
          </reference>
          <reference field="4" count="1" selected="0">
            <x v="1"/>
          </reference>
          <reference field="5" count="1" selected="0">
            <x v="194"/>
          </reference>
          <reference field="6" count="1" selected="0">
            <x v="2"/>
          </reference>
          <reference field="9" count="1" selected="0">
            <x v="10"/>
          </reference>
          <reference field="11" count="1" selected="0">
            <x v="14"/>
          </reference>
          <reference field="12" count="1" selected="0">
            <x v="11"/>
          </reference>
          <reference field="13" count="1" selected="0">
            <x v="3"/>
          </reference>
          <reference field="14" count="1">
            <x v="30"/>
          </reference>
        </references>
      </pivotArea>
    </format>
    <format dxfId="9706">
      <pivotArea dataOnly="0" labelOnly="1" outline="0" fieldPosition="0">
        <references count="10">
          <reference field="1" count="0" selected="0"/>
          <reference field="3" count="1" selected="0">
            <x v="3"/>
          </reference>
          <reference field="4" count="1" selected="0">
            <x v="1"/>
          </reference>
          <reference field="5" count="1" selected="0">
            <x v="207"/>
          </reference>
          <reference field="6" count="1" selected="0">
            <x v="2"/>
          </reference>
          <reference field="9" count="1" selected="0">
            <x v="10"/>
          </reference>
          <reference field="11" count="1" selected="0">
            <x v="14"/>
          </reference>
          <reference field="12" count="1" selected="0">
            <x v="10"/>
          </reference>
          <reference field="13" count="1" selected="0">
            <x v="3"/>
          </reference>
          <reference field="14" count="1">
            <x v="12"/>
          </reference>
        </references>
      </pivotArea>
    </format>
    <format dxfId="9705">
      <pivotArea dataOnly="0" labelOnly="1" outline="0" fieldPosition="0">
        <references count="10">
          <reference field="1" count="0" selected="0"/>
          <reference field="3" count="1" selected="0">
            <x v="4"/>
          </reference>
          <reference field="4" count="1" selected="0">
            <x v="1"/>
          </reference>
          <reference field="5" count="1" selected="0">
            <x v="102"/>
          </reference>
          <reference field="6" count="1" selected="0">
            <x v="2"/>
          </reference>
          <reference field="9" count="1" selected="0">
            <x v="2"/>
          </reference>
          <reference field="11" count="1" selected="0">
            <x v="40"/>
          </reference>
          <reference field="12" count="1" selected="0">
            <x v="8"/>
          </reference>
          <reference field="13" count="1" selected="0">
            <x v="3"/>
          </reference>
          <reference field="14" count="1">
            <x v="44"/>
          </reference>
        </references>
      </pivotArea>
    </format>
    <format dxfId="9704">
      <pivotArea dataOnly="0" labelOnly="1" outline="0" fieldPosition="0">
        <references count="10">
          <reference field="1" count="0" selected="0"/>
          <reference field="3" count="1" selected="0">
            <x v="4"/>
          </reference>
          <reference field="4" count="1" selected="0">
            <x v="1"/>
          </reference>
          <reference field="5" count="1" selected="0">
            <x v="105"/>
          </reference>
          <reference field="6" count="1" selected="0">
            <x v="2"/>
          </reference>
          <reference field="9" count="1" selected="0">
            <x v="2"/>
          </reference>
          <reference field="11" count="1" selected="0">
            <x v="14"/>
          </reference>
          <reference field="12" count="1" selected="0">
            <x v="15"/>
          </reference>
          <reference field="13" count="1" selected="0">
            <x v="3"/>
          </reference>
          <reference field="14" count="1">
            <x v="15"/>
          </reference>
        </references>
      </pivotArea>
    </format>
    <format dxfId="9703">
      <pivotArea dataOnly="0" labelOnly="1" outline="0" fieldPosition="0">
        <references count="10">
          <reference field="1" count="0" selected="0"/>
          <reference field="3" count="1" selected="0">
            <x v="4"/>
          </reference>
          <reference field="4" count="1" selected="0">
            <x v="1"/>
          </reference>
          <reference field="5" count="1" selected="0">
            <x v="143"/>
          </reference>
          <reference field="6" count="1" selected="0">
            <x v="2"/>
          </reference>
          <reference field="9" count="1" selected="0">
            <x v="10"/>
          </reference>
          <reference field="11" count="1" selected="0">
            <x v="18"/>
          </reference>
          <reference field="12" count="1" selected="0">
            <x v="8"/>
          </reference>
          <reference field="13" count="1" selected="0">
            <x v="3"/>
          </reference>
          <reference field="14" count="1">
            <x v="42"/>
          </reference>
        </references>
      </pivotArea>
    </format>
    <format dxfId="9702">
      <pivotArea dataOnly="0" labelOnly="1" outline="0" fieldPosition="0">
        <references count="10">
          <reference field="1" count="0" selected="0"/>
          <reference field="3" count="1" selected="0">
            <x v="4"/>
          </reference>
          <reference field="4" count="1" selected="0">
            <x v="1"/>
          </reference>
          <reference field="5" count="1" selected="0">
            <x v="155"/>
          </reference>
          <reference field="6" count="1" selected="0">
            <x v="2"/>
          </reference>
          <reference field="9" count="1" selected="0">
            <x v="10"/>
          </reference>
          <reference field="11" count="1" selected="0">
            <x v="46"/>
          </reference>
          <reference field="12" count="1" selected="0">
            <x v="8"/>
          </reference>
          <reference field="13" count="1" selected="0">
            <x v="3"/>
          </reference>
          <reference field="14" count="1">
            <x v="20"/>
          </reference>
        </references>
      </pivotArea>
    </format>
    <format dxfId="9701">
      <pivotArea dataOnly="0" labelOnly="1" outline="0" fieldPosition="0">
        <references count="10">
          <reference field="1" count="0" selected="0"/>
          <reference field="3" count="1" selected="0">
            <x v="4"/>
          </reference>
          <reference field="4" count="1" selected="0">
            <x v="1"/>
          </reference>
          <reference field="5" count="1" selected="0">
            <x v="214"/>
          </reference>
          <reference field="6" count="1" selected="0">
            <x v="2"/>
          </reference>
          <reference field="9" count="1" selected="0">
            <x v="10"/>
          </reference>
          <reference field="11" count="1" selected="0">
            <x v="14"/>
          </reference>
          <reference field="12" count="1" selected="0">
            <x v="8"/>
          </reference>
          <reference field="13" count="1" selected="0">
            <x v="3"/>
          </reference>
          <reference field="14" count="1">
            <x v="17"/>
          </reference>
        </references>
      </pivotArea>
    </format>
    <format dxfId="9700">
      <pivotArea dataOnly="0" labelOnly="1" outline="0" fieldPosition="0">
        <references count="10">
          <reference field="1" count="0" selected="0"/>
          <reference field="3" count="1" selected="0">
            <x v="4"/>
          </reference>
          <reference field="4" count="1" selected="0">
            <x v="1"/>
          </reference>
          <reference field="5" count="1" selected="0">
            <x v="222"/>
          </reference>
          <reference field="6" count="1" selected="0">
            <x v="9"/>
          </reference>
          <reference field="9" count="1" selected="0">
            <x v="8"/>
          </reference>
          <reference field="11" count="1" selected="0">
            <x v="13"/>
          </reference>
          <reference field="12" count="1" selected="0">
            <x v="14"/>
          </reference>
          <reference field="13" count="1" selected="0">
            <x v="3"/>
          </reference>
          <reference field="14" count="1">
            <x v="17"/>
          </reference>
        </references>
      </pivotArea>
    </format>
    <format dxfId="9699">
      <pivotArea dataOnly="0" labelOnly="1" outline="0" fieldPosition="0">
        <references count="10">
          <reference field="1" count="0" selected="0"/>
          <reference field="3" count="1" selected="0">
            <x v="6"/>
          </reference>
          <reference field="4" count="1" selected="0">
            <x v="0"/>
          </reference>
          <reference field="5" count="1" selected="0">
            <x v="107"/>
          </reference>
          <reference field="6" count="1" selected="0">
            <x v="9"/>
          </reference>
          <reference field="9" count="1" selected="0">
            <x v="10"/>
          </reference>
          <reference field="11" count="1" selected="0">
            <x v="14"/>
          </reference>
          <reference field="12" count="1" selected="0">
            <x v="1"/>
          </reference>
          <reference field="13" count="1" selected="0">
            <x v="3"/>
          </reference>
          <reference field="14" count="1">
            <x v="17"/>
          </reference>
        </references>
      </pivotArea>
    </format>
    <format dxfId="9698">
      <pivotArea dataOnly="0" labelOnly="1" outline="0" fieldPosition="0">
        <references count="10">
          <reference field="1" count="0" selected="0"/>
          <reference field="3" count="1" selected="0">
            <x v="6"/>
          </reference>
          <reference field="4" count="1" selected="0">
            <x v="0"/>
          </reference>
          <reference field="5" count="1" selected="0">
            <x v="128"/>
          </reference>
          <reference field="6" count="1" selected="0">
            <x v="9"/>
          </reference>
          <reference field="9" count="1" selected="0">
            <x v="10"/>
          </reference>
          <reference field="11" count="1" selected="0">
            <x v="14"/>
          </reference>
          <reference field="12" count="1" selected="0">
            <x v="13"/>
          </reference>
          <reference field="13" count="1" selected="0">
            <x v="3"/>
          </reference>
          <reference field="14" count="1">
            <x v="17"/>
          </reference>
        </references>
      </pivotArea>
    </format>
    <format dxfId="9697">
      <pivotArea dataOnly="0" labelOnly="1" outline="0" fieldPosition="0">
        <references count="10">
          <reference field="1" count="0" selected="0"/>
          <reference field="3" count="1" selected="0">
            <x v="6"/>
          </reference>
          <reference field="4" count="1" selected="0">
            <x v="0"/>
          </reference>
          <reference field="5" count="1" selected="0">
            <x v="156"/>
          </reference>
          <reference field="6" count="1" selected="0">
            <x v="9"/>
          </reference>
          <reference field="9" count="1" selected="0">
            <x v="10"/>
          </reference>
          <reference field="11" count="1" selected="0">
            <x v="36"/>
          </reference>
          <reference field="12" count="1" selected="0">
            <x v="8"/>
          </reference>
          <reference field="13" count="1" selected="0">
            <x v="3"/>
          </reference>
          <reference field="14" count="1">
            <x v="35"/>
          </reference>
        </references>
      </pivotArea>
    </format>
    <format dxfId="9696">
      <pivotArea dataOnly="0" labelOnly="1" outline="0" fieldPosition="0">
        <references count="10">
          <reference field="1" count="0" selected="0"/>
          <reference field="3" count="1" selected="0">
            <x v="6"/>
          </reference>
          <reference field="4" count="1" selected="0">
            <x v="0"/>
          </reference>
          <reference field="5" count="1" selected="0">
            <x v="168"/>
          </reference>
          <reference field="6" count="1" selected="0">
            <x v="9"/>
          </reference>
          <reference field="9" count="1" selected="0">
            <x v="10"/>
          </reference>
          <reference field="11" count="1" selected="0">
            <x v="14"/>
          </reference>
          <reference field="12" count="1" selected="0">
            <x v="3"/>
          </reference>
          <reference field="13" count="1" selected="0">
            <x v="3"/>
          </reference>
          <reference field="14" count="1">
            <x v="17"/>
          </reference>
        </references>
      </pivotArea>
    </format>
    <format dxfId="9695">
      <pivotArea dataOnly="0" labelOnly="1" outline="0" fieldPosition="0">
        <references count="10">
          <reference field="1" count="0" selected="0"/>
          <reference field="3" count="1" selected="0">
            <x v="6"/>
          </reference>
          <reference field="4" count="1" selected="0">
            <x v="0"/>
          </reference>
          <reference field="5" count="1" selected="0">
            <x v="172"/>
          </reference>
          <reference field="6" count="1" selected="0">
            <x v="9"/>
          </reference>
          <reference field="9" count="1" selected="0">
            <x v="10"/>
          </reference>
          <reference field="11" count="1" selected="0">
            <x v="10"/>
          </reference>
          <reference field="12" count="1" selected="0">
            <x v="28"/>
          </reference>
          <reference field="13" count="1" selected="0">
            <x v="3"/>
          </reference>
          <reference field="14" count="1">
            <x v="53"/>
          </reference>
        </references>
      </pivotArea>
    </format>
    <format dxfId="9694">
      <pivotArea dataOnly="0" labelOnly="1" outline="0" fieldPosition="0">
        <references count="10">
          <reference field="1" count="0" selected="0"/>
          <reference field="3" count="1" selected="0">
            <x v="6"/>
          </reference>
          <reference field="4" count="1" selected="0">
            <x v="0"/>
          </reference>
          <reference field="5" count="1" selected="0">
            <x v="184"/>
          </reference>
          <reference field="6" count="1" selected="0">
            <x v="9"/>
          </reference>
          <reference field="9" count="1" selected="0">
            <x v="10"/>
          </reference>
          <reference field="11" count="1" selected="0">
            <x v="36"/>
          </reference>
          <reference field="12" count="1" selected="0">
            <x v="8"/>
          </reference>
          <reference field="13" count="1" selected="0">
            <x v="3"/>
          </reference>
          <reference field="14" count="1">
            <x v="35"/>
          </reference>
        </references>
      </pivotArea>
    </format>
    <format dxfId="9693">
      <pivotArea dataOnly="0" labelOnly="1" outline="0" fieldPosition="0">
        <references count="10">
          <reference field="1" count="0" selected="0"/>
          <reference field="3" count="1" selected="0">
            <x v="6"/>
          </reference>
          <reference field="4" count="1" selected="0">
            <x v="0"/>
          </reference>
          <reference field="5" count="1" selected="0">
            <x v="187"/>
          </reference>
          <reference field="6" count="1" selected="0">
            <x v="9"/>
          </reference>
          <reference field="9" count="1" selected="0">
            <x v="10"/>
          </reference>
          <reference field="11" count="1" selected="0">
            <x v="14"/>
          </reference>
          <reference field="12" count="1" selected="0">
            <x v="3"/>
          </reference>
          <reference field="13" count="1" selected="0">
            <x v="3"/>
          </reference>
          <reference field="14" count="1">
            <x v="17"/>
          </reference>
        </references>
      </pivotArea>
    </format>
    <format dxfId="9692">
      <pivotArea dataOnly="0" labelOnly="1" outline="0" fieldPosition="0">
        <references count="10">
          <reference field="1" count="0" selected="0"/>
          <reference field="3" count="1" selected="0">
            <x v="6"/>
          </reference>
          <reference field="4" count="1" selected="0">
            <x v="0"/>
          </reference>
          <reference field="5" count="1" selected="0">
            <x v="209"/>
          </reference>
          <reference field="6" count="1" selected="0">
            <x v="9"/>
          </reference>
          <reference field="9" count="1" selected="0">
            <x v="10"/>
          </reference>
          <reference field="11" count="1" selected="0">
            <x v="41"/>
          </reference>
          <reference field="12" count="1" selected="0">
            <x v="8"/>
          </reference>
          <reference field="13" count="1" selected="0">
            <x v="3"/>
          </reference>
          <reference field="14" count="1">
            <x v="24"/>
          </reference>
        </references>
      </pivotArea>
    </format>
    <format dxfId="9691">
      <pivotArea dataOnly="0" labelOnly="1" outline="0" fieldPosition="0">
        <references count="10">
          <reference field="1" count="0" selected="0"/>
          <reference field="3" count="1" selected="0">
            <x v="8"/>
          </reference>
          <reference field="4" count="1" selected="0">
            <x v="3"/>
          </reference>
          <reference field="5" count="1" selected="0">
            <x v="133"/>
          </reference>
          <reference field="6" count="1" selected="0">
            <x v="3"/>
          </reference>
          <reference field="9" count="1" selected="0">
            <x v="10"/>
          </reference>
          <reference field="11" count="1" selected="0">
            <x v="14"/>
          </reference>
          <reference field="12" count="1" selected="0">
            <x v="12"/>
          </reference>
          <reference field="13" count="1" selected="0">
            <x v="3"/>
          </reference>
          <reference field="14" count="1">
            <x v="17"/>
          </reference>
        </references>
      </pivotArea>
    </format>
    <format dxfId="9690">
      <pivotArea dataOnly="0" labelOnly="1" outline="0" fieldPosition="0">
        <references count="10">
          <reference field="1" count="0" selected="0"/>
          <reference field="3" count="1" selected="0">
            <x v="8"/>
          </reference>
          <reference field="4" count="1" selected="0">
            <x v="3"/>
          </reference>
          <reference field="5" count="1" selected="0">
            <x v="139"/>
          </reference>
          <reference field="6" count="1" selected="0">
            <x v="3"/>
          </reference>
          <reference field="9" count="1" selected="0">
            <x v="10"/>
          </reference>
          <reference field="11" count="1" selected="0">
            <x v="9"/>
          </reference>
          <reference field="12" count="1" selected="0">
            <x v="22"/>
          </reference>
          <reference field="13" count="1" selected="0">
            <x v="3"/>
          </reference>
          <reference field="14" count="1">
            <x v="17"/>
          </reference>
        </references>
      </pivotArea>
    </format>
    <format dxfId="9689">
      <pivotArea dataOnly="0" labelOnly="1" outline="0" fieldPosition="0">
        <references count="10">
          <reference field="1" count="0" selected="0"/>
          <reference field="3" count="1" selected="0">
            <x v="8"/>
          </reference>
          <reference field="4" count="1" selected="0">
            <x v="3"/>
          </reference>
          <reference field="5" count="1" selected="0">
            <x v="162"/>
          </reference>
          <reference field="6" count="1" selected="0">
            <x v="3"/>
          </reference>
          <reference field="9" count="1" selected="0">
            <x v="10"/>
          </reference>
          <reference field="11" count="1" selected="0">
            <x v="53"/>
          </reference>
          <reference field="12" count="1" selected="0">
            <x v="8"/>
          </reference>
          <reference field="13" count="1" selected="0">
            <x v="3"/>
          </reference>
          <reference field="14" count="1">
            <x v="17"/>
          </reference>
        </references>
      </pivotArea>
    </format>
    <format dxfId="9688">
      <pivotArea dataOnly="0" labelOnly="1" outline="0" fieldPosition="0">
        <references count="10">
          <reference field="1" count="0" selected="0"/>
          <reference field="3" count="1" selected="0">
            <x v="9"/>
          </reference>
          <reference field="4" count="1" selected="0">
            <x v="4"/>
          </reference>
          <reference field="5" count="1" selected="0">
            <x v="141"/>
          </reference>
          <reference field="6" count="1" selected="0">
            <x v="5"/>
          </reference>
          <reference field="9" count="1" selected="0">
            <x v="10"/>
          </reference>
          <reference field="11" count="1" selected="0">
            <x v="40"/>
          </reference>
          <reference field="12" count="1" selected="0">
            <x v="8"/>
          </reference>
          <reference field="13" count="1" selected="0">
            <x v="3"/>
          </reference>
          <reference field="14" count="1">
            <x v="44"/>
          </reference>
        </references>
      </pivotArea>
    </format>
    <format dxfId="9687">
      <pivotArea dataOnly="0" labelOnly="1" outline="0" fieldPosition="0">
        <references count="7">
          <reference field="1" count="0" selected="0"/>
          <reference field="3" count="1" selected="0">
            <x v="0"/>
          </reference>
          <reference field="4" count="1" selected="0">
            <x v="1"/>
          </reference>
          <reference field="5" count="1" selected="0">
            <x v="348"/>
          </reference>
          <reference field="6" count="1" selected="0">
            <x v="7"/>
          </reference>
          <reference field="9" count="1" selected="0">
            <x v="10"/>
          </reference>
          <reference field="11" count="1">
            <x v="14"/>
          </reference>
        </references>
      </pivotArea>
    </format>
    <format dxfId="9686">
      <pivotArea dataOnly="0" labelOnly="1" outline="0" fieldPosition="0">
        <references count="7">
          <reference field="1" count="0" selected="0"/>
          <reference field="3" count="1" selected="0">
            <x v="3"/>
          </reference>
          <reference field="4" count="1" selected="0">
            <x v="1"/>
          </reference>
          <reference field="5" count="1" selected="0">
            <x v="192"/>
          </reference>
          <reference field="6" count="1" selected="0">
            <x v="2"/>
          </reference>
          <reference field="9" count="1" selected="0">
            <x v="10"/>
          </reference>
          <reference field="11" count="1">
            <x v="16"/>
          </reference>
        </references>
      </pivotArea>
    </format>
    <format dxfId="9685">
      <pivotArea dataOnly="0" labelOnly="1" outline="0" fieldPosition="0">
        <references count="7">
          <reference field="1" count="0" selected="0"/>
          <reference field="3" count="1" selected="0">
            <x v="3"/>
          </reference>
          <reference field="4" count="1" selected="0">
            <x v="1"/>
          </reference>
          <reference field="5" count="1" selected="0">
            <x v="193"/>
          </reference>
          <reference field="6" count="1" selected="0">
            <x v="2"/>
          </reference>
          <reference field="9" count="1" selected="0">
            <x v="10"/>
          </reference>
          <reference field="11" count="1">
            <x v="49"/>
          </reference>
        </references>
      </pivotArea>
    </format>
    <format dxfId="9684">
      <pivotArea dataOnly="0" labelOnly="1" outline="0" fieldPosition="0">
        <references count="7">
          <reference field="1" count="0" selected="0"/>
          <reference field="3" count="1" selected="0">
            <x v="3"/>
          </reference>
          <reference field="4" count="1" selected="0">
            <x v="1"/>
          </reference>
          <reference field="5" count="1" selected="0">
            <x v="201"/>
          </reference>
          <reference field="6" count="1" selected="0">
            <x v="2"/>
          </reference>
          <reference field="9" count="1" selected="0">
            <x v="10"/>
          </reference>
          <reference field="11" count="1">
            <x v="1"/>
          </reference>
        </references>
      </pivotArea>
    </format>
    <format dxfId="9683">
      <pivotArea dataOnly="0" labelOnly="1" outline="0" fieldPosition="0">
        <references count="7">
          <reference field="1" count="0" selected="0"/>
          <reference field="3" count="1" selected="0">
            <x v="3"/>
          </reference>
          <reference field="4" count="1" selected="0">
            <x v="1"/>
          </reference>
          <reference field="5" count="1" selected="0">
            <x v="208"/>
          </reference>
          <reference field="6" count="1" selected="0">
            <x v="2"/>
          </reference>
          <reference field="9" count="1" selected="0">
            <x v="10"/>
          </reference>
          <reference field="11" count="1">
            <x v="29"/>
          </reference>
        </references>
      </pivotArea>
    </format>
    <format dxfId="9682">
      <pivotArea dataOnly="0" labelOnly="1" outline="0" fieldPosition="0">
        <references count="7">
          <reference field="1" count="0" selected="0"/>
          <reference field="3" count="1" selected="0">
            <x v="4"/>
          </reference>
          <reference field="4" count="1" selected="0">
            <x v="1"/>
          </reference>
          <reference field="5" count="1" selected="0">
            <x v="96"/>
          </reference>
          <reference field="6" count="1" selected="0">
            <x v="2"/>
          </reference>
          <reference field="9" count="1" selected="0">
            <x v="10"/>
          </reference>
          <reference field="11" count="1">
            <x v="3"/>
          </reference>
        </references>
      </pivotArea>
    </format>
    <format dxfId="9681">
      <pivotArea dataOnly="0" labelOnly="1" outline="0" fieldPosition="0">
        <references count="7">
          <reference field="1" count="0" selected="0"/>
          <reference field="3" count="1" selected="0">
            <x v="4"/>
          </reference>
          <reference field="4" count="1" selected="0">
            <x v="1"/>
          </reference>
          <reference field="5" count="1" selected="0">
            <x v="104"/>
          </reference>
          <reference field="6" count="1" selected="0">
            <x v="2"/>
          </reference>
          <reference field="9" count="1" selected="0">
            <x v="2"/>
          </reference>
          <reference field="11" count="1">
            <x v="14"/>
          </reference>
        </references>
      </pivotArea>
    </format>
    <format dxfId="9680">
      <pivotArea dataOnly="0" labelOnly="1" outline="0" fieldPosition="0">
        <references count="7">
          <reference field="1" count="0" selected="0"/>
          <reference field="3" count="1" selected="0">
            <x v="4"/>
          </reference>
          <reference field="4" count="1" selected="0">
            <x v="1"/>
          </reference>
          <reference field="5" count="1" selected="0">
            <x v="169"/>
          </reference>
          <reference field="6" count="1" selected="0">
            <x v="2"/>
          </reference>
          <reference field="9" count="1" selected="0">
            <x v="10"/>
          </reference>
          <reference field="11" count="1">
            <x v="17"/>
          </reference>
        </references>
      </pivotArea>
    </format>
    <format dxfId="9679">
      <pivotArea dataOnly="0" labelOnly="1" outline="0" fieldPosition="0">
        <references count="7">
          <reference field="1" count="0" selected="0"/>
          <reference field="3" count="1" selected="0">
            <x v="4"/>
          </reference>
          <reference field="4" count="1" selected="0">
            <x v="1"/>
          </reference>
          <reference field="5" count="1" selected="0">
            <x v="210"/>
          </reference>
          <reference field="6" count="1" selected="0">
            <x v="2"/>
          </reference>
          <reference field="9" count="1" selected="0">
            <x v="10"/>
          </reference>
          <reference field="11" count="1">
            <x v="16"/>
          </reference>
        </references>
      </pivotArea>
    </format>
    <format dxfId="9678">
      <pivotArea dataOnly="0" labelOnly="1" outline="0" fieldPosition="0">
        <references count="7">
          <reference field="1" count="0" selected="0"/>
          <reference field="3" count="1" selected="0">
            <x v="4"/>
          </reference>
          <reference field="4" count="1" selected="0">
            <x v="1"/>
          </reference>
          <reference field="5" count="1" selected="0">
            <x v="327"/>
          </reference>
          <reference field="6" count="1" selected="0">
            <x v="2"/>
          </reference>
          <reference field="9" count="1" selected="0">
            <x v="10"/>
          </reference>
          <reference field="11" count="1">
            <x v="14"/>
          </reference>
        </references>
      </pivotArea>
    </format>
    <format dxfId="9677">
      <pivotArea dataOnly="0" labelOnly="1" outline="0" fieldPosition="0">
        <references count="7">
          <reference field="1" count="0" selected="0"/>
          <reference field="3" count="1" selected="0">
            <x v="5"/>
          </reference>
          <reference field="4" count="1" selected="0">
            <x v="3"/>
          </reference>
          <reference field="5" count="1" selected="0">
            <x v="132"/>
          </reference>
          <reference field="6" count="1" selected="0">
            <x v="3"/>
          </reference>
          <reference field="9" count="1" selected="0">
            <x v="10"/>
          </reference>
          <reference field="11" count="1">
            <x v="14"/>
          </reference>
        </references>
      </pivotArea>
    </format>
    <format dxfId="9676">
      <pivotArea dataOnly="0" labelOnly="1" outline="0" fieldPosition="0">
        <references count="7">
          <reference field="1" count="0" selected="0"/>
          <reference field="3" count="1" selected="0">
            <x v="6"/>
          </reference>
          <reference field="4" count="1" selected="0">
            <x v="0"/>
          </reference>
          <reference field="5" count="1" selected="0">
            <x v="95"/>
          </reference>
          <reference field="6" count="1" selected="0">
            <x v="9"/>
          </reference>
          <reference field="9" count="1" selected="0">
            <x v="10"/>
          </reference>
          <reference field="11" count="1">
            <x v="1"/>
          </reference>
        </references>
      </pivotArea>
    </format>
    <format dxfId="9675">
      <pivotArea dataOnly="0" labelOnly="1" outline="0" fieldPosition="0">
        <references count="7">
          <reference field="1" count="0" selected="0"/>
          <reference field="3" count="1" selected="0">
            <x v="6"/>
          </reference>
          <reference field="4" count="1" selected="0">
            <x v="0"/>
          </reference>
          <reference field="5" count="1" selected="0">
            <x v="129"/>
          </reference>
          <reference field="6" count="1" selected="0">
            <x v="9"/>
          </reference>
          <reference field="9" count="1" selected="0">
            <x v="10"/>
          </reference>
          <reference field="11" count="1">
            <x v="14"/>
          </reference>
        </references>
      </pivotArea>
    </format>
    <format dxfId="9674">
      <pivotArea dataOnly="0" labelOnly="1" outline="0" fieldPosition="0">
        <references count="7">
          <reference field="1" count="0" selected="0"/>
          <reference field="3" count="1" selected="0">
            <x v="6"/>
          </reference>
          <reference field="4" count="1" selected="0">
            <x v="0"/>
          </reference>
          <reference field="5" count="1" selected="0">
            <x v="171"/>
          </reference>
          <reference field="6" count="1" selected="0">
            <x v="9"/>
          </reference>
          <reference field="9" count="1" selected="0">
            <x v="10"/>
          </reference>
          <reference field="11" count="1">
            <x v="33"/>
          </reference>
        </references>
      </pivotArea>
    </format>
    <format dxfId="9673">
      <pivotArea dataOnly="0" labelOnly="1" outline="0" fieldPosition="0">
        <references count="7">
          <reference field="1" count="0" selected="0"/>
          <reference field="3" count="1" selected="0">
            <x v="6"/>
          </reference>
          <reference field="4" count="1" selected="0">
            <x v="0"/>
          </reference>
          <reference field="5" count="1" selected="0">
            <x v="180"/>
          </reference>
          <reference field="6" count="1" selected="0">
            <x v="9"/>
          </reference>
          <reference field="9" count="1" selected="0">
            <x v="10"/>
          </reference>
          <reference field="11" count="1">
            <x v="3"/>
          </reference>
        </references>
      </pivotArea>
    </format>
    <format dxfId="9672">
      <pivotArea dataOnly="0" labelOnly="1" outline="0" fieldPosition="0">
        <references count="7">
          <reference field="1" count="0" selected="0"/>
          <reference field="3" count="1" selected="0">
            <x v="6"/>
          </reference>
          <reference field="4" count="1" selected="0">
            <x v="0"/>
          </reference>
          <reference field="5" count="1" selected="0">
            <x v="186"/>
          </reference>
          <reference field="6" count="1" selected="0">
            <x v="9"/>
          </reference>
          <reference field="9" count="1" selected="0">
            <x v="10"/>
          </reference>
          <reference field="11" count="1">
            <x v="46"/>
          </reference>
        </references>
      </pivotArea>
    </format>
    <format dxfId="9671">
      <pivotArea dataOnly="0" labelOnly="1" outline="0" fieldPosition="0">
        <references count="7">
          <reference field="1" count="0" selected="0"/>
          <reference field="3" count="1" selected="0">
            <x v="6"/>
          </reference>
          <reference field="4" count="1" selected="0">
            <x v="0"/>
          </reference>
          <reference field="5" count="1" selected="0">
            <x v="351"/>
          </reference>
          <reference field="6" count="1" selected="0">
            <x v="9"/>
          </reference>
          <reference field="9" count="1" selected="0">
            <x v="10"/>
          </reference>
          <reference field="11" count="1">
            <x v="14"/>
          </reference>
        </references>
      </pivotArea>
    </format>
    <format dxfId="9670">
      <pivotArea dataOnly="0" labelOnly="1" outline="0" fieldPosition="0">
        <references count="7">
          <reference field="1" count="0" selected="0"/>
          <reference field="3" count="1" selected="0">
            <x v="9"/>
          </reference>
          <reference field="4" count="1" selected="0">
            <x v="4"/>
          </reference>
          <reference field="5" count="1" selected="0">
            <x v="144"/>
          </reference>
          <reference field="6" count="1" selected="0">
            <x v="5"/>
          </reference>
          <reference field="9" count="1" selected="0">
            <x v="10"/>
          </reference>
          <reference field="11" count="1">
            <x v="14"/>
          </reference>
        </references>
      </pivotArea>
    </format>
    <format dxfId="9669">
      <pivotArea dataOnly="0" labelOnly="1" outline="0" fieldPosition="0">
        <references count="7">
          <reference field="1" count="0" selected="0"/>
          <reference field="3" count="1" selected="0">
            <x v="9"/>
          </reference>
          <reference field="4" count="1" selected="0">
            <x v="6"/>
          </reference>
          <reference field="5" count="1" selected="0">
            <x v="161"/>
          </reference>
          <reference field="6" count="1" selected="0">
            <x v="5"/>
          </reference>
          <reference field="9" count="1" selected="0">
            <x v="7"/>
          </reference>
          <reference field="11" count="1">
            <x v="1"/>
          </reference>
        </references>
      </pivotArea>
    </format>
    <format dxfId="9668">
      <pivotArea dataOnly="0" labelOnly="1" outline="0" fieldPosition="0">
        <references count="8">
          <reference field="1" count="0" selected="0"/>
          <reference field="3" count="1" selected="0">
            <x v="0"/>
          </reference>
          <reference field="4" count="1" selected="0">
            <x v="1"/>
          </reference>
          <reference field="5" count="1" selected="0">
            <x v="348"/>
          </reference>
          <reference field="6" count="1" selected="0">
            <x v="7"/>
          </reference>
          <reference field="9" count="1" selected="0">
            <x v="10"/>
          </reference>
          <reference field="11" count="1" selected="0">
            <x v="14"/>
          </reference>
          <reference field="12" count="1">
            <x v="24"/>
          </reference>
        </references>
      </pivotArea>
    </format>
    <format dxfId="9667">
      <pivotArea dataOnly="0" labelOnly="1" outline="0" fieldPosition="0">
        <references count="8">
          <reference field="1" count="0" selected="0"/>
          <reference field="3" count="1" selected="0">
            <x v="3"/>
          </reference>
          <reference field="4" count="1" selected="0">
            <x v="1"/>
          </reference>
          <reference field="5" count="1" selected="0">
            <x v="192"/>
          </reference>
          <reference field="6" count="1" selected="0">
            <x v="2"/>
          </reference>
          <reference field="9" count="1" selected="0">
            <x v="10"/>
          </reference>
          <reference field="11" count="1" selected="0">
            <x v="16"/>
          </reference>
          <reference field="12" count="1">
            <x v="8"/>
          </reference>
        </references>
      </pivotArea>
    </format>
    <format dxfId="9666">
      <pivotArea dataOnly="0" labelOnly="1" outline="0" fieldPosition="0">
        <references count="8">
          <reference field="1" count="0" selected="0"/>
          <reference field="3" count="1" selected="0">
            <x v="3"/>
          </reference>
          <reference field="4" count="1" selected="0">
            <x v="1"/>
          </reference>
          <reference field="5" count="1" selected="0">
            <x v="193"/>
          </reference>
          <reference field="6" count="1" selected="0">
            <x v="2"/>
          </reference>
          <reference field="9" count="1" selected="0">
            <x v="10"/>
          </reference>
          <reference field="11" count="1" selected="0">
            <x v="49"/>
          </reference>
          <reference field="12" count="1">
            <x v="29"/>
          </reference>
        </references>
      </pivotArea>
    </format>
    <format dxfId="9665">
      <pivotArea dataOnly="0" labelOnly="1" outline="0" fieldPosition="0">
        <references count="8">
          <reference field="1" count="0" selected="0"/>
          <reference field="3" count="1" selected="0">
            <x v="3"/>
          </reference>
          <reference field="4" count="1" selected="0">
            <x v="1"/>
          </reference>
          <reference field="5" count="1" selected="0">
            <x v="201"/>
          </reference>
          <reference field="6" count="1" selected="0">
            <x v="2"/>
          </reference>
          <reference field="9" count="1" selected="0">
            <x v="10"/>
          </reference>
          <reference field="11" count="1" selected="0">
            <x v="1"/>
          </reference>
          <reference field="12" count="1">
            <x v="8"/>
          </reference>
        </references>
      </pivotArea>
    </format>
    <format dxfId="9664">
      <pivotArea dataOnly="0" labelOnly="1" outline="0" fieldPosition="0">
        <references count="8">
          <reference field="1" count="0" selected="0"/>
          <reference field="3" count="1" selected="0">
            <x v="3"/>
          </reference>
          <reference field="4" count="1" selected="0">
            <x v="1"/>
          </reference>
          <reference field="5" count="1" selected="0">
            <x v="208"/>
          </reference>
          <reference field="6" count="1" selected="0">
            <x v="2"/>
          </reference>
          <reference field="9" count="1" selected="0">
            <x v="10"/>
          </reference>
          <reference field="11" count="1" selected="0">
            <x v="29"/>
          </reference>
          <reference field="12" count="1">
            <x v="6"/>
          </reference>
        </references>
      </pivotArea>
    </format>
    <format dxfId="9663">
      <pivotArea dataOnly="0" labelOnly="1" outline="0" fieldPosition="0">
        <references count="8">
          <reference field="1" count="0" selected="0"/>
          <reference field="3" count="1" selected="0">
            <x v="4"/>
          </reference>
          <reference field="4" count="1" selected="0">
            <x v="1"/>
          </reference>
          <reference field="5" count="1" selected="0">
            <x v="96"/>
          </reference>
          <reference field="6" count="1" selected="0">
            <x v="2"/>
          </reference>
          <reference field="9" count="1" selected="0">
            <x v="10"/>
          </reference>
          <reference field="11" count="1" selected="0">
            <x v="3"/>
          </reference>
          <reference field="12" count="1">
            <x v="1"/>
          </reference>
        </references>
      </pivotArea>
    </format>
    <format dxfId="9662">
      <pivotArea dataOnly="0" labelOnly="1" outline="0" fieldPosition="0">
        <references count="8">
          <reference field="1" count="0" selected="0"/>
          <reference field="3" count="1" selected="0">
            <x v="4"/>
          </reference>
          <reference field="4" count="1" selected="0">
            <x v="1"/>
          </reference>
          <reference field="5" count="1" selected="0">
            <x v="104"/>
          </reference>
          <reference field="6" count="1" selected="0">
            <x v="2"/>
          </reference>
          <reference field="9" count="1" selected="0">
            <x v="2"/>
          </reference>
          <reference field="11" count="1" selected="0">
            <x v="14"/>
          </reference>
          <reference field="12" count="1">
            <x v="3"/>
          </reference>
        </references>
      </pivotArea>
    </format>
    <format dxfId="9661">
      <pivotArea dataOnly="0" labelOnly="1" outline="0" fieldPosition="0">
        <references count="8">
          <reference field="1" count="0" selected="0"/>
          <reference field="3" count="1" selected="0">
            <x v="4"/>
          </reference>
          <reference field="4" count="1" selected="0">
            <x v="1"/>
          </reference>
          <reference field="5" count="1" selected="0">
            <x v="169"/>
          </reference>
          <reference field="6" count="1" selected="0">
            <x v="2"/>
          </reference>
          <reference field="9" count="1" selected="0">
            <x v="10"/>
          </reference>
          <reference field="11" count="1" selected="0">
            <x v="17"/>
          </reference>
          <reference field="12" count="1">
            <x v="8"/>
          </reference>
        </references>
      </pivotArea>
    </format>
    <format dxfId="9660">
      <pivotArea dataOnly="0" labelOnly="1" outline="0" fieldPosition="0">
        <references count="8">
          <reference field="1" count="0" selected="0"/>
          <reference field="3" count="1" selected="0">
            <x v="4"/>
          </reference>
          <reference field="4" count="1" selected="0">
            <x v="1"/>
          </reference>
          <reference field="5" count="1" selected="0">
            <x v="327"/>
          </reference>
          <reference field="6" count="1" selected="0">
            <x v="2"/>
          </reference>
          <reference field="9" count="1" selected="0">
            <x v="10"/>
          </reference>
          <reference field="11" count="1" selected="0">
            <x v="14"/>
          </reference>
          <reference field="12" count="1">
            <x v="16"/>
          </reference>
        </references>
      </pivotArea>
    </format>
    <format dxfId="9659">
      <pivotArea dataOnly="0" labelOnly="1" outline="0" fieldPosition="0">
        <references count="8">
          <reference field="1" count="0" selected="0"/>
          <reference field="3" count="1" selected="0">
            <x v="5"/>
          </reference>
          <reference field="4" count="1" selected="0">
            <x v="3"/>
          </reference>
          <reference field="5" count="1" selected="0">
            <x v="132"/>
          </reference>
          <reference field="6" count="1" selected="0">
            <x v="3"/>
          </reference>
          <reference field="9" count="1" selected="0">
            <x v="10"/>
          </reference>
          <reference field="11" count="1" selected="0">
            <x v="14"/>
          </reference>
          <reference field="12" count="1">
            <x v="20"/>
          </reference>
        </references>
      </pivotArea>
    </format>
    <format dxfId="9658">
      <pivotArea dataOnly="0" labelOnly="1" outline="0" fieldPosition="0">
        <references count="8">
          <reference field="1" count="0" selected="0"/>
          <reference field="3" count="1" selected="0">
            <x v="6"/>
          </reference>
          <reference field="4" count="1" selected="0">
            <x v="0"/>
          </reference>
          <reference field="5" count="1" selected="0">
            <x v="95"/>
          </reference>
          <reference field="6" count="1" selected="0">
            <x v="9"/>
          </reference>
          <reference field="9" count="1" selected="0">
            <x v="10"/>
          </reference>
          <reference field="11" count="1" selected="0">
            <x v="1"/>
          </reference>
          <reference field="12" count="1">
            <x v="8"/>
          </reference>
        </references>
      </pivotArea>
    </format>
    <format dxfId="9657">
      <pivotArea dataOnly="0" labelOnly="1" outline="0" fieldPosition="0">
        <references count="8">
          <reference field="1" count="0" selected="0"/>
          <reference field="3" count="1" selected="0">
            <x v="6"/>
          </reference>
          <reference field="4" count="1" selected="0">
            <x v="0"/>
          </reference>
          <reference field="5" count="1" selected="0">
            <x v="129"/>
          </reference>
          <reference field="6" count="1" selected="0">
            <x v="9"/>
          </reference>
          <reference field="9" count="1" selected="0">
            <x v="10"/>
          </reference>
          <reference field="11" count="1" selected="0">
            <x v="14"/>
          </reference>
          <reference field="12" count="1">
            <x v="3"/>
          </reference>
        </references>
      </pivotArea>
    </format>
    <format dxfId="9656">
      <pivotArea dataOnly="0" labelOnly="1" outline="0" fieldPosition="0">
        <references count="8">
          <reference field="1" count="0" selected="0"/>
          <reference field="3" count="1" selected="0">
            <x v="6"/>
          </reference>
          <reference field="4" count="1" selected="0">
            <x v="0"/>
          </reference>
          <reference field="5" count="1" selected="0">
            <x v="157"/>
          </reference>
          <reference field="6" count="1" selected="0">
            <x v="9"/>
          </reference>
          <reference field="9" count="1" selected="0">
            <x v="10"/>
          </reference>
          <reference field="11" count="1" selected="0">
            <x v="14"/>
          </reference>
          <reference field="12" count="1">
            <x v="27"/>
          </reference>
        </references>
      </pivotArea>
    </format>
    <format dxfId="9655">
      <pivotArea dataOnly="0" labelOnly="1" outline="0" fieldPosition="0">
        <references count="8">
          <reference field="1" count="0" selected="0"/>
          <reference field="3" count="1" selected="0">
            <x v="6"/>
          </reference>
          <reference field="4" count="1" selected="0">
            <x v="0"/>
          </reference>
          <reference field="5" count="1" selected="0">
            <x v="158"/>
          </reference>
          <reference field="6" count="1" selected="0">
            <x v="9"/>
          </reference>
          <reference field="9" count="1" selected="0">
            <x v="10"/>
          </reference>
          <reference field="11" count="1" selected="0">
            <x v="14"/>
          </reference>
          <reference field="12" count="1">
            <x v="10"/>
          </reference>
        </references>
      </pivotArea>
    </format>
    <format dxfId="9654">
      <pivotArea dataOnly="0" labelOnly="1" outline="0" fieldPosition="0">
        <references count="8">
          <reference field="1" count="0" selected="0"/>
          <reference field="3" count="1" selected="0">
            <x v="6"/>
          </reference>
          <reference field="4" count="1" selected="0">
            <x v="0"/>
          </reference>
          <reference field="5" count="1" selected="0">
            <x v="170"/>
          </reference>
          <reference field="6" count="1" selected="0">
            <x v="9"/>
          </reference>
          <reference field="9" count="1" selected="0">
            <x v="10"/>
          </reference>
          <reference field="11" count="1" selected="0">
            <x v="14"/>
          </reference>
          <reference field="12" count="1">
            <x v="33"/>
          </reference>
        </references>
      </pivotArea>
    </format>
    <format dxfId="9653">
      <pivotArea dataOnly="0" labelOnly="1" outline="0" fieldPosition="0">
        <references count="8">
          <reference field="1" count="0" selected="0"/>
          <reference field="3" count="1" selected="0">
            <x v="6"/>
          </reference>
          <reference field="4" count="1" selected="0">
            <x v="0"/>
          </reference>
          <reference field="5" count="1" selected="0">
            <x v="171"/>
          </reference>
          <reference field="6" count="1" selected="0">
            <x v="9"/>
          </reference>
          <reference field="9" count="1" selected="0">
            <x v="10"/>
          </reference>
          <reference field="11" count="1" selected="0">
            <x v="33"/>
          </reference>
          <reference field="12" count="1">
            <x v="8"/>
          </reference>
        </references>
      </pivotArea>
    </format>
    <format dxfId="9652">
      <pivotArea dataOnly="0" labelOnly="1" outline="0" fieldPosition="0">
        <references count="8">
          <reference field="1" count="0" selected="0"/>
          <reference field="3" count="1" selected="0">
            <x v="6"/>
          </reference>
          <reference field="4" count="1" selected="0">
            <x v="0"/>
          </reference>
          <reference field="5" count="1" selected="0">
            <x v="180"/>
          </reference>
          <reference field="6" count="1" selected="0">
            <x v="9"/>
          </reference>
          <reference field="9" count="1" selected="0">
            <x v="10"/>
          </reference>
          <reference field="11" count="1" selected="0">
            <x v="3"/>
          </reference>
          <reference field="12" count="1">
            <x v="1"/>
          </reference>
        </references>
      </pivotArea>
    </format>
    <format dxfId="9651">
      <pivotArea dataOnly="0" labelOnly="1" outline="0" fieldPosition="0">
        <references count="8">
          <reference field="1" count="0" selected="0"/>
          <reference field="3" count="1" selected="0">
            <x v="6"/>
          </reference>
          <reference field="4" count="1" selected="0">
            <x v="0"/>
          </reference>
          <reference field="5" count="1" selected="0">
            <x v="186"/>
          </reference>
          <reference field="6" count="1" selected="0">
            <x v="9"/>
          </reference>
          <reference field="9" count="1" selected="0">
            <x v="10"/>
          </reference>
          <reference field="11" count="1" selected="0">
            <x v="46"/>
          </reference>
          <reference field="12" count="1">
            <x v="8"/>
          </reference>
        </references>
      </pivotArea>
    </format>
    <format dxfId="9650">
      <pivotArea dataOnly="0" labelOnly="1" outline="0" fieldPosition="0">
        <references count="8">
          <reference field="1" count="0" selected="0"/>
          <reference field="3" count="1" selected="0">
            <x v="6"/>
          </reference>
          <reference field="4" count="1" selected="0">
            <x v="0"/>
          </reference>
          <reference field="5" count="1" selected="0">
            <x v="351"/>
          </reference>
          <reference field="6" count="1" selected="0">
            <x v="9"/>
          </reference>
          <reference field="9" count="1" selected="0">
            <x v="10"/>
          </reference>
          <reference field="11" count="1" selected="0">
            <x v="14"/>
          </reference>
          <reference field="12" count="1">
            <x v="3"/>
          </reference>
        </references>
      </pivotArea>
    </format>
    <format dxfId="9649">
      <pivotArea dataOnly="0" labelOnly="1" outline="0" fieldPosition="0">
        <references count="8">
          <reference field="1" count="0" selected="0"/>
          <reference field="3" count="1" selected="0">
            <x v="8"/>
          </reference>
          <reference field="4" count="1" selected="0">
            <x v="3"/>
          </reference>
          <reference field="5" count="1" selected="0">
            <x v="114"/>
          </reference>
          <reference field="6" count="1" selected="0">
            <x v="3"/>
          </reference>
          <reference field="9" count="1" selected="0">
            <x v="10"/>
          </reference>
          <reference field="11" count="1" selected="0">
            <x v="14"/>
          </reference>
          <reference field="12" count="1">
            <x v="23"/>
          </reference>
        </references>
      </pivotArea>
    </format>
    <format dxfId="9648">
      <pivotArea dataOnly="0" labelOnly="1" outline="0" fieldPosition="0">
        <references count="8">
          <reference field="1" count="0" selected="0"/>
          <reference field="3" count="1" selected="0">
            <x v="9"/>
          </reference>
          <reference field="4" count="1" selected="0">
            <x v="4"/>
          </reference>
          <reference field="5" count="1" selected="0">
            <x v="144"/>
          </reference>
          <reference field="6" count="1" selected="0">
            <x v="5"/>
          </reference>
          <reference field="9" count="1" selected="0">
            <x v="10"/>
          </reference>
          <reference field="11" count="1" selected="0">
            <x v="14"/>
          </reference>
          <reference field="12" count="1">
            <x v="18"/>
          </reference>
        </references>
      </pivotArea>
    </format>
    <format dxfId="9647">
      <pivotArea dataOnly="0" labelOnly="1" outline="0" fieldPosition="0">
        <references count="8">
          <reference field="1" count="0" selected="0"/>
          <reference field="3" count="1" selected="0">
            <x v="9"/>
          </reference>
          <reference field="4" count="1" selected="0">
            <x v="6"/>
          </reference>
          <reference field="5" count="1" selected="0">
            <x v="161"/>
          </reference>
          <reference field="6" count="1" selected="0">
            <x v="5"/>
          </reference>
          <reference field="9" count="1" selected="0">
            <x v="7"/>
          </reference>
          <reference field="11" count="1" selected="0">
            <x v="1"/>
          </reference>
          <reference field="12" count="1">
            <x v="8"/>
          </reference>
        </references>
      </pivotArea>
    </format>
    <format dxfId="9646">
      <pivotArea dataOnly="0" labelOnly="1" outline="0" fieldPosition="0">
        <references count="9">
          <reference field="1" count="0" selected="0"/>
          <reference field="3" count="1" selected="0">
            <x v="0"/>
          </reference>
          <reference field="4" count="1" selected="0">
            <x v="1"/>
          </reference>
          <reference field="5" count="1" selected="0">
            <x v="348"/>
          </reference>
          <reference field="6" count="1" selected="0">
            <x v="7"/>
          </reference>
          <reference field="9" count="1" selected="0">
            <x v="10"/>
          </reference>
          <reference field="11" count="1" selected="0">
            <x v="14"/>
          </reference>
          <reference field="12" count="1" selected="0">
            <x v="24"/>
          </reference>
          <reference field="13" count="1">
            <x v="3"/>
          </reference>
        </references>
      </pivotArea>
    </format>
    <format dxfId="9645">
      <pivotArea dataOnly="0" labelOnly="1" outline="0" fieldPosition="0">
        <references count="9">
          <reference field="1" count="0" selected="0"/>
          <reference field="3" count="1" selected="0">
            <x v="3"/>
          </reference>
          <reference field="4" count="1" selected="0">
            <x v="1"/>
          </reference>
          <reference field="5" count="1" selected="0">
            <x v="201"/>
          </reference>
          <reference field="6" count="1" selected="0">
            <x v="2"/>
          </reference>
          <reference field="9" count="1" selected="0">
            <x v="10"/>
          </reference>
          <reference field="11" count="1" selected="0">
            <x v="1"/>
          </reference>
          <reference field="12" count="1" selected="0">
            <x v="8"/>
          </reference>
          <reference field="13" count="1">
            <x v="3"/>
          </reference>
        </references>
      </pivotArea>
    </format>
    <format dxfId="9644">
      <pivotArea dataOnly="0" labelOnly="1" outline="0" fieldPosition="0">
        <references count="9">
          <reference field="1" count="0" selected="0"/>
          <reference field="3" count="1" selected="0">
            <x v="4"/>
          </reference>
          <reference field="4" count="1" selected="0">
            <x v="1"/>
          </reference>
          <reference field="5" count="1" selected="0">
            <x v="104"/>
          </reference>
          <reference field="6" count="1" selected="0">
            <x v="2"/>
          </reference>
          <reference field="9" count="1" selected="0">
            <x v="2"/>
          </reference>
          <reference field="11" count="1" selected="0">
            <x v="14"/>
          </reference>
          <reference field="12" count="1" selected="0">
            <x v="3"/>
          </reference>
          <reference field="13" count="1">
            <x v="3"/>
          </reference>
        </references>
      </pivotArea>
    </format>
    <format dxfId="9643">
      <pivotArea dataOnly="0" labelOnly="1" outline="0" fieldPosition="0">
        <references count="9">
          <reference field="1" count="0" selected="0"/>
          <reference field="3" count="1" selected="0">
            <x v="5"/>
          </reference>
          <reference field="4" count="1" selected="0">
            <x v="3"/>
          </reference>
          <reference field="5" count="1" selected="0">
            <x v="132"/>
          </reference>
          <reference field="6" count="1" selected="0">
            <x v="3"/>
          </reference>
          <reference field="9" count="1" selected="0">
            <x v="10"/>
          </reference>
          <reference field="11" count="1" selected="0">
            <x v="14"/>
          </reference>
          <reference field="12" count="1" selected="0">
            <x v="20"/>
          </reference>
          <reference field="13" count="1">
            <x v="3"/>
          </reference>
        </references>
      </pivotArea>
    </format>
    <format dxfId="9642">
      <pivotArea dataOnly="0" labelOnly="1" outline="0" fieldPosition="0">
        <references count="9">
          <reference field="1" count="0" selected="0"/>
          <reference field="3" count="1" selected="0">
            <x v="6"/>
          </reference>
          <reference field="4" count="1" selected="0">
            <x v="0"/>
          </reference>
          <reference field="5" count="1" selected="0">
            <x v="186"/>
          </reference>
          <reference field="6" count="1" selected="0">
            <x v="9"/>
          </reference>
          <reference field="9" count="1" selected="0">
            <x v="10"/>
          </reference>
          <reference field="11" count="1" selected="0">
            <x v="46"/>
          </reference>
          <reference field="12" count="1" selected="0">
            <x v="8"/>
          </reference>
          <reference field="13" count="1">
            <x v="3"/>
          </reference>
        </references>
      </pivotArea>
    </format>
    <format dxfId="9641">
      <pivotArea dataOnly="0" labelOnly="1" outline="0" fieldPosition="0">
        <references count="9">
          <reference field="1" count="0" selected="0"/>
          <reference field="3" count="1" selected="0">
            <x v="8"/>
          </reference>
          <reference field="4" count="1" selected="0">
            <x v="3"/>
          </reference>
          <reference field="5" count="1" selected="0">
            <x v="114"/>
          </reference>
          <reference field="6" count="1" selected="0">
            <x v="3"/>
          </reference>
          <reference field="9" count="1" selected="0">
            <x v="10"/>
          </reference>
          <reference field="11" count="1" selected="0">
            <x v="14"/>
          </reference>
          <reference field="12" count="1" selected="0">
            <x v="23"/>
          </reference>
          <reference field="13" count="1">
            <x v="2"/>
          </reference>
        </references>
      </pivotArea>
    </format>
    <format dxfId="9640">
      <pivotArea dataOnly="0" labelOnly="1" outline="0" fieldPosition="0">
        <references count="10">
          <reference field="1" count="0" selected="0"/>
          <reference field="3" count="1" selected="0">
            <x v="0"/>
          </reference>
          <reference field="4" count="1" selected="0">
            <x v="1"/>
          </reference>
          <reference field="5" count="1" selected="0">
            <x v="348"/>
          </reference>
          <reference field="6" count="1" selected="0">
            <x v="7"/>
          </reference>
          <reference field="9" count="1" selected="0">
            <x v="10"/>
          </reference>
          <reference field="11" count="1" selected="0">
            <x v="14"/>
          </reference>
          <reference field="12" count="1" selected="0">
            <x v="24"/>
          </reference>
          <reference field="13" count="1" selected="0">
            <x v="3"/>
          </reference>
          <reference field="14" count="1">
            <x v="54"/>
          </reference>
        </references>
      </pivotArea>
    </format>
    <format dxfId="9639">
      <pivotArea dataOnly="0" labelOnly="1" outline="0" fieldPosition="0">
        <references count="10">
          <reference field="1" count="0" selected="0"/>
          <reference field="3" count="1" selected="0">
            <x v="3"/>
          </reference>
          <reference field="4" count="1" selected="0">
            <x v="1"/>
          </reference>
          <reference field="5" count="1" selected="0">
            <x v="192"/>
          </reference>
          <reference field="6" count="1" selected="0">
            <x v="2"/>
          </reference>
          <reference field="9" count="1" selected="0">
            <x v="10"/>
          </reference>
          <reference field="11" count="1" selected="0">
            <x v="16"/>
          </reference>
          <reference field="12" count="1" selected="0">
            <x v="8"/>
          </reference>
          <reference field="13" count="1" selected="0">
            <x v="3"/>
          </reference>
          <reference field="14" count="1">
            <x v="17"/>
          </reference>
        </references>
      </pivotArea>
    </format>
    <format dxfId="9638">
      <pivotArea dataOnly="0" labelOnly="1" outline="0" fieldPosition="0">
        <references count="10">
          <reference field="1" count="0" selected="0"/>
          <reference field="3" count="1" selected="0">
            <x v="3"/>
          </reference>
          <reference field="4" count="1" selected="0">
            <x v="1"/>
          </reference>
          <reference field="5" count="1" selected="0">
            <x v="193"/>
          </reference>
          <reference field="6" count="1" selected="0">
            <x v="2"/>
          </reference>
          <reference field="9" count="1" selected="0">
            <x v="10"/>
          </reference>
          <reference field="11" count="1" selected="0">
            <x v="49"/>
          </reference>
          <reference field="12" count="1" selected="0">
            <x v="29"/>
          </reference>
          <reference field="13" count="1" selected="0">
            <x v="3"/>
          </reference>
          <reference field="14" count="1">
            <x v="23"/>
          </reference>
        </references>
      </pivotArea>
    </format>
    <format dxfId="9637">
      <pivotArea dataOnly="0" labelOnly="1" outline="0" fieldPosition="0">
        <references count="10">
          <reference field="1" count="0" selected="0"/>
          <reference field="3" count="1" selected="0">
            <x v="3"/>
          </reference>
          <reference field="4" count="1" selected="0">
            <x v="1"/>
          </reference>
          <reference field="5" count="1" selected="0">
            <x v="201"/>
          </reference>
          <reference field="6" count="1" selected="0">
            <x v="2"/>
          </reference>
          <reference field="9" count="1" selected="0">
            <x v="10"/>
          </reference>
          <reference field="11" count="1" selected="0">
            <x v="1"/>
          </reference>
          <reference field="12" count="1" selected="0">
            <x v="8"/>
          </reference>
          <reference field="13" count="1" selected="0">
            <x v="3"/>
          </reference>
          <reference field="14" count="1">
            <x v="6"/>
          </reference>
        </references>
      </pivotArea>
    </format>
    <format dxfId="9636">
      <pivotArea dataOnly="0" labelOnly="1" outline="0" fieldPosition="0">
        <references count="10">
          <reference field="1" count="0" selected="0"/>
          <reference field="3" count="1" selected="0">
            <x v="3"/>
          </reference>
          <reference field="4" count="1" selected="0">
            <x v="1"/>
          </reference>
          <reference field="5" count="1" selected="0">
            <x v="208"/>
          </reference>
          <reference field="6" count="1" selected="0">
            <x v="2"/>
          </reference>
          <reference field="9" count="1" selected="0">
            <x v="10"/>
          </reference>
          <reference field="11" count="1" selected="0">
            <x v="29"/>
          </reference>
          <reference field="12" count="1" selected="0">
            <x v="6"/>
          </reference>
          <reference field="13" count="1" selected="0">
            <x v="3"/>
          </reference>
          <reference field="14" count="1">
            <x v="34"/>
          </reference>
        </references>
      </pivotArea>
    </format>
    <format dxfId="9635">
      <pivotArea dataOnly="0" labelOnly="1" outline="0" fieldPosition="0">
        <references count="10">
          <reference field="1" count="0" selected="0"/>
          <reference field="3" count="1" selected="0">
            <x v="4"/>
          </reference>
          <reference field="4" count="1" selected="0">
            <x v="1"/>
          </reference>
          <reference field="5" count="1" selected="0">
            <x v="96"/>
          </reference>
          <reference field="6" count="1" selected="0">
            <x v="2"/>
          </reference>
          <reference field="9" count="1" selected="0">
            <x v="10"/>
          </reference>
          <reference field="11" count="1" selected="0">
            <x v="3"/>
          </reference>
          <reference field="12" count="1" selected="0">
            <x v="1"/>
          </reference>
          <reference field="13" count="1" selected="0">
            <x v="3"/>
          </reference>
          <reference field="14" count="1">
            <x v="17"/>
          </reference>
        </references>
      </pivotArea>
    </format>
    <format dxfId="9634">
      <pivotArea dataOnly="0" labelOnly="1" outline="0" fieldPosition="0">
        <references count="10">
          <reference field="1" count="0" selected="0"/>
          <reference field="3" count="1" selected="0">
            <x v="4"/>
          </reference>
          <reference field="4" count="1" selected="0">
            <x v="1"/>
          </reference>
          <reference field="5" count="1" selected="0">
            <x v="104"/>
          </reference>
          <reference field="6" count="1" selected="0">
            <x v="2"/>
          </reference>
          <reference field="9" count="1" selected="0">
            <x v="2"/>
          </reference>
          <reference field="11" count="1" selected="0">
            <x v="14"/>
          </reference>
          <reference field="12" count="1" selected="0">
            <x v="3"/>
          </reference>
          <reference field="13" count="1" selected="0">
            <x v="3"/>
          </reference>
          <reference field="14" count="1">
            <x v="17"/>
          </reference>
        </references>
      </pivotArea>
    </format>
    <format dxfId="9633">
      <pivotArea dataOnly="0" labelOnly="1" outline="0" fieldPosition="0">
        <references count="10">
          <reference field="1" count="0" selected="0"/>
          <reference field="3" count="1" selected="0">
            <x v="4"/>
          </reference>
          <reference field="4" count="1" selected="0">
            <x v="1"/>
          </reference>
          <reference field="5" count="1" selected="0">
            <x v="169"/>
          </reference>
          <reference field="6" count="1" selected="0">
            <x v="2"/>
          </reference>
          <reference field="9" count="1" selected="0">
            <x v="10"/>
          </reference>
          <reference field="11" count="1" selected="0">
            <x v="17"/>
          </reference>
          <reference field="12" count="1" selected="0">
            <x v="8"/>
          </reference>
          <reference field="13" count="1" selected="0">
            <x v="3"/>
          </reference>
          <reference field="14" count="1">
            <x v="36"/>
          </reference>
        </references>
      </pivotArea>
    </format>
    <format dxfId="9632">
      <pivotArea dataOnly="0" labelOnly="1" outline="0" fieldPosition="0">
        <references count="10">
          <reference field="1" count="0" selected="0"/>
          <reference field="3" count="1" selected="0">
            <x v="4"/>
          </reference>
          <reference field="4" count="1" selected="0">
            <x v="1"/>
          </reference>
          <reference field="5" count="1" selected="0">
            <x v="210"/>
          </reference>
          <reference field="6" count="1" selected="0">
            <x v="2"/>
          </reference>
          <reference field="9" count="1" selected="0">
            <x v="10"/>
          </reference>
          <reference field="11" count="1" selected="0">
            <x v="16"/>
          </reference>
          <reference field="12" count="1" selected="0">
            <x v="8"/>
          </reference>
          <reference field="13" count="1" selected="0">
            <x v="3"/>
          </reference>
          <reference field="14" count="1">
            <x v="17"/>
          </reference>
        </references>
      </pivotArea>
    </format>
    <format dxfId="9631">
      <pivotArea dataOnly="0" labelOnly="1" outline="0" fieldPosition="0">
        <references count="10">
          <reference field="1" count="0" selected="0"/>
          <reference field="3" count="1" selected="0">
            <x v="4"/>
          </reference>
          <reference field="4" count="1" selected="0">
            <x v="1"/>
          </reference>
          <reference field="5" count="1" selected="0">
            <x v="327"/>
          </reference>
          <reference field="6" count="1" selected="0">
            <x v="2"/>
          </reference>
          <reference field="9" count="1" selected="0">
            <x v="10"/>
          </reference>
          <reference field="11" count="1" selected="0">
            <x v="14"/>
          </reference>
          <reference field="12" count="1" selected="0">
            <x v="16"/>
          </reference>
          <reference field="13" count="1" selected="0">
            <x v="3"/>
          </reference>
          <reference field="14" count="1">
            <x v="7"/>
          </reference>
        </references>
      </pivotArea>
    </format>
    <format dxfId="9630">
      <pivotArea dataOnly="0" labelOnly="1" outline="0" fieldPosition="0">
        <references count="10">
          <reference field="1" count="0" selected="0"/>
          <reference field="3" count="1" selected="0">
            <x v="5"/>
          </reference>
          <reference field="4" count="1" selected="0">
            <x v="3"/>
          </reference>
          <reference field="5" count="1" selected="0">
            <x v="132"/>
          </reference>
          <reference field="6" count="1" selected="0">
            <x v="3"/>
          </reference>
          <reference field="9" count="1" selected="0">
            <x v="10"/>
          </reference>
          <reference field="11" count="1" selected="0">
            <x v="14"/>
          </reference>
          <reference field="12" count="1" selected="0">
            <x v="20"/>
          </reference>
          <reference field="13" count="1" selected="0">
            <x v="3"/>
          </reference>
          <reference field="14" count="1">
            <x v="18"/>
          </reference>
        </references>
      </pivotArea>
    </format>
    <format dxfId="9629">
      <pivotArea dataOnly="0" labelOnly="1" outline="0" fieldPosition="0">
        <references count="10">
          <reference field="1" count="0" selected="0"/>
          <reference field="3" count="1" selected="0">
            <x v="6"/>
          </reference>
          <reference field="4" count="1" selected="0">
            <x v="0"/>
          </reference>
          <reference field="5" count="1" selected="0">
            <x v="95"/>
          </reference>
          <reference field="6" count="1" selected="0">
            <x v="9"/>
          </reference>
          <reference field="9" count="1" selected="0">
            <x v="10"/>
          </reference>
          <reference field="11" count="1" selected="0">
            <x v="1"/>
          </reference>
          <reference field="12" count="1" selected="0">
            <x v="8"/>
          </reference>
          <reference field="13" count="1" selected="0">
            <x v="3"/>
          </reference>
          <reference field="14" count="1">
            <x v="0"/>
          </reference>
        </references>
      </pivotArea>
    </format>
    <format dxfId="9628">
      <pivotArea dataOnly="0" labelOnly="1" outline="0" fieldPosition="0">
        <references count="10">
          <reference field="1" count="0" selected="0"/>
          <reference field="3" count="1" selected="0">
            <x v="6"/>
          </reference>
          <reference field="4" count="1" selected="0">
            <x v="0"/>
          </reference>
          <reference field="5" count="1" selected="0">
            <x v="106"/>
          </reference>
          <reference field="6" count="1" selected="0">
            <x v="9"/>
          </reference>
          <reference field="9" count="1" selected="0">
            <x v="10"/>
          </reference>
          <reference field="11" count="1" selected="0">
            <x v="1"/>
          </reference>
          <reference field="12" count="1" selected="0">
            <x v="8"/>
          </reference>
          <reference field="13" count="1" selected="0">
            <x v="3"/>
          </reference>
          <reference field="14" count="1">
            <x v="4"/>
          </reference>
        </references>
      </pivotArea>
    </format>
    <format dxfId="9627">
      <pivotArea dataOnly="0" labelOnly="1" outline="0" fieldPosition="0">
        <references count="10">
          <reference field="1" count="0" selected="0"/>
          <reference field="3" count="1" selected="0">
            <x v="6"/>
          </reference>
          <reference field="4" count="1" selected="0">
            <x v="0"/>
          </reference>
          <reference field="5" count="1" selected="0">
            <x v="129"/>
          </reference>
          <reference field="6" count="1" selected="0">
            <x v="9"/>
          </reference>
          <reference field="9" count="1" selected="0">
            <x v="10"/>
          </reference>
          <reference field="11" count="1" selected="0">
            <x v="14"/>
          </reference>
          <reference field="12" count="1" selected="0">
            <x v="3"/>
          </reference>
          <reference field="13" count="1" selected="0">
            <x v="3"/>
          </reference>
          <reference field="14" count="1">
            <x v="17"/>
          </reference>
        </references>
      </pivotArea>
    </format>
    <format dxfId="9626">
      <pivotArea dataOnly="0" labelOnly="1" outline="0" fieldPosition="0">
        <references count="10">
          <reference field="1" count="0" selected="0"/>
          <reference field="3" count="1" selected="0">
            <x v="6"/>
          </reference>
          <reference field="4" count="1" selected="0">
            <x v="0"/>
          </reference>
          <reference field="5" count="1" selected="0">
            <x v="157"/>
          </reference>
          <reference field="6" count="1" selected="0">
            <x v="9"/>
          </reference>
          <reference field="9" count="1" selected="0">
            <x v="10"/>
          </reference>
          <reference field="11" count="1" selected="0">
            <x v="14"/>
          </reference>
          <reference field="12" count="1" selected="0">
            <x v="27"/>
          </reference>
          <reference field="13" count="1" selected="0">
            <x v="3"/>
          </reference>
          <reference field="14" count="1">
            <x v="37"/>
          </reference>
        </references>
      </pivotArea>
    </format>
    <format dxfId="9625">
      <pivotArea dataOnly="0" labelOnly="1" outline="0" fieldPosition="0">
        <references count="10">
          <reference field="1" count="0" selected="0"/>
          <reference field="3" count="1" selected="0">
            <x v="6"/>
          </reference>
          <reference field="4" count="1" selected="0">
            <x v="0"/>
          </reference>
          <reference field="5" count="1" selected="0">
            <x v="158"/>
          </reference>
          <reference field="6" count="1" selected="0">
            <x v="9"/>
          </reference>
          <reference field="9" count="1" selected="0">
            <x v="10"/>
          </reference>
          <reference field="11" count="1" selected="0">
            <x v="14"/>
          </reference>
          <reference field="12" count="1" selected="0">
            <x v="10"/>
          </reference>
          <reference field="13" count="1" selected="0">
            <x v="3"/>
          </reference>
          <reference field="14" count="1">
            <x v="12"/>
          </reference>
        </references>
      </pivotArea>
    </format>
    <format dxfId="9624">
      <pivotArea dataOnly="0" labelOnly="1" outline="0" fieldPosition="0">
        <references count="10">
          <reference field="1" count="0" selected="0"/>
          <reference field="3" count="1" selected="0">
            <x v="6"/>
          </reference>
          <reference field="4" count="1" selected="0">
            <x v="0"/>
          </reference>
          <reference field="5" count="1" selected="0">
            <x v="170"/>
          </reference>
          <reference field="6" count="1" selected="0">
            <x v="9"/>
          </reference>
          <reference field="9" count="1" selected="0">
            <x v="10"/>
          </reference>
          <reference field="11" count="1" selected="0">
            <x v="14"/>
          </reference>
          <reference field="12" count="1" selected="0">
            <x v="33"/>
          </reference>
          <reference field="13" count="1" selected="0">
            <x v="3"/>
          </reference>
          <reference field="14" count="1">
            <x v="25"/>
          </reference>
        </references>
      </pivotArea>
    </format>
    <format dxfId="9623">
      <pivotArea dataOnly="0" labelOnly="1" outline="0" fieldPosition="0">
        <references count="10">
          <reference field="1" count="0" selected="0"/>
          <reference field="3" count="1" selected="0">
            <x v="6"/>
          </reference>
          <reference field="4" count="1" selected="0">
            <x v="0"/>
          </reference>
          <reference field="5" count="1" selected="0">
            <x v="171"/>
          </reference>
          <reference field="6" count="1" selected="0">
            <x v="9"/>
          </reference>
          <reference field="9" count="1" selected="0">
            <x v="10"/>
          </reference>
          <reference field="11" count="1" selected="0">
            <x v="33"/>
          </reference>
          <reference field="12" count="1" selected="0">
            <x v="8"/>
          </reference>
          <reference field="13" count="1" selected="0">
            <x v="3"/>
          </reference>
          <reference field="14" count="1">
            <x v="43"/>
          </reference>
        </references>
      </pivotArea>
    </format>
    <format dxfId="9622">
      <pivotArea dataOnly="0" labelOnly="1" outline="0" fieldPosition="0">
        <references count="10">
          <reference field="1" count="0" selected="0"/>
          <reference field="3" count="1" selected="0">
            <x v="6"/>
          </reference>
          <reference field="4" count="1" selected="0">
            <x v="0"/>
          </reference>
          <reference field="5" count="1" selected="0">
            <x v="180"/>
          </reference>
          <reference field="6" count="1" selected="0">
            <x v="9"/>
          </reference>
          <reference field="9" count="1" selected="0">
            <x v="10"/>
          </reference>
          <reference field="11" count="1" selected="0">
            <x v="3"/>
          </reference>
          <reference field="12" count="1" selected="0">
            <x v="1"/>
          </reference>
          <reference field="13" count="1" selected="0">
            <x v="3"/>
          </reference>
          <reference field="14" count="1">
            <x v="17"/>
          </reference>
        </references>
      </pivotArea>
    </format>
    <format dxfId="9621">
      <pivotArea dataOnly="0" labelOnly="1" outline="0" fieldPosition="0">
        <references count="10">
          <reference field="1" count="0" selected="0"/>
          <reference field="3" count="1" selected="0">
            <x v="6"/>
          </reference>
          <reference field="4" count="1" selected="0">
            <x v="0"/>
          </reference>
          <reference field="5" count="1" selected="0">
            <x v="186"/>
          </reference>
          <reference field="6" count="1" selected="0">
            <x v="9"/>
          </reference>
          <reference field="9" count="1" selected="0">
            <x v="10"/>
          </reference>
          <reference field="11" count="1" selected="0">
            <x v="46"/>
          </reference>
          <reference field="12" count="1" selected="0">
            <x v="8"/>
          </reference>
          <reference field="13" count="1" selected="0">
            <x v="3"/>
          </reference>
          <reference field="14" count="1">
            <x v="20"/>
          </reference>
        </references>
      </pivotArea>
    </format>
    <format dxfId="9620">
      <pivotArea dataOnly="0" labelOnly="1" outline="0" fieldPosition="0">
        <references count="10">
          <reference field="1" count="0" selected="0"/>
          <reference field="3" count="1" selected="0">
            <x v="6"/>
          </reference>
          <reference field="4" count="1" selected="0">
            <x v="0"/>
          </reference>
          <reference field="5" count="1" selected="0">
            <x v="351"/>
          </reference>
          <reference field="6" count="1" selected="0">
            <x v="9"/>
          </reference>
          <reference field="9" count="1" selected="0">
            <x v="10"/>
          </reference>
          <reference field="11" count="1" selected="0">
            <x v="14"/>
          </reference>
          <reference field="12" count="1" selected="0">
            <x v="3"/>
          </reference>
          <reference field="13" count="1" selected="0">
            <x v="3"/>
          </reference>
          <reference field="14" count="1">
            <x v="17"/>
          </reference>
        </references>
      </pivotArea>
    </format>
    <format dxfId="9619">
      <pivotArea dataOnly="0" labelOnly="1" outline="0" fieldPosition="0">
        <references count="10">
          <reference field="1" count="0" selected="0"/>
          <reference field="3" count="1" selected="0">
            <x v="8"/>
          </reference>
          <reference field="4" count="1" selected="0">
            <x v="3"/>
          </reference>
          <reference field="5" count="1" selected="0">
            <x v="114"/>
          </reference>
          <reference field="6" count="1" selected="0">
            <x v="3"/>
          </reference>
          <reference field="9" count="1" selected="0">
            <x v="10"/>
          </reference>
          <reference field="11" count="1" selected="0">
            <x v="14"/>
          </reference>
          <reference field="12" count="1" selected="0">
            <x v="23"/>
          </reference>
          <reference field="13" count="1" selected="0">
            <x v="2"/>
          </reference>
          <reference field="14" count="1">
            <x v="17"/>
          </reference>
        </references>
      </pivotArea>
    </format>
    <format dxfId="9618">
      <pivotArea dataOnly="0" labelOnly="1" outline="0" fieldPosition="0">
        <references count="10">
          <reference field="1" count="0" selected="0"/>
          <reference field="3" count="1" selected="0">
            <x v="9"/>
          </reference>
          <reference field="4" count="1" selected="0">
            <x v="4"/>
          </reference>
          <reference field="5" count="1" selected="0">
            <x v="144"/>
          </reference>
          <reference field="6" count="1" selected="0">
            <x v="5"/>
          </reference>
          <reference field="9" count="1" selected="0">
            <x v="10"/>
          </reference>
          <reference field="11" count="1" selected="0">
            <x v="14"/>
          </reference>
          <reference field="12" count="1" selected="0">
            <x v="18"/>
          </reference>
          <reference field="13" count="1" selected="0">
            <x v="3"/>
          </reference>
          <reference field="14" count="1">
            <x v="17"/>
          </reference>
        </references>
      </pivotArea>
    </format>
    <format dxfId="9617">
      <pivotArea dataOnly="0" labelOnly="1" outline="0" fieldPosition="0">
        <references count="10">
          <reference field="1" count="0" selected="0"/>
          <reference field="3" count="1" selected="0">
            <x v="9"/>
          </reference>
          <reference field="4" count="1" selected="0">
            <x v="6"/>
          </reference>
          <reference field="5" count="1" selected="0">
            <x v="161"/>
          </reference>
          <reference field="6" count="1" selected="0">
            <x v="5"/>
          </reference>
          <reference field="9" count="1" selected="0">
            <x v="7"/>
          </reference>
          <reference field="11" count="1" selected="0">
            <x v="1"/>
          </reference>
          <reference field="12" count="1" selected="0">
            <x v="8"/>
          </reference>
          <reference field="13" count="1" selected="0">
            <x v="3"/>
          </reference>
          <reference field="14" count="1">
            <x v="5"/>
          </reference>
        </references>
      </pivotArea>
    </format>
    <format dxfId="9616">
      <pivotArea dataOnly="0" labelOnly="1" outline="0" fieldPosition="0">
        <references count="7">
          <reference field="1" count="0" selected="0"/>
          <reference field="3" count="1" selected="0">
            <x v="0"/>
          </reference>
          <reference field="4" count="1" selected="0">
            <x v="1"/>
          </reference>
          <reference field="5" count="1" selected="0">
            <x v="348"/>
          </reference>
          <reference field="6" count="1" selected="0">
            <x v="7"/>
          </reference>
          <reference field="9" count="1" selected="0">
            <x v="10"/>
          </reference>
          <reference field="11" count="1">
            <x v="14"/>
          </reference>
        </references>
      </pivotArea>
    </format>
    <format dxfId="9615">
      <pivotArea dataOnly="0" labelOnly="1" outline="0" fieldPosition="0">
        <references count="7">
          <reference field="1" count="0" selected="0"/>
          <reference field="3" count="1" selected="0">
            <x v="3"/>
          </reference>
          <reference field="4" count="1" selected="0">
            <x v="1"/>
          </reference>
          <reference field="5" count="1" selected="0">
            <x v="192"/>
          </reference>
          <reference field="6" count="1" selected="0">
            <x v="2"/>
          </reference>
          <reference field="9" count="1" selected="0">
            <x v="10"/>
          </reference>
          <reference field="11" count="1">
            <x v="16"/>
          </reference>
        </references>
      </pivotArea>
    </format>
    <format dxfId="9614">
      <pivotArea dataOnly="0" labelOnly="1" outline="0" fieldPosition="0">
        <references count="7">
          <reference field="1" count="0" selected="0"/>
          <reference field="3" count="1" selected="0">
            <x v="3"/>
          </reference>
          <reference field="4" count="1" selected="0">
            <x v="1"/>
          </reference>
          <reference field="5" count="1" selected="0">
            <x v="193"/>
          </reference>
          <reference field="6" count="1" selected="0">
            <x v="2"/>
          </reference>
          <reference field="9" count="1" selected="0">
            <x v="10"/>
          </reference>
          <reference field="11" count="1">
            <x v="49"/>
          </reference>
        </references>
      </pivotArea>
    </format>
    <format dxfId="9613">
      <pivotArea dataOnly="0" labelOnly="1" outline="0" fieldPosition="0">
        <references count="7">
          <reference field="1" count="0" selected="0"/>
          <reference field="3" count="1" selected="0">
            <x v="3"/>
          </reference>
          <reference field="4" count="1" selected="0">
            <x v="1"/>
          </reference>
          <reference field="5" count="1" selected="0">
            <x v="201"/>
          </reference>
          <reference field="6" count="1" selected="0">
            <x v="2"/>
          </reference>
          <reference field="9" count="1" selected="0">
            <x v="10"/>
          </reference>
          <reference field="11" count="1">
            <x v="1"/>
          </reference>
        </references>
      </pivotArea>
    </format>
    <format dxfId="9612">
      <pivotArea dataOnly="0" labelOnly="1" outline="0" fieldPosition="0">
        <references count="7">
          <reference field="1" count="0" selected="0"/>
          <reference field="3" count="1" selected="0">
            <x v="3"/>
          </reference>
          <reference field="4" count="1" selected="0">
            <x v="1"/>
          </reference>
          <reference field="5" count="1" selected="0">
            <x v="208"/>
          </reference>
          <reference field="6" count="1" selected="0">
            <x v="2"/>
          </reference>
          <reference field="9" count="1" selected="0">
            <x v="10"/>
          </reference>
          <reference field="11" count="1">
            <x v="29"/>
          </reference>
        </references>
      </pivotArea>
    </format>
    <format dxfId="9611">
      <pivotArea dataOnly="0" labelOnly="1" outline="0" fieldPosition="0">
        <references count="7">
          <reference field="1" count="0" selected="0"/>
          <reference field="3" count="1" selected="0">
            <x v="4"/>
          </reference>
          <reference field="4" count="1" selected="0">
            <x v="1"/>
          </reference>
          <reference field="5" count="1" selected="0">
            <x v="96"/>
          </reference>
          <reference field="6" count="1" selected="0">
            <x v="2"/>
          </reference>
          <reference field="9" count="1" selected="0">
            <x v="10"/>
          </reference>
          <reference field="11" count="1">
            <x v="3"/>
          </reference>
        </references>
      </pivotArea>
    </format>
    <format dxfId="9610">
      <pivotArea dataOnly="0" labelOnly="1" outline="0" fieldPosition="0">
        <references count="7">
          <reference field="1" count="0" selected="0"/>
          <reference field="3" count="1" selected="0">
            <x v="4"/>
          </reference>
          <reference field="4" count="1" selected="0">
            <x v="1"/>
          </reference>
          <reference field="5" count="1" selected="0">
            <x v="104"/>
          </reference>
          <reference field="6" count="1" selected="0">
            <x v="2"/>
          </reference>
          <reference field="9" count="1" selected="0">
            <x v="2"/>
          </reference>
          <reference field="11" count="1">
            <x v="14"/>
          </reference>
        </references>
      </pivotArea>
    </format>
    <format dxfId="9609">
      <pivotArea dataOnly="0" labelOnly="1" outline="0" fieldPosition="0">
        <references count="7">
          <reference field="1" count="0" selected="0"/>
          <reference field="3" count="1" selected="0">
            <x v="4"/>
          </reference>
          <reference field="4" count="1" selected="0">
            <x v="1"/>
          </reference>
          <reference field="5" count="1" selected="0">
            <x v="169"/>
          </reference>
          <reference field="6" count="1" selected="0">
            <x v="2"/>
          </reference>
          <reference field="9" count="1" selected="0">
            <x v="10"/>
          </reference>
          <reference field="11" count="1">
            <x v="17"/>
          </reference>
        </references>
      </pivotArea>
    </format>
    <format dxfId="9608">
      <pivotArea dataOnly="0" labelOnly="1" outline="0" fieldPosition="0">
        <references count="7">
          <reference field="1" count="0" selected="0"/>
          <reference field="3" count="1" selected="0">
            <x v="4"/>
          </reference>
          <reference field="4" count="1" selected="0">
            <x v="1"/>
          </reference>
          <reference field="5" count="1" selected="0">
            <x v="210"/>
          </reference>
          <reference field="6" count="1" selected="0">
            <x v="2"/>
          </reference>
          <reference field="9" count="1" selected="0">
            <x v="10"/>
          </reference>
          <reference field="11" count="1">
            <x v="16"/>
          </reference>
        </references>
      </pivotArea>
    </format>
    <format dxfId="9607">
      <pivotArea dataOnly="0" labelOnly="1" outline="0" fieldPosition="0">
        <references count="7">
          <reference field="1" count="0" selected="0"/>
          <reference field="3" count="1" selected="0">
            <x v="4"/>
          </reference>
          <reference field="4" count="1" selected="0">
            <x v="1"/>
          </reference>
          <reference field="5" count="1" selected="0">
            <x v="327"/>
          </reference>
          <reference field="6" count="1" selected="0">
            <x v="2"/>
          </reference>
          <reference field="9" count="1" selected="0">
            <x v="10"/>
          </reference>
          <reference field="11" count="1">
            <x v="14"/>
          </reference>
        </references>
      </pivotArea>
    </format>
    <format dxfId="9606">
      <pivotArea dataOnly="0" labelOnly="1" outline="0" fieldPosition="0">
        <references count="7">
          <reference field="1" count="0" selected="0"/>
          <reference field="3" count="1" selected="0">
            <x v="5"/>
          </reference>
          <reference field="4" count="1" selected="0">
            <x v="3"/>
          </reference>
          <reference field="5" count="1" selected="0">
            <x v="132"/>
          </reference>
          <reference field="6" count="1" selected="0">
            <x v="3"/>
          </reference>
          <reference field="9" count="1" selected="0">
            <x v="10"/>
          </reference>
          <reference field="11" count="1">
            <x v="14"/>
          </reference>
        </references>
      </pivotArea>
    </format>
    <format dxfId="9605">
      <pivotArea dataOnly="0" labelOnly="1" outline="0" fieldPosition="0">
        <references count="7">
          <reference field="1" count="0" selected="0"/>
          <reference field="3" count="1" selected="0">
            <x v="6"/>
          </reference>
          <reference field="4" count="1" selected="0">
            <x v="0"/>
          </reference>
          <reference field="5" count="1" selected="0">
            <x v="95"/>
          </reference>
          <reference field="6" count="1" selected="0">
            <x v="9"/>
          </reference>
          <reference field="9" count="1" selected="0">
            <x v="10"/>
          </reference>
          <reference field="11" count="1">
            <x v="1"/>
          </reference>
        </references>
      </pivotArea>
    </format>
    <format dxfId="9604">
      <pivotArea dataOnly="0" labelOnly="1" outline="0" fieldPosition="0">
        <references count="7">
          <reference field="1" count="0" selected="0"/>
          <reference field="3" count="1" selected="0">
            <x v="6"/>
          </reference>
          <reference field="4" count="1" selected="0">
            <x v="0"/>
          </reference>
          <reference field="5" count="1" selected="0">
            <x v="129"/>
          </reference>
          <reference field="6" count="1" selected="0">
            <x v="9"/>
          </reference>
          <reference field="9" count="1" selected="0">
            <x v="10"/>
          </reference>
          <reference field="11" count="1">
            <x v="14"/>
          </reference>
        </references>
      </pivotArea>
    </format>
    <format dxfId="9603">
      <pivotArea dataOnly="0" labelOnly="1" outline="0" fieldPosition="0">
        <references count="7">
          <reference field="1" count="0" selected="0"/>
          <reference field="3" count="1" selected="0">
            <x v="6"/>
          </reference>
          <reference field="4" count="1" selected="0">
            <x v="0"/>
          </reference>
          <reference field="5" count="1" selected="0">
            <x v="171"/>
          </reference>
          <reference field="6" count="1" selected="0">
            <x v="9"/>
          </reference>
          <reference field="9" count="1" selected="0">
            <x v="10"/>
          </reference>
          <reference field="11" count="1">
            <x v="33"/>
          </reference>
        </references>
      </pivotArea>
    </format>
    <format dxfId="9602">
      <pivotArea dataOnly="0" labelOnly="1" outline="0" fieldPosition="0">
        <references count="7">
          <reference field="1" count="0" selected="0"/>
          <reference field="3" count="1" selected="0">
            <x v="6"/>
          </reference>
          <reference field="4" count="1" selected="0">
            <x v="0"/>
          </reference>
          <reference field="5" count="1" selected="0">
            <x v="180"/>
          </reference>
          <reference field="6" count="1" selected="0">
            <x v="9"/>
          </reference>
          <reference field="9" count="1" selected="0">
            <x v="10"/>
          </reference>
          <reference field="11" count="1">
            <x v="3"/>
          </reference>
        </references>
      </pivotArea>
    </format>
    <format dxfId="9601">
      <pivotArea dataOnly="0" labelOnly="1" outline="0" fieldPosition="0">
        <references count="7">
          <reference field="1" count="0" selected="0"/>
          <reference field="3" count="1" selected="0">
            <x v="6"/>
          </reference>
          <reference field="4" count="1" selected="0">
            <x v="0"/>
          </reference>
          <reference field="5" count="1" selected="0">
            <x v="186"/>
          </reference>
          <reference field="6" count="1" selected="0">
            <x v="9"/>
          </reference>
          <reference field="9" count="1" selected="0">
            <x v="10"/>
          </reference>
          <reference field="11" count="1">
            <x v="46"/>
          </reference>
        </references>
      </pivotArea>
    </format>
    <format dxfId="9600">
      <pivotArea dataOnly="0" labelOnly="1" outline="0" fieldPosition="0">
        <references count="7">
          <reference field="1" count="0" selected="0"/>
          <reference field="3" count="1" selected="0">
            <x v="6"/>
          </reference>
          <reference field="4" count="1" selected="0">
            <x v="0"/>
          </reference>
          <reference field="5" count="1" selected="0">
            <x v="351"/>
          </reference>
          <reference field="6" count="1" selected="0">
            <x v="9"/>
          </reference>
          <reference field="9" count="1" selected="0">
            <x v="10"/>
          </reference>
          <reference field="11" count="1">
            <x v="14"/>
          </reference>
        </references>
      </pivotArea>
    </format>
    <format dxfId="9599">
      <pivotArea dataOnly="0" labelOnly="1" outline="0" fieldPosition="0">
        <references count="7">
          <reference field="1" count="0" selected="0"/>
          <reference field="3" count="1" selected="0">
            <x v="9"/>
          </reference>
          <reference field="4" count="1" selected="0">
            <x v="4"/>
          </reference>
          <reference field="5" count="1" selected="0">
            <x v="144"/>
          </reference>
          <reference field="6" count="1" selected="0">
            <x v="5"/>
          </reference>
          <reference field="9" count="1" selected="0">
            <x v="10"/>
          </reference>
          <reference field="11" count="1">
            <x v="14"/>
          </reference>
        </references>
      </pivotArea>
    </format>
    <format dxfId="9598">
      <pivotArea dataOnly="0" labelOnly="1" outline="0" fieldPosition="0">
        <references count="7">
          <reference field="1" count="0" selected="0"/>
          <reference field="3" count="1" selected="0">
            <x v="9"/>
          </reference>
          <reference field="4" count="1" selected="0">
            <x v="6"/>
          </reference>
          <reference field="5" count="1" selected="0">
            <x v="161"/>
          </reference>
          <reference field="6" count="1" selected="0">
            <x v="5"/>
          </reference>
          <reference field="9" count="1" selected="0">
            <x v="7"/>
          </reference>
          <reference field="11" count="1">
            <x v="1"/>
          </reference>
        </references>
      </pivotArea>
    </format>
    <format dxfId="9597">
      <pivotArea dataOnly="0" labelOnly="1" outline="0" fieldPosition="0">
        <references count="8">
          <reference field="1" count="0" selected="0"/>
          <reference field="3" count="1" selected="0">
            <x v="0"/>
          </reference>
          <reference field="4" count="1" selected="0">
            <x v="1"/>
          </reference>
          <reference field="5" count="1" selected="0">
            <x v="348"/>
          </reference>
          <reference field="6" count="1" selected="0">
            <x v="7"/>
          </reference>
          <reference field="9" count="1" selected="0">
            <x v="10"/>
          </reference>
          <reference field="11" count="1" selected="0">
            <x v="14"/>
          </reference>
          <reference field="12" count="1">
            <x v="24"/>
          </reference>
        </references>
      </pivotArea>
    </format>
    <format dxfId="9596">
      <pivotArea dataOnly="0" labelOnly="1" outline="0" fieldPosition="0">
        <references count="8">
          <reference field="1" count="0" selected="0"/>
          <reference field="3" count="1" selected="0">
            <x v="3"/>
          </reference>
          <reference field="4" count="1" selected="0">
            <x v="1"/>
          </reference>
          <reference field="5" count="1" selected="0">
            <x v="192"/>
          </reference>
          <reference field="6" count="1" selected="0">
            <x v="2"/>
          </reference>
          <reference field="9" count="1" selected="0">
            <x v="10"/>
          </reference>
          <reference field="11" count="1" selected="0">
            <x v="16"/>
          </reference>
          <reference field="12" count="1">
            <x v="8"/>
          </reference>
        </references>
      </pivotArea>
    </format>
    <format dxfId="9595">
      <pivotArea dataOnly="0" labelOnly="1" outline="0" fieldPosition="0">
        <references count="8">
          <reference field="1" count="0" selected="0"/>
          <reference field="3" count="1" selected="0">
            <x v="3"/>
          </reference>
          <reference field="4" count="1" selected="0">
            <x v="1"/>
          </reference>
          <reference field="5" count="1" selected="0">
            <x v="193"/>
          </reference>
          <reference field="6" count="1" selected="0">
            <x v="2"/>
          </reference>
          <reference field="9" count="1" selected="0">
            <x v="10"/>
          </reference>
          <reference field="11" count="1" selected="0">
            <x v="49"/>
          </reference>
          <reference field="12" count="1">
            <x v="29"/>
          </reference>
        </references>
      </pivotArea>
    </format>
    <format dxfId="9594">
      <pivotArea dataOnly="0" labelOnly="1" outline="0" fieldPosition="0">
        <references count="8">
          <reference field="1" count="0" selected="0"/>
          <reference field="3" count="1" selected="0">
            <x v="3"/>
          </reference>
          <reference field="4" count="1" selected="0">
            <x v="1"/>
          </reference>
          <reference field="5" count="1" selected="0">
            <x v="201"/>
          </reference>
          <reference field="6" count="1" selected="0">
            <x v="2"/>
          </reference>
          <reference field="9" count="1" selected="0">
            <x v="10"/>
          </reference>
          <reference field="11" count="1" selected="0">
            <x v="1"/>
          </reference>
          <reference field="12" count="1">
            <x v="8"/>
          </reference>
        </references>
      </pivotArea>
    </format>
    <format dxfId="9593">
      <pivotArea dataOnly="0" labelOnly="1" outline="0" fieldPosition="0">
        <references count="8">
          <reference field="1" count="0" selected="0"/>
          <reference field="3" count="1" selected="0">
            <x v="3"/>
          </reference>
          <reference field="4" count="1" selected="0">
            <x v="1"/>
          </reference>
          <reference field="5" count="1" selected="0">
            <x v="208"/>
          </reference>
          <reference field="6" count="1" selected="0">
            <x v="2"/>
          </reference>
          <reference field="9" count="1" selected="0">
            <x v="10"/>
          </reference>
          <reference field="11" count="1" selected="0">
            <x v="29"/>
          </reference>
          <reference field="12" count="1">
            <x v="6"/>
          </reference>
        </references>
      </pivotArea>
    </format>
    <format dxfId="9592">
      <pivotArea dataOnly="0" labelOnly="1" outline="0" fieldPosition="0">
        <references count="8">
          <reference field="1" count="0" selected="0"/>
          <reference field="3" count="1" selected="0">
            <x v="4"/>
          </reference>
          <reference field="4" count="1" selected="0">
            <x v="1"/>
          </reference>
          <reference field="5" count="1" selected="0">
            <x v="96"/>
          </reference>
          <reference field="6" count="1" selected="0">
            <x v="2"/>
          </reference>
          <reference field="9" count="1" selected="0">
            <x v="10"/>
          </reference>
          <reference field="11" count="1" selected="0">
            <x v="3"/>
          </reference>
          <reference field="12" count="1">
            <x v="1"/>
          </reference>
        </references>
      </pivotArea>
    </format>
    <format dxfId="9591">
      <pivotArea dataOnly="0" labelOnly="1" outline="0" fieldPosition="0">
        <references count="8">
          <reference field="1" count="0" selected="0"/>
          <reference field="3" count="1" selected="0">
            <x v="4"/>
          </reference>
          <reference field="4" count="1" selected="0">
            <x v="1"/>
          </reference>
          <reference field="5" count="1" selected="0">
            <x v="104"/>
          </reference>
          <reference field="6" count="1" selected="0">
            <x v="2"/>
          </reference>
          <reference field="9" count="1" selected="0">
            <x v="2"/>
          </reference>
          <reference field="11" count="1" selected="0">
            <x v="14"/>
          </reference>
          <reference field="12" count="1">
            <x v="3"/>
          </reference>
        </references>
      </pivotArea>
    </format>
    <format dxfId="9590">
      <pivotArea dataOnly="0" labelOnly="1" outline="0" fieldPosition="0">
        <references count="8">
          <reference field="1" count="0" selected="0"/>
          <reference field="3" count="1" selected="0">
            <x v="4"/>
          </reference>
          <reference field="4" count="1" selected="0">
            <x v="1"/>
          </reference>
          <reference field="5" count="1" selected="0">
            <x v="169"/>
          </reference>
          <reference field="6" count="1" selected="0">
            <x v="2"/>
          </reference>
          <reference field="9" count="1" selected="0">
            <x v="10"/>
          </reference>
          <reference field="11" count="1" selected="0">
            <x v="17"/>
          </reference>
          <reference field="12" count="1">
            <x v="8"/>
          </reference>
        </references>
      </pivotArea>
    </format>
    <format dxfId="9589">
      <pivotArea dataOnly="0" labelOnly="1" outline="0" fieldPosition="0">
        <references count="8">
          <reference field="1" count="0" selected="0"/>
          <reference field="3" count="1" selected="0">
            <x v="4"/>
          </reference>
          <reference field="4" count="1" selected="0">
            <x v="1"/>
          </reference>
          <reference field="5" count="1" selected="0">
            <x v="327"/>
          </reference>
          <reference field="6" count="1" selected="0">
            <x v="2"/>
          </reference>
          <reference field="9" count="1" selected="0">
            <x v="10"/>
          </reference>
          <reference field="11" count="1" selected="0">
            <x v="14"/>
          </reference>
          <reference field="12" count="1">
            <x v="16"/>
          </reference>
        </references>
      </pivotArea>
    </format>
    <format dxfId="9588">
      <pivotArea dataOnly="0" labelOnly="1" outline="0" fieldPosition="0">
        <references count="8">
          <reference field="1" count="0" selected="0"/>
          <reference field="3" count="1" selected="0">
            <x v="5"/>
          </reference>
          <reference field="4" count="1" selected="0">
            <x v="3"/>
          </reference>
          <reference field="5" count="1" selected="0">
            <x v="132"/>
          </reference>
          <reference field="6" count="1" selected="0">
            <x v="3"/>
          </reference>
          <reference field="9" count="1" selected="0">
            <x v="10"/>
          </reference>
          <reference field="11" count="1" selected="0">
            <x v="14"/>
          </reference>
          <reference field="12" count="1">
            <x v="20"/>
          </reference>
        </references>
      </pivotArea>
    </format>
    <format dxfId="9587">
      <pivotArea dataOnly="0" labelOnly="1" outline="0" fieldPosition="0">
        <references count="8">
          <reference field="1" count="0" selected="0"/>
          <reference field="3" count="1" selected="0">
            <x v="6"/>
          </reference>
          <reference field="4" count="1" selected="0">
            <x v="0"/>
          </reference>
          <reference field="5" count="1" selected="0">
            <x v="95"/>
          </reference>
          <reference field="6" count="1" selected="0">
            <x v="9"/>
          </reference>
          <reference field="9" count="1" selected="0">
            <x v="10"/>
          </reference>
          <reference field="11" count="1" selected="0">
            <x v="1"/>
          </reference>
          <reference field="12" count="1">
            <x v="8"/>
          </reference>
        </references>
      </pivotArea>
    </format>
    <format dxfId="9586">
      <pivotArea dataOnly="0" labelOnly="1" outline="0" fieldPosition="0">
        <references count="8">
          <reference field="1" count="0" selected="0"/>
          <reference field="3" count="1" selected="0">
            <x v="6"/>
          </reference>
          <reference field="4" count="1" selected="0">
            <x v="0"/>
          </reference>
          <reference field="5" count="1" selected="0">
            <x v="129"/>
          </reference>
          <reference field="6" count="1" selected="0">
            <x v="9"/>
          </reference>
          <reference field="9" count="1" selected="0">
            <x v="10"/>
          </reference>
          <reference field="11" count="1" selected="0">
            <x v="14"/>
          </reference>
          <reference field="12" count="1">
            <x v="3"/>
          </reference>
        </references>
      </pivotArea>
    </format>
    <format dxfId="9585">
      <pivotArea dataOnly="0" labelOnly="1" outline="0" fieldPosition="0">
        <references count="8">
          <reference field="1" count="0" selected="0"/>
          <reference field="3" count="1" selected="0">
            <x v="6"/>
          </reference>
          <reference field="4" count="1" selected="0">
            <x v="0"/>
          </reference>
          <reference field="5" count="1" selected="0">
            <x v="157"/>
          </reference>
          <reference field="6" count="1" selected="0">
            <x v="9"/>
          </reference>
          <reference field="9" count="1" selected="0">
            <x v="10"/>
          </reference>
          <reference field="11" count="1" selected="0">
            <x v="14"/>
          </reference>
          <reference field="12" count="1">
            <x v="27"/>
          </reference>
        </references>
      </pivotArea>
    </format>
    <format dxfId="9584">
      <pivotArea dataOnly="0" labelOnly="1" outline="0" fieldPosition="0">
        <references count="8">
          <reference field="1" count="0" selected="0"/>
          <reference field="3" count="1" selected="0">
            <x v="6"/>
          </reference>
          <reference field="4" count="1" selected="0">
            <x v="0"/>
          </reference>
          <reference field="5" count="1" selected="0">
            <x v="158"/>
          </reference>
          <reference field="6" count="1" selected="0">
            <x v="9"/>
          </reference>
          <reference field="9" count="1" selected="0">
            <x v="10"/>
          </reference>
          <reference field="11" count="1" selected="0">
            <x v="14"/>
          </reference>
          <reference field="12" count="1">
            <x v="10"/>
          </reference>
        </references>
      </pivotArea>
    </format>
    <format dxfId="9583">
      <pivotArea dataOnly="0" labelOnly="1" outline="0" fieldPosition="0">
        <references count="8">
          <reference field="1" count="0" selected="0"/>
          <reference field="3" count="1" selected="0">
            <x v="6"/>
          </reference>
          <reference field="4" count="1" selected="0">
            <x v="0"/>
          </reference>
          <reference field="5" count="1" selected="0">
            <x v="170"/>
          </reference>
          <reference field="6" count="1" selected="0">
            <x v="9"/>
          </reference>
          <reference field="9" count="1" selected="0">
            <x v="10"/>
          </reference>
          <reference field="11" count="1" selected="0">
            <x v="14"/>
          </reference>
          <reference field="12" count="1">
            <x v="33"/>
          </reference>
        </references>
      </pivotArea>
    </format>
    <format dxfId="9582">
      <pivotArea dataOnly="0" labelOnly="1" outline="0" fieldPosition="0">
        <references count="8">
          <reference field="1" count="0" selected="0"/>
          <reference field="3" count="1" selected="0">
            <x v="6"/>
          </reference>
          <reference field="4" count="1" selected="0">
            <x v="0"/>
          </reference>
          <reference field="5" count="1" selected="0">
            <x v="171"/>
          </reference>
          <reference field="6" count="1" selected="0">
            <x v="9"/>
          </reference>
          <reference field="9" count="1" selected="0">
            <x v="10"/>
          </reference>
          <reference field="11" count="1" selected="0">
            <x v="33"/>
          </reference>
          <reference field="12" count="1">
            <x v="8"/>
          </reference>
        </references>
      </pivotArea>
    </format>
    <format dxfId="9581">
      <pivotArea dataOnly="0" labelOnly="1" outline="0" fieldPosition="0">
        <references count="8">
          <reference field="1" count="0" selected="0"/>
          <reference field="3" count="1" selected="0">
            <x v="6"/>
          </reference>
          <reference field="4" count="1" selected="0">
            <x v="0"/>
          </reference>
          <reference field="5" count="1" selected="0">
            <x v="180"/>
          </reference>
          <reference field="6" count="1" selected="0">
            <x v="9"/>
          </reference>
          <reference field="9" count="1" selected="0">
            <x v="10"/>
          </reference>
          <reference field="11" count="1" selected="0">
            <x v="3"/>
          </reference>
          <reference field="12" count="1">
            <x v="1"/>
          </reference>
        </references>
      </pivotArea>
    </format>
    <format dxfId="9580">
      <pivotArea dataOnly="0" labelOnly="1" outline="0" fieldPosition="0">
        <references count="8">
          <reference field="1" count="0" selected="0"/>
          <reference field="3" count="1" selected="0">
            <x v="6"/>
          </reference>
          <reference field="4" count="1" selected="0">
            <x v="0"/>
          </reference>
          <reference field="5" count="1" selected="0">
            <x v="186"/>
          </reference>
          <reference field="6" count="1" selected="0">
            <x v="9"/>
          </reference>
          <reference field="9" count="1" selected="0">
            <x v="10"/>
          </reference>
          <reference field="11" count="1" selected="0">
            <x v="46"/>
          </reference>
          <reference field="12" count="1">
            <x v="8"/>
          </reference>
        </references>
      </pivotArea>
    </format>
    <format dxfId="9579">
      <pivotArea dataOnly="0" labelOnly="1" outline="0" fieldPosition="0">
        <references count="8">
          <reference field="1" count="0" selected="0"/>
          <reference field="3" count="1" selected="0">
            <x v="6"/>
          </reference>
          <reference field="4" count="1" selected="0">
            <x v="0"/>
          </reference>
          <reference field="5" count="1" selected="0">
            <x v="351"/>
          </reference>
          <reference field="6" count="1" selected="0">
            <x v="9"/>
          </reference>
          <reference field="9" count="1" selected="0">
            <x v="10"/>
          </reference>
          <reference field="11" count="1" selected="0">
            <x v="14"/>
          </reference>
          <reference field="12" count="1">
            <x v="3"/>
          </reference>
        </references>
      </pivotArea>
    </format>
    <format dxfId="9578">
      <pivotArea dataOnly="0" labelOnly="1" outline="0" fieldPosition="0">
        <references count="8">
          <reference field="1" count="0" selected="0"/>
          <reference field="3" count="1" selected="0">
            <x v="8"/>
          </reference>
          <reference field="4" count="1" selected="0">
            <x v="3"/>
          </reference>
          <reference field="5" count="1" selected="0">
            <x v="114"/>
          </reference>
          <reference field="6" count="1" selected="0">
            <x v="3"/>
          </reference>
          <reference field="9" count="1" selected="0">
            <x v="10"/>
          </reference>
          <reference field="11" count="1" selected="0">
            <x v="14"/>
          </reference>
          <reference field="12" count="1">
            <x v="23"/>
          </reference>
        </references>
      </pivotArea>
    </format>
    <format dxfId="9577">
      <pivotArea dataOnly="0" labelOnly="1" outline="0" fieldPosition="0">
        <references count="8">
          <reference field="1" count="0" selected="0"/>
          <reference field="3" count="1" selected="0">
            <x v="9"/>
          </reference>
          <reference field="4" count="1" selected="0">
            <x v="4"/>
          </reference>
          <reference field="5" count="1" selected="0">
            <x v="144"/>
          </reference>
          <reference field="6" count="1" selected="0">
            <x v="5"/>
          </reference>
          <reference field="9" count="1" selected="0">
            <x v="10"/>
          </reference>
          <reference field="11" count="1" selected="0">
            <x v="14"/>
          </reference>
          <reference field="12" count="1">
            <x v="18"/>
          </reference>
        </references>
      </pivotArea>
    </format>
    <format dxfId="9576">
      <pivotArea dataOnly="0" labelOnly="1" outline="0" fieldPosition="0">
        <references count="8">
          <reference field="1" count="0" selected="0"/>
          <reference field="3" count="1" selected="0">
            <x v="9"/>
          </reference>
          <reference field="4" count="1" selected="0">
            <x v="6"/>
          </reference>
          <reference field="5" count="1" selected="0">
            <x v="161"/>
          </reference>
          <reference field="6" count="1" selected="0">
            <x v="5"/>
          </reference>
          <reference field="9" count="1" selected="0">
            <x v="7"/>
          </reference>
          <reference field="11" count="1" selected="0">
            <x v="1"/>
          </reference>
          <reference field="12" count="1">
            <x v="8"/>
          </reference>
        </references>
      </pivotArea>
    </format>
    <format dxfId="9575">
      <pivotArea dataOnly="0" labelOnly="1" outline="0" fieldPosition="0">
        <references count="9">
          <reference field="1" count="0" selected="0"/>
          <reference field="3" count="1" selected="0">
            <x v="0"/>
          </reference>
          <reference field="4" count="1" selected="0">
            <x v="1"/>
          </reference>
          <reference field="5" count="1" selected="0">
            <x v="348"/>
          </reference>
          <reference field="6" count="1" selected="0">
            <x v="7"/>
          </reference>
          <reference field="9" count="1" selected="0">
            <x v="10"/>
          </reference>
          <reference field="11" count="1" selected="0">
            <x v="14"/>
          </reference>
          <reference field="12" count="1" selected="0">
            <x v="24"/>
          </reference>
          <reference field="13" count="1">
            <x v="3"/>
          </reference>
        </references>
      </pivotArea>
    </format>
    <format dxfId="9574">
      <pivotArea dataOnly="0" labelOnly="1" outline="0" fieldPosition="0">
        <references count="9">
          <reference field="1" count="0" selected="0"/>
          <reference field="3" count="1" selected="0">
            <x v="3"/>
          </reference>
          <reference field="4" count="1" selected="0">
            <x v="1"/>
          </reference>
          <reference field="5" count="1" selected="0">
            <x v="201"/>
          </reference>
          <reference field="6" count="1" selected="0">
            <x v="2"/>
          </reference>
          <reference field="9" count="1" selected="0">
            <x v="10"/>
          </reference>
          <reference field="11" count="1" selected="0">
            <x v="1"/>
          </reference>
          <reference field="12" count="1" selected="0">
            <x v="8"/>
          </reference>
          <reference field="13" count="1">
            <x v="3"/>
          </reference>
        </references>
      </pivotArea>
    </format>
    <format dxfId="9573">
      <pivotArea dataOnly="0" labelOnly="1" outline="0" fieldPosition="0">
        <references count="9">
          <reference field="1" count="0" selected="0"/>
          <reference field="3" count="1" selected="0">
            <x v="4"/>
          </reference>
          <reference field="4" count="1" selected="0">
            <x v="1"/>
          </reference>
          <reference field="5" count="1" selected="0">
            <x v="104"/>
          </reference>
          <reference field="6" count="1" selected="0">
            <x v="2"/>
          </reference>
          <reference field="9" count="1" selected="0">
            <x v="2"/>
          </reference>
          <reference field="11" count="1" selected="0">
            <x v="14"/>
          </reference>
          <reference field="12" count="1" selected="0">
            <x v="3"/>
          </reference>
          <reference field="13" count="1">
            <x v="3"/>
          </reference>
        </references>
      </pivotArea>
    </format>
    <format dxfId="9572">
      <pivotArea dataOnly="0" labelOnly="1" outline="0" fieldPosition="0">
        <references count="9">
          <reference field="1" count="0" selected="0"/>
          <reference field="3" count="1" selected="0">
            <x v="5"/>
          </reference>
          <reference field="4" count="1" selected="0">
            <x v="3"/>
          </reference>
          <reference field="5" count="1" selected="0">
            <x v="132"/>
          </reference>
          <reference field="6" count="1" selected="0">
            <x v="3"/>
          </reference>
          <reference field="9" count="1" selected="0">
            <x v="10"/>
          </reference>
          <reference field="11" count="1" selected="0">
            <x v="14"/>
          </reference>
          <reference field="12" count="1" selected="0">
            <x v="20"/>
          </reference>
          <reference field="13" count="1">
            <x v="3"/>
          </reference>
        </references>
      </pivotArea>
    </format>
    <format dxfId="9571">
      <pivotArea dataOnly="0" labelOnly="1" outline="0" fieldPosition="0">
        <references count="9">
          <reference field="1" count="0" selected="0"/>
          <reference field="3" count="1" selected="0">
            <x v="6"/>
          </reference>
          <reference field="4" count="1" selected="0">
            <x v="0"/>
          </reference>
          <reference field="5" count="1" selected="0">
            <x v="186"/>
          </reference>
          <reference field="6" count="1" selected="0">
            <x v="9"/>
          </reference>
          <reference field="9" count="1" selected="0">
            <x v="10"/>
          </reference>
          <reference field="11" count="1" selected="0">
            <x v="46"/>
          </reference>
          <reference field="12" count="1" selected="0">
            <x v="8"/>
          </reference>
          <reference field="13" count="1">
            <x v="3"/>
          </reference>
        </references>
      </pivotArea>
    </format>
    <format dxfId="9570">
      <pivotArea dataOnly="0" labelOnly="1" outline="0" fieldPosition="0">
        <references count="9">
          <reference field="1" count="0" selected="0"/>
          <reference field="3" count="1" selected="0">
            <x v="8"/>
          </reference>
          <reference field="4" count="1" selected="0">
            <x v="3"/>
          </reference>
          <reference field="5" count="1" selected="0">
            <x v="114"/>
          </reference>
          <reference field="6" count="1" selected="0">
            <x v="3"/>
          </reference>
          <reference field="9" count="1" selected="0">
            <x v="10"/>
          </reference>
          <reference field="11" count="1" selected="0">
            <x v="14"/>
          </reference>
          <reference field="12" count="1" selected="0">
            <x v="23"/>
          </reference>
          <reference field="13" count="1">
            <x v="2"/>
          </reference>
        </references>
      </pivotArea>
    </format>
    <format dxfId="9569">
      <pivotArea dataOnly="0" labelOnly="1" outline="0" fieldPosition="0">
        <references count="10">
          <reference field="1" count="0" selected="0"/>
          <reference field="3" count="1" selected="0">
            <x v="0"/>
          </reference>
          <reference field="4" count="1" selected="0">
            <x v="1"/>
          </reference>
          <reference field="5" count="1" selected="0">
            <x v="348"/>
          </reference>
          <reference field="6" count="1" selected="0">
            <x v="7"/>
          </reference>
          <reference field="9" count="1" selected="0">
            <x v="10"/>
          </reference>
          <reference field="11" count="1" selected="0">
            <x v="14"/>
          </reference>
          <reference field="12" count="1" selected="0">
            <x v="24"/>
          </reference>
          <reference field="13" count="1" selected="0">
            <x v="3"/>
          </reference>
          <reference field="14" count="1">
            <x v="54"/>
          </reference>
        </references>
      </pivotArea>
    </format>
    <format dxfId="9568">
      <pivotArea dataOnly="0" labelOnly="1" outline="0" fieldPosition="0">
        <references count="10">
          <reference field="1" count="0" selected="0"/>
          <reference field="3" count="1" selected="0">
            <x v="3"/>
          </reference>
          <reference field="4" count="1" selected="0">
            <x v="1"/>
          </reference>
          <reference field="5" count="1" selected="0">
            <x v="192"/>
          </reference>
          <reference field="6" count="1" selected="0">
            <x v="2"/>
          </reference>
          <reference field="9" count="1" selected="0">
            <x v="10"/>
          </reference>
          <reference field="11" count="1" selected="0">
            <x v="16"/>
          </reference>
          <reference field="12" count="1" selected="0">
            <x v="8"/>
          </reference>
          <reference field="13" count="1" selected="0">
            <x v="3"/>
          </reference>
          <reference field="14" count="1">
            <x v="17"/>
          </reference>
        </references>
      </pivotArea>
    </format>
    <format dxfId="9567">
      <pivotArea dataOnly="0" labelOnly="1" outline="0" fieldPosition="0">
        <references count="10">
          <reference field="1" count="0" selected="0"/>
          <reference field="3" count="1" selected="0">
            <x v="3"/>
          </reference>
          <reference field="4" count="1" selected="0">
            <x v="1"/>
          </reference>
          <reference field="5" count="1" selected="0">
            <x v="193"/>
          </reference>
          <reference field="6" count="1" selected="0">
            <x v="2"/>
          </reference>
          <reference field="9" count="1" selected="0">
            <x v="10"/>
          </reference>
          <reference field="11" count="1" selected="0">
            <x v="49"/>
          </reference>
          <reference field="12" count="1" selected="0">
            <x v="29"/>
          </reference>
          <reference field="13" count="1" selected="0">
            <x v="3"/>
          </reference>
          <reference field="14" count="1">
            <x v="23"/>
          </reference>
        </references>
      </pivotArea>
    </format>
    <format dxfId="9566">
      <pivotArea dataOnly="0" labelOnly="1" outline="0" fieldPosition="0">
        <references count="10">
          <reference field="1" count="0" selected="0"/>
          <reference field="3" count="1" selected="0">
            <x v="3"/>
          </reference>
          <reference field="4" count="1" selected="0">
            <x v="1"/>
          </reference>
          <reference field="5" count="1" selected="0">
            <x v="201"/>
          </reference>
          <reference field="6" count="1" selected="0">
            <x v="2"/>
          </reference>
          <reference field="9" count="1" selected="0">
            <x v="10"/>
          </reference>
          <reference field="11" count="1" selected="0">
            <x v="1"/>
          </reference>
          <reference field="12" count="1" selected="0">
            <x v="8"/>
          </reference>
          <reference field="13" count="1" selected="0">
            <x v="3"/>
          </reference>
          <reference field="14" count="1">
            <x v="6"/>
          </reference>
        </references>
      </pivotArea>
    </format>
    <format dxfId="9565">
      <pivotArea dataOnly="0" labelOnly="1" outline="0" fieldPosition="0">
        <references count="10">
          <reference field="1" count="0" selected="0"/>
          <reference field="3" count="1" selected="0">
            <x v="3"/>
          </reference>
          <reference field="4" count="1" selected="0">
            <x v="1"/>
          </reference>
          <reference field="5" count="1" selected="0">
            <x v="208"/>
          </reference>
          <reference field="6" count="1" selected="0">
            <x v="2"/>
          </reference>
          <reference field="9" count="1" selected="0">
            <x v="10"/>
          </reference>
          <reference field="11" count="1" selected="0">
            <x v="29"/>
          </reference>
          <reference field="12" count="1" selected="0">
            <x v="6"/>
          </reference>
          <reference field="13" count="1" selected="0">
            <x v="3"/>
          </reference>
          <reference field="14" count="1">
            <x v="34"/>
          </reference>
        </references>
      </pivotArea>
    </format>
    <format dxfId="9564">
      <pivotArea dataOnly="0" labelOnly="1" outline="0" fieldPosition="0">
        <references count="10">
          <reference field="1" count="0" selected="0"/>
          <reference field="3" count="1" selected="0">
            <x v="4"/>
          </reference>
          <reference field="4" count="1" selected="0">
            <x v="1"/>
          </reference>
          <reference field="5" count="1" selected="0">
            <x v="96"/>
          </reference>
          <reference field="6" count="1" selected="0">
            <x v="2"/>
          </reference>
          <reference field="9" count="1" selected="0">
            <x v="10"/>
          </reference>
          <reference field="11" count="1" selected="0">
            <x v="3"/>
          </reference>
          <reference field="12" count="1" selected="0">
            <x v="1"/>
          </reference>
          <reference field="13" count="1" selected="0">
            <x v="3"/>
          </reference>
          <reference field="14" count="1">
            <x v="17"/>
          </reference>
        </references>
      </pivotArea>
    </format>
    <format dxfId="9563">
      <pivotArea dataOnly="0" labelOnly="1" outline="0" fieldPosition="0">
        <references count="10">
          <reference field="1" count="0" selected="0"/>
          <reference field="3" count="1" selected="0">
            <x v="4"/>
          </reference>
          <reference field="4" count="1" selected="0">
            <x v="1"/>
          </reference>
          <reference field="5" count="1" selected="0">
            <x v="104"/>
          </reference>
          <reference field="6" count="1" selected="0">
            <x v="2"/>
          </reference>
          <reference field="9" count="1" selected="0">
            <x v="2"/>
          </reference>
          <reference field="11" count="1" selected="0">
            <x v="14"/>
          </reference>
          <reference field="12" count="1" selected="0">
            <x v="3"/>
          </reference>
          <reference field="13" count="1" selected="0">
            <x v="3"/>
          </reference>
          <reference field="14" count="1">
            <x v="17"/>
          </reference>
        </references>
      </pivotArea>
    </format>
    <format dxfId="9562">
      <pivotArea dataOnly="0" labelOnly="1" outline="0" fieldPosition="0">
        <references count="10">
          <reference field="1" count="0" selected="0"/>
          <reference field="3" count="1" selected="0">
            <x v="4"/>
          </reference>
          <reference field="4" count="1" selected="0">
            <x v="1"/>
          </reference>
          <reference field="5" count="1" selected="0">
            <x v="169"/>
          </reference>
          <reference field="6" count="1" selected="0">
            <x v="2"/>
          </reference>
          <reference field="9" count="1" selected="0">
            <x v="10"/>
          </reference>
          <reference field="11" count="1" selected="0">
            <x v="17"/>
          </reference>
          <reference field="12" count="1" selected="0">
            <x v="8"/>
          </reference>
          <reference field="13" count="1" selected="0">
            <x v="3"/>
          </reference>
          <reference field="14" count="1">
            <x v="36"/>
          </reference>
        </references>
      </pivotArea>
    </format>
    <format dxfId="9561">
      <pivotArea dataOnly="0" labelOnly="1" outline="0" fieldPosition="0">
        <references count="10">
          <reference field="1" count="0" selected="0"/>
          <reference field="3" count="1" selected="0">
            <x v="4"/>
          </reference>
          <reference field="4" count="1" selected="0">
            <x v="1"/>
          </reference>
          <reference field="5" count="1" selected="0">
            <x v="210"/>
          </reference>
          <reference field="6" count="1" selected="0">
            <x v="2"/>
          </reference>
          <reference field="9" count="1" selected="0">
            <x v="10"/>
          </reference>
          <reference field="11" count="1" selected="0">
            <x v="16"/>
          </reference>
          <reference field="12" count="1" selected="0">
            <x v="8"/>
          </reference>
          <reference field="13" count="1" selected="0">
            <x v="3"/>
          </reference>
          <reference field="14" count="1">
            <x v="17"/>
          </reference>
        </references>
      </pivotArea>
    </format>
    <format dxfId="9560">
      <pivotArea dataOnly="0" labelOnly="1" outline="0" fieldPosition="0">
        <references count="10">
          <reference field="1" count="0" selected="0"/>
          <reference field="3" count="1" selected="0">
            <x v="4"/>
          </reference>
          <reference field="4" count="1" selected="0">
            <x v="1"/>
          </reference>
          <reference field="5" count="1" selected="0">
            <x v="327"/>
          </reference>
          <reference field="6" count="1" selected="0">
            <x v="2"/>
          </reference>
          <reference field="9" count="1" selected="0">
            <x v="10"/>
          </reference>
          <reference field="11" count="1" selected="0">
            <x v="14"/>
          </reference>
          <reference field="12" count="1" selected="0">
            <x v="16"/>
          </reference>
          <reference field="13" count="1" selected="0">
            <x v="3"/>
          </reference>
          <reference field="14" count="1">
            <x v="7"/>
          </reference>
        </references>
      </pivotArea>
    </format>
    <format dxfId="9559">
      <pivotArea dataOnly="0" labelOnly="1" outline="0" fieldPosition="0">
        <references count="10">
          <reference field="1" count="0" selected="0"/>
          <reference field="3" count="1" selected="0">
            <x v="5"/>
          </reference>
          <reference field="4" count="1" selected="0">
            <x v="3"/>
          </reference>
          <reference field="5" count="1" selected="0">
            <x v="132"/>
          </reference>
          <reference field="6" count="1" selected="0">
            <x v="3"/>
          </reference>
          <reference field="9" count="1" selected="0">
            <x v="10"/>
          </reference>
          <reference field="11" count="1" selected="0">
            <x v="14"/>
          </reference>
          <reference field="12" count="1" selected="0">
            <x v="20"/>
          </reference>
          <reference field="13" count="1" selected="0">
            <x v="3"/>
          </reference>
          <reference field="14" count="1">
            <x v="18"/>
          </reference>
        </references>
      </pivotArea>
    </format>
    <format dxfId="9558">
      <pivotArea dataOnly="0" labelOnly="1" outline="0" fieldPosition="0">
        <references count="10">
          <reference field="1" count="0" selected="0"/>
          <reference field="3" count="1" selected="0">
            <x v="6"/>
          </reference>
          <reference field="4" count="1" selected="0">
            <x v="0"/>
          </reference>
          <reference field="5" count="1" selected="0">
            <x v="95"/>
          </reference>
          <reference field="6" count="1" selected="0">
            <x v="9"/>
          </reference>
          <reference field="9" count="1" selected="0">
            <x v="10"/>
          </reference>
          <reference field="11" count="1" selected="0">
            <x v="1"/>
          </reference>
          <reference field="12" count="1" selected="0">
            <x v="8"/>
          </reference>
          <reference field="13" count="1" selected="0">
            <x v="3"/>
          </reference>
          <reference field="14" count="1">
            <x v="0"/>
          </reference>
        </references>
      </pivotArea>
    </format>
    <format dxfId="9557">
      <pivotArea dataOnly="0" labelOnly="1" outline="0" fieldPosition="0">
        <references count="10">
          <reference field="1" count="0" selected="0"/>
          <reference field="3" count="1" selected="0">
            <x v="6"/>
          </reference>
          <reference field="4" count="1" selected="0">
            <x v="0"/>
          </reference>
          <reference field="5" count="1" selected="0">
            <x v="106"/>
          </reference>
          <reference field="6" count="1" selected="0">
            <x v="9"/>
          </reference>
          <reference field="9" count="1" selected="0">
            <x v="10"/>
          </reference>
          <reference field="11" count="1" selected="0">
            <x v="1"/>
          </reference>
          <reference field="12" count="1" selected="0">
            <x v="8"/>
          </reference>
          <reference field="13" count="1" selected="0">
            <x v="3"/>
          </reference>
          <reference field="14" count="1">
            <x v="4"/>
          </reference>
        </references>
      </pivotArea>
    </format>
    <format dxfId="9556">
      <pivotArea dataOnly="0" labelOnly="1" outline="0" fieldPosition="0">
        <references count="10">
          <reference field="1" count="0" selected="0"/>
          <reference field="3" count="1" selected="0">
            <x v="6"/>
          </reference>
          <reference field="4" count="1" selected="0">
            <x v="0"/>
          </reference>
          <reference field="5" count="1" selected="0">
            <x v="129"/>
          </reference>
          <reference field="6" count="1" selected="0">
            <x v="9"/>
          </reference>
          <reference field="9" count="1" selected="0">
            <x v="10"/>
          </reference>
          <reference field="11" count="1" selected="0">
            <x v="14"/>
          </reference>
          <reference field="12" count="1" selected="0">
            <x v="3"/>
          </reference>
          <reference field="13" count="1" selected="0">
            <x v="3"/>
          </reference>
          <reference field="14" count="1">
            <x v="17"/>
          </reference>
        </references>
      </pivotArea>
    </format>
    <format dxfId="9555">
      <pivotArea dataOnly="0" labelOnly="1" outline="0" fieldPosition="0">
        <references count="10">
          <reference field="1" count="0" selected="0"/>
          <reference field="3" count="1" selected="0">
            <x v="6"/>
          </reference>
          <reference field="4" count="1" selected="0">
            <x v="0"/>
          </reference>
          <reference field="5" count="1" selected="0">
            <x v="157"/>
          </reference>
          <reference field="6" count="1" selected="0">
            <x v="9"/>
          </reference>
          <reference field="9" count="1" selected="0">
            <x v="10"/>
          </reference>
          <reference field="11" count="1" selected="0">
            <x v="14"/>
          </reference>
          <reference field="12" count="1" selected="0">
            <x v="27"/>
          </reference>
          <reference field="13" count="1" selected="0">
            <x v="3"/>
          </reference>
          <reference field="14" count="1">
            <x v="37"/>
          </reference>
        </references>
      </pivotArea>
    </format>
    <format dxfId="9554">
      <pivotArea dataOnly="0" labelOnly="1" outline="0" fieldPosition="0">
        <references count="10">
          <reference field="1" count="0" selected="0"/>
          <reference field="3" count="1" selected="0">
            <x v="6"/>
          </reference>
          <reference field="4" count="1" selected="0">
            <x v="0"/>
          </reference>
          <reference field="5" count="1" selected="0">
            <x v="158"/>
          </reference>
          <reference field="6" count="1" selected="0">
            <x v="9"/>
          </reference>
          <reference field="9" count="1" selected="0">
            <x v="10"/>
          </reference>
          <reference field="11" count="1" selected="0">
            <x v="14"/>
          </reference>
          <reference field="12" count="1" selected="0">
            <x v="10"/>
          </reference>
          <reference field="13" count="1" selected="0">
            <x v="3"/>
          </reference>
          <reference field="14" count="1">
            <x v="12"/>
          </reference>
        </references>
      </pivotArea>
    </format>
    <format dxfId="9553">
      <pivotArea dataOnly="0" labelOnly="1" outline="0" fieldPosition="0">
        <references count="10">
          <reference field="1" count="0" selected="0"/>
          <reference field="3" count="1" selected="0">
            <x v="6"/>
          </reference>
          <reference field="4" count="1" selected="0">
            <x v="0"/>
          </reference>
          <reference field="5" count="1" selected="0">
            <x v="170"/>
          </reference>
          <reference field="6" count="1" selected="0">
            <x v="9"/>
          </reference>
          <reference field="9" count="1" selected="0">
            <x v="10"/>
          </reference>
          <reference field="11" count="1" selected="0">
            <x v="14"/>
          </reference>
          <reference field="12" count="1" selected="0">
            <x v="33"/>
          </reference>
          <reference field="13" count="1" selected="0">
            <x v="3"/>
          </reference>
          <reference field="14" count="1">
            <x v="25"/>
          </reference>
        </references>
      </pivotArea>
    </format>
    <format dxfId="9552">
      <pivotArea dataOnly="0" labelOnly="1" outline="0" fieldPosition="0">
        <references count="10">
          <reference field="1" count="0" selected="0"/>
          <reference field="3" count="1" selected="0">
            <x v="6"/>
          </reference>
          <reference field="4" count="1" selected="0">
            <x v="0"/>
          </reference>
          <reference field="5" count="1" selected="0">
            <x v="171"/>
          </reference>
          <reference field="6" count="1" selected="0">
            <x v="9"/>
          </reference>
          <reference field="9" count="1" selected="0">
            <x v="10"/>
          </reference>
          <reference field="11" count="1" selected="0">
            <x v="33"/>
          </reference>
          <reference field="12" count="1" selected="0">
            <x v="8"/>
          </reference>
          <reference field="13" count="1" selected="0">
            <x v="3"/>
          </reference>
          <reference field="14" count="1">
            <x v="43"/>
          </reference>
        </references>
      </pivotArea>
    </format>
    <format dxfId="9551">
      <pivotArea dataOnly="0" labelOnly="1" outline="0" fieldPosition="0">
        <references count="10">
          <reference field="1" count="0" selected="0"/>
          <reference field="3" count="1" selected="0">
            <x v="6"/>
          </reference>
          <reference field="4" count="1" selected="0">
            <x v="0"/>
          </reference>
          <reference field="5" count="1" selected="0">
            <x v="180"/>
          </reference>
          <reference field="6" count="1" selected="0">
            <x v="9"/>
          </reference>
          <reference field="9" count="1" selected="0">
            <x v="10"/>
          </reference>
          <reference field="11" count="1" selected="0">
            <x v="3"/>
          </reference>
          <reference field="12" count="1" selected="0">
            <x v="1"/>
          </reference>
          <reference field="13" count="1" selected="0">
            <x v="3"/>
          </reference>
          <reference field="14" count="1">
            <x v="17"/>
          </reference>
        </references>
      </pivotArea>
    </format>
    <format dxfId="9550">
      <pivotArea dataOnly="0" labelOnly="1" outline="0" fieldPosition="0">
        <references count="10">
          <reference field="1" count="0" selected="0"/>
          <reference field="3" count="1" selected="0">
            <x v="6"/>
          </reference>
          <reference field="4" count="1" selected="0">
            <x v="0"/>
          </reference>
          <reference field="5" count="1" selected="0">
            <x v="186"/>
          </reference>
          <reference field="6" count="1" selected="0">
            <x v="9"/>
          </reference>
          <reference field="9" count="1" selected="0">
            <x v="10"/>
          </reference>
          <reference field="11" count="1" selected="0">
            <x v="46"/>
          </reference>
          <reference field="12" count="1" selected="0">
            <x v="8"/>
          </reference>
          <reference field="13" count="1" selected="0">
            <x v="3"/>
          </reference>
          <reference field="14" count="1">
            <x v="20"/>
          </reference>
        </references>
      </pivotArea>
    </format>
    <format dxfId="9549">
      <pivotArea dataOnly="0" labelOnly="1" outline="0" fieldPosition="0">
        <references count="10">
          <reference field="1" count="0" selected="0"/>
          <reference field="3" count="1" selected="0">
            <x v="6"/>
          </reference>
          <reference field="4" count="1" selected="0">
            <x v="0"/>
          </reference>
          <reference field="5" count="1" selected="0">
            <x v="351"/>
          </reference>
          <reference field="6" count="1" selected="0">
            <x v="9"/>
          </reference>
          <reference field="9" count="1" selected="0">
            <x v="10"/>
          </reference>
          <reference field="11" count="1" selected="0">
            <x v="14"/>
          </reference>
          <reference field="12" count="1" selected="0">
            <x v="3"/>
          </reference>
          <reference field="13" count="1" selected="0">
            <x v="3"/>
          </reference>
          <reference field="14" count="1">
            <x v="17"/>
          </reference>
        </references>
      </pivotArea>
    </format>
    <format dxfId="9548">
      <pivotArea dataOnly="0" labelOnly="1" outline="0" fieldPosition="0">
        <references count="10">
          <reference field="1" count="0" selected="0"/>
          <reference field="3" count="1" selected="0">
            <x v="8"/>
          </reference>
          <reference field="4" count="1" selected="0">
            <x v="3"/>
          </reference>
          <reference field="5" count="1" selected="0">
            <x v="114"/>
          </reference>
          <reference field="6" count="1" selected="0">
            <x v="3"/>
          </reference>
          <reference field="9" count="1" selected="0">
            <x v="10"/>
          </reference>
          <reference field="11" count="1" selected="0">
            <x v="14"/>
          </reference>
          <reference field="12" count="1" selected="0">
            <x v="23"/>
          </reference>
          <reference field="13" count="1" selected="0">
            <x v="2"/>
          </reference>
          <reference field="14" count="1">
            <x v="17"/>
          </reference>
        </references>
      </pivotArea>
    </format>
    <format dxfId="9547">
      <pivotArea dataOnly="0" labelOnly="1" outline="0" fieldPosition="0">
        <references count="10">
          <reference field="1" count="0" selected="0"/>
          <reference field="3" count="1" selected="0">
            <x v="9"/>
          </reference>
          <reference field="4" count="1" selected="0">
            <x v="4"/>
          </reference>
          <reference field="5" count="1" selected="0">
            <x v="144"/>
          </reference>
          <reference field="6" count="1" selected="0">
            <x v="5"/>
          </reference>
          <reference field="9" count="1" selected="0">
            <x v="10"/>
          </reference>
          <reference field="11" count="1" selected="0">
            <x v="14"/>
          </reference>
          <reference field="12" count="1" selected="0">
            <x v="18"/>
          </reference>
          <reference field="13" count="1" selected="0">
            <x v="3"/>
          </reference>
          <reference field="14" count="1">
            <x v="17"/>
          </reference>
        </references>
      </pivotArea>
    </format>
    <format dxfId="9546">
      <pivotArea dataOnly="0" labelOnly="1" outline="0" fieldPosition="0">
        <references count="10">
          <reference field="1" count="0" selected="0"/>
          <reference field="3" count="1" selected="0">
            <x v="9"/>
          </reference>
          <reference field="4" count="1" selected="0">
            <x v="6"/>
          </reference>
          <reference field="5" count="1" selected="0">
            <x v="161"/>
          </reference>
          <reference field="6" count="1" selected="0">
            <x v="5"/>
          </reference>
          <reference field="9" count="1" selected="0">
            <x v="7"/>
          </reference>
          <reference field="11" count="1" selected="0">
            <x v="1"/>
          </reference>
          <reference field="12" count="1" selected="0">
            <x v="8"/>
          </reference>
          <reference field="13" count="1" selected="0">
            <x v="3"/>
          </reference>
          <reference field="14" count="1">
            <x v="5"/>
          </reference>
        </references>
      </pivotArea>
    </format>
    <format dxfId="9545">
      <pivotArea dataOnly="0" labelOnly="1" outline="0" fieldPosition="0">
        <references count="7">
          <reference field="1" count="0" selected="0"/>
          <reference field="3" count="1" selected="0">
            <x v="4"/>
          </reference>
          <reference field="4" count="1" selected="0">
            <x v="1"/>
          </reference>
          <reference field="5" count="1" selected="0">
            <x v="118"/>
          </reference>
          <reference field="6" count="1" selected="0">
            <x v="2"/>
          </reference>
          <reference field="9" count="1" selected="0">
            <x v="10"/>
          </reference>
          <reference field="11" count="1">
            <x v="14"/>
          </reference>
        </references>
      </pivotArea>
    </format>
    <format dxfId="9544">
      <pivotArea dataOnly="0" labelOnly="1" outline="0" fieldPosition="0">
        <references count="7">
          <reference field="1" count="0" selected="0"/>
          <reference field="3" count="1" selected="0">
            <x v="6"/>
          </reference>
          <reference field="4" count="1" selected="0">
            <x v="0"/>
          </reference>
          <reference field="5" count="1" selected="0">
            <x v="128"/>
          </reference>
          <reference field="6" count="1" selected="0">
            <x v="9"/>
          </reference>
          <reference field="9" count="1" selected="0">
            <x v="10"/>
          </reference>
          <reference field="11" count="1">
            <x v="1"/>
          </reference>
        </references>
      </pivotArea>
    </format>
    <format dxfId="9543">
      <pivotArea dataOnly="0" labelOnly="1" outline="0" fieldPosition="0">
        <references count="7">
          <reference field="1" count="0" selected="0"/>
          <reference field="3" count="1" selected="0">
            <x v="6"/>
          </reference>
          <reference field="4" count="1" selected="0">
            <x v="0"/>
          </reference>
          <reference field="5" count="1" selected="0">
            <x v="129"/>
          </reference>
          <reference field="6" count="1" selected="0">
            <x v="9"/>
          </reference>
          <reference field="9" count="1" selected="0">
            <x v="10"/>
          </reference>
          <reference field="11" count="1">
            <x v="20"/>
          </reference>
        </references>
      </pivotArea>
    </format>
    <format dxfId="9542">
      <pivotArea dataOnly="0" labelOnly="1" outline="0" fieldPosition="0">
        <references count="7">
          <reference field="1" count="0" selected="0"/>
          <reference field="3" count="1" selected="0">
            <x v="6"/>
          </reference>
          <reference field="4" count="1" selected="0">
            <x v="0"/>
          </reference>
          <reference field="5" count="1" selected="0">
            <x v="186"/>
          </reference>
          <reference field="6" count="1" selected="0">
            <x v="9"/>
          </reference>
          <reference field="9" count="1" selected="0">
            <x v="10"/>
          </reference>
          <reference field="11" count="1">
            <x v="25"/>
          </reference>
        </references>
      </pivotArea>
    </format>
    <format dxfId="9541">
      <pivotArea dataOnly="0" labelOnly="1" outline="0" fieldPosition="0">
        <references count="7">
          <reference field="1" count="0" selected="0"/>
          <reference field="3" count="1" selected="0">
            <x v="6"/>
          </reference>
          <reference field="4" count="1" selected="0">
            <x v="0"/>
          </reference>
          <reference field="5" count="1" selected="0">
            <x v="187"/>
          </reference>
          <reference field="6" count="1" selected="0">
            <x v="9"/>
          </reference>
          <reference field="9" count="1" selected="0">
            <x v="10"/>
          </reference>
          <reference field="11" count="1">
            <x v="33"/>
          </reference>
        </references>
      </pivotArea>
    </format>
    <format dxfId="9540">
      <pivotArea dataOnly="0" labelOnly="1" outline="0" fieldPosition="0">
        <references count="8">
          <reference field="1" count="0" selected="0"/>
          <reference field="3" count="1" selected="0">
            <x v="4"/>
          </reference>
          <reference field="4" count="1" selected="0">
            <x v="1"/>
          </reference>
          <reference field="5" count="1" selected="0">
            <x v="118"/>
          </reference>
          <reference field="6" count="1" selected="0">
            <x v="2"/>
          </reference>
          <reference field="9" count="1" selected="0">
            <x v="10"/>
          </reference>
          <reference field="11" count="1" selected="0">
            <x v="14"/>
          </reference>
          <reference field="12" count="1">
            <x v="18"/>
          </reference>
        </references>
      </pivotArea>
    </format>
    <format dxfId="9539">
      <pivotArea dataOnly="0" labelOnly="1" outline="0" fieldPosition="0">
        <references count="8">
          <reference field="1" count="0" selected="0"/>
          <reference field="3" count="1" selected="0">
            <x v="6"/>
          </reference>
          <reference field="4" count="1" selected="0">
            <x v="0"/>
          </reference>
          <reference field="5" count="1" selected="0">
            <x v="128"/>
          </reference>
          <reference field="6" count="1" selected="0">
            <x v="9"/>
          </reference>
          <reference field="9" count="1" selected="0">
            <x v="10"/>
          </reference>
          <reference field="11" count="1" selected="0">
            <x v="1"/>
          </reference>
          <reference field="12" count="1">
            <x v="8"/>
          </reference>
        </references>
      </pivotArea>
    </format>
    <format dxfId="9538">
      <pivotArea dataOnly="0" labelOnly="1" outline="0" fieldPosition="0">
        <references count="10">
          <reference field="1" count="0" selected="0"/>
          <reference field="3" count="1" selected="0">
            <x v="4"/>
          </reference>
          <reference field="4" count="1" selected="0">
            <x v="1"/>
          </reference>
          <reference field="5" count="1" selected="0">
            <x v="118"/>
          </reference>
          <reference field="6" count="1" selected="0">
            <x v="2"/>
          </reference>
          <reference field="9" count="1" selected="0">
            <x v="10"/>
          </reference>
          <reference field="11" count="1" selected="0">
            <x v="14"/>
          </reference>
          <reference field="12" count="1" selected="0">
            <x v="18"/>
          </reference>
          <reference field="13" count="1" selected="0">
            <x v="3"/>
          </reference>
          <reference field="14" count="1">
            <x v="17"/>
          </reference>
        </references>
      </pivotArea>
    </format>
    <format dxfId="9537">
      <pivotArea dataOnly="0" labelOnly="1" outline="0" fieldPosition="0">
        <references count="10">
          <reference field="1" count="0" selected="0"/>
          <reference field="3" count="1" selected="0">
            <x v="6"/>
          </reference>
          <reference field="4" count="1" selected="0">
            <x v="0"/>
          </reference>
          <reference field="5" count="1" selected="0">
            <x v="128"/>
          </reference>
          <reference field="6" count="1" selected="0">
            <x v="9"/>
          </reference>
          <reference field="9" count="1" selected="0">
            <x v="10"/>
          </reference>
          <reference field="11" count="1" selected="0">
            <x v="1"/>
          </reference>
          <reference field="12" count="1" selected="0">
            <x v="8"/>
          </reference>
          <reference field="13" count="1" selected="0">
            <x v="3"/>
          </reference>
          <reference field="14" count="1">
            <x v="4"/>
          </reference>
        </references>
      </pivotArea>
    </format>
    <format dxfId="9536">
      <pivotArea dataOnly="0" labelOnly="1" outline="0" fieldPosition="0">
        <references count="10">
          <reference field="1" count="0" selected="0"/>
          <reference field="3" count="1" selected="0">
            <x v="6"/>
          </reference>
          <reference field="4" count="1" selected="0">
            <x v="0"/>
          </reference>
          <reference field="5" count="1" selected="0">
            <x v="129"/>
          </reference>
          <reference field="6" count="1" selected="0">
            <x v="9"/>
          </reference>
          <reference field="9" count="1" selected="0">
            <x v="10"/>
          </reference>
          <reference field="11" count="1" selected="0">
            <x v="20"/>
          </reference>
          <reference field="12" count="1" selected="0">
            <x v="8"/>
          </reference>
          <reference field="13" count="1" selected="0">
            <x v="3"/>
          </reference>
          <reference field="14" count="1">
            <x v="47"/>
          </reference>
        </references>
      </pivotArea>
    </format>
    <format dxfId="9535">
      <pivotArea dataOnly="0" labelOnly="1" outline="0" fieldPosition="0">
        <references count="10">
          <reference field="1" count="0" selected="0"/>
          <reference field="3" count="1" selected="0">
            <x v="6"/>
          </reference>
          <reference field="4" count="1" selected="0">
            <x v="0"/>
          </reference>
          <reference field="5" count="1" selected="0">
            <x v="186"/>
          </reference>
          <reference field="6" count="1" selected="0">
            <x v="9"/>
          </reference>
          <reference field="9" count="1" selected="0">
            <x v="10"/>
          </reference>
          <reference field="11" count="1" selected="0">
            <x v="25"/>
          </reference>
          <reference field="12" count="1" selected="0">
            <x v="8"/>
          </reference>
          <reference field="13" count="1" selected="0">
            <x v="3"/>
          </reference>
          <reference field="14" count="1">
            <x v="29"/>
          </reference>
        </references>
      </pivotArea>
    </format>
    <format dxfId="9534">
      <pivotArea dataOnly="0" labelOnly="1" outline="0" fieldPosition="0">
        <references count="10">
          <reference field="1" count="0" selected="0"/>
          <reference field="3" count="1" selected="0">
            <x v="6"/>
          </reference>
          <reference field="4" count="1" selected="0">
            <x v="0"/>
          </reference>
          <reference field="5" count="1" selected="0">
            <x v="187"/>
          </reference>
          <reference field="6" count="1" selected="0">
            <x v="9"/>
          </reference>
          <reference field="9" count="1" selected="0">
            <x v="10"/>
          </reference>
          <reference field="11" count="1" selected="0">
            <x v="33"/>
          </reference>
          <reference field="12" count="1" selected="0">
            <x v="8"/>
          </reference>
          <reference field="13" count="1" selected="0">
            <x v="3"/>
          </reference>
          <reference field="14" count="1">
            <x v="43"/>
          </reference>
        </references>
      </pivotArea>
    </format>
    <format dxfId="9533">
      <pivotArea dataOnly="0" labelOnly="1" outline="0" fieldPosition="0">
        <references count="7">
          <reference field="1" count="0" selected="0"/>
          <reference field="3" count="1" selected="0">
            <x v="0"/>
          </reference>
          <reference field="4" count="1" selected="0">
            <x v="1"/>
          </reference>
          <reference field="5" count="1" selected="0">
            <x v="348"/>
          </reference>
          <reference field="6" count="1" selected="0">
            <x v="7"/>
          </reference>
          <reference field="9" count="1" selected="0">
            <x v="10"/>
          </reference>
          <reference field="11" count="1">
            <x v="14"/>
          </reference>
        </references>
      </pivotArea>
    </format>
    <format dxfId="9532">
      <pivotArea dataOnly="0" labelOnly="1" outline="0" fieldPosition="0">
        <references count="7">
          <reference field="1" count="0" selected="0"/>
          <reference field="3" count="1" selected="0">
            <x v="3"/>
          </reference>
          <reference field="4" count="1" selected="0">
            <x v="1"/>
          </reference>
          <reference field="5" count="1" selected="0">
            <x v="192"/>
          </reference>
          <reference field="6" count="1" selected="0">
            <x v="2"/>
          </reference>
          <reference field="9" count="1" selected="0">
            <x v="10"/>
          </reference>
          <reference field="11" count="1">
            <x v="16"/>
          </reference>
        </references>
      </pivotArea>
    </format>
    <format dxfId="9531">
      <pivotArea dataOnly="0" labelOnly="1" outline="0" fieldPosition="0">
        <references count="7">
          <reference field="1" count="0" selected="0"/>
          <reference field="3" count="1" selected="0">
            <x v="3"/>
          </reference>
          <reference field="4" count="1" selected="0">
            <x v="1"/>
          </reference>
          <reference field="5" count="1" selected="0">
            <x v="193"/>
          </reference>
          <reference field="6" count="1" selected="0">
            <x v="2"/>
          </reference>
          <reference field="9" count="1" selected="0">
            <x v="10"/>
          </reference>
          <reference field="11" count="1">
            <x v="49"/>
          </reference>
        </references>
      </pivotArea>
    </format>
    <format dxfId="9530">
      <pivotArea dataOnly="0" labelOnly="1" outline="0" fieldPosition="0">
        <references count="7">
          <reference field="1" count="0" selected="0"/>
          <reference field="3" count="1" selected="0">
            <x v="3"/>
          </reference>
          <reference field="4" count="1" selected="0">
            <x v="1"/>
          </reference>
          <reference field="5" count="1" selected="0">
            <x v="201"/>
          </reference>
          <reference field="6" count="1" selected="0">
            <x v="2"/>
          </reference>
          <reference field="9" count="1" selected="0">
            <x v="10"/>
          </reference>
          <reference field="11" count="1">
            <x v="1"/>
          </reference>
        </references>
      </pivotArea>
    </format>
    <format dxfId="9529">
      <pivotArea dataOnly="0" labelOnly="1" outline="0" fieldPosition="0">
        <references count="7">
          <reference field="1" count="0" selected="0"/>
          <reference field="3" count="1" selected="0">
            <x v="3"/>
          </reference>
          <reference field="4" count="1" selected="0">
            <x v="1"/>
          </reference>
          <reference field="5" count="1" selected="0">
            <x v="208"/>
          </reference>
          <reference field="6" count="1" selected="0">
            <x v="2"/>
          </reference>
          <reference field="9" count="1" selected="0">
            <x v="10"/>
          </reference>
          <reference field="11" count="1">
            <x v="29"/>
          </reference>
        </references>
      </pivotArea>
    </format>
    <format dxfId="9528">
      <pivotArea dataOnly="0" labelOnly="1" outline="0" fieldPosition="0">
        <references count="7">
          <reference field="1" count="0" selected="0"/>
          <reference field="3" count="1" selected="0">
            <x v="4"/>
          </reference>
          <reference field="4" count="1" selected="0">
            <x v="1"/>
          </reference>
          <reference field="5" count="1" selected="0">
            <x v="96"/>
          </reference>
          <reference field="6" count="1" selected="0">
            <x v="2"/>
          </reference>
          <reference field="9" count="1" selected="0">
            <x v="10"/>
          </reference>
          <reference field="11" count="1">
            <x v="3"/>
          </reference>
        </references>
      </pivotArea>
    </format>
    <format dxfId="9527">
      <pivotArea dataOnly="0" labelOnly="1" outline="0" fieldPosition="0">
        <references count="7">
          <reference field="1" count="0" selected="0"/>
          <reference field="3" count="1" selected="0">
            <x v="4"/>
          </reference>
          <reference field="4" count="1" selected="0">
            <x v="1"/>
          </reference>
          <reference field="5" count="1" selected="0">
            <x v="104"/>
          </reference>
          <reference field="6" count="1" selected="0">
            <x v="2"/>
          </reference>
          <reference field="9" count="1" selected="0">
            <x v="2"/>
          </reference>
          <reference field="11" count="1">
            <x v="14"/>
          </reference>
        </references>
      </pivotArea>
    </format>
    <format dxfId="9526">
      <pivotArea dataOnly="0" labelOnly="1" outline="0" fieldPosition="0">
        <references count="7">
          <reference field="1" count="0" selected="0"/>
          <reference field="3" count="1" selected="0">
            <x v="4"/>
          </reference>
          <reference field="4" count="1" selected="0">
            <x v="1"/>
          </reference>
          <reference field="5" count="1" selected="0">
            <x v="169"/>
          </reference>
          <reference field="6" count="1" selected="0">
            <x v="2"/>
          </reference>
          <reference field="9" count="1" selected="0">
            <x v="10"/>
          </reference>
          <reference field="11" count="1">
            <x v="17"/>
          </reference>
        </references>
      </pivotArea>
    </format>
    <format dxfId="9525">
      <pivotArea dataOnly="0" labelOnly="1" outline="0" fieldPosition="0">
        <references count="7">
          <reference field="1" count="0" selected="0"/>
          <reference field="3" count="1" selected="0">
            <x v="4"/>
          </reference>
          <reference field="4" count="1" selected="0">
            <x v="1"/>
          </reference>
          <reference field="5" count="1" selected="0">
            <x v="210"/>
          </reference>
          <reference field="6" count="1" selected="0">
            <x v="2"/>
          </reference>
          <reference field="9" count="1" selected="0">
            <x v="10"/>
          </reference>
          <reference field="11" count="1">
            <x v="16"/>
          </reference>
        </references>
      </pivotArea>
    </format>
    <format dxfId="9524">
      <pivotArea dataOnly="0" labelOnly="1" outline="0" fieldPosition="0">
        <references count="7">
          <reference field="1" count="0" selected="0"/>
          <reference field="3" count="1" selected="0">
            <x v="4"/>
          </reference>
          <reference field="4" count="1" selected="0">
            <x v="1"/>
          </reference>
          <reference field="5" count="1" selected="0">
            <x v="327"/>
          </reference>
          <reference field="6" count="1" selected="0">
            <x v="2"/>
          </reference>
          <reference field="9" count="1" selected="0">
            <x v="10"/>
          </reference>
          <reference field="11" count="1">
            <x v="14"/>
          </reference>
        </references>
      </pivotArea>
    </format>
    <format dxfId="9523">
      <pivotArea dataOnly="0" labelOnly="1" outline="0" fieldPosition="0">
        <references count="7">
          <reference field="1" count="0" selected="0"/>
          <reference field="3" count="1" selected="0">
            <x v="5"/>
          </reference>
          <reference field="4" count="1" selected="0">
            <x v="3"/>
          </reference>
          <reference field="5" count="1" selected="0">
            <x v="132"/>
          </reference>
          <reference field="6" count="1" selected="0">
            <x v="3"/>
          </reference>
          <reference field="9" count="1" selected="0">
            <x v="10"/>
          </reference>
          <reference field="11" count="1">
            <x v="14"/>
          </reference>
        </references>
      </pivotArea>
    </format>
    <format dxfId="9522">
      <pivotArea dataOnly="0" labelOnly="1" outline="0" fieldPosition="0">
        <references count="7">
          <reference field="1" count="0" selected="0"/>
          <reference field="3" count="1" selected="0">
            <x v="6"/>
          </reference>
          <reference field="4" count="1" selected="0">
            <x v="0"/>
          </reference>
          <reference field="5" count="1" selected="0">
            <x v="95"/>
          </reference>
          <reference field="6" count="1" selected="0">
            <x v="9"/>
          </reference>
          <reference field="9" count="1" selected="0">
            <x v="10"/>
          </reference>
          <reference field="11" count="1">
            <x v="1"/>
          </reference>
        </references>
      </pivotArea>
    </format>
    <format dxfId="9521">
      <pivotArea dataOnly="0" labelOnly="1" outline="0" fieldPosition="0">
        <references count="7">
          <reference field="1" count="0" selected="0"/>
          <reference field="3" count="1" selected="0">
            <x v="6"/>
          </reference>
          <reference field="4" count="1" selected="0">
            <x v="0"/>
          </reference>
          <reference field="5" count="1" selected="0">
            <x v="129"/>
          </reference>
          <reference field="6" count="1" selected="0">
            <x v="9"/>
          </reference>
          <reference field="9" count="1" selected="0">
            <x v="10"/>
          </reference>
          <reference field="11" count="1">
            <x v="14"/>
          </reference>
        </references>
      </pivotArea>
    </format>
    <format dxfId="9520">
      <pivotArea dataOnly="0" labelOnly="1" outline="0" fieldPosition="0">
        <references count="7">
          <reference field="1" count="0" selected="0"/>
          <reference field="3" count="1" selected="0">
            <x v="6"/>
          </reference>
          <reference field="4" count="1" selected="0">
            <x v="0"/>
          </reference>
          <reference field="5" count="1" selected="0">
            <x v="171"/>
          </reference>
          <reference field="6" count="1" selected="0">
            <x v="9"/>
          </reference>
          <reference field="9" count="1" selected="0">
            <x v="10"/>
          </reference>
          <reference field="11" count="1">
            <x v="33"/>
          </reference>
        </references>
      </pivotArea>
    </format>
    <format dxfId="9519">
      <pivotArea dataOnly="0" labelOnly="1" outline="0" fieldPosition="0">
        <references count="7">
          <reference field="1" count="0" selected="0"/>
          <reference field="3" count="1" selected="0">
            <x v="6"/>
          </reference>
          <reference field="4" count="1" selected="0">
            <x v="0"/>
          </reference>
          <reference field="5" count="1" selected="0">
            <x v="180"/>
          </reference>
          <reference field="6" count="1" selected="0">
            <x v="9"/>
          </reference>
          <reference field="9" count="1" selected="0">
            <x v="10"/>
          </reference>
          <reference field="11" count="1">
            <x v="3"/>
          </reference>
        </references>
      </pivotArea>
    </format>
    <format dxfId="9518">
      <pivotArea dataOnly="0" labelOnly="1" outline="0" fieldPosition="0">
        <references count="7">
          <reference field="1" count="0" selected="0"/>
          <reference field="3" count="1" selected="0">
            <x v="6"/>
          </reference>
          <reference field="4" count="1" selected="0">
            <x v="0"/>
          </reference>
          <reference field="5" count="1" selected="0">
            <x v="186"/>
          </reference>
          <reference field="6" count="1" selected="0">
            <x v="9"/>
          </reference>
          <reference field="9" count="1" selected="0">
            <x v="10"/>
          </reference>
          <reference field="11" count="1">
            <x v="46"/>
          </reference>
        </references>
      </pivotArea>
    </format>
    <format dxfId="9517">
      <pivotArea dataOnly="0" labelOnly="1" outline="0" fieldPosition="0">
        <references count="7">
          <reference field="1" count="0" selected="0"/>
          <reference field="3" count="1" selected="0">
            <x v="6"/>
          </reference>
          <reference field="4" count="1" selected="0">
            <x v="0"/>
          </reference>
          <reference field="5" count="1" selected="0">
            <x v="351"/>
          </reference>
          <reference field="6" count="1" selected="0">
            <x v="9"/>
          </reference>
          <reference field="9" count="1" selected="0">
            <x v="10"/>
          </reference>
          <reference field="11" count="1">
            <x v="14"/>
          </reference>
        </references>
      </pivotArea>
    </format>
    <format dxfId="9516">
      <pivotArea dataOnly="0" labelOnly="1" outline="0" fieldPosition="0">
        <references count="7">
          <reference field="1" count="0" selected="0"/>
          <reference field="3" count="1" selected="0">
            <x v="9"/>
          </reference>
          <reference field="4" count="1" selected="0">
            <x v="4"/>
          </reference>
          <reference field="5" count="1" selected="0">
            <x v="144"/>
          </reference>
          <reference field="6" count="1" selected="0">
            <x v="5"/>
          </reference>
          <reference field="9" count="1" selected="0">
            <x v="10"/>
          </reference>
          <reference field="11" count="1">
            <x v="14"/>
          </reference>
        </references>
      </pivotArea>
    </format>
    <format dxfId="9515">
      <pivotArea dataOnly="0" labelOnly="1" outline="0" fieldPosition="0">
        <references count="7">
          <reference field="1" count="0" selected="0"/>
          <reference field="3" count="1" selected="0">
            <x v="9"/>
          </reference>
          <reference field="4" count="1" selected="0">
            <x v="6"/>
          </reference>
          <reference field="5" count="1" selected="0">
            <x v="161"/>
          </reference>
          <reference field="6" count="1" selected="0">
            <x v="5"/>
          </reference>
          <reference field="9" count="1" selected="0">
            <x v="7"/>
          </reference>
          <reference field="11" count="1">
            <x v="1"/>
          </reference>
        </references>
      </pivotArea>
    </format>
    <format dxfId="9514">
      <pivotArea dataOnly="0" labelOnly="1" outline="0" fieldPosition="0">
        <references count="8">
          <reference field="1" count="0" selected="0"/>
          <reference field="3" count="1" selected="0">
            <x v="0"/>
          </reference>
          <reference field="4" count="1" selected="0">
            <x v="1"/>
          </reference>
          <reference field="5" count="1" selected="0">
            <x v="348"/>
          </reference>
          <reference field="6" count="1" selected="0">
            <x v="7"/>
          </reference>
          <reference field="9" count="1" selected="0">
            <x v="10"/>
          </reference>
          <reference field="11" count="1" selected="0">
            <x v="14"/>
          </reference>
          <reference field="12" count="1">
            <x v="24"/>
          </reference>
        </references>
      </pivotArea>
    </format>
    <format dxfId="9513">
      <pivotArea dataOnly="0" labelOnly="1" outline="0" fieldPosition="0">
        <references count="8">
          <reference field="1" count="0" selected="0"/>
          <reference field="3" count="1" selected="0">
            <x v="3"/>
          </reference>
          <reference field="4" count="1" selected="0">
            <x v="1"/>
          </reference>
          <reference field="5" count="1" selected="0">
            <x v="192"/>
          </reference>
          <reference field="6" count="1" selected="0">
            <x v="2"/>
          </reference>
          <reference field="9" count="1" selected="0">
            <x v="10"/>
          </reference>
          <reference field="11" count="1" selected="0">
            <x v="16"/>
          </reference>
          <reference field="12" count="1">
            <x v="8"/>
          </reference>
        </references>
      </pivotArea>
    </format>
    <format dxfId="9512">
      <pivotArea dataOnly="0" labelOnly="1" outline="0" fieldPosition="0">
        <references count="8">
          <reference field="1" count="0" selected="0"/>
          <reference field="3" count="1" selected="0">
            <x v="3"/>
          </reference>
          <reference field="4" count="1" selected="0">
            <x v="1"/>
          </reference>
          <reference field="5" count="1" selected="0">
            <x v="193"/>
          </reference>
          <reference field="6" count="1" selected="0">
            <x v="2"/>
          </reference>
          <reference field="9" count="1" selected="0">
            <x v="10"/>
          </reference>
          <reference field="11" count="1" selected="0">
            <x v="49"/>
          </reference>
          <reference field="12" count="1">
            <x v="29"/>
          </reference>
        </references>
      </pivotArea>
    </format>
    <format dxfId="9511">
      <pivotArea dataOnly="0" labelOnly="1" outline="0" fieldPosition="0">
        <references count="8">
          <reference field="1" count="0" selected="0"/>
          <reference field="3" count="1" selected="0">
            <x v="3"/>
          </reference>
          <reference field="4" count="1" selected="0">
            <x v="1"/>
          </reference>
          <reference field="5" count="1" selected="0">
            <x v="201"/>
          </reference>
          <reference field="6" count="1" selected="0">
            <x v="2"/>
          </reference>
          <reference field="9" count="1" selected="0">
            <x v="10"/>
          </reference>
          <reference field="11" count="1" selected="0">
            <x v="1"/>
          </reference>
          <reference field="12" count="1">
            <x v="8"/>
          </reference>
        </references>
      </pivotArea>
    </format>
    <format dxfId="9510">
      <pivotArea dataOnly="0" labelOnly="1" outline="0" fieldPosition="0">
        <references count="8">
          <reference field="1" count="0" selected="0"/>
          <reference field="3" count="1" selected="0">
            <x v="3"/>
          </reference>
          <reference field="4" count="1" selected="0">
            <x v="1"/>
          </reference>
          <reference field="5" count="1" selected="0">
            <x v="208"/>
          </reference>
          <reference field="6" count="1" selected="0">
            <x v="2"/>
          </reference>
          <reference field="9" count="1" selected="0">
            <x v="10"/>
          </reference>
          <reference field="11" count="1" selected="0">
            <x v="29"/>
          </reference>
          <reference field="12" count="1">
            <x v="6"/>
          </reference>
        </references>
      </pivotArea>
    </format>
    <format dxfId="9509">
      <pivotArea dataOnly="0" labelOnly="1" outline="0" fieldPosition="0">
        <references count="8">
          <reference field="1" count="0" selected="0"/>
          <reference field="3" count="1" selected="0">
            <x v="4"/>
          </reference>
          <reference field="4" count="1" selected="0">
            <x v="1"/>
          </reference>
          <reference field="5" count="1" selected="0">
            <x v="96"/>
          </reference>
          <reference field="6" count="1" selected="0">
            <x v="2"/>
          </reference>
          <reference field="9" count="1" selected="0">
            <x v="10"/>
          </reference>
          <reference field="11" count="1" selected="0">
            <x v="3"/>
          </reference>
          <reference field="12" count="1">
            <x v="1"/>
          </reference>
        </references>
      </pivotArea>
    </format>
    <format dxfId="9508">
      <pivotArea dataOnly="0" labelOnly="1" outline="0" fieldPosition="0">
        <references count="8">
          <reference field="1" count="0" selected="0"/>
          <reference field="3" count="1" selected="0">
            <x v="4"/>
          </reference>
          <reference field="4" count="1" selected="0">
            <x v="1"/>
          </reference>
          <reference field="5" count="1" selected="0">
            <x v="104"/>
          </reference>
          <reference field="6" count="1" selected="0">
            <x v="2"/>
          </reference>
          <reference field="9" count="1" selected="0">
            <x v="2"/>
          </reference>
          <reference field="11" count="1" selected="0">
            <x v="14"/>
          </reference>
          <reference field="12" count="1">
            <x v="3"/>
          </reference>
        </references>
      </pivotArea>
    </format>
    <format dxfId="9507">
      <pivotArea dataOnly="0" labelOnly="1" outline="0" fieldPosition="0">
        <references count="8">
          <reference field="1" count="0" selected="0"/>
          <reference field="3" count="1" selected="0">
            <x v="4"/>
          </reference>
          <reference field="4" count="1" selected="0">
            <x v="1"/>
          </reference>
          <reference field="5" count="1" selected="0">
            <x v="169"/>
          </reference>
          <reference field="6" count="1" selected="0">
            <x v="2"/>
          </reference>
          <reference field="9" count="1" selected="0">
            <x v="10"/>
          </reference>
          <reference field="11" count="1" selected="0">
            <x v="17"/>
          </reference>
          <reference field="12" count="1">
            <x v="8"/>
          </reference>
        </references>
      </pivotArea>
    </format>
    <format dxfId="9506">
      <pivotArea dataOnly="0" labelOnly="1" outline="0" fieldPosition="0">
        <references count="8">
          <reference field="1" count="0" selected="0"/>
          <reference field="3" count="1" selected="0">
            <x v="4"/>
          </reference>
          <reference field="4" count="1" selected="0">
            <x v="1"/>
          </reference>
          <reference field="5" count="1" selected="0">
            <x v="327"/>
          </reference>
          <reference field="6" count="1" selected="0">
            <x v="2"/>
          </reference>
          <reference field="9" count="1" selected="0">
            <x v="10"/>
          </reference>
          <reference field="11" count="1" selected="0">
            <x v="14"/>
          </reference>
          <reference field="12" count="1">
            <x v="16"/>
          </reference>
        </references>
      </pivotArea>
    </format>
    <format dxfId="9505">
      <pivotArea dataOnly="0" labelOnly="1" outline="0" fieldPosition="0">
        <references count="8">
          <reference field="1" count="0" selected="0"/>
          <reference field="3" count="1" selected="0">
            <x v="5"/>
          </reference>
          <reference field="4" count="1" selected="0">
            <x v="3"/>
          </reference>
          <reference field="5" count="1" selected="0">
            <x v="132"/>
          </reference>
          <reference field="6" count="1" selected="0">
            <x v="3"/>
          </reference>
          <reference field="9" count="1" selected="0">
            <x v="10"/>
          </reference>
          <reference field="11" count="1" selected="0">
            <x v="14"/>
          </reference>
          <reference field="12" count="1">
            <x v="20"/>
          </reference>
        </references>
      </pivotArea>
    </format>
    <format dxfId="9504">
      <pivotArea dataOnly="0" labelOnly="1" outline="0" fieldPosition="0">
        <references count="8">
          <reference field="1" count="0" selected="0"/>
          <reference field="3" count="1" selected="0">
            <x v="6"/>
          </reference>
          <reference field="4" count="1" selected="0">
            <x v="0"/>
          </reference>
          <reference field="5" count="1" selected="0">
            <x v="95"/>
          </reference>
          <reference field="6" count="1" selected="0">
            <x v="9"/>
          </reference>
          <reference field="9" count="1" selected="0">
            <x v="10"/>
          </reference>
          <reference field="11" count="1" selected="0">
            <x v="1"/>
          </reference>
          <reference field="12" count="1">
            <x v="8"/>
          </reference>
        </references>
      </pivotArea>
    </format>
    <format dxfId="9503">
      <pivotArea dataOnly="0" labelOnly="1" outline="0" fieldPosition="0">
        <references count="8">
          <reference field="1" count="0" selected="0"/>
          <reference field="3" count="1" selected="0">
            <x v="6"/>
          </reference>
          <reference field="4" count="1" selected="0">
            <x v="0"/>
          </reference>
          <reference field="5" count="1" selected="0">
            <x v="129"/>
          </reference>
          <reference field="6" count="1" selected="0">
            <x v="9"/>
          </reference>
          <reference field="9" count="1" selected="0">
            <x v="10"/>
          </reference>
          <reference field="11" count="1" selected="0">
            <x v="14"/>
          </reference>
          <reference field="12" count="1">
            <x v="3"/>
          </reference>
        </references>
      </pivotArea>
    </format>
    <format dxfId="9502">
      <pivotArea dataOnly="0" labelOnly="1" outline="0" fieldPosition="0">
        <references count="8">
          <reference field="1" count="0" selected="0"/>
          <reference field="3" count="1" selected="0">
            <x v="6"/>
          </reference>
          <reference field="4" count="1" selected="0">
            <x v="0"/>
          </reference>
          <reference field="5" count="1" selected="0">
            <x v="157"/>
          </reference>
          <reference field="6" count="1" selected="0">
            <x v="9"/>
          </reference>
          <reference field="9" count="1" selected="0">
            <x v="10"/>
          </reference>
          <reference field="11" count="1" selected="0">
            <x v="14"/>
          </reference>
          <reference field="12" count="1">
            <x v="27"/>
          </reference>
        </references>
      </pivotArea>
    </format>
    <format dxfId="9501">
      <pivotArea dataOnly="0" labelOnly="1" outline="0" fieldPosition="0">
        <references count="8">
          <reference field="1" count="0" selected="0"/>
          <reference field="3" count="1" selected="0">
            <x v="6"/>
          </reference>
          <reference field="4" count="1" selected="0">
            <x v="0"/>
          </reference>
          <reference field="5" count="1" selected="0">
            <x v="158"/>
          </reference>
          <reference field="6" count="1" selected="0">
            <x v="9"/>
          </reference>
          <reference field="9" count="1" selected="0">
            <x v="10"/>
          </reference>
          <reference field="11" count="1" selected="0">
            <x v="14"/>
          </reference>
          <reference field="12" count="1">
            <x v="10"/>
          </reference>
        </references>
      </pivotArea>
    </format>
    <format dxfId="9500">
      <pivotArea dataOnly="0" labelOnly="1" outline="0" fieldPosition="0">
        <references count="8">
          <reference field="1" count="0" selected="0"/>
          <reference field="3" count="1" selected="0">
            <x v="6"/>
          </reference>
          <reference field="4" count="1" selected="0">
            <x v="0"/>
          </reference>
          <reference field="5" count="1" selected="0">
            <x v="170"/>
          </reference>
          <reference field="6" count="1" selected="0">
            <x v="9"/>
          </reference>
          <reference field="9" count="1" selected="0">
            <x v="10"/>
          </reference>
          <reference field="11" count="1" selected="0">
            <x v="14"/>
          </reference>
          <reference field="12" count="1">
            <x v="33"/>
          </reference>
        </references>
      </pivotArea>
    </format>
    <format dxfId="9499">
      <pivotArea dataOnly="0" labelOnly="1" outline="0" fieldPosition="0">
        <references count="8">
          <reference field="1" count="0" selected="0"/>
          <reference field="3" count="1" selected="0">
            <x v="6"/>
          </reference>
          <reference field="4" count="1" selected="0">
            <x v="0"/>
          </reference>
          <reference field="5" count="1" selected="0">
            <x v="171"/>
          </reference>
          <reference field="6" count="1" selected="0">
            <x v="9"/>
          </reference>
          <reference field="9" count="1" selected="0">
            <x v="10"/>
          </reference>
          <reference field="11" count="1" selected="0">
            <x v="33"/>
          </reference>
          <reference field="12" count="1">
            <x v="8"/>
          </reference>
        </references>
      </pivotArea>
    </format>
    <format dxfId="9498">
      <pivotArea dataOnly="0" labelOnly="1" outline="0" fieldPosition="0">
        <references count="8">
          <reference field="1" count="0" selected="0"/>
          <reference field="3" count="1" selected="0">
            <x v="6"/>
          </reference>
          <reference field="4" count="1" selected="0">
            <x v="0"/>
          </reference>
          <reference field="5" count="1" selected="0">
            <x v="180"/>
          </reference>
          <reference field="6" count="1" selected="0">
            <x v="9"/>
          </reference>
          <reference field="9" count="1" selected="0">
            <x v="10"/>
          </reference>
          <reference field="11" count="1" selected="0">
            <x v="3"/>
          </reference>
          <reference field="12" count="1">
            <x v="1"/>
          </reference>
        </references>
      </pivotArea>
    </format>
    <format dxfId="9497">
      <pivotArea dataOnly="0" labelOnly="1" outline="0" fieldPosition="0">
        <references count="8">
          <reference field="1" count="0" selected="0"/>
          <reference field="3" count="1" selected="0">
            <x v="6"/>
          </reference>
          <reference field="4" count="1" selected="0">
            <x v="0"/>
          </reference>
          <reference field="5" count="1" selected="0">
            <x v="186"/>
          </reference>
          <reference field="6" count="1" selected="0">
            <x v="9"/>
          </reference>
          <reference field="9" count="1" selected="0">
            <x v="10"/>
          </reference>
          <reference field="11" count="1" selected="0">
            <x v="46"/>
          </reference>
          <reference field="12" count="1">
            <x v="8"/>
          </reference>
        </references>
      </pivotArea>
    </format>
    <format dxfId="9496">
      <pivotArea dataOnly="0" labelOnly="1" outline="0" fieldPosition="0">
        <references count="8">
          <reference field="1" count="0" selected="0"/>
          <reference field="3" count="1" selected="0">
            <x v="6"/>
          </reference>
          <reference field="4" count="1" selected="0">
            <x v="0"/>
          </reference>
          <reference field="5" count="1" selected="0">
            <x v="351"/>
          </reference>
          <reference field="6" count="1" selected="0">
            <x v="9"/>
          </reference>
          <reference field="9" count="1" selected="0">
            <x v="10"/>
          </reference>
          <reference field="11" count="1" selected="0">
            <x v="14"/>
          </reference>
          <reference field="12" count="1">
            <x v="3"/>
          </reference>
        </references>
      </pivotArea>
    </format>
    <format dxfId="9495">
      <pivotArea dataOnly="0" labelOnly="1" outline="0" fieldPosition="0">
        <references count="8">
          <reference field="1" count="0" selected="0"/>
          <reference field="3" count="1" selected="0">
            <x v="8"/>
          </reference>
          <reference field="4" count="1" selected="0">
            <x v="3"/>
          </reference>
          <reference field="5" count="1" selected="0">
            <x v="114"/>
          </reference>
          <reference field="6" count="1" selected="0">
            <x v="3"/>
          </reference>
          <reference field="9" count="1" selected="0">
            <x v="10"/>
          </reference>
          <reference field="11" count="1" selected="0">
            <x v="14"/>
          </reference>
          <reference field="12" count="1">
            <x v="23"/>
          </reference>
        </references>
      </pivotArea>
    </format>
    <format dxfId="9494">
      <pivotArea dataOnly="0" labelOnly="1" outline="0" fieldPosition="0">
        <references count="8">
          <reference field="1" count="0" selected="0"/>
          <reference field="3" count="1" selected="0">
            <x v="9"/>
          </reference>
          <reference field="4" count="1" selected="0">
            <x v="4"/>
          </reference>
          <reference field="5" count="1" selected="0">
            <x v="144"/>
          </reference>
          <reference field="6" count="1" selected="0">
            <x v="5"/>
          </reference>
          <reference field="9" count="1" selected="0">
            <x v="10"/>
          </reference>
          <reference field="11" count="1" selected="0">
            <x v="14"/>
          </reference>
          <reference field="12" count="1">
            <x v="18"/>
          </reference>
        </references>
      </pivotArea>
    </format>
    <format dxfId="9493">
      <pivotArea dataOnly="0" labelOnly="1" outline="0" fieldPosition="0">
        <references count="8">
          <reference field="1" count="0" selected="0"/>
          <reference field="3" count="1" selected="0">
            <x v="9"/>
          </reference>
          <reference field="4" count="1" selected="0">
            <x v="6"/>
          </reference>
          <reference field="5" count="1" selected="0">
            <x v="161"/>
          </reference>
          <reference field="6" count="1" selected="0">
            <x v="5"/>
          </reference>
          <reference field="9" count="1" selected="0">
            <x v="7"/>
          </reference>
          <reference field="11" count="1" selected="0">
            <x v="1"/>
          </reference>
          <reference field="12" count="1">
            <x v="8"/>
          </reference>
        </references>
      </pivotArea>
    </format>
    <format dxfId="9492">
      <pivotArea dataOnly="0" labelOnly="1" outline="0" fieldPosition="0">
        <references count="9">
          <reference field="1" count="0" selected="0"/>
          <reference field="3" count="1" selected="0">
            <x v="0"/>
          </reference>
          <reference field="4" count="1" selected="0">
            <x v="1"/>
          </reference>
          <reference field="5" count="1" selected="0">
            <x v="348"/>
          </reference>
          <reference field="6" count="1" selected="0">
            <x v="7"/>
          </reference>
          <reference field="9" count="1" selected="0">
            <x v="10"/>
          </reference>
          <reference field="11" count="1" selected="0">
            <x v="14"/>
          </reference>
          <reference field="12" count="1" selected="0">
            <x v="24"/>
          </reference>
          <reference field="13" count="1">
            <x v="3"/>
          </reference>
        </references>
      </pivotArea>
    </format>
    <format dxfId="9491">
      <pivotArea dataOnly="0" labelOnly="1" outline="0" fieldPosition="0">
        <references count="9">
          <reference field="1" count="0" selected="0"/>
          <reference field="3" count="1" selected="0">
            <x v="3"/>
          </reference>
          <reference field="4" count="1" selected="0">
            <x v="1"/>
          </reference>
          <reference field="5" count="1" selected="0">
            <x v="201"/>
          </reference>
          <reference field="6" count="1" selected="0">
            <x v="2"/>
          </reference>
          <reference field="9" count="1" selected="0">
            <x v="10"/>
          </reference>
          <reference field="11" count="1" selected="0">
            <x v="1"/>
          </reference>
          <reference field="12" count="1" selected="0">
            <x v="8"/>
          </reference>
          <reference field="13" count="1">
            <x v="3"/>
          </reference>
        </references>
      </pivotArea>
    </format>
    <format dxfId="9490">
      <pivotArea dataOnly="0" labelOnly="1" outline="0" fieldPosition="0">
        <references count="9">
          <reference field="1" count="0" selected="0"/>
          <reference field="3" count="1" selected="0">
            <x v="4"/>
          </reference>
          <reference field="4" count="1" selected="0">
            <x v="1"/>
          </reference>
          <reference field="5" count="1" selected="0">
            <x v="104"/>
          </reference>
          <reference field="6" count="1" selected="0">
            <x v="2"/>
          </reference>
          <reference field="9" count="1" selected="0">
            <x v="2"/>
          </reference>
          <reference field="11" count="1" selected="0">
            <x v="14"/>
          </reference>
          <reference field="12" count="1" selected="0">
            <x v="3"/>
          </reference>
          <reference field="13" count="1">
            <x v="3"/>
          </reference>
        </references>
      </pivotArea>
    </format>
    <format dxfId="9489">
      <pivotArea dataOnly="0" labelOnly="1" outline="0" fieldPosition="0">
        <references count="9">
          <reference field="1" count="0" selected="0"/>
          <reference field="3" count="1" selected="0">
            <x v="5"/>
          </reference>
          <reference field="4" count="1" selected="0">
            <x v="3"/>
          </reference>
          <reference field="5" count="1" selected="0">
            <x v="132"/>
          </reference>
          <reference field="6" count="1" selected="0">
            <x v="3"/>
          </reference>
          <reference field="9" count="1" selected="0">
            <x v="10"/>
          </reference>
          <reference field="11" count="1" selected="0">
            <x v="14"/>
          </reference>
          <reference field="12" count="1" selected="0">
            <x v="20"/>
          </reference>
          <reference field="13" count="1">
            <x v="3"/>
          </reference>
        </references>
      </pivotArea>
    </format>
    <format dxfId="9488">
      <pivotArea dataOnly="0" labelOnly="1" outline="0" fieldPosition="0">
        <references count="9">
          <reference field="1" count="0" selected="0"/>
          <reference field="3" count="1" selected="0">
            <x v="6"/>
          </reference>
          <reference field="4" count="1" selected="0">
            <x v="0"/>
          </reference>
          <reference field="5" count="1" selected="0">
            <x v="186"/>
          </reference>
          <reference field="6" count="1" selected="0">
            <x v="9"/>
          </reference>
          <reference field="9" count="1" selected="0">
            <x v="10"/>
          </reference>
          <reference field="11" count="1" selected="0">
            <x v="46"/>
          </reference>
          <reference field="12" count="1" selected="0">
            <x v="8"/>
          </reference>
          <reference field="13" count="1">
            <x v="3"/>
          </reference>
        </references>
      </pivotArea>
    </format>
    <format dxfId="9487">
      <pivotArea dataOnly="0" labelOnly="1" outline="0" fieldPosition="0">
        <references count="9">
          <reference field="1" count="0" selected="0"/>
          <reference field="3" count="1" selected="0">
            <x v="8"/>
          </reference>
          <reference field="4" count="1" selected="0">
            <x v="3"/>
          </reference>
          <reference field="5" count="1" selected="0">
            <x v="114"/>
          </reference>
          <reference field="6" count="1" selected="0">
            <x v="3"/>
          </reference>
          <reference field="9" count="1" selected="0">
            <x v="10"/>
          </reference>
          <reference field="11" count="1" selected="0">
            <x v="14"/>
          </reference>
          <reference field="12" count="1" selected="0">
            <x v="23"/>
          </reference>
          <reference field="13" count="1">
            <x v="2"/>
          </reference>
        </references>
      </pivotArea>
    </format>
    <format dxfId="9486">
      <pivotArea dataOnly="0" labelOnly="1" outline="0" fieldPosition="0">
        <references count="10">
          <reference field="1" count="0" selected="0"/>
          <reference field="3" count="1" selected="0">
            <x v="0"/>
          </reference>
          <reference field="4" count="1" selected="0">
            <x v="1"/>
          </reference>
          <reference field="5" count="1" selected="0">
            <x v="348"/>
          </reference>
          <reference field="6" count="1" selected="0">
            <x v="7"/>
          </reference>
          <reference field="9" count="1" selected="0">
            <x v="10"/>
          </reference>
          <reference field="11" count="1" selected="0">
            <x v="14"/>
          </reference>
          <reference field="12" count="1" selected="0">
            <x v="24"/>
          </reference>
          <reference field="13" count="1" selected="0">
            <x v="3"/>
          </reference>
          <reference field="14" count="1">
            <x v="54"/>
          </reference>
        </references>
      </pivotArea>
    </format>
    <format dxfId="9485">
      <pivotArea dataOnly="0" labelOnly="1" outline="0" fieldPosition="0">
        <references count="10">
          <reference field="1" count="0" selected="0"/>
          <reference field="3" count="1" selected="0">
            <x v="3"/>
          </reference>
          <reference field="4" count="1" selected="0">
            <x v="1"/>
          </reference>
          <reference field="5" count="1" selected="0">
            <x v="192"/>
          </reference>
          <reference field="6" count="1" selected="0">
            <x v="2"/>
          </reference>
          <reference field="9" count="1" selected="0">
            <x v="10"/>
          </reference>
          <reference field="11" count="1" selected="0">
            <x v="16"/>
          </reference>
          <reference field="12" count="1" selected="0">
            <x v="8"/>
          </reference>
          <reference field="13" count="1" selected="0">
            <x v="3"/>
          </reference>
          <reference field="14" count="1">
            <x v="17"/>
          </reference>
        </references>
      </pivotArea>
    </format>
    <format dxfId="9484">
      <pivotArea dataOnly="0" labelOnly="1" outline="0" fieldPosition="0">
        <references count="10">
          <reference field="1" count="0" selected="0"/>
          <reference field="3" count="1" selected="0">
            <x v="3"/>
          </reference>
          <reference field="4" count="1" selected="0">
            <x v="1"/>
          </reference>
          <reference field="5" count="1" selected="0">
            <x v="193"/>
          </reference>
          <reference field="6" count="1" selected="0">
            <x v="2"/>
          </reference>
          <reference field="9" count="1" selected="0">
            <x v="10"/>
          </reference>
          <reference field="11" count="1" selected="0">
            <x v="49"/>
          </reference>
          <reference field="12" count="1" selected="0">
            <x v="29"/>
          </reference>
          <reference field="13" count="1" selected="0">
            <x v="3"/>
          </reference>
          <reference field="14" count="1">
            <x v="23"/>
          </reference>
        </references>
      </pivotArea>
    </format>
    <format dxfId="9483">
      <pivotArea dataOnly="0" labelOnly="1" outline="0" fieldPosition="0">
        <references count="10">
          <reference field="1" count="0" selected="0"/>
          <reference field="3" count="1" selected="0">
            <x v="3"/>
          </reference>
          <reference field="4" count="1" selected="0">
            <x v="1"/>
          </reference>
          <reference field="5" count="1" selected="0">
            <x v="201"/>
          </reference>
          <reference field="6" count="1" selected="0">
            <x v="2"/>
          </reference>
          <reference field="9" count="1" selected="0">
            <x v="10"/>
          </reference>
          <reference field="11" count="1" selected="0">
            <x v="1"/>
          </reference>
          <reference field="12" count="1" selected="0">
            <x v="8"/>
          </reference>
          <reference field="13" count="1" selected="0">
            <x v="3"/>
          </reference>
          <reference field="14" count="1">
            <x v="6"/>
          </reference>
        </references>
      </pivotArea>
    </format>
    <format dxfId="9482">
      <pivotArea dataOnly="0" labelOnly="1" outline="0" fieldPosition="0">
        <references count="10">
          <reference field="1" count="0" selected="0"/>
          <reference field="3" count="1" selected="0">
            <x v="3"/>
          </reference>
          <reference field="4" count="1" selected="0">
            <x v="1"/>
          </reference>
          <reference field="5" count="1" selected="0">
            <x v="208"/>
          </reference>
          <reference field="6" count="1" selected="0">
            <x v="2"/>
          </reference>
          <reference field="9" count="1" selected="0">
            <x v="10"/>
          </reference>
          <reference field="11" count="1" selected="0">
            <x v="29"/>
          </reference>
          <reference field="12" count="1" selected="0">
            <x v="6"/>
          </reference>
          <reference field="13" count="1" selected="0">
            <x v="3"/>
          </reference>
          <reference field="14" count="1">
            <x v="34"/>
          </reference>
        </references>
      </pivotArea>
    </format>
    <format dxfId="9481">
      <pivotArea dataOnly="0" labelOnly="1" outline="0" fieldPosition="0">
        <references count="10">
          <reference field="1" count="0" selected="0"/>
          <reference field="3" count="1" selected="0">
            <x v="4"/>
          </reference>
          <reference field="4" count="1" selected="0">
            <x v="1"/>
          </reference>
          <reference field="5" count="1" selected="0">
            <x v="96"/>
          </reference>
          <reference field="6" count="1" selected="0">
            <x v="2"/>
          </reference>
          <reference field="9" count="1" selected="0">
            <x v="10"/>
          </reference>
          <reference field="11" count="1" selected="0">
            <x v="3"/>
          </reference>
          <reference field="12" count="1" selected="0">
            <x v="1"/>
          </reference>
          <reference field="13" count="1" selected="0">
            <x v="3"/>
          </reference>
          <reference field="14" count="1">
            <x v="17"/>
          </reference>
        </references>
      </pivotArea>
    </format>
    <format dxfId="9480">
      <pivotArea dataOnly="0" labelOnly="1" outline="0" fieldPosition="0">
        <references count="10">
          <reference field="1" count="0" selected="0"/>
          <reference field="3" count="1" selected="0">
            <x v="4"/>
          </reference>
          <reference field="4" count="1" selected="0">
            <x v="1"/>
          </reference>
          <reference field="5" count="1" selected="0">
            <x v="104"/>
          </reference>
          <reference field="6" count="1" selected="0">
            <x v="2"/>
          </reference>
          <reference field="9" count="1" selected="0">
            <x v="2"/>
          </reference>
          <reference field="11" count="1" selected="0">
            <x v="14"/>
          </reference>
          <reference field="12" count="1" selected="0">
            <x v="3"/>
          </reference>
          <reference field="13" count="1" selected="0">
            <x v="3"/>
          </reference>
          <reference field="14" count="1">
            <x v="17"/>
          </reference>
        </references>
      </pivotArea>
    </format>
    <format dxfId="9479">
      <pivotArea dataOnly="0" labelOnly="1" outline="0" fieldPosition="0">
        <references count="10">
          <reference field="1" count="0" selected="0"/>
          <reference field="3" count="1" selected="0">
            <x v="4"/>
          </reference>
          <reference field="4" count="1" selected="0">
            <x v="1"/>
          </reference>
          <reference field="5" count="1" selected="0">
            <x v="169"/>
          </reference>
          <reference field="6" count="1" selected="0">
            <x v="2"/>
          </reference>
          <reference field="9" count="1" selected="0">
            <x v="10"/>
          </reference>
          <reference field="11" count="1" selected="0">
            <x v="17"/>
          </reference>
          <reference field="12" count="1" selected="0">
            <x v="8"/>
          </reference>
          <reference field="13" count="1" selected="0">
            <x v="3"/>
          </reference>
          <reference field="14" count="1">
            <x v="36"/>
          </reference>
        </references>
      </pivotArea>
    </format>
    <format dxfId="9478">
      <pivotArea dataOnly="0" labelOnly="1" outline="0" fieldPosition="0">
        <references count="10">
          <reference field="1" count="0" selected="0"/>
          <reference field="3" count="1" selected="0">
            <x v="4"/>
          </reference>
          <reference field="4" count="1" selected="0">
            <x v="1"/>
          </reference>
          <reference field="5" count="1" selected="0">
            <x v="210"/>
          </reference>
          <reference field="6" count="1" selected="0">
            <x v="2"/>
          </reference>
          <reference field="9" count="1" selected="0">
            <x v="10"/>
          </reference>
          <reference field="11" count="1" selected="0">
            <x v="16"/>
          </reference>
          <reference field="12" count="1" selected="0">
            <x v="8"/>
          </reference>
          <reference field="13" count="1" selected="0">
            <x v="3"/>
          </reference>
          <reference field="14" count="1">
            <x v="17"/>
          </reference>
        </references>
      </pivotArea>
    </format>
    <format dxfId="9477">
      <pivotArea dataOnly="0" labelOnly="1" outline="0" fieldPosition="0">
        <references count="10">
          <reference field="1" count="0" selected="0"/>
          <reference field="3" count="1" selected="0">
            <x v="4"/>
          </reference>
          <reference field="4" count="1" selected="0">
            <x v="1"/>
          </reference>
          <reference field="5" count="1" selected="0">
            <x v="327"/>
          </reference>
          <reference field="6" count="1" selected="0">
            <x v="2"/>
          </reference>
          <reference field="9" count="1" selected="0">
            <x v="10"/>
          </reference>
          <reference field="11" count="1" selected="0">
            <x v="14"/>
          </reference>
          <reference field="12" count="1" selected="0">
            <x v="16"/>
          </reference>
          <reference field="13" count="1" selected="0">
            <x v="3"/>
          </reference>
          <reference field="14" count="1">
            <x v="7"/>
          </reference>
        </references>
      </pivotArea>
    </format>
    <format dxfId="9476">
      <pivotArea dataOnly="0" labelOnly="1" outline="0" fieldPosition="0">
        <references count="10">
          <reference field="1" count="0" selected="0"/>
          <reference field="3" count="1" selected="0">
            <x v="5"/>
          </reference>
          <reference field="4" count="1" selected="0">
            <x v="3"/>
          </reference>
          <reference field="5" count="1" selected="0">
            <x v="132"/>
          </reference>
          <reference field="6" count="1" selected="0">
            <x v="3"/>
          </reference>
          <reference field="9" count="1" selected="0">
            <x v="10"/>
          </reference>
          <reference field="11" count="1" selected="0">
            <x v="14"/>
          </reference>
          <reference field="12" count="1" selected="0">
            <x v="20"/>
          </reference>
          <reference field="13" count="1" selected="0">
            <x v="3"/>
          </reference>
          <reference field="14" count="1">
            <x v="18"/>
          </reference>
        </references>
      </pivotArea>
    </format>
    <format dxfId="9475">
      <pivotArea dataOnly="0" labelOnly="1" outline="0" fieldPosition="0">
        <references count="10">
          <reference field="1" count="0" selected="0"/>
          <reference field="3" count="1" selected="0">
            <x v="6"/>
          </reference>
          <reference field="4" count="1" selected="0">
            <x v="0"/>
          </reference>
          <reference field="5" count="1" selected="0">
            <x v="95"/>
          </reference>
          <reference field="6" count="1" selected="0">
            <x v="9"/>
          </reference>
          <reference field="9" count="1" selected="0">
            <x v="10"/>
          </reference>
          <reference field="11" count="1" selected="0">
            <x v="1"/>
          </reference>
          <reference field="12" count="1" selected="0">
            <x v="8"/>
          </reference>
          <reference field="13" count="1" selected="0">
            <x v="3"/>
          </reference>
          <reference field="14" count="1">
            <x v="0"/>
          </reference>
        </references>
      </pivotArea>
    </format>
    <format dxfId="9474">
      <pivotArea dataOnly="0" labelOnly="1" outline="0" fieldPosition="0">
        <references count="10">
          <reference field="1" count="0" selected="0"/>
          <reference field="3" count="1" selected="0">
            <x v="6"/>
          </reference>
          <reference field="4" count="1" selected="0">
            <x v="0"/>
          </reference>
          <reference field="5" count="1" selected="0">
            <x v="106"/>
          </reference>
          <reference field="6" count="1" selected="0">
            <x v="9"/>
          </reference>
          <reference field="9" count="1" selected="0">
            <x v="10"/>
          </reference>
          <reference field="11" count="1" selected="0">
            <x v="1"/>
          </reference>
          <reference field="12" count="1" selected="0">
            <x v="8"/>
          </reference>
          <reference field="13" count="1" selected="0">
            <x v="3"/>
          </reference>
          <reference field="14" count="1">
            <x v="4"/>
          </reference>
        </references>
      </pivotArea>
    </format>
    <format dxfId="9473">
      <pivotArea dataOnly="0" labelOnly="1" outline="0" fieldPosition="0">
        <references count="10">
          <reference field="1" count="0" selected="0"/>
          <reference field="3" count="1" selected="0">
            <x v="6"/>
          </reference>
          <reference field="4" count="1" selected="0">
            <x v="0"/>
          </reference>
          <reference field="5" count="1" selected="0">
            <x v="129"/>
          </reference>
          <reference field="6" count="1" selected="0">
            <x v="9"/>
          </reference>
          <reference field="9" count="1" selected="0">
            <x v="10"/>
          </reference>
          <reference field="11" count="1" selected="0">
            <x v="14"/>
          </reference>
          <reference field="12" count="1" selected="0">
            <x v="3"/>
          </reference>
          <reference field="13" count="1" selected="0">
            <x v="3"/>
          </reference>
          <reference field="14" count="1">
            <x v="17"/>
          </reference>
        </references>
      </pivotArea>
    </format>
    <format dxfId="9472">
      <pivotArea dataOnly="0" labelOnly="1" outline="0" fieldPosition="0">
        <references count="10">
          <reference field="1" count="0" selected="0"/>
          <reference field="3" count="1" selected="0">
            <x v="6"/>
          </reference>
          <reference field="4" count="1" selected="0">
            <x v="0"/>
          </reference>
          <reference field="5" count="1" selected="0">
            <x v="157"/>
          </reference>
          <reference field="6" count="1" selected="0">
            <x v="9"/>
          </reference>
          <reference field="9" count="1" selected="0">
            <x v="10"/>
          </reference>
          <reference field="11" count="1" selected="0">
            <x v="14"/>
          </reference>
          <reference field="12" count="1" selected="0">
            <x v="27"/>
          </reference>
          <reference field="13" count="1" selected="0">
            <x v="3"/>
          </reference>
          <reference field="14" count="1">
            <x v="37"/>
          </reference>
        </references>
      </pivotArea>
    </format>
    <format dxfId="9471">
      <pivotArea dataOnly="0" labelOnly="1" outline="0" fieldPosition="0">
        <references count="10">
          <reference field="1" count="0" selected="0"/>
          <reference field="3" count="1" selected="0">
            <x v="6"/>
          </reference>
          <reference field="4" count="1" selected="0">
            <x v="0"/>
          </reference>
          <reference field="5" count="1" selected="0">
            <x v="158"/>
          </reference>
          <reference field="6" count="1" selected="0">
            <x v="9"/>
          </reference>
          <reference field="9" count="1" selected="0">
            <x v="10"/>
          </reference>
          <reference field="11" count="1" selected="0">
            <x v="14"/>
          </reference>
          <reference field="12" count="1" selected="0">
            <x v="10"/>
          </reference>
          <reference field="13" count="1" selected="0">
            <x v="3"/>
          </reference>
          <reference field="14" count="1">
            <x v="12"/>
          </reference>
        </references>
      </pivotArea>
    </format>
    <format dxfId="9470">
      <pivotArea dataOnly="0" labelOnly="1" outline="0" fieldPosition="0">
        <references count="10">
          <reference field="1" count="0" selected="0"/>
          <reference field="3" count="1" selected="0">
            <x v="6"/>
          </reference>
          <reference field="4" count="1" selected="0">
            <x v="0"/>
          </reference>
          <reference field="5" count="1" selected="0">
            <x v="170"/>
          </reference>
          <reference field="6" count="1" selected="0">
            <x v="9"/>
          </reference>
          <reference field="9" count="1" selected="0">
            <x v="10"/>
          </reference>
          <reference field="11" count="1" selected="0">
            <x v="14"/>
          </reference>
          <reference field="12" count="1" selected="0">
            <x v="33"/>
          </reference>
          <reference field="13" count="1" selected="0">
            <x v="3"/>
          </reference>
          <reference field="14" count="1">
            <x v="25"/>
          </reference>
        </references>
      </pivotArea>
    </format>
    <format dxfId="9469">
      <pivotArea dataOnly="0" labelOnly="1" outline="0" fieldPosition="0">
        <references count="10">
          <reference field="1" count="0" selected="0"/>
          <reference field="3" count="1" selected="0">
            <x v="6"/>
          </reference>
          <reference field="4" count="1" selected="0">
            <x v="0"/>
          </reference>
          <reference field="5" count="1" selected="0">
            <x v="171"/>
          </reference>
          <reference field="6" count="1" selected="0">
            <x v="9"/>
          </reference>
          <reference field="9" count="1" selected="0">
            <x v="10"/>
          </reference>
          <reference field="11" count="1" selected="0">
            <x v="33"/>
          </reference>
          <reference field="12" count="1" selected="0">
            <x v="8"/>
          </reference>
          <reference field="13" count="1" selected="0">
            <x v="3"/>
          </reference>
          <reference field="14" count="1">
            <x v="43"/>
          </reference>
        </references>
      </pivotArea>
    </format>
    <format dxfId="9468">
      <pivotArea dataOnly="0" labelOnly="1" outline="0" fieldPosition="0">
        <references count="10">
          <reference field="1" count="0" selected="0"/>
          <reference field="3" count="1" selected="0">
            <x v="6"/>
          </reference>
          <reference field="4" count="1" selected="0">
            <x v="0"/>
          </reference>
          <reference field="5" count="1" selected="0">
            <x v="180"/>
          </reference>
          <reference field="6" count="1" selected="0">
            <x v="9"/>
          </reference>
          <reference field="9" count="1" selected="0">
            <x v="10"/>
          </reference>
          <reference field="11" count="1" selected="0">
            <x v="3"/>
          </reference>
          <reference field="12" count="1" selected="0">
            <x v="1"/>
          </reference>
          <reference field="13" count="1" selected="0">
            <x v="3"/>
          </reference>
          <reference field="14" count="1">
            <x v="17"/>
          </reference>
        </references>
      </pivotArea>
    </format>
    <format dxfId="9467">
      <pivotArea dataOnly="0" labelOnly="1" outline="0" fieldPosition="0">
        <references count="10">
          <reference field="1" count="0" selected="0"/>
          <reference field="3" count="1" selected="0">
            <x v="6"/>
          </reference>
          <reference field="4" count="1" selected="0">
            <x v="0"/>
          </reference>
          <reference field="5" count="1" selected="0">
            <x v="186"/>
          </reference>
          <reference field="6" count="1" selected="0">
            <x v="9"/>
          </reference>
          <reference field="9" count="1" selected="0">
            <x v="10"/>
          </reference>
          <reference field="11" count="1" selected="0">
            <x v="46"/>
          </reference>
          <reference field="12" count="1" selected="0">
            <x v="8"/>
          </reference>
          <reference field="13" count="1" selected="0">
            <x v="3"/>
          </reference>
          <reference field="14" count="1">
            <x v="20"/>
          </reference>
        </references>
      </pivotArea>
    </format>
    <format dxfId="9466">
      <pivotArea dataOnly="0" labelOnly="1" outline="0" fieldPosition="0">
        <references count="10">
          <reference field="1" count="0" selected="0"/>
          <reference field="3" count="1" selected="0">
            <x v="6"/>
          </reference>
          <reference field="4" count="1" selected="0">
            <x v="0"/>
          </reference>
          <reference field="5" count="1" selected="0">
            <x v="351"/>
          </reference>
          <reference field="6" count="1" selected="0">
            <x v="9"/>
          </reference>
          <reference field="9" count="1" selected="0">
            <x v="10"/>
          </reference>
          <reference field="11" count="1" selected="0">
            <x v="14"/>
          </reference>
          <reference field="12" count="1" selected="0">
            <x v="3"/>
          </reference>
          <reference field="13" count="1" selected="0">
            <x v="3"/>
          </reference>
          <reference field="14" count="1">
            <x v="17"/>
          </reference>
        </references>
      </pivotArea>
    </format>
    <format dxfId="9465">
      <pivotArea dataOnly="0" labelOnly="1" outline="0" fieldPosition="0">
        <references count="10">
          <reference field="1" count="0" selected="0"/>
          <reference field="3" count="1" selected="0">
            <x v="8"/>
          </reference>
          <reference field="4" count="1" selected="0">
            <x v="3"/>
          </reference>
          <reference field="5" count="1" selected="0">
            <x v="114"/>
          </reference>
          <reference field="6" count="1" selected="0">
            <x v="3"/>
          </reference>
          <reference field="9" count="1" selected="0">
            <x v="10"/>
          </reference>
          <reference field="11" count="1" selected="0">
            <x v="14"/>
          </reference>
          <reference field="12" count="1" selected="0">
            <x v="23"/>
          </reference>
          <reference field="13" count="1" selected="0">
            <x v="2"/>
          </reference>
          <reference field="14" count="1">
            <x v="17"/>
          </reference>
        </references>
      </pivotArea>
    </format>
    <format dxfId="9464">
      <pivotArea dataOnly="0" labelOnly="1" outline="0" fieldPosition="0">
        <references count="10">
          <reference field="1" count="0" selected="0"/>
          <reference field="3" count="1" selected="0">
            <x v="9"/>
          </reference>
          <reference field="4" count="1" selected="0">
            <x v="4"/>
          </reference>
          <reference field="5" count="1" selected="0">
            <x v="144"/>
          </reference>
          <reference field="6" count="1" selected="0">
            <x v="5"/>
          </reference>
          <reference field="9" count="1" selected="0">
            <x v="10"/>
          </reference>
          <reference field="11" count="1" selected="0">
            <x v="14"/>
          </reference>
          <reference field="12" count="1" selected="0">
            <x v="18"/>
          </reference>
          <reference field="13" count="1" selected="0">
            <x v="3"/>
          </reference>
          <reference field="14" count="1">
            <x v="17"/>
          </reference>
        </references>
      </pivotArea>
    </format>
    <format dxfId="9463">
      <pivotArea dataOnly="0" labelOnly="1" outline="0" fieldPosition="0">
        <references count="10">
          <reference field="1" count="0" selected="0"/>
          <reference field="3" count="1" selected="0">
            <x v="9"/>
          </reference>
          <reference field="4" count="1" selected="0">
            <x v="6"/>
          </reference>
          <reference field="5" count="1" selected="0">
            <x v="161"/>
          </reference>
          <reference field="6" count="1" selected="0">
            <x v="5"/>
          </reference>
          <reference field="9" count="1" selected="0">
            <x v="7"/>
          </reference>
          <reference field="11" count="1" selected="0">
            <x v="1"/>
          </reference>
          <reference field="12" count="1" selected="0">
            <x v="8"/>
          </reference>
          <reference field="13" count="1" selected="0">
            <x v="3"/>
          </reference>
          <reference field="14" count="1">
            <x v="5"/>
          </reference>
        </references>
      </pivotArea>
    </format>
    <format dxfId="9462">
      <pivotArea dataOnly="0" labelOnly="1" outline="0" fieldPosition="0">
        <references count="7">
          <reference field="1" count="0" selected="0"/>
          <reference field="3" count="1" selected="0">
            <x v="0"/>
          </reference>
          <reference field="4" count="1" selected="0">
            <x v="3"/>
          </reference>
          <reference field="5" count="1" selected="0">
            <x v="167"/>
          </reference>
          <reference field="6" count="1" selected="0">
            <x v="7"/>
          </reference>
          <reference field="9" count="1" selected="0">
            <x v="10"/>
          </reference>
          <reference field="11" count="1">
            <x v="49"/>
          </reference>
        </references>
      </pivotArea>
    </format>
    <format dxfId="9461">
      <pivotArea dataOnly="0" labelOnly="1" outline="0" fieldPosition="0">
        <references count="7">
          <reference field="1" count="0" selected="0"/>
          <reference field="3" count="1" selected="0">
            <x v="3"/>
          </reference>
          <reference field="4" count="1" selected="0">
            <x v="1"/>
          </reference>
          <reference field="5" count="1" selected="0">
            <x v="197"/>
          </reference>
          <reference field="6" count="1" selected="0">
            <x v="2"/>
          </reference>
          <reference field="9" count="1" selected="0">
            <x v="10"/>
          </reference>
          <reference field="11" count="1">
            <x v="4"/>
          </reference>
        </references>
      </pivotArea>
    </format>
    <format dxfId="9460">
      <pivotArea dataOnly="0" labelOnly="1" outline="0" fieldPosition="0">
        <references count="7">
          <reference field="1" count="0" selected="0"/>
          <reference field="3" count="1" selected="0">
            <x v="3"/>
          </reference>
          <reference field="4" count="1" selected="0">
            <x v="1"/>
          </reference>
          <reference field="5" count="1" selected="0">
            <x v="204"/>
          </reference>
          <reference field="6" count="1" selected="0">
            <x v="2"/>
          </reference>
          <reference field="9" count="1" selected="0">
            <x v="10"/>
          </reference>
          <reference field="11" count="1">
            <x v="42"/>
          </reference>
        </references>
      </pivotArea>
    </format>
    <format dxfId="9459">
      <pivotArea dataOnly="0" labelOnly="1" outline="0" fieldPosition="0">
        <references count="7">
          <reference field="1" count="0" selected="0"/>
          <reference field="3" count="1" selected="0">
            <x v="3"/>
          </reference>
          <reference field="4" count="1" selected="0">
            <x v="1"/>
          </reference>
          <reference field="5" count="1" selected="0">
            <x v="205"/>
          </reference>
          <reference field="6" count="1" selected="0">
            <x v="2"/>
          </reference>
          <reference field="9" count="1" selected="0">
            <x v="10"/>
          </reference>
          <reference field="11" count="1">
            <x v="14"/>
          </reference>
        </references>
      </pivotArea>
    </format>
    <format dxfId="9458">
      <pivotArea dataOnly="0" labelOnly="1" outline="0" fieldPosition="0">
        <references count="7">
          <reference field="1" count="0" selected="0"/>
          <reference field="3" count="1" selected="0">
            <x v="4"/>
          </reference>
          <reference field="4" count="1" selected="0">
            <x v="1"/>
          </reference>
          <reference field="5" count="1" selected="0">
            <x v="116"/>
          </reference>
          <reference field="6" count="1" selected="0">
            <x v="2"/>
          </reference>
          <reference field="9" count="1" selected="0">
            <x v="10"/>
          </reference>
          <reference field="11" count="1">
            <x v="14"/>
          </reference>
        </references>
      </pivotArea>
    </format>
    <format dxfId="9457">
      <pivotArea dataOnly="0" labelOnly="1" outline="0" fieldPosition="0">
        <references count="7">
          <reference field="1" count="0" selected="0"/>
          <reference field="3" count="1" selected="0">
            <x v="4"/>
          </reference>
          <reference field="4" count="1" selected="0">
            <x v="1"/>
          </reference>
          <reference field="5" count="1" selected="0">
            <x v="326"/>
          </reference>
          <reference field="6" count="1" selected="0">
            <x v="2"/>
          </reference>
          <reference field="9" count="1" selected="0">
            <x v="2"/>
          </reference>
          <reference field="11" count="1">
            <x v="29"/>
          </reference>
        </references>
      </pivotArea>
    </format>
    <format dxfId="9456">
      <pivotArea dataOnly="0" labelOnly="1" outline="0" fieldPosition="0">
        <references count="7">
          <reference field="1" count="0" selected="0"/>
          <reference field="3" count="1" selected="0">
            <x v="4"/>
          </reference>
          <reference field="4" count="1" selected="0">
            <x v="1"/>
          </reference>
          <reference field="5" count="1" selected="0">
            <x v="332"/>
          </reference>
          <reference field="6" count="1" selected="0">
            <x v="2"/>
          </reference>
          <reference field="9" count="1" selected="0">
            <x v="10"/>
          </reference>
          <reference field="11" count="1">
            <x v="21"/>
          </reference>
        </references>
      </pivotArea>
    </format>
    <format dxfId="9455">
      <pivotArea dataOnly="0" labelOnly="1" outline="0" fieldPosition="0">
        <references count="7">
          <reference field="1" count="0" selected="0"/>
          <reference field="3" count="1" selected="0">
            <x v="6"/>
          </reference>
          <reference field="4" count="1" selected="0">
            <x v="0"/>
          </reference>
          <reference field="5" count="1" selected="0">
            <x v="126"/>
          </reference>
          <reference field="6" count="1" selected="0">
            <x v="9"/>
          </reference>
          <reference field="9" count="1" selected="0">
            <x v="10"/>
          </reference>
          <reference field="11" count="1">
            <x v="1"/>
          </reference>
        </references>
      </pivotArea>
    </format>
    <format dxfId="9454">
      <pivotArea dataOnly="0" labelOnly="1" outline="0" fieldPosition="0">
        <references count="7">
          <reference field="1" count="0" selected="0"/>
          <reference field="3" count="1" selected="0">
            <x v="6"/>
          </reference>
          <reference field="4" count="1" selected="0">
            <x v="0"/>
          </reference>
          <reference field="5" count="1" selected="0">
            <x v="145"/>
          </reference>
          <reference field="6" count="1" selected="0">
            <x v="9"/>
          </reference>
          <reference field="9" count="1" selected="0">
            <x v="10"/>
          </reference>
          <reference field="11" count="1">
            <x v="27"/>
          </reference>
        </references>
      </pivotArea>
    </format>
    <format dxfId="9453">
      <pivotArea dataOnly="0" labelOnly="1" outline="0" fieldPosition="0">
        <references count="7">
          <reference field="1" count="0" selected="0"/>
          <reference field="3" count="1" selected="0">
            <x v="6"/>
          </reference>
          <reference field="4" count="1" selected="0">
            <x v="0"/>
          </reference>
          <reference field="5" count="1" selected="0">
            <x v="146"/>
          </reference>
          <reference field="6" count="1" selected="0">
            <x v="9"/>
          </reference>
          <reference field="9" count="1" selected="0">
            <x v="10"/>
          </reference>
          <reference field="11" count="1">
            <x v="6"/>
          </reference>
        </references>
      </pivotArea>
    </format>
    <format dxfId="9452">
      <pivotArea dataOnly="0" labelOnly="1" outline="0" fieldPosition="0">
        <references count="7">
          <reference field="1" count="0" selected="0"/>
          <reference field="3" count="1" selected="0">
            <x v="6"/>
          </reference>
          <reference field="4" count="1" selected="0">
            <x v="0"/>
          </reference>
          <reference field="5" count="1" selected="0">
            <x v="174"/>
          </reference>
          <reference field="6" count="1" selected="0">
            <x v="9"/>
          </reference>
          <reference field="9" count="1" selected="0">
            <x v="10"/>
          </reference>
          <reference field="11" count="1">
            <x v="20"/>
          </reference>
        </references>
      </pivotArea>
    </format>
    <format dxfId="9451">
      <pivotArea dataOnly="0" labelOnly="1" outline="0" fieldPosition="0">
        <references count="7">
          <reference field="1" count="0" selected="0"/>
          <reference field="3" count="1" selected="0">
            <x v="6"/>
          </reference>
          <reference field="4" count="1" selected="0">
            <x v="0"/>
          </reference>
          <reference field="5" count="1" selected="0">
            <x v="175"/>
          </reference>
          <reference field="6" count="1" selected="0">
            <x v="9"/>
          </reference>
          <reference field="9" count="1" selected="0">
            <x v="10"/>
          </reference>
          <reference field="11" count="1">
            <x v="14"/>
          </reference>
        </references>
      </pivotArea>
    </format>
    <format dxfId="9450">
      <pivotArea dataOnly="0" labelOnly="1" outline="0" fieldPosition="0">
        <references count="7">
          <reference field="1" count="0" selected="0"/>
          <reference field="3" count="1" selected="0">
            <x v="6"/>
          </reference>
          <reference field="4" count="1" selected="0">
            <x v="0"/>
          </reference>
          <reference field="5" count="1" selected="0">
            <x v="189"/>
          </reference>
          <reference field="6" count="1" selected="0">
            <x v="9"/>
          </reference>
          <reference field="9" count="1" selected="0">
            <x v="10"/>
          </reference>
          <reference field="11" count="1">
            <x v="32"/>
          </reference>
        </references>
      </pivotArea>
    </format>
    <format dxfId="9449">
      <pivotArea dataOnly="0" labelOnly="1" outline="0" fieldPosition="0">
        <references count="7">
          <reference field="1" count="0" selected="0"/>
          <reference field="3" count="1" selected="0">
            <x v="6"/>
          </reference>
          <reference field="4" count="1" selected="0">
            <x v="0"/>
          </reference>
          <reference field="5" count="1" selected="0">
            <x v="190"/>
          </reference>
          <reference field="6" count="1" selected="0">
            <x v="9"/>
          </reference>
          <reference field="9" count="1" selected="0">
            <x v="10"/>
          </reference>
          <reference field="11" count="1">
            <x v="44"/>
          </reference>
        </references>
      </pivotArea>
    </format>
    <format dxfId="9448">
      <pivotArea dataOnly="0" labelOnly="1" outline="0" fieldPosition="0">
        <references count="7">
          <reference field="1" count="0" selected="0"/>
          <reference field="3" count="1" selected="0">
            <x v="6"/>
          </reference>
          <reference field="4" count="1" selected="0">
            <x v="0"/>
          </reference>
          <reference field="5" count="1" selected="0">
            <x v="343"/>
          </reference>
          <reference field="6" count="1" selected="0">
            <x v="9"/>
          </reference>
          <reference field="9" count="1" selected="0">
            <x v="10"/>
          </reference>
          <reference field="11" count="1">
            <x v="52"/>
          </reference>
        </references>
      </pivotArea>
    </format>
    <format dxfId="9447">
      <pivotArea dataOnly="0" labelOnly="1" outline="0" fieldPosition="0">
        <references count="7">
          <reference field="1" count="0" selected="0"/>
          <reference field="3" count="1" selected="0">
            <x v="8"/>
          </reference>
          <reference field="4" count="1" selected="0">
            <x v="3"/>
          </reference>
          <reference field="5" count="1" selected="0">
            <x v="135"/>
          </reference>
          <reference field="6" count="1" selected="0">
            <x v="3"/>
          </reference>
          <reference field="9" count="1" selected="0">
            <x v="10"/>
          </reference>
          <reference field="11" count="1">
            <x v="37"/>
          </reference>
        </references>
      </pivotArea>
    </format>
    <format dxfId="9446">
      <pivotArea dataOnly="0" labelOnly="1" outline="0" fieldPosition="0">
        <references count="7">
          <reference field="1" count="0" selected="0"/>
          <reference field="3" count="1" selected="0">
            <x v="8"/>
          </reference>
          <reference field="4" count="1" selected="0">
            <x v="3"/>
          </reference>
          <reference field="5" count="1" selected="0">
            <x v="136"/>
          </reference>
          <reference field="6" count="1" selected="0">
            <x v="3"/>
          </reference>
          <reference field="9" count="1" selected="0">
            <x v="10"/>
          </reference>
          <reference field="11" count="1">
            <x v="0"/>
          </reference>
        </references>
      </pivotArea>
    </format>
    <format dxfId="9445">
      <pivotArea dataOnly="0" labelOnly="1" outline="0" fieldPosition="0">
        <references count="7">
          <reference field="1" count="0" selected="0"/>
          <reference field="3" count="1" selected="0">
            <x v="9"/>
          </reference>
          <reference field="4" count="1" selected="0">
            <x v="6"/>
          </reference>
          <reference field="5" count="1" selected="0">
            <x v="211"/>
          </reference>
          <reference field="6" count="1" selected="0">
            <x v="5"/>
          </reference>
          <reference field="9" count="1" selected="0">
            <x v="10"/>
          </reference>
          <reference field="11" count="1">
            <x v="9"/>
          </reference>
        </references>
      </pivotArea>
    </format>
    <format dxfId="9444">
      <pivotArea dataOnly="0" labelOnly="1" outline="0" fieldPosition="0">
        <references count="7">
          <reference field="1" count="0" selected="0"/>
          <reference field="3" count="1" selected="0">
            <x v="9"/>
          </reference>
          <reference field="4" count="1" selected="0">
            <x v="6"/>
          </reference>
          <reference field="5" count="1" selected="0">
            <x v="212"/>
          </reference>
          <reference field="6" count="1" selected="0">
            <x v="5"/>
          </reference>
          <reference field="9" count="1" selected="0">
            <x v="10"/>
          </reference>
          <reference field="11" count="1">
            <x v="16"/>
          </reference>
        </references>
      </pivotArea>
    </format>
    <format dxfId="9443">
      <pivotArea dataOnly="0" labelOnly="1" outline="0" fieldPosition="0">
        <references count="8">
          <reference field="1" count="0" selected="0"/>
          <reference field="3" count="1" selected="0">
            <x v="0"/>
          </reference>
          <reference field="4" count="1" selected="0">
            <x v="3"/>
          </reference>
          <reference field="5" count="1" selected="0">
            <x v="167"/>
          </reference>
          <reference field="6" count="1" selected="0">
            <x v="7"/>
          </reference>
          <reference field="9" count="1" selected="0">
            <x v="10"/>
          </reference>
          <reference field="11" count="1" selected="0">
            <x v="49"/>
          </reference>
          <reference field="12" count="1">
            <x v="29"/>
          </reference>
        </references>
      </pivotArea>
    </format>
    <format dxfId="9442">
      <pivotArea dataOnly="0" labelOnly="1" outline="0" fieldPosition="0">
        <references count="8">
          <reference field="1" count="0" selected="0"/>
          <reference field="3" count="1" selected="0">
            <x v="3"/>
          </reference>
          <reference field="4" count="1" selected="0">
            <x v="1"/>
          </reference>
          <reference field="5" count="1" selected="0">
            <x v="205"/>
          </reference>
          <reference field="6" count="1" selected="0">
            <x v="2"/>
          </reference>
          <reference field="9" count="1" selected="0">
            <x v="10"/>
          </reference>
          <reference field="11" count="1" selected="0">
            <x v="14"/>
          </reference>
          <reference field="12" count="1">
            <x v="1"/>
          </reference>
        </references>
      </pivotArea>
    </format>
    <format dxfId="9441">
      <pivotArea dataOnly="0" labelOnly="1" outline="0" fieldPosition="0">
        <references count="8">
          <reference field="1" count="0" selected="0"/>
          <reference field="3" count="1" selected="0">
            <x v="4"/>
          </reference>
          <reference field="4" count="1" selected="0">
            <x v="1"/>
          </reference>
          <reference field="5" count="1" selected="0">
            <x v="116"/>
          </reference>
          <reference field="6" count="1" selected="0">
            <x v="2"/>
          </reference>
          <reference field="9" count="1" selected="0">
            <x v="10"/>
          </reference>
          <reference field="11" count="1" selected="0">
            <x v="14"/>
          </reference>
          <reference field="12" count="1">
            <x v="4"/>
          </reference>
        </references>
      </pivotArea>
    </format>
    <format dxfId="9440">
      <pivotArea dataOnly="0" labelOnly="1" outline="0" fieldPosition="0">
        <references count="8">
          <reference field="1" count="0" selected="0"/>
          <reference field="3" count="1" selected="0">
            <x v="4"/>
          </reference>
          <reference field="4" count="1" selected="0">
            <x v="1"/>
          </reference>
          <reference field="5" count="1" selected="0">
            <x v="218"/>
          </reference>
          <reference field="6" count="1" selected="0">
            <x v="2"/>
          </reference>
          <reference field="9" count="1" selected="0">
            <x v="10"/>
          </reference>
          <reference field="11" count="1" selected="0">
            <x v="14"/>
          </reference>
          <reference field="12" count="1">
            <x v="8"/>
          </reference>
        </references>
      </pivotArea>
    </format>
    <format dxfId="9439">
      <pivotArea dataOnly="0" labelOnly="1" outline="0" fieldPosition="0">
        <references count="8">
          <reference field="1" count="0" selected="0"/>
          <reference field="3" count="1" selected="0">
            <x v="4"/>
          </reference>
          <reference field="4" count="1" selected="0">
            <x v="1"/>
          </reference>
          <reference field="5" count="1" selected="0">
            <x v="326"/>
          </reference>
          <reference field="6" count="1" selected="0">
            <x v="2"/>
          </reference>
          <reference field="9" count="1" selected="0">
            <x v="2"/>
          </reference>
          <reference field="11" count="1" selected="0">
            <x v="29"/>
          </reference>
          <reference field="12" count="1">
            <x v="6"/>
          </reference>
        </references>
      </pivotArea>
    </format>
    <format dxfId="9438">
      <pivotArea dataOnly="0" labelOnly="1" outline="0" fieldPosition="0">
        <references count="8">
          <reference field="1" count="0" selected="0"/>
          <reference field="3" count="1" selected="0">
            <x v="4"/>
          </reference>
          <reference field="4" count="1" selected="0">
            <x v="1"/>
          </reference>
          <reference field="5" count="1" selected="0">
            <x v="332"/>
          </reference>
          <reference field="6" count="1" selected="0">
            <x v="2"/>
          </reference>
          <reference field="9" count="1" selected="0">
            <x v="10"/>
          </reference>
          <reference field="11" count="1" selected="0">
            <x v="21"/>
          </reference>
          <reference field="12" count="1">
            <x v="8"/>
          </reference>
        </references>
      </pivotArea>
    </format>
    <format dxfId="9437">
      <pivotArea dataOnly="0" labelOnly="1" outline="0" fieldPosition="0">
        <references count="8">
          <reference field="1" count="0" selected="0"/>
          <reference field="3" count="1" selected="0">
            <x v="6"/>
          </reference>
          <reference field="4" count="1" selected="0">
            <x v="0"/>
          </reference>
          <reference field="5" count="1" selected="0">
            <x v="146"/>
          </reference>
          <reference field="6" count="1" selected="0">
            <x v="9"/>
          </reference>
          <reference field="9" count="1" selected="0">
            <x v="10"/>
          </reference>
          <reference field="11" count="1" selected="0">
            <x v="6"/>
          </reference>
          <reference field="12" count="1">
            <x v="2"/>
          </reference>
        </references>
      </pivotArea>
    </format>
    <format dxfId="9436">
      <pivotArea dataOnly="0" labelOnly="1" outline="0" fieldPosition="0">
        <references count="8">
          <reference field="1" count="0" selected="0"/>
          <reference field="3" count="1" selected="0">
            <x v="6"/>
          </reference>
          <reference field="4" count="1" selected="0">
            <x v="0"/>
          </reference>
          <reference field="5" count="1" selected="0">
            <x v="175"/>
          </reference>
          <reference field="6" count="1" selected="0">
            <x v="9"/>
          </reference>
          <reference field="9" count="1" selected="0">
            <x v="10"/>
          </reference>
          <reference field="11" count="1" selected="0">
            <x v="14"/>
          </reference>
          <reference field="12" count="1">
            <x v="15"/>
          </reference>
        </references>
      </pivotArea>
    </format>
    <format dxfId="9435">
      <pivotArea dataOnly="0" labelOnly="1" outline="0" fieldPosition="0">
        <references count="8">
          <reference field="1" count="0" selected="0"/>
          <reference field="3" count="1" selected="0">
            <x v="6"/>
          </reference>
          <reference field="4" count="1" selected="0">
            <x v="0"/>
          </reference>
          <reference field="5" count="1" selected="0">
            <x v="181"/>
          </reference>
          <reference field="6" count="1" selected="0">
            <x v="9"/>
          </reference>
          <reference field="9" count="1" selected="0">
            <x v="10"/>
          </reference>
          <reference field="11" count="1" selected="0">
            <x v="14"/>
          </reference>
          <reference field="12" count="1">
            <x v="16"/>
          </reference>
        </references>
      </pivotArea>
    </format>
    <format dxfId="9434">
      <pivotArea dataOnly="0" labelOnly="1" outline="0" fieldPosition="0">
        <references count="8">
          <reference field="1" count="0" selected="0"/>
          <reference field="3" count="1" selected="0">
            <x v="6"/>
          </reference>
          <reference field="4" count="1" selected="0">
            <x v="0"/>
          </reference>
          <reference field="5" count="1" selected="0">
            <x v="182"/>
          </reference>
          <reference field="6" count="1" selected="0">
            <x v="9"/>
          </reference>
          <reference field="9" count="1" selected="0">
            <x v="10"/>
          </reference>
          <reference field="11" count="1" selected="0">
            <x v="14"/>
          </reference>
          <reference field="12" count="1">
            <x v="10"/>
          </reference>
        </references>
      </pivotArea>
    </format>
    <format dxfId="9433">
      <pivotArea dataOnly="0" labelOnly="1" outline="0" fieldPosition="0">
        <references count="8">
          <reference field="1" count="0" selected="0"/>
          <reference field="3" count="1" selected="0">
            <x v="6"/>
          </reference>
          <reference field="4" count="1" selected="0">
            <x v="0"/>
          </reference>
          <reference field="5" count="1" selected="0">
            <x v="189"/>
          </reference>
          <reference field="6" count="1" selected="0">
            <x v="9"/>
          </reference>
          <reference field="9" count="1" selected="0">
            <x v="10"/>
          </reference>
          <reference field="11" count="1" selected="0">
            <x v="32"/>
          </reference>
          <reference field="12" count="1">
            <x v="8"/>
          </reference>
        </references>
      </pivotArea>
    </format>
    <format dxfId="9432">
      <pivotArea dataOnly="0" labelOnly="1" outline="0" fieldPosition="0">
        <references count="8">
          <reference field="1" count="0" selected="0"/>
          <reference field="3" count="1" selected="0">
            <x v="8"/>
          </reference>
          <reference field="4" count="1" selected="0">
            <x v="3"/>
          </reference>
          <reference field="5" count="1" selected="0">
            <x v="135"/>
          </reference>
          <reference field="6" count="1" selected="0">
            <x v="3"/>
          </reference>
          <reference field="9" count="1" selected="0">
            <x v="10"/>
          </reference>
          <reference field="11" count="1" selected="0">
            <x v="37"/>
          </reference>
          <reference field="12" count="1">
            <x v="2"/>
          </reference>
        </references>
      </pivotArea>
    </format>
    <format dxfId="9431">
      <pivotArea dataOnly="0" labelOnly="1" outline="0" fieldPosition="0">
        <references count="8">
          <reference field="1" count="0" selected="0"/>
          <reference field="3" count="1" selected="0">
            <x v="9"/>
          </reference>
          <reference field="4" count="1" selected="0">
            <x v="6"/>
          </reference>
          <reference field="5" count="1" selected="0">
            <x v="211"/>
          </reference>
          <reference field="6" count="1" selected="0">
            <x v="5"/>
          </reference>
          <reference field="9" count="1" selected="0">
            <x v="10"/>
          </reference>
          <reference field="11" count="1" selected="0">
            <x v="9"/>
          </reference>
          <reference field="12" count="1">
            <x v="22"/>
          </reference>
        </references>
      </pivotArea>
    </format>
    <format dxfId="9430">
      <pivotArea dataOnly="0" labelOnly="1" outline="0" fieldPosition="0">
        <references count="8">
          <reference field="1" count="0" selected="0"/>
          <reference field="3" count="1" selected="0">
            <x v="9"/>
          </reference>
          <reference field="4" count="1" selected="0">
            <x v="6"/>
          </reference>
          <reference field="5" count="1" selected="0">
            <x v="212"/>
          </reference>
          <reference field="6" count="1" selected="0">
            <x v="5"/>
          </reference>
          <reference field="9" count="1" selected="0">
            <x v="10"/>
          </reference>
          <reference field="11" count="1" selected="0">
            <x v="16"/>
          </reference>
          <reference field="12" count="1">
            <x v="8"/>
          </reference>
        </references>
      </pivotArea>
    </format>
    <format dxfId="9429">
      <pivotArea dataOnly="0" labelOnly="1" outline="0" fieldPosition="0">
        <references count="9">
          <reference field="1" count="0" selected="0"/>
          <reference field="3" count="1" selected="0">
            <x v="0"/>
          </reference>
          <reference field="4" count="1" selected="0">
            <x v="3"/>
          </reference>
          <reference field="5" count="1" selected="0">
            <x v="167"/>
          </reference>
          <reference field="6" count="1" selected="0">
            <x v="7"/>
          </reference>
          <reference field="9" count="1" selected="0">
            <x v="10"/>
          </reference>
          <reference field="11" count="1" selected="0">
            <x v="49"/>
          </reference>
          <reference field="12" count="1" selected="0">
            <x v="29"/>
          </reference>
          <reference field="13" count="1">
            <x v="3"/>
          </reference>
        </references>
      </pivotArea>
    </format>
    <format dxfId="9428">
      <pivotArea dataOnly="0" labelOnly="1" outline="0" fieldPosition="0">
        <references count="9">
          <reference field="1" count="0" selected="0"/>
          <reference field="3" count="1" selected="0">
            <x v="3"/>
          </reference>
          <reference field="4" count="1" selected="0">
            <x v="1"/>
          </reference>
          <reference field="5" count="1" selected="0">
            <x v="197"/>
          </reference>
          <reference field="6" count="1" selected="0">
            <x v="2"/>
          </reference>
          <reference field="9" count="1" selected="0">
            <x v="10"/>
          </reference>
          <reference field="11" count="1" selected="0">
            <x v="4"/>
          </reference>
          <reference field="12" count="1" selected="0">
            <x v="8"/>
          </reference>
          <reference field="13" count="1">
            <x v="3"/>
          </reference>
        </references>
      </pivotArea>
    </format>
    <format dxfId="9427">
      <pivotArea dataOnly="0" labelOnly="1" outline="0" fieldPosition="0">
        <references count="9">
          <reference field="1" count="0" selected="0"/>
          <reference field="3" count="1" selected="0">
            <x v="6"/>
          </reference>
          <reference field="4" count="1" selected="0">
            <x v="0"/>
          </reference>
          <reference field="5" count="1" selected="0">
            <x v="126"/>
          </reference>
          <reference field="6" count="1" selected="0">
            <x v="9"/>
          </reference>
          <reference field="9" count="1" selected="0">
            <x v="10"/>
          </reference>
          <reference field="11" count="1" selected="0">
            <x v="1"/>
          </reference>
          <reference field="12" count="1" selected="0">
            <x v="8"/>
          </reference>
          <reference field="13" count="1">
            <x v="3"/>
          </reference>
        </references>
      </pivotArea>
    </format>
    <format dxfId="9426">
      <pivotArea dataOnly="0" labelOnly="1" outline="0" fieldPosition="0">
        <references count="9">
          <reference field="1" count="0" selected="0"/>
          <reference field="3" count="1" selected="0">
            <x v="6"/>
          </reference>
          <reference field="4" count="1" selected="0">
            <x v="0"/>
          </reference>
          <reference field="5" count="1" selected="0">
            <x v="174"/>
          </reference>
          <reference field="6" count="1" selected="0">
            <x v="9"/>
          </reference>
          <reference field="9" count="1" selected="0">
            <x v="10"/>
          </reference>
          <reference field="11" count="1" selected="0">
            <x v="20"/>
          </reference>
          <reference field="12" count="1" selected="0">
            <x v="8"/>
          </reference>
          <reference field="13" count="1">
            <x v="3"/>
          </reference>
        </references>
      </pivotArea>
    </format>
    <format dxfId="9425">
      <pivotArea dataOnly="0" labelOnly="1" outline="0" fieldPosition="0">
        <references count="9">
          <reference field="1" count="0" selected="0"/>
          <reference field="3" count="1" selected="0">
            <x v="6"/>
          </reference>
          <reference field="4" count="1" selected="0">
            <x v="0"/>
          </reference>
          <reference field="5" count="1" selected="0">
            <x v="343"/>
          </reference>
          <reference field="6" count="1" selected="0">
            <x v="9"/>
          </reference>
          <reference field="9" count="1" selected="0">
            <x v="10"/>
          </reference>
          <reference field="11" count="1" selected="0">
            <x v="52"/>
          </reference>
          <reference field="12" count="1" selected="0">
            <x v="8"/>
          </reference>
          <reference field="13" count="1">
            <x v="5"/>
          </reference>
        </references>
      </pivotArea>
    </format>
    <format dxfId="9424">
      <pivotArea dataOnly="0" labelOnly="1" outline="0" fieldPosition="0">
        <references count="10">
          <reference field="1" count="0" selected="0"/>
          <reference field="3" count="1" selected="0">
            <x v="0"/>
          </reference>
          <reference field="4" count="1" selected="0">
            <x v="3"/>
          </reference>
          <reference field="5" count="1" selected="0">
            <x v="167"/>
          </reference>
          <reference field="6" count="1" selected="0">
            <x v="7"/>
          </reference>
          <reference field="9" count="1" selected="0">
            <x v="10"/>
          </reference>
          <reference field="11" count="1" selected="0">
            <x v="49"/>
          </reference>
          <reference field="12" count="1" selected="0">
            <x v="29"/>
          </reference>
          <reference field="13" count="1" selected="0">
            <x v="3"/>
          </reference>
          <reference field="14" count="1">
            <x v="23"/>
          </reference>
        </references>
      </pivotArea>
    </format>
    <format dxfId="9423">
      <pivotArea dataOnly="0" labelOnly="1" outline="0" fieldPosition="0">
        <references count="10">
          <reference field="1" count="0" selected="0"/>
          <reference field="3" count="1" selected="0">
            <x v="3"/>
          </reference>
          <reference field="4" count="1" selected="0">
            <x v="1"/>
          </reference>
          <reference field="5" count="1" selected="0">
            <x v="197"/>
          </reference>
          <reference field="6" count="1" selected="0">
            <x v="2"/>
          </reference>
          <reference field="9" count="1" selected="0">
            <x v="10"/>
          </reference>
          <reference field="11" count="1" selected="0">
            <x v="4"/>
          </reference>
          <reference field="12" count="1" selected="0">
            <x v="8"/>
          </reference>
          <reference field="13" count="1" selected="0">
            <x v="3"/>
          </reference>
          <reference field="14" count="1">
            <x v="17"/>
          </reference>
        </references>
      </pivotArea>
    </format>
    <format dxfId="9422">
      <pivotArea dataOnly="0" labelOnly="1" outline="0" fieldPosition="0">
        <references count="10">
          <reference field="1" count="0" selected="0"/>
          <reference field="3" count="1" selected="0">
            <x v="3"/>
          </reference>
          <reference field="4" count="1" selected="0">
            <x v="1"/>
          </reference>
          <reference field="5" count="1" selected="0">
            <x v="204"/>
          </reference>
          <reference field="6" count="1" selected="0">
            <x v="2"/>
          </reference>
          <reference field="9" count="1" selected="0">
            <x v="10"/>
          </reference>
          <reference field="11" count="1" selected="0">
            <x v="42"/>
          </reference>
          <reference field="12" count="1" selected="0">
            <x v="8"/>
          </reference>
          <reference field="13" count="1" selected="0">
            <x v="3"/>
          </reference>
          <reference field="14" count="1">
            <x v="17"/>
          </reference>
        </references>
      </pivotArea>
    </format>
    <format dxfId="9421">
      <pivotArea dataOnly="0" labelOnly="1" outline="0" fieldPosition="0">
        <references count="10">
          <reference field="1" count="0" selected="0"/>
          <reference field="3" count="1" selected="0">
            <x v="3"/>
          </reference>
          <reference field="4" count="1" selected="0">
            <x v="1"/>
          </reference>
          <reference field="5" count="1" selected="0">
            <x v="205"/>
          </reference>
          <reference field="6" count="1" selected="0">
            <x v="2"/>
          </reference>
          <reference field="9" count="1" selected="0">
            <x v="10"/>
          </reference>
          <reference field="11" count="1" selected="0">
            <x v="14"/>
          </reference>
          <reference field="12" count="1" selected="0">
            <x v="1"/>
          </reference>
          <reference field="13" count="1" selected="0">
            <x v="3"/>
          </reference>
          <reference field="14" count="1">
            <x v="26"/>
          </reference>
        </references>
      </pivotArea>
    </format>
    <format dxfId="9420">
      <pivotArea dataOnly="0" labelOnly="1" outline="0" fieldPosition="0">
        <references count="10">
          <reference field="1" count="0" selected="0"/>
          <reference field="3" count="1" selected="0">
            <x v="4"/>
          </reference>
          <reference field="4" count="1" selected="0">
            <x v="1"/>
          </reference>
          <reference field="5" count="1" selected="0">
            <x v="116"/>
          </reference>
          <reference field="6" count="1" selected="0">
            <x v="2"/>
          </reference>
          <reference field="9" count="1" selected="0">
            <x v="10"/>
          </reference>
          <reference field="11" count="1" selected="0">
            <x v="14"/>
          </reference>
          <reference field="12" count="1" selected="0">
            <x v="4"/>
          </reference>
          <reference field="13" count="1" selected="0">
            <x v="3"/>
          </reference>
          <reference field="14" count="1">
            <x v="8"/>
          </reference>
        </references>
      </pivotArea>
    </format>
    <format dxfId="9419">
      <pivotArea dataOnly="0" labelOnly="1" outline="0" fieldPosition="0">
        <references count="10">
          <reference field="1" count="0" selected="0"/>
          <reference field="3" count="1" selected="0">
            <x v="4"/>
          </reference>
          <reference field="4" count="1" selected="0">
            <x v="1"/>
          </reference>
          <reference field="5" count="1" selected="0">
            <x v="218"/>
          </reference>
          <reference field="6" count="1" selected="0">
            <x v="2"/>
          </reference>
          <reference field="9" count="1" selected="0">
            <x v="10"/>
          </reference>
          <reference field="11" count="1" selected="0">
            <x v="14"/>
          </reference>
          <reference field="12" count="1" selected="0">
            <x v="8"/>
          </reference>
          <reference field="13" count="1" selected="0">
            <x v="3"/>
          </reference>
          <reference field="14" count="1">
            <x v="17"/>
          </reference>
        </references>
      </pivotArea>
    </format>
    <format dxfId="9418">
      <pivotArea dataOnly="0" labelOnly="1" outline="0" fieldPosition="0">
        <references count="10">
          <reference field="1" count="0" selected="0"/>
          <reference field="3" count="1" selected="0">
            <x v="4"/>
          </reference>
          <reference field="4" count="1" selected="0">
            <x v="1"/>
          </reference>
          <reference field="5" count="1" selected="0">
            <x v="326"/>
          </reference>
          <reference field="6" count="1" selected="0">
            <x v="2"/>
          </reference>
          <reference field="9" count="1" selected="0">
            <x v="2"/>
          </reference>
          <reference field="11" count="1" selected="0">
            <x v="29"/>
          </reference>
          <reference field="12" count="1" selected="0">
            <x v="6"/>
          </reference>
          <reference field="13" count="1" selected="0">
            <x v="3"/>
          </reference>
          <reference field="14" count="1">
            <x v="34"/>
          </reference>
        </references>
      </pivotArea>
    </format>
    <format dxfId="9417">
      <pivotArea dataOnly="0" labelOnly="1" outline="0" fieldPosition="0">
        <references count="10">
          <reference field="1" count="0" selected="0"/>
          <reference field="3" count="1" selected="0">
            <x v="4"/>
          </reference>
          <reference field="4" count="1" selected="0">
            <x v="1"/>
          </reference>
          <reference field="5" count="1" selected="0">
            <x v="332"/>
          </reference>
          <reference field="6" count="1" selected="0">
            <x v="2"/>
          </reference>
          <reference field="9" count="1" selected="0">
            <x v="10"/>
          </reference>
          <reference field="11" count="1" selected="0">
            <x v="21"/>
          </reference>
          <reference field="12" count="1" selected="0">
            <x v="8"/>
          </reference>
          <reference field="13" count="1" selected="0">
            <x v="3"/>
          </reference>
          <reference field="14" count="1">
            <x v="17"/>
          </reference>
        </references>
      </pivotArea>
    </format>
    <format dxfId="9416">
      <pivotArea dataOnly="0" labelOnly="1" outline="0" fieldPosition="0">
        <references count="10">
          <reference field="1" count="0" selected="0"/>
          <reference field="3" count="1" selected="0">
            <x v="6"/>
          </reference>
          <reference field="4" count="1" selected="0">
            <x v="0"/>
          </reference>
          <reference field="5" count="1" selected="0">
            <x v="126"/>
          </reference>
          <reference field="6" count="1" selected="0">
            <x v="9"/>
          </reference>
          <reference field="9" count="1" selected="0">
            <x v="10"/>
          </reference>
          <reference field="11" count="1" selected="0">
            <x v="1"/>
          </reference>
          <reference field="12" count="1" selected="0">
            <x v="8"/>
          </reference>
          <reference field="13" count="1" selected="0">
            <x v="3"/>
          </reference>
          <reference field="14" count="1">
            <x v="17"/>
          </reference>
        </references>
      </pivotArea>
    </format>
    <format dxfId="9415">
      <pivotArea dataOnly="0" labelOnly="1" outline="0" fieldPosition="0">
        <references count="10">
          <reference field="1" count="0" selected="0"/>
          <reference field="3" count="1" selected="0">
            <x v="6"/>
          </reference>
          <reference field="4" count="1" selected="0">
            <x v="0"/>
          </reference>
          <reference field="5" count="1" selected="0">
            <x v="145"/>
          </reference>
          <reference field="6" count="1" selected="0">
            <x v="9"/>
          </reference>
          <reference field="9" count="1" selected="0">
            <x v="10"/>
          </reference>
          <reference field="11" count="1" selected="0">
            <x v="27"/>
          </reference>
          <reference field="12" count="1" selected="0">
            <x v="8"/>
          </reference>
          <reference field="13" count="1" selected="0">
            <x v="3"/>
          </reference>
          <reference field="14" count="1">
            <x v="11"/>
          </reference>
        </references>
      </pivotArea>
    </format>
    <format dxfId="9414">
      <pivotArea dataOnly="0" labelOnly="1" outline="0" fieldPosition="0">
        <references count="10">
          <reference field="1" count="0" selected="0"/>
          <reference field="3" count="1" selected="0">
            <x v="6"/>
          </reference>
          <reference field="4" count="1" selected="0">
            <x v="0"/>
          </reference>
          <reference field="5" count="1" selected="0">
            <x v="146"/>
          </reference>
          <reference field="6" count="1" selected="0">
            <x v="9"/>
          </reference>
          <reference field="9" count="1" selected="0">
            <x v="10"/>
          </reference>
          <reference field="11" count="1" selected="0">
            <x v="6"/>
          </reference>
          <reference field="12" count="1" selected="0">
            <x v="2"/>
          </reference>
          <reference field="13" count="1" selected="0">
            <x v="3"/>
          </reference>
          <reference field="14" count="1">
            <x v="10"/>
          </reference>
        </references>
      </pivotArea>
    </format>
    <format dxfId="9413">
      <pivotArea dataOnly="0" labelOnly="1" outline="0" fieldPosition="0">
        <references count="10">
          <reference field="1" count="0" selected="0"/>
          <reference field="3" count="1" selected="0">
            <x v="6"/>
          </reference>
          <reference field="4" count="1" selected="0">
            <x v="0"/>
          </reference>
          <reference field="5" count="1" selected="0">
            <x v="174"/>
          </reference>
          <reference field="6" count="1" selected="0">
            <x v="9"/>
          </reference>
          <reference field="9" count="1" selected="0">
            <x v="10"/>
          </reference>
          <reference field="11" count="1" selected="0">
            <x v="20"/>
          </reference>
          <reference field="12" count="1" selected="0">
            <x v="8"/>
          </reference>
          <reference field="13" count="1" selected="0">
            <x v="3"/>
          </reference>
          <reference field="14" count="1">
            <x v="47"/>
          </reference>
        </references>
      </pivotArea>
    </format>
    <format dxfId="9412">
      <pivotArea dataOnly="0" labelOnly="1" outline="0" fieldPosition="0">
        <references count="10">
          <reference field="1" count="0" selected="0"/>
          <reference field="3" count="1" selected="0">
            <x v="6"/>
          </reference>
          <reference field="4" count="1" selected="0">
            <x v="0"/>
          </reference>
          <reference field="5" count="1" selected="0">
            <x v="175"/>
          </reference>
          <reference field="6" count="1" selected="0">
            <x v="9"/>
          </reference>
          <reference field="9" count="1" selected="0">
            <x v="10"/>
          </reference>
          <reference field="11" count="1" selected="0">
            <x v="14"/>
          </reference>
          <reference field="12" count="1" selected="0">
            <x v="15"/>
          </reference>
          <reference field="13" count="1" selected="0">
            <x v="3"/>
          </reference>
          <reference field="14" count="1">
            <x v="15"/>
          </reference>
        </references>
      </pivotArea>
    </format>
    <format dxfId="9411">
      <pivotArea dataOnly="0" labelOnly="1" outline="0" fieldPosition="0">
        <references count="10">
          <reference field="1" count="0" selected="0"/>
          <reference field="3" count="1" selected="0">
            <x v="6"/>
          </reference>
          <reference field="4" count="1" selected="0">
            <x v="0"/>
          </reference>
          <reference field="5" count="1" selected="0">
            <x v="181"/>
          </reference>
          <reference field="6" count="1" selected="0">
            <x v="9"/>
          </reference>
          <reference field="9" count="1" selected="0">
            <x v="10"/>
          </reference>
          <reference field="11" count="1" selected="0">
            <x v="14"/>
          </reference>
          <reference field="12" count="1" selected="0">
            <x v="16"/>
          </reference>
          <reference field="13" count="1" selected="0">
            <x v="3"/>
          </reference>
          <reference field="14" count="1">
            <x v="7"/>
          </reference>
        </references>
      </pivotArea>
    </format>
    <format dxfId="9410">
      <pivotArea dataOnly="0" labelOnly="1" outline="0" fieldPosition="0">
        <references count="10">
          <reference field="1" count="0" selected="0"/>
          <reference field="3" count="1" selected="0">
            <x v="6"/>
          </reference>
          <reference field="4" count="1" selected="0">
            <x v="0"/>
          </reference>
          <reference field="5" count="1" selected="0">
            <x v="182"/>
          </reference>
          <reference field="6" count="1" selected="0">
            <x v="9"/>
          </reference>
          <reference field="9" count="1" selected="0">
            <x v="10"/>
          </reference>
          <reference field="11" count="1" selected="0">
            <x v="14"/>
          </reference>
          <reference field="12" count="1" selected="0">
            <x v="10"/>
          </reference>
          <reference field="13" count="1" selected="0">
            <x v="3"/>
          </reference>
          <reference field="14" count="1">
            <x v="12"/>
          </reference>
        </references>
      </pivotArea>
    </format>
    <format dxfId="9409">
      <pivotArea dataOnly="0" labelOnly="1" outline="0" fieldPosition="0">
        <references count="10">
          <reference field="1" count="0" selected="0"/>
          <reference field="3" count="1" selected="0">
            <x v="6"/>
          </reference>
          <reference field="4" count="1" selected="0">
            <x v="0"/>
          </reference>
          <reference field="5" count="1" selected="0">
            <x v="189"/>
          </reference>
          <reference field="6" count="1" selected="0">
            <x v="9"/>
          </reference>
          <reference field="9" count="1" selected="0">
            <x v="10"/>
          </reference>
          <reference field="11" count="1" selected="0">
            <x v="32"/>
          </reference>
          <reference field="12" count="1" selected="0">
            <x v="8"/>
          </reference>
          <reference field="13" count="1" selected="0">
            <x v="3"/>
          </reference>
          <reference field="14" count="1">
            <x v="52"/>
          </reference>
        </references>
      </pivotArea>
    </format>
    <format dxfId="9408">
      <pivotArea dataOnly="0" labelOnly="1" outline="0" fieldPosition="0">
        <references count="10">
          <reference field="1" count="0" selected="0"/>
          <reference field="3" count="1" selected="0">
            <x v="6"/>
          </reference>
          <reference field="4" count="1" selected="0">
            <x v="0"/>
          </reference>
          <reference field="5" count="1" selected="0">
            <x v="190"/>
          </reference>
          <reference field="6" count="1" selected="0">
            <x v="9"/>
          </reference>
          <reference field="9" count="1" selected="0">
            <x v="10"/>
          </reference>
          <reference field="11" count="1" selected="0">
            <x v="44"/>
          </reference>
          <reference field="12" count="1" selected="0">
            <x v="8"/>
          </reference>
          <reference field="13" count="1" selected="0">
            <x v="3"/>
          </reference>
          <reference field="14" count="1">
            <x v="33"/>
          </reference>
        </references>
      </pivotArea>
    </format>
    <format dxfId="9407">
      <pivotArea dataOnly="0" labelOnly="1" outline="0" fieldPosition="0">
        <references count="10">
          <reference field="1" count="0" selected="0"/>
          <reference field="3" count="1" selected="0">
            <x v="6"/>
          </reference>
          <reference field="4" count="1" selected="0">
            <x v="0"/>
          </reference>
          <reference field="5" count="1" selected="0">
            <x v="343"/>
          </reference>
          <reference field="6" count="1" selected="0">
            <x v="9"/>
          </reference>
          <reference field="9" count="1" selected="0">
            <x v="10"/>
          </reference>
          <reference field="11" count="1" selected="0">
            <x v="52"/>
          </reference>
          <reference field="12" count="1" selected="0">
            <x v="8"/>
          </reference>
          <reference field="13" count="1" selected="0">
            <x v="5"/>
          </reference>
          <reference field="14" count="1">
            <x v="45"/>
          </reference>
        </references>
      </pivotArea>
    </format>
    <format dxfId="9406">
      <pivotArea dataOnly="0" labelOnly="1" outline="0" fieldPosition="0">
        <references count="10">
          <reference field="1" count="0" selected="0"/>
          <reference field="3" count="1" selected="0">
            <x v="8"/>
          </reference>
          <reference field="4" count="1" selected="0">
            <x v="3"/>
          </reference>
          <reference field="5" count="1" selected="0">
            <x v="135"/>
          </reference>
          <reference field="6" count="1" selected="0">
            <x v="3"/>
          </reference>
          <reference field="9" count="1" selected="0">
            <x v="10"/>
          </reference>
          <reference field="11" count="1" selected="0">
            <x v="37"/>
          </reference>
          <reference field="12" count="1" selected="0">
            <x v="2"/>
          </reference>
          <reference field="13" count="1" selected="0">
            <x v="3"/>
          </reference>
          <reference field="14" count="1">
            <x v="17"/>
          </reference>
        </references>
      </pivotArea>
    </format>
    <format dxfId="9405">
      <pivotArea dataOnly="0" labelOnly="1" outline="0" fieldPosition="0">
        <references count="10">
          <reference field="1" count="0" selected="0"/>
          <reference field="3" count="1" selected="0">
            <x v="9"/>
          </reference>
          <reference field="4" count="1" selected="0">
            <x v="6"/>
          </reference>
          <reference field="5" count="1" selected="0">
            <x v="211"/>
          </reference>
          <reference field="6" count="1" selected="0">
            <x v="5"/>
          </reference>
          <reference field="9" count="1" selected="0">
            <x v="10"/>
          </reference>
          <reference field="11" count="1" selected="0">
            <x v="9"/>
          </reference>
          <reference field="12" count="1" selected="0">
            <x v="22"/>
          </reference>
          <reference field="13" count="1" selected="0">
            <x v="3"/>
          </reference>
          <reference field="14" count="1">
            <x v="17"/>
          </reference>
        </references>
      </pivotArea>
    </format>
    <format dxfId="9404">
      <pivotArea dataOnly="0" labelOnly="1" outline="0" fieldPosition="0">
        <references count="10">
          <reference field="1" count="0" selected="0"/>
          <reference field="3" count="1" selected="0">
            <x v="9"/>
          </reference>
          <reference field="4" count="1" selected="0">
            <x v="6"/>
          </reference>
          <reference field="5" count="1" selected="0">
            <x v="212"/>
          </reference>
          <reference field="6" count="1" selected="0">
            <x v="5"/>
          </reference>
          <reference field="9" count="1" selected="0">
            <x v="10"/>
          </reference>
          <reference field="11" count="1" selected="0">
            <x v="16"/>
          </reference>
          <reference field="12" count="1" selected="0">
            <x v="8"/>
          </reference>
          <reference field="13" count="1" selected="0">
            <x v="3"/>
          </reference>
          <reference field="14" count="1">
            <x v="17"/>
          </reference>
        </references>
      </pivotArea>
    </format>
    <format dxfId="9403">
      <pivotArea dataOnly="0" labelOnly="1" outline="0" fieldPosition="0">
        <references count="7">
          <reference field="1" count="0" selected="0"/>
          <reference field="3" count="1" selected="0">
            <x v="0"/>
          </reference>
          <reference field="4" count="1" selected="0">
            <x v="3"/>
          </reference>
          <reference field="5" count="1" selected="0">
            <x v="167"/>
          </reference>
          <reference field="6" count="1" selected="0">
            <x v="7"/>
          </reference>
          <reference field="9" count="1" selected="0">
            <x v="10"/>
          </reference>
          <reference field="11" count="1">
            <x v="49"/>
          </reference>
        </references>
      </pivotArea>
    </format>
    <format dxfId="9402">
      <pivotArea dataOnly="0" labelOnly="1" outline="0" fieldPosition="0">
        <references count="7">
          <reference field="1" count="0" selected="0"/>
          <reference field="3" count="1" selected="0">
            <x v="3"/>
          </reference>
          <reference field="4" count="1" selected="0">
            <x v="1"/>
          </reference>
          <reference field="5" count="1" selected="0">
            <x v="197"/>
          </reference>
          <reference field="6" count="1" selected="0">
            <x v="2"/>
          </reference>
          <reference field="9" count="1" selected="0">
            <x v="10"/>
          </reference>
          <reference field="11" count="1">
            <x v="4"/>
          </reference>
        </references>
      </pivotArea>
    </format>
    <format dxfId="9401">
      <pivotArea dataOnly="0" labelOnly="1" outline="0" fieldPosition="0">
        <references count="7">
          <reference field="1" count="0" selected="0"/>
          <reference field="3" count="1" selected="0">
            <x v="3"/>
          </reference>
          <reference field="4" count="1" selected="0">
            <x v="1"/>
          </reference>
          <reference field="5" count="1" selected="0">
            <x v="204"/>
          </reference>
          <reference field="6" count="1" selected="0">
            <x v="2"/>
          </reference>
          <reference field="9" count="1" selected="0">
            <x v="10"/>
          </reference>
          <reference field="11" count="1">
            <x v="42"/>
          </reference>
        </references>
      </pivotArea>
    </format>
    <format dxfId="9400">
      <pivotArea dataOnly="0" labelOnly="1" outline="0" fieldPosition="0">
        <references count="7">
          <reference field="1" count="0" selected="0"/>
          <reference field="3" count="1" selected="0">
            <x v="3"/>
          </reference>
          <reference field="4" count="1" selected="0">
            <x v="1"/>
          </reference>
          <reference field="5" count="1" selected="0">
            <x v="205"/>
          </reference>
          <reference field="6" count="1" selected="0">
            <x v="2"/>
          </reference>
          <reference field="9" count="1" selected="0">
            <x v="10"/>
          </reference>
          <reference field="11" count="1">
            <x v="14"/>
          </reference>
        </references>
      </pivotArea>
    </format>
    <format dxfId="9399">
      <pivotArea dataOnly="0" labelOnly="1" outline="0" fieldPosition="0">
        <references count="7">
          <reference field="1" count="0" selected="0"/>
          <reference field="3" count="1" selected="0">
            <x v="4"/>
          </reference>
          <reference field="4" count="1" selected="0">
            <x v="1"/>
          </reference>
          <reference field="5" count="1" selected="0">
            <x v="116"/>
          </reference>
          <reference field="6" count="1" selected="0">
            <x v="2"/>
          </reference>
          <reference field="9" count="1" selected="0">
            <x v="10"/>
          </reference>
          <reference field="11" count="1">
            <x v="14"/>
          </reference>
        </references>
      </pivotArea>
    </format>
    <format dxfId="9398">
      <pivotArea dataOnly="0" labelOnly="1" outline="0" fieldPosition="0">
        <references count="7">
          <reference field="1" count="0" selected="0"/>
          <reference field="3" count="1" selected="0">
            <x v="4"/>
          </reference>
          <reference field="4" count="1" selected="0">
            <x v="1"/>
          </reference>
          <reference field="5" count="1" selected="0">
            <x v="326"/>
          </reference>
          <reference field="6" count="1" selected="0">
            <x v="2"/>
          </reference>
          <reference field="9" count="1" selected="0">
            <x v="2"/>
          </reference>
          <reference field="11" count="1">
            <x v="29"/>
          </reference>
        </references>
      </pivotArea>
    </format>
    <format dxfId="9397">
      <pivotArea dataOnly="0" labelOnly="1" outline="0" fieldPosition="0">
        <references count="7">
          <reference field="1" count="0" selected="0"/>
          <reference field="3" count="1" selected="0">
            <x v="4"/>
          </reference>
          <reference field="4" count="1" selected="0">
            <x v="1"/>
          </reference>
          <reference field="5" count="1" selected="0">
            <x v="332"/>
          </reference>
          <reference field="6" count="1" selected="0">
            <x v="2"/>
          </reference>
          <reference field="9" count="1" selected="0">
            <x v="10"/>
          </reference>
          <reference field="11" count="1">
            <x v="21"/>
          </reference>
        </references>
      </pivotArea>
    </format>
    <format dxfId="9396">
      <pivotArea dataOnly="0" labelOnly="1" outline="0" fieldPosition="0">
        <references count="7">
          <reference field="1" count="0" selected="0"/>
          <reference field="3" count="1" selected="0">
            <x v="6"/>
          </reference>
          <reference field="4" count="1" selected="0">
            <x v="0"/>
          </reference>
          <reference field="5" count="1" selected="0">
            <x v="126"/>
          </reference>
          <reference field="6" count="1" selected="0">
            <x v="9"/>
          </reference>
          <reference field="9" count="1" selected="0">
            <x v="10"/>
          </reference>
          <reference field="11" count="1">
            <x v="1"/>
          </reference>
        </references>
      </pivotArea>
    </format>
    <format dxfId="9395">
      <pivotArea dataOnly="0" labelOnly="1" outline="0" fieldPosition="0">
        <references count="7">
          <reference field="1" count="0" selected="0"/>
          <reference field="3" count="1" selected="0">
            <x v="6"/>
          </reference>
          <reference field="4" count="1" selected="0">
            <x v="0"/>
          </reference>
          <reference field="5" count="1" selected="0">
            <x v="145"/>
          </reference>
          <reference field="6" count="1" selected="0">
            <x v="9"/>
          </reference>
          <reference field="9" count="1" selected="0">
            <x v="10"/>
          </reference>
          <reference field="11" count="1">
            <x v="27"/>
          </reference>
        </references>
      </pivotArea>
    </format>
    <format dxfId="9394">
      <pivotArea dataOnly="0" labelOnly="1" outline="0" fieldPosition="0">
        <references count="7">
          <reference field="1" count="0" selected="0"/>
          <reference field="3" count="1" selected="0">
            <x v="6"/>
          </reference>
          <reference field="4" count="1" selected="0">
            <x v="0"/>
          </reference>
          <reference field="5" count="1" selected="0">
            <x v="146"/>
          </reference>
          <reference field="6" count="1" selected="0">
            <x v="9"/>
          </reference>
          <reference field="9" count="1" selected="0">
            <x v="10"/>
          </reference>
          <reference field="11" count="1">
            <x v="6"/>
          </reference>
        </references>
      </pivotArea>
    </format>
    <format dxfId="9393">
      <pivotArea dataOnly="0" labelOnly="1" outline="0" fieldPosition="0">
        <references count="7">
          <reference field="1" count="0" selected="0"/>
          <reference field="3" count="1" selected="0">
            <x v="6"/>
          </reference>
          <reference field="4" count="1" selected="0">
            <x v="0"/>
          </reference>
          <reference field="5" count="1" selected="0">
            <x v="174"/>
          </reference>
          <reference field="6" count="1" selected="0">
            <x v="9"/>
          </reference>
          <reference field="9" count="1" selected="0">
            <x v="10"/>
          </reference>
          <reference field="11" count="1">
            <x v="20"/>
          </reference>
        </references>
      </pivotArea>
    </format>
    <format dxfId="9392">
      <pivotArea dataOnly="0" labelOnly="1" outline="0" fieldPosition="0">
        <references count="7">
          <reference field="1" count="0" selected="0"/>
          <reference field="3" count="1" selected="0">
            <x v="6"/>
          </reference>
          <reference field="4" count="1" selected="0">
            <x v="0"/>
          </reference>
          <reference field="5" count="1" selected="0">
            <x v="175"/>
          </reference>
          <reference field="6" count="1" selected="0">
            <x v="9"/>
          </reference>
          <reference field="9" count="1" selected="0">
            <x v="10"/>
          </reference>
          <reference field="11" count="1">
            <x v="14"/>
          </reference>
        </references>
      </pivotArea>
    </format>
    <format dxfId="9391">
      <pivotArea dataOnly="0" labelOnly="1" outline="0" fieldPosition="0">
        <references count="7">
          <reference field="1" count="0" selected="0"/>
          <reference field="3" count="1" selected="0">
            <x v="6"/>
          </reference>
          <reference field="4" count="1" selected="0">
            <x v="0"/>
          </reference>
          <reference field="5" count="1" selected="0">
            <x v="189"/>
          </reference>
          <reference field="6" count="1" selected="0">
            <x v="9"/>
          </reference>
          <reference field="9" count="1" selected="0">
            <x v="10"/>
          </reference>
          <reference field="11" count="1">
            <x v="32"/>
          </reference>
        </references>
      </pivotArea>
    </format>
    <format dxfId="9390">
      <pivotArea dataOnly="0" labelOnly="1" outline="0" fieldPosition="0">
        <references count="7">
          <reference field="1" count="0" selected="0"/>
          <reference field="3" count="1" selected="0">
            <x v="6"/>
          </reference>
          <reference field="4" count="1" selected="0">
            <x v="0"/>
          </reference>
          <reference field="5" count="1" selected="0">
            <x v="190"/>
          </reference>
          <reference field="6" count="1" selected="0">
            <x v="9"/>
          </reference>
          <reference field="9" count="1" selected="0">
            <x v="10"/>
          </reference>
          <reference field="11" count="1">
            <x v="44"/>
          </reference>
        </references>
      </pivotArea>
    </format>
    <format dxfId="9389">
      <pivotArea dataOnly="0" labelOnly="1" outline="0" fieldPosition="0">
        <references count="7">
          <reference field="1" count="0" selected="0"/>
          <reference field="3" count="1" selected="0">
            <x v="6"/>
          </reference>
          <reference field="4" count="1" selected="0">
            <x v="0"/>
          </reference>
          <reference field="5" count="1" selected="0">
            <x v="343"/>
          </reference>
          <reference field="6" count="1" selected="0">
            <x v="9"/>
          </reference>
          <reference field="9" count="1" selected="0">
            <x v="10"/>
          </reference>
          <reference field="11" count="1">
            <x v="52"/>
          </reference>
        </references>
      </pivotArea>
    </format>
    <format dxfId="9388">
      <pivotArea dataOnly="0" labelOnly="1" outline="0" fieldPosition="0">
        <references count="7">
          <reference field="1" count="0" selected="0"/>
          <reference field="3" count="1" selected="0">
            <x v="8"/>
          </reference>
          <reference field="4" count="1" selected="0">
            <x v="3"/>
          </reference>
          <reference field="5" count="1" selected="0">
            <x v="135"/>
          </reference>
          <reference field="6" count="1" selected="0">
            <x v="3"/>
          </reference>
          <reference field="9" count="1" selected="0">
            <x v="10"/>
          </reference>
          <reference field="11" count="1">
            <x v="37"/>
          </reference>
        </references>
      </pivotArea>
    </format>
    <format dxfId="9387">
      <pivotArea dataOnly="0" labelOnly="1" outline="0" fieldPosition="0">
        <references count="7">
          <reference field="1" count="0" selected="0"/>
          <reference field="3" count="1" selected="0">
            <x v="8"/>
          </reference>
          <reference field="4" count="1" selected="0">
            <x v="3"/>
          </reference>
          <reference field="5" count="1" selected="0">
            <x v="136"/>
          </reference>
          <reference field="6" count="1" selected="0">
            <x v="3"/>
          </reference>
          <reference field="9" count="1" selected="0">
            <x v="10"/>
          </reference>
          <reference field="11" count="1">
            <x v="0"/>
          </reference>
        </references>
      </pivotArea>
    </format>
    <format dxfId="9386">
      <pivotArea dataOnly="0" labelOnly="1" outline="0" fieldPosition="0">
        <references count="7">
          <reference field="1" count="0" selected="0"/>
          <reference field="3" count="1" selected="0">
            <x v="9"/>
          </reference>
          <reference field="4" count="1" selected="0">
            <x v="6"/>
          </reference>
          <reference field="5" count="1" selected="0">
            <x v="211"/>
          </reference>
          <reference field="6" count="1" selected="0">
            <x v="5"/>
          </reference>
          <reference field="9" count="1" selected="0">
            <x v="10"/>
          </reference>
          <reference field="11" count="1">
            <x v="9"/>
          </reference>
        </references>
      </pivotArea>
    </format>
    <format dxfId="9385">
      <pivotArea dataOnly="0" labelOnly="1" outline="0" fieldPosition="0">
        <references count="7">
          <reference field="1" count="0" selected="0"/>
          <reference field="3" count="1" selected="0">
            <x v="9"/>
          </reference>
          <reference field="4" count="1" selected="0">
            <x v="6"/>
          </reference>
          <reference field="5" count="1" selected="0">
            <x v="212"/>
          </reference>
          <reference field="6" count="1" selected="0">
            <x v="5"/>
          </reference>
          <reference field="9" count="1" selected="0">
            <x v="10"/>
          </reference>
          <reference field="11" count="1">
            <x v="16"/>
          </reference>
        </references>
      </pivotArea>
    </format>
    <format dxfId="9384">
      <pivotArea dataOnly="0" labelOnly="1" outline="0" fieldPosition="0">
        <references count="8">
          <reference field="1" count="0" selected="0"/>
          <reference field="3" count="1" selected="0">
            <x v="0"/>
          </reference>
          <reference field="4" count="1" selected="0">
            <x v="3"/>
          </reference>
          <reference field="5" count="1" selected="0">
            <x v="167"/>
          </reference>
          <reference field="6" count="1" selected="0">
            <x v="7"/>
          </reference>
          <reference field="9" count="1" selected="0">
            <x v="10"/>
          </reference>
          <reference field="11" count="1" selected="0">
            <x v="49"/>
          </reference>
          <reference field="12" count="1">
            <x v="29"/>
          </reference>
        </references>
      </pivotArea>
    </format>
    <format dxfId="9383">
      <pivotArea dataOnly="0" labelOnly="1" outline="0" fieldPosition="0">
        <references count="8">
          <reference field="1" count="0" selected="0"/>
          <reference field="3" count="1" selected="0">
            <x v="3"/>
          </reference>
          <reference field="4" count="1" selected="0">
            <x v="1"/>
          </reference>
          <reference field="5" count="1" selected="0">
            <x v="205"/>
          </reference>
          <reference field="6" count="1" selected="0">
            <x v="2"/>
          </reference>
          <reference field="9" count="1" selected="0">
            <x v="10"/>
          </reference>
          <reference field="11" count="1" selected="0">
            <x v="14"/>
          </reference>
          <reference field="12" count="1">
            <x v="1"/>
          </reference>
        </references>
      </pivotArea>
    </format>
    <format dxfId="9382">
      <pivotArea dataOnly="0" labelOnly="1" outline="0" fieldPosition="0">
        <references count="8">
          <reference field="1" count="0" selected="0"/>
          <reference field="3" count="1" selected="0">
            <x v="4"/>
          </reference>
          <reference field="4" count="1" selected="0">
            <x v="1"/>
          </reference>
          <reference field="5" count="1" selected="0">
            <x v="116"/>
          </reference>
          <reference field="6" count="1" selected="0">
            <x v="2"/>
          </reference>
          <reference field="9" count="1" selected="0">
            <x v="10"/>
          </reference>
          <reference field="11" count="1" selected="0">
            <x v="14"/>
          </reference>
          <reference field="12" count="1">
            <x v="4"/>
          </reference>
        </references>
      </pivotArea>
    </format>
    <format dxfId="9381">
      <pivotArea dataOnly="0" labelOnly="1" outline="0" fieldPosition="0">
        <references count="8">
          <reference field="1" count="0" selected="0"/>
          <reference field="3" count="1" selected="0">
            <x v="4"/>
          </reference>
          <reference field="4" count="1" selected="0">
            <x v="1"/>
          </reference>
          <reference field="5" count="1" selected="0">
            <x v="218"/>
          </reference>
          <reference field="6" count="1" selected="0">
            <x v="2"/>
          </reference>
          <reference field="9" count="1" selected="0">
            <x v="10"/>
          </reference>
          <reference field="11" count="1" selected="0">
            <x v="14"/>
          </reference>
          <reference field="12" count="1">
            <x v="8"/>
          </reference>
        </references>
      </pivotArea>
    </format>
    <format dxfId="9380">
      <pivotArea dataOnly="0" labelOnly="1" outline="0" fieldPosition="0">
        <references count="8">
          <reference field="1" count="0" selected="0"/>
          <reference field="3" count="1" selected="0">
            <x v="4"/>
          </reference>
          <reference field="4" count="1" selected="0">
            <x v="1"/>
          </reference>
          <reference field="5" count="1" selected="0">
            <x v="326"/>
          </reference>
          <reference field="6" count="1" selected="0">
            <x v="2"/>
          </reference>
          <reference field="9" count="1" selected="0">
            <x v="2"/>
          </reference>
          <reference field="11" count="1" selected="0">
            <x v="29"/>
          </reference>
          <reference field="12" count="1">
            <x v="6"/>
          </reference>
        </references>
      </pivotArea>
    </format>
    <format dxfId="9379">
      <pivotArea dataOnly="0" labelOnly="1" outline="0" fieldPosition="0">
        <references count="8">
          <reference field="1" count="0" selected="0"/>
          <reference field="3" count="1" selected="0">
            <x v="4"/>
          </reference>
          <reference field="4" count="1" selected="0">
            <x v="1"/>
          </reference>
          <reference field="5" count="1" selected="0">
            <x v="332"/>
          </reference>
          <reference field="6" count="1" selected="0">
            <x v="2"/>
          </reference>
          <reference field="9" count="1" selected="0">
            <x v="10"/>
          </reference>
          <reference field="11" count="1" selected="0">
            <x v="21"/>
          </reference>
          <reference field="12" count="1">
            <x v="8"/>
          </reference>
        </references>
      </pivotArea>
    </format>
    <format dxfId="9378">
      <pivotArea dataOnly="0" labelOnly="1" outline="0" fieldPosition="0">
        <references count="8">
          <reference field="1" count="0" selected="0"/>
          <reference field="3" count="1" selected="0">
            <x v="6"/>
          </reference>
          <reference field="4" count="1" selected="0">
            <x v="0"/>
          </reference>
          <reference field="5" count="1" selected="0">
            <x v="146"/>
          </reference>
          <reference field="6" count="1" selected="0">
            <x v="9"/>
          </reference>
          <reference field="9" count="1" selected="0">
            <x v="10"/>
          </reference>
          <reference field="11" count="1" selected="0">
            <x v="6"/>
          </reference>
          <reference field="12" count="1">
            <x v="2"/>
          </reference>
        </references>
      </pivotArea>
    </format>
    <format dxfId="9377">
      <pivotArea dataOnly="0" labelOnly="1" outline="0" fieldPosition="0">
        <references count="8">
          <reference field="1" count="0" selected="0"/>
          <reference field="3" count="1" selected="0">
            <x v="6"/>
          </reference>
          <reference field="4" count="1" selected="0">
            <x v="0"/>
          </reference>
          <reference field="5" count="1" selected="0">
            <x v="175"/>
          </reference>
          <reference field="6" count="1" selected="0">
            <x v="9"/>
          </reference>
          <reference field="9" count="1" selected="0">
            <x v="10"/>
          </reference>
          <reference field="11" count="1" selected="0">
            <x v="14"/>
          </reference>
          <reference field="12" count="1">
            <x v="15"/>
          </reference>
        </references>
      </pivotArea>
    </format>
    <format dxfId="9376">
      <pivotArea dataOnly="0" labelOnly="1" outline="0" fieldPosition="0">
        <references count="8">
          <reference field="1" count="0" selected="0"/>
          <reference field="3" count="1" selected="0">
            <x v="6"/>
          </reference>
          <reference field="4" count="1" selected="0">
            <x v="0"/>
          </reference>
          <reference field="5" count="1" selected="0">
            <x v="181"/>
          </reference>
          <reference field="6" count="1" selected="0">
            <x v="9"/>
          </reference>
          <reference field="9" count="1" selected="0">
            <x v="10"/>
          </reference>
          <reference field="11" count="1" selected="0">
            <x v="14"/>
          </reference>
          <reference field="12" count="1">
            <x v="16"/>
          </reference>
        </references>
      </pivotArea>
    </format>
    <format dxfId="9375">
      <pivotArea dataOnly="0" labelOnly="1" outline="0" fieldPosition="0">
        <references count="8">
          <reference field="1" count="0" selected="0"/>
          <reference field="3" count="1" selected="0">
            <x v="6"/>
          </reference>
          <reference field="4" count="1" selected="0">
            <x v="0"/>
          </reference>
          <reference field="5" count="1" selected="0">
            <x v="182"/>
          </reference>
          <reference field="6" count="1" selected="0">
            <x v="9"/>
          </reference>
          <reference field="9" count="1" selected="0">
            <x v="10"/>
          </reference>
          <reference field="11" count="1" selected="0">
            <x v="14"/>
          </reference>
          <reference field="12" count="1">
            <x v="10"/>
          </reference>
        </references>
      </pivotArea>
    </format>
    <format dxfId="9374">
      <pivotArea dataOnly="0" labelOnly="1" outline="0" fieldPosition="0">
        <references count="8">
          <reference field="1" count="0" selected="0"/>
          <reference field="3" count="1" selected="0">
            <x v="6"/>
          </reference>
          <reference field="4" count="1" selected="0">
            <x v="0"/>
          </reference>
          <reference field="5" count="1" selected="0">
            <x v="189"/>
          </reference>
          <reference field="6" count="1" selected="0">
            <x v="9"/>
          </reference>
          <reference field="9" count="1" selected="0">
            <x v="10"/>
          </reference>
          <reference field="11" count="1" selected="0">
            <x v="32"/>
          </reference>
          <reference field="12" count="1">
            <x v="8"/>
          </reference>
        </references>
      </pivotArea>
    </format>
    <format dxfId="9373">
      <pivotArea dataOnly="0" labelOnly="1" outline="0" fieldPosition="0">
        <references count="8">
          <reference field="1" count="0" selected="0"/>
          <reference field="3" count="1" selected="0">
            <x v="8"/>
          </reference>
          <reference field="4" count="1" selected="0">
            <x v="3"/>
          </reference>
          <reference field="5" count="1" selected="0">
            <x v="135"/>
          </reference>
          <reference field="6" count="1" selected="0">
            <x v="3"/>
          </reference>
          <reference field="9" count="1" selected="0">
            <x v="10"/>
          </reference>
          <reference field="11" count="1" selected="0">
            <x v="37"/>
          </reference>
          <reference field="12" count="1">
            <x v="2"/>
          </reference>
        </references>
      </pivotArea>
    </format>
    <format dxfId="9372">
      <pivotArea dataOnly="0" labelOnly="1" outline="0" fieldPosition="0">
        <references count="8">
          <reference field="1" count="0" selected="0"/>
          <reference field="3" count="1" selected="0">
            <x v="9"/>
          </reference>
          <reference field="4" count="1" selected="0">
            <x v="6"/>
          </reference>
          <reference field="5" count="1" selected="0">
            <x v="211"/>
          </reference>
          <reference field="6" count="1" selected="0">
            <x v="5"/>
          </reference>
          <reference field="9" count="1" selected="0">
            <x v="10"/>
          </reference>
          <reference field="11" count="1" selected="0">
            <x v="9"/>
          </reference>
          <reference field="12" count="1">
            <x v="22"/>
          </reference>
        </references>
      </pivotArea>
    </format>
    <format dxfId="9371">
      <pivotArea dataOnly="0" labelOnly="1" outline="0" fieldPosition="0">
        <references count="8">
          <reference field="1" count="0" selected="0"/>
          <reference field="3" count="1" selected="0">
            <x v="9"/>
          </reference>
          <reference field="4" count="1" selected="0">
            <x v="6"/>
          </reference>
          <reference field="5" count="1" selected="0">
            <x v="212"/>
          </reference>
          <reference field="6" count="1" selected="0">
            <x v="5"/>
          </reference>
          <reference field="9" count="1" selected="0">
            <x v="10"/>
          </reference>
          <reference field="11" count="1" selected="0">
            <x v="16"/>
          </reference>
          <reference field="12" count="1">
            <x v="8"/>
          </reference>
        </references>
      </pivotArea>
    </format>
    <format dxfId="9370">
      <pivotArea dataOnly="0" labelOnly="1" outline="0" fieldPosition="0">
        <references count="9">
          <reference field="1" count="0" selected="0"/>
          <reference field="3" count="1" selected="0">
            <x v="0"/>
          </reference>
          <reference field="4" count="1" selected="0">
            <x v="3"/>
          </reference>
          <reference field="5" count="1" selected="0">
            <x v="167"/>
          </reference>
          <reference field="6" count="1" selected="0">
            <x v="7"/>
          </reference>
          <reference field="9" count="1" selected="0">
            <x v="10"/>
          </reference>
          <reference field="11" count="1" selected="0">
            <x v="49"/>
          </reference>
          <reference field="12" count="1" selected="0">
            <x v="29"/>
          </reference>
          <reference field="13" count="1">
            <x v="3"/>
          </reference>
        </references>
      </pivotArea>
    </format>
    <format dxfId="9369">
      <pivotArea dataOnly="0" labelOnly="1" outline="0" fieldPosition="0">
        <references count="9">
          <reference field="1" count="0" selected="0"/>
          <reference field="3" count="1" selected="0">
            <x v="3"/>
          </reference>
          <reference field="4" count="1" selected="0">
            <x v="1"/>
          </reference>
          <reference field="5" count="1" selected="0">
            <x v="197"/>
          </reference>
          <reference field="6" count="1" selected="0">
            <x v="2"/>
          </reference>
          <reference field="9" count="1" selected="0">
            <x v="10"/>
          </reference>
          <reference field="11" count="1" selected="0">
            <x v="4"/>
          </reference>
          <reference field="12" count="1" selected="0">
            <x v="8"/>
          </reference>
          <reference field="13" count="1">
            <x v="3"/>
          </reference>
        </references>
      </pivotArea>
    </format>
    <format dxfId="9368">
      <pivotArea dataOnly="0" labelOnly="1" outline="0" fieldPosition="0">
        <references count="9">
          <reference field="1" count="0" selected="0"/>
          <reference field="3" count="1" selected="0">
            <x v="6"/>
          </reference>
          <reference field="4" count="1" selected="0">
            <x v="0"/>
          </reference>
          <reference field="5" count="1" selected="0">
            <x v="126"/>
          </reference>
          <reference field="6" count="1" selected="0">
            <x v="9"/>
          </reference>
          <reference field="9" count="1" selected="0">
            <x v="10"/>
          </reference>
          <reference field="11" count="1" selected="0">
            <x v="1"/>
          </reference>
          <reference field="12" count="1" selected="0">
            <x v="8"/>
          </reference>
          <reference field="13" count="1">
            <x v="3"/>
          </reference>
        </references>
      </pivotArea>
    </format>
    <format dxfId="9367">
      <pivotArea dataOnly="0" labelOnly="1" outline="0" fieldPosition="0">
        <references count="9">
          <reference field="1" count="0" selected="0"/>
          <reference field="3" count="1" selected="0">
            <x v="6"/>
          </reference>
          <reference field="4" count="1" selected="0">
            <x v="0"/>
          </reference>
          <reference field="5" count="1" selected="0">
            <x v="174"/>
          </reference>
          <reference field="6" count="1" selected="0">
            <x v="9"/>
          </reference>
          <reference field="9" count="1" selected="0">
            <x v="10"/>
          </reference>
          <reference field="11" count="1" selected="0">
            <x v="20"/>
          </reference>
          <reference field="12" count="1" selected="0">
            <x v="8"/>
          </reference>
          <reference field="13" count="1">
            <x v="3"/>
          </reference>
        </references>
      </pivotArea>
    </format>
    <format dxfId="9366">
      <pivotArea dataOnly="0" labelOnly="1" outline="0" fieldPosition="0">
        <references count="9">
          <reference field="1" count="0" selected="0"/>
          <reference field="3" count="1" selected="0">
            <x v="6"/>
          </reference>
          <reference field="4" count="1" selected="0">
            <x v="0"/>
          </reference>
          <reference field="5" count="1" selected="0">
            <x v="343"/>
          </reference>
          <reference field="6" count="1" selected="0">
            <x v="9"/>
          </reference>
          <reference field="9" count="1" selected="0">
            <x v="10"/>
          </reference>
          <reference field="11" count="1" selected="0">
            <x v="52"/>
          </reference>
          <reference field="12" count="1" selected="0">
            <x v="8"/>
          </reference>
          <reference field="13" count="1">
            <x v="5"/>
          </reference>
        </references>
      </pivotArea>
    </format>
    <format dxfId="9365">
      <pivotArea dataOnly="0" labelOnly="1" outline="0" fieldPosition="0">
        <references count="10">
          <reference field="1" count="0" selected="0"/>
          <reference field="3" count="1" selected="0">
            <x v="0"/>
          </reference>
          <reference field="4" count="1" selected="0">
            <x v="3"/>
          </reference>
          <reference field="5" count="1" selected="0">
            <x v="167"/>
          </reference>
          <reference field="6" count="1" selected="0">
            <x v="7"/>
          </reference>
          <reference field="9" count="1" selected="0">
            <x v="10"/>
          </reference>
          <reference field="11" count="1" selected="0">
            <x v="49"/>
          </reference>
          <reference field="12" count="1" selected="0">
            <x v="29"/>
          </reference>
          <reference field="13" count="1" selected="0">
            <x v="3"/>
          </reference>
          <reference field="14" count="1">
            <x v="23"/>
          </reference>
        </references>
      </pivotArea>
    </format>
    <format dxfId="9364">
      <pivotArea dataOnly="0" labelOnly="1" outline="0" fieldPosition="0">
        <references count="10">
          <reference field="1" count="0" selected="0"/>
          <reference field="3" count="1" selected="0">
            <x v="3"/>
          </reference>
          <reference field="4" count="1" selected="0">
            <x v="1"/>
          </reference>
          <reference field="5" count="1" selected="0">
            <x v="197"/>
          </reference>
          <reference field="6" count="1" selected="0">
            <x v="2"/>
          </reference>
          <reference field="9" count="1" selected="0">
            <x v="10"/>
          </reference>
          <reference field="11" count="1" selected="0">
            <x v="4"/>
          </reference>
          <reference field="12" count="1" selected="0">
            <x v="8"/>
          </reference>
          <reference field="13" count="1" selected="0">
            <x v="3"/>
          </reference>
          <reference field="14" count="1">
            <x v="17"/>
          </reference>
        </references>
      </pivotArea>
    </format>
    <format dxfId="9363">
      <pivotArea dataOnly="0" labelOnly="1" outline="0" fieldPosition="0">
        <references count="10">
          <reference field="1" count="0" selected="0"/>
          <reference field="3" count="1" selected="0">
            <x v="3"/>
          </reference>
          <reference field="4" count="1" selected="0">
            <x v="1"/>
          </reference>
          <reference field="5" count="1" selected="0">
            <x v="204"/>
          </reference>
          <reference field="6" count="1" selected="0">
            <x v="2"/>
          </reference>
          <reference field="9" count="1" selected="0">
            <x v="10"/>
          </reference>
          <reference field="11" count="1" selected="0">
            <x v="42"/>
          </reference>
          <reference field="12" count="1" selected="0">
            <x v="8"/>
          </reference>
          <reference field="13" count="1" selected="0">
            <x v="3"/>
          </reference>
          <reference field="14" count="1">
            <x v="17"/>
          </reference>
        </references>
      </pivotArea>
    </format>
    <format dxfId="9362">
      <pivotArea dataOnly="0" labelOnly="1" outline="0" fieldPosition="0">
        <references count="10">
          <reference field="1" count="0" selected="0"/>
          <reference field="3" count="1" selected="0">
            <x v="3"/>
          </reference>
          <reference field="4" count="1" selected="0">
            <x v="1"/>
          </reference>
          <reference field="5" count="1" selected="0">
            <x v="205"/>
          </reference>
          <reference field="6" count="1" selected="0">
            <x v="2"/>
          </reference>
          <reference field="9" count="1" selected="0">
            <x v="10"/>
          </reference>
          <reference field="11" count="1" selected="0">
            <x v="14"/>
          </reference>
          <reference field="12" count="1" selected="0">
            <x v="1"/>
          </reference>
          <reference field="13" count="1" selected="0">
            <x v="3"/>
          </reference>
          <reference field="14" count="1">
            <x v="26"/>
          </reference>
        </references>
      </pivotArea>
    </format>
    <format dxfId="9361">
      <pivotArea dataOnly="0" labelOnly="1" outline="0" fieldPosition="0">
        <references count="10">
          <reference field="1" count="0" selected="0"/>
          <reference field="3" count="1" selected="0">
            <x v="4"/>
          </reference>
          <reference field="4" count="1" selected="0">
            <x v="1"/>
          </reference>
          <reference field="5" count="1" selected="0">
            <x v="116"/>
          </reference>
          <reference field="6" count="1" selected="0">
            <x v="2"/>
          </reference>
          <reference field="9" count="1" selected="0">
            <x v="10"/>
          </reference>
          <reference field="11" count="1" selected="0">
            <x v="14"/>
          </reference>
          <reference field="12" count="1" selected="0">
            <x v="4"/>
          </reference>
          <reference field="13" count="1" selected="0">
            <x v="3"/>
          </reference>
          <reference field="14" count="1">
            <x v="8"/>
          </reference>
        </references>
      </pivotArea>
    </format>
    <format dxfId="9360">
      <pivotArea dataOnly="0" labelOnly="1" outline="0" fieldPosition="0">
        <references count="10">
          <reference field="1" count="0" selected="0"/>
          <reference field="3" count="1" selected="0">
            <x v="4"/>
          </reference>
          <reference field="4" count="1" selected="0">
            <x v="1"/>
          </reference>
          <reference field="5" count="1" selected="0">
            <x v="218"/>
          </reference>
          <reference field="6" count="1" selected="0">
            <x v="2"/>
          </reference>
          <reference field="9" count="1" selected="0">
            <x v="10"/>
          </reference>
          <reference field="11" count="1" selected="0">
            <x v="14"/>
          </reference>
          <reference field="12" count="1" selected="0">
            <x v="8"/>
          </reference>
          <reference field="13" count="1" selected="0">
            <x v="3"/>
          </reference>
          <reference field="14" count="1">
            <x v="17"/>
          </reference>
        </references>
      </pivotArea>
    </format>
    <format dxfId="9359">
      <pivotArea dataOnly="0" labelOnly="1" outline="0" fieldPosition="0">
        <references count="10">
          <reference field="1" count="0" selected="0"/>
          <reference field="3" count="1" selected="0">
            <x v="4"/>
          </reference>
          <reference field="4" count="1" selected="0">
            <x v="1"/>
          </reference>
          <reference field="5" count="1" selected="0">
            <x v="326"/>
          </reference>
          <reference field="6" count="1" selected="0">
            <x v="2"/>
          </reference>
          <reference field="9" count="1" selected="0">
            <x v="2"/>
          </reference>
          <reference field="11" count="1" selected="0">
            <x v="29"/>
          </reference>
          <reference field="12" count="1" selected="0">
            <x v="6"/>
          </reference>
          <reference field="13" count="1" selected="0">
            <x v="3"/>
          </reference>
          <reference field="14" count="1">
            <x v="34"/>
          </reference>
        </references>
      </pivotArea>
    </format>
    <format dxfId="9358">
      <pivotArea dataOnly="0" labelOnly="1" outline="0" fieldPosition="0">
        <references count="10">
          <reference field="1" count="0" selected="0"/>
          <reference field="3" count="1" selected="0">
            <x v="4"/>
          </reference>
          <reference field="4" count="1" selected="0">
            <x v="1"/>
          </reference>
          <reference field="5" count="1" selected="0">
            <x v="332"/>
          </reference>
          <reference field="6" count="1" selected="0">
            <x v="2"/>
          </reference>
          <reference field="9" count="1" selected="0">
            <x v="10"/>
          </reference>
          <reference field="11" count="1" selected="0">
            <x v="21"/>
          </reference>
          <reference field="12" count="1" selected="0">
            <x v="8"/>
          </reference>
          <reference field="13" count="1" selected="0">
            <x v="3"/>
          </reference>
          <reference field="14" count="1">
            <x v="17"/>
          </reference>
        </references>
      </pivotArea>
    </format>
    <format dxfId="9357">
      <pivotArea dataOnly="0" labelOnly="1" outline="0" fieldPosition="0">
        <references count="10">
          <reference field="1" count="0" selected="0"/>
          <reference field="3" count="1" selected="0">
            <x v="6"/>
          </reference>
          <reference field="4" count="1" selected="0">
            <x v="0"/>
          </reference>
          <reference field="5" count="1" selected="0">
            <x v="126"/>
          </reference>
          <reference field="6" count="1" selected="0">
            <x v="9"/>
          </reference>
          <reference field="9" count="1" selected="0">
            <x v="10"/>
          </reference>
          <reference field="11" count="1" selected="0">
            <x v="1"/>
          </reference>
          <reference field="12" count="1" selected="0">
            <x v="8"/>
          </reference>
          <reference field="13" count="1" selected="0">
            <x v="3"/>
          </reference>
          <reference field="14" count="1">
            <x v="17"/>
          </reference>
        </references>
      </pivotArea>
    </format>
    <format dxfId="9356">
      <pivotArea dataOnly="0" labelOnly="1" outline="0" fieldPosition="0">
        <references count="10">
          <reference field="1" count="0" selected="0"/>
          <reference field="3" count="1" selected="0">
            <x v="6"/>
          </reference>
          <reference field="4" count="1" selected="0">
            <x v="0"/>
          </reference>
          <reference field="5" count="1" selected="0">
            <x v="145"/>
          </reference>
          <reference field="6" count="1" selected="0">
            <x v="9"/>
          </reference>
          <reference field="9" count="1" selected="0">
            <x v="10"/>
          </reference>
          <reference field="11" count="1" selected="0">
            <x v="27"/>
          </reference>
          <reference field="12" count="1" selected="0">
            <x v="8"/>
          </reference>
          <reference field="13" count="1" selected="0">
            <x v="3"/>
          </reference>
          <reference field="14" count="1">
            <x v="11"/>
          </reference>
        </references>
      </pivotArea>
    </format>
    <format dxfId="9355">
      <pivotArea dataOnly="0" labelOnly="1" outline="0" fieldPosition="0">
        <references count="10">
          <reference field="1" count="0" selected="0"/>
          <reference field="3" count="1" selected="0">
            <x v="6"/>
          </reference>
          <reference field="4" count="1" selected="0">
            <x v="0"/>
          </reference>
          <reference field="5" count="1" selected="0">
            <x v="146"/>
          </reference>
          <reference field="6" count="1" selected="0">
            <x v="9"/>
          </reference>
          <reference field="9" count="1" selected="0">
            <x v="10"/>
          </reference>
          <reference field="11" count="1" selected="0">
            <x v="6"/>
          </reference>
          <reference field="12" count="1" selected="0">
            <x v="2"/>
          </reference>
          <reference field="13" count="1" selected="0">
            <x v="3"/>
          </reference>
          <reference field="14" count="1">
            <x v="10"/>
          </reference>
        </references>
      </pivotArea>
    </format>
    <format dxfId="9354">
      <pivotArea dataOnly="0" labelOnly="1" outline="0" fieldPosition="0">
        <references count="10">
          <reference field="1" count="0" selected="0"/>
          <reference field="3" count="1" selected="0">
            <x v="6"/>
          </reference>
          <reference field="4" count="1" selected="0">
            <x v="0"/>
          </reference>
          <reference field="5" count="1" selected="0">
            <x v="174"/>
          </reference>
          <reference field="6" count="1" selected="0">
            <x v="9"/>
          </reference>
          <reference field="9" count="1" selected="0">
            <x v="10"/>
          </reference>
          <reference field="11" count="1" selected="0">
            <x v="20"/>
          </reference>
          <reference field="12" count="1" selected="0">
            <x v="8"/>
          </reference>
          <reference field="13" count="1" selected="0">
            <x v="3"/>
          </reference>
          <reference field="14" count="1">
            <x v="47"/>
          </reference>
        </references>
      </pivotArea>
    </format>
    <format dxfId="9353">
      <pivotArea dataOnly="0" labelOnly="1" outline="0" fieldPosition="0">
        <references count="10">
          <reference field="1" count="0" selected="0"/>
          <reference field="3" count="1" selected="0">
            <x v="6"/>
          </reference>
          <reference field="4" count="1" selected="0">
            <x v="0"/>
          </reference>
          <reference field="5" count="1" selected="0">
            <x v="175"/>
          </reference>
          <reference field="6" count="1" selected="0">
            <x v="9"/>
          </reference>
          <reference field="9" count="1" selected="0">
            <x v="10"/>
          </reference>
          <reference field="11" count="1" selected="0">
            <x v="14"/>
          </reference>
          <reference field="12" count="1" selected="0">
            <x v="15"/>
          </reference>
          <reference field="13" count="1" selected="0">
            <x v="3"/>
          </reference>
          <reference field="14" count="1">
            <x v="15"/>
          </reference>
        </references>
      </pivotArea>
    </format>
    <format dxfId="9352">
      <pivotArea dataOnly="0" labelOnly="1" outline="0" fieldPosition="0">
        <references count="10">
          <reference field="1" count="0" selected="0"/>
          <reference field="3" count="1" selected="0">
            <x v="6"/>
          </reference>
          <reference field="4" count="1" selected="0">
            <x v="0"/>
          </reference>
          <reference field="5" count="1" selected="0">
            <x v="181"/>
          </reference>
          <reference field="6" count="1" selected="0">
            <x v="9"/>
          </reference>
          <reference field="9" count="1" selected="0">
            <x v="10"/>
          </reference>
          <reference field="11" count="1" selected="0">
            <x v="14"/>
          </reference>
          <reference field="12" count="1" selected="0">
            <x v="16"/>
          </reference>
          <reference field="13" count="1" selected="0">
            <x v="3"/>
          </reference>
          <reference field="14" count="1">
            <x v="7"/>
          </reference>
        </references>
      </pivotArea>
    </format>
    <format dxfId="9351">
      <pivotArea dataOnly="0" labelOnly="1" outline="0" fieldPosition="0">
        <references count="10">
          <reference field="1" count="0" selected="0"/>
          <reference field="3" count="1" selected="0">
            <x v="6"/>
          </reference>
          <reference field="4" count="1" selected="0">
            <x v="0"/>
          </reference>
          <reference field="5" count="1" selected="0">
            <x v="182"/>
          </reference>
          <reference field="6" count="1" selected="0">
            <x v="9"/>
          </reference>
          <reference field="9" count="1" selected="0">
            <x v="10"/>
          </reference>
          <reference field="11" count="1" selected="0">
            <x v="14"/>
          </reference>
          <reference field="12" count="1" selected="0">
            <x v="10"/>
          </reference>
          <reference field="13" count="1" selected="0">
            <x v="3"/>
          </reference>
          <reference field="14" count="1">
            <x v="12"/>
          </reference>
        </references>
      </pivotArea>
    </format>
    <format dxfId="9350">
      <pivotArea dataOnly="0" labelOnly="1" outline="0" fieldPosition="0">
        <references count="10">
          <reference field="1" count="0" selected="0"/>
          <reference field="3" count="1" selected="0">
            <x v="6"/>
          </reference>
          <reference field="4" count="1" selected="0">
            <x v="0"/>
          </reference>
          <reference field="5" count="1" selected="0">
            <x v="189"/>
          </reference>
          <reference field="6" count="1" selected="0">
            <x v="9"/>
          </reference>
          <reference field="9" count="1" selected="0">
            <x v="10"/>
          </reference>
          <reference field="11" count="1" selected="0">
            <x v="32"/>
          </reference>
          <reference field="12" count="1" selected="0">
            <x v="8"/>
          </reference>
          <reference field="13" count="1" selected="0">
            <x v="3"/>
          </reference>
          <reference field="14" count="1">
            <x v="52"/>
          </reference>
        </references>
      </pivotArea>
    </format>
    <format dxfId="9349">
      <pivotArea dataOnly="0" labelOnly="1" outline="0" fieldPosition="0">
        <references count="10">
          <reference field="1" count="0" selected="0"/>
          <reference field="3" count="1" selected="0">
            <x v="6"/>
          </reference>
          <reference field="4" count="1" selected="0">
            <x v="0"/>
          </reference>
          <reference field="5" count="1" selected="0">
            <x v="190"/>
          </reference>
          <reference field="6" count="1" selected="0">
            <x v="9"/>
          </reference>
          <reference field="9" count="1" selected="0">
            <x v="10"/>
          </reference>
          <reference field="11" count="1" selected="0">
            <x v="44"/>
          </reference>
          <reference field="12" count="1" selected="0">
            <x v="8"/>
          </reference>
          <reference field="13" count="1" selected="0">
            <x v="3"/>
          </reference>
          <reference field="14" count="1">
            <x v="33"/>
          </reference>
        </references>
      </pivotArea>
    </format>
    <format dxfId="9348">
      <pivotArea dataOnly="0" labelOnly="1" outline="0" fieldPosition="0">
        <references count="10">
          <reference field="1" count="0" selected="0"/>
          <reference field="3" count="1" selected="0">
            <x v="6"/>
          </reference>
          <reference field="4" count="1" selected="0">
            <x v="0"/>
          </reference>
          <reference field="5" count="1" selected="0">
            <x v="343"/>
          </reference>
          <reference field="6" count="1" selected="0">
            <x v="9"/>
          </reference>
          <reference field="9" count="1" selected="0">
            <x v="10"/>
          </reference>
          <reference field="11" count="1" selected="0">
            <x v="52"/>
          </reference>
          <reference field="12" count="1" selected="0">
            <x v="8"/>
          </reference>
          <reference field="13" count="1" selected="0">
            <x v="5"/>
          </reference>
          <reference field="14" count="1">
            <x v="45"/>
          </reference>
        </references>
      </pivotArea>
    </format>
    <format dxfId="9347">
      <pivotArea dataOnly="0" labelOnly="1" outline="0" fieldPosition="0">
        <references count="10">
          <reference field="1" count="0" selected="0"/>
          <reference field="3" count="1" selected="0">
            <x v="8"/>
          </reference>
          <reference field="4" count="1" selected="0">
            <x v="3"/>
          </reference>
          <reference field="5" count="1" selected="0">
            <x v="135"/>
          </reference>
          <reference field="6" count="1" selected="0">
            <x v="3"/>
          </reference>
          <reference field="9" count="1" selected="0">
            <x v="10"/>
          </reference>
          <reference field="11" count="1" selected="0">
            <x v="37"/>
          </reference>
          <reference field="12" count="1" selected="0">
            <x v="2"/>
          </reference>
          <reference field="13" count="1" selected="0">
            <x v="3"/>
          </reference>
          <reference field="14" count="1">
            <x v="17"/>
          </reference>
        </references>
      </pivotArea>
    </format>
    <format dxfId="9346">
      <pivotArea dataOnly="0" labelOnly="1" outline="0" fieldPosition="0">
        <references count="10">
          <reference field="1" count="0" selected="0"/>
          <reference field="3" count="1" selected="0">
            <x v="9"/>
          </reference>
          <reference field="4" count="1" selected="0">
            <x v="6"/>
          </reference>
          <reference field="5" count="1" selected="0">
            <x v="211"/>
          </reference>
          <reference field="6" count="1" selected="0">
            <x v="5"/>
          </reference>
          <reference field="9" count="1" selected="0">
            <x v="10"/>
          </reference>
          <reference field="11" count="1" selected="0">
            <x v="9"/>
          </reference>
          <reference field="12" count="1" selected="0">
            <x v="22"/>
          </reference>
          <reference field="13" count="1" selected="0">
            <x v="3"/>
          </reference>
          <reference field="14" count="1">
            <x v="17"/>
          </reference>
        </references>
      </pivotArea>
    </format>
    <format dxfId="9345">
      <pivotArea dataOnly="0" labelOnly="1" outline="0" fieldPosition="0">
        <references count="10">
          <reference field="1" count="0" selected="0"/>
          <reference field="3" count="1" selected="0">
            <x v="9"/>
          </reference>
          <reference field="4" count="1" selected="0">
            <x v="6"/>
          </reference>
          <reference field="5" count="1" selected="0">
            <x v="212"/>
          </reference>
          <reference field="6" count="1" selected="0">
            <x v="5"/>
          </reference>
          <reference field="9" count="1" selected="0">
            <x v="10"/>
          </reference>
          <reference field="11" count="1" selected="0">
            <x v="16"/>
          </reference>
          <reference field="12" count="1" selected="0">
            <x v="8"/>
          </reference>
          <reference field="13" count="1" selected="0">
            <x v="3"/>
          </reference>
          <reference field="14" count="1">
            <x v="17"/>
          </reference>
        </references>
      </pivotArea>
    </format>
    <format dxfId="9344">
      <pivotArea dataOnly="0" labelOnly="1" outline="0" fieldPosition="0">
        <references count="7">
          <reference field="1" count="0" selected="0"/>
          <reference field="3" count="1" selected="0">
            <x v="0"/>
          </reference>
          <reference field="4" count="1" selected="0">
            <x v="3"/>
          </reference>
          <reference field="5" count="1" selected="0">
            <x v="167"/>
          </reference>
          <reference field="6" count="1" selected="0">
            <x v="7"/>
          </reference>
          <reference field="9" count="1" selected="0">
            <x v="10"/>
          </reference>
          <reference field="11" count="1">
            <x v="49"/>
          </reference>
        </references>
      </pivotArea>
    </format>
    <format dxfId="9343">
      <pivotArea dataOnly="0" labelOnly="1" outline="0" fieldPosition="0">
        <references count="7">
          <reference field="1" count="0" selected="0"/>
          <reference field="3" count="1" selected="0">
            <x v="3"/>
          </reference>
          <reference field="4" count="1" selected="0">
            <x v="1"/>
          </reference>
          <reference field="5" count="1" selected="0">
            <x v="197"/>
          </reference>
          <reference field="6" count="1" selected="0">
            <x v="2"/>
          </reference>
          <reference field="9" count="1" selected="0">
            <x v="10"/>
          </reference>
          <reference field="11" count="1">
            <x v="4"/>
          </reference>
        </references>
      </pivotArea>
    </format>
    <format dxfId="9342">
      <pivotArea dataOnly="0" labelOnly="1" outline="0" fieldPosition="0">
        <references count="7">
          <reference field="1" count="0" selected="0"/>
          <reference field="3" count="1" selected="0">
            <x v="3"/>
          </reference>
          <reference field="4" count="1" selected="0">
            <x v="1"/>
          </reference>
          <reference field="5" count="1" selected="0">
            <x v="204"/>
          </reference>
          <reference field="6" count="1" selected="0">
            <x v="2"/>
          </reference>
          <reference field="9" count="1" selected="0">
            <x v="10"/>
          </reference>
          <reference field="11" count="1">
            <x v="42"/>
          </reference>
        </references>
      </pivotArea>
    </format>
    <format dxfId="9341">
      <pivotArea dataOnly="0" labelOnly="1" outline="0" fieldPosition="0">
        <references count="7">
          <reference field="1" count="0" selected="0"/>
          <reference field="3" count="1" selected="0">
            <x v="3"/>
          </reference>
          <reference field="4" count="1" selected="0">
            <x v="1"/>
          </reference>
          <reference field="5" count="1" selected="0">
            <x v="205"/>
          </reference>
          <reference field="6" count="1" selected="0">
            <x v="2"/>
          </reference>
          <reference field="9" count="1" selected="0">
            <x v="10"/>
          </reference>
          <reference field="11" count="1">
            <x v="14"/>
          </reference>
        </references>
      </pivotArea>
    </format>
    <format dxfId="9340">
      <pivotArea dataOnly="0" labelOnly="1" outline="0" fieldPosition="0">
        <references count="7">
          <reference field="1" count="0" selected="0"/>
          <reference field="3" count="1" selected="0">
            <x v="4"/>
          </reference>
          <reference field="4" count="1" selected="0">
            <x v="1"/>
          </reference>
          <reference field="5" count="1" selected="0">
            <x v="116"/>
          </reference>
          <reference field="6" count="1" selected="0">
            <x v="2"/>
          </reference>
          <reference field="9" count="1" selected="0">
            <x v="10"/>
          </reference>
          <reference field="11" count="1">
            <x v="14"/>
          </reference>
        </references>
      </pivotArea>
    </format>
    <format dxfId="9339">
      <pivotArea dataOnly="0" labelOnly="1" outline="0" fieldPosition="0">
        <references count="7">
          <reference field="1" count="0" selected="0"/>
          <reference field="3" count="1" selected="0">
            <x v="4"/>
          </reference>
          <reference field="4" count="1" selected="0">
            <x v="1"/>
          </reference>
          <reference field="5" count="1" selected="0">
            <x v="326"/>
          </reference>
          <reference field="6" count="1" selected="0">
            <x v="2"/>
          </reference>
          <reference field="9" count="1" selected="0">
            <x v="2"/>
          </reference>
          <reference field="11" count="1">
            <x v="29"/>
          </reference>
        </references>
      </pivotArea>
    </format>
    <format dxfId="9338">
      <pivotArea dataOnly="0" labelOnly="1" outline="0" fieldPosition="0">
        <references count="7">
          <reference field="1" count="0" selected="0"/>
          <reference field="3" count="1" selected="0">
            <x v="4"/>
          </reference>
          <reference field="4" count="1" selected="0">
            <x v="1"/>
          </reference>
          <reference field="5" count="1" selected="0">
            <x v="332"/>
          </reference>
          <reference field="6" count="1" selected="0">
            <x v="2"/>
          </reference>
          <reference field="9" count="1" selected="0">
            <x v="10"/>
          </reference>
          <reference field="11" count="1">
            <x v="21"/>
          </reference>
        </references>
      </pivotArea>
    </format>
    <format dxfId="9337">
      <pivotArea dataOnly="0" labelOnly="1" outline="0" fieldPosition="0">
        <references count="7">
          <reference field="1" count="0" selected="0"/>
          <reference field="3" count="1" selected="0">
            <x v="6"/>
          </reference>
          <reference field="4" count="1" selected="0">
            <x v="0"/>
          </reference>
          <reference field="5" count="1" selected="0">
            <x v="126"/>
          </reference>
          <reference field="6" count="1" selected="0">
            <x v="9"/>
          </reference>
          <reference field="9" count="1" selected="0">
            <x v="10"/>
          </reference>
          <reference field="11" count="1">
            <x v="1"/>
          </reference>
        </references>
      </pivotArea>
    </format>
    <format dxfId="9336">
      <pivotArea dataOnly="0" labelOnly="1" outline="0" fieldPosition="0">
        <references count="7">
          <reference field="1" count="0" selected="0"/>
          <reference field="3" count="1" selected="0">
            <x v="6"/>
          </reference>
          <reference field="4" count="1" selected="0">
            <x v="0"/>
          </reference>
          <reference field="5" count="1" selected="0">
            <x v="145"/>
          </reference>
          <reference field="6" count="1" selected="0">
            <x v="9"/>
          </reference>
          <reference field="9" count="1" selected="0">
            <x v="10"/>
          </reference>
          <reference field="11" count="1">
            <x v="27"/>
          </reference>
        </references>
      </pivotArea>
    </format>
    <format dxfId="9335">
      <pivotArea dataOnly="0" labelOnly="1" outline="0" fieldPosition="0">
        <references count="7">
          <reference field="1" count="0" selected="0"/>
          <reference field="3" count="1" selected="0">
            <x v="6"/>
          </reference>
          <reference field="4" count="1" selected="0">
            <x v="0"/>
          </reference>
          <reference field="5" count="1" selected="0">
            <x v="146"/>
          </reference>
          <reference field="6" count="1" selected="0">
            <x v="9"/>
          </reference>
          <reference field="9" count="1" selected="0">
            <x v="10"/>
          </reference>
          <reference field="11" count="1">
            <x v="6"/>
          </reference>
        </references>
      </pivotArea>
    </format>
    <format dxfId="9334">
      <pivotArea dataOnly="0" labelOnly="1" outline="0" fieldPosition="0">
        <references count="7">
          <reference field="1" count="0" selected="0"/>
          <reference field="3" count="1" selected="0">
            <x v="6"/>
          </reference>
          <reference field="4" count="1" selected="0">
            <x v="0"/>
          </reference>
          <reference field="5" count="1" selected="0">
            <x v="174"/>
          </reference>
          <reference field="6" count="1" selected="0">
            <x v="9"/>
          </reference>
          <reference field="9" count="1" selected="0">
            <x v="10"/>
          </reference>
          <reference field="11" count="1">
            <x v="20"/>
          </reference>
        </references>
      </pivotArea>
    </format>
    <format dxfId="9333">
      <pivotArea dataOnly="0" labelOnly="1" outline="0" fieldPosition="0">
        <references count="7">
          <reference field="1" count="0" selected="0"/>
          <reference field="3" count="1" selected="0">
            <x v="6"/>
          </reference>
          <reference field="4" count="1" selected="0">
            <x v="0"/>
          </reference>
          <reference field="5" count="1" selected="0">
            <x v="175"/>
          </reference>
          <reference field="6" count="1" selected="0">
            <x v="9"/>
          </reference>
          <reference field="9" count="1" selected="0">
            <x v="10"/>
          </reference>
          <reference field="11" count="1">
            <x v="14"/>
          </reference>
        </references>
      </pivotArea>
    </format>
    <format dxfId="9332">
      <pivotArea dataOnly="0" labelOnly="1" outline="0" fieldPosition="0">
        <references count="7">
          <reference field="1" count="0" selected="0"/>
          <reference field="3" count="1" selected="0">
            <x v="6"/>
          </reference>
          <reference field="4" count="1" selected="0">
            <x v="0"/>
          </reference>
          <reference field="5" count="1" selected="0">
            <x v="189"/>
          </reference>
          <reference field="6" count="1" selected="0">
            <x v="9"/>
          </reference>
          <reference field="9" count="1" selected="0">
            <x v="10"/>
          </reference>
          <reference field="11" count="1">
            <x v="32"/>
          </reference>
        </references>
      </pivotArea>
    </format>
    <format dxfId="9331">
      <pivotArea dataOnly="0" labelOnly="1" outline="0" fieldPosition="0">
        <references count="7">
          <reference field="1" count="0" selected="0"/>
          <reference field="3" count="1" selected="0">
            <x v="6"/>
          </reference>
          <reference field="4" count="1" selected="0">
            <x v="0"/>
          </reference>
          <reference field="5" count="1" selected="0">
            <x v="190"/>
          </reference>
          <reference field="6" count="1" selected="0">
            <x v="9"/>
          </reference>
          <reference field="9" count="1" selected="0">
            <x v="10"/>
          </reference>
          <reference field="11" count="1">
            <x v="44"/>
          </reference>
        </references>
      </pivotArea>
    </format>
    <format dxfId="9330">
      <pivotArea dataOnly="0" labelOnly="1" outline="0" fieldPosition="0">
        <references count="7">
          <reference field="1" count="0" selected="0"/>
          <reference field="3" count="1" selected="0">
            <x v="6"/>
          </reference>
          <reference field="4" count="1" selected="0">
            <x v="0"/>
          </reference>
          <reference field="5" count="1" selected="0">
            <x v="343"/>
          </reference>
          <reference field="6" count="1" selected="0">
            <x v="9"/>
          </reference>
          <reference field="9" count="1" selected="0">
            <x v="10"/>
          </reference>
          <reference field="11" count="1">
            <x v="52"/>
          </reference>
        </references>
      </pivotArea>
    </format>
    <format dxfId="9329">
      <pivotArea dataOnly="0" labelOnly="1" outline="0" fieldPosition="0">
        <references count="7">
          <reference field="1" count="0" selected="0"/>
          <reference field="3" count="1" selected="0">
            <x v="8"/>
          </reference>
          <reference field="4" count="1" selected="0">
            <x v="3"/>
          </reference>
          <reference field="5" count="1" selected="0">
            <x v="135"/>
          </reference>
          <reference field="6" count="1" selected="0">
            <x v="3"/>
          </reference>
          <reference field="9" count="1" selected="0">
            <x v="10"/>
          </reference>
          <reference field="11" count="1">
            <x v="37"/>
          </reference>
        </references>
      </pivotArea>
    </format>
    <format dxfId="9328">
      <pivotArea dataOnly="0" labelOnly="1" outline="0" fieldPosition="0">
        <references count="7">
          <reference field="1" count="0" selected="0"/>
          <reference field="3" count="1" selected="0">
            <x v="8"/>
          </reference>
          <reference field="4" count="1" selected="0">
            <x v="3"/>
          </reference>
          <reference field="5" count="1" selected="0">
            <x v="136"/>
          </reference>
          <reference field="6" count="1" selected="0">
            <x v="3"/>
          </reference>
          <reference field="9" count="1" selected="0">
            <x v="10"/>
          </reference>
          <reference field="11" count="1">
            <x v="0"/>
          </reference>
        </references>
      </pivotArea>
    </format>
    <format dxfId="9327">
      <pivotArea dataOnly="0" labelOnly="1" outline="0" fieldPosition="0">
        <references count="7">
          <reference field="1" count="0" selected="0"/>
          <reference field="3" count="1" selected="0">
            <x v="9"/>
          </reference>
          <reference field="4" count="1" selected="0">
            <x v="6"/>
          </reference>
          <reference field="5" count="1" selected="0">
            <x v="211"/>
          </reference>
          <reference field="6" count="1" selected="0">
            <x v="5"/>
          </reference>
          <reference field="9" count="1" selected="0">
            <x v="10"/>
          </reference>
          <reference field="11" count="1">
            <x v="9"/>
          </reference>
        </references>
      </pivotArea>
    </format>
    <format dxfId="9326">
      <pivotArea dataOnly="0" labelOnly="1" outline="0" fieldPosition="0">
        <references count="7">
          <reference field="1" count="0" selected="0"/>
          <reference field="3" count="1" selected="0">
            <x v="9"/>
          </reference>
          <reference field="4" count="1" selected="0">
            <x v="6"/>
          </reference>
          <reference field="5" count="1" selected="0">
            <x v="212"/>
          </reference>
          <reference field="6" count="1" selected="0">
            <x v="5"/>
          </reference>
          <reference field="9" count="1" selected="0">
            <x v="10"/>
          </reference>
          <reference field="11" count="1">
            <x v="16"/>
          </reference>
        </references>
      </pivotArea>
    </format>
    <format dxfId="9325">
      <pivotArea dataOnly="0" labelOnly="1" outline="0" fieldPosition="0">
        <references count="8">
          <reference field="1" count="0" selected="0"/>
          <reference field="3" count="1" selected="0">
            <x v="0"/>
          </reference>
          <reference field="4" count="1" selected="0">
            <x v="3"/>
          </reference>
          <reference field="5" count="1" selected="0">
            <x v="167"/>
          </reference>
          <reference field="6" count="1" selected="0">
            <x v="7"/>
          </reference>
          <reference field="9" count="1" selected="0">
            <x v="10"/>
          </reference>
          <reference field="11" count="1" selected="0">
            <x v="49"/>
          </reference>
          <reference field="12" count="1">
            <x v="29"/>
          </reference>
        </references>
      </pivotArea>
    </format>
    <format dxfId="9324">
      <pivotArea dataOnly="0" labelOnly="1" outline="0" fieldPosition="0">
        <references count="8">
          <reference field="1" count="0" selected="0"/>
          <reference field="3" count="1" selected="0">
            <x v="3"/>
          </reference>
          <reference field="4" count="1" selected="0">
            <x v="1"/>
          </reference>
          <reference field="5" count="1" selected="0">
            <x v="205"/>
          </reference>
          <reference field="6" count="1" selected="0">
            <x v="2"/>
          </reference>
          <reference field="9" count="1" selected="0">
            <x v="10"/>
          </reference>
          <reference field="11" count="1" selected="0">
            <x v="14"/>
          </reference>
          <reference field="12" count="1">
            <x v="1"/>
          </reference>
        </references>
      </pivotArea>
    </format>
    <format dxfId="9323">
      <pivotArea dataOnly="0" labelOnly="1" outline="0" fieldPosition="0">
        <references count="8">
          <reference field="1" count="0" selected="0"/>
          <reference field="3" count="1" selected="0">
            <x v="4"/>
          </reference>
          <reference field="4" count="1" selected="0">
            <x v="1"/>
          </reference>
          <reference field="5" count="1" selected="0">
            <x v="116"/>
          </reference>
          <reference field="6" count="1" selected="0">
            <x v="2"/>
          </reference>
          <reference field="9" count="1" selected="0">
            <x v="10"/>
          </reference>
          <reference field="11" count="1" selected="0">
            <x v="14"/>
          </reference>
          <reference field="12" count="1">
            <x v="4"/>
          </reference>
        </references>
      </pivotArea>
    </format>
    <format dxfId="9322">
      <pivotArea dataOnly="0" labelOnly="1" outline="0" fieldPosition="0">
        <references count="8">
          <reference field="1" count="0" selected="0"/>
          <reference field="3" count="1" selected="0">
            <x v="4"/>
          </reference>
          <reference field="4" count="1" selected="0">
            <x v="1"/>
          </reference>
          <reference field="5" count="1" selected="0">
            <x v="218"/>
          </reference>
          <reference field="6" count="1" selected="0">
            <x v="2"/>
          </reference>
          <reference field="9" count="1" selected="0">
            <x v="10"/>
          </reference>
          <reference field="11" count="1" selected="0">
            <x v="14"/>
          </reference>
          <reference field="12" count="1">
            <x v="8"/>
          </reference>
        </references>
      </pivotArea>
    </format>
    <format dxfId="9321">
      <pivotArea dataOnly="0" labelOnly="1" outline="0" fieldPosition="0">
        <references count="8">
          <reference field="1" count="0" selected="0"/>
          <reference field="3" count="1" selected="0">
            <x v="4"/>
          </reference>
          <reference field="4" count="1" selected="0">
            <x v="1"/>
          </reference>
          <reference field="5" count="1" selected="0">
            <x v="326"/>
          </reference>
          <reference field="6" count="1" selected="0">
            <x v="2"/>
          </reference>
          <reference field="9" count="1" selected="0">
            <x v="2"/>
          </reference>
          <reference field="11" count="1" selected="0">
            <x v="29"/>
          </reference>
          <reference field="12" count="1">
            <x v="6"/>
          </reference>
        </references>
      </pivotArea>
    </format>
    <format dxfId="9320">
      <pivotArea dataOnly="0" labelOnly="1" outline="0" fieldPosition="0">
        <references count="8">
          <reference field="1" count="0" selected="0"/>
          <reference field="3" count="1" selected="0">
            <x v="4"/>
          </reference>
          <reference field="4" count="1" selected="0">
            <x v="1"/>
          </reference>
          <reference field="5" count="1" selected="0">
            <x v="332"/>
          </reference>
          <reference field="6" count="1" selected="0">
            <x v="2"/>
          </reference>
          <reference field="9" count="1" selected="0">
            <x v="10"/>
          </reference>
          <reference field="11" count="1" selected="0">
            <x v="21"/>
          </reference>
          <reference field="12" count="1">
            <x v="8"/>
          </reference>
        </references>
      </pivotArea>
    </format>
    <format dxfId="9319">
      <pivotArea dataOnly="0" labelOnly="1" outline="0" fieldPosition="0">
        <references count="8">
          <reference field="1" count="0" selected="0"/>
          <reference field="3" count="1" selected="0">
            <x v="6"/>
          </reference>
          <reference field="4" count="1" selected="0">
            <x v="0"/>
          </reference>
          <reference field="5" count="1" selected="0">
            <x v="146"/>
          </reference>
          <reference field="6" count="1" selected="0">
            <x v="9"/>
          </reference>
          <reference field="9" count="1" selected="0">
            <x v="10"/>
          </reference>
          <reference field="11" count="1" selected="0">
            <x v="6"/>
          </reference>
          <reference field="12" count="1">
            <x v="2"/>
          </reference>
        </references>
      </pivotArea>
    </format>
    <format dxfId="9318">
      <pivotArea dataOnly="0" labelOnly="1" outline="0" fieldPosition="0">
        <references count="8">
          <reference field="1" count="0" selected="0"/>
          <reference field="3" count="1" selected="0">
            <x v="6"/>
          </reference>
          <reference field="4" count="1" selected="0">
            <x v="0"/>
          </reference>
          <reference field="5" count="1" selected="0">
            <x v="175"/>
          </reference>
          <reference field="6" count="1" selected="0">
            <x v="9"/>
          </reference>
          <reference field="9" count="1" selected="0">
            <x v="10"/>
          </reference>
          <reference field="11" count="1" selected="0">
            <x v="14"/>
          </reference>
          <reference field="12" count="1">
            <x v="15"/>
          </reference>
        </references>
      </pivotArea>
    </format>
    <format dxfId="9317">
      <pivotArea dataOnly="0" labelOnly="1" outline="0" fieldPosition="0">
        <references count="8">
          <reference field="1" count="0" selected="0"/>
          <reference field="3" count="1" selected="0">
            <x v="6"/>
          </reference>
          <reference field="4" count="1" selected="0">
            <x v="0"/>
          </reference>
          <reference field="5" count="1" selected="0">
            <x v="181"/>
          </reference>
          <reference field="6" count="1" selected="0">
            <x v="9"/>
          </reference>
          <reference field="9" count="1" selected="0">
            <x v="10"/>
          </reference>
          <reference field="11" count="1" selected="0">
            <x v="14"/>
          </reference>
          <reference field="12" count="1">
            <x v="16"/>
          </reference>
        </references>
      </pivotArea>
    </format>
    <format dxfId="9316">
      <pivotArea dataOnly="0" labelOnly="1" outline="0" fieldPosition="0">
        <references count="8">
          <reference field="1" count="0" selected="0"/>
          <reference field="3" count="1" selected="0">
            <x v="6"/>
          </reference>
          <reference field="4" count="1" selected="0">
            <x v="0"/>
          </reference>
          <reference field="5" count="1" selected="0">
            <x v="182"/>
          </reference>
          <reference field="6" count="1" selected="0">
            <x v="9"/>
          </reference>
          <reference field="9" count="1" selected="0">
            <x v="10"/>
          </reference>
          <reference field="11" count="1" selected="0">
            <x v="14"/>
          </reference>
          <reference field="12" count="1">
            <x v="10"/>
          </reference>
        </references>
      </pivotArea>
    </format>
    <format dxfId="9315">
      <pivotArea dataOnly="0" labelOnly="1" outline="0" fieldPosition="0">
        <references count="8">
          <reference field="1" count="0" selected="0"/>
          <reference field="3" count="1" selected="0">
            <x v="6"/>
          </reference>
          <reference field="4" count="1" selected="0">
            <x v="0"/>
          </reference>
          <reference field="5" count="1" selected="0">
            <x v="189"/>
          </reference>
          <reference field="6" count="1" selected="0">
            <x v="9"/>
          </reference>
          <reference field="9" count="1" selected="0">
            <x v="10"/>
          </reference>
          <reference field="11" count="1" selected="0">
            <x v="32"/>
          </reference>
          <reference field="12" count="1">
            <x v="8"/>
          </reference>
        </references>
      </pivotArea>
    </format>
    <format dxfId="9314">
      <pivotArea dataOnly="0" labelOnly="1" outline="0" fieldPosition="0">
        <references count="8">
          <reference field="1" count="0" selected="0"/>
          <reference field="3" count="1" selected="0">
            <x v="8"/>
          </reference>
          <reference field="4" count="1" selected="0">
            <x v="3"/>
          </reference>
          <reference field="5" count="1" selected="0">
            <x v="135"/>
          </reference>
          <reference field="6" count="1" selected="0">
            <x v="3"/>
          </reference>
          <reference field="9" count="1" selected="0">
            <x v="10"/>
          </reference>
          <reference field="11" count="1" selected="0">
            <x v="37"/>
          </reference>
          <reference field="12" count="1">
            <x v="2"/>
          </reference>
        </references>
      </pivotArea>
    </format>
    <format dxfId="9313">
      <pivotArea dataOnly="0" labelOnly="1" outline="0" fieldPosition="0">
        <references count="8">
          <reference field="1" count="0" selected="0"/>
          <reference field="3" count="1" selected="0">
            <x v="9"/>
          </reference>
          <reference field="4" count="1" selected="0">
            <x v="6"/>
          </reference>
          <reference field="5" count="1" selected="0">
            <x v="211"/>
          </reference>
          <reference field="6" count="1" selected="0">
            <x v="5"/>
          </reference>
          <reference field="9" count="1" selected="0">
            <x v="10"/>
          </reference>
          <reference field="11" count="1" selected="0">
            <x v="9"/>
          </reference>
          <reference field="12" count="1">
            <x v="22"/>
          </reference>
        </references>
      </pivotArea>
    </format>
    <format dxfId="9312">
      <pivotArea dataOnly="0" labelOnly="1" outline="0" fieldPosition="0">
        <references count="8">
          <reference field="1" count="0" selected="0"/>
          <reference field="3" count="1" selected="0">
            <x v="9"/>
          </reference>
          <reference field="4" count="1" selected="0">
            <x v="6"/>
          </reference>
          <reference field="5" count="1" selected="0">
            <x v="212"/>
          </reference>
          <reference field="6" count="1" selected="0">
            <x v="5"/>
          </reference>
          <reference field="9" count="1" selected="0">
            <x v="10"/>
          </reference>
          <reference field="11" count="1" selected="0">
            <x v="16"/>
          </reference>
          <reference field="12" count="1">
            <x v="8"/>
          </reference>
        </references>
      </pivotArea>
    </format>
    <format dxfId="9311">
      <pivotArea dataOnly="0" labelOnly="1" outline="0" fieldPosition="0">
        <references count="9">
          <reference field="1" count="0" selected="0"/>
          <reference field="3" count="1" selected="0">
            <x v="0"/>
          </reference>
          <reference field="4" count="1" selected="0">
            <x v="3"/>
          </reference>
          <reference field="5" count="1" selected="0">
            <x v="167"/>
          </reference>
          <reference field="6" count="1" selected="0">
            <x v="7"/>
          </reference>
          <reference field="9" count="1" selected="0">
            <x v="10"/>
          </reference>
          <reference field="11" count="1" selected="0">
            <x v="49"/>
          </reference>
          <reference field="12" count="1" selected="0">
            <x v="29"/>
          </reference>
          <reference field="13" count="1">
            <x v="3"/>
          </reference>
        </references>
      </pivotArea>
    </format>
    <format dxfId="9310">
      <pivotArea dataOnly="0" labelOnly="1" outline="0" fieldPosition="0">
        <references count="9">
          <reference field="1" count="0" selected="0"/>
          <reference field="3" count="1" selected="0">
            <x v="3"/>
          </reference>
          <reference field="4" count="1" selected="0">
            <x v="1"/>
          </reference>
          <reference field="5" count="1" selected="0">
            <x v="197"/>
          </reference>
          <reference field="6" count="1" selected="0">
            <x v="2"/>
          </reference>
          <reference field="9" count="1" selected="0">
            <x v="10"/>
          </reference>
          <reference field="11" count="1" selected="0">
            <x v="4"/>
          </reference>
          <reference field="12" count="1" selected="0">
            <x v="8"/>
          </reference>
          <reference field="13" count="1">
            <x v="3"/>
          </reference>
        </references>
      </pivotArea>
    </format>
    <format dxfId="9309">
      <pivotArea dataOnly="0" labelOnly="1" outline="0" fieldPosition="0">
        <references count="9">
          <reference field="1" count="0" selected="0"/>
          <reference field="3" count="1" selected="0">
            <x v="6"/>
          </reference>
          <reference field="4" count="1" selected="0">
            <x v="0"/>
          </reference>
          <reference field="5" count="1" selected="0">
            <x v="126"/>
          </reference>
          <reference field="6" count="1" selected="0">
            <x v="9"/>
          </reference>
          <reference field="9" count="1" selected="0">
            <x v="10"/>
          </reference>
          <reference field="11" count="1" selected="0">
            <x v="1"/>
          </reference>
          <reference field="12" count="1" selected="0">
            <x v="8"/>
          </reference>
          <reference field="13" count="1">
            <x v="3"/>
          </reference>
        </references>
      </pivotArea>
    </format>
    <format dxfId="9308">
      <pivotArea dataOnly="0" labelOnly="1" outline="0" fieldPosition="0">
        <references count="9">
          <reference field="1" count="0" selected="0"/>
          <reference field="3" count="1" selected="0">
            <x v="6"/>
          </reference>
          <reference field="4" count="1" selected="0">
            <x v="0"/>
          </reference>
          <reference field="5" count="1" selected="0">
            <x v="174"/>
          </reference>
          <reference field="6" count="1" selected="0">
            <x v="9"/>
          </reference>
          <reference field="9" count="1" selected="0">
            <x v="10"/>
          </reference>
          <reference field="11" count="1" selected="0">
            <x v="20"/>
          </reference>
          <reference field="12" count="1" selected="0">
            <x v="8"/>
          </reference>
          <reference field="13" count="1">
            <x v="3"/>
          </reference>
        </references>
      </pivotArea>
    </format>
    <format dxfId="9307">
      <pivotArea dataOnly="0" labelOnly="1" outline="0" fieldPosition="0">
        <references count="9">
          <reference field="1" count="0" selected="0"/>
          <reference field="3" count="1" selected="0">
            <x v="6"/>
          </reference>
          <reference field="4" count="1" selected="0">
            <x v="0"/>
          </reference>
          <reference field="5" count="1" selected="0">
            <x v="343"/>
          </reference>
          <reference field="6" count="1" selected="0">
            <x v="9"/>
          </reference>
          <reference field="9" count="1" selected="0">
            <x v="10"/>
          </reference>
          <reference field="11" count="1" selected="0">
            <x v="52"/>
          </reference>
          <reference field="12" count="1" selected="0">
            <x v="8"/>
          </reference>
          <reference field="13" count="1">
            <x v="5"/>
          </reference>
        </references>
      </pivotArea>
    </format>
    <format dxfId="9306">
      <pivotArea dataOnly="0" labelOnly="1" outline="0" fieldPosition="0">
        <references count="10">
          <reference field="1" count="0" selected="0"/>
          <reference field="3" count="1" selected="0">
            <x v="0"/>
          </reference>
          <reference field="4" count="1" selected="0">
            <x v="3"/>
          </reference>
          <reference field="5" count="1" selected="0">
            <x v="167"/>
          </reference>
          <reference field="6" count="1" selected="0">
            <x v="7"/>
          </reference>
          <reference field="9" count="1" selected="0">
            <x v="10"/>
          </reference>
          <reference field="11" count="1" selected="0">
            <x v="49"/>
          </reference>
          <reference field="12" count="1" selected="0">
            <x v="29"/>
          </reference>
          <reference field="13" count="1" selected="0">
            <x v="3"/>
          </reference>
          <reference field="14" count="1">
            <x v="23"/>
          </reference>
        </references>
      </pivotArea>
    </format>
    <format dxfId="9305">
      <pivotArea dataOnly="0" labelOnly="1" outline="0" fieldPosition="0">
        <references count="10">
          <reference field="1" count="0" selected="0"/>
          <reference field="3" count="1" selected="0">
            <x v="3"/>
          </reference>
          <reference field="4" count="1" selected="0">
            <x v="1"/>
          </reference>
          <reference field="5" count="1" selected="0">
            <x v="197"/>
          </reference>
          <reference field="6" count="1" selected="0">
            <x v="2"/>
          </reference>
          <reference field="9" count="1" selected="0">
            <x v="10"/>
          </reference>
          <reference field="11" count="1" selected="0">
            <x v="4"/>
          </reference>
          <reference field="12" count="1" selected="0">
            <x v="8"/>
          </reference>
          <reference field="13" count="1" selected="0">
            <x v="3"/>
          </reference>
          <reference field="14" count="1">
            <x v="17"/>
          </reference>
        </references>
      </pivotArea>
    </format>
    <format dxfId="9304">
      <pivotArea dataOnly="0" labelOnly="1" outline="0" fieldPosition="0">
        <references count="10">
          <reference field="1" count="0" selected="0"/>
          <reference field="3" count="1" selected="0">
            <x v="3"/>
          </reference>
          <reference field="4" count="1" selected="0">
            <x v="1"/>
          </reference>
          <reference field="5" count="1" selected="0">
            <x v="204"/>
          </reference>
          <reference field="6" count="1" selected="0">
            <x v="2"/>
          </reference>
          <reference field="9" count="1" selected="0">
            <x v="10"/>
          </reference>
          <reference field="11" count="1" selected="0">
            <x v="42"/>
          </reference>
          <reference field="12" count="1" selected="0">
            <x v="8"/>
          </reference>
          <reference field="13" count="1" selected="0">
            <x v="3"/>
          </reference>
          <reference field="14" count="1">
            <x v="17"/>
          </reference>
        </references>
      </pivotArea>
    </format>
    <format dxfId="9303">
      <pivotArea dataOnly="0" labelOnly="1" outline="0" fieldPosition="0">
        <references count="10">
          <reference field="1" count="0" selected="0"/>
          <reference field="3" count="1" selected="0">
            <x v="3"/>
          </reference>
          <reference field="4" count="1" selected="0">
            <x v="1"/>
          </reference>
          <reference field="5" count="1" selected="0">
            <x v="205"/>
          </reference>
          <reference field="6" count="1" selected="0">
            <x v="2"/>
          </reference>
          <reference field="9" count="1" selected="0">
            <x v="10"/>
          </reference>
          <reference field="11" count="1" selected="0">
            <x v="14"/>
          </reference>
          <reference field="12" count="1" selected="0">
            <x v="1"/>
          </reference>
          <reference field="13" count="1" selected="0">
            <x v="3"/>
          </reference>
          <reference field="14" count="1">
            <x v="26"/>
          </reference>
        </references>
      </pivotArea>
    </format>
    <format dxfId="9302">
      <pivotArea dataOnly="0" labelOnly="1" outline="0" fieldPosition="0">
        <references count="10">
          <reference field="1" count="0" selected="0"/>
          <reference field="3" count="1" selected="0">
            <x v="4"/>
          </reference>
          <reference field="4" count="1" selected="0">
            <x v="1"/>
          </reference>
          <reference field="5" count="1" selected="0">
            <x v="116"/>
          </reference>
          <reference field="6" count="1" selected="0">
            <x v="2"/>
          </reference>
          <reference field="9" count="1" selected="0">
            <x v="10"/>
          </reference>
          <reference field="11" count="1" selected="0">
            <x v="14"/>
          </reference>
          <reference field="12" count="1" selected="0">
            <x v="4"/>
          </reference>
          <reference field="13" count="1" selected="0">
            <x v="3"/>
          </reference>
          <reference field="14" count="1">
            <x v="8"/>
          </reference>
        </references>
      </pivotArea>
    </format>
    <format dxfId="9301">
      <pivotArea dataOnly="0" labelOnly="1" outline="0" fieldPosition="0">
        <references count="10">
          <reference field="1" count="0" selected="0"/>
          <reference field="3" count="1" selected="0">
            <x v="4"/>
          </reference>
          <reference field="4" count="1" selected="0">
            <x v="1"/>
          </reference>
          <reference field="5" count="1" selected="0">
            <x v="218"/>
          </reference>
          <reference field="6" count="1" selected="0">
            <x v="2"/>
          </reference>
          <reference field="9" count="1" selected="0">
            <x v="10"/>
          </reference>
          <reference field="11" count="1" selected="0">
            <x v="14"/>
          </reference>
          <reference field="12" count="1" selected="0">
            <x v="8"/>
          </reference>
          <reference field="13" count="1" selected="0">
            <x v="3"/>
          </reference>
          <reference field="14" count="1">
            <x v="17"/>
          </reference>
        </references>
      </pivotArea>
    </format>
    <format dxfId="9300">
      <pivotArea dataOnly="0" labelOnly="1" outline="0" fieldPosition="0">
        <references count="10">
          <reference field="1" count="0" selected="0"/>
          <reference field="3" count="1" selected="0">
            <x v="4"/>
          </reference>
          <reference field="4" count="1" selected="0">
            <x v="1"/>
          </reference>
          <reference field="5" count="1" selected="0">
            <x v="326"/>
          </reference>
          <reference field="6" count="1" selected="0">
            <x v="2"/>
          </reference>
          <reference field="9" count="1" selected="0">
            <x v="2"/>
          </reference>
          <reference field="11" count="1" selected="0">
            <x v="29"/>
          </reference>
          <reference field="12" count="1" selected="0">
            <x v="6"/>
          </reference>
          <reference field="13" count="1" selected="0">
            <x v="3"/>
          </reference>
          <reference field="14" count="1">
            <x v="34"/>
          </reference>
        </references>
      </pivotArea>
    </format>
    <format dxfId="9299">
      <pivotArea dataOnly="0" labelOnly="1" outline="0" fieldPosition="0">
        <references count="10">
          <reference field="1" count="0" selected="0"/>
          <reference field="3" count="1" selected="0">
            <x v="4"/>
          </reference>
          <reference field="4" count="1" selected="0">
            <x v="1"/>
          </reference>
          <reference field="5" count="1" selected="0">
            <x v="332"/>
          </reference>
          <reference field="6" count="1" selected="0">
            <x v="2"/>
          </reference>
          <reference field="9" count="1" selected="0">
            <x v="10"/>
          </reference>
          <reference field="11" count="1" selected="0">
            <x v="21"/>
          </reference>
          <reference field="12" count="1" selected="0">
            <x v="8"/>
          </reference>
          <reference field="13" count="1" selected="0">
            <x v="3"/>
          </reference>
          <reference field="14" count="1">
            <x v="17"/>
          </reference>
        </references>
      </pivotArea>
    </format>
    <format dxfId="9298">
      <pivotArea dataOnly="0" labelOnly="1" outline="0" fieldPosition="0">
        <references count="10">
          <reference field="1" count="0" selected="0"/>
          <reference field="3" count="1" selected="0">
            <x v="6"/>
          </reference>
          <reference field="4" count="1" selected="0">
            <x v="0"/>
          </reference>
          <reference field="5" count="1" selected="0">
            <x v="126"/>
          </reference>
          <reference field="6" count="1" selected="0">
            <x v="9"/>
          </reference>
          <reference field="9" count="1" selected="0">
            <x v="10"/>
          </reference>
          <reference field="11" count="1" selected="0">
            <x v="1"/>
          </reference>
          <reference field="12" count="1" selected="0">
            <x v="8"/>
          </reference>
          <reference field="13" count="1" selected="0">
            <x v="3"/>
          </reference>
          <reference field="14" count="1">
            <x v="17"/>
          </reference>
        </references>
      </pivotArea>
    </format>
    <format dxfId="9297">
      <pivotArea dataOnly="0" labelOnly="1" outline="0" fieldPosition="0">
        <references count="10">
          <reference field="1" count="0" selected="0"/>
          <reference field="3" count="1" selected="0">
            <x v="6"/>
          </reference>
          <reference field="4" count="1" selected="0">
            <x v="0"/>
          </reference>
          <reference field="5" count="1" selected="0">
            <x v="145"/>
          </reference>
          <reference field="6" count="1" selected="0">
            <x v="9"/>
          </reference>
          <reference field="9" count="1" selected="0">
            <x v="10"/>
          </reference>
          <reference field="11" count="1" selected="0">
            <x v="27"/>
          </reference>
          <reference field="12" count="1" selected="0">
            <x v="8"/>
          </reference>
          <reference field="13" count="1" selected="0">
            <x v="3"/>
          </reference>
          <reference field="14" count="1">
            <x v="11"/>
          </reference>
        </references>
      </pivotArea>
    </format>
    <format dxfId="9296">
      <pivotArea dataOnly="0" labelOnly="1" outline="0" fieldPosition="0">
        <references count="10">
          <reference field="1" count="0" selected="0"/>
          <reference field="3" count="1" selected="0">
            <x v="6"/>
          </reference>
          <reference field="4" count="1" selected="0">
            <x v="0"/>
          </reference>
          <reference field="5" count="1" selected="0">
            <x v="146"/>
          </reference>
          <reference field="6" count="1" selected="0">
            <x v="9"/>
          </reference>
          <reference field="9" count="1" selected="0">
            <x v="10"/>
          </reference>
          <reference field="11" count="1" selected="0">
            <x v="6"/>
          </reference>
          <reference field="12" count="1" selected="0">
            <x v="2"/>
          </reference>
          <reference field="13" count="1" selected="0">
            <x v="3"/>
          </reference>
          <reference field="14" count="1">
            <x v="10"/>
          </reference>
        </references>
      </pivotArea>
    </format>
    <format dxfId="9295">
      <pivotArea dataOnly="0" labelOnly="1" outline="0" fieldPosition="0">
        <references count="10">
          <reference field="1" count="0" selected="0"/>
          <reference field="3" count="1" selected="0">
            <x v="6"/>
          </reference>
          <reference field="4" count="1" selected="0">
            <x v="0"/>
          </reference>
          <reference field="5" count="1" selected="0">
            <x v="174"/>
          </reference>
          <reference field="6" count="1" selected="0">
            <x v="9"/>
          </reference>
          <reference field="9" count="1" selected="0">
            <x v="10"/>
          </reference>
          <reference field="11" count="1" selected="0">
            <x v="20"/>
          </reference>
          <reference field="12" count="1" selected="0">
            <x v="8"/>
          </reference>
          <reference field="13" count="1" selected="0">
            <x v="3"/>
          </reference>
          <reference field="14" count="1">
            <x v="47"/>
          </reference>
        </references>
      </pivotArea>
    </format>
    <format dxfId="9294">
      <pivotArea dataOnly="0" labelOnly="1" outline="0" fieldPosition="0">
        <references count="10">
          <reference field="1" count="0" selected="0"/>
          <reference field="3" count="1" selected="0">
            <x v="6"/>
          </reference>
          <reference field="4" count="1" selected="0">
            <x v="0"/>
          </reference>
          <reference field="5" count="1" selected="0">
            <x v="175"/>
          </reference>
          <reference field="6" count="1" selected="0">
            <x v="9"/>
          </reference>
          <reference field="9" count="1" selected="0">
            <x v="10"/>
          </reference>
          <reference field="11" count="1" selected="0">
            <x v="14"/>
          </reference>
          <reference field="12" count="1" selected="0">
            <x v="15"/>
          </reference>
          <reference field="13" count="1" selected="0">
            <x v="3"/>
          </reference>
          <reference field="14" count="1">
            <x v="15"/>
          </reference>
        </references>
      </pivotArea>
    </format>
    <format dxfId="9293">
      <pivotArea dataOnly="0" labelOnly="1" outline="0" fieldPosition="0">
        <references count="10">
          <reference field="1" count="0" selected="0"/>
          <reference field="3" count="1" selected="0">
            <x v="6"/>
          </reference>
          <reference field="4" count="1" selected="0">
            <x v="0"/>
          </reference>
          <reference field="5" count="1" selected="0">
            <x v="181"/>
          </reference>
          <reference field="6" count="1" selected="0">
            <x v="9"/>
          </reference>
          <reference field="9" count="1" selected="0">
            <x v="10"/>
          </reference>
          <reference field="11" count="1" selected="0">
            <x v="14"/>
          </reference>
          <reference field="12" count="1" selected="0">
            <x v="16"/>
          </reference>
          <reference field="13" count="1" selected="0">
            <x v="3"/>
          </reference>
          <reference field="14" count="1">
            <x v="7"/>
          </reference>
        </references>
      </pivotArea>
    </format>
    <format dxfId="9292">
      <pivotArea dataOnly="0" labelOnly="1" outline="0" fieldPosition="0">
        <references count="10">
          <reference field="1" count="0" selected="0"/>
          <reference field="3" count="1" selected="0">
            <x v="6"/>
          </reference>
          <reference field="4" count="1" selected="0">
            <x v="0"/>
          </reference>
          <reference field="5" count="1" selected="0">
            <x v="182"/>
          </reference>
          <reference field="6" count="1" selected="0">
            <x v="9"/>
          </reference>
          <reference field="9" count="1" selected="0">
            <x v="10"/>
          </reference>
          <reference field="11" count="1" selected="0">
            <x v="14"/>
          </reference>
          <reference field="12" count="1" selected="0">
            <x v="10"/>
          </reference>
          <reference field="13" count="1" selected="0">
            <x v="3"/>
          </reference>
          <reference field="14" count="1">
            <x v="12"/>
          </reference>
        </references>
      </pivotArea>
    </format>
    <format dxfId="9291">
      <pivotArea dataOnly="0" labelOnly="1" outline="0" fieldPosition="0">
        <references count="10">
          <reference field="1" count="0" selected="0"/>
          <reference field="3" count="1" selected="0">
            <x v="6"/>
          </reference>
          <reference field="4" count="1" selected="0">
            <x v="0"/>
          </reference>
          <reference field="5" count="1" selected="0">
            <x v="189"/>
          </reference>
          <reference field="6" count="1" selected="0">
            <x v="9"/>
          </reference>
          <reference field="9" count="1" selected="0">
            <x v="10"/>
          </reference>
          <reference field="11" count="1" selected="0">
            <x v="32"/>
          </reference>
          <reference field="12" count="1" selected="0">
            <x v="8"/>
          </reference>
          <reference field="13" count="1" selected="0">
            <x v="3"/>
          </reference>
          <reference field="14" count="1">
            <x v="52"/>
          </reference>
        </references>
      </pivotArea>
    </format>
    <format dxfId="9290">
      <pivotArea dataOnly="0" labelOnly="1" outline="0" fieldPosition="0">
        <references count="10">
          <reference field="1" count="0" selected="0"/>
          <reference field="3" count="1" selected="0">
            <x v="6"/>
          </reference>
          <reference field="4" count="1" selected="0">
            <x v="0"/>
          </reference>
          <reference field="5" count="1" selected="0">
            <x v="190"/>
          </reference>
          <reference field="6" count="1" selected="0">
            <x v="9"/>
          </reference>
          <reference field="9" count="1" selected="0">
            <x v="10"/>
          </reference>
          <reference field="11" count="1" selected="0">
            <x v="44"/>
          </reference>
          <reference field="12" count="1" selected="0">
            <x v="8"/>
          </reference>
          <reference field="13" count="1" selected="0">
            <x v="3"/>
          </reference>
          <reference field="14" count="1">
            <x v="33"/>
          </reference>
        </references>
      </pivotArea>
    </format>
    <format dxfId="9289">
      <pivotArea dataOnly="0" labelOnly="1" outline="0" fieldPosition="0">
        <references count="10">
          <reference field="1" count="0" selected="0"/>
          <reference field="3" count="1" selected="0">
            <x v="6"/>
          </reference>
          <reference field="4" count="1" selected="0">
            <x v="0"/>
          </reference>
          <reference field="5" count="1" selected="0">
            <x v="343"/>
          </reference>
          <reference field="6" count="1" selected="0">
            <x v="9"/>
          </reference>
          <reference field="9" count="1" selected="0">
            <x v="10"/>
          </reference>
          <reference field="11" count="1" selected="0">
            <x v="52"/>
          </reference>
          <reference field="12" count="1" selected="0">
            <x v="8"/>
          </reference>
          <reference field="13" count="1" selected="0">
            <x v="5"/>
          </reference>
          <reference field="14" count="1">
            <x v="45"/>
          </reference>
        </references>
      </pivotArea>
    </format>
    <format dxfId="9288">
      <pivotArea dataOnly="0" labelOnly="1" outline="0" fieldPosition="0">
        <references count="10">
          <reference field="1" count="0" selected="0"/>
          <reference field="3" count="1" selected="0">
            <x v="8"/>
          </reference>
          <reference field="4" count="1" selected="0">
            <x v="3"/>
          </reference>
          <reference field="5" count="1" selected="0">
            <x v="135"/>
          </reference>
          <reference field="6" count="1" selected="0">
            <x v="3"/>
          </reference>
          <reference field="9" count="1" selected="0">
            <x v="10"/>
          </reference>
          <reference field="11" count="1" selected="0">
            <x v="37"/>
          </reference>
          <reference field="12" count="1" selected="0">
            <x v="2"/>
          </reference>
          <reference field="13" count="1" selected="0">
            <x v="3"/>
          </reference>
          <reference field="14" count="1">
            <x v="17"/>
          </reference>
        </references>
      </pivotArea>
    </format>
    <format dxfId="9287">
      <pivotArea dataOnly="0" labelOnly="1" outline="0" fieldPosition="0">
        <references count="10">
          <reference field="1" count="0" selected="0"/>
          <reference field="3" count="1" selected="0">
            <x v="9"/>
          </reference>
          <reference field="4" count="1" selected="0">
            <x v="6"/>
          </reference>
          <reference field="5" count="1" selected="0">
            <x v="211"/>
          </reference>
          <reference field="6" count="1" selected="0">
            <x v="5"/>
          </reference>
          <reference field="9" count="1" selected="0">
            <x v="10"/>
          </reference>
          <reference field="11" count="1" selected="0">
            <x v="9"/>
          </reference>
          <reference field="12" count="1" selected="0">
            <x v="22"/>
          </reference>
          <reference field="13" count="1" selected="0">
            <x v="3"/>
          </reference>
          <reference field="14" count="1">
            <x v="17"/>
          </reference>
        </references>
      </pivotArea>
    </format>
    <format dxfId="9286">
      <pivotArea dataOnly="0" labelOnly="1" outline="0" fieldPosition="0">
        <references count="10">
          <reference field="1" count="0" selected="0"/>
          <reference field="3" count="1" selected="0">
            <x v="9"/>
          </reference>
          <reference field="4" count="1" selected="0">
            <x v="6"/>
          </reference>
          <reference field="5" count="1" selected="0">
            <x v="212"/>
          </reference>
          <reference field="6" count="1" selected="0">
            <x v="5"/>
          </reference>
          <reference field="9" count="1" selected="0">
            <x v="10"/>
          </reference>
          <reference field="11" count="1" selected="0">
            <x v="16"/>
          </reference>
          <reference field="12" count="1" selected="0">
            <x v="8"/>
          </reference>
          <reference field="13" count="1" selected="0">
            <x v="3"/>
          </reference>
          <reference field="14" count="1">
            <x v="17"/>
          </reference>
        </references>
      </pivotArea>
    </format>
    <format dxfId="9285">
      <pivotArea dataOnly="0" labelOnly="1" outline="0" fieldPosition="0">
        <references count="7">
          <reference field="1" count="0" selected="0"/>
          <reference field="3" count="1" selected="0">
            <x v="2"/>
          </reference>
          <reference field="4" count="1" selected="0">
            <x v="1"/>
          </reference>
          <reference field="5" count="1" selected="0">
            <x v="341"/>
          </reference>
          <reference field="6" count="1" selected="0">
            <x v="2"/>
          </reference>
          <reference field="9" count="1" selected="0">
            <x v="4"/>
          </reference>
          <reference field="11" count="1">
            <x v="43"/>
          </reference>
        </references>
      </pivotArea>
    </format>
    <format dxfId="9284">
      <pivotArea dataOnly="0" labelOnly="1" outline="0" fieldPosition="0">
        <references count="7">
          <reference field="1" count="0" selected="0"/>
          <reference field="3" count="1" selected="0">
            <x v="3"/>
          </reference>
          <reference field="4" count="1" selected="0">
            <x v="1"/>
          </reference>
          <reference field="5" count="1" selected="0">
            <x v="195"/>
          </reference>
          <reference field="6" count="1" selected="0">
            <x v="2"/>
          </reference>
          <reference field="9" count="1" selected="0">
            <x v="10"/>
          </reference>
          <reference field="11" count="1">
            <x v="13"/>
          </reference>
        </references>
      </pivotArea>
    </format>
    <format dxfId="9283">
      <pivotArea dataOnly="0" labelOnly="1" outline="0" fieldPosition="0">
        <references count="7">
          <reference field="1" count="0" selected="0"/>
          <reference field="3" count="1" selected="0">
            <x v="3"/>
          </reference>
          <reference field="4" count="1" selected="0">
            <x v="1"/>
          </reference>
          <reference field="5" count="1" selected="0">
            <x v="198"/>
          </reference>
          <reference field="6" count="1" selected="0">
            <x v="2"/>
          </reference>
          <reference field="9" count="1" selected="0">
            <x v="10"/>
          </reference>
          <reference field="11" count="1">
            <x v="14"/>
          </reference>
        </references>
      </pivotArea>
    </format>
    <format dxfId="9282">
      <pivotArea dataOnly="0" labelOnly="1" outline="0" fieldPosition="0">
        <references count="7">
          <reference field="1" count="0" selected="0"/>
          <reference field="3" count="1" selected="0">
            <x v="4"/>
          </reference>
          <reference field="4" count="1" selected="0">
            <x v="1"/>
          </reference>
          <reference field="5" count="1" selected="0">
            <x v="98"/>
          </reference>
          <reference field="6" count="1" selected="0">
            <x v="2"/>
          </reference>
          <reference field="9" count="1" selected="0">
            <x v="10"/>
          </reference>
          <reference field="11" count="1">
            <x v="14"/>
          </reference>
        </references>
      </pivotArea>
    </format>
    <format dxfId="9281">
      <pivotArea dataOnly="0" labelOnly="1" outline="0" fieldPosition="0">
        <references count="7">
          <reference field="1" count="0" selected="0"/>
          <reference field="3" count="1" selected="0">
            <x v="4"/>
          </reference>
          <reference field="4" count="1" selected="0">
            <x v="1"/>
          </reference>
          <reference field="5" count="1" selected="0">
            <x v="101"/>
          </reference>
          <reference field="6" count="1" selected="0">
            <x v="2"/>
          </reference>
          <reference field="9" count="1" selected="0">
            <x v="10"/>
          </reference>
          <reference field="11" count="1">
            <x v="11"/>
          </reference>
        </references>
      </pivotArea>
    </format>
    <format dxfId="9280">
      <pivotArea dataOnly="0" labelOnly="1" outline="0" fieldPosition="0">
        <references count="7">
          <reference field="1" count="0" selected="0"/>
          <reference field="3" count="1" selected="0">
            <x v="4"/>
          </reference>
          <reference field="4" count="1" selected="0">
            <x v="1"/>
          </reference>
          <reference field="5" count="1" selected="0">
            <x v="112"/>
          </reference>
          <reference field="6" count="1" selected="0">
            <x v="2"/>
          </reference>
          <reference field="9" count="1" selected="0">
            <x v="10"/>
          </reference>
          <reference field="11" count="1">
            <x v="33"/>
          </reference>
        </references>
      </pivotArea>
    </format>
    <format dxfId="9279">
      <pivotArea dataOnly="0" labelOnly="1" outline="0" fieldPosition="0">
        <references count="7">
          <reference field="1" count="0" selected="0"/>
          <reference field="3" count="1" selected="0">
            <x v="4"/>
          </reference>
          <reference field="4" count="1" selected="0">
            <x v="1"/>
          </reference>
          <reference field="5" count="1" selected="0">
            <x v="215"/>
          </reference>
          <reference field="6" count="1" selected="0">
            <x v="2"/>
          </reference>
          <reference field="9" count="1" selected="0">
            <x v="4"/>
          </reference>
          <reference field="11" count="1">
            <x v="53"/>
          </reference>
        </references>
      </pivotArea>
    </format>
    <format dxfId="9278">
      <pivotArea dataOnly="0" labelOnly="1" outline="0" fieldPosition="0">
        <references count="7">
          <reference field="1" count="0" selected="0"/>
          <reference field="3" count="1" selected="0">
            <x v="4"/>
          </reference>
          <reference field="4" count="1" selected="0">
            <x v="1"/>
          </reference>
          <reference field="5" count="1" selected="0">
            <x v="330"/>
          </reference>
          <reference field="6" count="1" selected="0">
            <x v="2"/>
          </reference>
          <reference field="9" count="1" selected="0">
            <x v="10"/>
          </reference>
          <reference field="11" count="1">
            <x v="18"/>
          </reference>
        </references>
      </pivotArea>
    </format>
    <format dxfId="9277">
      <pivotArea dataOnly="0" labelOnly="1" outline="0" fieldPosition="0">
        <references count="7">
          <reference field="1" count="0" selected="0"/>
          <reference field="3" count="1" selected="0">
            <x v="4"/>
          </reference>
          <reference field="4" count="1" selected="0">
            <x v="1"/>
          </reference>
          <reference field="5" count="1" selected="0">
            <x v="346"/>
          </reference>
          <reference field="6" count="1" selected="0">
            <x v="2"/>
          </reference>
          <reference field="9" count="1" selected="0">
            <x v="10"/>
          </reference>
          <reference field="11" count="1">
            <x v="14"/>
          </reference>
        </references>
      </pivotArea>
    </format>
    <format dxfId="9276">
      <pivotArea dataOnly="0" labelOnly="1" outline="0" fieldPosition="0">
        <references count="7">
          <reference field="1" count="0" selected="0"/>
          <reference field="3" count="1" selected="0">
            <x v="6"/>
          </reference>
          <reference field="4" count="1" selected="0">
            <x v="0"/>
          </reference>
          <reference field="5" count="1" selected="0">
            <x v="138"/>
          </reference>
          <reference field="6" count="1" selected="0">
            <x v="9"/>
          </reference>
          <reference field="9" count="1" selected="0">
            <x v="10"/>
          </reference>
          <reference field="11" count="1">
            <x v="7"/>
          </reference>
        </references>
      </pivotArea>
    </format>
    <format dxfId="9275">
      <pivotArea dataOnly="0" labelOnly="1" outline="0" fieldPosition="0">
        <references count="7">
          <reference field="1" count="0" selected="0"/>
          <reference field="3" count="1" selected="0">
            <x v="6"/>
          </reference>
          <reference field="4" count="1" selected="0">
            <x v="0"/>
          </reference>
          <reference field="5" count="1" selected="0">
            <x v="147"/>
          </reference>
          <reference field="6" count="1" selected="0">
            <x v="9"/>
          </reference>
          <reference field="9" count="1" selected="0">
            <x v="10"/>
          </reference>
          <reference field="11" count="1">
            <x v="14"/>
          </reference>
        </references>
      </pivotArea>
    </format>
    <format dxfId="9274">
      <pivotArea dataOnly="0" labelOnly="1" outline="0" fieldPosition="0">
        <references count="7">
          <reference field="1" count="0" selected="0"/>
          <reference field="3" count="1" selected="0">
            <x v="6"/>
          </reference>
          <reference field="4" count="1" selected="0">
            <x v="0"/>
          </reference>
          <reference field="5" count="1" selected="0">
            <x v="160"/>
          </reference>
          <reference field="6" count="1" selected="0">
            <x v="9"/>
          </reference>
          <reference field="9" count="1" selected="0">
            <x v="10"/>
          </reference>
          <reference field="11" count="1">
            <x v="40"/>
          </reference>
        </references>
      </pivotArea>
    </format>
    <format dxfId="9273">
      <pivotArea dataOnly="0" labelOnly="1" outline="0" fieldPosition="0">
        <references count="7">
          <reference field="1" count="0" selected="0"/>
          <reference field="3" count="1" selected="0">
            <x v="6"/>
          </reference>
          <reference field="4" count="1" selected="0">
            <x v="0"/>
          </reference>
          <reference field="5" count="1" selected="0">
            <x v="166"/>
          </reference>
          <reference field="6" count="1" selected="0">
            <x v="9"/>
          </reference>
          <reference field="9" count="1" selected="0">
            <x v="10"/>
          </reference>
          <reference field="11" count="1">
            <x v="17"/>
          </reference>
        </references>
      </pivotArea>
    </format>
    <format dxfId="9272">
      <pivotArea dataOnly="0" labelOnly="1" outline="0" fieldPosition="0">
        <references count="7">
          <reference field="1" count="0" selected="0"/>
          <reference field="3" count="1" selected="0">
            <x v="6"/>
          </reference>
          <reference field="4" count="1" selected="0">
            <x v="0"/>
          </reference>
          <reference field="5" count="1" selected="0">
            <x v="173"/>
          </reference>
          <reference field="6" count="1" selected="0">
            <x v="9"/>
          </reference>
          <reference field="9" count="1" selected="0">
            <x v="10"/>
          </reference>
          <reference field="11" count="1">
            <x v="45"/>
          </reference>
        </references>
      </pivotArea>
    </format>
    <format dxfId="9271">
      <pivotArea dataOnly="0" labelOnly="1" outline="0" fieldPosition="0">
        <references count="7">
          <reference field="1" count="0" selected="0"/>
          <reference field="3" count="1" selected="0">
            <x v="6"/>
          </reference>
          <reference field="4" count="1" selected="0">
            <x v="0"/>
          </reference>
          <reference field="5" count="1" selected="0">
            <x v="176"/>
          </reference>
          <reference field="6" count="1" selected="0">
            <x v="9"/>
          </reference>
          <reference field="9" count="1" selected="0">
            <x v="10"/>
          </reference>
          <reference field="11" count="1">
            <x v="14"/>
          </reference>
        </references>
      </pivotArea>
    </format>
    <format dxfId="9270">
      <pivotArea dataOnly="0" labelOnly="1" outline="0" fieldPosition="0">
        <references count="7">
          <reference field="1" count="0" selected="0"/>
          <reference field="3" count="1" selected="0">
            <x v="6"/>
          </reference>
          <reference field="4" count="1" selected="0">
            <x v="0"/>
          </reference>
          <reference field="5" count="1" selected="0">
            <x v="183"/>
          </reference>
          <reference field="6" count="1" selected="0">
            <x v="9"/>
          </reference>
          <reference field="9" count="1" selected="0">
            <x v="10"/>
          </reference>
          <reference field="11" count="1">
            <x v="57"/>
          </reference>
        </references>
      </pivotArea>
    </format>
    <format dxfId="9269">
      <pivotArea dataOnly="0" labelOnly="1" outline="0" fieldPosition="0">
        <references count="7">
          <reference field="1" count="0" selected="0"/>
          <reference field="3" count="1" selected="0">
            <x v="6"/>
          </reference>
          <reference field="4" count="1" selected="0">
            <x v="0"/>
          </reference>
          <reference field="5" count="1" selected="0">
            <x v="188"/>
          </reference>
          <reference field="6" count="1" selected="0">
            <x v="9"/>
          </reference>
          <reference field="9" count="1" selected="0">
            <x v="10"/>
          </reference>
          <reference field="11" count="1">
            <x v="41"/>
          </reference>
        </references>
      </pivotArea>
    </format>
    <format dxfId="9268">
      <pivotArea dataOnly="0" labelOnly="1" outline="0" fieldPosition="0">
        <references count="7">
          <reference field="1" count="0" selected="0"/>
          <reference field="3" count="1" selected="0">
            <x v="6"/>
          </reference>
          <reference field="4" count="1" selected="0">
            <x v="0"/>
          </reference>
          <reference field="5" count="1" selected="0">
            <x v="191"/>
          </reference>
          <reference field="6" count="1" selected="0">
            <x v="9"/>
          </reference>
          <reference field="9" count="1" selected="0">
            <x v="10"/>
          </reference>
          <reference field="11" count="1">
            <x v="54"/>
          </reference>
        </references>
      </pivotArea>
    </format>
    <format dxfId="9267">
      <pivotArea dataOnly="0" labelOnly="1" outline="0" fieldPosition="0">
        <references count="7">
          <reference field="1" count="0" selected="0"/>
          <reference field="3" count="1" selected="0">
            <x v="6"/>
          </reference>
          <reference field="4" count="1" selected="0">
            <x v="0"/>
          </reference>
          <reference field="5" count="1" selected="0">
            <x v="336"/>
          </reference>
          <reference field="6" count="1" selected="0">
            <x v="9"/>
          </reference>
          <reference field="9" count="1" selected="0">
            <x v="10"/>
          </reference>
          <reference field="11" count="1">
            <x v="14"/>
          </reference>
        </references>
      </pivotArea>
    </format>
    <format dxfId="9266">
      <pivotArea dataOnly="0" labelOnly="1" outline="0" fieldPosition="0">
        <references count="7">
          <reference field="1" count="0" selected="0"/>
          <reference field="3" count="1" selected="0">
            <x v="8"/>
          </reference>
          <reference field="4" count="1" selected="0">
            <x v="3"/>
          </reference>
          <reference field="5" count="1" selected="0">
            <x v="134"/>
          </reference>
          <reference field="6" count="1" selected="0">
            <x v="3"/>
          </reference>
          <reference field="9" count="1" selected="0">
            <x v="10"/>
          </reference>
          <reference field="11" count="1">
            <x v="14"/>
          </reference>
        </references>
      </pivotArea>
    </format>
    <format dxfId="9265">
      <pivotArea dataOnly="0" labelOnly="1" outline="0" fieldPosition="0">
        <references count="7">
          <reference field="1" count="0" selected="0"/>
          <reference field="3" count="1" selected="0">
            <x v="8"/>
          </reference>
          <reference field="4" count="1" selected="0">
            <x v="3"/>
          </reference>
          <reference field="5" count="1" selected="0">
            <x v="137"/>
          </reference>
          <reference field="6" count="1" selected="0">
            <x v="3"/>
          </reference>
          <reference field="9" count="1" selected="0">
            <x v="10"/>
          </reference>
          <reference field="11" count="1">
            <x v="25"/>
          </reference>
        </references>
      </pivotArea>
    </format>
    <format dxfId="9264">
      <pivotArea dataOnly="0" labelOnly="1" outline="0" fieldPosition="0">
        <references count="7">
          <reference field="1" count="0" selected="0"/>
          <reference field="3" count="1" selected="0">
            <x v="9"/>
          </reference>
          <reference field="4" count="1" selected="0">
            <x v="6"/>
          </reference>
          <reference field="5" count="1" selected="0">
            <x v="163"/>
          </reference>
          <reference field="6" count="1" selected="0">
            <x v="5"/>
          </reference>
          <reference field="9" count="1" selected="0">
            <x v="7"/>
          </reference>
          <reference field="11" count="1">
            <x v="51"/>
          </reference>
        </references>
      </pivotArea>
    </format>
    <format dxfId="9263">
      <pivotArea dataOnly="0" labelOnly="1" outline="0" fieldPosition="0">
        <references count="7">
          <reference field="1" count="0" selected="0"/>
          <reference field="3" count="1" selected="0">
            <x v="9"/>
          </reference>
          <reference field="4" count="1" selected="0">
            <x v="6"/>
          </reference>
          <reference field="5" count="1" selected="0">
            <x v="213"/>
          </reference>
          <reference field="6" count="1" selected="0">
            <x v="5"/>
          </reference>
          <reference field="9" count="1" selected="0">
            <x v="10"/>
          </reference>
          <reference field="11" count="1">
            <x v="19"/>
          </reference>
        </references>
      </pivotArea>
    </format>
    <format dxfId="9262">
      <pivotArea dataOnly="0" labelOnly="1" outline="0" fieldPosition="0">
        <references count="8">
          <reference field="1" count="0" selected="0"/>
          <reference field="3" count="1" selected="0">
            <x v="2"/>
          </reference>
          <reference field="4" count="1" selected="0">
            <x v="1"/>
          </reference>
          <reference field="5" count="1" selected="0">
            <x v="341"/>
          </reference>
          <reference field="6" count="1" selected="0">
            <x v="2"/>
          </reference>
          <reference field="9" count="1" selected="0">
            <x v="4"/>
          </reference>
          <reference field="11" count="1" selected="0">
            <x v="43"/>
          </reference>
          <reference field="12" count="1">
            <x v="30"/>
          </reference>
        </references>
      </pivotArea>
    </format>
    <format dxfId="9261">
      <pivotArea dataOnly="0" labelOnly="1" outline="0" fieldPosition="0">
        <references count="8">
          <reference field="1" count="0" selected="0"/>
          <reference field="3" count="1" selected="0">
            <x v="3"/>
          </reference>
          <reference field="4" count="1" selected="0">
            <x v="1"/>
          </reference>
          <reference field="5" count="1" selected="0">
            <x v="195"/>
          </reference>
          <reference field="6" count="1" selected="0">
            <x v="2"/>
          </reference>
          <reference field="9" count="1" selected="0">
            <x v="10"/>
          </reference>
          <reference field="11" count="1" selected="0">
            <x v="13"/>
          </reference>
          <reference field="12" count="1">
            <x v="14"/>
          </reference>
        </references>
      </pivotArea>
    </format>
    <format dxfId="9260">
      <pivotArea dataOnly="0" labelOnly="1" outline="0" fieldPosition="0">
        <references count="8">
          <reference field="1" count="0" selected="0"/>
          <reference field="3" count="1" selected="0">
            <x v="3"/>
          </reference>
          <reference field="4" count="1" selected="0">
            <x v="1"/>
          </reference>
          <reference field="5" count="1" selected="0">
            <x v="198"/>
          </reference>
          <reference field="6" count="1" selected="0">
            <x v="2"/>
          </reference>
          <reference field="9" count="1" selected="0">
            <x v="10"/>
          </reference>
          <reference field="11" count="1" selected="0">
            <x v="14"/>
          </reference>
          <reference field="12" count="1">
            <x v="23"/>
          </reference>
        </references>
      </pivotArea>
    </format>
    <format dxfId="9259">
      <pivotArea dataOnly="0" labelOnly="1" outline="0" fieldPosition="0">
        <references count="8">
          <reference field="1" count="0" selected="0"/>
          <reference field="3" count="1" selected="0">
            <x v="4"/>
          </reference>
          <reference field="4" count="1" selected="0">
            <x v="1"/>
          </reference>
          <reference field="5" count="1" selected="0">
            <x v="98"/>
          </reference>
          <reference field="6" count="1" selected="0">
            <x v="2"/>
          </reference>
          <reference field="9" count="1" selected="0">
            <x v="10"/>
          </reference>
          <reference field="11" count="1" selected="0">
            <x v="14"/>
          </reference>
          <reference field="12" count="1">
            <x v="5"/>
          </reference>
        </references>
      </pivotArea>
    </format>
    <format dxfId="9258">
      <pivotArea dataOnly="0" labelOnly="1" outline="0" fieldPosition="0">
        <references count="8">
          <reference field="1" count="0" selected="0"/>
          <reference field="3" count="1" selected="0">
            <x v="4"/>
          </reference>
          <reference field="4" count="1" selected="0">
            <x v="1"/>
          </reference>
          <reference field="5" count="1" selected="0">
            <x v="112"/>
          </reference>
          <reference field="6" count="1" selected="0">
            <x v="2"/>
          </reference>
          <reference field="9" count="1" selected="0">
            <x v="10"/>
          </reference>
          <reference field="11" count="1" selected="0">
            <x v="33"/>
          </reference>
          <reference field="12" count="1">
            <x v="8"/>
          </reference>
        </references>
      </pivotArea>
    </format>
    <format dxfId="9257">
      <pivotArea dataOnly="0" labelOnly="1" outline="0" fieldPosition="0">
        <references count="8">
          <reference field="1" count="0" selected="0"/>
          <reference field="3" count="1" selected="0">
            <x v="4"/>
          </reference>
          <reference field="4" count="1" selected="0">
            <x v="1"/>
          </reference>
          <reference field="5" count="1" selected="0">
            <x v="346"/>
          </reference>
          <reference field="6" count="1" selected="0">
            <x v="2"/>
          </reference>
          <reference field="9" count="1" selected="0">
            <x v="10"/>
          </reference>
          <reference field="11" count="1" selected="0">
            <x v="14"/>
          </reference>
          <reference field="12" count="1">
            <x v="1"/>
          </reference>
        </references>
      </pivotArea>
    </format>
    <format dxfId="9256">
      <pivotArea dataOnly="0" labelOnly="1" outline="0" fieldPosition="0">
        <references count="8">
          <reference field="1" count="0" selected="0"/>
          <reference field="3" count="1" selected="0">
            <x v="6"/>
          </reference>
          <reference field="4" count="1" selected="0">
            <x v="0"/>
          </reference>
          <reference field="5" count="1" selected="0">
            <x v="138"/>
          </reference>
          <reference field="6" count="1" selected="0">
            <x v="9"/>
          </reference>
          <reference field="9" count="1" selected="0">
            <x v="10"/>
          </reference>
          <reference field="11" count="1" selected="0">
            <x v="7"/>
          </reference>
          <reference field="12" count="1">
            <x v="3"/>
          </reference>
        </references>
      </pivotArea>
    </format>
    <format dxfId="9255">
      <pivotArea dataOnly="0" labelOnly="1" outline="0" fieldPosition="0">
        <references count="8">
          <reference field="1" count="0" selected="0"/>
          <reference field="3" count="1" selected="0">
            <x v="6"/>
          </reference>
          <reference field="4" count="1" selected="0">
            <x v="0"/>
          </reference>
          <reference field="5" count="1" selected="0">
            <x v="147"/>
          </reference>
          <reference field="6" count="1" selected="0">
            <x v="9"/>
          </reference>
          <reference field="9" count="1" selected="0">
            <x v="10"/>
          </reference>
          <reference field="11" count="1" selected="0">
            <x v="14"/>
          </reference>
          <reference field="12" count="1">
            <x v="17"/>
          </reference>
        </references>
      </pivotArea>
    </format>
    <format dxfId="9254">
      <pivotArea dataOnly="0" labelOnly="1" outline="0" fieldPosition="0">
        <references count="8">
          <reference field="1" count="0" selected="0"/>
          <reference field="3" count="1" selected="0">
            <x v="6"/>
          </reference>
          <reference field="4" count="1" selected="0">
            <x v="0"/>
          </reference>
          <reference field="5" count="1" selected="0">
            <x v="160"/>
          </reference>
          <reference field="6" count="1" selected="0">
            <x v="9"/>
          </reference>
          <reference field="9" count="1" selected="0">
            <x v="10"/>
          </reference>
          <reference field="11" count="1" selected="0">
            <x v="40"/>
          </reference>
          <reference field="12" count="1">
            <x v="8"/>
          </reference>
        </references>
      </pivotArea>
    </format>
    <format dxfId="9253">
      <pivotArea dataOnly="0" labelOnly="1" outline="0" fieldPosition="0">
        <references count="8">
          <reference field="1" count="0" selected="0"/>
          <reference field="3" count="1" selected="0">
            <x v="6"/>
          </reference>
          <reference field="4" count="1" selected="0">
            <x v="0"/>
          </reference>
          <reference field="5" count="1" selected="0">
            <x v="173"/>
          </reference>
          <reference field="6" count="1" selected="0">
            <x v="9"/>
          </reference>
          <reference field="9" count="1" selected="0">
            <x v="10"/>
          </reference>
          <reference field="11" count="1" selected="0">
            <x v="45"/>
          </reference>
          <reference field="12" count="1">
            <x v="6"/>
          </reference>
        </references>
      </pivotArea>
    </format>
    <format dxfId="9252">
      <pivotArea dataOnly="0" labelOnly="1" outline="0" fieldPosition="0">
        <references count="8">
          <reference field="1" count="0" selected="0"/>
          <reference field="3" count="1" selected="0">
            <x v="6"/>
          </reference>
          <reference field="4" count="1" selected="0">
            <x v="0"/>
          </reference>
          <reference field="5" count="1" selected="0">
            <x v="176"/>
          </reference>
          <reference field="6" count="1" selected="0">
            <x v="9"/>
          </reference>
          <reference field="9" count="1" selected="0">
            <x v="10"/>
          </reference>
          <reference field="11" count="1" selected="0">
            <x v="14"/>
          </reference>
          <reference field="12" count="1">
            <x v="3"/>
          </reference>
        </references>
      </pivotArea>
    </format>
    <format dxfId="9251">
      <pivotArea dataOnly="0" labelOnly="1" outline="0" fieldPosition="0">
        <references count="8">
          <reference field="1" count="0" selected="0"/>
          <reference field="3" count="1" selected="0">
            <x v="6"/>
          </reference>
          <reference field="4" count="1" selected="0">
            <x v="0"/>
          </reference>
          <reference field="5" count="1" selected="0">
            <x v="183"/>
          </reference>
          <reference field="6" count="1" selected="0">
            <x v="9"/>
          </reference>
          <reference field="9" count="1" selected="0">
            <x v="10"/>
          </reference>
          <reference field="11" count="1" selected="0">
            <x v="57"/>
          </reference>
          <reference field="12" count="1">
            <x v="1"/>
          </reference>
        </references>
      </pivotArea>
    </format>
    <format dxfId="9250">
      <pivotArea dataOnly="0" labelOnly="1" outline="0" fieldPosition="0">
        <references count="8">
          <reference field="1" count="0" selected="0"/>
          <reference field="3" count="1" selected="0">
            <x v="6"/>
          </reference>
          <reference field="4" count="1" selected="0">
            <x v="0"/>
          </reference>
          <reference field="5" count="1" selected="0">
            <x v="188"/>
          </reference>
          <reference field="6" count="1" selected="0">
            <x v="9"/>
          </reference>
          <reference field="9" count="1" selected="0">
            <x v="10"/>
          </reference>
          <reference field="11" count="1" selected="0">
            <x v="41"/>
          </reference>
          <reference field="12" count="1">
            <x v="8"/>
          </reference>
        </references>
      </pivotArea>
    </format>
    <format dxfId="9249">
      <pivotArea dataOnly="0" labelOnly="1" outline="0" fieldPosition="0">
        <references count="8">
          <reference field="1" count="0" selected="0"/>
          <reference field="3" count="1" selected="0">
            <x v="6"/>
          </reference>
          <reference field="4" count="1" selected="0">
            <x v="0"/>
          </reference>
          <reference field="5" count="1" selected="0">
            <x v="191"/>
          </reference>
          <reference field="6" count="1" selected="0">
            <x v="9"/>
          </reference>
          <reference field="9" count="1" selected="0">
            <x v="10"/>
          </reference>
          <reference field="11" count="1" selected="0">
            <x v="54"/>
          </reference>
          <reference field="12" count="1">
            <x v="4"/>
          </reference>
        </references>
      </pivotArea>
    </format>
    <format dxfId="9248">
      <pivotArea dataOnly="0" labelOnly="1" outline="0" fieldPosition="0">
        <references count="8">
          <reference field="1" count="0" selected="0"/>
          <reference field="3" count="1" selected="0">
            <x v="6"/>
          </reference>
          <reference field="4" count="1" selected="0">
            <x v="0"/>
          </reference>
          <reference field="5" count="1" selected="0">
            <x v="336"/>
          </reference>
          <reference field="6" count="1" selected="0">
            <x v="9"/>
          </reference>
          <reference field="9" count="1" selected="0">
            <x v="10"/>
          </reference>
          <reference field="11" count="1" selected="0">
            <x v="14"/>
          </reference>
          <reference field="12" count="1">
            <x v="9"/>
          </reference>
        </references>
      </pivotArea>
    </format>
    <format dxfId="9247">
      <pivotArea dataOnly="0" labelOnly="1" outline="0" fieldPosition="0">
        <references count="8">
          <reference field="1" count="0" selected="0"/>
          <reference field="3" count="1" selected="0">
            <x v="8"/>
          </reference>
          <reference field="4" count="1" selected="0">
            <x v="3"/>
          </reference>
          <reference field="5" count="1" selected="0">
            <x v="137"/>
          </reference>
          <reference field="6" count="1" selected="0">
            <x v="3"/>
          </reference>
          <reference field="9" count="1" selected="0">
            <x v="10"/>
          </reference>
          <reference field="11" count="1" selected="0">
            <x v="25"/>
          </reference>
          <reference field="12" count="1">
            <x v="8"/>
          </reference>
        </references>
      </pivotArea>
    </format>
    <format dxfId="9246">
      <pivotArea dataOnly="0" labelOnly="1" outline="0" fieldPosition="0">
        <references count="9">
          <reference field="1" count="0" selected="0"/>
          <reference field="3" count="1" selected="0">
            <x v="2"/>
          </reference>
          <reference field="4" count="1" selected="0">
            <x v="1"/>
          </reference>
          <reference field="5" count="1" selected="0">
            <x v="341"/>
          </reference>
          <reference field="6" count="1" selected="0">
            <x v="2"/>
          </reference>
          <reference field="9" count="1" selected="0">
            <x v="4"/>
          </reference>
          <reference field="11" count="1" selected="0">
            <x v="43"/>
          </reference>
          <reference field="12" count="1" selected="0">
            <x v="30"/>
          </reference>
          <reference field="13" count="1">
            <x v="6"/>
          </reference>
        </references>
      </pivotArea>
    </format>
    <format dxfId="9245">
      <pivotArea dataOnly="0" labelOnly="1" outline="0" fieldPosition="0">
        <references count="9">
          <reference field="1" count="0" selected="0"/>
          <reference field="3" count="1" selected="0">
            <x v="3"/>
          </reference>
          <reference field="4" count="1" selected="0">
            <x v="1"/>
          </reference>
          <reference field="5" count="1" selected="0">
            <x v="195"/>
          </reference>
          <reference field="6" count="1" selected="0">
            <x v="2"/>
          </reference>
          <reference field="9" count="1" selected="0">
            <x v="10"/>
          </reference>
          <reference field="11" count="1" selected="0">
            <x v="13"/>
          </reference>
          <reference field="12" count="1" selected="0">
            <x v="14"/>
          </reference>
          <reference field="13" count="1">
            <x v="3"/>
          </reference>
        </references>
      </pivotArea>
    </format>
    <format dxfId="9244">
      <pivotArea dataOnly="0" labelOnly="1" outline="0" fieldPosition="0">
        <references count="9">
          <reference field="1" count="0" selected="0"/>
          <reference field="3" count="1" selected="0">
            <x v="3"/>
          </reference>
          <reference field="4" count="1" selected="0">
            <x v="1"/>
          </reference>
          <reference field="5" count="1" selected="0">
            <x v="198"/>
          </reference>
          <reference field="6" count="1" selected="0">
            <x v="2"/>
          </reference>
          <reference field="9" count="1" selected="0">
            <x v="10"/>
          </reference>
          <reference field="11" count="1" selected="0">
            <x v="14"/>
          </reference>
          <reference field="12" count="1" selected="0">
            <x v="23"/>
          </reference>
          <reference field="13" count="1">
            <x v="2"/>
          </reference>
        </references>
      </pivotArea>
    </format>
    <format dxfId="9243">
      <pivotArea dataOnly="0" labelOnly="1" outline="0" fieldPosition="0">
        <references count="9">
          <reference field="1" count="0" selected="0"/>
          <reference field="3" count="1" selected="0">
            <x v="8"/>
          </reference>
          <reference field="4" count="1" selected="0">
            <x v="3"/>
          </reference>
          <reference field="5" count="1" selected="0">
            <x v="137"/>
          </reference>
          <reference field="6" count="1" selected="0">
            <x v="3"/>
          </reference>
          <reference field="9" count="1" selected="0">
            <x v="10"/>
          </reference>
          <reference field="11" count="1" selected="0">
            <x v="25"/>
          </reference>
          <reference field="12" count="1" selected="0">
            <x v="8"/>
          </reference>
          <reference field="13" count="1">
            <x v="3"/>
          </reference>
        </references>
      </pivotArea>
    </format>
    <format dxfId="9242">
      <pivotArea dataOnly="0" labelOnly="1" outline="0" fieldPosition="0">
        <references count="10">
          <reference field="1" count="0" selected="0"/>
          <reference field="3" count="1" selected="0">
            <x v="2"/>
          </reference>
          <reference field="4" count="1" selected="0">
            <x v="1"/>
          </reference>
          <reference field="5" count="1" selected="0">
            <x v="341"/>
          </reference>
          <reference field="6" count="1" selected="0">
            <x v="2"/>
          </reference>
          <reference field="9" count="1" selected="0">
            <x v="4"/>
          </reference>
          <reference field="11" count="1" selected="0">
            <x v="43"/>
          </reference>
          <reference field="12" count="1" selected="0">
            <x v="30"/>
          </reference>
          <reference field="13" count="1" selected="0">
            <x v="6"/>
          </reference>
          <reference field="14" count="1">
            <x v="17"/>
          </reference>
        </references>
      </pivotArea>
    </format>
    <format dxfId="9241">
      <pivotArea dataOnly="0" labelOnly="1" outline="0" fieldPosition="0">
        <references count="10">
          <reference field="1" count="0" selected="0"/>
          <reference field="3" count="1" selected="0">
            <x v="3"/>
          </reference>
          <reference field="4" count="1" selected="0">
            <x v="1"/>
          </reference>
          <reference field="5" count="1" selected="0">
            <x v="195"/>
          </reference>
          <reference field="6" count="1" selected="0">
            <x v="2"/>
          </reference>
          <reference field="9" count="1" selected="0">
            <x v="10"/>
          </reference>
          <reference field="11" count="1" selected="0">
            <x v="13"/>
          </reference>
          <reference field="12" count="1" selected="0">
            <x v="14"/>
          </reference>
          <reference field="13" count="1" selected="0">
            <x v="3"/>
          </reference>
          <reference field="14" count="1">
            <x v="17"/>
          </reference>
        </references>
      </pivotArea>
    </format>
    <format dxfId="9240">
      <pivotArea dataOnly="0" labelOnly="1" outline="0" fieldPosition="0">
        <references count="10">
          <reference field="1" count="0" selected="0"/>
          <reference field="3" count="1" selected="0">
            <x v="3"/>
          </reference>
          <reference field="4" count="1" selected="0">
            <x v="1"/>
          </reference>
          <reference field="5" count="1" selected="0">
            <x v="198"/>
          </reference>
          <reference field="6" count="1" selected="0">
            <x v="2"/>
          </reference>
          <reference field="9" count="1" selected="0">
            <x v="10"/>
          </reference>
          <reference field="11" count="1" selected="0">
            <x v="14"/>
          </reference>
          <reference field="12" count="1" selected="0">
            <x v="23"/>
          </reference>
          <reference field="13" count="1" selected="0">
            <x v="2"/>
          </reference>
          <reference field="14" count="1">
            <x v="17"/>
          </reference>
        </references>
      </pivotArea>
    </format>
    <format dxfId="9239">
      <pivotArea dataOnly="0" labelOnly="1" outline="0" fieldPosition="0">
        <references count="10">
          <reference field="1" count="0" selected="0"/>
          <reference field="3" count="1" selected="0">
            <x v="4"/>
          </reference>
          <reference field="4" count="1" selected="0">
            <x v="1"/>
          </reference>
          <reference field="5" count="1" selected="0">
            <x v="98"/>
          </reference>
          <reference field="6" count="1" selected="0">
            <x v="2"/>
          </reference>
          <reference field="9" count="1" selected="0">
            <x v="10"/>
          </reference>
          <reference field="11" count="1" selected="0">
            <x v="14"/>
          </reference>
          <reference field="12" count="1" selected="0">
            <x v="5"/>
          </reference>
          <reference field="13" count="1" selected="0">
            <x v="3"/>
          </reference>
          <reference field="14" count="1">
            <x v="49"/>
          </reference>
        </references>
      </pivotArea>
    </format>
    <format dxfId="9238">
      <pivotArea dataOnly="0" labelOnly="1" outline="0" fieldPosition="0">
        <references count="10">
          <reference field="1" count="0" selected="0"/>
          <reference field="3" count="1" selected="0">
            <x v="4"/>
          </reference>
          <reference field="4" count="1" selected="0">
            <x v="1"/>
          </reference>
          <reference field="5" count="1" selected="0">
            <x v="112"/>
          </reference>
          <reference field="6" count="1" selected="0">
            <x v="2"/>
          </reference>
          <reference field="9" count="1" selected="0">
            <x v="10"/>
          </reference>
          <reference field="11" count="1" selected="0">
            <x v="33"/>
          </reference>
          <reference field="12" count="1" selected="0">
            <x v="8"/>
          </reference>
          <reference field="13" count="1" selected="0">
            <x v="3"/>
          </reference>
          <reference field="14" count="1">
            <x v="43"/>
          </reference>
        </references>
      </pivotArea>
    </format>
    <format dxfId="9237">
      <pivotArea dataOnly="0" labelOnly="1" outline="0" fieldPosition="0">
        <references count="10">
          <reference field="1" count="0" selected="0"/>
          <reference field="3" count="1" selected="0">
            <x v="4"/>
          </reference>
          <reference field="4" count="1" selected="0">
            <x v="1"/>
          </reference>
          <reference field="5" count="1" selected="0">
            <x v="215"/>
          </reference>
          <reference field="6" count="1" selected="0">
            <x v="2"/>
          </reference>
          <reference field="9" count="1" selected="0">
            <x v="4"/>
          </reference>
          <reference field="11" count="1" selected="0">
            <x v="53"/>
          </reference>
          <reference field="12" count="1" selected="0">
            <x v="8"/>
          </reference>
          <reference field="13" count="1" selected="0">
            <x v="3"/>
          </reference>
          <reference field="14" count="1">
            <x v="17"/>
          </reference>
        </references>
      </pivotArea>
    </format>
    <format dxfId="9236">
      <pivotArea dataOnly="0" labelOnly="1" outline="0" fieldPosition="0">
        <references count="10">
          <reference field="1" count="0" selected="0"/>
          <reference field="3" count="1" selected="0">
            <x v="4"/>
          </reference>
          <reference field="4" count="1" selected="0">
            <x v="1"/>
          </reference>
          <reference field="5" count="1" selected="0">
            <x v="330"/>
          </reference>
          <reference field="6" count="1" selected="0">
            <x v="2"/>
          </reference>
          <reference field="9" count="1" selected="0">
            <x v="10"/>
          </reference>
          <reference field="11" count="1" selected="0">
            <x v="18"/>
          </reference>
          <reference field="12" count="1" selected="0">
            <x v="8"/>
          </reference>
          <reference field="13" count="1" selected="0">
            <x v="3"/>
          </reference>
          <reference field="14" count="1">
            <x v="42"/>
          </reference>
        </references>
      </pivotArea>
    </format>
    <format dxfId="9235">
      <pivotArea dataOnly="0" labelOnly="1" outline="0" fieldPosition="0">
        <references count="10">
          <reference field="1" count="0" selected="0"/>
          <reference field="3" count="1" selected="0">
            <x v="4"/>
          </reference>
          <reference field="4" count="1" selected="0">
            <x v="1"/>
          </reference>
          <reference field="5" count="1" selected="0">
            <x v="346"/>
          </reference>
          <reference field="6" count="1" selected="0">
            <x v="2"/>
          </reference>
          <reference field="9" count="1" selected="0">
            <x v="10"/>
          </reference>
          <reference field="11" count="1" selected="0">
            <x v="14"/>
          </reference>
          <reference field="12" count="1" selected="0">
            <x v="1"/>
          </reference>
          <reference field="13" count="1" selected="0">
            <x v="3"/>
          </reference>
          <reference field="14" count="1">
            <x v="17"/>
          </reference>
        </references>
      </pivotArea>
    </format>
    <format dxfId="9234">
      <pivotArea dataOnly="0" labelOnly="1" outline="0" fieldPosition="0">
        <references count="10">
          <reference field="1" count="0" selected="0"/>
          <reference field="3" count="1" selected="0">
            <x v="6"/>
          </reference>
          <reference field="4" count="1" selected="0">
            <x v="0"/>
          </reference>
          <reference field="5" count="1" selected="0">
            <x v="138"/>
          </reference>
          <reference field="6" count="1" selected="0">
            <x v="9"/>
          </reference>
          <reference field="9" count="1" selected="0">
            <x v="10"/>
          </reference>
          <reference field="11" count="1" selected="0">
            <x v="7"/>
          </reference>
          <reference field="12" count="1" selected="0">
            <x v="3"/>
          </reference>
          <reference field="13" count="1" selected="0">
            <x v="3"/>
          </reference>
          <reference field="14" count="1">
            <x v="17"/>
          </reference>
        </references>
      </pivotArea>
    </format>
    <format dxfId="9233">
      <pivotArea dataOnly="0" labelOnly="1" outline="0" fieldPosition="0">
        <references count="10">
          <reference field="1" count="0" selected="0"/>
          <reference field="3" count="1" selected="0">
            <x v="6"/>
          </reference>
          <reference field="4" count="1" selected="0">
            <x v="0"/>
          </reference>
          <reference field="5" count="1" selected="0">
            <x v="147"/>
          </reference>
          <reference field="6" count="1" selected="0">
            <x v="9"/>
          </reference>
          <reference field="9" count="1" selected="0">
            <x v="10"/>
          </reference>
          <reference field="11" count="1" selected="0">
            <x v="14"/>
          </reference>
          <reference field="12" count="1" selected="0">
            <x v="17"/>
          </reference>
          <reference field="13" count="1" selected="0">
            <x v="3"/>
          </reference>
          <reference field="14" count="1">
            <x v="17"/>
          </reference>
        </references>
      </pivotArea>
    </format>
    <format dxfId="9232">
      <pivotArea dataOnly="0" labelOnly="1" outline="0" fieldPosition="0">
        <references count="10">
          <reference field="1" count="0" selected="0"/>
          <reference field="3" count="1" selected="0">
            <x v="6"/>
          </reference>
          <reference field="4" count="1" selected="0">
            <x v="0"/>
          </reference>
          <reference field="5" count="1" selected="0">
            <x v="160"/>
          </reference>
          <reference field="6" count="1" selected="0">
            <x v="9"/>
          </reference>
          <reference field="9" count="1" selected="0">
            <x v="10"/>
          </reference>
          <reference field="11" count="1" selected="0">
            <x v="40"/>
          </reference>
          <reference field="12" count="1" selected="0">
            <x v="8"/>
          </reference>
          <reference field="13" count="1" selected="0">
            <x v="3"/>
          </reference>
          <reference field="14" count="1">
            <x v="44"/>
          </reference>
        </references>
      </pivotArea>
    </format>
    <format dxfId="9231">
      <pivotArea dataOnly="0" labelOnly="1" outline="0" fieldPosition="0">
        <references count="10">
          <reference field="1" count="0" selected="0"/>
          <reference field="3" count="1" selected="0">
            <x v="6"/>
          </reference>
          <reference field="4" count="1" selected="0">
            <x v="0"/>
          </reference>
          <reference field="5" count="1" selected="0">
            <x v="166"/>
          </reference>
          <reference field="6" count="1" selected="0">
            <x v="9"/>
          </reference>
          <reference field="9" count="1" selected="0">
            <x v="10"/>
          </reference>
          <reference field="11" count="1" selected="0">
            <x v="17"/>
          </reference>
          <reference field="12" count="1" selected="0">
            <x v="8"/>
          </reference>
          <reference field="13" count="1" selected="0">
            <x v="3"/>
          </reference>
          <reference field="14" count="1">
            <x v="36"/>
          </reference>
        </references>
      </pivotArea>
    </format>
    <format dxfId="9230">
      <pivotArea dataOnly="0" labelOnly="1" outline="0" fieldPosition="0">
        <references count="10">
          <reference field="1" count="0" selected="0"/>
          <reference field="3" count="1" selected="0">
            <x v="6"/>
          </reference>
          <reference field="4" count="1" selected="0">
            <x v="0"/>
          </reference>
          <reference field="5" count="1" selected="0">
            <x v="173"/>
          </reference>
          <reference field="6" count="1" selected="0">
            <x v="9"/>
          </reference>
          <reference field="9" count="1" selected="0">
            <x v="10"/>
          </reference>
          <reference field="11" count="1" selected="0">
            <x v="45"/>
          </reference>
          <reference field="12" count="1" selected="0">
            <x v="6"/>
          </reference>
          <reference field="13" count="1" selected="0">
            <x v="3"/>
          </reference>
          <reference field="14" count="1">
            <x v="46"/>
          </reference>
        </references>
      </pivotArea>
    </format>
    <format dxfId="9229">
      <pivotArea dataOnly="0" labelOnly="1" outline="0" fieldPosition="0">
        <references count="10">
          <reference field="1" count="0" selected="0"/>
          <reference field="3" count="1" selected="0">
            <x v="6"/>
          </reference>
          <reference field="4" count="1" selected="0">
            <x v="0"/>
          </reference>
          <reference field="5" count="1" selected="0">
            <x v="176"/>
          </reference>
          <reference field="6" count="1" selected="0">
            <x v="9"/>
          </reference>
          <reference field="9" count="1" selected="0">
            <x v="10"/>
          </reference>
          <reference field="11" count="1" selected="0">
            <x v="14"/>
          </reference>
          <reference field="12" count="1" selected="0">
            <x v="3"/>
          </reference>
          <reference field="13" count="1" selected="0">
            <x v="3"/>
          </reference>
          <reference field="14" count="1">
            <x v="17"/>
          </reference>
        </references>
      </pivotArea>
    </format>
    <format dxfId="9228">
      <pivotArea dataOnly="0" labelOnly="1" outline="0" fieldPosition="0">
        <references count="10">
          <reference field="1" count="0" selected="0"/>
          <reference field="3" count="1" selected="0">
            <x v="6"/>
          </reference>
          <reference field="4" count="1" selected="0">
            <x v="0"/>
          </reference>
          <reference field="5" count="1" selected="0">
            <x v="183"/>
          </reference>
          <reference field="6" count="1" selected="0">
            <x v="9"/>
          </reference>
          <reference field="9" count="1" selected="0">
            <x v="10"/>
          </reference>
          <reference field="11" count="1" selected="0">
            <x v="57"/>
          </reference>
          <reference field="12" count="1" selected="0">
            <x v="1"/>
          </reference>
          <reference field="13" count="1" selected="0">
            <x v="3"/>
          </reference>
          <reference field="14" count="1">
            <x v="3"/>
          </reference>
        </references>
      </pivotArea>
    </format>
    <format dxfId="9227">
      <pivotArea dataOnly="0" labelOnly="1" outline="0" fieldPosition="0">
        <references count="10">
          <reference field="1" count="0" selected="0"/>
          <reference field="3" count="1" selected="0">
            <x v="6"/>
          </reference>
          <reference field="4" count="1" selected="0">
            <x v="0"/>
          </reference>
          <reference field="5" count="1" selected="0">
            <x v="188"/>
          </reference>
          <reference field="6" count="1" selected="0">
            <x v="9"/>
          </reference>
          <reference field="9" count="1" selected="0">
            <x v="10"/>
          </reference>
          <reference field="11" count="1" selected="0">
            <x v="41"/>
          </reference>
          <reference field="12" count="1" selected="0">
            <x v="8"/>
          </reference>
          <reference field="13" count="1" selected="0">
            <x v="3"/>
          </reference>
          <reference field="14" count="1">
            <x v="24"/>
          </reference>
        </references>
      </pivotArea>
    </format>
    <format dxfId="9226">
      <pivotArea dataOnly="0" labelOnly="1" outline="0" fieldPosition="0">
        <references count="10">
          <reference field="1" count="0" selected="0"/>
          <reference field="3" count="1" selected="0">
            <x v="6"/>
          </reference>
          <reference field="4" count="1" selected="0">
            <x v="0"/>
          </reference>
          <reference field="5" count="1" selected="0">
            <x v="191"/>
          </reference>
          <reference field="6" count="1" selected="0">
            <x v="9"/>
          </reference>
          <reference field="9" count="1" selected="0">
            <x v="10"/>
          </reference>
          <reference field="11" count="1" selected="0">
            <x v="54"/>
          </reference>
          <reference field="12" count="1" selected="0">
            <x v="4"/>
          </reference>
          <reference field="13" count="1" selected="0">
            <x v="3"/>
          </reference>
          <reference field="14" count="1">
            <x v="13"/>
          </reference>
        </references>
      </pivotArea>
    </format>
    <format dxfId="9225">
      <pivotArea dataOnly="0" labelOnly="1" outline="0" fieldPosition="0">
        <references count="10">
          <reference field="1" count="0" selected="0"/>
          <reference field="3" count="1" selected="0">
            <x v="6"/>
          </reference>
          <reference field="4" count="1" selected="0">
            <x v="0"/>
          </reference>
          <reference field="5" count="1" selected="0">
            <x v="336"/>
          </reference>
          <reference field="6" count="1" selected="0">
            <x v="9"/>
          </reference>
          <reference field="9" count="1" selected="0">
            <x v="10"/>
          </reference>
          <reference field="11" count="1" selected="0">
            <x v="14"/>
          </reference>
          <reference field="12" count="1" selected="0">
            <x v="9"/>
          </reference>
          <reference field="13" count="1" selected="0">
            <x v="3"/>
          </reference>
          <reference field="14" count="1">
            <x v="9"/>
          </reference>
        </references>
      </pivotArea>
    </format>
    <format dxfId="9224">
      <pivotArea dataOnly="0" labelOnly="1" outline="0" fieldPosition="0">
        <references count="10">
          <reference field="1" count="0" selected="0"/>
          <reference field="3" count="1" selected="0">
            <x v="8"/>
          </reference>
          <reference field="4" count="1" selected="0">
            <x v="3"/>
          </reference>
          <reference field="5" count="1" selected="0">
            <x v="137"/>
          </reference>
          <reference field="6" count="1" selected="0">
            <x v="3"/>
          </reference>
          <reference field="9" count="1" selected="0">
            <x v="10"/>
          </reference>
          <reference field="11" count="1" selected="0">
            <x v="25"/>
          </reference>
          <reference field="12" count="1" selected="0">
            <x v="8"/>
          </reference>
          <reference field="13" count="1" selected="0">
            <x v="3"/>
          </reference>
          <reference field="14" count="1">
            <x v="29"/>
          </reference>
        </references>
      </pivotArea>
    </format>
    <format dxfId="9223">
      <pivotArea dataOnly="0" labelOnly="1" outline="0" fieldPosition="0">
        <references count="10">
          <reference field="1" count="0" selected="0"/>
          <reference field="3" count="1" selected="0">
            <x v="9"/>
          </reference>
          <reference field="4" count="1" selected="0">
            <x v="6"/>
          </reference>
          <reference field="5" count="1" selected="0">
            <x v="163"/>
          </reference>
          <reference field="6" count="1" selected="0">
            <x v="5"/>
          </reference>
          <reference field="9" count="1" selected="0">
            <x v="7"/>
          </reference>
          <reference field="11" count="1" selected="0">
            <x v="51"/>
          </reference>
          <reference field="12" count="1" selected="0">
            <x v="8"/>
          </reference>
          <reference field="13" count="1" selected="0">
            <x v="3"/>
          </reference>
          <reference field="14" count="1">
            <x v="3"/>
          </reference>
        </references>
      </pivotArea>
    </format>
    <format dxfId="9222">
      <pivotArea dataOnly="0" labelOnly="1" outline="0" fieldPosition="0">
        <references count="10">
          <reference field="1" count="0" selected="0"/>
          <reference field="3" count="1" selected="0">
            <x v="9"/>
          </reference>
          <reference field="4" count="1" selected="0">
            <x v="6"/>
          </reference>
          <reference field="5" count="1" selected="0">
            <x v="213"/>
          </reference>
          <reference field="6" count="1" selected="0">
            <x v="5"/>
          </reference>
          <reference field="9" count="1" selected="0">
            <x v="10"/>
          </reference>
          <reference field="11" count="1" selected="0">
            <x v="19"/>
          </reference>
          <reference field="12" count="1" selected="0">
            <x v="8"/>
          </reference>
          <reference field="13" count="1" selected="0">
            <x v="3"/>
          </reference>
          <reference field="14" count="1">
            <x v="17"/>
          </reference>
        </references>
      </pivotArea>
    </format>
    <format dxfId="9221">
      <pivotArea dataOnly="0" labelOnly="1" outline="0" fieldPosition="0">
        <references count="7">
          <reference field="1" count="0" selected="0"/>
          <reference field="3" count="1" selected="0">
            <x v="2"/>
          </reference>
          <reference field="4" count="1" selected="0">
            <x v="1"/>
          </reference>
          <reference field="5" count="1" selected="0">
            <x v="341"/>
          </reference>
          <reference field="6" count="1" selected="0">
            <x v="2"/>
          </reference>
          <reference field="9" count="1" selected="0">
            <x v="4"/>
          </reference>
          <reference field="11" count="1">
            <x v="43"/>
          </reference>
        </references>
      </pivotArea>
    </format>
    <format dxfId="9220">
      <pivotArea dataOnly="0" labelOnly="1" outline="0" fieldPosition="0">
        <references count="7">
          <reference field="1" count="0" selected="0"/>
          <reference field="3" count="1" selected="0">
            <x v="3"/>
          </reference>
          <reference field="4" count="1" selected="0">
            <x v="1"/>
          </reference>
          <reference field="5" count="1" selected="0">
            <x v="195"/>
          </reference>
          <reference field="6" count="1" selected="0">
            <x v="2"/>
          </reference>
          <reference field="9" count="1" selected="0">
            <x v="10"/>
          </reference>
          <reference field="11" count="1">
            <x v="13"/>
          </reference>
        </references>
      </pivotArea>
    </format>
    <format dxfId="9219">
      <pivotArea dataOnly="0" labelOnly="1" outline="0" fieldPosition="0">
        <references count="7">
          <reference field="1" count="0" selected="0"/>
          <reference field="3" count="1" selected="0">
            <x v="3"/>
          </reference>
          <reference field="4" count="1" selected="0">
            <x v="1"/>
          </reference>
          <reference field="5" count="1" selected="0">
            <x v="198"/>
          </reference>
          <reference field="6" count="1" selected="0">
            <x v="2"/>
          </reference>
          <reference field="9" count="1" selected="0">
            <x v="10"/>
          </reference>
          <reference field="11" count="1">
            <x v="14"/>
          </reference>
        </references>
      </pivotArea>
    </format>
    <format dxfId="9218">
      <pivotArea dataOnly="0" labelOnly="1" outline="0" fieldPosition="0">
        <references count="7">
          <reference field="1" count="0" selected="0"/>
          <reference field="3" count="1" selected="0">
            <x v="4"/>
          </reference>
          <reference field="4" count="1" selected="0">
            <x v="1"/>
          </reference>
          <reference field="5" count="1" selected="0">
            <x v="98"/>
          </reference>
          <reference field="6" count="1" selected="0">
            <x v="2"/>
          </reference>
          <reference field="9" count="1" selected="0">
            <x v="10"/>
          </reference>
          <reference field="11" count="1">
            <x v="14"/>
          </reference>
        </references>
      </pivotArea>
    </format>
    <format dxfId="9217">
      <pivotArea dataOnly="0" labelOnly="1" outline="0" fieldPosition="0">
        <references count="7">
          <reference field="1" count="0" selected="0"/>
          <reference field="3" count="1" selected="0">
            <x v="4"/>
          </reference>
          <reference field="4" count="1" selected="0">
            <x v="1"/>
          </reference>
          <reference field="5" count="1" selected="0">
            <x v="101"/>
          </reference>
          <reference field="6" count="1" selected="0">
            <x v="2"/>
          </reference>
          <reference field="9" count="1" selected="0">
            <x v="10"/>
          </reference>
          <reference field="11" count="1">
            <x v="11"/>
          </reference>
        </references>
      </pivotArea>
    </format>
    <format dxfId="9216">
      <pivotArea dataOnly="0" labelOnly="1" outline="0" fieldPosition="0">
        <references count="7">
          <reference field="1" count="0" selected="0"/>
          <reference field="3" count="1" selected="0">
            <x v="4"/>
          </reference>
          <reference field="4" count="1" selected="0">
            <x v="1"/>
          </reference>
          <reference field="5" count="1" selected="0">
            <x v="112"/>
          </reference>
          <reference field="6" count="1" selected="0">
            <x v="2"/>
          </reference>
          <reference field="9" count="1" selected="0">
            <x v="10"/>
          </reference>
          <reference field="11" count="1">
            <x v="33"/>
          </reference>
        </references>
      </pivotArea>
    </format>
    <format dxfId="9215">
      <pivotArea dataOnly="0" labelOnly="1" outline="0" fieldPosition="0">
        <references count="7">
          <reference field="1" count="0" selected="0"/>
          <reference field="3" count="1" selected="0">
            <x v="4"/>
          </reference>
          <reference field="4" count="1" selected="0">
            <x v="1"/>
          </reference>
          <reference field="5" count="1" selected="0">
            <x v="215"/>
          </reference>
          <reference field="6" count="1" selected="0">
            <x v="2"/>
          </reference>
          <reference field="9" count="1" selected="0">
            <x v="4"/>
          </reference>
          <reference field="11" count="1">
            <x v="53"/>
          </reference>
        </references>
      </pivotArea>
    </format>
    <format dxfId="9214">
      <pivotArea dataOnly="0" labelOnly="1" outline="0" fieldPosition="0">
        <references count="7">
          <reference field="1" count="0" selected="0"/>
          <reference field="3" count="1" selected="0">
            <x v="4"/>
          </reference>
          <reference field="4" count="1" selected="0">
            <x v="1"/>
          </reference>
          <reference field="5" count="1" selected="0">
            <x v="330"/>
          </reference>
          <reference field="6" count="1" selected="0">
            <x v="2"/>
          </reference>
          <reference field="9" count="1" selected="0">
            <x v="10"/>
          </reference>
          <reference field="11" count="1">
            <x v="18"/>
          </reference>
        </references>
      </pivotArea>
    </format>
    <format dxfId="9213">
      <pivotArea dataOnly="0" labelOnly="1" outline="0" fieldPosition="0">
        <references count="7">
          <reference field="1" count="0" selected="0"/>
          <reference field="3" count="1" selected="0">
            <x v="4"/>
          </reference>
          <reference field="4" count="1" selected="0">
            <x v="1"/>
          </reference>
          <reference field="5" count="1" selected="0">
            <x v="346"/>
          </reference>
          <reference field="6" count="1" selected="0">
            <x v="2"/>
          </reference>
          <reference field="9" count="1" selected="0">
            <x v="10"/>
          </reference>
          <reference field="11" count="1">
            <x v="14"/>
          </reference>
        </references>
      </pivotArea>
    </format>
    <format dxfId="9212">
      <pivotArea dataOnly="0" labelOnly="1" outline="0" fieldPosition="0">
        <references count="7">
          <reference field="1" count="0" selected="0"/>
          <reference field="3" count="1" selected="0">
            <x v="6"/>
          </reference>
          <reference field="4" count="1" selected="0">
            <x v="0"/>
          </reference>
          <reference field="5" count="1" selected="0">
            <x v="138"/>
          </reference>
          <reference field="6" count="1" selected="0">
            <x v="9"/>
          </reference>
          <reference field="9" count="1" selected="0">
            <x v="10"/>
          </reference>
          <reference field="11" count="1">
            <x v="7"/>
          </reference>
        </references>
      </pivotArea>
    </format>
    <format dxfId="9211">
      <pivotArea dataOnly="0" labelOnly="1" outline="0" fieldPosition="0">
        <references count="7">
          <reference field="1" count="0" selected="0"/>
          <reference field="3" count="1" selected="0">
            <x v="6"/>
          </reference>
          <reference field="4" count="1" selected="0">
            <x v="0"/>
          </reference>
          <reference field="5" count="1" selected="0">
            <x v="147"/>
          </reference>
          <reference field="6" count="1" selected="0">
            <x v="9"/>
          </reference>
          <reference field="9" count="1" selected="0">
            <x v="10"/>
          </reference>
          <reference field="11" count="1">
            <x v="14"/>
          </reference>
        </references>
      </pivotArea>
    </format>
    <format dxfId="9210">
      <pivotArea dataOnly="0" labelOnly="1" outline="0" fieldPosition="0">
        <references count="7">
          <reference field="1" count="0" selected="0"/>
          <reference field="3" count="1" selected="0">
            <x v="6"/>
          </reference>
          <reference field="4" count="1" selected="0">
            <x v="0"/>
          </reference>
          <reference field="5" count="1" selected="0">
            <x v="160"/>
          </reference>
          <reference field="6" count="1" selected="0">
            <x v="9"/>
          </reference>
          <reference field="9" count="1" selected="0">
            <x v="10"/>
          </reference>
          <reference field="11" count="1">
            <x v="40"/>
          </reference>
        </references>
      </pivotArea>
    </format>
    <format dxfId="9209">
      <pivotArea dataOnly="0" labelOnly="1" outline="0" fieldPosition="0">
        <references count="7">
          <reference field="1" count="0" selected="0"/>
          <reference field="3" count="1" selected="0">
            <x v="6"/>
          </reference>
          <reference field="4" count="1" selected="0">
            <x v="0"/>
          </reference>
          <reference field="5" count="1" selected="0">
            <x v="166"/>
          </reference>
          <reference field="6" count="1" selected="0">
            <x v="9"/>
          </reference>
          <reference field="9" count="1" selected="0">
            <x v="10"/>
          </reference>
          <reference field="11" count="1">
            <x v="17"/>
          </reference>
        </references>
      </pivotArea>
    </format>
    <format dxfId="9208">
      <pivotArea dataOnly="0" labelOnly="1" outline="0" fieldPosition="0">
        <references count="7">
          <reference field="1" count="0" selected="0"/>
          <reference field="3" count="1" selected="0">
            <x v="6"/>
          </reference>
          <reference field="4" count="1" selected="0">
            <x v="0"/>
          </reference>
          <reference field="5" count="1" selected="0">
            <x v="173"/>
          </reference>
          <reference field="6" count="1" selected="0">
            <x v="9"/>
          </reference>
          <reference field="9" count="1" selected="0">
            <x v="10"/>
          </reference>
          <reference field="11" count="1">
            <x v="45"/>
          </reference>
        </references>
      </pivotArea>
    </format>
    <format dxfId="9207">
      <pivotArea dataOnly="0" labelOnly="1" outline="0" fieldPosition="0">
        <references count="7">
          <reference field="1" count="0" selected="0"/>
          <reference field="3" count="1" selected="0">
            <x v="6"/>
          </reference>
          <reference field="4" count="1" selected="0">
            <x v="0"/>
          </reference>
          <reference field="5" count="1" selected="0">
            <x v="176"/>
          </reference>
          <reference field="6" count="1" selected="0">
            <x v="9"/>
          </reference>
          <reference field="9" count="1" selected="0">
            <x v="10"/>
          </reference>
          <reference field="11" count="1">
            <x v="14"/>
          </reference>
        </references>
      </pivotArea>
    </format>
    <format dxfId="9206">
      <pivotArea dataOnly="0" labelOnly="1" outline="0" fieldPosition="0">
        <references count="7">
          <reference field="1" count="0" selected="0"/>
          <reference field="3" count="1" selected="0">
            <x v="6"/>
          </reference>
          <reference field="4" count="1" selected="0">
            <x v="0"/>
          </reference>
          <reference field="5" count="1" selected="0">
            <x v="183"/>
          </reference>
          <reference field="6" count="1" selected="0">
            <x v="9"/>
          </reference>
          <reference field="9" count="1" selected="0">
            <x v="10"/>
          </reference>
          <reference field="11" count="1">
            <x v="57"/>
          </reference>
        </references>
      </pivotArea>
    </format>
    <format dxfId="9205">
      <pivotArea dataOnly="0" labelOnly="1" outline="0" fieldPosition="0">
        <references count="7">
          <reference field="1" count="0" selected="0"/>
          <reference field="3" count="1" selected="0">
            <x v="6"/>
          </reference>
          <reference field="4" count="1" selected="0">
            <x v="0"/>
          </reference>
          <reference field="5" count="1" selected="0">
            <x v="188"/>
          </reference>
          <reference field="6" count="1" selected="0">
            <x v="9"/>
          </reference>
          <reference field="9" count="1" selected="0">
            <x v="10"/>
          </reference>
          <reference field="11" count="1">
            <x v="41"/>
          </reference>
        </references>
      </pivotArea>
    </format>
    <format dxfId="9204">
      <pivotArea dataOnly="0" labelOnly="1" outline="0" fieldPosition="0">
        <references count="7">
          <reference field="1" count="0" selected="0"/>
          <reference field="3" count="1" selected="0">
            <x v="6"/>
          </reference>
          <reference field="4" count="1" selected="0">
            <x v="0"/>
          </reference>
          <reference field="5" count="1" selected="0">
            <x v="191"/>
          </reference>
          <reference field="6" count="1" selected="0">
            <x v="9"/>
          </reference>
          <reference field="9" count="1" selected="0">
            <x v="10"/>
          </reference>
          <reference field="11" count="1">
            <x v="54"/>
          </reference>
        </references>
      </pivotArea>
    </format>
    <format dxfId="9203">
      <pivotArea dataOnly="0" labelOnly="1" outline="0" fieldPosition="0">
        <references count="7">
          <reference field="1" count="0" selected="0"/>
          <reference field="3" count="1" selected="0">
            <x v="6"/>
          </reference>
          <reference field="4" count="1" selected="0">
            <x v="0"/>
          </reference>
          <reference field="5" count="1" selected="0">
            <x v="336"/>
          </reference>
          <reference field="6" count="1" selected="0">
            <x v="9"/>
          </reference>
          <reference field="9" count="1" selected="0">
            <x v="10"/>
          </reference>
          <reference field="11" count="1">
            <x v="14"/>
          </reference>
        </references>
      </pivotArea>
    </format>
    <format dxfId="9202">
      <pivotArea dataOnly="0" labelOnly="1" outline="0" fieldPosition="0">
        <references count="7">
          <reference field="1" count="0" selected="0"/>
          <reference field="3" count="1" selected="0">
            <x v="8"/>
          </reference>
          <reference field="4" count="1" selected="0">
            <x v="3"/>
          </reference>
          <reference field="5" count="1" selected="0">
            <x v="134"/>
          </reference>
          <reference field="6" count="1" selected="0">
            <x v="3"/>
          </reference>
          <reference field="9" count="1" selected="0">
            <x v="10"/>
          </reference>
          <reference field="11" count="1">
            <x v="14"/>
          </reference>
        </references>
      </pivotArea>
    </format>
    <format dxfId="9201">
      <pivotArea dataOnly="0" labelOnly="1" outline="0" fieldPosition="0">
        <references count="7">
          <reference field="1" count="0" selected="0"/>
          <reference field="3" count="1" selected="0">
            <x v="8"/>
          </reference>
          <reference field="4" count="1" selected="0">
            <x v="3"/>
          </reference>
          <reference field="5" count="1" selected="0">
            <x v="137"/>
          </reference>
          <reference field="6" count="1" selected="0">
            <x v="3"/>
          </reference>
          <reference field="9" count="1" selected="0">
            <x v="10"/>
          </reference>
          <reference field="11" count="1">
            <x v="25"/>
          </reference>
        </references>
      </pivotArea>
    </format>
    <format dxfId="9200">
      <pivotArea dataOnly="0" labelOnly="1" outline="0" fieldPosition="0">
        <references count="7">
          <reference field="1" count="0" selected="0"/>
          <reference field="3" count="1" selected="0">
            <x v="9"/>
          </reference>
          <reference field="4" count="1" selected="0">
            <x v="6"/>
          </reference>
          <reference field="5" count="1" selected="0">
            <x v="163"/>
          </reference>
          <reference field="6" count="1" selected="0">
            <x v="5"/>
          </reference>
          <reference field="9" count="1" selected="0">
            <x v="7"/>
          </reference>
          <reference field="11" count="1">
            <x v="51"/>
          </reference>
        </references>
      </pivotArea>
    </format>
    <format dxfId="9199">
      <pivotArea dataOnly="0" labelOnly="1" outline="0" fieldPosition="0">
        <references count="7">
          <reference field="1" count="0" selected="0"/>
          <reference field="3" count="1" selected="0">
            <x v="9"/>
          </reference>
          <reference field="4" count="1" selected="0">
            <x v="6"/>
          </reference>
          <reference field="5" count="1" selected="0">
            <x v="213"/>
          </reference>
          <reference field="6" count="1" selected="0">
            <x v="5"/>
          </reference>
          <reference field="9" count="1" selected="0">
            <x v="10"/>
          </reference>
          <reference field="11" count="1">
            <x v="19"/>
          </reference>
        </references>
      </pivotArea>
    </format>
    <format dxfId="9198">
      <pivotArea dataOnly="0" labelOnly="1" outline="0" fieldPosition="0">
        <references count="8">
          <reference field="1" count="0" selected="0"/>
          <reference field="3" count="1" selected="0">
            <x v="2"/>
          </reference>
          <reference field="4" count="1" selected="0">
            <x v="1"/>
          </reference>
          <reference field="5" count="1" selected="0">
            <x v="341"/>
          </reference>
          <reference field="6" count="1" selected="0">
            <x v="2"/>
          </reference>
          <reference field="9" count="1" selected="0">
            <x v="4"/>
          </reference>
          <reference field="11" count="1" selected="0">
            <x v="43"/>
          </reference>
          <reference field="12" count="1">
            <x v="30"/>
          </reference>
        </references>
      </pivotArea>
    </format>
    <format dxfId="9197">
      <pivotArea dataOnly="0" labelOnly="1" outline="0" fieldPosition="0">
        <references count="8">
          <reference field="1" count="0" selected="0"/>
          <reference field="3" count="1" selected="0">
            <x v="3"/>
          </reference>
          <reference field="4" count="1" selected="0">
            <x v="1"/>
          </reference>
          <reference field="5" count="1" selected="0">
            <x v="195"/>
          </reference>
          <reference field="6" count="1" selected="0">
            <x v="2"/>
          </reference>
          <reference field="9" count="1" selected="0">
            <x v="10"/>
          </reference>
          <reference field="11" count="1" selected="0">
            <x v="13"/>
          </reference>
          <reference field="12" count="1">
            <x v="14"/>
          </reference>
        </references>
      </pivotArea>
    </format>
    <format dxfId="9196">
      <pivotArea dataOnly="0" labelOnly="1" outline="0" fieldPosition="0">
        <references count="8">
          <reference field="1" count="0" selected="0"/>
          <reference field="3" count="1" selected="0">
            <x v="3"/>
          </reference>
          <reference field="4" count="1" selected="0">
            <x v="1"/>
          </reference>
          <reference field="5" count="1" selected="0">
            <x v="198"/>
          </reference>
          <reference field="6" count="1" selected="0">
            <x v="2"/>
          </reference>
          <reference field="9" count="1" selected="0">
            <x v="10"/>
          </reference>
          <reference field="11" count="1" selected="0">
            <x v="14"/>
          </reference>
          <reference field="12" count="1">
            <x v="23"/>
          </reference>
        </references>
      </pivotArea>
    </format>
    <format dxfId="9195">
      <pivotArea dataOnly="0" labelOnly="1" outline="0" fieldPosition="0">
        <references count="8">
          <reference field="1" count="0" selected="0"/>
          <reference field="3" count="1" selected="0">
            <x v="4"/>
          </reference>
          <reference field="4" count="1" selected="0">
            <x v="1"/>
          </reference>
          <reference field="5" count="1" selected="0">
            <x v="98"/>
          </reference>
          <reference field="6" count="1" selected="0">
            <x v="2"/>
          </reference>
          <reference field="9" count="1" selected="0">
            <x v="10"/>
          </reference>
          <reference field="11" count="1" selected="0">
            <x v="14"/>
          </reference>
          <reference field="12" count="1">
            <x v="5"/>
          </reference>
        </references>
      </pivotArea>
    </format>
    <format dxfId="9194">
      <pivotArea dataOnly="0" labelOnly="1" outline="0" fieldPosition="0">
        <references count="8">
          <reference field="1" count="0" selected="0"/>
          <reference field="3" count="1" selected="0">
            <x v="4"/>
          </reference>
          <reference field="4" count="1" selected="0">
            <x v="1"/>
          </reference>
          <reference field="5" count="1" selected="0">
            <x v="112"/>
          </reference>
          <reference field="6" count="1" selected="0">
            <x v="2"/>
          </reference>
          <reference field="9" count="1" selected="0">
            <x v="10"/>
          </reference>
          <reference field="11" count="1" selected="0">
            <x v="33"/>
          </reference>
          <reference field="12" count="1">
            <x v="8"/>
          </reference>
        </references>
      </pivotArea>
    </format>
    <format dxfId="9193">
      <pivotArea dataOnly="0" labelOnly="1" outline="0" fieldPosition="0">
        <references count="8">
          <reference field="1" count="0" selected="0"/>
          <reference field="3" count="1" selected="0">
            <x v="4"/>
          </reference>
          <reference field="4" count="1" selected="0">
            <x v="1"/>
          </reference>
          <reference field="5" count="1" selected="0">
            <x v="346"/>
          </reference>
          <reference field="6" count="1" selected="0">
            <x v="2"/>
          </reference>
          <reference field="9" count="1" selected="0">
            <x v="10"/>
          </reference>
          <reference field="11" count="1" selected="0">
            <x v="14"/>
          </reference>
          <reference field="12" count="1">
            <x v="1"/>
          </reference>
        </references>
      </pivotArea>
    </format>
    <format dxfId="9192">
      <pivotArea dataOnly="0" labelOnly="1" outline="0" fieldPosition="0">
        <references count="8">
          <reference field="1" count="0" selected="0"/>
          <reference field="3" count="1" selected="0">
            <x v="6"/>
          </reference>
          <reference field="4" count="1" selected="0">
            <x v="0"/>
          </reference>
          <reference field="5" count="1" selected="0">
            <x v="138"/>
          </reference>
          <reference field="6" count="1" selected="0">
            <x v="9"/>
          </reference>
          <reference field="9" count="1" selected="0">
            <x v="10"/>
          </reference>
          <reference field="11" count="1" selected="0">
            <x v="7"/>
          </reference>
          <reference field="12" count="1">
            <x v="3"/>
          </reference>
        </references>
      </pivotArea>
    </format>
    <format dxfId="9191">
      <pivotArea dataOnly="0" labelOnly="1" outline="0" fieldPosition="0">
        <references count="8">
          <reference field="1" count="0" selected="0"/>
          <reference field="3" count="1" selected="0">
            <x v="6"/>
          </reference>
          <reference field="4" count="1" selected="0">
            <x v="0"/>
          </reference>
          <reference field="5" count="1" selected="0">
            <x v="147"/>
          </reference>
          <reference field="6" count="1" selected="0">
            <x v="9"/>
          </reference>
          <reference field="9" count="1" selected="0">
            <x v="10"/>
          </reference>
          <reference field="11" count="1" selected="0">
            <x v="14"/>
          </reference>
          <reference field="12" count="1">
            <x v="17"/>
          </reference>
        </references>
      </pivotArea>
    </format>
    <format dxfId="9190">
      <pivotArea dataOnly="0" labelOnly="1" outline="0" fieldPosition="0">
        <references count="8">
          <reference field="1" count="0" selected="0"/>
          <reference field="3" count="1" selected="0">
            <x v="6"/>
          </reference>
          <reference field="4" count="1" selected="0">
            <x v="0"/>
          </reference>
          <reference field="5" count="1" selected="0">
            <x v="160"/>
          </reference>
          <reference field="6" count="1" selected="0">
            <x v="9"/>
          </reference>
          <reference field="9" count="1" selected="0">
            <x v="10"/>
          </reference>
          <reference field="11" count="1" selected="0">
            <x v="40"/>
          </reference>
          <reference field="12" count="1">
            <x v="8"/>
          </reference>
        </references>
      </pivotArea>
    </format>
    <format dxfId="9189">
      <pivotArea dataOnly="0" labelOnly="1" outline="0" fieldPosition="0">
        <references count="8">
          <reference field="1" count="0" selected="0"/>
          <reference field="3" count="1" selected="0">
            <x v="6"/>
          </reference>
          <reference field="4" count="1" selected="0">
            <x v="0"/>
          </reference>
          <reference field="5" count="1" selected="0">
            <x v="173"/>
          </reference>
          <reference field="6" count="1" selected="0">
            <x v="9"/>
          </reference>
          <reference field="9" count="1" selected="0">
            <x v="10"/>
          </reference>
          <reference field="11" count="1" selected="0">
            <x v="45"/>
          </reference>
          <reference field="12" count="1">
            <x v="6"/>
          </reference>
        </references>
      </pivotArea>
    </format>
    <format dxfId="9188">
      <pivotArea dataOnly="0" labelOnly="1" outline="0" fieldPosition="0">
        <references count="8">
          <reference field="1" count="0" selected="0"/>
          <reference field="3" count="1" selected="0">
            <x v="6"/>
          </reference>
          <reference field="4" count="1" selected="0">
            <x v="0"/>
          </reference>
          <reference field="5" count="1" selected="0">
            <x v="176"/>
          </reference>
          <reference field="6" count="1" selected="0">
            <x v="9"/>
          </reference>
          <reference field="9" count="1" selected="0">
            <x v="10"/>
          </reference>
          <reference field="11" count="1" selected="0">
            <x v="14"/>
          </reference>
          <reference field="12" count="1">
            <x v="3"/>
          </reference>
        </references>
      </pivotArea>
    </format>
    <format dxfId="9187">
      <pivotArea dataOnly="0" labelOnly="1" outline="0" fieldPosition="0">
        <references count="8">
          <reference field="1" count="0" selected="0"/>
          <reference field="3" count="1" selected="0">
            <x v="6"/>
          </reference>
          <reference field="4" count="1" selected="0">
            <x v="0"/>
          </reference>
          <reference field="5" count="1" selected="0">
            <x v="183"/>
          </reference>
          <reference field="6" count="1" selected="0">
            <x v="9"/>
          </reference>
          <reference field="9" count="1" selected="0">
            <x v="10"/>
          </reference>
          <reference field="11" count="1" selected="0">
            <x v="57"/>
          </reference>
          <reference field="12" count="1">
            <x v="1"/>
          </reference>
        </references>
      </pivotArea>
    </format>
    <format dxfId="9186">
      <pivotArea dataOnly="0" labelOnly="1" outline="0" fieldPosition="0">
        <references count="8">
          <reference field="1" count="0" selected="0"/>
          <reference field="3" count="1" selected="0">
            <x v="6"/>
          </reference>
          <reference field="4" count="1" selected="0">
            <x v="0"/>
          </reference>
          <reference field="5" count="1" selected="0">
            <x v="188"/>
          </reference>
          <reference field="6" count="1" selected="0">
            <x v="9"/>
          </reference>
          <reference field="9" count="1" selected="0">
            <x v="10"/>
          </reference>
          <reference field="11" count="1" selected="0">
            <x v="41"/>
          </reference>
          <reference field="12" count="1">
            <x v="8"/>
          </reference>
        </references>
      </pivotArea>
    </format>
    <format dxfId="9185">
      <pivotArea dataOnly="0" labelOnly="1" outline="0" fieldPosition="0">
        <references count="8">
          <reference field="1" count="0" selected="0"/>
          <reference field="3" count="1" selected="0">
            <x v="6"/>
          </reference>
          <reference field="4" count="1" selected="0">
            <x v="0"/>
          </reference>
          <reference field="5" count="1" selected="0">
            <x v="191"/>
          </reference>
          <reference field="6" count="1" selected="0">
            <x v="9"/>
          </reference>
          <reference field="9" count="1" selected="0">
            <x v="10"/>
          </reference>
          <reference field="11" count="1" selected="0">
            <x v="54"/>
          </reference>
          <reference field="12" count="1">
            <x v="4"/>
          </reference>
        </references>
      </pivotArea>
    </format>
    <format dxfId="9184">
      <pivotArea dataOnly="0" labelOnly="1" outline="0" fieldPosition="0">
        <references count="8">
          <reference field="1" count="0" selected="0"/>
          <reference field="3" count="1" selected="0">
            <x v="6"/>
          </reference>
          <reference field="4" count="1" selected="0">
            <x v="0"/>
          </reference>
          <reference field="5" count="1" selected="0">
            <x v="336"/>
          </reference>
          <reference field="6" count="1" selected="0">
            <x v="9"/>
          </reference>
          <reference field="9" count="1" selected="0">
            <x v="10"/>
          </reference>
          <reference field="11" count="1" selected="0">
            <x v="14"/>
          </reference>
          <reference field="12" count="1">
            <x v="9"/>
          </reference>
        </references>
      </pivotArea>
    </format>
    <format dxfId="9183">
      <pivotArea dataOnly="0" labelOnly="1" outline="0" fieldPosition="0">
        <references count="8">
          <reference field="1" count="0" selected="0"/>
          <reference field="3" count="1" selected="0">
            <x v="8"/>
          </reference>
          <reference field="4" count="1" selected="0">
            <x v="3"/>
          </reference>
          <reference field="5" count="1" selected="0">
            <x v="137"/>
          </reference>
          <reference field="6" count="1" selected="0">
            <x v="3"/>
          </reference>
          <reference field="9" count="1" selected="0">
            <x v="10"/>
          </reference>
          <reference field="11" count="1" selected="0">
            <x v="25"/>
          </reference>
          <reference field="12" count="1">
            <x v="8"/>
          </reference>
        </references>
      </pivotArea>
    </format>
    <format dxfId="9182">
      <pivotArea dataOnly="0" labelOnly="1" outline="0" fieldPosition="0">
        <references count="9">
          <reference field="1" count="0" selected="0"/>
          <reference field="3" count="1" selected="0">
            <x v="2"/>
          </reference>
          <reference field="4" count="1" selected="0">
            <x v="1"/>
          </reference>
          <reference field="5" count="1" selected="0">
            <x v="341"/>
          </reference>
          <reference field="6" count="1" selected="0">
            <x v="2"/>
          </reference>
          <reference field="9" count="1" selected="0">
            <x v="4"/>
          </reference>
          <reference field="11" count="1" selected="0">
            <x v="43"/>
          </reference>
          <reference field="12" count="1" selected="0">
            <x v="30"/>
          </reference>
          <reference field="13" count="1">
            <x v="6"/>
          </reference>
        </references>
      </pivotArea>
    </format>
    <format dxfId="9181">
      <pivotArea dataOnly="0" labelOnly="1" outline="0" fieldPosition="0">
        <references count="9">
          <reference field="1" count="0" selected="0"/>
          <reference field="3" count="1" selected="0">
            <x v="3"/>
          </reference>
          <reference field="4" count="1" selected="0">
            <x v="1"/>
          </reference>
          <reference field="5" count="1" selected="0">
            <x v="195"/>
          </reference>
          <reference field="6" count="1" selected="0">
            <x v="2"/>
          </reference>
          <reference field="9" count="1" selected="0">
            <x v="10"/>
          </reference>
          <reference field="11" count="1" selected="0">
            <x v="13"/>
          </reference>
          <reference field="12" count="1" selected="0">
            <x v="14"/>
          </reference>
          <reference field="13" count="1">
            <x v="3"/>
          </reference>
        </references>
      </pivotArea>
    </format>
    <format dxfId="9180">
      <pivotArea dataOnly="0" labelOnly="1" outline="0" fieldPosition="0">
        <references count="9">
          <reference field="1" count="0" selected="0"/>
          <reference field="3" count="1" selected="0">
            <x v="3"/>
          </reference>
          <reference field="4" count="1" selected="0">
            <x v="1"/>
          </reference>
          <reference field="5" count="1" selected="0">
            <x v="198"/>
          </reference>
          <reference field="6" count="1" selected="0">
            <x v="2"/>
          </reference>
          <reference field="9" count="1" selected="0">
            <x v="10"/>
          </reference>
          <reference field="11" count="1" selected="0">
            <x v="14"/>
          </reference>
          <reference field="12" count="1" selected="0">
            <x v="23"/>
          </reference>
          <reference field="13" count="1">
            <x v="2"/>
          </reference>
        </references>
      </pivotArea>
    </format>
    <format dxfId="9179">
      <pivotArea dataOnly="0" labelOnly="1" outline="0" fieldPosition="0">
        <references count="9">
          <reference field="1" count="0" selected="0"/>
          <reference field="3" count="1" selected="0">
            <x v="8"/>
          </reference>
          <reference field="4" count="1" selected="0">
            <x v="3"/>
          </reference>
          <reference field="5" count="1" selected="0">
            <x v="137"/>
          </reference>
          <reference field="6" count="1" selected="0">
            <x v="3"/>
          </reference>
          <reference field="9" count="1" selected="0">
            <x v="10"/>
          </reference>
          <reference field="11" count="1" selected="0">
            <x v="25"/>
          </reference>
          <reference field="12" count="1" selected="0">
            <x v="8"/>
          </reference>
          <reference field="13" count="1">
            <x v="3"/>
          </reference>
        </references>
      </pivotArea>
    </format>
    <format dxfId="9178">
      <pivotArea dataOnly="0" labelOnly="1" outline="0" fieldPosition="0">
        <references count="10">
          <reference field="1" count="0" selected="0"/>
          <reference field="3" count="1" selected="0">
            <x v="2"/>
          </reference>
          <reference field="4" count="1" selected="0">
            <x v="1"/>
          </reference>
          <reference field="5" count="1" selected="0">
            <x v="341"/>
          </reference>
          <reference field="6" count="1" selected="0">
            <x v="2"/>
          </reference>
          <reference field="9" count="1" selected="0">
            <x v="4"/>
          </reference>
          <reference field="11" count="1" selected="0">
            <x v="43"/>
          </reference>
          <reference field="12" count="1" selected="0">
            <x v="30"/>
          </reference>
          <reference field="13" count="1" selected="0">
            <x v="6"/>
          </reference>
          <reference field="14" count="1">
            <x v="17"/>
          </reference>
        </references>
      </pivotArea>
    </format>
    <format dxfId="9177">
      <pivotArea dataOnly="0" labelOnly="1" outline="0" fieldPosition="0">
        <references count="10">
          <reference field="1" count="0" selected="0"/>
          <reference field="3" count="1" selected="0">
            <x v="3"/>
          </reference>
          <reference field="4" count="1" selected="0">
            <x v="1"/>
          </reference>
          <reference field="5" count="1" selected="0">
            <x v="195"/>
          </reference>
          <reference field="6" count="1" selected="0">
            <x v="2"/>
          </reference>
          <reference field="9" count="1" selected="0">
            <x v="10"/>
          </reference>
          <reference field="11" count="1" selected="0">
            <x v="13"/>
          </reference>
          <reference field="12" count="1" selected="0">
            <x v="14"/>
          </reference>
          <reference field="13" count="1" selected="0">
            <x v="3"/>
          </reference>
          <reference field="14" count="1">
            <x v="17"/>
          </reference>
        </references>
      </pivotArea>
    </format>
    <format dxfId="9176">
      <pivotArea dataOnly="0" labelOnly="1" outline="0" fieldPosition="0">
        <references count="10">
          <reference field="1" count="0" selected="0"/>
          <reference field="3" count="1" selected="0">
            <x v="3"/>
          </reference>
          <reference field="4" count="1" selected="0">
            <x v="1"/>
          </reference>
          <reference field="5" count="1" selected="0">
            <x v="198"/>
          </reference>
          <reference field="6" count="1" selected="0">
            <x v="2"/>
          </reference>
          <reference field="9" count="1" selected="0">
            <x v="10"/>
          </reference>
          <reference field="11" count="1" selected="0">
            <x v="14"/>
          </reference>
          <reference field="12" count="1" selected="0">
            <x v="23"/>
          </reference>
          <reference field="13" count="1" selected="0">
            <x v="2"/>
          </reference>
          <reference field="14" count="1">
            <x v="17"/>
          </reference>
        </references>
      </pivotArea>
    </format>
    <format dxfId="9175">
      <pivotArea dataOnly="0" labelOnly="1" outline="0" fieldPosition="0">
        <references count="10">
          <reference field="1" count="0" selected="0"/>
          <reference field="3" count="1" selected="0">
            <x v="4"/>
          </reference>
          <reference field="4" count="1" selected="0">
            <x v="1"/>
          </reference>
          <reference field="5" count="1" selected="0">
            <x v="98"/>
          </reference>
          <reference field="6" count="1" selected="0">
            <x v="2"/>
          </reference>
          <reference field="9" count="1" selected="0">
            <x v="10"/>
          </reference>
          <reference field="11" count="1" selected="0">
            <x v="14"/>
          </reference>
          <reference field="12" count="1" selected="0">
            <x v="5"/>
          </reference>
          <reference field="13" count="1" selected="0">
            <x v="3"/>
          </reference>
          <reference field="14" count="1">
            <x v="49"/>
          </reference>
        </references>
      </pivotArea>
    </format>
    <format dxfId="9174">
      <pivotArea dataOnly="0" labelOnly="1" outline="0" fieldPosition="0">
        <references count="10">
          <reference field="1" count="0" selected="0"/>
          <reference field="3" count="1" selected="0">
            <x v="4"/>
          </reference>
          <reference field="4" count="1" selected="0">
            <x v="1"/>
          </reference>
          <reference field="5" count="1" selected="0">
            <x v="112"/>
          </reference>
          <reference field="6" count="1" selected="0">
            <x v="2"/>
          </reference>
          <reference field="9" count="1" selected="0">
            <x v="10"/>
          </reference>
          <reference field="11" count="1" selected="0">
            <x v="33"/>
          </reference>
          <reference field="12" count="1" selected="0">
            <x v="8"/>
          </reference>
          <reference field="13" count="1" selected="0">
            <x v="3"/>
          </reference>
          <reference field="14" count="1">
            <x v="43"/>
          </reference>
        </references>
      </pivotArea>
    </format>
    <format dxfId="9173">
      <pivotArea dataOnly="0" labelOnly="1" outline="0" fieldPosition="0">
        <references count="10">
          <reference field="1" count="0" selected="0"/>
          <reference field="3" count="1" selected="0">
            <x v="4"/>
          </reference>
          <reference field="4" count="1" selected="0">
            <x v="1"/>
          </reference>
          <reference field="5" count="1" selected="0">
            <x v="215"/>
          </reference>
          <reference field="6" count="1" selected="0">
            <x v="2"/>
          </reference>
          <reference field="9" count="1" selected="0">
            <x v="4"/>
          </reference>
          <reference field="11" count="1" selected="0">
            <x v="53"/>
          </reference>
          <reference field="12" count="1" selected="0">
            <x v="8"/>
          </reference>
          <reference field="13" count="1" selected="0">
            <x v="3"/>
          </reference>
          <reference field="14" count="1">
            <x v="17"/>
          </reference>
        </references>
      </pivotArea>
    </format>
    <format dxfId="9172">
      <pivotArea dataOnly="0" labelOnly="1" outline="0" fieldPosition="0">
        <references count="10">
          <reference field="1" count="0" selected="0"/>
          <reference field="3" count="1" selected="0">
            <x v="4"/>
          </reference>
          <reference field="4" count="1" selected="0">
            <x v="1"/>
          </reference>
          <reference field="5" count="1" selected="0">
            <x v="330"/>
          </reference>
          <reference field="6" count="1" selected="0">
            <x v="2"/>
          </reference>
          <reference field="9" count="1" selected="0">
            <x v="10"/>
          </reference>
          <reference field="11" count="1" selected="0">
            <x v="18"/>
          </reference>
          <reference field="12" count="1" selected="0">
            <x v="8"/>
          </reference>
          <reference field="13" count="1" selected="0">
            <x v="3"/>
          </reference>
          <reference field="14" count="1">
            <x v="42"/>
          </reference>
        </references>
      </pivotArea>
    </format>
    <format dxfId="9171">
      <pivotArea dataOnly="0" labelOnly="1" outline="0" fieldPosition="0">
        <references count="10">
          <reference field="1" count="0" selected="0"/>
          <reference field="3" count="1" selected="0">
            <x v="4"/>
          </reference>
          <reference field="4" count="1" selected="0">
            <x v="1"/>
          </reference>
          <reference field="5" count="1" selected="0">
            <x v="346"/>
          </reference>
          <reference field="6" count="1" selected="0">
            <x v="2"/>
          </reference>
          <reference field="9" count="1" selected="0">
            <x v="10"/>
          </reference>
          <reference field="11" count="1" selected="0">
            <x v="14"/>
          </reference>
          <reference field="12" count="1" selected="0">
            <x v="1"/>
          </reference>
          <reference field="13" count="1" selected="0">
            <x v="3"/>
          </reference>
          <reference field="14" count="1">
            <x v="17"/>
          </reference>
        </references>
      </pivotArea>
    </format>
    <format dxfId="9170">
      <pivotArea dataOnly="0" labelOnly="1" outline="0" fieldPosition="0">
        <references count="10">
          <reference field="1" count="0" selected="0"/>
          <reference field="3" count="1" selected="0">
            <x v="6"/>
          </reference>
          <reference field="4" count="1" selected="0">
            <x v="0"/>
          </reference>
          <reference field="5" count="1" selected="0">
            <x v="138"/>
          </reference>
          <reference field="6" count="1" selected="0">
            <x v="9"/>
          </reference>
          <reference field="9" count="1" selected="0">
            <x v="10"/>
          </reference>
          <reference field="11" count="1" selected="0">
            <x v="7"/>
          </reference>
          <reference field="12" count="1" selected="0">
            <x v="3"/>
          </reference>
          <reference field="13" count="1" selected="0">
            <x v="3"/>
          </reference>
          <reference field="14" count="1">
            <x v="17"/>
          </reference>
        </references>
      </pivotArea>
    </format>
    <format dxfId="9169">
      <pivotArea dataOnly="0" labelOnly="1" outline="0" fieldPosition="0">
        <references count="10">
          <reference field="1" count="0" selected="0"/>
          <reference field="3" count="1" selected="0">
            <x v="6"/>
          </reference>
          <reference field="4" count="1" selected="0">
            <x v="0"/>
          </reference>
          <reference field="5" count="1" selected="0">
            <x v="147"/>
          </reference>
          <reference field="6" count="1" selected="0">
            <x v="9"/>
          </reference>
          <reference field="9" count="1" selected="0">
            <x v="10"/>
          </reference>
          <reference field="11" count="1" selected="0">
            <x v="14"/>
          </reference>
          <reference field="12" count="1" selected="0">
            <x v="17"/>
          </reference>
          <reference field="13" count="1" selected="0">
            <x v="3"/>
          </reference>
          <reference field="14" count="1">
            <x v="17"/>
          </reference>
        </references>
      </pivotArea>
    </format>
    <format dxfId="9168">
      <pivotArea dataOnly="0" labelOnly="1" outline="0" fieldPosition="0">
        <references count="10">
          <reference field="1" count="0" selected="0"/>
          <reference field="3" count="1" selected="0">
            <x v="6"/>
          </reference>
          <reference field="4" count="1" selected="0">
            <x v="0"/>
          </reference>
          <reference field="5" count="1" selected="0">
            <x v="160"/>
          </reference>
          <reference field="6" count="1" selected="0">
            <x v="9"/>
          </reference>
          <reference field="9" count="1" selected="0">
            <x v="10"/>
          </reference>
          <reference field="11" count="1" selected="0">
            <x v="40"/>
          </reference>
          <reference field="12" count="1" selected="0">
            <x v="8"/>
          </reference>
          <reference field="13" count="1" selected="0">
            <x v="3"/>
          </reference>
          <reference field="14" count="1">
            <x v="44"/>
          </reference>
        </references>
      </pivotArea>
    </format>
    <format dxfId="9167">
      <pivotArea dataOnly="0" labelOnly="1" outline="0" fieldPosition="0">
        <references count="10">
          <reference field="1" count="0" selected="0"/>
          <reference field="3" count="1" selected="0">
            <x v="6"/>
          </reference>
          <reference field="4" count="1" selected="0">
            <x v="0"/>
          </reference>
          <reference field="5" count="1" selected="0">
            <x v="166"/>
          </reference>
          <reference field="6" count="1" selected="0">
            <x v="9"/>
          </reference>
          <reference field="9" count="1" selected="0">
            <x v="10"/>
          </reference>
          <reference field="11" count="1" selected="0">
            <x v="17"/>
          </reference>
          <reference field="12" count="1" selected="0">
            <x v="8"/>
          </reference>
          <reference field="13" count="1" selected="0">
            <x v="3"/>
          </reference>
          <reference field="14" count="1">
            <x v="36"/>
          </reference>
        </references>
      </pivotArea>
    </format>
    <format dxfId="9166">
      <pivotArea dataOnly="0" labelOnly="1" outline="0" fieldPosition="0">
        <references count="10">
          <reference field="1" count="0" selected="0"/>
          <reference field="3" count="1" selected="0">
            <x v="6"/>
          </reference>
          <reference field="4" count="1" selected="0">
            <x v="0"/>
          </reference>
          <reference field="5" count="1" selected="0">
            <x v="173"/>
          </reference>
          <reference field="6" count="1" selected="0">
            <x v="9"/>
          </reference>
          <reference field="9" count="1" selected="0">
            <x v="10"/>
          </reference>
          <reference field="11" count="1" selected="0">
            <x v="45"/>
          </reference>
          <reference field="12" count="1" selected="0">
            <x v="6"/>
          </reference>
          <reference field="13" count="1" selected="0">
            <x v="3"/>
          </reference>
          <reference field="14" count="1">
            <x v="46"/>
          </reference>
        </references>
      </pivotArea>
    </format>
    <format dxfId="9165">
      <pivotArea dataOnly="0" labelOnly="1" outline="0" fieldPosition="0">
        <references count="10">
          <reference field="1" count="0" selected="0"/>
          <reference field="3" count="1" selected="0">
            <x v="6"/>
          </reference>
          <reference field="4" count="1" selected="0">
            <x v="0"/>
          </reference>
          <reference field="5" count="1" selected="0">
            <x v="176"/>
          </reference>
          <reference field="6" count="1" selected="0">
            <x v="9"/>
          </reference>
          <reference field="9" count="1" selected="0">
            <x v="10"/>
          </reference>
          <reference field="11" count="1" selected="0">
            <x v="14"/>
          </reference>
          <reference field="12" count="1" selected="0">
            <x v="3"/>
          </reference>
          <reference field="13" count="1" selected="0">
            <x v="3"/>
          </reference>
          <reference field="14" count="1">
            <x v="17"/>
          </reference>
        </references>
      </pivotArea>
    </format>
    <format dxfId="9164">
      <pivotArea dataOnly="0" labelOnly="1" outline="0" fieldPosition="0">
        <references count="10">
          <reference field="1" count="0" selected="0"/>
          <reference field="3" count="1" selected="0">
            <x v="6"/>
          </reference>
          <reference field="4" count="1" selected="0">
            <x v="0"/>
          </reference>
          <reference field="5" count="1" selected="0">
            <x v="183"/>
          </reference>
          <reference field="6" count="1" selected="0">
            <x v="9"/>
          </reference>
          <reference field="9" count="1" selected="0">
            <x v="10"/>
          </reference>
          <reference field="11" count="1" selected="0">
            <x v="57"/>
          </reference>
          <reference field="12" count="1" selected="0">
            <x v="1"/>
          </reference>
          <reference field="13" count="1" selected="0">
            <x v="3"/>
          </reference>
          <reference field="14" count="1">
            <x v="3"/>
          </reference>
        </references>
      </pivotArea>
    </format>
    <format dxfId="9163">
      <pivotArea dataOnly="0" labelOnly="1" outline="0" fieldPosition="0">
        <references count="10">
          <reference field="1" count="0" selected="0"/>
          <reference field="3" count="1" selected="0">
            <x v="6"/>
          </reference>
          <reference field="4" count="1" selected="0">
            <x v="0"/>
          </reference>
          <reference field="5" count="1" selected="0">
            <x v="188"/>
          </reference>
          <reference field="6" count="1" selected="0">
            <x v="9"/>
          </reference>
          <reference field="9" count="1" selected="0">
            <x v="10"/>
          </reference>
          <reference field="11" count="1" selected="0">
            <x v="41"/>
          </reference>
          <reference field="12" count="1" selected="0">
            <x v="8"/>
          </reference>
          <reference field="13" count="1" selected="0">
            <x v="3"/>
          </reference>
          <reference field="14" count="1">
            <x v="24"/>
          </reference>
        </references>
      </pivotArea>
    </format>
    <format dxfId="9162">
      <pivotArea dataOnly="0" labelOnly="1" outline="0" fieldPosition="0">
        <references count="10">
          <reference field="1" count="0" selected="0"/>
          <reference field="3" count="1" selected="0">
            <x v="6"/>
          </reference>
          <reference field="4" count="1" selected="0">
            <x v="0"/>
          </reference>
          <reference field="5" count="1" selected="0">
            <x v="191"/>
          </reference>
          <reference field="6" count="1" selected="0">
            <x v="9"/>
          </reference>
          <reference field="9" count="1" selected="0">
            <x v="10"/>
          </reference>
          <reference field="11" count="1" selected="0">
            <x v="54"/>
          </reference>
          <reference field="12" count="1" selected="0">
            <x v="4"/>
          </reference>
          <reference field="13" count="1" selected="0">
            <x v="3"/>
          </reference>
          <reference field="14" count="1">
            <x v="13"/>
          </reference>
        </references>
      </pivotArea>
    </format>
    <format dxfId="9161">
      <pivotArea dataOnly="0" labelOnly="1" outline="0" fieldPosition="0">
        <references count="10">
          <reference field="1" count="0" selected="0"/>
          <reference field="3" count="1" selected="0">
            <x v="6"/>
          </reference>
          <reference field="4" count="1" selected="0">
            <x v="0"/>
          </reference>
          <reference field="5" count="1" selected="0">
            <x v="336"/>
          </reference>
          <reference field="6" count="1" selected="0">
            <x v="9"/>
          </reference>
          <reference field="9" count="1" selected="0">
            <x v="10"/>
          </reference>
          <reference field="11" count="1" selected="0">
            <x v="14"/>
          </reference>
          <reference field="12" count="1" selected="0">
            <x v="9"/>
          </reference>
          <reference field="13" count="1" selected="0">
            <x v="3"/>
          </reference>
          <reference field="14" count="1">
            <x v="9"/>
          </reference>
        </references>
      </pivotArea>
    </format>
    <format dxfId="9160">
      <pivotArea dataOnly="0" labelOnly="1" outline="0" fieldPosition="0">
        <references count="10">
          <reference field="1" count="0" selected="0"/>
          <reference field="3" count="1" selected="0">
            <x v="8"/>
          </reference>
          <reference field="4" count="1" selected="0">
            <x v="3"/>
          </reference>
          <reference field="5" count="1" selected="0">
            <x v="137"/>
          </reference>
          <reference field="6" count="1" selected="0">
            <x v="3"/>
          </reference>
          <reference field="9" count="1" selected="0">
            <x v="10"/>
          </reference>
          <reference field="11" count="1" selected="0">
            <x v="25"/>
          </reference>
          <reference field="12" count="1" selected="0">
            <x v="8"/>
          </reference>
          <reference field="13" count="1" selected="0">
            <x v="3"/>
          </reference>
          <reference field="14" count="1">
            <x v="29"/>
          </reference>
        </references>
      </pivotArea>
    </format>
    <format dxfId="9159">
      <pivotArea dataOnly="0" labelOnly="1" outline="0" fieldPosition="0">
        <references count="10">
          <reference field="1" count="0" selected="0"/>
          <reference field="3" count="1" selected="0">
            <x v="9"/>
          </reference>
          <reference field="4" count="1" selected="0">
            <x v="6"/>
          </reference>
          <reference field="5" count="1" selected="0">
            <x v="163"/>
          </reference>
          <reference field="6" count="1" selected="0">
            <x v="5"/>
          </reference>
          <reference field="9" count="1" selected="0">
            <x v="7"/>
          </reference>
          <reference field="11" count="1" selected="0">
            <x v="51"/>
          </reference>
          <reference field="12" count="1" selected="0">
            <x v="8"/>
          </reference>
          <reference field="13" count="1" selected="0">
            <x v="3"/>
          </reference>
          <reference field="14" count="1">
            <x v="3"/>
          </reference>
        </references>
      </pivotArea>
    </format>
    <format dxfId="9158">
      <pivotArea dataOnly="0" labelOnly="1" outline="0" fieldPosition="0">
        <references count="10">
          <reference field="1" count="0" selected="0"/>
          <reference field="3" count="1" selected="0">
            <x v="9"/>
          </reference>
          <reference field="4" count="1" selected="0">
            <x v="6"/>
          </reference>
          <reference field="5" count="1" selected="0">
            <x v="213"/>
          </reference>
          <reference field="6" count="1" selected="0">
            <x v="5"/>
          </reference>
          <reference field="9" count="1" selected="0">
            <x v="10"/>
          </reference>
          <reference field="11" count="1" selected="0">
            <x v="19"/>
          </reference>
          <reference field="12" count="1" selected="0">
            <x v="8"/>
          </reference>
          <reference field="13" count="1" selected="0">
            <x v="3"/>
          </reference>
          <reference field="14" count="1">
            <x v="17"/>
          </reference>
        </references>
      </pivotArea>
    </format>
    <format dxfId="9157">
      <pivotArea dataOnly="0" labelOnly="1" outline="0" fieldPosition="0">
        <references count="7">
          <reference field="1" count="0" selected="0"/>
          <reference field="3" count="1" selected="0">
            <x v="0"/>
          </reference>
          <reference field="4" count="1" selected="0">
            <x v="1"/>
          </reference>
          <reference field="5" count="1" selected="0">
            <x v="344"/>
          </reference>
          <reference field="6" count="1" selected="0">
            <x v="7"/>
          </reference>
          <reference field="9" count="1" selected="0">
            <x v="10"/>
          </reference>
          <reference field="11" count="1">
            <x v="14"/>
          </reference>
        </references>
      </pivotArea>
    </format>
    <format dxfId="9156">
      <pivotArea dataOnly="0" labelOnly="1" outline="0" fieldPosition="0">
        <references count="7">
          <reference field="1" count="0" selected="0"/>
          <reference field="3" count="1" selected="0">
            <x v="3"/>
          </reference>
          <reference field="4" count="1" selected="0">
            <x v="1"/>
          </reference>
          <reference field="5" count="1" selected="0">
            <x v="194"/>
          </reference>
          <reference field="6" count="1" selected="0">
            <x v="2"/>
          </reference>
          <reference field="9" count="1" selected="0">
            <x v="10"/>
          </reference>
          <reference field="11" count="1">
            <x v="3"/>
          </reference>
        </references>
      </pivotArea>
    </format>
    <format dxfId="9155">
      <pivotArea dataOnly="0" labelOnly="1" outline="0" fieldPosition="0">
        <references count="7">
          <reference field="1" count="0" selected="0"/>
          <reference field="3" count="1" selected="0">
            <x v="3"/>
          </reference>
          <reference field="4" count="1" selected="0">
            <x v="1"/>
          </reference>
          <reference field="5" count="1" selected="0">
            <x v="199"/>
          </reference>
          <reference field="6" count="1" selected="0">
            <x v="2"/>
          </reference>
          <reference field="9" count="1" selected="0">
            <x v="10"/>
          </reference>
          <reference field="11" count="1">
            <x v="5"/>
          </reference>
        </references>
      </pivotArea>
    </format>
    <format dxfId="9154">
      <pivotArea dataOnly="0" labelOnly="1" outline="0" fieldPosition="0">
        <references count="7">
          <reference field="1" count="0" selected="0"/>
          <reference field="3" count="1" selected="0">
            <x v="3"/>
          </reference>
          <reference field="4" count="1" selected="0">
            <x v="1"/>
          </reference>
          <reference field="5" count="1" selected="0">
            <x v="202"/>
          </reference>
          <reference field="6" count="1" selected="0">
            <x v="2"/>
          </reference>
          <reference field="9" count="1" selected="0">
            <x v="10"/>
          </reference>
          <reference field="11" count="1">
            <x v="16"/>
          </reference>
        </references>
      </pivotArea>
    </format>
    <format dxfId="9153">
      <pivotArea dataOnly="0" labelOnly="1" outline="0" fieldPosition="0">
        <references count="7">
          <reference field="1" count="0" selected="0"/>
          <reference field="3" count="1" selected="0">
            <x v="4"/>
          </reference>
          <reference field="4" count="1" selected="0">
            <x v="1"/>
          </reference>
          <reference field="5" count="1" selected="0">
            <x v="97"/>
          </reference>
          <reference field="6" count="1" selected="0">
            <x v="2"/>
          </reference>
          <reference field="9" count="1" selected="0">
            <x v="10"/>
          </reference>
          <reference field="11" count="1">
            <x v="14"/>
          </reference>
        </references>
      </pivotArea>
    </format>
    <format dxfId="9152">
      <pivotArea dataOnly="0" labelOnly="1" outline="0" fieldPosition="0">
        <references count="7">
          <reference field="1" count="0" selected="0"/>
          <reference field="3" count="1" selected="0">
            <x v="4"/>
          </reference>
          <reference field="4" count="1" selected="0">
            <x v="1"/>
          </reference>
          <reference field="5" count="1" selected="0">
            <x v="105"/>
          </reference>
          <reference field="6" count="1" selected="0">
            <x v="2"/>
          </reference>
          <reference field="9" count="1" selected="0">
            <x v="2"/>
          </reference>
          <reference field="11" count="1">
            <x v="14"/>
          </reference>
        </references>
      </pivotArea>
    </format>
    <format dxfId="9151">
      <pivotArea dataOnly="0" labelOnly="1" outline="0" fieldPosition="0">
        <references count="7">
          <reference field="1" count="0" selected="0"/>
          <reference field="3" count="1" selected="0">
            <x v="4"/>
          </reference>
          <reference field="4" count="1" selected="0">
            <x v="1"/>
          </reference>
          <reference field="5" count="1" selected="0">
            <x v="214"/>
          </reference>
          <reference field="6" count="1" selected="0">
            <x v="2"/>
          </reference>
          <reference field="9" count="1" selected="0">
            <x v="10"/>
          </reference>
          <reference field="11" count="1">
            <x v="35"/>
          </reference>
        </references>
      </pivotArea>
    </format>
    <format dxfId="9150">
      <pivotArea dataOnly="0" labelOnly="1" outline="0" fieldPosition="0">
        <references count="7">
          <reference field="1" count="0" selected="0"/>
          <reference field="3" count="1" selected="0">
            <x v="4"/>
          </reference>
          <reference field="4" count="1" selected="0">
            <x v="1"/>
          </reference>
          <reference field="5" count="1" selected="0">
            <x v="222"/>
          </reference>
          <reference field="6" count="1" selected="0">
            <x v="9"/>
          </reference>
          <reference field="9" count="1" selected="0">
            <x v="8"/>
          </reference>
          <reference field="11" count="1">
            <x v="34"/>
          </reference>
        </references>
      </pivotArea>
    </format>
    <format dxfId="9149">
      <pivotArea dataOnly="0" labelOnly="1" outline="0" fieldPosition="0">
        <references count="7">
          <reference field="1" count="0" selected="0"/>
          <reference field="3" count="1" selected="0">
            <x v="4"/>
          </reference>
          <reference field="4" count="1" selected="0">
            <x v="1"/>
          </reference>
          <reference field="5" count="1" selected="0">
            <x v="329"/>
          </reference>
          <reference field="6" count="1" selected="0">
            <x v="2"/>
          </reference>
          <reference field="9" count="1" selected="0">
            <x v="4"/>
          </reference>
          <reference field="11" count="1">
            <x v="28"/>
          </reference>
        </references>
      </pivotArea>
    </format>
    <format dxfId="9148">
      <pivotArea dataOnly="0" labelOnly="1" outline="0" fieldPosition="0">
        <references count="7">
          <reference field="1" count="0" selected="0"/>
          <reference field="3" count="1" selected="0">
            <x v="6"/>
          </reference>
          <reference field="4" count="1" selected="0">
            <x v="0"/>
          </reference>
          <reference field="5" count="1" selected="0">
            <x v="120"/>
          </reference>
          <reference field="6" count="1" selected="0">
            <x v="9"/>
          </reference>
          <reference field="9" count="1" selected="0">
            <x v="10"/>
          </reference>
          <reference field="11" count="1">
            <x v="3"/>
          </reference>
        </references>
      </pivotArea>
    </format>
    <format dxfId="9147">
      <pivotArea dataOnly="0" labelOnly="1" outline="0" fieldPosition="0">
        <references count="7">
          <reference field="1" count="0" selected="0"/>
          <reference field="3" count="1" selected="0">
            <x v="6"/>
          </reference>
          <reference field="4" count="1" selected="0">
            <x v="0"/>
          </reference>
          <reference field="5" count="1" selected="0">
            <x v="156"/>
          </reference>
          <reference field="6" count="1" selected="0">
            <x v="9"/>
          </reference>
          <reference field="9" count="1" selected="0">
            <x v="10"/>
          </reference>
          <reference field="11" count="1">
            <x v="23"/>
          </reference>
        </references>
      </pivotArea>
    </format>
    <format dxfId="9146">
      <pivotArea dataOnly="0" labelOnly="1" outline="0" fieldPosition="0">
        <references count="7">
          <reference field="1" count="0" selected="0"/>
          <reference field="3" count="1" selected="0">
            <x v="6"/>
          </reference>
          <reference field="4" count="1" selected="0">
            <x v="0"/>
          </reference>
          <reference field="5" count="1" selected="0">
            <x v="159"/>
          </reference>
          <reference field="6" count="1" selected="0">
            <x v="9"/>
          </reference>
          <reference field="9" count="1" selected="0">
            <x v="10"/>
          </reference>
          <reference field="11" count="1">
            <x v="30"/>
          </reference>
        </references>
      </pivotArea>
    </format>
    <format dxfId="9145">
      <pivotArea dataOnly="0" labelOnly="1" outline="0" fieldPosition="0">
        <references count="7">
          <reference field="1" count="0" selected="0"/>
          <reference field="3" count="1" selected="0">
            <x v="6"/>
          </reference>
          <reference field="4" count="1" selected="0">
            <x v="0"/>
          </reference>
          <reference field="5" count="1" selected="0">
            <x v="168"/>
          </reference>
          <reference field="6" count="1" selected="0">
            <x v="9"/>
          </reference>
          <reference field="9" count="1" selected="0">
            <x v="10"/>
          </reference>
          <reference field="11" count="1">
            <x v="47"/>
          </reference>
        </references>
      </pivotArea>
    </format>
    <format dxfId="9144">
      <pivotArea dataOnly="0" labelOnly="1" outline="0" fieldPosition="0">
        <references count="7">
          <reference field="1" count="0" selected="0"/>
          <reference field="3" count="1" selected="0">
            <x v="6"/>
          </reference>
          <reference field="4" count="1" selected="0">
            <x v="0"/>
          </reference>
          <reference field="5" count="1" selected="0">
            <x v="172"/>
          </reference>
          <reference field="6" count="1" selected="0">
            <x v="9"/>
          </reference>
          <reference field="9" count="1" selected="0">
            <x v="10"/>
          </reference>
          <reference field="11" count="1">
            <x v="14"/>
          </reference>
        </references>
      </pivotArea>
    </format>
    <format dxfId="9143">
      <pivotArea dataOnly="0" labelOnly="1" outline="0" fieldPosition="0">
        <references count="7">
          <reference field="1" count="0" selected="0"/>
          <reference field="3" count="1" selected="0">
            <x v="6"/>
          </reference>
          <reference field="4" count="1" selected="0">
            <x v="0"/>
          </reference>
          <reference field="5" count="1" selected="0">
            <x v="177"/>
          </reference>
          <reference field="6" count="1" selected="0">
            <x v="9"/>
          </reference>
          <reference field="9" count="1" selected="0">
            <x v="10"/>
          </reference>
          <reference field="11" count="1">
            <x v="1"/>
          </reference>
        </references>
      </pivotArea>
    </format>
    <format dxfId="9142">
      <pivotArea dataOnly="0" labelOnly="1" outline="0" fieldPosition="0">
        <references count="7">
          <reference field="1" count="0" selected="0"/>
          <reference field="3" count="1" selected="0">
            <x v="6"/>
          </reference>
          <reference field="4" count="1" selected="0">
            <x v="0"/>
          </reference>
          <reference field="5" count="1" selected="0">
            <x v="184"/>
          </reference>
          <reference field="6" count="1" selected="0">
            <x v="9"/>
          </reference>
          <reference field="9" count="1" selected="0">
            <x v="10"/>
          </reference>
          <reference field="11" count="1">
            <x v="10"/>
          </reference>
        </references>
      </pivotArea>
    </format>
    <format dxfId="9141">
      <pivotArea dataOnly="0" labelOnly="1" outline="0" fieldPosition="0">
        <references count="7">
          <reference field="1" count="0" selected="0"/>
          <reference field="3" count="1" selected="0">
            <x v="6"/>
          </reference>
          <reference field="4" count="1" selected="0">
            <x v="0"/>
          </reference>
          <reference field="5" count="1" selected="0">
            <x v="187"/>
          </reference>
          <reference field="6" count="1" selected="0">
            <x v="9"/>
          </reference>
          <reference field="9" count="1" selected="0">
            <x v="10"/>
          </reference>
          <reference field="11" count="1">
            <x v="50"/>
          </reference>
        </references>
      </pivotArea>
    </format>
    <format dxfId="9140">
      <pivotArea dataOnly="0" labelOnly="1" outline="0" fieldPosition="0">
        <references count="7">
          <reference field="1" count="0" selected="0"/>
          <reference field="3" count="1" selected="0">
            <x v="6"/>
          </reference>
          <reference field="4" count="1" selected="0">
            <x v="0"/>
          </reference>
          <reference field="5" count="1" selected="0">
            <x v="209"/>
          </reference>
          <reference field="6" count="1" selected="0">
            <x v="9"/>
          </reference>
          <reference field="9" count="1" selected="0">
            <x v="10"/>
          </reference>
          <reference field="11" count="1">
            <x v="36"/>
          </reference>
        </references>
      </pivotArea>
    </format>
    <format dxfId="9139">
      <pivotArea dataOnly="0" labelOnly="1" outline="0" fieldPosition="0">
        <references count="7">
          <reference field="1" count="0" selected="0"/>
          <reference field="3" count="1" selected="0">
            <x v="6"/>
          </reference>
          <reference field="4" count="1" selected="0">
            <x v="0"/>
          </reference>
          <reference field="5" count="1" selected="0">
            <x v="325"/>
          </reference>
          <reference field="6" count="1" selected="0">
            <x v="9"/>
          </reference>
          <reference field="9" count="1" selected="0">
            <x v="10"/>
          </reference>
          <reference field="11" count="1">
            <x v="14"/>
          </reference>
        </references>
      </pivotArea>
    </format>
    <format dxfId="9138">
      <pivotArea dataOnly="0" labelOnly="1" outline="0" fieldPosition="0">
        <references count="7">
          <reference field="1" count="0" selected="0"/>
          <reference field="3" count="1" selected="0">
            <x v="6"/>
          </reference>
          <reference field="4" count="1" selected="0">
            <x v="0"/>
          </reference>
          <reference field="5" count="1" selected="0">
            <x v="352"/>
          </reference>
          <reference field="6" count="1" selected="0">
            <x v="9"/>
          </reference>
          <reference field="9" count="1" selected="0">
            <x v="10"/>
          </reference>
          <reference field="11" count="1">
            <x v="38"/>
          </reference>
        </references>
      </pivotArea>
    </format>
    <format dxfId="9137">
      <pivotArea dataOnly="0" labelOnly="1" outline="0" fieldPosition="0">
        <references count="7">
          <reference field="1" count="0" selected="0"/>
          <reference field="3" count="1" selected="0">
            <x v="8"/>
          </reference>
          <reference field="4" count="1" selected="0">
            <x v="3"/>
          </reference>
          <reference field="5" count="1" selected="0">
            <x v="133"/>
          </reference>
          <reference field="6" count="1" selected="0">
            <x v="3"/>
          </reference>
          <reference field="9" count="1" selected="0">
            <x v="10"/>
          </reference>
          <reference field="11" count="1">
            <x v="5"/>
          </reference>
        </references>
      </pivotArea>
    </format>
    <format dxfId="9136">
      <pivotArea dataOnly="0" labelOnly="1" outline="0" fieldPosition="0">
        <references count="7">
          <reference field="1" count="0" selected="0"/>
          <reference field="3" count="1" selected="0">
            <x v="8"/>
          </reference>
          <reference field="4" count="1" selected="0">
            <x v="3"/>
          </reference>
          <reference field="5" count="1" selected="0">
            <x v="139"/>
          </reference>
          <reference field="6" count="1" selected="0">
            <x v="3"/>
          </reference>
          <reference field="9" count="1" selected="0">
            <x v="10"/>
          </reference>
          <reference field="11" count="1">
            <x v="14"/>
          </reference>
        </references>
      </pivotArea>
    </format>
    <format dxfId="9135">
      <pivotArea dataOnly="0" labelOnly="1" outline="0" fieldPosition="0">
        <references count="7">
          <reference field="1" count="0" selected="0"/>
          <reference field="3" count="1" selected="0">
            <x v="8"/>
          </reference>
          <reference field="4" count="1" selected="0">
            <x v="3"/>
          </reference>
          <reference field="5" count="1" selected="0">
            <x v="162"/>
          </reference>
          <reference field="6" count="1" selected="0">
            <x v="3"/>
          </reference>
          <reference field="9" count="1" selected="0">
            <x v="10"/>
          </reference>
          <reference field="11" count="1">
            <x v="15"/>
          </reference>
        </references>
      </pivotArea>
    </format>
    <format dxfId="9134">
      <pivotArea dataOnly="0" labelOnly="1" outline="0" fieldPosition="0">
        <references count="8">
          <reference field="1" count="0" selected="0"/>
          <reference field="3" count="1" selected="0">
            <x v="0"/>
          </reference>
          <reference field="4" count="1" selected="0">
            <x v="1"/>
          </reference>
          <reference field="5" count="1" selected="0">
            <x v="344"/>
          </reference>
          <reference field="6" count="1" selected="0">
            <x v="7"/>
          </reference>
          <reference field="9" count="1" selected="0">
            <x v="10"/>
          </reference>
          <reference field="11" count="1" selected="0">
            <x v="14"/>
          </reference>
          <reference field="12" count="1">
            <x v="8"/>
          </reference>
        </references>
      </pivotArea>
    </format>
    <format dxfId="9133">
      <pivotArea dataOnly="0" labelOnly="1" outline="0" fieldPosition="0">
        <references count="8">
          <reference field="1" count="0" selected="0"/>
          <reference field="3" count="1" selected="0">
            <x v="3"/>
          </reference>
          <reference field="4" count="1" selected="0">
            <x v="1"/>
          </reference>
          <reference field="5" count="1" selected="0">
            <x v="199"/>
          </reference>
          <reference field="6" count="1" selected="0">
            <x v="2"/>
          </reference>
          <reference field="9" count="1" selected="0">
            <x v="10"/>
          </reference>
          <reference field="11" count="1" selected="0">
            <x v="5"/>
          </reference>
          <reference field="12" count="1">
            <x v="25"/>
          </reference>
        </references>
      </pivotArea>
    </format>
    <format dxfId="9132">
      <pivotArea dataOnly="0" labelOnly="1" outline="0" fieldPosition="0">
        <references count="8">
          <reference field="1" count="0" selected="0"/>
          <reference field="3" count="1" selected="0">
            <x v="3"/>
          </reference>
          <reference field="4" count="1" selected="0">
            <x v="1"/>
          </reference>
          <reference field="5" count="1" selected="0">
            <x v="202"/>
          </reference>
          <reference field="6" count="1" selected="0">
            <x v="2"/>
          </reference>
          <reference field="9" count="1" selected="0">
            <x v="10"/>
          </reference>
          <reference field="11" count="1" selected="0">
            <x v="16"/>
          </reference>
          <reference field="12" count="1">
            <x v="8"/>
          </reference>
        </references>
      </pivotArea>
    </format>
    <format dxfId="9131">
      <pivotArea dataOnly="0" labelOnly="1" outline="0" fieldPosition="0">
        <references count="8">
          <reference field="1" count="0" selected="0"/>
          <reference field="3" count="1" selected="0">
            <x v="4"/>
          </reference>
          <reference field="4" count="1" selected="0">
            <x v="1"/>
          </reference>
          <reference field="5" count="1" selected="0">
            <x v="97"/>
          </reference>
          <reference field="6" count="1" selected="0">
            <x v="2"/>
          </reference>
          <reference field="9" count="1" selected="0">
            <x v="10"/>
          </reference>
          <reference field="11" count="1" selected="0">
            <x v="14"/>
          </reference>
          <reference field="12" count="1">
            <x v="20"/>
          </reference>
        </references>
      </pivotArea>
    </format>
    <format dxfId="9130">
      <pivotArea dataOnly="0" labelOnly="1" outline="0" fieldPosition="0">
        <references count="8">
          <reference field="1" count="0" selected="0"/>
          <reference field="3" count="1" selected="0">
            <x v="4"/>
          </reference>
          <reference field="4" count="1" selected="0">
            <x v="1"/>
          </reference>
          <reference field="5" count="1" selected="0">
            <x v="143"/>
          </reference>
          <reference field="6" count="1" selected="0">
            <x v="2"/>
          </reference>
          <reference field="9" count="1" selected="0">
            <x v="10"/>
          </reference>
          <reference field="11" count="1" selected="0">
            <x v="14"/>
          </reference>
          <reference field="12" count="1">
            <x v="3"/>
          </reference>
        </references>
      </pivotArea>
    </format>
    <format dxfId="9129">
      <pivotArea dataOnly="0" labelOnly="1" outline="0" fieldPosition="0">
        <references count="8">
          <reference field="1" count="0" selected="0"/>
          <reference field="3" count="1" selected="0">
            <x v="4"/>
          </reference>
          <reference field="4" count="1" selected="0">
            <x v="1"/>
          </reference>
          <reference field="5" count="1" selected="0">
            <x v="214"/>
          </reference>
          <reference field="6" count="1" selected="0">
            <x v="2"/>
          </reference>
          <reference field="9" count="1" selected="0">
            <x v="10"/>
          </reference>
          <reference field="11" count="1" selected="0">
            <x v="35"/>
          </reference>
          <reference field="12" count="1">
            <x v="8"/>
          </reference>
        </references>
      </pivotArea>
    </format>
    <format dxfId="9128">
      <pivotArea dataOnly="0" labelOnly="1" outline="0" fieldPosition="0">
        <references count="8">
          <reference field="1" count="0" selected="0"/>
          <reference field="3" count="1" selected="0">
            <x v="6"/>
          </reference>
          <reference field="4" count="1" selected="0">
            <x v="0"/>
          </reference>
          <reference field="5" count="1" selected="0">
            <x v="120"/>
          </reference>
          <reference field="6" count="1" selected="0">
            <x v="9"/>
          </reference>
          <reference field="9" count="1" selected="0">
            <x v="10"/>
          </reference>
          <reference field="11" count="1" selected="0">
            <x v="3"/>
          </reference>
          <reference field="12" count="1">
            <x v="1"/>
          </reference>
        </references>
      </pivotArea>
    </format>
    <format dxfId="9127">
      <pivotArea dataOnly="0" labelOnly="1" outline="0" fieldPosition="0">
        <references count="8">
          <reference field="1" count="0" selected="0"/>
          <reference field="3" count="1" selected="0">
            <x v="6"/>
          </reference>
          <reference field="4" count="1" selected="0">
            <x v="0"/>
          </reference>
          <reference field="5" count="1" selected="0">
            <x v="168"/>
          </reference>
          <reference field="6" count="1" selected="0">
            <x v="9"/>
          </reference>
          <reference field="9" count="1" selected="0">
            <x v="10"/>
          </reference>
          <reference field="11" count="1" selected="0">
            <x v="47"/>
          </reference>
          <reference field="12" count="1">
            <x v="0"/>
          </reference>
        </references>
      </pivotArea>
    </format>
    <format dxfId="9126">
      <pivotArea dataOnly="0" labelOnly="1" outline="0" fieldPosition="0">
        <references count="8">
          <reference field="1" count="0" selected="0"/>
          <reference field="3" count="1" selected="0">
            <x v="6"/>
          </reference>
          <reference field="4" count="1" selected="0">
            <x v="0"/>
          </reference>
          <reference field="5" count="1" selected="0">
            <x v="172"/>
          </reference>
          <reference field="6" count="1" selected="0">
            <x v="9"/>
          </reference>
          <reference field="9" count="1" selected="0">
            <x v="10"/>
          </reference>
          <reference field="11" count="1" selected="0">
            <x v="14"/>
          </reference>
          <reference field="12" count="1">
            <x v="33"/>
          </reference>
        </references>
      </pivotArea>
    </format>
    <format dxfId="9125">
      <pivotArea dataOnly="0" labelOnly="1" outline="0" fieldPosition="0">
        <references count="8">
          <reference field="1" count="0" selected="0"/>
          <reference field="3" count="1" selected="0">
            <x v="6"/>
          </reference>
          <reference field="4" count="1" selected="0">
            <x v="0"/>
          </reference>
          <reference field="5" count="1" selected="0">
            <x v="177"/>
          </reference>
          <reference field="6" count="1" selected="0">
            <x v="9"/>
          </reference>
          <reference field="9" count="1" selected="0">
            <x v="10"/>
          </reference>
          <reference field="11" count="1" selected="0">
            <x v="1"/>
          </reference>
          <reference field="12" count="1">
            <x v="8"/>
          </reference>
        </references>
      </pivotArea>
    </format>
    <format dxfId="9124">
      <pivotArea dataOnly="0" labelOnly="1" outline="0" fieldPosition="0">
        <references count="8">
          <reference field="1" count="0" selected="0"/>
          <reference field="3" count="1" selected="0">
            <x v="6"/>
          </reference>
          <reference field="4" count="1" selected="0">
            <x v="0"/>
          </reference>
          <reference field="5" count="1" selected="0">
            <x v="184"/>
          </reference>
          <reference field="6" count="1" selected="0">
            <x v="9"/>
          </reference>
          <reference field="9" count="1" selected="0">
            <x v="10"/>
          </reference>
          <reference field="11" count="1" selected="0">
            <x v="10"/>
          </reference>
          <reference field="12" count="1">
            <x v="28"/>
          </reference>
        </references>
      </pivotArea>
    </format>
    <format dxfId="9123">
      <pivotArea dataOnly="0" labelOnly="1" outline="0" fieldPosition="0">
        <references count="8">
          <reference field="1" count="0" selected="0"/>
          <reference field="3" count="1" selected="0">
            <x v="6"/>
          </reference>
          <reference field="4" count="1" selected="0">
            <x v="0"/>
          </reference>
          <reference field="5" count="1" selected="0">
            <x v="187"/>
          </reference>
          <reference field="6" count="1" selected="0">
            <x v="9"/>
          </reference>
          <reference field="9" count="1" selected="0">
            <x v="10"/>
          </reference>
          <reference field="11" count="1" selected="0">
            <x v="50"/>
          </reference>
          <reference field="12" count="1">
            <x v="8"/>
          </reference>
        </references>
      </pivotArea>
    </format>
    <format dxfId="9122">
      <pivotArea dataOnly="0" labelOnly="1" outline="0" fieldPosition="0">
        <references count="8">
          <reference field="1" count="0" selected="0"/>
          <reference field="3" count="1" selected="0">
            <x v="6"/>
          </reference>
          <reference field="4" count="1" selected="0">
            <x v="0"/>
          </reference>
          <reference field="5" count="1" selected="0">
            <x v="325"/>
          </reference>
          <reference field="6" count="1" selected="0">
            <x v="9"/>
          </reference>
          <reference field="9" count="1" selected="0">
            <x v="10"/>
          </reference>
          <reference field="11" count="1" selected="0">
            <x v="14"/>
          </reference>
          <reference field="12" count="1">
            <x v="13"/>
          </reference>
        </references>
      </pivotArea>
    </format>
    <format dxfId="9121">
      <pivotArea dataOnly="0" labelOnly="1" outline="0" fieldPosition="0">
        <references count="8">
          <reference field="1" count="0" selected="0"/>
          <reference field="3" count="1" selected="0">
            <x v="8"/>
          </reference>
          <reference field="4" count="1" selected="0">
            <x v="3"/>
          </reference>
          <reference field="5" count="1" selected="0">
            <x v="133"/>
          </reference>
          <reference field="6" count="1" selected="0">
            <x v="3"/>
          </reference>
          <reference field="9" count="1" selected="0">
            <x v="10"/>
          </reference>
          <reference field="11" count="1" selected="0">
            <x v="5"/>
          </reference>
          <reference field="12" count="1">
            <x v="4"/>
          </reference>
        </references>
      </pivotArea>
    </format>
    <format dxfId="9120">
      <pivotArea dataOnly="0" labelOnly="1" outline="0" fieldPosition="0">
        <references count="8">
          <reference field="1" count="0" selected="0"/>
          <reference field="3" count="1" selected="0">
            <x v="8"/>
          </reference>
          <reference field="4" count="1" selected="0">
            <x v="3"/>
          </reference>
          <reference field="5" count="1" selected="0">
            <x v="139"/>
          </reference>
          <reference field="6" count="1" selected="0">
            <x v="3"/>
          </reference>
          <reference field="9" count="1" selected="0">
            <x v="10"/>
          </reference>
          <reference field="11" count="1" selected="0">
            <x v="14"/>
          </reference>
          <reference field="12" count="1">
            <x v="12"/>
          </reference>
        </references>
      </pivotArea>
    </format>
    <format dxfId="9119">
      <pivotArea dataOnly="0" labelOnly="1" outline="0" fieldPosition="0">
        <references count="8">
          <reference field="1" count="0" selected="0"/>
          <reference field="3" count="1" selected="0">
            <x v="8"/>
          </reference>
          <reference field="4" count="1" selected="0">
            <x v="3"/>
          </reference>
          <reference field="5" count="1" selected="0">
            <x v="162"/>
          </reference>
          <reference field="6" count="1" selected="0">
            <x v="3"/>
          </reference>
          <reference field="9" count="1" selected="0">
            <x v="10"/>
          </reference>
          <reference field="11" count="1" selected="0">
            <x v="15"/>
          </reference>
          <reference field="12" count="1">
            <x v="8"/>
          </reference>
        </references>
      </pivotArea>
    </format>
    <format dxfId="9118">
      <pivotArea dataOnly="0" labelOnly="1" outline="0" fieldPosition="0">
        <references count="9">
          <reference field="1" count="0" selected="0"/>
          <reference field="3" count="1" selected="0">
            <x v="0"/>
          </reference>
          <reference field="4" count="1" selected="0">
            <x v="1"/>
          </reference>
          <reference field="5" count="1" selected="0">
            <x v="344"/>
          </reference>
          <reference field="6" count="1" selected="0">
            <x v="7"/>
          </reference>
          <reference field="9" count="1" selected="0">
            <x v="10"/>
          </reference>
          <reference field="11" count="1" selected="0">
            <x v="14"/>
          </reference>
          <reference field="12" count="1" selected="0">
            <x v="8"/>
          </reference>
          <reference field="13" count="1">
            <x v="3"/>
          </reference>
        </references>
      </pivotArea>
    </format>
    <format dxfId="9117">
      <pivotArea dataOnly="0" labelOnly="1" outline="0" fieldPosition="0">
        <references count="9">
          <reference field="1" count="0" selected="0"/>
          <reference field="3" count="1" selected="0">
            <x v="4"/>
          </reference>
          <reference field="4" count="1" selected="0">
            <x v="1"/>
          </reference>
          <reference field="5" count="1" selected="0">
            <x v="214"/>
          </reference>
          <reference field="6" count="1" selected="0">
            <x v="2"/>
          </reference>
          <reference field="9" count="1" selected="0">
            <x v="10"/>
          </reference>
          <reference field="11" count="1" selected="0">
            <x v="35"/>
          </reference>
          <reference field="12" count="1" selected="0">
            <x v="8"/>
          </reference>
          <reference field="13" count="1">
            <x v="3"/>
          </reference>
        </references>
      </pivotArea>
    </format>
    <format dxfId="9116">
      <pivotArea dataOnly="0" labelOnly="1" outline="0" fieldPosition="0">
        <references count="9">
          <reference field="1" count="0" selected="0"/>
          <reference field="3" count="1" selected="0">
            <x v="6"/>
          </reference>
          <reference field="4" count="1" selected="0">
            <x v="0"/>
          </reference>
          <reference field="5" count="1" selected="0">
            <x v="168"/>
          </reference>
          <reference field="6" count="1" selected="0">
            <x v="9"/>
          </reference>
          <reference field="9" count="1" selected="0">
            <x v="10"/>
          </reference>
          <reference field="11" count="1" selected="0">
            <x v="47"/>
          </reference>
          <reference field="12" count="1" selected="0">
            <x v="0"/>
          </reference>
          <reference field="13" count="1">
            <x v="4"/>
          </reference>
        </references>
      </pivotArea>
    </format>
    <format dxfId="9115">
      <pivotArea dataOnly="0" labelOnly="1" outline="0" fieldPosition="0">
        <references count="9">
          <reference field="1" count="0" selected="0"/>
          <reference field="3" count="1" selected="0">
            <x v="6"/>
          </reference>
          <reference field="4" count="1" selected="0">
            <x v="0"/>
          </reference>
          <reference field="5" count="1" selected="0">
            <x v="172"/>
          </reference>
          <reference field="6" count="1" selected="0">
            <x v="9"/>
          </reference>
          <reference field="9" count="1" selected="0">
            <x v="10"/>
          </reference>
          <reference field="11" count="1" selected="0">
            <x v="14"/>
          </reference>
          <reference field="12" count="1" selected="0">
            <x v="33"/>
          </reference>
          <reference field="13" count="1">
            <x v="3"/>
          </reference>
        </references>
      </pivotArea>
    </format>
    <format dxfId="9114">
      <pivotArea dataOnly="0" labelOnly="1" outline="0" fieldPosition="0">
        <references count="10">
          <reference field="1" count="0" selected="0"/>
          <reference field="3" count="1" selected="0">
            <x v="0"/>
          </reference>
          <reference field="4" count="1" selected="0">
            <x v="1"/>
          </reference>
          <reference field="5" count="1" selected="0">
            <x v="344"/>
          </reference>
          <reference field="6" count="1" selected="0">
            <x v="7"/>
          </reference>
          <reference field="9" count="1" selected="0">
            <x v="10"/>
          </reference>
          <reference field="11" count="1" selected="0">
            <x v="14"/>
          </reference>
          <reference field="12" count="1" selected="0">
            <x v="8"/>
          </reference>
          <reference field="13" count="1" selected="0">
            <x v="3"/>
          </reference>
          <reference field="14" count="1">
            <x v="17"/>
          </reference>
        </references>
      </pivotArea>
    </format>
    <format dxfId="9113">
      <pivotArea dataOnly="0" labelOnly="1" outline="0" fieldPosition="0">
        <references count="10">
          <reference field="1" count="0" selected="0"/>
          <reference field="3" count="1" selected="0">
            <x v="3"/>
          </reference>
          <reference field="4" count="1" selected="0">
            <x v="1"/>
          </reference>
          <reference field="5" count="1" selected="0">
            <x v="194"/>
          </reference>
          <reference field="6" count="1" selected="0">
            <x v="2"/>
          </reference>
          <reference field="9" count="1" selected="0">
            <x v="10"/>
          </reference>
          <reference field="11" count="1" selected="0">
            <x v="3"/>
          </reference>
          <reference field="12" count="1" selected="0">
            <x v="8"/>
          </reference>
          <reference field="13" count="1" selected="0">
            <x v="3"/>
          </reference>
          <reference field="14" count="1">
            <x v="17"/>
          </reference>
        </references>
      </pivotArea>
    </format>
    <format dxfId="9112">
      <pivotArea dataOnly="0" labelOnly="1" outline="0" fieldPosition="0">
        <references count="10">
          <reference field="1" count="0" selected="0"/>
          <reference field="3" count="1" selected="0">
            <x v="3"/>
          </reference>
          <reference field="4" count="1" selected="0">
            <x v="1"/>
          </reference>
          <reference field="5" count="1" selected="0">
            <x v="199"/>
          </reference>
          <reference field="6" count="1" selected="0">
            <x v="2"/>
          </reference>
          <reference field="9" count="1" selected="0">
            <x v="10"/>
          </reference>
          <reference field="11" count="1" selected="0">
            <x v="5"/>
          </reference>
          <reference field="12" count="1" selected="0">
            <x v="25"/>
          </reference>
          <reference field="13" count="1" selected="0">
            <x v="3"/>
          </reference>
          <reference field="14" count="1">
            <x v="16"/>
          </reference>
        </references>
      </pivotArea>
    </format>
    <format dxfId="9111">
      <pivotArea dataOnly="0" labelOnly="1" outline="0" fieldPosition="0">
        <references count="10">
          <reference field="1" count="0" selected="0"/>
          <reference field="3" count="1" selected="0">
            <x v="3"/>
          </reference>
          <reference field="4" count="1" selected="0">
            <x v="1"/>
          </reference>
          <reference field="5" count="1" selected="0">
            <x v="202"/>
          </reference>
          <reference field="6" count="1" selected="0">
            <x v="2"/>
          </reference>
          <reference field="9" count="1" selected="0">
            <x v="10"/>
          </reference>
          <reference field="11" count="1" selected="0">
            <x v="16"/>
          </reference>
          <reference field="12" count="1" selected="0">
            <x v="8"/>
          </reference>
          <reference field="13" count="1" selected="0">
            <x v="3"/>
          </reference>
          <reference field="14" count="1">
            <x v="17"/>
          </reference>
        </references>
      </pivotArea>
    </format>
    <format dxfId="9110">
      <pivotArea dataOnly="0" labelOnly="1" outline="0" fieldPosition="0">
        <references count="10">
          <reference field="1" count="0" selected="0"/>
          <reference field="3" count="1" selected="0">
            <x v="4"/>
          </reference>
          <reference field="4" count="1" selected="0">
            <x v="1"/>
          </reference>
          <reference field="5" count="1" selected="0">
            <x v="97"/>
          </reference>
          <reference field="6" count="1" selected="0">
            <x v="2"/>
          </reference>
          <reference field="9" count="1" selected="0">
            <x v="10"/>
          </reference>
          <reference field="11" count="1" selected="0">
            <x v="14"/>
          </reference>
          <reference field="12" count="1" selected="0">
            <x v="20"/>
          </reference>
          <reference field="13" count="1" selected="0">
            <x v="3"/>
          </reference>
          <reference field="14" count="1">
            <x v="18"/>
          </reference>
        </references>
      </pivotArea>
    </format>
    <format dxfId="9109">
      <pivotArea dataOnly="0" labelOnly="1" outline="0" fieldPosition="0">
        <references count="10">
          <reference field="1" count="0" selected="0"/>
          <reference field="3" count="1" selected="0">
            <x v="4"/>
          </reference>
          <reference field="4" count="1" selected="0">
            <x v="1"/>
          </reference>
          <reference field="5" count="1" selected="0">
            <x v="143"/>
          </reference>
          <reference field="6" count="1" selected="0">
            <x v="2"/>
          </reference>
          <reference field="9" count="1" selected="0">
            <x v="10"/>
          </reference>
          <reference field="11" count="1" selected="0">
            <x v="14"/>
          </reference>
          <reference field="12" count="1" selected="0">
            <x v="3"/>
          </reference>
          <reference field="13" count="1" selected="0">
            <x v="3"/>
          </reference>
          <reference field="14" count="1">
            <x v="17"/>
          </reference>
        </references>
      </pivotArea>
    </format>
    <format dxfId="9108">
      <pivotArea dataOnly="0" labelOnly="1" outline="0" fieldPosition="0">
        <references count="10">
          <reference field="1" count="0" selected="0"/>
          <reference field="3" count="1" selected="0">
            <x v="4"/>
          </reference>
          <reference field="4" count="1" selected="0">
            <x v="1"/>
          </reference>
          <reference field="5" count="1" selected="0">
            <x v="214"/>
          </reference>
          <reference field="6" count="1" selected="0">
            <x v="2"/>
          </reference>
          <reference field="9" count="1" selected="0">
            <x v="10"/>
          </reference>
          <reference field="11" count="1" selected="0">
            <x v="35"/>
          </reference>
          <reference field="12" count="1" selected="0">
            <x v="8"/>
          </reference>
          <reference field="13" count="1" selected="0">
            <x v="3"/>
          </reference>
          <reference field="14" count="1">
            <x v="17"/>
          </reference>
        </references>
      </pivotArea>
    </format>
    <format dxfId="9107">
      <pivotArea dataOnly="0" labelOnly="1" outline="0" fieldPosition="0">
        <references count="10">
          <reference field="1" count="0" selected="0"/>
          <reference field="3" count="1" selected="0">
            <x v="4"/>
          </reference>
          <reference field="4" count="1" selected="0">
            <x v="1"/>
          </reference>
          <reference field="5" count="1" selected="0">
            <x v="222"/>
          </reference>
          <reference field="6" count="1" selected="0">
            <x v="9"/>
          </reference>
          <reference field="9" count="1" selected="0">
            <x v="8"/>
          </reference>
          <reference field="11" count="1" selected="0">
            <x v="34"/>
          </reference>
          <reference field="12" count="1" selected="0">
            <x v="8"/>
          </reference>
          <reference field="13" count="1" selected="0">
            <x v="3"/>
          </reference>
          <reference field="14" count="1">
            <x v="17"/>
          </reference>
        </references>
      </pivotArea>
    </format>
    <format dxfId="9106">
      <pivotArea dataOnly="0" labelOnly="1" outline="0" fieldPosition="0">
        <references count="10">
          <reference field="1" count="0" selected="0"/>
          <reference field="3" count="1" selected="0">
            <x v="4"/>
          </reference>
          <reference field="4" count="1" selected="0">
            <x v="1"/>
          </reference>
          <reference field="5" count="1" selected="0">
            <x v="329"/>
          </reference>
          <reference field="6" count="1" selected="0">
            <x v="2"/>
          </reference>
          <reference field="9" count="1" selected="0">
            <x v="4"/>
          </reference>
          <reference field="11" count="1" selected="0">
            <x v="28"/>
          </reference>
          <reference field="12" count="1" selected="0">
            <x v="8"/>
          </reference>
          <reference field="13" count="1" selected="0">
            <x v="3"/>
          </reference>
          <reference field="14" count="1">
            <x v="39"/>
          </reference>
        </references>
      </pivotArea>
    </format>
    <format dxfId="9105">
      <pivotArea dataOnly="0" labelOnly="1" outline="0" fieldPosition="0">
        <references count="10">
          <reference field="1" count="0" selected="0"/>
          <reference field="3" count="1" selected="0">
            <x v="6"/>
          </reference>
          <reference field="4" count="1" selected="0">
            <x v="0"/>
          </reference>
          <reference field="5" count="1" selected="0">
            <x v="120"/>
          </reference>
          <reference field="6" count="1" selected="0">
            <x v="9"/>
          </reference>
          <reference field="9" count="1" selected="0">
            <x v="10"/>
          </reference>
          <reference field="11" count="1" selected="0">
            <x v="3"/>
          </reference>
          <reference field="12" count="1" selected="0">
            <x v="1"/>
          </reference>
          <reference field="13" count="1" selected="0">
            <x v="3"/>
          </reference>
          <reference field="14" count="1">
            <x v="17"/>
          </reference>
        </references>
      </pivotArea>
    </format>
    <format dxfId="9104">
      <pivotArea dataOnly="0" labelOnly="1" outline="0" fieldPosition="0">
        <references count="10">
          <reference field="1" count="0" selected="0"/>
          <reference field="3" count="1" selected="0">
            <x v="6"/>
          </reference>
          <reference field="4" count="1" selected="0">
            <x v="0"/>
          </reference>
          <reference field="5" count="1" selected="0">
            <x v="156"/>
          </reference>
          <reference field="6" count="1" selected="0">
            <x v="9"/>
          </reference>
          <reference field="9" count="1" selected="0">
            <x v="10"/>
          </reference>
          <reference field="11" count="1" selected="0">
            <x v="23"/>
          </reference>
          <reference field="12" count="1" selected="0">
            <x v="8"/>
          </reference>
          <reference field="13" count="1" selected="0">
            <x v="3"/>
          </reference>
          <reference field="14" count="1">
            <x v="32"/>
          </reference>
        </references>
      </pivotArea>
    </format>
    <format dxfId="9103">
      <pivotArea dataOnly="0" labelOnly="1" outline="0" fieldPosition="0">
        <references count="10">
          <reference field="1" count="0" selected="0"/>
          <reference field="3" count="1" selected="0">
            <x v="6"/>
          </reference>
          <reference field="4" count="1" selected="0">
            <x v="0"/>
          </reference>
          <reference field="5" count="1" selected="0">
            <x v="159"/>
          </reference>
          <reference field="6" count="1" selected="0">
            <x v="9"/>
          </reference>
          <reference field="9" count="1" selected="0">
            <x v="10"/>
          </reference>
          <reference field="11" count="1" selected="0">
            <x v="30"/>
          </reference>
          <reference field="12" count="1" selected="0">
            <x v="8"/>
          </reference>
          <reference field="13" count="1" selected="0">
            <x v="3"/>
          </reference>
          <reference field="14" count="1">
            <x v="38"/>
          </reference>
        </references>
      </pivotArea>
    </format>
    <format dxfId="9102">
      <pivotArea dataOnly="0" labelOnly="1" outline="0" fieldPosition="0">
        <references count="10">
          <reference field="1" count="0" selected="0"/>
          <reference field="3" count="1" selected="0">
            <x v="6"/>
          </reference>
          <reference field="4" count="1" selected="0">
            <x v="0"/>
          </reference>
          <reference field="5" count="1" selected="0">
            <x v="168"/>
          </reference>
          <reference field="6" count="1" selected="0">
            <x v="9"/>
          </reference>
          <reference field="9" count="1" selected="0">
            <x v="10"/>
          </reference>
          <reference field="11" count="1" selected="0">
            <x v="47"/>
          </reference>
          <reference field="12" count="1" selected="0">
            <x v="0"/>
          </reference>
          <reference field="13" count="1" selected="0">
            <x v="4"/>
          </reference>
          <reference field="14" count="1">
            <x v="17"/>
          </reference>
        </references>
      </pivotArea>
    </format>
    <format dxfId="9101">
      <pivotArea dataOnly="0" labelOnly="1" outline="0" fieldPosition="0">
        <references count="10">
          <reference field="1" count="0" selected="0"/>
          <reference field="3" count="1" selected="0">
            <x v="6"/>
          </reference>
          <reference field="4" count="1" selected="0">
            <x v="0"/>
          </reference>
          <reference field="5" count="1" selected="0">
            <x v="172"/>
          </reference>
          <reference field="6" count="1" selected="0">
            <x v="9"/>
          </reference>
          <reference field="9" count="1" selected="0">
            <x v="10"/>
          </reference>
          <reference field="11" count="1" selected="0">
            <x v="14"/>
          </reference>
          <reference field="12" count="1" selected="0">
            <x v="33"/>
          </reference>
          <reference field="13" count="1" selected="0">
            <x v="3"/>
          </reference>
          <reference field="14" count="1">
            <x v="25"/>
          </reference>
        </references>
      </pivotArea>
    </format>
    <format dxfId="9100">
      <pivotArea dataOnly="0" labelOnly="1" outline="0" fieldPosition="0">
        <references count="10">
          <reference field="1" count="0" selected="0"/>
          <reference field="3" count="1" selected="0">
            <x v="6"/>
          </reference>
          <reference field="4" count="1" selected="0">
            <x v="0"/>
          </reference>
          <reference field="5" count="1" selected="0">
            <x v="177"/>
          </reference>
          <reference field="6" count="1" selected="0">
            <x v="9"/>
          </reference>
          <reference field="9" count="1" selected="0">
            <x v="10"/>
          </reference>
          <reference field="11" count="1" selected="0">
            <x v="1"/>
          </reference>
          <reference field="12" count="1" selected="0">
            <x v="8"/>
          </reference>
          <reference field="13" count="1" selected="0">
            <x v="3"/>
          </reference>
          <reference field="14" count="1">
            <x v="4"/>
          </reference>
        </references>
      </pivotArea>
    </format>
    <format dxfId="9099">
      <pivotArea dataOnly="0" labelOnly="1" outline="0" fieldPosition="0">
        <references count="10">
          <reference field="1" count="0" selected="0"/>
          <reference field="3" count="1" selected="0">
            <x v="6"/>
          </reference>
          <reference field="4" count="1" selected="0">
            <x v="0"/>
          </reference>
          <reference field="5" count="1" selected="0">
            <x v="184"/>
          </reference>
          <reference field="6" count="1" selected="0">
            <x v="9"/>
          </reference>
          <reference field="9" count="1" selected="0">
            <x v="10"/>
          </reference>
          <reference field="11" count="1" selected="0">
            <x v="10"/>
          </reference>
          <reference field="12" count="1" selected="0">
            <x v="28"/>
          </reference>
          <reference field="13" count="1" selected="0">
            <x v="3"/>
          </reference>
          <reference field="14" count="1">
            <x v="53"/>
          </reference>
        </references>
      </pivotArea>
    </format>
    <format dxfId="9098">
      <pivotArea dataOnly="0" labelOnly="1" outline="0" fieldPosition="0">
        <references count="10">
          <reference field="1" count="0" selected="0"/>
          <reference field="3" count="1" selected="0">
            <x v="6"/>
          </reference>
          <reference field="4" count="1" selected="0">
            <x v="0"/>
          </reference>
          <reference field="5" count="1" selected="0">
            <x v="187"/>
          </reference>
          <reference field="6" count="1" selected="0">
            <x v="9"/>
          </reference>
          <reference field="9" count="1" selected="0">
            <x v="10"/>
          </reference>
          <reference field="11" count="1" selected="0">
            <x v="50"/>
          </reference>
          <reference field="12" count="1" selected="0">
            <x v="8"/>
          </reference>
          <reference field="13" count="1" selected="0">
            <x v="3"/>
          </reference>
          <reference field="14" count="1">
            <x v="48"/>
          </reference>
        </references>
      </pivotArea>
    </format>
    <format dxfId="9097">
      <pivotArea dataOnly="0" labelOnly="1" outline="0" fieldPosition="0">
        <references count="10">
          <reference field="1" count="0" selected="0"/>
          <reference field="3" count="1" selected="0">
            <x v="6"/>
          </reference>
          <reference field="4" count="1" selected="0">
            <x v="0"/>
          </reference>
          <reference field="5" count="1" selected="0">
            <x v="209"/>
          </reference>
          <reference field="6" count="1" selected="0">
            <x v="9"/>
          </reference>
          <reference field="9" count="1" selected="0">
            <x v="10"/>
          </reference>
          <reference field="11" count="1" selected="0">
            <x v="36"/>
          </reference>
          <reference field="12" count="1" selected="0">
            <x v="8"/>
          </reference>
          <reference field="13" count="1" selected="0">
            <x v="3"/>
          </reference>
          <reference field="14" count="1">
            <x v="35"/>
          </reference>
        </references>
      </pivotArea>
    </format>
    <format dxfId="9096">
      <pivotArea dataOnly="0" labelOnly="1" outline="0" fieldPosition="0">
        <references count="10">
          <reference field="1" count="0" selected="0"/>
          <reference field="3" count="1" selected="0">
            <x v="6"/>
          </reference>
          <reference field="4" count="1" selected="0">
            <x v="0"/>
          </reference>
          <reference field="5" count="1" selected="0">
            <x v="325"/>
          </reference>
          <reference field="6" count="1" selected="0">
            <x v="9"/>
          </reference>
          <reference field="9" count="1" selected="0">
            <x v="10"/>
          </reference>
          <reference field="11" count="1" selected="0">
            <x v="14"/>
          </reference>
          <reference field="12" count="1" selected="0">
            <x v="13"/>
          </reference>
          <reference field="13" count="1" selected="0">
            <x v="3"/>
          </reference>
          <reference field="14" count="1">
            <x v="17"/>
          </reference>
        </references>
      </pivotArea>
    </format>
    <format dxfId="9095">
      <pivotArea dataOnly="0" labelOnly="1" outline="0" fieldPosition="0">
        <references count="10">
          <reference field="1" count="0" selected="0"/>
          <reference field="3" count="1" selected="0">
            <x v="8"/>
          </reference>
          <reference field="4" count="1" selected="0">
            <x v="3"/>
          </reference>
          <reference field="5" count="1" selected="0">
            <x v="133"/>
          </reference>
          <reference field="6" count="1" selected="0">
            <x v="3"/>
          </reference>
          <reference field="9" count="1" selected="0">
            <x v="10"/>
          </reference>
          <reference field="11" count="1" selected="0">
            <x v="5"/>
          </reference>
          <reference field="12" count="1" selected="0">
            <x v="4"/>
          </reference>
          <reference field="13" count="1" selected="0">
            <x v="3"/>
          </reference>
          <reference field="14" count="1">
            <x v="2"/>
          </reference>
        </references>
      </pivotArea>
    </format>
    <format dxfId="9094">
      <pivotArea dataOnly="0" labelOnly="1" outline="0" fieldPosition="0">
        <references count="10">
          <reference field="1" count="0" selected="0"/>
          <reference field="3" count="1" selected="0">
            <x v="8"/>
          </reference>
          <reference field="4" count="1" selected="0">
            <x v="3"/>
          </reference>
          <reference field="5" count="1" selected="0">
            <x v="139"/>
          </reference>
          <reference field="6" count="1" selected="0">
            <x v="3"/>
          </reference>
          <reference field="9" count="1" selected="0">
            <x v="10"/>
          </reference>
          <reference field="11" count="1" selected="0">
            <x v="14"/>
          </reference>
          <reference field="12" count="1" selected="0">
            <x v="12"/>
          </reference>
          <reference field="13" count="1" selected="0">
            <x v="3"/>
          </reference>
          <reference field="14" count="1">
            <x v="17"/>
          </reference>
        </references>
      </pivotArea>
    </format>
    <format dxfId="9093">
      <pivotArea dataOnly="0" labelOnly="1" outline="0" fieldPosition="0">
        <references count="10">
          <reference field="1" count="0" selected="0"/>
          <reference field="3" count="1" selected="0">
            <x v="8"/>
          </reference>
          <reference field="4" count="1" selected="0">
            <x v="3"/>
          </reference>
          <reference field="5" count="1" selected="0">
            <x v="162"/>
          </reference>
          <reference field="6" count="1" selected="0">
            <x v="3"/>
          </reference>
          <reference field="9" count="1" selected="0">
            <x v="10"/>
          </reference>
          <reference field="11" count="1" selected="0">
            <x v="15"/>
          </reference>
          <reference field="12" count="1" selected="0">
            <x v="8"/>
          </reference>
          <reference field="13" count="1" selected="0">
            <x v="3"/>
          </reference>
          <reference field="14" count="1">
            <x v="22"/>
          </reference>
        </references>
      </pivotArea>
    </format>
    <format dxfId="9092">
      <pivotArea dataOnly="0" labelOnly="1" outline="0" fieldPosition="0">
        <references count="7">
          <reference field="1" count="0" selected="0"/>
          <reference field="3" count="1" selected="0">
            <x v="0"/>
          </reference>
          <reference field="4" count="1" selected="0">
            <x v="1"/>
          </reference>
          <reference field="5" count="1" selected="0">
            <x v="344"/>
          </reference>
          <reference field="6" count="1" selected="0">
            <x v="7"/>
          </reference>
          <reference field="9" count="1" selected="0">
            <x v="10"/>
          </reference>
          <reference field="11" count="1">
            <x v="14"/>
          </reference>
        </references>
      </pivotArea>
    </format>
    <format dxfId="9091">
      <pivotArea dataOnly="0" labelOnly="1" outline="0" fieldPosition="0">
        <references count="7">
          <reference field="1" count="0" selected="0"/>
          <reference field="3" count="1" selected="0">
            <x v="3"/>
          </reference>
          <reference field="4" count="1" selected="0">
            <x v="1"/>
          </reference>
          <reference field="5" count="1" selected="0">
            <x v="194"/>
          </reference>
          <reference field="6" count="1" selected="0">
            <x v="2"/>
          </reference>
          <reference field="9" count="1" selected="0">
            <x v="10"/>
          </reference>
          <reference field="11" count="1">
            <x v="3"/>
          </reference>
        </references>
      </pivotArea>
    </format>
    <format dxfId="9090">
      <pivotArea dataOnly="0" labelOnly="1" outline="0" fieldPosition="0">
        <references count="7">
          <reference field="1" count="0" selected="0"/>
          <reference field="3" count="1" selected="0">
            <x v="3"/>
          </reference>
          <reference field="4" count="1" selected="0">
            <x v="1"/>
          </reference>
          <reference field="5" count="1" selected="0">
            <x v="199"/>
          </reference>
          <reference field="6" count="1" selected="0">
            <x v="2"/>
          </reference>
          <reference field="9" count="1" selected="0">
            <x v="10"/>
          </reference>
          <reference field="11" count="1">
            <x v="5"/>
          </reference>
        </references>
      </pivotArea>
    </format>
    <format dxfId="9089">
      <pivotArea dataOnly="0" labelOnly="1" outline="0" fieldPosition="0">
        <references count="7">
          <reference field="1" count="0" selected="0"/>
          <reference field="3" count="1" selected="0">
            <x v="3"/>
          </reference>
          <reference field="4" count="1" selected="0">
            <x v="1"/>
          </reference>
          <reference field="5" count="1" selected="0">
            <x v="202"/>
          </reference>
          <reference field="6" count="1" selected="0">
            <x v="2"/>
          </reference>
          <reference field="9" count="1" selected="0">
            <x v="10"/>
          </reference>
          <reference field="11" count="1">
            <x v="16"/>
          </reference>
        </references>
      </pivotArea>
    </format>
    <format dxfId="9088">
      <pivotArea dataOnly="0" labelOnly="1" outline="0" fieldPosition="0">
        <references count="7">
          <reference field="1" count="0" selected="0"/>
          <reference field="3" count="1" selected="0">
            <x v="4"/>
          </reference>
          <reference field="4" count="1" selected="0">
            <x v="1"/>
          </reference>
          <reference field="5" count="1" selected="0">
            <x v="97"/>
          </reference>
          <reference field="6" count="1" selected="0">
            <x v="2"/>
          </reference>
          <reference field="9" count="1" selected="0">
            <x v="10"/>
          </reference>
          <reference field="11" count="1">
            <x v="14"/>
          </reference>
        </references>
      </pivotArea>
    </format>
    <format dxfId="9087">
      <pivotArea dataOnly="0" labelOnly="1" outline="0" fieldPosition="0">
        <references count="7">
          <reference field="1" count="0" selected="0"/>
          <reference field="3" count="1" selected="0">
            <x v="4"/>
          </reference>
          <reference field="4" count="1" selected="0">
            <x v="1"/>
          </reference>
          <reference field="5" count="1" selected="0">
            <x v="105"/>
          </reference>
          <reference field="6" count="1" selected="0">
            <x v="2"/>
          </reference>
          <reference field="9" count="1" selected="0">
            <x v="2"/>
          </reference>
          <reference field="11" count="1">
            <x v="14"/>
          </reference>
        </references>
      </pivotArea>
    </format>
    <format dxfId="9086">
      <pivotArea dataOnly="0" labelOnly="1" outline="0" fieldPosition="0">
        <references count="7">
          <reference field="1" count="0" selected="0"/>
          <reference field="3" count="1" selected="0">
            <x v="4"/>
          </reference>
          <reference field="4" count="1" selected="0">
            <x v="1"/>
          </reference>
          <reference field="5" count="1" selected="0">
            <x v="214"/>
          </reference>
          <reference field="6" count="1" selected="0">
            <x v="2"/>
          </reference>
          <reference field="9" count="1" selected="0">
            <x v="10"/>
          </reference>
          <reference field="11" count="1">
            <x v="35"/>
          </reference>
        </references>
      </pivotArea>
    </format>
    <format dxfId="9085">
      <pivotArea dataOnly="0" labelOnly="1" outline="0" fieldPosition="0">
        <references count="7">
          <reference field="1" count="0" selected="0"/>
          <reference field="3" count="1" selected="0">
            <x v="4"/>
          </reference>
          <reference field="4" count="1" selected="0">
            <x v="1"/>
          </reference>
          <reference field="5" count="1" selected="0">
            <x v="222"/>
          </reference>
          <reference field="6" count="1" selected="0">
            <x v="9"/>
          </reference>
          <reference field="9" count="1" selected="0">
            <x v="8"/>
          </reference>
          <reference field="11" count="1">
            <x v="34"/>
          </reference>
        </references>
      </pivotArea>
    </format>
    <format dxfId="9084">
      <pivotArea dataOnly="0" labelOnly="1" outline="0" fieldPosition="0">
        <references count="7">
          <reference field="1" count="0" selected="0"/>
          <reference field="3" count="1" selected="0">
            <x v="4"/>
          </reference>
          <reference field="4" count="1" selected="0">
            <x v="1"/>
          </reference>
          <reference field="5" count="1" selected="0">
            <x v="329"/>
          </reference>
          <reference field="6" count="1" selected="0">
            <x v="2"/>
          </reference>
          <reference field="9" count="1" selected="0">
            <x v="4"/>
          </reference>
          <reference field="11" count="1">
            <x v="28"/>
          </reference>
        </references>
      </pivotArea>
    </format>
    <format dxfId="9083">
      <pivotArea dataOnly="0" labelOnly="1" outline="0" fieldPosition="0">
        <references count="7">
          <reference field="1" count="0" selected="0"/>
          <reference field="3" count="1" selected="0">
            <x v="6"/>
          </reference>
          <reference field="4" count="1" selected="0">
            <x v="0"/>
          </reference>
          <reference field="5" count="1" selected="0">
            <x v="120"/>
          </reference>
          <reference field="6" count="1" selected="0">
            <x v="9"/>
          </reference>
          <reference field="9" count="1" selected="0">
            <x v="10"/>
          </reference>
          <reference field="11" count="1">
            <x v="3"/>
          </reference>
        </references>
      </pivotArea>
    </format>
    <format dxfId="9082">
      <pivotArea dataOnly="0" labelOnly="1" outline="0" fieldPosition="0">
        <references count="7">
          <reference field="1" count="0" selected="0"/>
          <reference field="3" count="1" selected="0">
            <x v="6"/>
          </reference>
          <reference field="4" count="1" selected="0">
            <x v="0"/>
          </reference>
          <reference field="5" count="1" selected="0">
            <x v="156"/>
          </reference>
          <reference field="6" count="1" selected="0">
            <x v="9"/>
          </reference>
          <reference field="9" count="1" selected="0">
            <x v="10"/>
          </reference>
          <reference field="11" count="1">
            <x v="23"/>
          </reference>
        </references>
      </pivotArea>
    </format>
    <format dxfId="9081">
      <pivotArea dataOnly="0" labelOnly="1" outline="0" fieldPosition="0">
        <references count="7">
          <reference field="1" count="0" selected="0"/>
          <reference field="3" count="1" selected="0">
            <x v="6"/>
          </reference>
          <reference field="4" count="1" selected="0">
            <x v="0"/>
          </reference>
          <reference field="5" count="1" selected="0">
            <x v="159"/>
          </reference>
          <reference field="6" count="1" selected="0">
            <x v="9"/>
          </reference>
          <reference field="9" count="1" selected="0">
            <x v="10"/>
          </reference>
          <reference field="11" count="1">
            <x v="30"/>
          </reference>
        </references>
      </pivotArea>
    </format>
    <format dxfId="9080">
      <pivotArea dataOnly="0" labelOnly="1" outline="0" fieldPosition="0">
        <references count="7">
          <reference field="1" count="0" selected="0"/>
          <reference field="3" count="1" selected="0">
            <x v="6"/>
          </reference>
          <reference field="4" count="1" selected="0">
            <x v="0"/>
          </reference>
          <reference field="5" count="1" selected="0">
            <x v="168"/>
          </reference>
          <reference field="6" count="1" selected="0">
            <x v="9"/>
          </reference>
          <reference field="9" count="1" selected="0">
            <x v="10"/>
          </reference>
          <reference field="11" count="1">
            <x v="47"/>
          </reference>
        </references>
      </pivotArea>
    </format>
    <format dxfId="9079">
      <pivotArea dataOnly="0" labelOnly="1" outline="0" fieldPosition="0">
        <references count="7">
          <reference field="1" count="0" selected="0"/>
          <reference field="3" count="1" selected="0">
            <x v="6"/>
          </reference>
          <reference field="4" count="1" selected="0">
            <x v="0"/>
          </reference>
          <reference field="5" count="1" selected="0">
            <x v="172"/>
          </reference>
          <reference field="6" count="1" selected="0">
            <x v="9"/>
          </reference>
          <reference field="9" count="1" selected="0">
            <x v="10"/>
          </reference>
          <reference field="11" count="1">
            <x v="14"/>
          </reference>
        </references>
      </pivotArea>
    </format>
    <format dxfId="9078">
      <pivotArea dataOnly="0" labelOnly="1" outline="0" fieldPosition="0">
        <references count="7">
          <reference field="1" count="0" selected="0"/>
          <reference field="3" count="1" selected="0">
            <x v="6"/>
          </reference>
          <reference field="4" count="1" selected="0">
            <x v="0"/>
          </reference>
          <reference field="5" count="1" selected="0">
            <x v="177"/>
          </reference>
          <reference field="6" count="1" selected="0">
            <x v="9"/>
          </reference>
          <reference field="9" count="1" selected="0">
            <x v="10"/>
          </reference>
          <reference field="11" count="1">
            <x v="1"/>
          </reference>
        </references>
      </pivotArea>
    </format>
    <format dxfId="9077">
      <pivotArea dataOnly="0" labelOnly="1" outline="0" fieldPosition="0">
        <references count="7">
          <reference field="1" count="0" selected="0"/>
          <reference field="3" count="1" selected="0">
            <x v="6"/>
          </reference>
          <reference field="4" count="1" selected="0">
            <x v="0"/>
          </reference>
          <reference field="5" count="1" selected="0">
            <x v="184"/>
          </reference>
          <reference field="6" count="1" selected="0">
            <x v="9"/>
          </reference>
          <reference field="9" count="1" selected="0">
            <x v="10"/>
          </reference>
          <reference field="11" count="1">
            <x v="10"/>
          </reference>
        </references>
      </pivotArea>
    </format>
    <format dxfId="9076">
      <pivotArea dataOnly="0" labelOnly="1" outline="0" fieldPosition="0">
        <references count="7">
          <reference field="1" count="0" selected="0"/>
          <reference field="3" count="1" selected="0">
            <x v="6"/>
          </reference>
          <reference field="4" count="1" selected="0">
            <x v="0"/>
          </reference>
          <reference field="5" count="1" selected="0">
            <x v="187"/>
          </reference>
          <reference field="6" count="1" selected="0">
            <x v="9"/>
          </reference>
          <reference field="9" count="1" selected="0">
            <x v="10"/>
          </reference>
          <reference field="11" count="1">
            <x v="50"/>
          </reference>
        </references>
      </pivotArea>
    </format>
    <format dxfId="9075">
      <pivotArea dataOnly="0" labelOnly="1" outline="0" fieldPosition="0">
        <references count="7">
          <reference field="1" count="0" selected="0"/>
          <reference field="3" count="1" selected="0">
            <x v="6"/>
          </reference>
          <reference field="4" count="1" selected="0">
            <x v="0"/>
          </reference>
          <reference field="5" count="1" selected="0">
            <x v="209"/>
          </reference>
          <reference field="6" count="1" selected="0">
            <x v="9"/>
          </reference>
          <reference field="9" count="1" selected="0">
            <x v="10"/>
          </reference>
          <reference field="11" count="1">
            <x v="36"/>
          </reference>
        </references>
      </pivotArea>
    </format>
    <format dxfId="9074">
      <pivotArea dataOnly="0" labelOnly="1" outline="0" fieldPosition="0">
        <references count="7">
          <reference field="1" count="0" selected="0"/>
          <reference field="3" count="1" selected="0">
            <x v="6"/>
          </reference>
          <reference field="4" count="1" selected="0">
            <x v="0"/>
          </reference>
          <reference field="5" count="1" selected="0">
            <x v="325"/>
          </reference>
          <reference field="6" count="1" selected="0">
            <x v="9"/>
          </reference>
          <reference field="9" count="1" selected="0">
            <x v="10"/>
          </reference>
          <reference field="11" count="1">
            <x v="14"/>
          </reference>
        </references>
      </pivotArea>
    </format>
    <format dxfId="9073">
      <pivotArea dataOnly="0" labelOnly="1" outline="0" fieldPosition="0">
        <references count="7">
          <reference field="1" count="0" selected="0"/>
          <reference field="3" count="1" selected="0">
            <x v="6"/>
          </reference>
          <reference field="4" count="1" selected="0">
            <x v="0"/>
          </reference>
          <reference field="5" count="1" selected="0">
            <x v="352"/>
          </reference>
          <reference field="6" count="1" selected="0">
            <x v="9"/>
          </reference>
          <reference field="9" count="1" selected="0">
            <x v="10"/>
          </reference>
          <reference field="11" count="1">
            <x v="38"/>
          </reference>
        </references>
      </pivotArea>
    </format>
    <format dxfId="9072">
      <pivotArea dataOnly="0" labelOnly="1" outline="0" fieldPosition="0">
        <references count="7">
          <reference field="1" count="0" selected="0"/>
          <reference field="3" count="1" selected="0">
            <x v="8"/>
          </reference>
          <reference field="4" count="1" selected="0">
            <x v="3"/>
          </reference>
          <reference field="5" count="1" selected="0">
            <x v="133"/>
          </reference>
          <reference field="6" count="1" selected="0">
            <x v="3"/>
          </reference>
          <reference field="9" count="1" selected="0">
            <x v="10"/>
          </reference>
          <reference field="11" count="1">
            <x v="5"/>
          </reference>
        </references>
      </pivotArea>
    </format>
    <format dxfId="9071">
      <pivotArea dataOnly="0" labelOnly="1" outline="0" fieldPosition="0">
        <references count="7">
          <reference field="1" count="0" selected="0"/>
          <reference field="3" count="1" selected="0">
            <x v="8"/>
          </reference>
          <reference field="4" count="1" selected="0">
            <x v="3"/>
          </reference>
          <reference field="5" count="1" selected="0">
            <x v="139"/>
          </reference>
          <reference field="6" count="1" selected="0">
            <x v="3"/>
          </reference>
          <reference field="9" count="1" selected="0">
            <x v="10"/>
          </reference>
          <reference field="11" count="1">
            <x v="14"/>
          </reference>
        </references>
      </pivotArea>
    </format>
    <format dxfId="9070">
      <pivotArea dataOnly="0" labelOnly="1" outline="0" fieldPosition="0">
        <references count="7">
          <reference field="1" count="0" selected="0"/>
          <reference field="3" count="1" selected="0">
            <x v="8"/>
          </reference>
          <reference field="4" count="1" selected="0">
            <x v="3"/>
          </reference>
          <reference field="5" count="1" selected="0">
            <x v="162"/>
          </reference>
          <reference field="6" count="1" selected="0">
            <x v="3"/>
          </reference>
          <reference field="9" count="1" selected="0">
            <x v="10"/>
          </reference>
          <reference field="11" count="1">
            <x v="15"/>
          </reference>
        </references>
      </pivotArea>
    </format>
    <format dxfId="9069">
      <pivotArea dataOnly="0" labelOnly="1" outline="0" fieldPosition="0">
        <references count="8">
          <reference field="1" count="0" selected="0"/>
          <reference field="3" count="1" selected="0">
            <x v="0"/>
          </reference>
          <reference field="4" count="1" selected="0">
            <x v="1"/>
          </reference>
          <reference field="5" count="1" selected="0">
            <x v="344"/>
          </reference>
          <reference field="6" count="1" selected="0">
            <x v="7"/>
          </reference>
          <reference field="9" count="1" selected="0">
            <x v="10"/>
          </reference>
          <reference field="11" count="1" selected="0">
            <x v="14"/>
          </reference>
          <reference field="12" count="1">
            <x v="8"/>
          </reference>
        </references>
      </pivotArea>
    </format>
    <format dxfId="9068">
      <pivotArea dataOnly="0" labelOnly="1" outline="0" fieldPosition="0">
        <references count="8">
          <reference field="1" count="0" selected="0"/>
          <reference field="3" count="1" selected="0">
            <x v="3"/>
          </reference>
          <reference field="4" count="1" selected="0">
            <x v="1"/>
          </reference>
          <reference field="5" count="1" selected="0">
            <x v="199"/>
          </reference>
          <reference field="6" count="1" selected="0">
            <x v="2"/>
          </reference>
          <reference field="9" count="1" selected="0">
            <x v="10"/>
          </reference>
          <reference field="11" count="1" selected="0">
            <x v="5"/>
          </reference>
          <reference field="12" count="1">
            <x v="25"/>
          </reference>
        </references>
      </pivotArea>
    </format>
    <format dxfId="9067">
      <pivotArea dataOnly="0" labelOnly="1" outline="0" fieldPosition="0">
        <references count="8">
          <reference field="1" count="0" selected="0"/>
          <reference field="3" count="1" selected="0">
            <x v="3"/>
          </reference>
          <reference field="4" count="1" selected="0">
            <x v="1"/>
          </reference>
          <reference field="5" count="1" selected="0">
            <x v="202"/>
          </reference>
          <reference field="6" count="1" selected="0">
            <x v="2"/>
          </reference>
          <reference field="9" count="1" selected="0">
            <x v="10"/>
          </reference>
          <reference field="11" count="1" selected="0">
            <x v="16"/>
          </reference>
          <reference field="12" count="1">
            <x v="8"/>
          </reference>
        </references>
      </pivotArea>
    </format>
    <format dxfId="9066">
      <pivotArea dataOnly="0" labelOnly="1" outline="0" fieldPosition="0">
        <references count="8">
          <reference field="1" count="0" selected="0"/>
          <reference field="3" count="1" selected="0">
            <x v="4"/>
          </reference>
          <reference field="4" count="1" selected="0">
            <x v="1"/>
          </reference>
          <reference field="5" count="1" selected="0">
            <x v="97"/>
          </reference>
          <reference field="6" count="1" selected="0">
            <x v="2"/>
          </reference>
          <reference field="9" count="1" selected="0">
            <x v="10"/>
          </reference>
          <reference field="11" count="1" selected="0">
            <x v="14"/>
          </reference>
          <reference field="12" count="1">
            <x v="20"/>
          </reference>
        </references>
      </pivotArea>
    </format>
    <format dxfId="9065">
      <pivotArea dataOnly="0" labelOnly="1" outline="0" fieldPosition="0">
        <references count="8">
          <reference field="1" count="0" selected="0"/>
          <reference field="3" count="1" selected="0">
            <x v="4"/>
          </reference>
          <reference field="4" count="1" selected="0">
            <x v="1"/>
          </reference>
          <reference field="5" count="1" selected="0">
            <x v="143"/>
          </reference>
          <reference field="6" count="1" selected="0">
            <x v="2"/>
          </reference>
          <reference field="9" count="1" selected="0">
            <x v="10"/>
          </reference>
          <reference field="11" count="1" selected="0">
            <x v="14"/>
          </reference>
          <reference field="12" count="1">
            <x v="3"/>
          </reference>
        </references>
      </pivotArea>
    </format>
    <format dxfId="9064">
      <pivotArea dataOnly="0" labelOnly="1" outline="0" fieldPosition="0">
        <references count="8">
          <reference field="1" count="0" selected="0"/>
          <reference field="3" count="1" selected="0">
            <x v="4"/>
          </reference>
          <reference field="4" count="1" selected="0">
            <x v="1"/>
          </reference>
          <reference field="5" count="1" selected="0">
            <x v="214"/>
          </reference>
          <reference field="6" count="1" selected="0">
            <x v="2"/>
          </reference>
          <reference field="9" count="1" selected="0">
            <x v="10"/>
          </reference>
          <reference field="11" count="1" selected="0">
            <x v="35"/>
          </reference>
          <reference field="12" count="1">
            <x v="8"/>
          </reference>
        </references>
      </pivotArea>
    </format>
    <format dxfId="9063">
      <pivotArea dataOnly="0" labelOnly="1" outline="0" fieldPosition="0">
        <references count="8">
          <reference field="1" count="0" selected="0"/>
          <reference field="3" count="1" selected="0">
            <x v="6"/>
          </reference>
          <reference field="4" count="1" selected="0">
            <x v="0"/>
          </reference>
          <reference field="5" count="1" selected="0">
            <x v="120"/>
          </reference>
          <reference field="6" count="1" selected="0">
            <x v="9"/>
          </reference>
          <reference field="9" count="1" selected="0">
            <x v="10"/>
          </reference>
          <reference field="11" count="1" selected="0">
            <x v="3"/>
          </reference>
          <reference field="12" count="1">
            <x v="1"/>
          </reference>
        </references>
      </pivotArea>
    </format>
    <format dxfId="9062">
      <pivotArea dataOnly="0" labelOnly="1" outline="0" fieldPosition="0">
        <references count="8">
          <reference field="1" count="0" selected="0"/>
          <reference field="3" count="1" selected="0">
            <x v="6"/>
          </reference>
          <reference field="4" count="1" selected="0">
            <x v="0"/>
          </reference>
          <reference field="5" count="1" selected="0">
            <x v="168"/>
          </reference>
          <reference field="6" count="1" selected="0">
            <x v="9"/>
          </reference>
          <reference field="9" count="1" selected="0">
            <x v="10"/>
          </reference>
          <reference field="11" count="1" selected="0">
            <x v="47"/>
          </reference>
          <reference field="12" count="1">
            <x v="0"/>
          </reference>
        </references>
      </pivotArea>
    </format>
    <format dxfId="9061">
      <pivotArea dataOnly="0" labelOnly="1" outline="0" fieldPosition="0">
        <references count="8">
          <reference field="1" count="0" selected="0"/>
          <reference field="3" count="1" selected="0">
            <x v="6"/>
          </reference>
          <reference field="4" count="1" selected="0">
            <x v="0"/>
          </reference>
          <reference field="5" count="1" selected="0">
            <x v="172"/>
          </reference>
          <reference field="6" count="1" selected="0">
            <x v="9"/>
          </reference>
          <reference field="9" count="1" selected="0">
            <x v="10"/>
          </reference>
          <reference field="11" count="1" selected="0">
            <x v="14"/>
          </reference>
          <reference field="12" count="1">
            <x v="33"/>
          </reference>
        </references>
      </pivotArea>
    </format>
    <format dxfId="9060">
      <pivotArea dataOnly="0" labelOnly="1" outline="0" fieldPosition="0">
        <references count="8">
          <reference field="1" count="0" selected="0"/>
          <reference field="3" count="1" selected="0">
            <x v="6"/>
          </reference>
          <reference field="4" count="1" selected="0">
            <x v="0"/>
          </reference>
          <reference field="5" count="1" selected="0">
            <x v="177"/>
          </reference>
          <reference field="6" count="1" selected="0">
            <x v="9"/>
          </reference>
          <reference field="9" count="1" selected="0">
            <x v="10"/>
          </reference>
          <reference field="11" count="1" selected="0">
            <x v="1"/>
          </reference>
          <reference field="12" count="1">
            <x v="8"/>
          </reference>
        </references>
      </pivotArea>
    </format>
    <format dxfId="9059">
      <pivotArea dataOnly="0" labelOnly="1" outline="0" fieldPosition="0">
        <references count="8">
          <reference field="1" count="0" selected="0"/>
          <reference field="3" count="1" selected="0">
            <x v="6"/>
          </reference>
          <reference field="4" count="1" selected="0">
            <x v="0"/>
          </reference>
          <reference field="5" count="1" selected="0">
            <x v="184"/>
          </reference>
          <reference field="6" count="1" selected="0">
            <x v="9"/>
          </reference>
          <reference field="9" count="1" selected="0">
            <x v="10"/>
          </reference>
          <reference field="11" count="1" selected="0">
            <x v="10"/>
          </reference>
          <reference field="12" count="1">
            <x v="28"/>
          </reference>
        </references>
      </pivotArea>
    </format>
    <format dxfId="9058">
      <pivotArea dataOnly="0" labelOnly="1" outline="0" fieldPosition="0">
        <references count="8">
          <reference field="1" count="0" selected="0"/>
          <reference field="3" count="1" selected="0">
            <x v="6"/>
          </reference>
          <reference field="4" count="1" selected="0">
            <x v="0"/>
          </reference>
          <reference field="5" count="1" selected="0">
            <x v="187"/>
          </reference>
          <reference field="6" count="1" selected="0">
            <x v="9"/>
          </reference>
          <reference field="9" count="1" selected="0">
            <x v="10"/>
          </reference>
          <reference field="11" count="1" selected="0">
            <x v="50"/>
          </reference>
          <reference field="12" count="1">
            <x v="8"/>
          </reference>
        </references>
      </pivotArea>
    </format>
    <format dxfId="9057">
      <pivotArea dataOnly="0" labelOnly="1" outline="0" fieldPosition="0">
        <references count="8">
          <reference field="1" count="0" selected="0"/>
          <reference field="3" count="1" selected="0">
            <x v="6"/>
          </reference>
          <reference field="4" count="1" selected="0">
            <x v="0"/>
          </reference>
          <reference field="5" count="1" selected="0">
            <x v="325"/>
          </reference>
          <reference field="6" count="1" selected="0">
            <x v="9"/>
          </reference>
          <reference field="9" count="1" selected="0">
            <x v="10"/>
          </reference>
          <reference field="11" count="1" selected="0">
            <x v="14"/>
          </reference>
          <reference field="12" count="1">
            <x v="13"/>
          </reference>
        </references>
      </pivotArea>
    </format>
    <format dxfId="9056">
      <pivotArea dataOnly="0" labelOnly="1" outline="0" fieldPosition="0">
        <references count="8">
          <reference field="1" count="0" selected="0"/>
          <reference field="3" count="1" selected="0">
            <x v="8"/>
          </reference>
          <reference field="4" count="1" selected="0">
            <x v="3"/>
          </reference>
          <reference field="5" count="1" selected="0">
            <x v="133"/>
          </reference>
          <reference field="6" count="1" selected="0">
            <x v="3"/>
          </reference>
          <reference field="9" count="1" selected="0">
            <x v="10"/>
          </reference>
          <reference field="11" count="1" selected="0">
            <x v="5"/>
          </reference>
          <reference field="12" count="1">
            <x v="4"/>
          </reference>
        </references>
      </pivotArea>
    </format>
    <format dxfId="9055">
      <pivotArea dataOnly="0" labelOnly="1" outline="0" fieldPosition="0">
        <references count="8">
          <reference field="1" count="0" selected="0"/>
          <reference field="3" count="1" selected="0">
            <x v="8"/>
          </reference>
          <reference field="4" count="1" selected="0">
            <x v="3"/>
          </reference>
          <reference field="5" count="1" selected="0">
            <x v="139"/>
          </reference>
          <reference field="6" count="1" selected="0">
            <x v="3"/>
          </reference>
          <reference field="9" count="1" selected="0">
            <x v="10"/>
          </reference>
          <reference field="11" count="1" selected="0">
            <x v="14"/>
          </reference>
          <reference field="12" count="1">
            <x v="12"/>
          </reference>
        </references>
      </pivotArea>
    </format>
    <format dxfId="9054">
      <pivotArea dataOnly="0" labelOnly="1" outline="0" fieldPosition="0">
        <references count="8">
          <reference field="1" count="0" selected="0"/>
          <reference field="3" count="1" selected="0">
            <x v="8"/>
          </reference>
          <reference field="4" count="1" selected="0">
            <x v="3"/>
          </reference>
          <reference field="5" count="1" selected="0">
            <x v="162"/>
          </reference>
          <reference field="6" count="1" selected="0">
            <x v="3"/>
          </reference>
          <reference field="9" count="1" selected="0">
            <x v="10"/>
          </reference>
          <reference field="11" count="1" selected="0">
            <x v="15"/>
          </reference>
          <reference field="12" count="1">
            <x v="8"/>
          </reference>
        </references>
      </pivotArea>
    </format>
    <format dxfId="9053">
      <pivotArea dataOnly="0" labelOnly="1" outline="0" fieldPosition="0">
        <references count="9">
          <reference field="1" count="0" selected="0"/>
          <reference field="3" count="1" selected="0">
            <x v="0"/>
          </reference>
          <reference field="4" count="1" selected="0">
            <x v="1"/>
          </reference>
          <reference field="5" count="1" selected="0">
            <x v="344"/>
          </reference>
          <reference field="6" count="1" selected="0">
            <x v="7"/>
          </reference>
          <reference field="9" count="1" selected="0">
            <x v="10"/>
          </reference>
          <reference field="11" count="1" selected="0">
            <x v="14"/>
          </reference>
          <reference field="12" count="1" selected="0">
            <x v="8"/>
          </reference>
          <reference field="13" count="1">
            <x v="3"/>
          </reference>
        </references>
      </pivotArea>
    </format>
    <format dxfId="9052">
      <pivotArea dataOnly="0" labelOnly="1" outline="0" fieldPosition="0">
        <references count="9">
          <reference field="1" count="0" selected="0"/>
          <reference field="3" count="1" selected="0">
            <x v="4"/>
          </reference>
          <reference field="4" count="1" selected="0">
            <x v="1"/>
          </reference>
          <reference field="5" count="1" selected="0">
            <x v="214"/>
          </reference>
          <reference field="6" count="1" selected="0">
            <x v="2"/>
          </reference>
          <reference field="9" count="1" selected="0">
            <x v="10"/>
          </reference>
          <reference field="11" count="1" selected="0">
            <x v="35"/>
          </reference>
          <reference field="12" count="1" selected="0">
            <x v="8"/>
          </reference>
          <reference field="13" count="1">
            <x v="3"/>
          </reference>
        </references>
      </pivotArea>
    </format>
    <format dxfId="9051">
      <pivotArea dataOnly="0" labelOnly="1" outline="0" fieldPosition="0">
        <references count="9">
          <reference field="1" count="0" selected="0"/>
          <reference field="3" count="1" selected="0">
            <x v="6"/>
          </reference>
          <reference field="4" count="1" selected="0">
            <x v="0"/>
          </reference>
          <reference field="5" count="1" selected="0">
            <x v="168"/>
          </reference>
          <reference field="6" count="1" selected="0">
            <x v="9"/>
          </reference>
          <reference field="9" count="1" selected="0">
            <x v="10"/>
          </reference>
          <reference field="11" count="1" selected="0">
            <x v="47"/>
          </reference>
          <reference field="12" count="1" selected="0">
            <x v="0"/>
          </reference>
          <reference field="13" count="1">
            <x v="4"/>
          </reference>
        </references>
      </pivotArea>
    </format>
    <format dxfId="9050">
      <pivotArea dataOnly="0" labelOnly="1" outline="0" fieldPosition="0">
        <references count="9">
          <reference field="1" count="0" selected="0"/>
          <reference field="3" count="1" selected="0">
            <x v="6"/>
          </reference>
          <reference field="4" count="1" selected="0">
            <x v="0"/>
          </reference>
          <reference field="5" count="1" selected="0">
            <x v="172"/>
          </reference>
          <reference field="6" count="1" selected="0">
            <x v="9"/>
          </reference>
          <reference field="9" count="1" selected="0">
            <x v="10"/>
          </reference>
          <reference field="11" count="1" selected="0">
            <x v="14"/>
          </reference>
          <reference field="12" count="1" selected="0">
            <x v="33"/>
          </reference>
          <reference field="13" count="1">
            <x v="3"/>
          </reference>
        </references>
      </pivotArea>
    </format>
    <format dxfId="9049">
      <pivotArea dataOnly="0" labelOnly="1" outline="0" fieldPosition="0">
        <references count="10">
          <reference field="1" count="0" selected="0"/>
          <reference field="3" count="1" selected="0">
            <x v="0"/>
          </reference>
          <reference field="4" count="1" selected="0">
            <x v="1"/>
          </reference>
          <reference field="5" count="1" selected="0">
            <x v="344"/>
          </reference>
          <reference field="6" count="1" selected="0">
            <x v="7"/>
          </reference>
          <reference field="9" count="1" selected="0">
            <x v="10"/>
          </reference>
          <reference field="11" count="1" selected="0">
            <x v="14"/>
          </reference>
          <reference field="12" count="1" selected="0">
            <x v="8"/>
          </reference>
          <reference field="13" count="1" selected="0">
            <x v="3"/>
          </reference>
          <reference field="14" count="1">
            <x v="17"/>
          </reference>
        </references>
      </pivotArea>
    </format>
    <format dxfId="9048">
      <pivotArea dataOnly="0" labelOnly="1" outline="0" fieldPosition="0">
        <references count="10">
          <reference field="1" count="0" selected="0"/>
          <reference field="3" count="1" selected="0">
            <x v="3"/>
          </reference>
          <reference field="4" count="1" selected="0">
            <x v="1"/>
          </reference>
          <reference field="5" count="1" selected="0">
            <x v="194"/>
          </reference>
          <reference field="6" count="1" selected="0">
            <x v="2"/>
          </reference>
          <reference field="9" count="1" selected="0">
            <x v="10"/>
          </reference>
          <reference field="11" count="1" selected="0">
            <x v="3"/>
          </reference>
          <reference field="12" count="1" selected="0">
            <x v="8"/>
          </reference>
          <reference field="13" count="1" selected="0">
            <x v="3"/>
          </reference>
          <reference field="14" count="1">
            <x v="17"/>
          </reference>
        </references>
      </pivotArea>
    </format>
    <format dxfId="9047">
      <pivotArea dataOnly="0" labelOnly="1" outline="0" fieldPosition="0">
        <references count="10">
          <reference field="1" count="0" selected="0"/>
          <reference field="3" count="1" selected="0">
            <x v="3"/>
          </reference>
          <reference field="4" count="1" selected="0">
            <x v="1"/>
          </reference>
          <reference field="5" count="1" selected="0">
            <x v="199"/>
          </reference>
          <reference field="6" count="1" selected="0">
            <x v="2"/>
          </reference>
          <reference field="9" count="1" selected="0">
            <x v="10"/>
          </reference>
          <reference field="11" count="1" selected="0">
            <x v="5"/>
          </reference>
          <reference field="12" count="1" selected="0">
            <x v="25"/>
          </reference>
          <reference field="13" count="1" selected="0">
            <x v="3"/>
          </reference>
          <reference field="14" count="1">
            <x v="16"/>
          </reference>
        </references>
      </pivotArea>
    </format>
    <format dxfId="9046">
      <pivotArea dataOnly="0" labelOnly="1" outline="0" fieldPosition="0">
        <references count="10">
          <reference field="1" count="0" selected="0"/>
          <reference field="3" count="1" selected="0">
            <x v="3"/>
          </reference>
          <reference field="4" count="1" selected="0">
            <x v="1"/>
          </reference>
          <reference field="5" count="1" selected="0">
            <x v="202"/>
          </reference>
          <reference field="6" count="1" selected="0">
            <x v="2"/>
          </reference>
          <reference field="9" count="1" selected="0">
            <x v="10"/>
          </reference>
          <reference field="11" count="1" selected="0">
            <x v="16"/>
          </reference>
          <reference field="12" count="1" selected="0">
            <x v="8"/>
          </reference>
          <reference field="13" count="1" selected="0">
            <x v="3"/>
          </reference>
          <reference field="14" count="1">
            <x v="17"/>
          </reference>
        </references>
      </pivotArea>
    </format>
    <format dxfId="9045">
      <pivotArea dataOnly="0" labelOnly="1" outline="0" fieldPosition="0">
        <references count="10">
          <reference field="1" count="0" selected="0"/>
          <reference field="3" count="1" selected="0">
            <x v="4"/>
          </reference>
          <reference field="4" count="1" selected="0">
            <x v="1"/>
          </reference>
          <reference field="5" count="1" selected="0">
            <x v="97"/>
          </reference>
          <reference field="6" count="1" selected="0">
            <x v="2"/>
          </reference>
          <reference field="9" count="1" selected="0">
            <x v="10"/>
          </reference>
          <reference field="11" count="1" selected="0">
            <x v="14"/>
          </reference>
          <reference field="12" count="1" selected="0">
            <x v="20"/>
          </reference>
          <reference field="13" count="1" selected="0">
            <x v="3"/>
          </reference>
          <reference field="14" count="1">
            <x v="18"/>
          </reference>
        </references>
      </pivotArea>
    </format>
    <format dxfId="9044">
      <pivotArea dataOnly="0" labelOnly="1" outline="0" fieldPosition="0">
        <references count="10">
          <reference field="1" count="0" selected="0"/>
          <reference field="3" count="1" selected="0">
            <x v="4"/>
          </reference>
          <reference field="4" count="1" selected="0">
            <x v="1"/>
          </reference>
          <reference field="5" count="1" selected="0">
            <x v="143"/>
          </reference>
          <reference field="6" count="1" selected="0">
            <x v="2"/>
          </reference>
          <reference field="9" count="1" selected="0">
            <x v="10"/>
          </reference>
          <reference field="11" count="1" selected="0">
            <x v="14"/>
          </reference>
          <reference field="12" count="1" selected="0">
            <x v="3"/>
          </reference>
          <reference field="13" count="1" selected="0">
            <x v="3"/>
          </reference>
          <reference field="14" count="1">
            <x v="17"/>
          </reference>
        </references>
      </pivotArea>
    </format>
    <format dxfId="9043">
      <pivotArea dataOnly="0" labelOnly="1" outline="0" fieldPosition="0">
        <references count="10">
          <reference field="1" count="0" selected="0"/>
          <reference field="3" count="1" selected="0">
            <x v="4"/>
          </reference>
          <reference field="4" count="1" selected="0">
            <x v="1"/>
          </reference>
          <reference field="5" count="1" selected="0">
            <x v="214"/>
          </reference>
          <reference field="6" count="1" selected="0">
            <x v="2"/>
          </reference>
          <reference field="9" count="1" selected="0">
            <x v="10"/>
          </reference>
          <reference field="11" count="1" selected="0">
            <x v="35"/>
          </reference>
          <reference field="12" count="1" selected="0">
            <x v="8"/>
          </reference>
          <reference field="13" count="1" selected="0">
            <x v="3"/>
          </reference>
          <reference field="14" count="1">
            <x v="17"/>
          </reference>
        </references>
      </pivotArea>
    </format>
    <format dxfId="9042">
      <pivotArea dataOnly="0" labelOnly="1" outline="0" fieldPosition="0">
        <references count="10">
          <reference field="1" count="0" selected="0"/>
          <reference field="3" count="1" selected="0">
            <x v="4"/>
          </reference>
          <reference field="4" count="1" selected="0">
            <x v="1"/>
          </reference>
          <reference field="5" count="1" selected="0">
            <x v="222"/>
          </reference>
          <reference field="6" count="1" selected="0">
            <x v="9"/>
          </reference>
          <reference field="9" count="1" selected="0">
            <x v="8"/>
          </reference>
          <reference field="11" count="1" selected="0">
            <x v="34"/>
          </reference>
          <reference field="12" count="1" selected="0">
            <x v="8"/>
          </reference>
          <reference field="13" count="1" selected="0">
            <x v="3"/>
          </reference>
          <reference field="14" count="1">
            <x v="17"/>
          </reference>
        </references>
      </pivotArea>
    </format>
    <format dxfId="9041">
      <pivotArea dataOnly="0" labelOnly="1" outline="0" fieldPosition="0">
        <references count="10">
          <reference field="1" count="0" selected="0"/>
          <reference field="3" count="1" selected="0">
            <x v="4"/>
          </reference>
          <reference field="4" count="1" selected="0">
            <x v="1"/>
          </reference>
          <reference field="5" count="1" selected="0">
            <x v="329"/>
          </reference>
          <reference field="6" count="1" selected="0">
            <x v="2"/>
          </reference>
          <reference field="9" count="1" selected="0">
            <x v="4"/>
          </reference>
          <reference field="11" count="1" selected="0">
            <x v="28"/>
          </reference>
          <reference field="12" count="1" selected="0">
            <x v="8"/>
          </reference>
          <reference field="13" count="1" selected="0">
            <x v="3"/>
          </reference>
          <reference field="14" count="1">
            <x v="39"/>
          </reference>
        </references>
      </pivotArea>
    </format>
    <format dxfId="9040">
      <pivotArea dataOnly="0" labelOnly="1" outline="0" fieldPosition="0">
        <references count="10">
          <reference field="1" count="0" selected="0"/>
          <reference field="3" count="1" selected="0">
            <x v="6"/>
          </reference>
          <reference field="4" count="1" selected="0">
            <x v="0"/>
          </reference>
          <reference field="5" count="1" selected="0">
            <x v="120"/>
          </reference>
          <reference field="6" count="1" selected="0">
            <x v="9"/>
          </reference>
          <reference field="9" count="1" selected="0">
            <x v="10"/>
          </reference>
          <reference field="11" count="1" selected="0">
            <x v="3"/>
          </reference>
          <reference field="12" count="1" selected="0">
            <x v="1"/>
          </reference>
          <reference field="13" count="1" selected="0">
            <x v="3"/>
          </reference>
          <reference field="14" count="1">
            <x v="17"/>
          </reference>
        </references>
      </pivotArea>
    </format>
    <format dxfId="9039">
      <pivotArea dataOnly="0" labelOnly="1" outline="0" fieldPosition="0">
        <references count="10">
          <reference field="1" count="0" selected="0"/>
          <reference field="3" count="1" selected="0">
            <x v="6"/>
          </reference>
          <reference field="4" count="1" selected="0">
            <x v="0"/>
          </reference>
          <reference field="5" count="1" selected="0">
            <x v="156"/>
          </reference>
          <reference field="6" count="1" selected="0">
            <x v="9"/>
          </reference>
          <reference field="9" count="1" selected="0">
            <x v="10"/>
          </reference>
          <reference field="11" count="1" selected="0">
            <x v="23"/>
          </reference>
          <reference field="12" count="1" selected="0">
            <x v="8"/>
          </reference>
          <reference field="13" count="1" selected="0">
            <x v="3"/>
          </reference>
          <reference field="14" count="1">
            <x v="32"/>
          </reference>
        </references>
      </pivotArea>
    </format>
    <format dxfId="9038">
      <pivotArea dataOnly="0" labelOnly="1" outline="0" fieldPosition="0">
        <references count="10">
          <reference field="1" count="0" selected="0"/>
          <reference field="3" count="1" selected="0">
            <x v="6"/>
          </reference>
          <reference field="4" count="1" selected="0">
            <x v="0"/>
          </reference>
          <reference field="5" count="1" selected="0">
            <x v="159"/>
          </reference>
          <reference field="6" count="1" selected="0">
            <x v="9"/>
          </reference>
          <reference field="9" count="1" selected="0">
            <x v="10"/>
          </reference>
          <reference field="11" count="1" selected="0">
            <x v="30"/>
          </reference>
          <reference field="12" count="1" selected="0">
            <x v="8"/>
          </reference>
          <reference field="13" count="1" selected="0">
            <x v="3"/>
          </reference>
          <reference field="14" count="1">
            <x v="38"/>
          </reference>
        </references>
      </pivotArea>
    </format>
    <format dxfId="9037">
      <pivotArea dataOnly="0" labelOnly="1" outline="0" fieldPosition="0">
        <references count="10">
          <reference field="1" count="0" selected="0"/>
          <reference field="3" count="1" selected="0">
            <x v="6"/>
          </reference>
          <reference field="4" count="1" selected="0">
            <x v="0"/>
          </reference>
          <reference field="5" count="1" selected="0">
            <x v="168"/>
          </reference>
          <reference field="6" count="1" selected="0">
            <x v="9"/>
          </reference>
          <reference field="9" count="1" selected="0">
            <x v="10"/>
          </reference>
          <reference field="11" count="1" selected="0">
            <x v="47"/>
          </reference>
          <reference field="12" count="1" selected="0">
            <x v="0"/>
          </reference>
          <reference field="13" count="1" selected="0">
            <x v="4"/>
          </reference>
          <reference field="14" count="1">
            <x v="17"/>
          </reference>
        </references>
      </pivotArea>
    </format>
    <format dxfId="9036">
      <pivotArea dataOnly="0" labelOnly="1" outline="0" fieldPosition="0">
        <references count="10">
          <reference field="1" count="0" selected="0"/>
          <reference field="3" count="1" selected="0">
            <x v="6"/>
          </reference>
          <reference field="4" count="1" selected="0">
            <x v="0"/>
          </reference>
          <reference field="5" count="1" selected="0">
            <x v="172"/>
          </reference>
          <reference field="6" count="1" selected="0">
            <x v="9"/>
          </reference>
          <reference field="9" count="1" selected="0">
            <x v="10"/>
          </reference>
          <reference field="11" count="1" selected="0">
            <x v="14"/>
          </reference>
          <reference field="12" count="1" selected="0">
            <x v="33"/>
          </reference>
          <reference field="13" count="1" selected="0">
            <x v="3"/>
          </reference>
          <reference field="14" count="1">
            <x v="25"/>
          </reference>
        </references>
      </pivotArea>
    </format>
    <format dxfId="9035">
      <pivotArea dataOnly="0" labelOnly="1" outline="0" fieldPosition="0">
        <references count="10">
          <reference field="1" count="0" selected="0"/>
          <reference field="3" count="1" selected="0">
            <x v="6"/>
          </reference>
          <reference field="4" count="1" selected="0">
            <x v="0"/>
          </reference>
          <reference field="5" count="1" selected="0">
            <x v="177"/>
          </reference>
          <reference field="6" count="1" selected="0">
            <x v="9"/>
          </reference>
          <reference field="9" count="1" selected="0">
            <x v="10"/>
          </reference>
          <reference field="11" count="1" selected="0">
            <x v="1"/>
          </reference>
          <reference field="12" count="1" selected="0">
            <x v="8"/>
          </reference>
          <reference field="13" count="1" selected="0">
            <x v="3"/>
          </reference>
          <reference field="14" count="1">
            <x v="4"/>
          </reference>
        </references>
      </pivotArea>
    </format>
    <format dxfId="9034">
      <pivotArea dataOnly="0" labelOnly="1" outline="0" fieldPosition="0">
        <references count="10">
          <reference field="1" count="0" selected="0"/>
          <reference field="3" count="1" selected="0">
            <x v="6"/>
          </reference>
          <reference field="4" count="1" selected="0">
            <x v="0"/>
          </reference>
          <reference field="5" count="1" selected="0">
            <x v="184"/>
          </reference>
          <reference field="6" count="1" selected="0">
            <x v="9"/>
          </reference>
          <reference field="9" count="1" selected="0">
            <x v="10"/>
          </reference>
          <reference field="11" count="1" selected="0">
            <x v="10"/>
          </reference>
          <reference field="12" count="1" selected="0">
            <x v="28"/>
          </reference>
          <reference field="13" count="1" selected="0">
            <x v="3"/>
          </reference>
          <reference field="14" count="1">
            <x v="53"/>
          </reference>
        </references>
      </pivotArea>
    </format>
    <format dxfId="9033">
      <pivotArea dataOnly="0" labelOnly="1" outline="0" fieldPosition="0">
        <references count="10">
          <reference field="1" count="0" selected="0"/>
          <reference field="3" count="1" selected="0">
            <x v="6"/>
          </reference>
          <reference field="4" count="1" selected="0">
            <x v="0"/>
          </reference>
          <reference field="5" count="1" selected="0">
            <x v="187"/>
          </reference>
          <reference field="6" count="1" selected="0">
            <x v="9"/>
          </reference>
          <reference field="9" count="1" selected="0">
            <x v="10"/>
          </reference>
          <reference field="11" count="1" selected="0">
            <x v="50"/>
          </reference>
          <reference field="12" count="1" selected="0">
            <x v="8"/>
          </reference>
          <reference field="13" count="1" selected="0">
            <x v="3"/>
          </reference>
          <reference field="14" count="1">
            <x v="48"/>
          </reference>
        </references>
      </pivotArea>
    </format>
    <format dxfId="9032">
      <pivotArea dataOnly="0" labelOnly="1" outline="0" fieldPosition="0">
        <references count="10">
          <reference field="1" count="0" selected="0"/>
          <reference field="3" count="1" selected="0">
            <x v="6"/>
          </reference>
          <reference field="4" count="1" selected="0">
            <x v="0"/>
          </reference>
          <reference field="5" count="1" selected="0">
            <x v="209"/>
          </reference>
          <reference field="6" count="1" selected="0">
            <x v="9"/>
          </reference>
          <reference field="9" count="1" selected="0">
            <x v="10"/>
          </reference>
          <reference field="11" count="1" selected="0">
            <x v="36"/>
          </reference>
          <reference field="12" count="1" selected="0">
            <x v="8"/>
          </reference>
          <reference field="13" count="1" selected="0">
            <x v="3"/>
          </reference>
          <reference field="14" count="1">
            <x v="35"/>
          </reference>
        </references>
      </pivotArea>
    </format>
    <format dxfId="9031">
      <pivotArea dataOnly="0" labelOnly="1" outline="0" fieldPosition="0">
        <references count="10">
          <reference field="1" count="0" selected="0"/>
          <reference field="3" count="1" selected="0">
            <x v="6"/>
          </reference>
          <reference field="4" count="1" selected="0">
            <x v="0"/>
          </reference>
          <reference field="5" count="1" selected="0">
            <x v="325"/>
          </reference>
          <reference field="6" count="1" selected="0">
            <x v="9"/>
          </reference>
          <reference field="9" count="1" selected="0">
            <x v="10"/>
          </reference>
          <reference field="11" count="1" selected="0">
            <x v="14"/>
          </reference>
          <reference field="12" count="1" selected="0">
            <x v="13"/>
          </reference>
          <reference field="13" count="1" selected="0">
            <x v="3"/>
          </reference>
          <reference field="14" count="1">
            <x v="17"/>
          </reference>
        </references>
      </pivotArea>
    </format>
    <format dxfId="9030">
      <pivotArea dataOnly="0" labelOnly="1" outline="0" fieldPosition="0">
        <references count="10">
          <reference field="1" count="0" selected="0"/>
          <reference field="3" count="1" selected="0">
            <x v="8"/>
          </reference>
          <reference field="4" count="1" selected="0">
            <x v="3"/>
          </reference>
          <reference field="5" count="1" selected="0">
            <x v="133"/>
          </reference>
          <reference field="6" count="1" selected="0">
            <x v="3"/>
          </reference>
          <reference field="9" count="1" selected="0">
            <x v="10"/>
          </reference>
          <reference field="11" count="1" selected="0">
            <x v="5"/>
          </reference>
          <reference field="12" count="1" selected="0">
            <x v="4"/>
          </reference>
          <reference field="13" count="1" selected="0">
            <x v="3"/>
          </reference>
          <reference field="14" count="1">
            <x v="2"/>
          </reference>
        </references>
      </pivotArea>
    </format>
    <format dxfId="9029">
      <pivotArea dataOnly="0" labelOnly="1" outline="0" fieldPosition="0">
        <references count="10">
          <reference field="1" count="0" selected="0"/>
          <reference field="3" count="1" selected="0">
            <x v="8"/>
          </reference>
          <reference field="4" count="1" selected="0">
            <x v="3"/>
          </reference>
          <reference field="5" count="1" selected="0">
            <x v="139"/>
          </reference>
          <reference field="6" count="1" selected="0">
            <x v="3"/>
          </reference>
          <reference field="9" count="1" selected="0">
            <x v="10"/>
          </reference>
          <reference field="11" count="1" selected="0">
            <x v="14"/>
          </reference>
          <reference field="12" count="1" selected="0">
            <x v="12"/>
          </reference>
          <reference field="13" count="1" selected="0">
            <x v="3"/>
          </reference>
          <reference field="14" count="1">
            <x v="17"/>
          </reference>
        </references>
      </pivotArea>
    </format>
    <format dxfId="9028">
      <pivotArea dataOnly="0" labelOnly="1" outline="0" fieldPosition="0">
        <references count="10">
          <reference field="1" count="0" selected="0"/>
          <reference field="3" count="1" selected="0">
            <x v="8"/>
          </reference>
          <reference field="4" count="1" selected="0">
            <x v="3"/>
          </reference>
          <reference field="5" count="1" selected="0">
            <x v="162"/>
          </reference>
          <reference field="6" count="1" selected="0">
            <x v="3"/>
          </reference>
          <reference field="9" count="1" selected="0">
            <x v="10"/>
          </reference>
          <reference field="11" count="1" selected="0">
            <x v="15"/>
          </reference>
          <reference field="12" count="1" selected="0">
            <x v="8"/>
          </reference>
          <reference field="13" count="1" selected="0">
            <x v="3"/>
          </reference>
          <reference field="14" count="1">
            <x v="22"/>
          </reference>
        </references>
      </pivotArea>
    </format>
    <format dxfId="9027">
      <pivotArea dataOnly="0" labelOnly="1" outline="0" fieldPosition="0">
        <references count="7">
          <reference field="1" count="0" selected="0"/>
          <reference field="3" count="1" selected="0">
            <x v="0"/>
          </reference>
          <reference field="4" count="1" selected="0">
            <x v="1"/>
          </reference>
          <reference field="5" count="1" selected="0">
            <x v="344"/>
          </reference>
          <reference field="6" count="1" selected="0">
            <x v="7"/>
          </reference>
          <reference field="9" count="1" selected="0">
            <x v="10"/>
          </reference>
          <reference field="11" count="1">
            <x v="14"/>
          </reference>
        </references>
      </pivotArea>
    </format>
    <format dxfId="9026">
      <pivotArea dataOnly="0" labelOnly="1" outline="0" fieldPosition="0">
        <references count="7">
          <reference field="1" count="0" selected="0"/>
          <reference field="3" count="1" selected="0">
            <x v="3"/>
          </reference>
          <reference field="4" count="1" selected="0">
            <x v="1"/>
          </reference>
          <reference field="5" count="1" selected="0">
            <x v="194"/>
          </reference>
          <reference field="6" count="1" selected="0">
            <x v="2"/>
          </reference>
          <reference field="9" count="1" selected="0">
            <x v="10"/>
          </reference>
          <reference field="11" count="1">
            <x v="3"/>
          </reference>
        </references>
      </pivotArea>
    </format>
    <format dxfId="9025">
      <pivotArea dataOnly="0" labelOnly="1" outline="0" fieldPosition="0">
        <references count="7">
          <reference field="1" count="0" selected="0"/>
          <reference field="3" count="1" selected="0">
            <x v="3"/>
          </reference>
          <reference field="4" count="1" selected="0">
            <x v="1"/>
          </reference>
          <reference field="5" count="1" selected="0">
            <x v="199"/>
          </reference>
          <reference field="6" count="1" selected="0">
            <x v="2"/>
          </reference>
          <reference field="9" count="1" selected="0">
            <x v="10"/>
          </reference>
          <reference field="11" count="1">
            <x v="5"/>
          </reference>
        </references>
      </pivotArea>
    </format>
    <format dxfId="9024">
      <pivotArea dataOnly="0" labelOnly="1" outline="0" fieldPosition="0">
        <references count="7">
          <reference field="1" count="0" selected="0"/>
          <reference field="3" count="1" selected="0">
            <x v="3"/>
          </reference>
          <reference field="4" count="1" selected="0">
            <x v="1"/>
          </reference>
          <reference field="5" count="1" selected="0">
            <x v="202"/>
          </reference>
          <reference field="6" count="1" selected="0">
            <x v="2"/>
          </reference>
          <reference field="9" count="1" selected="0">
            <x v="10"/>
          </reference>
          <reference field="11" count="1">
            <x v="16"/>
          </reference>
        </references>
      </pivotArea>
    </format>
    <format dxfId="9023">
      <pivotArea dataOnly="0" labelOnly="1" outline="0" fieldPosition="0">
        <references count="7">
          <reference field="1" count="0" selected="0"/>
          <reference field="3" count="1" selected="0">
            <x v="4"/>
          </reference>
          <reference field="4" count="1" selected="0">
            <x v="1"/>
          </reference>
          <reference field="5" count="1" selected="0">
            <x v="97"/>
          </reference>
          <reference field="6" count="1" selected="0">
            <x v="2"/>
          </reference>
          <reference field="9" count="1" selected="0">
            <x v="10"/>
          </reference>
          <reference field="11" count="1">
            <x v="14"/>
          </reference>
        </references>
      </pivotArea>
    </format>
    <format dxfId="9022">
      <pivotArea dataOnly="0" labelOnly="1" outline="0" fieldPosition="0">
        <references count="7">
          <reference field="1" count="0" selected="0"/>
          <reference field="3" count="1" selected="0">
            <x v="4"/>
          </reference>
          <reference field="4" count="1" selected="0">
            <x v="1"/>
          </reference>
          <reference field="5" count="1" selected="0">
            <x v="105"/>
          </reference>
          <reference field="6" count="1" selected="0">
            <x v="2"/>
          </reference>
          <reference field="9" count="1" selected="0">
            <x v="2"/>
          </reference>
          <reference field="11" count="1">
            <x v="14"/>
          </reference>
        </references>
      </pivotArea>
    </format>
    <format dxfId="9021">
      <pivotArea dataOnly="0" labelOnly="1" outline="0" fieldPosition="0">
        <references count="7">
          <reference field="1" count="0" selected="0"/>
          <reference field="3" count="1" selected="0">
            <x v="4"/>
          </reference>
          <reference field="4" count="1" selected="0">
            <x v="1"/>
          </reference>
          <reference field="5" count="1" selected="0">
            <x v="214"/>
          </reference>
          <reference field="6" count="1" selected="0">
            <x v="2"/>
          </reference>
          <reference field="9" count="1" selected="0">
            <x v="10"/>
          </reference>
          <reference field="11" count="1">
            <x v="35"/>
          </reference>
        </references>
      </pivotArea>
    </format>
    <format dxfId="9020">
      <pivotArea dataOnly="0" labelOnly="1" outline="0" fieldPosition="0">
        <references count="7">
          <reference field="1" count="0" selected="0"/>
          <reference field="3" count="1" selected="0">
            <x v="4"/>
          </reference>
          <reference field="4" count="1" selected="0">
            <x v="1"/>
          </reference>
          <reference field="5" count="1" selected="0">
            <x v="222"/>
          </reference>
          <reference field="6" count="1" selected="0">
            <x v="9"/>
          </reference>
          <reference field="9" count="1" selected="0">
            <x v="8"/>
          </reference>
          <reference field="11" count="1">
            <x v="34"/>
          </reference>
        </references>
      </pivotArea>
    </format>
    <format dxfId="9019">
      <pivotArea dataOnly="0" labelOnly="1" outline="0" fieldPosition="0">
        <references count="7">
          <reference field="1" count="0" selected="0"/>
          <reference field="3" count="1" selected="0">
            <x v="4"/>
          </reference>
          <reference field="4" count="1" selected="0">
            <x v="1"/>
          </reference>
          <reference field="5" count="1" selected="0">
            <x v="329"/>
          </reference>
          <reference field="6" count="1" selected="0">
            <x v="2"/>
          </reference>
          <reference field="9" count="1" selected="0">
            <x v="4"/>
          </reference>
          <reference field="11" count="1">
            <x v="28"/>
          </reference>
        </references>
      </pivotArea>
    </format>
    <format dxfId="9018">
      <pivotArea dataOnly="0" labelOnly="1" outline="0" fieldPosition="0">
        <references count="7">
          <reference field="1" count="0" selected="0"/>
          <reference field="3" count="1" selected="0">
            <x v="6"/>
          </reference>
          <reference field="4" count="1" selected="0">
            <x v="0"/>
          </reference>
          <reference field="5" count="1" selected="0">
            <x v="120"/>
          </reference>
          <reference field="6" count="1" selected="0">
            <x v="9"/>
          </reference>
          <reference field="9" count="1" selected="0">
            <x v="10"/>
          </reference>
          <reference field="11" count="1">
            <x v="3"/>
          </reference>
        </references>
      </pivotArea>
    </format>
    <format dxfId="9017">
      <pivotArea dataOnly="0" labelOnly="1" outline="0" fieldPosition="0">
        <references count="7">
          <reference field="1" count="0" selected="0"/>
          <reference field="3" count="1" selected="0">
            <x v="6"/>
          </reference>
          <reference field="4" count="1" selected="0">
            <x v="0"/>
          </reference>
          <reference field="5" count="1" selected="0">
            <x v="156"/>
          </reference>
          <reference field="6" count="1" selected="0">
            <x v="9"/>
          </reference>
          <reference field="9" count="1" selected="0">
            <x v="10"/>
          </reference>
          <reference field="11" count="1">
            <x v="23"/>
          </reference>
        </references>
      </pivotArea>
    </format>
    <format dxfId="9016">
      <pivotArea dataOnly="0" labelOnly="1" outline="0" fieldPosition="0">
        <references count="7">
          <reference field="1" count="0" selected="0"/>
          <reference field="3" count="1" selected="0">
            <x v="6"/>
          </reference>
          <reference field="4" count="1" selected="0">
            <x v="0"/>
          </reference>
          <reference field="5" count="1" selected="0">
            <x v="159"/>
          </reference>
          <reference field="6" count="1" selected="0">
            <x v="9"/>
          </reference>
          <reference field="9" count="1" selected="0">
            <x v="10"/>
          </reference>
          <reference field="11" count="1">
            <x v="30"/>
          </reference>
        </references>
      </pivotArea>
    </format>
    <format dxfId="9015">
      <pivotArea dataOnly="0" labelOnly="1" outline="0" fieldPosition="0">
        <references count="7">
          <reference field="1" count="0" selected="0"/>
          <reference field="3" count="1" selected="0">
            <x v="6"/>
          </reference>
          <reference field="4" count="1" selected="0">
            <x v="0"/>
          </reference>
          <reference field="5" count="1" selected="0">
            <x v="168"/>
          </reference>
          <reference field="6" count="1" selected="0">
            <x v="9"/>
          </reference>
          <reference field="9" count="1" selected="0">
            <x v="10"/>
          </reference>
          <reference field="11" count="1">
            <x v="47"/>
          </reference>
        </references>
      </pivotArea>
    </format>
    <format dxfId="9014">
      <pivotArea dataOnly="0" labelOnly="1" outline="0" fieldPosition="0">
        <references count="7">
          <reference field="1" count="0" selected="0"/>
          <reference field="3" count="1" selected="0">
            <x v="6"/>
          </reference>
          <reference field="4" count="1" selected="0">
            <x v="0"/>
          </reference>
          <reference field="5" count="1" selected="0">
            <x v="172"/>
          </reference>
          <reference field="6" count="1" selected="0">
            <x v="9"/>
          </reference>
          <reference field="9" count="1" selected="0">
            <x v="10"/>
          </reference>
          <reference field="11" count="1">
            <x v="14"/>
          </reference>
        </references>
      </pivotArea>
    </format>
    <format dxfId="9013">
      <pivotArea dataOnly="0" labelOnly="1" outline="0" fieldPosition="0">
        <references count="7">
          <reference field="1" count="0" selected="0"/>
          <reference field="3" count="1" selected="0">
            <x v="6"/>
          </reference>
          <reference field="4" count="1" selected="0">
            <x v="0"/>
          </reference>
          <reference field="5" count="1" selected="0">
            <x v="177"/>
          </reference>
          <reference field="6" count="1" selected="0">
            <x v="9"/>
          </reference>
          <reference field="9" count="1" selected="0">
            <x v="10"/>
          </reference>
          <reference field="11" count="1">
            <x v="1"/>
          </reference>
        </references>
      </pivotArea>
    </format>
    <format dxfId="9012">
      <pivotArea dataOnly="0" labelOnly="1" outline="0" fieldPosition="0">
        <references count="7">
          <reference field="1" count="0" selected="0"/>
          <reference field="3" count="1" selected="0">
            <x v="6"/>
          </reference>
          <reference field="4" count="1" selected="0">
            <x v="0"/>
          </reference>
          <reference field="5" count="1" selected="0">
            <x v="184"/>
          </reference>
          <reference field="6" count="1" selected="0">
            <x v="9"/>
          </reference>
          <reference field="9" count="1" selected="0">
            <x v="10"/>
          </reference>
          <reference field="11" count="1">
            <x v="10"/>
          </reference>
        </references>
      </pivotArea>
    </format>
    <format dxfId="9011">
      <pivotArea dataOnly="0" labelOnly="1" outline="0" fieldPosition="0">
        <references count="7">
          <reference field="1" count="0" selected="0"/>
          <reference field="3" count="1" selected="0">
            <x v="6"/>
          </reference>
          <reference field="4" count="1" selected="0">
            <x v="0"/>
          </reference>
          <reference field="5" count="1" selected="0">
            <x v="187"/>
          </reference>
          <reference field="6" count="1" selected="0">
            <x v="9"/>
          </reference>
          <reference field="9" count="1" selected="0">
            <x v="10"/>
          </reference>
          <reference field="11" count="1">
            <x v="50"/>
          </reference>
        </references>
      </pivotArea>
    </format>
    <format dxfId="9010">
      <pivotArea dataOnly="0" labelOnly="1" outline="0" fieldPosition="0">
        <references count="7">
          <reference field="1" count="0" selected="0"/>
          <reference field="3" count="1" selected="0">
            <x v="6"/>
          </reference>
          <reference field="4" count="1" selected="0">
            <x v="0"/>
          </reference>
          <reference field="5" count="1" selected="0">
            <x v="209"/>
          </reference>
          <reference field="6" count="1" selected="0">
            <x v="9"/>
          </reference>
          <reference field="9" count="1" selected="0">
            <x v="10"/>
          </reference>
          <reference field="11" count="1">
            <x v="36"/>
          </reference>
        </references>
      </pivotArea>
    </format>
    <format dxfId="9009">
      <pivotArea dataOnly="0" labelOnly="1" outline="0" fieldPosition="0">
        <references count="7">
          <reference field="1" count="0" selected="0"/>
          <reference field="3" count="1" selected="0">
            <x v="6"/>
          </reference>
          <reference field="4" count="1" selected="0">
            <x v="0"/>
          </reference>
          <reference field="5" count="1" selected="0">
            <x v="325"/>
          </reference>
          <reference field="6" count="1" selected="0">
            <x v="9"/>
          </reference>
          <reference field="9" count="1" selected="0">
            <x v="10"/>
          </reference>
          <reference field="11" count="1">
            <x v="14"/>
          </reference>
        </references>
      </pivotArea>
    </format>
    <format dxfId="9008">
      <pivotArea dataOnly="0" labelOnly="1" outline="0" fieldPosition="0">
        <references count="7">
          <reference field="1" count="0" selected="0"/>
          <reference field="3" count="1" selected="0">
            <x v="6"/>
          </reference>
          <reference field="4" count="1" selected="0">
            <x v="0"/>
          </reference>
          <reference field="5" count="1" selected="0">
            <x v="352"/>
          </reference>
          <reference field="6" count="1" selected="0">
            <x v="9"/>
          </reference>
          <reference field="9" count="1" selected="0">
            <x v="10"/>
          </reference>
          <reference field="11" count="1">
            <x v="38"/>
          </reference>
        </references>
      </pivotArea>
    </format>
    <format dxfId="9007">
      <pivotArea dataOnly="0" labelOnly="1" outline="0" fieldPosition="0">
        <references count="7">
          <reference field="1" count="0" selected="0"/>
          <reference field="3" count="1" selected="0">
            <x v="8"/>
          </reference>
          <reference field="4" count="1" selected="0">
            <x v="3"/>
          </reference>
          <reference field="5" count="1" selected="0">
            <x v="133"/>
          </reference>
          <reference field="6" count="1" selected="0">
            <x v="3"/>
          </reference>
          <reference field="9" count="1" selected="0">
            <x v="10"/>
          </reference>
          <reference field="11" count="1">
            <x v="5"/>
          </reference>
        </references>
      </pivotArea>
    </format>
    <format dxfId="9006">
      <pivotArea dataOnly="0" labelOnly="1" outline="0" fieldPosition="0">
        <references count="7">
          <reference field="1" count="0" selected="0"/>
          <reference field="3" count="1" selected="0">
            <x v="8"/>
          </reference>
          <reference field="4" count="1" selected="0">
            <x v="3"/>
          </reference>
          <reference field="5" count="1" selected="0">
            <x v="139"/>
          </reference>
          <reference field="6" count="1" selected="0">
            <x v="3"/>
          </reference>
          <reference field="9" count="1" selected="0">
            <x v="10"/>
          </reference>
          <reference field="11" count="1">
            <x v="14"/>
          </reference>
        </references>
      </pivotArea>
    </format>
    <format dxfId="9005">
      <pivotArea dataOnly="0" labelOnly="1" outline="0" fieldPosition="0">
        <references count="7">
          <reference field="1" count="0" selected="0"/>
          <reference field="3" count="1" selected="0">
            <x v="8"/>
          </reference>
          <reference field="4" count="1" selected="0">
            <x v="3"/>
          </reference>
          <reference field="5" count="1" selected="0">
            <x v="162"/>
          </reference>
          <reference field="6" count="1" selected="0">
            <x v="3"/>
          </reference>
          <reference field="9" count="1" selected="0">
            <x v="10"/>
          </reference>
          <reference field="11" count="1">
            <x v="15"/>
          </reference>
        </references>
      </pivotArea>
    </format>
    <format dxfId="9004">
      <pivotArea dataOnly="0" labelOnly="1" outline="0" fieldPosition="0">
        <references count="7">
          <reference field="1" count="0" selected="0"/>
          <reference field="3" count="1" selected="0">
            <x v="9"/>
          </reference>
          <reference field="4" count="1" selected="0">
            <x v="4"/>
          </reference>
          <reference field="5" count="1" selected="0">
            <x v="141"/>
          </reference>
          <reference field="6" count="1" selected="0">
            <x v="5"/>
          </reference>
          <reference field="9" count="1" selected="0">
            <x v="10"/>
          </reference>
          <reference field="11" count="1">
            <x v="14"/>
          </reference>
        </references>
      </pivotArea>
    </format>
    <format dxfId="9003">
      <pivotArea dataOnly="0" labelOnly="1" outline="0" fieldPosition="0">
        <references count="8">
          <reference field="1" count="0" selected="0"/>
          <reference field="3" count="1" selected="0">
            <x v="0"/>
          </reference>
          <reference field="4" count="1" selected="0">
            <x v="1"/>
          </reference>
          <reference field="5" count="1" selected="0">
            <x v="344"/>
          </reference>
          <reference field="6" count="1" selected="0">
            <x v="7"/>
          </reference>
          <reference field="9" count="1" selected="0">
            <x v="10"/>
          </reference>
          <reference field="11" count="1" selected="0">
            <x v="14"/>
          </reference>
          <reference field="12" count="1">
            <x v="8"/>
          </reference>
        </references>
      </pivotArea>
    </format>
    <format dxfId="9002">
      <pivotArea dataOnly="0" labelOnly="1" outline="0" fieldPosition="0">
        <references count="8">
          <reference field="1" count="0" selected="0"/>
          <reference field="3" count="1" selected="0">
            <x v="3"/>
          </reference>
          <reference field="4" count="1" selected="0">
            <x v="1"/>
          </reference>
          <reference field="5" count="1" selected="0">
            <x v="199"/>
          </reference>
          <reference field="6" count="1" selected="0">
            <x v="2"/>
          </reference>
          <reference field="9" count="1" selected="0">
            <x v="10"/>
          </reference>
          <reference field="11" count="1" selected="0">
            <x v="5"/>
          </reference>
          <reference field="12" count="1">
            <x v="25"/>
          </reference>
        </references>
      </pivotArea>
    </format>
    <format dxfId="9001">
      <pivotArea dataOnly="0" labelOnly="1" outline="0" fieldPosition="0">
        <references count="8">
          <reference field="1" count="0" selected="0"/>
          <reference field="3" count="1" selected="0">
            <x v="3"/>
          </reference>
          <reference field="4" count="1" selected="0">
            <x v="1"/>
          </reference>
          <reference field="5" count="1" selected="0">
            <x v="202"/>
          </reference>
          <reference field="6" count="1" selected="0">
            <x v="2"/>
          </reference>
          <reference field="9" count="1" selected="0">
            <x v="10"/>
          </reference>
          <reference field="11" count="1" selected="0">
            <x v="16"/>
          </reference>
          <reference field="12" count="1">
            <x v="8"/>
          </reference>
        </references>
      </pivotArea>
    </format>
    <format dxfId="9000">
      <pivotArea dataOnly="0" labelOnly="1" outline="0" fieldPosition="0">
        <references count="8">
          <reference field="1" count="0" selected="0"/>
          <reference field="3" count="1" selected="0">
            <x v="4"/>
          </reference>
          <reference field="4" count="1" selected="0">
            <x v="1"/>
          </reference>
          <reference field="5" count="1" selected="0">
            <x v="97"/>
          </reference>
          <reference field="6" count="1" selected="0">
            <x v="2"/>
          </reference>
          <reference field="9" count="1" selected="0">
            <x v="10"/>
          </reference>
          <reference field="11" count="1" selected="0">
            <x v="14"/>
          </reference>
          <reference field="12" count="1">
            <x v="20"/>
          </reference>
        </references>
      </pivotArea>
    </format>
    <format dxfId="8999">
      <pivotArea dataOnly="0" labelOnly="1" outline="0" fieldPosition="0">
        <references count="8">
          <reference field="1" count="0" selected="0"/>
          <reference field="3" count="1" selected="0">
            <x v="4"/>
          </reference>
          <reference field="4" count="1" selected="0">
            <x v="1"/>
          </reference>
          <reference field="5" count="1" selected="0">
            <x v="143"/>
          </reference>
          <reference field="6" count="1" selected="0">
            <x v="2"/>
          </reference>
          <reference field="9" count="1" selected="0">
            <x v="10"/>
          </reference>
          <reference field="11" count="1" selected="0">
            <x v="14"/>
          </reference>
          <reference field="12" count="1">
            <x v="3"/>
          </reference>
        </references>
      </pivotArea>
    </format>
    <format dxfId="8998">
      <pivotArea dataOnly="0" labelOnly="1" outline="0" fieldPosition="0">
        <references count="8">
          <reference field="1" count="0" selected="0"/>
          <reference field="3" count="1" selected="0">
            <x v="4"/>
          </reference>
          <reference field="4" count="1" selected="0">
            <x v="1"/>
          </reference>
          <reference field="5" count="1" selected="0">
            <x v="214"/>
          </reference>
          <reference field="6" count="1" selected="0">
            <x v="2"/>
          </reference>
          <reference field="9" count="1" selected="0">
            <x v="10"/>
          </reference>
          <reference field="11" count="1" selected="0">
            <x v="35"/>
          </reference>
          <reference field="12" count="1">
            <x v="8"/>
          </reference>
        </references>
      </pivotArea>
    </format>
    <format dxfId="8997">
      <pivotArea dataOnly="0" labelOnly="1" outline="0" fieldPosition="0">
        <references count="8">
          <reference field="1" count="0" selected="0"/>
          <reference field="3" count="1" selected="0">
            <x v="6"/>
          </reference>
          <reference field="4" count="1" selected="0">
            <x v="0"/>
          </reference>
          <reference field="5" count="1" selected="0">
            <x v="120"/>
          </reference>
          <reference field="6" count="1" selected="0">
            <x v="9"/>
          </reference>
          <reference field="9" count="1" selected="0">
            <x v="10"/>
          </reference>
          <reference field="11" count="1" selected="0">
            <x v="3"/>
          </reference>
          <reference field="12" count="1">
            <x v="1"/>
          </reference>
        </references>
      </pivotArea>
    </format>
    <format dxfId="8996">
      <pivotArea dataOnly="0" labelOnly="1" outline="0" fieldPosition="0">
        <references count="8">
          <reference field="1" count="0" selected="0"/>
          <reference field="3" count="1" selected="0">
            <x v="6"/>
          </reference>
          <reference field="4" count="1" selected="0">
            <x v="0"/>
          </reference>
          <reference field="5" count="1" selected="0">
            <x v="168"/>
          </reference>
          <reference field="6" count="1" selected="0">
            <x v="9"/>
          </reference>
          <reference field="9" count="1" selected="0">
            <x v="10"/>
          </reference>
          <reference field="11" count="1" selected="0">
            <x v="47"/>
          </reference>
          <reference field="12" count="1">
            <x v="0"/>
          </reference>
        </references>
      </pivotArea>
    </format>
    <format dxfId="8995">
      <pivotArea dataOnly="0" labelOnly="1" outline="0" fieldPosition="0">
        <references count="8">
          <reference field="1" count="0" selected="0"/>
          <reference field="3" count="1" selected="0">
            <x v="6"/>
          </reference>
          <reference field="4" count="1" selected="0">
            <x v="0"/>
          </reference>
          <reference field="5" count="1" selected="0">
            <x v="172"/>
          </reference>
          <reference field="6" count="1" selected="0">
            <x v="9"/>
          </reference>
          <reference field="9" count="1" selected="0">
            <x v="10"/>
          </reference>
          <reference field="11" count="1" selected="0">
            <x v="14"/>
          </reference>
          <reference field="12" count="1">
            <x v="33"/>
          </reference>
        </references>
      </pivotArea>
    </format>
    <format dxfId="8994">
      <pivotArea dataOnly="0" labelOnly="1" outline="0" fieldPosition="0">
        <references count="8">
          <reference field="1" count="0" selected="0"/>
          <reference field="3" count="1" selected="0">
            <x v="6"/>
          </reference>
          <reference field="4" count="1" selected="0">
            <x v="0"/>
          </reference>
          <reference field="5" count="1" selected="0">
            <x v="177"/>
          </reference>
          <reference field="6" count="1" selected="0">
            <x v="9"/>
          </reference>
          <reference field="9" count="1" selected="0">
            <x v="10"/>
          </reference>
          <reference field="11" count="1" selected="0">
            <x v="1"/>
          </reference>
          <reference field="12" count="1">
            <x v="8"/>
          </reference>
        </references>
      </pivotArea>
    </format>
    <format dxfId="8993">
      <pivotArea dataOnly="0" labelOnly="1" outline="0" fieldPosition="0">
        <references count="8">
          <reference field="1" count="0" selected="0"/>
          <reference field="3" count="1" selected="0">
            <x v="6"/>
          </reference>
          <reference field="4" count="1" selected="0">
            <x v="0"/>
          </reference>
          <reference field="5" count="1" selected="0">
            <x v="184"/>
          </reference>
          <reference field="6" count="1" selected="0">
            <x v="9"/>
          </reference>
          <reference field="9" count="1" selected="0">
            <x v="10"/>
          </reference>
          <reference field="11" count="1" selected="0">
            <x v="10"/>
          </reference>
          <reference field="12" count="1">
            <x v="28"/>
          </reference>
        </references>
      </pivotArea>
    </format>
    <format dxfId="8992">
      <pivotArea dataOnly="0" labelOnly="1" outline="0" fieldPosition="0">
        <references count="8">
          <reference field="1" count="0" selected="0"/>
          <reference field="3" count="1" selected="0">
            <x v="6"/>
          </reference>
          <reference field="4" count="1" selected="0">
            <x v="0"/>
          </reference>
          <reference field="5" count="1" selected="0">
            <x v="187"/>
          </reference>
          <reference field="6" count="1" selected="0">
            <x v="9"/>
          </reference>
          <reference field="9" count="1" selected="0">
            <x v="10"/>
          </reference>
          <reference field="11" count="1" selected="0">
            <x v="50"/>
          </reference>
          <reference field="12" count="1">
            <x v="8"/>
          </reference>
        </references>
      </pivotArea>
    </format>
    <format dxfId="8991">
      <pivotArea dataOnly="0" labelOnly="1" outline="0" fieldPosition="0">
        <references count="8">
          <reference field="1" count="0" selected="0"/>
          <reference field="3" count="1" selected="0">
            <x v="6"/>
          </reference>
          <reference field="4" count="1" selected="0">
            <x v="0"/>
          </reference>
          <reference field="5" count="1" selected="0">
            <x v="325"/>
          </reference>
          <reference field="6" count="1" selected="0">
            <x v="9"/>
          </reference>
          <reference field="9" count="1" selected="0">
            <x v="10"/>
          </reference>
          <reference field="11" count="1" selected="0">
            <x v="14"/>
          </reference>
          <reference field="12" count="1">
            <x v="13"/>
          </reference>
        </references>
      </pivotArea>
    </format>
    <format dxfId="8990">
      <pivotArea dataOnly="0" labelOnly="1" outline="0" fieldPosition="0">
        <references count="8">
          <reference field="1" count="0" selected="0"/>
          <reference field="3" count="1" selected="0">
            <x v="8"/>
          </reference>
          <reference field="4" count="1" selected="0">
            <x v="3"/>
          </reference>
          <reference field="5" count="1" selected="0">
            <x v="133"/>
          </reference>
          <reference field="6" count="1" selected="0">
            <x v="3"/>
          </reference>
          <reference field="9" count="1" selected="0">
            <x v="10"/>
          </reference>
          <reference field="11" count="1" selected="0">
            <x v="5"/>
          </reference>
          <reference field="12" count="1">
            <x v="4"/>
          </reference>
        </references>
      </pivotArea>
    </format>
    <format dxfId="8989">
      <pivotArea dataOnly="0" labelOnly="1" outline="0" fieldPosition="0">
        <references count="8">
          <reference field="1" count="0" selected="0"/>
          <reference field="3" count="1" selected="0">
            <x v="8"/>
          </reference>
          <reference field="4" count="1" selected="0">
            <x v="3"/>
          </reference>
          <reference field="5" count="1" selected="0">
            <x v="139"/>
          </reference>
          <reference field="6" count="1" selected="0">
            <x v="3"/>
          </reference>
          <reference field="9" count="1" selected="0">
            <x v="10"/>
          </reference>
          <reference field="11" count="1" selected="0">
            <x v="14"/>
          </reference>
          <reference field="12" count="1">
            <x v="12"/>
          </reference>
        </references>
      </pivotArea>
    </format>
    <format dxfId="8988">
      <pivotArea dataOnly="0" labelOnly="1" outline="0" fieldPosition="0">
        <references count="8">
          <reference field="1" count="0" selected="0"/>
          <reference field="3" count="1" selected="0">
            <x v="8"/>
          </reference>
          <reference field="4" count="1" selected="0">
            <x v="3"/>
          </reference>
          <reference field="5" count="1" selected="0">
            <x v="162"/>
          </reference>
          <reference field="6" count="1" selected="0">
            <x v="3"/>
          </reference>
          <reference field="9" count="1" selected="0">
            <x v="10"/>
          </reference>
          <reference field="11" count="1" selected="0">
            <x v="15"/>
          </reference>
          <reference field="12" count="1">
            <x v="8"/>
          </reference>
        </references>
      </pivotArea>
    </format>
    <format dxfId="8987">
      <pivotArea dataOnly="0" labelOnly="1" outline="0" fieldPosition="0">
        <references count="8">
          <reference field="1" count="0" selected="0"/>
          <reference field="3" count="1" selected="0">
            <x v="9"/>
          </reference>
          <reference field="4" count="1" selected="0">
            <x v="4"/>
          </reference>
          <reference field="5" count="1" selected="0">
            <x v="141"/>
          </reference>
          <reference field="6" count="1" selected="0">
            <x v="5"/>
          </reference>
          <reference field="9" count="1" selected="0">
            <x v="10"/>
          </reference>
          <reference field="11" count="1" selected="0">
            <x v="14"/>
          </reference>
          <reference field="12" count="1">
            <x v="3"/>
          </reference>
        </references>
      </pivotArea>
    </format>
    <format dxfId="8986">
      <pivotArea dataOnly="0" labelOnly="1" outline="0" fieldPosition="0">
        <references count="9">
          <reference field="1" count="0" selected="0"/>
          <reference field="3" count="1" selected="0">
            <x v="0"/>
          </reference>
          <reference field="4" count="1" selected="0">
            <x v="1"/>
          </reference>
          <reference field="5" count="1" selected="0">
            <x v="344"/>
          </reference>
          <reference field="6" count="1" selected="0">
            <x v="7"/>
          </reference>
          <reference field="9" count="1" selected="0">
            <x v="10"/>
          </reference>
          <reference field="11" count="1" selected="0">
            <x v="14"/>
          </reference>
          <reference field="12" count="1" selected="0">
            <x v="8"/>
          </reference>
          <reference field="13" count="1">
            <x v="3"/>
          </reference>
        </references>
      </pivotArea>
    </format>
    <format dxfId="8985">
      <pivotArea dataOnly="0" labelOnly="1" outline="0" fieldPosition="0">
        <references count="9">
          <reference field="1" count="0" selected="0"/>
          <reference field="3" count="1" selected="0">
            <x v="4"/>
          </reference>
          <reference field="4" count="1" selected="0">
            <x v="1"/>
          </reference>
          <reference field="5" count="1" selected="0">
            <x v="214"/>
          </reference>
          <reference field="6" count="1" selected="0">
            <x v="2"/>
          </reference>
          <reference field="9" count="1" selected="0">
            <x v="10"/>
          </reference>
          <reference field="11" count="1" selected="0">
            <x v="35"/>
          </reference>
          <reference field="12" count="1" selected="0">
            <x v="8"/>
          </reference>
          <reference field="13" count="1">
            <x v="3"/>
          </reference>
        </references>
      </pivotArea>
    </format>
    <format dxfId="8984">
      <pivotArea dataOnly="0" labelOnly="1" outline="0" fieldPosition="0">
        <references count="9">
          <reference field="1" count="0" selected="0"/>
          <reference field="3" count="1" selected="0">
            <x v="6"/>
          </reference>
          <reference field="4" count="1" selected="0">
            <x v="0"/>
          </reference>
          <reference field="5" count="1" selected="0">
            <x v="168"/>
          </reference>
          <reference field="6" count="1" selected="0">
            <x v="9"/>
          </reference>
          <reference field="9" count="1" selected="0">
            <x v="10"/>
          </reference>
          <reference field="11" count="1" selected="0">
            <x v="47"/>
          </reference>
          <reference field="12" count="1" selected="0">
            <x v="0"/>
          </reference>
          <reference field="13" count="1">
            <x v="4"/>
          </reference>
        </references>
      </pivotArea>
    </format>
    <format dxfId="8983">
      <pivotArea dataOnly="0" labelOnly="1" outline="0" fieldPosition="0">
        <references count="9">
          <reference field="1" count="0" selected="0"/>
          <reference field="3" count="1" selected="0">
            <x v="6"/>
          </reference>
          <reference field="4" count="1" selected="0">
            <x v="0"/>
          </reference>
          <reference field="5" count="1" selected="0">
            <x v="172"/>
          </reference>
          <reference field="6" count="1" selected="0">
            <x v="9"/>
          </reference>
          <reference field="9" count="1" selected="0">
            <x v="10"/>
          </reference>
          <reference field="11" count="1" selected="0">
            <x v="14"/>
          </reference>
          <reference field="12" count="1" selected="0">
            <x v="33"/>
          </reference>
          <reference field="13" count="1">
            <x v="3"/>
          </reference>
        </references>
      </pivotArea>
    </format>
    <format dxfId="8982">
      <pivotArea dataOnly="0" labelOnly="1" outline="0" fieldPosition="0">
        <references count="10">
          <reference field="1" count="0" selected="0"/>
          <reference field="3" count="1" selected="0">
            <x v="0"/>
          </reference>
          <reference field="4" count="1" selected="0">
            <x v="1"/>
          </reference>
          <reference field="5" count="1" selected="0">
            <x v="344"/>
          </reference>
          <reference field="6" count="1" selected="0">
            <x v="7"/>
          </reference>
          <reference field="9" count="1" selected="0">
            <x v="10"/>
          </reference>
          <reference field="11" count="1" selected="0">
            <x v="14"/>
          </reference>
          <reference field="12" count="1" selected="0">
            <x v="8"/>
          </reference>
          <reference field="13" count="1" selected="0">
            <x v="3"/>
          </reference>
          <reference field="14" count="1">
            <x v="17"/>
          </reference>
        </references>
      </pivotArea>
    </format>
    <format dxfId="8981">
      <pivotArea dataOnly="0" labelOnly="1" outline="0" fieldPosition="0">
        <references count="10">
          <reference field="1" count="0" selected="0"/>
          <reference field="3" count="1" selected="0">
            <x v="3"/>
          </reference>
          <reference field="4" count="1" selected="0">
            <x v="1"/>
          </reference>
          <reference field="5" count="1" selected="0">
            <x v="194"/>
          </reference>
          <reference field="6" count="1" selected="0">
            <x v="2"/>
          </reference>
          <reference field="9" count="1" selected="0">
            <x v="10"/>
          </reference>
          <reference field="11" count="1" selected="0">
            <x v="3"/>
          </reference>
          <reference field="12" count="1" selected="0">
            <x v="8"/>
          </reference>
          <reference field="13" count="1" selected="0">
            <x v="3"/>
          </reference>
          <reference field="14" count="1">
            <x v="17"/>
          </reference>
        </references>
      </pivotArea>
    </format>
    <format dxfId="8980">
      <pivotArea dataOnly="0" labelOnly="1" outline="0" fieldPosition="0">
        <references count="10">
          <reference field="1" count="0" selected="0"/>
          <reference field="3" count="1" selected="0">
            <x v="3"/>
          </reference>
          <reference field="4" count="1" selected="0">
            <x v="1"/>
          </reference>
          <reference field="5" count="1" selected="0">
            <x v="199"/>
          </reference>
          <reference field="6" count="1" selected="0">
            <x v="2"/>
          </reference>
          <reference field="9" count="1" selected="0">
            <x v="10"/>
          </reference>
          <reference field="11" count="1" selected="0">
            <x v="5"/>
          </reference>
          <reference field="12" count="1" selected="0">
            <x v="25"/>
          </reference>
          <reference field="13" count="1" selected="0">
            <x v="3"/>
          </reference>
          <reference field="14" count="1">
            <x v="16"/>
          </reference>
        </references>
      </pivotArea>
    </format>
    <format dxfId="8979">
      <pivotArea dataOnly="0" labelOnly="1" outline="0" fieldPosition="0">
        <references count="10">
          <reference field="1" count="0" selected="0"/>
          <reference field="3" count="1" selected="0">
            <x v="3"/>
          </reference>
          <reference field="4" count="1" selected="0">
            <x v="1"/>
          </reference>
          <reference field="5" count="1" selected="0">
            <x v="202"/>
          </reference>
          <reference field="6" count="1" selected="0">
            <x v="2"/>
          </reference>
          <reference field="9" count="1" selected="0">
            <x v="10"/>
          </reference>
          <reference field="11" count="1" selected="0">
            <x v="16"/>
          </reference>
          <reference field="12" count="1" selected="0">
            <x v="8"/>
          </reference>
          <reference field="13" count="1" selected="0">
            <x v="3"/>
          </reference>
          <reference field="14" count="1">
            <x v="17"/>
          </reference>
        </references>
      </pivotArea>
    </format>
    <format dxfId="8978">
      <pivotArea dataOnly="0" labelOnly="1" outline="0" fieldPosition="0">
        <references count="10">
          <reference field="1" count="0" selected="0"/>
          <reference field="3" count="1" selected="0">
            <x v="4"/>
          </reference>
          <reference field="4" count="1" selected="0">
            <x v="1"/>
          </reference>
          <reference field="5" count="1" selected="0">
            <x v="97"/>
          </reference>
          <reference field="6" count="1" selected="0">
            <x v="2"/>
          </reference>
          <reference field="9" count="1" selected="0">
            <x v="10"/>
          </reference>
          <reference field="11" count="1" selected="0">
            <x v="14"/>
          </reference>
          <reference field="12" count="1" selected="0">
            <x v="20"/>
          </reference>
          <reference field="13" count="1" selected="0">
            <x v="3"/>
          </reference>
          <reference field="14" count="1">
            <x v="18"/>
          </reference>
        </references>
      </pivotArea>
    </format>
    <format dxfId="8977">
      <pivotArea dataOnly="0" labelOnly="1" outline="0" fieldPosition="0">
        <references count="10">
          <reference field="1" count="0" selected="0"/>
          <reference field="3" count="1" selected="0">
            <x v="4"/>
          </reference>
          <reference field="4" count="1" selected="0">
            <x v="1"/>
          </reference>
          <reference field="5" count="1" selected="0">
            <x v="143"/>
          </reference>
          <reference field="6" count="1" selected="0">
            <x v="2"/>
          </reference>
          <reference field="9" count="1" selected="0">
            <x v="10"/>
          </reference>
          <reference field="11" count="1" selected="0">
            <x v="14"/>
          </reference>
          <reference field="12" count="1" selected="0">
            <x v="3"/>
          </reference>
          <reference field="13" count="1" selected="0">
            <x v="3"/>
          </reference>
          <reference field="14" count="1">
            <x v="17"/>
          </reference>
        </references>
      </pivotArea>
    </format>
    <format dxfId="8976">
      <pivotArea dataOnly="0" labelOnly="1" outline="0" fieldPosition="0">
        <references count="10">
          <reference field="1" count="0" selected="0"/>
          <reference field="3" count="1" selected="0">
            <x v="4"/>
          </reference>
          <reference field="4" count="1" selected="0">
            <x v="1"/>
          </reference>
          <reference field="5" count="1" selected="0">
            <x v="214"/>
          </reference>
          <reference field="6" count="1" selected="0">
            <x v="2"/>
          </reference>
          <reference field="9" count="1" selected="0">
            <x v="10"/>
          </reference>
          <reference field="11" count="1" selected="0">
            <x v="35"/>
          </reference>
          <reference field="12" count="1" selected="0">
            <x v="8"/>
          </reference>
          <reference field="13" count="1" selected="0">
            <x v="3"/>
          </reference>
          <reference field="14" count="1">
            <x v="17"/>
          </reference>
        </references>
      </pivotArea>
    </format>
    <format dxfId="8975">
      <pivotArea dataOnly="0" labelOnly="1" outline="0" fieldPosition="0">
        <references count="10">
          <reference field="1" count="0" selected="0"/>
          <reference field="3" count="1" selected="0">
            <x v="4"/>
          </reference>
          <reference field="4" count="1" selected="0">
            <x v="1"/>
          </reference>
          <reference field="5" count="1" selected="0">
            <x v="222"/>
          </reference>
          <reference field="6" count="1" selected="0">
            <x v="9"/>
          </reference>
          <reference field="9" count="1" selected="0">
            <x v="8"/>
          </reference>
          <reference field="11" count="1" selected="0">
            <x v="34"/>
          </reference>
          <reference field="12" count="1" selected="0">
            <x v="8"/>
          </reference>
          <reference field="13" count="1" selected="0">
            <x v="3"/>
          </reference>
          <reference field="14" count="1">
            <x v="17"/>
          </reference>
        </references>
      </pivotArea>
    </format>
    <format dxfId="8974">
      <pivotArea dataOnly="0" labelOnly="1" outline="0" fieldPosition="0">
        <references count="10">
          <reference field="1" count="0" selected="0"/>
          <reference field="3" count="1" selected="0">
            <x v="4"/>
          </reference>
          <reference field="4" count="1" selected="0">
            <x v="1"/>
          </reference>
          <reference field="5" count="1" selected="0">
            <x v="329"/>
          </reference>
          <reference field="6" count="1" selected="0">
            <x v="2"/>
          </reference>
          <reference field="9" count="1" selected="0">
            <x v="4"/>
          </reference>
          <reference field="11" count="1" selected="0">
            <x v="28"/>
          </reference>
          <reference field="12" count="1" selected="0">
            <x v="8"/>
          </reference>
          <reference field="13" count="1" selected="0">
            <x v="3"/>
          </reference>
          <reference field="14" count="1">
            <x v="39"/>
          </reference>
        </references>
      </pivotArea>
    </format>
    <format dxfId="8973">
      <pivotArea dataOnly="0" labelOnly="1" outline="0" fieldPosition="0">
        <references count="10">
          <reference field="1" count="0" selected="0"/>
          <reference field="3" count="1" selected="0">
            <x v="6"/>
          </reference>
          <reference field="4" count="1" selected="0">
            <x v="0"/>
          </reference>
          <reference field="5" count="1" selected="0">
            <x v="120"/>
          </reference>
          <reference field="6" count="1" selected="0">
            <x v="9"/>
          </reference>
          <reference field="9" count="1" selected="0">
            <x v="10"/>
          </reference>
          <reference field="11" count="1" selected="0">
            <x v="3"/>
          </reference>
          <reference field="12" count="1" selected="0">
            <x v="1"/>
          </reference>
          <reference field="13" count="1" selected="0">
            <x v="3"/>
          </reference>
          <reference field="14" count="1">
            <x v="17"/>
          </reference>
        </references>
      </pivotArea>
    </format>
    <format dxfId="8972">
      <pivotArea dataOnly="0" labelOnly="1" outline="0" fieldPosition="0">
        <references count="10">
          <reference field="1" count="0" selected="0"/>
          <reference field="3" count="1" selected="0">
            <x v="6"/>
          </reference>
          <reference field="4" count="1" selected="0">
            <x v="0"/>
          </reference>
          <reference field="5" count="1" selected="0">
            <x v="156"/>
          </reference>
          <reference field="6" count="1" selected="0">
            <x v="9"/>
          </reference>
          <reference field="9" count="1" selected="0">
            <x v="10"/>
          </reference>
          <reference field="11" count="1" selected="0">
            <x v="23"/>
          </reference>
          <reference field="12" count="1" selected="0">
            <x v="8"/>
          </reference>
          <reference field="13" count="1" selected="0">
            <x v="3"/>
          </reference>
          <reference field="14" count="1">
            <x v="32"/>
          </reference>
        </references>
      </pivotArea>
    </format>
    <format dxfId="8971">
      <pivotArea dataOnly="0" labelOnly="1" outline="0" fieldPosition="0">
        <references count="10">
          <reference field="1" count="0" selected="0"/>
          <reference field="3" count="1" selected="0">
            <x v="6"/>
          </reference>
          <reference field="4" count="1" selected="0">
            <x v="0"/>
          </reference>
          <reference field="5" count="1" selected="0">
            <x v="159"/>
          </reference>
          <reference field="6" count="1" selected="0">
            <x v="9"/>
          </reference>
          <reference field="9" count="1" selected="0">
            <x v="10"/>
          </reference>
          <reference field="11" count="1" selected="0">
            <x v="30"/>
          </reference>
          <reference field="12" count="1" selected="0">
            <x v="8"/>
          </reference>
          <reference field="13" count="1" selected="0">
            <x v="3"/>
          </reference>
          <reference field="14" count="1">
            <x v="38"/>
          </reference>
        </references>
      </pivotArea>
    </format>
    <format dxfId="8970">
      <pivotArea dataOnly="0" labelOnly="1" outline="0" fieldPosition="0">
        <references count="10">
          <reference field="1" count="0" selected="0"/>
          <reference field="3" count="1" selected="0">
            <x v="6"/>
          </reference>
          <reference field="4" count="1" selected="0">
            <x v="0"/>
          </reference>
          <reference field="5" count="1" selected="0">
            <x v="168"/>
          </reference>
          <reference field="6" count="1" selected="0">
            <x v="9"/>
          </reference>
          <reference field="9" count="1" selected="0">
            <x v="10"/>
          </reference>
          <reference field="11" count="1" selected="0">
            <x v="47"/>
          </reference>
          <reference field="12" count="1" selected="0">
            <x v="0"/>
          </reference>
          <reference field="13" count="1" selected="0">
            <x v="4"/>
          </reference>
          <reference field="14" count="1">
            <x v="17"/>
          </reference>
        </references>
      </pivotArea>
    </format>
    <format dxfId="8969">
      <pivotArea dataOnly="0" labelOnly="1" outline="0" fieldPosition="0">
        <references count="10">
          <reference field="1" count="0" selected="0"/>
          <reference field="3" count="1" selected="0">
            <x v="6"/>
          </reference>
          <reference field="4" count="1" selected="0">
            <x v="0"/>
          </reference>
          <reference field="5" count="1" selected="0">
            <x v="172"/>
          </reference>
          <reference field="6" count="1" selected="0">
            <x v="9"/>
          </reference>
          <reference field="9" count="1" selected="0">
            <x v="10"/>
          </reference>
          <reference field="11" count="1" selected="0">
            <x v="14"/>
          </reference>
          <reference field="12" count="1" selected="0">
            <x v="33"/>
          </reference>
          <reference field="13" count="1" selected="0">
            <x v="3"/>
          </reference>
          <reference field="14" count="1">
            <x v="25"/>
          </reference>
        </references>
      </pivotArea>
    </format>
    <format dxfId="8968">
      <pivotArea dataOnly="0" labelOnly="1" outline="0" fieldPosition="0">
        <references count="10">
          <reference field="1" count="0" selected="0"/>
          <reference field="3" count="1" selected="0">
            <x v="6"/>
          </reference>
          <reference field="4" count="1" selected="0">
            <x v="0"/>
          </reference>
          <reference field="5" count="1" selected="0">
            <x v="177"/>
          </reference>
          <reference field="6" count="1" selected="0">
            <x v="9"/>
          </reference>
          <reference field="9" count="1" selected="0">
            <x v="10"/>
          </reference>
          <reference field="11" count="1" selected="0">
            <x v="1"/>
          </reference>
          <reference field="12" count="1" selected="0">
            <x v="8"/>
          </reference>
          <reference field="13" count="1" selected="0">
            <x v="3"/>
          </reference>
          <reference field="14" count="1">
            <x v="4"/>
          </reference>
        </references>
      </pivotArea>
    </format>
    <format dxfId="8967">
      <pivotArea dataOnly="0" labelOnly="1" outline="0" fieldPosition="0">
        <references count="10">
          <reference field="1" count="0" selected="0"/>
          <reference field="3" count="1" selected="0">
            <x v="6"/>
          </reference>
          <reference field="4" count="1" selected="0">
            <x v="0"/>
          </reference>
          <reference field="5" count="1" selected="0">
            <x v="184"/>
          </reference>
          <reference field="6" count="1" selected="0">
            <x v="9"/>
          </reference>
          <reference field="9" count="1" selected="0">
            <x v="10"/>
          </reference>
          <reference field="11" count="1" selected="0">
            <x v="10"/>
          </reference>
          <reference field="12" count="1" selected="0">
            <x v="28"/>
          </reference>
          <reference field="13" count="1" selected="0">
            <x v="3"/>
          </reference>
          <reference field="14" count="1">
            <x v="53"/>
          </reference>
        </references>
      </pivotArea>
    </format>
    <format dxfId="8966">
      <pivotArea dataOnly="0" labelOnly="1" outline="0" fieldPosition="0">
        <references count="10">
          <reference field="1" count="0" selected="0"/>
          <reference field="3" count="1" selected="0">
            <x v="6"/>
          </reference>
          <reference field="4" count="1" selected="0">
            <x v="0"/>
          </reference>
          <reference field="5" count="1" selected="0">
            <x v="187"/>
          </reference>
          <reference field="6" count="1" selected="0">
            <x v="9"/>
          </reference>
          <reference field="9" count="1" selected="0">
            <x v="10"/>
          </reference>
          <reference field="11" count="1" selected="0">
            <x v="50"/>
          </reference>
          <reference field="12" count="1" selected="0">
            <x v="8"/>
          </reference>
          <reference field="13" count="1" selected="0">
            <x v="3"/>
          </reference>
          <reference field="14" count="1">
            <x v="48"/>
          </reference>
        </references>
      </pivotArea>
    </format>
    <format dxfId="8965">
      <pivotArea dataOnly="0" labelOnly="1" outline="0" fieldPosition="0">
        <references count="10">
          <reference field="1" count="0" selected="0"/>
          <reference field="3" count="1" selected="0">
            <x v="6"/>
          </reference>
          <reference field="4" count="1" selected="0">
            <x v="0"/>
          </reference>
          <reference field="5" count="1" selected="0">
            <x v="209"/>
          </reference>
          <reference field="6" count="1" selected="0">
            <x v="9"/>
          </reference>
          <reference field="9" count="1" selected="0">
            <x v="10"/>
          </reference>
          <reference field="11" count="1" selected="0">
            <x v="36"/>
          </reference>
          <reference field="12" count="1" selected="0">
            <x v="8"/>
          </reference>
          <reference field="13" count="1" selected="0">
            <x v="3"/>
          </reference>
          <reference field="14" count="1">
            <x v="35"/>
          </reference>
        </references>
      </pivotArea>
    </format>
    <format dxfId="8964">
      <pivotArea dataOnly="0" labelOnly="1" outline="0" fieldPosition="0">
        <references count="10">
          <reference field="1" count="0" selected="0"/>
          <reference field="3" count="1" selected="0">
            <x v="6"/>
          </reference>
          <reference field="4" count="1" selected="0">
            <x v="0"/>
          </reference>
          <reference field="5" count="1" selected="0">
            <x v="325"/>
          </reference>
          <reference field="6" count="1" selected="0">
            <x v="9"/>
          </reference>
          <reference field="9" count="1" selected="0">
            <x v="10"/>
          </reference>
          <reference field="11" count="1" selected="0">
            <x v="14"/>
          </reference>
          <reference field="12" count="1" selected="0">
            <x v="13"/>
          </reference>
          <reference field="13" count="1" selected="0">
            <x v="3"/>
          </reference>
          <reference field="14" count="1">
            <x v="17"/>
          </reference>
        </references>
      </pivotArea>
    </format>
    <format dxfId="8963">
      <pivotArea dataOnly="0" labelOnly="1" outline="0" fieldPosition="0">
        <references count="10">
          <reference field="1" count="0" selected="0"/>
          <reference field="3" count="1" selected="0">
            <x v="8"/>
          </reference>
          <reference field="4" count="1" selected="0">
            <x v="3"/>
          </reference>
          <reference field="5" count="1" selected="0">
            <x v="133"/>
          </reference>
          <reference field="6" count="1" selected="0">
            <x v="3"/>
          </reference>
          <reference field="9" count="1" selected="0">
            <x v="10"/>
          </reference>
          <reference field="11" count="1" selected="0">
            <x v="5"/>
          </reference>
          <reference field="12" count="1" selected="0">
            <x v="4"/>
          </reference>
          <reference field="13" count="1" selected="0">
            <x v="3"/>
          </reference>
          <reference field="14" count="1">
            <x v="2"/>
          </reference>
        </references>
      </pivotArea>
    </format>
    <format dxfId="8962">
      <pivotArea dataOnly="0" labelOnly="1" outline="0" fieldPosition="0">
        <references count="10">
          <reference field="1" count="0" selected="0"/>
          <reference field="3" count="1" selected="0">
            <x v="8"/>
          </reference>
          <reference field="4" count="1" selected="0">
            <x v="3"/>
          </reference>
          <reference field="5" count="1" selected="0">
            <x v="139"/>
          </reference>
          <reference field="6" count="1" selected="0">
            <x v="3"/>
          </reference>
          <reference field="9" count="1" selected="0">
            <x v="10"/>
          </reference>
          <reference field="11" count="1" selected="0">
            <x v="14"/>
          </reference>
          <reference field="12" count="1" selected="0">
            <x v="12"/>
          </reference>
          <reference field="13" count="1" selected="0">
            <x v="3"/>
          </reference>
          <reference field="14" count="1">
            <x v="17"/>
          </reference>
        </references>
      </pivotArea>
    </format>
    <format dxfId="8961">
      <pivotArea dataOnly="0" labelOnly="1" outline="0" fieldPosition="0">
        <references count="10">
          <reference field="1" count="0" selected="0"/>
          <reference field="3" count="1" selected="0">
            <x v="8"/>
          </reference>
          <reference field="4" count="1" selected="0">
            <x v="3"/>
          </reference>
          <reference field="5" count="1" selected="0">
            <x v="162"/>
          </reference>
          <reference field="6" count="1" selected="0">
            <x v="3"/>
          </reference>
          <reference field="9" count="1" selected="0">
            <x v="10"/>
          </reference>
          <reference field="11" count="1" selected="0">
            <x v="15"/>
          </reference>
          <reference field="12" count="1" selected="0">
            <x v="8"/>
          </reference>
          <reference field="13" count="1" selected="0">
            <x v="3"/>
          </reference>
          <reference field="14" count="1">
            <x v="22"/>
          </reference>
        </references>
      </pivotArea>
    </format>
    <format dxfId="8960">
      <pivotArea dataOnly="0" labelOnly="1" outline="0" fieldPosition="0">
        <references count="10">
          <reference field="1" count="0" selected="0"/>
          <reference field="3" count="1" selected="0">
            <x v="9"/>
          </reference>
          <reference field="4" count="1" selected="0">
            <x v="4"/>
          </reference>
          <reference field="5" count="1" selected="0">
            <x v="141"/>
          </reference>
          <reference field="6" count="1" selected="0">
            <x v="5"/>
          </reference>
          <reference field="9" count="1" selected="0">
            <x v="10"/>
          </reference>
          <reference field="11" count="1" selected="0">
            <x v="14"/>
          </reference>
          <reference field="12" count="1" selected="0">
            <x v="3"/>
          </reference>
          <reference field="13" count="1" selected="0">
            <x v="3"/>
          </reference>
          <reference field="14" count="1">
            <x v="17"/>
          </reference>
        </references>
      </pivotArea>
    </format>
    <format dxfId="8959">
      <pivotArea dataOnly="0" labelOnly="1" outline="0" fieldPosition="0">
        <references count="7">
          <reference field="1" count="0" selected="0"/>
          <reference field="3" count="1" selected="0">
            <x v="3"/>
          </reference>
          <reference field="4" count="1" selected="0">
            <x v="1"/>
          </reference>
          <reference field="5" count="1" selected="0">
            <x v="192"/>
          </reference>
          <reference field="6" count="1" selected="0">
            <x v="2"/>
          </reference>
          <reference field="9" count="1" selected="0">
            <x v="10"/>
          </reference>
          <reference field="11" count="1">
            <x v="12"/>
          </reference>
        </references>
      </pivotArea>
    </format>
    <format dxfId="8958">
      <pivotArea dataOnly="0" labelOnly="1" outline="0" fieldPosition="0">
        <references count="7">
          <reference field="1" count="0" selected="0"/>
          <reference field="3" count="1" selected="0">
            <x v="3"/>
          </reference>
          <reference field="4" count="1" selected="0">
            <x v="1"/>
          </reference>
          <reference field="5" count="1" selected="0">
            <x v="193"/>
          </reference>
          <reference field="6" count="1" selected="0">
            <x v="2"/>
          </reference>
          <reference field="9" count="1" selected="0">
            <x v="10"/>
          </reference>
          <reference field="11" count="1">
            <x v="8"/>
          </reference>
        </references>
      </pivotArea>
    </format>
    <format dxfId="8957">
      <pivotArea dataOnly="0" labelOnly="1" outline="0" fieldPosition="0">
        <references count="7">
          <reference field="1" count="0" selected="0"/>
          <reference field="3" count="1" selected="0">
            <x v="3"/>
          </reference>
          <reference field="4" count="1" selected="0">
            <x v="1"/>
          </reference>
          <reference field="5" count="1" selected="0">
            <x v="201"/>
          </reference>
          <reference field="6" count="1" selected="0">
            <x v="2"/>
          </reference>
          <reference field="9" count="1" selected="0">
            <x v="10"/>
          </reference>
          <reference field="11" count="1">
            <x v="1"/>
          </reference>
        </references>
      </pivotArea>
    </format>
    <format dxfId="8956">
      <pivotArea dataOnly="0" labelOnly="1" outline="0" fieldPosition="0">
        <references count="7">
          <reference field="1" count="0" selected="0"/>
          <reference field="3" count="1" selected="0">
            <x v="4"/>
          </reference>
          <reference field="4" count="1" selected="0">
            <x v="1"/>
          </reference>
          <reference field="5" count="1" selected="0">
            <x v="96"/>
          </reference>
          <reference field="6" count="1" selected="0">
            <x v="2"/>
          </reference>
          <reference field="9" count="1" selected="0">
            <x v="10"/>
          </reference>
          <reference field="11" count="1">
            <x v="22"/>
          </reference>
        </references>
      </pivotArea>
    </format>
    <format dxfId="8955">
      <pivotArea dataOnly="0" labelOnly="1" outline="0" fieldPosition="0">
        <references count="7">
          <reference field="1" count="0" selected="0"/>
          <reference field="3" count="1" selected="0">
            <x v="4"/>
          </reference>
          <reference field="4" count="1" selected="0">
            <x v="1"/>
          </reference>
          <reference field="5" count="1" selected="0">
            <x v="103"/>
          </reference>
          <reference field="6" count="1" selected="0">
            <x v="2"/>
          </reference>
          <reference field="9" count="1" selected="0">
            <x v="4"/>
          </reference>
          <reference field="11" count="1">
            <x v="2"/>
          </reference>
        </references>
      </pivotArea>
    </format>
    <format dxfId="8954">
      <pivotArea dataOnly="0" labelOnly="1" outline="0" fieldPosition="0">
        <references count="7">
          <reference field="1" count="0" selected="0"/>
          <reference field="3" count="1" selected="0">
            <x v="4"/>
          </reference>
          <reference field="4" count="1" selected="0">
            <x v="1"/>
          </reference>
          <reference field="5" count="1" selected="0">
            <x v="169"/>
          </reference>
          <reference field="6" count="1" selected="0">
            <x v="2"/>
          </reference>
          <reference field="9" count="1" selected="0">
            <x v="10"/>
          </reference>
          <reference field="11" count="1">
            <x v="14"/>
          </reference>
        </references>
      </pivotArea>
    </format>
    <format dxfId="8953">
      <pivotArea dataOnly="0" labelOnly="1" outline="0" fieldPosition="0">
        <references count="7">
          <reference field="1" count="0" selected="0"/>
          <reference field="3" count="1" selected="0">
            <x v="4"/>
          </reference>
          <reference field="4" count="1" selected="0">
            <x v="1"/>
          </reference>
          <reference field="5" count="1" selected="0">
            <x v="210"/>
          </reference>
          <reference field="6" count="1" selected="0">
            <x v="2"/>
          </reference>
          <reference field="9" count="1" selected="0">
            <x v="10"/>
          </reference>
          <reference field="11" count="1">
            <x v="1"/>
          </reference>
        </references>
      </pivotArea>
    </format>
    <format dxfId="8952">
      <pivotArea dataOnly="0" labelOnly="1" outline="0" fieldPosition="0">
        <references count="7">
          <reference field="1" count="0" selected="0"/>
          <reference field="3" count="1" selected="0">
            <x v="4"/>
          </reference>
          <reference field="4" count="1" selected="0">
            <x v="1"/>
          </reference>
          <reference field="5" count="1" selected="0">
            <x v="327"/>
          </reference>
          <reference field="6" count="1" selected="0">
            <x v="2"/>
          </reference>
          <reference field="9" count="1" selected="0">
            <x v="10"/>
          </reference>
          <reference field="11" count="1">
            <x v="31"/>
          </reference>
        </references>
      </pivotArea>
    </format>
    <format dxfId="8951">
      <pivotArea dataOnly="0" labelOnly="1" outline="0" fieldPosition="0">
        <references count="7">
          <reference field="1" count="0" selected="0"/>
          <reference field="3" count="1" selected="0">
            <x v="5"/>
          </reference>
          <reference field="4" count="1" selected="0">
            <x v="3"/>
          </reference>
          <reference field="5" count="1" selected="0">
            <x v="132"/>
          </reference>
          <reference field="6" count="1" selected="0">
            <x v="3"/>
          </reference>
          <reference field="9" count="1" selected="0">
            <x v="10"/>
          </reference>
          <reference field="11" count="1">
            <x v="14"/>
          </reference>
        </references>
      </pivotArea>
    </format>
    <format dxfId="8950">
      <pivotArea dataOnly="0" labelOnly="1" outline="0" fieldPosition="0">
        <references count="7">
          <reference field="1" count="0" selected="0"/>
          <reference field="3" count="1" selected="0">
            <x v="6"/>
          </reference>
          <reference field="4" count="1" selected="0">
            <x v="0"/>
          </reference>
          <reference field="5" count="1" selected="0">
            <x v="95"/>
          </reference>
          <reference field="6" count="1" selected="0">
            <x v="9"/>
          </reference>
          <reference field="9" count="1" selected="0">
            <x v="10"/>
          </reference>
          <reference field="11" count="1">
            <x v="48"/>
          </reference>
        </references>
      </pivotArea>
    </format>
    <format dxfId="8949">
      <pivotArea dataOnly="0" labelOnly="1" outline="0" fieldPosition="0">
        <references count="7">
          <reference field="1" count="0" selected="0"/>
          <reference field="3" count="1" selected="0">
            <x v="6"/>
          </reference>
          <reference field="4" count="1" selected="0">
            <x v="0"/>
          </reference>
          <reference field="5" count="1" selected="0">
            <x v="106"/>
          </reference>
          <reference field="6" count="1" selected="0">
            <x v="9"/>
          </reference>
          <reference field="9" count="1" selected="0">
            <x v="10"/>
          </reference>
          <reference field="11" count="1">
            <x v="14"/>
          </reference>
        </references>
      </pivotArea>
    </format>
    <format dxfId="8948">
      <pivotArea dataOnly="0" labelOnly="1" outline="0" fieldPosition="0">
        <references count="7">
          <reference field="1" count="0" selected="0"/>
          <reference field="3" count="1" selected="0">
            <x v="6"/>
          </reference>
          <reference field="4" count="1" selected="0">
            <x v="0"/>
          </reference>
          <reference field="5" count="1" selected="0">
            <x v="129"/>
          </reference>
          <reference field="6" count="1" selected="0">
            <x v="9"/>
          </reference>
          <reference field="9" count="1" selected="0">
            <x v="10"/>
          </reference>
          <reference field="11" count="1">
            <x v="14"/>
          </reference>
        </references>
      </pivotArea>
    </format>
    <format dxfId="8947">
      <pivotArea dataOnly="0" labelOnly="1" outline="0" fieldPosition="0">
        <references count="7">
          <reference field="1" count="0" selected="0"/>
          <reference field="3" count="1" selected="0">
            <x v="6"/>
          </reference>
          <reference field="4" count="1" selected="0">
            <x v="0"/>
          </reference>
          <reference field="5" count="1" selected="0">
            <x v="157"/>
          </reference>
          <reference field="6" count="1" selected="0">
            <x v="9"/>
          </reference>
          <reference field="9" count="1" selected="0">
            <x v="10"/>
          </reference>
          <reference field="11" count="1">
            <x v="56"/>
          </reference>
        </references>
      </pivotArea>
    </format>
    <format dxfId="8946">
      <pivotArea dataOnly="0" labelOnly="1" outline="0" fieldPosition="0">
        <references count="7">
          <reference field="1" count="0" selected="0"/>
          <reference field="3" count="1" selected="0">
            <x v="6"/>
          </reference>
          <reference field="4" count="1" selected="0">
            <x v="0"/>
          </reference>
          <reference field="5" count="1" selected="0">
            <x v="158"/>
          </reference>
          <reference field="6" count="1" selected="0">
            <x v="9"/>
          </reference>
          <reference field="9" count="1" selected="0">
            <x v="10"/>
          </reference>
          <reference field="11" count="1">
            <x v="46"/>
          </reference>
        </references>
      </pivotArea>
    </format>
    <format dxfId="8945">
      <pivotArea dataOnly="0" labelOnly="1" outline="0" fieldPosition="0">
        <references count="7">
          <reference field="1" count="0" selected="0"/>
          <reference field="3" count="1" selected="0">
            <x v="6"/>
          </reference>
          <reference field="4" count="1" selected="0">
            <x v="0"/>
          </reference>
          <reference field="5" count="1" selected="0">
            <x v="170"/>
          </reference>
          <reference field="6" count="1" selected="0">
            <x v="9"/>
          </reference>
          <reference field="9" count="1" selected="0">
            <x v="10"/>
          </reference>
          <reference field="11" count="1">
            <x v="14"/>
          </reference>
        </references>
      </pivotArea>
    </format>
    <format dxfId="8944">
      <pivotArea dataOnly="0" labelOnly="1" outline="0" fieldPosition="0">
        <references count="7">
          <reference field="1" count="0" selected="0"/>
          <reference field="3" count="1" selected="0">
            <x v="6"/>
          </reference>
          <reference field="4" count="1" selected="0">
            <x v="0"/>
          </reference>
          <reference field="5" count="1" selected="0">
            <x v="186"/>
          </reference>
          <reference field="6" count="1" selected="0">
            <x v="9"/>
          </reference>
          <reference field="9" count="1" selected="0">
            <x v="10"/>
          </reference>
          <reference field="11" count="1">
            <x v="39"/>
          </reference>
        </references>
      </pivotArea>
    </format>
    <format dxfId="8943">
      <pivotArea dataOnly="0" labelOnly="1" outline="0" fieldPosition="0">
        <references count="7">
          <reference field="1" count="0" selected="0"/>
          <reference field="3" count="1" selected="0">
            <x v="6"/>
          </reference>
          <reference field="4" count="1" selected="0">
            <x v="0"/>
          </reference>
          <reference field="5" count="1" selected="0">
            <x v="351"/>
          </reference>
          <reference field="6" count="1" selected="0">
            <x v="9"/>
          </reference>
          <reference field="9" count="1" selected="0">
            <x v="10"/>
          </reference>
          <reference field="11" count="1">
            <x v="55"/>
          </reference>
        </references>
      </pivotArea>
    </format>
    <format dxfId="8942">
      <pivotArea dataOnly="0" labelOnly="1" outline="0" fieldPosition="0">
        <references count="7">
          <reference field="1" count="0" selected="0"/>
          <reference field="3" count="1" selected="0">
            <x v="8"/>
          </reference>
          <reference field="4" count="1" selected="0">
            <x v="3"/>
          </reference>
          <reference field="5" count="1" selected="0">
            <x v="114"/>
          </reference>
          <reference field="6" count="1" selected="0">
            <x v="3"/>
          </reference>
          <reference field="9" count="1" selected="0">
            <x v="10"/>
          </reference>
          <reference field="11" count="1">
            <x v="26"/>
          </reference>
        </references>
      </pivotArea>
    </format>
    <format dxfId="8941">
      <pivotArea dataOnly="0" labelOnly="1" outline="0" fieldPosition="0">
        <references count="7">
          <reference field="1" count="0" selected="0"/>
          <reference field="3" count="1" selected="0">
            <x v="8"/>
          </reference>
          <reference field="4" count="1" selected="0">
            <x v="3"/>
          </reference>
          <reference field="5" count="1" selected="0">
            <x v="140"/>
          </reference>
          <reference field="6" count="1" selected="0">
            <x v="3"/>
          </reference>
          <reference field="9" count="1" selected="0">
            <x v="10"/>
          </reference>
          <reference field="11" count="1">
            <x v="14"/>
          </reference>
        </references>
      </pivotArea>
    </format>
    <format dxfId="8940">
      <pivotArea dataOnly="0" labelOnly="1" outline="0" fieldPosition="0">
        <references count="8">
          <reference field="1" count="0" selected="0"/>
          <reference field="3" count="1" selected="0">
            <x v="3"/>
          </reference>
          <reference field="4" count="1" selected="0">
            <x v="1"/>
          </reference>
          <reference field="5" count="1" selected="0">
            <x v="192"/>
          </reference>
          <reference field="6" count="1" selected="0">
            <x v="2"/>
          </reference>
          <reference field="9" count="1" selected="0">
            <x v="10"/>
          </reference>
          <reference field="11" count="1" selected="0">
            <x v="12"/>
          </reference>
          <reference field="12" count="1">
            <x v="8"/>
          </reference>
        </references>
      </pivotArea>
    </format>
    <format dxfId="8939">
      <pivotArea dataOnly="0" labelOnly="1" outline="0" fieldPosition="0">
        <references count="8">
          <reference field="1" count="0" selected="0"/>
          <reference field="3" count="1" selected="0">
            <x v="3"/>
          </reference>
          <reference field="4" count="1" selected="0">
            <x v="1"/>
          </reference>
          <reference field="5" count="1" selected="0">
            <x v="193"/>
          </reference>
          <reference field="6" count="1" selected="0">
            <x v="2"/>
          </reference>
          <reference field="9" count="1" selected="0">
            <x v="10"/>
          </reference>
          <reference field="11" count="1" selected="0">
            <x v="8"/>
          </reference>
          <reference field="12" count="1">
            <x v="21"/>
          </reference>
        </references>
      </pivotArea>
    </format>
    <format dxfId="8938">
      <pivotArea dataOnly="0" labelOnly="1" outline="0" fieldPosition="0">
        <references count="8">
          <reference field="1" count="0" selected="0"/>
          <reference field="3" count="1" selected="0">
            <x v="4"/>
          </reference>
          <reference field="4" count="1" selected="0">
            <x v="1"/>
          </reference>
          <reference field="5" count="1" selected="0">
            <x v="169"/>
          </reference>
          <reference field="6" count="1" selected="0">
            <x v="2"/>
          </reference>
          <reference field="9" count="1" selected="0">
            <x v="10"/>
          </reference>
          <reference field="11" count="1" selected="0">
            <x v="14"/>
          </reference>
          <reference field="12" count="1">
            <x v="18"/>
          </reference>
        </references>
      </pivotArea>
    </format>
    <format dxfId="8937">
      <pivotArea dataOnly="0" labelOnly="1" outline="0" fieldPosition="0">
        <references count="8">
          <reference field="1" count="0" selected="0"/>
          <reference field="3" count="1" selected="0">
            <x v="4"/>
          </reference>
          <reference field="4" count="1" selected="0">
            <x v="1"/>
          </reference>
          <reference field="5" count="1" selected="0">
            <x v="210"/>
          </reference>
          <reference field="6" count="1" selected="0">
            <x v="2"/>
          </reference>
          <reference field="9" count="1" selected="0">
            <x v="10"/>
          </reference>
          <reference field="11" count="1" selected="0">
            <x v="1"/>
          </reference>
          <reference field="12" count="1">
            <x v="8"/>
          </reference>
        </references>
      </pivotArea>
    </format>
    <format dxfId="8936">
      <pivotArea dataOnly="0" labelOnly="1" outline="0" fieldPosition="0">
        <references count="8">
          <reference field="1" count="0" selected="0"/>
          <reference field="3" count="1" selected="0">
            <x v="5"/>
          </reference>
          <reference field="4" count="1" selected="0">
            <x v="3"/>
          </reference>
          <reference field="5" count="1" selected="0">
            <x v="132"/>
          </reference>
          <reference field="6" count="1" selected="0">
            <x v="3"/>
          </reference>
          <reference field="9" count="1" selected="0">
            <x v="10"/>
          </reference>
          <reference field="11" count="1" selected="0">
            <x v="14"/>
          </reference>
          <reference field="12" count="1">
            <x v="11"/>
          </reference>
        </references>
      </pivotArea>
    </format>
    <format dxfId="8935">
      <pivotArea dataOnly="0" labelOnly="1" outline="0" fieldPosition="0">
        <references count="8">
          <reference field="1" count="0" selected="0"/>
          <reference field="3" count="1" selected="0">
            <x v="6"/>
          </reference>
          <reference field="4" count="1" selected="0">
            <x v="0"/>
          </reference>
          <reference field="5" count="1" selected="0">
            <x v="95"/>
          </reference>
          <reference field="6" count="1" selected="0">
            <x v="9"/>
          </reference>
          <reference field="9" count="1" selected="0">
            <x v="10"/>
          </reference>
          <reference field="11" count="1" selected="0">
            <x v="48"/>
          </reference>
          <reference field="12" count="1">
            <x v="8"/>
          </reference>
        </references>
      </pivotArea>
    </format>
    <format dxfId="8934">
      <pivotArea dataOnly="0" labelOnly="1" outline="0" fieldPosition="0">
        <references count="8">
          <reference field="1" count="0" selected="0"/>
          <reference field="3" count="1" selected="0">
            <x v="6"/>
          </reference>
          <reference field="4" count="1" selected="0">
            <x v="0"/>
          </reference>
          <reference field="5" count="1" selected="0">
            <x v="129"/>
          </reference>
          <reference field="6" count="1" selected="0">
            <x v="9"/>
          </reference>
          <reference field="9" count="1" selected="0">
            <x v="10"/>
          </reference>
          <reference field="11" count="1" selected="0">
            <x v="14"/>
          </reference>
          <reference field="12" count="1">
            <x v="24"/>
          </reference>
        </references>
      </pivotArea>
    </format>
    <format dxfId="8933">
      <pivotArea dataOnly="0" labelOnly="1" outline="0" fieldPosition="0">
        <references count="8">
          <reference field="1" count="0" selected="0"/>
          <reference field="3" count="1" selected="0">
            <x v="6"/>
          </reference>
          <reference field="4" count="1" selected="0">
            <x v="0"/>
          </reference>
          <reference field="5" count="1" selected="0">
            <x v="157"/>
          </reference>
          <reference field="6" count="1" selected="0">
            <x v="9"/>
          </reference>
          <reference field="9" count="1" selected="0">
            <x v="10"/>
          </reference>
          <reference field="11" count="1" selected="0">
            <x v="56"/>
          </reference>
          <reference field="12" count="1">
            <x v="8"/>
          </reference>
        </references>
      </pivotArea>
    </format>
    <format dxfId="8932">
      <pivotArea dataOnly="0" labelOnly="1" outline="0" fieldPosition="0">
        <references count="8">
          <reference field="1" count="0" selected="0"/>
          <reference field="3" count="1" selected="0">
            <x v="6"/>
          </reference>
          <reference field="4" count="1" selected="0">
            <x v="0"/>
          </reference>
          <reference field="5" count="1" selected="0">
            <x v="170"/>
          </reference>
          <reference field="6" count="1" selected="0">
            <x v="9"/>
          </reference>
          <reference field="9" count="1" selected="0">
            <x v="10"/>
          </reference>
          <reference field="11" count="1" selected="0">
            <x v="14"/>
          </reference>
          <reference field="12" count="1">
            <x v="7"/>
          </reference>
        </references>
      </pivotArea>
    </format>
    <format dxfId="8931">
      <pivotArea dataOnly="0" labelOnly="1" outline="0" fieldPosition="0">
        <references count="8">
          <reference field="1" count="0" selected="0"/>
          <reference field="3" count="1" selected="0">
            <x v="6"/>
          </reference>
          <reference field="4" count="1" selected="0">
            <x v="0"/>
          </reference>
          <reference field="5" count="1" selected="0">
            <x v="171"/>
          </reference>
          <reference field="6" count="1" selected="0">
            <x v="9"/>
          </reference>
          <reference field="9" count="1" selected="0">
            <x v="10"/>
          </reference>
          <reference field="11" count="1" selected="0">
            <x v="14"/>
          </reference>
          <reference field="12" count="1">
            <x v="8"/>
          </reference>
        </references>
      </pivotArea>
    </format>
    <format dxfId="8930">
      <pivotArea dataOnly="0" labelOnly="1" outline="0" fieldPosition="0">
        <references count="8">
          <reference field="1" count="0" selected="0"/>
          <reference field="3" count="1" selected="0">
            <x v="6"/>
          </reference>
          <reference field="4" count="1" selected="0">
            <x v="0"/>
          </reference>
          <reference field="5" count="1" selected="0">
            <x v="178"/>
          </reference>
          <reference field="6" count="1" selected="0">
            <x v="9"/>
          </reference>
          <reference field="9" count="1" selected="0">
            <x v="10"/>
          </reference>
          <reference field="11" count="1" selected="0">
            <x v="14"/>
          </reference>
          <reference field="12" count="1">
            <x v="27"/>
          </reference>
        </references>
      </pivotArea>
    </format>
    <format dxfId="8929">
      <pivotArea dataOnly="0" labelOnly="1" outline="0" fieldPosition="0">
        <references count="8">
          <reference field="1" count="0" selected="0"/>
          <reference field="3" count="1" selected="0">
            <x v="6"/>
          </reference>
          <reference field="4" count="1" selected="0">
            <x v="0"/>
          </reference>
          <reference field="5" count="1" selected="0">
            <x v="185"/>
          </reference>
          <reference field="6" count="1" selected="0">
            <x v="9"/>
          </reference>
          <reference field="9" count="1" selected="0">
            <x v="10"/>
          </reference>
          <reference field="11" count="1" selected="0">
            <x v="14"/>
          </reference>
          <reference field="12" count="1">
            <x v="32"/>
          </reference>
        </references>
      </pivotArea>
    </format>
    <format dxfId="8928">
      <pivotArea dataOnly="0" labelOnly="1" outline="0" fieldPosition="0">
        <references count="8">
          <reference field="1" count="0" selected="0"/>
          <reference field="3" count="1" selected="0">
            <x v="6"/>
          </reference>
          <reference field="4" count="1" selected="0">
            <x v="0"/>
          </reference>
          <reference field="5" count="1" selected="0">
            <x v="186"/>
          </reference>
          <reference field="6" count="1" selected="0">
            <x v="9"/>
          </reference>
          <reference field="9" count="1" selected="0">
            <x v="10"/>
          </reference>
          <reference field="11" count="1" selected="0">
            <x v="39"/>
          </reference>
          <reference field="12" count="1">
            <x v="8"/>
          </reference>
        </references>
      </pivotArea>
    </format>
    <format dxfId="8927">
      <pivotArea dataOnly="0" labelOnly="1" outline="0" fieldPosition="0">
        <references count="8">
          <reference field="1" count="0" selected="0"/>
          <reference field="3" count="1" selected="0">
            <x v="6"/>
          </reference>
          <reference field="4" count="1" selected="0">
            <x v="0"/>
          </reference>
          <reference field="5" count="1" selected="0">
            <x v="351"/>
          </reference>
          <reference field="6" count="1" selected="0">
            <x v="9"/>
          </reference>
          <reference field="9" count="1" selected="0">
            <x v="10"/>
          </reference>
          <reference field="11" count="1" selected="0">
            <x v="55"/>
          </reference>
          <reference field="12" count="1">
            <x v="19"/>
          </reference>
        </references>
      </pivotArea>
    </format>
    <format dxfId="8926">
      <pivotArea dataOnly="0" labelOnly="1" outline="0" fieldPosition="0">
        <references count="8">
          <reference field="1" count="0" selected="0"/>
          <reference field="3" count="1" selected="0">
            <x v="8"/>
          </reference>
          <reference field="4" count="1" selected="0">
            <x v="3"/>
          </reference>
          <reference field="5" count="1" selected="0">
            <x v="114"/>
          </reference>
          <reference field="6" count="1" selected="0">
            <x v="3"/>
          </reference>
          <reference field="9" count="1" selected="0">
            <x v="10"/>
          </reference>
          <reference field="11" count="1" selected="0">
            <x v="26"/>
          </reference>
          <reference field="12" count="1">
            <x v="26"/>
          </reference>
        </references>
      </pivotArea>
    </format>
    <format dxfId="8925">
      <pivotArea dataOnly="0" labelOnly="1" outline="0" fieldPosition="0">
        <references count="8">
          <reference field="1" count="0" selected="0"/>
          <reference field="3" count="1" selected="0">
            <x v="8"/>
          </reference>
          <reference field="4" count="1" selected="0">
            <x v="3"/>
          </reference>
          <reference field="5" count="1" selected="0">
            <x v="140"/>
          </reference>
          <reference field="6" count="1" selected="0">
            <x v="3"/>
          </reference>
          <reference field="9" count="1" selected="0">
            <x v="10"/>
          </reference>
          <reference field="11" count="1" selected="0">
            <x v="14"/>
          </reference>
          <reference field="12" count="1">
            <x v="31"/>
          </reference>
        </references>
      </pivotArea>
    </format>
    <format dxfId="8924">
      <pivotArea dataOnly="0" labelOnly="1" outline="0" fieldPosition="0">
        <references count="9">
          <reference field="1" count="0" selected="0"/>
          <reference field="3" count="1" selected="0">
            <x v="3"/>
          </reference>
          <reference field="4" count="1" selected="0">
            <x v="1"/>
          </reference>
          <reference field="5" count="1" selected="0">
            <x v="192"/>
          </reference>
          <reference field="6" count="1" selected="0">
            <x v="2"/>
          </reference>
          <reference field="9" count="1" selected="0">
            <x v="10"/>
          </reference>
          <reference field="11" count="1" selected="0">
            <x v="12"/>
          </reference>
          <reference field="12" count="1" selected="0">
            <x v="8"/>
          </reference>
          <reference field="13" count="1">
            <x v="3"/>
          </reference>
        </references>
      </pivotArea>
    </format>
    <format dxfId="8923">
      <pivotArea dataOnly="0" labelOnly="1" outline="0" fieldPosition="0">
        <references count="9">
          <reference field="1" count="0" selected="0"/>
          <reference field="3" count="1" selected="0">
            <x v="6"/>
          </reference>
          <reference field="4" count="1" selected="0">
            <x v="0"/>
          </reference>
          <reference field="5" count="1" selected="0">
            <x v="129"/>
          </reference>
          <reference field="6" count="1" selected="0">
            <x v="9"/>
          </reference>
          <reference field="9" count="1" selected="0">
            <x v="10"/>
          </reference>
          <reference field="11" count="1" selected="0">
            <x v="14"/>
          </reference>
          <reference field="12" count="1" selected="0">
            <x v="24"/>
          </reference>
          <reference field="13" count="1">
            <x v="3"/>
          </reference>
        </references>
      </pivotArea>
    </format>
    <format dxfId="8922">
      <pivotArea dataOnly="0" labelOnly="1" outline="0" fieldPosition="0">
        <references count="10">
          <reference field="1" count="0" selected="0"/>
          <reference field="3" count="1" selected="0">
            <x v="3"/>
          </reference>
          <reference field="4" count="1" selected="0">
            <x v="1"/>
          </reference>
          <reference field="5" count="1" selected="0">
            <x v="192"/>
          </reference>
          <reference field="6" count="1" selected="0">
            <x v="2"/>
          </reference>
          <reference field="9" count="1" selected="0">
            <x v="10"/>
          </reference>
          <reference field="11" count="1" selected="0">
            <x v="12"/>
          </reference>
          <reference field="12" count="1" selected="0">
            <x v="8"/>
          </reference>
          <reference field="13" count="1" selected="0">
            <x v="3"/>
          </reference>
          <reference field="14" count="1">
            <x v="17"/>
          </reference>
        </references>
      </pivotArea>
    </format>
    <format dxfId="8921">
      <pivotArea dataOnly="0" labelOnly="1" outline="0" fieldPosition="0">
        <references count="10">
          <reference field="1" count="0" selected="0"/>
          <reference field="3" count="1" selected="0">
            <x v="3"/>
          </reference>
          <reference field="4" count="1" selected="0">
            <x v="1"/>
          </reference>
          <reference field="5" count="1" selected="0">
            <x v="193"/>
          </reference>
          <reference field="6" count="1" selected="0">
            <x v="2"/>
          </reference>
          <reference field="9" count="1" selected="0">
            <x v="10"/>
          </reference>
          <reference field="11" count="1" selected="0">
            <x v="8"/>
          </reference>
          <reference field="12" count="1" selected="0">
            <x v="21"/>
          </reference>
          <reference field="13" count="1" selected="0">
            <x v="3"/>
          </reference>
          <reference field="14" count="1">
            <x v="17"/>
          </reference>
        </references>
      </pivotArea>
    </format>
    <format dxfId="8920">
      <pivotArea dataOnly="0" labelOnly="1" outline="0" fieldPosition="0">
        <references count="10">
          <reference field="1" count="0" selected="0"/>
          <reference field="3" count="1" selected="0">
            <x v="3"/>
          </reference>
          <reference field="4" count="1" selected="0">
            <x v="1"/>
          </reference>
          <reference field="5" count="1" selected="0">
            <x v="201"/>
          </reference>
          <reference field="6" count="1" selected="0">
            <x v="2"/>
          </reference>
          <reference field="9" count="1" selected="0">
            <x v="10"/>
          </reference>
          <reference field="11" count="1" selected="0">
            <x v="1"/>
          </reference>
          <reference field="12" count="1" selected="0">
            <x v="8"/>
          </reference>
          <reference field="13" count="1" selected="0">
            <x v="3"/>
          </reference>
          <reference field="14" count="1">
            <x v="0"/>
          </reference>
        </references>
      </pivotArea>
    </format>
    <format dxfId="8919">
      <pivotArea dataOnly="0" labelOnly="1" outline="0" fieldPosition="0">
        <references count="10">
          <reference field="1" count="0" selected="0"/>
          <reference field="3" count="1" selected="0">
            <x v="3"/>
          </reference>
          <reference field="4" count="1" selected="0">
            <x v="1"/>
          </reference>
          <reference field="5" count="1" selected="0">
            <x v="208"/>
          </reference>
          <reference field="6" count="1" selected="0">
            <x v="2"/>
          </reference>
          <reference field="9" count="1" selected="0">
            <x v="10"/>
          </reference>
          <reference field="11" count="1" selected="0">
            <x v="1"/>
          </reference>
          <reference field="12" count="1" selected="0">
            <x v="8"/>
          </reference>
          <reference field="13" count="1" selected="0">
            <x v="3"/>
          </reference>
          <reference field="14" count="1">
            <x v="6"/>
          </reference>
        </references>
      </pivotArea>
    </format>
    <format dxfId="8918">
      <pivotArea dataOnly="0" labelOnly="1" outline="0" fieldPosition="0">
        <references count="10">
          <reference field="1" count="0" selected="0"/>
          <reference field="3" count="1" selected="0">
            <x v="4"/>
          </reference>
          <reference field="4" count="1" selected="0">
            <x v="1"/>
          </reference>
          <reference field="5" count="1" selected="0">
            <x v="96"/>
          </reference>
          <reference field="6" count="1" selected="0">
            <x v="2"/>
          </reference>
          <reference field="9" count="1" selected="0">
            <x v="10"/>
          </reference>
          <reference field="11" count="1" selected="0">
            <x v="22"/>
          </reference>
          <reference field="12" count="1" selected="0">
            <x v="8"/>
          </reference>
          <reference field="13" count="1" selected="0">
            <x v="3"/>
          </reference>
          <reference field="14" count="1">
            <x v="41"/>
          </reference>
        </references>
      </pivotArea>
    </format>
    <format dxfId="8917">
      <pivotArea dataOnly="0" labelOnly="1" outline="0" fieldPosition="0">
        <references count="10">
          <reference field="1" count="0" selected="0"/>
          <reference field="3" count="1" selected="0">
            <x v="4"/>
          </reference>
          <reference field="4" count="1" selected="0">
            <x v="1"/>
          </reference>
          <reference field="5" count="1" selected="0">
            <x v="103"/>
          </reference>
          <reference field="6" count="1" selected="0">
            <x v="2"/>
          </reference>
          <reference field="9" count="1" selected="0">
            <x v="4"/>
          </reference>
          <reference field="11" count="1" selected="0">
            <x v="2"/>
          </reference>
          <reference field="12" count="1" selected="0">
            <x v="8"/>
          </reference>
          <reference field="13" count="1" selected="0">
            <x v="3"/>
          </reference>
          <reference field="14" count="1">
            <x v="51"/>
          </reference>
        </references>
      </pivotArea>
    </format>
    <format dxfId="8916">
      <pivotArea dataOnly="0" labelOnly="1" outline="0" fieldPosition="0">
        <references count="10">
          <reference field="1" count="0" selected="0"/>
          <reference field="3" count="1" selected="0">
            <x v="4"/>
          </reference>
          <reference field="4" count="1" selected="0">
            <x v="1"/>
          </reference>
          <reference field="5" count="1" selected="0">
            <x v="169"/>
          </reference>
          <reference field="6" count="1" selected="0">
            <x v="2"/>
          </reference>
          <reference field="9" count="1" selected="0">
            <x v="10"/>
          </reference>
          <reference field="11" count="1" selected="0">
            <x v="14"/>
          </reference>
          <reference field="12" count="1" selected="0">
            <x v="18"/>
          </reference>
          <reference field="13" count="1" selected="0">
            <x v="3"/>
          </reference>
          <reference field="14" count="1">
            <x v="17"/>
          </reference>
        </references>
      </pivotArea>
    </format>
    <format dxfId="8915">
      <pivotArea dataOnly="0" labelOnly="1" outline="0" fieldPosition="0">
        <references count="10">
          <reference field="1" count="0" selected="0"/>
          <reference field="3" count="1" selected="0">
            <x v="4"/>
          </reference>
          <reference field="4" count="1" selected="0">
            <x v="1"/>
          </reference>
          <reference field="5" count="1" selected="0">
            <x v="210"/>
          </reference>
          <reference field="6" count="1" selected="0">
            <x v="2"/>
          </reference>
          <reference field="9" count="1" selected="0">
            <x v="10"/>
          </reference>
          <reference field="11" count="1" selected="0">
            <x v="1"/>
          </reference>
          <reference field="12" count="1" selected="0">
            <x v="8"/>
          </reference>
          <reference field="13" count="1" selected="0">
            <x v="3"/>
          </reference>
          <reference field="14" count="1">
            <x v="5"/>
          </reference>
        </references>
      </pivotArea>
    </format>
    <format dxfId="8914">
      <pivotArea dataOnly="0" labelOnly="1" outline="0" fieldPosition="0">
        <references count="10">
          <reference field="1" count="0" selected="0"/>
          <reference field="3" count="1" selected="0">
            <x v="4"/>
          </reference>
          <reference field="4" count="1" selected="0">
            <x v="1"/>
          </reference>
          <reference field="5" count="1" selected="0">
            <x v="327"/>
          </reference>
          <reference field="6" count="1" selected="0">
            <x v="2"/>
          </reference>
          <reference field="9" count="1" selected="0">
            <x v="10"/>
          </reference>
          <reference field="11" count="1" selected="0">
            <x v="31"/>
          </reference>
          <reference field="12" count="1" selected="0">
            <x v="8"/>
          </reference>
          <reference field="13" count="1" selected="0">
            <x v="3"/>
          </reference>
          <reference field="14" count="1">
            <x v="28"/>
          </reference>
        </references>
      </pivotArea>
    </format>
    <format dxfId="8913">
      <pivotArea dataOnly="0" labelOnly="1" outline="0" fieldPosition="0">
        <references count="10">
          <reference field="1" count="0" selected="0"/>
          <reference field="3" count="1" selected="0">
            <x v="5"/>
          </reference>
          <reference field="4" count="1" selected="0">
            <x v="3"/>
          </reference>
          <reference field="5" count="1" selected="0">
            <x v="132"/>
          </reference>
          <reference field="6" count="1" selected="0">
            <x v="3"/>
          </reference>
          <reference field="9" count="1" selected="0">
            <x v="10"/>
          </reference>
          <reference field="11" count="1" selected="0">
            <x v="14"/>
          </reference>
          <reference field="12" count="1" selected="0">
            <x v="11"/>
          </reference>
          <reference field="13" count="1" selected="0">
            <x v="3"/>
          </reference>
          <reference field="14" count="1">
            <x v="30"/>
          </reference>
        </references>
      </pivotArea>
    </format>
    <format dxfId="8912">
      <pivotArea dataOnly="0" labelOnly="1" outline="0" fieldPosition="0">
        <references count="10">
          <reference field="1" count="0" selected="0"/>
          <reference field="3" count="1" selected="0">
            <x v="6"/>
          </reference>
          <reference field="4" count="1" selected="0">
            <x v="0"/>
          </reference>
          <reference field="5" count="1" selected="0">
            <x v="95"/>
          </reference>
          <reference field="6" count="1" selected="0">
            <x v="9"/>
          </reference>
          <reference field="9" count="1" selected="0">
            <x v="10"/>
          </reference>
          <reference field="11" count="1" selected="0">
            <x v="48"/>
          </reference>
          <reference field="12" count="1" selected="0">
            <x v="8"/>
          </reference>
          <reference field="13" count="1" selected="0">
            <x v="3"/>
          </reference>
          <reference field="14" count="1">
            <x v="17"/>
          </reference>
        </references>
      </pivotArea>
    </format>
    <format dxfId="8911">
      <pivotArea dataOnly="0" labelOnly="1" outline="0" fieldPosition="0">
        <references count="10">
          <reference field="1" count="0" selected="0"/>
          <reference field="3" count="1" selected="0">
            <x v="6"/>
          </reference>
          <reference field="4" count="1" selected="0">
            <x v="0"/>
          </reference>
          <reference field="5" count="1" selected="0">
            <x v="129"/>
          </reference>
          <reference field="6" count="1" selected="0">
            <x v="9"/>
          </reference>
          <reference field="9" count="1" selected="0">
            <x v="10"/>
          </reference>
          <reference field="11" count="1" selected="0">
            <x v="14"/>
          </reference>
          <reference field="12" count="1" selected="0">
            <x v="24"/>
          </reference>
          <reference field="13" count="1" selected="0">
            <x v="3"/>
          </reference>
          <reference field="14" count="1">
            <x v="54"/>
          </reference>
        </references>
      </pivotArea>
    </format>
    <format dxfId="8910">
      <pivotArea dataOnly="0" labelOnly="1" outline="0" fieldPosition="0">
        <references count="10">
          <reference field="1" count="0" selected="0"/>
          <reference field="3" count="1" selected="0">
            <x v="6"/>
          </reference>
          <reference field="4" count="1" selected="0">
            <x v="0"/>
          </reference>
          <reference field="5" count="1" selected="0">
            <x v="157"/>
          </reference>
          <reference field="6" count="1" selected="0">
            <x v="9"/>
          </reference>
          <reference field="9" count="1" selected="0">
            <x v="10"/>
          </reference>
          <reference field="11" count="1" selected="0">
            <x v="56"/>
          </reference>
          <reference field="12" count="1" selected="0">
            <x v="8"/>
          </reference>
          <reference field="13" count="1" selected="0">
            <x v="3"/>
          </reference>
          <reference field="14" count="1">
            <x v="57"/>
          </reference>
        </references>
      </pivotArea>
    </format>
    <format dxfId="8909">
      <pivotArea dataOnly="0" labelOnly="1" outline="0" fieldPosition="0">
        <references count="10">
          <reference field="1" count="0" selected="0"/>
          <reference field="3" count="1" selected="0">
            <x v="6"/>
          </reference>
          <reference field="4" count="1" selected="0">
            <x v="0"/>
          </reference>
          <reference field="5" count="1" selected="0">
            <x v="158"/>
          </reference>
          <reference field="6" count="1" selected="0">
            <x v="9"/>
          </reference>
          <reference field="9" count="1" selected="0">
            <x v="10"/>
          </reference>
          <reference field="11" count="1" selected="0">
            <x v="46"/>
          </reference>
          <reference field="12" count="1" selected="0">
            <x v="8"/>
          </reference>
          <reference field="13" count="1" selected="0">
            <x v="3"/>
          </reference>
          <reference field="14" count="1">
            <x v="20"/>
          </reference>
        </references>
      </pivotArea>
    </format>
    <format dxfId="8908">
      <pivotArea dataOnly="0" labelOnly="1" outline="0" fieldPosition="0">
        <references count="10">
          <reference field="1" count="0" selected="0"/>
          <reference field="3" count="1" selected="0">
            <x v="6"/>
          </reference>
          <reference field="4" count="1" selected="0">
            <x v="0"/>
          </reference>
          <reference field="5" count="1" selected="0">
            <x v="170"/>
          </reference>
          <reference field="6" count="1" selected="0">
            <x v="9"/>
          </reference>
          <reference field="9" count="1" selected="0">
            <x v="10"/>
          </reference>
          <reference field="11" count="1" selected="0">
            <x v="14"/>
          </reference>
          <reference field="12" count="1" selected="0">
            <x v="7"/>
          </reference>
          <reference field="13" count="1" selected="0">
            <x v="3"/>
          </reference>
          <reference field="14" count="1">
            <x v="17"/>
          </reference>
        </references>
      </pivotArea>
    </format>
    <format dxfId="8907">
      <pivotArea dataOnly="0" labelOnly="1" outline="0" fieldPosition="0">
        <references count="10">
          <reference field="1" count="0" selected="0"/>
          <reference field="3" count="1" selected="0">
            <x v="6"/>
          </reference>
          <reference field="4" count="1" selected="0">
            <x v="0"/>
          </reference>
          <reference field="5" count="1" selected="0">
            <x v="171"/>
          </reference>
          <reference field="6" count="1" selected="0">
            <x v="9"/>
          </reference>
          <reference field="9" count="1" selected="0">
            <x v="10"/>
          </reference>
          <reference field="11" count="1" selected="0">
            <x v="14"/>
          </reference>
          <reference field="12" count="1" selected="0">
            <x v="8"/>
          </reference>
          <reference field="13" count="1" selected="0">
            <x v="3"/>
          </reference>
          <reference field="14" count="1">
            <x v="17"/>
          </reference>
        </references>
      </pivotArea>
    </format>
    <format dxfId="8906">
      <pivotArea dataOnly="0" labelOnly="1" outline="0" fieldPosition="0">
        <references count="10">
          <reference field="1" count="0" selected="0"/>
          <reference field="3" count="1" selected="0">
            <x v="6"/>
          </reference>
          <reference field="4" count="1" selected="0">
            <x v="0"/>
          </reference>
          <reference field="5" count="1" selected="0">
            <x v="178"/>
          </reference>
          <reference field="6" count="1" selected="0">
            <x v="9"/>
          </reference>
          <reference field="9" count="1" selected="0">
            <x v="10"/>
          </reference>
          <reference field="11" count="1" selected="0">
            <x v="14"/>
          </reference>
          <reference field="12" count="1" selected="0">
            <x v="27"/>
          </reference>
          <reference field="13" count="1" selected="0">
            <x v="3"/>
          </reference>
          <reference field="14" count="1">
            <x v="37"/>
          </reference>
        </references>
      </pivotArea>
    </format>
    <format dxfId="8905">
      <pivotArea dataOnly="0" labelOnly="1" outline="0" fieldPosition="0">
        <references count="10">
          <reference field="1" count="0" selected="0"/>
          <reference field="3" count="1" selected="0">
            <x v="6"/>
          </reference>
          <reference field="4" count="1" selected="0">
            <x v="0"/>
          </reference>
          <reference field="5" count="1" selected="0">
            <x v="185"/>
          </reference>
          <reference field="6" count="1" selected="0">
            <x v="9"/>
          </reference>
          <reference field="9" count="1" selected="0">
            <x v="10"/>
          </reference>
          <reference field="11" count="1" selected="0">
            <x v="14"/>
          </reference>
          <reference field="12" count="1" selected="0">
            <x v="32"/>
          </reference>
          <reference field="13" count="1" selected="0">
            <x v="3"/>
          </reference>
          <reference field="14" count="1">
            <x v="55"/>
          </reference>
        </references>
      </pivotArea>
    </format>
    <format dxfId="8904">
      <pivotArea dataOnly="0" labelOnly="1" outline="0" fieldPosition="0">
        <references count="10">
          <reference field="1" count="0" selected="0"/>
          <reference field="3" count="1" selected="0">
            <x v="6"/>
          </reference>
          <reference field="4" count="1" selected="0">
            <x v="0"/>
          </reference>
          <reference field="5" count="1" selected="0">
            <x v="186"/>
          </reference>
          <reference field="6" count="1" selected="0">
            <x v="9"/>
          </reference>
          <reference field="9" count="1" selected="0">
            <x v="10"/>
          </reference>
          <reference field="11" count="1" selected="0">
            <x v="39"/>
          </reference>
          <reference field="12" count="1" selected="0">
            <x v="8"/>
          </reference>
          <reference field="13" count="1" selected="0">
            <x v="3"/>
          </reference>
          <reference field="14" count="1">
            <x v="50"/>
          </reference>
        </references>
      </pivotArea>
    </format>
    <format dxfId="8903">
      <pivotArea dataOnly="0" labelOnly="1" outline="0" fieldPosition="0">
        <references count="10">
          <reference field="1" count="0" selected="0"/>
          <reference field="3" count="1" selected="0">
            <x v="6"/>
          </reference>
          <reference field="4" count="1" selected="0">
            <x v="0"/>
          </reference>
          <reference field="5" count="1" selected="0">
            <x v="351"/>
          </reference>
          <reference field="6" count="1" selected="0">
            <x v="9"/>
          </reference>
          <reference field="9" count="1" selected="0">
            <x v="10"/>
          </reference>
          <reference field="11" count="1" selected="0">
            <x v="55"/>
          </reference>
          <reference field="12" count="1" selected="0">
            <x v="19"/>
          </reference>
          <reference field="13" count="1" selected="0">
            <x v="3"/>
          </reference>
          <reference field="14" count="1">
            <x v="19"/>
          </reference>
        </references>
      </pivotArea>
    </format>
    <format dxfId="8902">
      <pivotArea dataOnly="0" labelOnly="1" outline="0" fieldPosition="0">
        <references count="10">
          <reference field="1" count="0" selected="0"/>
          <reference field="3" count="1" selected="0">
            <x v="8"/>
          </reference>
          <reference field="4" count="1" selected="0">
            <x v="3"/>
          </reference>
          <reference field="5" count="1" selected="0">
            <x v="114"/>
          </reference>
          <reference field="6" count="1" selected="0">
            <x v="3"/>
          </reference>
          <reference field="9" count="1" selected="0">
            <x v="10"/>
          </reference>
          <reference field="11" count="1" selected="0">
            <x v="26"/>
          </reference>
          <reference field="12" count="1" selected="0">
            <x v="26"/>
          </reference>
          <reference field="13" count="1" selected="0">
            <x v="3"/>
          </reference>
          <reference field="14" count="1">
            <x v="40"/>
          </reference>
        </references>
      </pivotArea>
    </format>
    <format dxfId="8901">
      <pivotArea dataOnly="0" labelOnly="1" outline="0" fieldPosition="0">
        <references count="10">
          <reference field="1" count="0" selected="0"/>
          <reference field="3" count="1" selected="0">
            <x v="8"/>
          </reference>
          <reference field="4" count="1" selected="0">
            <x v="3"/>
          </reference>
          <reference field="5" count="1" selected="0">
            <x v="140"/>
          </reference>
          <reference field="6" count="1" selected="0">
            <x v="3"/>
          </reference>
          <reference field="9" count="1" selected="0">
            <x v="10"/>
          </reference>
          <reference field="11" count="1" selected="0">
            <x v="14"/>
          </reference>
          <reference field="12" count="1" selected="0">
            <x v="31"/>
          </reference>
          <reference field="13" count="1" selected="0">
            <x v="3"/>
          </reference>
          <reference field="14" count="1">
            <x v="17"/>
          </reference>
        </references>
      </pivotArea>
    </format>
    <format dxfId="8900">
      <pivotArea dataOnly="0" labelOnly="1" outline="0" fieldPosition="0">
        <references count="7">
          <reference field="1" count="0" selected="0"/>
          <reference field="3" count="1" selected="0">
            <x v="3"/>
          </reference>
          <reference field="4" count="1" selected="0">
            <x v="1"/>
          </reference>
          <reference field="5" count="1" selected="0">
            <x v="192"/>
          </reference>
          <reference field="6" count="1" selected="0">
            <x v="2"/>
          </reference>
          <reference field="9" count="1" selected="0">
            <x v="10"/>
          </reference>
          <reference field="11" count="1">
            <x v="12"/>
          </reference>
        </references>
      </pivotArea>
    </format>
    <format dxfId="8899">
      <pivotArea dataOnly="0" labelOnly="1" outline="0" fieldPosition="0">
        <references count="7">
          <reference field="1" count="0" selected="0"/>
          <reference field="3" count="1" selected="0">
            <x v="3"/>
          </reference>
          <reference field="4" count="1" selected="0">
            <x v="1"/>
          </reference>
          <reference field="5" count="1" selected="0">
            <x v="193"/>
          </reference>
          <reference field="6" count="1" selected="0">
            <x v="2"/>
          </reference>
          <reference field="9" count="1" selected="0">
            <x v="10"/>
          </reference>
          <reference field="11" count="1">
            <x v="8"/>
          </reference>
        </references>
      </pivotArea>
    </format>
    <format dxfId="8898">
      <pivotArea dataOnly="0" labelOnly="1" outline="0" fieldPosition="0">
        <references count="7">
          <reference field="1" count="0" selected="0"/>
          <reference field="3" count="1" selected="0">
            <x v="3"/>
          </reference>
          <reference field="4" count="1" selected="0">
            <x v="1"/>
          </reference>
          <reference field="5" count="1" selected="0">
            <x v="201"/>
          </reference>
          <reference field="6" count="1" selected="0">
            <x v="2"/>
          </reference>
          <reference field="9" count="1" selected="0">
            <x v="10"/>
          </reference>
          <reference field="11" count="1">
            <x v="1"/>
          </reference>
        </references>
      </pivotArea>
    </format>
    <format dxfId="8897">
      <pivotArea dataOnly="0" labelOnly="1" outline="0" fieldPosition="0">
        <references count="7">
          <reference field="1" count="0" selected="0"/>
          <reference field="3" count="1" selected="0">
            <x v="4"/>
          </reference>
          <reference field="4" count="1" selected="0">
            <x v="1"/>
          </reference>
          <reference field="5" count="1" selected="0">
            <x v="96"/>
          </reference>
          <reference field="6" count="1" selected="0">
            <x v="2"/>
          </reference>
          <reference field="9" count="1" selected="0">
            <x v="10"/>
          </reference>
          <reference field="11" count="1">
            <x v="22"/>
          </reference>
        </references>
      </pivotArea>
    </format>
    <format dxfId="8896">
      <pivotArea dataOnly="0" labelOnly="1" outline="0" fieldPosition="0">
        <references count="7">
          <reference field="1" count="0" selected="0"/>
          <reference field="3" count="1" selected="0">
            <x v="4"/>
          </reference>
          <reference field="4" count="1" selected="0">
            <x v="1"/>
          </reference>
          <reference field="5" count="1" selected="0">
            <x v="103"/>
          </reference>
          <reference field="6" count="1" selected="0">
            <x v="2"/>
          </reference>
          <reference field="9" count="1" selected="0">
            <x v="4"/>
          </reference>
          <reference field="11" count="1">
            <x v="2"/>
          </reference>
        </references>
      </pivotArea>
    </format>
    <format dxfId="8895">
      <pivotArea dataOnly="0" labelOnly="1" outline="0" fieldPosition="0">
        <references count="7">
          <reference field="1" count="0" selected="0"/>
          <reference field="3" count="1" selected="0">
            <x v="4"/>
          </reference>
          <reference field="4" count="1" selected="0">
            <x v="1"/>
          </reference>
          <reference field="5" count="1" selected="0">
            <x v="169"/>
          </reference>
          <reference field="6" count="1" selected="0">
            <x v="2"/>
          </reference>
          <reference field="9" count="1" selected="0">
            <x v="10"/>
          </reference>
          <reference field="11" count="1">
            <x v="14"/>
          </reference>
        </references>
      </pivotArea>
    </format>
    <format dxfId="8894">
      <pivotArea dataOnly="0" labelOnly="1" outline="0" fieldPosition="0">
        <references count="7">
          <reference field="1" count="0" selected="0"/>
          <reference field="3" count="1" selected="0">
            <x v="4"/>
          </reference>
          <reference field="4" count="1" selected="0">
            <x v="1"/>
          </reference>
          <reference field="5" count="1" selected="0">
            <x v="210"/>
          </reference>
          <reference field="6" count="1" selected="0">
            <x v="2"/>
          </reference>
          <reference field="9" count="1" selected="0">
            <x v="10"/>
          </reference>
          <reference field="11" count="1">
            <x v="1"/>
          </reference>
        </references>
      </pivotArea>
    </format>
    <format dxfId="8893">
      <pivotArea dataOnly="0" labelOnly="1" outline="0" fieldPosition="0">
        <references count="7">
          <reference field="1" count="0" selected="0"/>
          <reference field="3" count="1" selected="0">
            <x v="4"/>
          </reference>
          <reference field="4" count="1" selected="0">
            <x v="1"/>
          </reference>
          <reference field="5" count="1" selected="0">
            <x v="327"/>
          </reference>
          <reference field="6" count="1" selected="0">
            <x v="2"/>
          </reference>
          <reference field="9" count="1" selected="0">
            <x v="10"/>
          </reference>
          <reference field="11" count="1">
            <x v="31"/>
          </reference>
        </references>
      </pivotArea>
    </format>
    <format dxfId="8892">
      <pivotArea dataOnly="0" labelOnly="1" outline="0" fieldPosition="0">
        <references count="7">
          <reference field="1" count="0" selected="0"/>
          <reference field="3" count="1" selected="0">
            <x v="5"/>
          </reference>
          <reference field="4" count="1" selected="0">
            <x v="3"/>
          </reference>
          <reference field="5" count="1" selected="0">
            <x v="132"/>
          </reference>
          <reference field="6" count="1" selected="0">
            <x v="3"/>
          </reference>
          <reference field="9" count="1" selected="0">
            <x v="10"/>
          </reference>
          <reference field="11" count="1">
            <x v="14"/>
          </reference>
        </references>
      </pivotArea>
    </format>
    <format dxfId="8891">
      <pivotArea dataOnly="0" labelOnly="1" outline="0" fieldPosition="0">
        <references count="7">
          <reference field="1" count="0" selected="0"/>
          <reference field="3" count="1" selected="0">
            <x v="6"/>
          </reference>
          <reference field="4" count="1" selected="0">
            <x v="0"/>
          </reference>
          <reference field="5" count="1" selected="0">
            <x v="95"/>
          </reference>
          <reference field="6" count="1" selected="0">
            <x v="9"/>
          </reference>
          <reference field="9" count="1" selected="0">
            <x v="10"/>
          </reference>
          <reference field="11" count="1">
            <x v="48"/>
          </reference>
        </references>
      </pivotArea>
    </format>
    <format dxfId="8890">
      <pivotArea dataOnly="0" labelOnly="1" outline="0" fieldPosition="0">
        <references count="7">
          <reference field="1" count="0" selected="0"/>
          <reference field="3" count="1" selected="0">
            <x v="6"/>
          </reference>
          <reference field="4" count="1" selected="0">
            <x v="0"/>
          </reference>
          <reference field="5" count="1" selected="0">
            <x v="106"/>
          </reference>
          <reference field="6" count="1" selected="0">
            <x v="9"/>
          </reference>
          <reference field="9" count="1" selected="0">
            <x v="10"/>
          </reference>
          <reference field="11" count="1">
            <x v="14"/>
          </reference>
        </references>
      </pivotArea>
    </format>
    <format dxfId="8889">
      <pivotArea dataOnly="0" labelOnly="1" outline="0" fieldPosition="0">
        <references count="7">
          <reference field="1" count="0" selected="0"/>
          <reference field="3" count="1" selected="0">
            <x v="6"/>
          </reference>
          <reference field="4" count="1" selected="0">
            <x v="0"/>
          </reference>
          <reference field="5" count="1" selected="0">
            <x v="129"/>
          </reference>
          <reference field="6" count="1" selected="0">
            <x v="9"/>
          </reference>
          <reference field="9" count="1" selected="0">
            <x v="10"/>
          </reference>
          <reference field="11" count="1">
            <x v="14"/>
          </reference>
        </references>
      </pivotArea>
    </format>
    <format dxfId="8888">
      <pivotArea dataOnly="0" labelOnly="1" outline="0" fieldPosition="0">
        <references count="7">
          <reference field="1" count="0" selected="0"/>
          <reference field="3" count="1" selected="0">
            <x v="6"/>
          </reference>
          <reference field="4" count="1" selected="0">
            <x v="0"/>
          </reference>
          <reference field="5" count="1" selected="0">
            <x v="157"/>
          </reference>
          <reference field="6" count="1" selected="0">
            <x v="9"/>
          </reference>
          <reference field="9" count="1" selected="0">
            <x v="10"/>
          </reference>
          <reference field="11" count="1">
            <x v="56"/>
          </reference>
        </references>
      </pivotArea>
    </format>
    <format dxfId="8887">
      <pivotArea dataOnly="0" labelOnly="1" outline="0" fieldPosition="0">
        <references count="7">
          <reference field="1" count="0" selected="0"/>
          <reference field="3" count="1" selected="0">
            <x v="6"/>
          </reference>
          <reference field="4" count="1" selected="0">
            <x v="0"/>
          </reference>
          <reference field="5" count="1" selected="0">
            <x v="158"/>
          </reference>
          <reference field="6" count="1" selected="0">
            <x v="9"/>
          </reference>
          <reference field="9" count="1" selected="0">
            <x v="10"/>
          </reference>
          <reference field="11" count="1">
            <x v="46"/>
          </reference>
        </references>
      </pivotArea>
    </format>
    <format dxfId="8886">
      <pivotArea dataOnly="0" labelOnly="1" outline="0" fieldPosition="0">
        <references count="7">
          <reference field="1" count="0" selected="0"/>
          <reference field="3" count="1" selected="0">
            <x v="6"/>
          </reference>
          <reference field="4" count="1" selected="0">
            <x v="0"/>
          </reference>
          <reference field="5" count="1" selected="0">
            <x v="170"/>
          </reference>
          <reference field="6" count="1" selected="0">
            <x v="9"/>
          </reference>
          <reference field="9" count="1" selected="0">
            <x v="10"/>
          </reference>
          <reference field="11" count="1">
            <x v="14"/>
          </reference>
        </references>
      </pivotArea>
    </format>
    <format dxfId="8885">
      <pivotArea dataOnly="0" labelOnly="1" outline="0" fieldPosition="0">
        <references count="7">
          <reference field="1" count="0" selected="0"/>
          <reference field="3" count="1" selected="0">
            <x v="6"/>
          </reference>
          <reference field="4" count="1" selected="0">
            <x v="0"/>
          </reference>
          <reference field="5" count="1" selected="0">
            <x v="186"/>
          </reference>
          <reference field="6" count="1" selected="0">
            <x v="9"/>
          </reference>
          <reference field="9" count="1" selected="0">
            <x v="10"/>
          </reference>
          <reference field="11" count="1">
            <x v="39"/>
          </reference>
        </references>
      </pivotArea>
    </format>
    <format dxfId="8884">
      <pivotArea dataOnly="0" labelOnly="1" outline="0" fieldPosition="0">
        <references count="7">
          <reference field="1" count="0" selected="0"/>
          <reference field="3" count="1" selected="0">
            <x v="6"/>
          </reference>
          <reference field="4" count="1" selected="0">
            <x v="0"/>
          </reference>
          <reference field="5" count="1" selected="0">
            <x v="351"/>
          </reference>
          <reference field="6" count="1" selected="0">
            <x v="9"/>
          </reference>
          <reference field="9" count="1" selected="0">
            <x v="10"/>
          </reference>
          <reference field="11" count="1">
            <x v="55"/>
          </reference>
        </references>
      </pivotArea>
    </format>
    <format dxfId="8883">
      <pivotArea dataOnly="0" labelOnly="1" outline="0" fieldPosition="0">
        <references count="7">
          <reference field="1" count="0" selected="0"/>
          <reference field="3" count="1" selected="0">
            <x v="8"/>
          </reference>
          <reference field="4" count="1" selected="0">
            <x v="3"/>
          </reference>
          <reference field="5" count="1" selected="0">
            <x v="114"/>
          </reference>
          <reference field="6" count="1" selected="0">
            <x v="3"/>
          </reference>
          <reference field="9" count="1" selected="0">
            <x v="10"/>
          </reference>
          <reference field="11" count="1">
            <x v="26"/>
          </reference>
        </references>
      </pivotArea>
    </format>
    <format dxfId="8882">
      <pivotArea dataOnly="0" labelOnly="1" outline="0" fieldPosition="0">
        <references count="7">
          <reference field="1" count="0" selected="0"/>
          <reference field="3" count="1" selected="0">
            <x v="8"/>
          </reference>
          <reference field="4" count="1" selected="0">
            <x v="3"/>
          </reference>
          <reference field="5" count="1" selected="0">
            <x v="140"/>
          </reference>
          <reference field="6" count="1" selected="0">
            <x v="3"/>
          </reference>
          <reference field="9" count="1" selected="0">
            <x v="10"/>
          </reference>
          <reference field="11" count="1">
            <x v="14"/>
          </reference>
        </references>
      </pivotArea>
    </format>
    <format dxfId="8881">
      <pivotArea dataOnly="0" labelOnly="1" outline="0" fieldPosition="0">
        <references count="7">
          <reference field="1" count="0" selected="0"/>
          <reference field="3" count="1" selected="0">
            <x v="9"/>
          </reference>
          <reference field="4" count="1" selected="0">
            <x v="4"/>
          </reference>
          <reference field="5" count="1" selected="0">
            <x v="142"/>
          </reference>
          <reference field="6" count="1" selected="0">
            <x v="5"/>
          </reference>
          <reference field="9" count="1" selected="0">
            <x v="10"/>
          </reference>
          <reference field="11" count="1">
            <x v="16"/>
          </reference>
        </references>
      </pivotArea>
    </format>
    <format dxfId="8880">
      <pivotArea dataOnly="0" labelOnly="1" outline="0" fieldPosition="0">
        <references count="7">
          <reference field="1" count="0" selected="0"/>
          <reference field="3" count="1" selected="0">
            <x v="9"/>
          </reference>
          <reference field="4" count="1" selected="0">
            <x v="4"/>
          </reference>
          <reference field="5" count="1" selected="0">
            <x v="144"/>
          </reference>
          <reference field="6" count="1" selected="0">
            <x v="5"/>
          </reference>
          <reference field="9" count="1" selected="0">
            <x v="10"/>
          </reference>
          <reference field="11" count="1">
            <x v="9"/>
          </reference>
        </references>
      </pivotArea>
    </format>
    <format dxfId="8879">
      <pivotArea dataOnly="0" labelOnly="1" outline="0" fieldPosition="0">
        <references count="7">
          <reference field="1" count="0" selected="0"/>
          <reference field="3" count="1" selected="0">
            <x v="9"/>
          </reference>
          <reference field="4" count="1" selected="0">
            <x v="6"/>
          </reference>
          <reference field="5" count="1" selected="0">
            <x v="161"/>
          </reference>
          <reference field="6" count="1" selected="0">
            <x v="5"/>
          </reference>
          <reference field="9" count="1" selected="0">
            <x v="7"/>
          </reference>
          <reference field="11" count="1">
            <x v="24"/>
          </reference>
        </references>
      </pivotArea>
    </format>
    <format dxfId="8878">
      <pivotArea dataOnly="0" labelOnly="1" outline="0" fieldPosition="0">
        <references count="8">
          <reference field="1" count="0" selected="0"/>
          <reference field="3" count="1" selected="0">
            <x v="3"/>
          </reference>
          <reference field="4" count="1" selected="0">
            <x v="1"/>
          </reference>
          <reference field="5" count="1" selected="0">
            <x v="192"/>
          </reference>
          <reference field="6" count="1" selected="0">
            <x v="2"/>
          </reference>
          <reference field="9" count="1" selected="0">
            <x v="10"/>
          </reference>
          <reference field="11" count="1" selected="0">
            <x v="12"/>
          </reference>
          <reference field="12" count="1">
            <x v="8"/>
          </reference>
        </references>
      </pivotArea>
    </format>
    <format dxfId="8877">
      <pivotArea dataOnly="0" labelOnly="1" outline="0" fieldPosition="0">
        <references count="8">
          <reference field="1" count="0" selected="0"/>
          <reference field="3" count="1" selected="0">
            <x v="3"/>
          </reference>
          <reference field="4" count="1" selected="0">
            <x v="1"/>
          </reference>
          <reference field="5" count="1" selected="0">
            <x v="193"/>
          </reference>
          <reference field="6" count="1" selected="0">
            <x v="2"/>
          </reference>
          <reference field="9" count="1" selected="0">
            <x v="10"/>
          </reference>
          <reference field="11" count="1" selected="0">
            <x v="8"/>
          </reference>
          <reference field="12" count="1">
            <x v="21"/>
          </reference>
        </references>
      </pivotArea>
    </format>
    <format dxfId="8876">
      <pivotArea dataOnly="0" labelOnly="1" outline="0" fieldPosition="0">
        <references count="8">
          <reference field="1" count="0" selected="0"/>
          <reference field="3" count="1" selected="0">
            <x v="4"/>
          </reference>
          <reference field="4" count="1" selected="0">
            <x v="1"/>
          </reference>
          <reference field="5" count="1" selected="0">
            <x v="169"/>
          </reference>
          <reference field="6" count="1" selected="0">
            <x v="2"/>
          </reference>
          <reference field="9" count="1" selected="0">
            <x v="10"/>
          </reference>
          <reference field="11" count="1" selected="0">
            <x v="14"/>
          </reference>
          <reference field="12" count="1">
            <x v="18"/>
          </reference>
        </references>
      </pivotArea>
    </format>
    <format dxfId="8875">
      <pivotArea dataOnly="0" labelOnly="1" outline="0" fieldPosition="0">
        <references count="8">
          <reference field="1" count="0" selected="0"/>
          <reference field="3" count="1" selected="0">
            <x v="4"/>
          </reference>
          <reference field="4" count="1" selected="0">
            <x v="1"/>
          </reference>
          <reference field="5" count="1" selected="0">
            <x v="210"/>
          </reference>
          <reference field="6" count="1" selected="0">
            <x v="2"/>
          </reference>
          <reference field="9" count="1" selected="0">
            <x v="10"/>
          </reference>
          <reference field="11" count="1" selected="0">
            <x v="1"/>
          </reference>
          <reference field="12" count="1">
            <x v="8"/>
          </reference>
        </references>
      </pivotArea>
    </format>
    <format dxfId="8874">
      <pivotArea dataOnly="0" labelOnly="1" outline="0" fieldPosition="0">
        <references count="8">
          <reference field="1" count="0" selected="0"/>
          <reference field="3" count="1" selected="0">
            <x v="5"/>
          </reference>
          <reference field="4" count="1" selected="0">
            <x v="3"/>
          </reference>
          <reference field="5" count="1" selected="0">
            <x v="132"/>
          </reference>
          <reference field="6" count="1" selected="0">
            <x v="3"/>
          </reference>
          <reference field="9" count="1" selected="0">
            <x v="10"/>
          </reference>
          <reference field="11" count="1" selected="0">
            <x v="14"/>
          </reference>
          <reference field="12" count="1">
            <x v="11"/>
          </reference>
        </references>
      </pivotArea>
    </format>
    <format dxfId="8873">
      <pivotArea dataOnly="0" labelOnly="1" outline="0" fieldPosition="0">
        <references count="8">
          <reference field="1" count="0" selected="0"/>
          <reference field="3" count="1" selected="0">
            <x v="6"/>
          </reference>
          <reference field="4" count="1" selected="0">
            <x v="0"/>
          </reference>
          <reference field="5" count="1" selected="0">
            <x v="95"/>
          </reference>
          <reference field="6" count="1" selected="0">
            <x v="9"/>
          </reference>
          <reference field="9" count="1" selected="0">
            <x v="10"/>
          </reference>
          <reference field="11" count="1" selected="0">
            <x v="48"/>
          </reference>
          <reference field="12" count="1">
            <x v="8"/>
          </reference>
        </references>
      </pivotArea>
    </format>
    <format dxfId="8872">
      <pivotArea dataOnly="0" labelOnly="1" outline="0" fieldPosition="0">
        <references count="8">
          <reference field="1" count="0" selected="0"/>
          <reference field="3" count="1" selected="0">
            <x v="6"/>
          </reference>
          <reference field="4" count="1" selected="0">
            <x v="0"/>
          </reference>
          <reference field="5" count="1" selected="0">
            <x v="129"/>
          </reference>
          <reference field="6" count="1" selected="0">
            <x v="9"/>
          </reference>
          <reference field="9" count="1" selected="0">
            <x v="10"/>
          </reference>
          <reference field="11" count="1" selected="0">
            <x v="14"/>
          </reference>
          <reference field="12" count="1">
            <x v="24"/>
          </reference>
        </references>
      </pivotArea>
    </format>
    <format dxfId="8871">
      <pivotArea dataOnly="0" labelOnly="1" outline="0" fieldPosition="0">
        <references count="8">
          <reference field="1" count="0" selected="0"/>
          <reference field="3" count="1" selected="0">
            <x v="6"/>
          </reference>
          <reference field="4" count="1" selected="0">
            <x v="0"/>
          </reference>
          <reference field="5" count="1" selected="0">
            <x v="157"/>
          </reference>
          <reference field="6" count="1" selected="0">
            <x v="9"/>
          </reference>
          <reference field="9" count="1" selected="0">
            <x v="10"/>
          </reference>
          <reference field="11" count="1" selected="0">
            <x v="56"/>
          </reference>
          <reference field="12" count="1">
            <x v="8"/>
          </reference>
        </references>
      </pivotArea>
    </format>
    <format dxfId="8870">
      <pivotArea dataOnly="0" labelOnly="1" outline="0" fieldPosition="0">
        <references count="8">
          <reference field="1" count="0" selected="0"/>
          <reference field="3" count="1" selected="0">
            <x v="6"/>
          </reference>
          <reference field="4" count="1" selected="0">
            <x v="0"/>
          </reference>
          <reference field="5" count="1" selected="0">
            <x v="170"/>
          </reference>
          <reference field="6" count="1" selected="0">
            <x v="9"/>
          </reference>
          <reference field="9" count="1" selected="0">
            <x v="10"/>
          </reference>
          <reference field="11" count="1" selected="0">
            <x v="14"/>
          </reference>
          <reference field="12" count="1">
            <x v="7"/>
          </reference>
        </references>
      </pivotArea>
    </format>
    <format dxfId="8869">
      <pivotArea dataOnly="0" labelOnly="1" outline="0" fieldPosition="0">
        <references count="8">
          <reference field="1" count="0" selected="0"/>
          <reference field="3" count="1" selected="0">
            <x v="6"/>
          </reference>
          <reference field="4" count="1" selected="0">
            <x v="0"/>
          </reference>
          <reference field="5" count="1" selected="0">
            <x v="171"/>
          </reference>
          <reference field="6" count="1" selected="0">
            <x v="9"/>
          </reference>
          <reference field="9" count="1" selected="0">
            <x v="10"/>
          </reference>
          <reference field="11" count="1" selected="0">
            <x v="14"/>
          </reference>
          <reference field="12" count="1">
            <x v="8"/>
          </reference>
        </references>
      </pivotArea>
    </format>
    <format dxfId="8868">
      <pivotArea dataOnly="0" labelOnly="1" outline="0" fieldPosition="0">
        <references count="8">
          <reference field="1" count="0" selected="0"/>
          <reference field="3" count="1" selected="0">
            <x v="6"/>
          </reference>
          <reference field="4" count="1" selected="0">
            <x v="0"/>
          </reference>
          <reference field="5" count="1" selected="0">
            <x v="178"/>
          </reference>
          <reference field="6" count="1" selected="0">
            <x v="9"/>
          </reference>
          <reference field="9" count="1" selected="0">
            <x v="10"/>
          </reference>
          <reference field="11" count="1" selected="0">
            <x v="14"/>
          </reference>
          <reference field="12" count="1">
            <x v="27"/>
          </reference>
        </references>
      </pivotArea>
    </format>
    <format dxfId="8867">
      <pivotArea dataOnly="0" labelOnly="1" outline="0" fieldPosition="0">
        <references count="8">
          <reference field="1" count="0" selected="0"/>
          <reference field="3" count="1" selected="0">
            <x v="6"/>
          </reference>
          <reference field="4" count="1" selected="0">
            <x v="0"/>
          </reference>
          <reference field="5" count="1" selected="0">
            <x v="185"/>
          </reference>
          <reference field="6" count="1" selected="0">
            <x v="9"/>
          </reference>
          <reference field="9" count="1" selected="0">
            <x v="10"/>
          </reference>
          <reference field="11" count="1" selected="0">
            <x v="14"/>
          </reference>
          <reference field="12" count="1">
            <x v="32"/>
          </reference>
        </references>
      </pivotArea>
    </format>
    <format dxfId="8866">
      <pivotArea dataOnly="0" labelOnly="1" outline="0" fieldPosition="0">
        <references count="8">
          <reference field="1" count="0" selected="0"/>
          <reference field="3" count="1" selected="0">
            <x v="6"/>
          </reference>
          <reference field="4" count="1" selected="0">
            <x v="0"/>
          </reference>
          <reference field="5" count="1" selected="0">
            <x v="186"/>
          </reference>
          <reference field="6" count="1" selected="0">
            <x v="9"/>
          </reference>
          <reference field="9" count="1" selected="0">
            <x v="10"/>
          </reference>
          <reference field="11" count="1" selected="0">
            <x v="39"/>
          </reference>
          <reference field="12" count="1">
            <x v="8"/>
          </reference>
        </references>
      </pivotArea>
    </format>
    <format dxfId="8865">
      <pivotArea dataOnly="0" labelOnly="1" outline="0" fieldPosition="0">
        <references count="8">
          <reference field="1" count="0" selected="0"/>
          <reference field="3" count="1" selected="0">
            <x v="6"/>
          </reference>
          <reference field="4" count="1" selected="0">
            <x v="0"/>
          </reference>
          <reference field="5" count="1" selected="0">
            <x v="351"/>
          </reference>
          <reference field="6" count="1" selected="0">
            <x v="9"/>
          </reference>
          <reference field="9" count="1" selected="0">
            <x v="10"/>
          </reference>
          <reference field="11" count="1" selected="0">
            <x v="55"/>
          </reference>
          <reference field="12" count="1">
            <x v="19"/>
          </reference>
        </references>
      </pivotArea>
    </format>
    <format dxfId="8864">
      <pivotArea dataOnly="0" labelOnly="1" outline="0" fieldPosition="0">
        <references count="8">
          <reference field="1" count="0" selected="0"/>
          <reference field="3" count="1" selected="0">
            <x v="8"/>
          </reference>
          <reference field="4" count="1" selected="0">
            <x v="3"/>
          </reference>
          <reference field="5" count="1" selected="0">
            <x v="114"/>
          </reference>
          <reference field="6" count="1" selected="0">
            <x v="3"/>
          </reference>
          <reference field="9" count="1" selected="0">
            <x v="10"/>
          </reference>
          <reference field="11" count="1" selected="0">
            <x v="26"/>
          </reference>
          <reference field="12" count="1">
            <x v="26"/>
          </reference>
        </references>
      </pivotArea>
    </format>
    <format dxfId="8863">
      <pivotArea dataOnly="0" labelOnly="1" outline="0" fieldPosition="0">
        <references count="8">
          <reference field="1" count="0" selected="0"/>
          <reference field="3" count="1" selected="0">
            <x v="8"/>
          </reference>
          <reference field="4" count="1" selected="0">
            <x v="3"/>
          </reference>
          <reference field="5" count="1" selected="0">
            <x v="140"/>
          </reference>
          <reference field="6" count="1" selected="0">
            <x v="3"/>
          </reference>
          <reference field="9" count="1" selected="0">
            <x v="10"/>
          </reference>
          <reference field="11" count="1" selected="0">
            <x v="14"/>
          </reference>
          <reference field="12" count="1">
            <x v="31"/>
          </reference>
        </references>
      </pivotArea>
    </format>
    <format dxfId="8862">
      <pivotArea dataOnly="0" labelOnly="1" outline="0" fieldPosition="0">
        <references count="8">
          <reference field="1" count="0" selected="0"/>
          <reference field="3" count="1" selected="0">
            <x v="9"/>
          </reference>
          <reference field="4" count="1" selected="0">
            <x v="6"/>
          </reference>
          <reference field="5" count="1" selected="0">
            <x v="161"/>
          </reference>
          <reference field="6" count="1" selected="0">
            <x v="5"/>
          </reference>
          <reference field="9" count="1" selected="0">
            <x v="7"/>
          </reference>
          <reference field="11" count="1" selected="0">
            <x v="24"/>
          </reference>
          <reference field="12" count="1">
            <x v="8"/>
          </reference>
        </references>
      </pivotArea>
    </format>
    <format dxfId="8861">
      <pivotArea dataOnly="0" labelOnly="1" outline="0" fieldPosition="0">
        <references count="9">
          <reference field="1" count="0" selected="0"/>
          <reference field="3" count="1" selected="0">
            <x v="3"/>
          </reference>
          <reference field="4" count="1" selected="0">
            <x v="1"/>
          </reference>
          <reference field="5" count="1" selected="0">
            <x v="192"/>
          </reference>
          <reference field="6" count="1" selected="0">
            <x v="2"/>
          </reference>
          <reference field="9" count="1" selected="0">
            <x v="10"/>
          </reference>
          <reference field="11" count="1" selected="0">
            <x v="12"/>
          </reference>
          <reference field="12" count="1" selected="0">
            <x v="8"/>
          </reference>
          <reference field="13" count="1">
            <x v="3"/>
          </reference>
        </references>
      </pivotArea>
    </format>
    <format dxfId="8860">
      <pivotArea dataOnly="0" labelOnly="1" outline="0" fieldPosition="0">
        <references count="9">
          <reference field="1" count="0" selected="0"/>
          <reference field="3" count="1" selected="0">
            <x v="6"/>
          </reference>
          <reference field="4" count="1" selected="0">
            <x v="0"/>
          </reference>
          <reference field="5" count="1" selected="0">
            <x v="129"/>
          </reference>
          <reference field="6" count="1" selected="0">
            <x v="9"/>
          </reference>
          <reference field="9" count="1" selected="0">
            <x v="10"/>
          </reference>
          <reference field="11" count="1" selected="0">
            <x v="14"/>
          </reference>
          <reference field="12" count="1" selected="0">
            <x v="24"/>
          </reference>
          <reference field="13" count="1">
            <x v="3"/>
          </reference>
        </references>
      </pivotArea>
    </format>
    <format dxfId="8859">
      <pivotArea dataOnly="0" labelOnly="1" outline="0" fieldPosition="0">
        <references count="10">
          <reference field="1" count="0" selected="0"/>
          <reference field="3" count="1" selected="0">
            <x v="3"/>
          </reference>
          <reference field="4" count="1" selected="0">
            <x v="1"/>
          </reference>
          <reference field="5" count="1" selected="0">
            <x v="192"/>
          </reference>
          <reference field="6" count="1" selected="0">
            <x v="2"/>
          </reference>
          <reference field="9" count="1" selected="0">
            <x v="10"/>
          </reference>
          <reference field="11" count="1" selected="0">
            <x v="12"/>
          </reference>
          <reference field="12" count="1" selected="0">
            <x v="8"/>
          </reference>
          <reference field="13" count="1" selected="0">
            <x v="3"/>
          </reference>
          <reference field="14" count="1">
            <x v="17"/>
          </reference>
        </references>
      </pivotArea>
    </format>
    <format dxfId="8858">
      <pivotArea dataOnly="0" labelOnly="1" outline="0" fieldPosition="0">
        <references count="10">
          <reference field="1" count="0" selected="0"/>
          <reference field="3" count="1" selected="0">
            <x v="3"/>
          </reference>
          <reference field="4" count="1" selected="0">
            <x v="1"/>
          </reference>
          <reference field="5" count="1" selected="0">
            <x v="193"/>
          </reference>
          <reference field="6" count="1" selected="0">
            <x v="2"/>
          </reference>
          <reference field="9" count="1" selected="0">
            <x v="10"/>
          </reference>
          <reference field="11" count="1" selected="0">
            <x v="8"/>
          </reference>
          <reference field="12" count="1" selected="0">
            <x v="21"/>
          </reference>
          <reference field="13" count="1" selected="0">
            <x v="3"/>
          </reference>
          <reference field="14" count="1">
            <x v="17"/>
          </reference>
        </references>
      </pivotArea>
    </format>
    <format dxfId="8857">
      <pivotArea dataOnly="0" labelOnly="1" outline="0" fieldPosition="0">
        <references count="10">
          <reference field="1" count="0" selected="0"/>
          <reference field="3" count="1" selected="0">
            <x v="3"/>
          </reference>
          <reference field="4" count="1" selected="0">
            <x v="1"/>
          </reference>
          <reference field="5" count="1" selected="0">
            <x v="201"/>
          </reference>
          <reference field="6" count="1" selected="0">
            <x v="2"/>
          </reference>
          <reference field="9" count="1" selected="0">
            <x v="10"/>
          </reference>
          <reference field="11" count="1" selected="0">
            <x v="1"/>
          </reference>
          <reference field="12" count="1" selected="0">
            <x v="8"/>
          </reference>
          <reference field="13" count="1" selected="0">
            <x v="3"/>
          </reference>
          <reference field="14" count="1">
            <x v="0"/>
          </reference>
        </references>
      </pivotArea>
    </format>
    <format dxfId="8856">
      <pivotArea dataOnly="0" labelOnly="1" outline="0" fieldPosition="0">
        <references count="10">
          <reference field="1" count="0" selected="0"/>
          <reference field="3" count="1" selected="0">
            <x v="3"/>
          </reference>
          <reference field="4" count="1" selected="0">
            <x v="1"/>
          </reference>
          <reference field="5" count="1" selected="0">
            <x v="208"/>
          </reference>
          <reference field="6" count="1" selected="0">
            <x v="2"/>
          </reference>
          <reference field="9" count="1" selected="0">
            <x v="10"/>
          </reference>
          <reference field="11" count="1" selected="0">
            <x v="1"/>
          </reference>
          <reference field="12" count="1" selected="0">
            <x v="8"/>
          </reference>
          <reference field="13" count="1" selected="0">
            <x v="3"/>
          </reference>
          <reference field="14" count="1">
            <x v="6"/>
          </reference>
        </references>
      </pivotArea>
    </format>
    <format dxfId="8855">
      <pivotArea dataOnly="0" labelOnly="1" outline="0" fieldPosition="0">
        <references count="10">
          <reference field="1" count="0" selected="0"/>
          <reference field="3" count="1" selected="0">
            <x v="4"/>
          </reference>
          <reference field="4" count="1" selected="0">
            <x v="1"/>
          </reference>
          <reference field="5" count="1" selected="0">
            <x v="96"/>
          </reference>
          <reference field="6" count="1" selected="0">
            <x v="2"/>
          </reference>
          <reference field="9" count="1" selected="0">
            <x v="10"/>
          </reference>
          <reference field="11" count="1" selected="0">
            <x v="22"/>
          </reference>
          <reference field="12" count="1" selected="0">
            <x v="8"/>
          </reference>
          <reference field="13" count="1" selected="0">
            <x v="3"/>
          </reference>
          <reference field="14" count="1">
            <x v="41"/>
          </reference>
        </references>
      </pivotArea>
    </format>
    <format dxfId="8854">
      <pivotArea dataOnly="0" labelOnly="1" outline="0" fieldPosition="0">
        <references count="10">
          <reference field="1" count="0" selected="0"/>
          <reference field="3" count="1" selected="0">
            <x v="4"/>
          </reference>
          <reference field="4" count="1" selected="0">
            <x v="1"/>
          </reference>
          <reference field="5" count="1" selected="0">
            <x v="103"/>
          </reference>
          <reference field="6" count="1" selected="0">
            <x v="2"/>
          </reference>
          <reference field="9" count="1" selected="0">
            <x v="4"/>
          </reference>
          <reference field="11" count="1" selected="0">
            <x v="2"/>
          </reference>
          <reference field="12" count="1" selected="0">
            <x v="8"/>
          </reference>
          <reference field="13" count="1" selected="0">
            <x v="3"/>
          </reference>
          <reference field="14" count="1">
            <x v="51"/>
          </reference>
        </references>
      </pivotArea>
    </format>
    <format dxfId="8853">
      <pivotArea dataOnly="0" labelOnly="1" outline="0" fieldPosition="0">
        <references count="10">
          <reference field="1" count="0" selected="0"/>
          <reference field="3" count="1" selected="0">
            <x v="4"/>
          </reference>
          <reference field="4" count="1" selected="0">
            <x v="1"/>
          </reference>
          <reference field="5" count="1" selected="0">
            <x v="169"/>
          </reference>
          <reference field="6" count="1" selected="0">
            <x v="2"/>
          </reference>
          <reference field="9" count="1" selected="0">
            <x v="10"/>
          </reference>
          <reference field="11" count="1" selected="0">
            <x v="14"/>
          </reference>
          <reference field="12" count="1" selected="0">
            <x v="18"/>
          </reference>
          <reference field="13" count="1" selected="0">
            <x v="3"/>
          </reference>
          <reference field="14" count="1">
            <x v="17"/>
          </reference>
        </references>
      </pivotArea>
    </format>
    <format dxfId="8852">
      <pivotArea dataOnly="0" labelOnly="1" outline="0" fieldPosition="0">
        <references count="10">
          <reference field="1" count="0" selected="0"/>
          <reference field="3" count="1" selected="0">
            <x v="4"/>
          </reference>
          <reference field="4" count="1" selected="0">
            <x v="1"/>
          </reference>
          <reference field="5" count="1" selected="0">
            <x v="210"/>
          </reference>
          <reference field="6" count="1" selected="0">
            <x v="2"/>
          </reference>
          <reference field="9" count="1" selected="0">
            <x v="10"/>
          </reference>
          <reference field="11" count="1" selected="0">
            <x v="1"/>
          </reference>
          <reference field="12" count="1" selected="0">
            <x v="8"/>
          </reference>
          <reference field="13" count="1" selected="0">
            <x v="3"/>
          </reference>
          <reference field="14" count="1">
            <x v="5"/>
          </reference>
        </references>
      </pivotArea>
    </format>
    <format dxfId="8851">
      <pivotArea dataOnly="0" labelOnly="1" outline="0" fieldPosition="0">
        <references count="10">
          <reference field="1" count="0" selected="0"/>
          <reference field="3" count="1" selected="0">
            <x v="4"/>
          </reference>
          <reference field="4" count="1" selected="0">
            <x v="1"/>
          </reference>
          <reference field="5" count="1" selected="0">
            <x v="327"/>
          </reference>
          <reference field="6" count="1" selected="0">
            <x v="2"/>
          </reference>
          <reference field="9" count="1" selected="0">
            <x v="10"/>
          </reference>
          <reference field="11" count="1" selected="0">
            <x v="31"/>
          </reference>
          <reference field="12" count="1" selected="0">
            <x v="8"/>
          </reference>
          <reference field="13" count="1" selected="0">
            <x v="3"/>
          </reference>
          <reference field="14" count="1">
            <x v="28"/>
          </reference>
        </references>
      </pivotArea>
    </format>
    <format dxfId="8850">
      <pivotArea dataOnly="0" labelOnly="1" outline="0" fieldPosition="0">
        <references count="10">
          <reference field="1" count="0" selected="0"/>
          <reference field="3" count="1" selected="0">
            <x v="5"/>
          </reference>
          <reference field="4" count="1" selected="0">
            <x v="3"/>
          </reference>
          <reference field="5" count="1" selected="0">
            <x v="132"/>
          </reference>
          <reference field="6" count="1" selected="0">
            <x v="3"/>
          </reference>
          <reference field="9" count="1" selected="0">
            <x v="10"/>
          </reference>
          <reference field="11" count="1" selected="0">
            <x v="14"/>
          </reference>
          <reference field="12" count="1" selected="0">
            <x v="11"/>
          </reference>
          <reference field="13" count="1" selected="0">
            <x v="3"/>
          </reference>
          <reference field="14" count="1">
            <x v="30"/>
          </reference>
        </references>
      </pivotArea>
    </format>
    <format dxfId="8849">
      <pivotArea dataOnly="0" labelOnly="1" outline="0" fieldPosition="0">
        <references count="10">
          <reference field="1" count="0" selected="0"/>
          <reference field="3" count="1" selected="0">
            <x v="6"/>
          </reference>
          <reference field="4" count="1" selected="0">
            <x v="0"/>
          </reference>
          <reference field="5" count="1" selected="0">
            <x v="95"/>
          </reference>
          <reference field="6" count="1" selected="0">
            <x v="9"/>
          </reference>
          <reference field="9" count="1" selected="0">
            <x v="10"/>
          </reference>
          <reference field="11" count="1" selected="0">
            <x v="48"/>
          </reference>
          <reference field="12" count="1" selected="0">
            <x v="8"/>
          </reference>
          <reference field="13" count="1" selected="0">
            <x v="3"/>
          </reference>
          <reference field="14" count="1">
            <x v="17"/>
          </reference>
        </references>
      </pivotArea>
    </format>
    <format dxfId="8848">
      <pivotArea dataOnly="0" labelOnly="1" outline="0" fieldPosition="0">
        <references count="10">
          <reference field="1" count="0" selected="0"/>
          <reference field="3" count="1" selected="0">
            <x v="6"/>
          </reference>
          <reference field="4" count="1" selected="0">
            <x v="0"/>
          </reference>
          <reference field="5" count="1" selected="0">
            <x v="129"/>
          </reference>
          <reference field="6" count="1" selected="0">
            <x v="9"/>
          </reference>
          <reference field="9" count="1" selected="0">
            <x v="10"/>
          </reference>
          <reference field="11" count="1" selected="0">
            <x v="14"/>
          </reference>
          <reference field="12" count="1" selected="0">
            <x v="24"/>
          </reference>
          <reference field="13" count="1" selected="0">
            <x v="3"/>
          </reference>
          <reference field="14" count="1">
            <x v="54"/>
          </reference>
        </references>
      </pivotArea>
    </format>
    <format dxfId="8847">
      <pivotArea dataOnly="0" labelOnly="1" outline="0" fieldPosition="0">
        <references count="10">
          <reference field="1" count="0" selected="0"/>
          <reference field="3" count="1" selected="0">
            <x v="6"/>
          </reference>
          <reference field="4" count="1" selected="0">
            <x v="0"/>
          </reference>
          <reference field="5" count="1" selected="0">
            <x v="157"/>
          </reference>
          <reference field="6" count="1" selected="0">
            <x v="9"/>
          </reference>
          <reference field="9" count="1" selected="0">
            <x v="10"/>
          </reference>
          <reference field="11" count="1" selected="0">
            <x v="56"/>
          </reference>
          <reference field="12" count="1" selected="0">
            <x v="8"/>
          </reference>
          <reference field="13" count="1" selected="0">
            <x v="3"/>
          </reference>
          <reference field="14" count="1">
            <x v="57"/>
          </reference>
        </references>
      </pivotArea>
    </format>
    <format dxfId="8846">
      <pivotArea dataOnly="0" labelOnly="1" outline="0" fieldPosition="0">
        <references count="10">
          <reference field="1" count="0" selected="0"/>
          <reference field="3" count="1" selected="0">
            <x v="6"/>
          </reference>
          <reference field="4" count="1" selected="0">
            <x v="0"/>
          </reference>
          <reference field="5" count="1" selected="0">
            <x v="158"/>
          </reference>
          <reference field="6" count="1" selected="0">
            <x v="9"/>
          </reference>
          <reference field="9" count="1" selected="0">
            <x v="10"/>
          </reference>
          <reference field="11" count="1" selected="0">
            <x v="46"/>
          </reference>
          <reference field="12" count="1" selected="0">
            <x v="8"/>
          </reference>
          <reference field="13" count="1" selected="0">
            <x v="3"/>
          </reference>
          <reference field="14" count="1">
            <x v="20"/>
          </reference>
        </references>
      </pivotArea>
    </format>
    <format dxfId="8845">
      <pivotArea dataOnly="0" labelOnly="1" outline="0" fieldPosition="0">
        <references count="10">
          <reference field="1" count="0" selected="0"/>
          <reference field="3" count="1" selected="0">
            <x v="6"/>
          </reference>
          <reference field="4" count="1" selected="0">
            <x v="0"/>
          </reference>
          <reference field="5" count="1" selected="0">
            <x v="170"/>
          </reference>
          <reference field="6" count="1" selected="0">
            <x v="9"/>
          </reference>
          <reference field="9" count="1" selected="0">
            <x v="10"/>
          </reference>
          <reference field="11" count="1" selected="0">
            <x v="14"/>
          </reference>
          <reference field="12" count="1" selected="0">
            <x v="7"/>
          </reference>
          <reference field="13" count="1" selected="0">
            <x v="3"/>
          </reference>
          <reference field="14" count="1">
            <x v="17"/>
          </reference>
        </references>
      </pivotArea>
    </format>
    <format dxfId="8844">
      <pivotArea dataOnly="0" labelOnly="1" outline="0" fieldPosition="0">
        <references count="10">
          <reference field="1" count="0" selected="0"/>
          <reference field="3" count="1" selected="0">
            <x v="6"/>
          </reference>
          <reference field="4" count="1" selected="0">
            <x v="0"/>
          </reference>
          <reference field="5" count="1" selected="0">
            <x v="171"/>
          </reference>
          <reference field="6" count="1" selected="0">
            <x v="9"/>
          </reference>
          <reference field="9" count="1" selected="0">
            <x v="10"/>
          </reference>
          <reference field="11" count="1" selected="0">
            <x v="14"/>
          </reference>
          <reference field="12" count="1" selected="0">
            <x v="8"/>
          </reference>
          <reference field="13" count="1" selected="0">
            <x v="3"/>
          </reference>
          <reference field="14" count="1">
            <x v="17"/>
          </reference>
        </references>
      </pivotArea>
    </format>
    <format dxfId="8843">
      <pivotArea dataOnly="0" labelOnly="1" outline="0" fieldPosition="0">
        <references count="10">
          <reference field="1" count="0" selected="0"/>
          <reference field="3" count="1" selected="0">
            <x v="6"/>
          </reference>
          <reference field="4" count="1" selected="0">
            <x v="0"/>
          </reference>
          <reference field="5" count="1" selected="0">
            <x v="178"/>
          </reference>
          <reference field="6" count="1" selected="0">
            <x v="9"/>
          </reference>
          <reference field="9" count="1" selected="0">
            <x v="10"/>
          </reference>
          <reference field="11" count="1" selected="0">
            <x v="14"/>
          </reference>
          <reference field="12" count="1" selected="0">
            <x v="27"/>
          </reference>
          <reference field="13" count="1" selected="0">
            <x v="3"/>
          </reference>
          <reference field="14" count="1">
            <x v="37"/>
          </reference>
        </references>
      </pivotArea>
    </format>
    <format dxfId="8842">
      <pivotArea dataOnly="0" labelOnly="1" outline="0" fieldPosition="0">
        <references count="10">
          <reference field="1" count="0" selected="0"/>
          <reference field="3" count="1" selected="0">
            <x v="6"/>
          </reference>
          <reference field="4" count="1" selected="0">
            <x v="0"/>
          </reference>
          <reference field="5" count="1" selected="0">
            <x v="185"/>
          </reference>
          <reference field="6" count="1" selected="0">
            <x v="9"/>
          </reference>
          <reference field="9" count="1" selected="0">
            <x v="10"/>
          </reference>
          <reference field="11" count="1" selected="0">
            <x v="14"/>
          </reference>
          <reference field="12" count="1" selected="0">
            <x v="32"/>
          </reference>
          <reference field="13" count="1" selected="0">
            <x v="3"/>
          </reference>
          <reference field="14" count="1">
            <x v="55"/>
          </reference>
        </references>
      </pivotArea>
    </format>
    <format dxfId="8841">
      <pivotArea dataOnly="0" labelOnly="1" outline="0" fieldPosition="0">
        <references count="10">
          <reference field="1" count="0" selected="0"/>
          <reference field="3" count="1" selected="0">
            <x v="6"/>
          </reference>
          <reference field="4" count="1" selected="0">
            <x v="0"/>
          </reference>
          <reference field="5" count="1" selected="0">
            <x v="186"/>
          </reference>
          <reference field="6" count="1" selected="0">
            <x v="9"/>
          </reference>
          <reference field="9" count="1" selected="0">
            <x v="10"/>
          </reference>
          <reference field="11" count="1" selected="0">
            <x v="39"/>
          </reference>
          <reference field="12" count="1" selected="0">
            <x v="8"/>
          </reference>
          <reference field="13" count="1" selected="0">
            <x v="3"/>
          </reference>
          <reference field="14" count="1">
            <x v="50"/>
          </reference>
        </references>
      </pivotArea>
    </format>
    <format dxfId="8840">
      <pivotArea dataOnly="0" labelOnly="1" outline="0" fieldPosition="0">
        <references count="10">
          <reference field="1" count="0" selected="0"/>
          <reference field="3" count="1" selected="0">
            <x v="6"/>
          </reference>
          <reference field="4" count="1" selected="0">
            <x v="0"/>
          </reference>
          <reference field="5" count="1" selected="0">
            <x v="351"/>
          </reference>
          <reference field="6" count="1" selected="0">
            <x v="9"/>
          </reference>
          <reference field="9" count="1" selected="0">
            <x v="10"/>
          </reference>
          <reference field="11" count="1" selected="0">
            <x v="55"/>
          </reference>
          <reference field="12" count="1" selected="0">
            <x v="19"/>
          </reference>
          <reference field="13" count="1" selected="0">
            <x v="3"/>
          </reference>
          <reference field="14" count="1">
            <x v="19"/>
          </reference>
        </references>
      </pivotArea>
    </format>
    <format dxfId="8839">
      <pivotArea dataOnly="0" labelOnly="1" outline="0" fieldPosition="0">
        <references count="10">
          <reference field="1" count="0" selected="0"/>
          <reference field="3" count="1" selected="0">
            <x v="8"/>
          </reference>
          <reference field="4" count="1" selected="0">
            <x v="3"/>
          </reference>
          <reference field="5" count="1" selected="0">
            <x v="114"/>
          </reference>
          <reference field="6" count="1" selected="0">
            <x v="3"/>
          </reference>
          <reference field="9" count="1" selected="0">
            <x v="10"/>
          </reference>
          <reference field="11" count="1" selected="0">
            <x v="26"/>
          </reference>
          <reference field="12" count="1" selected="0">
            <x v="26"/>
          </reference>
          <reference field="13" count="1" selected="0">
            <x v="3"/>
          </reference>
          <reference field="14" count="1">
            <x v="40"/>
          </reference>
        </references>
      </pivotArea>
    </format>
    <format dxfId="8838">
      <pivotArea dataOnly="0" labelOnly="1" outline="0" fieldPosition="0">
        <references count="10">
          <reference field="1" count="0" selected="0"/>
          <reference field="3" count="1" selected="0">
            <x v="8"/>
          </reference>
          <reference field="4" count="1" selected="0">
            <x v="3"/>
          </reference>
          <reference field="5" count="1" selected="0">
            <x v="140"/>
          </reference>
          <reference field="6" count="1" selected="0">
            <x v="3"/>
          </reference>
          <reference field="9" count="1" selected="0">
            <x v="10"/>
          </reference>
          <reference field="11" count="1" selected="0">
            <x v="14"/>
          </reference>
          <reference field="12" count="1" selected="0">
            <x v="31"/>
          </reference>
          <reference field="13" count="1" selected="0">
            <x v="3"/>
          </reference>
          <reference field="14" count="1">
            <x v="17"/>
          </reference>
        </references>
      </pivotArea>
    </format>
    <format dxfId="8837">
      <pivotArea dataOnly="0" labelOnly="1" outline="0" fieldPosition="0">
        <references count="10">
          <reference field="1" count="0" selected="0"/>
          <reference field="3" count="1" selected="0">
            <x v="9"/>
          </reference>
          <reference field="4" count="1" selected="0">
            <x v="4"/>
          </reference>
          <reference field="5" count="1" selected="0">
            <x v="142"/>
          </reference>
          <reference field="6" count="1" selected="0">
            <x v="5"/>
          </reference>
          <reference field="9" count="1" selected="0">
            <x v="10"/>
          </reference>
          <reference field="11" count="1" selected="0">
            <x v="16"/>
          </reference>
          <reference field="12" count="1" selected="0">
            <x v="8"/>
          </reference>
          <reference field="13" count="1" selected="0">
            <x v="3"/>
          </reference>
          <reference field="14" count="1">
            <x v="17"/>
          </reference>
        </references>
      </pivotArea>
    </format>
    <format dxfId="8836">
      <pivotArea dataOnly="0" labelOnly="1" outline="0" fieldPosition="0">
        <references count="10">
          <reference field="1" count="0" selected="0"/>
          <reference field="3" count="1" selected="0">
            <x v="9"/>
          </reference>
          <reference field="4" count="1" selected="0">
            <x v="6"/>
          </reference>
          <reference field="5" count="1" selected="0">
            <x v="161"/>
          </reference>
          <reference field="6" count="1" selected="0">
            <x v="5"/>
          </reference>
          <reference field="9" count="1" selected="0">
            <x v="7"/>
          </reference>
          <reference field="11" count="1" selected="0">
            <x v="24"/>
          </reference>
          <reference field="12" count="1" selected="0">
            <x v="8"/>
          </reference>
          <reference field="13" count="1" selected="0">
            <x v="3"/>
          </reference>
          <reference field="14" count="1">
            <x v="56"/>
          </reference>
        </references>
      </pivotArea>
    </format>
    <format dxfId="8835">
      <pivotArea field="1" type="button" dataOnly="0" labelOnly="1" outline="0" axis="axisRow" fieldPosition="0"/>
    </format>
    <format dxfId="8834">
      <pivotArea field="3" type="button" dataOnly="0" labelOnly="1" outline="0" axis="axisRow" fieldPosition="1"/>
    </format>
    <format dxfId="8833">
      <pivotArea field="5" type="button" dataOnly="0" labelOnly="1" outline="0" axis="axisRow" fieldPosition="2"/>
    </format>
    <format dxfId="8832">
      <pivotArea field="6" type="button" dataOnly="0" labelOnly="1" outline="0" axis="axisRow" fieldPosition="3"/>
    </format>
    <format dxfId="8831">
      <pivotArea field="4" type="button" dataOnly="0" labelOnly="1" outline="0" axis="axisRow" fieldPosition="4"/>
    </format>
    <format dxfId="8830">
      <pivotArea field="9" type="button" dataOnly="0" labelOnly="1" outline="0" axis="axisRow" fieldPosition="5"/>
    </format>
    <format dxfId="8829">
      <pivotArea field="11" type="button" dataOnly="0" labelOnly="1" outline="0" axis="axisRow" fieldPosition="6"/>
    </format>
    <format dxfId="8828">
      <pivotArea field="12" type="button" dataOnly="0" labelOnly="1" outline="0" axis="axisRow" fieldPosition="7"/>
    </format>
    <format dxfId="8827">
      <pivotArea field="13" type="button" dataOnly="0" labelOnly="1" outline="0" axis="axisRow" fieldPosition="8"/>
    </format>
    <format dxfId="8826">
      <pivotArea field="14" type="button" dataOnly="0" labelOnly="1" outline="0" axis="axisRow" fieldPosition="9"/>
    </format>
    <format dxfId="8825">
      <pivotArea dataOnly="0" labelOnly="1" outline="0" axis="axisValues" fieldPosition="0"/>
    </format>
    <format dxfId="8824">
      <pivotArea field="1" type="button" dataOnly="0" labelOnly="1" outline="0" axis="axisRow" fieldPosition="0"/>
    </format>
    <format dxfId="8823">
      <pivotArea field="3" type="button" dataOnly="0" labelOnly="1" outline="0" axis="axisRow" fieldPosition="1"/>
    </format>
    <format dxfId="8822">
      <pivotArea field="5" type="button" dataOnly="0" labelOnly="1" outline="0" axis="axisRow" fieldPosition="2"/>
    </format>
    <format dxfId="8821">
      <pivotArea field="6" type="button" dataOnly="0" labelOnly="1" outline="0" axis="axisRow" fieldPosition="3"/>
    </format>
    <format dxfId="8820">
      <pivotArea field="4" type="button" dataOnly="0" labelOnly="1" outline="0" axis="axisRow" fieldPosition="4"/>
    </format>
    <format dxfId="8819">
      <pivotArea field="9" type="button" dataOnly="0" labelOnly="1" outline="0" axis="axisRow" fieldPosition="5"/>
    </format>
    <format dxfId="8818">
      <pivotArea field="11" type="button" dataOnly="0" labelOnly="1" outline="0" axis="axisRow" fieldPosition="6"/>
    </format>
    <format dxfId="8817">
      <pivotArea field="12" type="button" dataOnly="0" labelOnly="1" outline="0" axis="axisRow" fieldPosition="7"/>
    </format>
    <format dxfId="8816">
      <pivotArea field="13" type="button" dataOnly="0" labelOnly="1" outline="0" axis="axisRow" fieldPosition="8"/>
    </format>
    <format dxfId="8815">
      <pivotArea field="14" type="button" dataOnly="0" labelOnly="1" outline="0" axis="axisRow" fieldPosition="9"/>
    </format>
    <format dxfId="8814">
      <pivotArea dataOnly="0" labelOnly="1" outline="0" axis="axisValues" fieldPosition="0"/>
    </format>
    <format dxfId="8813">
      <pivotArea dataOnly="0" labelOnly="1" outline="0" fieldPosition="0">
        <references count="1">
          <reference field="11" count="0"/>
        </references>
      </pivotArea>
    </format>
    <format dxfId="8812">
      <pivotArea dataOnly="0" labelOnly="1" outline="0" fieldPosition="0">
        <references count="1">
          <reference field="11" count="0"/>
        </references>
      </pivotArea>
    </format>
    <format dxfId="8811">
      <pivotArea dataOnly="0" labelOnly="1" outline="0" fieldPosition="0">
        <references count="1">
          <reference field="12" count="0"/>
        </references>
      </pivotArea>
    </format>
    <format dxfId="8810">
      <pivotArea dataOnly="0" labelOnly="1" outline="0" fieldPosition="0">
        <references count="1">
          <reference field="12" count="0"/>
        </references>
      </pivotArea>
    </format>
    <format dxfId="8809">
      <pivotArea dataOnly="0" labelOnly="1" outline="0" fieldPosition="0">
        <references count="1">
          <reference field="14" count="0"/>
        </references>
      </pivotArea>
    </format>
    <format dxfId="8808">
      <pivotArea dataOnly="0" labelOnly="1" outline="0" fieldPosition="0">
        <references count="1">
          <reference field="14" count="0"/>
        </references>
      </pivotArea>
    </format>
    <format dxfId="8807">
      <pivotArea dataOnly="0" labelOnly="1" outline="0" fieldPosition="0">
        <references count="6">
          <reference field="1" count="0" selected="0"/>
          <reference field="3" count="1" selected="0">
            <x v="2"/>
          </reference>
          <reference field="4" count="1" selected="0">
            <x v="1"/>
          </reference>
          <reference field="5" count="1" selected="0">
            <x v="341"/>
          </reference>
          <reference field="6" count="1" selected="0">
            <x v="2"/>
          </reference>
          <reference field="9" count="1">
            <x v="4"/>
          </reference>
        </references>
      </pivotArea>
    </format>
    <format dxfId="8806">
      <pivotArea field="15" type="button" dataOnly="0" labelOnly="1" outline="0" axis="axisRow" fieldPosition="10"/>
    </format>
    <format dxfId="8805">
      <pivotArea dataOnly="0" labelOnly="1" outline="0" fieldPosition="0">
        <references count="11">
          <reference field="1" count="0" selected="0"/>
          <reference field="3" count="1" selected="0">
            <x v="3"/>
          </reference>
          <reference field="4" count="1" selected="0">
            <x v="1"/>
          </reference>
          <reference field="5" count="1" selected="0">
            <x v="193"/>
          </reference>
          <reference field="6" count="1" selected="0">
            <x v="2"/>
          </reference>
          <reference field="9" count="1" selected="0">
            <x v="10"/>
          </reference>
          <reference field="11" count="1" selected="0">
            <x v="8"/>
          </reference>
          <reference field="12" count="1" selected="0">
            <x v="21"/>
          </reference>
          <reference field="13" count="1" selected="0">
            <x v="3"/>
          </reference>
          <reference field="14" count="1" selected="0">
            <x v="17"/>
          </reference>
          <reference field="15" count="1">
            <x v="52"/>
          </reference>
        </references>
      </pivotArea>
    </format>
    <format dxfId="8804">
      <pivotArea dataOnly="0" labelOnly="1" outline="0" fieldPosition="0">
        <references count="11">
          <reference field="1" count="0" selected="0"/>
          <reference field="3" count="1" selected="0">
            <x v="3"/>
          </reference>
          <reference field="4" count="1" selected="0">
            <x v="1"/>
          </reference>
          <reference field="5" count="1" selected="0">
            <x v="204"/>
          </reference>
          <reference field="6" count="1" selected="0">
            <x v="2"/>
          </reference>
          <reference field="9" count="1" selected="0">
            <x v="10"/>
          </reference>
          <reference field="11" count="1" selected="0">
            <x v="42"/>
          </reference>
          <reference field="12" count="1" selected="0">
            <x v="8"/>
          </reference>
          <reference field="13" count="1" selected="0">
            <x v="3"/>
          </reference>
          <reference field="14" count="1" selected="0">
            <x v="17"/>
          </reference>
          <reference field="15" count="1">
            <x v="14"/>
          </reference>
        </references>
      </pivotArea>
    </format>
    <format dxfId="8803">
      <pivotArea dataOnly="0" labelOnly="1" outline="0" fieldPosition="0">
        <references count="11">
          <reference field="1" count="0" selected="0"/>
          <reference field="3" count="1" selected="0">
            <x v="4"/>
          </reference>
          <reference field="4" count="1" selected="0">
            <x v="1"/>
          </reference>
          <reference field="5" count="1" selected="0">
            <x v="143"/>
          </reference>
          <reference field="6" count="1" selected="0">
            <x v="2"/>
          </reference>
          <reference field="9" count="1" selected="0">
            <x v="10"/>
          </reference>
          <reference field="11" count="1" selected="0">
            <x v="14"/>
          </reference>
          <reference field="12" count="1" selected="0">
            <x v="3"/>
          </reference>
          <reference field="13" count="1" selected="0">
            <x v="3"/>
          </reference>
          <reference field="14" count="1" selected="0">
            <x v="17"/>
          </reference>
          <reference field="15" count="1">
            <x v="50"/>
          </reference>
        </references>
      </pivotArea>
    </format>
    <format dxfId="8802">
      <pivotArea dataOnly="0" labelOnly="1" outline="0" fieldPosition="0">
        <references count="11">
          <reference field="1" count="0" selected="0"/>
          <reference field="3" count="1" selected="0">
            <x v="4"/>
          </reference>
          <reference field="4" count="1" selected="0">
            <x v="1"/>
          </reference>
          <reference field="5" count="1" selected="0">
            <x v="169"/>
          </reference>
          <reference field="6" count="1" selected="0">
            <x v="2"/>
          </reference>
          <reference field="9" count="1" selected="0">
            <x v="10"/>
          </reference>
          <reference field="11" count="1" selected="0">
            <x v="14"/>
          </reference>
          <reference field="12" count="1" selected="0">
            <x v="18"/>
          </reference>
          <reference field="13" count="1" selected="0">
            <x v="3"/>
          </reference>
          <reference field="14" count="1" selected="0">
            <x v="17"/>
          </reference>
          <reference field="15" count="1">
            <x v="49"/>
          </reference>
        </references>
      </pivotArea>
    </format>
    <format dxfId="8801">
      <pivotArea dataOnly="0" labelOnly="1" outline="0" fieldPosition="0">
        <references count="11">
          <reference field="1" count="0" selected="0"/>
          <reference field="3" count="1" selected="0">
            <x v="6"/>
          </reference>
          <reference field="4" count="1" selected="0">
            <x v="0"/>
          </reference>
          <reference field="5" count="1" selected="0">
            <x v="156"/>
          </reference>
          <reference field="6" count="1" selected="0">
            <x v="9"/>
          </reference>
          <reference field="9" count="1" selected="0">
            <x v="10"/>
          </reference>
          <reference field="11" count="1" selected="0">
            <x v="23"/>
          </reference>
          <reference field="12" count="1" selected="0">
            <x v="8"/>
          </reference>
          <reference field="13" count="1" selected="0">
            <x v="3"/>
          </reference>
          <reference field="14" count="1" selected="0">
            <x v="32"/>
          </reference>
          <reference field="15" count="1">
            <x v="45"/>
          </reference>
        </references>
      </pivotArea>
    </format>
    <format dxfId="8800">
      <pivotArea dataOnly="0" labelOnly="1" outline="0" fieldPosition="0">
        <references count="11">
          <reference field="1" count="0" selected="0"/>
          <reference field="3" count="1" selected="0">
            <x v="6"/>
          </reference>
          <reference field="4" count="1" selected="0">
            <x v="0"/>
          </reference>
          <reference field="5" count="1" selected="0">
            <x v="189"/>
          </reference>
          <reference field="6" count="1" selected="0">
            <x v="9"/>
          </reference>
          <reference field="9" count="1" selected="0">
            <x v="10"/>
          </reference>
          <reference field="11" count="1" selected="0">
            <x v="32"/>
          </reference>
          <reference field="12" count="1" selected="0">
            <x v="8"/>
          </reference>
          <reference field="13" count="1" selected="0">
            <x v="3"/>
          </reference>
          <reference field="14" count="1" selected="0">
            <x v="52"/>
          </reference>
          <reference field="15" count="1">
            <x v="10"/>
          </reference>
        </references>
      </pivotArea>
    </format>
    <format dxfId="8799">
      <pivotArea dataOnly="0" labelOnly="1" outline="0" fieldPosition="0">
        <references count="11">
          <reference field="1" count="0" selected="0"/>
          <reference field="3" count="1" selected="0">
            <x v="6"/>
          </reference>
          <reference field="4" count="1" selected="0">
            <x v="0"/>
          </reference>
          <reference field="5" count="1" selected="0">
            <x v="336"/>
          </reference>
          <reference field="6" count="1" selected="0">
            <x v="9"/>
          </reference>
          <reference field="9" count="1" selected="0">
            <x v="10"/>
          </reference>
          <reference field="11" count="1" selected="0">
            <x v="14"/>
          </reference>
          <reference field="12" count="1" selected="0">
            <x v="9"/>
          </reference>
          <reference field="13" count="1" selected="0">
            <x v="3"/>
          </reference>
          <reference field="14" count="1" selected="0">
            <x v="9"/>
          </reference>
          <reference field="15" count="1">
            <x v="14"/>
          </reference>
        </references>
      </pivotArea>
    </format>
    <format dxfId="8798">
      <pivotArea dataOnly="0" labelOnly="1" outline="0" fieldPosition="0">
        <references count="11">
          <reference field="1" count="0" selected="0"/>
          <reference field="3" count="1" selected="0">
            <x v="8"/>
          </reference>
          <reference field="4" count="1" selected="0">
            <x v="3"/>
          </reference>
          <reference field="5" count="1" selected="0">
            <x v="139"/>
          </reference>
          <reference field="6" count="1" selected="0">
            <x v="3"/>
          </reference>
          <reference field="9" count="1" selected="0">
            <x v="10"/>
          </reference>
          <reference field="11" count="1" selected="0">
            <x v="14"/>
          </reference>
          <reference field="12" count="1" selected="0">
            <x v="12"/>
          </reference>
          <reference field="13" count="1" selected="0">
            <x v="3"/>
          </reference>
          <reference field="14" count="1" selected="0">
            <x v="17"/>
          </reference>
          <reference field="15" count="1">
            <x v="19"/>
          </reference>
        </references>
      </pivotArea>
    </format>
    <format dxfId="8797">
      <pivotArea dataOnly="0" labelOnly="1" outline="0" fieldPosition="0">
        <references count="11">
          <reference field="1" count="0" selected="0"/>
          <reference field="3" count="1" selected="0">
            <x v="9"/>
          </reference>
          <reference field="4" count="1" selected="0">
            <x v="4"/>
          </reference>
          <reference field="5" count="1" selected="0">
            <x v="142"/>
          </reference>
          <reference field="6" count="1" selected="0">
            <x v="5"/>
          </reference>
          <reference field="9" count="1" selected="0">
            <x v="10"/>
          </reference>
          <reference field="11" count="1" selected="0">
            <x v="16"/>
          </reference>
          <reference field="12" count="1" selected="0">
            <x v="8"/>
          </reference>
          <reference field="13" count="1" selected="0">
            <x v="3"/>
          </reference>
          <reference field="14" count="1" selected="0">
            <x v="17"/>
          </reference>
          <reference field="15" count="1">
            <x v="54"/>
          </reference>
        </references>
      </pivotArea>
    </format>
    <format dxfId="8796">
      <pivotArea dataOnly="0" labelOnly="1" outline="0" fieldPosition="0">
        <references count="1">
          <reference field="15" count="0"/>
        </references>
      </pivotArea>
    </format>
    <format dxfId="8795">
      <pivotArea dataOnly="0" labelOnly="1" outline="0" fieldPosition="0">
        <references count="1">
          <reference field="15" count="0"/>
        </references>
      </pivotArea>
    </format>
    <format dxfId="8794">
      <pivotArea dataOnly="0" labelOnly="1" outline="0" fieldPosition="0">
        <references count="1">
          <reference field="15" count="0"/>
        </references>
      </pivotArea>
    </format>
    <format dxfId="8793">
      <pivotArea dataOnly="0" labelOnly="1" outline="0" fieldPosition="0">
        <references count="1">
          <reference field="15" count="0"/>
        </references>
      </pivotArea>
    </format>
    <format dxfId="8792">
      <pivotArea dataOnly="0" labelOnly="1" outline="0" fieldPosition="0">
        <references count="1">
          <reference field="14" count="0"/>
        </references>
      </pivotArea>
    </format>
    <format dxfId="8791">
      <pivotArea outline="0" fieldPosition="0">
        <references count="11">
          <reference field="1" count="0" selected="0"/>
          <reference field="3" count="1" selected="0">
            <x v="0"/>
          </reference>
          <reference field="4" count="1" selected="0">
            <x v="3"/>
          </reference>
          <reference field="5" count="1" selected="0">
            <x v="167"/>
          </reference>
          <reference field="6" count="1" selected="0">
            <x v="7"/>
          </reference>
          <reference field="9" count="1" selected="0">
            <x v="10"/>
          </reference>
          <reference field="11" count="1" selected="0">
            <x v="49"/>
          </reference>
          <reference field="12" count="1" selected="0">
            <x v="29"/>
          </reference>
          <reference field="13" count="1" selected="0">
            <x v="3"/>
          </reference>
          <reference field="14" count="1" selected="0">
            <x v="23"/>
          </reference>
          <reference field="15" count="1" selected="0">
            <x v="65"/>
          </reference>
        </references>
      </pivotArea>
    </format>
    <format dxfId="8790">
      <pivotArea outline="0" fieldPosition="0">
        <references count="11">
          <reference field="1" count="0" selected="0"/>
          <reference field="3" count="2" selected="0">
            <x v="0"/>
            <x v="2"/>
          </reference>
          <reference field="4" count="2" selected="0">
            <x v="1"/>
            <x v="3"/>
          </reference>
          <reference field="5" count="2" selected="0">
            <x v="167"/>
            <x v="341"/>
          </reference>
          <reference field="6" count="2" selected="0">
            <x v="2"/>
            <x v="7"/>
          </reference>
          <reference field="9" count="2" selected="0">
            <x v="4"/>
            <x v="10"/>
          </reference>
          <reference field="11" count="2" selected="0">
            <x v="43"/>
            <x v="49"/>
          </reference>
          <reference field="12" count="2" selected="0">
            <x v="29"/>
            <x v="30"/>
          </reference>
          <reference field="13" count="2" selected="0">
            <x v="3"/>
            <x v="6"/>
          </reference>
          <reference field="14" count="2" selected="0">
            <x v="17"/>
            <x v="23"/>
          </reference>
          <reference field="15" count="2" selected="0">
            <x v="21"/>
            <x v="65"/>
          </reference>
        </references>
      </pivotArea>
    </format>
    <format dxfId="8789">
      <pivotArea dataOnly="0" labelOnly="1" outline="0" fieldPosition="0">
        <references count="2">
          <reference field="1" count="0" selected="0"/>
          <reference field="3" count="2">
            <x v="0"/>
            <x v="2"/>
          </reference>
        </references>
      </pivotArea>
    </format>
    <format dxfId="8788">
      <pivotArea outline="0" fieldPosition="0">
        <references count="11">
          <reference field="1" count="0" selected="0"/>
          <reference field="3" count="1" selected="0">
            <x v="0"/>
          </reference>
          <reference field="4" count="1" selected="0">
            <x v="1"/>
          </reference>
          <reference field="5" count="1" selected="0">
            <x v="348"/>
          </reference>
          <reference field="6" count="1" selected="0">
            <x v="7"/>
          </reference>
          <reference field="9" count="1" selected="0">
            <x v="10"/>
          </reference>
          <reference field="11" count="1" selected="0">
            <x v="14"/>
          </reference>
          <reference field="12" count="1" selected="0">
            <x v="8"/>
          </reference>
          <reference field="13" count="1" selected="0">
            <x v="3"/>
          </reference>
          <reference field="14" count="1" selected="0">
            <x v="17"/>
          </reference>
          <reference field="15" count="1" selected="0">
            <x v="14"/>
          </reference>
        </references>
      </pivotArea>
    </format>
    <format dxfId="8787">
      <pivotArea outline="0" fieldPosition="0">
        <references count="11">
          <reference field="1" count="0" selected="0"/>
          <reference field="3" count="1" selected="0">
            <x v="0"/>
          </reference>
          <reference field="4" count="1" selected="0">
            <x v="1"/>
          </reference>
          <reference field="5" count="1" selected="0">
            <x v="344"/>
          </reference>
          <reference field="6" count="1" selected="0">
            <x v="7"/>
          </reference>
          <reference field="9" count="1" selected="0">
            <x v="10"/>
          </reference>
          <reference field="11" count="1" selected="0">
            <x v="14"/>
          </reference>
          <reference field="12" count="1" selected="0">
            <x v="8"/>
          </reference>
          <reference field="13" count="1" selected="0">
            <x v="3"/>
          </reference>
          <reference field="14" count="1" selected="0">
            <x v="17"/>
          </reference>
          <reference field="15" count="1" selected="0">
            <x v="68"/>
          </reference>
        </references>
      </pivotArea>
    </format>
    <format dxfId="8786">
      <pivotArea outline="0" fieldPosition="0">
        <references count="11">
          <reference field="1" count="0" selected="0"/>
          <reference field="3" count="1" selected="0">
            <x v="0"/>
          </reference>
          <reference field="4" count="1" selected="0">
            <x v="3"/>
          </reference>
          <reference field="5" count="1" selected="0">
            <x v="167"/>
          </reference>
          <reference field="6" count="1" selected="0">
            <x v="7"/>
          </reference>
          <reference field="9" count="1" selected="0">
            <x v="10"/>
          </reference>
          <reference field="11" count="1" selected="0">
            <x v="49"/>
          </reference>
          <reference field="12" count="1" selected="0">
            <x v="29"/>
          </reference>
          <reference field="13" count="1" selected="0">
            <x v="3"/>
          </reference>
          <reference field="14" count="1" selected="0">
            <x v="23"/>
          </reference>
          <reference field="15" count="1" selected="0">
            <x v="65"/>
          </reference>
        </references>
      </pivotArea>
    </format>
    <format dxfId="8785">
      <pivotArea dataOnly="0" labelOnly="1" outline="0" fieldPosition="0">
        <references count="3">
          <reference field="1" count="0" selected="0"/>
          <reference field="3" count="1" selected="0">
            <x v="0"/>
          </reference>
          <reference field="5" count="1">
            <x v="167"/>
          </reference>
        </references>
      </pivotArea>
    </format>
    <format dxfId="8784">
      <pivotArea dataOnly="0" labelOnly="1" outline="0" fieldPosition="0">
        <references count="3">
          <reference field="1" count="0" selected="0"/>
          <reference field="3" count="1" selected="0">
            <x v="3"/>
          </reference>
          <reference field="5" count="4">
            <x v="196"/>
            <x v="197"/>
            <x v="204"/>
            <x v="205"/>
          </reference>
        </references>
      </pivotArea>
    </format>
    <format dxfId="8783">
      <pivotArea dataOnly="0" labelOnly="1" outline="0" fieldPosition="0">
        <references count="3">
          <reference field="1" count="0" selected="0"/>
          <reference field="3" count="1" selected="0">
            <x v="4"/>
          </reference>
          <reference field="5" count="7">
            <x v="100"/>
            <x v="116"/>
            <x v="218"/>
            <x v="326"/>
            <x v="332"/>
            <x v="340"/>
            <x v="347"/>
          </reference>
        </references>
      </pivotArea>
    </format>
    <format dxfId="8782">
      <pivotArea dataOnly="0" labelOnly="1" outline="0" fieldPosition="0">
        <references count="3">
          <reference field="1" count="0" selected="0"/>
          <reference field="3" count="1" selected="0">
            <x v="6"/>
          </reference>
          <reference field="5" count="14">
            <x v="113"/>
            <x v="125"/>
            <x v="126"/>
            <x v="145"/>
            <x v="146"/>
            <x v="165"/>
            <x v="174"/>
            <x v="175"/>
            <x v="181"/>
            <x v="182"/>
            <x v="189"/>
            <x v="190"/>
            <x v="343"/>
            <x v="349"/>
          </reference>
        </references>
      </pivotArea>
    </format>
    <format dxfId="8781">
      <pivotArea dataOnly="0" labelOnly="1" outline="0" fieldPosition="0">
        <references count="3">
          <reference field="1" count="0" selected="0"/>
          <reference field="3" count="1" selected="0">
            <x v="8"/>
          </reference>
          <reference field="5" count="2">
            <x v="135"/>
            <x v="136"/>
          </reference>
        </references>
      </pivotArea>
    </format>
    <format dxfId="8780">
      <pivotArea dataOnly="0" labelOnly="1" outline="0" fieldPosition="0">
        <references count="3">
          <reference field="1" count="0" selected="0"/>
          <reference field="3" count="1" selected="0">
            <x v="9"/>
          </reference>
          <reference field="5" count="2">
            <x v="211"/>
            <x v="212"/>
          </reference>
        </references>
      </pivotArea>
    </format>
    <format dxfId="8779">
      <pivotArea dataOnly="0" labelOnly="1" outline="0" fieldPosition="0">
        <references count="4">
          <reference field="1" count="0" selected="0"/>
          <reference field="3" count="1" selected="0">
            <x v="0"/>
          </reference>
          <reference field="5" count="1" selected="0">
            <x v="167"/>
          </reference>
          <reference field="6" count="1">
            <x v="7"/>
          </reference>
        </references>
      </pivotArea>
    </format>
    <format dxfId="8778">
      <pivotArea dataOnly="0" labelOnly="1" outline="0" fieldPosition="0">
        <references count="4">
          <reference field="1" count="0" selected="0"/>
          <reference field="3" count="1" selected="0">
            <x v="3"/>
          </reference>
          <reference field="5" count="1" selected="0">
            <x v="196"/>
          </reference>
          <reference field="6" count="1">
            <x v="2"/>
          </reference>
        </references>
      </pivotArea>
    </format>
    <format dxfId="8777">
      <pivotArea dataOnly="0" labelOnly="1" outline="0" fieldPosition="0">
        <references count="4">
          <reference field="1" count="0" selected="0"/>
          <reference field="3" count="1" selected="0">
            <x v="6"/>
          </reference>
          <reference field="5" count="1" selected="0">
            <x v="113"/>
          </reference>
          <reference field="6" count="1">
            <x v="9"/>
          </reference>
        </references>
      </pivotArea>
    </format>
    <format dxfId="8776">
      <pivotArea dataOnly="0" labelOnly="1" outline="0" fieldPosition="0">
        <references count="4">
          <reference field="1" count="0" selected="0"/>
          <reference field="3" count="1" selected="0">
            <x v="8"/>
          </reference>
          <reference field="5" count="1" selected="0">
            <x v="135"/>
          </reference>
          <reference field="6" count="1">
            <x v="3"/>
          </reference>
        </references>
      </pivotArea>
    </format>
    <format dxfId="8775">
      <pivotArea dataOnly="0" labelOnly="1" outline="0" fieldPosition="0">
        <references count="4">
          <reference field="1" count="0" selected="0"/>
          <reference field="3" count="1" selected="0">
            <x v="9"/>
          </reference>
          <reference field="5" count="1" selected="0">
            <x v="211"/>
          </reference>
          <reference field="6" count="1">
            <x v="5"/>
          </reference>
        </references>
      </pivotArea>
    </format>
    <format dxfId="8774">
      <pivotArea dataOnly="0" labelOnly="1" outline="0" fieldPosition="0">
        <references count="5">
          <reference field="1" count="0" selected="0"/>
          <reference field="3" count="1" selected="0">
            <x v="0"/>
          </reference>
          <reference field="4" count="1">
            <x v="3"/>
          </reference>
          <reference field="5" count="1" selected="0">
            <x v="167"/>
          </reference>
          <reference field="6" count="1" selected="0">
            <x v="7"/>
          </reference>
        </references>
      </pivotArea>
    </format>
    <format dxfId="8773">
      <pivotArea dataOnly="0" labelOnly="1" outline="0" fieldPosition="0">
        <references count="5">
          <reference field="1" count="0" selected="0"/>
          <reference field="3" count="1" selected="0">
            <x v="3"/>
          </reference>
          <reference field="4" count="1">
            <x v="1"/>
          </reference>
          <reference field="5" count="1" selected="0">
            <x v="196"/>
          </reference>
          <reference field="6" count="1" selected="0">
            <x v="2"/>
          </reference>
        </references>
      </pivotArea>
    </format>
    <format dxfId="8772">
      <pivotArea dataOnly="0" labelOnly="1" outline="0" fieldPosition="0">
        <references count="5">
          <reference field="1" count="0" selected="0"/>
          <reference field="3" count="1" selected="0">
            <x v="6"/>
          </reference>
          <reference field="4" count="1">
            <x v="0"/>
          </reference>
          <reference field="5" count="1" selected="0">
            <x v="113"/>
          </reference>
          <reference field="6" count="1" selected="0">
            <x v="9"/>
          </reference>
        </references>
      </pivotArea>
    </format>
    <format dxfId="8771">
      <pivotArea dataOnly="0" labelOnly="1" outline="0" fieldPosition="0">
        <references count="5">
          <reference field="1" count="0" selected="0"/>
          <reference field="3" count="1" selected="0">
            <x v="8"/>
          </reference>
          <reference field="4" count="1">
            <x v="3"/>
          </reference>
          <reference field="5" count="1" selected="0">
            <x v="135"/>
          </reference>
          <reference field="6" count="1" selected="0">
            <x v="3"/>
          </reference>
        </references>
      </pivotArea>
    </format>
    <format dxfId="8770">
      <pivotArea dataOnly="0" labelOnly="1" outline="0" fieldPosition="0">
        <references count="5">
          <reference field="1" count="0" selected="0"/>
          <reference field="3" count="1" selected="0">
            <x v="9"/>
          </reference>
          <reference field="4" count="1">
            <x v="6"/>
          </reference>
          <reference field="5" count="1" selected="0">
            <x v="211"/>
          </reference>
          <reference field="6" count="1" selected="0">
            <x v="5"/>
          </reference>
        </references>
      </pivotArea>
    </format>
    <format dxfId="8769">
      <pivotArea dataOnly="0" labelOnly="1" outline="0" fieldPosition="0">
        <references count="6">
          <reference field="1" count="0" selected="0"/>
          <reference field="3" count="1" selected="0">
            <x v="0"/>
          </reference>
          <reference field="4" count="1" selected="0">
            <x v="3"/>
          </reference>
          <reference field="5" count="1" selected="0">
            <x v="167"/>
          </reference>
          <reference field="6" count="1" selected="0">
            <x v="7"/>
          </reference>
          <reference field="9" count="1">
            <x v="10"/>
          </reference>
        </references>
      </pivotArea>
    </format>
    <format dxfId="8768">
      <pivotArea dataOnly="0" labelOnly="1" outline="0" fieldPosition="0">
        <references count="6">
          <reference field="1" count="0" selected="0"/>
          <reference field="3" count="1" selected="0">
            <x v="4"/>
          </reference>
          <reference field="4" count="1" selected="0">
            <x v="1"/>
          </reference>
          <reference field="5" count="1" selected="0">
            <x v="100"/>
          </reference>
          <reference field="6" count="1" selected="0">
            <x v="2"/>
          </reference>
          <reference field="9" count="1">
            <x v="2"/>
          </reference>
        </references>
      </pivotArea>
    </format>
    <format dxfId="8767">
      <pivotArea dataOnly="0" labelOnly="1" outline="0" fieldPosition="0">
        <references count="6">
          <reference field="1" count="0" selected="0"/>
          <reference field="3" count="1" selected="0">
            <x v="4"/>
          </reference>
          <reference field="4" count="1" selected="0">
            <x v="1"/>
          </reference>
          <reference field="5" count="1" selected="0">
            <x v="116"/>
          </reference>
          <reference field="6" count="1" selected="0">
            <x v="2"/>
          </reference>
          <reference field="9" count="1">
            <x v="10"/>
          </reference>
        </references>
      </pivotArea>
    </format>
    <format dxfId="8766">
      <pivotArea dataOnly="0" labelOnly="1" outline="0" fieldPosition="0">
        <references count="6">
          <reference field="1" count="0" selected="0"/>
          <reference field="3" count="1" selected="0">
            <x v="4"/>
          </reference>
          <reference field="4" count="1" selected="0">
            <x v="1"/>
          </reference>
          <reference field="5" count="1" selected="0">
            <x v="332"/>
          </reference>
          <reference field="6" count="1" selected="0">
            <x v="2"/>
          </reference>
          <reference field="9" count="1">
            <x v="10"/>
          </reference>
        </references>
      </pivotArea>
    </format>
    <format dxfId="8765">
      <pivotArea dataOnly="0" labelOnly="1" outline="0" fieldPosition="0">
        <references count="6">
          <reference field="1" count="0" selected="0"/>
          <reference field="3" count="1" selected="0">
            <x v="4"/>
          </reference>
          <reference field="4" count="1" selected="0">
            <x v="1"/>
          </reference>
          <reference field="5" count="1" selected="0">
            <x v="340"/>
          </reference>
          <reference field="6" count="1" selected="0">
            <x v="2"/>
          </reference>
          <reference field="9" count="1">
            <x v="4"/>
          </reference>
        </references>
      </pivotArea>
    </format>
    <format dxfId="8764">
      <pivotArea dataOnly="0" labelOnly="1" outline="0" fieldPosition="0">
        <references count="6">
          <reference field="1" count="0" selected="0"/>
          <reference field="3" count="1" selected="0">
            <x v="6"/>
          </reference>
          <reference field="4" count="1" selected="0">
            <x v="0"/>
          </reference>
          <reference field="5" count="1" selected="0">
            <x v="113"/>
          </reference>
          <reference field="6" count="1" selected="0">
            <x v="9"/>
          </reference>
          <reference field="9" count="1">
            <x v="10"/>
          </reference>
        </references>
      </pivotArea>
    </format>
    <format dxfId="8763">
      <pivotArea dataOnly="0" labelOnly="1" outline="0" fieldPosition="0">
        <references count="7">
          <reference field="1" count="0" selected="0"/>
          <reference field="3" count="1" selected="0">
            <x v="0"/>
          </reference>
          <reference field="4" count="1" selected="0">
            <x v="3"/>
          </reference>
          <reference field="5" count="1" selected="0">
            <x v="167"/>
          </reference>
          <reference field="6" count="1" selected="0">
            <x v="7"/>
          </reference>
          <reference field="9" count="1" selected="0">
            <x v="10"/>
          </reference>
          <reference field="11" count="1">
            <x v="49"/>
          </reference>
        </references>
      </pivotArea>
    </format>
    <format dxfId="8762">
      <pivotArea dataOnly="0" labelOnly="1" outline="0" fieldPosition="0">
        <references count="7">
          <reference field="1" count="0" selected="0"/>
          <reference field="3" count="1" selected="0">
            <x v="3"/>
          </reference>
          <reference field="4" count="1" selected="0">
            <x v="1"/>
          </reference>
          <reference field="5" count="1" selected="0">
            <x v="197"/>
          </reference>
          <reference field="6" count="1" selected="0">
            <x v="2"/>
          </reference>
          <reference field="9" count="1" selected="0">
            <x v="10"/>
          </reference>
          <reference field="11" count="1">
            <x v="4"/>
          </reference>
        </references>
      </pivotArea>
    </format>
    <format dxfId="8761">
      <pivotArea dataOnly="0" labelOnly="1" outline="0" fieldPosition="0">
        <references count="7">
          <reference field="1" count="0" selected="0"/>
          <reference field="3" count="1" selected="0">
            <x v="3"/>
          </reference>
          <reference field="4" count="1" selected="0">
            <x v="1"/>
          </reference>
          <reference field="5" count="1" selected="0">
            <x v="204"/>
          </reference>
          <reference field="6" count="1" selected="0">
            <x v="2"/>
          </reference>
          <reference field="9" count="1" selected="0">
            <x v="10"/>
          </reference>
          <reference field="11" count="1">
            <x v="42"/>
          </reference>
        </references>
      </pivotArea>
    </format>
    <format dxfId="8760">
      <pivotArea dataOnly="0" labelOnly="1" outline="0" fieldPosition="0">
        <references count="7">
          <reference field="1" count="0" selected="0"/>
          <reference field="3" count="1" selected="0">
            <x v="3"/>
          </reference>
          <reference field="4" count="1" selected="0">
            <x v="1"/>
          </reference>
          <reference field="5" count="1" selected="0">
            <x v="205"/>
          </reference>
          <reference field="6" count="1" selected="0">
            <x v="2"/>
          </reference>
          <reference field="9" count="1" selected="0">
            <x v="10"/>
          </reference>
          <reference field="11" count="1">
            <x v="14"/>
          </reference>
        </references>
      </pivotArea>
    </format>
    <format dxfId="8759">
      <pivotArea dataOnly="0" labelOnly="1" outline="0" fieldPosition="0">
        <references count="7">
          <reference field="1" count="0" selected="0"/>
          <reference field="3" count="1" selected="0">
            <x v="4"/>
          </reference>
          <reference field="4" count="1" selected="0">
            <x v="1"/>
          </reference>
          <reference field="5" count="1" selected="0">
            <x v="116"/>
          </reference>
          <reference field="6" count="1" selected="0">
            <x v="2"/>
          </reference>
          <reference field="9" count="1" selected="0">
            <x v="10"/>
          </reference>
          <reference field="11" count="1">
            <x v="14"/>
          </reference>
        </references>
      </pivotArea>
    </format>
    <format dxfId="8758">
      <pivotArea dataOnly="0" labelOnly="1" outline="0" fieldPosition="0">
        <references count="7">
          <reference field="1" count="0" selected="0"/>
          <reference field="3" count="1" selected="0">
            <x v="4"/>
          </reference>
          <reference field="4" count="1" selected="0">
            <x v="1"/>
          </reference>
          <reference field="5" count="1" selected="0">
            <x v="332"/>
          </reference>
          <reference field="6" count="1" selected="0">
            <x v="2"/>
          </reference>
          <reference field="9" count="1" selected="0">
            <x v="10"/>
          </reference>
          <reference field="11" count="1">
            <x v="21"/>
          </reference>
        </references>
      </pivotArea>
    </format>
    <format dxfId="8757">
      <pivotArea dataOnly="0" labelOnly="1" outline="0" fieldPosition="0">
        <references count="7">
          <reference field="1" count="0" selected="0"/>
          <reference field="3" count="1" selected="0">
            <x v="6"/>
          </reference>
          <reference field="4" count="1" selected="0">
            <x v="0"/>
          </reference>
          <reference field="5" count="1" selected="0">
            <x v="126"/>
          </reference>
          <reference field="6" count="1" selected="0">
            <x v="9"/>
          </reference>
          <reference field="9" count="1" selected="0">
            <x v="10"/>
          </reference>
          <reference field="11" count="1">
            <x v="1"/>
          </reference>
        </references>
      </pivotArea>
    </format>
    <format dxfId="8756">
      <pivotArea dataOnly="0" labelOnly="1" outline="0" fieldPosition="0">
        <references count="7">
          <reference field="1" count="0" selected="0"/>
          <reference field="3" count="1" selected="0">
            <x v="6"/>
          </reference>
          <reference field="4" count="1" selected="0">
            <x v="0"/>
          </reference>
          <reference field="5" count="1" selected="0">
            <x v="145"/>
          </reference>
          <reference field="6" count="1" selected="0">
            <x v="9"/>
          </reference>
          <reference field="9" count="1" selected="0">
            <x v="10"/>
          </reference>
          <reference field="11" count="1">
            <x v="27"/>
          </reference>
        </references>
      </pivotArea>
    </format>
    <format dxfId="8755">
      <pivotArea dataOnly="0" labelOnly="1" outline="0" fieldPosition="0">
        <references count="7">
          <reference field="1" count="0" selected="0"/>
          <reference field="3" count="1" selected="0">
            <x v="6"/>
          </reference>
          <reference field="4" count="1" selected="0">
            <x v="0"/>
          </reference>
          <reference field="5" count="1" selected="0">
            <x v="146"/>
          </reference>
          <reference field="6" count="1" selected="0">
            <x v="9"/>
          </reference>
          <reference field="9" count="1" selected="0">
            <x v="10"/>
          </reference>
          <reference field="11" count="1">
            <x v="6"/>
          </reference>
        </references>
      </pivotArea>
    </format>
    <format dxfId="8754">
      <pivotArea dataOnly="0" labelOnly="1" outline="0" fieldPosition="0">
        <references count="7">
          <reference field="1" count="0" selected="0"/>
          <reference field="3" count="1" selected="0">
            <x v="6"/>
          </reference>
          <reference field="4" count="1" selected="0">
            <x v="0"/>
          </reference>
          <reference field="5" count="1" selected="0">
            <x v="165"/>
          </reference>
          <reference field="6" count="1" selected="0">
            <x v="9"/>
          </reference>
          <reference field="9" count="1" selected="0">
            <x v="10"/>
          </reference>
          <reference field="11" count="1">
            <x v="59"/>
          </reference>
        </references>
      </pivotArea>
    </format>
    <format dxfId="8753">
      <pivotArea dataOnly="0" labelOnly="1" outline="0" fieldPosition="0">
        <references count="7">
          <reference field="1" count="0" selected="0"/>
          <reference field="3" count="1" selected="0">
            <x v="6"/>
          </reference>
          <reference field="4" count="1" selected="0">
            <x v="0"/>
          </reference>
          <reference field="5" count="1" selected="0">
            <x v="174"/>
          </reference>
          <reference field="6" count="1" selected="0">
            <x v="9"/>
          </reference>
          <reference field="9" count="1" selected="0">
            <x v="10"/>
          </reference>
          <reference field="11" count="1">
            <x v="20"/>
          </reference>
        </references>
      </pivotArea>
    </format>
    <format dxfId="8752">
      <pivotArea dataOnly="0" labelOnly="1" outline="0" fieldPosition="0">
        <references count="7">
          <reference field="1" count="0" selected="0"/>
          <reference field="3" count="1" selected="0">
            <x v="6"/>
          </reference>
          <reference field="4" count="1" selected="0">
            <x v="0"/>
          </reference>
          <reference field="5" count="1" selected="0">
            <x v="189"/>
          </reference>
          <reference field="6" count="1" selected="0">
            <x v="9"/>
          </reference>
          <reference field="9" count="1" selected="0">
            <x v="10"/>
          </reference>
          <reference field="11" count="1">
            <x v="32"/>
          </reference>
        </references>
      </pivotArea>
    </format>
    <format dxfId="8751">
      <pivotArea dataOnly="0" labelOnly="1" outline="0" fieldPosition="0">
        <references count="7">
          <reference field="1" count="0" selected="0"/>
          <reference field="3" count="1" selected="0">
            <x v="6"/>
          </reference>
          <reference field="4" count="1" selected="0">
            <x v="0"/>
          </reference>
          <reference field="5" count="1" selected="0">
            <x v="190"/>
          </reference>
          <reference field="6" count="1" selected="0">
            <x v="9"/>
          </reference>
          <reference field="9" count="1" selected="0">
            <x v="10"/>
          </reference>
          <reference field="11" count="1">
            <x v="44"/>
          </reference>
        </references>
      </pivotArea>
    </format>
    <format dxfId="8750">
      <pivotArea dataOnly="0" labelOnly="1" outline="0" fieldPosition="0">
        <references count="7">
          <reference field="1" count="0" selected="0"/>
          <reference field="3" count="1" selected="0">
            <x v="6"/>
          </reference>
          <reference field="4" count="1" selected="0">
            <x v="0"/>
          </reference>
          <reference field="5" count="1" selected="0">
            <x v="343"/>
          </reference>
          <reference field="6" count="1" selected="0">
            <x v="9"/>
          </reference>
          <reference field="9" count="1" selected="0">
            <x v="10"/>
          </reference>
          <reference field="11" count="1">
            <x v="52"/>
          </reference>
        </references>
      </pivotArea>
    </format>
    <format dxfId="8749">
      <pivotArea dataOnly="0" labelOnly="1" outline="0" fieldPosition="0">
        <references count="7">
          <reference field="1" count="0" selected="0"/>
          <reference field="3" count="1" selected="0">
            <x v="8"/>
          </reference>
          <reference field="4" count="1" selected="0">
            <x v="3"/>
          </reference>
          <reference field="5" count="1" selected="0">
            <x v="135"/>
          </reference>
          <reference field="6" count="1" selected="0">
            <x v="3"/>
          </reference>
          <reference field="9" count="1" selected="0">
            <x v="10"/>
          </reference>
          <reference field="11" count="1">
            <x v="37"/>
          </reference>
        </references>
      </pivotArea>
    </format>
    <format dxfId="8748">
      <pivotArea dataOnly="0" labelOnly="1" outline="0" fieldPosition="0">
        <references count="7">
          <reference field="1" count="0" selected="0"/>
          <reference field="3" count="1" selected="0">
            <x v="8"/>
          </reference>
          <reference field="4" count="1" selected="0">
            <x v="3"/>
          </reference>
          <reference field="5" count="1" selected="0">
            <x v="136"/>
          </reference>
          <reference field="6" count="1" selected="0">
            <x v="3"/>
          </reference>
          <reference field="9" count="1" selected="0">
            <x v="10"/>
          </reference>
          <reference field="11" count="1">
            <x v="0"/>
          </reference>
        </references>
      </pivotArea>
    </format>
    <format dxfId="8747">
      <pivotArea dataOnly="0" labelOnly="1" outline="0" fieldPosition="0">
        <references count="7">
          <reference field="1" count="0" selected="0"/>
          <reference field="3" count="1" selected="0">
            <x v="9"/>
          </reference>
          <reference field="4" count="1" selected="0">
            <x v="6"/>
          </reference>
          <reference field="5" count="1" selected="0">
            <x v="212"/>
          </reference>
          <reference field="6" count="1" selected="0">
            <x v="5"/>
          </reference>
          <reference field="9" count="1" selected="0">
            <x v="10"/>
          </reference>
          <reference field="11" count="1">
            <x v="16"/>
          </reference>
        </references>
      </pivotArea>
    </format>
    <format dxfId="8746">
      <pivotArea dataOnly="0" labelOnly="1" outline="0" fieldPosition="0">
        <references count="8">
          <reference field="1" count="0" selected="0"/>
          <reference field="3" count="1" selected="0">
            <x v="0"/>
          </reference>
          <reference field="4" count="1" selected="0">
            <x v="3"/>
          </reference>
          <reference field="5" count="1" selected="0">
            <x v="167"/>
          </reference>
          <reference field="6" count="1" selected="0">
            <x v="7"/>
          </reference>
          <reference field="9" count="1" selected="0">
            <x v="10"/>
          </reference>
          <reference field="11" count="1" selected="0">
            <x v="49"/>
          </reference>
          <reference field="12" count="1">
            <x v="29"/>
          </reference>
        </references>
      </pivotArea>
    </format>
    <format dxfId="8745">
      <pivotArea dataOnly="0" labelOnly="1" outline="0" fieldPosition="0">
        <references count="8">
          <reference field="1" count="0" selected="0"/>
          <reference field="3" count="1" selected="0">
            <x v="3"/>
          </reference>
          <reference field="4" count="1" selected="0">
            <x v="1"/>
          </reference>
          <reference field="5" count="1" selected="0">
            <x v="205"/>
          </reference>
          <reference field="6" count="1" selected="0">
            <x v="2"/>
          </reference>
          <reference field="9" count="1" selected="0">
            <x v="10"/>
          </reference>
          <reference field="11" count="1" selected="0">
            <x v="14"/>
          </reference>
          <reference field="12" count="1">
            <x v="1"/>
          </reference>
        </references>
      </pivotArea>
    </format>
    <format dxfId="8744">
      <pivotArea dataOnly="0" labelOnly="1" outline="0" fieldPosition="0">
        <references count="8">
          <reference field="1" count="0" selected="0"/>
          <reference field="3" count="1" selected="0">
            <x v="4"/>
          </reference>
          <reference field="4" count="1" selected="0">
            <x v="1"/>
          </reference>
          <reference field="5" count="1" selected="0">
            <x v="116"/>
          </reference>
          <reference field="6" count="1" selected="0">
            <x v="2"/>
          </reference>
          <reference field="9" count="1" selected="0">
            <x v="10"/>
          </reference>
          <reference field="11" count="1" selected="0">
            <x v="14"/>
          </reference>
          <reference field="12" count="1">
            <x v="4"/>
          </reference>
        </references>
      </pivotArea>
    </format>
    <format dxfId="8743">
      <pivotArea dataOnly="0" labelOnly="1" outline="0" fieldPosition="0">
        <references count="8">
          <reference field="1" count="0" selected="0"/>
          <reference field="3" count="1" selected="0">
            <x v="4"/>
          </reference>
          <reference field="4" count="1" selected="0">
            <x v="1"/>
          </reference>
          <reference field="5" count="1" selected="0">
            <x v="218"/>
          </reference>
          <reference field="6" count="1" selected="0">
            <x v="2"/>
          </reference>
          <reference field="9" count="1" selected="0">
            <x v="10"/>
          </reference>
          <reference field="11" count="1" selected="0">
            <x v="14"/>
          </reference>
          <reference field="12" count="1">
            <x v="8"/>
          </reference>
        </references>
      </pivotArea>
    </format>
    <format dxfId="8742">
      <pivotArea dataOnly="0" labelOnly="1" outline="0" fieldPosition="0">
        <references count="8">
          <reference field="1" count="0" selected="0"/>
          <reference field="3" count="1" selected="0">
            <x v="4"/>
          </reference>
          <reference field="4" count="1" selected="0">
            <x v="1"/>
          </reference>
          <reference field="5" count="1" selected="0">
            <x v="332"/>
          </reference>
          <reference field="6" count="1" selected="0">
            <x v="2"/>
          </reference>
          <reference field="9" count="1" selected="0">
            <x v="10"/>
          </reference>
          <reference field="11" count="1" selected="0">
            <x v="21"/>
          </reference>
          <reference field="12" count="1">
            <x v="8"/>
          </reference>
        </references>
      </pivotArea>
    </format>
    <format dxfId="8741">
      <pivotArea dataOnly="0" labelOnly="1" outline="0" fieldPosition="0">
        <references count="8">
          <reference field="1" count="0" selected="0"/>
          <reference field="3" count="1" selected="0">
            <x v="6"/>
          </reference>
          <reference field="4" count="1" selected="0">
            <x v="0"/>
          </reference>
          <reference field="5" count="1" selected="0">
            <x v="146"/>
          </reference>
          <reference field="6" count="1" selected="0">
            <x v="9"/>
          </reference>
          <reference field="9" count="1" selected="0">
            <x v="10"/>
          </reference>
          <reference field="11" count="1" selected="0">
            <x v="6"/>
          </reference>
          <reference field="12" count="1">
            <x v="2"/>
          </reference>
        </references>
      </pivotArea>
    </format>
    <format dxfId="8740">
      <pivotArea dataOnly="0" labelOnly="1" outline="0" fieldPosition="0">
        <references count="8">
          <reference field="1" count="0" selected="0"/>
          <reference field="3" count="1" selected="0">
            <x v="6"/>
          </reference>
          <reference field="4" count="1" selected="0">
            <x v="0"/>
          </reference>
          <reference field="5" count="1" selected="0">
            <x v="165"/>
          </reference>
          <reference field="6" count="1" selected="0">
            <x v="9"/>
          </reference>
          <reference field="9" count="1" selected="0">
            <x v="10"/>
          </reference>
          <reference field="11" count="1" selected="0">
            <x v="59"/>
          </reference>
          <reference field="12" count="1">
            <x v="8"/>
          </reference>
        </references>
      </pivotArea>
    </format>
    <format dxfId="8739">
      <pivotArea dataOnly="0" labelOnly="1" outline="0" fieldPosition="0">
        <references count="8">
          <reference field="1" count="0" selected="0"/>
          <reference field="3" count="1" selected="0">
            <x v="6"/>
          </reference>
          <reference field="4" count="1" selected="0">
            <x v="0"/>
          </reference>
          <reference field="5" count="1" selected="0">
            <x v="181"/>
          </reference>
          <reference field="6" count="1" selected="0">
            <x v="9"/>
          </reference>
          <reference field="9" count="1" selected="0">
            <x v="10"/>
          </reference>
          <reference field="11" count="1" selected="0">
            <x v="14"/>
          </reference>
          <reference field="12" count="1">
            <x v="16"/>
          </reference>
        </references>
      </pivotArea>
    </format>
    <format dxfId="8738">
      <pivotArea dataOnly="0" labelOnly="1" outline="0" fieldPosition="0">
        <references count="8">
          <reference field="1" count="0" selected="0"/>
          <reference field="3" count="1" selected="0">
            <x v="6"/>
          </reference>
          <reference field="4" count="1" selected="0">
            <x v="0"/>
          </reference>
          <reference field="5" count="1" selected="0">
            <x v="182"/>
          </reference>
          <reference field="6" count="1" selected="0">
            <x v="9"/>
          </reference>
          <reference field="9" count="1" selected="0">
            <x v="10"/>
          </reference>
          <reference field="11" count="1" selected="0">
            <x v="14"/>
          </reference>
          <reference field="12" count="1">
            <x v="10"/>
          </reference>
        </references>
      </pivotArea>
    </format>
    <format dxfId="8737">
      <pivotArea dataOnly="0" labelOnly="1" outline="0" fieldPosition="0">
        <references count="8">
          <reference field="1" count="0" selected="0"/>
          <reference field="3" count="1" selected="0">
            <x v="6"/>
          </reference>
          <reference field="4" count="1" selected="0">
            <x v="0"/>
          </reference>
          <reference field="5" count="1" selected="0">
            <x v="189"/>
          </reference>
          <reference field="6" count="1" selected="0">
            <x v="9"/>
          </reference>
          <reference field="9" count="1" selected="0">
            <x v="10"/>
          </reference>
          <reference field="11" count="1" selected="0">
            <x v="32"/>
          </reference>
          <reference field="12" count="1">
            <x v="8"/>
          </reference>
        </references>
      </pivotArea>
    </format>
    <format dxfId="8736">
      <pivotArea dataOnly="0" labelOnly="1" outline="0" fieldPosition="0">
        <references count="8">
          <reference field="1" count="0" selected="0"/>
          <reference field="3" count="1" selected="0">
            <x v="8"/>
          </reference>
          <reference field="4" count="1" selected="0">
            <x v="3"/>
          </reference>
          <reference field="5" count="1" selected="0">
            <x v="135"/>
          </reference>
          <reference field="6" count="1" selected="0">
            <x v="3"/>
          </reference>
          <reference field="9" count="1" selected="0">
            <x v="10"/>
          </reference>
          <reference field="11" count="1" selected="0">
            <x v="37"/>
          </reference>
          <reference field="12" count="1">
            <x v="2"/>
          </reference>
        </references>
      </pivotArea>
    </format>
    <format dxfId="8735">
      <pivotArea dataOnly="0" labelOnly="1" outline="0" fieldPosition="0">
        <references count="8">
          <reference field="1" count="0" selected="0"/>
          <reference field="3" count="1" selected="0">
            <x v="9"/>
          </reference>
          <reference field="4" count="1" selected="0">
            <x v="6"/>
          </reference>
          <reference field="5" count="1" selected="0">
            <x v="212"/>
          </reference>
          <reference field="6" count="1" selected="0">
            <x v="5"/>
          </reference>
          <reference field="9" count="1" selected="0">
            <x v="10"/>
          </reference>
          <reference field="11" count="1" selected="0">
            <x v="16"/>
          </reference>
          <reference field="12" count="1">
            <x v="8"/>
          </reference>
        </references>
      </pivotArea>
    </format>
    <format dxfId="8734">
      <pivotArea dataOnly="0" labelOnly="1" outline="0" fieldPosition="0">
        <references count="9">
          <reference field="1" count="0" selected="0"/>
          <reference field="3" count="1" selected="0">
            <x v="0"/>
          </reference>
          <reference field="4" count="1" selected="0">
            <x v="3"/>
          </reference>
          <reference field="5" count="1" selected="0">
            <x v="167"/>
          </reference>
          <reference field="6" count="1" selected="0">
            <x v="7"/>
          </reference>
          <reference field="9" count="1" selected="0">
            <x v="10"/>
          </reference>
          <reference field="11" count="1" selected="0">
            <x v="49"/>
          </reference>
          <reference field="12" count="1" selected="0">
            <x v="29"/>
          </reference>
          <reference field="13" count="1">
            <x v="3"/>
          </reference>
        </references>
      </pivotArea>
    </format>
    <format dxfId="8733">
      <pivotArea dataOnly="0" labelOnly="1" outline="0" fieldPosition="0">
        <references count="9">
          <reference field="1" count="0" selected="0"/>
          <reference field="3" count="1" selected="0">
            <x v="3"/>
          </reference>
          <reference field="4" count="1" selected="0">
            <x v="1"/>
          </reference>
          <reference field="5" count="1" selected="0">
            <x v="197"/>
          </reference>
          <reference field="6" count="1" selected="0">
            <x v="2"/>
          </reference>
          <reference field="9" count="1" selected="0">
            <x v="10"/>
          </reference>
          <reference field="11" count="1" selected="0">
            <x v="4"/>
          </reference>
          <reference field="12" count="1" selected="0">
            <x v="8"/>
          </reference>
          <reference field="13" count="1">
            <x v="3"/>
          </reference>
        </references>
      </pivotArea>
    </format>
    <format dxfId="8732">
      <pivotArea dataOnly="0" labelOnly="1" outline="0" fieldPosition="0">
        <references count="9">
          <reference field="1" count="0" selected="0"/>
          <reference field="3" count="1" selected="0">
            <x v="6"/>
          </reference>
          <reference field="4" count="1" selected="0">
            <x v="0"/>
          </reference>
          <reference field="5" count="1" selected="0">
            <x v="126"/>
          </reference>
          <reference field="6" count="1" selected="0">
            <x v="9"/>
          </reference>
          <reference field="9" count="1" selected="0">
            <x v="10"/>
          </reference>
          <reference field="11" count="1" selected="0">
            <x v="1"/>
          </reference>
          <reference field="12" count="1" selected="0">
            <x v="8"/>
          </reference>
          <reference field="13" count="1">
            <x v="3"/>
          </reference>
        </references>
      </pivotArea>
    </format>
    <format dxfId="8731">
      <pivotArea dataOnly="0" labelOnly="1" outline="0" fieldPosition="0">
        <references count="9">
          <reference field="1" count="0" selected="0"/>
          <reference field="3" count="1" selected="0">
            <x v="6"/>
          </reference>
          <reference field="4" count="1" selected="0">
            <x v="0"/>
          </reference>
          <reference field="5" count="1" selected="0">
            <x v="165"/>
          </reference>
          <reference field="6" count="1" selected="0">
            <x v="9"/>
          </reference>
          <reference field="9" count="1" selected="0">
            <x v="10"/>
          </reference>
          <reference field="11" count="1" selected="0">
            <x v="59"/>
          </reference>
          <reference field="12" count="1" selected="0">
            <x v="8"/>
          </reference>
          <reference field="13" count="1">
            <x v="7"/>
          </reference>
        </references>
      </pivotArea>
    </format>
    <format dxfId="8730">
      <pivotArea dataOnly="0" labelOnly="1" outline="0" fieldPosition="0">
        <references count="9">
          <reference field="1" count="0" selected="0"/>
          <reference field="3" count="1" selected="0">
            <x v="6"/>
          </reference>
          <reference field="4" count="1" selected="0">
            <x v="0"/>
          </reference>
          <reference field="5" count="1" selected="0">
            <x v="174"/>
          </reference>
          <reference field="6" count="1" selected="0">
            <x v="9"/>
          </reference>
          <reference field="9" count="1" selected="0">
            <x v="10"/>
          </reference>
          <reference field="11" count="1" selected="0">
            <x v="20"/>
          </reference>
          <reference field="12" count="1" selected="0">
            <x v="8"/>
          </reference>
          <reference field="13" count="1">
            <x v="3"/>
          </reference>
        </references>
      </pivotArea>
    </format>
    <format dxfId="8729">
      <pivotArea dataOnly="0" labelOnly="1" outline="0" fieldPosition="0">
        <references count="9">
          <reference field="1" count="0" selected="0"/>
          <reference field="3" count="1" selected="0">
            <x v="6"/>
          </reference>
          <reference field="4" count="1" selected="0">
            <x v="0"/>
          </reference>
          <reference field="5" count="1" selected="0">
            <x v="343"/>
          </reference>
          <reference field="6" count="1" selected="0">
            <x v="9"/>
          </reference>
          <reference field="9" count="1" selected="0">
            <x v="10"/>
          </reference>
          <reference field="11" count="1" selected="0">
            <x v="52"/>
          </reference>
          <reference field="12" count="1" selected="0">
            <x v="8"/>
          </reference>
          <reference field="13" count="1">
            <x v="5"/>
          </reference>
        </references>
      </pivotArea>
    </format>
    <format dxfId="8728">
      <pivotArea dataOnly="0" labelOnly="1" outline="0" fieldPosition="0">
        <references count="10">
          <reference field="1" count="0" selected="0"/>
          <reference field="3" count="1" selected="0">
            <x v="0"/>
          </reference>
          <reference field="4" count="1" selected="0">
            <x v="3"/>
          </reference>
          <reference field="5" count="1" selected="0">
            <x v="167"/>
          </reference>
          <reference field="6" count="1" selected="0">
            <x v="7"/>
          </reference>
          <reference field="9" count="1" selected="0">
            <x v="10"/>
          </reference>
          <reference field="11" count="1" selected="0">
            <x v="49"/>
          </reference>
          <reference field="12" count="1" selected="0">
            <x v="29"/>
          </reference>
          <reference field="13" count="1" selected="0">
            <x v="3"/>
          </reference>
          <reference field="14" count="1">
            <x v="23"/>
          </reference>
        </references>
      </pivotArea>
    </format>
    <format dxfId="8727">
      <pivotArea dataOnly="0" labelOnly="1" outline="0" fieldPosition="0">
        <references count="10">
          <reference field="1" count="0" selected="0"/>
          <reference field="3" count="1" selected="0">
            <x v="3"/>
          </reference>
          <reference field="4" count="1" selected="0">
            <x v="1"/>
          </reference>
          <reference field="5" count="1" selected="0">
            <x v="197"/>
          </reference>
          <reference field="6" count="1" selected="0">
            <x v="2"/>
          </reference>
          <reference field="9" count="1" selected="0">
            <x v="10"/>
          </reference>
          <reference field="11" count="1" selected="0">
            <x v="4"/>
          </reference>
          <reference field="12" count="1" selected="0">
            <x v="8"/>
          </reference>
          <reference field="13" count="1" selected="0">
            <x v="3"/>
          </reference>
          <reference field="14" count="1">
            <x v="17"/>
          </reference>
        </references>
      </pivotArea>
    </format>
    <format dxfId="8726">
      <pivotArea dataOnly="0" labelOnly="1" outline="0" fieldPosition="0">
        <references count="10">
          <reference field="1" count="0" selected="0"/>
          <reference field="3" count="1" selected="0">
            <x v="3"/>
          </reference>
          <reference field="4" count="1" selected="0">
            <x v="1"/>
          </reference>
          <reference field="5" count="1" selected="0">
            <x v="205"/>
          </reference>
          <reference field="6" count="1" selected="0">
            <x v="2"/>
          </reference>
          <reference field="9" count="1" selected="0">
            <x v="10"/>
          </reference>
          <reference field="11" count="1" selected="0">
            <x v="14"/>
          </reference>
          <reference field="12" count="1" selected="0">
            <x v="1"/>
          </reference>
          <reference field="13" count="1" selected="0">
            <x v="3"/>
          </reference>
          <reference field="14" count="1">
            <x v="26"/>
          </reference>
        </references>
      </pivotArea>
    </format>
    <format dxfId="8725">
      <pivotArea dataOnly="0" labelOnly="1" outline="0" fieldPosition="0">
        <references count="10">
          <reference field="1" count="0" selected="0"/>
          <reference field="3" count="1" selected="0">
            <x v="4"/>
          </reference>
          <reference field="4" count="1" selected="0">
            <x v="1"/>
          </reference>
          <reference field="5" count="1" selected="0">
            <x v="116"/>
          </reference>
          <reference field="6" count="1" selected="0">
            <x v="2"/>
          </reference>
          <reference field="9" count="1" selected="0">
            <x v="10"/>
          </reference>
          <reference field="11" count="1" selected="0">
            <x v="14"/>
          </reference>
          <reference field="12" count="1" selected="0">
            <x v="4"/>
          </reference>
          <reference field="13" count="1" selected="0">
            <x v="3"/>
          </reference>
          <reference field="14" count="1">
            <x v="8"/>
          </reference>
        </references>
      </pivotArea>
    </format>
    <format dxfId="8724">
      <pivotArea dataOnly="0" labelOnly="1" outline="0" fieldPosition="0">
        <references count="10">
          <reference field="1" count="0" selected="0"/>
          <reference field="3" count="1" selected="0">
            <x v="4"/>
          </reference>
          <reference field="4" count="1" selected="0">
            <x v="1"/>
          </reference>
          <reference field="5" count="1" selected="0">
            <x v="332"/>
          </reference>
          <reference field="6" count="1" selected="0">
            <x v="2"/>
          </reference>
          <reference field="9" count="1" selected="0">
            <x v="10"/>
          </reference>
          <reference field="11" count="1" selected="0">
            <x v="21"/>
          </reference>
          <reference field="12" count="1" selected="0">
            <x v="8"/>
          </reference>
          <reference field="13" count="1" selected="0">
            <x v="3"/>
          </reference>
          <reference field="14" count="1">
            <x v="17"/>
          </reference>
        </references>
      </pivotArea>
    </format>
    <format dxfId="8723">
      <pivotArea dataOnly="0" labelOnly="1" outline="0" fieldPosition="0">
        <references count="10">
          <reference field="1" count="0" selected="0"/>
          <reference field="3" count="1" selected="0">
            <x v="6"/>
          </reference>
          <reference field="4" count="1" selected="0">
            <x v="0"/>
          </reference>
          <reference field="5" count="1" selected="0">
            <x v="126"/>
          </reference>
          <reference field="6" count="1" selected="0">
            <x v="9"/>
          </reference>
          <reference field="9" count="1" selected="0">
            <x v="10"/>
          </reference>
          <reference field="11" count="1" selected="0">
            <x v="1"/>
          </reference>
          <reference field="12" count="1" selected="0">
            <x v="8"/>
          </reference>
          <reference field="13" count="1" selected="0">
            <x v="3"/>
          </reference>
          <reference field="14" count="1">
            <x v="17"/>
          </reference>
        </references>
      </pivotArea>
    </format>
    <format dxfId="8722">
      <pivotArea dataOnly="0" labelOnly="1" outline="0" fieldPosition="0">
        <references count="10">
          <reference field="1" count="0" selected="0"/>
          <reference field="3" count="1" selected="0">
            <x v="6"/>
          </reference>
          <reference field="4" count="1" selected="0">
            <x v="0"/>
          </reference>
          <reference field="5" count="1" selected="0">
            <x v="145"/>
          </reference>
          <reference field="6" count="1" selected="0">
            <x v="9"/>
          </reference>
          <reference field="9" count="1" selected="0">
            <x v="10"/>
          </reference>
          <reference field="11" count="1" selected="0">
            <x v="27"/>
          </reference>
          <reference field="12" count="1" selected="0">
            <x v="8"/>
          </reference>
          <reference field="13" count="1" selected="0">
            <x v="3"/>
          </reference>
          <reference field="14" count="1">
            <x v="11"/>
          </reference>
        </references>
      </pivotArea>
    </format>
    <format dxfId="8721">
      <pivotArea dataOnly="0" labelOnly="1" outline="0" fieldPosition="0">
        <references count="10">
          <reference field="1" count="0" selected="0"/>
          <reference field="3" count="1" selected="0">
            <x v="6"/>
          </reference>
          <reference field="4" count="1" selected="0">
            <x v="0"/>
          </reference>
          <reference field="5" count="1" selected="0">
            <x v="146"/>
          </reference>
          <reference field="6" count="1" selected="0">
            <x v="9"/>
          </reference>
          <reference field="9" count="1" selected="0">
            <x v="10"/>
          </reference>
          <reference field="11" count="1" selected="0">
            <x v="6"/>
          </reference>
          <reference field="12" count="1" selected="0">
            <x v="2"/>
          </reference>
          <reference field="13" count="1" selected="0">
            <x v="3"/>
          </reference>
          <reference field="14" count="1">
            <x v="10"/>
          </reference>
        </references>
      </pivotArea>
    </format>
    <format dxfId="8720">
      <pivotArea dataOnly="0" labelOnly="1" outline="0" fieldPosition="0">
        <references count="10">
          <reference field="1" count="0" selected="0"/>
          <reference field="3" count="1" selected="0">
            <x v="6"/>
          </reference>
          <reference field="4" count="1" selected="0">
            <x v="0"/>
          </reference>
          <reference field="5" count="1" selected="0">
            <x v="165"/>
          </reference>
          <reference field="6" count="1" selected="0">
            <x v="9"/>
          </reference>
          <reference field="9" count="1" selected="0">
            <x v="10"/>
          </reference>
          <reference field="11" count="1" selected="0">
            <x v="59"/>
          </reference>
          <reference field="12" count="1" selected="0">
            <x v="8"/>
          </reference>
          <reference field="13" count="1" selected="0">
            <x v="7"/>
          </reference>
          <reference field="14" count="1">
            <x v="31"/>
          </reference>
        </references>
      </pivotArea>
    </format>
    <format dxfId="8719">
      <pivotArea dataOnly="0" labelOnly="1" outline="0" fieldPosition="0">
        <references count="10">
          <reference field="1" count="0" selected="0"/>
          <reference field="3" count="1" selected="0">
            <x v="6"/>
          </reference>
          <reference field="4" count="1" selected="0">
            <x v="0"/>
          </reference>
          <reference field="5" count="1" selected="0">
            <x v="174"/>
          </reference>
          <reference field="6" count="1" selected="0">
            <x v="9"/>
          </reference>
          <reference field="9" count="1" selected="0">
            <x v="10"/>
          </reference>
          <reference field="11" count="1" selected="0">
            <x v="20"/>
          </reference>
          <reference field="12" count="1" selected="0">
            <x v="8"/>
          </reference>
          <reference field="13" count="1" selected="0">
            <x v="3"/>
          </reference>
          <reference field="14" count="1">
            <x v="47"/>
          </reference>
        </references>
      </pivotArea>
    </format>
    <format dxfId="8718">
      <pivotArea dataOnly="0" labelOnly="1" outline="0" fieldPosition="0">
        <references count="10">
          <reference field="1" count="0" selected="0"/>
          <reference field="3" count="1" selected="0">
            <x v="6"/>
          </reference>
          <reference field="4" count="1" selected="0">
            <x v="0"/>
          </reference>
          <reference field="5" count="1" selected="0">
            <x v="181"/>
          </reference>
          <reference field="6" count="1" selected="0">
            <x v="9"/>
          </reference>
          <reference field="9" count="1" selected="0">
            <x v="10"/>
          </reference>
          <reference field="11" count="1" selected="0">
            <x v="14"/>
          </reference>
          <reference field="12" count="1" selected="0">
            <x v="16"/>
          </reference>
          <reference field="13" count="1" selected="0">
            <x v="3"/>
          </reference>
          <reference field="14" count="1">
            <x v="60"/>
          </reference>
        </references>
      </pivotArea>
    </format>
    <format dxfId="8717">
      <pivotArea dataOnly="0" labelOnly="1" outline="0" fieldPosition="0">
        <references count="10">
          <reference field="1" count="0" selected="0"/>
          <reference field="3" count="1" selected="0">
            <x v="6"/>
          </reference>
          <reference field="4" count="1" selected="0">
            <x v="0"/>
          </reference>
          <reference field="5" count="1" selected="0">
            <x v="182"/>
          </reference>
          <reference field="6" count="1" selected="0">
            <x v="9"/>
          </reference>
          <reference field="9" count="1" selected="0">
            <x v="10"/>
          </reference>
          <reference field="11" count="1" selected="0">
            <x v="14"/>
          </reference>
          <reference field="12" count="1" selected="0">
            <x v="10"/>
          </reference>
          <reference field="13" count="1" selected="0">
            <x v="3"/>
          </reference>
          <reference field="14" count="1">
            <x v="12"/>
          </reference>
        </references>
      </pivotArea>
    </format>
    <format dxfId="8716">
      <pivotArea dataOnly="0" labelOnly="1" outline="0" fieldPosition="0">
        <references count="10">
          <reference field="1" count="0" selected="0"/>
          <reference field="3" count="1" selected="0">
            <x v="6"/>
          </reference>
          <reference field="4" count="1" selected="0">
            <x v="0"/>
          </reference>
          <reference field="5" count="1" selected="0">
            <x v="189"/>
          </reference>
          <reference field="6" count="1" selected="0">
            <x v="9"/>
          </reference>
          <reference field="9" count="1" selected="0">
            <x v="10"/>
          </reference>
          <reference field="11" count="1" selected="0">
            <x v="32"/>
          </reference>
          <reference field="12" count="1" selected="0">
            <x v="8"/>
          </reference>
          <reference field="13" count="1" selected="0">
            <x v="3"/>
          </reference>
          <reference field="14" count="1">
            <x v="52"/>
          </reference>
        </references>
      </pivotArea>
    </format>
    <format dxfId="8715">
      <pivotArea dataOnly="0" labelOnly="1" outline="0" fieldPosition="0">
        <references count="10">
          <reference field="1" count="0" selected="0"/>
          <reference field="3" count="1" selected="0">
            <x v="6"/>
          </reference>
          <reference field="4" count="1" selected="0">
            <x v="0"/>
          </reference>
          <reference field="5" count="1" selected="0">
            <x v="190"/>
          </reference>
          <reference field="6" count="1" selected="0">
            <x v="9"/>
          </reference>
          <reference field="9" count="1" selected="0">
            <x v="10"/>
          </reference>
          <reference field="11" count="1" selected="0">
            <x v="44"/>
          </reference>
          <reference field="12" count="1" selected="0">
            <x v="8"/>
          </reference>
          <reference field="13" count="1" selected="0">
            <x v="3"/>
          </reference>
          <reference field="14" count="1">
            <x v="33"/>
          </reference>
        </references>
      </pivotArea>
    </format>
    <format dxfId="8714">
      <pivotArea dataOnly="0" labelOnly="1" outline="0" fieldPosition="0">
        <references count="10">
          <reference field="1" count="0" selected="0"/>
          <reference field="3" count="1" selected="0">
            <x v="6"/>
          </reference>
          <reference field="4" count="1" selected="0">
            <x v="0"/>
          </reference>
          <reference field="5" count="1" selected="0">
            <x v="343"/>
          </reference>
          <reference field="6" count="1" selected="0">
            <x v="9"/>
          </reference>
          <reference field="9" count="1" selected="0">
            <x v="10"/>
          </reference>
          <reference field="11" count="1" selected="0">
            <x v="52"/>
          </reference>
          <reference field="12" count="1" selected="0">
            <x v="8"/>
          </reference>
          <reference field="13" count="1" selected="0">
            <x v="5"/>
          </reference>
          <reference field="14" count="1">
            <x v="45"/>
          </reference>
        </references>
      </pivotArea>
    </format>
    <format dxfId="8713">
      <pivotArea dataOnly="0" labelOnly="1" outline="0" fieldPosition="0">
        <references count="10">
          <reference field="1" count="0" selected="0"/>
          <reference field="3" count="1" selected="0">
            <x v="8"/>
          </reference>
          <reference field="4" count="1" selected="0">
            <x v="3"/>
          </reference>
          <reference field="5" count="1" selected="0">
            <x v="135"/>
          </reference>
          <reference field="6" count="1" selected="0">
            <x v="3"/>
          </reference>
          <reference field="9" count="1" selected="0">
            <x v="10"/>
          </reference>
          <reference field="11" count="1" selected="0">
            <x v="37"/>
          </reference>
          <reference field="12" count="1" selected="0">
            <x v="2"/>
          </reference>
          <reference field="13" count="1" selected="0">
            <x v="3"/>
          </reference>
          <reference field="14" count="1">
            <x v="17"/>
          </reference>
        </references>
      </pivotArea>
    </format>
    <format dxfId="8712">
      <pivotArea dataOnly="0" labelOnly="1" outline="0" fieldPosition="0">
        <references count="11">
          <reference field="1" count="0" selected="0"/>
          <reference field="3" count="1" selected="0">
            <x v="0"/>
          </reference>
          <reference field="4" count="1" selected="0">
            <x v="3"/>
          </reference>
          <reference field="5" count="1" selected="0">
            <x v="167"/>
          </reference>
          <reference field="6" count="1" selected="0">
            <x v="7"/>
          </reference>
          <reference field="9" count="1" selected="0">
            <x v="10"/>
          </reference>
          <reference field="11" count="1" selected="0">
            <x v="49"/>
          </reference>
          <reference field="12" count="1" selected="0">
            <x v="29"/>
          </reference>
          <reference field="13" count="1" selected="0">
            <x v="3"/>
          </reference>
          <reference field="14" count="1" selected="0">
            <x v="23"/>
          </reference>
          <reference field="15" count="1">
            <x v="65"/>
          </reference>
        </references>
      </pivotArea>
    </format>
    <format dxfId="8711">
      <pivotArea dataOnly="0" labelOnly="1" outline="0" fieldPosition="0">
        <references count="11">
          <reference field="1" count="0" selected="0"/>
          <reference field="3" count="1" selected="0">
            <x v="3"/>
          </reference>
          <reference field="4" count="1" selected="0">
            <x v="1"/>
          </reference>
          <reference field="5" count="1" selected="0">
            <x v="197"/>
          </reference>
          <reference field="6" count="1" selected="0">
            <x v="2"/>
          </reference>
          <reference field="9" count="1" selected="0">
            <x v="10"/>
          </reference>
          <reference field="11" count="1" selected="0">
            <x v="4"/>
          </reference>
          <reference field="12" count="1" selected="0">
            <x v="8"/>
          </reference>
          <reference field="13" count="1" selected="0">
            <x v="3"/>
          </reference>
          <reference field="14" count="1" selected="0">
            <x v="17"/>
          </reference>
          <reference field="15" count="1">
            <x v="24"/>
          </reference>
        </references>
      </pivotArea>
    </format>
    <format dxfId="8710">
      <pivotArea dataOnly="0" labelOnly="1" outline="0" fieldPosition="0">
        <references count="11">
          <reference field="1" count="0" selected="0"/>
          <reference field="3" count="1" selected="0">
            <x v="3"/>
          </reference>
          <reference field="4" count="1" selected="0">
            <x v="1"/>
          </reference>
          <reference field="5" count="1" selected="0">
            <x v="204"/>
          </reference>
          <reference field="6" count="1" selected="0">
            <x v="2"/>
          </reference>
          <reference field="9" count="1" selected="0">
            <x v="10"/>
          </reference>
          <reference field="11" count="1" selected="0">
            <x v="42"/>
          </reference>
          <reference field="12" count="1" selected="0">
            <x v="8"/>
          </reference>
          <reference field="13" count="1" selected="0">
            <x v="3"/>
          </reference>
          <reference field="14" count="1" selected="0">
            <x v="17"/>
          </reference>
          <reference field="15" count="1">
            <x v="14"/>
          </reference>
        </references>
      </pivotArea>
    </format>
    <format dxfId="8709">
      <pivotArea dataOnly="0" labelOnly="1" outline="0" fieldPosition="0">
        <references count="11">
          <reference field="1" count="0" selected="0"/>
          <reference field="3" count="1" selected="0">
            <x v="3"/>
          </reference>
          <reference field="4" count="1" selected="0">
            <x v="1"/>
          </reference>
          <reference field="5" count="1" selected="0">
            <x v="205"/>
          </reference>
          <reference field="6" count="1" selected="0">
            <x v="2"/>
          </reference>
          <reference field="9" count="1" selected="0">
            <x v="10"/>
          </reference>
          <reference field="11" count="1" selected="0">
            <x v="14"/>
          </reference>
          <reference field="12" count="1" selected="0">
            <x v="1"/>
          </reference>
          <reference field="13" count="1" selected="0">
            <x v="3"/>
          </reference>
          <reference field="14" count="1" selected="0">
            <x v="26"/>
          </reference>
          <reference field="15" count="1">
            <x v="1"/>
          </reference>
        </references>
      </pivotArea>
    </format>
    <format dxfId="8708">
      <pivotArea dataOnly="0" labelOnly="1" outline="0" fieldPosition="0">
        <references count="11">
          <reference field="1" count="0" selected="0"/>
          <reference field="3" count="1" selected="0">
            <x v="4"/>
          </reference>
          <reference field="4" count="1" selected="0">
            <x v="1"/>
          </reference>
          <reference field="5" count="1" selected="0">
            <x v="332"/>
          </reference>
          <reference field="6" count="1" selected="0">
            <x v="2"/>
          </reference>
          <reference field="9" count="1" selected="0">
            <x v="10"/>
          </reference>
          <reference field="11" count="1" selected="0">
            <x v="21"/>
          </reference>
          <reference field="12" count="1" selected="0">
            <x v="8"/>
          </reference>
          <reference field="13" count="1" selected="0">
            <x v="3"/>
          </reference>
          <reference field="14" count="1" selected="0">
            <x v="17"/>
          </reference>
          <reference field="15" count="1">
            <x v="3"/>
          </reference>
        </references>
      </pivotArea>
    </format>
    <format dxfId="8707">
      <pivotArea dataOnly="0" labelOnly="1" outline="0" fieldPosition="0">
        <references count="11">
          <reference field="1" count="0" selected="0"/>
          <reference field="3" count="1" selected="0">
            <x v="6"/>
          </reference>
          <reference field="4" count="1" selected="0">
            <x v="0"/>
          </reference>
          <reference field="5" count="1" selected="0">
            <x v="145"/>
          </reference>
          <reference field="6" count="1" selected="0">
            <x v="9"/>
          </reference>
          <reference field="9" count="1" selected="0">
            <x v="10"/>
          </reference>
          <reference field="11" count="1" selected="0">
            <x v="27"/>
          </reference>
          <reference field="12" count="1" selected="0">
            <x v="8"/>
          </reference>
          <reference field="13" count="1" selected="0">
            <x v="3"/>
          </reference>
          <reference field="14" count="1" selected="0">
            <x v="11"/>
          </reference>
          <reference field="15" count="1">
            <x v="42"/>
          </reference>
        </references>
      </pivotArea>
    </format>
    <format dxfId="8706">
      <pivotArea dataOnly="0" labelOnly="1" outline="0" fieldPosition="0">
        <references count="11">
          <reference field="1" count="0" selected="0"/>
          <reference field="3" count="1" selected="0">
            <x v="6"/>
          </reference>
          <reference field="4" count="1" selected="0">
            <x v="0"/>
          </reference>
          <reference field="5" count="1" selected="0">
            <x v="146"/>
          </reference>
          <reference field="6" count="1" selected="0">
            <x v="9"/>
          </reference>
          <reference field="9" count="1" selected="0">
            <x v="10"/>
          </reference>
          <reference field="11" count="1" selected="0">
            <x v="6"/>
          </reference>
          <reference field="12" count="1" selected="0">
            <x v="2"/>
          </reference>
          <reference field="13" count="1" selected="0">
            <x v="3"/>
          </reference>
          <reference field="14" count="1" selected="0">
            <x v="10"/>
          </reference>
          <reference field="15" count="1">
            <x v="41"/>
          </reference>
        </references>
      </pivotArea>
    </format>
    <format dxfId="8705">
      <pivotArea dataOnly="0" labelOnly="1" outline="0" fieldPosition="0">
        <references count="11">
          <reference field="1" count="0" selected="0"/>
          <reference field="3" count="1" selected="0">
            <x v="6"/>
          </reference>
          <reference field="4" count="1" selected="0">
            <x v="0"/>
          </reference>
          <reference field="5" count="1" selected="0">
            <x v="165"/>
          </reference>
          <reference field="6" count="1" selected="0">
            <x v="9"/>
          </reference>
          <reference field="9" count="1" selected="0">
            <x v="10"/>
          </reference>
          <reference field="11" count="1" selected="0">
            <x v="59"/>
          </reference>
          <reference field="12" count="1" selected="0">
            <x v="8"/>
          </reference>
          <reference field="13" count="1" selected="0">
            <x v="7"/>
          </reference>
          <reference field="14" count="1" selected="0">
            <x v="31"/>
          </reference>
          <reference field="15" count="1">
            <x v="51"/>
          </reference>
        </references>
      </pivotArea>
    </format>
    <format dxfId="8704">
      <pivotArea dataOnly="0" labelOnly="1" outline="0" fieldPosition="0">
        <references count="11">
          <reference field="1" count="0" selected="0"/>
          <reference field="3" count="1" selected="0">
            <x v="6"/>
          </reference>
          <reference field="4" count="1" selected="0">
            <x v="0"/>
          </reference>
          <reference field="5" count="1" selected="0">
            <x v="174"/>
          </reference>
          <reference field="6" count="1" selected="0">
            <x v="9"/>
          </reference>
          <reference field="9" count="1" selected="0">
            <x v="10"/>
          </reference>
          <reference field="11" count="1" selected="0">
            <x v="20"/>
          </reference>
          <reference field="12" count="1" selected="0">
            <x v="8"/>
          </reference>
          <reference field="13" count="1" selected="0">
            <x v="3"/>
          </reference>
          <reference field="14" count="1" selected="0">
            <x v="47"/>
          </reference>
          <reference field="15" count="1">
            <x v="34"/>
          </reference>
        </references>
      </pivotArea>
    </format>
    <format dxfId="8703">
      <pivotArea dataOnly="0" labelOnly="1" outline="0" fieldPosition="0">
        <references count="11">
          <reference field="1" count="0" selected="0"/>
          <reference field="3" count="1" selected="0">
            <x v="6"/>
          </reference>
          <reference field="4" count="1" selected="0">
            <x v="0"/>
          </reference>
          <reference field="5" count="1" selected="0">
            <x v="181"/>
          </reference>
          <reference field="6" count="1" selected="0">
            <x v="9"/>
          </reference>
          <reference field="9" count="1" selected="0">
            <x v="10"/>
          </reference>
          <reference field="11" count="1" selected="0">
            <x v="14"/>
          </reference>
          <reference field="12" count="1" selected="0">
            <x v="16"/>
          </reference>
          <reference field="13" count="1" selected="0">
            <x v="3"/>
          </reference>
          <reference field="14" count="1" selected="0">
            <x v="60"/>
          </reference>
          <reference field="15" count="1">
            <x v="14"/>
          </reference>
        </references>
      </pivotArea>
    </format>
    <format dxfId="8702">
      <pivotArea dataOnly="0" labelOnly="1" outline="0" fieldPosition="0">
        <references count="11">
          <reference field="1" count="0" selected="0"/>
          <reference field="3" count="1" selected="0">
            <x v="6"/>
          </reference>
          <reference field="4" count="1" selected="0">
            <x v="0"/>
          </reference>
          <reference field="5" count="1" selected="0">
            <x v="182"/>
          </reference>
          <reference field="6" count="1" selected="0">
            <x v="9"/>
          </reference>
          <reference field="9" count="1" selected="0">
            <x v="10"/>
          </reference>
          <reference field="11" count="1" selected="0">
            <x v="14"/>
          </reference>
          <reference field="12" count="1" selected="0">
            <x v="10"/>
          </reference>
          <reference field="13" count="1" selected="0">
            <x v="3"/>
          </reference>
          <reference field="14" count="1" selected="0">
            <x v="12"/>
          </reference>
          <reference field="15" count="1">
            <x v="14"/>
          </reference>
        </references>
      </pivotArea>
    </format>
    <format dxfId="8701">
      <pivotArea dataOnly="0" labelOnly="1" outline="0" fieldPosition="0">
        <references count="11">
          <reference field="1" count="0" selected="0"/>
          <reference field="3" count="1" selected="0">
            <x v="6"/>
          </reference>
          <reference field="4" count="1" selected="0">
            <x v="0"/>
          </reference>
          <reference field="5" count="1" selected="0">
            <x v="189"/>
          </reference>
          <reference field="6" count="1" selected="0">
            <x v="9"/>
          </reference>
          <reference field="9" count="1" selected="0">
            <x v="10"/>
          </reference>
          <reference field="11" count="1" selected="0">
            <x v="32"/>
          </reference>
          <reference field="12" count="1" selected="0">
            <x v="8"/>
          </reference>
          <reference field="13" count="1" selected="0">
            <x v="3"/>
          </reference>
          <reference field="14" count="1" selected="0">
            <x v="52"/>
          </reference>
          <reference field="15" count="1">
            <x v="10"/>
          </reference>
        </references>
      </pivotArea>
    </format>
    <format dxfId="8700">
      <pivotArea dataOnly="0" labelOnly="1" outline="0" fieldPosition="0">
        <references count="11">
          <reference field="1" count="0" selected="0"/>
          <reference field="3" count="1" selected="0">
            <x v="6"/>
          </reference>
          <reference field="4" count="1" selected="0">
            <x v="0"/>
          </reference>
          <reference field="5" count="1" selected="0">
            <x v="190"/>
          </reference>
          <reference field="6" count="1" selected="0">
            <x v="9"/>
          </reference>
          <reference field="9" count="1" selected="0">
            <x v="10"/>
          </reference>
          <reference field="11" count="1" selected="0">
            <x v="44"/>
          </reference>
          <reference field="12" count="1" selected="0">
            <x v="8"/>
          </reference>
          <reference field="13" count="1" selected="0">
            <x v="3"/>
          </reference>
          <reference field="14" count="1" selected="0">
            <x v="33"/>
          </reference>
          <reference field="15" count="1">
            <x v="14"/>
          </reference>
        </references>
      </pivotArea>
    </format>
    <format dxfId="8699">
      <pivotArea dataOnly="0" labelOnly="1" outline="0" fieldPosition="0">
        <references count="11">
          <reference field="1" count="0" selected="0"/>
          <reference field="3" count="1" selected="0">
            <x v="6"/>
          </reference>
          <reference field="4" count="1" selected="0">
            <x v="0"/>
          </reference>
          <reference field="5" count="1" selected="0">
            <x v="343"/>
          </reference>
          <reference field="6" count="1" selected="0">
            <x v="9"/>
          </reference>
          <reference field="9" count="1" selected="0">
            <x v="10"/>
          </reference>
          <reference field="11" count="1" selected="0">
            <x v="52"/>
          </reference>
          <reference field="12" count="1" selected="0">
            <x v="8"/>
          </reference>
          <reference field="13" count="1" selected="0">
            <x v="5"/>
          </reference>
          <reference field="14" count="1" selected="0">
            <x v="45"/>
          </reference>
          <reference field="15" count="1">
            <x v="55"/>
          </reference>
        </references>
      </pivotArea>
    </format>
    <format dxfId="8698">
      <pivotArea dataOnly="0" labelOnly="1" outline="0" fieldPosition="0">
        <references count="11">
          <reference field="1" count="0" selected="0"/>
          <reference field="3" count="1" selected="0">
            <x v="8"/>
          </reference>
          <reference field="4" count="1" selected="0">
            <x v="3"/>
          </reference>
          <reference field="5" count="1" selected="0">
            <x v="135"/>
          </reference>
          <reference field="6" count="1" selected="0">
            <x v="3"/>
          </reference>
          <reference field="9" count="1" selected="0">
            <x v="10"/>
          </reference>
          <reference field="11" count="1" selected="0">
            <x v="37"/>
          </reference>
          <reference field="12" count="1" selected="0">
            <x v="2"/>
          </reference>
          <reference field="13" count="1" selected="0">
            <x v="3"/>
          </reference>
          <reference field="14" count="1" selected="0">
            <x v="17"/>
          </reference>
          <reference field="15" count="1">
            <x v="47"/>
          </reference>
        </references>
      </pivotArea>
    </format>
    <format dxfId="8697">
      <pivotArea dataOnly="0" labelOnly="1" outline="0" fieldPosition="0">
        <references count="11">
          <reference field="1" count="0" selected="0"/>
          <reference field="3" count="1" selected="0">
            <x v="9"/>
          </reference>
          <reference field="4" count="1" selected="0">
            <x v="6"/>
          </reference>
          <reference field="5" count="1" selected="0">
            <x v="212"/>
          </reference>
          <reference field="6" count="1" selected="0">
            <x v="5"/>
          </reference>
          <reference field="9" count="1" selected="0">
            <x v="10"/>
          </reference>
          <reference field="11" count="1" selected="0">
            <x v="16"/>
          </reference>
          <reference field="12" count="1" selected="0">
            <x v="8"/>
          </reference>
          <reference field="13" count="1" selected="0">
            <x v="3"/>
          </reference>
          <reference field="14" count="1" selected="0">
            <x v="17"/>
          </reference>
          <reference field="15" count="1">
            <x v="30"/>
          </reference>
        </references>
      </pivotArea>
    </format>
    <format dxfId="8696">
      <pivotArea outline="0" fieldPosition="0">
        <references count="2">
          <reference field="1" count="0" selected="0"/>
          <reference field="3" count="6" selected="0">
            <x v="2"/>
            <x v="3"/>
            <x v="4"/>
            <x v="6"/>
            <x v="8"/>
            <x v="9"/>
          </reference>
        </references>
      </pivotArea>
    </format>
    <format dxfId="8695">
      <pivotArea dataOnly="0" labelOnly="1" outline="0" fieldPosition="0">
        <references count="3">
          <reference field="1" count="0" selected="0"/>
          <reference field="3" count="1" selected="0">
            <x v="3"/>
          </reference>
          <reference field="5" count="3">
            <x v="198"/>
            <x v="199"/>
            <x v="208"/>
          </reference>
        </references>
      </pivotArea>
    </format>
    <format dxfId="8694">
      <pivotArea dataOnly="0" labelOnly="1" outline="0" fieldPosition="0">
        <references count="3">
          <reference field="1" count="0" selected="0"/>
          <reference field="3" count="1" selected="0">
            <x v="4"/>
          </reference>
          <reference field="5" count="6">
            <x v="96"/>
            <x v="105"/>
            <x v="112"/>
            <x v="218"/>
            <x v="326"/>
            <x v="330"/>
          </reference>
        </references>
      </pivotArea>
    </format>
    <format dxfId="8693">
      <pivotArea dataOnly="0" labelOnly="1" outline="0" fieldPosition="0">
        <references count="3">
          <reference field="1" count="0" selected="0"/>
          <reference field="3" count="1" selected="0">
            <x v="6"/>
          </reference>
          <reference field="5" count="10">
            <x v="120"/>
            <x v="121"/>
            <x v="160"/>
            <x v="175"/>
            <x v="176"/>
            <x v="184"/>
            <x v="185"/>
            <x v="349"/>
            <x v="351"/>
            <x v="352"/>
          </reference>
        </references>
      </pivotArea>
    </format>
    <format dxfId="8692">
      <pivotArea dataOnly="0" labelOnly="1" outline="0" fieldPosition="0">
        <references count="3">
          <reference field="1" count="0" selected="0"/>
          <reference field="3" count="1" selected="0">
            <x v="8"/>
          </reference>
          <reference field="5" count="2">
            <x v="133"/>
            <x v="353"/>
          </reference>
        </references>
      </pivotArea>
    </format>
    <format dxfId="8691">
      <pivotArea dataOnly="0" labelOnly="1" outline="0" fieldPosition="0">
        <references count="3">
          <reference field="1" count="0" selected="0"/>
          <reference field="3" count="1" selected="0">
            <x v="9"/>
          </reference>
          <reference field="5" count="2">
            <x v="163"/>
            <x v="211"/>
          </reference>
        </references>
      </pivotArea>
    </format>
    <format dxfId="8690">
      <pivotArea dataOnly="0" labelOnly="1" outline="0" fieldPosition="0">
        <references count="4">
          <reference field="1" count="0" selected="0"/>
          <reference field="3" count="1" selected="0">
            <x v="6"/>
          </reference>
          <reference field="5" count="1" selected="0">
            <x v="120"/>
          </reference>
          <reference field="6" count="1">
            <x v="9"/>
          </reference>
        </references>
      </pivotArea>
    </format>
    <format dxfId="8689">
      <pivotArea dataOnly="0" labelOnly="1" outline="0" fieldPosition="0">
        <references count="5">
          <reference field="1" count="0" selected="0"/>
          <reference field="3" count="1" selected="0">
            <x v="6"/>
          </reference>
          <reference field="4" count="1">
            <x v="0"/>
          </reference>
          <reference field="5" count="1" selected="0">
            <x v="120"/>
          </reference>
          <reference field="6" count="1" selected="0">
            <x v="9"/>
          </reference>
        </references>
      </pivotArea>
    </format>
    <format dxfId="8688">
      <pivotArea dataOnly="0" labelOnly="1" outline="0" fieldPosition="0">
        <references count="6">
          <reference field="1" count="0" selected="0"/>
          <reference field="3" count="1" selected="0">
            <x v="3"/>
          </reference>
          <reference field="4" count="1" selected="0">
            <x v="1"/>
          </reference>
          <reference field="5" count="1" selected="0">
            <x v="198"/>
          </reference>
          <reference field="6" count="1" selected="0">
            <x v="2"/>
          </reference>
          <reference field="9" count="1">
            <x v="10"/>
          </reference>
        </references>
      </pivotArea>
    </format>
    <format dxfId="8687">
      <pivotArea dataOnly="0" labelOnly="1" outline="0" fieldPosition="0">
        <references count="6">
          <reference field="1" count="0" selected="0"/>
          <reference field="3" count="1" selected="0">
            <x v="4"/>
          </reference>
          <reference field="4" count="1" selected="0">
            <x v="1"/>
          </reference>
          <reference field="5" count="1" selected="0">
            <x v="105"/>
          </reference>
          <reference field="6" count="1" selected="0">
            <x v="2"/>
          </reference>
          <reference field="9" count="1">
            <x v="2"/>
          </reference>
        </references>
      </pivotArea>
    </format>
    <format dxfId="8686">
      <pivotArea dataOnly="0" labelOnly="1" outline="0" fieldPosition="0">
        <references count="6">
          <reference field="1" count="0" selected="0"/>
          <reference field="3" count="1" selected="0">
            <x v="4"/>
          </reference>
          <reference field="4" count="1" selected="0">
            <x v="1"/>
          </reference>
          <reference field="5" count="1" selected="0">
            <x v="112"/>
          </reference>
          <reference field="6" count="1" selected="0">
            <x v="2"/>
          </reference>
          <reference field="9" count="1">
            <x v="10"/>
          </reference>
        </references>
      </pivotArea>
    </format>
    <format dxfId="8685">
      <pivotArea dataOnly="0" labelOnly="1" outline="0" fieldPosition="0">
        <references count="6">
          <reference field="1" count="0" selected="0"/>
          <reference field="3" count="1" selected="0">
            <x v="4"/>
          </reference>
          <reference field="4" count="1" selected="0">
            <x v="1"/>
          </reference>
          <reference field="5" count="1" selected="0">
            <x v="326"/>
          </reference>
          <reference field="6" count="1" selected="0">
            <x v="2"/>
          </reference>
          <reference field="9" count="1">
            <x v="2"/>
          </reference>
        </references>
      </pivotArea>
    </format>
    <format dxfId="8684">
      <pivotArea dataOnly="0" labelOnly="1" outline="0" fieldPosition="0">
        <references count="6">
          <reference field="1" count="0" selected="0"/>
          <reference field="3" count="1" selected="0">
            <x v="9"/>
          </reference>
          <reference field="4" count="1" selected="0">
            <x v="6"/>
          </reference>
          <reference field="5" count="1" selected="0">
            <x v="211"/>
          </reference>
          <reference field="6" count="1" selected="0">
            <x v="5"/>
          </reference>
          <reference field="9" count="1">
            <x v="10"/>
          </reference>
        </references>
      </pivotArea>
    </format>
    <format dxfId="8683">
      <pivotArea dataOnly="0" labelOnly="1" outline="0" fieldPosition="0">
        <references count="7">
          <reference field="1" count="0" selected="0"/>
          <reference field="3" count="1" selected="0">
            <x v="3"/>
          </reference>
          <reference field="4" count="1" selected="0">
            <x v="1"/>
          </reference>
          <reference field="5" count="1" selected="0">
            <x v="208"/>
          </reference>
          <reference field="6" count="1" selected="0">
            <x v="2"/>
          </reference>
          <reference field="9" count="1" selected="0">
            <x v="10"/>
          </reference>
          <reference field="11" count="1">
            <x v="1"/>
          </reference>
        </references>
      </pivotArea>
    </format>
    <format dxfId="8682">
      <pivotArea dataOnly="0" labelOnly="1" outline="0" fieldPosition="0">
        <references count="7">
          <reference field="1" count="0" selected="0"/>
          <reference field="3" count="1" selected="0">
            <x v="4"/>
          </reference>
          <reference field="4" count="1" selected="0">
            <x v="1"/>
          </reference>
          <reference field="5" count="1" selected="0">
            <x v="218"/>
          </reference>
          <reference field="6" count="1" selected="0">
            <x v="2"/>
          </reference>
          <reference field="9" count="1" selected="0">
            <x v="10"/>
          </reference>
          <reference field="11" count="1">
            <x v="14"/>
          </reference>
        </references>
      </pivotArea>
    </format>
    <format dxfId="8681">
      <pivotArea dataOnly="0" labelOnly="1" outline="0" fieldPosition="0">
        <references count="7">
          <reference field="1" count="0" selected="0"/>
          <reference field="3" count="1" selected="0">
            <x v="4"/>
          </reference>
          <reference field="4" count="1" selected="0">
            <x v="1"/>
          </reference>
          <reference field="5" count="1" selected="0">
            <x v="326"/>
          </reference>
          <reference field="6" count="1" selected="0">
            <x v="2"/>
          </reference>
          <reference field="9" count="1" selected="0">
            <x v="2"/>
          </reference>
          <reference field="11" count="1">
            <x v="29"/>
          </reference>
        </references>
      </pivotArea>
    </format>
    <format dxfId="8680">
      <pivotArea dataOnly="0" labelOnly="1" outline="0" fieldPosition="0">
        <references count="7">
          <reference field="1" count="0" selected="0"/>
          <reference field="3" count="1" selected="0">
            <x v="6"/>
          </reference>
          <reference field="4" count="1" selected="0">
            <x v="0"/>
          </reference>
          <reference field="5" count="1" selected="0">
            <x v="175"/>
          </reference>
          <reference field="6" count="1" selected="0">
            <x v="9"/>
          </reference>
          <reference field="9" count="1" selected="0">
            <x v="10"/>
          </reference>
          <reference field="11" count="1">
            <x v="14"/>
          </reference>
        </references>
      </pivotArea>
    </format>
    <format dxfId="8679">
      <pivotArea dataOnly="0" labelOnly="1" outline="0" fieldPosition="0">
        <references count="7">
          <reference field="1" count="0" selected="0"/>
          <reference field="3" count="1" selected="0">
            <x v="6"/>
          </reference>
          <reference field="4" count="1" selected="0">
            <x v="0"/>
          </reference>
          <reference field="5" count="1" selected="0">
            <x v="185"/>
          </reference>
          <reference field="6" count="1" selected="0">
            <x v="9"/>
          </reference>
          <reference field="9" count="1" selected="0">
            <x v="10"/>
          </reference>
          <reference field="11" count="1">
            <x v="14"/>
          </reference>
        </references>
      </pivotArea>
    </format>
    <format dxfId="8678">
      <pivotArea dataOnly="0" labelOnly="1" outline="0" fieldPosition="0">
        <references count="7">
          <reference field="1" count="0" selected="0"/>
          <reference field="3" count="1" selected="0">
            <x v="9"/>
          </reference>
          <reference field="4" count="1" selected="0">
            <x v="6"/>
          </reference>
          <reference field="5" count="1" selected="0">
            <x v="211"/>
          </reference>
          <reference field="6" count="1" selected="0">
            <x v="5"/>
          </reference>
          <reference field="9" count="1" selected="0">
            <x v="10"/>
          </reference>
          <reference field="11" count="1">
            <x v="9"/>
          </reference>
        </references>
      </pivotArea>
    </format>
    <format dxfId="8677">
      <pivotArea dataOnly="0" labelOnly="1" outline="0" fieldPosition="0">
        <references count="8">
          <reference field="1" count="0" selected="0"/>
          <reference field="3" count="1" selected="0">
            <x v="3"/>
          </reference>
          <reference field="4" count="1" selected="0">
            <x v="1"/>
          </reference>
          <reference field="5" count="1" selected="0">
            <x v="208"/>
          </reference>
          <reference field="6" count="1" selected="0">
            <x v="2"/>
          </reference>
          <reference field="9" count="1" selected="0">
            <x v="10"/>
          </reference>
          <reference field="11" count="1" selected="0">
            <x v="1"/>
          </reference>
          <reference field="12" count="1">
            <x v="8"/>
          </reference>
        </references>
      </pivotArea>
    </format>
    <format dxfId="8676">
      <pivotArea dataOnly="0" labelOnly="1" outline="0" fieldPosition="0">
        <references count="8">
          <reference field="1" count="0" selected="0"/>
          <reference field="3" count="1" selected="0">
            <x v="4"/>
          </reference>
          <reference field="4" count="1" selected="0">
            <x v="1"/>
          </reference>
          <reference field="5" count="1" selected="0">
            <x v="326"/>
          </reference>
          <reference field="6" count="1" selected="0">
            <x v="2"/>
          </reference>
          <reference field="9" count="1" selected="0">
            <x v="2"/>
          </reference>
          <reference field="11" count="1" selected="0">
            <x v="29"/>
          </reference>
          <reference field="12" count="1">
            <x v="6"/>
          </reference>
        </references>
      </pivotArea>
    </format>
    <format dxfId="8675">
      <pivotArea dataOnly="0" labelOnly="1" outline="0" fieldPosition="0">
        <references count="8">
          <reference field="1" count="0" selected="0"/>
          <reference field="3" count="1" selected="0">
            <x v="4"/>
          </reference>
          <reference field="4" count="1" selected="0">
            <x v="1"/>
          </reference>
          <reference field="5" count="1" selected="0">
            <x v="330"/>
          </reference>
          <reference field="6" count="1" selected="0">
            <x v="2"/>
          </reference>
          <reference field="9" count="1" selected="0">
            <x v="10"/>
          </reference>
          <reference field="11" count="1" selected="0">
            <x v="18"/>
          </reference>
          <reference field="12" count="1">
            <x v="8"/>
          </reference>
        </references>
      </pivotArea>
    </format>
    <format dxfId="8674">
      <pivotArea dataOnly="0" labelOnly="1" outline="0" fieldPosition="0">
        <references count="8">
          <reference field="1" count="0" selected="0"/>
          <reference field="3" count="1" selected="0">
            <x v="6"/>
          </reference>
          <reference field="4" count="1" selected="0">
            <x v="0"/>
          </reference>
          <reference field="5" count="1" selected="0">
            <x v="175"/>
          </reference>
          <reference field="6" count="1" selected="0">
            <x v="9"/>
          </reference>
          <reference field="9" count="1" selected="0">
            <x v="10"/>
          </reference>
          <reference field="11" count="1" selected="0">
            <x v="14"/>
          </reference>
          <reference field="12" count="1">
            <x v="15"/>
          </reference>
        </references>
      </pivotArea>
    </format>
    <format dxfId="8673">
      <pivotArea dataOnly="0" labelOnly="1" outline="0" fieldPosition="0">
        <references count="8">
          <reference field="1" count="0" selected="0"/>
          <reference field="3" count="1" selected="0">
            <x v="9"/>
          </reference>
          <reference field="4" count="1" selected="0">
            <x v="6"/>
          </reference>
          <reference field="5" count="1" selected="0">
            <x v="211"/>
          </reference>
          <reference field="6" count="1" selected="0">
            <x v="5"/>
          </reference>
          <reference field="9" count="1" selected="0">
            <x v="10"/>
          </reference>
          <reference field="11" count="1" selected="0">
            <x v="9"/>
          </reference>
          <reference field="12" count="1">
            <x v="22"/>
          </reference>
        </references>
      </pivotArea>
    </format>
    <format dxfId="8672">
      <pivotArea dataOnly="0" labelOnly="1" outline="0" fieldPosition="0">
        <references count="9">
          <reference field="1" count="0" selected="0"/>
          <reference field="3" count="1" selected="0">
            <x v="3"/>
          </reference>
          <reference field="4" count="1" selected="0">
            <x v="1"/>
          </reference>
          <reference field="5" count="1" selected="0">
            <x v="199"/>
          </reference>
          <reference field="6" count="1" selected="0">
            <x v="2"/>
          </reference>
          <reference field="9" count="1" selected="0">
            <x v="10"/>
          </reference>
          <reference field="11" count="1" selected="0">
            <x v="5"/>
          </reference>
          <reference field="12" count="1" selected="0">
            <x v="25"/>
          </reference>
          <reference field="13" count="1">
            <x v="3"/>
          </reference>
        </references>
      </pivotArea>
    </format>
    <format dxfId="8671">
      <pivotArea dataOnly="0" labelOnly="1" outline="0" fieldPosition="0">
        <references count="9">
          <reference field="1" count="0" selected="0"/>
          <reference field="3" count="1" selected="0">
            <x v="6"/>
          </reference>
          <reference field="4" count="1" selected="0">
            <x v="0"/>
          </reference>
          <reference field="5" count="1" selected="0">
            <x v="160"/>
          </reference>
          <reference field="6" count="1" selected="0">
            <x v="9"/>
          </reference>
          <reference field="9" count="1" selected="0">
            <x v="10"/>
          </reference>
          <reference field="11" count="1" selected="0">
            <x v="40"/>
          </reference>
          <reference field="12" count="1" selected="0">
            <x v="8"/>
          </reference>
          <reference field="13" count="1">
            <x v="3"/>
          </reference>
        </references>
      </pivotArea>
    </format>
    <format dxfId="8670">
      <pivotArea dataOnly="0" labelOnly="1" outline="0" fieldPosition="0">
        <references count="10">
          <reference field="1" count="0" selected="0"/>
          <reference field="3" count="1" selected="0">
            <x v="4"/>
          </reference>
          <reference field="4" count="1" selected="0">
            <x v="1"/>
          </reference>
          <reference field="5" count="1" selected="0">
            <x v="218"/>
          </reference>
          <reference field="6" count="1" selected="0">
            <x v="2"/>
          </reference>
          <reference field="9" count="1" selected="0">
            <x v="10"/>
          </reference>
          <reference field="11" count="1" selected="0">
            <x v="14"/>
          </reference>
          <reference field="12" count="1" selected="0">
            <x v="8"/>
          </reference>
          <reference field="13" count="1" selected="0">
            <x v="3"/>
          </reference>
          <reference field="14" count="1">
            <x v="17"/>
          </reference>
        </references>
      </pivotArea>
    </format>
    <format dxfId="8669">
      <pivotArea dataOnly="0" labelOnly="1" outline="0" fieldPosition="0">
        <references count="10">
          <reference field="1" count="0" selected="0"/>
          <reference field="3" count="1" selected="0">
            <x v="4"/>
          </reference>
          <reference field="4" count="1" selected="0">
            <x v="1"/>
          </reference>
          <reference field="5" count="1" selected="0">
            <x v="326"/>
          </reference>
          <reference field="6" count="1" selected="0">
            <x v="2"/>
          </reference>
          <reference field="9" count="1" selected="0">
            <x v="2"/>
          </reference>
          <reference field="11" count="1" selected="0">
            <x v="29"/>
          </reference>
          <reference field="12" count="1" selected="0">
            <x v="6"/>
          </reference>
          <reference field="13" count="1" selected="0">
            <x v="3"/>
          </reference>
          <reference field="14" count="1">
            <x v="34"/>
          </reference>
        </references>
      </pivotArea>
    </format>
    <format dxfId="8668">
      <pivotArea dataOnly="0" labelOnly="1" outline="0" fieldPosition="0">
        <references count="10">
          <reference field="1" count="0" selected="0"/>
          <reference field="3" count="1" selected="0">
            <x v="6"/>
          </reference>
          <reference field="4" count="1" selected="0">
            <x v="0"/>
          </reference>
          <reference field="5" count="1" selected="0">
            <x v="175"/>
          </reference>
          <reference field="6" count="1" selected="0">
            <x v="9"/>
          </reference>
          <reference field="9" count="1" selected="0">
            <x v="10"/>
          </reference>
          <reference field="11" count="1" selected="0">
            <x v="14"/>
          </reference>
          <reference field="12" count="1" selected="0">
            <x v="15"/>
          </reference>
          <reference field="13" count="1" selected="0">
            <x v="3"/>
          </reference>
          <reference field="14" count="1">
            <x v="15"/>
          </reference>
        </references>
      </pivotArea>
    </format>
    <format dxfId="8667">
      <pivotArea dataOnly="0" labelOnly="1" outline="0" fieldPosition="0">
        <references count="10">
          <reference field="1" count="0" selected="0"/>
          <reference field="3" count="1" selected="0">
            <x v="9"/>
          </reference>
          <reference field="4" count="1" selected="0">
            <x v="6"/>
          </reference>
          <reference field="5" count="1" selected="0">
            <x v="211"/>
          </reference>
          <reference field="6" count="1" selected="0">
            <x v="5"/>
          </reference>
          <reference field="9" count="1" selected="0">
            <x v="10"/>
          </reference>
          <reference field="11" count="1" selected="0">
            <x v="9"/>
          </reference>
          <reference field="12" count="1" selected="0">
            <x v="22"/>
          </reference>
          <reference field="13" count="1" selected="0">
            <x v="3"/>
          </reference>
          <reference field="14" count="1">
            <x v="17"/>
          </reference>
        </references>
      </pivotArea>
    </format>
    <format dxfId="8666">
      <pivotArea dataOnly="0" labelOnly="1" outline="0" fieldPosition="0">
        <references count="11">
          <reference field="1" count="0" selected="0"/>
          <reference field="3" count="1" selected="0">
            <x v="4"/>
          </reference>
          <reference field="4" count="1" selected="0">
            <x v="1"/>
          </reference>
          <reference field="5" count="1" selected="0">
            <x v="218"/>
          </reference>
          <reference field="6" count="1" selected="0">
            <x v="2"/>
          </reference>
          <reference field="9" count="1" selected="0">
            <x v="10"/>
          </reference>
          <reference field="11" count="1" selected="0">
            <x v="14"/>
          </reference>
          <reference field="12" count="1" selected="0">
            <x v="8"/>
          </reference>
          <reference field="13" count="1" selected="0">
            <x v="3"/>
          </reference>
          <reference field="14" count="1" selected="0">
            <x v="17"/>
          </reference>
          <reference field="15" count="1">
            <x v="22"/>
          </reference>
        </references>
      </pivotArea>
    </format>
    <format dxfId="8665">
      <pivotArea dataOnly="0" labelOnly="1" outline="0" fieldPosition="0">
        <references count="11">
          <reference field="1" count="0" selected="0"/>
          <reference field="3" count="1" selected="0">
            <x v="4"/>
          </reference>
          <reference field="4" count="1" selected="0">
            <x v="1"/>
          </reference>
          <reference field="5" count="1" selected="0">
            <x v="326"/>
          </reference>
          <reference field="6" count="1" selected="0">
            <x v="2"/>
          </reference>
          <reference field="9" count="1" selected="0">
            <x v="2"/>
          </reference>
          <reference field="11" count="1" selected="0">
            <x v="29"/>
          </reference>
          <reference field="12" count="1" selected="0">
            <x v="6"/>
          </reference>
          <reference field="13" count="1" selected="0">
            <x v="3"/>
          </reference>
          <reference field="14" count="1" selected="0">
            <x v="34"/>
          </reference>
          <reference field="15" count="1">
            <x v="14"/>
          </reference>
        </references>
      </pivotArea>
    </format>
    <format dxfId="8664">
      <pivotArea dataOnly="0" labelOnly="1" outline="0" fieldPosition="0">
        <references count="11">
          <reference field="1" count="0" selected="0"/>
          <reference field="3" count="1" selected="0">
            <x v="6"/>
          </reference>
          <reference field="4" count="1" selected="0">
            <x v="0"/>
          </reference>
          <reference field="5" count="1" selected="0">
            <x v="175"/>
          </reference>
          <reference field="6" count="1" selected="0">
            <x v="9"/>
          </reference>
          <reference field="9" count="1" selected="0">
            <x v="10"/>
          </reference>
          <reference field="11" count="1" selected="0">
            <x v="14"/>
          </reference>
          <reference field="12" count="1" selected="0">
            <x v="15"/>
          </reference>
          <reference field="13" count="1" selected="0">
            <x v="3"/>
          </reference>
          <reference field="14" count="1" selected="0">
            <x v="15"/>
          </reference>
          <reference field="15" count="1">
            <x v="38"/>
          </reference>
        </references>
      </pivotArea>
    </format>
    <format dxfId="8663">
      <pivotArea dataOnly="0" labelOnly="1" outline="0" fieldPosition="0">
        <references count="11">
          <reference field="1" count="0" selected="0"/>
          <reference field="3" count="1" selected="0">
            <x v="9"/>
          </reference>
          <reference field="4" count="1" selected="0">
            <x v="6"/>
          </reference>
          <reference field="5" count="1" selected="0">
            <x v="211"/>
          </reference>
          <reference field="6" count="1" selected="0">
            <x v="5"/>
          </reference>
          <reference field="9" count="1" selected="0">
            <x v="10"/>
          </reference>
          <reference field="11" count="1" selected="0">
            <x v="9"/>
          </reference>
          <reference field="12" count="1" selected="0">
            <x v="22"/>
          </reference>
          <reference field="13" count="1" selected="0">
            <x v="3"/>
          </reference>
          <reference field="14" count="1" selected="0">
            <x v="17"/>
          </reference>
          <reference field="15" count="1">
            <x v="44"/>
          </reference>
        </references>
      </pivotArea>
    </format>
    <format dxfId="8662">
      <pivotArea dataOnly="0" labelOnly="1" outline="0" fieldPosition="0">
        <references count="2">
          <reference field="1" count="0" selected="0"/>
          <reference field="3" count="6">
            <x v="2"/>
            <x v="3"/>
            <x v="4"/>
            <x v="6"/>
            <x v="8"/>
            <x v="9"/>
          </reference>
        </references>
      </pivotArea>
    </format>
    <format dxfId="8661">
      <pivotArea dataOnly="0" labelOnly="1" outline="0" fieldPosition="0">
        <references count="3">
          <reference field="1" count="0" selected="0"/>
          <reference field="3" count="1" selected="0">
            <x v="2"/>
          </reference>
          <reference field="5" count="1">
            <x v="341"/>
          </reference>
        </references>
      </pivotArea>
    </format>
    <format dxfId="8660">
      <pivotArea dataOnly="0" labelOnly="1" outline="0" fieldPosition="0">
        <references count="3">
          <reference field="1" count="0" selected="0"/>
          <reference field="3" count="1" selected="0">
            <x v="3"/>
          </reference>
          <reference field="5" count="3">
            <x v="195"/>
            <x v="198"/>
            <x v="203"/>
          </reference>
        </references>
      </pivotArea>
    </format>
    <format dxfId="8659">
      <pivotArea dataOnly="0" labelOnly="1" outline="0" fieldPosition="0">
        <references count="3">
          <reference field="1" count="0" selected="0"/>
          <reference field="3" count="1" selected="0">
            <x v="4"/>
          </reference>
          <reference field="5" count="7">
            <x v="98"/>
            <x v="101"/>
            <x v="112"/>
            <x v="118"/>
            <x v="215"/>
            <x v="330"/>
            <x v="346"/>
          </reference>
        </references>
      </pivotArea>
    </format>
    <format dxfId="8658">
      <pivotArea dataOnly="0" labelOnly="1" outline="0" fieldPosition="0">
        <references count="3">
          <reference field="1" count="0" selected="0"/>
          <reference field="3" count="1" selected="0">
            <x v="6"/>
          </reference>
          <reference field="5" count="15">
            <x v="119"/>
            <x v="124"/>
            <x v="127"/>
            <x v="138"/>
            <x v="147"/>
            <x v="160"/>
            <x v="166"/>
            <x v="173"/>
            <x v="176"/>
            <x v="183"/>
            <x v="188"/>
            <x v="191"/>
            <x v="336"/>
            <x v="342"/>
            <x v="350"/>
          </reference>
        </references>
      </pivotArea>
    </format>
    <format dxfId="8657">
      <pivotArea dataOnly="0" labelOnly="1" outline="0" fieldPosition="0">
        <references count="3">
          <reference field="1" count="0" selected="0"/>
          <reference field="3" count="1" selected="0">
            <x v="8"/>
          </reference>
          <reference field="5" count="2">
            <x v="134"/>
            <x v="137"/>
          </reference>
        </references>
      </pivotArea>
    </format>
    <format dxfId="8656">
      <pivotArea dataOnly="0" labelOnly="1" outline="0" fieldPosition="0">
        <references count="3">
          <reference field="1" count="0" selected="0"/>
          <reference field="3" count="1" selected="0">
            <x v="9"/>
          </reference>
          <reference field="5" count="2">
            <x v="163"/>
            <x v="213"/>
          </reference>
        </references>
      </pivotArea>
    </format>
    <format dxfId="8655">
      <pivotArea dataOnly="0" labelOnly="1" outline="0" fieldPosition="0">
        <references count="4">
          <reference field="1" count="0" selected="0"/>
          <reference field="3" count="1" selected="0">
            <x v="2"/>
          </reference>
          <reference field="5" count="1" selected="0">
            <x v="341"/>
          </reference>
          <reference field="6" count="1">
            <x v="2"/>
          </reference>
        </references>
      </pivotArea>
    </format>
    <format dxfId="8654">
      <pivotArea dataOnly="0" labelOnly="1" outline="0" fieldPosition="0">
        <references count="4">
          <reference field="1" count="0" selected="0"/>
          <reference field="3" count="1" selected="0">
            <x v="6"/>
          </reference>
          <reference field="5" count="1" selected="0">
            <x v="119"/>
          </reference>
          <reference field="6" count="1">
            <x v="9"/>
          </reference>
        </references>
      </pivotArea>
    </format>
    <format dxfId="8653">
      <pivotArea dataOnly="0" labelOnly="1" outline="0" fieldPosition="0">
        <references count="4">
          <reference field="1" count="0" selected="0"/>
          <reference field="3" count="1" selected="0">
            <x v="8"/>
          </reference>
          <reference field="5" count="1" selected="0">
            <x v="134"/>
          </reference>
          <reference field="6" count="1">
            <x v="3"/>
          </reference>
        </references>
      </pivotArea>
    </format>
    <format dxfId="8652">
      <pivotArea dataOnly="0" labelOnly="1" outline="0" fieldPosition="0">
        <references count="4">
          <reference field="1" count="0" selected="0"/>
          <reference field="3" count="1" selected="0">
            <x v="9"/>
          </reference>
          <reference field="5" count="1" selected="0">
            <x v="163"/>
          </reference>
          <reference field="6" count="1">
            <x v="5"/>
          </reference>
        </references>
      </pivotArea>
    </format>
    <format dxfId="8651">
      <pivotArea dataOnly="0" labelOnly="1" outline="0" fieldPosition="0">
        <references count="5">
          <reference field="1" count="0" selected="0"/>
          <reference field="3" count="1" selected="0">
            <x v="2"/>
          </reference>
          <reference field="4" count="1">
            <x v="1"/>
          </reference>
          <reference field="5" count="1" selected="0">
            <x v="341"/>
          </reference>
          <reference field="6" count="1" selected="0">
            <x v="2"/>
          </reference>
        </references>
      </pivotArea>
    </format>
    <format dxfId="8650">
      <pivotArea dataOnly="0" labelOnly="1" outline="0" fieldPosition="0">
        <references count="5">
          <reference field="1" count="0" selected="0"/>
          <reference field="3" count="1" selected="0">
            <x v="6"/>
          </reference>
          <reference field="4" count="1">
            <x v="0"/>
          </reference>
          <reference field="5" count="1" selected="0">
            <x v="119"/>
          </reference>
          <reference field="6" count="1" selected="0">
            <x v="9"/>
          </reference>
        </references>
      </pivotArea>
    </format>
    <format dxfId="8649">
      <pivotArea dataOnly="0" labelOnly="1" outline="0" fieldPosition="0">
        <references count="5">
          <reference field="1" count="0" selected="0"/>
          <reference field="3" count="1" selected="0">
            <x v="8"/>
          </reference>
          <reference field="4" count="1">
            <x v="3"/>
          </reference>
          <reference field="5" count="1" selected="0">
            <x v="134"/>
          </reference>
          <reference field="6" count="1" selected="0">
            <x v="3"/>
          </reference>
        </references>
      </pivotArea>
    </format>
    <format dxfId="8648">
      <pivotArea dataOnly="0" labelOnly="1" outline="0" fieldPosition="0">
        <references count="5">
          <reference field="1" count="0" selected="0"/>
          <reference field="3" count="1" selected="0">
            <x v="9"/>
          </reference>
          <reference field="4" count="1">
            <x v="6"/>
          </reference>
          <reference field="5" count="1" selected="0">
            <x v="163"/>
          </reference>
          <reference field="6" count="1" selected="0">
            <x v="5"/>
          </reference>
        </references>
      </pivotArea>
    </format>
    <format dxfId="8647">
      <pivotArea dataOnly="0" labelOnly="1" outline="0" fieldPosition="0">
        <references count="6">
          <reference field="1" count="0" selected="0"/>
          <reference field="3" count="1" selected="0">
            <x v="2"/>
          </reference>
          <reference field="4" count="1" selected="0">
            <x v="1"/>
          </reference>
          <reference field="5" count="1" selected="0">
            <x v="341"/>
          </reference>
          <reference field="6" count="1" selected="0">
            <x v="2"/>
          </reference>
          <reference field="9" count="1">
            <x v="4"/>
          </reference>
        </references>
      </pivotArea>
    </format>
    <format dxfId="8646">
      <pivotArea dataOnly="0" labelOnly="1" outline="0" fieldPosition="0">
        <references count="6">
          <reference field="1" count="0" selected="0"/>
          <reference field="3" count="1" selected="0">
            <x v="3"/>
          </reference>
          <reference field="4" count="1" selected="0">
            <x v="1"/>
          </reference>
          <reference field="5" count="1" selected="0">
            <x v="195"/>
          </reference>
          <reference field="6" count="1" selected="0">
            <x v="2"/>
          </reference>
          <reference field="9" count="1">
            <x v="10"/>
          </reference>
        </references>
      </pivotArea>
    </format>
    <format dxfId="8645">
      <pivotArea dataOnly="0" labelOnly="1" outline="0" fieldPosition="0">
        <references count="6">
          <reference field="1" count="0" selected="0"/>
          <reference field="3" count="1" selected="0">
            <x v="4"/>
          </reference>
          <reference field="4" count="1" selected="0">
            <x v="1"/>
          </reference>
          <reference field="5" count="1" selected="0">
            <x v="215"/>
          </reference>
          <reference field="6" count="1" selected="0">
            <x v="2"/>
          </reference>
          <reference field="9" count="1">
            <x v="4"/>
          </reference>
        </references>
      </pivotArea>
    </format>
    <format dxfId="8644">
      <pivotArea dataOnly="0" labelOnly="1" outline="0" fieldPosition="0">
        <references count="6">
          <reference field="1" count="0" selected="0"/>
          <reference field="3" count="1" selected="0">
            <x v="4"/>
          </reference>
          <reference field="4" count="1" selected="0">
            <x v="1"/>
          </reference>
          <reference field="5" count="1" selected="0">
            <x v="330"/>
          </reference>
          <reference field="6" count="1" selected="0">
            <x v="2"/>
          </reference>
          <reference field="9" count="1">
            <x v="10"/>
          </reference>
        </references>
      </pivotArea>
    </format>
    <format dxfId="8643">
      <pivotArea dataOnly="0" labelOnly="1" outline="0" fieldPosition="0">
        <references count="6">
          <reference field="1" count="0" selected="0"/>
          <reference field="3" count="1" selected="0">
            <x v="9"/>
          </reference>
          <reference field="4" count="1" selected="0">
            <x v="6"/>
          </reference>
          <reference field="5" count="1" selected="0">
            <x v="163"/>
          </reference>
          <reference field="6" count="1" selected="0">
            <x v="5"/>
          </reference>
          <reference field="9" count="1">
            <x v="7"/>
          </reference>
        </references>
      </pivotArea>
    </format>
    <format dxfId="8642">
      <pivotArea dataOnly="0" labelOnly="1" outline="0" fieldPosition="0">
        <references count="6">
          <reference field="1" count="0" selected="0"/>
          <reference field="3" count="1" selected="0">
            <x v="9"/>
          </reference>
          <reference field="4" count="1" selected="0">
            <x v="6"/>
          </reference>
          <reference field="5" count="1" selected="0">
            <x v="213"/>
          </reference>
          <reference field="6" count="1" selected="0">
            <x v="5"/>
          </reference>
          <reference field="9" count="1">
            <x v="10"/>
          </reference>
        </references>
      </pivotArea>
    </format>
    <format dxfId="8641">
      <pivotArea dataOnly="0" labelOnly="1" outline="0" fieldPosition="0">
        <references count="7">
          <reference field="1" count="0" selected="0"/>
          <reference field="3" count="1" selected="0">
            <x v="2"/>
          </reference>
          <reference field="4" count="1" selected="0">
            <x v="1"/>
          </reference>
          <reference field="5" count="1" selected="0">
            <x v="341"/>
          </reference>
          <reference field="6" count="1" selected="0">
            <x v="2"/>
          </reference>
          <reference field="9" count="1" selected="0">
            <x v="4"/>
          </reference>
          <reference field="11" count="1">
            <x v="43"/>
          </reference>
        </references>
      </pivotArea>
    </format>
    <format dxfId="8640">
      <pivotArea dataOnly="0" labelOnly="1" outline="0" fieldPosition="0">
        <references count="7">
          <reference field="1" count="0" selected="0"/>
          <reference field="3" count="1" selected="0">
            <x v="3"/>
          </reference>
          <reference field="4" count="1" selected="0">
            <x v="1"/>
          </reference>
          <reference field="5" count="1" selected="0">
            <x v="195"/>
          </reference>
          <reference field="6" count="1" selected="0">
            <x v="2"/>
          </reference>
          <reference field="9" count="1" selected="0">
            <x v="10"/>
          </reference>
          <reference field="11" count="1">
            <x v="13"/>
          </reference>
        </references>
      </pivotArea>
    </format>
    <format dxfId="8639">
      <pivotArea dataOnly="0" labelOnly="1" outline="0" fieldPosition="0">
        <references count="7">
          <reference field="1" count="0" selected="0"/>
          <reference field="3" count="1" selected="0">
            <x v="3"/>
          </reference>
          <reference field="4" count="1" selected="0">
            <x v="1"/>
          </reference>
          <reference field="5" count="1" selected="0">
            <x v="198"/>
          </reference>
          <reference field="6" count="1" selected="0">
            <x v="2"/>
          </reference>
          <reference field="9" count="1" selected="0">
            <x v="10"/>
          </reference>
          <reference field="11" count="1">
            <x v="14"/>
          </reference>
        </references>
      </pivotArea>
    </format>
    <format dxfId="8638">
      <pivotArea dataOnly="0" labelOnly="1" outline="0" fieldPosition="0">
        <references count="7">
          <reference field="1" count="0" selected="0"/>
          <reference field="3" count="1" selected="0">
            <x v="4"/>
          </reference>
          <reference field="4" count="1" selected="0">
            <x v="1"/>
          </reference>
          <reference field="5" count="1" selected="0">
            <x v="98"/>
          </reference>
          <reference field="6" count="1" selected="0">
            <x v="2"/>
          </reference>
          <reference field="9" count="1" selected="0">
            <x v="10"/>
          </reference>
          <reference field="11" count="1">
            <x v="14"/>
          </reference>
        </references>
      </pivotArea>
    </format>
    <format dxfId="8637">
      <pivotArea dataOnly="0" labelOnly="1" outline="0" fieldPosition="0">
        <references count="7">
          <reference field="1" count="0" selected="0"/>
          <reference field="3" count="1" selected="0">
            <x v="4"/>
          </reference>
          <reference field="4" count="1" selected="0">
            <x v="1"/>
          </reference>
          <reference field="5" count="1" selected="0">
            <x v="101"/>
          </reference>
          <reference field="6" count="1" selected="0">
            <x v="2"/>
          </reference>
          <reference field="9" count="1" selected="0">
            <x v="10"/>
          </reference>
          <reference field="11" count="1">
            <x v="11"/>
          </reference>
        </references>
      </pivotArea>
    </format>
    <format dxfId="8636">
      <pivotArea dataOnly="0" labelOnly="1" outline="0" fieldPosition="0">
        <references count="7">
          <reference field="1" count="0" selected="0"/>
          <reference field="3" count="1" selected="0">
            <x v="4"/>
          </reference>
          <reference field="4" count="1" selected="0">
            <x v="1"/>
          </reference>
          <reference field="5" count="1" selected="0">
            <x v="112"/>
          </reference>
          <reference field="6" count="1" selected="0">
            <x v="2"/>
          </reference>
          <reference field="9" count="1" selected="0">
            <x v="10"/>
          </reference>
          <reference field="11" count="1">
            <x v="33"/>
          </reference>
        </references>
      </pivotArea>
    </format>
    <format dxfId="8635">
      <pivotArea dataOnly="0" labelOnly="1" outline="0" fieldPosition="0">
        <references count="7">
          <reference field="1" count="0" selected="0"/>
          <reference field="3" count="1" selected="0">
            <x v="4"/>
          </reference>
          <reference field="4" count="1" selected="0">
            <x v="1"/>
          </reference>
          <reference field="5" count="1" selected="0">
            <x v="215"/>
          </reference>
          <reference field="6" count="1" selected="0">
            <x v="2"/>
          </reference>
          <reference field="9" count="1" selected="0">
            <x v="4"/>
          </reference>
          <reference field="11" count="1">
            <x v="53"/>
          </reference>
        </references>
      </pivotArea>
    </format>
    <format dxfId="8634">
      <pivotArea dataOnly="0" labelOnly="1" outline="0" fieldPosition="0">
        <references count="7">
          <reference field="1" count="0" selected="0"/>
          <reference field="3" count="1" selected="0">
            <x v="4"/>
          </reference>
          <reference field="4" count="1" selected="0">
            <x v="1"/>
          </reference>
          <reference field="5" count="1" selected="0">
            <x v="330"/>
          </reference>
          <reference field="6" count="1" selected="0">
            <x v="2"/>
          </reference>
          <reference field="9" count="1" selected="0">
            <x v="10"/>
          </reference>
          <reference field="11" count="1">
            <x v="18"/>
          </reference>
        </references>
      </pivotArea>
    </format>
    <format dxfId="8633">
      <pivotArea dataOnly="0" labelOnly="1" outline="0" fieldPosition="0">
        <references count="7">
          <reference field="1" count="0" selected="0"/>
          <reference field="3" count="1" selected="0">
            <x v="4"/>
          </reference>
          <reference field="4" count="1" selected="0">
            <x v="1"/>
          </reference>
          <reference field="5" count="1" selected="0">
            <x v="346"/>
          </reference>
          <reference field="6" count="1" selected="0">
            <x v="2"/>
          </reference>
          <reference field="9" count="1" selected="0">
            <x v="10"/>
          </reference>
          <reference field="11" count="1">
            <x v="14"/>
          </reference>
        </references>
      </pivotArea>
    </format>
    <format dxfId="8632">
      <pivotArea dataOnly="0" labelOnly="1" outline="0" fieldPosition="0">
        <references count="7">
          <reference field="1" count="0" selected="0"/>
          <reference field="3" count="1" selected="0">
            <x v="6"/>
          </reference>
          <reference field="4" count="1" selected="0">
            <x v="0"/>
          </reference>
          <reference field="5" count="1" selected="0">
            <x v="138"/>
          </reference>
          <reference field="6" count="1" selected="0">
            <x v="9"/>
          </reference>
          <reference field="9" count="1" selected="0">
            <x v="10"/>
          </reference>
          <reference field="11" count="1">
            <x v="7"/>
          </reference>
        </references>
      </pivotArea>
    </format>
    <format dxfId="8631">
      <pivotArea dataOnly="0" labelOnly="1" outline="0" fieldPosition="0">
        <references count="7">
          <reference field="1" count="0" selected="0"/>
          <reference field="3" count="1" selected="0">
            <x v="6"/>
          </reference>
          <reference field="4" count="1" selected="0">
            <x v="0"/>
          </reference>
          <reference field="5" count="1" selected="0">
            <x v="147"/>
          </reference>
          <reference field="6" count="1" selected="0">
            <x v="9"/>
          </reference>
          <reference field="9" count="1" selected="0">
            <x v="10"/>
          </reference>
          <reference field="11" count="1">
            <x v="14"/>
          </reference>
        </references>
      </pivotArea>
    </format>
    <format dxfId="8630">
      <pivotArea dataOnly="0" labelOnly="1" outline="0" fieldPosition="0">
        <references count="7">
          <reference field="1" count="0" selected="0"/>
          <reference field="3" count="1" selected="0">
            <x v="6"/>
          </reference>
          <reference field="4" count="1" selected="0">
            <x v="0"/>
          </reference>
          <reference field="5" count="1" selected="0">
            <x v="160"/>
          </reference>
          <reference field="6" count="1" selected="0">
            <x v="9"/>
          </reference>
          <reference field="9" count="1" selected="0">
            <x v="10"/>
          </reference>
          <reference field="11" count="1">
            <x v="40"/>
          </reference>
        </references>
      </pivotArea>
    </format>
    <format dxfId="8629">
      <pivotArea dataOnly="0" labelOnly="1" outline="0" fieldPosition="0">
        <references count="7">
          <reference field="1" count="0" selected="0"/>
          <reference field="3" count="1" selected="0">
            <x v="6"/>
          </reference>
          <reference field="4" count="1" selected="0">
            <x v="0"/>
          </reference>
          <reference field="5" count="1" selected="0">
            <x v="166"/>
          </reference>
          <reference field="6" count="1" selected="0">
            <x v="9"/>
          </reference>
          <reference field="9" count="1" selected="0">
            <x v="10"/>
          </reference>
          <reference field="11" count="1">
            <x v="17"/>
          </reference>
        </references>
      </pivotArea>
    </format>
    <format dxfId="8628">
      <pivotArea dataOnly="0" labelOnly="1" outline="0" fieldPosition="0">
        <references count="7">
          <reference field="1" count="0" selected="0"/>
          <reference field="3" count="1" selected="0">
            <x v="6"/>
          </reference>
          <reference field="4" count="1" selected="0">
            <x v="0"/>
          </reference>
          <reference field="5" count="1" selected="0">
            <x v="176"/>
          </reference>
          <reference field="6" count="1" selected="0">
            <x v="9"/>
          </reference>
          <reference field="9" count="1" selected="0">
            <x v="10"/>
          </reference>
          <reference field="11" count="1">
            <x v="14"/>
          </reference>
        </references>
      </pivotArea>
    </format>
    <format dxfId="8627">
      <pivotArea dataOnly="0" labelOnly="1" outline="0" fieldPosition="0">
        <references count="7">
          <reference field="1" count="0" selected="0"/>
          <reference field="3" count="1" selected="0">
            <x v="6"/>
          </reference>
          <reference field="4" count="1" selected="0">
            <x v="0"/>
          </reference>
          <reference field="5" count="1" selected="0">
            <x v="183"/>
          </reference>
          <reference field="6" count="1" selected="0">
            <x v="9"/>
          </reference>
          <reference field="9" count="1" selected="0">
            <x v="10"/>
          </reference>
          <reference field="11" count="1">
            <x v="57"/>
          </reference>
        </references>
      </pivotArea>
    </format>
    <format dxfId="8626">
      <pivotArea dataOnly="0" labelOnly="1" outline="0" fieldPosition="0">
        <references count="7">
          <reference field="1" count="0" selected="0"/>
          <reference field="3" count="1" selected="0">
            <x v="6"/>
          </reference>
          <reference field="4" count="1" selected="0">
            <x v="0"/>
          </reference>
          <reference field="5" count="1" selected="0">
            <x v="188"/>
          </reference>
          <reference field="6" count="1" selected="0">
            <x v="9"/>
          </reference>
          <reference field="9" count="1" selected="0">
            <x v="10"/>
          </reference>
          <reference field="11" count="1">
            <x v="41"/>
          </reference>
        </references>
      </pivotArea>
    </format>
    <format dxfId="8625">
      <pivotArea dataOnly="0" labelOnly="1" outline="0" fieldPosition="0">
        <references count="7">
          <reference field="1" count="0" selected="0"/>
          <reference field="3" count="1" selected="0">
            <x v="6"/>
          </reference>
          <reference field="4" count="1" selected="0">
            <x v="0"/>
          </reference>
          <reference field="5" count="1" selected="0">
            <x v="191"/>
          </reference>
          <reference field="6" count="1" selected="0">
            <x v="9"/>
          </reference>
          <reference field="9" count="1" selected="0">
            <x v="10"/>
          </reference>
          <reference field="11" count="1">
            <x v="54"/>
          </reference>
        </references>
      </pivotArea>
    </format>
    <format dxfId="8624">
      <pivotArea dataOnly="0" labelOnly="1" outline="0" fieldPosition="0">
        <references count="7">
          <reference field="1" count="0" selected="0"/>
          <reference field="3" count="1" selected="0">
            <x v="6"/>
          </reference>
          <reference field="4" count="1" selected="0">
            <x v="0"/>
          </reference>
          <reference field="5" count="1" selected="0">
            <x v="336"/>
          </reference>
          <reference field="6" count="1" selected="0">
            <x v="9"/>
          </reference>
          <reference field="9" count="1" selected="0">
            <x v="10"/>
          </reference>
          <reference field="11" count="1">
            <x v="14"/>
          </reference>
        </references>
      </pivotArea>
    </format>
    <format dxfId="8623">
      <pivotArea dataOnly="0" labelOnly="1" outline="0" fieldPosition="0">
        <references count="7">
          <reference field="1" count="0" selected="0"/>
          <reference field="3" count="1" selected="0">
            <x v="8"/>
          </reference>
          <reference field="4" count="1" selected="0">
            <x v="3"/>
          </reference>
          <reference field="5" count="1" selected="0">
            <x v="134"/>
          </reference>
          <reference field="6" count="1" selected="0">
            <x v="3"/>
          </reference>
          <reference field="9" count="1" selected="0">
            <x v="10"/>
          </reference>
          <reference field="11" count="1">
            <x v="14"/>
          </reference>
        </references>
      </pivotArea>
    </format>
    <format dxfId="8622">
      <pivotArea dataOnly="0" labelOnly="1" outline="0" fieldPosition="0">
        <references count="7">
          <reference field="1" count="0" selected="0"/>
          <reference field="3" count="1" selected="0">
            <x v="8"/>
          </reference>
          <reference field="4" count="1" selected="0">
            <x v="3"/>
          </reference>
          <reference field="5" count="1" selected="0">
            <x v="137"/>
          </reference>
          <reference field="6" count="1" selected="0">
            <x v="3"/>
          </reference>
          <reference field="9" count="1" selected="0">
            <x v="10"/>
          </reference>
          <reference field="11" count="1">
            <x v="25"/>
          </reference>
        </references>
      </pivotArea>
    </format>
    <format dxfId="8621">
      <pivotArea dataOnly="0" labelOnly="1" outline="0" fieldPosition="0">
        <references count="7">
          <reference field="1" count="0" selected="0"/>
          <reference field="3" count="1" selected="0">
            <x v="9"/>
          </reference>
          <reference field="4" count="1" selected="0">
            <x v="6"/>
          </reference>
          <reference field="5" count="1" selected="0">
            <x v="163"/>
          </reference>
          <reference field="6" count="1" selected="0">
            <x v="5"/>
          </reference>
          <reference field="9" count="1" selected="0">
            <x v="7"/>
          </reference>
          <reference field="11" count="1">
            <x v="51"/>
          </reference>
        </references>
      </pivotArea>
    </format>
    <format dxfId="8620">
      <pivotArea dataOnly="0" labelOnly="1" outline="0" fieldPosition="0">
        <references count="7">
          <reference field="1" count="0" selected="0"/>
          <reference field="3" count="1" selected="0">
            <x v="9"/>
          </reference>
          <reference field="4" count="1" selected="0">
            <x v="6"/>
          </reference>
          <reference field="5" count="1" selected="0">
            <x v="213"/>
          </reference>
          <reference field="6" count="1" selected="0">
            <x v="5"/>
          </reference>
          <reference field="9" count="1" selected="0">
            <x v="10"/>
          </reference>
          <reference field="11" count="1">
            <x v="19"/>
          </reference>
        </references>
      </pivotArea>
    </format>
    <format dxfId="8619">
      <pivotArea dataOnly="0" labelOnly="1" outline="0" fieldPosition="0">
        <references count="8">
          <reference field="1" count="0" selected="0"/>
          <reference field="3" count="1" selected="0">
            <x v="2"/>
          </reference>
          <reference field="4" count="1" selected="0">
            <x v="1"/>
          </reference>
          <reference field="5" count="1" selected="0">
            <x v="341"/>
          </reference>
          <reference field="6" count="1" selected="0">
            <x v="2"/>
          </reference>
          <reference field="9" count="1" selected="0">
            <x v="4"/>
          </reference>
          <reference field="11" count="1" selected="0">
            <x v="43"/>
          </reference>
          <reference field="12" count="1">
            <x v="30"/>
          </reference>
        </references>
      </pivotArea>
    </format>
    <format dxfId="8618">
      <pivotArea dataOnly="0" labelOnly="1" outline="0" fieldPosition="0">
        <references count="8">
          <reference field="1" count="0" selected="0"/>
          <reference field="3" count="1" selected="0">
            <x v="3"/>
          </reference>
          <reference field="4" count="1" selected="0">
            <x v="1"/>
          </reference>
          <reference field="5" count="1" selected="0">
            <x v="195"/>
          </reference>
          <reference field="6" count="1" selected="0">
            <x v="2"/>
          </reference>
          <reference field="9" count="1" selected="0">
            <x v="10"/>
          </reference>
          <reference field="11" count="1" selected="0">
            <x v="13"/>
          </reference>
          <reference field="12" count="1">
            <x v="14"/>
          </reference>
        </references>
      </pivotArea>
    </format>
    <format dxfId="8617">
      <pivotArea dataOnly="0" labelOnly="1" outline="0" fieldPosition="0">
        <references count="8">
          <reference field="1" count="0" selected="0"/>
          <reference field="3" count="1" selected="0">
            <x v="3"/>
          </reference>
          <reference field="4" count="1" selected="0">
            <x v="1"/>
          </reference>
          <reference field="5" count="1" selected="0">
            <x v="198"/>
          </reference>
          <reference field="6" count="1" selected="0">
            <x v="2"/>
          </reference>
          <reference field="9" count="1" selected="0">
            <x v="10"/>
          </reference>
          <reference field="11" count="1" selected="0">
            <x v="14"/>
          </reference>
          <reference field="12" count="1">
            <x v="23"/>
          </reference>
        </references>
      </pivotArea>
    </format>
    <format dxfId="8616">
      <pivotArea dataOnly="0" labelOnly="1" outline="0" fieldPosition="0">
        <references count="8">
          <reference field="1" count="0" selected="0"/>
          <reference field="3" count="1" selected="0">
            <x v="4"/>
          </reference>
          <reference field="4" count="1" selected="0">
            <x v="1"/>
          </reference>
          <reference field="5" count="1" selected="0">
            <x v="98"/>
          </reference>
          <reference field="6" count="1" selected="0">
            <x v="2"/>
          </reference>
          <reference field="9" count="1" selected="0">
            <x v="10"/>
          </reference>
          <reference field="11" count="1" selected="0">
            <x v="14"/>
          </reference>
          <reference field="12" count="1">
            <x v="5"/>
          </reference>
        </references>
      </pivotArea>
    </format>
    <format dxfId="8615">
      <pivotArea dataOnly="0" labelOnly="1" outline="0" fieldPosition="0">
        <references count="8">
          <reference field="1" count="0" selected="0"/>
          <reference field="3" count="1" selected="0">
            <x v="4"/>
          </reference>
          <reference field="4" count="1" selected="0">
            <x v="1"/>
          </reference>
          <reference field="5" count="1" selected="0">
            <x v="112"/>
          </reference>
          <reference field="6" count="1" selected="0">
            <x v="2"/>
          </reference>
          <reference field="9" count="1" selected="0">
            <x v="10"/>
          </reference>
          <reference field="11" count="1" selected="0">
            <x v="33"/>
          </reference>
          <reference field="12" count="1">
            <x v="8"/>
          </reference>
        </references>
      </pivotArea>
    </format>
    <format dxfId="8614">
      <pivotArea dataOnly="0" labelOnly="1" outline="0" fieldPosition="0">
        <references count="8">
          <reference field="1" count="0" selected="0"/>
          <reference field="3" count="1" selected="0">
            <x v="4"/>
          </reference>
          <reference field="4" count="1" selected="0">
            <x v="1"/>
          </reference>
          <reference field="5" count="1" selected="0">
            <x v="346"/>
          </reference>
          <reference field="6" count="1" selected="0">
            <x v="2"/>
          </reference>
          <reference field="9" count="1" selected="0">
            <x v="10"/>
          </reference>
          <reference field="11" count="1" selected="0">
            <x v="14"/>
          </reference>
          <reference field="12" count="1">
            <x v="1"/>
          </reference>
        </references>
      </pivotArea>
    </format>
    <format dxfId="8613">
      <pivotArea dataOnly="0" labelOnly="1" outline="0" fieldPosition="0">
        <references count="8">
          <reference field="1" count="0" selected="0"/>
          <reference field="3" count="1" selected="0">
            <x v="6"/>
          </reference>
          <reference field="4" count="1" selected="0">
            <x v="0"/>
          </reference>
          <reference field="5" count="1" selected="0">
            <x v="138"/>
          </reference>
          <reference field="6" count="1" selected="0">
            <x v="9"/>
          </reference>
          <reference field="9" count="1" selected="0">
            <x v="10"/>
          </reference>
          <reference field="11" count="1" selected="0">
            <x v="7"/>
          </reference>
          <reference field="12" count="1">
            <x v="3"/>
          </reference>
        </references>
      </pivotArea>
    </format>
    <format dxfId="8612">
      <pivotArea dataOnly="0" labelOnly="1" outline="0" fieldPosition="0">
        <references count="8">
          <reference field="1" count="0" selected="0"/>
          <reference field="3" count="1" selected="0">
            <x v="6"/>
          </reference>
          <reference field="4" count="1" selected="0">
            <x v="0"/>
          </reference>
          <reference field="5" count="1" selected="0">
            <x v="147"/>
          </reference>
          <reference field="6" count="1" selected="0">
            <x v="9"/>
          </reference>
          <reference field="9" count="1" selected="0">
            <x v="10"/>
          </reference>
          <reference field="11" count="1" selected="0">
            <x v="14"/>
          </reference>
          <reference field="12" count="1">
            <x v="17"/>
          </reference>
        </references>
      </pivotArea>
    </format>
    <format dxfId="8611">
      <pivotArea dataOnly="0" labelOnly="1" outline="0" fieldPosition="0">
        <references count="8">
          <reference field="1" count="0" selected="0"/>
          <reference field="3" count="1" selected="0">
            <x v="6"/>
          </reference>
          <reference field="4" count="1" selected="0">
            <x v="0"/>
          </reference>
          <reference field="5" count="1" selected="0">
            <x v="160"/>
          </reference>
          <reference field="6" count="1" selected="0">
            <x v="9"/>
          </reference>
          <reference field="9" count="1" selected="0">
            <x v="10"/>
          </reference>
          <reference field="11" count="1" selected="0">
            <x v="40"/>
          </reference>
          <reference field="12" count="1">
            <x v="8"/>
          </reference>
        </references>
      </pivotArea>
    </format>
    <format dxfId="8610">
      <pivotArea dataOnly="0" labelOnly="1" outline="0" fieldPosition="0">
        <references count="8">
          <reference field="1" count="0" selected="0"/>
          <reference field="3" count="1" selected="0">
            <x v="6"/>
          </reference>
          <reference field="4" count="1" selected="0">
            <x v="0"/>
          </reference>
          <reference field="5" count="1" selected="0">
            <x v="176"/>
          </reference>
          <reference field="6" count="1" selected="0">
            <x v="9"/>
          </reference>
          <reference field="9" count="1" selected="0">
            <x v="10"/>
          </reference>
          <reference field="11" count="1" selected="0">
            <x v="14"/>
          </reference>
          <reference field="12" count="1">
            <x v="3"/>
          </reference>
        </references>
      </pivotArea>
    </format>
    <format dxfId="8609">
      <pivotArea dataOnly="0" labelOnly="1" outline="0" fieldPosition="0">
        <references count="8">
          <reference field="1" count="0" selected="0"/>
          <reference field="3" count="1" selected="0">
            <x v="6"/>
          </reference>
          <reference field="4" count="1" selected="0">
            <x v="0"/>
          </reference>
          <reference field="5" count="1" selected="0">
            <x v="183"/>
          </reference>
          <reference field="6" count="1" selected="0">
            <x v="9"/>
          </reference>
          <reference field="9" count="1" selected="0">
            <x v="10"/>
          </reference>
          <reference field="11" count="1" selected="0">
            <x v="57"/>
          </reference>
          <reference field="12" count="1">
            <x v="1"/>
          </reference>
        </references>
      </pivotArea>
    </format>
    <format dxfId="8608">
      <pivotArea dataOnly="0" labelOnly="1" outline="0" fieldPosition="0">
        <references count="8">
          <reference field="1" count="0" selected="0"/>
          <reference field="3" count="1" selected="0">
            <x v="6"/>
          </reference>
          <reference field="4" count="1" selected="0">
            <x v="0"/>
          </reference>
          <reference field="5" count="1" selected="0">
            <x v="188"/>
          </reference>
          <reference field="6" count="1" selected="0">
            <x v="9"/>
          </reference>
          <reference field="9" count="1" selected="0">
            <x v="10"/>
          </reference>
          <reference field="11" count="1" selected="0">
            <x v="41"/>
          </reference>
          <reference field="12" count="1">
            <x v="8"/>
          </reference>
        </references>
      </pivotArea>
    </format>
    <format dxfId="8607">
      <pivotArea dataOnly="0" labelOnly="1" outline="0" fieldPosition="0">
        <references count="8">
          <reference field="1" count="0" selected="0"/>
          <reference field="3" count="1" selected="0">
            <x v="6"/>
          </reference>
          <reference field="4" count="1" selected="0">
            <x v="0"/>
          </reference>
          <reference field="5" count="1" selected="0">
            <x v="191"/>
          </reference>
          <reference field="6" count="1" selected="0">
            <x v="9"/>
          </reference>
          <reference field="9" count="1" selected="0">
            <x v="10"/>
          </reference>
          <reference field="11" count="1" selected="0">
            <x v="54"/>
          </reference>
          <reference field="12" count="1">
            <x v="4"/>
          </reference>
        </references>
      </pivotArea>
    </format>
    <format dxfId="8606">
      <pivotArea dataOnly="0" labelOnly="1" outline="0" fieldPosition="0">
        <references count="8">
          <reference field="1" count="0" selected="0"/>
          <reference field="3" count="1" selected="0">
            <x v="6"/>
          </reference>
          <reference field="4" count="1" selected="0">
            <x v="0"/>
          </reference>
          <reference field="5" count="1" selected="0">
            <x v="336"/>
          </reference>
          <reference field="6" count="1" selected="0">
            <x v="9"/>
          </reference>
          <reference field="9" count="1" selected="0">
            <x v="10"/>
          </reference>
          <reference field="11" count="1" selected="0">
            <x v="14"/>
          </reference>
          <reference field="12" count="1">
            <x v="9"/>
          </reference>
        </references>
      </pivotArea>
    </format>
    <format dxfId="8605">
      <pivotArea dataOnly="0" labelOnly="1" outline="0" fieldPosition="0">
        <references count="8">
          <reference field="1" count="0" selected="0"/>
          <reference field="3" count="1" selected="0">
            <x v="8"/>
          </reference>
          <reference field="4" count="1" selected="0">
            <x v="3"/>
          </reference>
          <reference field="5" count="1" selected="0">
            <x v="137"/>
          </reference>
          <reference field="6" count="1" selected="0">
            <x v="3"/>
          </reference>
          <reference field="9" count="1" selected="0">
            <x v="10"/>
          </reference>
          <reference field="11" count="1" selected="0">
            <x v="25"/>
          </reference>
          <reference field="12" count="1">
            <x v="8"/>
          </reference>
        </references>
      </pivotArea>
    </format>
    <format dxfId="8604">
      <pivotArea dataOnly="0" labelOnly="1" outline="0" fieldPosition="0">
        <references count="9">
          <reference field="1" count="0" selected="0"/>
          <reference field="3" count="1" selected="0">
            <x v="2"/>
          </reference>
          <reference field="4" count="1" selected="0">
            <x v="1"/>
          </reference>
          <reference field="5" count="1" selected="0">
            <x v="341"/>
          </reference>
          <reference field="6" count="1" selected="0">
            <x v="2"/>
          </reference>
          <reference field="9" count="1" selected="0">
            <x v="4"/>
          </reference>
          <reference field="11" count="1" selected="0">
            <x v="43"/>
          </reference>
          <reference field="12" count="1" selected="0">
            <x v="30"/>
          </reference>
          <reference field="13" count="1">
            <x v="6"/>
          </reference>
        </references>
      </pivotArea>
    </format>
    <format dxfId="8603">
      <pivotArea dataOnly="0" labelOnly="1" outline="0" fieldPosition="0">
        <references count="9">
          <reference field="1" count="0" selected="0"/>
          <reference field="3" count="1" selected="0">
            <x v="3"/>
          </reference>
          <reference field="4" count="1" selected="0">
            <x v="1"/>
          </reference>
          <reference field="5" count="1" selected="0">
            <x v="195"/>
          </reference>
          <reference field="6" count="1" selected="0">
            <x v="2"/>
          </reference>
          <reference field="9" count="1" selected="0">
            <x v="10"/>
          </reference>
          <reference field="11" count="1" selected="0">
            <x v="13"/>
          </reference>
          <reference field="12" count="1" selected="0">
            <x v="14"/>
          </reference>
          <reference field="13" count="1">
            <x v="3"/>
          </reference>
        </references>
      </pivotArea>
    </format>
    <format dxfId="8602">
      <pivotArea dataOnly="0" labelOnly="1" outline="0" fieldPosition="0">
        <references count="9">
          <reference field="1" count="0" selected="0"/>
          <reference field="3" count="1" selected="0">
            <x v="3"/>
          </reference>
          <reference field="4" count="1" selected="0">
            <x v="1"/>
          </reference>
          <reference field="5" count="1" selected="0">
            <x v="198"/>
          </reference>
          <reference field="6" count="1" selected="0">
            <x v="2"/>
          </reference>
          <reference field="9" count="1" selected="0">
            <x v="10"/>
          </reference>
          <reference field="11" count="1" selected="0">
            <x v="14"/>
          </reference>
          <reference field="12" count="1" selected="0">
            <x v="23"/>
          </reference>
          <reference field="13" count="1">
            <x v="2"/>
          </reference>
        </references>
      </pivotArea>
    </format>
    <format dxfId="8601">
      <pivotArea dataOnly="0" labelOnly="1" outline="0" fieldPosition="0">
        <references count="9">
          <reference field="1" count="0" selected="0"/>
          <reference field="3" count="1" selected="0">
            <x v="8"/>
          </reference>
          <reference field="4" count="1" selected="0">
            <x v="3"/>
          </reference>
          <reference field="5" count="1" selected="0">
            <x v="137"/>
          </reference>
          <reference field="6" count="1" selected="0">
            <x v="3"/>
          </reference>
          <reference field="9" count="1" selected="0">
            <x v="10"/>
          </reference>
          <reference field="11" count="1" selected="0">
            <x v="25"/>
          </reference>
          <reference field="12" count="1" selected="0">
            <x v="8"/>
          </reference>
          <reference field="13" count="1">
            <x v="3"/>
          </reference>
        </references>
      </pivotArea>
    </format>
    <format dxfId="8600">
      <pivotArea dataOnly="0" labelOnly="1" outline="0" fieldPosition="0">
        <references count="10">
          <reference field="1" count="0" selected="0"/>
          <reference field="3" count="1" selected="0">
            <x v="2"/>
          </reference>
          <reference field="4" count="1" selected="0">
            <x v="1"/>
          </reference>
          <reference field="5" count="1" selected="0">
            <x v="341"/>
          </reference>
          <reference field="6" count="1" selected="0">
            <x v="2"/>
          </reference>
          <reference field="9" count="1" selected="0">
            <x v="4"/>
          </reference>
          <reference field="11" count="1" selected="0">
            <x v="43"/>
          </reference>
          <reference field="12" count="1" selected="0">
            <x v="30"/>
          </reference>
          <reference field="13" count="1" selected="0">
            <x v="6"/>
          </reference>
          <reference field="14" count="1">
            <x v="17"/>
          </reference>
        </references>
      </pivotArea>
    </format>
    <format dxfId="8599">
      <pivotArea dataOnly="0" labelOnly="1" outline="0" fieldPosition="0">
        <references count="10">
          <reference field="1" count="0" selected="0"/>
          <reference field="3" count="1" selected="0">
            <x v="4"/>
          </reference>
          <reference field="4" count="1" selected="0">
            <x v="1"/>
          </reference>
          <reference field="5" count="1" selected="0">
            <x v="98"/>
          </reference>
          <reference field="6" count="1" selected="0">
            <x v="2"/>
          </reference>
          <reference field="9" count="1" selected="0">
            <x v="10"/>
          </reference>
          <reference field="11" count="1" selected="0">
            <x v="14"/>
          </reference>
          <reference field="12" count="1" selected="0">
            <x v="5"/>
          </reference>
          <reference field="13" count="1" selected="0">
            <x v="3"/>
          </reference>
          <reference field="14" count="1">
            <x v="49"/>
          </reference>
        </references>
      </pivotArea>
    </format>
    <format dxfId="8598">
      <pivotArea dataOnly="0" labelOnly="1" outline="0" fieldPosition="0">
        <references count="10">
          <reference field="1" count="0" selected="0"/>
          <reference field="3" count="1" selected="0">
            <x v="4"/>
          </reference>
          <reference field="4" count="1" selected="0">
            <x v="1"/>
          </reference>
          <reference field="5" count="1" selected="0">
            <x v="112"/>
          </reference>
          <reference field="6" count="1" selected="0">
            <x v="2"/>
          </reference>
          <reference field="9" count="1" selected="0">
            <x v="10"/>
          </reference>
          <reference field="11" count="1" selected="0">
            <x v="33"/>
          </reference>
          <reference field="12" count="1" selected="0">
            <x v="8"/>
          </reference>
          <reference field="13" count="1" selected="0">
            <x v="3"/>
          </reference>
          <reference field="14" count="1">
            <x v="43"/>
          </reference>
        </references>
      </pivotArea>
    </format>
    <format dxfId="8597">
      <pivotArea dataOnly="0" labelOnly="1" outline="0" fieldPosition="0">
        <references count="10">
          <reference field="1" count="0" selected="0"/>
          <reference field="3" count="1" selected="0">
            <x v="4"/>
          </reference>
          <reference field="4" count="1" selected="0">
            <x v="1"/>
          </reference>
          <reference field="5" count="1" selected="0">
            <x v="330"/>
          </reference>
          <reference field="6" count="1" selected="0">
            <x v="2"/>
          </reference>
          <reference field="9" count="1" selected="0">
            <x v="10"/>
          </reference>
          <reference field="11" count="1" selected="0">
            <x v="18"/>
          </reference>
          <reference field="12" count="1" selected="0">
            <x v="8"/>
          </reference>
          <reference field="13" count="1" selected="0">
            <x v="3"/>
          </reference>
          <reference field="14" count="1">
            <x v="42"/>
          </reference>
        </references>
      </pivotArea>
    </format>
    <format dxfId="8596">
      <pivotArea dataOnly="0" labelOnly="1" outline="0" fieldPosition="0">
        <references count="10">
          <reference field="1" count="0" selected="0"/>
          <reference field="3" count="1" selected="0">
            <x v="4"/>
          </reference>
          <reference field="4" count="1" selected="0">
            <x v="1"/>
          </reference>
          <reference field="5" count="1" selected="0">
            <x v="346"/>
          </reference>
          <reference field="6" count="1" selected="0">
            <x v="2"/>
          </reference>
          <reference field="9" count="1" selected="0">
            <x v="10"/>
          </reference>
          <reference field="11" count="1" selected="0">
            <x v="14"/>
          </reference>
          <reference field="12" count="1" selected="0">
            <x v="1"/>
          </reference>
          <reference field="13" count="1" selected="0">
            <x v="3"/>
          </reference>
          <reference field="14" count="1">
            <x v="17"/>
          </reference>
        </references>
      </pivotArea>
    </format>
    <format dxfId="8595">
      <pivotArea dataOnly="0" labelOnly="1" outline="0" fieldPosition="0">
        <references count="10">
          <reference field="1" count="0" selected="0"/>
          <reference field="3" count="1" selected="0">
            <x v="6"/>
          </reference>
          <reference field="4" count="1" selected="0">
            <x v="0"/>
          </reference>
          <reference field="5" count="1" selected="0">
            <x v="138"/>
          </reference>
          <reference field="6" count="1" selected="0">
            <x v="9"/>
          </reference>
          <reference field="9" count="1" selected="0">
            <x v="10"/>
          </reference>
          <reference field="11" count="1" selected="0">
            <x v="7"/>
          </reference>
          <reference field="12" count="1" selected="0">
            <x v="3"/>
          </reference>
          <reference field="13" count="1" selected="0">
            <x v="3"/>
          </reference>
          <reference field="14" count="1">
            <x v="17"/>
          </reference>
        </references>
      </pivotArea>
    </format>
    <format dxfId="8594">
      <pivotArea dataOnly="0" labelOnly="1" outline="0" fieldPosition="0">
        <references count="10">
          <reference field="1" count="0" selected="0"/>
          <reference field="3" count="1" selected="0">
            <x v="6"/>
          </reference>
          <reference field="4" count="1" selected="0">
            <x v="0"/>
          </reference>
          <reference field="5" count="1" selected="0">
            <x v="160"/>
          </reference>
          <reference field="6" count="1" selected="0">
            <x v="9"/>
          </reference>
          <reference field="9" count="1" selected="0">
            <x v="10"/>
          </reference>
          <reference field="11" count="1" selected="0">
            <x v="40"/>
          </reference>
          <reference field="12" count="1" selected="0">
            <x v="8"/>
          </reference>
          <reference field="13" count="1" selected="0">
            <x v="3"/>
          </reference>
          <reference field="14" count="1">
            <x v="44"/>
          </reference>
        </references>
      </pivotArea>
    </format>
    <format dxfId="8593">
      <pivotArea dataOnly="0" labelOnly="1" outline="0" fieldPosition="0">
        <references count="10">
          <reference field="1" count="0" selected="0"/>
          <reference field="3" count="1" selected="0">
            <x v="6"/>
          </reference>
          <reference field="4" count="1" selected="0">
            <x v="0"/>
          </reference>
          <reference field="5" count="1" selected="0">
            <x v="166"/>
          </reference>
          <reference field="6" count="1" selected="0">
            <x v="9"/>
          </reference>
          <reference field="9" count="1" selected="0">
            <x v="10"/>
          </reference>
          <reference field="11" count="1" selected="0">
            <x v="17"/>
          </reference>
          <reference field="12" count="1" selected="0">
            <x v="8"/>
          </reference>
          <reference field="13" count="1" selected="0">
            <x v="3"/>
          </reference>
          <reference field="14" count="1">
            <x v="36"/>
          </reference>
        </references>
      </pivotArea>
    </format>
    <format dxfId="8592">
      <pivotArea dataOnly="0" labelOnly="1" outline="0" fieldPosition="0">
        <references count="10">
          <reference field="1" count="0" selected="0"/>
          <reference field="3" count="1" selected="0">
            <x v="6"/>
          </reference>
          <reference field="4" count="1" selected="0">
            <x v="0"/>
          </reference>
          <reference field="5" count="1" selected="0">
            <x v="176"/>
          </reference>
          <reference field="6" count="1" selected="0">
            <x v="9"/>
          </reference>
          <reference field="9" count="1" selected="0">
            <x v="10"/>
          </reference>
          <reference field="11" count="1" selected="0">
            <x v="14"/>
          </reference>
          <reference field="12" count="1" selected="0">
            <x v="3"/>
          </reference>
          <reference field="13" count="1" selected="0">
            <x v="3"/>
          </reference>
          <reference field="14" count="1">
            <x v="17"/>
          </reference>
        </references>
      </pivotArea>
    </format>
    <format dxfId="8591">
      <pivotArea dataOnly="0" labelOnly="1" outline="0" fieldPosition="0">
        <references count="10">
          <reference field="1" count="0" selected="0"/>
          <reference field="3" count="1" selected="0">
            <x v="6"/>
          </reference>
          <reference field="4" count="1" selected="0">
            <x v="0"/>
          </reference>
          <reference field="5" count="1" selected="0">
            <x v="183"/>
          </reference>
          <reference field="6" count="1" selected="0">
            <x v="9"/>
          </reference>
          <reference field="9" count="1" selected="0">
            <x v="10"/>
          </reference>
          <reference field="11" count="1" selected="0">
            <x v="57"/>
          </reference>
          <reference field="12" count="1" selected="0">
            <x v="1"/>
          </reference>
          <reference field="13" count="1" selected="0">
            <x v="3"/>
          </reference>
          <reference field="14" count="1">
            <x v="3"/>
          </reference>
        </references>
      </pivotArea>
    </format>
    <format dxfId="8590">
      <pivotArea dataOnly="0" labelOnly="1" outline="0" fieldPosition="0">
        <references count="10">
          <reference field="1" count="0" selected="0"/>
          <reference field="3" count="1" selected="0">
            <x v="6"/>
          </reference>
          <reference field="4" count="1" selected="0">
            <x v="0"/>
          </reference>
          <reference field="5" count="1" selected="0">
            <x v="188"/>
          </reference>
          <reference field="6" count="1" selected="0">
            <x v="9"/>
          </reference>
          <reference field="9" count="1" selected="0">
            <x v="10"/>
          </reference>
          <reference field="11" count="1" selected="0">
            <x v="41"/>
          </reference>
          <reference field="12" count="1" selected="0">
            <x v="8"/>
          </reference>
          <reference field="13" count="1" selected="0">
            <x v="3"/>
          </reference>
          <reference field="14" count="1">
            <x v="24"/>
          </reference>
        </references>
      </pivotArea>
    </format>
    <format dxfId="8589">
      <pivotArea dataOnly="0" labelOnly="1" outline="0" fieldPosition="0">
        <references count="10">
          <reference field="1" count="0" selected="0"/>
          <reference field="3" count="1" selected="0">
            <x v="6"/>
          </reference>
          <reference field="4" count="1" selected="0">
            <x v="0"/>
          </reference>
          <reference field="5" count="1" selected="0">
            <x v="191"/>
          </reference>
          <reference field="6" count="1" selected="0">
            <x v="9"/>
          </reference>
          <reference field="9" count="1" selected="0">
            <x v="10"/>
          </reference>
          <reference field="11" count="1" selected="0">
            <x v="54"/>
          </reference>
          <reference field="12" count="1" selected="0">
            <x v="4"/>
          </reference>
          <reference field="13" count="1" selected="0">
            <x v="3"/>
          </reference>
          <reference field="14" count="1">
            <x v="13"/>
          </reference>
        </references>
      </pivotArea>
    </format>
    <format dxfId="8588">
      <pivotArea dataOnly="0" labelOnly="1" outline="0" fieldPosition="0">
        <references count="10">
          <reference field="1" count="0" selected="0"/>
          <reference field="3" count="1" selected="0">
            <x v="6"/>
          </reference>
          <reference field="4" count="1" selected="0">
            <x v="0"/>
          </reference>
          <reference field="5" count="1" selected="0">
            <x v="336"/>
          </reference>
          <reference field="6" count="1" selected="0">
            <x v="9"/>
          </reference>
          <reference field="9" count="1" selected="0">
            <x v="10"/>
          </reference>
          <reference field="11" count="1" selected="0">
            <x v="14"/>
          </reference>
          <reference field="12" count="1" selected="0">
            <x v="9"/>
          </reference>
          <reference field="13" count="1" selected="0">
            <x v="3"/>
          </reference>
          <reference field="14" count="1">
            <x v="9"/>
          </reference>
        </references>
      </pivotArea>
    </format>
    <format dxfId="8587">
      <pivotArea dataOnly="0" labelOnly="1" outline="0" fieldPosition="0">
        <references count="10">
          <reference field="1" count="0" selected="0"/>
          <reference field="3" count="1" selected="0">
            <x v="8"/>
          </reference>
          <reference field="4" count="1" selected="0">
            <x v="3"/>
          </reference>
          <reference field="5" count="1" selected="0">
            <x v="137"/>
          </reference>
          <reference field="6" count="1" selected="0">
            <x v="3"/>
          </reference>
          <reference field="9" count="1" selected="0">
            <x v="10"/>
          </reference>
          <reference field="11" count="1" selected="0">
            <x v="25"/>
          </reference>
          <reference field="12" count="1" selected="0">
            <x v="8"/>
          </reference>
          <reference field="13" count="1" selected="0">
            <x v="3"/>
          </reference>
          <reference field="14" count="1">
            <x v="29"/>
          </reference>
        </references>
      </pivotArea>
    </format>
    <format dxfId="8586">
      <pivotArea dataOnly="0" labelOnly="1" outline="0" fieldPosition="0">
        <references count="10">
          <reference field="1" count="0" selected="0"/>
          <reference field="3" count="1" selected="0">
            <x v="9"/>
          </reference>
          <reference field="4" count="1" selected="0">
            <x v="6"/>
          </reference>
          <reference field="5" count="1" selected="0">
            <x v="163"/>
          </reference>
          <reference field="6" count="1" selected="0">
            <x v="5"/>
          </reference>
          <reference field="9" count="1" selected="0">
            <x v="7"/>
          </reference>
          <reference field="11" count="1" selected="0">
            <x v="51"/>
          </reference>
          <reference field="12" count="1" selected="0">
            <x v="8"/>
          </reference>
          <reference field="13" count="1" selected="0">
            <x v="3"/>
          </reference>
          <reference field="14" count="1">
            <x v="3"/>
          </reference>
        </references>
      </pivotArea>
    </format>
    <format dxfId="8585">
      <pivotArea dataOnly="0" labelOnly="1" outline="0" fieldPosition="0">
        <references count="10">
          <reference field="1" count="0" selected="0"/>
          <reference field="3" count="1" selected="0">
            <x v="9"/>
          </reference>
          <reference field="4" count="1" selected="0">
            <x v="6"/>
          </reference>
          <reference field="5" count="1" selected="0">
            <x v="213"/>
          </reference>
          <reference field="6" count="1" selected="0">
            <x v="5"/>
          </reference>
          <reference field="9" count="1" selected="0">
            <x v="10"/>
          </reference>
          <reference field="11" count="1" selected="0">
            <x v="19"/>
          </reference>
          <reference field="12" count="1" selected="0">
            <x v="8"/>
          </reference>
          <reference field="13" count="1" selected="0">
            <x v="3"/>
          </reference>
          <reference field="14" count="1">
            <x v="17"/>
          </reference>
        </references>
      </pivotArea>
    </format>
    <format dxfId="8584">
      <pivotArea dataOnly="0" labelOnly="1" outline="0" fieldPosition="0">
        <references count="11">
          <reference field="1" count="0" selected="0"/>
          <reference field="3" count="1" selected="0">
            <x v="2"/>
          </reference>
          <reference field="4" count="1" selected="0">
            <x v="1"/>
          </reference>
          <reference field="5" count="1" selected="0">
            <x v="341"/>
          </reference>
          <reference field="6" count="1" selected="0">
            <x v="2"/>
          </reference>
          <reference field="9" count="1" selected="0">
            <x v="4"/>
          </reference>
          <reference field="11" count="1" selected="0">
            <x v="43"/>
          </reference>
          <reference field="12" count="1" selected="0">
            <x v="30"/>
          </reference>
          <reference field="13" count="1" selected="0">
            <x v="6"/>
          </reference>
          <reference field="14" count="1" selected="0">
            <x v="17"/>
          </reference>
          <reference field="15" count="1">
            <x v="21"/>
          </reference>
        </references>
      </pivotArea>
    </format>
    <format dxfId="8583">
      <pivotArea dataOnly="0" labelOnly="1" outline="0" fieldPosition="0">
        <references count="11">
          <reference field="1" count="0" selected="0"/>
          <reference field="3" count="1" selected="0">
            <x v="3"/>
          </reference>
          <reference field="4" count="1" selected="0">
            <x v="1"/>
          </reference>
          <reference field="5" count="1" selected="0">
            <x v="195"/>
          </reference>
          <reference field="6" count="1" selected="0">
            <x v="2"/>
          </reference>
          <reference field="9" count="1" selected="0">
            <x v="10"/>
          </reference>
          <reference field="11" count="1" selected="0">
            <x v="13"/>
          </reference>
          <reference field="12" count="1" selected="0">
            <x v="14"/>
          </reference>
          <reference field="13" count="1" selected="0">
            <x v="3"/>
          </reference>
          <reference field="14" count="1" selected="0">
            <x v="17"/>
          </reference>
          <reference field="15" count="1">
            <x v="1"/>
          </reference>
        </references>
      </pivotArea>
    </format>
    <format dxfId="8582">
      <pivotArea dataOnly="0" labelOnly="1" outline="0" fieldPosition="0">
        <references count="11">
          <reference field="1" count="0" selected="0"/>
          <reference field="3" count="1" selected="0">
            <x v="3"/>
          </reference>
          <reference field="4" count="1" selected="0">
            <x v="1"/>
          </reference>
          <reference field="5" count="1" selected="0">
            <x v="198"/>
          </reference>
          <reference field="6" count="1" selected="0">
            <x v="2"/>
          </reference>
          <reference field="9" count="1" selected="0">
            <x v="10"/>
          </reference>
          <reference field="11" count="1" selected="0">
            <x v="14"/>
          </reference>
          <reference field="12" count="1" selected="0">
            <x v="23"/>
          </reference>
          <reference field="13" count="1" selected="0">
            <x v="2"/>
          </reference>
          <reference field="14" count="1" selected="0">
            <x v="17"/>
          </reference>
          <reference field="15" count="1">
            <x v="64"/>
          </reference>
        </references>
      </pivotArea>
    </format>
    <format dxfId="8581">
      <pivotArea dataOnly="0" labelOnly="1" outline="0" fieldPosition="0">
        <references count="11">
          <reference field="1" count="0" selected="0"/>
          <reference field="3" count="1" selected="0">
            <x v="4"/>
          </reference>
          <reference field="4" count="1" selected="0">
            <x v="1"/>
          </reference>
          <reference field="5" count="1" selected="0">
            <x v="98"/>
          </reference>
          <reference field="6" count="1" selected="0">
            <x v="2"/>
          </reference>
          <reference field="9" count="1" selected="0">
            <x v="10"/>
          </reference>
          <reference field="11" count="1" selected="0">
            <x v="14"/>
          </reference>
          <reference field="12" count="1" selected="0">
            <x v="5"/>
          </reference>
          <reference field="13" count="1" selected="0">
            <x v="3"/>
          </reference>
          <reference field="14" count="1" selected="0">
            <x v="49"/>
          </reference>
          <reference field="15" count="1">
            <x v="1"/>
          </reference>
        </references>
      </pivotArea>
    </format>
    <format dxfId="8580">
      <pivotArea dataOnly="0" labelOnly="1" outline="0" fieldPosition="0">
        <references count="11">
          <reference field="1" count="0" selected="0"/>
          <reference field="3" count="1" selected="0">
            <x v="4"/>
          </reference>
          <reference field="4" count="1" selected="0">
            <x v="1"/>
          </reference>
          <reference field="5" count="1" selected="0">
            <x v="112"/>
          </reference>
          <reference field="6" count="1" selected="0">
            <x v="2"/>
          </reference>
          <reference field="9" count="1" selected="0">
            <x v="10"/>
          </reference>
          <reference field="11" count="1" selected="0">
            <x v="33"/>
          </reference>
          <reference field="12" count="1" selected="0">
            <x v="8"/>
          </reference>
          <reference field="13" count="1" selected="0">
            <x v="3"/>
          </reference>
          <reference field="14" count="1" selected="0">
            <x v="43"/>
          </reference>
          <reference field="15" count="1">
            <x v="32"/>
          </reference>
        </references>
      </pivotArea>
    </format>
    <format dxfId="8579">
      <pivotArea dataOnly="0" labelOnly="1" outline="0" fieldPosition="0">
        <references count="11">
          <reference field="1" count="0" selected="0"/>
          <reference field="3" count="1" selected="0">
            <x v="4"/>
          </reference>
          <reference field="4" count="1" selected="0">
            <x v="1"/>
          </reference>
          <reference field="5" count="1" selected="0">
            <x v="215"/>
          </reference>
          <reference field="6" count="1" selected="0">
            <x v="2"/>
          </reference>
          <reference field="9" count="1" selected="0">
            <x v="4"/>
          </reference>
          <reference field="11" count="1" selected="0">
            <x v="53"/>
          </reference>
          <reference field="12" count="1" selected="0">
            <x v="8"/>
          </reference>
          <reference field="13" count="1" selected="0">
            <x v="3"/>
          </reference>
          <reference field="14" count="1" selected="0">
            <x v="17"/>
          </reference>
          <reference field="15" count="1">
            <x v="15"/>
          </reference>
        </references>
      </pivotArea>
    </format>
    <format dxfId="8578">
      <pivotArea dataOnly="0" labelOnly="1" outline="0" fieldPosition="0">
        <references count="11">
          <reference field="1" count="0" selected="0"/>
          <reference field="3" count="1" selected="0">
            <x v="4"/>
          </reference>
          <reference field="4" count="1" selected="0">
            <x v="1"/>
          </reference>
          <reference field="5" count="1" selected="0">
            <x v="330"/>
          </reference>
          <reference field="6" count="1" selected="0">
            <x v="2"/>
          </reference>
          <reference field="9" count="1" selected="0">
            <x v="10"/>
          </reference>
          <reference field="11" count="1" selected="0">
            <x v="18"/>
          </reference>
          <reference field="12" count="1" selected="0">
            <x v="8"/>
          </reference>
          <reference field="13" count="1" selected="0">
            <x v="3"/>
          </reference>
          <reference field="14" count="1" selected="0">
            <x v="42"/>
          </reference>
          <reference field="15" count="1">
            <x v="13"/>
          </reference>
        </references>
      </pivotArea>
    </format>
    <format dxfId="8577">
      <pivotArea dataOnly="0" labelOnly="1" outline="0" fieldPosition="0">
        <references count="11">
          <reference field="1" count="0" selected="0"/>
          <reference field="3" count="1" selected="0">
            <x v="4"/>
          </reference>
          <reference field="4" count="1" selected="0">
            <x v="1"/>
          </reference>
          <reference field="5" count="1" selected="0">
            <x v="346"/>
          </reference>
          <reference field="6" count="1" selected="0">
            <x v="2"/>
          </reference>
          <reference field="9" count="1" selected="0">
            <x v="10"/>
          </reference>
          <reference field="11" count="1" selected="0">
            <x v="14"/>
          </reference>
          <reference field="12" count="1" selected="0">
            <x v="1"/>
          </reference>
          <reference field="13" count="1" selected="0">
            <x v="3"/>
          </reference>
          <reference field="14" count="1" selected="0">
            <x v="17"/>
          </reference>
          <reference field="15" count="1">
            <x v="14"/>
          </reference>
        </references>
      </pivotArea>
    </format>
    <format dxfId="8576">
      <pivotArea dataOnly="0" labelOnly="1" outline="0" fieldPosition="0">
        <references count="11">
          <reference field="1" count="0" selected="0"/>
          <reference field="3" count="1" selected="0">
            <x v="6"/>
          </reference>
          <reference field="4" count="1" selected="0">
            <x v="0"/>
          </reference>
          <reference field="5" count="1" selected="0">
            <x v="147"/>
          </reference>
          <reference field="6" count="1" selected="0">
            <x v="9"/>
          </reference>
          <reference field="9" count="1" selected="0">
            <x v="10"/>
          </reference>
          <reference field="11" count="1" selected="0">
            <x v="14"/>
          </reference>
          <reference field="12" count="1" selected="0">
            <x v="17"/>
          </reference>
          <reference field="13" count="1" selected="0">
            <x v="3"/>
          </reference>
          <reference field="14" count="1" selected="0">
            <x v="17"/>
          </reference>
          <reference field="15" count="1">
            <x v="31"/>
          </reference>
        </references>
      </pivotArea>
    </format>
    <format dxfId="8575">
      <pivotArea dataOnly="0" labelOnly="1" outline="0" fieldPosition="0">
        <references count="11">
          <reference field="1" count="0" selected="0"/>
          <reference field="3" count="1" selected="0">
            <x v="6"/>
          </reference>
          <reference field="4" count="1" selected="0">
            <x v="0"/>
          </reference>
          <reference field="5" count="1" selected="0">
            <x v="160"/>
          </reference>
          <reference field="6" count="1" selected="0">
            <x v="9"/>
          </reference>
          <reference field="9" count="1" selected="0">
            <x v="10"/>
          </reference>
          <reference field="11" count="1" selected="0">
            <x v="40"/>
          </reference>
          <reference field="12" count="1" selected="0">
            <x v="8"/>
          </reference>
          <reference field="13" count="1" selected="0">
            <x v="3"/>
          </reference>
          <reference field="14" count="1" selected="0">
            <x v="44"/>
          </reference>
          <reference field="15" count="1">
            <x v="62"/>
          </reference>
        </references>
      </pivotArea>
    </format>
    <format dxfId="8574">
      <pivotArea dataOnly="0" labelOnly="1" outline="0" fieldPosition="0">
        <references count="11">
          <reference field="1" count="0" selected="0"/>
          <reference field="3" count="1" selected="0">
            <x v="6"/>
          </reference>
          <reference field="4" count="1" selected="0">
            <x v="0"/>
          </reference>
          <reference field="5" count="1" selected="0">
            <x v="166"/>
          </reference>
          <reference field="6" count="1" selected="0">
            <x v="9"/>
          </reference>
          <reference field="9" count="1" selected="0">
            <x v="10"/>
          </reference>
          <reference field="11" count="1" selected="0">
            <x v="17"/>
          </reference>
          <reference field="12" count="1" selected="0">
            <x v="8"/>
          </reference>
          <reference field="13" count="1" selected="0">
            <x v="3"/>
          </reference>
          <reference field="14" count="1" selected="0">
            <x v="36"/>
          </reference>
          <reference field="15" count="1">
            <x v="56"/>
          </reference>
        </references>
      </pivotArea>
    </format>
    <format dxfId="8573">
      <pivotArea dataOnly="0" labelOnly="1" outline="0" fieldPosition="0">
        <references count="11">
          <reference field="1" count="0" selected="0"/>
          <reference field="3" count="1" selected="0">
            <x v="6"/>
          </reference>
          <reference field="4" count="1" selected="0">
            <x v="0"/>
          </reference>
          <reference field="5" count="1" selected="0">
            <x v="176"/>
          </reference>
          <reference field="6" count="1" selected="0">
            <x v="9"/>
          </reference>
          <reference field="9" count="1" selected="0">
            <x v="10"/>
          </reference>
          <reference field="11" count="1" selected="0">
            <x v="14"/>
          </reference>
          <reference field="12" count="1" selected="0">
            <x v="3"/>
          </reference>
          <reference field="13" count="1" selected="0">
            <x v="3"/>
          </reference>
          <reference field="14" count="1" selected="0">
            <x v="17"/>
          </reference>
          <reference field="15" count="1">
            <x v="18"/>
          </reference>
        </references>
      </pivotArea>
    </format>
    <format dxfId="8572">
      <pivotArea dataOnly="0" labelOnly="1" outline="0" fieldPosition="0">
        <references count="11">
          <reference field="1" count="0" selected="0"/>
          <reference field="3" count="1" selected="0">
            <x v="6"/>
          </reference>
          <reference field="4" count="1" selected="0">
            <x v="0"/>
          </reference>
          <reference field="5" count="1" selected="0">
            <x v="183"/>
          </reference>
          <reference field="6" count="1" selected="0">
            <x v="9"/>
          </reference>
          <reference field="9" count="1" selected="0">
            <x v="10"/>
          </reference>
          <reference field="11" count="1" selected="0">
            <x v="57"/>
          </reference>
          <reference field="12" count="1" selected="0">
            <x v="1"/>
          </reference>
          <reference field="13" count="1" selected="0">
            <x v="3"/>
          </reference>
          <reference field="14" count="1" selected="0">
            <x v="3"/>
          </reference>
          <reference field="15" count="1">
            <x v="14"/>
          </reference>
        </references>
      </pivotArea>
    </format>
    <format dxfId="8571">
      <pivotArea dataOnly="0" labelOnly="1" outline="0" fieldPosition="0">
        <references count="11">
          <reference field="1" count="0" selected="0"/>
          <reference field="3" count="1" selected="0">
            <x v="6"/>
          </reference>
          <reference field="4" count="1" selected="0">
            <x v="0"/>
          </reference>
          <reference field="5" count="1" selected="0">
            <x v="188"/>
          </reference>
          <reference field="6" count="1" selected="0">
            <x v="9"/>
          </reference>
          <reference field="9" count="1" selected="0">
            <x v="10"/>
          </reference>
          <reference field="11" count="1" selected="0">
            <x v="41"/>
          </reference>
          <reference field="12" count="1" selected="0">
            <x v="8"/>
          </reference>
          <reference field="13" count="1" selected="0">
            <x v="3"/>
          </reference>
          <reference field="14" count="1" selected="0">
            <x v="24"/>
          </reference>
          <reference field="15" count="1">
            <x v="47"/>
          </reference>
        </references>
      </pivotArea>
    </format>
    <format dxfId="8570">
      <pivotArea dataOnly="0" labelOnly="1" outline="0" fieldPosition="0">
        <references count="11">
          <reference field="1" count="0" selected="0"/>
          <reference field="3" count="1" selected="0">
            <x v="6"/>
          </reference>
          <reference field="4" count="1" selected="0">
            <x v="0"/>
          </reference>
          <reference field="5" count="1" selected="0">
            <x v="191"/>
          </reference>
          <reference field="6" count="1" selected="0">
            <x v="9"/>
          </reference>
          <reference field="9" count="1" selected="0">
            <x v="10"/>
          </reference>
          <reference field="11" count="1" selected="0">
            <x v="54"/>
          </reference>
          <reference field="12" count="1" selected="0">
            <x v="4"/>
          </reference>
          <reference field="13" count="1" selected="0">
            <x v="3"/>
          </reference>
          <reference field="14" count="1" selected="0">
            <x v="13"/>
          </reference>
          <reference field="15" count="1">
            <x v="14"/>
          </reference>
        </references>
      </pivotArea>
    </format>
    <format dxfId="8569">
      <pivotArea dataOnly="0" labelOnly="1" outline="0" fieldPosition="0">
        <references count="11">
          <reference field="1" count="0" selected="0"/>
          <reference field="3" count="1" selected="0">
            <x v="6"/>
          </reference>
          <reference field="4" count="1" selected="0">
            <x v="0"/>
          </reference>
          <reference field="5" count="1" selected="0">
            <x v="336"/>
          </reference>
          <reference field="6" count="1" selected="0">
            <x v="9"/>
          </reference>
          <reference field="9" count="1" selected="0">
            <x v="10"/>
          </reference>
          <reference field="11" count="1" selected="0">
            <x v="14"/>
          </reference>
          <reference field="12" count="1" selected="0">
            <x v="9"/>
          </reference>
          <reference field="13" count="1" selected="0">
            <x v="3"/>
          </reference>
          <reference field="14" count="1" selected="0">
            <x v="9"/>
          </reference>
          <reference field="15" count="1">
            <x v="14"/>
          </reference>
        </references>
      </pivotArea>
    </format>
    <format dxfId="8568">
      <pivotArea dataOnly="0" labelOnly="1" outline="0" fieldPosition="0">
        <references count="11">
          <reference field="1" count="0" selected="0"/>
          <reference field="3" count="1" selected="0">
            <x v="8"/>
          </reference>
          <reference field="4" count="1" selected="0">
            <x v="3"/>
          </reference>
          <reference field="5" count="1" selected="0">
            <x v="137"/>
          </reference>
          <reference field="6" count="1" selected="0">
            <x v="3"/>
          </reference>
          <reference field="9" count="1" selected="0">
            <x v="10"/>
          </reference>
          <reference field="11" count="1" selected="0">
            <x v="25"/>
          </reference>
          <reference field="12" count="1" selected="0">
            <x v="8"/>
          </reference>
          <reference field="13" count="1" selected="0">
            <x v="3"/>
          </reference>
          <reference field="14" count="1" selected="0">
            <x v="29"/>
          </reference>
          <reference field="15" count="1">
            <x v="35"/>
          </reference>
        </references>
      </pivotArea>
    </format>
    <format dxfId="8567">
      <pivotArea dataOnly="0" labelOnly="1" outline="0" fieldPosition="0">
        <references count="11">
          <reference field="1" count="0" selected="0"/>
          <reference field="3" count="1" selected="0">
            <x v="9"/>
          </reference>
          <reference field="4" count="1" selected="0">
            <x v="6"/>
          </reference>
          <reference field="5" count="1" selected="0">
            <x v="163"/>
          </reference>
          <reference field="6" count="1" selected="0">
            <x v="5"/>
          </reference>
          <reference field="9" count="1" selected="0">
            <x v="7"/>
          </reference>
          <reference field="11" count="1" selected="0">
            <x v="51"/>
          </reference>
          <reference field="12" count="1" selected="0">
            <x v="8"/>
          </reference>
          <reference field="13" count="1" selected="0">
            <x v="3"/>
          </reference>
          <reference field="14" count="1" selected="0">
            <x v="3"/>
          </reference>
          <reference field="15" count="1">
            <x v="14"/>
          </reference>
        </references>
      </pivotArea>
    </format>
    <format dxfId="8566">
      <pivotArea dataOnly="0" labelOnly="1" outline="0" fieldPosition="0">
        <references count="11">
          <reference field="1" count="0" selected="0"/>
          <reference field="3" count="1" selected="0">
            <x v="9"/>
          </reference>
          <reference field="4" count="1" selected="0">
            <x v="6"/>
          </reference>
          <reference field="5" count="1" selected="0">
            <x v="213"/>
          </reference>
          <reference field="6" count="1" selected="0">
            <x v="5"/>
          </reference>
          <reference field="9" count="1" selected="0">
            <x v="10"/>
          </reference>
          <reference field="11" count="1" selected="0">
            <x v="19"/>
          </reference>
          <reference field="12" count="1" selected="0">
            <x v="8"/>
          </reference>
          <reference field="13" count="1" selected="0">
            <x v="3"/>
          </reference>
          <reference field="14" count="1" selected="0">
            <x v="17"/>
          </reference>
          <reference field="15" count="1">
            <x v="23"/>
          </reference>
        </references>
      </pivotArea>
    </format>
    <format dxfId="8565">
      <pivotArea dataOnly="0" labelOnly="1" outline="0" fieldPosition="0">
        <references count="3">
          <reference field="1" count="0" selected="0"/>
          <reference field="3" count="1" selected="0">
            <x v="0"/>
          </reference>
          <reference field="5" count="1">
            <x v="344"/>
          </reference>
        </references>
      </pivotArea>
    </format>
    <format dxfId="8564">
      <pivotArea dataOnly="0" labelOnly="1" outline="0" fieldPosition="0">
        <references count="3">
          <reference field="1" count="0" selected="0"/>
          <reference field="3" count="1" selected="0">
            <x v="3"/>
          </reference>
          <reference field="5" count="4">
            <x v="194"/>
            <x v="199"/>
            <x v="202"/>
            <x v="207"/>
          </reference>
        </references>
      </pivotArea>
    </format>
    <format dxfId="8563">
      <pivotArea dataOnly="0" labelOnly="1" outline="0" fieldPosition="0">
        <references count="3">
          <reference field="1" count="0" selected="0"/>
          <reference field="3" count="1" selected="0">
            <x v="4"/>
          </reference>
          <reference field="5" count="8">
            <x v="97"/>
            <x v="102"/>
            <x v="105"/>
            <x v="143"/>
            <x v="155"/>
            <x v="214"/>
            <x v="222"/>
            <x v="329"/>
          </reference>
        </references>
      </pivotArea>
    </format>
    <format dxfId="8562">
      <pivotArea dataOnly="0" labelOnly="1" outline="0" fieldPosition="0">
        <references count="3">
          <reference field="1" count="0" selected="0"/>
          <reference field="3" count="1" selected="0">
            <x v="6"/>
          </reference>
          <reference field="5" count="14">
            <x v="107"/>
            <x v="120"/>
            <x v="123"/>
            <x v="128"/>
            <x v="156"/>
            <x v="159"/>
            <x v="168"/>
            <x v="172"/>
            <x v="177"/>
            <x v="184"/>
            <x v="187"/>
            <x v="209"/>
            <x v="325"/>
            <x v="352"/>
          </reference>
        </references>
      </pivotArea>
    </format>
    <format dxfId="8561">
      <pivotArea dataOnly="0" labelOnly="1" outline="0" fieldPosition="0">
        <references count="3">
          <reference field="1" count="0" selected="0"/>
          <reference field="3" count="1" selected="0">
            <x v="8"/>
          </reference>
          <reference field="5" count="3">
            <x v="133"/>
            <x v="139"/>
            <x v="162"/>
          </reference>
        </references>
      </pivotArea>
    </format>
    <format dxfId="8560">
      <pivotArea dataOnly="0" labelOnly="1" outline="0" fieldPosition="0">
        <references count="3">
          <reference field="1" count="0" selected="0"/>
          <reference field="3" count="1" selected="0">
            <x v="9"/>
          </reference>
          <reference field="5" count="1">
            <x v="141"/>
          </reference>
        </references>
      </pivotArea>
    </format>
    <format dxfId="8559">
      <pivotArea dataOnly="0" labelOnly="1" outline="0" fieldPosition="0">
        <references count="4">
          <reference field="1" count="0" selected="0"/>
          <reference field="3" count="1" selected="0">
            <x v="0"/>
          </reference>
          <reference field="5" count="1" selected="0">
            <x v="344"/>
          </reference>
          <reference field="6" count="1">
            <x v="7"/>
          </reference>
        </references>
      </pivotArea>
    </format>
    <format dxfId="8558">
      <pivotArea dataOnly="0" labelOnly="1" outline="0" fieldPosition="0">
        <references count="4">
          <reference field="1" count="0" selected="0"/>
          <reference field="3" count="1" selected="0">
            <x v="3"/>
          </reference>
          <reference field="5" count="1" selected="0">
            <x v="194"/>
          </reference>
          <reference field="6" count="1">
            <x v="2"/>
          </reference>
        </references>
      </pivotArea>
    </format>
    <format dxfId="8557">
      <pivotArea dataOnly="0" labelOnly="1" outline="0" fieldPosition="0">
        <references count="4">
          <reference field="1" count="0" selected="0"/>
          <reference field="3" count="1" selected="0">
            <x v="4"/>
          </reference>
          <reference field="5" count="1" selected="0">
            <x v="222"/>
          </reference>
          <reference field="6" count="1">
            <x v="9"/>
          </reference>
        </references>
      </pivotArea>
    </format>
    <format dxfId="8556">
      <pivotArea dataOnly="0" labelOnly="1" outline="0" fieldPosition="0">
        <references count="4">
          <reference field="1" count="0" selected="0"/>
          <reference field="3" count="1" selected="0">
            <x v="4"/>
          </reference>
          <reference field="5" count="1" selected="0">
            <x v="329"/>
          </reference>
          <reference field="6" count="1">
            <x v="2"/>
          </reference>
        </references>
      </pivotArea>
    </format>
    <format dxfId="8555">
      <pivotArea dataOnly="0" labelOnly="1" outline="0" fieldPosition="0">
        <references count="4">
          <reference field="1" count="0" selected="0"/>
          <reference field="3" count="1" selected="0">
            <x v="6"/>
          </reference>
          <reference field="5" count="1" selected="0">
            <x v="107"/>
          </reference>
          <reference field="6" count="1">
            <x v="9"/>
          </reference>
        </references>
      </pivotArea>
    </format>
    <format dxfId="8554">
      <pivotArea dataOnly="0" labelOnly="1" outline="0" fieldPosition="0">
        <references count="4">
          <reference field="1" count="0" selected="0"/>
          <reference field="3" count="1" selected="0">
            <x v="8"/>
          </reference>
          <reference field="5" count="1" selected="0">
            <x v="133"/>
          </reference>
          <reference field="6" count="1">
            <x v="3"/>
          </reference>
        </references>
      </pivotArea>
    </format>
    <format dxfId="8553">
      <pivotArea dataOnly="0" labelOnly="1" outline="0" fieldPosition="0">
        <references count="4">
          <reference field="1" count="0" selected="0"/>
          <reference field="3" count="1" selected="0">
            <x v="9"/>
          </reference>
          <reference field="5" count="1" selected="0">
            <x v="141"/>
          </reference>
          <reference field="6" count="1">
            <x v="5"/>
          </reference>
        </references>
      </pivotArea>
    </format>
    <format dxfId="8552">
      <pivotArea dataOnly="0" labelOnly="1" outline="0" fieldPosition="0">
        <references count="5">
          <reference field="1" count="0" selected="0"/>
          <reference field="3" count="1" selected="0">
            <x v="0"/>
          </reference>
          <reference field="4" count="1">
            <x v="1"/>
          </reference>
          <reference field="5" count="1" selected="0">
            <x v="344"/>
          </reference>
          <reference field="6" count="1" selected="0">
            <x v="7"/>
          </reference>
        </references>
      </pivotArea>
    </format>
    <format dxfId="8551">
      <pivotArea dataOnly="0" labelOnly="1" outline="0" fieldPosition="0">
        <references count="5">
          <reference field="1" count="0" selected="0"/>
          <reference field="3" count="1" selected="0">
            <x v="6"/>
          </reference>
          <reference field="4" count="1">
            <x v="0"/>
          </reference>
          <reference field="5" count="1" selected="0">
            <x v="107"/>
          </reference>
          <reference field="6" count="1" selected="0">
            <x v="9"/>
          </reference>
        </references>
      </pivotArea>
    </format>
    <format dxfId="8550">
      <pivotArea dataOnly="0" labelOnly="1" outline="0" fieldPosition="0">
        <references count="5">
          <reference field="1" count="0" selected="0"/>
          <reference field="3" count="1" selected="0">
            <x v="8"/>
          </reference>
          <reference field="4" count="1">
            <x v="3"/>
          </reference>
          <reference field="5" count="1" selected="0">
            <x v="133"/>
          </reference>
          <reference field="6" count="1" selected="0">
            <x v="3"/>
          </reference>
        </references>
      </pivotArea>
    </format>
    <format dxfId="8549">
      <pivotArea dataOnly="0" labelOnly="1" outline="0" fieldPosition="0">
        <references count="5">
          <reference field="1" count="0" selected="0"/>
          <reference field="3" count="1" selected="0">
            <x v="9"/>
          </reference>
          <reference field="4" count="1">
            <x v="4"/>
          </reference>
          <reference field="5" count="1" selected="0">
            <x v="141"/>
          </reference>
          <reference field="6" count="1" selected="0">
            <x v="5"/>
          </reference>
        </references>
      </pivotArea>
    </format>
    <format dxfId="8548">
      <pivotArea dataOnly="0" labelOnly="1" outline="0" fieldPosition="0">
        <references count="6">
          <reference field="1" count="0" selected="0"/>
          <reference field="3" count="1" selected="0">
            <x v="0"/>
          </reference>
          <reference field="4" count="1" selected="0">
            <x v="1"/>
          </reference>
          <reference field="5" count="1" selected="0">
            <x v="344"/>
          </reference>
          <reference field="6" count="1" selected="0">
            <x v="7"/>
          </reference>
          <reference field="9" count="1">
            <x v="10"/>
          </reference>
        </references>
      </pivotArea>
    </format>
    <format dxfId="8547">
      <pivotArea dataOnly="0" labelOnly="1" outline="0" fieldPosition="0">
        <references count="6">
          <reference field="1" count="0" selected="0"/>
          <reference field="3" count="1" selected="0">
            <x v="4"/>
          </reference>
          <reference field="4" count="1" selected="0">
            <x v="1"/>
          </reference>
          <reference field="5" count="1" selected="0">
            <x v="102"/>
          </reference>
          <reference field="6" count="1" selected="0">
            <x v="2"/>
          </reference>
          <reference field="9" count="1">
            <x v="2"/>
          </reference>
        </references>
      </pivotArea>
    </format>
    <format dxfId="8546">
      <pivotArea dataOnly="0" labelOnly="1" outline="0" fieldPosition="0">
        <references count="6">
          <reference field="1" count="0" selected="0"/>
          <reference field="3" count="1" selected="0">
            <x v="4"/>
          </reference>
          <reference field="4" count="1" selected="0">
            <x v="1"/>
          </reference>
          <reference field="5" count="1" selected="0">
            <x v="143"/>
          </reference>
          <reference field="6" count="1" selected="0">
            <x v="2"/>
          </reference>
          <reference field="9" count="1">
            <x v="10"/>
          </reference>
        </references>
      </pivotArea>
    </format>
    <format dxfId="8545">
      <pivotArea dataOnly="0" labelOnly="1" outline="0" fieldPosition="0">
        <references count="6">
          <reference field="1" count="0" selected="0"/>
          <reference field="3" count="1" selected="0">
            <x v="4"/>
          </reference>
          <reference field="4" count="1" selected="0">
            <x v="1"/>
          </reference>
          <reference field="5" count="1" selected="0">
            <x v="222"/>
          </reference>
          <reference field="6" count="1" selected="0">
            <x v="9"/>
          </reference>
          <reference field="9" count="1">
            <x v="8"/>
          </reference>
        </references>
      </pivotArea>
    </format>
    <format dxfId="8544">
      <pivotArea dataOnly="0" labelOnly="1" outline="0" fieldPosition="0">
        <references count="6">
          <reference field="1" count="0" selected="0"/>
          <reference field="3" count="1" selected="0">
            <x v="4"/>
          </reference>
          <reference field="4" count="1" selected="0">
            <x v="1"/>
          </reference>
          <reference field="5" count="1" selected="0">
            <x v="329"/>
          </reference>
          <reference field="6" count="1" selected="0">
            <x v="2"/>
          </reference>
          <reference field="9" count="1">
            <x v="4"/>
          </reference>
        </references>
      </pivotArea>
    </format>
    <format dxfId="8543">
      <pivotArea dataOnly="0" labelOnly="1" outline="0" fieldPosition="0">
        <references count="6">
          <reference field="1" count="0" selected="0"/>
          <reference field="3" count="1" selected="0">
            <x v="6"/>
          </reference>
          <reference field="4" count="1" selected="0">
            <x v="0"/>
          </reference>
          <reference field="5" count="1" selected="0">
            <x v="107"/>
          </reference>
          <reference field="6" count="1" selected="0">
            <x v="9"/>
          </reference>
          <reference field="9" count="1">
            <x v="10"/>
          </reference>
        </references>
      </pivotArea>
    </format>
    <format dxfId="8542">
      <pivotArea dataOnly="0" labelOnly="1" outline="0" fieldPosition="0">
        <references count="7">
          <reference field="1" count="0" selected="0"/>
          <reference field="3" count="1" selected="0">
            <x v="0"/>
          </reference>
          <reference field="4" count="1" selected="0">
            <x v="1"/>
          </reference>
          <reference field="5" count="1" selected="0">
            <x v="344"/>
          </reference>
          <reference field="6" count="1" selected="0">
            <x v="7"/>
          </reference>
          <reference field="9" count="1" selected="0">
            <x v="10"/>
          </reference>
          <reference field="11" count="1">
            <x v="14"/>
          </reference>
        </references>
      </pivotArea>
    </format>
    <format dxfId="8541">
      <pivotArea dataOnly="0" labelOnly="1" outline="0" fieldPosition="0">
        <references count="7">
          <reference field="1" count="0" selected="0"/>
          <reference field="3" count="1" selected="0">
            <x v="3"/>
          </reference>
          <reference field="4" count="1" selected="0">
            <x v="1"/>
          </reference>
          <reference field="5" count="1" selected="0">
            <x v="194"/>
          </reference>
          <reference field="6" count="1" selected="0">
            <x v="2"/>
          </reference>
          <reference field="9" count="1" selected="0">
            <x v="10"/>
          </reference>
          <reference field="11" count="1">
            <x v="3"/>
          </reference>
        </references>
      </pivotArea>
    </format>
    <format dxfId="8540">
      <pivotArea dataOnly="0" labelOnly="1" outline="0" fieldPosition="0">
        <references count="7">
          <reference field="1" count="0" selected="0"/>
          <reference field="3" count="1" selected="0">
            <x v="3"/>
          </reference>
          <reference field="4" count="1" selected="0">
            <x v="1"/>
          </reference>
          <reference field="5" count="1" selected="0">
            <x v="199"/>
          </reference>
          <reference field="6" count="1" selected="0">
            <x v="2"/>
          </reference>
          <reference field="9" count="1" selected="0">
            <x v="10"/>
          </reference>
          <reference field="11" count="1">
            <x v="5"/>
          </reference>
        </references>
      </pivotArea>
    </format>
    <format dxfId="8539">
      <pivotArea dataOnly="0" labelOnly="1" outline="0" fieldPosition="0">
        <references count="7">
          <reference field="1" count="0" selected="0"/>
          <reference field="3" count="1" selected="0">
            <x v="3"/>
          </reference>
          <reference field="4" count="1" selected="0">
            <x v="1"/>
          </reference>
          <reference field="5" count="1" selected="0">
            <x v="202"/>
          </reference>
          <reference field="6" count="1" selected="0">
            <x v="2"/>
          </reference>
          <reference field="9" count="1" selected="0">
            <x v="10"/>
          </reference>
          <reference field="11" count="1">
            <x v="16"/>
          </reference>
        </references>
      </pivotArea>
    </format>
    <format dxfId="8538">
      <pivotArea dataOnly="0" labelOnly="1" outline="0" fieldPosition="0">
        <references count="7">
          <reference field="1" count="0" selected="0"/>
          <reference field="3" count="1" selected="0">
            <x v="4"/>
          </reference>
          <reference field="4" count="1" selected="0">
            <x v="1"/>
          </reference>
          <reference field="5" count="1" selected="0">
            <x v="97"/>
          </reference>
          <reference field="6" count="1" selected="0">
            <x v="2"/>
          </reference>
          <reference field="9" count="1" selected="0">
            <x v="10"/>
          </reference>
          <reference field="11" count="1">
            <x v="14"/>
          </reference>
        </references>
      </pivotArea>
    </format>
    <format dxfId="8537">
      <pivotArea dataOnly="0" labelOnly="1" outline="0" fieldPosition="0">
        <references count="7">
          <reference field="1" count="0" selected="0"/>
          <reference field="3" count="1" selected="0">
            <x v="4"/>
          </reference>
          <reference field="4" count="1" selected="0">
            <x v="1"/>
          </reference>
          <reference field="5" count="1" selected="0">
            <x v="105"/>
          </reference>
          <reference field="6" count="1" selected="0">
            <x v="2"/>
          </reference>
          <reference field="9" count="1" selected="0">
            <x v="2"/>
          </reference>
          <reference field="11" count="1">
            <x v="14"/>
          </reference>
        </references>
      </pivotArea>
    </format>
    <format dxfId="8536">
      <pivotArea dataOnly="0" labelOnly="1" outline="0" fieldPosition="0">
        <references count="7">
          <reference field="1" count="0" selected="0"/>
          <reference field="3" count="1" selected="0">
            <x v="4"/>
          </reference>
          <reference field="4" count="1" selected="0">
            <x v="1"/>
          </reference>
          <reference field="5" count="1" selected="0">
            <x v="155"/>
          </reference>
          <reference field="6" count="1" selected="0">
            <x v="2"/>
          </reference>
          <reference field="9" count="1" selected="0">
            <x v="10"/>
          </reference>
          <reference field="11" count="1">
            <x v="58"/>
          </reference>
        </references>
      </pivotArea>
    </format>
    <format dxfId="8535">
      <pivotArea dataOnly="0" labelOnly="1" outline="0" fieldPosition="0">
        <references count="7">
          <reference field="1" count="0" selected="0"/>
          <reference field="3" count="1" selected="0">
            <x v="4"/>
          </reference>
          <reference field="4" count="1" selected="0">
            <x v="1"/>
          </reference>
          <reference field="5" count="1" selected="0">
            <x v="214"/>
          </reference>
          <reference field="6" count="1" selected="0">
            <x v="2"/>
          </reference>
          <reference field="9" count="1" selected="0">
            <x v="10"/>
          </reference>
          <reference field="11" count="1">
            <x v="35"/>
          </reference>
        </references>
      </pivotArea>
    </format>
    <format dxfId="8534">
      <pivotArea dataOnly="0" labelOnly="1" outline="0" fieldPosition="0">
        <references count="7">
          <reference field="1" count="0" selected="0"/>
          <reference field="3" count="1" selected="0">
            <x v="4"/>
          </reference>
          <reference field="4" count="1" selected="0">
            <x v="1"/>
          </reference>
          <reference field="5" count="1" selected="0">
            <x v="222"/>
          </reference>
          <reference field="6" count="1" selected="0">
            <x v="9"/>
          </reference>
          <reference field="9" count="1" selected="0">
            <x v="8"/>
          </reference>
          <reference field="11" count="1">
            <x v="34"/>
          </reference>
        </references>
      </pivotArea>
    </format>
    <format dxfId="8533">
      <pivotArea dataOnly="0" labelOnly="1" outline="0" fieldPosition="0">
        <references count="7">
          <reference field="1" count="0" selected="0"/>
          <reference field="3" count="1" selected="0">
            <x v="4"/>
          </reference>
          <reference field="4" count="1" selected="0">
            <x v="1"/>
          </reference>
          <reference field="5" count="1" selected="0">
            <x v="329"/>
          </reference>
          <reference field="6" count="1" selected="0">
            <x v="2"/>
          </reference>
          <reference field="9" count="1" selected="0">
            <x v="4"/>
          </reference>
          <reference field="11" count="1">
            <x v="28"/>
          </reference>
        </references>
      </pivotArea>
    </format>
    <format dxfId="8532">
      <pivotArea dataOnly="0" labelOnly="1" outline="0" fieldPosition="0">
        <references count="7">
          <reference field="1" count="0" selected="0"/>
          <reference field="3" count="1" selected="0">
            <x v="6"/>
          </reference>
          <reference field="4" count="1" selected="0">
            <x v="0"/>
          </reference>
          <reference field="5" count="1" selected="0">
            <x v="120"/>
          </reference>
          <reference field="6" count="1" selected="0">
            <x v="9"/>
          </reference>
          <reference field="9" count="1" selected="0">
            <x v="10"/>
          </reference>
          <reference field="11" count="1">
            <x v="3"/>
          </reference>
        </references>
      </pivotArea>
    </format>
    <format dxfId="8531">
      <pivotArea dataOnly="0" labelOnly="1" outline="0" fieldPosition="0">
        <references count="7">
          <reference field="1" count="0" selected="0"/>
          <reference field="3" count="1" selected="0">
            <x v="6"/>
          </reference>
          <reference field="4" count="1" selected="0">
            <x v="0"/>
          </reference>
          <reference field="5" count="1" selected="0">
            <x v="156"/>
          </reference>
          <reference field="6" count="1" selected="0">
            <x v="9"/>
          </reference>
          <reference field="9" count="1" selected="0">
            <x v="10"/>
          </reference>
          <reference field="11" count="1">
            <x v="23"/>
          </reference>
        </references>
      </pivotArea>
    </format>
    <format dxfId="8530">
      <pivotArea dataOnly="0" labelOnly="1" outline="0" fieldPosition="0">
        <references count="7">
          <reference field="1" count="0" selected="0"/>
          <reference field="3" count="1" selected="0">
            <x v="6"/>
          </reference>
          <reference field="4" count="1" selected="0">
            <x v="0"/>
          </reference>
          <reference field="5" count="1" selected="0">
            <x v="159"/>
          </reference>
          <reference field="6" count="1" selected="0">
            <x v="9"/>
          </reference>
          <reference field="9" count="1" selected="0">
            <x v="10"/>
          </reference>
          <reference field="11" count="1">
            <x v="30"/>
          </reference>
        </references>
      </pivotArea>
    </format>
    <format dxfId="8529">
      <pivotArea dataOnly="0" labelOnly="1" outline="0" fieldPosition="0">
        <references count="7">
          <reference field="1" count="0" selected="0"/>
          <reference field="3" count="1" selected="0">
            <x v="6"/>
          </reference>
          <reference field="4" count="1" selected="0">
            <x v="0"/>
          </reference>
          <reference field="5" count="1" selected="0">
            <x v="168"/>
          </reference>
          <reference field="6" count="1" selected="0">
            <x v="9"/>
          </reference>
          <reference field="9" count="1" selected="0">
            <x v="10"/>
          </reference>
          <reference field="11" count="1">
            <x v="47"/>
          </reference>
        </references>
      </pivotArea>
    </format>
    <format dxfId="8528">
      <pivotArea dataOnly="0" labelOnly="1" outline="0" fieldPosition="0">
        <references count="7">
          <reference field="1" count="0" selected="0"/>
          <reference field="3" count="1" selected="0">
            <x v="6"/>
          </reference>
          <reference field="4" count="1" selected="0">
            <x v="0"/>
          </reference>
          <reference field="5" count="1" selected="0">
            <x v="172"/>
          </reference>
          <reference field="6" count="1" selected="0">
            <x v="9"/>
          </reference>
          <reference field="9" count="1" selected="0">
            <x v="10"/>
          </reference>
          <reference field="11" count="1">
            <x v="14"/>
          </reference>
        </references>
      </pivotArea>
    </format>
    <format dxfId="8527">
      <pivotArea dataOnly="0" labelOnly="1" outline="0" fieldPosition="0">
        <references count="7">
          <reference field="1" count="0" selected="0"/>
          <reference field="3" count="1" selected="0">
            <x v="6"/>
          </reference>
          <reference field="4" count="1" selected="0">
            <x v="0"/>
          </reference>
          <reference field="5" count="1" selected="0">
            <x v="177"/>
          </reference>
          <reference field="6" count="1" selected="0">
            <x v="9"/>
          </reference>
          <reference field="9" count="1" selected="0">
            <x v="10"/>
          </reference>
          <reference field="11" count="1">
            <x v="1"/>
          </reference>
        </references>
      </pivotArea>
    </format>
    <format dxfId="8526">
      <pivotArea dataOnly="0" labelOnly="1" outline="0" fieldPosition="0">
        <references count="7">
          <reference field="1" count="0" selected="0"/>
          <reference field="3" count="1" selected="0">
            <x v="6"/>
          </reference>
          <reference field="4" count="1" selected="0">
            <x v="0"/>
          </reference>
          <reference field="5" count="1" selected="0">
            <x v="184"/>
          </reference>
          <reference field="6" count="1" selected="0">
            <x v="9"/>
          </reference>
          <reference field="9" count="1" selected="0">
            <x v="10"/>
          </reference>
          <reference field="11" count="1">
            <x v="10"/>
          </reference>
        </references>
      </pivotArea>
    </format>
    <format dxfId="8525">
      <pivotArea dataOnly="0" labelOnly="1" outline="0" fieldPosition="0">
        <references count="7">
          <reference field="1" count="0" selected="0"/>
          <reference field="3" count="1" selected="0">
            <x v="6"/>
          </reference>
          <reference field="4" count="1" selected="0">
            <x v="0"/>
          </reference>
          <reference field="5" count="1" selected="0">
            <x v="187"/>
          </reference>
          <reference field="6" count="1" selected="0">
            <x v="9"/>
          </reference>
          <reference field="9" count="1" selected="0">
            <x v="10"/>
          </reference>
          <reference field="11" count="1">
            <x v="50"/>
          </reference>
        </references>
      </pivotArea>
    </format>
    <format dxfId="8524">
      <pivotArea dataOnly="0" labelOnly="1" outline="0" fieldPosition="0">
        <references count="7">
          <reference field="1" count="0" selected="0"/>
          <reference field="3" count="1" selected="0">
            <x v="6"/>
          </reference>
          <reference field="4" count="1" selected="0">
            <x v="0"/>
          </reference>
          <reference field="5" count="1" selected="0">
            <x v="209"/>
          </reference>
          <reference field="6" count="1" selected="0">
            <x v="9"/>
          </reference>
          <reference field="9" count="1" selected="0">
            <x v="10"/>
          </reference>
          <reference field="11" count="1">
            <x v="36"/>
          </reference>
        </references>
      </pivotArea>
    </format>
    <format dxfId="8523">
      <pivotArea dataOnly="0" labelOnly="1" outline="0" fieldPosition="0">
        <references count="7">
          <reference field="1" count="0" selected="0"/>
          <reference field="3" count="1" selected="0">
            <x v="6"/>
          </reference>
          <reference field="4" count="1" selected="0">
            <x v="0"/>
          </reference>
          <reference field="5" count="1" selected="0">
            <x v="325"/>
          </reference>
          <reference field="6" count="1" selected="0">
            <x v="9"/>
          </reference>
          <reference field="9" count="1" selected="0">
            <x v="10"/>
          </reference>
          <reference field="11" count="1">
            <x v="14"/>
          </reference>
        </references>
      </pivotArea>
    </format>
    <format dxfId="8522">
      <pivotArea dataOnly="0" labelOnly="1" outline="0" fieldPosition="0">
        <references count="7">
          <reference field="1" count="0" selected="0"/>
          <reference field="3" count="1" selected="0">
            <x v="6"/>
          </reference>
          <reference field="4" count="1" selected="0">
            <x v="0"/>
          </reference>
          <reference field="5" count="1" selected="0">
            <x v="352"/>
          </reference>
          <reference field="6" count="1" selected="0">
            <x v="9"/>
          </reference>
          <reference field="9" count="1" selected="0">
            <x v="10"/>
          </reference>
          <reference field="11" count="1">
            <x v="38"/>
          </reference>
        </references>
      </pivotArea>
    </format>
    <format dxfId="8521">
      <pivotArea dataOnly="0" labelOnly="1" outline="0" fieldPosition="0">
        <references count="7">
          <reference field="1" count="0" selected="0"/>
          <reference field="3" count="1" selected="0">
            <x v="8"/>
          </reference>
          <reference field="4" count="1" selected="0">
            <x v="3"/>
          </reference>
          <reference field="5" count="1" selected="0">
            <x v="133"/>
          </reference>
          <reference field="6" count="1" selected="0">
            <x v="3"/>
          </reference>
          <reference field="9" count="1" selected="0">
            <x v="10"/>
          </reference>
          <reference field="11" count="1">
            <x v="5"/>
          </reference>
        </references>
      </pivotArea>
    </format>
    <format dxfId="8520">
      <pivotArea dataOnly="0" labelOnly="1" outline="0" fieldPosition="0">
        <references count="7">
          <reference field="1" count="0" selected="0"/>
          <reference field="3" count="1" selected="0">
            <x v="8"/>
          </reference>
          <reference field="4" count="1" selected="0">
            <x v="3"/>
          </reference>
          <reference field="5" count="1" selected="0">
            <x v="139"/>
          </reference>
          <reference field="6" count="1" selected="0">
            <x v="3"/>
          </reference>
          <reference field="9" count="1" selected="0">
            <x v="10"/>
          </reference>
          <reference field="11" count="1">
            <x v="14"/>
          </reference>
        </references>
      </pivotArea>
    </format>
    <format dxfId="8519">
      <pivotArea dataOnly="0" labelOnly="1" outline="0" fieldPosition="0">
        <references count="7">
          <reference field="1" count="0" selected="0"/>
          <reference field="3" count="1" selected="0">
            <x v="8"/>
          </reference>
          <reference field="4" count="1" selected="0">
            <x v="3"/>
          </reference>
          <reference field="5" count="1" selected="0">
            <x v="162"/>
          </reference>
          <reference field="6" count="1" selected="0">
            <x v="3"/>
          </reference>
          <reference field="9" count="1" selected="0">
            <x v="10"/>
          </reference>
          <reference field="11" count="1">
            <x v="15"/>
          </reference>
        </references>
      </pivotArea>
    </format>
    <format dxfId="8518">
      <pivotArea dataOnly="0" labelOnly="1" outline="0" fieldPosition="0">
        <references count="7">
          <reference field="1" count="0" selected="0"/>
          <reference field="3" count="1" selected="0">
            <x v="9"/>
          </reference>
          <reference field="4" count="1" selected="0">
            <x v="4"/>
          </reference>
          <reference field="5" count="1" selected="0">
            <x v="141"/>
          </reference>
          <reference field="6" count="1" selected="0">
            <x v="5"/>
          </reference>
          <reference field="9" count="1" selected="0">
            <x v="10"/>
          </reference>
          <reference field="11" count="1">
            <x v="14"/>
          </reference>
        </references>
      </pivotArea>
    </format>
    <format dxfId="8517">
      <pivotArea dataOnly="0" labelOnly="1" outline="0" fieldPosition="0">
        <references count="8">
          <reference field="1" count="0" selected="0"/>
          <reference field="3" count="1" selected="0">
            <x v="0"/>
          </reference>
          <reference field="4" count="1" selected="0">
            <x v="1"/>
          </reference>
          <reference field="5" count="1" selected="0">
            <x v="344"/>
          </reference>
          <reference field="6" count="1" selected="0">
            <x v="7"/>
          </reference>
          <reference field="9" count="1" selected="0">
            <x v="10"/>
          </reference>
          <reference field="11" count="1" selected="0">
            <x v="14"/>
          </reference>
          <reference field="12" count="1">
            <x v="8"/>
          </reference>
        </references>
      </pivotArea>
    </format>
    <format dxfId="8516">
      <pivotArea dataOnly="0" labelOnly="1" outline="0" fieldPosition="0">
        <references count="8">
          <reference field="1" count="0" selected="0"/>
          <reference field="3" count="1" selected="0">
            <x v="3"/>
          </reference>
          <reference field="4" count="1" selected="0">
            <x v="1"/>
          </reference>
          <reference field="5" count="1" selected="0">
            <x v="199"/>
          </reference>
          <reference field="6" count="1" selected="0">
            <x v="2"/>
          </reference>
          <reference field="9" count="1" selected="0">
            <x v="10"/>
          </reference>
          <reference field="11" count="1" selected="0">
            <x v="5"/>
          </reference>
          <reference field="12" count="1">
            <x v="25"/>
          </reference>
        </references>
      </pivotArea>
    </format>
    <format dxfId="8515">
      <pivotArea dataOnly="0" labelOnly="1" outline="0" fieldPosition="0">
        <references count="8">
          <reference field="1" count="0" selected="0"/>
          <reference field="3" count="1" selected="0">
            <x v="3"/>
          </reference>
          <reference field="4" count="1" selected="0">
            <x v="1"/>
          </reference>
          <reference field="5" count="1" selected="0">
            <x v="202"/>
          </reference>
          <reference field="6" count="1" selected="0">
            <x v="2"/>
          </reference>
          <reference field="9" count="1" selected="0">
            <x v="10"/>
          </reference>
          <reference field="11" count="1" selected="0">
            <x v="16"/>
          </reference>
          <reference field="12" count="1">
            <x v="8"/>
          </reference>
        </references>
      </pivotArea>
    </format>
    <format dxfId="8514">
      <pivotArea dataOnly="0" labelOnly="1" outline="0" fieldPosition="0">
        <references count="8">
          <reference field="1" count="0" selected="0"/>
          <reference field="3" count="1" selected="0">
            <x v="4"/>
          </reference>
          <reference field="4" count="1" selected="0">
            <x v="1"/>
          </reference>
          <reference field="5" count="1" selected="0">
            <x v="97"/>
          </reference>
          <reference field="6" count="1" selected="0">
            <x v="2"/>
          </reference>
          <reference field="9" count="1" selected="0">
            <x v="10"/>
          </reference>
          <reference field="11" count="1" selected="0">
            <x v="14"/>
          </reference>
          <reference field="12" count="1">
            <x v="20"/>
          </reference>
        </references>
      </pivotArea>
    </format>
    <format dxfId="8513">
      <pivotArea dataOnly="0" labelOnly="1" outline="0" fieldPosition="0">
        <references count="8">
          <reference field="1" count="0" selected="0"/>
          <reference field="3" count="1" selected="0">
            <x v="4"/>
          </reference>
          <reference field="4" count="1" selected="0">
            <x v="1"/>
          </reference>
          <reference field="5" count="1" selected="0">
            <x v="143"/>
          </reference>
          <reference field="6" count="1" selected="0">
            <x v="2"/>
          </reference>
          <reference field="9" count="1" selected="0">
            <x v="10"/>
          </reference>
          <reference field="11" count="1" selected="0">
            <x v="14"/>
          </reference>
          <reference field="12" count="1">
            <x v="3"/>
          </reference>
        </references>
      </pivotArea>
    </format>
    <format dxfId="8512">
      <pivotArea dataOnly="0" labelOnly="1" outline="0" fieldPosition="0">
        <references count="8">
          <reference field="1" count="0" selected="0"/>
          <reference field="3" count="1" selected="0">
            <x v="4"/>
          </reference>
          <reference field="4" count="1" selected="0">
            <x v="1"/>
          </reference>
          <reference field="5" count="1" selected="0">
            <x v="155"/>
          </reference>
          <reference field="6" count="1" selected="0">
            <x v="2"/>
          </reference>
          <reference field="9" count="1" selected="0">
            <x v="10"/>
          </reference>
          <reference field="11" count="1" selected="0">
            <x v="58"/>
          </reference>
          <reference field="12" count="1">
            <x v="8"/>
          </reference>
        </references>
      </pivotArea>
    </format>
    <format dxfId="8511">
      <pivotArea dataOnly="0" labelOnly="1" outline="0" fieldPosition="0">
        <references count="8">
          <reference field="1" count="0" selected="0"/>
          <reference field="3" count="1" selected="0">
            <x v="6"/>
          </reference>
          <reference field="4" count="1" selected="0">
            <x v="0"/>
          </reference>
          <reference field="5" count="1" selected="0">
            <x v="120"/>
          </reference>
          <reference field="6" count="1" selected="0">
            <x v="9"/>
          </reference>
          <reference field="9" count="1" selected="0">
            <x v="10"/>
          </reference>
          <reference field="11" count="1" selected="0">
            <x v="3"/>
          </reference>
          <reference field="12" count="1">
            <x v="1"/>
          </reference>
        </references>
      </pivotArea>
    </format>
    <format dxfId="8510">
      <pivotArea dataOnly="0" labelOnly="1" outline="0" fieldPosition="0">
        <references count="8">
          <reference field="1" count="0" selected="0"/>
          <reference field="3" count="1" selected="0">
            <x v="6"/>
          </reference>
          <reference field="4" count="1" selected="0">
            <x v="0"/>
          </reference>
          <reference field="5" count="1" selected="0">
            <x v="168"/>
          </reference>
          <reference field="6" count="1" selected="0">
            <x v="9"/>
          </reference>
          <reference field="9" count="1" selected="0">
            <x v="10"/>
          </reference>
          <reference field="11" count="1" selected="0">
            <x v="47"/>
          </reference>
          <reference field="12" count="1">
            <x v="0"/>
          </reference>
        </references>
      </pivotArea>
    </format>
    <format dxfId="8509">
      <pivotArea dataOnly="0" labelOnly="1" outline="0" fieldPosition="0">
        <references count="8">
          <reference field="1" count="0" selected="0"/>
          <reference field="3" count="1" selected="0">
            <x v="6"/>
          </reference>
          <reference field="4" count="1" selected="0">
            <x v="0"/>
          </reference>
          <reference field="5" count="1" selected="0">
            <x v="172"/>
          </reference>
          <reference field="6" count="1" selected="0">
            <x v="9"/>
          </reference>
          <reference field="9" count="1" selected="0">
            <x v="10"/>
          </reference>
          <reference field="11" count="1" selected="0">
            <x v="14"/>
          </reference>
          <reference field="12" count="1">
            <x v="33"/>
          </reference>
        </references>
      </pivotArea>
    </format>
    <format dxfId="8508">
      <pivotArea dataOnly="0" labelOnly="1" outline="0" fieldPosition="0">
        <references count="8">
          <reference field="1" count="0" selected="0"/>
          <reference field="3" count="1" selected="0">
            <x v="6"/>
          </reference>
          <reference field="4" count="1" selected="0">
            <x v="0"/>
          </reference>
          <reference field="5" count="1" selected="0">
            <x v="177"/>
          </reference>
          <reference field="6" count="1" selected="0">
            <x v="9"/>
          </reference>
          <reference field="9" count="1" selected="0">
            <x v="10"/>
          </reference>
          <reference field="11" count="1" selected="0">
            <x v="1"/>
          </reference>
          <reference field="12" count="1">
            <x v="8"/>
          </reference>
        </references>
      </pivotArea>
    </format>
    <format dxfId="8507">
      <pivotArea dataOnly="0" labelOnly="1" outline="0" fieldPosition="0">
        <references count="8">
          <reference field="1" count="0" selected="0"/>
          <reference field="3" count="1" selected="0">
            <x v="6"/>
          </reference>
          <reference field="4" count="1" selected="0">
            <x v="0"/>
          </reference>
          <reference field="5" count="1" selected="0">
            <x v="184"/>
          </reference>
          <reference field="6" count="1" selected="0">
            <x v="9"/>
          </reference>
          <reference field="9" count="1" selected="0">
            <x v="10"/>
          </reference>
          <reference field="11" count="1" selected="0">
            <x v="10"/>
          </reference>
          <reference field="12" count="1">
            <x v="28"/>
          </reference>
        </references>
      </pivotArea>
    </format>
    <format dxfId="8506">
      <pivotArea dataOnly="0" labelOnly="1" outline="0" fieldPosition="0">
        <references count="8">
          <reference field="1" count="0" selected="0"/>
          <reference field="3" count="1" selected="0">
            <x v="6"/>
          </reference>
          <reference field="4" count="1" selected="0">
            <x v="0"/>
          </reference>
          <reference field="5" count="1" selected="0">
            <x v="187"/>
          </reference>
          <reference field="6" count="1" selected="0">
            <x v="9"/>
          </reference>
          <reference field="9" count="1" selected="0">
            <x v="10"/>
          </reference>
          <reference field="11" count="1" selected="0">
            <x v="50"/>
          </reference>
          <reference field="12" count="1">
            <x v="8"/>
          </reference>
        </references>
      </pivotArea>
    </format>
    <format dxfId="8505">
      <pivotArea dataOnly="0" labelOnly="1" outline="0" fieldPosition="0">
        <references count="8">
          <reference field="1" count="0" selected="0"/>
          <reference field="3" count="1" selected="0">
            <x v="6"/>
          </reference>
          <reference field="4" count="1" selected="0">
            <x v="0"/>
          </reference>
          <reference field="5" count="1" selected="0">
            <x v="325"/>
          </reference>
          <reference field="6" count="1" selected="0">
            <x v="9"/>
          </reference>
          <reference field="9" count="1" selected="0">
            <x v="10"/>
          </reference>
          <reference field="11" count="1" selected="0">
            <x v="14"/>
          </reference>
          <reference field="12" count="1">
            <x v="13"/>
          </reference>
        </references>
      </pivotArea>
    </format>
    <format dxfId="8504">
      <pivotArea dataOnly="0" labelOnly="1" outline="0" fieldPosition="0">
        <references count="8">
          <reference field="1" count="0" selected="0"/>
          <reference field="3" count="1" selected="0">
            <x v="6"/>
          </reference>
          <reference field="4" count="1" selected="0">
            <x v="0"/>
          </reference>
          <reference field="5" count="1" selected="0">
            <x v="352"/>
          </reference>
          <reference field="6" count="1" selected="0">
            <x v="9"/>
          </reference>
          <reference field="9" count="1" selected="0">
            <x v="10"/>
          </reference>
          <reference field="11" count="1" selected="0">
            <x v="38"/>
          </reference>
          <reference field="12" count="1">
            <x v="36"/>
          </reference>
        </references>
      </pivotArea>
    </format>
    <format dxfId="8503">
      <pivotArea dataOnly="0" labelOnly="1" outline="0" fieldPosition="0">
        <references count="8">
          <reference field="1" count="0" selected="0"/>
          <reference field="3" count="1" selected="0">
            <x v="8"/>
          </reference>
          <reference field="4" count="1" selected="0">
            <x v="3"/>
          </reference>
          <reference field="5" count="1" selected="0">
            <x v="133"/>
          </reference>
          <reference field="6" count="1" selected="0">
            <x v="3"/>
          </reference>
          <reference field="9" count="1" selected="0">
            <x v="10"/>
          </reference>
          <reference field="11" count="1" selected="0">
            <x v="5"/>
          </reference>
          <reference field="12" count="1">
            <x v="4"/>
          </reference>
        </references>
      </pivotArea>
    </format>
    <format dxfId="8502">
      <pivotArea dataOnly="0" labelOnly="1" outline="0" fieldPosition="0">
        <references count="8">
          <reference field="1" count="0" selected="0"/>
          <reference field="3" count="1" selected="0">
            <x v="8"/>
          </reference>
          <reference field="4" count="1" selected="0">
            <x v="3"/>
          </reference>
          <reference field="5" count="1" selected="0">
            <x v="139"/>
          </reference>
          <reference field="6" count="1" selected="0">
            <x v="3"/>
          </reference>
          <reference field="9" count="1" selected="0">
            <x v="10"/>
          </reference>
          <reference field="11" count="1" selected="0">
            <x v="14"/>
          </reference>
          <reference field="12" count="1">
            <x v="12"/>
          </reference>
        </references>
      </pivotArea>
    </format>
    <format dxfId="8501">
      <pivotArea dataOnly="0" labelOnly="1" outline="0" fieldPosition="0">
        <references count="8">
          <reference field="1" count="0" selected="0"/>
          <reference field="3" count="1" selected="0">
            <x v="8"/>
          </reference>
          <reference field="4" count="1" selected="0">
            <x v="3"/>
          </reference>
          <reference field="5" count="1" selected="0">
            <x v="162"/>
          </reference>
          <reference field="6" count="1" selected="0">
            <x v="3"/>
          </reference>
          <reference field="9" count="1" selected="0">
            <x v="10"/>
          </reference>
          <reference field="11" count="1" selected="0">
            <x v="15"/>
          </reference>
          <reference field="12" count="1">
            <x v="8"/>
          </reference>
        </references>
      </pivotArea>
    </format>
    <format dxfId="8500">
      <pivotArea dataOnly="0" labelOnly="1" outline="0" fieldPosition="0">
        <references count="8">
          <reference field="1" count="0" selected="0"/>
          <reference field="3" count="1" selected="0">
            <x v="9"/>
          </reference>
          <reference field="4" count="1" selected="0">
            <x v="4"/>
          </reference>
          <reference field="5" count="1" selected="0">
            <x v="141"/>
          </reference>
          <reference field="6" count="1" selected="0">
            <x v="5"/>
          </reference>
          <reference field="9" count="1" selected="0">
            <x v="10"/>
          </reference>
          <reference field="11" count="1" selected="0">
            <x v="14"/>
          </reference>
          <reference field="12" count="1">
            <x v="3"/>
          </reference>
        </references>
      </pivotArea>
    </format>
    <format dxfId="8499">
      <pivotArea dataOnly="0" labelOnly="1" outline="0" fieldPosition="0">
        <references count="9">
          <reference field="1" count="0" selected="0"/>
          <reference field="3" count="1" selected="0">
            <x v="0"/>
          </reference>
          <reference field="4" count="1" selected="0">
            <x v="1"/>
          </reference>
          <reference field="5" count="1" selected="0">
            <x v="344"/>
          </reference>
          <reference field="6" count="1" selected="0">
            <x v="7"/>
          </reference>
          <reference field="9" count="1" selected="0">
            <x v="10"/>
          </reference>
          <reference field="11" count="1" selected="0">
            <x v="14"/>
          </reference>
          <reference field="12" count="1" selected="0">
            <x v="8"/>
          </reference>
          <reference field="13" count="1">
            <x v="3"/>
          </reference>
        </references>
      </pivotArea>
    </format>
    <format dxfId="8498">
      <pivotArea dataOnly="0" labelOnly="1" outline="0" fieldPosition="0">
        <references count="9">
          <reference field="1" count="0" selected="0"/>
          <reference field="3" count="1" selected="0">
            <x v="6"/>
          </reference>
          <reference field="4" count="1" selected="0">
            <x v="0"/>
          </reference>
          <reference field="5" count="1" selected="0">
            <x v="168"/>
          </reference>
          <reference field="6" count="1" selected="0">
            <x v="9"/>
          </reference>
          <reference field="9" count="1" selected="0">
            <x v="10"/>
          </reference>
          <reference field="11" count="1" selected="0">
            <x v="47"/>
          </reference>
          <reference field="12" count="1" selected="0">
            <x v="0"/>
          </reference>
          <reference field="13" count="1">
            <x v="4"/>
          </reference>
        </references>
      </pivotArea>
    </format>
    <format dxfId="8497">
      <pivotArea dataOnly="0" labelOnly="1" outline="0" fieldPosition="0">
        <references count="9">
          <reference field="1" count="0" selected="0"/>
          <reference field="3" count="1" selected="0">
            <x v="6"/>
          </reference>
          <reference field="4" count="1" selected="0">
            <x v="0"/>
          </reference>
          <reference field="5" count="1" selected="0">
            <x v="172"/>
          </reference>
          <reference field="6" count="1" selected="0">
            <x v="9"/>
          </reference>
          <reference field="9" count="1" selected="0">
            <x v="10"/>
          </reference>
          <reference field="11" count="1" selected="0">
            <x v="14"/>
          </reference>
          <reference field="12" count="1" selected="0">
            <x v="33"/>
          </reference>
          <reference field="13" count="1">
            <x v="3"/>
          </reference>
        </references>
      </pivotArea>
    </format>
    <format dxfId="8496">
      <pivotArea dataOnly="0" labelOnly="1" outline="0" fieldPosition="0">
        <references count="10">
          <reference field="1" count="0" selected="0"/>
          <reference field="3" count="1" selected="0">
            <x v="0"/>
          </reference>
          <reference field="4" count="1" selected="0">
            <x v="1"/>
          </reference>
          <reference field="5" count="1" selected="0">
            <x v="344"/>
          </reference>
          <reference field="6" count="1" selected="0">
            <x v="7"/>
          </reference>
          <reference field="9" count="1" selected="0">
            <x v="10"/>
          </reference>
          <reference field="11" count="1" selected="0">
            <x v="14"/>
          </reference>
          <reference field="12" count="1" selected="0">
            <x v="8"/>
          </reference>
          <reference field="13" count="1" selected="0">
            <x v="3"/>
          </reference>
          <reference field="14" count="1">
            <x v="17"/>
          </reference>
        </references>
      </pivotArea>
    </format>
    <format dxfId="8495">
      <pivotArea dataOnly="0" labelOnly="1" outline="0" fieldPosition="0">
        <references count="10">
          <reference field="1" count="0" selected="0"/>
          <reference field="3" count="1" selected="0">
            <x v="3"/>
          </reference>
          <reference field="4" count="1" selected="0">
            <x v="1"/>
          </reference>
          <reference field="5" count="1" selected="0">
            <x v="199"/>
          </reference>
          <reference field="6" count="1" selected="0">
            <x v="2"/>
          </reference>
          <reference field="9" count="1" selected="0">
            <x v="10"/>
          </reference>
          <reference field="11" count="1" selected="0">
            <x v="5"/>
          </reference>
          <reference field="12" count="1" selected="0">
            <x v="25"/>
          </reference>
          <reference field="13" count="1" selected="0">
            <x v="3"/>
          </reference>
          <reference field="14" count="1">
            <x v="16"/>
          </reference>
        </references>
      </pivotArea>
    </format>
    <format dxfId="8494">
      <pivotArea dataOnly="0" labelOnly="1" outline="0" fieldPosition="0">
        <references count="10">
          <reference field="1" count="0" selected="0"/>
          <reference field="3" count="1" selected="0">
            <x v="3"/>
          </reference>
          <reference field="4" count="1" selected="0">
            <x v="1"/>
          </reference>
          <reference field="5" count="1" selected="0">
            <x v="202"/>
          </reference>
          <reference field="6" count="1" selected="0">
            <x v="2"/>
          </reference>
          <reference field="9" count="1" selected="0">
            <x v="10"/>
          </reference>
          <reference field="11" count="1" selected="0">
            <x v="16"/>
          </reference>
          <reference field="12" count="1" selected="0">
            <x v="8"/>
          </reference>
          <reference field="13" count="1" selected="0">
            <x v="3"/>
          </reference>
          <reference field="14" count="1">
            <x v="17"/>
          </reference>
        </references>
      </pivotArea>
    </format>
    <format dxfId="8493">
      <pivotArea dataOnly="0" labelOnly="1" outline="0" fieldPosition="0">
        <references count="10">
          <reference field="1" count="0" selected="0"/>
          <reference field="3" count="1" selected="0">
            <x v="4"/>
          </reference>
          <reference field="4" count="1" selected="0">
            <x v="1"/>
          </reference>
          <reference field="5" count="1" selected="0">
            <x v="97"/>
          </reference>
          <reference field="6" count="1" selected="0">
            <x v="2"/>
          </reference>
          <reference field="9" count="1" selected="0">
            <x v="10"/>
          </reference>
          <reference field="11" count="1" selected="0">
            <x v="14"/>
          </reference>
          <reference field="12" count="1" selected="0">
            <x v="20"/>
          </reference>
          <reference field="13" count="1" selected="0">
            <x v="3"/>
          </reference>
          <reference field="14" count="1">
            <x v="18"/>
          </reference>
        </references>
      </pivotArea>
    </format>
    <format dxfId="8492">
      <pivotArea dataOnly="0" labelOnly="1" outline="0" fieldPosition="0">
        <references count="10">
          <reference field="1" count="0" selected="0"/>
          <reference field="3" count="1" selected="0">
            <x v="4"/>
          </reference>
          <reference field="4" count="1" selected="0">
            <x v="1"/>
          </reference>
          <reference field="5" count="1" selected="0">
            <x v="143"/>
          </reference>
          <reference field="6" count="1" selected="0">
            <x v="2"/>
          </reference>
          <reference field="9" count="1" selected="0">
            <x v="10"/>
          </reference>
          <reference field="11" count="1" selected="0">
            <x v="14"/>
          </reference>
          <reference field="12" count="1" selected="0">
            <x v="3"/>
          </reference>
          <reference field="13" count="1" selected="0">
            <x v="3"/>
          </reference>
          <reference field="14" count="1">
            <x v="17"/>
          </reference>
        </references>
      </pivotArea>
    </format>
    <format dxfId="8491">
      <pivotArea dataOnly="0" labelOnly="1" outline="0" fieldPosition="0">
        <references count="10">
          <reference field="1" count="0" selected="0"/>
          <reference field="3" count="1" selected="0">
            <x v="4"/>
          </reference>
          <reference field="4" count="1" selected="0">
            <x v="1"/>
          </reference>
          <reference field="5" count="1" selected="0">
            <x v="155"/>
          </reference>
          <reference field="6" count="1" selected="0">
            <x v="2"/>
          </reference>
          <reference field="9" count="1" selected="0">
            <x v="10"/>
          </reference>
          <reference field="11" count="1" selected="0">
            <x v="58"/>
          </reference>
          <reference field="12" count="1" selected="0">
            <x v="8"/>
          </reference>
          <reference field="13" count="1" selected="0">
            <x v="3"/>
          </reference>
          <reference field="14" count="1">
            <x v="58"/>
          </reference>
        </references>
      </pivotArea>
    </format>
    <format dxfId="8490">
      <pivotArea dataOnly="0" labelOnly="1" outline="0" fieldPosition="0">
        <references count="10">
          <reference field="1" count="0" selected="0"/>
          <reference field="3" count="1" selected="0">
            <x v="4"/>
          </reference>
          <reference field="4" count="1" selected="0">
            <x v="1"/>
          </reference>
          <reference field="5" count="1" selected="0">
            <x v="214"/>
          </reference>
          <reference field="6" count="1" selected="0">
            <x v="2"/>
          </reference>
          <reference field="9" count="1" selected="0">
            <x v="10"/>
          </reference>
          <reference field="11" count="1" selected="0">
            <x v="35"/>
          </reference>
          <reference field="12" count="1" selected="0">
            <x v="8"/>
          </reference>
          <reference field="13" count="1" selected="0">
            <x v="3"/>
          </reference>
          <reference field="14" count="1">
            <x v="17"/>
          </reference>
        </references>
      </pivotArea>
    </format>
    <format dxfId="8489">
      <pivotArea dataOnly="0" labelOnly="1" outline="0" fieldPosition="0">
        <references count="10">
          <reference field="1" count="0" selected="0"/>
          <reference field="3" count="1" selected="0">
            <x v="4"/>
          </reference>
          <reference field="4" count="1" selected="0">
            <x v="1"/>
          </reference>
          <reference field="5" count="1" selected="0">
            <x v="329"/>
          </reference>
          <reference field="6" count="1" selected="0">
            <x v="2"/>
          </reference>
          <reference field="9" count="1" selected="0">
            <x v="4"/>
          </reference>
          <reference field="11" count="1" selected="0">
            <x v="28"/>
          </reference>
          <reference field="12" count="1" selected="0">
            <x v="8"/>
          </reference>
          <reference field="13" count="1" selected="0">
            <x v="3"/>
          </reference>
          <reference field="14" count="1">
            <x v="39"/>
          </reference>
        </references>
      </pivotArea>
    </format>
    <format dxfId="8488">
      <pivotArea dataOnly="0" labelOnly="1" outline="0" fieldPosition="0">
        <references count="10">
          <reference field="1" count="0" selected="0"/>
          <reference field="3" count="1" selected="0">
            <x v="6"/>
          </reference>
          <reference field="4" count="1" selected="0">
            <x v="0"/>
          </reference>
          <reference field="5" count="1" selected="0">
            <x v="120"/>
          </reference>
          <reference field="6" count="1" selected="0">
            <x v="9"/>
          </reference>
          <reference field="9" count="1" selected="0">
            <x v="10"/>
          </reference>
          <reference field="11" count="1" selected="0">
            <x v="3"/>
          </reference>
          <reference field="12" count="1" selected="0">
            <x v="1"/>
          </reference>
          <reference field="13" count="1" selected="0">
            <x v="3"/>
          </reference>
          <reference field="14" count="1">
            <x v="17"/>
          </reference>
        </references>
      </pivotArea>
    </format>
    <format dxfId="8487">
      <pivotArea dataOnly="0" labelOnly="1" outline="0" fieldPosition="0">
        <references count="10">
          <reference field="1" count="0" selected="0"/>
          <reference field="3" count="1" selected="0">
            <x v="6"/>
          </reference>
          <reference field="4" count="1" selected="0">
            <x v="0"/>
          </reference>
          <reference field="5" count="1" selected="0">
            <x v="156"/>
          </reference>
          <reference field="6" count="1" selected="0">
            <x v="9"/>
          </reference>
          <reference field="9" count="1" selected="0">
            <x v="10"/>
          </reference>
          <reference field="11" count="1" selected="0">
            <x v="23"/>
          </reference>
          <reference field="12" count="1" selected="0">
            <x v="8"/>
          </reference>
          <reference field="13" count="1" selected="0">
            <x v="3"/>
          </reference>
          <reference field="14" count="1">
            <x v="32"/>
          </reference>
        </references>
      </pivotArea>
    </format>
    <format dxfId="8486">
      <pivotArea dataOnly="0" labelOnly="1" outline="0" fieldPosition="0">
        <references count="10">
          <reference field="1" count="0" selected="0"/>
          <reference field="3" count="1" selected="0">
            <x v="6"/>
          </reference>
          <reference field="4" count="1" selected="0">
            <x v="0"/>
          </reference>
          <reference field="5" count="1" selected="0">
            <x v="159"/>
          </reference>
          <reference field="6" count="1" selected="0">
            <x v="9"/>
          </reference>
          <reference field="9" count="1" selected="0">
            <x v="10"/>
          </reference>
          <reference field="11" count="1" selected="0">
            <x v="30"/>
          </reference>
          <reference field="12" count="1" selected="0">
            <x v="8"/>
          </reference>
          <reference field="13" count="1" selected="0">
            <x v="3"/>
          </reference>
          <reference field="14" count="1">
            <x v="38"/>
          </reference>
        </references>
      </pivotArea>
    </format>
    <format dxfId="8485">
      <pivotArea dataOnly="0" labelOnly="1" outline="0" fieldPosition="0">
        <references count="10">
          <reference field="1" count="0" selected="0"/>
          <reference field="3" count="1" selected="0">
            <x v="6"/>
          </reference>
          <reference field="4" count="1" selected="0">
            <x v="0"/>
          </reference>
          <reference field="5" count="1" selected="0">
            <x v="168"/>
          </reference>
          <reference field="6" count="1" selected="0">
            <x v="9"/>
          </reference>
          <reference field="9" count="1" selected="0">
            <x v="10"/>
          </reference>
          <reference field="11" count="1" selected="0">
            <x v="47"/>
          </reference>
          <reference field="12" count="1" selected="0">
            <x v="0"/>
          </reference>
          <reference field="13" count="1" selected="0">
            <x v="4"/>
          </reference>
          <reference field="14" count="1">
            <x v="17"/>
          </reference>
        </references>
      </pivotArea>
    </format>
    <format dxfId="8484">
      <pivotArea dataOnly="0" labelOnly="1" outline="0" fieldPosition="0">
        <references count="10">
          <reference field="1" count="0" selected="0"/>
          <reference field="3" count="1" selected="0">
            <x v="6"/>
          </reference>
          <reference field="4" count="1" selected="0">
            <x v="0"/>
          </reference>
          <reference field="5" count="1" selected="0">
            <x v="172"/>
          </reference>
          <reference field="6" count="1" selected="0">
            <x v="9"/>
          </reference>
          <reference field="9" count="1" selected="0">
            <x v="10"/>
          </reference>
          <reference field="11" count="1" selected="0">
            <x v="14"/>
          </reference>
          <reference field="12" count="1" selected="0">
            <x v="33"/>
          </reference>
          <reference field="13" count="1" selected="0">
            <x v="3"/>
          </reference>
          <reference field="14" count="1">
            <x v="25"/>
          </reference>
        </references>
      </pivotArea>
    </format>
    <format dxfId="8483">
      <pivotArea dataOnly="0" labelOnly="1" outline="0" fieldPosition="0">
        <references count="10">
          <reference field="1" count="0" selected="0"/>
          <reference field="3" count="1" selected="0">
            <x v="6"/>
          </reference>
          <reference field="4" count="1" selected="0">
            <x v="0"/>
          </reference>
          <reference field="5" count="1" selected="0">
            <x v="177"/>
          </reference>
          <reference field="6" count="1" selected="0">
            <x v="9"/>
          </reference>
          <reference field="9" count="1" selected="0">
            <x v="10"/>
          </reference>
          <reference field="11" count="1" selected="0">
            <x v="1"/>
          </reference>
          <reference field="12" count="1" selected="0">
            <x v="8"/>
          </reference>
          <reference field="13" count="1" selected="0">
            <x v="3"/>
          </reference>
          <reference field="14" count="1">
            <x v="4"/>
          </reference>
        </references>
      </pivotArea>
    </format>
    <format dxfId="8482">
      <pivotArea dataOnly="0" labelOnly="1" outline="0" fieldPosition="0">
        <references count="10">
          <reference field="1" count="0" selected="0"/>
          <reference field="3" count="1" selected="0">
            <x v="6"/>
          </reference>
          <reference field="4" count="1" selected="0">
            <x v="0"/>
          </reference>
          <reference field="5" count="1" selected="0">
            <x v="184"/>
          </reference>
          <reference field="6" count="1" selected="0">
            <x v="9"/>
          </reference>
          <reference field="9" count="1" selected="0">
            <x v="10"/>
          </reference>
          <reference field="11" count="1" selected="0">
            <x v="10"/>
          </reference>
          <reference field="12" count="1" selected="0">
            <x v="28"/>
          </reference>
          <reference field="13" count="1" selected="0">
            <x v="3"/>
          </reference>
          <reference field="14" count="1">
            <x v="53"/>
          </reference>
        </references>
      </pivotArea>
    </format>
    <format dxfId="8481">
      <pivotArea dataOnly="0" labelOnly="1" outline="0" fieldPosition="0">
        <references count="10">
          <reference field="1" count="0" selected="0"/>
          <reference field="3" count="1" selected="0">
            <x v="6"/>
          </reference>
          <reference field="4" count="1" selected="0">
            <x v="0"/>
          </reference>
          <reference field="5" count="1" selected="0">
            <x v="187"/>
          </reference>
          <reference field="6" count="1" selected="0">
            <x v="9"/>
          </reference>
          <reference field="9" count="1" selected="0">
            <x v="10"/>
          </reference>
          <reference field="11" count="1" selected="0">
            <x v="50"/>
          </reference>
          <reference field="12" count="1" selected="0">
            <x v="8"/>
          </reference>
          <reference field="13" count="1" selected="0">
            <x v="3"/>
          </reference>
          <reference field="14" count="1">
            <x v="48"/>
          </reference>
        </references>
      </pivotArea>
    </format>
    <format dxfId="8480">
      <pivotArea dataOnly="0" labelOnly="1" outline="0" fieldPosition="0">
        <references count="10">
          <reference field="1" count="0" selected="0"/>
          <reference field="3" count="1" selected="0">
            <x v="6"/>
          </reference>
          <reference field="4" count="1" selected="0">
            <x v="0"/>
          </reference>
          <reference field="5" count="1" selected="0">
            <x v="209"/>
          </reference>
          <reference field="6" count="1" selected="0">
            <x v="9"/>
          </reference>
          <reference field="9" count="1" selected="0">
            <x v="10"/>
          </reference>
          <reference field="11" count="1" selected="0">
            <x v="36"/>
          </reference>
          <reference field="12" count="1" selected="0">
            <x v="8"/>
          </reference>
          <reference field="13" count="1" selected="0">
            <x v="3"/>
          </reference>
          <reference field="14" count="1">
            <x v="35"/>
          </reference>
        </references>
      </pivotArea>
    </format>
    <format dxfId="8479">
      <pivotArea dataOnly="0" labelOnly="1" outline="0" fieldPosition="0">
        <references count="10">
          <reference field="1" count="0" selected="0"/>
          <reference field="3" count="1" selected="0">
            <x v="6"/>
          </reference>
          <reference field="4" count="1" selected="0">
            <x v="0"/>
          </reference>
          <reference field="5" count="1" selected="0">
            <x v="325"/>
          </reference>
          <reference field="6" count="1" selected="0">
            <x v="9"/>
          </reference>
          <reference field="9" count="1" selected="0">
            <x v="10"/>
          </reference>
          <reference field="11" count="1" selected="0">
            <x v="14"/>
          </reference>
          <reference field="12" count="1" selected="0">
            <x v="13"/>
          </reference>
          <reference field="13" count="1" selected="0">
            <x v="3"/>
          </reference>
          <reference field="14" count="1">
            <x v="17"/>
          </reference>
        </references>
      </pivotArea>
    </format>
    <format dxfId="8478">
      <pivotArea dataOnly="0" labelOnly="1" outline="0" fieldPosition="0">
        <references count="10">
          <reference field="1" count="0" selected="0"/>
          <reference field="3" count="1" selected="0">
            <x v="6"/>
          </reference>
          <reference field="4" count="1" selected="0">
            <x v="0"/>
          </reference>
          <reference field="5" count="1" selected="0">
            <x v="352"/>
          </reference>
          <reference field="6" count="1" selected="0">
            <x v="9"/>
          </reference>
          <reference field="9" count="1" selected="0">
            <x v="10"/>
          </reference>
          <reference field="11" count="1" selected="0">
            <x v="38"/>
          </reference>
          <reference field="12" count="1" selected="0">
            <x v="36"/>
          </reference>
          <reference field="13" count="1" selected="0">
            <x v="3"/>
          </reference>
          <reference field="14" count="1">
            <x v="1"/>
          </reference>
        </references>
      </pivotArea>
    </format>
    <format dxfId="8477">
      <pivotArea dataOnly="0" labelOnly="1" outline="0" fieldPosition="0">
        <references count="10">
          <reference field="1" count="0" selected="0"/>
          <reference field="3" count="1" selected="0">
            <x v="8"/>
          </reference>
          <reference field="4" count="1" selected="0">
            <x v="3"/>
          </reference>
          <reference field="5" count="1" selected="0">
            <x v="133"/>
          </reference>
          <reference field="6" count="1" selected="0">
            <x v="3"/>
          </reference>
          <reference field="9" count="1" selected="0">
            <x v="10"/>
          </reference>
          <reference field="11" count="1" selected="0">
            <x v="5"/>
          </reference>
          <reference field="12" count="1" selected="0">
            <x v="4"/>
          </reference>
          <reference field="13" count="1" selected="0">
            <x v="3"/>
          </reference>
          <reference field="14" count="1">
            <x v="2"/>
          </reference>
        </references>
      </pivotArea>
    </format>
    <format dxfId="8476">
      <pivotArea dataOnly="0" labelOnly="1" outline="0" fieldPosition="0">
        <references count="10">
          <reference field="1" count="0" selected="0"/>
          <reference field="3" count="1" selected="0">
            <x v="8"/>
          </reference>
          <reference field="4" count="1" selected="0">
            <x v="3"/>
          </reference>
          <reference field="5" count="1" selected="0">
            <x v="139"/>
          </reference>
          <reference field="6" count="1" selected="0">
            <x v="3"/>
          </reference>
          <reference field="9" count="1" selected="0">
            <x v="10"/>
          </reference>
          <reference field="11" count="1" selected="0">
            <x v="14"/>
          </reference>
          <reference field="12" count="1" selected="0">
            <x v="12"/>
          </reference>
          <reference field="13" count="1" selected="0">
            <x v="3"/>
          </reference>
          <reference field="14" count="1">
            <x v="17"/>
          </reference>
        </references>
      </pivotArea>
    </format>
    <format dxfId="8475">
      <pivotArea dataOnly="0" labelOnly="1" outline="0" fieldPosition="0">
        <references count="10">
          <reference field="1" count="0" selected="0"/>
          <reference field="3" count="1" selected="0">
            <x v="8"/>
          </reference>
          <reference field="4" count="1" selected="0">
            <x v="3"/>
          </reference>
          <reference field="5" count="1" selected="0">
            <x v="162"/>
          </reference>
          <reference field="6" count="1" selected="0">
            <x v="3"/>
          </reference>
          <reference field="9" count="1" selected="0">
            <x v="10"/>
          </reference>
          <reference field="11" count="1" selected="0">
            <x v="15"/>
          </reference>
          <reference field="12" count="1" selected="0">
            <x v="8"/>
          </reference>
          <reference field="13" count="1" selected="0">
            <x v="3"/>
          </reference>
          <reference field="14" count="1">
            <x v="22"/>
          </reference>
        </references>
      </pivotArea>
    </format>
    <format dxfId="8474">
      <pivotArea dataOnly="0" labelOnly="1" outline="0" fieldPosition="0">
        <references count="10">
          <reference field="1" count="0" selected="0"/>
          <reference field="3" count="1" selected="0">
            <x v="9"/>
          </reference>
          <reference field="4" count="1" selected="0">
            <x v="4"/>
          </reference>
          <reference field="5" count="1" selected="0">
            <x v="141"/>
          </reference>
          <reference field="6" count="1" selected="0">
            <x v="5"/>
          </reference>
          <reference field="9" count="1" selected="0">
            <x v="10"/>
          </reference>
          <reference field="11" count="1" selected="0">
            <x v="14"/>
          </reference>
          <reference field="12" count="1" selected="0">
            <x v="3"/>
          </reference>
          <reference field="13" count="1" selected="0">
            <x v="3"/>
          </reference>
          <reference field="14" count="1">
            <x v="17"/>
          </reference>
        </references>
      </pivotArea>
    </format>
    <format dxfId="8473">
      <pivotArea dataOnly="0" labelOnly="1" outline="0" fieldPosition="0">
        <references count="11">
          <reference field="1" count="0" selected="0"/>
          <reference field="3" count="1" selected="0">
            <x v="0"/>
          </reference>
          <reference field="4" count="1" selected="0">
            <x v="1"/>
          </reference>
          <reference field="5" count="1" selected="0">
            <x v="344"/>
          </reference>
          <reference field="6" count="1" selected="0">
            <x v="7"/>
          </reference>
          <reference field="9" count="1" selected="0">
            <x v="10"/>
          </reference>
          <reference field="11" count="1" selected="0">
            <x v="14"/>
          </reference>
          <reference field="12" count="1" selected="0">
            <x v="8"/>
          </reference>
          <reference field="13" count="1" selected="0">
            <x v="3"/>
          </reference>
          <reference field="14" count="1" selected="0">
            <x v="17"/>
          </reference>
          <reference field="15" count="1">
            <x v="68"/>
          </reference>
        </references>
      </pivotArea>
    </format>
    <format dxfId="8472">
      <pivotArea dataOnly="0" labelOnly="1" outline="0" fieldPosition="0">
        <references count="11">
          <reference field="1" count="0" selected="0"/>
          <reference field="3" count="1" selected="0">
            <x v="3"/>
          </reference>
          <reference field="4" count="1" selected="0">
            <x v="1"/>
          </reference>
          <reference field="5" count="1" selected="0">
            <x v="199"/>
          </reference>
          <reference field="6" count="1" selected="0">
            <x v="2"/>
          </reference>
          <reference field="9" count="1" selected="0">
            <x v="10"/>
          </reference>
          <reference field="11" count="1" selected="0">
            <x v="5"/>
          </reference>
          <reference field="12" count="1" selected="0">
            <x v="25"/>
          </reference>
          <reference field="13" count="1" selected="0">
            <x v="3"/>
          </reference>
          <reference field="14" count="1" selected="0">
            <x v="16"/>
          </reference>
          <reference field="15" count="1">
            <x v="25"/>
          </reference>
        </references>
      </pivotArea>
    </format>
    <format dxfId="8471">
      <pivotArea dataOnly="0" labelOnly="1" outline="0" fieldPosition="0">
        <references count="11">
          <reference field="1" count="0" selected="0"/>
          <reference field="3" count="1" selected="0">
            <x v="3"/>
          </reference>
          <reference field="4" count="1" selected="0">
            <x v="1"/>
          </reference>
          <reference field="5" count="1" selected="0">
            <x v="202"/>
          </reference>
          <reference field="6" count="1" selected="0">
            <x v="2"/>
          </reference>
          <reference field="9" count="1" selected="0">
            <x v="10"/>
          </reference>
          <reference field="11" count="1" selected="0">
            <x v="16"/>
          </reference>
          <reference field="12" count="1" selected="0">
            <x v="8"/>
          </reference>
          <reference field="13" count="1" selected="0">
            <x v="3"/>
          </reference>
          <reference field="14" count="1" selected="0">
            <x v="17"/>
          </reference>
          <reference field="15" count="1">
            <x v="14"/>
          </reference>
        </references>
      </pivotArea>
    </format>
    <format dxfId="8470">
      <pivotArea dataOnly="0" labelOnly="1" outline="0" fieldPosition="0">
        <references count="11">
          <reference field="1" count="0" selected="0"/>
          <reference field="3" count="1" selected="0">
            <x v="4"/>
          </reference>
          <reference field="4" count="1" selected="0">
            <x v="1"/>
          </reference>
          <reference field="5" count="1" selected="0">
            <x v="97"/>
          </reference>
          <reference field="6" count="1" selected="0">
            <x v="2"/>
          </reference>
          <reference field="9" count="1" selected="0">
            <x v="10"/>
          </reference>
          <reference field="11" count="1" selected="0">
            <x v="14"/>
          </reference>
          <reference field="12" count="1" selected="0">
            <x v="20"/>
          </reference>
          <reference field="13" count="1" selected="0">
            <x v="3"/>
          </reference>
          <reference field="14" count="1" selected="0">
            <x v="18"/>
          </reference>
          <reference field="15" count="1">
            <x v="61"/>
          </reference>
        </references>
      </pivotArea>
    </format>
    <format dxfId="8469">
      <pivotArea dataOnly="0" labelOnly="1" outline="0" fieldPosition="0">
        <references count="11">
          <reference field="1" count="0" selected="0"/>
          <reference field="3" count="1" selected="0">
            <x v="4"/>
          </reference>
          <reference field="4" count="1" selected="0">
            <x v="1"/>
          </reference>
          <reference field="5" count="1" selected="0">
            <x v="143"/>
          </reference>
          <reference field="6" count="1" selected="0">
            <x v="2"/>
          </reference>
          <reference field="9" count="1" selected="0">
            <x v="10"/>
          </reference>
          <reference field="11" count="1" selected="0">
            <x v="14"/>
          </reference>
          <reference field="12" count="1" selected="0">
            <x v="3"/>
          </reference>
          <reference field="13" count="1" selected="0">
            <x v="3"/>
          </reference>
          <reference field="14" count="1" selected="0">
            <x v="17"/>
          </reference>
          <reference field="15" count="1">
            <x v="50"/>
          </reference>
        </references>
      </pivotArea>
    </format>
    <format dxfId="8468">
      <pivotArea dataOnly="0" labelOnly="1" outline="0" fieldPosition="0">
        <references count="11">
          <reference field="1" count="0" selected="0"/>
          <reference field="3" count="1" selected="0">
            <x v="4"/>
          </reference>
          <reference field="4" count="1" selected="0">
            <x v="1"/>
          </reference>
          <reference field="5" count="1" selected="0">
            <x v="155"/>
          </reference>
          <reference field="6" count="1" selected="0">
            <x v="2"/>
          </reference>
          <reference field="9" count="1" selected="0">
            <x v="10"/>
          </reference>
          <reference field="11" count="1" selected="0">
            <x v="58"/>
          </reference>
          <reference field="12" count="1" selected="0">
            <x v="8"/>
          </reference>
          <reference field="13" count="1" selected="0">
            <x v="3"/>
          </reference>
          <reference field="14" count="1" selected="0">
            <x v="58"/>
          </reference>
          <reference field="15" count="1">
            <x v="47"/>
          </reference>
        </references>
      </pivotArea>
    </format>
    <format dxfId="8467">
      <pivotArea dataOnly="0" labelOnly="1" outline="0" fieldPosition="0">
        <references count="11">
          <reference field="1" count="0" selected="0"/>
          <reference field="3" count="1" selected="0">
            <x v="4"/>
          </reference>
          <reference field="4" count="1" selected="0">
            <x v="1"/>
          </reference>
          <reference field="5" count="1" selected="0">
            <x v="214"/>
          </reference>
          <reference field="6" count="1" selected="0">
            <x v="2"/>
          </reference>
          <reference field="9" count="1" selected="0">
            <x v="10"/>
          </reference>
          <reference field="11" count="1" selected="0">
            <x v="35"/>
          </reference>
          <reference field="12" count="1" selected="0">
            <x v="8"/>
          </reference>
          <reference field="13" count="1" selected="0">
            <x v="3"/>
          </reference>
          <reference field="14" count="1" selected="0">
            <x v="17"/>
          </reference>
          <reference field="15" count="1">
            <x v="14"/>
          </reference>
        </references>
      </pivotArea>
    </format>
    <format dxfId="8466">
      <pivotArea dataOnly="0" labelOnly="1" outline="0" fieldPosition="0">
        <references count="11">
          <reference field="1" count="0" selected="0"/>
          <reference field="3" count="1" selected="0">
            <x v="4"/>
          </reference>
          <reference field="4" count="1" selected="0">
            <x v="1"/>
          </reference>
          <reference field="5" count="1" selected="0">
            <x v="222"/>
          </reference>
          <reference field="6" count="1" selected="0">
            <x v="9"/>
          </reference>
          <reference field="9" count="1" selected="0">
            <x v="8"/>
          </reference>
          <reference field="11" count="1" selected="0">
            <x v="34"/>
          </reference>
          <reference field="12" count="1" selected="0">
            <x v="8"/>
          </reference>
          <reference field="13" count="1" selected="0">
            <x v="3"/>
          </reference>
          <reference field="14" count="1" selected="0">
            <x v="17"/>
          </reference>
          <reference field="15" count="1">
            <x v="53"/>
          </reference>
        </references>
      </pivotArea>
    </format>
    <format dxfId="8465">
      <pivotArea dataOnly="0" labelOnly="1" outline="0" fieldPosition="0">
        <references count="11">
          <reference field="1" count="0" selected="0"/>
          <reference field="3" count="1" selected="0">
            <x v="4"/>
          </reference>
          <reference field="4" count="1" selected="0">
            <x v="1"/>
          </reference>
          <reference field="5" count="1" selected="0">
            <x v="329"/>
          </reference>
          <reference field="6" count="1" selected="0">
            <x v="2"/>
          </reference>
          <reference field="9" count="1" selected="0">
            <x v="4"/>
          </reference>
          <reference field="11" count="1" selected="0">
            <x v="28"/>
          </reference>
          <reference field="12" count="1" selected="0">
            <x v="8"/>
          </reference>
          <reference field="13" count="1" selected="0">
            <x v="3"/>
          </reference>
          <reference field="14" count="1" selected="0">
            <x v="39"/>
          </reference>
          <reference field="15" count="1">
            <x v="16"/>
          </reference>
        </references>
      </pivotArea>
    </format>
    <format dxfId="8464">
      <pivotArea dataOnly="0" labelOnly="1" outline="0" fieldPosition="0">
        <references count="11">
          <reference field="1" count="0" selected="0"/>
          <reference field="3" count="1" selected="0">
            <x v="6"/>
          </reference>
          <reference field="4" count="1" selected="0">
            <x v="0"/>
          </reference>
          <reference field="5" count="1" selected="0">
            <x v="156"/>
          </reference>
          <reference field="6" count="1" selected="0">
            <x v="9"/>
          </reference>
          <reference field="9" count="1" selected="0">
            <x v="10"/>
          </reference>
          <reference field="11" count="1" selected="0">
            <x v="23"/>
          </reference>
          <reference field="12" count="1" selected="0">
            <x v="8"/>
          </reference>
          <reference field="13" count="1" selected="0">
            <x v="3"/>
          </reference>
          <reference field="14" count="1" selected="0">
            <x v="32"/>
          </reference>
          <reference field="15" count="1">
            <x v="45"/>
          </reference>
        </references>
      </pivotArea>
    </format>
    <format dxfId="8463">
      <pivotArea dataOnly="0" labelOnly="1" outline="0" fieldPosition="0">
        <references count="11">
          <reference field="1" count="0" selected="0"/>
          <reference field="3" count="1" selected="0">
            <x v="6"/>
          </reference>
          <reference field="4" count="1" selected="0">
            <x v="0"/>
          </reference>
          <reference field="5" count="1" selected="0">
            <x v="159"/>
          </reference>
          <reference field="6" count="1" selected="0">
            <x v="9"/>
          </reference>
          <reference field="9" count="1" selected="0">
            <x v="10"/>
          </reference>
          <reference field="11" count="1" selected="0">
            <x v="30"/>
          </reference>
          <reference field="12" count="1" selected="0">
            <x v="8"/>
          </reference>
          <reference field="13" count="1" selected="0">
            <x v="3"/>
          </reference>
          <reference field="14" count="1" selected="0">
            <x v="38"/>
          </reference>
          <reference field="15" count="1">
            <x v="40"/>
          </reference>
        </references>
      </pivotArea>
    </format>
    <format dxfId="8462">
      <pivotArea dataOnly="0" labelOnly="1" outline="0" fieldPosition="0">
        <references count="11">
          <reference field="1" count="0" selected="0"/>
          <reference field="3" count="1" selected="0">
            <x v="6"/>
          </reference>
          <reference field="4" count="1" selected="0">
            <x v="0"/>
          </reference>
          <reference field="5" count="1" selected="0">
            <x v="168"/>
          </reference>
          <reference field="6" count="1" selected="0">
            <x v="9"/>
          </reference>
          <reference field="9" count="1" selected="0">
            <x v="10"/>
          </reference>
          <reference field="11" count="1" selected="0">
            <x v="47"/>
          </reference>
          <reference field="12" count="1" selected="0">
            <x v="0"/>
          </reference>
          <reference field="13" count="1" selected="0">
            <x v="4"/>
          </reference>
          <reference field="14" count="1" selected="0">
            <x v="17"/>
          </reference>
          <reference field="15" count="1">
            <x v="36"/>
          </reference>
        </references>
      </pivotArea>
    </format>
    <format dxfId="8461">
      <pivotArea dataOnly="0" labelOnly="1" outline="0" fieldPosition="0">
        <references count="11">
          <reference field="1" count="0" selected="0"/>
          <reference field="3" count="1" selected="0">
            <x v="6"/>
          </reference>
          <reference field="4" count="1" selected="0">
            <x v="0"/>
          </reference>
          <reference field="5" count="1" selected="0">
            <x v="172"/>
          </reference>
          <reference field="6" count="1" selected="0">
            <x v="9"/>
          </reference>
          <reference field="9" count="1" selected="0">
            <x v="10"/>
          </reference>
          <reference field="11" count="1" selected="0">
            <x v="14"/>
          </reference>
          <reference field="12" count="1" selected="0">
            <x v="33"/>
          </reference>
          <reference field="13" count="1" selected="0">
            <x v="3"/>
          </reference>
          <reference field="14" count="1" selected="0">
            <x v="25"/>
          </reference>
          <reference field="15" count="1">
            <x v="48"/>
          </reference>
        </references>
      </pivotArea>
    </format>
    <format dxfId="8460">
      <pivotArea dataOnly="0" labelOnly="1" outline="0" fieldPosition="0">
        <references count="11">
          <reference field="1" count="0" selected="0"/>
          <reference field="3" count="1" selected="0">
            <x v="6"/>
          </reference>
          <reference field="4" count="1" selected="0">
            <x v="0"/>
          </reference>
          <reference field="5" count="1" selected="0">
            <x v="177"/>
          </reference>
          <reference field="6" count="1" selected="0">
            <x v="9"/>
          </reference>
          <reference field="9" count="1" selected="0">
            <x v="10"/>
          </reference>
          <reference field="11" count="1" selected="0">
            <x v="1"/>
          </reference>
          <reference field="12" count="1" selected="0">
            <x v="8"/>
          </reference>
          <reference field="13" count="1" selected="0">
            <x v="3"/>
          </reference>
          <reference field="14" count="1" selected="0">
            <x v="4"/>
          </reference>
          <reference field="15" count="1">
            <x v="22"/>
          </reference>
        </references>
      </pivotArea>
    </format>
    <format dxfId="8459">
      <pivotArea dataOnly="0" labelOnly="1" outline="0" fieldPosition="0">
        <references count="11">
          <reference field="1" count="0" selected="0"/>
          <reference field="3" count="1" selected="0">
            <x v="6"/>
          </reference>
          <reference field="4" count="1" selected="0">
            <x v="0"/>
          </reference>
          <reference field="5" count="1" selected="0">
            <x v="184"/>
          </reference>
          <reference field="6" count="1" selected="0">
            <x v="9"/>
          </reference>
          <reference field="9" count="1" selected="0">
            <x v="10"/>
          </reference>
          <reference field="11" count="1" selected="0">
            <x v="10"/>
          </reference>
          <reference field="12" count="1" selected="0">
            <x v="28"/>
          </reference>
          <reference field="13" count="1" selected="0">
            <x v="3"/>
          </reference>
          <reference field="14" count="1" selected="0">
            <x v="53"/>
          </reference>
          <reference field="15" count="1">
            <x v="22"/>
          </reference>
        </references>
      </pivotArea>
    </format>
    <format dxfId="8458">
      <pivotArea dataOnly="0" labelOnly="1" outline="0" fieldPosition="0">
        <references count="11">
          <reference field="1" count="0" selected="0"/>
          <reference field="3" count="1" selected="0">
            <x v="6"/>
          </reference>
          <reference field="4" count="1" selected="0">
            <x v="0"/>
          </reference>
          <reference field="5" count="1" selected="0">
            <x v="187"/>
          </reference>
          <reference field="6" count="1" selected="0">
            <x v="9"/>
          </reference>
          <reference field="9" count="1" selected="0">
            <x v="10"/>
          </reference>
          <reference field="11" count="1" selected="0">
            <x v="50"/>
          </reference>
          <reference field="12" count="1" selected="0">
            <x v="8"/>
          </reference>
          <reference field="13" count="1" selected="0">
            <x v="3"/>
          </reference>
          <reference field="14" count="1" selected="0">
            <x v="48"/>
          </reference>
          <reference field="15" count="1">
            <x v="14"/>
          </reference>
        </references>
      </pivotArea>
    </format>
    <format dxfId="8457">
      <pivotArea dataOnly="0" labelOnly="1" outline="0" fieldPosition="0">
        <references count="11">
          <reference field="1" count="0" selected="0"/>
          <reference field="3" count="1" selected="0">
            <x v="6"/>
          </reference>
          <reference field="4" count="1" selected="0">
            <x v="0"/>
          </reference>
          <reference field="5" count="1" selected="0">
            <x v="209"/>
          </reference>
          <reference field="6" count="1" selected="0">
            <x v="9"/>
          </reference>
          <reference field="9" count="1" selected="0">
            <x v="10"/>
          </reference>
          <reference field="11" count="1" selected="0">
            <x v="36"/>
          </reference>
          <reference field="12" count="1" selected="0">
            <x v="8"/>
          </reference>
          <reference field="13" count="1" selected="0">
            <x v="3"/>
          </reference>
          <reference field="14" count="1" selected="0">
            <x v="35"/>
          </reference>
          <reference field="15" count="1">
            <x v="14"/>
          </reference>
        </references>
      </pivotArea>
    </format>
    <format dxfId="8456">
      <pivotArea dataOnly="0" labelOnly="1" outline="0" fieldPosition="0">
        <references count="11">
          <reference field="1" count="0" selected="0"/>
          <reference field="3" count="1" selected="0">
            <x v="6"/>
          </reference>
          <reference field="4" count="1" selected="0">
            <x v="0"/>
          </reference>
          <reference field="5" count="1" selected="0">
            <x v="325"/>
          </reference>
          <reference field="6" count="1" selected="0">
            <x v="9"/>
          </reference>
          <reference field="9" count="1" selected="0">
            <x v="10"/>
          </reference>
          <reference field="11" count="1" selected="0">
            <x v="14"/>
          </reference>
          <reference field="12" count="1" selected="0">
            <x v="13"/>
          </reference>
          <reference field="13" count="1" selected="0">
            <x v="3"/>
          </reference>
          <reference field="14" count="1" selected="0">
            <x v="17"/>
          </reference>
          <reference field="15" count="1">
            <x v="14"/>
          </reference>
        </references>
      </pivotArea>
    </format>
    <format dxfId="8455">
      <pivotArea dataOnly="0" labelOnly="1" outline="0" fieldPosition="0">
        <references count="11">
          <reference field="1" count="0" selected="0"/>
          <reference field="3" count="1" selected="0">
            <x v="6"/>
          </reference>
          <reference field="4" count="1" selected="0">
            <x v="0"/>
          </reference>
          <reference field="5" count="1" selected="0">
            <x v="352"/>
          </reference>
          <reference field="6" count="1" selected="0">
            <x v="9"/>
          </reference>
          <reference field="9" count="1" selected="0">
            <x v="10"/>
          </reference>
          <reference field="11" count="1" selected="0">
            <x v="38"/>
          </reference>
          <reference field="12" count="1" selected="0">
            <x v="36"/>
          </reference>
          <reference field="13" count="1" selected="0">
            <x v="3"/>
          </reference>
          <reference field="14" count="1" selected="0">
            <x v="1"/>
          </reference>
          <reference field="15" count="1">
            <x v="39"/>
          </reference>
        </references>
      </pivotArea>
    </format>
    <format dxfId="8454">
      <pivotArea dataOnly="0" labelOnly="1" outline="0" fieldPosition="0">
        <references count="11">
          <reference field="1" count="0" selected="0"/>
          <reference field="3" count="1" selected="0">
            <x v="8"/>
          </reference>
          <reference field="4" count="1" selected="0">
            <x v="3"/>
          </reference>
          <reference field="5" count="1" selected="0">
            <x v="133"/>
          </reference>
          <reference field="6" count="1" selected="0">
            <x v="3"/>
          </reference>
          <reference field="9" count="1" selected="0">
            <x v="10"/>
          </reference>
          <reference field="11" count="1" selected="0">
            <x v="5"/>
          </reference>
          <reference field="12" count="1" selected="0">
            <x v="4"/>
          </reference>
          <reference field="13" count="1" selected="0">
            <x v="3"/>
          </reference>
          <reference field="14" count="1" selected="0">
            <x v="2"/>
          </reference>
          <reference field="15" count="1">
            <x v="29"/>
          </reference>
        </references>
      </pivotArea>
    </format>
    <format dxfId="8453">
      <pivotArea dataOnly="0" labelOnly="1" outline="0" fieldPosition="0">
        <references count="11">
          <reference field="1" count="0" selected="0"/>
          <reference field="3" count="1" selected="0">
            <x v="8"/>
          </reference>
          <reference field="4" count="1" selected="0">
            <x v="3"/>
          </reference>
          <reference field="5" count="1" selected="0">
            <x v="139"/>
          </reference>
          <reference field="6" count="1" selected="0">
            <x v="3"/>
          </reference>
          <reference field="9" count="1" selected="0">
            <x v="10"/>
          </reference>
          <reference field="11" count="1" selected="0">
            <x v="14"/>
          </reference>
          <reference field="12" count="1" selected="0">
            <x v="12"/>
          </reference>
          <reference field="13" count="1" selected="0">
            <x v="3"/>
          </reference>
          <reference field="14" count="1" selected="0">
            <x v="17"/>
          </reference>
          <reference field="15" count="1">
            <x v="19"/>
          </reference>
        </references>
      </pivotArea>
    </format>
    <format dxfId="8452">
      <pivotArea dataOnly="0" labelOnly="1" outline="0" fieldPosition="0">
        <references count="11">
          <reference field="1" count="0" selected="0"/>
          <reference field="3" count="1" selected="0">
            <x v="8"/>
          </reference>
          <reference field="4" count="1" selected="0">
            <x v="3"/>
          </reference>
          <reference field="5" count="1" selected="0">
            <x v="162"/>
          </reference>
          <reference field="6" count="1" selected="0">
            <x v="3"/>
          </reference>
          <reference field="9" count="1" selected="0">
            <x v="10"/>
          </reference>
          <reference field="11" count="1" selected="0">
            <x v="15"/>
          </reference>
          <reference field="12" count="1" selected="0">
            <x v="8"/>
          </reference>
          <reference field="13" count="1" selected="0">
            <x v="3"/>
          </reference>
          <reference field="14" count="1" selected="0">
            <x v="22"/>
          </reference>
          <reference field="15" count="1">
            <x v="14"/>
          </reference>
        </references>
      </pivotArea>
    </format>
    <format dxfId="8451">
      <pivotArea dataOnly="0" labelOnly="1" outline="0" fieldPosition="0">
        <references count="11">
          <reference field="1" count="0" selected="0"/>
          <reference field="3" count="1" selected="0">
            <x v="9"/>
          </reference>
          <reference field="4" count="1" selected="0">
            <x v="4"/>
          </reference>
          <reference field="5" count="1" selected="0">
            <x v="141"/>
          </reference>
          <reference field="6" count="1" selected="0">
            <x v="5"/>
          </reference>
          <reference field="9" count="1" selected="0">
            <x v="10"/>
          </reference>
          <reference field="11" count="1" selected="0">
            <x v="14"/>
          </reference>
          <reference field="12" count="1" selected="0">
            <x v="3"/>
          </reference>
          <reference field="13" count="1" selected="0">
            <x v="3"/>
          </reference>
          <reference field="14" count="1" selected="0">
            <x v="17"/>
          </reference>
          <reference field="15" count="1">
            <x v="0"/>
          </reference>
        </references>
      </pivotArea>
    </format>
    <format dxfId="8450">
      <pivotArea outline="0" collapsedLevelsAreSubtotals="1" fieldPosition="0"/>
    </format>
    <format dxfId="8449">
      <pivotArea dataOnly="0" labelOnly="1" outline="0" fieldPosition="0">
        <references count="1">
          <reference field="1" count="0"/>
        </references>
      </pivotArea>
    </format>
    <format dxfId="8448">
      <pivotArea dataOnly="0" labelOnly="1" outline="0" fieldPosition="0">
        <references count="2">
          <reference field="1" count="0" selected="0"/>
          <reference field="3" count="7">
            <x v="0"/>
            <x v="3"/>
            <x v="4"/>
            <x v="5"/>
            <x v="6"/>
            <x v="8"/>
            <x v="9"/>
          </reference>
        </references>
      </pivotArea>
    </format>
    <format dxfId="8447">
      <pivotArea dataOnly="0" labelOnly="1" outline="0" fieldPosition="0">
        <references count="3">
          <reference field="1" count="0" selected="0"/>
          <reference field="3" count="1" selected="0">
            <x v="0"/>
          </reference>
          <reference field="5" count="1">
            <x v="348"/>
          </reference>
        </references>
      </pivotArea>
    </format>
    <format dxfId="8446">
      <pivotArea dataOnly="0" labelOnly="1" outline="0" fieldPosition="0">
        <references count="3">
          <reference field="1" count="0" selected="0"/>
          <reference field="3" count="1" selected="0">
            <x v="3"/>
          </reference>
          <reference field="5" count="5">
            <x v="192"/>
            <x v="193"/>
            <x v="200"/>
            <x v="201"/>
            <x v="208"/>
          </reference>
        </references>
      </pivotArea>
    </format>
    <format dxfId="8445">
      <pivotArea dataOnly="0" labelOnly="1" outline="0" fieldPosition="0">
        <references count="3">
          <reference field="1" count="0" selected="0"/>
          <reference field="3" count="1" selected="0">
            <x v="4"/>
          </reference>
          <reference field="5" count="7">
            <x v="96"/>
            <x v="103"/>
            <x v="104"/>
            <x v="169"/>
            <x v="210"/>
            <x v="327"/>
            <x v="331"/>
          </reference>
        </references>
      </pivotArea>
    </format>
    <format dxfId="8444">
      <pivotArea dataOnly="0" labelOnly="1" outline="0" fieldPosition="0">
        <references count="3">
          <reference field="1" count="0" selected="0"/>
          <reference field="3" count="1" selected="0">
            <x v="5"/>
          </reference>
          <reference field="5" count="1">
            <x v="132"/>
          </reference>
        </references>
      </pivotArea>
    </format>
    <format dxfId="8443">
      <pivotArea dataOnly="0" labelOnly="1" outline="0" fieldPosition="0">
        <references count="3">
          <reference field="1" count="0" selected="0"/>
          <reference field="3" count="1" selected="0">
            <x v="6"/>
          </reference>
          <reference field="5" count="14">
            <x v="95"/>
            <x v="106"/>
            <x v="121"/>
            <x v="122"/>
            <x v="129"/>
            <x v="157"/>
            <x v="158"/>
            <x v="170"/>
            <x v="171"/>
            <x v="178"/>
            <x v="180"/>
            <x v="185"/>
            <x v="186"/>
            <x v="351"/>
          </reference>
        </references>
      </pivotArea>
    </format>
    <format dxfId="8442">
      <pivotArea dataOnly="0" labelOnly="1" outline="0" fieldPosition="0">
        <references count="3">
          <reference field="1" count="0" selected="0"/>
          <reference field="3" count="1" selected="0">
            <x v="8"/>
          </reference>
          <reference field="5" count="3">
            <x v="114"/>
            <x v="140"/>
            <x v="353"/>
          </reference>
        </references>
      </pivotArea>
    </format>
    <format dxfId="8441">
      <pivotArea dataOnly="0" labelOnly="1" outline="0" fieldPosition="0">
        <references count="3">
          <reference field="1" count="0" selected="0"/>
          <reference field="3" count="1" selected="0">
            <x v="9"/>
          </reference>
          <reference field="5" count="3">
            <x v="142"/>
            <x v="144"/>
            <x v="161"/>
          </reference>
        </references>
      </pivotArea>
    </format>
    <format dxfId="8440">
      <pivotArea dataOnly="0" labelOnly="1" outline="0" fieldPosition="0">
        <references count="4">
          <reference field="1" count="0" selected="0"/>
          <reference field="3" count="1" selected="0">
            <x v="0"/>
          </reference>
          <reference field="5" count="1" selected="0">
            <x v="348"/>
          </reference>
          <reference field="6" count="1">
            <x v="7"/>
          </reference>
        </references>
      </pivotArea>
    </format>
    <format dxfId="8439">
      <pivotArea dataOnly="0" labelOnly="1" outline="0" fieldPosition="0">
        <references count="4">
          <reference field="1" count="0" selected="0"/>
          <reference field="3" count="1" selected="0">
            <x v="3"/>
          </reference>
          <reference field="5" count="1" selected="0">
            <x v="192"/>
          </reference>
          <reference field="6" count="1">
            <x v="2"/>
          </reference>
        </references>
      </pivotArea>
    </format>
    <format dxfId="8438">
      <pivotArea dataOnly="0" labelOnly="1" outline="0" fieldPosition="0">
        <references count="4">
          <reference field="1" count="0" selected="0"/>
          <reference field="3" count="1" selected="0">
            <x v="5"/>
          </reference>
          <reference field="5" count="1" selected="0">
            <x v="132"/>
          </reference>
          <reference field="6" count="1">
            <x v="3"/>
          </reference>
        </references>
      </pivotArea>
    </format>
    <format dxfId="8437">
      <pivotArea dataOnly="0" labelOnly="1" outline="0" fieldPosition="0">
        <references count="4">
          <reference field="1" count="0" selected="0"/>
          <reference field="3" count="1" selected="0">
            <x v="6"/>
          </reference>
          <reference field="5" count="1" selected="0">
            <x v="95"/>
          </reference>
          <reference field="6" count="1">
            <x v="9"/>
          </reference>
        </references>
      </pivotArea>
    </format>
    <format dxfId="8436">
      <pivotArea dataOnly="0" labelOnly="1" outline="0" fieldPosition="0">
        <references count="4">
          <reference field="1" count="0" selected="0"/>
          <reference field="3" count="1" selected="0">
            <x v="8"/>
          </reference>
          <reference field="5" count="1" selected="0">
            <x v="114"/>
          </reference>
          <reference field="6" count="1">
            <x v="3"/>
          </reference>
        </references>
      </pivotArea>
    </format>
    <format dxfId="8435">
      <pivotArea dataOnly="0" labelOnly="1" outline="0" fieldPosition="0">
        <references count="4">
          <reference field="1" count="0" selected="0"/>
          <reference field="3" count="1" selected="0">
            <x v="9"/>
          </reference>
          <reference field="5" count="1" selected="0">
            <x v="142"/>
          </reference>
          <reference field="6" count="1">
            <x v="5"/>
          </reference>
        </references>
      </pivotArea>
    </format>
    <format dxfId="8434">
      <pivotArea dataOnly="0" labelOnly="1" outline="0" fieldPosition="0">
        <references count="5">
          <reference field="1" count="0" selected="0"/>
          <reference field="3" count="1" selected="0">
            <x v="0"/>
          </reference>
          <reference field="4" count="1">
            <x v="1"/>
          </reference>
          <reference field="5" count="1" selected="0">
            <x v="348"/>
          </reference>
          <reference field="6" count="1" selected="0">
            <x v="7"/>
          </reference>
        </references>
      </pivotArea>
    </format>
    <format dxfId="8433">
      <pivotArea dataOnly="0" labelOnly="1" outline="0" fieldPosition="0">
        <references count="5">
          <reference field="1" count="0" selected="0"/>
          <reference field="3" count="1" selected="0">
            <x v="5"/>
          </reference>
          <reference field="4" count="1">
            <x v="3"/>
          </reference>
          <reference field="5" count="1" selected="0">
            <x v="132"/>
          </reference>
          <reference field="6" count="1" selected="0">
            <x v="3"/>
          </reference>
        </references>
      </pivotArea>
    </format>
    <format dxfId="8432">
      <pivotArea dataOnly="0" labelOnly="1" outline="0" fieldPosition="0">
        <references count="5">
          <reference field="1" count="0" selected="0"/>
          <reference field="3" count="1" selected="0">
            <x v="6"/>
          </reference>
          <reference field="4" count="1">
            <x v="0"/>
          </reference>
          <reference field="5" count="1" selected="0">
            <x v="95"/>
          </reference>
          <reference field="6" count="1" selected="0">
            <x v="9"/>
          </reference>
        </references>
      </pivotArea>
    </format>
    <format dxfId="8431">
      <pivotArea dataOnly="0" labelOnly="1" outline="0" fieldPosition="0">
        <references count="5">
          <reference field="1" count="0" selected="0"/>
          <reference field="3" count="1" selected="0">
            <x v="8"/>
          </reference>
          <reference field="4" count="1">
            <x v="3"/>
          </reference>
          <reference field="5" count="1" selected="0">
            <x v="114"/>
          </reference>
          <reference field="6" count="1" selected="0">
            <x v="3"/>
          </reference>
        </references>
      </pivotArea>
    </format>
    <format dxfId="8430">
      <pivotArea dataOnly="0" labelOnly="1" outline="0" fieldPosition="0">
        <references count="5">
          <reference field="1" count="0" selected="0"/>
          <reference field="3" count="1" selected="0">
            <x v="9"/>
          </reference>
          <reference field="4" count="1">
            <x v="4"/>
          </reference>
          <reference field="5" count="1" selected="0">
            <x v="142"/>
          </reference>
          <reference field="6" count="1" selected="0">
            <x v="5"/>
          </reference>
        </references>
      </pivotArea>
    </format>
    <format dxfId="8429">
      <pivotArea dataOnly="0" labelOnly="1" outline="0" fieldPosition="0">
        <references count="5">
          <reference field="1" count="0" selected="0"/>
          <reference field="3" count="1" selected="0">
            <x v="9"/>
          </reference>
          <reference field="4" count="1">
            <x v="6"/>
          </reference>
          <reference field="5" count="1" selected="0">
            <x v="161"/>
          </reference>
          <reference field="6" count="1" selected="0">
            <x v="5"/>
          </reference>
        </references>
      </pivotArea>
    </format>
    <format dxfId="8428">
      <pivotArea dataOnly="0" labelOnly="1" outline="0" fieldPosition="0">
        <references count="6">
          <reference field="1" count="0" selected="0"/>
          <reference field="3" count="1" selected="0">
            <x v="0"/>
          </reference>
          <reference field="4" count="1" selected="0">
            <x v="1"/>
          </reference>
          <reference field="5" count="1" selected="0">
            <x v="348"/>
          </reference>
          <reference field="6" count="1" selected="0">
            <x v="7"/>
          </reference>
          <reference field="9" count="1">
            <x v="10"/>
          </reference>
        </references>
      </pivotArea>
    </format>
    <format dxfId="8427">
      <pivotArea dataOnly="0" labelOnly="1" outline="0" fieldPosition="0">
        <references count="6">
          <reference field="1" count="0" selected="0"/>
          <reference field="3" count="1" selected="0">
            <x v="4"/>
          </reference>
          <reference field="4" count="1" selected="0">
            <x v="1"/>
          </reference>
          <reference field="5" count="1" selected="0">
            <x v="104"/>
          </reference>
          <reference field="6" count="1" selected="0">
            <x v="2"/>
          </reference>
          <reference field="9" count="1">
            <x v="2"/>
          </reference>
        </references>
      </pivotArea>
    </format>
    <format dxfId="8426">
      <pivotArea dataOnly="0" labelOnly="1" outline="0" fieldPosition="0">
        <references count="6">
          <reference field="1" count="0" selected="0"/>
          <reference field="3" count="1" selected="0">
            <x v="4"/>
          </reference>
          <reference field="4" count="1" selected="0">
            <x v="1"/>
          </reference>
          <reference field="5" count="1" selected="0">
            <x v="169"/>
          </reference>
          <reference field="6" count="1" selected="0">
            <x v="2"/>
          </reference>
          <reference field="9" count="1">
            <x v="10"/>
          </reference>
        </references>
      </pivotArea>
    </format>
    <format dxfId="8425">
      <pivotArea dataOnly="0" labelOnly="1" outline="0" fieldPosition="0">
        <references count="6">
          <reference field="1" count="0" selected="0"/>
          <reference field="3" count="1" selected="0">
            <x v="9"/>
          </reference>
          <reference field="4" count="1" selected="0">
            <x v="6"/>
          </reference>
          <reference field="5" count="1" selected="0">
            <x v="161"/>
          </reference>
          <reference field="6" count="1" selected="0">
            <x v="5"/>
          </reference>
          <reference field="9" count="1">
            <x v="7"/>
          </reference>
        </references>
      </pivotArea>
    </format>
    <format dxfId="8424">
      <pivotArea dataOnly="0" labelOnly="1" outline="0" fieldPosition="0">
        <references count="7">
          <reference field="1" count="0" selected="0"/>
          <reference field="3" count="1" selected="0">
            <x v="0"/>
          </reference>
          <reference field="4" count="1" selected="0">
            <x v="1"/>
          </reference>
          <reference field="5" count="1" selected="0">
            <x v="348"/>
          </reference>
          <reference field="6" count="1" selected="0">
            <x v="7"/>
          </reference>
          <reference field="9" count="1" selected="0">
            <x v="10"/>
          </reference>
          <reference field="11" count="1">
            <x v="14"/>
          </reference>
        </references>
      </pivotArea>
    </format>
    <format dxfId="8423">
      <pivotArea dataOnly="0" labelOnly="1" outline="0" fieldPosition="0">
        <references count="7">
          <reference field="1" count="0" selected="0"/>
          <reference field="3" count="1" selected="0">
            <x v="3"/>
          </reference>
          <reference field="4" count="1" selected="0">
            <x v="1"/>
          </reference>
          <reference field="5" count="1" selected="0">
            <x v="193"/>
          </reference>
          <reference field="6" count="1" selected="0">
            <x v="2"/>
          </reference>
          <reference field="9" count="1" selected="0">
            <x v="10"/>
          </reference>
          <reference field="11" count="1">
            <x v="8"/>
          </reference>
        </references>
      </pivotArea>
    </format>
    <format dxfId="8422">
      <pivotArea dataOnly="0" labelOnly="1" outline="0" fieldPosition="0">
        <references count="7">
          <reference field="1" count="0" selected="0"/>
          <reference field="3" count="1" selected="0">
            <x v="3"/>
          </reference>
          <reference field="4" count="1" selected="0">
            <x v="1"/>
          </reference>
          <reference field="5" count="1" selected="0">
            <x v="201"/>
          </reference>
          <reference field="6" count="1" selected="0">
            <x v="2"/>
          </reference>
          <reference field="9" count="1" selected="0">
            <x v="10"/>
          </reference>
          <reference field="11" count="1">
            <x v="1"/>
          </reference>
        </references>
      </pivotArea>
    </format>
    <format dxfId="8421">
      <pivotArea dataOnly="0" labelOnly="1" outline="0" fieldPosition="0">
        <references count="7">
          <reference field="1" count="0" selected="0"/>
          <reference field="3" count="1" selected="0">
            <x v="4"/>
          </reference>
          <reference field="4" count="1" selected="0">
            <x v="1"/>
          </reference>
          <reference field="5" count="1" selected="0">
            <x v="96"/>
          </reference>
          <reference field="6" count="1" selected="0">
            <x v="2"/>
          </reference>
          <reference field="9" count="1" selected="0">
            <x v="10"/>
          </reference>
          <reference field="11" count="1">
            <x v="22"/>
          </reference>
        </references>
      </pivotArea>
    </format>
    <format dxfId="8420">
      <pivotArea dataOnly="0" labelOnly="1" outline="0" fieldPosition="0">
        <references count="7">
          <reference field="1" count="0" selected="0"/>
          <reference field="3" count="1" selected="0">
            <x v="4"/>
          </reference>
          <reference field="4" count="1" selected="0">
            <x v="1"/>
          </reference>
          <reference field="5" count="1" selected="0">
            <x v="169"/>
          </reference>
          <reference field="6" count="1" selected="0">
            <x v="2"/>
          </reference>
          <reference field="9" count="1" selected="0">
            <x v="10"/>
          </reference>
          <reference field="11" count="1">
            <x v="14"/>
          </reference>
        </references>
      </pivotArea>
    </format>
    <format dxfId="8419">
      <pivotArea dataOnly="0" labelOnly="1" outline="0" fieldPosition="0">
        <references count="7">
          <reference field="1" count="0" selected="0"/>
          <reference field="3" count="1" selected="0">
            <x v="4"/>
          </reference>
          <reference field="4" count="1" selected="0">
            <x v="1"/>
          </reference>
          <reference field="5" count="1" selected="0">
            <x v="210"/>
          </reference>
          <reference field="6" count="1" selected="0">
            <x v="2"/>
          </reference>
          <reference field="9" count="1" selected="0">
            <x v="10"/>
          </reference>
          <reference field="11" count="1">
            <x v="1"/>
          </reference>
        </references>
      </pivotArea>
    </format>
    <format dxfId="8418">
      <pivotArea dataOnly="0" labelOnly="1" outline="0" fieldPosition="0">
        <references count="7">
          <reference field="1" count="0" selected="0"/>
          <reference field="3" count="1" selected="0">
            <x v="4"/>
          </reference>
          <reference field="4" count="1" selected="0">
            <x v="1"/>
          </reference>
          <reference field="5" count="1" selected="0">
            <x v="327"/>
          </reference>
          <reference field="6" count="1" selected="0">
            <x v="2"/>
          </reference>
          <reference field="9" count="1" selected="0">
            <x v="10"/>
          </reference>
          <reference field="11" count="1">
            <x v="31"/>
          </reference>
        </references>
      </pivotArea>
    </format>
    <format dxfId="8417">
      <pivotArea dataOnly="0" labelOnly="1" outline="0" fieldPosition="0">
        <references count="7">
          <reference field="1" count="0" selected="0"/>
          <reference field="3" count="1" selected="0">
            <x v="5"/>
          </reference>
          <reference field="4" count="1" selected="0">
            <x v="3"/>
          </reference>
          <reference field="5" count="1" selected="0">
            <x v="132"/>
          </reference>
          <reference field="6" count="1" selected="0">
            <x v="3"/>
          </reference>
          <reference field="9" count="1" selected="0">
            <x v="10"/>
          </reference>
          <reference field="11" count="1">
            <x v="14"/>
          </reference>
        </references>
      </pivotArea>
    </format>
    <format dxfId="8416">
      <pivotArea dataOnly="0" labelOnly="1" outline="0" fieldPosition="0">
        <references count="7">
          <reference field="1" count="0" selected="0"/>
          <reference field="3" count="1" selected="0">
            <x v="6"/>
          </reference>
          <reference field="4" count="1" selected="0">
            <x v="0"/>
          </reference>
          <reference field="5" count="1" selected="0">
            <x v="95"/>
          </reference>
          <reference field="6" count="1" selected="0">
            <x v="9"/>
          </reference>
          <reference field="9" count="1" selected="0">
            <x v="10"/>
          </reference>
          <reference field="11" count="1">
            <x v="48"/>
          </reference>
        </references>
      </pivotArea>
    </format>
    <format dxfId="8415">
      <pivotArea dataOnly="0" labelOnly="1" outline="0" fieldPosition="0">
        <references count="7">
          <reference field="1" count="0" selected="0"/>
          <reference field="3" count="1" selected="0">
            <x v="6"/>
          </reference>
          <reference field="4" count="1" selected="0">
            <x v="0"/>
          </reference>
          <reference field="5" count="1" selected="0">
            <x v="106"/>
          </reference>
          <reference field="6" count="1" selected="0">
            <x v="9"/>
          </reference>
          <reference field="9" count="1" selected="0">
            <x v="10"/>
          </reference>
          <reference field="11" count="1">
            <x v="14"/>
          </reference>
        </references>
      </pivotArea>
    </format>
    <format dxfId="8414">
      <pivotArea dataOnly="0" labelOnly="1" outline="0" fieldPosition="0">
        <references count="7">
          <reference field="1" count="0" selected="0"/>
          <reference field="3" count="1" selected="0">
            <x v="6"/>
          </reference>
          <reference field="4" count="1" selected="0">
            <x v="0"/>
          </reference>
          <reference field="5" count="1" selected="0">
            <x v="157"/>
          </reference>
          <reference field="6" count="1" selected="0">
            <x v="9"/>
          </reference>
          <reference field="9" count="1" selected="0">
            <x v="10"/>
          </reference>
          <reference field="11" count="1">
            <x v="56"/>
          </reference>
        </references>
      </pivotArea>
    </format>
    <format dxfId="8413">
      <pivotArea dataOnly="0" labelOnly="1" outline="0" fieldPosition="0">
        <references count="7">
          <reference field="1" count="0" selected="0"/>
          <reference field="3" count="1" selected="0">
            <x v="6"/>
          </reference>
          <reference field="4" count="1" selected="0">
            <x v="0"/>
          </reference>
          <reference field="5" count="1" selected="0">
            <x v="158"/>
          </reference>
          <reference field="6" count="1" selected="0">
            <x v="9"/>
          </reference>
          <reference field="9" count="1" selected="0">
            <x v="10"/>
          </reference>
          <reference field="11" count="1">
            <x v="46"/>
          </reference>
        </references>
      </pivotArea>
    </format>
    <format dxfId="8412">
      <pivotArea dataOnly="0" labelOnly="1" outline="0" fieldPosition="0">
        <references count="7">
          <reference field="1" count="0" selected="0"/>
          <reference field="3" count="1" selected="0">
            <x v="6"/>
          </reference>
          <reference field="4" count="1" selected="0">
            <x v="0"/>
          </reference>
          <reference field="5" count="1" selected="0">
            <x v="170"/>
          </reference>
          <reference field="6" count="1" selected="0">
            <x v="9"/>
          </reference>
          <reference field="9" count="1" selected="0">
            <x v="10"/>
          </reference>
          <reference field="11" count="1">
            <x v="14"/>
          </reference>
        </references>
      </pivotArea>
    </format>
    <format dxfId="8411">
      <pivotArea dataOnly="0" labelOnly="1" outline="0" fieldPosition="0">
        <references count="7">
          <reference field="1" count="0" selected="0"/>
          <reference field="3" count="1" selected="0">
            <x v="6"/>
          </reference>
          <reference field="4" count="1" selected="0">
            <x v="0"/>
          </reference>
          <reference field="5" count="1" selected="0">
            <x v="186"/>
          </reference>
          <reference field="6" count="1" selected="0">
            <x v="9"/>
          </reference>
          <reference field="9" count="1" selected="0">
            <x v="10"/>
          </reference>
          <reference field="11" count="1">
            <x v="39"/>
          </reference>
        </references>
      </pivotArea>
    </format>
    <format dxfId="8410">
      <pivotArea dataOnly="0" labelOnly="1" outline="0" fieldPosition="0">
        <references count="7">
          <reference field="1" count="0" selected="0"/>
          <reference field="3" count="1" selected="0">
            <x v="6"/>
          </reference>
          <reference field="4" count="1" selected="0">
            <x v="0"/>
          </reference>
          <reference field="5" count="1" selected="0">
            <x v="351"/>
          </reference>
          <reference field="6" count="1" selected="0">
            <x v="9"/>
          </reference>
          <reference field="9" count="1" selected="0">
            <x v="10"/>
          </reference>
          <reference field="11" count="1">
            <x v="55"/>
          </reference>
        </references>
      </pivotArea>
    </format>
    <format dxfId="8409">
      <pivotArea dataOnly="0" labelOnly="1" outline="0" fieldPosition="0">
        <references count="7">
          <reference field="1" count="0" selected="0"/>
          <reference field="3" count="1" selected="0">
            <x v="8"/>
          </reference>
          <reference field="4" count="1" selected="0">
            <x v="3"/>
          </reference>
          <reference field="5" count="1" selected="0">
            <x v="114"/>
          </reference>
          <reference field="6" count="1" selected="0">
            <x v="3"/>
          </reference>
          <reference field="9" count="1" selected="0">
            <x v="10"/>
          </reference>
          <reference field="11" count="1">
            <x v="26"/>
          </reference>
        </references>
      </pivotArea>
    </format>
    <format dxfId="8408">
      <pivotArea dataOnly="0" labelOnly="1" outline="0" fieldPosition="0">
        <references count="7">
          <reference field="1" count="0" selected="0"/>
          <reference field="3" count="1" selected="0">
            <x v="8"/>
          </reference>
          <reference field="4" count="1" selected="0">
            <x v="3"/>
          </reference>
          <reference field="5" count="1" selected="0">
            <x v="140"/>
          </reference>
          <reference field="6" count="1" selected="0">
            <x v="3"/>
          </reference>
          <reference field="9" count="1" selected="0">
            <x v="10"/>
          </reference>
          <reference field="11" count="1">
            <x v="14"/>
          </reference>
        </references>
      </pivotArea>
    </format>
    <format dxfId="8407">
      <pivotArea dataOnly="0" labelOnly="1" outline="0" fieldPosition="0">
        <references count="7">
          <reference field="1" count="0" selected="0"/>
          <reference field="3" count="1" selected="0">
            <x v="9"/>
          </reference>
          <reference field="4" count="1" selected="0">
            <x v="4"/>
          </reference>
          <reference field="5" count="1" selected="0">
            <x v="142"/>
          </reference>
          <reference field="6" count="1" selected="0">
            <x v="5"/>
          </reference>
          <reference field="9" count="1" selected="0">
            <x v="10"/>
          </reference>
          <reference field="11" count="1">
            <x v="16"/>
          </reference>
        </references>
      </pivotArea>
    </format>
    <format dxfId="8406">
      <pivotArea dataOnly="0" labelOnly="1" outline="0" fieldPosition="0">
        <references count="7">
          <reference field="1" count="0" selected="0"/>
          <reference field="3" count="1" selected="0">
            <x v="9"/>
          </reference>
          <reference field="4" count="1" selected="0">
            <x v="4"/>
          </reference>
          <reference field="5" count="1" selected="0">
            <x v="144"/>
          </reference>
          <reference field="6" count="1" selected="0">
            <x v="5"/>
          </reference>
          <reference field="9" count="1" selected="0">
            <x v="10"/>
          </reference>
          <reference field="11" count="1">
            <x v="9"/>
          </reference>
        </references>
      </pivotArea>
    </format>
    <format dxfId="8405">
      <pivotArea dataOnly="0" labelOnly="1" outline="0" fieldPosition="0">
        <references count="7">
          <reference field="1" count="0" selected="0"/>
          <reference field="3" count="1" selected="0">
            <x v="9"/>
          </reference>
          <reference field="4" count="1" selected="0">
            <x v="6"/>
          </reference>
          <reference field="5" count="1" selected="0">
            <x v="161"/>
          </reference>
          <reference field="6" count="1" selected="0">
            <x v="5"/>
          </reference>
          <reference field="9" count="1" selected="0">
            <x v="7"/>
          </reference>
          <reference field="11" count="1">
            <x v="24"/>
          </reference>
        </references>
      </pivotArea>
    </format>
    <format dxfId="8404">
      <pivotArea dataOnly="0" labelOnly="1" outline="0" fieldPosition="0">
        <references count="8">
          <reference field="1" count="0" selected="0"/>
          <reference field="3" count="1" selected="0">
            <x v="0"/>
          </reference>
          <reference field="4" count="1" selected="0">
            <x v="1"/>
          </reference>
          <reference field="5" count="1" selected="0">
            <x v="348"/>
          </reference>
          <reference field="6" count="1" selected="0">
            <x v="7"/>
          </reference>
          <reference field="9" count="1" selected="0">
            <x v="10"/>
          </reference>
          <reference field="11" count="1" selected="0">
            <x v="14"/>
          </reference>
          <reference field="12" count="1">
            <x v="8"/>
          </reference>
        </references>
      </pivotArea>
    </format>
    <format dxfId="8403">
      <pivotArea dataOnly="0" labelOnly="1" outline="0" fieldPosition="0">
        <references count="8">
          <reference field="1" count="0" selected="0"/>
          <reference field="3" count="1" selected="0">
            <x v="3"/>
          </reference>
          <reference field="4" count="1" selected="0">
            <x v="1"/>
          </reference>
          <reference field="5" count="1" selected="0">
            <x v="193"/>
          </reference>
          <reference field="6" count="1" selected="0">
            <x v="2"/>
          </reference>
          <reference field="9" count="1" selected="0">
            <x v="10"/>
          </reference>
          <reference field="11" count="1" selected="0">
            <x v="8"/>
          </reference>
          <reference field="12" count="1">
            <x v="21"/>
          </reference>
        </references>
      </pivotArea>
    </format>
    <format dxfId="8402">
      <pivotArea dataOnly="0" labelOnly="1" outline="0" fieldPosition="0">
        <references count="8">
          <reference field="1" count="0" selected="0"/>
          <reference field="3" count="1" selected="0">
            <x v="4"/>
          </reference>
          <reference field="4" count="1" selected="0">
            <x v="1"/>
          </reference>
          <reference field="5" count="1" selected="0">
            <x v="169"/>
          </reference>
          <reference field="6" count="1" selected="0">
            <x v="2"/>
          </reference>
          <reference field="9" count="1" selected="0">
            <x v="10"/>
          </reference>
          <reference field="11" count="1" selected="0">
            <x v="14"/>
          </reference>
          <reference field="12" count="1">
            <x v="18"/>
          </reference>
        </references>
      </pivotArea>
    </format>
    <format dxfId="8401">
      <pivotArea dataOnly="0" labelOnly="1" outline="0" fieldPosition="0">
        <references count="8">
          <reference field="1" count="0" selected="0"/>
          <reference field="3" count="1" selected="0">
            <x v="4"/>
          </reference>
          <reference field="4" count="1" selected="0">
            <x v="1"/>
          </reference>
          <reference field="5" count="1" selected="0">
            <x v="210"/>
          </reference>
          <reference field="6" count="1" selected="0">
            <x v="2"/>
          </reference>
          <reference field="9" count="1" selected="0">
            <x v="10"/>
          </reference>
          <reference field="11" count="1" selected="0">
            <x v="1"/>
          </reference>
          <reference field="12" count="1">
            <x v="8"/>
          </reference>
        </references>
      </pivotArea>
    </format>
    <format dxfId="8400">
      <pivotArea dataOnly="0" labelOnly="1" outline="0" fieldPosition="0">
        <references count="8">
          <reference field="1" count="0" selected="0"/>
          <reference field="3" count="1" selected="0">
            <x v="5"/>
          </reference>
          <reference field="4" count="1" selected="0">
            <x v="3"/>
          </reference>
          <reference field="5" count="1" selected="0">
            <x v="132"/>
          </reference>
          <reference field="6" count="1" selected="0">
            <x v="3"/>
          </reference>
          <reference field="9" count="1" selected="0">
            <x v="10"/>
          </reference>
          <reference field="11" count="1" selected="0">
            <x v="14"/>
          </reference>
          <reference field="12" count="1">
            <x v="11"/>
          </reference>
        </references>
      </pivotArea>
    </format>
    <format dxfId="8399">
      <pivotArea dataOnly="0" labelOnly="1" outline="0" fieldPosition="0">
        <references count="8">
          <reference field="1" count="0" selected="0"/>
          <reference field="3" count="1" selected="0">
            <x v="6"/>
          </reference>
          <reference field="4" count="1" selected="0">
            <x v="0"/>
          </reference>
          <reference field="5" count="1" selected="0">
            <x v="95"/>
          </reference>
          <reference field="6" count="1" selected="0">
            <x v="9"/>
          </reference>
          <reference field="9" count="1" selected="0">
            <x v="10"/>
          </reference>
          <reference field="11" count="1" selected="0">
            <x v="48"/>
          </reference>
          <reference field="12" count="1">
            <x v="8"/>
          </reference>
        </references>
      </pivotArea>
    </format>
    <format dxfId="8398">
      <pivotArea dataOnly="0" labelOnly="1" outline="0" fieldPosition="0">
        <references count="8">
          <reference field="1" count="0" selected="0"/>
          <reference field="3" count="1" selected="0">
            <x v="6"/>
          </reference>
          <reference field="4" count="1" selected="0">
            <x v="0"/>
          </reference>
          <reference field="5" count="1" selected="0">
            <x v="157"/>
          </reference>
          <reference field="6" count="1" selected="0">
            <x v="9"/>
          </reference>
          <reference field="9" count="1" selected="0">
            <x v="10"/>
          </reference>
          <reference field="11" count="1" selected="0">
            <x v="56"/>
          </reference>
          <reference field="12" count="1">
            <x v="8"/>
          </reference>
        </references>
      </pivotArea>
    </format>
    <format dxfId="8397">
      <pivotArea dataOnly="0" labelOnly="1" outline="0" fieldPosition="0">
        <references count="8">
          <reference field="1" count="0" selected="0"/>
          <reference field="3" count="1" selected="0">
            <x v="6"/>
          </reference>
          <reference field="4" count="1" selected="0">
            <x v="0"/>
          </reference>
          <reference field="5" count="1" selected="0">
            <x v="170"/>
          </reference>
          <reference field="6" count="1" selected="0">
            <x v="9"/>
          </reference>
          <reference field="9" count="1" selected="0">
            <x v="10"/>
          </reference>
          <reference field="11" count="1" selected="0">
            <x v="14"/>
          </reference>
          <reference field="12" count="1">
            <x v="7"/>
          </reference>
        </references>
      </pivotArea>
    </format>
    <format dxfId="8396">
      <pivotArea dataOnly="0" labelOnly="1" outline="0" fieldPosition="0">
        <references count="8">
          <reference field="1" count="0" selected="0"/>
          <reference field="3" count="1" selected="0">
            <x v="6"/>
          </reference>
          <reference field="4" count="1" selected="0">
            <x v="0"/>
          </reference>
          <reference field="5" count="1" selected="0">
            <x v="171"/>
          </reference>
          <reference field="6" count="1" selected="0">
            <x v="9"/>
          </reference>
          <reference field="9" count="1" selected="0">
            <x v="10"/>
          </reference>
          <reference field="11" count="1" selected="0">
            <x v="14"/>
          </reference>
          <reference field="12" count="1">
            <x v="8"/>
          </reference>
        </references>
      </pivotArea>
    </format>
    <format dxfId="8395">
      <pivotArea dataOnly="0" labelOnly="1" outline="0" fieldPosition="0">
        <references count="8">
          <reference field="1" count="0" selected="0"/>
          <reference field="3" count="1" selected="0">
            <x v="6"/>
          </reference>
          <reference field="4" count="1" selected="0">
            <x v="0"/>
          </reference>
          <reference field="5" count="1" selected="0">
            <x v="178"/>
          </reference>
          <reference field="6" count="1" selected="0">
            <x v="9"/>
          </reference>
          <reference field="9" count="1" selected="0">
            <x v="10"/>
          </reference>
          <reference field="11" count="1" selected="0">
            <x v="14"/>
          </reference>
          <reference field="12" count="1">
            <x v="27"/>
          </reference>
        </references>
      </pivotArea>
    </format>
    <format dxfId="8394">
      <pivotArea dataOnly="0" labelOnly="1" outline="0" fieldPosition="0">
        <references count="8">
          <reference field="1" count="0" selected="0"/>
          <reference field="3" count="1" selected="0">
            <x v="6"/>
          </reference>
          <reference field="4" count="1" selected="0">
            <x v="0"/>
          </reference>
          <reference field="5" count="1" selected="0">
            <x v="185"/>
          </reference>
          <reference field="6" count="1" selected="0">
            <x v="9"/>
          </reference>
          <reference field="9" count="1" selected="0">
            <x v="10"/>
          </reference>
          <reference field="11" count="1" selected="0">
            <x v="14"/>
          </reference>
          <reference field="12" count="1">
            <x v="32"/>
          </reference>
        </references>
      </pivotArea>
    </format>
    <format dxfId="8393">
      <pivotArea dataOnly="0" labelOnly="1" outline="0" fieldPosition="0">
        <references count="8">
          <reference field="1" count="0" selected="0"/>
          <reference field="3" count="1" selected="0">
            <x v="6"/>
          </reference>
          <reference field="4" count="1" selected="0">
            <x v="0"/>
          </reference>
          <reference field="5" count="1" selected="0">
            <x v="186"/>
          </reference>
          <reference field="6" count="1" selected="0">
            <x v="9"/>
          </reference>
          <reference field="9" count="1" selected="0">
            <x v="10"/>
          </reference>
          <reference field="11" count="1" selected="0">
            <x v="39"/>
          </reference>
          <reference field="12" count="1">
            <x v="8"/>
          </reference>
        </references>
      </pivotArea>
    </format>
    <format dxfId="8392">
      <pivotArea dataOnly="0" labelOnly="1" outline="0" fieldPosition="0">
        <references count="8">
          <reference field="1" count="0" selected="0"/>
          <reference field="3" count="1" selected="0">
            <x v="6"/>
          </reference>
          <reference field="4" count="1" selected="0">
            <x v="0"/>
          </reference>
          <reference field="5" count="1" selected="0">
            <x v="351"/>
          </reference>
          <reference field="6" count="1" selected="0">
            <x v="9"/>
          </reference>
          <reference field="9" count="1" selected="0">
            <x v="10"/>
          </reference>
          <reference field="11" count="1" selected="0">
            <x v="55"/>
          </reference>
          <reference field="12" count="1">
            <x v="19"/>
          </reference>
        </references>
      </pivotArea>
    </format>
    <format dxfId="8391">
      <pivotArea dataOnly="0" labelOnly="1" outline="0" fieldPosition="0">
        <references count="8">
          <reference field="1" count="0" selected="0"/>
          <reference field="3" count="1" selected="0">
            <x v="8"/>
          </reference>
          <reference field="4" count="1" selected="0">
            <x v="3"/>
          </reference>
          <reference field="5" count="1" selected="0">
            <x v="114"/>
          </reference>
          <reference field="6" count="1" selected="0">
            <x v="3"/>
          </reference>
          <reference field="9" count="1" selected="0">
            <x v="10"/>
          </reference>
          <reference field="11" count="1" selected="0">
            <x v="26"/>
          </reference>
          <reference field="12" count="1">
            <x v="26"/>
          </reference>
        </references>
      </pivotArea>
    </format>
    <format dxfId="8390">
      <pivotArea dataOnly="0" labelOnly="1" outline="0" fieldPosition="0">
        <references count="8">
          <reference field="1" count="0" selected="0"/>
          <reference field="3" count="1" selected="0">
            <x v="8"/>
          </reference>
          <reference field="4" count="1" selected="0">
            <x v="3"/>
          </reference>
          <reference field="5" count="1" selected="0">
            <x v="140"/>
          </reference>
          <reference field="6" count="1" selected="0">
            <x v="3"/>
          </reference>
          <reference field="9" count="1" selected="0">
            <x v="10"/>
          </reference>
          <reference field="11" count="1" selected="0">
            <x v="14"/>
          </reference>
          <reference field="12" count="1">
            <x v="31"/>
          </reference>
        </references>
      </pivotArea>
    </format>
    <format dxfId="8389">
      <pivotArea dataOnly="0" labelOnly="1" outline="0" fieldPosition="0">
        <references count="8">
          <reference field="1" count="0" selected="0"/>
          <reference field="3" count="1" selected="0">
            <x v="9"/>
          </reference>
          <reference field="4" count="1" selected="0">
            <x v="6"/>
          </reference>
          <reference field="5" count="1" selected="0">
            <x v="161"/>
          </reference>
          <reference field="6" count="1" selected="0">
            <x v="5"/>
          </reference>
          <reference field="9" count="1" selected="0">
            <x v="7"/>
          </reference>
          <reference field="11" count="1" selected="0">
            <x v="24"/>
          </reference>
          <reference field="12" count="1">
            <x v="8"/>
          </reference>
        </references>
      </pivotArea>
    </format>
    <format dxfId="8388">
      <pivotArea dataOnly="0" labelOnly="1" outline="0" fieldPosition="0">
        <references count="9">
          <reference field="1" count="0" selected="0"/>
          <reference field="3" count="1" selected="0">
            <x v="0"/>
          </reference>
          <reference field="4" count="1" selected="0">
            <x v="1"/>
          </reference>
          <reference field="5" count="1" selected="0">
            <x v="348"/>
          </reference>
          <reference field="6" count="1" selected="0">
            <x v="7"/>
          </reference>
          <reference field="9" count="1" selected="0">
            <x v="10"/>
          </reference>
          <reference field="11" count="1" selected="0">
            <x v="14"/>
          </reference>
          <reference field="12" count="1" selected="0">
            <x v="8"/>
          </reference>
          <reference field="13" count="1">
            <x v="3"/>
          </reference>
        </references>
      </pivotArea>
    </format>
    <format dxfId="8387">
      <pivotArea dataOnly="0" labelOnly="1" outline="0" fieldPosition="0">
        <references count="9">
          <reference field="1" count="0" selected="0"/>
          <reference field="3" count="1" selected="0">
            <x v="6"/>
          </reference>
          <reference field="4" count="1" selected="0">
            <x v="0"/>
          </reference>
          <reference field="5" count="1" selected="0">
            <x v="129"/>
          </reference>
          <reference field="6" count="1" selected="0">
            <x v="9"/>
          </reference>
          <reference field="9" count="1" selected="0">
            <x v="10"/>
          </reference>
          <reference field="11" count="1" selected="0">
            <x v="14"/>
          </reference>
          <reference field="12" count="1" selected="0">
            <x v="24"/>
          </reference>
          <reference field="13" count="1">
            <x v="3"/>
          </reference>
        </references>
      </pivotArea>
    </format>
    <format dxfId="8386">
      <pivotArea dataOnly="0" labelOnly="1" outline="0" fieldPosition="0">
        <references count="10">
          <reference field="1" count="0" selected="0"/>
          <reference field="3" count="1" selected="0">
            <x v="0"/>
          </reference>
          <reference field="4" count="1" selected="0">
            <x v="1"/>
          </reference>
          <reference field="5" count="1" selected="0">
            <x v="348"/>
          </reference>
          <reference field="6" count="1" selected="0">
            <x v="7"/>
          </reference>
          <reference field="9" count="1" selected="0">
            <x v="10"/>
          </reference>
          <reference field="11" count="1" selected="0">
            <x v="14"/>
          </reference>
          <reference field="12" count="1" selected="0">
            <x v="8"/>
          </reference>
          <reference field="13" count="1" selected="0">
            <x v="3"/>
          </reference>
          <reference field="14" count="1">
            <x v="17"/>
          </reference>
        </references>
      </pivotArea>
    </format>
    <format dxfId="8385">
      <pivotArea dataOnly="0" labelOnly="1" outline="0" fieldPosition="0">
        <references count="10">
          <reference field="1" count="0" selected="0"/>
          <reference field="3" count="1" selected="0">
            <x v="3"/>
          </reference>
          <reference field="4" count="1" selected="0">
            <x v="1"/>
          </reference>
          <reference field="5" count="1" selected="0">
            <x v="201"/>
          </reference>
          <reference field="6" count="1" selected="0">
            <x v="2"/>
          </reference>
          <reference field="9" count="1" selected="0">
            <x v="10"/>
          </reference>
          <reference field="11" count="1" selected="0">
            <x v="1"/>
          </reference>
          <reference field="12" count="1" selected="0">
            <x v="8"/>
          </reference>
          <reference field="13" count="1" selected="0">
            <x v="3"/>
          </reference>
          <reference field="14" count="1">
            <x v="0"/>
          </reference>
        </references>
      </pivotArea>
    </format>
    <format dxfId="8384">
      <pivotArea dataOnly="0" labelOnly="1" outline="0" fieldPosition="0">
        <references count="10">
          <reference field="1" count="0" selected="0"/>
          <reference field="3" count="1" selected="0">
            <x v="3"/>
          </reference>
          <reference field="4" count="1" selected="0">
            <x v="1"/>
          </reference>
          <reference field="5" count="1" selected="0">
            <x v="208"/>
          </reference>
          <reference field="6" count="1" selected="0">
            <x v="2"/>
          </reference>
          <reference field="9" count="1" selected="0">
            <x v="10"/>
          </reference>
          <reference field="11" count="1" selected="0">
            <x v="1"/>
          </reference>
          <reference field="12" count="1" selected="0">
            <x v="8"/>
          </reference>
          <reference field="13" count="1" selected="0">
            <x v="3"/>
          </reference>
          <reference field="14" count="1">
            <x v="6"/>
          </reference>
        </references>
      </pivotArea>
    </format>
    <format dxfId="8383">
      <pivotArea dataOnly="0" labelOnly="1" outline="0" fieldPosition="0">
        <references count="10">
          <reference field="1" count="0" selected="0"/>
          <reference field="3" count="1" selected="0">
            <x v="4"/>
          </reference>
          <reference field="4" count="1" selected="0">
            <x v="1"/>
          </reference>
          <reference field="5" count="1" selected="0">
            <x v="96"/>
          </reference>
          <reference field="6" count="1" selected="0">
            <x v="2"/>
          </reference>
          <reference field="9" count="1" selected="0">
            <x v="10"/>
          </reference>
          <reference field="11" count="1" selected="0">
            <x v="22"/>
          </reference>
          <reference field="12" count="1" selected="0">
            <x v="8"/>
          </reference>
          <reference field="13" count="1" selected="0">
            <x v="3"/>
          </reference>
          <reference field="14" count="1">
            <x v="41"/>
          </reference>
        </references>
      </pivotArea>
    </format>
    <format dxfId="8382">
      <pivotArea dataOnly="0" labelOnly="1" outline="0" fieldPosition="0">
        <references count="10">
          <reference field="1" count="0" selected="0"/>
          <reference field="3" count="1" selected="0">
            <x v="4"/>
          </reference>
          <reference field="4" count="1" selected="0">
            <x v="1"/>
          </reference>
          <reference field="5" count="1" selected="0">
            <x v="169"/>
          </reference>
          <reference field="6" count="1" selected="0">
            <x v="2"/>
          </reference>
          <reference field="9" count="1" selected="0">
            <x v="10"/>
          </reference>
          <reference field="11" count="1" selected="0">
            <x v="14"/>
          </reference>
          <reference field="12" count="1" selected="0">
            <x v="18"/>
          </reference>
          <reference field="13" count="1" selected="0">
            <x v="3"/>
          </reference>
          <reference field="14" count="1">
            <x v="17"/>
          </reference>
        </references>
      </pivotArea>
    </format>
    <format dxfId="8381">
      <pivotArea dataOnly="0" labelOnly="1" outline="0" fieldPosition="0">
        <references count="10">
          <reference field="1" count="0" selected="0"/>
          <reference field="3" count="1" selected="0">
            <x v="4"/>
          </reference>
          <reference field="4" count="1" selected="0">
            <x v="1"/>
          </reference>
          <reference field="5" count="1" selected="0">
            <x v="210"/>
          </reference>
          <reference field="6" count="1" selected="0">
            <x v="2"/>
          </reference>
          <reference field="9" count="1" selected="0">
            <x v="10"/>
          </reference>
          <reference field="11" count="1" selected="0">
            <x v="1"/>
          </reference>
          <reference field="12" count="1" selected="0">
            <x v="8"/>
          </reference>
          <reference field="13" count="1" selected="0">
            <x v="3"/>
          </reference>
          <reference field="14" count="1">
            <x v="5"/>
          </reference>
        </references>
      </pivotArea>
    </format>
    <format dxfId="8380">
      <pivotArea dataOnly="0" labelOnly="1" outline="0" fieldPosition="0">
        <references count="10">
          <reference field="1" count="0" selected="0"/>
          <reference field="3" count="1" selected="0">
            <x v="4"/>
          </reference>
          <reference field="4" count="1" selected="0">
            <x v="1"/>
          </reference>
          <reference field="5" count="1" selected="0">
            <x v="327"/>
          </reference>
          <reference field="6" count="1" selected="0">
            <x v="2"/>
          </reference>
          <reference field="9" count="1" selected="0">
            <x v="10"/>
          </reference>
          <reference field="11" count="1" selected="0">
            <x v="31"/>
          </reference>
          <reference field="12" count="1" selected="0">
            <x v="8"/>
          </reference>
          <reference field="13" count="1" selected="0">
            <x v="3"/>
          </reference>
          <reference field="14" count="1">
            <x v="28"/>
          </reference>
        </references>
      </pivotArea>
    </format>
    <format dxfId="8379">
      <pivotArea dataOnly="0" labelOnly="1" outline="0" fieldPosition="0">
        <references count="10">
          <reference field="1" count="0" selected="0"/>
          <reference field="3" count="1" selected="0">
            <x v="5"/>
          </reference>
          <reference field="4" count="1" selected="0">
            <x v="3"/>
          </reference>
          <reference field="5" count="1" selected="0">
            <x v="132"/>
          </reference>
          <reference field="6" count="1" selected="0">
            <x v="3"/>
          </reference>
          <reference field="9" count="1" selected="0">
            <x v="10"/>
          </reference>
          <reference field="11" count="1" selected="0">
            <x v="14"/>
          </reference>
          <reference field="12" count="1" selected="0">
            <x v="11"/>
          </reference>
          <reference field="13" count="1" selected="0">
            <x v="3"/>
          </reference>
          <reference field="14" count="1">
            <x v="30"/>
          </reference>
        </references>
      </pivotArea>
    </format>
    <format dxfId="8378">
      <pivotArea dataOnly="0" labelOnly="1" outline="0" fieldPosition="0">
        <references count="10">
          <reference field="1" count="0" selected="0"/>
          <reference field="3" count="1" selected="0">
            <x v="6"/>
          </reference>
          <reference field="4" count="1" selected="0">
            <x v="0"/>
          </reference>
          <reference field="5" count="1" selected="0">
            <x v="95"/>
          </reference>
          <reference field="6" count="1" selected="0">
            <x v="9"/>
          </reference>
          <reference field="9" count="1" selected="0">
            <x v="10"/>
          </reference>
          <reference field="11" count="1" selected="0">
            <x v="48"/>
          </reference>
          <reference field="12" count="1" selected="0">
            <x v="8"/>
          </reference>
          <reference field="13" count="1" selected="0">
            <x v="3"/>
          </reference>
          <reference field="14" count="1">
            <x v="17"/>
          </reference>
        </references>
      </pivotArea>
    </format>
    <format dxfId="8377">
      <pivotArea dataOnly="0" labelOnly="1" outline="0" fieldPosition="0">
        <references count="10">
          <reference field="1" count="0" selected="0"/>
          <reference field="3" count="1" selected="0">
            <x v="6"/>
          </reference>
          <reference field="4" count="1" selected="0">
            <x v="0"/>
          </reference>
          <reference field="5" count="1" selected="0">
            <x v="157"/>
          </reference>
          <reference field="6" count="1" selected="0">
            <x v="9"/>
          </reference>
          <reference field="9" count="1" selected="0">
            <x v="10"/>
          </reference>
          <reference field="11" count="1" selected="0">
            <x v="56"/>
          </reference>
          <reference field="12" count="1" selected="0">
            <x v="8"/>
          </reference>
          <reference field="13" count="1" selected="0">
            <x v="3"/>
          </reference>
          <reference field="14" count="1">
            <x v="57"/>
          </reference>
        </references>
      </pivotArea>
    </format>
    <format dxfId="8376">
      <pivotArea dataOnly="0" labelOnly="1" outline="0" fieldPosition="0">
        <references count="10">
          <reference field="1" count="0" selected="0"/>
          <reference field="3" count="1" selected="0">
            <x v="6"/>
          </reference>
          <reference field="4" count="1" selected="0">
            <x v="0"/>
          </reference>
          <reference field="5" count="1" selected="0">
            <x v="158"/>
          </reference>
          <reference field="6" count="1" selected="0">
            <x v="9"/>
          </reference>
          <reference field="9" count="1" selected="0">
            <x v="10"/>
          </reference>
          <reference field="11" count="1" selected="0">
            <x v="46"/>
          </reference>
          <reference field="12" count="1" selected="0">
            <x v="8"/>
          </reference>
          <reference field="13" count="1" selected="0">
            <x v="3"/>
          </reference>
          <reference field="14" count="1">
            <x v="20"/>
          </reference>
        </references>
      </pivotArea>
    </format>
    <format dxfId="8375">
      <pivotArea dataOnly="0" labelOnly="1" outline="0" fieldPosition="0">
        <references count="10">
          <reference field="1" count="0" selected="0"/>
          <reference field="3" count="1" selected="0">
            <x v="6"/>
          </reference>
          <reference field="4" count="1" selected="0">
            <x v="0"/>
          </reference>
          <reference field="5" count="1" selected="0">
            <x v="170"/>
          </reference>
          <reference field="6" count="1" selected="0">
            <x v="9"/>
          </reference>
          <reference field="9" count="1" selected="0">
            <x v="10"/>
          </reference>
          <reference field="11" count="1" selected="0">
            <x v="14"/>
          </reference>
          <reference field="12" count="1" selected="0">
            <x v="7"/>
          </reference>
          <reference field="13" count="1" selected="0">
            <x v="3"/>
          </reference>
          <reference field="14" count="1">
            <x v="17"/>
          </reference>
        </references>
      </pivotArea>
    </format>
    <format dxfId="8374">
      <pivotArea dataOnly="0" labelOnly="1" outline="0" fieldPosition="0">
        <references count="10">
          <reference field="1" count="0" selected="0"/>
          <reference field="3" count="1" selected="0">
            <x v="6"/>
          </reference>
          <reference field="4" count="1" selected="0">
            <x v="0"/>
          </reference>
          <reference field="5" count="1" selected="0">
            <x v="178"/>
          </reference>
          <reference field="6" count="1" selected="0">
            <x v="9"/>
          </reference>
          <reference field="9" count="1" selected="0">
            <x v="10"/>
          </reference>
          <reference field="11" count="1" selected="0">
            <x v="14"/>
          </reference>
          <reference field="12" count="1" selected="0">
            <x v="27"/>
          </reference>
          <reference field="13" count="1" selected="0">
            <x v="3"/>
          </reference>
          <reference field="14" count="1">
            <x v="37"/>
          </reference>
        </references>
      </pivotArea>
    </format>
    <format dxfId="8373">
      <pivotArea dataOnly="0" labelOnly="1" outline="0" fieldPosition="0">
        <references count="10">
          <reference field="1" count="0" selected="0"/>
          <reference field="3" count="1" selected="0">
            <x v="6"/>
          </reference>
          <reference field="4" count="1" selected="0">
            <x v="0"/>
          </reference>
          <reference field="5" count="1" selected="0">
            <x v="185"/>
          </reference>
          <reference field="6" count="1" selected="0">
            <x v="9"/>
          </reference>
          <reference field="9" count="1" selected="0">
            <x v="10"/>
          </reference>
          <reference field="11" count="1" selected="0">
            <x v="14"/>
          </reference>
          <reference field="12" count="1" selected="0">
            <x v="32"/>
          </reference>
          <reference field="13" count="1" selected="0">
            <x v="3"/>
          </reference>
          <reference field="14" count="1">
            <x v="55"/>
          </reference>
        </references>
      </pivotArea>
    </format>
    <format dxfId="8372">
      <pivotArea dataOnly="0" labelOnly="1" outline="0" fieldPosition="0">
        <references count="10">
          <reference field="1" count="0" selected="0"/>
          <reference field="3" count="1" selected="0">
            <x v="6"/>
          </reference>
          <reference field="4" count="1" selected="0">
            <x v="0"/>
          </reference>
          <reference field="5" count="1" selected="0">
            <x v="186"/>
          </reference>
          <reference field="6" count="1" selected="0">
            <x v="9"/>
          </reference>
          <reference field="9" count="1" selected="0">
            <x v="10"/>
          </reference>
          <reference field="11" count="1" selected="0">
            <x v="39"/>
          </reference>
          <reference field="12" count="1" selected="0">
            <x v="8"/>
          </reference>
          <reference field="13" count="1" selected="0">
            <x v="3"/>
          </reference>
          <reference field="14" count="1">
            <x v="50"/>
          </reference>
        </references>
      </pivotArea>
    </format>
    <format dxfId="8371">
      <pivotArea dataOnly="0" labelOnly="1" outline="0" fieldPosition="0">
        <references count="10">
          <reference field="1" count="0" selected="0"/>
          <reference field="3" count="1" selected="0">
            <x v="6"/>
          </reference>
          <reference field="4" count="1" selected="0">
            <x v="0"/>
          </reference>
          <reference field="5" count="1" selected="0">
            <x v="351"/>
          </reference>
          <reference field="6" count="1" selected="0">
            <x v="9"/>
          </reference>
          <reference field="9" count="1" selected="0">
            <x v="10"/>
          </reference>
          <reference field="11" count="1" selected="0">
            <x v="55"/>
          </reference>
          <reference field="12" count="1" selected="0">
            <x v="19"/>
          </reference>
          <reference field="13" count="1" selected="0">
            <x v="3"/>
          </reference>
          <reference field="14" count="1">
            <x v="19"/>
          </reference>
        </references>
      </pivotArea>
    </format>
    <format dxfId="8370">
      <pivotArea dataOnly="0" labelOnly="1" outline="0" fieldPosition="0">
        <references count="10">
          <reference field="1" count="0" selected="0"/>
          <reference field="3" count="1" selected="0">
            <x v="8"/>
          </reference>
          <reference field="4" count="1" selected="0">
            <x v="3"/>
          </reference>
          <reference field="5" count="1" selected="0">
            <x v="114"/>
          </reference>
          <reference field="6" count="1" selected="0">
            <x v="3"/>
          </reference>
          <reference field="9" count="1" selected="0">
            <x v="10"/>
          </reference>
          <reference field="11" count="1" selected="0">
            <x v="26"/>
          </reference>
          <reference field="12" count="1" selected="0">
            <x v="26"/>
          </reference>
          <reference field="13" count="1" selected="0">
            <x v="3"/>
          </reference>
          <reference field="14" count="1">
            <x v="40"/>
          </reference>
        </references>
      </pivotArea>
    </format>
    <format dxfId="8369">
      <pivotArea dataOnly="0" labelOnly="1" outline="0" fieldPosition="0">
        <references count="10">
          <reference field="1" count="0" selected="0"/>
          <reference field="3" count="1" selected="0">
            <x v="8"/>
          </reference>
          <reference field="4" count="1" selected="0">
            <x v="3"/>
          </reference>
          <reference field="5" count="1" selected="0">
            <x v="140"/>
          </reference>
          <reference field="6" count="1" selected="0">
            <x v="3"/>
          </reference>
          <reference field="9" count="1" selected="0">
            <x v="10"/>
          </reference>
          <reference field="11" count="1" selected="0">
            <x v="14"/>
          </reference>
          <reference field="12" count="1" selected="0">
            <x v="31"/>
          </reference>
          <reference field="13" count="1" selected="0">
            <x v="3"/>
          </reference>
          <reference field="14" count="1">
            <x v="17"/>
          </reference>
        </references>
      </pivotArea>
    </format>
    <format dxfId="8368">
      <pivotArea dataOnly="0" labelOnly="1" outline="0" fieldPosition="0">
        <references count="10">
          <reference field="1" count="0" selected="0"/>
          <reference field="3" count="1" selected="0">
            <x v="9"/>
          </reference>
          <reference field="4" count="1" selected="0">
            <x v="4"/>
          </reference>
          <reference field="5" count="1" selected="0">
            <x v="142"/>
          </reference>
          <reference field="6" count="1" selected="0">
            <x v="5"/>
          </reference>
          <reference field="9" count="1" selected="0">
            <x v="10"/>
          </reference>
          <reference field="11" count="1" selected="0">
            <x v="16"/>
          </reference>
          <reference field="12" count="1" selected="0">
            <x v="8"/>
          </reference>
          <reference field="13" count="1" selected="0">
            <x v="3"/>
          </reference>
          <reference field="14" count="1">
            <x v="17"/>
          </reference>
        </references>
      </pivotArea>
    </format>
    <format dxfId="8367">
      <pivotArea dataOnly="0" labelOnly="1" outline="0" fieldPosition="0">
        <references count="10">
          <reference field="1" count="0" selected="0"/>
          <reference field="3" count="1" selected="0">
            <x v="9"/>
          </reference>
          <reference field="4" count="1" selected="0">
            <x v="6"/>
          </reference>
          <reference field="5" count="1" selected="0">
            <x v="161"/>
          </reference>
          <reference field="6" count="1" selected="0">
            <x v="5"/>
          </reference>
          <reference field="9" count="1" selected="0">
            <x v="7"/>
          </reference>
          <reference field="11" count="1" selected="0">
            <x v="24"/>
          </reference>
          <reference field="12" count="1" selected="0">
            <x v="8"/>
          </reference>
          <reference field="13" count="1" selected="0">
            <x v="3"/>
          </reference>
          <reference field="14" count="1">
            <x v="56"/>
          </reference>
        </references>
      </pivotArea>
    </format>
    <format dxfId="8366">
      <pivotArea dataOnly="0" labelOnly="1" outline="0" fieldPosition="0">
        <references count="11">
          <reference field="1" count="0" selected="0"/>
          <reference field="3" count="1" selected="0">
            <x v="0"/>
          </reference>
          <reference field="4" count="1" selected="0">
            <x v="1"/>
          </reference>
          <reference field="5" count="1" selected="0">
            <x v="348"/>
          </reference>
          <reference field="6" count="1" selected="0">
            <x v="7"/>
          </reference>
          <reference field="9" count="1" selected="0">
            <x v="10"/>
          </reference>
          <reference field="11" count="1" selected="0">
            <x v="14"/>
          </reference>
          <reference field="12" count="1" selected="0">
            <x v="8"/>
          </reference>
          <reference field="13" count="1" selected="0">
            <x v="3"/>
          </reference>
          <reference field="14" count="1" selected="0">
            <x v="17"/>
          </reference>
          <reference field="15" count="1">
            <x v="14"/>
          </reference>
        </references>
      </pivotArea>
    </format>
    <format dxfId="8365">
      <pivotArea dataOnly="0" labelOnly="1" outline="0" fieldPosition="0">
        <references count="11">
          <reference field="1" count="0" selected="0"/>
          <reference field="3" count="1" selected="0">
            <x v="3"/>
          </reference>
          <reference field="4" count="1" selected="0">
            <x v="1"/>
          </reference>
          <reference field="5" count="1" selected="0">
            <x v="193"/>
          </reference>
          <reference field="6" count="1" selected="0">
            <x v="2"/>
          </reference>
          <reference field="9" count="1" selected="0">
            <x v="10"/>
          </reference>
          <reference field="11" count="1" selected="0">
            <x v="8"/>
          </reference>
          <reference field="12" count="1" selected="0">
            <x v="21"/>
          </reference>
          <reference field="13" count="1" selected="0">
            <x v="3"/>
          </reference>
          <reference field="14" count="1" selected="0">
            <x v="17"/>
          </reference>
          <reference field="15" count="1">
            <x v="52"/>
          </reference>
        </references>
      </pivotArea>
    </format>
    <format dxfId="8364">
      <pivotArea dataOnly="0" labelOnly="1" outline="0" fieldPosition="0">
        <references count="11">
          <reference field="1" count="0" selected="0"/>
          <reference field="3" count="1" selected="0">
            <x v="3"/>
          </reference>
          <reference field="4" count="1" selected="0">
            <x v="1"/>
          </reference>
          <reference field="5" count="1" selected="0">
            <x v="201"/>
          </reference>
          <reference field="6" count="1" selected="0">
            <x v="2"/>
          </reference>
          <reference field="9" count="1" selected="0">
            <x v="10"/>
          </reference>
          <reference field="11" count="1" selected="0">
            <x v="1"/>
          </reference>
          <reference field="12" count="1" selected="0">
            <x v="8"/>
          </reference>
          <reference field="13" count="1" selected="0">
            <x v="3"/>
          </reference>
          <reference field="14" count="1" selected="0">
            <x v="0"/>
          </reference>
          <reference field="15" count="1">
            <x v="5"/>
          </reference>
        </references>
      </pivotArea>
    </format>
    <format dxfId="8363">
      <pivotArea dataOnly="0" labelOnly="1" outline="0" fieldPosition="0">
        <references count="11">
          <reference field="1" count="0" selected="0"/>
          <reference field="3" count="1" selected="0">
            <x v="3"/>
          </reference>
          <reference field="4" count="1" selected="0">
            <x v="1"/>
          </reference>
          <reference field="5" count="1" selected="0">
            <x v="208"/>
          </reference>
          <reference field="6" count="1" selected="0">
            <x v="2"/>
          </reference>
          <reference field="9" count="1" selected="0">
            <x v="10"/>
          </reference>
          <reference field="11" count="1" selected="0">
            <x v="1"/>
          </reference>
          <reference field="12" count="1" selected="0">
            <x v="8"/>
          </reference>
          <reference field="13" count="1" selected="0">
            <x v="3"/>
          </reference>
          <reference field="14" count="1" selected="0">
            <x v="6"/>
          </reference>
          <reference field="15" count="1">
            <x v="16"/>
          </reference>
        </references>
      </pivotArea>
    </format>
    <format dxfId="8362">
      <pivotArea dataOnly="0" labelOnly="1" outline="0" fieldPosition="0">
        <references count="11">
          <reference field="1" count="0" selected="0"/>
          <reference field="3" count="1" selected="0">
            <x v="4"/>
          </reference>
          <reference field="4" count="1" selected="0">
            <x v="1"/>
          </reference>
          <reference field="5" count="1" selected="0">
            <x v="96"/>
          </reference>
          <reference field="6" count="1" selected="0">
            <x v="2"/>
          </reference>
          <reference field="9" count="1" selected="0">
            <x v="10"/>
          </reference>
          <reference field="11" count="1" selected="0">
            <x v="22"/>
          </reference>
          <reference field="12" count="1" selected="0">
            <x v="8"/>
          </reference>
          <reference field="13" count="1" selected="0">
            <x v="3"/>
          </reference>
          <reference field="14" count="1" selected="0">
            <x v="41"/>
          </reference>
          <reference field="15" count="1">
            <x v="43"/>
          </reference>
        </references>
      </pivotArea>
    </format>
    <format dxfId="8361">
      <pivotArea dataOnly="0" labelOnly="1" outline="0" fieldPosition="0">
        <references count="11">
          <reference field="1" count="0" selected="0"/>
          <reference field="3" count="1" selected="0">
            <x v="4"/>
          </reference>
          <reference field="4" count="1" selected="0">
            <x v="1"/>
          </reference>
          <reference field="5" count="1" selected="0">
            <x v="169"/>
          </reference>
          <reference field="6" count="1" selected="0">
            <x v="2"/>
          </reference>
          <reference field="9" count="1" selected="0">
            <x v="10"/>
          </reference>
          <reference field="11" count="1" selected="0">
            <x v="14"/>
          </reference>
          <reference field="12" count="1" selected="0">
            <x v="18"/>
          </reference>
          <reference field="13" count="1" selected="0">
            <x v="3"/>
          </reference>
          <reference field="14" count="1" selected="0">
            <x v="17"/>
          </reference>
          <reference field="15" count="1">
            <x v="49"/>
          </reference>
        </references>
      </pivotArea>
    </format>
    <format dxfId="8360">
      <pivotArea dataOnly="0" labelOnly="1" outline="0" fieldPosition="0">
        <references count="11">
          <reference field="1" count="0" selected="0"/>
          <reference field="3" count="1" selected="0">
            <x v="4"/>
          </reference>
          <reference field="4" count="1" selected="0">
            <x v="1"/>
          </reference>
          <reference field="5" count="1" selected="0">
            <x v="210"/>
          </reference>
          <reference field="6" count="1" selected="0">
            <x v="2"/>
          </reference>
          <reference field="9" count="1" selected="0">
            <x v="10"/>
          </reference>
          <reference field="11" count="1" selected="0">
            <x v="1"/>
          </reference>
          <reference field="12" count="1" selected="0">
            <x v="8"/>
          </reference>
          <reference field="13" count="1" selected="0">
            <x v="3"/>
          </reference>
          <reference field="14" count="1" selected="0">
            <x v="5"/>
          </reference>
          <reference field="15" count="1">
            <x v="57"/>
          </reference>
        </references>
      </pivotArea>
    </format>
    <format dxfId="8359">
      <pivotArea dataOnly="0" labelOnly="1" outline="0" fieldPosition="0">
        <references count="11">
          <reference field="1" count="0" selected="0"/>
          <reference field="3" count="1" selected="0">
            <x v="4"/>
          </reference>
          <reference field="4" count="1" selected="0">
            <x v="1"/>
          </reference>
          <reference field="5" count="1" selected="0">
            <x v="327"/>
          </reference>
          <reference field="6" count="1" selected="0">
            <x v="2"/>
          </reference>
          <reference field="9" count="1" selected="0">
            <x v="10"/>
          </reference>
          <reference field="11" count="1" selected="0">
            <x v="31"/>
          </reference>
          <reference field="12" count="1" selected="0">
            <x v="8"/>
          </reference>
          <reference field="13" count="1" selected="0">
            <x v="3"/>
          </reference>
          <reference field="14" count="1" selected="0">
            <x v="28"/>
          </reference>
          <reference field="15" count="1">
            <x v="26"/>
          </reference>
        </references>
      </pivotArea>
    </format>
    <format dxfId="8358">
      <pivotArea dataOnly="0" labelOnly="1" outline="0" fieldPosition="0">
        <references count="11">
          <reference field="1" count="0" selected="0"/>
          <reference field="3" count="1" selected="0">
            <x v="5"/>
          </reference>
          <reference field="4" count="1" selected="0">
            <x v="3"/>
          </reference>
          <reference field="5" count="1" selected="0">
            <x v="132"/>
          </reference>
          <reference field="6" count="1" selected="0">
            <x v="3"/>
          </reference>
          <reference field="9" count="1" selected="0">
            <x v="10"/>
          </reference>
          <reference field="11" count="1" selected="0">
            <x v="14"/>
          </reference>
          <reference field="12" count="1" selected="0">
            <x v="11"/>
          </reference>
          <reference field="13" count="1" selected="0">
            <x v="3"/>
          </reference>
          <reference field="14" count="1" selected="0">
            <x v="30"/>
          </reference>
          <reference field="15" count="1">
            <x v="37"/>
          </reference>
        </references>
      </pivotArea>
    </format>
    <format dxfId="8357">
      <pivotArea dataOnly="0" labelOnly="1" outline="0" fieldPosition="0">
        <references count="11">
          <reference field="1" count="0" selected="0"/>
          <reference field="3" count="1" selected="0">
            <x v="6"/>
          </reference>
          <reference field="4" count="1" selected="0">
            <x v="0"/>
          </reference>
          <reference field="5" count="1" selected="0">
            <x v="95"/>
          </reference>
          <reference field="6" count="1" selected="0">
            <x v="9"/>
          </reference>
          <reference field="9" count="1" selected="0">
            <x v="10"/>
          </reference>
          <reference field="11" count="1" selected="0">
            <x v="48"/>
          </reference>
          <reference field="12" count="1" selected="0">
            <x v="8"/>
          </reference>
          <reference field="13" count="1" selected="0">
            <x v="3"/>
          </reference>
          <reference field="14" count="1" selected="0">
            <x v="17"/>
          </reference>
          <reference field="15" count="1">
            <x v="17"/>
          </reference>
        </references>
      </pivotArea>
    </format>
    <format dxfId="8356">
      <pivotArea dataOnly="0" labelOnly="1" outline="0" fieldPosition="0">
        <references count="11">
          <reference field="1" count="0" selected="0"/>
          <reference field="3" count="1" selected="0">
            <x v="6"/>
          </reference>
          <reference field="4" count="1" selected="0">
            <x v="0"/>
          </reference>
          <reference field="5" count="1" selected="0">
            <x v="157"/>
          </reference>
          <reference field="6" count="1" selected="0">
            <x v="9"/>
          </reference>
          <reference field="9" count="1" selected="0">
            <x v="10"/>
          </reference>
          <reference field="11" count="1" selected="0">
            <x v="56"/>
          </reference>
          <reference field="12" count="1" selected="0">
            <x v="8"/>
          </reference>
          <reference field="13" count="1" selected="0">
            <x v="3"/>
          </reference>
          <reference field="14" count="1" selected="0">
            <x v="57"/>
          </reference>
          <reference field="15" count="1">
            <x v="58"/>
          </reference>
        </references>
      </pivotArea>
    </format>
    <format dxfId="8355">
      <pivotArea dataOnly="0" labelOnly="1" outline="0" fieldPosition="0">
        <references count="11">
          <reference field="1" count="0" selected="0"/>
          <reference field="3" count="1" selected="0">
            <x v="6"/>
          </reference>
          <reference field="4" count="1" selected="0">
            <x v="0"/>
          </reference>
          <reference field="5" count="1" selected="0">
            <x v="158"/>
          </reference>
          <reference field="6" count="1" selected="0">
            <x v="9"/>
          </reference>
          <reference field="9" count="1" selected="0">
            <x v="10"/>
          </reference>
          <reference field="11" count="1" selected="0">
            <x v="46"/>
          </reference>
          <reference field="12" count="1" selected="0">
            <x v="8"/>
          </reference>
          <reference field="13" count="1" selected="0">
            <x v="3"/>
          </reference>
          <reference field="14" count="1" selected="0">
            <x v="20"/>
          </reference>
          <reference field="15" count="1">
            <x v="12"/>
          </reference>
        </references>
      </pivotArea>
    </format>
    <format dxfId="8354">
      <pivotArea dataOnly="0" labelOnly="1" outline="0" fieldPosition="0">
        <references count="11">
          <reference field="1" count="0" selected="0"/>
          <reference field="3" count="1" selected="0">
            <x v="6"/>
          </reference>
          <reference field="4" count="1" selected="0">
            <x v="0"/>
          </reference>
          <reference field="5" count="1" selected="0">
            <x v="170"/>
          </reference>
          <reference field="6" count="1" selected="0">
            <x v="9"/>
          </reference>
          <reference field="9" count="1" selected="0">
            <x v="10"/>
          </reference>
          <reference field="11" count="1" selected="0">
            <x v="14"/>
          </reference>
          <reference field="12" count="1" selected="0">
            <x v="7"/>
          </reference>
          <reference field="13" count="1" selected="0">
            <x v="3"/>
          </reference>
          <reference field="14" count="1" selected="0">
            <x v="17"/>
          </reference>
          <reference field="15" count="1">
            <x v="66"/>
          </reference>
        </references>
      </pivotArea>
    </format>
    <format dxfId="8353">
      <pivotArea dataOnly="0" labelOnly="1" outline="0" fieldPosition="0">
        <references count="11">
          <reference field="1" count="0" selected="0"/>
          <reference field="3" count="1" selected="0">
            <x v="6"/>
          </reference>
          <reference field="4" count="1" selected="0">
            <x v="0"/>
          </reference>
          <reference field="5" count="1" selected="0">
            <x v="171"/>
          </reference>
          <reference field="6" count="1" selected="0">
            <x v="9"/>
          </reference>
          <reference field="9" count="1" selected="0">
            <x v="10"/>
          </reference>
          <reference field="11" count="1" selected="0">
            <x v="14"/>
          </reference>
          <reference field="12" count="1" selected="0">
            <x v="8"/>
          </reference>
          <reference field="13" count="1" selected="0">
            <x v="3"/>
          </reference>
          <reference field="14" count="1" selected="0">
            <x v="17"/>
          </reference>
          <reference field="15" count="1">
            <x v="2"/>
          </reference>
        </references>
      </pivotArea>
    </format>
    <format dxfId="8352">
      <pivotArea dataOnly="0" labelOnly="1" outline="0" fieldPosition="0">
        <references count="11">
          <reference field="1" count="0" selected="0"/>
          <reference field="3" count="1" selected="0">
            <x v="6"/>
          </reference>
          <reference field="4" count="1" selected="0">
            <x v="0"/>
          </reference>
          <reference field="5" count="1" selected="0">
            <x v="178"/>
          </reference>
          <reference field="6" count="1" selected="0">
            <x v="9"/>
          </reference>
          <reference field="9" count="1" selected="0">
            <x v="10"/>
          </reference>
          <reference field="11" count="1" selected="0">
            <x v="14"/>
          </reference>
          <reference field="12" count="1" selected="0">
            <x v="27"/>
          </reference>
          <reference field="13" count="1" selected="0">
            <x v="3"/>
          </reference>
          <reference field="14" count="1" selected="0">
            <x v="37"/>
          </reference>
          <reference field="15" count="1">
            <x v="14"/>
          </reference>
        </references>
      </pivotArea>
    </format>
    <format dxfId="8351">
      <pivotArea dataOnly="0" labelOnly="1" outline="0" fieldPosition="0">
        <references count="11">
          <reference field="1" count="0" selected="0"/>
          <reference field="3" count="1" selected="0">
            <x v="6"/>
          </reference>
          <reference field="4" count="1" selected="0">
            <x v="0"/>
          </reference>
          <reference field="5" count="1" selected="0">
            <x v="185"/>
          </reference>
          <reference field="6" count="1" selected="0">
            <x v="9"/>
          </reference>
          <reference field="9" count="1" selected="0">
            <x v="10"/>
          </reference>
          <reference field="11" count="1" selected="0">
            <x v="14"/>
          </reference>
          <reference field="12" count="1" selected="0">
            <x v="32"/>
          </reference>
          <reference field="13" count="1" selected="0">
            <x v="3"/>
          </reference>
          <reference field="14" count="1" selected="0">
            <x v="55"/>
          </reference>
          <reference field="15" count="1">
            <x v="60"/>
          </reference>
        </references>
      </pivotArea>
    </format>
    <format dxfId="8350">
      <pivotArea dataOnly="0" labelOnly="1" outline="0" fieldPosition="0">
        <references count="11">
          <reference field="1" count="0" selected="0"/>
          <reference field="3" count="1" selected="0">
            <x v="6"/>
          </reference>
          <reference field="4" count="1" selected="0">
            <x v="0"/>
          </reference>
          <reference field="5" count="1" selected="0">
            <x v="186"/>
          </reference>
          <reference field="6" count="1" selected="0">
            <x v="9"/>
          </reference>
          <reference field="9" count="1" selected="0">
            <x v="10"/>
          </reference>
          <reference field="11" count="1" selected="0">
            <x v="39"/>
          </reference>
          <reference field="12" count="1" selected="0">
            <x v="8"/>
          </reference>
          <reference field="13" count="1" selected="0">
            <x v="3"/>
          </reference>
          <reference field="14" count="1" selected="0">
            <x v="50"/>
          </reference>
          <reference field="15" count="1">
            <x v="27"/>
          </reference>
        </references>
      </pivotArea>
    </format>
    <format dxfId="8349">
      <pivotArea dataOnly="0" labelOnly="1" outline="0" fieldPosition="0">
        <references count="11">
          <reference field="1" count="0" selected="0"/>
          <reference field="3" count="1" selected="0">
            <x v="6"/>
          </reference>
          <reference field="4" count="1" selected="0">
            <x v="0"/>
          </reference>
          <reference field="5" count="1" selected="0">
            <x v="351"/>
          </reference>
          <reference field="6" count="1" selected="0">
            <x v="9"/>
          </reference>
          <reference field="9" count="1" selected="0">
            <x v="10"/>
          </reference>
          <reference field="11" count="1" selected="0">
            <x v="55"/>
          </reference>
          <reference field="12" count="1" selected="0">
            <x v="19"/>
          </reference>
          <reference field="13" count="1" selected="0">
            <x v="3"/>
          </reference>
          <reference field="14" count="1" selected="0">
            <x v="19"/>
          </reference>
          <reference field="15" count="1">
            <x v="46"/>
          </reference>
        </references>
      </pivotArea>
    </format>
    <format dxfId="8348">
      <pivotArea dataOnly="0" labelOnly="1" outline="0" fieldPosition="0">
        <references count="11">
          <reference field="1" count="0" selected="0"/>
          <reference field="3" count="1" selected="0">
            <x v="8"/>
          </reference>
          <reference field="4" count="1" selected="0">
            <x v="3"/>
          </reference>
          <reference field="5" count="1" selected="0">
            <x v="114"/>
          </reference>
          <reference field="6" count="1" selected="0">
            <x v="3"/>
          </reference>
          <reference field="9" count="1" selected="0">
            <x v="10"/>
          </reference>
          <reference field="11" count="1" selected="0">
            <x v="26"/>
          </reference>
          <reference field="12" count="1" selected="0">
            <x v="26"/>
          </reference>
          <reference field="13" count="1" selected="0">
            <x v="3"/>
          </reference>
          <reference field="14" count="1" selected="0">
            <x v="40"/>
          </reference>
          <reference field="15" count="1">
            <x v="63"/>
          </reference>
        </references>
      </pivotArea>
    </format>
    <format dxfId="8347">
      <pivotArea dataOnly="0" labelOnly="1" outline="0" fieldPosition="0">
        <references count="11">
          <reference field="1" count="0" selected="0"/>
          <reference field="3" count="1" selected="0">
            <x v="8"/>
          </reference>
          <reference field="4" count="1" selected="0">
            <x v="3"/>
          </reference>
          <reference field="5" count="1" selected="0">
            <x v="140"/>
          </reference>
          <reference field="6" count="1" selected="0">
            <x v="3"/>
          </reference>
          <reference field="9" count="1" selected="0">
            <x v="10"/>
          </reference>
          <reference field="11" count="1" selected="0">
            <x v="14"/>
          </reference>
          <reference field="12" count="1" selected="0">
            <x v="31"/>
          </reference>
          <reference field="13" count="1" selected="0">
            <x v="3"/>
          </reference>
          <reference field="14" count="1" selected="0">
            <x v="17"/>
          </reference>
          <reference field="15" count="1">
            <x v="59"/>
          </reference>
        </references>
      </pivotArea>
    </format>
    <format dxfId="8346">
      <pivotArea dataOnly="0" labelOnly="1" outline="0" fieldPosition="0">
        <references count="11">
          <reference field="1" count="0" selected="0"/>
          <reference field="3" count="1" selected="0">
            <x v="9"/>
          </reference>
          <reference field="4" count="1" selected="0">
            <x v="4"/>
          </reference>
          <reference field="5" count="1" selected="0">
            <x v="142"/>
          </reference>
          <reference field="6" count="1" selected="0">
            <x v="5"/>
          </reference>
          <reference field="9" count="1" selected="0">
            <x v="10"/>
          </reference>
          <reference field="11" count="1" selected="0">
            <x v="16"/>
          </reference>
          <reference field="12" count="1" selected="0">
            <x v="8"/>
          </reference>
          <reference field="13" count="1" selected="0">
            <x v="3"/>
          </reference>
          <reference field="14" count="1" selected="0">
            <x v="17"/>
          </reference>
          <reference field="15" count="1">
            <x v="54"/>
          </reference>
        </references>
      </pivotArea>
    </format>
    <format dxfId="8345">
      <pivotArea dataOnly="0" labelOnly="1" outline="0" fieldPosition="0">
        <references count="11">
          <reference field="1" count="0" selected="0"/>
          <reference field="3" count="1" selected="0">
            <x v="9"/>
          </reference>
          <reference field="4" count="1" selected="0">
            <x v="6"/>
          </reference>
          <reference field="5" count="1" selected="0">
            <x v="161"/>
          </reference>
          <reference field="6" count="1" selected="0">
            <x v="5"/>
          </reference>
          <reference field="9" count="1" selected="0">
            <x v="7"/>
          </reference>
          <reference field="11" count="1" selected="0">
            <x v="24"/>
          </reference>
          <reference field="12" count="1" selected="0">
            <x v="8"/>
          </reference>
          <reference field="13" count="1" selected="0">
            <x v="3"/>
          </reference>
          <reference field="14" count="1" selected="0">
            <x v="56"/>
          </reference>
          <reference field="15" count="1">
            <x v="14"/>
          </reference>
        </references>
      </pivotArea>
    </format>
    <format dxfId="8344">
      <pivotArea dataOnly="0" labelOnly="1" outline="0" fieldPosition="0">
        <references count="8">
          <reference field="1" count="0" selected="0"/>
          <reference field="3" count="1" selected="0">
            <x v="0"/>
          </reference>
          <reference field="4" count="1" selected="0">
            <x v="3"/>
          </reference>
          <reference field="5" count="1" selected="0">
            <x v="167"/>
          </reference>
          <reference field="6" count="1" selected="0">
            <x v="7"/>
          </reference>
          <reference field="9" count="1" selected="0">
            <x v="10"/>
          </reference>
          <reference field="11" count="1" selected="0">
            <x v="49"/>
          </reference>
          <reference field="12" count="1">
            <x v="29"/>
          </reference>
        </references>
      </pivotArea>
    </format>
    <format dxfId="8343">
      <pivotArea dataOnly="0" labelOnly="1" outline="0" fieldPosition="0">
        <references count="8">
          <reference field="1" count="0" selected="0"/>
          <reference field="3" count="1" selected="0">
            <x v="3"/>
          </reference>
          <reference field="4" count="1" selected="0">
            <x v="1"/>
          </reference>
          <reference field="5" count="1" selected="0">
            <x v="205"/>
          </reference>
          <reference field="6" count="1" selected="0">
            <x v="2"/>
          </reference>
          <reference field="9" count="1" selected="0">
            <x v="10"/>
          </reference>
          <reference field="11" count="1" selected="0">
            <x v="14"/>
          </reference>
          <reference field="12" count="1">
            <x v="1"/>
          </reference>
        </references>
      </pivotArea>
    </format>
    <format dxfId="8342">
      <pivotArea dataOnly="0" labelOnly="1" outline="0" fieldPosition="0">
        <references count="8">
          <reference field="1" count="0" selected="0"/>
          <reference field="3" count="1" selected="0">
            <x v="4"/>
          </reference>
          <reference field="4" count="1" selected="0">
            <x v="1"/>
          </reference>
          <reference field="5" count="1" selected="0">
            <x v="116"/>
          </reference>
          <reference field="6" count="1" selected="0">
            <x v="2"/>
          </reference>
          <reference field="9" count="1" selected="0">
            <x v="10"/>
          </reference>
          <reference field="11" count="1" selected="0">
            <x v="14"/>
          </reference>
          <reference field="12" count="1">
            <x v="4"/>
          </reference>
        </references>
      </pivotArea>
    </format>
    <format dxfId="8341">
      <pivotArea dataOnly="0" labelOnly="1" outline="0" fieldPosition="0">
        <references count="8">
          <reference field="1" count="0" selected="0"/>
          <reference field="3" count="1" selected="0">
            <x v="4"/>
          </reference>
          <reference field="4" count="1" selected="0">
            <x v="1"/>
          </reference>
          <reference field="5" count="1" selected="0">
            <x v="218"/>
          </reference>
          <reference field="6" count="1" selected="0">
            <x v="2"/>
          </reference>
          <reference field="9" count="1" selected="0">
            <x v="10"/>
          </reference>
          <reference field="11" count="1" selected="0">
            <x v="14"/>
          </reference>
          <reference field="12" count="1">
            <x v="8"/>
          </reference>
        </references>
      </pivotArea>
    </format>
    <format dxfId="8340">
      <pivotArea dataOnly="0" labelOnly="1" outline="0" fieldPosition="0">
        <references count="8">
          <reference field="1" count="0" selected="0"/>
          <reference field="3" count="1" selected="0">
            <x v="4"/>
          </reference>
          <reference field="4" count="1" selected="0">
            <x v="1"/>
          </reference>
          <reference field="5" count="1" selected="0">
            <x v="326"/>
          </reference>
          <reference field="6" count="1" selected="0">
            <x v="2"/>
          </reference>
          <reference field="9" count="1" selected="0">
            <x v="2"/>
          </reference>
          <reference field="11" count="1" selected="0">
            <x v="29"/>
          </reference>
          <reference field="12" count="1">
            <x v="6"/>
          </reference>
        </references>
      </pivotArea>
    </format>
    <format dxfId="8339">
      <pivotArea dataOnly="0" labelOnly="1" outline="0" fieldPosition="0">
        <references count="8">
          <reference field="1" count="0" selected="0"/>
          <reference field="3" count="1" selected="0">
            <x v="4"/>
          </reference>
          <reference field="4" count="1" selected="0">
            <x v="1"/>
          </reference>
          <reference field="5" count="1" selected="0">
            <x v="332"/>
          </reference>
          <reference field="6" count="1" selected="0">
            <x v="2"/>
          </reference>
          <reference field="9" count="1" selected="0">
            <x v="10"/>
          </reference>
          <reference field="11" count="1" selected="0">
            <x v="21"/>
          </reference>
          <reference field="12" count="1">
            <x v="8"/>
          </reference>
        </references>
      </pivotArea>
    </format>
    <format dxfId="8338">
      <pivotArea dataOnly="0" labelOnly="1" outline="0" fieldPosition="0">
        <references count="8">
          <reference field="1" count="0" selected="0"/>
          <reference field="3" count="1" selected="0">
            <x v="6"/>
          </reference>
          <reference field="4" count="1" selected="0">
            <x v="0"/>
          </reference>
          <reference field="5" count="1" selected="0">
            <x v="146"/>
          </reference>
          <reference field="6" count="1" selected="0">
            <x v="9"/>
          </reference>
          <reference field="9" count="1" selected="0">
            <x v="10"/>
          </reference>
          <reference field="11" count="1" selected="0">
            <x v="6"/>
          </reference>
          <reference field="12" count="1">
            <x v="2"/>
          </reference>
        </references>
      </pivotArea>
    </format>
    <format dxfId="8337">
      <pivotArea dataOnly="0" labelOnly="1" outline="0" fieldPosition="0">
        <references count="8">
          <reference field="1" count="0" selected="0"/>
          <reference field="3" count="1" selected="0">
            <x v="6"/>
          </reference>
          <reference field="4" count="1" selected="0">
            <x v="0"/>
          </reference>
          <reference field="5" count="1" selected="0">
            <x v="165"/>
          </reference>
          <reference field="6" count="1" selected="0">
            <x v="9"/>
          </reference>
          <reference field="9" count="1" selected="0">
            <x v="10"/>
          </reference>
          <reference field="11" count="1" selected="0">
            <x v="59"/>
          </reference>
          <reference field="12" count="1">
            <x v="8"/>
          </reference>
        </references>
      </pivotArea>
    </format>
    <format dxfId="8336">
      <pivotArea dataOnly="0" labelOnly="1" outline="0" fieldPosition="0">
        <references count="8">
          <reference field="1" count="0" selected="0"/>
          <reference field="3" count="1" selected="0">
            <x v="6"/>
          </reference>
          <reference field="4" count="1" selected="0">
            <x v="0"/>
          </reference>
          <reference field="5" count="1" selected="0">
            <x v="175"/>
          </reference>
          <reference field="6" count="1" selected="0">
            <x v="9"/>
          </reference>
          <reference field="9" count="1" selected="0">
            <x v="10"/>
          </reference>
          <reference field="11" count="1" selected="0">
            <x v="14"/>
          </reference>
          <reference field="12" count="1">
            <x v="15"/>
          </reference>
        </references>
      </pivotArea>
    </format>
    <format dxfId="8335">
      <pivotArea dataOnly="0" labelOnly="1" outline="0" fieldPosition="0">
        <references count="8">
          <reference field="1" count="0" selected="0"/>
          <reference field="3" count="1" selected="0">
            <x v="6"/>
          </reference>
          <reference field="4" count="1" selected="0">
            <x v="0"/>
          </reference>
          <reference field="5" count="1" selected="0">
            <x v="181"/>
          </reference>
          <reference field="6" count="1" selected="0">
            <x v="9"/>
          </reference>
          <reference field="9" count="1" selected="0">
            <x v="10"/>
          </reference>
          <reference field="11" count="1" selected="0">
            <x v="14"/>
          </reference>
          <reference field="12" count="1">
            <x v="16"/>
          </reference>
        </references>
      </pivotArea>
    </format>
    <format dxfId="8334">
      <pivotArea dataOnly="0" labelOnly="1" outline="0" fieldPosition="0">
        <references count="8">
          <reference field="1" count="0" selected="0"/>
          <reference field="3" count="1" selected="0">
            <x v="6"/>
          </reference>
          <reference field="4" count="1" selected="0">
            <x v="0"/>
          </reference>
          <reference field="5" count="1" selected="0">
            <x v="182"/>
          </reference>
          <reference field="6" count="1" selected="0">
            <x v="9"/>
          </reference>
          <reference field="9" count="1" selected="0">
            <x v="10"/>
          </reference>
          <reference field="11" count="1" selected="0">
            <x v="14"/>
          </reference>
          <reference field="12" count="1">
            <x v="10"/>
          </reference>
        </references>
      </pivotArea>
    </format>
    <format dxfId="8333">
      <pivotArea dataOnly="0" labelOnly="1" outline="0" fieldPosition="0">
        <references count="8">
          <reference field="1" count="0" selected="0"/>
          <reference field="3" count="1" selected="0">
            <x v="6"/>
          </reference>
          <reference field="4" count="1" selected="0">
            <x v="0"/>
          </reference>
          <reference field="5" count="1" selected="0">
            <x v="189"/>
          </reference>
          <reference field="6" count="1" selected="0">
            <x v="9"/>
          </reference>
          <reference field="9" count="1" selected="0">
            <x v="10"/>
          </reference>
          <reference field="11" count="1" selected="0">
            <x v="32"/>
          </reference>
          <reference field="12" count="1">
            <x v="8"/>
          </reference>
        </references>
      </pivotArea>
    </format>
    <format dxfId="8332">
      <pivotArea dataOnly="0" labelOnly="1" outline="0" fieldPosition="0">
        <references count="8">
          <reference field="1" count="0" selected="0"/>
          <reference field="3" count="1" selected="0">
            <x v="8"/>
          </reference>
          <reference field="4" count="1" selected="0">
            <x v="3"/>
          </reference>
          <reference field="5" count="1" selected="0">
            <x v="135"/>
          </reference>
          <reference field="6" count="1" selected="0">
            <x v="3"/>
          </reference>
          <reference field="9" count="1" selected="0">
            <x v="10"/>
          </reference>
          <reference field="11" count="1" selected="0">
            <x v="37"/>
          </reference>
          <reference field="12" count="1">
            <x v="2"/>
          </reference>
        </references>
      </pivotArea>
    </format>
    <format dxfId="8331">
      <pivotArea dataOnly="0" labelOnly="1" outline="0" fieldPosition="0">
        <references count="8">
          <reference field="1" count="0" selected="0"/>
          <reference field="3" count="1" selected="0">
            <x v="9"/>
          </reference>
          <reference field="4" count="1" selected="0">
            <x v="6"/>
          </reference>
          <reference field="5" count="1" selected="0">
            <x v="211"/>
          </reference>
          <reference field="6" count="1" selected="0">
            <x v="5"/>
          </reference>
          <reference field="9" count="1" selected="0">
            <x v="10"/>
          </reference>
          <reference field="11" count="1" selected="0">
            <x v="9"/>
          </reference>
          <reference field="12" count="1">
            <x v="22"/>
          </reference>
        </references>
      </pivotArea>
    </format>
    <format dxfId="8330">
      <pivotArea dataOnly="0" labelOnly="1" outline="0" fieldPosition="0">
        <references count="8">
          <reference field="1" count="0" selected="0"/>
          <reference field="3" count="1" selected="0">
            <x v="9"/>
          </reference>
          <reference field="4" count="1" selected="0">
            <x v="6"/>
          </reference>
          <reference field="5" count="1" selected="0">
            <x v="212"/>
          </reference>
          <reference field="6" count="1" selected="0">
            <x v="5"/>
          </reference>
          <reference field="9" count="1" selected="0">
            <x v="10"/>
          </reference>
          <reference field="11" count="1" selected="0">
            <x v="16"/>
          </reference>
          <reference field="12" count="1">
            <x v="8"/>
          </reference>
        </references>
      </pivotArea>
    </format>
    <format dxfId="8329">
      <pivotArea dataOnly="0" labelOnly="1" outline="0" fieldPosition="0">
        <references count="9">
          <reference field="1" count="0" selected="0"/>
          <reference field="3" count="1" selected="0">
            <x v="0"/>
          </reference>
          <reference field="4" count="1" selected="0">
            <x v="3"/>
          </reference>
          <reference field="5" count="1" selected="0">
            <x v="167"/>
          </reference>
          <reference field="6" count="1" selected="0">
            <x v="7"/>
          </reference>
          <reference field="9" count="1" selected="0">
            <x v="10"/>
          </reference>
          <reference field="11" count="1" selected="0">
            <x v="49"/>
          </reference>
          <reference field="12" count="1" selected="0">
            <x v="29"/>
          </reference>
          <reference field="13" count="1">
            <x v="3"/>
          </reference>
        </references>
      </pivotArea>
    </format>
    <format dxfId="8328">
      <pivotArea dataOnly="0" labelOnly="1" outline="0" fieldPosition="0">
        <references count="9">
          <reference field="1" count="0" selected="0"/>
          <reference field="3" count="1" selected="0">
            <x v="3"/>
          </reference>
          <reference field="4" count="1" selected="0">
            <x v="1"/>
          </reference>
          <reference field="5" count="1" selected="0">
            <x v="197"/>
          </reference>
          <reference field="6" count="1" selected="0">
            <x v="2"/>
          </reference>
          <reference field="9" count="1" selected="0">
            <x v="10"/>
          </reference>
          <reference field="11" count="1" selected="0">
            <x v="4"/>
          </reference>
          <reference field="12" count="1" selected="0">
            <x v="8"/>
          </reference>
          <reference field="13" count="1">
            <x v="3"/>
          </reference>
        </references>
      </pivotArea>
    </format>
    <format dxfId="8327">
      <pivotArea dataOnly="0" labelOnly="1" outline="0" fieldPosition="0">
        <references count="9">
          <reference field="1" count="0" selected="0"/>
          <reference field="3" count="1" selected="0">
            <x v="6"/>
          </reference>
          <reference field="4" count="1" selected="0">
            <x v="0"/>
          </reference>
          <reference field="5" count="1" selected="0">
            <x v="126"/>
          </reference>
          <reference field="6" count="1" selected="0">
            <x v="9"/>
          </reference>
          <reference field="9" count="1" selected="0">
            <x v="10"/>
          </reference>
          <reference field="11" count="1" selected="0">
            <x v="1"/>
          </reference>
          <reference field="12" count="1" selected="0">
            <x v="8"/>
          </reference>
          <reference field="13" count="1">
            <x v="3"/>
          </reference>
        </references>
      </pivotArea>
    </format>
    <format dxfId="8326">
      <pivotArea dataOnly="0" labelOnly="1" outline="0" fieldPosition="0">
        <references count="9">
          <reference field="1" count="0" selected="0"/>
          <reference field="3" count="1" selected="0">
            <x v="6"/>
          </reference>
          <reference field="4" count="1" selected="0">
            <x v="0"/>
          </reference>
          <reference field="5" count="1" selected="0">
            <x v="165"/>
          </reference>
          <reference field="6" count="1" selected="0">
            <x v="9"/>
          </reference>
          <reference field="9" count="1" selected="0">
            <x v="10"/>
          </reference>
          <reference field="11" count="1" selected="0">
            <x v="59"/>
          </reference>
          <reference field="12" count="1" selected="0">
            <x v="8"/>
          </reference>
          <reference field="13" count="1">
            <x v="7"/>
          </reference>
        </references>
      </pivotArea>
    </format>
    <format dxfId="8325">
      <pivotArea dataOnly="0" labelOnly="1" outline="0" fieldPosition="0">
        <references count="9">
          <reference field="1" count="0" selected="0"/>
          <reference field="3" count="1" selected="0">
            <x v="6"/>
          </reference>
          <reference field="4" count="1" selected="0">
            <x v="0"/>
          </reference>
          <reference field="5" count="1" selected="0">
            <x v="174"/>
          </reference>
          <reference field="6" count="1" selected="0">
            <x v="9"/>
          </reference>
          <reference field="9" count="1" selected="0">
            <x v="10"/>
          </reference>
          <reference field="11" count="1" selected="0">
            <x v="20"/>
          </reference>
          <reference field="12" count="1" selected="0">
            <x v="8"/>
          </reference>
          <reference field="13" count="1">
            <x v="3"/>
          </reference>
        </references>
      </pivotArea>
    </format>
    <format dxfId="8324">
      <pivotArea dataOnly="0" labelOnly="1" outline="0" fieldPosition="0">
        <references count="9">
          <reference field="1" count="0" selected="0"/>
          <reference field="3" count="1" selected="0">
            <x v="6"/>
          </reference>
          <reference field="4" count="1" selected="0">
            <x v="0"/>
          </reference>
          <reference field="5" count="1" selected="0">
            <x v="343"/>
          </reference>
          <reference field="6" count="1" selected="0">
            <x v="9"/>
          </reference>
          <reference field="9" count="1" selected="0">
            <x v="10"/>
          </reference>
          <reference field="11" count="1" selected="0">
            <x v="52"/>
          </reference>
          <reference field="12" count="1" selected="0">
            <x v="8"/>
          </reference>
          <reference field="13" count="1">
            <x v="5"/>
          </reference>
        </references>
      </pivotArea>
    </format>
    <format dxfId="8323">
      <pivotArea dataOnly="0" labelOnly="1" outline="0" fieldPosition="0">
        <references count="9">
          <reference field="1" count="0" selected="0"/>
          <reference field="3" count="1" selected="0">
            <x v="6"/>
          </reference>
          <reference field="4" count="1" selected="0">
            <x v="0"/>
          </reference>
          <reference field="5" count="1" selected="0">
            <x v="354"/>
          </reference>
          <reference field="6" count="1" selected="0">
            <x v="9"/>
          </reference>
          <reference field="9" count="1" selected="0">
            <x v="10"/>
          </reference>
          <reference field="11" count="1" selected="0">
            <x v="61"/>
          </reference>
          <reference field="12" count="1" selected="0">
            <x v="8"/>
          </reference>
          <reference field="13" count="1">
            <x v="3"/>
          </reference>
        </references>
      </pivotArea>
    </format>
    <format dxfId="8322">
      <pivotArea dataOnly="0" labelOnly="1" outline="0" fieldPosition="0">
        <references count="10">
          <reference field="1" count="0" selected="0"/>
          <reference field="3" count="1" selected="0">
            <x v="0"/>
          </reference>
          <reference field="4" count="1" selected="0">
            <x v="3"/>
          </reference>
          <reference field="5" count="1" selected="0">
            <x v="167"/>
          </reference>
          <reference field="6" count="1" selected="0">
            <x v="7"/>
          </reference>
          <reference field="9" count="1" selected="0">
            <x v="10"/>
          </reference>
          <reference field="11" count="1" selected="0">
            <x v="49"/>
          </reference>
          <reference field="12" count="1" selected="0">
            <x v="29"/>
          </reference>
          <reference field="13" count="1" selected="0">
            <x v="3"/>
          </reference>
          <reference field="14" count="1">
            <x v="23"/>
          </reference>
        </references>
      </pivotArea>
    </format>
    <format dxfId="8321">
      <pivotArea dataOnly="0" labelOnly="1" outline="0" fieldPosition="0">
        <references count="10">
          <reference field="1" count="0" selected="0"/>
          <reference field="3" count="1" selected="0">
            <x v="3"/>
          </reference>
          <reference field="4" count="1" selected="0">
            <x v="1"/>
          </reference>
          <reference field="5" count="1" selected="0">
            <x v="197"/>
          </reference>
          <reference field="6" count="1" selected="0">
            <x v="2"/>
          </reference>
          <reference field="9" count="1" selected="0">
            <x v="10"/>
          </reference>
          <reference field="11" count="1" selected="0">
            <x v="4"/>
          </reference>
          <reference field="12" count="1" selected="0">
            <x v="8"/>
          </reference>
          <reference field="13" count="1" selected="0">
            <x v="3"/>
          </reference>
          <reference field="14" count="1">
            <x v="17"/>
          </reference>
        </references>
      </pivotArea>
    </format>
    <format dxfId="8320">
      <pivotArea dataOnly="0" labelOnly="1" outline="0" fieldPosition="0">
        <references count="10">
          <reference field="1" count="0" selected="0"/>
          <reference field="3" count="1" selected="0">
            <x v="3"/>
          </reference>
          <reference field="4" count="1" selected="0">
            <x v="1"/>
          </reference>
          <reference field="5" count="1" selected="0">
            <x v="205"/>
          </reference>
          <reference field="6" count="1" selected="0">
            <x v="2"/>
          </reference>
          <reference field="9" count="1" selected="0">
            <x v="10"/>
          </reference>
          <reference field="11" count="1" selected="0">
            <x v="14"/>
          </reference>
          <reference field="12" count="1" selected="0">
            <x v="1"/>
          </reference>
          <reference field="13" count="1" selected="0">
            <x v="3"/>
          </reference>
          <reference field="14" count="1">
            <x v="26"/>
          </reference>
        </references>
      </pivotArea>
    </format>
    <format dxfId="8319">
      <pivotArea dataOnly="0" labelOnly="1" outline="0" fieldPosition="0">
        <references count="10">
          <reference field="1" count="0" selected="0"/>
          <reference field="3" count="1" selected="0">
            <x v="4"/>
          </reference>
          <reference field="4" count="1" selected="0">
            <x v="1"/>
          </reference>
          <reference field="5" count="1" selected="0">
            <x v="116"/>
          </reference>
          <reference field="6" count="1" selected="0">
            <x v="2"/>
          </reference>
          <reference field="9" count="1" selected="0">
            <x v="10"/>
          </reference>
          <reference field="11" count="1" selected="0">
            <x v="14"/>
          </reference>
          <reference field="12" count="1" selected="0">
            <x v="4"/>
          </reference>
          <reference field="13" count="1" selected="0">
            <x v="3"/>
          </reference>
          <reference field="14" count="1">
            <x v="8"/>
          </reference>
        </references>
      </pivotArea>
    </format>
    <format dxfId="8318">
      <pivotArea dataOnly="0" labelOnly="1" outline="0" fieldPosition="0">
        <references count="10">
          <reference field="1" count="0" selected="0"/>
          <reference field="3" count="1" selected="0">
            <x v="4"/>
          </reference>
          <reference field="4" count="1" selected="0">
            <x v="1"/>
          </reference>
          <reference field="5" count="1" selected="0">
            <x v="218"/>
          </reference>
          <reference field="6" count="1" selected="0">
            <x v="2"/>
          </reference>
          <reference field="9" count="1" selected="0">
            <x v="10"/>
          </reference>
          <reference field="11" count="1" selected="0">
            <x v="14"/>
          </reference>
          <reference field="12" count="1" selected="0">
            <x v="8"/>
          </reference>
          <reference field="13" count="1" selected="0">
            <x v="3"/>
          </reference>
          <reference field="14" count="1">
            <x v="17"/>
          </reference>
        </references>
      </pivotArea>
    </format>
    <format dxfId="8317">
      <pivotArea dataOnly="0" labelOnly="1" outline="0" fieldPosition="0">
        <references count="10">
          <reference field="1" count="0" selected="0"/>
          <reference field="3" count="1" selected="0">
            <x v="4"/>
          </reference>
          <reference field="4" count="1" selected="0">
            <x v="1"/>
          </reference>
          <reference field="5" count="1" selected="0">
            <x v="326"/>
          </reference>
          <reference field="6" count="1" selected="0">
            <x v="2"/>
          </reference>
          <reference field="9" count="1" selected="0">
            <x v="2"/>
          </reference>
          <reference field="11" count="1" selected="0">
            <x v="29"/>
          </reference>
          <reference field="12" count="1" selected="0">
            <x v="6"/>
          </reference>
          <reference field="13" count="1" selected="0">
            <x v="3"/>
          </reference>
          <reference field="14" count="1">
            <x v="34"/>
          </reference>
        </references>
      </pivotArea>
    </format>
    <format dxfId="8316">
      <pivotArea dataOnly="0" labelOnly="1" outline="0" fieldPosition="0">
        <references count="10">
          <reference field="1" count="0" selected="0"/>
          <reference field="3" count="1" selected="0">
            <x v="4"/>
          </reference>
          <reference field="4" count="1" selected="0">
            <x v="1"/>
          </reference>
          <reference field="5" count="1" selected="0">
            <x v="332"/>
          </reference>
          <reference field="6" count="1" selected="0">
            <x v="2"/>
          </reference>
          <reference field="9" count="1" selected="0">
            <x v="10"/>
          </reference>
          <reference field="11" count="1" selected="0">
            <x v="21"/>
          </reference>
          <reference field="12" count="1" selected="0">
            <x v="8"/>
          </reference>
          <reference field="13" count="1" selected="0">
            <x v="3"/>
          </reference>
          <reference field="14" count="1">
            <x v="17"/>
          </reference>
        </references>
      </pivotArea>
    </format>
    <format dxfId="8315">
      <pivotArea dataOnly="0" labelOnly="1" outline="0" fieldPosition="0">
        <references count="10">
          <reference field="1" count="0" selected="0"/>
          <reference field="3" count="1" selected="0">
            <x v="6"/>
          </reference>
          <reference field="4" count="1" selected="0">
            <x v="0"/>
          </reference>
          <reference field="5" count="1" selected="0">
            <x v="126"/>
          </reference>
          <reference field="6" count="1" selected="0">
            <x v="9"/>
          </reference>
          <reference field="9" count="1" selected="0">
            <x v="10"/>
          </reference>
          <reference field="11" count="1" selected="0">
            <x v="1"/>
          </reference>
          <reference field="12" count="1" selected="0">
            <x v="8"/>
          </reference>
          <reference field="13" count="1" selected="0">
            <x v="3"/>
          </reference>
          <reference field="14" count="1">
            <x v="17"/>
          </reference>
        </references>
      </pivotArea>
    </format>
    <format dxfId="8314">
      <pivotArea dataOnly="0" labelOnly="1" outline="0" fieldPosition="0">
        <references count="10">
          <reference field="1" count="0" selected="0"/>
          <reference field="3" count="1" selected="0">
            <x v="6"/>
          </reference>
          <reference field="4" count="1" selected="0">
            <x v="0"/>
          </reference>
          <reference field="5" count="1" selected="0">
            <x v="145"/>
          </reference>
          <reference field="6" count="1" selected="0">
            <x v="9"/>
          </reference>
          <reference field="9" count="1" selected="0">
            <x v="10"/>
          </reference>
          <reference field="11" count="1" selected="0">
            <x v="27"/>
          </reference>
          <reference field="12" count="1" selected="0">
            <x v="8"/>
          </reference>
          <reference field="13" count="1" selected="0">
            <x v="3"/>
          </reference>
          <reference field="14" count="1">
            <x v="11"/>
          </reference>
        </references>
      </pivotArea>
    </format>
    <format dxfId="8313">
      <pivotArea dataOnly="0" labelOnly="1" outline="0" fieldPosition="0">
        <references count="10">
          <reference field="1" count="0" selected="0"/>
          <reference field="3" count="1" selected="0">
            <x v="6"/>
          </reference>
          <reference field="4" count="1" selected="0">
            <x v="0"/>
          </reference>
          <reference field="5" count="1" selected="0">
            <x v="146"/>
          </reference>
          <reference field="6" count="1" selected="0">
            <x v="9"/>
          </reference>
          <reference field="9" count="1" selected="0">
            <x v="10"/>
          </reference>
          <reference field="11" count="1" selected="0">
            <x v="6"/>
          </reference>
          <reference field="12" count="1" selected="0">
            <x v="2"/>
          </reference>
          <reference field="13" count="1" selected="0">
            <x v="3"/>
          </reference>
          <reference field="14" count="1">
            <x v="10"/>
          </reference>
        </references>
      </pivotArea>
    </format>
    <format dxfId="8312">
      <pivotArea dataOnly="0" labelOnly="1" outline="0" fieldPosition="0">
        <references count="10">
          <reference field="1" count="0" selected="0"/>
          <reference field="3" count="1" selected="0">
            <x v="6"/>
          </reference>
          <reference field="4" count="1" selected="0">
            <x v="0"/>
          </reference>
          <reference field="5" count="1" selected="0">
            <x v="165"/>
          </reference>
          <reference field="6" count="1" selected="0">
            <x v="9"/>
          </reference>
          <reference field="9" count="1" selected="0">
            <x v="10"/>
          </reference>
          <reference field="11" count="1" selected="0">
            <x v="59"/>
          </reference>
          <reference field="12" count="1" selected="0">
            <x v="8"/>
          </reference>
          <reference field="13" count="1" selected="0">
            <x v="7"/>
          </reference>
          <reference field="14" count="1">
            <x v="31"/>
          </reference>
        </references>
      </pivotArea>
    </format>
    <format dxfId="8311">
      <pivotArea dataOnly="0" labelOnly="1" outline="0" fieldPosition="0">
        <references count="10">
          <reference field="1" count="0" selected="0"/>
          <reference field="3" count="1" selected="0">
            <x v="6"/>
          </reference>
          <reference field="4" count="1" selected="0">
            <x v="0"/>
          </reference>
          <reference field="5" count="1" selected="0">
            <x v="174"/>
          </reference>
          <reference field="6" count="1" selected="0">
            <x v="9"/>
          </reference>
          <reference field="9" count="1" selected="0">
            <x v="10"/>
          </reference>
          <reference field="11" count="1" selected="0">
            <x v="20"/>
          </reference>
          <reference field="12" count="1" selected="0">
            <x v="8"/>
          </reference>
          <reference field="13" count="1" selected="0">
            <x v="3"/>
          </reference>
          <reference field="14" count="1">
            <x v="47"/>
          </reference>
        </references>
      </pivotArea>
    </format>
    <format dxfId="8310">
      <pivotArea dataOnly="0" labelOnly="1" outline="0" fieldPosition="0">
        <references count="10">
          <reference field="1" count="0" selected="0"/>
          <reference field="3" count="1" selected="0">
            <x v="6"/>
          </reference>
          <reference field="4" count="1" selected="0">
            <x v="0"/>
          </reference>
          <reference field="5" count="1" selected="0">
            <x v="175"/>
          </reference>
          <reference field="6" count="1" selected="0">
            <x v="9"/>
          </reference>
          <reference field="9" count="1" selected="0">
            <x v="10"/>
          </reference>
          <reference field="11" count="1" selected="0">
            <x v="14"/>
          </reference>
          <reference field="12" count="1" selected="0">
            <x v="15"/>
          </reference>
          <reference field="13" count="1" selected="0">
            <x v="3"/>
          </reference>
          <reference field="14" count="1">
            <x v="15"/>
          </reference>
        </references>
      </pivotArea>
    </format>
    <format dxfId="8309">
      <pivotArea dataOnly="0" labelOnly="1" outline="0" fieldPosition="0">
        <references count="10">
          <reference field="1" count="0" selected="0"/>
          <reference field="3" count="1" selected="0">
            <x v="6"/>
          </reference>
          <reference field="4" count="1" selected="0">
            <x v="0"/>
          </reference>
          <reference field="5" count="1" selected="0">
            <x v="181"/>
          </reference>
          <reference field="6" count="1" selected="0">
            <x v="9"/>
          </reference>
          <reference field="9" count="1" selected="0">
            <x v="10"/>
          </reference>
          <reference field="11" count="1" selected="0">
            <x v="14"/>
          </reference>
          <reference field="12" count="1" selected="0">
            <x v="16"/>
          </reference>
          <reference field="13" count="1" selected="0">
            <x v="3"/>
          </reference>
          <reference field="14" count="1">
            <x v="60"/>
          </reference>
        </references>
      </pivotArea>
    </format>
    <format dxfId="8308">
      <pivotArea dataOnly="0" labelOnly="1" outline="0" fieldPosition="0">
        <references count="10">
          <reference field="1" count="0" selected="0"/>
          <reference field="3" count="1" selected="0">
            <x v="6"/>
          </reference>
          <reference field="4" count="1" selected="0">
            <x v="0"/>
          </reference>
          <reference field="5" count="1" selected="0">
            <x v="182"/>
          </reference>
          <reference field="6" count="1" selected="0">
            <x v="9"/>
          </reference>
          <reference field="9" count="1" selected="0">
            <x v="10"/>
          </reference>
          <reference field="11" count="1" selected="0">
            <x v="14"/>
          </reference>
          <reference field="12" count="1" selected="0">
            <x v="10"/>
          </reference>
          <reference field="13" count="1" selected="0">
            <x v="3"/>
          </reference>
          <reference field="14" count="1">
            <x v="12"/>
          </reference>
        </references>
      </pivotArea>
    </format>
    <format dxfId="8307">
      <pivotArea dataOnly="0" labelOnly="1" outline="0" fieldPosition="0">
        <references count="10">
          <reference field="1" count="0" selected="0"/>
          <reference field="3" count="1" selected="0">
            <x v="6"/>
          </reference>
          <reference field="4" count="1" selected="0">
            <x v="0"/>
          </reference>
          <reference field="5" count="1" selected="0">
            <x v="189"/>
          </reference>
          <reference field="6" count="1" selected="0">
            <x v="9"/>
          </reference>
          <reference field="9" count="1" selected="0">
            <x v="10"/>
          </reference>
          <reference field="11" count="1" selected="0">
            <x v="32"/>
          </reference>
          <reference field="12" count="1" selected="0">
            <x v="8"/>
          </reference>
          <reference field="13" count="1" selected="0">
            <x v="3"/>
          </reference>
          <reference field="14" count="1">
            <x v="52"/>
          </reference>
        </references>
      </pivotArea>
    </format>
    <format dxfId="8306">
      <pivotArea dataOnly="0" labelOnly="1" outline="0" fieldPosition="0">
        <references count="10">
          <reference field="1" count="0" selected="0"/>
          <reference field="3" count="1" selected="0">
            <x v="6"/>
          </reference>
          <reference field="4" count="1" selected="0">
            <x v="0"/>
          </reference>
          <reference field="5" count="1" selected="0">
            <x v="190"/>
          </reference>
          <reference field="6" count="1" selected="0">
            <x v="9"/>
          </reference>
          <reference field="9" count="1" selected="0">
            <x v="10"/>
          </reference>
          <reference field="11" count="1" selected="0">
            <x v="44"/>
          </reference>
          <reference field="12" count="1" selected="0">
            <x v="8"/>
          </reference>
          <reference field="13" count="1" selected="0">
            <x v="3"/>
          </reference>
          <reference field="14" count="1">
            <x v="33"/>
          </reference>
        </references>
      </pivotArea>
    </format>
    <format dxfId="8305">
      <pivotArea dataOnly="0" labelOnly="1" outline="0" fieldPosition="0">
        <references count="10">
          <reference field="1" count="0" selected="0"/>
          <reference field="3" count="1" selected="0">
            <x v="6"/>
          </reference>
          <reference field="4" count="1" selected="0">
            <x v="0"/>
          </reference>
          <reference field="5" count="1" selected="0">
            <x v="343"/>
          </reference>
          <reference field="6" count="1" selected="0">
            <x v="9"/>
          </reference>
          <reference field="9" count="1" selected="0">
            <x v="10"/>
          </reference>
          <reference field="11" count="1" selected="0">
            <x v="52"/>
          </reference>
          <reference field="12" count="1" selected="0">
            <x v="8"/>
          </reference>
          <reference field="13" count="1" selected="0">
            <x v="5"/>
          </reference>
          <reference field="14" count="1">
            <x v="45"/>
          </reference>
        </references>
      </pivotArea>
    </format>
    <format dxfId="8304">
      <pivotArea dataOnly="0" labelOnly="1" outline="0" fieldPosition="0">
        <references count="10">
          <reference field="1" count="0" selected="0"/>
          <reference field="3" count="1" selected="0">
            <x v="6"/>
          </reference>
          <reference field="4" count="1" selected="0">
            <x v="0"/>
          </reference>
          <reference field="5" count="1" selected="0">
            <x v="354"/>
          </reference>
          <reference field="6" count="1" selected="0">
            <x v="9"/>
          </reference>
          <reference field="9" count="1" selected="0">
            <x v="10"/>
          </reference>
          <reference field="11" count="1" selected="0">
            <x v="61"/>
          </reference>
          <reference field="12" count="1" selected="0">
            <x v="8"/>
          </reference>
          <reference field="13" count="1" selected="0">
            <x v="3"/>
          </reference>
          <reference field="14" count="1">
            <x v="61"/>
          </reference>
        </references>
      </pivotArea>
    </format>
    <format dxfId="8303">
      <pivotArea dataOnly="0" labelOnly="1" outline="0" fieldPosition="0">
        <references count="10">
          <reference field="1" count="0" selected="0"/>
          <reference field="3" count="1" selected="0">
            <x v="8"/>
          </reference>
          <reference field="4" count="1" selected="0">
            <x v="3"/>
          </reference>
          <reference field="5" count="1" selected="0">
            <x v="135"/>
          </reference>
          <reference field="6" count="1" selected="0">
            <x v="3"/>
          </reference>
          <reference field="9" count="1" selected="0">
            <x v="10"/>
          </reference>
          <reference field="11" count="1" selected="0">
            <x v="37"/>
          </reference>
          <reference field="12" count="1" selected="0">
            <x v="2"/>
          </reference>
          <reference field="13" count="1" selected="0">
            <x v="3"/>
          </reference>
          <reference field="14" count="1">
            <x v="17"/>
          </reference>
        </references>
      </pivotArea>
    </format>
    <format dxfId="8302">
      <pivotArea dataOnly="0" labelOnly="1" outline="0" fieldPosition="0">
        <references count="10">
          <reference field="1" count="0" selected="0"/>
          <reference field="3" count="1" selected="0">
            <x v="9"/>
          </reference>
          <reference field="4" count="1" selected="0">
            <x v="6"/>
          </reference>
          <reference field="5" count="1" selected="0">
            <x v="211"/>
          </reference>
          <reference field="6" count="1" selected="0">
            <x v="5"/>
          </reference>
          <reference field="9" count="1" selected="0">
            <x v="10"/>
          </reference>
          <reference field="11" count="1" selected="0">
            <x v="9"/>
          </reference>
          <reference field="12" count="1" selected="0">
            <x v="22"/>
          </reference>
          <reference field="13" count="1" selected="0">
            <x v="3"/>
          </reference>
          <reference field="14" count="1">
            <x v="17"/>
          </reference>
        </references>
      </pivotArea>
    </format>
    <format dxfId="8301">
      <pivotArea dataOnly="0" labelOnly="1" outline="0" fieldPosition="0">
        <references count="11">
          <reference field="1" count="0" selected="0"/>
          <reference field="3" count="1" selected="0">
            <x v="0"/>
          </reference>
          <reference field="4" count="1" selected="0">
            <x v="3"/>
          </reference>
          <reference field="5" count="1" selected="0">
            <x v="167"/>
          </reference>
          <reference field="6" count="1" selected="0">
            <x v="7"/>
          </reference>
          <reference field="9" count="1" selected="0">
            <x v="10"/>
          </reference>
          <reference field="11" count="1" selected="0">
            <x v="49"/>
          </reference>
          <reference field="12" count="1" selected="0">
            <x v="29"/>
          </reference>
          <reference field="13" count="1" selected="0">
            <x v="3"/>
          </reference>
          <reference field="14" count="1" selected="0">
            <x v="23"/>
          </reference>
          <reference field="15" count="1">
            <x v="65"/>
          </reference>
        </references>
      </pivotArea>
    </format>
    <format dxfId="8300">
      <pivotArea dataOnly="0" labelOnly="1" outline="0" fieldPosition="0">
        <references count="11">
          <reference field="1" count="0" selected="0"/>
          <reference field="3" count="1" selected="0">
            <x v="3"/>
          </reference>
          <reference field="4" count="1" selected="0">
            <x v="1"/>
          </reference>
          <reference field="5" count="1" selected="0">
            <x v="197"/>
          </reference>
          <reference field="6" count="1" selected="0">
            <x v="2"/>
          </reference>
          <reference field="9" count="1" selected="0">
            <x v="10"/>
          </reference>
          <reference field="11" count="1" selected="0">
            <x v="4"/>
          </reference>
          <reference field="12" count="1" selected="0">
            <x v="8"/>
          </reference>
          <reference field="13" count="1" selected="0">
            <x v="3"/>
          </reference>
          <reference field="14" count="1" selected="0">
            <x v="17"/>
          </reference>
          <reference field="15" count="1">
            <x v="24"/>
          </reference>
        </references>
      </pivotArea>
    </format>
    <format dxfId="8299">
      <pivotArea dataOnly="0" labelOnly="1" outline="0" fieldPosition="0">
        <references count="11">
          <reference field="1" count="0" selected="0"/>
          <reference field="3" count="1" selected="0">
            <x v="3"/>
          </reference>
          <reference field="4" count="1" selected="0">
            <x v="1"/>
          </reference>
          <reference field="5" count="1" selected="0">
            <x v="205"/>
          </reference>
          <reference field="6" count="1" selected="0">
            <x v="2"/>
          </reference>
          <reference field="9" count="1" selected="0">
            <x v="10"/>
          </reference>
          <reference field="11" count="1" selected="0">
            <x v="14"/>
          </reference>
          <reference field="12" count="1" selected="0">
            <x v="1"/>
          </reference>
          <reference field="13" count="1" selected="0">
            <x v="3"/>
          </reference>
          <reference field="14" count="1" selected="0">
            <x v="26"/>
          </reference>
          <reference field="15" count="1">
            <x v="1"/>
          </reference>
        </references>
      </pivotArea>
    </format>
    <format dxfId="8298">
      <pivotArea dataOnly="0" labelOnly="1" outline="0" fieldPosition="0">
        <references count="11">
          <reference field="1" count="0" selected="0"/>
          <reference field="3" count="1" selected="0">
            <x v="4"/>
          </reference>
          <reference field="4" count="1" selected="0">
            <x v="1"/>
          </reference>
          <reference field="5" count="1" selected="0">
            <x v="218"/>
          </reference>
          <reference field="6" count="1" selected="0">
            <x v="2"/>
          </reference>
          <reference field="9" count="1" selected="0">
            <x v="10"/>
          </reference>
          <reference field="11" count="1" selected="0">
            <x v="14"/>
          </reference>
          <reference field="12" count="1" selected="0">
            <x v="8"/>
          </reference>
          <reference field="13" count="1" selected="0">
            <x v="3"/>
          </reference>
          <reference field="14" count="1" selected="0">
            <x v="17"/>
          </reference>
          <reference field="15" count="1">
            <x v="22"/>
          </reference>
        </references>
      </pivotArea>
    </format>
    <format dxfId="8297">
      <pivotArea dataOnly="0" labelOnly="1" outline="0" fieldPosition="0">
        <references count="11">
          <reference field="1" count="0" selected="0"/>
          <reference field="3" count="1" selected="0">
            <x v="4"/>
          </reference>
          <reference field="4" count="1" selected="0">
            <x v="1"/>
          </reference>
          <reference field="5" count="1" selected="0">
            <x v="326"/>
          </reference>
          <reference field="6" count="1" selected="0">
            <x v="2"/>
          </reference>
          <reference field="9" count="1" selected="0">
            <x v="2"/>
          </reference>
          <reference field="11" count="1" selected="0">
            <x v="29"/>
          </reference>
          <reference field="12" count="1" selected="0">
            <x v="6"/>
          </reference>
          <reference field="13" count="1" selected="0">
            <x v="3"/>
          </reference>
          <reference field="14" count="1" selected="0">
            <x v="34"/>
          </reference>
          <reference field="15" count="1">
            <x v="14"/>
          </reference>
        </references>
      </pivotArea>
    </format>
    <format dxfId="8296">
      <pivotArea dataOnly="0" labelOnly="1" outline="0" fieldPosition="0">
        <references count="11">
          <reference field="1" count="0" selected="0"/>
          <reference field="3" count="1" selected="0">
            <x v="4"/>
          </reference>
          <reference field="4" count="1" selected="0">
            <x v="1"/>
          </reference>
          <reference field="5" count="1" selected="0">
            <x v="332"/>
          </reference>
          <reference field="6" count="1" selected="0">
            <x v="2"/>
          </reference>
          <reference field="9" count="1" selected="0">
            <x v="10"/>
          </reference>
          <reference field="11" count="1" selected="0">
            <x v="21"/>
          </reference>
          <reference field="12" count="1" selected="0">
            <x v="8"/>
          </reference>
          <reference field="13" count="1" selected="0">
            <x v="3"/>
          </reference>
          <reference field="14" count="1" selected="0">
            <x v="17"/>
          </reference>
          <reference field="15" count="1">
            <x v="3"/>
          </reference>
        </references>
      </pivotArea>
    </format>
    <format dxfId="8295">
      <pivotArea dataOnly="0" labelOnly="1" outline="0" fieldPosition="0">
        <references count="11">
          <reference field="1" count="0" selected="0"/>
          <reference field="3" count="1" selected="0">
            <x v="6"/>
          </reference>
          <reference field="4" count="1" selected="0">
            <x v="0"/>
          </reference>
          <reference field="5" count="1" selected="0">
            <x v="145"/>
          </reference>
          <reference field="6" count="1" selected="0">
            <x v="9"/>
          </reference>
          <reference field="9" count="1" selected="0">
            <x v="10"/>
          </reference>
          <reference field="11" count="1" selected="0">
            <x v="27"/>
          </reference>
          <reference field="12" count="1" selected="0">
            <x v="8"/>
          </reference>
          <reference field="13" count="1" selected="0">
            <x v="3"/>
          </reference>
          <reference field="14" count="1" selected="0">
            <x v="11"/>
          </reference>
          <reference field="15" count="1">
            <x v="42"/>
          </reference>
        </references>
      </pivotArea>
    </format>
    <format dxfId="8294">
      <pivotArea dataOnly="0" labelOnly="1" outline="0" fieldPosition="0">
        <references count="11">
          <reference field="1" count="0" selected="0"/>
          <reference field="3" count="1" selected="0">
            <x v="6"/>
          </reference>
          <reference field="4" count="1" selected="0">
            <x v="0"/>
          </reference>
          <reference field="5" count="1" selected="0">
            <x v="146"/>
          </reference>
          <reference field="6" count="1" selected="0">
            <x v="9"/>
          </reference>
          <reference field="9" count="1" selected="0">
            <x v="10"/>
          </reference>
          <reference field="11" count="1" selected="0">
            <x v="6"/>
          </reference>
          <reference field="12" count="1" selected="0">
            <x v="2"/>
          </reference>
          <reference field="13" count="1" selected="0">
            <x v="3"/>
          </reference>
          <reference field="14" count="1" selected="0">
            <x v="10"/>
          </reference>
          <reference field="15" count="1">
            <x v="41"/>
          </reference>
        </references>
      </pivotArea>
    </format>
    <format dxfId="8293">
      <pivotArea dataOnly="0" labelOnly="1" outline="0" fieldPosition="0">
        <references count="11">
          <reference field="1" count="0" selected="0"/>
          <reference field="3" count="1" selected="0">
            <x v="6"/>
          </reference>
          <reference field="4" count="1" selected="0">
            <x v="0"/>
          </reference>
          <reference field="5" count="1" selected="0">
            <x v="165"/>
          </reference>
          <reference field="6" count="1" selected="0">
            <x v="9"/>
          </reference>
          <reference field="9" count="1" selected="0">
            <x v="10"/>
          </reference>
          <reference field="11" count="1" selected="0">
            <x v="59"/>
          </reference>
          <reference field="12" count="1" selected="0">
            <x v="8"/>
          </reference>
          <reference field="13" count="1" selected="0">
            <x v="7"/>
          </reference>
          <reference field="14" count="1" selected="0">
            <x v="31"/>
          </reference>
          <reference field="15" count="1">
            <x v="51"/>
          </reference>
        </references>
      </pivotArea>
    </format>
    <format dxfId="8292">
      <pivotArea dataOnly="0" labelOnly="1" outline="0" fieldPosition="0">
        <references count="11">
          <reference field="1" count="0" selected="0"/>
          <reference field="3" count="1" selected="0">
            <x v="6"/>
          </reference>
          <reference field="4" count="1" selected="0">
            <x v="0"/>
          </reference>
          <reference field="5" count="1" selected="0">
            <x v="174"/>
          </reference>
          <reference field="6" count="1" selected="0">
            <x v="9"/>
          </reference>
          <reference field="9" count="1" selected="0">
            <x v="10"/>
          </reference>
          <reference field="11" count="1" selected="0">
            <x v="20"/>
          </reference>
          <reference field="12" count="1" selected="0">
            <x v="8"/>
          </reference>
          <reference field="13" count="1" selected="0">
            <x v="3"/>
          </reference>
          <reference field="14" count="1" selected="0">
            <x v="47"/>
          </reference>
          <reference field="15" count="1">
            <x v="34"/>
          </reference>
        </references>
      </pivotArea>
    </format>
    <format dxfId="8291">
      <pivotArea dataOnly="0" labelOnly="1" outline="0" fieldPosition="0">
        <references count="11">
          <reference field="1" count="0" selected="0"/>
          <reference field="3" count="1" selected="0">
            <x v="6"/>
          </reference>
          <reference field="4" count="1" selected="0">
            <x v="0"/>
          </reference>
          <reference field="5" count="1" selected="0">
            <x v="175"/>
          </reference>
          <reference field="6" count="1" selected="0">
            <x v="9"/>
          </reference>
          <reference field="9" count="1" selected="0">
            <x v="10"/>
          </reference>
          <reference field="11" count="1" selected="0">
            <x v="14"/>
          </reference>
          <reference field="12" count="1" selected="0">
            <x v="15"/>
          </reference>
          <reference field="13" count="1" selected="0">
            <x v="3"/>
          </reference>
          <reference field="14" count="1" selected="0">
            <x v="15"/>
          </reference>
          <reference field="15" count="1">
            <x v="38"/>
          </reference>
        </references>
      </pivotArea>
    </format>
    <format dxfId="8290">
      <pivotArea dataOnly="0" labelOnly="1" outline="0" fieldPosition="0">
        <references count="11">
          <reference field="1" count="0" selected="0"/>
          <reference field="3" count="1" selected="0">
            <x v="6"/>
          </reference>
          <reference field="4" count="1" selected="0">
            <x v="0"/>
          </reference>
          <reference field="5" count="1" selected="0">
            <x v="181"/>
          </reference>
          <reference field="6" count="1" selected="0">
            <x v="9"/>
          </reference>
          <reference field="9" count="1" selected="0">
            <x v="10"/>
          </reference>
          <reference field="11" count="1" selected="0">
            <x v="14"/>
          </reference>
          <reference field="12" count="1" selected="0">
            <x v="16"/>
          </reference>
          <reference field="13" count="1" selected="0">
            <x v="3"/>
          </reference>
          <reference field="14" count="1" selected="0">
            <x v="60"/>
          </reference>
          <reference field="15" count="1">
            <x v="14"/>
          </reference>
        </references>
      </pivotArea>
    </format>
    <format dxfId="8289">
      <pivotArea dataOnly="0" labelOnly="1" outline="0" fieldPosition="0">
        <references count="11">
          <reference field="1" count="0" selected="0"/>
          <reference field="3" count="1" selected="0">
            <x v="6"/>
          </reference>
          <reference field="4" count="1" selected="0">
            <x v="0"/>
          </reference>
          <reference field="5" count="1" selected="0">
            <x v="182"/>
          </reference>
          <reference field="6" count="1" selected="0">
            <x v="9"/>
          </reference>
          <reference field="9" count="1" selected="0">
            <x v="10"/>
          </reference>
          <reference field="11" count="1" selected="0">
            <x v="14"/>
          </reference>
          <reference field="12" count="1" selected="0">
            <x v="10"/>
          </reference>
          <reference field="13" count="1" selected="0">
            <x v="3"/>
          </reference>
          <reference field="14" count="1" selected="0">
            <x v="12"/>
          </reference>
          <reference field="15" count="1">
            <x v="14"/>
          </reference>
        </references>
      </pivotArea>
    </format>
    <format dxfId="8288">
      <pivotArea dataOnly="0" labelOnly="1" outline="0" fieldPosition="0">
        <references count="11">
          <reference field="1" count="0" selected="0"/>
          <reference field="3" count="1" selected="0">
            <x v="6"/>
          </reference>
          <reference field="4" count="1" selected="0">
            <x v="0"/>
          </reference>
          <reference field="5" count="1" selected="0">
            <x v="189"/>
          </reference>
          <reference field="6" count="1" selected="0">
            <x v="9"/>
          </reference>
          <reference field="9" count="1" selected="0">
            <x v="10"/>
          </reference>
          <reference field="11" count="1" selected="0">
            <x v="32"/>
          </reference>
          <reference field="12" count="1" selected="0">
            <x v="8"/>
          </reference>
          <reference field="13" count="1" selected="0">
            <x v="3"/>
          </reference>
          <reference field="14" count="1" selected="0">
            <x v="52"/>
          </reference>
          <reference field="15" count="1">
            <x v="10"/>
          </reference>
        </references>
      </pivotArea>
    </format>
    <format dxfId="8287">
      <pivotArea dataOnly="0" labelOnly="1" outline="0" fieldPosition="0">
        <references count="11">
          <reference field="1" count="0" selected="0"/>
          <reference field="3" count="1" selected="0">
            <x v="6"/>
          </reference>
          <reference field="4" count="1" selected="0">
            <x v="0"/>
          </reference>
          <reference field="5" count="1" selected="0">
            <x v="190"/>
          </reference>
          <reference field="6" count="1" selected="0">
            <x v="9"/>
          </reference>
          <reference field="9" count="1" selected="0">
            <x v="10"/>
          </reference>
          <reference field="11" count="1" selected="0">
            <x v="44"/>
          </reference>
          <reference field="12" count="1" selected="0">
            <x v="8"/>
          </reference>
          <reference field="13" count="1" selected="0">
            <x v="3"/>
          </reference>
          <reference field="14" count="1" selected="0">
            <x v="33"/>
          </reference>
          <reference field="15" count="1">
            <x v="14"/>
          </reference>
        </references>
      </pivotArea>
    </format>
    <format dxfId="8286">
      <pivotArea dataOnly="0" labelOnly="1" outline="0" fieldPosition="0">
        <references count="11">
          <reference field="1" count="0" selected="0"/>
          <reference field="3" count="1" selected="0">
            <x v="6"/>
          </reference>
          <reference field="4" count="1" selected="0">
            <x v="0"/>
          </reference>
          <reference field="5" count="1" selected="0">
            <x v="343"/>
          </reference>
          <reference field="6" count="1" selected="0">
            <x v="9"/>
          </reference>
          <reference field="9" count="1" selected="0">
            <x v="10"/>
          </reference>
          <reference field="11" count="1" selected="0">
            <x v="52"/>
          </reference>
          <reference field="12" count="1" selected="0">
            <x v="8"/>
          </reference>
          <reference field="13" count="1" selected="0">
            <x v="5"/>
          </reference>
          <reference field="14" count="1" selected="0">
            <x v="45"/>
          </reference>
          <reference field="15" count="1">
            <x v="55"/>
          </reference>
        </references>
      </pivotArea>
    </format>
    <format dxfId="8285">
      <pivotArea dataOnly="0" labelOnly="1" outline="0" fieldPosition="0">
        <references count="11">
          <reference field="1" count="0" selected="0"/>
          <reference field="3" count="1" selected="0">
            <x v="6"/>
          </reference>
          <reference field="4" count="1" selected="0">
            <x v="0"/>
          </reference>
          <reference field="5" count="1" selected="0">
            <x v="354"/>
          </reference>
          <reference field="6" count="1" selected="0">
            <x v="9"/>
          </reference>
          <reference field="9" count="1" selected="0">
            <x v="10"/>
          </reference>
          <reference field="11" count="1" selected="0">
            <x v="61"/>
          </reference>
          <reference field="12" count="1" selected="0">
            <x v="8"/>
          </reference>
          <reference field="13" count="1" selected="0">
            <x v="3"/>
          </reference>
          <reference field="14" count="1" selected="0">
            <x v="61"/>
          </reference>
          <reference field="15" count="1">
            <x v="14"/>
          </reference>
        </references>
      </pivotArea>
    </format>
    <format dxfId="8284">
      <pivotArea dataOnly="0" labelOnly="1" outline="0" fieldPosition="0">
        <references count="11">
          <reference field="1" count="0" selected="0"/>
          <reference field="3" count="1" selected="0">
            <x v="8"/>
          </reference>
          <reference field="4" count="1" selected="0">
            <x v="3"/>
          </reference>
          <reference field="5" count="1" selected="0">
            <x v="135"/>
          </reference>
          <reference field="6" count="1" selected="0">
            <x v="3"/>
          </reference>
          <reference field="9" count="1" selected="0">
            <x v="10"/>
          </reference>
          <reference field="11" count="1" selected="0">
            <x v="37"/>
          </reference>
          <reference field="12" count="1" selected="0">
            <x v="2"/>
          </reference>
          <reference field="13" count="1" selected="0">
            <x v="3"/>
          </reference>
          <reference field="14" count="1" selected="0">
            <x v="17"/>
          </reference>
          <reference field="15" count="1">
            <x v="47"/>
          </reference>
        </references>
      </pivotArea>
    </format>
    <format dxfId="8283">
      <pivotArea dataOnly="0" labelOnly="1" outline="0" fieldPosition="0">
        <references count="11">
          <reference field="1" count="0" selected="0"/>
          <reference field="3" count="1" selected="0">
            <x v="9"/>
          </reference>
          <reference field="4" count="1" selected="0">
            <x v="6"/>
          </reference>
          <reference field="5" count="1" selected="0">
            <x v="211"/>
          </reference>
          <reference field="6" count="1" selected="0">
            <x v="5"/>
          </reference>
          <reference field="9" count="1" selected="0">
            <x v="10"/>
          </reference>
          <reference field="11" count="1" selected="0">
            <x v="9"/>
          </reference>
          <reference field="12" count="1" selected="0">
            <x v="22"/>
          </reference>
          <reference field="13" count="1" selected="0">
            <x v="3"/>
          </reference>
          <reference field="14" count="1" selected="0">
            <x v="17"/>
          </reference>
          <reference field="15" count="1">
            <x v="44"/>
          </reference>
        </references>
      </pivotArea>
    </format>
    <format dxfId="8282">
      <pivotArea dataOnly="0" labelOnly="1" outline="0" fieldPosition="0">
        <references count="11">
          <reference field="1" count="0" selected="0"/>
          <reference field="3" count="1" selected="0">
            <x v="9"/>
          </reference>
          <reference field="4" count="1" selected="0">
            <x v="6"/>
          </reference>
          <reference field="5" count="1" selected="0">
            <x v="212"/>
          </reference>
          <reference field="6" count="1" selected="0">
            <x v="5"/>
          </reference>
          <reference field="9" count="1" selected="0">
            <x v="10"/>
          </reference>
          <reference field="11" count="1" selected="0">
            <x v="16"/>
          </reference>
          <reference field="12" count="1" selected="0">
            <x v="8"/>
          </reference>
          <reference field="13" count="1" selected="0">
            <x v="3"/>
          </reference>
          <reference field="14" count="1" selected="0">
            <x v="17"/>
          </reference>
          <reference field="15" count="1">
            <x v="30"/>
          </reference>
        </references>
      </pivotArea>
    </format>
    <format dxfId="8281">
      <pivotArea dataOnly="0" labelOnly="1" outline="0" fieldPosition="0">
        <references count="1">
          <reference field="9" count="0"/>
        </references>
      </pivotArea>
    </format>
    <format dxfId="8280">
      <pivotArea field="10" type="button" dataOnly="0" labelOnly="1" outline="0" axis="axisRow" fieldPosition="11"/>
    </format>
    <format dxfId="8279">
      <pivotArea dataOnly="0" labelOnly="1" outline="0" fieldPosition="0">
        <references count="12">
          <reference field="1" count="0" selected="0"/>
          <reference field="3" count="1" selected="0">
            <x v="0"/>
          </reference>
          <reference field="4" count="1" selected="0">
            <x v="3"/>
          </reference>
          <reference field="5" count="1" selected="0">
            <x v="167"/>
          </reference>
          <reference field="6" count="1" selected="0">
            <x v="7"/>
          </reference>
          <reference field="9" count="1" selected="0">
            <x v="10"/>
          </reference>
          <reference field="10" count="1">
            <x v="0"/>
          </reference>
          <reference field="11" count="1" selected="0">
            <x v="49"/>
          </reference>
          <reference field="12" count="1" selected="0">
            <x v="29"/>
          </reference>
          <reference field="13" count="1" selected="0">
            <x v="3"/>
          </reference>
          <reference field="14" count="1" selected="0">
            <x v="23"/>
          </reference>
          <reference field="15" count="1" selected="0">
            <x v="65"/>
          </reference>
        </references>
      </pivotArea>
    </format>
    <format dxfId="8278">
      <pivotArea dataOnly="0" labelOnly="1" outline="0" fieldPosition="0">
        <references count="12">
          <reference field="1" count="0" selected="0"/>
          <reference field="3" count="1" selected="0">
            <x v="3"/>
          </reference>
          <reference field="4" count="1" selected="0">
            <x v="1"/>
          </reference>
          <reference field="5" count="1" selected="0">
            <x v="197"/>
          </reference>
          <reference field="6" count="1" selected="0">
            <x v="2"/>
          </reference>
          <reference field="9" count="1" selected="0">
            <x v="10"/>
          </reference>
          <reference field="10" count="1">
            <x v="0"/>
          </reference>
          <reference field="11" count="1" selected="0">
            <x v="4"/>
          </reference>
          <reference field="12" count="1" selected="0">
            <x v="8"/>
          </reference>
          <reference field="13" count="1" selected="0">
            <x v="3"/>
          </reference>
          <reference field="14" count="1" selected="0">
            <x v="17"/>
          </reference>
          <reference field="15" count="1" selected="0">
            <x v="24"/>
          </reference>
        </references>
      </pivotArea>
    </format>
    <format dxfId="8277">
      <pivotArea dataOnly="0" labelOnly="1" outline="0" fieldPosition="0">
        <references count="12">
          <reference field="1" count="0" selected="0"/>
          <reference field="3" count="1" selected="0">
            <x v="3"/>
          </reference>
          <reference field="4" count="1" selected="0">
            <x v="1"/>
          </reference>
          <reference field="5" count="1" selected="0">
            <x v="205"/>
          </reference>
          <reference field="6" count="1" selected="0">
            <x v="2"/>
          </reference>
          <reference field="9" count="1" selected="0">
            <x v="10"/>
          </reference>
          <reference field="10" count="1">
            <x v="0"/>
          </reference>
          <reference field="11" count="1" selected="0">
            <x v="14"/>
          </reference>
          <reference field="12" count="1" selected="0">
            <x v="1"/>
          </reference>
          <reference field="13" count="1" selected="0">
            <x v="3"/>
          </reference>
          <reference field="14" count="1" selected="0">
            <x v="26"/>
          </reference>
          <reference field="15" count="1" selected="0">
            <x v="1"/>
          </reference>
        </references>
      </pivotArea>
    </format>
    <format dxfId="8276">
      <pivotArea dataOnly="0" labelOnly="1" outline="0" fieldPosition="0">
        <references count="12">
          <reference field="1" count="0" selected="0"/>
          <reference field="3" count="1" selected="0">
            <x v="4"/>
          </reference>
          <reference field="4" count="1" selected="0">
            <x v="1"/>
          </reference>
          <reference field="5" count="1" selected="0">
            <x v="218"/>
          </reference>
          <reference field="6" count="1" selected="0">
            <x v="2"/>
          </reference>
          <reference field="9" count="1" selected="0">
            <x v="10"/>
          </reference>
          <reference field="10" count="1">
            <x v="0"/>
          </reference>
          <reference field="11" count="1" selected="0">
            <x v="14"/>
          </reference>
          <reference field="12" count="1" selected="0">
            <x v="8"/>
          </reference>
          <reference field="13" count="1" selected="0">
            <x v="3"/>
          </reference>
          <reference field="14" count="1" selected="0">
            <x v="17"/>
          </reference>
          <reference field="15" count="1" selected="0">
            <x v="22"/>
          </reference>
        </references>
      </pivotArea>
    </format>
    <format dxfId="8275">
      <pivotArea dataOnly="0" labelOnly="1" outline="0" fieldPosition="0">
        <references count="12">
          <reference field="1" count="0" selected="0"/>
          <reference field="3" count="1" selected="0">
            <x v="4"/>
          </reference>
          <reference field="4" count="1" selected="0">
            <x v="1"/>
          </reference>
          <reference field="5" count="1" selected="0">
            <x v="326"/>
          </reference>
          <reference field="6" count="1" selected="0">
            <x v="2"/>
          </reference>
          <reference field="9" count="1" selected="0">
            <x v="2"/>
          </reference>
          <reference field="10" count="1">
            <x v="0"/>
          </reference>
          <reference field="11" count="1" selected="0">
            <x v="29"/>
          </reference>
          <reference field="12" count="1" selected="0">
            <x v="6"/>
          </reference>
          <reference field="13" count="1" selected="0">
            <x v="3"/>
          </reference>
          <reference field="14" count="1" selected="0">
            <x v="34"/>
          </reference>
          <reference field="15" count="1" selected="0">
            <x v="14"/>
          </reference>
        </references>
      </pivotArea>
    </format>
    <format dxfId="8274">
      <pivotArea dataOnly="0" labelOnly="1" outline="0" fieldPosition="0">
        <references count="12">
          <reference field="1" count="0" selected="0"/>
          <reference field="3" count="1" selected="0">
            <x v="4"/>
          </reference>
          <reference field="4" count="1" selected="0">
            <x v="1"/>
          </reference>
          <reference field="5" count="1" selected="0">
            <x v="332"/>
          </reference>
          <reference field="6" count="1" selected="0">
            <x v="2"/>
          </reference>
          <reference field="9" count="1" selected="0">
            <x v="10"/>
          </reference>
          <reference field="10" count="1">
            <x v="0"/>
          </reference>
          <reference field="11" count="1" selected="0">
            <x v="21"/>
          </reference>
          <reference field="12" count="1" selected="0">
            <x v="8"/>
          </reference>
          <reference field="13" count="1" selected="0">
            <x v="3"/>
          </reference>
          <reference field="14" count="1" selected="0">
            <x v="17"/>
          </reference>
          <reference field="15" count="1" selected="0">
            <x v="3"/>
          </reference>
        </references>
      </pivotArea>
    </format>
    <format dxfId="8273">
      <pivotArea dataOnly="0" labelOnly="1" outline="0" fieldPosition="0">
        <references count="12">
          <reference field="1" count="0" selected="0"/>
          <reference field="3" count="1" selected="0">
            <x v="4"/>
          </reference>
          <reference field="4" count="1" selected="0">
            <x v="1"/>
          </reference>
          <reference field="5" count="1" selected="0">
            <x v="340"/>
          </reference>
          <reference field="6" count="1" selected="0">
            <x v="2"/>
          </reference>
          <reference field="9" count="1" selected="0">
            <x v="4"/>
          </reference>
          <reference field="10" count="1">
            <x v="0"/>
          </reference>
          <reference field="11" count="1" selected="0">
            <x v="62"/>
          </reference>
          <reference field="12" count="1" selected="0">
            <x v="37"/>
          </reference>
          <reference field="13" count="1" selected="0">
            <x v="1"/>
          </reference>
          <reference field="14" count="1" selected="0">
            <x v="17"/>
          </reference>
          <reference field="15" count="1" selected="0">
            <x v="28"/>
          </reference>
        </references>
      </pivotArea>
    </format>
    <format dxfId="8272">
      <pivotArea dataOnly="0" labelOnly="1" outline="0" fieldPosition="0">
        <references count="12">
          <reference field="1" count="0" selected="0"/>
          <reference field="3" count="1" selected="0">
            <x v="6"/>
          </reference>
          <reference field="4" count="1" selected="0">
            <x v="0"/>
          </reference>
          <reference field="5" count="1" selected="0">
            <x v="165"/>
          </reference>
          <reference field="6" count="1" selected="0">
            <x v="9"/>
          </reference>
          <reference field="9" count="1" selected="0">
            <x v="10"/>
          </reference>
          <reference field="10" count="1">
            <x v="0"/>
          </reference>
          <reference field="11" count="1" selected="0">
            <x v="59"/>
          </reference>
          <reference field="12" count="1" selected="0">
            <x v="8"/>
          </reference>
          <reference field="13" count="1" selected="0">
            <x v="7"/>
          </reference>
          <reference field="14" count="1" selected="0">
            <x v="31"/>
          </reference>
          <reference field="15" count="1" selected="0">
            <x v="51"/>
          </reference>
        </references>
      </pivotArea>
    </format>
    <format dxfId="8271">
      <pivotArea dataOnly="0" labelOnly="1" outline="0" fieldPosition="0">
        <references count="12">
          <reference field="1" count="0" selected="0"/>
          <reference field="3" count="1" selected="0">
            <x v="6"/>
          </reference>
          <reference field="4" count="1" selected="0">
            <x v="0"/>
          </reference>
          <reference field="5" count="1" selected="0">
            <x v="174"/>
          </reference>
          <reference field="6" count="1" selected="0">
            <x v="9"/>
          </reference>
          <reference field="9" count="1" selected="0">
            <x v="10"/>
          </reference>
          <reference field="10" count="1">
            <x v="0"/>
          </reference>
          <reference field="11" count="1" selected="0">
            <x v="20"/>
          </reference>
          <reference field="12" count="1" selected="0">
            <x v="8"/>
          </reference>
          <reference field="13" count="1" selected="0">
            <x v="3"/>
          </reference>
          <reference field="14" count="1" selected="0">
            <x v="47"/>
          </reference>
          <reference field="15" count="1" selected="0">
            <x v="34"/>
          </reference>
        </references>
      </pivotArea>
    </format>
    <format dxfId="8270">
      <pivotArea dataOnly="0" labelOnly="1" outline="0" fieldPosition="0">
        <references count="12">
          <reference field="1" count="0" selected="0"/>
          <reference field="3" count="1" selected="0">
            <x v="6"/>
          </reference>
          <reference field="4" count="1" selected="0">
            <x v="0"/>
          </reference>
          <reference field="5" count="1" selected="0">
            <x v="175"/>
          </reference>
          <reference field="6" count="1" selected="0">
            <x v="9"/>
          </reference>
          <reference field="9" count="1" selected="0">
            <x v="10"/>
          </reference>
          <reference field="10" count="1">
            <x v="0"/>
          </reference>
          <reference field="11" count="1" selected="0">
            <x v="14"/>
          </reference>
          <reference field="12" count="1" selected="0">
            <x v="15"/>
          </reference>
          <reference field="13" count="1" selected="0">
            <x v="3"/>
          </reference>
          <reference field="14" count="1" selected="0">
            <x v="15"/>
          </reference>
          <reference field="15" count="1" selected="0">
            <x v="38"/>
          </reference>
        </references>
      </pivotArea>
    </format>
    <format dxfId="8269">
      <pivotArea dataOnly="0" labelOnly="1" outline="0" fieldPosition="0">
        <references count="12">
          <reference field="1" count="0" selected="0"/>
          <reference field="3" count="1" selected="0">
            <x v="6"/>
          </reference>
          <reference field="4" count="1" selected="0">
            <x v="0"/>
          </reference>
          <reference field="5" count="1" selected="0">
            <x v="181"/>
          </reference>
          <reference field="6" count="1" selected="0">
            <x v="9"/>
          </reference>
          <reference field="9" count="1" selected="0">
            <x v="10"/>
          </reference>
          <reference field="10" count="1">
            <x v="0"/>
          </reference>
          <reference field="11" count="1" selected="0">
            <x v="14"/>
          </reference>
          <reference field="12" count="1" selected="0">
            <x v="16"/>
          </reference>
          <reference field="13" count="1" selected="0">
            <x v="3"/>
          </reference>
          <reference field="14" count="1" selected="0">
            <x v="60"/>
          </reference>
          <reference field="15" count="1" selected="0">
            <x v="14"/>
          </reference>
        </references>
      </pivotArea>
    </format>
    <format dxfId="8268">
      <pivotArea dataOnly="0" labelOnly="1" outline="0" fieldPosition="0">
        <references count="12">
          <reference field="1" count="0" selected="0"/>
          <reference field="3" count="1" selected="0">
            <x v="6"/>
          </reference>
          <reference field="4" count="1" selected="0">
            <x v="0"/>
          </reference>
          <reference field="5" count="1" selected="0">
            <x v="182"/>
          </reference>
          <reference field="6" count="1" selected="0">
            <x v="9"/>
          </reference>
          <reference field="9" count="1" selected="0">
            <x v="10"/>
          </reference>
          <reference field="10" count="1">
            <x v="0"/>
          </reference>
          <reference field="11" count="1" selected="0">
            <x v="14"/>
          </reference>
          <reference field="12" count="1" selected="0">
            <x v="10"/>
          </reference>
          <reference field="13" count="1" selected="0">
            <x v="3"/>
          </reference>
          <reference field="14" count="1" selected="0">
            <x v="12"/>
          </reference>
          <reference field="15" count="1" selected="0">
            <x v="14"/>
          </reference>
        </references>
      </pivotArea>
    </format>
    <format dxfId="8267">
      <pivotArea dataOnly="0" labelOnly="1" outline="0" fieldPosition="0">
        <references count="12">
          <reference field="1" count="0" selected="0"/>
          <reference field="3" count="1" selected="0">
            <x v="6"/>
          </reference>
          <reference field="4" count="1" selected="0">
            <x v="0"/>
          </reference>
          <reference field="5" count="1" selected="0">
            <x v="189"/>
          </reference>
          <reference field="6" count="1" selected="0">
            <x v="9"/>
          </reference>
          <reference field="9" count="1" selected="0">
            <x v="10"/>
          </reference>
          <reference field="10" count="1">
            <x v="0"/>
          </reference>
          <reference field="11" count="1" selected="0">
            <x v="32"/>
          </reference>
          <reference field="12" count="1" selected="0">
            <x v="8"/>
          </reference>
          <reference field="13" count="1" selected="0">
            <x v="3"/>
          </reference>
          <reference field="14" count="1" selected="0">
            <x v="52"/>
          </reference>
          <reference field="15" count="1" selected="0">
            <x v="10"/>
          </reference>
        </references>
      </pivotArea>
    </format>
    <format dxfId="8266">
      <pivotArea dataOnly="0" labelOnly="1" outline="0" fieldPosition="0">
        <references count="12">
          <reference field="1" count="0" selected="0"/>
          <reference field="3" count="1" selected="0">
            <x v="6"/>
          </reference>
          <reference field="4" count="1" selected="0">
            <x v="0"/>
          </reference>
          <reference field="5" count="1" selected="0">
            <x v="190"/>
          </reference>
          <reference field="6" count="1" selected="0">
            <x v="9"/>
          </reference>
          <reference field="9" count="1" selected="0">
            <x v="10"/>
          </reference>
          <reference field="10" count="1">
            <x v="0"/>
          </reference>
          <reference field="11" count="1" selected="0">
            <x v="44"/>
          </reference>
          <reference field="12" count="1" selected="0">
            <x v="8"/>
          </reference>
          <reference field="13" count="1" selected="0">
            <x v="3"/>
          </reference>
          <reference field="14" count="1" selected="0">
            <x v="33"/>
          </reference>
          <reference field="15" count="1" selected="0">
            <x v="14"/>
          </reference>
        </references>
      </pivotArea>
    </format>
    <format dxfId="8265">
      <pivotArea dataOnly="0" labelOnly="1" outline="0" fieldPosition="0">
        <references count="12">
          <reference field="1" count="0" selected="0"/>
          <reference field="3" count="1" selected="0">
            <x v="6"/>
          </reference>
          <reference field="4" count="1" selected="0">
            <x v="0"/>
          </reference>
          <reference field="5" count="1" selected="0">
            <x v="343"/>
          </reference>
          <reference field="6" count="1" selected="0">
            <x v="9"/>
          </reference>
          <reference field="9" count="1" selected="0">
            <x v="10"/>
          </reference>
          <reference field="10" count="1">
            <x v="0"/>
          </reference>
          <reference field="11" count="1" selected="0">
            <x v="52"/>
          </reference>
          <reference field="12" count="1" selected="0">
            <x v="8"/>
          </reference>
          <reference field="13" count="1" selected="0">
            <x v="5"/>
          </reference>
          <reference field="14" count="1" selected="0">
            <x v="45"/>
          </reference>
          <reference field="15" count="1" selected="0">
            <x v="55"/>
          </reference>
        </references>
      </pivotArea>
    </format>
    <format dxfId="8264">
      <pivotArea dataOnly="0" labelOnly="1" outline="0" fieldPosition="0">
        <references count="12">
          <reference field="1" count="0" selected="0"/>
          <reference field="3" count="1" selected="0">
            <x v="8"/>
          </reference>
          <reference field="4" count="1" selected="0">
            <x v="3"/>
          </reference>
          <reference field="5" count="1" selected="0">
            <x v="135"/>
          </reference>
          <reference field="6" count="1" selected="0">
            <x v="3"/>
          </reference>
          <reference field="9" count="1" selected="0">
            <x v="10"/>
          </reference>
          <reference field="10" count="1">
            <x v="0"/>
          </reference>
          <reference field="11" count="1" selected="0">
            <x v="37"/>
          </reference>
          <reference field="12" count="1" selected="0">
            <x v="2"/>
          </reference>
          <reference field="13" count="1" selected="0">
            <x v="3"/>
          </reference>
          <reference field="14" count="1" selected="0">
            <x v="17"/>
          </reference>
          <reference field="15" count="1" selected="0">
            <x v="47"/>
          </reference>
        </references>
      </pivotArea>
    </format>
    <format dxfId="8263">
      <pivotArea dataOnly="0" labelOnly="1" outline="0" fieldPosition="0">
        <references count="12">
          <reference field="1" count="0" selected="0"/>
          <reference field="3" count="1" selected="0">
            <x v="9"/>
          </reference>
          <reference field="4" count="1" selected="0">
            <x v="6"/>
          </reference>
          <reference field="5" count="1" selected="0">
            <x v="212"/>
          </reference>
          <reference field="6" count="1" selected="0">
            <x v="5"/>
          </reference>
          <reference field="9" count="1" selected="0">
            <x v="10"/>
          </reference>
          <reference field="10" count="1">
            <x v="0"/>
          </reference>
          <reference field="11" count="1" selected="0">
            <x v="16"/>
          </reference>
          <reference field="12" count="1" selected="0">
            <x v="8"/>
          </reference>
          <reference field="13" count="1" selected="0">
            <x v="3"/>
          </reference>
          <reference field="14" count="1" selected="0">
            <x v="17"/>
          </reference>
          <reference field="15" count="1" selected="0">
            <x v="30"/>
          </reference>
        </references>
      </pivotArea>
    </format>
    <format dxfId="8262">
      <pivotArea dataOnly="0" labelOnly="1" outline="0" fieldPosition="0">
        <references count="12">
          <reference field="1" count="0" selected="0"/>
          <reference field="3" count="1" selected="0">
            <x v="3"/>
          </reference>
          <reference field="4" count="1" selected="0">
            <x v="1"/>
          </reference>
          <reference field="5" count="1" selected="0">
            <x v="195"/>
          </reference>
          <reference field="6" count="1" selected="0">
            <x v="2"/>
          </reference>
          <reference field="9" count="1" selected="0">
            <x v="10"/>
          </reference>
          <reference field="10" count="1">
            <x v="0"/>
          </reference>
          <reference field="11" count="1" selected="0">
            <x v="13"/>
          </reference>
          <reference field="12" count="1" selected="0">
            <x v="14"/>
          </reference>
          <reference field="13" count="1" selected="0">
            <x v="3"/>
          </reference>
          <reference field="14" count="1" selected="0">
            <x v="17"/>
          </reference>
          <reference field="15" count="1" selected="0">
            <x v="1"/>
          </reference>
        </references>
      </pivotArea>
    </format>
    <format dxfId="8261">
      <pivotArea dataOnly="0" labelOnly="1" outline="0" fieldPosition="0">
        <references count="12">
          <reference field="1" count="0" selected="0"/>
          <reference field="3" count="1" selected="0">
            <x v="3"/>
          </reference>
          <reference field="4" count="1" selected="0">
            <x v="1"/>
          </reference>
          <reference field="5" count="1" selected="0">
            <x v="198"/>
          </reference>
          <reference field="6" count="1" selected="0">
            <x v="2"/>
          </reference>
          <reference field="9" count="1" selected="0">
            <x v="10"/>
          </reference>
          <reference field="10" count="1">
            <x v="0"/>
          </reference>
          <reference field="11" count="1" selected="0">
            <x v="14"/>
          </reference>
          <reference field="12" count="1" selected="0">
            <x v="23"/>
          </reference>
          <reference field="13" count="1" selected="0">
            <x v="2"/>
          </reference>
          <reference field="14" count="1" selected="0">
            <x v="17"/>
          </reference>
          <reference field="15" count="1" selected="0">
            <x v="64"/>
          </reference>
        </references>
      </pivotArea>
    </format>
    <format dxfId="8260">
      <pivotArea dataOnly="0" labelOnly="1" outline="0" fieldPosition="0">
        <references count="12">
          <reference field="1" count="0" selected="0"/>
          <reference field="3" count="1" selected="0">
            <x v="3"/>
          </reference>
          <reference field="4" count="1" selected="0">
            <x v="1"/>
          </reference>
          <reference field="5" count="1" selected="0">
            <x v="204"/>
          </reference>
          <reference field="6" count="1" selected="0">
            <x v="2"/>
          </reference>
          <reference field="9" count="1" selected="0">
            <x v="10"/>
          </reference>
          <reference field="10" count="1">
            <x v="0"/>
          </reference>
          <reference field="11" count="1" selected="0">
            <x v="42"/>
          </reference>
          <reference field="12" count="1" selected="0">
            <x v="8"/>
          </reference>
          <reference field="13" count="1" selected="0">
            <x v="3"/>
          </reference>
          <reference field="14" count="1" selected="0">
            <x v="17"/>
          </reference>
          <reference field="15" count="1" selected="0">
            <x v="14"/>
          </reference>
        </references>
      </pivotArea>
    </format>
    <format dxfId="8259">
      <pivotArea dataOnly="0" labelOnly="1" outline="0" fieldPosition="0">
        <references count="12">
          <reference field="1" count="0" selected="0"/>
          <reference field="3" count="1" selected="0">
            <x v="4"/>
          </reference>
          <reference field="4" count="1" selected="0">
            <x v="1"/>
          </reference>
          <reference field="5" count="1" selected="0">
            <x v="98"/>
          </reference>
          <reference field="6" count="1" selected="0">
            <x v="2"/>
          </reference>
          <reference field="9" count="1" selected="0">
            <x v="10"/>
          </reference>
          <reference field="10" count="1">
            <x v="0"/>
          </reference>
          <reference field="11" count="1" selected="0">
            <x v="14"/>
          </reference>
          <reference field="12" count="1" selected="0">
            <x v="5"/>
          </reference>
          <reference field="13" count="1" selected="0">
            <x v="3"/>
          </reference>
          <reference field="14" count="1" selected="0">
            <x v="49"/>
          </reference>
          <reference field="15" count="1" selected="0">
            <x v="1"/>
          </reference>
        </references>
      </pivotArea>
    </format>
    <format dxfId="8258">
      <pivotArea dataOnly="0" labelOnly="1" outline="0" fieldPosition="0">
        <references count="12">
          <reference field="1" count="0" selected="0"/>
          <reference field="3" count="1" selected="0">
            <x v="4"/>
          </reference>
          <reference field="4" count="1" selected="0">
            <x v="1"/>
          </reference>
          <reference field="5" count="1" selected="0">
            <x v="112"/>
          </reference>
          <reference field="6" count="1" selected="0">
            <x v="2"/>
          </reference>
          <reference field="9" count="1" selected="0">
            <x v="10"/>
          </reference>
          <reference field="10" count="1">
            <x v="0"/>
          </reference>
          <reference field="11" count="1" selected="0">
            <x v="33"/>
          </reference>
          <reference field="12" count="1" selected="0">
            <x v="8"/>
          </reference>
          <reference field="13" count="1" selected="0">
            <x v="3"/>
          </reference>
          <reference field="14" count="1" selected="0">
            <x v="43"/>
          </reference>
          <reference field="15" count="1" selected="0">
            <x v="32"/>
          </reference>
        </references>
      </pivotArea>
    </format>
    <format dxfId="8257">
      <pivotArea dataOnly="0" labelOnly="1" outline="0" fieldPosition="0">
        <references count="12">
          <reference field="1" count="0" selected="0"/>
          <reference field="3" count="1" selected="0">
            <x v="4"/>
          </reference>
          <reference field="4" count="1" selected="0">
            <x v="1"/>
          </reference>
          <reference field="5" count="1" selected="0">
            <x v="215"/>
          </reference>
          <reference field="6" count="1" selected="0">
            <x v="2"/>
          </reference>
          <reference field="9" count="1" selected="0">
            <x v="4"/>
          </reference>
          <reference field="10" count="1">
            <x v="0"/>
          </reference>
          <reference field="11" count="1" selected="0">
            <x v="53"/>
          </reference>
          <reference field="12" count="1" selected="0">
            <x v="8"/>
          </reference>
          <reference field="13" count="1" selected="0">
            <x v="3"/>
          </reference>
          <reference field="14" count="1" selected="0">
            <x v="17"/>
          </reference>
          <reference field="15" count="1" selected="0">
            <x v="15"/>
          </reference>
        </references>
      </pivotArea>
    </format>
    <format dxfId="8256">
      <pivotArea dataOnly="0" labelOnly="1" outline="0" fieldPosition="0">
        <references count="12">
          <reference field="1" count="0" selected="0"/>
          <reference field="3" count="1" selected="0">
            <x v="4"/>
          </reference>
          <reference field="4" count="1" selected="0">
            <x v="1"/>
          </reference>
          <reference field="5" count="1" selected="0">
            <x v="330"/>
          </reference>
          <reference field="6" count="1" selected="0">
            <x v="2"/>
          </reference>
          <reference field="9" count="1" selected="0">
            <x v="10"/>
          </reference>
          <reference field="10" count="1">
            <x v="0"/>
          </reference>
          <reference field="11" count="1" selected="0">
            <x v="18"/>
          </reference>
          <reference field="12" count="1" selected="0">
            <x v="8"/>
          </reference>
          <reference field="13" count="1" selected="0">
            <x v="3"/>
          </reference>
          <reference field="14" count="1" selected="0">
            <x v="42"/>
          </reference>
          <reference field="15" count="1" selected="0">
            <x v="13"/>
          </reference>
        </references>
      </pivotArea>
    </format>
    <format dxfId="8255">
      <pivotArea dataOnly="0" labelOnly="1" outline="0" fieldPosition="0">
        <references count="12">
          <reference field="1" count="0" selected="0"/>
          <reference field="3" count="1" selected="0">
            <x v="4"/>
          </reference>
          <reference field="4" count="1" selected="0">
            <x v="1"/>
          </reference>
          <reference field="5" count="1" selected="0">
            <x v="346"/>
          </reference>
          <reference field="6" count="1" selected="0">
            <x v="2"/>
          </reference>
          <reference field="9" count="1" selected="0">
            <x v="10"/>
          </reference>
          <reference field="10" count="1">
            <x v="0"/>
          </reference>
          <reference field="11" count="1" selected="0">
            <x v="14"/>
          </reference>
          <reference field="12" count="1" selected="0">
            <x v="1"/>
          </reference>
          <reference field="13" count="1" selected="0">
            <x v="3"/>
          </reference>
          <reference field="14" count="1" selected="0">
            <x v="17"/>
          </reference>
          <reference field="15" count="1" selected="0">
            <x v="14"/>
          </reference>
        </references>
      </pivotArea>
    </format>
    <format dxfId="8254">
      <pivotArea dataOnly="0" labelOnly="1" outline="0" fieldPosition="0">
        <references count="12">
          <reference field="1" count="0" selected="0"/>
          <reference field="3" count="1" selected="0">
            <x v="6"/>
          </reference>
          <reference field="4" count="1" selected="0">
            <x v="0"/>
          </reference>
          <reference field="5" count="1" selected="0">
            <x v="147"/>
          </reference>
          <reference field="6" count="1" selected="0">
            <x v="9"/>
          </reference>
          <reference field="9" count="1" selected="0">
            <x v="10"/>
          </reference>
          <reference field="10" count="1">
            <x v="0"/>
          </reference>
          <reference field="11" count="1" selected="0">
            <x v="14"/>
          </reference>
          <reference field="12" count="1" selected="0">
            <x v="17"/>
          </reference>
          <reference field="13" count="1" selected="0">
            <x v="3"/>
          </reference>
          <reference field="14" count="1" selected="0">
            <x v="17"/>
          </reference>
          <reference field="15" count="1" selected="0">
            <x v="31"/>
          </reference>
        </references>
      </pivotArea>
    </format>
    <format dxfId="8253">
      <pivotArea dataOnly="0" labelOnly="1" outline="0" fieldPosition="0">
        <references count="12">
          <reference field="1" count="0" selected="0"/>
          <reference field="3" count="1" selected="0">
            <x v="6"/>
          </reference>
          <reference field="4" count="1" selected="0">
            <x v="0"/>
          </reference>
          <reference field="5" count="1" selected="0">
            <x v="166"/>
          </reference>
          <reference field="6" count="1" selected="0">
            <x v="9"/>
          </reference>
          <reference field="9" count="1" selected="0">
            <x v="10"/>
          </reference>
          <reference field="10" count="1">
            <x v="0"/>
          </reference>
          <reference field="11" count="1" selected="0">
            <x v="17"/>
          </reference>
          <reference field="12" count="1" selected="0">
            <x v="8"/>
          </reference>
          <reference field="13" count="1" selected="0">
            <x v="3"/>
          </reference>
          <reference field="14" count="1" selected="0">
            <x v="36"/>
          </reference>
          <reference field="15" count="1" selected="0">
            <x v="56"/>
          </reference>
        </references>
      </pivotArea>
    </format>
    <format dxfId="8252">
      <pivotArea dataOnly="0" labelOnly="1" outline="0" fieldPosition="0">
        <references count="12">
          <reference field="1" count="0" selected="0"/>
          <reference field="3" count="1" selected="0">
            <x v="6"/>
          </reference>
          <reference field="4" count="1" selected="0">
            <x v="0"/>
          </reference>
          <reference field="5" count="1" selected="0">
            <x v="173"/>
          </reference>
          <reference field="6" count="1" selected="0">
            <x v="9"/>
          </reference>
          <reference field="9" count="1" selected="0">
            <x v="10"/>
          </reference>
          <reference field="10" count="1">
            <x v="0"/>
          </reference>
          <reference field="11" count="1" selected="0">
            <x v="45"/>
          </reference>
          <reference field="12" count="1" selected="0">
            <x v="6"/>
          </reference>
          <reference field="13" count="1" selected="0">
            <x v="3"/>
          </reference>
          <reference field="14" count="1" selected="0">
            <x v="46"/>
          </reference>
          <reference field="15" count="1" selected="0">
            <x v="33"/>
          </reference>
        </references>
      </pivotArea>
    </format>
    <format dxfId="8251">
      <pivotArea dataOnly="0" labelOnly="1" outline="0" fieldPosition="0">
        <references count="12">
          <reference field="1" count="0" selected="0"/>
          <reference field="3" count="1" selected="0">
            <x v="6"/>
          </reference>
          <reference field="4" count="1" selected="0">
            <x v="0"/>
          </reference>
          <reference field="5" count="1" selected="0">
            <x v="176"/>
          </reference>
          <reference field="6" count="1" selected="0">
            <x v="9"/>
          </reference>
          <reference field="9" count="1" selected="0">
            <x v="10"/>
          </reference>
          <reference field="10" count="1">
            <x v="0"/>
          </reference>
          <reference field="11" count="1" selected="0">
            <x v="14"/>
          </reference>
          <reference field="12" count="1" selected="0">
            <x v="3"/>
          </reference>
          <reference field="13" count="1" selected="0">
            <x v="3"/>
          </reference>
          <reference field="14" count="1" selected="0">
            <x v="17"/>
          </reference>
          <reference field="15" count="1" selected="0">
            <x v="18"/>
          </reference>
        </references>
      </pivotArea>
    </format>
    <format dxfId="8250">
      <pivotArea dataOnly="0" labelOnly="1" outline="0" fieldPosition="0">
        <references count="12">
          <reference field="1" count="0" selected="0"/>
          <reference field="3" count="1" selected="0">
            <x v="6"/>
          </reference>
          <reference field="4" count="1" selected="0">
            <x v="0"/>
          </reference>
          <reference field="5" count="1" selected="0">
            <x v="183"/>
          </reference>
          <reference field="6" count="1" selected="0">
            <x v="9"/>
          </reference>
          <reference field="9" count="1" selected="0">
            <x v="10"/>
          </reference>
          <reference field="10" count="1">
            <x v="0"/>
          </reference>
          <reference field="11" count="1" selected="0">
            <x v="57"/>
          </reference>
          <reference field="12" count="1" selected="0">
            <x v="1"/>
          </reference>
          <reference field="13" count="1" selected="0">
            <x v="3"/>
          </reference>
          <reference field="14" count="1" selected="0">
            <x v="3"/>
          </reference>
          <reference field="15" count="1" selected="0">
            <x v="14"/>
          </reference>
        </references>
      </pivotArea>
    </format>
    <format dxfId="8249">
      <pivotArea dataOnly="0" labelOnly="1" outline="0" fieldPosition="0">
        <references count="12">
          <reference field="1" count="0" selected="0"/>
          <reference field="3" count="1" selected="0">
            <x v="6"/>
          </reference>
          <reference field="4" count="1" selected="0">
            <x v="0"/>
          </reference>
          <reference field="5" count="1" selected="0">
            <x v="188"/>
          </reference>
          <reference field="6" count="1" selected="0">
            <x v="9"/>
          </reference>
          <reference field="9" count="1" selected="0">
            <x v="10"/>
          </reference>
          <reference field="10" count="1">
            <x v="0"/>
          </reference>
          <reference field="11" count="1" selected="0">
            <x v="41"/>
          </reference>
          <reference field="12" count="1" selected="0">
            <x v="8"/>
          </reference>
          <reference field="13" count="1" selected="0">
            <x v="3"/>
          </reference>
          <reference field="14" count="1" selected="0">
            <x v="24"/>
          </reference>
          <reference field="15" count="1" selected="0">
            <x v="47"/>
          </reference>
        </references>
      </pivotArea>
    </format>
    <format dxfId="8248">
      <pivotArea dataOnly="0" labelOnly="1" outline="0" fieldPosition="0">
        <references count="12">
          <reference field="1" count="0" selected="0"/>
          <reference field="3" count="1" selected="0">
            <x v="6"/>
          </reference>
          <reference field="4" count="1" selected="0">
            <x v="0"/>
          </reference>
          <reference field="5" count="1" selected="0">
            <x v="191"/>
          </reference>
          <reference field="6" count="1" selected="0">
            <x v="9"/>
          </reference>
          <reference field="9" count="1" selected="0">
            <x v="10"/>
          </reference>
          <reference field="10" count="1">
            <x v="0"/>
          </reference>
          <reference field="11" count="1" selected="0">
            <x v="54"/>
          </reference>
          <reference field="12" count="1" selected="0">
            <x v="4"/>
          </reference>
          <reference field="13" count="1" selected="0">
            <x v="3"/>
          </reference>
          <reference field="14" count="1" selected="0">
            <x v="13"/>
          </reference>
          <reference field="15" count="1" selected="0">
            <x v="14"/>
          </reference>
        </references>
      </pivotArea>
    </format>
    <format dxfId="8247">
      <pivotArea dataOnly="0" labelOnly="1" outline="0" fieldPosition="0">
        <references count="12">
          <reference field="1" count="0" selected="0"/>
          <reference field="3" count="1" selected="0">
            <x v="6"/>
          </reference>
          <reference field="4" count="1" selected="0">
            <x v="0"/>
          </reference>
          <reference field="5" count="1" selected="0">
            <x v="336"/>
          </reference>
          <reference field="6" count="1" selected="0">
            <x v="9"/>
          </reference>
          <reference field="9" count="1" selected="0">
            <x v="10"/>
          </reference>
          <reference field="10" count="1">
            <x v="0"/>
          </reference>
          <reference field="11" count="1" selected="0">
            <x v="14"/>
          </reference>
          <reference field="12" count="1" selected="0">
            <x v="9"/>
          </reference>
          <reference field="13" count="1" selected="0">
            <x v="3"/>
          </reference>
          <reference field="14" count="1" selected="0">
            <x v="9"/>
          </reference>
          <reference field="15" count="1" selected="0">
            <x v="14"/>
          </reference>
        </references>
      </pivotArea>
    </format>
    <format dxfId="8246">
      <pivotArea dataOnly="0" labelOnly="1" outline="0" fieldPosition="0">
        <references count="12">
          <reference field="1" count="0" selected="0"/>
          <reference field="3" count="1" selected="0">
            <x v="8"/>
          </reference>
          <reference field="4" count="1" selected="0">
            <x v="3"/>
          </reference>
          <reference field="5" count="1" selected="0">
            <x v="137"/>
          </reference>
          <reference field="6" count="1" selected="0">
            <x v="3"/>
          </reference>
          <reference field="9" count="1" selected="0">
            <x v="10"/>
          </reference>
          <reference field="10" count="1">
            <x v="0"/>
          </reference>
          <reference field="11" count="1" selected="0">
            <x v="25"/>
          </reference>
          <reference field="12" count="1" selected="0">
            <x v="8"/>
          </reference>
          <reference field="13" count="1" selected="0">
            <x v="3"/>
          </reference>
          <reference field="14" count="1" selected="0">
            <x v="29"/>
          </reference>
          <reference field="15" count="1" selected="0">
            <x v="35"/>
          </reference>
        </references>
      </pivotArea>
    </format>
    <format dxfId="8245">
      <pivotArea dataOnly="0" labelOnly="1" outline="0" fieldPosition="0">
        <references count="12">
          <reference field="1" count="0" selected="0"/>
          <reference field="3" count="1" selected="0">
            <x v="9"/>
          </reference>
          <reference field="4" count="1" selected="0">
            <x v="6"/>
          </reference>
          <reference field="5" count="1" selected="0">
            <x v="213"/>
          </reference>
          <reference field="6" count="1" selected="0">
            <x v="5"/>
          </reference>
          <reference field="9" count="1" selected="0">
            <x v="10"/>
          </reference>
          <reference field="10" count="1">
            <x v="0"/>
          </reference>
          <reference field="11" count="1" selected="0">
            <x v="19"/>
          </reference>
          <reference field="12" count="1" selected="0">
            <x v="8"/>
          </reference>
          <reference field="13" count="1" selected="0">
            <x v="3"/>
          </reference>
          <reference field="14" count="1" selected="0">
            <x v="17"/>
          </reference>
          <reference field="15" count="1" selected="0">
            <x v="23"/>
          </reference>
        </references>
      </pivotArea>
    </format>
    <format dxfId="8244">
      <pivotArea dataOnly="0" labelOnly="1" outline="0" fieldPosition="0">
        <references count="12">
          <reference field="1" count="0" selected="0"/>
          <reference field="3" count="1" selected="0">
            <x v="0"/>
          </reference>
          <reference field="4" count="1" selected="0">
            <x v="1"/>
          </reference>
          <reference field="5" count="1" selected="0">
            <x v="344"/>
          </reference>
          <reference field="6" count="1" selected="0">
            <x v="7"/>
          </reference>
          <reference field="9" count="1" selected="0">
            <x v="10"/>
          </reference>
          <reference field="10" count="1">
            <x v="0"/>
          </reference>
          <reference field="11" count="1" selected="0">
            <x v="14"/>
          </reference>
          <reference field="12" count="1" selected="0">
            <x v="8"/>
          </reference>
          <reference field="13" count="1" selected="0">
            <x v="3"/>
          </reference>
          <reference field="14" count="1" selected="0">
            <x v="17"/>
          </reference>
          <reference field="15" count="1" selected="0">
            <x v="68"/>
          </reference>
        </references>
      </pivotArea>
    </format>
    <format dxfId="8243">
      <pivotArea dataOnly="0" labelOnly="1" outline="0" fieldPosition="0">
        <references count="12">
          <reference field="1" count="0" selected="0"/>
          <reference field="3" count="1" selected="0">
            <x v="0"/>
          </reference>
          <reference field="4" count="1" selected="0">
            <x v="0"/>
          </reference>
          <reference field="5" count="1" selected="0">
            <x v="356"/>
          </reference>
          <reference field="6" count="1" selected="0">
            <x v="7"/>
          </reference>
          <reference field="9" count="1" selected="0">
            <x v="10"/>
          </reference>
          <reference field="10" count="1">
            <x v="0"/>
          </reference>
          <reference field="11" count="1" selected="0">
            <x v="14"/>
          </reference>
          <reference field="12" count="1" selected="0">
            <x v="31"/>
          </reference>
          <reference field="13" count="1" selected="0">
            <x v="3"/>
          </reference>
          <reference field="14" count="1" selected="0">
            <x v="17"/>
          </reference>
          <reference field="15" count="1" selected="0">
            <x v="14"/>
          </reference>
        </references>
      </pivotArea>
    </format>
    <format dxfId="8242">
      <pivotArea dataOnly="0" labelOnly="1" outline="0" fieldPosition="0">
        <references count="12">
          <reference field="1" count="0" selected="0"/>
          <reference field="3" count="1" selected="0">
            <x v="4"/>
          </reference>
          <reference field="4" count="1" selected="0">
            <x v="1"/>
          </reference>
          <reference field="5" count="1" selected="0">
            <x v="97"/>
          </reference>
          <reference field="6" count="1" selected="0">
            <x v="2"/>
          </reference>
          <reference field="9" count="1" selected="0">
            <x v="10"/>
          </reference>
          <reference field="10" count="1">
            <x v="0"/>
          </reference>
          <reference field="11" count="1" selected="0">
            <x v="14"/>
          </reference>
          <reference field="12" count="1" selected="0">
            <x v="20"/>
          </reference>
          <reference field="13" count="1" selected="0">
            <x v="3"/>
          </reference>
          <reference field="14" count="1" selected="0">
            <x v="18"/>
          </reference>
          <reference field="15" count="1" selected="0">
            <x v="61"/>
          </reference>
        </references>
      </pivotArea>
    </format>
    <format dxfId="8241">
      <pivotArea dataOnly="0" labelOnly="1" outline="0" fieldPosition="0">
        <references count="12">
          <reference field="1" count="0" selected="0"/>
          <reference field="3" count="1" selected="0">
            <x v="4"/>
          </reference>
          <reference field="4" count="1" selected="0">
            <x v="1"/>
          </reference>
          <reference field="5" count="1" selected="0">
            <x v="143"/>
          </reference>
          <reference field="6" count="1" selected="0">
            <x v="2"/>
          </reference>
          <reference field="9" count="1" selected="0">
            <x v="10"/>
          </reference>
          <reference field="10" count="1">
            <x v="0"/>
          </reference>
          <reference field="11" count="1" selected="0">
            <x v="14"/>
          </reference>
          <reference field="12" count="1" selected="0">
            <x v="3"/>
          </reference>
          <reference field="13" count="1" selected="0">
            <x v="3"/>
          </reference>
          <reference field="14" count="1" selected="0">
            <x v="17"/>
          </reference>
          <reference field="15" count="1" selected="0">
            <x v="50"/>
          </reference>
        </references>
      </pivotArea>
    </format>
    <format dxfId="8240">
      <pivotArea dataOnly="0" labelOnly="1" outline="0" fieldPosition="0">
        <references count="12">
          <reference field="1" count="0" selected="0"/>
          <reference field="3" count="1" selected="0">
            <x v="4"/>
          </reference>
          <reference field="4" count="1" selected="0">
            <x v="1"/>
          </reference>
          <reference field="5" count="1" selected="0">
            <x v="155"/>
          </reference>
          <reference field="6" count="1" selected="0">
            <x v="2"/>
          </reference>
          <reference field="9" count="1" selected="0">
            <x v="10"/>
          </reference>
          <reference field="10" count="1">
            <x v="0"/>
          </reference>
          <reference field="11" count="1" selected="0">
            <x v="58"/>
          </reference>
          <reference field="12" count="1" selected="0">
            <x v="8"/>
          </reference>
          <reference field="13" count="1" selected="0">
            <x v="3"/>
          </reference>
          <reference field="14" count="1" selected="0">
            <x v="58"/>
          </reference>
          <reference field="15" count="1" selected="0">
            <x v="47"/>
          </reference>
        </references>
      </pivotArea>
    </format>
    <format dxfId="8239">
      <pivotArea dataOnly="0" labelOnly="1" outline="0" fieldPosition="0">
        <references count="12">
          <reference field="1" count="0" selected="0"/>
          <reference field="3" count="1" selected="0">
            <x v="4"/>
          </reference>
          <reference field="4" count="1" selected="0">
            <x v="1"/>
          </reference>
          <reference field="5" count="1" selected="0">
            <x v="214"/>
          </reference>
          <reference field="6" count="1" selected="0">
            <x v="2"/>
          </reference>
          <reference field="9" count="1" selected="0">
            <x v="10"/>
          </reference>
          <reference field="10" count="1">
            <x v="0"/>
          </reference>
          <reference field="11" count="1" selected="0">
            <x v="35"/>
          </reference>
          <reference field="12" count="1" selected="0">
            <x v="8"/>
          </reference>
          <reference field="13" count="1" selected="0">
            <x v="3"/>
          </reference>
          <reference field="14" count="1" selected="0">
            <x v="17"/>
          </reference>
          <reference field="15" count="1" selected="0">
            <x v="14"/>
          </reference>
        </references>
      </pivotArea>
    </format>
    <format dxfId="8238">
      <pivotArea dataOnly="0" labelOnly="1" outline="0" fieldPosition="0">
        <references count="12">
          <reference field="1" count="0" selected="0"/>
          <reference field="3" count="1" selected="0">
            <x v="4"/>
          </reference>
          <reference field="4" count="1" selected="0">
            <x v="1"/>
          </reference>
          <reference field="5" count="1" selected="0">
            <x v="222"/>
          </reference>
          <reference field="6" count="1" selected="0">
            <x v="9"/>
          </reference>
          <reference field="9" count="1" selected="0">
            <x v="8"/>
          </reference>
          <reference field="10" count="1">
            <x v="0"/>
          </reference>
          <reference field="11" count="1" selected="0">
            <x v="34"/>
          </reference>
          <reference field="12" count="1" selected="0">
            <x v="8"/>
          </reference>
          <reference field="13" count="1" selected="0">
            <x v="3"/>
          </reference>
          <reference field="14" count="1" selected="0">
            <x v="17"/>
          </reference>
          <reference field="15" count="1" selected="0">
            <x v="53"/>
          </reference>
        </references>
      </pivotArea>
    </format>
    <format dxfId="8237">
      <pivotArea dataOnly="0" labelOnly="1" outline="0" fieldPosition="0">
        <references count="12">
          <reference field="1" count="0" selected="0"/>
          <reference field="3" count="1" selected="0">
            <x v="4"/>
          </reference>
          <reference field="4" count="1" selected="0">
            <x v="1"/>
          </reference>
          <reference field="5" count="1" selected="0">
            <x v="329"/>
          </reference>
          <reference field="6" count="1" selected="0">
            <x v="2"/>
          </reference>
          <reference field="9" count="1" selected="0">
            <x v="4"/>
          </reference>
          <reference field="10" count="1">
            <x v="0"/>
          </reference>
          <reference field="11" count="1" selected="0">
            <x v="28"/>
          </reference>
          <reference field="12" count="1" selected="0">
            <x v="8"/>
          </reference>
          <reference field="13" count="1" selected="0">
            <x v="3"/>
          </reference>
          <reference field="14" count="1" selected="0">
            <x v="39"/>
          </reference>
          <reference field="15" count="1" selected="0">
            <x v="16"/>
          </reference>
        </references>
      </pivotArea>
    </format>
    <format dxfId="8236">
      <pivotArea dataOnly="0" labelOnly="1" outline="0" fieldPosition="0">
        <references count="12">
          <reference field="1" count="0" selected="0"/>
          <reference field="3" count="1" selected="0">
            <x v="6"/>
          </reference>
          <reference field="4" count="1" selected="0">
            <x v="0"/>
          </reference>
          <reference field="5" count="1" selected="0">
            <x v="156"/>
          </reference>
          <reference field="6" count="1" selected="0">
            <x v="9"/>
          </reference>
          <reference field="9" count="1" selected="0">
            <x v="10"/>
          </reference>
          <reference field="10" count="1">
            <x v="0"/>
          </reference>
          <reference field="11" count="1" selected="0">
            <x v="23"/>
          </reference>
          <reference field="12" count="1" selected="0">
            <x v="8"/>
          </reference>
          <reference field="13" count="1" selected="0">
            <x v="3"/>
          </reference>
          <reference field="14" count="1" selected="0">
            <x v="32"/>
          </reference>
          <reference field="15" count="1" selected="0">
            <x v="45"/>
          </reference>
        </references>
      </pivotArea>
    </format>
    <format dxfId="8235">
      <pivotArea dataOnly="0" labelOnly="1" outline="0" fieldPosition="0">
        <references count="12">
          <reference field="1" count="0" selected="0"/>
          <reference field="3" count="1" selected="0">
            <x v="6"/>
          </reference>
          <reference field="4" count="1" selected="0">
            <x v="0"/>
          </reference>
          <reference field="5" count="1" selected="0">
            <x v="159"/>
          </reference>
          <reference field="6" count="1" selected="0">
            <x v="9"/>
          </reference>
          <reference field="9" count="1" selected="0">
            <x v="10"/>
          </reference>
          <reference field="10" count="1">
            <x v="0"/>
          </reference>
          <reference field="11" count="1" selected="0">
            <x v="30"/>
          </reference>
          <reference field="12" count="1" selected="0">
            <x v="8"/>
          </reference>
          <reference field="13" count="1" selected="0">
            <x v="3"/>
          </reference>
          <reference field="14" count="1" selected="0">
            <x v="38"/>
          </reference>
          <reference field="15" count="1" selected="0">
            <x v="40"/>
          </reference>
        </references>
      </pivotArea>
    </format>
    <format dxfId="8234">
      <pivotArea dataOnly="0" labelOnly="1" outline="0" fieldPosition="0">
        <references count="12">
          <reference field="1" count="0" selected="0"/>
          <reference field="3" count="1" selected="0">
            <x v="6"/>
          </reference>
          <reference field="4" count="1" selected="0">
            <x v="0"/>
          </reference>
          <reference field="5" count="1" selected="0">
            <x v="168"/>
          </reference>
          <reference field="6" count="1" selected="0">
            <x v="9"/>
          </reference>
          <reference field="9" count="1" selected="0">
            <x v="10"/>
          </reference>
          <reference field="10" count="1">
            <x v="0"/>
          </reference>
          <reference field="11" count="1" selected="0">
            <x v="47"/>
          </reference>
          <reference field="12" count="1" selected="0">
            <x v="0"/>
          </reference>
          <reference field="13" count="1" selected="0">
            <x v="4"/>
          </reference>
          <reference field="14" count="1" selected="0">
            <x v="17"/>
          </reference>
          <reference field="15" count="1" selected="0">
            <x v="36"/>
          </reference>
        </references>
      </pivotArea>
    </format>
    <format dxfId="8233">
      <pivotArea dataOnly="0" labelOnly="1" outline="0" fieldPosition="0">
        <references count="12">
          <reference field="1" count="0" selected="0"/>
          <reference field="3" count="1" selected="0">
            <x v="6"/>
          </reference>
          <reference field="4" count="1" selected="0">
            <x v="0"/>
          </reference>
          <reference field="5" count="1" selected="0">
            <x v="172"/>
          </reference>
          <reference field="6" count="1" selected="0">
            <x v="9"/>
          </reference>
          <reference field="9" count="1" selected="0">
            <x v="10"/>
          </reference>
          <reference field="10" count="1">
            <x v="0"/>
          </reference>
          <reference field="11" count="1" selected="0">
            <x v="14"/>
          </reference>
          <reference field="12" count="1" selected="0">
            <x v="33"/>
          </reference>
          <reference field="13" count="1" selected="0">
            <x v="3"/>
          </reference>
          <reference field="14" count="1" selected="0">
            <x v="25"/>
          </reference>
          <reference field="15" count="1" selected="0">
            <x v="48"/>
          </reference>
        </references>
      </pivotArea>
    </format>
    <format dxfId="8232">
      <pivotArea dataOnly="0" labelOnly="1" outline="0" fieldPosition="0">
        <references count="12">
          <reference field="1" count="0" selected="0"/>
          <reference field="3" count="1" selected="0">
            <x v="6"/>
          </reference>
          <reference field="4" count="1" selected="0">
            <x v="0"/>
          </reference>
          <reference field="5" count="1" selected="0">
            <x v="177"/>
          </reference>
          <reference field="6" count="1" selected="0">
            <x v="9"/>
          </reference>
          <reference field="9" count="1" selected="0">
            <x v="10"/>
          </reference>
          <reference field="10" count="1">
            <x v="0"/>
          </reference>
          <reference field="11" count="1" selected="0">
            <x v="1"/>
          </reference>
          <reference field="12" count="1" selected="0">
            <x v="8"/>
          </reference>
          <reference field="13" count="1" selected="0">
            <x v="3"/>
          </reference>
          <reference field="14" count="1" selected="0">
            <x v="4"/>
          </reference>
          <reference field="15" count="1" selected="0">
            <x v="22"/>
          </reference>
        </references>
      </pivotArea>
    </format>
    <format dxfId="8231">
      <pivotArea dataOnly="0" labelOnly="1" outline="0" fieldPosition="0">
        <references count="12">
          <reference field="1" count="0" selected="0"/>
          <reference field="3" count="1" selected="0">
            <x v="6"/>
          </reference>
          <reference field="4" count="1" selected="0">
            <x v="0"/>
          </reference>
          <reference field="5" count="1" selected="0">
            <x v="178"/>
          </reference>
          <reference field="6" count="1" selected="0">
            <x v="9"/>
          </reference>
          <reference field="9" count="1" selected="0">
            <x v="10"/>
          </reference>
          <reference field="10" count="1">
            <x v="0"/>
          </reference>
          <reference field="11" count="1" selected="0">
            <x v="14"/>
          </reference>
          <reference field="12" count="1" selected="0">
            <x v="27"/>
          </reference>
          <reference field="13" count="1" selected="0">
            <x v="3"/>
          </reference>
          <reference field="14" count="1" selected="0">
            <x v="37"/>
          </reference>
          <reference field="15" count="1" selected="0">
            <x v="14"/>
          </reference>
        </references>
      </pivotArea>
    </format>
    <format dxfId="8230">
      <pivotArea dataOnly="0" labelOnly="1" outline="0" fieldPosition="0">
        <references count="12">
          <reference field="1" count="0" selected="0"/>
          <reference field="3" count="1" selected="0">
            <x v="6"/>
          </reference>
          <reference field="4" count="1" selected="0">
            <x v="0"/>
          </reference>
          <reference field="5" count="1" selected="0">
            <x v="187"/>
          </reference>
          <reference field="6" count="1" selected="0">
            <x v="9"/>
          </reference>
          <reference field="9" count="1" selected="0">
            <x v="10"/>
          </reference>
          <reference field="10" count="1">
            <x v="0"/>
          </reference>
          <reference field="11" count="1" selected="0">
            <x v="50"/>
          </reference>
          <reference field="12" count="1" selected="0">
            <x v="8"/>
          </reference>
          <reference field="13" count="1" selected="0">
            <x v="3"/>
          </reference>
          <reference field="14" count="1" selected="0">
            <x v="48"/>
          </reference>
          <reference field="15" count="1" selected="0">
            <x v="14"/>
          </reference>
        </references>
      </pivotArea>
    </format>
    <format dxfId="8229">
      <pivotArea dataOnly="0" labelOnly="1" outline="0" fieldPosition="0">
        <references count="12">
          <reference field="1" count="0" selected="0"/>
          <reference field="3" count="1" selected="0">
            <x v="6"/>
          </reference>
          <reference field="4" count="1" selected="0">
            <x v="0"/>
          </reference>
          <reference field="5" count="1" selected="0">
            <x v="209"/>
          </reference>
          <reference field="6" count="1" selected="0">
            <x v="9"/>
          </reference>
          <reference field="9" count="1" selected="0">
            <x v="10"/>
          </reference>
          <reference field="10" count="1">
            <x v="0"/>
          </reference>
          <reference field="11" count="1" selected="0">
            <x v="36"/>
          </reference>
          <reference field="12" count="1" selected="0">
            <x v="8"/>
          </reference>
          <reference field="13" count="1" selected="0">
            <x v="3"/>
          </reference>
          <reference field="14" count="1" selected="0">
            <x v="35"/>
          </reference>
          <reference field="15" count="1" selected="0">
            <x v="14"/>
          </reference>
        </references>
      </pivotArea>
    </format>
    <format dxfId="8228">
      <pivotArea dataOnly="0" labelOnly="1" outline="0" fieldPosition="0">
        <references count="12">
          <reference field="1" count="0" selected="0"/>
          <reference field="3" count="1" selected="0">
            <x v="6"/>
          </reference>
          <reference field="4" count="1" selected="0">
            <x v="0"/>
          </reference>
          <reference field="5" count="1" selected="0">
            <x v="325"/>
          </reference>
          <reference field="6" count="1" selected="0">
            <x v="9"/>
          </reference>
          <reference field="9" count="1" selected="0">
            <x v="10"/>
          </reference>
          <reference field="10" count="1">
            <x v="0"/>
          </reference>
          <reference field="11" count="1" selected="0">
            <x v="14"/>
          </reference>
          <reference field="12" count="1" selected="0">
            <x v="13"/>
          </reference>
          <reference field="13" count="1" selected="0">
            <x v="3"/>
          </reference>
          <reference field="14" count="1" selected="0">
            <x v="17"/>
          </reference>
          <reference field="15" count="1" selected="0">
            <x v="14"/>
          </reference>
        </references>
      </pivotArea>
    </format>
    <format dxfId="8227">
      <pivotArea dataOnly="0" labelOnly="1" outline="0" fieldPosition="0">
        <references count="12">
          <reference field="1" count="0" selected="0"/>
          <reference field="3" count="1" selected="0">
            <x v="6"/>
          </reference>
          <reference field="4" count="1" selected="0">
            <x v="0"/>
          </reference>
          <reference field="5" count="1" selected="0">
            <x v="352"/>
          </reference>
          <reference field="6" count="1" selected="0">
            <x v="9"/>
          </reference>
          <reference field="9" count="1" selected="0">
            <x v="10"/>
          </reference>
          <reference field="10" count="1">
            <x v="0"/>
          </reference>
          <reference field="11" count="1" selected="0">
            <x v="38"/>
          </reference>
          <reference field="12" count="1" selected="0">
            <x v="36"/>
          </reference>
          <reference field="13" count="1" selected="0">
            <x v="3"/>
          </reference>
          <reference field="14" count="1" selected="0">
            <x v="1"/>
          </reference>
          <reference field="15" count="1" selected="0">
            <x v="39"/>
          </reference>
        </references>
      </pivotArea>
    </format>
    <format dxfId="8226">
      <pivotArea dataOnly="0" labelOnly="1" outline="0" fieldPosition="0">
        <references count="12">
          <reference field="1" count="0" selected="0"/>
          <reference field="3" count="1" selected="0">
            <x v="8"/>
          </reference>
          <reference field="4" count="1" selected="0">
            <x v="3"/>
          </reference>
          <reference field="5" count="1" selected="0">
            <x v="133"/>
          </reference>
          <reference field="6" count="1" selected="0">
            <x v="3"/>
          </reference>
          <reference field="9" count="1" selected="0">
            <x v="10"/>
          </reference>
          <reference field="10" count="1">
            <x v="0"/>
          </reference>
          <reference field="11" count="1" selected="0">
            <x v="5"/>
          </reference>
          <reference field="12" count="1" selected="0">
            <x v="4"/>
          </reference>
          <reference field="13" count="1" selected="0">
            <x v="3"/>
          </reference>
          <reference field="14" count="1" selected="0">
            <x v="2"/>
          </reference>
          <reference field="15" count="1" selected="0">
            <x v="29"/>
          </reference>
        </references>
      </pivotArea>
    </format>
    <format dxfId="8225">
      <pivotArea dataOnly="0" labelOnly="1" outline="0" fieldPosition="0">
        <references count="12">
          <reference field="1" count="0" selected="0"/>
          <reference field="3" count="1" selected="0">
            <x v="8"/>
          </reference>
          <reference field="4" count="1" selected="0">
            <x v="3"/>
          </reference>
          <reference field="5" count="1" selected="0">
            <x v="139"/>
          </reference>
          <reference field="6" count="1" selected="0">
            <x v="3"/>
          </reference>
          <reference field="9" count="1" selected="0">
            <x v="10"/>
          </reference>
          <reference field="10" count="1">
            <x v="0"/>
          </reference>
          <reference field="11" count="1" selected="0">
            <x v="14"/>
          </reference>
          <reference field="12" count="1" selected="0">
            <x v="12"/>
          </reference>
          <reference field="13" count="1" selected="0">
            <x v="3"/>
          </reference>
          <reference field="14" count="1" selected="0">
            <x v="17"/>
          </reference>
          <reference field="15" count="1" selected="0">
            <x v="19"/>
          </reference>
        </references>
      </pivotArea>
    </format>
    <format dxfId="8224">
      <pivotArea dataOnly="0" labelOnly="1" outline="0" fieldPosition="0">
        <references count="12">
          <reference field="1" count="0" selected="0"/>
          <reference field="3" count="1" selected="0">
            <x v="8"/>
          </reference>
          <reference field="4" count="1" selected="0">
            <x v="3"/>
          </reference>
          <reference field="5" count="1" selected="0">
            <x v="162"/>
          </reference>
          <reference field="6" count="1" selected="0">
            <x v="3"/>
          </reference>
          <reference field="9" count="1" selected="0">
            <x v="10"/>
          </reference>
          <reference field="10" count="1">
            <x v="0"/>
          </reference>
          <reference field="11" count="1" selected="0">
            <x v="15"/>
          </reference>
          <reference field="12" count="1" selected="0">
            <x v="8"/>
          </reference>
          <reference field="13" count="1" selected="0">
            <x v="3"/>
          </reference>
          <reference field="14" count="1" selected="0">
            <x v="22"/>
          </reference>
          <reference field="15" count="1" selected="0">
            <x v="14"/>
          </reference>
        </references>
      </pivotArea>
    </format>
    <format dxfId="8223">
      <pivotArea dataOnly="0" labelOnly="1" outline="0" fieldPosition="0">
        <references count="12">
          <reference field="1" count="0" selected="0"/>
          <reference field="3" count="1" selected="0">
            <x v="9"/>
          </reference>
          <reference field="4" count="1" selected="0">
            <x v="4"/>
          </reference>
          <reference field="5" count="1" selected="0">
            <x v="141"/>
          </reference>
          <reference field="6" count="1" selected="0">
            <x v="5"/>
          </reference>
          <reference field="9" count="1" selected="0">
            <x v="10"/>
          </reference>
          <reference field="10" count="1">
            <x v="0"/>
          </reference>
          <reference field="11" count="1" selected="0">
            <x v="14"/>
          </reference>
          <reference field="12" count="1" selected="0">
            <x v="3"/>
          </reference>
          <reference field="13" count="1" selected="0">
            <x v="3"/>
          </reference>
          <reference field="14" count="1" selected="0">
            <x v="17"/>
          </reference>
          <reference field="15" count="1" selected="0">
            <x v="0"/>
          </reference>
        </references>
      </pivotArea>
    </format>
    <format dxfId="8222">
      <pivotArea dataOnly="0" labelOnly="1" outline="0" fieldPosition="0">
        <references count="12">
          <reference field="1" count="0" selected="0"/>
          <reference field="3" count="1" selected="0">
            <x v="0"/>
          </reference>
          <reference field="4" count="1" selected="0">
            <x v="1"/>
          </reference>
          <reference field="5" count="1" selected="0">
            <x v="348"/>
          </reference>
          <reference field="6" count="1" selected="0">
            <x v="7"/>
          </reference>
          <reference field="9" count="1" selected="0">
            <x v="10"/>
          </reference>
          <reference field="10" count="1">
            <x v="0"/>
          </reference>
          <reference field="11" count="1" selected="0">
            <x v="14"/>
          </reference>
          <reference field="12" count="1" selected="0">
            <x v="8"/>
          </reference>
          <reference field="13" count="1" selected="0">
            <x v="3"/>
          </reference>
          <reference field="14" count="1" selected="0">
            <x v="17"/>
          </reference>
          <reference field="15" count="1" selected="0">
            <x v="14"/>
          </reference>
        </references>
      </pivotArea>
    </format>
    <format dxfId="8221">
      <pivotArea dataOnly="0" labelOnly="1" outline="0" fieldPosition="0">
        <references count="12">
          <reference field="1" count="0" selected="0"/>
          <reference field="3" count="1" selected="0">
            <x v="3"/>
          </reference>
          <reference field="4" count="1" selected="0">
            <x v="1"/>
          </reference>
          <reference field="5" count="1" selected="0">
            <x v="192"/>
          </reference>
          <reference field="6" count="1" selected="0">
            <x v="2"/>
          </reference>
          <reference field="9" count="1" selected="0">
            <x v="10"/>
          </reference>
          <reference field="10" count="1">
            <x v="0"/>
          </reference>
          <reference field="11" count="1" selected="0">
            <x v="60"/>
          </reference>
          <reference field="12" count="1" selected="0">
            <x v="8"/>
          </reference>
          <reference field="13" count="1" selected="0">
            <x v="3"/>
          </reference>
          <reference field="14" count="1" selected="0">
            <x v="17"/>
          </reference>
          <reference field="15" count="1" selected="0">
            <x v="8"/>
          </reference>
        </references>
      </pivotArea>
    </format>
    <format dxfId="8220">
      <pivotArea dataOnly="0" labelOnly="1" outline="0" fieldPosition="0">
        <references count="12">
          <reference field="1" count="0" selected="0"/>
          <reference field="3" count="1" selected="0">
            <x v="3"/>
          </reference>
          <reference field="4" count="1" selected="0">
            <x v="1"/>
          </reference>
          <reference field="5" count="1" selected="0">
            <x v="193"/>
          </reference>
          <reference field="6" count="1" selected="0">
            <x v="2"/>
          </reference>
          <reference field="9" count="1" selected="0">
            <x v="10"/>
          </reference>
          <reference field="10" count="1">
            <x v="0"/>
          </reference>
          <reference field="11" count="1" selected="0">
            <x v="8"/>
          </reference>
          <reference field="12" count="1" selected="0">
            <x v="21"/>
          </reference>
          <reference field="13" count="1" selected="0">
            <x v="3"/>
          </reference>
          <reference field="14" count="1" selected="0">
            <x v="17"/>
          </reference>
          <reference field="15" count="1" selected="0">
            <x v="52"/>
          </reference>
        </references>
      </pivotArea>
    </format>
    <format dxfId="8219">
      <pivotArea dataOnly="0" labelOnly="1" outline="0" fieldPosition="0">
        <references count="12">
          <reference field="1" count="0" selected="0"/>
          <reference field="3" count="1" selected="0">
            <x v="3"/>
          </reference>
          <reference field="4" count="1" selected="0">
            <x v="1"/>
          </reference>
          <reference field="5" count="1" selected="0">
            <x v="201"/>
          </reference>
          <reference field="6" count="1" selected="0">
            <x v="2"/>
          </reference>
          <reference field="9" count="1" selected="0">
            <x v="10"/>
          </reference>
          <reference field="10" count="1">
            <x v="0"/>
          </reference>
          <reference field="11" count="1" selected="0">
            <x v="1"/>
          </reference>
          <reference field="12" count="1" selected="0">
            <x v="8"/>
          </reference>
          <reference field="13" count="1" selected="0">
            <x v="3"/>
          </reference>
          <reference field="14" count="1" selected="0">
            <x v="0"/>
          </reference>
          <reference field="15" count="1" selected="0">
            <x v="5"/>
          </reference>
        </references>
      </pivotArea>
    </format>
    <format dxfId="8218">
      <pivotArea dataOnly="0" labelOnly="1" outline="0" fieldPosition="0">
        <references count="12">
          <reference field="1" count="0" selected="0"/>
          <reference field="3" count="1" selected="0">
            <x v="4"/>
          </reference>
          <reference field="4" count="1" selected="0">
            <x v="1"/>
          </reference>
          <reference field="5" count="1" selected="0">
            <x v="96"/>
          </reference>
          <reference field="6" count="1" selected="0">
            <x v="2"/>
          </reference>
          <reference field="9" count="1" selected="0">
            <x v="10"/>
          </reference>
          <reference field="10" count="1">
            <x v="0"/>
          </reference>
          <reference field="11" count="1" selected="0">
            <x v="22"/>
          </reference>
          <reference field="12" count="1" selected="0">
            <x v="8"/>
          </reference>
          <reference field="13" count="1" selected="0">
            <x v="3"/>
          </reference>
          <reference field="14" count="1" selected="0">
            <x v="41"/>
          </reference>
          <reference field="15" count="1" selected="0">
            <x v="43"/>
          </reference>
        </references>
      </pivotArea>
    </format>
    <format dxfId="8217">
      <pivotArea dataOnly="0" labelOnly="1" outline="0" fieldPosition="0">
        <references count="12">
          <reference field="1" count="0" selected="0"/>
          <reference field="3" count="1" selected="0">
            <x v="4"/>
          </reference>
          <reference field="4" count="1" selected="0">
            <x v="1"/>
          </reference>
          <reference field="5" count="1" selected="0">
            <x v="103"/>
          </reference>
          <reference field="6" count="1" selected="0">
            <x v="2"/>
          </reference>
          <reference field="9" count="1" selected="0">
            <x v="4"/>
          </reference>
          <reference field="10" count="1">
            <x v="0"/>
          </reference>
          <reference field="11" count="1" selected="0">
            <x v="2"/>
          </reference>
          <reference field="12" count="1" selected="0">
            <x v="8"/>
          </reference>
          <reference field="13" count="1" selected="0">
            <x v="3"/>
          </reference>
          <reference field="14" count="1" selected="0">
            <x v="51"/>
          </reference>
          <reference field="15" count="1" selected="0">
            <x v="7"/>
          </reference>
        </references>
      </pivotArea>
    </format>
    <format dxfId="8216">
      <pivotArea dataOnly="0" labelOnly="1" outline="0" fieldPosition="0">
        <references count="12">
          <reference field="1" count="0" selected="0"/>
          <reference field="3" count="1" selected="0">
            <x v="4"/>
          </reference>
          <reference field="4" count="1" selected="0">
            <x v="1"/>
          </reference>
          <reference field="5" count="1" selected="0">
            <x v="169"/>
          </reference>
          <reference field="6" count="1" selected="0">
            <x v="2"/>
          </reference>
          <reference field="9" count="1" selected="0">
            <x v="10"/>
          </reference>
          <reference field="10" count="1">
            <x v="0"/>
          </reference>
          <reference field="11" count="1" selected="0">
            <x v="14"/>
          </reference>
          <reference field="12" count="1" selected="0">
            <x v="18"/>
          </reference>
          <reference field="13" count="1" selected="0">
            <x v="3"/>
          </reference>
          <reference field="14" count="1" selected="0">
            <x v="17"/>
          </reference>
          <reference field="15" count="1" selected="0">
            <x v="49"/>
          </reference>
        </references>
      </pivotArea>
    </format>
    <format dxfId="8215">
      <pivotArea dataOnly="0" labelOnly="1" outline="0" fieldPosition="0">
        <references count="12">
          <reference field="1" count="0" selected="0"/>
          <reference field="3" count="1" selected="0">
            <x v="4"/>
          </reference>
          <reference field="4" count="1" selected="0">
            <x v="1"/>
          </reference>
          <reference field="5" count="1" selected="0">
            <x v="210"/>
          </reference>
          <reference field="6" count="1" selected="0">
            <x v="2"/>
          </reference>
          <reference field="9" count="1" selected="0">
            <x v="10"/>
          </reference>
          <reference field="10" count="1">
            <x v="0"/>
          </reference>
          <reference field="11" count="1" selected="0">
            <x v="1"/>
          </reference>
          <reference field="12" count="1" selected="0">
            <x v="8"/>
          </reference>
          <reference field="13" count="1" selected="0">
            <x v="3"/>
          </reference>
          <reference field="14" count="1" selected="0">
            <x v="5"/>
          </reference>
          <reference field="15" count="1" selected="0">
            <x v="57"/>
          </reference>
        </references>
      </pivotArea>
    </format>
    <format dxfId="8214">
      <pivotArea dataOnly="0" labelOnly="1" outline="0" fieldPosition="0">
        <references count="12">
          <reference field="1" count="0" selected="0"/>
          <reference field="3" count="1" selected="0">
            <x v="4"/>
          </reference>
          <reference field="4" count="1" selected="0">
            <x v="1"/>
          </reference>
          <reference field="5" count="1" selected="0">
            <x v="327"/>
          </reference>
          <reference field="6" count="1" selected="0">
            <x v="2"/>
          </reference>
          <reference field="9" count="1" selected="0">
            <x v="10"/>
          </reference>
          <reference field="10" count="1">
            <x v="0"/>
          </reference>
          <reference field="11" count="1" selected="0">
            <x v="31"/>
          </reference>
          <reference field="12" count="1" selected="0">
            <x v="8"/>
          </reference>
          <reference field="13" count="1" selected="0">
            <x v="3"/>
          </reference>
          <reference field="14" count="1" selected="0">
            <x v="28"/>
          </reference>
          <reference field="15" count="1" selected="0">
            <x v="26"/>
          </reference>
        </references>
      </pivotArea>
    </format>
    <format dxfId="8213">
      <pivotArea dataOnly="0" labelOnly="1" outline="0" fieldPosition="0">
        <references count="12">
          <reference field="1" count="0" selected="0"/>
          <reference field="3" count="1" selected="0">
            <x v="5"/>
          </reference>
          <reference field="4" count="1" selected="0">
            <x v="3"/>
          </reference>
          <reference field="5" count="1" selected="0">
            <x v="132"/>
          </reference>
          <reference field="6" count="1" selected="0">
            <x v="3"/>
          </reference>
          <reference field="9" count="1" selected="0">
            <x v="10"/>
          </reference>
          <reference field="10" count="1">
            <x v="0"/>
          </reference>
          <reference field="11" count="1" selected="0">
            <x v="14"/>
          </reference>
          <reference field="12" count="1" selected="0">
            <x v="11"/>
          </reference>
          <reference field="13" count="1" selected="0">
            <x v="3"/>
          </reference>
          <reference field="14" count="1" selected="0">
            <x v="30"/>
          </reference>
          <reference field="15" count="1" selected="0">
            <x v="37"/>
          </reference>
        </references>
      </pivotArea>
    </format>
    <format dxfId="8212">
      <pivotArea dataOnly="0" labelOnly="1" outline="0" fieldPosition="0">
        <references count="12">
          <reference field="1" count="0" selected="0"/>
          <reference field="3" count="1" selected="0">
            <x v="6"/>
          </reference>
          <reference field="4" count="1" selected="0">
            <x v="0"/>
          </reference>
          <reference field="5" count="1" selected="0">
            <x v="95"/>
          </reference>
          <reference field="6" count="1" selected="0">
            <x v="9"/>
          </reference>
          <reference field="9" count="1" selected="0">
            <x v="10"/>
          </reference>
          <reference field="10" count="1">
            <x v="0"/>
          </reference>
          <reference field="11" count="1" selected="0">
            <x v="48"/>
          </reference>
          <reference field="12" count="1" selected="0">
            <x v="8"/>
          </reference>
          <reference field="13" count="1" selected="0">
            <x v="3"/>
          </reference>
          <reference field="14" count="1" selected="0">
            <x v="17"/>
          </reference>
          <reference field="15" count="1" selected="0">
            <x v="17"/>
          </reference>
        </references>
      </pivotArea>
    </format>
    <format dxfId="8211">
      <pivotArea dataOnly="0" labelOnly="1" outline="0" fieldPosition="0">
        <references count="12">
          <reference field="1" count="0" selected="0"/>
          <reference field="3" count="1" selected="0">
            <x v="6"/>
          </reference>
          <reference field="4" count="1" selected="0">
            <x v="0"/>
          </reference>
          <reference field="5" count="1" selected="0">
            <x v="129"/>
          </reference>
          <reference field="6" count="1" selected="0">
            <x v="9"/>
          </reference>
          <reference field="9" count="1" selected="0">
            <x v="10"/>
          </reference>
          <reference field="10" count="1">
            <x v="0"/>
          </reference>
          <reference field="11" count="1" selected="0">
            <x v="14"/>
          </reference>
          <reference field="12" count="1" selected="0">
            <x v="24"/>
          </reference>
          <reference field="13" count="1" selected="0">
            <x v="3"/>
          </reference>
          <reference field="14" count="1" selected="0">
            <x v="54"/>
          </reference>
          <reference field="15" count="1" selected="0">
            <x v="11"/>
          </reference>
        </references>
      </pivotArea>
    </format>
    <format dxfId="8210">
      <pivotArea dataOnly="0" labelOnly="1" outline="0" fieldPosition="0">
        <references count="12">
          <reference field="1" count="0" selected="0"/>
          <reference field="3" count="1" selected="0">
            <x v="6"/>
          </reference>
          <reference field="4" count="1" selected="0">
            <x v="0"/>
          </reference>
          <reference field="5" count="1" selected="0">
            <x v="157"/>
          </reference>
          <reference field="6" count="1" selected="0">
            <x v="9"/>
          </reference>
          <reference field="9" count="1" selected="0">
            <x v="10"/>
          </reference>
          <reference field="10" count="1">
            <x v="0"/>
          </reference>
          <reference field="11" count="1" selected="0">
            <x v="56"/>
          </reference>
          <reference field="12" count="1" selected="0">
            <x v="8"/>
          </reference>
          <reference field="13" count="1" selected="0">
            <x v="3"/>
          </reference>
          <reference field="14" count="1" selected="0">
            <x v="57"/>
          </reference>
          <reference field="15" count="1" selected="0">
            <x v="58"/>
          </reference>
        </references>
      </pivotArea>
    </format>
    <format dxfId="8209">
      <pivotArea dataOnly="0" labelOnly="1" outline="0" fieldPosition="0">
        <references count="12">
          <reference field="1" count="0" selected="0"/>
          <reference field="3" count="1" selected="0">
            <x v="6"/>
          </reference>
          <reference field="4" count="1" selected="0">
            <x v="0"/>
          </reference>
          <reference field="5" count="1" selected="0">
            <x v="158"/>
          </reference>
          <reference field="6" count="1" selected="0">
            <x v="9"/>
          </reference>
          <reference field="9" count="1" selected="0">
            <x v="10"/>
          </reference>
          <reference field="10" count="1">
            <x v="0"/>
          </reference>
          <reference field="11" count="1" selected="0">
            <x v="46"/>
          </reference>
          <reference field="12" count="1" selected="0">
            <x v="8"/>
          </reference>
          <reference field="13" count="1" selected="0">
            <x v="3"/>
          </reference>
          <reference field="14" count="1" selected="0">
            <x v="20"/>
          </reference>
          <reference field="15" count="1" selected="0">
            <x v="12"/>
          </reference>
        </references>
      </pivotArea>
    </format>
    <format dxfId="8208">
      <pivotArea dataOnly="0" labelOnly="1" outline="0" fieldPosition="0">
        <references count="12">
          <reference field="1" count="0" selected="0"/>
          <reference field="3" count="1" selected="0">
            <x v="6"/>
          </reference>
          <reference field="4" count="1" selected="0">
            <x v="0"/>
          </reference>
          <reference field="5" count="1" selected="0">
            <x v="170"/>
          </reference>
          <reference field="6" count="1" selected="0">
            <x v="9"/>
          </reference>
          <reference field="9" count="1" selected="0">
            <x v="10"/>
          </reference>
          <reference field="10" count="1">
            <x v="0"/>
          </reference>
          <reference field="11" count="1" selected="0">
            <x v="14"/>
          </reference>
          <reference field="12" count="1" selected="0">
            <x v="7"/>
          </reference>
          <reference field="13" count="1" selected="0">
            <x v="3"/>
          </reference>
          <reference field="14" count="1" selected="0">
            <x v="17"/>
          </reference>
          <reference field="15" count="1" selected="0">
            <x v="66"/>
          </reference>
        </references>
      </pivotArea>
    </format>
    <format dxfId="8207">
      <pivotArea dataOnly="0" labelOnly="1" outline="0" fieldPosition="0">
        <references count="12">
          <reference field="1" count="0" selected="0"/>
          <reference field="3" count="1" selected="0">
            <x v="6"/>
          </reference>
          <reference field="4" count="1" selected="0">
            <x v="0"/>
          </reference>
          <reference field="5" count="1" selected="0">
            <x v="171"/>
          </reference>
          <reference field="6" count="1" selected="0">
            <x v="9"/>
          </reference>
          <reference field="9" count="1" selected="0">
            <x v="10"/>
          </reference>
          <reference field="10" count="1">
            <x v="0"/>
          </reference>
          <reference field="11" count="1" selected="0">
            <x v="14"/>
          </reference>
          <reference field="12" count="1" selected="0">
            <x v="8"/>
          </reference>
          <reference field="13" count="1" selected="0">
            <x v="3"/>
          </reference>
          <reference field="14" count="1" selected="0">
            <x v="17"/>
          </reference>
          <reference field="15" count="1" selected="0">
            <x v="2"/>
          </reference>
        </references>
      </pivotArea>
    </format>
    <format dxfId="8206">
      <pivotArea dataOnly="0" labelOnly="1" outline="0" fieldPosition="0">
        <references count="12">
          <reference field="1" count="0" selected="0"/>
          <reference field="3" count="1" selected="0">
            <x v="6"/>
          </reference>
          <reference field="4" count="1" selected="0">
            <x v="0"/>
          </reference>
          <reference field="5" count="1" selected="0">
            <x v="180"/>
          </reference>
          <reference field="6" count="1" selected="0">
            <x v="9"/>
          </reference>
          <reference field="9" count="1" selected="0">
            <x v="10"/>
          </reference>
          <reference field="10" count="1">
            <x v="0"/>
          </reference>
          <reference field="11" count="1" selected="0">
            <x v="14"/>
          </reference>
          <reference field="12" count="1" selected="0">
            <x v="35"/>
          </reference>
          <reference field="13" count="1" selected="0">
            <x v="3"/>
          </reference>
          <reference field="14" count="1" selected="0">
            <x v="17"/>
          </reference>
          <reference field="15" count="1" selected="0">
            <x v="67"/>
          </reference>
        </references>
      </pivotArea>
    </format>
    <format dxfId="8205">
      <pivotArea dataOnly="0" labelOnly="1" outline="0" fieldPosition="0">
        <references count="12">
          <reference field="1" count="0" selected="0"/>
          <reference field="3" count="1" selected="0">
            <x v="6"/>
          </reference>
          <reference field="4" count="1" selected="0">
            <x v="0"/>
          </reference>
          <reference field="5" count="1" selected="0">
            <x v="185"/>
          </reference>
          <reference field="6" count="1" selected="0">
            <x v="9"/>
          </reference>
          <reference field="9" count="1" selected="0">
            <x v="10"/>
          </reference>
          <reference field="10" count="1">
            <x v="0"/>
          </reference>
          <reference field="11" count="1" selected="0">
            <x v="14"/>
          </reference>
          <reference field="12" count="1" selected="0">
            <x v="32"/>
          </reference>
          <reference field="13" count="1" selected="0">
            <x v="3"/>
          </reference>
          <reference field="14" count="1" selected="0">
            <x v="55"/>
          </reference>
          <reference field="15" count="1" selected="0">
            <x v="60"/>
          </reference>
        </references>
      </pivotArea>
    </format>
    <format dxfId="8204">
      <pivotArea dataOnly="0" labelOnly="1" outline="0" fieldPosition="0">
        <references count="12">
          <reference field="1" count="0" selected="0"/>
          <reference field="3" count="1" selected="0">
            <x v="6"/>
          </reference>
          <reference field="4" count="1" selected="0">
            <x v="0"/>
          </reference>
          <reference field="5" count="1" selected="0">
            <x v="186"/>
          </reference>
          <reference field="6" count="1" selected="0">
            <x v="9"/>
          </reference>
          <reference field="9" count="1" selected="0">
            <x v="10"/>
          </reference>
          <reference field="10" count="1">
            <x v="0"/>
          </reference>
          <reference field="11" count="1" selected="0">
            <x v="39"/>
          </reference>
          <reference field="12" count="1" selected="0">
            <x v="8"/>
          </reference>
          <reference field="13" count="1" selected="0">
            <x v="3"/>
          </reference>
          <reference field="14" count="1" selected="0">
            <x v="50"/>
          </reference>
          <reference field="15" count="1" selected="0">
            <x v="27"/>
          </reference>
        </references>
      </pivotArea>
    </format>
    <format dxfId="8203">
      <pivotArea dataOnly="0" labelOnly="1" outline="0" fieldPosition="0">
        <references count="12">
          <reference field="1" count="0" selected="0"/>
          <reference field="3" count="1" selected="0">
            <x v="6"/>
          </reference>
          <reference field="4" count="1" selected="0">
            <x v="0"/>
          </reference>
          <reference field="5" count="1" selected="0">
            <x v="351"/>
          </reference>
          <reference field="6" count="1" selected="0">
            <x v="9"/>
          </reference>
          <reference field="9" count="1" selected="0">
            <x v="10"/>
          </reference>
          <reference field="10" count="1">
            <x v="0"/>
          </reference>
          <reference field="11" count="1" selected="0">
            <x v="55"/>
          </reference>
          <reference field="12" count="1" selected="0">
            <x v="19"/>
          </reference>
          <reference field="13" count="1" selected="0">
            <x v="3"/>
          </reference>
          <reference field="14" count="1" selected="0">
            <x v="19"/>
          </reference>
          <reference field="15" count="1" selected="0">
            <x v="46"/>
          </reference>
        </references>
      </pivotArea>
    </format>
    <format dxfId="8202">
      <pivotArea dataOnly="0" labelOnly="1" outline="0" fieldPosition="0">
        <references count="12">
          <reference field="1" count="0" selected="0"/>
          <reference field="3" count="1" selected="0">
            <x v="8"/>
          </reference>
          <reference field="4" count="1" selected="0">
            <x v="3"/>
          </reference>
          <reference field="5" count="1" selected="0">
            <x v="114"/>
          </reference>
          <reference field="6" count="1" selected="0">
            <x v="3"/>
          </reference>
          <reference field="9" count="1" selected="0">
            <x v="10"/>
          </reference>
          <reference field="10" count="1">
            <x v="0"/>
          </reference>
          <reference field="11" count="1" selected="0">
            <x v="26"/>
          </reference>
          <reference field="12" count="1" selected="0">
            <x v="26"/>
          </reference>
          <reference field="13" count="1" selected="0">
            <x v="3"/>
          </reference>
          <reference field="14" count="1" selected="0">
            <x v="40"/>
          </reference>
          <reference field="15" count="1" selected="0">
            <x v="63"/>
          </reference>
        </references>
      </pivotArea>
    </format>
    <format dxfId="8201">
      <pivotArea dataOnly="0" labelOnly="1" outline="0" fieldPosition="0">
        <references count="12">
          <reference field="1" count="0" selected="0"/>
          <reference field="3" count="1" selected="0">
            <x v="8"/>
          </reference>
          <reference field="4" count="1" selected="0">
            <x v="3"/>
          </reference>
          <reference field="5" count="1" selected="0">
            <x v="140"/>
          </reference>
          <reference field="6" count="1" selected="0">
            <x v="3"/>
          </reference>
          <reference field="9" count="1" selected="0">
            <x v="10"/>
          </reference>
          <reference field="10" count="1">
            <x v="0"/>
          </reference>
          <reference field="11" count="1" selected="0">
            <x v="14"/>
          </reference>
          <reference field="12" count="1" selected="0">
            <x v="31"/>
          </reference>
          <reference field="13" count="1" selected="0">
            <x v="3"/>
          </reference>
          <reference field="14" count="1" selected="0">
            <x v="17"/>
          </reference>
          <reference field="15" count="1" selected="0">
            <x v="59"/>
          </reference>
        </references>
      </pivotArea>
    </format>
    <format dxfId="8200">
      <pivotArea dataOnly="0" labelOnly="1" outline="0" fieldPosition="0">
        <references count="12">
          <reference field="1" count="0" selected="0"/>
          <reference field="3" count="1" selected="0">
            <x v="9"/>
          </reference>
          <reference field="4" count="1" selected="0">
            <x v="4"/>
          </reference>
          <reference field="5" count="1" selected="0">
            <x v="142"/>
          </reference>
          <reference field="6" count="1" selected="0">
            <x v="5"/>
          </reference>
          <reference field="9" count="1" selected="0">
            <x v="10"/>
          </reference>
          <reference field="10" count="1">
            <x v="0"/>
          </reference>
          <reference field="11" count="1" selected="0">
            <x v="16"/>
          </reference>
          <reference field="12" count="1" selected="0">
            <x v="8"/>
          </reference>
          <reference field="13" count="1" selected="0">
            <x v="3"/>
          </reference>
          <reference field="14" count="1" selected="0">
            <x v="17"/>
          </reference>
          <reference field="15" count="1" selected="0">
            <x v="54"/>
          </reference>
        </references>
      </pivotArea>
    </format>
    <format dxfId="8199">
      <pivotArea dataOnly="0" labelOnly="1" outline="0" fieldPosition="0">
        <references count="12">
          <reference field="1" count="0" selected="0"/>
          <reference field="3" count="1" selected="0">
            <x v="9"/>
          </reference>
          <reference field="4" count="1" selected="0">
            <x v="6"/>
          </reference>
          <reference field="5" count="1" selected="0">
            <x v="161"/>
          </reference>
          <reference field="6" count="1" selected="0">
            <x v="5"/>
          </reference>
          <reference field="9" count="1" selected="0">
            <x v="7"/>
          </reference>
          <reference field="10" count="1">
            <x v="0"/>
          </reference>
          <reference field="11" count="1" selected="0">
            <x v="24"/>
          </reference>
          <reference field="12" count="1" selected="0">
            <x v="8"/>
          </reference>
          <reference field="13" count="1" selected="0">
            <x v="3"/>
          </reference>
          <reference field="14" count="1" selected="0">
            <x v="56"/>
          </reference>
          <reference field="15" count="1" selected="0">
            <x v="14"/>
          </reference>
        </references>
      </pivotArea>
    </format>
    <format dxfId="8198">
      <pivotArea field="10" type="button" dataOnly="0" labelOnly="1" outline="0" axis="axisRow" fieldPosition="11"/>
    </format>
    <format dxfId="8197">
      <pivotArea dataOnly="0" labelOnly="1" outline="0" fieldPosition="0">
        <references count="12">
          <reference field="1" count="0" selected="0"/>
          <reference field="3" count="1" selected="0">
            <x v="0"/>
          </reference>
          <reference field="4" count="1" selected="0">
            <x v="4"/>
          </reference>
          <reference field="5" count="1" selected="0">
            <x v="167"/>
          </reference>
          <reference field="6" count="1" selected="0">
            <x v="7"/>
          </reference>
          <reference field="9" count="1" selected="0">
            <x v="10"/>
          </reference>
          <reference field="10" count="1">
            <x v="0"/>
          </reference>
          <reference field="11" count="1" selected="0">
            <x v="49"/>
          </reference>
          <reference field="12" count="1" selected="0">
            <x v="29"/>
          </reference>
          <reference field="13" count="1" selected="0">
            <x v="3"/>
          </reference>
          <reference field="14" count="1" selected="0">
            <x v="23"/>
          </reference>
          <reference field="15" count="1" selected="0">
            <x v="65"/>
          </reference>
        </references>
      </pivotArea>
    </format>
    <format dxfId="8196">
      <pivotArea dataOnly="0" labelOnly="1" outline="0" fieldPosition="0">
        <references count="12">
          <reference field="1" count="0" selected="0"/>
          <reference field="3" count="1" selected="0">
            <x v="3"/>
          </reference>
          <reference field="4" count="1" selected="0">
            <x v="1"/>
          </reference>
          <reference field="5" count="1" selected="0">
            <x v="199"/>
          </reference>
          <reference field="6" count="1" selected="0">
            <x v="2"/>
          </reference>
          <reference field="9" count="1" selected="0">
            <x v="10"/>
          </reference>
          <reference field="10" count="1">
            <x v="0"/>
          </reference>
          <reference field="11" count="1" selected="0">
            <x v="5"/>
          </reference>
          <reference field="12" count="1" selected="0">
            <x v="25"/>
          </reference>
          <reference field="13" count="1" selected="0">
            <x v="3"/>
          </reference>
          <reference field="14" count="1" selected="0">
            <x v="16"/>
          </reference>
          <reference field="15" count="1" selected="0">
            <x v="25"/>
          </reference>
        </references>
      </pivotArea>
    </format>
    <format dxfId="8195">
      <pivotArea dataOnly="0" labelOnly="1" outline="0" fieldPosition="0">
        <references count="12">
          <reference field="1" count="0" selected="0"/>
          <reference field="3" count="1" selected="0">
            <x v="3"/>
          </reference>
          <reference field="4" count="1" selected="0">
            <x v="1"/>
          </reference>
          <reference field="5" count="1" selected="0">
            <x v="208"/>
          </reference>
          <reference field="6" count="1" selected="0">
            <x v="2"/>
          </reference>
          <reference field="9" count="1" selected="0">
            <x v="10"/>
          </reference>
          <reference field="10" count="1">
            <x v="0"/>
          </reference>
          <reference field="11" count="1" selected="0">
            <x v="1"/>
          </reference>
          <reference field="12" count="1" selected="0">
            <x v="8"/>
          </reference>
          <reference field="13" count="1" selected="0">
            <x v="3"/>
          </reference>
          <reference field="14" count="1" selected="0">
            <x v="6"/>
          </reference>
          <reference field="15" count="1" selected="0">
            <x v="16"/>
          </reference>
        </references>
      </pivotArea>
    </format>
    <format dxfId="8194">
      <pivotArea dataOnly="0" labelOnly="1" outline="0" fieldPosition="0">
        <references count="12">
          <reference field="1" count="0" selected="0"/>
          <reference field="3" count="1" selected="0">
            <x v="6"/>
          </reference>
          <reference field="4" count="1" selected="0">
            <x v="0"/>
          </reference>
          <reference field="5" count="1" selected="0">
            <x v="145"/>
          </reference>
          <reference field="6" count="1" selected="0">
            <x v="9"/>
          </reference>
          <reference field="9" count="1" selected="0">
            <x v="10"/>
          </reference>
          <reference field="10" count="1">
            <x v="0"/>
          </reference>
          <reference field="11" count="1" selected="0">
            <x v="27"/>
          </reference>
          <reference field="12" count="1" selected="0">
            <x v="8"/>
          </reference>
          <reference field="13" count="1" selected="0">
            <x v="3"/>
          </reference>
          <reference field="14" count="1" selected="0">
            <x v="11"/>
          </reference>
          <reference field="15" count="1" selected="0">
            <x v="42"/>
          </reference>
        </references>
      </pivotArea>
    </format>
    <format dxfId="8193">
      <pivotArea dataOnly="0" labelOnly="1" outline="0" fieldPosition="0">
        <references count="12">
          <reference field="1" count="0" selected="0"/>
          <reference field="3" count="1" selected="0">
            <x v="6"/>
          </reference>
          <reference field="4" count="1" selected="0">
            <x v="0"/>
          </reference>
          <reference field="5" count="1" selected="0">
            <x v="146"/>
          </reference>
          <reference field="6" count="1" selected="0">
            <x v="9"/>
          </reference>
          <reference field="9" count="1" selected="0">
            <x v="10"/>
          </reference>
          <reference field="10" count="1">
            <x v="0"/>
          </reference>
          <reference field="11" count="1" selected="0">
            <x v="6"/>
          </reference>
          <reference field="12" count="1" selected="0">
            <x v="2"/>
          </reference>
          <reference field="13" count="1" selected="0">
            <x v="3"/>
          </reference>
          <reference field="14" count="1" selected="0">
            <x v="10"/>
          </reference>
          <reference field="15" count="1" selected="0">
            <x v="41"/>
          </reference>
        </references>
      </pivotArea>
    </format>
    <format dxfId="8192">
      <pivotArea dataOnly="0" labelOnly="1" outline="0" fieldPosition="0">
        <references count="12">
          <reference field="1" count="0" selected="0"/>
          <reference field="3" count="1" selected="0">
            <x v="6"/>
          </reference>
          <reference field="4" count="1" selected="0">
            <x v="0"/>
          </reference>
          <reference field="5" count="1" selected="0">
            <x v="160"/>
          </reference>
          <reference field="6" count="1" selected="0">
            <x v="9"/>
          </reference>
          <reference field="9" count="1" selected="0">
            <x v="10"/>
          </reference>
          <reference field="10" count="1">
            <x v="0"/>
          </reference>
          <reference field="11" count="1" selected="0">
            <x v="40"/>
          </reference>
          <reference field="12" count="1" selected="0">
            <x v="8"/>
          </reference>
          <reference field="13" count="1" selected="0">
            <x v="3"/>
          </reference>
          <reference field="14" count="1" selected="0">
            <x v="44"/>
          </reference>
          <reference field="15" count="1" selected="0">
            <x v="62"/>
          </reference>
        </references>
      </pivotArea>
    </format>
    <format dxfId="8191">
      <pivotArea dataOnly="0" labelOnly="1" outline="0" fieldPosition="0">
        <references count="12">
          <reference field="1" count="0" selected="0"/>
          <reference field="3" count="1" selected="0">
            <x v="6"/>
          </reference>
          <reference field="4" count="1" selected="0">
            <x v="0"/>
          </reference>
          <reference field="5" count="1" selected="0">
            <x v="184"/>
          </reference>
          <reference field="6" count="1" selected="0">
            <x v="9"/>
          </reference>
          <reference field="9" count="1" selected="0">
            <x v="10"/>
          </reference>
          <reference field="10" count="1">
            <x v="0"/>
          </reference>
          <reference field="11" count="1" selected="0">
            <x v="10"/>
          </reference>
          <reference field="12" count="1" selected="0">
            <x v="28"/>
          </reference>
          <reference field="13" count="1" selected="0">
            <x v="3"/>
          </reference>
          <reference field="14" count="1" selected="0">
            <x v="53"/>
          </reference>
          <reference field="15" count="1" selected="0">
            <x v="22"/>
          </reference>
        </references>
      </pivotArea>
    </format>
    <format dxfId="8190">
      <pivotArea dataOnly="0" labelOnly="1" outline="0" fieldPosition="0">
        <references count="12">
          <reference field="1" count="0" selected="0"/>
          <reference field="3" count="1" selected="0">
            <x v="6"/>
          </reference>
          <reference field="4" count="1" selected="0">
            <x v="0"/>
          </reference>
          <reference field="5" count="1" selected="0">
            <x v="354"/>
          </reference>
          <reference field="6" count="1" selected="0">
            <x v="9"/>
          </reference>
          <reference field="9" count="1" selected="0">
            <x v="10"/>
          </reference>
          <reference field="10" count="1">
            <x v="0"/>
          </reference>
          <reference field="11" count="1" selected="0">
            <x v="61"/>
          </reference>
          <reference field="12" count="1" selected="0">
            <x v="8"/>
          </reference>
          <reference field="13" count="1" selected="0">
            <x v="3"/>
          </reference>
          <reference field="14" count="1" selected="0">
            <x v="61"/>
          </reference>
          <reference field="15" count="1" selected="0">
            <x v="14"/>
          </reference>
        </references>
      </pivotArea>
    </format>
    <format dxfId="8189">
      <pivotArea dataOnly="0" labelOnly="1" outline="0" fieldPosition="0">
        <references count="12">
          <reference field="1" count="0" selected="0"/>
          <reference field="3" count="1" selected="0">
            <x v="9"/>
          </reference>
          <reference field="4" count="1" selected="0">
            <x v="6"/>
          </reference>
          <reference field="5" count="1" selected="0">
            <x v="163"/>
          </reference>
          <reference field="6" count="1" selected="0">
            <x v="5"/>
          </reference>
          <reference field="9" count="1" selected="0">
            <x v="7"/>
          </reference>
          <reference field="10" count="1">
            <x v="0"/>
          </reference>
          <reference field="11" count="1" selected="0">
            <x v="51"/>
          </reference>
          <reference field="12" count="1" selected="0">
            <x v="8"/>
          </reference>
          <reference field="13" count="1" selected="0">
            <x v="3"/>
          </reference>
          <reference field="14" count="1" selected="0">
            <x v="3"/>
          </reference>
          <reference field="15" count="1" selected="0">
            <x v="14"/>
          </reference>
        </references>
      </pivotArea>
    </format>
    <format dxfId="8188">
      <pivotArea dataOnly="0" labelOnly="1" outline="0" fieldPosition="0">
        <references count="12">
          <reference field="1" count="0" selected="0"/>
          <reference field="3" count="1" selected="0">
            <x v="9"/>
          </reference>
          <reference field="4" count="1" selected="0">
            <x v="6"/>
          </reference>
          <reference field="5" count="1" selected="0">
            <x v="211"/>
          </reference>
          <reference field="6" count="1" selected="0">
            <x v="5"/>
          </reference>
          <reference field="9" count="1" selected="0">
            <x v="0"/>
          </reference>
          <reference field="10" count="1">
            <x v="0"/>
          </reference>
          <reference field="11" count="1" selected="0">
            <x v="9"/>
          </reference>
          <reference field="12" count="1" selected="0">
            <x v="22"/>
          </reference>
          <reference field="13" count="1" selected="0">
            <x v="3"/>
          </reference>
          <reference field="14" count="1" selected="0">
            <x v="17"/>
          </reference>
          <reference field="15" count="1" selected="0">
            <x v="44"/>
          </reference>
        </references>
      </pivotArea>
    </format>
    <format dxfId="8187">
      <pivotArea dataOnly="0" labelOnly="1" outline="0" fieldPosition="0">
        <references count="12">
          <reference field="1" count="0" selected="0"/>
          <reference field="3" count="1" selected="0">
            <x v="0"/>
          </reference>
          <reference field="4" count="1" selected="0">
            <x v="3"/>
          </reference>
          <reference field="5" count="1" selected="0">
            <x v="167"/>
          </reference>
          <reference field="6" count="1" selected="0">
            <x v="7"/>
          </reference>
          <reference field="9" count="1" selected="0">
            <x v="10"/>
          </reference>
          <reference field="10" count="1">
            <x v="1"/>
          </reference>
          <reference field="11" count="1" selected="0">
            <x v="49"/>
          </reference>
          <reference field="12" count="1" selected="0">
            <x v="29"/>
          </reference>
          <reference field="13" count="1" selected="0">
            <x v="3"/>
          </reference>
          <reference field="14" count="1" selected="0">
            <x v="23"/>
          </reference>
          <reference field="15" count="1" selected="0">
            <x v="65"/>
          </reference>
        </references>
      </pivotArea>
    </format>
    <format dxfId="8186">
      <pivotArea dataOnly="0" labelOnly="1" outline="0" fieldPosition="0">
        <references count="12">
          <reference field="1" count="0" selected="0"/>
          <reference field="3" count="1" selected="0">
            <x v="3"/>
          </reference>
          <reference field="4" count="1" selected="0">
            <x v="1"/>
          </reference>
          <reference field="5" count="1" selected="0">
            <x v="197"/>
          </reference>
          <reference field="6" count="1" selected="0">
            <x v="2"/>
          </reference>
          <reference field="9" count="1" selected="0">
            <x v="10"/>
          </reference>
          <reference field="10" count="1">
            <x v="1"/>
          </reference>
          <reference field="11" count="1" selected="0">
            <x v="4"/>
          </reference>
          <reference field="12" count="1" selected="0">
            <x v="8"/>
          </reference>
          <reference field="13" count="1" selected="0">
            <x v="3"/>
          </reference>
          <reference field="14" count="1" selected="0">
            <x v="17"/>
          </reference>
          <reference field="15" count="1" selected="0">
            <x v="24"/>
          </reference>
        </references>
      </pivotArea>
    </format>
    <format dxfId="8185">
      <pivotArea dataOnly="0" labelOnly="1" outline="0" fieldPosition="0">
        <references count="12">
          <reference field="1" count="0" selected="0"/>
          <reference field="3" count="1" selected="0">
            <x v="3"/>
          </reference>
          <reference field="4" count="1" selected="0">
            <x v="1"/>
          </reference>
          <reference field="5" count="1" selected="0">
            <x v="205"/>
          </reference>
          <reference field="6" count="1" selected="0">
            <x v="2"/>
          </reference>
          <reference field="9" count="1" selected="0">
            <x v="10"/>
          </reference>
          <reference field="10" count="1">
            <x v="1"/>
          </reference>
          <reference field="11" count="1" selected="0">
            <x v="14"/>
          </reference>
          <reference field="12" count="1" selected="0">
            <x v="1"/>
          </reference>
          <reference field="13" count="1" selected="0">
            <x v="3"/>
          </reference>
          <reference field="14" count="1" selected="0">
            <x v="26"/>
          </reference>
          <reference field="15" count="1" selected="0">
            <x v="1"/>
          </reference>
        </references>
      </pivotArea>
    </format>
    <format dxfId="8184">
      <pivotArea dataOnly="0" labelOnly="1" outline="0" fieldPosition="0">
        <references count="12">
          <reference field="1" count="0" selected="0"/>
          <reference field="3" count="1" selected="0">
            <x v="4"/>
          </reference>
          <reference field="4" count="1" selected="0">
            <x v="1"/>
          </reference>
          <reference field="5" count="1" selected="0">
            <x v="218"/>
          </reference>
          <reference field="6" count="1" selected="0">
            <x v="2"/>
          </reference>
          <reference field="9" count="1" selected="0">
            <x v="10"/>
          </reference>
          <reference field="10" count="1">
            <x v="1"/>
          </reference>
          <reference field="11" count="1" selected="0">
            <x v="14"/>
          </reference>
          <reference field="12" count="1" selected="0">
            <x v="8"/>
          </reference>
          <reference field="13" count="1" selected="0">
            <x v="3"/>
          </reference>
          <reference field="14" count="1" selected="0">
            <x v="17"/>
          </reference>
          <reference field="15" count="1" selected="0">
            <x v="22"/>
          </reference>
        </references>
      </pivotArea>
    </format>
    <format dxfId="8183">
      <pivotArea dataOnly="0" labelOnly="1" outline="0" fieldPosition="0">
        <references count="12">
          <reference field="1" count="0" selected="0"/>
          <reference field="3" count="1" selected="0">
            <x v="4"/>
          </reference>
          <reference field="4" count="1" selected="0">
            <x v="1"/>
          </reference>
          <reference field="5" count="1" selected="0">
            <x v="326"/>
          </reference>
          <reference field="6" count="1" selected="0">
            <x v="2"/>
          </reference>
          <reference field="9" count="1" selected="0">
            <x v="2"/>
          </reference>
          <reference field="10" count="1">
            <x v="1"/>
          </reference>
          <reference field="11" count="1" selected="0">
            <x v="29"/>
          </reference>
          <reference field="12" count="1" selected="0">
            <x v="6"/>
          </reference>
          <reference field="13" count="1" selected="0">
            <x v="3"/>
          </reference>
          <reference field="14" count="1" selected="0">
            <x v="34"/>
          </reference>
          <reference field="15" count="1" selected="0">
            <x v="14"/>
          </reference>
        </references>
      </pivotArea>
    </format>
    <format dxfId="8182">
      <pivotArea dataOnly="0" labelOnly="1" outline="0" fieldPosition="0">
        <references count="12">
          <reference field="1" count="0" selected="0"/>
          <reference field="3" count="1" selected="0">
            <x v="4"/>
          </reference>
          <reference field="4" count="1" selected="0">
            <x v="1"/>
          </reference>
          <reference field="5" count="1" selected="0">
            <x v="332"/>
          </reference>
          <reference field="6" count="1" selected="0">
            <x v="2"/>
          </reference>
          <reference field="9" count="1" selected="0">
            <x v="10"/>
          </reference>
          <reference field="10" count="1">
            <x v="1"/>
          </reference>
          <reference field="11" count="1" selected="0">
            <x v="21"/>
          </reference>
          <reference field="12" count="1" selected="0">
            <x v="8"/>
          </reference>
          <reference field="13" count="1" selected="0">
            <x v="3"/>
          </reference>
          <reference field="14" count="1" selected="0">
            <x v="17"/>
          </reference>
          <reference field="15" count="1" selected="0">
            <x v="3"/>
          </reference>
        </references>
      </pivotArea>
    </format>
    <format dxfId="8181">
      <pivotArea dataOnly="0" labelOnly="1" outline="0" fieldPosition="0">
        <references count="12">
          <reference field="1" count="0" selected="0"/>
          <reference field="3" count="1" selected="0">
            <x v="4"/>
          </reference>
          <reference field="4" count="1" selected="0">
            <x v="1"/>
          </reference>
          <reference field="5" count="1" selected="0">
            <x v="340"/>
          </reference>
          <reference field="6" count="1" selected="0">
            <x v="2"/>
          </reference>
          <reference field="9" count="1" selected="0">
            <x v="4"/>
          </reference>
          <reference field="10" count="1">
            <x v="1"/>
          </reference>
          <reference field="11" count="1" selected="0">
            <x v="62"/>
          </reference>
          <reference field="12" count="1" selected="0">
            <x v="37"/>
          </reference>
          <reference field="13" count="1" selected="0">
            <x v="1"/>
          </reference>
          <reference field="14" count="1" selected="0">
            <x v="17"/>
          </reference>
          <reference field="15" count="1" selected="0">
            <x v="28"/>
          </reference>
        </references>
      </pivotArea>
    </format>
    <format dxfId="8180">
      <pivotArea dataOnly="0" labelOnly="1" outline="0" fieldPosition="0">
        <references count="12">
          <reference field="1" count="0" selected="0"/>
          <reference field="3" count="1" selected="0">
            <x v="6"/>
          </reference>
          <reference field="4" count="1" selected="0">
            <x v="0"/>
          </reference>
          <reference field="5" count="1" selected="0">
            <x v="145"/>
          </reference>
          <reference field="6" count="1" selected="0">
            <x v="9"/>
          </reference>
          <reference field="9" count="1" selected="0">
            <x v="10"/>
          </reference>
          <reference field="10" count="1">
            <x v="1"/>
          </reference>
          <reference field="11" count="1" selected="0">
            <x v="27"/>
          </reference>
          <reference field="12" count="1" selected="0">
            <x v="8"/>
          </reference>
          <reference field="13" count="1" selected="0">
            <x v="3"/>
          </reference>
          <reference field="14" count="1" selected="0">
            <x v="11"/>
          </reference>
          <reference field="15" count="1" selected="0">
            <x v="42"/>
          </reference>
        </references>
      </pivotArea>
    </format>
    <format dxfId="8179">
      <pivotArea dataOnly="0" labelOnly="1" outline="0" fieldPosition="0">
        <references count="12">
          <reference field="1" count="0" selected="0"/>
          <reference field="3" count="1" selected="0">
            <x v="6"/>
          </reference>
          <reference field="4" count="1" selected="0">
            <x v="0"/>
          </reference>
          <reference field="5" count="1" selected="0">
            <x v="146"/>
          </reference>
          <reference field="6" count="1" selected="0">
            <x v="9"/>
          </reference>
          <reference field="9" count="1" selected="0">
            <x v="10"/>
          </reference>
          <reference field="10" count="1">
            <x v="1"/>
          </reference>
          <reference field="11" count="1" selected="0">
            <x v="6"/>
          </reference>
          <reference field="12" count="1" selected="0">
            <x v="2"/>
          </reference>
          <reference field="13" count="1" selected="0">
            <x v="3"/>
          </reference>
          <reference field="14" count="1" selected="0">
            <x v="10"/>
          </reference>
          <reference field="15" count="1" selected="0">
            <x v="41"/>
          </reference>
        </references>
      </pivotArea>
    </format>
    <format dxfId="8178">
      <pivotArea dataOnly="0" labelOnly="1" outline="0" fieldPosition="0">
        <references count="12">
          <reference field="1" count="0" selected="0"/>
          <reference field="3" count="1" selected="0">
            <x v="6"/>
          </reference>
          <reference field="4" count="1" selected="0">
            <x v="0"/>
          </reference>
          <reference field="5" count="1" selected="0">
            <x v="165"/>
          </reference>
          <reference field="6" count="1" selected="0">
            <x v="9"/>
          </reference>
          <reference field="9" count="1" selected="0">
            <x v="10"/>
          </reference>
          <reference field="10" count="1">
            <x v="1"/>
          </reference>
          <reference field="11" count="1" selected="0">
            <x v="59"/>
          </reference>
          <reference field="12" count="1" selected="0">
            <x v="8"/>
          </reference>
          <reference field="13" count="1" selected="0">
            <x v="7"/>
          </reference>
          <reference field="14" count="1" selected="0">
            <x v="31"/>
          </reference>
          <reference field="15" count="1" selected="0">
            <x v="51"/>
          </reference>
        </references>
      </pivotArea>
    </format>
    <format dxfId="8177">
      <pivotArea dataOnly="0" labelOnly="1" outline="0" fieldPosition="0">
        <references count="12">
          <reference field="1" count="0" selected="0"/>
          <reference field="3" count="1" selected="0">
            <x v="6"/>
          </reference>
          <reference field="4" count="1" selected="0">
            <x v="0"/>
          </reference>
          <reference field="5" count="1" selected="0">
            <x v="174"/>
          </reference>
          <reference field="6" count="1" selected="0">
            <x v="9"/>
          </reference>
          <reference field="9" count="1" selected="0">
            <x v="10"/>
          </reference>
          <reference field="10" count="1">
            <x v="1"/>
          </reference>
          <reference field="11" count="1" selected="0">
            <x v="20"/>
          </reference>
          <reference field="12" count="1" selected="0">
            <x v="8"/>
          </reference>
          <reference field="13" count="1" selected="0">
            <x v="3"/>
          </reference>
          <reference field="14" count="1" selected="0">
            <x v="47"/>
          </reference>
          <reference field="15" count="1" selected="0">
            <x v="34"/>
          </reference>
        </references>
      </pivotArea>
    </format>
    <format dxfId="8176">
      <pivotArea dataOnly="0" labelOnly="1" outline="0" fieldPosition="0">
        <references count="12">
          <reference field="1" count="0" selected="0"/>
          <reference field="3" count="1" selected="0">
            <x v="6"/>
          </reference>
          <reference field="4" count="1" selected="0">
            <x v="0"/>
          </reference>
          <reference field="5" count="1" selected="0">
            <x v="175"/>
          </reference>
          <reference field="6" count="1" selected="0">
            <x v="9"/>
          </reference>
          <reference field="9" count="1" selected="0">
            <x v="10"/>
          </reference>
          <reference field="10" count="1">
            <x v="1"/>
          </reference>
          <reference field="11" count="1" selected="0">
            <x v="14"/>
          </reference>
          <reference field="12" count="1" selected="0">
            <x v="15"/>
          </reference>
          <reference field="13" count="1" selected="0">
            <x v="3"/>
          </reference>
          <reference field="14" count="1" selected="0">
            <x v="15"/>
          </reference>
          <reference field="15" count="1" selected="0">
            <x v="38"/>
          </reference>
        </references>
      </pivotArea>
    </format>
    <format dxfId="8175">
      <pivotArea dataOnly="0" labelOnly="1" outline="0" fieldPosition="0">
        <references count="12">
          <reference field="1" count="0" selected="0"/>
          <reference field="3" count="1" selected="0">
            <x v="6"/>
          </reference>
          <reference field="4" count="1" selected="0">
            <x v="0"/>
          </reference>
          <reference field="5" count="1" selected="0">
            <x v="181"/>
          </reference>
          <reference field="6" count="1" selected="0">
            <x v="9"/>
          </reference>
          <reference field="9" count="1" selected="0">
            <x v="10"/>
          </reference>
          <reference field="10" count="1">
            <x v="1"/>
          </reference>
          <reference field="11" count="1" selected="0">
            <x v="14"/>
          </reference>
          <reference field="12" count="1" selected="0">
            <x v="16"/>
          </reference>
          <reference field="13" count="1" selected="0">
            <x v="3"/>
          </reference>
          <reference field="14" count="1" selected="0">
            <x v="60"/>
          </reference>
          <reference field="15" count="1" selected="0">
            <x v="14"/>
          </reference>
        </references>
      </pivotArea>
    </format>
    <format dxfId="8174">
      <pivotArea dataOnly="0" labelOnly="1" outline="0" fieldPosition="0">
        <references count="12">
          <reference field="1" count="0" selected="0"/>
          <reference field="3" count="1" selected="0">
            <x v="6"/>
          </reference>
          <reference field="4" count="1" selected="0">
            <x v="0"/>
          </reference>
          <reference field="5" count="1" selected="0">
            <x v="182"/>
          </reference>
          <reference field="6" count="1" selected="0">
            <x v="9"/>
          </reference>
          <reference field="9" count="1" selected="0">
            <x v="10"/>
          </reference>
          <reference field="10" count="1">
            <x v="1"/>
          </reference>
          <reference field="11" count="1" selected="0">
            <x v="14"/>
          </reference>
          <reference field="12" count="1" selected="0">
            <x v="10"/>
          </reference>
          <reference field="13" count="1" selected="0">
            <x v="3"/>
          </reference>
          <reference field="14" count="1" selected="0">
            <x v="12"/>
          </reference>
          <reference field="15" count="1" selected="0">
            <x v="14"/>
          </reference>
        </references>
      </pivotArea>
    </format>
    <format dxfId="8173">
      <pivotArea dataOnly="0" labelOnly="1" outline="0" fieldPosition="0">
        <references count="12">
          <reference field="1" count="0" selected="0"/>
          <reference field="3" count="1" selected="0">
            <x v="6"/>
          </reference>
          <reference field="4" count="1" selected="0">
            <x v="0"/>
          </reference>
          <reference field="5" count="1" selected="0">
            <x v="189"/>
          </reference>
          <reference field="6" count="1" selected="0">
            <x v="9"/>
          </reference>
          <reference field="9" count="1" selected="0">
            <x v="10"/>
          </reference>
          <reference field="10" count="1">
            <x v="1"/>
          </reference>
          <reference field="11" count="1" selected="0">
            <x v="32"/>
          </reference>
          <reference field="12" count="1" selected="0">
            <x v="8"/>
          </reference>
          <reference field="13" count="1" selected="0">
            <x v="3"/>
          </reference>
          <reference field="14" count="1" selected="0">
            <x v="52"/>
          </reference>
          <reference field="15" count="1" selected="0">
            <x v="10"/>
          </reference>
        </references>
      </pivotArea>
    </format>
    <format dxfId="8172">
      <pivotArea dataOnly="0" labelOnly="1" outline="0" fieldPosition="0">
        <references count="12">
          <reference field="1" count="0" selected="0"/>
          <reference field="3" count="1" selected="0">
            <x v="6"/>
          </reference>
          <reference field="4" count="1" selected="0">
            <x v="0"/>
          </reference>
          <reference field="5" count="1" selected="0">
            <x v="190"/>
          </reference>
          <reference field="6" count="1" selected="0">
            <x v="9"/>
          </reference>
          <reference field="9" count="1" selected="0">
            <x v="10"/>
          </reference>
          <reference field="10" count="1">
            <x v="1"/>
          </reference>
          <reference field="11" count="1" selected="0">
            <x v="44"/>
          </reference>
          <reference field="12" count="1" selected="0">
            <x v="8"/>
          </reference>
          <reference field="13" count="1" selected="0">
            <x v="3"/>
          </reference>
          <reference field="14" count="1" selected="0">
            <x v="33"/>
          </reference>
          <reference field="15" count="1" selected="0">
            <x v="14"/>
          </reference>
        </references>
      </pivotArea>
    </format>
    <format dxfId="8171">
      <pivotArea dataOnly="0" labelOnly="1" outline="0" fieldPosition="0">
        <references count="12">
          <reference field="1" count="0" selected="0"/>
          <reference field="3" count="1" selected="0">
            <x v="6"/>
          </reference>
          <reference field="4" count="1" selected="0">
            <x v="0"/>
          </reference>
          <reference field="5" count="1" selected="0">
            <x v="343"/>
          </reference>
          <reference field="6" count="1" selected="0">
            <x v="9"/>
          </reference>
          <reference field="9" count="1" selected="0">
            <x v="10"/>
          </reference>
          <reference field="10" count="1">
            <x v="1"/>
          </reference>
          <reference field="11" count="1" selected="0">
            <x v="52"/>
          </reference>
          <reference field="12" count="1" selected="0">
            <x v="8"/>
          </reference>
          <reference field="13" count="1" selected="0">
            <x v="5"/>
          </reference>
          <reference field="14" count="1" selected="0">
            <x v="45"/>
          </reference>
          <reference field="15" count="1" selected="0">
            <x v="55"/>
          </reference>
        </references>
      </pivotArea>
    </format>
    <format dxfId="8170">
      <pivotArea dataOnly="0" labelOnly="1" outline="0" fieldPosition="0">
        <references count="12">
          <reference field="1" count="0" selected="0"/>
          <reference field="3" count="1" selected="0">
            <x v="6"/>
          </reference>
          <reference field="4" count="1" selected="0">
            <x v="0"/>
          </reference>
          <reference field="5" count="1" selected="0">
            <x v="354"/>
          </reference>
          <reference field="6" count="1" selected="0">
            <x v="9"/>
          </reference>
          <reference field="9" count="1" selected="0">
            <x v="10"/>
          </reference>
          <reference field="10" count="1">
            <x v="1"/>
          </reference>
          <reference field="11" count="1" selected="0">
            <x v="61"/>
          </reference>
          <reference field="12" count="1" selected="0">
            <x v="8"/>
          </reference>
          <reference field="13" count="1" selected="0">
            <x v="3"/>
          </reference>
          <reference field="14" count="1" selected="0">
            <x v="61"/>
          </reference>
          <reference field="15" count="1" selected="0">
            <x v="14"/>
          </reference>
        </references>
      </pivotArea>
    </format>
    <format dxfId="8169">
      <pivotArea dataOnly="0" labelOnly="1" outline="0" fieldPosition="0">
        <references count="12">
          <reference field="1" count="0" selected="0"/>
          <reference field="3" count="1" selected="0">
            <x v="8"/>
          </reference>
          <reference field="4" count="1" selected="0">
            <x v="3"/>
          </reference>
          <reference field="5" count="1" selected="0">
            <x v="135"/>
          </reference>
          <reference field="6" count="1" selected="0">
            <x v="3"/>
          </reference>
          <reference field="9" count="1" selected="0">
            <x v="10"/>
          </reference>
          <reference field="10" count="1">
            <x v="1"/>
          </reference>
          <reference field="11" count="1" selected="0">
            <x v="37"/>
          </reference>
          <reference field="12" count="1" selected="0">
            <x v="2"/>
          </reference>
          <reference field="13" count="1" selected="0">
            <x v="3"/>
          </reference>
          <reference field="14" count="1" selected="0">
            <x v="17"/>
          </reference>
          <reference field="15" count="1" selected="0">
            <x v="47"/>
          </reference>
        </references>
      </pivotArea>
    </format>
    <format dxfId="8168">
      <pivotArea dataOnly="0" labelOnly="1" outline="0" fieldPosition="0">
        <references count="12">
          <reference field="1" count="0" selected="0"/>
          <reference field="3" count="1" selected="0">
            <x v="8"/>
          </reference>
          <reference field="4" count="1" selected="0">
            <x v="3"/>
          </reference>
          <reference field="5" count="1" selected="0">
            <x v="136"/>
          </reference>
          <reference field="6" count="1" selected="0">
            <x v="3"/>
          </reference>
          <reference field="9" count="1" selected="0">
            <x v="10"/>
          </reference>
          <reference field="10" count="1">
            <x v="1"/>
          </reference>
          <reference field="11" count="1" selected="0">
            <x v="14"/>
          </reference>
          <reference field="12" count="1" selected="0">
            <x v="38"/>
          </reference>
          <reference field="13" count="1" selected="0">
            <x v="3"/>
          </reference>
          <reference field="14" count="1" selected="0">
            <x v="27"/>
          </reference>
          <reference field="15" count="1" selected="0">
            <x v="20"/>
          </reference>
        </references>
      </pivotArea>
    </format>
    <format dxfId="8167">
      <pivotArea dataOnly="0" labelOnly="1" outline="0" fieldPosition="0">
        <references count="12">
          <reference field="1" count="0" selected="0"/>
          <reference field="3" count="1" selected="0">
            <x v="9"/>
          </reference>
          <reference field="4" count="1" selected="0">
            <x v="6"/>
          </reference>
          <reference field="5" count="1" selected="0">
            <x v="211"/>
          </reference>
          <reference field="6" count="1" selected="0">
            <x v="5"/>
          </reference>
          <reference field="9" count="1" selected="0">
            <x v="0"/>
          </reference>
          <reference field="10" count="1">
            <x v="1"/>
          </reference>
          <reference field="11" count="1" selected="0">
            <x v="9"/>
          </reference>
          <reference field="12" count="1" selected="0">
            <x v="22"/>
          </reference>
          <reference field="13" count="1" selected="0">
            <x v="3"/>
          </reference>
          <reference field="14" count="1" selected="0">
            <x v="17"/>
          </reference>
          <reference field="15" count="1" selected="0">
            <x v="44"/>
          </reference>
        </references>
      </pivotArea>
    </format>
    <format dxfId="8166">
      <pivotArea dataOnly="0" labelOnly="1" outline="0" fieldPosition="0">
        <references count="12">
          <reference field="1" count="0" selected="0"/>
          <reference field="3" count="1" selected="0">
            <x v="9"/>
          </reference>
          <reference field="4" count="1" selected="0">
            <x v="6"/>
          </reference>
          <reference field="5" count="1" selected="0">
            <x v="212"/>
          </reference>
          <reference field="6" count="1" selected="0">
            <x v="5"/>
          </reference>
          <reference field="9" count="1" selected="0">
            <x v="10"/>
          </reference>
          <reference field="10" count="1">
            <x v="1"/>
          </reference>
          <reference field="11" count="1" selected="0">
            <x v="16"/>
          </reference>
          <reference field="12" count="1" selected="0">
            <x v="8"/>
          </reference>
          <reference field="13" count="1" selected="0">
            <x v="3"/>
          </reference>
          <reference field="14" count="1" selected="0">
            <x v="17"/>
          </reference>
          <reference field="15" count="1" selected="0">
            <x v="30"/>
          </reference>
        </references>
      </pivotArea>
    </format>
    <format dxfId="8165">
      <pivotArea dataOnly="0" labelOnly="1" outline="0" fieldPosition="0">
        <references count="12">
          <reference field="1" count="0" selected="0"/>
          <reference field="3" count="1" selected="0">
            <x v="3"/>
          </reference>
          <reference field="4" count="1" selected="0">
            <x v="1"/>
          </reference>
          <reference field="5" count="1" selected="0">
            <x v="195"/>
          </reference>
          <reference field="6" count="1" selected="0">
            <x v="2"/>
          </reference>
          <reference field="9" count="1" selected="0">
            <x v="10"/>
          </reference>
          <reference field="10" count="1">
            <x v="1"/>
          </reference>
          <reference field="11" count="1" selected="0">
            <x v="13"/>
          </reference>
          <reference field="12" count="1" selected="0">
            <x v="14"/>
          </reference>
          <reference field="13" count="1" selected="0">
            <x v="3"/>
          </reference>
          <reference field="14" count="1" selected="0">
            <x v="17"/>
          </reference>
          <reference field="15" count="1" selected="0">
            <x v="1"/>
          </reference>
        </references>
      </pivotArea>
    </format>
    <format dxfId="8164">
      <pivotArea dataOnly="0" labelOnly="1" outline="0" fieldPosition="0">
        <references count="12">
          <reference field="1" count="0" selected="0"/>
          <reference field="3" count="1" selected="0">
            <x v="3"/>
          </reference>
          <reference field="4" count="1" selected="0">
            <x v="1"/>
          </reference>
          <reference field="5" count="1" selected="0">
            <x v="198"/>
          </reference>
          <reference field="6" count="1" selected="0">
            <x v="2"/>
          </reference>
          <reference field="9" count="1" selected="0">
            <x v="10"/>
          </reference>
          <reference field="10" count="1">
            <x v="1"/>
          </reference>
          <reference field="11" count="1" selected="0">
            <x v="14"/>
          </reference>
          <reference field="12" count="1" selected="0">
            <x v="23"/>
          </reference>
          <reference field="13" count="1" selected="0">
            <x v="2"/>
          </reference>
          <reference field="14" count="1" selected="0">
            <x v="17"/>
          </reference>
          <reference field="15" count="1" selected="0">
            <x v="64"/>
          </reference>
        </references>
      </pivotArea>
    </format>
    <format dxfId="8163">
      <pivotArea dataOnly="0" labelOnly="1" outline="0" fieldPosition="0">
        <references count="12">
          <reference field="1" count="0" selected="0"/>
          <reference field="3" count="1" selected="0">
            <x v="3"/>
          </reference>
          <reference field="4" count="1" selected="0">
            <x v="1"/>
          </reference>
          <reference field="5" count="1" selected="0">
            <x v="204"/>
          </reference>
          <reference field="6" count="1" selected="0">
            <x v="2"/>
          </reference>
          <reference field="9" count="1" selected="0">
            <x v="10"/>
          </reference>
          <reference field="10" count="1">
            <x v="1"/>
          </reference>
          <reference field="11" count="1" selected="0">
            <x v="42"/>
          </reference>
          <reference field="12" count="1" selected="0">
            <x v="8"/>
          </reference>
          <reference field="13" count="1" selected="0">
            <x v="3"/>
          </reference>
          <reference field="14" count="1" selected="0">
            <x v="17"/>
          </reference>
          <reference field="15" count="1" selected="0">
            <x v="14"/>
          </reference>
        </references>
      </pivotArea>
    </format>
    <format dxfId="8162">
      <pivotArea dataOnly="0" labelOnly="1" outline="0" fieldPosition="0">
        <references count="12">
          <reference field="1" count="0" selected="0"/>
          <reference field="3" count="1" selected="0">
            <x v="4"/>
          </reference>
          <reference field="4" count="1" selected="0">
            <x v="1"/>
          </reference>
          <reference field="5" count="1" selected="0">
            <x v="98"/>
          </reference>
          <reference field="6" count="1" selected="0">
            <x v="2"/>
          </reference>
          <reference field="9" count="1" selected="0">
            <x v="10"/>
          </reference>
          <reference field="10" count="1">
            <x v="1"/>
          </reference>
          <reference field="11" count="1" selected="0">
            <x v="14"/>
          </reference>
          <reference field="12" count="1" selected="0">
            <x v="5"/>
          </reference>
          <reference field="13" count="1" selected="0">
            <x v="3"/>
          </reference>
          <reference field="14" count="1" selected="0">
            <x v="49"/>
          </reference>
          <reference field="15" count="1" selected="0">
            <x v="1"/>
          </reference>
        </references>
      </pivotArea>
    </format>
    <format dxfId="8161">
      <pivotArea dataOnly="0" labelOnly="1" outline="0" fieldPosition="0">
        <references count="12">
          <reference field="1" count="0" selected="0"/>
          <reference field="3" count="1" selected="0">
            <x v="4"/>
          </reference>
          <reference field="4" count="1" selected="0">
            <x v="1"/>
          </reference>
          <reference field="5" count="1" selected="0">
            <x v="112"/>
          </reference>
          <reference field="6" count="1" selected="0">
            <x v="2"/>
          </reference>
          <reference field="9" count="1" selected="0">
            <x v="10"/>
          </reference>
          <reference field="10" count="1">
            <x v="1"/>
          </reference>
          <reference field="11" count="1" selected="0">
            <x v="33"/>
          </reference>
          <reference field="12" count="1" selected="0">
            <x v="8"/>
          </reference>
          <reference field="13" count="1" selected="0">
            <x v="3"/>
          </reference>
          <reference field="14" count="1" selected="0">
            <x v="43"/>
          </reference>
          <reference field="15" count="1" selected="0">
            <x v="32"/>
          </reference>
        </references>
      </pivotArea>
    </format>
    <format dxfId="8160">
      <pivotArea dataOnly="0" labelOnly="1" outline="0" fieldPosition="0">
        <references count="12">
          <reference field="1" count="0" selected="0"/>
          <reference field="3" count="1" selected="0">
            <x v="4"/>
          </reference>
          <reference field="4" count="1" selected="0">
            <x v="1"/>
          </reference>
          <reference field="5" count="1" selected="0">
            <x v="215"/>
          </reference>
          <reference field="6" count="1" selected="0">
            <x v="2"/>
          </reference>
          <reference field="9" count="1" selected="0">
            <x v="4"/>
          </reference>
          <reference field="10" count="1">
            <x v="1"/>
          </reference>
          <reference field="11" count="1" selected="0">
            <x v="53"/>
          </reference>
          <reference field="12" count="1" selected="0">
            <x v="8"/>
          </reference>
          <reference field="13" count="1" selected="0">
            <x v="3"/>
          </reference>
          <reference field="14" count="1" selected="0">
            <x v="17"/>
          </reference>
          <reference field="15" count="1" selected="0">
            <x v="15"/>
          </reference>
        </references>
      </pivotArea>
    </format>
    <format dxfId="8159">
      <pivotArea dataOnly="0" labelOnly="1" outline="0" fieldPosition="0">
        <references count="12">
          <reference field="1" count="0" selected="0"/>
          <reference field="3" count="1" selected="0">
            <x v="4"/>
          </reference>
          <reference field="4" count="1" selected="0">
            <x v="1"/>
          </reference>
          <reference field="5" count="1" selected="0">
            <x v="330"/>
          </reference>
          <reference field="6" count="1" selected="0">
            <x v="2"/>
          </reference>
          <reference field="9" count="1" selected="0">
            <x v="10"/>
          </reference>
          <reference field="10" count="1">
            <x v="1"/>
          </reference>
          <reference field="11" count="1" selected="0">
            <x v="18"/>
          </reference>
          <reference field="12" count="1" selected="0">
            <x v="8"/>
          </reference>
          <reference field="13" count="1" selected="0">
            <x v="3"/>
          </reference>
          <reference field="14" count="1" selected="0">
            <x v="42"/>
          </reference>
          <reference field="15" count="1" selected="0">
            <x v="13"/>
          </reference>
        </references>
      </pivotArea>
    </format>
    <format dxfId="8158">
      <pivotArea dataOnly="0" labelOnly="1" outline="0" fieldPosition="0">
        <references count="12">
          <reference field="1" count="0" selected="0"/>
          <reference field="3" count="1" selected="0">
            <x v="4"/>
          </reference>
          <reference field="4" count="1" selected="0">
            <x v="1"/>
          </reference>
          <reference field="5" count="1" selected="0">
            <x v="346"/>
          </reference>
          <reference field="6" count="1" selected="0">
            <x v="2"/>
          </reference>
          <reference field="9" count="1" selected="0">
            <x v="10"/>
          </reference>
          <reference field="10" count="1">
            <x v="1"/>
          </reference>
          <reference field="11" count="1" selected="0">
            <x v="14"/>
          </reference>
          <reference field="12" count="1" selected="0">
            <x v="1"/>
          </reference>
          <reference field="13" count="1" selected="0">
            <x v="3"/>
          </reference>
          <reference field="14" count="1" selected="0">
            <x v="17"/>
          </reference>
          <reference field="15" count="1" selected="0">
            <x v="14"/>
          </reference>
        </references>
      </pivotArea>
    </format>
    <format dxfId="8157">
      <pivotArea dataOnly="0" labelOnly="1" outline="0" fieldPosition="0">
        <references count="12">
          <reference field="1" count="0" selected="0"/>
          <reference field="3" count="1" selected="0">
            <x v="6"/>
          </reference>
          <reference field="4" count="1" selected="0">
            <x v="0"/>
          </reference>
          <reference field="5" count="1" selected="0">
            <x v="147"/>
          </reference>
          <reference field="6" count="1" selected="0">
            <x v="9"/>
          </reference>
          <reference field="9" count="1" selected="0">
            <x v="10"/>
          </reference>
          <reference field="10" count="1">
            <x v="1"/>
          </reference>
          <reference field="11" count="1" selected="0">
            <x v="14"/>
          </reference>
          <reference field="12" count="1" selected="0">
            <x v="17"/>
          </reference>
          <reference field="13" count="1" selected="0">
            <x v="3"/>
          </reference>
          <reference field="14" count="1" selected="0">
            <x v="17"/>
          </reference>
          <reference field="15" count="1" selected="0">
            <x v="31"/>
          </reference>
        </references>
      </pivotArea>
    </format>
    <format dxfId="8156">
      <pivotArea dataOnly="0" labelOnly="1" outline="0" fieldPosition="0">
        <references count="12">
          <reference field="1" count="0" selected="0"/>
          <reference field="3" count="1" selected="0">
            <x v="6"/>
          </reference>
          <reference field="4" count="1" selected="0">
            <x v="0"/>
          </reference>
          <reference field="5" count="1" selected="0">
            <x v="160"/>
          </reference>
          <reference field="6" count="1" selected="0">
            <x v="9"/>
          </reference>
          <reference field="9" count="1" selected="0">
            <x v="10"/>
          </reference>
          <reference field="10" count="1">
            <x v="1"/>
          </reference>
          <reference field="11" count="1" selected="0">
            <x v="40"/>
          </reference>
          <reference field="12" count="1" selected="0">
            <x v="8"/>
          </reference>
          <reference field="13" count="1" selected="0">
            <x v="3"/>
          </reference>
          <reference field="14" count="1" selected="0">
            <x v="44"/>
          </reference>
          <reference field="15" count="1" selected="0">
            <x v="62"/>
          </reference>
        </references>
      </pivotArea>
    </format>
    <format dxfId="8155">
      <pivotArea dataOnly="0" labelOnly="1" outline="0" fieldPosition="0">
        <references count="12">
          <reference field="1" count="0" selected="0"/>
          <reference field="3" count="1" selected="0">
            <x v="6"/>
          </reference>
          <reference field="4" count="1" selected="0">
            <x v="0"/>
          </reference>
          <reference field="5" count="1" selected="0">
            <x v="166"/>
          </reference>
          <reference field="6" count="1" selected="0">
            <x v="9"/>
          </reference>
          <reference field="9" count="1" selected="0">
            <x v="10"/>
          </reference>
          <reference field="10" count="1">
            <x v="1"/>
          </reference>
          <reference field="11" count="1" selected="0">
            <x v="17"/>
          </reference>
          <reference field="12" count="1" selected="0">
            <x v="8"/>
          </reference>
          <reference field="13" count="1" selected="0">
            <x v="3"/>
          </reference>
          <reference field="14" count="1" selected="0">
            <x v="36"/>
          </reference>
          <reference field="15" count="1" selected="0">
            <x v="56"/>
          </reference>
        </references>
      </pivotArea>
    </format>
    <format dxfId="8154">
      <pivotArea dataOnly="0" labelOnly="1" outline="0" fieldPosition="0">
        <references count="12">
          <reference field="1" count="0" selected="0"/>
          <reference field="3" count="1" selected="0">
            <x v="6"/>
          </reference>
          <reference field="4" count="1" selected="0">
            <x v="0"/>
          </reference>
          <reference field="5" count="1" selected="0">
            <x v="173"/>
          </reference>
          <reference field="6" count="1" selected="0">
            <x v="9"/>
          </reference>
          <reference field="9" count="1" selected="0">
            <x v="10"/>
          </reference>
          <reference field="10" count="1">
            <x v="1"/>
          </reference>
          <reference field="11" count="1" selected="0">
            <x v="45"/>
          </reference>
          <reference field="12" count="1" selected="0">
            <x v="6"/>
          </reference>
          <reference field="13" count="1" selected="0">
            <x v="3"/>
          </reference>
          <reference field="14" count="1" selected="0">
            <x v="46"/>
          </reference>
          <reference field="15" count="1" selected="0">
            <x v="33"/>
          </reference>
        </references>
      </pivotArea>
    </format>
    <format dxfId="8153">
      <pivotArea dataOnly="0" labelOnly="1" outline="0" fieldPosition="0">
        <references count="12">
          <reference field="1" count="0" selected="0"/>
          <reference field="3" count="1" selected="0">
            <x v="6"/>
          </reference>
          <reference field="4" count="1" selected="0">
            <x v="0"/>
          </reference>
          <reference field="5" count="1" selected="0">
            <x v="176"/>
          </reference>
          <reference field="6" count="1" selected="0">
            <x v="9"/>
          </reference>
          <reference field="9" count="1" selected="0">
            <x v="10"/>
          </reference>
          <reference field="10" count="1">
            <x v="1"/>
          </reference>
          <reference field="11" count="1" selected="0">
            <x v="14"/>
          </reference>
          <reference field="12" count="1" selected="0">
            <x v="3"/>
          </reference>
          <reference field="13" count="1" selected="0">
            <x v="3"/>
          </reference>
          <reference field="14" count="1" selected="0">
            <x v="17"/>
          </reference>
          <reference field="15" count="1" selected="0">
            <x v="18"/>
          </reference>
        </references>
      </pivotArea>
    </format>
    <format dxfId="8152">
      <pivotArea dataOnly="0" labelOnly="1" outline="0" fieldPosition="0">
        <references count="12">
          <reference field="1" count="0" selected="0"/>
          <reference field="3" count="1" selected="0">
            <x v="6"/>
          </reference>
          <reference field="4" count="1" selected="0">
            <x v="0"/>
          </reference>
          <reference field="5" count="1" selected="0">
            <x v="183"/>
          </reference>
          <reference field="6" count="1" selected="0">
            <x v="9"/>
          </reference>
          <reference field="9" count="1" selected="0">
            <x v="10"/>
          </reference>
          <reference field="10" count="1">
            <x v="1"/>
          </reference>
          <reference field="11" count="1" selected="0">
            <x v="57"/>
          </reference>
          <reference field="12" count="1" selected="0">
            <x v="1"/>
          </reference>
          <reference field="13" count="1" selected="0">
            <x v="3"/>
          </reference>
          <reference field="14" count="1" selected="0">
            <x v="3"/>
          </reference>
          <reference field="15" count="1" selected="0">
            <x v="14"/>
          </reference>
        </references>
      </pivotArea>
    </format>
    <format dxfId="8151">
      <pivotArea dataOnly="0" labelOnly="1" outline="0" fieldPosition="0">
        <references count="12">
          <reference field="1" count="0" selected="0"/>
          <reference field="3" count="1" selected="0">
            <x v="6"/>
          </reference>
          <reference field="4" count="1" selected="0">
            <x v="0"/>
          </reference>
          <reference field="5" count="1" selected="0">
            <x v="188"/>
          </reference>
          <reference field="6" count="1" selected="0">
            <x v="9"/>
          </reference>
          <reference field="9" count="1" selected="0">
            <x v="10"/>
          </reference>
          <reference field="10" count="1">
            <x v="1"/>
          </reference>
          <reference field="11" count="1" selected="0">
            <x v="41"/>
          </reference>
          <reference field="12" count="1" selected="0">
            <x v="8"/>
          </reference>
          <reference field="13" count="1" selected="0">
            <x v="3"/>
          </reference>
          <reference field="14" count="1" selected="0">
            <x v="24"/>
          </reference>
          <reference field="15" count="1" selected="0">
            <x v="47"/>
          </reference>
        </references>
      </pivotArea>
    </format>
    <format dxfId="8150">
      <pivotArea dataOnly="0" labelOnly="1" outline="0" fieldPosition="0">
        <references count="12">
          <reference field="1" count="0" selected="0"/>
          <reference field="3" count="1" selected="0">
            <x v="6"/>
          </reference>
          <reference field="4" count="1" selected="0">
            <x v="0"/>
          </reference>
          <reference field="5" count="1" selected="0">
            <x v="191"/>
          </reference>
          <reference field="6" count="1" selected="0">
            <x v="9"/>
          </reference>
          <reference field="9" count="1" selected="0">
            <x v="10"/>
          </reference>
          <reference field="10" count="1">
            <x v="1"/>
          </reference>
          <reference field="11" count="1" selected="0">
            <x v="54"/>
          </reference>
          <reference field="12" count="1" selected="0">
            <x v="4"/>
          </reference>
          <reference field="13" count="1" selected="0">
            <x v="3"/>
          </reference>
          <reference field="14" count="1" selected="0">
            <x v="13"/>
          </reference>
          <reference field="15" count="1" selected="0">
            <x v="14"/>
          </reference>
        </references>
      </pivotArea>
    </format>
    <format dxfId="8149">
      <pivotArea dataOnly="0" labelOnly="1" outline="0" fieldPosition="0">
        <references count="12">
          <reference field="1" count="0" selected="0"/>
          <reference field="3" count="1" selected="0">
            <x v="6"/>
          </reference>
          <reference field="4" count="1" selected="0">
            <x v="0"/>
          </reference>
          <reference field="5" count="1" selected="0">
            <x v="336"/>
          </reference>
          <reference field="6" count="1" selected="0">
            <x v="9"/>
          </reference>
          <reference field="9" count="1" selected="0">
            <x v="10"/>
          </reference>
          <reference field="10" count="1">
            <x v="1"/>
          </reference>
          <reference field="11" count="1" selected="0">
            <x v="14"/>
          </reference>
          <reference field="12" count="1" selected="0">
            <x v="9"/>
          </reference>
          <reference field="13" count="1" selected="0">
            <x v="3"/>
          </reference>
          <reference field="14" count="1" selected="0">
            <x v="9"/>
          </reference>
          <reference field="15" count="1" selected="0">
            <x v="14"/>
          </reference>
        </references>
      </pivotArea>
    </format>
    <format dxfId="8148">
      <pivotArea dataOnly="0" labelOnly="1" outline="0" fieldPosition="0">
        <references count="12">
          <reference field="1" count="0" selected="0"/>
          <reference field="3" count="1" selected="0">
            <x v="8"/>
          </reference>
          <reference field="4" count="1" selected="0">
            <x v="3"/>
          </reference>
          <reference field="5" count="1" selected="0">
            <x v="137"/>
          </reference>
          <reference field="6" count="1" selected="0">
            <x v="3"/>
          </reference>
          <reference field="9" count="1" selected="0">
            <x v="10"/>
          </reference>
          <reference field="10" count="1">
            <x v="1"/>
          </reference>
          <reference field="11" count="1" selected="0">
            <x v="25"/>
          </reference>
          <reference field="12" count="1" selected="0">
            <x v="8"/>
          </reference>
          <reference field="13" count="1" selected="0">
            <x v="3"/>
          </reference>
          <reference field="14" count="1" selected="0">
            <x v="29"/>
          </reference>
          <reference field="15" count="1" selected="0">
            <x v="35"/>
          </reference>
        </references>
      </pivotArea>
    </format>
    <format dxfId="8147">
      <pivotArea dataOnly="0" labelOnly="1" outline="0" fieldPosition="0">
        <references count="12">
          <reference field="1" count="0" selected="0"/>
          <reference field="3" count="1" selected="0">
            <x v="0"/>
          </reference>
          <reference field="4" count="1" selected="0">
            <x v="1"/>
          </reference>
          <reference field="5" count="1" selected="0">
            <x v="344"/>
          </reference>
          <reference field="6" count="1" selected="0">
            <x v="7"/>
          </reference>
          <reference field="9" count="1" selected="0">
            <x v="10"/>
          </reference>
          <reference field="10" count="1">
            <x v="1"/>
          </reference>
          <reference field="11" count="1" selected="0">
            <x v="14"/>
          </reference>
          <reference field="12" count="1" selected="0">
            <x v="8"/>
          </reference>
          <reference field="13" count="1" selected="0">
            <x v="3"/>
          </reference>
          <reference field="14" count="1" selected="0">
            <x v="17"/>
          </reference>
          <reference field="15" count="1" selected="0">
            <x v="68"/>
          </reference>
        </references>
      </pivotArea>
    </format>
    <format dxfId="8146">
      <pivotArea dataOnly="0" labelOnly="1" outline="0" fieldPosition="0">
        <references count="12">
          <reference field="1" count="0" selected="0"/>
          <reference field="3" count="1" selected="0">
            <x v="0"/>
          </reference>
          <reference field="4" count="1" selected="0">
            <x v="0"/>
          </reference>
          <reference field="5" count="1" selected="0">
            <x v="356"/>
          </reference>
          <reference field="6" count="1" selected="0">
            <x v="7"/>
          </reference>
          <reference field="9" count="1" selected="0">
            <x v="10"/>
          </reference>
          <reference field="10" count="1">
            <x v="1"/>
          </reference>
          <reference field="11" count="1" selected="0">
            <x v="14"/>
          </reference>
          <reference field="12" count="1" selected="0">
            <x v="31"/>
          </reference>
          <reference field="13" count="1" selected="0">
            <x v="3"/>
          </reference>
          <reference field="14" count="1" selected="0">
            <x v="17"/>
          </reference>
          <reference field="15" count="1" selected="0">
            <x v="14"/>
          </reference>
        </references>
      </pivotArea>
    </format>
    <format dxfId="8145">
      <pivotArea dataOnly="0" labelOnly="1" outline="0" fieldPosition="0">
        <references count="12">
          <reference field="1" count="0" selected="0"/>
          <reference field="3" count="1" selected="0">
            <x v="3"/>
          </reference>
          <reference field="4" count="1" selected="0">
            <x v="1"/>
          </reference>
          <reference field="5" count="1" selected="0">
            <x v="199"/>
          </reference>
          <reference field="6" count="1" selected="0">
            <x v="2"/>
          </reference>
          <reference field="9" count="1" selected="0">
            <x v="10"/>
          </reference>
          <reference field="10" count="1">
            <x v="1"/>
          </reference>
          <reference field="11" count="1" selected="0">
            <x v="5"/>
          </reference>
          <reference field="12" count="1" selected="0">
            <x v="25"/>
          </reference>
          <reference field="13" count="1" selected="0">
            <x v="3"/>
          </reference>
          <reference field="14" count="1" selected="0">
            <x v="16"/>
          </reference>
          <reference field="15" count="1" selected="0">
            <x v="25"/>
          </reference>
        </references>
      </pivotArea>
    </format>
    <format dxfId="8144">
      <pivotArea dataOnly="0" labelOnly="1" outline="0" fieldPosition="0">
        <references count="12">
          <reference field="1" count="0" selected="0"/>
          <reference field="3" count="1" selected="0">
            <x v="4"/>
          </reference>
          <reference field="4" count="1" selected="0">
            <x v="1"/>
          </reference>
          <reference field="5" count="1" selected="0">
            <x v="97"/>
          </reference>
          <reference field="6" count="1" selected="0">
            <x v="2"/>
          </reference>
          <reference field="9" count="1" selected="0">
            <x v="10"/>
          </reference>
          <reference field="10" count="1">
            <x v="1"/>
          </reference>
          <reference field="11" count="1" selected="0">
            <x v="14"/>
          </reference>
          <reference field="12" count="1" selected="0">
            <x v="20"/>
          </reference>
          <reference field="13" count="1" selected="0">
            <x v="3"/>
          </reference>
          <reference field="14" count="1" selected="0">
            <x v="18"/>
          </reference>
          <reference field="15" count="1" selected="0">
            <x v="61"/>
          </reference>
        </references>
      </pivotArea>
    </format>
    <format dxfId="8143">
      <pivotArea dataOnly="0" labelOnly="1" outline="0" fieldPosition="0">
        <references count="12">
          <reference field="1" count="0" selected="0"/>
          <reference field="3" count="1" selected="0">
            <x v="4"/>
          </reference>
          <reference field="4" count="1" selected="0">
            <x v="1"/>
          </reference>
          <reference field="5" count="1" selected="0">
            <x v="143"/>
          </reference>
          <reference field="6" count="1" selected="0">
            <x v="2"/>
          </reference>
          <reference field="9" count="1" selected="0">
            <x v="10"/>
          </reference>
          <reference field="10" count="1">
            <x v="1"/>
          </reference>
          <reference field="11" count="1" selected="0">
            <x v="14"/>
          </reference>
          <reference field="12" count="1" selected="0">
            <x v="3"/>
          </reference>
          <reference field="13" count="1" selected="0">
            <x v="3"/>
          </reference>
          <reference field="14" count="1" selected="0">
            <x v="17"/>
          </reference>
          <reference field="15" count="1" selected="0">
            <x v="50"/>
          </reference>
        </references>
      </pivotArea>
    </format>
    <format dxfId="8142">
      <pivotArea dataOnly="0" labelOnly="1" outline="0" fieldPosition="0">
        <references count="12">
          <reference field="1" count="0" selected="0"/>
          <reference field="3" count="1" selected="0">
            <x v="4"/>
          </reference>
          <reference field="4" count="1" selected="0">
            <x v="1"/>
          </reference>
          <reference field="5" count="1" selected="0">
            <x v="155"/>
          </reference>
          <reference field="6" count="1" selected="0">
            <x v="2"/>
          </reference>
          <reference field="9" count="1" selected="0">
            <x v="10"/>
          </reference>
          <reference field="10" count="1">
            <x v="1"/>
          </reference>
          <reference field="11" count="1" selected="0">
            <x v="58"/>
          </reference>
          <reference field="12" count="1" selected="0">
            <x v="8"/>
          </reference>
          <reference field="13" count="1" selected="0">
            <x v="3"/>
          </reference>
          <reference field="14" count="1" selected="0">
            <x v="58"/>
          </reference>
          <reference field="15" count="1" selected="0">
            <x v="47"/>
          </reference>
        </references>
      </pivotArea>
    </format>
    <format dxfId="8141">
      <pivotArea dataOnly="0" labelOnly="1" outline="0" fieldPosition="0">
        <references count="12">
          <reference field="1" count="0" selected="0"/>
          <reference field="3" count="1" selected="0">
            <x v="4"/>
          </reference>
          <reference field="4" count="1" selected="0">
            <x v="1"/>
          </reference>
          <reference field="5" count="1" selected="0">
            <x v="214"/>
          </reference>
          <reference field="6" count="1" selected="0">
            <x v="2"/>
          </reference>
          <reference field="9" count="1" selected="0">
            <x v="10"/>
          </reference>
          <reference field="10" count="1">
            <x v="1"/>
          </reference>
          <reference field="11" count="1" selected="0">
            <x v="35"/>
          </reference>
          <reference field="12" count="1" selected="0">
            <x v="8"/>
          </reference>
          <reference field="13" count="1" selected="0">
            <x v="3"/>
          </reference>
          <reference field="14" count="1" selected="0">
            <x v="17"/>
          </reference>
          <reference field="15" count="1" selected="0">
            <x v="14"/>
          </reference>
        </references>
      </pivotArea>
    </format>
    <format dxfId="8140">
      <pivotArea dataOnly="0" labelOnly="1" outline="0" fieldPosition="0">
        <references count="12">
          <reference field="1" count="0" selected="0"/>
          <reference field="3" count="1" selected="0">
            <x v="4"/>
          </reference>
          <reference field="4" count="1" selected="0">
            <x v="1"/>
          </reference>
          <reference field="5" count="1" selected="0">
            <x v="222"/>
          </reference>
          <reference field="6" count="1" selected="0">
            <x v="9"/>
          </reference>
          <reference field="9" count="1" selected="0">
            <x v="8"/>
          </reference>
          <reference field="10" count="1">
            <x v="1"/>
          </reference>
          <reference field="11" count="1" selected="0">
            <x v="34"/>
          </reference>
          <reference field="12" count="1" selected="0">
            <x v="8"/>
          </reference>
          <reference field="13" count="1" selected="0">
            <x v="3"/>
          </reference>
          <reference field="14" count="1" selected="0">
            <x v="17"/>
          </reference>
          <reference field="15" count="1" selected="0">
            <x v="53"/>
          </reference>
        </references>
      </pivotArea>
    </format>
    <format dxfId="8139">
      <pivotArea dataOnly="0" labelOnly="1" outline="0" fieldPosition="0">
        <references count="12">
          <reference field="1" count="0" selected="0"/>
          <reference field="3" count="1" selected="0">
            <x v="4"/>
          </reference>
          <reference field="4" count="1" selected="0">
            <x v="1"/>
          </reference>
          <reference field="5" count="1" selected="0">
            <x v="329"/>
          </reference>
          <reference field="6" count="1" selected="0">
            <x v="2"/>
          </reference>
          <reference field="9" count="1" selected="0">
            <x v="4"/>
          </reference>
          <reference field="10" count="1">
            <x v="1"/>
          </reference>
          <reference field="11" count="1" selected="0">
            <x v="28"/>
          </reference>
          <reference field="12" count="1" selected="0">
            <x v="8"/>
          </reference>
          <reference field="13" count="1" selected="0">
            <x v="3"/>
          </reference>
          <reference field="14" count="1" selected="0">
            <x v="39"/>
          </reference>
          <reference field="15" count="1" selected="0">
            <x v="16"/>
          </reference>
        </references>
      </pivotArea>
    </format>
    <format dxfId="8138">
      <pivotArea dataOnly="0" labelOnly="1" outline="0" fieldPosition="0">
        <references count="12">
          <reference field="1" count="0" selected="0"/>
          <reference field="3" count="1" selected="0">
            <x v="6"/>
          </reference>
          <reference field="4" count="1" selected="0">
            <x v="0"/>
          </reference>
          <reference field="5" count="1" selected="0">
            <x v="156"/>
          </reference>
          <reference field="6" count="1" selected="0">
            <x v="9"/>
          </reference>
          <reference field="9" count="1" selected="0">
            <x v="10"/>
          </reference>
          <reference field="10" count="1">
            <x v="1"/>
          </reference>
          <reference field="11" count="1" selected="0">
            <x v="23"/>
          </reference>
          <reference field="12" count="1" selected="0">
            <x v="8"/>
          </reference>
          <reference field="13" count="1" selected="0">
            <x v="3"/>
          </reference>
          <reference field="14" count="1" selected="0">
            <x v="32"/>
          </reference>
          <reference field="15" count="1" selected="0">
            <x v="45"/>
          </reference>
        </references>
      </pivotArea>
    </format>
    <format dxfId="8137">
      <pivotArea dataOnly="0" labelOnly="1" outline="0" fieldPosition="0">
        <references count="12">
          <reference field="1" count="0" selected="0"/>
          <reference field="3" count="1" selected="0">
            <x v="6"/>
          </reference>
          <reference field="4" count="1" selected="0">
            <x v="0"/>
          </reference>
          <reference field="5" count="1" selected="0">
            <x v="159"/>
          </reference>
          <reference field="6" count="1" selected="0">
            <x v="9"/>
          </reference>
          <reference field="9" count="1" selected="0">
            <x v="10"/>
          </reference>
          <reference field="10" count="1">
            <x v="1"/>
          </reference>
          <reference field="11" count="1" selected="0">
            <x v="30"/>
          </reference>
          <reference field="12" count="1" selected="0">
            <x v="8"/>
          </reference>
          <reference field="13" count="1" selected="0">
            <x v="3"/>
          </reference>
          <reference field="14" count="1" selected="0">
            <x v="38"/>
          </reference>
          <reference field="15" count="1" selected="0">
            <x v="40"/>
          </reference>
        </references>
      </pivotArea>
    </format>
    <format dxfId="8136">
      <pivotArea dataOnly="0" labelOnly="1" outline="0" fieldPosition="0">
        <references count="12">
          <reference field="1" count="0" selected="0"/>
          <reference field="3" count="1" selected="0">
            <x v="6"/>
          </reference>
          <reference field="4" count="1" selected="0">
            <x v="0"/>
          </reference>
          <reference field="5" count="1" selected="0">
            <x v="168"/>
          </reference>
          <reference field="6" count="1" selected="0">
            <x v="9"/>
          </reference>
          <reference field="9" count="1" selected="0">
            <x v="10"/>
          </reference>
          <reference field="10" count="1">
            <x v="1"/>
          </reference>
          <reference field="11" count="1" selected="0">
            <x v="47"/>
          </reference>
          <reference field="12" count="1" selected="0">
            <x v="8"/>
          </reference>
          <reference field="13" count="1" selected="0">
            <x v="4"/>
          </reference>
          <reference field="14" count="1" selected="0">
            <x v="17"/>
          </reference>
          <reference field="15" count="1" selected="0">
            <x v="36"/>
          </reference>
        </references>
      </pivotArea>
    </format>
    <format dxfId="8135">
      <pivotArea dataOnly="0" labelOnly="1" outline="0" fieldPosition="0">
        <references count="12">
          <reference field="1" count="0" selected="0"/>
          <reference field="3" count="1" selected="0">
            <x v="6"/>
          </reference>
          <reference field="4" count="1" selected="0">
            <x v="0"/>
          </reference>
          <reference field="5" count="1" selected="0">
            <x v="172"/>
          </reference>
          <reference field="6" count="1" selected="0">
            <x v="9"/>
          </reference>
          <reference field="9" count="1" selected="0">
            <x v="10"/>
          </reference>
          <reference field="10" count="1">
            <x v="1"/>
          </reference>
          <reference field="11" count="1" selected="0">
            <x v="14"/>
          </reference>
          <reference field="12" count="1" selected="0">
            <x v="33"/>
          </reference>
          <reference field="13" count="1" selected="0">
            <x v="3"/>
          </reference>
          <reference field="14" count="1" selected="0">
            <x v="25"/>
          </reference>
          <reference field="15" count="1" selected="0">
            <x v="48"/>
          </reference>
        </references>
      </pivotArea>
    </format>
    <format dxfId="8134">
      <pivotArea dataOnly="0" labelOnly="1" outline="0" fieldPosition="0">
        <references count="12">
          <reference field="1" count="0" selected="0"/>
          <reference field="3" count="1" selected="0">
            <x v="6"/>
          </reference>
          <reference field="4" count="1" selected="0">
            <x v="0"/>
          </reference>
          <reference field="5" count="1" selected="0">
            <x v="177"/>
          </reference>
          <reference field="6" count="1" selected="0">
            <x v="9"/>
          </reference>
          <reference field="9" count="1" selected="0">
            <x v="10"/>
          </reference>
          <reference field="10" count="1">
            <x v="1"/>
          </reference>
          <reference field="11" count="1" selected="0">
            <x v="1"/>
          </reference>
          <reference field="12" count="1" selected="0">
            <x v="8"/>
          </reference>
          <reference field="13" count="1" selected="0">
            <x v="3"/>
          </reference>
          <reference field="14" count="1" selected="0">
            <x v="4"/>
          </reference>
          <reference field="15" count="1" selected="0">
            <x v="22"/>
          </reference>
        </references>
      </pivotArea>
    </format>
    <format dxfId="8133">
      <pivotArea dataOnly="0" labelOnly="1" outline="0" fieldPosition="0">
        <references count="12">
          <reference field="1" count="0" selected="0"/>
          <reference field="3" count="1" selected="0">
            <x v="6"/>
          </reference>
          <reference field="4" count="1" selected="0">
            <x v="0"/>
          </reference>
          <reference field="5" count="1" selected="0">
            <x v="178"/>
          </reference>
          <reference field="6" count="1" selected="0">
            <x v="9"/>
          </reference>
          <reference field="9" count="1" selected="0">
            <x v="10"/>
          </reference>
          <reference field="10" count="1">
            <x v="1"/>
          </reference>
          <reference field="11" count="1" selected="0">
            <x v="14"/>
          </reference>
          <reference field="12" count="1" selected="0">
            <x v="27"/>
          </reference>
          <reference field="13" count="1" selected="0">
            <x v="3"/>
          </reference>
          <reference field="14" count="1" selected="0">
            <x v="37"/>
          </reference>
          <reference field="15" count="1" selected="0">
            <x v="14"/>
          </reference>
        </references>
      </pivotArea>
    </format>
    <format dxfId="8132">
      <pivotArea dataOnly="0" labelOnly="1" outline="0" fieldPosition="0">
        <references count="12">
          <reference field="1" count="0" selected="0"/>
          <reference field="3" count="1" selected="0">
            <x v="6"/>
          </reference>
          <reference field="4" count="1" selected="0">
            <x v="0"/>
          </reference>
          <reference field="5" count="1" selected="0">
            <x v="184"/>
          </reference>
          <reference field="6" count="1" selected="0">
            <x v="9"/>
          </reference>
          <reference field="9" count="1" selected="0">
            <x v="10"/>
          </reference>
          <reference field="10" count="1">
            <x v="1"/>
          </reference>
          <reference field="11" count="1" selected="0">
            <x v="10"/>
          </reference>
          <reference field="12" count="1" selected="0">
            <x v="28"/>
          </reference>
          <reference field="13" count="1" selected="0">
            <x v="3"/>
          </reference>
          <reference field="14" count="1" selected="0">
            <x v="53"/>
          </reference>
          <reference field="15" count="1" selected="0">
            <x v="22"/>
          </reference>
        </references>
      </pivotArea>
    </format>
    <format dxfId="8131">
      <pivotArea dataOnly="0" labelOnly="1" outline="0" fieldPosition="0">
        <references count="12">
          <reference field="1" count="0" selected="0"/>
          <reference field="3" count="1" selected="0">
            <x v="6"/>
          </reference>
          <reference field="4" count="1" selected="0">
            <x v="0"/>
          </reference>
          <reference field="5" count="1" selected="0">
            <x v="187"/>
          </reference>
          <reference field="6" count="1" selected="0">
            <x v="9"/>
          </reference>
          <reference field="9" count="1" selected="0">
            <x v="10"/>
          </reference>
          <reference field="10" count="1">
            <x v="1"/>
          </reference>
          <reference field="11" count="1" selected="0">
            <x v="50"/>
          </reference>
          <reference field="12" count="1" selected="0">
            <x v="8"/>
          </reference>
          <reference field="13" count="1" selected="0">
            <x v="3"/>
          </reference>
          <reference field="14" count="1" selected="0">
            <x v="48"/>
          </reference>
          <reference field="15" count="1" selected="0">
            <x v="14"/>
          </reference>
        </references>
      </pivotArea>
    </format>
    <format dxfId="8130">
      <pivotArea dataOnly="0" labelOnly="1" outline="0" fieldPosition="0">
        <references count="12">
          <reference field="1" count="0" selected="0"/>
          <reference field="3" count="1" selected="0">
            <x v="6"/>
          </reference>
          <reference field="4" count="1" selected="0">
            <x v="0"/>
          </reference>
          <reference field="5" count="1" selected="0">
            <x v="209"/>
          </reference>
          <reference field="6" count="1" selected="0">
            <x v="9"/>
          </reference>
          <reference field="9" count="1" selected="0">
            <x v="10"/>
          </reference>
          <reference field="10" count="1">
            <x v="1"/>
          </reference>
          <reference field="11" count="1" selected="0">
            <x v="36"/>
          </reference>
          <reference field="12" count="1" selected="0">
            <x v="8"/>
          </reference>
          <reference field="13" count="1" selected="0">
            <x v="3"/>
          </reference>
          <reference field="14" count="1" selected="0">
            <x v="35"/>
          </reference>
          <reference field="15" count="1" selected="0">
            <x v="14"/>
          </reference>
        </references>
      </pivotArea>
    </format>
    <format dxfId="8129">
      <pivotArea dataOnly="0" labelOnly="1" outline="0" fieldPosition="0">
        <references count="12">
          <reference field="1" count="0" selected="0"/>
          <reference field="3" count="1" selected="0">
            <x v="6"/>
          </reference>
          <reference field="4" count="1" selected="0">
            <x v="0"/>
          </reference>
          <reference field="5" count="1" selected="0">
            <x v="325"/>
          </reference>
          <reference field="6" count="1" selected="0">
            <x v="9"/>
          </reference>
          <reference field="9" count="1" selected="0">
            <x v="10"/>
          </reference>
          <reference field="10" count="1">
            <x v="1"/>
          </reference>
          <reference field="11" count="1" selected="0">
            <x v="14"/>
          </reference>
          <reference field="12" count="1" selected="0">
            <x v="13"/>
          </reference>
          <reference field="13" count="1" selected="0">
            <x v="3"/>
          </reference>
          <reference field="14" count="1" selected="0">
            <x v="17"/>
          </reference>
          <reference field="15" count="1" selected="0">
            <x v="14"/>
          </reference>
        </references>
      </pivotArea>
    </format>
    <format dxfId="8128">
      <pivotArea dataOnly="0" labelOnly="1" outline="0" fieldPosition="0">
        <references count="12">
          <reference field="1" count="0" selected="0"/>
          <reference field="3" count="1" selected="0">
            <x v="6"/>
          </reference>
          <reference field="4" count="1" selected="0">
            <x v="0"/>
          </reference>
          <reference field="5" count="1" selected="0">
            <x v="352"/>
          </reference>
          <reference field="6" count="1" selected="0">
            <x v="9"/>
          </reference>
          <reference field="9" count="1" selected="0">
            <x v="10"/>
          </reference>
          <reference field="10" count="1">
            <x v="1"/>
          </reference>
          <reference field="11" count="1" selected="0">
            <x v="38"/>
          </reference>
          <reference field="12" count="1" selected="0">
            <x v="36"/>
          </reference>
          <reference field="13" count="1" selected="0">
            <x v="3"/>
          </reference>
          <reference field="14" count="1" selected="0">
            <x v="1"/>
          </reference>
          <reference field="15" count="1" selected="0">
            <x v="39"/>
          </reference>
        </references>
      </pivotArea>
    </format>
    <format dxfId="8127">
      <pivotArea dataOnly="0" labelOnly="1" outline="0" fieldPosition="0">
        <references count="12">
          <reference field="1" count="0" selected="0"/>
          <reference field="3" count="1" selected="0">
            <x v="0"/>
          </reference>
          <reference field="4" count="1" selected="0">
            <x v="1"/>
          </reference>
          <reference field="5" count="1" selected="0">
            <x v="348"/>
          </reference>
          <reference field="6" count="1" selected="0">
            <x v="7"/>
          </reference>
          <reference field="9" count="1" selected="0">
            <x v="10"/>
          </reference>
          <reference field="10" count="1">
            <x v="1"/>
          </reference>
          <reference field="11" count="1" selected="0">
            <x v="14"/>
          </reference>
          <reference field="12" count="1" selected="0">
            <x v="8"/>
          </reference>
          <reference field="13" count="1" selected="0">
            <x v="3"/>
          </reference>
          <reference field="14" count="1" selected="0">
            <x v="17"/>
          </reference>
          <reference field="15" count="1" selected="0">
            <x v="14"/>
          </reference>
        </references>
      </pivotArea>
    </format>
    <format dxfId="8126">
      <pivotArea dataOnly="0" labelOnly="1" outline="0" fieldPosition="0">
        <references count="12">
          <reference field="1" count="0" selected="0"/>
          <reference field="3" count="1" selected="0">
            <x v="3"/>
          </reference>
          <reference field="4" count="1" selected="0">
            <x v="1"/>
          </reference>
          <reference field="5" count="1" selected="0">
            <x v="192"/>
          </reference>
          <reference field="6" count="1" selected="0">
            <x v="2"/>
          </reference>
          <reference field="9" count="1" selected="0">
            <x v="10"/>
          </reference>
          <reference field="10" count="1">
            <x v="1"/>
          </reference>
          <reference field="11" count="1" selected="0">
            <x v="60"/>
          </reference>
          <reference field="12" count="1" selected="0">
            <x v="8"/>
          </reference>
          <reference field="13" count="1" selected="0">
            <x v="3"/>
          </reference>
          <reference field="14" count="1" selected="0">
            <x v="17"/>
          </reference>
          <reference field="15" count="1" selected="0">
            <x v="8"/>
          </reference>
        </references>
      </pivotArea>
    </format>
    <format dxfId="8125">
      <pivotArea dataOnly="0" labelOnly="1" outline="0" fieldPosition="0">
        <references count="12">
          <reference field="1" count="0" selected="0"/>
          <reference field="3" count="1" selected="0">
            <x v="3"/>
          </reference>
          <reference field="4" count="1" selected="0">
            <x v="1"/>
          </reference>
          <reference field="5" count="1" selected="0">
            <x v="193"/>
          </reference>
          <reference field="6" count="1" selected="0">
            <x v="2"/>
          </reference>
          <reference field="9" count="1" selected="0">
            <x v="10"/>
          </reference>
          <reference field="10" count="1">
            <x v="1"/>
          </reference>
          <reference field="11" count="1" selected="0">
            <x v="8"/>
          </reference>
          <reference field="12" count="1" selected="0">
            <x v="21"/>
          </reference>
          <reference field="13" count="1" selected="0">
            <x v="3"/>
          </reference>
          <reference field="14" count="1" selected="0">
            <x v="17"/>
          </reference>
          <reference field="15" count="1" selected="0">
            <x v="52"/>
          </reference>
        </references>
      </pivotArea>
    </format>
    <format dxfId="8124">
      <pivotArea dataOnly="0" labelOnly="1" outline="0" fieldPosition="0">
        <references count="12">
          <reference field="1" count="0" selected="0"/>
          <reference field="3" count="1" selected="0">
            <x v="3"/>
          </reference>
          <reference field="4" count="1" selected="0">
            <x v="1"/>
          </reference>
          <reference field="5" count="1" selected="0">
            <x v="201"/>
          </reference>
          <reference field="6" count="1" selected="0">
            <x v="2"/>
          </reference>
          <reference field="9" count="1" selected="0">
            <x v="10"/>
          </reference>
          <reference field="10" count="1">
            <x v="1"/>
          </reference>
          <reference field="11" count="1" selected="0">
            <x v="1"/>
          </reference>
          <reference field="12" count="1" selected="0">
            <x v="8"/>
          </reference>
          <reference field="13" count="1" selected="0">
            <x v="3"/>
          </reference>
          <reference field="14" count="1" selected="0">
            <x v="0"/>
          </reference>
          <reference field="15" count="1" selected="0">
            <x v="5"/>
          </reference>
        </references>
      </pivotArea>
    </format>
    <format dxfId="8123">
      <pivotArea dataOnly="0" labelOnly="1" outline="0" fieldPosition="0">
        <references count="12">
          <reference field="1" count="0" selected="0"/>
          <reference field="3" count="1" selected="0">
            <x v="3"/>
          </reference>
          <reference field="4" count="1" selected="0">
            <x v="1"/>
          </reference>
          <reference field="5" count="1" selected="0">
            <x v="208"/>
          </reference>
          <reference field="6" count="1" selected="0">
            <x v="2"/>
          </reference>
          <reference field="9" count="1" selected="0">
            <x v="10"/>
          </reference>
          <reference field="10" count="1">
            <x v="1"/>
          </reference>
          <reference field="11" count="1" selected="0">
            <x v="1"/>
          </reference>
          <reference field="12" count="1" selected="0">
            <x v="8"/>
          </reference>
          <reference field="13" count="1" selected="0">
            <x v="3"/>
          </reference>
          <reference field="14" count="1" selected="0">
            <x v="6"/>
          </reference>
          <reference field="15" count="1" selected="0">
            <x v="16"/>
          </reference>
        </references>
      </pivotArea>
    </format>
    <format dxfId="8122">
      <pivotArea dataOnly="0" labelOnly="1" outline="0" fieldPosition="0">
        <references count="12">
          <reference field="1" count="0" selected="0"/>
          <reference field="3" count="1" selected="0">
            <x v="4"/>
          </reference>
          <reference field="4" count="1" selected="0">
            <x v="1"/>
          </reference>
          <reference field="5" count="1" selected="0">
            <x v="96"/>
          </reference>
          <reference field="6" count="1" selected="0">
            <x v="2"/>
          </reference>
          <reference field="9" count="1" selected="0">
            <x v="10"/>
          </reference>
          <reference field="10" count="1">
            <x v="1"/>
          </reference>
          <reference field="11" count="1" selected="0">
            <x v="22"/>
          </reference>
          <reference field="12" count="1" selected="0">
            <x v="8"/>
          </reference>
          <reference field="13" count="1" selected="0">
            <x v="3"/>
          </reference>
          <reference field="14" count="1" selected="0">
            <x v="41"/>
          </reference>
          <reference field="15" count="1" selected="0">
            <x v="43"/>
          </reference>
        </references>
      </pivotArea>
    </format>
    <format dxfId="8121">
      <pivotArea dataOnly="0" labelOnly="1" outline="0" fieldPosition="0">
        <references count="12">
          <reference field="1" count="0" selected="0"/>
          <reference field="3" count="1" selected="0">
            <x v="4"/>
          </reference>
          <reference field="4" count="1" selected="0">
            <x v="1"/>
          </reference>
          <reference field="5" count="1" selected="0">
            <x v="103"/>
          </reference>
          <reference field="6" count="1" selected="0">
            <x v="2"/>
          </reference>
          <reference field="9" count="1" selected="0">
            <x v="4"/>
          </reference>
          <reference field="10" count="1">
            <x v="1"/>
          </reference>
          <reference field="11" count="1" selected="0">
            <x v="2"/>
          </reference>
          <reference field="12" count="1" selected="0">
            <x v="8"/>
          </reference>
          <reference field="13" count="1" selected="0">
            <x v="3"/>
          </reference>
          <reference field="14" count="1" selected="0">
            <x v="51"/>
          </reference>
          <reference field="15" count="1" selected="0">
            <x v="7"/>
          </reference>
        </references>
      </pivotArea>
    </format>
    <format dxfId="8120">
      <pivotArea dataOnly="0" labelOnly="1" outline="0" fieldPosition="0">
        <references count="12">
          <reference field="1" count="0" selected="0"/>
          <reference field="3" count="1" selected="0">
            <x v="4"/>
          </reference>
          <reference field="4" count="1" selected="0">
            <x v="1"/>
          </reference>
          <reference field="5" count="1" selected="0">
            <x v="169"/>
          </reference>
          <reference field="6" count="1" selected="0">
            <x v="2"/>
          </reference>
          <reference field="9" count="1" selected="0">
            <x v="10"/>
          </reference>
          <reference field="10" count="1">
            <x v="1"/>
          </reference>
          <reference field="11" count="1" selected="0">
            <x v="14"/>
          </reference>
          <reference field="12" count="1" selected="0">
            <x v="18"/>
          </reference>
          <reference field="13" count="1" selected="0">
            <x v="3"/>
          </reference>
          <reference field="14" count="1" selected="0">
            <x v="17"/>
          </reference>
          <reference field="15" count="1" selected="0">
            <x v="49"/>
          </reference>
        </references>
      </pivotArea>
    </format>
    <format dxfId="8119">
      <pivotArea dataOnly="0" labelOnly="1" outline="0" fieldPosition="0">
        <references count="12">
          <reference field="1" count="0" selected="0"/>
          <reference field="3" count="1" selected="0">
            <x v="4"/>
          </reference>
          <reference field="4" count="1" selected="0">
            <x v="1"/>
          </reference>
          <reference field="5" count="1" selected="0">
            <x v="210"/>
          </reference>
          <reference field="6" count="1" selected="0">
            <x v="2"/>
          </reference>
          <reference field="9" count="1" selected="0">
            <x v="10"/>
          </reference>
          <reference field="10" count="1">
            <x v="1"/>
          </reference>
          <reference field="11" count="1" selected="0">
            <x v="1"/>
          </reference>
          <reference field="12" count="1" selected="0">
            <x v="8"/>
          </reference>
          <reference field="13" count="1" selected="0">
            <x v="3"/>
          </reference>
          <reference field="14" count="1" selected="0">
            <x v="5"/>
          </reference>
          <reference field="15" count="1" selected="0">
            <x v="57"/>
          </reference>
        </references>
      </pivotArea>
    </format>
    <format dxfId="8118">
      <pivotArea dataOnly="0" labelOnly="1" outline="0" fieldPosition="0">
        <references count="12">
          <reference field="1" count="0" selected="0"/>
          <reference field="3" count="1" selected="0">
            <x v="4"/>
          </reference>
          <reference field="4" count="1" selected="0">
            <x v="1"/>
          </reference>
          <reference field="5" count="1" selected="0">
            <x v="327"/>
          </reference>
          <reference field="6" count="1" selected="0">
            <x v="2"/>
          </reference>
          <reference field="9" count="1" selected="0">
            <x v="10"/>
          </reference>
          <reference field="10" count="1">
            <x v="1"/>
          </reference>
          <reference field="11" count="1" selected="0">
            <x v="31"/>
          </reference>
          <reference field="12" count="1" selected="0">
            <x v="8"/>
          </reference>
          <reference field="13" count="1" selected="0">
            <x v="3"/>
          </reference>
          <reference field="14" count="1" selected="0">
            <x v="28"/>
          </reference>
          <reference field="15" count="1" selected="0">
            <x v="26"/>
          </reference>
        </references>
      </pivotArea>
    </format>
    <format dxfId="8117">
      <pivotArea dataOnly="0" labelOnly="1" outline="0" fieldPosition="0">
        <references count="12">
          <reference field="1" count="0" selected="0"/>
          <reference field="3" count="1" selected="0">
            <x v="5"/>
          </reference>
          <reference field="4" count="1" selected="0">
            <x v="3"/>
          </reference>
          <reference field="5" count="1" selected="0">
            <x v="132"/>
          </reference>
          <reference field="6" count="1" selected="0">
            <x v="3"/>
          </reference>
          <reference field="9" count="1" selected="0">
            <x v="10"/>
          </reference>
          <reference field="10" count="1">
            <x v="1"/>
          </reference>
          <reference field="11" count="1" selected="0">
            <x v="14"/>
          </reference>
          <reference field="12" count="1" selected="0">
            <x v="11"/>
          </reference>
          <reference field="13" count="1" selected="0">
            <x v="3"/>
          </reference>
          <reference field="14" count="1" selected="0">
            <x v="30"/>
          </reference>
          <reference field="15" count="1" selected="0">
            <x v="37"/>
          </reference>
        </references>
      </pivotArea>
    </format>
    <format dxfId="8116">
      <pivotArea dataOnly="0" labelOnly="1" outline="0" fieldPosition="0">
        <references count="12">
          <reference field="1" count="0" selected="0"/>
          <reference field="3" count="1" selected="0">
            <x v="6"/>
          </reference>
          <reference field="4" count="1" selected="0">
            <x v="0"/>
          </reference>
          <reference field="5" count="1" selected="0">
            <x v="95"/>
          </reference>
          <reference field="6" count="1" selected="0">
            <x v="9"/>
          </reference>
          <reference field="9" count="1" selected="0">
            <x v="10"/>
          </reference>
          <reference field="10" count="1">
            <x v="1"/>
          </reference>
          <reference field="11" count="1" selected="0">
            <x v="48"/>
          </reference>
          <reference field="12" count="1" selected="0">
            <x v="8"/>
          </reference>
          <reference field="13" count="1" selected="0">
            <x v="3"/>
          </reference>
          <reference field="14" count="1" selected="0">
            <x v="17"/>
          </reference>
          <reference field="15" count="1" selected="0">
            <x v="17"/>
          </reference>
        </references>
      </pivotArea>
    </format>
    <format dxfId="8115">
      <pivotArea dataOnly="0" labelOnly="1" outline="0" fieldPosition="0">
        <references count="12">
          <reference field="1" count="0" selected="0"/>
          <reference field="3" count="1" selected="0">
            <x v="6"/>
          </reference>
          <reference field="4" count="1" selected="0">
            <x v="0"/>
          </reference>
          <reference field="5" count="1" selected="0">
            <x v="129"/>
          </reference>
          <reference field="6" count="1" selected="0">
            <x v="9"/>
          </reference>
          <reference field="9" count="1" selected="0">
            <x v="10"/>
          </reference>
          <reference field="10" count="1">
            <x v="1"/>
          </reference>
          <reference field="11" count="1" selected="0">
            <x v="14"/>
          </reference>
          <reference field="12" count="1" selected="0">
            <x v="24"/>
          </reference>
          <reference field="13" count="1" selected="0">
            <x v="3"/>
          </reference>
          <reference field="14" count="1" selected="0">
            <x v="54"/>
          </reference>
          <reference field="15" count="1" selected="0">
            <x v="11"/>
          </reference>
        </references>
      </pivotArea>
    </format>
    <format dxfId="8114">
      <pivotArea dataOnly="0" labelOnly="1" outline="0" fieldPosition="0">
        <references count="12">
          <reference field="1" count="0" selected="0"/>
          <reference field="3" count="1" selected="0">
            <x v="6"/>
          </reference>
          <reference field="4" count="1" selected="0">
            <x v="0"/>
          </reference>
          <reference field="5" count="1" selected="0">
            <x v="157"/>
          </reference>
          <reference field="6" count="1" selected="0">
            <x v="9"/>
          </reference>
          <reference field="9" count="1" selected="0">
            <x v="10"/>
          </reference>
          <reference field="10" count="1">
            <x v="1"/>
          </reference>
          <reference field="11" count="1" selected="0">
            <x v="56"/>
          </reference>
          <reference field="12" count="1" selected="0">
            <x v="8"/>
          </reference>
          <reference field="13" count="1" selected="0">
            <x v="3"/>
          </reference>
          <reference field="14" count="1" selected="0">
            <x v="57"/>
          </reference>
          <reference field="15" count="1" selected="0">
            <x v="58"/>
          </reference>
        </references>
      </pivotArea>
    </format>
    <format dxfId="8113">
      <pivotArea dataOnly="0" labelOnly="1" outline="0" fieldPosition="0">
        <references count="12">
          <reference field="1" count="0" selected="0"/>
          <reference field="3" count="1" selected="0">
            <x v="6"/>
          </reference>
          <reference field="4" count="1" selected="0">
            <x v="0"/>
          </reference>
          <reference field="5" count="1" selected="0">
            <x v="158"/>
          </reference>
          <reference field="6" count="1" selected="0">
            <x v="9"/>
          </reference>
          <reference field="9" count="1" selected="0">
            <x v="10"/>
          </reference>
          <reference field="10" count="1">
            <x v="1"/>
          </reference>
          <reference field="11" count="1" selected="0">
            <x v="46"/>
          </reference>
          <reference field="12" count="1" selected="0">
            <x v="8"/>
          </reference>
          <reference field="13" count="1" selected="0">
            <x v="3"/>
          </reference>
          <reference field="14" count="1" selected="0">
            <x v="20"/>
          </reference>
          <reference field="15" count="1" selected="0">
            <x v="12"/>
          </reference>
        </references>
      </pivotArea>
    </format>
    <format dxfId="8112">
      <pivotArea dataOnly="0" labelOnly="1" outline="0" fieldPosition="0">
        <references count="12">
          <reference field="1" count="0" selected="0"/>
          <reference field="3" count="1" selected="0">
            <x v="6"/>
          </reference>
          <reference field="4" count="1" selected="0">
            <x v="0"/>
          </reference>
          <reference field="5" count="1" selected="0">
            <x v="170"/>
          </reference>
          <reference field="6" count="1" selected="0">
            <x v="9"/>
          </reference>
          <reference field="9" count="1" selected="0">
            <x v="10"/>
          </reference>
          <reference field="10" count="1">
            <x v="1"/>
          </reference>
          <reference field="11" count="1" selected="0">
            <x v="14"/>
          </reference>
          <reference field="12" count="1" selected="0">
            <x v="7"/>
          </reference>
          <reference field="13" count="1" selected="0">
            <x v="3"/>
          </reference>
          <reference field="14" count="1" selected="0">
            <x v="17"/>
          </reference>
          <reference field="15" count="1" selected="0">
            <x v="66"/>
          </reference>
        </references>
      </pivotArea>
    </format>
    <format dxfId="8111">
      <pivotArea dataOnly="0" labelOnly="1" outline="0" fieldPosition="0">
        <references count="12">
          <reference field="1" count="0" selected="0"/>
          <reference field="3" count="1" selected="0">
            <x v="6"/>
          </reference>
          <reference field="4" count="1" selected="0">
            <x v="0"/>
          </reference>
          <reference field="5" count="1" selected="0">
            <x v="171"/>
          </reference>
          <reference field="6" count="1" selected="0">
            <x v="9"/>
          </reference>
          <reference field="9" count="1" selected="0">
            <x v="10"/>
          </reference>
          <reference field="10" count="1">
            <x v="1"/>
          </reference>
          <reference field="11" count="1" selected="0">
            <x v="14"/>
          </reference>
          <reference field="12" count="1" selected="0">
            <x v="8"/>
          </reference>
          <reference field="13" count="1" selected="0">
            <x v="3"/>
          </reference>
          <reference field="14" count="1" selected="0">
            <x v="17"/>
          </reference>
          <reference field="15" count="1" selected="0">
            <x v="2"/>
          </reference>
        </references>
      </pivotArea>
    </format>
    <format dxfId="8110">
      <pivotArea dataOnly="0" labelOnly="1" outline="0" fieldPosition="0">
        <references count="12">
          <reference field="1" count="0" selected="0"/>
          <reference field="3" count="1" selected="0">
            <x v="6"/>
          </reference>
          <reference field="4" count="1" selected="0">
            <x v="0"/>
          </reference>
          <reference field="5" count="1" selected="0">
            <x v="180"/>
          </reference>
          <reference field="6" count="1" selected="0">
            <x v="9"/>
          </reference>
          <reference field="9" count="1" selected="0">
            <x v="10"/>
          </reference>
          <reference field="10" count="1">
            <x v="1"/>
          </reference>
          <reference field="11" count="1" selected="0">
            <x v="14"/>
          </reference>
          <reference field="12" count="1" selected="0">
            <x v="35"/>
          </reference>
          <reference field="13" count="1" selected="0">
            <x v="3"/>
          </reference>
          <reference field="14" count="1" selected="0">
            <x v="17"/>
          </reference>
          <reference field="15" count="1" selected="0">
            <x v="67"/>
          </reference>
        </references>
      </pivotArea>
    </format>
    <format dxfId="8109">
      <pivotArea dataOnly="0" labelOnly="1" outline="0" fieldPosition="0">
        <references count="12">
          <reference field="1" count="0" selected="0"/>
          <reference field="3" count="1" selected="0">
            <x v="6"/>
          </reference>
          <reference field="4" count="1" selected="0">
            <x v="0"/>
          </reference>
          <reference field="5" count="1" selected="0">
            <x v="185"/>
          </reference>
          <reference field="6" count="1" selected="0">
            <x v="9"/>
          </reference>
          <reference field="9" count="1" selected="0">
            <x v="10"/>
          </reference>
          <reference field="10" count="1">
            <x v="1"/>
          </reference>
          <reference field="11" count="1" selected="0">
            <x v="14"/>
          </reference>
          <reference field="12" count="1" selected="0">
            <x v="32"/>
          </reference>
          <reference field="13" count="1" selected="0">
            <x v="3"/>
          </reference>
          <reference field="14" count="1" selected="0">
            <x v="55"/>
          </reference>
          <reference field="15" count="1" selected="0">
            <x v="60"/>
          </reference>
        </references>
      </pivotArea>
    </format>
    <format dxfId="8108">
      <pivotArea dataOnly="0" labelOnly="1" outline="0" fieldPosition="0">
        <references count="12">
          <reference field="1" count="0" selected="0"/>
          <reference field="3" count="1" selected="0">
            <x v="6"/>
          </reference>
          <reference field="4" count="1" selected="0">
            <x v="0"/>
          </reference>
          <reference field="5" count="1" selected="0">
            <x v="186"/>
          </reference>
          <reference field="6" count="1" selected="0">
            <x v="9"/>
          </reference>
          <reference field="9" count="1" selected="0">
            <x v="10"/>
          </reference>
          <reference field="10" count="1">
            <x v="1"/>
          </reference>
          <reference field="11" count="1" selected="0">
            <x v="39"/>
          </reference>
          <reference field="12" count="1" selected="0">
            <x v="8"/>
          </reference>
          <reference field="13" count="1" selected="0">
            <x v="3"/>
          </reference>
          <reference field="14" count="1" selected="0">
            <x v="50"/>
          </reference>
          <reference field="15" count="1" selected="0">
            <x v="27"/>
          </reference>
        </references>
      </pivotArea>
    </format>
    <format dxfId="8107">
      <pivotArea dataOnly="0" labelOnly="1" outline="0" fieldPosition="0">
        <references count="12">
          <reference field="1" count="0" selected="0"/>
          <reference field="3" count="1" selected="0">
            <x v="6"/>
          </reference>
          <reference field="4" count="1" selected="0">
            <x v="0"/>
          </reference>
          <reference field="5" count="1" selected="0">
            <x v="351"/>
          </reference>
          <reference field="6" count="1" selected="0">
            <x v="9"/>
          </reference>
          <reference field="9" count="1" selected="0">
            <x v="10"/>
          </reference>
          <reference field="10" count="1">
            <x v="1"/>
          </reference>
          <reference field="11" count="1" selected="0">
            <x v="55"/>
          </reference>
          <reference field="12" count="1" selected="0">
            <x v="19"/>
          </reference>
          <reference field="13" count="1" selected="0">
            <x v="3"/>
          </reference>
          <reference field="14" count="1" selected="0">
            <x v="19"/>
          </reference>
          <reference field="15" count="1" selected="0">
            <x v="46"/>
          </reference>
        </references>
      </pivotArea>
    </format>
    <format dxfId="8106">
      <pivotArea dataOnly="0" labelOnly="1" outline="0" fieldPosition="0">
        <references count="12">
          <reference field="1" count="0" selected="0"/>
          <reference field="3" count="1" selected="0">
            <x v="8"/>
          </reference>
          <reference field="4" count="1" selected="0">
            <x v="3"/>
          </reference>
          <reference field="5" count="1" selected="0">
            <x v="114"/>
          </reference>
          <reference field="6" count="1" selected="0">
            <x v="3"/>
          </reference>
          <reference field="9" count="1" selected="0">
            <x v="10"/>
          </reference>
          <reference field="10" count="1">
            <x v="1"/>
          </reference>
          <reference field="11" count="1" selected="0">
            <x v="26"/>
          </reference>
          <reference field="12" count="1" selected="0">
            <x v="26"/>
          </reference>
          <reference field="13" count="1" selected="0">
            <x v="3"/>
          </reference>
          <reference field="14" count="1" selected="0">
            <x v="40"/>
          </reference>
          <reference field="15" count="1" selected="0">
            <x v="63"/>
          </reference>
        </references>
      </pivotArea>
    </format>
    <format dxfId="8105">
      <pivotArea dataOnly="0" labelOnly="1" outline="0" fieldPosition="0">
        <references count="12">
          <reference field="1" count="0" selected="0"/>
          <reference field="3" count="1" selected="0">
            <x v="8"/>
          </reference>
          <reference field="4" count="1" selected="0">
            <x v="3"/>
          </reference>
          <reference field="5" count="1" selected="0">
            <x v="140"/>
          </reference>
          <reference field="6" count="1" selected="0">
            <x v="3"/>
          </reference>
          <reference field="9" count="1" selected="0">
            <x v="10"/>
          </reference>
          <reference field="10" count="1">
            <x v="1"/>
          </reference>
          <reference field="11" count="1" selected="0">
            <x v="14"/>
          </reference>
          <reference field="12" count="1" selected="0">
            <x v="31"/>
          </reference>
          <reference field="13" count="1" selected="0">
            <x v="3"/>
          </reference>
          <reference field="14" count="1" selected="0">
            <x v="17"/>
          </reference>
          <reference field="15" count="1" selected="0">
            <x v="59"/>
          </reference>
        </references>
      </pivotArea>
    </format>
    <format dxfId="8104">
      <pivotArea dataOnly="0" labelOnly="1" outline="0" offset="IV21:IV256" fieldPosition="0">
        <references count="1">
          <reference field="1" count="0"/>
        </references>
      </pivotArea>
    </format>
    <format dxfId="8103">
      <pivotArea dataOnly="0" labelOnly="1" outline="0" fieldPosition="0">
        <references count="2">
          <reference field="1" count="0" selected="0"/>
          <reference field="3" count="2">
            <x v="9"/>
            <x v="10"/>
          </reference>
        </references>
      </pivotArea>
    </format>
    <format dxfId="8102">
      <pivotArea dataOnly="0" labelOnly="1" outline="0" fieldPosition="0">
        <references count="3">
          <reference field="1" count="0" selected="0"/>
          <reference field="3" count="1" selected="0">
            <x v="9"/>
          </reference>
          <reference field="5" count="2">
            <x v="136"/>
            <x v="140"/>
          </reference>
        </references>
      </pivotArea>
    </format>
    <format dxfId="8101">
      <pivotArea dataOnly="0" labelOnly="1" outline="0" fieldPosition="0">
        <references count="3">
          <reference field="1" count="0" selected="0"/>
          <reference field="3" count="1" selected="0">
            <x v="10"/>
          </reference>
          <reference field="5" count="1">
            <x v="359"/>
          </reference>
        </references>
      </pivotArea>
    </format>
    <format dxfId="8100">
      <pivotArea dataOnly="0" labelOnly="1" outline="0" fieldPosition="0">
        <references count="4">
          <reference field="1" count="0" selected="0"/>
          <reference field="3" count="1" selected="0">
            <x v="9"/>
          </reference>
          <reference field="5" count="1" selected="0">
            <x v="136"/>
          </reference>
          <reference field="6" count="1">
            <x v="5"/>
          </reference>
        </references>
      </pivotArea>
    </format>
    <format dxfId="8099">
      <pivotArea dataOnly="0" labelOnly="1" outline="0" fieldPosition="0">
        <references count="4">
          <reference field="1" count="0" selected="0"/>
          <reference field="3" count="1" selected="0">
            <x v="10"/>
          </reference>
          <reference field="5" count="1" selected="0">
            <x v="359"/>
          </reference>
          <reference field="6" count="1">
            <x v="6"/>
          </reference>
        </references>
      </pivotArea>
    </format>
    <format dxfId="8098">
      <pivotArea dataOnly="0" outline="0" fieldPosition="0">
        <references count="1">
          <reference field="13" count="1">
            <x v="6"/>
          </reference>
        </references>
      </pivotArea>
    </format>
    <format dxfId="8097">
      <pivotArea dataOnly="0" outline="0" fieldPosition="0">
        <references count="1">
          <reference field="13" count="1">
            <x v="6"/>
          </reference>
        </references>
      </pivotArea>
    </format>
    <format dxfId="8096">
      <pivotArea dataOnly="0" labelOnly="1" outline="0" fieldPosition="0">
        <references count="1">
          <reference field="11" count="0"/>
        </references>
      </pivotArea>
    </format>
    <format dxfId="8095">
      <pivotArea dataOnly="0" outline="0" fieldPosition="0">
        <references count="1">
          <reference field="13" count="1">
            <x v="15"/>
          </reference>
        </references>
      </pivotArea>
    </format>
    <format dxfId="8094">
      <pivotArea dataOnly="0" outline="0" fieldPosition="0">
        <references count="1">
          <reference field="13" count="1">
            <x v="15"/>
          </reference>
        </references>
      </pivotArea>
    </format>
    <format dxfId="8093">
      <pivotArea dataOnly="0" labelOnly="1" outline="0" fieldPosition="0">
        <references count="1">
          <reference field="13" count="0"/>
        </references>
      </pivotArea>
    </format>
    <format dxfId="8092">
      <pivotArea dataOnly="0" labelOnly="1" outline="0" fieldPosition="0">
        <references count="1">
          <reference field="13" count="0"/>
        </references>
      </pivotArea>
    </format>
    <format dxfId="8091">
      <pivotArea dataOnly="0" labelOnly="1" outline="0" offset="IV2" fieldPosition="0">
        <references count="4">
          <reference field="1" count="0" selected="0"/>
          <reference field="3" count="1" selected="0">
            <x v="6"/>
          </reference>
          <reference field="5" count="1" selected="0">
            <x v="178"/>
          </reference>
          <reference field="6" count="1">
            <x v="9"/>
          </reference>
        </references>
      </pivotArea>
    </format>
    <format dxfId="8090">
      <pivotArea dataOnly="0" labelOnly="1" outline="0" offset="IV2" fieldPosition="0">
        <references count="5">
          <reference field="1" count="0" selected="0"/>
          <reference field="3" count="1" selected="0">
            <x v="6"/>
          </reference>
          <reference field="4" count="1">
            <x v="0"/>
          </reference>
          <reference field="5" count="1" selected="0">
            <x v="178"/>
          </reference>
          <reference field="6" count="1" selected="0">
            <x v="9"/>
          </reference>
        </references>
      </pivotArea>
    </format>
    <format dxfId="8089">
      <pivotArea dataOnly="0" labelOnly="1" outline="0" offset="IV256" fieldPosition="0">
        <references count="7">
          <reference field="1" count="0" selected="0"/>
          <reference field="3" count="1" selected="0">
            <x v="6"/>
          </reference>
          <reference field="4" count="1" selected="0">
            <x v="0"/>
          </reference>
          <reference field="5" count="1" selected="0">
            <x v="178"/>
          </reference>
          <reference field="6" count="1" selected="0">
            <x v="9"/>
          </reference>
          <reference field="9" count="1" selected="0">
            <x v="10"/>
          </reference>
          <reference field="11" count="1">
            <x v="14"/>
          </reference>
        </references>
      </pivotArea>
    </format>
    <format dxfId="8088">
      <pivotArea outline="0" fieldPosition="0">
        <references count="12">
          <reference field="1" count="0" selected="0"/>
          <reference field="3" count="1" selected="0">
            <x v="6"/>
          </reference>
          <reference field="4" count="1" selected="0">
            <x v="0"/>
          </reference>
          <reference field="5" count="4" selected="0">
            <x v="129"/>
            <x v="173"/>
            <x v="180"/>
            <x v="383"/>
          </reference>
          <reference field="6" count="1" selected="0">
            <x v="9"/>
          </reference>
          <reference field="9" count="1" selected="0">
            <x v="10"/>
          </reference>
          <reference field="10" count="1" selected="0">
            <x v="1"/>
          </reference>
          <reference field="11" count="3" selected="0">
            <x v="14"/>
            <x v="45"/>
            <x v="77"/>
          </reference>
          <reference field="12" count="4" selected="0">
            <x v="6"/>
            <x v="8"/>
            <x v="24"/>
            <x v="35"/>
          </reference>
          <reference field="13" count="1" selected="0">
            <x v="3"/>
          </reference>
          <reference field="14" count="4" selected="0">
            <x v="17"/>
            <x v="46"/>
            <x v="54"/>
            <x v="77"/>
          </reference>
          <reference field="15" count="4" selected="0">
            <x v="1"/>
            <x v="11"/>
            <x v="33"/>
            <x v="67"/>
          </reference>
        </references>
      </pivotArea>
    </format>
    <format dxfId="8087">
      <pivotArea dataOnly="0" labelOnly="1" outline="0" offset="IV4:IV7" fieldPosition="0">
        <references count="1">
          <reference field="1" count="0"/>
        </references>
      </pivotArea>
    </format>
    <format dxfId="8086">
      <pivotArea dataOnly="0" labelOnly="1" outline="0" fieldPosition="0">
        <references count="2">
          <reference field="1" count="0" selected="0"/>
          <reference field="3" count="1">
            <x v="6"/>
          </reference>
        </references>
      </pivotArea>
    </format>
    <format dxfId="8085">
      <pivotArea dataOnly="0" labelOnly="1" outline="0" fieldPosition="0">
        <references count="3">
          <reference field="1" count="0" selected="0"/>
          <reference field="3" count="1" selected="0">
            <x v="6"/>
          </reference>
          <reference field="5" count="4">
            <x v="129"/>
            <x v="173"/>
            <x v="180"/>
            <x v="383"/>
          </reference>
        </references>
      </pivotArea>
    </format>
    <format dxfId="8084">
      <pivotArea dataOnly="0" labelOnly="1" outline="0" fieldPosition="0">
        <references count="4">
          <reference field="1" count="0" selected="0"/>
          <reference field="3" count="1" selected="0">
            <x v="6"/>
          </reference>
          <reference field="5" count="1" selected="0">
            <x v="129"/>
          </reference>
          <reference field="6" count="1">
            <x v="9"/>
          </reference>
        </references>
      </pivotArea>
    </format>
    <format dxfId="8083">
      <pivotArea dataOnly="0" labelOnly="1" outline="0" fieldPosition="0">
        <references count="5">
          <reference field="1" count="0" selected="0"/>
          <reference field="3" count="1" selected="0">
            <x v="6"/>
          </reference>
          <reference field="4" count="1">
            <x v="0"/>
          </reference>
          <reference field="5" count="1" selected="0">
            <x v="129"/>
          </reference>
          <reference field="6" count="1" selected="0">
            <x v="9"/>
          </reference>
        </references>
      </pivotArea>
    </format>
    <format dxfId="8082">
      <pivotArea dataOnly="0" labelOnly="1" outline="0" offset="IV3:IV6" fieldPosition="0">
        <references count="6">
          <reference field="1" count="0" selected="0"/>
          <reference field="3" count="1" selected="0">
            <x v="4"/>
          </reference>
          <reference field="4" count="1" selected="0">
            <x v="1"/>
          </reference>
          <reference field="5" count="1" selected="0">
            <x v="362"/>
          </reference>
          <reference field="6" count="1" selected="0">
            <x v="2"/>
          </reference>
          <reference field="9" count="1">
            <x v="10"/>
          </reference>
        </references>
      </pivotArea>
    </format>
    <format dxfId="8081">
      <pivotArea dataOnly="0" labelOnly="1" outline="0" fieldPosition="0">
        <references count="7">
          <reference field="1" count="0" selected="0"/>
          <reference field="3" count="1" selected="0">
            <x v="6"/>
          </reference>
          <reference field="4" count="1" selected="0">
            <x v="0"/>
          </reference>
          <reference field="5" count="1" selected="0">
            <x v="129"/>
          </reference>
          <reference field="6" count="1" selected="0">
            <x v="9"/>
          </reference>
          <reference field="9" count="1" selected="0">
            <x v="10"/>
          </reference>
          <reference field="11" count="1">
            <x v="14"/>
          </reference>
        </references>
      </pivotArea>
    </format>
    <format dxfId="8080">
      <pivotArea dataOnly="0" labelOnly="1" outline="0" fieldPosition="0">
        <references count="7">
          <reference field="1" count="0" selected="0"/>
          <reference field="3" count="1" selected="0">
            <x v="6"/>
          </reference>
          <reference field="4" count="1" selected="0">
            <x v="0"/>
          </reference>
          <reference field="5" count="1" selected="0">
            <x v="173"/>
          </reference>
          <reference field="6" count="1" selected="0">
            <x v="9"/>
          </reference>
          <reference field="9" count="1" selected="0">
            <x v="10"/>
          </reference>
          <reference field="11" count="1">
            <x v="45"/>
          </reference>
        </references>
      </pivotArea>
    </format>
    <format dxfId="8079">
      <pivotArea dataOnly="0" labelOnly="1" outline="0" fieldPosition="0">
        <references count="7">
          <reference field="1" count="0" selected="0"/>
          <reference field="3" count="1" selected="0">
            <x v="6"/>
          </reference>
          <reference field="4" count="1" selected="0">
            <x v="0"/>
          </reference>
          <reference field="5" count="1" selected="0">
            <x v="383"/>
          </reference>
          <reference field="6" count="1" selected="0">
            <x v="9"/>
          </reference>
          <reference field="9" count="1" selected="0">
            <x v="10"/>
          </reference>
          <reference field="11" count="1">
            <x v="77"/>
          </reference>
        </references>
      </pivotArea>
    </format>
    <format dxfId="8078">
      <pivotArea dataOnly="0" labelOnly="1" outline="0" fieldPosition="0">
        <references count="8">
          <reference field="1" count="0" selected="0"/>
          <reference field="3" count="1" selected="0">
            <x v="6"/>
          </reference>
          <reference field="4" count="1" selected="0">
            <x v="0"/>
          </reference>
          <reference field="5" count="1" selected="0">
            <x v="129"/>
          </reference>
          <reference field="6" count="1" selected="0">
            <x v="9"/>
          </reference>
          <reference field="9" count="1" selected="0">
            <x v="10"/>
          </reference>
          <reference field="11" count="1" selected="0">
            <x v="14"/>
          </reference>
          <reference field="12" count="1">
            <x v="24"/>
          </reference>
        </references>
      </pivotArea>
    </format>
    <format dxfId="8077">
      <pivotArea dataOnly="0" labelOnly="1" outline="0" fieldPosition="0">
        <references count="8">
          <reference field="1" count="0" selected="0"/>
          <reference field="3" count="1" selected="0">
            <x v="6"/>
          </reference>
          <reference field="4" count="1" selected="0">
            <x v="0"/>
          </reference>
          <reference field="5" count="1" selected="0">
            <x v="173"/>
          </reference>
          <reference field="6" count="1" selected="0">
            <x v="9"/>
          </reference>
          <reference field="9" count="1" selected="0">
            <x v="10"/>
          </reference>
          <reference field="11" count="1" selected="0">
            <x v="45"/>
          </reference>
          <reference field="12" count="1">
            <x v="6"/>
          </reference>
        </references>
      </pivotArea>
    </format>
    <format dxfId="8076">
      <pivotArea dataOnly="0" labelOnly="1" outline="0" fieldPosition="0">
        <references count="8">
          <reference field="1" count="0" selected="0"/>
          <reference field="3" count="1" selected="0">
            <x v="6"/>
          </reference>
          <reference field="4" count="1" selected="0">
            <x v="0"/>
          </reference>
          <reference field="5" count="1" selected="0">
            <x v="383"/>
          </reference>
          <reference field="6" count="1" selected="0">
            <x v="9"/>
          </reference>
          <reference field="9" count="1" selected="0">
            <x v="10"/>
          </reference>
          <reference field="11" count="1" selected="0">
            <x v="77"/>
          </reference>
          <reference field="12" count="1">
            <x v="8"/>
          </reference>
        </references>
      </pivotArea>
    </format>
    <format dxfId="8075">
      <pivotArea dataOnly="0" labelOnly="1" outline="0" offset="IV3:IV6" fieldPosition="0">
        <references count="9">
          <reference field="1" count="0" selected="0"/>
          <reference field="3" count="1" selected="0">
            <x v="4"/>
          </reference>
          <reference field="4" count="1" selected="0">
            <x v="1"/>
          </reference>
          <reference field="5" count="1" selected="0">
            <x v="362"/>
          </reference>
          <reference field="6" count="1" selected="0">
            <x v="2"/>
          </reference>
          <reference field="9" count="1" selected="0">
            <x v="10"/>
          </reference>
          <reference field="11" count="1" selected="0">
            <x v="22"/>
          </reference>
          <reference field="12" count="1" selected="0">
            <x v="8"/>
          </reference>
          <reference field="13" count="1">
            <x v="3"/>
          </reference>
        </references>
      </pivotArea>
    </format>
    <format dxfId="8074">
      <pivotArea dataOnly="0" labelOnly="1" outline="0" fieldPosition="0">
        <references count="10">
          <reference field="1" count="0" selected="0"/>
          <reference field="3" count="1" selected="0">
            <x v="6"/>
          </reference>
          <reference field="4" count="1" selected="0">
            <x v="0"/>
          </reference>
          <reference field="5" count="1" selected="0">
            <x v="129"/>
          </reference>
          <reference field="6" count="1" selected="0">
            <x v="9"/>
          </reference>
          <reference field="9" count="1" selected="0">
            <x v="10"/>
          </reference>
          <reference field="11" count="1" selected="0">
            <x v="14"/>
          </reference>
          <reference field="12" count="1" selected="0">
            <x v="24"/>
          </reference>
          <reference field="13" count="1" selected="0">
            <x v="3"/>
          </reference>
          <reference field="14" count="1">
            <x v="54"/>
          </reference>
        </references>
      </pivotArea>
    </format>
    <format dxfId="8073">
      <pivotArea dataOnly="0" labelOnly="1" outline="0" fieldPosition="0">
        <references count="10">
          <reference field="1" count="0" selected="0"/>
          <reference field="3" count="1" selected="0">
            <x v="6"/>
          </reference>
          <reference field="4" count="1" selected="0">
            <x v="0"/>
          </reference>
          <reference field="5" count="1" selected="0">
            <x v="173"/>
          </reference>
          <reference field="6" count="1" selected="0">
            <x v="9"/>
          </reference>
          <reference field="9" count="1" selected="0">
            <x v="10"/>
          </reference>
          <reference field="11" count="1" selected="0">
            <x v="45"/>
          </reference>
          <reference field="12" count="1" selected="0">
            <x v="6"/>
          </reference>
          <reference field="13" count="1" selected="0">
            <x v="3"/>
          </reference>
          <reference field="14" count="1">
            <x v="46"/>
          </reference>
        </references>
      </pivotArea>
    </format>
    <format dxfId="8072">
      <pivotArea dataOnly="0" labelOnly="1" outline="0" fieldPosition="0">
        <references count="10">
          <reference field="1" count="0" selected="0"/>
          <reference field="3" count="1" selected="0">
            <x v="6"/>
          </reference>
          <reference field="4" count="1" selected="0">
            <x v="0"/>
          </reference>
          <reference field="5" count="1" selected="0">
            <x v="383"/>
          </reference>
          <reference field="6" count="1" selected="0">
            <x v="9"/>
          </reference>
          <reference field="9" count="1" selected="0">
            <x v="10"/>
          </reference>
          <reference field="11" count="1" selected="0">
            <x v="77"/>
          </reference>
          <reference field="12" count="1" selected="0">
            <x v="8"/>
          </reference>
          <reference field="13" count="1" selected="0">
            <x v="3"/>
          </reference>
          <reference field="14" count="1">
            <x v="77"/>
          </reference>
        </references>
      </pivotArea>
    </format>
    <format dxfId="8071">
      <pivotArea dataOnly="0" labelOnly="1" outline="0" fieldPosition="0">
        <references count="11">
          <reference field="1" count="0" selected="0"/>
          <reference field="3" count="1" selected="0">
            <x v="6"/>
          </reference>
          <reference field="4" count="1" selected="0">
            <x v="0"/>
          </reference>
          <reference field="5" count="1" selected="0">
            <x v="129"/>
          </reference>
          <reference field="6" count="1" selected="0">
            <x v="9"/>
          </reference>
          <reference field="9" count="1" selected="0">
            <x v="10"/>
          </reference>
          <reference field="11" count="1" selected="0">
            <x v="14"/>
          </reference>
          <reference field="12" count="1" selected="0">
            <x v="24"/>
          </reference>
          <reference field="13" count="1" selected="0">
            <x v="3"/>
          </reference>
          <reference field="14" count="1" selected="0">
            <x v="54"/>
          </reference>
          <reference field="15" count="1">
            <x v="11"/>
          </reference>
        </references>
      </pivotArea>
    </format>
    <format dxfId="8070">
      <pivotArea dataOnly="0" labelOnly="1" outline="0" fieldPosition="0">
        <references count="11">
          <reference field="1" count="0" selected="0"/>
          <reference field="3" count="1" selected="0">
            <x v="6"/>
          </reference>
          <reference field="4" count="1" selected="0">
            <x v="0"/>
          </reference>
          <reference field="5" count="1" selected="0">
            <x v="173"/>
          </reference>
          <reference field="6" count="1" selected="0">
            <x v="9"/>
          </reference>
          <reference field="9" count="1" selected="0">
            <x v="10"/>
          </reference>
          <reference field="11" count="1" selected="0">
            <x v="45"/>
          </reference>
          <reference field="12" count="1" selected="0">
            <x v="6"/>
          </reference>
          <reference field="13" count="1" selected="0">
            <x v="3"/>
          </reference>
          <reference field="14" count="1" selected="0">
            <x v="46"/>
          </reference>
          <reference field="15" count="1">
            <x v="33"/>
          </reference>
        </references>
      </pivotArea>
    </format>
    <format dxfId="8069">
      <pivotArea dataOnly="0" labelOnly="1" outline="0" fieldPosition="0">
        <references count="11">
          <reference field="1" count="0" selected="0"/>
          <reference field="3" count="1" selected="0">
            <x v="6"/>
          </reference>
          <reference field="4" count="1" selected="0">
            <x v="0"/>
          </reference>
          <reference field="5" count="1" selected="0">
            <x v="383"/>
          </reference>
          <reference field="6" count="1" selected="0">
            <x v="9"/>
          </reference>
          <reference field="9" count="1" selected="0">
            <x v="10"/>
          </reference>
          <reference field="11" count="1" selected="0">
            <x v="77"/>
          </reference>
          <reference field="12" count="1" selected="0">
            <x v="8"/>
          </reference>
          <reference field="13" count="1" selected="0">
            <x v="3"/>
          </reference>
          <reference field="14" count="1" selected="0">
            <x v="77"/>
          </reference>
          <reference field="15" count="1">
            <x v="1"/>
          </reference>
        </references>
      </pivotArea>
    </format>
    <format dxfId="8068">
      <pivotArea dataOnly="0" labelOnly="1" outline="0" fieldPosition="0">
        <references count="12">
          <reference field="1" count="0" selected="0"/>
          <reference field="3" count="1" selected="0">
            <x v="6"/>
          </reference>
          <reference field="4" count="1" selected="0">
            <x v="0"/>
          </reference>
          <reference field="5" count="1" selected="0">
            <x v="129"/>
          </reference>
          <reference field="6" count="1" selected="0">
            <x v="9"/>
          </reference>
          <reference field="9" count="1" selected="0">
            <x v="10"/>
          </reference>
          <reference field="10" count="1">
            <x v="1"/>
          </reference>
          <reference field="11" count="1" selected="0">
            <x v="14"/>
          </reference>
          <reference field="12" count="1" selected="0">
            <x v="24"/>
          </reference>
          <reference field="13" count="1" selected="0">
            <x v="3"/>
          </reference>
          <reference field="14" count="1" selected="0">
            <x v="54"/>
          </reference>
          <reference field="15" count="1" selected="0">
            <x v="11"/>
          </reference>
        </references>
      </pivotArea>
    </format>
    <format dxfId="8067">
      <pivotArea dataOnly="0" labelOnly="1" outline="0" fieldPosition="0">
        <references count="12">
          <reference field="1" count="0" selected="0"/>
          <reference field="3" count="1" selected="0">
            <x v="6"/>
          </reference>
          <reference field="4" count="1" selected="0">
            <x v="0"/>
          </reference>
          <reference field="5" count="1" selected="0">
            <x v="173"/>
          </reference>
          <reference field="6" count="1" selected="0">
            <x v="9"/>
          </reference>
          <reference field="9" count="1" selected="0">
            <x v="10"/>
          </reference>
          <reference field="10" count="1">
            <x v="1"/>
          </reference>
          <reference field="11" count="1" selected="0">
            <x v="45"/>
          </reference>
          <reference field="12" count="1" selected="0">
            <x v="6"/>
          </reference>
          <reference field="13" count="1" selected="0">
            <x v="3"/>
          </reference>
          <reference field="14" count="1" selected="0">
            <x v="46"/>
          </reference>
          <reference field="15" count="1" selected="0">
            <x v="33"/>
          </reference>
        </references>
      </pivotArea>
    </format>
    <format dxfId="8066">
      <pivotArea dataOnly="0" labelOnly="1" outline="0" fieldPosition="0">
        <references count="12">
          <reference field="1" count="0" selected="0"/>
          <reference field="3" count="1" selected="0">
            <x v="6"/>
          </reference>
          <reference field="4" count="1" selected="0">
            <x v="0"/>
          </reference>
          <reference field="5" count="1" selected="0">
            <x v="383"/>
          </reference>
          <reference field="6" count="1" selected="0">
            <x v="9"/>
          </reference>
          <reference field="9" count="1" selected="0">
            <x v="10"/>
          </reference>
          <reference field="10" count="1">
            <x v="1"/>
          </reference>
          <reference field="11" count="1" selected="0">
            <x v="77"/>
          </reference>
          <reference field="12" count="1" selected="0">
            <x v="8"/>
          </reference>
          <reference field="13" count="1" selected="0">
            <x v="3"/>
          </reference>
          <reference field="14" count="1" selected="0">
            <x v="77"/>
          </reference>
          <reference field="15" count="1" selected="0">
            <x v="1"/>
          </reference>
        </references>
      </pivotArea>
    </format>
    <format dxfId="8065">
      <pivotArea outline="0" fieldPosition="0">
        <references count="12">
          <reference field="1" count="0" selected="0"/>
          <reference field="3" count="1" selected="0">
            <x v="6"/>
          </reference>
          <reference field="4" count="1" selected="0">
            <x v="0"/>
          </reference>
          <reference field="5" count="1" selected="0">
            <x v="180"/>
          </reference>
          <reference field="6" count="1" selected="0">
            <x v="9"/>
          </reference>
          <reference field="9" count="1" selected="0">
            <x v="10"/>
          </reference>
          <reference field="10" count="1" selected="0">
            <x v="1"/>
          </reference>
          <reference field="11" count="1" selected="0">
            <x v="14"/>
          </reference>
          <reference field="12" count="1" selected="0">
            <x v="35"/>
          </reference>
          <reference field="13" count="1" selected="0">
            <x v="3"/>
          </reference>
          <reference field="14" count="1" selected="0">
            <x v="17"/>
          </reference>
          <reference field="15" count="1" selected="0">
            <x v="67"/>
          </reference>
        </references>
      </pivotArea>
    </format>
    <format dxfId="8064">
      <pivotArea dataOnly="0" labelOnly="1" outline="0" offset="IV6" fieldPosition="0">
        <references count="1">
          <reference field="1" count="0"/>
        </references>
      </pivotArea>
    </format>
    <format dxfId="8063">
      <pivotArea dataOnly="0" labelOnly="1" outline="0" offset="IV3" fieldPosition="0">
        <references count="2">
          <reference field="1" count="0" selected="0"/>
          <reference field="3" count="1">
            <x v="6"/>
          </reference>
        </references>
      </pivotArea>
    </format>
    <format dxfId="8062">
      <pivotArea dataOnly="0" labelOnly="1" outline="0" fieldPosition="0">
        <references count="3">
          <reference field="1" count="0" selected="0"/>
          <reference field="3" count="1" selected="0">
            <x v="6"/>
          </reference>
          <reference field="5" count="1">
            <x v="180"/>
          </reference>
        </references>
      </pivotArea>
    </format>
    <format dxfId="8061">
      <pivotArea dataOnly="0" labelOnly="1" outline="0" offset="IV3" fieldPosition="0">
        <references count="4">
          <reference field="1" count="0" selected="0"/>
          <reference field="3" count="1" selected="0">
            <x v="6"/>
          </reference>
          <reference field="5" count="1" selected="0">
            <x v="129"/>
          </reference>
          <reference field="6" count="1">
            <x v="9"/>
          </reference>
        </references>
      </pivotArea>
    </format>
    <format dxfId="8060">
      <pivotArea dataOnly="0" labelOnly="1" outline="0" offset="IV3" fieldPosition="0">
        <references count="5">
          <reference field="1" count="0" selected="0"/>
          <reference field="3" count="1" selected="0">
            <x v="6"/>
          </reference>
          <reference field="4" count="1">
            <x v="0"/>
          </reference>
          <reference field="5" count="1" selected="0">
            <x v="129"/>
          </reference>
          <reference field="6" count="1" selected="0">
            <x v="9"/>
          </reference>
        </references>
      </pivotArea>
    </format>
    <format dxfId="8059">
      <pivotArea dataOnly="0" labelOnly="1" outline="0" offset="IV5" fieldPosition="0">
        <references count="6">
          <reference field="1" count="0" selected="0"/>
          <reference field="3" count="1" selected="0">
            <x v="4"/>
          </reference>
          <reference field="4" count="1" selected="0">
            <x v="1"/>
          </reference>
          <reference field="5" count="1" selected="0">
            <x v="362"/>
          </reference>
          <reference field="6" count="1" selected="0">
            <x v="2"/>
          </reference>
          <reference field="9" count="1">
            <x v="10"/>
          </reference>
        </references>
      </pivotArea>
    </format>
    <format dxfId="8058">
      <pivotArea dataOnly="0" labelOnly="1" outline="0" fieldPosition="0">
        <references count="7">
          <reference field="1" count="0" selected="0"/>
          <reference field="3" count="1" selected="0">
            <x v="6"/>
          </reference>
          <reference field="4" count="1" selected="0">
            <x v="0"/>
          </reference>
          <reference field="5" count="1" selected="0">
            <x v="180"/>
          </reference>
          <reference field="6" count="1" selected="0">
            <x v="9"/>
          </reference>
          <reference field="9" count="1" selected="0">
            <x v="10"/>
          </reference>
          <reference field="11" count="1">
            <x v="14"/>
          </reference>
        </references>
      </pivotArea>
    </format>
    <format dxfId="8057">
      <pivotArea dataOnly="0" labelOnly="1" outline="0" fieldPosition="0">
        <references count="8">
          <reference field="1" count="0" selected="0"/>
          <reference field="3" count="1" selected="0">
            <x v="6"/>
          </reference>
          <reference field="4" count="1" selected="0">
            <x v="0"/>
          </reference>
          <reference field="5" count="1" selected="0">
            <x v="180"/>
          </reference>
          <reference field="6" count="1" selected="0">
            <x v="9"/>
          </reference>
          <reference field="9" count="1" selected="0">
            <x v="10"/>
          </reference>
          <reference field="11" count="1" selected="0">
            <x v="14"/>
          </reference>
          <reference field="12" count="1">
            <x v="35"/>
          </reference>
        </references>
      </pivotArea>
    </format>
    <format dxfId="8056">
      <pivotArea dataOnly="0" labelOnly="1" outline="0" offset="IV5" fieldPosition="0">
        <references count="9">
          <reference field="1" count="0" selected="0"/>
          <reference field="3" count="1" selected="0">
            <x v="4"/>
          </reference>
          <reference field="4" count="1" selected="0">
            <x v="1"/>
          </reference>
          <reference field="5" count="1" selected="0">
            <x v="362"/>
          </reference>
          <reference field="6" count="1" selected="0">
            <x v="2"/>
          </reference>
          <reference field="9" count="1" selected="0">
            <x v="10"/>
          </reference>
          <reference field="11" count="1" selected="0">
            <x v="22"/>
          </reference>
          <reference field="12" count="1" selected="0">
            <x v="8"/>
          </reference>
          <reference field="13" count="1">
            <x v="3"/>
          </reference>
        </references>
      </pivotArea>
    </format>
    <format dxfId="8055">
      <pivotArea dataOnly="0" labelOnly="1" outline="0" fieldPosition="0">
        <references count="10">
          <reference field="1" count="0" selected="0"/>
          <reference field="3" count="1" selected="0">
            <x v="6"/>
          </reference>
          <reference field="4" count="1" selected="0">
            <x v="0"/>
          </reference>
          <reference field="5" count="1" selected="0">
            <x v="180"/>
          </reference>
          <reference field="6" count="1" selected="0">
            <x v="9"/>
          </reference>
          <reference field="9" count="1" selected="0">
            <x v="10"/>
          </reference>
          <reference field="11" count="1" selected="0">
            <x v="14"/>
          </reference>
          <reference field="12" count="1" selected="0">
            <x v="35"/>
          </reference>
          <reference field="13" count="1" selected="0">
            <x v="3"/>
          </reference>
          <reference field="14" count="1">
            <x v="17"/>
          </reference>
        </references>
      </pivotArea>
    </format>
    <format dxfId="8054">
      <pivotArea dataOnly="0" labelOnly="1" outline="0" fieldPosition="0">
        <references count="11">
          <reference field="1" count="0" selected="0"/>
          <reference field="3" count="1" selected="0">
            <x v="6"/>
          </reference>
          <reference field="4" count="1" selected="0">
            <x v="0"/>
          </reference>
          <reference field="5" count="1" selected="0">
            <x v="180"/>
          </reference>
          <reference field="6" count="1" selected="0">
            <x v="9"/>
          </reference>
          <reference field="9" count="1" selected="0">
            <x v="10"/>
          </reference>
          <reference field="11" count="1" selected="0">
            <x v="14"/>
          </reference>
          <reference field="12" count="1" selected="0">
            <x v="35"/>
          </reference>
          <reference field="13" count="1" selected="0">
            <x v="3"/>
          </reference>
          <reference field="14" count="1" selected="0">
            <x v="17"/>
          </reference>
          <reference field="15" count="1">
            <x v="67"/>
          </reference>
        </references>
      </pivotArea>
    </format>
    <format dxfId="8053">
      <pivotArea dataOnly="0" labelOnly="1" outline="0" fieldPosition="0">
        <references count="12">
          <reference field="1" count="0" selected="0"/>
          <reference field="3" count="1" selected="0">
            <x v="6"/>
          </reference>
          <reference field="4" count="1" selected="0">
            <x v="0"/>
          </reference>
          <reference field="5" count="1" selected="0">
            <x v="180"/>
          </reference>
          <reference field="6" count="1" selected="0">
            <x v="9"/>
          </reference>
          <reference field="9" count="1" selected="0">
            <x v="10"/>
          </reference>
          <reference field="10" count="1">
            <x v="1"/>
          </reference>
          <reference field="11" count="1" selected="0">
            <x v="14"/>
          </reference>
          <reference field="12" count="1" selected="0">
            <x v="35"/>
          </reference>
          <reference field="13" count="1" selected="0">
            <x v="3"/>
          </reference>
          <reference field="14" count="1" selected="0">
            <x v="17"/>
          </reference>
          <reference field="15" count="1" selected="0">
            <x v="67"/>
          </reference>
        </references>
      </pivotArea>
    </format>
    <format dxfId="8052">
      <pivotArea dataOnly="0" labelOnly="1" outline="0" fieldPosition="0">
        <references count="4">
          <reference field="1" count="0" selected="0"/>
          <reference field="3" count="1" selected="0">
            <x v="4"/>
          </reference>
          <reference field="5" count="1" selected="0">
            <x v="366"/>
          </reference>
          <reference field="6" count="1">
            <x v="2"/>
          </reference>
        </references>
      </pivotArea>
    </format>
    <format dxfId="8051">
      <pivotArea dataOnly="0" labelOnly="1" outline="0" fieldPosition="0">
        <references count="5">
          <reference field="1" count="0" selected="0"/>
          <reference field="3" count="1" selected="0">
            <x v="4"/>
          </reference>
          <reference field="4" count="1">
            <x v="1"/>
          </reference>
          <reference field="5" count="1" selected="0">
            <x v="366"/>
          </reference>
          <reference field="6" count="1" selected="0">
            <x v="2"/>
          </reference>
        </references>
      </pivotArea>
    </format>
    <format dxfId="8050">
      <pivotArea dataOnly="0" labelOnly="1" outline="0" offset="IV1" fieldPosition="0">
        <references count="9">
          <reference field="1" count="0" selected="0"/>
          <reference field="3" count="1" selected="0">
            <x v="4"/>
          </reference>
          <reference field="4" count="1" selected="0">
            <x v="1"/>
          </reference>
          <reference field="5" count="1" selected="0">
            <x v="366"/>
          </reference>
          <reference field="6" count="1" selected="0">
            <x v="2"/>
          </reference>
          <reference field="9" count="1" selected="0">
            <x v="2"/>
          </reference>
          <reference field="11" count="1" selected="0">
            <x v="68"/>
          </reference>
          <reference field="12" count="1" selected="0">
            <x v="1"/>
          </reference>
          <reference field="13" count="1">
            <x v="3"/>
          </reference>
        </references>
      </pivotArea>
    </format>
    <format dxfId="8049">
      <pivotArea dataOnly="0" labelOnly="1" outline="0" offset="IV1" fieldPosition="0">
        <references count="7">
          <reference field="1" count="0" selected="0"/>
          <reference field="3" count="1" selected="0">
            <x v="6"/>
          </reference>
          <reference field="4" count="1" selected="0">
            <x v="0"/>
          </reference>
          <reference field="5" count="1" selected="0">
            <x v="178"/>
          </reference>
          <reference field="6" count="1" selected="0">
            <x v="9"/>
          </reference>
          <reference field="9" count="1" selected="0">
            <x v="10"/>
          </reference>
          <reference field="11" count="1">
            <x v="14"/>
          </reference>
        </references>
      </pivotArea>
    </format>
    <format dxfId="8048">
      <pivotArea dataOnly="0" labelOnly="1" outline="0" fieldPosition="0">
        <references count="2">
          <reference field="1" count="0" selected="0"/>
          <reference field="3" count="1">
            <x v="4"/>
          </reference>
        </references>
      </pivotArea>
    </format>
    <format dxfId="8047">
      <pivotArea dataOnly="0" labelOnly="1" outline="0" offset="IV256" fieldPosition="0">
        <references count="4">
          <reference field="1" count="0" selected="0"/>
          <reference field="3" count="1" selected="0">
            <x v="3"/>
          </reference>
          <reference field="5" count="1" selected="0">
            <x v="201"/>
          </reference>
          <reference field="6" count="1">
            <x v="2"/>
          </reference>
        </references>
      </pivotArea>
    </format>
    <format dxfId="8046">
      <pivotArea dataOnly="0" labelOnly="1" outline="0" offset="IV256" fieldPosition="0">
        <references count="5">
          <reference field="1" count="0" selected="0"/>
          <reference field="3" count="1" selected="0">
            <x v="3"/>
          </reference>
          <reference field="4" count="1">
            <x v="1"/>
          </reference>
          <reference field="5" count="1" selected="0">
            <x v="201"/>
          </reference>
          <reference field="6" count="1" selected="0">
            <x v="2"/>
          </reference>
        </references>
      </pivotArea>
    </format>
    <format dxfId="8045">
      <pivotArea dataOnly="0" labelOnly="1" outline="0" fieldPosition="0">
        <references count="7">
          <reference field="1" count="0" selected="0"/>
          <reference field="3" count="1" selected="0">
            <x v="4"/>
          </reference>
          <reference field="4" count="1" selected="0">
            <x v="1"/>
          </reference>
          <reference field="5" count="1" selected="0">
            <x v="103"/>
          </reference>
          <reference field="6" count="1" selected="0">
            <x v="2"/>
          </reference>
          <reference field="9" count="1" selected="0">
            <x v="4"/>
          </reference>
          <reference field="11" count="1">
            <x v="2"/>
          </reference>
        </references>
      </pivotArea>
    </format>
    <format dxfId="8044">
      <pivotArea dataOnly="0" labelOnly="1" outline="0" offset="IV2" fieldPosition="0">
        <references count="8">
          <reference field="1" count="0" selected="0"/>
          <reference field="3" count="1" selected="0">
            <x v="3"/>
          </reference>
          <reference field="4" count="1" selected="0">
            <x v="1"/>
          </reference>
          <reference field="5" count="1" selected="0">
            <x v="201"/>
          </reference>
          <reference field="6" count="1" selected="0">
            <x v="2"/>
          </reference>
          <reference field="9" count="1" selected="0">
            <x v="10"/>
          </reference>
          <reference field="11" count="1" selected="0">
            <x v="1"/>
          </reference>
          <reference field="12" count="1">
            <x v="8"/>
          </reference>
        </references>
      </pivotArea>
    </format>
    <format dxfId="8043">
      <pivotArea dataOnly="0" labelOnly="1" outline="0" offset="IV3" fieldPosition="0">
        <references count="9">
          <reference field="1" count="0" selected="0"/>
          <reference field="3" count="1" selected="0">
            <x v="0"/>
          </reference>
          <reference field="4" count="1" selected="0">
            <x v="3"/>
          </reference>
          <reference field="5" count="1" selected="0">
            <x v="167"/>
          </reference>
          <reference field="6" count="1" selected="0">
            <x v="7"/>
          </reference>
          <reference field="9" count="1" selected="0">
            <x v="10"/>
          </reference>
          <reference field="11" count="1" selected="0">
            <x v="49"/>
          </reference>
          <reference field="12" count="1" selected="0">
            <x v="29"/>
          </reference>
          <reference field="13" count="1">
            <x v="3"/>
          </reference>
        </references>
      </pivotArea>
    </format>
    <format dxfId="8042">
      <pivotArea dataOnly="0" labelOnly="1" outline="0" fieldPosition="0">
        <references count="10">
          <reference field="1" count="0" selected="0"/>
          <reference field="3" count="1" selected="0">
            <x v="4"/>
          </reference>
          <reference field="4" count="1" selected="0">
            <x v="1"/>
          </reference>
          <reference field="5" count="1" selected="0">
            <x v="103"/>
          </reference>
          <reference field="6" count="1" selected="0">
            <x v="2"/>
          </reference>
          <reference field="9" count="1" selected="0">
            <x v="4"/>
          </reference>
          <reference field="11" count="1" selected="0">
            <x v="2"/>
          </reference>
          <reference field="12" count="1" selected="0">
            <x v="8"/>
          </reference>
          <reference field="13" count="1" selected="0">
            <x v="3"/>
          </reference>
          <reference field="14" count="1">
            <x v="51"/>
          </reference>
        </references>
      </pivotArea>
    </format>
    <format dxfId="8041">
      <pivotArea dataOnly="0" labelOnly="1" outline="0" fieldPosition="0">
        <references count="11">
          <reference field="1" count="0" selected="0"/>
          <reference field="3" count="1" selected="0">
            <x v="4"/>
          </reference>
          <reference field="4" count="1" selected="0">
            <x v="1"/>
          </reference>
          <reference field="5" count="1" selected="0">
            <x v="103"/>
          </reference>
          <reference field="6" count="1" selected="0">
            <x v="2"/>
          </reference>
          <reference field="9" count="1" selected="0">
            <x v="4"/>
          </reference>
          <reference field="11" count="1" selected="0">
            <x v="2"/>
          </reference>
          <reference field="12" count="1" selected="0">
            <x v="8"/>
          </reference>
          <reference field="13" count="1" selected="0">
            <x v="3"/>
          </reference>
          <reference field="14" count="1" selected="0">
            <x v="51"/>
          </reference>
          <reference field="15" count="1">
            <x v="7"/>
          </reference>
        </references>
      </pivotArea>
    </format>
    <format dxfId="8040">
      <pivotArea dataOnly="0" labelOnly="1" outline="0" fieldPosition="0">
        <references count="12">
          <reference field="1" count="0" selected="0"/>
          <reference field="3" count="1" selected="0">
            <x v="4"/>
          </reference>
          <reference field="4" count="1" selected="0">
            <x v="1"/>
          </reference>
          <reference field="5" count="1" selected="0">
            <x v="103"/>
          </reference>
          <reference field="6" count="1" selected="0">
            <x v="2"/>
          </reference>
          <reference field="9" count="1" selected="0">
            <x v="4"/>
          </reference>
          <reference field="10" count="1">
            <x v="1"/>
          </reference>
          <reference field="11" count="1" selected="0">
            <x v="2"/>
          </reference>
          <reference field="12" count="1" selected="0">
            <x v="8"/>
          </reference>
          <reference field="13" count="1" selected="0">
            <x v="3"/>
          </reference>
          <reference field="14" count="1" selected="0">
            <x v="51"/>
          </reference>
          <reference field="15" count="1" selected="0">
            <x v="7"/>
          </reference>
        </references>
      </pivotArea>
    </format>
    <format dxfId="8039">
      <pivotArea dataOnly="0" labelOnly="1" outline="0" offset="IV256" fieldPosition="0">
        <references count="4">
          <reference field="1" count="0" selected="0"/>
          <reference field="3" count="1" selected="0">
            <x v="4"/>
          </reference>
          <reference field="5" count="1" selected="0">
            <x v="214"/>
          </reference>
          <reference field="6" count="1">
            <x v="2"/>
          </reference>
        </references>
      </pivotArea>
    </format>
    <format dxfId="8038">
      <pivotArea dataOnly="0" labelOnly="1" outline="0" fieldPosition="0">
        <references count="10">
          <reference field="1" count="0" selected="0"/>
          <reference field="3" count="1" selected="0">
            <x v="4"/>
          </reference>
          <reference field="4" count="1" selected="0">
            <x v="1"/>
          </reference>
          <reference field="5" count="1" selected="0">
            <x v="366"/>
          </reference>
          <reference field="6" count="1" selected="0">
            <x v="2"/>
          </reference>
          <reference field="9" count="1" selected="0">
            <x v="2"/>
          </reference>
          <reference field="11" count="1" selected="0">
            <x v="68"/>
          </reference>
          <reference field="12" count="1" selected="0">
            <x v="1"/>
          </reference>
          <reference field="13" count="1" selected="0">
            <x v="3"/>
          </reference>
          <reference field="14" count="1">
            <x v="66"/>
          </reference>
        </references>
      </pivotArea>
    </format>
    <format dxfId="8037">
      <pivotArea dataOnly="0" labelOnly="1" outline="0" fieldPosition="0">
        <references count="11">
          <reference field="1" count="0" selected="0"/>
          <reference field="3" count="1" selected="0">
            <x v="4"/>
          </reference>
          <reference field="4" count="1" selected="0">
            <x v="1"/>
          </reference>
          <reference field="5" count="1" selected="0">
            <x v="366"/>
          </reference>
          <reference field="6" count="1" selected="0">
            <x v="2"/>
          </reference>
          <reference field="9" count="1" selected="0">
            <x v="2"/>
          </reference>
          <reference field="11" count="1" selected="0">
            <x v="68"/>
          </reference>
          <reference field="12" count="1" selected="0">
            <x v="1"/>
          </reference>
          <reference field="13" count="1" selected="0">
            <x v="3"/>
          </reference>
          <reference field="14" count="1" selected="0">
            <x v="66"/>
          </reference>
          <reference field="15" count="1">
            <x v="75"/>
          </reference>
        </references>
      </pivotArea>
    </format>
    <format dxfId="8036">
      <pivotArea dataOnly="0" labelOnly="1" outline="0" fieldPosition="0">
        <references count="12">
          <reference field="1" count="0" selected="0"/>
          <reference field="3" count="1" selected="0">
            <x v="4"/>
          </reference>
          <reference field="4" count="1" selected="0">
            <x v="1"/>
          </reference>
          <reference field="5" count="1" selected="0">
            <x v="366"/>
          </reference>
          <reference field="6" count="1" selected="0">
            <x v="2"/>
          </reference>
          <reference field="9" count="1" selected="0">
            <x v="2"/>
          </reference>
          <reference field="10" count="1">
            <x v="1"/>
          </reference>
          <reference field="11" count="1" selected="0">
            <x v="68"/>
          </reference>
          <reference field="12" count="1" selected="0">
            <x v="1"/>
          </reference>
          <reference field="13" count="1" selected="0">
            <x v="3"/>
          </reference>
          <reference field="14" count="1" selected="0">
            <x v="66"/>
          </reference>
          <reference field="15" count="1" selected="0">
            <x v="75"/>
          </reference>
        </references>
      </pivotArea>
    </format>
    <format dxfId="8035">
      <pivotArea dataOnly="0" labelOnly="1" outline="0" offset="IV3" fieldPosition="0">
        <references count="1">
          <reference field="1" count="0"/>
        </references>
      </pivotArea>
    </format>
    <format dxfId="8034">
      <pivotArea dataOnly="0" labelOnly="1" outline="0" offset="IV1" fieldPosition="0">
        <references count="2">
          <reference field="1" count="0" selected="0"/>
          <reference field="3" count="1">
            <x v="6"/>
          </reference>
        </references>
      </pivotArea>
    </format>
    <format dxfId="8033">
      <pivotArea dataOnly="0" labelOnly="1" outline="0" fieldPosition="0">
        <references count="3">
          <reference field="1" count="0" selected="0"/>
          <reference field="3" count="1" selected="0">
            <x v="6"/>
          </reference>
          <reference field="5" count="1">
            <x v="174"/>
          </reference>
        </references>
      </pivotArea>
    </format>
    <format dxfId="8032">
      <pivotArea dataOnly="0" labelOnly="1" outline="0" offset="IV1" fieldPosition="0">
        <references count="4">
          <reference field="1" count="0" selected="0"/>
          <reference field="3" count="1" selected="0">
            <x v="6"/>
          </reference>
          <reference field="5" count="1" selected="0">
            <x v="174"/>
          </reference>
          <reference field="6" count="1">
            <x v="9"/>
          </reference>
        </references>
      </pivotArea>
    </format>
    <format dxfId="8031">
      <pivotArea dataOnly="0" labelOnly="1" outline="0" offset="IV256" fieldPosition="0">
        <references count="2">
          <reference field="1" count="0" selected="0"/>
          <reference field="3" count="1">
            <x v="4"/>
          </reference>
        </references>
      </pivotArea>
    </format>
    <format dxfId="8030">
      <pivotArea dataOnly="0" labelOnly="1" outline="0" fieldPosition="0">
        <references count="3">
          <reference field="1" count="0" selected="0"/>
          <reference field="3" count="1" selected="0">
            <x v="4"/>
          </reference>
          <reference field="5" count="1">
            <x v="366"/>
          </reference>
        </references>
      </pivotArea>
    </format>
    <format dxfId="8029">
      <pivotArea dataOnly="0" labelOnly="1" outline="0" offset="IV256" fieldPosition="0">
        <references count="4">
          <reference field="1" count="0" selected="0"/>
          <reference field="3" count="1" selected="0">
            <x v="4"/>
          </reference>
          <reference field="5" count="1" selected="0">
            <x v="214"/>
          </reference>
          <reference field="6" count="1">
            <x v="2"/>
          </reference>
        </references>
      </pivotArea>
    </format>
    <format dxfId="8028">
      <pivotArea dataOnly="0" labelOnly="1" outline="0" offset="IV256" fieldPosition="0">
        <references count="5">
          <reference field="1" count="0" selected="0"/>
          <reference field="3" count="1" selected="0">
            <x v="4"/>
          </reference>
          <reference field="4" count="1">
            <x v="1"/>
          </reference>
          <reference field="5" count="1" selected="0">
            <x v="214"/>
          </reference>
          <reference field="6" count="1" selected="0">
            <x v="2"/>
          </reference>
        </references>
      </pivotArea>
    </format>
    <format dxfId="8027">
      <pivotArea dataOnly="0" labelOnly="1" outline="0" fieldPosition="0">
        <references count="6">
          <reference field="1" count="0" selected="0"/>
          <reference field="3" count="1" selected="0">
            <x v="4"/>
          </reference>
          <reference field="4" count="1" selected="0">
            <x v="1"/>
          </reference>
          <reference field="5" count="1" selected="0">
            <x v="366"/>
          </reference>
          <reference field="6" count="1" selected="0">
            <x v="2"/>
          </reference>
          <reference field="9" count="1">
            <x v="2"/>
          </reference>
        </references>
      </pivotArea>
    </format>
    <format dxfId="8026">
      <pivotArea dataOnly="0" labelOnly="1" outline="0" fieldPosition="0">
        <references count="7">
          <reference field="1" count="0" selected="0"/>
          <reference field="3" count="1" selected="0">
            <x v="4"/>
          </reference>
          <reference field="4" count="1" selected="0">
            <x v="1"/>
          </reference>
          <reference field="5" count="1" selected="0">
            <x v="366"/>
          </reference>
          <reference field="6" count="1" selected="0">
            <x v="2"/>
          </reference>
          <reference field="9" count="1" selected="0">
            <x v="2"/>
          </reference>
          <reference field="11" count="1">
            <x v="68"/>
          </reference>
        </references>
      </pivotArea>
    </format>
    <format dxfId="8025">
      <pivotArea dataOnly="0" labelOnly="1" outline="0" fieldPosition="0">
        <references count="8">
          <reference field="1" count="0" selected="0"/>
          <reference field="3" count="1" selected="0">
            <x v="4"/>
          </reference>
          <reference field="4" count="1" selected="0">
            <x v="1"/>
          </reference>
          <reference field="5" count="1" selected="0">
            <x v="366"/>
          </reference>
          <reference field="6" count="1" selected="0">
            <x v="2"/>
          </reference>
          <reference field="9" count="1" selected="0">
            <x v="2"/>
          </reference>
          <reference field="11" count="1" selected="0">
            <x v="68"/>
          </reference>
          <reference field="12" count="1">
            <x v="1"/>
          </reference>
        </references>
      </pivotArea>
    </format>
    <format dxfId="8024">
      <pivotArea dataOnly="0" labelOnly="1" outline="0" offset="IV2" fieldPosition="0">
        <references count="9">
          <reference field="1" count="0" selected="0"/>
          <reference field="3" count="1" selected="0">
            <x v="4"/>
          </reference>
          <reference field="4" count="1" selected="0">
            <x v="1"/>
          </reference>
          <reference field="5" count="1" selected="0">
            <x v="214"/>
          </reference>
          <reference field="6" count="1" selected="0">
            <x v="2"/>
          </reference>
          <reference field="9" count="1" selected="0">
            <x v="10"/>
          </reference>
          <reference field="11" count="1" selected="0">
            <x v="35"/>
          </reference>
          <reference field="12" count="1" selected="0">
            <x v="8"/>
          </reference>
          <reference field="13" count="1">
            <x v="3"/>
          </reference>
        </references>
      </pivotArea>
    </format>
    <format dxfId="8023">
      <pivotArea dataOnly="0" labelOnly="1" outline="0" offset="IV1:IV2" fieldPosition="0">
        <references count="1">
          <reference field="1" count="0"/>
        </references>
      </pivotArea>
    </format>
    <format dxfId="8022">
      <pivotArea dataOnly="0" labelOnly="1" outline="0" fieldPosition="0">
        <references count="2">
          <reference field="1" count="0" selected="0"/>
          <reference field="3" count="1">
            <x v="3"/>
          </reference>
        </references>
      </pivotArea>
    </format>
    <format dxfId="8021">
      <pivotArea dataOnly="0" labelOnly="1" outline="0" offset="IV1" fieldPosition="0">
        <references count="2">
          <reference field="1" count="0" selected="0"/>
          <reference field="3" count="1">
            <x v="4"/>
          </reference>
        </references>
      </pivotArea>
    </format>
    <format dxfId="8020">
      <pivotArea dataOnly="0" labelOnly="1" outline="0" fieldPosition="0">
        <references count="3">
          <reference field="1" count="0" selected="0"/>
          <reference field="3" count="1" selected="0">
            <x v="3"/>
          </reference>
          <reference field="5" count="1">
            <x v="201"/>
          </reference>
        </references>
      </pivotArea>
    </format>
    <format dxfId="8019">
      <pivotArea dataOnly="0" labelOnly="1" outline="0" fieldPosition="0">
        <references count="3">
          <reference field="1" count="0" selected="0"/>
          <reference field="3" count="1" selected="0">
            <x v="4"/>
          </reference>
          <reference field="5" count="1">
            <x v="103"/>
          </reference>
        </references>
      </pivotArea>
    </format>
    <format dxfId="8018">
      <pivotArea dataOnly="0" labelOnly="1" outline="0" offset="IV1:IV2" fieldPosition="0">
        <references count="4">
          <reference field="1" count="0" selected="0"/>
          <reference field="3" count="1" selected="0">
            <x v="3"/>
          </reference>
          <reference field="5" count="1" selected="0">
            <x v="201"/>
          </reference>
          <reference field="6" count="1">
            <x v="2"/>
          </reference>
        </references>
      </pivotArea>
    </format>
    <format dxfId="8017">
      <pivotArea dataOnly="0" labelOnly="1" outline="0" offset="IV1:IV2" fieldPosition="0">
        <references count="5">
          <reference field="1" count="0" selected="0"/>
          <reference field="3" count="1" selected="0">
            <x v="3"/>
          </reference>
          <reference field="4" count="1">
            <x v="1"/>
          </reference>
          <reference field="5" count="1" selected="0">
            <x v="201"/>
          </reference>
          <reference field="6" count="1" selected="0">
            <x v="2"/>
          </reference>
        </references>
      </pivotArea>
    </format>
    <format dxfId="8016">
      <pivotArea dataOnly="0" labelOnly="1" outline="0" fieldPosition="0">
        <references count="6">
          <reference field="1" count="0" selected="0"/>
          <reference field="3" count="1" selected="0">
            <x v="3"/>
          </reference>
          <reference field="4" count="1" selected="0">
            <x v="1"/>
          </reference>
          <reference field="5" count="1" selected="0">
            <x v="201"/>
          </reference>
          <reference field="6" count="1" selected="0">
            <x v="2"/>
          </reference>
          <reference field="9" count="1">
            <x v="10"/>
          </reference>
        </references>
      </pivotArea>
    </format>
    <format dxfId="8015">
      <pivotArea dataOnly="0" labelOnly="1" outline="0" fieldPosition="0">
        <references count="6">
          <reference field="1" count="0" selected="0"/>
          <reference field="3" count="1" selected="0">
            <x v="4"/>
          </reference>
          <reference field="4" count="1" selected="0">
            <x v="1"/>
          </reference>
          <reference field="5" count="1" selected="0">
            <x v="103"/>
          </reference>
          <reference field="6" count="1" selected="0">
            <x v="2"/>
          </reference>
          <reference field="9" count="1">
            <x v="4"/>
          </reference>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F89633-8D37-4D00-BDF0-902F9C57A1CB}" name="TablaDinámica5" cacheId="18" applyNumberFormats="0" applyBorderFormats="0" applyFontFormats="0" applyPatternFormats="0" applyAlignmentFormats="0" applyWidthHeightFormats="1" dataCaption="Valores" updatedVersion="8" minRefreshableVersion="3" rowGrandTotals="0" colGrandTotals="0" itemPrintTitles="1" createdVersion="4" indent="0" outline="1" outlineData="1" multipleFieldFilters="0" colHeaderCaption="Split">
  <location ref="A15:A16" firstHeaderRow="1" firstDataRow="2" firstDataCol="0"/>
  <pivotFields count="17">
    <pivotField showAll="0"/>
    <pivotField axis="axisCol" showAll="0">
      <items count="42">
        <item h="1" x="8"/>
        <item h="1" x="13"/>
        <item h="1" x="14"/>
        <item h="1" x="15"/>
        <item h="1" x="9"/>
        <item x="10"/>
        <item h="1" x="11"/>
        <item h="1" x="12"/>
        <item h="1" x="7"/>
        <item h="1" x="6"/>
        <item h="1" x="0"/>
        <item h="1" x="1"/>
        <item h="1" x="2"/>
        <item h="1" x="3"/>
        <item h="1" x="4"/>
        <item h="1" x="5"/>
        <item h="1" x="16"/>
        <item h="1" x="17"/>
        <item h="1" x="18"/>
        <item h="1" x="19"/>
        <item h="1" x="20"/>
        <item h="1" x="21"/>
        <item h="1" x="22"/>
        <item h="1" x="23"/>
        <item h="1" x="24"/>
        <item h="1" x="25"/>
        <item h="1" x="26"/>
        <item h="1" m="1" x="31"/>
        <item h="1" m="1" x="32"/>
        <item h="1" m="1" x="33"/>
        <item h="1" m="1" x="34"/>
        <item h="1" m="1" x="35"/>
        <item h="1" m="1" x="36"/>
        <item h="1" m="1" x="37"/>
        <item h="1" m="1" x="38"/>
        <item h="1" m="1" x="39"/>
        <item h="1" m="1" x="40"/>
        <item h="1" m="1" x="28"/>
        <item h="1" m="1" x="29"/>
        <item h="1" m="1" x="30"/>
        <item h="1" x="27"/>
        <item t="default"/>
      </items>
    </pivotField>
    <pivotField showAll="0">
      <items count="43">
        <item h="1" x="0"/>
        <item h="1" x="1"/>
        <item h="1" x="2"/>
        <item h="1" x="3"/>
        <item h="1" x="4"/>
        <item h="1" x="5"/>
        <item h="1" x="6"/>
        <item x="7"/>
        <item h="1" x="8"/>
        <item h="1" x="9"/>
        <item h="1" x="10"/>
        <item h="1" x="11"/>
        <item h="1" x="12"/>
        <item h="1" x="13"/>
        <item h="1" x="14"/>
        <item h="1" x="15"/>
        <item h="1" x="16"/>
        <item h="1" x="17"/>
        <item h="1" x="18"/>
        <item h="1" x="19"/>
        <item h="1" x="20"/>
        <item h="1" x="21"/>
        <item h="1" x="22"/>
        <item h="1" x="23"/>
        <item h="1" x="24"/>
        <item h="1" x="25"/>
        <item h="1" x="26"/>
        <item h="1" x="27"/>
        <item h="1" x="28"/>
        <item h="1" x="29"/>
        <item h="1" m="1" x="31"/>
        <item h="1" m="1" x="41"/>
        <item h="1" m="1" x="32"/>
        <item h="1" m="1" x="33"/>
        <item h="1" m="1" x="34"/>
        <item h="1" m="1" x="35"/>
        <item h="1" m="1" x="36"/>
        <item h="1" m="1" x="37"/>
        <item h="1" m="1" x="38"/>
        <item h="1" m="1" x="39"/>
        <item h="1" m="1" x="40"/>
        <item h="1" x="30"/>
        <item t="default"/>
      </items>
    </pivotField>
    <pivotField showAll="0"/>
    <pivotField showAll="0"/>
    <pivotField showAll="0">
      <items count="389">
        <item m="1" x="308"/>
        <item m="1" x="201"/>
        <item m="1" x="365"/>
        <item m="1" x="236"/>
        <item m="1" x="283"/>
        <item m="1" x="382"/>
        <item m="1" x="230"/>
        <item m="1" x="368"/>
        <item m="1" x="186"/>
        <item m="1" x="190"/>
        <item m="1" x="231"/>
        <item m="1" x="366"/>
        <item m="1" x="263"/>
        <item m="1" x="169"/>
        <item m="1" x="219"/>
        <item m="1" x="276"/>
        <item m="1" x="277"/>
        <item m="1" x="170"/>
        <item m="1" x="187"/>
        <item m="1" x="171"/>
        <item m="1" x="212"/>
        <item m="1" x="213"/>
        <item m="1" x="189"/>
        <item m="1" x="375"/>
        <item m="1" x="311"/>
        <item m="1" x="172"/>
        <item m="1" x="173"/>
        <item m="1" x="225"/>
        <item m="1" x="226"/>
        <item m="1" x="197"/>
        <item m="1" x="174"/>
        <item m="1" x="203"/>
        <item m="1" x="333"/>
        <item m="1" x="175"/>
        <item m="1" x="176"/>
        <item m="1" x="223"/>
        <item m="1" x="191"/>
        <item m="1" x="177"/>
        <item m="1" x="242"/>
        <item m="1" x="274"/>
        <item m="1" x="275"/>
        <item m="1" x="193"/>
        <item m="1" x="194"/>
        <item m="1" x="287"/>
        <item m="1" x="192"/>
        <item m="1" x="376"/>
        <item m="1" x="254"/>
        <item m="1" x="386"/>
        <item m="1" x="178"/>
        <item m="1" x="183"/>
        <item m="1" x="179"/>
        <item m="1" x="214"/>
        <item m="1" x="181"/>
        <item m="1" x="185"/>
        <item m="1" x="227"/>
        <item m="1" x="218"/>
        <item m="1" x="224"/>
        <item m="1" x="232"/>
        <item m="1" x="184"/>
        <item m="1" x="204"/>
        <item m="1" x="255"/>
        <item m="1" x="305"/>
        <item m="1" x="340"/>
        <item m="1" x="182"/>
        <item m="1" x="228"/>
        <item m="1" x="295"/>
        <item m="1" x="210"/>
        <item m="1" x="372"/>
        <item m="1" x="256"/>
        <item m="1" x="244"/>
        <item m="1" x="258"/>
        <item m="1" x="245"/>
        <item m="1" x="246"/>
        <item m="1" x="247"/>
        <item m="1" x="206"/>
        <item m="1" x="304"/>
        <item m="1" x="208"/>
        <item m="1" x="195"/>
        <item m="1" x="279"/>
        <item m="1" x="199"/>
        <item m="1" x="363"/>
        <item m="1" x="358"/>
        <item m="1" x="257"/>
        <item m="1" x="216"/>
        <item m="1" x="220"/>
        <item m="1" x="250"/>
        <item m="1" x="249"/>
        <item m="1" x="221"/>
        <item m="1" x="260"/>
        <item m="1" x="259"/>
        <item m="1" x="293"/>
        <item m="1" x="385"/>
        <item m="1" x="367"/>
        <item m="1" x="317"/>
        <item m="1" x="251"/>
        <item m="1" x="310"/>
        <item m="1" x="301"/>
        <item m="1" x="315"/>
        <item m="1" x="252"/>
        <item m="1" x="143"/>
        <item m="1" x="142"/>
        <item x="55"/>
        <item m="1" x="141"/>
        <item m="1" x="167"/>
        <item m="1" x="138"/>
        <item m="1" x="139"/>
        <item m="1" x="140"/>
        <item x="88"/>
        <item m="1" x="136"/>
        <item m="1" x="134"/>
        <item m="1" x="369"/>
        <item m="1" x="309"/>
        <item m="1" x="267"/>
        <item m="1" x="268"/>
        <item m="1" x="265"/>
        <item m="1" x="266"/>
        <item x="30"/>
        <item m="1" x="132"/>
        <item m="1" x="145"/>
        <item m="1" x="162"/>
        <item m="1" x="360"/>
        <item m="1" x="166"/>
        <item m="1" x="129"/>
        <item m="1" x="130"/>
        <item m="1" x="122"/>
        <item m="1" x="125"/>
        <item m="1" x="126"/>
        <item m="1" x="123"/>
        <item m="1" x="119"/>
        <item m="1" x="117"/>
        <item m="1" x="118"/>
        <item m="1" x="120"/>
        <item m="1" x="124"/>
        <item x="94"/>
        <item m="1" x="163"/>
        <item m="1" x="164"/>
        <item x="96"/>
        <item x="64"/>
        <item m="1" x="121"/>
        <item x="7"/>
        <item x="8"/>
        <item x="35"/>
        <item m="1" x="146"/>
        <item x="65"/>
        <item x="97"/>
        <item m="1" x="149"/>
        <item x="98"/>
        <item x="67"/>
        <item m="1" x="148"/>
        <item x="9"/>
        <item m="1" x="341"/>
        <item x="10"/>
        <item x="36"/>
        <item m="1" x="319"/>
        <item m="1" x="288"/>
        <item m="1" x="383"/>
        <item m="1" x="373"/>
        <item m="1" x="286"/>
        <item m="1" x="320"/>
        <item x="69"/>
        <item x="71"/>
        <item m="1" x="318"/>
        <item x="101"/>
        <item m="1" x="384"/>
        <item m="1" x="377"/>
        <item m="1" x="359"/>
        <item x="103"/>
        <item x="73"/>
        <item x="40"/>
        <item m="1" x="165"/>
        <item m="1" x="345"/>
        <item m="1" x="284"/>
        <item x="14"/>
        <item m="1" x="350"/>
        <item x="104"/>
        <item m="1" x="331"/>
        <item x="106"/>
        <item m="1" x="321"/>
        <item x="42"/>
        <item m="1" x="314"/>
        <item m="1" x="380"/>
        <item m="1" x="352"/>
        <item x="43"/>
        <item x="77"/>
        <item x="18"/>
        <item x="45"/>
        <item x="79"/>
        <item x="108"/>
        <item x="109"/>
        <item m="1" x="338"/>
        <item m="1" x="334"/>
        <item m="1" x="335"/>
        <item x="21"/>
        <item x="47"/>
        <item m="1" x="307"/>
        <item x="110"/>
        <item x="111"/>
        <item m="1" x="159"/>
        <item x="48"/>
        <item m="1" x="155"/>
        <item x="22"/>
        <item x="49"/>
        <item x="112"/>
        <item m="1" x="156"/>
        <item m="1" x="158"/>
        <item x="50"/>
        <item x="23"/>
        <item m="1" x="161"/>
        <item m="1" x="285"/>
        <item m="1" x="147"/>
        <item x="113"/>
        <item m="1" x="278"/>
        <item x="24"/>
        <item x="25"/>
        <item m="1" x="302"/>
        <item x="51"/>
        <item m="1" x="343"/>
        <item m="1" x="322"/>
        <item x="52"/>
        <item m="1" x="273"/>
        <item m="1" x="282"/>
        <item m="1" x="152"/>
        <item m="1" x="270"/>
        <item m="1" x="271"/>
        <item m="1" x="269"/>
        <item x="84"/>
        <item m="1" x="349"/>
        <item m="1" x="264"/>
        <item m="1" x="313"/>
        <item m="1" x="291"/>
        <item m="1" x="332"/>
        <item m="1" x="240"/>
        <item x="39"/>
        <item m="1" x="337"/>
        <item m="1" x="241"/>
        <item x="80"/>
        <item m="1" x="300"/>
        <item m="1" x="297"/>
        <item x="17"/>
        <item m="1" x="325"/>
        <item x="75"/>
        <item x="19"/>
        <item m="1" x="354"/>
        <item x="76"/>
        <item m="1" x="202"/>
        <item x="16"/>
        <item m="1" x="357"/>
        <item x="107"/>
        <item m="1" x="196"/>
        <item m="1" x="353"/>
        <item x="116"/>
        <item m="1" x="347"/>
        <item x="20"/>
        <item m="1" x="135"/>
        <item m="1" x="328"/>
        <item m="1" x="303"/>
        <item m="1" x="329"/>
        <item m="1" x="361"/>
        <item m="1" x="316"/>
        <item m="1" x="144"/>
        <item m="1" x="355"/>
        <item m="1" x="281"/>
        <item m="1" x="330"/>
        <item m="1" x="292"/>
        <item m="1" x="370"/>
        <item m="1" x="280"/>
        <item m="1" x="272"/>
        <item m="1" x="371"/>
        <item m="1" x="346"/>
        <item m="1" x="339"/>
        <item m="1" x="253"/>
        <item x="46"/>
        <item x="102"/>
        <item m="1" x="217"/>
        <item m="1" x="238"/>
        <item m="1" x="207"/>
        <item m="1" x="248"/>
        <item m="1" x="327"/>
        <item m="1" x="356"/>
        <item m="1" x="387"/>
        <item m="1" x="364"/>
        <item x="41"/>
        <item x="105"/>
        <item m="1" x="137"/>
        <item x="72"/>
        <item m="1" x="324"/>
        <item x="81"/>
        <item m="1" x="326"/>
        <item m="1" x="374"/>
        <item m="1" x="290"/>
        <item m="1" x="233"/>
        <item m="1" x="351"/>
        <item m="1" x="234"/>
        <item m="1" x="294"/>
        <item m="1" x="261"/>
        <item m="1" x="378"/>
        <item m="1" x="237"/>
        <item m="1" x="312"/>
        <item m="1" x="296"/>
        <item m="1" x="235"/>
        <item m="1" x="299"/>
        <item m="1" x="127"/>
        <item m="1" x="362"/>
        <item m="1" x="323"/>
        <item x="82"/>
        <item m="1" x="289"/>
        <item m="1" x="379"/>
        <item m="1" x="298"/>
        <item m="1" x="198"/>
        <item m="1" x="200"/>
        <item m="1" x="348"/>
        <item m="1" x="344"/>
        <item m="1" x="188"/>
        <item x="13"/>
        <item m="1" x="229"/>
        <item m="1" x="243"/>
        <item m="1" x="205"/>
        <item m="1" x="222"/>
        <item m="1" x="381"/>
        <item x="83"/>
        <item x="74"/>
        <item m="1" x="342"/>
        <item m="1" x="306"/>
        <item x="114"/>
        <item m="1" x="336"/>
        <item x="78"/>
        <item x="11"/>
        <item x="100"/>
        <item m="1" x="262"/>
        <item x="68"/>
        <item x="37"/>
        <item x="99"/>
        <item x="12"/>
        <item m="1" x="215"/>
        <item m="1" x="180"/>
        <item m="1" x="168"/>
        <item x="44"/>
        <item m="1" x="160"/>
        <item m="1" x="211"/>
        <item m="1" x="209"/>
        <item x="26"/>
        <item x="54"/>
        <item m="1" x="133"/>
        <item m="1" x="131"/>
        <item x="85"/>
        <item m="1" x="239"/>
        <item x="38"/>
        <item m="1" x="128"/>
        <item m="1" x="153"/>
        <item m="1" x="157"/>
        <item m="1" x="150"/>
        <item x="95"/>
        <item x="63"/>
        <item x="91"/>
        <item x="15"/>
        <item m="1" x="154"/>
        <item x="70"/>
        <item m="1" x="151"/>
        <item x="53"/>
        <item x="66"/>
        <item x="115"/>
        <item x="86"/>
        <item x="87"/>
        <item x="27"/>
        <item x="0"/>
        <item x="28"/>
        <item x="56"/>
        <item x="57"/>
        <item x="58"/>
        <item x="89"/>
        <item x="90"/>
        <item x="1"/>
        <item x="2"/>
        <item x="29"/>
        <item x="3"/>
        <item x="4"/>
        <item x="31"/>
        <item x="32"/>
        <item x="6"/>
        <item x="61"/>
        <item x="33"/>
        <item x="34"/>
        <item x="59"/>
        <item x="60"/>
        <item x="62"/>
        <item x="92"/>
        <item x="93"/>
        <item x="5"/>
        <item t="default"/>
      </items>
    </pivotField>
    <pivotField showAll="0"/>
    <pivotField showAll="0"/>
    <pivotField showAll="0"/>
    <pivotField showAll="0"/>
    <pivotField showAll="0" includeNewItemsInFilter="1"/>
    <pivotField showAll="0"/>
    <pivotField showAll="0"/>
    <pivotField showAll="0"/>
    <pivotField showAll="0"/>
    <pivotField showAll="0"/>
    <pivotField showAll="0"/>
  </pivotFields>
  <rowItems count="1">
    <i/>
  </rowItems>
  <colFields count="1">
    <field x="1"/>
  </colFields>
  <colItems count="1">
    <i>
      <x v="5"/>
    </i>
  </colItems>
  <formats count="11">
    <format dxfId="10947">
      <pivotArea field="5" type="button" dataOnly="0" labelOnly="1" outline="0"/>
    </format>
    <format dxfId="10946">
      <pivotArea dataOnly="0" labelOnly="1" outline="0" axis="axisValues" fieldPosition="0"/>
    </format>
    <format dxfId="10945">
      <pivotArea outline="0" collapsedLevelsAreSubtotals="1" fieldPosition="0"/>
    </format>
    <format dxfId="10944">
      <pivotArea outline="0" collapsedLevelsAreSubtotals="1" fieldPosition="0"/>
    </format>
    <format dxfId="10943">
      <pivotArea field="2" type="button" dataOnly="0" labelOnly="1" outline="0"/>
    </format>
    <format dxfId="10942">
      <pivotArea field="1" type="button" dataOnly="0" labelOnly="1" outline="0" axis="axisCol" fieldPosition="0"/>
    </format>
    <format dxfId="10941">
      <pivotArea dataOnly="0" labelOnly="1" fieldPosition="0">
        <references count="1">
          <reference field="1" count="0"/>
        </references>
      </pivotArea>
    </format>
    <format dxfId="10940">
      <pivotArea dataOnly="0" outline="0" fieldPosition="0">
        <references count="1">
          <reference field="1" count="0"/>
        </references>
      </pivotArea>
    </format>
    <format dxfId="10939">
      <pivotArea dataOnly="0" outline="0" fieldPosition="0">
        <references count="1">
          <reference field="1" count="0"/>
        </references>
      </pivotArea>
    </format>
    <format dxfId="10938">
      <pivotArea field="1" type="button" dataOnly="0" labelOnly="1" outline="0" axis="axisCol" fieldPosition="0"/>
    </format>
    <format dxfId="10937">
      <pivotArea field="1" type="button" dataOnly="0" labelOnly="1" outline="0" axis="axisCol"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63362C-FAE2-4451-8F2B-C9EB415EAC85}" name="Buscador" cacheId="18" applyNumberFormats="0" applyBorderFormats="0" applyFontFormats="0" applyPatternFormats="0" applyAlignmentFormats="0" applyWidthHeightFormats="1" dataCaption="Valores" updatedVersion="8" minRefreshableVersion="3" rowGrandTotals="0" itemPrintTitles="1" createdVersion="4" indent="0" outline="1" outlineData="1" multipleFieldFilters="0">
  <location ref="M5:M6" firstHeaderRow="1" firstDataRow="1" firstDataCol="0" rowPageCount="1" colPageCount="1"/>
  <pivotFields count="17">
    <pivotField showAll="0"/>
    <pivotField multipleItemSelectionAllowed="1" showAll="0">
      <items count="42">
        <item h="1" m="1" x="28"/>
        <item h="1" m="1" x="29"/>
        <item h="1" m="1" x="30"/>
        <item h="1" x="0"/>
        <item h="1" x="1"/>
        <item h="1" x="2"/>
        <item h="1" x="3"/>
        <item h="1" x="4"/>
        <item h="1" x="5"/>
        <item h="1" x="6"/>
        <item h="1" x="7"/>
        <item h="1" x="8"/>
        <item h="1" x="9"/>
        <item x="10"/>
        <item h="1" x="11"/>
        <item h="1" x="12"/>
        <item h="1" x="13"/>
        <item h="1" x="14"/>
        <item h="1" x="15"/>
        <item h="1" x="16"/>
        <item h="1" x="17"/>
        <item h="1" x="18"/>
        <item h="1" x="19"/>
        <item h="1" x="20"/>
        <item h="1" x="21"/>
        <item h="1" x="22"/>
        <item h="1" x="23"/>
        <item h="1" x="24"/>
        <item h="1" x="25"/>
        <item h="1" x="26"/>
        <item h="1" m="1" x="31"/>
        <item h="1" m="1" x="32"/>
        <item h="1" m="1" x="33"/>
        <item h="1" m="1" x="34"/>
        <item h="1" m="1" x="35"/>
        <item h="1" m="1" x="36"/>
        <item h="1" m="1" x="37"/>
        <item h="1" m="1" x="38"/>
        <item h="1" m="1" x="39"/>
        <item h="1" m="1" x="40"/>
        <item h="1" x="27"/>
        <item t="default"/>
      </items>
    </pivotField>
    <pivotField dataField="1" multipleItemSelectionAllowed="1" showAll="0"/>
    <pivotField showAll="0"/>
    <pivotField showAll="0"/>
    <pivotField name="Serached Site:" axis="axisPage" showAll="0">
      <items count="389">
        <item m="1" x="308"/>
        <item m="1" x="201"/>
        <item m="1" x="365"/>
        <item m="1" x="236"/>
        <item m="1" x="283"/>
        <item m="1" x="382"/>
        <item m="1" x="230"/>
        <item m="1" x="368"/>
        <item m="1" x="186"/>
        <item m="1" x="190"/>
        <item m="1" x="231"/>
        <item m="1" x="366"/>
        <item m="1" x="263"/>
        <item m="1" x="169"/>
        <item m="1" x="219"/>
        <item m="1" x="276"/>
        <item m="1" x="277"/>
        <item m="1" x="170"/>
        <item m="1" x="187"/>
        <item m="1" x="171"/>
        <item m="1" x="212"/>
        <item m="1" x="213"/>
        <item m="1" x="189"/>
        <item m="1" x="375"/>
        <item m="1" x="311"/>
        <item m="1" x="172"/>
        <item m="1" x="173"/>
        <item m="1" x="225"/>
        <item m="1" x="226"/>
        <item m="1" x="197"/>
        <item m="1" x="174"/>
        <item m="1" x="203"/>
        <item m="1" x="333"/>
        <item m="1" x="175"/>
        <item m="1" x="176"/>
        <item m="1" x="223"/>
        <item m="1" x="191"/>
        <item m="1" x="177"/>
        <item m="1" x="242"/>
        <item m="1" x="274"/>
        <item m="1" x="275"/>
        <item m="1" x="193"/>
        <item m="1" x="194"/>
        <item m="1" x="287"/>
        <item m="1" x="192"/>
        <item m="1" x="376"/>
        <item m="1" x="254"/>
        <item m="1" x="386"/>
        <item m="1" x="178"/>
        <item m="1" x="183"/>
        <item m="1" x="179"/>
        <item m="1" x="214"/>
        <item m="1" x="181"/>
        <item m="1" x="185"/>
        <item m="1" x="227"/>
        <item m="1" x="218"/>
        <item m="1" x="224"/>
        <item m="1" x="232"/>
        <item m="1" x="184"/>
        <item m="1" x="204"/>
        <item m="1" x="255"/>
        <item m="1" x="305"/>
        <item m="1" x="340"/>
        <item m="1" x="182"/>
        <item m="1" x="228"/>
        <item m="1" x="295"/>
        <item m="1" x="210"/>
        <item m="1" x="372"/>
        <item m="1" x="256"/>
        <item m="1" x="244"/>
        <item m="1" x="258"/>
        <item m="1" x="245"/>
        <item m="1" x="246"/>
        <item m="1" x="247"/>
        <item m="1" x="206"/>
        <item m="1" x="304"/>
        <item m="1" x="208"/>
        <item m="1" x="195"/>
        <item m="1" x="279"/>
        <item m="1" x="199"/>
        <item n="USA PHONE" m="1" x="363"/>
        <item m="1" x="358"/>
        <item m="1" x="257"/>
        <item m="1" x="216"/>
        <item m="1" x="220"/>
        <item m="1" x="250"/>
        <item m="1" x="249"/>
        <item m="1" x="221"/>
        <item m="1" x="260"/>
        <item m="1" x="259"/>
        <item m="1" x="293"/>
        <item m="1" x="385"/>
        <item m="1" x="367"/>
        <item m="1" x="317"/>
        <item m="1" x="251"/>
        <item m="1" x="310"/>
        <item m="1" x="301"/>
        <item m="1" x="315"/>
        <item m="1" x="252"/>
        <item h="1" m="1" x="143"/>
        <item h="1" m="1" x="142"/>
        <item h="1" x="55"/>
        <item h="1" m="1" x="141"/>
        <item m="1" x="167"/>
        <item h="1" m="1" x="138"/>
        <item h="1" m="1" x="139"/>
        <item h="1" m="1" x="140"/>
        <item h="1" x="88"/>
        <item h="1" m="1" x="136"/>
        <item h="1" m="1" x="134"/>
        <item m="1" x="369"/>
        <item m="1" x="309"/>
        <item m="1" x="267"/>
        <item m="1" x="268"/>
        <item m="1" x="265"/>
        <item m="1" x="266"/>
        <item x="30"/>
        <item h="1" m="1" x="132"/>
        <item h="1" m="1" x="145"/>
        <item m="1" x="162"/>
        <item m="1" x="360"/>
        <item m="1" x="166"/>
        <item h="1" m="1" x="129"/>
        <item h="1" m="1" x="130"/>
        <item h="1" m="1" x="122"/>
        <item m="1" x="125"/>
        <item h="1" m="1" x="126"/>
        <item h="1" m="1" x="123"/>
        <item h="1" m="1" x="119"/>
        <item m="1" x="117"/>
        <item h="1" m="1" x="118"/>
        <item h="1" m="1" x="120"/>
        <item h="1" m="1" x="124"/>
        <item h="1" x="94"/>
        <item m="1" x="163"/>
        <item m="1" x="164"/>
        <item h="1" x="96"/>
        <item h="1" x="64"/>
        <item h="1" m="1" x="121"/>
        <item h="1" x="7"/>
        <item h="1" x="8"/>
        <item h="1" x="35"/>
        <item h="1" m="1" x="146"/>
        <item x="65"/>
        <item h="1" x="97"/>
        <item m="1" x="149"/>
        <item x="98"/>
        <item h="1" x="67"/>
        <item m="1" x="148"/>
        <item h="1" x="9"/>
        <item m="1" x="341"/>
        <item h="1" x="10"/>
        <item x="36"/>
        <item m="1" x="319"/>
        <item m="1" x="288"/>
        <item m="1" x="383"/>
        <item m="1" x="373"/>
        <item m="1" x="286"/>
        <item m="1" x="320"/>
        <item h="1" x="69"/>
        <item h="1" x="71"/>
        <item m="1" x="318"/>
        <item h="1" x="101"/>
        <item m="1" x="384"/>
        <item m="1" x="377"/>
        <item m="1" x="359"/>
        <item h="1" x="103"/>
        <item h="1" x="73"/>
        <item h="1" x="40"/>
        <item m="1" x="165"/>
        <item m="1" x="345"/>
        <item m="1" x="284"/>
        <item h="1" x="14"/>
        <item m="1" x="350"/>
        <item h="1" x="104"/>
        <item m="1" x="331"/>
        <item h="1" x="106"/>
        <item m="1" x="321"/>
        <item h="1" x="42"/>
        <item m="1" x="314"/>
        <item m="1" x="380"/>
        <item m="1" x="352"/>
        <item h="1" x="43"/>
        <item h="1" x="77"/>
        <item h="1" x="18"/>
        <item h="1" x="45"/>
        <item h="1" x="79"/>
        <item h="1" x="108"/>
        <item h="1" x="109"/>
        <item m="1" x="338"/>
        <item m="1" x="334"/>
        <item m="1" x="335"/>
        <item h="1" x="21"/>
        <item h="1" x="47"/>
        <item m="1" x="307"/>
        <item h="1" x="110"/>
        <item h="1" x="111"/>
        <item m="1" x="159"/>
        <item h="1" x="48"/>
        <item m="1" x="155"/>
        <item h="1" x="22"/>
        <item h="1" x="49"/>
        <item h="1" x="112"/>
        <item m="1" x="156"/>
        <item m="1" x="158"/>
        <item h="1" x="50"/>
        <item h="1" x="23"/>
        <item m="1" x="161"/>
        <item m="1" x="285"/>
        <item h="1" m="1" x="147"/>
        <item h="1" x="113"/>
        <item m="1" x="278"/>
        <item h="1" x="24"/>
        <item h="1" x="25"/>
        <item m="1" x="302"/>
        <item x="51"/>
        <item m="1" x="343"/>
        <item m="1" x="322"/>
        <item h="1" x="52"/>
        <item m="1" x="273"/>
        <item m="1" x="282"/>
        <item m="1" x="152"/>
        <item m="1" x="270"/>
        <item m="1" x="271"/>
        <item m="1" x="269"/>
        <item h="1" x="84"/>
        <item m="1" x="349"/>
        <item m="1" x="264"/>
        <item m="1" x="313"/>
        <item m="1" x="291"/>
        <item m="1" x="332"/>
        <item m="1" x="240"/>
        <item h="1" x="39"/>
        <item m="1" x="337"/>
        <item m="1" x="241"/>
        <item h="1" x="80"/>
        <item m="1" x="300"/>
        <item m="1" x="297"/>
        <item h="1" x="17"/>
        <item m="1" x="325"/>
        <item h="1" x="75"/>
        <item h="1" x="19"/>
        <item m="1" x="354"/>
        <item h="1" x="76"/>
        <item m="1" x="202"/>
        <item h="1" x="16"/>
        <item m="1" x="357"/>
        <item h="1" x="107"/>
        <item m="1" x="196"/>
        <item m="1" x="353"/>
        <item h="1" x="116"/>
        <item m="1" x="347"/>
        <item h="1" x="20"/>
        <item h="1" m="1" x="135"/>
        <item m="1" x="328"/>
        <item m="1" x="303"/>
        <item m="1" x="329"/>
        <item m="1" x="361"/>
        <item m="1" x="316"/>
        <item h="1" m="1" x="144"/>
        <item m="1" x="355"/>
        <item m="1" x="281"/>
        <item m="1" x="330"/>
        <item m="1" x="292"/>
        <item m="1" x="370"/>
        <item m="1" x="280"/>
        <item m="1" x="272"/>
        <item m="1" x="371"/>
        <item m="1" x="346"/>
        <item m="1" x="339"/>
        <item m="1" x="253"/>
        <item h="1" x="46"/>
        <item h="1" x="102"/>
        <item m="1" x="217"/>
        <item m="1" x="238"/>
        <item m="1" x="207"/>
        <item m="1" x="248"/>
        <item m="1" x="327"/>
        <item m="1" x="356"/>
        <item m="1" x="387"/>
        <item m="1" x="364"/>
        <item h="1" x="41"/>
        <item h="1" x="105"/>
        <item h="1" m="1" x="137"/>
        <item h="1" x="72"/>
        <item m="1" x="324"/>
        <item h="1" x="81"/>
        <item m="1" x="326"/>
        <item m="1" x="374"/>
        <item m="1" x="290"/>
        <item m="1" x="233"/>
        <item m="1" x="351"/>
        <item m="1" x="234"/>
        <item m="1" x="294"/>
        <item m="1" x="261"/>
        <item m="1" x="378"/>
        <item m="1" x="237"/>
        <item m="1" x="312"/>
        <item m="1" x="296"/>
        <item m="1" x="235"/>
        <item m="1" x="299"/>
        <item h="1" m="1" x="127"/>
        <item m="1" x="362"/>
        <item m="1" x="323"/>
        <item h="1" x="82"/>
        <item m="1" x="289"/>
        <item m="1" x="379"/>
        <item m="1" x="298"/>
        <item m="1" x="198"/>
        <item m="1" x="200"/>
        <item m="1" x="348"/>
        <item m="1" x="344"/>
        <item m="1" x="188"/>
        <item h="1" x="13"/>
        <item m="1" x="229"/>
        <item m="1" x="243"/>
        <item m="1" x="205"/>
        <item m="1" x="222"/>
        <item m="1" x="381"/>
        <item h="1" x="83"/>
        <item h="1" x="74"/>
        <item m="1" x="342"/>
        <item m="1" x="306"/>
        <item h="1" x="114"/>
        <item m="1" x="336"/>
        <item h="1" x="78"/>
        <item h="1" x="11"/>
        <item h="1" x="100"/>
        <item m="1" x="262"/>
        <item h="1" x="68"/>
        <item h="1" x="37"/>
        <item h="1" x="99"/>
        <item h="1" x="12"/>
        <item m="1" x="215"/>
        <item m="1" x="180"/>
        <item m="1" x="168"/>
        <item h="1" x="44"/>
        <item m="1" x="160"/>
        <item m="1" x="211"/>
        <item m="1" x="209"/>
        <item h="1" x="26"/>
        <item h="1" x="54"/>
        <item h="1" m="1" x="133"/>
        <item h="1" m="1" x="131"/>
        <item h="1" x="85"/>
        <item m="1" x="239"/>
        <item h="1" x="38"/>
        <item m="1" x="128"/>
        <item m="1" x="153"/>
        <item m="1" x="157"/>
        <item m="1" x="150"/>
        <item h="1" x="95"/>
        <item h="1" x="63"/>
        <item h="1" x="91"/>
        <item h="1" x="15"/>
        <item m="1" x="154"/>
        <item h="1" x="70"/>
        <item m="1" x="151"/>
        <item h="1" x="53"/>
        <item h="1" x="66"/>
        <item h="1" x="115"/>
        <item h="1" x="86"/>
        <item h="1" x="87"/>
        <item h="1" x="27"/>
        <item h="1" x="0"/>
        <item h="1" x="28"/>
        <item h="1" x="56"/>
        <item h="1" x="57"/>
        <item h="1" x="58"/>
        <item h="1" x="89"/>
        <item h="1" x="90"/>
        <item h="1" x="1"/>
        <item h="1" x="2"/>
        <item h="1" x="29"/>
        <item h="1" x="3"/>
        <item h="1" x="4"/>
        <item h="1" x="31"/>
        <item h="1" x="32"/>
        <item h="1" x="6"/>
        <item h="1" x="61"/>
        <item h="1" x="33"/>
        <item h="1" x="34"/>
        <item h="1" x="59"/>
        <item h="1" x="60"/>
        <item h="1" x="62"/>
        <item h="1" x="92"/>
        <item h="1" x="93"/>
        <item h="1" x="5"/>
        <item t="default"/>
      </items>
    </pivotField>
    <pivotField showAll="0"/>
    <pivotField showAll="0"/>
    <pivotField showAll="0"/>
    <pivotField showAll="0"/>
    <pivotField showAll="0" includeNewItemsInFilter="1"/>
    <pivotField showAll="0"/>
    <pivotField showAll="0"/>
    <pivotField showAll="0"/>
    <pivotField showAll="0"/>
    <pivotField showAll="0"/>
    <pivotField showAll="0"/>
  </pivotFields>
  <rowItems count="1">
    <i/>
  </rowItems>
  <colItems count="1">
    <i/>
  </colItems>
  <pageFields count="1">
    <pageField fld="5" item="152" hier="-1"/>
  </pageFields>
  <dataFields count="1">
    <dataField name="Station " fld="2" baseField="0" baseItem="0"/>
  </dataFields>
  <formats count="12">
    <format dxfId="10959">
      <pivotArea dataOnly="0" labelOnly="1" outline="0" axis="axisValues" fieldPosition="0"/>
    </format>
    <format dxfId="10958">
      <pivotArea outline="0" collapsedLevelsAreSubtotals="1" fieldPosition="0"/>
    </format>
    <format dxfId="10957">
      <pivotArea outline="0" collapsedLevelsAreSubtotals="1" fieldPosition="0"/>
    </format>
    <format dxfId="10956">
      <pivotArea type="all" dataOnly="0" outline="0" fieldPosition="0"/>
    </format>
    <format dxfId="10955">
      <pivotArea field="5" type="button" dataOnly="0" labelOnly="1" outline="0" axis="axisPage" fieldPosition="0"/>
    </format>
    <format dxfId="10954">
      <pivotArea dataOnly="0" labelOnly="1" outline="0" axis="axisValues" fieldPosition="0"/>
    </format>
    <format dxfId="10953">
      <pivotArea outline="0" collapsedLevelsAreSubtotals="1" fieldPosition="0"/>
    </format>
    <format dxfId="10952">
      <pivotArea dataOnly="0" labelOnly="1" outline="0" fieldPosition="0">
        <references count="1">
          <reference field="5" count="1">
            <x v="76"/>
          </reference>
        </references>
      </pivotArea>
    </format>
    <format dxfId="10951">
      <pivotArea dataOnly="0" labelOnly="1" outline="0" fieldPosition="0">
        <references count="1">
          <reference field="5" count="1">
            <x v="76"/>
          </reference>
        </references>
      </pivotArea>
    </format>
    <format dxfId="10950">
      <pivotArea dataOnly="0" labelOnly="1" outline="0" fieldPosition="0">
        <references count="1">
          <reference field="5" count="1">
            <x v="76"/>
          </reference>
        </references>
      </pivotArea>
    </format>
    <format dxfId="10949">
      <pivotArea dataOnly="0" labelOnly="1" outline="0" fieldPosition="0">
        <references count="1">
          <reference field="5" count="1">
            <x v="76"/>
          </reference>
        </references>
      </pivotArea>
    </format>
    <format dxfId="10948">
      <pivotArea dataOnly="0" labelOnly="1" outline="0" fieldPosition="0">
        <references count="1">
          <reference field="5" count="1">
            <x v="7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C56D754-E1B2-4CC8-AB32-C8A711EF8BCB}" name="Total sites 1" cacheId="18" applyNumberFormats="0" applyBorderFormats="0" applyFontFormats="0" applyPatternFormats="0" applyAlignmentFormats="0" applyWidthHeightFormats="1" dataCaption="Valores" updatedVersion="8" minRefreshableVersion="3" rowGrandTotals="0" itemPrintTitles="1" createdVersion="4" indent="0" outline="1" outlineData="1" multipleFieldFilters="0">
  <location ref="C15:C16" firstHeaderRow="1" firstDataRow="1" firstDataCol="0"/>
  <pivotFields count="17">
    <pivotField showAll="0"/>
    <pivotField showAll="0">
      <items count="42">
        <item h="1" m="1" x="28"/>
        <item h="1" m="1" x="29"/>
        <item h="1" m="1" x="30"/>
        <item h="1" x="0"/>
        <item h="1" x="1"/>
        <item h="1" x="2"/>
        <item h="1" x="3"/>
        <item h="1" x="4"/>
        <item h="1" x="5"/>
        <item h="1" x="6"/>
        <item h="1" x="7"/>
        <item h="1" x="8"/>
        <item h="1" x="9"/>
        <item x="10"/>
        <item h="1" x="11"/>
        <item h="1" x="12"/>
        <item h="1" x="13"/>
        <item h="1" x="14"/>
        <item h="1" x="15"/>
        <item h="1" x="16"/>
        <item h="1" x="17"/>
        <item h="1" x="18"/>
        <item h="1" x="19"/>
        <item h="1" x="20"/>
        <item h="1" x="21"/>
        <item h="1" x="22"/>
        <item h="1" x="23"/>
        <item h="1" x="24"/>
        <item h="1" x="25"/>
        <item h="1" x="26"/>
        <item h="1" m="1" x="31"/>
        <item h="1" m="1" x="32"/>
        <item h="1" m="1" x="33"/>
        <item h="1" m="1" x="34"/>
        <item h="1" m="1" x="35"/>
        <item h="1" m="1" x="36"/>
        <item h="1" m="1" x="37"/>
        <item h="1" m="1" x="38"/>
        <item h="1" m="1" x="39"/>
        <item h="1" m="1" x="40"/>
        <item h="1" x="27"/>
        <item t="default"/>
      </items>
    </pivotField>
    <pivotField showAll="0">
      <items count="43">
        <item h="1" m="1" x="41"/>
        <item h="1" x="0"/>
        <item h="1" x="1"/>
        <item h="1" x="2"/>
        <item h="1" x="3"/>
        <item h="1" x="4"/>
        <item h="1" x="5"/>
        <item h="1" x="6"/>
        <item x="7"/>
        <item h="1" x="8"/>
        <item h="1" x="9"/>
        <item h="1" x="10"/>
        <item h="1" x="11"/>
        <item h="1" x="12"/>
        <item h="1" x="13"/>
        <item h="1" x="14"/>
        <item h="1" x="15"/>
        <item h="1" x="16"/>
        <item h="1" x="17"/>
        <item h="1" x="18"/>
        <item h="1" x="19"/>
        <item h="1" x="20"/>
        <item h="1" x="21"/>
        <item h="1" x="22"/>
        <item h="1" x="23"/>
        <item h="1" x="24"/>
        <item h="1" x="25"/>
        <item h="1" x="26"/>
        <item h="1" x="27"/>
        <item h="1" x="28"/>
        <item h="1" x="29"/>
        <item h="1" m="1" x="31"/>
        <item h="1" m="1" x="32"/>
        <item h="1" m="1" x="33"/>
        <item h="1" m="1" x="34"/>
        <item h="1" m="1" x="35"/>
        <item h="1" m="1" x="36"/>
        <item h="1" m="1" x="37"/>
        <item h="1" m="1" x="38"/>
        <item h="1" m="1" x="39"/>
        <item h="1" m="1" x="40"/>
        <item h="1" x="30"/>
        <item t="default"/>
      </items>
    </pivotField>
    <pivotField showAll="0"/>
    <pivotField showAll="0"/>
    <pivotField dataField="1" showAll="0">
      <items count="389">
        <item m="1" x="308"/>
        <item m="1" x="201"/>
        <item m="1" x="365"/>
        <item m="1" x="236"/>
        <item m="1" x="283"/>
        <item m="1" x="382"/>
        <item m="1" x="230"/>
        <item m="1" x="368"/>
        <item m="1" x="186"/>
        <item m="1" x="190"/>
        <item m="1" x="231"/>
        <item m="1" x="366"/>
        <item m="1" x="263"/>
        <item m="1" x="169"/>
        <item m="1" x="219"/>
        <item m="1" x="276"/>
        <item m="1" x="277"/>
        <item m="1" x="170"/>
        <item m="1" x="187"/>
        <item m="1" x="171"/>
        <item m="1" x="212"/>
        <item m="1" x="213"/>
        <item m="1" x="189"/>
        <item m="1" x="375"/>
        <item m="1" x="311"/>
        <item m="1" x="172"/>
        <item m="1" x="173"/>
        <item m="1" x="225"/>
        <item m="1" x="226"/>
        <item m="1" x="197"/>
        <item m="1" x="174"/>
        <item m="1" x="203"/>
        <item m="1" x="333"/>
        <item m="1" x="175"/>
        <item m="1" x="176"/>
        <item m="1" x="223"/>
        <item m="1" x="191"/>
        <item m="1" x="177"/>
        <item m="1" x="242"/>
        <item m="1" x="274"/>
        <item m="1" x="275"/>
        <item m="1" x="193"/>
        <item m="1" x="194"/>
        <item m="1" x="287"/>
        <item m="1" x="192"/>
        <item m="1" x="376"/>
        <item m="1" x="254"/>
        <item m="1" x="386"/>
        <item m="1" x="178"/>
        <item m="1" x="183"/>
        <item m="1" x="179"/>
        <item m="1" x="214"/>
        <item m="1" x="181"/>
        <item m="1" x="185"/>
        <item m="1" x="227"/>
        <item m="1" x="218"/>
        <item m="1" x="224"/>
        <item m="1" x="232"/>
        <item m="1" x="184"/>
        <item m="1" x="204"/>
        <item m="1" x="255"/>
        <item m="1" x="305"/>
        <item m="1" x="340"/>
        <item m="1" x="182"/>
        <item m="1" x="228"/>
        <item m="1" x="295"/>
        <item m="1" x="210"/>
        <item m="1" x="372"/>
        <item m="1" x="256"/>
        <item m="1" x="244"/>
        <item m="1" x="258"/>
        <item m="1" x="245"/>
        <item m="1" x="246"/>
        <item m="1" x="247"/>
        <item m="1" x="206"/>
        <item m="1" x="304"/>
        <item m="1" x="208"/>
        <item m="1" x="195"/>
        <item m="1" x="279"/>
        <item m="1" x="199"/>
        <item m="1" x="363"/>
        <item m="1" x="358"/>
        <item m="1" x="257"/>
        <item m="1" x="216"/>
        <item m="1" x="220"/>
        <item m="1" x="250"/>
        <item m="1" x="249"/>
        <item m="1" x="221"/>
        <item m="1" x="260"/>
        <item m="1" x="259"/>
        <item m="1" x="293"/>
        <item m="1" x="385"/>
        <item m="1" x="367"/>
        <item m="1" x="317"/>
        <item m="1" x="251"/>
        <item m="1" x="310"/>
        <item m="1" x="301"/>
        <item m="1" x="315"/>
        <item m="1" x="252"/>
        <item m="1" x="143"/>
        <item m="1" x="142"/>
        <item x="55"/>
        <item m="1" x="141"/>
        <item m="1" x="167"/>
        <item m="1" x="138"/>
        <item m="1" x="139"/>
        <item m="1" x="140"/>
        <item x="88"/>
        <item m="1" x="136"/>
        <item m="1" x="134"/>
        <item m="1" x="369"/>
        <item m="1" x="309"/>
        <item m="1" x="267"/>
        <item m="1" x="268"/>
        <item m="1" x="265"/>
        <item m="1" x="266"/>
        <item x="30"/>
        <item m="1" x="132"/>
        <item m="1" x="145"/>
        <item m="1" x="162"/>
        <item m="1" x="360"/>
        <item m="1" x="166"/>
        <item m="1" x="129"/>
        <item m="1" x="130"/>
        <item m="1" x="122"/>
        <item m="1" x="125"/>
        <item m="1" x="126"/>
        <item m="1" x="123"/>
        <item m="1" x="119"/>
        <item m="1" x="117"/>
        <item m="1" x="118"/>
        <item m="1" x="120"/>
        <item m="1" x="124"/>
        <item x="94"/>
        <item m="1" x="163"/>
        <item m="1" x="164"/>
        <item x="96"/>
        <item x="64"/>
        <item m="1" x="121"/>
        <item x="7"/>
        <item x="8"/>
        <item x="35"/>
        <item m="1" x="146"/>
        <item x="65"/>
        <item x="97"/>
        <item m="1" x="149"/>
        <item x="98"/>
        <item x="67"/>
        <item m="1" x="148"/>
        <item x="9"/>
        <item m="1" x="341"/>
        <item x="10"/>
        <item x="36"/>
        <item m="1" x="319"/>
        <item m="1" x="288"/>
        <item m="1" x="383"/>
        <item m="1" x="373"/>
        <item m="1" x="286"/>
        <item m="1" x="320"/>
        <item x="69"/>
        <item x="71"/>
        <item m="1" x="318"/>
        <item x="101"/>
        <item m="1" x="384"/>
        <item m="1" x="377"/>
        <item m="1" x="359"/>
        <item x="103"/>
        <item x="73"/>
        <item x="40"/>
        <item m="1" x="165"/>
        <item m="1" x="345"/>
        <item m="1" x="284"/>
        <item x="14"/>
        <item m="1" x="350"/>
        <item x="104"/>
        <item m="1" x="331"/>
        <item x="106"/>
        <item m="1" x="321"/>
        <item x="42"/>
        <item m="1" x="314"/>
        <item m="1" x="380"/>
        <item m="1" x="352"/>
        <item x="43"/>
        <item x="77"/>
        <item x="18"/>
        <item x="45"/>
        <item x="79"/>
        <item x="108"/>
        <item x="109"/>
        <item m="1" x="338"/>
        <item m="1" x="334"/>
        <item m="1" x="335"/>
        <item x="21"/>
        <item x="47"/>
        <item m="1" x="307"/>
        <item x="110"/>
        <item x="111"/>
        <item m="1" x="159"/>
        <item x="48"/>
        <item m="1" x="155"/>
        <item x="22"/>
        <item x="49"/>
        <item x="112"/>
        <item m="1" x="156"/>
        <item m="1" x="158"/>
        <item x="50"/>
        <item x="23"/>
        <item m="1" x="161"/>
        <item m="1" x="285"/>
        <item m="1" x="147"/>
        <item x="113"/>
        <item m="1" x="278"/>
        <item x="24"/>
        <item x="25"/>
        <item m="1" x="302"/>
        <item x="51"/>
        <item m="1" x="343"/>
        <item m="1" x="322"/>
        <item x="52"/>
        <item m="1" x="273"/>
        <item m="1" x="282"/>
        <item m="1" x="152"/>
        <item m="1" x="270"/>
        <item m="1" x="271"/>
        <item m="1" x="269"/>
        <item x="84"/>
        <item m="1" x="349"/>
        <item m="1" x="264"/>
        <item m="1" x="313"/>
        <item m="1" x="291"/>
        <item m="1" x="332"/>
        <item m="1" x="240"/>
        <item x="39"/>
        <item m="1" x="337"/>
        <item m="1" x="241"/>
        <item x="80"/>
        <item m="1" x="300"/>
        <item m="1" x="297"/>
        <item x="17"/>
        <item m="1" x="325"/>
        <item x="75"/>
        <item x="19"/>
        <item m="1" x="354"/>
        <item x="76"/>
        <item m="1" x="202"/>
        <item x="16"/>
        <item m="1" x="357"/>
        <item x="107"/>
        <item m="1" x="196"/>
        <item m="1" x="353"/>
        <item x="116"/>
        <item m="1" x="347"/>
        <item x="20"/>
        <item m="1" x="135"/>
        <item m="1" x="328"/>
        <item m="1" x="303"/>
        <item m="1" x="329"/>
        <item m="1" x="361"/>
        <item m="1" x="316"/>
        <item m="1" x="144"/>
        <item m="1" x="355"/>
        <item m="1" x="281"/>
        <item m="1" x="330"/>
        <item m="1" x="292"/>
        <item m="1" x="370"/>
        <item m="1" x="280"/>
        <item m="1" x="272"/>
        <item m="1" x="371"/>
        <item m="1" x="346"/>
        <item m="1" x="339"/>
        <item m="1" x="253"/>
        <item x="46"/>
        <item x="102"/>
        <item m="1" x="217"/>
        <item m="1" x="238"/>
        <item m="1" x="207"/>
        <item m="1" x="248"/>
        <item m="1" x="327"/>
        <item m="1" x="356"/>
        <item m="1" x="387"/>
        <item m="1" x="364"/>
        <item x="41"/>
        <item x="105"/>
        <item m="1" x="137"/>
        <item x="72"/>
        <item m="1" x="324"/>
        <item x="81"/>
        <item m="1" x="326"/>
        <item m="1" x="374"/>
        <item m="1" x="290"/>
        <item m="1" x="233"/>
        <item m="1" x="351"/>
        <item m="1" x="234"/>
        <item m="1" x="294"/>
        <item m="1" x="261"/>
        <item m="1" x="378"/>
        <item m="1" x="237"/>
        <item m="1" x="312"/>
        <item m="1" x="296"/>
        <item m="1" x="235"/>
        <item m="1" x="299"/>
        <item m="1" x="127"/>
        <item m="1" x="362"/>
        <item m="1" x="323"/>
        <item x="82"/>
        <item m="1" x="289"/>
        <item m="1" x="379"/>
        <item m="1" x="298"/>
        <item m="1" x="198"/>
        <item m="1" x="200"/>
        <item m="1" x="348"/>
        <item m="1" x="344"/>
        <item m="1" x="188"/>
        <item x="13"/>
        <item m="1" x="229"/>
        <item m="1" x="243"/>
        <item m="1" x="205"/>
        <item m="1" x="222"/>
        <item m="1" x="381"/>
        <item x="83"/>
        <item x="74"/>
        <item m="1" x="342"/>
        <item m="1" x="306"/>
        <item x="114"/>
        <item m="1" x="336"/>
        <item x="78"/>
        <item x="11"/>
        <item x="100"/>
        <item m="1" x="262"/>
        <item x="68"/>
        <item x="37"/>
        <item x="99"/>
        <item x="12"/>
        <item m="1" x="215"/>
        <item m="1" x="180"/>
        <item m="1" x="168"/>
        <item x="44"/>
        <item m="1" x="160"/>
        <item m="1" x="211"/>
        <item m="1" x="209"/>
        <item x="26"/>
        <item x="54"/>
        <item m="1" x="133"/>
        <item m="1" x="131"/>
        <item x="85"/>
        <item m="1" x="239"/>
        <item x="38"/>
        <item m="1" x="128"/>
        <item m="1" x="153"/>
        <item m="1" x="157"/>
        <item m="1" x="150"/>
        <item x="95"/>
        <item x="63"/>
        <item x="91"/>
        <item x="15"/>
        <item m="1" x="154"/>
        <item x="70"/>
        <item m="1" x="151"/>
        <item x="53"/>
        <item x="66"/>
        <item x="115"/>
        <item x="86"/>
        <item x="87"/>
        <item x="27"/>
        <item x="0"/>
        <item x="28"/>
        <item x="56"/>
        <item x="57"/>
        <item x="58"/>
        <item x="89"/>
        <item x="90"/>
        <item x="1"/>
        <item x="2"/>
        <item x="29"/>
        <item x="3"/>
        <item x="4"/>
        <item x="31"/>
        <item x="32"/>
        <item x="6"/>
        <item x="61"/>
        <item x="33"/>
        <item x="34"/>
        <item x="59"/>
        <item x="60"/>
        <item x="62"/>
        <item x="92"/>
        <item x="93"/>
        <item x="5"/>
        <item t="default"/>
      </items>
    </pivotField>
    <pivotField showAll="0"/>
    <pivotField showAll="0"/>
    <pivotField showAll="0"/>
    <pivotField showAll="0"/>
    <pivotField showAll="0" includeNewItemsInFilter="1"/>
    <pivotField showAll="0"/>
    <pivotField showAll="0"/>
    <pivotField showAll="0"/>
    <pivotField showAll="0"/>
    <pivotField showAll="0"/>
    <pivotField showAll="0"/>
  </pivotFields>
  <rowItems count="1">
    <i/>
  </rowItems>
  <colItems count="1">
    <i/>
  </colItems>
  <dataFields count="1">
    <dataField name="Total Sites" fld="5" subtotal="count" baseField="0" baseItem="0"/>
  </dataFields>
  <formats count="15">
    <format dxfId="10974">
      <pivotArea field="5" type="button" dataOnly="0" labelOnly="1" outline="0"/>
    </format>
    <format dxfId="10973">
      <pivotArea dataOnly="0" labelOnly="1" outline="0" axis="axisValues" fieldPosition="0"/>
    </format>
    <format dxfId="10972">
      <pivotArea outline="0" collapsedLevelsAreSubtotals="1" fieldPosition="0"/>
    </format>
    <format dxfId="10971">
      <pivotArea outline="0" collapsedLevelsAreSubtotals="1" fieldPosition="0"/>
    </format>
    <format dxfId="10970">
      <pivotArea type="all" dataOnly="0" outline="0" fieldPosition="0"/>
    </format>
    <format dxfId="10969">
      <pivotArea outline="0" collapsedLevelsAreSubtotals="1" fieldPosition="0"/>
    </format>
    <format dxfId="10968">
      <pivotArea dataOnly="0" labelOnly="1" outline="0" axis="axisValues" fieldPosition="0"/>
    </format>
    <format dxfId="10967">
      <pivotArea type="all" dataOnly="0" outline="0" fieldPosition="0"/>
    </format>
    <format dxfId="10966">
      <pivotArea outline="0" collapsedLevelsAreSubtotals="1" fieldPosition="0"/>
    </format>
    <format dxfId="10965">
      <pivotArea dataOnly="0" labelOnly="1" outline="0" axis="axisValues" fieldPosition="0"/>
    </format>
    <format dxfId="10964">
      <pivotArea type="all" dataOnly="0" outline="0" fieldPosition="0"/>
    </format>
    <format dxfId="10963">
      <pivotArea outline="0" collapsedLevelsAreSubtotals="1" fieldPosition="0"/>
    </format>
    <format dxfId="10962">
      <pivotArea dataOnly="0" labelOnly="1" outline="0" axis="axisValues" fieldPosition="0"/>
    </format>
    <format dxfId="10961">
      <pivotArea dataOnly="0" labelOnly="1" outline="0" axis="axisValues" fieldPosition="0"/>
    </format>
    <format dxfId="1096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41006E2-6496-497E-998F-54C474680B04}" name="alphabetical" cacheId="18" applyNumberFormats="0" applyBorderFormats="0" applyFontFormats="0" applyPatternFormats="0" applyAlignmentFormats="0" applyWidthHeightFormats="1" dataCaption="Valores" updatedVersion="8" minRefreshableVersion="3" showDrill="0" rowGrandTotals="0" colGrandTotals="0" itemPrintTitles="1" createdVersion="4" indent="0" compact="0" compactData="0" multipleFieldFilters="0" rowHeaderCaption="New Sites">
  <location ref="AE2:AE12" firstHeaderRow="1" firstDataRow="1" firstDataCol="1"/>
  <pivotFields count="17">
    <pivotField compact="0" outline="0" subtotalTop="0" showAll="0" defaultSubtotal="0"/>
    <pivotField compact="0" outline="0" showAll="0" defaultSubtotal="0">
      <items count="41">
        <item h="1" m="1" x="28"/>
        <item h="1" m="1" x="29"/>
        <item h="1" m="1" x="30"/>
        <item h="1" x="0"/>
        <item h="1" x="1"/>
        <item h="1" x="2"/>
        <item h="1" x="3"/>
        <item h="1" x="4"/>
        <item h="1" x="5"/>
        <item h="1" x="6"/>
        <item h="1" x="7"/>
        <item h="1" x="8"/>
        <item h="1" x="9"/>
        <item x="10"/>
        <item h="1" x="11"/>
        <item h="1" x="12"/>
        <item h="1" x="13"/>
        <item h="1" x="14"/>
        <item h="1" x="15"/>
        <item h="1" x="16"/>
        <item h="1" x="17"/>
        <item h="1" x="18"/>
        <item h="1" x="19"/>
        <item h="1" x="20"/>
        <item h="1" x="21"/>
        <item h="1" x="22"/>
        <item h="1" x="23"/>
        <item h="1" x="24"/>
        <item h="1" x="25"/>
        <item h="1" x="26"/>
        <item h="1" m="1" x="31"/>
        <item h="1" m="1" x="32"/>
        <item h="1" m="1" x="33"/>
        <item h="1" m="1" x="34"/>
        <item h="1" m="1" x="35"/>
        <item h="1" m="1" x="36"/>
        <item h="1" m="1" x="37"/>
        <item h="1" m="1" x="38"/>
        <item h="1" m="1" x="39"/>
        <item h="1" m="1" x="40"/>
        <item h="1" x="27"/>
      </items>
    </pivotField>
    <pivotField compact="0" outline="0" showAll="0" defaultSubtotal="0">
      <items count="42">
        <item h="1" m="1" x="41"/>
        <item h="1" x="0"/>
        <item h="1" x="1"/>
        <item h="1" x="2"/>
        <item h="1" x="3"/>
        <item h="1" x="4"/>
        <item h="1" x="5"/>
        <item h="1" x="6"/>
        <item x="7"/>
        <item h="1" x="8"/>
        <item h="1" x="9"/>
        <item h="1" x="10"/>
        <item h="1" x="11"/>
        <item h="1" x="12"/>
        <item h="1" x="13"/>
        <item h="1" x="14"/>
        <item h="1" x="15"/>
        <item h="1" x="16"/>
        <item h="1" x="17"/>
        <item h="1" x="18"/>
        <item h="1" x="19"/>
        <item h="1" x="20"/>
        <item h="1" x="21"/>
        <item h="1" x="22"/>
        <item h="1" x="23"/>
        <item h="1" x="24"/>
        <item h="1" x="25"/>
        <item h="1" x="26"/>
        <item h="1" x="27"/>
        <item h="1" x="28"/>
        <item h="1" x="29"/>
        <item h="1" m="1" x="31"/>
        <item h="1" m="1" x="32"/>
        <item h="1" m="1" x="33"/>
        <item h="1" m="1" x="34"/>
        <item h="1" m="1" x="35"/>
        <item h="1" m="1" x="36"/>
        <item h="1" m="1" x="37"/>
        <item h="1" m="1" x="38"/>
        <item h="1" m="1" x="39"/>
        <item h="1" m="1" x="40"/>
        <item h="1" x="30"/>
      </items>
    </pivotField>
    <pivotField compact="0" outline="0" showAll="0" defaultSubtotal="0"/>
    <pivotField compact="0" outline="0" showAll="0" defaultSubtotal="0"/>
    <pivotField axis="axisRow" compact="0" outline="0" showAll="0" sortType="ascending" defaultSubtotal="0">
      <items count="388">
        <item m="1" x="308"/>
        <item m="1" x="201"/>
        <item m="1" x="365"/>
        <item m="1" x="202"/>
        <item m="1" x="236"/>
        <item m="1" x="283"/>
        <item m="1" x="241"/>
        <item m="1" x="382"/>
        <item m="1" x="230"/>
        <item m="1" x="303"/>
        <item m="1" x="237"/>
        <item m="1" x="368"/>
        <item m="1" x="292"/>
        <item m="1" x="186"/>
        <item m="1" x="190"/>
        <item m="1" x="231"/>
        <item m="1" x="168"/>
        <item m="1" x="366"/>
        <item m="1" x="263"/>
        <item m="1" x="169"/>
        <item m="1" x="219"/>
        <item m="1" x="276"/>
        <item m="1" x="211"/>
        <item m="1" x="277"/>
        <item m="1" x="170"/>
        <item m="1" x="187"/>
        <item m="1" x="171"/>
        <item m="1" x="212"/>
        <item m="1" x="213"/>
        <item m="1" x="189"/>
        <item m="1" x="188"/>
        <item m="1" x="375"/>
        <item m="1" x="294"/>
        <item m="1" x="311"/>
        <item m="1" x="172"/>
        <item m="1" x="173"/>
        <item m="1" x="225"/>
        <item m="1" x="332"/>
        <item m="1" x="226"/>
        <item m="1" x="197"/>
        <item m="1" x="174"/>
        <item m="1" x="203"/>
        <item m="1" x="329"/>
        <item m="1" x="253"/>
        <item m="1" x="333"/>
        <item m="1" x="175"/>
        <item m="1" x="176"/>
        <item m="1" x="223"/>
        <item m="1" x="200"/>
        <item m="1" x="191"/>
        <item m="1" x="177"/>
        <item m="1" x="242"/>
        <item m="1" x="274"/>
        <item m="1" x="209"/>
        <item m="1" x="275"/>
        <item m="1" x="193"/>
        <item m="1" x="194"/>
        <item m="1" x="243"/>
        <item m="1" x="287"/>
        <item m="1" x="280"/>
        <item m="1" x="192"/>
        <item m="1" x="376"/>
        <item m="1" x="254"/>
        <item m="1" x="240"/>
        <item m="1" x="386"/>
        <item m="1" x="178"/>
        <item m="1" x="183"/>
        <item m="1" x="179"/>
        <item m="1" x="180"/>
        <item m="1" x="214"/>
        <item m="1" x="181"/>
        <item m="1" x="185"/>
        <item m="1" x="227"/>
        <item m="1" x="218"/>
        <item m="1" x="224"/>
        <item m="1" x="232"/>
        <item m="1" x="184"/>
        <item m="1" x="378"/>
        <item m="1" x="204"/>
        <item m="1" x="255"/>
        <item m="1" x="196"/>
        <item m="1" x="305"/>
        <item m="1" x="205"/>
        <item m="1" x="340"/>
        <item m="1" x="182"/>
        <item m="1" x="239"/>
        <item m="1" x="228"/>
        <item m="1" x="339"/>
        <item m="1" x="337"/>
        <item m="1" x="229"/>
        <item m="1" x="295"/>
        <item m="1" x="210"/>
        <item m="1" x="238"/>
        <item m="1" x="372"/>
        <item m="1" x="256"/>
        <item m="1" x="361"/>
        <item m="1" x="244"/>
        <item m="1" x="258"/>
        <item m="1" x="245"/>
        <item m="1" x="246"/>
        <item m="1" x="247"/>
        <item m="1" x="215"/>
        <item m="1" x="206"/>
        <item m="1" x="323"/>
        <item m="1" x="207"/>
        <item m="1" x="304"/>
        <item m="1" x="208"/>
        <item m="1" x="195"/>
        <item m="1" x="198"/>
        <item m="1" x="279"/>
        <item m="1" x="199"/>
        <item m="1" x="363"/>
        <item m="1" x="248"/>
        <item m="1" x="358"/>
        <item m="1" x="257"/>
        <item m="1" x="300"/>
        <item m="1" x="216"/>
        <item m="1" x="220"/>
        <item m="1" x="250"/>
        <item m="1" x="249"/>
        <item m="1" x="221"/>
        <item m="1" x="260"/>
        <item m="1" x="259"/>
        <item m="1" x="217"/>
        <item m="1" x="293"/>
        <item m="1" x="233"/>
        <item m="1" x="385"/>
        <item m="1" x="222"/>
        <item m="1" x="367"/>
        <item m="1" x="317"/>
        <item m="1" x="251"/>
        <item m="1" x="234"/>
        <item m="1" x="310"/>
        <item m="1" x="261"/>
        <item m="1" x="301"/>
        <item m="1" x="235"/>
        <item m="1" x="315"/>
        <item m="1" x="252"/>
        <item m="1" x="143"/>
        <item x="86"/>
        <item m="1" x="142"/>
        <item m="1" x="356"/>
        <item x="87"/>
        <item x="55"/>
        <item m="1" x="141"/>
        <item x="27"/>
        <item m="1" x="167"/>
        <item m="1" x="138"/>
        <item x="0"/>
        <item m="1" x="139"/>
        <item x="28"/>
        <item m="1" x="387"/>
        <item m="1" x="140"/>
        <item x="56"/>
        <item x="88"/>
        <item m="1" x="136"/>
        <item x="89"/>
        <item m="1" x="134"/>
        <item x="57"/>
        <item m="1" x="354"/>
        <item m="1" x="137"/>
        <item m="1" x="369"/>
        <item x="90"/>
        <item m="1" x="135"/>
        <item m="1" x="309"/>
        <item x="58"/>
        <item m="1" x="267"/>
        <item m="1" x="133"/>
        <item x="29"/>
        <item m="1" x="268"/>
        <item m="1" x="265"/>
        <item m="1" x="131"/>
        <item x="1"/>
        <item m="1" x="266"/>
        <item m="1" x="374"/>
        <item x="30"/>
        <item m="1" x="132"/>
        <item x="2"/>
        <item m="1" x="145"/>
        <item m="1" x="162"/>
        <item x="91"/>
        <item m="1" x="360"/>
        <item m="1" x="127"/>
        <item x="3"/>
        <item m="1" x="128"/>
        <item x="4"/>
        <item m="1" x="166"/>
        <item m="1" x="129"/>
        <item x="31"/>
        <item m="1" x="130"/>
        <item x="32"/>
        <item m="1" x="122"/>
        <item x="59"/>
        <item m="1" x="125"/>
        <item x="92"/>
        <item m="1" x="126"/>
        <item x="93"/>
        <item m="1" x="123"/>
        <item x="60"/>
        <item m="1" x="119"/>
        <item x="61"/>
        <item m="1" x="117"/>
        <item x="5"/>
        <item m="1" x="118"/>
        <item x="6"/>
        <item m="1" x="120"/>
        <item x="33"/>
        <item m="1" x="124"/>
        <item x="62"/>
        <item x="94"/>
        <item m="1" x="163"/>
        <item x="95"/>
        <item m="1" x="164"/>
        <item x="63"/>
        <item m="1" x="330"/>
        <item x="96"/>
        <item x="64"/>
        <item m="1" x="121"/>
        <item x="34"/>
        <item x="7"/>
        <item x="8"/>
        <item m="1" x="154"/>
        <item x="35"/>
        <item m="1" x="313"/>
        <item m="1" x="146"/>
        <item x="65"/>
        <item x="97"/>
        <item m="1" x="149"/>
        <item m="1" x="291"/>
        <item x="66"/>
        <item x="98"/>
        <item x="67"/>
        <item m="1" x="298"/>
        <item m="1" x="371"/>
        <item m="1" x="148"/>
        <item x="9"/>
        <item m="1" x="341"/>
        <item x="10"/>
        <item x="36"/>
        <item x="99"/>
        <item x="100"/>
        <item x="68"/>
        <item m="1" x="319"/>
        <item m="1" x="288"/>
        <item m="1" x="289"/>
        <item m="1" x="364"/>
        <item m="1" x="383"/>
        <item m="1" x="373"/>
        <item m="1" x="290"/>
        <item m="1" x="286"/>
        <item m="1" x="320"/>
        <item m="1" x="346"/>
        <item m="1" x="325"/>
        <item x="37"/>
        <item x="11"/>
        <item x="12"/>
        <item m="1" x="262"/>
        <item x="38"/>
        <item x="69"/>
        <item x="70"/>
        <item x="71"/>
        <item m="1" x="318"/>
        <item m="1" x="150"/>
        <item x="101"/>
        <item x="102"/>
        <item m="1" x="384"/>
        <item x="72"/>
        <item m="1" x="377"/>
        <item m="1" x="351"/>
        <item x="39"/>
        <item m="1" x="359"/>
        <item x="103"/>
        <item x="73"/>
        <item x="40"/>
        <item m="1" x="165"/>
        <item m="1" x="157"/>
        <item x="13"/>
        <item m="1" x="345"/>
        <item x="41"/>
        <item m="1" x="284"/>
        <item x="14"/>
        <item x="15"/>
        <item x="74"/>
        <item m="1" x="350"/>
        <item m="1" x="370"/>
        <item x="104"/>
        <item x="105"/>
        <item m="1" x="331"/>
        <item x="106"/>
        <item m="1" x="321"/>
        <item x="75"/>
        <item x="42"/>
        <item x="16"/>
        <item m="1" x="314"/>
        <item m="1" x="380"/>
        <item m="1" x="353"/>
        <item m="1" x="352"/>
        <item m="1" x="312"/>
        <item x="17"/>
        <item x="43"/>
        <item x="76"/>
        <item x="77"/>
        <item m="1" x="357"/>
        <item x="107"/>
        <item x="78"/>
        <item x="44"/>
        <item x="18"/>
        <item x="19"/>
        <item x="45"/>
        <item x="79"/>
        <item x="108"/>
        <item x="109"/>
        <item m="1" x="328"/>
        <item x="80"/>
        <item m="1" x="338"/>
        <item x="46"/>
        <item m="1" x="334"/>
        <item x="20"/>
        <item m="1" x="335"/>
        <item x="21"/>
        <item x="47"/>
        <item m="1" x="347"/>
        <item m="1" x="326"/>
        <item m="1" x="307"/>
        <item m="1" x="296"/>
        <item m="1" x="362"/>
        <item x="110"/>
        <item x="111"/>
        <item m="1" x="159"/>
        <item x="48"/>
        <item m="1" x="327"/>
        <item m="1" x="155"/>
        <item x="22"/>
        <item x="49"/>
        <item x="81"/>
        <item m="1" x="144"/>
        <item x="112"/>
        <item m="1" x="156"/>
        <item m="1" x="158"/>
        <item x="50"/>
        <item x="23"/>
        <item m="1" x="161"/>
        <item m="1" x="285"/>
        <item m="1" x="147"/>
        <item x="113"/>
        <item x="82"/>
        <item m="1" x="278"/>
        <item m="1" x="381"/>
        <item m="1" x="299"/>
        <item x="114"/>
        <item m="1" x="306"/>
        <item x="24"/>
        <item x="25"/>
        <item m="1" x="302"/>
        <item x="51"/>
        <item m="1" x="348"/>
        <item m="1" x="355"/>
        <item m="1" x="343"/>
        <item m="1" x="297"/>
        <item m="1" x="342"/>
        <item x="83"/>
        <item m="1" x="322"/>
        <item m="1" x="344"/>
        <item m="1" x="281"/>
        <item x="52"/>
        <item m="1" x="273"/>
        <item m="1" x="282"/>
        <item x="26"/>
        <item m="1" x="272"/>
        <item m="1" x="152"/>
        <item x="53"/>
        <item m="1" x="270"/>
        <item x="54"/>
        <item m="1" x="271"/>
        <item m="1" x="269"/>
        <item x="84"/>
        <item x="115"/>
        <item m="1" x="151"/>
        <item m="1" x="160"/>
        <item m="1" x="336"/>
        <item m="1" x="379"/>
        <item m="1" x="324"/>
        <item m="1" x="316"/>
        <item m="1" x="349"/>
        <item x="85"/>
        <item m="1" x="264"/>
        <item m="1" x="153"/>
        <item x="116"/>
      </items>
    </pivotField>
    <pivotField compact="0" outline="0" showAll="0" defaultSubtotal="0">
      <items count="15">
        <item x="0"/>
        <item m="1" x="14"/>
        <item x="1"/>
        <item x="3"/>
        <item m="1" x="13"/>
        <item x="4"/>
        <item m="1" x="8"/>
        <item x="2"/>
        <item x="7"/>
        <item m="1" x="12"/>
        <item m="1" x="11"/>
        <item m="1" x="10"/>
        <item m="1" x="9"/>
        <item x="6"/>
        <item x="5"/>
      </items>
    </pivotField>
    <pivotField compact="0" outline="0" showAll="0" defaultSubtotal="0"/>
    <pivotField compact="0" outline="0" showAll="0" defaultSubtotal="0"/>
    <pivotField compact="0" outline="0" showAll="0" defaultSubtotal="0"/>
    <pivotField compact="0" outline="0" showAll="0" includeNewItemsInFilter="1"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5"/>
  </rowFields>
  <rowItems count="10">
    <i>
      <x v="154"/>
    </i>
    <i>
      <x v="192"/>
    </i>
    <i>
      <x v="219"/>
    </i>
    <i>
      <x v="235"/>
    </i>
    <i>
      <x v="258"/>
    </i>
    <i>
      <x v="266"/>
    </i>
    <i>
      <x v="286"/>
    </i>
    <i>
      <x v="288"/>
    </i>
    <i>
      <x v="304"/>
    </i>
    <i>
      <x v="336"/>
    </i>
  </rowItems>
  <colItems count="1">
    <i/>
  </colItems>
  <formats count="24">
    <format dxfId="10998">
      <pivotArea field="5" type="button" dataOnly="0" labelOnly="1" outline="0" axis="axisRow" fieldPosition="0"/>
    </format>
    <format dxfId="10997">
      <pivotArea type="all" dataOnly="0" outline="0" fieldPosition="0"/>
    </format>
    <format dxfId="10996">
      <pivotArea field="5" type="button" dataOnly="0" labelOnly="1" outline="0" axis="axisRow" fieldPosition="0"/>
    </format>
    <format dxfId="10995">
      <pivotArea type="all" dataOnly="0" outline="0" fieldPosition="0"/>
    </format>
    <format dxfId="10994">
      <pivotArea field="5" type="button" dataOnly="0" labelOnly="1" outline="0" axis="axisRow" fieldPosition="0"/>
    </format>
    <format dxfId="10993">
      <pivotArea dataOnly="0" labelOnly="1" fieldPosition="0">
        <references count="1">
          <reference field="5" count="50">
            <x v="1"/>
            <x v="3"/>
            <x v="4"/>
            <x v="6"/>
            <x v="8"/>
            <x v="10"/>
            <x v="13"/>
            <x v="14"/>
            <x v="15"/>
            <x v="17"/>
            <x v="18"/>
            <x v="19"/>
            <x v="20"/>
            <x v="21"/>
            <x v="23"/>
            <x v="24"/>
            <x v="25"/>
            <x v="26"/>
            <x v="27"/>
            <x v="28"/>
            <x v="29"/>
            <x v="30"/>
            <x v="34"/>
            <x v="35"/>
            <x v="36"/>
            <x v="38"/>
            <x v="39"/>
            <x v="40"/>
            <x v="41"/>
            <x v="43"/>
            <x v="45"/>
            <x v="46"/>
            <x v="47"/>
            <x v="48"/>
            <x v="49"/>
            <x v="50"/>
            <x v="51"/>
            <x v="52"/>
            <x v="54"/>
            <x v="55"/>
            <x v="56"/>
            <x v="57"/>
            <x v="60"/>
            <x v="62"/>
            <x v="63"/>
            <x v="65"/>
            <x v="66"/>
            <x v="67"/>
            <x v="69"/>
            <x v="70"/>
          </reference>
        </references>
      </pivotArea>
    </format>
    <format dxfId="10992">
      <pivotArea dataOnly="0" labelOnly="1" fieldPosition="0">
        <references count="1">
          <reference field="5" count="50">
            <x v="71"/>
            <x v="72"/>
            <x v="73"/>
            <x v="74"/>
            <x v="75"/>
            <x v="76"/>
            <x v="78"/>
            <x v="79"/>
            <x v="80"/>
            <x v="82"/>
            <x v="84"/>
            <x v="86"/>
            <x v="89"/>
            <x v="91"/>
            <x v="92"/>
            <x v="94"/>
            <x v="96"/>
            <x v="97"/>
            <x v="98"/>
            <x v="99"/>
            <x v="100"/>
            <x v="102"/>
            <x v="104"/>
            <x v="106"/>
            <x v="107"/>
            <x v="108"/>
            <x v="110"/>
            <x v="111"/>
            <x v="112"/>
            <x v="114"/>
            <x v="116"/>
            <x v="117"/>
            <x v="118"/>
            <x v="119"/>
            <x v="120"/>
            <x v="121"/>
            <x v="122"/>
            <x v="123"/>
            <x v="125"/>
            <x v="127"/>
            <x v="130"/>
            <x v="131"/>
            <x v="133"/>
            <x v="135"/>
            <x v="137"/>
            <x v="138"/>
            <x v="140"/>
            <x v="143"/>
            <x v="144"/>
            <x v="146"/>
          </reference>
        </references>
      </pivotArea>
    </format>
    <format dxfId="10991">
      <pivotArea dataOnly="0" labelOnly="1" fieldPosition="0">
        <references count="1">
          <reference field="5" count="50">
            <x v="147"/>
            <x v="149"/>
            <x v="152"/>
            <x v="154"/>
            <x v="155"/>
            <x v="157"/>
            <x v="160"/>
            <x v="163"/>
            <x v="166"/>
            <x v="169"/>
            <x v="170"/>
            <x v="173"/>
            <x v="175"/>
            <x v="176"/>
            <x v="178"/>
            <x v="179"/>
            <x v="182"/>
            <x v="186"/>
            <x v="187"/>
            <x v="189"/>
            <x v="191"/>
            <x v="193"/>
            <x v="195"/>
            <x v="197"/>
            <x v="199"/>
            <x v="201"/>
            <x v="203"/>
            <x v="205"/>
            <x v="207"/>
            <x v="209"/>
            <x v="210"/>
            <x v="212"/>
            <x v="215"/>
            <x v="216"/>
            <x v="217"/>
            <x v="219"/>
            <x v="220"/>
            <x v="222"/>
            <x v="224"/>
            <x v="225"/>
            <x v="226"/>
            <x v="227"/>
            <x v="230"/>
            <x v="231"/>
            <x v="234"/>
            <x v="235"/>
            <x v="237"/>
            <x v="238"/>
            <x v="242"/>
            <x v="243"/>
          </reference>
        </references>
      </pivotArea>
    </format>
    <format dxfId="10990">
      <pivotArea dataOnly="0" labelOnly="1" fieldPosition="0">
        <references count="1">
          <reference field="5" count="50">
            <x v="245"/>
            <x v="246"/>
            <x v="247"/>
            <x v="248"/>
            <x v="250"/>
            <x v="258"/>
            <x v="260"/>
            <x v="263"/>
            <x v="264"/>
            <x v="266"/>
            <x v="269"/>
            <x v="271"/>
            <x v="272"/>
            <x v="273"/>
            <x v="274"/>
            <x v="276"/>
            <x v="278"/>
            <x v="280"/>
            <x v="282"/>
            <x v="285"/>
            <x v="286"/>
            <x v="288"/>
            <x v="290"/>
            <x v="291"/>
            <x v="292"/>
            <x v="298"/>
            <x v="299"/>
            <x v="300"/>
            <x v="301"/>
            <x v="302"/>
            <x v="303"/>
            <x v="306"/>
            <x v="307"/>
            <x v="308"/>
            <x v="309"/>
            <x v="310"/>
            <x v="311"/>
            <x v="313"/>
            <x v="315"/>
            <x v="317"/>
            <x v="319"/>
            <x v="320"/>
            <x v="326"/>
            <x v="327"/>
            <x v="328"/>
            <x v="329"/>
            <x v="331"/>
            <x v="332"/>
            <x v="333"/>
            <x v="334"/>
          </reference>
        </references>
      </pivotArea>
    </format>
    <format dxfId="10989">
      <pivotArea dataOnly="0" labelOnly="1" fieldPosition="0">
        <references count="1">
          <reference field="5" count="27">
            <x v="335"/>
            <x v="336"/>
            <x v="337"/>
            <x v="338"/>
            <x v="339"/>
            <x v="340"/>
            <x v="341"/>
            <x v="343"/>
            <x v="344"/>
            <x v="345"/>
            <x v="347"/>
            <x v="351"/>
            <x v="352"/>
            <x v="354"/>
            <x v="355"/>
            <x v="357"/>
            <x v="359"/>
            <x v="360"/>
            <x v="364"/>
            <x v="365"/>
            <x v="368"/>
            <x v="369"/>
            <x v="371"/>
            <x v="373"/>
            <x v="374"/>
            <x v="375"/>
            <x v="385"/>
          </reference>
        </references>
      </pivotArea>
    </format>
    <format dxfId="10988">
      <pivotArea dataOnly="0" labelOnly="1" fieldPosition="0">
        <references count="1">
          <reference field="5" count="50">
            <x v="1"/>
            <x v="3"/>
            <x v="4"/>
            <x v="6"/>
            <x v="8"/>
            <x v="10"/>
            <x v="13"/>
            <x v="14"/>
            <x v="15"/>
            <x v="17"/>
            <x v="18"/>
            <x v="19"/>
            <x v="20"/>
            <x v="21"/>
            <x v="23"/>
            <x v="24"/>
            <x v="25"/>
            <x v="26"/>
            <x v="27"/>
            <x v="28"/>
            <x v="29"/>
            <x v="30"/>
            <x v="34"/>
            <x v="35"/>
            <x v="36"/>
            <x v="38"/>
            <x v="39"/>
            <x v="40"/>
            <x v="41"/>
            <x v="43"/>
            <x v="45"/>
            <x v="46"/>
            <x v="47"/>
            <x v="48"/>
            <x v="49"/>
            <x v="50"/>
            <x v="51"/>
            <x v="52"/>
            <x v="54"/>
            <x v="55"/>
            <x v="56"/>
            <x v="57"/>
            <x v="60"/>
            <x v="62"/>
            <x v="63"/>
            <x v="65"/>
            <x v="66"/>
            <x v="67"/>
            <x v="69"/>
            <x v="70"/>
          </reference>
        </references>
      </pivotArea>
    </format>
    <format dxfId="10987">
      <pivotArea dataOnly="0" labelOnly="1" fieldPosition="0">
        <references count="1">
          <reference field="5" count="50">
            <x v="71"/>
            <x v="72"/>
            <x v="73"/>
            <x v="74"/>
            <x v="75"/>
            <x v="76"/>
            <x v="78"/>
            <x v="79"/>
            <x v="80"/>
            <x v="82"/>
            <x v="84"/>
            <x v="86"/>
            <x v="89"/>
            <x v="91"/>
            <x v="92"/>
            <x v="94"/>
            <x v="96"/>
            <x v="97"/>
            <x v="98"/>
            <x v="99"/>
            <x v="100"/>
            <x v="102"/>
            <x v="104"/>
            <x v="106"/>
            <x v="107"/>
            <x v="108"/>
            <x v="110"/>
            <x v="111"/>
            <x v="112"/>
            <x v="114"/>
            <x v="116"/>
            <x v="117"/>
            <x v="118"/>
            <x v="119"/>
            <x v="120"/>
            <x v="121"/>
            <x v="122"/>
            <x v="123"/>
            <x v="125"/>
            <x v="127"/>
            <x v="130"/>
            <x v="131"/>
            <x v="133"/>
            <x v="135"/>
            <x v="137"/>
            <x v="138"/>
            <x v="140"/>
            <x v="143"/>
            <x v="144"/>
            <x v="146"/>
          </reference>
        </references>
      </pivotArea>
    </format>
    <format dxfId="10986">
      <pivotArea dataOnly="0" labelOnly="1" fieldPosition="0">
        <references count="1">
          <reference field="5" count="50">
            <x v="147"/>
            <x v="149"/>
            <x v="152"/>
            <x v="154"/>
            <x v="155"/>
            <x v="157"/>
            <x v="160"/>
            <x v="163"/>
            <x v="166"/>
            <x v="169"/>
            <x v="170"/>
            <x v="173"/>
            <x v="175"/>
            <x v="176"/>
            <x v="178"/>
            <x v="179"/>
            <x v="182"/>
            <x v="186"/>
            <x v="187"/>
            <x v="189"/>
            <x v="191"/>
            <x v="193"/>
            <x v="195"/>
            <x v="197"/>
            <x v="199"/>
            <x v="201"/>
            <x v="203"/>
            <x v="205"/>
            <x v="207"/>
            <x v="209"/>
            <x v="210"/>
            <x v="212"/>
            <x v="215"/>
            <x v="216"/>
            <x v="217"/>
            <x v="219"/>
            <x v="220"/>
            <x v="222"/>
            <x v="224"/>
            <x v="225"/>
            <x v="226"/>
            <x v="227"/>
            <x v="230"/>
            <x v="231"/>
            <x v="234"/>
            <x v="235"/>
            <x v="237"/>
            <x v="238"/>
            <x v="242"/>
            <x v="243"/>
          </reference>
        </references>
      </pivotArea>
    </format>
    <format dxfId="10985">
      <pivotArea dataOnly="0" labelOnly="1" fieldPosition="0">
        <references count="1">
          <reference field="5" count="50">
            <x v="245"/>
            <x v="246"/>
            <x v="247"/>
            <x v="248"/>
            <x v="250"/>
            <x v="258"/>
            <x v="260"/>
            <x v="263"/>
            <x v="264"/>
            <x v="266"/>
            <x v="269"/>
            <x v="271"/>
            <x v="272"/>
            <x v="273"/>
            <x v="274"/>
            <x v="276"/>
            <x v="278"/>
            <x v="280"/>
            <x v="282"/>
            <x v="285"/>
            <x v="286"/>
            <x v="288"/>
            <x v="290"/>
            <x v="291"/>
            <x v="292"/>
            <x v="298"/>
            <x v="299"/>
            <x v="300"/>
            <x v="301"/>
            <x v="302"/>
            <x v="303"/>
            <x v="306"/>
            <x v="307"/>
            <x v="308"/>
            <x v="309"/>
            <x v="310"/>
            <x v="311"/>
            <x v="313"/>
            <x v="315"/>
            <x v="317"/>
            <x v="319"/>
            <x v="320"/>
            <x v="326"/>
            <x v="327"/>
            <x v="328"/>
            <x v="329"/>
            <x v="331"/>
            <x v="332"/>
            <x v="333"/>
            <x v="334"/>
          </reference>
        </references>
      </pivotArea>
    </format>
    <format dxfId="10984">
      <pivotArea dataOnly="0" labelOnly="1" fieldPosition="0">
        <references count="1">
          <reference field="5" count="27">
            <x v="335"/>
            <x v="336"/>
            <x v="337"/>
            <x v="338"/>
            <x v="339"/>
            <x v="340"/>
            <x v="341"/>
            <x v="343"/>
            <x v="344"/>
            <x v="345"/>
            <x v="347"/>
            <x v="351"/>
            <x v="352"/>
            <x v="354"/>
            <x v="355"/>
            <x v="357"/>
            <x v="359"/>
            <x v="360"/>
            <x v="364"/>
            <x v="365"/>
            <x v="368"/>
            <x v="369"/>
            <x v="371"/>
            <x v="373"/>
            <x v="374"/>
            <x v="375"/>
            <x v="385"/>
          </reference>
        </references>
      </pivotArea>
    </format>
    <format dxfId="10983">
      <pivotArea field="5" type="button" dataOnly="0" labelOnly="1" outline="0" axis="axisRow" fieldPosition="0"/>
    </format>
    <format dxfId="10982">
      <pivotArea field="6" type="button" dataOnly="0" labelOnly="1" outline="0"/>
    </format>
    <format dxfId="10981">
      <pivotArea dataOnly="0" labelOnly="1" outline="0" fieldPosition="0">
        <references count="1">
          <reference field="5" count="1">
            <x v="349"/>
          </reference>
        </references>
      </pivotArea>
    </format>
    <format dxfId="10980">
      <pivotArea dataOnly="0" labelOnly="1" outline="0" fieldPosition="0">
        <references count="1">
          <reference field="5" count="2">
            <x v="299"/>
            <x v="309"/>
          </reference>
        </references>
      </pivotArea>
    </format>
    <format dxfId="10979">
      <pivotArea dataOnly="0" labelOnly="1" outline="0" fieldPosition="0">
        <references count="1">
          <reference field="5" count="14">
            <x v="292"/>
            <x v="298"/>
            <x v="306"/>
            <x v="307"/>
            <x v="317"/>
            <x v="319"/>
            <x v="331"/>
            <x v="332"/>
            <x v="339"/>
            <x v="340"/>
            <x v="351"/>
            <x v="352"/>
            <x v="367"/>
            <x v="369"/>
          </reference>
        </references>
      </pivotArea>
    </format>
    <format dxfId="10978">
      <pivotArea dataOnly="0" labelOnly="1" outline="0" fieldPosition="0">
        <references count="1">
          <reference field="5" count="8">
            <x v="309"/>
            <x v="310"/>
            <x v="333"/>
            <x v="334"/>
            <x v="344"/>
            <x v="351"/>
            <x v="369"/>
            <x v="372"/>
          </reference>
        </references>
      </pivotArea>
    </format>
    <format dxfId="10977">
      <pivotArea dataOnly="0" labelOnly="1" outline="0" fieldPosition="0">
        <references count="1">
          <reference field="5" count="14">
            <x v="273"/>
            <x v="278"/>
            <x v="291"/>
            <x v="299"/>
            <x v="305"/>
            <x v="308"/>
            <x v="315"/>
            <x v="320"/>
            <x v="329"/>
            <x v="333"/>
            <x v="338"/>
            <x v="354"/>
            <x v="364"/>
            <x v="372"/>
          </reference>
        </references>
      </pivotArea>
    </format>
    <format dxfId="10976">
      <pivotArea dataOnly="0" labelOnly="1" outline="0" fieldPosition="0">
        <references count="1">
          <reference field="5" count="15">
            <x v="272"/>
            <x v="282"/>
            <x v="290"/>
            <x v="300"/>
            <x v="304"/>
            <x v="309"/>
            <x v="313"/>
            <x v="328"/>
            <x v="334"/>
            <x v="337"/>
            <x v="343"/>
            <x v="345"/>
            <x v="360"/>
            <x v="375"/>
            <x v="384"/>
          </reference>
        </references>
      </pivotArea>
    </format>
    <format dxfId="10975">
      <pivotArea dataOnly="0" labelOnly="1" outline="0" fieldPosition="0">
        <references count="1">
          <reference field="5" count="18">
            <x v="240"/>
            <x v="263"/>
            <x v="264"/>
            <x v="271"/>
            <x v="285"/>
            <x v="286"/>
            <x v="288"/>
            <x v="301"/>
            <x v="303"/>
            <x v="310"/>
            <x v="311"/>
            <x v="326"/>
            <x v="327"/>
            <x v="335"/>
            <x v="336"/>
            <x v="344"/>
            <x v="349"/>
            <x v="386"/>
          </reference>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F8D0D71-7FB6-4DE4-818D-83FC8A030333}" name="Cuenta 2" cacheId="18" applyNumberFormats="0" applyBorderFormats="0" applyFontFormats="0" applyPatternFormats="0" applyAlignmentFormats="0" applyWidthHeightFormats="1" dataCaption="Valores" updatedVersion="8" minRefreshableVersion="3" rowGrandTotals="0" itemPrintTitles="1" createdVersion="4" indent="0" outline="1" outlineData="1" multipleFieldFilters="0">
  <location ref="A15:A16" firstHeaderRow="1" firstDataRow="1" firstDataCol="0"/>
  <pivotFields count="17">
    <pivotField showAll="0"/>
    <pivotField showAll="0">
      <items count="42">
        <item m="1" x="28"/>
        <item m="1" x="29"/>
        <item m="1" x="30"/>
        <item x="0"/>
        <item x="1"/>
        <item x="2"/>
        <item x="3"/>
        <item x="4"/>
        <item x="5"/>
        <item x="6"/>
        <item x="7"/>
        <item x="8"/>
        <item x="9"/>
        <item x="10"/>
        <item x="11"/>
        <item x="12"/>
        <item x="13"/>
        <item x="14"/>
        <item x="15"/>
        <item x="16"/>
        <item x="17"/>
        <item x="18"/>
        <item x="19"/>
        <item x="20"/>
        <item x="21"/>
        <item x="22"/>
        <item x="23"/>
        <item x="24"/>
        <item x="25"/>
        <item x="26"/>
        <item m="1" x="31"/>
        <item m="1" x="32"/>
        <item m="1" x="33"/>
        <item m="1" x="34"/>
        <item m="1" x="35"/>
        <item m="1" x="36"/>
        <item m="1" x="37"/>
        <item m="1" x="38"/>
        <item m="1" x="39"/>
        <item m="1" x="40"/>
        <item x="27"/>
        <item t="default"/>
      </items>
    </pivotField>
    <pivotField showAll="0">
      <items count="43">
        <item h="1" m="1" x="41"/>
        <item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m="1" x="31"/>
        <item h="1" m="1" x="32"/>
        <item h="1" m="1" x="33"/>
        <item h="1" m="1" x="34"/>
        <item h="1" m="1" x="35"/>
        <item h="1" m="1" x="36"/>
        <item h="1" m="1" x="37"/>
        <item h="1" m="1" x="38"/>
        <item h="1" m="1" x="39"/>
        <item h="1" m="1" x="40"/>
        <item h="1" x="30"/>
        <item t="default"/>
      </items>
    </pivotField>
    <pivotField showAll="0"/>
    <pivotField showAll="0"/>
    <pivotField dataField="1" showAll="0">
      <items count="389">
        <item m="1" x="308"/>
        <item m="1" x="201"/>
        <item m="1" x="365"/>
        <item m="1" x="236"/>
        <item m="1" x="283"/>
        <item m="1" x="382"/>
        <item m="1" x="230"/>
        <item m="1" x="368"/>
        <item m="1" x="186"/>
        <item m="1" x="190"/>
        <item m="1" x="231"/>
        <item m="1" x="366"/>
        <item m="1" x="263"/>
        <item m="1" x="169"/>
        <item m="1" x="219"/>
        <item m="1" x="276"/>
        <item m="1" x="277"/>
        <item m="1" x="170"/>
        <item m="1" x="187"/>
        <item m="1" x="171"/>
        <item m="1" x="212"/>
        <item m="1" x="213"/>
        <item m="1" x="189"/>
        <item m="1" x="375"/>
        <item m="1" x="311"/>
        <item m="1" x="172"/>
        <item m="1" x="173"/>
        <item m="1" x="225"/>
        <item m="1" x="226"/>
        <item m="1" x="197"/>
        <item m="1" x="174"/>
        <item m="1" x="203"/>
        <item m="1" x="333"/>
        <item m="1" x="175"/>
        <item m="1" x="176"/>
        <item m="1" x="223"/>
        <item m="1" x="191"/>
        <item m="1" x="177"/>
        <item m="1" x="242"/>
        <item m="1" x="274"/>
        <item m="1" x="275"/>
        <item m="1" x="193"/>
        <item m="1" x="194"/>
        <item m="1" x="287"/>
        <item m="1" x="192"/>
        <item m="1" x="376"/>
        <item m="1" x="254"/>
        <item m="1" x="386"/>
        <item m="1" x="178"/>
        <item m="1" x="183"/>
        <item m="1" x="179"/>
        <item m="1" x="214"/>
        <item m="1" x="181"/>
        <item m="1" x="185"/>
        <item m="1" x="227"/>
        <item m="1" x="218"/>
        <item m="1" x="224"/>
        <item m="1" x="232"/>
        <item m="1" x="184"/>
        <item m="1" x="204"/>
        <item m="1" x="255"/>
        <item m="1" x="305"/>
        <item m="1" x="340"/>
        <item m="1" x="182"/>
        <item m="1" x="228"/>
        <item m="1" x="295"/>
        <item m="1" x="210"/>
        <item m="1" x="372"/>
        <item m="1" x="256"/>
        <item m="1" x="244"/>
        <item m="1" x="258"/>
        <item m="1" x="245"/>
        <item m="1" x="246"/>
        <item m="1" x="247"/>
        <item m="1" x="206"/>
        <item m="1" x="304"/>
        <item m="1" x="208"/>
        <item m="1" x="195"/>
        <item m="1" x="279"/>
        <item m="1" x="199"/>
        <item m="1" x="363"/>
        <item m="1" x="358"/>
        <item m="1" x="257"/>
        <item m="1" x="216"/>
        <item m="1" x="220"/>
        <item m="1" x="250"/>
        <item m="1" x="249"/>
        <item m="1" x="221"/>
        <item m="1" x="260"/>
        <item m="1" x="259"/>
        <item m="1" x="293"/>
        <item m="1" x="385"/>
        <item m="1" x="367"/>
        <item m="1" x="317"/>
        <item m="1" x="251"/>
        <item m="1" x="310"/>
        <item m="1" x="301"/>
        <item m="1" x="315"/>
        <item m="1" x="252"/>
        <item m="1" x="143"/>
        <item m="1" x="142"/>
        <item x="55"/>
        <item m="1" x="141"/>
        <item m="1" x="167"/>
        <item m="1" x="138"/>
        <item m="1" x="139"/>
        <item m="1" x="140"/>
        <item x="88"/>
        <item m="1" x="136"/>
        <item m="1" x="134"/>
        <item m="1" x="369"/>
        <item m="1" x="309"/>
        <item m="1" x="267"/>
        <item m="1" x="268"/>
        <item m="1" x="265"/>
        <item m="1" x="266"/>
        <item x="30"/>
        <item m="1" x="132"/>
        <item m="1" x="145"/>
        <item m="1" x="162"/>
        <item m="1" x="360"/>
        <item m="1" x="166"/>
        <item m="1" x="129"/>
        <item m="1" x="130"/>
        <item m="1" x="122"/>
        <item m="1" x="125"/>
        <item m="1" x="126"/>
        <item m="1" x="123"/>
        <item m="1" x="119"/>
        <item m="1" x="117"/>
        <item m="1" x="118"/>
        <item m="1" x="120"/>
        <item m="1" x="124"/>
        <item x="94"/>
        <item m="1" x="163"/>
        <item m="1" x="164"/>
        <item x="96"/>
        <item x="64"/>
        <item m="1" x="121"/>
        <item x="7"/>
        <item x="8"/>
        <item x="35"/>
        <item m="1" x="146"/>
        <item x="65"/>
        <item x="97"/>
        <item m="1" x="149"/>
        <item x="98"/>
        <item x="67"/>
        <item m="1" x="148"/>
        <item x="9"/>
        <item m="1" x="341"/>
        <item x="10"/>
        <item x="36"/>
        <item m="1" x="319"/>
        <item m="1" x="288"/>
        <item m="1" x="383"/>
        <item m="1" x="373"/>
        <item m="1" x="286"/>
        <item m="1" x="320"/>
        <item x="69"/>
        <item x="71"/>
        <item m="1" x="318"/>
        <item x="101"/>
        <item m="1" x="384"/>
        <item m="1" x="377"/>
        <item m="1" x="359"/>
        <item x="103"/>
        <item x="73"/>
        <item x="40"/>
        <item m="1" x="165"/>
        <item m="1" x="345"/>
        <item m="1" x="284"/>
        <item x="14"/>
        <item m="1" x="350"/>
        <item x="104"/>
        <item m="1" x="331"/>
        <item x="106"/>
        <item m="1" x="321"/>
        <item x="42"/>
        <item m="1" x="314"/>
        <item m="1" x="380"/>
        <item m="1" x="352"/>
        <item x="43"/>
        <item x="77"/>
        <item x="18"/>
        <item x="45"/>
        <item x="79"/>
        <item x="108"/>
        <item x="109"/>
        <item m="1" x="338"/>
        <item m="1" x="334"/>
        <item m="1" x="335"/>
        <item x="21"/>
        <item x="47"/>
        <item m="1" x="307"/>
        <item x="110"/>
        <item x="111"/>
        <item m="1" x="159"/>
        <item x="48"/>
        <item m="1" x="155"/>
        <item x="22"/>
        <item x="49"/>
        <item x="112"/>
        <item m="1" x="156"/>
        <item m="1" x="158"/>
        <item x="50"/>
        <item x="23"/>
        <item m="1" x="161"/>
        <item m="1" x="285"/>
        <item m="1" x="147"/>
        <item x="113"/>
        <item m="1" x="278"/>
        <item x="24"/>
        <item x="25"/>
        <item m="1" x="302"/>
        <item x="51"/>
        <item m="1" x="343"/>
        <item m="1" x="322"/>
        <item x="52"/>
        <item m="1" x="273"/>
        <item m="1" x="282"/>
        <item m="1" x="152"/>
        <item m="1" x="270"/>
        <item m="1" x="271"/>
        <item m="1" x="269"/>
        <item x="84"/>
        <item m="1" x="349"/>
        <item m="1" x="264"/>
        <item m="1" x="313"/>
        <item m="1" x="291"/>
        <item m="1" x="332"/>
        <item m="1" x="240"/>
        <item x="39"/>
        <item m="1" x="337"/>
        <item m="1" x="241"/>
        <item x="80"/>
        <item m="1" x="300"/>
        <item m="1" x="297"/>
        <item x="17"/>
        <item m="1" x="325"/>
        <item x="75"/>
        <item x="19"/>
        <item m="1" x="354"/>
        <item x="76"/>
        <item m="1" x="202"/>
        <item x="16"/>
        <item m="1" x="357"/>
        <item x="107"/>
        <item m="1" x="196"/>
        <item m="1" x="353"/>
        <item x="116"/>
        <item m="1" x="347"/>
        <item x="20"/>
        <item m="1" x="135"/>
        <item m="1" x="328"/>
        <item m="1" x="303"/>
        <item m="1" x="329"/>
        <item m="1" x="361"/>
        <item m="1" x="316"/>
        <item m="1" x="144"/>
        <item m="1" x="355"/>
        <item m="1" x="281"/>
        <item m="1" x="330"/>
        <item m="1" x="292"/>
        <item m="1" x="370"/>
        <item m="1" x="280"/>
        <item m="1" x="272"/>
        <item m="1" x="371"/>
        <item m="1" x="346"/>
        <item m="1" x="339"/>
        <item m="1" x="253"/>
        <item x="46"/>
        <item x="102"/>
        <item m="1" x="217"/>
        <item m="1" x="238"/>
        <item m="1" x="207"/>
        <item m="1" x="248"/>
        <item m="1" x="327"/>
        <item m="1" x="356"/>
        <item m="1" x="387"/>
        <item m="1" x="364"/>
        <item x="41"/>
        <item x="105"/>
        <item m="1" x="137"/>
        <item x="72"/>
        <item m="1" x="324"/>
        <item x="81"/>
        <item m="1" x="326"/>
        <item m="1" x="374"/>
        <item m="1" x="290"/>
        <item m="1" x="233"/>
        <item m="1" x="351"/>
        <item m="1" x="234"/>
        <item m="1" x="294"/>
        <item m="1" x="261"/>
        <item m="1" x="378"/>
        <item m="1" x="237"/>
        <item m="1" x="312"/>
        <item m="1" x="296"/>
        <item m="1" x="235"/>
        <item m="1" x="299"/>
        <item m="1" x="127"/>
        <item m="1" x="362"/>
        <item m="1" x="323"/>
        <item x="82"/>
        <item m="1" x="289"/>
        <item m="1" x="379"/>
        <item m="1" x="298"/>
        <item m="1" x="198"/>
        <item m="1" x="200"/>
        <item m="1" x="348"/>
        <item m="1" x="344"/>
        <item m="1" x="188"/>
        <item x="13"/>
        <item m="1" x="229"/>
        <item m="1" x="243"/>
        <item m="1" x="205"/>
        <item m="1" x="222"/>
        <item m="1" x="381"/>
        <item x="83"/>
        <item x="74"/>
        <item m="1" x="342"/>
        <item m="1" x="306"/>
        <item x="114"/>
        <item m="1" x="336"/>
        <item x="78"/>
        <item x="11"/>
        <item x="100"/>
        <item m="1" x="262"/>
        <item x="68"/>
        <item x="37"/>
        <item x="99"/>
        <item x="12"/>
        <item m="1" x="215"/>
        <item m="1" x="180"/>
        <item m="1" x="168"/>
        <item x="44"/>
        <item m="1" x="160"/>
        <item m="1" x="211"/>
        <item m="1" x="209"/>
        <item x="26"/>
        <item x="54"/>
        <item m="1" x="133"/>
        <item m="1" x="131"/>
        <item x="85"/>
        <item m="1" x="239"/>
        <item x="38"/>
        <item m="1" x="128"/>
        <item m="1" x="153"/>
        <item m="1" x="157"/>
        <item m="1" x="150"/>
        <item x="95"/>
        <item x="63"/>
        <item x="91"/>
        <item x="15"/>
        <item m="1" x="154"/>
        <item x="70"/>
        <item m="1" x="151"/>
        <item x="53"/>
        <item x="66"/>
        <item x="115"/>
        <item x="86"/>
        <item x="87"/>
        <item x="27"/>
        <item x="0"/>
        <item x="28"/>
        <item x="56"/>
        <item x="57"/>
        <item x="58"/>
        <item x="89"/>
        <item x="90"/>
        <item x="1"/>
        <item x="2"/>
        <item x="29"/>
        <item x="3"/>
        <item x="4"/>
        <item x="31"/>
        <item x="32"/>
        <item x="6"/>
        <item x="61"/>
        <item x="33"/>
        <item x="34"/>
        <item x="59"/>
        <item x="60"/>
        <item x="62"/>
        <item x="92"/>
        <item x="93"/>
        <item x="5"/>
        <item t="default"/>
      </items>
    </pivotField>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 New Sites" fld="5" subtotal="count" baseField="0" baseItem="0"/>
  </dataFields>
  <formats count="14">
    <format dxfId="5903">
      <pivotArea field="5" type="button" dataOnly="0" labelOnly="1" outline="0"/>
    </format>
    <format dxfId="5902">
      <pivotArea dataOnly="0" labelOnly="1" outline="0" axis="axisValues" fieldPosition="0"/>
    </format>
    <format dxfId="5901">
      <pivotArea outline="0" collapsedLevelsAreSubtotals="1" fieldPosition="0"/>
    </format>
    <format dxfId="5900">
      <pivotArea outline="0" collapsedLevelsAreSubtotals="1" fieldPosition="0"/>
    </format>
    <format dxfId="5899">
      <pivotArea type="all" dataOnly="0" outline="0" fieldPosition="0"/>
    </format>
    <format dxfId="5898">
      <pivotArea outline="0" collapsedLevelsAreSubtotals="1" fieldPosition="0"/>
    </format>
    <format dxfId="5897">
      <pivotArea dataOnly="0" labelOnly="1" outline="0" axis="axisValues" fieldPosition="0"/>
    </format>
    <format dxfId="5896">
      <pivotArea dataOnly="0" labelOnly="1" outline="0" axis="axisValues" fieldPosition="0"/>
    </format>
    <format dxfId="5895">
      <pivotArea type="all" dataOnly="0" outline="0" fieldPosition="0"/>
    </format>
    <format dxfId="5894">
      <pivotArea outline="0" collapsedLevelsAreSubtotals="1" fieldPosition="0"/>
    </format>
    <format dxfId="5893">
      <pivotArea dataOnly="0" labelOnly="1" outline="0" axis="axisValues" fieldPosition="0"/>
    </format>
    <format dxfId="5892">
      <pivotArea type="all" dataOnly="0" outline="0" fieldPosition="0"/>
    </format>
    <format dxfId="5891">
      <pivotArea outline="0" collapsedLevelsAreSubtotals="1" fieldPosition="0"/>
    </format>
    <format dxfId="589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C5ECC88-ED25-4348-B64B-C235C5CB8BCE}" name="Cambio de Split PT2" cacheId="18" applyNumberFormats="0" applyBorderFormats="0" applyFontFormats="0" applyPatternFormats="0" applyAlignmentFormats="0" applyWidthHeightFormats="1" dataCaption="Valores" updatedVersion="8" minRefreshableVersion="3" showDrill="0" rowGrandTotals="0" colGrandTotals="0" itemPrintTitles="1" createdVersion="4" indent="0" compact="0" compactData="0" multipleFieldFilters="0" rowHeaderCaption="New Sites">
  <location ref="G19:K283" firstHeaderRow="1" firstDataRow="1" firstDataCol="4"/>
  <pivotFields count="17">
    <pivotField compact="0" outline="0" subtotalTop="0" showAll="0" defaultSubtotal="0"/>
    <pivotField axis="axisRow" compact="0" outline="0" showAll="0" defaultSubtotal="0">
      <items count="41">
        <item x="0"/>
        <item x="1"/>
        <item x="2"/>
        <item x="3"/>
        <item x="4"/>
        <item x="5"/>
        <item x="6"/>
        <item x="7"/>
        <item x="8"/>
        <item x="9"/>
        <item x="10"/>
        <item x="11"/>
        <item x="12"/>
        <item x="13"/>
        <item x="14"/>
        <item x="15"/>
        <item x="16"/>
        <item x="17"/>
        <item x="18"/>
        <item x="19"/>
        <item x="20"/>
        <item x="21"/>
        <item x="22"/>
        <item x="23"/>
        <item x="24"/>
        <item x="25"/>
        <item x="26"/>
        <item m="1" x="31"/>
        <item m="1" x="32"/>
        <item m="1" x="33"/>
        <item m="1" x="34"/>
        <item m="1" x="35"/>
        <item m="1" x="36"/>
        <item m="1" x="37"/>
        <item m="1" x="38"/>
        <item m="1" x="39"/>
        <item m="1" x="40"/>
        <item m="1" x="28"/>
        <item m="1" x="29"/>
        <item m="1" x="30"/>
        <item x="27"/>
      </items>
    </pivotField>
    <pivotField dataField="1" compact="0" outline="0" showAll="0" defaultSubtotal="0">
      <items count="42">
        <item h="1" m="1" x="41"/>
        <item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m="1" x="31"/>
        <item h="1" m="1" x="32"/>
        <item h="1" m="1" x="33"/>
        <item h="1" m="1" x="34"/>
        <item h="1" m="1" x="35"/>
        <item h="1" m="1" x="36"/>
        <item h="1" m="1" x="37"/>
        <item h="1" m="1" x="38"/>
        <item h="1" m="1" x="39"/>
        <item h="1" m="1" x="40"/>
        <item h="1" x="30"/>
      </items>
    </pivotField>
    <pivotField name="Log Time" axis="axisRow" compact="0" outline="0" showAll="0" defaultSubtotal="0">
      <items count="17">
        <item x="2"/>
        <item m="1" x="16"/>
        <item x="4"/>
        <item x="0"/>
        <item x="7"/>
        <item x="1"/>
        <item x="3"/>
        <item x="5"/>
        <item m="1" x="10"/>
        <item x="8"/>
        <item m="1" x="15"/>
        <item m="1" x="12"/>
        <item m="1" x="11"/>
        <item m="1" x="14"/>
        <item m="1" x="13"/>
        <item m="1" x="9"/>
        <item x="6"/>
      </items>
    </pivotField>
    <pivotField compact="0" outline="0" showAll="0" defaultSubtotal="0"/>
    <pivotField axis="axisRow" compact="0" outline="0" showAll="0" defaultSubtotal="0">
      <items count="388">
        <item m="1" x="308"/>
        <item m="1" x="201"/>
        <item m="1" x="365"/>
        <item m="1" x="202"/>
        <item m="1" x="236"/>
        <item m="1" x="283"/>
        <item m="1" x="241"/>
        <item m="1" x="382"/>
        <item m="1" x="230"/>
        <item m="1" x="303"/>
        <item m="1" x="237"/>
        <item m="1" x="368"/>
        <item m="1" x="292"/>
        <item m="1" x="186"/>
        <item m="1" x="190"/>
        <item m="1" x="231"/>
        <item m="1" x="168"/>
        <item m="1" x="366"/>
        <item m="1" x="263"/>
        <item m="1" x="169"/>
        <item m="1" x="219"/>
        <item m="1" x="276"/>
        <item m="1" x="277"/>
        <item m="1" x="170"/>
        <item m="1" x="187"/>
        <item m="1" x="171"/>
        <item m="1" x="212"/>
        <item m="1" x="213"/>
        <item m="1" x="189"/>
        <item m="1" x="188"/>
        <item m="1" x="375"/>
        <item m="1" x="294"/>
        <item m="1" x="311"/>
        <item m="1" x="172"/>
        <item m="1" x="173"/>
        <item m="1" x="225"/>
        <item m="1" x="332"/>
        <item m="1" x="226"/>
        <item m="1" x="197"/>
        <item m="1" x="174"/>
        <item m="1" x="203"/>
        <item m="1" x="329"/>
        <item m="1" x="253"/>
        <item m="1" x="333"/>
        <item m="1" x="175"/>
        <item m="1" x="176"/>
        <item m="1" x="223"/>
        <item m="1" x="200"/>
        <item m="1" x="191"/>
        <item m="1" x="177"/>
        <item m="1" x="242"/>
        <item m="1" x="274"/>
        <item m="1" x="275"/>
        <item m="1" x="193"/>
        <item m="1" x="194"/>
        <item m="1" x="243"/>
        <item m="1" x="287"/>
        <item m="1" x="280"/>
        <item m="1" x="192"/>
        <item m="1" x="376"/>
        <item m="1" x="254"/>
        <item m="1" x="240"/>
        <item m="1" x="386"/>
        <item m="1" x="178"/>
        <item m="1" x="183"/>
        <item m="1" x="179"/>
        <item m="1" x="180"/>
        <item m="1" x="214"/>
        <item m="1" x="181"/>
        <item m="1" x="185"/>
        <item m="1" x="227"/>
        <item m="1" x="218"/>
        <item m="1" x="224"/>
        <item m="1" x="232"/>
        <item m="1" x="184"/>
        <item m="1" x="378"/>
        <item m="1" x="204"/>
        <item m="1" x="255"/>
        <item m="1" x="196"/>
        <item m="1" x="305"/>
        <item m="1" x="205"/>
        <item m="1" x="340"/>
        <item m="1" x="182"/>
        <item m="1" x="228"/>
        <item m="1" x="339"/>
        <item m="1" x="337"/>
        <item m="1" x="229"/>
        <item m="1" x="295"/>
        <item m="1" x="210"/>
        <item m="1" x="238"/>
        <item m="1" x="372"/>
        <item m="1" x="256"/>
        <item m="1" x="361"/>
        <item m="1" x="244"/>
        <item m="1" x="258"/>
        <item m="1" x="245"/>
        <item m="1" x="246"/>
        <item m="1" x="247"/>
        <item m="1" x="215"/>
        <item m="1" x="206"/>
        <item m="1" x="323"/>
        <item m="1" x="207"/>
        <item m="1" x="304"/>
        <item m="1" x="208"/>
        <item m="1" x="195"/>
        <item m="1" x="198"/>
        <item m="1" x="279"/>
        <item m="1" x="199"/>
        <item m="1" x="363"/>
        <item m="1" x="248"/>
        <item m="1" x="358"/>
        <item m="1" x="257"/>
        <item m="1" x="300"/>
        <item m="1" x="216"/>
        <item m="1" x="220"/>
        <item m="1" x="250"/>
        <item m="1" x="249"/>
        <item m="1" x="221"/>
        <item m="1" x="260"/>
        <item m="1" x="259"/>
        <item m="1" x="217"/>
        <item m="1" x="293"/>
        <item m="1" x="233"/>
        <item m="1" x="385"/>
        <item m="1" x="222"/>
        <item m="1" x="367"/>
        <item m="1" x="317"/>
        <item m="1" x="251"/>
        <item m="1" x="234"/>
        <item m="1" x="310"/>
        <item m="1" x="261"/>
        <item m="1" x="301"/>
        <item m="1" x="235"/>
        <item m="1" x="315"/>
        <item m="1" x="252"/>
        <item m="1" x="143"/>
        <item m="1" x="142"/>
        <item m="1" x="356"/>
        <item x="55"/>
        <item m="1" x="141"/>
        <item m="1" x="167"/>
        <item m="1" x="138"/>
        <item m="1" x="139"/>
        <item m="1" x="387"/>
        <item m="1" x="140"/>
        <item x="88"/>
        <item m="1" x="136"/>
        <item m="1" x="134"/>
        <item m="1" x="354"/>
        <item m="1" x="137"/>
        <item m="1" x="369"/>
        <item m="1" x="135"/>
        <item m="1" x="309"/>
        <item m="1" x="267"/>
        <item m="1" x="268"/>
        <item m="1" x="265"/>
        <item m="1" x="266"/>
        <item m="1" x="374"/>
        <item x="30"/>
        <item m="1" x="132"/>
        <item m="1" x="145"/>
        <item m="1" x="162"/>
        <item m="1" x="360"/>
        <item m="1" x="127"/>
        <item m="1" x="166"/>
        <item m="1" x="129"/>
        <item m="1" x="130"/>
        <item m="1" x="122"/>
        <item m="1" x="125"/>
        <item m="1" x="126"/>
        <item m="1" x="123"/>
        <item m="1" x="119"/>
        <item m="1" x="117"/>
        <item m="1" x="118"/>
        <item m="1" x="120"/>
        <item m="1" x="124"/>
        <item x="94"/>
        <item m="1" x="163"/>
        <item m="1" x="164"/>
        <item m="1" x="330"/>
        <item x="96"/>
        <item x="64"/>
        <item m="1" x="121"/>
        <item x="7"/>
        <item x="8"/>
        <item x="35"/>
        <item m="1" x="313"/>
        <item m="1" x="146"/>
        <item x="65"/>
        <item x="97"/>
        <item m="1" x="149"/>
        <item m="1" x="291"/>
        <item x="98"/>
        <item x="67"/>
        <item m="1" x="298"/>
        <item m="1" x="371"/>
        <item m="1" x="148"/>
        <item x="9"/>
        <item m="1" x="341"/>
        <item x="10"/>
        <item x="36"/>
        <item x="99"/>
        <item x="100"/>
        <item x="68"/>
        <item m="1" x="319"/>
        <item m="1" x="288"/>
        <item m="1" x="289"/>
        <item m="1" x="364"/>
        <item m="1" x="383"/>
        <item m="1" x="373"/>
        <item m="1" x="290"/>
        <item m="1" x="286"/>
        <item m="1" x="320"/>
        <item m="1" x="346"/>
        <item m="1" x="325"/>
        <item x="37"/>
        <item x="11"/>
        <item x="12"/>
        <item m="1" x="262"/>
        <item x="69"/>
        <item x="71"/>
        <item m="1" x="318"/>
        <item x="101"/>
        <item x="102"/>
        <item m="1" x="384"/>
        <item x="72"/>
        <item m="1" x="377"/>
        <item m="1" x="351"/>
        <item x="39"/>
        <item m="1" x="359"/>
        <item x="103"/>
        <item x="73"/>
        <item x="40"/>
        <item m="1" x="165"/>
        <item x="13"/>
        <item m="1" x="345"/>
        <item x="41"/>
        <item m="1" x="284"/>
        <item x="14"/>
        <item x="74"/>
        <item m="1" x="350"/>
        <item m="1" x="370"/>
        <item x="104"/>
        <item x="105"/>
        <item m="1" x="331"/>
        <item x="106"/>
        <item m="1" x="321"/>
        <item x="75"/>
        <item x="42"/>
        <item x="16"/>
        <item m="1" x="314"/>
        <item m="1" x="380"/>
        <item m="1" x="353"/>
        <item m="1" x="352"/>
        <item m="1" x="312"/>
        <item x="17"/>
        <item x="43"/>
        <item x="76"/>
        <item x="77"/>
        <item m="1" x="357"/>
        <item x="107"/>
        <item x="78"/>
        <item x="44"/>
        <item x="18"/>
        <item x="19"/>
        <item x="45"/>
        <item x="79"/>
        <item x="108"/>
        <item x="109"/>
        <item m="1" x="328"/>
        <item x="80"/>
        <item m="1" x="338"/>
        <item x="46"/>
        <item m="1" x="334"/>
        <item x="20"/>
        <item m="1" x="335"/>
        <item x="21"/>
        <item x="47"/>
        <item m="1" x="347"/>
        <item m="1" x="326"/>
        <item m="1" x="307"/>
        <item m="1" x="296"/>
        <item m="1" x="362"/>
        <item x="110"/>
        <item x="111"/>
        <item m="1" x="159"/>
        <item x="48"/>
        <item m="1" x="327"/>
        <item m="1" x="155"/>
        <item x="22"/>
        <item x="49"/>
        <item x="81"/>
        <item m="1" x="144"/>
        <item x="112"/>
        <item m="1" x="156"/>
        <item m="1" x="158"/>
        <item x="50"/>
        <item x="23"/>
        <item m="1" x="161"/>
        <item m="1" x="285"/>
        <item m="1" x="147"/>
        <item x="113"/>
        <item x="82"/>
        <item m="1" x="278"/>
        <item m="1" x="381"/>
        <item m="1" x="299"/>
        <item x="114"/>
        <item m="1" x="306"/>
        <item x="24"/>
        <item x="25"/>
        <item m="1" x="302"/>
        <item x="51"/>
        <item m="1" x="348"/>
        <item m="1" x="355"/>
        <item m="1" x="343"/>
        <item m="1" x="297"/>
        <item m="1" x="342"/>
        <item x="83"/>
        <item m="1" x="322"/>
        <item m="1" x="344"/>
        <item m="1" x="281"/>
        <item x="52"/>
        <item m="1" x="273"/>
        <item m="1" x="282"/>
        <item m="1" x="272"/>
        <item m="1" x="152"/>
        <item m="1" x="270"/>
        <item m="1" x="271"/>
        <item m="1" x="269"/>
        <item x="84"/>
        <item m="1" x="160"/>
        <item m="1" x="336"/>
        <item m="1" x="379"/>
        <item m="1" x="324"/>
        <item m="1" x="316"/>
        <item m="1" x="349"/>
        <item m="1" x="264"/>
        <item x="116"/>
        <item m="1" x="211"/>
        <item m="1" x="209"/>
        <item x="26"/>
        <item x="54"/>
        <item m="1" x="133"/>
        <item m="1" x="131"/>
        <item x="85"/>
        <item m="1" x="239"/>
        <item x="38"/>
        <item m="1" x="128"/>
        <item m="1" x="153"/>
        <item m="1" x="157"/>
        <item m="1" x="150"/>
        <item x="95"/>
        <item x="63"/>
        <item x="91"/>
        <item x="15"/>
        <item m="1" x="154"/>
        <item x="70"/>
        <item m="1" x="151"/>
        <item x="53"/>
        <item x="66"/>
        <item x="115"/>
        <item x="86"/>
        <item x="87"/>
        <item x="27"/>
        <item x="0"/>
        <item x="28"/>
        <item x="56"/>
        <item x="57"/>
        <item x="58"/>
        <item x="89"/>
        <item x="90"/>
        <item x="1"/>
        <item x="2"/>
        <item x="29"/>
        <item x="3"/>
        <item x="4"/>
        <item x="31"/>
        <item x="32"/>
        <item x="6"/>
        <item x="61"/>
        <item x="33"/>
        <item x="34"/>
        <item x="59"/>
        <item x="60"/>
        <item x="62"/>
        <item x="92"/>
        <item x="93"/>
        <item x="5"/>
      </items>
    </pivotField>
    <pivotField axis="axisRow" compact="0" outline="0" showAll="0" defaultSubtotal="0">
      <items count="15">
        <item m="1" x="12"/>
        <item m="1" x="14"/>
        <item x="0"/>
        <item x="1"/>
        <item x="3"/>
        <item m="1" x="13"/>
        <item x="4"/>
        <item m="1" x="8"/>
        <item x="2"/>
        <item x="7"/>
        <item m="1" x="11"/>
        <item m="1" x="10"/>
        <item m="1" x="9"/>
        <item x="6"/>
        <item x="5"/>
      </items>
    </pivotField>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4">
    <field x="1"/>
    <field x="3"/>
    <field x="5"/>
    <field x="6"/>
  </rowFields>
  <rowItems count="264">
    <i>
      <x/>
      <x/>
      <x v="238"/>
      <x v="8"/>
    </i>
    <i r="2">
      <x v="375"/>
      <x v="8"/>
    </i>
    <i r="1">
      <x v="2"/>
      <x v="289"/>
      <x v="2"/>
    </i>
    <i r="2">
      <x v="297"/>
      <x v="2"/>
    </i>
    <i r="1">
      <x v="3"/>
      <x v="216"/>
      <x v="2"/>
    </i>
    <i r="2">
      <x v="217"/>
      <x v="2"/>
    </i>
    <i r="2">
      <x v="340"/>
      <x v="2"/>
    </i>
    <i r="2">
      <x v="364"/>
      <x v="2"/>
    </i>
    <i r="2">
      <x v="374"/>
      <x v="2"/>
    </i>
    <i r="1">
      <x v="5"/>
      <x v="197"/>
      <x v="3"/>
    </i>
    <i r="2">
      <x v="199"/>
      <x v="3"/>
    </i>
    <i r="2">
      <x v="234"/>
      <x v="3"/>
    </i>
    <i r="2">
      <x v="249"/>
      <x v="3"/>
    </i>
    <i r="2">
      <x v="255"/>
      <x v="3"/>
    </i>
    <i r="2">
      <x v="263"/>
      <x v="3"/>
    </i>
    <i r="2">
      <x v="264"/>
      <x v="3"/>
    </i>
    <i r="2">
      <x v="274"/>
      <x v="3"/>
    </i>
    <i r="2">
      <x v="276"/>
      <x v="3"/>
    </i>
    <i r="2">
      <x v="354"/>
      <x v="3"/>
    </i>
    <i r="2">
      <x v="371"/>
      <x v="3"/>
    </i>
    <i r="2">
      <x v="372"/>
      <x v="3"/>
    </i>
    <i r="2">
      <x v="378"/>
      <x v="3"/>
    </i>
    <i r="2">
      <x v="387"/>
      <x v="3"/>
    </i>
    <i r="1">
      <x v="6"/>
      <x v="183"/>
      <x v="4"/>
    </i>
    <i r="2">
      <x v="184"/>
      <x v="4"/>
    </i>
    <i r="1">
      <x v="7"/>
      <x v="308"/>
      <x v="6"/>
    </i>
    <i r="2">
      <x v="309"/>
      <x v="6"/>
    </i>
    <i>
      <x v="1"/>
      <x/>
      <x v="238"/>
      <x v="8"/>
    </i>
    <i r="1">
      <x v="2"/>
      <x v="301"/>
      <x v="2"/>
    </i>
    <i r="1">
      <x v="3"/>
      <x v="158"/>
      <x v="2"/>
    </i>
    <i r="2">
      <x v="215"/>
      <x v="2"/>
    </i>
    <i r="2">
      <x v="216"/>
      <x v="2"/>
    </i>
    <i r="2">
      <x v="362"/>
      <x v="2"/>
    </i>
    <i r="2">
      <x v="367"/>
      <x v="2"/>
    </i>
    <i r="1">
      <x v="5"/>
      <x v="197"/>
      <x v="3"/>
    </i>
    <i r="2">
      <x v="228"/>
      <x v="3"/>
    </i>
    <i r="2">
      <x v="255"/>
      <x v="3"/>
    </i>
    <i r="2">
      <x v="256"/>
      <x v="3"/>
    </i>
    <i r="2">
      <x v="266"/>
      <x v="3"/>
    </i>
    <i r="2">
      <x v="267"/>
      <x v="3"/>
    </i>
    <i r="2">
      <x v="351"/>
      <x v="3"/>
    </i>
    <i r="2">
      <x v="352"/>
      <x v="3"/>
    </i>
    <i r="2">
      <x v="354"/>
      <x v="3"/>
    </i>
    <i r="2">
      <x v="382"/>
      <x v="3"/>
    </i>
    <i r="2">
      <x v="385"/>
      <x v="3"/>
    </i>
    <i r="1">
      <x v="6"/>
      <x v="181"/>
      <x v="4"/>
    </i>
    <i r="2">
      <x v="189"/>
      <x v="4"/>
    </i>
    <i r="2">
      <x v="353"/>
      <x v="4"/>
    </i>
    <i r="1">
      <x v="7"/>
      <x v="232"/>
      <x v="6"/>
    </i>
    <i r="2">
      <x v="308"/>
      <x v="6"/>
    </i>
    <i>
      <x v="2"/>
      <x/>
      <x v="238"/>
      <x v="8"/>
    </i>
    <i r="1">
      <x v="2"/>
      <x v="293"/>
      <x v="2"/>
    </i>
    <i r="1">
      <x v="3"/>
      <x v="193"/>
      <x v="2"/>
    </i>
    <i r="2">
      <x v="201"/>
      <x v="2"/>
    </i>
    <i r="2">
      <x v="321"/>
      <x v="2"/>
    </i>
    <i r="2">
      <x v="340"/>
      <x v="2"/>
    </i>
    <i r="2">
      <x v="364"/>
      <x v="2"/>
    </i>
    <i r="1">
      <x v="5"/>
      <x v="197"/>
      <x v="3"/>
    </i>
    <i r="2">
      <x v="228"/>
      <x v="3"/>
    </i>
    <i r="2">
      <x v="239"/>
      <x v="3"/>
    </i>
    <i r="2">
      <x v="261"/>
      <x v="3"/>
    </i>
    <i r="2">
      <x v="262"/>
      <x v="3"/>
    </i>
    <i r="2">
      <x v="277"/>
      <x v="3"/>
    </i>
    <i r="2">
      <x v="302"/>
      <x v="3"/>
    </i>
    <i r="2">
      <x v="361"/>
      <x v="3"/>
    </i>
    <i r="2">
      <x v="372"/>
      <x v="3"/>
    </i>
    <i r="2">
      <x v="382"/>
      <x v="3"/>
    </i>
    <i r="2">
      <x v="385"/>
      <x v="3"/>
    </i>
    <i r="1">
      <x v="6"/>
      <x v="231"/>
      <x v="4"/>
    </i>
    <i r="1">
      <x v="7"/>
      <x v="232"/>
      <x v="6"/>
    </i>
    <i>
      <x v="3"/>
      <x/>
      <x v="238"/>
      <x v="8"/>
    </i>
    <i r="1">
      <x v="2"/>
      <x v="289"/>
      <x v="2"/>
    </i>
    <i r="1">
      <x v="3"/>
      <x v="145"/>
      <x v="2"/>
    </i>
    <i r="2">
      <x v="217"/>
      <x v="2"/>
    </i>
    <i r="2">
      <x v="346"/>
      <x v="2"/>
    </i>
    <i r="2">
      <x v="369"/>
      <x v="2"/>
    </i>
    <i r="1">
      <x v="5"/>
      <x v="239"/>
      <x v="3"/>
    </i>
    <i r="2">
      <x v="263"/>
      <x v="3"/>
    </i>
    <i r="2">
      <x v="264"/>
      <x v="3"/>
    </i>
    <i r="2">
      <x v="351"/>
      <x v="3"/>
    </i>
    <i r="2">
      <x v="352"/>
      <x v="3"/>
    </i>
    <i r="2">
      <x v="371"/>
      <x v="3"/>
    </i>
    <i r="2">
      <x v="373"/>
      <x v="3"/>
    </i>
    <i r="1">
      <x v="6"/>
      <x v="181"/>
      <x v="4"/>
    </i>
    <i r="2">
      <x v="381"/>
      <x v="4"/>
    </i>
    <i r="1">
      <x v="7"/>
      <x v="192"/>
      <x v="14"/>
    </i>
    <i>
      <x v="4"/>
      <x/>
      <x v="238"/>
      <x v="8"/>
    </i>
    <i r="2">
      <x v="375"/>
      <x v="8"/>
    </i>
    <i r="1">
      <x v="2"/>
      <x v="296"/>
      <x v="2"/>
    </i>
    <i r="2">
      <x v="297"/>
      <x v="2"/>
    </i>
    <i r="1">
      <x v="3"/>
      <x v="242"/>
      <x v="2"/>
    </i>
    <i r="2">
      <x v="340"/>
      <x v="2"/>
    </i>
    <i r="2">
      <x v="374"/>
      <x v="2"/>
    </i>
    <i r="1">
      <x v="5"/>
      <x v="228"/>
      <x v="3"/>
    </i>
    <i r="2">
      <x v="262"/>
      <x v="3"/>
    </i>
    <i r="2">
      <x v="263"/>
      <x v="3"/>
    </i>
    <i r="2">
      <x v="354"/>
      <x v="3"/>
    </i>
    <i r="2">
      <x v="379"/>
      <x v="3"/>
    </i>
    <i r="2">
      <x v="387"/>
      <x v="3"/>
    </i>
    <i r="1">
      <x v="6"/>
      <x v="183"/>
      <x v="4"/>
    </i>
    <i r="2">
      <x v="185"/>
      <x v="4"/>
    </i>
    <i r="2">
      <x v="381"/>
      <x v="4"/>
    </i>
    <i>
      <x v="5"/>
      <x/>
      <x v="238"/>
      <x v="8"/>
    </i>
    <i r="1">
      <x v="3"/>
      <x v="193"/>
      <x v="2"/>
    </i>
    <i r="2">
      <x v="201"/>
      <x v="2"/>
    </i>
    <i r="1">
      <x v="5"/>
      <x v="197"/>
      <x v="3"/>
    </i>
    <i r="2">
      <x v="255"/>
      <x v="3"/>
    </i>
    <i r="2">
      <x v="256"/>
      <x v="3"/>
    </i>
    <i r="2">
      <x v="276"/>
      <x v="3"/>
    </i>
    <i r="2">
      <x v="302"/>
      <x v="3"/>
    </i>
    <i r="2">
      <x v="368"/>
      <x v="3"/>
    </i>
    <i r="2">
      <x v="373"/>
      <x v="3"/>
    </i>
    <i r="1">
      <x v="6"/>
      <x v="360"/>
      <x v="4"/>
    </i>
    <i r="1">
      <x v="7"/>
      <x v="230"/>
      <x v="6"/>
    </i>
    <i>
      <x v="6"/>
      <x/>
      <x v="238"/>
      <x v="8"/>
    </i>
    <i r="1">
      <x v="2"/>
      <x v="291"/>
      <x v="2"/>
    </i>
    <i r="1">
      <x v="3"/>
      <x v="201"/>
      <x v="2"/>
    </i>
    <i r="2">
      <x v="369"/>
      <x v="2"/>
    </i>
    <i r="1">
      <x v="5"/>
      <x v="197"/>
      <x v="3"/>
    </i>
    <i r="2">
      <x v="199"/>
      <x v="3"/>
    </i>
    <i r="2">
      <x v="228"/>
      <x v="3"/>
    </i>
    <i r="2">
      <x v="266"/>
      <x v="3"/>
    </i>
    <i r="2">
      <x v="354"/>
      <x v="3"/>
    </i>
    <i r="2">
      <x v="385"/>
      <x v="3"/>
    </i>
    <i r="1">
      <x v="7"/>
      <x v="232"/>
      <x v="6"/>
    </i>
    <i r="2">
      <x v="308"/>
      <x v="6"/>
    </i>
    <i>
      <x v="7"/>
      <x/>
      <x v="238"/>
      <x v="8"/>
    </i>
    <i r="1">
      <x v="2"/>
      <x v="291"/>
      <x v="2"/>
    </i>
    <i r="2">
      <x v="301"/>
      <x v="2"/>
    </i>
    <i r="1">
      <x v="3"/>
      <x v="201"/>
      <x v="2"/>
    </i>
    <i r="2">
      <x v="369"/>
      <x v="2"/>
    </i>
    <i r="1">
      <x v="5"/>
      <x v="197"/>
      <x v="3"/>
    </i>
    <i r="2">
      <x v="199"/>
      <x v="3"/>
    </i>
    <i r="2">
      <x v="228"/>
      <x v="3"/>
    </i>
    <i r="2">
      <x v="354"/>
      <x v="3"/>
    </i>
    <i r="2">
      <x v="385"/>
      <x v="3"/>
    </i>
    <i r="1">
      <x v="7"/>
      <x v="308"/>
      <x v="6"/>
    </i>
    <i>
      <x v="8"/>
      <x/>
      <x v="238"/>
      <x v="8"/>
    </i>
    <i r="1">
      <x v="2"/>
      <x v="291"/>
      <x v="2"/>
    </i>
    <i r="1">
      <x v="3"/>
      <x v="201"/>
      <x v="2"/>
    </i>
    <i r="2">
      <x v="369"/>
      <x v="2"/>
    </i>
    <i r="1">
      <x v="5"/>
      <x v="197"/>
      <x v="3"/>
    </i>
    <i r="2">
      <x v="199"/>
      <x v="3"/>
    </i>
    <i r="2">
      <x v="228"/>
      <x v="3"/>
    </i>
    <i r="2">
      <x v="266"/>
      <x v="3"/>
    </i>
    <i r="2">
      <x v="385"/>
      <x v="3"/>
    </i>
    <i r="1">
      <x v="7"/>
      <x v="308"/>
      <x v="6"/>
    </i>
    <i>
      <x v="9"/>
      <x/>
      <x v="375"/>
      <x v="8"/>
    </i>
    <i r="1">
      <x v="2"/>
      <x v="291"/>
      <x v="2"/>
    </i>
    <i r="2">
      <x v="301"/>
      <x v="2"/>
    </i>
    <i r="1">
      <x v="3"/>
      <x v="201"/>
      <x v="2"/>
    </i>
    <i r="1">
      <x v="5"/>
      <x v="197"/>
      <x v="3"/>
    </i>
    <i r="2">
      <x v="199"/>
      <x v="3"/>
    </i>
    <i r="2">
      <x v="228"/>
      <x v="3"/>
    </i>
    <i r="2">
      <x v="266"/>
      <x v="3"/>
    </i>
    <i r="2">
      <x v="385"/>
      <x v="3"/>
    </i>
    <i r="1">
      <x v="7"/>
      <x v="308"/>
      <x v="6"/>
    </i>
    <i>
      <x v="10"/>
      <x/>
      <x v="375"/>
      <x v="8"/>
    </i>
    <i r="1">
      <x v="2"/>
      <x v="291"/>
      <x v="2"/>
    </i>
    <i r="2">
      <x v="301"/>
      <x v="2"/>
    </i>
    <i r="1">
      <x v="3"/>
      <x v="201"/>
      <x v="2"/>
    </i>
    <i r="1">
      <x v="5"/>
      <x v="199"/>
      <x v="3"/>
    </i>
    <i r="2">
      <x v="228"/>
      <x v="3"/>
    </i>
    <i r="2">
      <x v="266"/>
      <x v="3"/>
    </i>
    <i r="2">
      <x v="385"/>
      <x v="3"/>
    </i>
    <i r="1">
      <x v="7"/>
      <x v="308"/>
      <x v="6"/>
    </i>
    <i>
      <x v="11"/>
      <x v="2"/>
      <x v="291"/>
      <x v="2"/>
    </i>
    <i r="2">
      <x v="301"/>
      <x v="2"/>
    </i>
    <i r="1">
      <x v="3"/>
      <x v="201"/>
      <x v="2"/>
    </i>
    <i r="1">
      <x v="5"/>
      <x v="199"/>
      <x v="3"/>
    </i>
    <i r="2">
      <x v="228"/>
      <x v="3"/>
    </i>
    <i r="2">
      <x v="266"/>
      <x v="3"/>
    </i>
    <i r="2">
      <x v="385"/>
      <x v="3"/>
    </i>
    <i r="1">
      <x v="7"/>
      <x v="308"/>
      <x v="6"/>
    </i>
    <i>
      <x v="12"/>
      <x v="2"/>
      <x v="291"/>
      <x v="2"/>
    </i>
    <i r="2">
      <x v="301"/>
      <x v="2"/>
    </i>
    <i r="1">
      <x v="3"/>
      <x v="201"/>
      <x v="2"/>
    </i>
    <i r="2">
      <x v="329"/>
      <x v="3"/>
    </i>
    <i r="1">
      <x v="5"/>
      <x v="197"/>
      <x v="3"/>
    </i>
    <i r="2">
      <x v="228"/>
      <x v="3"/>
    </i>
    <i r="2">
      <x v="385"/>
      <x v="3"/>
    </i>
    <i r="1">
      <x v="7"/>
      <x v="308"/>
      <x v="6"/>
    </i>
    <i>
      <x v="13"/>
      <x v="2"/>
      <x v="291"/>
      <x v="2"/>
    </i>
    <i r="2">
      <x v="301"/>
      <x v="2"/>
    </i>
    <i r="1">
      <x v="3"/>
      <x v="193"/>
      <x v="2"/>
    </i>
    <i r="1">
      <x v="5"/>
      <x v="197"/>
      <x v="3"/>
    </i>
    <i r="2">
      <x v="228"/>
      <x v="3"/>
    </i>
    <i r="2">
      <x v="270"/>
      <x v="3"/>
    </i>
    <i r="2">
      <x v="385"/>
      <x v="3"/>
    </i>
    <i r="1">
      <x v="7"/>
      <x v="308"/>
      <x v="6"/>
    </i>
    <i>
      <x v="14"/>
      <x v="2"/>
      <x v="291"/>
      <x v="2"/>
    </i>
    <i r="2">
      <x v="301"/>
      <x v="2"/>
    </i>
    <i r="1">
      <x v="3"/>
      <x v="193"/>
      <x v="2"/>
    </i>
    <i r="1">
      <x v="5"/>
      <x v="228"/>
      <x v="3"/>
    </i>
    <i r="2">
      <x v="270"/>
      <x v="3"/>
    </i>
    <i r="2">
      <x v="385"/>
      <x v="3"/>
    </i>
    <i r="1">
      <x v="7"/>
      <x v="308"/>
      <x v="6"/>
    </i>
    <i>
      <x v="15"/>
      <x v="2"/>
      <x v="291"/>
      <x v="2"/>
    </i>
    <i r="2">
      <x v="301"/>
      <x v="2"/>
    </i>
    <i r="1">
      <x v="3"/>
      <x v="193"/>
      <x v="2"/>
    </i>
    <i r="1">
      <x v="5"/>
      <x v="228"/>
      <x v="3"/>
    </i>
    <i r="2">
      <x v="270"/>
      <x v="3"/>
    </i>
    <i r="2">
      <x v="385"/>
      <x v="3"/>
    </i>
    <i r="1">
      <x v="7"/>
      <x v="308"/>
      <x v="6"/>
    </i>
    <i>
      <x v="16"/>
      <x v="2"/>
      <x v="291"/>
      <x v="2"/>
    </i>
    <i r="2">
      <x v="301"/>
      <x v="2"/>
    </i>
    <i r="1">
      <x v="3"/>
      <x v="193"/>
      <x v="2"/>
    </i>
    <i r="1">
      <x v="5"/>
      <x v="270"/>
      <x v="3"/>
    </i>
    <i r="2">
      <x v="385"/>
      <x v="3"/>
    </i>
    <i r="1">
      <x v="7"/>
      <x v="308"/>
      <x v="6"/>
    </i>
    <i>
      <x v="17"/>
      <x v="2"/>
      <x v="291"/>
      <x v="2"/>
    </i>
    <i r="2">
      <x v="301"/>
      <x v="2"/>
    </i>
    <i r="1">
      <x v="3"/>
      <x v="193"/>
      <x v="2"/>
    </i>
    <i r="1">
      <x v="5"/>
      <x v="270"/>
      <x v="3"/>
    </i>
    <i r="2">
      <x v="385"/>
      <x v="3"/>
    </i>
    <i r="1">
      <x v="7"/>
      <x v="308"/>
      <x v="6"/>
    </i>
    <i>
      <x v="18"/>
      <x v="2"/>
      <x v="291"/>
      <x v="2"/>
    </i>
    <i r="2">
      <x v="301"/>
      <x v="2"/>
    </i>
    <i r="1">
      <x v="3"/>
      <x v="193"/>
      <x v="2"/>
    </i>
    <i r="1">
      <x v="5"/>
      <x v="270"/>
      <x v="3"/>
    </i>
    <i r="2">
      <x v="385"/>
      <x v="3"/>
    </i>
    <i r="1">
      <x v="7"/>
      <x v="308"/>
      <x v="6"/>
    </i>
    <i>
      <x v="19"/>
      <x v="2"/>
      <x v="291"/>
      <x v="2"/>
    </i>
    <i r="2">
      <x v="301"/>
      <x v="2"/>
    </i>
    <i r="1">
      <x v="3"/>
      <x v="193"/>
      <x v="2"/>
    </i>
    <i r="1">
      <x v="5"/>
      <x v="270"/>
      <x v="3"/>
    </i>
    <i r="2">
      <x v="385"/>
      <x v="3"/>
    </i>
    <i r="1">
      <x v="7"/>
      <x v="308"/>
      <x v="6"/>
    </i>
    <i>
      <x v="20"/>
      <x v="2"/>
      <x v="301"/>
      <x v="2"/>
    </i>
    <i r="1">
      <x v="3"/>
      <x v="193"/>
      <x v="2"/>
    </i>
    <i r="1">
      <x v="5"/>
      <x v="268"/>
      <x v="3"/>
    </i>
    <i r="2">
      <x v="270"/>
      <x v="3"/>
    </i>
    <i r="2">
      <x v="385"/>
      <x v="3"/>
    </i>
    <i r="1">
      <x v="7"/>
      <x v="308"/>
      <x v="6"/>
    </i>
    <i>
      <x v="21"/>
      <x v="2"/>
      <x v="301"/>
      <x v="2"/>
    </i>
    <i r="1">
      <x v="3"/>
      <x v="193"/>
      <x v="2"/>
    </i>
    <i r="1">
      <x v="5"/>
      <x v="270"/>
      <x v="3"/>
    </i>
    <i r="2">
      <x v="377"/>
      <x v="3"/>
    </i>
    <i r="2">
      <x v="385"/>
      <x v="3"/>
    </i>
    <i r="1">
      <x v="7"/>
      <x v="308"/>
      <x v="6"/>
    </i>
    <i>
      <x v="22"/>
      <x v="2"/>
      <x v="301"/>
      <x v="2"/>
    </i>
    <i r="1">
      <x v="3"/>
      <x v="193"/>
      <x v="2"/>
    </i>
    <i r="1">
      <x v="5"/>
      <x v="270"/>
      <x v="3"/>
    </i>
    <i r="2">
      <x v="385"/>
      <x v="3"/>
    </i>
    <i r="1">
      <x v="7"/>
      <x v="308"/>
      <x v="6"/>
    </i>
    <i>
      <x v="23"/>
      <x v="2"/>
      <x v="301"/>
      <x v="2"/>
    </i>
    <i r="1">
      <x v="3"/>
      <x v="364"/>
      <x v="2"/>
    </i>
    <i r="1">
      <x v="5"/>
      <x v="270"/>
      <x v="3"/>
    </i>
    <i r="2">
      <x v="385"/>
      <x v="3"/>
    </i>
    <i r="1">
      <x v="7"/>
      <x v="308"/>
      <x v="6"/>
    </i>
    <i>
      <x v="24"/>
      <x v="2"/>
      <x v="301"/>
      <x v="2"/>
    </i>
    <i r="1">
      <x v="5"/>
      <x v="270"/>
      <x v="3"/>
    </i>
    <i r="2">
      <x v="384"/>
      <x v="3"/>
    </i>
    <i r="2">
      <x v="385"/>
      <x v="3"/>
    </i>
    <i r="1">
      <x v="7"/>
      <x v="308"/>
      <x v="6"/>
    </i>
    <i>
      <x v="25"/>
      <x v="2"/>
      <x v="301"/>
      <x v="2"/>
    </i>
    <i r="1">
      <x v="5"/>
      <x v="270"/>
      <x v="3"/>
    </i>
    <i r="2">
      <x v="384"/>
      <x v="3"/>
    </i>
    <i r="2">
      <x v="385"/>
      <x v="3"/>
    </i>
    <i r="1">
      <x v="7"/>
      <x v="308"/>
      <x v="6"/>
    </i>
    <i>
      <x v="26"/>
      <x v="2"/>
      <x v="301"/>
      <x v="2"/>
    </i>
    <i r="1">
      <x v="5"/>
      <x v="270"/>
      <x v="3"/>
    </i>
    <i r="2">
      <x v="385"/>
      <x v="3"/>
    </i>
    <i r="1">
      <x v="7"/>
      <x v="308"/>
      <x v="6"/>
    </i>
  </rowItems>
  <colItems count="1">
    <i/>
  </colItems>
  <dataFields count="1">
    <dataField name="Suma de Station" fld="2" baseField="0" baseItem="0"/>
  </dataFields>
  <formats count="512">
    <format dxfId="6415">
      <pivotArea field="5" type="button" dataOnly="0" labelOnly="1" outline="0" axis="axisRow" fieldPosition="2"/>
    </format>
    <format dxfId="6414">
      <pivotArea type="all" dataOnly="0" outline="0" fieldPosition="0"/>
    </format>
    <format dxfId="6413">
      <pivotArea field="5" type="button" dataOnly="0" labelOnly="1" outline="0" axis="axisRow" fieldPosition="2"/>
    </format>
    <format dxfId="6412">
      <pivotArea type="all" dataOnly="0" outline="0" fieldPosition="0"/>
    </format>
    <format dxfId="6411">
      <pivotArea field="5" type="button" dataOnly="0" labelOnly="1" outline="0" axis="axisRow" fieldPosition="2"/>
    </format>
    <format dxfId="6410">
      <pivotArea dataOnly="0" labelOnly="1" fieldPosition="0">
        <references count="1">
          <reference field="5" count="50">
            <x v="1"/>
            <x v="3"/>
            <x v="4"/>
            <x v="6"/>
            <x v="8"/>
            <x v="10"/>
            <x v="13"/>
            <x v="14"/>
            <x v="15"/>
            <x v="17"/>
            <x v="18"/>
            <x v="19"/>
            <x v="20"/>
            <x v="21"/>
            <x v="22"/>
            <x v="23"/>
            <x v="24"/>
            <x v="25"/>
            <x v="26"/>
            <x v="27"/>
            <x v="28"/>
            <x v="29"/>
            <x v="33"/>
            <x v="34"/>
            <x v="35"/>
            <x v="37"/>
            <x v="38"/>
            <x v="39"/>
            <x v="40"/>
            <x v="42"/>
            <x v="44"/>
            <x v="45"/>
            <x v="46"/>
            <x v="47"/>
            <x v="48"/>
            <x v="49"/>
            <x v="50"/>
            <x v="51"/>
            <x v="52"/>
            <x v="53"/>
            <x v="54"/>
            <x v="55"/>
            <x v="58"/>
            <x v="60"/>
            <x v="61"/>
            <x v="63"/>
            <x v="64"/>
            <x v="65"/>
            <x v="67"/>
            <x v="68"/>
          </reference>
        </references>
      </pivotArea>
    </format>
    <format dxfId="6409">
      <pivotArea dataOnly="0" labelOnly="1" fieldPosition="0">
        <references count="1">
          <reference field="5" count="50">
            <x v="69"/>
            <x v="70"/>
            <x v="71"/>
            <x v="72"/>
            <x v="73"/>
            <x v="74"/>
            <x v="76"/>
            <x v="77"/>
            <x v="78"/>
            <x v="80"/>
            <x v="82"/>
            <x v="83"/>
            <x v="86"/>
            <x v="88"/>
            <x v="89"/>
            <x v="91"/>
            <x v="93"/>
            <x v="94"/>
            <x v="95"/>
            <x v="96"/>
            <x v="97"/>
            <x v="99"/>
            <x v="101"/>
            <x v="103"/>
            <x v="104"/>
            <x v="105"/>
            <x v="107"/>
            <x v="108"/>
            <x v="109"/>
            <x v="111"/>
            <x v="113"/>
            <x v="114"/>
            <x v="115"/>
            <x v="116"/>
            <x v="117"/>
            <x v="118"/>
            <x v="119"/>
            <x v="120"/>
            <x v="122"/>
            <x v="124"/>
            <x v="127"/>
            <x v="128"/>
            <x v="130"/>
            <x v="132"/>
            <x v="134"/>
            <x v="135"/>
            <x v="136"/>
            <x v="138"/>
            <x v="139"/>
            <x v="140"/>
          </reference>
        </references>
      </pivotArea>
    </format>
    <format dxfId="6408">
      <pivotArea dataOnly="0" labelOnly="1" fieldPosition="0">
        <references count="1">
          <reference field="5" count="50">
            <x v="141"/>
            <x v="142"/>
            <x v="144"/>
            <x v="145"/>
            <x v="146"/>
            <x v="147"/>
            <x v="149"/>
            <x v="151"/>
            <x v="153"/>
            <x v="154"/>
            <x v="155"/>
            <x v="156"/>
            <x v="158"/>
            <x v="159"/>
            <x v="160"/>
            <x v="161"/>
            <x v="163"/>
            <x v="164"/>
            <x v="165"/>
            <x v="166"/>
            <x v="167"/>
            <x v="168"/>
            <x v="169"/>
            <x v="170"/>
            <x v="171"/>
            <x v="172"/>
            <x v="173"/>
            <x v="174"/>
            <x v="175"/>
            <x v="176"/>
            <x v="177"/>
            <x v="178"/>
            <x v="180"/>
            <x v="181"/>
            <x v="182"/>
            <x v="183"/>
            <x v="184"/>
            <x v="185"/>
            <x v="187"/>
            <x v="188"/>
            <x v="189"/>
            <x v="190"/>
            <x v="192"/>
            <x v="193"/>
            <x v="196"/>
            <x v="197"/>
            <x v="199"/>
            <x v="200"/>
            <x v="204"/>
            <x v="205"/>
          </reference>
        </references>
      </pivotArea>
    </format>
    <format dxfId="6407">
      <pivotArea dataOnly="0" labelOnly="1" fieldPosition="0">
        <references count="1">
          <reference field="5" count="50">
            <x v="207"/>
            <x v="208"/>
            <x v="209"/>
            <x v="210"/>
            <x v="212"/>
            <x v="219"/>
            <x v="220"/>
            <x v="222"/>
            <x v="223"/>
            <x v="225"/>
            <x v="228"/>
            <x v="230"/>
            <x v="231"/>
            <x v="232"/>
            <x v="233"/>
            <x v="234"/>
            <x v="236"/>
            <x v="238"/>
            <x v="239"/>
            <x v="242"/>
            <x v="243"/>
            <x v="245"/>
            <x v="247"/>
            <x v="248"/>
            <x v="249"/>
            <x v="255"/>
            <x v="256"/>
            <x v="257"/>
            <x v="258"/>
            <x v="259"/>
            <x v="260"/>
            <x v="263"/>
            <x v="264"/>
            <x v="265"/>
            <x v="266"/>
            <x v="267"/>
            <x v="268"/>
            <x v="270"/>
            <x v="272"/>
            <x v="274"/>
            <x v="276"/>
            <x v="277"/>
            <x v="283"/>
            <x v="284"/>
            <x v="285"/>
            <x v="286"/>
            <x v="288"/>
            <x v="289"/>
            <x v="290"/>
            <x v="291"/>
          </reference>
        </references>
      </pivotArea>
    </format>
    <format dxfId="6406">
      <pivotArea dataOnly="0" labelOnly="1" fieldPosition="0">
        <references count="1">
          <reference field="5" count="27">
            <x v="292"/>
            <x v="293"/>
            <x v="294"/>
            <x v="295"/>
            <x v="296"/>
            <x v="297"/>
            <x v="298"/>
            <x v="300"/>
            <x v="301"/>
            <x v="302"/>
            <x v="304"/>
            <x v="308"/>
            <x v="309"/>
            <x v="311"/>
            <x v="312"/>
            <x v="314"/>
            <x v="316"/>
            <x v="317"/>
            <x v="321"/>
            <x v="322"/>
            <x v="324"/>
            <x v="325"/>
            <x v="326"/>
            <x v="327"/>
            <x v="328"/>
            <x v="329"/>
            <x v="336"/>
          </reference>
        </references>
      </pivotArea>
    </format>
    <format dxfId="6405">
      <pivotArea dataOnly="0" labelOnly="1" fieldPosition="0">
        <references count="1">
          <reference field="5" count="50">
            <x v="1"/>
            <x v="3"/>
            <x v="4"/>
            <x v="6"/>
            <x v="8"/>
            <x v="10"/>
            <x v="13"/>
            <x v="14"/>
            <x v="15"/>
            <x v="17"/>
            <x v="18"/>
            <x v="19"/>
            <x v="20"/>
            <x v="21"/>
            <x v="22"/>
            <x v="23"/>
            <x v="24"/>
            <x v="25"/>
            <x v="26"/>
            <x v="27"/>
            <x v="28"/>
            <x v="29"/>
            <x v="33"/>
            <x v="34"/>
            <x v="35"/>
            <x v="37"/>
            <x v="38"/>
            <x v="39"/>
            <x v="40"/>
            <x v="42"/>
            <x v="44"/>
            <x v="45"/>
            <x v="46"/>
            <x v="47"/>
            <x v="48"/>
            <x v="49"/>
            <x v="50"/>
            <x v="51"/>
            <x v="52"/>
            <x v="53"/>
            <x v="54"/>
            <x v="55"/>
            <x v="58"/>
            <x v="60"/>
            <x v="61"/>
            <x v="63"/>
            <x v="64"/>
            <x v="65"/>
            <x v="67"/>
            <x v="68"/>
          </reference>
        </references>
      </pivotArea>
    </format>
    <format dxfId="6404">
      <pivotArea dataOnly="0" labelOnly="1" fieldPosition="0">
        <references count="1">
          <reference field="5" count="50">
            <x v="69"/>
            <x v="70"/>
            <x v="71"/>
            <x v="72"/>
            <x v="73"/>
            <x v="74"/>
            <x v="76"/>
            <x v="77"/>
            <x v="78"/>
            <x v="80"/>
            <x v="82"/>
            <x v="83"/>
            <x v="86"/>
            <x v="88"/>
            <x v="89"/>
            <x v="91"/>
            <x v="93"/>
            <x v="94"/>
            <x v="95"/>
            <x v="96"/>
            <x v="97"/>
            <x v="99"/>
            <x v="101"/>
            <x v="103"/>
            <x v="104"/>
            <x v="105"/>
            <x v="107"/>
            <x v="108"/>
            <x v="109"/>
            <x v="111"/>
            <x v="113"/>
            <x v="114"/>
            <x v="115"/>
            <x v="116"/>
            <x v="117"/>
            <x v="118"/>
            <x v="119"/>
            <x v="120"/>
            <x v="122"/>
            <x v="124"/>
            <x v="127"/>
            <x v="128"/>
            <x v="130"/>
            <x v="132"/>
            <x v="134"/>
            <x v="135"/>
            <x v="136"/>
            <x v="138"/>
            <x v="139"/>
            <x v="140"/>
          </reference>
        </references>
      </pivotArea>
    </format>
    <format dxfId="6403">
      <pivotArea dataOnly="0" labelOnly="1" fieldPosition="0">
        <references count="1">
          <reference field="5" count="50">
            <x v="141"/>
            <x v="142"/>
            <x v="144"/>
            <x v="145"/>
            <x v="146"/>
            <x v="147"/>
            <x v="149"/>
            <x v="151"/>
            <x v="153"/>
            <x v="154"/>
            <x v="155"/>
            <x v="156"/>
            <x v="158"/>
            <x v="159"/>
            <x v="160"/>
            <x v="161"/>
            <x v="163"/>
            <x v="164"/>
            <x v="165"/>
            <x v="166"/>
            <x v="167"/>
            <x v="168"/>
            <x v="169"/>
            <x v="170"/>
            <x v="171"/>
            <x v="172"/>
            <x v="173"/>
            <x v="174"/>
            <x v="175"/>
            <x v="176"/>
            <x v="177"/>
            <x v="178"/>
            <x v="180"/>
            <x v="181"/>
            <x v="182"/>
            <x v="183"/>
            <x v="184"/>
            <x v="185"/>
            <x v="187"/>
            <x v="188"/>
            <x v="189"/>
            <x v="190"/>
            <x v="192"/>
            <x v="193"/>
            <x v="196"/>
            <x v="197"/>
            <x v="199"/>
            <x v="200"/>
            <x v="204"/>
            <x v="205"/>
          </reference>
        </references>
      </pivotArea>
    </format>
    <format dxfId="6402">
      <pivotArea dataOnly="0" labelOnly="1" fieldPosition="0">
        <references count="1">
          <reference field="5" count="50">
            <x v="207"/>
            <x v="208"/>
            <x v="209"/>
            <x v="210"/>
            <x v="212"/>
            <x v="219"/>
            <x v="220"/>
            <x v="222"/>
            <x v="223"/>
            <x v="225"/>
            <x v="228"/>
            <x v="230"/>
            <x v="231"/>
            <x v="232"/>
            <x v="233"/>
            <x v="234"/>
            <x v="236"/>
            <x v="238"/>
            <x v="239"/>
            <x v="242"/>
            <x v="243"/>
            <x v="245"/>
            <x v="247"/>
            <x v="248"/>
            <x v="249"/>
            <x v="255"/>
            <x v="256"/>
            <x v="257"/>
            <x v="258"/>
            <x v="259"/>
            <x v="260"/>
            <x v="263"/>
            <x v="264"/>
            <x v="265"/>
            <x v="266"/>
            <x v="267"/>
            <x v="268"/>
            <x v="270"/>
            <x v="272"/>
            <x v="274"/>
            <x v="276"/>
            <x v="277"/>
            <x v="283"/>
            <x v="284"/>
            <x v="285"/>
            <x v="286"/>
            <x v="288"/>
            <x v="289"/>
            <x v="290"/>
            <x v="291"/>
          </reference>
        </references>
      </pivotArea>
    </format>
    <format dxfId="6401">
      <pivotArea dataOnly="0" labelOnly="1" fieldPosition="0">
        <references count="1">
          <reference field="5" count="27">
            <x v="292"/>
            <x v="293"/>
            <x v="294"/>
            <x v="295"/>
            <x v="296"/>
            <x v="297"/>
            <x v="298"/>
            <x v="300"/>
            <x v="301"/>
            <x v="302"/>
            <x v="304"/>
            <x v="308"/>
            <x v="309"/>
            <x v="311"/>
            <x v="312"/>
            <x v="314"/>
            <x v="316"/>
            <x v="317"/>
            <x v="321"/>
            <x v="322"/>
            <x v="324"/>
            <x v="325"/>
            <x v="326"/>
            <x v="327"/>
            <x v="328"/>
            <x v="329"/>
            <x v="336"/>
          </reference>
        </references>
      </pivotArea>
    </format>
    <format dxfId="6400">
      <pivotArea field="5" type="button" dataOnly="0" labelOnly="1" outline="0" axis="axisRow" fieldPosition="2"/>
    </format>
    <format dxfId="6399">
      <pivotArea field="6" type="button" dataOnly="0" labelOnly="1" outline="0" axis="axisRow" fieldPosition="3"/>
    </format>
    <format dxfId="6398">
      <pivotArea field="3" type="button" dataOnly="0" labelOnly="1" outline="0" axis="axisRow" fieldPosition="1"/>
    </format>
    <format dxfId="6397">
      <pivotArea dataOnly="0" labelOnly="1" outline="0" fieldPosition="0">
        <references count="3">
          <reference field="3" count="1" selected="0">
            <x v="0"/>
          </reference>
          <reference field="5" count="1" selected="0">
            <x v="105"/>
          </reference>
          <reference field="6" count="1">
            <x v="8"/>
          </reference>
        </references>
      </pivotArea>
    </format>
    <format dxfId="6396">
      <pivotArea dataOnly="0" labelOnly="1" outline="0" fieldPosition="0">
        <references count="3">
          <reference field="3" count="1" selected="0">
            <x v="0"/>
          </reference>
          <reference field="5" count="1" selected="0">
            <x v="107"/>
          </reference>
          <reference field="6" count="1">
            <x v="8"/>
          </reference>
        </references>
      </pivotArea>
    </format>
    <format dxfId="6395">
      <pivotArea dataOnly="0" labelOnly="1" outline="0" fieldPosition="0">
        <references count="3">
          <reference field="3" count="1" selected="0">
            <x v="0"/>
          </reference>
          <reference field="5" count="1" selected="0">
            <x v="238"/>
          </reference>
          <reference field="6" count="1">
            <x v="8"/>
          </reference>
        </references>
      </pivotArea>
    </format>
    <format dxfId="6394">
      <pivotArea dataOnly="0" labelOnly="1" outline="0" fieldPosition="0">
        <references count="3">
          <reference field="3" count="1" selected="0">
            <x v="0"/>
          </reference>
          <reference field="5" count="1" selected="0">
            <x v="336"/>
          </reference>
          <reference field="6" count="1">
            <x v="8"/>
          </reference>
        </references>
      </pivotArea>
    </format>
    <format dxfId="6393">
      <pivotArea dataOnly="0" labelOnly="1" outline="0" fieldPosition="0">
        <references count="3">
          <reference field="3" count="1" selected="0">
            <x v="2"/>
          </reference>
          <reference field="5" count="1" selected="0">
            <x v="91"/>
          </reference>
          <reference field="6" count="1">
            <x v="2"/>
          </reference>
        </references>
      </pivotArea>
    </format>
    <format dxfId="6392">
      <pivotArea dataOnly="0" labelOnly="1" outline="0" fieldPosition="0">
        <references count="3">
          <reference field="3" count="1" selected="0">
            <x v="2"/>
          </reference>
          <reference field="5" count="1" selected="0">
            <x v="97"/>
          </reference>
          <reference field="6" count="1">
            <x v="2"/>
          </reference>
        </references>
      </pivotArea>
    </format>
    <format dxfId="6391">
      <pivotArea dataOnly="0" labelOnly="1" outline="0" fieldPosition="0">
        <references count="3">
          <reference field="3" count="1" selected="0">
            <x v="2"/>
          </reference>
          <reference field="5" count="1" selected="0">
            <x v="146"/>
          </reference>
          <reference field="6" count="1">
            <x v="2"/>
          </reference>
        </references>
      </pivotArea>
    </format>
    <format dxfId="6390">
      <pivotArea dataOnly="0" labelOnly="1" outline="0" fieldPosition="0">
        <references count="3">
          <reference field="3" count="1" selected="0">
            <x v="2"/>
          </reference>
          <reference field="5" count="1" selected="0">
            <x v="165"/>
          </reference>
          <reference field="6" count="1">
            <x v="2"/>
          </reference>
        </references>
      </pivotArea>
    </format>
    <format dxfId="6389">
      <pivotArea dataOnly="0" labelOnly="1" outline="0" fieldPosition="0">
        <references count="3">
          <reference field="3" count="1" selected="0">
            <x v="2"/>
          </reference>
          <reference field="5" count="1" selected="0">
            <x v="283"/>
          </reference>
          <reference field="6" count="1">
            <x v="2"/>
          </reference>
        </references>
      </pivotArea>
    </format>
    <format dxfId="6388">
      <pivotArea dataOnly="0" labelOnly="1" outline="0" fieldPosition="0">
        <references count="3">
          <reference field="3" count="1" selected="0">
            <x v="2"/>
          </reference>
          <reference field="5" count="1" selected="0">
            <x v="284"/>
          </reference>
          <reference field="6" count="1">
            <x v="2"/>
          </reference>
        </references>
      </pivotArea>
    </format>
    <format dxfId="6387">
      <pivotArea dataOnly="0" labelOnly="1" outline="0" fieldPosition="0">
        <references count="3">
          <reference field="3" count="1" selected="0">
            <x v="2"/>
          </reference>
          <reference field="5" count="1" selected="0">
            <x v="285"/>
          </reference>
          <reference field="6" count="1">
            <x v="2"/>
          </reference>
        </references>
      </pivotArea>
    </format>
    <format dxfId="6386">
      <pivotArea dataOnly="0" labelOnly="1" outline="0" fieldPosition="0">
        <references count="3">
          <reference field="3" count="1" selected="0">
            <x v="2"/>
          </reference>
          <reference field="5" count="1" selected="0">
            <x v="286"/>
          </reference>
          <reference field="6" count="1">
            <x v="2"/>
          </reference>
        </references>
      </pivotArea>
    </format>
    <format dxfId="6385">
      <pivotArea dataOnly="0" labelOnly="1" outline="0" fieldPosition="0">
        <references count="3">
          <reference field="3" count="1" selected="0">
            <x v="2"/>
          </reference>
          <reference field="5" count="1" selected="0">
            <x v="288"/>
          </reference>
          <reference field="6" count="1">
            <x v="2"/>
          </reference>
        </references>
      </pivotArea>
    </format>
    <format dxfId="6384">
      <pivotArea dataOnly="0" labelOnly="1" outline="0" fieldPosition="0">
        <references count="3">
          <reference field="3" count="1" selected="0">
            <x v="2"/>
          </reference>
          <reference field="5" count="1" selected="0">
            <x v="289"/>
          </reference>
          <reference field="6" count="1">
            <x v="2"/>
          </reference>
        </references>
      </pivotArea>
    </format>
    <format dxfId="6383">
      <pivotArea dataOnly="0" labelOnly="1" outline="0" fieldPosition="0">
        <references count="3">
          <reference field="3" count="1" selected="0">
            <x v="2"/>
          </reference>
          <reference field="5" count="1" selected="0">
            <x v="290"/>
          </reference>
          <reference field="6" count="1">
            <x v="2"/>
          </reference>
        </references>
      </pivotArea>
    </format>
    <format dxfId="6382">
      <pivotArea dataOnly="0" labelOnly="1" outline="0" fieldPosition="0">
        <references count="3">
          <reference field="3" count="1" selected="0">
            <x v="2"/>
          </reference>
          <reference field="5" count="1" selected="0">
            <x v="291"/>
          </reference>
          <reference field="6" count="1">
            <x v="2"/>
          </reference>
        </references>
      </pivotArea>
    </format>
    <format dxfId="6381">
      <pivotArea dataOnly="0" labelOnly="1" outline="0" fieldPosition="0">
        <references count="3">
          <reference field="3" count="1" selected="0">
            <x v="2"/>
          </reference>
          <reference field="5" count="1" selected="0">
            <x v="292"/>
          </reference>
          <reference field="6" count="1">
            <x v="2"/>
          </reference>
        </references>
      </pivotArea>
    </format>
    <format dxfId="6380">
      <pivotArea dataOnly="0" labelOnly="1" outline="0" fieldPosition="0">
        <references count="3">
          <reference field="3" count="1" selected="0">
            <x v="2"/>
          </reference>
          <reference field="5" count="1" selected="0">
            <x v="293"/>
          </reference>
          <reference field="6" count="1">
            <x v="2"/>
          </reference>
        </references>
      </pivotArea>
    </format>
    <format dxfId="6379">
      <pivotArea dataOnly="0" labelOnly="1" outline="0" fieldPosition="0">
        <references count="3">
          <reference field="3" count="1" selected="0">
            <x v="2"/>
          </reference>
          <reference field="5" count="1" selected="0">
            <x v="294"/>
          </reference>
          <reference field="6" count="1">
            <x v="2"/>
          </reference>
        </references>
      </pivotArea>
    </format>
    <format dxfId="6378">
      <pivotArea dataOnly="0" labelOnly="1" outline="0" fieldPosition="0">
        <references count="3">
          <reference field="3" count="1" selected="0">
            <x v="2"/>
          </reference>
          <reference field="5" count="1" selected="0">
            <x v="295"/>
          </reference>
          <reference field="6" count="1">
            <x v="2"/>
          </reference>
        </references>
      </pivotArea>
    </format>
    <format dxfId="6377">
      <pivotArea dataOnly="0" labelOnly="1" outline="0" fieldPosition="0">
        <references count="3">
          <reference field="3" count="1" selected="0">
            <x v="2"/>
          </reference>
          <reference field="5" count="1" selected="0">
            <x v="296"/>
          </reference>
          <reference field="6" count="1">
            <x v="2"/>
          </reference>
        </references>
      </pivotArea>
    </format>
    <format dxfId="6376">
      <pivotArea dataOnly="0" labelOnly="1" outline="0" fieldPosition="0">
        <references count="3">
          <reference field="3" count="1" selected="0">
            <x v="2"/>
          </reference>
          <reference field="5" count="1" selected="0">
            <x v="297"/>
          </reference>
          <reference field="6" count="1">
            <x v="2"/>
          </reference>
        </references>
      </pivotArea>
    </format>
    <format dxfId="6375">
      <pivotArea dataOnly="0" labelOnly="1" outline="0" fieldPosition="0">
        <references count="3">
          <reference field="3" count="1" selected="0">
            <x v="2"/>
          </reference>
          <reference field="5" count="1" selected="0">
            <x v="298"/>
          </reference>
          <reference field="6" count="1">
            <x v="2"/>
          </reference>
        </references>
      </pivotArea>
    </format>
    <format dxfId="6374">
      <pivotArea dataOnly="0" labelOnly="1" outline="0" fieldPosition="0">
        <references count="3">
          <reference field="3" count="1" selected="0">
            <x v="2"/>
          </reference>
          <reference field="5" count="1" selected="0">
            <x v="300"/>
          </reference>
          <reference field="6" count="1">
            <x v="2"/>
          </reference>
        </references>
      </pivotArea>
    </format>
    <format dxfId="6373">
      <pivotArea dataOnly="0" labelOnly="1" outline="0" fieldPosition="0">
        <references count="3">
          <reference field="3" count="1" selected="0">
            <x v="2"/>
          </reference>
          <reference field="5" count="1" selected="0">
            <x v="301"/>
          </reference>
          <reference field="6" count="1">
            <x v="2"/>
          </reference>
        </references>
      </pivotArea>
    </format>
    <format dxfId="6372">
      <pivotArea dataOnly="0" labelOnly="1" outline="0" fieldPosition="0">
        <references count="3">
          <reference field="3" count="1" selected="0">
            <x v="3"/>
          </reference>
          <reference field="5" count="1" selected="0">
            <x v="6"/>
          </reference>
          <reference field="6" count="1">
            <x v="2"/>
          </reference>
        </references>
      </pivotArea>
    </format>
    <format dxfId="6371">
      <pivotArea dataOnly="0" labelOnly="1" outline="0" fieldPosition="0">
        <references count="3">
          <reference field="3" count="1" selected="0">
            <x v="3"/>
          </reference>
          <reference field="5" count="1" selected="0">
            <x v="35"/>
          </reference>
          <reference field="6" count="1">
            <x v="2"/>
          </reference>
        </references>
      </pivotArea>
    </format>
    <format dxfId="6370">
      <pivotArea dataOnly="0" labelOnly="1" outline="0" fieldPosition="0">
        <references count="3">
          <reference field="3" count="1" selected="0">
            <x v="3"/>
          </reference>
          <reference field="5" count="1" selected="0">
            <x v="37"/>
          </reference>
          <reference field="6" count="1">
            <x v="2"/>
          </reference>
        </references>
      </pivotArea>
    </format>
    <format dxfId="6369">
      <pivotArea dataOnly="0" labelOnly="1" outline="0" fieldPosition="0">
        <references count="3">
          <reference field="3" count="1" selected="0">
            <x v="3"/>
          </reference>
          <reference field="5" count="1" selected="0">
            <x v="40"/>
          </reference>
          <reference field="6" count="1">
            <x v="2"/>
          </reference>
        </references>
      </pivotArea>
    </format>
    <format dxfId="6368">
      <pivotArea dataOnly="0" labelOnly="1" outline="0" fieldPosition="0">
        <references count="3">
          <reference field="3" count="1" selected="0">
            <x v="3"/>
          </reference>
          <reference field="5" count="1" selected="0">
            <x v="47"/>
          </reference>
          <reference field="6" count="1">
            <x v="2"/>
          </reference>
        </references>
      </pivotArea>
    </format>
    <format dxfId="6367">
      <pivotArea dataOnly="0" labelOnly="1" outline="0" fieldPosition="0">
        <references count="3">
          <reference field="3" count="1" selected="0">
            <x v="3"/>
          </reference>
          <reference field="5" count="1" selected="0">
            <x v="55"/>
          </reference>
          <reference field="6" count="1">
            <x v="2"/>
          </reference>
        </references>
      </pivotArea>
    </format>
    <format dxfId="6366">
      <pivotArea dataOnly="0" labelOnly="1" outline="0" fieldPosition="0">
        <references count="3">
          <reference field="3" count="1" selected="0">
            <x v="3"/>
          </reference>
          <reference field="5" count="1" selected="0">
            <x v="61"/>
          </reference>
          <reference field="6" count="1">
            <x v="2"/>
          </reference>
        </references>
      </pivotArea>
    </format>
    <format dxfId="6365">
      <pivotArea dataOnly="0" labelOnly="1" outline="0" fieldPosition="0">
        <references count="3">
          <reference field="3" count="1" selected="0">
            <x v="3"/>
          </reference>
          <reference field="5" count="1" selected="0">
            <x v="93"/>
          </reference>
          <reference field="6" count="1">
            <x v="2"/>
          </reference>
        </references>
      </pivotArea>
    </format>
    <format dxfId="6364">
      <pivotArea dataOnly="0" labelOnly="1" outline="0" fieldPosition="0">
        <references count="3">
          <reference field="3" count="1" selected="0">
            <x v="3"/>
          </reference>
          <reference field="5" count="1" selected="0">
            <x v="122"/>
          </reference>
          <reference field="6" count="1">
            <x v="4"/>
          </reference>
        </references>
      </pivotArea>
    </format>
    <format dxfId="6363">
      <pivotArea dataOnly="0" labelOnly="1" outline="0" fieldPosition="0">
        <references count="3">
          <reference field="3" count="1" selected="0">
            <x v="3"/>
          </reference>
          <reference field="5" count="1" selected="0">
            <x v="136"/>
          </reference>
          <reference field="6" count="1">
            <x v="2"/>
          </reference>
        </references>
      </pivotArea>
    </format>
    <format dxfId="6362">
      <pivotArea dataOnly="0" labelOnly="1" outline="0" fieldPosition="0">
        <references count="3">
          <reference field="3" count="1" selected="0">
            <x v="3"/>
          </reference>
          <reference field="5" count="1" selected="0">
            <x v="138"/>
          </reference>
          <reference field="6" count="1">
            <x v="2"/>
          </reference>
        </references>
      </pivotArea>
    </format>
    <format dxfId="6361">
      <pivotArea dataOnly="0" labelOnly="1" outline="0" fieldPosition="0">
        <references count="3">
          <reference field="3" count="1" selected="0">
            <x v="3"/>
          </reference>
          <reference field="5" count="1" selected="0">
            <x v="139"/>
          </reference>
          <reference field="6" count="1">
            <x v="2"/>
          </reference>
        </references>
      </pivotArea>
    </format>
    <format dxfId="6360">
      <pivotArea dataOnly="0" labelOnly="1" outline="0" fieldPosition="0">
        <references count="3">
          <reference field="3" count="1" selected="0">
            <x v="3"/>
          </reference>
          <reference field="5" count="1" selected="0">
            <x v="140"/>
          </reference>
          <reference field="6" count="1">
            <x v="2"/>
          </reference>
        </references>
      </pivotArea>
    </format>
    <format dxfId="6359">
      <pivotArea dataOnly="0" labelOnly="1" outline="0" fieldPosition="0">
        <references count="3">
          <reference field="3" count="1" selected="0">
            <x v="3"/>
          </reference>
          <reference field="5" count="1" selected="0">
            <x v="141"/>
          </reference>
          <reference field="6" count="1">
            <x v="2"/>
          </reference>
        </references>
      </pivotArea>
    </format>
    <format dxfId="6358">
      <pivotArea dataOnly="0" labelOnly="1" outline="0" fieldPosition="0">
        <references count="3">
          <reference field="3" count="1" selected="0">
            <x v="3"/>
          </reference>
          <reference field="5" count="1" selected="0">
            <x v="142"/>
          </reference>
          <reference field="6" count="1">
            <x v="2"/>
          </reference>
        </references>
      </pivotArea>
    </format>
    <format dxfId="6357">
      <pivotArea dataOnly="0" labelOnly="1" outline="0" fieldPosition="0">
        <references count="3">
          <reference field="3" count="1" selected="0">
            <x v="3"/>
          </reference>
          <reference field="5" count="1" selected="0">
            <x v="144"/>
          </reference>
          <reference field="6" count="1">
            <x v="2"/>
          </reference>
        </references>
      </pivotArea>
    </format>
    <format dxfId="6356">
      <pivotArea dataOnly="0" labelOnly="1" outline="0" fieldPosition="0">
        <references count="3">
          <reference field="3" count="1" selected="0">
            <x v="3"/>
          </reference>
          <reference field="5" count="1" selected="0">
            <x v="145"/>
          </reference>
          <reference field="6" count="1">
            <x v="2"/>
          </reference>
        </references>
      </pivotArea>
    </format>
    <format dxfId="6355">
      <pivotArea dataOnly="0" labelOnly="1" outline="0" fieldPosition="0">
        <references count="3">
          <reference field="3" count="1" selected="0">
            <x v="3"/>
          </reference>
          <reference field="5" count="1" selected="0">
            <x v="146"/>
          </reference>
          <reference field="6" count="1">
            <x v="2"/>
          </reference>
        </references>
      </pivotArea>
    </format>
    <format dxfId="6354">
      <pivotArea dataOnly="0" labelOnly="1" outline="0" fieldPosition="0">
        <references count="3">
          <reference field="3" count="1" selected="0">
            <x v="3"/>
          </reference>
          <reference field="5" count="1" selected="0">
            <x v="147"/>
          </reference>
          <reference field="6" count="1">
            <x v="2"/>
          </reference>
        </references>
      </pivotArea>
    </format>
    <format dxfId="6353">
      <pivotArea dataOnly="0" labelOnly="1" outline="0" fieldPosition="0">
        <references count="3">
          <reference field="3" count="1" selected="0">
            <x v="3"/>
          </reference>
          <reference field="5" count="1" selected="0">
            <x v="158"/>
          </reference>
          <reference field="6" count="1">
            <x v="2"/>
          </reference>
        </references>
      </pivotArea>
    </format>
    <format dxfId="6352">
      <pivotArea dataOnly="0" labelOnly="1" outline="0" fieldPosition="0">
        <references count="3">
          <reference field="3" count="1" selected="0">
            <x v="3"/>
          </reference>
          <reference field="5" count="1" selected="0">
            <x v="163"/>
          </reference>
          <reference field="6" count="1">
            <x v="2"/>
          </reference>
        </references>
      </pivotArea>
    </format>
    <format dxfId="6351">
      <pivotArea dataOnly="0" labelOnly="1" outline="0" fieldPosition="0">
        <references count="3">
          <reference field="3" count="1" selected="0">
            <x v="3"/>
          </reference>
          <reference field="5" count="1" selected="0">
            <x v="164"/>
          </reference>
          <reference field="6" count="1">
            <x v="2"/>
          </reference>
        </references>
      </pivotArea>
    </format>
    <format dxfId="6350">
      <pivotArea dataOnly="0" labelOnly="1" outline="0" fieldPosition="0">
        <references count="3">
          <reference field="3" count="1" selected="0">
            <x v="3"/>
          </reference>
          <reference field="5" count="1" selected="0">
            <x v="165"/>
          </reference>
          <reference field="6" count="1">
            <x v="2"/>
          </reference>
        </references>
      </pivotArea>
    </format>
    <format dxfId="6349">
      <pivotArea dataOnly="0" labelOnly="1" outline="0" fieldPosition="0">
        <references count="3">
          <reference field="3" count="1" selected="0">
            <x v="3"/>
          </reference>
          <reference field="5" count="1" selected="0">
            <x v="176"/>
          </reference>
          <reference field="6" count="1">
            <x v="3"/>
          </reference>
        </references>
      </pivotArea>
    </format>
    <format dxfId="6348">
      <pivotArea dataOnly="0" labelOnly="1" outline="0" fieldPosition="0">
        <references count="3">
          <reference field="3" count="1" selected="0">
            <x v="3"/>
          </reference>
          <reference field="5" count="1" selected="0">
            <x v="193"/>
          </reference>
          <reference field="6" count="1">
            <x v="2"/>
          </reference>
        </references>
      </pivotArea>
    </format>
    <format dxfId="6347">
      <pivotArea dataOnly="0" labelOnly="1" outline="0" fieldPosition="0">
        <references count="3">
          <reference field="3" count="1" selected="0">
            <x v="3"/>
          </reference>
          <reference field="5" count="1" selected="0">
            <x v="204"/>
          </reference>
          <reference field="6" count="1">
            <x v="2"/>
          </reference>
        </references>
      </pivotArea>
    </format>
    <format dxfId="6346">
      <pivotArea dataOnly="0" labelOnly="1" outline="0" fieldPosition="0">
        <references count="3">
          <reference field="3" count="1" selected="0">
            <x v="3"/>
          </reference>
          <reference field="5" count="1" selected="0">
            <x v="205"/>
          </reference>
          <reference field="6" count="1">
            <x v="2"/>
          </reference>
        </references>
      </pivotArea>
    </format>
    <format dxfId="6345">
      <pivotArea dataOnly="0" labelOnly="1" outline="0" fieldPosition="0">
        <references count="3">
          <reference field="3" count="1" selected="0">
            <x v="3"/>
          </reference>
          <reference field="5" count="1" selected="0">
            <x v="207"/>
          </reference>
          <reference field="6" count="1">
            <x v="2"/>
          </reference>
        </references>
      </pivotArea>
    </format>
    <format dxfId="6344">
      <pivotArea dataOnly="0" labelOnly="1" outline="0" fieldPosition="0">
        <references count="3">
          <reference field="3" count="1" selected="0">
            <x v="3"/>
          </reference>
          <reference field="5" count="1" selected="0">
            <x v="208"/>
          </reference>
          <reference field="6" count="1">
            <x v="2"/>
          </reference>
        </references>
      </pivotArea>
    </format>
    <format dxfId="6343">
      <pivotArea dataOnly="0" labelOnly="1" outline="0" fieldPosition="0">
        <references count="3">
          <reference field="3" count="1" selected="0">
            <x v="3"/>
          </reference>
          <reference field="5" count="1" selected="0">
            <x v="209"/>
          </reference>
          <reference field="6" count="1">
            <x v="2"/>
          </reference>
        </references>
      </pivotArea>
    </format>
    <format dxfId="6342">
      <pivotArea dataOnly="0" labelOnly="1" outline="0" fieldPosition="0">
        <references count="3">
          <reference field="3" count="1" selected="0">
            <x v="3"/>
          </reference>
          <reference field="5" count="1" selected="0">
            <x v="210"/>
          </reference>
          <reference field="6" count="1">
            <x v="2"/>
          </reference>
        </references>
      </pivotArea>
    </format>
    <format dxfId="6341">
      <pivotArea dataOnly="0" labelOnly="1" outline="0" fieldPosition="0">
        <references count="3">
          <reference field="3" count="1" selected="0">
            <x v="3"/>
          </reference>
          <reference field="5" count="1" selected="0">
            <x v="212"/>
          </reference>
          <reference field="6" count="1">
            <x v="2"/>
          </reference>
        </references>
      </pivotArea>
    </format>
    <format dxfId="6340">
      <pivotArea dataOnly="0" labelOnly="1" outline="0" fieldPosition="0">
        <references count="3">
          <reference field="3" count="1" selected="0">
            <x v="3"/>
          </reference>
          <reference field="5" count="1" selected="0">
            <x v="219"/>
          </reference>
          <reference field="6" count="1">
            <x v="2"/>
          </reference>
        </references>
      </pivotArea>
    </format>
    <format dxfId="6339">
      <pivotArea dataOnly="0" labelOnly="1" outline="0" fieldPosition="0">
        <references count="3">
          <reference field="3" count="1" selected="0">
            <x v="3"/>
          </reference>
          <reference field="5" count="1" selected="0">
            <x v="242"/>
          </reference>
          <reference field="6" count="1">
            <x v="2"/>
          </reference>
        </references>
      </pivotArea>
    </format>
    <format dxfId="6338">
      <pivotArea dataOnly="0" labelOnly="1" outline="0" fieldPosition="0">
        <references count="3">
          <reference field="3" count="1" selected="0">
            <x v="3"/>
          </reference>
          <reference field="5" count="1" selected="0">
            <x v="306"/>
          </reference>
          <reference field="6" count="1">
            <x v="2"/>
          </reference>
        </references>
      </pivotArea>
    </format>
    <format dxfId="6337">
      <pivotArea dataOnly="0" labelOnly="1" outline="0" fieldPosition="0">
        <references count="3">
          <reference field="3" count="1" selected="0">
            <x v="3"/>
          </reference>
          <reference field="5" count="1" selected="0">
            <x v="317"/>
          </reference>
          <reference field="6" count="1">
            <x v="2"/>
          </reference>
        </references>
      </pivotArea>
    </format>
    <format dxfId="6336">
      <pivotArea dataOnly="0" labelOnly="1" outline="0" fieldPosition="0">
        <references count="3">
          <reference field="3" count="1" selected="0">
            <x v="3"/>
          </reference>
          <reference field="5" count="1" selected="0">
            <x v="321"/>
          </reference>
          <reference field="6" count="1">
            <x v="2"/>
          </reference>
        </references>
      </pivotArea>
    </format>
    <format dxfId="6335">
      <pivotArea dataOnly="0" labelOnly="1" outline="0" fieldPosition="0">
        <references count="3">
          <reference field="3" count="1" selected="0">
            <x v="3"/>
          </reference>
          <reference field="5" count="1" selected="0">
            <x v="322"/>
          </reference>
          <reference field="6" count="1">
            <x v="2"/>
          </reference>
        </references>
      </pivotArea>
    </format>
    <format dxfId="6334">
      <pivotArea dataOnly="0" labelOnly="1" outline="0" fieldPosition="0">
        <references count="3">
          <reference field="3" count="1" selected="0">
            <x v="3"/>
          </reference>
          <reference field="5" count="1" selected="0">
            <x v="324"/>
          </reference>
          <reference field="6" count="1">
            <x v="2"/>
          </reference>
        </references>
      </pivotArea>
    </format>
    <format dxfId="6333">
      <pivotArea dataOnly="0" labelOnly="1" outline="0" fieldPosition="0">
        <references count="3">
          <reference field="3" count="1" selected="0">
            <x v="3"/>
          </reference>
          <reference field="5" count="1" selected="0">
            <x v="325"/>
          </reference>
          <reference field="6" count="1">
            <x v="2"/>
          </reference>
        </references>
      </pivotArea>
    </format>
    <format dxfId="6332">
      <pivotArea dataOnly="0" labelOnly="1" outline="0" fieldPosition="0">
        <references count="3">
          <reference field="3" count="1" selected="0">
            <x v="3"/>
          </reference>
          <reference field="5" count="1" selected="0">
            <x v="326"/>
          </reference>
          <reference field="6" count="1">
            <x v="2"/>
          </reference>
        </references>
      </pivotArea>
    </format>
    <format dxfId="6331">
      <pivotArea dataOnly="0" labelOnly="1" outline="0" fieldPosition="0">
        <references count="3">
          <reference field="3" count="1" selected="0">
            <x v="3"/>
          </reference>
          <reference field="5" count="1" selected="0">
            <x v="327"/>
          </reference>
          <reference field="6" count="1">
            <x v="2"/>
          </reference>
        </references>
      </pivotArea>
    </format>
    <format dxfId="6330">
      <pivotArea dataOnly="0" labelOnly="1" outline="0" fieldPosition="0">
        <references count="3">
          <reference field="3" count="1" selected="0">
            <x v="3"/>
          </reference>
          <reference field="5" count="1" selected="0">
            <x v="328"/>
          </reference>
          <reference field="6" count="1">
            <x v="2"/>
          </reference>
        </references>
      </pivotArea>
    </format>
    <format dxfId="6329">
      <pivotArea dataOnly="0" labelOnly="1" outline="0" fieldPosition="0">
        <references count="3">
          <reference field="3" count="1" selected="0">
            <x v="3"/>
          </reference>
          <reference field="5" count="1" selected="0">
            <x v="329"/>
          </reference>
          <reference field="6" count="1">
            <x v="3"/>
          </reference>
        </references>
      </pivotArea>
    </format>
    <format dxfId="6328">
      <pivotArea dataOnly="0" labelOnly="1" outline="0" fieldPosition="0">
        <references count="3">
          <reference field="3" count="1" selected="0">
            <x v="4"/>
          </reference>
          <reference field="5" count="1" selected="0">
            <x v="180"/>
          </reference>
          <reference field="6" count="1">
            <x v="4"/>
          </reference>
        </references>
      </pivotArea>
    </format>
    <format dxfId="6327">
      <pivotArea dataOnly="0" labelOnly="1" outline="0" fieldPosition="0">
        <references count="3">
          <reference field="3" count="1" selected="0">
            <x v="5"/>
          </reference>
          <reference field="5" count="1" selected="0">
            <x v="6"/>
          </reference>
          <reference field="6" count="1">
            <x v="2"/>
          </reference>
        </references>
      </pivotArea>
    </format>
    <format dxfId="6326">
      <pivotArea dataOnly="0" labelOnly="1" outline="0" fieldPosition="0">
        <references count="3">
          <reference field="3" count="1" selected="0">
            <x v="5"/>
          </reference>
          <reference field="5" count="1" selected="0">
            <x v="13"/>
          </reference>
          <reference field="6" count="1">
            <x v="2"/>
          </reference>
        </references>
      </pivotArea>
    </format>
    <format dxfId="6325">
      <pivotArea dataOnly="0" labelOnly="1" outline="0" fieldPosition="0">
        <references count="3">
          <reference field="3" count="1" selected="0">
            <x v="5"/>
          </reference>
          <reference field="5" count="1" selected="0">
            <x v="14"/>
          </reference>
          <reference field="6" count="1">
            <x v="2"/>
          </reference>
        </references>
      </pivotArea>
    </format>
    <format dxfId="6324">
      <pivotArea dataOnly="0" labelOnly="1" outline="0" fieldPosition="0">
        <references count="3">
          <reference field="3" count="1" selected="0">
            <x v="5"/>
          </reference>
          <reference field="5" count="1" selected="0">
            <x v="24"/>
          </reference>
          <reference field="6" count="1">
            <x v="2"/>
          </reference>
        </references>
      </pivotArea>
    </format>
    <format dxfId="6323">
      <pivotArea dataOnly="0" labelOnly="1" outline="0" fieldPosition="0">
        <references count="3">
          <reference field="3" count="1" selected="0">
            <x v="5"/>
          </reference>
          <reference field="5" count="1" selected="0">
            <x v="28"/>
          </reference>
          <reference field="6" count="1">
            <x v="2"/>
          </reference>
        </references>
      </pivotArea>
    </format>
    <format dxfId="6322">
      <pivotArea dataOnly="0" labelOnly="1" outline="0" fieldPosition="0">
        <references count="3">
          <reference field="3" count="1" selected="0">
            <x v="5"/>
          </reference>
          <reference field="5" count="1" selected="0">
            <x v="29"/>
          </reference>
          <reference field="6" count="1">
            <x v="2"/>
          </reference>
        </references>
      </pivotArea>
    </format>
    <format dxfId="6321">
      <pivotArea dataOnly="0" labelOnly="1" outline="0" fieldPosition="0">
        <references count="3">
          <reference field="3" count="1" selected="0">
            <x v="5"/>
          </reference>
          <reference field="5" count="1" selected="0">
            <x v="33"/>
          </reference>
          <reference field="6" count="1">
            <x v="3"/>
          </reference>
        </references>
      </pivotArea>
    </format>
    <format dxfId="6320">
      <pivotArea dataOnly="0" labelOnly="1" outline="0" fieldPosition="0">
        <references count="3">
          <reference field="3" count="1" selected="0">
            <x v="5"/>
          </reference>
          <reference field="5" count="1" selected="0">
            <x v="39"/>
          </reference>
          <reference field="6" count="1">
            <x v="3"/>
          </reference>
        </references>
      </pivotArea>
    </format>
    <format dxfId="6319">
      <pivotArea dataOnly="0" labelOnly="1" outline="0" fieldPosition="0">
        <references count="3">
          <reference field="3" count="1" selected="0">
            <x v="5"/>
          </reference>
          <reference field="5" count="1" selected="0">
            <x v="42"/>
          </reference>
          <reference field="6" count="1">
            <x v="3"/>
          </reference>
        </references>
      </pivotArea>
    </format>
    <format dxfId="6318">
      <pivotArea dataOnly="0" labelOnly="1" outline="0" fieldPosition="0">
        <references count="3">
          <reference field="3" count="1" selected="0">
            <x v="5"/>
          </reference>
          <reference field="5" count="1" selected="0">
            <x v="46"/>
          </reference>
          <reference field="6" count="1">
            <x v="3"/>
          </reference>
        </references>
      </pivotArea>
    </format>
    <format dxfId="6317">
      <pivotArea dataOnly="0" labelOnly="1" outline="0" fieldPosition="0">
        <references count="3">
          <reference field="3" count="1" selected="0">
            <x v="5"/>
          </reference>
          <reference field="5" count="1" selected="0">
            <x v="48"/>
          </reference>
          <reference field="6" count="1">
            <x v="3"/>
          </reference>
        </references>
      </pivotArea>
    </format>
    <format dxfId="6316">
      <pivotArea dataOnly="0" labelOnly="1" outline="0" fieldPosition="0">
        <references count="3">
          <reference field="3" count="1" selected="0">
            <x v="5"/>
          </reference>
          <reference field="5" count="1" selected="0">
            <x v="50"/>
          </reference>
          <reference field="6" count="1">
            <x v="2"/>
          </reference>
        </references>
      </pivotArea>
    </format>
    <format dxfId="6315">
      <pivotArea dataOnly="0" labelOnly="1" outline="0" fieldPosition="0">
        <references count="3">
          <reference field="3" count="1" selected="0">
            <x v="5"/>
          </reference>
          <reference field="5" count="1" selected="0">
            <x v="55"/>
          </reference>
          <reference field="6" count="1">
            <x v="2"/>
          </reference>
        </references>
      </pivotArea>
    </format>
    <format dxfId="6314">
      <pivotArea dataOnly="0" labelOnly="1" outline="0" fieldPosition="0">
        <references count="3">
          <reference field="3" count="1" selected="0">
            <x v="5"/>
          </reference>
          <reference field="5" count="1" selected="0">
            <x v="61"/>
          </reference>
          <reference field="6" count="1">
            <x v="2"/>
          </reference>
        </references>
      </pivotArea>
    </format>
    <format dxfId="6313">
      <pivotArea dataOnly="0" labelOnly="1" outline="0" fieldPosition="0">
        <references count="3">
          <reference field="3" count="1" selected="0">
            <x v="5"/>
          </reference>
          <reference field="5" count="1" selected="0">
            <x v="65"/>
          </reference>
          <reference field="6" count="1">
            <x v="2"/>
          </reference>
        </references>
      </pivotArea>
    </format>
    <format dxfId="6312">
      <pivotArea dataOnly="0" labelOnly="1" outline="0" fieldPosition="0">
        <references count="3">
          <reference field="3" count="1" selected="0">
            <x v="5"/>
          </reference>
          <reference field="5" count="1" selected="0">
            <x v="70"/>
          </reference>
          <reference field="6" count="1">
            <x v="2"/>
          </reference>
        </references>
      </pivotArea>
    </format>
    <format dxfId="6311">
      <pivotArea dataOnly="0" labelOnly="1" outline="0" fieldPosition="0">
        <references count="3">
          <reference field="3" count="1" selected="0">
            <x v="5"/>
          </reference>
          <reference field="5" count="1" selected="0">
            <x v="71"/>
          </reference>
          <reference field="6" count="1">
            <x v="2"/>
          </reference>
        </references>
      </pivotArea>
    </format>
    <format dxfId="6310">
      <pivotArea dataOnly="0" labelOnly="1" outline="0" fieldPosition="0">
        <references count="3">
          <reference field="3" count="1" selected="0">
            <x v="5"/>
          </reference>
          <reference field="5" count="1" selected="0">
            <x v="76"/>
          </reference>
          <reference field="6" count="1">
            <x v="2"/>
          </reference>
        </references>
      </pivotArea>
    </format>
    <format dxfId="6309">
      <pivotArea dataOnly="0" labelOnly="1" outline="0" fieldPosition="0">
        <references count="3">
          <reference field="3" count="1" selected="0">
            <x v="5"/>
          </reference>
          <reference field="5" count="1" selected="0">
            <x v="80"/>
          </reference>
          <reference field="6" count="1">
            <x v="2"/>
          </reference>
        </references>
      </pivotArea>
    </format>
    <format dxfId="6308">
      <pivotArea dataOnly="0" labelOnly="1" outline="0" fieldPosition="0">
        <references count="3">
          <reference field="3" count="1" selected="0">
            <x v="5"/>
          </reference>
          <reference field="5" count="1" selected="0">
            <x v="83"/>
          </reference>
          <reference field="6" count="1">
            <x v="2"/>
          </reference>
        </references>
      </pivotArea>
    </format>
    <format dxfId="6307">
      <pivotArea dataOnly="0" labelOnly="1" outline="0" fieldPosition="0">
        <references count="3">
          <reference field="3" count="1" selected="0">
            <x v="5"/>
          </reference>
          <reference field="5" count="1" selected="0">
            <x v="86"/>
          </reference>
          <reference field="6" count="1">
            <x v="2"/>
          </reference>
        </references>
      </pivotArea>
    </format>
    <format dxfId="6306">
      <pivotArea dataOnly="0" labelOnly="1" outline="0" fieldPosition="0">
        <references count="3">
          <reference field="3" count="1" selected="0">
            <x v="5"/>
          </reference>
          <reference field="5" count="1" selected="0">
            <x v="93"/>
          </reference>
          <reference field="6" count="1">
            <x v="2"/>
          </reference>
        </references>
      </pivotArea>
    </format>
    <format dxfId="6305">
      <pivotArea dataOnly="0" labelOnly="1" outline="0" fieldPosition="0">
        <references count="3">
          <reference field="3" count="1" selected="0">
            <x v="5"/>
          </reference>
          <reference field="5" count="1" selected="0">
            <x v="95"/>
          </reference>
          <reference field="6" count="1">
            <x v="2"/>
          </reference>
        </references>
      </pivotArea>
    </format>
    <format dxfId="6304">
      <pivotArea dataOnly="0" labelOnly="1" outline="0" fieldPosition="0">
        <references count="3">
          <reference field="3" count="1" selected="0">
            <x v="5"/>
          </reference>
          <reference field="5" count="1" selected="0">
            <x v="116"/>
          </reference>
          <reference field="6" count="1">
            <x v="2"/>
          </reference>
        </references>
      </pivotArea>
    </format>
    <format dxfId="6303">
      <pivotArea dataOnly="0" labelOnly="1" outline="0" fieldPosition="0">
        <references count="3">
          <reference field="3" count="1" selected="0">
            <x v="5"/>
          </reference>
          <reference field="5" count="1" selected="0">
            <x v="120"/>
          </reference>
          <reference field="6" count="1">
            <x v="6"/>
          </reference>
        </references>
      </pivotArea>
    </format>
    <format dxfId="6302">
      <pivotArea dataOnly="0" labelOnly="1" outline="0" fieldPosition="0">
        <references count="3">
          <reference field="3" count="1" selected="0">
            <x v="5"/>
          </reference>
          <reference field="5" count="1" selected="0">
            <x v="124"/>
          </reference>
          <reference field="6" count="1">
            <x v="6"/>
          </reference>
        </references>
      </pivotArea>
    </format>
    <format dxfId="6301">
      <pivotArea dataOnly="0" labelOnly="1" outline="0" fieldPosition="0">
        <references count="3">
          <reference field="3" count="1" selected="0">
            <x v="5"/>
          </reference>
          <reference field="5" count="1" selected="0">
            <x v="128"/>
          </reference>
          <reference field="6" count="1">
            <x v="6"/>
          </reference>
        </references>
      </pivotArea>
    </format>
    <format dxfId="6300">
      <pivotArea dataOnly="0" labelOnly="1" outline="0" fieldPosition="0">
        <references count="3">
          <reference field="3" count="1" selected="0">
            <x v="5"/>
          </reference>
          <reference field="5" count="1" selected="0">
            <x v="132"/>
          </reference>
          <reference field="6" count="1">
            <x v="6"/>
          </reference>
        </references>
      </pivotArea>
    </format>
    <format dxfId="6299">
      <pivotArea dataOnly="0" labelOnly="1" outline="0" fieldPosition="0">
        <references count="3">
          <reference field="3" count="1" selected="0">
            <x v="5"/>
          </reference>
          <reference field="5" count="1" selected="0">
            <x v="134"/>
          </reference>
          <reference field="6" count="1">
            <x v="2"/>
          </reference>
        </references>
      </pivotArea>
    </format>
    <format dxfId="6298">
      <pivotArea dataOnly="0" labelOnly="1" outline="0" fieldPosition="0">
        <references count="3">
          <reference field="3" count="1" selected="0">
            <x v="5"/>
          </reference>
          <reference field="5" count="1" selected="0">
            <x v="135"/>
          </reference>
          <reference field="6" count="1">
            <x v="3"/>
          </reference>
        </references>
      </pivotArea>
    </format>
    <format dxfId="6297">
      <pivotArea dataOnly="0" labelOnly="1" outline="0" fieldPosition="0">
        <references count="3">
          <reference field="3" count="1" selected="0">
            <x v="5"/>
          </reference>
          <reference field="5" count="1" selected="0">
            <x v="149"/>
          </reference>
          <reference field="6" count="1">
            <x v="3"/>
          </reference>
        </references>
      </pivotArea>
    </format>
    <format dxfId="6296">
      <pivotArea dataOnly="0" labelOnly="1" outline="0" fieldPosition="0">
        <references count="3">
          <reference field="3" count="1" selected="0">
            <x v="5"/>
          </reference>
          <reference field="5" count="1" selected="0">
            <x v="151"/>
          </reference>
          <reference field="6" count="1">
            <x v="3"/>
          </reference>
        </references>
      </pivotArea>
    </format>
    <format dxfId="6295">
      <pivotArea dataOnly="0" labelOnly="1" outline="0" fieldPosition="0">
        <references count="3">
          <reference field="3" count="1" selected="0">
            <x v="5"/>
          </reference>
          <reference field="5" count="1" selected="0">
            <x v="153"/>
          </reference>
          <reference field="6" count="1">
            <x v="3"/>
          </reference>
        </references>
      </pivotArea>
    </format>
    <format dxfId="6294">
      <pivotArea dataOnly="0" labelOnly="1" outline="0" fieldPosition="0">
        <references count="3">
          <reference field="3" count="1" selected="0">
            <x v="5"/>
          </reference>
          <reference field="5" count="1" selected="0">
            <x v="154"/>
          </reference>
          <reference field="6" count="1">
            <x v="3"/>
          </reference>
        </references>
      </pivotArea>
    </format>
    <format dxfId="6293">
      <pivotArea dataOnly="0" labelOnly="1" outline="0" fieldPosition="0">
        <references count="3">
          <reference field="3" count="1" selected="0">
            <x v="5"/>
          </reference>
          <reference field="5" count="1" selected="0">
            <x v="155"/>
          </reference>
          <reference field="6" count="1">
            <x v="3"/>
          </reference>
        </references>
      </pivotArea>
    </format>
    <format dxfId="6292">
      <pivotArea dataOnly="0" labelOnly="1" outline="0" fieldPosition="0">
        <references count="3">
          <reference field="3" count="1" selected="0">
            <x v="5"/>
          </reference>
          <reference field="5" count="1" selected="0">
            <x v="156"/>
          </reference>
          <reference field="6" count="1">
            <x v="3"/>
          </reference>
        </references>
      </pivotArea>
    </format>
    <format dxfId="6291">
      <pivotArea dataOnly="0" labelOnly="1" outline="0" fieldPosition="0">
        <references count="3">
          <reference field="3" count="1" selected="0">
            <x v="5"/>
          </reference>
          <reference field="5" count="1" selected="0">
            <x v="159"/>
          </reference>
          <reference field="6" count="1">
            <x v="3"/>
          </reference>
        </references>
      </pivotArea>
    </format>
    <format dxfId="6290">
      <pivotArea dataOnly="0" labelOnly="1" outline="0" fieldPosition="0">
        <references count="3">
          <reference field="3" count="1" selected="0">
            <x v="5"/>
          </reference>
          <reference field="5" count="1" selected="0">
            <x v="166"/>
          </reference>
          <reference field="6" count="1">
            <x v="3"/>
          </reference>
        </references>
      </pivotArea>
    </format>
    <format dxfId="6289">
      <pivotArea dataOnly="0" labelOnly="1" outline="0" fieldPosition="0">
        <references count="3">
          <reference field="3" count="1" selected="0">
            <x v="5"/>
          </reference>
          <reference field="5" count="1" selected="0">
            <x v="167"/>
          </reference>
          <reference field="6" count="1">
            <x v="3"/>
          </reference>
        </references>
      </pivotArea>
    </format>
    <format dxfId="6288">
      <pivotArea dataOnly="0" labelOnly="1" outline="0" fieldPosition="0">
        <references count="3">
          <reference field="3" count="1" selected="0">
            <x v="5"/>
          </reference>
          <reference field="5" count="1" selected="0">
            <x v="168"/>
          </reference>
          <reference field="6" count="1">
            <x v="3"/>
          </reference>
        </references>
      </pivotArea>
    </format>
    <format dxfId="6287">
      <pivotArea dataOnly="0" labelOnly="1" outline="0" fieldPosition="0">
        <references count="3">
          <reference field="3" count="1" selected="0">
            <x v="5"/>
          </reference>
          <reference field="5" count="1" selected="0">
            <x v="169"/>
          </reference>
          <reference field="6" count="1">
            <x v="3"/>
          </reference>
        </references>
      </pivotArea>
    </format>
    <format dxfId="6286">
      <pivotArea dataOnly="0" labelOnly="1" outline="0" fieldPosition="0">
        <references count="3">
          <reference field="3" count="1" selected="0">
            <x v="5"/>
          </reference>
          <reference field="5" count="1" selected="0">
            <x v="170"/>
          </reference>
          <reference field="6" count="1">
            <x v="3"/>
          </reference>
        </references>
      </pivotArea>
    </format>
    <format dxfId="6285">
      <pivotArea dataOnly="0" labelOnly="1" outline="0" fieldPosition="0">
        <references count="3">
          <reference field="3" count="1" selected="0">
            <x v="5"/>
          </reference>
          <reference field="5" count="1" selected="0">
            <x v="171"/>
          </reference>
          <reference field="6" count="1">
            <x v="3"/>
          </reference>
        </references>
      </pivotArea>
    </format>
    <format dxfId="6284">
      <pivotArea dataOnly="0" labelOnly="1" outline="0" fieldPosition="0">
        <references count="3">
          <reference field="3" count="1" selected="0">
            <x v="5"/>
          </reference>
          <reference field="5" count="1" selected="0">
            <x v="172"/>
          </reference>
          <reference field="6" count="1">
            <x v="3"/>
          </reference>
        </references>
      </pivotArea>
    </format>
    <format dxfId="6283">
      <pivotArea dataOnly="0" labelOnly="1" outline="0" fieldPosition="0">
        <references count="3">
          <reference field="3" count="1" selected="0">
            <x v="5"/>
          </reference>
          <reference field="5" count="1" selected="0">
            <x v="173"/>
          </reference>
          <reference field="6" count="1">
            <x v="3"/>
          </reference>
        </references>
      </pivotArea>
    </format>
    <format dxfId="6282">
      <pivotArea dataOnly="0" labelOnly="1" outline="0" fieldPosition="0">
        <references count="3">
          <reference field="3" count="1" selected="0">
            <x v="5"/>
          </reference>
          <reference field="5" count="1" selected="0">
            <x v="174"/>
          </reference>
          <reference field="6" count="1">
            <x v="3"/>
          </reference>
        </references>
      </pivotArea>
    </format>
    <format dxfId="6281">
      <pivotArea dataOnly="0" labelOnly="1" outline="0" fieldPosition="0">
        <references count="3">
          <reference field="3" count="1" selected="0">
            <x v="5"/>
          </reference>
          <reference field="5" count="1" selected="0">
            <x v="175"/>
          </reference>
          <reference field="6" count="1">
            <x v="3"/>
          </reference>
        </references>
      </pivotArea>
    </format>
    <format dxfId="6280">
      <pivotArea dataOnly="0" labelOnly="1" outline="0" fieldPosition="0">
        <references count="3">
          <reference field="3" count="1" selected="0">
            <x v="5"/>
          </reference>
          <reference field="5" count="1" selected="0">
            <x v="176"/>
          </reference>
          <reference field="6" count="1">
            <x v="3"/>
          </reference>
        </references>
      </pivotArea>
    </format>
    <format dxfId="6279">
      <pivotArea dataOnly="0" labelOnly="1" outline="0" fieldPosition="0">
        <references count="3">
          <reference field="3" count="1" selected="0">
            <x v="5"/>
          </reference>
          <reference field="5" count="1" selected="0">
            <x v="177"/>
          </reference>
          <reference field="6" count="1">
            <x v="3"/>
          </reference>
        </references>
      </pivotArea>
    </format>
    <format dxfId="6278">
      <pivotArea dataOnly="0" labelOnly="1" outline="0" fieldPosition="0">
        <references count="3">
          <reference field="3" count="1" selected="0">
            <x v="5"/>
          </reference>
          <reference field="5" count="1" selected="0">
            <x v="178"/>
          </reference>
          <reference field="6" count="1">
            <x v="3"/>
          </reference>
        </references>
      </pivotArea>
    </format>
    <format dxfId="6277">
      <pivotArea dataOnly="0" labelOnly="1" outline="0" fieldPosition="0">
        <references count="3">
          <reference field="3" count="1" selected="0">
            <x v="5"/>
          </reference>
          <reference field="5" count="1" selected="0">
            <x v="187"/>
          </reference>
          <reference field="6" count="1">
            <x v="3"/>
          </reference>
        </references>
      </pivotArea>
    </format>
    <format dxfId="6276">
      <pivotArea dataOnly="0" labelOnly="1" outline="0" fieldPosition="0">
        <references count="3">
          <reference field="3" count="1" selected="0">
            <x v="5"/>
          </reference>
          <reference field="5" count="1" selected="0">
            <x v="197"/>
          </reference>
          <reference field="6" count="1">
            <x v="3"/>
          </reference>
        </references>
      </pivotArea>
    </format>
    <format dxfId="6275">
      <pivotArea dataOnly="0" labelOnly="1" outline="0" fieldPosition="0">
        <references count="3">
          <reference field="3" count="1" selected="0">
            <x v="5"/>
          </reference>
          <reference field="5" count="1" selected="0">
            <x v="199"/>
          </reference>
          <reference field="6" count="1">
            <x v="3"/>
          </reference>
        </references>
      </pivotArea>
    </format>
    <format dxfId="6274">
      <pivotArea dataOnly="0" labelOnly="1" outline="0" fieldPosition="0">
        <references count="3">
          <reference field="3" count="1" selected="0">
            <x v="5"/>
          </reference>
          <reference field="5" count="1" selected="0">
            <x v="200"/>
          </reference>
          <reference field="6" count="1">
            <x v="3"/>
          </reference>
        </references>
      </pivotArea>
    </format>
    <format dxfId="6273">
      <pivotArea dataOnly="0" labelOnly="1" outline="0" fieldPosition="0">
        <references count="3">
          <reference field="3" count="1" selected="0">
            <x v="5"/>
          </reference>
          <reference field="5" count="1" selected="0">
            <x v="220"/>
          </reference>
          <reference field="6" count="1">
            <x v="3"/>
          </reference>
        </references>
      </pivotArea>
    </format>
    <format dxfId="6272">
      <pivotArea dataOnly="0" labelOnly="1" outline="0" fieldPosition="0">
        <references count="3">
          <reference field="3" count="1" selected="0">
            <x v="5"/>
          </reference>
          <reference field="5" count="1" selected="0">
            <x v="222"/>
          </reference>
          <reference field="6" count="1">
            <x v="3"/>
          </reference>
        </references>
      </pivotArea>
    </format>
    <format dxfId="6271">
      <pivotArea dataOnly="0" labelOnly="1" outline="0" fieldPosition="0">
        <references count="3">
          <reference field="3" count="1" selected="0">
            <x v="5"/>
          </reference>
          <reference field="5" count="1" selected="0">
            <x v="223"/>
          </reference>
          <reference field="6" count="1">
            <x v="3"/>
          </reference>
        </references>
      </pivotArea>
    </format>
    <format dxfId="6270">
      <pivotArea dataOnly="0" labelOnly="1" outline="0" fieldPosition="0">
        <references count="3">
          <reference field="3" count="1" selected="0">
            <x v="5"/>
          </reference>
          <reference field="5" count="1" selected="0">
            <x v="225"/>
          </reference>
          <reference field="6" count="1">
            <x v="3"/>
          </reference>
        </references>
      </pivotArea>
    </format>
    <format dxfId="6269">
      <pivotArea dataOnly="0" labelOnly="1" outline="0" fieldPosition="0">
        <references count="3">
          <reference field="3" count="1" selected="0">
            <x v="5"/>
          </reference>
          <reference field="5" count="1" selected="0">
            <x v="228"/>
          </reference>
          <reference field="6" count="1">
            <x v="3"/>
          </reference>
        </references>
      </pivotArea>
    </format>
    <format dxfId="6268">
      <pivotArea dataOnly="0" labelOnly="1" outline="0" fieldPosition="0">
        <references count="3">
          <reference field="3" count="1" selected="0">
            <x v="5"/>
          </reference>
          <reference field="5" count="1" selected="0">
            <x v="233"/>
          </reference>
          <reference field="6" count="1">
            <x v="3"/>
          </reference>
        </references>
      </pivotArea>
    </format>
    <format dxfId="6267">
      <pivotArea dataOnly="0" labelOnly="1" outline="0" fieldPosition="0">
        <references count="3">
          <reference field="3" count="1" selected="0">
            <x v="5"/>
          </reference>
          <reference field="5" count="1" selected="0">
            <x v="234"/>
          </reference>
          <reference field="6" count="1">
            <x v="3"/>
          </reference>
        </references>
      </pivotArea>
    </format>
    <format dxfId="6266">
      <pivotArea dataOnly="0" labelOnly="1" outline="0" fieldPosition="0">
        <references count="3">
          <reference field="3" count="1" selected="0">
            <x v="5"/>
          </reference>
          <reference field="5" count="1" selected="0">
            <x v="236"/>
          </reference>
          <reference field="6" count="1">
            <x v="3"/>
          </reference>
        </references>
      </pivotArea>
    </format>
    <format dxfId="6265">
      <pivotArea dataOnly="0" labelOnly="1" outline="0" fieldPosition="0">
        <references count="3">
          <reference field="3" count="1" selected="0">
            <x v="5"/>
          </reference>
          <reference field="5" count="1" selected="0">
            <x v="239"/>
          </reference>
          <reference field="6" count="1">
            <x v="3"/>
          </reference>
        </references>
      </pivotArea>
    </format>
    <format dxfId="6264">
      <pivotArea dataOnly="0" labelOnly="1" outline="0" fieldPosition="0">
        <references count="3">
          <reference field="3" count="1" selected="0">
            <x v="5"/>
          </reference>
          <reference field="5" count="1" selected="0">
            <x v="243"/>
          </reference>
          <reference field="6" count="1">
            <x v="3"/>
          </reference>
        </references>
      </pivotArea>
    </format>
    <format dxfId="6263">
      <pivotArea dataOnly="0" labelOnly="1" outline="0" fieldPosition="0">
        <references count="3">
          <reference field="3" count="1" selected="0">
            <x v="5"/>
          </reference>
          <reference field="5" count="1" selected="0">
            <x v="245"/>
          </reference>
          <reference field="6" count="1">
            <x v="3"/>
          </reference>
        </references>
      </pivotArea>
    </format>
    <format dxfId="6262">
      <pivotArea dataOnly="0" labelOnly="1" outline="0" fieldPosition="0">
        <references count="3">
          <reference field="3" count="1" selected="0">
            <x v="5"/>
          </reference>
          <reference field="5" count="1" selected="0">
            <x v="247"/>
          </reference>
          <reference field="6" count="1">
            <x v="3"/>
          </reference>
        </references>
      </pivotArea>
    </format>
    <format dxfId="6261">
      <pivotArea dataOnly="0" labelOnly="1" outline="0" fieldPosition="0">
        <references count="3">
          <reference field="3" count="1" selected="0">
            <x v="5"/>
          </reference>
          <reference field="5" count="1" selected="0">
            <x v="248"/>
          </reference>
          <reference field="6" count="1">
            <x v="3"/>
          </reference>
        </references>
      </pivotArea>
    </format>
    <format dxfId="6260">
      <pivotArea dataOnly="0" labelOnly="1" outline="0" fieldPosition="0">
        <references count="3">
          <reference field="3" count="1" selected="0">
            <x v="5"/>
          </reference>
          <reference field="5" count="1" selected="0">
            <x v="249"/>
          </reference>
          <reference field="6" count="1">
            <x v="3"/>
          </reference>
        </references>
      </pivotArea>
    </format>
    <format dxfId="6259">
      <pivotArea dataOnly="0" labelOnly="1" outline="0" fieldPosition="0">
        <references count="3">
          <reference field="3" count="1" selected="0">
            <x v="5"/>
          </reference>
          <reference field="5" count="1" selected="0">
            <x v="255"/>
          </reference>
          <reference field="6" count="1">
            <x v="3"/>
          </reference>
        </references>
      </pivotArea>
    </format>
    <format dxfId="6258">
      <pivotArea dataOnly="0" labelOnly="1" outline="0" fieldPosition="0">
        <references count="3">
          <reference field="3" count="1" selected="0">
            <x v="5"/>
          </reference>
          <reference field="5" count="1" selected="0">
            <x v="256"/>
          </reference>
          <reference field="6" count="1">
            <x v="3"/>
          </reference>
        </references>
      </pivotArea>
    </format>
    <format dxfId="6257">
      <pivotArea dataOnly="0" labelOnly="1" outline="0" fieldPosition="0">
        <references count="3">
          <reference field="3" count="1" selected="0">
            <x v="5"/>
          </reference>
          <reference field="5" count="1" selected="0">
            <x v="257"/>
          </reference>
          <reference field="6" count="1">
            <x v="3"/>
          </reference>
        </references>
      </pivotArea>
    </format>
    <format dxfId="6256">
      <pivotArea dataOnly="0" labelOnly="1" outline="0" fieldPosition="0">
        <references count="3">
          <reference field="3" count="1" selected="0">
            <x v="5"/>
          </reference>
          <reference field="5" count="1" selected="0">
            <x v="258"/>
          </reference>
          <reference field="6" count="1">
            <x v="3"/>
          </reference>
        </references>
      </pivotArea>
    </format>
    <format dxfId="6255">
      <pivotArea dataOnly="0" labelOnly="1" outline="0" fieldPosition="0">
        <references count="3">
          <reference field="3" count="1" selected="0">
            <x v="5"/>
          </reference>
          <reference field="5" count="1" selected="0">
            <x v="259"/>
          </reference>
          <reference field="6" count="1">
            <x v="3"/>
          </reference>
        </references>
      </pivotArea>
    </format>
    <format dxfId="6254">
      <pivotArea dataOnly="0" labelOnly="1" outline="0" fieldPosition="0">
        <references count="3">
          <reference field="3" count="1" selected="0">
            <x v="5"/>
          </reference>
          <reference field="5" count="1" selected="0">
            <x v="260"/>
          </reference>
          <reference field="6" count="1">
            <x v="3"/>
          </reference>
        </references>
      </pivotArea>
    </format>
    <format dxfId="6253">
      <pivotArea dataOnly="0" labelOnly="1" outline="0" fieldPosition="0">
        <references count="3">
          <reference field="3" count="1" selected="0">
            <x v="5"/>
          </reference>
          <reference field="5" count="1" selected="0">
            <x v="263"/>
          </reference>
          <reference field="6" count="1">
            <x v="3"/>
          </reference>
        </references>
      </pivotArea>
    </format>
    <format dxfId="6252">
      <pivotArea dataOnly="0" labelOnly="1" outline="0" fieldPosition="0">
        <references count="3">
          <reference field="3" count="1" selected="0">
            <x v="5"/>
          </reference>
          <reference field="5" count="1" selected="0">
            <x v="264"/>
          </reference>
          <reference field="6" count="1">
            <x v="3"/>
          </reference>
        </references>
      </pivotArea>
    </format>
    <format dxfId="6251">
      <pivotArea dataOnly="0" labelOnly="1" outline="0" fieldPosition="0">
        <references count="3">
          <reference field="3" count="1" selected="0">
            <x v="5"/>
          </reference>
          <reference field="5" count="1" selected="0">
            <x v="265"/>
          </reference>
          <reference field="6" count="1">
            <x v="3"/>
          </reference>
        </references>
      </pivotArea>
    </format>
    <format dxfId="6250">
      <pivotArea dataOnly="0" labelOnly="1" outline="0" fieldPosition="0">
        <references count="3">
          <reference field="3" count="1" selected="0">
            <x v="5"/>
          </reference>
          <reference field="5" count="1" selected="0">
            <x v="266"/>
          </reference>
          <reference field="6" count="1">
            <x v="3"/>
          </reference>
        </references>
      </pivotArea>
    </format>
    <format dxfId="6249">
      <pivotArea dataOnly="0" labelOnly="1" outline="0" fieldPosition="0">
        <references count="3">
          <reference field="3" count="1" selected="0">
            <x v="5"/>
          </reference>
          <reference field="5" count="1" selected="0">
            <x v="267"/>
          </reference>
          <reference field="6" count="1">
            <x v="3"/>
          </reference>
        </references>
      </pivotArea>
    </format>
    <format dxfId="6248">
      <pivotArea dataOnly="0" labelOnly="1" outline="0" fieldPosition="0">
        <references count="3">
          <reference field="3" count="1" selected="0">
            <x v="5"/>
          </reference>
          <reference field="5" count="1" selected="0">
            <x v="268"/>
          </reference>
          <reference field="6" count="1">
            <x v="3"/>
          </reference>
        </references>
      </pivotArea>
    </format>
    <format dxfId="6247">
      <pivotArea dataOnly="0" labelOnly="1" outline="0" fieldPosition="0">
        <references count="3">
          <reference field="3" count="1" selected="0">
            <x v="5"/>
          </reference>
          <reference field="5" count="1" selected="0">
            <x v="270"/>
          </reference>
          <reference field="6" count="1">
            <x v="3"/>
          </reference>
        </references>
      </pivotArea>
    </format>
    <format dxfId="6246">
      <pivotArea dataOnly="0" labelOnly="1" outline="0" fieldPosition="0">
        <references count="3">
          <reference field="3" count="1" selected="0">
            <x v="5"/>
          </reference>
          <reference field="5" count="1" selected="0">
            <x v="272"/>
          </reference>
          <reference field="6" count="1">
            <x v="3"/>
          </reference>
        </references>
      </pivotArea>
    </format>
    <format dxfId="6245">
      <pivotArea dataOnly="0" labelOnly="1" outline="0" fieldPosition="0">
        <references count="3">
          <reference field="3" count="1" selected="0">
            <x v="5"/>
          </reference>
          <reference field="5" count="1" selected="0">
            <x v="274"/>
          </reference>
          <reference field="6" count="1">
            <x v="3"/>
          </reference>
        </references>
      </pivotArea>
    </format>
    <format dxfId="6244">
      <pivotArea dataOnly="0" labelOnly="1" outline="0" fieldPosition="0">
        <references count="3">
          <reference field="3" count="1" selected="0">
            <x v="5"/>
          </reference>
          <reference field="5" count="1" selected="0">
            <x v="276"/>
          </reference>
          <reference field="6" count="1">
            <x v="3"/>
          </reference>
        </references>
      </pivotArea>
    </format>
    <format dxfId="6243">
      <pivotArea dataOnly="0" labelOnly="1" outline="0" fieldPosition="0">
        <references count="3">
          <reference field="3" count="1" selected="0">
            <x v="5"/>
          </reference>
          <reference field="5" count="1" selected="0">
            <x v="277"/>
          </reference>
          <reference field="6" count="1">
            <x v="3"/>
          </reference>
        </references>
      </pivotArea>
    </format>
    <format dxfId="6242">
      <pivotArea dataOnly="0" labelOnly="1" outline="0" fieldPosition="0">
        <references count="3">
          <reference field="3" count="1" selected="0">
            <x v="5"/>
          </reference>
          <reference field="5" count="1" selected="0">
            <x v="302"/>
          </reference>
          <reference field="6" count="1">
            <x v="3"/>
          </reference>
        </references>
      </pivotArea>
    </format>
    <format dxfId="6241">
      <pivotArea dataOnly="0" labelOnly="1" outline="0" fieldPosition="0">
        <references count="3">
          <reference field="3" count="1" selected="0">
            <x v="6"/>
          </reference>
          <reference field="5" count="1" selected="0">
            <x v="1"/>
          </reference>
          <reference field="6" count="1">
            <x v="3"/>
          </reference>
        </references>
      </pivotArea>
    </format>
    <format dxfId="6240">
      <pivotArea dataOnly="0" labelOnly="1" outline="0" fieldPosition="0">
        <references count="3">
          <reference field="3" count="1" selected="0">
            <x v="6"/>
          </reference>
          <reference field="5" count="1" selected="0">
            <x v="8"/>
          </reference>
          <reference field="6" count="1">
            <x v="3"/>
          </reference>
        </references>
      </pivotArea>
    </format>
    <format dxfId="6239">
      <pivotArea dataOnly="0" labelOnly="1" outline="0" fieldPosition="0">
        <references count="3">
          <reference field="3" count="1" selected="0">
            <x v="6"/>
          </reference>
          <reference field="5" count="1" selected="0">
            <x v="15"/>
          </reference>
          <reference field="6" count="1">
            <x v="3"/>
          </reference>
        </references>
      </pivotArea>
    </format>
    <format dxfId="6238">
      <pivotArea dataOnly="0" labelOnly="1" outline="0" fieldPosition="0">
        <references count="3">
          <reference field="3" count="1" selected="0">
            <x v="6"/>
          </reference>
          <reference field="5" count="1" selected="0">
            <x v="18"/>
          </reference>
          <reference field="6" count="1">
            <x v="3"/>
          </reference>
        </references>
      </pivotArea>
    </format>
    <format dxfId="6237">
      <pivotArea dataOnly="0" labelOnly="1" outline="0" fieldPosition="0">
        <references count="3">
          <reference field="3" count="1" selected="0">
            <x v="6"/>
          </reference>
          <reference field="5" count="1" selected="0">
            <x v="19"/>
          </reference>
          <reference field="6" count="1">
            <x v="3"/>
          </reference>
        </references>
      </pivotArea>
    </format>
    <format dxfId="6236">
      <pivotArea dataOnly="0" labelOnly="1" outline="0" fieldPosition="0">
        <references count="3">
          <reference field="3" count="1" selected="0">
            <x v="6"/>
          </reference>
          <reference field="5" count="1" selected="0">
            <x v="20"/>
          </reference>
          <reference field="6" count="1">
            <x v="3"/>
          </reference>
        </references>
      </pivotArea>
    </format>
    <format dxfId="6235">
      <pivotArea dataOnly="0" labelOnly="1" outline="0" fieldPosition="0">
        <references count="3">
          <reference field="3" count="1" selected="0">
            <x v="6"/>
          </reference>
          <reference field="5" count="1" selected="0">
            <x v="21"/>
          </reference>
          <reference field="6" count="1">
            <x v="3"/>
          </reference>
        </references>
      </pivotArea>
    </format>
    <format dxfId="6234">
      <pivotArea dataOnly="0" labelOnly="1" outline="0" fieldPosition="0">
        <references count="3">
          <reference field="3" count="1" selected="0">
            <x v="6"/>
          </reference>
          <reference field="5" count="1" selected="0">
            <x v="22"/>
          </reference>
          <reference field="6" count="1">
            <x v="3"/>
          </reference>
        </references>
      </pivotArea>
    </format>
    <format dxfId="6233">
      <pivotArea dataOnly="0" labelOnly="1" outline="0" fieldPosition="0">
        <references count="3">
          <reference field="3" count="1" selected="0">
            <x v="6"/>
          </reference>
          <reference field="5" count="1" selected="0">
            <x v="26"/>
          </reference>
          <reference field="6" count="1">
            <x v="3"/>
          </reference>
        </references>
      </pivotArea>
    </format>
    <format dxfId="6232">
      <pivotArea dataOnly="0" labelOnly="1" outline="0" fieldPosition="0">
        <references count="3">
          <reference field="3" count="1" selected="0">
            <x v="6"/>
          </reference>
          <reference field="5" count="1" selected="0">
            <x v="27"/>
          </reference>
          <reference field="6" count="1">
            <x v="3"/>
          </reference>
        </references>
      </pivotArea>
    </format>
    <format dxfId="6231">
      <pivotArea dataOnly="0" labelOnly="1" outline="0" fieldPosition="0">
        <references count="3">
          <reference field="3" count="1" selected="0">
            <x v="6"/>
          </reference>
          <reference field="5" count="1" selected="0">
            <x v="38"/>
          </reference>
          <reference field="6" count="1">
            <x v="4"/>
          </reference>
        </references>
      </pivotArea>
    </format>
    <format dxfId="6230">
      <pivotArea dataOnly="0" labelOnly="1" outline="0" fieldPosition="0">
        <references count="3">
          <reference field="3" count="1" selected="0">
            <x v="6"/>
          </reference>
          <reference field="5" count="1" selected="0">
            <x v="45"/>
          </reference>
          <reference field="6" count="1">
            <x v="4"/>
          </reference>
        </references>
      </pivotArea>
    </format>
    <format dxfId="6229">
      <pivotArea dataOnly="0" labelOnly="1" outline="0" fieldPosition="0">
        <references count="3">
          <reference field="3" count="1" selected="0">
            <x v="6"/>
          </reference>
          <reference field="5" count="1" selected="0">
            <x v="49"/>
          </reference>
          <reference field="6" count="1">
            <x v="3"/>
          </reference>
        </references>
      </pivotArea>
    </format>
    <format dxfId="6228">
      <pivotArea dataOnly="0" labelOnly="1" outline="0" fieldPosition="0">
        <references count="3">
          <reference field="3" count="1" selected="0">
            <x v="6"/>
          </reference>
          <reference field="5" count="1" selected="0">
            <x v="51"/>
          </reference>
          <reference field="6" count="1">
            <x v="3"/>
          </reference>
        </references>
      </pivotArea>
    </format>
    <format dxfId="6227">
      <pivotArea dataOnly="0" labelOnly="1" outline="0" fieldPosition="0">
        <references count="3">
          <reference field="3" count="1" selected="0">
            <x v="6"/>
          </reference>
          <reference field="5" count="1" selected="0">
            <x v="52"/>
          </reference>
          <reference field="6" count="1">
            <x v="3"/>
          </reference>
        </references>
      </pivotArea>
    </format>
    <format dxfId="6226">
      <pivotArea dataOnly="0" labelOnly="1" outline="0" fieldPosition="0">
        <references count="3">
          <reference field="3" count="1" selected="0">
            <x v="6"/>
          </reference>
          <reference field="5" count="1" selected="0">
            <x v="53"/>
          </reference>
          <reference field="6" count="1">
            <x v="3"/>
          </reference>
        </references>
      </pivotArea>
    </format>
    <format dxfId="6225">
      <pivotArea dataOnly="0" labelOnly="1" outline="0" fieldPosition="0">
        <references count="3">
          <reference field="3" count="1" selected="0">
            <x v="6"/>
          </reference>
          <reference field="5" count="1" selected="0">
            <x v="54"/>
          </reference>
          <reference field="6" count="1">
            <x v="3"/>
          </reference>
        </references>
      </pivotArea>
    </format>
    <format dxfId="6224">
      <pivotArea dataOnly="0" labelOnly="1" outline="0" fieldPosition="0">
        <references count="3">
          <reference field="3" count="1" selected="0">
            <x v="6"/>
          </reference>
          <reference field="5" count="1" selected="0">
            <x v="58"/>
          </reference>
          <reference field="6" count="1">
            <x v="3"/>
          </reference>
        </references>
      </pivotArea>
    </format>
    <format dxfId="6223">
      <pivotArea dataOnly="0" labelOnly="1" outline="0" fieldPosition="0">
        <references count="3">
          <reference field="3" count="1" selected="0">
            <x v="6"/>
          </reference>
          <reference field="5" count="1" selected="0">
            <x v="60"/>
          </reference>
          <reference field="6" count="1">
            <x v="3"/>
          </reference>
        </references>
      </pivotArea>
    </format>
    <format dxfId="6222">
      <pivotArea dataOnly="0" labelOnly="1" outline="0" fieldPosition="0">
        <references count="3">
          <reference field="3" count="1" selected="0">
            <x v="6"/>
          </reference>
          <reference field="5" count="1" selected="0">
            <x v="63"/>
          </reference>
          <reference field="6" count="1">
            <x v="3"/>
          </reference>
        </references>
      </pivotArea>
    </format>
    <format dxfId="6221">
      <pivotArea dataOnly="0" labelOnly="1" outline="0" fieldPosition="0">
        <references count="3">
          <reference field="3" count="1" selected="0">
            <x v="6"/>
          </reference>
          <reference field="5" count="1" selected="0">
            <x v="68"/>
          </reference>
          <reference field="6" count="1">
            <x v="3"/>
          </reference>
        </references>
      </pivotArea>
    </format>
    <format dxfId="6220">
      <pivotArea dataOnly="0" labelOnly="1" outline="0" fieldPosition="0">
        <references count="3">
          <reference field="3" count="1" selected="0">
            <x v="6"/>
          </reference>
          <reference field="5" count="1" selected="0">
            <x v="72"/>
          </reference>
          <reference field="6" count="1">
            <x v="3"/>
          </reference>
        </references>
      </pivotArea>
    </format>
    <format dxfId="6219">
      <pivotArea dataOnly="0" labelOnly="1" outline="0" fieldPosition="0">
        <references count="3">
          <reference field="3" count="1" selected="0">
            <x v="6"/>
          </reference>
          <reference field="5" count="1" selected="0">
            <x v="78"/>
          </reference>
          <reference field="6" count="1">
            <x v="3"/>
          </reference>
        </references>
      </pivotArea>
    </format>
    <format dxfId="6218">
      <pivotArea dataOnly="0" labelOnly="1" outline="0" fieldPosition="0">
        <references count="3">
          <reference field="3" count="1" selected="0">
            <x v="6"/>
          </reference>
          <reference field="5" count="1" selected="0">
            <x v="88"/>
          </reference>
          <reference field="6" count="1">
            <x v="3"/>
          </reference>
        </references>
      </pivotArea>
    </format>
    <format dxfId="6217">
      <pivotArea dataOnly="0" labelOnly="1" outline="0" fieldPosition="0">
        <references count="3">
          <reference field="3" count="1" selected="0">
            <x v="6"/>
          </reference>
          <reference field="5" count="1" selected="0">
            <x v="89"/>
          </reference>
          <reference field="6" count="1">
            <x v="3"/>
          </reference>
        </references>
      </pivotArea>
    </format>
    <format dxfId="6216">
      <pivotArea dataOnly="0" labelOnly="1" outline="0" fieldPosition="0">
        <references count="3">
          <reference field="3" count="1" selected="0">
            <x v="6"/>
          </reference>
          <reference field="5" count="1" selected="0">
            <x v="94"/>
          </reference>
          <reference field="6" count="1">
            <x v="3"/>
          </reference>
        </references>
      </pivotArea>
    </format>
    <format dxfId="6215">
      <pivotArea dataOnly="0" labelOnly="1" outline="0" fieldPosition="0">
        <references count="3">
          <reference field="3" count="1" selected="0">
            <x v="6"/>
          </reference>
          <reference field="5" count="1" selected="0">
            <x v="99"/>
          </reference>
          <reference field="6" count="1">
            <x v="6"/>
          </reference>
        </references>
      </pivotArea>
    </format>
    <format dxfId="6214">
      <pivotArea dataOnly="0" labelOnly="1" outline="0" fieldPosition="0">
        <references count="3">
          <reference field="3" count="1" selected="0">
            <x v="6"/>
          </reference>
          <reference field="5" count="1" selected="0">
            <x v="104"/>
          </reference>
          <reference field="6" count="1">
            <x v="3"/>
          </reference>
        </references>
      </pivotArea>
    </format>
    <format dxfId="6213">
      <pivotArea dataOnly="0" labelOnly="1" outline="0" fieldPosition="0">
        <references count="3">
          <reference field="3" count="1" selected="0">
            <x v="6"/>
          </reference>
          <reference field="5" count="1" selected="0">
            <x v="108"/>
          </reference>
          <reference field="6" count="1">
            <x v="6"/>
          </reference>
        </references>
      </pivotArea>
    </format>
    <format dxfId="6212">
      <pivotArea dataOnly="0" labelOnly="1" outline="0" fieldPosition="0">
        <references count="3">
          <reference field="3" count="1" selected="0">
            <x v="6"/>
          </reference>
          <reference field="5" count="1" selected="0">
            <x v="113"/>
          </reference>
          <reference field="6" count="1">
            <x v="4"/>
          </reference>
        </references>
      </pivotArea>
    </format>
    <format dxfId="6211">
      <pivotArea dataOnly="0" labelOnly="1" outline="0" fieldPosition="0">
        <references count="3">
          <reference field="3" count="1" selected="0">
            <x v="6"/>
          </reference>
          <reference field="5" count="1" selected="0">
            <x v="114"/>
          </reference>
          <reference field="6" count="1">
            <x v="3"/>
          </reference>
        </references>
      </pivotArea>
    </format>
    <format dxfId="6210">
      <pivotArea dataOnly="0" labelOnly="1" outline="0" fieldPosition="0">
        <references count="3">
          <reference field="3" count="1" selected="0">
            <x v="6"/>
          </reference>
          <reference field="5" count="1" selected="0">
            <x v="117"/>
          </reference>
          <reference field="6" count="1">
            <x v="3"/>
          </reference>
        </references>
      </pivotArea>
    </format>
    <format dxfId="6209">
      <pivotArea dataOnly="0" labelOnly="1" outline="0" fieldPosition="0">
        <references count="3">
          <reference field="3" count="1" selected="0">
            <x v="6"/>
          </reference>
          <reference field="5" count="1" selected="0">
            <x v="118"/>
          </reference>
          <reference field="6" count="1">
            <x v="3"/>
          </reference>
        </references>
      </pivotArea>
    </format>
    <format dxfId="6208">
      <pivotArea dataOnly="0" labelOnly="1" outline="0" fieldPosition="0">
        <references count="3">
          <reference field="3" count="1" selected="0">
            <x v="6"/>
          </reference>
          <reference field="5" count="1" selected="0">
            <x v="119"/>
          </reference>
          <reference field="6" count="1">
            <x v="7"/>
          </reference>
        </references>
      </pivotArea>
    </format>
    <format dxfId="6207">
      <pivotArea dataOnly="0" labelOnly="1" outline="0" fieldPosition="0">
        <references count="3">
          <reference field="3" count="1" selected="0">
            <x v="6"/>
          </reference>
          <reference field="5" count="1" selected="0">
            <x v="160"/>
          </reference>
          <reference field="6" count="1">
            <x v="4"/>
          </reference>
        </references>
      </pivotArea>
    </format>
    <format dxfId="6206">
      <pivotArea dataOnly="0" labelOnly="1" outline="0" fieldPosition="0">
        <references count="3">
          <reference field="3" count="1" selected="0">
            <x v="6"/>
          </reference>
          <reference field="5" count="1" selected="0">
            <x v="161"/>
          </reference>
          <reference field="6" count="1">
            <x v="4"/>
          </reference>
        </references>
      </pivotArea>
    </format>
    <format dxfId="6205">
      <pivotArea dataOnly="0" labelOnly="1" outline="0" fieldPosition="0">
        <references count="3">
          <reference field="3" count="1" selected="0">
            <x v="6"/>
          </reference>
          <reference field="5" count="1" selected="0">
            <x v="181"/>
          </reference>
          <reference field="6" count="1">
            <x v="4"/>
          </reference>
        </references>
      </pivotArea>
    </format>
    <format dxfId="6204">
      <pivotArea dataOnly="0" labelOnly="1" outline="0" fieldPosition="0">
        <references count="3">
          <reference field="3" count="1" selected="0">
            <x v="6"/>
          </reference>
          <reference field="5" count="1" selected="0">
            <x v="182"/>
          </reference>
          <reference field="6" count="1">
            <x v="4"/>
          </reference>
        </references>
      </pivotArea>
    </format>
    <format dxfId="6203">
      <pivotArea dataOnly="0" labelOnly="1" outline="0" fieldPosition="0">
        <references count="3">
          <reference field="3" count="1" selected="0">
            <x v="6"/>
          </reference>
          <reference field="5" count="1" selected="0">
            <x v="183"/>
          </reference>
          <reference field="6" count="1">
            <x v="4"/>
          </reference>
        </references>
      </pivotArea>
    </format>
    <format dxfId="6202">
      <pivotArea dataOnly="0" labelOnly="1" outline="0" fieldPosition="0">
        <references count="3">
          <reference field="3" count="1" selected="0">
            <x v="6"/>
          </reference>
          <reference field="5" count="1" selected="0">
            <x v="184"/>
          </reference>
          <reference field="6" count="1">
            <x v="4"/>
          </reference>
        </references>
      </pivotArea>
    </format>
    <format dxfId="6201">
      <pivotArea dataOnly="0" labelOnly="1" outline="0" fieldPosition="0">
        <references count="3">
          <reference field="3" count="1" selected="0">
            <x v="6"/>
          </reference>
          <reference field="5" count="1" selected="0">
            <x v="185"/>
          </reference>
          <reference field="6" count="1">
            <x v="4"/>
          </reference>
        </references>
      </pivotArea>
    </format>
    <format dxfId="6200">
      <pivotArea dataOnly="0" labelOnly="1" outline="0" fieldPosition="0">
        <references count="3">
          <reference field="3" count="1" selected="0">
            <x v="6"/>
          </reference>
          <reference field="5" count="1" selected="0">
            <x v="188"/>
          </reference>
          <reference field="6" count="1">
            <x v="4"/>
          </reference>
        </references>
      </pivotArea>
    </format>
    <format dxfId="6199">
      <pivotArea dataOnly="0" labelOnly="1" outline="0" fieldPosition="0">
        <references count="3">
          <reference field="3" count="1" selected="0">
            <x v="6"/>
          </reference>
          <reference field="5" count="1" selected="0">
            <x v="189"/>
          </reference>
          <reference field="6" count="1">
            <x v="4"/>
          </reference>
        </references>
      </pivotArea>
    </format>
    <format dxfId="6198">
      <pivotArea dataOnly="0" labelOnly="1" outline="0" fieldPosition="0">
        <references count="3">
          <reference field="3" count="1" selected="0">
            <x v="6"/>
          </reference>
          <reference field="5" count="1" selected="0">
            <x v="231"/>
          </reference>
          <reference field="6" count="1">
            <x v="4"/>
          </reference>
        </references>
      </pivotArea>
    </format>
    <format dxfId="6197">
      <pivotArea dataOnly="0" labelOnly="1" outline="0" fieldPosition="0">
        <references count="3">
          <reference field="3" count="1" selected="0">
            <x v="6"/>
          </reference>
          <reference field="5" count="1" selected="0">
            <x v="309"/>
          </reference>
          <reference field="6" count="1">
            <x v="4"/>
          </reference>
        </references>
      </pivotArea>
    </format>
    <format dxfId="6196">
      <pivotArea dataOnly="0" labelOnly="1" outline="0" fieldPosition="0">
        <references count="3">
          <reference field="3" count="1" selected="0">
            <x v="7"/>
          </reference>
          <reference field="5" count="1" selected="0">
            <x v="3"/>
          </reference>
          <reference field="6" count="1">
            <x v="6"/>
          </reference>
        </references>
      </pivotArea>
    </format>
    <format dxfId="6195">
      <pivotArea dataOnly="0" labelOnly="1" outline="0" fieldPosition="0">
        <references count="3">
          <reference field="3" count="1" selected="0">
            <x v="7"/>
          </reference>
          <reference field="5" count="1" selected="0">
            <x v="34"/>
          </reference>
          <reference field="6" count="1">
            <x v="6"/>
          </reference>
        </references>
      </pivotArea>
    </format>
    <format dxfId="6194">
      <pivotArea dataOnly="0" labelOnly="1" outline="0" fieldPosition="0">
        <references count="3">
          <reference field="3" count="1" selected="0">
            <x v="7"/>
          </reference>
          <reference field="5" count="1" selected="0">
            <x v="44"/>
          </reference>
          <reference field="6" count="1">
            <x v="6"/>
          </reference>
        </references>
      </pivotArea>
    </format>
    <format dxfId="6193">
      <pivotArea dataOnly="0" labelOnly="1" outline="0" fieldPosition="0">
        <references count="3">
          <reference field="3" count="1" selected="0">
            <x v="7"/>
          </reference>
          <reference field="5" count="1" selected="0">
            <x v="113"/>
          </reference>
          <reference field="6" count="1">
            <x v="4"/>
          </reference>
        </references>
      </pivotArea>
    </format>
    <format dxfId="6192">
      <pivotArea dataOnly="0" labelOnly="1" outline="0" fieldPosition="0">
        <references count="3">
          <reference field="3" count="1" selected="0">
            <x v="7"/>
          </reference>
          <reference field="5" count="1" selected="0">
            <x v="127"/>
          </reference>
          <reference field="6" count="1">
            <x v="0"/>
          </reference>
        </references>
      </pivotArea>
    </format>
    <format dxfId="6191">
      <pivotArea dataOnly="0" labelOnly="1" outline="0" fieldPosition="0">
        <references count="3">
          <reference field="3" count="1" selected="0">
            <x v="7"/>
          </reference>
          <reference field="5" count="1" selected="0">
            <x v="130"/>
          </reference>
          <reference field="6" count="1">
            <x v="0"/>
          </reference>
        </references>
      </pivotArea>
    </format>
    <format dxfId="6190">
      <pivotArea dataOnly="0" labelOnly="1" outline="0" fieldPosition="0">
        <references count="3">
          <reference field="3" count="1" selected="0">
            <x v="7"/>
          </reference>
          <reference field="5" count="1" selected="0">
            <x v="190"/>
          </reference>
          <reference field="6" count="1">
            <x v="6"/>
          </reference>
        </references>
      </pivotArea>
    </format>
    <format dxfId="6189">
      <pivotArea dataOnly="0" labelOnly="1" outline="0" fieldPosition="0">
        <references count="3">
          <reference field="3" count="1" selected="0">
            <x v="7"/>
          </reference>
          <reference field="5" count="1" selected="0">
            <x v="192"/>
          </reference>
          <reference field="6" count="1">
            <x v="6"/>
          </reference>
        </references>
      </pivotArea>
    </format>
    <format dxfId="6188">
      <pivotArea dataOnly="0" labelOnly="1" outline="0" fieldPosition="0">
        <references count="3">
          <reference field="3" count="1" selected="0">
            <x v="7"/>
          </reference>
          <reference field="5" count="1" selected="0">
            <x v="196"/>
          </reference>
          <reference field="6" count="1">
            <x v="6"/>
          </reference>
        </references>
      </pivotArea>
    </format>
    <format dxfId="6187">
      <pivotArea dataOnly="0" labelOnly="1" outline="0" fieldPosition="0">
        <references count="3">
          <reference field="3" count="1" selected="0">
            <x v="7"/>
          </reference>
          <reference field="5" count="1" selected="0">
            <x v="230"/>
          </reference>
          <reference field="6" count="1">
            <x v="6"/>
          </reference>
        </references>
      </pivotArea>
    </format>
    <format dxfId="6186">
      <pivotArea dataOnly="0" labelOnly="1" outline="0" fieldPosition="0">
        <references count="3">
          <reference field="3" count="1" selected="0">
            <x v="7"/>
          </reference>
          <reference field="5" count="1" selected="0">
            <x v="232"/>
          </reference>
          <reference field="6" count="1">
            <x v="6"/>
          </reference>
        </references>
      </pivotArea>
    </format>
    <format dxfId="6185">
      <pivotArea dataOnly="0" labelOnly="1" outline="0" fieldPosition="0">
        <references count="3">
          <reference field="3" count="1" selected="0">
            <x v="7"/>
          </reference>
          <reference field="5" count="1" selected="0">
            <x v="308"/>
          </reference>
          <reference field="6" count="1">
            <x v="6"/>
          </reference>
        </references>
      </pivotArea>
    </format>
    <format dxfId="6184">
      <pivotArea dataOnly="0" labelOnly="1" outline="0" fieldPosition="0">
        <references count="3">
          <reference field="3" count="1" selected="0">
            <x v="7"/>
          </reference>
          <reference field="5" count="1" selected="0">
            <x v="309"/>
          </reference>
          <reference field="6" count="1">
            <x v="6"/>
          </reference>
        </references>
      </pivotArea>
    </format>
    <format dxfId="6183">
      <pivotArea dataOnly="0" labelOnly="1" outline="0" fieldPosition="0">
        <references count="3">
          <reference field="3" count="1" selected="0">
            <x v="7"/>
          </reference>
          <reference field="5" count="1" selected="0">
            <x v="311"/>
          </reference>
          <reference field="6" count="1">
            <x v="6"/>
          </reference>
        </references>
      </pivotArea>
    </format>
    <format dxfId="6182">
      <pivotArea dataOnly="0" labelOnly="1" outline="0" fieldPosition="0">
        <references count="3">
          <reference field="3" count="1" selected="0">
            <x v="8"/>
          </reference>
          <reference field="5" count="1" selected="0">
            <x v="3"/>
          </reference>
          <reference field="6" count="1">
            <x v="6"/>
          </reference>
        </references>
      </pivotArea>
    </format>
    <format dxfId="6181">
      <pivotArea dataOnly="0" labelOnly="1" outline="0" fieldPosition="0">
        <references count="3">
          <reference field="3" count="1" selected="0">
            <x v="8"/>
          </reference>
          <reference field="5" count="1" selected="0">
            <x v="4"/>
          </reference>
          <reference field="6" count="1">
            <x v="6"/>
          </reference>
        </references>
      </pivotArea>
    </format>
    <format dxfId="6180">
      <pivotArea dataOnly="0" labelOnly="1" outline="0" fieldPosition="0">
        <references count="3">
          <reference field="3" count="1" selected="0">
            <x v="8"/>
          </reference>
          <reference field="5" count="1" selected="0">
            <x v="10"/>
          </reference>
          <reference field="6" count="1">
            <x v="6"/>
          </reference>
        </references>
      </pivotArea>
    </format>
    <format dxfId="6179">
      <pivotArea dataOnly="0" labelOnly="1" outline="0" fieldPosition="0">
        <references count="3">
          <reference field="3" count="1" selected="0">
            <x v="8"/>
          </reference>
          <reference field="5" count="1" selected="0">
            <x v="17"/>
          </reference>
          <reference field="6" count="1">
            <x v="6"/>
          </reference>
        </references>
      </pivotArea>
    </format>
    <format dxfId="6178">
      <pivotArea dataOnly="0" labelOnly="1" outline="0" fieldPosition="0">
        <references count="3">
          <reference field="3" count="1" selected="0">
            <x v="8"/>
          </reference>
          <reference field="5" count="1" selected="0">
            <x v="23"/>
          </reference>
          <reference field="6" count="1">
            <x v="6"/>
          </reference>
        </references>
      </pivotArea>
    </format>
    <format dxfId="6177">
      <pivotArea dataOnly="0" labelOnly="1" outline="0" fieldPosition="0">
        <references count="3">
          <reference field="3" count="1" selected="0">
            <x v="8"/>
          </reference>
          <reference field="5" count="1" selected="0">
            <x v="25"/>
          </reference>
          <reference field="6" count="1">
            <x v="6"/>
          </reference>
        </references>
      </pivotArea>
    </format>
    <format dxfId="6176">
      <pivotArea dataOnly="0" labelOnly="1" outline="0" fieldPosition="0">
        <references count="3">
          <reference field="3" count="1" selected="0">
            <x v="8"/>
          </reference>
          <reference field="5" count="1" selected="0">
            <x v="64"/>
          </reference>
          <reference field="6" count="1">
            <x v="6"/>
          </reference>
        </references>
      </pivotArea>
    </format>
    <format dxfId="6175">
      <pivotArea dataOnly="0" labelOnly="1" outline="0" fieldPosition="0">
        <references count="3">
          <reference field="3" count="1" selected="0">
            <x v="8"/>
          </reference>
          <reference field="5" count="1" selected="0">
            <x v="67"/>
          </reference>
          <reference field="6" count="1">
            <x v="6"/>
          </reference>
        </references>
      </pivotArea>
    </format>
    <format dxfId="6174">
      <pivotArea dataOnly="0" labelOnly="1" outline="0" fieldPosition="0">
        <references count="3">
          <reference field="3" count="1" selected="0">
            <x v="8"/>
          </reference>
          <reference field="5" count="1" selected="0">
            <x v="69"/>
          </reference>
          <reference field="6" count="1">
            <x v="6"/>
          </reference>
        </references>
      </pivotArea>
    </format>
    <format dxfId="6173">
      <pivotArea dataOnly="0" labelOnly="1" outline="0" fieldPosition="0">
        <references count="3">
          <reference field="3" count="1" selected="0">
            <x v="8"/>
          </reference>
          <reference field="5" count="1" selected="0">
            <x v="73"/>
          </reference>
          <reference field="6" count="1">
            <x v="6"/>
          </reference>
        </references>
      </pivotArea>
    </format>
    <format dxfId="6172">
      <pivotArea dataOnly="0" labelOnly="1" outline="0" fieldPosition="0">
        <references count="3">
          <reference field="3" count="1" selected="0">
            <x v="8"/>
          </reference>
          <reference field="5" count="1" selected="0">
            <x v="74"/>
          </reference>
          <reference field="6" count="1">
            <x v="6"/>
          </reference>
        </references>
      </pivotArea>
    </format>
    <format dxfId="6171">
      <pivotArea dataOnly="0" labelOnly="1" outline="0" fieldPosition="0">
        <references count="3">
          <reference field="3" count="1" selected="0">
            <x v="8"/>
          </reference>
          <reference field="5" count="1" selected="0">
            <x v="77"/>
          </reference>
          <reference field="6" count="1">
            <x v="6"/>
          </reference>
        </references>
      </pivotArea>
    </format>
    <format dxfId="6170">
      <pivotArea dataOnly="0" labelOnly="1" outline="0" fieldPosition="0">
        <references count="3">
          <reference field="3" count="1" selected="0">
            <x v="8"/>
          </reference>
          <reference field="5" count="1" selected="0">
            <x v="82"/>
          </reference>
          <reference field="6" count="1">
            <x v="6"/>
          </reference>
        </references>
      </pivotArea>
    </format>
    <format dxfId="6169">
      <pivotArea dataOnly="0" labelOnly="1" outline="0" fieldPosition="0">
        <references count="3">
          <reference field="3" count="1" selected="0">
            <x v="8"/>
          </reference>
          <reference field="5" count="1" selected="0">
            <x v="96"/>
          </reference>
          <reference field="6" count="1">
            <x v="6"/>
          </reference>
        </references>
      </pivotArea>
    </format>
    <format dxfId="6168">
      <pivotArea dataOnly="0" labelOnly="1" outline="0" fieldPosition="0">
        <references count="3">
          <reference field="3" count="1" selected="0">
            <x v="8"/>
          </reference>
          <reference field="5" count="1" selected="0">
            <x v="101"/>
          </reference>
          <reference field="6" count="1">
            <x v="6"/>
          </reference>
        </references>
      </pivotArea>
    </format>
    <format dxfId="6167">
      <pivotArea dataOnly="0" labelOnly="1" outline="0" fieldPosition="0">
        <references count="3">
          <reference field="3" count="1" selected="0">
            <x v="8"/>
          </reference>
          <reference field="5" count="1" selected="0">
            <x v="103"/>
          </reference>
          <reference field="6" count="1">
            <x v="6"/>
          </reference>
        </references>
      </pivotArea>
    </format>
    <format dxfId="6166">
      <pivotArea dataOnly="0" labelOnly="1" outline="0" fieldPosition="0">
        <references count="3">
          <reference field="3" count="1" selected="0">
            <x v="8"/>
          </reference>
          <reference field="5" count="1" selected="0">
            <x v="109"/>
          </reference>
          <reference field="6" count="1">
            <x v="6"/>
          </reference>
        </references>
      </pivotArea>
    </format>
    <format dxfId="6165">
      <pivotArea dataOnly="0" labelOnly="1" outline="0" fieldPosition="0">
        <references count="3">
          <reference field="3" count="1" selected="0">
            <x v="8"/>
          </reference>
          <reference field="5" count="1" selected="0">
            <x v="111"/>
          </reference>
          <reference field="6" count="1">
            <x v="6"/>
          </reference>
        </references>
      </pivotArea>
    </format>
    <format dxfId="6164">
      <pivotArea dataOnly="0" labelOnly="1" outline="0" fieldPosition="0">
        <references count="3">
          <reference field="3" count="1" selected="0">
            <x v="8"/>
          </reference>
          <reference field="5" count="1" selected="0">
            <x v="115"/>
          </reference>
          <reference field="6" count="1">
            <x v="6"/>
          </reference>
        </references>
      </pivotArea>
    </format>
    <format dxfId="6163">
      <pivotArea dataOnly="0" labelOnly="1" outline="0" fieldPosition="0">
        <references count="3">
          <reference field="3" count="1" selected="0">
            <x v="8"/>
          </reference>
          <reference field="5" count="1" selected="0">
            <x v="232"/>
          </reference>
          <reference field="6" count="1">
            <x v="6"/>
          </reference>
        </references>
      </pivotArea>
    </format>
    <format dxfId="6162">
      <pivotArea dataOnly="0" labelOnly="1" outline="0" fieldPosition="0">
        <references count="4">
          <reference field="1" count="0" selected="0"/>
          <reference field="3" count="1" selected="0">
            <x v="3"/>
          </reference>
          <reference field="5" count="1" selected="0">
            <x v="216"/>
          </reference>
          <reference field="6" count="1">
            <x v="2"/>
          </reference>
        </references>
      </pivotArea>
    </format>
    <format dxfId="6161">
      <pivotArea dataOnly="0" labelOnly="1" outline="0" fieldPosition="0">
        <references count="4">
          <reference field="1" count="0" selected="0"/>
          <reference field="3" count="1" selected="0">
            <x v="5"/>
          </reference>
          <reference field="5" count="1" selected="0">
            <x v="66"/>
          </reference>
          <reference field="6" count="1">
            <x v="2"/>
          </reference>
        </references>
      </pivotArea>
    </format>
    <format dxfId="6160">
      <pivotArea dataOnly="0" labelOnly="1" outline="0" fieldPosition="0">
        <references count="4">
          <reference field="1" count="0" selected="0"/>
          <reference field="3" count="1" selected="0">
            <x v="3"/>
          </reference>
          <reference field="5" count="1" selected="0">
            <x v="202"/>
          </reference>
          <reference field="6" count="1">
            <x v="2"/>
          </reference>
        </references>
      </pivotArea>
    </format>
    <format dxfId="6159">
      <pivotArea dataOnly="0" labelOnly="1" outline="0" fieldPosition="0">
        <references count="4">
          <reference field="1" count="0" selected="0"/>
          <reference field="3" count="1" selected="0">
            <x v="0"/>
          </reference>
          <reference field="5" count="1" selected="0">
            <x v="16"/>
          </reference>
          <reference field="6" count="1">
            <x v="8"/>
          </reference>
        </references>
      </pivotArea>
    </format>
    <format dxfId="6158">
      <pivotArea dataOnly="0" labelOnly="1" outline="0" fieldPosition="0">
        <references count="4">
          <reference field="1" count="0" selected="0"/>
          <reference field="3" count="1" selected="0">
            <x v="1"/>
          </reference>
          <reference field="5" count="1" selected="0">
            <x v="295"/>
          </reference>
          <reference field="6" count="1">
            <x v="3"/>
          </reference>
        </references>
      </pivotArea>
    </format>
    <format dxfId="6157">
      <pivotArea dataOnly="0" labelOnly="1" outline="0" fieldPosition="0">
        <references count="4">
          <reference field="1" count="0" selected="0"/>
          <reference field="3" count="1" selected="0">
            <x v="3"/>
          </reference>
          <reference field="5" count="1" selected="0">
            <x v="218"/>
          </reference>
          <reference field="6" count="1">
            <x v="2"/>
          </reference>
        </references>
      </pivotArea>
    </format>
    <format dxfId="6156">
      <pivotArea dataOnly="0" labelOnly="1" outline="0" fieldPosition="0">
        <references count="4">
          <reference field="1" count="0" selected="0"/>
          <reference field="3" count="1" selected="0">
            <x v="3"/>
          </reference>
          <reference field="5" count="1" selected="0">
            <x v="203"/>
          </reference>
          <reference field="6" count="1">
            <x v="2"/>
          </reference>
        </references>
      </pivotArea>
    </format>
    <format dxfId="6155">
      <pivotArea dataOnly="0" labelOnly="1" outline="0" fieldPosition="0">
        <references count="4">
          <reference field="1" count="0" selected="0"/>
          <reference field="3" count="1" selected="0">
            <x v="5"/>
          </reference>
          <reference field="5" count="1" selected="0">
            <x v="262"/>
          </reference>
          <reference field="6" count="1">
            <x v="3"/>
          </reference>
        </references>
      </pivotArea>
    </format>
    <format dxfId="6154">
      <pivotArea dataOnly="0" labelOnly="1" outline="0" fieldPosition="0">
        <references count="4">
          <reference field="1" count="0" selected="0"/>
          <reference field="3" count="1" selected="0">
            <x v="3"/>
          </reference>
          <reference field="5" count="1" selected="0">
            <x v="201"/>
          </reference>
          <reference field="6" count="1">
            <x v="2"/>
          </reference>
        </references>
      </pivotArea>
    </format>
    <format dxfId="6153">
      <pivotArea dataOnly="0" labelOnly="1" outline="0" fieldPosition="0">
        <references count="4">
          <reference field="1" count="0" selected="0"/>
          <reference field="3" count="1" selected="0">
            <x v="3"/>
          </reference>
          <reference field="5" count="1" selected="0">
            <x v="215"/>
          </reference>
          <reference field="6" count="1">
            <x v="2"/>
          </reference>
        </references>
      </pivotArea>
    </format>
    <format dxfId="6152">
      <pivotArea dataOnly="0" labelOnly="1" outline="0" fieldPosition="0">
        <references count="4">
          <reference field="1" count="0" selected="0"/>
          <reference field="3" count="1" selected="0">
            <x v="5"/>
          </reference>
          <reference field="5" count="1" selected="0">
            <x v="261"/>
          </reference>
          <reference field="6" count="1">
            <x v="3"/>
          </reference>
        </references>
      </pivotArea>
    </format>
    <format dxfId="6151">
      <pivotArea dataOnly="0" labelOnly="1" outline="0" fieldPosition="0">
        <references count="4">
          <reference field="1" count="0" selected="0"/>
          <reference field="3" count="1" selected="0">
            <x v="6"/>
          </reference>
          <reference field="5" count="1" selected="0">
            <x v="98"/>
          </reference>
          <reference field="6" count="1">
            <x v="6"/>
          </reference>
        </references>
      </pivotArea>
    </format>
    <format dxfId="6150">
      <pivotArea dataOnly="0" labelOnly="1" outline="0" fieldPosition="0">
        <references count="4">
          <reference field="1" count="0" selected="0"/>
          <reference field="3" count="1" selected="0">
            <x v="0"/>
          </reference>
          <reference field="5" count="1" selected="0">
            <x v="330"/>
          </reference>
          <reference field="6" count="1">
            <x v="8"/>
          </reference>
        </references>
      </pivotArea>
    </format>
    <format dxfId="6149">
      <pivotArea dataOnly="0" labelOnly="1" outline="0" fieldPosition="0">
        <references count="4">
          <reference field="1" count="0" selected="0"/>
          <reference field="3" count="1" selected="0">
            <x v="3"/>
          </reference>
          <reference field="5" count="1" selected="0">
            <x v="217"/>
          </reference>
          <reference field="6" count="1">
            <x v="2"/>
          </reference>
        </references>
      </pivotArea>
    </format>
    <format dxfId="6148">
      <pivotArea dataOnly="0" labelOnly="1" outline="0" fieldPosition="0">
        <references count="4">
          <reference field="1" count="0" selected="0"/>
          <reference field="3" count="1" selected="0">
            <x v="6"/>
          </reference>
          <reference field="5" count="1" selected="0">
            <x v="345"/>
          </reference>
          <reference field="6" count="1">
            <x v="3"/>
          </reference>
        </references>
      </pivotArea>
    </format>
    <format dxfId="6147">
      <pivotArea dataOnly="0" labelOnly="1" outline="0" fieldPosition="0">
        <references count="4">
          <reference field="1" count="0" selected="0"/>
          <reference field="3" count="1" selected="0">
            <x v="5"/>
          </reference>
          <reference field="5" count="1" selected="0">
            <x v="343"/>
          </reference>
          <reference field="6" count="1">
            <x v="3"/>
          </reference>
        </references>
      </pivotArea>
    </format>
    <format dxfId="6146">
      <pivotArea dataOnly="0" labelOnly="1" outline="0" fieldPosition="0">
        <references count="4">
          <reference field="1" count="0" selected="0"/>
          <reference field="3" count="1" selected="0">
            <x v="3"/>
          </reference>
          <reference field="5" count="1" selected="0">
            <x v="346"/>
          </reference>
          <reference field="6" count="1">
            <x v="2"/>
          </reference>
        </references>
      </pivotArea>
    </format>
    <format dxfId="6145">
      <pivotArea dataOnly="0" labelOnly="1" outline="0" fieldPosition="0">
        <references count="4">
          <reference field="1" count="0" selected="0"/>
          <reference field="3" count="1" selected="0">
            <x v="3"/>
          </reference>
          <reference field="5" count="1" selected="0">
            <x v="97"/>
          </reference>
          <reference field="6" count="1">
            <x v="3"/>
          </reference>
        </references>
      </pivotArea>
    </format>
    <format dxfId="6144">
      <pivotArea dataOnly="0" labelOnly="1" outline="0" fieldPosition="0">
        <references count="4">
          <reference field="1" count="0" selected="0"/>
          <reference field="3" count="1" selected="0">
            <x v="3"/>
          </reference>
          <reference field="5" count="1" selected="0">
            <x v="283"/>
          </reference>
          <reference field="6" count="1">
            <x v="3"/>
          </reference>
        </references>
      </pivotArea>
    </format>
    <format dxfId="6143">
      <pivotArea dataOnly="0" labelOnly="1" outline="0" fieldPosition="0">
        <references count="4">
          <reference field="1" count="0" selected="0"/>
          <reference field="3" count="1" selected="0">
            <x v="3"/>
          </reference>
          <reference field="5" count="1" selected="0">
            <x v="291"/>
          </reference>
          <reference field="6" count="1">
            <x v="3"/>
          </reference>
        </references>
      </pivotArea>
    </format>
    <format dxfId="6142">
      <pivotArea dataOnly="0" labelOnly="1" outline="0" fieldPosition="0">
        <references count="4">
          <reference field="1" count="0" selected="0"/>
          <reference field="3" count="1" selected="0">
            <x v="3"/>
          </reference>
          <reference field="5" count="1" selected="0">
            <x v="292"/>
          </reference>
          <reference field="6" count="1">
            <x v="3"/>
          </reference>
        </references>
      </pivotArea>
    </format>
    <format dxfId="6141">
      <pivotArea dataOnly="0" labelOnly="1" outline="0" fieldPosition="0">
        <references count="4">
          <reference field="1" count="0" selected="0"/>
          <reference field="3" count="1" selected="0">
            <x v="3"/>
          </reference>
          <reference field="5" count="1" selected="0">
            <x v="300"/>
          </reference>
          <reference field="6" count="1">
            <x v="3"/>
          </reference>
        </references>
      </pivotArea>
    </format>
    <format dxfId="6140">
      <pivotArea dataOnly="0" labelOnly="1" outline="0" fieldPosition="0">
        <references count="4">
          <reference field="1" count="0" selected="0"/>
          <reference field="3" count="1" selected="0">
            <x v="3"/>
          </reference>
          <reference field="5" count="1" selected="0">
            <x v="301"/>
          </reference>
          <reference field="6" count="1">
            <x v="3"/>
          </reference>
        </references>
      </pivotArea>
    </format>
    <format dxfId="6139">
      <pivotArea dataOnly="0" labelOnly="1" outline="0" fieldPosition="0">
        <references count="4">
          <reference field="1" count="0" selected="0"/>
          <reference field="3" count="1" selected="0">
            <x v="5"/>
          </reference>
          <reference field="5" count="1" selected="0">
            <x v="138"/>
          </reference>
          <reference field="6" count="1">
            <x v="3"/>
          </reference>
        </references>
      </pivotArea>
    </format>
    <format dxfId="6138">
      <pivotArea dataOnly="0" labelOnly="1" outline="0" fieldPosition="0">
        <references count="4">
          <reference field="1" count="0" selected="0"/>
          <reference field="3" count="1" selected="0">
            <x v="5"/>
          </reference>
          <reference field="5" count="1" selected="0">
            <x v="139"/>
          </reference>
          <reference field="6" count="1">
            <x v="3"/>
          </reference>
        </references>
      </pivotArea>
    </format>
    <format dxfId="6137">
      <pivotArea dataOnly="0" labelOnly="1" outline="0" fieldPosition="0">
        <references count="4">
          <reference field="1" count="0" selected="0"/>
          <reference field="3" count="1" selected="0">
            <x v="5"/>
          </reference>
          <reference field="5" count="1" selected="0">
            <x v="147"/>
          </reference>
          <reference field="6" count="1">
            <x v="3"/>
          </reference>
        </references>
      </pivotArea>
    </format>
    <format dxfId="6136">
      <pivotArea dataOnly="0" labelOnly="1" outline="0" fieldPosition="0">
        <references count="4">
          <reference field="1" count="0" selected="0"/>
          <reference field="3" count="1" selected="0">
            <x v="5"/>
          </reference>
          <reference field="5" count="1" selected="0">
            <x v="158"/>
          </reference>
          <reference field="6" count="1">
            <x v="3"/>
          </reference>
        </references>
      </pivotArea>
    </format>
    <format dxfId="6135">
      <pivotArea dataOnly="0" labelOnly="1" outline="0" fieldPosition="0">
        <references count="4">
          <reference field="1" count="0" selected="0"/>
          <reference field="3" count="1" selected="0">
            <x v="5"/>
          </reference>
          <reference field="5" count="1" selected="0">
            <x v="202"/>
          </reference>
          <reference field="6" count="1">
            <x v="3"/>
          </reference>
        </references>
      </pivotArea>
    </format>
    <format dxfId="6134">
      <pivotArea dataOnly="0" labelOnly="1" outline="0" fieldPosition="0">
        <references count="4">
          <reference field="1" count="0" selected="0"/>
          <reference field="3" count="1" selected="0">
            <x v="5"/>
          </reference>
          <reference field="5" count="1" selected="0">
            <x v="203"/>
          </reference>
          <reference field="6" count="1">
            <x v="3"/>
          </reference>
        </references>
      </pivotArea>
    </format>
    <format dxfId="6133">
      <pivotArea dataOnly="0" labelOnly="1" outline="0" fieldPosition="0">
        <references count="4">
          <reference field="1" count="0" selected="0"/>
          <reference field="3" count="1" selected="0">
            <x v="5"/>
          </reference>
          <reference field="5" count="1" selected="0">
            <x v="306"/>
          </reference>
          <reference field="6" count="1">
            <x v="3"/>
          </reference>
        </references>
      </pivotArea>
    </format>
    <format dxfId="6132">
      <pivotArea dataOnly="0" labelOnly="1" outline="0" fieldPosition="0">
        <references count="4">
          <reference field="1" count="0" selected="0"/>
          <reference field="3" count="1" selected="0">
            <x v="5"/>
          </reference>
          <reference field="5" count="1" selected="0">
            <x v="317"/>
          </reference>
          <reference field="6" count="1">
            <x v="3"/>
          </reference>
        </references>
      </pivotArea>
    </format>
    <format dxfId="6131">
      <pivotArea dataOnly="0" labelOnly="1" outline="0" fieldPosition="0">
        <references count="4">
          <reference field="1" count="0" selected="0"/>
          <reference field="3" count="1" selected="0">
            <x v="5"/>
          </reference>
          <reference field="5" count="1" selected="0">
            <x v="329"/>
          </reference>
          <reference field="6" count="1">
            <x v="4"/>
          </reference>
        </references>
      </pivotArea>
    </format>
    <format dxfId="6130">
      <pivotArea dataOnly="0" labelOnly="1" outline="0" fieldPosition="0">
        <references count="4">
          <reference field="1" count="0" selected="0"/>
          <reference field="3" count="1" selected="0">
            <x v="6"/>
          </reference>
          <reference field="5" count="1" selected="0">
            <x v="33"/>
          </reference>
          <reference field="6" count="1">
            <x v="4"/>
          </reference>
        </references>
      </pivotArea>
    </format>
    <format dxfId="6129">
      <pivotArea dataOnly="0" labelOnly="1" outline="0" fieldPosition="0">
        <references count="4">
          <reference field="1" count="0" selected="0"/>
          <reference field="3" count="1" selected="0">
            <x v="6"/>
          </reference>
          <reference field="5" count="1" selected="0">
            <x v="39"/>
          </reference>
          <reference field="6" count="1">
            <x v="4"/>
          </reference>
        </references>
      </pivotArea>
    </format>
    <format dxfId="6128">
      <pivotArea dataOnly="0" labelOnly="1" outline="0" fieldPosition="0">
        <references count="4">
          <reference field="1" count="0" selected="0"/>
          <reference field="3" count="1" selected="0">
            <x v="6"/>
          </reference>
          <reference field="5" count="1" selected="0">
            <x v="65"/>
          </reference>
          <reference field="6" count="1">
            <x v="3"/>
          </reference>
        </references>
      </pivotArea>
    </format>
    <format dxfId="6127">
      <pivotArea dataOnly="0" labelOnly="1" outline="0" fieldPosition="0">
        <references count="4">
          <reference field="1" count="0" selected="0"/>
          <reference field="3" count="1" selected="0">
            <x v="6"/>
          </reference>
          <reference field="5" count="1" selected="0">
            <x v="66"/>
          </reference>
          <reference field="6" count="1">
            <x v="3"/>
          </reference>
        </references>
      </pivotArea>
    </format>
    <format dxfId="6126">
      <pivotArea dataOnly="0" labelOnly="1" outline="0" fieldPosition="0">
        <references count="4">
          <reference field="1" count="0" selected="0"/>
          <reference field="3" count="1" selected="0">
            <x v="6"/>
          </reference>
          <reference field="5" count="1" selected="0">
            <x v="93"/>
          </reference>
          <reference field="6" count="1">
            <x v="3"/>
          </reference>
        </references>
      </pivotArea>
    </format>
    <format dxfId="6125">
      <pivotArea dataOnly="0" labelOnly="1" outline="0" fieldPosition="0">
        <references count="4">
          <reference field="1" count="0" selected="0"/>
          <reference field="3" count="1" selected="0">
            <x v="6"/>
          </reference>
          <reference field="5" count="1" selected="0">
            <x v="95"/>
          </reference>
          <reference field="6" count="1">
            <x v="3"/>
          </reference>
        </references>
      </pivotArea>
    </format>
    <format dxfId="6124">
      <pivotArea dataOnly="0" labelOnly="1" outline="0" fieldPosition="0">
        <references count="4">
          <reference field="1" count="0" selected="0"/>
          <reference field="3" count="1" selected="0">
            <x v="6"/>
          </reference>
          <reference field="5" count="1" selected="0">
            <x v="132"/>
          </reference>
          <reference field="6" count="1">
            <x v="7"/>
          </reference>
        </references>
      </pivotArea>
    </format>
    <format dxfId="6123">
      <pivotArea dataOnly="0" labelOnly="1" outline="0" fieldPosition="0">
        <references count="4">
          <reference field="1" count="0" selected="0"/>
          <reference field="3" count="1" selected="0">
            <x v="6"/>
          </reference>
          <reference field="5" count="1" selected="0">
            <x v="171"/>
          </reference>
          <reference field="6" count="1">
            <x v="4"/>
          </reference>
        </references>
      </pivotArea>
    </format>
    <format dxfId="6122">
      <pivotArea dataOnly="0" labelOnly="1" outline="0" fieldPosition="0">
        <references count="4">
          <reference field="1" count="0" selected="0"/>
          <reference field="3" count="1" selected="0">
            <x v="6"/>
          </reference>
          <reference field="5" count="1" selected="0">
            <x v="172"/>
          </reference>
          <reference field="6" count="1">
            <x v="4"/>
          </reference>
        </references>
      </pivotArea>
    </format>
    <format dxfId="6121">
      <pivotArea dataOnly="0" labelOnly="1" outline="0" fieldPosition="0">
        <references count="4">
          <reference field="1" count="0" selected="0"/>
          <reference field="3" count="1" selected="0">
            <x v="6"/>
          </reference>
          <reference field="5" count="1" selected="0">
            <x v="187"/>
          </reference>
          <reference field="6" count="1">
            <x v="4"/>
          </reference>
        </references>
      </pivotArea>
    </format>
    <format dxfId="6120">
      <pivotArea dataOnly="0" labelOnly="1" outline="0" fieldPosition="0">
        <references count="4">
          <reference field="1" count="0" selected="0"/>
          <reference field="3" count="1" selected="0">
            <x v="6"/>
          </reference>
          <reference field="5" count="1" selected="0">
            <x v="197"/>
          </reference>
          <reference field="6" count="1">
            <x v="4"/>
          </reference>
        </references>
      </pivotArea>
    </format>
    <format dxfId="6119">
      <pivotArea dataOnly="0" labelOnly="1" outline="0" fieldPosition="0">
        <references count="4">
          <reference field="1" count="0" selected="0"/>
          <reference field="3" count="1" selected="0">
            <x v="6"/>
          </reference>
          <reference field="5" count="1" selected="0">
            <x v="228"/>
          </reference>
          <reference field="6" count="1">
            <x v="4"/>
          </reference>
        </references>
      </pivotArea>
    </format>
    <format dxfId="6118">
      <pivotArea dataOnly="0" labelOnly="1" outline="0" fieldPosition="0">
        <references count="4">
          <reference field="1" count="0" selected="0"/>
          <reference field="3" count="1" selected="0">
            <x v="6"/>
          </reference>
          <reference field="5" count="1" selected="0">
            <x v="233"/>
          </reference>
          <reference field="6" count="1">
            <x v="4"/>
          </reference>
        </references>
      </pivotArea>
    </format>
    <format dxfId="6117">
      <pivotArea dataOnly="0" labelOnly="1" outline="0" fieldPosition="0">
        <references count="4">
          <reference field="1" count="0" selected="0"/>
          <reference field="3" count="1" selected="0">
            <x v="6"/>
          </reference>
          <reference field="5" count="1" selected="0">
            <x v="248"/>
          </reference>
          <reference field="6" count="1">
            <x v="4"/>
          </reference>
        </references>
      </pivotArea>
    </format>
    <format dxfId="6116">
      <pivotArea dataOnly="0" labelOnly="1" outline="0" fieldPosition="0">
        <references count="4">
          <reference field="1" count="0" selected="0"/>
          <reference field="3" count="1" selected="0">
            <x v="6"/>
          </reference>
          <reference field="5" count="1" selected="0">
            <x v="249"/>
          </reference>
          <reference field="6" count="1">
            <x v="4"/>
          </reference>
        </references>
      </pivotArea>
    </format>
    <format dxfId="6115">
      <pivotArea dataOnly="0" labelOnly="1" outline="0" fieldPosition="0">
        <references count="4">
          <reference field="1" count="0" selected="0"/>
          <reference field="3" count="1" selected="0">
            <x v="6"/>
          </reference>
          <reference field="5" count="1" selected="0">
            <x v="262"/>
          </reference>
          <reference field="6" count="1">
            <x v="4"/>
          </reference>
        </references>
      </pivotArea>
    </format>
    <format dxfId="6114">
      <pivotArea dataOnly="0" labelOnly="1" outline="0" fieldPosition="0">
        <references count="4">
          <reference field="1" count="0" selected="0"/>
          <reference field="3" count="1" selected="0">
            <x v="6"/>
          </reference>
          <reference field="5" count="1" selected="0">
            <x v="263"/>
          </reference>
          <reference field="6" count="1">
            <x v="4"/>
          </reference>
        </references>
      </pivotArea>
    </format>
    <format dxfId="6113">
      <pivotArea dataOnly="0" labelOnly="1" outline="0" fieldPosition="0">
        <references count="4">
          <reference field="1" count="0" selected="0"/>
          <reference field="3" count="1" selected="0">
            <x v="6"/>
          </reference>
          <reference field="5" count="1" selected="0">
            <x v="272"/>
          </reference>
          <reference field="6" count="1">
            <x v="4"/>
          </reference>
        </references>
      </pivotArea>
    </format>
    <format dxfId="6112">
      <pivotArea dataOnly="0" labelOnly="1" outline="0" fieldPosition="0">
        <references count="4">
          <reference field="1" count="0" selected="0"/>
          <reference field="3" count="1" selected="0">
            <x v="6"/>
          </reference>
          <reference field="5" count="1" selected="0">
            <x v="274"/>
          </reference>
          <reference field="6" count="1">
            <x v="4"/>
          </reference>
        </references>
      </pivotArea>
    </format>
    <format dxfId="6111">
      <pivotArea dataOnly="0" labelOnly="1" outline="0" fieldPosition="0">
        <references count="4">
          <reference field="1" count="0" selected="0"/>
          <reference field="3" count="1" selected="0">
            <x v="6"/>
          </reference>
          <reference field="5" count="1" selected="0">
            <x v="343"/>
          </reference>
          <reference field="6" count="1">
            <x v="4"/>
          </reference>
        </references>
      </pivotArea>
    </format>
    <format dxfId="6110">
      <pivotArea dataOnly="0" labelOnly="1" outline="0" fieldPosition="0">
        <references count="4">
          <reference field="1" count="0" selected="0"/>
          <reference field="3" count="1" selected="0">
            <x v="7"/>
          </reference>
          <reference field="5" count="1" selected="0">
            <x v="19"/>
          </reference>
          <reference field="6" count="1">
            <x v="4"/>
          </reference>
        </references>
      </pivotArea>
    </format>
    <format dxfId="6109">
      <pivotArea dataOnly="0" labelOnly="1" outline="0" fieldPosition="0">
        <references count="4">
          <reference field="1" count="0" selected="0"/>
          <reference field="3" count="1" selected="0">
            <x v="7"/>
          </reference>
          <reference field="5" count="1" selected="0">
            <x v="45"/>
          </reference>
          <reference field="6" count="1">
            <x v="6"/>
          </reference>
        </references>
      </pivotArea>
    </format>
    <format dxfId="6108">
      <pivotArea dataOnly="0" labelOnly="1" outline="0" fieldPosition="0">
        <references count="4">
          <reference field="1" count="0" selected="0"/>
          <reference field="3" count="1" selected="0">
            <x v="7"/>
          </reference>
          <reference field="5" count="1" selected="0">
            <x v="49"/>
          </reference>
          <reference field="6" count="1">
            <x v="4"/>
          </reference>
        </references>
      </pivotArea>
    </format>
    <format dxfId="6107">
      <pivotArea dataOnly="0" labelOnly="1" outline="0" fieldPosition="0">
        <references count="4">
          <reference field="1" count="0" selected="0"/>
          <reference field="3" count="1" selected="0">
            <x v="7"/>
          </reference>
          <reference field="5" count="1" selected="0">
            <x v="63"/>
          </reference>
          <reference field="6" count="1">
            <x v="4"/>
          </reference>
        </references>
      </pivotArea>
    </format>
    <format dxfId="6106">
      <pivotArea dataOnly="0" labelOnly="1" outline="0" fieldPosition="0">
        <references count="4">
          <reference field="1" count="0" selected="0"/>
          <reference field="3" count="1" selected="0">
            <x v="7"/>
          </reference>
          <reference field="5" count="1" selected="0">
            <x v="68"/>
          </reference>
          <reference field="6" count="1">
            <x v="4"/>
          </reference>
        </references>
      </pivotArea>
    </format>
    <format dxfId="6105">
      <pivotArea dataOnly="0" labelOnly="1" outline="0" fieldPosition="0">
        <references count="4">
          <reference field="1" count="0" selected="0"/>
          <reference field="3" count="1" selected="0">
            <x v="7"/>
          </reference>
          <reference field="5" count="1" selected="0">
            <x v="99"/>
          </reference>
          <reference field="6" count="1">
            <x v="7"/>
          </reference>
        </references>
      </pivotArea>
    </format>
    <format dxfId="6104">
      <pivotArea dataOnly="0" labelOnly="1" outline="0" fieldPosition="0">
        <references count="4">
          <reference field="1" count="0" selected="0"/>
          <reference field="3" count="1" selected="0">
            <x v="7"/>
          </reference>
          <reference field="5" count="1" selected="0">
            <x v="104"/>
          </reference>
          <reference field="6" count="1">
            <x v="4"/>
          </reference>
        </references>
      </pivotArea>
    </format>
    <format dxfId="6103">
      <pivotArea dataOnly="0" labelOnly="1" outline="0" fieldPosition="0">
        <references count="4">
          <reference field="1" count="0" selected="0"/>
          <reference field="3" count="1" selected="0">
            <x v="7"/>
          </reference>
          <reference field="5" count="1" selected="0">
            <x v="181"/>
          </reference>
          <reference field="6" count="1">
            <x v="6"/>
          </reference>
        </references>
      </pivotArea>
    </format>
    <format dxfId="6102">
      <pivotArea dataOnly="0" labelOnly="1" outline="0" fieldPosition="0">
        <references count="4">
          <reference field="1" count="0" selected="0"/>
          <reference field="3" count="1" selected="0">
            <x v="7"/>
          </reference>
          <reference field="5" count="1" selected="0">
            <x v="182"/>
          </reference>
          <reference field="6" count="1">
            <x v="6"/>
          </reference>
        </references>
      </pivotArea>
    </format>
    <format dxfId="6101">
      <pivotArea dataOnly="0" labelOnly="1" outline="0" fieldPosition="0">
        <references count="4">
          <reference field="1" count="0" selected="0"/>
          <reference field="3" count="1" selected="0">
            <x v="7"/>
          </reference>
          <reference field="5" count="1" selected="0">
            <x v="230"/>
          </reference>
          <reference field="6" count="1">
            <x v="6"/>
          </reference>
        </references>
      </pivotArea>
    </format>
    <format dxfId="6100">
      <pivotArea dataOnly="0" labelOnly="1" outline="0" fieldPosition="0">
        <references count="4">
          <reference field="1" count="0" selected="0"/>
          <reference field="3" count="1" selected="0">
            <x v="7"/>
          </reference>
          <reference field="5" count="1" selected="0">
            <x v="232"/>
          </reference>
          <reference field="6" count="1">
            <x v="6"/>
          </reference>
        </references>
      </pivotArea>
    </format>
    <format dxfId="6099">
      <pivotArea dataOnly="0" labelOnly="1" outline="0" fieldPosition="0">
        <references count="4">
          <reference field="1" count="0" selected="0"/>
          <reference field="3" count="1" selected="0">
            <x v="7"/>
          </reference>
          <reference field="5" count="1" selected="0">
            <x v="345"/>
          </reference>
          <reference field="6" count="1">
            <x v="4"/>
          </reference>
        </references>
      </pivotArea>
    </format>
    <format dxfId="6098">
      <pivotArea dataOnly="0" labelOnly="1" outline="0" fieldPosition="0">
        <references count="4">
          <reference field="1" count="0" selected="0"/>
          <reference field="3" count="1" selected="0">
            <x v="8"/>
          </reference>
          <reference field="5" count="1" selected="0">
            <x v="23"/>
          </reference>
          <reference field="6" count="1">
            <x v="6"/>
          </reference>
        </references>
      </pivotArea>
    </format>
    <format dxfId="6097">
      <pivotArea dataOnly="0" labelOnly="1" outline="0" fieldPosition="0">
        <references count="4">
          <reference field="1" count="0" selected="0"/>
          <reference field="3" count="1" selected="0">
            <x v="8"/>
          </reference>
          <reference field="5" count="1" selected="0">
            <x v="25"/>
          </reference>
          <reference field="6" count="1">
            <x v="6"/>
          </reference>
        </references>
      </pivotArea>
    </format>
    <format dxfId="6096">
      <pivotArea dataOnly="0" labelOnly="1" outline="0" fieldPosition="0">
        <references count="4">
          <reference field="1" count="0" selected="0"/>
          <reference field="3" count="1" selected="0">
            <x v="8"/>
          </reference>
          <reference field="5" count="1" selected="0">
            <x v="34"/>
          </reference>
          <reference field="6" count="1">
            <x v="7"/>
          </reference>
        </references>
      </pivotArea>
    </format>
    <format dxfId="6095">
      <pivotArea dataOnly="0" labelOnly="1" outline="0" fieldPosition="0">
        <references count="4">
          <reference field="1" count="0" selected="0"/>
          <reference field="3" count="1" selected="0">
            <x v="8"/>
          </reference>
          <reference field="5" count="1" selected="0">
            <x v="44"/>
          </reference>
          <reference field="6" count="1">
            <x v="7"/>
          </reference>
        </references>
      </pivotArea>
    </format>
    <format dxfId="6094">
      <pivotArea dataOnly="0" labelOnly="1" outline="0" fieldPosition="0">
        <references count="4">
          <reference field="1" count="0" selected="0"/>
          <reference field="3" count="1" selected="0">
            <x v="8"/>
          </reference>
          <reference field="5" count="1" selected="0">
            <x v="96"/>
          </reference>
          <reference field="6" count="1">
            <x v="6"/>
          </reference>
        </references>
      </pivotArea>
    </format>
    <format dxfId="6093">
      <pivotArea dataOnly="0" labelOnly="1" outline="0" fieldPosition="0">
        <references count="4">
          <reference field="1" count="0" selected="0"/>
          <reference field="3" count="1" selected="0">
            <x v="10"/>
          </reference>
          <reference field="5" count="1" selected="0">
            <x v="82"/>
          </reference>
          <reference field="6" count="1">
            <x v="7"/>
          </reference>
        </references>
      </pivotArea>
    </format>
    <format dxfId="6092">
      <pivotArea dataOnly="0" labelOnly="1" outline="0" fieldPosition="0">
        <references count="4">
          <reference field="1" count="0" selected="0"/>
          <reference field="3" count="1" selected="0">
            <x v="3"/>
          </reference>
          <reference field="5" count="1" selected="0">
            <x v="91"/>
          </reference>
          <reference field="6" count="1">
            <x v="3"/>
          </reference>
        </references>
      </pivotArea>
    </format>
    <format dxfId="6091">
      <pivotArea dataOnly="0" labelOnly="1" outline="0" fieldPosition="0">
        <references count="4">
          <reference field="1" count="0" selected="0"/>
          <reference field="3" count="1" selected="0">
            <x v="3"/>
          </reference>
          <reference field="5" count="1" selected="0">
            <x v="284"/>
          </reference>
          <reference field="6" count="1">
            <x v="3"/>
          </reference>
        </references>
      </pivotArea>
    </format>
    <format dxfId="6090">
      <pivotArea dataOnly="0" labelOnly="1" outline="0" fieldPosition="0">
        <references count="4">
          <reference field="1" count="0" selected="0"/>
          <reference field="3" count="1" selected="0">
            <x v="3"/>
          </reference>
          <reference field="5" count="1" selected="0">
            <x v="290"/>
          </reference>
          <reference field="6" count="1">
            <x v="3"/>
          </reference>
        </references>
      </pivotArea>
    </format>
    <format dxfId="6089">
      <pivotArea dataOnly="0" labelOnly="1" outline="0" fieldPosition="0">
        <references count="4">
          <reference field="1" count="0" selected="0"/>
          <reference field="3" count="1" selected="0">
            <x v="3"/>
          </reference>
          <reference field="5" count="1" selected="0">
            <x v="293"/>
          </reference>
          <reference field="6" count="1">
            <x v="3"/>
          </reference>
        </references>
      </pivotArea>
    </format>
    <format dxfId="6088">
      <pivotArea dataOnly="0" labelOnly="1" outline="0" fieldPosition="0">
        <references count="4">
          <reference field="1" count="0" selected="0"/>
          <reference field="3" count="1" selected="0">
            <x v="3"/>
          </reference>
          <reference field="5" count="1" selected="0">
            <x v="298"/>
          </reference>
          <reference field="6" count="1">
            <x v="3"/>
          </reference>
        </references>
      </pivotArea>
    </format>
    <format dxfId="6087">
      <pivotArea dataOnly="0" labelOnly="1" outline="0" fieldPosition="0">
        <references count="4">
          <reference field="1" count="0" selected="0"/>
          <reference field="3" count="1" selected="0">
            <x v="5"/>
          </reference>
          <reference field="5" count="1" selected="0">
            <x v="35"/>
          </reference>
          <reference field="6" count="1">
            <x v="3"/>
          </reference>
        </references>
      </pivotArea>
    </format>
    <format dxfId="6086">
      <pivotArea dataOnly="0" labelOnly="1" outline="0" fieldPosition="0">
        <references count="4">
          <reference field="1" count="0" selected="0"/>
          <reference field="3" count="1" selected="0">
            <x v="5"/>
          </reference>
          <reference field="5" count="1" selected="0">
            <x v="136"/>
          </reference>
          <reference field="6" count="1">
            <x v="3"/>
          </reference>
        </references>
      </pivotArea>
    </format>
    <format dxfId="6085">
      <pivotArea dataOnly="0" labelOnly="1" outline="0" fieldPosition="0">
        <references count="4">
          <reference field="1" count="0" selected="0"/>
          <reference field="3" count="1" selected="0">
            <x v="5"/>
          </reference>
          <reference field="5" count="1" selected="0">
            <x v="140"/>
          </reference>
          <reference field="6" count="1">
            <x v="3"/>
          </reference>
        </references>
      </pivotArea>
    </format>
    <format dxfId="6084">
      <pivotArea dataOnly="0" labelOnly="1" outline="0" fieldPosition="0">
        <references count="4">
          <reference field="1" count="0" selected="0"/>
          <reference field="3" count="1" selected="0">
            <x v="5"/>
          </reference>
          <reference field="5" count="1" selected="0">
            <x v="146"/>
          </reference>
          <reference field="6" count="1">
            <x v="3"/>
          </reference>
        </references>
      </pivotArea>
    </format>
    <format dxfId="6083">
      <pivotArea dataOnly="0" labelOnly="1" outline="0" fieldPosition="0">
        <references count="4">
          <reference field="1" count="0" selected="0"/>
          <reference field="3" count="1" selected="0">
            <x v="5"/>
          </reference>
          <reference field="5" count="1" selected="0">
            <x v="163"/>
          </reference>
          <reference field="6" count="1">
            <x v="3"/>
          </reference>
        </references>
      </pivotArea>
    </format>
    <format dxfId="6082">
      <pivotArea dataOnly="0" labelOnly="1" outline="0" fieldPosition="0">
        <references count="4">
          <reference field="1" count="0" selected="0"/>
          <reference field="3" count="1" selected="0">
            <x v="5"/>
          </reference>
          <reference field="5" count="1" selected="0">
            <x v="201"/>
          </reference>
          <reference field="6" count="1">
            <x v="3"/>
          </reference>
        </references>
      </pivotArea>
    </format>
    <format dxfId="6081">
      <pivotArea dataOnly="0" labelOnly="1" outline="0" fieldPosition="0">
        <references count="4">
          <reference field="1" count="0" selected="0"/>
          <reference field="3" count="1" selected="0">
            <x v="5"/>
          </reference>
          <reference field="5" count="1" selected="0">
            <x v="215"/>
          </reference>
          <reference field="6" count="1">
            <x v="3"/>
          </reference>
        </references>
      </pivotArea>
    </format>
    <format dxfId="6080">
      <pivotArea dataOnly="0" labelOnly="1" outline="0" fieldPosition="0">
        <references count="4">
          <reference field="1" count="0" selected="0"/>
          <reference field="3" count="1" selected="0">
            <x v="5"/>
          </reference>
          <reference field="5" count="1" selected="0">
            <x v="242"/>
          </reference>
          <reference field="6" count="1">
            <x v="3"/>
          </reference>
        </references>
      </pivotArea>
    </format>
    <format dxfId="6079">
      <pivotArea dataOnly="0" labelOnly="1" outline="0" fieldPosition="0">
        <references count="4">
          <reference field="1" count="0" selected="0"/>
          <reference field="3" count="1" selected="0">
            <x v="5"/>
          </reference>
          <reference field="5" count="1" selected="0">
            <x v="321"/>
          </reference>
          <reference field="6" count="1">
            <x v="3"/>
          </reference>
        </references>
      </pivotArea>
    </format>
    <format dxfId="6078">
      <pivotArea dataOnly="0" labelOnly="1" outline="0" fieldPosition="0">
        <references count="4">
          <reference field="1" count="0" selected="0"/>
          <reference field="3" count="1" selected="0">
            <x v="6"/>
          </reference>
          <reference field="5" count="1" selected="0">
            <x v="6"/>
          </reference>
          <reference field="6" count="1">
            <x v="3"/>
          </reference>
        </references>
      </pivotArea>
    </format>
    <format dxfId="6077">
      <pivotArea dataOnly="0" labelOnly="1" outline="0" fieldPosition="0">
        <references count="4">
          <reference field="1" count="0" selected="0"/>
          <reference field="3" count="1" selected="0">
            <x v="6"/>
          </reference>
          <reference field="5" count="1" selected="0">
            <x v="29"/>
          </reference>
          <reference field="6" count="1">
            <x v="3"/>
          </reference>
        </references>
      </pivotArea>
    </format>
    <format dxfId="6076">
      <pivotArea dataOnly="0" labelOnly="1" outline="0" fieldPosition="0">
        <references count="4">
          <reference field="1" count="0" selected="0"/>
          <reference field="3" count="1" selected="0">
            <x v="6"/>
          </reference>
          <reference field="5" count="1" selected="0">
            <x v="42"/>
          </reference>
          <reference field="6" count="1">
            <x v="4"/>
          </reference>
        </references>
      </pivotArea>
    </format>
    <format dxfId="6075">
      <pivotArea dataOnly="0" labelOnly="1" outline="0" fieldPosition="0">
        <references count="4">
          <reference field="1" count="0" selected="0"/>
          <reference field="3" count="1" selected="0">
            <x v="6"/>
          </reference>
          <reference field="5" count="1" selected="0">
            <x v="61"/>
          </reference>
          <reference field="6" count="1">
            <x v="3"/>
          </reference>
        </references>
      </pivotArea>
    </format>
    <format dxfId="6074">
      <pivotArea dataOnly="0" labelOnly="1" outline="0" fieldPosition="0">
        <references count="4">
          <reference field="1" count="0" selected="0"/>
          <reference field="3" count="1" selected="0">
            <x v="6"/>
          </reference>
          <reference field="5" count="1" selected="0">
            <x v="70"/>
          </reference>
          <reference field="6" count="1">
            <x v="3"/>
          </reference>
        </references>
      </pivotArea>
    </format>
    <format dxfId="6073">
      <pivotArea dataOnly="0" labelOnly="1" outline="0" fieldPosition="0">
        <references count="4">
          <reference field="1" count="0" selected="0"/>
          <reference field="3" count="1" selected="0">
            <x v="6"/>
          </reference>
          <reference field="5" count="1" selected="0">
            <x v="86"/>
          </reference>
          <reference field="6" count="1">
            <x v="3"/>
          </reference>
        </references>
      </pivotArea>
    </format>
    <format dxfId="6072">
      <pivotArea dataOnly="0" labelOnly="1" outline="0" fieldPosition="0">
        <references count="4">
          <reference field="1" count="0" selected="0"/>
          <reference field="3" count="1" selected="0">
            <x v="6"/>
          </reference>
          <reference field="5" count="1" selected="0">
            <x v="116"/>
          </reference>
          <reference field="6" count="1">
            <x v="3"/>
          </reference>
        </references>
      </pivotArea>
    </format>
    <format dxfId="6071">
      <pivotArea dataOnly="0" labelOnly="1" outline="0" fieldPosition="0">
        <references count="4">
          <reference field="1" count="0" selected="0"/>
          <reference field="3" count="1" selected="0">
            <x v="6"/>
          </reference>
          <reference field="5" count="1" selected="0">
            <x v="134"/>
          </reference>
          <reference field="6" count="1">
            <x v="3"/>
          </reference>
        </references>
      </pivotArea>
    </format>
    <format dxfId="6070">
      <pivotArea dataOnly="0" labelOnly="1" outline="0" fieldPosition="0">
        <references count="4">
          <reference field="1" count="0" selected="0"/>
          <reference field="3" count="1" selected="0">
            <x v="6"/>
          </reference>
          <reference field="5" count="1" selected="0">
            <x v="159"/>
          </reference>
          <reference field="6" count="1">
            <x v="4"/>
          </reference>
        </references>
      </pivotArea>
    </format>
    <format dxfId="6069">
      <pivotArea dataOnly="0" labelOnly="1" outline="0" fieldPosition="0">
        <references count="4">
          <reference field="1" count="0" selected="0"/>
          <reference field="3" count="1" selected="0">
            <x v="6"/>
          </reference>
          <reference field="5" count="1" selected="0">
            <x v="170"/>
          </reference>
          <reference field="6" count="1">
            <x v="4"/>
          </reference>
        </references>
      </pivotArea>
    </format>
    <format dxfId="6068">
      <pivotArea dataOnly="0" labelOnly="1" outline="0" fieldPosition="0">
        <references count="4">
          <reference field="1" count="0" selected="0"/>
          <reference field="3" count="1" selected="0">
            <x v="6"/>
          </reference>
          <reference field="5" count="1" selected="0">
            <x v="173"/>
          </reference>
          <reference field="6" count="1">
            <x v="4"/>
          </reference>
        </references>
      </pivotArea>
    </format>
    <format dxfId="6067">
      <pivotArea dataOnly="0" labelOnly="1" outline="0" fieldPosition="0">
        <references count="4">
          <reference field="1" count="0" selected="0"/>
          <reference field="3" count="1" selected="0">
            <x v="6"/>
          </reference>
          <reference field="5" count="1" selected="0">
            <x v="178"/>
          </reference>
          <reference field="6" count="1">
            <x v="4"/>
          </reference>
        </references>
      </pivotArea>
    </format>
    <format dxfId="6066">
      <pivotArea dataOnly="0" labelOnly="1" outline="0" fieldPosition="0">
        <references count="4">
          <reference field="1" count="0" selected="0"/>
          <reference field="3" count="1" selected="0">
            <x v="6"/>
          </reference>
          <reference field="5" count="1" selected="0">
            <x v="199"/>
          </reference>
          <reference field="6" count="1">
            <x v="4"/>
          </reference>
        </references>
      </pivotArea>
    </format>
    <format dxfId="6065">
      <pivotArea dataOnly="0" labelOnly="1" outline="0" fieldPosition="0">
        <references count="4">
          <reference field="1" count="0" selected="0"/>
          <reference field="3" count="1" selected="0">
            <x v="6"/>
          </reference>
          <reference field="5" count="1" selected="0">
            <x v="225"/>
          </reference>
          <reference field="6" count="1">
            <x v="4"/>
          </reference>
        </references>
      </pivotArea>
    </format>
    <format dxfId="6064">
      <pivotArea dataOnly="0" labelOnly="1" outline="0" fieldPosition="0">
        <references count="4">
          <reference field="1" count="0" selected="0"/>
          <reference field="3" count="1" selected="0">
            <x v="6"/>
          </reference>
          <reference field="5" count="1" selected="0">
            <x v="234"/>
          </reference>
          <reference field="6" count="1">
            <x v="4"/>
          </reference>
        </references>
      </pivotArea>
    </format>
    <format dxfId="6063">
      <pivotArea dataOnly="0" labelOnly="1" outline="0" fieldPosition="0">
        <references count="4">
          <reference field="1" count="0" selected="0"/>
          <reference field="3" count="1" selected="0">
            <x v="6"/>
          </reference>
          <reference field="5" count="1" selected="0">
            <x v="247"/>
          </reference>
          <reference field="6" count="1">
            <x v="4"/>
          </reference>
        </references>
      </pivotArea>
    </format>
    <format dxfId="6062">
      <pivotArea dataOnly="0" labelOnly="1" outline="0" fieldPosition="0">
        <references count="4">
          <reference field="1" count="0" selected="0"/>
          <reference field="3" count="1" selected="0">
            <x v="6"/>
          </reference>
          <reference field="5" count="1" selected="0">
            <x v="255"/>
          </reference>
          <reference field="6" count="1">
            <x v="4"/>
          </reference>
        </references>
      </pivotArea>
    </format>
    <format dxfId="6061">
      <pivotArea dataOnly="0" labelOnly="1" outline="0" fieldPosition="0">
        <references count="4">
          <reference field="1" count="0" selected="0"/>
          <reference field="3" count="1" selected="0">
            <x v="6"/>
          </reference>
          <reference field="5" count="1" selected="0">
            <x v="261"/>
          </reference>
          <reference field="6" count="1">
            <x v="4"/>
          </reference>
        </references>
      </pivotArea>
    </format>
    <format dxfId="6060">
      <pivotArea dataOnly="0" labelOnly="1" outline="0" fieldPosition="0">
        <references count="4">
          <reference field="1" count="0" selected="0"/>
          <reference field="3" count="1" selected="0">
            <x v="6"/>
          </reference>
          <reference field="5" count="1" selected="0">
            <x v="264"/>
          </reference>
          <reference field="6" count="1">
            <x v="4"/>
          </reference>
        </references>
      </pivotArea>
    </format>
    <format dxfId="6059">
      <pivotArea dataOnly="0" labelOnly="1" outline="0" fieldPosition="0">
        <references count="4">
          <reference field="1" count="0" selected="0"/>
          <reference field="3" count="1" selected="0">
            <x v="6"/>
          </reference>
          <reference field="5" count="1" selected="0">
            <x v="270"/>
          </reference>
          <reference field="6" count="1">
            <x v="4"/>
          </reference>
        </references>
      </pivotArea>
    </format>
    <format dxfId="6058">
      <pivotArea dataOnly="0" labelOnly="1" outline="0" fieldPosition="0">
        <references count="4">
          <reference field="1" count="0" selected="0"/>
          <reference field="3" count="1" selected="0">
            <x v="6"/>
          </reference>
          <reference field="5" count="1" selected="0">
            <x v="276"/>
          </reference>
          <reference field="6" count="1">
            <x v="4"/>
          </reference>
        </references>
      </pivotArea>
    </format>
    <format dxfId="6057">
      <pivotArea dataOnly="0" labelOnly="1" outline="0" fieldPosition="0">
        <references count="4">
          <reference field="1" count="0" selected="0"/>
          <reference field="3" count="1" selected="0">
            <x v="7"/>
          </reference>
          <reference field="5" count="1" selected="0">
            <x v="15"/>
          </reference>
          <reference field="6" count="1">
            <x v="4"/>
          </reference>
        </references>
      </pivotArea>
    </format>
    <format dxfId="6056">
      <pivotArea dataOnly="0" labelOnly="1" outline="0" fieldPosition="0">
        <references count="4">
          <reference field="1" count="0" selected="0"/>
          <reference field="3" count="1" selected="0">
            <x v="7"/>
          </reference>
          <reference field="5" count="1" selected="0">
            <x v="20"/>
          </reference>
          <reference field="6" count="1">
            <x v="4"/>
          </reference>
        </references>
      </pivotArea>
    </format>
    <format dxfId="6055">
      <pivotArea dataOnly="0" labelOnly="1" outline="0" fieldPosition="0">
        <references count="4">
          <reference field="1" count="0" selected="0"/>
          <reference field="3" count="1" selected="0">
            <x v="7"/>
          </reference>
          <reference field="5" count="1" selected="0">
            <x v="38"/>
          </reference>
          <reference field="6" count="1">
            <x v="6"/>
          </reference>
        </references>
      </pivotArea>
    </format>
    <format dxfId="6054">
      <pivotArea dataOnly="0" labelOnly="1" outline="0" fieldPosition="0">
        <references count="4">
          <reference field="1" count="0" selected="0"/>
          <reference field="3" count="1" selected="0">
            <x v="7"/>
          </reference>
          <reference field="5" count="1" selected="0">
            <x v="60"/>
          </reference>
          <reference field="6" count="1">
            <x v="4"/>
          </reference>
        </references>
      </pivotArea>
    </format>
    <format dxfId="6053">
      <pivotArea dataOnly="0" labelOnly="1" outline="0" fieldPosition="0">
        <references count="4">
          <reference field="1" count="0" selected="0"/>
          <reference field="3" count="1" selected="0">
            <x v="7"/>
          </reference>
          <reference field="5" count="1" selected="0">
            <x v="72"/>
          </reference>
          <reference field="6" count="1">
            <x v="4"/>
          </reference>
        </references>
      </pivotArea>
    </format>
    <format dxfId="6052">
      <pivotArea dataOnly="0" labelOnly="1" outline="0" fieldPosition="0">
        <references count="4">
          <reference field="1" count="0" selected="0"/>
          <reference field="3" count="1" selected="0">
            <x v="7"/>
          </reference>
          <reference field="5" count="1" selected="0">
            <x v="98"/>
          </reference>
          <reference field="6" count="1">
            <x v="7"/>
          </reference>
        </references>
      </pivotArea>
    </format>
    <format dxfId="6051">
      <pivotArea dataOnly="0" labelOnly="1" outline="0" fieldPosition="0">
        <references count="4">
          <reference field="1" count="0" selected="0"/>
          <reference field="3" count="1" selected="0">
            <x v="7"/>
          </reference>
          <reference field="5" count="1" selected="0">
            <x v="114"/>
          </reference>
          <reference field="6" count="1">
            <x v="4"/>
          </reference>
        </references>
      </pivotArea>
    </format>
    <format dxfId="6050">
      <pivotArea dataOnly="0" labelOnly="1" outline="0" fieldPosition="0">
        <references count="4">
          <reference field="1" count="0" selected="0"/>
          <reference field="3" count="1" selected="0">
            <x v="7"/>
          </reference>
          <reference field="5" count="1" selected="0">
            <x v="161"/>
          </reference>
          <reference field="6" count="1">
            <x v="6"/>
          </reference>
        </references>
      </pivotArea>
    </format>
    <format dxfId="6049">
      <pivotArea dataOnly="0" labelOnly="1" outline="0" fieldPosition="0">
        <references count="4">
          <reference field="1" count="0" selected="0"/>
          <reference field="3" count="1" selected="0">
            <x v="7"/>
          </reference>
          <reference field="5" count="1" selected="0">
            <x v="183"/>
          </reference>
          <reference field="6" count="1">
            <x v="6"/>
          </reference>
        </references>
      </pivotArea>
    </format>
    <format dxfId="6048">
      <pivotArea dataOnly="0" labelOnly="1" outline="0" fieldPosition="0">
        <references count="4">
          <reference field="1" count="0" selected="0"/>
          <reference field="3" count="1" selected="0">
            <x v="7"/>
          </reference>
          <reference field="5" count="1" selected="0">
            <x v="231"/>
          </reference>
          <reference field="6" count="1">
            <x v="6"/>
          </reference>
        </references>
      </pivotArea>
    </format>
    <format dxfId="6047">
      <pivotArea dataOnly="0" labelOnly="1" outline="0" fieldPosition="0">
        <references count="4">
          <reference field="1" count="0" selected="0"/>
          <reference field="3" count="1" selected="0">
            <x v="7"/>
          </reference>
          <reference field="5" count="1" selected="0">
            <x v="308"/>
          </reference>
          <reference field="6" count="1">
            <x v="6"/>
          </reference>
        </references>
      </pivotArea>
    </format>
    <format dxfId="6046">
      <pivotArea dataOnly="0" labelOnly="1" outline="0" fieldPosition="0">
        <references count="4">
          <reference field="1" count="0" selected="0"/>
          <reference field="3" count="1" selected="0">
            <x v="7"/>
          </reference>
          <reference field="5" count="1" selected="0">
            <x v="339"/>
          </reference>
          <reference field="6" count="1">
            <x v="4"/>
          </reference>
        </references>
      </pivotArea>
    </format>
    <format dxfId="6045">
      <pivotArea dataOnly="0" labelOnly="1" outline="0" fieldPosition="0">
        <references count="4">
          <reference field="1" count="0" selected="0"/>
          <reference field="3" count="1" selected="0">
            <x v="8"/>
          </reference>
          <reference field="5" count="1" selected="0">
            <x v="113"/>
          </reference>
          <reference field="6" count="1">
            <x v="6"/>
          </reference>
        </references>
      </pivotArea>
    </format>
    <format dxfId="6044">
      <pivotArea dataOnly="0" labelOnly="1" outline="0" fieldPosition="0">
        <references count="4">
          <reference field="1" count="0" selected="0"/>
          <reference field="3" count="1" selected="0">
            <x v="8"/>
          </reference>
          <reference field="5" count="1" selected="0">
            <x v="196"/>
          </reference>
          <reference field="6" count="1">
            <x v="7"/>
          </reference>
        </references>
      </pivotArea>
    </format>
    <format dxfId="6043">
      <pivotArea dataOnly="0" labelOnly="1" outline="0" fieldPosition="0">
        <references count="4">
          <reference field="1" count="0" selected="0"/>
          <reference field="3" count="1" selected="0">
            <x v="10"/>
          </reference>
          <reference field="5" count="1" selected="0">
            <x v="10"/>
          </reference>
          <reference field="6" count="1">
            <x v="7"/>
          </reference>
        </references>
      </pivotArea>
    </format>
    <format dxfId="6042">
      <pivotArea dataOnly="0" labelOnly="1" outline="0" fieldPosition="0">
        <references count="4">
          <reference field="1" count="0" selected="0"/>
          <reference field="3" count="1" selected="0">
            <x v="10"/>
          </reference>
          <reference field="5" count="1" selected="0">
            <x v="64"/>
          </reference>
          <reference field="6" count="1">
            <x v="7"/>
          </reference>
        </references>
      </pivotArea>
    </format>
    <format dxfId="6041">
      <pivotArea dataOnly="0" labelOnly="1" outline="0" fieldPosition="0">
        <references count="4">
          <reference field="1" count="0" selected="0"/>
          <reference field="3" count="1" selected="0">
            <x v="10"/>
          </reference>
          <reference field="5" count="1" selected="0">
            <x v="77"/>
          </reference>
          <reference field="6" count="1">
            <x v="7"/>
          </reference>
        </references>
      </pivotArea>
    </format>
    <format dxfId="6040">
      <pivotArea dataOnly="0" labelOnly="1" outline="0" fieldPosition="0">
        <references count="4">
          <reference field="1" count="0" selected="0"/>
          <reference field="3" count="1" selected="0">
            <x v="10"/>
          </reference>
          <reference field="5" count="1" selected="0">
            <x v="101"/>
          </reference>
          <reference field="6" count="1">
            <x v="7"/>
          </reference>
        </references>
      </pivotArea>
    </format>
    <format dxfId="6039">
      <pivotArea dataOnly="0" labelOnly="1" outline="0" fieldPosition="0">
        <references count="4">
          <reference field="1" count="0" selected="0"/>
          <reference field="3" count="1" selected="0">
            <x v="0"/>
          </reference>
          <reference field="5" count="1" selected="0">
            <x v="344"/>
          </reference>
          <reference field="6" count="1">
            <x v="8"/>
          </reference>
        </references>
      </pivotArea>
    </format>
    <format dxfId="6038">
      <pivotArea dataOnly="0" labelOnly="1" outline="0" fieldPosition="0">
        <references count="4">
          <reference field="1" count="0" selected="0"/>
          <reference field="3" count="1" selected="0">
            <x v="3"/>
          </reference>
          <reference field="5" count="1" selected="0">
            <x v="285"/>
          </reference>
          <reference field="6" count="1">
            <x v="3"/>
          </reference>
        </references>
      </pivotArea>
    </format>
    <format dxfId="6037">
      <pivotArea dataOnly="0" labelOnly="1" outline="0" fieldPosition="0">
        <references count="4">
          <reference field="1" count="0" selected="0"/>
          <reference field="3" count="1" selected="0">
            <x v="3"/>
          </reference>
          <reference field="5" count="1" selected="0">
            <x v="289"/>
          </reference>
          <reference field="6" count="1">
            <x v="3"/>
          </reference>
        </references>
      </pivotArea>
    </format>
    <format dxfId="6036">
      <pivotArea dataOnly="0" labelOnly="1" outline="0" fieldPosition="0">
        <references count="4">
          <reference field="1" count="0" selected="0"/>
          <reference field="3" count="1" selected="0">
            <x v="3"/>
          </reference>
          <reference field="5" count="1" selected="0">
            <x v="294"/>
          </reference>
          <reference field="6" count="1">
            <x v="3"/>
          </reference>
        </references>
      </pivotArea>
    </format>
    <format dxfId="6035">
      <pivotArea dataOnly="0" labelOnly="1" outline="0" fieldPosition="0">
        <references count="4">
          <reference field="1" count="0" selected="0"/>
          <reference field="3" count="1" selected="0">
            <x v="3"/>
          </reference>
          <reference field="5" count="1" selected="0">
            <x v="297"/>
          </reference>
          <reference field="6" count="1">
            <x v="3"/>
          </reference>
        </references>
      </pivotArea>
    </format>
    <format dxfId="6034">
      <pivotArea dataOnly="0" labelOnly="1" outline="0" fieldPosition="0">
        <references count="4">
          <reference field="1" count="0" selected="0"/>
          <reference field="3" count="1" selected="0">
            <x v="5"/>
          </reference>
          <reference field="5" count="1" selected="0">
            <x v="37"/>
          </reference>
          <reference field="6" count="1">
            <x v="3"/>
          </reference>
        </references>
      </pivotArea>
    </format>
    <format dxfId="6033">
      <pivotArea dataOnly="0" labelOnly="1" outline="0" fieldPosition="0">
        <references count="4">
          <reference field="1" count="0" selected="0"/>
          <reference field="3" count="1" selected="0">
            <x v="5"/>
          </reference>
          <reference field="5" count="1" selected="0">
            <x v="122"/>
          </reference>
          <reference field="6" count="1">
            <x v="6"/>
          </reference>
        </references>
      </pivotArea>
    </format>
    <format dxfId="6032">
      <pivotArea dataOnly="0" labelOnly="1" outline="0" fieldPosition="0">
        <references count="4">
          <reference field="1" count="0" selected="0"/>
          <reference field="3" count="1" selected="0">
            <x v="5"/>
          </reference>
          <reference field="5" count="1" selected="0">
            <x v="141"/>
          </reference>
          <reference field="6" count="1">
            <x v="3"/>
          </reference>
        </references>
      </pivotArea>
    </format>
    <format dxfId="6031">
      <pivotArea dataOnly="0" labelOnly="1" outline="0" fieldPosition="0">
        <references count="4">
          <reference field="1" count="0" selected="0"/>
          <reference field="3" count="1" selected="0">
            <x v="5"/>
          </reference>
          <reference field="5" count="1" selected="0">
            <x v="145"/>
          </reference>
          <reference field="6" count="1">
            <x v="3"/>
          </reference>
        </references>
      </pivotArea>
    </format>
    <format dxfId="6030">
      <pivotArea dataOnly="0" labelOnly="1" outline="0" fieldPosition="0">
        <references count="4">
          <reference field="1" count="0" selected="0"/>
          <reference field="3" count="1" selected="0">
            <x v="5"/>
          </reference>
          <reference field="5" count="1" selected="0">
            <x v="164"/>
          </reference>
          <reference field="6" count="1">
            <x v="3"/>
          </reference>
        </references>
      </pivotArea>
    </format>
    <format dxfId="6029">
      <pivotArea dataOnly="0" labelOnly="1" outline="0" fieldPosition="0">
        <references count="4">
          <reference field="1" count="0" selected="0"/>
          <reference field="3" count="1" selected="0">
            <x v="5"/>
          </reference>
          <reference field="5" count="1" selected="0">
            <x v="193"/>
          </reference>
          <reference field="6" count="1">
            <x v="3"/>
          </reference>
        </references>
      </pivotArea>
    </format>
    <format dxfId="6028">
      <pivotArea dataOnly="0" labelOnly="1" outline="0" fieldPosition="0">
        <references count="4">
          <reference field="1" count="0" selected="0"/>
          <reference field="3" count="1" selected="0">
            <x v="5"/>
          </reference>
          <reference field="5" count="1" selected="0">
            <x v="216"/>
          </reference>
          <reference field="6" count="1">
            <x v="3"/>
          </reference>
        </references>
      </pivotArea>
    </format>
    <format dxfId="6027">
      <pivotArea dataOnly="0" labelOnly="1" outline="0" fieldPosition="0">
        <references count="4">
          <reference field="1" count="0" selected="0"/>
          <reference field="3" count="1" selected="0">
            <x v="5"/>
          </reference>
          <reference field="5" count="1" selected="0">
            <x v="219"/>
          </reference>
          <reference field="6" count="1">
            <x v="3"/>
          </reference>
        </references>
      </pivotArea>
    </format>
    <format dxfId="6026">
      <pivotArea dataOnly="0" labelOnly="1" outline="0" fieldPosition="0">
        <references count="4">
          <reference field="1" count="0" selected="0"/>
          <reference field="3" count="1" selected="0">
            <x v="5"/>
          </reference>
          <reference field="5" count="1" selected="0">
            <x v="340"/>
          </reference>
          <reference field="6" count="1">
            <x v="3"/>
          </reference>
        </references>
      </pivotArea>
    </format>
    <format dxfId="6025">
      <pivotArea dataOnly="0" labelOnly="1" outline="0" fieldPosition="0">
        <references count="4">
          <reference field="1" count="0" selected="0"/>
          <reference field="3" count="1" selected="0">
            <x v="5"/>
          </reference>
          <reference field="5" count="1" selected="0">
            <x v="341"/>
          </reference>
          <reference field="6" count="1">
            <x v="3"/>
          </reference>
        </references>
      </pivotArea>
    </format>
    <format dxfId="6024">
      <pivotArea dataOnly="0" labelOnly="1" outline="0" fieldPosition="0">
        <references count="4">
          <reference field="1" count="0" selected="0"/>
          <reference field="3" count="1" selected="0">
            <x v="6"/>
          </reference>
          <reference field="5" count="1" selected="0">
            <x v="13"/>
          </reference>
          <reference field="6" count="1">
            <x v="3"/>
          </reference>
        </references>
      </pivotArea>
    </format>
    <format dxfId="6023">
      <pivotArea dataOnly="0" labelOnly="1" outline="0" fieldPosition="0">
        <references count="4">
          <reference field="1" count="0" selected="0"/>
          <reference field="3" count="1" selected="0">
            <x v="6"/>
          </reference>
          <reference field="5" count="1" selected="0">
            <x v="28"/>
          </reference>
          <reference field="6" count="1">
            <x v="3"/>
          </reference>
        </references>
      </pivotArea>
    </format>
    <format dxfId="6022">
      <pivotArea dataOnly="0" labelOnly="1" outline="0" fieldPosition="0">
        <references count="4">
          <reference field="1" count="0" selected="0"/>
          <reference field="3" count="1" selected="0">
            <x v="6"/>
          </reference>
          <reference field="5" count="1" selected="0">
            <x v="46"/>
          </reference>
          <reference field="6" count="1">
            <x v="4"/>
          </reference>
        </references>
      </pivotArea>
    </format>
    <format dxfId="6021">
      <pivotArea dataOnly="0" labelOnly="1" outline="0" fieldPosition="0">
        <references count="4">
          <reference field="1" count="0" selected="0"/>
          <reference field="3" count="1" selected="0">
            <x v="6"/>
          </reference>
          <reference field="5" count="1" selected="0">
            <x v="55"/>
          </reference>
          <reference field="6" count="1">
            <x v="3"/>
          </reference>
        </references>
      </pivotArea>
    </format>
    <format dxfId="6020">
      <pivotArea dataOnly="0" labelOnly="1" outline="0" fieldPosition="0">
        <references count="4">
          <reference field="1" count="0" selected="0"/>
          <reference field="3" count="1" selected="0">
            <x v="6"/>
          </reference>
          <reference field="5" count="1" selected="0">
            <x v="71"/>
          </reference>
          <reference field="6" count="1">
            <x v="3"/>
          </reference>
        </references>
      </pivotArea>
    </format>
    <format dxfId="6019">
      <pivotArea dataOnly="0" labelOnly="1" outline="0" fieldPosition="0">
        <references count="4">
          <reference field="1" count="0" selected="0"/>
          <reference field="3" count="1" selected="0">
            <x v="6"/>
          </reference>
          <reference field="5" count="1" selected="0">
            <x v="83"/>
          </reference>
          <reference field="6" count="1">
            <x v="3"/>
          </reference>
        </references>
      </pivotArea>
    </format>
    <format dxfId="6018">
      <pivotArea dataOnly="0" labelOnly="1" outline="0" fieldPosition="0">
        <references count="4">
          <reference field="1" count="0" selected="0"/>
          <reference field="3" count="1" selected="0">
            <x v="6"/>
          </reference>
          <reference field="5" count="1" selected="0">
            <x v="120"/>
          </reference>
          <reference field="6" count="1">
            <x v="7"/>
          </reference>
        </references>
      </pivotArea>
    </format>
    <format dxfId="6017">
      <pivotArea dataOnly="0" labelOnly="1" outline="0" fieldPosition="0">
        <references count="4">
          <reference field="1" count="0" selected="0"/>
          <reference field="3" count="1" selected="0">
            <x v="6"/>
          </reference>
          <reference field="5" count="1" selected="0">
            <x v="135"/>
          </reference>
          <reference field="6" count="1">
            <x v="4"/>
          </reference>
        </references>
      </pivotArea>
    </format>
    <format dxfId="6016">
      <pivotArea dataOnly="0" labelOnly="1" outline="0" fieldPosition="0">
        <references count="4">
          <reference field="1" count="0" selected="0"/>
          <reference field="3" count="1" selected="0">
            <x v="6"/>
          </reference>
          <reference field="5" count="1" selected="0">
            <x v="166"/>
          </reference>
          <reference field="6" count="1">
            <x v="4"/>
          </reference>
        </references>
      </pivotArea>
    </format>
    <format dxfId="6015">
      <pivotArea dataOnly="0" labelOnly="1" outline="0" fieldPosition="0">
        <references count="4">
          <reference field="1" count="0" selected="0"/>
          <reference field="3" count="1" selected="0">
            <x v="6"/>
          </reference>
          <reference field="5" count="1" selected="0">
            <x v="169"/>
          </reference>
          <reference field="6" count="1">
            <x v="4"/>
          </reference>
        </references>
      </pivotArea>
    </format>
    <format dxfId="6014">
      <pivotArea dataOnly="0" labelOnly="1" outline="0" fieldPosition="0">
        <references count="4">
          <reference field="1" count="0" selected="0"/>
          <reference field="3" count="1" selected="0">
            <x v="6"/>
          </reference>
          <reference field="5" count="1" selected="0">
            <x v="174"/>
          </reference>
          <reference field="6" count="1">
            <x v="4"/>
          </reference>
        </references>
      </pivotArea>
    </format>
    <format dxfId="6013">
      <pivotArea dataOnly="0" labelOnly="1" outline="0" fieldPosition="0">
        <references count="4">
          <reference field="1" count="0" selected="0"/>
          <reference field="3" count="1" selected="0">
            <x v="6"/>
          </reference>
          <reference field="5" count="1" selected="0">
            <x v="177"/>
          </reference>
          <reference field="6" count="1">
            <x v="4"/>
          </reference>
        </references>
      </pivotArea>
    </format>
    <format dxfId="6012">
      <pivotArea dataOnly="0" labelOnly="1" outline="0" fieldPosition="0">
        <references count="4">
          <reference field="1" count="0" selected="0"/>
          <reference field="3" count="1" selected="0">
            <x v="6"/>
          </reference>
          <reference field="5" count="1" selected="0">
            <x v="200"/>
          </reference>
          <reference field="6" count="1">
            <x v="4"/>
          </reference>
        </references>
      </pivotArea>
    </format>
    <format dxfId="6011">
      <pivotArea dataOnly="0" labelOnly="1" outline="0" fieldPosition="0">
        <references count="4">
          <reference field="1" count="0" selected="0"/>
          <reference field="3" count="1" selected="0">
            <x v="6"/>
          </reference>
          <reference field="5" count="1" selected="0">
            <x v="223"/>
          </reference>
          <reference field="6" count="1">
            <x v="4"/>
          </reference>
        </references>
      </pivotArea>
    </format>
    <format dxfId="6010">
      <pivotArea dataOnly="0" labelOnly="1" outline="0" fieldPosition="0">
        <references count="4">
          <reference field="1" count="0" selected="0"/>
          <reference field="3" count="1" selected="0">
            <x v="6"/>
          </reference>
          <reference field="5" count="1" selected="0">
            <x v="236"/>
          </reference>
          <reference field="6" count="1">
            <x v="4"/>
          </reference>
        </references>
      </pivotArea>
    </format>
    <format dxfId="6009">
      <pivotArea dataOnly="0" labelOnly="1" outline="0" fieldPosition="0">
        <references count="4">
          <reference field="1" count="0" selected="0"/>
          <reference field="3" count="1" selected="0">
            <x v="6"/>
          </reference>
          <reference field="5" count="1" selected="0">
            <x v="245"/>
          </reference>
          <reference field="6" count="1">
            <x v="4"/>
          </reference>
        </references>
      </pivotArea>
    </format>
    <format dxfId="6008">
      <pivotArea dataOnly="0" labelOnly="1" outline="0" fieldPosition="0">
        <references count="4">
          <reference field="1" count="0" selected="0"/>
          <reference field="3" count="1" selected="0">
            <x v="6"/>
          </reference>
          <reference field="5" count="1" selected="0">
            <x v="256"/>
          </reference>
          <reference field="6" count="1">
            <x v="4"/>
          </reference>
        </references>
      </pivotArea>
    </format>
    <format dxfId="6007">
      <pivotArea dataOnly="0" labelOnly="1" outline="0" fieldPosition="0">
        <references count="4">
          <reference field="1" count="0" selected="0"/>
          <reference field="3" count="1" selected="0">
            <x v="6"/>
          </reference>
          <reference field="5" count="1" selected="0">
            <x v="260"/>
          </reference>
          <reference field="6" count="1">
            <x v="4"/>
          </reference>
        </references>
      </pivotArea>
    </format>
    <format dxfId="6006">
      <pivotArea dataOnly="0" labelOnly="1" outline="0" fieldPosition="0">
        <references count="4">
          <reference field="1" count="0" selected="0"/>
          <reference field="3" count="1" selected="0">
            <x v="6"/>
          </reference>
          <reference field="5" count="1" selected="0">
            <x v="265"/>
          </reference>
          <reference field="6" count="1">
            <x v="4"/>
          </reference>
        </references>
      </pivotArea>
    </format>
    <format dxfId="6005">
      <pivotArea dataOnly="0" labelOnly="1" outline="0" fieldPosition="0">
        <references count="4">
          <reference field="1" count="0" selected="0"/>
          <reference field="3" count="1" selected="0">
            <x v="6"/>
          </reference>
          <reference field="5" count="1" selected="0">
            <x v="268"/>
          </reference>
          <reference field="6" count="1">
            <x v="4"/>
          </reference>
        </references>
      </pivotArea>
    </format>
    <format dxfId="6004">
      <pivotArea dataOnly="0" labelOnly="1" outline="0" fieldPosition="0">
        <references count="4">
          <reference field="1" count="0" selected="0"/>
          <reference field="3" count="1" selected="0">
            <x v="6"/>
          </reference>
          <reference field="5" count="1" selected="0">
            <x v="277"/>
          </reference>
          <reference field="6" count="1">
            <x v="4"/>
          </reference>
        </references>
      </pivotArea>
    </format>
    <format dxfId="6003">
      <pivotArea dataOnly="0" labelOnly="1" outline="0" fieldPosition="0">
        <references count="4">
          <reference field="1" count="0" selected="0"/>
          <reference field="3" count="1" selected="0">
            <x v="6"/>
          </reference>
          <reference field="5" count="1" selected="0">
            <x v="342"/>
          </reference>
          <reference field="6" count="1">
            <x v="4"/>
          </reference>
        </references>
      </pivotArea>
    </format>
    <format dxfId="6002">
      <pivotArea dataOnly="0" labelOnly="1" outline="0" fieldPosition="0">
        <references count="4">
          <reference field="1" count="0" selected="0"/>
          <reference field="3" count="1" selected="0">
            <x v="7"/>
          </reference>
          <reference field="5" count="1" selected="0">
            <x v="8"/>
          </reference>
          <reference field="6" count="1">
            <x v="4"/>
          </reference>
        </references>
      </pivotArea>
    </format>
    <format dxfId="6001">
      <pivotArea dataOnly="0" labelOnly="1" outline="0" fieldPosition="0">
        <references count="4">
          <reference field="1" count="0" selected="0"/>
          <reference field="3" count="1" selected="0">
            <x v="7"/>
          </reference>
          <reference field="5" count="1" selected="0">
            <x v="27"/>
          </reference>
          <reference field="6" count="1">
            <x v="4"/>
          </reference>
        </references>
      </pivotArea>
    </format>
    <format dxfId="6000">
      <pivotArea dataOnly="0" labelOnly="1" outline="0" fieldPosition="0">
        <references count="4">
          <reference field="1" count="0" selected="0"/>
          <reference field="3" count="1" selected="0">
            <x v="7"/>
          </reference>
          <reference field="5" count="1" selected="0">
            <x v="58"/>
          </reference>
          <reference field="6" count="1">
            <x v="4"/>
          </reference>
        </references>
      </pivotArea>
    </format>
    <format dxfId="5999">
      <pivotArea dataOnly="0" labelOnly="1" outline="0" fieldPosition="0">
        <references count="4">
          <reference field="1" count="0" selected="0"/>
          <reference field="3" count="1" selected="0">
            <x v="7"/>
          </reference>
          <reference field="5" count="1" selected="0">
            <x v="78"/>
          </reference>
          <reference field="6" count="1">
            <x v="4"/>
          </reference>
        </references>
      </pivotArea>
    </format>
    <format dxfId="5998">
      <pivotArea dataOnly="0" labelOnly="1" outline="0" fieldPosition="0">
        <references count="4">
          <reference field="1" count="0" selected="0"/>
          <reference field="3" count="1" selected="0">
            <x v="7"/>
          </reference>
          <reference field="5" count="1" selected="0">
            <x v="94"/>
          </reference>
          <reference field="6" count="1">
            <x v="4"/>
          </reference>
        </references>
      </pivotArea>
    </format>
    <format dxfId="5997">
      <pivotArea dataOnly="0" labelOnly="1" outline="0" fieldPosition="0">
        <references count="4">
          <reference field="1" count="0" selected="0"/>
          <reference field="3" count="1" selected="0">
            <x v="7"/>
          </reference>
          <reference field="5" count="1" selected="0">
            <x v="117"/>
          </reference>
          <reference field="6" count="1">
            <x v="4"/>
          </reference>
        </references>
      </pivotArea>
    </format>
    <format dxfId="5996">
      <pivotArea dataOnly="0" labelOnly="1" outline="0" fieldPosition="0">
        <references count="4">
          <reference field="1" count="0" selected="0"/>
          <reference field="3" count="1" selected="0">
            <x v="7"/>
          </reference>
          <reference field="5" count="1" selected="0">
            <x v="160"/>
          </reference>
          <reference field="6" count="1">
            <x v="6"/>
          </reference>
        </references>
      </pivotArea>
    </format>
    <format dxfId="5995">
      <pivotArea dataOnly="0" labelOnly="1" outline="0" fieldPosition="0">
        <references count="4">
          <reference field="1" count="0" selected="0"/>
          <reference field="3" count="1" selected="0">
            <x v="7"/>
          </reference>
          <reference field="5" count="1" selected="0">
            <x v="184"/>
          </reference>
          <reference field="6" count="1">
            <x v="6"/>
          </reference>
        </references>
      </pivotArea>
    </format>
    <format dxfId="5994">
      <pivotArea dataOnly="0" labelOnly="1" outline="0" fieldPosition="0">
        <references count="4">
          <reference field="1" count="0" selected="0"/>
          <reference field="3" count="1" selected="0">
            <x v="7"/>
          </reference>
          <reference field="5" count="1" selected="0">
            <x v="189"/>
          </reference>
          <reference field="6" count="1">
            <x v="6"/>
          </reference>
        </references>
      </pivotArea>
    </format>
    <format dxfId="5993">
      <pivotArea dataOnly="0" labelOnly="1" outline="0" fieldPosition="0">
        <references count="4">
          <reference field="1" count="0" selected="0"/>
          <reference field="3" count="1" selected="0">
            <x v="7"/>
          </reference>
          <reference field="5" count="1" selected="0">
            <x v="309"/>
          </reference>
          <reference field="6" count="1">
            <x v="6"/>
          </reference>
        </references>
      </pivotArea>
    </format>
    <format dxfId="5992">
      <pivotArea dataOnly="0" labelOnly="1" outline="0" fieldPosition="0">
        <references count="4">
          <reference field="1" count="0" selected="0"/>
          <reference field="3" count="1" selected="0">
            <x v="7"/>
          </reference>
          <reference field="5" count="1" selected="0">
            <x v="338"/>
          </reference>
          <reference field="6" count="1">
            <x v="4"/>
          </reference>
        </references>
      </pivotArea>
    </format>
    <format dxfId="5991">
      <pivotArea dataOnly="0" labelOnly="1" outline="0" fieldPosition="0">
        <references count="4">
          <reference field="1" count="0" selected="0"/>
          <reference field="3" count="1" selected="0">
            <x v="8"/>
          </reference>
          <reference field="5" count="1" selected="0">
            <x v="127"/>
          </reference>
          <reference field="6" count="1">
            <x v="10"/>
          </reference>
        </references>
      </pivotArea>
    </format>
    <format dxfId="5990">
      <pivotArea dataOnly="0" labelOnly="1" outline="0" fieldPosition="0">
        <references count="4">
          <reference field="1" count="0" selected="0"/>
          <reference field="3" count="1" selected="0">
            <x v="8"/>
          </reference>
          <reference field="5" count="1" selected="0">
            <x v="192"/>
          </reference>
          <reference field="6" count="1">
            <x v="7"/>
          </reference>
        </references>
      </pivotArea>
    </format>
    <format dxfId="5989">
      <pivotArea dataOnly="0" labelOnly="1" outline="0" fieldPosition="0">
        <references count="4">
          <reference field="1" count="0" selected="0"/>
          <reference field="3" count="1" selected="0">
            <x v="10"/>
          </reference>
          <reference field="5" count="1" selected="0">
            <x v="4"/>
          </reference>
          <reference field="6" count="1">
            <x v="7"/>
          </reference>
        </references>
      </pivotArea>
    </format>
    <format dxfId="5988">
      <pivotArea dataOnly="0" labelOnly="1" outline="0" fieldPosition="0">
        <references count="4">
          <reference field="1" count="0" selected="0"/>
          <reference field="3" count="1" selected="0">
            <x v="10"/>
          </reference>
          <reference field="5" count="1" selected="0">
            <x v="67"/>
          </reference>
          <reference field="6" count="1">
            <x v="7"/>
          </reference>
        </references>
      </pivotArea>
    </format>
    <format dxfId="5987">
      <pivotArea dataOnly="0" labelOnly="1" outline="0" fieldPosition="0">
        <references count="4">
          <reference field="1" count="0" selected="0"/>
          <reference field="3" count="1" selected="0">
            <x v="10"/>
          </reference>
          <reference field="5" count="1" selected="0">
            <x v="74"/>
          </reference>
          <reference field="6" count="1">
            <x v="7"/>
          </reference>
        </references>
      </pivotArea>
    </format>
    <format dxfId="5986">
      <pivotArea dataOnly="0" labelOnly="1" outline="0" fieldPosition="0">
        <references count="4">
          <reference field="1" count="0" selected="0"/>
          <reference field="3" count="1" selected="0">
            <x v="10"/>
          </reference>
          <reference field="5" count="1" selected="0">
            <x v="103"/>
          </reference>
          <reference field="6" count="1">
            <x v="7"/>
          </reference>
        </references>
      </pivotArea>
    </format>
    <format dxfId="5985">
      <pivotArea dataOnly="0" labelOnly="1" outline="0" fieldPosition="0">
        <references count="4">
          <reference field="1" count="0" selected="0"/>
          <reference field="3" count="1" selected="0">
            <x v="10"/>
          </reference>
          <reference field="5" count="1" selected="0">
            <x v="115"/>
          </reference>
          <reference field="6" count="1">
            <x v="7"/>
          </reference>
        </references>
      </pivotArea>
    </format>
    <format dxfId="5984">
      <pivotArea dataOnly="0" labelOnly="1" outline="0" fieldPosition="0">
        <references count="4">
          <reference field="1" count="0" selected="0"/>
          <reference field="3" count="1" selected="0">
            <x v="3"/>
          </reference>
          <reference field="5" count="1" selected="0">
            <x v="286"/>
          </reference>
          <reference field="6" count="1">
            <x v="3"/>
          </reference>
        </references>
      </pivotArea>
    </format>
    <format dxfId="5983">
      <pivotArea dataOnly="0" labelOnly="1" outline="0" fieldPosition="0">
        <references count="4">
          <reference field="1" count="0" selected="0"/>
          <reference field="3" count="1" selected="0">
            <x v="3"/>
          </reference>
          <reference field="5" count="1" selected="0">
            <x v="288"/>
          </reference>
          <reference field="6" count="1">
            <x v="3"/>
          </reference>
        </references>
      </pivotArea>
    </format>
    <format dxfId="5982">
      <pivotArea dataOnly="0" labelOnly="1" outline="0" fieldPosition="0">
        <references count="4">
          <reference field="1" count="0" selected="0"/>
          <reference field="3" count="1" selected="0">
            <x v="3"/>
          </reference>
          <reference field="5" count="1" selected="0">
            <x v="295"/>
          </reference>
          <reference field="6" count="1">
            <x v="3"/>
          </reference>
        </references>
      </pivotArea>
    </format>
    <format dxfId="5981">
      <pivotArea dataOnly="0" labelOnly="1" outline="0" fieldPosition="0">
        <references count="4">
          <reference field="1" count="0" selected="0"/>
          <reference field="3" count="1" selected="0">
            <x v="3"/>
          </reference>
          <reference field="5" count="1" selected="0">
            <x v="296"/>
          </reference>
          <reference field="6" count="1">
            <x v="3"/>
          </reference>
        </references>
      </pivotArea>
    </format>
    <format dxfId="5980">
      <pivotArea dataOnly="0" labelOnly="1" outline="0" fieldPosition="0">
        <references count="4">
          <reference field="1" count="0" selected="0"/>
          <reference field="3" count="1" selected="0">
            <x v="5"/>
          </reference>
          <reference field="5" count="1" selected="0">
            <x v="40"/>
          </reference>
          <reference field="6" count="1">
            <x v="3"/>
          </reference>
        </references>
      </pivotArea>
    </format>
    <format dxfId="5979">
      <pivotArea dataOnly="0" labelOnly="1" outline="0" fieldPosition="0">
        <references count="4">
          <reference field="1" count="0" selected="0"/>
          <reference field="3" count="1" selected="0">
            <x v="5"/>
          </reference>
          <reference field="5" count="1" selected="0">
            <x v="47"/>
          </reference>
          <reference field="6" count="1">
            <x v="3"/>
          </reference>
        </references>
      </pivotArea>
    </format>
    <format dxfId="5978">
      <pivotArea dataOnly="0" labelOnly="1" outline="0" fieldPosition="0">
        <references count="4">
          <reference field="1" count="0" selected="0"/>
          <reference field="3" count="1" selected="0">
            <x v="5"/>
          </reference>
          <reference field="5" count="1" selected="0">
            <x v="142"/>
          </reference>
          <reference field="6" count="1">
            <x v="3"/>
          </reference>
        </references>
      </pivotArea>
    </format>
    <format dxfId="5977">
      <pivotArea dataOnly="0" labelOnly="1" outline="0" fieldPosition="0">
        <references count="4">
          <reference field="1" count="0" selected="0"/>
          <reference field="3" count="1" selected="0">
            <x v="5"/>
          </reference>
          <reference field="5" count="1" selected="0">
            <x v="144"/>
          </reference>
          <reference field="6" count="1">
            <x v="3"/>
          </reference>
        </references>
      </pivotArea>
    </format>
    <format dxfId="5976">
      <pivotArea dataOnly="0" labelOnly="1" outline="0" fieldPosition="0">
        <references count="4">
          <reference field="1" count="0" selected="0"/>
          <reference field="3" count="1" selected="0">
            <x v="5"/>
          </reference>
          <reference field="5" count="1" selected="0">
            <x v="165"/>
          </reference>
          <reference field="6" count="1">
            <x v="3"/>
          </reference>
        </references>
      </pivotArea>
    </format>
    <format dxfId="5975">
      <pivotArea dataOnly="0" labelOnly="1" outline="0" fieldPosition="0">
        <references count="4">
          <reference field="1" count="0" selected="0"/>
          <reference field="3" count="1" selected="0">
            <x v="5"/>
          </reference>
          <reference field="5" count="1" selected="0">
            <x v="217"/>
          </reference>
          <reference field="6" count="1">
            <x v="3"/>
          </reference>
        </references>
      </pivotArea>
    </format>
    <format dxfId="5974">
      <pivotArea dataOnly="0" labelOnly="1" outline="0" fieldPosition="0">
        <references count="4">
          <reference field="1" count="0" selected="0"/>
          <reference field="3" count="1" selected="0">
            <x v="5"/>
          </reference>
          <reference field="5" count="1" selected="0">
            <x v="325"/>
          </reference>
          <reference field="6" count="1">
            <x v="3"/>
          </reference>
        </references>
      </pivotArea>
    </format>
    <format dxfId="5973">
      <pivotArea dataOnly="0" labelOnly="1" outline="0" fieldPosition="0">
        <references count="4">
          <reference field="1" count="0" selected="0"/>
          <reference field="3" count="1" selected="0">
            <x v="5"/>
          </reference>
          <reference field="5" count="1" selected="0">
            <x v="346"/>
          </reference>
          <reference field="6" count="1">
            <x v="3"/>
          </reference>
        </references>
      </pivotArea>
    </format>
    <format dxfId="5972">
      <pivotArea dataOnly="0" labelOnly="1" outline="0" fieldPosition="0">
        <references count="4">
          <reference field="1" count="0" selected="0"/>
          <reference field="3" count="1" selected="0">
            <x v="6"/>
          </reference>
          <reference field="5" count="1" selected="0">
            <x v="14"/>
          </reference>
          <reference field="6" count="1">
            <x v="3"/>
          </reference>
        </references>
      </pivotArea>
    </format>
    <format dxfId="5971">
      <pivotArea dataOnly="0" labelOnly="1" outline="0" fieldPosition="0">
        <references count="4">
          <reference field="1" count="0" selected="0"/>
          <reference field="3" count="1" selected="0">
            <x v="6"/>
          </reference>
          <reference field="5" count="1" selected="0">
            <x v="24"/>
          </reference>
          <reference field="6" count="1">
            <x v="3"/>
          </reference>
        </references>
      </pivotArea>
    </format>
    <format dxfId="5970">
      <pivotArea dataOnly="0" labelOnly="1" outline="0" fieldPosition="0">
        <references count="4">
          <reference field="1" count="0" selected="0"/>
          <reference field="3" count="1" selected="0">
            <x v="6"/>
          </reference>
          <reference field="5" count="1" selected="0">
            <x v="48"/>
          </reference>
          <reference field="6" count="1">
            <x v="4"/>
          </reference>
        </references>
      </pivotArea>
    </format>
    <format dxfId="5969">
      <pivotArea dataOnly="0" labelOnly="1" outline="0" fieldPosition="0">
        <references count="4">
          <reference field="1" count="0" selected="0"/>
          <reference field="3" count="1" selected="0">
            <x v="6"/>
          </reference>
          <reference field="5" count="1" selected="0">
            <x v="50"/>
          </reference>
          <reference field="6" count="1">
            <x v="3"/>
          </reference>
        </references>
      </pivotArea>
    </format>
    <format dxfId="5968">
      <pivotArea dataOnly="0" labelOnly="1" outline="0" fieldPosition="0">
        <references count="4">
          <reference field="1" count="0" selected="0"/>
          <reference field="3" count="1" selected="0">
            <x v="6"/>
          </reference>
          <reference field="5" count="1" selected="0">
            <x v="76"/>
          </reference>
          <reference field="6" count="1">
            <x v="3"/>
          </reference>
        </references>
      </pivotArea>
    </format>
    <format dxfId="5967">
      <pivotArea dataOnly="0" labelOnly="1" outline="0" fieldPosition="0">
        <references count="4">
          <reference field="1" count="0" selected="0"/>
          <reference field="3" count="1" selected="0">
            <x v="6"/>
          </reference>
          <reference field="5" count="1" selected="0">
            <x v="80"/>
          </reference>
          <reference field="6" count="1">
            <x v="3"/>
          </reference>
        </references>
      </pivotArea>
    </format>
    <format dxfId="5966">
      <pivotArea dataOnly="0" labelOnly="1" outline="0" fieldPosition="0">
        <references count="4">
          <reference field="1" count="0" selected="0"/>
          <reference field="3" count="1" selected="0">
            <x v="6"/>
          </reference>
          <reference field="5" count="1" selected="0">
            <x v="124"/>
          </reference>
          <reference field="6" count="1">
            <x v="7"/>
          </reference>
        </references>
      </pivotArea>
    </format>
    <format dxfId="5965">
      <pivotArea dataOnly="0" labelOnly="1" outline="0" fieldPosition="0">
        <references count="4">
          <reference field="1" count="0" selected="0"/>
          <reference field="3" count="1" selected="0">
            <x v="6"/>
          </reference>
          <reference field="5" count="1" selected="0">
            <x v="128"/>
          </reference>
          <reference field="6" count="1">
            <x v="7"/>
          </reference>
        </references>
      </pivotArea>
    </format>
    <format dxfId="5964">
      <pivotArea dataOnly="0" labelOnly="1" outline="0" fieldPosition="0">
        <references count="4">
          <reference field="1" count="0" selected="0"/>
          <reference field="3" count="1" selected="0">
            <x v="6"/>
          </reference>
          <reference field="5" count="1" selected="0">
            <x v="149"/>
          </reference>
          <reference field="6" count="1">
            <x v="4"/>
          </reference>
        </references>
      </pivotArea>
    </format>
    <format dxfId="5963">
      <pivotArea dataOnly="0" labelOnly="1" outline="0" fieldPosition="0">
        <references count="4">
          <reference field="1" count="0" selected="0"/>
          <reference field="3" count="1" selected="0">
            <x v="6"/>
          </reference>
          <reference field="5" count="1" selected="0">
            <x v="151"/>
          </reference>
          <reference field="6" count="1">
            <x v="4"/>
          </reference>
        </references>
      </pivotArea>
    </format>
    <format dxfId="5962">
      <pivotArea dataOnly="0" labelOnly="1" outline="0" fieldPosition="0">
        <references count="4">
          <reference field="1" count="0" selected="0"/>
          <reference field="3" count="1" selected="0">
            <x v="6"/>
          </reference>
          <reference field="5" count="1" selected="0">
            <x v="167"/>
          </reference>
          <reference field="6" count="1">
            <x v="4"/>
          </reference>
        </references>
      </pivotArea>
    </format>
    <format dxfId="5961">
      <pivotArea dataOnly="0" labelOnly="1" outline="0" fieldPosition="0">
        <references count="4">
          <reference field="1" count="0" selected="0"/>
          <reference field="3" count="1" selected="0">
            <x v="6"/>
          </reference>
          <reference field="5" count="1" selected="0">
            <x v="168"/>
          </reference>
          <reference field="6" count="1">
            <x v="4"/>
          </reference>
        </references>
      </pivotArea>
    </format>
    <format dxfId="5960">
      <pivotArea dataOnly="0" labelOnly="1" outline="0" fieldPosition="0">
        <references count="4">
          <reference field="1" count="0" selected="0"/>
          <reference field="3" count="1" selected="0">
            <x v="6"/>
          </reference>
          <reference field="5" count="1" selected="0">
            <x v="175"/>
          </reference>
          <reference field="6" count="1">
            <x v="4"/>
          </reference>
        </references>
      </pivotArea>
    </format>
    <format dxfId="5959">
      <pivotArea dataOnly="0" labelOnly="1" outline="0" fieldPosition="0">
        <references count="4">
          <reference field="1" count="0" selected="0"/>
          <reference field="3" count="1" selected="0">
            <x v="6"/>
          </reference>
          <reference field="5" count="1" selected="0">
            <x v="176"/>
          </reference>
          <reference field="6" count="1">
            <x v="4"/>
          </reference>
        </references>
      </pivotArea>
    </format>
    <format dxfId="5958">
      <pivotArea dataOnly="0" labelOnly="1" outline="0" fieldPosition="0">
        <references count="4">
          <reference field="1" count="0" selected="0"/>
          <reference field="3" count="1" selected="0">
            <x v="6"/>
          </reference>
          <reference field="5" count="1" selected="0">
            <x v="220"/>
          </reference>
          <reference field="6" count="1">
            <x v="4"/>
          </reference>
        </references>
      </pivotArea>
    </format>
    <format dxfId="5957">
      <pivotArea dataOnly="0" labelOnly="1" outline="0" fieldPosition="0">
        <references count="4">
          <reference field="1" count="0" selected="0"/>
          <reference field="3" count="1" selected="0">
            <x v="6"/>
          </reference>
          <reference field="5" count="1" selected="0">
            <x v="222"/>
          </reference>
          <reference field="6" count="1">
            <x v="4"/>
          </reference>
        </references>
      </pivotArea>
    </format>
    <format dxfId="5956">
      <pivotArea dataOnly="0" labelOnly="1" outline="0" fieldPosition="0">
        <references count="4">
          <reference field="1" count="0" selected="0"/>
          <reference field="3" count="1" selected="0">
            <x v="6"/>
          </reference>
          <reference field="5" count="1" selected="0">
            <x v="239"/>
          </reference>
          <reference field="6" count="1">
            <x v="4"/>
          </reference>
        </references>
      </pivotArea>
    </format>
    <format dxfId="5955">
      <pivotArea dataOnly="0" labelOnly="1" outline="0" fieldPosition="0">
        <references count="4">
          <reference field="1" count="0" selected="0"/>
          <reference field="3" count="1" selected="0">
            <x v="6"/>
          </reference>
          <reference field="5" count="1" selected="0">
            <x v="243"/>
          </reference>
          <reference field="6" count="1">
            <x v="4"/>
          </reference>
        </references>
      </pivotArea>
    </format>
    <format dxfId="5954">
      <pivotArea dataOnly="0" labelOnly="1" outline="0" fieldPosition="0">
        <references count="4">
          <reference field="1" count="0" selected="0"/>
          <reference field="3" count="1" selected="0">
            <x v="6"/>
          </reference>
          <reference field="5" count="1" selected="0">
            <x v="257"/>
          </reference>
          <reference field="6" count="1">
            <x v="4"/>
          </reference>
        </references>
      </pivotArea>
    </format>
    <format dxfId="5953">
      <pivotArea dataOnly="0" labelOnly="1" outline="0" fieldPosition="0">
        <references count="4">
          <reference field="1" count="0" selected="0"/>
          <reference field="3" count="1" selected="0">
            <x v="6"/>
          </reference>
          <reference field="5" count="1" selected="0">
            <x v="258"/>
          </reference>
          <reference field="6" count="1">
            <x v="4"/>
          </reference>
        </references>
      </pivotArea>
    </format>
    <format dxfId="5952">
      <pivotArea dataOnly="0" labelOnly="1" outline="0" fieldPosition="0">
        <references count="4">
          <reference field="1" count="0" selected="0"/>
          <reference field="3" count="1" selected="0">
            <x v="6"/>
          </reference>
          <reference field="5" count="1" selected="0">
            <x v="266"/>
          </reference>
          <reference field="6" count="1">
            <x v="4"/>
          </reference>
        </references>
      </pivotArea>
    </format>
    <format dxfId="5951">
      <pivotArea dataOnly="0" labelOnly="1" outline="0" fieldPosition="0">
        <references count="4">
          <reference field="1" count="0" selected="0"/>
          <reference field="3" count="1" selected="0">
            <x v="6"/>
          </reference>
          <reference field="5" count="1" selected="0">
            <x v="267"/>
          </reference>
          <reference field="6" count="1">
            <x v="4"/>
          </reference>
        </references>
      </pivotArea>
    </format>
    <format dxfId="5950">
      <pivotArea dataOnly="0" labelOnly="1" outline="0" fieldPosition="0">
        <references count="4">
          <reference field="1" count="0" selected="0"/>
          <reference field="3" count="1" selected="0">
            <x v="6"/>
          </reference>
          <reference field="5" count="1" selected="0">
            <x v="302"/>
          </reference>
          <reference field="6" count="1">
            <x v="4"/>
          </reference>
        </references>
      </pivotArea>
    </format>
    <format dxfId="5949">
      <pivotArea dataOnly="0" labelOnly="1" outline="0" fieldPosition="0">
        <references count="4">
          <reference field="1" count="0" selected="0"/>
          <reference field="3" count="1" selected="0">
            <x v="7"/>
          </reference>
          <reference field="5" count="1" selected="0">
            <x v="1"/>
          </reference>
          <reference field="6" count="1">
            <x v="4"/>
          </reference>
        </references>
      </pivotArea>
    </format>
    <format dxfId="5948">
      <pivotArea dataOnly="0" labelOnly="1" outline="0" fieldPosition="0">
        <references count="4">
          <reference field="1" count="0" selected="0"/>
          <reference field="3" count="1" selected="0">
            <x v="7"/>
          </reference>
          <reference field="5" count="1" selected="0">
            <x v="26"/>
          </reference>
          <reference field="6" count="1">
            <x v="4"/>
          </reference>
        </references>
      </pivotArea>
    </format>
    <format dxfId="5947">
      <pivotArea dataOnly="0" labelOnly="1" outline="0" fieldPosition="0">
        <references count="4">
          <reference field="1" count="0" selected="0"/>
          <reference field="3" count="1" selected="0">
            <x v="7"/>
          </reference>
          <reference field="5" count="1" selected="0">
            <x v="53"/>
          </reference>
          <reference field="6" count="1">
            <x v="4"/>
          </reference>
        </references>
      </pivotArea>
    </format>
    <format dxfId="5946">
      <pivotArea dataOnly="0" labelOnly="1" outline="0" fieldPosition="0">
        <references count="4">
          <reference field="1" count="0" selected="0"/>
          <reference field="3" count="1" selected="0">
            <x v="7"/>
          </reference>
          <reference field="5" count="1" selected="0">
            <x v="54"/>
          </reference>
          <reference field="6" count="1">
            <x v="4"/>
          </reference>
        </references>
      </pivotArea>
    </format>
    <format dxfId="5945">
      <pivotArea dataOnly="0" labelOnly="1" outline="0" fieldPosition="0">
        <references count="4">
          <reference field="1" count="0" selected="0"/>
          <reference field="3" count="1" selected="0">
            <x v="7"/>
          </reference>
          <reference field="5" count="1" selected="0">
            <x v="88"/>
          </reference>
          <reference field="6" count="1">
            <x v="4"/>
          </reference>
        </references>
      </pivotArea>
    </format>
    <format dxfId="5944">
      <pivotArea dataOnly="0" labelOnly="1" outline="0" fieldPosition="0">
        <references count="4">
          <reference field="1" count="0" selected="0"/>
          <reference field="3" count="1" selected="0">
            <x v="7"/>
          </reference>
          <reference field="5" count="1" selected="0">
            <x v="89"/>
          </reference>
          <reference field="6" count="1">
            <x v="4"/>
          </reference>
        </references>
      </pivotArea>
    </format>
    <format dxfId="5943">
      <pivotArea dataOnly="0" labelOnly="1" outline="0" fieldPosition="0">
        <references count="4">
          <reference field="1" count="0" selected="0"/>
          <reference field="3" count="1" selected="0">
            <x v="7"/>
          </reference>
          <reference field="5" count="1" selected="0">
            <x v="118"/>
          </reference>
          <reference field="6" count="1">
            <x v="4"/>
          </reference>
        </references>
      </pivotArea>
    </format>
    <format dxfId="5942">
      <pivotArea dataOnly="0" labelOnly="1" outline="0" fieldPosition="0">
        <references count="4">
          <reference field="1" count="0" selected="0"/>
          <reference field="3" count="1" selected="0">
            <x v="7"/>
          </reference>
          <reference field="5" count="1" selected="0">
            <x v="119"/>
          </reference>
          <reference field="6" count="1">
            <x v="0"/>
          </reference>
        </references>
      </pivotArea>
    </format>
    <format dxfId="5941">
      <pivotArea dataOnly="0" labelOnly="1" outline="0" fieldPosition="0">
        <references count="4">
          <reference field="1" count="0" selected="0"/>
          <reference field="3" count="1" selected="0">
            <x v="7"/>
          </reference>
          <reference field="5" count="1" selected="0">
            <x v="130"/>
          </reference>
          <reference field="6" count="1">
            <x v="0"/>
          </reference>
        </references>
      </pivotArea>
    </format>
    <format dxfId="5940">
      <pivotArea dataOnly="0" labelOnly="1" outline="0" fieldPosition="0">
        <references count="4">
          <reference field="1" count="0" selected="0"/>
          <reference field="3" count="1" selected="0">
            <x v="7"/>
          </reference>
          <reference field="5" count="1" selected="0">
            <x v="185"/>
          </reference>
          <reference field="6" count="1">
            <x v="6"/>
          </reference>
        </references>
      </pivotArea>
    </format>
    <format dxfId="5939">
      <pivotArea dataOnly="0" labelOnly="1" outline="0" fieldPosition="0">
        <references count="4">
          <reference field="1" count="0" selected="0"/>
          <reference field="3" count="1" selected="0">
            <x v="7"/>
          </reference>
          <reference field="5" count="1" selected="0">
            <x v="188"/>
          </reference>
          <reference field="6" count="1">
            <x v="6"/>
          </reference>
        </references>
      </pivotArea>
    </format>
    <format dxfId="5938">
      <pivotArea dataOnly="0" labelOnly="1" outline="0" fieldPosition="0">
        <references count="4">
          <reference field="1" count="0" selected="0"/>
          <reference field="3" count="1" selected="0">
            <x v="7"/>
          </reference>
          <reference field="5" count="1" selected="0">
            <x v="311"/>
          </reference>
          <reference field="6" count="1">
            <x v="6"/>
          </reference>
        </references>
      </pivotArea>
    </format>
    <format dxfId="5937">
      <pivotArea dataOnly="0" labelOnly="1" outline="0" fieldPosition="0">
        <references count="4">
          <reference field="1" count="0" selected="0"/>
          <reference field="3" count="1" selected="0">
            <x v="8"/>
          </reference>
          <reference field="5" count="1" selected="0">
            <x v="3"/>
          </reference>
          <reference field="6" count="1">
            <x v="6"/>
          </reference>
        </references>
      </pivotArea>
    </format>
    <format dxfId="5936">
      <pivotArea dataOnly="0" labelOnly="1" outline="0" fieldPosition="0">
        <references count="4">
          <reference field="1" count="0" selected="0"/>
          <reference field="3" count="1" selected="0">
            <x v="8"/>
          </reference>
          <reference field="5" count="1" selected="0">
            <x v="69"/>
          </reference>
          <reference field="6" count="1">
            <x v="6"/>
          </reference>
        </references>
      </pivotArea>
    </format>
    <format dxfId="5935">
      <pivotArea dataOnly="0" labelOnly="1" outline="0" fieldPosition="0">
        <references count="4">
          <reference field="1" count="0" selected="0"/>
          <reference field="3" count="1" selected="0">
            <x v="8"/>
          </reference>
          <reference field="5" count="1" selected="0">
            <x v="73"/>
          </reference>
          <reference field="6" count="1">
            <x v="6"/>
          </reference>
        </references>
      </pivotArea>
    </format>
    <format dxfId="5934">
      <pivotArea dataOnly="0" labelOnly="1" outline="0" fieldPosition="0">
        <references count="4">
          <reference field="1" count="0" selected="0"/>
          <reference field="3" count="1" selected="0">
            <x v="8"/>
          </reference>
          <reference field="5" count="1" selected="0">
            <x v="111"/>
          </reference>
          <reference field="6" count="1">
            <x v="6"/>
          </reference>
        </references>
      </pivotArea>
    </format>
    <format dxfId="5933">
      <pivotArea dataOnly="0" labelOnly="1" outline="0" fieldPosition="0">
        <references count="4">
          <reference field="1" count="0" selected="0"/>
          <reference field="3" count="1" selected="0">
            <x v="8"/>
          </reference>
          <reference field="5" count="1" selected="0">
            <x v="190"/>
          </reference>
          <reference field="6" count="1">
            <x v="7"/>
          </reference>
        </references>
      </pivotArea>
    </format>
    <format dxfId="5932">
      <pivotArea dataOnly="0" labelOnly="1" outline="0" fieldPosition="0">
        <references count="4">
          <reference field="1" count="0" selected="0"/>
          <reference field="3" count="1" selected="0">
            <x v="10"/>
          </reference>
          <reference field="5" count="1" selected="0">
            <x v="109"/>
          </reference>
          <reference field="6" count="1">
            <x v="7"/>
          </reference>
        </references>
      </pivotArea>
    </format>
    <format dxfId="5931">
      <pivotArea dataOnly="0" labelOnly="1" outline="0" fieldPosition="0">
        <references count="4">
          <reference field="1" count="0" selected="0"/>
          <reference field="3" count="1" selected="0">
            <x v="11"/>
          </reference>
          <reference field="5" count="1" selected="0">
            <x v="180"/>
          </reference>
          <reference field="6" count="1">
            <x v="6"/>
          </reference>
        </references>
      </pivotArea>
    </format>
    <format dxfId="5930">
      <pivotArea dataOnly="0" labelOnly="1" outline="0" fieldPosition="0">
        <references count="4">
          <reference field="1" count="0" selected="0"/>
          <reference field="3" count="1" selected="0">
            <x v="0"/>
          </reference>
          <reference field="5" count="1" selected="0">
            <x v="164"/>
          </reference>
          <reference field="6" count="1">
            <x v="8"/>
          </reference>
        </references>
      </pivotArea>
    </format>
    <format dxfId="5929">
      <pivotArea dataOnly="0" labelOnly="1" outline="0" fieldPosition="0">
        <references count="4">
          <reference field="1" count="0" selected="0"/>
          <reference field="3" count="1" selected="0">
            <x v="0"/>
          </reference>
          <reference field="5" count="1" selected="0">
            <x v="347"/>
          </reference>
          <reference field="6" count="1">
            <x v="8"/>
          </reference>
        </references>
      </pivotArea>
    </format>
    <format dxfId="5928">
      <pivotArea dataOnly="0" labelOnly="1" outline="0" fieldPosition="0">
        <references count="4">
          <reference field="1" count="0" selected="0"/>
          <reference field="3" count="1" selected="0">
            <x v="0"/>
          </reference>
          <reference field="5" count="1" selected="0">
            <x v="348"/>
          </reference>
          <reference field="6" count="1">
            <x v="8"/>
          </reference>
        </references>
      </pivotArea>
    </format>
    <format dxfId="5927">
      <pivotArea dataOnly="0" labelOnly="1" outline="0" fieldPosition="0">
        <references count="4">
          <reference field="1" count="0" selected="0"/>
          <reference field="3" count="1" selected="0">
            <x v="5"/>
          </reference>
          <reference field="5" count="1" selected="0">
            <x v="347"/>
          </reference>
          <reference field="6" count="1">
            <x v="3"/>
          </reference>
        </references>
      </pivotArea>
    </format>
    <format dxfId="5926">
      <pivotArea dataOnly="0" labelOnly="1" outline="0" fieldPosition="0">
        <references count="4">
          <reference field="1" count="0" selected="0"/>
          <reference field="3" count="1" selected="0">
            <x v="6"/>
          </reference>
          <reference field="5" count="1" selected="0">
            <x v="350"/>
          </reference>
          <reference field="6" count="1">
            <x v="4"/>
          </reference>
        </references>
      </pivotArea>
    </format>
    <format dxfId="5925">
      <pivotArea dataOnly="0" labelOnly="1" outline="0" fieldPosition="0">
        <references count="4">
          <reference field="1" count="0" selected="0"/>
          <reference field="3" count="1" selected="0">
            <x v="6"/>
          </reference>
          <reference field="5" count="1" selected="0">
            <x v="352"/>
          </reference>
          <reference field="6" count="1">
            <x v="4"/>
          </reference>
        </references>
      </pivotArea>
    </format>
    <format dxfId="5924">
      <pivotArea dataOnly="0" labelOnly="1" outline="0" fieldPosition="0">
        <references count="4">
          <reference field="1" count="0" selected="0"/>
          <reference field="3" count="1" selected="0">
            <x v="6"/>
          </reference>
          <reference field="5" count="1" selected="0">
            <x v="351"/>
          </reference>
          <reference field="6" count="1">
            <x v="4"/>
          </reference>
        </references>
      </pivotArea>
    </format>
    <format dxfId="5923">
      <pivotArea dataOnly="0" labelOnly="1" outline="0" fieldPosition="0">
        <references count="4">
          <reference field="1" count="0" selected="0"/>
          <reference field="3" count="1" selected="0">
            <x v="3"/>
          </reference>
          <reference field="5" count="1" selected="0">
            <x v="340"/>
          </reference>
          <reference field="6" count="1">
            <x v="2"/>
          </reference>
        </references>
      </pivotArea>
    </format>
    <format dxfId="5922">
      <pivotArea dataOnly="0" labelOnly="1" outline="0" fieldPosition="0">
        <references count="4">
          <reference field="1" count="0" selected="0"/>
          <reference field="3" count="1" selected="0">
            <x v="3"/>
          </reference>
          <reference field="5" count="1" selected="0">
            <x v="347"/>
          </reference>
          <reference field="6" count="1">
            <x v="2"/>
          </reference>
        </references>
      </pivotArea>
    </format>
    <format dxfId="5921">
      <pivotArea dataOnly="0" labelOnly="1" outline="0" fieldPosition="0">
        <references count="4">
          <reference field="1" count="0" selected="0"/>
          <reference field="3" count="1" selected="0">
            <x v="5"/>
          </reference>
          <reference field="5" count="1" selected="0">
            <x v="349"/>
          </reference>
          <reference field="6" count="1">
            <x v="3"/>
          </reference>
        </references>
      </pivotArea>
    </format>
    <format dxfId="5920">
      <pivotArea dataOnly="0" labelOnly="1" outline="0" fieldPosition="0">
        <references count="4">
          <reference field="1" count="0" selected="0"/>
          <reference field="3" count="1" selected="0">
            <x v="7"/>
          </reference>
          <reference field="5" count="1" selected="0">
            <x v="308"/>
          </reference>
          <reference field="6" count="1">
            <x v="4"/>
          </reference>
        </references>
      </pivotArea>
    </format>
    <format dxfId="5919">
      <pivotArea dataOnly="0" labelOnly="1" outline="0" fieldPosition="0">
        <references count="4">
          <reference field="1" count="0" selected="0"/>
          <reference field="3" count="1" selected="0">
            <x v="7"/>
          </reference>
          <reference field="5" count="1" selected="0">
            <x v="309"/>
          </reference>
          <reference field="6" count="1">
            <x v="4"/>
          </reference>
        </references>
      </pivotArea>
    </format>
    <format dxfId="5918">
      <pivotArea dataOnly="0" labelOnly="1" outline="0" fieldPosition="0">
        <references count="4">
          <reference field="1" count="0" selected="0"/>
          <reference field="3" count="1" selected="0">
            <x v="3"/>
          </reference>
          <reference field="5" count="1" selected="0">
            <x v="341"/>
          </reference>
          <reference field="6" count="1">
            <x v="2"/>
          </reference>
        </references>
      </pivotArea>
    </format>
    <format dxfId="5917">
      <pivotArea dataOnly="0" labelOnly="1" outline="0" fieldPosition="0">
        <references count="4">
          <reference field="1" count="0" selected="0"/>
          <reference field="3" count="1" selected="0">
            <x v="5"/>
          </reference>
          <reference field="5" count="1" selected="0">
            <x v="342"/>
          </reference>
          <reference field="6" count="1">
            <x v="3"/>
          </reference>
        </references>
      </pivotArea>
    </format>
    <format dxfId="5916">
      <pivotArea dataOnly="0" labelOnly="1" outline="0" fieldPosition="0">
        <references count="4">
          <reference field="1" count="0" selected="0"/>
          <reference field="3" count="1" selected="0">
            <x v="5"/>
          </reference>
          <reference field="5" count="1" selected="0">
            <x v="350"/>
          </reference>
          <reference field="6" count="1">
            <x v="3"/>
          </reference>
        </references>
      </pivotArea>
    </format>
    <format dxfId="5915">
      <pivotArea dataOnly="0" labelOnly="1" outline="0" fieldPosition="0">
        <references count="4">
          <reference field="1" count="0" selected="0"/>
          <reference field="3" count="1" selected="0">
            <x v="6"/>
          </reference>
          <reference field="5" count="1" selected="0">
            <x v="182"/>
          </reference>
          <reference field="6" count="1">
            <x v="4"/>
          </reference>
        </references>
      </pivotArea>
    </format>
    <format dxfId="5914">
      <pivotArea dataOnly="0" labelOnly="1" outline="0" fieldPosition="0">
        <references count="4">
          <reference field="1" count="0" selected="0"/>
          <reference field="3" count="1" selected="0">
            <x v="6"/>
          </reference>
          <reference field="5" count="1" selected="0">
            <x v="185"/>
          </reference>
          <reference field="6" count="1">
            <x v="4"/>
          </reference>
        </references>
      </pivotArea>
    </format>
    <format dxfId="5913">
      <pivotArea dataOnly="0" labelOnly="1" outline="0" fieldPosition="0">
        <references count="4">
          <reference field="1" count="0" selected="0"/>
          <reference field="3" count="1" selected="0">
            <x v="7"/>
          </reference>
          <reference field="5" count="1" selected="0">
            <x v="232"/>
          </reference>
          <reference field="6" count="1">
            <x v="4"/>
          </reference>
        </references>
      </pivotArea>
    </format>
    <format dxfId="5912">
      <pivotArea dataOnly="0" labelOnly="1" outline="0" fieldPosition="0">
        <references count="4">
          <reference field="1" count="0" selected="0"/>
          <reference field="3" count="1" selected="0">
            <x v="7"/>
          </reference>
          <reference field="5" count="1" selected="0">
            <x v="311"/>
          </reference>
          <reference field="6" count="1">
            <x v="4"/>
          </reference>
        </references>
      </pivotArea>
    </format>
    <format dxfId="5911">
      <pivotArea dataOnly="0" labelOnly="1" outline="0" fieldPosition="0">
        <references count="4">
          <reference field="1" count="0" selected="0"/>
          <reference field="3" count="1" selected="0">
            <x v="5"/>
          </reference>
          <reference field="5" count="1" selected="0">
            <x v="352"/>
          </reference>
          <reference field="6" count="1">
            <x v="3"/>
          </reference>
        </references>
      </pivotArea>
    </format>
    <format dxfId="5910">
      <pivotArea dataOnly="0" labelOnly="1" outline="0" fieldPosition="0">
        <references count="4">
          <reference field="1" count="0" selected="0"/>
          <reference field="3" count="1" selected="0">
            <x v="5"/>
          </reference>
          <reference field="5" count="1" selected="0">
            <x v="351"/>
          </reference>
          <reference field="6" count="1">
            <x v="3"/>
          </reference>
        </references>
      </pivotArea>
    </format>
    <format dxfId="5909">
      <pivotArea dataOnly="0" labelOnly="1" outline="0" fieldPosition="0">
        <references count="4">
          <reference field="1" count="0" selected="0"/>
          <reference field="3" count="1" selected="0">
            <x v="6"/>
          </reference>
          <reference field="5" count="1" selected="0">
            <x v="160"/>
          </reference>
          <reference field="6" count="1">
            <x v="4"/>
          </reference>
        </references>
      </pivotArea>
    </format>
    <format dxfId="5908">
      <pivotArea dataOnly="0" labelOnly="1" outline="0" fieldPosition="0">
        <references count="4">
          <reference field="1" count="0" selected="0"/>
          <reference field="3" count="1" selected="0">
            <x v="6"/>
          </reference>
          <reference field="5" count="1" selected="0">
            <x v="161"/>
          </reference>
          <reference field="6" count="1">
            <x v="4"/>
          </reference>
        </references>
      </pivotArea>
    </format>
    <format dxfId="5907">
      <pivotArea dataOnly="0" labelOnly="1" outline="0" fieldPosition="0">
        <references count="4">
          <reference field="1" count="0" selected="0"/>
          <reference field="3" count="1" selected="0">
            <x v="6"/>
          </reference>
          <reference field="5" count="1" selected="0">
            <x v="189"/>
          </reference>
          <reference field="6" count="1">
            <x v="4"/>
          </reference>
        </references>
      </pivotArea>
    </format>
    <format dxfId="5906">
      <pivotArea dataOnly="0" labelOnly="1" outline="0" fieldPosition="0">
        <references count="4">
          <reference field="1" count="0" selected="0"/>
          <reference field="3" count="1" selected="0">
            <x v="7"/>
          </reference>
          <reference field="5" count="1" selected="0">
            <x v="192"/>
          </reference>
          <reference field="6" count="1">
            <x v="6"/>
          </reference>
        </references>
      </pivotArea>
    </format>
    <format dxfId="5905">
      <pivotArea dataOnly="0" labelOnly="1" outline="0" fieldPosition="0">
        <references count="4">
          <reference field="1" count="0" selected="0"/>
          <reference field="3" count="1" selected="0">
            <x v="7"/>
          </reference>
          <reference field="5" count="1" selected="0">
            <x v="196"/>
          </reference>
          <reference field="6" count="1">
            <x v="6"/>
          </reference>
        </references>
      </pivotArea>
    </format>
    <format dxfId="5904">
      <pivotArea dataOnly="0" labelOnly="1" outline="0" fieldPosition="0">
        <references count="4">
          <reference field="1" count="0" selected="0"/>
          <reference field="3" count="1" selected="0">
            <x v="7"/>
          </reference>
          <reference field="5" count="1" selected="0">
            <x v="230"/>
          </reference>
          <reference field="6" count="1">
            <x v="4"/>
          </reference>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FC96D5D-232C-473E-B49D-C80D41EA118E}" name="Cambio de Split" cacheId="18" applyNumberFormats="0" applyBorderFormats="0" applyFontFormats="0" applyPatternFormats="0" applyAlignmentFormats="0" applyWidthHeightFormats="1" dataCaption="Valores" updatedVersion="8" minRefreshableVersion="3" showDrill="0" rowGrandTotals="0" colGrandTotals="0" itemPrintTitles="1" createdVersion="4" indent="0" compact="0" compactData="0" multipleFieldFilters="0" rowHeaderCaption="New Sites">
  <location ref="A19:E283" firstHeaderRow="1" firstDataRow="1" firstDataCol="4"/>
  <pivotFields count="17">
    <pivotField compact="0" outline="0" subtotalTop="0" showAll="0" defaultSubtotal="0"/>
    <pivotField axis="axisRow" compact="0" outline="0" showAll="0" defaultSubtotal="0">
      <items count="41">
        <item x="0"/>
        <item x="1"/>
        <item x="2"/>
        <item x="3"/>
        <item x="4"/>
        <item x="5"/>
        <item x="6"/>
        <item x="7"/>
        <item x="8"/>
        <item x="9"/>
        <item x="10"/>
        <item x="11"/>
        <item x="12"/>
        <item x="13"/>
        <item x="14"/>
        <item x="15"/>
        <item x="16"/>
        <item x="17"/>
        <item x="18"/>
        <item x="19"/>
        <item x="20"/>
        <item x="21"/>
        <item x="22"/>
        <item x="23"/>
        <item x="24"/>
        <item x="25"/>
        <item x="26"/>
        <item m="1" x="31"/>
        <item m="1" x="32"/>
        <item m="1" x="33"/>
        <item m="1" x="34"/>
        <item m="1" x="35"/>
        <item m="1" x="36"/>
        <item m="1" x="37"/>
        <item m="1" x="38"/>
        <item m="1" x="39"/>
        <item m="1" x="40"/>
        <item m="1" x="28"/>
        <item m="1" x="29"/>
        <item m="1" x="30"/>
        <item x="27"/>
      </items>
    </pivotField>
    <pivotField dataField="1" compact="0" outline="0" showAll="0" defaultSubtotal="0">
      <items count="42">
        <item h="1" m="1" x="41"/>
        <item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m="1" x="31"/>
        <item h="1" m="1" x="32"/>
        <item h="1" m="1" x="33"/>
        <item h="1" m="1" x="34"/>
        <item h="1" m="1" x="35"/>
        <item h="1" m="1" x="36"/>
        <item h="1" m="1" x="37"/>
        <item h="1" m="1" x="38"/>
        <item h="1" m="1" x="39"/>
        <item h="1" m="1" x="40"/>
        <item h="1" x="30"/>
      </items>
    </pivotField>
    <pivotField name="Log Time" axis="axisRow" compact="0" outline="0" showAll="0" defaultSubtotal="0">
      <items count="17">
        <item x="2"/>
        <item m="1" x="16"/>
        <item x="4"/>
        <item x="0"/>
        <item x="7"/>
        <item x="1"/>
        <item x="3"/>
        <item x="5"/>
        <item m="1" x="10"/>
        <item x="8"/>
        <item m="1" x="15"/>
        <item m="1" x="12"/>
        <item m="1" x="11"/>
        <item m="1" x="14"/>
        <item m="1" x="13"/>
        <item m="1" x="9"/>
        <item x="6"/>
      </items>
    </pivotField>
    <pivotField compact="0" outline="0" showAll="0" defaultSubtotal="0"/>
    <pivotField axis="axisRow" compact="0" outline="0" showAll="0" defaultSubtotal="0">
      <items count="388">
        <item m="1" x="308"/>
        <item m="1" x="201"/>
        <item m="1" x="365"/>
        <item m="1" x="202"/>
        <item m="1" x="236"/>
        <item m="1" x="283"/>
        <item m="1" x="241"/>
        <item m="1" x="382"/>
        <item m="1" x="230"/>
        <item m="1" x="303"/>
        <item m="1" x="237"/>
        <item m="1" x="368"/>
        <item m="1" x="292"/>
        <item m="1" x="186"/>
        <item m="1" x="190"/>
        <item m="1" x="231"/>
        <item m="1" x="168"/>
        <item m="1" x="366"/>
        <item m="1" x="263"/>
        <item m="1" x="169"/>
        <item m="1" x="219"/>
        <item m="1" x="276"/>
        <item m="1" x="277"/>
        <item m="1" x="170"/>
        <item m="1" x="187"/>
        <item m="1" x="171"/>
        <item m="1" x="212"/>
        <item m="1" x="213"/>
        <item m="1" x="189"/>
        <item m="1" x="188"/>
        <item m="1" x="375"/>
        <item m="1" x="294"/>
        <item m="1" x="311"/>
        <item m="1" x="172"/>
        <item m="1" x="173"/>
        <item m="1" x="225"/>
        <item m="1" x="332"/>
        <item m="1" x="226"/>
        <item m="1" x="197"/>
        <item m="1" x="174"/>
        <item m="1" x="203"/>
        <item m="1" x="329"/>
        <item m="1" x="253"/>
        <item m="1" x="333"/>
        <item m="1" x="175"/>
        <item m="1" x="176"/>
        <item m="1" x="223"/>
        <item m="1" x="200"/>
        <item m="1" x="191"/>
        <item m="1" x="177"/>
        <item m="1" x="242"/>
        <item m="1" x="274"/>
        <item m="1" x="275"/>
        <item m="1" x="193"/>
        <item m="1" x="194"/>
        <item m="1" x="243"/>
        <item m="1" x="287"/>
        <item m="1" x="280"/>
        <item m="1" x="192"/>
        <item m="1" x="376"/>
        <item m="1" x="254"/>
        <item m="1" x="240"/>
        <item m="1" x="386"/>
        <item m="1" x="178"/>
        <item m="1" x="183"/>
        <item m="1" x="179"/>
        <item m="1" x="180"/>
        <item m="1" x="214"/>
        <item m="1" x="181"/>
        <item m="1" x="185"/>
        <item m="1" x="227"/>
        <item m="1" x="218"/>
        <item m="1" x="224"/>
        <item m="1" x="232"/>
        <item m="1" x="184"/>
        <item m="1" x="378"/>
        <item m="1" x="204"/>
        <item m="1" x="255"/>
        <item m="1" x="196"/>
        <item m="1" x="305"/>
        <item m="1" x="205"/>
        <item m="1" x="340"/>
        <item m="1" x="182"/>
        <item m="1" x="228"/>
        <item m="1" x="339"/>
        <item m="1" x="337"/>
        <item m="1" x="229"/>
        <item m="1" x="295"/>
        <item m="1" x="210"/>
        <item m="1" x="238"/>
        <item m="1" x="372"/>
        <item m="1" x="256"/>
        <item m="1" x="361"/>
        <item m="1" x="244"/>
        <item m="1" x="258"/>
        <item m="1" x="245"/>
        <item m="1" x="246"/>
        <item m="1" x="247"/>
        <item m="1" x="215"/>
        <item m="1" x="206"/>
        <item m="1" x="323"/>
        <item m="1" x="207"/>
        <item m="1" x="304"/>
        <item m="1" x="208"/>
        <item m="1" x="195"/>
        <item m="1" x="198"/>
        <item m="1" x="279"/>
        <item m="1" x="199"/>
        <item m="1" x="363"/>
        <item m="1" x="248"/>
        <item m="1" x="358"/>
        <item m="1" x="257"/>
        <item m="1" x="300"/>
        <item m="1" x="216"/>
        <item m="1" x="220"/>
        <item m="1" x="250"/>
        <item m="1" x="249"/>
        <item m="1" x="221"/>
        <item m="1" x="260"/>
        <item m="1" x="259"/>
        <item m="1" x="217"/>
        <item m="1" x="293"/>
        <item m="1" x="233"/>
        <item m="1" x="385"/>
        <item m="1" x="222"/>
        <item m="1" x="367"/>
        <item m="1" x="317"/>
        <item m="1" x="251"/>
        <item m="1" x="234"/>
        <item m="1" x="310"/>
        <item m="1" x="301"/>
        <item m="1" x="235"/>
        <item m="1" x="315"/>
        <item m="1" x="252"/>
        <item m="1" x="143"/>
        <item m="1" x="142"/>
        <item m="1" x="356"/>
        <item x="55"/>
        <item m="1" x="141"/>
        <item m="1" x="167"/>
        <item m="1" x="138"/>
        <item m="1" x="139"/>
        <item m="1" x="387"/>
        <item m="1" x="140"/>
        <item x="88"/>
        <item m="1" x="136"/>
        <item m="1" x="134"/>
        <item m="1" x="354"/>
        <item m="1" x="137"/>
        <item m="1" x="369"/>
        <item m="1" x="135"/>
        <item m="1" x="309"/>
        <item m="1" x="267"/>
        <item m="1" x="268"/>
        <item m="1" x="265"/>
        <item m="1" x="266"/>
        <item m="1" x="374"/>
        <item x="30"/>
        <item m="1" x="132"/>
        <item m="1" x="145"/>
        <item m="1" x="162"/>
        <item m="1" x="360"/>
        <item m="1" x="127"/>
        <item m="1" x="166"/>
        <item m="1" x="129"/>
        <item m="1" x="130"/>
        <item m="1" x="122"/>
        <item m="1" x="125"/>
        <item m="1" x="126"/>
        <item m="1" x="123"/>
        <item m="1" x="119"/>
        <item m="1" x="117"/>
        <item m="1" x="118"/>
        <item m="1" x="120"/>
        <item m="1" x="124"/>
        <item x="94"/>
        <item m="1" x="163"/>
        <item m="1" x="164"/>
        <item m="1" x="330"/>
        <item x="96"/>
        <item x="64"/>
        <item m="1" x="121"/>
        <item x="7"/>
        <item x="8"/>
        <item x="35"/>
        <item m="1" x="313"/>
        <item m="1" x="146"/>
        <item x="65"/>
        <item x="97"/>
        <item m="1" x="149"/>
        <item m="1" x="291"/>
        <item x="98"/>
        <item x="67"/>
        <item m="1" x="298"/>
        <item m="1" x="371"/>
        <item m="1" x="148"/>
        <item x="9"/>
        <item m="1" x="341"/>
        <item x="10"/>
        <item x="36"/>
        <item x="99"/>
        <item x="100"/>
        <item x="68"/>
        <item m="1" x="319"/>
        <item m="1" x="288"/>
        <item m="1" x="289"/>
        <item m="1" x="364"/>
        <item m="1" x="383"/>
        <item m="1" x="373"/>
        <item m="1" x="290"/>
        <item m="1" x="286"/>
        <item m="1" x="320"/>
        <item m="1" x="346"/>
        <item m="1" x="325"/>
        <item x="37"/>
        <item x="11"/>
        <item x="12"/>
        <item m="1" x="262"/>
        <item x="69"/>
        <item x="71"/>
        <item m="1" x="318"/>
        <item x="101"/>
        <item x="102"/>
        <item m="1" x="384"/>
        <item x="72"/>
        <item m="1" x="377"/>
        <item m="1" x="351"/>
        <item x="39"/>
        <item m="1" x="359"/>
        <item x="103"/>
        <item x="73"/>
        <item x="40"/>
        <item n="(KG) Northwest CDJR" m="1" x="165"/>
        <item x="13"/>
        <item m="1" x="345"/>
        <item x="41"/>
        <item m="1" x="284"/>
        <item x="14"/>
        <item x="74"/>
        <item m="1" x="350"/>
        <item m="1" x="370"/>
        <item x="104"/>
        <item x="105"/>
        <item m="1" x="331"/>
        <item x="106"/>
        <item m="1" x="321"/>
        <item x="75"/>
        <item x="42"/>
        <item x="16"/>
        <item m="1" x="314"/>
        <item m="1" x="380"/>
        <item m="1" x="353"/>
        <item m="1" x="352"/>
        <item m="1" x="312"/>
        <item x="17"/>
        <item x="43"/>
        <item x="76"/>
        <item x="77"/>
        <item m="1" x="357"/>
        <item x="107"/>
        <item x="78"/>
        <item x="44"/>
        <item x="18"/>
        <item x="19"/>
        <item x="45"/>
        <item x="79"/>
        <item x="108"/>
        <item x="109"/>
        <item m="1" x="328"/>
        <item x="80"/>
        <item m="1" x="338"/>
        <item x="46"/>
        <item m="1" x="334"/>
        <item x="20"/>
        <item m="1" x="335"/>
        <item x="21"/>
        <item x="47"/>
        <item m="1" x="347"/>
        <item m="1" x="326"/>
        <item m="1" x="307"/>
        <item m="1" x="296"/>
        <item m="1" x="362"/>
        <item x="110"/>
        <item x="111"/>
        <item m="1" x="159"/>
        <item x="48"/>
        <item m="1" x="327"/>
        <item m="1" x="155"/>
        <item x="22"/>
        <item x="49"/>
        <item x="81"/>
        <item m="1" x="144"/>
        <item x="112"/>
        <item m="1" x="156"/>
        <item m="1" x="158"/>
        <item x="50"/>
        <item x="23"/>
        <item m="1" x="161"/>
        <item m="1" x="285"/>
        <item m="1" x="147"/>
        <item x="113"/>
        <item x="82"/>
        <item m="1" x="278"/>
        <item m="1" x="381"/>
        <item m="1" x="299"/>
        <item x="114"/>
        <item m="1" x="306"/>
        <item x="24"/>
        <item x="25"/>
        <item m="1" x="302"/>
        <item x="51"/>
        <item m="1" x="348"/>
        <item m="1" x="355"/>
        <item m="1" x="343"/>
        <item m="1" x="297"/>
        <item m="1" x="342"/>
        <item x="83"/>
        <item m="1" x="322"/>
        <item m="1" x="344"/>
        <item m="1" x="281"/>
        <item x="52"/>
        <item m="1" x="273"/>
        <item m="1" x="282"/>
        <item m="1" x="272"/>
        <item m="1" x="152"/>
        <item m="1" x="270"/>
        <item m="1" x="271"/>
        <item m="1" x="269"/>
        <item x="84"/>
        <item m="1" x="160"/>
        <item m="1" x="336"/>
        <item m="1" x="379"/>
        <item m="1" x="324"/>
        <item m="1" x="316"/>
        <item m="1" x="349"/>
        <item m="1" x="264"/>
        <item x="116"/>
        <item m="1" x="261"/>
        <item m="1" x="211"/>
        <item m="1" x="209"/>
        <item x="26"/>
        <item x="54"/>
        <item m="1" x="133"/>
        <item m="1" x="131"/>
        <item x="85"/>
        <item m="1" x="239"/>
        <item x="38"/>
        <item m="1" x="128"/>
        <item m="1" x="153"/>
        <item m="1" x="157"/>
        <item m="1" x="150"/>
        <item x="95"/>
        <item x="63"/>
        <item x="91"/>
        <item x="15"/>
        <item m="1" x="154"/>
        <item x="70"/>
        <item m="1" x="151"/>
        <item x="53"/>
        <item x="66"/>
        <item x="115"/>
        <item x="86"/>
        <item x="87"/>
        <item x="27"/>
        <item x="0"/>
        <item x="28"/>
        <item x="56"/>
        <item x="57"/>
        <item x="58"/>
        <item x="89"/>
        <item x="90"/>
        <item x="1"/>
        <item x="2"/>
        <item x="29"/>
        <item x="3"/>
        <item x="4"/>
        <item x="31"/>
        <item x="32"/>
        <item x="6"/>
        <item x="61"/>
        <item x="33"/>
        <item x="34"/>
        <item x="59"/>
        <item x="60"/>
        <item x="62"/>
        <item x="92"/>
        <item x="93"/>
        <item x="5"/>
      </items>
    </pivotField>
    <pivotField axis="axisRow" compact="0" outline="0" showAll="0" sortType="ascending" defaultSubtotal="0">
      <items count="15">
        <item x="5"/>
        <item m="1" x="12"/>
        <item m="1" x="11"/>
        <item x="6"/>
        <item m="1" x="14"/>
        <item x="0"/>
        <item m="1" x="9"/>
        <item x="1"/>
        <item m="1" x="10"/>
        <item x="3"/>
        <item m="1" x="13"/>
        <item x="4"/>
        <item m="1" x="8"/>
        <item x="2"/>
        <item x="7"/>
      </items>
    </pivotField>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4">
    <field x="1"/>
    <field x="3"/>
    <field x="5"/>
    <field x="6"/>
  </rowFields>
  <rowItems count="264">
    <i>
      <x/>
      <x/>
      <x v="237"/>
      <x v="13"/>
    </i>
    <i r="2">
      <x v="375"/>
      <x v="13"/>
    </i>
    <i r="1">
      <x v="2"/>
      <x v="288"/>
      <x v="5"/>
    </i>
    <i r="2">
      <x v="296"/>
      <x v="5"/>
    </i>
    <i r="1">
      <x v="3"/>
      <x v="215"/>
      <x v="5"/>
    </i>
    <i r="2">
      <x v="216"/>
      <x v="5"/>
    </i>
    <i r="2">
      <x v="340"/>
      <x v="5"/>
    </i>
    <i r="2">
      <x v="364"/>
      <x v="5"/>
    </i>
    <i r="2">
      <x v="374"/>
      <x v="5"/>
    </i>
    <i r="1">
      <x v="5"/>
      <x v="196"/>
      <x v="7"/>
    </i>
    <i r="2">
      <x v="198"/>
      <x v="7"/>
    </i>
    <i r="2">
      <x v="233"/>
      <x v="7"/>
    </i>
    <i r="2">
      <x v="248"/>
      <x v="7"/>
    </i>
    <i r="2">
      <x v="254"/>
      <x v="7"/>
    </i>
    <i r="2">
      <x v="262"/>
      <x v="7"/>
    </i>
    <i r="2">
      <x v="263"/>
      <x v="7"/>
    </i>
    <i r="2">
      <x v="273"/>
      <x v="7"/>
    </i>
    <i r="2">
      <x v="275"/>
      <x v="7"/>
    </i>
    <i r="2">
      <x v="354"/>
      <x v="7"/>
    </i>
    <i r="2">
      <x v="371"/>
      <x v="7"/>
    </i>
    <i r="2">
      <x v="372"/>
      <x v="7"/>
    </i>
    <i r="2">
      <x v="378"/>
      <x v="7"/>
    </i>
    <i r="2">
      <x v="387"/>
      <x v="7"/>
    </i>
    <i r="1">
      <x v="6"/>
      <x v="182"/>
      <x v="9"/>
    </i>
    <i r="2">
      <x v="183"/>
      <x v="9"/>
    </i>
    <i r="1">
      <x v="7"/>
      <x v="307"/>
      <x v="11"/>
    </i>
    <i r="2">
      <x v="308"/>
      <x v="11"/>
    </i>
    <i>
      <x v="1"/>
      <x/>
      <x v="237"/>
      <x v="13"/>
    </i>
    <i r="1">
      <x v="2"/>
      <x v="300"/>
      <x v="5"/>
    </i>
    <i r="1">
      <x v="3"/>
      <x v="157"/>
      <x v="5"/>
    </i>
    <i r="2">
      <x v="214"/>
      <x v="5"/>
    </i>
    <i r="2">
      <x v="215"/>
      <x v="5"/>
    </i>
    <i r="2">
      <x v="362"/>
      <x v="5"/>
    </i>
    <i r="2">
      <x v="367"/>
      <x v="5"/>
    </i>
    <i r="1">
      <x v="5"/>
      <x v="196"/>
      <x v="7"/>
    </i>
    <i r="2">
      <x v="227"/>
      <x v="7"/>
    </i>
    <i r="2">
      <x v="254"/>
      <x v="7"/>
    </i>
    <i r="2">
      <x v="255"/>
      <x v="7"/>
    </i>
    <i r="2">
      <x v="265"/>
      <x v="7"/>
    </i>
    <i r="2">
      <x v="266"/>
      <x v="7"/>
    </i>
    <i r="2">
      <x v="351"/>
      <x v="7"/>
    </i>
    <i r="2">
      <x v="352"/>
      <x v="7"/>
    </i>
    <i r="2">
      <x v="354"/>
      <x v="7"/>
    </i>
    <i r="2">
      <x v="382"/>
      <x v="7"/>
    </i>
    <i r="2">
      <x v="385"/>
      <x v="7"/>
    </i>
    <i r="1">
      <x v="6"/>
      <x v="180"/>
      <x v="9"/>
    </i>
    <i r="2">
      <x v="188"/>
      <x v="9"/>
    </i>
    <i r="2">
      <x v="353"/>
      <x v="9"/>
    </i>
    <i r="1">
      <x v="7"/>
      <x v="231"/>
      <x v="11"/>
    </i>
    <i r="2">
      <x v="307"/>
      <x v="11"/>
    </i>
    <i>
      <x v="2"/>
      <x/>
      <x v="237"/>
      <x v="13"/>
    </i>
    <i r="1">
      <x v="2"/>
      <x v="292"/>
      <x v="5"/>
    </i>
    <i r="1">
      <x v="3"/>
      <x v="192"/>
      <x v="5"/>
    </i>
    <i r="2">
      <x v="200"/>
      <x v="5"/>
    </i>
    <i r="2">
      <x v="320"/>
      <x v="5"/>
    </i>
    <i r="2">
      <x v="340"/>
      <x v="5"/>
    </i>
    <i r="2">
      <x v="364"/>
      <x v="5"/>
    </i>
    <i r="1">
      <x v="5"/>
      <x v="196"/>
      <x v="7"/>
    </i>
    <i r="2">
      <x v="227"/>
      <x v="7"/>
    </i>
    <i r="2">
      <x v="238"/>
      <x v="7"/>
    </i>
    <i r="2">
      <x v="260"/>
      <x v="7"/>
    </i>
    <i r="2">
      <x v="261"/>
      <x v="7"/>
    </i>
    <i r="2">
      <x v="276"/>
      <x v="7"/>
    </i>
    <i r="2">
      <x v="301"/>
      <x v="7"/>
    </i>
    <i r="2">
      <x v="361"/>
      <x v="7"/>
    </i>
    <i r="2">
      <x v="372"/>
      <x v="7"/>
    </i>
    <i r="2">
      <x v="382"/>
      <x v="7"/>
    </i>
    <i r="2">
      <x v="385"/>
      <x v="7"/>
    </i>
    <i r="1">
      <x v="6"/>
      <x v="230"/>
      <x v="9"/>
    </i>
    <i r="1">
      <x v="7"/>
      <x v="231"/>
      <x v="11"/>
    </i>
    <i>
      <x v="3"/>
      <x/>
      <x v="237"/>
      <x v="13"/>
    </i>
    <i r="1">
      <x v="2"/>
      <x v="288"/>
      <x v="5"/>
    </i>
    <i r="1">
      <x v="3"/>
      <x v="144"/>
      <x v="5"/>
    </i>
    <i r="2">
      <x v="216"/>
      <x v="5"/>
    </i>
    <i r="2">
      <x v="346"/>
      <x v="5"/>
    </i>
    <i r="2">
      <x v="369"/>
      <x v="5"/>
    </i>
    <i r="1">
      <x v="5"/>
      <x v="238"/>
      <x v="7"/>
    </i>
    <i r="2">
      <x v="262"/>
      <x v="7"/>
    </i>
    <i r="2">
      <x v="263"/>
      <x v="7"/>
    </i>
    <i r="2">
      <x v="351"/>
      <x v="7"/>
    </i>
    <i r="2">
      <x v="352"/>
      <x v="7"/>
    </i>
    <i r="2">
      <x v="371"/>
      <x v="7"/>
    </i>
    <i r="2">
      <x v="373"/>
      <x v="7"/>
    </i>
    <i r="1">
      <x v="6"/>
      <x v="180"/>
      <x v="9"/>
    </i>
    <i r="2">
      <x v="381"/>
      <x v="9"/>
    </i>
    <i r="1">
      <x v="7"/>
      <x v="191"/>
      <x/>
    </i>
    <i>
      <x v="4"/>
      <x/>
      <x v="237"/>
      <x v="13"/>
    </i>
    <i r="2">
      <x v="375"/>
      <x v="13"/>
    </i>
    <i r="1">
      <x v="2"/>
      <x v="295"/>
      <x v="5"/>
    </i>
    <i r="2">
      <x v="296"/>
      <x v="5"/>
    </i>
    <i r="1">
      <x v="3"/>
      <x v="241"/>
      <x v="5"/>
    </i>
    <i r="2">
      <x v="340"/>
      <x v="5"/>
    </i>
    <i r="2">
      <x v="374"/>
      <x v="5"/>
    </i>
    <i r="1">
      <x v="5"/>
      <x v="227"/>
      <x v="7"/>
    </i>
    <i r="2">
      <x v="261"/>
      <x v="7"/>
    </i>
    <i r="2">
      <x v="262"/>
      <x v="7"/>
    </i>
    <i r="2">
      <x v="354"/>
      <x v="7"/>
    </i>
    <i r="2">
      <x v="379"/>
      <x v="7"/>
    </i>
    <i r="2">
      <x v="387"/>
      <x v="7"/>
    </i>
    <i r="1">
      <x v="6"/>
      <x v="182"/>
      <x v="9"/>
    </i>
    <i r="2">
      <x v="184"/>
      <x v="9"/>
    </i>
    <i r="2">
      <x v="381"/>
      <x v="9"/>
    </i>
    <i>
      <x v="5"/>
      <x/>
      <x v="237"/>
      <x v="13"/>
    </i>
    <i r="1">
      <x v="3"/>
      <x v="192"/>
      <x v="5"/>
    </i>
    <i r="2">
      <x v="200"/>
      <x v="5"/>
    </i>
    <i r="1">
      <x v="5"/>
      <x v="196"/>
      <x v="7"/>
    </i>
    <i r="2">
      <x v="254"/>
      <x v="7"/>
    </i>
    <i r="2">
      <x v="255"/>
      <x v="7"/>
    </i>
    <i r="2">
      <x v="275"/>
      <x v="7"/>
    </i>
    <i r="2">
      <x v="301"/>
      <x v="7"/>
    </i>
    <i r="2">
      <x v="368"/>
      <x v="7"/>
    </i>
    <i r="2">
      <x v="373"/>
      <x v="7"/>
    </i>
    <i r="1">
      <x v="6"/>
      <x v="360"/>
      <x v="9"/>
    </i>
    <i r="1">
      <x v="7"/>
      <x v="229"/>
      <x v="11"/>
    </i>
    <i>
      <x v="6"/>
      <x/>
      <x v="237"/>
      <x v="13"/>
    </i>
    <i r="1">
      <x v="2"/>
      <x v="290"/>
      <x v="5"/>
    </i>
    <i r="1">
      <x v="3"/>
      <x v="200"/>
      <x v="5"/>
    </i>
    <i r="2">
      <x v="369"/>
      <x v="5"/>
    </i>
    <i r="1">
      <x v="5"/>
      <x v="196"/>
      <x v="7"/>
    </i>
    <i r="2">
      <x v="198"/>
      <x v="7"/>
    </i>
    <i r="2">
      <x v="227"/>
      <x v="7"/>
    </i>
    <i r="2">
      <x v="265"/>
      <x v="7"/>
    </i>
    <i r="2">
      <x v="354"/>
      <x v="7"/>
    </i>
    <i r="2">
      <x v="385"/>
      <x v="7"/>
    </i>
    <i r="1">
      <x v="7"/>
      <x v="231"/>
      <x v="11"/>
    </i>
    <i r="2">
      <x v="307"/>
      <x v="11"/>
    </i>
    <i>
      <x v="7"/>
      <x/>
      <x v="237"/>
      <x v="13"/>
    </i>
    <i r="1">
      <x v="2"/>
      <x v="290"/>
      <x v="5"/>
    </i>
    <i r="2">
      <x v="300"/>
      <x v="5"/>
    </i>
    <i r="1">
      <x v="3"/>
      <x v="200"/>
      <x v="5"/>
    </i>
    <i r="2">
      <x v="369"/>
      <x v="5"/>
    </i>
    <i r="1">
      <x v="5"/>
      <x v="196"/>
      <x v="7"/>
    </i>
    <i r="2">
      <x v="198"/>
      <x v="7"/>
    </i>
    <i r="2">
      <x v="227"/>
      <x v="7"/>
    </i>
    <i r="2">
      <x v="354"/>
      <x v="7"/>
    </i>
    <i r="2">
      <x v="385"/>
      <x v="7"/>
    </i>
    <i r="1">
      <x v="7"/>
      <x v="307"/>
      <x v="11"/>
    </i>
    <i>
      <x v="8"/>
      <x/>
      <x v="237"/>
      <x v="13"/>
    </i>
    <i r="1">
      <x v="2"/>
      <x v="290"/>
      <x v="5"/>
    </i>
    <i r="1">
      <x v="3"/>
      <x v="200"/>
      <x v="5"/>
    </i>
    <i r="2">
      <x v="369"/>
      <x v="5"/>
    </i>
    <i r="1">
      <x v="5"/>
      <x v="196"/>
      <x v="7"/>
    </i>
    <i r="2">
      <x v="198"/>
      <x v="7"/>
    </i>
    <i r="2">
      <x v="227"/>
      <x v="7"/>
    </i>
    <i r="2">
      <x v="265"/>
      <x v="7"/>
    </i>
    <i r="2">
      <x v="385"/>
      <x v="7"/>
    </i>
    <i r="1">
      <x v="7"/>
      <x v="307"/>
      <x v="11"/>
    </i>
    <i>
      <x v="9"/>
      <x/>
      <x v="375"/>
      <x v="13"/>
    </i>
    <i r="1">
      <x v="2"/>
      <x v="290"/>
      <x v="5"/>
    </i>
    <i r="2">
      <x v="300"/>
      <x v="5"/>
    </i>
    <i r="1">
      <x v="3"/>
      <x v="200"/>
      <x v="5"/>
    </i>
    <i r="1">
      <x v="5"/>
      <x v="196"/>
      <x v="7"/>
    </i>
    <i r="2">
      <x v="198"/>
      <x v="7"/>
    </i>
    <i r="2">
      <x v="227"/>
      <x v="7"/>
    </i>
    <i r="2">
      <x v="265"/>
      <x v="7"/>
    </i>
    <i r="2">
      <x v="385"/>
      <x v="7"/>
    </i>
    <i r="1">
      <x v="7"/>
      <x v="307"/>
      <x v="11"/>
    </i>
    <i>
      <x v="10"/>
      <x/>
      <x v="375"/>
      <x v="13"/>
    </i>
    <i r="1">
      <x v="2"/>
      <x v="290"/>
      <x v="5"/>
    </i>
    <i r="2">
      <x v="300"/>
      <x v="5"/>
    </i>
    <i r="1">
      <x v="3"/>
      <x v="200"/>
      <x v="5"/>
    </i>
    <i r="1">
      <x v="5"/>
      <x v="198"/>
      <x v="7"/>
    </i>
    <i r="2">
      <x v="227"/>
      <x v="7"/>
    </i>
    <i r="2">
      <x v="265"/>
      <x v="7"/>
    </i>
    <i r="2">
      <x v="385"/>
      <x v="7"/>
    </i>
    <i r="1">
      <x v="7"/>
      <x v="307"/>
      <x v="11"/>
    </i>
    <i>
      <x v="11"/>
      <x v="2"/>
      <x v="290"/>
      <x v="5"/>
    </i>
    <i r="2">
      <x v="300"/>
      <x v="5"/>
    </i>
    <i r="1">
      <x v="3"/>
      <x v="200"/>
      <x v="5"/>
    </i>
    <i r="1">
      <x v="5"/>
      <x v="198"/>
      <x v="7"/>
    </i>
    <i r="2">
      <x v="227"/>
      <x v="7"/>
    </i>
    <i r="2">
      <x v="265"/>
      <x v="7"/>
    </i>
    <i r="2">
      <x v="385"/>
      <x v="7"/>
    </i>
    <i r="1">
      <x v="7"/>
      <x v="307"/>
      <x v="11"/>
    </i>
    <i>
      <x v="12"/>
      <x v="2"/>
      <x v="290"/>
      <x v="5"/>
    </i>
    <i r="2">
      <x v="300"/>
      <x v="5"/>
    </i>
    <i r="1">
      <x v="3"/>
      <x v="200"/>
      <x v="5"/>
    </i>
    <i r="2">
      <x v="328"/>
      <x v="7"/>
    </i>
    <i r="1">
      <x v="5"/>
      <x v="196"/>
      <x v="7"/>
    </i>
    <i r="2">
      <x v="227"/>
      <x v="7"/>
    </i>
    <i r="2">
      <x v="385"/>
      <x v="7"/>
    </i>
    <i r="1">
      <x v="7"/>
      <x v="307"/>
      <x v="11"/>
    </i>
    <i>
      <x v="13"/>
      <x v="2"/>
      <x v="290"/>
      <x v="5"/>
    </i>
    <i r="2">
      <x v="300"/>
      <x v="5"/>
    </i>
    <i r="1">
      <x v="3"/>
      <x v="192"/>
      <x v="5"/>
    </i>
    <i r="1">
      <x v="5"/>
      <x v="196"/>
      <x v="7"/>
    </i>
    <i r="2">
      <x v="227"/>
      <x v="7"/>
    </i>
    <i r="2">
      <x v="269"/>
      <x v="7"/>
    </i>
    <i r="2">
      <x v="385"/>
      <x v="7"/>
    </i>
    <i r="1">
      <x v="7"/>
      <x v="307"/>
      <x v="11"/>
    </i>
    <i>
      <x v="14"/>
      <x v="2"/>
      <x v="290"/>
      <x v="5"/>
    </i>
    <i r="2">
      <x v="300"/>
      <x v="5"/>
    </i>
    <i r="1">
      <x v="3"/>
      <x v="192"/>
      <x v="5"/>
    </i>
    <i r="1">
      <x v="5"/>
      <x v="227"/>
      <x v="7"/>
    </i>
    <i r="2">
      <x v="269"/>
      <x v="7"/>
    </i>
    <i r="2">
      <x v="385"/>
      <x v="7"/>
    </i>
    <i r="1">
      <x v="7"/>
      <x v="307"/>
      <x v="11"/>
    </i>
    <i>
      <x v="15"/>
      <x v="2"/>
      <x v="290"/>
      <x v="5"/>
    </i>
    <i r="2">
      <x v="300"/>
      <x v="5"/>
    </i>
    <i r="1">
      <x v="3"/>
      <x v="192"/>
      <x v="5"/>
    </i>
    <i r="1">
      <x v="5"/>
      <x v="227"/>
      <x v="7"/>
    </i>
    <i r="2">
      <x v="269"/>
      <x v="7"/>
    </i>
    <i r="2">
      <x v="385"/>
      <x v="7"/>
    </i>
    <i r="1">
      <x v="7"/>
      <x v="307"/>
      <x v="11"/>
    </i>
    <i>
      <x v="16"/>
      <x v="2"/>
      <x v="290"/>
      <x v="5"/>
    </i>
    <i r="2">
      <x v="300"/>
      <x v="5"/>
    </i>
    <i r="1">
      <x v="3"/>
      <x v="192"/>
      <x v="5"/>
    </i>
    <i r="1">
      <x v="5"/>
      <x v="269"/>
      <x v="7"/>
    </i>
    <i r="2">
      <x v="385"/>
      <x v="7"/>
    </i>
    <i r="1">
      <x v="7"/>
      <x v="307"/>
      <x v="11"/>
    </i>
    <i>
      <x v="17"/>
      <x v="2"/>
      <x v="290"/>
      <x v="5"/>
    </i>
    <i r="2">
      <x v="300"/>
      <x v="5"/>
    </i>
    <i r="1">
      <x v="3"/>
      <x v="192"/>
      <x v="5"/>
    </i>
    <i r="1">
      <x v="5"/>
      <x v="269"/>
      <x v="7"/>
    </i>
    <i r="2">
      <x v="385"/>
      <x v="7"/>
    </i>
    <i r="1">
      <x v="7"/>
      <x v="307"/>
      <x v="11"/>
    </i>
    <i>
      <x v="18"/>
      <x v="2"/>
      <x v="290"/>
      <x v="5"/>
    </i>
    <i r="2">
      <x v="300"/>
      <x v="5"/>
    </i>
    <i r="1">
      <x v="3"/>
      <x v="192"/>
      <x v="5"/>
    </i>
    <i r="1">
      <x v="5"/>
      <x v="269"/>
      <x v="7"/>
    </i>
    <i r="2">
      <x v="385"/>
      <x v="7"/>
    </i>
    <i r="1">
      <x v="7"/>
      <x v="307"/>
      <x v="11"/>
    </i>
    <i>
      <x v="19"/>
      <x v="2"/>
      <x v="290"/>
      <x v="5"/>
    </i>
    <i r="2">
      <x v="300"/>
      <x v="5"/>
    </i>
    <i r="1">
      <x v="3"/>
      <x v="192"/>
      <x v="5"/>
    </i>
    <i r="1">
      <x v="5"/>
      <x v="269"/>
      <x v="7"/>
    </i>
    <i r="2">
      <x v="385"/>
      <x v="7"/>
    </i>
    <i r="1">
      <x v="7"/>
      <x v="307"/>
      <x v="11"/>
    </i>
    <i>
      <x v="20"/>
      <x v="2"/>
      <x v="300"/>
      <x v="5"/>
    </i>
    <i r="1">
      <x v="3"/>
      <x v="192"/>
      <x v="5"/>
    </i>
    <i r="1">
      <x v="5"/>
      <x v="267"/>
      <x v="7"/>
    </i>
    <i r="2">
      <x v="269"/>
      <x v="7"/>
    </i>
    <i r="2">
      <x v="385"/>
      <x v="7"/>
    </i>
    <i r="1">
      <x v="7"/>
      <x v="307"/>
      <x v="11"/>
    </i>
    <i>
      <x v="21"/>
      <x v="2"/>
      <x v="300"/>
      <x v="5"/>
    </i>
    <i r="1">
      <x v="3"/>
      <x v="192"/>
      <x v="5"/>
    </i>
    <i r="1">
      <x v="5"/>
      <x v="269"/>
      <x v="7"/>
    </i>
    <i r="2">
      <x v="377"/>
      <x v="7"/>
    </i>
    <i r="2">
      <x v="385"/>
      <x v="7"/>
    </i>
    <i r="1">
      <x v="7"/>
      <x v="307"/>
      <x v="11"/>
    </i>
    <i>
      <x v="22"/>
      <x v="2"/>
      <x v="300"/>
      <x v="5"/>
    </i>
    <i r="1">
      <x v="3"/>
      <x v="192"/>
      <x v="5"/>
    </i>
    <i r="1">
      <x v="5"/>
      <x v="269"/>
      <x v="7"/>
    </i>
    <i r="2">
      <x v="385"/>
      <x v="7"/>
    </i>
    <i r="1">
      <x v="7"/>
      <x v="307"/>
      <x v="11"/>
    </i>
    <i>
      <x v="23"/>
      <x v="2"/>
      <x v="300"/>
      <x v="5"/>
    </i>
    <i r="1">
      <x v="3"/>
      <x v="364"/>
      <x v="5"/>
    </i>
    <i r="1">
      <x v="5"/>
      <x v="269"/>
      <x v="7"/>
    </i>
    <i r="2">
      <x v="385"/>
      <x v="7"/>
    </i>
    <i r="1">
      <x v="7"/>
      <x v="307"/>
      <x v="11"/>
    </i>
    <i>
      <x v="24"/>
      <x v="2"/>
      <x v="300"/>
      <x v="5"/>
    </i>
    <i r="1">
      <x v="5"/>
      <x v="269"/>
      <x v="7"/>
    </i>
    <i r="2">
      <x v="384"/>
      <x v="7"/>
    </i>
    <i r="2">
      <x v="385"/>
      <x v="7"/>
    </i>
    <i r="1">
      <x v="7"/>
      <x v="307"/>
      <x v="11"/>
    </i>
    <i>
      <x v="25"/>
      <x v="2"/>
      <x v="300"/>
      <x v="5"/>
    </i>
    <i r="1">
      <x v="5"/>
      <x v="269"/>
      <x v="7"/>
    </i>
    <i r="2">
      <x v="384"/>
      <x v="7"/>
    </i>
    <i r="2">
      <x v="385"/>
      <x v="7"/>
    </i>
    <i r="1">
      <x v="7"/>
      <x v="307"/>
      <x v="11"/>
    </i>
    <i>
      <x v="26"/>
      <x v="2"/>
      <x v="300"/>
      <x v="5"/>
    </i>
    <i r="1">
      <x v="5"/>
      <x v="269"/>
      <x v="7"/>
    </i>
    <i r="2">
      <x v="385"/>
      <x v="7"/>
    </i>
    <i r="1">
      <x v="7"/>
      <x v="307"/>
      <x v="11"/>
    </i>
  </rowItems>
  <colItems count="1">
    <i/>
  </colItems>
  <dataFields count="1">
    <dataField name="Suma de Station" fld="2" baseField="0" baseItem="0"/>
  </dataFields>
  <formats count="108">
    <format dxfId="6523">
      <pivotArea field="5" type="button" dataOnly="0" labelOnly="1" outline="0" axis="axisRow" fieldPosition="2"/>
    </format>
    <format dxfId="6522">
      <pivotArea type="all" dataOnly="0" outline="0" fieldPosition="0"/>
    </format>
    <format dxfId="6521">
      <pivotArea field="5" type="button" dataOnly="0" labelOnly="1" outline="0" axis="axisRow" fieldPosition="2"/>
    </format>
    <format dxfId="6520">
      <pivotArea type="all" dataOnly="0" outline="0" fieldPosition="0"/>
    </format>
    <format dxfId="6519">
      <pivotArea field="5" type="button" dataOnly="0" labelOnly="1" outline="0" axis="axisRow" fieldPosition="2"/>
    </format>
    <format dxfId="6518">
      <pivotArea dataOnly="0" labelOnly="1" fieldPosition="0">
        <references count="1">
          <reference field="5" count="50">
            <x v="1"/>
            <x v="3"/>
            <x v="4"/>
            <x v="6"/>
            <x v="8"/>
            <x v="10"/>
            <x v="13"/>
            <x v="14"/>
            <x v="15"/>
            <x v="17"/>
            <x v="18"/>
            <x v="19"/>
            <x v="20"/>
            <x v="21"/>
            <x v="22"/>
            <x v="23"/>
            <x v="24"/>
            <x v="25"/>
            <x v="26"/>
            <x v="27"/>
            <x v="28"/>
            <x v="29"/>
            <x v="33"/>
            <x v="34"/>
            <x v="35"/>
            <x v="37"/>
            <x v="38"/>
            <x v="39"/>
            <x v="40"/>
            <x v="42"/>
            <x v="44"/>
            <x v="45"/>
            <x v="46"/>
            <x v="47"/>
            <x v="48"/>
            <x v="49"/>
            <x v="50"/>
            <x v="51"/>
            <x v="52"/>
            <x v="53"/>
            <x v="54"/>
            <x v="55"/>
            <x v="58"/>
            <x v="60"/>
            <x v="61"/>
            <x v="63"/>
            <x v="64"/>
            <x v="65"/>
            <x v="67"/>
            <x v="68"/>
          </reference>
        </references>
      </pivotArea>
    </format>
    <format dxfId="6517">
      <pivotArea dataOnly="0" labelOnly="1" fieldPosition="0">
        <references count="1">
          <reference field="5" count="50">
            <x v="69"/>
            <x v="70"/>
            <x v="71"/>
            <x v="72"/>
            <x v="73"/>
            <x v="74"/>
            <x v="76"/>
            <x v="77"/>
            <x v="78"/>
            <x v="80"/>
            <x v="82"/>
            <x v="83"/>
            <x v="86"/>
            <x v="88"/>
            <x v="89"/>
            <x v="91"/>
            <x v="93"/>
            <x v="94"/>
            <x v="95"/>
            <x v="96"/>
            <x v="97"/>
            <x v="99"/>
            <x v="101"/>
            <x v="103"/>
            <x v="104"/>
            <x v="105"/>
            <x v="107"/>
            <x v="108"/>
            <x v="109"/>
            <x v="111"/>
            <x v="113"/>
            <x v="114"/>
            <x v="115"/>
            <x v="116"/>
            <x v="117"/>
            <x v="118"/>
            <x v="119"/>
            <x v="120"/>
            <x v="122"/>
            <x v="124"/>
            <x v="127"/>
            <x v="128"/>
            <x v="131"/>
            <x v="133"/>
            <x v="134"/>
            <x v="135"/>
            <x v="137"/>
            <x v="138"/>
            <x v="139"/>
            <x v="337"/>
          </reference>
        </references>
      </pivotArea>
    </format>
    <format dxfId="6516">
      <pivotArea dataOnly="0" labelOnly="1" fieldPosition="0">
        <references count="1">
          <reference field="5" count="50">
            <x v="140"/>
            <x v="141"/>
            <x v="143"/>
            <x v="144"/>
            <x v="145"/>
            <x v="146"/>
            <x v="148"/>
            <x v="150"/>
            <x v="152"/>
            <x v="153"/>
            <x v="154"/>
            <x v="155"/>
            <x v="157"/>
            <x v="158"/>
            <x v="159"/>
            <x v="160"/>
            <x v="162"/>
            <x v="163"/>
            <x v="164"/>
            <x v="165"/>
            <x v="166"/>
            <x v="167"/>
            <x v="168"/>
            <x v="169"/>
            <x v="170"/>
            <x v="171"/>
            <x v="172"/>
            <x v="173"/>
            <x v="174"/>
            <x v="175"/>
            <x v="176"/>
            <x v="177"/>
            <x v="179"/>
            <x v="180"/>
            <x v="181"/>
            <x v="182"/>
            <x v="183"/>
            <x v="184"/>
            <x v="186"/>
            <x v="187"/>
            <x v="188"/>
            <x v="189"/>
            <x v="191"/>
            <x v="192"/>
            <x v="195"/>
            <x v="196"/>
            <x v="198"/>
            <x v="199"/>
            <x v="203"/>
            <x v="204"/>
          </reference>
        </references>
      </pivotArea>
    </format>
    <format dxfId="6515">
      <pivotArea dataOnly="0" labelOnly="1" fieldPosition="0">
        <references count="1">
          <reference field="5" count="50">
            <x v="206"/>
            <x v="207"/>
            <x v="208"/>
            <x v="209"/>
            <x v="211"/>
            <x v="218"/>
            <x v="219"/>
            <x v="221"/>
            <x v="222"/>
            <x v="224"/>
            <x v="227"/>
            <x v="229"/>
            <x v="230"/>
            <x v="231"/>
            <x v="232"/>
            <x v="233"/>
            <x v="235"/>
            <x v="237"/>
            <x v="238"/>
            <x v="241"/>
            <x v="242"/>
            <x v="244"/>
            <x v="246"/>
            <x v="247"/>
            <x v="248"/>
            <x v="254"/>
            <x v="255"/>
            <x v="256"/>
            <x v="257"/>
            <x v="258"/>
            <x v="259"/>
            <x v="262"/>
            <x v="263"/>
            <x v="264"/>
            <x v="265"/>
            <x v="266"/>
            <x v="267"/>
            <x v="269"/>
            <x v="271"/>
            <x v="273"/>
            <x v="275"/>
            <x v="276"/>
            <x v="282"/>
            <x v="283"/>
            <x v="284"/>
            <x v="285"/>
            <x v="287"/>
            <x v="288"/>
            <x v="289"/>
            <x v="290"/>
          </reference>
        </references>
      </pivotArea>
    </format>
    <format dxfId="6514">
      <pivotArea dataOnly="0" labelOnly="1" fieldPosition="0">
        <references count="1">
          <reference field="5" count="27">
            <x v="291"/>
            <x v="292"/>
            <x v="293"/>
            <x v="294"/>
            <x v="295"/>
            <x v="296"/>
            <x v="297"/>
            <x v="299"/>
            <x v="300"/>
            <x v="301"/>
            <x v="303"/>
            <x v="307"/>
            <x v="308"/>
            <x v="310"/>
            <x v="311"/>
            <x v="313"/>
            <x v="315"/>
            <x v="316"/>
            <x v="320"/>
            <x v="321"/>
            <x v="323"/>
            <x v="324"/>
            <x v="325"/>
            <x v="326"/>
            <x v="327"/>
            <x v="328"/>
            <x v="335"/>
          </reference>
        </references>
      </pivotArea>
    </format>
    <format dxfId="6513">
      <pivotArea dataOnly="0" labelOnly="1" fieldPosition="0">
        <references count="1">
          <reference field="5" count="50">
            <x v="1"/>
            <x v="3"/>
            <x v="4"/>
            <x v="6"/>
            <x v="8"/>
            <x v="10"/>
            <x v="13"/>
            <x v="14"/>
            <x v="15"/>
            <x v="17"/>
            <x v="18"/>
            <x v="19"/>
            <x v="20"/>
            <x v="21"/>
            <x v="22"/>
            <x v="23"/>
            <x v="24"/>
            <x v="25"/>
            <x v="26"/>
            <x v="27"/>
            <x v="28"/>
            <x v="29"/>
            <x v="33"/>
            <x v="34"/>
            <x v="35"/>
            <x v="37"/>
            <x v="38"/>
            <x v="39"/>
            <x v="40"/>
            <x v="42"/>
            <x v="44"/>
            <x v="45"/>
            <x v="46"/>
            <x v="47"/>
            <x v="48"/>
            <x v="49"/>
            <x v="50"/>
            <x v="51"/>
            <x v="52"/>
            <x v="53"/>
            <x v="54"/>
            <x v="55"/>
            <x v="58"/>
            <x v="60"/>
            <x v="61"/>
            <x v="63"/>
            <x v="64"/>
            <x v="65"/>
            <x v="67"/>
            <x v="68"/>
          </reference>
        </references>
      </pivotArea>
    </format>
    <format dxfId="6512">
      <pivotArea dataOnly="0" labelOnly="1" fieldPosition="0">
        <references count="1">
          <reference field="5" count="50">
            <x v="69"/>
            <x v="70"/>
            <x v="71"/>
            <x v="72"/>
            <x v="73"/>
            <x v="74"/>
            <x v="76"/>
            <x v="77"/>
            <x v="78"/>
            <x v="80"/>
            <x v="82"/>
            <x v="83"/>
            <x v="86"/>
            <x v="88"/>
            <x v="89"/>
            <x v="91"/>
            <x v="93"/>
            <x v="94"/>
            <x v="95"/>
            <x v="96"/>
            <x v="97"/>
            <x v="99"/>
            <x v="101"/>
            <x v="103"/>
            <x v="104"/>
            <x v="105"/>
            <x v="107"/>
            <x v="108"/>
            <x v="109"/>
            <x v="111"/>
            <x v="113"/>
            <x v="114"/>
            <x v="115"/>
            <x v="116"/>
            <x v="117"/>
            <x v="118"/>
            <x v="119"/>
            <x v="120"/>
            <x v="122"/>
            <x v="124"/>
            <x v="127"/>
            <x v="128"/>
            <x v="131"/>
            <x v="133"/>
            <x v="134"/>
            <x v="135"/>
            <x v="137"/>
            <x v="138"/>
            <x v="139"/>
            <x v="337"/>
          </reference>
        </references>
      </pivotArea>
    </format>
    <format dxfId="6511">
      <pivotArea dataOnly="0" labelOnly="1" fieldPosition="0">
        <references count="1">
          <reference field="5" count="50">
            <x v="140"/>
            <x v="141"/>
            <x v="143"/>
            <x v="144"/>
            <x v="145"/>
            <x v="146"/>
            <x v="148"/>
            <x v="150"/>
            <x v="152"/>
            <x v="153"/>
            <x v="154"/>
            <x v="155"/>
            <x v="157"/>
            <x v="158"/>
            <x v="159"/>
            <x v="160"/>
            <x v="162"/>
            <x v="163"/>
            <x v="164"/>
            <x v="165"/>
            <x v="166"/>
            <x v="167"/>
            <x v="168"/>
            <x v="169"/>
            <x v="170"/>
            <x v="171"/>
            <x v="172"/>
            <x v="173"/>
            <x v="174"/>
            <x v="175"/>
            <x v="176"/>
            <x v="177"/>
            <x v="179"/>
            <x v="180"/>
            <x v="181"/>
            <x v="182"/>
            <x v="183"/>
            <x v="184"/>
            <x v="186"/>
            <x v="187"/>
            <x v="188"/>
            <x v="189"/>
            <x v="191"/>
            <x v="192"/>
            <x v="195"/>
            <x v="196"/>
            <x v="198"/>
            <x v="199"/>
            <x v="203"/>
            <x v="204"/>
          </reference>
        </references>
      </pivotArea>
    </format>
    <format dxfId="6510">
      <pivotArea dataOnly="0" labelOnly="1" fieldPosition="0">
        <references count="1">
          <reference field="5" count="50">
            <x v="206"/>
            <x v="207"/>
            <x v="208"/>
            <x v="209"/>
            <x v="211"/>
            <x v="218"/>
            <x v="219"/>
            <x v="221"/>
            <x v="222"/>
            <x v="224"/>
            <x v="227"/>
            <x v="229"/>
            <x v="230"/>
            <x v="231"/>
            <x v="232"/>
            <x v="233"/>
            <x v="235"/>
            <x v="237"/>
            <x v="238"/>
            <x v="241"/>
            <x v="242"/>
            <x v="244"/>
            <x v="246"/>
            <x v="247"/>
            <x v="248"/>
            <x v="254"/>
            <x v="255"/>
            <x v="256"/>
            <x v="257"/>
            <x v="258"/>
            <x v="259"/>
            <x v="262"/>
            <x v="263"/>
            <x v="264"/>
            <x v="265"/>
            <x v="266"/>
            <x v="267"/>
            <x v="269"/>
            <x v="271"/>
            <x v="273"/>
            <x v="275"/>
            <x v="276"/>
            <x v="282"/>
            <x v="283"/>
            <x v="284"/>
            <x v="285"/>
            <x v="287"/>
            <x v="288"/>
            <x v="289"/>
            <x v="290"/>
          </reference>
        </references>
      </pivotArea>
    </format>
    <format dxfId="6509">
      <pivotArea dataOnly="0" labelOnly="1" fieldPosition="0">
        <references count="1">
          <reference field="5" count="27">
            <x v="291"/>
            <x v="292"/>
            <x v="293"/>
            <x v="294"/>
            <x v="295"/>
            <x v="296"/>
            <x v="297"/>
            <x v="299"/>
            <x v="300"/>
            <x v="301"/>
            <x v="303"/>
            <x v="307"/>
            <x v="308"/>
            <x v="310"/>
            <x v="311"/>
            <x v="313"/>
            <x v="315"/>
            <x v="316"/>
            <x v="320"/>
            <x v="321"/>
            <x v="323"/>
            <x v="324"/>
            <x v="325"/>
            <x v="326"/>
            <x v="327"/>
            <x v="328"/>
            <x v="335"/>
          </reference>
        </references>
      </pivotArea>
    </format>
    <format dxfId="6508">
      <pivotArea field="5" type="button" dataOnly="0" labelOnly="1" outline="0" axis="axisRow" fieldPosition="2"/>
    </format>
    <format dxfId="6507">
      <pivotArea field="6" type="button" dataOnly="0" labelOnly="1" outline="0" axis="axisRow" fieldPosition="3"/>
    </format>
    <format dxfId="6506">
      <pivotArea field="3" type="button" dataOnly="0" labelOnly="1" outline="0" axis="axisRow" fieldPosition="1"/>
    </format>
    <format dxfId="6505">
      <pivotArea dataOnly="0" labelOnly="1" outline="0" fieldPosition="0">
        <references count="1">
          <reference field="3" count="1">
            <x v="0"/>
          </reference>
        </references>
      </pivotArea>
    </format>
    <format dxfId="6504">
      <pivotArea dataOnly="0" labelOnly="1" outline="0" fieldPosition="0">
        <references count="1">
          <reference field="3" count="1">
            <x v="0"/>
          </reference>
        </references>
      </pivotArea>
    </format>
    <format dxfId="6503">
      <pivotArea dataOnly="0" labelOnly="1" outline="0" fieldPosition="0">
        <references count="1">
          <reference field="3" count="1">
            <x v="2"/>
          </reference>
        </references>
      </pivotArea>
    </format>
    <format dxfId="6502">
      <pivotArea dataOnly="0" labelOnly="1" outline="0" fieldPosition="0">
        <references count="2">
          <reference field="1" count="1" selected="0">
            <x v="0"/>
          </reference>
          <reference field="3" count="1">
            <x v="3"/>
          </reference>
        </references>
      </pivotArea>
    </format>
    <format dxfId="6501">
      <pivotArea dataOnly="0" labelOnly="1" outline="0" fieldPosition="0">
        <references count="2">
          <reference field="1" count="1" selected="0">
            <x v="0"/>
          </reference>
          <reference field="3" count="1">
            <x v="4"/>
          </reference>
        </references>
      </pivotArea>
    </format>
    <format dxfId="6500">
      <pivotArea dataOnly="0" labelOnly="1" outline="0" fieldPosition="0">
        <references count="2">
          <reference field="1" count="1" selected="0">
            <x v="0"/>
          </reference>
          <reference field="3" count="1">
            <x v="5"/>
          </reference>
        </references>
      </pivotArea>
    </format>
    <format dxfId="6499">
      <pivotArea dataOnly="0" labelOnly="1" outline="0" fieldPosition="0">
        <references count="2">
          <reference field="1" count="1" selected="0">
            <x v="0"/>
          </reference>
          <reference field="3" count="1">
            <x v="6"/>
          </reference>
        </references>
      </pivotArea>
    </format>
    <format dxfId="6498">
      <pivotArea dataOnly="0" labelOnly="1" outline="0" fieldPosition="0">
        <references count="2">
          <reference field="1" count="1" selected="0">
            <x v="0"/>
          </reference>
          <reference field="3" count="1">
            <x v="7"/>
          </reference>
        </references>
      </pivotArea>
    </format>
    <format dxfId="6497">
      <pivotArea dataOnly="0" labelOnly="1" outline="0" fieldPosition="0">
        <references count="2">
          <reference field="1" count="1" selected="0">
            <x v="0"/>
          </reference>
          <reference field="3" count="1">
            <x v="8"/>
          </reference>
        </references>
      </pivotArea>
    </format>
    <format dxfId="6496">
      <pivotArea dataOnly="0" labelOnly="1" outline="0" fieldPosition="0">
        <references count="2">
          <reference field="1" count="1" selected="0">
            <x v="1"/>
          </reference>
          <reference field="3" count="1">
            <x v="3"/>
          </reference>
        </references>
      </pivotArea>
    </format>
    <format dxfId="6495">
      <pivotArea dataOnly="0" labelOnly="1" outline="0" fieldPosition="0">
        <references count="2">
          <reference field="1" count="1" selected="0">
            <x v="1"/>
          </reference>
          <reference field="3" count="1">
            <x v="4"/>
          </reference>
        </references>
      </pivotArea>
    </format>
    <format dxfId="6494">
      <pivotArea dataOnly="0" labelOnly="1" outline="0" fieldPosition="0">
        <references count="2">
          <reference field="1" count="1" selected="0">
            <x v="1"/>
          </reference>
          <reference field="3" count="1">
            <x v="5"/>
          </reference>
        </references>
      </pivotArea>
    </format>
    <format dxfId="6493">
      <pivotArea dataOnly="0" labelOnly="1" outline="0" fieldPosition="0">
        <references count="2">
          <reference field="1" count="1" selected="0">
            <x v="1"/>
          </reference>
          <reference field="3" count="1">
            <x v="6"/>
          </reference>
        </references>
      </pivotArea>
    </format>
    <format dxfId="6492">
      <pivotArea dataOnly="0" labelOnly="1" outline="0" fieldPosition="0">
        <references count="2">
          <reference field="1" count="1" selected="0">
            <x v="1"/>
          </reference>
          <reference field="3" count="1">
            <x v="7"/>
          </reference>
        </references>
      </pivotArea>
    </format>
    <format dxfId="6491">
      <pivotArea dataOnly="0" labelOnly="1" outline="0" fieldPosition="0">
        <references count="2">
          <reference field="1" count="1" selected="0">
            <x v="1"/>
          </reference>
          <reference field="3" count="1">
            <x v="8"/>
          </reference>
        </references>
      </pivotArea>
    </format>
    <format dxfId="6490">
      <pivotArea dataOnly="0" labelOnly="1" outline="0" fieldPosition="0">
        <references count="2">
          <reference field="1" count="1" selected="0">
            <x v="2"/>
          </reference>
          <reference field="3" count="1">
            <x v="3"/>
          </reference>
        </references>
      </pivotArea>
    </format>
    <format dxfId="6489">
      <pivotArea dataOnly="0" labelOnly="1" outline="0" fieldPosition="0">
        <references count="2">
          <reference field="1" count="1" selected="0">
            <x v="2"/>
          </reference>
          <reference field="3" count="1">
            <x v="4"/>
          </reference>
        </references>
      </pivotArea>
    </format>
    <format dxfId="6488">
      <pivotArea dataOnly="0" labelOnly="1" outline="0" fieldPosition="0">
        <references count="2">
          <reference field="1" count="1" selected="0">
            <x v="2"/>
          </reference>
          <reference field="3" count="1">
            <x v="5"/>
          </reference>
        </references>
      </pivotArea>
    </format>
    <format dxfId="6487">
      <pivotArea dataOnly="0" outline="0" fieldPosition="0">
        <references count="1">
          <reference field="3" count="1">
            <x v="6"/>
          </reference>
        </references>
      </pivotArea>
    </format>
    <format dxfId="6486">
      <pivotArea dataOnly="0" outline="0" fieldPosition="0">
        <references count="1">
          <reference field="3" count="2">
            <x v="7"/>
            <x v="8"/>
          </reference>
        </references>
      </pivotArea>
    </format>
    <format dxfId="6485">
      <pivotArea dataOnly="0" outline="0" fieldPosition="0">
        <references count="1">
          <reference field="3" count="1">
            <x v="3"/>
          </reference>
        </references>
      </pivotArea>
    </format>
    <format dxfId="6484">
      <pivotArea dataOnly="0" labelOnly="1" outline="0" fieldPosition="0">
        <references count="2">
          <reference field="1" count="1" selected="0">
            <x v="3"/>
          </reference>
          <reference field="3" count="1">
            <x v="4"/>
          </reference>
        </references>
      </pivotArea>
    </format>
    <format dxfId="6483">
      <pivotArea dataOnly="0" outline="0" fieldPosition="0">
        <references count="1">
          <reference field="3" count="1">
            <x v="5"/>
          </reference>
        </references>
      </pivotArea>
    </format>
    <format dxfId="6482">
      <pivotArea dataOnly="0" labelOnly="1" outline="0" fieldPosition="0">
        <references count="2">
          <reference field="1" count="1" selected="0">
            <x v="4"/>
          </reference>
          <reference field="3" count="1">
            <x v="4"/>
          </reference>
        </references>
      </pivotArea>
    </format>
    <format dxfId="6481">
      <pivotArea dataOnly="0" labelOnly="1" outline="0" fieldPosition="0">
        <references count="2">
          <reference field="1" count="1" selected="0">
            <x v="5"/>
          </reference>
          <reference field="3" count="1">
            <x v="4"/>
          </reference>
        </references>
      </pivotArea>
    </format>
    <format dxfId="6480">
      <pivotArea dataOnly="0" labelOnly="1" outline="0" fieldPosition="0">
        <references count="2">
          <reference field="1" count="1" selected="0">
            <x v="6"/>
          </reference>
          <reference field="3" count="1">
            <x v="4"/>
          </reference>
        </references>
      </pivotArea>
    </format>
    <format dxfId="6479">
      <pivotArea dataOnly="0" outline="0" fieldPosition="0">
        <references count="1">
          <reference field="3" count="1">
            <x v="7"/>
          </reference>
        </references>
      </pivotArea>
    </format>
    <format dxfId="6478">
      <pivotArea dataOnly="0" labelOnly="1" outline="0" fieldPosition="0">
        <references count="2">
          <reference field="1" count="1" selected="0">
            <x v="7"/>
          </reference>
          <reference field="3" count="1">
            <x v="4"/>
          </reference>
        </references>
      </pivotArea>
    </format>
    <format dxfId="6477">
      <pivotArea dataOnly="0" labelOnly="1" outline="0" fieldPosition="0">
        <references count="2">
          <reference field="1" count="1" selected="0">
            <x v="8"/>
          </reference>
          <reference field="3" count="1">
            <x v="4"/>
          </reference>
        </references>
      </pivotArea>
    </format>
    <format dxfId="6476">
      <pivotArea dataOnly="0" labelOnly="1" outline="0" fieldPosition="0">
        <references count="2">
          <reference field="1" count="1" selected="0">
            <x v="9"/>
          </reference>
          <reference field="3" count="1">
            <x v="4"/>
          </reference>
        </references>
      </pivotArea>
    </format>
    <format dxfId="6475">
      <pivotArea dataOnly="0" labelOnly="1" outline="0" fieldPosition="0">
        <references count="2">
          <reference field="1" count="1" selected="0">
            <x v="10"/>
          </reference>
          <reference field="3" count="1">
            <x v="4"/>
          </reference>
        </references>
      </pivotArea>
    </format>
    <format dxfId="6474">
      <pivotArea dataOnly="0" labelOnly="1" outline="0" fieldPosition="0">
        <references count="2">
          <reference field="1" count="1" selected="0">
            <x v="11"/>
          </reference>
          <reference field="3" count="1">
            <x v="4"/>
          </reference>
        </references>
      </pivotArea>
    </format>
    <format dxfId="6473">
      <pivotArea dataOnly="0" outline="0" fieldPosition="0">
        <references count="1">
          <reference field="3" count="1">
            <x v="4"/>
          </reference>
        </references>
      </pivotArea>
    </format>
    <format dxfId="6472">
      <pivotArea dataOnly="0" labelOnly="1" outline="0" fieldPosition="0">
        <references count="2">
          <reference field="1" count="0" selected="0"/>
          <reference field="3" count="6">
            <x v="2"/>
            <x v="3"/>
            <x v="5"/>
            <x v="6"/>
            <x v="7"/>
            <x v="8"/>
          </reference>
        </references>
      </pivotArea>
    </format>
    <format dxfId="6471">
      <pivotArea dataOnly="0" labelOnly="1" outline="0" fieldPosition="0">
        <references count="3">
          <reference field="1" count="0" selected="0"/>
          <reference field="3" count="1" selected="0">
            <x v="3"/>
          </reference>
          <reference field="5" count="2">
            <x v="215"/>
            <x v="305"/>
          </reference>
        </references>
      </pivotArea>
    </format>
    <format dxfId="6470">
      <pivotArea dataOnly="0" labelOnly="1" outline="0" fieldPosition="0">
        <references count="3">
          <reference field="1" count="0" selected="0"/>
          <reference field="3" count="1" selected="0">
            <x v="3"/>
          </reference>
          <reference field="5" count="1">
            <x v="201"/>
          </reference>
        </references>
      </pivotArea>
    </format>
    <format dxfId="6469">
      <pivotArea dataOnly="0" labelOnly="1" outline="0" fieldPosition="0">
        <references count="3">
          <reference field="1" count="0" selected="0"/>
          <reference field="3" count="1" selected="0">
            <x v="3"/>
          </reference>
          <reference field="5" count="2">
            <x v="202"/>
            <x v="214"/>
          </reference>
        </references>
      </pivotArea>
    </format>
    <format dxfId="6468">
      <pivotArea dataOnly="0" labelOnly="1" outline="0" fieldPosition="0">
        <references count="3">
          <reference field="1" count="0" selected="0"/>
          <reference field="3" count="1" selected="0">
            <x v="5"/>
          </reference>
          <reference field="5" count="1">
            <x v="260"/>
          </reference>
        </references>
      </pivotArea>
    </format>
    <format dxfId="6467">
      <pivotArea dataOnly="0" labelOnly="1" outline="0" fieldPosition="0">
        <references count="3">
          <reference field="1" count="0" selected="0"/>
          <reference field="3" count="1" selected="0">
            <x v="3"/>
          </reference>
          <reference field="5" count="1">
            <x v="216"/>
          </reference>
        </references>
      </pivotArea>
    </format>
    <format dxfId="6466">
      <pivotArea dataOnly="0" labelOnly="1" outline="0" fieldPosition="0">
        <references count="3">
          <reference field="1" count="0" selected="0"/>
          <reference field="3" count="1" selected="0">
            <x v="3"/>
          </reference>
          <reference field="5" count="3">
            <x v="200"/>
            <x v="217"/>
            <x v="241"/>
          </reference>
        </references>
      </pivotArea>
    </format>
    <format dxfId="6465">
      <pivotArea dataOnly="0" labelOnly="1" outline="0" fieldPosition="0">
        <references count="2">
          <reference field="1" count="0" selected="0"/>
          <reference field="3" count="1">
            <x v="4"/>
          </reference>
        </references>
      </pivotArea>
    </format>
    <format dxfId="6464">
      <pivotArea dataOnly="0" labelOnly="1" outline="0" fieldPosition="0">
        <references count="3">
          <reference field="1" count="0" selected="0"/>
          <reference field="3" count="1" selected="0">
            <x v="5"/>
          </reference>
          <reference field="5" count="1">
            <x v="66"/>
          </reference>
        </references>
      </pivotArea>
    </format>
    <format dxfId="6463">
      <pivotArea dataOnly="0" labelOnly="1" outline="0" fieldPosition="0">
        <references count="3">
          <reference field="1" count="0" selected="0"/>
          <reference field="3" count="1" selected="0">
            <x v="0"/>
          </reference>
          <reference field="5" count="1">
            <x v="16"/>
          </reference>
        </references>
      </pivotArea>
    </format>
    <format dxfId="6462">
      <pivotArea dataOnly="0" labelOnly="1" outline="0" fieldPosition="0">
        <references count="3">
          <reference field="1" count="0" selected="0"/>
          <reference field="3" count="1" selected="0">
            <x v="6"/>
          </reference>
          <reference field="5" count="1">
            <x v="98"/>
          </reference>
        </references>
      </pivotArea>
    </format>
    <format dxfId="6461">
      <pivotArea dataOnly="0" labelOnly="1" outline="0" fieldPosition="0">
        <references count="2">
          <reference field="1" count="0" selected="0"/>
          <reference field="3" count="1">
            <x v="1"/>
          </reference>
        </references>
      </pivotArea>
    </format>
    <format dxfId="6460">
      <pivotArea dataOnly="0" labelOnly="1" outline="0" fieldPosition="0">
        <references count="3">
          <reference field="1" count="0" selected="0"/>
          <reference field="3" count="1" selected="0">
            <x v="5"/>
          </reference>
          <reference field="5" count="1">
            <x v="261"/>
          </reference>
        </references>
      </pivotArea>
    </format>
    <format dxfId="6459">
      <pivotArea dataOnly="0" labelOnly="1" outline="0" fieldPosition="0">
        <references count="3">
          <reference field="1" count="0" selected="0"/>
          <reference field="3" count="1" selected="0">
            <x v="0"/>
          </reference>
          <reference field="5" count="1">
            <x v="329"/>
          </reference>
        </references>
      </pivotArea>
    </format>
    <format dxfId="6458">
      <pivotArea dataOnly="0" labelOnly="1" outline="0" fieldPosition="0">
        <references count="3">
          <reference field="1" count="0" selected="0"/>
          <reference field="3" count="1" selected="0">
            <x v="6"/>
          </reference>
          <reference field="5" count="1">
            <x v="345"/>
          </reference>
        </references>
      </pivotArea>
    </format>
    <format dxfId="6457">
      <pivotArea dataOnly="0" labelOnly="1" outline="0" fieldPosition="0">
        <references count="3">
          <reference field="1" count="0" selected="0"/>
          <reference field="3" count="1" selected="0">
            <x v="5"/>
          </reference>
          <reference field="5" count="1">
            <x v="343"/>
          </reference>
        </references>
      </pivotArea>
    </format>
    <format dxfId="6456">
      <pivotArea dataOnly="0" labelOnly="1" outline="0" fieldPosition="0">
        <references count="3">
          <reference field="1" count="0" selected="0"/>
          <reference field="3" count="1" selected="0">
            <x v="3"/>
          </reference>
          <reference field="5" count="1">
            <x v="346"/>
          </reference>
        </references>
      </pivotArea>
    </format>
    <format dxfId="6455">
      <pivotArea dataOnly="0" labelOnly="1" outline="0" fieldPosition="0">
        <references count="2">
          <reference field="1" count="0" selected="0"/>
          <reference field="3" count="1">
            <x v="10"/>
          </reference>
        </references>
      </pivotArea>
    </format>
    <format dxfId="6454">
      <pivotArea dataOnly="0" labelOnly="1" outline="0" fieldPosition="0">
        <references count="2">
          <reference field="1" count="0" selected="0"/>
          <reference field="3" count="1">
            <x v="10"/>
          </reference>
        </references>
      </pivotArea>
    </format>
    <format dxfId="6453">
      <pivotArea dataOnly="0" labelOnly="1" outline="0" fieldPosition="0">
        <references count="3">
          <reference field="1" count="0" selected="0"/>
          <reference field="3" count="1" selected="0">
            <x v="5"/>
          </reference>
          <reference field="5" count="5">
            <x v="201"/>
            <x v="202"/>
            <x v="305"/>
            <x v="316"/>
            <x v="328"/>
          </reference>
        </references>
      </pivotArea>
    </format>
    <format dxfId="6452">
      <pivotArea dataOnly="0" labelOnly="1" outline="0" fieldPosition="0">
        <references count="3">
          <reference field="1" count="0" selected="0"/>
          <reference field="3" count="1" selected="0">
            <x v="6"/>
          </reference>
          <reference field="5" count="20">
            <x v="33"/>
            <x v="39"/>
            <x v="65"/>
            <x v="66"/>
            <x v="93"/>
            <x v="95"/>
            <x v="131"/>
            <x v="170"/>
            <x v="171"/>
            <x v="186"/>
            <x v="196"/>
            <x v="227"/>
            <x v="232"/>
            <x v="247"/>
            <x v="248"/>
            <x v="261"/>
            <x v="262"/>
            <x v="271"/>
            <x v="273"/>
            <x v="343"/>
          </reference>
        </references>
      </pivotArea>
    </format>
    <format dxfId="6451">
      <pivotArea dataOnly="0" labelOnly="1" outline="0" fieldPosition="0">
        <references count="3">
          <reference field="1" count="0" selected="0"/>
          <reference field="3" count="1" selected="0">
            <x v="7"/>
          </reference>
          <reference field="5" count="12">
            <x v="19"/>
            <x v="45"/>
            <x v="49"/>
            <x v="63"/>
            <x v="68"/>
            <x v="99"/>
            <x v="104"/>
            <x v="180"/>
            <x v="181"/>
            <x v="229"/>
            <x v="231"/>
            <x v="345"/>
          </reference>
        </references>
      </pivotArea>
    </format>
    <format dxfId="6450">
      <pivotArea dataOnly="0" labelOnly="1" outline="0" fieldPosition="0">
        <references count="3">
          <reference field="1" count="0" selected="0"/>
          <reference field="3" count="1" selected="0">
            <x v="8"/>
          </reference>
          <reference field="5" count="5">
            <x v="23"/>
            <x v="25"/>
            <x v="34"/>
            <x v="44"/>
            <x v="96"/>
          </reference>
        </references>
      </pivotArea>
    </format>
    <format dxfId="6449">
      <pivotArea dataOnly="0" labelOnly="1" outline="0" fieldPosition="0">
        <references count="3">
          <reference field="1" count="0" selected="0"/>
          <reference field="3" count="1" selected="0">
            <x v="10"/>
          </reference>
          <reference field="5" count="1">
            <x v="82"/>
          </reference>
        </references>
      </pivotArea>
    </format>
    <format dxfId="6448">
      <pivotArea dataOnly="0" labelOnly="1" outline="0" fieldPosition="0">
        <references count="3">
          <reference field="1" count="0" selected="0"/>
          <reference field="3" count="1" selected="0">
            <x v="5"/>
          </reference>
          <reference field="5" count="4">
            <x v="200"/>
            <x v="214"/>
            <x v="241"/>
            <x v="320"/>
          </reference>
        </references>
      </pivotArea>
    </format>
    <format dxfId="6447">
      <pivotArea dataOnly="0" labelOnly="1" outline="0" fieldPosition="0">
        <references count="3">
          <reference field="1" count="0" selected="0"/>
          <reference field="3" count="1" selected="0">
            <x v="6"/>
          </reference>
          <reference field="5" count="21">
            <x v="6"/>
            <x v="29"/>
            <x v="42"/>
            <x v="61"/>
            <x v="70"/>
            <x v="86"/>
            <x v="116"/>
            <x v="133"/>
            <x v="158"/>
            <x v="169"/>
            <x v="172"/>
            <x v="177"/>
            <x v="198"/>
            <x v="224"/>
            <x v="233"/>
            <x v="246"/>
            <x v="254"/>
            <x v="260"/>
            <x v="263"/>
            <x v="269"/>
            <x v="275"/>
          </reference>
        </references>
      </pivotArea>
    </format>
    <format dxfId="6446">
      <pivotArea dataOnly="0" labelOnly="1" outline="0" fieldPosition="0">
        <references count="3">
          <reference field="1" count="0" selected="0"/>
          <reference field="3" count="1" selected="0">
            <x v="7"/>
          </reference>
          <reference field="5" count="12">
            <x v="15"/>
            <x v="20"/>
            <x v="38"/>
            <x v="60"/>
            <x v="72"/>
            <x v="98"/>
            <x v="114"/>
            <x v="160"/>
            <x v="182"/>
            <x v="230"/>
            <x v="307"/>
            <x v="339"/>
          </reference>
        </references>
      </pivotArea>
    </format>
    <format dxfId="6445">
      <pivotArea dataOnly="0" labelOnly="1" outline="0" fieldPosition="0">
        <references count="3">
          <reference field="1" count="0" selected="0"/>
          <reference field="3" count="1" selected="0">
            <x v="8"/>
          </reference>
          <reference field="5" count="2">
            <x v="113"/>
            <x v="195"/>
          </reference>
        </references>
      </pivotArea>
    </format>
    <format dxfId="6444">
      <pivotArea dataOnly="0" labelOnly="1" outline="0" fieldPosition="0">
        <references count="3">
          <reference field="1" count="0" selected="0"/>
          <reference field="3" count="1" selected="0">
            <x v="10"/>
          </reference>
          <reference field="5" count="4">
            <x v="10"/>
            <x v="64"/>
            <x v="77"/>
            <x v="101"/>
          </reference>
        </references>
      </pivotArea>
    </format>
    <format dxfId="6443">
      <pivotArea dataOnly="0" labelOnly="1" outline="0" fieldPosition="0">
        <references count="3">
          <reference field="1" count="0" selected="0"/>
          <reference field="3" count="1" selected="0">
            <x v="0"/>
          </reference>
          <reference field="5" count="1">
            <x v="344"/>
          </reference>
        </references>
      </pivotArea>
    </format>
    <format dxfId="6442">
      <pivotArea dataOnly="0" labelOnly="1" outline="0" fieldPosition="0">
        <references count="3">
          <reference field="1" count="0" selected="0"/>
          <reference field="3" count="1" selected="0">
            <x v="3"/>
          </reference>
          <reference field="5" count="4">
            <x v="284"/>
            <x v="288"/>
            <x v="293"/>
            <x v="296"/>
          </reference>
        </references>
      </pivotArea>
    </format>
    <format dxfId="6441">
      <pivotArea dataOnly="0" labelOnly="1" outline="0" fieldPosition="0">
        <references count="3">
          <reference field="1" count="0" selected="0"/>
          <reference field="3" count="1" selected="0">
            <x v="5"/>
          </reference>
          <reference field="5" count="10">
            <x v="37"/>
            <x v="122"/>
            <x v="140"/>
            <x v="144"/>
            <x v="163"/>
            <x v="192"/>
            <x v="215"/>
            <x v="218"/>
            <x v="340"/>
            <x v="341"/>
          </reference>
        </references>
      </pivotArea>
    </format>
    <format dxfId="6440">
      <pivotArea dataOnly="0" labelOnly="1" outline="0" fieldPosition="0">
        <references count="3">
          <reference field="1" count="0" selected="0"/>
          <reference field="3" count="1" selected="0">
            <x v="6"/>
          </reference>
          <reference field="5" count="22">
            <x v="13"/>
            <x v="28"/>
            <x v="46"/>
            <x v="55"/>
            <x v="71"/>
            <x v="83"/>
            <x v="120"/>
            <x v="134"/>
            <x v="165"/>
            <x v="168"/>
            <x v="173"/>
            <x v="176"/>
            <x v="199"/>
            <x v="222"/>
            <x v="235"/>
            <x v="244"/>
            <x v="255"/>
            <x v="259"/>
            <x v="264"/>
            <x v="267"/>
            <x v="276"/>
            <x v="342"/>
          </reference>
        </references>
      </pivotArea>
    </format>
    <format dxfId="6439">
      <pivotArea dataOnly="0" labelOnly="1" outline="0" fieldPosition="0">
        <references count="3">
          <reference field="1" count="0" selected="0"/>
          <reference field="3" count="1" selected="0">
            <x v="7"/>
          </reference>
          <reference field="5" count="11">
            <x v="8"/>
            <x v="27"/>
            <x v="58"/>
            <x v="78"/>
            <x v="94"/>
            <x v="117"/>
            <x v="159"/>
            <x v="183"/>
            <x v="188"/>
            <x v="308"/>
            <x v="338"/>
          </reference>
        </references>
      </pivotArea>
    </format>
    <format dxfId="6438">
      <pivotArea dataOnly="0" labelOnly="1" outline="0" fieldPosition="0">
        <references count="3">
          <reference field="1" count="0" selected="0"/>
          <reference field="3" count="1" selected="0">
            <x v="8"/>
          </reference>
          <reference field="5" count="2">
            <x v="127"/>
            <x v="191"/>
          </reference>
        </references>
      </pivotArea>
    </format>
    <format dxfId="6437">
      <pivotArea dataOnly="0" labelOnly="1" outline="0" fieldPosition="0">
        <references count="3">
          <reference field="1" count="0" selected="0"/>
          <reference field="3" count="1" selected="0">
            <x v="10"/>
          </reference>
          <reference field="5" count="5">
            <x v="4"/>
            <x v="67"/>
            <x v="74"/>
            <x v="103"/>
            <x v="115"/>
          </reference>
        </references>
      </pivotArea>
    </format>
    <format dxfId="6436">
      <pivotArea dataOnly="0" labelOnly="1" outline="0" fieldPosition="0">
        <references count="2">
          <reference field="1" count="0" selected="0"/>
          <reference field="3" count="1">
            <x v="11"/>
          </reference>
        </references>
      </pivotArea>
    </format>
    <format dxfId="6435">
      <pivotArea dataOnly="0" labelOnly="1" outline="0" fieldPosition="0">
        <references count="3">
          <reference field="1" count="0" selected="0"/>
          <reference field="3" count="1" selected="0">
            <x v="5"/>
          </reference>
          <reference field="5" count="3">
            <x v="216"/>
            <x v="324"/>
            <x v="346"/>
          </reference>
        </references>
      </pivotArea>
    </format>
    <format dxfId="6434">
      <pivotArea dataOnly="0" labelOnly="1" outline="0" fieldPosition="0">
        <references count="3">
          <reference field="1" count="0" selected="0"/>
          <reference field="3" count="1" selected="0">
            <x v="6"/>
          </reference>
          <reference field="5" count="23">
            <x v="14"/>
            <x v="24"/>
            <x v="48"/>
            <x v="50"/>
            <x v="76"/>
            <x v="80"/>
            <x v="124"/>
            <x v="128"/>
            <x v="148"/>
            <x v="150"/>
            <x v="166"/>
            <x v="167"/>
            <x v="174"/>
            <x v="175"/>
            <x v="219"/>
            <x v="221"/>
            <x v="238"/>
            <x v="242"/>
            <x v="256"/>
            <x v="257"/>
            <x v="265"/>
            <x v="266"/>
            <x v="301"/>
          </reference>
        </references>
      </pivotArea>
    </format>
    <format dxfId="6433">
      <pivotArea dataOnly="0" labelOnly="1" outline="0" fieldPosition="0">
        <references count="3">
          <reference field="1" count="0" selected="0"/>
          <reference field="3" count="1" selected="0">
            <x v="7"/>
          </reference>
          <reference field="5" count="12">
            <x v="1"/>
            <x v="26"/>
            <x v="53"/>
            <x v="54"/>
            <x v="88"/>
            <x v="89"/>
            <x v="118"/>
            <x v="119"/>
            <x v="184"/>
            <x v="187"/>
            <x v="310"/>
            <x v="337"/>
          </reference>
        </references>
      </pivotArea>
    </format>
    <format dxfId="6432">
      <pivotArea dataOnly="0" labelOnly="1" outline="0" fieldPosition="0">
        <references count="3">
          <reference field="1" count="0" selected="0"/>
          <reference field="3" count="1" selected="0">
            <x v="8"/>
          </reference>
          <reference field="5" count="5">
            <x v="3"/>
            <x v="69"/>
            <x v="73"/>
            <x v="111"/>
            <x v="189"/>
          </reference>
        </references>
      </pivotArea>
    </format>
    <format dxfId="6431">
      <pivotArea dataOnly="0" labelOnly="1" outline="0" fieldPosition="0">
        <references count="3">
          <reference field="1" count="0" selected="0"/>
          <reference field="3" count="1" selected="0">
            <x v="10"/>
          </reference>
          <reference field="5" count="1">
            <x v="109"/>
          </reference>
        </references>
      </pivotArea>
    </format>
    <format dxfId="6430">
      <pivotArea dataOnly="0" labelOnly="1" outline="0" fieldPosition="0">
        <references count="3">
          <reference field="1" count="0" selected="0"/>
          <reference field="3" count="1" selected="0">
            <x v="11"/>
          </reference>
          <reference field="5" count="1">
            <x v="179"/>
          </reference>
        </references>
      </pivotArea>
    </format>
    <format dxfId="6429">
      <pivotArea dataOnly="0" labelOnly="1" outline="0" fieldPosition="0">
        <references count="3">
          <reference field="1" count="0" selected="0"/>
          <reference field="3" count="1" selected="0">
            <x v="0"/>
          </reference>
          <reference field="5" count="1">
            <x v="347"/>
          </reference>
        </references>
      </pivotArea>
    </format>
    <format dxfId="6428">
      <pivotArea dataOnly="0" labelOnly="1" outline="0" fieldPosition="0">
        <references count="3">
          <reference field="1" count="0" selected="0"/>
          <reference field="3" count="1" selected="0">
            <x v="0"/>
          </reference>
          <reference field="5" count="1">
            <x v="348"/>
          </reference>
        </references>
      </pivotArea>
    </format>
    <format dxfId="6427">
      <pivotArea dataOnly="0" labelOnly="1" outline="0" fieldPosition="0">
        <references count="3">
          <reference field="1" count="0" selected="0"/>
          <reference field="3" count="1" selected="0">
            <x v="6"/>
          </reference>
          <reference field="5" count="1">
            <x v="175"/>
          </reference>
        </references>
      </pivotArea>
    </format>
    <format dxfId="6426">
      <pivotArea dataOnly="0" labelOnly="1" outline="0" fieldPosition="0">
        <references count="3">
          <reference field="1" count="0" selected="0"/>
          <reference field="3" count="1" selected="0">
            <x v="6"/>
          </reference>
          <reference field="5" count="1">
            <x v="349"/>
          </reference>
        </references>
      </pivotArea>
    </format>
    <format dxfId="6425">
      <pivotArea dataOnly="0" labelOnly="1" outline="0" fieldPosition="0">
        <references count="3">
          <reference field="1" count="0" selected="0"/>
          <reference field="3" count="1" selected="0">
            <x v="5"/>
          </reference>
          <reference field="5" count="1">
            <x v="347"/>
          </reference>
        </references>
      </pivotArea>
    </format>
    <format dxfId="6424">
      <pivotArea dataOnly="0" labelOnly="1" outline="0" fieldPosition="0">
        <references count="3">
          <reference field="1" count="0" selected="0"/>
          <reference field="3" count="1" selected="0">
            <x v="6"/>
          </reference>
          <reference field="5" count="1">
            <x v="350"/>
          </reference>
        </references>
      </pivotArea>
    </format>
    <format dxfId="6423">
      <pivotArea dataOnly="0" labelOnly="1" outline="0" fieldPosition="0">
        <references count="3">
          <reference field="1" count="0" selected="0"/>
          <reference field="3" count="1" selected="0">
            <x v="6"/>
          </reference>
          <reference field="5" count="1">
            <x v="352"/>
          </reference>
        </references>
      </pivotArea>
    </format>
    <format dxfId="6422">
      <pivotArea dataOnly="0" labelOnly="1" outline="0" fieldPosition="0">
        <references count="3">
          <reference field="1" count="0" selected="0"/>
          <reference field="3" count="1" selected="0">
            <x v="6"/>
          </reference>
          <reference field="5" count="1">
            <x v="351"/>
          </reference>
        </references>
      </pivotArea>
    </format>
    <format dxfId="6421">
      <pivotArea dataOnly="0" labelOnly="1" outline="0" fieldPosition="0">
        <references count="3">
          <reference field="1" count="0" selected="0"/>
          <reference field="3" count="1" selected="0">
            <x v="3"/>
          </reference>
          <reference field="5" count="2">
            <x v="340"/>
            <x v="347"/>
          </reference>
        </references>
      </pivotArea>
    </format>
    <format dxfId="6420">
      <pivotArea dataOnly="0" labelOnly="1" outline="0" fieldPosition="0">
        <references count="3">
          <reference field="1" count="0" selected="0"/>
          <reference field="3" count="1" selected="0">
            <x v="5"/>
          </reference>
          <reference field="5" count="1">
            <x v="349"/>
          </reference>
        </references>
      </pivotArea>
    </format>
    <format dxfId="6419">
      <pivotArea dataOnly="0" labelOnly="1" outline="0" fieldPosition="0">
        <references count="3">
          <reference field="1" count="0" selected="0"/>
          <reference field="3" count="1" selected="0">
            <x v="3"/>
          </reference>
          <reference field="5" count="1">
            <x v="341"/>
          </reference>
        </references>
      </pivotArea>
    </format>
    <format dxfId="6418">
      <pivotArea dataOnly="0" labelOnly="1" outline="0" fieldPosition="0">
        <references count="3">
          <reference field="1" count="0" selected="0"/>
          <reference field="3" count="1" selected="0">
            <x v="5"/>
          </reference>
          <reference field="5" count="2">
            <x v="342"/>
            <x v="350"/>
          </reference>
        </references>
      </pivotArea>
    </format>
    <format dxfId="6417">
      <pivotArea dataOnly="0" labelOnly="1" outline="0" fieldPosition="0">
        <references count="3">
          <reference field="1" count="0" selected="0"/>
          <reference field="3" count="1" selected="0">
            <x v="5"/>
          </reference>
          <reference field="5" count="1">
            <x v="352"/>
          </reference>
        </references>
      </pivotArea>
    </format>
    <format dxfId="6416">
      <pivotArea dataOnly="0" labelOnly="1" outline="0" fieldPosition="0">
        <references count="3">
          <reference field="1" count="0" selected="0"/>
          <reference field="3" count="1" selected="0">
            <x v="5"/>
          </reference>
          <reference field="5" count="1">
            <x v="351"/>
          </reference>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5C02183-D962-46E7-9034-5A43F51C81A8}" name="Split Principal" cacheId="0" applyNumberFormats="0" applyBorderFormats="0" applyFontFormats="0" applyPatternFormats="0" applyAlignmentFormats="0" applyWidthHeightFormats="1" dataCaption="Valores" updatedVersion="8" minRefreshableVersion="3" showDrill="0" rowGrandTotals="0" colGrandTotals="0" createdVersion="4" compact="0" compactData="0" multipleFieldFilters="0">
  <location ref="A15:D25" firstHeaderRow="1" firstDataRow="1" firstDataCol="3"/>
  <pivotFields count="8">
    <pivotField axis="axisRow" compact="0" outline="0" showAll="0" defaultSubtotal="0">
      <items count="8">
        <item x="0"/>
        <item h="1" x="1"/>
        <item h="1" x="2"/>
        <item h="1" x="3"/>
        <item h="1" m="1" x="5"/>
        <item h="1" m="1" x="6"/>
        <item h="1" m="1" x="7"/>
        <item h="1" m="1" x="4"/>
      </items>
    </pivotField>
    <pivotField dataField="1" compact="0" outline="0" showAll="0" defaultSubtotal="0">
      <items count="7">
        <item x="0"/>
        <item h="1" x="2"/>
        <item h="1" x="3"/>
        <item h="1" x="1"/>
        <item h="1" m="1" x="4"/>
        <item h="1" m="1" x="5"/>
        <item h="1" m="1" x="6"/>
      </items>
    </pivotField>
    <pivotField axis="axisRow" compact="0" outline="0" showAll="0" defaultSubtotal="0">
      <items count="9">
        <item x="6"/>
        <item x="1"/>
        <item x="0"/>
        <item x="2"/>
        <item x="3"/>
        <item x="5"/>
        <item m="1" x="8"/>
        <item m="1" x="7"/>
        <item x="4"/>
      </items>
    </pivotField>
    <pivotField compact="0" outline="0" showAll="0" defaultSubtotal="0">
      <items count="5">
        <item x="1"/>
        <item x="0"/>
        <item x="2"/>
        <item x="3"/>
        <item m="1" x="4"/>
      </items>
    </pivotField>
    <pivotField name="Sites" axis="axisRow" compact="0" outline="0" showAll="0" nonAutoSortDefault="1" defaultSubtotal="0">
      <items count="191">
        <item m="1" x="51"/>
        <item m="1" x="41"/>
        <item m="1" x="43"/>
        <item m="1" x="163"/>
        <item m="1" x="49"/>
        <item m="1" x="55"/>
        <item x="2"/>
        <item m="1" x="85"/>
        <item m="1" x="180"/>
        <item x="25"/>
        <item x="7"/>
        <item x="31"/>
        <item x="32"/>
        <item x="12"/>
        <item x="15"/>
        <item x="9"/>
        <item m="1" x="119"/>
        <item m="1" x="149"/>
        <item m="1" x="177"/>
        <item x="0"/>
        <item m="1" x="122"/>
        <item m="1" x="171"/>
        <item m="1" x="187"/>
        <item m="1" x="50"/>
        <item m="1" x="52"/>
        <item x="13"/>
        <item x="14"/>
        <item m="1" x="178"/>
        <item m="1" x="59"/>
        <item m="1" x="70"/>
        <item x="35"/>
        <item m="1" x="127"/>
        <item x="27"/>
        <item m="1" x="107"/>
        <item x="10"/>
        <item x="20"/>
        <item m="1" x="168"/>
        <item m="1" x="46"/>
        <item m="1" x="47"/>
        <item m="1" x="69"/>
        <item m="1" x="166"/>
        <item m="1" x="61"/>
        <item x="33"/>
        <item m="1" x="100"/>
        <item m="1" x="88"/>
        <item m="1" x="188"/>
        <item m="1" x="189"/>
        <item m="1" x="181"/>
        <item m="1" x="183"/>
        <item m="1" x="153"/>
        <item m="1" x="132"/>
        <item m="1" x="160"/>
        <item x="18"/>
        <item m="1" x="150"/>
        <item m="1" x="109"/>
        <item m="1" x="154"/>
        <item m="1" x="123"/>
        <item m="1" x="182"/>
        <item m="1" x="176"/>
        <item m="1" x="126"/>
        <item m="1" x="139"/>
        <item m="1" x="159"/>
        <item m="1" x="147"/>
        <item x="26"/>
        <item m="1" x="95"/>
        <item m="1" x="111"/>
        <item m="1" x="98"/>
        <item m="1" x="134"/>
        <item m="1" x="99"/>
        <item m="1" x="136"/>
        <item x="1"/>
        <item m="1" x="130"/>
        <item m="1" x="124"/>
        <item x="6"/>
        <item m="1" x="58"/>
        <item m="1" x="128"/>
        <item m="1" x="170"/>
        <item m="1" x="93"/>
        <item m="1" x="156"/>
        <item m="1" x="144"/>
        <item m="1" x="158"/>
        <item m="1" x="186"/>
        <item m="1" x="45"/>
        <item m="1" x="137"/>
        <item m="1" x="173"/>
        <item m="1" x="129"/>
        <item m="1" x="179"/>
        <item m="1" x="140"/>
        <item m="1" x="152"/>
        <item m="1" x="172"/>
        <item m="1" x="155"/>
        <item m="1" x="138"/>
        <item m="1" x="167"/>
        <item m="1" x="143"/>
        <item m="1" x="80"/>
        <item m="1" x="64"/>
        <item m="1" x="174"/>
        <item m="1" x="65"/>
        <item m="1" x="54"/>
        <item m="1" x="117"/>
        <item m="1" x="86"/>
        <item x="8"/>
        <item m="1" x="157"/>
        <item m="1" x="164"/>
        <item m="1" x="148"/>
        <item m="1" x="169"/>
        <item m="1" x="175"/>
        <item m="1" x="131"/>
        <item m="1" x="190"/>
        <item m="1" x="165"/>
        <item m="1" x="184"/>
        <item m="1" x="185"/>
        <item m="1" x="102"/>
        <item m="1" x="89"/>
        <item m="1" x="145"/>
        <item m="1" x="162"/>
        <item x="23"/>
        <item m="1" x="92"/>
        <item m="1" x="161"/>
        <item m="1" x="40"/>
        <item m="1" x="121"/>
        <item m="1" x="44"/>
        <item m="1" x="112"/>
        <item x="29"/>
        <item m="1" x="87"/>
        <item m="1" x="57"/>
        <item m="1" x="125"/>
        <item m="1" x="113"/>
        <item m="1" x="97"/>
        <item m="1" x="62"/>
        <item m="1" x="105"/>
        <item m="1" x="146"/>
        <item m="1" x="103"/>
        <item m="1" x="133"/>
        <item m="1" x="151"/>
        <item m="1" x="90"/>
        <item m="1" x="141"/>
        <item m="1" x="135"/>
        <item m="1" x="142"/>
        <item m="1" x="118"/>
        <item m="1" x="39"/>
        <item x="5"/>
        <item x="30"/>
        <item x="34"/>
        <item x="4"/>
        <item m="1" x="120"/>
        <item m="1" x="53"/>
        <item m="1" x="68"/>
        <item m="1" x="66"/>
        <item x="24"/>
        <item m="1" x="71"/>
        <item x="3"/>
        <item x="11"/>
        <item x="28"/>
        <item x="19"/>
        <item m="1" x="63"/>
        <item m="1" x="74"/>
        <item m="1" x="75"/>
        <item m="1" x="77"/>
        <item m="1" x="78"/>
        <item m="1" x="79"/>
        <item m="1" x="81"/>
        <item m="1" x="82"/>
        <item m="1" x="83"/>
        <item m="1" x="84"/>
        <item m="1" x="91"/>
        <item m="1" x="94"/>
        <item x="21"/>
        <item m="1" x="96"/>
        <item m="1" x="101"/>
        <item m="1" x="104"/>
        <item m="1" x="106"/>
        <item m="1" x="108"/>
        <item m="1" x="110"/>
        <item m="1" x="114"/>
        <item m="1" x="56"/>
        <item m="1" x="116"/>
        <item m="1" x="115"/>
        <item m="1" x="76"/>
        <item x="16"/>
        <item x="17"/>
        <item x="36"/>
        <item x="37"/>
        <item m="1" x="72"/>
        <item m="1" x="73"/>
        <item m="1" x="42"/>
        <item m="1" x="48"/>
        <item m="1" x="60"/>
        <item m="1" x="67"/>
        <item x="22"/>
        <item n="Lehigh Acres" x="38"/>
      </items>
    </pivotField>
    <pivotField compact="0" outline="0" showAll="0" defaultSubtotal="0">
      <items count="9">
        <item m="1" x="5"/>
        <item x="0"/>
        <item x="1"/>
        <item x="2"/>
        <item x="4"/>
        <item m="1" x="6"/>
        <item m="1" x="8"/>
        <item m="1" x="7"/>
        <item x="3"/>
      </items>
    </pivotField>
    <pivotField compact="0" outline="0" showAll="0" defaultSubtotal="0">
      <items count="10">
        <item x="1"/>
        <item m="1" x="6"/>
        <item x="0"/>
        <item x="2"/>
        <item m="1" x="4"/>
        <item m="1" x="8"/>
        <item m="1" x="7"/>
        <item m="1" x="9"/>
        <item m="1" x="5"/>
        <item x="3"/>
      </items>
    </pivotField>
    <pivotField compact="0" outline="0" showAll="0"/>
  </pivotFields>
  <rowFields count="3">
    <field x="0"/>
    <field x="2"/>
    <field x="4"/>
  </rowFields>
  <rowItems count="10">
    <i>
      <x/>
      <x/>
      <x v="30"/>
    </i>
    <i r="2">
      <x v="181"/>
    </i>
    <i r="2">
      <x v="182"/>
    </i>
    <i r="2">
      <x v="190"/>
    </i>
    <i r="1">
      <x v="2"/>
      <x v="19"/>
    </i>
    <i r="2">
      <x v="141"/>
    </i>
    <i r="1">
      <x v="3"/>
      <x v="9"/>
    </i>
    <i r="1">
      <x v="4"/>
      <x v="167"/>
    </i>
    <i r="2">
      <x v="189"/>
    </i>
    <i r="1">
      <x v="5"/>
      <x v="11"/>
    </i>
  </rowItems>
  <colItems count="1">
    <i/>
  </colItems>
  <dataFields count="1">
    <dataField name="Suma de Station" fld="1" baseField="0" baseItem="0"/>
  </dataFields>
  <formats count="142">
    <format dxfId="5384">
      <pivotArea field="4" type="button" dataOnly="0" labelOnly="1" outline="0" axis="axisRow" fieldPosition="2"/>
    </format>
    <format dxfId="5383">
      <pivotArea field="4" type="button" dataOnly="0" labelOnly="1" outline="0" axis="axisRow" fieldPosition="2"/>
    </format>
    <format dxfId="5382">
      <pivotArea field="3" type="button" dataOnly="0" labelOnly="1" outline="0"/>
    </format>
    <format dxfId="5381">
      <pivotArea field="2" type="button" dataOnly="0" labelOnly="1" outline="0" axis="axisRow" fieldPosition="1"/>
    </format>
    <format dxfId="5380">
      <pivotArea field="0" type="button" dataOnly="0" labelOnly="1" outline="0" axis="axisRow" fieldPosition="0"/>
    </format>
    <format dxfId="5379">
      <pivotArea field="5" type="button" dataOnly="0" labelOnly="1" outline="0"/>
    </format>
    <format dxfId="5378">
      <pivotArea field="6" type="button" dataOnly="0" labelOnly="1" outline="0"/>
    </format>
    <format dxfId="5377">
      <pivotArea dataOnly="0" labelOnly="1" outline="0" fieldPosition="0">
        <references count="2">
          <reference field="0" count="0" selected="0"/>
          <reference field="2" count="1">
            <x v="0"/>
          </reference>
        </references>
      </pivotArea>
    </format>
    <format dxfId="5376">
      <pivotArea dataOnly="0" labelOnly="1" outline="0" fieldPosition="0">
        <references count="2">
          <reference field="0" count="0" selected="0"/>
          <reference field="2" count="1">
            <x v="0"/>
          </reference>
        </references>
      </pivotArea>
    </format>
    <format dxfId="5375">
      <pivotArea dataOnly="0" labelOnly="1" outline="0" fieldPosition="0">
        <references count="1">
          <reference field="0" count="0"/>
        </references>
      </pivotArea>
    </format>
    <format dxfId="5374">
      <pivotArea dataOnly="0" labelOnly="1" outline="0" fieldPosition="0">
        <references count="2">
          <reference field="0" count="0" selected="0"/>
          <reference field="2" count="1">
            <x v="1"/>
          </reference>
        </references>
      </pivotArea>
    </format>
    <format dxfId="5373">
      <pivotArea dataOnly="0" labelOnly="1" outline="0" fieldPosition="0">
        <references count="2">
          <reference field="0" count="0" selected="0"/>
          <reference field="2" count="1">
            <x v="2"/>
          </reference>
        </references>
      </pivotArea>
    </format>
    <format dxfId="5372">
      <pivotArea dataOnly="0" labelOnly="1" outline="0" fieldPosition="0">
        <references count="2">
          <reference field="0" count="0" selected="0"/>
          <reference field="2" count="1">
            <x v="3"/>
          </reference>
        </references>
      </pivotArea>
    </format>
    <format dxfId="5371">
      <pivotArea dataOnly="0" labelOnly="1" outline="0" fieldPosition="0">
        <references count="2">
          <reference field="0" count="0" selected="0"/>
          <reference field="2" count="1">
            <x v="4"/>
          </reference>
        </references>
      </pivotArea>
    </format>
    <format dxfId="5370">
      <pivotArea dataOnly="0" labelOnly="1" outline="0" fieldPosition="0">
        <references count="2">
          <reference field="0" count="0" selected="0"/>
          <reference field="2" count="1">
            <x v="5"/>
          </reference>
        </references>
      </pivotArea>
    </format>
    <format dxfId="5369">
      <pivotArea dataOnly="0" labelOnly="1" outline="0" fieldPosition="0">
        <references count="2">
          <reference field="0" count="0" selected="0"/>
          <reference field="2" count="1">
            <x v="6"/>
          </reference>
        </references>
      </pivotArea>
    </format>
    <format dxfId="5368">
      <pivotArea dataOnly="0" labelOnly="1" outline="0" fieldPosition="0">
        <references count="2">
          <reference field="0" count="0" selected="0"/>
          <reference field="2" count="1">
            <x v="0"/>
          </reference>
        </references>
      </pivotArea>
    </format>
    <format dxfId="5367">
      <pivotArea dataOnly="0" labelOnly="1" outline="0" fieldPosition="0">
        <references count="2">
          <reference field="0" count="0" selected="0"/>
          <reference field="2" count="0"/>
        </references>
      </pivotArea>
    </format>
    <format dxfId="5366">
      <pivotArea dataOnly="0" labelOnly="1" outline="0" fieldPosition="0">
        <references count="2">
          <reference field="0" count="0" selected="0"/>
          <reference field="2" count="7">
            <x v="0"/>
            <x v="1"/>
            <x v="2"/>
            <x v="3"/>
            <x v="4"/>
            <x v="5"/>
            <x v="6"/>
          </reference>
        </references>
      </pivotArea>
    </format>
    <format dxfId="5365">
      <pivotArea field="5" type="button" dataOnly="0" labelOnly="1" outline="0"/>
    </format>
    <format dxfId="5364">
      <pivotArea field="3" type="button" dataOnly="0" labelOnly="1" outline="0"/>
    </format>
    <format dxfId="5363">
      <pivotArea dataOnly="0" labelOnly="1" outline="0" fieldPosition="0">
        <references count="2">
          <reference field="0" count="0" selected="0"/>
          <reference field="2" count="1">
            <x v="1"/>
          </reference>
        </references>
      </pivotArea>
    </format>
    <format dxfId="5362">
      <pivotArea dataOnly="0" labelOnly="1" outline="0" fieldPosition="0">
        <references count="2">
          <reference field="0" count="0" selected="0"/>
          <reference field="2" count="1">
            <x v="2"/>
          </reference>
        </references>
      </pivotArea>
    </format>
    <format dxfId="5361">
      <pivotArea dataOnly="0" labelOnly="1" outline="0" offset="IV2:IV256" fieldPosition="0">
        <references count="1">
          <reference field="0" count="0"/>
        </references>
      </pivotArea>
    </format>
    <format dxfId="5360">
      <pivotArea dataOnly="0" labelOnly="1" outline="0" fieldPosition="0">
        <references count="2">
          <reference field="0" count="0" selected="0"/>
          <reference field="2" count="1">
            <x v="3"/>
          </reference>
        </references>
      </pivotArea>
    </format>
    <format dxfId="5359">
      <pivotArea dataOnly="0" labelOnly="1" outline="0" fieldPosition="0">
        <references count="2">
          <reference field="0" count="0" selected="0"/>
          <reference field="2" count="1">
            <x v="4"/>
          </reference>
        </references>
      </pivotArea>
    </format>
    <format dxfId="5358">
      <pivotArea dataOnly="0" labelOnly="1" outline="0" fieldPosition="0">
        <references count="2">
          <reference field="0" count="0" selected="0"/>
          <reference field="2" count="1">
            <x v="5"/>
          </reference>
        </references>
      </pivotArea>
    </format>
    <format dxfId="5357">
      <pivotArea dataOnly="0" labelOnly="1" outline="0" fieldPosition="0">
        <references count="2">
          <reference field="0" count="0" selected="0"/>
          <reference field="2" count="1">
            <x v="6"/>
          </reference>
        </references>
      </pivotArea>
    </format>
    <format dxfId="5356">
      <pivotArea dataOnly="0" labelOnly="1" outline="0" offset="IV1" fieldPosition="0">
        <references count="1">
          <reference field="0" count="0"/>
        </references>
      </pivotArea>
    </format>
    <format dxfId="5355">
      <pivotArea dataOnly="0" labelOnly="1" outline="0" offset="IV1" fieldPosition="0">
        <references count="1">
          <reference field="0" count="0"/>
        </references>
      </pivotArea>
    </format>
    <format dxfId="5354">
      <pivotArea field="4" type="button" dataOnly="0" labelOnly="1" outline="0" axis="axisRow" fieldPosition="2"/>
    </format>
    <format dxfId="5353">
      <pivotArea field="0" type="button" dataOnly="0" labelOnly="1" outline="0" axis="axisRow" fieldPosition="0"/>
    </format>
    <format dxfId="5352">
      <pivotArea field="2" type="button" dataOnly="0" labelOnly="1" outline="0" axis="axisRow" fieldPosition="1"/>
    </format>
    <format dxfId="5351">
      <pivotArea field="4" type="button" dataOnly="0" labelOnly="1" outline="0" axis="axisRow" fieldPosition="2"/>
    </format>
    <format dxfId="5350">
      <pivotArea dataOnly="0" labelOnly="1" outline="0" axis="axisValues" fieldPosition="0"/>
    </format>
    <format dxfId="5349">
      <pivotArea dataOnly="0" labelOnly="1" outline="0" fieldPosition="0">
        <references count="3">
          <reference field="0" count="0" selected="0"/>
          <reference field="2" count="1" selected="0">
            <x v="3"/>
          </reference>
          <reference field="4" count="5">
            <x v="1"/>
            <x v="9"/>
            <x v="13"/>
            <x v="14"/>
            <x v="119"/>
          </reference>
        </references>
      </pivotArea>
    </format>
    <format dxfId="5348">
      <pivotArea dataOnly="0" labelOnly="1" outline="0" fieldPosition="0">
        <references count="3">
          <reference field="0" count="0" selected="0"/>
          <reference field="2" count="1" selected="0">
            <x v="4"/>
          </reference>
          <reference field="4" count="5">
            <x v="0"/>
            <x v="2"/>
            <x v="4"/>
            <x v="7"/>
            <x v="8"/>
          </reference>
        </references>
      </pivotArea>
    </format>
    <format dxfId="5347">
      <pivotArea dataOnly="0" labelOnly="1" outline="0" fieldPosition="0">
        <references count="3">
          <reference field="0" count="0" selected="0"/>
          <reference field="2" count="1" selected="0">
            <x v="5"/>
          </reference>
          <reference field="4" count="2">
            <x v="11"/>
            <x v="12"/>
          </reference>
        </references>
      </pivotArea>
    </format>
    <format dxfId="5346">
      <pivotArea dataOnly="0" labelOnly="1" outline="0" fieldPosition="0">
        <references count="3">
          <reference field="0" count="0" selected="0"/>
          <reference field="2" count="1" selected="0">
            <x v="0"/>
          </reference>
          <reference field="4" count="1">
            <x v="16"/>
          </reference>
        </references>
      </pivotArea>
    </format>
    <format dxfId="5345">
      <pivotArea dataOnly="0" labelOnly="1" outline="0" fieldPosition="0">
        <references count="3">
          <reference field="0" count="0" selected="0"/>
          <reference field="2" count="1" selected="0">
            <x v="2"/>
          </reference>
          <reference field="4" count="3">
            <x v="17"/>
            <x v="19"/>
            <x v="120"/>
          </reference>
        </references>
      </pivotArea>
    </format>
    <format dxfId="5344">
      <pivotArea dataOnly="0" labelOnly="1" outline="0" fieldPosition="0">
        <references count="3">
          <reference field="0" count="0" selected="0"/>
          <reference field="2" count="1" selected="0">
            <x v="3"/>
          </reference>
          <reference field="4" count="9">
            <x v="20"/>
            <x v="21"/>
            <x v="23"/>
            <x v="24"/>
            <x v="25"/>
            <x v="26"/>
            <x v="28"/>
            <x v="121"/>
            <x v="122"/>
          </reference>
        </references>
      </pivotArea>
    </format>
    <format dxfId="5343">
      <pivotArea dataOnly="0" labelOnly="1" outline="0" fieldPosition="0">
        <references count="3">
          <reference field="0" count="0" selected="0"/>
          <reference field="2" count="1" selected="0">
            <x v="3"/>
          </reference>
          <reference field="4" count="4">
            <x v="33"/>
            <x v="34"/>
            <x v="35"/>
            <x v="36"/>
          </reference>
        </references>
      </pivotArea>
    </format>
    <format dxfId="5342">
      <pivotArea dataOnly="0" labelOnly="1" outline="0" fieldPosition="0">
        <references count="3">
          <reference field="0" count="0" selected="0"/>
          <reference field="2" count="1" selected="0">
            <x v="4"/>
          </reference>
          <reference field="4" count="4">
            <x v="37"/>
            <x v="38"/>
            <x v="39"/>
            <x v="123"/>
          </reference>
        </references>
      </pivotArea>
    </format>
    <format dxfId="5341">
      <pivotArea dataOnly="0" labelOnly="1" outline="0" fieldPosition="0">
        <references count="3">
          <reference field="0" count="0" selected="0"/>
          <reference field="2" count="1" selected="0">
            <x v="5"/>
          </reference>
          <reference field="4" count="3">
            <x v="41"/>
            <x v="42"/>
            <x v="43"/>
          </reference>
        </references>
      </pivotArea>
    </format>
    <format dxfId="5340">
      <pivotArea dataOnly="0" labelOnly="1" outline="0" fieldPosition="0">
        <references count="3">
          <reference field="0" count="0" selected="0"/>
          <reference field="2" count="1" selected="0">
            <x v="6"/>
          </reference>
          <reference field="4" count="2">
            <x v="44"/>
            <x v="124"/>
          </reference>
        </references>
      </pivotArea>
    </format>
    <format dxfId="5339">
      <pivotArea dataOnly="0" labelOnly="1" outline="0" fieldPosition="0">
        <references count="3">
          <reference field="0" count="0" selected="0"/>
          <reference field="2" count="1" selected="0">
            <x v="6"/>
          </reference>
          <reference field="4" count="5">
            <x v="80"/>
            <x v="81"/>
            <x v="82"/>
            <x v="83"/>
            <x v="84"/>
          </reference>
        </references>
      </pivotArea>
    </format>
    <format dxfId="5338">
      <pivotArea dataOnly="0" labelOnly="1" outline="0" fieldPosition="0">
        <references count="3">
          <reference field="0" count="0" selected="0"/>
          <reference field="2" count="1" selected="0">
            <x v="2"/>
          </reference>
          <reference field="4" count="2">
            <x v="19"/>
            <x v="138"/>
          </reference>
        </references>
      </pivotArea>
    </format>
    <format dxfId="5337">
      <pivotArea dataOnly="0" labelOnly="1" outline="0" fieldPosition="0">
        <references count="3">
          <reference field="0" count="0" selected="0"/>
          <reference field="2" count="1" selected="0">
            <x v="3"/>
          </reference>
          <reference field="4" count="6">
            <x v="1"/>
            <x v="24"/>
            <x v="33"/>
            <x v="54"/>
            <x v="119"/>
            <x v="127"/>
          </reference>
        </references>
      </pivotArea>
    </format>
    <format dxfId="5336">
      <pivotArea dataOnly="0" labelOnly="1" outline="0" fieldPosition="0">
        <references count="3">
          <reference field="0" count="0" selected="0"/>
          <reference field="2" count="1" selected="0">
            <x v="4"/>
          </reference>
          <reference field="4" count="4">
            <x v="8"/>
            <x v="56"/>
            <x v="123"/>
            <x v="129"/>
          </reference>
        </references>
      </pivotArea>
    </format>
    <format dxfId="5335">
      <pivotArea dataOnly="0" labelOnly="1" outline="0" fieldPosition="0">
        <references count="3">
          <reference field="0" count="0" selected="0"/>
          <reference field="2" count="1" selected="0">
            <x v="5"/>
          </reference>
          <reference field="4" count="1">
            <x v="11"/>
          </reference>
        </references>
      </pivotArea>
    </format>
    <format dxfId="5334">
      <pivotArea dataOnly="0" labelOnly="1" outline="0" fieldPosition="0">
        <references count="3">
          <reference field="0" count="0" selected="0"/>
          <reference field="2" count="1" selected="0">
            <x v="2"/>
          </reference>
          <reference field="4" count="3">
            <x v="17"/>
            <x v="49"/>
            <x v="72"/>
          </reference>
        </references>
      </pivotArea>
    </format>
    <format dxfId="5333">
      <pivotArea dataOnly="0" labelOnly="1" outline="0" fieldPosition="0">
        <references count="3">
          <reference field="0" count="0" selected="0"/>
          <reference field="2" count="1" selected="0">
            <x v="3"/>
          </reference>
          <reference field="4" count="7">
            <x v="9"/>
            <x v="14"/>
            <x v="23"/>
            <x v="35"/>
            <x v="52"/>
            <x v="86"/>
            <x v="128"/>
          </reference>
        </references>
      </pivotArea>
    </format>
    <format dxfId="5332">
      <pivotArea dataOnly="0" labelOnly="1" outline="0" fieldPosition="0">
        <references count="3">
          <reference field="0" count="0" selected="0"/>
          <reference field="2" count="1" selected="0">
            <x v="4"/>
          </reference>
          <reference field="4" count="4">
            <x v="4"/>
            <x v="28"/>
            <x v="29"/>
            <x v="98"/>
          </reference>
        </references>
      </pivotArea>
    </format>
    <format dxfId="5331">
      <pivotArea dataOnly="0" labelOnly="1" outline="0" fieldPosition="0">
        <references count="3">
          <reference field="0" count="0" selected="0"/>
          <reference field="2" count="1" selected="0">
            <x v="1"/>
          </reference>
          <reference field="4" count="1">
            <x v="113"/>
          </reference>
        </references>
      </pivotArea>
    </format>
    <format dxfId="5330">
      <pivotArea dataOnly="0" labelOnly="1" outline="0" fieldPosition="0">
        <references count="3">
          <reference field="0" count="0" selected="0"/>
          <reference field="2" count="1" selected="0">
            <x v="2"/>
          </reference>
          <reference field="4" count="4">
            <x v="19"/>
            <x v="49"/>
            <x v="114"/>
            <x v="137"/>
          </reference>
        </references>
      </pivotArea>
    </format>
    <format dxfId="5329">
      <pivotArea dataOnly="0" labelOnly="1" outline="0" fieldPosition="0">
        <references count="3">
          <reference field="0" count="0" selected="0"/>
          <reference field="2" count="1" selected="0">
            <x v="3"/>
          </reference>
          <reference field="4" count="5">
            <x v="14"/>
            <x v="77"/>
            <x v="106"/>
            <x v="116"/>
            <x v="117"/>
          </reference>
        </references>
      </pivotArea>
    </format>
    <format dxfId="5328">
      <pivotArea dataOnly="0" labelOnly="1" outline="0" fieldPosition="0">
        <references count="3">
          <reference field="0" count="0" selected="0"/>
          <reference field="2" count="1" selected="0">
            <x v="4"/>
          </reference>
          <reference field="4" count="3">
            <x v="7"/>
            <x v="66"/>
            <x v="118"/>
          </reference>
        </references>
      </pivotArea>
    </format>
    <format dxfId="5327">
      <pivotArea dataOnly="0" labelOnly="1" outline="0" fieldPosition="0">
        <references count="3">
          <reference field="0" count="0" selected="0"/>
          <reference field="2" count="1" selected="0">
            <x v="6"/>
          </reference>
          <reference field="4" count="2">
            <x v="83"/>
            <x v="84"/>
          </reference>
        </references>
      </pivotArea>
    </format>
    <format dxfId="5326">
      <pivotArea dataOnly="0" labelOnly="1" outline="0" fieldPosition="0">
        <references count="3">
          <reference field="0" count="0" selected="0"/>
          <reference field="2" count="1" selected="0">
            <x v="3"/>
          </reference>
          <reference field="4" count="5">
            <x v="9"/>
            <x v="105"/>
            <x v="106"/>
            <x v="107"/>
            <x v="121"/>
          </reference>
        </references>
      </pivotArea>
    </format>
    <format dxfId="5325">
      <pivotArea dataOnly="0" labelOnly="1" outline="0" fieldPosition="0">
        <references count="3">
          <reference field="0" count="0" selected="0"/>
          <reference field="2" count="1" selected="0">
            <x v="3"/>
          </reference>
          <reference field="4" count="8">
            <x v="28"/>
            <x v="89"/>
            <x v="90"/>
            <x v="91"/>
            <x v="92"/>
            <x v="94"/>
            <x v="132"/>
            <x v="133"/>
          </reference>
        </references>
      </pivotArea>
    </format>
    <format dxfId="5324">
      <pivotArea dataOnly="0" labelOnly="1" outline="0" fieldPosition="0">
        <references count="3">
          <reference field="0" count="0" selected="0"/>
          <reference field="2" count="1" selected="0">
            <x v="4"/>
          </reference>
          <reference field="4" count="6">
            <x v="2"/>
            <x v="7"/>
            <x v="95"/>
            <x v="97"/>
            <x v="98"/>
            <x v="134"/>
          </reference>
        </references>
      </pivotArea>
    </format>
    <format dxfId="5323">
      <pivotArea dataOnly="0" labelOnly="1" outline="0" fieldPosition="0">
        <references count="3">
          <reference field="0" count="0" selected="0"/>
          <reference field="2" count="1" selected="0">
            <x v="6"/>
          </reference>
          <reference field="4" count="1">
            <x v="124"/>
          </reference>
        </references>
      </pivotArea>
    </format>
    <format dxfId="5322">
      <pivotArea dataOnly="0" labelOnly="1" outline="0" fieldPosition="0">
        <references count="2">
          <reference field="0" count="0" selected="0"/>
          <reference field="2" count="0"/>
        </references>
      </pivotArea>
    </format>
    <format dxfId="5321">
      <pivotArea dataOnly="0" labelOnly="1" outline="0" fieldPosition="0">
        <references count="3">
          <reference field="0" count="0" selected="0"/>
          <reference field="2" count="1" selected="0">
            <x v="0"/>
          </reference>
          <reference field="4" count="1">
            <x v="30"/>
          </reference>
        </references>
      </pivotArea>
    </format>
    <format dxfId="5320">
      <pivotArea dataOnly="0" labelOnly="1" outline="0" fieldPosition="0">
        <references count="3">
          <reference field="0" count="0" selected="0"/>
          <reference field="2" count="1" selected="0">
            <x v="1"/>
          </reference>
          <reference field="4" count="1">
            <x v="130"/>
          </reference>
        </references>
      </pivotArea>
    </format>
    <format dxfId="5319">
      <pivotArea dataOnly="0" labelOnly="1" outline="0" fieldPosition="0">
        <references count="3">
          <reference field="0" count="0" selected="0"/>
          <reference field="2" count="1" selected="0">
            <x v="2"/>
          </reference>
          <reference field="4" count="5">
            <x v="17"/>
            <x v="70"/>
            <x v="71"/>
            <x v="72"/>
            <x v="73"/>
          </reference>
        </references>
      </pivotArea>
    </format>
    <format dxfId="5318">
      <pivotArea dataOnly="0" labelOnly="1" outline="0" fieldPosition="0">
        <references count="3">
          <reference field="0" count="0" selected="0"/>
          <reference field="2" count="1" selected="0">
            <x v="3"/>
          </reference>
          <reference field="4" count="6">
            <x v="14"/>
            <x v="74"/>
            <x v="75"/>
            <x v="76"/>
            <x v="77"/>
            <x v="131"/>
          </reference>
        </references>
      </pivotArea>
    </format>
    <format dxfId="5317">
      <pivotArea dataOnly="0" labelOnly="1" outline="0" fieldPosition="0">
        <references count="3">
          <reference field="0" count="0" selected="0"/>
          <reference field="2" count="1" selected="0">
            <x v="4"/>
          </reference>
          <reference field="4" count="6">
            <x v="0"/>
            <x v="29"/>
            <x v="37"/>
            <x v="38"/>
            <x v="39"/>
            <x v="79"/>
          </reference>
        </references>
      </pivotArea>
    </format>
    <format dxfId="5316">
      <pivotArea dataOnly="0" labelOnly="1" outline="0" fieldPosition="0">
        <references count="3">
          <reference field="0" count="0" selected="0"/>
          <reference field="2" count="1" selected="0">
            <x v="6"/>
          </reference>
          <reference field="4" count="3">
            <x v="80"/>
            <x v="81"/>
            <x v="100"/>
          </reference>
        </references>
      </pivotArea>
    </format>
    <format dxfId="5315">
      <pivotArea dataOnly="0" labelOnly="1" outline="0" fieldPosition="0">
        <references count="2">
          <reference field="0" count="0" selected="0"/>
          <reference field="2" count="6">
            <x v="1"/>
            <x v="2"/>
            <x v="3"/>
            <x v="4"/>
            <x v="5"/>
            <x v="6"/>
          </reference>
        </references>
      </pivotArea>
    </format>
    <format dxfId="5314">
      <pivotArea dataOnly="0" labelOnly="1" outline="0" fieldPosition="0">
        <references count="3">
          <reference field="0" count="0" selected="0"/>
          <reference field="2" count="1" selected="0">
            <x v="1"/>
          </reference>
          <reference field="4" count="1">
            <x v="31"/>
          </reference>
        </references>
      </pivotArea>
    </format>
    <format dxfId="5313">
      <pivotArea dataOnly="0" labelOnly="1" outline="0" fieldPosition="0">
        <references count="3">
          <reference field="0" count="0" selected="0"/>
          <reference field="2" count="1" selected="0">
            <x v="2"/>
          </reference>
          <reference field="4" count="7">
            <x v="6"/>
            <x v="32"/>
            <x v="34"/>
            <x v="58"/>
            <x v="59"/>
            <x v="60"/>
            <x v="61"/>
          </reference>
        </references>
      </pivotArea>
    </format>
    <format dxfId="5312">
      <pivotArea dataOnly="0" labelOnly="1" outline="0" fieldPosition="0">
        <references count="3">
          <reference field="0" count="0" selected="0"/>
          <reference field="2" count="1" selected="0">
            <x v="3"/>
          </reference>
          <reference field="4" count="7">
            <x v="23"/>
            <x v="25"/>
            <x v="26"/>
            <x v="62"/>
            <x v="63"/>
            <x v="64"/>
            <x v="65"/>
          </reference>
        </references>
      </pivotArea>
    </format>
    <format dxfId="5311">
      <pivotArea dataOnly="0" labelOnly="1" outline="0" fieldPosition="0">
        <references count="3">
          <reference field="0" count="0" selected="0"/>
          <reference field="2" count="1" selected="0">
            <x v="4"/>
          </reference>
          <reference field="4" count="3">
            <x v="66"/>
            <x v="67"/>
            <x v="68"/>
          </reference>
        </references>
      </pivotArea>
    </format>
    <format dxfId="5310">
      <pivotArea dataOnly="0" labelOnly="1" outline="0" fieldPosition="0">
        <references count="3">
          <reference field="0" count="0" selected="0"/>
          <reference field="2" count="1" selected="0">
            <x v="5"/>
          </reference>
          <reference field="4" count="2">
            <x v="12"/>
            <x v="42"/>
          </reference>
        </references>
      </pivotArea>
    </format>
    <format dxfId="5309">
      <pivotArea dataOnly="0" labelOnly="1" outline="0" fieldPosition="0">
        <references count="3">
          <reference field="0" count="0" selected="0"/>
          <reference field="2" count="1" selected="0">
            <x v="6"/>
          </reference>
          <reference field="4" count="1">
            <x v="5"/>
          </reference>
        </references>
      </pivotArea>
    </format>
    <format dxfId="5308">
      <pivotArea dataOnly="0" labelOnly="1" outline="0" fieldPosition="0">
        <references count="3">
          <reference field="0" count="0" selected="0"/>
          <reference field="2" count="1" selected="0">
            <x v="1"/>
          </reference>
          <reference field="4" count="2">
            <x v="101"/>
            <x v="102"/>
          </reference>
        </references>
      </pivotArea>
    </format>
    <format dxfId="5307">
      <pivotArea dataOnly="0" labelOnly="1" outline="0" fieldPosition="0">
        <references count="3">
          <reference field="0" count="0" selected="0"/>
          <reference field="2" count="1" selected="0">
            <x v="2"/>
          </reference>
          <reference field="4" count="3">
            <x v="73"/>
            <x v="135"/>
            <x v="136"/>
          </reference>
        </references>
      </pivotArea>
    </format>
    <format dxfId="5306">
      <pivotArea dataOnly="0" labelOnly="1" outline="0" fieldPosition="0">
        <references count="3">
          <reference field="0" count="0" selected="0"/>
          <reference field="2" count="1" selected="0">
            <x v="3"/>
          </reference>
          <reference field="4" count="4">
            <x v="105"/>
            <x v="106"/>
            <x v="107"/>
            <x v="121"/>
          </reference>
        </references>
      </pivotArea>
    </format>
    <format dxfId="5305">
      <pivotArea dataOnly="0" labelOnly="1" outline="0" fieldPosition="0">
        <references count="3">
          <reference field="0" count="0" selected="0"/>
          <reference field="2" count="1" selected="0">
            <x v="4"/>
          </reference>
          <reference field="4" count="4">
            <x v="97"/>
            <x v="108"/>
            <x v="109"/>
            <x v="110"/>
          </reference>
        </references>
      </pivotArea>
    </format>
    <format dxfId="5304">
      <pivotArea dataOnly="0" labelOnly="1" outline="0" fieldPosition="0">
        <references count="3">
          <reference field="0" count="0" selected="0"/>
          <reference field="2" count="1" selected="0">
            <x v="6"/>
          </reference>
          <reference field="4" count="2">
            <x v="111"/>
            <x v="112"/>
          </reference>
        </references>
      </pivotArea>
    </format>
    <format dxfId="5303">
      <pivotArea dataOnly="0" labelOnly="1" outline="0" fieldPosition="0">
        <references count="2">
          <reference field="0" count="0" selected="0"/>
          <reference field="2" count="5">
            <x v="1"/>
            <x v="2"/>
            <x v="3"/>
            <x v="4"/>
            <x v="5"/>
          </reference>
        </references>
      </pivotArea>
    </format>
    <format dxfId="5302">
      <pivotArea dataOnly="0" labelOnly="1" outline="0" fieldPosition="0">
        <references count="3">
          <reference field="0" count="0" selected="0"/>
          <reference field="2" count="1" selected="0">
            <x v="1"/>
          </reference>
          <reference field="4" count="2">
            <x v="10"/>
            <x v="15"/>
          </reference>
        </references>
      </pivotArea>
    </format>
    <format dxfId="5301">
      <pivotArea dataOnly="0" labelOnly="1" outline="0" fieldPosition="0">
        <references count="3">
          <reference field="0" count="0" selected="0"/>
          <reference field="2" count="1" selected="0">
            <x v="2"/>
          </reference>
          <reference field="4" count="2">
            <x v="86"/>
            <x v="87"/>
          </reference>
        </references>
      </pivotArea>
    </format>
    <format dxfId="5300">
      <pivotArea dataOnly="0" labelOnly="1" outline="0" fieldPosition="0">
        <references count="3">
          <reference field="0" count="0" selected="0"/>
          <reference field="2" count="1" selected="0">
            <x v="3"/>
          </reference>
          <reference field="4" count="5">
            <x v="28"/>
            <x v="90"/>
            <x v="92"/>
            <x v="94"/>
            <x v="132"/>
          </reference>
        </references>
      </pivotArea>
    </format>
    <format dxfId="5299">
      <pivotArea dataOnly="0" labelOnly="1" outline="0" fieldPosition="0">
        <references count="3">
          <reference field="0" count="0" selected="0"/>
          <reference field="2" count="1" selected="0">
            <x v="4"/>
          </reference>
          <reference field="4" count="4">
            <x v="2"/>
            <x v="95"/>
            <x v="97"/>
            <x v="98"/>
          </reference>
        </references>
      </pivotArea>
    </format>
    <format dxfId="5298">
      <pivotArea outline="0" collapsedLevelsAreSubtotals="1" fieldPosition="0"/>
    </format>
    <format dxfId="5297">
      <pivotArea dataOnly="0" labelOnly="1" outline="0" fieldPosition="0">
        <references count="1">
          <reference field="0" count="0"/>
        </references>
      </pivotArea>
    </format>
    <format dxfId="5296">
      <pivotArea dataOnly="0" labelOnly="1" outline="0" fieldPosition="0">
        <references count="2">
          <reference field="0" count="0" selected="0"/>
          <reference field="2" count="6">
            <x v="0"/>
            <x v="1"/>
            <x v="2"/>
            <x v="3"/>
            <x v="4"/>
            <x v="6"/>
          </reference>
        </references>
      </pivotArea>
    </format>
    <format dxfId="5295">
      <pivotArea dataOnly="0" labelOnly="1" outline="0" fieldPosition="0">
        <references count="3">
          <reference field="0" count="0" selected="0"/>
          <reference field="2" count="1" selected="0">
            <x v="0"/>
          </reference>
          <reference field="4" count="1">
            <x v="125"/>
          </reference>
        </references>
      </pivotArea>
    </format>
    <format dxfId="5294">
      <pivotArea dataOnly="0" labelOnly="1" outline="0" fieldPosition="0">
        <references count="3">
          <reference field="0" count="0" selected="0"/>
          <reference field="2" count="1" selected="0">
            <x v="1"/>
          </reference>
          <reference field="4" count="1">
            <x v="47"/>
          </reference>
        </references>
      </pivotArea>
    </format>
    <format dxfId="5293">
      <pivotArea dataOnly="0" labelOnly="1" outline="0" fieldPosition="0">
        <references count="3">
          <reference field="0" count="0" selected="0"/>
          <reference field="2" count="1" selected="0">
            <x v="2"/>
          </reference>
          <reference field="4" count="1">
            <x v="19"/>
          </reference>
        </references>
      </pivotArea>
    </format>
    <format dxfId="5292">
      <pivotArea dataOnly="0" labelOnly="1" outline="0" fieldPosition="0">
        <references count="3">
          <reference field="0" count="0" selected="0"/>
          <reference field="2" count="1" selected="0">
            <x v="3"/>
          </reference>
          <reference field="4" count="7">
            <x v="24"/>
            <x v="33"/>
            <x v="35"/>
            <x v="54"/>
            <x v="119"/>
            <x v="127"/>
            <x v="128"/>
          </reference>
        </references>
      </pivotArea>
    </format>
    <format dxfId="5291">
      <pivotArea dataOnly="0" labelOnly="1" outline="0" fieldPosition="0">
        <references count="3">
          <reference field="0" count="0" selected="0"/>
          <reference field="2" count="1" selected="0">
            <x v="4"/>
          </reference>
          <reference field="4" count="4">
            <x v="4"/>
            <x v="8"/>
            <x v="56"/>
            <x v="123"/>
          </reference>
        </references>
      </pivotArea>
    </format>
    <format dxfId="5290">
      <pivotArea dataOnly="0" labelOnly="1" outline="0" fieldPosition="0">
        <references count="3">
          <reference field="0" count="0" selected="0"/>
          <reference field="2" count="1" selected="0">
            <x v="6"/>
          </reference>
          <reference field="4" count="2">
            <x v="44"/>
            <x v="57"/>
          </reference>
        </references>
      </pivotArea>
    </format>
    <format dxfId="5289">
      <pivotArea dataOnly="0" labelOnly="1" outline="0" fieldPosition="0">
        <references count="3">
          <reference field="0" count="0" selected="0"/>
          <reference field="2" count="1" selected="0">
            <x v="0"/>
          </reference>
          <reference field="4" count="1">
            <x v="139"/>
          </reference>
        </references>
      </pivotArea>
    </format>
    <format dxfId="5288">
      <pivotArea dataOnly="0" labelOnly="1" outline="0" fieldPosition="0">
        <references count="3">
          <reference field="0" count="0" selected="0"/>
          <reference field="2" count="1" selected="0">
            <x v="2"/>
          </reference>
          <reference field="4" count="1">
            <x v="141"/>
          </reference>
        </references>
      </pivotArea>
    </format>
    <format dxfId="5287">
      <pivotArea dataOnly="0" labelOnly="1" outline="0" fieldPosition="0">
        <references count="3">
          <reference field="0" count="0" selected="0"/>
          <reference field="2" count="1" selected="0">
            <x v="4"/>
          </reference>
          <reference field="4" count="1">
            <x v="142"/>
          </reference>
        </references>
      </pivotArea>
    </format>
    <format dxfId="5286">
      <pivotArea dataOnly="0" labelOnly="1" outline="0" fieldPosition="0">
        <references count="3">
          <reference field="0" count="0" selected="0"/>
          <reference field="2" count="1" selected="0">
            <x v="3"/>
          </reference>
          <reference field="4" count="1">
            <x v="39"/>
          </reference>
        </references>
      </pivotArea>
    </format>
    <format dxfId="5285">
      <pivotArea dataOnly="0" labelOnly="1" outline="0" fieldPosition="0">
        <references count="3">
          <reference field="0" count="0" selected="0"/>
          <reference field="2" count="1" selected="0">
            <x v="5"/>
          </reference>
          <reference field="4" count="1">
            <x v="143"/>
          </reference>
        </references>
      </pivotArea>
    </format>
    <format dxfId="5284">
      <pivotArea dataOnly="0" labelOnly="1" outline="0" fieldPosition="0">
        <references count="3">
          <reference field="0" count="0" selected="0"/>
          <reference field="2" count="1" selected="0">
            <x v="2"/>
          </reference>
          <reference field="4" count="1">
            <x v="144"/>
          </reference>
        </references>
      </pivotArea>
    </format>
    <format dxfId="5283">
      <pivotArea dataOnly="0" labelOnly="1" outline="0" fieldPosition="0">
        <references count="3">
          <reference field="0" count="0" selected="0"/>
          <reference field="2" count="1" selected="0">
            <x v="3"/>
          </reference>
          <reference field="4" count="1">
            <x v="145"/>
          </reference>
        </references>
      </pivotArea>
    </format>
    <format dxfId="5282">
      <pivotArea dataOnly="0" labelOnly="1" outline="0" fieldPosition="0">
        <references count="3">
          <reference field="0" count="0" selected="0"/>
          <reference field="2" count="1" selected="0">
            <x v="4"/>
          </reference>
          <reference field="4" count="1">
            <x v="146"/>
          </reference>
        </references>
      </pivotArea>
    </format>
    <format dxfId="5281">
      <pivotArea dataOnly="0" labelOnly="1" outline="0" fieldPosition="0">
        <references count="3">
          <reference field="0" count="0" selected="0"/>
          <reference field="2" count="1" selected="0">
            <x v="5"/>
          </reference>
          <reference field="4" count="1">
            <x v="147"/>
          </reference>
        </references>
      </pivotArea>
    </format>
    <format dxfId="5280">
      <pivotArea dataOnly="0" labelOnly="1" outline="0" fieldPosition="0">
        <references count="3">
          <reference field="0" count="0" selected="0"/>
          <reference field="2" count="1" selected="0">
            <x v="2"/>
          </reference>
          <reference field="4" count="1">
            <x v="148"/>
          </reference>
        </references>
      </pivotArea>
    </format>
    <format dxfId="5279">
      <pivotArea dataOnly="0" labelOnly="1" outline="0" fieldPosition="0">
        <references count="3">
          <reference field="0" count="0" selected="0"/>
          <reference field="2" count="1" selected="0">
            <x v="3"/>
          </reference>
          <reference field="4" count="1">
            <x v="149"/>
          </reference>
        </references>
      </pivotArea>
    </format>
    <format dxfId="5278">
      <pivotArea dataOnly="0" labelOnly="1" outline="0" fieldPosition="0">
        <references count="3">
          <reference field="0" count="0" selected="0"/>
          <reference field="2" count="1" selected="0">
            <x v="4"/>
          </reference>
          <reference field="4" count="1">
            <x v="150"/>
          </reference>
        </references>
      </pivotArea>
    </format>
    <format dxfId="5277">
      <pivotArea dataOnly="0" labelOnly="1" outline="0" fieldPosition="0">
        <references count="3">
          <reference field="0" count="0" selected="0"/>
          <reference field="2" count="1" selected="0">
            <x v="2"/>
          </reference>
          <reference field="4" count="1">
            <x v="151"/>
          </reference>
        </references>
      </pivotArea>
    </format>
    <format dxfId="5276">
      <pivotArea dataOnly="0" labelOnly="1" outline="0" fieldPosition="0">
        <references count="3">
          <reference field="0" count="0" selected="0"/>
          <reference field="2" count="1" selected="0">
            <x v="2"/>
          </reference>
          <reference field="4" count="1">
            <x v="152"/>
          </reference>
        </references>
      </pivotArea>
    </format>
    <format dxfId="5275">
      <pivotArea dataOnly="0" labelOnly="1" outline="0" fieldPosition="0">
        <references count="3">
          <reference field="0" count="0" selected="0"/>
          <reference field="2" count="1" selected="0">
            <x v="3"/>
          </reference>
          <reference field="4" count="1">
            <x v="154"/>
          </reference>
        </references>
      </pivotArea>
    </format>
    <format dxfId="5274">
      <pivotArea dataOnly="0" labelOnly="1" outline="0" fieldPosition="0">
        <references count="3">
          <reference field="0" count="0" selected="0"/>
          <reference field="2" count="1" selected="0">
            <x v="4"/>
          </reference>
          <reference field="4" count="1">
            <x v="155"/>
          </reference>
        </references>
      </pivotArea>
    </format>
    <format dxfId="5273">
      <pivotArea dataOnly="0" labelOnly="1" outline="0" fieldPosition="0">
        <references count="3">
          <reference field="0" count="0" selected="0"/>
          <reference field="2" count="1" selected="0">
            <x v="8"/>
          </reference>
          <reference field="4" count="1">
            <x v="153"/>
          </reference>
        </references>
      </pivotArea>
    </format>
    <format dxfId="5272">
      <pivotArea dataOnly="0" labelOnly="1" outline="0" fieldPosition="0">
        <references count="3">
          <reference field="0" count="0" selected="0"/>
          <reference field="2" count="1" selected="0">
            <x v="1"/>
          </reference>
          <reference field="4" count="1">
            <x v="156"/>
          </reference>
        </references>
      </pivotArea>
    </format>
    <format dxfId="5271">
      <pivotArea dataOnly="0" labelOnly="1" outline="0" fieldPosition="0">
        <references count="3">
          <reference field="0" count="0" selected="0"/>
          <reference field="2" count="1" selected="0">
            <x v="2"/>
          </reference>
          <reference field="4" count="1">
            <x v="157"/>
          </reference>
        </references>
      </pivotArea>
    </format>
    <format dxfId="5270">
      <pivotArea dataOnly="0" labelOnly="1" outline="0" fieldPosition="0">
        <references count="3">
          <reference field="0" count="0" selected="0"/>
          <reference field="2" count="1" selected="0">
            <x v="3"/>
          </reference>
          <reference field="4" count="1">
            <x v="158"/>
          </reference>
        </references>
      </pivotArea>
    </format>
    <format dxfId="5269">
      <pivotArea dataOnly="0" labelOnly="1" outline="0" fieldPosition="0">
        <references count="3">
          <reference field="0" count="0" selected="0"/>
          <reference field="2" count="1" selected="0">
            <x v="3"/>
          </reference>
          <reference field="4" count="4">
            <x v="159"/>
            <x v="160"/>
            <x v="161"/>
            <x v="162"/>
          </reference>
        </references>
      </pivotArea>
    </format>
    <format dxfId="5268">
      <pivotArea dataOnly="0" labelOnly="1" outline="0" fieldPosition="0">
        <references count="3">
          <reference field="0" count="0" selected="0"/>
          <reference field="2" count="1" selected="0">
            <x v="4"/>
          </reference>
          <reference field="4" count="3">
            <x v="97"/>
            <x v="163"/>
            <x v="164"/>
          </reference>
        </references>
      </pivotArea>
    </format>
    <format dxfId="5267">
      <pivotArea dataOnly="0" labelOnly="1" outline="0" fieldPosition="0">
        <references count="3">
          <reference field="0" count="0" selected="0"/>
          <reference field="2" count="1" selected="0">
            <x v="3"/>
          </reference>
          <reference field="4" count="4">
            <x v="165"/>
            <x v="166"/>
            <x v="167"/>
            <x v="168"/>
          </reference>
        </references>
      </pivotArea>
    </format>
    <format dxfId="5266">
      <pivotArea dataOnly="0" labelOnly="1" outline="0" fieldPosition="0">
        <references count="3">
          <reference field="0" count="0" selected="0"/>
          <reference field="2" count="1" selected="0">
            <x v="4"/>
          </reference>
          <reference field="4" count="2">
            <x v="66"/>
            <x v="68"/>
          </reference>
        </references>
      </pivotArea>
    </format>
    <format dxfId="5265">
      <pivotArea dataOnly="0" labelOnly="1" outline="0" fieldPosition="0">
        <references count="3">
          <reference field="0" count="0" selected="0"/>
          <reference field="2" count="1" selected="0">
            <x v="5"/>
          </reference>
          <reference field="4" count="1">
            <x v="43"/>
          </reference>
        </references>
      </pivotArea>
    </format>
    <format dxfId="5264">
      <pivotArea dataOnly="0" labelOnly="1" outline="0" fieldPosition="0">
        <references count="3">
          <reference field="0" count="0" selected="0"/>
          <reference field="2" count="1" selected="0">
            <x v="6"/>
          </reference>
          <reference field="4" count="2">
            <x v="112"/>
            <x v="169"/>
          </reference>
        </references>
      </pivotArea>
    </format>
    <format dxfId="5263">
      <pivotArea dataOnly="0" labelOnly="1" outline="0" fieldPosition="0">
        <references count="3">
          <reference field="0" count="0" selected="0"/>
          <reference field="2" count="1" selected="0">
            <x v="2"/>
          </reference>
          <reference field="4" count="1">
            <x v="171"/>
          </reference>
        </references>
      </pivotArea>
    </format>
    <format dxfId="5262">
      <pivotArea dataOnly="0" labelOnly="1" outline="0" fieldPosition="0">
        <references count="3">
          <reference field="0" count="0" selected="0"/>
          <reference field="2" count="1" selected="0">
            <x v="3"/>
          </reference>
          <reference field="4" count="7">
            <x v="33"/>
            <x v="54"/>
            <x v="65"/>
            <x v="122"/>
            <x v="127"/>
            <x v="172"/>
            <x v="173"/>
          </reference>
        </references>
      </pivotArea>
    </format>
    <format dxfId="5261">
      <pivotArea dataOnly="0" labelOnly="1" outline="0" fieldPosition="0">
        <references count="3">
          <reference field="0" count="0" selected="0"/>
          <reference field="2" count="1" selected="0">
            <x v="4"/>
          </reference>
          <reference field="4" count="4">
            <x v="4"/>
            <x v="174"/>
            <x v="175"/>
            <x v="177"/>
          </reference>
        </references>
      </pivotArea>
    </format>
    <format dxfId="5260">
      <pivotArea dataOnly="0" labelOnly="1" outline="0" fieldPosition="0">
        <references count="3">
          <reference field="0" count="0" selected="0"/>
          <reference field="2" count="1" selected="0">
            <x v="5"/>
          </reference>
          <reference field="4" count="2">
            <x v="99"/>
            <x v="176"/>
          </reference>
        </references>
      </pivotArea>
    </format>
    <format dxfId="5259">
      <pivotArea dataOnly="0" labelOnly="1" outline="0" fieldPosition="0">
        <references count="3">
          <reference field="0" count="0" selected="0"/>
          <reference field="2" count="1" selected="0">
            <x v="3"/>
          </reference>
          <reference field="4" count="1">
            <x v="170"/>
          </reference>
        </references>
      </pivotArea>
    </format>
    <format dxfId="5258">
      <pivotArea dataOnly="0" labelOnly="1" outline="0" fieldPosition="0">
        <references count="3">
          <reference field="0" count="0" selected="0"/>
          <reference field="2" count="1" selected="0">
            <x v="1"/>
          </reference>
          <reference field="4" count="1">
            <x v="10"/>
          </reference>
        </references>
      </pivotArea>
    </format>
    <format dxfId="5257">
      <pivotArea dataOnly="0" labelOnly="1" outline="0" fieldPosition="0">
        <references count="3">
          <reference field="0" count="0" selected="0"/>
          <reference field="2" count="1" selected="0">
            <x v="4"/>
          </reference>
          <reference field="4" count="1">
            <x v="146"/>
          </reference>
        </references>
      </pivotArea>
    </format>
    <format dxfId="5256">
      <pivotArea dataOnly="0" labelOnly="1" outline="0" fieldPosition="0">
        <references count="3">
          <reference field="0" count="0" selected="0"/>
          <reference field="2" count="1" selected="0">
            <x v="4"/>
          </reference>
          <reference field="4" count="1">
            <x v="142"/>
          </reference>
        </references>
      </pivotArea>
    </format>
    <format dxfId="5255">
      <pivotArea dataOnly="0" labelOnly="1" outline="0" fieldPosition="0">
        <references count="3">
          <reference field="0" count="0" selected="0"/>
          <reference field="2" count="1" selected="0">
            <x v="5"/>
          </reference>
          <reference field="4" count="1">
            <x v="41"/>
          </reference>
        </references>
      </pivotArea>
    </format>
    <format dxfId="5254">
      <pivotArea dataOnly="0" labelOnly="1" outline="0" fieldPosition="0">
        <references count="3">
          <reference field="0" count="0" selected="0"/>
          <reference field="2" count="1" selected="0">
            <x v="2"/>
          </reference>
          <reference field="4" count="1">
            <x v="178"/>
          </reference>
        </references>
      </pivotArea>
    </format>
    <format dxfId="5253">
      <pivotArea dataOnly="0" labelOnly="1" outline="0" fieldPosition="0">
        <references count="3">
          <reference field="0" count="0" selected="0"/>
          <reference field="2" count="1" selected="0">
            <x v="3"/>
          </reference>
          <reference field="4" count="1">
            <x v="179"/>
          </reference>
        </references>
      </pivotArea>
    </format>
    <format dxfId="5252">
      <pivotArea dataOnly="0" labelOnly="1" outline="0" fieldPosition="0">
        <references count="3">
          <reference field="0" count="0" selected="0"/>
          <reference field="2" count="1" selected="0">
            <x v="0"/>
          </reference>
          <reference field="4" count="1">
            <x v="182"/>
          </reference>
        </references>
      </pivotArea>
    </format>
    <format dxfId="5251">
      <pivotArea dataOnly="0" labelOnly="1" outline="0" fieldPosition="0">
        <references count="3">
          <reference field="0" count="0" selected="0"/>
          <reference field="2" count="1" selected="0">
            <x v="0"/>
          </reference>
          <reference field="4" count="1">
            <x v="181"/>
          </reference>
        </references>
      </pivotArea>
    </format>
    <format dxfId="5250">
      <pivotArea dataOnly="0" labelOnly="1" outline="0" fieldPosition="0">
        <references count="3">
          <reference field="0" count="0" selected="0"/>
          <reference field="2" count="1" selected="0">
            <x v="3"/>
          </reference>
          <reference field="4" count="1">
            <x v="185"/>
          </reference>
        </references>
      </pivotArea>
    </format>
    <format dxfId="5249">
      <pivotArea dataOnly="0" labelOnly="1" outline="0" fieldPosition="0">
        <references count="3">
          <reference field="0" count="0" selected="0"/>
          <reference field="2" count="1" selected="0">
            <x v="5"/>
          </reference>
          <reference field="4" count="1">
            <x v="186"/>
          </reference>
        </references>
      </pivotArea>
    </format>
    <format dxfId="5248">
      <pivotArea dataOnly="0" labelOnly="1" outline="0" fieldPosition="0">
        <references count="3">
          <reference field="0" count="0" selected="0"/>
          <reference field="2" count="1" selected="0">
            <x v="3"/>
          </reference>
          <reference field="4" count="1">
            <x v="180"/>
          </reference>
        </references>
      </pivotArea>
    </format>
    <format dxfId="5247">
      <pivotArea dataOnly="0" labelOnly="1" outline="0" fieldPosition="0">
        <references count="3">
          <reference field="0" count="0" selected="0"/>
          <reference field="2" count="1" selected="0">
            <x v="4"/>
          </reference>
          <reference field="4" count="1">
            <x v="187"/>
          </reference>
        </references>
      </pivotArea>
    </format>
    <format dxfId="5246">
      <pivotArea dataOnly="0" labelOnly="1" outline="0" fieldPosition="0">
        <references count="3">
          <reference field="0" count="0" selected="0"/>
          <reference field="2" count="1" selected="0">
            <x v="4"/>
          </reference>
          <reference field="4" count="1">
            <x v="188"/>
          </reference>
        </references>
      </pivotArea>
    </format>
    <format dxfId="5245">
      <pivotArea dataOnly="0" labelOnly="1" outline="0" fieldPosition="0">
        <references count="3">
          <reference field="0" count="0" selected="0"/>
          <reference field="2" count="1" selected="0">
            <x v="4"/>
          </reference>
          <reference field="4" count="1">
            <x v="189"/>
          </reference>
        </references>
      </pivotArea>
    </format>
    <format dxfId="5244">
      <pivotArea dataOnly="0" labelOnly="1" outline="0" fieldPosition="0">
        <references count="3">
          <reference field="0" count="0" selected="0"/>
          <reference field="2" count="1" selected="0">
            <x v="4"/>
          </reference>
          <reference field="4" count="1">
            <x v="167"/>
          </reference>
        </references>
      </pivotArea>
    </format>
    <format dxfId="5243">
      <pivotArea dataOnly="0" labelOnly="1" outline="0" fieldPosition="0">
        <references count="3">
          <reference field="0" count="0" selected="0"/>
          <reference field="2" count="1" selected="0">
            <x v="0"/>
          </reference>
          <reference field="4" count="1">
            <x v="190"/>
          </reference>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8DDACD8-0973-485D-AD98-59D51CAE48DF}" name="H.A. Split" cacheId="0" applyNumberFormats="0" applyBorderFormats="0" applyFontFormats="0" applyPatternFormats="0" applyAlignmentFormats="0" applyWidthHeightFormats="1" dataCaption="Valores" updatedVersion="8" minRefreshableVersion="3" rowGrandTotals="0" colGrandTotals="0" itemPrintTitles="1" createdVersion="4" indent="0" outline="1" outlineData="1" multipleFieldFilters="0" colHeaderCaption="H.A. Split">
  <location ref="A12:A13" firstHeaderRow="1" firstDataRow="2" firstDataCol="0"/>
  <pivotFields count="8">
    <pivotField axis="axisCol" showAll="0">
      <items count="9">
        <item x="0"/>
        <item h="1" x="1"/>
        <item h="1" x="2"/>
        <item h="1" x="3"/>
        <item h="1" m="1" x="5"/>
        <item h="1" m="1" x="6"/>
        <item h="1" m="1" x="7"/>
        <item h="1" m="1" x="4"/>
        <item t="default"/>
      </items>
    </pivotField>
    <pivotField showAll="0">
      <items count="8">
        <item x="0"/>
        <item h="1" x="2"/>
        <item h="1" x="3"/>
        <item h="1" x="1"/>
        <item h="1" m="1" x="4"/>
        <item h="1" m="1" x="5"/>
        <item h="1" m="1" x="6"/>
        <item t="default"/>
      </items>
    </pivotField>
    <pivotField showAll="0"/>
    <pivotField showAll="0"/>
    <pivotField showAll="0">
      <items count="192">
        <item m="1" x="189"/>
        <item m="1" x="51"/>
        <item m="1" x="41"/>
        <item m="1" x="107"/>
        <item m="1" x="86"/>
        <item m="1" x="70"/>
        <item m="1" x="43"/>
        <item m="1" x="158"/>
        <item m="1" x="52"/>
        <item m="1" x="151"/>
        <item m="1" x="64"/>
        <item m="1" x="163"/>
        <item m="1" x="69"/>
        <item m="1" x="121"/>
        <item m="1" x="123"/>
        <item m="1" x="147"/>
        <item m="1" x="165"/>
        <item m="1" x="184"/>
        <item m="1" x="49"/>
        <item m="1" x="182"/>
        <item m="1" x="55"/>
        <item m="1" x="190"/>
        <item m="1" x="171"/>
        <item m="1" x="65"/>
        <item m="1" x="186"/>
        <item m="1" x="58"/>
        <item m="1" x="87"/>
        <item m="1" x="154"/>
        <item m="1" x="152"/>
        <item m="1" x="88"/>
        <item m="1" x="172"/>
        <item m="1" x="98"/>
        <item m="1" x="155"/>
        <item m="1" x="161"/>
        <item m="1" x="138"/>
        <item m="1" x="45"/>
        <item m="1" x="54"/>
        <item m="1" x="173"/>
        <item m="1" x="185"/>
        <item m="1" x="61"/>
        <item m="1" x="167"/>
        <item m="1" x="46"/>
        <item m="1" x="47"/>
        <item m="1" x="143"/>
        <item m="1" x="100"/>
        <item m="1" x="160"/>
        <item m="1" x="122"/>
        <item m="1" x="175"/>
        <item x="0"/>
        <item m="1" x="145"/>
        <item m="1" x="135"/>
        <item x="1"/>
        <item m="1" x="159"/>
        <item x="2"/>
        <item m="1" x="90"/>
        <item m="1" x="128"/>
        <item m="1" x="170"/>
        <item m="1" x="131"/>
        <item m="1" x="85"/>
        <item m="1" x="169"/>
        <item x="13"/>
        <item x="14"/>
        <item m="1" x="134"/>
        <item m="1" x="99"/>
        <item x="29"/>
        <item x="20"/>
        <item m="1" x="180"/>
        <item x="33"/>
        <item m="1" x="93"/>
        <item m="1" x="109"/>
        <item m="1" x="124"/>
        <item m="1" x="139"/>
        <item m="1" x="130"/>
        <item m="1" x="153"/>
        <item m="1" x="141"/>
        <item m="1" x="111"/>
        <item m="1" x="144"/>
        <item m="1" x="178"/>
        <item x="35"/>
        <item x="6"/>
        <item m="1" x="168"/>
        <item x="23"/>
        <item x="25"/>
        <item m="1" x="80"/>
        <item x="26"/>
        <item m="1" x="92"/>
        <item x="7"/>
        <item x="8"/>
        <item m="1" x="89"/>
        <item m="1" x="105"/>
        <item m="1" x="157"/>
        <item m="1" x="181"/>
        <item m="1" x="127"/>
        <item x="31"/>
        <item x="32"/>
        <item x="10"/>
        <item m="1" x="176"/>
        <item x="27"/>
        <item m="1" x="166"/>
        <item m="1" x="177"/>
        <item m="1" x="50"/>
        <item m="1" x="95"/>
        <item m="1" x="164"/>
        <item m="1" x="62"/>
        <item x="12"/>
        <item m="1" x="183"/>
        <item m="1" x="132"/>
        <item m="1" x="150"/>
        <item m="1" x="126"/>
        <item m="1" x="148"/>
        <item m="1" x="187"/>
        <item m="1" x="137"/>
        <item m="1" x="102"/>
        <item m="1" x="136"/>
        <item m="1" x="162"/>
        <item m="1" x="149"/>
        <item x="15"/>
        <item x="18"/>
        <item m="1" x="156"/>
        <item x="9"/>
        <item m="1" x="140"/>
        <item m="1" x="179"/>
        <item m="1" x="59"/>
        <item m="1" x="174"/>
        <item m="1" x="117"/>
        <item m="1" x="188"/>
        <item m="1" x="113"/>
        <item m="1" x="146"/>
        <item m="1" x="57"/>
        <item m="1" x="40"/>
        <item m="1" x="112"/>
        <item m="1" x="44"/>
        <item m="1" x="103"/>
        <item m="1" x="133"/>
        <item m="1" x="125"/>
        <item m="1" x="97"/>
        <item m="1" x="142"/>
        <item m="1" x="119"/>
        <item m="1" x="129"/>
        <item m="1" x="118"/>
        <item m="1" x="39"/>
        <item x="5"/>
        <item x="30"/>
        <item x="34"/>
        <item x="4"/>
        <item m="1" x="120"/>
        <item m="1" x="53"/>
        <item m="1" x="68"/>
        <item m="1" x="66"/>
        <item x="24"/>
        <item m="1" x="71"/>
        <item x="3"/>
        <item x="11"/>
        <item x="28"/>
        <item x="19"/>
        <item m="1" x="63"/>
        <item m="1" x="74"/>
        <item m="1" x="75"/>
        <item m="1" x="77"/>
        <item m="1" x="78"/>
        <item m="1" x="79"/>
        <item m="1" x="81"/>
        <item m="1" x="82"/>
        <item m="1" x="83"/>
        <item m="1" x="84"/>
        <item m="1" x="91"/>
        <item m="1" x="94"/>
        <item x="21"/>
        <item m="1" x="96"/>
        <item m="1" x="101"/>
        <item m="1" x="104"/>
        <item m="1" x="106"/>
        <item m="1" x="108"/>
        <item m="1" x="110"/>
        <item m="1" x="114"/>
        <item m="1" x="56"/>
        <item m="1" x="116"/>
        <item m="1" x="115"/>
        <item m="1" x="76"/>
        <item x="16"/>
        <item x="17"/>
        <item x="36"/>
        <item x="37"/>
        <item m="1" x="72"/>
        <item m="1" x="73"/>
        <item m="1" x="42"/>
        <item m="1" x="48"/>
        <item m="1" x="60"/>
        <item m="1" x="67"/>
        <item x="22"/>
        <item x="38"/>
        <item t="default"/>
      </items>
    </pivotField>
    <pivotField showAll="0"/>
    <pivotField showAll="0"/>
    <pivotField showAll="0"/>
  </pivotFields>
  <rowItems count="1">
    <i/>
  </rowItems>
  <colFields count="1">
    <field x="0"/>
  </colFields>
  <colItems count="1">
    <i>
      <x/>
    </i>
  </colItems>
  <formats count="13">
    <format dxfId="5397">
      <pivotArea field="4" type="button" dataOnly="0" labelOnly="1" outline="0"/>
    </format>
    <format dxfId="5396">
      <pivotArea dataOnly="0" labelOnly="1" outline="0" axis="axisValues" fieldPosition="0"/>
    </format>
    <format dxfId="5395">
      <pivotArea outline="0" collapsedLevelsAreSubtotals="1" fieldPosition="0"/>
    </format>
    <format dxfId="5394">
      <pivotArea outline="0" collapsedLevelsAreSubtotals="1" fieldPosition="0"/>
    </format>
    <format dxfId="5393">
      <pivotArea field="1" type="button" dataOnly="0" labelOnly="1" outline="0"/>
    </format>
    <format dxfId="5392">
      <pivotArea field="0" type="button" dataOnly="0" labelOnly="1" outline="0" axis="axisCol" fieldPosition="0"/>
    </format>
    <format dxfId="5391">
      <pivotArea dataOnly="0" labelOnly="1" fieldPosition="0">
        <references count="1">
          <reference field="0" count="0"/>
        </references>
      </pivotArea>
    </format>
    <format dxfId="5390">
      <pivotArea dataOnly="0" outline="0" fieldPosition="0">
        <references count="1">
          <reference field="0" count="0"/>
        </references>
      </pivotArea>
    </format>
    <format dxfId="5389">
      <pivotArea dataOnly="0" outline="0" fieldPosition="0">
        <references count="1">
          <reference field="0" count="0"/>
        </references>
      </pivotArea>
    </format>
    <format dxfId="5388">
      <pivotArea dataOnly="0" labelOnly="1" fieldPosition="0">
        <references count="1">
          <reference field="0" count="0"/>
        </references>
      </pivotArea>
    </format>
    <format dxfId="5387">
      <pivotArea dataOnly="0" labelOnly="1" fieldPosition="0">
        <references count="1">
          <reference field="0" count="0"/>
        </references>
      </pivotArea>
    </format>
    <format dxfId="5386">
      <pivotArea dataOnly="0" labelOnly="1" fieldPosition="0">
        <references count="1">
          <reference field="0" count="0"/>
        </references>
      </pivotArea>
    </format>
    <format dxfId="5385">
      <pivotArea dataOnly="0" labelOnly="1"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5044085-6814-4D06-BAE4-95E1F3C4BC1D}" name="H.A. Station" cacheId="0" applyNumberFormats="0" applyBorderFormats="0" applyFontFormats="0" applyPatternFormats="0" applyAlignmentFormats="0" applyWidthHeightFormats="1" dataCaption="Valores" updatedVersion="8" minRefreshableVersion="3" rowGrandTotals="0" colGrandTotals="0" itemPrintTitles="1" createdVersion="4" indent="0" outline="1" outlineData="1" multipleFieldFilters="0" rowHeaderCaption="H.A. Station" colHeaderCaption="H.A. Station">
  <location ref="B12:B13" firstHeaderRow="1" firstDataRow="1" firstDataCol="1"/>
  <pivotFields count="8">
    <pivotField showAll="0">
      <items count="9">
        <item x="0"/>
        <item h="1" x="1"/>
        <item h="1" x="2"/>
        <item h="1" x="3"/>
        <item h="1" m="1" x="5"/>
        <item h="1" m="1" x="6"/>
        <item h="1" m="1" x="7"/>
        <item h="1" m="1" x="4"/>
        <item t="default"/>
      </items>
    </pivotField>
    <pivotField axis="axisRow" showAll="0">
      <items count="8">
        <item x="0"/>
        <item h="1" x="2"/>
        <item h="1" x="3"/>
        <item h="1" x="1"/>
        <item h="1" m="1" x="4"/>
        <item h="1" m="1" x="5"/>
        <item h="1" m="1" x="6"/>
        <item t="default"/>
      </items>
    </pivotField>
    <pivotField showAll="0"/>
    <pivotField showAll="0"/>
    <pivotField showAll="0">
      <items count="192">
        <item m="1" x="189"/>
        <item m="1" x="51"/>
        <item m="1" x="41"/>
        <item m="1" x="107"/>
        <item m="1" x="86"/>
        <item m="1" x="70"/>
        <item m="1" x="43"/>
        <item m="1" x="158"/>
        <item m="1" x="52"/>
        <item m="1" x="151"/>
        <item m="1" x="64"/>
        <item m="1" x="163"/>
        <item m="1" x="69"/>
        <item m="1" x="121"/>
        <item m="1" x="123"/>
        <item m="1" x="147"/>
        <item m="1" x="165"/>
        <item m="1" x="184"/>
        <item m="1" x="49"/>
        <item m="1" x="182"/>
        <item m="1" x="55"/>
        <item m="1" x="190"/>
        <item m="1" x="171"/>
        <item m="1" x="65"/>
        <item m="1" x="186"/>
        <item m="1" x="58"/>
        <item m="1" x="87"/>
        <item m="1" x="154"/>
        <item m="1" x="152"/>
        <item m="1" x="88"/>
        <item m="1" x="172"/>
        <item m="1" x="98"/>
        <item m="1" x="155"/>
        <item m="1" x="161"/>
        <item m="1" x="138"/>
        <item m="1" x="45"/>
        <item m="1" x="54"/>
        <item m="1" x="173"/>
        <item m="1" x="185"/>
        <item m="1" x="61"/>
        <item m="1" x="167"/>
        <item m="1" x="46"/>
        <item m="1" x="47"/>
        <item m="1" x="143"/>
        <item m="1" x="100"/>
        <item m="1" x="160"/>
        <item m="1" x="122"/>
        <item m="1" x="175"/>
        <item x="0"/>
        <item m="1" x="145"/>
        <item m="1" x="135"/>
        <item x="1"/>
        <item m="1" x="159"/>
        <item x="2"/>
        <item m="1" x="90"/>
        <item m="1" x="128"/>
        <item m="1" x="170"/>
        <item m="1" x="131"/>
        <item m="1" x="85"/>
        <item m="1" x="169"/>
        <item x="13"/>
        <item x="14"/>
        <item m="1" x="134"/>
        <item m="1" x="99"/>
        <item x="29"/>
        <item x="20"/>
        <item m="1" x="180"/>
        <item x="33"/>
        <item m="1" x="93"/>
        <item m="1" x="109"/>
        <item m="1" x="124"/>
        <item m="1" x="139"/>
        <item m="1" x="130"/>
        <item m="1" x="153"/>
        <item m="1" x="141"/>
        <item m="1" x="111"/>
        <item m="1" x="144"/>
        <item m="1" x="178"/>
        <item x="35"/>
        <item x="6"/>
        <item m="1" x="168"/>
        <item x="23"/>
        <item x="25"/>
        <item m="1" x="80"/>
        <item x="26"/>
        <item m="1" x="92"/>
        <item x="7"/>
        <item x="8"/>
        <item m="1" x="89"/>
        <item m="1" x="105"/>
        <item m="1" x="157"/>
        <item m="1" x="181"/>
        <item m="1" x="127"/>
        <item x="31"/>
        <item x="32"/>
        <item x="10"/>
        <item m="1" x="176"/>
        <item x="27"/>
        <item m="1" x="166"/>
        <item m="1" x="177"/>
        <item m="1" x="50"/>
        <item m="1" x="95"/>
        <item m="1" x="164"/>
        <item m="1" x="62"/>
        <item x="12"/>
        <item m="1" x="183"/>
        <item m="1" x="132"/>
        <item m="1" x="150"/>
        <item m="1" x="126"/>
        <item m="1" x="148"/>
        <item m="1" x="187"/>
        <item m="1" x="137"/>
        <item m="1" x="102"/>
        <item m="1" x="136"/>
        <item m="1" x="162"/>
        <item m="1" x="149"/>
        <item x="15"/>
        <item x="18"/>
        <item m="1" x="156"/>
        <item x="9"/>
        <item m="1" x="140"/>
        <item m="1" x="179"/>
        <item m="1" x="59"/>
        <item m="1" x="174"/>
        <item m="1" x="117"/>
        <item m="1" x="188"/>
        <item m="1" x="113"/>
        <item m="1" x="146"/>
        <item m="1" x="57"/>
        <item m="1" x="40"/>
        <item m="1" x="112"/>
        <item m="1" x="44"/>
        <item m="1" x="103"/>
        <item m="1" x="133"/>
        <item m="1" x="125"/>
        <item m="1" x="97"/>
        <item m="1" x="142"/>
        <item m="1" x="119"/>
        <item m="1" x="129"/>
        <item m="1" x="118"/>
        <item m="1" x="39"/>
        <item x="5"/>
        <item x="30"/>
        <item x="34"/>
        <item x="4"/>
        <item m="1" x="120"/>
        <item m="1" x="53"/>
        <item m="1" x="68"/>
        <item m="1" x="66"/>
        <item x="24"/>
        <item m="1" x="71"/>
        <item x="3"/>
        <item x="11"/>
        <item x="28"/>
        <item x="19"/>
        <item m="1" x="63"/>
        <item m="1" x="74"/>
        <item m="1" x="75"/>
        <item m="1" x="77"/>
        <item m="1" x="78"/>
        <item m="1" x="79"/>
        <item m="1" x="81"/>
        <item m="1" x="82"/>
        <item m="1" x="83"/>
        <item m="1" x="84"/>
        <item m="1" x="91"/>
        <item m="1" x="94"/>
        <item x="21"/>
        <item m="1" x="96"/>
        <item m="1" x="101"/>
        <item m="1" x="104"/>
        <item m="1" x="106"/>
        <item m="1" x="108"/>
        <item m="1" x="110"/>
        <item m="1" x="114"/>
        <item m="1" x="56"/>
        <item m="1" x="116"/>
        <item m="1" x="115"/>
        <item m="1" x="76"/>
        <item x="16"/>
        <item x="17"/>
        <item x="36"/>
        <item x="37"/>
        <item m="1" x="72"/>
        <item m="1" x="73"/>
        <item m="1" x="42"/>
        <item m="1" x="48"/>
        <item m="1" x="60"/>
        <item m="1" x="67"/>
        <item x="22"/>
        <item x="38"/>
        <item t="default"/>
      </items>
    </pivotField>
    <pivotField showAll="0"/>
    <pivotField showAll="0"/>
    <pivotField showAll="0"/>
  </pivotFields>
  <rowFields count="1">
    <field x="1"/>
  </rowFields>
  <rowItems count="1">
    <i>
      <x/>
    </i>
  </rowItems>
  <colItems count="1">
    <i/>
  </colItems>
  <formats count="11">
    <format dxfId="5408">
      <pivotArea field="4" type="button" dataOnly="0" labelOnly="1" outline="0"/>
    </format>
    <format dxfId="5407">
      <pivotArea dataOnly="0" labelOnly="1" outline="0" axis="axisValues" fieldPosition="0"/>
    </format>
    <format dxfId="5406">
      <pivotArea outline="0" collapsedLevelsAreSubtotals="1" fieldPosition="0"/>
    </format>
    <format dxfId="5405">
      <pivotArea outline="0" collapsedLevelsAreSubtotals="1" fieldPosition="0"/>
    </format>
    <format dxfId="5404">
      <pivotArea field="1" type="button" dataOnly="0" labelOnly="1" outline="0" axis="axisRow" fieldPosition="0"/>
    </format>
    <format dxfId="5403">
      <pivotArea field="0" type="button" dataOnly="0" labelOnly="1" outline="0"/>
    </format>
    <format dxfId="5402">
      <pivotArea dataOnly="0" labelOnly="1" fieldPosition="0">
        <references count="1">
          <reference field="1" count="0"/>
        </references>
      </pivotArea>
    </format>
    <format dxfId="5401">
      <pivotArea dataOnly="0" labelOnly="1" fieldPosition="0">
        <references count="1">
          <reference field="1" count="0"/>
        </references>
      </pivotArea>
    </format>
    <format dxfId="5400">
      <pivotArea dataOnly="0" labelOnly="1" fieldPosition="0">
        <references count="1">
          <reference field="1" count="0"/>
        </references>
      </pivotArea>
    </format>
    <format dxfId="5399">
      <pivotArea dataOnly="0" labelOnly="1" fieldPosition="0">
        <references count="1">
          <reference field="1" count="0"/>
        </references>
      </pivotArea>
    </format>
    <format dxfId="5398">
      <pivotArea dataOnly="0" labelOnly="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07FB323-F2D7-43B0-9E49-06EA17FCC2C4}" name="Operation Split" cacheId="18" applyNumberFormats="0" applyBorderFormats="0" applyFontFormats="0" applyPatternFormats="0" applyAlignmentFormats="0" applyWidthHeightFormats="1" dataCaption="Valores" updatedVersion="8" minRefreshableVersion="3" rowGrandTotals="0" colGrandTotals="0" itemPrintTitles="1" createdVersion="4" indent="0" outline="1" outlineData="1" multipleFieldFilters="0" colHeaderCaption="Operators Split">
  <location ref="C12:C13" firstHeaderRow="1" firstDataRow="2" firstDataCol="0"/>
  <pivotFields count="17">
    <pivotField showAll="0"/>
    <pivotField axis="axisCol" showAll="0">
      <items count="42">
        <item h="1" x="8"/>
        <item h="1" x="13"/>
        <item h="1" x="14"/>
        <item h="1" x="15"/>
        <item h="1" x="9"/>
        <item h="1" x="10"/>
        <item h="1" x="11"/>
        <item h="1" x="12"/>
        <item h="1" x="7"/>
        <item h="1" x="6"/>
        <item x="0"/>
        <item h="1" x="1"/>
        <item h="1" x="2"/>
        <item h="1" x="3"/>
        <item h="1" x="4"/>
        <item h="1" x="5"/>
        <item h="1" x="16"/>
        <item h="1" x="17"/>
        <item h="1" x="18"/>
        <item h="1" x="19"/>
        <item h="1" x="20"/>
        <item h="1" x="21"/>
        <item h="1" x="22"/>
        <item h="1" x="23"/>
        <item h="1" x="24"/>
        <item h="1" x="25"/>
        <item h="1" x="26"/>
        <item h="1" m="1" x="31"/>
        <item h="1" m="1" x="32"/>
        <item h="1" m="1" x="33"/>
        <item h="1" m="1" x="34"/>
        <item h="1" m="1" x="35"/>
        <item h="1" m="1" x="36"/>
        <item h="1" m="1" x="37"/>
        <item h="1" m="1" x="38"/>
        <item h="1" m="1" x="39"/>
        <item h="1" m="1" x="40"/>
        <item h="1" m="1" x="28"/>
        <item h="1" m="1" x="29"/>
        <item h="1" m="1" x="30"/>
        <item h="1" x="27"/>
        <item t="default"/>
      </items>
    </pivotField>
    <pivotField showAll="0">
      <items count="43">
        <item h="1" x="0"/>
        <item h="1" x="1"/>
        <item h="1" x="2"/>
        <item h="1" x="3"/>
        <item h="1" x="4"/>
        <item h="1" x="5"/>
        <item h="1" x="6"/>
        <item h="1" x="7"/>
        <item h="1" x="8"/>
        <item h="1" x="9"/>
        <item h="1" x="10"/>
        <item h="1" x="11"/>
        <item h="1" x="12"/>
        <item h="1" x="13"/>
        <item h="1" x="14"/>
        <item h="1" x="15"/>
        <item h="1" x="16"/>
        <item x="17"/>
        <item h="1" x="18"/>
        <item h="1" x="19"/>
        <item h="1" x="20"/>
        <item h="1" x="21"/>
        <item h="1" x="22"/>
        <item h="1" x="23"/>
        <item h="1" x="24"/>
        <item h="1" x="25"/>
        <item h="1" x="26"/>
        <item h="1" x="27"/>
        <item h="1" x="28"/>
        <item h="1" x="29"/>
        <item h="1" m="1" x="31"/>
        <item h="1" m="1" x="41"/>
        <item h="1" m="1" x="32"/>
        <item h="1" m="1" x="33"/>
        <item h="1" m="1" x="34"/>
        <item h="1" m="1" x="35"/>
        <item h="1" m="1" x="36"/>
        <item h="1" m="1" x="37"/>
        <item h="1" m="1" x="38"/>
        <item h="1" m="1" x="39"/>
        <item h="1" m="1" x="40"/>
        <item h="1" x="30"/>
        <item t="default"/>
      </items>
    </pivotField>
    <pivotField showAll="0"/>
    <pivotField showAll="0"/>
    <pivotField showAll="0">
      <items count="389">
        <item m="1" x="308"/>
        <item m="1" x="201"/>
        <item m="1" x="365"/>
        <item m="1" x="236"/>
        <item m="1" x="283"/>
        <item m="1" x="382"/>
        <item m="1" x="230"/>
        <item m="1" x="368"/>
        <item m="1" x="186"/>
        <item m="1" x="190"/>
        <item m="1" x="231"/>
        <item m="1" x="366"/>
        <item m="1" x="263"/>
        <item m="1" x="169"/>
        <item m="1" x="219"/>
        <item m="1" x="276"/>
        <item m="1" x="277"/>
        <item m="1" x="170"/>
        <item m="1" x="187"/>
        <item m="1" x="171"/>
        <item m="1" x="212"/>
        <item m="1" x="213"/>
        <item m="1" x="189"/>
        <item m="1" x="375"/>
        <item m="1" x="311"/>
        <item m="1" x="172"/>
        <item m="1" x="173"/>
        <item m="1" x="225"/>
        <item m="1" x="226"/>
        <item m="1" x="197"/>
        <item m="1" x="174"/>
        <item m="1" x="203"/>
        <item m="1" x="333"/>
        <item m="1" x="175"/>
        <item m="1" x="176"/>
        <item m="1" x="223"/>
        <item m="1" x="191"/>
        <item m="1" x="177"/>
        <item m="1" x="242"/>
        <item m="1" x="274"/>
        <item m="1" x="275"/>
        <item m="1" x="193"/>
        <item m="1" x="194"/>
        <item m="1" x="287"/>
        <item m="1" x="192"/>
        <item m="1" x="376"/>
        <item m="1" x="254"/>
        <item m="1" x="386"/>
        <item m="1" x="178"/>
        <item m="1" x="183"/>
        <item m="1" x="179"/>
        <item m="1" x="214"/>
        <item m="1" x="181"/>
        <item m="1" x="185"/>
        <item m="1" x="227"/>
        <item m="1" x="218"/>
        <item m="1" x="224"/>
        <item m="1" x="232"/>
        <item m="1" x="184"/>
        <item m="1" x="204"/>
        <item m="1" x="255"/>
        <item m="1" x="305"/>
        <item m="1" x="340"/>
        <item m="1" x="182"/>
        <item m="1" x="228"/>
        <item m="1" x="295"/>
        <item m="1" x="210"/>
        <item m="1" x="372"/>
        <item m="1" x="256"/>
        <item m="1" x="244"/>
        <item m="1" x="258"/>
        <item m="1" x="245"/>
        <item m="1" x="246"/>
        <item m="1" x="247"/>
        <item m="1" x="206"/>
        <item m="1" x="304"/>
        <item m="1" x="208"/>
        <item m="1" x="195"/>
        <item m="1" x="279"/>
        <item m="1" x="199"/>
        <item m="1" x="363"/>
        <item m="1" x="358"/>
        <item m="1" x="257"/>
        <item m="1" x="216"/>
        <item m="1" x="220"/>
        <item m="1" x="250"/>
        <item m="1" x="249"/>
        <item m="1" x="221"/>
        <item m="1" x="260"/>
        <item m="1" x="259"/>
        <item m="1" x="293"/>
        <item m="1" x="385"/>
        <item m="1" x="367"/>
        <item m="1" x="317"/>
        <item m="1" x="251"/>
        <item m="1" x="310"/>
        <item m="1" x="301"/>
        <item m="1" x="315"/>
        <item m="1" x="252"/>
        <item m="1" x="143"/>
        <item m="1" x="142"/>
        <item x="55"/>
        <item m="1" x="141"/>
        <item m="1" x="167"/>
        <item m="1" x="138"/>
        <item m="1" x="139"/>
        <item m="1" x="140"/>
        <item x="88"/>
        <item m="1" x="136"/>
        <item m="1" x="134"/>
        <item m="1" x="369"/>
        <item m="1" x="309"/>
        <item m="1" x="267"/>
        <item m="1" x="268"/>
        <item m="1" x="265"/>
        <item m="1" x="266"/>
        <item x="30"/>
        <item m="1" x="132"/>
        <item m="1" x="145"/>
        <item m="1" x="162"/>
        <item m="1" x="360"/>
        <item m="1" x="166"/>
        <item m="1" x="129"/>
        <item m="1" x="130"/>
        <item m="1" x="122"/>
        <item m="1" x="125"/>
        <item m="1" x="126"/>
        <item m="1" x="123"/>
        <item m="1" x="119"/>
        <item m="1" x="117"/>
        <item m="1" x="118"/>
        <item m="1" x="120"/>
        <item m="1" x="124"/>
        <item x="94"/>
        <item m="1" x="163"/>
        <item m="1" x="164"/>
        <item x="96"/>
        <item x="64"/>
        <item m="1" x="121"/>
        <item x="7"/>
        <item x="8"/>
        <item x="35"/>
        <item m="1" x="146"/>
        <item x="65"/>
        <item x="97"/>
        <item m="1" x="149"/>
        <item x="98"/>
        <item x="67"/>
        <item m="1" x="148"/>
        <item x="9"/>
        <item m="1" x="341"/>
        <item x="10"/>
        <item x="36"/>
        <item m="1" x="319"/>
        <item m="1" x="288"/>
        <item m="1" x="383"/>
        <item m="1" x="373"/>
        <item m="1" x="286"/>
        <item m="1" x="320"/>
        <item x="69"/>
        <item x="71"/>
        <item m="1" x="318"/>
        <item x="101"/>
        <item m="1" x="384"/>
        <item m="1" x="377"/>
        <item m="1" x="359"/>
        <item x="103"/>
        <item x="73"/>
        <item x="40"/>
        <item m="1" x="165"/>
        <item m="1" x="345"/>
        <item m="1" x="284"/>
        <item x="14"/>
        <item m="1" x="350"/>
        <item x="104"/>
        <item m="1" x="331"/>
        <item x="106"/>
        <item m="1" x="321"/>
        <item x="42"/>
        <item m="1" x="314"/>
        <item m="1" x="380"/>
        <item m="1" x="352"/>
        <item x="43"/>
        <item x="77"/>
        <item x="18"/>
        <item x="45"/>
        <item x="79"/>
        <item x="108"/>
        <item x="109"/>
        <item m="1" x="338"/>
        <item m="1" x="334"/>
        <item m="1" x="335"/>
        <item x="21"/>
        <item x="47"/>
        <item m="1" x="307"/>
        <item x="110"/>
        <item x="111"/>
        <item m="1" x="159"/>
        <item x="48"/>
        <item m="1" x="155"/>
        <item x="22"/>
        <item x="49"/>
        <item x="112"/>
        <item m="1" x="156"/>
        <item m="1" x="158"/>
        <item x="50"/>
        <item x="23"/>
        <item m="1" x="161"/>
        <item m="1" x="285"/>
        <item m="1" x="147"/>
        <item x="113"/>
        <item m="1" x="278"/>
        <item x="24"/>
        <item x="25"/>
        <item m="1" x="302"/>
        <item x="51"/>
        <item m="1" x="343"/>
        <item m="1" x="322"/>
        <item x="52"/>
        <item m="1" x="273"/>
        <item m="1" x="282"/>
        <item m="1" x="152"/>
        <item m="1" x="270"/>
        <item m="1" x="271"/>
        <item m="1" x="269"/>
        <item x="84"/>
        <item m="1" x="349"/>
        <item m="1" x="264"/>
        <item m="1" x="313"/>
        <item m="1" x="291"/>
        <item m="1" x="332"/>
        <item m="1" x="240"/>
        <item x="39"/>
        <item m="1" x="337"/>
        <item m="1" x="241"/>
        <item x="80"/>
        <item m="1" x="300"/>
        <item m="1" x="297"/>
        <item x="17"/>
        <item m="1" x="325"/>
        <item x="75"/>
        <item x="19"/>
        <item m="1" x="354"/>
        <item x="76"/>
        <item m="1" x="202"/>
        <item x="16"/>
        <item m="1" x="357"/>
        <item x="107"/>
        <item m="1" x="196"/>
        <item m="1" x="353"/>
        <item x="116"/>
        <item m="1" x="347"/>
        <item x="20"/>
        <item m="1" x="135"/>
        <item m="1" x="328"/>
        <item m="1" x="303"/>
        <item m="1" x="329"/>
        <item m="1" x="361"/>
        <item m="1" x="316"/>
        <item m="1" x="144"/>
        <item m="1" x="355"/>
        <item m="1" x="281"/>
        <item m="1" x="330"/>
        <item m="1" x="292"/>
        <item m="1" x="370"/>
        <item m="1" x="280"/>
        <item m="1" x="272"/>
        <item m="1" x="371"/>
        <item m="1" x="346"/>
        <item m="1" x="339"/>
        <item m="1" x="253"/>
        <item x="46"/>
        <item x="102"/>
        <item m="1" x="217"/>
        <item m="1" x="238"/>
        <item m="1" x="207"/>
        <item m="1" x="248"/>
        <item m="1" x="327"/>
        <item m="1" x="356"/>
        <item m="1" x="387"/>
        <item m="1" x="364"/>
        <item x="41"/>
        <item x="105"/>
        <item m="1" x="137"/>
        <item x="72"/>
        <item m="1" x="324"/>
        <item x="81"/>
        <item m="1" x="326"/>
        <item m="1" x="374"/>
        <item m="1" x="290"/>
        <item m="1" x="233"/>
        <item m="1" x="351"/>
        <item m="1" x="234"/>
        <item m="1" x="294"/>
        <item m="1" x="261"/>
        <item m="1" x="378"/>
        <item m="1" x="237"/>
        <item m="1" x="312"/>
        <item m="1" x="296"/>
        <item m="1" x="235"/>
        <item m="1" x="299"/>
        <item m="1" x="127"/>
        <item m="1" x="362"/>
        <item m="1" x="323"/>
        <item x="82"/>
        <item m="1" x="289"/>
        <item m="1" x="379"/>
        <item m="1" x="298"/>
        <item m="1" x="198"/>
        <item m="1" x="200"/>
        <item m="1" x="348"/>
        <item m="1" x="344"/>
        <item m="1" x="188"/>
        <item x="13"/>
        <item m="1" x="229"/>
        <item m="1" x="243"/>
        <item m="1" x="205"/>
        <item m="1" x="222"/>
        <item m="1" x="381"/>
        <item x="83"/>
        <item x="74"/>
        <item m="1" x="342"/>
        <item m="1" x="306"/>
        <item x="114"/>
        <item m="1" x="336"/>
        <item x="78"/>
        <item x="11"/>
        <item x="100"/>
        <item m="1" x="262"/>
        <item x="68"/>
        <item x="37"/>
        <item x="99"/>
        <item x="12"/>
        <item m="1" x="215"/>
        <item m="1" x="180"/>
        <item m="1" x="168"/>
        <item x="44"/>
        <item m="1" x="160"/>
        <item m="1" x="211"/>
        <item m="1" x="209"/>
        <item x="26"/>
        <item x="54"/>
        <item m="1" x="133"/>
        <item m="1" x="131"/>
        <item x="85"/>
        <item m="1" x="239"/>
        <item x="38"/>
        <item m="1" x="128"/>
        <item m="1" x="153"/>
        <item m="1" x="157"/>
        <item m="1" x="150"/>
        <item x="95"/>
        <item x="63"/>
        <item x="91"/>
        <item x="15"/>
        <item m="1" x="154"/>
        <item x="70"/>
        <item m="1" x="151"/>
        <item x="53"/>
        <item x="66"/>
        <item x="115"/>
        <item x="86"/>
        <item x="87"/>
        <item x="27"/>
        <item x="0"/>
        <item x="28"/>
        <item x="56"/>
        <item x="57"/>
        <item x="58"/>
        <item x="89"/>
        <item x="90"/>
        <item x="1"/>
        <item x="2"/>
        <item x="29"/>
        <item x="3"/>
        <item x="4"/>
        <item x="31"/>
        <item x="32"/>
        <item x="6"/>
        <item x="61"/>
        <item x="33"/>
        <item x="34"/>
        <item x="59"/>
        <item x="60"/>
        <item x="62"/>
        <item x="92"/>
        <item x="93"/>
        <item x="5"/>
        <item t="default"/>
      </items>
    </pivotField>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1"/>
  </colFields>
  <colItems count="1">
    <i>
      <x v="10"/>
    </i>
  </colItems>
  <formats count="13">
    <format dxfId="5421">
      <pivotArea field="5" type="button" dataOnly="0" labelOnly="1" outline="0"/>
    </format>
    <format dxfId="5420">
      <pivotArea dataOnly="0" labelOnly="1" outline="0" axis="axisValues" fieldPosition="0"/>
    </format>
    <format dxfId="5419">
      <pivotArea outline="0" collapsedLevelsAreSubtotals="1" fieldPosition="0"/>
    </format>
    <format dxfId="5418">
      <pivotArea outline="0" collapsedLevelsAreSubtotals="1" fieldPosition="0"/>
    </format>
    <format dxfId="5417">
      <pivotArea field="2" type="button" dataOnly="0" labelOnly="1" outline="0"/>
    </format>
    <format dxfId="5416">
      <pivotArea field="1" type="button" dataOnly="0" labelOnly="1" outline="0" axis="axisCol" fieldPosition="0"/>
    </format>
    <format dxfId="5415">
      <pivotArea dataOnly="0" labelOnly="1" fieldPosition="0">
        <references count="1">
          <reference field="1" count="0"/>
        </references>
      </pivotArea>
    </format>
    <format dxfId="5414">
      <pivotArea dataOnly="0" outline="0" fieldPosition="0">
        <references count="1">
          <reference field="1" count="0"/>
        </references>
      </pivotArea>
    </format>
    <format dxfId="5413">
      <pivotArea dataOnly="0" outline="0" fieldPosition="0">
        <references count="1">
          <reference field="1" count="0"/>
        </references>
      </pivotArea>
    </format>
    <format dxfId="5412">
      <pivotArea dataOnly="0" labelOnly="1" fieldPosition="0">
        <references count="1">
          <reference field="1" count="0"/>
        </references>
      </pivotArea>
    </format>
    <format dxfId="5411">
      <pivotArea dataOnly="0" labelOnly="1" fieldPosition="0">
        <references count="1">
          <reference field="1" count="0"/>
        </references>
      </pivotArea>
    </format>
    <format dxfId="5410">
      <pivotArea dataOnly="0" labelOnly="1" fieldPosition="0">
        <references count="1">
          <reference field="1" count="0"/>
        </references>
      </pivotArea>
    </format>
    <format dxfId="5409">
      <pivotArea dataOnly="0" labelOnly="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C76648E-602D-4A7C-BCAE-7E9EBF98360D}" name="alphabetical" cacheId="18" applyNumberFormats="0" applyBorderFormats="0" applyFontFormats="0" applyPatternFormats="0" applyAlignmentFormats="0" applyWidthHeightFormats="1" dataCaption="Valores" updatedVersion="8" minRefreshableVersion="3" showDrill="0" rowGrandTotals="0" colGrandTotals="0" itemPrintTitles="1" createdVersion="4" indent="0" compact="0" compactData="0" multipleFieldFilters="0" rowHeaderCaption="New Sites">
  <location ref="V2:V12" firstHeaderRow="1" firstDataRow="1" firstDataCol="1"/>
  <pivotFields count="17">
    <pivotField compact="0" outline="0" subtotalTop="0" showAll="0" defaultSubtotal="0"/>
    <pivotField compact="0" outline="0" showAll="0" defaultSubtotal="0">
      <items count="41">
        <item h="1" m="1" x="28"/>
        <item h="1" m="1" x="29"/>
        <item h="1" m="1" x="30"/>
        <item h="1" x="0"/>
        <item h="1" x="1"/>
        <item h="1" x="2"/>
        <item h="1" x="3"/>
        <item h="1" x="4"/>
        <item h="1" x="5"/>
        <item h="1" x="6"/>
        <item h="1" x="7"/>
        <item h="1" x="8"/>
        <item h="1" x="9"/>
        <item x="10"/>
        <item h="1" x="11"/>
        <item h="1" x="12"/>
        <item h="1" x="13"/>
        <item h="1" x="14"/>
        <item h="1" x="15"/>
        <item h="1" x="16"/>
        <item h="1" x="17"/>
        <item h="1" x="18"/>
        <item h="1" x="19"/>
        <item h="1" x="20"/>
        <item h="1" x="21"/>
        <item h="1" x="22"/>
        <item h="1" x="23"/>
        <item h="1" x="24"/>
        <item h="1" x="25"/>
        <item h="1" x="26"/>
        <item h="1" m="1" x="31"/>
        <item h="1" m="1" x="32"/>
        <item h="1" m="1" x="33"/>
        <item h="1" m="1" x="34"/>
        <item h="1" m="1" x="35"/>
        <item h="1" m="1" x="36"/>
        <item h="1" m="1" x="37"/>
        <item h="1" m="1" x="38"/>
        <item h="1" m="1" x="39"/>
        <item h="1" m="1" x="40"/>
        <item h="1" x="27"/>
      </items>
    </pivotField>
    <pivotField compact="0" outline="0" showAll="0" defaultSubtotal="0">
      <items count="42">
        <item h="1" m="1" x="41"/>
        <item h="1" x="0"/>
        <item h="1" x="1"/>
        <item h="1" x="2"/>
        <item h="1" x="3"/>
        <item h="1" x="4"/>
        <item h="1" x="5"/>
        <item h="1" x="6"/>
        <item x="7"/>
        <item h="1" x="8"/>
        <item h="1" x="9"/>
        <item h="1" x="10"/>
        <item h="1" x="11"/>
        <item h="1" x="12"/>
        <item h="1" x="13"/>
        <item h="1" x="14"/>
        <item h="1" x="15"/>
        <item h="1" x="16"/>
        <item h="1" x="17"/>
        <item h="1" x="18"/>
        <item h="1" x="19"/>
        <item h="1" x="20"/>
        <item h="1" x="21"/>
        <item h="1" x="22"/>
        <item h="1" x="23"/>
        <item h="1" x="24"/>
        <item h="1" x="25"/>
        <item h="1" x="26"/>
        <item h="1" x="27"/>
        <item h="1" x="28"/>
        <item h="1" x="29"/>
        <item h="1" m="1" x="31"/>
        <item h="1" m="1" x="32"/>
        <item h="1" m="1" x="33"/>
        <item h="1" m="1" x="34"/>
        <item h="1" m="1" x="35"/>
        <item h="1" m="1" x="36"/>
        <item h="1" m="1" x="37"/>
        <item h="1" m="1" x="38"/>
        <item h="1" m="1" x="39"/>
        <item h="1" m="1" x="40"/>
        <item h="1" x="30"/>
      </items>
    </pivotField>
    <pivotField compact="0" outline="0" showAll="0" defaultSubtotal="0"/>
    <pivotField compact="0" outline="0" showAll="0" defaultSubtotal="0"/>
    <pivotField axis="axisRow" compact="0" outline="0" showAll="0" sortType="ascending" defaultSubtotal="0">
      <items count="388">
        <item m="1" x="308"/>
        <item m="1" x="201"/>
        <item m="1" x="365"/>
        <item m="1" x="202"/>
        <item m="1" x="236"/>
        <item m="1" x="283"/>
        <item m="1" x="241"/>
        <item m="1" x="382"/>
        <item m="1" x="230"/>
        <item m="1" x="303"/>
        <item m="1" x="237"/>
        <item m="1" x="368"/>
        <item m="1" x="292"/>
        <item m="1" x="186"/>
        <item m="1" x="190"/>
        <item m="1" x="231"/>
        <item m="1" x="168"/>
        <item m="1" x="366"/>
        <item m="1" x="263"/>
        <item m="1" x="169"/>
        <item m="1" x="219"/>
        <item m="1" x="276"/>
        <item m="1" x="211"/>
        <item m="1" x="277"/>
        <item m="1" x="170"/>
        <item m="1" x="187"/>
        <item m="1" x="171"/>
        <item m="1" x="212"/>
        <item m="1" x="213"/>
        <item m="1" x="189"/>
        <item m="1" x="188"/>
        <item m="1" x="375"/>
        <item m="1" x="294"/>
        <item m="1" x="311"/>
        <item m="1" x="172"/>
        <item m="1" x="173"/>
        <item m="1" x="225"/>
        <item m="1" x="332"/>
        <item m="1" x="226"/>
        <item m="1" x="197"/>
        <item m="1" x="174"/>
        <item m="1" x="203"/>
        <item m="1" x="329"/>
        <item m="1" x="253"/>
        <item m="1" x="333"/>
        <item m="1" x="175"/>
        <item m="1" x="176"/>
        <item m="1" x="223"/>
        <item m="1" x="200"/>
        <item m="1" x="191"/>
        <item m="1" x="177"/>
        <item m="1" x="242"/>
        <item m="1" x="274"/>
        <item m="1" x="209"/>
        <item m="1" x="275"/>
        <item m="1" x="193"/>
        <item m="1" x="194"/>
        <item m="1" x="243"/>
        <item m="1" x="287"/>
        <item m="1" x="280"/>
        <item m="1" x="192"/>
        <item m="1" x="376"/>
        <item m="1" x="254"/>
        <item m="1" x="240"/>
        <item m="1" x="386"/>
        <item m="1" x="178"/>
        <item m="1" x="183"/>
        <item m="1" x="179"/>
        <item m="1" x="180"/>
        <item m="1" x="214"/>
        <item m="1" x="181"/>
        <item m="1" x="185"/>
        <item m="1" x="227"/>
        <item m="1" x="218"/>
        <item m="1" x="224"/>
        <item m="1" x="232"/>
        <item m="1" x="184"/>
        <item m="1" x="378"/>
        <item m="1" x="204"/>
        <item m="1" x="255"/>
        <item m="1" x="196"/>
        <item m="1" x="305"/>
        <item m="1" x="205"/>
        <item m="1" x="340"/>
        <item m="1" x="182"/>
        <item m="1" x="239"/>
        <item m="1" x="228"/>
        <item m="1" x="339"/>
        <item m="1" x="337"/>
        <item m="1" x="229"/>
        <item m="1" x="295"/>
        <item m="1" x="210"/>
        <item m="1" x="238"/>
        <item m="1" x="372"/>
        <item m="1" x="256"/>
        <item m="1" x="361"/>
        <item m="1" x="244"/>
        <item m="1" x="258"/>
        <item m="1" x="245"/>
        <item m="1" x="246"/>
        <item m="1" x="247"/>
        <item m="1" x="215"/>
        <item m="1" x="206"/>
        <item m="1" x="323"/>
        <item m="1" x="207"/>
        <item m="1" x="304"/>
        <item m="1" x="208"/>
        <item m="1" x="195"/>
        <item m="1" x="198"/>
        <item m="1" x="279"/>
        <item m="1" x="199"/>
        <item m="1" x="363"/>
        <item m="1" x="248"/>
        <item m="1" x="358"/>
        <item m="1" x="257"/>
        <item m="1" x="300"/>
        <item m="1" x="216"/>
        <item m="1" x="220"/>
        <item m="1" x="250"/>
        <item m="1" x="249"/>
        <item m="1" x="221"/>
        <item m="1" x="260"/>
        <item m="1" x="259"/>
        <item m="1" x="217"/>
        <item m="1" x="293"/>
        <item m="1" x="233"/>
        <item m="1" x="385"/>
        <item m="1" x="222"/>
        <item m="1" x="367"/>
        <item m="1" x="317"/>
        <item m="1" x="251"/>
        <item m="1" x="234"/>
        <item m="1" x="310"/>
        <item m="1" x="261"/>
        <item m="1" x="301"/>
        <item m="1" x="235"/>
        <item m="1" x="315"/>
        <item m="1" x="252"/>
        <item m="1" x="143"/>
        <item x="86"/>
        <item m="1" x="142"/>
        <item m="1" x="356"/>
        <item x="87"/>
        <item x="55"/>
        <item m="1" x="141"/>
        <item x="27"/>
        <item m="1" x="167"/>
        <item m="1" x="138"/>
        <item x="0"/>
        <item m="1" x="139"/>
        <item x="28"/>
        <item m="1" x="387"/>
        <item m="1" x="140"/>
        <item x="56"/>
        <item x="88"/>
        <item m="1" x="136"/>
        <item x="89"/>
        <item m="1" x="134"/>
        <item x="57"/>
        <item m="1" x="354"/>
        <item m="1" x="137"/>
        <item m="1" x="369"/>
        <item x="90"/>
        <item m="1" x="135"/>
        <item m="1" x="309"/>
        <item x="58"/>
        <item m="1" x="267"/>
        <item m="1" x="133"/>
        <item x="29"/>
        <item m="1" x="268"/>
        <item m="1" x="265"/>
        <item m="1" x="131"/>
        <item x="1"/>
        <item m="1" x="266"/>
        <item m="1" x="374"/>
        <item x="30"/>
        <item m="1" x="132"/>
        <item x="2"/>
        <item m="1" x="145"/>
        <item m="1" x="162"/>
        <item x="91"/>
        <item m="1" x="360"/>
        <item m="1" x="127"/>
        <item x="3"/>
        <item m="1" x="128"/>
        <item x="4"/>
        <item m="1" x="166"/>
        <item m="1" x="129"/>
        <item x="31"/>
        <item m="1" x="130"/>
        <item x="32"/>
        <item m="1" x="122"/>
        <item x="59"/>
        <item m="1" x="125"/>
        <item x="92"/>
        <item m="1" x="126"/>
        <item x="93"/>
        <item m="1" x="123"/>
        <item x="60"/>
        <item m="1" x="119"/>
        <item x="61"/>
        <item m="1" x="117"/>
        <item x="5"/>
        <item m="1" x="118"/>
        <item x="6"/>
        <item m="1" x="120"/>
        <item x="33"/>
        <item m="1" x="124"/>
        <item x="62"/>
        <item x="94"/>
        <item m="1" x="163"/>
        <item x="95"/>
        <item m="1" x="164"/>
        <item x="63"/>
        <item m="1" x="330"/>
        <item x="96"/>
        <item x="64"/>
        <item m="1" x="121"/>
        <item x="34"/>
        <item x="7"/>
        <item x="8"/>
        <item m="1" x="154"/>
        <item x="35"/>
        <item m="1" x="313"/>
        <item m="1" x="146"/>
        <item x="65"/>
        <item x="97"/>
        <item m="1" x="149"/>
        <item m="1" x="291"/>
        <item x="66"/>
        <item x="98"/>
        <item x="67"/>
        <item m="1" x="298"/>
        <item m="1" x="371"/>
        <item m="1" x="148"/>
        <item x="9"/>
        <item m="1" x="341"/>
        <item x="10"/>
        <item x="36"/>
        <item x="99"/>
        <item x="100"/>
        <item x="68"/>
        <item m="1" x="319"/>
        <item m="1" x="288"/>
        <item m="1" x="289"/>
        <item m="1" x="364"/>
        <item m="1" x="383"/>
        <item m="1" x="373"/>
        <item m="1" x="290"/>
        <item m="1" x="286"/>
        <item m="1" x="320"/>
        <item m="1" x="346"/>
        <item m="1" x="325"/>
        <item x="37"/>
        <item x="11"/>
        <item x="12"/>
        <item m="1" x="262"/>
        <item x="38"/>
        <item x="69"/>
        <item x="70"/>
        <item x="71"/>
        <item m="1" x="318"/>
        <item m="1" x="150"/>
        <item x="101"/>
        <item x="102"/>
        <item m="1" x="384"/>
        <item x="72"/>
        <item m="1" x="377"/>
        <item m="1" x="351"/>
        <item x="39"/>
        <item m="1" x="359"/>
        <item x="103"/>
        <item x="73"/>
        <item x="40"/>
        <item m="1" x="165"/>
        <item m="1" x="157"/>
        <item x="13"/>
        <item m="1" x="345"/>
        <item x="41"/>
        <item m="1" x="284"/>
        <item x="14"/>
        <item x="15"/>
        <item x="74"/>
        <item m="1" x="350"/>
        <item m="1" x="370"/>
        <item x="104"/>
        <item x="105"/>
        <item m="1" x="331"/>
        <item x="106"/>
        <item m="1" x="321"/>
        <item x="75"/>
        <item x="42"/>
        <item x="16"/>
        <item m="1" x="314"/>
        <item m="1" x="380"/>
        <item m="1" x="353"/>
        <item m="1" x="352"/>
        <item m="1" x="312"/>
        <item x="17"/>
        <item x="43"/>
        <item x="76"/>
        <item x="77"/>
        <item m="1" x="357"/>
        <item x="107"/>
        <item x="78"/>
        <item x="44"/>
        <item x="18"/>
        <item x="19"/>
        <item x="45"/>
        <item x="79"/>
        <item x="108"/>
        <item x="109"/>
        <item m="1" x="328"/>
        <item x="80"/>
        <item m="1" x="338"/>
        <item x="46"/>
        <item m="1" x="334"/>
        <item x="20"/>
        <item m="1" x="335"/>
        <item x="21"/>
        <item x="47"/>
        <item m="1" x="347"/>
        <item m="1" x="326"/>
        <item m="1" x="307"/>
        <item m="1" x="296"/>
        <item m="1" x="362"/>
        <item x="110"/>
        <item x="111"/>
        <item m="1" x="159"/>
        <item x="48"/>
        <item m="1" x="327"/>
        <item m="1" x="155"/>
        <item x="22"/>
        <item x="49"/>
        <item x="81"/>
        <item m="1" x="144"/>
        <item x="112"/>
        <item m="1" x="156"/>
        <item m="1" x="158"/>
        <item x="50"/>
        <item x="23"/>
        <item m="1" x="161"/>
        <item m="1" x="285"/>
        <item m="1" x="147"/>
        <item x="113"/>
        <item x="82"/>
        <item m="1" x="278"/>
        <item m="1" x="381"/>
        <item m="1" x="299"/>
        <item x="114"/>
        <item m="1" x="306"/>
        <item x="24"/>
        <item x="25"/>
        <item m="1" x="302"/>
        <item x="51"/>
        <item m="1" x="348"/>
        <item m="1" x="355"/>
        <item m="1" x="343"/>
        <item m="1" x="297"/>
        <item m="1" x="342"/>
        <item x="83"/>
        <item m="1" x="322"/>
        <item m="1" x="344"/>
        <item m="1" x="281"/>
        <item x="52"/>
        <item m="1" x="273"/>
        <item m="1" x="282"/>
        <item x="26"/>
        <item m="1" x="272"/>
        <item m="1" x="152"/>
        <item x="53"/>
        <item m="1" x="270"/>
        <item x="54"/>
        <item m="1" x="271"/>
        <item m="1" x="269"/>
        <item x="84"/>
        <item x="115"/>
        <item m="1" x="151"/>
        <item m="1" x="160"/>
        <item m="1" x="336"/>
        <item m="1" x="379"/>
        <item m="1" x="324"/>
        <item m="1" x="316"/>
        <item m="1" x="349"/>
        <item x="85"/>
        <item m="1" x="264"/>
        <item m="1" x="153"/>
        <item x="116"/>
      </items>
    </pivotField>
    <pivotField compact="0" outline="0" showAll="0" defaultSubtotal="0">
      <items count="15">
        <item x="0"/>
        <item m="1" x="14"/>
        <item x="1"/>
        <item x="3"/>
        <item m="1" x="13"/>
        <item x="4"/>
        <item m="1" x="8"/>
        <item x="2"/>
        <item x="7"/>
        <item m="1" x="12"/>
        <item m="1" x="11"/>
        <item m="1" x="10"/>
        <item m="1" x="9"/>
        <item x="6"/>
        <item x="5"/>
      </items>
    </pivotField>
    <pivotField compact="0" outline="0" showAll="0" defaultSubtotal="0"/>
    <pivotField compact="0" outline="0" showAll="0" defaultSubtotal="0"/>
    <pivotField compact="0" outline="0" showAll="0" defaultSubtotal="0"/>
    <pivotField compact="0" outline="0" showAll="0" includeNewItemsInFilter="1"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5"/>
  </rowFields>
  <rowItems count="10">
    <i>
      <x v="154"/>
    </i>
    <i>
      <x v="192"/>
    </i>
    <i>
      <x v="219"/>
    </i>
    <i>
      <x v="235"/>
    </i>
    <i>
      <x v="258"/>
    </i>
    <i>
      <x v="266"/>
    </i>
    <i>
      <x v="286"/>
    </i>
    <i>
      <x v="288"/>
    </i>
    <i>
      <x v="304"/>
    </i>
    <i>
      <x v="336"/>
    </i>
  </rowItems>
  <colItems count="1">
    <i/>
  </colItems>
  <formats count="17">
    <format dxfId="5438">
      <pivotArea field="5" type="button" dataOnly="0" labelOnly="1" outline="0" axis="axisRow" fieldPosition="0"/>
    </format>
    <format dxfId="5437">
      <pivotArea type="all" dataOnly="0" outline="0" fieldPosition="0"/>
    </format>
    <format dxfId="5436">
      <pivotArea field="5" type="button" dataOnly="0" labelOnly="1" outline="0" axis="axisRow" fieldPosition="0"/>
    </format>
    <format dxfId="5435">
      <pivotArea type="all" dataOnly="0" outline="0" fieldPosition="0"/>
    </format>
    <format dxfId="5434">
      <pivotArea field="5" type="button" dataOnly="0" labelOnly="1" outline="0" axis="axisRow" fieldPosition="0"/>
    </format>
    <format dxfId="5433">
      <pivotArea dataOnly="0" labelOnly="1" fieldPosition="0">
        <references count="1">
          <reference field="5" count="50">
            <x v="1"/>
            <x v="3"/>
            <x v="4"/>
            <x v="6"/>
            <x v="8"/>
            <x v="10"/>
            <x v="13"/>
            <x v="14"/>
            <x v="15"/>
            <x v="17"/>
            <x v="18"/>
            <x v="19"/>
            <x v="20"/>
            <x v="21"/>
            <x v="23"/>
            <x v="24"/>
            <x v="25"/>
            <x v="26"/>
            <x v="27"/>
            <x v="28"/>
            <x v="29"/>
            <x v="30"/>
            <x v="34"/>
            <x v="35"/>
            <x v="36"/>
            <x v="38"/>
            <x v="39"/>
            <x v="40"/>
            <x v="41"/>
            <x v="43"/>
            <x v="45"/>
            <x v="46"/>
            <x v="47"/>
            <x v="48"/>
            <x v="49"/>
            <x v="50"/>
            <x v="51"/>
            <x v="52"/>
            <x v="54"/>
            <x v="55"/>
            <x v="56"/>
            <x v="57"/>
            <x v="60"/>
            <x v="62"/>
            <x v="63"/>
            <x v="65"/>
            <x v="66"/>
            <x v="67"/>
            <x v="69"/>
            <x v="70"/>
          </reference>
        </references>
      </pivotArea>
    </format>
    <format dxfId="5432">
      <pivotArea dataOnly="0" labelOnly="1" fieldPosition="0">
        <references count="1">
          <reference field="5" count="50">
            <x v="71"/>
            <x v="72"/>
            <x v="73"/>
            <x v="74"/>
            <x v="75"/>
            <x v="76"/>
            <x v="78"/>
            <x v="79"/>
            <x v="80"/>
            <x v="82"/>
            <x v="84"/>
            <x v="86"/>
            <x v="89"/>
            <x v="91"/>
            <x v="92"/>
            <x v="94"/>
            <x v="96"/>
            <x v="97"/>
            <x v="98"/>
            <x v="99"/>
            <x v="100"/>
            <x v="102"/>
            <x v="104"/>
            <x v="106"/>
            <x v="107"/>
            <x v="108"/>
            <x v="110"/>
            <x v="111"/>
            <x v="112"/>
            <x v="114"/>
            <x v="116"/>
            <x v="117"/>
            <x v="118"/>
            <x v="119"/>
            <x v="120"/>
            <x v="121"/>
            <x v="122"/>
            <x v="123"/>
            <x v="125"/>
            <x v="127"/>
            <x v="130"/>
            <x v="131"/>
            <x v="133"/>
            <x v="135"/>
            <x v="137"/>
            <x v="138"/>
            <x v="140"/>
            <x v="143"/>
            <x v="144"/>
            <x v="146"/>
          </reference>
        </references>
      </pivotArea>
    </format>
    <format dxfId="5431">
      <pivotArea dataOnly="0" labelOnly="1" fieldPosition="0">
        <references count="1">
          <reference field="5" count="50">
            <x v="147"/>
            <x v="149"/>
            <x v="152"/>
            <x v="154"/>
            <x v="155"/>
            <x v="157"/>
            <x v="160"/>
            <x v="163"/>
            <x v="166"/>
            <x v="169"/>
            <x v="170"/>
            <x v="173"/>
            <x v="175"/>
            <x v="176"/>
            <x v="178"/>
            <x v="179"/>
            <x v="182"/>
            <x v="186"/>
            <x v="187"/>
            <x v="189"/>
            <x v="191"/>
            <x v="193"/>
            <x v="195"/>
            <x v="197"/>
            <x v="199"/>
            <x v="201"/>
            <x v="203"/>
            <x v="205"/>
            <x v="207"/>
            <x v="209"/>
            <x v="210"/>
            <x v="212"/>
            <x v="215"/>
            <x v="216"/>
            <x v="217"/>
            <x v="219"/>
            <x v="220"/>
            <x v="222"/>
            <x v="224"/>
            <x v="225"/>
            <x v="226"/>
            <x v="227"/>
            <x v="230"/>
            <x v="231"/>
            <x v="234"/>
            <x v="235"/>
            <x v="237"/>
            <x v="238"/>
            <x v="242"/>
            <x v="243"/>
          </reference>
        </references>
      </pivotArea>
    </format>
    <format dxfId="5430">
      <pivotArea dataOnly="0" labelOnly="1" fieldPosition="0">
        <references count="1">
          <reference field="5" count="50">
            <x v="245"/>
            <x v="246"/>
            <x v="247"/>
            <x v="248"/>
            <x v="250"/>
            <x v="258"/>
            <x v="260"/>
            <x v="263"/>
            <x v="264"/>
            <x v="266"/>
            <x v="269"/>
            <x v="271"/>
            <x v="272"/>
            <x v="273"/>
            <x v="274"/>
            <x v="276"/>
            <x v="278"/>
            <x v="280"/>
            <x v="282"/>
            <x v="285"/>
            <x v="286"/>
            <x v="288"/>
            <x v="290"/>
            <x v="291"/>
            <x v="292"/>
            <x v="298"/>
            <x v="299"/>
            <x v="300"/>
            <x v="301"/>
            <x v="302"/>
            <x v="303"/>
            <x v="306"/>
            <x v="307"/>
            <x v="308"/>
            <x v="309"/>
            <x v="310"/>
            <x v="311"/>
            <x v="313"/>
            <x v="315"/>
            <x v="317"/>
            <x v="319"/>
            <x v="320"/>
            <x v="326"/>
            <x v="327"/>
            <x v="328"/>
            <x v="329"/>
            <x v="331"/>
            <x v="332"/>
            <x v="333"/>
            <x v="334"/>
          </reference>
        </references>
      </pivotArea>
    </format>
    <format dxfId="5429">
      <pivotArea dataOnly="0" labelOnly="1" fieldPosition="0">
        <references count="1">
          <reference field="5" count="27">
            <x v="335"/>
            <x v="336"/>
            <x v="337"/>
            <x v="338"/>
            <x v="339"/>
            <x v="340"/>
            <x v="341"/>
            <x v="343"/>
            <x v="344"/>
            <x v="345"/>
            <x v="347"/>
            <x v="351"/>
            <x v="352"/>
            <x v="354"/>
            <x v="355"/>
            <x v="357"/>
            <x v="359"/>
            <x v="360"/>
            <x v="364"/>
            <x v="365"/>
            <x v="368"/>
            <x v="369"/>
            <x v="371"/>
            <x v="373"/>
            <x v="374"/>
            <x v="375"/>
            <x v="385"/>
          </reference>
        </references>
      </pivotArea>
    </format>
    <format dxfId="5428">
      <pivotArea dataOnly="0" labelOnly="1" fieldPosition="0">
        <references count="1">
          <reference field="5" count="50">
            <x v="1"/>
            <x v="3"/>
            <x v="4"/>
            <x v="6"/>
            <x v="8"/>
            <x v="10"/>
            <x v="13"/>
            <x v="14"/>
            <x v="15"/>
            <x v="17"/>
            <x v="18"/>
            <x v="19"/>
            <x v="20"/>
            <x v="21"/>
            <x v="23"/>
            <x v="24"/>
            <x v="25"/>
            <x v="26"/>
            <x v="27"/>
            <x v="28"/>
            <x v="29"/>
            <x v="30"/>
            <x v="34"/>
            <x v="35"/>
            <x v="36"/>
            <x v="38"/>
            <x v="39"/>
            <x v="40"/>
            <x v="41"/>
            <x v="43"/>
            <x v="45"/>
            <x v="46"/>
            <x v="47"/>
            <x v="48"/>
            <x v="49"/>
            <x v="50"/>
            <x v="51"/>
            <x v="52"/>
            <x v="54"/>
            <x v="55"/>
            <x v="56"/>
            <x v="57"/>
            <x v="60"/>
            <x v="62"/>
            <x v="63"/>
            <x v="65"/>
            <x v="66"/>
            <x v="67"/>
            <x v="69"/>
            <x v="70"/>
          </reference>
        </references>
      </pivotArea>
    </format>
    <format dxfId="5427">
      <pivotArea dataOnly="0" labelOnly="1" fieldPosition="0">
        <references count="1">
          <reference field="5" count="50">
            <x v="71"/>
            <x v="72"/>
            <x v="73"/>
            <x v="74"/>
            <x v="75"/>
            <x v="76"/>
            <x v="78"/>
            <x v="79"/>
            <x v="80"/>
            <x v="82"/>
            <x v="84"/>
            <x v="86"/>
            <x v="89"/>
            <x v="91"/>
            <x v="92"/>
            <x v="94"/>
            <x v="96"/>
            <x v="97"/>
            <x v="98"/>
            <x v="99"/>
            <x v="100"/>
            <x v="102"/>
            <x v="104"/>
            <x v="106"/>
            <x v="107"/>
            <x v="108"/>
            <x v="110"/>
            <x v="111"/>
            <x v="112"/>
            <x v="114"/>
            <x v="116"/>
            <x v="117"/>
            <x v="118"/>
            <x v="119"/>
            <x v="120"/>
            <x v="121"/>
            <x v="122"/>
            <x v="123"/>
            <x v="125"/>
            <x v="127"/>
            <x v="130"/>
            <x v="131"/>
            <x v="133"/>
            <x v="135"/>
            <x v="137"/>
            <x v="138"/>
            <x v="140"/>
            <x v="143"/>
            <x v="144"/>
            <x v="146"/>
          </reference>
        </references>
      </pivotArea>
    </format>
    <format dxfId="5426">
      <pivotArea dataOnly="0" labelOnly="1" fieldPosition="0">
        <references count="1">
          <reference field="5" count="50">
            <x v="147"/>
            <x v="149"/>
            <x v="152"/>
            <x v="154"/>
            <x v="155"/>
            <x v="157"/>
            <x v="160"/>
            <x v="163"/>
            <x v="166"/>
            <x v="169"/>
            <x v="170"/>
            <x v="173"/>
            <x v="175"/>
            <x v="176"/>
            <x v="178"/>
            <x v="179"/>
            <x v="182"/>
            <x v="186"/>
            <x v="187"/>
            <x v="189"/>
            <x v="191"/>
            <x v="193"/>
            <x v="195"/>
            <x v="197"/>
            <x v="199"/>
            <x v="201"/>
            <x v="203"/>
            <x v="205"/>
            <x v="207"/>
            <x v="209"/>
            <x v="210"/>
            <x v="212"/>
            <x v="215"/>
            <x v="216"/>
            <x v="217"/>
            <x v="219"/>
            <x v="220"/>
            <x v="222"/>
            <x v="224"/>
            <x v="225"/>
            <x v="226"/>
            <x v="227"/>
            <x v="230"/>
            <x v="231"/>
            <x v="234"/>
            <x v="235"/>
            <x v="237"/>
            <x v="238"/>
            <x v="242"/>
            <x v="243"/>
          </reference>
        </references>
      </pivotArea>
    </format>
    <format dxfId="5425">
      <pivotArea dataOnly="0" labelOnly="1" fieldPosition="0">
        <references count="1">
          <reference field="5" count="50">
            <x v="245"/>
            <x v="246"/>
            <x v="247"/>
            <x v="248"/>
            <x v="250"/>
            <x v="258"/>
            <x v="260"/>
            <x v="263"/>
            <x v="264"/>
            <x v="266"/>
            <x v="269"/>
            <x v="271"/>
            <x v="272"/>
            <x v="273"/>
            <x v="274"/>
            <x v="276"/>
            <x v="278"/>
            <x v="280"/>
            <x v="282"/>
            <x v="285"/>
            <x v="286"/>
            <x v="288"/>
            <x v="290"/>
            <x v="291"/>
            <x v="292"/>
            <x v="298"/>
            <x v="299"/>
            <x v="300"/>
            <x v="301"/>
            <x v="302"/>
            <x v="303"/>
            <x v="306"/>
            <x v="307"/>
            <x v="308"/>
            <x v="309"/>
            <x v="310"/>
            <x v="311"/>
            <x v="313"/>
            <x v="315"/>
            <x v="317"/>
            <x v="319"/>
            <x v="320"/>
            <x v="326"/>
            <x v="327"/>
            <x v="328"/>
            <x v="329"/>
            <x v="331"/>
            <x v="332"/>
            <x v="333"/>
            <x v="334"/>
          </reference>
        </references>
      </pivotArea>
    </format>
    <format dxfId="5424">
      <pivotArea dataOnly="0" labelOnly="1" fieldPosition="0">
        <references count="1">
          <reference field="5" count="27">
            <x v="335"/>
            <x v="336"/>
            <x v="337"/>
            <x v="338"/>
            <x v="339"/>
            <x v="340"/>
            <x v="341"/>
            <x v="343"/>
            <x v="344"/>
            <x v="345"/>
            <x v="347"/>
            <x v="351"/>
            <x v="352"/>
            <x v="354"/>
            <x v="355"/>
            <x v="357"/>
            <x v="359"/>
            <x v="360"/>
            <x v="364"/>
            <x v="365"/>
            <x v="368"/>
            <x v="369"/>
            <x v="371"/>
            <x v="373"/>
            <x v="374"/>
            <x v="375"/>
            <x v="385"/>
          </reference>
        </references>
      </pivotArea>
    </format>
    <format dxfId="5423">
      <pivotArea field="5" type="button" dataOnly="0" labelOnly="1" outline="0" axis="axisRow" fieldPosition="0"/>
    </format>
    <format dxfId="5422">
      <pivotArea field="6" type="button" dataOnly="0" labelOnly="1" outline="0"/>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A0F1B3D-040C-4774-A0A9-ADD2777155EE}" name="Searcher" cacheId="18" applyNumberFormats="0" applyBorderFormats="0" applyFontFormats="0" applyPatternFormats="0" applyAlignmentFormats="0" applyWidthHeightFormats="1" dataCaption="Valores" updatedVersion="8" minRefreshableVersion="3" rowGrandTotals="0" itemPrintTitles="1" createdVersion="4" indent="0" outline="1" outlineData="1" multipleFieldFilters="0">
  <location ref="I5:I6" firstHeaderRow="1" firstDataRow="1" firstDataCol="0" rowPageCount="1" colPageCount="1"/>
  <pivotFields count="17">
    <pivotField showAll="0"/>
    <pivotField multipleItemSelectionAllowed="1" showAll="0">
      <items count="42">
        <item h="1" m="1" x="28"/>
        <item h="1" m="1" x="29"/>
        <item h="1" m="1" x="30"/>
        <item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m="1" x="31"/>
        <item h="1" m="1" x="32"/>
        <item h="1" m="1" x="33"/>
        <item h="1" m="1" x="34"/>
        <item h="1" m="1" x="35"/>
        <item h="1" m="1" x="36"/>
        <item h="1" m="1" x="37"/>
        <item h="1" m="1" x="38"/>
        <item h="1" m="1" x="39"/>
        <item h="1" m="1" x="40"/>
        <item h="1" x="27"/>
        <item t="default"/>
      </items>
    </pivotField>
    <pivotField dataField="1" multipleItemSelectionAllowed="1" showAll="0"/>
    <pivotField showAll="0"/>
    <pivotField showAll="0"/>
    <pivotField axis="axisPage" showAll="0">
      <items count="389">
        <item m="1" x="308"/>
        <item m="1" x="201"/>
        <item m="1" x="365"/>
        <item m="1" x="236"/>
        <item m="1" x="283"/>
        <item m="1" x="382"/>
        <item m="1" x="230"/>
        <item m="1" x="368"/>
        <item m="1" x="186"/>
        <item m="1" x="190"/>
        <item m="1" x="231"/>
        <item m="1" x="366"/>
        <item m="1" x="263"/>
        <item m="1" x="169"/>
        <item m="1" x="219"/>
        <item m="1" x="276"/>
        <item m="1" x="277"/>
        <item m="1" x="170"/>
        <item m="1" x="187"/>
        <item m="1" x="171"/>
        <item m="1" x="212"/>
        <item m="1" x="213"/>
        <item m="1" x="189"/>
        <item m="1" x="375"/>
        <item m="1" x="311"/>
        <item m="1" x="172"/>
        <item m="1" x="173"/>
        <item m="1" x="225"/>
        <item m="1" x="226"/>
        <item m="1" x="197"/>
        <item m="1" x="174"/>
        <item m="1" x="203"/>
        <item m="1" x="333"/>
        <item m="1" x="175"/>
        <item m="1" x="176"/>
        <item m="1" x="223"/>
        <item m="1" x="191"/>
        <item m="1" x="177"/>
        <item m="1" x="242"/>
        <item m="1" x="274"/>
        <item m="1" x="275"/>
        <item m="1" x="193"/>
        <item m="1" x="194"/>
        <item m="1" x="287"/>
        <item m="1" x="192"/>
        <item m="1" x="376"/>
        <item m="1" x="254"/>
        <item m="1" x="386"/>
        <item m="1" x="178"/>
        <item m="1" x="183"/>
        <item m="1" x="179"/>
        <item m="1" x="214"/>
        <item m="1" x="181"/>
        <item m="1" x="185"/>
        <item m="1" x="227"/>
        <item m="1" x="218"/>
        <item m="1" x="224"/>
        <item m="1" x="232"/>
        <item m="1" x="184"/>
        <item m="1" x="204"/>
        <item m="1" x="255"/>
        <item m="1" x="305"/>
        <item m="1" x="340"/>
        <item m="1" x="182"/>
        <item m="1" x="228"/>
        <item m="1" x="295"/>
        <item m="1" x="210"/>
        <item m="1" x="372"/>
        <item m="1" x="256"/>
        <item m="1" x="244"/>
        <item m="1" x="258"/>
        <item m="1" x="245"/>
        <item m="1" x="246"/>
        <item m="1" x="247"/>
        <item m="1" x="206"/>
        <item m="1" x="304"/>
        <item m="1" x="208"/>
        <item m="1" x="195"/>
        <item m="1" x="279"/>
        <item m="1" x="199"/>
        <item m="1" x="363"/>
        <item m="1" x="358"/>
        <item m="1" x="257"/>
        <item m="1" x="216"/>
        <item m="1" x="220"/>
        <item m="1" x="250"/>
        <item m="1" x="249"/>
        <item m="1" x="221"/>
        <item m="1" x="260"/>
        <item m="1" x="259"/>
        <item m="1" x="293"/>
        <item m="1" x="385"/>
        <item m="1" x="367"/>
        <item m="1" x="317"/>
        <item m="1" x="251"/>
        <item m="1" x="310"/>
        <item m="1" x="301"/>
        <item m="1" x="315"/>
        <item m="1" x="252"/>
        <item m="1" x="143"/>
        <item m="1" x="142"/>
        <item x="55"/>
        <item m="1" x="141"/>
        <item m="1" x="167"/>
        <item m="1" x="138"/>
        <item m="1" x="139"/>
        <item m="1" x="140"/>
        <item x="88"/>
        <item m="1" x="136"/>
        <item m="1" x="134"/>
        <item m="1" x="369"/>
        <item m="1" x="309"/>
        <item m="1" x="267"/>
        <item m="1" x="268"/>
        <item m="1" x="265"/>
        <item m="1" x="266"/>
        <item x="30"/>
        <item m="1" x="132"/>
        <item m="1" x="145"/>
        <item m="1" x="162"/>
        <item m="1" x="360"/>
        <item m="1" x="166"/>
        <item m="1" x="129"/>
        <item m="1" x="130"/>
        <item m="1" x="122"/>
        <item m="1" x="125"/>
        <item m="1" x="126"/>
        <item m="1" x="123"/>
        <item m="1" x="119"/>
        <item m="1" x="117"/>
        <item m="1" x="118"/>
        <item m="1" x="120"/>
        <item m="1" x="124"/>
        <item x="94"/>
        <item m="1" x="163"/>
        <item m="1" x="164"/>
        <item x="96"/>
        <item x="64"/>
        <item m="1" x="121"/>
        <item x="7"/>
        <item x="8"/>
        <item x="35"/>
        <item m="1" x="146"/>
        <item x="65"/>
        <item x="97"/>
        <item m="1" x="149"/>
        <item x="98"/>
        <item x="67"/>
        <item m="1" x="148"/>
        <item x="9"/>
        <item m="1" x="341"/>
        <item x="10"/>
        <item x="36"/>
        <item m="1" x="319"/>
        <item m="1" x="288"/>
        <item m="1" x="383"/>
        <item m="1" x="373"/>
        <item m="1" x="286"/>
        <item m="1" x="320"/>
        <item x="69"/>
        <item x="71"/>
        <item m="1" x="318"/>
        <item x="101"/>
        <item m="1" x="384"/>
        <item m="1" x="377"/>
        <item m="1" x="359"/>
        <item x="103"/>
        <item x="73"/>
        <item x="40"/>
        <item m="1" x="165"/>
        <item m="1" x="345"/>
        <item m="1" x="284"/>
        <item x="14"/>
        <item m="1" x="350"/>
        <item x="104"/>
        <item m="1" x="331"/>
        <item x="106"/>
        <item m="1" x="321"/>
        <item x="42"/>
        <item m="1" x="314"/>
        <item m="1" x="380"/>
        <item m="1" x="352"/>
        <item x="43"/>
        <item x="77"/>
        <item x="18"/>
        <item x="45"/>
        <item x="79"/>
        <item x="108"/>
        <item x="109"/>
        <item m="1" x="338"/>
        <item m="1" x="334"/>
        <item m="1" x="335"/>
        <item x="21"/>
        <item x="47"/>
        <item m="1" x="307"/>
        <item x="110"/>
        <item x="111"/>
        <item m="1" x="159"/>
        <item x="48"/>
        <item m="1" x="155"/>
        <item x="22"/>
        <item x="49"/>
        <item x="112"/>
        <item m="1" x="156"/>
        <item m="1" x="158"/>
        <item x="50"/>
        <item x="23"/>
        <item m="1" x="161"/>
        <item m="1" x="285"/>
        <item m="1" x="147"/>
        <item x="113"/>
        <item m="1" x="278"/>
        <item x="24"/>
        <item x="25"/>
        <item m="1" x="302"/>
        <item x="51"/>
        <item m="1" x="343"/>
        <item m="1" x="322"/>
        <item x="52"/>
        <item m="1" x="273"/>
        <item m="1" x="282"/>
        <item m="1" x="152"/>
        <item m="1" x="270"/>
        <item m="1" x="271"/>
        <item m="1" x="269"/>
        <item x="84"/>
        <item m="1" x="349"/>
        <item m="1" x="264"/>
        <item m="1" x="313"/>
        <item m="1" x="291"/>
        <item m="1" x="332"/>
        <item m="1" x="240"/>
        <item x="39"/>
        <item m="1" x="337"/>
        <item m="1" x="241"/>
        <item x="80"/>
        <item m="1" x="300"/>
        <item m="1" x="297"/>
        <item x="17"/>
        <item m="1" x="325"/>
        <item x="75"/>
        <item x="19"/>
        <item m="1" x="354"/>
        <item x="76"/>
        <item m="1" x="202"/>
        <item x="16"/>
        <item m="1" x="357"/>
        <item x="107"/>
        <item m="1" x="196"/>
        <item m="1" x="353"/>
        <item x="116"/>
        <item m="1" x="347"/>
        <item x="20"/>
        <item m="1" x="135"/>
        <item m="1" x="328"/>
        <item m="1" x="303"/>
        <item m="1" x="329"/>
        <item m="1" x="361"/>
        <item m="1" x="316"/>
        <item m="1" x="144"/>
        <item m="1" x="355"/>
        <item m="1" x="281"/>
        <item m="1" x="330"/>
        <item m="1" x="292"/>
        <item m="1" x="370"/>
        <item m="1" x="280"/>
        <item m="1" x="272"/>
        <item m="1" x="371"/>
        <item m="1" x="346"/>
        <item m="1" x="339"/>
        <item m="1" x="253"/>
        <item x="46"/>
        <item x="102"/>
        <item m="1" x="217"/>
        <item m="1" x="238"/>
        <item m="1" x="207"/>
        <item m="1" x="248"/>
        <item m="1" x="327"/>
        <item m="1" x="356"/>
        <item m="1" x="387"/>
        <item m="1" x="364"/>
        <item x="41"/>
        <item x="105"/>
        <item m="1" x="137"/>
        <item x="72"/>
        <item m="1" x="324"/>
        <item x="81"/>
        <item m="1" x="326"/>
        <item m="1" x="374"/>
        <item m="1" x="290"/>
        <item m="1" x="233"/>
        <item m="1" x="351"/>
        <item m="1" x="234"/>
        <item m="1" x="294"/>
        <item m="1" x="261"/>
        <item m="1" x="378"/>
        <item m="1" x="237"/>
        <item m="1" x="312"/>
        <item m="1" x="296"/>
        <item m="1" x="235"/>
        <item m="1" x="299"/>
        <item m="1" x="127"/>
        <item m="1" x="362"/>
        <item m="1" x="323"/>
        <item x="82"/>
        <item m="1" x="289"/>
        <item m="1" x="379"/>
        <item m="1" x="298"/>
        <item m="1" x="198"/>
        <item m="1" x="200"/>
        <item m="1" x="348"/>
        <item m="1" x="344"/>
        <item m="1" x="188"/>
        <item x="13"/>
        <item m="1" x="229"/>
        <item m="1" x="243"/>
        <item m="1" x="205"/>
        <item m="1" x="222"/>
        <item m="1" x="381"/>
        <item x="83"/>
        <item x="74"/>
        <item m="1" x="342"/>
        <item m="1" x="306"/>
        <item x="114"/>
        <item m="1" x="336"/>
        <item x="78"/>
        <item x="11"/>
        <item x="100"/>
        <item m="1" x="262"/>
        <item x="68"/>
        <item x="37"/>
        <item x="99"/>
        <item x="12"/>
        <item m="1" x="215"/>
        <item m="1" x="180"/>
        <item m="1" x="168"/>
        <item x="44"/>
        <item m="1" x="160"/>
        <item m="1" x="211"/>
        <item m="1" x="209"/>
        <item x="26"/>
        <item x="54"/>
        <item m="1" x="133"/>
        <item m="1" x="131"/>
        <item x="85"/>
        <item m="1" x="239"/>
        <item x="38"/>
        <item m="1" x="128"/>
        <item m="1" x="153"/>
        <item m="1" x="157"/>
        <item m="1" x="150"/>
        <item x="95"/>
        <item x="63"/>
        <item x="91"/>
        <item x="15"/>
        <item m="1" x="154"/>
        <item x="70"/>
        <item m="1" x="151"/>
        <item x="53"/>
        <item x="66"/>
        <item x="115"/>
        <item x="86"/>
        <item x="87"/>
        <item x="27"/>
        <item x="0"/>
        <item x="28"/>
        <item x="56"/>
        <item x="57"/>
        <item x="58"/>
        <item x="89"/>
        <item x="90"/>
        <item x="1"/>
        <item x="2"/>
        <item x="29"/>
        <item x="3"/>
        <item x="4"/>
        <item x="31"/>
        <item x="32"/>
        <item x="6"/>
        <item x="61"/>
        <item x="33"/>
        <item x="34"/>
        <item x="59"/>
        <item x="60"/>
        <item x="62"/>
        <item x="92"/>
        <item x="93"/>
        <item x="5"/>
        <item t="default"/>
      </items>
    </pivotField>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pageFields count="1">
    <pageField fld="5" item="186" hier="-1"/>
  </pageFields>
  <dataFields count="1">
    <dataField name=" Station" fld="2" baseField="0" baseItem="0"/>
  </dataFields>
  <formats count="7">
    <format dxfId="5445">
      <pivotArea field="5" type="button" dataOnly="0" labelOnly="1" outline="0" axis="axisPage" fieldPosition="0"/>
    </format>
    <format dxfId="5444">
      <pivotArea dataOnly="0" labelOnly="1" outline="0" axis="axisValues" fieldPosition="0"/>
    </format>
    <format dxfId="5443">
      <pivotArea outline="0" collapsedLevelsAreSubtotals="1" fieldPosition="0"/>
    </format>
    <format dxfId="5442">
      <pivotArea outline="0" collapsedLevelsAreSubtotals="1" fieldPosition="0"/>
    </format>
    <format dxfId="5441">
      <pivotArea type="all" dataOnly="0" outline="0" fieldPosition="0"/>
    </format>
    <format dxfId="5440">
      <pivotArea outline="0" collapsedLevelsAreSubtotals="1" fieldPosition="0"/>
    </format>
    <format dxfId="543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55B7D2A-3C85-4117-AC36-D65485CEE757}" name="Drop pivot" cacheId="0" applyNumberFormats="0" applyBorderFormats="0" applyFontFormats="0" applyPatternFormats="0" applyAlignmentFormats="0" applyWidthHeightFormats="1" dataCaption="Valores" updatedVersion="8" minRefreshableVersion="3" showDrill="0" rowGrandTotals="0" colGrandTotals="0" createdVersion="4" compact="0" compactData="0" multipleFieldFilters="0">
  <location ref="H15:M25" firstHeaderRow="1" firstDataRow="1" firstDataCol="5"/>
  <pivotFields count="8">
    <pivotField compact="0" outline="0" showAll="0" defaultSubtotal="0">
      <items count="8">
        <item x="0"/>
        <item h="1" x="1"/>
        <item h="1" x="2"/>
        <item h="1" x="3"/>
        <item h="1" m="1" x="5"/>
        <item h="1" m="1" x="6"/>
        <item h="1" m="1" x="7"/>
        <item h="1" m="1" x="4"/>
      </items>
    </pivotField>
    <pivotField dataField="1" compact="0" outline="0" showAll="0" defaultSubtotal="0">
      <items count="7">
        <item x="0"/>
        <item h="1" x="2"/>
        <item h="1" x="3"/>
        <item h="1" x="1"/>
        <item h="1" m="1" x="4"/>
        <item h="1" m="1" x="5"/>
        <item h="1" m="1" x="6"/>
      </items>
    </pivotField>
    <pivotField axis="axisRow" compact="0" outline="0" showAll="0" defaultSubtotal="0">
      <items count="9">
        <item x="6"/>
        <item x="1"/>
        <item x="0"/>
        <item x="2"/>
        <item x="3"/>
        <item x="5"/>
        <item m="1" x="8"/>
        <item m="1" x="7"/>
        <item x="4"/>
      </items>
    </pivotField>
    <pivotField axis="axisRow" compact="0" outline="0" showAll="0" sortType="ascending" defaultSubtotal="0">
      <items count="5">
        <item x="1"/>
        <item x="0"/>
        <item x="2"/>
        <item x="3"/>
        <item m="1" x="4"/>
      </items>
    </pivotField>
    <pivotField name="Sites" axis="axisRow" compact="0" outline="0" showAll="0" nonAutoSortDefault="1" defaultSubtotal="0">
      <items count="191">
        <item m="1" x="51"/>
        <item m="1" x="41"/>
        <item m="1" x="43"/>
        <item m="1" x="163"/>
        <item m="1" x="49"/>
        <item m="1" x="55"/>
        <item x="2"/>
        <item m="1" x="85"/>
        <item m="1" x="180"/>
        <item x="25"/>
        <item x="7"/>
        <item x="31"/>
        <item x="32"/>
        <item x="12"/>
        <item x="15"/>
        <item x="9"/>
        <item m="1" x="119"/>
        <item m="1" x="149"/>
        <item m="1" x="177"/>
        <item x="0"/>
        <item m="1" x="122"/>
        <item m="1" x="171"/>
        <item m="1" x="187"/>
        <item m="1" x="50"/>
        <item m="1" x="52"/>
        <item x="13"/>
        <item x="14"/>
        <item m="1" x="178"/>
        <item m="1" x="59"/>
        <item m="1" x="70"/>
        <item x="35"/>
        <item m="1" x="127"/>
        <item x="27"/>
        <item m="1" x="107"/>
        <item x="10"/>
        <item x="20"/>
        <item m="1" x="168"/>
        <item m="1" x="46"/>
        <item m="1" x="47"/>
        <item m="1" x="69"/>
        <item m="1" x="166"/>
        <item m="1" x="61"/>
        <item x="33"/>
        <item m="1" x="100"/>
        <item m="1" x="88"/>
        <item m="1" x="188"/>
        <item m="1" x="189"/>
        <item m="1" x="181"/>
        <item m="1" x="183"/>
        <item m="1" x="153"/>
        <item m="1" x="132"/>
        <item m="1" x="160"/>
        <item x="18"/>
        <item m="1" x="150"/>
        <item m="1" x="109"/>
        <item m="1" x="154"/>
        <item m="1" x="123"/>
        <item m="1" x="182"/>
        <item m="1" x="176"/>
        <item m="1" x="126"/>
        <item m="1" x="139"/>
        <item m="1" x="159"/>
        <item m="1" x="147"/>
        <item x="26"/>
        <item m="1" x="95"/>
        <item m="1" x="111"/>
        <item m="1" x="98"/>
        <item m="1" x="134"/>
        <item m="1" x="99"/>
        <item m="1" x="136"/>
        <item x="1"/>
        <item m="1" x="130"/>
        <item m="1" x="124"/>
        <item x="6"/>
        <item m="1" x="58"/>
        <item m="1" x="128"/>
        <item m="1" x="170"/>
        <item m="1" x="93"/>
        <item m="1" x="156"/>
        <item m="1" x="144"/>
        <item m="1" x="158"/>
        <item m="1" x="186"/>
        <item m="1" x="45"/>
        <item m="1" x="137"/>
        <item m="1" x="173"/>
        <item m="1" x="129"/>
        <item m="1" x="179"/>
        <item m="1" x="140"/>
        <item m="1" x="152"/>
        <item m="1" x="172"/>
        <item m="1" x="155"/>
        <item m="1" x="138"/>
        <item m="1" x="167"/>
        <item m="1" x="143"/>
        <item m="1" x="80"/>
        <item m="1" x="64"/>
        <item m="1" x="174"/>
        <item m="1" x="65"/>
        <item m="1" x="54"/>
        <item m="1" x="117"/>
        <item m="1" x="86"/>
        <item x="8"/>
        <item m="1" x="157"/>
        <item m="1" x="164"/>
        <item m="1" x="148"/>
        <item m="1" x="169"/>
        <item m="1" x="175"/>
        <item m="1" x="131"/>
        <item m="1" x="190"/>
        <item m="1" x="165"/>
        <item m="1" x="184"/>
        <item m="1" x="185"/>
        <item m="1" x="102"/>
        <item m="1" x="89"/>
        <item m="1" x="145"/>
        <item m="1" x="162"/>
        <item x="23"/>
        <item m="1" x="92"/>
        <item m="1" x="161"/>
        <item m="1" x="40"/>
        <item m="1" x="121"/>
        <item m="1" x="44"/>
        <item m="1" x="112"/>
        <item x="29"/>
        <item m="1" x="87"/>
        <item m="1" x="57"/>
        <item m="1" x="125"/>
        <item m="1" x="113"/>
        <item m="1" x="97"/>
        <item m="1" x="62"/>
        <item m="1" x="105"/>
        <item m="1" x="146"/>
        <item m="1" x="103"/>
        <item m="1" x="133"/>
        <item m="1" x="151"/>
        <item m="1" x="90"/>
        <item m="1" x="141"/>
        <item m="1" x="135"/>
        <item m="1" x="142"/>
        <item m="1" x="118"/>
        <item m="1" x="39"/>
        <item x="5"/>
        <item x="30"/>
        <item x="34"/>
        <item x="4"/>
        <item m="1" x="120"/>
        <item m="1" x="53"/>
        <item m="1" x="68"/>
        <item m="1" x="66"/>
        <item x="24"/>
        <item m="1" x="71"/>
        <item x="3"/>
        <item x="11"/>
        <item x="28"/>
        <item x="19"/>
        <item m="1" x="63"/>
        <item m="1" x="74"/>
        <item m="1" x="75"/>
        <item m="1" x="77"/>
        <item m="1" x="78"/>
        <item m="1" x="79"/>
        <item m="1" x="81"/>
        <item m="1" x="82"/>
        <item m="1" x="83"/>
        <item m="1" x="84"/>
        <item m="1" x="91"/>
        <item m="1" x="94"/>
        <item x="21"/>
        <item m="1" x="96"/>
        <item m="1" x="101"/>
        <item m="1" x="104"/>
        <item m="1" x="106"/>
        <item m="1" x="108"/>
        <item m="1" x="110"/>
        <item m="1" x="114"/>
        <item m="1" x="56"/>
        <item m="1" x="116"/>
        <item m="1" x="115"/>
        <item m="1" x="76"/>
        <item x="16"/>
        <item x="17"/>
        <item x="36"/>
        <item x="37"/>
        <item m="1" x="72"/>
        <item m="1" x="73"/>
        <item m="1" x="42"/>
        <item m="1" x="48"/>
        <item m="1" x="60"/>
        <item m="1" x="67"/>
        <item x="22"/>
        <item n="Lehigh Acres" x="38"/>
      </items>
    </pivotField>
    <pivotField axis="axisRow" compact="0" outline="0" showAll="0" defaultSubtotal="0">
      <items count="9">
        <item m="1" x="5"/>
        <item x="0"/>
        <item x="1"/>
        <item x="2"/>
        <item x="4"/>
        <item m="1" x="6"/>
        <item m="1" x="8"/>
        <item m="1" x="7"/>
        <item x="3"/>
      </items>
    </pivotField>
    <pivotField axis="axisRow" compact="0" outline="0" showAll="0" defaultSubtotal="0">
      <items count="10">
        <item x="1"/>
        <item m="1" x="6"/>
        <item x="0"/>
        <item x="2"/>
        <item m="1" x="4"/>
        <item m="1" x="8"/>
        <item m="1" x="7"/>
        <item m="1" x="9"/>
        <item m="1" x="5"/>
        <item x="3"/>
      </items>
    </pivotField>
    <pivotField compact="0" outline="0" showAll="0"/>
  </pivotFields>
  <rowFields count="5">
    <field x="2"/>
    <field x="4"/>
    <field x="5"/>
    <field x="3"/>
    <field x="6"/>
  </rowFields>
  <rowItems count="10">
    <i>
      <x/>
      <x v="30"/>
      <x v="4"/>
      <x v="2"/>
      <x v="2"/>
    </i>
    <i r="1">
      <x v="181"/>
      <x v="4"/>
      <x v="1"/>
      <x v="2"/>
    </i>
    <i r="1">
      <x v="182"/>
      <x v="4"/>
      <x v="1"/>
      <x v="2"/>
    </i>
    <i r="1">
      <x v="190"/>
      <x v="4"/>
      <x v="1"/>
      <x v="2"/>
    </i>
    <i>
      <x v="2"/>
      <x v="19"/>
      <x v="1"/>
      <x v="1"/>
      <x v="2"/>
    </i>
    <i r="1">
      <x v="141"/>
      <x v="1"/>
      <x v="1"/>
      <x v="3"/>
    </i>
    <i>
      <x v="3"/>
      <x v="9"/>
      <x v="2"/>
      <x/>
      <x v="2"/>
    </i>
    <i>
      <x v="4"/>
      <x v="167"/>
      <x v="2"/>
      <x/>
      <x v="2"/>
    </i>
    <i r="1">
      <x v="189"/>
      <x v="2"/>
      <x/>
      <x v="2"/>
    </i>
    <i>
      <x v="5"/>
      <x v="11"/>
      <x v="3"/>
      <x v="2"/>
      <x v="2"/>
    </i>
  </rowItems>
  <colItems count="1">
    <i/>
  </colItems>
  <dataFields count="1">
    <dataField name="Sum of Station" fld="1" baseField="0" baseItem="0"/>
  </dataFields>
  <formats count="425">
    <format dxfId="5870">
      <pivotArea field="4" type="button" dataOnly="0" labelOnly="1" outline="0" axis="axisRow" fieldPosition="1"/>
    </format>
    <format dxfId="5869">
      <pivotArea field="4" type="button" dataOnly="0" labelOnly="1" outline="0" axis="axisRow" fieldPosition="1"/>
    </format>
    <format dxfId="5868">
      <pivotArea field="3" type="button" dataOnly="0" labelOnly="1" outline="0" axis="axisRow" fieldPosition="3"/>
    </format>
    <format dxfId="5867">
      <pivotArea field="2" type="button" dataOnly="0" labelOnly="1" outline="0" axis="axisRow" fieldPosition="0"/>
    </format>
    <format dxfId="5866">
      <pivotArea field="0" type="button" dataOnly="0" labelOnly="1" outline="0"/>
    </format>
    <format dxfId="5865">
      <pivotArea field="5" type="button" dataOnly="0" labelOnly="1" outline="0" axis="axisRow" fieldPosition="2"/>
    </format>
    <format dxfId="5864">
      <pivotArea field="6" type="button" dataOnly="0" labelOnly="1" outline="0" axis="axisRow" fieldPosition="4"/>
    </format>
    <format dxfId="5863">
      <pivotArea field="4" type="button" dataOnly="0" labelOnly="1" outline="0" axis="axisRow" fieldPosition="1"/>
    </format>
    <format dxfId="5862">
      <pivotArea dataOnly="0" labelOnly="1" outline="0" fieldPosition="0">
        <references count="1">
          <reference field="6" count="0"/>
        </references>
      </pivotArea>
    </format>
    <format dxfId="5861">
      <pivotArea field="5" type="button" dataOnly="0" labelOnly="1" outline="0" axis="axisRow" fieldPosition="2"/>
    </format>
    <format dxfId="5860">
      <pivotArea field="3" type="button" dataOnly="0" labelOnly="1" outline="0" axis="axisRow" fieldPosition="3"/>
    </format>
    <format dxfId="5859">
      <pivotArea dataOnly="0" labelOnly="1" outline="0" fieldPosition="0">
        <references count="1">
          <reference field="5" count="0"/>
        </references>
      </pivotArea>
    </format>
    <format dxfId="5858">
      <pivotArea dataOnly="0" labelOnly="1" outline="0" fieldPosition="0">
        <references count="1">
          <reference field="6" count="0"/>
        </references>
      </pivotArea>
    </format>
    <format dxfId="5857">
      <pivotArea dataOnly="0" labelOnly="1" outline="0" fieldPosition="0">
        <references count="5">
          <reference field="2" count="1" selected="0">
            <x v="1"/>
          </reference>
          <reference field="3" count="1" selected="0">
            <x v="1"/>
          </reference>
          <reference field="4" count="1" selected="0">
            <x v="6"/>
          </reference>
          <reference field="5" count="1" selected="0">
            <x v="0"/>
          </reference>
          <reference field="6" count="1">
            <x v="0"/>
          </reference>
        </references>
      </pivotArea>
    </format>
    <format dxfId="5856">
      <pivotArea dataOnly="0" labelOnly="1" outline="0" fieldPosition="0">
        <references count="5">
          <reference field="2" count="1" selected="0">
            <x v="4"/>
          </reference>
          <reference field="3" count="1" selected="0">
            <x v="2"/>
          </reference>
          <reference field="4" count="1" selected="0">
            <x v="12"/>
          </reference>
          <reference field="5" count="1" selected="0">
            <x v="2"/>
          </reference>
          <reference field="6" count="1">
            <x v="2"/>
          </reference>
        </references>
      </pivotArea>
    </format>
    <format dxfId="5855">
      <pivotArea field="2" type="button" dataOnly="0" labelOnly="1" outline="0" axis="axisRow" fieldPosition="0"/>
    </format>
    <format dxfId="5854">
      <pivotArea field="4" type="button" dataOnly="0" labelOnly="1" outline="0" axis="axisRow" fieldPosition="1"/>
    </format>
    <format dxfId="5853">
      <pivotArea field="5" type="button" dataOnly="0" labelOnly="1" outline="0" axis="axisRow" fieldPosition="2"/>
    </format>
    <format dxfId="5852">
      <pivotArea field="3" type="button" dataOnly="0" labelOnly="1" outline="0" axis="axisRow" fieldPosition="3"/>
    </format>
    <format dxfId="5851">
      <pivotArea field="6" type="button" dataOnly="0" labelOnly="1" outline="0" axis="axisRow" fieldPosition="4"/>
    </format>
    <format dxfId="5850">
      <pivotArea dataOnly="0" labelOnly="1" outline="0" fieldPosition="0">
        <references count="1">
          <reference field="3" count="0"/>
        </references>
      </pivotArea>
    </format>
    <format dxfId="5849">
      <pivotArea dataOnly="0" labelOnly="1" outline="0" fieldPosition="0">
        <references count="1">
          <reference field="5" count="0"/>
        </references>
      </pivotArea>
    </format>
    <format dxfId="5848">
      <pivotArea dataOnly="0" outline="0" fieldPosition="0">
        <references count="1">
          <reference field="3" count="1">
            <x v="1"/>
          </reference>
        </references>
      </pivotArea>
    </format>
    <format dxfId="5847">
      <pivotArea dataOnly="0" labelOnly="1" outline="0" fieldPosition="0">
        <references count="1">
          <reference field="5" count="0"/>
        </references>
      </pivotArea>
    </format>
    <format dxfId="5846">
      <pivotArea dataOnly="0" labelOnly="1" outline="0" fieldPosition="0">
        <references count="1">
          <reference field="3" count="0"/>
        </references>
      </pivotArea>
    </format>
    <format dxfId="5845">
      <pivotArea dataOnly="0" labelOnly="1" outline="0" fieldPosition="0">
        <references count="3">
          <reference field="2" count="1" selected="0">
            <x v="4"/>
          </reference>
          <reference field="4" count="1" selected="0">
            <x v="68"/>
          </reference>
          <reference field="5" count="1">
            <x v="2"/>
          </reference>
        </references>
      </pivotArea>
    </format>
    <format dxfId="5844">
      <pivotArea dataOnly="0" labelOnly="1" outline="0" fieldPosition="0">
        <references count="4">
          <reference field="2" count="1" selected="0">
            <x v="4"/>
          </reference>
          <reference field="3" count="1">
            <x v="2"/>
          </reference>
          <reference field="4" count="1" selected="0">
            <x v="68"/>
          </reference>
          <reference field="5" count="1" selected="0">
            <x v="2"/>
          </reference>
        </references>
      </pivotArea>
    </format>
    <format dxfId="5843">
      <pivotArea dataOnly="0" labelOnly="1" outline="0" fieldPosition="0">
        <references count="2">
          <reference field="2" count="1" selected="0">
            <x v="3"/>
          </reference>
          <reference field="4" count="5">
            <x v="1"/>
            <x v="9"/>
            <x v="13"/>
            <x v="14"/>
            <x v="119"/>
          </reference>
        </references>
      </pivotArea>
    </format>
    <format dxfId="5842">
      <pivotArea dataOnly="0" labelOnly="1" outline="0" fieldPosition="0">
        <references count="2">
          <reference field="2" count="1" selected="0">
            <x v="4"/>
          </reference>
          <reference field="4" count="5">
            <x v="0"/>
            <x v="2"/>
            <x v="4"/>
            <x v="7"/>
            <x v="8"/>
          </reference>
        </references>
      </pivotArea>
    </format>
    <format dxfId="5841">
      <pivotArea dataOnly="0" labelOnly="1" outline="0" fieldPosition="0">
        <references count="2">
          <reference field="2" count="1" selected="0">
            <x v="5"/>
          </reference>
          <reference field="4" count="2">
            <x v="11"/>
            <x v="12"/>
          </reference>
        </references>
      </pivotArea>
    </format>
    <format dxfId="5840">
      <pivotArea dataOnly="0" labelOnly="1" outline="0" fieldPosition="0">
        <references count="3">
          <reference field="2" count="1" selected="0">
            <x v="4"/>
          </reference>
          <reference field="4" count="1" selected="0">
            <x v="0"/>
          </reference>
          <reference field="5" count="1">
            <x v="1"/>
          </reference>
        </references>
      </pivotArea>
    </format>
    <format dxfId="5839">
      <pivotArea dataOnly="0" labelOnly="1" outline="0" fieldPosition="0">
        <references count="4">
          <reference field="2" count="1" selected="0">
            <x v="4"/>
          </reference>
          <reference field="3" count="1">
            <x v="0"/>
          </reference>
          <reference field="4" count="1" selected="0">
            <x v="0"/>
          </reference>
          <reference field="5" count="1" selected="0">
            <x v="1"/>
          </reference>
        </references>
      </pivotArea>
    </format>
    <format dxfId="5838">
      <pivotArea dataOnly="0" labelOnly="1" outline="0" fieldPosition="0">
        <references count="4">
          <reference field="2" count="1" selected="0">
            <x v="6"/>
          </reference>
          <reference field="3" count="1">
            <x v="3"/>
          </reference>
          <reference field="4" count="1" selected="0">
            <x v="5"/>
          </reference>
          <reference field="5" count="1" selected="0">
            <x v="3"/>
          </reference>
        </references>
      </pivotArea>
    </format>
    <format dxfId="5837">
      <pivotArea dataOnly="0" labelOnly="1" outline="0" fieldPosition="0">
        <references count="5">
          <reference field="2" count="1" selected="0">
            <x v="3"/>
          </reference>
          <reference field="3" count="1" selected="0">
            <x v="0"/>
          </reference>
          <reference field="4" count="1" selected="0">
            <x v="13"/>
          </reference>
          <reference field="5" count="1" selected="0">
            <x v="1"/>
          </reference>
          <reference field="6" count="1">
            <x v="2"/>
          </reference>
        </references>
      </pivotArea>
    </format>
    <format dxfId="5836">
      <pivotArea dataOnly="0" labelOnly="1" outline="0" fieldPosition="0">
        <references count="2">
          <reference field="2" count="1" selected="0">
            <x v="0"/>
          </reference>
          <reference field="4" count="1">
            <x v="16"/>
          </reference>
        </references>
      </pivotArea>
    </format>
    <format dxfId="5835">
      <pivotArea dataOnly="0" labelOnly="1" outline="0" fieldPosition="0">
        <references count="2">
          <reference field="2" count="1" selected="0">
            <x v="2"/>
          </reference>
          <reference field="4" count="3">
            <x v="17"/>
            <x v="19"/>
            <x v="120"/>
          </reference>
        </references>
      </pivotArea>
    </format>
    <format dxfId="5834">
      <pivotArea dataOnly="0" labelOnly="1" outline="0" fieldPosition="0">
        <references count="2">
          <reference field="2" count="1" selected="0">
            <x v="3"/>
          </reference>
          <reference field="4" count="9">
            <x v="20"/>
            <x v="21"/>
            <x v="23"/>
            <x v="24"/>
            <x v="25"/>
            <x v="26"/>
            <x v="28"/>
            <x v="121"/>
            <x v="122"/>
          </reference>
        </references>
      </pivotArea>
    </format>
    <format dxfId="5833">
      <pivotArea dataOnly="0" labelOnly="1" outline="0" fieldPosition="0">
        <references count="3">
          <reference field="2" count="1" selected="0">
            <x v="0"/>
          </reference>
          <reference field="4" count="1" selected="0">
            <x v="16"/>
          </reference>
          <reference field="5" count="1">
            <x v="4"/>
          </reference>
        </references>
      </pivotArea>
    </format>
    <format dxfId="5832">
      <pivotArea dataOnly="0" labelOnly="1" outline="0" fieldPosition="0">
        <references count="3">
          <reference field="2" count="1" selected="0">
            <x v="3"/>
          </reference>
          <reference field="4" count="1" selected="0">
            <x v="122"/>
          </reference>
          <reference field="5" count="1">
            <x v="1"/>
          </reference>
        </references>
      </pivotArea>
    </format>
    <format dxfId="5831">
      <pivotArea dataOnly="0" labelOnly="1" outline="0" fieldPosition="0">
        <references count="4">
          <reference field="2" count="1" selected="0">
            <x v="0"/>
          </reference>
          <reference field="3" count="1">
            <x v="1"/>
          </reference>
          <reference field="4" count="1" selected="0">
            <x v="16"/>
          </reference>
          <reference field="5" count="1" selected="0">
            <x v="4"/>
          </reference>
        </references>
      </pivotArea>
    </format>
    <format dxfId="5830">
      <pivotArea dataOnly="0" labelOnly="1" outline="0" fieldPosition="0">
        <references count="4">
          <reference field="2" count="1" selected="0">
            <x v="3"/>
          </reference>
          <reference field="3" count="1">
            <x v="0"/>
          </reference>
          <reference field="4" count="1" selected="0">
            <x v="122"/>
          </reference>
          <reference field="5" count="1" selected="0">
            <x v="1"/>
          </reference>
        </references>
      </pivotArea>
    </format>
    <format dxfId="5829">
      <pivotArea dataOnly="0" labelOnly="1" outline="0" fieldPosition="0">
        <references count="5">
          <reference field="2" count="1" selected="0">
            <x v="0"/>
          </reference>
          <reference field="3" count="1" selected="0">
            <x v="1"/>
          </reference>
          <reference field="4" count="1" selected="0">
            <x v="16"/>
          </reference>
          <reference field="5" count="1" selected="0">
            <x v="4"/>
          </reference>
          <reference field="6" count="1">
            <x v="2"/>
          </reference>
        </references>
      </pivotArea>
    </format>
    <format dxfId="5828">
      <pivotArea dataOnly="0" labelOnly="1" outline="0" fieldPosition="0">
        <references count="5">
          <reference field="2" count="1" selected="0">
            <x v="2"/>
          </reference>
          <reference field="3" count="1" selected="0">
            <x v="1"/>
          </reference>
          <reference field="4" count="1" selected="0">
            <x v="120"/>
          </reference>
          <reference field="5" count="1" selected="0">
            <x v="0"/>
          </reference>
          <reference field="6" count="1">
            <x v="2"/>
          </reference>
        </references>
      </pivotArea>
    </format>
    <format dxfId="5827">
      <pivotArea dataOnly="0" labelOnly="1" outline="0" fieldPosition="0">
        <references count="5">
          <reference field="2" count="1" selected="0">
            <x v="3"/>
          </reference>
          <reference field="3" count="1" selected="0">
            <x v="1"/>
          </reference>
          <reference field="4" count="1" selected="0">
            <x v="20"/>
          </reference>
          <reference field="5" count="1" selected="0">
            <x v="0"/>
          </reference>
          <reference field="6" count="1">
            <x v="3"/>
          </reference>
        </references>
      </pivotArea>
    </format>
    <format dxfId="5826">
      <pivotArea dataOnly="0" labelOnly="1" outline="0" fieldPosition="0">
        <references count="5">
          <reference field="2" count="1" selected="0">
            <x v="3"/>
          </reference>
          <reference field="3" count="1" selected="0">
            <x v="1"/>
          </reference>
          <reference field="4" count="1" selected="0">
            <x v="21"/>
          </reference>
          <reference field="5" count="1" selected="0">
            <x v="0"/>
          </reference>
          <reference field="6" count="1">
            <x v="3"/>
          </reference>
        </references>
      </pivotArea>
    </format>
    <format dxfId="5825">
      <pivotArea dataOnly="0" labelOnly="1" outline="0" fieldPosition="0">
        <references count="5">
          <reference field="2" count="1" selected="0">
            <x v="3"/>
          </reference>
          <reference field="3" count="1" selected="0">
            <x v="0"/>
          </reference>
          <reference field="4" count="1" selected="0">
            <x v="122"/>
          </reference>
          <reference field="5" count="1" selected="0">
            <x v="1"/>
          </reference>
          <reference field="6" count="1">
            <x v="2"/>
          </reference>
        </references>
      </pivotArea>
    </format>
    <format dxfId="5824">
      <pivotArea dataOnly="0" labelOnly="1" outline="0" fieldPosition="0">
        <references count="2">
          <reference field="2" count="1" selected="0">
            <x v="3"/>
          </reference>
          <reference field="4" count="4">
            <x v="33"/>
            <x v="34"/>
            <x v="35"/>
            <x v="36"/>
          </reference>
        </references>
      </pivotArea>
    </format>
    <format dxfId="5823">
      <pivotArea dataOnly="0" labelOnly="1" outline="0" fieldPosition="0">
        <references count="2">
          <reference field="2" count="1" selected="0">
            <x v="4"/>
          </reference>
          <reference field="4" count="4">
            <x v="37"/>
            <x v="38"/>
            <x v="39"/>
            <x v="123"/>
          </reference>
        </references>
      </pivotArea>
    </format>
    <format dxfId="5822">
      <pivotArea dataOnly="0" labelOnly="1" outline="0" fieldPosition="0">
        <references count="2">
          <reference field="2" count="1" selected="0">
            <x v="5"/>
          </reference>
          <reference field="4" count="3">
            <x v="41"/>
            <x v="42"/>
            <x v="43"/>
          </reference>
        </references>
      </pivotArea>
    </format>
    <format dxfId="5821">
      <pivotArea dataOnly="0" labelOnly="1" outline="0" fieldPosition="0">
        <references count="2">
          <reference field="2" count="1" selected="0">
            <x v="6"/>
          </reference>
          <reference field="4" count="2">
            <x v="44"/>
            <x v="124"/>
          </reference>
        </references>
      </pivotArea>
    </format>
    <format dxfId="5820">
      <pivotArea dataOnly="0" labelOnly="1" outline="0" fieldPosition="0">
        <references count="3">
          <reference field="2" count="1" selected="0">
            <x v="3"/>
          </reference>
          <reference field="4" count="1" selected="0">
            <x v="33"/>
          </reference>
          <reference field="5" count="1">
            <x v="0"/>
          </reference>
        </references>
      </pivotArea>
    </format>
    <format dxfId="5819">
      <pivotArea dataOnly="0" labelOnly="1" outline="0" fieldPosition="0">
        <references count="3">
          <reference field="2" count="1" selected="0">
            <x v="4"/>
          </reference>
          <reference field="4" count="1" selected="0">
            <x v="123"/>
          </reference>
          <reference field="5" count="1">
            <x v="2"/>
          </reference>
        </references>
      </pivotArea>
    </format>
    <format dxfId="5818">
      <pivotArea dataOnly="0" labelOnly="1" outline="0" fieldPosition="0">
        <references count="3">
          <reference field="2" count="1" selected="0">
            <x v="5"/>
          </reference>
          <reference field="4" count="1" selected="0">
            <x v="42"/>
          </reference>
          <reference field="5" count="1">
            <x v="3"/>
          </reference>
        </references>
      </pivotArea>
    </format>
    <format dxfId="5817">
      <pivotArea dataOnly="0" labelOnly="1" outline="0" fieldPosition="0">
        <references count="4">
          <reference field="2" count="1" selected="0">
            <x v="4"/>
          </reference>
          <reference field="3" count="1">
            <x v="2"/>
          </reference>
          <reference field="4" count="1" selected="0">
            <x v="123"/>
          </reference>
          <reference field="5" count="1" selected="0">
            <x v="2"/>
          </reference>
        </references>
      </pivotArea>
    </format>
    <format dxfId="5816">
      <pivotArea dataOnly="0" labelOnly="1" outline="0" fieldPosition="0">
        <references count="5">
          <reference field="2" count="1" selected="0">
            <x v="3"/>
          </reference>
          <reference field="3" count="1" selected="0">
            <x v="1"/>
          </reference>
          <reference field="4" count="1" selected="0">
            <x v="34"/>
          </reference>
          <reference field="5" count="1" selected="0">
            <x v="0"/>
          </reference>
          <reference field="6" count="1">
            <x v="3"/>
          </reference>
        </references>
      </pivotArea>
    </format>
    <format dxfId="5815">
      <pivotArea dataOnly="0" labelOnly="1" outline="0" fieldPosition="0">
        <references count="5">
          <reference field="2" count="1" selected="0">
            <x v="3"/>
          </reference>
          <reference field="3" count="1" selected="0">
            <x v="0"/>
          </reference>
          <reference field="4" count="1" selected="0">
            <x v="36"/>
          </reference>
          <reference field="5" count="1" selected="0">
            <x v="1"/>
          </reference>
          <reference field="6" count="1">
            <x v="2"/>
          </reference>
        </references>
      </pivotArea>
    </format>
    <format dxfId="5814">
      <pivotArea dataOnly="0" labelOnly="1" outline="0" fieldPosition="0">
        <references count="5">
          <reference field="2" count="1" selected="0">
            <x v="5"/>
          </reference>
          <reference field="3" count="1" selected="0">
            <x v="2"/>
          </reference>
          <reference field="4" count="1" selected="0">
            <x v="41"/>
          </reference>
          <reference field="5" count="1" selected="0">
            <x v="2"/>
          </reference>
          <reference field="6" count="1">
            <x v="2"/>
          </reference>
        </references>
      </pivotArea>
    </format>
    <format dxfId="5813">
      <pivotArea dataOnly="0" labelOnly="1" outline="0" fieldPosition="0">
        <references count="2">
          <reference field="2" count="1" selected="0">
            <x v="6"/>
          </reference>
          <reference field="4" count="5">
            <x v="80"/>
            <x v="81"/>
            <x v="82"/>
            <x v="83"/>
            <x v="84"/>
          </reference>
        </references>
      </pivotArea>
    </format>
    <format dxfId="5812">
      <pivotArea dataOnly="0" labelOnly="1" outline="0" fieldPosition="0">
        <references count="5">
          <reference field="2" count="1" selected="0">
            <x v="6"/>
          </reference>
          <reference field="3" count="1" selected="0">
            <x v="2"/>
          </reference>
          <reference field="4" count="1" selected="0">
            <x v="82"/>
          </reference>
          <reference field="5" count="1" selected="0">
            <x v="3"/>
          </reference>
          <reference field="6" count="1">
            <x v="3"/>
          </reference>
        </references>
      </pivotArea>
    </format>
    <format dxfId="5811">
      <pivotArea dataOnly="0" labelOnly="1" outline="0" fieldPosition="0">
        <references count="2">
          <reference field="2" count="1" selected="0">
            <x v="2"/>
          </reference>
          <reference field="4" count="2">
            <x v="19"/>
            <x v="138"/>
          </reference>
        </references>
      </pivotArea>
    </format>
    <format dxfId="5810">
      <pivotArea dataOnly="0" labelOnly="1" outline="0" fieldPosition="0">
        <references count="2">
          <reference field="2" count="1" selected="0">
            <x v="3"/>
          </reference>
          <reference field="4" count="6">
            <x v="1"/>
            <x v="24"/>
            <x v="33"/>
            <x v="54"/>
            <x v="119"/>
            <x v="127"/>
          </reference>
        </references>
      </pivotArea>
    </format>
    <format dxfId="5809">
      <pivotArea dataOnly="0" labelOnly="1" outline="0" fieldPosition="0">
        <references count="2">
          <reference field="2" count="1" selected="0">
            <x v="4"/>
          </reference>
          <reference field="4" count="4">
            <x v="8"/>
            <x v="56"/>
            <x v="123"/>
            <x v="129"/>
          </reference>
        </references>
      </pivotArea>
    </format>
    <format dxfId="5808">
      <pivotArea dataOnly="0" labelOnly="1" outline="0" fieldPosition="0">
        <references count="2">
          <reference field="2" count="1" selected="0">
            <x v="5"/>
          </reference>
          <reference field="4" count="1">
            <x v="11"/>
          </reference>
        </references>
      </pivotArea>
    </format>
    <format dxfId="5807">
      <pivotArea dataOnly="0" labelOnly="1" outline="0" fieldPosition="0">
        <references count="3">
          <reference field="2" count="1" selected="0">
            <x v="3"/>
          </reference>
          <reference field="4" count="1" selected="0">
            <x v="54"/>
          </reference>
          <reference field="5" count="1">
            <x v="1"/>
          </reference>
        </references>
      </pivotArea>
    </format>
    <format dxfId="5806">
      <pivotArea dataOnly="0" labelOnly="1" outline="0" fieldPosition="0">
        <references count="3">
          <reference field="2" count="1" selected="0">
            <x v="4"/>
          </reference>
          <reference field="4" count="1" selected="0">
            <x v="129"/>
          </reference>
          <reference field="5" count="1">
            <x v="1"/>
          </reference>
        </references>
      </pivotArea>
    </format>
    <format dxfId="5805">
      <pivotArea dataOnly="0" labelOnly="1" outline="0" fieldPosition="0">
        <references count="3">
          <reference field="2" count="1" selected="0">
            <x v="5"/>
          </reference>
          <reference field="4" count="1" selected="0">
            <x v="11"/>
          </reference>
          <reference field="5" count="1">
            <x v="3"/>
          </reference>
        </references>
      </pivotArea>
    </format>
    <format dxfId="5804">
      <pivotArea dataOnly="0" labelOnly="1" outline="0" fieldPosition="0">
        <references count="4">
          <reference field="2" count="1" selected="0">
            <x v="3"/>
          </reference>
          <reference field="3" count="1">
            <x v="0"/>
          </reference>
          <reference field="4" count="1" selected="0">
            <x v="54"/>
          </reference>
          <reference field="5" count="1" selected="0">
            <x v="1"/>
          </reference>
        </references>
      </pivotArea>
    </format>
    <format dxfId="5803">
      <pivotArea dataOnly="0" labelOnly="1" outline="0" fieldPosition="0">
        <references count="4">
          <reference field="2" count="1" selected="0">
            <x v="4"/>
          </reference>
          <reference field="3" count="1">
            <x v="0"/>
          </reference>
          <reference field="4" count="1" selected="0">
            <x v="129"/>
          </reference>
          <reference field="5" count="1" selected="0">
            <x v="1"/>
          </reference>
        </references>
      </pivotArea>
    </format>
    <format dxfId="5802">
      <pivotArea dataOnly="0" labelOnly="1" outline="0" fieldPosition="0">
        <references count="4">
          <reference field="2" count="1" selected="0">
            <x v="5"/>
          </reference>
          <reference field="3" count="1">
            <x v="2"/>
          </reference>
          <reference field="4" count="1" selected="0">
            <x v="11"/>
          </reference>
          <reference field="5" count="1" selected="0">
            <x v="3"/>
          </reference>
        </references>
      </pivotArea>
    </format>
    <format dxfId="5801">
      <pivotArea dataOnly="0" labelOnly="1" outline="0" fieldPosition="0">
        <references count="5">
          <reference field="2" count="1" selected="0">
            <x v="2"/>
          </reference>
          <reference field="3" count="1" selected="0">
            <x v="1"/>
          </reference>
          <reference field="4" count="1" selected="0">
            <x v="138"/>
          </reference>
          <reference field="5" count="1" selected="0">
            <x v="0"/>
          </reference>
          <reference field="6" count="1">
            <x v="2"/>
          </reference>
        </references>
      </pivotArea>
    </format>
    <format dxfId="5800">
      <pivotArea dataOnly="0" labelOnly="1" outline="0" fieldPosition="0">
        <references count="5">
          <reference field="2" count="1" selected="0">
            <x v="3"/>
          </reference>
          <reference field="3" count="1" selected="0">
            <x v="1"/>
          </reference>
          <reference field="4" count="1" selected="0">
            <x v="1"/>
          </reference>
          <reference field="5" count="1" selected="0">
            <x v="0"/>
          </reference>
          <reference field="6" count="1">
            <x v="2"/>
          </reference>
        </references>
      </pivotArea>
    </format>
    <format dxfId="5799">
      <pivotArea dataOnly="0" labelOnly="1" outline="0" fieldPosition="0">
        <references count="5">
          <reference field="2" count="1" selected="0">
            <x v="4"/>
          </reference>
          <reference field="3" count="1" selected="0">
            <x v="0"/>
          </reference>
          <reference field="4" count="1" selected="0">
            <x v="129"/>
          </reference>
          <reference field="5" count="1" selected="0">
            <x v="1"/>
          </reference>
          <reference field="6" count="1">
            <x v="2"/>
          </reference>
        </references>
      </pivotArea>
    </format>
    <format dxfId="5798">
      <pivotArea dataOnly="0" labelOnly="1" outline="0" fieldPosition="0">
        <references count="5">
          <reference field="2" count="1" selected="0">
            <x v="5"/>
          </reference>
          <reference field="3" count="1" selected="0">
            <x v="2"/>
          </reference>
          <reference field="4" count="1" selected="0">
            <x v="11"/>
          </reference>
          <reference field="5" count="1" selected="0">
            <x v="3"/>
          </reference>
          <reference field="6" count="1">
            <x v="2"/>
          </reference>
        </references>
      </pivotArea>
    </format>
    <format dxfId="5797">
      <pivotArea dataOnly="0" labelOnly="1" outline="0" fieldPosition="0">
        <references count="2">
          <reference field="2" count="1" selected="0">
            <x v="2"/>
          </reference>
          <reference field="4" count="3">
            <x v="17"/>
            <x v="49"/>
            <x v="72"/>
          </reference>
        </references>
      </pivotArea>
    </format>
    <format dxfId="5796">
      <pivotArea dataOnly="0" labelOnly="1" outline="0" fieldPosition="0">
        <references count="2">
          <reference field="2" count="1" selected="0">
            <x v="3"/>
          </reference>
          <reference field="4" count="7">
            <x v="9"/>
            <x v="14"/>
            <x v="23"/>
            <x v="35"/>
            <x v="52"/>
            <x v="86"/>
            <x v="128"/>
          </reference>
        </references>
      </pivotArea>
    </format>
    <format dxfId="5795">
      <pivotArea dataOnly="0" labelOnly="1" outline="0" fieldPosition="0">
        <references count="2">
          <reference field="2" count="1" selected="0">
            <x v="4"/>
          </reference>
          <reference field="4" count="4">
            <x v="4"/>
            <x v="28"/>
            <x v="29"/>
            <x v="98"/>
          </reference>
        </references>
      </pivotArea>
    </format>
    <format dxfId="5794">
      <pivotArea dataOnly="0" labelOnly="1" outline="0" fieldPosition="0">
        <references count="3">
          <reference field="2" count="1" selected="0">
            <x v="1"/>
          </reference>
          <reference field="4" count="1" selected="0">
            <x v="15"/>
          </reference>
          <reference field="5" count="1">
            <x v="0"/>
          </reference>
        </references>
      </pivotArea>
    </format>
    <format dxfId="5793">
      <pivotArea dataOnly="0" labelOnly="1" outline="0" fieldPosition="0">
        <references count="3">
          <reference field="2" count="1" selected="0">
            <x v="3"/>
          </reference>
          <reference field="4" count="1" selected="0">
            <x v="23"/>
          </reference>
          <reference field="5" count="1">
            <x v="0"/>
          </reference>
        </references>
      </pivotArea>
    </format>
    <format dxfId="5792">
      <pivotArea dataOnly="0" labelOnly="1" outline="0" fieldPosition="0">
        <references count="3">
          <reference field="2" count="1" selected="0">
            <x v="3"/>
          </reference>
          <reference field="4" count="1" selected="0">
            <x v="86"/>
          </reference>
          <reference field="5" count="1">
            <x v="2"/>
          </reference>
        </references>
      </pivotArea>
    </format>
    <format dxfId="5791">
      <pivotArea dataOnly="0" labelOnly="1" outline="0" fieldPosition="0">
        <references count="3">
          <reference field="2" count="1" selected="0">
            <x v="4"/>
          </reference>
          <reference field="4" count="1" selected="0">
            <x v="28"/>
          </reference>
          <reference field="5" count="1">
            <x v="3"/>
          </reference>
        </references>
      </pivotArea>
    </format>
    <format dxfId="5790">
      <pivotArea dataOnly="0" labelOnly="1" outline="0" fieldPosition="0">
        <references count="3">
          <reference field="2" count="1" selected="0">
            <x v="4"/>
          </reference>
          <reference field="4" count="1" selected="0">
            <x v="29"/>
          </reference>
          <reference field="5" count="1">
            <x v="1"/>
          </reference>
        </references>
      </pivotArea>
    </format>
    <format dxfId="5789">
      <pivotArea dataOnly="0" labelOnly="1" outline="0" fieldPosition="0">
        <references count="3">
          <reference field="2" count="1" selected="0">
            <x v="6"/>
          </reference>
          <reference field="4" count="1" selected="0">
            <x v="81"/>
          </reference>
          <reference field="5" count="1">
            <x v="3"/>
          </reference>
        </references>
      </pivotArea>
    </format>
    <format dxfId="5788">
      <pivotArea dataOnly="0" labelOnly="1" outline="0" fieldPosition="0">
        <references count="4">
          <reference field="2" count="1" selected="0">
            <x v="1"/>
          </reference>
          <reference field="3" count="1">
            <x v="1"/>
          </reference>
          <reference field="4" count="1" selected="0">
            <x v="15"/>
          </reference>
          <reference field="5" count="1" selected="0">
            <x v="0"/>
          </reference>
        </references>
      </pivotArea>
    </format>
    <format dxfId="5787">
      <pivotArea dataOnly="0" labelOnly="1" outline="0" fieldPosition="0">
        <references count="4">
          <reference field="2" count="1" selected="0">
            <x v="3"/>
          </reference>
          <reference field="3" count="1">
            <x v="1"/>
          </reference>
          <reference field="4" count="1" selected="0">
            <x v="23"/>
          </reference>
          <reference field="5" count="1" selected="0">
            <x v="0"/>
          </reference>
        </references>
      </pivotArea>
    </format>
    <format dxfId="5786">
      <pivotArea dataOnly="0" labelOnly="1" outline="0" fieldPosition="0">
        <references count="4">
          <reference field="2" count="1" selected="0">
            <x v="3"/>
          </reference>
          <reference field="3" count="1">
            <x v="1"/>
          </reference>
          <reference field="4" count="1" selected="0">
            <x v="86"/>
          </reference>
          <reference field="5" count="1" selected="0">
            <x v="2"/>
          </reference>
        </references>
      </pivotArea>
    </format>
    <format dxfId="5785">
      <pivotArea dataOnly="0" labelOnly="1" outline="0" fieldPosition="0">
        <references count="4">
          <reference field="2" count="1" selected="0">
            <x v="3"/>
          </reference>
          <reference field="3" count="1">
            <x v="0"/>
          </reference>
          <reference field="4" count="1" selected="0">
            <x v="128"/>
          </reference>
          <reference field="5" count="1" selected="0">
            <x v="1"/>
          </reference>
        </references>
      </pivotArea>
    </format>
    <format dxfId="5784">
      <pivotArea dataOnly="0" labelOnly="1" outline="0" fieldPosition="0">
        <references count="5">
          <reference field="2" count="1" selected="0">
            <x v="3"/>
          </reference>
          <reference field="3" count="1" selected="0">
            <x v="0"/>
          </reference>
          <reference field="4" count="1" selected="0">
            <x v="52"/>
          </reference>
          <reference field="5" count="1" selected="0">
            <x v="1"/>
          </reference>
          <reference field="6" count="1">
            <x v="2"/>
          </reference>
        </references>
      </pivotArea>
    </format>
    <format dxfId="5783">
      <pivotArea dataOnly="0" labelOnly="1" outline="0" fieldPosition="0">
        <references count="5">
          <reference field="2" count="1" selected="0">
            <x v="3"/>
          </reference>
          <reference field="3" count="1" selected="0">
            <x v="1"/>
          </reference>
          <reference field="4" count="1" selected="0">
            <x v="86"/>
          </reference>
          <reference field="5" count="1" selected="0">
            <x v="2"/>
          </reference>
          <reference field="6" count="1">
            <x v="2"/>
          </reference>
        </references>
      </pivotArea>
    </format>
    <format dxfId="5782">
      <pivotArea dataOnly="0" labelOnly="1" outline="0" fieldPosition="0">
        <references count="5">
          <reference field="2" count="1" selected="0">
            <x v="4"/>
          </reference>
          <reference field="3" count="1" selected="0">
            <x v="0"/>
          </reference>
          <reference field="4" count="1" selected="0">
            <x v="28"/>
          </reference>
          <reference field="5" count="1" selected="0">
            <x v="3"/>
          </reference>
          <reference field="6" count="1">
            <x v="2"/>
          </reference>
        </references>
      </pivotArea>
    </format>
    <format dxfId="5781">
      <pivotArea dataOnly="0" labelOnly="1" outline="0" fieldPosition="0">
        <references count="2">
          <reference field="2" count="1" selected="0">
            <x v="1"/>
          </reference>
          <reference field="4" count="1">
            <x v="113"/>
          </reference>
        </references>
      </pivotArea>
    </format>
    <format dxfId="5780">
      <pivotArea dataOnly="0" labelOnly="1" outline="0" fieldPosition="0">
        <references count="2">
          <reference field="2" count="1" selected="0">
            <x v="2"/>
          </reference>
          <reference field="4" count="4">
            <x v="19"/>
            <x v="49"/>
            <x v="114"/>
            <x v="137"/>
          </reference>
        </references>
      </pivotArea>
    </format>
    <format dxfId="5779">
      <pivotArea dataOnly="0" labelOnly="1" outline="0" fieldPosition="0">
        <references count="2">
          <reference field="2" count="1" selected="0">
            <x v="3"/>
          </reference>
          <reference field="4" count="5">
            <x v="14"/>
            <x v="77"/>
            <x v="106"/>
            <x v="116"/>
            <x v="117"/>
          </reference>
        </references>
      </pivotArea>
    </format>
    <format dxfId="5778">
      <pivotArea dataOnly="0" labelOnly="1" outline="0" fieldPosition="0">
        <references count="2">
          <reference field="2" count="1" selected="0">
            <x v="4"/>
          </reference>
          <reference field="4" count="3">
            <x v="7"/>
            <x v="66"/>
            <x v="118"/>
          </reference>
        </references>
      </pivotArea>
    </format>
    <format dxfId="5777">
      <pivotArea dataOnly="0" labelOnly="1" outline="0" fieldPosition="0">
        <references count="2">
          <reference field="2" count="1" selected="0">
            <x v="6"/>
          </reference>
          <reference field="4" count="2">
            <x v="83"/>
            <x v="84"/>
          </reference>
        </references>
      </pivotArea>
    </format>
    <format dxfId="5776">
      <pivotArea dataOnly="0" labelOnly="1" outline="0" fieldPosition="0">
        <references count="3">
          <reference field="2" count="1" selected="0">
            <x v="1"/>
          </reference>
          <reference field="4" count="1" selected="0">
            <x v="113"/>
          </reference>
          <reference field="5" count="1">
            <x v="0"/>
          </reference>
        </references>
      </pivotArea>
    </format>
    <format dxfId="5775">
      <pivotArea dataOnly="0" labelOnly="1" outline="0" fieldPosition="0">
        <references count="3">
          <reference field="2" count="1" selected="0">
            <x v="4"/>
          </reference>
          <reference field="4" count="1" selected="0">
            <x v="66"/>
          </reference>
          <reference field="5" count="1">
            <x v="1"/>
          </reference>
        </references>
      </pivotArea>
    </format>
    <format dxfId="5774">
      <pivotArea dataOnly="0" labelOnly="1" outline="0" fieldPosition="0">
        <references count="3">
          <reference field="2" count="1" selected="0">
            <x v="6"/>
          </reference>
          <reference field="4" count="1" selected="0">
            <x v="83"/>
          </reference>
          <reference field="5" count="1">
            <x v="3"/>
          </reference>
        </references>
      </pivotArea>
    </format>
    <format dxfId="5773">
      <pivotArea dataOnly="0" labelOnly="1" outline="0" fieldPosition="0">
        <references count="4">
          <reference field="2" count="1" selected="0">
            <x v="1"/>
          </reference>
          <reference field="3" count="1">
            <x v="1"/>
          </reference>
          <reference field="4" count="1" selected="0">
            <x v="113"/>
          </reference>
          <reference field="5" count="1" selected="0">
            <x v="0"/>
          </reference>
        </references>
      </pivotArea>
    </format>
    <format dxfId="5772">
      <pivotArea dataOnly="0" labelOnly="1" outline="0" fieldPosition="0">
        <references count="4">
          <reference field="2" count="1" selected="0">
            <x v="4"/>
          </reference>
          <reference field="3" count="1">
            <x v="0"/>
          </reference>
          <reference field="4" count="1" selected="0">
            <x v="66"/>
          </reference>
          <reference field="5" count="1" selected="0">
            <x v="1"/>
          </reference>
        </references>
      </pivotArea>
    </format>
    <format dxfId="5771">
      <pivotArea dataOnly="0" labelOnly="1" outline="0" fieldPosition="0">
        <references count="4">
          <reference field="2" count="1" selected="0">
            <x v="6"/>
          </reference>
          <reference field="3" count="1">
            <x v="3"/>
          </reference>
          <reference field="4" count="1" selected="0">
            <x v="83"/>
          </reference>
          <reference field="5" count="1" selected="0">
            <x v="3"/>
          </reference>
        </references>
      </pivotArea>
    </format>
    <format dxfId="5770">
      <pivotArea dataOnly="0" labelOnly="1" outline="0" fieldPosition="0">
        <references count="5">
          <reference field="2" count="1" selected="0">
            <x v="1"/>
          </reference>
          <reference field="3" count="1" selected="0">
            <x v="1"/>
          </reference>
          <reference field="4" count="1" selected="0">
            <x v="113"/>
          </reference>
          <reference field="5" count="1" selected="0">
            <x v="0"/>
          </reference>
          <reference field="6" count="1">
            <x v="2"/>
          </reference>
        </references>
      </pivotArea>
    </format>
    <format dxfId="5769">
      <pivotArea dataOnly="0" labelOnly="1" outline="0" fieldPosition="0">
        <references count="5">
          <reference field="2" count="1" selected="0">
            <x v="2"/>
          </reference>
          <reference field="3" count="1" selected="0">
            <x v="1"/>
          </reference>
          <reference field="4" count="1" selected="0">
            <x v="49"/>
          </reference>
          <reference field="5" count="1" selected="0">
            <x v="0"/>
          </reference>
          <reference field="6" count="1">
            <x v="0"/>
          </reference>
        </references>
      </pivotArea>
    </format>
    <format dxfId="5768">
      <pivotArea dataOnly="0" labelOnly="1" outline="0" fieldPosition="0">
        <references count="5">
          <reference field="2" count="1" selected="0">
            <x v="2"/>
          </reference>
          <reference field="3" count="1" selected="0">
            <x v="1"/>
          </reference>
          <reference field="4" count="1" selected="0">
            <x v="114"/>
          </reference>
          <reference field="5" count="1" selected="0">
            <x v="0"/>
          </reference>
          <reference field="6" count="1">
            <x v="2"/>
          </reference>
        </references>
      </pivotArea>
    </format>
    <format dxfId="5767">
      <pivotArea dataOnly="0" labelOnly="1" outline="0" fieldPosition="0">
        <references count="5">
          <reference field="2" count="1" selected="0">
            <x v="2"/>
          </reference>
          <reference field="3" count="1" selected="0">
            <x v="1"/>
          </reference>
          <reference field="4" count="1" selected="0">
            <x v="137"/>
          </reference>
          <reference field="5" count="1" selected="0">
            <x v="0"/>
          </reference>
          <reference field="6" count="1">
            <x v="2"/>
          </reference>
        </references>
      </pivotArea>
    </format>
    <format dxfId="5766">
      <pivotArea dataOnly="0" labelOnly="1" outline="0" fieldPosition="0">
        <references count="5">
          <reference field="2" count="1" selected="0">
            <x v="3"/>
          </reference>
          <reference field="3" count="1" selected="0">
            <x v="0"/>
          </reference>
          <reference field="4" count="1" selected="0">
            <x v="116"/>
          </reference>
          <reference field="5" count="1" selected="0">
            <x v="1"/>
          </reference>
          <reference field="6" count="1">
            <x v="2"/>
          </reference>
        </references>
      </pivotArea>
    </format>
    <format dxfId="5765">
      <pivotArea dataOnly="0" labelOnly="1" outline="0" fieldPosition="0">
        <references count="5">
          <reference field="2" count="1" selected="0">
            <x v="3"/>
          </reference>
          <reference field="3" count="1" selected="0">
            <x v="0"/>
          </reference>
          <reference field="4" count="1" selected="0">
            <x v="117"/>
          </reference>
          <reference field="5" count="1" selected="0">
            <x v="1"/>
          </reference>
          <reference field="6" count="1">
            <x v="2"/>
          </reference>
        </references>
      </pivotArea>
    </format>
    <format dxfId="5764">
      <pivotArea dataOnly="0" labelOnly="1" outline="0" fieldPosition="0">
        <references count="5">
          <reference field="2" count="1" selected="0">
            <x v="4"/>
          </reference>
          <reference field="3" count="1" selected="0">
            <x v="0"/>
          </reference>
          <reference field="4" count="1" selected="0">
            <x v="118"/>
          </reference>
          <reference field="5" count="1" selected="0">
            <x v="1"/>
          </reference>
          <reference field="6" count="1">
            <x v="2"/>
          </reference>
        </references>
      </pivotArea>
    </format>
    <format dxfId="5763">
      <pivotArea dataOnly="0" labelOnly="1" outline="0" fieldPosition="0">
        <references count="5">
          <reference field="2" count="1" selected="0">
            <x v="6"/>
          </reference>
          <reference field="3" count="1" selected="0">
            <x v="3"/>
          </reference>
          <reference field="4" count="1" selected="0">
            <x v="83"/>
          </reference>
          <reference field="5" count="1" selected="0">
            <x v="3"/>
          </reference>
          <reference field="6" count="1">
            <x v="6"/>
          </reference>
        </references>
      </pivotArea>
    </format>
    <format dxfId="5762">
      <pivotArea dataOnly="0" labelOnly="1" outline="0" fieldPosition="0">
        <references count="5">
          <reference field="2" count="1" selected="0">
            <x v="6"/>
          </reference>
          <reference field="3" count="1" selected="0">
            <x v="3"/>
          </reference>
          <reference field="4" count="1" selected="0">
            <x v="84"/>
          </reference>
          <reference field="5" count="1" selected="0">
            <x v="3"/>
          </reference>
          <reference field="6" count="1">
            <x v="6"/>
          </reference>
        </references>
      </pivotArea>
    </format>
    <format dxfId="5761">
      <pivotArea dataOnly="0" labelOnly="1" outline="0" fieldPosition="0">
        <references count="2">
          <reference field="2" count="1" selected="0">
            <x v="3"/>
          </reference>
          <reference field="4" count="5">
            <x v="9"/>
            <x v="105"/>
            <x v="106"/>
            <x v="107"/>
            <x v="121"/>
          </reference>
        </references>
      </pivotArea>
    </format>
    <format dxfId="5760">
      <pivotArea dataOnly="0" labelOnly="1" outline="0" fieldPosition="0">
        <references count="3">
          <reference field="2" count="1" selected="0">
            <x v="3"/>
          </reference>
          <reference field="4" count="1" selected="0">
            <x v="9"/>
          </reference>
          <reference field="5" count="1">
            <x v="1"/>
          </reference>
        </references>
      </pivotArea>
    </format>
    <format dxfId="5759">
      <pivotArea dataOnly="0" labelOnly="1" outline="0" fieldPosition="0">
        <references count="4">
          <reference field="2" count="1" selected="0">
            <x v="3"/>
          </reference>
          <reference field="3" count="1">
            <x v="0"/>
          </reference>
          <reference field="4" count="1" selected="0">
            <x v="9"/>
          </reference>
          <reference field="5" count="1" selected="0">
            <x v="1"/>
          </reference>
        </references>
      </pivotArea>
    </format>
    <format dxfId="5758">
      <pivotArea dataOnly="0" labelOnly="1" outline="0" fieldPosition="0">
        <references count="5">
          <reference field="2" count="1" selected="0">
            <x v="3"/>
          </reference>
          <reference field="3" count="1" selected="0">
            <x v="0"/>
          </reference>
          <reference field="4" count="1" selected="0">
            <x v="9"/>
          </reference>
          <reference field="5" count="1" selected="0">
            <x v="1"/>
          </reference>
          <reference field="6" count="1">
            <x v="2"/>
          </reference>
        </references>
      </pivotArea>
    </format>
    <format dxfId="5757">
      <pivotArea dataOnly="0" labelOnly="1" outline="0" fieldPosition="0">
        <references count="2">
          <reference field="2" count="1" selected="0">
            <x v="3"/>
          </reference>
          <reference field="4" count="8">
            <x v="28"/>
            <x v="89"/>
            <x v="90"/>
            <x v="91"/>
            <x v="92"/>
            <x v="94"/>
            <x v="132"/>
            <x v="133"/>
          </reference>
        </references>
      </pivotArea>
    </format>
    <format dxfId="5756">
      <pivotArea dataOnly="0" labelOnly="1" outline="0" fieldPosition="0">
        <references count="2">
          <reference field="2" count="1" selected="0">
            <x v="4"/>
          </reference>
          <reference field="4" count="6">
            <x v="2"/>
            <x v="7"/>
            <x v="95"/>
            <x v="97"/>
            <x v="98"/>
            <x v="134"/>
          </reference>
        </references>
      </pivotArea>
    </format>
    <format dxfId="5755">
      <pivotArea dataOnly="0" labelOnly="1" outline="0" fieldPosition="0">
        <references count="2">
          <reference field="2" count="1" selected="0">
            <x v="6"/>
          </reference>
          <reference field="4" count="1">
            <x v="124"/>
          </reference>
        </references>
      </pivotArea>
    </format>
    <format dxfId="5754">
      <pivotArea dataOnly="0" labelOnly="1" outline="0" fieldPosition="0">
        <references count="3">
          <reference field="2" count="1" selected="0">
            <x v="3"/>
          </reference>
          <reference field="4" count="1" selected="0">
            <x v="89"/>
          </reference>
          <reference field="5" count="1">
            <x v="0"/>
          </reference>
        </references>
      </pivotArea>
    </format>
    <format dxfId="5753">
      <pivotArea dataOnly="0" labelOnly="1" outline="0" fieldPosition="0">
        <references count="3">
          <reference field="2" count="1" selected="0">
            <x v="3"/>
          </reference>
          <reference field="4" count="1" selected="0">
            <x v="133"/>
          </reference>
          <reference field="5" count="1">
            <x v="3"/>
          </reference>
        </references>
      </pivotArea>
    </format>
    <format dxfId="5752">
      <pivotArea dataOnly="0" labelOnly="1" outline="0" fieldPosition="0">
        <references count="3">
          <reference field="2" count="1" selected="0">
            <x v="4"/>
          </reference>
          <reference field="4" count="1" selected="0">
            <x v="7"/>
          </reference>
          <reference field="5" count="1">
            <x v="2"/>
          </reference>
        </references>
      </pivotArea>
    </format>
    <format dxfId="5751">
      <pivotArea dataOnly="0" labelOnly="1" outline="0" fieldPosition="0">
        <references count="3">
          <reference field="2" count="1" selected="0">
            <x v="4"/>
          </reference>
          <reference field="4" count="1" selected="0">
            <x v="95"/>
          </reference>
          <reference field="5" count="1">
            <x v="1"/>
          </reference>
        </references>
      </pivotArea>
    </format>
    <format dxfId="5750">
      <pivotArea dataOnly="0" labelOnly="1" outline="0" fieldPosition="0">
        <references count="3">
          <reference field="2" count="1" selected="0">
            <x v="4"/>
          </reference>
          <reference field="4" count="1" selected="0">
            <x v="134"/>
          </reference>
          <reference field="5" count="1">
            <x v="1"/>
          </reference>
        </references>
      </pivotArea>
    </format>
    <format dxfId="5749">
      <pivotArea dataOnly="0" labelOnly="1" outline="0" fieldPosition="0">
        <references count="3">
          <reference field="2" count="1" selected="0">
            <x v="6"/>
          </reference>
          <reference field="4" count="1" selected="0">
            <x v="124"/>
          </reference>
          <reference field="5" count="1">
            <x v="3"/>
          </reference>
        </references>
      </pivotArea>
    </format>
    <format dxfId="5748">
      <pivotArea dataOnly="0" labelOnly="1" outline="0" fieldPosition="0">
        <references count="4">
          <reference field="2" count="1" selected="0">
            <x v="3"/>
          </reference>
          <reference field="3" count="1">
            <x v="1"/>
          </reference>
          <reference field="4" count="1" selected="0">
            <x v="89"/>
          </reference>
          <reference field="5" count="1" selected="0">
            <x v="0"/>
          </reference>
        </references>
      </pivotArea>
    </format>
    <format dxfId="5747">
      <pivotArea dataOnly="0" labelOnly="1" outline="0" fieldPosition="0">
        <references count="4">
          <reference field="2" count="1" selected="0">
            <x v="3"/>
          </reference>
          <reference field="3" count="1">
            <x v="0"/>
          </reference>
          <reference field="4" count="1" selected="0">
            <x v="133"/>
          </reference>
          <reference field="5" count="1" selected="0">
            <x v="3"/>
          </reference>
        </references>
      </pivotArea>
    </format>
    <format dxfId="5746">
      <pivotArea dataOnly="0" labelOnly="1" outline="0" fieldPosition="0">
        <references count="4">
          <reference field="2" count="1" selected="0">
            <x v="4"/>
          </reference>
          <reference field="3" count="1">
            <x v="2"/>
          </reference>
          <reference field="4" count="1" selected="0">
            <x v="7"/>
          </reference>
          <reference field="5" count="1" selected="0">
            <x v="2"/>
          </reference>
        </references>
      </pivotArea>
    </format>
    <format dxfId="5745">
      <pivotArea dataOnly="0" labelOnly="1" outline="0" fieldPosition="0">
        <references count="4">
          <reference field="2" count="1" selected="0">
            <x v="4"/>
          </reference>
          <reference field="3" count="1">
            <x v="0"/>
          </reference>
          <reference field="4" count="1" selected="0">
            <x v="95"/>
          </reference>
          <reference field="5" count="1" selected="0">
            <x v="1"/>
          </reference>
        </references>
      </pivotArea>
    </format>
    <format dxfId="5744">
      <pivotArea dataOnly="0" labelOnly="1" outline="0" fieldPosition="0">
        <references count="4">
          <reference field="2" count="1" selected="0">
            <x v="4"/>
          </reference>
          <reference field="3" count="1">
            <x v="0"/>
          </reference>
          <reference field="4" count="1" selected="0">
            <x v="134"/>
          </reference>
          <reference field="5" count="1" selected="0">
            <x v="1"/>
          </reference>
        </references>
      </pivotArea>
    </format>
    <format dxfId="5743">
      <pivotArea dataOnly="0" labelOnly="1" outline="0" fieldPosition="0">
        <references count="4">
          <reference field="2" count="1" selected="0">
            <x v="6"/>
          </reference>
          <reference field="3" count="1">
            <x v="3"/>
          </reference>
          <reference field="4" count="1" selected="0">
            <x v="124"/>
          </reference>
          <reference field="5" count="1" selected="0">
            <x v="3"/>
          </reference>
        </references>
      </pivotArea>
    </format>
    <format dxfId="5742">
      <pivotArea dataOnly="0" labelOnly="1" outline="0" fieldPosition="0">
        <references count="5">
          <reference field="2" count="1" selected="0">
            <x v="3"/>
          </reference>
          <reference field="3" count="1" selected="0">
            <x v="1"/>
          </reference>
          <reference field="4" count="1" selected="0">
            <x v="89"/>
          </reference>
          <reference field="5" count="1" selected="0">
            <x v="0"/>
          </reference>
          <reference field="6" count="1">
            <x v="0"/>
          </reference>
        </references>
      </pivotArea>
    </format>
    <format dxfId="5741">
      <pivotArea dataOnly="0" labelOnly="1" outline="0" fieldPosition="0">
        <references count="5">
          <reference field="2" count="1" selected="0">
            <x v="3"/>
          </reference>
          <reference field="3" count="1" selected="0">
            <x v="1"/>
          </reference>
          <reference field="4" count="1" selected="0">
            <x v="91"/>
          </reference>
          <reference field="5" count="1" selected="0">
            <x v="0"/>
          </reference>
          <reference field="6" count="1">
            <x v="0"/>
          </reference>
        </references>
      </pivotArea>
    </format>
    <format dxfId="5740">
      <pivotArea dataOnly="0" labelOnly="1" outline="0" fieldPosition="0">
        <references count="5">
          <reference field="2" count="1" selected="0">
            <x v="3"/>
          </reference>
          <reference field="3" count="1" selected="0">
            <x v="0"/>
          </reference>
          <reference field="4" count="1" selected="0">
            <x v="133"/>
          </reference>
          <reference field="5" count="1" selected="0">
            <x v="3"/>
          </reference>
          <reference field="6" count="1">
            <x v="2"/>
          </reference>
        </references>
      </pivotArea>
    </format>
    <format dxfId="5739">
      <pivotArea dataOnly="0" labelOnly="1" outline="0" fieldPosition="0">
        <references count="5">
          <reference field="2" count="1" selected="0">
            <x v="4"/>
          </reference>
          <reference field="3" count="1" selected="0">
            <x v="2"/>
          </reference>
          <reference field="4" count="1" selected="0">
            <x v="7"/>
          </reference>
          <reference field="5" count="1" selected="0">
            <x v="2"/>
          </reference>
          <reference field="6" count="1">
            <x v="2"/>
          </reference>
        </references>
      </pivotArea>
    </format>
    <format dxfId="5738">
      <pivotArea dataOnly="0" labelOnly="1" outline="0" fieldPosition="0">
        <references count="5">
          <reference field="2" count="1" selected="0">
            <x v="4"/>
          </reference>
          <reference field="3" count="1" selected="0">
            <x v="0"/>
          </reference>
          <reference field="4" count="1" selected="0">
            <x v="134"/>
          </reference>
          <reference field="5" count="1" selected="0">
            <x v="1"/>
          </reference>
          <reference field="6" count="1">
            <x v="2"/>
          </reference>
        </references>
      </pivotArea>
    </format>
    <format dxfId="5737">
      <pivotArea dataOnly="0" labelOnly="1" outline="0" fieldPosition="0">
        <references count="5">
          <reference field="2" count="1" selected="0">
            <x v="6"/>
          </reference>
          <reference field="3" count="1" selected="0">
            <x v="3"/>
          </reference>
          <reference field="4" count="1" selected="0">
            <x v="124"/>
          </reference>
          <reference field="5" count="1" selected="0">
            <x v="3"/>
          </reference>
          <reference field="6" count="1">
            <x v="6"/>
          </reference>
        </references>
      </pivotArea>
    </format>
    <format dxfId="5736">
      <pivotArea dataOnly="0" labelOnly="1" outline="0" fieldPosition="0">
        <references count="1">
          <reference field="2" count="0"/>
        </references>
      </pivotArea>
    </format>
    <format dxfId="5735">
      <pivotArea dataOnly="0" labelOnly="1" outline="0" fieldPosition="0">
        <references count="2">
          <reference field="2" count="1" selected="0">
            <x v="0"/>
          </reference>
          <reference field="4" count="1">
            <x v="30"/>
          </reference>
        </references>
      </pivotArea>
    </format>
    <format dxfId="5734">
      <pivotArea dataOnly="0" labelOnly="1" outline="0" fieldPosition="0">
        <references count="2">
          <reference field="2" count="1" selected="0">
            <x v="1"/>
          </reference>
          <reference field="4" count="1">
            <x v="130"/>
          </reference>
        </references>
      </pivotArea>
    </format>
    <format dxfId="5733">
      <pivotArea dataOnly="0" labelOnly="1" outline="0" fieldPosition="0">
        <references count="2">
          <reference field="2" count="1" selected="0">
            <x v="2"/>
          </reference>
          <reference field="4" count="5">
            <x v="17"/>
            <x v="70"/>
            <x v="71"/>
            <x v="72"/>
            <x v="73"/>
          </reference>
        </references>
      </pivotArea>
    </format>
    <format dxfId="5732">
      <pivotArea dataOnly="0" labelOnly="1" outline="0" fieldPosition="0">
        <references count="2">
          <reference field="2" count="1" selected="0">
            <x v="3"/>
          </reference>
          <reference field="4" count="6">
            <x v="14"/>
            <x v="74"/>
            <x v="75"/>
            <x v="76"/>
            <x v="77"/>
            <x v="131"/>
          </reference>
        </references>
      </pivotArea>
    </format>
    <format dxfId="5731">
      <pivotArea dataOnly="0" labelOnly="1" outline="0" fieldPosition="0">
        <references count="2">
          <reference field="2" count="1" selected="0">
            <x v="4"/>
          </reference>
          <reference field="4" count="6">
            <x v="0"/>
            <x v="29"/>
            <x v="37"/>
            <x v="38"/>
            <x v="39"/>
            <x v="79"/>
          </reference>
        </references>
      </pivotArea>
    </format>
    <format dxfId="5730">
      <pivotArea dataOnly="0" labelOnly="1" outline="0" fieldPosition="0">
        <references count="2">
          <reference field="2" count="1" selected="0">
            <x v="5"/>
          </reference>
          <reference field="4" count="1">
            <x v="43"/>
          </reference>
        </references>
      </pivotArea>
    </format>
    <format dxfId="5729">
      <pivotArea dataOnly="0" labelOnly="1" outline="0" fieldPosition="0">
        <references count="2">
          <reference field="2" count="1" selected="0">
            <x v="6"/>
          </reference>
          <reference field="4" count="3">
            <x v="80"/>
            <x v="81"/>
            <x v="100"/>
          </reference>
        </references>
      </pivotArea>
    </format>
    <format dxfId="5728">
      <pivotArea dataOnly="0" labelOnly="1" outline="0" fieldPosition="0">
        <references count="3">
          <reference field="2" count="1" selected="0">
            <x v="0"/>
          </reference>
          <reference field="4" count="1" selected="0">
            <x v="30"/>
          </reference>
          <reference field="5" count="1">
            <x v="4"/>
          </reference>
        </references>
      </pivotArea>
    </format>
    <format dxfId="5727">
      <pivotArea dataOnly="0" labelOnly="1" outline="0" fieldPosition="0">
        <references count="3">
          <reference field="2" count="1" selected="0">
            <x v="1"/>
          </reference>
          <reference field="4" count="1" selected="0">
            <x v="130"/>
          </reference>
          <reference field="5" count="1">
            <x v="0"/>
          </reference>
        </references>
      </pivotArea>
    </format>
    <format dxfId="5726">
      <pivotArea dataOnly="0" labelOnly="1" outline="0" fieldPosition="0">
        <references count="3">
          <reference field="2" count="1" selected="0">
            <x v="3"/>
          </reference>
          <reference field="4" count="1" selected="0">
            <x v="14"/>
          </reference>
          <reference field="5" count="1">
            <x v="1"/>
          </reference>
        </references>
      </pivotArea>
    </format>
    <format dxfId="5725">
      <pivotArea dataOnly="0" labelOnly="1" outline="0" fieldPosition="0">
        <references count="3">
          <reference field="2" count="1" selected="0">
            <x v="3"/>
          </reference>
          <reference field="4" count="1" selected="0">
            <x v="74"/>
          </reference>
          <reference field="5" count="1">
            <x v="0"/>
          </reference>
        </references>
      </pivotArea>
    </format>
    <format dxfId="5724">
      <pivotArea dataOnly="0" labelOnly="1" outline="0" fieldPosition="0">
        <references count="3">
          <reference field="2" count="1" selected="0">
            <x v="3"/>
          </reference>
          <reference field="4" count="1" selected="0">
            <x v="75"/>
          </reference>
          <reference field="5" count="1">
            <x v="1"/>
          </reference>
        </references>
      </pivotArea>
    </format>
    <format dxfId="5723">
      <pivotArea dataOnly="0" labelOnly="1" outline="0" fieldPosition="0">
        <references count="3">
          <reference field="2" count="1" selected="0">
            <x v="4"/>
          </reference>
          <reference field="4" count="1" selected="0">
            <x v="79"/>
          </reference>
          <reference field="5" count="1">
            <x v="2"/>
          </reference>
        </references>
      </pivotArea>
    </format>
    <format dxfId="5722">
      <pivotArea dataOnly="0" labelOnly="1" outline="0" fieldPosition="0">
        <references count="3">
          <reference field="2" count="1" selected="0">
            <x v="5"/>
          </reference>
          <reference field="4" count="1" selected="0">
            <x v="43"/>
          </reference>
          <reference field="5" count="1">
            <x v="6"/>
          </reference>
        </references>
      </pivotArea>
    </format>
    <format dxfId="5721">
      <pivotArea dataOnly="0" labelOnly="1" outline="0" fieldPosition="0">
        <references count="3">
          <reference field="2" count="1" selected="0">
            <x v="6"/>
          </reference>
          <reference field="4" count="1" selected="0">
            <x v="80"/>
          </reference>
          <reference field="5" count="1">
            <x v="3"/>
          </reference>
        </references>
      </pivotArea>
    </format>
    <format dxfId="5720">
      <pivotArea dataOnly="0" labelOnly="1" outline="0" fieldPosition="0">
        <references count="4">
          <reference field="2" count="1" selected="0">
            <x v="0"/>
          </reference>
          <reference field="3" count="1">
            <x v="2"/>
          </reference>
          <reference field="4" count="1" selected="0">
            <x v="30"/>
          </reference>
          <reference field="5" count="1" selected="0">
            <x v="4"/>
          </reference>
        </references>
      </pivotArea>
    </format>
    <format dxfId="5719">
      <pivotArea dataOnly="0" labelOnly="1" outline="0" fieldPosition="0">
        <references count="4">
          <reference field="2" count="1" selected="0">
            <x v="1"/>
          </reference>
          <reference field="3" count="1">
            <x v="1"/>
          </reference>
          <reference field="4" count="1" selected="0">
            <x v="130"/>
          </reference>
          <reference field="5" count="1" selected="0">
            <x v="0"/>
          </reference>
        </references>
      </pivotArea>
    </format>
    <format dxfId="5718">
      <pivotArea dataOnly="0" labelOnly="1" outline="0" fieldPosition="0">
        <references count="4">
          <reference field="2" count="1" selected="0">
            <x v="3"/>
          </reference>
          <reference field="3" count="1">
            <x v="0"/>
          </reference>
          <reference field="4" count="1" selected="0">
            <x v="14"/>
          </reference>
          <reference field="5" count="1" selected="0">
            <x v="1"/>
          </reference>
        </references>
      </pivotArea>
    </format>
    <format dxfId="5717">
      <pivotArea dataOnly="0" labelOnly="1" outline="0" fieldPosition="0">
        <references count="4">
          <reference field="2" count="1" selected="0">
            <x v="3"/>
          </reference>
          <reference field="3" count="1">
            <x v="1"/>
          </reference>
          <reference field="4" count="1" selected="0">
            <x v="74"/>
          </reference>
          <reference field="5" count="1" selected="0">
            <x v="0"/>
          </reference>
        </references>
      </pivotArea>
    </format>
    <format dxfId="5716">
      <pivotArea dataOnly="0" labelOnly="1" outline="0" fieldPosition="0">
        <references count="4">
          <reference field="2" count="1" selected="0">
            <x v="3"/>
          </reference>
          <reference field="3" count="1">
            <x v="0"/>
          </reference>
          <reference field="4" count="1" selected="0">
            <x v="75"/>
          </reference>
          <reference field="5" count="1" selected="0">
            <x v="1"/>
          </reference>
        </references>
      </pivotArea>
    </format>
    <format dxfId="5715">
      <pivotArea dataOnly="0" labelOnly="1" outline="0" fieldPosition="0">
        <references count="4">
          <reference field="2" count="1" selected="0">
            <x v="4"/>
          </reference>
          <reference field="3" count="1">
            <x v="2"/>
          </reference>
          <reference field="4" count="1" selected="0">
            <x v="79"/>
          </reference>
          <reference field="5" count="1" selected="0">
            <x v="2"/>
          </reference>
        </references>
      </pivotArea>
    </format>
    <format dxfId="5714">
      <pivotArea dataOnly="0" labelOnly="1" outline="0" fieldPosition="0">
        <references count="4">
          <reference field="2" count="1" selected="0">
            <x v="5"/>
          </reference>
          <reference field="3" count="1">
            <x v="3"/>
          </reference>
          <reference field="4" count="1" selected="0">
            <x v="43"/>
          </reference>
          <reference field="5" count="1" selected="0">
            <x v="6"/>
          </reference>
        </references>
      </pivotArea>
    </format>
    <format dxfId="5713">
      <pivotArea dataOnly="0" labelOnly="1" outline="0" fieldPosition="0">
        <references count="4">
          <reference field="2" count="1" selected="0">
            <x v="6"/>
          </reference>
          <reference field="3" count="1">
            <x v="2"/>
          </reference>
          <reference field="4" count="1" selected="0">
            <x v="80"/>
          </reference>
          <reference field="5" count="1" selected="0">
            <x v="3"/>
          </reference>
        </references>
      </pivotArea>
    </format>
    <format dxfId="5712">
      <pivotArea dataOnly="0" labelOnly="1" outline="0" fieldPosition="0">
        <references count="4">
          <reference field="2" count="1" selected="0">
            <x v="6"/>
          </reference>
          <reference field="3" count="1">
            <x v="3"/>
          </reference>
          <reference field="4" count="1" selected="0">
            <x v="100"/>
          </reference>
          <reference field="5" count="1" selected="0">
            <x v="3"/>
          </reference>
        </references>
      </pivotArea>
    </format>
    <format dxfId="5711">
      <pivotArea dataOnly="0" labelOnly="1" outline="0" fieldPosition="0">
        <references count="5">
          <reference field="2" count="1" selected="0">
            <x v="0"/>
          </reference>
          <reference field="3" count="1" selected="0">
            <x v="2"/>
          </reference>
          <reference field="4" count="1" selected="0">
            <x v="30"/>
          </reference>
          <reference field="5" count="1" selected="0">
            <x v="4"/>
          </reference>
          <reference field="6" count="1">
            <x v="2"/>
          </reference>
        </references>
      </pivotArea>
    </format>
    <format dxfId="5710">
      <pivotArea dataOnly="0" labelOnly="1" outline="0" fieldPosition="0">
        <references count="5">
          <reference field="2" count="1" selected="0">
            <x v="1"/>
          </reference>
          <reference field="3" count="1" selected="0">
            <x v="1"/>
          </reference>
          <reference field="4" count="1" selected="0">
            <x v="130"/>
          </reference>
          <reference field="5" count="1" selected="0">
            <x v="0"/>
          </reference>
          <reference field="6" count="1">
            <x v="2"/>
          </reference>
        </references>
      </pivotArea>
    </format>
    <format dxfId="5709">
      <pivotArea dataOnly="0" labelOnly="1" outline="0" fieldPosition="0">
        <references count="5">
          <reference field="2" count="1" selected="0">
            <x v="2"/>
          </reference>
          <reference field="3" count="1" selected="0">
            <x v="1"/>
          </reference>
          <reference field="4" count="1" selected="0">
            <x v="17"/>
          </reference>
          <reference field="5" count="1" selected="0">
            <x v="0"/>
          </reference>
          <reference field="6" count="1">
            <x v="3"/>
          </reference>
        </references>
      </pivotArea>
    </format>
    <format dxfId="5708">
      <pivotArea dataOnly="0" labelOnly="1" outline="0" fieldPosition="0">
        <references count="5">
          <reference field="2" count="1" selected="0">
            <x v="2"/>
          </reference>
          <reference field="3" count="1" selected="0">
            <x v="1"/>
          </reference>
          <reference field="4" count="1" selected="0">
            <x v="70"/>
          </reference>
          <reference field="5" count="1" selected="0">
            <x v="0"/>
          </reference>
          <reference field="6" count="1">
            <x v="0"/>
          </reference>
        </references>
      </pivotArea>
    </format>
    <format dxfId="5707">
      <pivotArea dataOnly="0" labelOnly="1" outline="0" fieldPosition="0">
        <references count="5">
          <reference field="2" count="1" selected="0">
            <x v="2"/>
          </reference>
          <reference field="3" count="1" selected="0">
            <x v="1"/>
          </reference>
          <reference field="4" count="1" selected="0">
            <x v="71"/>
          </reference>
          <reference field="5" count="1" selected="0">
            <x v="0"/>
          </reference>
          <reference field="6" count="1">
            <x v="2"/>
          </reference>
        </references>
      </pivotArea>
    </format>
    <format dxfId="5706">
      <pivotArea dataOnly="0" labelOnly="1" outline="0" fieldPosition="0">
        <references count="5">
          <reference field="2" count="1" selected="0">
            <x v="2"/>
          </reference>
          <reference field="3" count="1" selected="0">
            <x v="1"/>
          </reference>
          <reference field="4" count="1" selected="0">
            <x v="72"/>
          </reference>
          <reference field="5" count="1" selected="0">
            <x v="0"/>
          </reference>
          <reference field="6" count="1">
            <x v="2"/>
          </reference>
        </references>
      </pivotArea>
    </format>
    <format dxfId="5705">
      <pivotArea dataOnly="0" labelOnly="1" outline="0" fieldPosition="0">
        <references count="5">
          <reference field="2" count="1" selected="0">
            <x v="3"/>
          </reference>
          <reference field="3" count="1" selected="0">
            <x v="0"/>
          </reference>
          <reference field="4" count="1" selected="0">
            <x v="14"/>
          </reference>
          <reference field="5" count="1" selected="0">
            <x v="1"/>
          </reference>
          <reference field="6" count="1">
            <x v="2"/>
          </reference>
        </references>
      </pivotArea>
    </format>
    <format dxfId="5704">
      <pivotArea dataOnly="0" labelOnly="1" outline="0" fieldPosition="0">
        <references count="5">
          <reference field="2" count="1" selected="0">
            <x v="3"/>
          </reference>
          <reference field="3" count="1" selected="0">
            <x v="1"/>
          </reference>
          <reference field="4" count="1" selected="0">
            <x v="74"/>
          </reference>
          <reference field="5" count="1" selected="0">
            <x v="0"/>
          </reference>
          <reference field="6" count="1">
            <x v="0"/>
          </reference>
        </references>
      </pivotArea>
    </format>
    <format dxfId="5703">
      <pivotArea dataOnly="0" labelOnly="1" outline="0" fieldPosition="0">
        <references count="5">
          <reference field="2" count="1" selected="0">
            <x v="3"/>
          </reference>
          <reference field="3" count="1" selected="0">
            <x v="0"/>
          </reference>
          <reference field="4" count="1" selected="0">
            <x v="75"/>
          </reference>
          <reference field="5" count="1" selected="0">
            <x v="1"/>
          </reference>
          <reference field="6" count="1">
            <x v="2"/>
          </reference>
        </references>
      </pivotArea>
    </format>
    <format dxfId="5702">
      <pivotArea dataOnly="0" labelOnly="1" outline="0" fieldPosition="0">
        <references count="5">
          <reference field="2" count="1" selected="0">
            <x v="3"/>
          </reference>
          <reference field="3" count="1" selected="0">
            <x v="0"/>
          </reference>
          <reference field="4" count="1" selected="0">
            <x v="76"/>
          </reference>
          <reference field="5" count="1" selected="0">
            <x v="1"/>
          </reference>
          <reference field="6" count="1">
            <x v="2"/>
          </reference>
        </references>
      </pivotArea>
    </format>
    <format dxfId="5701">
      <pivotArea dataOnly="0" labelOnly="1" outline="0" fieldPosition="0">
        <references count="5">
          <reference field="2" count="1" selected="0">
            <x v="3"/>
          </reference>
          <reference field="3" count="1" selected="0">
            <x v="0"/>
          </reference>
          <reference field="4" count="1" selected="0">
            <x v="77"/>
          </reference>
          <reference field="5" count="1" selected="0">
            <x v="1"/>
          </reference>
          <reference field="6" count="1">
            <x v="2"/>
          </reference>
        </references>
      </pivotArea>
    </format>
    <format dxfId="5700">
      <pivotArea dataOnly="0" labelOnly="1" outline="0" fieldPosition="0">
        <references count="5">
          <reference field="2" count="1" selected="0">
            <x v="3"/>
          </reference>
          <reference field="3" count="1" selected="0">
            <x v="0"/>
          </reference>
          <reference field="4" count="1" selected="0">
            <x v="131"/>
          </reference>
          <reference field="5" count="1" selected="0">
            <x v="1"/>
          </reference>
          <reference field="6" count="1">
            <x v="2"/>
          </reference>
        </references>
      </pivotArea>
    </format>
    <format dxfId="5699">
      <pivotArea dataOnly="0" labelOnly="1" outline="0" fieldPosition="0">
        <references count="5">
          <reference field="2" count="1" selected="0">
            <x v="4"/>
          </reference>
          <reference field="3" count="1" selected="0">
            <x v="0"/>
          </reference>
          <reference field="4" count="1" selected="0">
            <x v="0"/>
          </reference>
          <reference field="5" count="1" selected="0">
            <x v="1"/>
          </reference>
          <reference field="6" count="1">
            <x v="2"/>
          </reference>
        </references>
      </pivotArea>
    </format>
    <format dxfId="5698">
      <pivotArea dataOnly="0" labelOnly="1" outline="0" fieldPosition="0">
        <references count="5">
          <reference field="2" count="1" selected="0">
            <x v="4"/>
          </reference>
          <reference field="3" count="1" selected="0">
            <x v="0"/>
          </reference>
          <reference field="4" count="1" selected="0">
            <x v="29"/>
          </reference>
          <reference field="5" count="1" selected="0">
            <x v="1"/>
          </reference>
          <reference field="6" count="1">
            <x v="2"/>
          </reference>
        </references>
      </pivotArea>
    </format>
    <format dxfId="5697">
      <pivotArea dataOnly="0" labelOnly="1" outline="0" fieldPosition="0">
        <references count="5">
          <reference field="2" count="1" selected="0">
            <x v="4"/>
          </reference>
          <reference field="3" count="1" selected="0">
            <x v="0"/>
          </reference>
          <reference field="4" count="1" selected="0">
            <x v="37"/>
          </reference>
          <reference field="5" count="1" selected="0">
            <x v="1"/>
          </reference>
          <reference field="6" count="1">
            <x v="2"/>
          </reference>
        </references>
      </pivotArea>
    </format>
    <format dxfId="5696">
      <pivotArea dataOnly="0" labelOnly="1" outline="0" fieldPosition="0">
        <references count="5">
          <reference field="2" count="1" selected="0">
            <x v="4"/>
          </reference>
          <reference field="3" count="1" selected="0">
            <x v="0"/>
          </reference>
          <reference field="4" count="1" selected="0">
            <x v="38"/>
          </reference>
          <reference field="5" count="1" selected="0">
            <x v="1"/>
          </reference>
          <reference field="6" count="1">
            <x v="2"/>
          </reference>
        </references>
      </pivotArea>
    </format>
    <format dxfId="5695">
      <pivotArea dataOnly="0" labelOnly="1" outline="0" fieldPosition="0">
        <references count="5">
          <reference field="2" count="1" selected="0">
            <x v="4"/>
          </reference>
          <reference field="3" count="1" selected="0">
            <x v="0"/>
          </reference>
          <reference field="4" count="1" selected="0">
            <x v="39"/>
          </reference>
          <reference field="5" count="1" selected="0">
            <x v="1"/>
          </reference>
          <reference field="6" count="1">
            <x v="2"/>
          </reference>
        </references>
      </pivotArea>
    </format>
    <format dxfId="5694">
      <pivotArea dataOnly="0" labelOnly="1" outline="0" fieldPosition="0">
        <references count="5">
          <reference field="2" count="1" selected="0">
            <x v="4"/>
          </reference>
          <reference field="3" count="1" selected="0">
            <x v="2"/>
          </reference>
          <reference field="4" count="1" selected="0">
            <x v="79"/>
          </reference>
          <reference field="5" count="1" selected="0">
            <x v="2"/>
          </reference>
          <reference field="6" count="1">
            <x v="2"/>
          </reference>
        </references>
      </pivotArea>
    </format>
    <format dxfId="5693">
      <pivotArea dataOnly="0" labelOnly="1" outline="0" fieldPosition="0">
        <references count="5">
          <reference field="2" count="1" selected="0">
            <x v="5"/>
          </reference>
          <reference field="3" count="1" selected="0">
            <x v="3"/>
          </reference>
          <reference field="4" count="1" selected="0">
            <x v="43"/>
          </reference>
          <reference field="5" count="1" selected="0">
            <x v="6"/>
          </reference>
          <reference field="6" count="1">
            <x v="5"/>
          </reference>
        </references>
      </pivotArea>
    </format>
    <format dxfId="5692">
      <pivotArea dataOnly="0" labelOnly="1" outline="0" fieldPosition="0">
        <references count="5">
          <reference field="2" count="1" selected="0">
            <x v="6"/>
          </reference>
          <reference field="3" count="1" selected="0">
            <x v="2"/>
          </reference>
          <reference field="4" count="1" selected="0">
            <x v="80"/>
          </reference>
          <reference field="5" count="1" selected="0">
            <x v="3"/>
          </reference>
          <reference field="6" count="1">
            <x v="3"/>
          </reference>
        </references>
      </pivotArea>
    </format>
    <format dxfId="5691">
      <pivotArea dataOnly="0" labelOnly="1" outline="0" fieldPosition="0">
        <references count="5">
          <reference field="2" count="1" selected="0">
            <x v="6"/>
          </reference>
          <reference field="3" count="1" selected="0">
            <x v="2"/>
          </reference>
          <reference field="4" count="1" selected="0">
            <x v="81"/>
          </reference>
          <reference field="5" count="1" selected="0">
            <x v="3"/>
          </reference>
          <reference field="6" count="1">
            <x v="6"/>
          </reference>
        </references>
      </pivotArea>
    </format>
    <format dxfId="5690">
      <pivotArea dataOnly="0" labelOnly="1" outline="0" fieldPosition="0">
        <references count="5">
          <reference field="2" count="1" selected="0">
            <x v="6"/>
          </reference>
          <reference field="3" count="1" selected="0">
            <x v="3"/>
          </reference>
          <reference field="4" count="1" selected="0">
            <x v="100"/>
          </reference>
          <reference field="5" count="1" selected="0">
            <x v="3"/>
          </reference>
          <reference field="6" count="1">
            <x v="6"/>
          </reference>
        </references>
      </pivotArea>
    </format>
    <format dxfId="5689">
      <pivotArea dataOnly="0" labelOnly="1" outline="0" fieldPosition="0">
        <references count="1">
          <reference field="2" count="6">
            <x v="1"/>
            <x v="2"/>
            <x v="3"/>
            <x v="4"/>
            <x v="5"/>
            <x v="6"/>
          </reference>
        </references>
      </pivotArea>
    </format>
    <format dxfId="5688">
      <pivotArea dataOnly="0" labelOnly="1" outline="0" fieldPosition="0">
        <references count="2">
          <reference field="2" count="1" selected="0">
            <x v="1"/>
          </reference>
          <reference field="4" count="1">
            <x v="31"/>
          </reference>
        </references>
      </pivotArea>
    </format>
    <format dxfId="5687">
      <pivotArea dataOnly="0" labelOnly="1" outline="0" fieldPosition="0">
        <references count="2">
          <reference field="2" count="1" selected="0">
            <x v="2"/>
          </reference>
          <reference field="4" count="7">
            <x v="6"/>
            <x v="32"/>
            <x v="34"/>
            <x v="58"/>
            <x v="59"/>
            <x v="60"/>
            <x v="61"/>
          </reference>
        </references>
      </pivotArea>
    </format>
    <format dxfId="5686">
      <pivotArea dataOnly="0" labelOnly="1" outline="0" fieldPosition="0">
        <references count="2">
          <reference field="2" count="1" selected="0">
            <x v="3"/>
          </reference>
          <reference field="4" count="7">
            <x v="23"/>
            <x v="25"/>
            <x v="26"/>
            <x v="62"/>
            <x v="63"/>
            <x v="64"/>
            <x v="65"/>
          </reference>
        </references>
      </pivotArea>
    </format>
    <format dxfId="5685">
      <pivotArea dataOnly="0" labelOnly="1" outline="0" fieldPosition="0">
        <references count="2">
          <reference field="2" count="1" selected="0">
            <x v="4"/>
          </reference>
          <reference field="4" count="3">
            <x v="66"/>
            <x v="67"/>
            <x v="68"/>
          </reference>
        </references>
      </pivotArea>
    </format>
    <format dxfId="5684">
      <pivotArea dataOnly="0" labelOnly="1" outline="0" fieldPosition="0">
        <references count="2">
          <reference field="2" count="1" selected="0">
            <x v="5"/>
          </reference>
          <reference field="4" count="2">
            <x v="12"/>
            <x v="42"/>
          </reference>
        </references>
      </pivotArea>
    </format>
    <format dxfId="5683">
      <pivotArea dataOnly="0" labelOnly="1" outline="0" fieldPosition="0">
        <references count="2">
          <reference field="2" count="1" selected="0">
            <x v="6"/>
          </reference>
          <reference field="4" count="1">
            <x v="5"/>
          </reference>
        </references>
      </pivotArea>
    </format>
    <format dxfId="5682">
      <pivotArea dataOnly="0" labelOnly="1" outline="0" fieldPosition="0">
        <references count="3">
          <reference field="2" count="1" selected="0">
            <x v="1"/>
          </reference>
          <reference field="4" count="1" selected="0">
            <x v="31"/>
          </reference>
          <reference field="5" count="1">
            <x v="0"/>
          </reference>
        </references>
      </pivotArea>
    </format>
    <format dxfId="5681">
      <pivotArea dataOnly="0" labelOnly="1" outline="0" fieldPosition="0">
        <references count="3">
          <reference field="2" count="1" selected="0">
            <x v="2"/>
          </reference>
          <reference field="4" count="1" selected="0">
            <x v="32"/>
          </reference>
          <reference field="5" count="1">
            <x v="1"/>
          </reference>
        </references>
      </pivotArea>
    </format>
    <format dxfId="5680">
      <pivotArea dataOnly="0" labelOnly="1" outline="0" fieldPosition="0">
        <references count="3">
          <reference field="2" count="1" selected="0">
            <x v="2"/>
          </reference>
          <reference field="4" count="1" selected="0">
            <x v="34"/>
          </reference>
          <reference field="5" count="1">
            <x v="0"/>
          </reference>
        </references>
      </pivotArea>
    </format>
    <format dxfId="5679">
      <pivotArea dataOnly="0" labelOnly="1" outline="0" fieldPosition="0">
        <references count="3">
          <reference field="2" count="1" selected="0">
            <x v="3"/>
          </reference>
          <reference field="4" count="1" selected="0">
            <x v="25"/>
          </reference>
          <reference field="5" count="1">
            <x v="1"/>
          </reference>
        </references>
      </pivotArea>
    </format>
    <format dxfId="5678">
      <pivotArea dataOnly="0" labelOnly="1" outline="0" fieldPosition="0">
        <references count="3">
          <reference field="2" count="1" selected="0">
            <x v="3"/>
          </reference>
          <reference field="4" count="1" selected="0">
            <x v="62"/>
          </reference>
          <reference field="5" count="1">
            <x v="0"/>
          </reference>
        </references>
      </pivotArea>
    </format>
    <format dxfId="5677">
      <pivotArea dataOnly="0" labelOnly="1" outline="0" fieldPosition="0">
        <references count="3">
          <reference field="2" count="1" selected="0">
            <x v="3"/>
          </reference>
          <reference field="4" count="1" selected="0">
            <x v="63"/>
          </reference>
          <reference field="5" count="1">
            <x v="1"/>
          </reference>
        </references>
      </pivotArea>
    </format>
    <format dxfId="5676">
      <pivotArea dataOnly="0" labelOnly="1" outline="0" fieldPosition="0">
        <references count="3">
          <reference field="2" count="1" selected="0">
            <x v="4"/>
          </reference>
          <reference field="4" count="1" selected="0">
            <x v="67"/>
          </reference>
          <reference field="5" count="1">
            <x v="2"/>
          </reference>
        </references>
      </pivotArea>
    </format>
    <format dxfId="5675">
      <pivotArea dataOnly="0" labelOnly="1" outline="0" fieldPosition="0">
        <references count="3">
          <reference field="2" count="1" selected="0">
            <x v="5"/>
          </reference>
          <reference field="4" count="1" selected="0">
            <x v="12"/>
          </reference>
          <reference field="5" count="1">
            <x v="3"/>
          </reference>
        </references>
      </pivotArea>
    </format>
    <format dxfId="5674">
      <pivotArea dataOnly="0" labelOnly="1" outline="0" fieldPosition="0">
        <references count="4">
          <reference field="2" count="1" selected="0">
            <x v="1"/>
          </reference>
          <reference field="3" count="1">
            <x v="1"/>
          </reference>
          <reference field="4" count="1" selected="0">
            <x v="31"/>
          </reference>
          <reference field="5" count="1" selected="0">
            <x v="0"/>
          </reference>
        </references>
      </pivotArea>
    </format>
    <format dxfId="5673">
      <pivotArea dataOnly="0" labelOnly="1" outline="0" fieldPosition="0">
        <references count="4">
          <reference field="2" count="1" selected="0">
            <x v="3"/>
          </reference>
          <reference field="3" count="1">
            <x v="0"/>
          </reference>
          <reference field="4" count="1" selected="0">
            <x v="25"/>
          </reference>
          <reference field="5" count="1" selected="0">
            <x v="1"/>
          </reference>
        </references>
      </pivotArea>
    </format>
    <format dxfId="5672">
      <pivotArea dataOnly="0" labelOnly="1" outline="0" fieldPosition="0">
        <references count="4">
          <reference field="2" count="1" selected="0">
            <x v="3"/>
          </reference>
          <reference field="3" count="1">
            <x v="1"/>
          </reference>
          <reference field="4" count="1" selected="0">
            <x v="62"/>
          </reference>
          <reference field="5" count="1" selected="0">
            <x v="0"/>
          </reference>
        </references>
      </pivotArea>
    </format>
    <format dxfId="5671">
      <pivotArea dataOnly="0" labelOnly="1" outline="0" fieldPosition="0">
        <references count="4">
          <reference field="2" count="1" selected="0">
            <x v="3"/>
          </reference>
          <reference field="3" count="1">
            <x v="0"/>
          </reference>
          <reference field="4" count="1" selected="0">
            <x v="63"/>
          </reference>
          <reference field="5" count="1" selected="0">
            <x v="1"/>
          </reference>
        </references>
      </pivotArea>
    </format>
    <format dxfId="5670">
      <pivotArea dataOnly="0" labelOnly="1" outline="0" fieldPosition="0">
        <references count="4">
          <reference field="2" count="1" selected="0">
            <x v="4"/>
          </reference>
          <reference field="3" count="1">
            <x v="2"/>
          </reference>
          <reference field="4" count="1" selected="0">
            <x v="67"/>
          </reference>
          <reference field="5" count="1" selected="0">
            <x v="2"/>
          </reference>
        </references>
      </pivotArea>
    </format>
    <format dxfId="5669">
      <pivotArea dataOnly="0" labelOnly="1" outline="0" fieldPosition="0">
        <references count="4">
          <reference field="2" count="1" selected="0">
            <x v="5"/>
          </reference>
          <reference field="3" count="1">
            <x v="3"/>
          </reference>
          <reference field="4" count="1" selected="0">
            <x v="42"/>
          </reference>
          <reference field="5" count="1" selected="0">
            <x v="3"/>
          </reference>
        </references>
      </pivotArea>
    </format>
    <format dxfId="5668">
      <pivotArea dataOnly="0" labelOnly="1" outline="0" fieldPosition="0">
        <references count="5">
          <reference field="2" count="1" selected="0">
            <x v="1"/>
          </reference>
          <reference field="3" count="1" selected="0">
            <x v="1"/>
          </reference>
          <reference field="4" count="1" selected="0">
            <x v="31"/>
          </reference>
          <reference field="5" count="1" selected="0">
            <x v="0"/>
          </reference>
          <reference field="6" count="1">
            <x v="2"/>
          </reference>
        </references>
      </pivotArea>
    </format>
    <format dxfId="5667">
      <pivotArea dataOnly="0" labelOnly="1" outline="0" fieldPosition="0">
        <references count="5">
          <reference field="2" count="1" selected="0">
            <x v="2"/>
          </reference>
          <reference field="3" count="1" selected="0">
            <x v="1"/>
          </reference>
          <reference field="4" count="1" selected="0">
            <x v="6"/>
          </reference>
          <reference field="5" count="1" selected="0">
            <x v="0"/>
          </reference>
          <reference field="6" count="1">
            <x v="0"/>
          </reference>
        </references>
      </pivotArea>
    </format>
    <format dxfId="5666">
      <pivotArea dataOnly="0" labelOnly="1" outline="0" fieldPosition="0">
        <references count="5">
          <reference field="2" count="1" selected="0">
            <x v="2"/>
          </reference>
          <reference field="3" count="1" selected="0">
            <x v="1"/>
          </reference>
          <reference field="4" count="1" selected="0">
            <x v="32"/>
          </reference>
          <reference field="5" count="1" selected="0">
            <x v="1"/>
          </reference>
          <reference field="6" count="1">
            <x v="4"/>
          </reference>
        </references>
      </pivotArea>
    </format>
    <format dxfId="5665">
      <pivotArea dataOnly="0" labelOnly="1" outline="0" fieldPosition="0">
        <references count="5">
          <reference field="2" count="1" selected="0">
            <x v="2"/>
          </reference>
          <reference field="3" count="1" selected="0">
            <x v="1"/>
          </reference>
          <reference field="4" count="1" selected="0">
            <x v="34"/>
          </reference>
          <reference field="5" count="1" selected="0">
            <x v="0"/>
          </reference>
          <reference field="6" count="1">
            <x v="3"/>
          </reference>
        </references>
      </pivotArea>
    </format>
    <format dxfId="5664">
      <pivotArea dataOnly="0" labelOnly="1" outline="0" fieldPosition="0">
        <references count="5">
          <reference field="2" count="1" selected="0">
            <x v="2"/>
          </reference>
          <reference field="3" count="1" selected="0">
            <x v="1"/>
          </reference>
          <reference field="4" count="1" selected="0">
            <x v="58"/>
          </reference>
          <reference field="5" count="1" selected="0">
            <x v="0"/>
          </reference>
          <reference field="6" count="1">
            <x v="3"/>
          </reference>
        </references>
      </pivotArea>
    </format>
    <format dxfId="5663">
      <pivotArea dataOnly="0" labelOnly="1" outline="0" fieldPosition="0">
        <references count="5">
          <reference field="2" count="1" selected="0">
            <x v="2"/>
          </reference>
          <reference field="3" count="1" selected="0">
            <x v="1"/>
          </reference>
          <reference field="4" count="1" selected="0">
            <x v="59"/>
          </reference>
          <reference field="5" count="1" selected="0">
            <x v="0"/>
          </reference>
          <reference field="6" count="1">
            <x v="3"/>
          </reference>
        </references>
      </pivotArea>
    </format>
    <format dxfId="5662">
      <pivotArea dataOnly="0" labelOnly="1" outline="0" fieldPosition="0">
        <references count="5">
          <reference field="2" count="1" selected="0">
            <x v="2"/>
          </reference>
          <reference field="3" count="1" selected="0">
            <x v="1"/>
          </reference>
          <reference field="4" count="1" selected="0">
            <x v="60"/>
          </reference>
          <reference field="5" count="1" selected="0">
            <x v="0"/>
          </reference>
          <reference field="6" count="1">
            <x v="2"/>
          </reference>
        </references>
      </pivotArea>
    </format>
    <format dxfId="5661">
      <pivotArea dataOnly="0" labelOnly="1" outline="0" fieldPosition="0">
        <references count="5">
          <reference field="2" count="1" selected="0">
            <x v="2"/>
          </reference>
          <reference field="3" count="1" selected="0">
            <x v="1"/>
          </reference>
          <reference field="4" count="1" selected="0">
            <x v="61"/>
          </reference>
          <reference field="5" count="1" selected="0">
            <x v="0"/>
          </reference>
          <reference field="6" count="1">
            <x v="3"/>
          </reference>
        </references>
      </pivotArea>
    </format>
    <format dxfId="5660">
      <pivotArea dataOnly="0" labelOnly="1" outline="0" fieldPosition="0">
        <references count="5">
          <reference field="2" count="1" selected="0">
            <x v="3"/>
          </reference>
          <reference field="3" count="1" selected="0">
            <x v="1"/>
          </reference>
          <reference field="4" count="1" selected="0">
            <x v="23"/>
          </reference>
          <reference field="5" count="1" selected="0">
            <x v="0"/>
          </reference>
          <reference field="6" count="1">
            <x v="3"/>
          </reference>
        </references>
      </pivotArea>
    </format>
    <format dxfId="5659">
      <pivotArea dataOnly="0" labelOnly="1" outline="0" fieldPosition="0">
        <references count="5">
          <reference field="2" count="1" selected="0">
            <x v="3"/>
          </reference>
          <reference field="3" count="1" selected="0">
            <x v="0"/>
          </reference>
          <reference field="4" count="1" selected="0">
            <x v="25"/>
          </reference>
          <reference field="5" count="1" selected="0">
            <x v="1"/>
          </reference>
          <reference field="6" count="1">
            <x v="2"/>
          </reference>
        </references>
      </pivotArea>
    </format>
    <format dxfId="5658">
      <pivotArea dataOnly="0" labelOnly="1" outline="0" fieldPosition="0">
        <references count="5">
          <reference field="2" count="1" selected="0">
            <x v="3"/>
          </reference>
          <reference field="3" count="1" selected="0">
            <x v="0"/>
          </reference>
          <reference field="4" count="1" selected="0">
            <x v="26"/>
          </reference>
          <reference field="5" count="1" selected="0">
            <x v="1"/>
          </reference>
          <reference field="6" count="1">
            <x v="2"/>
          </reference>
        </references>
      </pivotArea>
    </format>
    <format dxfId="5657">
      <pivotArea dataOnly="0" labelOnly="1" outline="0" fieldPosition="0">
        <references count="5">
          <reference field="2" count="1" selected="0">
            <x v="3"/>
          </reference>
          <reference field="3" count="1" selected="0">
            <x v="1"/>
          </reference>
          <reference field="4" count="1" selected="0">
            <x v="62"/>
          </reference>
          <reference field="5" count="1" selected="0">
            <x v="0"/>
          </reference>
          <reference field="6" count="1">
            <x v="0"/>
          </reference>
        </references>
      </pivotArea>
    </format>
    <format dxfId="5656">
      <pivotArea dataOnly="0" labelOnly="1" outline="0" fieldPosition="0">
        <references count="5">
          <reference field="2" count="1" selected="0">
            <x v="3"/>
          </reference>
          <reference field="3" count="1" selected="0">
            <x v="0"/>
          </reference>
          <reference field="4" count="1" selected="0">
            <x v="63"/>
          </reference>
          <reference field="5" count="1" selected="0">
            <x v="1"/>
          </reference>
          <reference field="6" count="1">
            <x v="2"/>
          </reference>
        </references>
      </pivotArea>
    </format>
    <format dxfId="5655">
      <pivotArea dataOnly="0" labelOnly="1" outline="0" fieldPosition="0">
        <references count="5">
          <reference field="2" count="1" selected="0">
            <x v="3"/>
          </reference>
          <reference field="3" count="1" selected="0">
            <x v="0"/>
          </reference>
          <reference field="4" count="1" selected="0">
            <x v="64"/>
          </reference>
          <reference field="5" count="1" selected="0">
            <x v="1"/>
          </reference>
          <reference field="6" count="1">
            <x v="2"/>
          </reference>
        </references>
      </pivotArea>
    </format>
    <format dxfId="5654">
      <pivotArea dataOnly="0" labelOnly="1" outline="0" fieldPosition="0">
        <references count="5">
          <reference field="2" count="1" selected="0">
            <x v="3"/>
          </reference>
          <reference field="3" count="1" selected="0">
            <x v="0"/>
          </reference>
          <reference field="4" count="1" selected="0">
            <x v="65"/>
          </reference>
          <reference field="5" count="1" selected="0">
            <x v="1"/>
          </reference>
          <reference field="6" count="1">
            <x v="2"/>
          </reference>
        </references>
      </pivotArea>
    </format>
    <format dxfId="5653">
      <pivotArea dataOnly="0" labelOnly="1" outline="0" fieldPosition="0">
        <references count="5">
          <reference field="2" count="1" selected="0">
            <x v="4"/>
          </reference>
          <reference field="3" count="1" selected="0">
            <x v="0"/>
          </reference>
          <reference field="4" count="1" selected="0">
            <x v="66"/>
          </reference>
          <reference field="5" count="1" selected="0">
            <x v="1"/>
          </reference>
          <reference field="6" count="1">
            <x v="2"/>
          </reference>
        </references>
      </pivotArea>
    </format>
    <format dxfId="5652">
      <pivotArea dataOnly="0" labelOnly="1" outline="0" fieldPosition="0">
        <references count="5">
          <reference field="2" count="1" selected="0">
            <x v="4"/>
          </reference>
          <reference field="3" count="1" selected="0">
            <x v="2"/>
          </reference>
          <reference field="4" count="1" selected="0">
            <x v="67"/>
          </reference>
          <reference field="5" count="1" selected="0">
            <x v="2"/>
          </reference>
          <reference field="6" count="1">
            <x v="2"/>
          </reference>
        </references>
      </pivotArea>
    </format>
    <format dxfId="5651">
      <pivotArea dataOnly="0" labelOnly="1" outline="0" fieldPosition="0">
        <references count="5">
          <reference field="2" count="1" selected="0">
            <x v="4"/>
          </reference>
          <reference field="3" count="1" selected="0">
            <x v="2"/>
          </reference>
          <reference field="4" count="1" selected="0">
            <x v="68"/>
          </reference>
          <reference field="5" count="1" selected="0">
            <x v="2"/>
          </reference>
          <reference field="6" count="1">
            <x v="2"/>
          </reference>
        </references>
      </pivotArea>
    </format>
    <format dxfId="5650">
      <pivotArea dataOnly="0" labelOnly="1" outline="0" fieldPosition="0">
        <references count="5">
          <reference field="2" count="1" selected="0">
            <x v="5"/>
          </reference>
          <reference field="3" count="1" selected="0">
            <x v="2"/>
          </reference>
          <reference field="4" count="1" selected="0">
            <x v="12"/>
          </reference>
          <reference field="5" count="1" selected="0">
            <x v="3"/>
          </reference>
          <reference field="6" count="1">
            <x v="2"/>
          </reference>
        </references>
      </pivotArea>
    </format>
    <format dxfId="5649">
      <pivotArea dataOnly="0" labelOnly="1" outline="0" fieldPosition="0">
        <references count="5">
          <reference field="2" count="1" selected="0">
            <x v="5"/>
          </reference>
          <reference field="3" count="1" selected="0">
            <x v="3"/>
          </reference>
          <reference field="4" count="1" selected="0">
            <x v="42"/>
          </reference>
          <reference field="5" count="1" selected="0">
            <x v="3"/>
          </reference>
          <reference field="6" count="1">
            <x v="2"/>
          </reference>
        </references>
      </pivotArea>
    </format>
    <format dxfId="5648">
      <pivotArea dataOnly="0" labelOnly="1" outline="0" fieldPosition="0">
        <references count="5">
          <reference field="2" count="1" selected="0">
            <x v="6"/>
          </reference>
          <reference field="3" count="1" selected="0">
            <x v="3"/>
          </reference>
          <reference field="4" count="1" selected="0">
            <x v="5"/>
          </reference>
          <reference field="5" count="1" selected="0">
            <x v="3"/>
          </reference>
          <reference field="6" count="1">
            <x v="1"/>
          </reference>
        </references>
      </pivotArea>
    </format>
    <format dxfId="5647">
      <pivotArea dataOnly="0" labelOnly="1" outline="0" fieldPosition="0">
        <references count="2">
          <reference field="2" count="1" selected="0">
            <x v="1"/>
          </reference>
          <reference field="4" count="2">
            <x v="101"/>
            <x v="102"/>
          </reference>
        </references>
      </pivotArea>
    </format>
    <format dxfId="5646">
      <pivotArea dataOnly="0" labelOnly="1" outline="0" fieldPosition="0">
        <references count="2">
          <reference field="2" count="1" selected="0">
            <x v="2"/>
          </reference>
          <reference field="4" count="3">
            <x v="73"/>
            <x v="135"/>
            <x v="136"/>
          </reference>
        </references>
      </pivotArea>
    </format>
    <format dxfId="5645">
      <pivotArea dataOnly="0" labelOnly="1" outline="0" fieldPosition="0">
        <references count="2">
          <reference field="2" count="1" selected="0">
            <x v="3"/>
          </reference>
          <reference field="4" count="4">
            <x v="105"/>
            <x v="106"/>
            <x v="107"/>
            <x v="121"/>
          </reference>
        </references>
      </pivotArea>
    </format>
    <format dxfId="5644">
      <pivotArea dataOnly="0" labelOnly="1" outline="0" fieldPosition="0">
        <references count="2">
          <reference field="2" count="1" selected="0">
            <x v="4"/>
          </reference>
          <reference field="4" count="4">
            <x v="97"/>
            <x v="108"/>
            <x v="109"/>
            <x v="110"/>
          </reference>
        </references>
      </pivotArea>
    </format>
    <format dxfId="5643">
      <pivotArea dataOnly="0" labelOnly="1" outline="0" fieldPosition="0">
        <references count="2">
          <reference field="2" count="1" selected="0">
            <x v="6"/>
          </reference>
          <reference field="4" count="2">
            <x v="111"/>
            <x v="112"/>
          </reference>
        </references>
      </pivotArea>
    </format>
    <format dxfId="5642">
      <pivotArea dataOnly="0" labelOnly="1" outline="0" fieldPosition="0">
        <references count="3">
          <reference field="2" count="1" selected="0">
            <x v="1"/>
          </reference>
          <reference field="4" count="1" selected="0">
            <x v="101"/>
          </reference>
          <reference field="5" count="1">
            <x v="0"/>
          </reference>
        </references>
      </pivotArea>
    </format>
    <format dxfId="5641">
      <pivotArea dataOnly="0" labelOnly="1" outline="0" fieldPosition="0">
        <references count="3">
          <reference field="2" count="1" selected="0">
            <x v="3"/>
          </reference>
          <reference field="4" count="1" selected="0">
            <x v="105"/>
          </reference>
          <reference field="5" count="1">
            <x v="1"/>
          </reference>
        </references>
      </pivotArea>
    </format>
    <format dxfId="5640">
      <pivotArea dataOnly="0" labelOnly="1" outline="0" fieldPosition="0">
        <references count="3">
          <reference field="2" count="1" selected="0">
            <x v="3"/>
          </reference>
          <reference field="4" count="1" selected="0">
            <x v="121"/>
          </reference>
          <reference field="5" count="1">
            <x v="0"/>
          </reference>
        </references>
      </pivotArea>
    </format>
    <format dxfId="5639">
      <pivotArea dataOnly="0" labelOnly="1" outline="0" fieldPosition="0">
        <references count="3">
          <reference field="2" count="1" selected="0">
            <x v="4"/>
          </reference>
          <reference field="4" count="1" selected="0">
            <x v="97"/>
          </reference>
          <reference field="5" count="1">
            <x v="1"/>
          </reference>
        </references>
      </pivotArea>
    </format>
    <format dxfId="5638">
      <pivotArea dataOnly="0" labelOnly="1" outline="0" fieldPosition="0">
        <references count="3">
          <reference field="2" count="1" selected="0">
            <x v="6"/>
          </reference>
          <reference field="4" count="1" selected="0">
            <x v="111"/>
          </reference>
          <reference field="5" count="1">
            <x v="3"/>
          </reference>
        </references>
      </pivotArea>
    </format>
    <format dxfId="5637">
      <pivotArea dataOnly="0" labelOnly="1" outline="0" fieldPosition="0">
        <references count="4">
          <reference field="2" count="1" selected="0">
            <x v="1"/>
          </reference>
          <reference field="3" count="1">
            <x v="1"/>
          </reference>
          <reference field="4" count="1" selected="0">
            <x v="101"/>
          </reference>
          <reference field="5" count="1" selected="0">
            <x v="0"/>
          </reference>
        </references>
      </pivotArea>
    </format>
    <format dxfId="5636">
      <pivotArea dataOnly="0" labelOnly="1" outline="0" fieldPosition="0">
        <references count="4">
          <reference field="2" count="1" selected="0">
            <x v="3"/>
          </reference>
          <reference field="3" count="1">
            <x v="0"/>
          </reference>
          <reference field="4" count="1" selected="0">
            <x v="105"/>
          </reference>
          <reference field="5" count="1" selected="0">
            <x v="1"/>
          </reference>
        </references>
      </pivotArea>
    </format>
    <format dxfId="5635">
      <pivotArea dataOnly="0" labelOnly="1" outline="0" fieldPosition="0">
        <references count="4">
          <reference field="2" count="1" selected="0">
            <x v="3"/>
          </reference>
          <reference field="3" count="1">
            <x v="1"/>
          </reference>
          <reference field="4" count="1" selected="0">
            <x v="121"/>
          </reference>
          <reference field="5" count="1" selected="0">
            <x v="0"/>
          </reference>
        </references>
      </pivotArea>
    </format>
    <format dxfId="5634">
      <pivotArea dataOnly="0" labelOnly="1" outline="0" fieldPosition="0">
        <references count="4">
          <reference field="2" count="1" selected="0">
            <x v="4"/>
          </reference>
          <reference field="3" count="1">
            <x v="0"/>
          </reference>
          <reference field="4" count="1" selected="0">
            <x v="97"/>
          </reference>
          <reference field="5" count="1" selected="0">
            <x v="1"/>
          </reference>
        </references>
      </pivotArea>
    </format>
    <format dxfId="5633">
      <pivotArea dataOnly="0" labelOnly="1" outline="0" fieldPosition="0">
        <references count="4">
          <reference field="2" count="1" selected="0">
            <x v="6"/>
          </reference>
          <reference field="3" count="1">
            <x v="2"/>
          </reference>
          <reference field="4" count="1" selected="0">
            <x v="111"/>
          </reference>
          <reference field="5" count="1" selected="0">
            <x v="3"/>
          </reference>
        </references>
      </pivotArea>
    </format>
    <format dxfId="5632">
      <pivotArea dataOnly="0" labelOnly="1" outline="0" fieldPosition="0">
        <references count="4">
          <reference field="2" count="1" selected="0">
            <x v="6"/>
          </reference>
          <reference field="3" count="1">
            <x v="3"/>
          </reference>
          <reference field="4" count="1" selected="0">
            <x v="112"/>
          </reference>
          <reference field="5" count="1" selected="0">
            <x v="3"/>
          </reference>
        </references>
      </pivotArea>
    </format>
    <format dxfId="5631">
      <pivotArea dataOnly="0" labelOnly="1" outline="0" fieldPosition="0">
        <references count="5">
          <reference field="2" count="1" selected="0">
            <x v="1"/>
          </reference>
          <reference field="3" count="1" selected="0">
            <x v="1"/>
          </reference>
          <reference field="4" count="1" selected="0">
            <x v="101"/>
          </reference>
          <reference field="5" count="1" selected="0">
            <x v="0"/>
          </reference>
          <reference field="6" count="1">
            <x v="2"/>
          </reference>
        </references>
      </pivotArea>
    </format>
    <format dxfId="5630">
      <pivotArea dataOnly="0" labelOnly="1" outline="0" fieldPosition="0">
        <references count="5">
          <reference field="2" count="1" selected="0">
            <x v="1"/>
          </reference>
          <reference field="3" count="1" selected="0">
            <x v="1"/>
          </reference>
          <reference field="4" count="1" selected="0">
            <x v="102"/>
          </reference>
          <reference field="5" count="1" selected="0">
            <x v="0"/>
          </reference>
          <reference field="6" count="1">
            <x v="2"/>
          </reference>
        </references>
      </pivotArea>
    </format>
    <format dxfId="5629">
      <pivotArea dataOnly="0" labelOnly="1" outline="0" fieldPosition="0">
        <references count="5">
          <reference field="2" count="1" selected="0">
            <x v="2"/>
          </reference>
          <reference field="3" count="1" selected="0">
            <x v="1"/>
          </reference>
          <reference field="4" count="1" selected="0">
            <x v="73"/>
          </reference>
          <reference field="5" count="1" selected="0">
            <x v="0"/>
          </reference>
          <reference field="6" count="1">
            <x v="2"/>
          </reference>
        </references>
      </pivotArea>
    </format>
    <format dxfId="5628">
      <pivotArea dataOnly="0" labelOnly="1" outline="0" fieldPosition="0">
        <references count="5">
          <reference field="2" count="1" selected="0">
            <x v="2"/>
          </reference>
          <reference field="3" count="1" selected="0">
            <x v="1"/>
          </reference>
          <reference field="4" count="1" selected="0">
            <x v="135"/>
          </reference>
          <reference field="5" count="1" selected="0">
            <x v="0"/>
          </reference>
          <reference field="6" count="1">
            <x v="0"/>
          </reference>
        </references>
      </pivotArea>
    </format>
    <format dxfId="5627">
      <pivotArea dataOnly="0" labelOnly="1" outline="0" fieldPosition="0">
        <references count="5">
          <reference field="2" count="1" selected="0">
            <x v="2"/>
          </reference>
          <reference field="3" count="1" selected="0">
            <x v="1"/>
          </reference>
          <reference field="4" count="1" selected="0">
            <x v="136"/>
          </reference>
          <reference field="5" count="1" selected="0">
            <x v="0"/>
          </reference>
          <reference field="6" count="1">
            <x v="2"/>
          </reference>
        </references>
      </pivotArea>
    </format>
    <format dxfId="5626">
      <pivotArea dataOnly="0" labelOnly="1" outline="0" fieldPosition="0">
        <references count="5">
          <reference field="2" count="1" selected="0">
            <x v="3"/>
          </reference>
          <reference field="3" count="1" selected="0">
            <x v="0"/>
          </reference>
          <reference field="4" count="1" selected="0">
            <x v="105"/>
          </reference>
          <reference field="5" count="1" selected="0">
            <x v="1"/>
          </reference>
          <reference field="6" count="1">
            <x v="2"/>
          </reference>
        </references>
      </pivotArea>
    </format>
    <format dxfId="5625">
      <pivotArea dataOnly="0" labelOnly="1" outline="0" fieldPosition="0">
        <references count="5">
          <reference field="2" count="1" selected="0">
            <x v="3"/>
          </reference>
          <reference field="3" count="1" selected="0">
            <x v="0"/>
          </reference>
          <reference field="4" count="1" selected="0">
            <x v="106"/>
          </reference>
          <reference field="5" count="1" selected="0">
            <x v="1"/>
          </reference>
          <reference field="6" count="1">
            <x v="2"/>
          </reference>
        </references>
      </pivotArea>
    </format>
    <format dxfId="5624">
      <pivotArea dataOnly="0" labelOnly="1" outline="0" fieldPosition="0">
        <references count="5">
          <reference field="2" count="1" selected="0">
            <x v="3"/>
          </reference>
          <reference field="3" count="1" selected="0">
            <x v="0"/>
          </reference>
          <reference field="4" count="1" selected="0">
            <x v="107"/>
          </reference>
          <reference field="5" count="1" selected="0">
            <x v="1"/>
          </reference>
          <reference field="6" count="1">
            <x v="2"/>
          </reference>
        </references>
      </pivotArea>
    </format>
    <format dxfId="5623">
      <pivotArea dataOnly="0" labelOnly="1" outline="0" fieldPosition="0">
        <references count="5">
          <reference field="2" count="1" selected="0">
            <x v="3"/>
          </reference>
          <reference field="3" count="1" selected="0">
            <x v="1"/>
          </reference>
          <reference field="4" count="1" selected="0">
            <x v="121"/>
          </reference>
          <reference field="5" count="1" selected="0">
            <x v="0"/>
          </reference>
          <reference field="6" count="1">
            <x v="3"/>
          </reference>
        </references>
      </pivotArea>
    </format>
    <format dxfId="5622">
      <pivotArea dataOnly="0" labelOnly="1" outline="0" fieldPosition="0">
        <references count="5">
          <reference field="2" count="1" selected="0">
            <x v="4"/>
          </reference>
          <reference field="3" count="1" selected="0">
            <x v="0"/>
          </reference>
          <reference field="4" count="1" selected="0">
            <x v="108"/>
          </reference>
          <reference field="5" count="1" selected="0">
            <x v="1"/>
          </reference>
          <reference field="6" count="1">
            <x v="5"/>
          </reference>
        </references>
      </pivotArea>
    </format>
    <format dxfId="5621">
      <pivotArea dataOnly="0" labelOnly="1" outline="0" fieldPosition="0">
        <references count="5">
          <reference field="2" count="1" selected="0">
            <x v="4"/>
          </reference>
          <reference field="3" count="1" selected="0">
            <x v="0"/>
          </reference>
          <reference field="4" count="1" selected="0">
            <x v="109"/>
          </reference>
          <reference field="5" count="1" selected="0">
            <x v="1"/>
          </reference>
          <reference field="6" count="1">
            <x v="2"/>
          </reference>
        </references>
      </pivotArea>
    </format>
    <format dxfId="5620">
      <pivotArea dataOnly="0" labelOnly="1" outline="0" fieldPosition="0">
        <references count="5">
          <reference field="2" count="1" selected="0">
            <x v="4"/>
          </reference>
          <reference field="3" count="1" selected="0">
            <x v="0"/>
          </reference>
          <reference field="4" count="1" selected="0">
            <x v="110"/>
          </reference>
          <reference field="5" count="1" selected="0">
            <x v="1"/>
          </reference>
          <reference field="6" count="1">
            <x v="2"/>
          </reference>
        </references>
      </pivotArea>
    </format>
    <format dxfId="5619">
      <pivotArea dataOnly="0" labelOnly="1" outline="0" fieldPosition="0">
        <references count="5">
          <reference field="2" count="1" selected="0">
            <x v="6"/>
          </reference>
          <reference field="3" count="1" selected="0">
            <x v="2"/>
          </reference>
          <reference field="4" count="1" selected="0">
            <x v="111"/>
          </reference>
          <reference field="5" count="1" selected="0">
            <x v="3"/>
          </reference>
          <reference field="6" count="1">
            <x v="3"/>
          </reference>
        </references>
      </pivotArea>
    </format>
    <format dxfId="5618">
      <pivotArea dataOnly="0" labelOnly="1" outline="0" fieldPosition="0">
        <references count="5">
          <reference field="2" count="1" selected="0">
            <x v="6"/>
          </reference>
          <reference field="3" count="1" selected="0">
            <x v="3"/>
          </reference>
          <reference field="4" count="1" selected="0">
            <x v="112"/>
          </reference>
          <reference field="5" count="1" selected="0">
            <x v="3"/>
          </reference>
          <reference field="6" count="1">
            <x v="3"/>
          </reference>
        </references>
      </pivotArea>
    </format>
    <format dxfId="5617">
      <pivotArea dataOnly="0" labelOnly="1" outline="0" fieldPosition="0">
        <references count="1">
          <reference field="2" count="5">
            <x v="1"/>
            <x v="2"/>
            <x v="3"/>
            <x v="4"/>
            <x v="5"/>
          </reference>
        </references>
      </pivotArea>
    </format>
    <format dxfId="5616">
      <pivotArea dataOnly="0" labelOnly="1" outline="0" fieldPosition="0">
        <references count="2">
          <reference field="2" count="1" selected="0">
            <x v="1"/>
          </reference>
          <reference field="4" count="2">
            <x v="10"/>
            <x v="15"/>
          </reference>
        </references>
      </pivotArea>
    </format>
    <format dxfId="5615">
      <pivotArea dataOnly="0" labelOnly="1" outline="0" fieldPosition="0">
        <references count="2">
          <reference field="2" count="1" selected="0">
            <x v="2"/>
          </reference>
          <reference field="4" count="2">
            <x v="86"/>
            <x v="87"/>
          </reference>
        </references>
      </pivotArea>
    </format>
    <format dxfId="5614">
      <pivotArea dataOnly="0" labelOnly="1" outline="0" fieldPosition="0">
        <references count="2">
          <reference field="2" count="1" selected="0">
            <x v="3"/>
          </reference>
          <reference field="4" count="5">
            <x v="28"/>
            <x v="90"/>
            <x v="92"/>
            <x v="94"/>
            <x v="132"/>
          </reference>
        </references>
      </pivotArea>
    </format>
    <format dxfId="5613">
      <pivotArea dataOnly="0" labelOnly="1" outline="0" fieldPosition="0">
        <references count="2">
          <reference field="2" count="1" selected="0">
            <x v="4"/>
          </reference>
          <reference field="4" count="4">
            <x v="2"/>
            <x v="95"/>
            <x v="97"/>
            <x v="98"/>
          </reference>
        </references>
      </pivotArea>
    </format>
    <format dxfId="5612">
      <pivotArea dataOnly="0" labelOnly="1" outline="0" fieldPosition="0">
        <references count="2">
          <reference field="2" count="1" selected="0">
            <x v="5"/>
          </reference>
          <reference field="4" count="1">
            <x v="99"/>
          </reference>
        </references>
      </pivotArea>
    </format>
    <format dxfId="5611">
      <pivotArea dataOnly="0" labelOnly="1" outline="0" fieldPosition="0">
        <references count="3">
          <reference field="2" count="1" selected="0">
            <x v="1"/>
          </reference>
          <reference field="4" count="1" selected="0">
            <x v="10"/>
          </reference>
          <reference field="5" count="1">
            <x v="0"/>
          </reference>
        </references>
      </pivotArea>
    </format>
    <format dxfId="5610">
      <pivotArea dataOnly="0" labelOnly="1" outline="0" fieldPosition="0">
        <references count="3">
          <reference field="2" count="1" selected="0">
            <x v="2"/>
          </reference>
          <reference field="4" count="1" selected="0">
            <x v="86"/>
          </reference>
          <reference field="5" count="1">
            <x v="2"/>
          </reference>
        </references>
      </pivotArea>
    </format>
    <format dxfId="5609">
      <pivotArea dataOnly="0" labelOnly="1" outline="0" fieldPosition="0">
        <references count="3">
          <reference field="2" count="1" selected="0">
            <x v="2"/>
          </reference>
          <reference field="4" count="1" selected="0">
            <x v="87"/>
          </reference>
          <reference field="5" count="1">
            <x v="0"/>
          </reference>
        </references>
      </pivotArea>
    </format>
    <format dxfId="5608">
      <pivotArea dataOnly="0" labelOnly="1" outline="0" fieldPosition="0">
        <references count="3">
          <reference field="2" count="1" selected="0">
            <x v="3"/>
          </reference>
          <reference field="4" count="1" selected="0">
            <x v="28"/>
          </reference>
          <reference field="5" count="1">
            <x v="3"/>
          </reference>
        </references>
      </pivotArea>
    </format>
    <format dxfId="5607">
      <pivotArea dataOnly="0" labelOnly="1" outline="0" fieldPosition="0">
        <references count="3">
          <reference field="2" count="1" selected="0">
            <x v="3"/>
          </reference>
          <reference field="4" count="1" selected="0">
            <x v="90"/>
          </reference>
          <reference field="5" count="1">
            <x v="0"/>
          </reference>
        </references>
      </pivotArea>
    </format>
    <format dxfId="5606">
      <pivotArea dataOnly="0" labelOnly="1" outline="0" fieldPosition="0">
        <references count="3">
          <reference field="2" count="1" selected="0">
            <x v="3"/>
          </reference>
          <reference field="4" count="1" selected="0">
            <x v="94"/>
          </reference>
          <reference field="5" count="1">
            <x v="1"/>
          </reference>
        </references>
      </pivotArea>
    </format>
    <format dxfId="5605">
      <pivotArea dataOnly="0" labelOnly="1" outline="0" fieldPosition="0">
        <references count="3">
          <reference field="2" count="1" selected="0">
            <x v="3"/>
          </reference>
          <reference field="4" count="1" selected="0">
            <x v="132"/>
          </reference>
          <reference field="5" count="1">
            <x v="0"/>
          </reference>
        </references>
      </pivotArea>
    </format>
    <format dxfId="5604">
      <pivotArea dataOnly="0" labelOnly="1" outline="0" fieldPosition="0">
        <references count="3">
          <reference field="2" count="1" selected="0">
            <x v="4"/>
          </reference>
          <reference field="4" count="1" selected="0">
            <x v="2"/>
          </reference>
          <reference field="5" count="1">
            <x v="1"/>
          </reference>
        </references>
      </pivotArea>
    </format>
    <format dxfId="5603">
      <pivotArea dataOnly="0" labelOnly="1" outline="0" fieldPosition="0">
        <references count="3">
          <reference field="2" count="1" selected="0">
            <x v="4"/>
          </reference>
          <reference field="4" count="1" selected="0">
            <x v="98"/>
          </reference>
          <reference field="5" count="1">
            <x v="3"/>
          </reference>
        </references>
      </pivotArea>
    </format>
    <format dxfId="5602">
      <pivotArea dataOnly="0" labelOnly="1" outline="0" fieldPosition="0">
        <references count="3">
          <reference field="2" count="1" selected="0">
            <x v="5"/>
          </reference>
          <reference field="4" count="1" selected="0">
            <x v="99"/>
          </reference>
          <reference field="5" count="1">
            <x v="7"/>
          </reference>
        </references>
      </pivotArea>
    </format>
    <format dxfId="5601">
      <pivotArea dataOnly="0" labelOnly="1" outline="0" fieldPosition="0">
        <references count="4">
          <reference field="2" count="1" selected="0">
            <x v="1"/>
          </reference>
          <reference field="3" count="1">
            <x v="1"/>
          </reference>
          <reference field="4" count="1" selected="0">
            <x v="10"/>
          </reference>
          <reference field="5" count="1" selected="0">
            <x v="0"/>
          </reference>
        </references>
      </pivotArea>
    </format>
    <format dxfId="5600">
      <pivotArea dataOnly="0" labelOnly="1" outline="0" fieldPosition="0">
        <references count="4">
          <reference field="2" count="1" selected="0">
            <x v="3"/>
          </reference>
          <reference field="3" count="1">
            <x v="0"/>
          </reference>
          <reference field="4" count="1" selected="0">
            <x v="28"/>
          </reference>
          <reference field="5" count="1" selected="0">
            <x v="3"/>
          </reference>
        </references>
      </pivotArea>
    </format>
    <format dxfId="5599">
      <pivotArea dataOnly="0" labelOnly="1" outline="0" fieldPosition="0">
        <references count="4">
          <reference field="2" count="1" selected="0">
            <x v="3"/>
          </reference>
          <reference field="3" count="1">
            <x v="1"/>
          </reference>
          <reference field="4" count="1" selected="0">
            <x v="90"/>
          </reference>
          <reference field="5" count="1" selected="0">
            <x v="0"/>
          </reference>
        </references>
      </pivotArea>
    </format>
    <format dxfId="5598">
      <pivotArea dataOnly="0" labelOnly="1" outline="0" fieldPosition="0">
        <references count="4">
          <reference field="2" count="1" selected="0">
            <x v="3"/>
          </reference>
          <reference field="3" count="1">
            <x v="0"/>
          </reference>
          <reference field="4" count="1" selected="0">
            <x v="94"/>
          </reference>
          <reference field="5" count="1" selected="0">
            <x v="1"/>
          </reference>
        </references>
      </pivotArea>
    </format>
    <format dxfId="5597">
      <pivotArea dataOnly="0" labelOnly="1" outline="0" fieldPosition="0">
        <references count="4">
          <reference field="2" count="1" selected="0">
            <x v="3"/>
          </reference>
          <reference field="3" count="1">
            <x v="1"/>
          </reference>
          <reference field="4" count="1" selected="0">
            <x v="132"/>
          </reference>
          <reference field="5" count="1" selected="0">
            <x v="0"/>
          </reference>
        </references>
      </pivotArea>
    </format>
    <format dxfId="5596">
      <pivotArea dataOnly="0" labelOnly="1" outline="0" fieldPosition="0">
        <references count="4">
          <reference field="2" count="1" selected="0">
            <x v="4"/>
          </reference>
          <reference field="3" count="1">
            <x v="0"/>
          </reference>
          <reference field="4" count="1" selected="0">
            <x v="2"/>
          </reference>
          <reference field="5" count="1" selected="0">
            <x v="1"/>
          </reference>
        </references>
      </pivotArea>
    </format>
    <format dxfId="5595">
      <pivotArea dataOnly="0" labelOnly="1" outline="0" fieldPosition="0">
        <references count="4">
          <reference field="2" count="1" selected="0">
            <x v="4"/>
          </reference>
          <reference field="3" count="1">
            <x v="3"/>
          </reference>
          <reference field="4" count="1" selected="0">
            <x v="98"/>
          </reference>
          <reference field="5" count="1" selected="0">
            <x v="3"/>
          </reference>
        </references>
      </pivotArea>
    </format>
    <format dxfId="5594">
      <pivotArea dataOnly="0" labelOnly="1" outline="0" fieldPosition="0">
        <references count="4">
          <reference field="2" count="1" selected="0">
            <x v="5"/>
          </reference>
          <reference field="3" count="1">
            <x v="2"/>
          </reference>
          <reference field="4" count="1" selected="0">
            <x v="99"/>
          </reference>
          <reference field="5" count="1" selected="0">
            <x v="7"/>
          </reference>
        </references>
      </pivotArea>
    </format>
    <format dxfId="5593">
      <pivotArea dataOnly="0" labelOnly="1" outline="0" fieldPosition="0">
        <references count="5">
          <reference field="2" count="1" selected="0">
            <x v="1"/>
          </reference>
          <reference field="3" count="1" selected="0">
            <x v="1"/>
          </reference>
          <reference field="4" count="1" selected="0">
            <x v="10"/>
          </reference>
          <reference field="5" count="1" selected="0">
            <x v="0"/>
          </reference>
          <reference field="6" count="1">
            <x v="2"/>
          </reference>
        </references>
      </pivotArea>
    </format>
    <format dxfId="5592">
      <pivotArea dataOnly="0" labelOnly="1" outline="0" fieldPosition="0">
        <references count="5">
          <reference field="2" count="1" selected="0">
            <x v="1"/>
          </reference>
          <reference field="3" count="1" selected="0">
            <x v="1"/>
          </reference>
          <reference field="4" count="1" selected="0">
            <x v="15"/>
          </reference>
          <reference field="5" count="1" selected="0">
            <x v="0"/>
          </reference>
          <reference field="6" count="1">
            <x v="2"/>
          </reference>
        </references>
      </pivotArea>
    </format>
    <format dxfId="5591">
      <pivotArea dataOnly="0" labelOnly="1" outline="0" fieldPosition="0">
        <references count="5">
          <reference field="2" count="1" selected="0">
            <x v="2"/>
          </reference>
          <reference field="3" count="1" selected="0">
            <x v="1"/>
          </reference>
          <reference field="4" count="1" selected="0">
            <x v="86"/>
          </reference>
          <reference field="5" count="1" selected="0">
            <x v="2"/>
          </reference>
          <reference field="6" count="1">
            <x v="2"/>
          </reference>
        </references>
      </pivotArea>
    </format>
    <format dxfId="5590">
      <pivotArea dataOnly="0" labelOnly="1" outline="0" fieldPosition="0">
        <references count="5">
          <reference field="2" count="1" selected="0">
            <x v="2"/>
          </reference>
          <reference field="3" count="1" selected="0">
            <x v="1"/>
          </reference>
          <reference field="4" count="1" selected="0">
            <x v="87"/>
          </reference>
          <reference field="5" count="1" selected="0">
            <x v="0"/>
          </reference>
          <reference field="6" count="1">
            <x v="2"/>
          </reference>
        </references>
      </pivotArea>
    </format>
    <format dxfId="5589">
      <pivotArea dataOnly="0" labelOnly="1" outline="0" fieldPosition="0">
        <references count="5">
          <reference field="2" count="1" selected="0">
            <x v="3"/>
          </reference>
          <reference field="3" count="1" selected="0">
            <x v="0"/>
          </reference>
          <reference field="4" count="1" selected="0">
            <x v="28"/>
          </reference>
          <reference field="5" count="1" selected="0">
            <x v="3"/>
          </reference>
          <reference field="6" count="1">
            <x v="2"/>
          </reference>
        </references>
      </pivotArea>
    </format>
    <format dxfId="5588">
      <pivotArea dataOnly="0" labelOnly="1" outline="0" fieldPosition="0">
        <references count="5">
          <reference field="2" count="1" selected="0">
            <x v="3"/>
          </reference>
          <reference field="3" count="1" selected="0">
            <x v="1"/>
          </reference>
          <reference field="4" count="1" selected="0">
            <x v="90"/>
          </reference>
          <reference field="5" count="1" selected="0">
            <x v="0"/>
          </reference>
          <reference field="6" count="1">
            <x v="7"/>
          </reference>
        </references>
      </pivotArea>
    </format>
    <format dxfId="5587">
      <pivotArea dataOnly="0" labelOnly="1" outline="0" fieldPosition="0">
        <references count="5">
          <reference field="2" count="1" selected="0">
            <x v="3"/>
          </reference>
          <reference field="3" count="1" selected="0">
            <x v="1"/>
          </reference>
          <reference field="4" count="1" selected="0">
            <x v="92"/>
          </reference>
          <reference field="5" count="1" selected="0">
            <x v="0"/>
          </reference>
          <reference field="6" count="1">
            <x v="3"/>
          </reference>
        </references>
      </pivotArea>
    </format>
    <format dxfId="5586">
      <pivotArea dataOnly="0" labelOnly="1" outline="0" fieldPosition="0">
        <references count="5">
          <reference field="2" count="1" selected="0">
            <x v="3"/>
          </reference>
          <reference field="3" count="1" selected="0">
            <x v="0"/>
          </reference>
          <reference field="4" count="1" selected="0">
            <x v="94"/>
          </reference>
          <reference field="5" count="1" selected="0">
            <x v="1"/>
          </reference>
          <reference field="6" count="1">
            <x v="2"/>
          </reference>
        </references>
      </pivotArea>
    </format>
    <format dxfId="5585">
      <pivotArea dataOnly="0" labelOnly="1" outline="0" fieldPosition="0">
        <references count="5">
          <reference field="2" count="1" selected="0">
            <x v="3"/>
          </reference>
          <reference field="3" count="1" selected="0">
            <x v="1"/>
          </reference>
          <reference field="4" count="1" selected="0">
            <x v="132"/>
          </reference>
          <reference field="5" count="1" selected="0">
            <x v="0"/>
          </reference>
          <reference field="6" count="1">
            <x v="2"/>
          </reference>
        </references>
      </pivotArea>
    </format>
    <format dxfId="5584">
      <pivotArea dataOnly="0" labelOnly="1" outline="0" fieldPosition="0">
        <references count="5">
          <reference field="2" count="1" selected="0">
            <x v="4"/>
          </reference>
          <reference field="3" count="1" selected="0">
            <x v="0"/>
          </reference>
          <reference field="4" count="1" selected="0">
            <x v="2"/>
          </reference>
          <reference field="5" count="1" selected="0">
            <x v="1"/>
          </reference>
          <reference field="6" count="1">
            <x v="2"/>
          </reference>
        </references>
      </pivotArea>
    </format>
    <format dxfId="5583">
      <pivotArea dataOnly="0" labelOnly="1" outline="0" fieldPosition="0">
        <references count="5">
          <reference field="2" count="1" selected="0">
            <x v="4"/>
          </reference>
          <reference field="3" count="1" selected="0">
            <x v="0"/>
          </reference>
          <reference field="4" count="1" selected="0">
            <x v="95"/>
          </reference>
          <reference field="5" count="1" selected="0">
            <x v="1"/>
          </reference>
          <reference field="6" count="1">
            <x v="2"/>
          </reference>
        </references>
      </pivotArea>
    </format>
    <format dxfId="5582">
      <pivotArea dataOnly="0" labelOnly="1" outline="0" fieldPosition="0">
        <references count="5">
          <reference field="2" count="1" selected="0">
            <x v="4"/>
          </reference>
          <reference field="3" count="1" selected="0">
            <x v="0"/>
          </reference>
          <reference field="4" count="1" selected="0">
            <x v="97"/>
          </reference>
          <reference field="5" count="1" selected="0">
            <x v="1"/>
          </reference>
          <reference field="6" count="1">
            <x v="2"/>
          </reference>
        </references>
      </pivotArea>
    </format>
    <format dxfId="5581">
      <pivotArea dataOnly="0" labelOnly="1" outline="0" fieldPosition="0">
        <references count="5">
          <reference field="2" count="1" selected="0">
            <x v="4"/>
          </reference>
          <reference field="3" count="1" selected="0">
            <x v="3"/>
          </reference>
          <reference field="4" count="1" selected="0">
            <x v="98"/>
          </reference>
          <reference field="5" count="1" selected="0">
            <x v="3"/>
          </reference>
          <reference field="6" count="1">
            <x v="2"/>
          </reference>
        </references>
      </pivotArea>
    </format>
    <format dxfId="5580">
      <pivotArea dataOnly="0" labelOnly="1" outline="0" fieldPosition="0">
        <references count="5">
          <reference field="2" count="1" selected="0">
            <x v="5"/>
          </reference>
          <reference field="3" count="1" selected="0">
            <x v="2"/>
          </reference>
          <reference field="4" count="1" selected="0">
            <x v="99"/>
          </reference>
          <reference field="5" count="1" selected="0">
            <x v="7"/>
          </reference>
          <reference field="6" count="1">
            <x v="6"/>
          </reference>
        </references>
      </pivotArea>
    </format>
    <format dxfId="5579">
      <pivotArea dataOnly="0" labelOnly="1" outline="0" fieldPosition="0">
        <references count="1">
          <reference field="2" count="6">
            <x v="0"/>
            <x v="1"/>
            <x v="2"/>
            <x v="3"/>
            <x v="4"/>
            <x v="6"/>
          </reference>
        </references>
      </pivotArea>
    </format>
    <format dxfId="5578">
      <pivotArea dataOnly="0" labelOnly="1" outline="0" fieldPosition="0">
        <references count="2">
          <reference field="2" count="1" selected="0">
            <x v="0"/>
          </reference>
          <reference field="4" count="1">
            <x v="125"/>
          </reference>
        </references>
      </pivotArea>
    </format>
    <format dxfId="5577">
      <pivotArea dataOnly="0" labelOnly="1" outline="0" fieldPosition="0">
        <references count="2">
          <reference field="2" count="1" selected="0">
            <x v="1"/>
          </reference>
          <reference field="4" count="1">
            <x v="47"/>
          </reference>
        </references>
      </pivotArea>
    </format>
    <format dxfId="5576">
      <pivotArea dataOnly="0" labelOnly="1" outline="0" fieldPosition="0">
        <references count="2">
          <reference field="2" count="1" selected="0">
            <x v="2"/>
          </reference>
          <reference field="4" count="1">
            <x v="19"/>
          </reference>
        </references>
      </pivotArea>
    </format>
    <format dxfId="5575">
      <pivotArea dataOnly="0" labelOnly="1" outline="0" fieldPosition="0">
        <references count="2">
          <reference field="2" count="1" selected="0">
            <x v="3"/>
          </reference>
          <reference field="4" count="7">
            <x v="24"/>
            <x v="33"/>
            <x v="35"/>
            <x v="54"/>
            <x v="119"/>
            <x v="127"/>
            <x v="128"/>
          </reference>
        </references>
      </pivotArea>
    </format>
    <format dxfId="5574">
      <pivotArea dataOnly="0" labelOnly="1" outline="0" fieldPosition="0">
        <references count="2">
          <reference field="2" count="1" selected="0">
            <x v="4"/>
          </reference>
          <reference field="4" count="4">
            <x v="4"/>
            <x v="8"/>
            <x v="56"/>
            <x v="123"/>
          </reference>
        </references>
      </pivotArea>
    </format>
    <format dxfId="5573">
      <pivotArea dataOnly="0" labelOnly="1" outline="0" fieldPosition="0">
        <references count="2">
          <reference field="2" count="1" selected="0">
            <x v="6"/>
          </reference>
          <reference field="4" count="2">
            <x v="44"/>
            <x v="57"/>
          </reference>
        </references>
      </pivotArea>
    </format>
    <format dxfId="5572">
      <pivotArea dataOnly="0" labelOnly="1" outline="0" fieldPosition="0">
        <references count="3">
          <reference field="2" count="1" selected="0">
            <x v="0"/>
          </reference>
          <reference field="4" count="1" selected="0">
            <x v="125"/>
          </reference>
          <reference field="5" count="1">
            <x v="4"/>
          </reference>
        </references>
      </pivotArea>
    </format>
    <format dxfId="5571">
      <pivotArea dataOnly="0" labelOnly="1" outline="0" fieldPosition="0">
        <references count="3">
          <reference field="2" count="1" selected="0">
            <x v="1"/>
          </reference>
          <reference field="4" count="1" selected="0">
            <x v="47"/>
          </reference>
          <reference field="5" count="1">
            <x v="0"/>
          </reference>
        </references>
      </pivotArea>
    </format>
    <format dxfId="5570">
      <pivotArea dataOnly="0" labelOnly="1" outline="0" fieldPosition="0">
        <references count="3">
          <reference field="2" count="1" selected="0">
            <x v="3"/>
          </reference>
          <reference field="4" count="1" selected="0">
            <x v="35"/>
          </reference>
          <reference field="5" count="1">
            <x v="1"/>
          </reference>
        </references>
      </pivotArea>
    </format>
    <format dxfId="5569">
      <pivotArea dataOnly="0" labelOnly="1" outline="0" fieldPosition="0">
        <references count="3">
          <reference field="2" count="1" selected="0">
            <x v="3"/>
          </reference>
          <reference field="4" count="1" selected="0">
            <x v="119"/>
          </reference>
          <reference field="5" count="1">
            <x v="0"/>
          </reference>
        </references>
      </pivotArea>
    </format>
    <format dxfId="5568">
      <pivotArea dataOnly="0" labelOnly="1" outline="0" fieldPosition="0">
        <references count="3">
          <reference field="2" count="1" selected="0">
            <x v="3"/>
          </reference>
          <reference field="4" count="1" selected="0">
            <x v="127"/>
          </reference>
          <reference field="5" count="1">
            <x v="3"/>
          </reference>
        </references>
      </pivotArea>
    </format>
    <format dxfId="5567">
      <pivotArea dataOnly="0" labelOnly="1" outline="0" fieldPosition="0">
        <references count="3">
          <reference field="2" count="1" selected="0">
            <x v="3"/>
          </reference>
          <reference field="4" count="1" selected="0">
            <x v="128"/>
          </reference>
          <reference field="5" count="1">
            <x v="1"/>
          </reference>
        </references>
      </pivotArea>
    </format>
    <format dxfId="5566">
      <pivotArea dataOnly="0" labelOnly="1" outline="0" fieldPosition="0">
        <references count="3">
          <reference field="2" count="1" selected="0">
            <x v="4"/>
          </reference>
          <reference field="4" count="1" selected="0">
            <x v="8"/>
          </reference>
          <reference field="5" count="1">
            <x v="2"/>
          </reference>
        </references>
      </pivotArea>
    </format>
    <format dxfId="5565">
      <pivotArea dataOnly="0" labelOnly="1" outline="0" fieldPosition="0">
        <references count="3">
          <reference field="2" count="1" selected="0">
            <x v="6"/>
          </reference>
          <reference field="4" count="1" selected="0">
            <x v="44"/>
          </reference>
          <reference field="5" count="1">
            <x v="3"/>
          </reference>
        </references>
      </pivotArea>
    </format>
    <format dxfId="5564">
      <pivotArea dataOnly="0" labelOnly="1" outline="0" fieldPosition="0">
        <references count="4">
          <reference field="2" count="1" selected="0">
            <x v="0"/>
          </reference>
          <reference field="3" count="1">
            <x v="1"/>
          </reference>
          <reference field="4" count="1" selected="0">
            <x v="125"/>
          </reference>
          <reference field="5" count="1" selected="0">
            <x v="4"/>
          </reference>
        </references>
      </pivotArea>
    </format>
    <format dxfId="5563">
      <pivotArea dataOnly="0" labelOnly="1" outline="0" fieldPosition="0">
        <references count="4">
          <reference field="2" count="1" selected="0">
            <x v="3"/>
          </reference>
          <reference field="3" count="1">
            <x v="0"/>
          </reference>
          <reference field="4" count="1" selected="0">
            <x v="35"/>
          </reference>
          <reference field="5" count="1" selected="0">
            <x v="1"/>
          </reference>
        </references>
      </pivotArea>
    </format>
    <format dxfId="5562">
      <pivotArea dataOnly="0" labelOnly="1" outline="0" fieldPosition="0">
        <references count="4">
          <reference field="2" count="1" selected="0">
            <x v="3"/>
          </reference>
          <reference field="3" count="1">
            <x v="1"/>
          </reference>
          <reference field="4" count="1" selected="0">
            <x v="119"/>
          </reference>
          <reference field="5" count="1" selected="0">
            <x v="0"/>
          </reference>
        </references>
      </pivotArea>
    </format>
    <format dxfId="5561">
      <pivotArea dataOnly="0" labelOnly="1" outline="0" fieldPosition="0">
        <references count="4">
          <reference field="2" count="1" selected="0">
            <x v="3"/>
          </reference>
          <reference field="3" count="1">
            <x v="0"/>
          </reference>
          <reference field="4" count="1" selected="0">
            <x v="127"/>
          </reference>
          <reference field="5" count="1" selected="0">
            <x v="3"/>
          </reference>
        </references>
      </pivotArea>
    </format>
    <format dxfId="5560">
      <pivotArea dataOnly="0" labelOnly="1" outline="0" fieldPosition="0">
        <references count="4">
          <reference field="2" count="1" selected="0">
            <x v="4"/>
          </reference>
          <reference field="3" count="1">
            <x v="2"/>
          </reference>
          <reference field="4" count="1" selected="0">
            <x v="8"/>
          </reference>
          <reference field="5" count="1" selected="0">
            <x v="2"/>
          </reference>
        </references>
      </pivotArea>
    </format>
    <format dxfId="5559">
      <pivotArea dataOnly="0" labelOnly="1" outline="0" fieldPosition="0">
        <references count="4">
          <reference field="2" count="1" selected="0">
            <x v="6"/>
          </reference>
          <reference field="3" count="1">
            <x v="3"/>
          </reference>
          <reference field="4" count="1" selected="0">
            <x v="44"/>
          </reference>
          <reference field="5" count="1" selected="0">
            <x v="3"/>
          </reference>
        </references>
      </pivotArea>
    </format>
    <format dxfId="5558">
      <pivotArea dataOnly="0" labelOnly="1" outline="0" fieldPosition="0">
        <references count="5">
          <reference field="2" count="1" selected="0">
            <x v="0"/>
          </reference>
          <reference field="3" count="1" selected="0">
            <x v="1"/>
          </reference>
          <reference field="4" count="1" selected="0">
            <x v="125"/>
          </reference>
          <reference field="5" count="1" selected="0">
            <x v="4"/>
          </reference>
          <reference field="6" count="1">
            <x v="2"/>
          </reference>
        </references>
      </pivotArea>
    </format>
    <format dxfId="5557">
      <pivotArea dataOnly="0" labelOnly="1" outline="0" fieldPosition="0">
        <references count="5">
          <reference field="2" count="1" selected="0">
            <x v="1"/>
          </reference>
          <reference field="3" count="1" selected="0">
            <x v="1"/>
          </reference>
          <reference field="4" count="1" selected="0">
            <x v="47"/>
          </reference>
          <reference field="5" count="1" selected="0">
            <x v="0"/>
          </reference>
          <reference field="6" count="1">
            <x v="2"/>
          </reference>
        </references>
      </pivotArea>
    </format>
    <format dxfId="5556">
      <pivotArea dataOnly="0" labelOnly="1" outline="0" fieldPosition="0">
        <references count="5">
          <reference field="2" count="1" selected="0">
            <x v="2"/>
          </reference>
          <reference field="3" count="1" selected="0">
            <x v="1"/>
          </reference>
          <reference field="4" count="1" selected="0">
            <x v="19"/>
          </reference>
          <reference field="5" count="1" selected="0">
            <x v="0"/>
          </reference>
          <reference field="6" count="1">
            <x v="2"/>
          </reference>
        </references>
      </pivotArea>
    </format>
    <format dxfId="5555">
      <pivotArea dataOnly="0" labelOnly="1" outline="0" fieldPosition="0">
        <references count="5">
          <reference field="2" count="1" selected="0">
            <x v="3"/>
          </reference>
          <reference field="3" count="1" selected="0">
            <x v="1"/>
          </reference>
          <reference field="4" count="1" selected="0">
            <x v="24"/>
          </reference>
          <reference field="5" count="1" selected="0">
            <x v="0"/>
          </reference>
          <reference field="6" count="1">
            <x v="0"/>
          </reference>
        </references>
      </pivotArea>
    </format>
    <format dxfId="5554">
      <pivotArea dataOnly="0" labelOnly="1" outline="0" fieldPosition="0">
        <references count="5">
          <reference field="2" count="1" selected="0">
            <x v="3"/>
          </reference>
          <reference field="3" count="1" selected="0">
            <x v="1"/>
          </reference>
          <reference field="4" count="1" selected="0">
            <x v="33"/>
          </reference>
          <reference field="5" count="1" selected="0">
            <x v="0"/>
          </reference>
          <reference field="6" count="1">
            <x v="3"/>
          </reference>
        </references>
      </pivotArea>
    </format>
    <format dxfId="5553">
      <pivotArea dataOnly="0" labelOnly="1" outline="0" fieldPosition="0">
        <references count="5">
          <reference field="2" count="1" selected="0">
            <x v="3"/>
          </reference>
          <reference field="3" count="1" selected="0">
            <x v="0"/>
          </reference>
          <reference field="4" count="1" selected="0">
            <x v="35"/>
          </reference>
          <reference field="5" count="1" selected="0">
            <x v="1"/>
          </reference>
          <reference field="6" count="1">
            <x v="2"/>
          </reference>
        </references>
      </pivotArea>
    </format>
    <format dxfId="5552">
      <pivotArea dataOnly="0" labelOnly="1" outline="0" fieldPosition="0">
        <references count="5">
          <reference field="2" count="1" selected="0">
            <x v="3"/>
          </reference>
          <reference field="3" count="1" selected="0">
            <x v="0"/>
          </reference>
          <reference field="4" count="1" selected="0">
            <x v="54"/>
          </reference>
          <reference field="5" count="1" selected="0">
            <x v="1"/>
          </reference>
          <reference field="6" count="1">
            <x v="2"/>
          </reference>
        </references>
      </pivotArea>
    </format>
    <format dxfId="5551">
      <pivotArea dataOnly="0" labelOnly="1" outline="0" fieldPosition="0">
        <references count="5">
          <reference field="2" count="1" selected="0">
            <x v="3"/>
          </reference>
          <reference field="3" count="1" selected="0">
            <x v="1"/>
          </reference>
          <reference field="4" count="1" selected="0">
            <x v="119"/>
          </reference>
          <reference field="5" count="1" selected="0">
            <x v="0"/>
          </reference>
          <reference field="6" count="1">
            <x v="2"/>
          </reference>
        </references>
      </pivotArea>
    </format>
    <format dxfId="5550">
      <pivotArea dataOnly="0" labelOnly="1" outline="0" fieldPosition="0">
        <references count="5">
          <reference field="2" count="1" selected="0">
            <x v="3"/>
          </reference>
          <reference field="3" count="1" selected="0">
            <x v="0"/>
          </reference>
          <reference field="4" count="1" selected="0">
            <x v="127"/>
          </reference>
          <reference field="5" count="1" selected="0">
            <x v="3"/>
          </reference>
          <reference field="6" count="1">
            <x v="2"/>
          </reference>
        </references>
      </pivotArea>
    </format>
    <format dxfId="5549">
      <pivotArea dataOnly="0" labelOnly="1" outline="0" fieldPosition="0">
        <references count="5">
          <reference field="2" count="1" selected="0">
            <x v="3"/>
          </reference>
          <reference field="3" count="1" selected="0">
            <x v="0"/>
          </reference>
          <reference field="4" count="1" selected="0">
            <x v="128"/>
          </reference>
          <reference field="5" count="1" selected="0">
            <x v="1"/>
          </reference>
          <reference field="6" count="1">
            <x v="2"/>
          </reference>
        </references>
      </pivotArea>
    </format>
    <format dxfId="5548">
      <pivotArea dataOnly="0" labelOnly="1" outline="0" fieldPosition="0">
        <references count="5">
          <reference field="2" count="1" selected="0">
            <x v="4"/>
          </reference>
          <reference field="3" count="1" selected="0">
            <x v="0"/>
          </reference>
          <reference field="4" count="1" selected="0">
            <x v="4"/>
          </reference>
          <reference field="5" count="1" selected="0">
            <x v="1"/>
          </reference>
          <reference field="6" count="1">
            <x v="2"/>
          </reference>
        </references>
      </pivotArea>
    </format>
    <format dxfId="5547">
      <pivotArea dataOnly="0" labelOnly="1" outline="0" fieldPosition="0">
        <references count="5">
          <reference field="2" count="1" selected="0">
            <x v="4"/>
          </reference>
          <reference field="3" count="1" selected="0">
            <x v="2"/>
          </reference>
          <reference field="4" count="1" selected="0">
            <x v="8"/>
          </reference>
          <reference field="5" count="1" selected="0">
            <x v="2"/>
          </reference>
          <reference field="6" count="1">
            <x v="2"/>
          </reference>
        </references>
      </pivotArea>
    </format>
    <format dxfId="5546">
      <pivotArea dataOnly="0" labelOnly="1" outline="0" fieldPosition="0">
        <references count="5">
          <reference field="2" count="1" selected="0">
            <x v="4"/>
          </reference>
          <reference field="3" count="1" selected="0">
            <x v="2"/>
          </reference>
          <reference field="4" count="1" selected="0">
            <x v="56"/>
          </reference>
          <reference field="5" count="1" selected="0">
            <x v="2"/>
          </reference>
          <reference field="6" count="1">
            <x v="2"/>
          </reference>
        </references>
      </pivotArea>
    </format>
    <format dxfId="5545">
      <pivotArea dataOnly="0" labelOnly="1" outline="0" fieldPosition="0">
        <references count="5">
          <reference field="2" count="1" selected="0">
            <x v="4"/>
          </reference>
          <reference field="3" count="1" selected="0">
            <x v="2"/>
          </reference>
          <reference field="4" count="1" selected="0">
            <x v="123"/>
          </reference>
          <reference field="5" count="1" selected="0">
            <x v="2"/>
          </reference>
          <reference field="6" count="1">
            <x v="2"/>
          </reference>
        </references>
      </pivotArea>
    </format>
    <format dxfId="5544">
      <pivotArea dataOnly="0" labelOnly="1" outline="0" fieldPosition="0">
        <references count="5">
          <reference field="2" count="1" selected="0">
            <x v="6"/>
          </reference>
          <reference field="3" count="1" selected="0">
            <x v="3"/>
          </reference>
          <reference field="4" count="1" selected="0">
            <x v="44"/>
          </reference>
          <reference field="5" count="1" selected="0">
            <x v="3"/>
          </reference>
          <reference field="6" count="1">
            <x v="6"/>
          </reference>
        </references>
      </pivotArea>
    </format>
    <format dxfId="5543">
      <pivotArea dataOnly="0" labelOnly="1" outline="0" fieldPosition="0">
        <references count="5">
          <reference field="2" count="1" selected="0">
            <x v="6"/>
          </reference>
          <reference field="3" count="1" selected="0">
            <x v="3"/>
          </reference>
          <reference field="4" count="1" selected="0">
            <x v="57"/>
          </reference>
          <reference field="5" count="1" selected="0">
            <x v="3"/>
          </reference>
          <reference field="6" count="1">
            <x v="6"/>
          </reference>
        </references>
      </pivotArea>
    </format>
    <format dxfId="5542">
      <pivotArea dataOnly="0" labelOnly="1" outline="0" fieldPosition="0">
        <references count="5">
          <reference field="2" count="1" selected="0">
            <x v="0"/>
          </reference>
          <reference field="3" count="1" selected="0">
            <x v="1"/>
          </reference>
          <reference field="4" count="1" selected="0">
            <x v="139"/>
          </reference>
          <reference field="5" count="1" selected="0">
            <x v="4"/>
          </reference>
          <reference field="6" count="1">
            <x v="2"/>
          </reference>
        </references>
      </pivotArea>
    </format>
    <format dxfId="5541">
      <pivotArea dataOnly="0" labelOnly="1" outline="0" fieldPosition="0">
        <references count="5">
          <reference field="2" count="1" selected="0">
            <x v="4"/>
          </reference>
          <reference field="3" count="1" selected="0">
            <x v="4"/>
          </reference>
          <reference field="4" count="1" selected="0">
            <x v="142"/>
          </reference>
          <reference field="5" count="1" selected="0">
            <x v="2"/>
          </reference>
          <reference field="6" count="1">
            <x v="2"/>
          </reference>
        </references>
      </pivotArea>
    </format>
    <format dxfId="5540">
      <pivotArea dataOnly="0" labelOnly="1" outline="0" fieldPosition="0">
        <references count="5">
          <reference field="2" count="1" selected="0">
            <x v="2"/>
          </reference>
          <reference field="3" count="1" selected="0">
            <x v="1"/>
          </reference>
          <reference field="4" count="1" selected="0">
            <x v="141"/>
          </reference>
          <reference field="5" count="1" selected="0">
            <x v="0"/>
          </reference>
          <reference field="6" count="1">
            <x v="3"/>
          </reference>
        </references>
      </pivotArea>
    </format>
    <format dxfId="5539">
      <pivotArea dataOnly="0" labelOnly="1" outline="0" fieldPosition="0">
        <references count="5">
          <reference field="2" count="1" selected="0">
            <x v="3"/>
          </reference>
          <reference field="3" count="1" selected="0">
            <x v="0"/>
          </reference>
          <reference field="4" count="1" selected="0">
            <x v="39"/>
          </reference>
          <reference field="5" count="1" selected="0">
            <x v="1"/>
          </reference>
          <reference field="6" count="1">
            <x v="2"/>
          </reference>
        </references>
      </pivotArea>
    </format>
    <format dxfId="5538">
      <pivotArea dataOnly="0" labelOnly="1" outline="0" fieldPosition="0">
        <references count="5">
          <reference field="2" count="1" selected="0">
            <x v="4"/>
          </reference>
          <reference field="3" count="1" selected="0">
            <x v="2"/>
          </reference>
          <reference field="4" count="1" selected="0">
            <x v="142"/>
          </reference>
          <reference field="5" count="1" selected="0">
            <x v="2"/>
          </reference>
          <reference field="6" count="1">
            <x v="2"/>
          </reference>
        </references>
      </pivotArea>
    </format>
    <format dxfId="5537">
      <pivotArea dataOnly="0" labelOnly="1" outline="0" fieldPosition="0">
        <references count="5">
          <reference field="2" count="1" selected="0">
            <x v="5"/>
          </reference>
          <reference field="3" count="1" selected="0">
            <x v="3"/>
          </reference>
          <reference field="4" count="1" selected="0">
            <x v="143"/>
          </reference>
          <reference field="5" count="1" selected="0">
            <x v="3"/>
          </reference>
          <reference field="6" count="1">
            <x v="2"/>
          </reference>
        </references>
      </pivotArea>
    </format>
    <format dxfId="5536">
      <pivotArea dataOnly="0" labelOnly="1" outline="0" fieldPosition="0">
        <references count="5">
          <reference field="2" count="1" selected="0">
            <x v="4"/>
          </reference>
          <reference field="3" count="1" selected="0">
            <x v="0"/>
          </reference>
          <reference field="4" count="1" selected="0">
            <x v="146"/>
          </reference>
          <reference field="5" count="1" selected="0">
            <x v="1"/>
          </reference>
          <reference field="6" count="1">
            <x v="2"/>
          </reference>
        </references>
      </pivotArea>
    </format>
    <format dxfId="5535">
      <pivotArea dataOnly="0" labelOnly="1" outline="0" fieldPosition="0">
        <references count="5">
          <reference field="2" count="1" selected="0">
            <x v="5"/>
          </reference>
          <reference field="3" count="1" selected="0">
            <x v="3"/>
          </reference>
          <reference field="4" count="1" selected="0">
            <x v="147"/>
          </reference>
          <reference field="5" count="1" selected="0">
            <x v="3"/>
          </reference>
          <reference field="6" count="1">
            <x v="2"/>
          </reference>
        </references>
      </pivotArea>
    </format>
    <format dxfId="5534">
      <pivotArea dataOnly="0" labelOnly="1" outline="0" fieldPosition="0">
        <references count="5">
          <reference field="2" count="1" selected="0">
            <x v="3"/>
          </reference>
          <reference field="3" count="1" selected="0">
            <x v="0"/>
          </reference>
          <reference field="4" count="1" selected="0">
            <x v="145"/>
          </reference>
          <reference field="5" count="1" selected="0">
            <x v="1"/>
          </reference>
          <reference field="6" count="1">
            <x v="2"/>
          </reference>
        </references>
      </pivotArea>
    </format>
    <format dxfId="5533">
      <pivotArea dataOnly="0" labelOnly="1" outline="0" fieldPosition="0">
        <references count="5">
          <reference field="2" count="1" selected="0">
            <x v="0"/>
          </reference>
          <reference field="3" count="1" selected="0">
            <x v="3"/>
          </reference>
          <reference field="4" count="1" selected="0">
            <x v="30"/>
          </reference>
          <reference field="5" count="1" selected="0">
            <x v="4"/>
          </reference>
          <reference field="6" count="1">
            <x v="2"/>
          </reference>
        </references>
      </pivotArea>
    </format>
    <format dxfId="5532">
      <pivotArea dataOnly="0" labelOnly="1" outline="0" fieldPosition="0">
        <references count="5">
          <reference field="2" count="1" selected="0">
            <x v="2"/>
          </reference>
          <reference field="3" count="1" selected="0">
            <x v="1"/>
          </reference>
          <reference field="4" count="1" selected="0">
            <x v="144"/>
          </reference>
          <reference field="5" count="1" selected="0">
            <x v="0"/>
          </reference>
          <reference field="6" count="1">
            <x v="2"/>
          </reference>
        </references>
      </pivotArea>
    </format>
    <format dxfId="5531">
      <pivotArea dataOnly="0" labelOnly="1" outline="0" fieldPosition="0">
        <references count="5">
          <reference field="2" count="1" selected="0">
            <x v="2"/>
          </reference>
          <reference field="3" count="1" selected="0">
            <x v="1"/>
          </reference>
          <reference field="4" count="1" selected="0">
            <x v="148"/>
          </reference>
          <reference field="5" count="1" selected="0">
            <x v="0"/>
          </reference>
          <reference field="6" count="1">
            <x v="3"/>
          </reference>
        </references>
      </pivotArea>
    </format>
    <format dxfId="5530">
      <pivotArea dataOnly="0" labelOnly="1" outline="0" fieldPosition="0">
        <references count="5">
          <reference field="2" count="1" selected="0">
            <x v="3"/>
          </reference>
          <reference field="3" count="1" selected="0">
            <x v="0"/>
          </reference>
          <reference field="4" count="1" selected="0">
            <x v="149"/>
          </reference>
          <reference field="5" count="1" selected="0">
            <x v="1"/>
          </reference>
          <reference field="6" count="1">
            <x v="2"/>
          </reference>
        </references>
      </pivotArea>
    </format>
    <format dxfId="5529">
      <pivotArea dataOnly="0" labelOnly="1" outline="0" fieldPosition="0">
        <references count="5">
          <reference field="2" count="1" selected="0">
            <x v="4"/>
          </reference>
          <reference field="3" count="1" selected="0">
            <x v="3"/>
          </reference>
          <reference field="4" count="1" selected="0">
            <x v="150"/>
          </reference>
          <reference field="5" count="1" selected="0">
            <x v="3"/>
          </reference>
          <reference field="6" count="1">
            <x v="2"/>
          </reference>
        </references>
      </pivotArea>
    </format>
    <format dxfId="5528">
      <pivotArea dataOnly="0" labelOnly="1" outline="0" fieldPosition="0">
        <references count="5">
          <reference field="2" count="1" selected="0">
            <x v="2"/>
          </reference>
          <reference field="3" count="1" selected="0">
            <x v="1"/>
          </reference>
          <reference field="4" count="1" selected="0">
            <x v="151"/>
          </reference>
          <reference field="5" count="1" selected="0">
            <x v="0"/>
          </reference>
          <reference field="6" count="1">
            <x v="2"/>
          </reference>
        </references>
      </pivotArea>
    </format>
    <format dxfId="5527">
      <pivotArea dataOnly="0" labelOnly="1" outline="0" fieldPosition="0">
        <references count="5">
          <reference field="2" count="1" selected="0">
            <x v="2"/>
          </reference>
          <reference field="3" count="1" selected="0">
            <x v="1"/>
          </reference>
          <reference field="4" count="1" selected="0">
            <x v="152"/>
          </reference>
          <reference field="5" count="1" selected="0">
            <x v="0"/>
          </reference>
          <reference field="6" count="1">
            <x v="2"/>
          </reference>
        </references>
      </pivotArea>
    </format>
    <format dxfId="5526">
      <pivotArea dataOnly="0" labelOnly="1" outline="0" fieldPosition="0">
        <references count="5">
          <reference field="2" count="1" selected="0">
            <x v="3"/>
          </reference>
          <reference field="3" count="1" selected="0">
            <x v="0"/>
          </reference>
          <reference field="4" count="1" selected="0">
            <x v="154"/>
          </reference>
          <reference field="5" count="1" selected="0">
            <x v="1"/>
          </reference>
          <reference field="6" count="1">
            <x v="2"/>
          </reference>
        </references>
      </pivotArea>
    </format>
    <format dxfId="5525">
      <pivotArea dataOnly="0" labelOnly="1" outline="0" fieldPosition="0">
        <references count="5">
          <reference field="2" count="1" selected="0">
            <x v="4"/>
          </reference>
          <reference field="3" count="1" selected="0">
            <x v="0"/>
          </reference>
          <reference field="4" count="1" selected="0">
            <x v="155"/>
          </reference>
          <reference field="5" count="1" selected="0">
            <x v="1"/>
          </reference>
          <reference field="6" count="1">
            <x v="2"/>
          </reference>
        </references>
      </pivotArea>
    </format>
    <format dxfId="5524">
      <pivotArea dataOnly="0" labelOnly="1" outline="0" fieldPosition="0">
        <references count="5">
          <reference field="2" count="1" selected="0">
            <x v="8"/>
          </reference>
          <reference field="3" count="1" selected="0">
            <x v="2"/>
          </reference>
          <reference field="4" count="1" selected="0">
            <x v="153"/>
          </reference>
          <reference field="5" count="1" selected="0">
            <x v="2"/>
          </reference>
          <reference field="6" count="1">
            <x v="2"/>
          </reference>
        </references>
      </pivotArea>
    </format>
    <format dxfId="5523">
      <pivotArea dataOnly="0" labelOnly="1" outline="0" fieldPosition="0">
        <references count="5">
          <reference field="2" count="1" selected="0">
            <x v="1"/>
          </reference>
          <reference field="3" count="1" selected="0">
            <x v="1"/>
          </reference>
          <reference field="4" count="1" selected="0">
            <x v="156"/>
          </reference>
          <reference field="5" count="1" selected="0">
            <x v="0"/>
          </reference>
          <reference field="6" count="1">
            <x v="2"/>
          </reference>
        </references>
      </pivotArea>
    </format>
    <format dxfId="5522">
      <pivotArea dataOnly="0" labelOnly="1" outline="0" fieldPosition="0">
        <references count="5">
          <reference field="2" count="1" selected="0">
            <x v="2"/>
          </reference>
          <reference field="3" count="1" selected="0">
            <x v="1"/>
          </reference>
          <reference field="4" count="1" selected="0">
            <x v="157"/>
          </reference>
          <reference field="5" count="1" selected="0">
            <x v="0"/>
          </reference>
          <reference field="6" count="1">
            <x v="2"/>
          </reference>
        </references>
      </pivotArea>
    </format>
    <format dxfId="5521">
      <pivotArea dataOnly="0" labelOnly="1" outline="0" fieldPosition="0">
        <references count="5">
          <reference field="2" count="1" selected="0">
            <x v="3"/>
          </reference>
          <reference field="3" count="1" selected="0">
            <x v="1"/>
          </reference>
          <reference field="4" count="1" selected="0">
            <x v="158"/>
          </reference>
          <reference field="5" count="1" selected="0">
            <x v="0"/>
          </reference>
          <reference field="6" count="1">
            <x v="0"/>
          </reference>
        </references>
      </pivotArea>
    </format>
    <format dxfId="5520">
      <pivotArea dataOnly="0" labelOnly="1" outline="0" fieldPosition="0">
        <references count="5">
          <reference field="2" count="1" selected="0">
            <x v="3"/>
          </reference>
          <reference field="3" count="1" selected="0">
            <x v="1"/>
          </reference>
          <reference field="4" count="1" selected="0">
            <x v="159"/>
          </reference>
          <reference field="5" count="1" selected="0">
            <x v="0"/>
          </reference>
          <reference field="6" count="1">
            <x v="0"/>
          </reference>
        </references>
      </pivotArea>
    </format>
    <format dxfId="5519">
      <pivotArea dataOnly="0" labelOnly="1" outline="0" fieldPosition="0">
        <references count="5">
          <reference field="2" count="1" selected="0">
            <x v="3"/>
          </reference>
          <reference field="3" count="1" selected="0">
            <x v="0"/>
          </reference>
          <reference field="4" count="1" selected="0">
            <x v="160"/>
          </reference>
          <reference field="5" count="1" selected="0">
            <x v="1"/>
          </reference>
          <reference field="6" count="1">
            <x v="2"/>
          </reference>
        </references>
      </pivotArea>
    </format>
    <format dxfId="5518">
      <pivotArea dataOnly="0" labelOnly="1" outline="0" fieldPosition="0">
        <references count="5">
          <reference field="2" count="1" selected="0">
            <x v="3"/>
          </reference>
          <reference field="3" count="1" selected="0">
            <x v="0"/>
          </reference>
          <reference field="4" count="1" selected="0">
            <x v="161"/>
          </reference>
          <reference field="5" count="1" selected="0">
            <x v="1"/>
          </reference>
          <reference field="6" count="1">
            <x v="2"/>
          </reference>
        </references>
      </pivotArea>
    </format>
    <format dxfId="5517">
      <pivotArea dataOnly="0" labelOnly="1" outline="0" fieldPosition="0">
        <references count="5">
          <reference field="2" count="1" selected="0">
            <x v="3"/>
          </reference>
          <reference field="3" count="1" selected="0">
            <x v="0"/>
          </reference>
          <reference field="4" count="1" selected="0">
            <x v="162"/>
          </reference>
          <reference field="5" count="1" selected="0">
            <x v="1"/>
          </reference>
          <reference field="6" count="1">
            <x v="2"/>
          </reference>
        </references>
      </pivotArea>
    </format>
    <format dxfId="5516">
      <pivotArea dataOnly="0" labelOnly="1" outline="0" fieldPosition="0">
        <references count="5">
          <reference field="2" count="1" selected="0">
            <x v="4"/>
          </reference>
          <reference field="3" count="1" selected="0">
            <x v="0"/>
          </reference>
          <reference field="4" count="1" selected="0">
            <x v="97"/>
          </reference>
          <reference field="5" count="1" selected="0">
            <x v="1"/>
          </reference>
          <reference field="6" count="1">
            <x v="2"/>
          </reference>
        </references>
      </pivotArea>
    </format>
    <format dxfId="5515">
      <pivotArea dataOnly="0" labelOnly="1" outline="0" fieldPosition="0">
        <references count="5">
          <reference field="2" count="1" selected="0">
            <x v="4"/>
          </reference>
          <reference field="3" count="1" selected="0">
            <x v="0"/>
          </reference>
          <reference field="4" count="1" selected="0">
            <x v="163"/>
          </reference>
          <reference field="5" count="1" selected="0">
            <x v="1"/>
          </reference>
          <reference field="6" count="1">
            <x v="2"/>
          </reference>
        </references>
      </pivotArea>
    </format>
    <format dxfId="5514">
      <pivotArea dataOnly="0" labelOnly="1" outline="0" fieldPosition="0">
        <references count="5">
          <reference field="2" count="1" selected="0">
            <x v="4"/>
          </reference>
          <reference field="3" count="1" selected="0">
            <x v="0"/>
          </reference>
          <reference field="4" count="1" selected="0">
            <x v="164"/>
          </reference>
          <reference field="5" count="1" selected="0">
            <x v="1"/>
          </reference>
          <reference field="6" count="1">
            <x v="2"/>
          </reference>
        </references>
      </pivotArea>
    </format>
    <format dxfId="5513">
      <pivotArea dataOnly="0" labelOnly="1" outline="0" fieldPosition="0">
        <references count="5">
          <reference field="2" count="1" selected="0">
            <x v="3"/>
          </reference>
          <reference field="3" count="1" selected="0">
            <x v="0"/>
          </reference>
          <reference field="4" count="1" selected="0">
            <x v="165"/>
          </reference>
          <reference field="5" count="1" selected="0">
            <x v="1"/>
          </reference>
          <reference field="6" count="1">
            <x v="2"/>
          </reference>
        </references>
      </pivotArea>
    </format>
    <format dxfId="5512">
      <pivotArea dataOnly="0" labelOnly="1" outline="0" fieldPosition="0">
        <references count="5">
          <reference field="2" count="1" selected="0">
            <x v="3"/>
          </reference>
          <reference field="3" count="1" selected="0">
            <x v="0"/>
          </reference>
          <reference field="4" count="1" selected="0">
            <x v="166"/>
          </reference>
          <reference field="5" count="1" selected="0">
            <x v="1"/>
          </reference>
          <reference field="6" count="1">
            <x v="2"/>
          </reference>
        </references>
      </pivotArea>
    </format>
    <format dxfId="5511">
      <pivotArea dataOnly="0" labelOnly="1" outline="0" fieldPosition="0">
        <references count="5">
          <reference field="2" count="1" selected="0">
            <x v="3"/>
          </reference>
          <reference field="3" count="1" selected="0">
            <x v="0"/>
          </reference>
          <reference field="4" count="1" selected="0">
            <x v="167"/>
          </reference>
          <reference field="5" count="1" selected="0">
            <x v="1"/>
          </reference>
          <reference field="6" count="1">
            <x v="2"/>
          </reference>
        </references>
      </pivotArea>
    </format>
    <format dxfId="5510">
      <pivotArea dataOnly="0" labelOnly="1" outline="0" fieldPosition="0">
        <references count="5">
          <reference field="2" count="1" selected="0">
            <x v="3"/>
          </reference>
          <reference field="3" count="1" selected="0">
            <x v="0"/>
          </reference>
          <reference field="4" count="1" selected="0">
            <x v="168"/>
          </reference>
          <reference field="5" count="1" selected="0">
            <x v="1"/>
          </reference>
          <reference field="6" count="1">
            <x v="2"/>
          </reference>
        </references>
      </pivotArea>
    </format>
    <format dxfId="5509">
      <pivotArea dataOnly="0" labelOnly="1" outline="0" fieldPosition="0">
        <references count="5">
          <reference field="2" count="1" selected="0">
            <x v="4"/>
          </reference>
          <reference field="3" count="1" selected="0">
            <x v="0"/>
          </reference>
          <reference field="4" count="1" selected="0">
            <x v="66"/>
          </reference>
          <reference field="5" count="1" selected="0">
            <x v="1"/>
          </reference>
          <reference field="6" count="1">
            <x v="2"/>
          </reference>
        </references>
      </pivotArea>
    </format>
    <format dxfId="5508">
      <pivotArea dataOnly="0" labelOnly="1" outline="0" fieldPosition="0">
        <references count="5">
          <reference field="2" count="1" selected="0">
            <x v="4"/>
          </reference>
          <reference field="3" count="1" selected="0">
            <x v="2"/>
          </reference>
          <reference field="4" count="1" selected="0">
            <x v="68"/>
          </reference>
          <reference field="5" count="1" selected="0">
            <x v="2"/>
          </reference>
          <reference field="6" count="1">
            <x v="2"/>
          </reference>
        </references>
      </pivotArea>
    </format>
    <format dxfId="5507">
      <pivotArea dataOnly="0" labelOnly="1" outline="0" fieldPosition="0">
        <references count="5">
          <reference field="2" count="1" selected="0">
            <x v="5"/>
          </reference>
          <reference field="3" count="1" selected="0">
            <x v="0"/>
          </reference>
          <reference field="4" count="1" selected="0">
            <x v="43"/>
          </reference>
          <reference field="5" count="1" selected="0">
            <x v="7"/>
          </reference>
          <reference field="6" count="1">
            <x v="5"/>
          </reference>
        </references>
      </pivotArea>
    </format>
    <format dxfId="5506">
      <pivotArea dataOnly="0" labelOnly="1" outline="0" fieldPosition="0">
        <references count="5">
          <reference field="2" count="1" selected="0">
            <x v="6"/>
          </reference>
          <reference field="3" count="1" selected="0">
            <x v="3"/>
          </reference>
          <reference field="4" count="1" selected="0">
            <x v="112"/>
          </reference>
          <reference field="5" count="1" selected="0">
            <x v="3"/>
          </reference>
          <reference field="6" count="1">
            <x v="3"/>
          </reference>
        </references>
      </pivotArea>
    </format>
    <format dxfId="5505">
      <pivotArea dataOnly="0" labelOnly="1" outline="0" fieldPosition="0">
        <references count="5">
          <reference field="2" count="1" selected="0">
            <x v="6"/>
          </reference>
          <reference field="3" count="1" selected="0">
            <x v="3"/>
          </reference>
          <reference field="4" count="1" selected="0">
            <x v="169"/>
          </reference>
          <reference field="5" count="1" selected="0">
            <x v="3"/>
          </reference>
          <reference field="6" count="1">
            <x v="2"/>
          </reference>
        </references>
      </pivotArea>
    </format>
    <format dxfId="5504">
      <pivotArea dataOnly="0" labelOnly="1" outline="0" fieldPosition="0">
        <references count="5">
          <reference field="2" count="1" selected="0">
            <x v="2"/>
          </reference>
          <reference field="3" count="1" selected="0">
            <x v="1"/>
          </reference>
          <reference field="4" count="1" selected="0">
            <x v="171"/>
          </reference>
          <reference field="5" count="1" selected="0">
            <x v="0"/>
          </reference>
          <reference field="6" count="1">
            <x v="2"/>
          </reference>
        </references>
      </pivotArea>
    </format>
    <format dxfId="5503">
      <pivotArea dataOnly="0" labelOnly="1" outline="0" fieldPosition="0">
        <references count="5">
          <reference field="2" count="1" selected="0">
            <x v="3"/>
          </reference>
          <reference field="3" count="1" selected="0">
            <x v="1"/>
          </reference>
          <reference field="4" count="1" selected="0">
            <x v="33"/>
          </reference>
          <reference field="5" count="1" selected="0">
            <x v="0"/>
          </reference>
          <reference field="6" count="1">
            <x v="3"/>
          </reference>
        </references>
      </pivotArea>
    </format>
    <format dxfId="5502">
      <pivotArea dataOnly="0" labelOnly="1" outline="0" fieldPosition="0">
        <references count="5">
          <reference field="2" count="1" selected="0">
            <x v="3"/>
          </reference>
          <reference field="3" count="1" selected="0">
            <x v="0"/>
          </reference>
          <reference field="4" count="1" selected="0">
            <x v="54"/>
          </reference>
          <reference field="5" count="1" selected="0">
            <x v="1"/>
          </reference>
          <reference field="6" count="1">
            <x v="2"/>
          </reference>
        </references>
      </pivotArea>
    </format>
    <format dxfId="5501">
      <pivotArea dataOnly="0" labelOnly="1" outline="0" fieldPosition="0">
        <references count="5">
          <reference field="2" count="1" selected="0">
            <x v="3"/>
          </reference>
          <reference field="3" count="1" selected="0">
            <x v="0"/>
          </reference>
          <reference field="4" count="1" selected="0">
            <x v="65"/>
          </reference>
          <reference field="5" count="1" selected="0">
            <x v="1"/>
          </reference>
          <reference field="6" count="1">
            <x v="2"/>
          </reference>
        </references>
      </pivotArea>
    </format>
    <format dxfId="5500">
      <pivotArea dataOnly="0" labelOnly="1" outline="0" fieldPosition="0">
        <references count="5">
          <reference field="2" count="1" selected="0">
            <x v="3"/>
          </reference>
          <reference field="3" count="1" selected="0">
            <x v="0"/>
          </reference>
          <reference field="4" count="1" selected="0">
            <x v="122"/>
          </reference>
          <reference field="5" count="1" selected="0">
            <x v="1"/>
          </reference>
          <reference field="6" count="1">
            <x v="2"/>
          </reference>
        </references>
      </pivotArea>
    </format>
    <format dxfId="5499">
      <pivotArea dataOnly="0" labelOnly="1" outline="0" fieldPosition="0">
        <references count="5">
          <reference field="2" count="1" selected="0">
            <x v="3"/>
          </reference>
          <reference field="3" count="1" selected="0">
            <x v="0"/>
          </reference>
          <reference field="4" count="1" selected="0">
            <x v="127"/>
          </reference>
          <reference field="5" count="1" selected="0">
            <x v="3"/>
          </reference>
          <reference field="6" count="1">
            <x v="2"/>
          </reference>
        </references>
      </pivotArea>
    </format>
    <format dxfId="5498">
      <pivotArea dataOnly="0" labelOnly="1" outline="0" fieldPosition="0">
        <references count="5">
          <reference field="2" count="1" selected="0">
            <x v="3"/>
          </reference>
          <reference field="3" count="1" selected="0">
            <x v="0"/>
          </reference>
          <reference field="4" count="1" selected="0">
            <x v="172"/>
          </reference>
          <reference field="5" count="1" selected="0">
            <x v="1"/>
          </reference>
          <reference field="6" count="1">
            <x v="2"/>
          </reference>
        </references>
      </pivotArea>
    </format>
    <format dxfId="5497">
      <pivotArea dataOnly="0" labelOnly="1" outline="0" fieldPosition="0">
        <references count="5">
          <reference field="2" count="1" selected="0">
            <x v="3"/>
          </reference>
          <reference field="3" count="1" selected="0">
            <x v="0"/>
          </reference>
          <reference field="4" count="1" selected="0">
            <x v="173"/>
          </reference>
          <reference field="5" count="1" selected="0">
            <x v="1"/>
          </reference>
          <reference field="6" count="1">
            <x v="2"/>
          </reference>
        </references>
      </pivotArea>
    </format>
    <format dxfId="5496">
      <pivotArea dataOnly="0" labelOnly="1" outline="0" fieldPosition="0">
        <references count="5">
          <reference field="2" count="1" selected="0">
            <x v="4"/>
          </reference>
          <reference field="3" count="1" selected="0">
            <x v="0"/>
          </reference>
          <reference field="4" count="1" selected="0">
            <x v="4"/>
          </reference>
          <reference field="5" count="1" selected="0">
            <x v="1"/>
          </reference>
          <reference field="6" count="1">
            <x v="2"/>
          </reference>
        </references>
      </pivotArea>
    </format>
    <format dxfId="5495">
      <pivotArea dataOnly="0" labelOnly="1" outline="0" fieldPosition="0">
        <references count="5">
          <reference field="2" count="1" selected="0">
            <x v="4"/>
          </reference>
          <reference field="3" count="1" selected="0">
            <x v="0"/>
          </reference>
          <reference field="4" count="1" selected="0">
            <x v="174"/>
          </reference>
          <reference field="5" count="1" selected="0">
            <x v="1"/>
          </reference>
          <reference field="6" count="1">
            <x v="2"/>
          </reference>
        </references>
      </pivotArea>
    </format>
    <format dxfId="5494">
      <pivotArea dataOnly="0" labelOnly="1" outline="0" fieldPosition="0">
        <references count="5">
          <reference field="2" count="1" selected="0">
            <x v="4"/>
          </reference>
          <reference field="3" count="1" selected="0">
            <x v="0"/>
          </reference>
          <reference field="4" count="1" selected="0">
            <x v="175"/>
          </reference>
          <reference field="5" count="1" selected="0">
            <x v="1"/>
          </reference>
          <reference field="6" count="1">
            <x v="2"/>
          </reference>
        </references>
      </pivotArea>
    </format>
    <format dxfId="5493">
      <pivotArea dataOnly="0" labelOnly="1" outline="0" fieldPosition="0">
        <references count="5">
          <reference field="2" count="1" selected="0">
            <x v="4"/>
          </reference>
          <reference field="3" count="1" selected="0">
            <x v="2"/>
          </reference>
          <reference field="4" count="1" selected="0">
            <x v="177"/>
          </reference>
          <reference field="5" count="1" selected="0">
            <x v="2"/>
          </reference>
          <reference field="6" count="1">
            <x v="2"/>
          </reference>
        </references>
      </pivotArea>
    </format>
    <format dxfId="5492">
      <pivotArea dataOnly="0" labelOnly="1" outline="0" fieldPosition="0">
        <references count="5">
          <reference field="2" count="1" selected="0">
            <x v="5"/>
          </reference>
          <reference field="3" count="1" selected="0">
            <x v="2"/>
          </reference>
          <reference field="4" count="1" selected="0">
            <x v="99"/>
          </reference>
          <reference field="5" count="1" selected="0">
            <x v="3"/>
          </reference>
          <reference field="6" count="1">
            <x v="6"/>
          </reference>
        </references>
      </pivotArea>
    </format>
    <format dxfId="5491">
      <pivotArea dataOnly="0" labelOnly="1" outline="0" fieldPosition="0">
        <references count="5">
          <reference field="2" count="1" selected="0">
            <x v="5"/>
          </reference>
          <reference field="3" count="1" selected="0">
            <x v="2"/>
          </reference>
          <reference field="4" count="1" selected="0">
            <x v="176"/>
          </reference>
          <reference field="5" count="1" selected="0">
            <x v="3"/>
          </reference>
          <reference field="6" count="1">
            <x v="2"/>
          </reference>
        </references>
      </pivotArea>
    </format>
    <format dxfId="5490">
      <pivotArea dataOnly="0" labelOnly="1" outline="0" fieldPosition="0">
        <references count="3">
          <reference field="2" count="1" selected="0">
            <x v="5"/>
          </reference>
          <reference field="4" count="1" selected="0">
            <x v="11"/>
          </reference>
          <reference field="5" count="1">
            <x v="3"/>
          </reference>
        </references>
      </pivotArea>
    </format>
    <format dxfId="5489">
      <pivotArea dataOnly="0" labelOnly="1" outline="0" fieldPosition="0">
        <references count="3">
          <reference field="2" count="1" selected="0">
            <x v="0"/>
          </reference>
          <reference field="4" count="1" selected="0">
            <x v="16"/>
          </reference>
          <reference field="5" count="1">
            <x v="4"/>
          </reference>
        </references>
      </pivotArea>
    </format>
    <format dxfId="5488">
      <pivotArea dataOnly="0" labelOnly="1" outline="0" offset="IV1" fieldPosition="0">
        <references count="3">
          <reference field="2" count="1" selected="0">
            <x v="0"/>
          </reference>
          <reference field="4" count="1" selected="0">
            <x v="16"/>
          </reference>
          <reference field="5" count="1">
            <x v="4"/>
          </reference>
        </references>
      </pivotArea>
    </format>
    <format dxfId="5487">
      <pivotArea dataOnly="0" labelOnly="1" outline="0" fieldPosition="0">
        <references count="5">
          <reference field="2" count="1" selected="0">
            <x v="0"/>
          </reference>
          <reference field="3" count="1" selected="0">
            <x v="1"/>
          </reference>
          <reference field="4" count="1" selected="0">
            <x v="181"/>
          </reference>
          <reference field="5" count="1" selected="0">
            <x v="4"/>
          </reference>
          <reference field="6" count="1">
            <x v="2"/>
          </reference>
        </references>
      </pivotArea>
    </format>
    <format dxfId="5486">
      <pivotArea dataOnly="0" labelOnly="1" outline="0" fieldPosition="0">
        <references count="5">
          <reference field="2" count="1" selected="0">
            <x v="0"/>
          </reference>
          <reference field="3" count="1" selected="0">
            <x v="1"/>
          </reference>
          <reference field="4" count="1" selected="0">
            <x v="182"/>
          </reference>
          <reference field="5" count="1" selected="0">
            <x v="4"/>
          </reference>
          <reference field="6" count="1">
            <x v="2"/>
          </reference>
        </references>
      </pivotArea>
    </format>
    <format dxfId="5485">
      <pivotArea dataOnly="0" labelOnly="1" outline="0" offset="IV1" fieldPosition="0">
        <references count="3">
          <reference field="2" count="1" selected="0">
            <x v="5"/>
          </reference>
          <reference field="4" count="1" selected="0">
            <x v="11"/>
          </reference>
          <reference field="5" count="1">
            <x v="3"/>
          </reference>
        </references>
      </pivotArea>
    </format>
    <format dxfId="5484">
      <pivotArea dataOnly="0" labelOnly="1" outline="0" fieldPosition="0">
        <references count="5">
          <reference field="2" count="1" selected="0">
            <x v="3"/>
          </reference>
          <reference field="3" count="1" selected="0">
            <x v="1"/>
          </reference>
          <reference field="4" count="1" selected="0">
            <x v="23"/>
          </reference>
          <reference field="5" count="1" selected="0">
            <x v="0"/>
          </reference>
          <reference field="6" count="1">
            <x v="2"/>
          </reference>
        </references>
      </pivotArea>
    </format>
    <format dxfId="5483">
      <pivotArea dataOnly="0" labelOnly="1" outline="0" fieldPosition="0">
        <references count="5">
          <reference field="2" count="1" selected="0">
            <x v="3"/>
          </reference>
          <reference field="3" count="1" selected="0">
            <x v="1"/>
          </reference>
          <reference field="4" count="1" selected="0">
            <x v="185"/>
          </reference>
          <reference field="5" count="1" selected="0">
            <x v="0"/>
          </reference>
          <reference field="6" count="1">
            <x v="3"/>
          </reference>
        </references>
      </pivotArea>
    </format>
    <format dxfId="5482">
      <pivotArea dataOnly="0" labelOnly="1" outline="0" fieldPosition="0">
        <references count="5">
          <reference field="2" count="1" selected="0">
            <x v="5"/>
          </reference>
          <reference field="3" count="1" selected="0">
            <x v="2"/>
          </reference>
          <reference field="4" count="1" selected="0">
            <x v="186"/>
          </reference>
          <reference field="5" count="1" selected="0">
            <x v="2"/>
          </reference>
          <reference field="6" count="1">
            <x v="2"/>
          </reference>
        </references>
      </pivotArea>
    </format>
    <format dxfId="5481">
      <pivotArea dataOnly="0" labelOnly="1" outline="0" fieldPosition="0">
        <references count="5">
          <reference field="2" count="1" selected="0">
            <x v="3"/>
          </reference>
          <reference field="3" count="1" selected="0">
            <x v="0"/>
          </reference>
          <reference field="4" count="1" selected="0">
            <x v="180"/>
          </reference>
          <reference field="5" count="1" selected="0">
            <x v="1"/>
          </reference>
          <reference field="6" count="1">
            <x v="2"/>
          </reference>
        </references>
      </pivotArea>
    </format>
    <format dxfId="5480">
      <pivotArea dataOnly="0" labelOnly="1" outline="0" fieldPosition="0">
        <references count="5">
          <reference field="2" count="1" selected="0">
            <x v="4"/>
          </reference>
          <reference field="3" count="1" selected="0">
            <x v="0"/>
          </reference>
          <reference field="4" count="1" selected="0">
            <x v="167"/>
          </reference>
          <reference field="5" count="1" selected="0">
            <x v="2"/>
          </reference>
          <reference field="6" count="1">
            <x v="2"/>
          </reference>
        </references>
      </pivotArea>
    </format>
    <format dxfId="5479">
      <pivotArea dataOnly="0" labelOnly="1" outline="0" fieldPosition="0">
        <references count="5">
          <reference field="2" count="1" selected="0">
            <x v="4"/>
          </reference>
          <reference field="3" count="1" selected="0">
            <x v="0"/>
          </reference>
          <reference field="4" count="1" selected="0">
            <x v="189"/>
          </reference>
          <reference field="5" count="1" selected="0">
            <x v="2"/>
          </reference>
          <reference field="6" count="1">
            <x v="2"/>
          </reference>
        </references>
      </pivotArea>
    </format>
    <format dxfId="5478">
      <pivotArea dataOnly="0" labelOnly="1" outline="0" fieldPosition="0">
        <references count="5">
          <reference field="2" count="1" selected="0">
            <x v="0"/>
          </reference>
          <reference field="3" count="1" selected="0">
            <x v="1"/>
          </reference>
          <reference field="4" count="1" selected="0">
            <x v="190"/>
          </reference>
          <reference field="5" count="1" selected="0">
            <x v="4"/>
          </reference>
          <reference field="6" count="1">
            <x v="2"/>
          </reference>
        </references>
      </pivotArea>
    </format>
    <format dxfId="5477">
      <pivotArea dataOnly="0" labelOnly="1" outline="0" fieldPosition="0">
        <references count="5">
          <reference field="2" count="1" selected="0">
            <x v="5"/>
          </reference>
          <reference field="3" count="1" selected="0">
            <x v="3"/>
          </reference>
          <reference field="4" count="1" selected="0">
            <x v="143"/>
          </reference>
          <reference field="5" count="1" selected="0">
            <x v="8"/>
          </reference>
          <reference field="6" count="1">
            <x v="2"/>
          </reference>
        </references>
      </pivotArea>
    </format>
    <format dxfId="5476">
      <pivotArea dataOnly="0" labelOnly="1" outline="0" fieldPosition="0">
        <references count="5">
          <reference field="2" count="1" selected="0">
            <x v="3"/>
          </reference>
          <reference field="3" count="1" selected="0">
            <x v="0"/>
          </reference>
          <reference field="4" count="1" selected="0">
            <x v="179"/>
          </reference>
          <reference field="5" count="1" selected="0">
            <x v="1"/>
          </reference>
          <reference field="6" count="1">
            <x v="2"/>
          </reference>
        </references>
      </pivotArea>
    </format>
    <format dxfId="5475">
      <pivotArea dataOnly="0" labelOnly="1" outline="0" fieldPosition="0">
        <references count="5">
          <reference field="2" count="1" selected="0">
            <x v="2"/>
          </reference>
          <reference field="3" count="1" selected="0">
            <x v="1"/>
          </reference>
          <reference field="4" count="1" selected="0">
            <x v="19"/>
          </reference>
          <reference field="5" count="1" selected="0">
            <x v="1"/>
          </reference>
          <reference field="6" count="1">
            <x v="2"/>
          </reference>
        </references>
      </pivotArea>
    </format>
    <format dxfId="5474">
      <pivotArea dataOnly="0" labelOnly="1" outline="0" fieldPosition="0">
        <references count="5">
          <reference field="2" count="1" selected="0">
            <x v="2"/>
          </reference>
          <reference field="3" count="1" selected="0">
            <x v="1"/>
          </reference>
          <reference field="4" count="1" selected="0">
            <x v="141"/>
          </reference>
          <reference field="5" count="1" selected="0">
            <x v="1"/>
          </reference>
          <reference field="6" count="1">
            <x v="3"/>
          </reference>
        </references>
      </pivotArea>
    </format>
    <format dxfId="5473">
      <pivotArea dataOnly="0" labelOnly="1" outline="0" fieldPosition="0">
        <references count="5">
          <reference field="2" count="1" selected="0">
            <x v="2"/>
          </reference>
          <reference field="3" count="1" selected="0">
            <x v="1"/>
          </reference>
          <reference field="4" count="1" selected="0">
            <x v="6"/>
          </reference>
          <reference field="5" count="1" selected="0">
            <x v="1"/>
          </reference>
          <reference field="6" count="1">
            <x v="0"/>
          </reference>
        </references>
      </pivotArea>
    </format>
    <format dxfId="5472">
      <pivotArea dataOnly="0" labelOnly="1" outline="0" fieldPosition="0">
        <references count="5">
          <reference field="2" count="1" selected="0">
            <x v="3"/>
          </reference>
          <reference field="3" count="1" selected="0">
            <x v="0"/>
          </reference>
          <reference field="4" count="1" selected="0">
            <x v="14"/>
          </reference>
          <reference field="5" count="1" selected="0">
            <x v="2"/>
          </reference>
          <reference field="6" count="1">
            <x v="2"/>
          </reference>
        </references>
      </pivotArea>
    </format>
    <format dxfId="5471">
      <pivotArea dataOnly="0" labelOnly="1" outline="0" fieldPosition="0">
        <references count="5">
          <reference field="2" count="1" selected="0">
            <x v="3"/>
          </reference>
          <reference field="3" count="1" selected="0">
            <x v="0"/>
          </reference>
          <reference field="4" count="1" selected="0">
            <x v="179"/>
          </reference>
          <reference field="5" count="1" selected="0">
            <x v="2"/>
          </reference>
          <reference field="6" count="1">
            <x v="2"/>
          </reference>
        </references>
      </pivotArea>
    </format>
    <format dxfId="5470">
      <pivotArea dataOnly="0" labelOnly="1" outline="0" fieldPosition="0">
        <references count="5">
          <reference field="2" count="1" selected="0">
            <x v="4"/>
          </reference>
          <reference field="3" count="1" selected="0">
            <x v="2"/>
          </reference>
          <reference field="4" count="1" selected="0">
            <x v="123"/>
          </reference>
          <reference field="5" count="1" selected="0">
            <x v="3"/>
          </reference>
          <reference field="6" count="1">
            <x v="2"/>
          </reference>
        </references>
      </pivotArea>
    </format>
    <format dxfId="5469">
      <pivotArea dataOnly="0" labelOnly="1" outline="0" fieldPosition="0">
        <references count="5">
          <reference field="2" count="1" selected="0">
            <x v="1"/>
          </reference>
          <reference field="3" count="1" selected="0">
            <x v="1"/>
          </reference>
          <reference field="4" count="1" selected="0">
            <x v="10"/>
          </reference>
          <reference field="5" count="1" selected="0">
            <x v="1"/>
          </reference>
          <reference field="6" count="1">
            <x v="2"/>
          </reference>
        </references>
      </pivotArea>
    </format>
    <format dxfId="5468">
      <pivotArea dataOnly="0" labelOnly="1" outline="0" fieldPosition="0">
        <references count="5">
          <reference field="2" count="1" selected="0">
            <x v="1"/>
          </reference>
          <reference field="3" count="1" selected="0">
            <x v="1"/>
          </reference>
          <reference field="4" count="1" selected="0">
            <x v="15"/>
          </reference>
          <reference field="5" count="1" selected="0">
            <x v="1"/>
          </reference>
          <reference field="6" count="1">
            <x v="2"/>
          </reference>
        </references>
      </pivotArea>
    </format>
    <format dxfId="5467">
      <pivotArea dataOnly="0" labelOnly="1" outline="0" fieldPosition="0">
        <references count="5">
          <reference field="2" count="1" selected="0">
            <x v="2"/>
          </reference>
          <reference field="3" count="1" selected="0">
            <x v="1"/>
          </reference>
          <reference field="4" count="1" selected="0">
            <x v="144"/>
          </reference>
          <reference field="5" count="1" selected="0">
            <x v="1"/>
          </reference>
          <reference field="6" count="1">
            <x v="2"/>
          </reference>
        </references>
      </pivotArea>
    </format>
    <format dxfId="5466">
      <pivotArea dataOnly="0" labelOnly="1" outline="0" fieldPosition="0">
        <references count="5">
          <reference field="2" count="1" selected="0">
            <x v="3"/>
          </reference>
          <reference field="3" count="1" selected="0">
            <x v="0"/>
          </reference>
          <reference field="4" count="1" selected="0">
            <x v="9"/>
          </reference>
          <reference field="5" count="1" selected="0">
            <x v="2"/>
          </reference>
          <reference field="6" count="1">
            <x v="2"/>
          </reference>
        </references>
      </pivotArea>
    </format>
    <format dxfId="5465">
      <pivotArea dataOnly="0" labelOnly="1" outline="0" fieldPosition="0">
        <references count="5">
          <reference field="2" count="1" selected="0">
            <x v="3"/>
          </reference>
          <reference field="3" count="1" selected="0">
            <x v="0"/>
          </reference>
          <reference field="4" count="1" selected="0">
            <x v="13"/>
          </reference>
          <reference field="5" count="1" selected="0">
            <x v="2"/>
          </reference>
          <reference field="6" count="1">
            <x v="2"/>
          </reference>
        </references>
      </pivotArea>
    </format>
    <format dxfId="5464">
      <pivotArea dataOnly="0" labelOnly="1" outline="0" fieldPosition="0">
        <references count="5">
          <reference field="2" count="1" selected="0">
            <x v="3"/>
          </reference>
          <reference field="3" count="1" selected="0">
            <x v="0"/>
          </reference>
          <reference field="4" count="1" selected="0">
            <x v="25"/>
          </reference>
          <reference field="5" count="1" selected="0">
            <x v="2"/>
          </reference>
          <reference field="6" count="1">
            <x v="2"/>
          </reference>
        </references>
      </pivotArea>
    </format>
    <format dxfId="5463">
      <pivotArea dataOnly="0" labelOnly="1" outline="0" fieldPosition="0">
        <references count="5">
          <reference field="2" count="1" selected="0">
            <x v="3"/>
          </reference>
          <reference field="3" count="1" selected="0">
            <x v="0"/>
          </reference>
          <reference field="4" count="1" selected="0">
            <x v="26"/>
          </reference>
          <reference field="5" count="1" selected="0">
            <x v="2"/>
          </reference>
          <reference field="6" count="1">
            <x v="2"/>
          </reference>
        </references>
      </pivotArea>
    </format>
    <format dxfId="5462">
      <pivotArea dataOnly="0" labelOnly="1" outline="0" fieldPosition="0">
        <references count="5">
          <reference field="2" count="1" selected="0">
            <x v="3"/>
          </reference>
          <reference field="3" count="1" selected="0">
            <x v="0"/>
          </reference>
          <reference field="4" count="1" selected="0">
            <x v="35"/>
          </reference>
          <reference field="5" count="1" selected="0">
            <x v="2"/>
          </reference>
          <reference field="6" count="1">
            <x v="2"/>
          </reference>
        </references>
      </pivotArea>
    </format>
    <format dxfId="5461">
      <pivotArea dataOnly="0" labelOnly="1" outline="0" fieldPosition="0">
        <references count="5">
          <reference field="2" count="1" selected="0">
            <x v="3"/>
          </reference>
          <reference field="3" count="1" selected="0">
            <x v="0"/>
          </reference>
          <reference field="4" count="1" selected="0">
            <x v="180"/>
          </reference>
          <reference field="5" count="1" selected="0">
            <x v="2"/>
          </reference>
          <reference field="6" count="1">
            <x v="2"/>
          </reference>
        </references>
      </pivotArea>
    </format>
    <format dxfId="5460">
      <pivotArea dataOnly="0" labelOnly="1" outline="0" fieldPosition="0">
        <references count="5">
          <reference field="2" count="1" selected="0">
            <x v="4"/>
          </reference>
          <reference field="3" count="1" selected="0">
            <x v="2"/>
          </reference>
          <reference field="4" count="1" selected="0">
            <x v="142"/>
          </reference>
          <reference field="5" count="1" selected="0">
            <x v="3"/>
          </reference>
          <reference field="6" count="1">
            <x v="2"/>
          </reference>
        </references>
      </pivotArea>
    </format>
    <format dxfId="5459">
      <pivotArea dataOnly="0" labelOnly="1" outline="0" fieldPosition="0">
        <references count="5">
          <reference field="2" count="1" selected="0">
            <x v="2"/>
          </reference>
          <reference field="3" count="1" selected="0">
            <x v="1"/>
          </reference>
          <reference field="4" count="1" selected="0">
            <x v="34"/>
          </reference>
          <reference field="5" count="1" selected="0">
            <x v="1"/>
          </reference>
          <reference field="6" count="1">
            <x v="3"/>
          </reference>
        </references>
      </pivotArea>
    </format>
    <format dxfId="5458">
      <pivotArea dataOnly="0" labelOnly="1" outline="0" fieldPosition="0">
        <references count="5">
          <reference field="2" count="1" selected="0">
            <x v="2"/>
          </reference>
          <reference field="3" count="1" selected="0">
            <x v="1"/>
          </reference>
          <reference field="4" count="1" selected="0">
            <x v="73"/>
          </reference>
          <reference field="5" count="1" selected="0">
            <x v="1"/>
          </reference>
          <reference field="6" count="1">
            <x v="2"/>
          </reference>
        </references>
      </pivotArea>
    </format>
    <format dxfId="5457">
      <pivotArea dataOnly="0" labelOnly="1" outline="0" fieldPosition="0">
        <references count="5">
          <reference field="2" count="1" selected="0">
            <x v="3"/>
          </reference>
          <reference field="3" count="1" selected="0">
            <x v="0"/>
          </reference>
          <reference field="4" count="1" selected="0">
            <x v="149"/>
          </reference>
          <reference field="5" count="1" selected="0">
            <x v="2"/>
          </reference>
          <reference field="6" count="1">
            <x v="2"/>
          </reference>
        </references>
      </pivotArea>
    </format>
    <format dxfId="5456">
      <pivotArea dataOnly="0" labelOnly="1" outline="0" fieldPosition="0">
        <references count="5">
          <reference field="2" count="1" selected="0">
            <x v="5"/>
          </reference>
          <reference field="3" count="1" selected="0">
            <x v="3"/>
          </reference>
          <reference field="4" count="1" selected="0">
            <x v="42"/>
          </reference>
          <reference field="5" count="1" selected="0">
            <x v="8"/>
          </reference>
          <reference field="6" count="1">
            <x v="2"/>
          </reference>
        </references>
      </pivotArea>
    </format>
    <format dxfId="5455">
      <pivotArea dataOnly="0" labelOnly="1" outline="0" fieldPosition="0">
        <references count="5">
          <reference field="2" count="1" selected="0">
            <x v="1"/>
          </reference>
          <reference field="3" count="1" selected="0">
            <x v="1"/>
          </reference>
          <reference field="4" count="1" selected="0">
            <x v="101"/>
          </reference>
          <reference field="5" count="1" selected="0">
            <x v="1"/>
          </reference>
          <reference field="6" count="1">
            <x v="2"/>
          </reference>
        </references>
      </pivotArea>
    </format>
    <format dxfId="5454">
      <pivotArea dataOnly="0" labelOnly="1" outline="0" fieldPosition="0">
        <references count="5">
          <reference field="2" count="1" selected="0">
            <x v="2"/>
          </reference>
          <reference field="3" count="1" selected="0">
            <x v="1"/>
          </reference>
          <reference field="4" count="1" selected="0">
            <x v="32"/>
          </reference>
          <reference field="5" count="1" selected="0">
            <x v="2"/>
          </reference>
          <reference field="6" count="1">
            <x v="9"/>
          </reference>
        </references>
      </pivotArea>
    </format>
    <format dxfId="5453">
      <pivotArea dataOnly="0" labelOnly="1" outline="0" fieldPosition="0">
        <references count="5">
          <reference field="2" count="1" selected="0">
            <x v="2"/>
          </reference>
          <reference field="3" count="1" selected="0">
            <x v="1"/>
          </reference>
          <reference field="4" count="1" selected="0">
            <x v="70"/>
          </reference>
          <reference field="5" count="1" selected="0">
            <x v="1"/>
          </reference>
          <reference field="6" count="1">
            <x v="0"/>
          </reference>
        </references>
      </pivotArea>
    </format>
    <format dxfId="5452">
      <pivotArea dataOnly="0" labelOnly="1" outline="0" fieldPosition="0">
        <references count="5">
          <reference field="2" count="1" selected="0">
            <x v="2"/>
          </reference>
          <reference field="3" count="1" selected="0">
            <x v="1"/>
          </reference>
          <reference field="4" count="1" selected="0">
            <x v="151"/>
          </reference>
          <reference field="5" count="1" selected="0">
            <x v="1"/>
          </reference>
          <reference field="6" count="1">
            <x v="2"/>
          </reference>
        </references>
      </pivotArea>
    </format>
    <format dxfId="5451">
      <pivotArea dataOnly="0" labelOnly="1" outline="0" fieldPosition="0">
        <references count="5">
          <reference field="2" count="1" selected="0">
            <x v="2"/>
          </reference>
          <reference field="3" count="1" selected="0">
            <x v="1"/>
          </reference>
          <reference field="4" count="1" selected="0">
            <x v="152"/>
          </reference>
          <reference field="5" count="1" selected="0">
            <x v="1"/>
          </reference>
          <reference field="6" count="1">
            <x v="2"/>
          </reference>
        </references>
      </pivotArea>
    </format>
    <format dxfId="5450">
      <pivotArea dataOnly="0" labelOnly="1" outline="0" fieldPosition="0">
        <references count="5">
          <reference field="2" count="1" selected="0">
            <x v="3"/>
          </reference>
          <reference field="3" count="1" selected="0">
            <x v="0"/>
          </reference>
          <reference field="4" count="1" selected="0">
            <x v="52"/>
          </reference>
          <reference field="5" count="1" selected="0">
            <x v="2"/>
          </reference>
          <reference field="6" count="1">
            <x v="2"/>
          </reference>
        </references>
      </pivotArea>
    </format>
    <format dxfId="5449">
      <pivotArea dataOnly="0" labelOnly="1" outline="0" fieldPosition="0">
        <references count="5">
          <reference field="2" count="1" selected="0">
            <x v="3"/>
          </reference>
          <reference field="3" count="1" selected="0">
            <x v="0"/>
          </reference>
          <reference field="4" count="1" selected="0">
            <x v="63"/>
          </reference>
          <reference field="5" count="1" selected="0">
            <x v="2"/>
          </reference>
          <reference field="6" count="1">
            <x v="2"/>
          </reference>
        </references>
      </pivotArea>
    </format>
    <format dxfId="5448">
      <pivotArea dataOnly="0" labelOnly="1" outline="0" fieldPosition="0">
        <references count="5">
          <reference field="2" count="1" selected="0">
            <x v="3"/>
          </reference>
          <reference field="3" count="1" selected="0">
            <x v="0"/>
          </reference>
          <reference field="4" count="1" selected="0">
            <x v="116"/>
          </reference>
          <reference field="5" count="1" selected="0">
            <x v="2"/>
          </reference>
          <reference field="6" count="1">
            <x v="2"/>
          </reference>
        </references>
      </pivotArea>
    </format>
    <format dxfId="5447">
      <pivotArea dataOnly="0" labelOnly="1" outline="0" fieldPosition="0">
        <references count="5">
          <reference field="2" count="1" selected="0">
            <x v="3"/>
          </reference>
          <reference field="3" count="1" selected="0">
            <x v="0"/>
          </reference>
          <reference field="4" count="1" selected="0">
            <x v="154"/>
          </reference>
          <reference field="5" count="1" selected="0">
            <x v="2"/>
          </reference>
          <reference field="6" count="1">
            <x v="2"/>
          </reference>
        </references>
      </pivotArea>
    </format>
    <format dxfId="5446">
      <pivotArea dataOnly="0" labelOnly="1" outline="0" fieldPosition="0">
        <references count="5">
          <reference field="2" count="1" selected="0">
            <x v="8"/>
          </reference>
          <reference field="3" count="1" selected="0">
            <x v="2"/>
          </reference>
          <reference field="4" count="1" selected="0">
            <x v="153"/>
          </reference>
          <reference field="5" count="1" selected="0">
            <x v="3"/>
          </reference>
          <reference field="6" count="1">
            <x v="2"/>
          </reference>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plit" xr10:uid="{D651267F-B96D-407B-B8C4-F4502E74191C}" sourceName="Split">
  <pivotTables>
    <pivotTable tabId="4" name="Split Principal"/>
    <pivotTable tabId="4" name="Drop pivot"/>
    <pivotTable tabId="4" name="H.A. Split"/>
    <pivotTable tabId="4" name="H.A. Station"/>
  </pivotTables>
  <data>
    <tabular pivotCacheId="101812412">
      <items count="8">
        <i x="0" s="1"/>
        <i x="1"/>
        <i x="2"/>
        <i x="3"/>
        <i x="5" nd="1"/>
        <i x="6" nd="1"/>
        <i x="7" nd="1"/>
        <i x="4"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tation" xr10:uid="{FE112965-2A55-49C1-A929-3B83C398B72F}" sourceName="Station">
  <pivotTables>
    <pivotTable tabId="4" name="Split Principal"/>
    <pivotTable tabId="4" name="Drop pivot"/>
    <pivotTable tabId="4" name="H.A. Station"/>
  </pivotTables>
  <data>
    <tabular pivotCacheId="101812412">
      <items count="7">
        <i x="0" s="1"/>
        <i x="2" nd="1"/>
        <i x="3" nd="1"/>
        <i x="1" nd="1"/>
        <i x="4" nd="1"/>
        <i x="5" nd="1"/>
        <i x="6"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plit1" xr10:uid="{6328D42E-99B3-436F-B25C-785313E4C183}" sourceName="Split">
  <pivotTables>
    <pivotTable tabId="4" name="Searcher"/>
    <pivotTable tabId="4" name="Operation Split"/>
  </pivotTables>
  <data>
    <tabular pivotCacheId="1384272727">
      <items count="41">
        <i x="0" s="1"/>
        <i x="1"/>
        <i x="2"/>
        <i x="3"/>
        <i x="4"/>
        <i x="5"/>
        <i x="6"/>
        <i x="7"/>
        <i x="8"/>
        <i x="9"/>
        <i x="10"/>
        <i x="11"/>
        <i x="12"/>
        <i x="13"/>
        <i x="14"/>
        <i x="15"/>
        <i x="16"/>
        <i x="17"/>
        <i x="18"/>
        <i x="19"/>
        <i x="20"/>
        <i x="21"/>
        <i x="22"/>
        <i x="23"/>
        <i x="24"/>
        <i x="25"/>
        <i x="26"/>
        <i x="27"/>
        <i x="28" nd="1"/>
        <i x="29" nd="1"/>
        <i x="30" nd="1"/>
        <i x="31" nd="1"/>
        <i x="32" nd="1"/>
        <i x="33" nd="1"/>
        <i x="34" nd="1"/>
        <i x="35" nd="1"/>
        <i x="36" nd="1"/>
        <i x="37" nd="1"/>
        <i x="38" nd="1"/>
        <i x="39" nd="1"/>
        <i x="40"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plit2" xr10:uid="{3C173188-D87F-4E48-B4F1-4DF85534F94C}" sourceName="Split">
  <pivotTables>
    <pivotTable tabId="15" name="Split Principal PT2"/>
    <pivotTable tabId="15" name="Split Principal"/>
    <pivotTable tabId="4" name="alphabetical"/>
    <pivotTable tabId="15" name="TablaDinámica5"/>
    <pivotTable tabId="15" name="Station t1"/>
    <pivotTable tabId="15" name="Total sites 1"/>
    <pivotTable tabId="15" name="Buscador"/>
    <pivotTable tabId="15" name="alphabetical"/>
  </pivotTables>
  <data>
    <tabular pivotCacheId="1384272727">
      <items count="41">
        <i x="0"/>
        <i x="1"/>
        <i x="2"/>
        <i x="3"/>
        <i x="4"/>
        <i x="5"/>
        <i x="6"/>
        <i x="7"/>
        <i x="8"/>
        <i x="9"/>
        <i x="10" s="1"/>
        <i x="11"/>
        <i x="12"/>
        <i x="13"/>
        <i x="14"/>
        <i x="15"/>
        <i x="16"/>
        <i x="17"/>
        <i x="18"/>
        <i x="19"/>
        <i x="20"/>
        <i x="21"/>
        <i x="22"/>
        <i x="23"/>
        <i x="24"/>
        <i x="25"/>
        <i x="26"/>
        <i x="28" nd="1"/>
        <i x="29" nd="1"/>
        <i x="30" nd="1"/>
        <i x="31" nd="1"/>
        <i x="32" nd="1"/>
        <i x="33" nd="1"/>
        <i x="34" nd="1"/>
        <i x="35" nd="1"/>
        <i x="36" nd="1"/>
        <i x="37" nd="1"/>
        <i x="38" nd="1"/>
        <i x="39" nd="1"/>
        <i x="40" nd="1"/>
        <i x="27"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tation1" xr10:uid="{9D6188E9-B4D7-4381-B906-3F87B2B03010}" sourceName="Station">
  <pivotTables>
    <pivotTable tabId="15" name="Split Principal PT2"/>
    <pivotTable tabId="15" name="Split Principal"/>
    <pivotTable tabId="4" name="alphabetical"/>
    <pivotTable tabId="15" name="TablaDinámica5"/>
    <pivotTable tabId="15" name="Station t1"/>
    <pivotTable tabId="15" name="Total sites 1"/>
    <pivotTable tabId="15" name="alphabetical"/>
  </pivotTables>
  <data>
    <tabular pivotCacheId="1384272727">
      <items count="42">
        <i x="0"/>
        <i x="1"/>
        <i x="2"/>
        <i x="3"/>
        <i x="4"/>
        <i x="5"/>
        <i x="6"/>
        <i x="7" s="1"/>
        <i x="8"/>
        <i x="9"/>
        <i x="10"/>
        <i x="11"/>
        <i x="12"/>
        <i x="13"/>
        <i x="41" nd="1"/>
        <i x="14" nd="1"/>
        <i x="15" nd="1"/>
        <i x="16" nd="1"/>
        <i x="17" nd="1"/>
        <i x="18" nd="1"/>
        <i x="19" nd="1"/>
        <i x="20" nd="1"/>
        <i x="21" nd="1"/>
        <i x="22" nd="1"/>
        <i x="23" nd="1"/>
        <i x="24" nd="1"/>
        <i x="25" nd="1"/>
        <i x="26" nd="1"/>
        <i x="27" nd="1"/>
        <i x="28" nd="1"/>
        <i x="29" nd="1"/>
        <i x="31" nd="1"/>
        <i x="32" nd="1"/>
        <i x="33" nd="1"/>
        <i x="34" nd="1"/>
        <i x="35" nd="1"/>
        <i x="36" nd="1"/>
        <i x="37" nd="1"/>
        <i x="38" nd="1"/>
        <i x="39" nd="1"/>
        <i x="40" nd="1"/>
        <i x="30" nd="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plit11" xr10:uid="{55B34D0F-0CAC-4D5C-AED3-752E6C646D84}" sourceName="Split">
  <pivotTables>
    <pivotTable tabId="20" name="Cuenta 2"/>
    <pivotTable tabId="20" name="Cambio de Split"/>
    <pivotTable tabId="20" name="Cambio de Split PT2"/>
  </pivotTables>
  <data>
    <tabular pivotCacheId="1384272727">
      <items count="41">
        <i x="0" s="1"/>
        <i x="1" s="1"/>
        <i x="2" s="1"/>
        <i x="3" s="1"/>
        <i x="4" s="1"/>
        <i x="5" s="1"/>
        <i x="6" s="1"/>
        <i x="7" s="1"/>
        <i x="8" s="1"/>
        <i x="9" s="1"/>
        <i x="10" s="1"/>
        <i x="11" s="1"/>
        <i x="12" s="1"/>
        <i x="13" s="1"/>
        <i x="14" s="1"/>
        <i x="15" s="1"/>
        <i x="16" s="1"/>
        <i x="17" s="1"/>
        <i x="18" s="1"/>
        <i x="19" s="1"/>
        <i x="20" s="1"/>
        <i x="21" s="1"/>
        <i x="22" s="1"/>
        <i x="23" s="1"/>
        <i x="24" s="1"/>
        <i x="25" s="1"/>
        <i x="26" s="1"/>
        <i x="28" s="1" nd="1"/>
        <i x="29" s="1" nd="1"/>
        <i x="30" s="1" nd="1"/>
        <i x="31" s="1" nd="1"/>
        <i x="32" s="1" nd="1"/>
        <i x="33" s="1" nd="1"/>
        <i x="34" s="1" nd="1"/>
        <i x="35" s="1" nd="1"/>
        <i x="36" s="1" nd="1"/>
        <i x="37" s="1" nd="1"/>
        <i x="38" s="1" nd="1"/>
        <i x="39" s="1" nd="1"/>
        <i x="40" s="1" nd="1"/>
        <i x="27" s="1" nd="1"/>
      </items>
    </tabular>
  </data>
  <extLs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tation11" xr10:uid="{A29B1FF5-94A2-4C87-8594-7D84CD311D1C}" sourceName="Station">
  <pivotTables>
    <pivotTable tabId="20" name="Cuenta 2"/>
    <pivotTable tabId="20" name="Cambio de Split"/>
    <pivotTable tabId="20" name="Cambio de Split PT2"/>
  </pivotTables>
  <data>
    <tabular pivotCacheId="1384272727">
      <items count="42">
        <i x="0" s="1"/>
        <i x="1"/>
        <i x="2"/>
        <i x="3"/>
        <i x="4"/>
        <i x="5"/>
        <i x="6"/>
        <i x="7"/>
        <i x="8"/>
        <i x="9"/>
        <i x="10"/>
        <i x="11"/>
        <i x="12"/>
        <i x="13"/>
        <i x="14"/>
        <i x="15"/>
        <i x="16"/>
        <i x="17"/>
        <i x="18"/>
        <i x="19"/>
        <i x="20"/>
        <i x="21"/>
        <i x="22"/>
        <i x="23"/>
        <i x="24"/>
        <i x="25"/>
        <i x="26"/>
        <i x="27"/>
        <i x="28"/>
        <i x="29"/>
        <i x="41" nd="1"/>
        <i x="31" nd="1"/>
        <i x="32" nd="1"/>
        <i x="33" nd="1"/>
        <i x="34" nd="1"/>
        <i x="35" nd="1"/>
        <i x="36" nd="1"/>
        <i x="37" nd="1"/>
        <i x="38" nd="1"/>
        <i x="39" nd="1"/>
        <i x="40" nd="1"/>
        <i x="30"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plit 1" xr10:uid="{EFB26B2C-9FDC-489E-9907-D37AA94C15B0}" cache="SegmentaciónDeDatos_Split2" caption="Split" columnCount="7" rowHeight="241300"/>
  <slicer name="Station 1" xr10:uid="{6EBA14D9-CA4C-4122-B31B-F210B87B150A}" cache="SegmentaciónDeDatos_Station1" caption="Station" columnCount="8"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plit 2" xr10:uid="{4BBBD5C4-4A28-42F3-A6BD-0B7D1AF5A53E}" cache="SegmentaciónDeDatos_Split11" caption="Split" columnCount="8" rowHeight="241300"/>
  <slicer name="Station 2" xr10:uid="{97C90419-015E-40DF-82B7-7D56ABF6C576}" cache="SegmentaciónDeDatos_Station11" caption="Station" columnCount="8"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plit" xr10:uid="{3336BC6F-14FB-41B7-AC61-97475B7655EA}" cache="SegmentaciónDeDatos_Split" caption="H.A. Split" columnCount="2" rowHeight="241300"/>
  <slicer name="Station" xr10:uid="{FE4DD895-A5E2-43DA-8FCE-4E3274DD30FE}" cache="SegmentaciónDeDatos_Station" caption="H.A.Station" columnCount="2" rowHeight="241300"/>
  <slicer name="Operation Split" xr10:uid="{CE441AAD-6419-4030-882D-9520ECB3E1A5}" cache="SegmentaciónDeDatos_Split1" caption="Operation Split" columnCount="8" rowHeight="237744"/>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7BC913-29A6-4C7E-99F3-0CDE931E4FB2}" name="Tabla3" displayName="Tabla3" ref="A1:Q3241" totalsRowShown="0">
  <autoFilter ref="A1:Q3241" xr:uid="{A37BC913-29A6-4C7E-99F3-0CDE931E4FB2}"/>
  <sortState xmlns:xlrd2="http://schemas.microsoft.com/office/spreadsheetml/2017/richdata2" ref="A2:Q3241">
    <sortCondition ref="B2:B3241"/>
    <sortCondition ref="C2:C3241"/>
    <sortCondition ref="F2:F3241"/>
  </sortState>
  <tableColumns count="17">
    <tableColumn id="11" xr3:uid="{FF5F5664-984C-460E-B843-4DD05CABC98A}" name="Key">
      <calculatedColumnFormula>+Tabla3[[#This Row],[Site]]&amp;Tabla3[[#This Row],[Split]]</calculatedColumnFormula>
    </tableColumn>
    <tableColumn id="1" xr3:uid="{E1A2C834-F87A-482B-8736-8F10E5521E1C}" name="Split"/>
    <tableColumn id="2" xr3:uid="{717AD207-DA87-439E-90E3-ECE03D2FB9AA}" name="Station"/>
    <tableColumn id="3" xr3:uid="{D4A35BD4-EA5E-4D08-AB15-96DCC6A705A5}" name="Hour"/>
    <tableColumn id="4" xr3:uid="{7563744E-8890-4E03-926C-C305F3464DA2}" name="Time"/>
    <tableColumn id="5" xr3:uid="{1DB08AA5-F8A7-4299-AFB0-313AEB9D3107}" name="Site"/>
    <tableColumn id="6" xr3:uid="{827E4F95-9112-414A-B55D-AE16DF7181EF}" name="Drop time"/>
    <tableColumn id="7" xr3:uid="{2DA7BFC4-1389-4921-9A19-FD19287D8F35}" name="SIG Tools" dataDxfId="5889">
      <calculatedColumnFormula>VLOOKUP(Tabla3[[#This Row],[Site]],'Important Info!'!$A$1:$J$135,10,FALSE)</calculatedColumnFormula>
    </tableColumn>
    <tableColumn id="9" xr3:uid="{C7A21E92-C6C6-42E1-BC8B-759CEDC81A7A}" name="Map"/>
    <tableColumn id="8" xr3:uid="{DFFA9CE2-CD31-415C-B651-961A8BCC0F4B}" name="SUNDAY (D.T.)"/>
    <tableColumn id="10" xr3:uid="{362BBA9F-EDB0-4350-BE62-63D1DC755B0C}" name="Notes*"/>
    <tableColumn id="12" xr3:uid="{18A4B9F2-03B0-4262-9181-5C03AB6BFCBF}" name="Gates" dataDxfId="5888">
      <calculatedColumnFormula>VLOOKUP(Tabla3[[#This Row],[Site]],'Important Info!'!$A$1:$F$135,2,FALSE)</calculatedColumnFormula>
    </tableColumn>
    <tableColumn id="13" xr3:uid="{21CD94D7-181A-4E32-ACA6-10CE4CB857FB}" name="Entrances" dataDxfId="5887">
      <calculatedColumnFormula>VLOOKUP(Tabla3[[#This Row],[Site]],'Important Info!'!$A$1:$F$135,3,FALSE)</calculatedColumnFormula>
    </tableColumn>
    <tableColumn id="14" xr3:uid="{291657B3-D991-41CE-AC02-1818E23C2841}" name="LPR" dataDxfId="5886">
      <calculatedColumnFormula>VLOOKUP(Tabla3[[#This Row],[Site]],'Important Info!'!$A$1:$F$135,4,FALSE)</calculatedColumnFormula>
    </tableColumn>
    <tableColumn id="15" xr3:uid="{E3CA2A8B-712B-418C-BCF9-57571B784248}" name="PTZ" dataDxfId="5885">
      <calculatedColumnFormula>VLOOKUP(Tabla3[[#This Row],[Site]],'Important Info!'!$A$1:$F$135,5,FALSE)</calculatedColumnFormula>
    </tableColumn>
    <tableColumn id="16" xr3:uid="{3A71D871-05D6-4D5C-A9F0-048148E8A54B}" name="Important Cameras" dataDxfId="5884">
      <calculatedColumnFormula>VLOOKUP(Tabla3[[#This Row],[Site]],'Important Info!'!$A$1:$F$135,6,FALSE)</calculatedColumnFormula>
    </tableColumn>
    <tableColumn id="17" xr3:uid="{FD4BD59C-3781-4A08-B80B-444AEB329F80}" name="ID" dataDxfId="5883">
      <calculatedColumnFormula>VLOOKUP(Tabla3[[#This Row],[Site]],'Important Info!'!$A$1:$J$135,9,FALSE)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7A4D3E2-DB0A-4C7D-A046-B6E376B52CD2}" name="Table3" displayName="Table3" ref="A1:J135" totalsRowShown="0" headerRowDxfId="5882" dataDxfId="5881">
  <autoFilter ref="A1:J135" xr:uid="{57A4D3E2-DB0A-4C7D-A046-B6E376B52CD2}"/>
  <sortState xmlns:xlrd2="http://schemas.microsoft.com/office/spreadsheetml/2017/richdata2" ref="A2:H135">
    <sortCondition ref="A1:A135"/>
  </sortState>
  <tableColumns count="10">
    <tableColumn id="1" xr3:uid="{BED021B3-6620-445D-80ED-E0FA58AC4BF8}" name="SITES" dataDxfId="5880"/>
    <tableColumn id="2" xr3:uid="{7459B684-83C0-40BA-99A6-ACE09C75FA09}" name="GATES" dataDxfId="5879"/>
    <tableColumn id="3" xr3:uid="{AFCC9ADC-7739-4E7F-9EDA-C4DAE18F3337}" name="ENTRANCES" dataDxfId="5878"/>
    <tableColumn id="4" xr3:uid="{E0583D54-98F3-49A6-B949-67B5D4A898CF}" name="LPR GATES" dataDxfId="5877"/>
    <tableColumn id="5" xr3:uid="{0456B4F5-4AAF-4532-AC5E-50EA2492BA0B}" name="PTZ" dataDxfId="5876"/>
    <tableColumn id="6" xr3:uid="{B069589C-284F-435E-839E-53F64AB45CA3}" name="IMPORTANT CAMERAS" dataDxfId="5875"/>
    <tableColumn id="7" xr3:uid="{4DE39C31-B35D-422A-B71C-3F5693B235D2}" name="BLIND SPOT" dataDxfId="5874"/>
    <tableColumn id="8" xr3:uid="{B0928E26-F001-4112-BCFE-BC75B690FA40}" name="NOTES" dataDxfId="5873"/>
    <tableColumn id="9" xr3:uid="{0C4E194A-23D1-4259-BE43-6F44C9DD42B7}" name="ID" dataDxfId="5872"/>
    <tableColumn id="10" xr3:uid="{AF44135F-8EE2-4854-AB70-9B1D3F89D300}" name="SIG TOOLS" dataDxfId="5871">
      <calculatedColumnFormula>"https://tools.sig.systems/site/details/" &amp; Table3[[#This Row],[ID]]</calculatedColumnFormula>
    </tableColumn>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7A16AEC-0C5A-46C6-917A-5AB21C993C77}" name="Tabla33" displayName="Tabla33" ref="A2:H87" totalsRowShown="0">
  <autoFilter ref="A2:H87" xr:uid="{73F8F041-3DE8-48A1-8449-D7F73E219F0E}"/>
  <tableColumns count="8">
    <tableColumn id="1" xr3:uid="{79CC7470-1C6C-4A88-A3AA-0365F685080C}" name="Split"/>
    <tableColumn id="2" xr3:uid="{0E1D628A-3E7D-44CB-9F50-278DA4745A65}" name="Station"/>
    <tableColumn id="3" xr3:uid="{8DFD52A1-781F-4B68-99DC-A8FB4FE29B73}" name="Hour"/>
    <tableColumn id="4" xr3:uid="{A6443A63-CA85-4C14-A09D-5C1C18C851AB}" name="Time"/>
    <tableColumn id="5" xr3:uid="{3DDCEC79-CEEC-4520-9403-0C2B3ACC4ABE}" name="Site"/>
    <tableColumn id="6" xr3:uid="{931B9C10-AB5A-44EB-8502-0ED7B1CE5DE9}" name="Drop time"/>
    <tableColumn id="8" xr3:uid="{CF2A01AC-7273-4346-BD94-303E9AAB9CE5}" name="SUNDAY (D.T.)"/>
    <tableColumn id="10" xr3:uid="{656BAD71-8335-4786-ABBE-8F522CF62FC3}" name="Notes*"/>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85" dT="2023-11-18T09:50:51.03" personId="{5D0702F6-D9AB-4FDF-AE1D-D92479C08A84}" id="{804116AA-0812-4CBE-BA2B-AB0C7316AC8C}">
    <text>Disabled</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475AE28-A728-4C3D-A051-3A7FD5B493F9}">
  <we:reference id="wa104006972" version="1.0.0.0" store="es-MX" storeType="OMEX"/>
  <we:alternateReferences>
    <we:reference id="WA104006972" version="1.0.0.0" store="WA104006972"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microsoft.com/office/2007/relationships/slicer" Target="../slicers/slicer2.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1" Type="http://schemas.openxmlformats.org/officeDocument/2006/relationships/hyperlink" Target="https://www.google.com/maps/d/viewer?mid=1ebZp8DeTYSXNPgDIA63nFVDu9ohaO4E&amp;ll=41.08027837958441%2C-73.46597874999999&amp;z=15" TargetMode="External"/><Relationship Id="rId170" Type="http://schemas.openxmlformats.org/officeDocument/2006/relationships/hyperlink" Target="https://www.google.com/maps/d/viewer?mid=1whGZ1PLqmhJnGFz8uigZqUL4cHGGW3w&amp;ll=38.668847686454825%2C-90.4433601&amp;z=17" TargetMode="External"/><Relationship Id="rId268" Type="http://schemas.openxmlformats.org/officeDocument/2006/relationships/hyperlink" Target="https://www.google.com/maps/d/viewer?hl=es&amp;mid=1C1oZdjH3dNvCvqdpIv_Lk0Yn1OCVn-4&amp;ll=38.965368114274455%2C-92.3405954&amp;z=15" TargetMode="External"/><Relationship Id="rId475" Type="http://schemas.openxmlformats.org/officeDocument/2006/relationships/hyperlink" Target="https://www.google.com/maps/d/viewer?mid=1ubI2iKs1JyYXssuT4oLPnVvFnyLPi_s&amp;ll=40.878808846788026%2C-73.98560655&amp;z=17" TargetMode="External"/><Relationship Id="rId682" Type="http://schemas.openxmlformats.org/officeDocument/2006/relationships/hyperlink" Target="https://www.google.com/maps/d/edit?hl=es&amp;mid=1uPmsRMsXnp74hPFW2t-sp2totVWF_xY&amp;ll=32.83050137713022%2C-96.83197783061323&amp;z=17" TargetMode="External"/><Relationship Id="rId128" Type="http://schemas.openxmlformats.org/officeDocument/2006/relationships/hyperlink" Target="https://www.google.com/maps/d/viewer?mid=1AyViBuyeq7iwDua1SVudJ2A1BYi3IBA&amp;ll=27.38181516363982%2C-80.32568845000002&amp;z=18" TargetMode="External"/><Relationship Id="rId335" Type="http://schemas.openxmlformats.org/officeDocument/2006/relationships/hyperlink" Target="https://www.google.com/maps/d/viewer?mid=1ejOzT7-x6RWnCf83BBP7XhiOiwEX3Wk&amp;ll=36.061264791292906%2C-79.87437695000003&amp;z=17" TargetMode="External"/><Relationship Id="rId542" Type="http://schemas.openxmlformats.org/officeDocument/2006/relationships/hyperlink" Target="https://www.google.com/maps/d/viewer?hl=es&amp;mid=1C1oZdjH3dNvCvqdpIv_Lk0Yn1OCVn-4&amp;ll=38.965368114274455%2C-92.3405954&amp;z=15" TargetMode="External"/><Relationship Id="rId987" Type="http://schemas.openxmlformats.org/officeDocument/2006/relationships/hyperlink" Target="https://www.google.com/maps/d/viewer?hl=es&amp;mid=1C1oZdjH3dNvCvqdpIv_Lk0Yn1OCVn-4&amp;ll=38.965368114274455%2C-92.3405954&amp;z=15" TargetMode="External"/><Relationship Id="rId402" Type="http://schemas.openxmlformats.org/officeDocument/2006/relationships/hyperlink" Target="https://www.google.com/maps/d/viewer?mid=1bDs0QGFZwL3vEeGKxjVMk_j4azr0-lg&amp;ll=33.4593758581648%2C-112.28793780000001&amp;z=18" TargetMode="External"/><Relationship Id="rId847" Type="http://schemas.openxmlformats.org/officeDocument/2006/relationships/hyperlink" Target="https://www.google.com/maps/d/edit?hl=es&amp;mid=1uPmsRMsXnp74hPFW2t-sp2totVWF_xY&amp;ll=32.83050137713022%2C-96.83197783061323&amp;z=17" TargetMode="External"/><Relationship Id="rId1032" Type="http://schemas.openxmlformats.org/officeDocument/2006/relationships/hyperlink" Target="https://www.google.com/maps/d/viewer?mid=1gN2lJ0iT7m5VNhD7aDcxE8AdXqtcOZc&amp;ll=40.396096737592195%2C-104.746842&amp;z=16" TargetMode="External"/><Relationship Id="rId707" Type="http://schemas.openxmlformats.org/officeDocument/2006/relationships/hyperlink" Target="https://www.google.com/maps/d/edit?hl=es&amp;mid=1uPmsRMsXnp74hPFW2t-sp2totVWF_xY&amp;ll=32.83050137713022%2C-96.83197783061323&amp;z=17" TargetMode="External"/><Relationship Id="rId914" Type="http://schemas.openxmlformats.org/officeDocument/2006/relationships/hyperlink" Target="https://www.google.com/maps/d/viewer?mid=1AyViBuyeq7iwDua1SVudJ2A1BYi3IBA&amp;ll=27.38181516363982%2C-80.32568845000002&amp;z=18" TargetMode="External"/><Relationship Id="rId43" Type="http://schemas.openxmlformats.org/officeDocument/2006/relationships/hyperlink" Target="https://www.google.com/maps/d/viewer?mid=1hvbKFMO-d5TXrKGU-g5dt_xcdArB1D0&amp;ll=34.71147784120261%2C-92.40574350000001&amp;z=17" TargetMode="External"/><Relationship Id="rId192" Type="http://schemas.openxmlformats.org/officeDocument/2006/relationships/hyperlink" Target="https://www.google.com/maps/d/viewer?hl=es&amp;mid=1C1oZdjH3dNvCvqdpIv_Lk0Yn1OCVn-4&amp;ll=38.965368114274455%2C-92.3405954&amp;z=15" TargetMode="External"/><Relationship Id="rId497" Type="http://schemas.openxmlformats.org/officeDocument/2006/relationships/hyperlink" Target="https://www.google.com/maps/d/viewer?mid=1ejOzT7-x6RWnCf83BBP7XhiOiwEX3Wk&amp;ll=36.061264791292906%2C-79.87437695000003&amp;z=17" TargetMode="External"/><Relationship Id="rId357" Type="http://schemas.openxmlformats.org/officeDocument/2006/relationships/hyperlink" Target="https://www.google.com/maps/d/viewer?hl=es&amp;mid=1C1oZdjH3dNvCvqdpIv_Lk0Yn1OCVn-4&amp;ll=38.965368114274455%2C-92.3405954&amp;z=15" TargetMode="External"/><Relationship Id="rId54" Type="http://schemas.openxmlformats.org/officeDocument/2006/relationships/hyperlink" Target="https://www.google.com/maps/d/viewer?mid=1hvbKFMO-d5TXrKGU-g5dt_xcdArB1D0&amp;ll=34.71147784120261%2C-92.40574350000001&amp;z=17" TargetMode="External"/><Relationship Id="rId217" Type="http://schemas.openxmlformats.org/officeDocument/2006/relationships/hyperlink" Target="https://www.google.com/maps/d/viewer?hl=es&amp;mid=1C1oZdjH3dNvCvqdpIv_Lk0Yn1OCVn-4&amp;ll=38.965368114274455%2C-92.3405954&amp;z=15" TargetMode="External"/><Relationship Id="rId564" Type="http://schemas.openxmlformats.org/officeDocument/2006/relationships/hyperlink" Target="https://www.google.com/maps/d/viewer?mid=1bDs0QGFZwL3vEeGKxjVMk_j4azr0-lg&amp;ll=33.4593758581648%2C-112.28793780000001&amp;z=18" TargetMode="External"/><Relationship Id="rId771" Type="http://schemas.openxmlformats.org/officeDocument/2006/relationships/hyperlink" Target="https://www.google.com/maps/d/edit?hl=es&amp;mid=1uPmsRMsXnp74hPFW2t-sp2totVWF_xY&amp;ll=32.83050137713022%2C-96.83197783061323&amp;z=17" TargetMode="External"/><Relationship Id="rId869" Type="http://schemas.openxmlformats.org/officeDocument/2006/relationships/hyperlink" Target="https://www.google.com/maps/d/viewer?hl=es&amp;mid=1C1oZdjH3dNvCvqdpIv_Lk0Yn1OCVn-4&amp;ll=38.965368114274455%2C-92.3405954&amp;z=15" TargetMode="External"/><Relationship Id="rId424" Type="http://schemas.openxmlformats.org/officeDocument/2006/relationships/hyperlink" Target="https://www.google.com/maps/d/viewer?mid=1FEo41PzFJQjUIXXKitX5TNCtuqR6Vbs&amp;ll=41.1663376742533%2C-73.22955662049608&amp;z=16" TargetMode="External"/><Relationship Id="rId631" Type="http://schemas.openxmlformats.org/officeDocument/2006/relationships/hyperlink" Target="https://www.google.com/maps/d/edit?hl=en&amp;mid=1UHmt7tH1ihTa85i0MfQIcTfVvIQg_vM&amp;ll=41.024187580466844%2C-73.63702405370861&amp;z=18" TargetMode="External"/><Relationship Id="rId729" Type="http://schemas.openxmlformats.org/officeDocument/2006/relationships/hyperlink" Target="https://www.google.com/maps/d/edit?hl=es&amp;mid=1uPmsRMsXnp74hPFW2t-sp2totVWF_xY&amp;ll=32.83050137713022%2C-96.83197783061323&amp;z=17" TargetMode="External"/><Relationship Id="rId1054" Type="http://schemas.openxmlformats.org/officeDocument/2006/relationships/hyperlink" Target="https://www.google.com/maps/d/viewer?mid=1gN2lJ0iT7m5VNhD7aDcxE8AdXqtcOZc&amp;ll=40.396096737592195%2C-104.746842&amp;z=16" TargetMode="External"/><Relationship Id="rId270" Type="http://schemas.openxmlformats.org/officeDocument/2006/relationships/hyperlink" Target="https://www.google.com/maps/d/viewer?hl=es&amp;mid=1C1oZdjH3dNvCvqdpIv_Lk0Yn1OCVn-4&amp;ll=38.965368114274455%2C-92.3405954&amp;z=15" TargetMode="External"/><Relationship Id="rId936" Type="http://schemas.openxmlformats.org/officeDocument/2006/relationships/hyperlink" Target="https://www.google.com/maps/d/viewer?hl=es&amp;mid=1C1oZdjH3dNvCvqdpIv_Lk0Yn1OCVn-4&amp;ll=38.965368114274455%2C-92.3405954&amp;z=15" TargetMode="External"/><Relationship Id="rId65" Type="http://schemas.openxmlformats.org/officeDocument/2006/relationships/hyperlink" Target="https://www.google.com/maps/d/viewer?mid=1ot0ILX76JMuvd9yMuqkb4_e0yH1n7TA&amp;ll=45.07815812965141%2C-93.33506855000002&amp;z=17" TargetMode="External"/><Relationship Id="rId130" Type="http://schemas.openxmlformats.org/officeDocument/2006/relationships/hyperlink" Target="https://www.google.com/maps/d/viewer?mid=1AyViBuyeq7iwDua1SVudJ2A1BYi3IBA&amp;ll=27.38181516363982%2C-80.32568845000002&amp;z=18" TargetMode="External"/><Relationship Id="rId368" Type="http://schemas.openxmlformats.org/officeDocument/2006/relationships/hyperlink" Target="https://www.google.com/maps/d/viewer?mid=1ebZp8DeTYSXNPgDIA63nFVDu9ohaO4E&amp;ll=41.08027837958441%2C-73.46597874999999&amp;z=15" TargetMode="External"/><Relationship Id="rId575" Type="http://schemas.openxmlformats.org/officeDocument/2006/relationships/hyperlink" Target="https://www.google.com/maps/d/viewer?mid=1AyViBuyeq7iwDua1SVudJ2A1BYi3IBA&amp;ll=27.38181516363982%2C-80.32568845000002&amp;z=18" TargetMode="External"/><Relationship Id="rId782" Type="http://schemas.openxmlformats.org/officeDocument/2006/relationships/hyperlink" Target="https://www.google.com/maps/d/edit?hl=es&amp;mid=1uPmsRMsXnp74hPFW2t-sp2totVWF_xY&amp;ll=32.83050137713022%2C-96.83197783061323&amp;z=17" TargetMode="External"/><Relationship Id="rId228" Type="http://schemas.openxmlformats.org/officeDocument/2006/relationships/hyperlink" Target="https://www.google.com/maps/d/viewer?mid=1ejOzT7-x6RWnCf83BBP7XhiOiwEX3Wk&amp;ll=36.061264791292906%2C-79.87437695000003&amp;z=17" TargetMode="External"/><Relationship Id="rId435" Type="http://schemas.openxmlformats.org/officeDocument/2006/relationships/hyperlink" Target="https://www.google.com/maps/d/viewer?hl=es&amp;mid=1C1oZdjH3dNvCvqdpIv_Lk0Yn1OCVn-4&amp;ll=38.965368114274455%2C-92.3405954&amp;z=15" TargetMode="External"/><Relationship Id="rId642" Type="http://schemas.openxmlformats.org/officeDocument/2006/relationships/hyperlink" Target="https://www.google.com/maps/d/edit?hl=en&amp;mid=1UHmt7tH1ihTa85i0MfQIcTfVvIQg_vM&amp;ll=41.024187580466844%2C-73.63702405370861&amp;z=18" TargetMode="External"/><Relationship Id="rId281" Type="http://schemas.openxmlformats.org/officeDocument/2006/relationships/hyperlink" Target="https://www.google.com/maps/d/viewer?mid=1ejOzT7-x6RWnCf83BBP7XhiOiwEX3Wk&amp;ll=36.061264791292906%2C-79.87437695000003&amp;z=17" TargetMode="External"/><Relationship Id="rId502" Type="http://schemas.openxmlformats.org/officeDocument/2006/relationships/hyperlink" Target="https://www.google.com/maps/d/viewer?mid=1ubI2iKs1JyYXssuT4oLPnVvFnyLPi_s&amp;ll=40.878808846788026%2C-73.98560655&amp;z=17" TargetMode="External"/><Relationship Id="rId947" Type="http://schemas.openxmlformats.org/officeDocument/2006/relationships/hyperlink" Target="https://www.google.com/maps/d/viewer?hl=es&amp;mid=1C1oZdjH3dNvCvqdpIv_Lk0Yn1OCVn-4&amp;ll=38.965368114274455%2C-92.3405954&amp;z=15" TargetMode="External"/><Relationship Id="rId76" Type="http://schemas.openxmlformats.org/officeDocument/2006/relationships/hyperlink" Target="https://www.google.com/maps/d/viewer?hl=es&amp;mid=1C1oZdjH3dNvCvqdpIv_Lk0Yn1OCVn-4&amp;ll=38.965368114274426%2C-92.3405954&amp;z=15" TargetMode="External"/><Relationship Id="rId141" Type="http://schemas.openxmlformats.org/officeDocument/2006/relationships/hyperlink" Target="https://www.google.com/maps/d/viewer?mid=1whGZ1PLqmhJnGFz8uigZqUL4cHGGW3w&amp;ll=38.668847686454825%2C-90.4433601&amp;z=17" TargetMode="External"/><Relationship Id="rId379" Type="http://schemas.openxmlformats.org/officeDocument/2006/relationships/hyperlink" Target="https://www.google.com/maps/d/viewer?hl=es&amp;mid=1C1oZdjH3dNvCvqdpIv_Lk0Yn1OCVn-4&amp;ll=38.965368114274455%2C-92.3405954&amp;z=15" TargetMode="External"/><Relationship Id="rId586" Type="http://schemas.openxmlformats.org/officeDocument/2006/relationships/hyperlink" Target="https://www.google.com/maps/d/viewer?mid=1wg5suxVuxeNp_irHlvN772HcwD6W89E&amp;ll=33.06373951220261%2C-96.82758025000001&amp;z=18" TargetMode="External"/><Relationship Id="rId793" Type="http://schemas.openxmlformats.org/officeDocument/2006/relationships/hyperlink" Target="https://www.google.com/maps/d/edit?mid=18OEO_KbvYcgI3N1jE4gTMXfNHTNDrFU&amp;ll=32.66603989958274%2C-97.42021198201722&amp;z=18" TargetMode="External"/><Relationship Id="rId807" Type="http://schemas.openxmlformats.org/officeDocument/2006/relationships/hyperlink" Target="https://www.google.com/maps/d/edit?mid=18OEO_KbvYcgI3N1jE4gTMXfNHTNDrFU&amp;ll=32.66603989958274%2C-97.42021198201722&amp;z=18" TargetMode="External"/><Relationship Id="rId7" Type="http://schemas.openxmlformats.org/officeDocument/2006/relationships/hyperlink" Target="https://www.google.com/maps/d/viewer?mid=1NUHnuuvX1Qqxq7v0ZyiWm0dkOdpyVTU&amp;ll=30.069943866204238%2C-95.43812890000001&amp;z=18" TargetMode="External"/><Relationship Id="rId239" Type="http://schemas.openxmlformats.org/officeDocument/2006/relationships/hyperlink" Target="https://www.google.com/maps/d/viewer?mid=1bDs0QGFZwL3vEeGKxjVMk_j4azr0-lg&amp;ll=33.4593758581648%2C-112.28793780000001&amp;z=18" TargetMode="External"/><Relationship Id="rId446" Type="http://schemas.openxmlformats.org/officeDocument/2006/relationships/hyperlink" Target="https://www.google.com/maps/d/viewer?mid=1ejOzT7-x6RWnCf83BBP7XhiOiwEX3Wk&amp;ll=36.061264791292906%2C-79.87437695000003&amp;z=17" TargetMode="External"/><Relationship Id="rId653" Type="http://schemas.openxmlformats.org/officeDocument/2006/relationships/hyperlink" Target="https://www.google.com/maps/d/edit?hl=es&amp;mid=1uPmsRMsXnp74hPFW2t-sp2totVWF_xY&amp;ll=32.83050137713022%2C-96.83197783061323&amp;z=17" TargetMode="External"/><Relationship Id="rId292" Type="http://schemas.openxmlformats.org/officeDocument/2006/relationships/hyperlink" Target="https://www.google.com/maps/d/viewer?mid=1ot0ILX76JMuvd9yMuqkb4_e0yH1n7TA&amp;ll=45.07815812965141%2C-93.33506855000002&amp;z=17" TargetMode="External"/><Relationship Id="rId306" Type="http://schemas.openxmlformats.org/officeDocument/2006/relationships/hyperlink" Target="https://www.google.com/maps/d/viewer?mid=1whGZ1PLqmhJnGFz8uigZqUL4cHGGW3w&amp;ll=38.668847686454825%2C-90.4433601&amp;z=17" TargetMode="External"/><Relationship Id="rId860" Type="http://schemas.openxmlformats.org/officeDocument/2006/relationships/hyperlink" Target="https://www.google.com/maps/d/viewer?hl=es&amp;mid=1C1oZdjH3dNvCvqdpIv_Lk0Yn1OCVn-4&amp;ll=38.965368114274455%2C-92.3405954&amp;z=15" TargetMode="External"/><Relationship Id="rId958" Type="http://schemas.openxmlformats.org/officeDocument/2006/relationships/hyperlink" Target="https://www.google.com/maps/d/viewer?mid=1whGZ1PLqmhJnGFz8uigZqUL4cHGGW3w&amp;ll=38.668847686454825%2C-90.4433601&amp;z=17" TargetMode="External"/><Relationship Id="rId87" Type="http://schemas.openxmlformats.org/officeDocument/2006/relationships/hyperlink" Target="https://www.google.com/maps/d/viewer?hl=es&amp;mid=1C1oZdjH3dNvCvqdpIv_Lk0Yn1OCVn-4&amp;ll=38.965368114274455%2C-92.3405954&amp;z=15" TargetMode="External"/><Relationship Id="rId513" Type="http://schemas.openxmlformats.org/officeDocument/2006/relationships/hyperlink" Target="https://www.google.com/maps/d/viewer?hl=es&amp;mid=1C1oZdjH3dNvCvqdpIv_Lk0Yn1OCVn-4&amp;ll=38.965368114274455%2C-92.3405954&amp;z=15" TargetMode="External"/><Relationship Id="rId597" Type="http://schemas.openxmlformats.org/officeDocument/2006/relationships/hyperlink" Target="https://www.google.com/maps/d/viewer?mid=1wg5suxVuxeNp_irHlvN772HcwD6W89E&amp;ll=33.06373951220261%2C-96.82758025000001&amp;z=18" TargetMode="External"/><Relationship Id="rId720" Type="http://schemas.openxmlformats.org/officeDocument/2006/relationships/hyperlink" Target="https://www.google.com/maps/d/edit?hl=es&amp;mid=1uPmsRMsXnp74hPFW2t-sp2totVWF_xY&amp;ll=32.83050137713022%2C-96.83197783061323&amp;z=17" TargetMode="External"/><Relationship Id="rId818" Type="http://schemas.openxmlformats.org/officeDocument/2006/relationships/hyperlink" Target="https://www.google.com/maps/d/viewer?mid=1ot0ILX76JMuvd9yMuqkb4_e0yH1n7TA&amp;ll=45.07815812965141%2C-93.33506855000002&amp;z=17" TargetMode="External"/><Relationship Id="rId152" Type="http://schemas.openxmlformats.org/officeDocument/2006/relationships/hyperlink" Target="https://www.google.com/maps/d/viewer?mid=1ejOzT7-x6RWnCf83BBP7XhiOiwEX3Wk&amp;ll=36.061264791292906%2C-79.87437695000003&amp;z=17" TargetMode="External"/><Relationship Id="rId457" Type="http://schemas.openxmlformats.org/officeDocument/2006/relationships/hyperlink" Target="https://www.google.com/maps/d/viewer?hl=es&amp;mid=1C1oZdjH3dNvCvqdpIv_Lk0Yn1OCVn-4&amp;ll=38.965368114274426%2C-92.3405954&amp;z=15" TargetMode="External"/><Relationship Id="rId1003" Type="http://schemas.openxmlformats.org/officeDocument/2006/relationships/hyperlink" Target="https://www.google.com/maps/d/edit?hl=es&amp;mid=1uPmsRMsXnp74hPFW2t-sp2totVWF_xY&amp;ll=32.83050137713022%2C-96.83197783061323&amp;z=17" TargetMode="External"/><Relationship Id="rId664" Type="http://schemas.openxmlformats.org/officeDocument/2006/relationships/hyperlink" Target="https://www.google.com/maps/d/edit?hl=es&amp;mid=1uPmsRMsXnp74hPFW2t-sp2totVWF_xY&amp;ll=32.83050137713022%2C-96.83197783061323&amp;z=17" TargetMode="External"/><Relationship Id="rId871" Type="http://schemas.openxmlformats.org/officeDocument/2006/relationships/hyperlink" Target="https://www.google.com/maps/d/viewer?hl=es&amp;mid=1C1oZdjH3dNvCvqdpIv_Lk0Yn1OCVn-4&amp;ll=38.965368114274455%2C-92.3405954&amp;z=15" TargetMode="External"/><Relationship Id="rId969" Type="http://schemas.openxmlformats.org/officeDocument/2006/relationships/hyperlink" Target="https://www.google.com/maps/d/viewer?hl=es&amp;mid=1C1oZdjH3dNvCvqdpIv_Lk0Yn1OCVn-4&amp;ll=38.965368114274426%2C-92.3405954&amp;z=15" TargetMode="External"/><Relationship Id="rId14" Type="http://schemas.openxmlformats.org/officeDocument/2006/relationships/hyperlink" Target="https://www.google.com/maps/d/viewer?mid=1ubI2iKs1JyYXssuT4oLPnVvFnyLPi_s&amp;ll=40.878808846788026%2C-73.98560655&amp;z=17" TargetMode="External"/><Relationship Id="rId317" Type="http://schemas.openxmlformats.org/officeDocument/2006/relationships/hyperlink" Target="https://www.google.com/maps/d/viewer?mid=1hvbKFMO-d5TXrKGU-g5dt_xcdArB1D0&amp;ll=34.71147784120261%2C-92.40574350000001&amp;z=17" TargetMode="External"/><Relationship Id="rId524" Type="http://schemas.openxmlformats.org/officeDocument/2006/relationships/hyperlink" Target="https://www.google.com/maps/d/viewer?mid=1ejOzT7-x6RWnCf83BBP7XhiOiwEX3Wk&amp;ll=36.061264791292906%2C-79.87437695000003&amp;z=17" TargetMode="External"/><Relationship Id="rId731" Type="http://schemas.openxmlformats.org/officeDocument/2006/relationships/hyperlink" Target="https://www.google.com/maps/d/edit?hl=es&amp;mid=1uPmsRMsXnp74hPFW2t-sp2totVWF_xY&amp;ll=32.83050137713022%2C-96.83197783061323&amp;z=17" TargetMode="External"/><Relationship Id="rId98" Type="http://schemas.openxmlformats.org/officeDocument/2006/relationships/hyperlink" Target="https://www.google.com/maps/d/viewer?hl=es&amp;mid=1C1oZdjH3dNvCvqdpIv_Lk0Yn1OCVn-4&amp;ll=38.965368114274455%2C-92.3405954&amp;z=15" TargetMode="External"/><Relationship Id="rId163" Type="http://schemas.openxmlformats.org/officeDocument/2006/relationships/hyperlink" Target="https://www.google.com/maps/d/viewer?mid=1ejOzT7-x6RWnCf83BBP7XhiOiwEX3Wk&amp;ll=36.061264791292906%2C-79.87437695000003&amp;z=17" TargetMode="External"/><Relationship Id="rId370" Type="http://schemas.openxmlformats.org/officeDocument/2006/relationships/hyperlink" Target="https://www.google.com/maps/d/viewer?mid=1FEo41PzFJQjUIXXKitX5TNCtuqR6Vbs&amp;ll=41.1663376742533%2C-73.22955662049608&amp;z=16" TargetMode="External"/><Relationship Id="rId829" Type="http://schemas.openxmlformats.org/officeDocument/2006/relationships/hyperlink" Target="https://www.google.com/maps/d/viewer?mid=1hvbKFMO-d5TXrKGU-g5dt_xcdArB1D0&amp;ll=34.71147784120261%2C-92.40574350000001&amp;z=17" TargetMode="External"/><Relationship Id="rId1014" Type="http://schemas.openxmlformats.org/officeDocument/2006/relationships/hyperlink" Target="https://www.google.com/maps/d/viewer?mid=1gN2lJ0iT7m5VNhD7aDcxE8AdXqtcOZc&amp;ll=40.396096737592195%2C-104.746842&amp;z=16" TargetMode="External"/><Relationship Id="rId230" Type="http://schemas.openxmlformats.org/officeDocument/2006/relationships/hyperlink" Target="https://www.google.com/maps/d/viewer?mid=1whGZ1PLqmhJnGFz8uigZqUL4cHGGW3w&amp;ll=38.668847686454825%2C-90.4433601&amp;z=17" TargetMode="External"/><Relationship Id="rId468" Type="http://schemas.openxmlformats.org/officeDocument/2006/relationships/hyperlink" Target="https://www.google.com/maps/d/viewer?mid=1AyViBuyeq7iwDua1SVudJ2A1BYi3IBA&amp;ll=27.38181516363982%2C-80.32568845000002&amp;z=18" TargetMode="External"/><Relationship Id="rId675" Type="http://schemas.openxmlformats.org/officeDocument/2006/relationships/hyperlink" Target="https://www.google.com/maps/d/edit?hl=es&amp;mid=1uPmsRMsXnp74hPFW2t-sp2totVWF_xY&amp;ll=32.83050137713022%2C-96.83197783061323&amp;z=17" TargetMode="External"/><Relationship Id="rId882" Type="http://schemas.openxmlformats.org/officeDocument/2006/relationships/hyperlink" Target="https://www.google.com/maps/d/viewer?mid=1whGZ1PLqmhJnGFz8uigZqUL4cHGGW3w&amp;ll=38.668847686454825%2C-90.4433601&amp;z=17" TargetMode="External"/><Relationship Id="rId25" Type="http://schemas.openxmlformats.org/officeDocument/2006/relationships/hyperlink" Target="https://www.google.com/maps/d/edit?mid=1FNqK4dW8Z8gtSWuQLbStrtqe7lH8DIQ&amp;usp=sharing" TargetMode="External"/><Relationship Id="rId328" Type="http://schemas.openxmlformats.org/officeDocument/2006/relationships/hyperlink" Target="https://www.google.com/maps/d/viewer?hl=es&amp;mid=1C1oZdjH3dNvCvqdpIv_Lk0Yn1OCVn-4&amp;ll=38.965368114274455%2C-92.3405954&amp;z=15" TargetMode="External"/><Relationship Id="rId535" Type="http://schemas.openxmlformats.org/officeDocument/2006/relationships/hyperlink" Target="https://www.google.com/maps/d/viewer?mid=1hvbKFMO-d5TXrKGU-g5dt_xcdArB1D0&amp;ll=34.71147784120261%2C-92.40574350000001&amp;z=17" TargetMode="External"/><Relationship Id="rId742" Type="http://schemas.openxmlformats.org/officeDocument/2006/relationships/hyperlink" Target="https://www.google.com/maps/d/edit?hl=es&amp;mid=1uPmsRMsXnp74hPFW2t-sp2totVWF_xY&amp;ll=32.83050137713022%2C-96.83197783061323&amp;z=17" TargetMode="External"/><Relationship Id="rId174" Type="http://schemas.openxmlformats.org/officeDocument/2006/relationships/hyperlink" Target="https://www.google.com/maps/d/edit?mid=1nAyK85WaWREy0lfxnmWn3USs2gC0nP0&amp;usp=sharing" TargetMode="External"/><Relationship Id="rId381" Type="http://schemas.openxmlformats.org/officeDocument/2006/relationships/hyperlink" Target="https://www.google.com/maps/d/viewer?hl=es&amp;mid=1C1oZdjH3dNvCvqdpIv_Lk0Yn1OCVn-4&amp;ll=38.965368114274455%2C-92.3405954&amp;z=15" TargetMode="External"/><Relationship Id="rId602" Type="http://schemas.openxmlformats.org/officeDocument/2006/relationships/hyperlink" Target="https://www.google.com/maps/d/viewer?mid=1wg5suxVuxeNp_irHlvN772HcwD6W89E&amp;ll=33.06373951220261%2C-96.82758025000001&amp;z=18" TargetMode="External"/><Relationship Id="rId1025" Type="http://schemas.openxmlformats.org/officeDocument/2006/relationships/hyperlink" Target="https://www.google.com/maps/d/viewer?mid=1gN2lJ0iT7m5VNhD7aDcxE8AdXqtcOZc&amp;ll=40.396096737592195%2C-104.746842&amp;z=16" TargetMode="External"/><Relationship Id="rId241" Type="http://schemas.openxmlformats.org/officeDocument/2006/relationships/hyperlink" Target="https://www.google.com/maps/d/viewer?hl=es&amp;mid=1C1oZdjH3dNvCvqdpIv_Lk0Yn1OCVn-4&amp;ll=38.965368114274455%2C-92.3405954&amp;z=15" TargetMode="External"/><Relationship Id="rId479" Type="http://schemas.openxmlformats.org/officeDocument/2006/relationships/hyperlink" Target="https://www.google.com/maps/d/viewer?mid=1hvbKFMO-d5TXrKGU-g5dt_xcdArB1D0&amp;ll=34.71147784120261%2C-92.40574350000001&amp;z=17" TargetMode="External"/><Relationship Id="rId686" Type="http://schemas.openxmlformats.org/officeDocument/2006/relationships/hyperlink" Target="https://www.google.com/maps/d/edit?hl=es&amp;mid=1uPmsRMsXnp74hPFW2t-sp2totVWF_xY&amp;ll=32.83050137713022%2C-96.83197783061323&amp;z=17" TargetMode="External"/><Relationship Id="rId893" Type="http://schemas.openxmlformats.org/officeDocument/2006/relationships/hyperlink" Target="https://www.google.com/maps/d/viewer?hl=es&amp;mid=1C1oZdjH3dNvCvqdpIv_Lk0Yn1OCVn-4&amp;ll=38.965368114274426%2C-92.3405954&amp;z=15" TargetMode="External"/><Relationship Id="rId907" Type="http://schemas.openxmlformats.org/officeDocument/2006/relationships/hyperlink" Target="https://www.google.com/maps/d/viewer?hl=es&amp;mid=1C1oZdjH3dNvCvqdpIv_Lk0Yn1OCVn-4&amp;ll=38.965368114274455%2C-92.3405954&amp;z=15" TargetMode="External"/><Relationship Id="rId36" Type="http://schemas.openxmlformats.org/officeDocument/2006/relationships/hyperlink" Target="https://www.google.com/maps/d/viewer?mid=1FEo41PzFJQjUIXXKitX5TNCtuqR6Vbs&amp;ll=41.1663376742533%2C-73.22955662049608&amp;z=16" TargetMode="External"/><Relationship Id="rId339" Type="http://schemas.openxmlformats.org/officeDocument/2006/relationships/hyperlink" Target="https://www.google.com/maps/d/viewer?mid=1whGZ1PLqmhJnGFz8uigZqUL4cHGGW3w&amp;ll=38.668847686454825%2C-90.4433601&amp;z=17" TargetMode="External"/><Relationship Id="rId546" Type="http://schemas.openxmlformats.org/officeDocument/2006/relationships/hyperlink" Target="https://www.google.com/maps/d/viewer?hl=es&amp;mid=1C1oZdjH3dNvCvqdpIv_Lk0Yn1OCVn-4&amp;ll=38.965368114274455%2C-92.3405954&amp;z=15" TargetMode="External"/><Relationship Id="rId753" Type="http://schemas.openxmlformats.org/officeDocument/2006/relationships/hyperlink" Target="https://www.google.com/maps/d/edit?hl=es&amp;mid=1uPmsRMsXnp74hPFW2t-sp2totVWF_xY&amp;ll=32.83050137713022%2C-96.83197783061323&amp;z=17" TargetMode="External"/><Relationship Id="rId101" Type="http://schemas.openxmlformats.org/officeDocument/2006/relationships/hyperlink" Target="https://www.google.com/maps/d/viewer?hl=es&amp;mid=1C1oZdjH3dNvCvqdpIv_Lk0Yn1OCVn-4&amp;ll=38.965368114274455%2C-92.3405954&amp;z=15" TargetMode="External"/><Relationship Id="rId185" Type="http://schemas.openxmlformats.org/officeDocument/2006/relationships/hyperlink" Target="https://www.google.com/maps/d/viewer?mid=1bDs0QGFZwL3vEeGKxjVMk_j4azr0-lg&amp;ll=33.4593758581648%2C-112.28793780000001&amp;z=18" TargetMode="External"/><Relationship Id="rId406" Type="http://schemas.openxmlformats.org/officeDocument/2006/relationships/hyperlink" Target="https://www.google.com/maps/d/viewer?hl=es&amp;mid=1C1oZdjH3dNvCvqdpIv_Lk0Yn1OCVn-4&amp;ll=38.965368114274455%2C-92.3405954&amp;z=15" TargetMode="External"/><Relationship Id="rId960" Type="http://schemas.openxmlformats.org/officeDocument/2006/relationships/hyperlink" Target="https://www.google.com/maps/d/viewer?mid=1wg5suxVuxeNp_irHlvN772HcwD6W89E&amp;ll=33.06373951220261%2C-96.82758025000001&amp;z=18" TargetMode="External"/><Relationship Id="rId1036" Type="http://schemas.openxmlformats.org/officeDocument/2006/relationships/hyperlink" Target="https://www.google.com/maps/d/viewer?mid=1gN2lJ0iT7m5VNhD7aDcxE8AdXqtcOZc&amp;ll=40.396096737592195%2C-104.746842&amp;z=16" TargetMode="External"/><Relationship Id="rId392" Type="http://schemas.openxmlformats.org/officeDocument/2006/relationships/hyperlink" Target="https://www.google.com/maps/d/viewer?mid=1ejOzT7-x6RWnCf83BBP7XhiOiwEX3Wk&amp;ll=36.061264791292906%2C-79.87437695000003&amp;z=17" TargetMode="External"/><Relationship Id="rId613" Type="http://schemas.openxmlformats.org/officeDocument/2006/relationships/hyperlink" Target="https://www.google.com/maps/d/viewer?mid=1wg5suxVuxeNp_irHlvN772HcwD6W89E&amp;ll=33.06373951220261%2C-96.82758025000001&amp;z=18" TargetMode="External"/><Relationship Id="rId697" Type="http://schemas.openxmlformats.org/officeDocument/2006/relationships/hyperlink" Target="https://www.google.com/maps/d/edit?hl=es&amp;mid=1uPmsRMsXnp74hPFW2t-sp2totVWF_xY&amp;ll=32.83050137713022%2C-96.83197783061323&amp;z=17" TargetMode="External"/><Relationship Id="rId820" Type="http://schemas.openxmlformats.org/officeDocument/2006/relationships/hyperlink" Target="https://www.google.com/maps/d/edit?hl=en&amp;mid=1UHmt7tH1ihTa85i0MfQIcTfVvIQg_vM&amp;ll=41.024187580466844%2C-73.63702405370861&amp;z=18" TargetMode="External"/><Relationship Id="rId918" Type="http://schemas.openxmlformats.org/officeDocument/2006/relationships/hyperlink" Target="https://www.google.com/maps/d/viewer?mid=1ejOzT7-x6RWnCf83BBP7XhiOiwEX3Wk&amp;ll=36.061264791292906%2C-79.87437695000003&amp;z=17" TargetMode="External"/><Relationship Id="rId252" Type="http://schemas.openxmlformats.org/officeDocument/2006/relationships/hyperlink" Target="https://www.google.com/maps/d/viewer?mid=1whGZ1PLqmhJnGFz8uigZqUL4cHGGW3w&amp;ll=38.668847686454825%2C-90.4433601&amp;z=17" TargetMode="External"/><Relationship Id="rId47" Type="http://schemas.openxmlformats.org/officeDocument/2006/relationships/hyperlink" Target="https://www.google.com/maps/d/viewer?mid=1hvbKFMO-d5TXrKGU-g5dt_xcdArB1D0&amp;ll=34.71147784120261%2C-92.40574350000001&amp;z=17" TargetMode="External"/><Relationship Id="rId112" Type="http://schemas.openxmlformats.org/officeDocument/2006/relationships/hyperlink" Target="https://www.google.com/maps/d/viewer?hl=es&amp;mid=1C1oZdjH3dNvCvqdpIv_Lk0Yn1OCVn-4&amp;ll=38.965368114274455%2C-92.3405954&amp;z=15" TargetMode="External"/><Relationship Id="rId557" Type="http://schemas.openxmlformats.org/officeDocument/2006/relationships/hyperlink" Target="https://www.google.com/maps/d/viewer?mid=1ebZp8DeTYSXNPgDIA63nFVDu9ohaO4E&amp;ll=41.08027837958441%2C-73.46597874999999&amp;z=15" TargetMode="External"/><Relationship Id="rId764" Type="http://schemas.openxmlformats.org/officeDocument/2006/relationships/hyperlink" Target="https://www.google.com/maps/d/edit?hl=es&amp;mid=1uPmsRMsXnp74hPFW2t-sp2totVWF_xY&amp;ll=32.83050137713022%2C-96.83197783061323&amp;z=17" TargetMode="External"/><Relationship Id="rId971" Type="http://schemas.openxmlformats.org/officeDocument/2006/relationships/hyperlink" Target="https://www.google.com/maps/d/viewer?hl=es&amp;mid=1C1oZdjH3dNvCvqdpIv_Lk0Yn1OCVn-4&amp;ll=38.965368114274455%2C-92.3405954&amp;z=15" TargetMode="External"/><Relationship Id="rId196" Type="http://schemas.openxmlformats.org/officeDocument/2006/relationships/hyperlink" Target="https://www.google.com/maps/d/viewer?mid=1AyViBuyeq7iwDua1SVudJ2A1BYi3IBA&amp;ll=27.38181516363982%2C-80.32568845000002&amp;z=18" TargetMode="External"/><Relationship Id="rId417" Type="http://schemas.openxmlformats.org/officeDocument/2006/relationships/hyperlink" Target="https://www.google.com/maps/d/viewer?mid=1ejOzT7-x6RWnCf83BBP7XhiOiwEX3Wk&amp;ll=36.061264791292906%2C-79.87437695000003&amp;z=17" TargetMode="External"/><Relationship Id="rId624" Type="http://schemas.openxmlformats.org/officeDocument/2006/relationships/hyperlink" Target="https://www.google.com/maps/d/viewer?mid=1wg5suxVuxeNp_irHlvN772HcwD6W89E&amp;ll=33.06373951220261%2C-96.82758025000001&amp;z=18" TargetMode="External"/><Relationship Id="rId831" Type="http://schemas.openxmlformats.org/officeDocument/2006/relationships/hyperlink" Target="https://www.google.com/maps/d/viewer?hl=es&amp;mid=1C1oZdjH3dNvCvqdpIv_Lk0Yn1OCVn-4&amp;ll=38.965368114274455%2C-92.3405954&amp;z=15" TargetMode="External"/><Relationship Id="rId1047" Type="http://schemas.openxmlformats.org/officeDocument/2006/relationships/hyperlink" Target="https://www.google.com/maps/d/viewer?mid=1gN2lJ0iT7m5VNhD7aDcxE8AdXqtcOZc&amp;ll=40.396096737592195%2C-104.746842&amp;z=16" TargetMode="External"/><Relationship Id="rId263" Type="http://schemas.openxmlformats.org/officeDocument/2006/relationships/hyperlink" Target="https://www.google.com/maps/d/viewer?mid=1hvbKFMO-d5TXrKGU-g5dt_xcdArB1D0&amp;ll=34.71147784120261%2C-92.40574350000001&amp;z=17" TargetMode="External"/><Relationship Id="rId470" Type="http://schemas.openxmlformats.org/officeDocument/2006/relationships/hyperlink" Target="https://www.google.com/maps/d/viewer?mid=1ejOzT7-x6RWnCf83BBP7XhiOiwEX3Wk&amp;ll=36.061264791292906%2C-79.87437695000003&amp;z=17" TargetMode="External"/><Relationship Id="rId929" Type="http://schemas.openxmlformats.org/officeDocument/2006/relationships/hyperlink" Target="https://www.google.com/maps/d/viewer?mid=1FEo41PzFJQjUIXXKitX5TNCtuqR6Vbs&amp;ll=41.1663376742533%2C-73.22955662049608&amp;z=16" TargetMode="External"/><Relationship Id="rId58" Type="http://schemas.openxmlformats.org/officeDocument/2006/relationships/hyperlink" Target="https://www.google.com/maps/d/viewer?mid=1hvbKFMO-d5TXrKGU-g5dt_xcdArB1D0&amp;ll=34.71147784120261%2C-92.40574350000001&amp;z=17" TargetMode="External"/><Relationship Id="rId123" Type="http://schemas.openxmlformats.org/officeDocument/2006/relationships/hyperlink" Target="https://www.google.com/maps/d/viewer?mid=1AyViBuyeq7iwDua1SVudJ2A1BYi3IBA&amp;ll=27.38181516363982%2C-80.32568845000002&amp;z=18" TargetMode="External"/><Relationship Id="rId330" Type="http://schemas.openxmlformats.org/officeDocument/2006/relationships/hyperlink" Target="https://www.google.com/maps/d/viewer?mid=1ejOzT7-x6RWnCf83BBP7XhiOiwEX3Wk&amp;ll=36.061264791292906%2C-79.87437695000003&amp;z=17" TargetMode="External"/><Relationship Id="rId568" Type="http://schemas.openxmlformats.org/officeDocument/2006/relationships/hyperlink" Target="https://www.google.com/maps/d/viewer?hl=es&amp;mid=1C1oZdjH3dNvCvqdpIv_Lk0Yn1OCVn-4&amp;ll=38.965368114274455%2C-92.3405954&amp;z=15" TargetMode="External"/><Relationship Id="rId775" Type="http://schemas.openxmlformats.org/officeDocument/2006/relationships/hyperlink" Target="https://www.google.com/maps/d/edit?hl=es&amp;mid=1uPmsRMsXnp74hPFW2t-sp2totVWF_xY&amp;ll=32.83050137713022%2C-96.83197783061323&amp;z=17" TargetMode="External"/><Relationship Id="rId982" Type="http://schemas.openxmlformats.org/officeDocument/2006/relationships/hyperlink" Target="https://www.google.com/maps/d/viewer?hl=es&amp;mid=1C1oZdjH3dNvCvqdpIv_Lk0Yn1OCVn-4&amp;ll=38.965368114274455%2C-92.3405954&amp;z=15" TargetMode="External"/><Relationship Id="rId428" Type="http://schemas.openxmlformats.org/officeDocument/2006/relationships/hyperlink" Target="https://www.google.com/maps/d/viewer?mid=1ot0ILX76JMuvd9yMuqkb4_e0yH1n7TA&amp;ll=45.07815812965141%2C-93.33506855000002&amp;z=17" TargetMode="External"/><Relationship Id="rId635" Type="http://schemas.openxmlformats.org/officeDocument/2006/relationships/hyperlink" Target="https://www.google.com/maps/d/edit?hl=en&amp;mid=1UHmt7tH1ihTa85i0MfQIcTfVvIQg_vM&amp;ll=41.024187580466844%2C-73.63702405370861&amp;z=18" TargetMode="External"/><Relationship Id="rId842" Type="http://schemas.openxmlformats.org/officeDocument/2006/relationships/hyperlink" Target="https://www.google.com/maps/d/viewer?mid=1ejOzT7-x6RWnCf83BBP7XhiOiwEX3Wk&amp;ll=36.061264791292906%2C-79.87437695000003&amp;z=17" TargetMode="External"/><Relationship Id="rId1058" Type="http://schemas.openxmlformats.org/officeDocument/2006/relationships/hyperlink" Target="https://www.google.com/maps/d/edit?mid=1jkN3DS1BhUqp_dztjjW0PDwKfo_Yxsw&amp;usp=sharing" TargetMode="External"/><Relationship Id="rId274" Type="http://schemas.openxmlformats.org/officeDocument/2006/relationships/hyperlink" Target="https://www.google.com/maps/d/viewer?hl=es&amp;mid=1C1oZdjH3dNvCvqdpIv_Lk0Yn1OCVn-4&amp;ll=38.965368114274455%2C-92.3405954&amp;z=15" TargetMode="External"/><Relationship Id="rId481" Type="http://schemas.openxmlformats.org/officeDocument/2006/relationships/hyperlink" Target="https://www.google.com/maps/d/viewer?mid=1hvbKFMO-d5TXrKGU-g5dt_xcdArB1D0&amp;ll=34.71147784120261%2C-92.40574350000001&amp;z=17" TargetMode="External"/><Relationship Id="rId702" Type="http://schemas.openxmlformats.org/officeDocument/2006/relationships/hyperlink" Target="https://www.google.com/maps/d/edit?hl=es&amp;mid=1uPmsRMsXnp74hPFW2t-sp2totVWF_xY&amp;ll=32.83050137713022%2C-96.83197783061323&amp;z=17" TargetMode="External"/><Relationship Id="rId69" Type="http://schemas.openxmlformats.org/officeDocument/2006/relationships/hyperlink" Target="https://www.google.com/maps/d/viewer?mid=1bDs0QGFZwL3vEeGKxjVMk_j4azr0-lg&amp;ll=33.4593758581648%2C-112.28793780000001&amp;z=18" TargetMode="External"/><Relationship Id="rId134" Type="http://schemas.openxmlformats.org/officeDocument/2006/relationships/hyperlink" Target="https://www.google.com/maps/d/viewer?mid=1AyViBuyeq7iwDua1SVudJ2A1BYi3IBA&amp;ll=27.38181516363982%2C-80.32568845000002&amp;z=18" TargetMode="External"/><Relationship Id="rId579" Type="http://schemas.openxmlformats.org/officeDocument/2006/relationships/hyperlink" Target="https://www.google.com/maps/d/viewer?mid=1ejOzT7-x6RWnCf83BBP7XhiOiwEX3Wk&amp;ll=36.061264791292906%2C-79.87437695000003&amp;z=17" TargetMode="External"/><Relationship Id="rId786" Type="http://schemas.openxmlformats.org/officeDocument/2006/relationships/hyperlink" Target="https://www.google.com/maps/d/edit?hl=es&amp;mid=1uPmsRMsXnp74hPFW2t-sp2totVWF_xY&amp;ll=32.83050137713022%2C-96.83197783061323&amp;z=17" TargetMode="External"/><Relationship Id="rId993" Type="http://schemas.openxmlformats.org/officeDocument/2006/relationships/hyperlink" Target="https://www.google.com/maps/d/viewer?mid=1ejOzT7-x6RWnCf83BBP7XhiOiwEX3Wk&amp;ll=36.061264791292906%2C-79.87437695000003&amp;z=17" TargetMode="External"/><Relationship Id="rId341" Type="http://schemas.openxmlformats.org/officeDocument/2006/relationships/hyperlink" Target="https://www.google.com/maps/d/viewer?mid=1ebZp8DeTYSXNPgDIA63nFVDu9ohaO4E&amp;ll=41.08027837958441%2C-73.46597874999999&amp;z=15" TargetMode="External"/><Relationship Id="rId439" Type="http://schemas.openxmlformats.org/officeDocument/2006/relationships/hyperlink" Target="https://www.google.com/maps/d/viewer?mid=1ejOzT7-x6RWnCf83BBP7XhiOiwEX3Wk&amp;ll=36.061264791292906%2C-79.87437695000003&amp;z=17" TargetMode="External"/><Relationship Id="rId646" Type="http://schemas.openxmlformats.org/officeDocument/2006/relationships/hyperlink" Target="https://www.google.com/maps/d/edit?hl=en&amp;mid=1UHmt7tH1ihTa85i0MfQIcTfVvIQg_vM&amp;ll=41.024187580466844%2C-73.63702405370861&amp;z=18" TargetMode="External"/><Relationship Id="rId201" Type="http://schemas.openxmlformats.org/officeDocument/2006/relationships/hyperlink" Target="https://www.google.com/maps/d/viewer?mid=1ejOzT7-x6RWnCf83BBP7XhiOiwEX3Wk&amp;ll=36.061264791292906%2C-79.87437695000003&amp;z=17" TargetMode="External"/><Relationship Id="rId285" Type="http://schemas.openxmlformats.org/officeDocument/2006/relationships/hyperlink" Target="https://www.google.com/maps/d/viewer?mid=1ubI2iKs1JyYXssuT4oLPnVvFnyLPi_s&amp;ll=40.878808846788026%2C-73.98560655&amp;z=17" TargetMode="External"/><Relationship Id="rId506" Type="http://schemas.openxmlformats.org/officeDocument/2006/relationships/hyperlink" Target="https://www.google.com/maps/d/viewer?mid=1hvbKFMO-d5TXrKGU-g5dt_xcdArB1D0&amp;ll=34.71147784120261%2C-92.40574350000001&amp;z=17" TargetMode="External"/><Relationship Id="rId853" Type="http://schemas.openxmlformats.org/officeDocument/2006/relationships/hyperlink" Target="https://www.google.com/maps/d/viewer?mid=1FEo41PzFJQjUIXXKitX5TNCtuqR6Vbs&amp;ll=41.1663376742533%2C-73.22955662049608&amp;z=16" TargetMode="External"/><Relationship Id="rId492" Type="http://schemas.openxmlformats.org/officeDocument/2006/relationships/hyperlink" Target="https://www.google.com/maps/d/viewer?hl=es&amp;mid=1C1oZdjH3dNvCvqdpIv_Lk0Yn1OCVn-4&amp;ll=38.965368114274455%2C-92.3405954&amp;z=15" TargetMode="External"/><Relationship Id="rId713" Type="http://schemas.openxmlformats.org/officeDocument/2006/relationships/hyperlink" Target="https://www.google.com/maps/d/edit?hl=es&amp;mid=1uPmsRMsXnp74hPFW2t-sp2totVWF_xY&amp;ll=32.83050137713022%2C-96.83197783061323&amp;z=17" TargetMode="External"/><Relationship Id="rId797" Type="http://schemas.openxmlformats.org/officeDocument/2006/relationships/hyperlink" Target="https://www.google.com/maps/d/edit?mid=18OEO_KbvYcgI3N1jE4gTMXfNHTNDrFU&amp;ll=32.66603989958274%2C-97.42021198201722&amp;z=18" TargetMode="External"/><Relationship Id="rId920" Type="http://schemas.openxmlformats.org/officeDocument/2006/relationships/hyperlink" Target="https://www.google.com/maps/d/viewer?mid=1whGZ1PLqmhJnGFz8uigZqUL4cHGGW3w&amp;ll=38.668847686454825%2C-90.4433601&amp;z=17" TargetMode="External"/><Relationship Id="rId145" Type="http://schemas.openxmlformats.org/officeDocument/2006/relationships/hyperlink" Target="https://www.google.com/maps/d/viewer?mid=1ejOzT7-x6RWnCf83BBP7XhiOiwEX3Wk&amp;ll=36.061264791292906%2C-79.87437695000003&amp;z=17" TargetMode="External"/><Relationship Id="rId352" Type="http://schemas.openxmlformats.org/officeDocument/2006/relationships/hyperlink" Target="https://www.google.com/maps/d/viewer?hl=es&amp;mid=1C1oZdjH3dNvCvqdpIv_Lk0Yn1OCVn-4&amp;ll=38.965368114274455%2C-92.3405954&amp;z=15" TargetMode="External"/><Relationship Id="rId212" Type="http://schemas.openxmlformats.org/officeDocument/2006/relationships/hyperlink" Target="https://www.google.com/maps/d/viewer?mid=1bDs0QGFZwL3vEeGKxjVMk_j4azr0-lg&amp;ll=33.4593758581648%2C-112.28793780000001&amp;z=18" TargetMode="External"/><Relationship Id="rId657" Type="http://schemas.openxmlformats.org/officeDocument/2006/relationships/hyperlink" Target="https://www.google.com/maps/d/edit?hl=es&amp;mid=1uPmsRMsXnp74hPFW2t-sp2totVWF_xY&amp;ll=32.83050137713022%2C-96.83197783061323&amp;z=17" TargetMode="External"/><Relationship Id="rId864" Type="http://schemas.openxmlformats.org/officeDocument/2006/relationships/hyperlink" Target="https://www.google.com/maps/d/viewer?mid=1FEo41PzFJQjUIXXKitX5TNCtuqR6Vbs&amp;ll=41.1663376742533%2C-73.22955662049608&amp;z=16" TargetMode="External"/><Relationship Id="rId296" Type="http://schemas.openxmlformats.org/officeDocument/2006/relationships/hyperlink" Target="https://www.google.com/maps/d/viewer?hl=es&amp;mid=1C1oZdjH3dNvCvqdpIv_Lk0Yn1OCVn-4&amp;ll=38.965368114274455%2C-92.3405954&amp;z=15" TargetMode="External"/><Relationship Id="rId517" Type="http://schemas.openxmlformats.org/officeDocument/2006/relationships/hyperlink" Target="https://www.google.com/maps/d/viewer?hl=es&amp;mid=1C1oZdjH3dNvCvqdpIv_Lk0Yn1OCVn-4&amp;ll=38.965368114274455%2C-92.3405954&amp;z=15" TargetMode="External"/><Relationship Id="rId724" Type="http://schemas.openxmlformats.org/officeDocument/2006/relationships/hyperlink" Target="https://www.google.com/maps/d/edit?hl=es&amp;mid=1uPmsRMsXnp74hPFW2t-sp2totVWF_xY&amp;ll=32.83050137713022%2C-96.83197783061323&amp;z=17" TargetMode="External"/><Relationship Id="rId931" Type="http://schemas.openxmlformats.org/officeDocument/2006/relationships/hyperlink" Target="https://www.google.com/maps/d/viewer?hl=es&amp;mid=1C1oZdjH3dNvCvqdpIv_Lk0Yn1OCVn-4&amp;ll=38.965368114274426%2C-92.3405954&amp;z=15" TargetMode="External"/><Relationship Id="rId60" Type="http://schemas.openxmlformats.org/officeDocument/2006/relationships/hyperlink" Target="https://www.google.com/maps/d/viewer?mid=1hvbKFMO-d5TXrKGU-g5dt_xcdArB1D0&amp;ll=34.71147784120261%2C-92.40574350000001&amp;z=17" TargetMode="External"/><Relationship Id="rId156" Type="http://schemas.openxmlformats.org/officeDocument/2006/relationships/hyperlink" Target="https://www.google.com/maps/d/viewer?mid=1ejOzT7-x6RWnCf83BBP7XhiOiwEX3Wk&amp;ll=36.061264791292906%2C-79.87437695000003&amp;z=17" TargetMode="External"/><Relationship Id="rId363" Type="http://schemas.openxmlformats.org/officeDocument/2006/relationships/hyperlink" Target="https://www.google.com/maps/d/viewer?mid=1ejOzT7-x6RWnCf83BBP7XhiOiwEX3Wk&amp;ll=36.061264791292906%2C-79.87437695000003&amp;z=17" TargetMode="External"/><Relationship Id="rId570" Type="http://schemas.openxmlformats.org/officeDocument/2006/relationships/hyperlink" Target="https://www.google.com/maps/d/viewer?hl=es&amp;mid=1C1oZdjH3dNvCvqdpIv_Lk0Yn1OCVn-4&amp;ll=38.965368114274455%2C-92.3405954&amp;z=15" TargetMode="External"/><Relationship Id="rId1007" Type="http://schemas.openxmlformats.org/officeDocument/2006/relationships/hyperlink" Target="https://www.google.com/maps/d/viewer?mid=1gN2lJ0iT7m5VNhD7aDcxE8AdXqtcOZc&amp;ll=40.396096737592195%2C-104.746842&amp;z=16" TargetMode="External"/><Relationship Id="rId223" Type="http://schemas.openxmlformats.org/officeDocument/2006/relationships/hyperlink" Target="https://www.google.com/maps/d/viewer?mid=1AyViBuyeq7iwDua1SVudJ2A1BYi3IBA&amp;ll=27.38181516363982%2C-80.32568845000002&amp;z=18" TargetMode="External"/><Relationship Id="rId430" Type="http://schemas.openxmlformats.org/officeDocument/2006/relationships/hyperlink" Target="https://www.google.com/maps/d/viewer?hl=es&amp;mid=1C1oZdjH3dNvCvqdpIv_Lk0Yn1OCVn-4&amp;ll=38.965368114274426%2C-92.3405954&amp;z=15" TargetMode="External"/><Relationship Id="rId668" Type="http://schemas.openxmlformats.org/officeDocument/2006/relationships/hyperlink" Target="https://www.google.com/maps/d/edit?hl=es&amp;mid=1uPmsRMsXnp74hPFW2t-sp2totVWF_xY&amp;ll=32.83050137713022%2C-96.83197783061323&amp;z=17" TargetMode="External"/><Relationship Id="rId875" Type="http://schemas.openxmlformats.org/officeDocument/2006/relationships/hyperlink" Target="https://www.google.com/maps/d/viewer?mid=1AyViBuyeq7iwDua1SVudJ2A1BYi3IBA&amp;ll=27.38181516363982%2C-80.32568845000002&amp;z=18" TargetMode="External"/><Relationship Id="rId1060" Type="http://schemas.openxmlformats.org/officeDocument/2006/relationships/vmlDrawing" Target="../drawings/vmlDrawing1.vml"/><Relationship Id="rId18" Type="http://schemas.openxmlformats.org/officeDocument/2006/relationships/hyperlink" Target="https://www.google.com/maps/d/viewer?mid=1ebZp8DeTYSXNPgDIA63nFVDu9ohaO4E&amp;ll=41.08027837958441%2C-73.46597874999999&amp;z=15" TargetMode="External"/><Relationship Id="rId528" Type="http://schemas.openxmlformats.org/officeDocument/2006/relationships/hyperlink" Target="https://www.google.com/maps/d/viewer?mid=1whGZ1PLqmhJnGFz8uigZqUL4cHGGW3w&amp;ll=38.668847686454825%2C-90.4433601&amp;z=17" TargetMode="External"/><Relationship Id="rId735" Type="http://schemas.openxmlformats.org/officeDocument/2006/relationships/hyperlink" Target="https://www.google.com/maps/d/edit?hl=es&amp;mid=1uPmsRMsXnp74hPFW2t-sp2totVWF_xY&amp;ll=32.83050137713022%2C-96.83197783061323&amp;z=17" TargetMode="External"/><Relationship Id="rId942" Type="http://schemas.openxmlformats.org/officeDocument/2006/relationships/hyperlink" Target="https://www.google.com/maps/d/viewer?mid=1hvbKFMO-d5TXrKGU-g5dt_xcdArB1D0&amp;ll=34.71147784120261%2C-92.40574350000001&amp;z=17" TargetMode="External"/><Relationship Id="rId167" Type="http://schemas.openxmlformats.org/officeDocument/2006/relationships/hyperlink" Target="https://www.google.com/maps/d/viewer?mid=1whGZ1PLqmhJnGFz8uigZqUL4cHGGW3w&amp;ll=38.668847686454825%2C-90.4433601&amp;z=17" TargetMode="External"/><Relationship Id="rId374" Type="http://schemas.openxmlformats.org/officeDocument/2006/relationships/hyperlink" Target="https://www.google.com/maps/d/viewer?mid=1ot0ILX76JMuvd9yMuqkb4_e0yH1n7TA&amp;ll=45.07815812965141%2C-93.33506855000002&amp;z=17" TargetMode="External"/><Relationship Id="rId581" Type="http://schemas.openxmlformats.org/officeDocument/2006/relationships/hyperlink" Target="https://www.google.com/maps/d/viewer?mid=1ejOzT7-x6RWnCf83BBP7XhiOiwEX3Wk&amp;ll=36.061264791292906%2C-79.87437695000003&amp;z=17" TargetMode="External"/><Relationship Id="rId1018" Type="http://schemas.openxmlformats.org/officeDocument/2006/relationships/hyperlink" Target="https://www.google.com/maps/d/viewer?mid=1gN2lJ0iT7m5VNhD7aDcxE8AdXqtcOZc&amp;ll=40.396096737592195%2C-104.746842&amp;z=16" TargetMode="External"/><Relationship Id="rId71" Type="http://schemas.openxmlformats.org/officeDocument/2006/relationships/hyperlink" Target="https://www.google.com/maps/d/viewer?mid=1bDs0QGFZwL3vEeGKxjVMk_j4azr0-lg&amp;ll=33.4593758581648%2C-112.28793780000001&amp;z=18" TargetMode="External"/><Relationship Id="rId234" Type="http://schemas.openxmlformats.org/officeDocument/2006/relationships/hyperlink" Target="https://www.google.com/maps/d/viewer?mid=1FEo41PzFJQjUIXXKitX5TNCtuqR6Vbs&amp;ll=41.1663376742533%2C-73.22955662049608&amp;z=16" TargetMode="External"/><Relationship Id="rId679" Type="http://schemas.openxmlformats.org/officeDocument/2006/relationships/hyperlink" Target="https://www.google.com/maps/d/edit?hl=es&amp;mid=1uPmsRMsXnp74hPFW2t-sp2totVWF_xY&amp;ll=32.83050137713022%2C-96.83197783061323&amp;z=17" TargetMode="External"/><Relationship Id="rId802" Type="http://schemas.openxmlformats.org/officeDocument/2006/relationships/hyperlink" Target="https://www.google.com/maps/d/edit?mid=18OEO_KbvYcgI3N1jE4gTMXfNHTNDrFU&amp;ll=32.66603989958274%2C-97.42021198201722&amp;z=18" TargetMode="External"/><Relationship Id="rId886" Type="http://schemas.openxmlformats.org/officeDocument/2006/relationships/hyperlink" Target="https://www.google.com/maps/d/edit?hl=es&amp;mid=1uPmsRMsXnp74hPFW2t-sp2totVWF_xY&amp;ll=32.83050137713022%2C-96.83197783061323&amp;z=17" TargetMode="External"/><Relationship Id="rId2" Type="http://schemas.openxmlformats.org/officeDocument/2006/relationships/hyperlink" Target="https://www.google.com/maps/d/viewer?mid=1MXu7x9njhwvip9SpYfQXJGjJl8bloRw&amp;ll=26.70905771958712%2C-80.10167325&amp;z=17" TargetMode="External"/><Relationship Id="rId29" Type="http://schemas.openxmlformats.org/officeDocument/2006/relationships/hyperlink" Target="https://www.google.com/maps/d/viewer?mid=1FEo41PzFJQjUIXXKitX5TNCtuqR6Vbs&amp;ll=41.1663376742533%2C-73.22955662049608&amp;z=16" TargetMode="External"/><Relationship Id="rId441" Type="http://schemas.openxmlformats.org/officeDocument/2006/relationships/hyperlink" Target="https://www.google.com/maps/d/viewer?mid=1AyViBuyeq7iwDua1SVudJ2A1BYi3IBA&amp;ll=27.38181516363982%2C-80.32568845000002&amp;z=18" TargetMode="External"/><Relationship Id="rId539" Type="http://schemas.openxmlformats.org/officeDocument/2006/relationships/hyperlink" Target="https://www.google.com/maps/d/viewer?hl=es&amp;mid=1C1oZdjH3dNvCvqdpIv_Lk0Yn1OCVn-4&amp;ll=38.965368114274455%2C-92.3405954&amp;z=15" TargetMode="External"/><Relationship Id="rId746" Type="http://schemas.openxmlformats.org/officeDocument/2006/relationships/hyperlink" Target="https://www.google.com/maps/d/edit?hl=es&amp;mid=1uPmsRMsXnp74hPFW2t-sp2totVWF_xY&amp;ll=32.83050137713022%2C-96.83197783061323&amp;z=17" TargetMode="External"/><Relationship Id="rId178" Type="http://schemas.openxmlformats.org/officeDocument/2006/relationships/hyperlink" Target="https://www.google.com/maps/d/viewer?mid=1ebZp8DeTYSXNPgDIA63nFVDu9ohaO4E&amp;ll=41.08027837958441%2C-73.46597874999999&amp;z=15" TargetMode="External"/><Relationship Id="rId301" Type="http://schemas.openxmlformats.org/officeDocument/2006/relationships/hyperlink" Target="https://www.google.com/maps/d/viewer?hl=es&amp;mid=1C1oZdjH3dNvCvqdpIv_Lk0Yn1OCVn-4&amp;ll=38.965368114274455%2C-92.3405954&amp;z=15" TargetMode="External"/><Relationship Id="rId953" Type="http://schemas.openxmlformats.org/officeDocument/2006/relationships/hyperlink" Target="https://www.google.com/maps/d/viewer?mid=1whGZ1PLqmhJnGFz8uigZqUL4cHGGW3w&amp;ll=38.668847686454825%2C-90.4433601&amp;z=17" TargetMode="External"/><Relationship Id="rId1029" Type="http://schemas.openxmlformats.org/officeDocument/2006/relationships/hyperlink" Target="https://www.google.com/maps/d/viewer?mid=1gN2lJ0iT7m5VNhD7aDcxE8AdXqtcOZc&amp;ll=40.396096737592195%2C-104.746842&amp;z=16" TargetMode="External"/><Relationship Id="rId82" Type="http://schemas.openxmlformats.org/officeDocument/2006/relationships/hyperlink" Target="https://www.google.com/maps/d/viewer?hl=es&amp;mid=1C1oZdjH3dNvCvqdpIv_Lk0Yn1OCVn-4&amp;ll=38.965368114274426%2C-92.3405954&amp;z=15" TargetMode="External"/><Relationship Id="rId385" Type="http://schemas.openxmlformats.org/officeDocument/2006/relationships/hyperlink" Target="https://www.google.com/maps/d/viewer?mid=1ejOzT7-x6RWnCf83BBP7XhiOiwEX3Wk&amp;ll=36.061264791292906%2C-79.87437695000003&amp;z=17" TargetMode="External"/><Relationship Id="rId592" Type="http://schemas.openxmlformats.org/officeDocument/2006/relationships/hyperlink" Target="https://www.google.com/maps/d/viewer?mid=1wg5suxVuxeNp_irHlvN772HcwD6W89E&amp;ll=33.06373951220261%2C-96.82758025000001&amp;z=18" TargetMode="External"/><Relationship Id="rId606" Type="http://schemas.openxmlformats.org/officeDocument/2006/relationships/hyperlink" Target="https://www.google.com/maps/d/viewer?mid=1wg5suxVuxeNp_irHlvN772HcwD6W89E&amp;ll=33.06373951220261%2C-96.82758025000001&amp;z=18" TargetMode="External"/><Relationship Id="rId813" Type="http://schemas.openxmlformats.org/officeDocument/2006/relationships/hyperlink" Target="https://www.google.com/maps/d/edit?mid=18OEO_KbvYcgI3N1jE4gTMXfNHTNDrFU&amp;ll=32.66603989958274%2C-97.42021198201722&amp;z=18" TargetMode="External"/><Relationship Id="rId245" Type="http://schemas.openxmlformats.org/officeDocument/2006/relationships/hyperlink" Target="https://www.google.com/maps/d/viewer?hl=es&amp;mid=1C1oZdjH3dNvCvqdpIv_Lk0Yn1OCVn-4&amp;ll=38.965368114274455%2C-92.3405954&amp;z=15" TargetMode="External"/><Relationship Id="rId452" Type="http://schemas.openxmlformats.org/officeDocument/2006/relationships/hyperlink" Target="https://www.google.com/maps/d/viewer?mid=1hvbKFMO-d5TXrKGU-g5dt_xcdArB1D0&amp;ll=34.71147784120261%2C-92.40574350000001&amp;z=17" TargetMode="External"/><Relationship Id="rId897" Type="http://schemas.openxmlformats.org/officeDocument/2006/relationships/hyperlink" Target="https://www.google.com/maps/d/edit?hl=es&amp;mid=1uPmsRMsXnp74hPFW2t-sp2totVWF_xY&amp;ll=32.83050137713022%2C-96.83197783061323&amp;z=17" TargetMode="External"/><Relationship Id="rId105" Type="http://schemas.openxmlformats.org/officeDocument/2006/relationships/hyperlink" Target="https://www.google.com/maps/d/viewer?hl=es&amp;mid=1C1oZdjH3dNvCvqdpIv_Lk0Yn1OCVn-4&amp;ll=38.965368114274455%2C-92.3405954&amp;z=15" TargetMode="External"/><Relationship Id="rId312" Type="http://schemas.openxmlformats.org/officeDocument/2006/relationships/hyperlink" Target="https://www.google.com/maps/d/viewer?mid=1ubI2iKs1JyYXssuT4oLPnVvFnyLPi_s&amp;ll=40.878808846788026%2C-73.98560655&amp;z=17" TargetMode="External"/><Relationship Id="rId757" Type="http://schemas.openxmlformats.org/officeDocument/2006/relationships/hyperlink" Target="https://www.google.com/maps/d/edit?hl=es&amp;mid=1uPmsRMsXnp74hPFW2t-sp2totVWF_xY&amp;ll=32.83050137713022%2C-96.83197783061323&amp;z=17" TargetMode="External"/><Relationship Id="rId964" Type="http://schemas.openxmlformats.org/officeDocument/2006/relationships/hyperlink" Target="https://www.google.com/maps/d/edit?hl=es&amp;mid=1uPmsRMsXnp74hPFW2t-sp2totVWF_xY&amp;ll=32.83050137713022%2C-96.83197783061323&amp;z=17" TargetMode="External"/><Relationship Id="rId93" Type="http://schemas.openxmlformats.org/officeDocument/2006/relationships/hyperlink" Target="https://www.google.com/maps/d/viewer?hl=es&amp;mid=1C1oZdjH3dNvCvqdpIv_Lk0Yn1OCVn-4&amp;ll=38.965368114274455%2C-92.3405954&amp;z=15" TargetMode="External"/><Relationship Id="rId189" Type="http://schemas.openxmlformats.org/officeDocument/2006/relationships/hyperlink" Target="https://www.google.com/maps/d/viewer?hl=es&amp;mid=1C1oZdjH3dNvCvqdpIv_Lk0Yn1OCVn-4&amp;ll=38.965368114274455%2C-92.3405954&amp;z=15" TargetMode="External"/><Relationship Id="rId396" Type="http://schemas.openxmlformats.org/officeDocument/2006/relationships/hyperlink" Target="https://www.google.com/maps/d/viewer?mid=1FEo41PzFJQjUIXXKitX5TNCtuqR6Vbs&amp;ll=41.1663376742533%2C-73.22955662049608&amp;z=16" TargetMode="External"/><Relationship Id="rId617" Type="http://schemas.openxmlformats.org/officeDocument/2006/relationships/hyperlink" Target="https://www.google.com/maps/d/viewer?mid=1wg5suxVuxeNp_irHlvN772HcwD6W89E&amp;ll=33.06373951220261%2C-96.82758025000001&amp;z=18" TargetMode="External"/><Relationship Id="rId824" Type="http://schemas.openxmlformats.org/officeDocument/2006/relationships/hyperlink" Target="https://www.google.com/maps/d/viewer?mid=1ubI2iKs1JyYXssuT4oLPnVvFnyLPi_s&amp;ll=40.878808846788026%2C-73.98560655&amp;z=17" TargetMode="External"/><Relationship Id="rId256" Type="http://schemas.openxmlformats.org/officeDocument/2006/relationships/hyperlink" Target="https://www.google.com/maps/d/viewer?mid=1ejOzT7-x6RWnCf83BBP7XhiOiwEX3Wk&amp;ll=36.061264791292906%2C-79.87437695000003&amp;z=17" TargetMode="External"/><Relationship Id="rId463" Type="http://schemas.openxmlformats.org/officeDocument/2006/relationships/hyperlink" Target="https://www.google.com/maps/d/viewer?hl=es&amp;mid=1C1oZdjH3dNvCvqdpIv_Lk0Yn1OCVn-4&amp;ll=38.965368114274455%2C-92.3405954&amp;z=15" TargetMode="External"/><Relationship Id="rId670" Type="http://schemas.openxmlformats.org/officeDocument/2006/relationships/hyperlink" Target="https://www.google.com/maps/d/edit?hl=es&amp;mid=1uPmsRMsXnp74hPFW2t-sp2totVWF_xY&amp;ll=32.83050137713022%2C-96.83197783061323&amp;z=17" TargetMode="External"/><Relationship Id="rId116" Type="http://schemas.openxmlformats.org/officeDocument/2006/relationships/hyperlink" Target="https://www.google.com/maps/d/viewer?mid=1ejOzT7-x6RWnCf83BBP7XhiOiwEX3Wk&amp;ll=36.061264791292906%2C-79.87437695000003&amp;z=17" TargetMode="External"/><Relationship Id="rId323" Type="http://schemas.openxmlformats.org/officeDocument/2006/relationships/hyperlink" Target="https://www.google.com/maps/d/viewer?hl=es&amp;mid=1C1oZdjH3dNvCvqdpIv_Lk0Yn1OCVn-4&amp;ll=38.965368114274455%2C-92.3405954&amp;z=15" TargetMode="External"/><Relationship Id="rId530" Type="http://schemas.openxmlformats.org/officeDocument/2006/relationships/hyperlink" Target="https://www.google.com/maps/d/viewer?mid=1ebZp8DeTYSXNPgDIA63nFVDu9ohaO4E&amp;ll=41.08027837958441%2C-73.46597874999999&amp;z=15" TargetMode="External"/><Relationship Id="rId768" Type="http://schemas.openxmlformats.org/officeDocument/2006/relationships/hyperlink" Target="https://www.google.com/maps/d/edit?hl=es&amp;mid=1uPmsRMsXnp74hPFW2t-sp2totVWF_xY&amp;ll=32.83050137713022%2C-96.83197783061323&amp;z=17" TargetMode="External"/><Relationship Id="rId975" Type="http://schemas.openxmlformats.org/officeDocument/2006/relationships/hyperlink" Target="https://www.google.com/maps/d/edit?hl=es&amp;mid=1uPmsRMsXnp74hPFW2t-sp2totVWF_xY&amp;ll=32.83050137713022%2C-96.83197783061323&amp;z=17" TargetMode="External"/><Relationship Id="rId20" Type="http://schemas.openxmlformats.org/officeDocument/2006/relationships/hyperlink" Target="https://www.google.com/maps/d/viewer?mid=1ebZp8DeTYSXNPgDIA63nFVDu9ohaO4E&amp;ll=41.08027837958441%2C-73.46597874999999&amp;z=15" TargetMode="External"/><Relationship Id="rId628" Type="http://schemas.openxmlformats.org/officeDocument/2006/relationships/hyperlink" Target="https://www.google.com/maps/d/edit?hl=en&amp;mid=1UHmt7tH1ihTa85i0MfQIcTfVvIQg_vM&amp;ll=41.024187580466844%2C-73.63702405370861&amp;z=18" TargetMode="External"/><Relationship Id="rId835" Type="http://schemas.openxmlformats.org/officeDocument/2006/relationships/hyperlink" Target="https://www.google.com/maps/d/viewer?hl=es&amp;mid=1C1oZdjH3dNvCvqdpIv_Lk0Yn1OCVn-4&amp;ll=38.965368114274455%2C-92.3405954&amp;z=15" TargetMode="External"/><Relationship Id="rId267" Type="http://schemas.openxmlformats.org/officeDocument/2006/relationships/hyperlink" Target="https://www.google.com/maps/d/viewer?hl=es&amp;mid=1C1oZdjH3dNvCvqdpIv_Lk0Yn1OCVn-4&amp;ll=38.965368114274426%2C-92.3405954&amp;z=15" TargetMode="External"/><Relationship Id="rId474" Type="http://schemas.openxmlformats.org/officeDocument/2006/relationships/hyperlink" Target="https://www.google.com/maps/d/viewer?mid=1whGZ1PLqmhJnGFz8uigZqUL4cHGGW3w&amp;ll=38.668847686454825%2C-90.4433601&amp;z=17" TargetMode="External"/><Relationship Id="rId1020" Type="http://schemas.openxmlformats.org/officeDocument/2006/relationships/hyperlink" Target="https://www.google.com/maps/d/viewer?mid=1gN2lJ0iT7m5VNhD7aDcxE8AdXqtcOZc&amp;ll=40.396096737592195%2C-104.746842&amp;z=16" TargetMode="External"/><Relationship Id="rId127" Type="http://schemas.openxmlformats.org/officeDocument/2006/relationships/hyperlink" Target="https://www.google.com/maps/d/viewer?mid=1AyViBuyeq7iwDua1SVudJ2A1BYi3IBA&amp;ll=27.38181516363982%2C-80.32568845000002&amp;z=18" TargetMode="External"/><Relationship Id="rId681" Type="http://schemas.openxmlformats.org/officeDocument/2006/relationships/hyperlink" Target="https://www.google.com/maps/d/edit?hl=es&amp;mid=1uPmsRMsXnp74hPFW2t-sp2totVWF_xY&amp;ll=32.83050137713022%2C-96.83197783061323&amp;z=17" TargetMode="External"/><Relationship Id="rId779" Type="http://schemas.openxmlformats.org/officeDocument/2006/relationships/hyperlink" Target="https://www.google.com/maps/d/edit?hl=es&amp;mid=1uPmsRMsXnp74hPFW2t-sp2totVWF_xY&amp;ll=32.83050137713022%2C-96.83197783061323&amp;z=17" TargetMode="External"/><Relationship Id="rId902" Type="http://schemas.openxmlformats.org/officeDocument/2006/relationships/hyperlink" Target="https://www.google.com/maps/d/viewer?mid=1FEo41PzFJQjUIXXKitX5TNCtuqR6Vbs&amp;ll=41.1663376742533%2C-73.22955662049608&amp;z=16" TargetMode="External"/><Relationship Id="rId986" Type="http://schemas.openxmlformats.org/officeDocument/2006/relationships/hyperlink" Target="https://www.google.com/maps/d/viewer?hl=es&amp;mid=1C1oZdjH3dNvCvqdpIv_Lk0Yn1OCVn-4&amp;ll=38.965368114274455%2C-92.3405954&amp;z=15" TargetMode="External"/><Relationship Id="rId31" Type="http://schemas.openxmlformats.org/officeDocument/2006/relationships/hyperlink" Target="https://www.google.com/maps/d/viewer?mid=1FEo41PzFJQjUIXXKitX5TNCtuqR6Vbs&amp;ll=41.1663376742533%2C-73.22955662049608&amp;z=16" TargetMode="External"/><Relationship Id="rId334" Type="http://schemas.openxmlformats.org/officeDocument/2006/relationships/hyperlink" Target="https://www.google.com/maps/d/viewer?mid=1whGZ1PLqmhJnGFz8uigZqUL4cHGGW3w&amp;ll=38.668847686454825%2C-90.4433601&amp;z=17" TargetMode="External"/><Relationship Id="rId541" Type="http://schemas.openxmlformats.org/officeDocument/2006/relationships/hyperlink" Target="https://www.google.com/maps/d/viewer?hl=es&amp;mid=1C1oZdjH3dNvCvqdpIv_Lk0Yn1OCVn-4&amp;ll=38.965368114274455%2C-92.3405954&amp;z=15" TargetMode="External"/><Relationship Id="rId639" Type="http://schemas.openxmlformats.org/officeDocument/2006/relationships/hyperlink" Target="https://www.google.com/maps/d/edit?hl=en&amp;mid=1UHmt7tH1ihTa85i0MfQIcTfVvIQg_vM&amp;ll=41.024187580466844%2C-73.63702405370861&amp;z=18" TargetMode="External"/><Relationship Id="rId180" Type="http://schemas.openxmlformats.org/officeDocument/2006/relationships/hyperlink" Target="https://www.google.com/maps/d/viewer?mid=1FEo41PzFJQjUIXXKitX5TNCtuqR6Vbs&amp;ll=41.1663376742533%2C-73.22955662049608&amp;z=16" TargetMode="External"/><Relationship Id="rId278" Type="http://schemas.openxmlformats.org/officeDocument/2006/relationships/hyperlink" Target="https://www.google.com/maps/d/viewer?mid=1AyViBuyeq7iwDua1SVudJ2A1BYi3IBA&amp;ll=27.38181516363982%2C-80.32568845000002&amp;z=18" TargetMode="External"/><Relationship Id="rId401" Type="http://schemas.openxmlformats.org/officeDocument/2006/relationships/hyperlink" Target="https://www.google.com/maps/d/viewer?mid=1ot0ILX76JMuvd9yMuqkb4_e0yH1n7TA&amp;ll=45.07815812965141%2C-93.33506855000002&amp;z=17" TargetMode="External"/><Relationship Id="rId846" Type="http://schemas.openxmlformats.org/officeDocument/2006/relationships/hyperlink" Target="https://www.google.com/maps/d/viewer?mid=1wg5suxVuxeNp_irHlvN772HcwD6W89E&amp;ll=33.06373951220261%2C-96.82758025000001&amp;z=18" TargetMode="External"/><Relationship Id="rId1031" Type="http://schemas.openxmlformats.org/officeDocument/2006/relationships/hyperlink" Target="https://www.google.com/maps/d/viewer?mid=1gN2lJ0iT7m5VNhD7aDcxE8AdXqtcOZc&amp;ll=40.396096737592195%2C-104.746842&amp;z=16" TargetMode="External"/><Relationship Id="rId485" Type="http://schemas.openxmlformats.org/officeDocument/2006/relationships/hyperlink" Target="https://www.google.com/maps/d/viewer?hl=es&amp;mid=1C1oZdjH3dNvCvqdpIv_Lk0Yn1OCVn-4&amp;ll=38.965368114274455%2C-92.3405954&amp;z=15" TargetMode="External"/><Relationship Id="rId692" Type="http://schemas.openxmlformats.org/officeDocument/2006/relationships/hyperlink" Target="https://www.google.com/maps/d/edit?hl=es&amp;mid=1uPmsRMsXnp74hPFW2t-sp2totVWF_xY&amp;ll=32.83050137713022%2C-96.83197783061323&amp;z=17" TargetMode="External"/><Relationship Id="rId706" Type="http://schemas.openxmlformats.org/officeDocument/2006/relationships/hyperlink" Target="https://www.google.com/maps/d/edit?hl=es&amp;mid=1uPmsRMsXnp74hPFW2t-sp2totVWF_xY&amp;ll=32.83050137713022%2C-96.83197783061323&amp;z=17" TargetMode="External"/><Relationship Id="rId913" Type="http://schemas.openxmlformats.org/officeDocument/2006/relationships/hyperlink" Target="https://www.google.com/maps/d/viewer?mid=1AyViBuyeq7iwDua1SVudJ2A1BYi3IBA&amp;ll=27.38181516363982%2C-80.32568845000002&amp;z=18" TargetMode="External"/><Relationship Id="rId42" Type="http://schemas.openxmlformats.org/officeDocument/2006/relationships/hyperlink" Target="https://www.google.com/maps/d/viewer?mid=1hvbKFMO-d5TXrKGU-g5dt_xcdArB1D0&amp;ll=34.71147784120261%2C-92.40574350000001&amp;z=17" TargetMode="External"/><Relationship Id="rId138" Type="http://schemas.openxmlformats.org/officeDocument/2006/relationships/hyperlink" Target="https://www.google.com/maps/d/viewer?mid=1whGZ1PLqmhJnGFz8uigZqUL4cHGGW3w&amp;ll=38.668847686454825%2C-90.4433601&amp;z=17" TargetMode="External"/><Relationship Id="rId345" Type="http://schemas.openxmlformats.org/officeDocument/2006/relationships/hyperlink" Target="https://www.google.com/maps/d/viewer?mid=1hvbKFMO-d5TXrKGU-g5dt_xcdArB1D0&amp;ll=34.71147784120261%2C-92.40574350000001&amp;z=17" TargetMode="External"/><Relationship Id="rId552" Type="http://schemas.openxmlformats.org/officeDocument/2006/relationships/hyperlink" Target="https://www.google.com/maps/d/viewer?mid=1ejOzT7-x6RWnCf83BBP7XhiOiwEX3Wk&amp;ll=36.061264791292906%2C-79.87437695000003&amp;z=17" TargetMode="External"/><Relationship Id="rId997" Type="http://schemas.openxmlformats.org/officeDocument/2006/relationships/hyperlink" Target="https://www.google.com/maps/d/viewer?mid=1wg5suxVuxeNp_irHlvN772HcwD6W89E&amp;ll=33.06373951220261%2C-96.82758025000001&amp;z=18" TargetMode="External"/><Relationship Id="rId191" Type="http://schemas.openxmlformats.org/officeDocument/2006/relationships/hyperlink" Target="https://www.google.com/maps/d/viewer?hl=es&amp;mid=1C1oZdjH3dNvCvqdpIv_Lk0Yn1OCVn-4&amp;ll=38.965368114274455%2C-92.3405954&amp;z=15" TargetMode="External"/><Relationship Id="rId205" Type="http://schemas.openxmlformats.org/officeDocument/2006/relationships/hyperlink" Target="https://www.google.com/maps/d/viewer?mid=1ebZp8DeTYSXNPgDIA63nFVDu9ohaO4E&amp;ll=41.08027837958441%2C-73.46597874999999&amp;z=15" TargetMode="External"/><Relationship Id="rId412" Type="http://schemas.openxmlformats.org/officeDocument/2006/relationships/hyperlink" Target="https://www.google.com/maps/d/viewer?mid=1ejOzT7-x6RWnCf83BBP7XhiOiwEX3Wk&amp;ll=36.061264791292906%2C-79.87437695000003&amp;z=17" TargetMode="External"/><Relationship Id="rId857" Type="http://schemas.openxmlformats.org/officeDocument/2006/relationships/hyperlink" Target="https://www.google.com/maps/d/viewer?hl=es&amp;mid=1C1oZdjH3dNvCvqdpIv_Lk0Yn1OCVn-4&amp;ll=38.965368114274455%2C-92.3405954&amp;z=15" TargetMode="External"/><Relationship Id="rId1042" Type="http://schemas.openxmlformats.org/officeDocument/2006/relationships/hyperlink" Target="https://www.google.com/maps/d/viewer?mid=1gN2lJ0iT7m5VNhD7aDcxE8AdXqtcOZc&amp;ll=40.396096737592195%2C-104.746842&amp;z=16" TargetMode="External"/><Relationship Id="rId289" Type="http://schemas.openxmlformats.org/officeDocument/2006/relationships/hyperlink" Target="https://www.google.com/maps/d/viewer?mid=1hvbKFMO-d5TXrKGU-g5dt_xcdArB1D0&amp;ll=34.71147784120261%2C-92.40574350000001&amp;z=17" TargetMode="External"/><Relationship Id="rId496" Type="http://schemas.openxmlformats.org/officeDocument/2006/relationships/hyperlink" Target="https://www.google.com/maps/d/viewer?mid=1whGZ1PLqmhJnGFz8uigZqUL4cHGGW3w&amp;ll=38.668847686454825%2C-90.4433601&amp;z=17" TargetMode="External"/><Relationship Id="rId717" Type="http://schemas.openxmlformats.org/officeDocument/2006/relationships/hyperlink" Target="https://www.google.com/maps/d/edit?hl=es&amp;mid=1uPmsRMsXnp74hPFW2t-sp2totVWF_xY&amp;ll=32.83050137713022%2C-96.83197783061323&amp;z=17" TargetMode="External"/><Relationship Id="rId924" Type="http://schemas.openxmlformats.org/officeDocument/2006/relationships/hyperlink" Target="https://www.google.com/maps/d/edit?hl=es&amp;mid=1uPmsRMsXnp74hPFW2t-sp2totVWF_xY&amp;ll=32.83050137713022%2C-96.83197783061323&amp;z=17" TargetMode="External"/><Relationship Id="rId53" Type="http://schemas.openxmlformats.org/officeDocument/2006/relationships/hyperlink" Target="https://www.google.com/maps/d/viewer?mid=1hvbKFMO-d5TXrKGU-g5dt_xcdArB1D0&amp;ll=34.71147784120261%2C-92.40574350000001&amp;z=17" TargetMode="External"/><Relationship Id="rId149" Type="http://schemas.openxmlformats.org/officeDocument/2006/relationships/hyperlink" Target="https://www.google.com/maps/d/viewer?mid=1ejOzT7-x6RWnCf83BBP7XhiOiwEX3Wk&amp;ll=36.061264791292906%2C-79.87437695000003&amp;z=17" TargetMode="External"/><Relationship Id="rId356" Type="http://schemas.openxmlformats.org/officeDocument/2006/relationships/hyperlink" Target="https://www.google.com/maps/d/viewer?hl=es&amp;mid=1C1oZdjH3dNvCvqdpIv_Lk0Yn1OCVn-4&amp;ll=38.965368114274455%2C-92.3405954&amp;z=15" TargetMode="External"/><Relationship Id="rId563" Type="http://schemas.openxmlformats.org/officeDocument/2006/relationships/hyperlink" Target="https://www.google.com/maps/d/viewer?mid=1ot0ILX76JMuvd9yMuqkb4_e0yH1n7TA&amp;ll=45.07815812965141%2C-93.33506855000002&amp;z=17" TargetMode="External"/><Relationship Id="rId770" Type="http://schemas.openxmlformats.org/officeDocument/2006/relationships/hyperlink" Target="https://www.google.com/maps/d/edit?hl=es&amp;mid=1uPmsRMsXnp74hPFW2t-sp2totVWF_xY&amp;ll=32.83050137713022%2C-96.83197783061323&amp;z=17" TargetMode="External"/><Relationship Id="rId216" Type="http://schemas.openxmlformats.org/officeDocument/2006/relationships/hyperlink" Target="https://www.google.com/maps/d/viewer?hl=es&amp;mid=1C1oZdjH3dNvCvqdpIv_Lk0Yn1OCVn-4&amp;ll=38.965368114274455%2C-92.3405954&amp;z=15" TargetMode="External"/><Relationship Id="rId423" Type="http://schemas.openxmlformats.org/officeDocument/2006/relationships/hyperlink" Target="https://www.google.com/maps/d/viewer?mid=1FEo41PzFJQjUIXXKitX5TNCtuqR6Vbs&amp;ll=41.1663376742533%2C-73.22955662049608&amp;z=16" TargetMode="External"/><Relationship Id="rId868" Type="http://schemas.openxmlformats.org/officeDocument/2006/relationships/hyperlink" Target="https://www.google.com/maps/d/viewer?hl=es&amp;mid=1C1oZdjH3dNvCvqdpIv_Lk0Yn1OCVn-4&amp;ll=38.965368114274455%2C-92.3405954&amp;z=15" TargetMode="External"/><Relationship Id="rId1053" Type="http://schemas.openxmlformats.org/officeDocument/2006/relationships/hyperlink" Target="https://www.google.com/maps/d/viewer?mid=1gN2lJ0iT7m5VNhD7aDcxE8AdXqtcOZc&amp;ll=40.396096737592195%2C-104.746842&amp;z=16" TargetMode="External"/><Relationship Id="rId630" Type="http://schemas.openxmlformats.org/officeDocument/2006/relationships/hyperlink" Target="https://www.google.com/maps/d/edit?hl=en&amp;mid=1UHmt7tH1ihTa85i0MfQIcTfVvIQg_vM&amp;ll=41.024187580466844%2C-73.63702405370861&amp;z=18" TargetMode="External"/><Relationship Id="rId728" Type="http://schemas.openxmlformats.org/officeDocument/2006/relationships/hyperlink" Target="https://www.google.com/maps/d/edit?hl=es&amp;mid=1uPmsRMsXnp74hPFW2t-sp2totVWF_xY&amp;ll=32.83050137713022%2C-96.83197783061323&amp;z=17" TargetMode="External"/><Relationship Id="rId935" Type="http://schemas.openxmlformats.org/officeDocument/2006/relationships/hyperlink" Target="https://www.google.com/maps/d/edit?hl=es&amp;mid=1uPmsRMsXnp74hPFW2t-sp2totVWF_xY&amp;ll=32.83050137713022%2C-96.83197783061323&amp;z=17" TargetMode="External"/><Relationship Id="rId64" Type="http://schemas.openxmlformats.org/officeDocument/2006/relationships/hyperlink" Target="https://www.google.com/maps/d/viewer?mid=1ot0ILX76JMuvd9yMuqkb4_e0yH1n7TA&amp;ll=45.07815812965141%2C-93.33506855000002&amp;z=17" TargetMode="External"/><Relationship Id="rId367" Type="http://schemas.openxmlformats.org/officeDocument/2006/relationships/hyperlink" Target="https://www.google.com/maps/d/viewer?mid=1ubI2iKs1JyYXssuT4oLPnVvFnyLPi_s&amp;ll=40.878808846788026%2C-73.98560655&amp;z=17" TargetMode="External"/><Relationship Id="rId574" Type="http://schemas.openxmlformats.org/officeDocument/2006/relationships/hyperlink" Target="https://www.google.com/maps/d/viewer?mid=1ejOzT7-x6RWnCf83BBP7XhiOiwEX3Wk&amp;ll=36.061264791292906%2C-79.87437695000003&amp;z=17" TargetMode="External"/><Relationship Id="rId227" Type="http://schemas.openxmlformats.org/officeDocument/2006/relationships/hyperlink" Target="https://www.google.com/maps/d/viewer?mid=1ejOzT7-x6RWnCf83BBP7XhiOiwEX3Wk&amp;ll=36.061264791292906%2C-79.87437695000003&amp;z=17" TargetMode="External"/><Relationship Id="rId781" Type="http://schemas.openxmlformats.org/officeDocument/2006/relationships/hyperlink" Target="https://www.google.com/maps/d/edit?hl=es&amp;mid=1uPmsRMsXnp74hPFW2t-sp2totVWF_xY&amp;ll=32.83050137713022%2C-96.83197783061323&amp;z=17" TargetMode="External"/><Relationship Id="rId879" Type="http://schemas.openxmlformats.org/officeDocument/2006/relationships/hyperlink" Target="https://www.google.com/maps/d/viewer?mid=1ejOzT7-x6RWnCf83BBP7XhiOiwEX3Wk&amp;ll=36.061264791292906%2C-79.87437695000003&amp;z=17" TargetMode="External"/><Relationship Id="rId434" Type="http://schemas.openxmlformats.org/officeDocument/2006/relationships/hyperlink" Target="https://www.google.com/maps/d/viewer?hl=es&amp;mid=1C1oZdjH3dNvCvqdpIv_Lk0Yn1OCVn-4&amp;ll=38.965368114274455%2C-92.3405954&amp;z=15" TargetMode="External"/><Relationship Id="rId641" Type="http://schemas.openxmlformats.org/officeDocument/2006/relationships/hyperlink" Target="https://www.google.com/maps/d/edit?hl=en&amp;mid=1UHmt7tH1ihTa85i0MfQIcTfVvIQg_vM&amp;ll=41.024187580466844%2C-73.63702405370861&amp;z=18" TargetMode="External"/><Relationship Id="rId739" Type="http://schemas.openxmlformats.org/officeDocument/2006/relationships/hyperlink" Target="https://www.google.com/maps/d/edit?hl=es&amp;mid=1uPmsRMsXnp74hPFW2t-sp2totVWF_xY&amp;ll=32.83050137713022%2C-96.83197783061323&amp;z=17" TargetMode="External"/><Relationship Id="rId280" Type="http://schemas.openxmlformats.org/officeDocument/2006/relationships/hyperlink" Target="https://www.google.com/maps/d/viewer?mid=1ejOzT7-x6RWnCf83BBP7XhiOiwEX3Wk&amp;ll=36.061264791292906%2C-79.87437695000003&amp;z=17" TargetMode="External"/><Relationship Id="rId501" Type="http://schemas.openxmlformats.org/officeDocument/2006/relationships/hyperlink" Target="https://www.google.com/maps/d/viewer?mid=1whGZ1PLqmhJnGFz8uigZqUL4cHGGW3w&amp;ll=38.668847686454825%2C-90.4433601&amp;z=17" TargetMode="External"/><Relationship Id="rId946" Type="http://schemas.openxmlformats.org/officeDocument/2006/relationships/hyperlink" Target="https://www.google.com/maps/d/viewer?hl=es&amp;mid=1C1oZdjH3dNvCvqdpIv_Lk0Yn1OCVn-4&amp;ll=38.965368114274455%2C-92.3405954&amp;z=15" TargetMode="External"/><Relationship Id="rId75" Type="http://schemas.openxmlformats.org/officeDocument/2006/relationships/hyperlink" Target="https://www.google.com/maps/d/viewer?mid=1bDs0QGFZwL3vEeGKxjVMk_j4azr0-lg&amp;ll=33.4593758581648%2C-112.28793780000001&amp;z=18" TargetMode="External"/><Relationship Id="rId140" Type="http://schemas.openxmlformats.org/officeDocument/2006/relationships/hyperlink" Target="https://www.google.com/maps/d/viewer?mid=1whGZ1PLqmhJnGFz8uigZqUL4cHGGW3w&amp;ll=38.668847686454825%2C-90.4433601&amp;z=17" TargetMode="External"/><Relationship Id="rId378" Type="http://schemas.openxmlformats.org/officeDocument/2006/relationships/hyperlink" Target="https://www.google.com/maps/d/viewer?hl=es&amp;mid=1C1oZdjH3dNvCvqdpIv_Lk0Yn1OCVn-4&amp;ll=38.965368114274455%2C-92.3405954&amp;z=15" TargetMode="External"/><Relationship Id="rId585" Type="http://schemas.openxmlformats.org/officeDocument/2006/relationships/hyperlink" Target="https://www.google.com/maps/d/viewer?mid=1wg5suxVuxeNp_irHlvN772HcwD6W89E&amp;ll=33.06373951220261%2C-96.82758025000001&amp;z=18" TargetMode="External"/><Relationship Id="rId792" Type="http://schemas.openxmlformats.org/officeDocument/2006/relationships/hyperlink" Target="https://www.google.com/maps/d/edit?mid=18OEO_KbvYcgI3N1jE4gTMXfNHTNDrFU&amp;ll=32.66603989958274%2C-97.42021198201722&amp;z=18" TargetMode="External"/><Relationship Id="rId806" Type="http://schemas.openxmlformats.org/officeDocument/2006/relationships/hyperlink" Target="https://www.google.com/maps/d/edit?mid=18OEO_KbvYcgI3N1jE4gTMXfNHTNDrFU&amp;ll=32.66603989958274%2C-97.42021198201722&amp;z=18" TargetMode="External"/><Relationship Id="rId6" Type="http://schemas.openxmlformats.org/officeDocument/2006/relationships/hyperlink" Target="https://www.google.com/maps/d/edit?mid=1jkN3DS1BhUqp_dztjjW0PDwKfo_Yxsw&amp;usp=sharing" TargetMode="External"/><Relationship Id="rId238" Type="http://schemas.openxmlformats.org/officeDocument/2006/relationships/hyperlink" Target="https://www.google.com/maps/d/viewer?mid=1ot0ILX76JMuvd9yMuqkb4_e0yH1n7TA&amp;ll=45.07815812965141%2C-93.33506855000002&amp;z=17" TargetMode="External"/><Relationship Id="rId445" Type="http://schemas.openxmlformats.org/officeDocument/2006/relationships/hyperlink" Target="https://www.google.com/maps/d/viewer?mid=1ejOzT7-x6RWnCf83BBP7XhiOiwEX3Wk&amp;ll=36.061264791292906%2C-79.87437695000003&amp;z=17" TargetMode="External"/><Relationship Id="rId652" Type="http://schemas.openxmlformats.org/officeDocument/2006/relationships/hyperlink" Target="https://www.google.com/maps/d/edit?hl=es&amp;mid=1uPmsRMsXnp74hPFW2t-sp2totVWF_xY&amp;ll=32.83050137713022%2C-96.83197783061323&amp;z=17" TargetMode="External"/><Relationship Id="rId291" Type="http://schemas.openxmlformats.org/officeDocument/2006/relationships/hyperlink" Target="https://www.google.com/maps/d/viewer?mid=1hvbKFMO-d5TXrKGU-g5dt_xcdArB1D0&amp;ll=34.71147784120261%2C-92.40574350000001&amp;z=17" TargetMode="External"/><Relationship Id="rId305" Type="http://schemas.openxmlformats.org/officeDocument/2006/relationships/hyperlink" Target="https://www.google.com/maps/d/viewer?mid=1AyViBuyeq7iwDua1SVudJ2A1BYi3IBA&amp;ll=27.38181516363982%2C-80.32568845000002&amp;z=18" TargetMode="External"/><Relationship Id="rId512" Type="http://schemas.openxmlformats.org/officeDocument/2006/relationships/hyperlink" Target="https://www.google.com/maps/d/viewer?hl=es&amp;mid=1C1oZdjH3dNvCvqdpIv_Lk0Yn1OCVn-4&amp;ll=38.965368114274455%2C-92.3405954&amp;z=15" TargetMode="External"/><Relationship Id="rId957" Type="http://schemas.openxmlformats.org/officeDocument/2006/relationships/hyperlink" Target="https://www.google.com/maps/d/viewer?mid=1ejOzT7-x6RWnCf83BBP7XhiOiwEX3Wk&amp;ll=36.061264791292906%2C-79.87437695000003&amp;z=17" TargetMode="External"/><Relationship Id="rId86" Type="http://schemas.openxmlformats.org/officeDocument/2006/relationships/hyperlink" Target="https://www.google.com/maps/d/viewer?hl=es&amp;mid=1C1oZdjH3dNvCvqdpIv_Lk0Yn1OCVn-4&amp;ll=38.965368114274455%2C-92.3405954&amp;z=15" TargetMode="External"/><Relationship Id="rId151" Type="http://schemas.openxmlformats.org/officeDocument/2006/relationships/hyperlink" Target="https://www.google.com/maps/d/viewer?mid=1ejOzT7-x6RWnCf83BBP7XhiOiwEX3Wk&amp;ll=36.061264791292906%2C-79.87437695000003&amp;z=17" TargetMode="External"/><Relationship Id="rId389" Type="http://schemas.openxmlformats.org/officeDocument/2006/relationships/hyperlink" Target="https://www.google.com/maps/d/viewer?mid=1ejOzT7-x6RWnCf83BBP7XhiOiwEX3Wk&amp;ll=36.061264791292906%2C-79.87437695000003&amp;z=17" TargetMode="External"/><Relationship Id="rId596" Type="http://schemas.openxmlformats.org/officeDocument/2006/relationships/hyperlink" Target="https://www.google.com/maps/d/viewer?mid=1wg5suxVuxeNp_irHlvN772HcwD6W89E&amp;ll=33.06373951220261%2C-96.82758025000001&amp;z=18" TargetMode="External"/><Relationship Id="rId817" Type="http://schemas.openxmlformats.org/officeDocument/2006/relationships/hyperlink" Target="https://www.google.com/maps/d/viewer?hl=es&amp;mid=1C1oZdjH3dNvCvqdpIv_Lk0Yn1OCVn-4&amp;ll=38.965368114274426%2C-92.3405954&amp;z=15" TargetMode="External"/><Relationship Id="rId1002" Type="http://schemas.openxmlformats.org/officeDocument/2006/relationships/hyperlink" Target="https://www.google.com/maps/d/edit?hl=es&amp;mid=1uPmsRMsXnp74hPFW2t-sp2totVWF_xY&amp;ll=32.83050137713022%2C-96.83197783061323&amp;z=17" TargetMode="External"/><Relationship Id="rId249" Type="http://schemas.openxmlformats.org/officeDocument/2006/relationships/hyperlink" Target="https://www.google.com/maps/d/viewer?mid=1ejOzT7-x6RWnCf83BBP7XhiOiwEX3Wk&amp;ll=36.061264791292906%2C-79.87437695000003&amp;z=17" TargetMode="External"/><Relationship Id="rId456" Type="http://schemas.openxmlformats.org/officeDocument/2006/relationships/hyperlink" Target="https://www.google.com/maps/d/viewer?mid=1bDs0QGFZwL3vEeGKxjVMk_j4azr0-lg&amp;ll=33.4593758581648%2C-112.28793780000001&amp;z=18" TargetMode="External"/><Relationship Id="rId663" Type="http://schemas.openxmlformats.org/officeDocument/2006/relationships/hyperlink" Target="https://www.google.com/maps/d/edit?hl=es&amp;mid=1uPmsRMsXnp74hPFW2t-sp2totVWF_xY&amp;ll=32.83050137713022%2C-96.83197783061323&amp;z=17" TargetMode="External"/><Relationship Id="rId870" Type="http://schemas.openxmlformats.org/officeDocument/2006/relationships/hyperlink" Target="https://www.google.com/maps/d/viewer?hl=es&amp;mid=1C1oZdjH3dNvCvqdpIv_Lk0Yn1OCVn-4&amp;ll=38.965368114274455%2C-92.3405954&amp;z=15" TargetMode="External"/><Relationship Id="rId13" Type="http://schemas.openxmlformats.org/officeDocument/2006/relationships/hyperlink" Target="https://www.google.com/maps/d/viewer?mid=1ubI2iKs1JyYXssuT4oLPnVvFnyLPi_s&amp;ll=40.878808846788026%2C-73.98560655&amp;z=17" TargetMode="External"/><Relationship Id="rId109" Type="http://schemas.openxmlformats.org/officeDocument/2006/relationships/hyperlink" Target="https://www.google.com/maps/d/viewer?hl=es&amp;mid=1C1oZdjH3dNvCvqdpIv_Lk0Yn1OCVn-4&amp;ll=38.965368114274455%2C-92.3405954&amp;z=15" TargetMode="External"/><Relationship Id="rId316" Type="http://schemas.openxmlformats.org/officeDocument/2006/relationships/hyperlink" Target="https://www.google.com/maps/d/viewer?mid=1hvbKFMO-d5TXrKGU-g5dt_xcdArB1D0&amp;ll=34.71147784120261%2C-92.40574350000001&amp;z=17" TargetMode="External"/><Relationship Id="rId523" Type="http://schemas.openxmlformats.org/officeDocument/2006/relationships/hyperlink" Target="https://www.google.com/maps/d/viewer?mid=1whGZ1PLqmhJnGFz8uigZqUL4cHGGW3w&amp;ll=38.668847686454825%2C-90.4433601&amp;z=17" TargetMode="External"/><Relationship Id="rId968" Type="http://schemas.openxmlformats.org/officeDocument/2006/relationships/hyperlink" Target="https://www.google.com/maps/d/viewer?mid=1bDs0QGFZwL3vEeGKxjVMk_j4azr0-lg&amp;ll=33.4593758581648%2C-112.28793780000001&amp;z=18" TargetMode="External"/><Relationship Id="rId97" Type="http://schemas.openxmlformats.org/officeDocument/2006/relationships/hyperlink" Target="https://www.google.com/maps/d/viewer?hl=es&amp;mid=1C1oZdjH3dNvCvqdpIv_Lk0Yn1OCVn-4&amp;ll=38.965368114274455%2C-92.3405954&amp;z=15" TargetMode="External"/><Relationship Id="rId730" Type="http://schemas.openxmlformats.org/officeDocument/2006/relationships/hyperlink" Target="https://www.google.com/maps/d/edit?hl=es&amp;mid=1uPmsRMsXnp74hPFW2t-sp2totVWF_xY&amp;ll=32.83050137713022%2C-96.83197783061323&amp;z=17" TargetMode="External"/><Relationship Id="rId828" Type="http://schemas.openxmlformats.org/officeDocument/2006/relationships/hyperlink" Target="https://www.google.com/maps/d/viewer?mid=1hvbKFMO-d5TXrKGU-g5dt_xcdArB1D0&amp;ll=34.71147784120261%2C-92.40574350000001&amp;z=17" TargetMode="External"/><Relationship Id="rId1013" Type="http://schemas.openxmlformats.org/officeDocument/2006/relationships/hyperlink" Target="https://www.google.com/maps/d/viewer?mid=1gN2lJ0iT7m5VNhD7aDcxE8AdXqtcOZc&amp;ll=40.396096737592195%2C-104.746842&amp;z=16" TargetMode="External"/><Relationship Id="rId162" Type="http://schemas.openxmlformats.org/officeDocument/2006/relationships/hyperlink" Target="https://www.google.com/maps/d/viewer?mid=1ejOzT7-x6RWnCf83BBP7XhiOiwEX3Wk&amp;ll=36.061264791292906%2C-79.87437695000003&amp;z=17" TargetMode="External"/><Relationship Id="rId467" Type="http://schemas.openxmlformats.org/officeDocument/2006/relationships/hyperlink" Target="https://www.google.com/maps/d/viewer?mid=1AyViBuyeq7iwDua1SVudJ2A1BYi3IBA&amp;ll=27.38181516363982%2C-80.32568845000002&amp;z=18" TargetMode="External"/><Relationship Id="rId674" Type="http://schemas.openxmlformats.org/officeDocument/2006/relationships/hyperlink" Target="https://www.google.com/maps/d/edit?hl=es&amp;mid=1uPmsRMsXnp74hPFW2t-sp2totVWF_xY&amp;ll=32.83050137713022%2C-96.83197783061323&amp;z=17" TargetMode="External"/><Relationship Id="rId881" Type="http://schemas.openxmlformats.org/officeDocument/2006/relationships/hyperlink" Target="https://www.google.com/maps/d/viewer?mid=1ejOzT7-x6RWnCf83BBP7XhiOiwEX3Wk&amp;ll=36.061264791292906%2C-79.87437695000003&amp;z=17" TargetMode="External"/><Relationship Id="rId979" Type="http://schemas.openxmlformats.org/officeDocument/2006/relationships/hyperlink" Target="https://www.google.com/maps/d/viewer?mid=1hvbKFMO-d5TXrKGU-g5dt_xcdArB1D0&amp;ll=34.71147784120261%2C-92.40574350000001&amp;z=17" TargetMode="External"/><Relationship Id="rId24" Type="http://schemas.openxmlformats.org/officeDocument/2006/relationships/hyperlink" Target="https://www.google.com/maps/d/edit?mid=1FNqK4dW8Z8gtSWuQLbStrtqe7lH8DIQ&amp;usp=sharing" TargetMode="External"/><Relationship Id="rId327" Type="http://schemas.openxmlformats.org/officeDocument/2006/relationships/hyperlink" Target="https://www.google.com/maps/d/viewer?hl=es&amp;mid=1C1oZdjH3dNvCvqdpIv_Lk0Yn1OCVn-4&amp;ll=38.965368114274455%2C-92.3405954&amp;z=15" TargetMode="External"/><Relationship Id="rId534" Type="http://schemas.openxmlformats.org/officeDocument/2006/relationships/hyperlink" Target="https://www.google.com/maps/d/viewer?mid=1hvbKFMO-d5TXrKGU-g5dt_xcdArB1D0&amp;ll=34.71147784120261%2C-92.40574350000001&amp;z=17" TargetMode="External"/><Relationship Id="rId741" Type="http://schemas.openxmlformats.org/officeDocument/2006/relationships/hyperlink" Target="https://www.google.com/maps/d/edit?hl=es&amp;mid=1uPmsRMsXnp74hPFW2t-sp2totVWF_xY&amp;ll=32.83050137713022%2C-96.83197783061323&amp;z=17" TargetMode="External"/><Relationship Id="rId839" Type="http://schemas.openxmlformats.org/officeDocument/2006/relationships/hyperlink" Target="https://www.google.com/maps/d/viewer?mid=1whGZ1PLqmhJnGFz8uigZqUL4cHGGW3w&amp;ll=38.668847686454825%2C-90.4433601&amp;z=17" TargetMode="External"/><Relationship Id="rId173" Type="http://schemas.openxmlformats.org/officeDocument/2006/relationships/hyperlink" Target="https://www.google.com/maps/d/edit?mid=1Oky35ERk_2kgyzCvDu_odQ2ZP62BtqA&amp;usp=sharing" TargetMode="External"/><Relationship Id="rId380" Type="http://schemas.openxmlformats.org/officeDocument/2006/relationships/hyperlink" Target="https://www.google.com/maps/d/viewer?hl=es&amp;mid=1C1oZdjH3dNvCvqdpIv_Lk0Yn1OCVn-4&amp;ll=38.965368114274455%2C-92.3405954&amp;z=15" TargetMode="External"/><Relationship Id="rId601" Type="http://schemas.openxmlformats.org/officeDocument/2006/relationships/hyperlink" Target="https://www.google.com/maps/d/viewer?mid=1wg5suxVuxeNp_irHlvN772HcwD6W89E&amp;ll=33.06373951220261%2C-96.82758025000001&amp;z=18" TargetMode="External"/><Relationship Id="rId1024" Type="http://schemas.openxmlformats.org/officeDocument/2006/relationships/hyperlink" Target="https://www.google.com/maps/d/viewer?mid=1gN2lJ0iT7m5VNhD7aDcxE8AdXqtcOZc&amp;ll=40.396096737592195%2C-104.746842&amp;z=16" TargetMode="External"/><Relationship Id="rId240" Type="http://schemas.openxmlformats.org/officeDocument/2006/relationships/hyperlink" Target="https://www.google.com/maps/d/viewer?hl=es&amp;mid=1C1oZdjH3dNvCvqdpIv_Lk0Yn1OCVn-4&amp;ll=38.965368114274426%2C-92.3405954&amp;z=15" TargetMode="External"/><Relationship Id="rId478" Type="http://schemas.openxmlformats.org/officeDocument/2006/relationships/hyperlink" Target="https://www.google.com/maps/d/viewer?mid=1FEo41PzFJQjUIXXKitX5TNCtuqR6Vbs&amp;ll=41.1663376742533%2C-73.22955662049608&amp;z=16" TargetMode="External"/><Relationship Id="rId685" Type="http://schemas.openxmlformats.org/officeDocument/2006/relationships/hyperlink" Target="https://www.google.com/maps/d/edit?hl=es&amp;mid=1uPmsRMsXnp74hPFW2t-sp2totVWF_xY&amp;ll=32.83050137713022%2C-96.83197783061323&amp;z=17" TargetMode="External"/><Relationship Id="rId892" Type="http://schemas.openxmlformats.org/officeDocument/2006/relationships/hyperlink" Target="https://www.google.com/maps/d/viewer?mid=1bDs0QGFZwL3vEeGKxjVMk_j4azr0-lg&amp;ll=33.4593758581648%2C-112.28793780000001&amp;z=18" TargetMode="External"/><Relationship Id="rId906" Type="http://schemas.openxmlformats.org/officeDocument/2006/relationships/hyperlink" Target="https://www.google.com/maps/d/viewer?hl=es&amp;mid=1C1oZdjH3dNvCvqdpIv_Lk0Yn1OCVn-4&amp;ll=38.965368114274455%2C-92.3405954&amp;z=15" TargetMode="External"/><Relationship Id="rId35" Type="http://schemas.openxmlformats.org/officeDocument/2006/relationships/hyperlink" Target="https://www.google.com/maps/d/viewer?mid=1FEo41PzFJQjUIXXKitX5TNCtuqR6Vbs&amp;ll=41.1663376742533%2C-73.22955662049608&amp;z=16" TargetMode="External"/><Relationship Id="rId100" Type="http://schemas.openxmlformats.org/officeDocument/2006/relationships/hyperlink" Target="https://www.google.com/maps/d/viewer?hl=es&amp;mid=1C1oZdjH3dNvCvqdpIv_Lk0Yn1OCVn-4&amp;ll=38.965368114274455%2C-92.3405954&amp;z=15" TargetMode="External"/><Relationship Id="rId338" Type="http://schemas.openxmlformats.org/officeDocument/2006/relationships/hyperlink" Target="https://www.google.com/maps/d/viewer?mid=1ejOzT7-x6RWnCf83BBP7XhiOiwEX3Wk&amp;ll=36.061264791292906%2C-79.87437695000003&amp;z=17" TargetMode="External"/><Relationship Id="rId545" Type="http://schemas.openxmlformats.org/officeDocument/2006/relationships/hyperlink" Target="https://www.google.com/maps/d/viewer?hl=es&amp;mid=1C1oZdjH3dNvCvqdpIv_Lk0Yn1OCVn-4&amp;ll=38.965368114274455%2C-92.3405954&amp;z=15" TargetMode="External"/><Relationship Id="rId752" Type="http://schemas.openxmlformats.org/officeDocument/2006/relationships/hyperlink" Target="https://www.google.com/maps/d/edit?hl=es&amp;mid=1uPmsRMsXnp74hPFW2t-sp2totVWF_xY&amp;ll=32.83050137713022%2C-96.83197783061323&amp;z=17" TargetMode="External"/><Relationship Id="rId184" Type="http://schemas.openxmlformats.org/officeDocument/2006/relationships/hyperlink" Target="https://www.google.com/maps/d/viewer?mid=1ot0ILX76JMuvd9yMuqkb4_e0yH1n7TA&amp;ll=45.07815812965141%2C-93.33506855000002&amp;z=17" TargetMode="External"/><Relationship Id="rId391" Type="http://schemas.openxmlformats.org/officeDocument/2006/relationships/hyperlink" Target="https://www.google.com/maps/d/viewer?mid=1ejOzT7-x6RWnCf83BBP7XhiOiwEX3Wk&amp;ll=36.061264791292906%2C-79.87437695000003&amp;z=17" TargetMode="External"/><Relationship Id="rId405" Type="http://schemas.openxmlformats.org/officeDocument/2006/relationships/hyperlink" Target="https://www.google.com/maps/d/viewer?hl=es&amp;mid=1C1oZdjH3dNvCvqdpIv_Lk0Yn1OCVn-4&amp;ll=38.965368114274455%2C-92.3405954&amp;z=15" TargetMode="External"/><Relationship Id="rId612" Type="http://schemas.openxmlformats.org/officeDocument/2006/relationships/hyperlink" Target="https://www.google.com/maps/d/viewer?mid=1wg5suxVuxeNp_irHlvN772HcwD6W89E&amp;ll=33.06373951220261%2C-96.82758025000001&amp;z=18" TargetMode="External"/><Relationship Id="rId1035" Type="http://schemas.openxmlformats.org/officeDocument/2006/relationships/hyperlink" Target="https://www.google.com/maps/d/viewer?mid=1gN2lJ0iT7m5VNhD7aDcxE8AdXqtcOZc&amp;ll=40.396096737592195%2C-104.746842&amp;z=16" TargetMode="External"/><Relationship Id="rId251" Type="http://schemas.openxmlformats.org/officeDocument/2006/relationships/hyperlink" Target="https://www.google.com/maps/d/viewer?mid=1AyViBuyeq7iwDua1SVudJ2A1BYi3IBA&amp;ll=27.38181516363982%2C-80.32568845000002&amp;z=18" TargetMode="External"/><Relationship Id="rId489" Type="http://schemas.openxmlformats.org/officeDocument/2006/relationships/hyperlink" Target="https://www.google.com/maps/d/viewer?hl=es&amp;mid=1C1oZdjH3dNvCvqdpIv_Lk0Yn1OCVn-4&amp;ll=38.965368114274455%2C-92.3405954&amp;z=15" TargetMode="External"/><Relationship Id="rId696" Type="http://schemas.openxmlformats.org/officeDocument/2006/relationships/hyperlink" Target="https://www.google.com/maps/d/edit?hl=es&amp;mid=1uPmsRMsXnp74hPFW2t-sp2totVWF_xY&amp;ll=32.83050137713022%2C-96.83197783061323&amp;z=17" TargetMode="External"/><Relationship Id="rId917" Type="http://schemas.openxmlformats.org/officeDocument/2006/relationships/hyperlink" Target="https://www.google.com/maps/d/viewer?mid=1ejOzT7-x6RWnCf83BBP7XhiOiwEX3Wk&amp;ll=36.061264791292906%2C-79.87437695000003&amp;z=17" TargetMode="External"/><Relationship Id="rId46" Type="http://schemas.openxmlformats.org/officeDocument/2006/relationships/hyperlink" Target="https://www.google.com/maps/d/viewer?mid=1hvbKFMO-d5TXrKGU-g5dt_xcdArB1D0&amp;ll=34.71147784120261%2C-92.40574350000001&amp;z=17" TargetMode="External"/><Relationship Id="rId349" Type="http://schemas.openxmlformats.org/officeDocument/2006/relationships/hyperlink" Target="https://www.google.com/maps/d/viewer?hl=es&amp;mid=1C1oZdjH3dNvCvqdpIv_Lk0Yn1OCVn-4&amp;ll=38.965368114274426%2C-92.3405954&amp;z=15" TargetMode="External"/><Relationship Id="rId556" Type="http://schemas.openxmlformats.org/officeDocument/2006/relationships/hyperlink" Target="https://www.google.com/maps/d/viewer?mid=1ubI2iKs1JyYXssuT4oLPnVvFnyLPi_s&amp;ll=40.878808846788026%2C-73.98560655&amp;z=17" TargetMode="External"/><Relationship Id="rId763" Type="http://schemas.openxmlformats.org/officeDocument/2006/relationships/hyperlink" Target="https://www.google.com/maps/d/edit?hl=es&amp;mid=1uPmsRMsXnp74hPFW2t-sp2totVWF_xY&amp;ll=32.83050137713022%2C-96.83197783061323&amp;z=17" TargetMode="External"/><Relationship Id="rId111" Type="http://schemas.openxmlformats.org/officeDocument/2006/relationships/hyperlink" Target="https://www.google.com/maps/d/viewer?hl=es&amp;mid=1C1oZdjH3dNvCvqdpIv_Lk0Yn1OCVn-4&amp;ll=38.965368114274455%2C-92.3405954&amp;z=15" TargetMode="External"/><Relationship Id="rId195" Type="http://schemas.openxmlformats.org/officeDocument/2006/relationships/hyperlink" Target="https://www.google.com/maps/d/viewer?mid=1ejOzT7-x6RWnCf83BBP7XhiOiwEX3Wk&amp;ll=36.061264791292906%2C-79.87437695000003&amp;z=17" TargetMode="External"/><Relationship Id="rId209" Type="http://schemas.openxmlformats.org/officeDocument/2006/relationships/hyperlink" Target="https://www.google.com/maps/d/viewer?mid=1hvbKFMO-d5TXrKGU-g5dt_xcdArB1D0&amp;ll=34.71147784120261%2C-92.40574350000001&amp;z=17" TargetMode="External"/><Relationship Id="rId416" Type="http://schemas.openxmlformats.org/officeDocument/2006/relationships/hyperlink" Target="https://www.google.com/maps/d/viewer?mid=1ejOzT7-x6RWnCf83BBP7XhiOiwEX3Wk&amp;ll=36.061264791292906%2C-79.87437695000003&amp;z=17" TargetMode="External"/><Relationship Id="rId970" Type="http://schemas.openxmlformats.org/officeDocument/2006/relationships/hyperlink" Target="https://www.google.com/maps/d/viewer?mid=1ot0ILX76JMuvd9yMuqkb4_e0yH1n7TA&amp;ll=45.07815812965141%2C-93.33506855000002&amp;z=17" TargetMode="External"/><Relationship Id="rId1046" Type="http://schemas.openxmlformats.org/officeDocument/2006/relationships/hyperlink" Target="https://www.google.com/maps/d/viewer?mid=1gN2lJ0iT7m5VNhD7aDcxE8AdXqtcOZc&amp;ll=40.396096737592195%2C-104.746842&amp;z=16" TargetMode="External"/><Relationship Id="rId623" Type="http://schemas.openxmlformats.org/officeDocument/2006/relationships/hyperlink" Target="https://www.google.com/maps/d/viewer?mid=1wg5suxVuxeNp_irHlvN772HcwD6W89E&amp;ll=33.06373951220261%2C-96.82758025000001&amp;z=18" TargetMode="External"/><Relationship Id="rId830" Type="http://schemas.openxmlformats.org/officeDocument/2006/relationships/hyperlink" Target="https://www.google.com/maps/d/viewer?hl=es&amp;mid=1C1oZdjH3dNvCvqdpIv_Lk0Yn1OCVn-4&amp;ll=38.965368114274455%2C-92.3405954&amp;z=15" TargetMode="External"/><Relationship Id="rId928" Type="http://schemas.openxmlformats.org/officeDocument/2006/relationships/hyperlink" Target="https://www.google.com/maps/d/edit?mid=18OEO_KbvYcgI3N1jE4gTMXfNHTNDrFU&amp;ll=32.66603989958274%2C-97.42021198201722&amp;z=18" TargetMode="External"/><Relationship Id="rId57" Type="http://schemas.openxmlformats.org/officeDocument/2006/relationships/hyperlink" Target="https://www.google.com/maps/d/viewer?mid=1hvbKFMO-d5TXrKGU-g5dt_xcdArB1D0&amp;ll=34.71147784120261%2C-92.40574350000001&amp;z=17" TargetMode="External"/><Relationship Id="rId262" Type="http://schemas.openxmlformats.org/officeDocument/2006/relationships/hyperlink" Target="https://www.google.com/maps/d/viewer?mid=1hvbKFMO-d5TXrKGU-g5dt_xcdArB1D0&amp;ll=34.71147784120261%2C-92.40574350000001&amp;z=17" TargetMode="External"/><Relationship Id="rId567" Type="http://schemas.openxmlformats.org/officeDocument/2006/relationships/hyperlink" Target="https://www.google.com/maps/d/viewer?hl=es&amp;mid=1C1oZdjH3dNvCvqdpIv_Lk0Yn1OCVn-4&amp;ll=38.965368114274455%2C-92.3405954&amp;z=15" TargetMode="External"/><Relationship Id="rId122" Type="http://schemas.openxmlformats.org/officeDocument/2006/relationships/hyperlink" Target="https://www.google.com/maps/d/viewer?mid=1AyViBuyeq7iwDua1SVudJ2A1BYi3IBA&amp;ll=27.38181516363982%2C-80.32568845000002&amp;z=18" TargetMode="External"/><Relationship Id="rId774" Type="http://schemas.openxmlformats.org/officeDocument/2006/relationships/hyperlink" Target="https://www.google.com/maps/d/edit?hl=es&amp;mid=1uPmsRMsXnp74hPFW2t-sp2totVWF_xY&amp;ll=32.83050137713022%2C-96.83197783061323&amp;z=17" TargetMode="External"/><Relationship Id="rId981" Type="http://schemas.openxmlformats.org/officeDocument/2006/relationships/hyperlink" Target="https://www.google.com/maps/d/viewer?mid=1hvbKFMO-d5TXrKGU-g5dt_xcdArB1D0&amp;ll=34.71147784120261%2C-92.40574350000001&amp;z=17" TargetMode="External"/><Relationship Id="rId1057" Type="http://schemas.openxmlformats.org/officeDocument/2006/relationships/hyperlink" Target="https://www.google.com/maps/d/viewer?mid=1gN2lJ0iT7m5VNhD7aDcxE8AdXqtcOZc&amp;ll=40.396096737592195%2C-104.746842&amp;z=16" TargetMode="External"/><Relationship Id="rId427" Type="http://schemas.openxmlformats.org/officeDocument/2006/relationships/hyperlink" Target="https://www.google.com/maps/d/viewer?mid=1hvbKFMO-d5TXrKGU-g5dt_xcdArB1D0&amp;ll=34.71147784120261%2C-92.40574350000001&amp;z=17" TargetMode="External"/><Relationship Id="rId634" Type="http://schemas.openxmlformats.org/officeDocument/2006/relationships/hyperlink" Target="https://www.google.com/maps/d/edit?hl=en&amp;mid=1UHmt7tH1ihTa85i0MfQIcTfVvIQg_vM&amp;ll=41.024187580466844%2C-73.63702405370861&amp;z=18" TargetMode="External"/><Relationship Id="rId841" Type="http://schemas.openxmlformats.org/officeDocument/2006/relationships/hyperlink" Target="https://www.google.com/maps/d/viewer?mid=1ejOzT7-x6RWnCf83BBP7XhiOiwEX3Wk&amp;ll=36.061264791292906%2C-79.87437695000003&amp;z=17" TargetMode="External"/><Relationship Id="rId273" Type="http://schemas.openxmlformats.org/officeDocument/2006/relationships/hyperlink" Target="https://www.google.com/maps/d/viewer?hl=es&amp;mid=1C1oZdjH3dNvCvqdpIv_Lk0Yn1OCVn-4&amp;ll=38.965368114274455%2C-92.3405954&amp;z=15" TargetMode="External"/><Relationship Id="rId480" Type="http://schemas.openxmlformats.org/officeDocument/2006/relationships/hyperlink" Target="https://www.google.com/maps/d/viewer?mid=1hvbKFMO-d5TXrKGU-g5dt_xcdArB1D0&amp;ll=34.71147784120261%2C-92.40574350000001&amp;z=17" TargetMode="External"/><Relationship Id="rId701" Type="http://schemas.openxmlformats.org/officeDocument/2006/relationships/hyperlink" Target="https://www.google.com/maps/d/edit?hl=es&amp;mid=1uPmsRMsXnp74hPFW2t-sp2totVWF_xY&amp;ll=32.83050137713022%2C-96.83197783061323&amp;z=17" TargetMode="External"/><Relationship Id="rId939" Type="http://schemas.openxmlformats.org/officeDocument/2006/relationships/hyperlink" Target="https://www.google.com/maps/d/viewer?mid=1ebZp8DeTYSXNPgDIA63nFVDu9ohaO4E&amp;ll=41.08027837958441%2C-73.46597874999999&amp;z=15" TargetMode="External"/><Relationship Id="rId68" Type="http://schemas.openxmlformats.org/officeDocument/2006/relationships/hyperlink" Target="https://www.google.com/maps/d/viewer?mid=1ot0ILX76JMuvd9yMuqkb4_e0yH1n7TA&amp;ll=45.07815812965141%2C-93.33506855000002&amp;z=17" TargetMode="External"/><Relationship Id="rId133" Type="http://schemas.openxmlformats.org/officeDocument/2006/relationships/hyperlink" Target="https://www.google.com/maps/d/viewer?mid=1AyViBuyeq7iwDua1SVudJ2A1BYi3IBA&amp;ll=27.38181516363982%2C-80.32568845000002&amp;z=18" TargetMode="External"/><Relationship Id="rId340" Type="http://schemas.openxmlformats.org/officeDocument/2006/relationships/hyperlink" Target="https://www.google.com/maps/d/viewer?mid=1ubI2iKs1JyYXssuT4oLPnVvFnyLPi_s&amp;ll=40.878808846788026%2C-73.98560655&amp;z=17" TargetMode="External"/><Relationship Id="rId578" Type="http://schemas.openxmlformats.org/officeDocument/2006/relationships/hyperlink" Target="https://www.google.com/maps/d/viewer?mid=1ejOzT7-x6RWnCf83BBP7XhiOiwEX3Wk&amp;ll=36.061264791292906%2C-79.87437695000003&amp;z=17" TargetMode="External"/><Relationship Id="rId785" Type="http://schemas.openxmlformats.org/officeDocument/2006/relationships/hyperlink" Target="https://www.google.com/maps/d/edit?hl=es&amp;mid=1uPmsRMsXnp74hPFW2t-sp2totVWF_xY&amp;ll=32.83050137713022%2C-96.83197783061323&amp;z=17" TargetMode="External"/><Relationship Id="rId992" Type="http://schemas.openxmlformats.org/officeDocument/2006/relationships/hyperlink" Target="https://www.google.com/maps/d/viewer?mid=1ejOzT7-x6RWnCf83BBP7XhiOiwEX3Wk&amp;ll=36.061264791292906%2C-79.87437695000003&amp;z=17" TargetMode="External"/><Relationship Id="rId200" Type="http://schemas.openxmlformats.org/officeDocument/2006/relationships/hyperlink" Target="https://www.google.com/maps/d/viewer?mid=1ejOzT7-x6RWnCf83BBP7XhiOiwEX3Wk&amp;ll=36.061264791292906%2C-79.87437695000003&amp;z=17" TargetMode="External"/><Relationship Id="rId438" Type="http://schemas.openxmlformats.org/officeDocument/2006/relationships/hyperlink" Target="https://www.google.com/maps/d/viewer?hl=es&amp;mid=1C1oZdjH3dNvCvqdpIv_Lk0Yn1OCVn-4&amp;ll=38.965368114274455%2C-92.3405954&amp;z=15" TargetMode="External"/><Relationship Id="rId645" Type="http://schemas.openxmlformats.org/officeDocument/2006/relationships/hyperlink" Target="https://www.google.com/maps/d/edit?hl=en&amp;mid=1UHmt7tH1ihTa85i0MfQIcTfVvIQg_vM&amp;ll=41.024187580466844%2C-73.63702405370861&amp;z=18" TargetMode="External"/><Relationship Id="rId852" Type="http://schemas.openxmlformats.org/officeDocument/2006/relationships/hyperlink" Target="https://www.google.com/maps/d/edit?mid=18OEO_KbvYcgI3N1jE4gTMXfNHTNDrFU&amp;ll=32.66603989958274%2C-97.42021198201722&amp;z=18" TargetMode="External"/><Relationship Id="rId284" Type="http://schemas.openxmlformats.org/officeDocument/2006/relationships/hyperlink" Target="https://www.google.com/maps/d/viewer?mid=1whGZ1PLqmhJnGFz8uigZqUL4cHGGW3w&amp;ll=38.668847686454825%2C-90.4433601&amp;z=17" TargetMode="External"/><Relationship Id="rId491" Type="http://schemas.openxmlformats.org/officeDocument/2006/relationships/hyperlink" Target="https://www.google.com/maps/d/viewer?hl=es&amp;mid=1C1oZdjH3dNvCvqdpIv_Lk0Yn1OCVn-4&amp;ll=38.965368114274455%2C-92.3405954&amp;z=15" TargetMode="External"/><Relationship Id="rId505" Type="http://schemas.openxmlformats.org/officeDocument/2006/relationships/hyperlink" Target="https://www.google.com/maps/d/viewer?mid=1FEo41PzFJQjUIXXKitX5TNCtuqR6Vbs&amp;ll=41.1663376742533%2C-73.22955662049608&amp;z=16" TargetMode="External"/><Relationship Id="rId712" Type="http://schemas.openxmlformats.org/officeDocument/2006/relationships/hyperlink" Target="https://www.google.com/maps/d/edit?hl=es&amp;mid=1uPmsRMsXnp74hPFW2t-sp2totVWF_xY&amp;ll=32.83050137713022%2C-96.83197783061323&amp;z=17" TargetMode="External"/><Relationship Id="rId79" Type="http://schemas.openxmlformats.org/officeDocument/2006/relationships/hyperlink" Target="https://www.google.com/maps/d/viewer?hl=es&amp;mid=1C1oZdjH3dNvCvqdpIv_Lk0Yn1OCVn-4&amp;ll=38.965368114274426%2C-92.3405954&amp;z=15" TargetMode="External"/><Relationship Id="rId144" Type="http://schemas.openxmlformats.org/officeDocument/2006/relationships/hyperlink" Target="https://www.google.com/maps/d/viewer?mid=1ejOzT7-x6RWnCf83BBP7XhiOiwEX3Wk&amp;ll=0%2C0&amp;z=17" TargetMode="External"/><Relationship Id="rId589" Type="http://schemas.openxmlformats.org/officeDocument/2006/relationships/hyperlink" Target="https://www.google.com/maps/d/viewer?mid=1wg5suxVuxeNp_irHlvN772HcwD6W89E&amp;ll=33.06373951220261%2C-96.82758025000001&amp;z=18" TargetMode="External"/><Relationship Id="rId796" Type="http://schemas.openxmlformats.org/officeDocument/2006/relationships/hyperlink" Target="https://www.google.com/maps/d/edit?mid=18OEO_KbvYcgI3N1jE4gTMXfNHTNDrFU&amp;ll=32.66603989958274%2C-97.42021198201722&amp;z=18" TargetMode="External"/><Relationship Id="rId351" Type="http://schemas.openxmlformats.org/officeDocument/2006/relationships/hyperlink" Target="https://www.google.com/maps/d/viewer?hl=es&amp;mid=1C1oZdjH3dNvCvqdpIv_Lk0Yn1OCVn-4&amp;ll=38.965368114274455%2C-92.3405954&amp;z=15" TargetMode="External"/><Relationship Id="rId449" Type="http://schemas.openxmlformats.org/officeDocument/2006/relationships/hyperlink" Target="https://www.google.com/maps/d/viewer?mid=1ebZp8DeTYSXNPgDIA63nFVDu9ohaO4E&amp;ll=41.08027837958441%2C-73.46597874999999&amp;z=15" TargetMode="External"/><Relationship Id="rId656" Type="http://schemas.openxmlformats.org/officeDocument/2006/relationships/hyperlink" Target="https://www.google.com/maps/d/edit?hl=es&amp;mid=1uPmsRMsXnp74hPFW2t-sp2totVWF_xY&amp;ll=32.83050137713022%2C-96.83197783061323&amp;z=17" TargetMode="External"/><Relationship Id="rId863" Type="http://schemas.openxmlformats.org/officeDocument/2006/relationships/hyperlink" Target="https://www.google.com/maps/d/viewer?mid=1ebZp8DeTYSXNPgDIA63nFVDu9ohaO4E&amp;ll=41.08027837958441%2C-73.46597874999999&amp;z=15" TargetMode="External"/><Relationship Id="rId211" Type="http://schemas.openxmlformats.org/officeDocument/2006/relationships/hyperlink" Target="https://www.google.com/maps/d/viewer?mid=1ot0ILX76JMuvd9yMuqkb4_e0yH1n7TA&amp;ll=45.07815812965141%2C-93.33506855000002&amp;z=17" TargetMode="External"/><Relationship Id="rId295" Type="http://schemas.openxmlformats.org/officeDocument/2006/relationships/hyperlink" Target="https://www.google.com/maps/d/viewer?hl=es&amp;mid=1C1oZdjH3dNvCvqdpIv_Lk0Yn1OCVn-4&amp;ll=38.965368114274455%2C-92.3405954&amp;z=15" TargetMode="External"/><Relationship Id="rId309" Type="http://schemas.openxmlformats.org/officeDocument/2006/relationships/hyperlink" Target="https://www.google.com/maps/d/viewer?mid=1ejOzT7-x6RWnCf83BBP7XhiOiwEX3Wk&amp;ll=36.061264791292906%2C-79.87437695000003&amp;z=17" TargetMode="External"/><Relationship Id="rId516" Type="http://schemas.openxmlformats.org/officeDocument/2006/relationships/hyperlink" Target="https://www.google.com/maps/d/viewer?hl=es&amp;mid=1C1oZdjH3dNvCvqdpIv_Lk0Yn1OCVn-4&amp;ll=38.965368114274455%2C-92.3405954&amp;z=15" TargetMode="External"/><Relationship Id="rId723" Type="http://schemas.openxmlformats.org/officeDocument/2006/relationships/hyperlink" Target="https://www.google.com/maps/d/edit?hl=es&amp;mid=1uPmsRMsXnp74hPFW2t-sp2totVWF_xY&amp;ll=32.83050137713022%2C-96.83197783061323&amp;z=17" TargetMode="External"/><Relationship Id="rId930" Type="http://schemas.openxmlformats.org/officeDocument/2006/relationships/hyperlink" Target="https://www.google.com/maps/d/viewer?mid=1bDs0QGFZwL3vEeGKxjVMk_j4azr0-lg&amp;ll=33.4593758581648%2C-112.28793780000001&amp;z=18" TargetMode="External"/><Relationship Id="rId1006" Type="http://schemas.openxmlformats.org/officeDocument/2006/relationships/hyperlink" Target="https://www.google.com/maps/d/viewer?mid=1gN2lJ0iT7m5VNhD7aDcxE8AdXqtcOZc&amp;ll=40.396096737592195%2C-104.746842&amp;z=16" TargetMode="External"/><Relationship Id="rId155" Type="http://schemas.openxmlformats.org/officeDocument/2006/relationships/hyperlink" Target="https://www.google.com/maps/d/viewer?mid=1ejOzT7-x6RWnCf83BBP7XhiOiwEX3Wk&amp;ll=36.061264791292906%2C-79.87437695000003&amp;z=17" TargetMode="External"/><Relationship Id="rId362" Type="http://schemas.openxmlformats.org/officeDocument/2006/relationships/hyperlink" Target="https://www.google.com/maps/d/viewer?mid=1ejOzT7-x6RWnCf83BBP7XhiOiwEX3Wk&amp;ll=36.061264791292906%2C-79.87437695000003&amp;z=17" TargetMode="External"/><Relationship Id="rId222" Type="http://schemas.openxmlformats.org/officeDocument/2006/relationships/hyperlink" Target="https://www.google.com/maps/d/viewer?mid=1ejOzT7-x6RWnCf83BBP7XhiOiwEX3Wk&amp;ll=36.061264791292906%2C-79.87437695000003&amp;z=17" TargetMode="External"/><Relationship Id="rId667" Type="http://schemas.openxmlformats.org/officeDocument/2006/relationships/hyperlink" Target="https://www.google.com/maps/d/edit?hl=es&amp;mid=1uPmsRMsXnp74hPFW2t-sp2totVWF_xY&amp;ll=32.83050137713022%2C-96.83197783061323&amp;z=17" TargetMode="External"/><Relationship Id="rId874" Type="http://schemas.openxmlformats.org/officeDocument/2006/relationships/hyperlink" Target="https://www.google.com/maps/d/viewer?mid=1ejOzT7-x6RWnCf83BBP7XhiOiwEX3Wk&amp;ll=36.061264791292906%2C-79.87437695000003&amp;z=17" TargetMode="External"/><Relationship Id="rId17" Type="http://schemas.openxmlformats.org/officeDocument/2006/relationships/hyperlink" Target="https://www.google.com/maps/d/viewer?mid=1ebZp8DeTYSXNPgDIA63nFVDu9ohaO4E&amp;ll=41.08027837958441%2C-73.46597874999999&amp;z=15" TargetMode="External"/><Relationship Id="rId527" Type="http://schemas.openxmlformats.org/officeDocument/2006/relationships/hyperlink" Target="https://www.google.com/maps/d/viewer?mid=1ejOzT7-x6RWnCf83BBP7XhiOiwEX3Wk&amp;ll=36.061264791292906%2C-79.87437695000003&amp;z=17" TargetMode="External"/><Relationship Id="rId734" Type="http://schemas.openxmlformats.org/officeDocument/2006/relationships/hyperlink" Target="https://www.google.com/maps/d/edit?hl=es&amp;mid=1uPmsRMsXnp74hPFW2t-sp2totVWF_xY&amp;ll=32.83050137713022%2C-96.83197783061323&amp;z=17" TargetMode="External"/><Relationship Id="rId941" Type="http://schemas.openxmlformats.org/officeDocument/2006/relationships/hyperlink" Target="https://www.google.com/maps/d/viewer?mid=1hvbKFMO-d5TXrKGU-g5dt_xcdArB1D0&amp;ll=34.71147784120261%2C-92.40574350000001&amp;z=17" TargetMode="External"/><Relationship Id="rId70" Type="http://schemas.openxmlformats.org/officeDocument/2006/relationships/hyperlink" Target="https://www.google.com/maps/d/viewer?mid=1bDs0QGFZwL3vEeGKxjVMk_j4azr0-lg&amp;ll=33.4593758581648%2C-112.28793780000001&amp;z=18" TargetMode="External"/><Relationship Id="rId166" Type="http://schemas.openxmlformats.org/officeDocument/2006/relationships/hyperlink" Target="https://www.google.com/maps/d/viewer?mid=1whGZ1PLqmhJnGFz8uigZqUL4cHGGW3w&amp;ll=38.668847686454825%2C-90.4433601&amp;z=17" TargetMode="External"/><Relationship Id="rId373" Type="http://schemas.openxmlformats.org/officeDocument/2006/relationships/hyperlink" Target="https://www.google.com/maps/d/viewer?mid=1hvbKFMO-d5TXrKGU-g5dt_xcdArB1D0&amp;ll=34.71147784120261%2C-92.40574350000001&amp;z=17" TargetMode="External"/><Relationship Id="rId580" Type="http://schemas.openxmlformats.org/officeDocument/2006/relationships/hyperlink" Target="https://www.google.com/maps/d/viewer?mid=1ejOzT7-x6RWnCf83BBP7XhiOiwEX3Wk&amp;ll=36.061264791292906%2C-79.87437695000003&amp;z=17" TargetMode="External"/><Relationship Id="rId801" Type="http://schemas.openxmlformats.org/officeDocument/2006/relationships/hyperlink" Target="https://www.google.com/maps/d/edit?mid=18OEO_KbvYcgI3N1jE4gTMXfNHTNDrFU&amp;ll=32.66603989958274%2C-97.42021198201722&amp;z=18" TargetMode="External"/><Relationship Id="rId1017" Type="http://schemas.openxmlformats.org/officeDocument/2006/relationships/hyperlink" Target="https://www.google.com/maps/d/viewer?mid=1gN2lJ0iT7m5VNhD7aDcxE8AdXqtcOZc&amp;ll=40.396096737592195%2C-104.746842&amp;z=16" TargetMode="External"/><Relationship Id="rId1" Type="http://schemas.openxmlformats.org/officeDocument/2006/relationships/hyperlink" Target="https://www.google.com/maps/d/viewer?mid=1NUHnuuvX1Qqxq7v0ZyiWm0dkOdpyVTU&amp;ll=30.069943866204238%2C-95.43812890000001&amp;z=18" TargetMode="External"/><Relationship Id="rId233" Type="http://schemas.openxmlformats.org/officeDocument/2006/relationships/hyperlink" Target="https://www.google.com/maps/d/viewer?mid=1FEo41PzFJQjUIXXKitX5TNCtuqR6Vbs&amp;ll=41.1663376742533%2C-73.22955662049608&amp;z=16" TargetMode="External"/><Relationship Id="rId440" Type="http://schemas.openxmlformats.org/officeDocument/2006/relationships/hyperlink" Target="https://www.google.com/maps/d/viewer?mid=1AyViBuyeq7iwDua1SVudJ2A1BYi3IBA&amp;ll=27.38181516363982%2C-80.32568845000002&amp;z=18" TargetMode="External"/><Relationship Id="rId678" Type="http://schemas.openxmlformats.org/officeDocument/2006/relationships/hyperlink" Target="https://www.google.com/maps/d/edit?hl=es&amp;mid=1uPmsRMsXnp74hPFW2t-sp2totVWF_xY&amp;ll=32.83050137713022%2C-96.83197783061323&amp;z=17" TargetMode="External"/><Relationship Id="rId885" Type="http://schemas.openxmlformats.org/officeDocument/2006/relationships/hyperlink" Target="https://www.google.com/maps/d/edit?hl=es&amp;mid=1uPmsRMsXnp74hPFW2t-sp2totVWF_xY&amp;ll=32.83050137713022%2C-96.83197783061323&amp;z=17" TargetMode="External"/><Relationship Id="rId28" Type="http://schemas.openxmlformats.org/officeDocument/2006/relationships/hyperlink" Target="https://www.google.com/maps/d/viewer?mid=1FEo41PzFJQjUIXXKitX5TNCtuqR6Vbs&amp;ll=41.1663376742533%2C-73.22955662049608&amp;z=16" TargetMode="External"/><Relationship Id="rId300" Type="http://schemas.openxmlformats.org/officeDocument/2006/relationships/hyperlink" Target="https://www.google.com/maps/d/viewer?hl=es&amp;mid=1C1oZdjH3dNvCvqdpIv_Lk0Yn1OCVn-4&amp;ll=38.965368114274455%2C-92.3405954&amp;z=15" TargetMode="External"/><Relationship Id="rId538" Type="http://schemas.openxmlformats.org/officeDocument/2006/relationships/hyperlink" Target="https://www.google.com/maps/d/viewer?hl=es&amp;mid=1C1oZdjH3dNvCvqdpIv_Lk0Yn1OCVn-4&amp;ll=38.965368114274426%2C-92.3405954&amp;z=15" TargetMode="External"/><Relationship Id="rId745" Type="http://schemas.openxmlformats.org/officeDocument/2006/relationships/hyperlink" Target="https://www.google.com/maps/d/edit?hl=es&amp;mid=1uPmsRMsXnp74hPFW2t-sp2totVWF_xY&amp;ll=32.83050137713022%2C-96.83197783061323&amp;z=17" TargetMode="External"/><Relationship Id="rId952" Type="http://schemas.openxmlformats.org/officeDocument/2006/relationships/hyperlink" Target="https://www.google.com/maps/d/viewer?mid=1AyViBuyeq7iwDua1SVudJ2A1BYi3IBA&amp;ll=27.38181516363982%2C-80.32568845000002&amp;z=18" TargetMode="External"/><Relationship Id="rId81" Type="http://schemas.openxmlformats.org/officeDocument/2006/relationships/hyperlink" Target="https://www.google.com/maps/d/viewer?hl=es&amp;mid=1C1oZdjH3dNvCvqdpIv_Lk0Yn1OCVn-4&amp;ll=38.965368114274426%2C-92.3405954&amp;z=15" TargetMode="External"/><Relationship Id="rId177" Type="http://schemas.openxmlformats.org/officeDocument/2006/relationships/hyperlink" Target="https://www.google.com/maps/d/viewer?mid=1ubI2iKs1JyYXssuT4oLPnVvFnyLPi_s&amp;ll=40.878808846788026%2C-73.98560655&amp;z=17" TargetMode="External"/><Relationship Id="rId384" Type="http://schemas.openxmlformats.org/officeDocument/2006/relationships/hyperlink" Target="https://www.google.com/maps/d/viewer?hl=es&amp;mid=1C1oZdjH3dNvCvqdpIv_Lk0Yn1OCVn-4&amp;ll=38.965368114274455%2C-92.3405954&amp;z=15" TargetMode="External"/><Relationship Id="rId591" Type="http://schemas.openxmlformats.org/officeDocument/2006/relationships/hyperlink" Target="https://www.google.com/maps/d/viewer?mid=1wg5suxVuxeNp_irHlvN772HcwD6W89E&amp;ll=33.06373951220261%2C-96.82758025000001&amp;z=18" TargetMode="External"/><Relationship Id="rId605" Type="http://schemas.openxmlformats.org/officeDocument/2006/relationships/hyperlink" Target="https://www.google.com/maps/d/viewer?mid=1wg5suxVuxeNp_irHlvN772HcwD6W89E&amp;ll=33.06373951220261%2C-96.82758025000001&amp;z=18" TargetMode="External"/><Relationship Id="rId812" Type="http://schemas.openxmlformats.org/officeDocument/2006/relationships/hyperlink" Target="https://www.google.com/maps/d/edit?mid=18OEO_KbvYcgI3N1jE4gTMXfNHTNDrFU&amp;ll=32.66603989958274%2C-97.42021198201722&amp;z=18" TargetMode="External"/><Relationship Id="rId1028" Type="http://schemas.openxmlformats.org/officeDocument/2006/relationships/hyperlink" Target="https://www.google.com/maps/d/viewer?mid=1gN2lJ0iT7m5VNhD7aDcxE8AdXqtcOZc&amp;ll=40.396096737592195%2C-104.746842&amp;z=16" TargetMode="External"/><Relationship Id="rId244" Type="http://schemas.openxmlformats.org/officeDocument/2006/relationships/hyperlink" Target="https://www.google.com/maps/d/viewer?hl=es&amp;mid=1C1oZdjH3dNvCvqdpIv_Lk0Yn1OCVn-4&amp;ll=38.965368114274455%2C-92.3405954&amp;z=15" TargetMode="External"/><Relationship Id="rId689" Type="http://schemas.openxmlformats.org/officeDocument/2006/relationships/hyperlink" Target="https://www.google.com/maps/d/edit?hl=es&amp;mid=1uPmsRMsXnp74hPFW2t-sp2totVWF_xY&amp;ll=32.83050137713022%2C-96.83197783061323&amp;z=17" TargetMode="External"/><Relationship Id="rId896" Type="http://schemas.openxmlformats.org/officeDocument/2006/relationships/hyperlink" Target="https://www.google.com/maps/d/edit?hl=en&amp;mid=1UHmt7tH1ihTa85i0MfQIcTfVvIQg_vM&amp;ll=41.024187580466844%2C-73.63702405370861&amp;z=18" TargetMode="External"/><Relationship Id="rId39" Type="http://schemas.openxmlformats.org/officeDocument/2006/relationships/hyperlink" Target="https://www.google.com/maps/d/viewer?mid=1FEo41PzFJQjUIXXKitX5TNCtuqR6Vbs&amp;ll=41.1663376742533%2C-73.22955662049608&amp;z=16" TargetMode="External"/><Relationship Id="rId451" Type="http://schemas.openxmlformats.org/officeDocument/2006/relationships/hyperlink" Target="https://www.google.com/maps/d/viewer?mid=1FEo41PzFJQjUIXXKitX5TNCtuqR6Vbs&amp;ll=41.1663376742533%2C-73.22955662049608&amp;z=16" TargetMode="External"/><Relationship Id="rId549" Type="http://schemas.openxmlformats.org/officeDocument/2006/relationships/hyperlink" Target="https://www.google.com/maps/d/viewer?mid=1AyViBuyeq7iwDua1SVudJ2A1BYi3IBA&amp;ll=27.38181516363982%2C-80.32568845000002&amp;z=18" TargetMode="External"/><Relationship Id="rId756" Type="http://schemas.openxmlformats.org/officeDocument/2006/relationships/hyperlink" Target="https://www.google.com/maps/d/edit?hl=es&amp;mid=1uPmsRMsXnp74hPFW2t-sp2totVWF_xY&amp;ll=32.83050137713022%2C-96.83197783061323&amp;z=17" TargetMode="External"/><Relationship Id="rId104" Type="http://schemas.openxmlformats.org/officeDocument/2006/relationships/hyperlink" Target="https://www.google.com/maps/d/viewer?hl=es&amp;mid=1C1oZdjH3dNvCvqdpIv_Lk0Yn1OCVn-4&amp;ll=38.965368114274455%2C-92.3405954&amp;z=15" TargetMode="External"/><Relationship Id="rId188" Type="http://schemas.openxmlformats.org/officeDocument/2006/relationships/hyperlink" Target="https://www.google.com/maps/d/viewer?hl=es&amp;mid=1C1oZdjH3dNvCvqdpIv_Lk0Yn1OCVn-4&amp;ll=38.965368114274455%2C-92.3405954&amp;z=15" TargetMode="External"/><Relationship Id="rId311" Type="http://schemas.openxmlformats.org/officeDocument/2006/relationships/hyperlink" Target="https://www.google.com/maps/d/viewer?mid=1whGZ1PLqmhJnGFz8uigZqUL4cHGGW3w&amp;ll=38.668847686454825%2C-90.4433601&amp;z=17" TargetMode="External"/><Relationship Id="rId395" Type="http://schemas.openxmlformats.org/officeDocument/2006/relationships/hyperlink" Target="https://www.google.com/maps/d/viewer?mid=1ebZp8DeTYSXNPgDIA63nFVDu9ohaO4E&amp;ll=41.08027837958441%2C-73.46597874999999&amp;z=15" TargetMode="External"/><Relationship Id="rId409" Type="http://schemas.openxmlformats.org/officeDocument/2006/relationships/hyperlink" Target="https://www.google.com/maps/d/viewer?hl=es&amp;mid=1C1oZdjH3dNvCvqdpIv_Lk0Yn1OCVn-4&amp;ll=38.965368114274455%2C-92.3405954&amp;z=15" TargetMode="External"/><Relationship Id="rId963" Type="http://schemas.openxmlformats.org/officeDocument/2006/relationships/hyperlink" Target="https://www.google.com/maps/d/edit?hl=es&amp;mid=1uPmsRMsXnp74hPFW2t-sp2totVWF_xY&amp;ll=32.83050137713022%2C-96.83197783061323&amp;z=17" TargetMode="External"/><Relationship Id="rId1039" Type="http://schemas.openxmlformats.org/officeDocument/2006/relationships/hyperlink" Target="https://www.google.com/maps/d/viewer?mid=1gN2lJ0iT7m5VNhD7aDcxE8AdXqtcOZc&amp;ll=40.396096737592195%2C-104.746842&amp;z=16" TargetMode="External"/><Relationship Id="rId92" Type="http://schemas.openxmlformats.org/officeDocument/2006/relationships/hyperlink" Target="https://www.google.com/maps/d/viewer?hl=es&amp;mid=1C1oZdjH3dNvCvqdpIv_Lk0Yn1OCVn-4&amp;ll=38.965368114274455%2C-92.3405954&amp;z=15" TargetMode="External"/><Relationship Id="rId616" Type="http://schemas.openxmlformats.org/officeDocument/2006/relationships/hyperlink" Target="https://www.google.com/maps/d/viewer?mid=1wg5suxVuxeNp_irHlvN772HcwD6W89E&amp;ll=33.06373951220261%2C-96.82758025000001&amp;z=18" TargetMode="External"/><Relationship Id="rId823" Type="http://schemas.openxmlformats.org/officeDocument/2006/relationships/hyperlink" Target="https://www.google.com/maps/d/edit?hl=es&amp;mid=1uPmsRMsXnp74hPFW2t-sp2totVWF_xY&amp;ll=32.83050137713022%2C-96.83197783061323&amp;z=17" TargetMode="External"/><Relationship Id="rId255" Type="http://schemas.openxmlformats.org/officeDocument/2006/relationships/hyperlink" Target="https://www.google.com/maps/d/viewer?mid=1ejOzT7-x6RWnCf83BBP7XhiOiwEX3Wk&amp;ll=36.061264791292906%2C-79.87437695000003&amp;z=17" TargetMode="External"/><Relationship Id="rId462" Type="http://schemas.openxmlformats.org/officeDocument/2006/relationships/hyperlink" Target="https://www.google.com/maps/d/viewer?hl=es&amp;mid=1C1oZdjH3dNvCvqdpIv_Lk0Yn1OCVn-4&amp;ll=38.965368114274455%2C-92.3405954&amp;z=15" TargetMode="External"/><Relationship Id="rId115" Type="http://schemas.openxmlformats.org/officeDocument/2006/relationships/hyperlink" Target="https://www.google.com/maps/d/viewer?mid=1ejOzT7-x6RWnCf83BBP7XhiOiwEX3Wk&amp;ll=36.061264791292906%2C-79.87437695000003&amp;z=17" TargetMode="External"/><Relationship Id="rId322" Type="http://schemas.openxmlformats.org/officeDocument/2006/relationships/hyperlink" Target="https://www.google.com/maps/d/viewer?hl=es&amp;mid=1C1oZdjH3dNvCvqdpIv_Lk0Yn1OCVn-4&amp;ll=38.965368114274455%2C-92.3405954&amp;z=15" TargetMode="External"/><Relationship Id="rId767" Type="http://schemas.openxmlformats.org/officeDocument/2006/relationships/hyperlink" Target="https://www.google.com/maps/d/edit?hl=es&amp;mid=1uPmsRMsXnp74hPFW2t-sp2totVWF_xY&amp;ll=32.83050137713022%2C-96.83197783061323&amp;z=17" TargetMode="External"/><Relationship Id="rId974" Type="http://schemas.openxmlformats.org/officeDocument/2006/relationships/hyperlink" Target="https://www.google.com/maps/d/viewer?hl=es&amp;mid=1C1oZdjH3dNvCvqdpIv_Lk0Yn1OCVn-4&amp;ll=38.965368114274455%2C-92.3405954&amp;z=15" TargetMode="External"/><Relationship Id="rId199" Type="http://schemas.openxmlformats.org/officeDocument/2006/relationships/hyperlink" Target="https://www.google.com/maps/d/viewer?mid=1ejOzT7-x6RWnCf83BBP7XhiOiwEX3Wk&amp;ll=36.061264791292906%2C-79.87437695000003&amp;z=17" TargetMode="External"/><Relationship Id="rId627" Type="http://schemas.openxmlformats.org/officeDocument/2006/relationships/hyperlink" Target="https://www.google.com/maps/d/edit?hl=es&amp;mid=1uPmsRMsXnp74hPFW2t-sp2totVWF_xY&amp;ll=32.83050137713022%2C-96.83197783061323&amp;z=17" TargetMode="External"/><Relationship Id="rId834" Type="http://schemas.openxmlformats.org/officeDocument/2006/relationships/hyperlink" Target="https://www.google.com/maps/d/viewer?hl=es&amp;mid=1C1oZdjH3dNvCvqdpIv_Lk0Yn1OCVn-4&amp;ll=38.965368114274455%2C-92.3405954&amp;z=15" TargetMode="External"/><Relationship Id="rId266" Type="http://schemas.openxmlformats.org/officeDocument/2006/relationships/hyperlink" Target="https://www.google.com/maps/d/viewer?mid=1bDs0QGFZwL3vEeGKxjVMk_j4azr0-lg&amp;ll=33.4593758581648%2C-112.28793780000001&amp;z=18" TargetMode="External"/><Relationship Id="rId473" Type="http://schemas.openxmlformats.org/officeDocument/2006/relationships/hyperlink" Target="https://www.google.com/maps/d/viewer?mid=1ejOzT7-x6RWnCf83BBP7XhiOiwEX3Wk&amp;ll=36.061264791292906%2C-79.87437695000003&amp;z=17" TargetMode="External"/><Relationship Id="rId680" Type="http://schemas.openxmlformats.org/officeDocument/2006/relationships/hyperlink" Target="https://www.google.com/maps/d/edit?hl=es&amp;mid=1uPmsRMsXnp74hPFW2t-sp2totVWF_xY&amp;ll=32.83050137713022%2C-96.83197783061323&amp;z=17" TargetMode="External"/><Relationship Id="rId901" Type="http://schemas.openxmlformats.org/officeDocument/2006/relationships/hyperlink" Target="https://www.google.com/maps/d/viewer?mid=1ebZp8DeTYSXNPgDIA63nFVDu9ohaO4E&amp;ll=41.08027837958441%2C-73.46597874999999&amp;z=15" TargetMode="External"/><Relationship Id="rId30" Type="http://schemas.openxmlformats.org/officeDocument/2006/relationships/hyperlink" Target="https://www.google.com/maps/d/viewer?mid=1FEo41PzFJQjUIXXKitX5TNCtuqR6Vbs&amp;ll=41.1663376742533%2C-73.22955662049608&amp;z=16" TargetMode="External"/><Relationship Id="rId126" Type="http://schemas.openxmlformats.org/officeDocument/2006/relationships/hyperlink" Target="https://www.google.com/maps/d/viewer?mid=1AyViBuyeq7iwDua1SVudJ2A1BYi3IBA&amp;ll=27.38181516363982%2C-80.32568845000002&amp;z=18" TargetMode="External"/><Relationship Id="rId333" Type="http://schemas.openxmlformats.org/officeDocument/2006/relationships/hyperlink" Target="https://www.google.com/maps/d/viewer?mid=1gN2lJ0iT7m5VNhD7aDcxE8AdXqtcOZc&amp;ll=40.396096737592195%2C-104.746842&amp;z=16" TargetMode="External"/><Relationship Id="rId540" Type="http://schemas.openxmlformats.org/officeDocument/2006/relationships/hyperlink" Target="https://www.google.com/maps/d/viewer?hl=es&amp;mid=1C1oZdjH3dNvCvqdpIv_Lk0Yn1OCVn-4&amp;ll=38.965368114274455%2C-92.3405954&amp;z=15" TargetMode="External"/><Relationship Id="rId778" Type="http://schemas.openxmlformats.org/officeDocument/2006/relationships/hyperlink" Target="https://www.google.com/maps/d/edit?hl=es&amp;mid=1uPmsRMsXnp74hPFW2t-sp2totVWF_xY&amp;ll=32.83050137713022%2C-96.83197783061323&amp;z=17" TargetMode="External"/><Relationship Id="rId985" Type="http://schemas.openxmlformats.org/officeDocument/2006/relationships/hyperlink" Target="https://www.google.com/maps/d/viewer?hl=es&amp;mid=1C1oZdjH3dNvCvqdpIv_Lk0Yn1OCVn-4&amp;ll=38.965368114274455%2C-92.3405954&amp;z=15" TargetMode="External"/><Relationship Id="rId638" Type="http://schemas.openxmlformats.org/officeDocument/2006/relationships/hyperlink" Target="https://www.google.com/maps/d/edit?hl=en&amp;mid=1UHmt7tH1ihTa85i0MfQIcTfVvIQg_vM&amp;ll=41.024187580466844%2C-73.63702405370861&amp;z=18" TargetMode="External"/><Relationship Id="rId845" Type="http://schemas.openxmlformats.org/officeDocument/2006/relationships/hyperlink" Target="https://www.google.com/maps/d/viewer?mid=1wg5suxVuxeNp_irHlvN772HcwD6W89E&amp;ll=33.06373951220261%2C-96.82758025000001&amp;z=18" TargetMode="External"/><Relationship Id="rId1030" Type="http://schemas.openxmlformats.org/officeDocument/2006/relationships/hyperlink" Target="https://www.google.com/maps/d/viewer?mid=1gN2lJ0iT7m5VNhD7aDcxE8AdXqtcOZc&amp;ll=40.396096737592195%2C-104.746842&amp;z=16" TargetMode="External"/><Relationship Id="rId277" Type="http://schemas.openxmlformats.org/officeDocument/2006/relationships/hyperlink" Target="https://www.google.com/maps/d/viewer?mid=1AyViBuyeq7iwDua1SVudJ2A1BYi3IBA&amp;ll=27.38181516363982%2C-80.32568845000002&amp;z=18" TargetMode="External"/><Relationship Id="rId400" Type="http://schemas.openxmlformats.org/officeDocument/2006/relationships/hyperlink" Target="https://www.google.com/maps/d/viewer?mid=1hvbKFMO-d5TXrKGU-g5dt_xcdArB1D0&amp;ll=34.71147784120261%2C-92.40574350000001&amp;z=17" TargetMode="External"/><Relationship Id="rId484" Type="http://schemas.openxmlformats.org/officeDocument/2006/relationships/hyperlink" Target="https://www.google.com/maps/d/viewer?hl=es&amp;mid=1C1oZdjH3dNvCvqdpIv_Lk0Yn1OCVn-4&amp;ll=38.965368114274426%2C-92.3405954&amp;z=15" TargetMode="External"/><Relationship Id="rId705" Type="http://schemas.openxmlformats.org/officeDocument/2006/relationships/hyperlink" Target="https://www.google.com/maps/d/edit?hl=es&amp;mid=1uPmsRMsXnp74hPFW2t-sp2totVWF_xY&amp;ll=32.83050137713022%2C-96.83197783061323&amp;z=17" TargetMode="External"/><Relationship Id="rId137" Type="http://schemas.openxmlformats.org/officeDocument/2006/relationships/hyperlink" Target="https://www.google.com/maps/d/viewer?mid=1whGZ1PLqmhJnGFz8uigZqUL4cHGGW3w&amp;ll=38.668847686454825%2C-90.4433601&amp;z=17" TargetMode="External"/><Relationship Id="rId344" Type="http://schemas.openxmlformats.org/officeDocument/2006/relationships/hyperlink" Target="https://www.google.com/maps/d/viewer?mid=1hvbKFMO-d5TXrKGU-g5dt_xcdArB1D0&amp;ll=34.71147784120261%2C-92.40574350000001&amp;z=17" TargetMode="External"/><Relationship Id="rId691" Type="http://schemas.openxmlformats.org/officeDocument/2006/relationships/hyperlink" Target="https://www.google.com/maps/d/edit?hl=es&amp;mid=1uPmsRMsXnp74hPFW2t-sp2totVWF_xY&amp;ll=32.83050137713022%2C-96.83197783061323&amp;z=17" TargetMode="External"/><Relationship Id="rId789" Type="http://schemas.openxmlformats.org/officeDocument/2006/relationships/hyperlink" Target="https://www.google.com/maps/d/edit?hl=es&amp;mid=1uPmsRMsXnp74hPFW2t-sp2totVWF_xY&amp;ll=32.83050137713022%2C-96.83197783061323&amp;z=17" TargetMode="External"/><Relationship Id="rId912" Type="http://schemas.openxmlformats.org/officeDocument/2006/relationships/hyperlink" Target="https://www.google.com/maps/d/viewer?mid=1ejOzT7-x6RWnCf83BBP7XhiOiwEX3Wk&amp;ll=36.061264791292906%2C-79.87437695000003&amp;z=17" TargetMode="External"/><Relationship Id="rId996" Type="http://schemas.openxmlformats.org/officeDocument/2006/relationships/hyperlink" Target="https://www.google.com/maps/d/viewer?mid=1whGZ1PLqmhJnGFz8uigZqUL4cHGGW3w&amp;ll=38.668847686454825%2C-90.4433601&amp;z=17" TargetMode="External"/><Relationship Id="rId41" Type="http://schemas.openxmlformats.org/officeDocument/2006/relationships/hyperlink" Target="https://www.google.com/maps/d/viewer?mid=1hvbKFMO-d5TXrKGU-g5dt_xcdArB1D0&amp;ll=34.71147784120261%2C-92.40574350000001&amp;z=17" TargetMode="External"/><Relationship Id="rId551" Type="http://schemas.openxmlformats.org/officeDocument/2006/relationships/hyperlink" Target="https://www.google.com/maps/d/viewer?mid=1ejOzT7-x6RWnCf83BBP7XhiOiwEX3Wk&amp;ll=36.061264791292906%2C-79.87437695000003&amp;z=17" TargetMode="External"/><Relationship Id="rId649" Type="http://schemas.openxmlformats.org/officeDocument/2006/relationships/hyperlink" Target="https://www.google.com/maps/d/edit?hl=es&amp;mid=1uPmsRMsXnp74hPFW2t-sp2totVWF_xY&amp;ll=32.83050137713022%2C-96.83197783061323&amp;z=17" TargetMode="External"/><Relationship Id="rId856" Type="http://schemas.openxmlformats.org/officeDocument/2006/relationships/hyperlink" Target="https://www.google.com/maps/d/viewer?mid=1ot0ILX76JMuvd9yMuqkb4_e0yH1n7TA&amp;ll=45.07815812965141%2C-93.33506855000002&amp;z=17" TargetMode="External"/><Relationship Id="rId190" Type="http://schemas.openxmlformats.org/officeDocument/2006/relationships/hyperlink" Target="https://www.google.com/maps/d/viewer?hl=es&amp;mid=1C1oZdjH3dNvCvqdpIv_Lk0Yn1OCVn-4&amp;ll=38.965368114274455%2C-92.3405954&amp;z=15" TargetMode="External"/><Relationship Id="rId204" Type="http://schemas.openxmlformats.org/officeDocument/2006/relationships/hyperlink" Target="https://www.google.com/maps/d/viewer?mid=1ubI2iKs1JyYXssuT4oLPnVvFnyLPi_s&amp;ll=40.878808846788026%2C-73.98560655&amp;z=17" TargetMode="External"/><Relationship Id="rId288" Type="http://schemas.openxmlformats.org/officeDocument/2006/relationships/hyperlink" Target="https://www.google.com/maps/d/viewer?mid=1FEo41PzFJQjUIXXKitX5TNCtuqR6Vbs&amp;ll=41.1663376742533%2C-73.22955662049608&amp;z=16" TargetMode="External"/><Relationship Id="rId411" Type="http://schemas.openxmlformats.org/officeDocument/2006/relationships/hyperlink" Target="https://www.google.com/maps/d/viewer?hl=es&amp;mid=1C1oZdjH3dNvCvqdpIv_Lk0Yn1OCVn-4&amp;ll=38.965368114274455%2C-92.3405954&amp;z=15" TargetMode="External"/><Relationship Id="rId509" Type="http://schemas.openxmlformats.org/officeDocument/2006/relationships/hyperlink" Target="https://www.google.com/maps/d/viewer?mid=1ot0ILX76JMuvd9yMuqkb4_e0yH1n7TA&amp;ll=45.07815812965141%2C-93.33506855000002&amp;z=17" TargetMode="External"/><Relationship Id="rId1041" Type="http://schemas.openxmlformats.org/officeDocument/2006/relationships/hyperlink" Target="https://www.google.com/maps/d/viewer?mid=1gN2lJ0iT7m5VNhD7aDcxE8AdXqtcOZc&amp;ll=40.396096737592195%2C-104.746842&amp;z=16" TargetMode="External"/><Relationship Id="rId495" Type="http://schemas.openxmlformats.org/officeDocument/2006/relationships/hyperlink" Target="https://www.google.com/maps/d/viewer?mid=1AyViBuyeq7iwDua1SVudJ2A1BYi3IBA&amp;ll=27.38181516363982%2C-80.32568845000002&amp;z=18" TargetMode="External"/><Relationship Id="rId716" Type="http://schemas.openxmlformats.org/officeDocument/2006/relationships/hyperlink" Target="https://www.google.com/maps/d/edit?hl=es&amp;mid=1uPmsRMsXnp74hPFW2t-sp2totVWF_xY&amp;ll=32.83050137713022%2C-96.83197783061323&amp;z=17" TargetMode="External"/><Relationship Id="rId923" Type="http://schemas.openxmlformats.org/officeDocument/2006/relationships/hyperlink" Target="https://www.google.com/maps/d/edit?hl=es&amp;mid=1uPmsRMsXnp74hPFW2t-sp2totVWF_xY&amp;ll=32.83050137713022%2C-96.83197783061323&amp;z=17" TargetMode="External"/><Relationship Id="rId52" Type="http://schemas.openxmlformats.org/officeDocument/2006/relationships/hyperlink" Target="https://www.google.com/maps/d/viewer?mid=1hvbKFMO-d5TXrKGU-g5dt_xcdArB1D0&amp;ll=34.71147784120261%2C-92.40574350000001&amp;z=17" TargetMode="External"/><Relationship Id="rId148" Type="http://schemas.openxmlformats.org/officeDocument/2006/relationships/hyperlink" Target="https://www.google.com/maps/d/viewer?mid=1ejOzT7-x6RWnCf83BBP7XhiOiwEX3Wk&amp;ll=36.061264791292906%2C-79.87437695000003&amp;z=17" TargetMode="External"/><Relationship Id="rId355" Type="http://schemas.openxmlformats.org/officeDocument/2006/relationships/hyperlink" Target="https://www.google.com/maps/d/viewer?hl=es&amp;mid=1C1oZdjH3dNvCvqdpIv_Lk0Yn1OCVn-4&amp;ll=38.965368114274455%2C-92.3405954&amp;z=15" TargetMode="External"/><Relationship Id="rId562" Type="http://schemas.openxmlformats.org/officeDocument/2006/relationships/hyperlink" Target="https://www.google.com/maps/d/viewer?mid=1hvbKFMO-d5TXrKGU-g5dt_xcdArB1D0&amp;ll=34.71147784120261%2C-92.40574350000001&amp;z=17" TargetMode="External"/><Relationship Id="rId215" Type="http://schemas.openxmlformats.org/officeDocument/2006/relationships/hyperlink" Target="https://www.google.com/maps/d/viewer?hl=es&amp;mid=1C1oZdjH3dNvCvqdpIv_Lk0Yn1OCVn-4&amp;ll=38.965368114274455%2C-92.3405954&amp;z=15" TargetMode="External"/><Relationship Id="rId422" Type="http://schemas.openxmlformats.org/officeDocument/2006/relationships/hyperlink" Target="https://www.google.com/maps/d/viewer?mid=1ebZp8DeTYSXNPgDIA63nFVDu9ohaO4E&amp;ll=41.08027837958441%2C-73.46597874999999&amp;z=15" TargetMode="External"/><Relationship Id="rId867" Type="http://schemas.openxmlformats.org/officeDocument/2006/relationships/hyperlink" Target="https://www.google.com/maps/d/viewer?mid=1hvbKFMO-d5TXrKGU-g5dt_xcdArB1D0&amp;ll=34.71147784120261%2C-92.40574350000001&amp;z=17" TargetMode="External"/><Relationship Id="rId1052" Type="http://schemas.openxmlformats.org/officeDocument/2006/relationships/hyperlink" Target="https://www.google.com/maps/d/viewer?mid=1gN2lJ0iT7m5VNhD7aDcxE8AdXqtcOZc&amp;ll=40.396096737592195%2C-104.746842&amp;z=16" TargetMode="External"/><Relationship Id="rId299" Type="http://schemas.openxmlformats.org/officeDocument/2006/relationships/hyperlink" Target="https://www.google.com/maps/d/viewer?hl=es&amp;mid=1C1oZdjH3dNvCvqdpIv_Lk0Yn1OCVn-4&amp;ll=38.965368114274455%2C-92.3405954&amp;z=15" TargetMode="External"/><Relationship Id="rId727" Type="http://schemas.openxmlformats.org/officeDocument/2006/relationships/hyperlink" Target="https://www.google.com/maps/d/edit?hl=es&amp;mid=1uPmsRMsXnp74hPFW2t-sp2totVWF_xY&amp;ll=32.83050137713022%2C-96.83197783061323&amp;z=17" TargetMode="External"/><Relationship Id="rId934" Type="http://schemas.openxmlformats.org/officeDocument/2006/relationships/hyperlink" Target="https://www.google.com/maps/d/edit?hl=en&amp;mid=1UHmt7tH1ihTa85i0MfQIcTfVvIQg_vM&amp;ll=41.024187580466844%2C-73.63702405370861&amp;z=18" TargetMode="External"/><Relationship Id="rId63" Type="http://schemas.openxmlformats.org/officeDocument/2006/relationships/hyperlink" Target="https://www.google.com/maps/d/viewer?mid=1ot0ILX76JMuvd9yMuqkb4_e0yH1n7TA&amp;ll=45.07815812965141%2C-93.33506855000002&amp;z=17" TargetMode="External"/><Relationship Id="rId159" Type="http://schemas.openxmlformats.org/officeDocument/2006/relationships/hyperlink" Target="https://www.google.com/maps/d/viewer?mid=1ejOzT7-x6RWnCf83BBP7XhiOiwEX3Wk&amp;ll=36.061264791292906%2C-79.87437695000003&amp;z=17" TargetMode="External"/><Relationship Id="rId366" Type="http://schemas.openxmlformats.org/officeDocument/2006/relationships/hyperlink" Target="https://www.google.com/maps/d/viewer?mid=1whGZ1PLqmhJnGFz8uigZqUL4cHGGW3w&amp;ll=38.668847686454825%2C-90.4433601&amp;z=17" TargetMode="External"/><Relationship Id="rId573" Type="http://schemas.openxmlformats.org/officeDocument/2006/relationships/hyperlink" Target="https://www.google.com/maps/d/viewer?hl=es&amp;mid=1C1oZdjH3dNvCvqdpIv_Lk0Yn1OCVn-4&amp;ll=38.965368114274455%2C-92.3405954&amp;z=15" TargetMode="External"/><Relationship Id="rId780" Type="http://schemas.openxmlformats.org/officeDocument/2006/relationships/hyperlink" Target="https://www.google.com/maps/d/edit?hl=es&amp;mid=1uPmsRMsXnp74hPFW2t-sp2totVWF_xY&amp;ll=32.83050137713022%2C-96.83197783061323&amp;z=17" TargetMode="External"/><Relationship Id="rId226" Type="http://schemas.openxmlformats.org/officeDocument/2006/relationships/hyperlink" Target="https://www.google.com/maps/d/viewer?mid=1ejOzT7-x6RWnCf83BBP7XhiOiwEX3Wk&amp;ll=36.061264791292906%2C-79.87437695000003&amp;z=17" TargetMode="External"/><Relationship Id="rId433" Type="http://schemas.openxmlformats.org/officeDocument/2006/relationships/hyperlink" Target="https://www.google.com/maps/d/viewer?hl=es&amp;mid=1C1oZdjH3dNvCvqdpIv_Lk0Yn1OCVn-4&amp;ll=38.965368114274455%2C-92.3405954&amp;z=15" TargetMode="External"/><Relationship Id="rId878" Type="http://schemas.openxmlformats.org/officeDocument/2006/relationships/hyperlink" Target="https://www.google.com/maps/d/viewer?mid=1ejOzT7-x6RWnCf83BBP7XhiOiwEX3Wk&amp;ll=36.061264791292906%2C-79.87437695000003&amp;z=17" TargetMode="External"/><Relationship Id="rId640" Type="http://schemas.openxmlformats.org/officeDocument/2006/relationships/hyperlink" Target="https://www.google.com/maps/d/edit?hl=en&amp;mid=1UHmt7tH1ihTa85i0MfQIcTfVvIQg_vM&amp;ll=41.024187580466844%2C-73.63702405370861&amp;z=18" TargetMode="External"/><Relationship Id="rId738" Type="http://schemas.openxmlformats.org/officeDocument/2006/relationships/hyperlink" Target="https://www.google.com/maps/d/edit?hl=es&amp;mid=1uPmsRMsXnp74hPFW2t-sp2totVWF_xY&amp;ll=32.83050137713022%2C-96.83197783061323&amp;z=17" TargetMode="External"/><Relationship Id="rId945" Type="http://schemas.openxmlformats.org/officeDocument/2006/relationships/hyperlink" Target="https://www.google.com/maps/d/viewer?hl=es&amp;mid=1C1oZdjH3dNvCvqdpIv_Lk0Yn1OCVn-4&amp;ll=38.965368114274455%2C-92.3405954&amp;z=15" TargetMode="External"/><Relationship Id="rId74" Type="http://schemas.openxmlformats.org/officeDocument/2006/relationships/hyperlink" Target="https://www.google.com/maps/d/viewer?mid=1bDs0QGFZwL3vEeGKxjVMk_j4azr0-lg&amp;ll=33.4593758581648%2C-112.28793780000001&amp;z=18" TargetMode="External"/><Relationship Id="rId377" Type="http://schemas.openxmlformats.org/officeDocument/2006/relationships/hyperlink" Target="https://www.google.com/maps/d/viewer?hl=es&amp;mid=1C1oZdjH3dNvCvqdpIv_Lk0Yn1OCVn-4&amp;ll=38.965368114274455%2C-92.3405954&amp;z=15" TargetMode="External"/><Relationship Id="rId500" Type="http://schemas.openxmlformats.org/officeDocument/2006/relationships/hyperlink" Target="https://www.google.com/maps/d/viewer?mid=1ejOzT7-x6RWnCf83BBP7XhiOiwEX3Wk&amp;ll=36.061264791292906%2C-79.87437695000003&amp;z=17" TargetMode="External"/><Relationship Id="rId584" Type="http://schemas.openxmlformats.org/officeDocument/2006/relationships/hyperlink" Target="https://www.google.com/maps/d/viewer?mid=1wg5suxVuxeNp_irHlvN772HcwD6W89E&amp;ll=33.06373951220261%2C-96.82758025000001&amp;z=18" TargetMode="External"/><Relationship Id="rId805" Type="http://schemas.openxmlformats.org/officeDocument/2006/relationships/hyperlink" Target="https://www.google.com/maps/d/edit?mid=18OEO_KbvYcgI3N1jE4gTMXfNHTNDrFU&amp;ll=32.66603989958274%2C-97.42021198201722&amp;z=18" TargetMode="External"/><Relationship Id="rId5" Type="http://schemas.openxmlformats.org/officeDocument/2006/relationships/hyperlink" Target="https://www.google.com/maps/d/viewer?mid=1MXu7x9njhwvip9SpYfQXJGjJl8bloRw&amp;ll=26.70905771958712%2C-80.10167325&amp;z=17" TargetMode="External"/><Relationship Id="rId237" Type="http://schemas.openxmlformats.org/officeDocument/2006/relationships/hyperlink" Target="https://www.google.com/maps/d/viewer?mid=1hvbKFMO-d5TXrKGU-g5dt_xcdArB1D0&amp;ll=34.71147784120261%2C-92.40574350000001&amp;z=17" TargetMode="External"/><Relationship Id="rId791" Type="http://schemas.openxmlformats.org/officeDocument/2006/relationships/hyperlink" Target="https://www.google.com/maps/d/edit?hl=es&amp;mid=1uPmsRMsXnp74hPFW2t-sp2totVWF_xY&amp;ll=32.83050137713022%2C-96.83197783061323&amp;z=17" TargetMode="External"/><Relationship Id="rId889" Type="http://schemas.openxmlformats.org/officeDocument/2006/relationships/hyperlink" Target="https://www.google.com/maps/d/edit?hl=es&amp;mid=1uPmsRMsXnp74hPFW2t-sp2totVWF_xY&amp;ll=32.83050137713022%2C-96.83197783061323&amp;z=17" TargetMode="External"/><Relationship Id="rId444" Type="http://schemas.openxmlformats.org/officeDocument/2006/relationships/hyperlink" Target="https://www.google.com/maps/d/viewer?mid=1ejOzT7-x6RWnCf83BBP7XhiOiwEX3Wk&amp;ll=36.061264791292906%2C-79.87437695000003&amp;z=17" TargetMode="External"/><Relationship Id="rId651" Type="http://schemas.openxmlformats.org/officeDocument/2006/relationships/hyperlink" Target="https://www.google.com/maps/d/edit?hl=es&amp;mid=1uPmsRMsXnp74hPFW2t-sp2totVWF_xY&amp;ll=32.83050137713022%2C-96.83197783061323&amp;z=17" TargetMode="External"/><Relationship Id="rId749" Type="http://schemas.openxmlformats.org/officeDocument/2006/relationships/hyperlink" Target="https://www.google.com/maps/d/edit?hl=es&amp;mid=1uPmsRMsXnp74hPFW2t-sp2totVWF_xY&amp;ll=32.83050137713022%2C-96.83197783061323&amp;z=17" TargetMode="External"/><Relationship Id="rId290" Type="http://schemas.openxmlformats.org/officeDocument/2006/relationships/hyperlink" Target="https://www.google.com/maps/d/viewer?mid=1hvbKFMO-d5TXrKGU-g5dt_xcdArB1D0&amp;ll=34.71147784120261%2C-92.40574350000001&amp;z=17" TargetMode="External"/><Relationship Id="rId304" Type="http://schemas.openxmlformats.org/officeDocument/2006/relationships/hyperlink" Target="https://www.google.com/maps/d/viewer?mid=1AyViBuyeq7iwDua1SVudJ2A1BYi3IBA&amp;ll=27.38181516363982%2C-80.32568845000002&amp;z=18" TargetMode="External"/><Relationship Id="rId388" Type="http://schemas.openxmlformats.org/officeDocument/2006/relationships/hyperlink" Target="https://www.google.com/maps/d/viewer?mid=1whGZ1PLqmhJnGFz8uigZqUL4cHGGW3w&amp;ll=38.668847686454825%2C-90.4433601&amp;z=17" TargetMode="External"/><Relationship Id="rId511" Type="http://schemas.openxmlformats.org/officeDocument/2006/relationships/hyperlink" Target="https://www.google.com/maps/d/viewer?hl=es&amp;mid=1C1oZdjH3dNvCvqdpIv_Lk0Yn1OCVn-4&amp;ll=38.965368114274426%2C-92.3405954&amp;z=15" TargetMode="External"/><Relationship Id="rId609" Type="http://schemas.openxmlformats.org/officeDocument/2006/relationships/hyperlink" Target="https://www.google.com/maps/d/viewer?mid=1wg5suxVuxeNp_irHlvN772HcwD6W89E&amp;ll=33.06373951220261%2C-96.82758025000001&amp;z=18" TargetMode="External"/><Relationship Id="rId956" Type="http://schemas.openxmlformats.org/officeDocument/2006/relationships/hyperlink" Target="https://www.google.com/maps/d/viewer?mid=1ejOzT7-x6RWnCf83BBP7XhiOiwEX3Wk&amp;ll=36.061264791292906%2C-79.87437695000003&amp;z=17" TargetMode="External"/><Relationship Id="rId85" Type="http://schemas.openxmlformats.org/officeDocument/2006/relationships/hyperlink" Target="https://www.google.com/maps/d/viewer?hl=es&amp;mid=1C1oZdjH3dNvCvqdpIv_Lk0Yn1OCVn-4&amp;ll=38.965368114274455%2C-92.3405954&amp;z=15" TargetMode="External"/><Relationship Id="rId150" Type="http://schemas.openxmlformats.org/officeDocument/2006/relationships/hyperlink" Target="https://www.google.com/maps/d/viewer?mid=1ejOzT7-x6RWnCf83BBP7XhiOiwEX3Wk&amp;ll=36.061264791292906%2C-79.87437695000003&amp;z=17" TargetMode="External"/><Relationship Id="rId595" Type="http://schemas.openxmlformats.org/officeDocument/2006/relationships/hyperlink" Target="https://www.google.com/maps/d/viewer?mid=1wg5suxVuxeNp_irHlvN772HcwD6W89E&amp;ll=33.06373951220261%2C-96.82758025000001&amp;z=18" TargetMode="External"/><Relationship Id="rId816" Type="http://schemas.openxmlformats.org/officeDocument/2006/relationships/hyperlink" Target="https://www.google.com/maps/d/viewer?mid=1bDs0QGFZwL3vEeGKxjVMk_j4azr0-lg&amp;ll=33.4593758581648%2C-112.28793780000001&amp;z=18" TargetMode="External"/><Relationship Id="rId1001" Type="http://schemas.openxmlformats.org/officeDocument/2006/relationships/hyperlink" Target="https://www.google.com/maps/d/edit?hl=es&amp;mid=1uPmsRMsXnp74hPFW2t-sp2totVWF_xY&amp;ll=32.83050137713022%2C-96.83197783061323&amp;z=17" TargetMode="External"/><Relationship Id="rId248" Type="http://schemas.openxmlformats.org/officeDocument/2006/relationships/hyperlink" Target="https://www.google.com/maps/d/viewer?hl=es&amp;mid=1C1oZdjH3dNvCvqdpIv_Lk0Yn1OCVn-4&amp;ll=38.965368114274455%2C-92.3405954&amp;z=15" TargetMode="External"/><Relationship Id="rId455" Type="http://schemas.openxmlformats.org/officeDocument/2006/relationships/hyperlink" Target="https://www.google.com/maps/d/viewer?mid=1ot0ILX76JMuvd9yMuqkb4_e0yH1n7TA&amp;ll=45.07815812965141%2C-93.33506855000002&amp;z=17" TargetMode="External"/><Relationship Id="rId662" Type="http://schemas.openxmlformats.org/officeDocument/2006/relationships/hyperlink" Target="https://www.google.com/maps/d/edit?hl=es&amp;mid=1uPmsRMsXnp74hPFW2t-sp2totVWF_xY&amp;ll=32.83050137713022%2C-96.83197783061323&amp;z=17" TargetMode="External"/><Relationship Id="rId12" Type="http://schemas.openxmlformats.org/officeDocument/2006/relationships/hyperlink" Target="https://www.google.com/maps/d/viewer?mid=1ubI2iKs1JyYXssuT4oLPnVvFnyLPi_s&amp;ll=40.878808846788026%2C-73.98560655&amp;z=17" TargetMode="External"/><Relationship Id="rId108" Type="http://schemas.openxmlformats.org/officeDocument/2006/relationships/hyperlink" Target="https://www.google.com/maps/d/viewer?hl=es&amp;mid=1C1oZdjH3dNvCvqdpIv_Lk0Yn1OCVn-4&amp;ll=38.965368114274455%2C-92.3405954&amp;z=15" TargetMode="External"/><Relationship Id="rId315" Type="http://schemas.openxmlformats.org/officeDocument/2006/relationships/hyperlink" Target="https://www.google.com/maps/d/viewer?mid=1FEo41PzFJQjUIXXKitX5TNCtuqR6Vbs&amp;ll=41.1663376742533%2C-73.22955662049608&amp;z=16" TargetMode="External"/><Relationship Id="rId522" Type="http://schemas.openxmlformats.org/officeDocument/2006/relationships/hyperlink" Target="https://www.google.com/maps/d/viewer?mid=1AyViBuyeq7iwDua1SVudJ2A1BYi3IBA&amp;ll=27.38181516363982%2C-80.32568845000002&amp;z=18" TargetMode="External"/><Relationship Id="rId967" Type="http://schemas.openxmlformats.org/officeDocument/2006/relationships/hyperlink" Target="https://www.google.com/maps/d/viewer?mid=1FEo41PzFJQjUIXXKitX5TNCtuqR6Vbs&amp;ll=41.1663376742533%2C-73.22955662049608&amp;z=16" TargetMode="External"/><Relationship Id="rId96" Type="http://schemas.openxmlformats.org/officeDocument/2006/relationships/hyperlink" Target="https://www.google.com/maps/d/viewer?hl=es&amp;mid=1C1oZdjH3dNvCvqdpIv_Lk0Yn1OCVn-4&amp;ll=38.965368114274455%2C-92.3405954&amp;z=15" TargetMode="External"/><Relationship Id="rId161" Type="http://schemas.openxmlformats.org/officeDocument/2006/relationships/hyperlink" Target="https://www.google.com/maps/d/viewer?mid=1ejOzT7-x6RWnCf83BBP7XhiOiwEX3Wk&amp;ll=36.061264791292906%2C-79.87437695000003&amp;z=17" TargetMode="External"/><Relationship Id="rId399" Type="http://schemas.openxmlformats.org/officeDocument/2006/relationships/hyperlink" Target="https://www.google.com/maps/d/viewer?mid=1hvbKFMO-d5TXrKGU-g5dt_xcdArB1D0&amp;ll=34.71147784120261%2C-92.40574350000001&amp;z=17" TargetMode="External"/><Relationship Id="rId827" Type="http://schemas.openxmlformats.org/officeDocument/2006/relationships/hyperlink" Target="https://www.google.com/maps/d/viewer?mid=1hvbKFMO-d5TXrKGU-g5dt_xcdArB1D0&amp;ll=34.71147784120261%2C-92.40574350000001&amp;z=17" TargetMode="External"/><Relationship Id="rId1012" Type="http://schemas.openxmlformats.org/officeDocument/2006/relationships/hyperlink" Target="https://www.google.com/maps/d/viewer?mid=1gN2lJ0iT7m5VNhD7aDcxE8AdXqtcOZc&amp;ll=40.396096737592195%2C-104.746842&amp;z=16" TargetMode="External"/><Relationship Id="rId259" Type="http://schemas.openxmlformats.org/officeDocument/2006/relationships/hyperlink" Target="https://www.google.com/maps/d/viewer?mid=1ebZp8DeTYSXNPgDIA63nFVDu9ohaO4E&amp;ll=41.08027837958441%2C-73.46597874999999&amp;z=15" TargetMode="External"/><Relationship Id="rId466" Type="http://schemas.openxmlformats.org/officeDocument/2006/relationships/hyperlink" Target="https://www.google.com/maps/d/viewer?mid=1ejOzT7-x6RWnCf83BBP7XhiOiwEX3Wk&amp;ll=36.061264791292906%2C-79.87437695000003&amp;z=17" TargetMode="External"/><Relationship Id="rId673" Type="http://schemas.openxmlformats.org/officeDocument/2006/relationships/hyperlink" Target="https://www.google.com/maps/d/edit?hl=es&amp;mid=1uPmsRMsXnp74hPFW2t-sp2totVWF_xY&amp;ll=32.83050137713022%2C-96.83197783061323&amp;z=17" TargetMode="External"/><Relationship Id="rId880" Type="http://schemas.openxmlformats.org/officeDocument/2006/relationships/hyperlink" Target="https://www.google.com/maps/d/viewer?mid=1ejOzT7-x6RWnCf83BBP7XhiOiwEX3Wk&amp;ll=36.061264791292906%2C-79.87437695000003&amp;z=17" TargetMode="External"/><Relationship Id="rId23" Type="http://schemas.openxmlformats.org/officeDocument/2006/relationships/hyperlink" Target="https://www.google.com/maps/d/viewer?mid=1ebZp8DeTYSXNPgDIA63nFVDu9ohaO4E&amp;ll=41.08027837958441%2C-73.46597874999999&amp;z=15" TargetMode="External"/><Relationship Id="rId119" Type="http://schemas.openxmlformats.org/officeDocument/2006/relationships/hyperlink" Target="https://www.google.com/maps/d/viewer?mid=1AyViBuyeq7iwDua1SVudJ2A1BYi3IBA&amp;ll=27.38181516363982%2C-80.32568845000002&amp;z=18" TargetMode="External"/><Relationship Id="rId326" Type="http://schemas.openxmlformats.org/officeDocument/2006/relationships/hyperlink" Target="https://www.google.com/maps/d/viewer?hl=es&amp;mid=1C1oZdjH3dNvCvqdpIv_Lk0Yn1OCVn-4&amp;ll=38.965368114274455%2C-92.3405954&amp;z=15" TargetMode="External"/><Relationship Id="rId533" Type="http://schemas.openxmlformats.org/officeDocument/2006/relationships/hyperlink" Target="https://www.google.com/maps/d/viewer?mid=1hvbKFMO-d5TXrKGU-g5dt_xcdArB1D0&amp;ll=34.71147784120261%2C-92.40574350000001&amp;z=17" TargetMode="External"/><Relationship Id="rId978" Type="http://schemas.openxmlformats.org/officeDocument/2006/relationships/hyperlink" Target="https://www.google.com/maps/d/viewer?mid=1FEo41PzFJQjUIXXKitX5TNCtuqR6Vbs&amp;ll=41.1663376742533%2C-73.22955662049608&amp;z=16" TargetMode="External"/><Relationship Id="rId740" Type="http://schemas.openxmlformats.org/officeDocument/2006/relationships/hyperlink" Target="https://www.google.com/maps/d/edit?hl=es&amp;mid=1uPmsRMsXnp74hPFW2t-sp2totVWF_xY&amp;ll=32.83050137713022%2C-96.83197783061323&amp;z=17" TargetMode="External"/><Relationship Id="rId838" Type="http://schemas.openxmlformats.org/officeDocument/2006/relationships/hyperlink" Target="https://www.google.com/maps/d/viewer?mid=1AyViBuyeq7iwDua1SVudJ2A1BYi3IBA&amp;ll=27.38181516363982%2C-80.32568845000002&amp;z=18" TargetMode="External"/><Relationship Id="rId1023" Type="http://schemas.openxmlformats.org/officeDocument/2006/relationships/hyperlink" Target="https://www.google.com/maps/d/viewer?mid=1gN2lJ0iT7m5VNhD7aDcxE8AdXqtcOZc&amp;ll=40.396096737592195%2C-104.746842&amp;z=16" TargetMode="External"/><Relationship Id="rId172" Type="http://schemas.openxmlformats.org/officeDocument/2006/relationships/hyperlink" Target="https://www.google.com/maps/d/edit?mid=1Oky35ERk_2kgyzCvDu_odQ2ZP62BtqA&amp;usp=sharing" TargetMode="External"/><Relationship Id="rId477" Type="http://schemas.openxmlformats.org/officeDocument/2006/relationships/hyperlink" Target="https://www.google.com/maps/d/viewer?mid=1FEo41PzFJQjUIXXKitX5TNCtuqR6Vbs&amp;ll=41.1663376742533%2C-73.22955662049608&amp;z=16" TargetMode="External"/><Relationship Id="rId600" Type="http://schemas.openxmlformats.org/officeDocument/2006/relationships/hyperlink" Target="https://www.google.com/maps/d/viewer?mid=1wg5suxVuxeNp_irHlvN772HcwD6W89E&amp;ll=33.06373951220261%2C-96.82758025000001&amp;z=18" TargetMode="External"/><Relationship Id="rId684" Type="http://schemas.openxmlformats.org/officeDocument/2006/relationships/hyperlink" Target="https://www.google.com/maps/d/edit?hl=es&amp;mid=1uPmsRMsXnp74hPFW2t-sp2totVWF_xY&amp;ll=32.83050137713022%2C-96.83197783061323&amp;z=17" TargetMode="External"/><Relationship Id="rId337" Type="http://schemas.openxmlformats.org/officeDocument/2006/relationships/hyperlink" Target="https://www.google.com/maps/d/viewer?mid=1ejOzT7-x6RWnCf83BBP7XhiOiwEX3Wk&amp;ll=36.061264791292906%2C-79.87437695000003&amp;z=17" TargetMode="External"/><Relationship Id="rId891" Type="http://schemas.openxmlformats.org/officeDocument/2006/relationships/hyperlink" Target="https://www.google.com/maps/d/viewer?mid=1FEo41PzFJQjUIXXKitX5TNCtuqR6Vbs&amp;ll=41.1663376742533%2C-73.22955662049608&amp;z=16" TargetMode="External"/><Relationship Id="rId905" Type="http://schemas.openxmlformats.org/officeDocument/2006/relationships/hyperlink" Target="https://www.google.com/maps/d/viewer?mid=1hvbKFMO-d5TXrKGU-g5dt_xcdArB1D0&amp;ll=34.71147784120261%2C-92.40574350000001&amp;z=17" TargetMode="External"/><Relationship Id="rId989" Type="http://schemas.openxmlformats.org/officeDocument/2006/relationships/hyperlink" Target="https://www.google.com/maps/d/viewer?mid=1AyViBuyeq7iwDua1SVudJ2A1BYi3IBA&amp;ll=27.38181516363982%2C-80.32568845000002&amp;z=18" TargetMode="External"/><Relationship Id="rId34" Type="http://schemas.openxmlformats.org/officeDocument/2006/relationships/hyperlink" Target="https://www.google.com/maps/d/viewer?mid=1FEo41PzFJQjUIXXKitX5TNCtuqR6Vbs&amp;ll=41.1663376742533%2C-73.22955662049608&amp;z=16" TargetMode="External"/><Relationship Id="rId544" Type="http://schemas.openxmlformats.org/officeDocument/2006/relationships/hyperlink" Target="https://www.google.com/maps/d/viewer?hl=es&amp;mid=1C1oZdjH3dNvCvqdpIv_Lk0Yn1OCVn-4&amp;ll=38.965368114274455%2C-92.3405954&amp;z=15" TargetMode="External"/><Relationship Id="rId751" Type="http://schemas.openxmlformats.org/officeDocument/2006/relationships/hyperlink" Target="https://www.google.com/maps/d/edit?hl=es&amp;mid=1uPmsRMsXnp74hPFW2t-sp2totVWF_xY&amp;ll=32.83050137713022%2C-96.83197783061323&amp;z=17" TargetMode="External"/><Relationship Id="rId849" Type="http://schemas.openxmlformats.org/officeDocument/2006/relationships/hyperlink" Target="https://www.google.com/maps/d/edit?hl=es&amp;mid=1uPmsRMsXnp74hPFW2t-sp2totVWF_xY&amp;ll=32.83050137713022%2C-96.83197783061323&amp;z=17" TargetMode="External"/><Relationship Id="rId183" Type="http://schemas.openxmlformats.org/officeDocument/2006/relationships/hyperlink" Target="https://www.google.com/maps/d/viewer?mid=1hvbKFMO-d5TXrKGU-g5dt_xcdArB1D0&amp;ll=34.71147784120261%2C-92.40574350000001&amp;z=17" TargetMode="External"/><Relationship Id="rId390" Type="http://schemas.openxmlformats.org/officeDocument/2006/relationships/hyperlink" Target="https://www.google.com/maps/d/viewer?mid=1ejOzT7-x6RWnCf83BBP7XhiOiwEX3Wk&amp;ll=36.061264791292906%2C-79.87437695000003&amp;z=17" TargetMode="External"/><Relationship Id="rId404" Type="http://schemas.openxmlformats.org/officeDocument/2006/relationships/hyperlink" Target="https://www.google.com/maps/d/viewer?hl=es&amp;mid=1C1oZdjH3dNvCvqdpIv_Lk0Yn1OCVn-4&amp;ll=38.965368114274455%2C-92.3405954&amp;z=15" TargetMode="External"/><Relationship Id="rId611" Type="http://schemas.openxmlformats.org/officeDocument/2006/relationships/hyperlink" Target="https://www.google.com/maps/d/viewer?mid=1wg5suxVuxeNp_irHlvN772HcwD6W89E&amp;ll=33.06373951220261%2C-96.82758025000001&amp;z=18" TargetMode="External"/><Relationship Id="rId1034" Type="http://schemas.openxmlformats.org/officeDocument/2006/relationships/hyperlink" Target="https://www.google.com/maps/d/viewer?mid=1gN2lJ0iT7m5VNhD7aDcxE8AdXqtcOZc&amp;ll=40.396096737592195%2C-104.746842&amp;z=16" TargetMode="External"/><Relationship Id="rId250" Type="http://schemas.openxmlformats.org/officeDocument/2006/relationships/hyperlink" Target="https://www.google.com/maps/d/viewer?mid=1AyViBuyeq7iwDua1SVudJ2A1BYi3IBA&amp;ll=27.38181516363982%2C-80.32568845000002&amp;z=18" TargetMode="External"/><Relationship Id="rId488" Type="http://schemas.openxmlformats.org/officeDocument/2006/relationships/hyperlink" Target="https://www.google.com/maps/d/viewer?hl=es&amp;mid=1C1oZdjH3dNvCvqdpIv_Lk0Yn1OCVn-4&amp;ll=38.965368114274455%2C-92.3405954&amp;z=15" TargetMode="External"/><Relationship Id="rId695" Type="http://schemas.openxmlformats.org/officeDocument/2006/relationships/hyperlink" Target="https://www.google.com/maps/d/edit?hl=es&amp;mid=1uPmsRMsXnp74hPFW2t-sp2totVWF_xY&amp;ll=32.83050137713022%2C-96.83197783061323&amp;z=17" TargetMode="External"/><Relationship Id="rId709" Type="http://schemas.openxmlformats.org/officeDocument/2006/relationships/hyperlink" Target="https://www.google.com/maps/d/edit?hl=es&amp;mid=1uPmsRMsXnp74hPFW2t-sp2totVWF_xY&amp;ll=32.83050137713022%2C-96.83197783061323&amp;z=17" TargetMode="External"/><Relationship Id="rId916" Type="http://schemas.openxmlformats.org/officeDocument/2006/relationships/hyperlink" Target="https://www.google.com/maps/d/viewer?mid=1ejOzT7-x6RWnCf83BBP7XhiOiwEX3Wk&amp;ll=36.061264791292906%2C-79.87437695000003&amp;z=17" TargetMode="External"/><Relationship Id="rId45" Type="http://schemas.openxmlformats.org/officeDocument/2006/relationships/hyperlink" Target="https://www.google.com/maps/d/viewer?mid=1hvbKFMO-d5TXrKGU-g5dt_xcdArB1D0&amp;ll=34.71147784120261%2C-92.40574350000001&amp;z=17" TargetMode="External"/><Relationship Id="rId110" Type="http://schemas.openxmlformats.org/officeDocument/2006/relationships/hyperlink" Target="https://www.google.com/maps/d/viewer?hl=es&amp;mid=1C1oZdjH3dNvCvqdpIv_Lk0Yn1OCVn-4&amp;ll=38.965368114274455%2C-92.3405954&amp;z=15" TargetMode="External"/><Relationship Id="rId348" Type="http://schemas.openxmlformats.org/officeDocument/2006/relationships/hyperlink" Target="https://www.google.com/maps/d/viewer?mid=1bDs0QGFZwL3vEeGKxjVMk_j4azr0-lg&amp;ll=33.4593758581648%2C-112.28793780000001&amp;z=18" TargetMode="External"/><Relationship Id="rId555" Type="http://schemas.openxmlformats.org/officeDocument/2006/relationships/hyperlink" Target="https://www.google.com/maps/d/viewer?mid=1whGZ1PLqmhJnGFz8uigZqUL4cHGGW3w&amp;ll=38.668847686454825%2C-90.4433601&amp;z=17" TargetMode="External"/><Relationship Id="rId762" Type="http://schemas.openxmlformats.org/officeDocument/2006/relationships/hyperlink" Target="https://www.google.com/maps/d/edit?hl=es&amp;mid=1uPmsRMsXnp74hPFW2t-sp2totVWF_xY&amp;ll=32.83050137713022%2C-96.83197783061323&amp;z=17" TargetMode="External"/><Relationship Id="rId194" Type="http://schemas.openxmlformats.org/officeDocument/2006/relationships/hyperlink" Target="https://www.google.com/maps/d/viewer?hl=es&amp;mid=1C1oZdjH3dNvCvqdpIv_Lk0Yn1OCVn-4&amp;ll=38.965368114274455%2C-92.3405954&amp;z=15" TargetMode="External"/><Relationship Id="rId208" Type="http://schemas.openxmlformats.org/officeDocument/2006/relationships/hyperlink" Target="https://www.google.com/maps/d/viewer?mid=1hvbKFMO-d5TXrKGU-g5dt_xcdArB1D0&amp;ll=34.71147784120261%2C-92.40574350000001&amp;z=17" TargetMode="External"/><Relationship Id="rId415" Type="http://schemas.openxmlformats.org/officeDocument/2006/relationships/hyperlink" Target="https://www.google.com/maps/d/viewer?mid=1whGZ1PLqmhJnGFz8uigZqUL4cHGGW3w&amp;ll=38.668847686454825%2C-90.4433601&amp;z=17" TargetMode="External"/><Relationship Id="rId622" Type="http://schemas.openxmlformats.org/officeDocument/2006/relationships/hyperlink" Target="https://www.google.com/maps/d/viewer?mid=1wg5suxVuxeNp_irHlvN772HcwD6W89E&amp;ll=33.06373951220261%2C-96.82758025000001&amp;z=18" TargetMode="External"/><Relationship Id="rId1045" Type="http://schemas.openxmlformats.org/officeDocument/2006/relationships/hyperlink" Target="https://www.google.com/maps/d/viewer?mid=1gN2lJ0iT7m5VNhD7aDcxE8AdXqtcOZc&amp;ll=40.396096737592195%2C-104.746842&amp;z=16" TargetMode="External"/><Relationship Id="rId261" Type="http://schemas.openxmlformats.org/officeDocument/2006/relationships/hyperlink" Target="https://www.google.com/maps/d/viewer?mid=1FEo41PzFJQjUIXXKitX5TNCtuqR6Vbs&amp;ll=41.1663376742533%2C-73.22955662049608&amp;z=16" TargetMode="External"/><Relationship Id="rId499" Type="http://schemas.openxmlformats.org/officeDocument/2006/relationships/hyperlink" Target="https://www.google.com/maps/d/viewer?mid=1ejOzT7-x6RWnCf83BBP7XhiOiwEX3Wk&amp;ll=36.061264791292906%2C-79.87437695000003&amp;z=17" TargetMode="External"/><Relationship Id="rId927" Type="http://schemas.openxmlformats.org/officeDocument/2006/relationships/hyperlink" Target="https://www.google.com/maps/d/edit?hl=es&amp;mid=1uPmsRMsXnp74hPFW2t-sp2totVWF_xY&amp;ll=32.83050137713022%2C-96.83197783061323&amp;z=17" TargetMode="External"/><Relationship Id="rId56" Type="http://schemas.openxmlformats.org/officeDocument/2006/relationships/hyperlink" Target="https://www.google.com/maps/d/viewer?mid=1hvbKFMO-d5TXrKGU-g5dt_xcdArB1D0&amp;ll=34.71147784120261%2C-92.40574350000001&amp;z=17" TargetMode="External"/><Relationship Id="rId359" Type="http://schemas.openxmlformats.org/officeDocument/2006/relationships/hyperlink" Target="https://www.google.com/maps/d/viewer?mid=1AyViBuyeq7iwDua1SVudJ2A1BYi3IBA&amp;ll=27.38181516363982%2C-80.32568845000002&amp;z=18" TargetMode="External"/><Relationship Id="rId566" Type="http://schemas.openxmlformats.org/officeDocument/2006/relationships/hyperlink" Target="https://www.google.com/maps/d/viewer?hl=es&amp;mid=1C1oZdjH3dNvCvqdpIv_Lk0Yn1OCVn-4&amp;ll=38.965368114274455%2C-92.3405954&amp;z=15" TargetMode="External"/><Relationship Id="rId773" Type="http://schemas.openxmlformats.org/officeDocument/2006/relationships/hyperlink" Target="https://www.google.com/maps/d/edit?hl=es&amp;mid=1uPmsRMsXnp74hPFW2t-sp2totVWF_xY&amp;ll=32.83050137713022%2C-96.83197783061323&amp;z=17" TargetMode="External"/><Relationship Id="rId121" Type="http://schemas.openxmlformats.org/officeDocument/2006/relationships/hyperlink" Target="https://www.google.com/maps/d/viewer?mid=1AyViBuyeq7iwDua1SVudJ2A1BYi3IBA&amp;ll=27.38181516363982%2C-80.32568845000002&amp;z=18" TargetMode="External"/><Relationship Id="rId219" Type="http://schemas.openxmlformats.org/officeDocument/2006/relationships/hyperlink" Target="https://www.google.com/maps/d/viewer?hl=es&amp;mid=1C1oZdjH3dNvCvqdpIv_Lk0Yn1OCVn-4&amp;ll=38.965368114274455%2C-92.3405954&amp;z=15" TargetMode="External"/><Relationship Id="rId426" Type="http://schemas.openxmlformats.org/officeDocument/2006/relationships/hyperlink" Target="https://www.google.com/maps/d/viewer?mid=1hvbKFMO-d5TXrKGU-g5dt_xcdArB1D0&amp;ll=34.71147784120261%2C-92.40574350000001&amp;z=17" TargetMode="External"/><Relationship Id="rId633" Type="http://schemas.openxmlformats.org/officeDocument/2006/relationships/hyperlink" Target="https://www.google.com/maps/d/edit?hl=en&amp;mid=1UHmt7tH1ihTa85i0MfQIcTfVvIQg_vM&amp;ll=41.024187580466844%2C-73.63702405370861&amp;z=18" TargetMode="External"/><Relationship Id="rId980" Type="http://schemas.openxmlformats.org/officeDocument/2006/relationships/hyperlink" Target="https://www.google.com/maps/d/viewer?mid=1hvbKFMO-d5TXrKGU-g5dt_xcdArB1D0&amp;ll=34.71147784120261%2C-92.40574350000001&amp;z=17" TargetMode="External"/><Relationship Id="rId1056" Type="http://schemas.openxmlformats.org/officeDocument/2006/relationships/hyperlink" Target="https://www.google.com/maps/d/viewer?mid=1gN2lJ0iT7m5VNhD7aDcxE8AdXqtcOZc&amp;ll=40.396096737592195%2C-104.746842&amp;z=16" TargetMode="External"/><Relationship Id="rId840" Type="http://schemas.openxmlformats.org/officeDocument/2006/relationships/hyperlink" Target="https://www.google.com/maps/d/viewer?mid=1ejOzT7-x6RWnCf83BBP7XhiOiwEX3Wk&amp;ll=36.061264791292906%2C-79.87437695000003&amp;z=17" TargetMode="External"/><Relationship Id="rId938" Type="http://schemas.openxmlformats.org/officeDocument/2006/relationships/hyperlink" Target="https://www.google.com/maps/d/viewer?mid=1ubI2iKs1JyYXssuT4oLPnVvFnyLPi_s&amp;ll=40.878808846788026%2C-73.98560655&amp;z=17" TargetMode="External"/><Relationship Id="rId67" Type="http://schemas.openxmlformats.org/officeDocument/2006/relationships/hyperlink" Target="https://www.google.com/maps/d/viewer?mid=1ot0ILX76JMuvd9yMuqkb4_e0yH1n7TA&amp;ll=45.07815812965141%2C-93.33506855000002&amp;z=17" TargetMode="External"/><Relationship Id="rId272" Type="http://schemas.openxmlformats.org/officeDocument/2006/relationships/hyperlink" Target="https://www.google.com/maps/d/viewer?hl=es&amp;mid=1C1oZdjH3dNvCvqdpIv_Lk0Yn1OCVn-4&amp;ll=38.965368114274455%2C-92.3405954&amp;z=15" TargetMode="External"/><Relationship Id="rId577" Type="http://schemas.openxmlformats.org/officeDocument/2006/relationships/hyperlink" Target="https://www.google.com/maps/d/viewer?mid=1whGZ1PLqmhJnGFz8uigZqUL4cHGGW3w&amp;ll=38.668847686454825%2C-90.4433601&amp;z=17" TargetMode="External"/><Relationship Id="rId700" Type="http://schemas.openxmlformats.org/officeDocument/2006/relationships/hyperlink" Target="https://www.google.com/maps/d/edit?hl=es&amp;mid=1uPmsRMsXnp74hPFW2t-sp2totVWF_xY&amp;ll=32.83050137713022%2C-96.83197783061323&amp;z=17" TargetMode="External"/><Relationship Id="rId132" Type="http://schemas.openxmlformats.org/officeDocument/2006/relationships/hyperlink" Target="https://www.google.com/maps/d/viewer?mid=1AyViBuyeq7iwDua1SVudJ2A1BYi3IBA&amp;ll=27.38181516363982%2C-80.32568845000002&amp;z=18" TargetMode="External"/><Relationship Id="rId784" Type="http://schemas.openxmlformats.org/officeDocument/2006/relationships/hyperlink" Target="https://www.google.com/maps/d/edit?hl=es&amp;mid=1uPmsRMsXnp74hPFW2t-sp2totVWF_xY&amp;ll=32.83050137713022%2C-96.83197783061323&amp;z=17" TargetMode="External"/><Relationship Id="rId991" Type="http://schemas.openxmlformats.org/officeDocument/2006/relationships/hyperlink" Target="https://www.google.com/maps/d/viewer?mid=1whGZ1PLqmhJnGFz8uigZqUL4cHGGW3w&amp;ll=38.668847686454825%2C-90.4433601&amp;z=17" TargetMode="External"/><Relationship Id="rId437" Type="http://schemas.openxmlformats.org/officeDocument/2006/relationships/hyperlink" Target="https://www.google.com/maps/d/viewer?hl=es&amp;mid=1C1oZdjH3dNvCvqdpIv_Lk0Yn1OCVn-4&amp;ll=38.965368114274455%2C-92.3405954&amp;z=15" TargetMode="External"/><Relationship Id="rId644" Type="http://schemas.openxmlformats.org/officeDocument/2006/relationships/hyperlink" Target="https://www.google.com/maps/d/edit?hl=en&amp;mid=1UHmt7tH1ihTa85i0MfQIcTfVvIQg_vM&amp;ll=41.024187580466844%2C-73.63702405370861&amp;z=18" TargetMode="External"/><Relationship Id="rId851" Type="http://schemas.openxmlformats.org/officeDocument/2006/relationships/hyperlink" Target="https://www.google.com/maps/d/edit?hl=es&amp;mid=1uPmsRMsXnp74hPFW2t-sp2totVWF_xY&amp;ll=32.83050137713022%2C-96.83197783061323&amp;z=17" TargetMode="External"/><Relationship Id="rId283" Type="http://schemas.openxmlformats.org/officeDocument/2006/relationships/hyperlink" Target="https://www.google.com/maps/d/viewer?mid=1ejOzT7-x6RWnCf83BBP7XhiOiwEX3Wk&amp;ll=36.061264791292906%2C-79.87437695000003&amp;z=17" TargetMode="External"/><Relationship Id="rId490" Type="http://schemas.openxmlformats.org/officeDocument/2006/relationships/hyperlink" Target="https://www.google.com/maps/d/viewer?hl=es&amp;mid=1C1oZdjH3dNvCvqdpIv_Lk0Yn1OCVn-4&amp;ll=38.965368114274455%2C-92.3405954&amp;z=15" TargetMode="External"/><Relationship Id="rId504" Type="http://schemas.openxmlformats.org/officeDocument/2006/relationships/hyperlink" Target="https://www.google.com/maps/d/viewer?mid=1FEo41PzFJQjUIXXKitX5TNCtuqR6Vbs&amp;ll=41.1663376742533%2C-73.22955662049608&amp;z=16" TargetMode="External"/><Relationship Id="rId711" Type="http://schemas.openxmlformats.org/officeDocument/2006/relationships/hyperlink" Target="https://www.google.com/maps/d/edit?hl=es&amp;mid=1uPmsRMsXnp74hPFW2t-sp2totVWF_xY&amp;ll=32.83050137713022%2C-96.83197783061323&amp;z=17" TargetMode="External"/><Relationship Id="rId949" Type="http://schemas.openxmlformats.org/officeDocument/2006/relationships/hyperlink" Target="https://www.google.com/maps/d/viewer?hl=es&amp;mid=1C1oZdjH3dNvCvqdpIv_Lk0Yn1OCVn-4&amp;ll=38.965368114274455%2C-92.3405954&amp;z=15" TargetMode="External"/><Relationship Id="rId78" Type="http://schemas.openxmlformats.org/officeDocument/2006/relationships/hyperlink" Target="https://www.google.com/maps/d/viewer?hl=es&amp;mid=1C1oZdjH3dNvCvqdpIv_Lk0Yn1OCVn-4&amp;ll=38.965368114274426%2C-92.3405954&amp;z=15" TargetMode="External"/><Relationship Id="rId143" Type="http://schemas.openxmlformats.org/officeDocument/2006/relationships/hyperlink" Target="https://www.google.com/maps/d/viewer?mid=1ejOzT7-x6RWnCf83BBP7XhiOiwEX3Wk&amp;ll=0%2C0&amp;z=17" TargetMode="External"/><Relationship Id="rId350" Type="http://schemas.openxmlformats.org/officeDocument/2006/relationships/hyperlink" Target="https://www.google.com/maps/d/viewer?hl=es&amp;mid=1C1oZdjH3dNvCvqdpIv_Lk0Yn1OCVn-4&amp;ll=38.965368114274455%2C-92.3405954&amp;z=15" TargetMode="External"/><Relationship Id="rId588" Type="http://schemas.openxmlformats.org/officeDocument/2006/relationships/hyperlink" Target="https://www.google.com/maps/d/viewer?mid=1wg5suxVuxeNp_irHlvN772HcwD6W89E&amp;ll=33.06373951220261%2C-96.82758025000001&amp;z=18" TargetMode="External"/><Relationship Id="rId795" Type="http://schemas.openxmlformats.org/officeDocument/2006/relationships/hyperlink" Target="https://www.google.com/maps/d/edit?mid=18OEO_KbvYcgI3N1jE4gTMXfNHTNDrFU&amp;ll=32.66603989958274%2C-97.42021198201722&amp;z=18" TargetMode="External"/><Relationship Id="rId809" Type="http://schemas.openxmlformats.org/officeDocument/2006/relationships/hyperlink" Target="https://www.google.com/maps/d/edit?mid=18OEO_KbvYcgI3N1jE4gTMXfNHTNDrFU&amp;ll=32.66603989958274%2C-97.42021198201722&amp;z=18" TargetMode="External"/><Relationship Id="rId9" Type="http://schemas.openxmlformats.org/officeDocument/2006/relationships/hyperlink" Target="https://www.google.com/maps/d/edit?mid=1jkN3DS1BhUqp_dztjjW0PDwKfo_Yxsw&amp;usp=sharing" TargetMode="External"/><Relationship Id="rId210" Type="http://schemas.openxmlformats.org/officeDocument/2006/relationships/hyperlink" Target="https://www.google.com/maps/d/viewer?mid=1hvbKFMO-d5TXrKGU-g5dt_xcdArB1D0&amp;ll=34.71147784120261%2C-92.40574350000001&amp;z=17" TargetMode="External"/><Relationship Id="rId448" Type="http://schemas.openxmlformats.org/officeDocument/2006/relationships/hyperlink" Target="https://www.google.com/maps/d/viewer?mid=1ubI2iKs1JyYXssuT4oLPnVvFnyLPi_s&amp;ll=40.878808846788026%2C-73.98560655&amp;z=17" TargetMode="External"/><Relationship Id="rId655" Type="http://schemas.openxmlformats.org/officeDocument/2006/relationships/hyperlink" Target="https://www.google.com/maps/d/edit?hl=es&amp;mid=1uPmsRMsXnp74hPFW2t-sp2totVWF_xY&amp;ll=32.83050137713022%2C-96.83197783061323&amp;z=17" TargetMode="External"/><Relationship Id="rId862" Type="http://schemas.openxmlformats.org/officeDocument/2006/relationships/hyperlink" Target="https://www.google.com/maps/d/viewer?mid=1ubI2iKs1JyYXssuT4oLPnVvFnyLPi_s&amp;ll=40.878808846788026%2C-73.98560655&amp;z=17" TargetMode="External"/><Relationship Id="rId294" Type="http://schemas.openxmlformats.org/officeDocument/2006/relationships/hyperlink" Target="https://www.google.com/maps/d/viewer?hl=es&amp;mid=1C1oZdjH3dNvCvqdpIv_Lk0Yn1OCVn-4&amp;ll=38.965368114274426%2C-92.3405954&amp;z=15" TargetMode="External"/><Relationship Id="rId308" Type="http://schemas.openxmlformats.org/officeDocument/2006/relationships/hyperlink" Target="https://www.google.com/maps/d/viewer?mid=1ejOzT7-x6RWnCf83BBP7XhiOiwEX3Wk&amp;ll=36.061264791292906%2C-79.87437695000003&amp;z=17" TargetMode="External"/><Relationship Id="rId515" Type="http://schemas.openxmlformats.org/officeDocument/2006/relationships/hyperlink" Target="https://www.google.com/maps/d/viewer?hl=es&amp;mid=1C1oZdjH3dNvCvqdpIv_Lk0Yn1OCVn-4&amp;ll=38.965368114274455%2C-92.3405954&amp;z=15" TargetMode="External"/><Relationship Id="rId722" Type="http://schemas.openxmlformats.org/officeDocument/2006/relationships/hyperlink" Target="https://www.google.com/maps/d/edit?hl=es&amp;mid=1uPmsRMsXnp74hPFW2t-sp2totVWF_xY&amp;ll=32.83050137713022%2C-96.83197783061323&amp;z=17" TargetMode="External"/><Relationship Id="rId89" Type="http://schemas.openxmlformats.org/officeDocument/2006/relationships/hyperlink" Target="https://www.google.com/maps/d/viewer?hl=es&amp;mid=1C1oZdjH3dNvCvqdpIv_Lk0Yn1OCVn-4&amp;ll=38.965368114274455%2C-92.3405954&amp;z=15" TargetMode="External"/><Relationship Id="rId154" Type="http://schemas.openxmlformats.org/officeDocument/2006/relationships/hyperlink" Target="https://www.google.com/maps/d/viewer?mid=1ejOzT7-x6RWnCf83BBP7XhiOiwEX3Wk&amp;ll=36.061264791292906%2C-79.87437695000003&amp;z=17" TargetMode="External"/><Relationship Id="rId361" Type="http://schemas.openxmlformats.org/officeDocument/2006/relationships/hyperlink" Target="https://www.google.com/maps/d/viewer?mid=1whGZ1PLqmhJnGFz8uigZqUL4cHGGW3w&amp;ll=38.668847686454825%2C-90.4433601&amp;z=17" TargetMode="External"/><Relationship Id="rId599" Type="http://schemas.openxmlformats.org/officeDocument/2006/relationships/hyperlink" Target="https://www.google.com/maps/d/viewer?mid=1wg5suxVuxeNp_irHlvN772HcwD6W89E&amp;ll=33.06373951220261%2C-96.82758025000001&amp;z=18" TargetMode="External"/><Relationship Id="rId1005" Type="http://schemas.openxmlformats.org/officeDocument/2006/relationships/hyperlink" Target="https://www.google.com/maps/d/viewer?mid=1ejOzT7-x6RWnCf83BBP7XhiOiwEX3Wk&amp;ll=36.061264791292906%2C-79.87437695000003&amp;z=17" TargetMode="External"/><Relationship Id="rId459" Type="http://schemas.openxmlformats.org/officeDocument/2006/relationships/hyperlink" Target="https://www.google.com/maps/d/viewer?hl=es&amp;mid=1C1oZdjH3dNvCvqdpIv_Lk0Yn1OCVn-4&amp;ll=38.965368114274455%2C-92.3405954&amp;z=15" TargetMode="External"/><Relationship Id="rId666" Type="http://schemas.openxmlformats.org/officeDocument/2006/relationships/hyperlink" Target="https://www.google.com/maps/d/edit?hl=es&amp;mid=1uPmsRMsXnp74hPFW2t-sp2totVWF_xY&amp;ll=32.83050137713022%2C-96.83197783061323&amp;z=17" TargetMode="External"/><Relationship Id="rId873" Type="http://schemas.openxmlformats.org/officeDocument/2006/relationships/hyperlink" Target="https://www.google.com/maps/d/viewer?hl=es&amp;mid=1C1oZdjH3dNvCvqdpIv_Lk0Yn1OCVn-4&amp;ll=38.965368114274455%2C-92.3405954&amp;z=15" TargetMode="External"/><Relationship Id="rId16" Type="http://schemas.openxmlformats.org/officeDocument/2006/relationships/hyperlink" Target="https://www.google.com/maps/d/viewer?mid=1ubI2iKs1JyYXssuT4oLPnVvFnyLPi_s&amp;ll=40.878808846788026%2C-73.98560655&amp;z=17" TargetMode="External"/><Relationship Id="rId221" Type="http://schemas.openxmlformats.org/officeDocument/2006/relationships/hyperlink" Target="https://www.google.com/maps/d/viewer?hl=es&amp;mid=1C1oZdjH3dNvCvqdpIv_Lk0Yn1OCVn-4&amp;ll=38.965368114274455%2C-92.3405954&amp;z=15" TargetMode="External"/><Relationship Id="rId319" Type="http://schemas.openxmlformats.org/officeDocument/2006/relationships/hyperlink" Target="https://www.google.com/maps/d/viewer?mid=1ot0ILX76JMuvd9yMuqkb4_e0yH1n7TA&amp;ll=45.07815812965141%2C-93.33506855000002&amp;z=17" TargetMode="External"/><Relationship Id="rId526" Type="http://schemas.openxmlformats.org/officeDocument/2006/relationships/hyperlink" Target="https://www.google.com/maps/d/viewer?mid=1ejOzT7-x6RWnCf83BBP7XhiOiwEX3Wk&amp;ll=36.061264791292906%2C-79.87437695000003&amp;z=17" TargetMode="External"/><Relationship Id="rId733" Type="http://schemas.openxmlformats.org/officeDocument/2006/relationships/hyperlink" Target="https://www.google.com/maps/d/edit?hl=es&amp;mid=1uPmsRMsXnp74hPFW2t-sp2totVWF_xY&amp;ll=32.83050137713022%2C-96.83197783061323&amp;z=17" TargetMode="External"/><Relationship Id="rId940" Type="http://schemas.openxmlformats.org/officeDocument/2006/relationships/hyperlink" Target="https://www.google.com/maps/d/viewer?mid=1FEo41PzFJQjUIXXKitX5TNCtuqR6Vbs&amp;ll=41.1663376742533%2C-73.22955662049608&amp;z=16" TargetMode="External"/><Relationship Id="rId1016" Type="http://schemas.openxmlformats.org/officeDocument/2006/relationships/hyperlink" Target="https://www.google.com/maps/d/viewer?mid=1gN2lJ0iT7m5VNhD7aDcxE8AdXqtcOZc&amp;ll=40.396096737592195%2C-104.746842&amp;z=16" TargetMode="External"/><Relationship Id="rId165" Type="http://schemas.openxmlformats.org/officeDocument/2006/relationships/hyperlink" Target="https://www.google.com/maps/d/viewer?mid=1whGZ1PLqmhJnGFz8uigZqUL4cHGGW3w&amp;ll=38.668847686454825%2C-90.4433601&amp;z=17" TargetMode="External"/><Relationship Id="rId372" Type="http://schemas.openxmlformats.org/officeDocument/2006/relationships/hyperlink" Target="https://www.google.com/maps/d/viewer?mid=1hvbKFMO-d5TXrKGU-g5dt_xcdArB1D0&amp;ll=34.71147784120261%2C-92.40574350000001&amp;z=17" TargetMode="External"/><Relationship Id="rId677" Type="http://schemas.openxmlformats.org/officeDocument/2006/relationships/hyperlink" Target="https://www.google.com/maps/d/edit?hl=es&amp;mid=1uPmsRMsXnp74hPFW2t-sp2totVWF_xY&amp;ll=32.83050137713022%2C-96.83197783061323&amp;z=17" TargetMode="External"/><Relationship Id="rId800" Type="http://schemas.openxmlformats.org/officeDocument/2006/relationships/hyperlink" Target="https://www.google.com/maps/d/edit?mid=18OEO_KbvYcgI3N1jE4gTMXfNHTNDrFU&amp;ll=32.66603989958274%2C-97.42021198201722&amp;z=18" TargetMode="External"/><Relationship Id="rId232" Type="http://schemas.openxmlformats.org/officeDocument/2006/relationships/hyperlink" Target="https://www.google.com/maps/d/viewer?mid=1ebZp8DeTYSXNPgDIA63nFVDu9ohaO4E&amp;ll=41.08027837958441%2C-73.46597874999999&amp;z=15" TargetMode="External"/><Relationship Id="rId884" Type="http://schemas.openxmlformats.org/officeDocument/2006/relationships/hyperlink" Target="https://www.google.com/maps/d/viewer?mid=1wg5suxVuxeNp_irHlvN772HcwD6W89E&amp;ll=33.06373951220261%2C-96.82758025000001&amp;z=18" TargetMode="External"/><Relationship Id="rId27" Type="http://schemas.openxmlformats.org/officeDocument/2006/relationships/hyperlink" Target="https://www.google.com/maps/d/viewer?mid=1FEo41PzFJQjUIXXKitX5TNCtuqR6Vbs&amp;ll=41.1663376742533%2C-73.22955662049608&amp;z=16" TargetMode="External"/><Relationship Id="rId537" Type="http://schemas.openxmlformats.org/officeDocument/2006/relationships/hyperlink" Target="https://www.google.com/maps/d/viewer?mid=1bDs0QGFZwL3vEeGKxjVMk_j4azr0-lg&amp;ll=33.4593758581648%2C-112.28793780000001&amp;z=18" TargetMode="External"/><Relationship Id="rId744" Type="http://schemas.openxmlformats.org/officeDocument/2006/relationships/hyperlink" Target="https://www.google.com/maps/d/edit?hl=es&amp;mid=1uPmsRMsXnp74hPFW2t-sp2totVWF_xY&amp;ll=32.83050137713022%2C-96.83197783061323&amp;z=17" TargetMode="External"/><Relationship Id="rId951" Type="http://schemas.openxmlformats.org/officeDocument/2006/relationships/hyperlink" Target="https://www.google.com/maps/d/viewer?mid=1AyViBuyeq7iwDua1SVudJ2A1BYi3IBA&amp;ll=27.38181516363982%2C-80.32568845000002&amp;z=18" TargetMode="External"/><Relationship Id="rId80" Type="http://schemas.openxmlformats.org/officeDocument/2006/relationships/hyperlink" Target="https://www.google.com/maps/d/viewer?hl=es&amp;mid=1C1oZdjH3dNvCvqdpIv_Lk0Yn1OCVn-4&amp;ll=38.965368114274426%2C-92.3405954&amp;z=15" TargetMode="External"/><Relationship Id="rId176" Type="http://schemas.openxmlformats.org/officeDocument/2006/relationships/hyperlink" Target="https://www.google.com/maps/d/edit?mid=1AjZHz2LTg0RMhZUOmyZsv_Y4MFcaP8g&amp;usp=sharing" TargetMode="External"/><Relationship Id="rId383" Type="http://schemas.openxmlformats.org/officeDocument/2006/relationships/hyperlink" Target="https://www.google.com/maps/d/viewer?hl=es&amp;mid=1C1oZdjH3dNvCvqdpIv_Lk0Yn1OCVn-4&amp;ll=38.965368114274455%2C-92.3405954&amp;z=15" TargetMode="External"/><Relationship Id="rId590" Type="http://schemas.openxmlformats.org/officeDocument/2006/relationships/hyperlink" Target="https://www.google.com/maps/d/viewer?mid=1wg5suxVuxeNp_irHlvN772HcwD6W89E&amp;ll=33.06373951220261%2C-96.82758025000001&amp;z=18" TargetMode="External"/><Relationship Id="rId604" Type="http://schemas.openxmlformats.org/officeDocument/2006/relationships/hyperlink" Target="https://www.google.com/maps/d/viewer?mid=1wg5suxVuxeNp_irHlvN772HcwD6W89E&amp;ll=33.06373951220261%2C-96.82758025000001&amp;z=18" TargetMode="External"/><Relationship Id="rId811" Type="http://schemas.openxmlformats.org/officeDocument/2006/relationships/hyperlink" Target="https://www.google.com/maps/d/edit?mid=18OEO_KbvYcgI3N1jE4gTMXfNHTNDrFU&amp;ll=32.66603989958274%2C-97.42021198201722&amp;z=18" TargetMode="External"/><Relationship Id="rId1027" Type="http://schemas.openxmlformats.org/officeDocument/2006/relationships/hyperlink" Target="https://www.google.com/maps/d/viewer?mid=1gN2lJ0iT7m5VNhD7aDcxE8AdXqtcOZc&amp;ll=40.396096737592195%2C-104.746842&amp;z=16" TargetMode="External"/><Relationship Id="rId243" Type="http://schemas.openxmlformats.org/officeDocument/2006/relationships/hyperlink" Target="https://www.google.com/maps/d/viewer?hl=es&amp;mid=1C1oZdjH3dNvCvqdpIv_Lk0Yn1OCVn-4&amp;ll=38.965368114274455%2C-92.3405954&amp;z=15" TargetMode="External"/><Relationship Id="rId450" Type="http://schemas.openxmlformats.org/officeDocument/2006/relationships/hyperlink" Target="https://www.google.com/maps/d/viewer?mid=1FEo41PzFJQjUIXXKitX5TNCtuqR6Vbs&amp;ll=41.1663376742533%2C-73.22955662049608&amp;z=16" TargetMode="External"/><Relationship Id="rId688" Type="http://schemas.openxmlformats.org/officeDocument/2006/relationships/hyperlink" Target="https://www.google.com/maps/d/edit?hl=es&amp;mid=1uPmsRMsXnp74hPFW2t-sp2totVWF_xY&amp;ll=32.83050137713022%2C-96.83197783061323&amp;z=17" TargetMode="External"/><Relationship Id="rId895" Type="http://schemas.openxmlformats.org/officeDocument/2006/relationships/hyperlink" Target="https://www.google.com/maps/d/viewer?hl=es&amp;mid=1C1oZdjH3dNvCvqdpIv_Lk0Yn1OCVn-4&amp;ll=38.965368114274455%2C-92.3405954&amp;z=15" TargetMode="External"/><Relationship Id="rId909" Type="http://schemas.openxmlformats.org/officeDocument/2006/relationships/hyperlink" Target="https://www.google.com/maps/d/viewer?hl=es&amp;mid=1C1oZdjH3dNvCvqdpIv_Lk0Yn1OCVn-4&amp;ll=38.965368114274455%2C-92.3405954&amp;z=15" TargetMode="External"/><Relationship Id="rId38" Type="http://schemas.openxmlformats.org/officeDocument/2006/relationships/hyperlink" Target="https://www.google.com/maps/d/viewer?mid=1FEo41PzFJQjUIXXKitX5TNCtuqR6Vbs&amp;ll=41.1663376742533%2C-73.22955662049608&amp;z=16" TargetMode="External"/><Relationship Id="rId103" Type="http://schemas.openxmlformats.org/officeDocument/2006/relationships/hyperlink" Target="https://www.google.com/maps/d/viewer?hl=es&amp;mid=1C1oZdjH3dNvCvqdpIv_Lk0Yn1OCVn-4&amp;ll=38.965368114274455%2C-92.3405954&amp;z=15" TargetMode="External"/><Relationship Id="rId310" Type="http://schemas.openxmlformats.org/officeDocument/2006/relationships/hyperlink" Target="https://www.google.com/maps/d/viewer?mid=1ejOzT7-x6RWnCf83BBP7XhiOiwEX3Wk&amp;ll=36.061264791292906%2C-79.87437695000003&amp;z=17" TargetMode="External"/><Relationship Id="rId548" Type="http://schemas.openxmlformats.org/officeDocument/2006/relationships/hyperlink" Target="https://www.google.com/maps/d/viewer?mid=1AyViBuyeq7iwDua1SVudJ2A1BYi3IBA&amp;ll=27.38181516363982%2C-80.32568845000002&amp;z=18" TargetMode="External"/><Relationship Id="rId755" Type="http://schemas.openxmlformats.org/officeDocument/2006/relationships/hyperlink" Target="https://www.google.com/maps/d/edit?hl=es&amp;mid=1uPmsRMsXnp74hPFW2t-sp2totVWF_xY&amp;ll=32.83050137713022%2C-96.83197783061323&amp;z=17" TargetMode="External"/><Relationship Id="rId962" Type="http://schemas.openxmlformats.org/officeDocument/2006/relationships/hyperlink" Target="https://www.google.com/maps/d/edit?hl=es&amp;mid=1uPmsRMsXnp74hPFW2t-sp2totVWF_xY&amp;ll=32.83050137713022%2C-96.83197783061323&amp;z=17" TargetMode="External"/><Relationship Id="rId91" Type="http://schemas.openxmlformats.org/officeDocument/2006/relationships/hyperlink" Target="https://www.google.com/maps/d/viewer?hl=es&amp;mid=1C1oZdjH3dNvCvqdpIv_Lk0Yn1OCVn-4&amp;ll=38.965368114274455%2C-92.3405954&amp;z=15" TargetMode="External"/><Relationship Id="rId187" Type="http://schemas.openxmlformats.org/officeDocument/2006/relationships/hyperlink" Target="https://www.google.com/maps/d/viewer?hl=es&amp;mid=1C1oZdjH3dNvCvqdpIv_Lk0Yn1OCVn-4&amp;ll=38.965368114274455%2C-92.3405954&amp;z=15" TargetMode="External"/><Relationship Id="rId394" Type="http://schemas.openxmlformats.org/officeDocument/2006/relationships/hyperlink" Target="https://www.google.com/maps/d/viewer?mid=1ubI2iKs1JyYXssuT4oLPnVvFnyLPi_s&amp;ll=40.878808846788026%2C-73.98560655&amp;z=17" TargetMode="External"/><Relationship Id="rId408" Type="http://schemas.openxmlformats.org/officeDocument/2006/relationships/hyperlink" Target="https://www.google.com/maps/d/viewer?hl=es&amp;mid=1C1oZdjH3dNvCvqdpIv_Lk0Yn1OCVn-4&amp;ll=38.965368114274455%2C-92.3405954&amp;z=15" TargetMode="External"/><Relationship Id="rId615" Type="http://schemas.openxmlformats.org/officeDocument/2006/relationships/hyperlink" Target="https://www.google.com/maps/d/viewer?mid=1wg5suxVuxeNp_irHlvN772HcwD6W89E&amp;ll=33.06373951220261%2C-96.82758025000001&amp;z=18" TargetMode="External"/><Relationship Id="rId822" Type="http://schemas.openxmlformats.org/officeDocument/2006/relationships/hyperlink" Target="https://www.google.com/maps/d/viewer?hl=es&amp;mid=1C1oZdjH3dNvCvqdpIv_Lk0Yn1OCVn-4&amp;ll=38.965368114274455%2C-92.3405954&amp;z=15" TargetMode="External"/><Relationship Id="rId1038" Type="http://schemas.openxmlformats.org/officeDocument/2006/relationships/hyperlink" Target="https://www.google.com/maps/d/viewer?mid=1gN2lJ0iT7m5VNhD7aDcxE8AdXqtcOZc&amp;ll=40.396096737592195%2C-104.746842&amp;z=16" TargetMode="External"/><Relationship Id="rId254" Type="http://schemas.openxmlformats.org/officeDocument/2006/relationships/hyperlink" Target="https://www.google.com/maps/d/viewer?mid=1ejOzT7-x6RWnCf83BBP7XhiOiwEX3Wk&amp;ll=36.061264791292906%2C-79.87437695000003&amp;z=17" TargetMode="External"/><Relationship Id="rId699" Type="http://schemas.openxmlformats.org/officeDocument/2006/relationships/hyperlink" Target="https://www.google.com/maps/d/edit?hl=es&amp;mid=1uPmsRMsXnp74hPFW2t-sp2totVWF_xY&amp;ll=32.83050137713022%2C-96.83197783061323&amp;z=17" TargetMode="External"/><Relationship Id="rId49" Type="http://schemas.openxmlformats.org/officeDocument/2006/relationships/hyperlink" Target="https://www.google.com/maps/d/viewer?mid=1hvbKFMO-d5TXrKGU-g5dt_xcdArB1D0&amp;ll=34.71147784120261%2C-92.40574350000001&amp;z=17" TargetMode="External"/><Relationship Id="rId114" Type="http://schemas.openxmlformats.org/officeDocument/2006/relationships/hyperlink" Target="https://www.google.com/maps/d/viewer?hl=es&amp;mid=1C1oZdjH3dNvCvqdpIv_Lk0Yn1OCVn-4&amp;ll=38.965368114274455%2C-92.3405954&amp;z=15" TargetMode="External"/><Relationship Id="rId461" Type="http://schemas.openxmlformats.org/officeDocument/2006/relationships/hyperlink" Target="https://www.google.com/maps/d/viewer?hl=es&amp;mid=1C1oZdjH3dNvCvqdpIv_Lk0Yn1OCVn-4&amp;ll=38.965368114274455%2C-92.3405954&amp;z=15" TargetMode="External"/><Relationship Id="rId559" Type="http://schemas.openxmlformats.org/officeDocument/2006/relationships/hyperlink" Target="https://www.google.com/maps/d/viewer?mid=1FEo41PzFJQjUIXXKitX5TNCtuqR6Vbs&amp;ll=41.1663376742533%2C-73.22955662049608&amp;z=16" TargetMode="External"/><Relationship Id="rId766" Type="http://schemas.openxmlformats.org/officeDocument/2006/relationships/hyperlink" Target="https://www.google.com/maps/d/edit?hl=es&amp;mid=1uPmsRMsXnp74hPFW2t-sp2totVWF_xY&amp;ll=32.83050137713022%2C-96.83197783061323&amp;z=17" TargetMode="External"/><Relationship Id="rId198" Type="http://schemas.openxmlformats.org/officeDocument/2006/relationships/hyperlink" Target="https://www.google.com/maps/d/viewer?mid=1whGZ1PLqmhJnGFz8uigZqUL4cHGGW3w&amp;ll=38.668847686454825%2C-90.4433601&amp;z=17" TargetMode="External"/><Relationship Id="rId321" Type="http://schemas.openxmlformats.org/officeDocument/2006/relationships/hyperlink" Target="https://www.google.com/maps/d/viewer?hl=es&amp;mid=1C1oZdjH3dNvCvqdpIv_Lk0Yn1OCVn-4&amp;ll=38.965368114274426%2C-92.3405954&amp;z=15" TargetMode="External"/><Relationship Id="rId419" Type="http://schemas.openxmlformats.org/officeDocument/2006/relationships/hyperlink" Target="https://www.google.com/maps/d/viewer?mid=1ejOzT7-x6RWnCf83BBP7XhiOiwEX3Wk&amp;ll=36.061264791292906%2C-79.87437695000003&amp;z=17" TargetMode="External"/><Relationship Id="rId626" Type="http://schemas.openxmlformats.org/officeDocument/2006/relationships/hyperlink" Target="https://www.google.com/maps/d/viewer?mid=1wg5suxVuxeNp_irHlvN772HcwD6W89E&amp;ll=33.06373951220261%2C-96.82758025000001&amp;z=18" TargetMode="External"/><Relationship Id="rId973" Type="http://schemas.openxmlformats.org/officeDocument/2006/relationships/hyperlink" Target="https://www.google.com/maps/d/edit?hl=es&amp;mid=1uPmsRMsXnp74hPFW2t-sp2totVWF_xY&amp;ll=32.83050137713022%2C-96.83197783061323&amp;z=17" TargetMode="External"/><Relationship Id="rId1049" Type="http://schemas.openxmlformats.org/officeDocument/2006/relationships/hyperlink" Target="https://www.google.com/maps/d/viewer?mid=1gN2lJ0iT7m5VNhD7aDcxE8AdXqtcOZc&amp;ll=40.396096737592195%2C-104.746842&amp;z=16" TargetMode="External"/><Relationship Id="rId833" Type="http://schemas.openxmlformats.org/officeDocument/2006/relationships/hyperlink" Target="https://www.google.com/maps/d/viewer?hl=es&amp;mid=1C1oZdjH3dNvCvqdpIv_Lk0Yn1OCVn-4&amp;ll=38.965368114274455%2C-92.3405954&amp;z=15" TargetMode="External"/><Relationship Id="rId265" Type="http://schemas.openxmlformats.org/officeDocument/2006/relationships/hyperlink" Target="https://www.google.com/maps/d/viewer?mid=1ot0ILX76JMuvd9yMuqkb4_e0yH1n7TA&amp;ll=45.07815812965141%2C-93.33506855000002&amp;z=17" TargetMode="External"/><Relationship Id="rId472" Type="http://schemas.openxmlformats.org/officeDocument/2006/relationships/hyperlink" Target="https://www.google.com/maps/d/viewer?mid=1ejOzT7-x6RWnCf83BBP7XhiOiwEX3Wk&amp;ll=36.061264791292906%2C-79.87437695000003&amp;z=17" TargetMode="External"/><Relationship Id="rId900" Type="http://schemas.openxmlformats.org/officeDocument/2006/relationships/hyperlink" Target="https://www.google.com/maps/d/viewer?mid=1ubI2iKs1JyYXssuT4oLPnVvFnyLPi_s&amp;ll=40.878808846788026%2C-73.98560655&amp;z=17" TargetMode="External"/><Relationship Id="rId125" Type="http://schemas.openxmlformats.org/officeDocument/2006/relationships/hyperlink" Target="https://www.google.com/maps/d/viewer?mid=1AyViBuyeq7iwDua1SVudJ2A1BYi3IBA&amp;ll=27.38181516363982%2C-80.32568845000002&amp;z=18" TargetMode="External"/><Relationship Id="rId332" Type="http://schemas.openxmlformats.org/officeDocument/2006/relationships/hyperlink" Target="https://www.google.com/maps/d/viewer?mid=1AyViBuyeq7iwDua1SVudJ2A1BYi3IBA&amp;ll=27.38181516363982%2C-80.32568845000002&amp;z=18" TargetMode="External"/><Relationship Id="rId777" Type="http://schemas.openxmlformats.org/officeDocument/2006/relationships/hyperlink" Target="https://www.google.com/maps/d/edit?hl=es&amp;mid=1uPmsRMsXnp74hPFW2t-sp2totVWF_xY&amp;ll=32.83050137713022%2C-96.83197783061323&amp;z=17" TargetMode="External"/><Relationship Id="rId984" Type="http://schemas.openxmlformats.org/officeDocument/2006/relationships/hyperlink" Target="https://www.google.com/maps/d/viewer?hl=es&amp;mid=1C1oZdjH3dNvCvqdpIv_Lk0Yn1OCVn-4&amp;ll=38.965368114274455%2C-92.3405954&amp;z=15" TargetMode="External"/><Relationship Id="rId637" Type="http://schemas.openxmlformats.org/officeDocument/2006/relationships/hyperlink" Target="https://www.google.com/maps/d/edit?hl=en&amp;mid=1UHmt7tH1ihTa85i0MfQIcTfVvIQg_vM&amp;ll=41.024187580466844%2C-73.63702405370861&amp;z=18" TargetMode="External"/><Relationship Id="rId844" Type="http://schemas.openxmlformats.org/officeDocument/2006/relationships/hyperlink" Target="https://www.google.com/maps/d/viewer?mid=1whGZ1PLqmhJnGFz8uigZqUL4cHGGW3w&amp;ll=38.668847686454825%2C-90.4433601&amp;z=17" TargetMode="External"/><Relationship Id="rId276" Type="http://schemas.openxmlformats.org/officeDocument/2006/relationships/hyperlink" Target="https://www.google.com/maps/d/viewer?mid=1ejOzT7-x6RWnCf83BBP7XhiOiwEX3Wk&amp;ll=36.061264791292906%2C-79.87437695000003&amp;z=17" TargetMode="External"/><Relationship Id="rId483" Type="http://schemas.openxmlformats.org/officeDocument/2006/relationships/hyperlink" Target="https://www.google.com/maps/d/viewer?mid=1bDs0QGFZwL3vEeGKxjVMk_j4azr0-lg&amp;ll=33.4593758581648%2C-112.28793780000001&amp;z=18" TargetMode="External"/><Relationship Id="rId690" Type="http://schemas.openxmlformats.org/officeDocument/2006/relationships/hyperlink" Target="https://www.google.com/maps/d/edit?hl=es&amp;mid=1uPmsRMsXnp74hPFW2t-sp2totVWF_xY&amp;ll=32.83050137713022%2C-96.83197783061323&amp;z=17" TargetMode="External"/><Relationship Id="rId704" Type="http://schemas.openxmlformats.org/officeDocument/2006/relationships/hyperlink" Target="https://www.google.com/maps/d/edit?hl=es&amp;mid=1uPmsRMsXnp74hPFW2t-sp2totVWF_xY&amp;ll=32.83050137713022%2C-96.83197783061323&amp;z=17" TargetMode="External"/><Relationship Id="rId911" Type="http://schemas.openxmlformats.org/officeDocument/2006/relationships/hyperlink" Target="https://www.google.com/maps/d/viewer?hl=es&amp;mid=1C1oZdjH3dNvCvqdpIv_Lk0Yn1OCVn-4&amp;ll=38.965368114274455%2C-92.3405954&amp;z=15" TargetMode="External"/><Relationship Id="rId40" Type="http://schemas.openxmlformats.org/officeDocument/2006/relationships/hyperlink" Target="https://www.google.com/maps/d/viewer?mid=1FEo41PzFJQjUIXXKitX5TNCtuqR6Vbs&amp;ll=41.1663376742533%2C-73.22955662049608&amp;z=16" TargetMode="External"/><Relationship Id="rId136" Type="http://schemas.openxmlformats.org/officeDocument/2006/relationships/hyperlink" Target="https://www.google.com/maps/d/viewer?mid=1gN2lJ0iT7m5VNhD7aDcxE8AdXqtcOZc&amp;ll=40.396096737592195%2C-104.746842&amp;z=16" TargetMode="External"/><Relationship Id="rId343" Type="http://schemas.openxmlformats.org/officeDocument/2006/relationships/hyperlink" Target="https://www.google.com/maps/d/viewer?mid=1FEo41PzFJQjUIXXKitX5TNCtuqR6Vbs&amp;ll=41.1663376742533%2C-73.22955662049608&amp;z=16" TargetMode="External"/><Relationship Id="rId550" Type="http://schemas.openxmlformats.org/officeDocument/2006/relationships/hyperlink" Target="https://www.google.com/maps/d/viewer?mid=1whGZ1PLqmhJnGFz8uigZqUL4cHGGW3w&amp;ll=38.668847686454825%2C-90.4433601&amp;z=17" TargetMode="External"/><Relationship Id="rId788" Type="http://schemas.openxmlformats.org/officeDocument/2006/relationships/hyperlink" Target="https://www.google.com/maps/d/edit?hl=es&amp;mid=1uPmsRMsXnp74hPFW2t-sp2totVWF_xY&amp;ll=32.83050137713022%2C-96.83197783061323&amp;z=17" TargetMode="External"/><Relationship Id="rId995" Type="http://schemas.openxmlformats.org/officeDocument/2006/relationships/hyperlink" Target="https://www.google.com/maps/d/viewer?mid=1ejOzT7-x6RWnCf83BBP7XhiOiwEX3Wk&amp;ll=36.061264791292906%2C-79.87437695000003&amp;z=17" TargetMode="External"/><Relationship Id="rId203" Type="http://schemas.openxmlformats.org/officeDocument/2006/relationships/hyperlink" Target="https://www.google.com/maps/d/viewer?mid=1whGZ1PLqmhJnGFz8uigZqUL4cHGGW3w&amp;ll=38.668847686454825%2C-90.4433601&amp;z=17" TargetMode="External"/><Relationship Id="rId648" Type="http://schemas.openxmlformats.org/officeDocument/2006/relationships/hyperlink" Target="https://www.google.com/maps/d/edit?hl=en&amp;mid=1UHmt7tH1ihTa85i0MfQIcTfVvIQg_vM&amp;ll=41.024187580466844%2C-73.63702405370861&amp;z=18" TargetMode="External"/><Relationship Id="rId855" Type="http://schemas.openxmlformats.org/officeDocument/2006/relationships/hyperlink" Target="https://www.google.com/maps/d/viewer?hl=es&amp;mid=1C1oZdjH3dNvCvqdpIv_Lk0Yn1OCVn-4&amp;ll=38.965368114274426%2C-92.3405954&amp;z=15" TargetMode="External"/><Relationship Id="rId1040" Type="http://schemas.openxmlformats.org/officeDocument/2006/relationships/hyperlink" Target="https://www.google.com/maps/d/viewer?mid=1gN2lJ0iT7m5VNhD7aDcxE8AdXqtcOZc&amp;ll=40.396096737592195%2C-104.746842&amp;z=16" TargetMode="External"/><Relationship Id="rId287" Type="http://schemas.openxmlformats.org/officeDocument/2006/relationships/hyperlink" Target="https://www.google.com/maps/d/viewer?mid=1FEo41PzFJQjUIXXKitX5TNCtuqR6Vbs&amp;ll=41.1663376742533%2C-73.22955662049608&amp;z=16" TargetMode="External"/><Relationship Id="rId410" Type="http://schemas.openxmlformats.org/officeDocument/2006/relationships/hyperlink" Target="https://www.google.com/maps/d/viewer?hl=es&amp;mid=1C1oZdjH3dNvCvqdpIv_Lk0Yn1OCVn-4&amp;ll=38.965368114274455%2C-92.3405954&amp;z=15" TargetMode="External"/><Relationship Id="rId494" Type="http://schemas.openxmlformats.org/officeDocument/2006/relationships/hyperlink" Target="https://www.google.com/maps/d/viewer?mid=1AyViBuyeq7iwDua1SVudJ2A1BYi3IBA&amp;ll=27.38181516363982%2C-80.32568845000002&amp;z=18" TargetMode="External"/><Relationship Id="rId508" Type="http://schemas.openxmlformats.org/officeDocument/2006/relationships/hyperlink" Target="https://www.google.com/maps/d/viewer?mid=1hvbKFMO-d5TXrKGU-g5dt_xcdArB1D0&amp;ll=34.71147784120261%2C-92.40574350000001&amp;z=17" TargetMode="External"/><Relationship Id="rId715" Type="http://schemas.openxmlformats.org/officeDocument/2006/relationships/hyperlink" Target="https://www.google.com/maps/d/edit?hl=es&amp;mid=1uPmsRMsXnp74hPFW2t-sp2totVWF_xY&amp;ll=32.83050137713022%2C-96.83197783061323&amp;z=17" TargetMode="External"/><Relationship Id="rId922" Type="http://schemas.openxmlformats.org/officeDocument/2006/relationships/hyperlink" Target="https://www.google.com/maps/d/viewer?mid=1wg5suxVuxeNp_irHlvN772HcwD6W89E&amp;ll=33.06373951220261%2C-96.82758025000001&amp;z=18" TargetMode="External"/><Relationship Id="rId147" Type="http://schemas.openxmlformats.org/officeDocument/2006/relationships/hyperlink" Target="https://www.google.com/maps/d/viewer?mid=1ejOzT7-x6RWnCf83BBP7XhiOiwEX3Wk&amp;ll=36.061264791292906%2C-79.87437695000003&amp;z=17" TargetMode="External"/><Relationship Id="rId354" Type="http://schemas.openxmlformats.org/officeDocument/2006/relationships/hyperlink" Target="https://www.google.com/maps/d/viewer?hl=es&amp;mid=1C1oZdjH3dNvCvqdpIv_Lk0Yn1OCVn-4&amp;ll=38.965368114274455%2C-92.3405954&amp;z=15" TargetMode="External"/><Relationship Id="rId799" Type="http://schemas.openxmlformats.org/officeDocument/2006/relationships/hyperlink" Target="https://www.google.com/maps/d/edit?mid=18OEO_KbvYcgI3N1jE4gTMXfNHTNDrFU&amp;ll=32.66603989958274%2C-97.42021198201722&amp;z=18" TargetMode="External"/><Relationship Id="rId51" Type="http://schemas.openxmlformats.org/officeDocument/2006/relationships/hyperlink" Target="https://www.google.com/maps/d/viewer?mid=1hvbKFMO-d5TXrKGU-g5dt_xcdArB1D0&amp;ll=34.71147784120261%2C-92.40574350000001&amp;z=17" TargetMode="External"/><Relationship Id="rId561" Type="http://schemas.openxmlformats.org/officeDocument/2006/relationships/hyperlink" Target="https://www.google.com/maps/d/viewer?mid=1hvbKFMO-d5TXrKGU-g5dt_xcdArB1D0&amp;ll=34.71147784120261%2C-92.40574350000001&amp;z=17" TargetMode="External"/><Relationship Id="rId659" Type="http://schemas.openxmlformats.org/officeDocument/2006/relationships/hyperlink" Target="https://www.google.com/maps/d/edit?hl=es&amp;mid=1uPmsRMsXnp74hPFW2t-sp2totVWF_xY&amp;ll=32.83050137713022%2C-96.83197783061323&amp;z=17" TargetMode="External"/><Relationship Id="rId866" Type="http://schemas.openxmlformats.org/officeDocument/2006/relationships/hyperlink" Target="https://www.google.com/maps/d/viewer?mid=1hvbKFMO-d5TXrKGU-g5dt_xcdArB1D0&amp;ll=34.71147784120261%2C-92.40574350000001&amp;z=17" TargetMode="External"/><Relationship Id="rId214" Type="http://schemas.openxmlformats.org/officeDocument/2006/relationships/hyperlink" Target="https://www.google.com/maps/d/viewer?hl=es&amp;mid=1C1oZdjH3dNvCvqdpIv_Lk0Yn1OCVn-4&amp;ll=38.965368114274455%2C-92.3405954&amp;z=15" TargetMode="External"/><Relationship Id="rId298" Type="http://schemas.openxmlformats.org/officeDocument/2006/relationships/hyperlink" Target="https://www.google.com/maps/d/viewer?hl=es&amp;mid=1C1oZdjH3dNvCvqdpIv_Lk0Yn1OCVn-4&amp;ll=38.965368114274455%2C-92.3405954&amp;z=15" TargetMode="External"/><Relationship Id="rId421" Type="http://schemas.openxmlformats.org/officeDocument/2006/relationships/hyperlink" Target="https://www.google.com/maps/d/viewer?mid=1ubI2iKs1JyYXssuT4oLPnVvFnyLPi_s&amp;ll=40.878808846788026%2C-73.98560655&amp;z=17" TargetMode="External"/><Relationship Id="rId519" Type="http://schemas.openxmlformats.org/officeDocument/2006/relationships/hyperlink" Target="https://www.google.com/maps/d/viewer?hl=es&amp;mid=1C1oZdjH3dNvCvqdpIv_Lk0Yn1OCVn-4&amp;ll=38.965368114274455%2C-92.3405954&amp;z=15" TargetMode="External"/><Relationship Id="rId1051" Type="http://schemas.openxmlformats.org/officeDocument/2006/relationships/hyperlink" Target="https://www.google.com/maps/d/viewer?mid=1gN2lJ0iT7m5VNhD7aDcxE8AdXqtcOZc&amp;ll=40.396096737592195%2C-104.746842&amp;z=16" TargetMode="External"/><Relationship Id="rId158" Type="http://schemas.openxmlformats.org/officeDocument/2006/relationships/hyperlink" Target="https://www.google.com/maps/d/viewer?mid=1ejOzT7-x6RWnCf83BBP7XhiOiwEX3Wk&amp;ll=36.061264791292906%2C-79.87437695000003&amp;z=17" TargetMode="External"/><Relationship Id="rId726" Type="http://schemas.openxmlformats.org/officeDocument/2006/relationships/hyperlink" Target="https://www.google.com/maps/d/edit?hl=es&amp;mid=1uPmsRMsXnp74hPFW2t-sp2totVWF_xY&amp;ll=32.83050137713022%2C-96.83197783061323&amp;z=17" TargetMode="External"/><Relationship Id="rId933" Type="http://schemas.openxmlformats.org/officeDocument/2006/relationships/hyperlink" Target="https://www.google.com/maps/d/viewer?hl=es&amp;mid=1C1oZdjH3dNvCvqdpIv_Lk0Yn1OCVn-4&amp;ll=38.965368114274455%2C-92.3405954&amp;z=15" TargetMode="External"/><Relationship Id="rId1009" Type="http://schemas.openxmlformats.org/officeDocument/2006/relationships/hyperlink" Target="https://www.google.com/maps/d/viewer?mid=1gN2lJ0iT7m5VNhD7aDcxE8AdXqtcOZc&amp;ll=40.396096737592195%2C-104.746842&amp;z=16" TargetMode="External"/><Relationship Id="rId62" Type="http://schemas.openxmlformats.org/officeDocument/2006/relationships/hyperlink" Target="https://www.google.com/maps/d/viewer?mid=1ot0ILX76JMuvd9yMuqkb4_e0yH1n7TA&amp;ll=45.07815812965141%2C-93.33506855000002&amp;z=17" TargetMode="External"/><Relationship Id="rId365" Type="http://schemas.openxmlformats.org/officeDocument/2006/relationships/hyperlink" Target="https://www.google.com/maps/d/viewer?mid=1ejOzT7-x6RWnCf83BBP7XhiOiwEX3Wk&amp;ll=36.061264791292906%2C-79.87437695000003&amp;z=17" TargetMode="External"/><Relationship Id="rId572" Type="http://schemas.openxmlformats.org/officeDocument/2006/relationships/hyperlink" Target="https://www.google.com/maps/d/viewer?hl=es&amp;mid=1C1oZdjH3dNvCvqdpIv_Lk0Yn1OCVn-4&amp;ll=38.965368114274455%2C-92.3405954&amp;z=15" TargetMode="External"/><Relationship Id="rId225" Type="http://schemas.openxmlformats.org/officeDocument/2006/relationships/hyperlink" Target="https://www.google.com/maps/d/viewer?mid=1whGZ1PLqmhJnGFz8uigZqUL4cHGGW3w&amp;ll=38.668847686454825%2C-90.4433601&amp;z=17" TargetMode="External"/><Relationship Id="rId432" Type="http://schemas.openxmlformats.org/officeDocument/2006/relationships/hyperlink" Target="https://www.google.com/maps/d/viewer?hl=es&amp;mid=1C1oZdjH3dNvCvqdpIv_Lk0Yn1OCVn-4&amp;ll=38.965368114274455%2C-92.3405954&amp;z=15" TargetMode="External"/><Relationship Id="rId877" Type="http://schemas.openxmlformats.org/officeDocument/2006/relationships/hyperlink" Target="https://www.google.com/maps/d/viewer?mid=1whGZ1PLqmhJnGFz8uigZqUL4cHGGW3w&amp;ll=38.668847686454825%2C-90.4433601&amp;z=17" TargetMode="External"/><Relationship Id="rId1062" Type="http://schemas.openxmlformats.org/officeDocument/2006/relationships/comments" Target="../comments1.xml"/><Relationship Id="rId737" Type="http://schemas.openxmlformats.org/officeDocument/2006/relationships/hyperlink" Target="https://www.google.com/maps/d/edit?hl=es&amp;mid=1uPmsRMsXnp74hPFW2t-sp2totVWF_xY&amp;ll=32.83050137713022%2C-96.83197783061323&amp;z=17" TargetMode="External"/><Relationship Id="rId944" Type="http://schemas.openxmlformats.org/officeDocument/2006/relationships/hyperlink" Target="https://www.google.com/maps/d/viewer?hl=es&amp;mid=1C1oZdjH3dNvCvqdpIv_Lk0Yn1OCVn-4&amp;ll=38.965368114274455%2C-92.3405954&amp;z=15" TargetMode="External"/><Relationship Id="rId73" Type="http://schemas.openxmlformats.org/officeDocument/2006/relationships/hyperlink" Target="https://www.google.com/maps/d/viewer?mid=1bDs0QGFZwL3vEeGKxjVMk_j4azr0-lg&amp;ll=33.4593758581648%2C-112.28793780000001&amp;z=18" TargetMode="External"/><Relationship Id="rId169" Type="http://schemas.openxmlformats.org/officeDocument/2006/relationships/hyperlink" Target="https://www.google.com/maps/d/viewer?mid=1whGZ1PLqmhJnGFz8uigZqUL4cHGGW3w&amp;ll=38.668847686454825%2C-90.4433601&amp;z=17" TargetMode="External"/><Relationship Id="rId376" Type="http://schemas.openxmlformats.org/officeDocument/2006/relationships/hyperlink" Target="https://www.google.com/maps/d/viewer?hl=es&amp;mid=1C1oZdjH3dNvCvqdpIv_Lk0Yn1OCVn-4&amp;ll=38.965368114274426%2C-92.3405954&amp;z=15" TargetMode="External"/><Relationship Id="rId583" Type="http://schemas.openxmlformats.org/officeDocument/2006/relationships/hyperlink" Target="https://www.google.com/maps/d/viewer?mid=1wg5suxVuxeNp_irHlvN772HcwD6W89E&amp;ll=33.06373951220261%2C-96.82758025000001&amp;z=18" TargetMode="External"/><Relationship Id="rId790" Type="http://schemas.openxmlformats.org/officeDocument/2006/relationships/hyperlink" Target="https://www.google.com/maps/d/edit?hl=es&amp;mid=1uPmsRMsXnp74hPFW2t-sp2totVWF_xY&amp;ll=32.83050137713022%2C-96.83197783061323&amp;z=17" TargetMode="External"/><Relationship Id="rId804" Type="http://schemas.openxmlformats.org/officeDocument/2006/relationships/hyperlink" Target="https://www.google.com/maps/d/edit?mid=18OEO_KbvYcgI3N1jE4gTMXfNHTNDrFU&amp;ll=32.66603989958274%2C-97.42021198201722&amp;z=18" TargetMode="External"/><Relationship Id="rId4" Type="http://schemas.openxmlformats.org/officeDocument/2006/relationships/hyperlink" Target="https://www.google.com/maps/d/viewer?mid=1NUHnuuvX1Qqxq7v0ZyiWm0dkOdpyVTU&amp;ll=30.069943866204238%2C-95.43812890000001&amp;z=18" TargetMode="External"/><Relationship Id="rId236" Type="http://schemas.openxmlformats.org/officeDocument/2006/relationships/hyperlink" Target="https://www.google.com/maps/d/viewer?mid=1hvbKFMO-d5TXrKGU-g5dt_xcdArB1D0&amp;ll=34.71147784120261%2C-92.40574350000001&amp;z=17" TargetMode="External"/><Relationship Id="rId443" Type="http://schemas.openxmlformats.org/officeDocument/2006/relationships/hyperlink" Target="https://www.google.com/maps/d/viewer?mid=1ejOzT7-x6RWnCf83BBP7XhiOiwEX3Wk&amp;ll=36.061264791292906%2C-79.87437695000003&amp;z=17" TargetMode="External"/><Relationship Id="rId650" Type="http://schemas.openxmlformats.org/officeDocument/2006/relationships/hyperlink" Target="https://www.google.com/maps/d/edit?hl=es&amp;mid=1uPmsRMsXnp74hPFW2t-sp2totVWF_xY&amp;ll=32.83050137713022%2C-96.83197783061323&amp;z=17" TargetMode="External"/><Relationship Id="rId888" Type="http://schemas.openxmlformats.org/officeDocument/2006/relationships/hyperlink" Target="https://www.google.com/maps/d/edit?hl=es&amp;mid=1uPmsRMsXnp74hPFW2t-sp2totVWF_xY&amp;ll=32.83050137713022%2C-96.83197783061323&amp;z=17" TargetMode="External"/><Relationship Id="rId303" Type="http://schemas.openxmlformats.org/officeDocument/2006/relationships/hyperlink" Target="https://www.google.com/maps/d/viewer?mid=1ejOzT7-x6RWnCf83BBP7XhiOiwEX3Wk&amp;ll=36.061264791292906%2C-79.87437695000003&amp;z=17" TargetMode="External"/><Relationship Id="rId748" Type="http://schemas.openxmlformats.org/officeDocument/2006/relationships/hyperlink" Target="https://www.google.com/maps/d/edit?hl=es&amp;mid=1uPmsRMsXnp74hPFW2t-sp2totVWF_xY&amp;ll=32.83050137713022%2C-96.83197783061323&amp;z=17" TargetMode="External"/><Relationship Id="rId955" Type="http://schemas.openxmlformats.org/officeDocument/2006/relationships/hyperlink" Target="https://www.google.com/maps/d/viewer?mid=1ejOzT7-x6RWnCf83BBP7XhiOiwEX3Wk&amp;ll=36.061264791292906%2C-79.87437695000003&amp;z=17" TargetMode="External"/><Relationship Id="rId84" Type="http://schemas.openxmlformats.org/officeDocument/2006/relationships/hyperlink" Target="https://www.google.com/maps/d/viewer?hl=es&amp;mid=1C1oZdjH3dNvCvqdpIv_Lk0Yn1OCVn-4&amp;ll=38.965368114274455%2C-92.3405954&amp;z=15" TargetMode="External"/><Relationship Id="rId387" Type="http://schemas.openxmlformats.org/officeDocument/2006/relationships/hyperlink" Target="https://www.google.com/maps/d/viewer?mid=1AyViBuyeq7iwDua1SVudJ2A1BYi3IBA&amp;ll=27.38181516363982%2C-80.32568845000002&amp;z=18" TargetMode="External"/><Relationship Id="rId510" Type="http://schemas.openxmlformats.org/officeDocument/2006/relationships/hyperlink" Target="https://www.google.com/maps/d/viewer?mid=1bDs0QGFZwL3vEeGKxjVMk_j4azr0-lg&amp;ll=33.4593758581648%2C-112.28793780000001&amp;z=18" TargetMode="External"/><Relationship Id="rId594" Type="http://schemas.openxmlformats.org/officeDocument/2006/relationships/hyperlink" Target="https://www.google.com/maps/d/viewer?mid=1wg5suxVuxeNp_irHlvN772HcwD6W89E&amp;ll=33.06373951220261%2C-96.82758025000001&amp;z=18" TargetMode="External"/><Relationship Id="rId608" Type="http://schemas.openxmlformats.org/officeDocument/2006/relationships/hyperlink" Target="https://www.google.com/maps/d/viewer?mid=1wg5suxVuxeNp_irHlvN772HcwD6W89E&amp;ll=33.06373951220261%2C-96.82758025000001&amp;z=18" TargetMode="External"/><Relationship Id="rId815" Type="http://schemas.openxmlformats.org/officeDocument/2006/relationships/hyperlink" Target="https://www.google.com/maps/d/viewer?mid=1FEo41PzFJQjUIXXKitX5TNCtuqR6Vbs&amp;ll=41.1663376742533%2C-73.22955662049608&amp;z=16" TargetMode="External"/><Relationship Id="rId247" Type="http://schemas.openxmlformats.org/officeDocument/2006/relationships/hyperlink" Target="https://www.google.com/maps/d/viewer?hl=es&amp;mid=1C1oZdjH3dNvCvqdpIv_Lk0Yn1OCVn-4&amp;ll=38.965368114274455%2C-92.3405954&amp;z=15" TargetMode="External"/><Relationship Id="rId899" Type="http://schemas.openxmlformats.org/officeDocument/2006/relationships/hyperlink" Target="https://www.google.com/maps/d/edit?hl=es&amp;mid=1uPmsRMsXnp74hPFW2t-sp2totVWF_xY&amp;ll=32.83050137713022%2C-96.83197783061323&amp;z=17" TargetMode="External"/><Relationship Id="rId1000" Type="http://schemas.openxmlformats.org/officeDocument/2006/relationships/hyperlink" Target="https://www.google.com/maps/d/edit?hl=es&amp;mid=1uPmsRMsXnp74hPFW2t-sp2totVWF_xY&amp;ll=32.83050137713022%2C-96.83197783061323&amp;z=17" TargetMode="External"/><Relationship Id="rId107" Type="http://schemas.openxmlformats.org/officeDocument/2006/relationships/hyperlink" Target="https://www.google.com/maps/d/viewer?hl=es&amp;mid=1C1oZdjH3dNvCvqdpIv_Lk0Yn1OCVn-4&amp;ll=38.965368114274455%2C-92.3405954&amp;z=15" TargetMode="External"/><Relationship Id="rId454" Type="http://schemas.openxmlformats.org/officeDocument/2006/relationships/hyperlink" Target="https://www.google.com/maps/d/viewer?mid=1hvbKFMO-d5TXrKGU-g5dt_xcdArB1D0&amp;ll=34.71147784120261%2C-92.40574350000001&amp;z=17" TargetMode="External"/><Relationship Id="rId661" Type="http://schemas.openxmlformats.org/officeDocument/2006/relationships/hyperlink" Target="https://www.google.com/maps/d/edit?hl=es&amp;mid=1uPmsRMsXnp74hPFW2t-sp2totVWF_xY&amp;ll=32.83050137713022%2C-96.83197783061323&amp;z=17" TargetMode="External"/><Relationship Id="rId759" Type="http://schemas.openxmlformats.org/officeDocument/2006/relationships/hyperlink" Target="https://www.google.com/maps/d/edit?hl=es&amp;mid=1uPmsRMsXnp74hPFW2t-sp2totVWF_xY&amp;ll=32.83050137713022%2C-96.83197783061323&amp;z=17" TargetMode="External"/><Relationship Id="rId966" Type="http://schemas.openxmlformats.org/officeDocument/2006/relationships/hyperlink" Target="https://www.google.com/maps/d/edit?mid=18OEO_KbvYcgI3N1jE4gTMXfNHTNDrFU&amp;ll=32.66603989958274%2C-97.42021198201722&amp;z=18" TargetMode="External"/><Relationship Id="rId11" Type="http://schemas.openxmlformats.org/officeDocument/2006/relationships/hyperlink" Target="https://www.google.com/maps/d/viewer?mid=1ubI2iKs1JyYXssuT4oLPnVvFnyLPi_s&amp;ll=40.878808846788026%2C-73.98560655&amp;z=17" TargetMode="External"/><Relationship Id="rId314" Type="http://schemas.openxmlformats.org/officeDocument/2006/relationships/hyperlink" Target="https://www.google.com/maps/d/viewer?mid=1FEo41PzFJQjUIXXKitX5TNCtuqR6Vbs&amp;ll=41.1663376742533%2C-73.22955662049608&amp;z=16" TargetMode="External"/><Relationship Id="rId398" Type="http://schemas.openxmlformats.org/officeDocument/2006/relationships/hyperlink" Target="https://www.google.com/maps/d/viewer?mid=1hvbKFMO-d5TXrKGU-g5dt_xcdArB1D0&amp;ll=34.71147784120261%2C-92.40574350000001&amp;z=17" TargetMode="External"/><Relationship Id="rId521" Type="http://schemas.openxmlformats.org/officeDocument/2006/relationships/hyperlink" Target="https://www.google.com/maps/d/viewer?mid=1AyViBuyeq7iwDua1SVudJ2A1BYi3IBA&amp;ll=27.38181516363982%2C-80.32568845000002&amp;z=18" TargetMode="External"/><Relationship Id="rId619" Type="http://schemas.openxmlformats.org/officeDocument/2006/relationships/hyperlink" Target="https://www.google.com/maps/d/viewer?mid=1wg5suxVuxeNp_irHlvN772HcwD6W89E&amp;ll=33.06373951220261%2C-96.82758025000001&amp;z=18" TargetMode="External"/><Relationship Id="rId95" Type="http://schemas.openxmlformats.org/officeDocument/2006/relationships/hyperlink" Target="https://www.google.com/maps/d/viewer?hl=es&amp;mid=1C1oZdjH3dNvCvqdpIv_Lk0Yn1OCVn-4&amp;ll=38.965368114274455%2C-92.3405954&amp;z=15" TargetMode="External"/><Relationship Id="rId160" Type="http://schemas.openxmlformats.org/officeDocument/2006/relationships/hyperlink" Target="https://www.google.com/maps/d/viewer?mid=1ejOzT7-x6RWnCf83BBP7XhiOiwEX3Wk&amp;ll=36.061264791292906%2C-79.87437695000003&amp;z=17" TargetMode="External"/><Relationship Id="rId826" Type="http://schemas.openxmlformats.org/officeDocument/2006/relationships/hyperlink" Target="https://www.google.com/maps/d/viewer?mid=1FEo41PzFJQjUIXXKitX5TNCtuqR6Vbs&amp;ll=41.1663376742533%2C-73.22955662049608&amp;z=16" TargetMode="External"/><Relationship Id="rId1011" Type="http://schemas.openxmlformats.org/officeDocument/2006/relationships/hyperlink" Target="https://www.google.com/maps/d/viewer?mid=1gN2lJ0iT7m5VNhD7aDcxE8AdXqtcOZc&amp;ll=40.396096737592195%2C-104.746842&amp;z=16" TargetMode="External"/><Relationship Id="rId258" Type="http://schemas.openxmlformats.org/officeDocument/2006/relationships/hyperlink" Target="https://www.google.com/maps/d/viewer?mid=1ubI2iKs1JyYXssuT4oLPnVvFnyLPi_s&amp;ll=40.878808846788026%2C-73.98560655&amp;z=17" TargetMode="External"/><Relationship Id="rId465" Type="http://schemas.openxmlformats.org/officeDocument/2006/relationships/hyperlink" Target="https://www.google.com/maps/d/viewer?hl=es&amp;mid=1C1oZdjH3dNvCvqdpIv_Lk0Yn1OCVn-4&amp;ll=38.965368114274455%2C-92.3405954&amp;z=15" TargetMode="External"/><Relationship Id="rId672" Type="http://schemas.openxmlformats.org/officeDocument/2006/relationships/hyperlink" Target="https://www.google.com/maps/d/edit?hl=es&amp;mid=1uPmsRMsXnp74hPFW2t-sp2totVWF_xY&amp;ll=32.83050137713022%2C-96.83197783061323&amp;z=17" TargetMode="External"/><Relationship Id="rId22" Type="http://schemas.openxmlformats.org/officeDocument/2006/relationships/hyperlink" Target="https://www.google.com/maps/d/viewer?mid=1ebZp8DeTYSXNPgDIA63nFVDu9ohaO4E&amp;ll=41.08027837958441%2C-73.46597874999999&amp;z=15" TargetMode="External"/><Relationship Id="rId118" Type="http://schemas.openxmlformats.org/officeDocument/2006/relationships/hyperlink" Target="https://www.google.com/maps/d/viewer?mid=1ejOzT7-x6RWnCf83BBP7XhiOiwEX3Wk&amp;ll=36.061264791292906%2C-79.87437695000003&amp;z=17" TargetMode="External"/><Relationship Id="rId325" Type="http://schemas.openxmlformats.org/officeDocument/2006/relationships/hyperlink" Target="https://www.google.com/maps/d/viewer?hl=es&amp;mid=1C1oZdjH3dNvCvqdpIv_Lk0Yn1OCVn-4&amp;ll=38.965368114274455%2C-92.3405954&amp;z=15" TargetMode="External"/><Relationship Id="rId532" Type="http://schemas.openxmlformats.org/officeDocument/2006/relationships/hyperlink" Target="https://www.google.com/maps/d/viewer?mid=1FEo41PzFJQjUIXXKitX5TNCtuqR6Vbs&amp;ll=41.1663376742533%2C-73.22955662049608&amp;z=16" TargetMode="External"/><Relationship Id="rId977" Type="http://schemas.openxmlformats.org/officeDocument/2006/relationships/hyperlink" Target="https://www.google.com/maps/d/viewer?mid=1ebZp8DeTYSXNPgDIA63nFVDu9ohaO4E&amp;ll=41.08027837958441%2C-73.46597874999999&amp;z=15" TargetMode="External"/><Relationship Id="rId171" Type="http://schemas.openxmlformats.org/officeDocument/2006/relationships/hyperlink" Target="https://www.google.com/maps/d/viewer?hl=es&amp;mid=1C1oZdjH3dNvCvqdpIv_Lk0Yn1OCVn-4&amp;ll=38.965368114274455%2C-92.3405954&amp;z=15" TargetMode="External"/><Relationship Id="rId837" Type="http://schemas.openxmlformats.org/officeDocument/2006/relationships/hyperlink" Target="https://www.google.com/maps/d/viewer?mid=1AyViBuyeq7iwDua1SVudJ2A1BYi3IBA&amp;ll=27.38181516363982%2C-80.32568845000002&amp;z=18" TargetMode="External"/><Relationship Id="rId1022" Type="http://schemas.openxmlformats.org/officeDocument/2006/relationships/hyperlink" Target="https://www.google.com/maps/d/viewer?mid=1gN2lJ0iT7m5VNhD7aDcxE8AdXqtcOZc&amp;ll=40.396096737592195%2C-104.746842&amp;z=16" TargetMode="External"/><Relationship Id="rId269" Type="http://schemas.openxmlformats.org/officeDocument/2006/relationships/hyperlink" Target="https://www.google.com/maps/d/viewer?hl=es&amp;mid=1C1oZdjH3dNvCvqdpIv_Lk0Yn1OCVn-4&amp;ll=38.965368114274455%2C-92.3405954&amp;z=15" TargetMode="External"/><Relationship Id="rId476" Type="http://schemas.openxmlformats.org/officeDocument/2006/relationships/hyperlink" Target="https://www.google.com/maps/d/viewer?mid=1ebZp8DeTYSXNPgDIA63nFVDu9ohaO4E&amp;ll=41.08027837958441%2C-73.46597874999999&amp;z=15" TargetMode="External"/><Relationship Id="rId683" Type="http://schemas.openxmlformats.org/officeDocument/2006/relationships/hyperlink" Target="https://www.google.com/maps/d/edit?hl=es&amp;mid=1uPmsRMsXnp74hPFW2t-sp2totVWF_xY&amp;ll=32.83050137713022%2C-96.83197783061323&amp;z=17" TargetMode="External"/><Relationship Id="rId890" Type="http://schemas.openxmlformats.org/officeDocument/2006/relationships/hyperlink" Target="https://www.google.com/maps/d/edit?mid=18OEO_KbvYcgI3N1jE4gTMXfNHTNDrFU&amp;ll=32.66603989958274%2C-97.42021198201722&amp;z=18" TargetMode="External"/><Relationship Id="rId904" Type="http://schemas.openxmlformats.org/officeDocument/2006/relationships/hyperlink" Target="https://www.google.com/maps/d/viewer?mid=1hvbKFMO-d5TXrKGU-g5dt_xcdArB1D0&amp;ll=34.71147784120261%2C-92.40574350000001&amp;z=17" TargetMode="External"/><Relationship Id="rId33" Type="http://schemas.openxmlformats.org/officeDocument/2006/relationships/hyperlink" Target="https://www.google.com/maps/d/viewer?mid=1FEo41PzFJQjUIXXKitX5TNCtuqR6Vbs&amp;ll=41.1663376742533%2C-73.22955662049608&amp;z=16" TargetMode="External"/><Relationship Id="rId129" Type="http://schemas.openxmlformats.org/officeDocument/2006/relationships/hyperlink" Target="https://www.google.com/maps/d/viewer?mid=1AyViBuyeq7iwDua1SVudJ2A1BYi3IBA&amp;ll=27.38181516363982%2C-80.32568845000002&amp;z=18" TargetMode="External"/><Relationship Id="rId336" Type="http://schemas.openxmlformats.org/officeDocument/2006/relationships/hyperlink" Target="https://www.google.com/maps/d/viewer?mid=1ejOzT7-x6RWnCf83BBP7XhiOiwEX3Wk&amp;ll=36.061264791292906%2C-79.87437695000003&amp;z=17" TargetMode="External"/><Relationship Id="rId543" Type="http://schemas.openxmlformats.org/officeDocument/2006/relationships/hyperlink" Target="https://www.google.com/maps/d/viewer?hl=es&amp;mid=1C1oZdjH3dNvCvqdpIv_Lk0Yn1OCVn-4&amp;ll=38.965368114274455%2C-92.3405954&amp;z=15" TargetMode="External"/><Relationship Id="rId988" Type="http://schemas.openxmlformats.org/officeDocument/2006/relationships/hyperlink" Target="https://www.google.com/maps/d/viewer?mid=1ejOzT7-x6RWnCf83BBP7XhiOiwEX3Wk&amp;ll=36.061264791292906%2C-79.87437695000003&amp;z=17" TargetMode="External"/><Relationship Id="rId182" Type="http://schemas.openxmlformats.org/officeDocument/2006/relationships/hyperlink" Target="https://www.google.com/maps/d/viewer?mid=1hvbKFMO-d5TXrKGU-g5dt_xcdArB1D0&amp;ll=34.71147784120261%2C-92.40574350000001&amp;z=17" TargetMode="External"/><Relationship Id="rId403" Type="http://schemas.openxmlformats.org/officeDocument/2006/relationships/hyperlink" Target="https://www.google.com/maps/d/viewer?hl=es&amp;mid=1C1oZdjH3dNvCvqdpIv_Lk0Yn1OCVn-4&amp;ll=38.965368114274426%2C-92.3405954&amp;z=15" TargetMode="External"/><Relationship Id="rId750" Type="http://schemas.openxmlformats.org/officeDocument/2006/relationships/hyperlink" Target="https://www.google.com/maps/d/edit?hl=es&amp;mid=1uPmsRMsXnp74hPFW2t-sp2totVWF_xY&amp;ll=32.83050137713022%2C-96.83197783061323&amp;z=17" TargetMode="External"/><Relationship Id="rId848" Type="http://schemas.openxmlformats.org/officeDocument/2006/relationships/hyperlink" Target="https://www.google.com/maps/d/edit?hl=es&amp;mid=1uPmsRMsXnp74hPFW2t-sp2totVWF_xY&amp;ll=32.83050137713022%2C-96.83197783061323&amp;z=17" TargetMode="External"/><Relationship Id="rId1033" Type="http://schemas.openxmlformats.org/officeDocument/2006/relationships/hyperlink" Target="https://www.google.com/maps/d/viewer?mid=1gN2lJ0iT7m5VNhD7aDcxE8AdXqtcOZc&amp;ll=40.396096737592195%2C-104.746842&amp;z=16" TargetMode="External"/><Relationship Id="rId487" Type="http://schemas.openxmlformats.org/officeDocument/2006/relationships/hyperlink" Target="https://www.google.com/maps/d/viewer?hl=es&amp;mid=1C1oZdjH3dNvCvqdpIv_Lk0Yn1OCVn-4&amp;ll=38.965368114274455%2C-92.3405954&amp;z=15" TargetMode="External"/><Relationship Id="rId610" Type="http://schemas.openxmlformats.org/officeDocument/2006/relationships/hyperlink" Target="https://www.google.com/maps/d/viewer?mid=1wg5suxVuxeNp_irHlvN772HcwD6W89E&amp;ll=33.06373951220261%2C-96.82758025000001&amp;z=18" TargetMode="External"/><Relationship Id="rId694" Type="http://schemas.openxmlformats.org/officeDocument/2006/relationships/hyperlink" Target="https://www.google.com/maps/d/edit?hl=es&amp;mid=1uPmsRMsXnp74hPFW2t-sp2totVWF_xY&amp;ll=32.83050137713022%2C-96.83197783061323&amp;z=17" TargetMode="External"/><Relationship Id="rId708" Type="http://schemas.openxmlformats.org/officeDocument/2006/relationships/hyperlink" Target="https://www.google.com/maps/d/edit?hl=es&amp;mid=1uPmsRMsXnp74hPFW2t-sp2totVWF_xY&amp;ll=32.83050137713022%2C-96.83197783061323&amp;z=17" TargetMode="External"/><Relationship Id="rId915" Type="http://schemas.openxmlformats.org/officeDocument/2006/relationships/hyperlink" Target="https://www.google.com/maps/d/viewer?mid=1whGZ1PLqmhJnGFz8uigZqUL4cHGGW3w&amp;ll=38.668847686454825%2C-90.4433601&amp;z=17" TargetMode="External"/><Relationship Id="rId347" Type="http://schemas.openxmlformats.org/officeDocument/2006/relationships/hyperlink" Target="https://www.google.com/maps/d/viewer?mid=1ot0ILX76JMuvd9yMuqkb4_e0yH1n7TA&amp;ll=45.07815812965141%2C-93.33506855000002&amp;z=17" TargetMode="External"/><Relationship Id="rId999" Type="http://schemas.openxmlformats.org/officeDocument/2006/relationships/hyperlink" Target="https://www.google.com/maps/d/edit?hl=es&amp;mid=1uPmsRMsXnp74hPFW2t-sp2totVWF_xY&amp;ll=32.83050137713022%2C-96.83197783061323&amp;z=17" TargetMode="External"/><Relationship Id="rId44" Type="http://schemas.openxmlformats.org/officeDocument/2006/relationships/hyperlink" Target="https://www.google.com/maps/d/viewer?mid=1hvbKFMO-d5TXrKGU-g5dt_xcdArB1D0&amp;ll=34.71147784120261%2C-92.40574350000001&amp;z=17" TargetMode="External"/><Relationship Id="rId554" Type="http://schemas.openxmlformats.org/officeDocument/2006/relationships/hyperlink" Target="https://www.google.com/maps/d/viewer?mid=1ejOzT7-x6RWnCf83BBP7XhiOiwEX3Wk&amp;ll=36.061264791292906%2C-79.87437695000003&amp;z=17" TargetMode="External"/><Relationship Id="rId761" Type="http://schemas.openxmlformats.org/officeDocument/2006/relationships/hyperlink" Target="https://www.google.com/maps/d/edit?hl=es&amp;mid=1uPmsRMsXnp74hPFW2t-sp2totVWF_xY&amp;ll=32.83050137713022%2C-96.83197783061323&amp;z=17" TargetMode="External"/><Relationship Id="rId859" Type="http://schemas.openxmlformats.org/officeDocument/2006/relationships/hyperlink" Target="https://www.google.com/maps/d/edit?hl=es&amp;mid=1uPmsRMsXnp74hPFW2t-sp2totVWF_xY&amp;ll=32.83050137713022%2C-96.83197783061323&amp;z=17" TargetMode="External"/><Relationship Id="rId193" Type="http://schemas.openxmlformats.org/officeDocument/2006/relationships/hyperlink" Target="https://www.google.com/maps/d/viewer?hl=es&amp;mid=1C1oZdjH3dNvCvqdpIv_Lk0Yn1OCVn-4&amp;ll=38.965368114274455%2C-92.3405954&amp;z=15" TargetMode="External"/><Relationship Id="rId207" Type="http://schemas.openxmlformats.org/officeDocument/2006/relationships/hyperlink" Target="https://www.google.com/maps/d/viewer?mid=1FEo41PzFJQjUIXXKitX5TNCtuqR6Vbs&amp;ll=41.1663376742533%2C-73.22955662049608&amp;z=16" TargetMode="External"/><Relationship Id="rId414" Type="http://schemas.openxmlformats.org/officeDocument/2006/relationships/hyperlink" Target="https://www.google.com/maps/d/viewer?mid=1AyViBuyeq7iwDua1SVudJ2A1BYi3IBA&amp;ll=27.38181516363982%2C-80.32568845000002&amp;z=18" TargetMode="External"/><Relationship Id="rId498" Type="http://schemas.openxmlformats.org/officeDocument/2006/relationships/hyperlink" Target="https://www.google.com/maps/d/viewer?mid=1ejOzT7-x6RWnCf83BBP7XhiOiwEX3Wk&amp;ll=36.061264791292906%2C-79.87437695000003&amp;z=17" TargetMode="External"/><Relationship Id="rId621" Type="http://schemas.openxmlformats.org/officeDocument/2006/relationships/hyperlink" Target="https://www.google.com/maps/d/viewer?mid=1wg5suxVuxeNp_irHlvN772HcwD6W89E&amp;ll=33.06373951220261%2C-96.82758025000001&amp;z=18" TargetMode="External"/><Relationship Id="rId1044" Type="http://schemas.openxmlformats.org/officeDocument/2006/relationships/hyperlink" Target="https://www.google.com/maps/d/viewer?mid=1gN2lJ0iT7m5VNhD7aDcxE8AdXqtcOZc&amp;ll=40.396096737592195%2C-104.746842&amp;z=16" TargetMode="External"/><Relationship Id="rId260" Type="http://schemas.openxmlformats.org/officeDocument/2006/relationships/hyperlink" Target="https://www.google.com/maps/d/viewer?mid=1FEo41PzFJQjUIXXKitX5TNCtuqR6Vbs&amp;ll=41.1663376742533%2C-73.22955662049608&amp;z=16" TargetMode="External"/><Relationship Id="rId719" Type="http://schemas.openxmlformats.org/officeDocument/2006/relationships/hyperlink" Target="https://www.google.com/maps/d/edit?hl=es&amp;mid=1uPmsRMsXnp74hPFW2t-sp2totVWF_xY&amp;ll=32.83050137713022%2C-96.83197783061323&amp;z=17" TargetMode="External"/><Relationship Id="rId926" Type="http://schemas.openxmlformats.org/officeDocument/2006/relationships/hyperlink" Target="https://www.google.com/maps/d/edit?hl=es&amp;mid=1uPmsRMsXnp74hPFW2t-sp2totVWF_xY&amp;ll=32.83050137713022%2C-96.83197783061323&amp;z=17" TargetMode="External"/><Relationship Id="rId55" Type="http://schemas.openxmlformats.org/officeDocument/2006/relationships/hyperlink" Target="https://www.google.com/maps/d/viewer?mid=1hvbKFMO-d5TXrKGU-g5dt_xcdArB1D0&amp;ll=34.71147784120261%2C-92.40574350000001&amp;z=17" TargetMode="External"/><Relationship Id="rId120" Type="http://schemas.openxmlformats.org/officeDocument/2006/relationships/hyperlink" Target="https://www.google.com/maps/d/viewer?mid=1AyViBuyeq7iwDua1SVudJ2A1BYi3IBA&amp;ll=27.38181516363982%2C-80.32568845000002&amp;z=18" TargetMode="External"/><Relationship Id="rId358" Type="http://schemas.openxmlformats.org/officeDocument/2006/relationships/hyperlink" Target="https://www.google.com/maps/d/viewer?mid=1ejOzT7-x6RWnCf83BBP7XhiOiwEX3Wk&amp;ll=36.061264791292906%2C-79.87437695000003&amp;z=17" TargetMode="External"/><Relationship Id="rId565" Type="http://schemas.openxmlformats.org/officeDocument/2006/relationships/hyperlink" Target="https://www.google.com/maps/d/viewer?hl=es&amp;mid=1C1oZdjH3dNvCvqdpIv_Lk0Yn1OCVn-4&amp;ll=38.965368114274426%2C-92.3405954&amp;z=15" TargetMode="External"/><Relationship Id="rId772" Type="http://schemas.openxmlformats.org/officeDocument/2006/relationships/hyperlink" Target="https://www.google.com/maps/d/edit?hl=es&amp;mid=1uPmsRMsXnp74hPFW2t-sp2totVWF_xY&amp;ll=32.83050137713022%2C-96.83197783061323&amp;z=17" TargetMode="External"/><Relationship Id="rId218" Type="http://schemas.openxmlformats.org/officeDocument/2006/relationships/hyperlink" Target="https://www.google.com/maps/d/viewer?hl=es&amp;mid=1C1oZdjH3dNvCvqdpIv_Lk0Yn1OCVn-4&amp;ll=38.965368114274455%2C-92.3405954&amp;z=15" TargetMode="External"/><Relationship Id="rId425" Type="http://schemas.openxmlformats.org/officeDocument/2006/relationships/hyperlink" Target="https://www.google.com/maps/d/viewer?mid=1hvbKFMO-d5TXrKGU-g5dt_xcdArB1D0&amp;ll=34.71147784120261%2C-92.40574350000001&amp;z=17" TargetMode="External"/><Relationship Id="rId632" Type="http://schemas.openxmlformats.org/officeDocument/2006/relationships/hyperlink" Target="https://www.google.com/maps/d/edit?hl=en&amp;mid=1UHmt7tH1ihTa85i0MfQIcTfVvIQg_vM&amp;ll=41.024187580466844%2C-73.63702405370861&amp;z=18" TargetMode="External"/><Relationship Id="rId1055" Type="http://schemas.openxmlformats.org/officeDocument/2006/relationships/hyperlink" Target="https://www.google.com/maps/d/viewer?mid=1gN2lJ0iT7m5VNhD7aDcxE8AdXqtcOZc&amp;ll=40.396096737592195%2C-104.746842&amp;z=16" TargetMode="External"/><Relationship Id="rId271" Type="http://schemas.openxmlformats.org/officeDocument/2006/relationships/hyperlink" Target="https://www.google.com/maps/d/viewer?hl=es&amp;mid=1C1oZdjH3dNvCvqdpIv_Lk0Yn1OCVn-4&amp;ll=38.965368114274455%2C-92.3405954&amp;z=15" TargetMode="External"/><Relationship Id="rId937" Type="http://schemas.openxmlformats.org/officeDocument/2006/relationships/hyperlink" Target="https://www.google.com/maps/d/edit?hl=es&amp;mid=1uPmsRMsXnp74hPFW2t-sp2totVWF_xY&amp;ll=32.83050137713022%2C-96.83197783061323&amp;z=17" TargetMode="External"/><Relationship Id="rId66" Type="http://schemas.openxmlformats.org/officeDocument/2006/relationships/hyperlink" Target="https://www.google.com/maps/d/viewer?mid=1ot0ILX76JMuvd9yMuqkb4_e0yH1n7TA&amp;ll=45.07815812965141%2C-93.33506855000002&amp;z=17" TargetMode="External"/><Relationship Id="rId131" Type="http://schemas.openxmlformats.org/officeDocument/2006/relationships/hyperlink" Target="https://www.google.com/maps/d/viewer?mid=1AyViBuyeq7iwDua1SVudJ2A1BYi3IBA&amp;ll=27.38181516363982%2C-80.32568845000002&amp;z=18" TargetMode="External"/><Relationship Id="rId369" Type="http://schemas.openxmlformats.org/officeDocument/2006/relationships/hyperlink" Target="https://www.google.com/maps/d/viewer?mid=1FEo41PzFJQjUIXXKitX5TNCtuqR6Vbs&amp;ll=41.1663376742533%2C-73.22955662049608&amp;z=16" TargetMode="External"/><Relationship Id="rId576" Type="http://schemas.openxmlformats.org/officeDocument/2006/relationships/hyperlink" Target="https://www.google.com/maps/d/viewer?mid=1AyViBuyeq7iwDua1SVudJ2A1BYi3IBA&amp;ll=27.38181516363982%2C-80.32568845000002&amp;z=18" TargetMode="External"/><Relationship Id="rId783" Type="http://schemas.openxmlformats.org/officeDocument/2006/relationships/hyperlink" Target="https://www.google.com/maps/d/edit?hl=es&amp;mid=1uPmsRMsXnp74hPFW2t-sp2totVWF_xY&amp;ll=32.83050137713022%2C-96.83197783061323&amp;z=17" TargetMode="External"/><Relationship Id="rId990" Type="http://schemas.openxmlformats.org/officeDocument/2006/relationships/hyperlink" Target="https://www.google.com/maps/d/viewer?mid=1AyViBuyeq7iwDua1SVudJ2A1BYi3IBA&amp;ll=27.38181516363982%2C-80.32568845000002&amp;z=18" TargetMode="External"/><Relationship Id="rId229" Type="http://schemas.openxmlformats.org/officeDocument/2006/relationships/hyperlink" Target="https://www.google.com/maps/d/viewer?mid=1ejOzT7-x6RWnCf83BBP7XhiOiwEX3Wk&amp;ll=36.061264791292906%2C-79.87437695000003&amp;z=17" TargetMode="External"/><Relationship Id="rId436" Type="http://schemas.openxmlformats.org/officeDocument/2006/relationships/hyperlink" Target="https://www.google.com/maps/d/viewer?hl=es&amp;mid=1C1oZdjH3dNvCvqdpIv_Lk0Yn1OCVn-4&amp;ll=38.965368114274455%2C-92.3405954&amp;z=15" TargetMode="External"/><Relationship Id="rId643" Type="http://schemas.openxmlformats.org/officeDocument/2006/relationships/hyperlink" Target="https://www.google.com/maps/d/edit?hl=en&amp;mid=1UHmt7tH1ihTa85i0MfQIcTfVvIQg_vM&amp;ll=41.024187580466844%2C-73.63702405370861&amp;z=18" TargetMode="External"/><Relationship Id="rId850" Type="http://schemas.openxmlformats.org/officeDocument/2006/relationships/hyperlink" Target="https://www.google.com/maps/d/edit?hl=es&amp;mid=1uPmsRMsXnp74hPFW2t-sp2totVWF_xY&amp;ll=32.83050137713022%2C-96.83197783061323&amp;z=17" TargetMode="External"/><Relationship Id="rId948" Type="http://schemas.openxmlformats.org/officeDocument/2006/relationships/hyperlink" Target="https://www.google.com/maps/d/viewer?hl=es&amp;mid=1C1oZdjH3dNvCvqdpIv_Lk0Yn1OCVn-4&amp;ll=38.965368114274455%2C-92.3405954&amp;z=15" TargetMode="External"/><Relationship Id="rId77" Type="http://schemas.openxmlformats.org/officeDocument/2006/relationships/hyperlink" Target="https://www.google.com/maps/d/viewer?hl=es&amp;mid=1C1oZdjH3dNvCvqdpIv_Lk0Yn1OCVn-4&amp;ll=38.965368114274426%2C-92.3405954&amp;z=15" TargetMode="External"/><Relationship Id="rId282" Type="http://schemas.openxmlformats.org/officeDocument/2006/relationships/hyperlink" Target="https://www.google.com/maps/d/viewer?mid=1ejOzT7-x6RWnCf83BBP7XhiOiwEX3Wk&amp;ll=36.061264791292906%2C-79.87437695000003&amp;z=17" TargetMode="External"/><Relationship Id="rId503" Type="http://schemas.openxmlformats.org/officeDocument/2006/relationships/hyperlink" Target="https://www.google.com/maps/d/viewer?mid=1ebZp8DeTYSXNPgDIA63nFVDu9ohaO4E&amp;ll=41.08027837958441%2C-73.46597874999999&amp;z=15" TargetMode="External"/><Relationship Id="rId587" Type="http://schemas.openxmlformats.org/officeDocument/2006/relationships/hyperlink" Target="https://www.google.com/maps/d/viewer?mid=1wg5suxVuxeNp_irHlvN772HcwD6W89E&amp;ll=33.06373951220261%2C-96.82758025000001&amp;z=18" TargetMode="External"/><Relationship Id="rId710" Type="http://schemas.openxmlformats.org/officeDocument/2006/relationships/hyperlink" Target="https://www.google.com/maps/d/edit?hl=es&amp;mid=1uPmsRMsXnp74hPFW2t-sp2totVWF_xY&amp;ll=32.83050137713022%2C-96.83197783061323&amp;z=17" TargetMode="External"/><Relationship Id="rId808" Type="http://schemas.openxmlformats.org/officeDocument/2006/relationships/hyperlink" Target="https://www.google.com/maps/d/edit?mid=18OEO_KbvYcgI3N1jE4gTMXfNHTNDrFU&amp;ll=32.66603989958274%2C-97.42021198201722&amp;z=18" TargetMode="External"/><Relationship Id="rId8" Type="http://schemas.openxmlformats.org/officeDocument/2006/relationships/hyperlink" Target="https://www.google.com/maps/d/viewer?mid=1MXu7x9njhwvip9SpYfQXJGjJl8bloRw&amp;ll=26.70905771958712%2C-80.10167325&amp;z=17" TargetMode="External"/><Relationship Id="rId142" Type="http://schemas.openxmlformats.org/officeDocument/2006/relationships/hyperlink" Target="https://www.google.com/maps/d/viewer?mid=1ejOzT7-x6RWnCf83BBP7XhiOiwEX3Wk&amp;ll=0%2C0&amp;z=17" TargetMode="External"/><Relationship Id="rId447" Type="http://schemas.openxmlformats.org/officeDocument/2006/relationships/hyperlink" Target="https://www.google.com/maps/d/viewer?mid=1whGZ1PLqmhJnGFz8uigZqUL4cHGGW3w&amp;ll=38.668847686454825%2C-90.4433601&amp;z=17" TargetMode="External"/><Relationship Id="rId794" Type="http://schemas.openxmlformats.org/officeDocument/2006/relationships/hyperlink" Target="https://www.google.com/maps/d/edit?mid=18OEO_KbvYcgI3N1jE4gTMXfNHTNDrFU&amp;ll=32.66603989958274%2C-97.42021198201722&amp;z=18" TargetMode="External"/><Relationship Id="rId654" Type="http://schemas.openxmlformats.org/officeDocument/2006/relationships/hyperlink" Target="https://www.google.com/maps/d/edit?hl=es&amp;mid=1uPmsRMsXnp74hPFW2t-sp2totVWF_xY&amp;ll=32.83050137713022%2C-96.83197783061323&amp;z=17" TargetMode="External"/><Relationship Id="rId861" Type="http://schemas.openxmlformats.org/officeDocument/2006/relationships/hyperlink" Target="https://www.google.com/maps/d/edit?hl=es&amp;mid=1uPmsRMsXnp74hPFW2t-sp2totVWF_xY&amp;ll=32.83050137713022%2C-96.83197783061323&amp;z=17" TargetMode="External"/><Relationship Id="rId959" Type="http://schemas.openxmlformats.org/officeDocument/2006/relationships/hyperlink" Target="https://www.google.com/maps/d/viewer?mid=1wg5suxVuxeNp_irHlvN772HcwD6W89E&amp;ll=33.06373951220261%2C-96.82758025000001&amp;z=18" TargetMode="External"/><Relationship Id="rId293" Type="http://schemas.openxmlformats.org/officeDocument/2006/relationships/hyperlink" Target="https://www.google.com/maps/d/viewer?mid=1bDs0QGFZwL3vEeGKxjVMk_j4azr0-lg&amp;ll=33.4593758581648%2C-112.28793780000001&amp;z=18" TargetMode="External"/><Relationship Id="rId307" Type="http://schemas.openxmlformats.org/officeDocument/2006/relationships/hyperlink" Target="https://www.google.com/maps/d/viewer?mid=1ejOzT7-x6RWnCf83BBP7XhiOiwEX3Wk&amp;ll=36.061264791292906%2C-79.87437695000003&amp;z=17" TargetMode="External"/><Relationship Id="rId514" Type="http://schemas.openxmlformats.org/officeDocument/2006/relationships/hyperlink" Target="https://www.google.com/maps/d/viewer?hl=es&amp;mid=1C1oZdjH3dNvCvqdpIv_Lk0Yn1OCVn-4&amp;ll=38.965368114274455%2C-92.3405954&amp;z=15" TargetMode="External"/><Relationship Id="rId721" Type="http://schemas.openxmlformats.org/officeDocument/2006/relationships/hyperlink" Target="https://www.google.com/maps/d/edit?hl=es&amp;mid=1uPmsRMsXnp74hPFW2t-sp2totVWF_xY&amp;ll=32.83050137713022%2C-96.83197783061323&amp;z=17" TargetMode="External"/><Relationship Id="rId88" Type="http://schemas.openxmlformats.org/officeDocument/2006/relationships/hyperlink" Target="https://www.google.com/maps/d/viewer?hl=es&amp;mid=1C1oZdjH3dNvCvqdpIv_Lk0Yn1OCVn-4&amp;ll=38.965368114274455%2C-92.3405954&amp;z=15" TargetMode="External"/><Relationship Id="rId153" Type="http://schemas.openxmlformats.org/officeDocument/2006/relationships/hyperlink" Target="https://www.google.com/maps/d/viewer?mid=1ejOzT7-x6RWnCf83BBP7XhiOiwEX3Wk&amp;ll=36.061264791292906%2C-79.87437695000003&amp;z=17" TargetMode="External"/><Relationship Id="rId360" Type="http://schemas.openxmlformats.org/officeDocument/2006/relationships/hyperlink" Target="https://www.google.com/maps/d/viewer?mid=1AyViBuyeq7iwDua1SVudJ2A1BYi3IBA&amp;ll=27.38181516363982%2C-80.32568845000002&amp;z=18" TargetMode="External"/><Relationship Id="rId598" Type="http://schemas.openxmlformats.org/officeDocument/2006/relationships/hyperlink" Target="https://www.google.com/maps/d/viewer?mid=1wg5suxVuxeNp_irHlvN772HcwD6W89E&amp;ll=33.06373951220261%2C-96.82758025000001&amp;z=18" TargetMode="External"/><Relationship Id="rId819" Type="http://schemas.openxmlformats.org/officeDocument/2006/relationships/hyperlink" Target="https://www.google.com/maps/d/viewer?hl=es&amp;mid=1C1oZdjH3dNvCvqdpIv_Lk0Yn1OCVn-4&amp;ll=38.965368114274455%2C-92.3405954&amp;z=15" TargetMode="External"/><Relationship Id="rId1004" Type="http://schemas.openxmlformats.org/officeDocument/2006/relationships/hyperlink" Target="https://www.google.com/maps/d/viewer?mid=1ejOzT7-x6RWnCf83BBP7XhiOiwEX3Wk&amp;ll=36.061264791292906%2C-79.87437695000003&amp;z=17" TargetMode="External"/><Relationship Id="rId220" Type="http://schemas.openxmlformats.org/officeDocument/2006/relationships/hyperlink" Target="https://www.google.com/maps/d/viewer?hl=es&amp;mid=1C1oZdjH3dNvCvqdpIv_Lk0Yn1OCVn-4&amp;ll=38.965368114274455%2C-92.3405954&amp;z=15" TargetMode="External"/><Relationship Id="rId458" Type="http://schemas.openxmlformats.org/officeDocument/2006/relationships/hyperlink" Target="https://www.google.com/maps/d/viewer?hl=es&amp;mid=1C1oZdjH3dNvCvqdpIv_Lk0Yn1OCVn-4&amp;ll=38.965368114274455%2C-92.3405954&amp;z=15" TargetMode="External"/><Relationship Id="rId665" Type="http://schemas.openxmlformats.org/officeDocument/2006/relationships/hyperlink" Target="https://www.google.com/maps/d/edit?hl=es&amp;mid=1uPmsRMsXnp74hPFW2t-sp2totVWF_xY&amp;ll=32.83050137713022%2C-96.83197783061323&amp;z=17" TargetMode="External"/><Relationship Id="rId872" Type="http://schemas.openxmlformats.org/officeDocument/2006/relationships/hyperlink" Target="https://www.google.com/maps/d/viewer?hl=es&amp;mid=1C1oZdjH3dNvCvqdpIv_Lk0Yn1OCVn-4&amp;ll=38.965368114274455%2C-92.3405954&amp;z=15" TargetMode="External"/><Relationship Id="rId15" Type="http://schemas.openxmlformats.org/officeDocument/2006/relationships/hyperlink" Target="https://www.google.com/maps/d/viewer?mid=1ubI2iKs1JyYXssuT4oLPnVvFnyLPi_s&amp;ll=40.878808846788026%2C-73.98560655&amp;z=17" TargetMode="External"/><Relationship Id="rId318" Type="http://schemas.openxmlformats.org/officeDocument/2006/relationships/hyperlink" Target="https://www.google.com/maps/d/viewer?mid=1hvbKFMO-d5TXrKGU-g5dt_xcdArB1D0&amp;ll=34.71147784120261%2C-92.40574350000001&amp;z=17" TargetMode="External"/><Relationship Id="rId525" Type="http://schemas.openxmlformats.org/officeDocument/2006/relationships/hyperlink" Target="https://www.google.com/maps/d/viewer?mid=1ejOzT7-x6RWnCf83BBP7XhiOiwEX3Wk&amp;ll=36.061264791292906%2C-79.87437695000003&amp;z=17" TargetMode="External"/><Relationship Id="rId732" Type="http://schemas.openxmlformats.org/officeDocument/2006/relationships/hyperlink" Target="https://www.google.com/maps/d/edit?hl=es&amp;mid=1uPmsRMsXnp74hPFW2t-sp2totVWF_xY&amp;ll=32.83050137713022%2C-96.83197783061323&amp;z=17" TargetMode="External"/><Relationship Id="rId99" Type="http://schemas.openxmlformats.org/officeDocument/2006/relationships/hyperlink" Target="https://www.google.com/maps/d/viewer?hl=es&amp;mid=1C1oZdjH3dNvCvqdpIv_Lk0Yn1OCVn-4&amp;ll=38.965368114274455%2C-92.3405954&amp;z=15" TargetMode="External"/><Relationship Id="rId164" Type="http://schemas.openxmlformats.org/officeDocument/2006/relationships/hyperlink" Target="https://www.google.com/maps/d/viewer?mid=1ejOzT7-x6RWnCf83BBP7XhiOiwEX3Wk&amp;ll=36.061264791292906%2C-79.87437695000003&amp;z=17" TargetMode="External"/><Relationship Id="rId371" Type="http://schemas.openxmlformats.org/officeDocument/2006/relationships/hyperlink" Target="https://www.google.com/maps/d/viewer?mid=1hvbKFMO-d5TXrKGU-g5dt_xcdArB1D0&amp;ll=34.71147784120261%2C-92.40574350000001&amp;z=17" TargetMode="External"/><Relationship Id="rId1015" Type="http://schemas.openxmlformats.org/officeDocument/2006/relationships/hyperlink" Target="https://www.google.com/maps/d/viewer?mid=1gN2lJ0iT7m5VNhD7aDcxE8AdXqtcOZc&amp;ll=40.396096737592195%2C-104.746842&amp;z=16" TargetMode="External"/><Relationship Id="rId469" Type="http://schemas.openxmlformats.org/officeDocument/2006/relationships/hyperlink" Target="https://www.google.com/maps/d/viewer?mid=1whGZ1PLqmhJnGFz8uigZqUL4cHGGW3w&amp;ll=38.668847686454825%2C-90.4433601&amp;z=17" TargetMode="External"/><Relationship Id="rId676" Type="http://schemas.openxmlformats.org/officeDocument/2006/relationships/hyperlink" Target="https://www.google.com/maps/d/edit?hl=es&amp;mid=1uPmsRMsXnp74hPFW2t-sp2totVWF_xY&amp;ll=32.83050137713022%2C-96.83197783061323&amp;z=17" TargetMode="External"/><Relationship Id="rId883" Type="http://schemas.openxmlformats.org/officeDocument/2006/relationships/hyperlink" Target="https://www.google.com/maps/d/viewer?mid=1wg5suxVuxeNp_irHlvN772HcwD6W89E&amp;ll=33.06373951220261%2C-96.82758025000001&amp;z=18" TargetMode="External"/><Relationship Id="rId26" Type="http://schemas.openxmlformats.org/officeDocument/2006/relationships/hyperlink" Target="https://www.google.com/maps/d/edit?hl=en&amp;mid=1UHmt7tH1ihTa85i0MfQIcTfVvIQg_vM&amp;ll=41.024187580466844%2C-73.63702405370861&amp;z=18" TargetMode="External"/><Relationship Id="rId231" Type="http://schemas.openxmlformats.org/officeDocument/2006/relationships/hyperlink" Target="https://www.google.com/maps/d/viewer?mid=1ubI2iKs1JyYXssuT4oLPnVvFnyLPi_s&amp;ll=40.878808846788026%2C-73.98560655&amp;z=17" TargetMode="External"/><Relationship Id="rId329" Type="http://schemas.openxmlformats.org/officeDocument/2006/relationships/hyperlink" Target="https://www.google.com/maps/d/viewer?hl=es&amp;mid=1C1oZdjH3dNvCvqdpIv_Lk0Yn1OCVn-4&amp;ll=38.965368114274455%2C-92.3405954&amp;z=15" TargetMode="External"/><Relationship Id="rId536" Type="http://schemas.openxmlformats.org/officeDocument/2006/relationships/hyperlink" Target="https://www.google.com/maps/d/viewer?mid=1ot0ILX76JMuvd9yMuqkb4_e0yH1n7TA&amp;ll=45.07815812965141%2C-93.33506855000002&amp;z=17" TargetMode="External"/><Relationship Id="rId175" Type="http://schemas.openxmlformats.org/officeDocument/2006/relationships/hyperlink" Target="https://www.google.com/maps/d/edit?mid=111nhCL4Xjj2Pq0zP5xUrMzHQqAihqa0&amp;usp=sharing" TargetMode="External"/><Relationship Id="rId743" Type="http://schemas.openxmlformats.org/officeDocument/2006/relationships/hyperlink" Target="https://www.google.com/maps/d/edit?hl=es&amp;mid=1uPmsRMsXnp74hPFW2t-sp2totVWF_xY&amp;ll=32.83050137713022%2C-96.83197783061323&amp;z=17" TargetMode="External"/><Relationship Id="rId950" Type="http://schemas.openxmlformats.org/officeDocument/2006/relationships/hyperlink" Target="https://www.google.com/maps/d/viewer?mid=1ejOzT7-x6RWnCf83BBP7XhiOiwEX3Wk&amp;ll=36.061264791292906%2C-79.87437695000003&amp;z=17" TargetMode="External"/><Relationship Id="rId1026" Type="http://schemas.openxmlformats.org/officeDocument/2006/relationships/hyperlink" Target="https://www.google.com/maps/d/viewer?mid=1gN2lJ0iT7m5VNhD7aDcxE8AdXqtcOZc&amp;ll=40.396096737592195%2C-104.746842&amp;z=16" TargetMode="External"/><Relationship Id="rId382" Type="http://schemas.openxmlformats.org/officeDocument/2006/relationships/hyperlink" Target="https://www.google.com/maps/d/viewer?hl=es&amp;mid=1C1oZdjH3dNvCvqdpIv_Lk0Yn1OCVn-4&amp;ll=38.965368114274455%2C-92.3405954&amp;z=15" TargetMode="External"/><Relationship Id="rId603" Type="http://schemas.openxmlformats.org/officeDocument/2006/relationships/hyperlink" Target="https://www.google.com/maps/d/viewer?mid=1wg5suxVuxeNp_irHlvN772HcwD6W89E&amp;ll=33.06373951220261%2C-96.82758025000001&amp;z=18" TargetMode="External"/><Relationship Id="rId687" Type="http://schemas.openxmlformats.org/officeDocument/2006/relationships/hyperlink" Target="https://www.google.com/maps/d/edit?hl=es&amp;mid=1uPmsRMsXnp74hPFW2t-sp2totVWF_xY&amp;ll=32.83050137713022%2C-96.83197783061323&amp;z=17" TargetMode="External"/><Relationship Id="rId810" Type="http://schemas.openxmlformats.org/officeDocument/2006/relationships/hyperlink" Target="https://www.google.com/maps/d/edit?mid=18OEO_KbvYcgI3N1jE4gTMXfNHTNDrFU&amp;ll=32.66603989958274%2C-97.42021198201722&amp;z=18" TargetMode="External"/><Relationship Id="rId908" Type="http://schemas.openxmlformats.org/officeDocument/2006/relationships/hyperlink" Target="https://www.google.com/maps/d/viewer?hl=es&amp;mid=1C1oZdjH3dNvCvqdpIv_Lk0Yn1OCVn-4&amp;ll=38.965368114274455%2C-92.3405954&amp;z=15" TargetMode="External"/><Relationship Id="rId242" Type="http://schemas.openxmlformats.org/officeDocument/2006/relationships/hyperlink" Target="https://www.google.com/maps/d/viewer?hl=es&amp;mid=1C1oZdjH3dNvCvqdpIv_Lk0Yn1OCVn-4&amp;ll=38.965368114274455%2C-92.3405954&amp;z=15" TargetMode="External"/><Relationship Id="rId894" Type="http://schemas.openxmlformats.org/officeDocument/2006/relationships/hyperlink" Target="https://www.google.com/maps/d/viewer?mid=1ot0ILX76JMuvd9yMuqkb4_e0yH1n7TA&amp;ll=45.07815812965141%2C-93.33506855000002&amp;z=17" TargetMode="External"/><Relationship Id="rId37" Type="http://schemas.openxmlformats.org/officeDocument/2006/relationships/hyperlink" Target="https://www.google.com/maps/d/viewer?mid=1FEo41PzFJQjUIXXKitX5TNCtuqR6Vbs&amp;ll=41.1663376742533%2C-73.22955662049608&amp;z=16" TargetMode="External"/><Relationship Id="rId102" Type="http://schemas.openxmlformats.org/officeDocument/2006/relationships/hyperlink" Target="https://www.google.com/maps/d/viewer?hl=es&amp;mid=1C1oZdjH3dNvCvqdpIv_Lk0Yn1OCVn-4&amp;ll=38.965368114274455%2C-92.3405954&amp;z=15" TargetMode="External"/><Relationship Id="rId547" Type="http://schemas.openxmlformats.org/officeDocument/2006/relationships/hyperlink" Target="https://www.google.com/maps/d/viewer?mid=1ejOzT7-x6RWnCf83BBP7XhiOiwEX3Wk&amp;ll=36.061264791292906%2C-79.87437695000003&amp;z=17" TargetMode="External"/><Relationship Id="rId754" Type="http://schemas.openxmlformats.org/officeDocument/2006/relationships/hyperlink" Target="https://www.google.com/maps/d/edit?hl=es&amp;mid=1uPmsRMsXnp74hPFW2t-sp2totVWF_xY&amp;ll=32.83050137713022%2C-96.83197783061323&amp;z=17" TargetMode="External"/><Relationship Id="rId961" Type="http://schemas.openxmlformats.org/officeDocument/2006/relationships/hyperlink" Target="https://www.google.com/maps/d/edit?hl=es&amp;mid=1uPmsRMsXnp74hPFW2t-sp2totVWF_xY&amp;ll=32.83050137713022%2C-96.83197783061323&amp;z=17" TargetMode="External"/><Relationship Id="rId90" Type="http://schemas.openxmlformats.org/officeDocument/2006/relationships/hyperlink" Target="https://www.google.com/maps/d/viewer?hl=es&amp;mid=1C1oZdjH3dNvCvqdpIv_Lk0Yn1OCVn-4&amp;ll=38.965368114274455%2C-92.3405954&amp;z=15" TargetMode="External"/><Relationship Id="rId186" Type="http://schemas.openxmlformats.org/officeDocument/2006/relationships/hyperlink" Target="https://www.google.com/maps/d/viewer?hl=es&amp;mid=1C1oZdjH3dNvCvqdpIv_Lk0Yn1OCVn-4&amp;ll=38.965368114274426%2C-92.3405954&amp;z=15" TargetMode="External"/><Relationship Id="rId393" Type="http://schemas.openxmlformats.org/officeDocument/2006/relationships/hyperlink" Target="https://www.google.com/maps/d/viewer?mid=1whGZ1PLqmhJnGFz8uigZqUL4cHGGW3w&amp;ll=38.668847686454825%2C-90.4433601&amp;z=17" TargetMode="External"/><Relationship Id="rId407" Type="http://schemas.openxmlformats.org/officeDocument/2006/relationships/hyperlink" Target="https://www.google.com/maps/d/viewer?hl=es&amp;mid=1C1oZdjH3dNvCvqdpIv_Lk0Yn1OCVn-4&amp;ll=38.965368114274455%2C-92.3405954&amp;z=15" TargetMode="External"/><Relationship Id="rId614" Type="http://schemas.openxmlformats.org/officeDocument/2006/relationships/hyperlink" Target="https://www.google.com/maps/d/viewer?mid=1wg5suxVuxeNp_irHlvN772HcwD6W89E&amp;ll=33.06373951220261%2C-96.82758025000001&amp;z=18" TargetMode="External"/><Relationship Id="rId821" Type="http://schemas.openxmlformats.org/officeDocument/2006/relationships/hyperlink" Target="https://www.google.com/maps/d/edit?hl=es&amp;mid=1uPmsRMsXnp74hPFW2t-sp2totVWF_xY&amp;ll=32.83050137713022%2C-96.83197783061323&amp;z=17" TargetMode="External"/><Relationship Id="rId1037" Type="http://schemas.openxmlformats.org/officeDocument/2006/relationships/hyperlink" Target="https://www.google.com/maps/d/viewer?mid=1gN2lJ0iT7m5VNhD7aDcxE8AdXqtcOZc&amp;ll=40.396096737592195%2C-104.746842&amp;z=16" TargetMode="External"/><Relationship Id="rId253" Type="http://schemas.openxmlformats.org/officeDocument/2006/relationships/hyperlink" Target="https://www.google.com/maps/d/viewer?mid=1ejOzT7-x6RWnCf83BBP7XhiOiwEX3Wk&amp;ll=36.061264791292906%2C-79.87437695000003&amp;z=17" TargetMode="External"/><Relationship Id="rId460" Type="http://schemas.openxmlformats.org/officeDocument/2006/relationships/hyperlink" Target="https://www.google.com/maps/d/viewer?hl=es&amp;mid=1C1oZdjH3dNvCvqdpIv_Lk0Yn1OCVn-4&amp;ll=38.965368114274455%2C-92.3405954&amp;z=15" TargetMode="External"/><Relationship Id="rId698" Type="http://schemas.openxmlformats.org/officeDocument/2006/relationships/hyperlink" Target="https://www.google.com/maps/d/edit?hl=es&amp;mid=1uPmsRMsXnp74hPFW2t-sp2totVWF_xY&amp;ll=32.83050137713022%2C-96.83197783061323&amp;z=17" TargetMode="External"/><Relationship Id="rId919" Type="http://schemas.openxmlformats.org/officeDocument/2006/relationships/hyperlink" Target="https://www.google.com/maps/d/viewer?mid=1ejOzT7-x6RWnCf83BBP7XhiOiwEX3Wk&amp;ll=36.061264791292906%2C-79.87437695000003&amp;z=17" TargetMode="External"/><Relationship Id="rId48" Type="http://schemas.openxmlformats.org/officeDocument/2006/relationships/hyperlink" Target="https://www.google.com/maps/d/viewer?mid=1hvbKFMO-d5TXrKGU-g5dt_xcdArB1D0&amp;ll=34.71147784120261%2C-92.40574350000001&amp;z=17" TargetMode="External"/><Relationship Id="rId113" Type="http://schemas.openxmlformats.org/officeDocument/2006/relationships/hyperlink" Target="https://www.google.com/maps/d/viewer?hl=es&amp;mid=1C1oZdjH3dNvCvqdpIv_Lk0Yn1OCVn-4&amp;ll=38.965368114274455%2C-92.3405954&amp;z=15" TargetMode="External"/><Relationship Id="rId320" Type="http://schemas.openxmlformats.org/officeDocument/2006/relationships/hyperlink" Target="https://www.google.com/maps/d/viewer?mid=1bDs0QGFZwL3vEeGKxjVMk_j4azr0-lg&amp;ll=33.4593758581648%2C-112.28793780000001&amp;z=18" TargetMode="External"/><Relationship Id="rId558" Type="http://schemas.openxmlformats.org/officeDocument/2006/relationships/hyperlink" Target="https://www.google.com/maps/d/viewer?mid=1FEo41PzFJQjUIXXKitX5TNCtuqR6Vbs&amp;ll=41.1663376742533%2C-73.22955662049608&amp;z=16" TargetMode="External"/><Relationship Id="rId765" Type="http://schemas.openxmlformats.org/officeDocument/2006/relationships/hyperlink" Target="https://www.google.com/maps/d/edit?hl=es&amp;mid=1uPmsRMsXnp74hPFW2t-sp2totVWF_xY&amp;ll=32.83050137713022%2C-96.83197783061323&amp;z=17" TargetMode="External"/><Relationship Id="rId972" Type="http://schemas.openxmlformats.org/officeDocument/2006/relationships/hyperlink" Target="https://www.google.com/maps/d/edit?hl=en&amp;mid=1UHmt7tH1ihTa85i0MfQIcTfVvIQg_vM&amp;ll=41.024187580466844%2C-73.63702405370861&amp;z=18" TargetMode="External"/><Relationship Id="rId197" Type="http://schemas.openxmlformats.org/officeDocument/2006/relationships/hyperlink" Target="https://www.google.com/maps/d/viewer?mid=1AyViBuyeq7iwDua1SVudJ2A1BYi3IBA&amp;ll=27.38181516363982%2C-80.32568845000002&amp;z=18" TargetMode="External"/><Relationship Id="rId418" Type="http://schemas.openxmlformats.org/officeDocument/2006/relationships/hyperlink" Target="https://www.google.com/maps/d/viewer?mid=1ejOzT7-x6RWnCf83BBP7XhiOiwEX3Wk&amp;ll=36.061264791292906%2C-79.87437695000003&amp;z=17" TargetMode="External"/><Relationship Id="rId625" Type="http://schemas.openxmlformats.org/officeDocument/2006/relationships/hyperlink" Target="https://www.google.com/maps/d/viewer?mid=1wg5suxVuxeNp_irHlvN772HcwD6W89E&amp;ll=33.06373951220261%2C-96.82758025000001&amp;z=18" TargetMode="External"/><Relationship Id="rId832" Type="http://schemas.openxmlformats.org/officeDocument/2006/relationships/hyperlink" Target="https://www.google.com/maps/d/viewer?hl=es&amp;mid=1C1oZdjH3dNvCvqdpIv_Lk0Yn1OCVn-4&amp;ll=38.965368114274455%2C-92.3405954&amp;z=15" TargetMode="External"/><Relationship Id="rId1048" Type="http://schemas.openxmlformats.org/officeDocument/2006/relationships/hyperlink" Target="https://www.google.com/maps/d/viewer?mid=1gN2lJ0iT7m5VNhD7aDcxE8AdXqtcOZc&amp;ll=40.396096737592195%2C-104.746842&amp;z=16" TargetMode="External"/><Relationship Id="rId264" Type="http://schemas.openxmlformats.org/officeDocument/2006/relationships/hyperlink" Target="https://www.google.com/maps/d/viewer?mid=1hvbKFMO-d5TXrKGU-g5dt_xcdArB1D0&amp;ll=34.71147784120261%2C-92.40574350000001&amp;z=17" TargetMode="External"/><Relationship Id="rId471" Type="http://schemas.openxmlformats.org/officeDocument/2006/relationships/hyperlink" Target="https://www.google.com/maps/d/viewer?mid=1ejOzT7-x6RWnCf83BBP7XhiOiwEX3Wk&amp;ll=36.061264791292906%2C-79.87437695000003&amp;z=17" TargetMode="External"/><Relationship Id="rId59" Type="http://schemas.openxmlformats.org/officeDocument/2006/relationships/hyperlink" Target="https://www.google.com/maps/d/viewer?mid=1hvbKFMO-d5TXrKGU-g5dt_xcdArB1D0&amp;ll=34.71147784120261%2C-92.40574350000001&amp;z=17" TargetMode="External"/><Relationship Id="rId124" Type="http://schemas.openxmlformats.org/officeDocument/2006/relationships/hyperlink" Target="https://www.google.com/maps/d/viewer?mid=1AyViBuyeq7iwDua1SVudJ2A1BYi3IBA&amp;ll=27.38181516363982%2C-80.32568845000002&amp;z=18" TargetMode="External"/><Relationship Id="rId569" Type="http://schemas.openxmlformats.org/officeDocument/2006/relationships/hyperlink" Target="https://www.google.com/maps/d/viewer?hl=es&amp;mid=1C1oZdjH3dNvCvqdpIv_Lk0Yn1OCVn-4&amp;ll=38.965368114274455%2C-92.3405954&amp;z=15" TargetMode="External"/><Relationship Id="rId776" Type="http://schemas.openxmlformats.org/officeDocument/2006/relationships/hyperlink" Target="https://www.google.com/maps/d/edit?hl=es&amp;mid=1uPmsRMsXnp74hPFW2t-sp2totVWF_xY&amp;ll=32.83050137713022%2C-96.83197783061323&amp;z=17" TargetMode="External"/><Relationship Id="rId983" Type="http://schemas.openxmlformats.org/officeDocument/2006/relationships/hyperlink" Target="https://www.google.com/maps/d/viewer?hl=es&amp;mid=1C1oZdjH3dNvCvqdpIv_Lk0Yn1OCVn-4&amp;ll=38.965368114274455%2C-92.3405954&amp;z=15" TargetMode="External"/><Relationship Id="rId331" Type="http://schemas.openxmlformats.org/officeDocument/2006/relationships/hyperlink" Target="https://www.google.com/maps/d/viewer?mid=1AyViBuyeq7iwDua1SVudJ2A1BYi3IBA&amp;ll=27.38181516363982%2C-80.32568845000002&amp;z=18" TargetMode="External"/><Relationship Id="rId429" Type="http://schemas.openxmlformats.org/officeDocument/2006/relationships/hyperlink" Target="https://www.google.com/maps/d/viewer?mid=1bDs0QGFZwL3vEeGKxjVMk_j4azr0-lg&amp;ll=33.4593758581648%2C-112.28793780000001&amp;z=18" TargetMode="External"/><Relationship Id="rId636" Type="http://schemas.openxmlformats.org/officeDocument/2006/relationships/hyperlink" Target="https://www.google.com/maps/d/edit?hl=en&amp;mid=1UHmt7tH1ihTa85i0MfQIcTfVvIQg_vM&amp;ll=41.024187580466844%2C-73.63702405370861&amp;z=18" TargetMode="External"/><Relationship Id="rId1059" Type="http://schemas.openxmlformats.org/officeDocument/2006/relationships/printerSettings" Target="../printerSettings/printerSettings2.bin"/><Relationship Id="rId843" Type="http://schemas.openxmlformats.org/officeDocument/2006/relationships/hyperlink" Target="https://www.google.com/maps/d/viewer?mid=1ejOzT7-x6RWnCf83BBP7XhiOiwEX3Wk&amp;ll=36.061264791292906%2C-79.87437695000003&amp;z=17" TargetMode="External"/><Relationship Id="rId275" Type="http://schemas.openxmlformats.org/officeDocument/2006/relationships/hyperlink" Target="https://www.google.com/maps/d/viewer?hl=es&amp;mid=1C1oZdjH3dNvCvqdpIv_Lk0Yn1OCVn-4&amp;ll=38.965368114274455%2C-92.3405954&amp;z=15" TargetMode="External"/><Relationship Id="rId482" Type="http://schemas.openxmlformats.org/officeDocument/2006/relationships/hyperlink" Target="https://www.google.com/maps/d/viewer?mid=1ot0ILX76JMuvd9yMuqkb4_e0yH1n7TA&amp;ll=45.07815812965141%2C-93.33506855000002&amp;z=17" TargetMode="External"/><Relationship Id="rId703" Type="http://schemas.openxmlformats.org/officeDocument/2006/relationships/hyperlink" Target="https://www.google.com/maps/d/edit?hl=es&amp;mid=1uPmsRMsXnp74hPFW2t-sp2totVWF_xY&amp;ll=32.83050137713022%2C-96.83197783061323&amp;z=17" TargetMode="External"/><Relationship Id="rId910" Type="http://schemas.openxmlformats.org/officeDocument/2006/relationships/hyperlink" Target="https://www.google.com/maps/d/viewer?hl=es&amp;mid=1C1oZdjH3dNvCvqdpIv_Lk0Yn1OCVn-4&amp;ll=38.965368114274455%2C-92.3405954&amp;z=15" TargetMode="External"/><Relationship Id="rId135" Type="http://schemas.openxmlformats.org/officeDocument/2006/relationships/hyperlink" Target="https://www.google.com/maps/d/edit?mid=15R4hTDQx56ij99--JgozdqOIZh-kSlk&amp;usp=sharing" TargetMode="External"/><Relationship Id="rId342" Type="http://schemas.openxmlformats.org/officeDocument/2006/relationships/hyperlink" Target="https://www.google.com/maps/d/viewer?mid=1FEo41PzFJQjUIXXKitX5TNCtuqR6Vbs&amp;ll=41.1663376742533%2C-73.22955662049608&amp;z=16" TargetMode="External"/><Relationship Id="rId787" Type="http://schemas.openxmlformats.org/officeDocument/2006/relationships/hyperlink" Target="https://www.google.com/maps/d/edit?hl=es&amp;mid=1uPmsRMsXnp74hPFW2t-sp2totVWF_xY&amp;ll=32.83050137713022%2C-96.83197783061323&amp;z=17" TargetMode="External"/><Relationship Id="rId994" Type="http://schemas.openxmlformats.org/officeDocument/2006/relationships/hyperlink" Target="https://www.google.com/maps/d/viewer?mid=1ejOzT7-x6RWnCf83BBP7XhiOiwEX3Wk&amp;ll=36.061264791292906%2C-79.87437695000003&amp;z=17" TargetMode="External"/><Relationship Id="rId202" Type="http://schemas.openxmlformats.org/officeDocument/2006/relationships/hyperlink" Target="https://www.google.com/maps/d/viewer?mid=1ejOzT7-x6RWnCf83BBP7XhiOiwEX3Wk&amp;ll=36.061264791292906%2C-79.87437695000003&amp;z=17" TargetMode="External"/><Relationship Id="rId647" Type="http://schemas.openxmlformats.org/officeDocument/2006/relationships/hyperlink" Target="https://www.google.com/maps/d/edit?hl=en&amp;mid=1UHmt7tH1ihTa85i0MfQIcTfVvIQg_vM&amp;ll=41.024187580466844%2C-73.63702405370861&amp;z=18" TargetMode="External"/><Relationship Id="rId854" Type="http://schemas.openxmlformats.org/officeDocument/2006/relationships/hyperlink" Target="https://www.google.com/maps/d/viewer?mid=1bDs0QGFZwL3vEeGKxjVMk_j4azr0-lg&amp;ll=33.4593758581648%2C-112.28793780000001&amp;z=18" TargetMode="External"/><Relationship Id="rId286" Type="http://schemas.openxmlformats.org/officeDocument/2006/relationships/hyperlink" Target="https://www.google.com/maps/d/viewer?mid=1ebZp8DeTYSXNPgDIA63nFVDu9ohaO4E&amp;ll=41.08027837958441%2C-73.46597874999999&amp;z=15" TargetMode="External"/><Relationship Id="rId493" Type="http://schemas.openxmlformats.org/officeDocument/2006/relationships/hyperlink" Target="https://www.google.com/maps/d/viewer?mid=1ejOzT7-x6RWnCf83BBP7XhiOiwEX3Wk&amp;ll=36.061264791292906%2C-79.87437695000003&amp;z=17" TargetMode="External"/><Relationship Id="rId507" Type="http://schemas.openxmlformats.org/officeDocument/2006/relationships/hyperlink" Target="https://www.google.com/maps/d/viewer?mid=1hvbKFMO-d5TXrKGU-g5dt_xcdArB1D0&amp;ll=34.71147784120261%2C-92.40574350000001&amp;z=17" TargetMode="External"/><Relationship Id="rId714" Type="http://schemas.openxmlformats.org/officeDocument/2006/relationships/hyperlink" Target="https://www.google.com/maps/d/edit?hl=es&amp;mid=1uPmsRMsXnp74hPFW2t-sp2totVWF_xY&amp;ll=32.83050137713022%2C-96.83197783061323&amp;z=17" TargetMode="External"/><Relationship Id="rId921" Type="http://schemas.openxmlformats.org/officeDocument/2006/relationships/hyperlink" Target="https://www.google.com/maps/d/viewer?mid=1wg5suxVuxeNp_irHlvN772HcwD6W89E&amp;ll=33.06373951220261%2C-96.82758025000001&amp;z=18" TargetMode="External"/><Relationship Id="rId50" Type="http://schemas.openxmlformats.org/officeDocument/2006/relationships/hyperlink" Target="https://www.google.com/maps/d/viewer?mid=1hvbKFMO-d5TXrKGU-g5dt_xcdArB1D0&amp;ll=34.71147784120261%2C-92.40574350000001&amp;z=17" TargetMode="External"/><Relationship Id="rId146" Type="http://schemas.openxmlformats.org/officeDocument/2006/relationships/hyperlink" Target="https://www.google.com/maps/d/viewer?mid=1ejOzT7-x6RWnCf83BBP7XhiOiwEX3Wk&amp;ll=36.061264791292906%2C-79.87437695000003&amp;z=17" TargetMode="External"/><Relationship Id="rId353" Type="http://schemas.openxmlformats.org/officeDocument/2006/relationships/hyperlink" Target="https://www.google.com/maps/d/viewer?hl=es&amp;mid=1C1oZdjH3dNvCvqdpIv_Lk0Yn1OCVn-4&amp;ll=38.965368114274455%2C-92.3405954&amp;z=15" TargetMode="External"/><Relationship Id="rId560" Type="http://schemas.openxmlformats.org/officeDocument/2006/relationships/hyperlink" Target="https://www.google.com/maps/d/viewer?mid=1hvbKFMO-d5TXrKGU-g5dt_xcdArB1D0&amp;ll=34.71147784120261%2C-92.40574350000001&amp;z=17" TargetMode="External"/><Relationship Id="rId798" Type="http://schemas.openxmlformats.org/officeDocument/2006/relationships/hyperlink" Target="https://www.google.com/maps/d/edit?mid=18OEO_KbvYcgI3N1jE4gTMXfNHTNDrFU&amp;ll=32.66603989958274%2C-97.42021198201722&amp;z=18" TargetMode="External"/><Relationship Id="rId213" Type="http://schemas.openxmlformats.org/officeDocument/2006/relationships/hyperlink" Target="https://www.google.com/maps/d/viewer?hl=es&amp;mid=1C1oZdjH3dNvCvqdpIv_Lk0Yn1OCVn-4&amp;ll=38.965368114274426%2C-92.3405954&amp;z=15" TargetMode="External"/><Relationship Id="rId420" Type="http://schemas.openxmlformats.org/officeDocument/2006/relationships/hyperlink" Target="https://www.google.com/maps/d/viewer?mid=1whGZ1PLqmhJnGFz8uigZqUL4cHGGW3w&amp;ll=38.668847686454825%2C-90.4433601&amp;z=17" TargetMode="External"/><Relationship Id="rId658" Type="http://schemas.openxmlformats.org/officeDocument/2006/relationships/hyperlink" Target="https://www.google.com/maps/d/edit?hl=es&amp;mid=1uPmsRMsXnp74hPFW2t-sp2totVWF_xY&amp;ll=32.83050137713022%2C-96.83197783061323&amp;z=17" TargetMode="External"/><Relationship Id="rId865" Type="http://schemas.openxmlformats.org/officeDocument/2006/relationships/hyperlink" Target="https://www.google.com/maps/d/viewer?mid=1hvbKFMO-d5TXrKGU-g5dt_xcdArB1D0&amp;ll=34.71147784120261%2C-92.40574350000001&amp;z=17" TargetMode="External"/><Relationship Id="rId1050" Type="http://schemas.openxmlformats.org/officeDocument/2006/relationships/hyperlink" Target="https://www.google.com/maps/d/viewer?mid=1gN2lJ0iT7m5VNhD7aDcxE8AdXqtcOZc&amp;ll=40.396096737592195%2C-104.746842&amp;z=16" TargetMode="External"/><Relationship Id="rId297" Type="http://schemas.openxmlformats.org/officeDocument/2006/relationships/hyperlink" Target="https://www.google.com/maps/d/viewer?hl=es&amp;mid=1C1oZdjH3dNvCvqdpIv_Lk0Yn1OCVn-4&amp;ll=38.965368114274455%2C-92.3405954&amp;z=15" TargetMode="External"/><Relationship Id="rId518" Type="http://schemas.openxmlformats.org/officeDocument/2006/relationships/hyperlink" Target="https://www.google.com/maps/d/viewer?hl=es&amp;mid=1C1oZdjH3dNvCvqdpIv_Lk0Yn1OCVn-4&amp;ll=38.965368114274455%2C-92.3405954&amp;z=15" TargetMode="External"/><Relationship Id="rId725" Type="http://schemas.openxmlformats.org/officeDocument/2006/relationships/hyperlink" Target="https://www.google.com/maps/d/edit?hl=es&amp;mid=1uPmsRMsXnp74hPFW2t-sp2totVWF_xY&amp;ll=32.83050137713022%2C-96.83197783061323&amp;z=17" TargetMode="External"/><Relationship Id="rId932" Type="http://schemas.openxmlformats.org/officeDocument/2006/relationships/hyperlink" Target="https://www.google.com/maps/d/viewer?mid=1ot0ILX76JMuvd9yMuqkb4_e0yH1n7TA&amp;ll=45.07815812965141%2C-93.33506855000002&amp;z=17" TargetMode="External"/><Relationship Id="rId157" Type="http://schemas.openxmlformats.org/officeDocument/2006/relationships/hyperlink" Target="https://www.google.com/maps/d/viewer?mid=1ejOzT7-x6RWnCf83BBP7XhiOiwEX3Wk&amp;ll=36.061264791292906%2C-79.87437695000003&amp;z=17" TargetMode="External"/><Relationship Id="rId364" Type="http://schemas.openxmlformats.org/officeDocument/2006/relationships/hyperlink" Target="https://www.google.com/maps/d/viewer?mid=1ejOzT7-x6RWnCf83BBP7XhiOiwEX3Wk&amp;ll=36.061264791292906%2C-79.87437695000003&amp;z=17" TargetMode="External"/><Relationship Id="rId1008" Type="http://schemas.openxmlformats.org/officeDocument/2006/relationships/hyperlink" Target="https://www.google.com/maps/d/viewer?mid=1gN2lJ0iT7m5VNhD7aDcxE8AdXqtcOZc&amp;ll=40.396096737592195%2C-104.746842&amp;z=16" TargetMode="External"/><Relationship Id="rId61" Type="http://schemas.openxmlformats.org/officeDocument/2006/relationships/hyperlink" Target="https://www.google.com/maps/d/viewer?mid=1hvbKFMO-d5TXrKGU-g5dt_xcdArB1D0&amp;ll=34.71147784120261%2C-92.40574350000001&amp;z=17" TargetMode="External"/><Relationship Id="rId571" Type="http://schemas.openxmlformats.org/officeDocument/2006/relationships/hyperlink" Target="https://www.google.com/maps/d/viewer?hl=es&amp;mid=1C1oZdjH3dNvCvqdpIv_Lk0Yn1OCVn-4&amp;ll=38.965368114274455%2C-92.3405954&amp;z=15" TargetMode="External"/><Relationship Id="rId669" Type="http://schemas.openxmlformats.org/officeDocument/2006/relationships/hyperlink" Target="https://www.google.com/maps/d/edit?hl=es&amp;mid=1uPmsRMsXnp74hPFW2t-sp2totVWF_xY&amp;ll=32.83050137713022%2C-96.83197783061323&amp;z=17" TargetMode="External"/><Relationship Id="rId876" Type="http://schemas.openxmlformats.org/officeDocument/2006/relationships/hyperlink" Target="https://www.google.com/maps/d/viewer?mid=1AyViBuyeq7iwDua1SVudJ2A1BYi3IBA&amp;ll=27.38181516363982%2C-80.32568845000002&amp;z=18" TargetMode="External"/><Relationship Id="rId19" Type="http://schemas.openxmlformats.org/officeDocument/2006/relationships/hyperlink" Target="https://www.google.com/maps/d/viewer?mid=1ebZp8DeTYSXNPgDIA63nFVDu9ohaO4E&amp;ll=41.08027837958441%2C-73.46597874999999&amp;z=15" TargetMode="External"/><Relationship Id="rId224" Type="http://schemas.openxmlformats.org/officeDocument/2006/relationships/hyperlink" Target="https://www.google.com/maps/d/viewer?mid=1AyViBuyeq7iwDua1SVudJ2A1BYi3IBA&amp;ll=27.38181516363982%2C-80.32568845000002&amp;z=18" TargetMode="External"/><Relationship Id="rId431" Type="http://schemas.openxmlformats.org/officeDocument/2006/relationships/hyperlink" Target="https://www.google.com/maps/d/viewer?hl=es&amp;mid=1C1oZdjH3dNvCvqdpIv_Lk0Yn1OCVn-4&amp;ll=38.965368114274455%2C-92.3405954&amp;z=15" TargetMode="External"/><Relationship Id="rId529" Type="http://schemas.openxmlformats.org/officeDocument/2006/relationships/hyperlink" Target="https://www.google.com/maps/d/viewer?mid=1ubI2iKs1JyYXssuT4oLPnVvFnyLPi_s&amp;ll=40.878808846788026%2C-73.98560655&amp;z=17" TargetMode="External"/><Relationship Id="rId736" Type="http://schemas.openxmlformats.org/officeDocument/2006/relationships/hyperlink" Target="https://www.google.com/maps/d/edit?hl=es&amp;mid=1uPmsRMsXnp74hPFW2t-sp2totVWF_xY&amp;ll=32.83050137713022%2C-96.83197783061323&amp;z=17" TargetMode="External"/><Relationship Id="rId1061" Type="http://schemas.openxmlformats.org/officeDocument/2006/relationships/table" Target="../tables/table1.xml"/><Relationship Id="rId168" Type="http://schemas.openxmlformats.org/officeDocument/2006/relationships/hyperlink" Target="https://www.google.com/maps/d/viewer?mid=1whGZ1PLqmhJnGFz8uigZqUL4cHGGW3w&amp;ll=38.668847686454825%2C-90.4433601&amp;z=17" TargetMode="External"/><Relationship Id="rId943" Type="http://schemas.openxmlformats.org/officeDocument/2006/relationships/hyperlink" Target="https://www.google.com/maps/d/viewer?mid=1hvbKFMO-d5TXrKGU-g5dt_xcdArB1D0&amp;ll=34.71147784120261%2C-92.40574350000001&amp;z=17" TargetMode="External"/><Relationship Id="rId1019" Type="http://schemas.openxmlformats.org/officeDocument/2006/relationships/hyperlink" Target="https://www.google.com/maps/d/viewer?mid=1gN2lJ0iT7m5VNhD7aDcxE8AdXqtcOZc&amp;ll=40.396096737592195%2C-104.746842&amp;z=16" TargetMode="External"/><Relationship Id="rId72" Type="http://schemas.openxmlformats.org/officeDocument/2006/relationships/hyperlink" Target="https://www.google.com/maps/d/viewer?mid=1bDs0QGFZwL3vEeGKxjVMk_j4azr0-lg&amp;ll=33.4593758581648%2C-112.28793780000001&amp;z=18" TargetMode="External"/><Relationship Id="rId375" Type="http://schemas.openxmlformats.org/officeDocument/2006/relationships/hyperlink" Target="https://www.google.com/maps/d/viewer?mid=1bDs0QGFZwL3vEeGKxjVMk_j4azr0-lg&amp;ll=33.4593758581648%2C-112.28793780000001&amp;z=18" TargetMode="External"/><Relationship Id="rId582" Type="http://schemas.openxmlformats.org/officeDocument/2006/relationships/hyperlink" Target="https://www.google.com/maps/d/viewer?mid=1whGZ1PLqmhJnGFz8uigZqUL4cHGGW3w&amp;ll=38.668847686454825%2C-90.4433601&amp;z=17" TargetMode="External"/><Relationship Id="rId803" Type="http://schemas.openxmlformats.org/officeDocument/2006/relationships/hyperlink" Target="https://www.google.com/maps/d/edit?mid=18OEO_KbvYcgI3N1jE4gTMXfNHTNDrFU&amp;ll=32.66603989958274%2C-97.42021198201722&amp;z=18" TargetMode="External"/><Relationship Id="rId3" Type="http://schemas.openxmlformats.org/officeDocument/2006/relationships/hyperlink" Target="https://www.google.com/maps/d/edit?mid=1jkN3DS1BhUqp_dztjjW0PDwKfo_Yxsw&amp;usp=sharing" TargetMode="External"/><Relationship Id="rId235" Type="http://schemas.openxmlformats.org/officeDocument/2006/relationships/hyperlink" Target="https://www.google.com/maps/d/viewer?mid=1hvbKFMO-d5TXrKGU-g5dt_xcdArB1D0&amp;ll=34.71147784120261%2C-92.40574350000001&amp;z=17" TargetMode="External"/><Relationship Id="rId442" Type="http://schemas.openxmlformats.org/officeDocument/2006/relationships/hyperlink" Target="https://www.google.com/maps/d/viewer?mid=1whGZ1PLqmhJnGFz8uigZqUL4cHGGW3w&amp;ll=38.668847686454825%2C-90.4433601&amp;z=17" TargetMode="External"/><Relationship Id="rId887" Type="http://schemas.openxmlformats.org/officeDocument/2006/relationships/hyperlink" Target="https://www.google.com/maps/d/edit?hl=es&amp;mid=1uPmsRMsXnp74hPFW2t-sp2totVWF_xY&amp;ll=32.83050137713022%2C-96.83197783061323&amp;z=17" TargetMode="External"/><Relationship Id="rId302" Type="http://schemas.openxmlformats.org/officeDocument/2006/relationships/hyperlink" Target="https://www.google.com/maps/d/viewer?hl=es&amp;mid=1C1oZdjH3dNvCvqdpIv_Lk0Yn1OCVn-4&amp;ll=38.965368114274455%2C-92.3405954&amp;z=15" TargetMode="External"/><Relationship Id="rId747" Type="http://schemas.openxmlformats.org/officeDocument/2006/relationships/hyperlink" Target="https://www.google.com/maps/d/edit?hl=es&amp;mid=1uPmsRMsXnp74hPFW2t-sp2totVWF_xY&amp;ll=32.83050137713022%2C-96.83197783061323&amp;z=17" TargetMode="External"/><Relationship Id="rId954" Type="http://schemas.openxmlformats.org/officeDocument/2006/relationships/hyperlink" Target="https://www.google.com/maps/d/viewer?mid=1ejOzT7-x6RWnCf83BBP7XhiOiwEX3Wk&amp;ll=36.061264791292906%2C-79.87437695000003&amp;z=17" TargetMode="External"/><Relationship Id="rId83" Type="http://schemas.openxmlformats.org/officeDocument/2006/relationships/hyperlink" Target="https://www.google.com/maps/d/viewer?hl=es&amp;mid=1C1oZdjH3dNvCvqdpIv_Lk0Yn1OCVn-4&amp;ll=38.965368114274455%2C-92.3405954&amp;z=15" TargetMode="External"/><Relationship Id="rId179" Type="http://schemas.openxmlformats.org/officeDocument/2006/relationships/hyperlink" Target="https://www.google.com/maps/d/viewer?mid=1FEo41PzFJQjUIXXKitX5TNCtuqR6Vbs&amp;ll=41.1663376742533%2C-73.22955662049608&amp;z=16" TargetMode="External"/><Relationship Id="rId386" Type="http://schemas.openxmlformats.org/officeDocument/2006/relationships/hyperlink" Target="https://www.google.com/maps/d/viewer?mid=1AyViBuyeq7iwDua1SVudJ2A1BYi3IBA&amp;ll=27.38181516363982%2C-80.32568845000002&amp;z=18" TargetMode="External"/><Relationship Id="rId593" Type="http://schemas.openxmlformats.org/officeDocument/2006/relationships/hyperlink" Target="https://www.google.com/maps/d/viewer?mid=1wg5suxVuxeNp_irHlvN772HcwD6W89E&amp;ll=33.06373951220261%2C-96.82758025000001&amp;z=18" TargetMode="External"/><Relationship Id="rId607" Type="http://schemas.openxmlformats.org/officeDocument/2006/relationships/hyperlink" Target="https://www.google.com/maps/d/viewer?mid=1wg5suxVuxeNp_irHlvN772HcwD6W89E&amp;ll=33.06373951220261%2C-96.82758025000001&amp;z=18" TargetMode="External"/><Relationship Id="rId814" Type="http://schemas.openxmlformats.org/officeDocument/2006/relationships/hyperlink" Target="https://www.google.com/maps/d/edit?mid=18OEO_KbvYcgI3N1jE4gTMXfNHTNDrFU&amp;ll=32.66603989958274%2C-97.42021198201722&amp;z=18" TargetMode="External"/><Relationship Id="rId246" Type="http://schemas.openxmlformats.org/officeDocument/2006/relationships/hyperlink" Target="https://www.google.com/maps/d/viewer?hl=es&amp;mid=1C1oZdjH3dNvCvqdpIv_Lk0Yn1OCVn-4&amp;ll=38.965368114274455%2C-92.3405954&amp;z=15" TargetMode="External"/><Relationship Id="rId453" Type="http://schemas.openxmlformats.org/officeDocument/2006/relationships/hyperlink" Target="https://www.google.com/maps/d/viewer?mid=1hvbKFMO-d5TXrKGU-g5dt_xcdArB1D0&amp;ll=34.71147784120261%2C-92.40574350000001&amp;z=17" TargetMode="External"/><Relationship Id="rId660" Type="http://schemas.openxmlformats.org/officeDocument/2006/relationships/hyperlink" Target="https://www.google.com/maps/d/edit?hl=es&amp;mid=1uPmsRMsXnp74hPFW2t-sp2totVWF_xY&amp;ll=32.83050137713022%2C-96.83197783061323&amp;z=17" TargetMode="External"/><Relationship Id="rId898" Type="http://schemas.openxmlformats.org/officeDocument/2006/relationships/hyperlink" Target="https://www.google.com/maps/d/viewer?hl=es&amp;mid=1C1oZdjH3dNvCvqdpIv_Lk0Yn1OCVn-4&amp;ll=38.965368114274455%2C-92.3405954&amp;z=15" TargetMode="External"/><Relationship Id="rId106" Type="http://schemas.openxmlformats.org/officeDocument/2006/relationships/hyperlink" Target="https://www.google.com/maps/d/viewer?hl=es&amp;mid=1C1oZdjH3dNvCvqdpIv_Lk0Yn1OCVn-4&amp;ll=38.965368114274455%2C-92.3405954&amp;z=15" TargetMode="External"/><Relationship Id="rId313" Type="http://schemas.openxmlformats.org/officeDocument/2006/relationships/hyperlink" Target="https://www.google.com/maps/d/viewer?mid=1ebZp8DeTYSXNPgDIA63nFVDu9ohaO4E&amp;ll=41.08027837958441%2C-73.46597874999999&amp;z=15" TargetMode="External"/><Relationship Id="rId758" Type="http://schemas.openxmlformats.org/officeDocument/2006/relationships/hyperlink" Target="https://www.google.com/maps/d/edit?hl=es&amp;mid=1uPmsRMsXnp74hPFW2t-sp2totVWF_xY&amp;ll=32.83050137713022%2C-96.83197783061323&amp;z=17" TargetMode="External"/><Relationship Id="rId965" Type="http://schemas.openxmlformats.org/officeDocument/2006/relationships/hyperlink" Target="https://www.google.com/maps/d/edit?hl=es&amp;mid=1uPmsRMsXnp74hPFW2t-sp2totVWF_xY&amp;ll=32.83050137713022%2C-96.83197783061323&amp;z=17" TargetMode="External"/><Relationship Id="rId10" Type="http://schemas.openxmlformats.org/officeDocument/2006/relationships/hyperlink" Target="https://www.google.com/maps/d/viewer?mid=1ubI2iKs1JyYXssuT4oLPnVvFnyLPi_s&amp;ll=40.878808846788026%2C-73.98560655&amp;z=17" TargetMode="External"/><Relationship Id="rId94" Type="http://schemas.openxmlformats.org/officeDocument/2006/relationships/hyperlink" Target="https://www.google.com/maps/d/viewer?hl=es&amp;mid=1C1oZdjH3dNvCvqdpIv_Lk0Yn1OCVn-4&amp;ll=38.965368114274455%2C-92.3405954&amp;z=15" TargetMode="External"/><Relationship Id="rId397" Type="http://schemas.openxmlformats.org/officeDocument/2006/relationships/hyperlink" Target="https://www.google.com/maps/d/viewer?mid=1FEo41PzFJQjUIXXKitX5TNCtuqR6Vbs&amp;ll=41.1663376742533%2C-73.22955662049608&amp;z=16" TargetMode="External"/><Relationship Id="rId520" Type="http://schemas.openxmlformats.org/officeDocument/2006/relationships/hyperlink" Target="https://www.google.com/maps/d/viewer?mid=1ejOzT7-x6RWnCf83BBP7XhiOiwEX3Wk&amp;ll=36.061264791292906%2C-79.87437695000003&amp;z=17" TargetMode="External"/><Relationship Id="rId618" Type="http://schemas.openxmlformats.org/officeDocument/2006/relationships/hyperlink" Target="https://www.google.com/maps/d/viewer?mid=1wg5suxVuxeNp_irHlvN772HcwD6W89E&amp;ll=33.06373951220261%2C-96.82758025000001&amp;z=18" TargetMode="External"/><Relationship Id="rId825" Type="http://schemas.openxmlformats.org/officeDocument/2006/relationships/hyperlink" Target="https://www.google.com/maps/d/viewer?mid=1ebZp8DeTYSXNPgDIA63nFVDu9ohaO4E&amp;ll=41.08027837958441%2C-73.46597874999999&amp;z=15" TargetMode="External"/><Relationship Id="rId257" Type="http://schemas.openxmlformats.org/officeDocument/2006/relationships/hyperlink" Target="https://www.google.com/maps/d/viewer?mid=1whGZ1PLqmhJnGFz8uigZqUL4cHGGW3w&amp;ll=38.668847686454825%2C-90.4433601&amp;z=17" TargetMode="External"/><Relationship Id="rId464" Type="http://schemas.openxmlformats.org/officeDocument/2006/relationships/hyperlink" Target="https://www.google.com/maps/d/viewer?hl=es&amp;mid=1C1oZdjH3dNvCvqdpIv_Lk0Yn1OCVn-4&amp;ll=38.965368114274455%2C-92.3405954&amp;z=15" TargetMode="External"/><Relationship Id="rId1010" Type="http://schemas.openxmlformats.org/officeDocument/2006/relationships/hyperlink" Target="https://www.google.com/maps/d/viewer?mid=1gN2lJ0iT7m5VNhD7aDcxE8AdXqtcOZc&amp;ll=40.396096737592195%2C-104.746842&amp;z=16" TargetMode="External"/><Relationship Id="rId117" Type="http://schemas.openxmlformats.org/officeDocument/2006/relationships/hyperlink" Target="https://www.google.com/maps/d/viewer?mid=1ejOzT7-x6RWnCf83BBP7XhiOiwEX3Wk&amp;ll=36.061264791292906%2C-79.87437695000003&amp;z=17" TargetMode="External"/><Relationship Id="rId671" Type="http://schemas.openxmlformats.org/officeDocument/2006/relationships/hyperlink" Target="https://www.google.com/maps/d/edit?hl=es&amp;mid=1uPmsRMsXnp74hPFW2t-sp2totVWF_xY&amp;ll=32.83050137713022%2C-96.83197783061323&amp;z=17" TargetMode="External"/><Relationship Id="rId769" Type="http://schemas.openxmlformats.org/officeDocument/2006/relationships/hyperlink" Target="https://www.google.com/maps/d/edit?hl=es&amp;mid=1uPmsRMsXnp74hPFW2t-sp2totVWF_xY&amp;ll=32.83050137713022%2C-96.83197783061323&amp;z=17" TargetMode="External"/><Relationship Id="rId976" Type="http://schemas.openxmlformats.org/officeDocument/2006/relationships/hyperlink" Target="https://www.google.com/maps/d/viewer?mid=1ubI2iKs1JyYXssuT4oLPnVvFnyLPi_s&amp;ll=40.878808846788026%2C-73.98560655&amp;z=17" TargetMode="External"/><Relationship Id="rId324" Type="http://schemas.openxmlformats.org/officeDocument/2006/relationships/hyperlink" Target="https://www.google.com/maps/d/viewer?hl=es&amp;mid=1C1oZdjH3dNvCvqdpIv_Lk0Yn1OCVn-4&amp;ll=38.965368114274455%2C-92.3405954&amp;z=15" TargetMode="External"/><Relationship Id="rId531" Type="http://schemas.openxmlformats.org/officeDocument/2006/relationships/hyperlink" Target="https://www.google.com/maps/d/viewer?mid=1FEo41PzFJQjUIXXKitX5TNCtuqR6Vbs&amp;ll=41.1663376742533%2C-73.22955662049608&amp;z=16" TargetMode="External"/><Relationship Id="rId629" Type="http://schemas.openxmlformats.org/officeDocument/2006/relationships/hyperlink" Target="https://www.google.com/maps/d/edit?hl=en&amp;mid=1UHmt7tH1ihTa85i0MfQIcTfVvIQg_vM&amp;ll=41.024187580466844%2C-73.63702405370861&amp;z=18" TargetMode="External"/><Relationship Id="rId836" Type="http://schemas.openxmlformats.org/officeDocument/2006/relationships/hyperlink" Target="https://www.google.com/maps/d/viewer?mid=1ejOzT7-x6RWnCf83BBP7XhiOiwEX3Wk&amp;ll=36.061264791292906%2C-79.87437695000003&amp;z=17" TargetMode="External"/><Relationship Id="rId1021" Type="http://schemas.openxmlformats.org/officeDocument/2006/relationships/hyperlink" Target="https://www.google.com/maps/d/viewer?mid=1gN2lJ0iT7m5VNhD7aDcxE8AdXqtcOZc&amp;ll=40.396096737592195%2C-104.746842&amp;z=16" TargetMode="External"/><Relationship Id="rId903" Type="http://schemas.openxmlformats.org/officeDocument/2006/relationships/hyperlink" Target="https://www.google.com/maps/d/viewer?mid=1hvbKFMO-d5TXrKGU-g5dt_xcdArB1D0&amp;ll=34.71147784120261%2C-92.40574350000001&amp;z=17" TargetMode="External"/><Relationship Id="rId32" Type="http://schemas.openxmlformats.org/officeDocument/2006/relationships/hyperlink" Target="https://www.google.com/maps/d/viewer?mid=1FEo41PzFJQjUIXXKitX5TNCtuqR6Vbs&amp;ll=41.1663376742533%2C-73.22955662049608&amp;z=16" TargetMode="External"/><Relationship Id="rId181" Type="http://schemas.openxmlformats.org/officeDocument/2006/relationships/hyperlink" Target="https://www.google.com/maps/d/viewer?mid=1hvbKFMO-d5TXrKGU-g5dt_xcdArB1D0&amp;ll=34.71147784120261%2C-92.40574350000001&amp;z=17" TargetMode="External"/><Relationship Id="rId279" Type="http://schemas.openxmlformats.org/officeDocument/2006/relationships/hyperlink" Target="https://www.google.com/maps/d/viewer?mid=1whGZ1PLqmhJnGFz8uigZqUL4cHGGW3w&amp;ll=38.668847686454825%2C-90.4433601&amp;z=17" TargetMode="External"/><Relationship Id="rId486" Type="http://schemas.openxmlformats.org/officeDocument/2006/relationships/hyperlink" Target="https://www.google.com/maps/d/viewer?hl=es&amp;mid=1C1oZdjH3dNvCvqdpIv_Lk0Yn1OCVn-4&amp;ll=38.965368114274455%2C-92.3405954&amp;z=15" TargetMode="External"/><Relationship Id="rId693" Type="http://schemas.openxmlformats.org/officeDocument/2006/relationships/hyperlink" Target="https://www.google.com/maps/d/edit?hl=es&amp;mid=1uPmsRMsXnp74hPFW2t-sp2totVWF_xY&amp;ll=32.83050137713022%2C-96.83197783061323&amp;z=17" TargetMode="External"/><Relationship Id="rId139" Type="http://schemas.openxmlformats.org/officeDocument/2006/relationships/hyperlink" Target="https://www.google.com/maps/d/viewer?mid=1whGZ1PLqmhJnGFz8uigZqUL4cHGGW3w&amp;ll=38.668847686454825%2C-90.4433601&amp;z=17" TargetMode="External"/><Relationship Id="rId346" Type="http://schemas.openxmlformats.org/officeDocument/2006/relationships/hyperlink" Target="https://www.google.com/maps/d/viewer?mid=1hvbKFMO-d5TXrKGU-g5dt_xcdArB1D0&amp;ll=34.71147784120261%2C-92.40574350000001&amp;z=17" TargetMode="External"/><Relationship Id="rId553" Type="http://schemas.openxmlformats.org/officeDocument/2006/relationships/hyperlink" Target="https://www.google.com/maps/d/viewer?mid=1ejOzT7-x6RWnCf83BBP7XhiOiwEX3Wk&amp;ll=36.061264791292906%2C-79.87437695000003&amp;z=17" TargetMode="External"/><Relationship Id="rId760" Type="http://schemas.openxmlformats.org/officeDocument/2006/relationships/hyperlink" Target="https://www.google.com/maps/d/edit?hl=es&amp;mid=1uPmsRMsXnp74hPFW2t-sp2totVWF_xY&amp;ll=32.83050137713022%2C-96.83197783061323&amp;z=17" TargetMode="External"/><Relationship Id="rId998" Type="http://schemas.openxmlformats.org/officeDocument/2006/relationships/hyperlink" Target="https://www.google.com/maps/d/viewer?mid=1wg5suxVuxeNp_irHlvN772HcwD6W89E&amp;ll=33.06373951220261%2C-96.82758025000001&amp;z=18" TargetMode="External"/><Relationship Id="rId206" Type="http://schemas.openxmlformats.org/officeDocument/2006/relationships/hyperlink" Target="https://www.google.com/maps/d/viewer?mid=1FEo41PzFJQjUIXXKitX5TNCtuqR6Vbs&amp;ll=41.1663376742533%2C-73.22955662049608&amp;z=16" TargetMode="External"/><Relationship Id="rId413" Type="http://schemas.openxmlformats.org/officeDocument/2006/relationships/hyperlink" Target="https://www.google.com/maps/d/viewer?mid=1AyViBuyeq7iwDua1SVudJ2A1BYi3IBA&amp;ll=27.38181516363982%2C-80.32568845000002&amp;z=18" TargetMode="External"/><Relationship Id="rId858" Type="http://schemas.openxmlformats.org/officeDocument/2006/relationships/hyperlink" Target="https://www.google.com/maps/d/edit?hl=en&amp;mid=1UHmt7tH1ihTa85i0MfQIcTfVvIQg_vM&amp;ll=41.024187580466844%2C-73.63702405370861&amp;z=18" TargetMode="External"/><Relationship Id="rId1043" Type="http://schemas.openxmlformats.org/officeDocument/2006/relationships/hyperlink" Target="https://www.google.com/maps/d/viewer?mid=1gN2lJ0iT7m5VNhD7aDcxE8AdXqtcOZc&amp;ll=40.396096737592195%2C-104.746842&amp;z=16" TargetMode="External"/><Relationship Id="rId620" Type="http://schemas.openxmlformats.org/officeDocument/2006/relationships/hyperlink" Target="https://www.google.com/maps/d/viewer?mid=1wg5suxVuxeNp_irHlvN772HcwD6W89E&amp;ll=33.06373951220261%2C-96.82758025000001&amp;z=18" TargetMode="External"/><Relationship Id="rId718" Type="http://schemas.openxmlformats.org/officeDocument/2006/relationships/hyperlink" Target="https://www.google.com/maps/d/edit?hl=es&amp;mid=1uPmsRMsXnp74hPFW2t-sp2totVWF_xY&amp;ll=32.83050137713022%2C-96.83197783061323&amp;z=17" TargetMode="External"/><Relationship Id="rId925" Type="http://schemas.openxmlformats.org/officeDocument/2006/relationships/hyperlink" Target="https://www.google.com/maps/d/edit?hl=es&amp;mid=1uPmsRMsXnp74hPFW2t-sp2totVWF_xY&amp;ll=32.83050137713022%2C-96.83197783061323&amp;z=17" TargetMode="Externa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8" Type="http://schemas.openxmlformats.org/officeDocument/2006/relationships/printerSettings" Target="../printerSettings/printerSettings4.bin"/><Relationship Id="rId3" Type="http://schemas.openxmlformats.org/officeDocument/2006/relationships/pivotTable" Target="../pivotTables/pivotTable13.xml"/><Relationship Id="rId7" Type="http://schemas.openxmlformats.org/officeDocument/2006/relationships/pivotTable" Target="../pivotTables/pivotTable17.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5" Type="http://schemas.openxmlformats.org/officeDocument/2006/relationships/pivotTable" Target="../pivotTables/pivotTable15.xml"/><Relationship Id="rId10" Type="http://schemas.microsoft.com/office/2007/relationships/slicer" Target="../slicers/slicer3.xml"/><Relationship Id="rId4" Type="http://schemas.openxmlformats.org/officeDocument/2006/relationships/pivotTable" Target="../pivotTables/pivotTable14.xml"/><Relationship Id="rId9"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774F7-0139-4286-943F-A43533F1B9D6}">
  <sheetPr codeName="Sheet1"/>
  <dimension ref="A1:BB80"/>
  <sheetViews>
    <sheetView tabSelected="1" zoomScale="80" zoomScaleNormal="80" workbookViewId="0">
      <selection activeCell="N10" sqref="N10"/>
    </sheetView>
  </sheetViews>
  <sheetFormatPr defaultColWidth="0" defaultRowHeight="15" customHeight="1" outlineLevelCol="1" x14ac:dyDescent="0.25"/>
  <cols>
    <col min="1" max="1" width="7.42578125" customWidth="1"/>
    <col min="2" max="2" width="14.42578125" style="5" customWidth="1"/>
    <col min="3" max="3" width="67" style="5" customWidth="1"/>
    <col min="4" max="4" width="21.85546875" style="5" hidden="1" customWidth="1"/>
    <col min="5" max="5" width="13.42578125" style="87" customWidth="1"/>
    <col min="6" max="7" width="26.28515625" style="5" hidden="1" customWidth="1"/>
    <col min="8" max="8" width="15.140625" style="5" hidden="1" customWidth="1"/>
    <col min="9" max="9" width="14.5703125" style="5" customWidth="1"/>
    <col min="10" max="10" width="16.7109375" style="5" customWidth="1"/>
    <col min="11" max="11" width="12.85546875" hidden="1" customWidth="1"/>
    <col min="12" max="12" width="14.140625" hidden="1" customWidth="1"/>
    <col min="13" max="13" width="0.5703125" hidden="1" customWidth="1"/>
    <col min="14" max="14" width="18.85546875" bestFit="1" customWidth="1"/>
    <col min="15" max="15" width="10.140625" bestFit="1" customWidth="1"/>
    <col min="16" max="16" width="20.140625" customWidth="1"/>
    <col min="17" max="17" width="22.28515625" customWidth="1"/>
    <col min="18" max="18" width="19.85546875" style="48" customWidth="1"/>
    <col min="19" max="19" width="15.140625" customWidth="1"/>
    <col min="20" max="20" width="28.140625" customWidth="1"/>
    <col min="21" max="21" width="30.85546875" style="5" bestFit="1" customWidth="1"/>
    <col min="22" max="22" width="28.42578125" style="76" customWidth="1"/>
    <col min="23" max="23" width="14.5703125" style="5" hidden="1" customWidth="1"/>
    <col min="24" max="24" width="14.5703125" style="5" customWidth="1"/>
    <col min="25" max="25" width="14.5703125" style="5" hidden="1" customWidth="1"/>
    <col min="26" max="26" width="6.7109375" style="5" hidden="1" customWidth="1"/>
    <col min="27" max="27" width="7.85546875" style="5" hidden="1" customWidth="1"/>
    <col min="28" max="28" width="16.7109375" style="5" bestFit="1" customWidth="1"/>
    <col min="29" max="29" width="8.140625" style="5" hidden="1" customWidth="1"/>
    <col min="30" max="30" width="2" style="5" customWidth="1"/>
    <col min="31" max="31" width="55.7109375" style="5" hidden="1" customWidth="1" outlineLevel="1"/>
    <col min="32" max="32" width="7.85546875" style="5" customWidth="1" collapsed="1"/>
    <col min="33" max="33" width="14.5703125" style="5" hidden="1" customWidth="1"/>
    <col min="34" max="34" width="8.85546875" hidden="1" customWidth="1"/>
    <col min="35" max="54" width="0" hidden="1" customWidth="1"/>
    <col min="55" max="16384" width="11.5703125" hidden="1"/>
  </cols>
  <sheetData>
    <row r="1" spans="1:33" s="29" customFormat="1" ht="14.25" customHeight="1" x14ac:dyDescent="0.25">
      <c r="D1" s="37"/>
      <c r="E1" s="87"/>
      <c r="F1" s="37"/>
      <c r="G1" s="37"/>
      <c r="I1" s="38"/>
      <c r="J1" s="37"/>
      <c r="R1" s="54"/>
      <c r="V1" s="75"/>
      <c r="W1" s="37"/>
      <c r="X1" s="37"/>
      <c r="Y1" s="37"/>
      <c r="Z1" s="37"/>
      <c r="AA1" s="37"/>
      <c r="AB1" s="37"/>
      <c r="AC1" s="37"/>
      <c r="AD1" s="37"/>
      <c r="AE1" s="39" t="s">
        <v>0</v>
      </c>
      <c r="AG1" s="37"/>
    </row>
    <row r="2" spans="1:33" ht="19.5" x14ac:dyDescent="0.3">
      <c r="A2" s="104" t="s">
        <v>1</v>
      </c>
      <c r="B2" s="105"/>
      <c r="C2" s="105"/>
      <c r="I2" s="24"/>
      <c r="AE2" s="129" t="s">
        <v>2</v>
      </c>
      <c r="AF2"/>
    </row>
    <row r="3" spans="1:33" ht="18.75" x14ac:dyDescent="0.3">
      <c r="B3"/>
      <c r="C3" s="3"/>
      <c r="J3" s="10" t="s">
        <v>3</v>
      </c>
      <c r="K3" s="36"/>
      <c r="L3" s="36"/>
      <c r="M3" s="6" t="s">
        <v>4</v>
      </c>
      <c r="N3" s="5" t="s">
        <v>131</v>
      </c>
      <c r="U3"/>
      <c r="V3" s="77"/>
      <c r="W3"/>
      <c r="X3"/>
      <c r="Y3"/>
      <c r="Z3"/>
      <c r="AA3"/>
      <c r="AB3"/>
      <c r="AC3"/>
      <c r="AE3" s="128" t="s">
        <v>108</v>
      </c>
      <c r="AF3"/>
      <c r="AG3"/>
    </row>
    <row r="4" spans="1:33" ht="18.75" x14ac:dyDescent="0.25">
      <c r="B4"/>
      <c r="C4" s="3"/>
      <c r="U4"/>
      <c r="V4" s="77"/>
      <c r="W4"/>
      <c r="X4"/>
      <c r="Y4"/>
      <c r="Z4"/>
      <c r="AA4"/>
      <c r="AB4"/>
      <c r="AC4"/>
      <c r="AE4" s="127" t="s">
        <v>514</v>
      </c>
      <c r="AF4"/>
      <c r="AG4"/>
    </row>
    <row r="5" spans="1:33" ht="18.75" x14ac:dyDescent="0.3">
      <c r="B5"/>
      <c r="C5" s="3"/>
      <c r="J5" s="101" t="s">
        <v>6</v>
      </c>
      <c r="M5" s="6" t="s">
        <v>7</v>
      </c>
      <c r="N5" s="10" t="str">
        <f>+M5</f>
        <v xml:space="preserve">Station </v>
      </c>
      <c r="U5"/>
      <c r="V5" s="77"/>
      <c r="W5"/>
      <c r="X5"/>
      <c r="Y5"/>
      <c r="Z5"/>
      <c r="AA5"/>
      <c r="AB5"/>
      <c r="AC5"/>
      <c r="AE5" s="128" t="s">
        <v>78</v>
      </c>
      <c r="AF5"/>
      <c r="AG5"/>
    </row>
    <row r="6" spans="1:33" ht="18.75" x14ac:dyDescent="0.3">
      <c r="B6"/>
      <c r="C6" s="3"/>
      <c r="J6" s="106"/>
      <c r="M6" s="125">
        <v>6</v>
      </c>
      <c r="N6" s="21">
        <f>+M6</f>
        <v>6</v>
      </c>
      <c r="AE6" s="128" t="s">
        <v>68</v>
      </c>
      <c r="AF6"/>
    </row>
    <row r="7" spans="1:33" ht="18.75" x14ac:dyDescent="0.3">
      <c r="B7"/>
      <c r="C7" s="3"/>
      <c r="H7"/>
      <c r="I7"/>
      <c r="AE7" s="128" t="s">
        <v>187</v>
      </c>
      <c r="AF7"/>
    </row>
    <row r="8" spans="1:33" ht="18.75" x14ac:dyDescent="0.3">
      <c r="B8"/>
      <c r="C8" s="3"/>
      <c r="H8"/>
      <c r="I8"/>
      <c r="AE8" s="128" t="s">
        <v>136</v>
      </c>
      <c r="AF8"/>
    </row>
    <row r="9" spans="1:33" ht="18.75" x14ac:dyDescent="0.3">
      <c r="B9"/>
      <c r="C9" s="3"/>
      <c r="H9"/>
      <c r="I9"/>
      <c r="N9" t="s">
        <v>10</v>
      </c>
      <c r="AE9" s="131" t="s">
        <v>139</v>
      </c>
      <c r="AF9"/>
    </row>
    <row r="10" spans="1:33" ht="18.75" x14ac:dyDescent="0.3">
      <c r="H10"/>
      <c r="I10"/>
      <c r="AE10" s="131" t="s">
        <v>141</v>
      </c>
      <c r="AF10"/>
    </row>
    <row r="11" spans="1:33" ht="18.75" x14ac:dyDescent="0.25">
      <c r="H11"/>
      <c r="I11"/>
      <c r="AE11" s="130" t="s">
        <v>104</v>
      </c>
      <c r="AF11"/>
    </row>
    <row r="12" spans="1:33" ht="18.75" x14ac:dyDescent="0.3">
      <c r="H12"/>
      <c r="I12"/>
      <c r="AE12" s="131" t="s">
        <v>98</v>
      </c>
      <c r="AF12"/>
    </row>
    <row r="13" spans="1:33" ht="18.75" hidden="1" x14ac:dyDescent="0.3">
      <c r="H13"/>
      <c r="I13"/>
      <c r="AE13"/>
      <c r="AF13"/>
    </row>
    <row r="14" spans="1:33" ht="18.75" x14ac:dyDescent="0.3">
      <c r="I14"/>
      <c r="AE14"/>
      <c r="AF14"/>
    </row>
    <row r="15" spans="1:33" s="37" customFormat="1" ht="18.75" x14ac:dyDescent="0.25">
      <c r="A15" s="50" t="s">
        <v>11</v>
      </c>
      <c r="B15" s="50" t="s">
        <v>12</v>
      </c>
      <c r="C15" s="50" t="s">
        <v>13</v>
      </c>
      <c r="D15" s="23"/>
      <c r="E15" s="87"/>
      <c r="F15" s="23"/>
      <c r="G15" s="23"/>
      <c r="H15" s="51" t="s">
        <v>14</v>
      </c>
      <c r="I15" s="101" t="s">
        <v>15</v>
      </c>
      <c r="J15" s="101"/>
      <c r="R15" s="61"/>
      <c r="V15" s="76"/>
      <c r="W15" s="51"/>
      <c r="AD15" s="23"/>
      <c r="AE15"/>
    </row>
    <row r="16" spans="1:33" ht="18.75" x14ac:dyDescent="0.3">
      <c r="A16" s="20">
        <v>14</v>
      </c>
      <c r="B16" s="20">
        <v>8</v>
      </c>
      <c r="C16" s="126">
        <v>10</v>
      </c>
      <c r="D16" s="13"/>
      <c r="F16" s="13"/>
      <c r="G16" s="13"/>
      <c r="H16" s="21">
        <f>+COUNTIF('Dynamic Split'!H19:H75,"Log Out")</f>
        <v>10</v>
      </c>
      <c r="I16" s="102">
        <f>+GETPIVOTDATA("Site",$C$15)-H16</f>
        <v>0</v>
      </c>
      <c r="J16" s="103"/>
      <c r="L16" s="8" t="s">
        <v>16</v>
      </c>
      <c r="M16" s="8"/>
      <c r="N16" s="8"/>
      <c r="O16" s="8"/>
      <c r="W16" s="21"/>
      <c r="Y16" s="13"/>
      <c r="Z16" s="13"/>
      <c r="AA16" s="13"/>
      <c r="AB16" s="13"/>
      <c r="AC16" s="13"/>
      <c r="AE16"/>
      <c r="AF16"/>
      <c r="AG16" s="13"/>
    </row>
    <row r="17" spans="1:33" ht="18.75" x14ac:dyDescent="0.3">
      <c r="B17"/>
      <c r="C17" s="3"/>
      <c r="H17"/>
      <c r="I17"/>
      <c r="S17" s="26"/>
      <c r="U17"/>
      <c r="V17" s="77"/>
      <c r="W17"/>
      <c r="X17"/>
      <c r="Y17"/>
      <c r="Z17"/>
      <c r="AA17"/>
      <c r="AB17"/>
      <c r="AC17"/>
      <c r="AD17"/>
      <c r="AE17"/>
    </row>
    <row r="18" spans="1:33" s="37" customFormat="1" ht="19.5" x14ac:dyDescent="0.25">
      <c r="A18" s="56" t="s">
        <v>11</v>
      </c>
      <c r="B18" s="49" t="s">
        <v>17</v>
      </c>
      <c r="C18" s="49" t="s">
        <v>18</v>
      </c>
      <c r="D18" s="50" t="s">
        <v>19</v>
      </c>
      <c r="E18" s="88" t="s">
        <v>495</v>
      </c>
      <c r="F18" s="57" t="s">
        <v>20</v>
      </c>
      <c r="G18" s="57"/>
      <c r="H18" s="58" t="s">
        <v>21</v>
      </c>
      <c r="I18" s="99" t="s">
        <v>22</v>
      </c>
      <c r="J18" s="100"/>
      <c r="K18" s="59" t="s">
        <v>11</v>
      </c>
      <c r="L18" s="49" t="s">
        <v>23</v>
      </c>
      <c r="M18" s="49" t="s">
        <v>18</v>
      </c>
      <c r="N18" s="49" t="s">
        <v>19</v>
      </c>
      <c r="O18" s="49" t="s">
        <v>24</v>
      </c>
      <c r="P18" s="49" t="s">
        <v>25</v>
      </c>
      <c r="Q18" s="49" t="s">
        <v>26</v>
      </c>
      <c r="R18" s="49" t="s">
        <v>27</v>
      </c>
      <c r="S18" s="49" t="s">
        <v>28</v>
      </c>
      <c r="T18" s="49" t="s">
        <v>29</v>
      </c>
      <c r="U18" s="49" t="s">
        <v>30</v>
      </c>
      <c r="V18" s="78" t="s">
        <v>31</v>
      </c>
      <c r="W18" s="37" t="s">
        <v>32</v>
      </c>
      <c r="X18"/>
      <c r="AD18" s="60"/>
      <c r="AE18"/>
    </row>
    <row r="19" spans="1:33" ht="18.75" x14ac:dyDescent="0.3">
      <c r="A19" s="116">
        <v>14</v>
      </c>
      <c r="B19" s="114" t="s">
        <v>485</v>
      </c>
      <c r="C19" s="110" t="s">
        <v>98</v>
      </c>
      <c r="D19" s="111" t="s">
        <v>490</v>
      </c>
      <c r="E19" s="141">
        <v>187</v>
      </c>
      <c r="F19" s="112">
        <v>8</v>
      </c>
      <c r="G19" s="97"/>
      <c r="H19" s="13" t="str">
        <f>+IF(C19="","",IFERROR(IF(Maestra!A16="#N/D","Log Out",""),"Log Out"))</f>
        <v>Log Out</v>
      </c>
      <c r="I19" s="33" t="str">
        <f>IFERROR(HYPERLINK(VLOOKUP(C19,'Flat Base'!F:I,3,I250),"SIG TOOLS"),"")</f>
        <v>SIG TOOLS</v>
      </c>
      <c r="J19" s="33" t="str">
        <f>IFERROR(HYPERLINK(VLOOKUP(C19,'Flat Base'!F:I,4,0),"SITE MAP"),"")</f>
        <v>SITE MAP</v>
      </c>
      <c r="K19" s="111">
        <v>14</v>
      </c>
      <c r="L19" s="110" t="s">
        <v>485</v>
      </c>
      <c r="M19" s="110" t="s">
        <v>98</v>
      </c>
      <c r="N19" s="118" t="s">
        <v>490</v>
      </c>
      <c r="O19" s="124" t="s">
        <v>35</v>
      </c>
      <c r="P19" s="118" t="s">
        <v>41</v>
      </c>
      <c r="Q19" s="119">
        <v>1</v>
      </c>
      <c r="R19" s="80" t="s">
        <v>37</v>
      </c>
      <c r="S19" s="80" t="s">
        <v>37</v>
      </c>
      <c r="T19" s="119">
        <v>1</v>
      </c>
      <c r="U19" s="120">
        <v>7</v>
      </c>
      <c r="V19" s="93" t="s">
        <v>37</v>
      </c>
      <c r="W19" s="121">
        <v>8</v>
      </c>
      <c r="X19"/>
      <c r="AD19" s="27"/>
      <c r="AE19"/>
      <c r="AF19"/>
      <c r="AG19"/>
    </row>
    <row r="20" spans="1:33" ht="18.75" x14ac:dyDescent="0.3">
      <c r="A20" s="116"/>
      <c r="B20" s="115" t="s">
        <v>62</v>
      </c>
      <c r="C20" s="110" t="s">
        <v>108</v>
      </c>
      <c r="D20" s="111" t="s">
        <v>490</v>
      </c>
      <c r="E20" s="141">
        <v>176</v>
      </c>
      <c r="F20" s="113">
        <v>8</v>
      </c>
      <c r="G20" s="97"/>
      <c r="H20" s="13" t="str">
        <f>+IF(C20="","",IFERROR(IF(Maestra!A17="#N/D","Log Out",""),"Log Out"))</f>
        <v>Log Out</v>
      </c>
      <c r="I20" s="33" t="str">
        <f>IFERROR(HYPERLINK(VLOOKUP(C20,'Flat Base'!F:I,3,0),"SIG TOOLS"),"")</f>
        <v>SIG TOOLS</v>
      </c>
      <c r="J20" s="33" t="str">
        <f>IFERROR(HYPERLINK(VLOOKUP(C20,'Flat Base'!F:I,4,0),"SITE MAP"),"")</f>
        <v>SITE MAP</v>
      </c>
      <c r="K20" s="111"/>
      <c r="L20" s="110" t="s">
        <v>62</v>
      </c>
      <c r="M20" s="110" t="s">
        <v>108</v>
      </c>
      <c r="N20" s="13" t="s">
        <v>490</v>
      </c>
      <c r="O20" s="23" t="s">
        <v>35</v>
      </c>
      <c r="P20" s="118" t="s">
        <v>36</v>
      </c>
      <c r="Q20" s="119">
        <v>2</v>
      </c>
      <c r="R20" s="30" t="s">
        <v>37</v>
      </c>
      <c r="S20" s="30" t="s">
        <v>37</v>
      </c>
      <c r="T20" s="119" t="s">
        <v>216</v>
      </c>
      <c r="U20" s="120">
        <v>10</v>
      </c>
      <c r="V20" s="123" t="s">
        <v>37</v>
      </c>
      <c r="W20" s="121">
        <v>8</v>
      </c>
      <c r="X20"/>
      <c r="AD20" s="27"/>
      <c r="AE20"/>
      <c r="AF20"/>
      <c r="AG20"/>
    </row>
    <row r="21" spans="1:33" ht="18.75" x14ac:dyDescent="0.3">
      <c r="A21" s="116"/>
      <c r="B21" s="114"/>
      <c r="C21" s="110" t="s">
        <v>187</v>
      </c>
      <c r="D21" s="111" t="s">
        <v>490</v>
      </c>
      <c r="E21" s="124">
        <v>142</v>
      </c>
      <c r="F21" s="113">
        <v>8</v>
      </c>
      <c r="G21" s="96"/>
      <c r="H21" s="13" t="str">
        <f>+IF(C21="","",IFERROR(IF(Maestra!A18="#N/D","Log Out",""),"Log Out"))</f>
        <v>Log Out</v>
      </c>
      <c r="I21" s="33" t="str">
        <f>IFERROR(HYPERLINK(VLOOKUP(C21,'Flat Base'!F:I,3,0),"SIG TOOLS"),"")</f>
        <v>SIG TOOLS</v>
      </c>
      <c r="J21" s="33" t="str">
        <f>IFERROR(HYPERLINK(VLOOKUP(C21,'Flat Base'!F:I,4,0),"SITE MAP"),"")</f>
        <v>SITE MAP</v>
      </c>
      <c r="K21" s="111"/>
      <c r="L21" s="86"/>
      <c r="M21" s="110" t="s">
        <v>187</v>
      </c>
      <c r="N21" s="13" t="s">
        <v>490</v>
      </c>
      <c r="O21" s="23" t="s">
        <v>35</v>
      </c>
      <c r="P21" s="13" t="s">
        <v>41</v>
      </c>
      <c r="Q21" s="119" t="s">
        <v>414</v>
      </c>
      <c r="R21" s="110" t="s">
        <v>37</v>
      </c>
      <c r="S21" s="30" t="s">
        <v>37</v>
      </c>
      <c r="T21" s="119" t="s">
        <v>415</v>
      </c>
      <c r="U21" s="92" t="s">
        <v>416</v>
      </c>
      <c r="V21" t="s">
        <v>37</v>
      </c>
      <c r="W21" s="121">
        <v>8</v>
      </c>
      <c r="X21"/>
      <c r="AD21" s="27"/>
      <c r="AE21"/>
      <c r="AF21"/>
      <c r="AG21"/>
    </row>
    <row r="22" spans="1:33" ht="18.75" x14ac:dyDescent="0.3">
      <c r="A22" s="116"/>
      <c r="B22" s="115" t="s">
        <v>33</v>
      </c>
      <c r="C22" s="110" t="s">
        <v>68</v>
      </c>
      <c r="D22" s="111" t="s">
        <v>34</v>
      </c>
      <c r="E22" s="124">
        <v>250</v>
      </c>
      <c r="F22" s="113">
        <v>8</v>
      </c>
      <c r="G22" s="96"/>
      <c r="H22" s="13" t="str">
        <f>+IF(C22="","",IFERROR(IF(Maestra!A19="#N/D","Log Out",""),"Log Out"))</f>
        <v>Log Out</v>
      </c>
      <c r="I22" s="33" t="str">
        <f>IFERROR(HYPERLINK(VLOOKUP(C22,'Flat Base'!F:I,3,0),"SIG TOOLS"),"")</f>
        <v>SIG TOOLS</v>
      </c>
      <c r="J22" s="33" t="str">
        <f>IFERROR(HYPERLINK(VLOOKUP(C22,'Flat Base'!F:I,4,0),"SITE MAP"),"")</f>
        <v>SITE MAP</v>
      </c>
      <c r="K22" s="111"/>
      <c r="L22" s="110" t="s">
        <v>33</v>
      </c>
      <c r="M22" s="110" t="s">
        <v>68</v>
      </c>
      <c r="N22" s="13" t="s">
        <v>34</v>
      </c>
      <c r="O22" s="13" t="s">
        <v>46</v>
      </c>
      <c r="P22" s="13" t="s">
        <v>41</v>
      </c>
      <c r="Q22" s="119" t="s">
        <v>304</v>
      </c>
      <c r="R22" s="30" t="s">
        <v>37</v>
      </c>
      <c r="S22" s="30" t="s">
        <v>37</v>
      </c>
      <c r="T22" s="119">
        <v>15</v>
      </c>
      <c r="U22" s="120" t="s">
        <v>305</v>
      </c>
      <c r="V22" s="93" t="s">
        <v>37</v>
      </c>
      <c r="W22" s="122">
        <v>8</v>
      </c>
      <c r="X22"/>
      <c r="AD22" s="27"/>
      <c r="AE22"/>
      <c r="AF22"/>
      <c r="AG22"/>
    </row>
    <row r="23" spans="1:33" ht="18.75" x14ac:dyDescent="0.3">
      <c r="A23" s="116"/>
      <c r="B23" s="115"/>
      <c r="C23" s="110" t="s">
        <v>136</v>
      </c>
      <c r="D23" s="111" t="s">
        <v>34</v>
      </c>
      <c r="E23" s="124">
        <v>231</v>
      </c>
      <c r="F23" s="113">
        <v>8</v>
      </c>
      <c r="G23" s="30"/>
      <c r="H23" s="13" t="str">
        <f>+IF(C23="","",IFERROR(IF(Maestra!A20="#N/D","Log Out",""),"Log Out"))</f>
        <v>Log Out</v>
      </c>
      <c r="I23" s="33" t="str">
        <f>IFERROR(HYPERLINK(VLOOKUP(C23,'Flat Base'!F:I,3,0),"SIG TOOLS"),"")</f>
        <v>SIG TOOLS</v>
      </c>
      <c r="J23" s="33" t="str">
        <f>IFERROR(HYPERLINK(VLOOKUP(C23,'Flat Base'!F:I,4,0),"SITE MAP"),"")</f>
        <v>SITE MAP</v>
      </c>
      <c r="K23" s="111"/>
      <c r="L23" s="110"/>
      <c r="M23" s="110" t="s">
        <v>136</v>
      </c>
      <c r="N23" s="13" t="s">
        <v>34</v>
      </c>
      <c r="O23" s="13" t="s">
        <v>46</v>
      </c>
      <c r="P23" s="13" t="s">
        <v>41</v>
      </c>
      <c r="Q23" s="119" t="s">
        <v>335</v>
      </c>
      <c r="R23" s="30" t="s">
        <v>37</v>
      </c>
      <c r="S23" s="30" t="s">
        <v>37</v>
      </c>
      <c r="T23" s="119" t="s">
        <v>336</v>
      </c>
      <c r="U23" s="120" t="s">
        <v>337</v>
      </c>
      <c r="V23" s="93" t="s">
        <v>37</v>
      </c>
      <c r="W23" s="122">
        <v>8</v>
      </c>
      <c r="X23"/>
      <c r="AD23" s="27"/>
      <c r="AE23"/>
      <c r="AF23"/>
      <c r="AG23"/>
    </row>
    <row r="24" spans="1:33" s="98" customFormat="1" ht="18.75" x14ac:dyDescent="0.3">
      <c r="A24" s="116"/>
      <c r="B24" s="115"/>
      <c r="C24" s="117" t="s">
        <v>139</v>
      </c>
      <c r="D24" s="111" t="s">
        <v>34</v>
      </c>
      <c r="E24" s="141">
        <v>217</v>
      </c>
      <c r="F24" s="113">
        <v>8</v>
      </c>
      <c r="G24" s="30"/>
      <c r="H24" s="13" t="str">
        <f>+IF(C24="","",IFERROR(IF(Maestra!A21="#N/D","Log Out",""),"Log Out"))</f>
        <v>Log Out</v>
      </c>
      <c r="I24" s="33" t="str">
        <f>IFERROR(HYPERLINK(VLOOKUP(C24,'Flat Base'!F:I,3,0),"SIG TOOLS"),"")</f>
        <v>SIG TOOLS</v>
      </c>
      <c r="J24" s="33" t="str">
        <f>IFERROR(HYPERLINK(VLOOKUP(C24,'Flat Base'!F:I,4,0),"SITE MAP"),"")</f>
        <v>SITE MAP</v>
      </c>
      <c r="K24" s="111"/>
      <c r="L24" s="110"/>
      <c r="M24" s="110" t="s">
        <v>139</v>
      </c>
      <c r="N24" s="13" t="s">
        <v>34</v>
      </c>
      <c r="O24" s="13" t="s">
        <v>46</v>
      </c>
      <c r="P24" s="13" t="s">
        <v>41</v>
      </c>
      <c r="Q24" s="119" t="s">
        <v>37</v>
      </c>
      <c r="R24" s="119">
        <v>14</v>
      </c>
      <c r="S24" s="30" t="s">
        <v>37</v>
      </c>
      <c r="T24" s="119" t="s">
        <v>37</v>
      </c>
      <c r="U24" s="120" t="s">
        <v>363</v>
      </c>
      <c r="V24" s="93" t="s">
        <v>37</v>
      </c>
      <c r="W24" s="122">
        <v>8</v>
      </c>
      <c r="X24"/>
      <c r="Y24"/>
      <c r="Z24"/>
      <c r="AA24"/>
      <c r="AB24"/>
      <c r="AC24"/>
      <c r="AD24" s="27"/>
      <c r="AE24"/>
      <c r="AF24"/>
    </row>
    <row r="25" spans="1:33" ht="18.75" x14ac:dyDescent="0.3">
      <c r="A25" s="116"/>
      <c r="B25" s="115"/>
      <c r="C25" s="117" t="s">
        <v>141</v>
      </c>
      <c r="D25" s="111" t="s">
        <v>34</v>
      </c>
      <c r="E25" s="141">
        <v>212</v>
      </c>
      <c r="F25" s="113">
        <v>8</v>
      </c>
      <c r="G25" s="30"/>
      <c r="H25" s="13" t="str">
        <f>+IF(C25="","",IFERROR(IF(Maestra!A22="#N/D","Log Out",""),"Log Out"))</f>
        <v>Log Out</v>
      </c>
      <c r="I25" s="33" t="str">
        <f>IFERROR(HYPERLINK(VLOOKUP(C25,'Flat Base'!F:I,3,0),"SIG TOOLS"),"")</f>
        <v>SIG TOOLS</v>
      </c>
      <c r="J25" s="33" t="str">
        <f>IFERROR(HYPERLINK(VLOOKUP(C25,'Flat Base'!F:I,4,0),"SITE MAP"),"")</f>
        <v>SITE MAP</v>
      </c>
      <c r="K25" s="111"/>
      <c r="L25" s="110"/>
      <c r="M25" s="110" t="s">
        <v>141</v>
      </c>
      <c r="N25" s="13" t="s">
        <v>34</v>
      </c>
      <c r="O25" s="13" t="s">
        <v>46</v>
      </c>
      <c r="P25" s="13" t="s">
        <v>41</v>
      </c>
      <c r="Q25" s="80" t="s">
        <v>37</v>
      </c>
      <c r="R25" s="119" t="s">
        <v>37</v>
      </c>
      <c r="S25" s="30" t="s">
        <v>37</v>
      </c>
      <c r="T25" s="80" t="s">
        <v>37</v>
      </c>
      <c r="U25" s="92" t="s">
        <v>364</v>
      </c>
      <c r="V25" t="s">
        <v>37</v>
      </c>
      <c r="W25" s="122">
        <v>8</v>
      </c>
      <c r="X25"/>
      <c r="Y25"/>
      <c r="Z25"/>
      <c r="AA25"/>
      <c r="AB25"/>
      <c r="AC25"/>
      <c r="AD25" s="27"/>
      <c r="AE25"/>
      <c r="AF25"/>
      <c r="AG25"/>
    </row>
    <row r="26" spans="1:33" ht="18.75" x14ac:dyDescent="0.3">
      <c r="A26" s="116"/>
      <c r="B26" s="115"/>
      <c r="C26" s="110" t="s">
        <v>104</v>
      </c>
      <c r="D26" s="111" t="s">
        <v>34</v>
      </c>
      <c r="E26" s="124">
        <v>279</v>
      </c>
      <c r="F26" s="113">
        <v>8</v>
      </c>
      <c r="G26" s="30"/>
      <c r="H26" s="13" t="str">
        <f>+IF(C26="","",IFERROR(IF(Maestra!A23="#N/D","Log Out",""),"Log Out"))</f>
        <v>Log Out</v>
      </c>
      <c r="I26" s="33" t="str">
        <f>IFERROR(HYPERLINK(VLOOKUP(C26,'Flat Base'!F:I,3,0),"SIG TOOLS"),"")</f>
        <v>SIG TOOLS</v>
      </c>
      <c r="J26" s="33" t="str">
        <f>IFERROR(HYPERLINK(VLOOKUP(C26,'Flat Base'!F:I,4,0),"SITE MAP"),"")</f>
        <v>SITE MAP</v>
      </c>
      <c r="K26" s="111"/>
      <c r="L26" s="110"/>
      <c r="M26" s="111" t="s">
        <v>104</v>
      </c>
      <c r="N26" s="13" t="s">
        <v>34</v>
      </c>
      <c r="O26" s="13" t="s">
        <v>46</v>
      </c>
      <c r="P26" s="13" t="s">
        <v>41</v>
      </c>
      <c r="Q26" s="119" t="s">
        <v>37</v>
      </c>
      <c r="R26" s="119" t="s">
        <v>381</v>
      </c>
      <c r="S26" s="30" t="s">
        <v>37</v>
      </c>
      <c r="T26" s="119" t="s">
        <v>37</v>
      </c>
      <c r="U26" s="120" t="s">
        <v>37</v>
      </c>
      <c r="V26" s="93" t="s">
        <v>37</v>
      </c>
      <c r="W26" s="122">
        <v>8</v>
      </c>
      <c r="X26"/>
      <c r="Y26"/>
      <c r="Z26"/>
      <c r="AA26"/>
      <c r="AB26"/>
      <c r="AC26"/>
      <c r="AD26" s="27"/>
      <c r="AE26"/>
      <c r="AF26"/>
      <c r="AG26"/>
    </row>
    <row r="27" spans="1:33" ht="18.75" x14ac:dyDescent="0.3">
      <c r="A27" s="116"/>
      <c r="B27" s="114"/>
      <c r="C27" s="110" t="s">
        <v>514</v>
      </c>
      <c r="D27" s="111" t="s">
        <v>34</v>
      </c>
      <c r="E27" s="124">
        <v>166</v>
      </c>
      <c r="F27" s="113">
        <v>8</v>
      </c>
      <c r="G27" s="30"/>
      <c r="H27" s="13" t="str">
        <f>+IF(C27="","",IFERROR(IF(Maestra!A24="#N/D","Log Out",""),"Log Out"))</f>
        <v>Log Out</v>
      </c>
      <c r="I27" s="33" t="str">
        <f>IFERROR(HYPERLINK(VLOOKUP(C27,'Flat Base'!F:I,3,0),"SIG TOOLS"),"")</f>
        <v>SIG TOOLS</v>
      </c>
      <c r="J27" s="33" t="str">
        <f>IFERROR(HYPERLINK(VLOOKUP(C27,'Flat Base'!F:I,4,0),"SITE MAP"),"")</f>
        <v>SITE MAP</v>
      </c>
      <c r="K27" s="111"/>
      <c r="L27" s="110"/>
      <c r="M27" t="s">
        <v>514</v>
      </c>
      <c r="N27" s="13" t="s">
        <v>34</v>
      </c>
      <c r="O27" s="13" t="s">
        <v>46</v>
      </c>
      <c r="P27" s="13" t="s">
        <v>41</v>
      </c>
      <c r="Q27" s="80">
        <v>3</v>
      </c>
      <c r="R27" s="30">
        <v>1</v>
      </c>
      <c r="S27" s="30" t="s">
        <v>37</v>
      </c>
      <c r="T27" s="80" t="s">
        <v>37</v>
      </c>
      <c r="U27" s="92" t="s">
        <v>240</v>
      </c>
      <c r="V27" t="s">
        <v>37</v>
      </c>
      <c r="W27" s="122">
        <v>8</v>
      </c>
      <c r="X27"/>
      <c r="Y27"/>
      <c r="Z27"/>
      <c r="AA27"/>
      <c r="AB27"/>
      <c r="AC27"/>
      <c r="AD27" s="27"/>
      <c r="AE27"/>
      <c r="AF27" s="11"/>
      <c r="AG27" s="11"/>
    </row>
    <row r="28" spans="1:33" ht="18.75" x14ac:dyDescent="0.3">
      <c r="A28" s="116"/>
      <c r="B28" s="114" t="s">
        <v>44</v>
      </c>
      <c r="C28" s="110" t="s">
        <v>78</v>
      </c>
      <c r="D28" s="111" t="s">
        <v>45</v>
      </c>
      <c r="E28" s="124">
        <v>242</v>
      </c>
      <c r="F28" s="113">
        <v>8</v>
      </c>
      <c r="G28" s="30"/>
      <c r="H28" s="13" t="str">
        <f>+IF(C28="","",IFERROR(IF(Maestra!A25="#N/D","Log Out",""),"Log Out"))</f>
        <v>Log Out</v>
      </c>
      <c r="I28" s="33" t="str">
        <f>IFERROR(HYPERLINK(VLOOKUP(C28,'Flat Base'!F:I,3,0),"SIG TOOLS"),"")</f>
        <v>SIG TOOLS</v>
      </c>
      <c r="J28" s="33" t="str">
        <f>IFERROR(HYPERLINK(VLOOKUP(C28,'Flat Base'!F:I,4,0),"SITE MAP"),"")</f>
        <v>SITE MAP</v>
      </c>
      <c r="K28" s="111"/>
      <c r="L28" s="110" t="s">
        <v>44</v>
      </c>
      <c r="M28" s="110" t="s">
        <v>78</v>
      </c>
      <c r="N28" s="118" t="s">
        <v>45</v>
      </c>
      <c r="O28" s="118" t="s">
        <v>53</v>
      </c>
      <c r="P28" s="13" t="s">
        <v>41</v>
      </c>
      <c r="Q28" s="119" t="s">
        <v>285</v>
      </c>
      <c r="R28" s="119">
        <v>2</v>
      </c>
      <c r="S28" s="30" t="s">
        <v>37</v>
      </c>
      <c r="T28" s="119" t="s">
        <v>37</v>
      </c>
      <c r="U28" s="120" t="s">
        <v>285</v>
      </c>
      <c r="V28" s="93" t="s">
        <v>37</v>
      </c>
      <c r="W28" s="122">
        <v>8</v>
      </c>
      <c r="X28"/>
      <c r="Y28"/>
      <c r="Z28"/>
      <c r="AA28"/>
      <c r="AB28"/>
      <c r="AC28"/>
      <c r="AD28" s="27"/>
      <c r="AE28"/>
      <c r="AF28" s="11"/>
      <c r="AG28" s="11"/>
    </row>
    <row r="29" spans="1:33" ht="18.75" x14ac:dyDescent="0.3">
      <c r="B29"/>
      <c r="C29"/>
      <c r="D29"/>
      <c r="E29"/>
      <c r="F29"/>
      <c r="G29" s="30"/>
      <c r="H29" s="13" t="str">
        <f>+IF(C29="","",IFERROR(IF(Maestra!A26="#N/D","Log Out",""),"Log Out"))</f>
        <v/>
      </c>
      <c r="I29" s="33" t="str">
        <f>IFERROR(HYPERLINK(VLOOKUP(C29,'Flat Base'!F:I,3,0),"SIG TOOLS"),"")</f>
        <v/>
      </c>
      <c r="J29" s="33" t="str">
        <f>IFERROR(HYPERLINK(VLOOKUP(C29,'Flat Base'!F:I,4,0),"SITE MAP"),"")</f>
        <v/>
      </c>
      <c r="R29"/>
      <c r="U29"/>
      <c r="V29"/>
      <c r="W29"/>
      <c r="X29"/>
      <c r="Y29"/>
      <c r="Z29"/>
      <c r="AA29"/>
      <c r="AB29"/>
      <c r="AC29"/>
      <c r="AD29" s="27"/>
      <c r="AE29"/>
      <c r="AF29" s="11"/>
      <c r="AG29" s="11"/>
    </row>
    <row r="30" spans="1:33" ht="18.75" x14ac:dyDescent="0.3">
      <c r="B30"/>
      <c r="C30"/>
      <c r="D30"/>
      <c r="E30"/>
      <c r="F30"/>
      <c r="G30" s="30"/>
      <c r="H30" s="13" t="str">
        <f>+IF(C30="","",IFERROR(IF(Maestra!A27="#N/D","Log Out",""),"Log Out"))</f>
        <v/>
      </c>
      <c r="I30" s="33" t="str">
        <f>IFERROR(HYPERLINK(VLOOKUP(C30,'Flat Base'!F:I,3,0),"SIG TOOLS"),"")</f>
        <v/>
      </c>
      <c r="J30" s="33" t="str">
        <f>IFERROR(HYPERLINK(VLOOKUP(C30,'Flat Base'!F:I,4,0),"SITE MAP"),"")</f>
        <v/>
      </c>
      <c r="R30"/>
      <c r="U30"/>
      <c r="V30"/>
      <c r="W30"/>
      <c r="X30"/>
      <c r="Y30"/>
      <c r="Z30"/>
      <c r="AA30"/>
      <c r="AB30"/>
      <c r="AC30"/>
      <c r="AD30" s="27"/>
      <c r="AE30"/>
      <c r="AF30" s="11"/>
      <c r="AG30" s="11"/>
    </row>
    <row r="31" spans="1:33" ht="18.75" x14ac:dyDescent="0.3">
      <c r="B31"/>
      <c r="C31"/>
      <c r="D31"/>
      <c r="E31"/>
      <c r="F31"/>
      <c r="G31" s="30"/>
      <c r="H31" s="13" t="str">
        <f>+IF(C31="","",IFERROR(IF(Maestra!A28="#N/D","Log Out",""),"Log Out"))</f>
        <v/>
      </c>
      <c r="I31" s="33" t="str">
        <f>IFERROR(HYPERLINK(VLOOKUP(C31,'Flat Base'!F:I,3,0),"SIG TOOLS"),"")</f>
        <v/>
      </c>
      <c r="J31" s="33" t="str">
        <f>IFERROR(HYPERLINK(VLOOKUP(C31,'Flat Base'!F:I,4,0),"SITE MAP"),"")</f>
        <v/>
      </c>
      <c r="R31"/>
      <c r="U31"/>
      <c r="V31"/>
      <c r="W31"/>
      <c r="X31"/>
      <c r="Y31"/>
      <c r="Z31"/>
      <c r="AA31"/>
      <c r="AB31"/>
      <c r="AC31"/>
      <c r="AD31" s="27"/>
      <c r="AE31"/>
      <c r="AF31" s="11"/>
      <c r="AG31" s="11"/>
    </row>
    <row r="32" spans="1:33" ht="18.75" x14ac:dyDescent="0.3">
      <c r="B32"/>
      <c r="C32"/>
      <c r="D32"/>
      <c r="E32"/>
      <c r="F32"/>
      <c r="G32" s="30"/>
      <c r="H32" s="13" t="str">
        <f>+IF(C32="","",IFERROR(IF(Maestra!A29="#N/D","Log Out",""),"Log Out"))</f>
        <v/>
      </c>
      <c r="I32" s="33" t="str">
        <f>IFERROR(HYPERLINK(VLOOKUP(C32,'Flat Base'!F:I,3,0),"SIG TOOLS"),"")</f>
        <v/>
      </c>
      <c r="J32" s="33" t="str">
        <f>IFERROR(HYPERLINK(VLOOKUP(C32,'Flat Base'!F:I,4,0),"SITE MAP"),"")</f>
        <v/>
      </c>
      <c r="R32"/>
      <c r="U32"/>
      <c r="V32"/>
      <c r="W32"/>
      <c r="X32"/>
      <c r="Y32"/>
      <c r="Z32"/>
      <c r="AA32"/>
      <c r="AB32"/>
      <c r="AC32"/>
      <c r="AD32" s="27"/>
      <c r="AE32"/>
      <c r="AF32" s="11"/>
      <c r="AG32" s="11"/>
    </row>
    <row r="33" spans="2:33" ht="18.75" x14ac:dyDescent="0.3">
      <c r="B33"/>
      <c r="C33"/>
      <c r="D33"/>
      <c r="E33"/>
      <c r="F33"/>
      <c r="G33" s="30"/>
      <c r="H33" s="13" t="str">
        <f>+IF(C33="","",IFERROR(IF(Maestra!A30="#N/D","Log Out",""),"Log Out"))</f>
        <v/>
      </c>
      <c r="I33" s="33" t="str">
        <f>IFERROR(HYPERLINK(VLOOKUP(C33,'Flat Base'!F:I,3,0),"SIG TOOLS"),"")</f>
        <v/>
      </c>
      <c r="J33" s="33" t="str">
        <f>IFERROR(HYPERLINK(VLOOKUP(C33,'Flat Base'!F:I,4,0),"SITE MAP"),"")</f>
        <v/>
      </c>
      <c r="R33"/>
      <c r="U33"/>
      <c r="V33"/>
      <c r="W33"/>
      <c r="X33"/>
      <c r="Y33"/>
      <c r="Z33"/>
      <c r="AA33"/>
      <c r="AB33"/>
      <c r="AC33"/>
      <c r="AD33" s="27"/>
      <c r="AE33"/>
      <c r="AF33" s="11"/>
      <c r="AG33" s="11"/>
    </row>
    <row r="34" spans="2:33" ht="18.75" x14ac:dyDescent="0.3">
      <c r="B34"/>
      <c r="C34"/>
      <c r="D34"/>
      <c r="E34"/>
      <c r="F34"/>
      <c r="G34" s="30"/>
      <c r="H34" s="13" t="str">
        <f>+IF(C34="","",IFERROR(IF(Maestra!A31="#N/D","Log Out",""),"Log Out"))</f>
        <v/>
      </c>
      <c r="I34" s="33" t="str">
        <f>IFERROR(HYPERLINK(VLOOKUP(C34,'Flat Base'!F:I,3,0),"SIG TOOLS"),"")</f>
        <v/>
      </c>
      <c r="J34" s="33" t="str">
        <f>IFERROR(HYPERLINK(VLOOKUP(C34,'Flat Base'!F:I,4,0),"SITE MAP"),"")</f>
        <v/>
      </c>
      <c r="R34"/>
      <c r="U34"/>
      <c r="V34"/>
      <c r="W34"/>
      <c r="X34"/>
      <c r="Y34"/>
      <c r="Z34"/>
      <c r="AA34"/>
      <c r="AB34"/>
      <c r="AC34"/>
      <c r="AD34" s="27"/>
      <c r="AE34"/>
      <c r="AF34" s="11"/>
      <c r="AG34" s="11"/>
    </row>
    <row r="35" spans="2:33" ht="18.75" x14ac:dyDescent="0.3">
      <c r="B35"/>
      <c r="C35"/>
      <c r="D35"/>
      <c r="E35"/>
      <c r="F35"/>
      <c r="G35" s="30"/>
      <c r="H35" s="13" t="str">
        <f>+IF(C35="","",IFERROR(IF(Maestra!A32="#N/D","Log Out",""),"Log Out"))</f>
        <v/>
      </c>
      <c r="I35" s="33" t="str">
        <f>IFERROR(HYPERLINK(VLOOKUP(C35,'Flat Base'!F:I,3,0),"SIG TOOLS"),"")</f>
        <v/>
      </c>
      <c r="J35" s="33" t="str">
        <f>IFERROR(HYPERLINK(VLOOKUP(C35,'Flat Base'!F:I,4,0),"SITE MAP"),"")</f>
        <v/>
      </c>
      <c r="R35"/>
      <c r="U35"/>
      <c r="V35"/>
      <c r="W35"/>
      <c r="X35"/>
      <c r="Y35"/>
      <c r="Z35"/>
      <c r="AA35"/>
      <c r="AB35"/>
      <c r="AC35"/>
      <c r="AD35" s="27"/>
      <c r="AE35"/>
      <c r="AF35" s="11"/>
      <c r="AG35" s="11"/>
    </row>
    <row r="36" spans="2:33" ht="18.75" x14ac:dyDescent="0.3">
      <c r="B36"/>
      <c r="C36"/>
      <c r="D36"/>
      <c r="E36"/>
      <c r="F36"/>
      <c r="G36" s="30"/>
      <c r="H36" s="13" t="str">
        <f>+IF(C36="","",IFERROR(IF(Maestra!A33="#N/D","Log Out",""),"Log Out"))</f>
        <v/>
      </c>
      <c r="I36" s="33" t="str">
        <f>IFERROR(HYPERLINK(VLOOKUP(C36,'Flat Base'!F:I,3,0),"SIG TOOLS"),"")</f>
        <v/>
      </c>
      <c r="J36" s="33" t="str">
        <f>IFERROR(HYPERLINK(VLOOKUP(C36,'Flat Base'!F:I,4,0),"SITE MAP"),"")</f>
        <v/>
      </c>
      <c r="R36"/>
      <c r="U36"/>
      <c r="V36"/>
      <c r="W36"/>
      <c r="X36"/>
      <c r="Y36"/>
      <c r="Z36"/>
      <c r="AA36"/>
      <c r="AB36"/>
      <c r="AC36"/>
      <c r="AD36" s="27"/>
      <c r="AE36"/>
      <c r="AF36" s="11"/>
      <c r="AG36" s="11"/>
    </row>
    <row r="37" spans="2:33" ht="18.75" x14ac:dyDescent="0.3">
      <c r="B37"/>
      <c r="C37"/>
      <c r="D37"/>
      <c r="E37"/>
      <c r="F37"/>
      <c r="G37" s="30"/>
      <c r="H37" s="13" t="str">
        <f>+IF(C37="","",IFERROR(IF(Maestra!A34="#N/D","Log Out",""),"Log Out"))</f>
        <v/>
      </c>
      <c r="I37" s="33" t="str">
        <f>IFERROR(HYPERLINK(VLOOKUP(C37,'Flat Base'!F:I,3,0),"SIG TOOLS"),"")</f>
        <v/>
      </c>
      <c r="J37" s="33" t="str">
        <f>IFERROR(HYPERLINK(VLOOKUP(C37,'Flat Base'!F:I,4,0),"SITE MAP"),"")</f>
        <v/>
      </c>
      <c r="R37"/>
      <c r="U37"/>
      <c r="V37"/>
      <c r="W37"/>
      <c r="X37"/>
      <c r="Y37"/>
      <c r="Z37"/>
      <c r="AA37"/>
      <c r="AB37"/>
      <c r="AC37"/>
      <c r="AD37" s="27"/>
      <c r="AE37"/>
      <c r="AF37" s="11"/>
      <c r="AG37" s="11"/>
    </row>
    <row r="38" spans="2:33" ht="18.75" x14ac:dyDescent="0.3">
      <c r="B38"/>
      <c r="C38"/>
      <c r="D38"/>
      <c r="E38"/>
      <c r="F38"/>
      <c r="G38" s="30"/>
      <c r="H38" s="13" t="str">
        <f>+IF(C38="","",IFERROR(IF(Maestra!A35="#N/D","Log Out",""),"Log Out"))</f>
        <v/>
      </c>
      <c r="I38" s="33" t="str">
        <f>IFERROR(HYPERLINK(VLOOKUP(C38,'Flat Base'!F:I,3,0),"SIG TOOLS"),"")</f>
        <v/>
      </c>
      <c r="J38" s="33" t="str">
        <f>IFERROR(HYPERLINK(VLOOKUP(C38,'Flat Base'!F:I,4,0),"SITE MAP"),"")</f>
        <v/>
      </c>
      <c r="R38"/>
      <c r="U38"/>
      <c r="V38"/>
      <c r="W38"/>
      <c r="X38"/>
      <c r="Y38"/>
      <c r="Z38"/>
      <c r="AA38"/>
      <c r="AB38"/>
      <c r="AC38"/>
      <c r="AD38" s="27"/>
      <c r="AE38"/>
      <c r="AF38" s="11"/>
      <c r="AG38" s="11"/>
    </row>
    <row r="39" spans="2:33" ht="18.75" x14ac:dyDescent="0.3">
      <c r="B39"/>
      <c r="C39"/>
      <c r="D39"/>
      <c r="E39"/>
      <c r="F39"/>
      <c r="G39" s="30"/>
      <c r="H39" s="81" t="str">
        <f>+IF(C39="","",IFERROR(IF(Maestra!A36="#N/D","Log Out",""),"Log Out"))</f>
        <v/>
      </c>
      <c r="I39" s="33" t="str">
        <f>IFERROR(HYPERLINK(VLOOKUP(C39,'Flat Base'!F:I,3,0),"SIG TOOLS"),"")</f>
        <v/>
      </c>
      <c r="J39" s="33" t="str">
        <f>IFERROR(HYPERLINK(VLOOKUP(C39,'Flat Base'!F:I,4,0),"SITE MAP"),"")</f>
        <v/>
      </c>
      <c r="R39"/>
      <c r="U39"/>
      <c r="V39"/>
      <c r="W39"/>
      <c r="X39"/>
      <c r="Y39"/>
      <c r="Z39"/>
      <c r="AA39"/>
      <c r="AB39"/>
      <c r="AC39"/>
      <c r="AD39" s="27"/>
      <c r="AE39"/>
      <c r="AF39" s="11"/>
      <c r="AG39" s="11"/>
    </row>
    <row r="40" spans="2:33" ht="18.75" x14ac:dyDescent="0.3">
      <c r="B40"/>
      <c r="C40"/>
      <c r="D40"/>
      <c r="E40"/>
      <c r="F40"/>
      <c r="G40" s="30"/>
      <c r="H40" s="81" t="str">
        <f>+IF(C40="","",IFERROR(IF(Maestra!A37="#N/D","Log Out",""),"Log Out"))</f>
        <v/>
      </c>
      <c r="I40" s="33" t="str">
        <f>IFERROR(HYPERLINK(VLOOKUP(C40,'Flat Base'!F:I,3,0),"SIG TOOLS"),"")</f>
        <v/>
      </c>
      <c r="J40" s="33" t="str">
        <f>IFERROR(HYPERLINK(VLOOKUP(C40,'Flat Base'!F:I,4,0),"SITE MAP"),"")</f>
        <v/>
      </c>
      <c r="R40"/>
      <c r="U40"/>
      <c r="V40"/>
      <c r="W40"/>
      <c r="X40"/>
      <c r="Y40"/>
      <c r="Z40"/>
      <c r="AA40"/>
      <c r="AB40"/>
      <c r="AC40"/>
      <c r="AD40" s="27"/>
      <c r="AE40"/>
      <c r="AF40" s="11"/>
      <c r="AG40" s="11"/>
    </row>
    <row r="41" spans="2:33" ht="18.75" x14ac:dyDescent="0.3">
      <c r="B41"/>
      <c r="C41"/>
      <c r="D41"/>
      <c r="E41"/>
      <c r="F41"/>
      <c r="G41" s="30"/>
      <c r="H41" s="81" t="str">
        <f>+IF(C41="","",IFERROR(IF(Maestra!A38="#N/D","Log Out",""),"Log Out"))</f>
        <v/>
      </c>
      <c r="I41" s="33" t="str">
        <f>IFERROR(HYPERLINK(VLOOKUP(C41,'Flat Base'!F:I,3,0),"SIG TOOLS"),"")</f>
        <v/>
      </c>
      <c r="J41" s="33" t="str">
        <f>IFERROR(HYPERLINK(VLOOKUP(C41,'Flat Base'!F:I,4,0),"SITE MAP"),"")</f>
        <v/>
      </c>
      <c r="R41"/>
      <c r="U41"/>
      <c r="V41"/>
      <c r="W41"/>
      <c r="X41"/>
      <c r="Y41"/>
      <c r="Z41"/>
      <c r="AA41"/>
      <c r="AB41"/>
      <c r="AC41"/>
      <c r="AD41" s="27"/>
      <c r="AE41"/>
      <c r="AF41" s="11"/>
      <c r="AG41" s="11"/>
    </row>
    <row r="42" spans="2:33" ht="18.75" x14ac:dyDescent="0.3">
      <c r="B42"/>
      <c r="C42"/>
      <c r="D42"/>
      <c r="E42"/>
      <c r="F42"/>
      <c r="G42" s="30"/>
      <c r="H42" s="13" t="str">
        <f>+IF(C42="","",IFERROR(IF(Maestra!A39="#N/D","Log Out",""),"Log Out"))</f>
        <v/>
      </c>
      <c r="I42" s="33" t="str">
        <f>IFERROR(HYPERLINK(VLOOKUP(C42,'Flat Base'!F:I,3,0),"SIG TOOLS"),"")</f>
        <v/>
      </c>
      <c r="J42" s="33" t="str">
        <f>IFERROR(HYPERLINK(VLOOKUP(C42,'Flat Base'!F:I,4,0),"SITE MAP"),"")</f>
        <v/>
      </c>
      <c r="R42"/>
      <c r="U42"/>
      <c r="V42"/>
      <c r="W42"/>
      <c r="X42"/>
      <c r="Y42"/>
      <c r="Z42"/>
      <c r="AA42"/>
      <c r="AB42"/>
      <c r="AC42"/>
      <c r="AD42" s="27"/>
      <c r="AE42"/>
      <c r="AF42" s="11"/>
      <c r="AG42" s="11"/>
    </row>
    <row r="43" spans="2:33" ht="18.75" x14ac:dyDescent="0.3">
      <c r="B43"/>
      <c r="C43"/>
      <c r="D43"/>
      <c r="E43"/>
      <c r="F43"/>
      <c r="G43" s="30"/>
      <c r="H43" s="13" t="str">
        <f>+IF(C43="","",IFERROR(IF(Maestra!A40="#N/D","Log Out",""),"Log Out"))</f>
        <v/>
      </c>
      <c r="I43" s="33" t="str">
        <f>IFERROR(HYPERLINK(VLOOKUP(C43,'Flat Base'!F:I,3,0),"SIG TOOLS"),"")</f>
        <v/>
      </c>
      <c r="J43" s="33" t="str">
        <f>IFERROR(HYPERLINK(VLOOKUP(C43,'Flat Base'!F:I,4,0),"SITE MAP"),"")</f>
        <v/>
      </c>
      <c r="R43"/>
      <c r="U43"/>
      <c r="V43"/>
      <c r="W43"/>
      <c r="X43"/>
      <c r="Y43"/>
      <c r="Z43"/>
      <c r="AA43"/>
      <c r="AB43"/>
      <c r="AC43"/>
      <c r="AD43" s="27"/>
      <c r="AE43"/>
      <c r="AF43" s="11"/>
      <c r="AG43" s="11"/>
    </row>
    <row r="44" spans="2:33" ht="18.75" x14ac:dyDescent="0.3">
      <c r="B44"/>
      <c r="C44"/>
      <c r="D44"/>
      <c r="E44"/>
      <c r="F44"/>
      <c r="G44" s="86"/>
      <c r="H44" s="13" t="str">
        <f>+IF(C44="","",IFERROR(IF(Maestra!A41="#N/D","Log Out",""),"Log Out"))</f>
        <v/>
      </c>
      <c r="I44" s="33" t="str">
        <f>IFERROR(HYPERLINK(VLOOKUP(C44,'Flat Base'!F:I,3,0),"SIG TOOLS"),"")</f>
        <v/>
      </c>
      <c r="J44" s="33" t="str">
        <f>IFERROR(HYPERLINK(VLOOKUP(C44,'Flat Base'!F:I,4,0),"SITE MAP"),"")</f>
        <v/>
      </c>
      <c r="R44"/>
      <c r="U44"/>
      <c r="V44"/>
      <c r="W44"/>
      <c r="X44"/>
      <c r="Y44"/>
      <c r="Z44"/>
      <c r="AA44"/>
      <c r="AB44"/>
      <c r="AC44"/>
      <c r="AD44" s="27"/>
      <c r="AE44"/>
      <c r="AF44" s="11"/>
      <c r="AG44" s="11"/>
    </row>
    <row r="45" spans="2:33" ht="18.75" x14ac:dyDescent="0.3">
      <c r="B45"/>
      <c r="C45"/>
      <c r="D45"/>
      <c r="E45"/>
      <c r="F45"/>
      <c r="G45" s="86"/>
      <c r="H45" s="13" t="str">
        <f>+IF(C45="","",IFERROR(IF(Maestra!A42="#N/D","Log Out",""),"Log Out"))</f>
        <v/>
      </c>
      <c r="I45" s="33" t="str">
        <f>IFERROR(HYPERLINK(VLOOKUP(C45,'Flat Base'!F:I,3,0),"SIG TOOLS"),"")</f>
        <v/>
      </c>
      <c r="J45" s="33" t="str">
        <f>IFERROR(HYPERLINK(VLOOKUP(C45,'Flat Base'!F:I,4,0),"SITE MAP"),"")</f>
        <v/>
      </c>
      <c r="R45"/>
      <c r="U45"/>
      <c r="V45"/>
      <c r="W45"/>
      <c r="X45"/>
      <c r="Y45"/>
      <c r="Z45"/>
      <c r="AA45"/>
      <c r="AB45"/>
      <c r="AC45"/>
      <c r="AD45" s="27"/>
      <c r="AE45"/>
      <c r="AF45" s="11"/>
      <c r="AG45" s="11"/>
    </row>
    <row r="46" spans="2:33" ht="18.75" x14ac:dyDescent="0.3">
      <c r="B46"/>
      <c r="C46"/>
      <c r="D46"/>
      <c r="E46"/>
      <c r="F46"/>
      <c r="G46"/>
      <c r="H46" s="13" t="str">
        <f>+IF(C46="","",IFERROR(IF(Maestra!A43="#N/D","Log Out",""),"Log Out"))</f>
        <v/>
      </c>
      <c r="I46" s="33" t="str">
        <f>IFERROR(HYPERLINK(VLOOKUP(C46,'Flat Base'!F:I,3,0),"SIG TOOLS"),"")</f>
        <v/>
      </c>
      <c r="J46" s="33" t="str">
        <f>IFERROR(HYPERLINK(VLOOKUP(C46,'Flat Base'!F:I,4,0),"SITE MAP"),"")</f>
        <v/>
      </c>
      <c r="R46"/>
      <c r="U46"/>
      <c r="V46"/>
      <c r="W46"/>
      <c r="X46"/>
      <c r="Y46"/>
      <c r="Z46"/>
      <c r="AA46"/>
      <c r="AB46"/>
      <c r="AC46"/>
      <c r="AD46" s="27"/>
      <c r="AE46"/>
      <c r="AF46" s="11"/>
      <c r="AG46" s="11"/>
    </row>
    <row r="47" spans="2:33" ht="18.75" x14ac:dyDescent="0.3">
      <c r="B47"/>
      <c r="C47"/>
      <c r="D47"/>
      <c r="E47"/>
      <c r="F47"/>
      <c r="G47"/>
      <c r="H47" s="13" t="str">
        <f>+IF(C48="","",IFERROR(IF(Maestra!A44="#N/D","Log Out",""),"Log Out"))</f>
        <v/>
      </c>
      <c r="I47" s="33" t="str">
        <f>IFERROR(HYPERLINK(VLOOKUP(C47,'Flat Base'!F:I,3,0),"SIG TOOLS"),"")</f>
        <v/>
      </c>
      <c r="J47" s="33" t="str">
        <f>IFERROR(HYPERLINK(VLOOKUP(C47,'Flat Base'!F:I,4,0),"SITE MAP"),"")</f>
        <v/>
      </c>
      <c r="R47"/>
      <c r="U47"/>
      <c r="V47"/>
      <c r="W47"/>
      <c r="X47"/>
      <c r="Y47"/>
      <c r="Z47"/>
      <c r="AA47"/>
      <c r="AB47"/>
      <c r="AC47"/>
      <c r="AD47" s="27"/>
      <c r="AE47"/>
      <c r="AF47" s="11"/>
      <c r="AG47" s="11"/>
    </row>
    <row r="48" spans="2:33" ht="18.75" x14ac:dyDescent="0.3">
      <c r="B48"/>
      <c r="C48"/>
      <c r="D48"/>
      <c r="E48"/>
      <c r="F48"/>
      <c r="G48"/>
      <c r="H48" s="13" t="e">
        <f>+IF(#REF!="","",IFERROR(IF(Maestra!A45="#N/D","Log Out",""),"Log Out"))</f>
        <v>#REF!</v>
      </c>
      <c r="I48" s="33" t="str">
        <f>IFERROR(HYPERLINK(VLOOKUP(C48,'Flat Base'!F:I,3,0),"SIG TOOLS"),"")</f>
        <v/>
      </c>
      <c r="J48" s="33" t="str">
        <f>IFERROR(HYPERLINK(VLOOKUP(C48,'Flat Base'!F:I,4,0),"SITE MAP"),"")</f>
        <v/>
      </c>
      <c r="R48"/>
      <c r="U48"/>
      <c r="V48"/>
      <c r="W48"/>
      <c r="X48"/>
      <c r="Y48"/>
      <c r="Z48"/>
      <c r="AA48"/>
      <c r="AB48"/>
      <c r="AC48"/>
      <c r="AD48" s="27"/>
      <c r="AE48"/>
      <c r="AF48" s="11"/>
      <c r="AG48" s="11"/>
    </row>
    <row r="49" spans="2:33" ht="18.75" x14ac:dyDescent="0.3">
      <c r="B49"/>
      <c r="C49"/>
      <c r="D49"/>
      <c r="E49"/>
      <c r="F49"/>
      <c r="G49"/>
      <c r="H49" s="13" t="str">
        <f>+IF(C49="","",IFERROR(IF(Maestra!A46="#N/D","Log Out",""),"Log Out"))</f>
        <v/>
      </c>
      <c r="I49" s="33" t="str">
        <f>IFERROR(HYPERLINK(VLOOKUP(C49,'Flat Base'!F:I,3,0),"SIG TOOLS"),"")</f>
        <v/>
      </c>
      <c r="J49" s="33" t="str">
        <f>IFERROR(HYPERLINK(VLOOKUP(C49,'Flat Base'!F:I,4,0),"SITE MAP"),"")</f>
        <v/>
      </c>
      <c r="R49"/>
      <c r="U49"/>
      <c r="V49"/>
      <c r="W49"/>
      <c r="X49"/>
      <c r="Y49"/>
      <c r="Z49"/>
      <c r="AA49"/>
      <c r="AB49"/>
      <c r="AC49"/>
      <c r="AD49" s="27"/>
      <c r="AE49"/>
      <c r="AF49" s="11"/>
      <c r="AG49" s="11"/>
    </row>
    <row r="50" spans="2:33" ht="18.75" x14ac:dyDescent="0.3">
      <c r="B50"/>
      <c r="C50"/>
      <c r="D50"/>
      <c r="E50"/>
      <c r="F50"/>
      <c r="G50"/>
      <c r="H50" s="13" t="str">
        <f>+IF(C50="","",IFERROR(IF(Maestra!A47="#N/D","Log Out",""),"Log Out"))</f>
        <v/>
      </c>
      <c r="I50" s="33" t="str">
        <f>IFERROR(HYPERLINK(VLOOKUP(C50,'Flat Base'!F:I,3,0),"SIG TOOLS"),"")</f>
        <v/>
      </c>
      <c r="J50" s="33" t="str">
        <f>IFERROR(HYPERLINK(VLOOKUP(C50,'Flat Base'!F:I,4,0),"SITE MAP"),"")</f>
        <v/>
      </c>
      <c r="R50"/>
      <c r="U50"/>
      <c r="V50"/>
      <c r="W50"/>
      <c r="X50"/>
      <c r="Y50"/>
      <c r="Z50"/>
      <c r="AA50"/>
      <c r="AB50"/>
      <c r="AC50"/>
      <c r="AD50" s="27"/>
      <c r="AE50"/>
      <c r="AF50" s="11"/>
      <c r="AG50" s="11"/>
    </row>
    <row r="51" spans="2:33" ht="18.75" x14ac:dyDescent="0.3">
      <c r="B51"/>
      <c r="C51"/>
      <c r="D51"/>
      <c r="E51"/>
      <c r="F51"/>
      <c r="G51"/>
      <c r="H51" s="13" t="str">
        <f>+IF(C51="","",IFERROR(IF(Maestra!A48="#N/D","Log Out",""),"Log Out"))</f>
        <v/>
      </c>
      <c r="I51" s="33" t="str">
        <f>IFERROR(HYPERLINK(VLOOKUP(C51,'Flat Base'!F:I,3,0),"SIG TOOLS"),"")</f>
        <v/>
      </c>
      <c r="J51" s="33" t="str">
        <f>IFERROR(HYPERLINK(VLOOKUP(C51,'Flat Base'!F:I,4,0),"SITE MAP"),"")</f>
        <v/>
      </c>
      <c r="R51"/>
      <c r="U51"/>
      <c r="V51"/>
      <c r="W51"/>
      <c r="X51"/>
      <c r="Y51"/>
      <c r="Z51"/>
      <c r="AA51"/>
      <c r="AB51"/>
      <c r="AC51"/>
      <c r="AD51" s="27"/>
      <c r="AE51"/>
      <c r="AF51" s="11"/>
      <c r="AG51" s="11"/>
    </row>
    <row r="52" spans="2:33" ht="18.75" x14ac:dyDescent="0.3">
      <c r="B52"/>
      <c r="C52"/>
      <c r="D52"/>
      <c r="F52"/>
      <c r="G52"/>
      <c r="H52" s="13" t="str">
        <f>+IF(C52="","",IFERROR(IF(Maestra!A49="#N/D","Log Out",""),"Log Out"))</f>
        <v/>
      </c>
      <c r="I52" s="33" t="str">
        <f>IFERROR(HYPERLINK(VLOOKUP(C52,'Flat Base'!F:I,3,0),"SIG TOOLS"),"")</f>
        <v/>
      </c>
      <c r="J52" s="33" t="str">
        <f>IFERROR(HYPERLINK(VLOOKUP(C52,'Flat Base'!F:I,4,0),"SITE MAP"),"")</f>
        <v/>
      </c>
      <c r="R52"/>
      <c r="U52"/>
      <c r="V52"/>
      <c r="W52"/>
      <c r="X52"/>
      <c r="Y52"/>
      <c r="Z52"/>
      <c r="AA52"/>
      <c r="AB52"/>
      <c r="AC52"/>
      <c r="AD52" s="27"/>
      <c r="AE52"/>
      <c r="AF52" s="11"/>
      <c r="AG52" s="11"/>
    </row>
    <row r="53" spans="2:33" ht="18.75" x14ac:dyDescent="0.3">
      <c r="B53"/>
      <c r="C53"/>
      <c r="D53"/>
      <c r="F53"/>
      <c r="G53"/>
      <c r="H53" s="13" t="str">
        <f>+IF(C53="","",IFERROR(IF(Maestra!A50="#N/D","Log Out",""),"Log Out"))</f>
        <v/>
      </c>
      <c r="I53" s="33" t="str">
        <f>IFERROR(HYPERLINK(VLOOKUP(C53,'Flat Base'!F:I,3,0),"SIG TOOLS"),"")</f>
        <v/>
      </c>
      <c r="J53" s="33" t="str">
        <f>IFERROR(HYPERLINK(VLOOKUP(C53,'Flat Base'!F:I,4,0),"SITE MAP"),"")</f>
        <v/>
      </c>
      <c r="R53"/>
      <c r="U53"/>
      <c r="V53"/>
      <c r="W53"/>
      <c r="X53"/>
      <c r="Y53"/>
      <c r="Z53"/>
      <c r="AA53"/>
      <c r="AB53"/>
      <c r="AC53"/>
      <c r="AD53" s="27"/>
      <c r="AE53"/>
      <c r="AF53" s="11"/>
      <c r="AG53" s="11"/>
    </row>
    <row r="54" spans="2:33" ht="18.75" x14ac:dyDescent="0.3">
      <c r="B54"/>
      <c r="C54"/>
      <c r="D54"/>
      <c r="F54"/>
      <c r="G54"/>
      <c r="H54" s="13" t="str">
        <f>+IF(C54="","",IFERROR(IF(Maestra!A51="#N/D","Log Out",""),"Log Out"))</f>
        <v/>
      </c>
      <c r="I54" s="33" t="str">
        <f>IFERROR(HYPERLINK(VLOOKUP(C54,'Flat Base'!F:I,3,0),"SIG TOOLS"),"")</f>
        <v/>
      </c>
      <c r="J54" s="33" t="str">
        <f>IFERROR(HYPERLINK(VLOOKUP(C54,'Flat Base'!F:I,4,0),"SITE MAP"),"")</f>
        <v/>
      </c>
      <c r="R54"/>
      <c r="U54"/>
      <c r="V54"/>
      <c r="W54"/>
      <c r="X54"/>
      <c r="Y54"/>
      <c r="Z54"/>
      <c r="AA54"/>
      <c r="AB54"/>
      <c r="AC54"/>
      <c r="AD54" s="27"/>
      <c r="AE54"/>
      <c r="AF54" s="11"/>
      <c r="AG54" s="11"/>
    </row>
    <row r="55" spans="2:33" ht="18.75" x14ac:dyDescent="0.3">
      <c r="B55"/>
      <c r="C55"/>
      <c r="D55"/>
      <c r="F55"/>
      <c r="G55"/>
      <c r="H55" s="13" t="str">
        <f>+IF(C55="","",IFERROR(IF(Maestra!A52="#N/D","Log Out",""),"Log Out"))</f>
        <v/>
      </c>
      <c r="I55" s="33" t="str">
        <f>IFERROR(HYPERLINK(VLOOKUP(C55,'Flat Base'!F:I,3,0),"SIG TOOLS"),"")</f>
        <v/>
      </c>
      <c r="J55" s="33" t="str">
        <f>IFERROR(HYPERLINK(VLOOKUP(C55,'Flat Base'!F:I,4,0),"SITE MAP"),"")</f>
        <v/>
      </c>
      <c r="R55"/>
      <c r="U55"/>
      <c r="V55"/>
      <c r="W55"/>
      <c r="X55"/>
      <c r="Y55"/>
      <c r="Z55"/>
      <c r="AA55"/>
      <c r="AB55"/>
      <c r="AC55"/>
      <c r="AD55" s="27"/>
      <c r="AE55"/>
      <c r="AF55" s="11"/>
      <c r="AG55" s="11"/>
    </row>
    <row r="56" spans="2:33" ht="18.75" x14ac:dyDescent="0.3">
      <c r="B56"/>
      <c r="C56"/>
      <c r="D56"/>
      <c r="F56"/>
      <c r="G56"/>
      <c r="H56" s="13" t="str">
        <f>+IF(C56="","",IFERROR(IF(Maestra!A53="#N/D","Log Out",""),"Log Out"))</f>
        <v/>
      </c>
      <c r="I56" s="33" t="str">
        <f>IFERROR(HYPERLINK(VLOOKUP(C56,'Flat Base'!F:I,3,0),"SIG TOOLS"),"")</f>
        <v/>
      </c>
      <c r="J56" s="33" t="str">
        <f>IFERROR(HYPERLINK(VLOOKUP(C56,'Flat Base'!F:I,4,0),"SITE MAP"),"")</f>
        <v/>
      </c>
      <c r="R56"/>
      <c r="U56"/>
      <c r="V56"/>
      <c r="W56"/>
      <c r="X56"/>
      <c r="Y56"/>
      <c r="Z56"/>
      <c r="AA56"/>
      <c r="AB56"/>
      <c r="AC56"/>
      <c r="AD56" s="27"/>
      <c r="AE56"/>
      <c r="AF56" s="11"/>
      <c r="AG56" s="11"/>
    </row>
    <row r="57" spans="2:33" ht="18.75" x14ac:dyDescent="0.3">
      <c r="B57"/>
      <c r="C57"/>
      <c r="D57"/>
      <c r="F57"/>
      <c r="G57"/>
      <c r="H57" s="13" t="str">
        <f>+IF(C57="","",IFERROR(IF(Maestra!A54="#N/D","Log Out",""),"Log Out"))</f>
        <v/>
      </c>
      <c r="I57" s="33" t="str">
        <f>IFERROR(HYPERLINK(VLOOKUP(C57,'Flat Base'!F:I,3,0),"SIG TOOLS"),"")</f>
        <v/>
      </c>
      <c r="J57" s="33" t="str">
        <f>IFERROR(HYPERLINK(VLOOKUP(C57,'Flat Base'!F:I,4,0),"SITE MAP"),"")</f>
        <v/>
      </c>
      <c r="R57"/>
      <c r="U57"/>
      <c r="V57"/>
      <c r="W57"/>
      <c r="X57"/>
      <c r="Y57"/>
      <c r="Z57"/>
      <c r="AA57"/>
      <c r="AB57"/>
      <c r="AC57"/>
      <c r="AD57" s="27"/>
      <c r="AE57"/>
      <c r="AF57" s="11"/>
      <c r="AG57" s="11"/>
    </row>
    <row r="58" spans="2:33" ht="18.75" x14ac:dyDescent="0.3">
      <c r="B58"/>
      <c r="C58"/>
      <c r="D58"/>
      <c r="F58"/>
      <c r="G58"/>
      <c r="H58" s="13" t="str">
        <f>+IF(C58="","",IFERROR(IF(Maestra!A55="#N/D","Log Out",""),"Log Out"))</f>
        <v/>
      </c>
      <c r="I58" s="33" t="str">
        <f>IFERROR(HYPERLINK(VLOOKUP(C58,'Flat Base'!F:I,3,0),"SIG TOOLS"),"")</f>
        <v/>
      </c>
      <c r="J58" s="33" t="str">
        <f>IFERROR(HYPERLINK(VLOOKUP(C58,'Flat Base'!F:I,4,0),"SITE MAP"),"")</f>
        <v/>
      </c>
      <c r="R58"/>
      <c r="U58"/>
      <c r="V58"/>
      <c r="W58"/>
      <c r="X58"/>
      <c r="Y58"/>
      <c r="Z58"/>
      <c r="AA58"/>
      <c r="AB58"/>
      <c r="AC58"/>
      <c r="AD58" s="27"/>
      <c r="AE58"/>
      <c r="AF58" s="11"/>
      <c r="AG58" s="11"/>
    </row>
    <row r="59" spans="2:33" ht="18.75" x14ac:dyDescent="0.3">
      <c r="B59"/>
      <c r="C59"/>
      <c r="D59"/>
      <c r="F59"/>
      <c r="G59"/>
      <c r="H59" s="13" t="str">
        <f>+IF(C59="","",IFERROR(IF(Maestra!A56="#N/D","Log Out",""),"Log Out"))</f>
        <v/>
      </c>
      <c r="I59" s="33" t="str">
        <f>IFERROR(HYPERLINK(VLOOKUP(C59,'Flat Base'!F:I,3,0),"SIG TOOLS"),"")</f>
        <v/>
      </c>
      <c r="J59" s="33" t="str">
        <f>IFERROR(HYPERLINK(VLOOKUP(C59,'Flat Base'!F:I,4,0),"SITE MAP"),"")</f>
        <v/>
      </c>
      <c r="R59"/>
      <c r="U59"/>
      <c r="V59"/>
      <c r="W59"/>
      <c r="X59"/>
      <c r="Y59"/>
      <c r="Z59"/>
      <c r="AA59"/>
      <c r="AB59"/>
      <c r="AC59"/>
      <c r="AD59" s="27"/>
      <c r="AE59"/>
      <c r="AF59" s="11"/>
      <c r="AG59" s="11"/>
    </row>
    <row r="60" spans="2:33" ht="18.75" x14ac:dyDescent="0.3">
      <c r="B60"/>
      <c r="C60"/>
      <c r="D60"/>
      <c r="F60"/>
      <c r="G60"/>
      <c r="H60" s="13" t="str">
        <f>+IF(C60="","",IFERROR(IF(Maestra!A57="#N/D","Log Out",""),"Log Out"))</f>
        <v/>
      </c>
      <c r="I60" s="33" t="str">
        <f>IFERROR(HYPERLINK(VLOOKUP(C60,'Flat Base'!F:I,3,0),"SIG TOOLS"),"")</f>
        <v/>
      </c>
      <c r="J60" s="33" t="str">
        <f>IFERROR(HYPERLINK(VLOOKUP(C60,'Flat Base'!F:I,4,0),"SITE MAP"),"")</f>
        <v/>
      </c>
      <c r="R60"/>
      <c r="U60"/>
      <c r="V60"/>
      <c r="W60"/>
      <c r="X60"/>
      <c r="Y60"/>
      <c r="Z60"/>
      <c r="AA60"/>
      <c r="AB60"/>
      <c r="AC60"/>
      <c r="AD60" s="27"/>
      <c r="AE60"/>
      <c r="AF60" s="11"/>
      <c r="AG60" s="11"/>
    </row>
    <row r="61" spans="2:33" ht="18.75" x14ac:dyDescent="0.3">
      <c r="B61"/>
      <c r="C61"/>
      <c r="D61"/>
      <c r="F61"/>
      <c r="G61"/>
      <c r="H61" s="13" t="str">
        <f>+IF(C61="","",IFERROR(IF(Maestra!A58="#N/D","Log Out",""),"Log Out"))</f>
        <v/>
      </c>
      <c r="I61" s="33" t="str">
        <f>IFERROR(HYPERLINK(VLOOKUP(C61,'Flat Base'!F:I,3,0),"SIG TOOLS"),"")</f>
        <v/>
      </c>
      <c r="J61" s="33" t="str">
        <f>IFERROR(HYPERLINK(VLOOKUP(C61,'Flat Base'!F:I,4,0),"SITE MAP"),"")</f>
        <v/>
      </c>
      <c r="R61"/>
      <c r="U61"/>
      <c r="V61"/>
      <c r="W61"/>
      <c r="X61"/>
      <c r="Y61"/>
      <c r="Z61"/>
      <c r="AA61"/>
      <c r="AB61"/>
      <c r="AC61"/>
      <c r="AD61" s="27"/>
      <c r="AE61"/>
      <c r="AF61" s="11"/>
      <c r="AG61" s="11"/>
    </row>
    <row r="62" spans="2:33" ht="18.75" x14ac:dyDescent="0.3">
      <c r="B62"/>
      <c r="C62"/>
      <c r="D62"/>
      <c r="F62"/>
      <c r="G62"/>
      <c r="H62" s="13" t="str">
        <f>+IF(C62="","",IFERROR(IF(Maestra!A59="#N/D","Log Out",""),"Log Out"))</f>
        <v/>
      </c>
      <c r="I62" s="33" t="str">
        <f>IFERROR(HYPERLINK(VLOOKUP(C62,'Flat Base'!F:I,3,0),"SIG TOOLS"),"")</f>
        <v/>
      </c>
      <c r="J62" s="33" t="str">
        <f>IFERROR(HYPERLINK(VLOOKUP(C62,'Flat Base'!F:I,4,0),"SITE MAP"),"")</f>
        <v/>
      </c>
      <c r="R62"/>
      <c r="U62"/>
      <c r="V62"/>
      <c r="W62"/>
      <c r="X62"/>
      <c r="Y62"/>
      <c r="Z62"/>
      <c r="AA62"/>
      <c r="AB62"/>
      <c r="AC62"/>
      <c r="AD62" s="27"/>
      <c r="AE62"/>
      <c r="AF62" s="11"/>
      <c r="AG62" s="11"/>
    </row>
    <row r="63" spans="2:33" ht="18.75" x14ac:dyDescent="0.3">
      <c r="B63"/>
      <c r="C63"/>
      <c r="D63"/>
      <c r="F63"/>
      <c r="G63"/>
      <c r="H63" s="13" t="str">
        <f>+IF(C63="","",IFERROR(IF(Maestra!A60="#N/D","Log Out",""),"Log Out"))</f>
        <v/>
      </c>
      <c r="I63" s="33" t="str">
        <f>IFERROR(HYPERLINK(VLOOKUP(C63,'Flat Base'!F:I,3,0),"SIG TOOLS"),"")</f>
        <v/>
      </c>
      <c r="J63" s="33" t="str">
        <f>IFERROR(HYPERLINK(VLOOKUP(C63,'Flat Base'!F:I,4,0),"SITE MAP"),"")</f>
        <v/>
      </c>
      <c r="R63"/>
      <c r="U63"/>
      <c r="V63"/>
      <c r="W63"/>
      <c r="X63"/>
      <c r="Y63"/>
      <c r="Z63"/>
      <c r="AA63"/>
      <c r="AB63"/>
      <c r="AC63"/>
      <c r="AD63" s="27"/>
      <c r="AE63"/>
      <c r="AF63" s="11"/>
      <c r="AG63" s="11"/>
    </row>
    <row r="64" spans="2:33" ht="18.75" x14ac:dyDescent="0.3">
      <c r="B64"/>
      <c r="C64"/>
      <c r="D64"/>
      <c r="F64"/>
      <c r="G64"/>
      <c r="H64" s="13" t="str">
        <f>+IF(C64="","",IFERROR(IF(Maestra!A61="#N/D","Log Out",""),"Log Out"))</f>
        <v/>
      </c>
      <c r="I64" s="33" t="str">
        <f>IFERROR(HYPERLINK(VLOOKUP(C64,'Flat Base'!F:I,3,0),"SIG TOOLS"),"")</f>
        <v/>
      </c>
      <c r="J64" s="33" t="str">
        <f>IFERROR(HYPERLINK(VLOOKUP(C64,'Flat Base'!F:I,4,0),"SITE MAP"),"")</f>
        <v/>
      </c>
      <c r="R64"/>
      <c r="U64"/>
      <c r="V64"/>
      <c r="W64"/>
      <c r="X64"/>
      <c r="Y64"/>
      <c r="Z64"/>
      <c r="AA64"/>
      <c r="AB64"/>
      <c r="AC64"/>
      <c r="AD64" s="27"/>
      <c r="AE64"/>
      <c r="AF64" s="11"/>
      <c r="AG64" s="11"/>
    </row>
    <row r="65" spans="2:33" ht="18.75" x14ac:dyDescent="0.3">
      <c r="B65"/>
      <c r="C65"/>
      <c r="D65"/>
      <c r="F65"/>
      <c r="G65"/>
      <c r="H65" s="13" t="str">
        <f>+IF(C65="","",IFERROR(IF(Maestra!A62="#N/D","Log Out",""),"Log Out"))</f>
        <v/>
      </c>
      <c r="I65" s="33" t="str">
        <f>IFERROR(HYPERLINK(VLOOKUP(C65,'Flat Base'!F:I,3,0),"SIG TOOLS"),"")</f>
        <v/>
      </c>
      <c r="J65" s="33" t="str">
        <f>IFERROR(HYPERLINK(VLOOKUP(C65,'Flat Base'!F:I,4,0),"SITE MAP"),"")</f>
        <v/>
      </c>
      <c r="R65"/>
      <c r="U65"/>
      <c r="V65"/>
      <c r="W65"/>
      <c r="X65"/>
      <c r="Y65"/>
      <c r="Z65"/>
      <c r="AA65"/>
      <c r="AB65"/>
      <c r="AC65"/>
      <c r="AD65" s="27"/>
      <c r="AE65"/>
      <c r="AF65" s="11"/>
      <c r="AG65" s="11"/>
    </row>
    <row r="66" spans="2:33" ht="18.75" x14ac:dyDescent="0.3">
      <c r="B66"/>
      <c r="C66"/>
      <c r="D66"/>
      <c r="F66"/>
      <c r="G66"/>
      <c r="H66" s="13" t="str">
        <f>+IF(C66="","",IFERROR(IF(Maestra!A63="#N/D","Log Out",""),"Log Out"))</f>
        <v/>
      </c>
      <c r="I66" s="33" t="str">
        <f>IFERROR(HYPERLINK(VLOOKUP(C66,'Flat Base'!F:I,3,0),"SIG TOOLS"),"")</f>
        <v/>
      </c>
      <c r="J66" s="33" t="str">
        <f>IFERROR(HYPERLINK(VLOOKUP(C66,'Flat Base'!F:I,4,0),"SITE MAP"),"")</f>
        <v/>
      </c>
      <c r="R66"/>
      <c r="U66"/>
      <c r="V66"/>
      <c r="W66"/>
      <c r="X66"/>
      <c r="Y66"/>
      <c r="Z66"/>
      <c r="AA66"/>
      <c r="AB66"/>
      <c r="AC66"/>
      <c r="AD66" s="27"/>
      <c r="AE66"/>
      <c r="AF66" s="11"/>
      <c r="AG66" s="11"/>
    </row>
    <row r="67" spans="2:33" ht="18.75" x14ac:dyDescent="0.3">
      <c r="B67"/>
      <c r="C67"/>
      <c r="D67"/>
      <c r="F67"/>
      <c r="G67"/>
      <c r="H67" s="13" t="str">
        <f>+IF(C67="","",IFERROR(IF(Maestra!A64="#N/D","Log Out",""),"Log Out"))</f>
        <v/>
      </c>
      <c r="I67" s="33" t="str">
        <f>IFERROR(HYPERLINK(VLOOKUP(C67,'Flat Base'!F:I,3,0),"SIG TOOLS"),"")</f>
        <v/>
      </c>
      <c r="J67" s="33" t="str">
        <f>IFERROR(HYPERLINK(VLOOKUP(C67,'Flat Base'!F:I,4,0),"SITE MAP"),"")</f>
        <v/>
      </c>
      <c r="R67"/>
      <c r="U67"/>
      <c r="V67"/>
      <c r="W67"/>
      <c r="X67"/>
      <c r="Y67"/>
      <c r="Z67"/>
      <c r="AA67"/>
      <c r="AB67"/>
      <c r="AC67"/>
      <c r="AD67" s="27"/>
      <c r="AE67"/>
      <c r="AF67" s="11"/>
      <c r="AG67" s="11"/>
    </row>
    <row r="68" spans="2:33" ht="18.75" x14ac:dyDescent="0.3">
      <c r="B68"/>
      <c r="C68"/>
      <c r="D68"/>
      <c r="F68"/>
      <c r="G68"/>
      <c r="H68" s="13" t="str">
        <f>+IF(C68="","",IFERROR(IF(Maestra!A65="#N/D","Log Out",""),"Log Out"))</f>
        <v/>
      </c>
      <c r="I68" s="33" t="str">
        <f>IFERROR(HYPERLINK(VLOOKUP(C68,'Flat Base'!F:I,3,0),"SIG TOOLS"),"")</f>
        <v/>
      </c>
      <c r="J68" s="33" t="str">
        <f>IFERROR(HYPERLINK(VLOOKUP(C68,'Flat Base'!F:I,4,0),"SITE MAP"),"")</f>
        <v/>
      </c>
      <c r="R68"/>
      <c r="U68"/>
      <c r="V68"/>
      <c r="W68"/>
      <c r="X68"/>
      <c r="Y68"/>
      <c r="Z68"/>
      <c r="AA68"/>
      <c r="AB68"/>
      <c r="AC68"/>
      <c r="AD68" s="27"/>
      <c r="AE68"/>
      <c r="AF68" s="11"/>
      <c r="AG68" s="11"/>
    </row>
    <row r="69" spans="2:33" ht="18.75" x14ac:dyDescent="0.3">
      <c r="B69"/>
      <c r="C69"/>
      <c r="D69"/>
      <c r="F69"/>
      <c r="G69"/>
      <c r="H69" s="13" t="str">
        <f>+IF(C69="","",IFERROR(IF(Maestra!A66="#N/D","Log Out",""),"Log Out"))</f>
        <v/>
      </c>
      <c r="I69" s="33" t="str">
        <f>IFERROR(HYPERLINK(VLOOKUP(C69,'Flat Base'!F:I,3,0),"SIG TOOLS"),"")</f>
        <v/>
      </c>
      <c r="J69" s="33" t="str">
        <f>IFERROR(HYPERLINK(VLOOKUP(C69,'Flat Base'!F:I,4,0),"SITE MAP"),"")</f>
        <v/>
      </c>
      <c r="R69"/>
      <c r="U69"/>
      <c r="V69"/>
      <c r="W69"/>
      <c r="X69"/>
      <c r="Y69"/>
      <c r="Z69"/>
      <c r="AA69"/>
      <c r="AB69"/>
      <c r="AC69"/>
      <c r="AD69" s="27"/>
      <c r="AE69"/>
      <c r="AF69" s="11"/>
      <c r="AG69" s="11"/>
    </row>
    <row r="70" spans="2:33" ht="18.75" x14ac:dyDescent="0.3">
      <c r="B70"/>
      <c r="C70"/>
      <c r="D70"/>
      <c r="F70"/>
      <c r="G70"/>
      <c r="H70" s="13" t="str">
        <f>+IF(C70="","",IFERROR(IF(Maestra!A67="#N/D","Log Out",""),"Log Out"))</f>
        <v/>
      </c>
      <c r="I70" s="33" t="str">
        <f>IFERROR(HYPERLINK(VLOOKUP(C70,'Flat Base'!F:I,3,0),"SIG TOOLS"),"")</f>
        <v/>
      </c>
      <c r="J70" s="33" t="str">
        <f>IFERROR(HYPERLINK(VLOOKUP(C70,'Flat Base'!F:I,4,0),"SITE MAP"),"")</f>
        <v/>
      </c>
      <c r="R70"/>
      <c r="U70"/>
      <c r="V70"/>
      <c r="W70"/>
      <c r="X70"/>
      <c r="Y70"/>
      <c r="Z70"/>
      <c r="AA70"/>
      <c r="AB70"/>
      <c r="AC70"/>
      <c r="AD70" s="27"/>
      <c r="AE70"/>
      <c r="AF70" s="11"/>
      <c r="AG70" s="11"/>
    </row>
    <row r="71" spans="2:33" ht="18.75" x14ac:dyDescent="0.3">
      <c r="B71"/>
      <c r="C71"/>
      <c r="D71"/>
      <c r="F71"/>
      <c r="G71"/>
      <c r="H71" s="13" t="str">
        <f>+IF(C71="","",IFERROR(IF(Maestra!A68="#N/D","Log Out",""),"Log Out"))</f>
        <v/>
      </c>
      <c r="I71" s="33" t="str">
        <f>IFERROR(HYPERLINK(VLOOKUP(C71,'Flat Base'!F:I,3,0),"SIG TOOLS"),"")</f>
        <v/>
      </c>
      <c r="J71" s="33" t="str">
        <f>IFERROR(HYPERLINK(VLOOKUP(C71,'Flat Base'!F:I,4,0),"SITE MAP"),"")</f>
        <v/>
      </c>
      <c r="R71"/>
      <c r="U71"/>
      <c r="V71"/>
      <c r="W71"/>
      <c r="X71"/>
      <c r="Y71"/>
      <c r="Z71"/>
      <c r="AA71"/>
      <c r="AB71"/>
      <c r="AC71"/>
      <c r="AD71" s="27"/>
      <c r="AE71"/>
      <c r="AF71" s="11"/>
      <c r="AG71" s="11"/>
    </row>
    <row r="72" spans="2:33" ht="18.75" x14ac:dyDescent="0.3">
      <c r="B72"/>
      <c r="C72"/>
      <c r="D72"/>
      <c r="F72"/>
      <c r="G72"/>
      <c r="H72" s="13" t="str">
        <f>+IF(C72="","",IFERROR(IF(Maestra!A69="#N/D","Log Out",""),"Log Out"))</f>
        <v/>
      </c>
      <c r="I72" s="33" t="str">
        <f>IFERROR(HYPERLINK(VLOOKUP(C72,'Flat Base'!F:I,3,0),"SIG TOOLS"),"")</f>
        <v/>
      </c>
      <c r="J72" s="33" t="str">
        <f>IFERROR(HYPERLINK(VLOOKUP(C72,'Flat Base'!F:I,4,0),"SITE MAP"),"")</f>
        <v/>
      </c>
      <c r="R72"/>
      <c r="U72"/>
      <c r="V72"/>
      <c r="W72"/>
      <c r="X72"/>
      <c r="Y72"/>
      <c r="Z72"/>
      <c r="AA72"/>
      <c r="AB72"/>
      <c r="AC72"/>
      <c r="AD72" s="27"/>
      <c r="AE72"/>
      <c r="AF72" s="11"/>
      <c r="AG72" s="11"/>
    </row>
    <row r="73" spans="2:33" ht="18.75" x14ac:dyDescent="0.3">
      <c r="B73"/>
      <c r="C73"/>
      <c r="D73"/>
      <c r="F73"/>
      <c r="G73"/>
      <c r="H73" s="13" t="str">
        <f>+IF(C73="","",IFERROR(IF(Maestra!A70="#N/D","Log Out",""),"Log Out"))</f>
        <v/>
      </c>
      <c r="I73" s="33" t="str">
        <f>IFERROR(HYPERLINK(VLOOKUP(C73,'Flat Base'!F:I,3,0),"SIG TOOLS"),"")</f>
        <v/>
      </c>
      <c r="J73" s="33" t="str">
        <f>IFERROR(HYPERLINK(VLOOKUP(C73,'Flat Base'!F:I,4,0),"SITE MAP"),"")</f>
        <v/>
      </c>
      <c r="U73"/>
      <c r="V73" s="77"/>
      <c r="W73"/>
      <c r="X73" s="13"/>
      <c r="Y73"/>
      <c r="Z73"/>
      <c r="AA73"/>
      <c r="AB73"/>
      <c r="AC73"/>
      <c r="AD73" s="27"/>
      <c r="AE73"/>
      <c r="AF73" s="11"/>
      <c r="AG73" s="11"/>
    </row>
    <row r="74" spans="2:33" ht="18.75" x14ac:dyDescent="0.3">
      <c r="B74"/>
      <c r="C74"/>
      <c r="D74"/>
      <c r="F74"/>
      <c r="G74"/>
      <c r="H74" s="13" t="str">
        <f>+IF(C74="","",IFERROR(IF(Maestra!A71="#N/D","Log Out",""),"Log Out"))</f>
        <v/>
      </c>
      <c r="I74" s="33" t="str">
        <f>IFERROR(HYPERLINK(VLOOKUP(C74,'Flat Base'!F:I,3,0),"SIG TOOLS"),"")</f>
        <v/>
      </c>
      <c r="J74" s="33" t="str">
        <f>IFERROR(HYPERLINK(VLOOKUP(C74,'Flat Base'!F:I,4,0),"SITE MAP"),"")</f>
        <v/>
      </c>
      <c r="U74"/>
      <c r="V74" s="77"/>
      <c r="W74"/>
      <c r="X74" s="13"/>
      <c r="Y74"/>
      <c r="Z74"/>
      <c r="AA74"/>
      <c r="AB74"/>
      <c r="AC74"/>
      <c r="AD74" s="27"/>
      <c r="AE74"/>
      <c r="AF74" s="11"/>
      <c r="AG74" s="11"/>
    </row>
    <row r="75" spans="2:33" ht="18.75" x14ac:dyDescent="0.3">
      <c r="B75"/>
      <c r="C75"/>
      <c r="D75"/>
      <c r="F75"/>
      <c r="G75"/>
      <c r="H75" s="13" t="str">
        <f>+IF(C75="","",IFERROR(IF(Maestra!A72="#N/D","Log Out",""),"Log Out"))</f>
        <v/>
      </c>
      <c r="I75" s="33" t="str">
        <f>IFERROR(HYPERLINK(VLOOKUP(C75,'Flat Base'!F:I,3,0),"SIG TOOLS"),"")</f>
        <v/>
      </c>
      <c r="J75" s="33" t="str">
        <f>IFERROR(HYPERLINK(VLOOKUP(C75,'Flat Base'!F:I,4,0),"SITE MAP"),"")</f>
        <v/>
      </c>
      <c r="U75"/>
      <c r="V75" s="77"/>
      <c r="W75"/>
      <c r="X75" s="13"/>
      <c r="Y75"/>
      <c r="Z75"/>
      <c r="AA75"/>
      <c r="AB75"/>
      <c r="AC75"/>
      <c r="AD75" s="27"/>
      <c r="AE75"/>
      <c r="AF75" s="11"/>
      <c r="AG75" s="11"/>
    </row>
    <row r="76" spans="2:33" ht="18.75" x14ac:dyDescent="0.3">
      <c r="B76"/>
      <c r="C76"/>
      <c r="D76"/>
      <c r="F76"/>
      <c r="G76"/>
      <c r="H76" s="13" t="str">
        <f>+IF(C76="","",IFERROR(IF(Maestra!A73="#N/D","Log Out",""),"Log Out"))</f>
        <v/>
      </c>
      <c r="I76" s="33" t="str">
        <f>IFERROR(HYPERLINK(VLOOKUP(C76,'Flat Base'!F:I,3,0),"SIG TOOLS"),"")</f>
        <v/>
      </c>
      <c r="J76" s="33" t="str">
        <f>IFERROR(HYPERLINK(VLOOKUP(C76,'Flat Base'!F:I,4,0),"SITE MAP"),"")</f>
        <v/>
      </c>
      <c r="U76"/>
      <c r="V76" s="77"/>
      <c r="W76"/>
      <c r="X76" s="13"/>
      <c r="Y76"/>
      <c r="Z76"/>
      <c r="AA76"/>
      <c r="AB76"/>
      <c r="AC76"/>
      <c r="AD76" s="27"/>
      <c r="AE76"/>
      <c r="AF76" s="11"/>
      <c r="AG76" s="11"/>
    </row>
    <row r="77" spans="2:33" ht="18.75" x14ac:dyDescent="0.3">
      <c r="B77"/>
      <c r="C77"/>
      <c r="D77"/>
      <c r="F77"/>
      <c r="G77"/>
      <c r="H77" s="13" t="str">
        <f>+IF(C77="","",IFERROR(IF(Maestra!A74="#N/D","Log Out",""),"Log Out"))</f>
        <v/>
      </c>
      <c r="I77" s="33" t="str">
        <f>IFERROR(HYPERLINK(VLOOKUP(C77,'Flat Base'!F:I,3,0),"SIG TOOLS"),"")</f>
        <v/>
      </c>
      <c r="J77" s="33" t="str">
        <f>IFERROR(HYPERLINK(VLOOKUP(C77,'Flat Base'!F:I,4,0),"SITE MAP"),"")</f>
        <v/>
      </c>
      <c r="U77"/>
      <c r="V77" s="77"/>
      <c r="W77"/>
      <c r="X77" s="13"/>
      <c r="Y77"/>
      <c r="Z77"/>
      <c r="AA77"/>
      <c r="AB77"/>
      <c r="AC77"/>
      <c r="AD77" s="27"/>
      <c r="AE77"/>
      <c r="AF77" s="11"/>
      <c r="AG77" s="11"/>
    </row>
    <row r="78" spans="2:33" ht="18.75" x14ac:dyDescent="0.3">
      <c r="B78"/>
      <c r="C78"/>
      <c r="D78"/>
      <c r="F78"/>
      <c r="G78"/>
      <c r="H78"/>
      <c r="I78"/>
      <c r="U78"/>
      <c r="V78" s="77"/>
      <c r="W78"/>
      <c r="X78" s="13"/>
      <c r="Y78"/>
      <c r="Z78"/>
      <c r="AA78"/>
      <c r="AB78"/>
      <c r="AC78"/>
      <c r="AD78" s="27"/>
      <c r="AE78"/>
      <c r="AF78" s="11"/>
      <c r="AG78" s="11"/>
    </row>
    <row r="79" spans="2:33" ht="18.75" x14ac:dyDescent="0.3">
      <c r="B79"/>
      <c r="C79"/>
      <c r="D79"/>
      <c r="F79"/>
      <c r="G79"/>
      <c r="H79"/>
      <c r="I79"/>
      <c r="U79"/>
      <c r="V79" s="77"/>
      <c r="W79"/>
      <c r="X79" s="13"/>
      <c r="Y79"/>
      <c r="Z79"/>
      <c r="AA79"/>
      <c r="AB79"/>
      <c r="AC79"/>
      <c r="AD79" s="27"/>
      <c r="AE79"/>
      <c r="AF79" s="11"/>
      <c r="AG79" s="11"/>
    </row>
    <row r="80" spans="2:33" ht="18.75" x14ac:dyDescent="0.3">
      <c r="B80"/>
      <c r="C80"/>
      <c r="D80"/>
      <c r="F80"/>
      <c r="G80"/>
      <c r="H80"/>
      <c r="I80"/>
      <c r="U80"/>
      <c r="V80" s="77"/>
      <c r="W80"/>
      <c r="X80" s="13"/>
      <c r="Y80"/>
      <c r="Z80"/>
      <c r="AA80"/>
      <c r="AB80"/>
      <c r="AC80"/>
      <c r="AD80" s="27"/>
      <c r="AE80"/>
      <c r="AF80" s="11"/>
      <c r="AG80" s="11"/>
    </row>
  </sheetData>
  <sheetProtection formatCells="0" formatColumns="0" autoFilter="0" pivotTables="0"/>
  <mergeCells count="5">
    <mergeCell ref="I18:J18"/>
    <mergeCell ref="I15:J15"/>
    <mergeCell ref="I16:J16"/>
    <mergeCell ref="A2:C2"/>
    <mergeCell ref="J5:J6"/>
  </mergeCells>
  <conditionalFormatting sqref="C19:C46 M20 C48:C74">
    <cfRule type="expression" dxfId="5242" priority="22">
      <formula>$C$19</formula>
    </cfRule>
  </conditionalFormatting>
  <conditionalFormatting sqref="C19:C46 AD36:AD242 AE37:AG243 C48:C6291 X73:X242">
    <cfRule type="endsWith" dxfId="5241" priority="28" operator="endsWith" text="(NO TOURS)">
      <formula>RIGHT(C19,LEN("(NO TOURS)"))="(NO TOURS)"</formula>
    </cfRule>
  </conditionalFormatting>
  <conditionalFormatting sqref="J14 H18:H77 J39:J6291">
    <cfRule type="cellIs" dxfId="5240" priority="29" operator="equal">
      <formula>"Log Out"</formula>
    </cfRule>
  </conditionalFormatting>
  <conditionalFormatting sqref="M19:M38">
    <cfRule type="endsWith" dxfId="5239" priority="16" operator="endsWith" text="(NO SPEAKERS)">
      <formula>RIGHT(M19,LEN("(NO SPEAKERS)"))="(NO SPEAKERS)"</formula>
    </cfRule>
    <cfRule type="endsWith" dxfId="5238" priority="17" operator="endsWith" text="(NO TOURS)">
      <formula>RIGHT(M19,LEN("(NO TOURS)"))="(NO TOURS)"</formula>
    </cfRule>
  </conditionalFormatting>
  <conditionalFormatting sqref="S36:S245 S246:T253 S254:U315">
    <cfRule type="endsWith" dxfId="5237" priority="23" operator="endsWith" text="(NO SPEAKERS)">
      <formula>RIGHT(S36,LEN("(NO SPEAKERS)"))="(NO SPEAKERS)"</formula>
    </cfRule>
    <cfRule type="endsWith" dxfId="5236" priority="24" operator="endsWith" text="(NO TOURS)">
      <formula>RIGHT(S36,LEN("(NO TOURS)"))="(NO TOURS)"</formula>
    </cfRule>
  </conditionalFormatting>
  <conditionalFormatting sqref="V14:AD14 AG15 AD18:AD6290 AE21:AE26 AE27:AG243 X73:X242">
    <cfRule type="cellIs" dxfId="5235" priority="18" operator="equal">
      <formula>"Log In"</formula>
    </cfRule>
    <cfRule type="endsWith" dxfId="5234" priority="19" operator="endsWith" text="(NO SPEAKERS)">
      <formula>RIGHT(V14,LEN("(NO SPEAKERS)"))="(NO SPEAKERS)"</formula>
    </cfRule>
    <cfRule type="endsWith" dxfId="5233" priority="20" operator="endsWith" text="(NO TOURS)">
      <formula>RIGHT(V14,LEN("(NO TOURS)"))="(NO TOURS)"</formula>
    </cfRule>
  </conditionalFormatting>
  <conditionalFormatting sqref="Y36:Y245 Y246:Z253">
    <cfRule type="endsWith" dxfId="5232" priority="13" operator="endsWith" text="(NO SPEAKERS)">
      <formula>RIGHT(Y36,LEN("(NO SPEAKERS)"))="(NO SPEAKERS)"</formula>
    </cfRule>
    <cfRule type="endsWith" dxfId="5231" priority="14" operator="endsWith" text="(NO TOURS)">
      <formula>RIGHT(Y36,LEN("(NO TOURS)"))="(NO TOURS)"</formula>
    </cfRule>
  </conditionalFormatting>
  <conditionalFormatting sqref="Y15:AC15">
    <cfRule type="cellIs" dxfId="5230" priority="10" operator="equal">
      <formula>"Log In"</formula>
    </cfRule>
    <cfRule type="endsWith" dxfId="5229" priority="11" operator="endsWith" text="(NO SPEAKERS)">
      <formula>RIGHT(Y15,LEN("(NO SPEAKERS)"))="(NO SPEAKERS)"</formula>
    </cfRule>
    <cfRule type="endsWith" dxfId="5228" priority="12" operator="endsWith" text="(NO TOURS)">
      <formula>RIGHT(Y15,LEN("(NO TOURS)"))="(NO TOURS)"</formula>
    </cfRule>
  </conditionalFormatting>
  <conditionalFormatting sqref="AD36:AD75 AE37:AG76 X73:X75">
    <cfRule type="cellIs" dxfId="5227" priority="21" operator="equal">
      <formula>"Log In"</formula>
    </cfRule>
  </conditionalFormatting>
  <conditionalFormatting sqref="AD36:AD242 AE37:AG243 X73:X242 C19:C46 C48:C6291">
    <cfRule type="endsWith" dxfId="5226" priority="27" operator="endsWith" text="(NO SPEAKERS)">
      <formula>RIGHT(C19,LEN("(NO SPEAKERS)"))="(NO SPEAKERS)"</formula>
    </cfRule>
  </conditionalFormatting>
  <conditionalFormatting sqref="AE11 AE15:AE16">
    <cfRule type="cellIs" dxfId="5225" priority="1" operator="equal">
      <formula>"Log In"</formula>
    </cfRule>
    <cfRule type="endsWith" dxfId="5224" priority="2" operator="endsWith" text="(NO SPEAKERS)">
      <formula>RIGHT(AE11,LEN("(NO SPEAKERS)"))="(NO SPEAKERS)"</formula>
    </cfRule>
    <cfRule type="endsWith" dxfId="5223" priority="3" operator="endsWith" text="(NO TOURS)">
      <formula>RIGHT(AE11,LEN("(NO TOURS)"))="(NO TOURS)"</formula>
    </cfRule>
  </conditionalFormatting>
  <pageMargins left="0.7" right="0.7" top="0.75" bottom="0.75" header="0.3" footer="0.3"/>
  <pageSetup scale="29" orientation="portrait" r:id="rId8"/>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2AABE-53BE-46B5-A36C-CB67AFABE652}">
  <dimension ref="A1:K283"/>
  <sheetViews>
    <sheetView workbookViewId="0">
      <selection sqref="A1:F1"/>
    </sheetView>
  </sheetViews>
  <sheetFormatPr defaultColWidth="9.140625" defaultRowHeight="15" x14ac:dyDescent="0.25"/>
  <sheetData>
    <row r="1" spans="1:7" ht="19.5" x14ac:dyDescent="0.25">
      <c r="A1" s="107" t="s">
        <v>56</v>
      </c>
      <c r="B1" s="107"/>
      <c r="C1" s="107"/>
      <c r="D1" s="107"/>
      <c r="E1" s="107"/>
      <c r="F1" s="107"/>
    </row>
    <row r="15" spans="1:7" ht="18.75" x14ac:dyDescent="0.3">
      <c r="A15" s="6" t="s">
        <v>57</v>
      </c>
      <c r="G15" s="10" t="s">
        <v>58</v>
      </c>
    </row>
    <row r="16" spans="1:7" ht="18.75" x14ac:dyDescent="0.3">
      <c r="A16" s="132">
        <v>264</v>
      </c>
      <c r="G16" s="21">
        <f>+COUNTIF('Dynamic Split'!X25:X75,"Log iN")</f>
        <v>0</v>
      </c>
    </row>
    <row r="19" spans="1:11" ht="19.5" x14ac:dyDescent="0.3">
      <c r="A19" s="133" t="s">
        <v>11</v>
      </c>
      <c r="B19" s="135" t="s">
        <v>17</v>
      </c>
      <c r="C19" s="129" t="s">
        <v>2</v>
      </c>
      <c r="D19" s="129" t="s">
        <v>19</v>
      </c>
      <c r="E19" s="127" t="s">
        <v>20</v>
      </c>
      <c r="F19" s="15" t="s">
        <v>59</v>
      </c>
      <c r="G19" s="133" t="s">
        <v>11</v>
      </c>
      <c r="H19" s="135" t="s">
        <v>17</v>
      </c>
      <c r="I19" s="129" t="s">
        <v>2</v>
      </c>
      <c r="J19" s="129" t="s">
        <v>19</v>
      </c>
      <c r="K19" s="127" t="s">
        <v>20</v>
      </c>
    </row>
    <row r="20" spans="1:11" ht="18.75" x14ac:dyDescent="0.3">
      <c r="A20" s="127">
        <v>4</v>
      </c>
      <c r="B20" s="136" t="s">
        <v>60</v>
      </c>
      <c r="C20" s="128" t="s">
        <v>61</v>
      </c>
      <c r="D20" s="127" t="s">
        <v>41</v>
      </c>
      <c r="E20" s="134">
        <v>1</v>
      </c>
      <c r="F20" s="13" t="str">
        <f>IF('Cambio de Split'!C20="","",IFERROR(IF(Maestra!C16="#N/D","Log In",""),"Log In"))</f>
        <v>Log In</v>
      </c>
      <c r="G20" s="127">
        <v>4</v>
      </c>
      <c r="H20" s="127" t="s">
        <v>60</v>
      </c>
      <c r="I20" s="128" t="s">
        <v>61</v>
      </c>
      <c r="J20" s="128" t="s">
        <v>41</v>
      </c>
      <c r="K20" s="134">
        <v>1</v>
      </c>
    </row>
    <row r="21" spans="1:11" ht="18.75" x14ac:dyDescent="0.3">
      <c r="A21" s="127"/>
      <c r="B21" s="136"/>
      <c r="C21" s="127" t="s">
        <v>511</v>
      </c>
      <c r="D21" s="127" t="s">
        <v>41</v>
      </c>
      <c r="E21" s="134">
        <v>1</v>
      </c>
      <c r="F21" s="13" t="str">
        <f>IF('Cambio de Split'!C21="","",IFERROR(IF(Maestra!C17="#N/D","Log In",""),"Log In"))</f>
        <v>Log In</v>
      </c>
      <c r="G21" s="127"/>
      <c r="H21" s="127"/>
      <c r="I21" s="127" t="s">
        <v>511</v>
      </c>
      <c r="J21" s="127" t="s">
        <v>41</v>
      </c>
      <c r="K21" s="134">
        <v>1</v>
      </c>
    </row>
    <row r="22" spans="1:11" ht="18.75" x14ac:dyDescent="0.3">
      <c r="A22" s="127"/>
      <c r="B22" s="139" t="s">
        <v>485</v>
      </c>
      <c r="C22" s="128" t="s">
        <v>63</v>
      </c>
      <c r="D22" s="127" t="s">
        <v>490</v>
      </c>
      <c r="E22" s="134">
        <v>1</v>
      </c>
      <c r="F22" s="13" t="str">
        <f>IF('Cambio de Split'!C22="","",IFERROR(IF(Maestra!C18="#N/D","Log In",""),"Log In"))</f>
        <v>Log In</v>
      </c>
      <c r="G22" s="127"/>
      <c r="H22" s="127" t="s">
        <v>485</v>
      </c>
      <c r="I22" s="128" t="s">
        <v>63</v>
      </c>
      <c r="J22" s="128" t="s">
        <v>490</v>
      </c>
      <c r="K22" s="134">
        <v>1</v>
      </c>
    </row>
    <row r="23" spans="1:11" ht="18.75" x14ac:dyDescent="0.3">
      <c r="A23" s="127"/>
      <c r="B23" s="139"/>
      <c r="C23" s="128" t="s">
        <v>64</v>
      </c>
      <c r="D23" s="127" t="s">
        <v>490</v>
      </c>
      <c r="E23" s="134">
        <v>1</v>
      </c>
      <c r="F23" s="13" t="str">
        <f>IF('Cambio de Split'!C23="","",IFERROR(IF(Maestra!C19="#N/D","Log In",""),"Log In"))</f>
        <v>Log In</v>
      </c>
      <c r="G23" s="127"/>
      <c r="H23" s="127"/>
      <c r="I23" s="128" t="s">
        <v>64</v>
      </c>
      <c r="J23" s="128" t="s">
        <v>490</v>
      </c>
      <c r="K23" s="134">
        <v>1</v>
      </c>
    </row>
    <row r="24" spans="1:11" ht="18.75" x14ac:dyDescent="0.3">
      <c r="A24" s="127"/>
      <c r="B24" s="140" t="s">
        <v>62</v>
      </c>
      <c r="C24" s="128" t="s">
        <v>65</v>
      </c>
      <c r="D24" s="127" t="s">
        <v>490</v>
      </c>
      <c r="E24" s="138">
        <v>1</v>
      </c>
      <c r="F24" s="13" t="str">
        <f>IF('Cambio de Split'!C24="","",IFERROR(IF(Maestra!C20="#N/D","Log In",""),"Log In"))</f>
        <v>Log In</v>
      </c>
      <c r="G24" s="127"/>
      <c r="H24" s="127" t="s">
        <v>62</v>
      </c>
      <c r="I24" s="127" t="s">
        <v>65</v>
      </c>
      <c r="J24" s="128" t="s">
        <v>490</v>
      </c>
      <c r="K24" s="134">
        <v>1</v>
      </c>
    </row>
    <row r="25" spans="1:11" ht="18.75" x14ac:dyDescent="0.3">
      <c r="A25" s="127"/>
      <c r="B25" s="140"/>
      <c r="C25" s="128" t="s">
        <v>66</v>
      </c>
      <c r="D25" s="127" t="s">
        <v>490</v>
      </c>
      <c r="E25" s="138">
        <v>1</v>
      </c>
      <c r="F25" s="13" t="str">
        <f>IF('Dynamic Split'!U24="","",IFERROR(IF(Maestra!C21="#N/D","Log In",""),"Log In"))</f>
        <v>Log In</v>
      </c>
      <c r="G25" s="127"/>
      <c r="H25" s="127"/>
      <c r="I25" s="127" t="s">
        <v>66</v>
      </c>
      <c r="J25" s="128" t="s">
        <v>490</v>
      </c>
      <c r="K25" s="134">
        <v>1</v>
      </c>
    </row>
    <row r="26" spans="1:11" ht="18.75" x14ac:dyDescent="0.3">
      <c r="A26" s="127"/>
      <c r="B26" s="140"/>
      <c r="C26" s="128" t="s">
        <v>67</v>
      </c>
      <c r="D26" s="127" t="s">
        <v>490</v>
      </c>
      <c r="E26" s="138">
        <v>1</v>
      </c>
      <c r="G26" s="127"/>
      <c r="H26" s="127"/>
      <c r="I26" s="127" t="s">
        <v>67</v>
      </c>
      <c r="J26" s="128" t="s">
        <v>490</v>
      </c>
      <c r="K26" s="134">
        <v>1</v>
      </c>
    </row>
    <row r="27" spans="1:11" ht="18.75" x14ac:dyDescent="0.3">
      <c r="A27" s="127"/>
      <c r="B27" s="140"/>
      <c r="C27" s="127" t="s">
        <v>501</v>
      </c>
      <c r="D27" s="127" t="s">
        <v>490</v>
      </c>
      <c r="E27" s="138">
        <v>1</v>
      </c>
      <c r="G27" s="127"/>
      <c r="H27" s="127"/>
      <c r="I27" s="127" t="s">
        <v>501</v>
      </c>
      <c r="J27" s="127" t="s">
        <v>490</v>
      </c>
      <c r="K27" s="134">
        <v>1</v>
      </c>
    </row>
    <row r="28" spans="1:11" ht="18.75" x14ac:dyDescent="0.3">
      <c r="A28" s="127"/>
      <c r="B28" s="140"/>
      <c r="C28" s="127" t="s">
        <v>510</v>
      </c>
      <c r="D28" s="127" t="s">
        <v>490</v>
      </c>
      <c r="E28" s="138">
        <v>1</v>
      </c>
      <c r="G28" s="127"/>
      <c r="H28" s="127"/>
      <c r="I28" s="127" t="s">
        <v>510</v>
      </c>
      <c r="J28" s="127" t="s">
        <v>490</v>
      </c>
      <c r="K28" s="134">
        <v>1</v>
      </c>
    </row>
    <row r="29" spans="1:11" ht="18.75" x14ac:dyDescent="0.3">
      <c r="A29" s="127"/>
      <c r="B29" s="140" t="s">
        <v>33</v>
      </c>
      <c r="C29" s="128" t="s">
        <v>68</v>
      </c>
      <c r="D29" s="127" t="s">
        <v>34</v>
      </c>
      <c r="E29" s="138">
        <v>1</v>
      </c>
      <c r="G29" s="127"/>
      <c r="H29" s="127" t="s">
        <v>33</v>
      </c>
      <c r="I29" s="128" t="s">
        <v>68</v>
      </c>
      <c r="J29" s="128" t="s">
        <v>34</v>
      </c>
      <c r="K29" s="134">
        <v>1</v>
      </c>
    </row>
    <row r="30" spans="1:11" ht="18.75" x14ac:dyDescent="0.3">
      <c r="A30" s="127"/>
      <c r="B30" s="140"/>
      <c r="C30" s="128" t="s">
        <v>69</v>
      </c>
      <c r="D30" s="127" t="s">
        <v>34</v>
      </c>
      <c r="E30" s="138">
        <v>1</v>
      </c>
      <c r="G30" s="127"/>
      <c r="H30" s="127"/>
      <c r="I30" s="128" t="s">
        <v>69</v>
      </c>
      <c r="J30" s="128" t="s">
        <v>34</v>
      </c>
      <c r="K30" s="134">
        <v>1</v>
      </c>
    </row>
    <row r="31" spans="1:11" ht="18.75" x14ac:dyDescent="0.3">
      <c r="A31" s="127"/>
      <c r="B31" s="140"/>
      <c r="C31" s="128" t="s">
        <v>70</v>
      </c>
      <c r="D31" s="127" t="s">
        <v>34</v>
      </c>
      <c r="E31" s="138">
        <v>1</v>
      </c>
      <c r="G31" s="127"/>
      <c r="H31" s="127"/>
      <c r="I31" s="128" t="s">
        <v>70</v>
      </c>
      <c r="J31" s="128" t="s">
        <v>34</v>
      </c>
      <c r="K31" s="134">
        <v>1</v>
      </c>
    </row>
    <row r="32" spans="1:11" ht="18.75" x14ac:dyDescent="0.3">
      <c r="A32" s="127"/>
      <c r="B32" s="140"/>
      <c r="C32" s="128" t="s">
        <v>71</v>
      </c>
      <c r="D32" s="127" t="s">
        <v>34</v>
      </c>
      <c r="E32" s="138">
        <v>1</v>
      </c>
      <c r="G32" s="127"/>
      <c r="H32" s="127"/>
      <c r="I32" s="128" t="s">
        <v>71</v>
      </c>
      <c r="J32" s="128" t="s">
        <v>34</v>
      </c>
      <c r="K32" s="134">
        <v>1</v>
      </c>
    </row>
    <row r="33" spans="1:11" ht="18.75" x14ac:dyDescent="0.3">
      <c r="A33" s="127"/>
      <c r="B33" s="140"/>
      <c r="C33" s="128" t="s">
        <v>72</v>
      </c>
      <c r="D33" s="127" t="s">
        <v>34</v>
      </c>
      <c r="E33" s="138">
        <v>1</v>
      </c>
      <c r="G33" s="127"/>
      <c r="H33" s="127"/>
      <c r="I33" s="128" t="s">
        <v>72</v>
      </c>
      <c r="J33" s="128" t="s">
        <v>34</v>
      </c>
      <c r="K33" s="134">
        <v>1</v>
      </c>
    </row>
    <row r="34" spans="1:11" ht="18.75" x14ac:dyDescent="0.3">
      <c r="A34" s="127"/>
      <c r="B34" s="140"/>
      <c r="C34" s="128" t="s">
        <v>73</v>
      </c>
      <c r="D34" s="127" t="s">
        <v>34</v>
      </c>
      <c r="E34" s="138">
        <v>1</v>
      </c>
      <c r="G34" s="127"/>
      <c r="H34" s="127"/>
      <c r="I34" s="128" t="s">
        <v>73</v>
      </c>
      <c r="J34" s="128" t="s">
        <v>34</v>
      </c>
      <c r="K34" s="134">
        <v>1</v>
      </c>
    </row>
    <row r="35" spans="1:11" ht="18.75" x14ac:dyDescent="0.3">
      <c r="A35" s="127"/>
      <c r="B35" s="140"/>
      <c r="C35" s="128" t="s">
        <v>74</v>
      </c>
      <c r="D35" s="127" t="s">
        <v>34</v>
      </c>
      <c r="E35" s="138">
        <v>1</v>
      </c>
      <c r="G35" s="127"/>
      <c r="H35" s="127"/>
      <c r="I35" s="128" t="s">
        <v>74</v>
      </c>
      <c r="J35" s="128" t="s">
        <v>34</v>
      </c>
      <c r="K35" s="134">
        <v>1</v>
      </c>
    </row>
    <row r="36" spans="1:11" ht="18.75" x14ac:dyDescent="0.3">
      <c r="A36" s="127"/>
      <c r="B36" s="140"/>
      <c r="C36" s="128" t="s">
        <v>75</v>
      </c>
      <c r="D36" s="127" t="s">
        <v>34</v>
      </c>
      <c r="E36" s="138">
        <v>1</v>
      </c>
      <c r="G36" s="127"/>
      <c r="H36" s="127"/>
      <c r="I36" s="128" t="s">
        <v>75</v>
      </c>
      <c r="J36" s="128" t="s">
        <v>34</v>
      </c>
      <c r="K36" s="134">
        <v>1</v>
      </c>
    </row>
    <row r="37" spans="1:11" ht="18.75" x14ac:dyDescent="0.3">
      <c r="A37" s="127"/>
      <c r="B37" s="140"/>
      <c r="C37" s="128" t="s">
        <v>76</v>
      </c>
      <c r="D37" s="127" t="s">
        <v>34</v>
      </c>
      <c r="E37" s="138">
        <v>1</v>
      </c>
      <c r="G37" s="127"/>
      <c r="H37" s="127"/>
      <c r="I37" s="128" t="s">
        <v>76</v>
      </c>
      <c r="J37" s="128" t="s">
        <v>34</v>
      </c>
      <c r="K37" s="134">
        <v>1</v>
      </c>
    </row>
    <row r="38" spans="1:11" ht="18.75" x14ac:dyDescent="0.3">
      <c r="A38" s="127"/>
      <c r="B38" s="140"/>
      <c r="C38" s="127" t="s">
        <v>77</v>
      </c>
      <c r="D38" s="127" t="s">
        <v>34</v>
      </c>
      <c r="E38" s="138">
        <v>1</v>
      </c>
      <c r="G38" s="127"/>
      <c r="H38" s="127"/>
      <c r="I38" s="127" t="s">
        <v>77</v>
      </c>
      <c r="J38" s="127" t="s">
        <v>34</v>
      </c>
      <c r="K38" s="134">
        <v>1</v>
      </c>
    </row>
    <row r="39" spans="1:11" ht="18.75" x14ac:dyDescent="0.3">
      <c r="A39" s="127"/>
      <c r="B39" s="140"/>
      <c r="C39" s="127" t="s">
        <v>524</v>
      </c>
      <c r="D39" s="127" t="s">
        <v>34</v>
      </c>
      <c r="E39" s="138">
        <v>1</v>
      </c>
      <c r="G39" s="127"/>
      <c r="H39" s="127"/>
      <c r="I39" s="127" t="s">
        <v>524</v>
      </c>
      <c r="J39" s="127" t="s">
        <v>34</v>
      </c>
      <c r="K39" s="134">
        <v>1</v>
      </c>
    </row>
    <row r="40" spans="1:11" ht="18.75" x14ac:dyDescent="0.3">
      <c r="A40" s="127"/>
      <c r="B40" s="140"/>
      <c r="C40" s="127" t="s">
        <v>509</v>
      </c>
      <c r="D40" s="127" t="s">
        <v>34</v>
      </c>
      <c r="E40" s="138">
        <v>1</v>
      </c>
      <c r="G40" s="127"/>
      <c r="H40" s="127"/>
      <c r="I40" s="127" t="s">
        <v>509</v>
      </c>
      <c r="J40" s="127" t="s">
        <v>34</v>
      </c>
      <c r="K40" s="134">
        <v>1</v>
      </c>
    </row>
    <row r="41" spans="1:11" ht="18.75" x14ac:dyDescent="0.3">
      <c r="A41" s="127"/>
      <c r="B41" s="140"/>
      <c r="C41" s="127" t="s">
        <v>520</v>
      </c>
      <c r="D41" s="127" t="s">
        <v>34</v>
      </c>
      <c r="E41" s="138">
        <v>1</v>
      </c>
      <c r="G41" s="127"/>
      <c r="H41" s="127"/>
      <c r="I41" s="127" t="s">
        <v>520</v>
      </c>
      <c r="J41" s="127" t="s">
        <v>34</v>
      </c>
      <c r="K41" s="134">
        <v>1</v>
      </c>
    </row>
    <row r="42" spans="1:11" ht="18.75" x14ac:dyDescent="0.3">
      <c r="A42" s="127"/>
      <c r="B42" s="140"/>
      <c r="C42" s="127" t="s">
        <v>519</v>
      </c>
      <c r="D42" s="127" t="s">
        <v>34</v>
      </c>
      <c r="E42" s="138">
        <v>1</v>
      </c>
      <c r="G42" s="127"/>
      <c r="H42" s="127"/>
      <c r="I42" s="127" t="s">
        <v>519</v>
      </c>
      <c r="J42" s="127" t="s">
        <v>34</v>
      </c>
      <c r="K42" s="134">
        <v>1</v>
      </c>
    </row>
    <row r="43" spans="1:11" ht="18.75" x14ac:dyDescent="0.3">
      <c r="A43" s="127"/>
      <c r="B43" s="139" t="s">
        <v>44</v>
      </c>
      <c r="C43" s="128" t="s">
        <v>78</v>
      </c>
      <c r="D43" s="127" t="s">
        <v>45</v>
      </c>
      <c r="E43" s="137">
        <v>1</v>
      </c>
      <c r="G43" s="127"/>
      <c r="H43" s="127" t="s">
        <v>44</v>
      </c>
      <c r="I43" s="128" t="s">
        <v>78</v>
      </c>
      <c r="J43" s="128" t="s">
        <v>45</v>
      </c>
      <c r="K43" s="134">
        <v>1</v>
      </c>
    </row>
    <row r="44" spans="1:11" ht="18.75" x14ac:dyDescent="0.3">
      <c r="A44" s="127"/>
      <c r="B44" s="139"/>
      <c r="C44" s="128" t="s">
        <v>79</v>
      </c>
      <c r="D44" s="127" t="s">
        <v>45</v>
      </c>
      <c r="E44" s="137">
        <v>1</v>
      </c>
      <c r="G44" s="127"/>
      <c r="H44" s="127"/>
      <c r="I44" s="128" t="s">
        <v>79</v>
      </c>
      <c r="J44" s="128" t="s">
        <v>45</v>
      </c>
      <c r="K44" s="134">
        <v>1</v>
      </c>
    </row>
    <row r="45" spans="1:11" ht="18.75" x14ac:dyDescent="0.3">
      <c r="A45" s="127"/>
      <c r="B45" s="140" t="s">
        <v>51</v>
      </c>
      <c r="C45" s="128" t="s">
        <v>80</v>
      </c>
      <c r="D45" s="127" t="s">
        <v>52</v>
      </c>
      <c r="E45" s="138">
        <v>1</v>
      </c>
      <c r="G45" s="127"/>
      <c r="H45" s="127" t="s">
        <v>51</v>
      </c>
      <c r="I45" s="128" t="s">
        <v>80</v>
      </c>
      <c r="J45" s="128" t="s">
        <v>52</v>
      </c>
      <c r="K45" s="134">
        <v>1</v>
      </c>
    </row>
    <row r="46" spans="1:11" ht="18.75" x14ac:dyDescent="0.3">
      <c r="A46" s="127"/>
      <c r="B46" s="140"/>
      <c r="C46" s="128" t="s">
        <v>81</v>
      </c>
      <c r="D46" s="127" t="s">
        <v>52</v>
      </c>
      <c r="E46" s="138">
        <v>1</v>
      </c>
      <c r="G46" s="127"/>
      <c r="H46" s="127"/>
      <c r="I46" s="128" t="s">
        <v>81</v>
      </c>
      <c r="J46" s="128" t="s">
        <v>52</v>
      </c>
      <c r="K46" s="134">
        <v>1</v>
      </c>
    </row>
    <row r="47" spans="1:11" ht="18.75" x14ac:dyDescent="0.3">
      <c r="A47" s="127">
        <v>5</v>
      </c>
      <c r="B47" s="136" t="s">
        <v>60</v>
      </c>
      <c r="C47" s="128" t="s">
        <v>61</v>
      </c>
      <c r="D47" s="127" t="s">
        <v>41</v>
      </c>
      <c r="E47" s="134">
        <v>1</v>
      </c>
      <c r="G47" s="127">
        <v>5</v>
      </c>
      <c r="H47" s="127" t="s">
        <v>60</v>
      </c>
      <c r="I47" s="128" t="s">
        <v>61</v>
      </c>
      <c r="J47" s="128" t="s">
        <v>41</v>
      </c>
      <c r="K47" s="134">
        <v>1</v>
      </c>
    </row>
    <row r="48" spans="1:11" ht="18.75" x14ac:dyDescent="0.3">
      <c r="A48" s="127"/>
      <c r="B48" s="139" t="s">
        <v>485</v>
      </c>
      <c r="C48" s="128" t="s">
        <v>83</v>
      </c>
      <c r="D48" s="127" t="s">
        <v>490</v>
      </c>
      <c r="E48" s="134">
        <v>1</v>
      </c>
      <c r="G48" s="127"/>
      <c r="H48" s="127" t="s">
        <v>485</v>
      </c>
      <c r="I48" s="128" t="s">
        <v>83</v>
      </c>
      <c r="J48" s="128" t="s">
        <v>490</v>
      </c>
      <c r="K48" s="134">
        <v>1</v>
      </c>
    </row>
    <row r="49" spans="1:11" ht="18.75" x14ac:dyDescent="0.3">
      <c r="A49" s="127"/>
      <c r="B49" s="140" t="s">
        <v>62</v>
      </c>
      <c r="C49" s="128" t="s">
        <v>84</v>
      </c>
      <c r="D49" s="127" t="s">
        <v>490</v>
      </c>
      <c r="E49" s="138">
        <v>1</v>
      </c>
      <c r="G49" s="127"/>
      <c r="H49" s="127" t="s">
        <v>62</v>
      </c>
      <c r="I49" s="128" t="s">
        <v>84</v>
      </c>
      <c r="J49" s="128" t="s">
        <v>490</v>
      </c>
      <c r="K49" s="134">
        <v>1</v>
      </c>
    </row>
    <row r="50" spans="1:11" ht="18.75" x14ac:dyDescent="0.3">
      <c r="A50" s="127"/>
      <c r="B50" s="140"/>
      <c r="C50" s="128" t="s">
        <v>85</v>
      </c>
      <c r="D50" s="127" t="s">
        <v>490</v>
      </c>
      <c r="E50" s="138">
        <v>1</v>
      </c>
      <c r="G50" s="127"/>
      <c r="H50" s="127"/>
      <c r="I50" s="127" t="s">
        <v>85</v>
      </c>
      <c r="J50" s="128" t="s">
        <v>490</v>
      </c>
      <c r="K50" s="134">
        <v>1</v>
      </c>
    </row>
    <row r="51" spans="1:11" ht="18.75" x14ac:dyDescent="0.3">
      <c r="A51" s="127"/>
      <c r="B51" s="140"/>
      <c r="C51" s="128" t="s">
        <v>65</v>
      </c>
      <c r="D51" s="127" t="s">
        <v>490</v>
      </c>
      <c r="E51" s="138">
        <v>1</v>
      </c>
      <c r="G51" s="127"/>
      <c r="H51" s="127"/>
      <c r="I51" s="127" t="s">
        <v>65</v>
      </c>
      <c r="J51" s="128" t="s">
        <v>490</v>
      </c>
      <c r="K51" s="134">
        <v>1</v>
      </c>
    </row>
    <row r="52" spans="1:11" ht="18.75" x14ac:dyDescent="0.3">
      <c r="A52" s="127"/>
      <c r="B52" s="140"/>
      <c r="C52" s="127" t="s">
        <v>499</v>
      </c>
      <c r="D52" s="127" t="s">
        <v>490</v>
      </c>
      <c r="E52" s="138">
        <v>1</v>
      </c>
      <c r="G52" s="127"/>
      <c r="H52" s="127"/>
      <c r="I52" s="127" t="s">
        <v>499</v>
      </c>
      <c r="J52" s="127" t="s">
        <v>490</v>
      </c>
      <c r="K52" s="134">
        <v>1</v>
      </c>
    </row>
    <row r="53" spans="1:11" ht="18.75" x14ac:dyDescent="0.3">
      <c r="A53" s="127"/>
      <c r="B53" s="140"/>
      <c r="C53" s="127" t="s">
        <v>505</v>
      </c>
      <c r="D53" s="127" t="s">
        <v>490</v>
      </c>
      <c r="E53" s="138">
        <v>1</v>
      </c>
      <c r="G53" s="127"/>
      <c r="H53" s="127"/>
      <c r="I53" s="127" t="s">
        <v>505</v>
      </c>
      <c r="J53" s="127" t="s">
        <v>490</v>
      </c>
      <c r="K53" s="134">
        <v>1</v>
      </c>
    </row>
    <row r="54" spans="1:11" ht="18.75" x14ac:dyDescent="0.3">
      <c r="A54" s="127"/>
      <c r="B54" s="140" t="s">
        <v>33</v>
      </c>
      <c r="C54" s="128" t="s">
        <v>68</v>
      </c>
      <c r="D54" s="127" t="s">
        <v>34</v>
      </c>
      <c r="E54" s="138">
        <v>1</v>
      </c>
      <c r="G54" s="127"/>
      <c r="H54" s="127" t="s">
        <v>33</v>
      </c>
      <c r="I54" s="128" t="s">
        <v>68</v>
      </c>
      <c r="J54" s="128" t="s">
        <v>34</v>
      </c>
      <c r="K54" s="134">
        <v>1</v>
      </c>
    </row>
    <row r="55" spans="1:11" ht="18.75" x14ac:dyDescent="0.3">
      <c r="A55" s="127"/>
      <c r="B55" s="140"/>
      <c r="C55" s="128" t="s">
        <v>87</v>
      </c>
      <c r="D55" s="127" t="s">
        <v>34</v>
      </c>
      <c r="E55" s="138">
        <v>1</v>
      </c>
      <c r="G55" s="127"/>
      <c r="H55" s="127"/>
      <c r="I55" s="128" t="s">
        <v>87</v>
      </c>
      <c r="J55" s="128" t="s">
        <v>34</v>
      </c>
      <c r="K55" s="134">
        <v>1</v>
      </c>
    </row>
    <row r="56" spans="1:11" ht="18.75" x14ac:dyDescent="0.3">
      <c r="A56" s="127"/>
      <c r="B56" s="140"/>
      <c r="C56" s="128" t="s">
        <v>72</v>
      </c>
      <c r="D56" s="127" t="s">
        <v>34</v>
      </c>
      <c r="E56" s="138">
        <v>1</v>
      </c>
      <c r="G56" s="127"/>
      <c r="H56" s="127"/>
      <c r="I56" s="128" t="s">
        <v>72</v>
      </c>
      <c r="J56" s="128" t="s">
        <v>34</v>
      </c>
      <c r="K56" s="134">
        <v>1</v>
      </c>
    </row>
    <row r="57" spans="1:11" ht="18.75" x14ac:dyDescent="0.3">
      <c r="A57" s="127"/>
      <c r="B57" s="140"/>
      <c r="C57" s="128" t="s">
        <v>88</v>
      </c>
      <c r="D57" s="127" t="s">
        <v>34</v>
      </c>
      <c r="E57" s="138">
        <v>1</v>
      </c>
      <c r="G57" s="127"/>
      <c r="H57" s="127"/>
      <c r="I57" s="128" t="s">
        <v>88</v>
      </c>
      <c r="J57" s="128" t="s">
        <v>34</v>
      </c>
      <c r="K57" s="134">
        <v>1</v>
      </c>
    </row>
    <row r="58" spans="1:11" ht="18.75" x14ac:dyDescent="0.3">
      <c r="A58" s="127"/>
      <c r="B58" s="140"/>
      <c r="C58" s="128" t="s">
        <v>89</v>
      </c>
      <c r="D58" s="127" t="s">
        <v>34</v>
      </c>
      <c r="E58" s="138">
        <v>1</v>
      </c>
      <c r="G58" s="127"/>
      <c r="H58" s="127"/>
      <c r="I58" s="128" t="s">
        <v>89</v>
      </c>
      <c r="J58" s="128" t="s">
        <v>34</v>
      </c>
      <c r="K58" s="134">
        <v>1</v>
      </c>
    </row>
    <row r="59" spans="1:11" ht="18.75" x14ac:dyDescent="0.3">
      <c r="A59" s="127"/>
      <c r="B59" s="140"/>
      <c r="C59" s="128" t="s">
        <v>90</v>
      </c>
      <c r="D59" s="127" t="s">
        <v>34</v>
      </c>
      <c r="E59" s="138">
        <v>1</v>
      </c>
      <c r="G59" s="127"/>
      <c r="H59" s="127"/>
      <c r="I59" s="128" t="s">
        <v>90</v>
      </c>
      <c r="J59" s="128" t="s">
        <v>34</v>
      </c>
      <c r="K59" s="134">
        <v>1</v>
      </c>
    </row>
    <row r="60" spans="1:11" ht="18.75" x14ac:dyDescent="0.3">
      <c r="A60" s="127"/>
      <c r="B60" s="140"/>
      <c r="C60" s="128" t="s">
        <v>91</v>
      </c>
      <c r="D60" s="127" t="s">
        <v>34</v>
      </c>
      <c r="E60" s="138">
        <v>1</v>
      </c>
      <c r="G60" s="127"/>
      <c r="H60" s="127"/>
      <c r="I60" s="127" t="s">
        <v>91</v>
      </c>
      <c r="J60" s="128" t="s">
        <v>34</v>
      </c>
      <c r="K60" s="134">
        <v>1</v>
      </c>
    </row>
    <row r="61" spans="1:11" ht="18.75" x14ac:dyDescent="0.3">
      <c r="A61" s="127"/>
      <c r="B61" s="140"/>
      <c r="C61" s="128" t="s">
        <v>92</v>
      </c>
      <c r="D61" s="127" t="s">
        <v>34</v>
      </c>
      <c r="E61" s="138">
        <v>1</v>
      </c>
      <c r="G61" s="127"/>
      <c r="H61" s="127"/>
      <c r="I61" s="127" t="s">
        <v>92</v>
      </c>
      <c r="J61" s="128" t="s">
        <v>34</v>
      </c>
      <c r="K61" s="134">
        <v>1</v>
      </c>
    </row>
    <row r="62" spans="1:11" ht="18.75" x14ac:dyDescent="0.3">
      <c r="A62" s="127"/>
      <c r="B62" s="140"/>
      <c r="C62" s="127" t="s">
        <v>77</v>
      </c>
      <c r="D62" s="127" t="s">
        <v>34</v>
      </c>
      <c r="E62" s="138">
        <v>1</v>
      </c>
      <c r="G62" s="127"/>
      <c r="H62" s="127"/>
      <c r="I62" s="127" t="s">
        <v>77</v>
      </c>
      <c r="J62" s="127" t="s">
        <v>34</v>
      </c>
      <c r="K62" s="134">
        <v>1</v>
      </c>
    </row>
    <row r="63" spans="1:11" ht="18.75" x14ac:dyDescent="0.3">
      <c r="A63" s="127"/>
      <c r="B63" s="140"/>
      <c r="C63" s="127" t="s">
        <v>514</v>
      </c>
      <c r="D63" s="127" t="s">
        <v>34</v>
      </c>
      <c r="E63" s="138">
        <v>1</v>
      </c>
      <c r="G63" s="127"/>
      <c r="H63" s="127"/>
      <c r="I63" s="127" t="s">
        <v>514</v>
      </c>
      <c r="J63" s="127" t="s">
        <v>34</v>
      </c>
      <c r="K63" s="134">
        <v>1</v>
      </c>
    </row>
    <row r="64" spans="1:11" ht="18.75" x14ac:dyDescent="0.3">
      <c r="A64" s="127"/>
      <c r="B64" s="140"/>
      <c r="C64" s="127" t="s">
        <v>515</v>
      </c>
      <c r="D64" s="127" t="s">
        <v>34</v>
      </c>
      <c r="E64" s="138">
        <v>1</v>
      </c>
      <c r="G64" s="127"/>
      <c r="H64" s="127"/>
      <c r="I64" s="127" t="s">
        <v>515</v>
      </c>
      <c r="J64" s="127" t="s">
        <v>34</v>
      </c>
      <c r="K64" s="134">
        <v>1</v>
      </c>
    </row>
    <row r="65" spans="1:11" ht="18.75" x14ac:dyDescent="0.3">
      <c r="A65" s="127"/>
      <c r="B65" s="139" t="s">
        <v>44</v>
      </c>
      <c r="C65" s="128" t="s">
        <v>93</v>
      </c>
      <c r="D65" s="127" t="s">
        <v>45</v>
      </c>
      <c r="E65" s="137">
        <v>1</v>
      </c>
      <c r="G65" s="127"/>
      <c r="H65" s="127" t="s">
        <v>44</v>
      </c>
      <c r="I65" s="128" t="s">
        <v>93</v>
      </c>
      <c r="J65" s="128" t="s">
        <v>45</v>
      </c>
      <c r="K65" s="134">
        <v>1</v>
      </c>
    </row>
    <row r="66" spans="1:11" ht="18.75" x14ac:dyDescent="0.3">
      <c r="A66" s="127"/>
      <c r="B66" s="139"/>
      <c r="C66" s="128" t="s">
        <v>157</v>
      </c>
      <c r="D66" s="127" t="s">
        <v>45</v>
      </c>
      <c r="E66" s="137">
        <v>1</v>
      </c>
      <c r="G66" s="127"/>
      <c r="H66" s="127"/>
      <c r="I66" s="128" t="s">
        <v>157</v>
      </c>
      <c r="J66" s="128" t="s">
        <v>45</v>
      </c>
      <c r="K66" s="134">
        <v>1</v>
      </c>
    </row>
    <row r="67" spans="1:11" ht="18.75" x14ac:dyDescent="0.3">
      <c r="A67" s="127"/>
      <c r="B67" s="139"/>
      <c r="C67" s="127" t="s">
        <v>95</v>
      </c>
      <c r="D67" s="127" t="s">
        <v>45</v>
      </c>
      <c r="E67" s="137">
        <v>1</v>
      </c>
      <c r="G67" s="127"/>
      <c r="H67" s="127"/>
      <c r="I67" s="127" t="s">
        <v>95</v>
      </c>
      <c r="J67" s="127" t="s">
        <v>45</v>
      </c>
      <c r="K67" s="134">
        <v>1</v>
      </c>
    </row>
    <row r="68" spans="1:11" ht="18.75" x14ac:dyDescent="0.3">
      <c r="A68" s="127"/>
      <c r="B68" s="140" t="s">
        <v>51</v>
      </c>
      <c r="C68" s="128" t="s">
        <v>94</v>
      </c>
      <c r="D68" s="127" t="s">
        <v>52</v>
      </c>
      <c r="E68" s="138">
        <v>1</v>
      </c>
      <c r="G68" s="127"/>
      <c r="H68" s="127" t="s">
        <v>51</v>
      </c>
      <c r="I68" s="128" t="s">
        <v>94</v>
      </c>
      <c r="J68" s="128" t="s">
        <v>52</v>
      </c>
      <c r="K68" s="134">
        <v>1</v>
      </c>
    </row>
    <row r="69" spans="1:11" ht="18.75" x14ac:dyDescent="0.3">
      <c r="A69" s="127"/>
      <c r="B69" s="140"/>
      <c r="C69" s="128" t="s">
        <v>80</v>
      </c>
      <c r="D69" s="127" t="s">
        <v>52</v>
      </c>
      <c r="E69" s="138">
        <v>1</v>
      </c>
      <c r="G69" s="127"/>
      <c r="H69" s="127"/>
      <c r="I69" s="128" t="s">
        <v>80</v>
      </c>
      <c r="J69" s="128" t="s">
        <v>52</v>
      </c>
      <c r="K69" s="134">
        <v>1</v>
      </c>
    </row>
    <row r="70" spans="1:11" ht="18.75" x14ac:dyDescent="0.3">
      <c r="A70" s="127">
        <v>6</v>
      </c>
      <c r="B70" s="136" t="s">
        <v>60</v>
      </c>
      <c r="C70" s="128" t="s">
        <v>61</v>
      </c>
      <c r="D70" s="127" t="s">
        <v>41</v>
      </c>
      <c r="E70" s="134">
        <v>1</v>
      </c>
      <c r="G70" s="127">
        <v>6</v>
      </c>
      <c r="H70" s="127" t="s">
        <v>60</v>
      </c>
      <c r="I70" s="128" t="s">
        <v>61</v>
      </c>
      <c r="J70" s="128" t="s">
        <v>41</v>
      </c>
      <c r="K70" s="134">
        <v>1</v>
      </c>
    </row>
    <row r="71" spans="1:11" ht="18.75" x14ac:dyDescent="0.3">
      <c r="A71" s="127"/>
      <c r="B71" s="139" t="s">
        <v>485</v>
      </c>
      <c r="C71" s="128" t="s">
        <v>98</v>
      </c>
      <c r="D71" s="127" t="s">
        <v>490</v>
      </c>
      <c r="E71" s="134">
        <v>1</v>
      </c>
      <c r="G71" s="127"/>
      <c r="H71" s="127" t="s">
        <v>485</v>
      </c>
      <c r="I71" s="128" t="s">
        <v>98</v>
      </c>
      <c r="J71" s="128" t="s">
        <v>490</v>
      </c>
      <c r="K71" s="134">
        <v>1</v>
      </c>
    </row>
    <row r="72" spans="1:11" ht="18.75" x14ac:dyDescent="0.3">
      <c r="A72" s="127"/>
      <c r="B72" s="140" t="s">
        <v>62</v>
      </c>
      <c r="C72" s="128" t="s">
        <v>99</v>
      </c>
      <c r="D72" s="127" t="s">
        <v>490</v>
      </c>
      <c r="E72" s="138">
        <v>1</v>
      </c>
      <c r="G72" s="127"/>
      <c r="H72" s="127" t="s">
        <v>62</v>
      </c>
      <c r="I72" s="128" t="s">
        <v>99</v>
      </c>
      <c r="J72" s="128" t="s">
        <v>490</v>
      </c>
      <c r="K72" s="134">
        <v>1</v>
      </c>
    </row>
    <row r="73" spans="1:11" ht="18.75" x14ac:dyDescent="0.3">
      <c r="A73" s="127"/>
      <c r="B73" s="140"/>
      <c r="C73" s="128" t="s">
        <v>100</v>
      </c>
      <c r="D73" s="127" t="s">
        <v>490</v>
      </c>
      <c r="E73" s="138">
        <v>1</v>
      </c>
      <c r="G73" s="127"/>
      <c r="H73" s="127"/>
      <c r="I73" s="127" t="s">
        <v>100</v>
      </c>
      <c r="J73" s="128" t="s">
        <v>490</v>
      </c>
      <c r="K73" s="134">
        <v>1</v>
      </c>
    </row>
    <row r="74" spans="1:11" ht="18.75" x14ac:dyDescent="0.3">
      <c r="A74" s="127"/>
      <c r="B74" s="140"/>
      <c r="C74" s="128" t="s">
        <v>101</v>
      </c>
      <c r="D74" s="127" t="s">
        <v>490</v>
      </c>
      <c r="E74" s="138">
        <v>1</v>
      </c>
      <c r="G74" s="127"/>
      <c r="H74" s="127"/>
      <c r="I74" s="128" t="s">
        <v>101</v>
      </c>
      <c r="J74" s="128" t="s">
        <v>490</v>
      </c>
      <c r="K74" s="134">
        <v>1</v>
      </c>
    </row>
    <row r="75" spans="1:11" ht="18.75" x14ac:dyDescent="0.3">
      <c r="A75" s="127"/>
      <c r="B75" s="140"/>
      <c r="C75" s="128" t="s">
        <v>67</v>
      </c>
      <c r="D75" s="127" t="s">
        <v>490</v>
      </c>
      <c r="E75" s="138">
        <v>1</v>
      </c>
      <c r="G75" s="127"/>
      <c r="H75" s="127"/>
      <c r="I75" s="127" t="s">
        <v>67</v>
      </c>
      <c r="J75" s="128" t="s">
        <v>490</v>
      </c>
      <c r="K75" s="134">
        <v>1</v>
      </c>
    </row>
    <row r="76" spans="1:11" ht="18.75" x14ac:dyDescent="0.3">
      <c r="A76" s="127"/>
      <c r="B76" s="140"/>
      <c r="C76" s="127" t="s">
        <v>501</v>
      </c>
      <c r="D76" s="127" t="s">
        <v>490</v>
      </c>
      <c r="E76" s="138">
        <v>1</v>
      </c>
      <c r="G76" s="127"/>
      <c r="H76" s="127"/>
      <c r="I76" s="127" t="s">
        <v>501</v>
      </c>
      <c r="J76" s="127" t="s">
        <v>490</v>
      </c>
      <c r="K76" s="134">
        <v>1</v>
      </c>
    </row>
    <row r="77" spans="1:11" ht="18.75" x14ac:dyDescent="0.3">
      <c r="A77" s="127"/>
      <c r="B77" s="140" t="s">
        <v>33</v>
      </c>
      <c r="C77" s="128" t="s">
        <v>68</v>
      </c>
      <c r="D77" s="127" t="s">
        <v>34</v>
      </c>
      <c r="E77" s="138">
        <v>1</v>
      </c>
      <c r="G77" s="127"/>
      <c r="H77" s="127" t="s">
        <v>33</v>
      </c>
      <c r="I77" s="128" t="s">
        <v>68</v>
      </c>
      <c r="J77" s="128" t="s">
        <v>34</v>
      </c>
      <c r="K77" s="134">
        <v>1</v>
      </c>
    </row>
    <row r="78" spans="1:11" ht="18.75" x14ac:dyDescent="0.3">
      <c r="A78" s="127"/>
      <c r="B78" s="140"/>
      <c r="C78" s="128" t="s">
        <v>87</v>
      </c>
      <c r="D78" s="127" t="s">
        <v>34</v>
      </c>
      <c r="E78" s="138">
        <v>1</v>
      </c>
      <c r="G78" s="127"/>
      <c r="H78" s="127"/>
      <c r="I78" s="128" t="s">
        <v>87</v>
      </c>
      <c r="J78" s="128" t="s">
        <v>34</v>
      </c>
      <c r="K78" s="134">
        <v>1</v>
      </c>
    </row>
    <row r="79" spans="1:11" ht="18.75" x14ac:dyDescent="0.3">
      <c r="A79" s="127"/>
      <c r="B79" s="140"/>
      <c r="C79" s="128" t="s">
        <v>103</v>
      </c>
      <c r="D79" s="127" t="s">
        <v>34</v>
      </c>
      <c r="E79" s="138">
        <v>1</v>
      </c>
      <c r="G79" s="127"/>
      <c r="H79" s="127"/>
      <c r="I79" s="128" t="s">
        <v>103</v>
      </c>
      <c r="J79" s="128" t="s">
        <v>34</v>
      </c>
      <c r="K79" s="134">
        <v>1</v>
      </c>
    </row>
    <row r="80" spans="1:11" ht="18.75" x14ac:dyDescent="0.3">
      <c r="A80" s="127"/>
      <c r="B80" s="140"/>
      <c r="C80" s="128" t="s">
        <v>104</v>
      </c>
      <c r="D80" s="127" t="s">
        <v>34</v>
      </c>
      <c r="E80" s="138">
        <v>1</v>
      </c>
      <c r="G80" s="127"/>
      <c r="H80" s="127"/>
      <c r="I80" s="127" t="s">
        <v>104</v>
      </c>
      <c r="J80" s="128" t="s">
        <v>34</v>
      </c>
      <c r="K80" s="134">
        <v>1</v>
      </c>
    </row>
    <row r="81" spans="1:11" ht="18.75" x14ac:dyDescent="0.3">
      <c r="A81" s="127"/>
      <c r="B81" s="140"/>
      <c r="C81" s="128" t="s">
        <v>105</v>
      </c>
      <c r="D81" s="127" t="s">
        <v>34</v>
      </c>
      <c r="E81" s="138">
        <v>1</v>
      </c>
      <c r="G81" s="127"/>
      <c r="H81" s="127"/>
      <c r="I81" s="127" t="s">
        <v>105</v>
      </c>
      <c r="J81" s="128" t="s">
        <v>34</v>
      </c>
      <c r="K81" s="134">
        <v>1</v>
      </c>
    </row>
    <row r="82" spans="1:11" ht="18.75" x14ac:dyDescent="0.3">
      <c r="A82" s="127"/>
      <c r="B82" s="140"/>
      <c r="C82" s="128" t="s">
        <v>106</v>
      </c>
      <c r="D82" s="127" t="s">
        <v>34</v>
      </c>
      <c r="E82" s="138">
        <v>1</v>
      </c>
      <c r="G82" s="127"/>
      <c r="H82" s="127"/>
      <c r="I82" s="128" t="s">
        <v>106</v>
      </c>
      <c r="J82" s="128" t="s">
        <v>34</v>
      </c>
      <c r="K82" s="134">
        <v>1</v>
      </c>
    </row>
    <row r="83" spans="1:11" ht="18.75" x14ac:dyDescent="0.3">
      <c r="A83" s="127"/>
      <c r="B83" s="140"/>
      <c r="C83" s="128" t="s">
        <v>107</v>
      </c>
      <c r="D83" s="127" t="s">
        <v>34</v>
      </c>
      <c r="E83" s="138">
        <v>1</v>
      </c>
      <c r="G83" s="127"/>
      <c r="H83" s="127"/>
      <c r="I83" s="128" t="s">
        <v>107</v>
      </c>
      <c r="J83" s="128" t="s">
        <v>34</v>
      </c>
      <c r="K83" s="134">
        <v>1</v>
      </c>
    </row>
    <row r="84" spans="1:11" ht="18.75" x14ac:dyDescent="0.3">
      <c r="A84" s="127"/>
      <c r="B84" s="140"/>
      <c r="C84" s="127" t="s">
        <v>498</v>
      </c>
      <c r="D84" s="127" t="s">
        <v>34</v>
      </c>
      <c r="E84" s="138">
        <v>1</v>
      </c>
      <c r="G84" s="127"/>
      <c r="H84" s="127"/>
      <c r="I84" s="127" t="s">
        <v>498</v>
      </c>
      <c r="J84" s="127" t="s">
        <v>34</v>
      </c>
      <c r="K84" s="134">
        <v>1</v>
      </c>
    </row>
    <row r="85" spans="1:11" ht="18.75" x14ac:dyDescent="0.3">
      <c r="A85" s="127"/>
      <c r="B85" s="140"/>
      <c r="C85" s="127" t="s">
        <v>509</v>
      </c>
      <c r="D85" s="127" t="s">
        <v>34</v>
      </c>
      <c r="E85" s="138">
        <v>1</v>
      </c>
      <c r="G85" s="127"/>
      <c r="H85" s="127"/>
      <c r="I85" s="127" t="s">
        <v>509</v>
      </c>
      <c r="J85" s="127" t="s">
        <v>34</v>
      </c>
      <c r="K85" s="134">
        <v>1</v>
      </c>
    </row>
    <row r="86" spans="1:11" ht="18.75" x14ac:dyDescent="0.3">
      <c r="A86" s="127"/>
      <c r="B86" s="140"/>
      <c r="C86" s="127" t="s">
        <v>514</v>
      </c>
      <c r="D86" s="127" t="s">
        <v>34</v>
      </c>
      <c r="E86" s="138">
        <v>1</v>
      </c>
      <c r="G86" s="127"/>
      <c r="H86" s="127"/>
      <c r="I86" s="127" t="s">
        <v>514</v>
      </c>
      <c r="J86" s="127" t="s">
        <v>34</v>
      </c>
      <c r="K86" s="134">
        <v>1</v>
      </c>
    </row>
    <row r="87" spans="1:11" ht="18.75" x14ac:dyDescent="0.3">
      <c r="A87" s="127"/>
      <c r="B87" s="140"/>
      <c r="C87" s="127" t="s">
        <v>515</v>
      </c>
      <c r="D87" s="127" t="s">
        <v>34</v>
      </c>
      <c r="E87" s="138">
        <v>1</v>
      </c>
      <c r="G87" s="127"/>
      <c r="H87" s="127"/>
      <c r="I87" s="127" t="s">
        <v>515</v>
      </c>
      <c r="J87" s="127" t="s">
        <v>34</v>
      </c>
      <c r="K87" s="134">
        <v>1</v>
      </c>
    </row>
    <row r="88" spans="1:11" ht="18.75" x14ac:dyDescent="0.3">
      <c r="A88" s="127"/>
      <c r="B88" s="139" t="s">
        <v>44</v>
      </c>
      <c r="C88" s="128" t="s">
        <v>8</v>
      </c>
      <c r="D88" s="127" t="s">
        <v>45</v>
      </c>
      <c r="E88" s="137">
        <v>1</v>
      </c>
      <c r="G88" s="127"/>
      <c r="H88" s="127" t="s">
        <v>44</v>
      </c>
      <c r="I88" s="128" t="s">
        <v>8</v>
      </c>
      <c r="J88" s="128" t="s">
        <v>45</v>
      </c>
      <c r="K88" s="134">
        <v>1</v>
      </c>
    </row>
    <row r="89" spans="1:11" ht="18.75" x14ac:dyDescent="0.3">
      <c r="A89" s="127"/>
      <c r="B89" s="140" t="s">
        <v>51</v>
      </c>
      <c r="C89" s="128" t="s">
        <v>94</v>
      </c>
      <c r="D89" s="127" t="s">
        <v>52</v>
      </c>
      <c r="E89" s="138">
        <v>1</v>
      </c>
      <c r="G89" s="127"/>
      <c r="H89" s="127" t="s">
        <v>51</v>
      </c>
      <c r="I89" s="128" t="s">
        <v>94</v>
      </c>
      <c r="J89" s="128" t="s">
        <v>52</v>
      </c>
      <c r="K89" s="134">
        <v>1</v>
      </c>
    </row>
    <row r="90" spans="1:11" ht="18.75" x14ac:dyDescent="0.3">
      <c r="A90" s="127">
        <v>7</v>
      </c>
      <c r="B90" s="136" t="s">
        <v>60</v>
      </c>
      <c r="C90" s="128" t="s">
        <v>61</v>
      </c>
      <c r="D90" s="127" t="s">
        <v>41</v>
      </c>
      <c r="E90" s="134">
        <v>1</v>
      </c>
      <c r="G90" s="127">
        <v>7</v>
      </c>
      <c r="H90" s="127" t="s">
        <v>60</v>
      </c>
      <c r="I90" s="128" t="s">
        <v>61</v>
      </c>
      <c r="J90" s="128" t="s">
        <v>41</v>
      </c>
      <c r="K90" s="134">
        <v>1</v>
      </c>
    </row>
    <row r="91" spans="1:11" ht="18.75" x14ac:dyDescent="0.3">
      <c r="A91" s="127"/>
      <c r="B91" s="139" t="s">
        <v>485</v>
      </c>
      <c r="C91" s="128" t="s">
        <v>63</v>
      </c>
      <c r="D91" s="127" t="s">
        <v>490</v>
      </c>
      <c r="E91" s="134">
        <v>1</v>
      </c>
      <c r="G91" s="127"/>
      <c r="H91" s="127" t="s">
        <v>485</v>
      </c>
      <c r="I91" s="128" t="s">
        <v>63</v>
      </c>
      <c r="J91" s="128" t="s">
        <v>490</v>
      </c>
      <c r="K91" s="134">
        <v>1</v>
      </c>
    </row>
    <row r="92" spans="1:11" ht="18.75" x14ac:dyDescent="0.3">
      <c r="A92" s="127"/>
      <c r="B92" s="140" t="s">
        <v>62</v>
      </c>
      <c r="C92" s="128" t="s">
        <v>108</v>
      </c>
      <c r="D92" s="127" t="s">
        <v>490</v>
      </c>
      <c r="E92" s="138">
        <v>1</v>
      </c>
      <c r="G92" s="127"/>
      <c r="H92" s="127" t="s">
        <v>62</v>
      </c>
      <c r="I92" s="128" t="s">
        <v>108</v>
      </c>
      <c r="J92" s="128" t="s">
        <v>490</v>
      </c>
      <c r="K92" s="134">
        <v>1</v>
      </c>
    </row>
    <row r="93" spans="1:11" ht="18.75" x14ac:dyDescent="0.3">
      <c r="A93" s="127"/>
      <c r="B93" s="140"/>
      <c r="C93" s="128" t="s">
        <v>66</v>
      </c>
      <c r="D93" s="127" t="s">
        <v>490</v>
      </c>
      <c r="E93" s="138">
        <v>1</v>
      </c>
      <c r="G93" s="127"/>
      <c r="H93" s="127"/>
      <c r="I93" s="127" t="s">
        <v>66</v>
      </c>
      <c r="J93" s="128" t="s">
        <v>490</v>
      </c>
      <c r="K93" s="134">
        <v>1</v>
      </c>
    </row>
    <row r="94" spans="1:11" ht="18.75" x14ac:dyDescent="0.3">
      <c r="A94" s="127"/>
      <c r="B94" s="140"/>
      <c r="C94" s="128" t="s">
        <v>110</v>
      </c>
      <c r="D94" s="127" t="s">
        <v>490</v>
      </c>
      <c r="E94" s="138">
        <v>1</v>
      </c>
      <c r="G94" s="127"/>
      <c r="H94" s="127"/>
      <c r="I94" s="127" t="s">
        <v>110</v>
      </c>
      <c r="J94" s="128" t="s">
        <v>490</v>
      </c>
      <c r="K94" s="134">
        <v>1</v>
      </c>
    </row>
    <row r="95" spans="1:11" ht="18.75" x14ac:dyDescent="0.3">
      <c r="A95" s="127"/>
      <c r="B95" s="140"/>
      <c r="C95" s="127" t="s">
        <v>504</v>
      </c>
      <c r="D95" s="127" t="s">
        <v>490</v>
      </c>
      <c r="E95" s="138">
        <v>1</v>
      </c>
      <c r="G95" s="127"/>
      <c r="H95" s="127"/>
      <c r="I95" s="127" t="s">
        <v>504</v>
      </c>
      <c r="J95" s="127" t="s">
        <v>490</v>
      </c>
      <c r="K95" s="134">
        <v>1</v>
      </c>
    </row>
    <row r="96" spans="1:11" ht="18.75" x14ac:dyDescent="0.3">
      <c r="A96" s="127"/>
      <c r="B96" s="140" t="s">
        <v>33</v>
      </c>
      <c r="C96" s="128" t="s">
        <v>103</v>
      </c>
      <c r="D96" s="127" t="s">
        <v>34</v>
      </c>
      <c r="E96" s="138">
        <v>1</v>
      </c>
      <c r="G96" s="127"/>
      <c r="H96" s="127" t="s">
        <v>33</v>
      </c>
      <c r="I96" s="128" t="s">
        <v>103</v>
      </c>
      <c r="J96" s="128" t="s">
        <v>34</v>
      </c>
      <c r="K96" s="134">
        <v>1</v>
      </c>
    </row>
    <row r="97" spans="1:11" ht="18.75" x14ac:dyDescent="0.3">
      <c r="A97" s="127"/>
      <c r="B97" s="140"/>
      <c r="C97" s="128" t="s">
        <v>73</v>
      </c>
      <c r="D97" s="127" t="s">
        <v>34</v>
      </c>
      <c r="E97" s="138">
        <v>1</v>
      </c>
      <c r="G97" s="127"/>
      <c r="H97" s="127"/>
      <c r="I97" s="128" t="s">
        <v>73</v>
      </c>
      <c r="J97" s="128" t="s">
        <v>34</v>
      </c>
      <c r="K97" s="134">
        <v>1</v>
      </c>
    </row>
    <row r="98" spans="1:11" ht="18.75" x14ac:dyDescent="0.3">
      <c r="A98" s="127"/>
      <c r="B98" s="140"/>
      <c r="C98" s="128" t="s">
        <v>74</v>
      </c>
      <c r="D98" s="127" t="s">
        <v>34</v>
      </c>
      <c r="E98" s="138">
        <v>1</v>
      </c>
      <c r="G98" s="127"/>
      <c r="H98" s="127"/>
      <c r="I98" s="128" t="s">
        <v>74</v>
      </c>
      <c r="J98" s="128" t="s">
        <v>34</v>
      </c>
      <c r="K98" s="134">
        <v>1</v>
      </c>
    </row>
    <row r="99" spans="1:11" ht="18.75" x14ac:dyDescent="0.3">
      <c r="A99" s="127"/>
      <c r="B99" s="140"/>
      <c r="C99" s="128" t="s">
        <v>91</v>
      </c>
      <c r="D99" s="127" t="s">
        <v>34</v>
      </c>
      <c r="E99" s="138">
        <v>1</v>
      </c>
      <c r="G99" s="127"/>
      <c r="H99" s="127"/>
      <c r="I99" s="127" t="s">
        <v>91</v>
      </c>
      <c r="J99" s="128" t="s">
        <v>34</v>
      </c>
      <c r="K99" s="134">
        <v>1</v>
      </c>
    </row>
    <row r="100" spans="1:11" ht="18.75" x14ac:dyDescent="0.3">
      <c r="A100" s="127"/>
      <c r="B100" s="140"/>
      <c r="C100" s="128" t="s">
        <v>92</v>
      </c>
      <c r="D100" s="127" t="s">
        <v>34</v>
      </c>
      <c r="E100" s="138">
        <v>1</v>
      </c>
      <c r="G100" s="127"/>
      <c r="H100" s="127"/>
      <c r="I100" s="127" t="s">
        <v>92</v>
      </c>
      <c r="J100" s="128" t="s">
        <v>34</v>
      </c>
      <c r="K100" s="134">
        <v>1</v>
      </c>
    </row>
    <row r="101" spans="1:11" ht="18.75" x14ac:dyDescent="0.3">
      <c r="A101" s="127"/>
      <c r="B101" s="140"/>
      <c r="C101" s="127" t="s">
        <v>524</v>
      </c>
      <c r="D101" s="127" t="s">
        <v>34</v>
      </c>
      <c r="E101" s="138">
        <v>1</v>
      </c>
      <c r="G101" s="127"/>
      <c r="H101" s="127"/>
      <c r="I101" s="127" t="s">
        <v>524</v>
      </c>
      <c r="J101" s="127" t="s">
        <v>34</v>
      </c>
      <c r="K101" s="134">
        <v>1</v>
      </c>
    </row>
    <row r="102" spans="1:11" ht="18.75" x14ac:dyDescent="0.3">
      <c r="A102" s="127"/>
      <c r="B102" s="140"/>
      <c r="C102" s="127" t="s">
        <v>508</v>
      </c>
      <c r="D102" s="127" t="s">
        <v>34</v>
      </c>
      <c r="E102" s="138">
        <v>1</v>
      </c>
      <c r="G102" s="127"/>
      <c r="H102" s="127"/>
      <c r="I102" s="127" t="s">
        <v>508</v>
      </c>
      <c r="J102" s="127" t="s">
        <v>34</v>
      </c>
      <c r="K102" s="134">
        <v>1</v>
      </c>
    </row>
    <row r="103" spans="1:11" ht="18.75" x14ac:dyDescent="0.3">
      <c r="A103" s="127"/>
      <c r="B103" s="139" t="s">
        <v>44</v>
      </c>
      <c r="C103" s="128" t="s">
        <v>93</v>
      </c>
      <c r="D103" s="127" t="s">
        <v>45</v>
      </c>
      <c r="E103" s="137">
        <v>1</v>
      </c>
      <c r="G103" s="127"/>
      <c r="H103" s="127" t="s">
        <v>44</v>
      </c>
      <c r="I103" s="128" t="s">
        <v>93</v>
      </c>
      <c r="J103" s="128" t="s">
        <v>45</v>
      </c>
      <c r="K103" s="134">
        <v>1</v>
      </c>
    </row>
    <row r="104" spans="1:11" ht="18.75" x14ac:dyDescent="0.3">
      <c r="A104" s="127"/>
      <c r="B104" s="139"/>
      <c r="C104" s="127" t="s">
        <v>523</v>
      </c>
      <c r="D104" s="127" t="s">
        <v>45</v>
      </c>
      <c r="E104" s="137">
        <v>1</v>
      </c>
      <c r="G104" s="127"/>
      <c r="H104" s="127"/>
      <c r="I104" s="127" t="s">
        <v>523</v>
      </c>
      <c r="J104" s="127" t="s">
        <v>45</v>
      </c>
      <c r="K104" s="134">
        <v>1</v>
      </c>
    </row>
    <row r="105" spans="1:11" ht="18.75" x14ac:dyDescent="0.3">
      <c r="A105" s="127"/>
      <c r="B105" s="140" t="s">
        <v>51</v>
      </c>
      <c r="C105" s="128" t="s">
        <v>112</v>
      </c>
      <c r="D105" s="127" t="s">
        <v>164</v>
      </c>
      <c r="E105" s="138">
        <v>1</v>
      </c>
      <c r="G105" s="127"/>
      <c r="H105" s="127" t="s">
        <v>51</v>
      </c>
      <c r="I105" s="128" t="s">
        <v>112</v>
      </c>
      <c r="J105" s="127" t="s">
        <v>164</v>
      </c>
      <c r="K105" s="134">
        <v>1</v>
      </c>
    </row>
    <row r="106" spans="1:11" ht="18.75" x14ac:dyDescent="0.3">
      <c r="A106" s="127">
        <v>8</v>
      </c>
      <c r="B106" s="136" t="s">
        <v>60</v>
      </c>
      <c r="C106" s="128" t="s">
        <v>61</v>
      </c>
      <c r="D106" s="127" t="s">
        <v>41</v>
      </c>
      <c r="E106" s="134">
        <v>1</v>
      </c>
      <c r="G106" s="127">
        <v>8</v>
      </c>
      <c r="H106" s="127" t="s">
        <v>60</v>
      </c>
      <c r="I106" s="128" t="s">
        <v>61</v>
      </c>
      <c r="J106" s="128" t="s">
        <v>41</v>
      </c>
      <c r="K106" s="134">
        <v>1</v>
      </c>
    </row>
    <row r="107" spans="1:11" ht="18.75" x14ac:dyDescent="0.3">
      <c r="A107" s="127"/>
      <c r="B107" s="136"/>
      <c r="C107" s="127" t="s">
        <v>511</v>
      </c>
      <c r="D107" s="127" t="s">
        <v>41</v>
      </c>
      <c r="E107" s="134">
        <v>1</v>
      </c>
      <c r="G107" s="127"/>
      <c r="H107" s="127"/>
      <c r="I107" s="127" t="s">
        <v>511</v>
      </c>
      <c r="J107" s="127" t="s">
        <v>41</v>
      </c>
      <c r="K107" s="134">
        <v>1</v>
      </c>
    </row>
    <row r="108" spans="1:11" ht="18.75" x14ac:dyDescent="0.3">
      <c r="A108" s="127"/>
      <c r="B108" s="139" t="s">
        <v>485</v>
      </c>
      <c r="C108" s="128" t="s">
        <v>114</v>
      </c>
      <c r="D108" s="127" t="s">
        <v>490</v>
      </c>
      <c r="E108" s="134">
        <v>1</v>
      </c>
      <c r="G108" s="127"/>
      <c r="H108" s="127" t="s">
        <v>485</v>
      </c>
      <c r="I108" s="128" t="s">
        <v>114</v>
      </c>
      <c r="J108" s="128" t="s">
        <v>490</v>
      </c>
      <c r="K108" s="134">
        <v>1</v>
      </c>
    </row>
    <row r="109" spans="1:11" ht="18.75" x14ac:dyDescent="0.3">
      <c r="A109" s="127"/>
      <c r="B109" s="139"/>
      <c r="C109" s="128" t="s">
        <v>64</v>
      </c>
      <c r="D109" s="127" t="s">
        <v>490</v>
      </c>
      <c r="E109" s="134">
        <v>1</v>
      </c>
      <c r="G109" s="127"/>
      <c r="H109" s="127"/>
      <c r="I109" s="128" t="s">
        <v>64</v>
      </c>
      <c r="J109" s="128" t="s">
        <v>490</v>
      </c>
      <c r="K109" s="134">
        <v>1</v>
      </c>
    </row>
    <row r="110" spans="1:11" ht="18.75" x14ac:dyDescent="0.3">
      <c r="A110" s="127"/>
      <c r="B110" s="140" t="s">
        <v>62</v>
      </c>
      <c r="C110" s="128" t="s">
        <v>115</v>
      </c>
      <c r="D110" s="127" t="s">
        <v>490</v>
      </c>
      <c r="E110" s="138">
        <v>1</v>
      </c>
      <c r="G110" s="127"/>
      <c r="H110" s="127" t="s">
        <v>62</v>
      </c>
      <c r="I110" s="128" t="s">
        <v>115</v>
      </c>
      <c r="J110" s="128" t="s">
        <v>490</v>
      </c>
      <c r="K110" s="134">
        <v>1</v>
      </c>
    </row>
    <row r="111" spans="1:11" ht="18.75" x14ac:dyDescent="0.3">
      <c r="A111" s="127"/>
      <c r="B111" s="140"/>
      <c r="C111" s="128" t="s">
        <v>67</v>
      </c>
      <c r="D111" s="127" t="s">
        <v>490</v>
      </c>
      <c r="E111" s="138">
        <v>1</v>
      </c>
      <c r="G111" s="127"/>
      <c r="H111" s="127"/>
      <c r="I111" s="127" t="s">
        <v>67</v>
      </c>
      <c r="J111" s="128" t="s">
        <v>490</v>
      </c>
      <c r="K111" s="134">
        <v>1</v>
      </c>
    </row>
    <row r="112" spans="1:11" ht="18.75" x14ac:dyDescent="0.3">
      <c r="A112" s="127"/>
      <c r="B112" s="140"/>
      <c r="C112" s="127" t="s">
        <v>510</v>
      </c>
      <c r="D112" s="127" t="s">
        <v>490</v>
      </c>
      <c r="E112" s="138">
        <v>1</v>
      </c>
      <c r="G112" s="127"/>
      <c r="H112" s="127"/>
      <c r="I112" s="127" t="s">
        <v>510</v>
      </c>
      <c r="J112" s="127" t="s">
        <v>490</v>
      </c>
      <c r="K112" s="134">
        <v>1</v>
      </c>
    </row>
    <row r="113" spans="1:11" ht="18.75" x14ac:dyDescent="0.3">
      <c r="A113" s="127"/>
      <c r="B113" s="140" t="s">
        <v>33</v>
      </c>
      <c r="C113" s="128" t="s">
        <v>87</v>
      </c>
      <c r="D113" s="127" t="s">
        <v>34</v>
      </c>
      <c r="E113" s="138">
        <v>1</v>
      </c>
      <c r="G113" s="127"/>
      <c r="H113" s="127" t="s">
        <v>33</v>
      </c>
      <c r="I113" s="128" t="s">
        <v>87</v>
      </c>
      <c r="J113" s="128" t="s">
        <v>34</v>
      </c>
      <c r="K113" s="134">
        <v>1</v>
      </c>
    </row>
    <row r="114" spans="1:11" ht="18.75" x14ac:dyDescent="0.3">
      <c r="A114" s="127"/>
      <c r="B114" s="140"/>
      <c r="C114" s="128" t="s">
        <v>105</v>
      </c>
      <c r="D114" s="127" t="s">
        <v>34</v>
      </c>
      <c r="E114" s="138">
        <v>1</v>
      </c>
      <c r="G114" s="127"/>
      <c r="H114" s="127"/>
      <c r="I114" s="127" t="s">
        <v>105</v>
      </c>
      <c r="J114" s="128" t="s">
        <v>34</v>
      </c>
      <c r="K114" s="134">
        <v>1</v>
      </c>
    </row>
    <row r="115" spans="1:11" ht="18.75" x14ac:dyDescent="0.3">
      <c r="A115" s="127"/>
      <c r="B115" s="140"/>
      <c r="C115" s="128" t="s">
        <v>73</v>
      </c>
      <c r="D115" s="127" t="s">
        <v>34</v>
      </c>
      <c r="E115" s="138">
        <v>1</v>
      </c>
      <c r="G115" s="127"/>
      <c r="H115" s="127"/>
      <c r="I115" s="128" t="s">
        <v>73</v>
      </c>
      <c r="J115" s="128" t="s">
        <v>34</v>
      </c>
      <c r="K115" s="134">
        <v>1</v>
      </c>
    </row>
    <row r="116" spans="1:11" ht="18.75" x14ac:dyDescent="0.3">
      <c r="A116" s="127"/>
      <c r="B116" s="140"/>
      <c r="C116" s="127" t="s">
        <v>77</v>
      </c>
      <c r="D116" s="127" t="s">
        <v>34</v>
      </c>
      <c r="E116" s="138">
        <v>1</v>
      </c>
      <c r="G116" s="127"/>
      <c r="H116" s="127"/>
      <c r="I116" s="127" t="s">
        <v>77</v>
      </c>
      <c r="J116" s="127" t="s">
        <v>34</v>
      </c>
      <c r="K116" s="134">
        <v>1</v>
      </c>
    </row>
    <row r="117" spans="1:11" ht="18.75" x14ac:dyDescent="0.3">
      <c r="A117" s="127"/>
      <c r="B117" s="140"/>
      <c r="C117" s="127" t="s">
        <v>518</v>
      </c>
      <c r="D117" s="127" t="s">
        <v>34</v>
      </c>
      <c r="E117" s="138">
        <v>1</v>
      </c>
      <c r="G117" s="127"/>
      <c r="H117" s="127"/>
      <c r="I117" s="127" t="s">
        <v>518</v>
      </c>
      <c r="J117" s="127" t="s">
        <v>34</v>
      </c>
      <c r="K117" s="134">
        <v>1</v>
      </c>
    </row>
    <row r="118" spans="1:11" ht="18.75" x14ac:dyDescent="0.3">
      <c r="A118" s="127"/>
      <c r="B118" s="140"/>
      <c r="C118" s="127" t="s">
        <v>519</v>
      </c>
      <c r="D118" s="127" t="s">
        <v>34</v>
      </c>
      <c r="E118" s="138">
        <v>1</v>
      </c>
      <c r="G118" s="127"/>
      <c r="H118" s="127"/>
      <c r="I118" s="127" t="s">
        <v>519</v>
      </c>
      <c r="J118" s="127" t="s">
        <v>34</v>
      </c>
      <c r="K118" s="134">
        <v>1</v>
      </c>
    </row>
    <row r="119" spans="1:11" ht="18.75" x14ac:dyDescent="0.3">
      <c r="A119" s="127"/>
      <c r="B119" s="139" t="s">
        <v>44</v>
      </c>
      <c r="C119" s="128" t="s">
        <v>78</v>
      </c>
      <c r="D119" s="127" t="s">
        <v>45</v>
      </c>
      <c r="E119" s="137">
        <v>1</v>
      </c>
      <c r="G119" s="127"/>
      <c r="H119" s="127" t="s">
        <v>44</v>
      </c>
      <c r="I119" s="128" t="s">
        <v>78</v>
      </c>
      <c r="J119" s="128" t="s">
        <v>45</v>
      </c>
      <c r="K119" s="134">
        <v>1</v>
      </c>
    </row>
    <row r="120" spans="1:11" ht="18.75" x14ac:dyDescent="0.3">
      <c r="A120" s="127"/>
      <c r="B120" s="139"/>
      <c r="C120" s="128" t="s">
        <v>155</v>
      </c>
      <c r="D120" s="127" t="s">
        <v>45</v>
      </c>
      <c r="E120" s="137">
        <v>1</v>
      </c>
      <c r="G120" s="127"/>
      <c r="H120" s="127"/>
      <c r="I120" s="128" t="s">
        <v>155</v>
      </c>
      <c r="J120" s="128" t="s">
        <v>45</v>
      </c>
      <c r="K120" s="134">
        <v>1</v>
      </c>
    </row>
    <row r="121" spans="1:11" ht="18.75" x14ac:dyDescent="0.3">
      <c r="A121" s="127"/>
      <c r="B121" s="139"/>
      <c r="C121" s="127" t="s">
        <v>523</v>
      </c>
      <c r="D121" s="127" t="s">
        <v>45</v>
      </c>
      <c r="E121" s="137">
        <v>1</v>
      </c>
      <c r="G121" s="127"/>
      <c r="H121" s="127"/>
      <c r="I121" s="127" t="s">
        <v>523</v>
      </c>
      <c r="J121" s="127" t="s">
        <v>45</v>
      </c>
      <c r="K121" s="134">
        <v>1</v>
      </c>
    </row>
    <row r="122" spans="1:11" ht="18.75" x14ac:dyDescent="0.3">
      <c r="A122" s="127">
        <v>9</v>
      </c>
      <c r="B122" s="136" t="s">
        <v>60</v>
      </c>
      <c r="C122" s="128" t="s">
        <v>61</v>
      </c>
      <c r="D122" s="127" t="s">
        <v>41</v>
      </c>
      <c r="E122" s="134">
        <v>1</v>
      </c>
      <c r="G122" s="127">
        <v>9</v>
      </c>
      <c r="H122" s="127" t="s">
        <v>60</v>
      </c>
      <c r="I122" s="128" t="s">
        <v>61</v>
      </c>
      <c r="J122" s="128" t="s">
        <v>41</v>
      </c>
      <c r="K122" s="134">
        <v>1</v>
      </c>
    </row>
    <row r="123" spans="1:11" ht="18.75" x14ac:dyDescent="0.3">
      <c r="A123" s="127"/>
      <c r="B123" s="140" t="s">
        <v>62</v>
      </c>
      <c r="C123" s="128" t="s">
        <v>99</v>
      </c>
      <c r="D123" s="127" t="s">
        <v>490</v>
      </c>
      <c r="E123" s="138">
        <v>1</v>
      </c>
      <c r="G123" s="127"/>
      <c r="H123" s="127" t="s">
        <v>62</v>
      </c>
      <c r="I123" s="128" t="s">
        <v>99</v>
      </c>
      <c r="J123" s="128" t="s">
        <v>490</v>
      </c>
      <c r="K123" s="134">
        <v>1</v>
      </c>
    </row>
    <row r="124" spans="1:11" ht="18.75" x14ac:dyDescent="0.3">
      <c r="A124" s="127"/>
      <c r="B124" s="140"/>
      <c r="C124" s="128" t="s">
        <v>100</v>
      </c>
      <c r="D124" s="127" t="s">
        <v>490</v>
      </c>
      <c r="E124" s="138">
        <v>1</v>
      </c>
      <c r="G124" s="127"/>
      <c r="H124" s="127"/>
      <c r="I124" s="127" t="s">
        <v>100</v>
      </c>
      <c r="J124" s="128" t="s">
        <v>490</v>
      </c>
      <c r="K124" s="134">
        <v>1</v>
      </c>
    </row>
    <row r="125" spans="1:11" ht="18.75" x14ac:dyDescent="0.3">
      <c r="A125" s="127"/>
      <c r="B125" s="140" t="s">
        <v>33</v>
      </c>
      <c r="C125" s="128" t="s">
        <v>68</v>
      </c>
      <c r="D125" s="127" t="s">
        <v>34</v>
      </c>
      <c r="E125" s="138">
        <v>1</v>
      </c>
      <c r="G125" s="127"/>
      <c r="H125" s="127" t="s">
        <v>33</v>
      </c>
      <c r="I125" s="128" t="s">
        <v>68</v>
      </c>
      <c r="J125" s="128" t="s">
        <v>34</v>
      </c>
      <c r="K125" s="134">
        <v>1</v>
      </c>
    </row>
    <row r="126" spans="1:11" ht="18.75" x14ac:dyDescent="0.3">
      <c r="A126" s="127"/>
      <c r="B126" s="140"/>
      <c r="C126" s="128" t="s">
        <v>72</v>
      </c>
      <c r="D126" s="127" t="s">
        <v>34</v>
      </c>
      <c r="E126" s="138">
        <v>1</v>
      </c>
      <c r="G126" s="127"/>
      <c r="H126" s="127"/>
      <c r="I126" s="128" t="s">
        <v>72</v>
      </c>
      <c r="J126" s="128" t="s">
        <v>34</v>
      </c>
      <c r="K126" s="134">
        <v>1</v>
      </c>
    </row>
    <row r="127" spans="1:11" ht="18.75" x14ac:dyDescent="0.3">
      <c r="A127" s="127"/>
      <c r="B127" s="140"/>
      <c r="C127" s="128" t="s">
        <v>88</v>
      </c>
      <c r="D127" s="127" t="s">
        <v>34</v>
      </c>
      <c r="E127" s="138">
        <v>1</v>
      </c>
      <c r="G127" s="127"/>
      <c r="H127" s="127"/>
      <c r="I127" s="128" t="s">
        <v>88</v>
      </c>
      <c r="J127" s="128" t="s">
        <v>34</v>
      </c>
      <c r="K127" s="134">
        <v>1</v>
      </c>
    </row>
    <row r="128" spans="1:11" ht="18.75" x14ac:dyDescent="0.3">
      <c r="A128" s="127"/>
      <c r="B128" s="140"/>
      <c r="C128" s="128" t="s">
        <v>76</v>
      </c>
      <c r="D128" s="127" t="s">
        <v>34</v>
      </c>
      <c r="E128" s="138">
        <v>1</v>
      </c>
      <c r="G128" s="127"/>
      <c r="H128" s="127"/>
      <c r="I128" s="128" t="s">
        <v>76</v>
      </c>
      <c r="J128" s="128" t="s">
        <v>34</v>
      </c>
      <c r="K128" s="134">
        <v>1</v>
      </c>
    </row>
    <row r="129" spans="1:11" ht="18.75" x14ac:dyDescent="0.3">
      <c r="A129" s="127"/>
      <c r="B129" s="140"/>
      <c r="C129" s="128" t="s">
        <v>107</v>
      </c>
      <c r="D129" s="127" t="s">
        <v>34</v>
      </c>
      <c r="E129" s="138">
        <v>1</v>
      </c>
      <c r="G129" s="127"/>
      <c r="H129" s="127"/>
      <c r="I129" s="128" t="s">
        <v>107</v>
      </c>
      <c r="J129" s="128" t="s">
        <v>34</v>
      </c>
      <c r="K129" s="134">
        <v>1</v>
      </c>
    </row>
    <row r="130" spans="1:11" ht="18.75" x14ac:dyDescent="0.3">
      <c r="A130" s="127"/>
      <c r="B130" s="140"/>
      <c r="C130" s="127" t="s">
        <v>507</v>
      </c>
      <c r="D130" s="127" t="s">
        <v>34</v>
      </c>
      <c r="E130" s="138">
        <v>1</v>
      </c>
      <c r="G130" s="127"/>
      <c r="H130" s="127"/>
      <c r="I130" s="127" t="s">
        <v>507</v>
      </c>
      <c r="J130" s="127" t="s">
        <v>34</v>
      </c>
      <c r="K130" s="134">
        <v>1</v>
      </c>
    </row>
    <row r="131" spans="1:11" ht="18.75" x14ac:dyDescent="0.3">
      <c r="A131" s="127"/>
      <c r="B131" s="140"/>
      <c r="C131" s="127" t="s">
        <v>508</v>
      </c>
      <c r="D131" s="127" t="s">
        <v>34</v>
      </c>
      <c r="E131" s="138">
        <v>1</v>
      </c>
      <c r="G131" s="127"/>
      <c r="H131" s="127"/>
      <c r="I131" s="127" t="s">
        <v>508</v>
      </c>
      <c r="J131" s="127" t="s">
        <v>34</v>
      </c>
      <c r="K131" s="134">
        <v>1</v>
      </c>
    </row>
    <row r="132" spans="1:11" ht="18.75" x14ac:dyDescent="0.3">
      <c r="A132" s="127"/>
      <c r="B132" s="139" t="s">
        <v>44</v>
      </c>
      <c r="C132" s="127" t="s">
        <v>497</v>
      </c>
      <c r="D132" s="127" t="s">
        <v>45</v>
      </c>
      <c r="E132" s="137">
        <v>1</v>
      </c>
      <c r="G132" s="127"/>
      <c r="H132" s="127" t="s">
        <v>44</v>
      </c>
      <c r="I132" s="127" t="s">
        <v>497</v>
      </c>
      <c r="J132" s="127" t="s">
        <v>45</v>
      </c>
      <c r="K132" s="134">
        <v>1</v>
      </c>
    </row>
    <row r="133" spans="1:11" ht="18.75" x14ac:dyDescent="0.3">
      <c r="A133" s="127"/>
      <c r="B133" s="140" t="s">
        <v>51</v>
      </c>
      <c r="C133" s="128" t="s">
        <v>118</v>
      </c>
      <c r="D133" s="127" t="s">
        <v>52</v>
      </c>
      <c r="E133" s="138">
        <v>1</v>
      </c>
      <c r="G133" s="127"/>
      <c r="H133" s="127" t="s">
        <v>51</v>
      </c>
      <c r="I133" s="128" t="s">
        <v>118</v>
      </c>
      <c r="J133" s="128" t="s">
        <v>52</v>
      </c>
      <c r="K133" s="134">
        <v>1</v>
      </c>
    </row>
    <row r="134" spans="1:11" ht="18.75" x14ac:dyDescent="0.3">
      <c r="A134" s="127">
        <v>10</v>
      </c>
      <c r="B134" s="136" t="s">
        <v>60</v>
      </c>
      <c r="C134" s="128" t="s">
        <v>61</v>
      </c>
      <c r="D134" s="127" t="s">
        <v>41</v>
      </c>
      <c r="E134" s="134">
        <v>1</v>
      </c>
      <c r="G134" s="127">
        <v>10</v>
      </c>
      <c r="H134" s="127" t="s">
        <v>60</v>
      </c>
      <c r="I134" s="128" t="s">
        <v>61</v>
      </c>
      <c r="J134" s="128" t="s">
        <v>41</v>
      </c>
      <c r="K134" s="134">
        <v>1</v>
      </c>
    </row>
    <row r="135" spans="1:11" ht="18.75" x14ac:dyDescent="0.3">
      <c r="A135" s="127"/>
      <c r="B135" s="139" t="s">
        <v>485</v>
      </c>
      <c r="C135" s="128" t="s">
        <v>82</v>
      </c>
      <c r="D135" s="127" t="s">
        <v>490</v>
      </c>
      <c r="E135" s="134">
        <v>1</v>
      </c>
      <c r="G135" s="127"/>
      <c r="H135" s="127" t="s">
        <v>485</v>
      </c>
      <c r="I135" s="128" t="s">
        <v>82</v>
      </c>
      <c r="J135" s="128" t="s">
        <v>490</v>
      </c>
      <c r="K135" s="134">
        <v>1</v>
      </c>
    </row>
    <row r="136" spans="1:11" ht="18.75" x14ac:dyDescent="0.3">
      <c r="A136" s="127"/>
      <c r="B136" s="140" t="s">
        <v>62</v>
      </c>
      <c r="C136" s="128" t="s">
        <v>100</v>
      </c>
      <c r="D136" s="127" t="s">
        <v>490</v>
      </c>
      <c r="E136" s="138">
        <v>1</v>
      </c>
      <c r="G136" s="127"/>
      <c r="H136" s="127" t="s">
        <v>62</v>
      </c>
      <c r="I136" s="127" t="s">
        <v>100</v>
      </c>
      <c r="J136" s="128" t="s">
        <v>490</v>
      </c>
      <c r="K136" s="134">
        <v>1</v>
      </c>
    </row>
    <row r="137" spans="1:11" ht="18.75" x14ac:dyDescent="0.3">
      <c r="A137" s="127"/>
      <c r="B137" s="140"/>
      <c r="C137" s="127" t="s">
        <v>504</v>
      </c>
      <c r="D137" s="127" t="s">
        <v>490</v>
      </c>
      <c r="E137" s="138">
        <v>1</v>
      </c>
      <c r="G137" s="127"/>
      <c r="H137" s="127"/>
      <c r="I137" s="127" t="s">
        <v>504</v>
      </c>
      <c r="J137" s="127" t="s">
        <v>490</v>
      </c>
      <c r="K137" s="134">
        <v>1</v>
      </c>
    </row>
    <row r="138" spans="1:11" ht="18.75" x14ac:dyDescent="0.3">
      <c r="A138" s="127"/>
      <c r="B138" s="140" t="s">
        <v>33</v>
      </c>
      <c r="C138" s="128" t="s">
        <v>68</v>
      </c>
      <c r="D138" s="127" t="s">
        <v>34</v>
      </c>
      <c r="E138" s="138">
        <v>1</v>
      </c>
      <c r="G138" s="127"/>
      <c r="H138" s="127" t="s">
        <v>33</v>
      </c>
      <c r="I138" s="128" t="s">
        <v>68</v>
      </c>
      <c r="J138" s="128" t="s">
        <v>34</v>
      </c>
      <c r="K138" s="134">
        <v>1</v>
      </c>
    </row>
    <row r="139" spans="1:11" ht="18.75" x14ac:dyDescent="0.3">
      <c r="A139" s="127"/>
      <c r="B139" s="140"/>
      <c r="C139" s="128" t="s">
        <v>69</v>
      </c>
      <c r="D139" s="127" t="s">
        <v>34</v>
      </c>
      <c r="E139" s="138">
        <v>1</v>
      </c>
      <c r="G139" s="127"/>
      <c r="H139" s="127"/>
      <c r="I139" s="128" t="s">
        <v>69</v>
      </c>
      <c r="J139" s="128" t="s">
        <v>34</v>
      </c>
      <c r="K139" s="134">
        <v>1</v>
      </c>
    </row>
    <row r="140" spans="1:11" ht="18.75" x14ac:dyDescent="0.3">
      <c r="A140" s="127"/>
      <c r="B140" s="140"/>
      <c r="C140" s="128" t="s">
        <v>87</v>
      </c>
      <c r="D140" s="127" t="s">
        <v>34</v>
      </c>
      <c r="E140" s="138">
        <v>1</v>
      </c>
      <c r="G140" s="127"/>
      <c r="H140" s="127"/>
      <c r="I140" s="128" t="s">
        <v>87</v>
      </c>
      <c r="J140" s="128" t="s">
        <v>34</v>
      </c>
      <c r="K140" s="134">
        <v>1</v>
      </c>
    </row>
    <row r="141" spans="1:11" ht="18.75" x14ac:dyDescent="0.3">
      <c r="A141" s="127"/>
      <c r="B141" s="140"/>
      <c r="C141" s="128" t="s">
        <v>89</v>
      </c>
      <c r="D141" s="127" t="s">
        <v>34</v>
      </c>
      <c r="E141" s="138">
        <v>1</v>
      </c>
      <c r="G141" s="127"/>
      <c r="H141" s="127"/>
      <c r="I141" s="128" t="s">
        <v>89</v>
      </c>
      <c r="J141" s="128" t="s">
        <v>34</v>
      </c>
      <c r="K141" s="134">
        <v>1</v>
      </c>
    </row>
    <row r="142" spans="1:11" ht="18.75" x14ac:dyDescent="0.3">
      <c r="A142" s="127"/>
      <c r="B142" s="140"/>
      <c r="C142" s="127" t="s">
        <v>77</v>
      </c>
      <c r="D142" s="127" t="s">
        <v>34</v>
      </c>
      <c r="E142" s="138">
        <v>1</v>
      </c>
      <c r="G142" s="127"/>
      <c r="H142" s="127"/>
      <c r="I142" s="127" t="s">
        <v>77</v>
      </c>
      <c r="J142" s="127" t="s">
        <v>34</v>
      </c>
      <c r="K142" s="134">
        <v>1</v>
      </c>
    </row>
    <row r="143" spans="1:11" ht="18.75" x14ac:dyDescent="0.3">
      <c r="A143" s="127"/>
      <c r="B143" s="140"/>
      <c r="C143" s="127" t="s">
        <v>515</v>
      </c>
      <c r="D143" s="127" t="s">
        <v>34</v>
      </c>
      <c r="E143" s="138">
        <v>1</v>
      </c>
      <c r="G143" s="127"/>
      <c r="H143" s="127"/>
      <c r="I143" s="127" t="s">
        <v>515</v>
      </c>
      <c r="J143" s="127" t="s">
        <v>34</v>
      </c>
      <c r="K143" s="134">
        <v>1</v>
      </c>
    </row>
    <row r="144" spans="1:11" ht="18.75" x14ac:dyDescent="0.3">
      <c r="A144" s="127"/>
      <c r="B144" s="140" t="s">
        <v>51</v>
      </c>
      <c r="C144" s="128" t="s">
        <v>94</v>
      </c>
      <c r="D144" s="127" t="s">
        <v>52</v>
      </c>
      <c r="E144" s="138">
        <v>1</v>
      </c>
      <c r="G144" s="127"/>
      <c r="H144" s="127" t="s">
        <v>51</v>
      </c>
      <c r="I144" s="128" t="s">
        <v>94</v>
      </c>
      <c r="J144" s="128" t="s">
        <v>52</v>
      </c>
      <c r="K144" s="134">
        <v>1</v>
      </c>
    </row>
    <row r="145" spans="1:11" ht="18.75" x14ac:dyDescent="0.3">
      <c r="A145" s="127"/>
      <c r="B145" s="140"/>
      <c r="C145" s="128" t="s">
        <v>80</v>
      </c>
      <c r="D145" s="127" t="s">
        <v>52</v>
      </c>
      <c r="E145" s="138">
        <v>1</v>
      </c>
      <c r="G145" s="127"/>
      <c r="H145" s="127"/>
      <c r="I145" s="128" t="s">
        <v>80</v>
      </c>
      <c r="J145" s="128" t="s">
        <v>52</v>
      </c>
      <c r="K145" s="134">
        <v>1</v>
      </c>
    </row>
    <row r="146" spans="1:11" ht="18.75" x14ac:dyDescent="0.3">
      <c r="A146" s="127">
        <v>11</v>
      </c>
      <c r="B146" s="136" t="s">
        <v>60</v>
      </c>
      <c r="C146" s="128" t="s">
        <v>61</v>
      </c>
      <c r="D146" s="127" t="s">
        <v>41</v>
      </c>
      <c r="E146" s="134">
        <v>1</v>
      </c>
      <c r="G146" s="127">
        <v>11</v>
      </c>
      <c r="H146" s="127" t="s">
        <v>60</v>
      </c>
      <c r="I146" s="128" t="s">
        <v>61</v>
      </c>
      <c r="J146" s="128" t="s">
        <v>41</v>
      </c>
      <c r="K146" s="134">
        <v>1</v>
      </c>
    </row>
    <row r="147" spans="1:11" ht="18.75" x14ac:dyDescent="0.3">
      <c r="A147" s="127"/>
      <c r="B147" s="139" t="s">
        <v>485</v>
      </c>
      <c r="C147" s="128" t="s">
        <v>82</v>
      </c>
      <c r="D147" s="127" t="s">
        <v>490</v>
      </c>
      <c r="E147" s="134">
        <v>1</v>
      </c>
      <c r="G147" s="127"/>
      <c r="H147" s="127" t="s">
        <v>485</v>
      </c>
      <c r="I147" s="128" t="s">
        <v>82</v>
      </c>
      <c r="J147" s="128" t="s">
        <v>490</v>
      </c>
      <c r="K147" s="134">
        <v>1</v>
      </c>
    </row>
    <row r="148" spans="1:11" ht="18.75" x14ac:dyDescent="0.3">
      <c r="A148" s="127"/>
      <c r="B148" s="139"/>
      <c r="C148" s="128" t="s">
        <v>83</v>
      </c>
      <c r="D148" s="127" t="s">
        <v>490</v>
      </c>
      <c r="E148" s="134">
        <v>1</v>
      </c>
      <c r="G148" s="127"/>
      <c r="H148" s="127"/>
      <c r="I148" s="128" t="s">
        <v>83</v>
      </c>
      <c r="J148" s="128" t="s">
        <v>490</v>
      </c>
      <c r="K148" s="134">
        <v>1</v>
      </c>
    </row>
    <row r="149" spans="1:11" ht="18.75" x14ac:dyDescent="0.3">
      <c r="A149" s="127"/>
      <c r="B149" s="140" t="s">
        <v>62</v>
      </c>
      <c r="C149" s="128" t="s">
        <v>100</v>
      </c>
      <c r="D149" s="127" t="s">
        <v>490</v>
      </c>
      <c r="E149" s="138">
        <v>1</v>
      </c>
      <c r="G149" s="127"/>
      <c r="H149" s="127" t="s">
        <v>62</v>
      </c>
      <c r="I149" s="127" t="s">
        <v>100</v>
      </c>
      <c r="J149" s="128" t="s">
        <v>490</v>
      </c>
      <c r="K149" s="134">
        <v>1</v>
      </c>
    </row>
    <row r="150" spans="1:11" ht="18.75" x14ac:dyDescent="0.3">
      <c r="A150" s="127"/>
      <c r="B150" s="140"/>
      <c r="C150" s="127" t="s">
        <v>504</v>
      </c>
      <c r="D150" s="127" t="s">
        <v>490</v>
      </c>
      <c r="E150" s="138">
        <v>1</v>
      </c>
      <c r="G150" s="127"/>
      <c r="H150" s="127"/>
      <c r="I150" s="127" t="s">
        <v>504</v>
      </c>
      <c r="J150" s="127" t="s">
        <v>490</v>
      </c>
      <c r="K150" s="134">
        <v>1</v>
      </c>
    </row>
    <row r="151" spans="1:11" ht="18.75" x14ac:dyDescent="0.3">
      <c r="A151" s="127"/>
      <c r="B151" s="140" t="s">
        <v>33</v>
      </c>
      <c r="C151" s="128" t="s">
        <v>68</v>
      </c>
      <c r="D151" s="127" t="s">
        <v>34</v>
      </c>
      <c r="E151" s="138">
        <v>1</v>
      </c>
      <c r="G151" s="127"/>
      <c r="H151" s="127" t="s">
        <v>33</v>
      </c>
      <c r="I151" s="128" t="s">
        <v>68</v>
      </c>
      <c r="J151" s="128" t="s">
        <v>34</v>
      </c>
      <c r="K151" s="134">
        <v>1</v>
      </c>
    </row>
    <row r="152" spans="1:11" ht="18.75" x14ac:dyDescent="0.3">
      <c r="A152" s="127"/>
      <c r="B152" s="140"/>
      <c r="C152" s="128" t="s">
        <v>69</v>
      </c>
      <c r="D152" s="127" t="s">
        <v>34</v>
      </c>
      <c r="E152" s="138">
        <v>1</v>
      </c>
      <c r="G152" s="127"/>
      <c r="H152" s="127"/>
      <c r="I152" s="128" t="s">
        <v>69</v>
      </c>
      <c r="J152" s="128" t="s">
        <v>34</v>
      </c>
      <c r="K152" s="134">
        <v>1</v>
      </c>
    </row>
    <row r="153" spans="1:11" ht="18.75" x14ac:dyDescent="0.3">
      <c r="A153" s="127"/>
      <c r="B153" s="140"/>
      <c r="C153" s="128" t="s">
        <v>87</v>
      </c>
      <c r="D153" s="127" t="s">
        <v>34</v>
      </c>
      <c r="E153" s="138">
        <v>1</v>
      </c>
      <c r="G153" s="127"/>
      <c r="H153" s="127"/>
      <c r="I153" s="128" t="s">
        <v>87</v>
      </c>
      <c r="J153" s="128" t="s">
        <v>34</v>
      </c>
      <c r="K153" s="134">
        <v>1</v>
      </c>
    </row>
    <row r="154" spans="1:11" ht="18.75" x14ac:dyDescent="0.3">
      <c r="A154" s="127"/>
      <c r="B154" s="140"/>
      <c r="C154" s="127" t="s">
        <v>77</v>
      </c>
      <c r="D154" s="127" t="s">
        <v>34</v>
      </c>
      <c r="E154" s="138">
        <v>1</v>
      </c>
      <c r="G154" s="127"/>
      <c r="H154" s="127"/>
      <c r="I154" s="127" t="s">
        <v>77</v>
      </c>
      <c r="J154" s="127" t="s">
        <v>34</v>
      </c>
      <c r="K154" s="134">
        <v>1</v>
      </c>
    </row>
    <row r="155" spans="1:11" ht="18.75" x14ac:dyDescent="0.3">
      <c r="A155" s="127"/>
      <c r="B155" s="140"/>
      <c r="C155" s="127" t="s">
        <v>515</v>
      </c>
      <c r="D155" s="127" t="s">
        <v>34</v>
      </c>
      <c r="E155" s="138">
        <v>1</v>
      </c>
      <c r="G155" s="127"/>
      <c r="H155" s="127"/>
      <c r="I155" s="127" t="s">
        <v>515</v>
      </c>
      <c r="J155" s="127" t="s">
        <v>34</v>
      </c>
      <c r="K155" s="134">
        <v>1</v>
      </c>
    </row>
    <row r="156" spans="1:11" ht="18.75" x14ac:dyDescent="0.3">
      <c r="A156" s="127"/>
      <c r="B156" s="140" t="s">
        <v>51</v>
      </c>
      <c r="C156" s="128" t="s">
        <v>80</v>
      </c>
      <c r="D156" s="127" t="s">
        <v>52</v>
      </c>
      <c r="E156" s="138">
        <v>1</v>
      </c>
      <c r="G156" s="127"/>
      <c r="H156" s="127" t="s">
        <v>51</v>
      </c>
      <c r="I156" s="128" t="s">
        <v>80</v>
      </c>
      <c r="J156" s="128" t="s">
        <v>52</v>
      </c>
      <c r="K156" s="134">
        <v>1</v>
      </c>
    </row>
    <row r="157" spans="1:11" ht="18.75" x14ac:dyDescent="0.3">
      <c r="A157" s="127">
        <v>12</v>
      </c>
      <c r="B157" s="136" t="s">
        <v>60</v>
      </c>
      <c r="C157" s="128" t="s">
        <v>61</v>
      </c>
      <c r="D157" s="127" t="s">
        <v>41</v>
      </c>
      <c r="E157" s="134">
        <v>1</v>
      </c>
      <c r="G157" s="127">
        <v>12</v>
      </c>
      <c r="H157" s="127" t="s">
        <v>60</v>
      </c>
      <c r="I157" s="128" t="s">
        <v>61</v>
      </c>
      <c r="J157" s="128" t="s">
        <v>41</v>
      </c>
      <c r="K157" s="134">
        <v>1</v>
      </c>
    </row>
    <row r="158" spans="1:11" ht="18.75" x14ac:dyDescent="0.3">
      <c r="A158" s="127"/>
      <c r="B158" s="139" t="s">
        <v>485</v>
      </c>
      <c r="C158" s="128" t="s">
        <v>82</v>
      </c>
      <c r="D158" s="127" t="s">
        <v>490</v>
      </c>
      <c r="E158" s="134">
        <v>1</v>
      </c>
      <c r="G158" s="127"/>
      <c r="H158" s="127" t="s">
        <v>485</v>
      </c>
      <c r="I158" s="128" t="s">
        <v>82</v>
      </c>
      <c r="J158" s="128" t="s">
        <v>490</v>
      </c>
      <c r="K158" s="134">
        <v>1</v>
      </c>
    </row>
    <row r="159" spans="1:11" ht="18.75" x14ac:dyDescent="0.3">
      <c r="A159" s="127"/>
      <c r="B159" s="140" t="s">
        <v>62</v>
      </c>
      <c r="C159" s="128" t="s">
        <v>100</v>
      </c>
      <c r="D159" s="127" t="s">
        <v>490</v>
      </c>
      <c r="E159" s="138">
        <v>1</v>
      </c>
      <c r="G159" s="127"/>
      <c r="H159" s="127" t="s">
        <v>62</v>
      </c>
      <c r="I159" s="127" t="s">
        <v>100</v>
      </c>
      <c r="J159" s="128" t="s">
        <v>490</v>
      </c>
      <c r="K159" s="134">
        <v>1</v>
      </c>
    </row>
    <row r="160" spans="1:11" ht="18.75" x14ac:dyDescent="0.3">
      <c r="A160" s="127"/>
      <c r="B160" s="140"/>
      <c r="C160" s="127" t="s">
        <v>504</v>
      </c>
      <c r="D160" s="127" t="s">
        <v>490</v>
      </c>
      <c r="E160" s="138">
        <v>1</v>
      </c>
      <c r="G160" s="127"/>
      <c r="H160" s="127"/>
      <c r="I160" s="127" t="s">
        <v>504</v>
      </c>
      <c r="J160" s="127" t="s">
        <v>490</v>
      </c>
      <c r="K160" s="134">
        <v>1</v>
      </c>
    </row>
    <row r="161" spans="1:11" ht="18.75" x14ac:dyDescent="0.3">
      <c r="A161" s="127"/>
      <c r="B161" s="140" t="s">
        <v>33</v>
      </c>
      <c r="C161" s="128" t="s">
        <v>68</v>
      </c>
      <c r="D161" s="127" t="s">
        <v>34</v>
      </c>
      <c r="E161" s="138">
        <v>1</v>
      </c>
      <c r="G161" s="127"/>
      <c r="H161" s="127" t="s">
        <v>33</v>
      </c>
      <c r="I161" s="128" t="s">
        <v>68</v>
      </c>
      <c r="J161" s="128" t="s">
        <v>34</v>
      </c>
      <c r="K161" s="134">
        <v>1</v>
      </c>
    </row>
    <row r="162" spans="1:11" ht="18.75" x14ac:dyDescent="0.3">
      <c r="A162" s="127"/>
      <c r="B162" s="140"/>
      <c r="C162" s="128" t="s">
        <v>69</v>
      </c>
      <c r="D162" s="127" t="s">
        <v>34</v>
      </c>
      <c r="E162" s="138">
        <v>1</v>
      </c>
      <c r="G162" s="127"/>
      <c r="H162" s="127"/>
      <c r="I162" s="128" t="s">
        <v>69</v>
      </c>
      <c r="J162" s="128" t="s">
        <v>34</v>
      </c>
      <c r="K162" s="134">
        <v>1</v>
      </c>
    </row>
    <row r="163" spans="1:11" ht="18.75" x14ac:dyDescent="0.3">
      <c r="A163" s="127"/>
      <c r="B163" s="140"/>
      <c r="C163" s="128" t="s">
        <v>87</v>
      </c>
      <c r="D163" s="127" t="s">
        <v>34</v>
      </c>
      <c r="E163" s="138">
        <v>1</v>
      </c>
      <c r="G163" s="127"/>
      <c r="H163" s="127"/>
      <c r="I163" s="128" t="s">
        <v>87</v>
      </c>
      <c r="J163" s="128" t="s">
        <v>34</v>
      </c>
      <c r="K163" s="134">
        <v>1</v>
      </c>
    </row>
    <row r="164" spans="1:11" ht="18.75" x14ac:dyDescent="0.3">
      <c r="A164" s="127"/>
      <c r="B164" s="140"/>
      <c r="C164" s="128" t="s">
        <v>89</v>
      </c>
      <c r="D164" s="127" t="s">
        <v>34</v>
      </c>
      <c r="E164" s="138">
        <v>1</v>
      </c>
      <c r="G164" s="127"/>
      <c r="H164" s="127"/>
      <c r="I164" s="128" t="s">
        <v>89</v>
      </c>
      <c r="J164" s="128" t="s">
        <v>34</v>
      </c>
      <c r="K164" s="134">
        <v>1</v>
      </c>
    </row>
    <row r="165" spans="1:11" ht="18.75" x14ac:dyDescent="0.3">
      <c r="A165" s="127"/>
      <c r="B165" s="140"/>
      <c r="C165" s="127" t="s">
        <v>515</v>
      </c>
      <c r="D165" s="127" t="s">
        <v>34</v>
      </c>
      <c r="E165" s="138">
        <v>1</v>
      </c>
      <c r="G165" s="127"/>
      <c r="H165" s="127"/>
      <c r="I165" s="127" t="s">
        <v>515</v>
      </c>
      <c r="J165" s="127" t="s">
        <v>34</v>
      </c>
      <c r="K165" s="134">
        <v>1</v>
      </c>
    </row>
    <row r="166" spans="1:11" ht="18.75" x14ac:dyDescent="0.3">
      <c r="A166" s="127"/>
      <c r="B166" s="140" t="s">
        <v>51</v>
      </c>
      <c r="C166" s="128" t="s">
        <v>80</v>
      </c>
      <c r="D166" s="127" t="s">
        <v>52</v>
      </c>
      <c r="E166" s="138">
        <v>1</v>
      </c>
      <c r="G166" s="127"/>
      <c r="H166" s="127" t="s">
        <v>51</v>
      </c>
      <c r="I166" s="128" t="s">
        <v>80</v>
      </c>
      <c r="J166" s="128" t="s">
        <v>52</v>
      </c>
      <c r="K166" s="134">
        <v>1</v>
      </c>
    </row>
    <row r="167" spans="1:11" ht="18.75" x14ac:dyDescent="0.3">
      <c r="A167" s="127">
        <v>13</v>
      </c>
      <c r="B167" s="136" t="s">
        <v>60</v>
      </c>
      <c r="C167" s="127" t="s">
        <v>511</v>
      </c>
      <c r="D167" s="127" t="s">
        <v>41</v>
      </c>
      <c r="E167" s="134">
        <v>1</v>
      </c>
      <c r="G167" s="127">
        <v>13</v>
      </c>
      <c r="H167" s="127" t="s">
        <v>60</v>
      </c>
      <c r="I167" s="127" t="s">
        <v>511</v>
      </c>
      <c r="J167" s="127" t="s">
        <v>41</v>
      </c>
      <c r="K167" s="134">
        <v>1</v>
      </c>
    </row>
    <row r="168" spans="1:11" ht="18.75" x14ac:dyDescent="0.3">
      <c r="A168" s="127"/>
      <c r="B168" s="139" t="s">
        <v>485</v>
      </c>
      <c r="C168" s="128" t="s">
        <v>82</v>
      </c>
      <c r="D168" s="127" t="s">
        <v>490</v>
      </c>
      <c r="E168" s="134">
        <v>1</v>
      </c>
      <c r="G168" s="127"/>
      <c r="H168" s="127" t="s">
        <v>485</v>
      </c>
      <c r="I168" s="128" t="s">
        <v>82</v>
      </c>
      <c r="J168" s="128" t="s">
        <v>490</v>
      </c>
      <c r="K168" s="134">
        <v>1</v>
      </c>
    </row>
    <row r="169" spans="1:11" ht="18.75" x14ac:dyDescent="0.3">
      <c r="A169" s="127"/>
      <c r="B169" s="139"/>
      <c r="C169" s="128" t="s">
        <v>83</v>
      </c>
      <c r="D169" s="127" t="s">
        <v>490</v>
      </c>
      <c r="E169" s="134">
        <v>1</v>
      </c>
      <c r="G169" s="127"/>
      <c r="H169" s="127"/>
      <c r="I169" s="128" t="s">
        <v>83</v>
      </c>
      <c r="J169" s="128" t="s">
        <v>490</v>
      </c>
      <c r="K169" s="134">
        <v>1</v>
      </c>
    </row>
    <row r="170" spans="1:11" ht="18.75" x14ac:dyDescent="0.3">
      <c r="A170" s="127"/>
      <c r="B170" s="140" t="s">
        <v>62</v>
      </c>
      <c r="C170" s="128" t="s">
        <v>100</v>
      </c>
      <c r="D170" s="127" t="s">
        <v>490</v>
      </c>
      <c r="E170" s="138">
        <v>1</v>
      </c>
      <c r="G170" s="127"/>
      <c r="H170" s="127" t="s">
        <v>62</v>
      </c>
      <c r="I170" s="127" t="s">
        <v>100</v>
      </c>
      <c r="J170" s="128" t="s">
        <v>490</v>
      </c>
      <c r="K170" s="134">
        <v>1</v>
      </c>
    </row>
    <row r="171" spans="1:11" ht="18.75" x14ac:dyDescent="0.3">
      <c r="A171" s="127"/>
      <c r="B171" s="140" t="s">
        <v>33</v>
      </c>
      <c r="C171" s="128" t="s">
        <v>68</v>
      </c>
      <c r="D171" s="127" t="s">
        <v>34</v>
      </c>
      <c r="E171" s="138">
        <v>1</v>
      </c>
      <c r="G171" s="127"/>
      <c r="H171" s="127" t="s">
        <v>33</v>
      </c>
      <c r="I171" s="128" t="s">
        <v>68</v>
      </c>
      <c r="J171" s="128" t="s">
        <v>34</v>
      </c>
      <c r="K171" s="134">
        <v>1</v>
      </c>
    </row>
    <row r="172" spans="1:11" ht="18.75" x14ac:dyDescent="0.3">
      <c r="A172" s="127"/>
      <c r="B172" s="140"/>
      <c r="C172" s="128" t="s">
        <v>69</v>
      </c>
      <c r="D172" s="127" t="s">
        <v>34</v>
      </c>
      <c r="E172" s="138">
        <v>1</v>
      </c>
      <c r="G172" s="127"/>
      <c r="H172" s="127"/>
      <c r="I172" s="128" t="s">
        <v>69</v>
      </c>
      <c r="J172" s="128" t="s">
        <v>34</v>
      </c>
      <c r="K172" s="134">
        <v>1</v>
      </c>
    </row>
    <row r="173" spans="1:11" ht="18.75" x14ac:dyDescent="0.3">
      <c r="A173" s="127"/>
      <c r="B173" s="140"/>
      <c r="C173" s="128" t="s">
        <v>87</v>
      </c>
      <c r="D173" s="127" t="s">
        <v>34</v>
      </c>
      <c r="E173" s="138">
        <v>1</v>
      </c>
      <c r="G173" s="127"/>
      <c r="H173" s="127"/>
      <c r="I173" s="128" t="s">
        <v>87</v>
      </c>
      <c r="J173" s="128" t="s">
        <v>34</v>
      </c>
      <c r="K173" s="134">
        <v>1</v>
      </c>
    </row>
    <row r="174" spans="1:11" ht="18.75" x14ac:dyDescent="0.3">
      <c r="A174" s="127"/>
      <c r="B174" s="140"/>
      <c r="C174" s="128" t="s">
        <v>89</v>
      </c>
      <c r="D174" s="127" t="s">
        <v>34</v>
      </c>
      <c r="E174" s="138">
        <v>1</v>
      </c>
      <c r="G174" s="127"/>
      <c r="H174" s="127"/>
      <c r="I174" s="128" t="s">
        <v>89</v>
      </c>
      <c r="J174" s="128" t="s">
        <v>34</v>
      </c>
      <c r="K174" s="134">
        <v>1</v>
      </c>
    </row>
    <row r="175" spans="1:11" ht="18.75" x14ac:dyDescent="0.3">
      <c r="A175" s="127"/>
      <c r="B175" s="140"/>
      <c r="C175" s="127" t="s">
        <v>515</v>
      </c>
      <c r="D175" s="127" t="s">
        <v>34</v>
      </c>
      <c r="E175" s="138">
        <v>1</v>
      </c>
      <c r="G175" s="127"/>
      <c r="H175" s="127"/>
      <c r="I175" s="127" t="s">
        <v>515</v>
      </c>
      <c r="J175" s="127" t="s">
        <v>34</v>
      </c>
      <c r="K175" s="134">
        <v>1</v>
      </c>
    </row>
    <row r="176" spans="1:11" ht="18.75" x14ac:dyDescent="0.3">
      <c r="A176" s="127"/>
      <c r="B176" s="140" t="s">
        <v>51</v>
      </c>
      <c r="C176" s="128" t="s">
        <v>80</v>
      </c>
      <c r="D176" s="127" t="s">
        <v>52</v>
      </c>
      <c r="E176" s="138">
        <v>1</v>
      </c>
      <c r="G176" s="127"/>
      <c r="H176" s="127" t="s">
        <v>51</v>
      </c>
      <c r="I176" s="128" t="s">
        <v>80</v>
      </c>
      <c r="J176" s="128" t="s">
        <v>52</v>
      </c>
      <c r="K176" s="134">
        <v>1</v>
      </c>
    </row>
    <row r="177" spans="1:11" ht="18.75" x14ac:dyDescent="0.3">
      <c r="A177" s="127">
        <v>14</v>
      </c>
      <c r="B177" s="136" t="s">
        <v>60</v>
      </c>
      <c r="C177" s="127" t="s">
        <v>511</v>
      </c>
      <c r="D177" s="127" t="s">
        <v>41</v>
      </c>
      <c r="E177" s="134">
        <v>1</v>
      </c>
      <c r="G177" s="127">
        <v>14</v>
      </c>
      <c r="H177" s="127" t="s">
        <v>60</v>
      </c>
      <c r="I177" s="127" t="s">
        <v>511</v>
      </c>
      <c r="J177" s="127" t="s">
        <v>41</v>
      </c>
      <c r="K177" s="134">
        <v>1</v>
      </c>
    </row>
    <row r="178" spans="1:11" ht="18.75" x14ac:dyDescent="0.3">
      <c r="A178" s="127"/>
      <c r="B178" s="139" t="s">
        <v>485</v>
      </c>
      <c r="C178" s="128" t="s">
        <v>82</v>
      </c>
      <c r="D178" s="127" t="s">
        <v>490</v>
      </c>
      <c r="E178" s="134">
        <v>1</v>
      </c>
      <c r="G178" s="127"/>
      <c r="H178" s="127" t="s">
        <v>485</v>
      </c>
      <c r="I178" s="128" t="s">
        <v>82</v>
      </c>
      <c r="J178" s="128" t="s">
        <v>490</v>
      </c>
      <c r="K178" s="134">
        <v>1</v>
      </c>
    </row>
    <row r="179" spans="1:11" ht="18.75" x14ac:dyDescent="0.3">
      <c r="A179" s="127"/>
      <c r="B179" s="139"/>
      <c r="C179" s="128" t="s">
        <v>83</v>
      </c>
      <c r="D179" s="127" t="s">
        <v>490</v>
      </c>
      <c r="E179" s="134">
        <v>1</v>
      </c>
      <c r="G179" s="127"/>
      <c r="H179" s="127"/>
      <c r="I179" s="128" t="s">
        <v>83</v>
      </c>
      <c r="J179" s="128" t="s">
        <v>490</v>
      </c>
      <c r="K179" s="134">
        <v>1</v>
      </c>
    </row>
    <row r="180" spans="1:11" ht="18.75" x14ac:dyDescent="0.3">
      <c r="A180" s="127"/>
      <c r="B180" s="140" t="s">
        <v>62</v>
      </c>
      <c r="C180" s="128" t="s">
        <v>100</v>
      </c>
      <c r="D180" s="127" t="s">
        <v>490</v>
      </c>
      <c r="E180" s="138">
        <v>1</v>
      </c>
      <c r="G180" s="127"/>
      <c r="H180" s="127" t="s">
        <v>62</v>
      </c>
      <c r="I180" s="127" t="s">
        <v>100</v>
      </c>
      <c r="J180" s="128" t="s">
        <v>490</v>
      </c>
      <c r="K180" s="134">
        <v>1</v>
      </c>
    </row>
    <row r="181" spans="1:11" ht="18.75" x14ac:dyDescent="0.3">
      <c r="A181" s="127"/>
      <c r="B181" s="140" t="s">
        <v>33</v>
      </c>
      <c r="C181" s="128" t="s">
        <v>69</v>
      </c>
      <c r="D181" s="127" t="s">
        <v>34</v>
      </c>
      <c r="E181" s="138">
        <v>1</v>
      </c>
      <c r="G181" s="127"/>
      <c r="H181" s="127" t="s">
        <v>33</v>
      </c>
      <c r="I181" s="128" t="s">
        <v>69</v>
      </c>
      <c r="J181" s="128" t="s">
        <v>34</v>
      </c>
      <c r="K181" s="134">
        <v>1</v>
      </c>
    </row>
    <row r="182" spans="1:11" ht="18.75" x14ac:dyDescent="0.3">
      <c r="A182" s="127"/>
      <c r="B182" s="140"/>
      <c r="C182" s="128" t="s">
        <v>87</v>
      </c>
      <c r="D182" s="127" t="s">
        <v>34</v>
      </c>
      <c r="E182" s="138">
        <v>1</v>
      </c>
      <c r="G182" s="127"/>
      <c r="H182" s="127"/>
      <c r="I182" s="128" t="s">
        <v>87</v>
      </c>
      <c r="J182" s="128" t="s">
        <v>34</v>
      </c>
      <c r="K182" s="134">
        <v>1</v>
      </c>
    </row>
    <row r="183" spans="1:11" ht="18.75" x14ac:dyDescent="0.3">
      <c r="A183" s="127"/>
      <c r="B183" s="140"/>
      <c r="C183" s="128" t="s">
        <v>89</v>
      </c>
      <c r="D183" s="127" t="s">
        <v>34</v>
      </c>
      <c r="E183" s="138">
        <v>1</v>
      </c>
      <c r="G183" s="127"/>
      <c r="H183" s="127"/>
      <c r="I183" s="128" t="s">
        <v>89</v>
      </c>
      <c r="J183" s="128" t="s">
        <v>34</v>
      </c>
      <c r="K183" s="134">
        <v>1</v>
      </c>
    </row>
    <row r="184" spans="1:11" ht="18.75" x14ac:dyDescent="0.3">
      <c r="A184" s="127"/>
      <c r="B184" s="140"/>
      <c r="C184" s="127" t="s">
        <v>515</v>
      </c>
      <c r="D184" s="127" t="s">
        <v>34</v>
      </c>
      <c r="E184" s="138">
        <v>1</v>
      </c>
      <c r="G184" s="127"/>
      <c r="H184" s="127"/>
      <c r="I184" s="127" t="s">
        <v>515</v>
      </c>
      <c r="J184" s="127" t="s">
        <v>34</v>
      </c>
      <c r="K184" s="134">
        <v>1</v>
      </c>
    </row>
    <row r="185" spans="1:11" ht="18.75" x14ac:dyDescent="0.3">
      <c r="A185" s="127"/>
      <c r="B185" s="140" t="s">
        <v>51</v>
      </c>
      <c r="C185" s="128" t="s">
        <v>80</v>
      </c>
      <c r="D185" s="127" t="s">
        <v>52</v>
      </c>
      <c r="E185" s="138">
        <v>1</v>
      </c>
      <c r="G185" s="127"/>
      <c r="H185" s="127" t="s">
        <v>51</v>
      </c>
      <c r="I185" s="128" t="s">
        <v>80</v>
      </c>
      <c r="J185" s="128" t="s">
        <v>52</v>
      </c>
      <c r="K185" s="134">
        <v>1</v>
      </c>
    </row>
    <row r="186" spans="1:11" ht="18.75" x14ac:dyDescent="0.3">
      <c r="A186" s="127">
        <v>15</v>
      </c>
      <c r="B186" s="139" t="s">
        <v>485</v>
      </c>
      <c r="C186" s="128" t="s">
        <v>82</v>
      </c>
      <c r="D186" s="127" t="s">
        <v>490</v>
      </c>
      <c r="E186" s="134">
        <v>1</v>
      </c>
      <c r="G186" s="127">
        <v>15</v>
      </c>
      <c r="H186" s="127" t="s">
        <v>485</v>
      </c>
      <c r="I186" s="128" t="s">
        <v>82</v>
      </c>
      <c r="J186" s="128" t="s">
        <v>490</v>
      </c>
      <c r="K186" s="134">
        <v>1</v>
      </c>
    </row>
    <row r="187" spans="1:11" ht="18.75" x14ac:dyDescent="0.3">
      <c r="A187" s="127"/>
      <c r="B187" s="139"/>
      <c r="C187" s="128" t="s">
        <v>83</v>
      </c>
      <c r="D187" s="127" t="s">
        <v>490</v>
      </c>
      <c r="E187" s="134">
        <v>1</v>
      </c>
      <c r="G187" s="127"/>
      <c r="H187" s="127"/>
      <c r="I187" s="128" t="s">
        <v>83</v>
      </c>
      <c r="J187" s="128" t="s">
        <v>490</v>
      </c>
      <c r="K187" s="134">
        <v>1</v>
      </c>
    </row>
    <row r="188" spans="1:11" ht="18.75" x14ac:dyDescent="0.3">
      <c r="A188" s="127"/>
      <c r="B188" s="140" t="s">
        <v>62</v>
      </c>
      <c r="C188" s="128" t="s">
        <v>100</v>
      </c>
      <c r="D188" s="127" t="s">
        <v>490</v>
      </c>
      <c r="E188" s="138">
        <v>1</v>
      </c>
      <c r="G188" s="127"/>
      <c r="H188" s="127" t="s">
        <v>62</v>
      </c>
      <c r="I188" s="127" t="s">
        <v>100</v>
      </c>
      <c r="J188" s="128" t="s">
        <v>490</v>
      </c>
      <c r="K188" s="134">
        <v>1</v>
      </c>
    </row>
    <row r="189" spans="1:11" ht="18.75" x14ac:dyDescent="0.3">
      <c r="A189" s="127"/>
      <c r="B189" s="140" t="s">
        <v>33</v>
      </c>
      <c r="C189" s="128" t="s">
        <v>69</v>
      </c>
      <c r="D189" s="127" t="s">
        <v>34</v>
      </c>
      <c r="E189" s="138">
        <v>1</v>
      </c>
      <c r="G189" s="127"/>
      <c r="H189" s="127" t="s">
        <v>33</v>
      </c>
      <c r="I189" s="128" t="s">
        <v>69</v>
      </c>
      <c r="J189" s="128" t="s">
        <v>34</v>
      </c>
      <c r="K189" s="134">
        <v>1</v>
      </c>
    </row>
    <row r="190" spans="1:11" ht="18.75" x14ac:dyDescent="0.3">
      <c r="A190" s="127"/>
      <c r="B190" s="140"/>
      <c r="C190" s="128" t="s">
        <v>87</v>
      </c>
      <c r="D190" s="127" t="s">
        <v>34</v>
      </c>
      <c r="E190" s="138">
        <v>1</v>
      </c>
      <c r="G190" s="127"/>
      <c r="H190" s="127"/>
      <c r="I190" s="128" t="s">
        <v>87</v>
      </c>
      <c r="J190" s="128" t="s">
        <v>34</v>
      </c>
      <c r="K190" s="134">
        <v>1</v>
      </c>
    </row>
    <row r="191" spans="1:11" ht="18.75" x14ac:dyDescent="0.3">
      <c r="A191" s="127"/>
      <c r="B191" s="140"/>
      <c r="C191" s="128" t="s">
        <v>89</v>
      </c>
      <c r="D191" s="127" t="s">
        <v>34</v>
      </c>
      <c r="E191" s="138">
        <v>1</v>
      </c>
      <c r="G191" s="127"/>
      <c r="H191" s="127"/>
      <c r="I191" s="128" t="s">
        <v>89</v>
      </c>
      <c r="J191" s="128" t="s">
        <v>34</v>
      </c>
      <c r="K191" s="134">
        <v>1</v>
      </c>
    </row>
    <row r="192" spans="1:11" ht="18.75" x14ac:dyDescent="0.3">
      <c r="A192" s="127"/>
      <c r="B192" s="140"/>
      <c r="C192" s="127" t="s">
        <v>515</v>
      </c>
      <c r="D192" s="127" t="s">
        <v>34</v>
      </c>
      <c r="E192" s="138">
        <v>1</v>
      </c>
      <c r="G192" s="127"/>
      <c r="H192" s="127"/>
      <c r="I192" s="127" t="s">
        <v>515</v>
      </c>
      <c r="J192" s="127" t="s">
        <v>34</v>
      </c>
      <c r="K192" s="134">
        <v>1</v>
      </c>
    </row>
    <row r="193" spans="1:11" ht="18.75" x14ac:dyDescent="0.3">
      <c r="A193" s="127"/>
      <c r="B193" s="140" t="s">
        <v>51</v>
      </c>
      <c r="C193" s="128" t="s">
        <v>80</v>
      </c>
      <c r="D193" s="127" t="s">
        <v>52</v>
      </c>
      <c r="E193" s="138">
        <v>1</v>
      </c>
      <c r="G193" s="127"/>
      <c r="H193" s="127" t="s">
        <v>51</v>
      </c>
      <c r="I193" s="128" t="s">
        <v>80</v>
      </c>
      <c r="J193" s="128" t="s">
        <v>52</v>
      </c>
      <c r="K193" s="134">
        <v>1</v>
      </c>
    </row>
    <row r="194" spans="1:11" ht="18.75" x14ac:dyDescent="0.3">
      <c r="A194" s="127">
        <v>16</v>
      </c>
      <c r="B194" s="139" t="s">
        <v>485</v>
      </c>
      <c r="C194" s="128" t="s">
        <v>82</v>
      </c>
      <c r="D194" s="127" t="s">
        <v>490</v>
      </c>
      <c r="E194" s="134">
        <v>1</v>
      </c>
      <c r="G194" s="127">
        <v>16</v>
      </c>
      <c r="H194" s="127" t="s">
        <v>485</v>
      </c>
      <c r="I194" s="128" t="s">
        <v>82</v>
      </c>
      <c r="J194" s="128" t="s">
        <v>490</v>
      </c>
      <c r="K194" s="134">
        <v>1</v>
      </c>
    </row>
    <row r="195" spans="1:11" ht="18.75" x14ac:dyDescent="0.3">
      <c r="A195" s="127"/>
      <c r="B195" s="139"/>
      <c r="C195" s="128" t="s">
        <v>83</v>
      </c>
      <c r="D195" s="127" t="s">
        <v>490</v>
      </c>
      <c r="E195" s="134">
        <v>1</v>
      </c>
      <c r="G195" s="127"/>
      <c r="H195" s="127"/>
      <c r="I195" s="128" t="s">
        <v>83</v>
      </c>
      <c r="J195" s="128" t="s">
        <v>490</v>
      </c>
      <c r="K195" s="134">
        <v>1</v>
      </c>
    </row>
    <row r="196" spans="1:11" ht="18.75" x14ac:dyDescent="0.3">
      <c r="A196" s="127"/>
      <c r="B196" s="140" t="s">
        <v>62</v>
      </c>
      <c r="C196" s="128" t="s">
        <v>100</v>
      </c>
      <c r="D196" s="127" t="s">
        <v>490</v>
      </c>
      <c r="E196" s="138">
        <v>1</v>
      </c>
      <c r="G196" s="127"/>
      <c r="H196" s="127" t="s">
        <v>62</v>
      </c>
      <c r="I196" s="127" t="s">
        <v>100</v>
      </c>
      <c r="J196" s="128" t="s">
        <v>490</v>
      </c>
      <c r="K196" s="134">
        <v>1</v>
      </c>
    </row>
    <row r="197" spans="1:11" ht="18.75" x14ac:dyDescent="0.3">
      <c r="A197" s="127"/>
      <c r="B197" s="140"/>
      <c r="C197" s="128" t="s">
        <v>119</v>
      </c>
      <c r="D197" s="127" t="s">
        <v>34</v>
      </c>
      <c r="E197" s="138">
        <v>1</v>
      </c>
      <c r="G197" s="127"/>
      <c r="H197" s="127"/>
      <c r="I197" s="128" t="s">
        <v>119</v>
      </c>
      <c r="J197" s="128" t="s">
        <v>34</v>
      </c>
      <c r="K197" s="134">
        <v>1</v>
      </c>
    </row>
    <row r="198" spans="1:11" ht="18.75" x14ac:dyDescent="0.3">
      <c r="A198" s="127"/>
      <c r="B198" s="140" t="s">
        <v>33</v>
      </c>
      <c r="C198" s="128" t="s">
        <v>68</v>
      </c>
      <c r="D198" s="127" t="s">
        <v>34</v>
      </c>
      <c r="E198" s="138">
        <v>1</v>
      </c>
      <c r="G198" s="127"/>
      <c r="H198" s="127" t="s">
        <v>33</v>
      </c>
      <c r="I198" s="128" t="s">
        <v>68</v>
      </c>
      <c r="J198" s="128" t="s">
        <v>34</v>
      </c>
      <c r="K198" s="134">
        <v>1</v>
      </c>
    </row>
    <row r="199" spans="1:11" ht="18.75" x14ac:dyDescent="0.3">
      <c r="A199" s="127"/>
      <c r="B199" s="140"/>
      <c r="C199" s="128" t="s">
        <v>87</v>
      </c>
      <c r="D199" s="127" t="s">
        <v>34</v>
      </c>
      <c r="E199" s="138">
        <v>1</v>
      </c>
      <c r="G199" s="127"/>
      <c r="H199" s="127"/>
      <c r="I199" s="128" t="s">
        <v>87</v>
      </c>
      <c r="J199" s="128" t="s">
        <v>34</v>
      </c>
      <c r="K199" s="134">
        <v>1</v>
      </c>
    </row>
    <row r="200" spans="1:11" ht="18.75" x14ac:dyDescent="0.3">
      <c r="A200" s="127"/>
      <c r="B200" s="140"/>
      <c r="C200" s="127" t="s">
        <v>515</v>
      </c>
      <c r="D200" s="127" t="s">
        <v>34</v>
      </c>
      <c r="E200" s="138">
        <v>1</v>
      </c>
      <c r="G200" s="127"/>
      <c r="H200" s="127"/>
      <c r="I200" s="127" t="s">
        <v>515</v>
      </c>
      <c r="J200" s="127" t="s">
        <v>34</v>
      </c>
      <c r="K200" s="134">
        <v>1</v>
      </c>
    </row>
    <row r="201" spans="1:11" ht="18.75" x14ac:dyDescent="0.3">
      <c r="A201" s="127"/>
      <c r="B201" s="140" t="s">
        <v>51</v>
      </c>
      <c r="C201" s="128" t="s">
        <v>80</v>
      </c>
      <c r="D201" s="127" t="s">
        <v>52</v>
      </c>
      <c r="E201" s="138">
        <v>1</v>
      </c>
      <c r="G201" s="127"/>
      <c r="H201" s="127" t="s">
        <v>51</v>
      </c>
      <c r="I201" s="128" t="s">
        <v>80</v>
      </c>
      <c r="J201" s="128" t="s">
        <v>52</v>
      </c>
      <c r="K201" s="134">
        <v>1</v>
      </c>
    </row>
    <row r="202" spans="1:11" ht="18.75" x14ac:dyDescent="0.3">
      <c r="A202" s="127">
        <v>17</v>
      </c>
      <c r="B202" s="139" t="s">
        <v>485</v>
      </c>
      <c r="C202" s="128" t="s">
        <v>82</v>
      </c>
      <c r="D202" s="127" t="s">
        <v>490</v>
      </c>
      <c r="E202" s="134">
        <v>1</v>
      </c>
      <c r="G202" s="127">
        <v>17</v>
      </c>
      <c r="H202" s="127" t="s">
        <v>485</v>
      </c>
      <c r="I202" s="128" t="s">
        <v>82</v>
      </c>
      <c r="J202" s="128" t="s">
        <v>490</v>
      </c>
      <c r="K202" s="134">
        <v>1</v>
      </c>
    </row>
    <row r="203" spans="1:11" ht="18.75" x14ac:dyDescent="0.3">
      <c r="A203" s="127"/>
      <c r="B203" s="139"/>
      <c r="C203" s="128" t="s">
        <v>83</v>
      </c>
      <c r="D203" s="127" t="s">
        <v>490</v>
      </c>
      <c r="E203" s="134">
        <v>1</v>
      </c>
      <c r="G203" s="127"/>
      <c r="H203" s="127"/>
      <c r="I203" s="128" t="s">
        <v>83</v>
      </c>
      <c r="J203" s="128" t="s">
        <v>490</v>
      </c>
      <c r="K203" s="134">
        <v>1</v>
      </c>
    </row>
    <row r="204" spans="1:11" ht="18.75" x14ac:dyDescent="0.3">
      <c r="A204" s="127"/>
      <c r="B204" s="140" t="s">
        <v>62</v>
      </c>
      <c r="C204" s="128" t="s">
        <v>99</v>
      </c>
      <c r="D204" s="127" t="s">
        <v>490</v>
      </c>
      <c r="E204" s="138">
        <v>1</v>
      </c>
      <c r="G204" s="127"/>
      <c r="H204" s="127" t="s">
        <v>62</v>
      </c>
      <c r="I204" s="128" t="s">
        <v>99</v>
      </c>
      <c r="J204" s="128" t="s">
        <v>490</v>
      </c>
      <c r="K204" s="134">
        <v>1</v>
      </c>
    </row>
    <row r="205" spans="1:11" ht="18.75" x14ac:dyDescent="0.3">
      <c r="A205" s="127"/>
      <c r="B205" s="140" t="s">
        <v>33</v>
      </c>
      <c r="C205" s="128" t="s">
        <v>68</v>
      </c>
      <c r="D205" s="127" t="s">
        <v>34</v>
      </c>
      <c r="E205" s="138">
        <v>1</v>
      </c>
      <c r="G205" s="127"/>
      <c r="H205" s="127" t="s">
        <v>33</v>
      </c>
      <c r="I205" s="128" t="s">
        <v>68</v>
      </c>
      <c r="J205" s="128" t="s">
        <v>34</v>
      </c>
      <c r="K205" s="134">
        <v>1</v>
      </c>
    </row>
    <row r="206" spans="1:11" ht="18.75" x14ac:dyDescent="0.3">
      <c r="A206" s="127"/>
      <c r="B206" s="140"/>
      <c r="C206" s="128" t="s">
        <v>87</v>
      </c>
      <c r="D206" s="127" t="s">
        <v>34</v>
      </c>
      <c r="E206" s="138">
        <v>1</v>
      </c>
      <c r="G206" s="127"/>
      <c r="H206" s="127"/>
      <c r="I206" s="128" t="s">
        <v>87</v>
      </c>
      <c r="J206" s="128" t="s">
        <v>34</v>
      </c>
      <c r="K206" s="134">
        <v>1</v>
      </c>
    </row>
    <row r="207" spans="1:11" ht="18.75" x14ac:dyDescent="0.3">
      <c r="A207" s="127"/>
      <c r="B207" s="140"/>
      <c r="C207" s="128" t="s">
        <v>120</v>
      </c>
      <c r="D207" s="127" t="s">
        <v>34</v>
      </c>
      <c r="E207" s="138">
        <v>1</v>
      </c>
      <c r="G207" s="127"/>
      <c r="H207" s="127"/>
      <c r="I207" s="128" t="s">
        <v>120</v>
      </c>
      <c r="J207" s="128" t="s">
        <v>34</v>
      </c>
      <c r="K207" s="134">
        <v>1</v>
      </c>
    </row>
    <row r="208" spans="1:11" ht="18.75" x14ac:dyDescent="0.3">
      <c r="A208" s="127"/>
      <c r="B208" s="140"/>
      <c r="C208" s="127" t="s">
        <v>515</v>
      </c>
      <c r="D208" s="127" t="s">
        <v>34</v>
      </c>
      <c r="E208" s="138">
        <v>1</v>
      </c>
      <c r="G208" s="127"/>
      <c r="H208" s="127"/>
      <c r="I208" s="127" t="s">
        <v>515</v>
      </c>
      <c r="J208" s="127" t="s">
        <v>34</v>
      </c>
      <c r="K208" s="134">
        <v>1</v>
      </c>
    </row>
    <row r="209" spans="1:11" ht="18.75" x14ac:dyDescent="0.3">
      <c r="A209" s="127"/>
      <c r="B209" s="140" t="s">
        <v>51</v>
      </c>
      <c r="C209" s="128" t="s">
        <v>80</v>
      </c>
      <c r="D209" s="127" t="s">
        <v>52</v>
      </c>
      <c r="E209" s="138">
        <v>1</v>
      </c>
      <c r="G209" s="127"/>
      <c r="H209" s="127" t="s">
        <v>51</v>
      </c>
      <c r="I209" s="128" t="s">
        <v>80</v>
      </c>
      <c r="J209" s="128" t="s">
        <v>52</v>
      </c>
      <c r="K209" s="134">
        <v>1</v>
      </c>
    </row>
    <row r="210" spans="1:11" ht="18.75" x14ac:dyDescent="0.3">
      <c r="A210" s="127">
        <v>18</v>
      </c>
      <c r="B210" s="139" t="s">
        <v>485</v>
      </c>
      <c r="C210" s="128" t="s">
        <v>82</v>
      </c>
      <c r="D210" s="127" t="s">
        <v>490</v>
      </c>
      <c r="E210" s="134">
        <v>1</v>
      </c>
      <c r="G210" s="127">
        <v>18</v>
      </c>
      <c r="H210" s="127" t="s">
        <v>485</v>
      </c>
      <c r="I210" s="128" t="s">
        <v>82</v>
      </c>
      <c r="J210" s="128" t="s">
        <v>490</v>
      </c>
      <c r="K210" s="134">
        <v>1</v>
      </c>
    </row>
    <row r="211" spans="1:11" ht="18.75" x14ac:dyDescent="0.3">
      <c r="A211" s="127"/>
      <c r="B211" s="139"/>
      <c r="C211" s="128" t="s">
        <v>83</v>
      </c>
      <c r="D211" s="127" t="s">
        <v>490</v>
      </c>
      <c r="E211" s="134">
        <v>1</v>
      </c>
      <c r="G211" s="127"/>
      <c r="H211" s="127"/>
      <c r="I211" s="128" t="s">
        <v>83</v>
      </c>
      <c r="J211" s="128" t="s">
        <v>490</v>
      </c>
      <c r="K211" s="134">
        <v>1</v>
      </c>
    </row>
    <row r="212" spans="1:11" ht="18.75" x14ac:dyDescent="0.3">
      <c r="A212" s="127"/>
      <c r="B212" s="140" t="s">
        <v>62</v>
      </c>
      <c r="C212" s="128" t="s">
        <v>99</v>
      </c>
      <c r="D212" s="127" t="s">
        <v>490</v>
      </c>
      <c r="E212" s="138">
        <v>1</v>
      </c>
      <c r="G212" s="127"/>
      <c r="H212" s="127" t="s">
        <v>62</v>
      </c>
      <c r="I212" s="128" t="s">
        <v>99</v>
      </c>
      <c r="J212" s="128" t="s">
        <v>490</v>
      </c>
      <c r="K212" s="134">
        <v>1</v>
      </c>
    </row>
    <row r="213" spans="1:11" ht="18.75" x14ac:dyDescent="0.3">
      <c r="A213" s="127"/>
      <c r="B213" s="140" t="s">
        <v>33</v>
      </c>
      <c r="C213" s="128" t="s">
        <v>87</v>
      </c>
      <c r="D213" s="127" t="s">
        <v>34</v>
      </c>
      <c r="E213" s="138">
        <v>1</v>
      </c>
      <c r="G213" s="127"/>
      <c r="H213" s="127" t="s">
        <v>33</v>
      </c>
      <c r="I213" s="128" t="s">
        <v>87</v>
      </c>
      <c r="J213" s="128" t="s">
        <v>34</v>
      </c>
      <c r="K213" s="134">
        <v>1</v>
      </c>
    </row>
    <row r="214" spans="1:11" ht="18.75" x14ac:dyDescent="0.3">
      <c r="A214" s="127"/>
      <c r="B214" s="140"/>
      <c r="C214" s="128" t="s">
        <v>120</v>
      </c>
      <c r="D214" s="127" t="s">
        <v>34</v>
      </c>
      <c r="E214" s="138">
        <v>1</v>
      </c>
      <c r="G214" s="127"/>
      <c r="H214" s="127"/>
      <c r="I214" s="128" t="s">
        <v>120</v>
      </c>
      <c r="J214" s="128" t="s">
        <v>34</v>
      </c>
      <c r="K214" s="134">
        <v>1</v>
      </c>
    </row>
    <row r="215" spans="1:11" ht="18.75" x14ac:dyDescent="0.3">
      <c r="A215" s="127"/>
      <c r="B215" s="140"/>
      <c r="C215" s="127" t="s">
        <v>515</v>
      </c>
      <c r="D215" s="127" t="s">
        <v>34</v>
      </c>
      <c r="E215" s="138">
        <v>1</v>
      </c>
      <c r="G215" s="127"/>
      <c r="H215" s="127"/>
      <c r="I215" s="127" t="s">
        <v>515</v>
      </c>
      <c r="J215" s="127" t="s">
        <v>34</v>
      </c>
      <c r="K215" s="134">
        <v>1</v>
      </c>
    </row>
    <row r="216" spans="1:11" ht="18.75" x14ac:dyDescent="0.3">
      <c r="A216" s="127"/>
      <c r="B216" s="140" t="s">
        <v>51</v>
      </c>
      <c r="C216" s="128" t="s">
        <v>80</v>
      </c>
      <c r="D216" s="127" t="s">
        <v>52</v>
      </c>
      <c r="E216" s="138">
        <v>1</v>
      </c>
      <c r="G216" s="127"/>
      <c r="H216" s="127" t="s">
        <v>51</v>
      </c>
      <c r="I216" s="128" t="s">
        <v>80</v>
      </c>
      <c r="J216" s="128" t="s">
        <v>52</v>
      </c>
      <c r="K216" s="134">
        <v>1</v>
      </c>
    </row>
    <row r="217" spans="1:11" ht="18.75" x14ac:dyDescent="0.3">
      <c r="A217" s="127">
        <v>19</v>
      </c>
      <c r="B217" s="139" t="s">
        <v>485</v>
      </c>
      <c r="C217" s="128" t="s">
        <v>82</v>
      </c>
      <c r="D217" s="127" t="s">
        <v>490</v>
      </c>
      <c r="E217" s="134">
        <v>1</v>
      </c>
      <c r="G217" s="127">
        <v>19</v>
      </c>
      <c r="H217" s="127" t="s">
        <v>485</v>
      </c>
      <c r="I217" s="128" t="s">
        <v>82</v>
      </c>
      <c r="J217" s="128" t="s">
        <v>490</v>
      </c>
      <c r="K217" s="134">
        <v>1</v>
      </c>
    </row>
    <row r="218" spans="1:11" ht="18.75" x14ac:dyDescent="0.3">
      <c r="A218" s="127"/>
      <c r="B218" s="139"/>
      <c r="C218" s="128" t="s">
        <v>83</v>
      </c>
      <c r="D218" s="127" t="s">
        <v>490</v>
      </c>
      <c r="E218" s="134">
        <v>1</v>
      </c>
      <c r="G218" s="127"/>
      <c r="H218" s="127"/>
      <c r="I218" s="128" t="s">
        <v>83</v>
      </c>
      <c r="J218" s="128" t="s">
        <v>490</v>
      </c>
      <c r="K218" s="134">
        <v>1</v>
      </c>
    </row>
    <row r="219" spans="1:11" ht="18.75" x14ac:dyDescent="0.3">
      <c r="A219" s="127"/>
      <c r="B219" s="140" t="s">
        <v>62</v>
      </c>
      <c r="C219" s="128" t="s">
        <v>99</v>
      </c>
      <c r="D219" s="127" t="s">
        <v>490</v>
      </c>
      <c r="E219" s="138">
        <v>1</v>
      </c>
      <c r="G219" s="127"/>
      <c r="H219" s="127" t="s">
        <v>62</v>
      </c>
      <c r="I219" s="128" t="s">
        <v>99</v>
      </c>
      <c r="J219" s="128" t="s">
        <v>490</v>
      </c>
      <c r="K219" s="134">
        <v>1</v>
      </c>
    </row>
    <row r="220" spans="1:11" ht="18.75" x14ac:dyDescent="0.3">
      <c r="A220" s="127"/>
      <c r="B220" s="140" t="s">
        <v>33</v>
      </c>
      <c r="C220" s="128" t="s">
        <v>87</v>
      </c>
      <c r="D220" s="127" t="s">
        <v>34</v>
      </c>
      <c r="E220" s="138">
        <v>1</v>
      </c>
      <c r="G220" s="127"/>
      <c r="H220" s="127" t="s">
        <v>33</v>
      </c>
      <c r="I220" s="128" t="s">
        <v>87</v>
      </c>
      <c r="J220" s="128" t="s">
        <v>34</v>
      </c>
      <c r="K220" s="134">
        <v>1</v>
      </c>
    </row>
    <row r="221" spans="1:11" ht="18.75" x14ac:dyDescent="0.3">
      <c r="A221" s="127"/>
      <c r="B221" s="140"/>
      <c r="C221" s="128" t="s">
        <v>120</v>
      </c>
      <c r="D221" s="127" t="s">
        <v>34</v>
      </c>
      <c r="E221" s="138">
        <v>1</v>
      </c>
      <c r="G221" s="127"/>
      <c r="H221" s="127"/>
      <c r="I221" s="128" t="s">
        <v>120</v>
      </c>
      <c r="J221" s="128" t="s">
        <v>34</v>
      </c>
      <c r="K221" s="134">
        <v>1</v>
      </c>
    </row>
    <row r="222" spans="1:11" ht="18.75" x14ac:dyDescent="0.3">
      <c r="A222" s="127"/>
      <c r="B222" s="140"/>
      <c r="C222" s="127" t="s">
        <v>515</v>
      </c>
      <c r="D222" s="127" t="s">
        <v>34</v>
      </c>
      <c r="E222" s="138">
        <v>1</v>
      </c>
      <c r="G222" s="127"/>
      <c r="H222" s="127"/>
      <c r="I222" s="127" t="s">
        <v>515</v>
      </c>
      <c r="J222" s="127" t="s">
        <v>34</v>
      </c>
      <c r="K222" s="134">
        <v>1</v>
      </c>
    </row>
    <row r="223" spans="1:11" ht="18.75" x14ac:dyDescent="0.3">
      <c r="A223" s="127"/>
      <c r="B223" s="140" t="s">
        <v>51</v>
      </c>
      <c r="C223" s="128" t="s">
        <v>80</v>
      </c>
      <c r="D223" s="127" t="s">
        <v>52</v>
      </c>
      <c r="E223" s="138">
        <v>1</v>
      </c>
      <c r="G223" s="127"/>
      <c r="H223" s="127" t="s">
        <v>51</v>
      </c>
      <c r="I223" s="128" t="s">
        <v>80</v>
      </c>
      <c r="J223" s="128" t="s">
        <v>52</v>
      </c>
      <c r="K223" s="134">
        <v>1</v>
      </c>
    </row>
    <row r="224" spans="1:11" ht="18.75" x14ac:dyDescent="0.3">
      <c r="A224" s="127">
        <v>20</v>
      </c>
      <c r="B224" s="139" t="s">
        <v>485</v>
      </c>
      <c r="C224" s="128" t="s">
        <v>82</v>
      </c>
      <c r="D224" s="127" t="s">
        <v>490</v>
      </c>
      <c r="E224" s="134">
        <v>1</v>
      </c>
      <c r="G224" s="127">
        <v>20</v>
      </c>
      <c r="H224" s="127" t="s">
        <v>485</v>
      </c>
      <c r="I224" s="128" t="s">
        <v>82</v>
      </c>
      <c r="J224" s="128" t="s">
        <v>490</v>
      </c>
      <c r="K224" s="134">
        <v>1</v>
      </c>
    </row>
    <row r="225" spans="1:11" ht="18.75" x14ac:dyDescent="0.3">
      <c r="A225" s="127"/>
      <c r="B225" s="139"/>
      <c r="C225" s="128" t="s">
        <v>83</v>
      </c>
      <c r="D225" s="127" t="s">
        <v>490</v>
      </c>
      <c r="E225" s="134">
        <v>1</v>
      </c>
      <c r="G225" s="127"/>
      <c r="H225" s="127"/>
      <c r="I225" s="128" t="s">
        <v>83</v>
      </c>
      <c r="J225" s="128" t="s">
        <v>490</v>
      </c>
      <c r="K225" s="134">
        <v>1</v>
      </c>
    </row>
    <row r="226" spans="1:11" ht="18.75" x14ac:dyDescent="0.3">
      <c r="A226" s="127"/>
      <c r="B226" s="140" t="s">
        <v>62</v>
      </c>
      <c r="C226" s="128" t="s">
        <v>99</v>
      </c>
      <c r="D226" s="127" t="s">
        <v>490</v>
      </c>
      <c r="E226" s="138">
        <v>1</v>
      </c>
      <c r="G226" s="127"/>
      <c r="H226" s="127" t="s">
        <v>62</v>
      </c>
      <c r="I226" s="128" t="s">
        <v>99</v>
      </c>
      <c r="J226" s="128" t="s">
        <v>490</v>
      </c>
      <c r="K226" s="134">
        <v>1</v>
      </c>
    </row>
    <row r="227" spans="1:11" ht="18.75" x14ac:dyDescent="0.3">
      <c r="A227" s="127"/>
      <c r="B227" s="140" t="s">
        <v>33</v>
      </c>
      <c r="C227" s="128" t="s">
        <v>120</v>
      </c>
      <c r="D227" s="127" t="s">
        <v>34</v>
      </c>
      <c r="E227" s="138">
        <v>1</v>
      </c>
      <c r="G227" s="127"/>
      <c r="H227" s="127" t="s">
        <v>33</v>
      </c>
      <c r="I227" s="128" t="s">
        <v>120</v>
      </c>
      <c r="J227" s="128" t="s">
        <v>34</v>
      </c>
      <c r="K227" s="134">
        <v>1</v>
      </c>
    </row>
    <row r="228" spans="1:11" ht="18.75" x14ac:dyDescent="0.3">
      <c r="A228" s="127"/>
      <c r="B228" s="140"/>
      <c r="C228" s="127" t="s">
        <v>515</v>
      </c>
      <c r="D228" s="127" t="s">
        <v>34</v>
      </c>
      <c r="E228" s="138">
        <v>1</v>
      </c>
      <c r="G228" s="127"/>
      <c r="H228" s="127"/>
      <c r="I228" s="127" t="s">
        <v>515</v>
      </c>
      <c r="J228" s="127" t="s">
        <v>34</v>
      </c>
      <c r="K228" s="134">
        <v>1</v>
      </c>
    </row>
    <row r="229" spans="1:11" ht="18.75" x14ac:dyDescent="0.3">
      <c r="A229" s="127"/>
      <c r="B229" s="140" t="s">
        <v>51</v>
      </c>
      <c r="C229" s="128" t="s">
        <v>80</v>
      </c>
      <c r="D229" s="127" t="s">
        <v>52</v>
      </c>
      <c r="E229" s="138">
        <v>1</v>
      </c>
      <c r="G229" s="127"/>
      <c r="H229" s="127" t="s">
        <v>51</v>
      </c>
      <c r="I229" s="128" t="s">
        <v>80</v>
      </c>
      <c r="J229" s="128" t="s">
        <v>52</v>
      </c>
      <c r="K229" s="134">
        <v>1</v>
      </c>
    </row>
    <row r="230" spans="1:11" ht="18.75" x14ac:dyDescent="0.3">
      <c r="A230" s="127">
        <v>21</v>
      </c>
      <c r="B230" s="139" t="s">
        <v>485</v>
      </c>
      <c r="C230" s="128" t="s">
        <v>82</v>
      </c>
      <c r="D230" s="127" t="s">
        <v>490</v>
      </c>
      <c r="E230" s="134">
        <v>1</v>
      </c>
      <c r="G230" s="127">
        <v>21</v>
      </c>
      <c r="H230" s="127" t="s">
        <v>485</v>
      </c>
      <c r="I230" s="128" t="s">
        <v>82</v>
      </c>
      <c r="J230" s="128" t="s">
        <v>490</v>
      </c>
      <c r="K230" s="134">
        <v>1</v>
      </c>
    </row>
    <row r="231" spans="1:11" ht="18.75" x14ac:dyDescent="0.3">
      <c r="A231" s="127"/>
      <c r="B231" s="139"/>
      <c r="C231" s="128" t="s">
        <v>83</v>
      </c>
      <c r="D231" s="127" t="s">
        <v>490</v>
      </c>
      <c r="E231" s="134">
        <v>1</v>
      </c>
      <c r="G231" s="127"/>
      <c r="H231" s="127"/>
      <c r="I231" s="128" t="s">
        <v>83</v>
      </c>
      <c r="J231" s="128" t="s">
        <v>490</v>
      </c>
      <c r="K231" s="134">
        <v>1</v>
      </c>
    </row>
    <row r="232" spans="1:11" ht="18.75" x14ac:dyDescent="0.3">
      <c r="A232" s="127"/>
      <c r="B232" s="140" t="s">
        <v>62</v>
      </c>
      <c r="C232" s="128" t="s">
        <v>99</v>
      </c>
      <c r="D232" s="127" t="s">
        <v>490</v>
      </c>
      <c r="E232" s="138">
        <v>1</v>
      </c>
      <c r="G232" s="127"/>
      <c r="H232" s="127" t="s">
        <v>62</v>
      </c>
      <c r="I232" s="128" t="s">
        <v>99</v>
      </c>
      <c r="J232" s="128" t="s">
        <v>490</v>
      </c>
      <c r="K232" s="134">
        <v>1</v>
      </c>
    </row>
    <row r="233" spans="1:11" ht="18.75" x14ac:dyDescent="0.3">
      <c r="A233" s="127"/>
      <c r="B233" s="140" t="s">
        <v>33</v>
      </c>
      <c r="C233" s="128" t="s">
        <v>120</v>
      </c>
      <c r="D233" s="127" t="s">
        <v>34</v>
      </c>
      <c r="E233" s="138">
        <v>1</v>
      </c>
      <c r="G233" s="127"/>
      <c r="H233" s="127" t="s">
        <v>33</v>
      </c>
      <c r="I233" s="128" t="s">
        <v>120</v>
      </c>
      <c r="J233" s="128" t="s">
        <v>34</v>
      </c>
      <c r="K233" s="134">
        <v>1</v>
      </c>
    </row>
    <row r="234" spans="1:11" ht="18.75" x14ac:dyDescent="0.3">
      <c r="A234" s="127"/>
      <c r="B234" s="140"/>
      <c r="C234" s="127" t="s">
        <v>515</v>
      </c>
      <c r="D234" s="127" t="s">
        <v>34</v>
      </c>
      <c r="E234" s="138">
        <v>1</v>
      </c>
      <c r="G234" s="127"/>
      <c r="H234" s="127"/>
      <c r="I234" s="127" t="s">
        <v>515</v>
      </c>
      <c r="J234" s="127" t="s">
        <v>34</v>
      </c>
      <c r="K234" s="134">
        <v>1</v>
      </c>
    </row>
    <row r="235" spans="1:11" ht="18.75" x14ac:dyDescent="0.3">
      <c r="A235" s="127"/>
      <c r="B235" s="140" t="s">
        <v>51</v>
      </c>
      <c r="C235" s="128" t="s">
        <v>80</v>
      </c>
      <c r="D235" s="127" t="s">
        <v>52</v>
      </c>
      <c r="E235" s="138">
        <v>1</v>
      </c>
      <c r="G235" s="127"/>
      <c r="H235" s="127" t="s">
        <v>51</v>
      </c>
      <c r="I235" s="128" t="s">
        <v>80</v>
      </c>
      <c r="J235" s="128" t="s">
        <v>52</v>
      </c>
      <c r="K235" s="134">
        <v>1</v>
      </c>
    </row>
    <row r="236" spans="1:11" ht="18.75" x14ac:dyDescent="0.3">
      <c r="A236" s="127">
        <v>22</v>
      </c>
      <c r="B236" s="139" t="s">
        <v>485</v>
      </c>
      <c r="C236" s="128" t="s">
        <v>82</v>
      </c>
      <c r="D236" s="127" t="s">
        <v>490</v>
      </c>
      <c r="E236" s="134">
        <v>1</v>
      </c>
      <c r="G236" s="127">
        <v>22</v>
      </c>
      <c r="H236" s="127" t="s">
        <v>485</v>
      </c>
      <c r="I236" s="128" t="s">
        <v>82</v>
      </c>
      <c r="J236" s="128" t="s">
        <v>490</v>
      </c>
      <c r="K236" s="134">
        <v>1</v>
      </c>
    </row>
    <row r="237" spans="1:11" ht="18.75" x14ac:dyDescent="0.3">
      <c r="A237" s="127"/>
      <c r="B237" s="139"/>
      <c r="C237" s="128" t="s">
        <v>83</v>
      </c>
      <c r="D237" s="127" t="s">
        <v>490</v>
      </c>
      <c r="E237" s="134">
        <v>1</v>
      </c>
      <c r="G237" s="127"/>
      <c r="H237" s="127"/>
      <c r="I237" s="128" t="s">
        <v>83</v>
      </c>
      <c r="J237" s="128" t="s">
        <v>490</v>
      </c>
      <c r="K237" s="134">
        <v>1</v>
      </c>
    </row>
    <row r="238" spans="1:11" ht="18.75" x14ac:dyDescent="0.3">
      <c r="A238" s="127"/>
      <c r="B238" s="140" t="s">
        <v>62</v>
      </c>
      <c r="C238" s="128" t="s">
        <v>99</v>
      </c>
      <c r="D238" s="127" t="s">
        <v>490</v>
      </c>
      <c r="E238" s="138">
        <v>1</v>
      </c>
      <c r="G238" s="127"/>
      <c r="H238" s="127" t="s">
        <v>62</v>
      </c>
      <c r="I238" s="128" t="s">
        <v>99</v>
      </c>
      <c r="J238" s="128" t="s">
        <v>490</v>
      </c>
      <c r="K238" s="134">
        <v>1</v>
      </c>
    </row>
    <row r="239" spans="1:11" ht="18.75" x14ac:dyDescent="0.3">
      <c r="A239" s="127"/>
      <c r="B239" s="140" t="s">
        <v>33</v>
      </c>
      <c r="C239" s="128" t="s">
        <v>120</v>
      </c>
      <c r="D239" s="127" t="s">
        <v>34</v>
      </c>
      <c r="E239" s="138">
        <v>1</v>
      </c>
      <c r="G239" s="127"/>
      <c r="H239" s="127" t="s">
        <v>33</v>
      </c>
      <c r="I239" s="128" t="s">
        <v>120</v>
      </c>
      <c r="J239" s="128" t="s">
        <v>34</v>
      </c>
      <c r="K239" s="134">
        <v>1</v>
      </c>
    </row>
    <row r="240" spans="1:11" ht="18.75" x14ac:dyDescent="0.3">
      <c r="A240" s="127"/>
      <c r="B240" s="140"/>
      <c r="C240" s="127" t="s">
        <v>515</v>
      </c>
      <c r="D240" s="127" t="s">
        <v>34</v>
      </c>
      <c r="E240" s="138">
        <v>1</v>
      </c>
      <c r="G240" s="127"/>
      <c r="H240" s="127"/>
      <c r="I240" s="127" t="s">
        <v>515</v>
      </c>
      <c r="J240" s="127" t="s">
        <v>34</v>
      </c>
      <c r="K240" s="134">
        <v>1</v>
      </c>
    </row>
    <row r="241" spans="1:11" ht="18.75" x14ac:dyDescent="0.3">
      <c r="A241" s="127"/>
      <c r="B241" s="140" t="s">
        <v>51</v>
      </c>
      <c r="C241" s="128" t="s">
        <v>80</v>
      </c>
      <c r="D241" s="127" t="s">
        <v>52</v>
      </c>
      <c r="E241" s="138">
        <v>1</v>
      </c>
      <c r="G241" s="127"/>
      <c r="H241" s="127" t="s">
        <v>51</v>
      </c>
      <c r="I241" s="128" t="s">
        <v>80</v>
      </c>
      <c r="J241" s="128" t="s">
        <v>52</v>
      </c>
      <c r="K241" s="134">
        <v>1</v>
      </c>
    </row>
    <row r="242" spans="1:11" ht="18.75" x14ac:dyDescent="0.3">
      <c r="A242" s="127">
        <v>23</v>
      </c>
      <c r="B242" s="139" t="s">
        <v>485</v>
      </c>
      <c r="C242" s="128" t="s">
        <v>82</v>
      </c>
      <c r="D242" s="127" t="s">
        <v>490</v>
      </c>
      <c r="E242" s="134">
        <v>1</v>
      </c>
      <c r="G242" s="127">
        <v>23</v>
      </c>
      <c r="H242" s="127" t="s">
        <v>485</v>
      </c>
      <c r="I242" s="128" t="s">
        <v>82</v>
      </c>
      <c r="J242" s="128" t="s">
        <v>490</v>
      </c>
      <c r="K242" s="134">
        <v>1</v>
      </c>
    </row>
    <row r="243" spans="1:11" ht="18.75" x14ac:dyDescent="0.3">
      <c r="A243" s="127"/>
      <c r="B243" s="139"/>
      <c r="C243" s="128" t="s">
        <v>83</v>
      </c>
      <c r="D243" s="127" t="s">
        <v>490</v>
      </c>
      <c r="E243" s="134">
        <v>1</v>
      </c>
      <c r="G243" s="127"/>
      <c r="H243" s="127"/>
      <c r="I243" s="128" t="s">
        <v>83</v>
      </c>
      <c r="J243" s="128" t="s">
        <v>490</v>
      </c>
      <c r="K243" s="134">
        <v>1</v>
      </c>
    </row>
    <row r="244" spans="1:11" ht="18.75" x14ac:dyDescent="0.3">
      <c r="A244" s="127"/>
      <c r="B244" s="140" t="s">
        <v>62</v>
      </c>
      <c r="C244" s="128" t="s">
        <v>99</v>
      </c>
      <c r="D244" s="127" t="s">
        <v>490</v>
      </c>
      <c r="E244" s="138">
        <v>1</v>
      </c>
      <c r="G244" s="127"/>
      <c r="H244" s="127" t="s">
        <v>62</v>
      </c>
      <c r="I244" s="128" t="s">
        <v>99</v>
      </c>
      <c r="J244" s="128" t="s">
        <v>490</v>
      </c>
      <c r="K244" s="134">
        <v>1</v>
      </c>
    </row>
    <row r="245" spans="1:11" ht="18.75" x14ac:dyDescent="0.3">
      <c r="A245" s="127"/>
      <c r="B245" s="140" t="s">
        <v>33</v>
      </c>
      <c r="C245" s="128" t="s">
        <v>120</v>
      </c>
      <c r="D245" s="127" t="s">
        <v>34</v>
      </c>
      <c r="E245" s="138">
        <v>1</v>
      </c>
      <c r="G245" s="127"/>
      <c r="H245" s="127" t="s">
        <v>33</v>
      </c>
      <c r="I245" s="128" t="s">
        <v>120</v>
      </c>
      <c r="J245" s="128" t="s">
        <v>34</v>
      </c>
      <c r="K245" s="134">
        <v>1</v>
      </c>
    </row>
    <row r="246" spans="1:11" ht="18.75" x14ac:dyDescent="0.3">
      <c r="A246" s="127"/>
      <c r="B246" s="140"/>
      <c r="C246" s="127" t="s">
        <v>515</v>
      </c>
      <c r="D246" s="127" t="s">
        <v>34</v>
      </c>
      <c r="E246" s="138">
        <v>1</v>
      </c>
      <c r="G246" s="127"/>
      <c r="H246" s="127"/>
      <c r="I246" s="127" t="s">
        <v>515</v>
      </c>
      <c r="J246" s="127" t="s">
        <v>34</v>
      </c>
      <c r="K246" s="134">
        <v>1</v>
      </c>
    </row>
    <row r="247" spans="1:11" ht="18.75" x14ac:dyDescent="0.3">
      <c r="A247" s="127"/>
      <c r="B247" s="140" t="s">
        <v>51</v>
      </c>
      <c r="C247" s="128" t="s">
        <v>80</v>
      </c>
      <c r="D247" s="127" t="s">
        <v>52</v>
      </c>
      <c r="E247" s="138">
        <v>1</v>
      </c>
      <c r="G247" s="127"/>
      <c r="H247" s="127" t="s">
        <v>51</v>
      </c>
      <c r="I247" s="128" t="s">
        <v>80</v>
      </c>
      <c r="J247" s="128" t="s">
        <v>52</v>
      </c>
      <c r="K247" s="134">
        <v>1</v>
      </c>
    </row>
    <row r="248" spans="1:11" ht="18.75" x14ac:dyDescent="0.3">
      <c r="A248" s="127">
        <v>24</v>
      </c>
      <c r="B248" s="139" t="s">
        <v>485</v>
      </c>
      <c r="C248" s="128" t="s">
        <v>83</v>
      </c>
      <c r="D248" s="127" t="s">
        <v>490</v>
      </c>
      <c r="E248" s="134">
        <v>1</v>
      </c>
      <c r="G248" s="127">
        <v>24</v>
      </c>
      <c r="H248" s="127" t="s">
        <v>485</v>
      </c>
      <c r="I248" s="128" t="s">
        <v>83</v>
      </c>
      <c r="J248" s="128" t="s">
        <v>490</v>
      </c>
      <c r="K248" s="134">
        <v>1</v>
      </c>
    </row>
    <row r="249" spans="1:11" ht="18.75" x14ac:dyDescent="0.3">
      <c r="A249" s="127"/>
      <c r="B249" s="140" t="s">
        <v>62</v>
      </c>
      <c r="C249" s="128" t="s">
        <v>99</v>
      </c>
      <c r="D249" s="127" t="s">
        <v>490</v>
      </c>
      <c r="E249" s="138">
        <v>1</v>
      </c>
      <c r="G249" s="127"/>
      <c r="H249" s="127" t="s">
        <v>62</v>
      </c>
      <c r="I249" s="128" t="s">
        <v>99</v>
      </c>
      <c r="J249" s="128" t="s">
        <v>490</v>
      </c>
      <c r="K249" s="134">
        <v>1</v>
      </c>
    </row>
    <row r="250" spans="1:11" ht="18.75" x14ac:dyDescent="0.3">
      <c r="A250" s="127"/>
      <c r="B250" s="140" t="s">
        <v>33</v>
      </c>
      <c r="C250" s="128" t="s">
        <v>151</v>
      </c>
      <c r="D250" s="127" t="s">
        <v>34</v>
      </c>
      <c r="E250" s="138">
        <v>1</v>
      </c>
      <c r="G250" s="127"/>
      <c r="H250" s="127" t="s">
        <v>33</v>
      </c>
      <c r="I250" s="128" t="s">
        <v>151</v>
      </c>
      <c r="J250" s="128" t="s">
        <v>34</v>
      </c>
      <c r="K250" s="134">
        <v>1</v>
      </c>
    </row>
    <row r="251" spans="1:11" ht="18.75" x14ac:dyDescent="0.3">
      <c r="A251" s="127"/>
      <c r="B251" s="140"/>
      <c r="C251" s="128" t="s">
        <v>120</v>
      </c>
      <c r="D251" s="127" t="s">
        <v>34</v>
      </c>
      <c r="E251" s="138">
        <v>1</v>
      </c>
      <c r="G251" s="127"/>
      <c r="H251" s="127"/>
      <c r="I251" s="128" t="s">
        <v>120</v>
      </c>
      <c r="J251" s="128" t="s">
        <v>34</v>
      </c>
      <c r="K251" s="134">
        <v>1</v>
      </c>
    </row>
    <row r="252" spans="1:11" ht="18.75" x14ac:dyDescent="0.3">
      <c r="A252" s="127"/>
      <c r="B252" s="140"/>
      <c r="C252" s="127" t="s">
        <v>515</v>
      </c>
      <c r="D252" s="127" t="s">
        <v>34</v>
      </c>
      <c r="E252" s="138">
        <v>1</v>
      </c>
      <c r="G252" s="127"/>
      <c r="H252" s="127"/>
      <c r="I252" s="127" t="s">
        <v>515</v>
      </c>
      <c r="J252" s="127" t="s">
        <v>34</v>
      </c>
      <c r="K252" s="134">
        <v>1</v>
      </c>
    </row>
    <row r="253" spans="1:11" ht="18.75" x14ac:dyDescent="0.3">
      <c r="A253" s="127"/>
      <c r="B253" s="140" t="s">
        <v>51</v>
      </c>
      <c r="C253" s="128" t="s">
        <v>80</v>
      </c>
      <c r="D253" s="127" t="s">
        <v>52</v>
      </c>
      <c r="E253" s="138">
        <v>1</v>
      </c>
      <c r="G253" s="127"/>
      <c r="H253" s="127" t="s">
        <v>51</v>
      </c>
      <c r="I253" s="128" t="s">
        <v>80</v>
      </c>
      <c r="J253" s="128" t="s">
        <v>52</v>
      </c>
      <c r="K253" s="134">
        <v>1</v>
      </c>
    </row>
    <row r="254" spans="1:11" ht="18.75" x14ac:dyDescent="0.3">
      <c r="A254" s="127">
        <v>25</v>
      </c>
      <c r="B254" s="139" t="s">
        <v>485</v>
      </c>
      <c r="C254" s="128" t="s">
        <v>83</v>
      </c>
      <c r="D254" s="127" t="s">
        <v>490</v>
      </c>
      <c r="E254" s="134">
        <v>1</v>
      </c>
      <c r="G254" s="127">
        <v>25</v>
      </c>
      <c r="H254" s="127" t="s">
        <v>485</v>
      </c>
      <c r="I254" s="128" t="s">
        <v>83</v>
      </c>
      <c r="J254" s="128" t="s">
        <v>490</v>
      </c>
      <c r="K254" s="134">
        <v>1</v>
      </c>
    </row>
    <row r="255" spans="1:11" ht="18.75" x14ac:dyDescent="0.3">
      <c r="A255" s="127"/>
      <c r="B255" s="140" t="s">
        <v>62</v>
      </c>
      <c r="C255" s="128" t="s">
        <v>99</v>
      </c>
      <c r="D255" s="127" t="s">
        <v>490</v>
      </c>
      <c r="E255" s="138">
        <v>1</v>
      </c>
      <c r="G255" s="127"/>
      <c r="H255" s="127" t="s">
        <v>62</v>
      </c>
      <c r="I255" s="128" t="s">
        <v>99</v>
      </c>
      <c r="J255" s="128" t="s">
        <v>490</v>
      </c>
      <c r="K255" s="134">
        <v>1</v>
      </c>
    </row>
    <row r="256" spans="1:11" ht="18.75" x14ac:dyDescent="0.3">
      <c r="A256" s="127"/>
      <c r="B256" s="140" t="s">
        <v>33</v>
      </c>
      <c r="C256" s="128" t="s">
        <v>120</v>
      </c>
      <c r="D256" s="127" t="s">
        <v>34</v>
      </c>
      <c r="E256" s="138">
        <v>1</v>
      </c>
      <c r="G256" s="127"/>
      <c r="H256" s="127" t="s">
        <v>33</v>
      </c>
      <c r="I256" s="128" t="s">
        <v>120</v>
      </c>
      <c r="J256" s="128" t="s">
        <v>34</v>
      </c>
      <c r="K256" s="134">
        <v>1</v>
      </c>
    </row>
    <row r="257" spans="1:11" ht="18.75" x14ac:dyDescent="0.3">
      <c r="A257" s="127"/>
      <c r="B257" s="140"/>
      <c r="C257" s="127" t="s">
        <v>513</v>
      </c>
      <c r="D257" s="127" t="s">
        <v>34</v>
      </c>
      <c r="E257" s="138">
        <v>1</v>
      </c>
      <c r="G257" s="127"/>
      <c r="H257" s="127"/>
      <c r="I257" s="127" t="s">
        <v>513</v>
      </c>
      <c r="J257" s="127" t="s">
        <v>34</v>
      </c>
      <c r="K257" s="134">
        <v>1</v>
      </c>
    </row>
    <row r="258" spans="1:11" ht="18.75" x14ac:dyDescent="0.3">
      <c r="A258" s="127"/>
      <c r="B258" s="140"/>
      <c r="C258" s="127" t="s">
        <v>515</v>
      </c>
      <c r="D258" s="127" t="s">
        <v>34</v>
      </c>
      <c r="E258" s="138">
        <v>1</v>
      </c>
      <c r="G258" s="127"/>
      <c r="H258" s="127"/>
      <c r="I258" s="127" t="s">
        <v>515</v>
      </c>
      <c r="J258" s="127" t="s">
        <v>34</v>
      </c>
      <c r="K258" s="134">
        <v>1</v>
      </c>
    </row>
    <row r="259" spans="1:11" ht="18.75" x14ac:dyDescent="0.3">
      <c r="A259" s="127"/>
      <c r="B259" s="140" t="s">
        <v>51</v>
      </c>
      <c r="C259" s="128" t="s">
        <v>80</v>
      </c>
      <c r="D259" s="127" t="s">
        <v>52</v>
      </c>
      <c r="E259" s="138">
        <v>1</v>
      </c>
      <c r="G259" s="127"/>
      <c r="H259" s="127" t="s">
        <v>51</v>
      </c>
      <c r="I259" s="128" t="s">
        <v>80</v>
      </c>
      <c r="J259" s="128" t="s">
        <v>52</v>
      </c>
      <c r="K259" s="134">
        <v>1</v>
      </c>
    </row>
    <row r="260" spans="1:11" ht="18.75" x14ac:dyDescent="0.3">
      <c r="A260" s="127">
        <v>26</v>
      </c>
      <c r="B260" s="139" t="s">
        <v>485</v>
      </c>
      <c r="C260" s="128" t="s">
        <v>83</v>
      </c>
      <c r="D260" s="127" t="s">
        <v>490</v>
      </c>
      <c r="E260" s="134">
        <v>1</v>
      </c>
      <c r="G260" s="127">
        <v>26</v>
      </c>
      <c r="H260" s="127" t="s">
        <v>485</v>
      </c>
      <c r="I260" s="128" t="s">
        <v>83</v>
      </c>
      <c r="J260" s="128" t="s">
        <v>490</v>
      </c>
      <c r="K260" s="134">
        <v>1</v>
      </c>
    </row>
    <row r="261" spans="1:11" ht="18.75" x14ac:dyDescent="0.3">
      <c r="A261" s="127"/>
      <c r="B261" s="140" t="s">
        <v>62</v>
      </c>
      <c r="C261" s="128" t="s">
        <v>99</v>
      </c>
      <c r="D261" s="127" t="s">
        <v>490</v>
      </c>
      <c r="E261" s="138">
        <v>1</v>
      </c>
      <c r="G261" s="127"/>
      <c r="H261" s="127" t="s">
        <v>62</v>
      </c>
      <c r="I261" s="128" t="s">
        <v>99</v>
      </c>
      <c r="J261" s="128" t="s">
        <v>490</v>
      </c>
      <c r="K261" s="134">
        <v>1</v>
      </c>
    </row>
    <row r="262" spans="1:11" ht="18.75" x14ac:dyDescent="0.3">
      <c r="A262" s="127"/>
      <c r="B262" s="140" t="s">
        <v>33</v>
      </c>
      <c r="C262" s="128" t="s">
        <v>120</v>
      </c>
      <c r="D262" s="127" t="s">
        <v>34</v>
      </c>
      <c r="E262" s="138">
        <v>1</v>
      </c>
      <c r="G262" s="127"/>
      <c r="H262" s="127" t="s">
        <v>33</v>
      </c>
      <c r="I262" s="128" t="s">
        <v>120</v>
      </c>
      <c r="J262" s="128" t="s">
        <v>34</v>
      </c>
      <c r="K262" s="134">
        <v>1</v>
      </c>
    </row>
    <row r="263" spans="1:11" ht="18.75" x14ac:dyDescent="0.3">
      <c r="A263" s="127"/>
      <c r="B263" s="140"/>
      <c r="C263" s="127" t="s">
        <v>515</v>
      </c>
      <c r="D263" s="127" t="s">
        <v>34</v>
      </c>
      <c r="E263" s="138">
        <v>1</v>
      </c>
      <c r="G263" s="127"/>
      <c r="H263" s="127"/>
      <c r="I263" s="127" t="s">
        <v>515</v>
      </c>
      <c r="J263" s="127" t="s">
        <v>34</v>
      </c>
      <c r="K263" s="134">
        <v>1</v>
      </c>
    </row>
    <row r="264" spans="1:11" ht="18.75" x14ac:dyDescent="0.3">
      <c r="A264" s="127"/>
      <c r="B264" s="140" t="s">
        <v>51</v>
      </c>
      <c r="C264" s="128" t="s">
        <v>80</v>
      </c>
      <c r="D264" s="127" t="s">
        <v>52</v>
      </c>
      <c r="E264" s="138">
        <v>1</v>
      </c>
      <c r="G264" s="127"/>
      <c r="H264" s="127" t="s">
        <v>51</v>
      </c>
      <c r="I264" s="128" t="s">
        <v>80</v>
      </c>
      <c r="J264" s="128" t="s">
        <v>52</v>
      </c>
      <c r="K264" s="134">
        <v>1</v>
      </c>
    </row>
    <row r="265" spans="1:11" ht="18.75" x14ac:dyDescent="0.3">
      <c r="A265" s="127">
        <v>27</v>
      </c>
      <c r="B265" s="139" t="s">
        <v>485</v>
      </c>
      <c r="C265" s="128" t="s">
        <v>83</v>
      </c>
      <c r="D265" s="127" t="s">
        <v>490</v>
      </c>
      <c r="E265" s="134">
        <v>1</v>
      </c>
      <c r="G265" s="127">
        <v>27</v>
      </c>
      <c r="H265" s="127" t="s">
        <v>485</v>
      </c>
      <c r="I265" s="128" t="s">
        <v>83</v>
      </c>
      <c r="J265" s="128" t="s">
        <v>490</v>
      </c>
      <c r="K265" s="134">
        <v>1</v>
      </c>
    </row>
    <row r="266" spans="1:11" ht="18.75" x14ac:dyDescent="0.3">
      <c r="A266" s="127"/>
      <c r="B266" s="140" t="s">
        <v>62</v>
      </c>
      <c r="C266" s="127" t="s">
        <v>501</v>
      </c>
      <c r="D266" s="127" t="s">
        <v>490</v>
      </c>
      <c r="E266" s="138">
        <v>1</v>
      </c>
      <c r="G266" s="127"/>
      <c r="H266" s="127" t="s">
        <v>62</v>
      </c>
      <c r="I266" s="127" t="s">
        <v>501</v>
      </c>
      <c r="J266" s="127" t="s">
        <v>490</v>
      </c>
      <c r="K266" s="134">
        <v>1</v>
      </c>
    </row>
    <row r="267" spans="1:11" ht="18.75" x14ac:dyDescent="0.3">
      <c r="A267" s="127"/>
      <c r="B267" s="140" t="s">
        <v>33</v>
      </c>
      <c r="C267" s="128" t="s">
        <v>120</v>
      </c>
      <c r="D267" s="127" t="s">
        <v>34</v>
      </c>
      <c r="E267" s="138">
        <v>1</v>
      </c>
      <c r="G267" s="127"/>
      <c r="H267" s="127" t="s">
        <v>33</v>
      </c>
      <c r="I267" s="128" t="s">
        <v>120</v>
      </c>
      <c r="J267" s="128" t="s">
        <v>34</v>
      </c>
      <c r="K267" s="134">
        <v>1</v>
      </c>
    </row>
    <row r="268" spans="1:11" ht="18.75" x14ac:dyDescent="0.3">
      <c r="A268" s="127"/>
      <c r="B268" s="140"/>
      <c r="C268" s="127" t="s">
        <v>515</v>
      </c>
      <c r="D268" s="127" t="s">
        <v>34</v>
      </c>
      <c r="E268" s="138">
        <v>1</v>
      </c>
      <c r="G268" s="127"/>
      <c r="H268" s="127"/>
      <c r="I268" s="127" t="s">
        <v>515</v>
      </c>
      <c r="J268" s="127" t="s">
        <v>34</v>
      </c>
      <c r="K268" s="134">
        <v>1</v>
      </c>
    </row>
    <row r="269" spans="1:11" ht="18.75" x14ac:dyDescent="0.3">
      <c r="A269" s="127"/>
      <c r="B269" s="140" t="s">
        <v>51</v>
      </c>
      <c r="C269" s="128" t="s">
        <v>80</v>
      </c>
      <c r="D269" s="127" t="s">
        <v>52</v>
      </c>
      <c r="E269" s="138">
        <v>1</v>
      </c>
      <c r="G269" s="127"/>
      <c r="H269" s="127" t="s">
        <v>51</v>
      </c>
      <c r="I269" s="128" t="s">
        <v>80</v>
      </c>
      <c r="J269" s="128" t="s">
        <v>52</v>
      </c>
      <c r="K269" s="134">
        <v>1</v>
      </c>
    </row>
    <row r="270" spans="1:11" ht="18.75" x14ac:dyDescent="0.3">
      <c r="A270" s="127">
        <v>28</v>
      </c>
      <c r="B270" s="139" t="s">
        <v>485</v>
      </c>
      <c r="C270" s="128" t="s">
        <v>83</v>
      </c>
      <c r="D270" s="127" t="s">
        <v>490</v>
      </c>
      <c r="E270" s="134">
        <v>1</v>
      </c>
      <c r="G270" s="127">
        <v>28</v>
      </c>
      <c r="H270" s="127" t="s">
        <v>485</v>
      </c>
      <c r="I270" s="128" t="s">
        <v>83</v>
      </c>
      <c r="J270" s="128" t="s">
        <v>490</v>
      </c>
      <c r="K270" s="134">
        <v>1</v>
      </c>
    </row>
    <row r="271" spans="1:11" ht="18.75" x14ac:dyDescent="0.3">
      <c r="A271" s="127"/>
      <c r="B271" s="140" t="s">
        <v>33</v>
      </c>
      <c r="C271" s="128" t="s">
        <v>120</v>
      </c>
      <c r="D271" s="127" t="s">
        <v>34</v>
      </c>
      <c r="E271" s="138">
        <v>1</v>
      </c>
      <c r="G271" s="127"/>
      <c r="H271" s="127" t="s">
        <v>33</v>
      </c>
      <c r="I271" s="128" t="s">
        <v>120</v>
      </c>
      <c r="J271" s="128" t="s">
        <v>34</v>
      </c>
      <c r="K271" s="134">
        <v>1</v>
      </c>
    </row>
    <row r="272" spans="1:11" ht="18.75" x14ac:dyDescent="0.3">
      <c r="A272" s="127"/>
      <c r="B272" s="140"/>
      <c r="C272" s="127" t="s">
        <v>522</v>
      </c>
      <c r="D272" s="127" t="s">
        <v>34</v>
      </c>
      <c r="E272" s="138">
        <v>1</v>
      </c>
      <c r="G272" s="127"/>
      <c r="H272" s="127"/>
      <c r="I272" s="127" t="s">
        <v>522</v>
      </c>
      <c r="J272" s="127" t="s">
        <v>34</v>
      </c>
      <c r="K272" s="134">
        <v>1</v>
      </c>
    </row>
    <row r="273" spans="1:11" ht="18.75" x14ac:dyDescent="0.3">
      <c r="A273" s="127"/>
      <c r="B273" s="140"/>
      <c r="C273" s="127" t="s">
        <v>515</v>
      </c>
      <c r="D273" s="127" t="s">
        <v>34</v>
      </c>
      <c r="E273" s="138">
        <v>1</v>
      </c>
      <c r="G273" s="127"/>
      <c r="H273" s="127"/>
      <c r="I273" s="127" t="s">
        <v>515</v>
      </c>
      <c r="J273" s="127" t="s">
        <v>34</v>
      </c>
      <c r="K273" s="134">
        <v>1</v>
      </c>
    </row>
    <row r="274" spans="1:11" ht="18.75" x14ac:dyDescent="0.3">
      <c r="A274" s="127"/>
      <c r="B274" s="140" t="s">
        <v>51</v>
      </c>
      <c r="C274" s="128" t="s">
        <v>80</v>
      </c>
      <c r="D274" s="127" t="s">
        <v>52</v>
      </c>
      <c r="E274" s="138">
        <v>1</v>
      </c>
      <c r="G274" s="127"/>
      <c r="H274" s="127" t="s">
        <v>51</v>
      </c>
      <c r="I274" s="128" t="s">
        <v>80</v>
      </c>
      <c r="J274" s="128" t="s">
        <v>52</v>
      </c>
      <c r="K274" s="134">
        <v>1</v>
      </c>
    </row>
    <row r="275" spans="1:11" ht="18.75" x14ac:dyDescent="0.3">
      <c r="A275" s="127">
        <v>29</v>
      </c>
      <c r="B275" s="139" t="s">
        <v>485</v>
      </c>
      <c r="C275" s="128" t="s">
        <v>83</v>
      </c>
      <c r="D275" s="127" t="s">
        <v>490</v>
      </c>
      <c r="E275" s="134">
        <v>1</v>
      </c>
      <c r="G275" s="127">
        <v>29</v>
      </c>
      <c r="H275" s="127" t="s">
        <v>485</v>
      </c>
      <c r="I275" s="128" t="s">
        <v>83</v>
      </c>
      <c r="J275" s="128" t="s">
        <v>490</v>
      </c>
      <c r="K275" s="134">
        <v>1</v>
      </c>
    </row>
    <row r="276" spans="1:11" ht="18.75" x14ac:dyDescent="0.3">
      <c r="A276" s="127"/>
      <c r="B276" s="140" t="s">
        <v>33</v>
      </c>
      <c r="C276" s="128" t="s">
        <v>120</v>
      </c>
      <c r="D276" s="127" t="s">
        <v>34</v>
      </c>
      <c r="E276" s="138">
        <v>1</v>
      </c>
      <c r="G276" s="127"/>
      <c r="H276" s="127" t="s">
        <v>33</v>
      </c>
      <c r="I276" s="128" t="s">
        <v>120</v>
      </c>
      <c r="J276" s="128" t="s">
        <v>34</v>
      </c>
      <c r="K276" s="134">
        <v>1</v>
      </c>
    </row>
    <row r="277" spans="1:11" ht="18.75" x14ac:dyDescent="0.3">
      <c r="A277" s="127"/>
      <c r="B277" s="140"/>
      <c r="C277" s="127" t="s">
        <v>522</v>
      </c>
      <c r="D277" s="127" t="s">
        <v>34</v>
      </c>
      <c r="E277" s="138">
        <v>1</v>
      </c>
      <c r="G277" s="127"/>
      <c r="H277" s="127"/>
      <c r="I277" s="127" t="s">
        <v>522</v>
      </c>
      <c r="J277" s="127" t="s">
        <v>34</v>
      </c>
      <c r="K277" s="134">
        <v>1</v>
      </c>
    </row>
    <row r="278" spans="1:11" ht="18.75" x14ac:dyDescent="0.3">
      <c r="A278" s="127"/>
      <c r="B278" s="140"/>
      <c r="C278" s="127" t="s">
        <v>515</v>
      </c>
      <c r="D278" s="127" t="s">
        <v>34</v>
      </c>
      <c r="E278" s="138">
        <v>1</v>
      </c>
      <c r="G278" s="127"/>
      <c r="H278" s="127"/>
      <c r="I278" s="127" t="s">
        <v>515</v>
      </c>
      <c r="J278" s="127" t="s">
        <v>34</v>
      </c>
      <c r="K278" s="134">
        <v>1</v>
      </c>
    </row>
    <row r="279" spans="1:11" ht="18.75" x14ac:dyDescent="0.3">
      <c r="A279" s="127"/>
      <c r="B279" s="140" t="s">
        <v>51</v>
      </c>
      <c r="C279" s="128" t="s">
        <v>80</v>
      </c>
      <c r="D279" s="127" t="s">
        <v>52</v>
      </c>
      <c r="E279" s="138">
        <v>1</v>
      </c>
      <c r="G279" s="127"/>
      <c r="H279" s="127" t="s">
        <v>51</v>
      </c>
      <c r="I279" s="128" t="s">
        <v>80</v>
      </c>
      <c r="J279" s="128" t="s">
        <v>52</v>
      </c>
      <c r="K279" s="134">
        <v>1</v>
      </c>
    </row>
    <row r="280" spans="1:11" ht="18.75" x14ac:dyDescent="0.3">
      <c r="A280" s="127">
        <v>30</v>
      </c>
      <c r="B280" s="139" t="s">
        <v>485</v>
      </c>
      <c r="C280" s="128" t="s">
        <v>83</v>
      </c>
      <c r="D280" s="127" t="s">
        <v>490</v>
      </c>
      <c r="E280" s="134">
        <v>1</v>
      </c>
      <c r="G280" s="127">
        <v>30</v>
      </c>
      <c r="H280" s="127" t="s">
        <v>485</v>
      </c>
      <c r="I280" s="128" t="s">
        <v>83</v>
      </c>
      <c r="J280" s="128" t="s">
        <v>490</v>
      </c>
      <c r="K280" s="134">
        <v>1</v>
      </c>
    </row>
    <row r="281" spans="1:11" ht="18.75" x14ac:dyDescent="0.3">
      <c r="A281" s="127"/>
      <c r="B281" s="140" t="s">
        <v>33</v>
      </c>
      <c r="C281" s="128" t="s">
        <v>120</v>
      </c>
      <c r="D281" s="127" t="s">
        <v>34</v>
      </c>
      <c r="E281" s="138">
        <v>1</v>
      </c>
      <c r="G281" s="127"/>
      <c r="H281" s="127" t="s">
        <v>33</v>
      </c>
      <c r="I281" s="128" t="s">
        <v>120</v>
      </c>
      <c r="J281" s="128" t="s">
        <v>34</v>
      </c>
      <c r="K281" s="134">
        <v>1</v>
      </c>
    </row>
    <row r="282" spans="1:11" ht="18.75" x14ac:dyDescent="0.3">
      <c r="A282" s="127"/>
      <c r="B282" s="140"/>
      <c r="C282" s="127" t="s">
        <v>515</v>
      </c>
      <c r="D282" s="127" t="s">
        <v>34</v>
      </c>
      <c r="E282" s="138">
        <v>1</v>
      </c>
      <c r="G282" s="127"/>
      <c r="H282" s="127"/>
      <c r="I282" s="127" t="s">
        <v>515</v>
      </c>
      <c r="J282" s="127" t="s">
        <v>34</v>
      </c>
      <c r="K282" s="134">
        <v>1</v>
      </c>
    </row>
    <row r="283" spans="1:11" ht="18.75" x14ac:dyDescent="0.3">
      <c r="A283" s="127"/>
      <c r="B283" s="140" t="s">
        <v>51</v>
      </c>
      <c r="C283" s="128" t="s">
        <v>80</v>
      </c>
      <c r="D283" s="127" t="s">
        <v>52</v>
      </c>
      <c r="E283" s="138">
        <v>1</v>
      </c>
      <c r="G283" s="127"/>
      <c r="H283" s="127" t="s">
        <v>51</v>
      </c>
      <c r="I283" s="128" t="s">
        <v>80</v>
      </c>
      <c r="J283" s="128" t="s">
        <v>52</v>
      </c>
      <c r="K283" s="134">
        <v>1</v>
      </c>
    </row>
  </sheetData>
  <mergeCells count="1">
    <mergeCell ref="A1:F1"/>
  </mergeCells>
  <conditionalFormatting sqref="D19:E19">
    <cfRule type="cellIs" dxfId="5222" priority="10" operator="equal">
      <formula>"Log In"</formula>
    </cfRule>
    <cfRule type="endsWith" dxfId="5221" priority="11" operator="endsWith" text="(NO SPEAKERS)">
      <formula>RIGHT(D19,LEN("(NO SPEAKERS)"))="(NO SPEAKERS)"</formula>
    </cfRule>
    <cfRule type="endsWith" dxfId="5220" priority="12" operator="endsWith" text="(NO TOURS)">
      <formula>RIGHT(D19,LEN("(NO TOURS)"))="(NO TOURS)"</formula>
    </cfRule>
  </conditionalFormatting>
  <conditionalFormatting sqref="F19:F25">
    <cfRule type="cellIs" dxfId="5219" priority="1" operator="equal">
      <formula>"Log In"</formula>
    </cfRule>
    <cfRule type="endsWith" dxfId="5218" priority="2" operator="endsWith" text="(NO SPEAKERS)">
      <formula>RIGHT(F19,LEN("(NO SPEAKERS)"))="(NO SPEAKERS)"</formula>
    </cfRule>
    <cfRule type="endsWith" dxfId="5217" priority="3" operator="endsWith" text="(NO TOURS)">
      <formula>RIGHT(F19,LEN("(NO TOURS)"))="(NO TOURS)"</formula>
    </cfRule>
  </conditionalFormatting>
  <conditionalFormatting sqref="J19:K19">
    <cfRule type="cellIs" dxfId="5216" priority="4" operator="equal">
      <formula>"Log In"</formula>
    </cfRule>
    <cfRule type="endsWith" dxfId="5215" priority="5" operator="endsWith" text="(NO SPEAKERS)">
      <formula>RIGHT(J19,LEN("(NO SPEAKERS)"))="(NO SPEAKERS)"</formula>
    </cfRule>
    <cfRule type="endsWith" dxfId="5214" priority="6" operator="endsWith" text="(NO TOURS)">
      <formula>RIGHT(J19,LEN("(NO TOURS)"))="(NO TOURS)"</formula>
    </cfRule>
  </conditionalFormatting>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A2F55-1A6E-46B1-B204-80EC05E367E3}">
  <sheetPr codeName="Sheet2"/>
  <dimension ref="A1:Q3241"/>
  <sheetViews>
    <sheetView workbookViewId="0">
      <selection activeCell="H24" sqref="H24"/>
    </sheetView>
  </sheetViews>
  <sheetFormatPr defaultColWidth="11.5703125" defaultRowHeight="15" x14ac:dyDescent="0.25"/>
  <cols>
    <col min="1" max="1" width="45.28515625" customWidth="1"/>
    <col min="2" max="2" width="7.28515625" bestFit="1" customWidth="1"/>
    <col min="3" max="3" width="9.5703125" bestFit="1" customWidth="1"/>
    <col min="4" max="4" width="11.5703125" hidden="1" customWidth="1"/>
    <col min="5" max="5" width="7.7109375" hidden="1" customWidth="1"/>
    <col min="6" max="6" width="53.28515625" bestFit="1" customWidth="1"/>
    <col min="7" max="7" width="12" customWidth="1"/>
    <col min="8" max="8" width="38.85546875" bestFit="1" customWidth="1"/>
    <col min="9" max="9" width="93.85546875" customWidth="1"/>
    <col min="10" max="10" width="14.5703125" customWidth="1"/>
    <col min="11" max="11" width="21.7109375" customWidth="1"/>
    <col min="12" max="12" width="16.5703125" style="52" customWidth="1"/>
    <col min="13" max="13" width="10.42578125" style="52" customWidth="1"/>
    <col min="14" max="14" width="10" style="52" customWidth="1"/>
    <col min="15" max="15" width="10.140625" style="52" customWidth="1"/>
    <col min="16" max="16" width="20.42578125" style="52" customWidth="1"/>
    <col min="17" max="17" width="7.42578125" style="89" bestFit="1" customWidth="1"/>
  </cols>
  <sheetData>
    <row r="1" spans="1:17" ht="15.75" x14ac:dyDescent="0.25">
      <c r="A1" t="s">
        <v>121</v>
      </c>
      <c r="B1" t="s">
        <v>11</v>
      </c>
      <c r="C1" t="s">
        <v>12</v>
      </c>
      <c r="D1" t="s">
        <v>122</v>
      </c>
      <c r="E1" t="s">
        <v>123</v>
      </c>
      <c r="F1" t="s">
        <v>2</v>
      </c>
      <c r="G1" t="s">
        <v>19</v>
      </c>
      <c r="H1" s="1" t="s">
        <v>22</v>
      </c>
      <c r="I1" s="7" t="s">
        <v>124</v>
      </c>
      <c r="J1" t="s">
        <v>25</v>
      </c>
      <c r="K1" t="s">
        <v>31</v>
      </c>
      <c r="L1" s="37" t="s">
        <v>26</v>
      </c>
      <c r="M1" s="37" t="s">
        <v>27</v>
      </c>
      <c r="N1" s="37" t="s">
        <v>28</v>
      </c>
      <c r="O1" s="37" t="s">
        <v>29</v>
      </c>
      <c r="P1" s="37" t="s">
        <v>30</v>
      </c>
      <c r="Q1" s="90" t="s">
        <v>495</v>
      </c>
    </row>
    <row r="2" spans="1:17" x14ac:dyDescent="0.25">
      <c r="A2" t="str">
        <f>+Tabla3[[#This Row],[Site]]&amp;Tabla3[[#This Row],[Split]]</f>
        <v>(AS) Coggin Honda Ft. Pierce (NO TOURS)4</v>
      </c>
      <c r="B2">
        <v>4</v>
      </c>
      <c r="C2">
        <v>1</v>
      </c>
      <c r="D2" t="s">
        <v>62</v>
      </c>
      <c r="E2" t="s">
        <v>35</v>
      </c>
      <c r="F2" t="s">
        <v>501</v>
      </c>
      <c r="G2" t="s">
        <v>490</v>
      </c>
      <c r="H2" s="52" t="str">
        <f>VLOOKUP(Tabla3[[#This Row],[Site]],'Important Info!'!$A$1:$J$135,10,FALSE)</f>
        <v>https://tools.sig.systems/site/details/120</v>
      </c>
      <c r="I2" s="65" t="s">
        <v>179</v>
      </c>
      <c r="J2" t="s">
        <v>484</v>
      </c>
      <c r="K2" s="79" t="str">
        <f>VLOOKUP(Tabla3[[#This Row],[Site]],'Important Info!'!$A$1:$H$135,8,FALSE)</f>
        <v>-</v>
      </c>
      <c r="L2" s="52" t="str">
        <f>VLOOKUP(Tabla3[[#This Row],[Site]],'Important Info!'!$A$1:$F$135,2,FALSE)</f>
        <v>1, 2, 3, 4, 14</v>
      </c>
      <c r="M2" s="52" t="str">
        <f>VLOOKUP(Tabla3[[#This Row],[Site]],'Important Info!'!$A$1:$F$135,3,FALSE)</f>
        <v>-</v>
      </c>
      <c r="N2" s="52" t="str">
        <f>VLOOKUP(Tabla3[[#This Row],[Site]],'Important Info!'!$A$1:$F$135,4,FALSE)</f>
        <v>-</v>
      </c>
      <c r="O2" s="52" t="str">
        <f>VLOOKUP(Tabla3[[#This Row],[Site]],'Important Info!'!$A$1:$F$135,5,FALSE)</f>
        <v>7, 11, 15</v>
      </c>
      <c r="P2" s="52">
        <f>VLOOKUP(Tabla3[[#This Row],[Site]],'Important Info!'!$A$1:$F$135,6,FALSE)</f>
        <v>3</v>
      </c>
      <c r="Q2" s="91">
        <f>VLOOKUP(Tabla3[[#This Row],[Site]],'Important Info!'!$A$1:$J$135,9,FALSE)</f>
        <v>120</v>
      </c>
    </row>
    <row r="3" spans="1:17" x14ac:dyDescent="0.25">
      <c r="A3" t="str">
        <f>+Tabla3[[#This Row],[Site]]&amp;Tabla3[[#This Row],[Split]]</f>
        <v>(AS) Lexus Plano I &amp; II (NO TOURS)4</v>
      </c>
      <c r="B3">
        <v>4</v>
      </c>
      <c r="C3">
        <v>1</v>
      </c>
      <c r="D3" t="s">
        <v>33</v>
      </c>
      <c r="E3" t="s">
        <v>46</v>
      </c>
      <c r="F3" t="s">
        <v>524</v>
      </c>
      <c r="G3" t="s">
        <v>34</v>
      </c>
      <c r="H3" s="52" t="str">
        <f>VLOOKUP(Tabla3[[#This Row],[Site]],'Important Info!'!$A$1:$J$135,10,FALSE)</f>
        <v>https://tools.sig.systems/site/details/167</v>
      </c>
      <c r="I3" s="62" t="s">
        <v>127</v>
      </c>
      <c r="J3" t="s">
        <v>41</v>
      </c>
      <c r="K3" s="79" t="str">
        <f>VLOOKUP(Tabla3[[#This Row],[Site]],'Important Info!'!$A$1:$H$135,8,FALSE)</f>
        <v>-</v>
      </c>
      <c r="L3" s="52" t="str">
        <f>VLOOKUP(Tabla3[[#This Row],[Site]],'Important Info!'!$A$1:$F$135,2,FALSE)</f>
        <v>5, 9</v>
      </c>
      <c r="M3" s="52" t="str">
        <f>VLOOKUP(Tabla3[[#This Row],[Site]],'Important Info!'!$A$1:$F$135,3,FALSE)</f>
        <v>-</v>
      </c>
      <c r="N3" s="52" t="str">
        <f>VLOOKUP(Tabla3[[#This Row],[Site]],'Important Info!'!$A$1:$F$135,4,FALSE)</f>
        <v>101, 102, 103, 104</v>
      </c>
      <c r="O3" s="52" t="str">
        <f>VLOOKUP(Tabla3[[#This Row],[Site]],'Important Info!'!$A$1:$F$135,5,FALSE)</f>
        <v>4, 10, 28</v>
      </c>
      <c r="P3" s="52" t="str">
        <f>VLOOKUP(Tabla3[[#This Row],[Site]],'Important Info!'!$A$1:$F$135,6,FALSE)</f>
        <v>5, 9, 16</v>
      </c>
      <c r="Q3" s="91">
        <f>VLOOKUP(Tabla3[[#This Row],[Site]],'Important Info!'!$A$1:$J$135,9,FALSE)</f>
        <v>167</v>
      </c>
    </row>
    <row r="4" spans="1:17" x14ac:dyDescent="0.25">
      <c r="A4" t="str">
        <f>+Tabla3[[#This Row],[Site]]&amp;Tabla3[[#This Row],[Split]]</f>
        <v>(AS) Mercedes Benz/Porsche Dallas I,II,III (NO TOURS)4</v>
      </c>
      <c r="B4">
        <v>4</v>
      </c>
      <c r="C4">
        <v>1</v>
      </c>
      <c r="D4" t="s">
        <v>33</v>
      </c>
      <c r="E4" t="s">
        <v>46</v>
      </c>
      <c r="F4" t="s">
        <v>509</v>
      </c>
      <c r="G4" t="s">
        <v>34</v>
      </c>
      <c r="H4" s="52" t="str">
        <f>VLOOKUP(Tabla3[[#This Row],[Site]],'Important Info!'!$A$1:$J$135,10,FALSE)</f>
        <v>https://tools.sig.systems/site/details/168</v>
      </c>
      <c r="I4" s="65" t="s">
        <v>125</v>
      </c>
      <c r="J4" t="s">
        <v>41</v>
      </c>
      <c r="K4" s="79" t="str">
        <f>VLOOKUP(Tabla3[[#This Row],[Site]],'Important Info!'!$A$1:$H$135,8,FALSE)</f>
        <v>-</v>
      </c>
      <c r="L4" s="52" t="str">
        <f>VLOOKUP(Tabla3[[#This Row],[Site]],'Important Info!'!$A$1:$F$135,2,FALSE)</f>
        <v>3, 4, 17, 26, 41</v>
      </c>
      <c r="M4" s="52" t="str">
        <f>VLOOKUP(Tabla3[[#This Row],[Site]],'Important Info!'!$A$1:$F$135,3,FALSE)</f>
        <v>-</v>
      </c>
      <c r="N4" s="52" t="str">
        <f>VLOOKUP(Tabla3[[#This Row],[Site]],'Important Info!'!$A$1:$F$135,4,FALSE)</f>
        <v>153, 154, 155, 156, 157, 158</v>
      </c>
      <c r="O4" s="52" t="str">
        <f>VLOOKUP(Tabla3[[#This Row],[Site]],'Important Info!'!$A$1:$F$135,5,FALSE)</f>
        <v>2, 6, 10, 20, 28, 30, 36</v>
      </c>
      <c r="P4" s="52" t="str">
        <f>VLOOKUP(Tabla3[[#This Row],[Site]],'Important Info!'!$A$1:$F$135,6,FALSE)</f>
        <v>31, 41, 159</v>
      </c>
      <c r="Q4" s="91">
        <f>VLOOKUP(Tabla3[[#This Row],[Site]],'Important Info!'!$A$1:$J$135,9,FALSE)</f>
        <v>168</v>
      </c>
    </row>
    <row r="5" spans="1:17" x14ac:dyDescent="0.25">
      <c r="A5" t="str">
        <f>+Tabla3[[#This Row],[Site]]&amp;Tabla3[[#This Row],[Split]]</f>
        <v>(AS) Nalley BMW Collision Center (NO TOURS)4</v>
      </c>
      <c r="B5">
        <v>4</v>
      </c>
      <c r="C5">
        <v>1</v>
      </c>
      <c r="D5" t="s">
        <v>62</v>
      </c>
      <c r="E5" t="s">
        <v>35</v>
      </c>
      <c r="F5" t="s">
        <v>510</v>
      </c>
      <c r="G5" t="s">
        <v>490</v>
      </c>
      <c r="H5" s="52" t="str">
        <f>VLOOKUP(Tabla3[[#This Row],[Site]],'Important Info!'!$A$1:$J$135,10,FALSE)</f>
        <v>https://tools.sig.systems/site/details/220</v>
      </c>
      <c r="I5" s="65"/>
      <c r="J5" t="s">
        <v>41</v>
      </c>
      <c r="K5" s="79" t="str">
        <f>VLOOKUP(Tabla3[[#This Row],[Site]],'Important Info!'!$A$1:$H$135,8,FALSE)</f>
        <v>-</v>
      </c>
      <c r="L5" s="52" t="str">
        <f>VLOOKUP(Tabla3[[#This Row],[Site]],'Important Info!'!$A$1:$F$135,2,FALSE)</f>
        <v>-</v>
      </c>
      <c r="M5" s="52">
        <f>VLOOKUP(Tabla3[[#This Row],[Site]],'Important Info!'!$A$1:$F$135,3,FALSE)</f>
        <v>4</v>
      </c>
      <c r="N5" s="52" t="str">
        <f>VLOOKUP(Tabla3[[#This Row],[Site]],'Important Info!'!$A$1:$F$135,4,FALSE)</f>
        <v>-</v>
      </c>
      <c r="O5" s="52">
        <f>VLOOKUP(Tabla3[[#This Row],[Site]],'Important Info!'!$A$1:$F$135,5,FALSE)</f>
        <v>12</v>
      </c>
      <c r="P5" s="52" t="str">
        <f>VLOOKUP(Tabla3[[#This Row],[Site]],'Important Info!'!$A$1:$F$135,6,FALSE)</f>
        <v>13, 15</v>
      </c>
      <c r="Q5" s="91">
        <f>VLOOKUP(Tabla3[[#This Row],[Site]],'Important Info!'!$A$1:$J$135,9,FALSE)</f>
        <v>220</v>
      </c>
    </row>
    <row r="6" spans="1:17" x14ac:dyDescent="0.25">
      <c r="A6" t="str">
        <f>+Tabla3[[#This Row],[Site]]&amp;Tabla3[[#This Row],[Split]]</f>
        <v>(AS) Nalley Lexus &amp; Remote Lot Roswell (NO TOURS)4</v>
      </c>
      <c r="B6">
        <v>4</v>
      </c>
      <c r="C6">
        <v>1</v>
      </c>
      <c r="D6" t="s">
        <v>60</v>
      </c>
      <c r="E6" t="s">
        <v>35</v>
      </c>
      <c r="F6" t="s">
        <v>511</v>
      </c>
      <c r="G6" t="s">
        <v>41</v>
      </c>
      <c r="H6" s="52" t="str">
        <f>VLOOKUP(Tabla3[[#This Row],[Site]],'Important Info!'!$A$1:$J$135,10,FALSE)</f>
        <v>https://tools.sig.systems/site/details/131</v>
      </c>
      <c r="I6" s="65" t="s">
        <v>166</v>
      </c>
      <c r="J6" t="s">
        <v>41</v>
      </c>
      <c r="K6" s="79" t="str">
        <f>VLOOKUP(Tabla3[[#This Row],[Site]],'Important Info!'!$A$1:$H$135,8,FALSE)</f>
        <v>Dealership 11PM to 5AM (Mon to Fri). Sunday Drop Time 1PM</v>
      </c>
      <c r="L6" s="52" t="str">
        <f>VLOOKUP(Tabla3[[#This Row],[Site]],'Important Info!'!$A$1:$F$135,2,FALSE)</f>
        <v>6, 13</v>
      </c>
      <c r="M6" s="52">
        <f>VLOOKUP(Tabla3[[#This Row],[Site]],'Important Info!'!$A$1:$F$135,3,FALSE)</f>
        <v>4</v>
      </c>
      <c r="N6" s="52">
        <f>VLOOKUP(Tabla3[[#This Row],[Site]],'Important Info!'!$A$1:$F$135,4,FALSE)</f>
        <v>1</v>
      </c>
      <c r="O6" s="52" t="str">
        <f>VLOOKUP(Tabla3[[#This Row],[Site]],'Important Info!'!$A$1:$F$135,5,FALSE)</f>
        <v>1, 8, 19</v>
      </c>
      <c r="P6" s="52" t="str">
        <f>VLOOKUP(Tabla3[[#This Row],[Site]],'Important Info!'!$A$1:$F$135,6,FALSE)</f>
        <v>4, 20</v>
      </c>
      <c r="Q6" s="91">
        <f>VLOOKUP(Tabla3[[#This Row],[Site]],'Important Info!'!$A$1:$J$135,9,FALSE)</f>
        <v>131</v>
      </c>
    </row>
    <row r="7" spans="1:17" x14ac:dyDescent="0.25">
      <c r="A7" t="str">
        <f>+Tabla3[[#This Row],[Site]]&amp;Tabla3[[#This Row],[Split]]</f>
        <v>(AS) Park Place Mercedes Benz Ft. Worth (NO TOURS)4</v>
      </c>
      <c r="B7">
        <v>4</v>
      </c>
      <c r="C7">
        <v>1</v>
      </c>
      <c r="D7" t="s">
        <v>33</v>
      </c>
      <c r="E7" t="s">
        <v>46</v>
      </c>
      <c r="F7" t="s">
        <v>519</v>
      </c>
      <c r="G7" t="s">
        <v>34</v>
      </c>
      <c r="H7" s="52" t="str">
        <f>VLOOKUP(Tabla3[[#This Row],[Site]],'Important Info!'!$A$1:$J$135,10,FALSE)</f>
        <v>https://tools.sig.systems/site/details/137</v>
      </c>
      <c r="I7" s="65" t="s">
        <v>128</v>
      </c>
      <c r="J7" t="s">
        <v>41</v>
      </c>
      <c r="K7" s="79" t="s">
        <v>37</v>
      </c>
      <c r="L7" s="52" t="str">
        <f>VLOOKUP(Tabla3[[#This Row],[Site]],'Important Info!'!$A$1:$F$135,2,FALSE)</f>
        <v>4, 18</v>
      </c>
      <c r="M7" s="52" t="str">
        <f>VLOOKUP(Tabla3[[#This Row],[Site]],'Important Info!'!$A$1:$F$135,3,FALSE)</f>
        <v>-</v>
      </c>
      <c r="N7" s="52" t="str">
        <f>VLOOKUP(Tabla3[[#This Row],[Site]],'Important Info!'!$A$1:$F$135,4,FALSE)</f>
        <v>54, 55</v>
      </c>
      <c r="O7" s="52" t="str">
        <f>VLOOKUP(Tabla3[[#This Row],[Site]],'Important Info!'!$A$1:$F$135,5,FALSE)</f>
        <v>2, 18</v>
      </c>
      <c r="P7" s="52" t="str">
        <f>VLOOKUP(Tabla3[[#This Row],[Site]],'Important Info!'!$A$1:$F$135,6,FALSE)</f>
        <v>5, 18</v>
      </c>
      <c r="Q7" s="91">
        <f>VLOOKUP(Tabla3[[#This Row],[Site]],'Important Info!'!$A$1:$J$135,9,FALSE)</f>
        <v>137</v>
      </c>
    </row>
    <row r="8" spans="1:17" x14ac:dyDescent="0.25">
      <c r="A8" t="str">
        <f>+Tabla3[[#This Row],[Site]]&amp;Tabla3[[#This Row],[Split]]</f>
        <v>(AS) Park Place Sprinter Van Center (NO TOURS)4</v>
      </c>
      <c r="B8">
        <v>4</v>
      </c>
      <c r="C8">
        <v>1</v>
      </c>
      <c r="D8" t="s">
        <v>33</v>
      </c>
      <c r="E8" t="s">
        <v>46</v>
      </c>
      <c r="F8" t="s">
        <v>520</v>
      </c>
      <c r="G8" t="s">
        <v>34</v>
      </c>
      <c r="H8" s="52" t="str">
        <f>VLOOKUP(Tabla3[[#This Row],[Site]],'Important Info!'!$A$1:$J$135,10,FALSE)</f>
        <v>https://tools.sig.systems/site/details/138</v>
      </c>
      <c r="I8" s="65" t="s">
        <v>125</v>
      </c>
      <c r="J8" t="s">
        <v>41</v>
      </c>
      <c r="K8" s="79" t="str">
        <f>VLOOKUP(Tabla3[[#This Row],[Site]],'Important Info!'!$A$1:$H$135,8,FALSE)</f>
        <v>-</v>
      </c>
      <c r="L8" s="52">
        <f>VLOOKUP(Tabla3[[#This Row],[Site]],'Important Info!'!$A$1:$F$135,2,FALSE)</f>
        <v>1</v>
      </c>
      <c r="M8" s="52" t="str">
        <f>VLOOKUP(Tabla3[[#This Row],[Site]],'Important Info!'!$A$1:$F$135,3,FALSE)</f>
        <v>-</v>
      </c>
      <c r="N8" s="52" t="str">
        <f>VLOOKUP(Tabla3[[#This Row],[Site]],'Important Info!'!$A$1:$F$135,4,FALSE)</f>
        <v>-</v>
      </c>
      <c r="O8" s="52" t="str">
        <f>VLOOKUP(Tabla3[[#This Row],[Site]],'Important Info!'!$A$1:$F$135,5,FALSE)</f>
        <v>-</v>
      </c>
      <c r="P8" s="52" t="str">
        <f>VLOOKUP(Tabla3[[#This Row],[Site]],'Important Info!'!$A$1:$F$135,6,FALSE)</f>
        <v>1, 3</v>
      </c>
      <c r="Q8" s="91">
        <f>VLOOKUP(Tabla3[[#This Row],[Site]],'Important Info!'!$A$1:$J$135,9,FALSE)</f>
        <v>138</v>
      </c>
    </row>
    <row r="9" spans="1:17" x14ac:dyDescent="0.25">
      <c r="A9" t="str">
        <f>+Tabla3[[#This Row],[Site]]&amp;Tabla3[[#This Row],[Split]]</f>
        <v>(AS) Stevinson Porsche of Littleton (NO TOURS)4</v>
      </c>
      <c r="B9">
        <v>4</v>
      </c>
      <c r="C9">
        <v>1</v>
      </c>
      <c r="D9" t="s">
        <v>44</v>
      </c>
      <c r="E9" t="s">
        <v>53</v>
      </c>
      <c r="F9" t="s">
        <v>78</v>
      </c>
      <c r="G9" t="s">
        <v>45</v>
      </c>
      <c r="H9" s="52" t="str">
        <f>VLOOKUP(Tabla3[[#This Row],[Site]],'Important Info!'!$A$1:$J$135,10,FALSE)</f>
        <v>https://tools.sig.systems/site/details/242</v>
      </c>
      <c r="J9" t="s">
        <v>41</v>
      </c>
      <c r="K9" s="79" t="str">
        <f>VLOOKUP(Tabla3[[#This Row],[Site]],'Important Info!'!$A$1:$H$135,8,FALSE)</f>
        <v>-</v>
      </c>
      <c r="L9" s="52" t="str">
        <f>VLOOKUP(Tabla3[[#This Row],[Site]],'Important Info!'!$A$1:$F$135,2,FALSE)</f>
        <v>3, 4</v>
      </c>
      <c r="M9" s="52">
        <f>VLOOKUP(Tabla3[[#This Row],[Site]],'Important Info!'!$A$1:$F$135,3,FALSE)</f>
        <v>2</v>
      </c>
      <c r="N9" s="52" t="str">
        <f>VLOOKUP(Tabla3[[#This Row],[Site]],'Important Info!'!$A$1:$F$135,4,FALSE)</f>
        <v>-</v>
      </c>
      <c r="O9" s="52" t="str">
        <f>VLOOKUP(Tabla3[[#This Row],[Site]],'Important Info!'!$A$1:$F$135,5,FALSE)</f>
        <v>-</v>
      </c>
      <c r="P9" s="52" t="str">
        <f>VLOOKUP(Tabla3[[#This Row],[Site]],'Important Info!'!$A$1:$F$135,6,FALSE)</f>
        <v>3, 4</v>
      </c>
      <c r="Q9" s="91">
        <f>VLOOKUP(Tabla3[[#This Row],[Site]],'Important Info!'!$A$1:$J$135,9,FALSE)</f>
        <v>242</v>
      </c>
    </row>
    <row r="10" spans="1:17" x14ac:dyDescent="0.25">
      <c r="A10" t="str">
        <f>+Tabla3[[#This Row],[Site]]&amp;Tabla3[[#This Row],[Split]]</f>
        <v>(AS) Stevinson Toyota West (NO TOURS)4</v>
      </c>
      <c r="B10">
        <v>4</v>
      </c>
      <c r="C10">
        <v>1</v>
      </c>
      <c r="D10" t="s">
        <v>44</v>
      </c>
      <c r="E10" t="s">
        <v>53</v>
      </c>
      <c r="F10" t="s">
        <v>79</v>
      </c>
      <c r="G10" t="s">
        <v>45</v>
      </c>
      <c r="H10" s="52" t="str">
        <f>VLOOKUP(Tabla3[[#This Row],[Site]],'Important Info!'!$A$1:$J$135,10,FALSE)</f>
        <v>https://tools.sig.systems/site/details/240</v>
      </c>
      <c r="I10" s="8" t="s">
        <v>154</v>
      </c>
      <c r="J10" t="s">
        <v>41</v>
      </c>
      <c r="K10" s="79" t="str">
        <f>VLOOKUP(Tabla3[[#This Row],[Site]],'Important Info!'!$A$1:$H$135,8,FALSE)</f>
        <v>-</v>
      </c>
      <c r="L10" s="52" t="str">
        <f>VLOOKUP(Tabla3[[#This Row],[Site]],'Important Info!'!$A$1:$F$135,2,FALSE)</f>
        <v>-</v>
      </c>
      <c r="M10" s="52" t="str">
        <f>VLOOKUP(Tabla3[[#This Row],[Site]],'Important Info!'!$A$1:$F$135,3,FALSE)</f>
        <v>7, 18, 21</v>
      </c>
      <c r="N10" s="52" t="str">
        <f>VLOOKUP(Tabla3[[#This Row],[Site]],'Important Info!'!$A$1:$F$135,4,FALSE)</f>
        <v>-</v>
      </c>
      <c r="O10" s="52" t="str">
        <f>VLOOKUP(Tabla3[[#This Row],[Site]],'Important Info!'!$A$1:$F$135,5,FALSE)</f>
        <v>11, 24, 34</v>
      </c>
      <c r="P10" s="52" t="str">
        <f>VLOOKUP(Tabla3[[#This Row],[Site]],'Important Info!'!$A$1:$F$135,6,FALSE)</f>
        <v>1, 2, 3, 12</v>
      </c>
      <c r="Q10" s="91">
        <f>VLOOKUP(Tabla3[[#This Row],[Site]],'Important Info!'!$A$1:$J$135,9,FALSE)</f>
        <v>240</v>
      </c>
    </row>
    <row r="11" spans="1:17" x14ac:dyDescent="0.25">
      <c r="A11" t="str">
        <f>+Tabla3[[#This Row],[Site]]&amp;Tabla3[[#This Row],[Split]]</f>
        <v>(DT) N. Houston4</v>
      </c>
      <c r="B11">
        <v>4</v>
      </c>
      <c r="C11">
        <v>1</v>
      </c>
      <c r="D11" t="s">
        <v>33</v>
      </c>
      <c r="E11" t="s">
        <v>46</v>
      </c>
      <c r="F11" t="s">
        <v>68</v>
      </c>
      <c r="G11" t="s">
        <v>34</v>
      </c>
      <c r="H11" s="52" t="str">
        <f>VLOOKUP(Tabla3[[#This Row],[Site]],'Important Info!'!$A$1:$J$135,10,FALSE)</f>
        <v>https://tools.sig.systems/site/details/250</v>
      </c>
      <c r="J11" t="s">
        <v>41</v>
      </c>
      <c r="K11" s="79" t="str">
        <f>VLOOKUP(Tabla3[[#This Row],[Site]],'Important Info!'!$A$1:$H$135,8,FALSE)</f>
        <v>-</v>
      </c>
      <c r="L11" s="52" t="str">
        <f>VLOOKUP(Tabla3[[#This Row],[Site]],'Important Info!'!$A$1:$F$135,2,FALSE)</f>
        <v>2, 10, 18</v>
      </c>
      <c r="M11" s="52" t="str">
        <f>VLOOKUP(Tabla3[[#This Row],[Site]],'Important Info!'!$A$1:$F$135,3,FALSE)</f>
        <v>-</v>
      </c>
      <c r="N11" s="52" t="str">
        <f>VLOOKUP(Tabla3[[#This Row],[Site]],'Important Info!'!$A$1:$F$135,4,FALSE)</f>
        <v>-</v>
      </c>
      <c r="O11" s="52">
        <f>VLOOKUP(Tabla3[[#This Row],[Site]],'Important Info!'!$A$1:$F$135,5,FALSE)</f>
        <v>15</v>
      </c>
      <c r="P11" s="52" t="str">
        <f>VLOOKUP(Tabla3[[#This Row],[Site]],'Important Info!'!$A$1:$F$135,6,FALSE)</f>
        <v>2, 4, 18</v>
      </c>
      <c r="Q11" s="91">
        <f>VLOOKUP(Tabla3[[#This Row],[Site]],'Important Info!'!$A$1:$J$135,9,FALSE)</f>
        <v>250</v>
      </c>
    </row>
    <row r="12" spans="1:17" x14ac:dyDescent="0.25">
      <c r="A12" t="str">
        <f>+Tabla3[[#This Row],[Site]]&amp;Tabla3[[#This Row],[Split]]</f>
        <v>(DT) W Houston4</v>
      </c>
      <c r="B12">
        <v>4</v>
      </c>
      <c r="C12">
        <v>1</v>
      </c>
      <c r="D12" t="s">
        <v>33</v>
      </c>
      <c r="E12" t="s">
        <v>46</v>
      </c>
      <c r="F12" t="s">
        <v>69</v>
      </c>
      <c r="G12" t="s">
        <v>34</v>
      </c>
      <c r="H12" s="52" t="str">
        <f>VLOOKUP(Tabla3[[#This Row],[Site]],'Important Info!'!$A$1:$J$135,10,FALSE)</f>
        <v>https://tools.sig.systems/site/details/197</v>
      </c>
      <c r="I12" s="8"/>
      <c r="J12" t="s">
        <v>41</v>
      </c>
      <c r="K12" s="79" t="str">
        <f>VLOOKUP(Tabla3[[#This Row],[Site]],'Important Info!'!$A$1:$H$135,8,FALSE)</f>
        <v>-</v>
      </c>
      <c r="L12" s="52">
        <f>VLOOKUP(Tabla3[[#This Row],[Site]],'Important Info!'!$A$1:$F$135,2,FALSE)</f>
        <v>7</v>
      </c>
      <c r="M12" s="52">
        <f>VLOOKUP(Tabla3[[#This Row],[Site]],'Important Info!'!$A$1:$F$135,3,FALSE)</f>
        <v>2</v>
      </c>
      <c r="N12" s="52" t="str">
        <f>VLOOKUP(Tabla3[[#This Row],[Site]],'Important Info!'!$A$1:$F$135,4,FALSE)</f>
        <v>-</v>
      </c>
      <c r="O12" s="52">
        <f>VLOOKUP(Tabla3[[#This Row],[Site]],'Important Info!'!$A$1:$F$135,5,FALSE)</f>
        <v>14</v>
      </c>
      <c r="P12" s="52" t="str">
        <f>VLOOKUP(Tabla3[[#This Row],[Site]],'Important Info!'!$A$1:$F$135,6,FALSE)</f>
        <v>2, 3, 7, 10</v>
      </c>
      <c r="Q12" s="91">
        <f>VLOOKUP(Tabla3[[#This Row],[Site]],'Important Info!'!$A$1:$J$135,9,FALSE)</f>
        <v>197</v>
      </c>
    </row>
    <row r="13" spans="1:17" x14ac:dyDescent="0.25">
      <c r="A13" t="str">
        <f>+Tabla3[[#This Row],[Site]]&amp;Tabla3[[#This Row],[Split]]</f>
        <v>(HUD) Honda of Southpoint4</v>
      </c>
      <c r="B13">
        <v>4</v>
      </c>
      <c r="C13">
        <v>1</v>
      </c>
      <c r="D13" t="s">
        <v>62</v>
      </c>
      <c r="E13" t="s">
        <v>35</v>
      </c>
      <c r="F13" t="s">
        <v>65</v>
      </c>
      <c r="G13" t="s">
        <v>490</v>
      </c>
      <c r="H13" s="52" t="str">
        <f>VLOOKUP(Tabla3[[#This Row],[Site]],'Important Info!'!$A$1:$J$135,10,FALSE)</f>
        <v>https://tools.sig.systems/site/details/195</v>
      </c>
      <c r="J13" t="s">
        <v>484</v>
      </c>
      <c r="K13" s="79" t="str">
        <f>VLOOKUP(Tabla3[[#This Row],[Site]],'Important Info!'!$A$1:$H$135,8,FALSE)</f>
        <v>-</v>
      </c>
      <c r="L13" s="52" t="str">
        <f>VLOOKUP(Tabla3[[#This Row],[Site]],'Important Info!'!$A$1:$F$135,2,FALSE)</f>
        <v>2, 12, 18</v>
      </c>
      <c r="M13" s="52">
        <f>VLOOKUP(Tabla3[[#This Row],[Site]],'Important Info!'!$A$1:$F$135,3,FALSE)</f>
        <v>13</v>
      </c>
      <c r="N13" s="52" t="str">
        <f>VLOOKUP(Tabla3[[#This Row],[Site]],'Important Info!'!$A$1:$F$135,4,FALSE)</f>
        <v>-</v>
      </c>
      <c r="O13" s="52" t="str">
        <f>VLOOKUP(Tabla3[[#This Row],[Site]],'Important Info!'!$A$1:$F$135,5,FALSE)</f>
        <v>2, 15</v>
      </c>
      <c r="P13" s="52" t="str">
        <f>VLOOKUP(Tabla3[[#This Row],[Site]],'Important Info!'!$A$1:$F$135,6,FALSE)</f>
        <v>-</v>
      </c>
      <c r="Q13" s="91">
        <f>VLOOKUP(Tabla3[[#This Row],[Site]],'Important Info!'!$A$1:$J$135,9,FALSE)</f>
        <v>195</v>
      </c>
    </row>
    <row r="14" spans="1:17" x14ac:dyDescent="0.25">
      <c r="A14" t="str">
        <f>+Tabla3[[#This Row],[Site]]&amp;Tabla3[[#This Row],[Split]]</f>
        <v>(HUD) Nissan Greensboro4</v>
      </c>
      <c r="B14">
        <v>4</v>
      </c>
      <c r="C14">
        <v>1</v>
      </c>
      <c r="D14" t="s">
        <v>62</v>
      </c>
      <c r="E14" t="s">
        <v>35</v>
      </c>
      <c r="F14" t="s">
        <v>66</v>
      </c>
      <c r="G14" t="s">
        <v>490</v>
      </c>
      <c r="H14" s="52" t="str">
        <f>VLOOKUP(Tabla3[[#This Row],[Site]],'Important Info!'!$A$1:$J$135,10,FALSE)</f>
        <v>https://tools.sig.systems/site/details/236</v>
      </c>
      <c r="I14" t="s">
        <v>184</v>
      </c>
      <c r="J14" t="s">
        <v>41</v>
      </c>
      <c r="K14" s="79" t="str">
        <f>VLOOKUP(Tabla3[[#This Row],[Site]],'Important Info!'!$A$1:$H$135,8,FALSE)</f>
        <v>-</v>
      </c>
      <c r="L14" s="52" t="str">
        <f>VLOOKUP(Tabla3[[#This Row],[Site]],'Important Info!'!$A$1:$F$135,2,FALSE)</f>
        <v>1, 5, 12</v>
      </c>
      <c r="M14" s="52" t="str">
        <f>VLOOKUP(Tabla3[[#This Row],[Site]],'Important Info!'!$A$1:$F$135,3,FALSE)</f>
        <v>-</v>
      </c>
      <c r="N14" s="52" t="str">
        <f>VLOOKUP(Tabla3[[#This Row],[Site]],'Important Info!'!$A$1:$F$135,4,FALSE)</f>
        <v>-</v>
      </c>
      <c r="O14" s="52" t="str">
        <f>VLOOKUP(Tabla3[[#This Row],[Site]],'Important Info!'!$A$1:$F$135,5,FALSE)</f>
        <v>-</v>
      </c>
      <c r="P14" s="52">
        <f>VLOOKUP(Tabla3[[#This Row],[Site]],'Important Info!'!$A$1:$F$135,6,FALSE)</f>
        <v>4</v>
      </c>
      <c r="Q14" s="91">
        <f>VLOOKUP(Tabla3[[#This Row],[Site]],'Important Info!'!$A$1:$J$135,9,FALSE)</f>
        <v>236</v>
      </c>
    </row>
    <row r="15" spans="1:17" x14ac:dyDescent="0.25">
      <c r="A15" t="str">
        <f>+Tabla3[[#This Row],[Site]]&amp;Tabla3[[#This Row],[Split]]</f>
        <v>(KG) Texan CDJR4</v>
      </c>
      <c r="B15">
        <v>4</v>
      </c>
      <c r="C15">
        <v>1</v>
      </c>
      <c r="D15" t="s">
        <v>33</v>
      </c>
      <c r="E15" t="s">
        <v>46</v>
      </c>
      <c r="F15" t="s">
        <v>70</v>
      </c>
      <c r="G15" t="s">
        <v>34</v>
      </c>
      <c r="H15" s="52" t="str">
        <f>VLOOKUP(Tabla3[[#This Row],[Site]],'Important Info!'!$A$1:$J$135,10,FALSE)</f>
        <v>https://tools.sig.systems/site/details/238</v>
      </c>
      <c r="I15" s="65" t="s">
        <v>137</v>
      </c>
      <c r="J15" t="s">
        <v>41</v>
      </c>
      <c r="K15" s="79" t="str">
        <f>VLOOKUP(Tabla3[[#This Row],[Site]],'Important Info!'!$A$1:$H$135,8,FALSE)</f>
        <v>-</v>
      </c>
      <c r="L15" s="52" t="str">
        <f>VLOOKUP(Tabla3[[#This Row],[Site]],'Important Info!'!$A$1:$F$135,2,FALSE)</f>
        <v>11, 12, 13, 14, 20, 32, 34, 36, 77</v>
      </c>
      <c r="M15" s="52" t="str">
        <f>VLOOKUP(Tabla3[[#This Row],[Site]],'Important Info!'!$A$1:$F$135,3,FALSE)</f>
        <v>-</v>
      </c>
      <c r="N15" s="52" t="str">
        <f>VLOOKUP(Tabla3[[#This Row],[Site]],'Important Info!'!$A$1:$F$135,4,FALSE)</f>
        <v>67, 68, 69, 70</v>
      </c>
      <c r="O15" s="52" t="str">
        <f>VLOOKUP(Tabla3[[#This Row],[Site]],'Important Info!'!$A$1:$F$135,5,FALSE)</f>
        <v>2, 10, 14, 25, 29, 35, 38</v>
      </c>
      <c r="P15" s="52" t="str">
        <f>VLOOKUP(Tabla3[[#This Row],[Site]],'Important Info!'!$A$1:$F$135,6,FALSE)</f>
        <v>36, 46</v>
      </c>
      <c r="Q15" s="91">
        <f>VLOOKUP(Tabla3[[#This Row],[Site]],'Important Info!'!$A$1:$J$135,9,FALSE)</f>
        <v>238</v>
      </c>
    </row>
    <row r="16" spans="1:17" x14ac:dyDescent="0.25">
      <c r="A16" t="str">
        <f>+Tabla3[[#This Row],[Site]]&amp;Tabla3[[#This Row],[Split]]</f>
        <v>(KG) Truck Center Remote Storage Lot4</v>
      </c>
      <c r="B16">
        <v>4</v>
      </c>
      <c r="C16">
        <v>1</v>
      </c>
      <c r="D16" t="s">
        <v>60</v>
      </c>
      <c r="E16" t="s">
        <v>53</v>
      </c>
      <c r="F16" t="s">
        <v>61</v>
      </c>
      <c r="G16" t="s">
        <v>41</v>
      </c>
      <c r="H16" s="52" t="str">
        <f>VLOOKUP(Tabla3[[#This Row],[Site]],'Important Info!'!$A$1:$J$135,10,FALSE)</f>
        <v>https://tools.sig.systems/site/details/144</v>
      </c>
      <c r="J16" t="s">
        <v>41</v>
      </c>
      <c r="K16" s="79" t="str">
        <f>VLOOKUP(Tabla3[[#This Row],[Site]],'Important Info!'!$A$1:$H$135,8,FALSE)</f>
        <v>-</v>
      </c>
      <c r="L16" s="52" t="str">
        <f>VLOOKUP(Tabla3[[#This Row],[Site]],'Important Info!'!$A$1:$F$135,2,FALSE)</f>
        <v>4, A23, A49</v>
      </c>
      <c r="M16" s="52" t="str">
        <f>VLOOKUP(Tabla3[[#This Row],[Site]],'Important Info!'!$A$1:$F$135,3,FALSE)</f>
        <v>5, 24</v>
      </c>
      <c r="N16" s="52" t="str">
        <f>VLOOKUP(Tabla3[[#This Row],[Site]],'Important Info!'!$A$1:$F$135,4,FALSE)</f>
        <v>-</v>
      </c>
      <c r="O16" s="52" t="str">
        <f>VLOOKUP(Tabla3[[#This Row],[Site]],'Important Info!'!$A$1:$F$135,5,FALSE)</f>
        <v>1, 7, 11, 15, 19, 24, 25</v>
      </c>
      <c r="P16" s="52" t="str">
        <f>VLOOKUP(Tabla3[[#This Row],[Site]],'Important Info!'!$A$1:$F$135,6,FALSE)</f>
        <v>9, 20, 24, A49</v>
      </c>
      <c r="Q16" s="91">
        <f>VLOOKUP(Tabla3[[#This Row],[Site]],'Important Info!'!$A$1:$J$135,9,FALSE)</f>
        <v>144</v>
      </c>
    </row>
    <row r="17" spans="1:17" x14ac:dyDescent="0.25">
      <c r="A17" t="str">
        <f>+Tabla3[[#This Row],[Site]]&amp;Tabla3[[#This Row],[Split]]</f>
        <v>(KT) Northwest CDJR (NO TOURS)4</v>
      </c>
      <c r="B17">
        <v>4</v>
      </c>
      <c r="C17">
        <v>1</v>
      </c>
      <c r="D17" t="s">
        <v>33</v>
      </c>
      <c r="E17" t="s">
        <v>46</v>
      </c>
      <c r="F17" t="s">
        <v>77</v>
      </c>
      <c r="G17" t="s">
        <v>34</v>
      </c>
      <c r="H17" s="52" t="str">
        <f>VLOOKUP(Tabla3[[#This Row],[Site]],'Important Info!'!$A$1:$J$135,10,FALSE)</f>
        <v>https://tools.sig.systems/site/details/229</v>
      </c>
      <c r="J17" t="s">
        <v>41</v>
      </c>
      <c r="K17" s="79" t="str">
        <f>VLOOKUP(Tabla3[[#This Row],[Site]],'Important Info!'!$A$1:$H$135,8,FALSE)</f>
        <v>-</v>
      </c>
      <c r="L17" s="52" t="str">
        <f>VLOOKUP(Tabla3[[#This Row],[Site]],'Important Info!'!$A$1:$F$135,2,FALSE)</f>
        <v>1, 3, 11, 25</v>
      </c>
      <c r="M17" s="52" t="str">
        <f>VLOOKUP(Tabla3[[#This Row],[Site]],'Important Info!'!$A$1:$F$135,3,FALSE)</f>
        <v>-</v>
      </c>
      <c r="N17" s="52" t="str">
        <f>VLOOKUP(Tabla3[[#This Row],[Site]],'Important Info!'!$A$1:$F$135,4,FALSE)</f>
        <v>-</v>
      </c>
      <c r="O17" s="52" t="str">
        <f>VLOOKUP(Tabla3[[#This Row],[Site]],'Important Info!'!$A$1:$F$135,5,FALSE)</f>
        <v>4, 12, 18</v>
      </c>
      <c r="P17" s="52" t="str">
        <f>VLOOKUP(Tabla3[[#This Row],[Site]],'Important Info!'!$A$1:$F$135,6,FALSE)</f>
        <v>-</v>
      </c>
      <c r="Q17" s="91">
        <f>VLOOKUP(Tabla3[[#This Row],[Site]],'Important Info!'!$A$1:$J$135,9,FALSE)</f>
        <v>229</v>
      </c>
    </row>
    <row r="18" spans="1:17" x14ac:dyDescent="0.25">
      <c r="A18" t="str">
        <f>+Tabla3[[#This Row],[Site]]&amp;Tabla3[[#This Row],[Split]]</f>
        <v>(ML) Honda of Little Rock4</v>
      </c>
      <c r="B18">
        <v>4</v>
      </c>
      <c r="C18">
        <v>1</v>
      </c>
      <c r="D18" t="s">
        <v>33</v>
      </c>
      <c r="E18" t="s">
        <v>46</v>
      </c>
      <c r="F18" t="s">
        <v>71</v>
      </c>
      <c r="G18" t="s">
        <v>34</v>
      </c>
      <c r="H18" s="52" t="str">
        <f>VLOOKUP(Tabla3[[#This Row],[Site]],'Important Info!'!$A$1:$J$135,10,FALSE)</f>
        <v>https://tools.sig.systems/site/details/249</v>
      </c>
      <c r="I18" s="65" t="s">
        <v>140</v>
      </c>
      <c r="J18" t="s">
        <v>41</v>
      </c>
      <c r="K18" s="79" t="str">
        <f>VLOOKUP(Tabla3[[#This Row],[Site]],'Important Info!'!$A$1:$H$135,8,FALSE)</f>
        <v>-</v>
      </c>
      <c r="L18" s="52" t="str">
        <f>VLOOKUP(Tabla3[[#This Row],[Site]],'Important Info!'!$A$1:$F$135,2,FALSE)</f>
        <v>1, 4, 9, 14, 21</v>
      </c>
      <c r="M18" s="52" t="str">
        <f>VLOOKUP(Tabla3[[#This Row],[Site]],'Important Info!'!$A$1:$F$135,3,FALSE)</f>
        <v>-</v>
      </c>
      <c r="N18" s="52" t="str">
        <f>VLOOKUP(Tabla3[[#This Row],[Site]],'Important Info!'!$A$1:$F$135,4,FALSE)</f>
        <v>-</v>
      </c>
      <c r="O18" s="52" t="str">
        <f>VLOOKUP(Tabla3[[#This Row],[Site]],'Important Info!'!$A$1:$F$135,5,FALSE)</f>
        <v>4, 14, 21</v>
      </c>
      <c r="P18" s="52" t="str">
        <f>VLOOKUP(Tabla3[[#This Row],[Site]],'Important Info!'!$A$1:$F$135,6,FALSE)</f>
        <v>11, 12</v>
      </c>
      <c r="Q18" s="91">
        <f>VLOOKUP(Tabla3[[#This Row],[Site]],'Important Info!'!$A$1:$J$135,9,FALSE)</f>
        <v>249</v>
      </c>
    </row>
    <row r="19" spans="1:17" x14ac:dyDescent="0.25">
      <c r="A19" t="str">
        <f>+Tabla3[[#This Row],[Site]]&amp;Tabla3[[#This Row],[Split]]</f>
        <v>(ML) Joe Machens Capital City I &amp; II (NO TOURS)4</v>
      </c>
      <c r="B19">
        <v>4</v>
      </c>
      <c r="C19">
        <v>1</v>
      </c>
      <c r="D19" t="s">
        <v>33</v>
      </c>
      <c r="E19" t="s">
        <v>46</v>
      </c>
      <c r="F19" t="s">
        <v>72</v>
      </c>
      <c r="G19" t="s">
        <v>34</v>
      </c>
      <c r="H19" s="52" t="str">
        <f>VLOOKUP(Tabla3[[#This Row],[Site]],'Important Info!'!$A$1:$J$135,10,FALSE)</f>
        <v>https://tools.sig.systems/site/details/271</v>
      </c>
      <c r="J19" t="s">
        <v>41</v>
      </c>
      <c r="K19" s="79" t="str">
        <f>VLOOKUP(Tabla3[[#This Row],[Site]],'Important Info!'!$A$1:$H$135,8,FALSE)</f>
        <v>-</v>
      </c>
      <c r="L19" s="52" t="str">
        <f>VLOOKUP(Tabla3[[#This Row],[Site]],'Important Info!'!$A$1:$F$135,2,FALSE)</f>
        <v>-</v>
      </c>
      <c r="M19" s="52" t="str">
        <f>VLOOKUP(Tabla3[[#This Row],[Site]],'Important Info!'!$A$1:$F$135,3,FALSE)</f>
        <v>1, 3, 4, 20, 25, 27, 28</v>
      </c>
      <c r="N19" s="52" t="str">
        <f>VLOOKUP(Tabla3[[#This Row],[Site]],'Important Info!'!$A$1:$F$135,4,FALSE)</f>
        <v>-</v>
      </c>
      <c r="O19" s="52">
        <f>VLOOKUP(Tabla3[[#This Row],[Site]],'Important Info!'!$A$1:$F$135,5,FALSE)</f>
        <v>29</v>
      </c>
      <c r="P19" s="52" t="str">
        <f>VLOOKUP(Tabla3[[#This Row],[Site]],'Important Info!'!$A$1:$F$135,6,FALSE)</f>
        <v>19, 20</v>
      </c>
      <c r="Q19" s="91">
        <f>VLOOKUP(Tabla3[[#This Row],[Site]],'Important Info!'!$A$1:$J$135,9,FALSE)</f>
        <v>271</v>
      </c>
    </row>
    <row r="20" spans="1:17" x14ac:dyDescent="0.25">
      <c r="A20" t="str">
        <f>+Tabla3[[#This Row],[Site]]&amp;Tabla3[[#This Row],[Split]]</f>
        <v>(ML) Joe Machens Toyota4</v>
      </c>
      <c r="B20">
        <v>4</v>
      </c>
      <c r="C20">
        <v>1</v>
      </c>
      <c r="D20" t="s">
        <v>33</v>
      </c>
      <c r="E20" t="s">
        <v>46</v>
      </c>
      <c r="F20" t="s">
        <v>73</v>
      </c>
      <c r="G20" t="s">
        <v>34</v>
      </c>
      <c r="H20" s="52" t="str">
        <f>VLOOKUP(Tabla3[[#This Row],[Site]],'Important Info!'!$A$1:$J$135,10,FALSE)</f>
        <v>https://tools.sig.systems/site/details/275</v>
      </c>
      <c r="I20" s="8" t="s">
        <v>146</v>
      </c>
      <c r="J20" t="s">
        <v>41</v>
      </c>
      <c r="K20" s="79" t="str">
        <f>VLOOKUP(Tabla3[[#This Row],[Site]],'Important Info!'!$A$1:$H$135,8,FALSE)</f>
        <v>-</v>
      </c>
      <c r="L20" s="52" t="str">
        <f>VLOOKUP(Tabla3[[#This Row],[Site]],'Important Info!'!$A$1:$F$135,2,FALSE)</f>
        <v>-</v>
      </c>
      <c r="M20" s="52" t="str">
        <f>VLOOKUP(Tabla3[[#This Row],[Site]],'Important Info!'!$A$1:$F$135,3,FALSE)</f>
        <v>1, 4, 6</v>
      </c>
      <c r="N20" s="52" t="str">
        <f>VLOOKUP(Tabla3[[#This Row],[Site]],'Important Info!'!$A$1:$F$135,4,FALSE)</f>
        <v>-</v>
      </c>
      <c r="O20" s="52" t="str">
        <f>VLOOKUP(Tabla3[[#This Row],[Site]],'Important Info!'!$A$1:$F$135,5,FALSE)</f>
        <v>4, 10</v>
      </c>
      <c r="P20" s="52" t="str">
        <f>VLOOKUP(Tabla3[[#This Row],[Site]],'Important Info!'!$A$1:$F$135,6,FALSE)</f>
        <v>-</v>
      </c>
      <c r="Q20" s="91">
        <f>VLOOKUP(Tabla3[[#This Row],[Site]],'Important Info!'!$A$1:$J$135,9,FALSE)</f>
        <v>275</v>
      </c>
    </row>
    <row r="21" spans="1:17" x14ac:dyDescent="0.25">
      <c r="A21" t="str">
        <f>+Tabla3[[#This Row],[Site]]&amp;Tabla3[[#This Row],[Split]]</f>
        <v>(ML) Joe Machens VW4</v>
      </c>
      <c r="B21">
        <v>4</v>
      </c>
      <c r="C21">
        <v>1</v>
      </c>
      <c r="D21" t="s">
        <v>33</v>
      </c>
      <c r="E21" t="s">
        <v>46</v>
      </c>
      <c r="F21" t="s">
        <v>74</v>
      </c>
      <c r="G21" t="s">
        <v>34</v>
      </c>
      <c r="H21" s="52" t="str">
        <f>VLOOKUP(Tabla3[[#This Row],[Site]],'Important Info!'!$A$1:$J$135,10,FALSE)</f>
        <v>https://tools.sig.systems/site/details/274</v>
      </c>
      <c r="I21" s="8" t="s">
        <v>146</v>
      </c>
      <c r="J21" t="s">
        <v>41</v>
      </c>
      <c r="K21" s="79" t="str">
        <f>VLOOKUP(Tabla3[[#This Row],[Site]],'Important Info!'!$A$1:$H$135,8,FALSE)</f>
        <v>-</v>
      </c>
      <c r="L21" s="52" t="str">
        <f>VLOOKUP(Tabla3[[#This Row],[Site]],'Important Info!'!$A$1:$F$135,2,FALSE)</f>
        <v>-</v>
      </c>
      <c r="M21" s="52" t="str">
        <f>VLOOKUP(Tabla3[[#This Row],[Site]],'Important Info!'!$A$1:$F$135,3,FALSE)</f>
        <v>1, 11, 18</v>
      </c>
      <c r="N21" s="52" t="str">
        <f>VLOOKUP(Tabla3[[#This Row],[Site]],'Important Info!'!$A$1:$F$135,4,FALSE)</f>
        <v>-</v>
      </c>
      <c r="O21" s="52">
        <f>VLOOKUP(Tabla3[[#This Row],[Site]],'Important Info!'!$A$1:$F$135,5,FALSE)</f>
        <v>17</v>
      </c>
      <c r="P21" s="52" t="str">
        <f>VLOOKUP(Tabla3[[#This Row],[Site]],'Important Info!'!$A$1:$F$135,6,FALSE)</f>
        <v>-</v>
      </c>
      <c r="Q21" s="91">
        <f>VLOOKUP(Tabla3[[#This Row],[Site]],'Important Info!'!$A$1:$J$135,9,FALSE)</f>
        <v>274</v>
      </c>
    </row>
    <row r="22" spans="1:17" x14ac:dyDescent="0.25">
      <c r="A22" t="str">
        <f>+Tabla3[[#This Row],[Site]]&amp;Tabla3[[#This Row],[Split]]</f>
        <v>(ML) Nissan of North Little Rock4</v>
      </c>
      <c r="B22">
        <v>4</v>
      </c>
      <c r="C22">
        <v>1</v>
      </c>
      <c r="D22" t="s">
        <v>33</v>
      </c>
      <c r="E22" t="s">
        <v>46</v>
      </c>
      <c r="F22" t="s">
        <v>75</v>
      </c>
      <c r="G22" t="s">
        <v>34</v>
      </c>
      <c r="H22" s="52" t="str">
        <f>VLOOKUP(Tabla3[[#This Row],[Site]],'Important Info!'!$A$1:$J$135,10,FALSE)</f>
        <v>https://tools.sig.systems/site/details/216</v>
      </c>
      <c r="I22" s="8" t="s">
        <v>142</v>
      </c>
      <c r="J22" t="s">
        <v>41</v>
      </c>
      <c r="K22" s="79" t="str">
        <f>VLOOKUP(Tabla3[[#This Row],[Site]],'Important Info!'!$A$1:$H$135,8,FALSE)</f>
        <v>-</v>
      </c>
      <c r="L22" s="52" t="str">
        <f>VLOOKUP(Tabla3[[#This Row],[Site]],'Important Info!'!$A$1:$F$135,2,FALSE)</f>
        <v>2, 4</v>
      </c>
      <c r="M22" s="52" t="str">
        <f>VLOOKUP(Tabla3[[#This Row],[Site]],'Important Info!'!$A$1:$F$135,3,FALSE)</f>
        <v>-</v>
      </c>
      <c r="N22" s="52" t="str">
        <f>VLOOKUP(Tabla3[[#This Row],[Site]],'Important Info!'!$A$1:$F$135,4,FALSE)</f>
        <v>-</v>
      </c>
      <c r="O22" s="52" t="str">
        <f>VLOOKUP(Tabla3[[#This Row],[Site]],'Important Info!'!$A$1:$F$135,5,FALSE)</f>
        <v>5, 17, 23</v>
      </c>
      <c r="P22" s="52">
        <f>VLOOKUP(Tabla3[[#This Row],[Site]],'Important Info!'!$A$1:$F$135,6,FALSE)</f>
        <v>18</v>
      </c>
      <c r="Q22" s="91">
        <f>VLOOKUP(Tabla3[[#This Row],[Site]],'Important Info!'!$A$1:$J$135,9,FALSE)</f>
        <v>216</v>
      </c>
    </row>
    <row r="23" spans="1:17" x14ac:dyDescent="0.25">
      <c r="A23" t="str">
        <f>+Tabla3[[#This Row],[Site]]&amp;Tabla3[[#This Row],[Split]]</f>
        <v>(ML) Toyota N Little Rock4</v>
      </c>
      <c r="B23">
        <v>4</v>
      </c>
      <c r="C23">
        <v>1</v>
      </c>
      <c r="D23" t="s">
        <v>33</v>
      </c>
      <c r="E23" t="s">
        <v>46</v>
      </c>
      <c r="F23" t="s">
        <v>76</v>
      </c>
      <c r="G23" t="s">
        <v>34</v>
      </c>
      <c r="H23" s="52" t="str">
        <f>VLOOKUP(Tabla3[[#This Row],[Site]],'Important Info!'!$A$1:$J$135,10,FALSE)</f>
        <v>https://tools.sig.systems/site/details/201</v>
      </c>
      <c r="I23" s="8" t="s">
        <v>142</v>
      </c>
      <c r="J23" t="s">
        <v>41</v>
      </c>
      <c r="K23" s="79" t="str">
        <f>VLOOKUP(Tabla3[[#This Row],[Site]],'Important Info!'!$A$1:$H$135,8,FALSE)</f>
        <v>-</v>
      </c>
      <c r="L23" s="52" t="str">
        <f>VLOOKUP(Tabla3[[#This Row],[Site]],'Important Info!'!$A$1:$F$135,2,FALSE)</f>
        <v>4, 15, 18, 22, 23, 26</v>
      </c>
      <c r="M23" s="52" t="str">
        <f>VLOOKUP(Tabla3[[#This Row],[Site]],'Important Info!'!$A$1:$F$135,3,FALSE)</f>
        <v>-</v>
      </c>
      <c r="N23" s="52" t="str">
        <f>VLOOKUP(Tabla3[[#This Row],[Site]],'Important Info!'!$A$1:$F$135,4,FALSE)</f>
        <v>-</v>
      </c>
      <c r="O23" s="52" t="str">
        <f>VLOOKUP(Tabla3[[#This Row],[Site]],'Important Info!'!$A$1:$F$135,5,FALSE)</f>
        <v>2, 12, 13, 18</v>
      </c>
      <c r="P23" s="52" t="str">
        <f>VLOOKUP(Tabla3[[#This Row],[Site]],'Important Info!'!$A$1:$F$135,6,FALSE)</f>
        <v>-</v>
      </c>
      <c r="Q23" s="91">
        <f>VLOOKUP(Tabla3[[#This Row],[Site]],'Important Info!'!$A$1:$J$135,9,FALSE)</f>
        <v>201</v>
      </c>
    </row>
    <row r="24" spans="1:17" x14ac:dyDescent="0.25">
      <c r="A24" t="str">
        <f>+Tabla3[[#This Row],[Site]]&amp;Tabla3[[#This Row],[Split]]</f>
        <v>(PE) Fairfield Collision (NO TOURS)4</v>
      </c>
      <c r="B24">
        <v>4</v>
      </c>
      <c r="C24">
        <v>1</v>
      </c>
      <c r="D24" t="s">
        <v>485</v>
      </c>
      <c r="E24" t="s">
        <v>35</v>
      </c>
      <c r="F24" t="s">
        <v>63</v>
      </c>
      <c r="G24" t="s">
        <v>490</v>
      </c>
      <c r="H24" s="52" t="str">
        <f>VLOOKUP(Tabla3[[#This Row],[Site]],'Important Info!'!$A$1:$J$135,10,FALSE)</f>
        <v>https://tools.sig.systems/site/details/191</v>
      </c>
      <c r="J24" t="s">
        <v>41</v>
      </c>
      <c r="K24" s="79" t="str">
        <f>VLOOKUP(Tabla3[[#This Row],[Site]],'Important Info!'!$A$1:$H$135,8,FALSE)</f>
        <v>-</v>
      </c>
      <c r="L24" s="52">
        <f>VLOOKUP(Tabla3[[#This Row],[Site]],'Important Info!'!$A$1:$F$135,2,FALSE)</f>
        <v>4</v>
      </c>
      <c r="M24" s="52" t="str">
        <f>VLOOKUP(Tabla3[[#This Row],[Site]],'Important Info!'!$A$1:$F$135,3,FALSE)</f>
        <v>-</v>
      </c>
      <c r="N24" s="52" t="str">
        <f>VLOOKUP(Tabla3[[#This Row],[Site]],'Important Info!'!$A$1:$F$135,4,FALSE)</f>
        <v>-</v>
      </c>
      <c r="O24" s="52" t="str">
        <f>VLOOKUP(Tabla3[[#This Row],[Site]],'Important Info!'!$A$1:$F$135,5,FALSE)</f>
        <v>-</v>
      </c>
      <c r="P24" s="52" t="str">
        <f>VLOOKUP(Tabla3[[#This Row],[Site]],'Important Info!'!$A$1:$F$135,6,FALSE)</f>
        <v>1, 2, 3, 4, 5, 6</v>
      </c>
      <c r="Q24" s="91">
        <f>VLOOKUP(Tabla3[[#This Row],[Site]],'Important Info!'!$A$1:$J$135,9,FALSE)</f>
        <v>191</v>
      </c>
    </row>
    <row r="25" spans="1:17" x14ac:dyDescent="0.25">
      <c r="A25" t="str">
        <f>+Tabla3[[#This Row],[Site]]&amp;Tabla3[[#This Row],[Split]]</f>
        <v>(PE) Mercedes Benz &amp; Smart Bldg. of Fairfield (NO TOURS)4</v>
      </c>
      <c r="B25">
        <v>4</v>
      </c>
      <c r="C25">
        <v>1</v>
      </c>
      <c r="D25" t="s">
        <v>485</v>
      </c>
      <c r="E25" t="s">
        <v>35</v>
      </c>
      <c r="F25" t="s">
        <v>64</v>
      </c>
      <c r="G25" t="s">
        <v>490</v>
      </c>
      <c r="H25" s="52" t="str">
        <f>VLOOKUP(Tabla3[[#This Row],[Site]],'Important Info!'!$A$1:$J$135,10,FALSE)</f>
        <v>https://tools.sig.systems/site/details/192</v>
      </c>
      <c r="I25" t="s">
        <v>177</v>
      </c>
      <c r="J25" t="s">
        <v>41</v>
      </c>
      <c r="K25" s="79" t="str">
        <f>VLOOKUP(Tabla3[[#This Row],[Site]],'Important Info!'!$A$1:$H$135,8,FALSE)</f>
        <v>-</v>
      </c>
      <c r="L25" s="52" t="str">
        <f>VLOOKUP(Tabla3[[#This Row],[Site]],'Important Info!'!$A$1:$F$135,2,FALSE)</f>
        <v>-</v>
      </c>
      <c r="M25" s="52">
        <f>VLOOKUP(Tabla3[[#This Row],[Site]],'Important Info!'!$A$1:$F$135,3,FALSE)</f>
        <v>1</v>
      </c>
      <c r="N25" s="52" t="str">
        <f>VLOOKUP(Tabla3[[#This Row],[Site]],'Important Info!'!$A$1:$F$135,4,FALSE)</f>
        <v>-</v>
      </c>
      <c r="O25" s="52" t="str">
        <f>VLOOKUP(Tabla3[[#This Row],[Site]],'Important Info!'!$A$1:$F$135,5,FALSE)</f>
        <v>11, 13</v>
      </c>
      <c r="P25" s="52">
        <f>VLOOKUP(Tabla3[[#This Row],[Site]],'Important Info!'!$A$1:$F$135,6,FALSE)</f>
        <v>1</v>
      </c>
      <c r="Q25" s="91">
        <f>VLOOKUP(Tabla3[[#This Row],[Site]],'Important Info!'!$A$1:$J$135,9,FALSE)</f>
        <v>192</v>
      </c>
    </row>
    <row r="26" spans="1:17" x14ac:dyDescent="0.25">
      <c r="A26" t="str">
        <f>+Tabla3[[#This Row],[Site]]&amp;Tabla3[[#This Row],[Split]]</f>
        <v>(RV) Toms Camperland Avondale (NO TOURS)4</v>
      </c>
      <c r="B26">
        <v>4</v>
      </c>
      <c r="C26">
        <v>1</v>
      </c>
      <c r="D26" t="s">
        <v>51</v>
      </c>
      <c r="E26" t="s">
        <v>161</v>
      </c>
      <c r="F26" t="s">
        <v>80</v>
      </c>
      <c r="G26" t="s">
        <v>52</v>
      </c>
      <c r="H26" s="52" t="str">
        <f>VLOOKUP(Tabla3[[#This Row],[Site]],'Important Info!'!$A$1:$J$135,10,FALSE)</f>
        <v>https://tools.sig.systems/site/details/248</v>
      </c>
      <c r="I26" s="8" t="s">
        <v>163</v>
      </c>
      <c r="J26" t="s">
        <v>164</v>
      </c>
      <c r="K26" s="79" t="str">
        <f>VLOOKUP(Tabla3[[#This Row],[Site]],'Important Info!'!$A$1:$H$135,8,FALSE)</f>
        <v>-</v>
      </c>
      <c r="L26" s="52">
        <f>VLOOKUP(Tabla3[[#This Row],[Site]],'Important Info!'!$A$1:$F$135,2,FALSE)</f>
        <v>10</v>
      </c>
      <c r="M26" s="52" t="str">
        <f>VLOOKUP(Tabla3[[#This Row],[Site]],'Important Info!'!$A$1:$F$135,3,FALSE)</f>
        <v>2, 7</v>
      </c>
      <c r="N26" s="52" t="str">
        <f>VLOOKUP(Tabla3[[#This Row],[Site]],'Important Info!'!$A$1:$F$135,4,FALSE)</f>
        <v>-</v>
      </c>
      <c r="O26" s="52" t="str">
        <f>VLOOKUP(Tabla3[[#This Row],[Site]],'Important Info!'!$A$1:$F$135,5,FALSE)</f>
        <v>-</v>
      </c>
      <c r="P26" s="52" t="str">
        <f>VLOOKUP(Tabla3[[#This Row],[Site]],'Important Info!'!$A$1:$F$135,6,FALSE)</f>
        <v>2, 7, 8, 13, 15</v>
      </c>
      <c r="Q26" s="91">
        <f>VLOOKUP(Tabla3[[#This Row],[Site]],'Important Info!'!$A$1:$J$135,9,FALSE)</f>
        <v>248</v>
      </c>
    </row>
    <row r="27" spans="1:17" x14ac:dyDescent="0.25">
      <c r="A27" t="str">
        <f>+Tabla3[[#This Row],[Site]]&amp;Tabla3[[#This Row],[Split]]</f>
        <v>(RV) Toms Camperland Mesa (NO TOURS)4</v>
      </c>
      <c r="B27">
        <v>4</v>
      </c>
      <c r="C27">
        <v>1</v>
      </c>
      <c r="D27" t="s">
        <v>51</v>
      </c>
      <c r="E27" t="s">
        <v>161</v>
      </c>
      <c r="F27" t="s">
        <v>81</v>
      </c>
      <c r="G27" t="s">
        <v>52</v>
      </c>
      <c r="H27" s="52" t="str">
        <f>VLOOKUP(Tabla3[[#This Row],[Site]],'Important Info!'!$A$1:$J$135,10,FALSE)</f>
        <v>https://tools.sig.systems/site/details/222</v>
      </c>
      <c r="J27" t="s">
        <v>41</v>
      </c>
      <c r="K27" s="79" t="str">
        <f>VLOOKUP(Tabla3[[#This Row],[Site]],'Important Info!'!$A$1:$H$135,8,FALSE)</f>
        <v>-</v>
      </c>
      <c r="L27" s="52" t="str">
        <f>VLOOKUP(Tabla3[[#This Row],[Site]],'Important Info!'!$A$1:$F$135,2,FALSE)</f>
        <v>1, 2</v>
      </c>
      <c r="M27" s="52" t="str">
        <f>VLOOKUP(Tabla3[[#This Row],[Site]],'Important Info!'!$A$1:$F$135,3,FALSE)</f>
        <v>-</v>
      </c>
      <c r="N27" s="52" t="str">
        <f>VLOOKUP(Tabla3[[#This Row],[Site]],'Important Info!'!$A$1:$F$135,4,FALSE)</f>
        <v>-</v>
      </c>
      <c r="O27" s="52" t="str">
        <f>VLOOKUP(Tabla3[[#This Row],[Site]],'Important Info!'!$A$1:$F$135,5,FALSE)</f>
        <v>-</v>
      </c>
      <c r="P27" s="52" t="str">
        <f>VLOOKUP(Tabla3[[#This Row],[Site]],'Important Info!'!$A$1:$F$135,6,FALSE)</f>
        <v>1, 4, 6, 8, 10, 18</v>
      </c>
      <c r="Q27" s="91">
        <f>VLOOKUP(Tabla3[[#This Row],[Site]],'Important Info!'!$A$1:$J$135,9,FALSE)</f>
        <v>222</v>
      </c>
    </row>
    <row r="28" spans="1:17" x14ac:dyDescent="0.25">
      <c r="A28" t="str">
        <f>+Tabla3[[#This Row],[Site]]&amp;Tabla3[[#This Row],[Split]]</f>
        <v>(SCH) Delray I &amp; II4</v>
      </c>
      <c r="B28">
        <v>4</v>
      </c>
      <c r="C28">
        <v>1</v>
      </c>
      <c r="D28" t="s">
        <v>62</v>
      </c>
      <c r="E28" t="s">
        <v>35</v>
      </c>
      <c r="F28" t="s">
        <v>67</v>
      </c>
      <c r="G28" t="s">
        <v>490</v>
      </c>
      <c r="H28" s="52" t="str">
        <f>VLOOKUP(Tabla3[[#This Row],[Site]],'Important Info!'!$A$1:$J$135,10,FALSE)</f>
        <v>https://tools.sig.systems/site/details/159</v>
      </c>
      <c r="I28" s="8"/>
      <c r="J28" t="s">
        <v>36</v>
      </c>
      <c r="K28" s="79" t="str">
        <f>VLOOKUP(Tabla3[[#This Row],[Site]],'Important Info!'!$A$1:$H$135,8,FALSE)</f>
        <v>-</v>
      </c>
      <c r="L28" s="52" t="str">
        <f>VLOOKUP(Tabla3[[#This Row],[Site]],'Important Info!'!$A$1:$F$135,2,FALSE)</f>
        <v>5, 28, 31</v>
      </c>
      <c r="M28" s="52" t="str">
        <f>VLOOKUP(Tabla3[[#This Row],[Site]],'Important Info!'!$A$1:$F$135,3,FALSE)</f>
        <v>1, 29</v>
      </c>
      <c r="N28" s="52">
        <f>VLOOKUP(Tabla3[[#This Row],[Site]],'Important Info!'!$A$1:$F$135,4,FALSE)</f>
        <v>6</v>
      </c>
      <c r="O28" s="52" t="str">
        <f>VLOOKUP(Tabla3[[#This Row],[Site]],'Important Info!'!$A$1:$F$135,5,FALSE)</f>
        <v>-</v>
      </c>
      <c r="P28" s="52" t="str">
        <f>VLOOKUP(Tabla3[[#This Row],[Site]],'Important Info!'!$A$1:$F$135,6,FALSE)</f>
        <v>1, 35, 36</v>
      </c>
      <c r="Q28" s="91">
        <f>VLOOKUP(Tabla3[[#This Row],[Site]],'Important Info!'!$A$1:$J$135,9,FALSE)</f>
        <v>159</v>
      </c>
    </row>
    <row r="29" spans="1:17" x14ac:dyDescent="0.25">
      <c r="A29" t="str">
        <f>+Tabla3[[#This Row],[Site]]&amp;Tabla3[[#This Row],[Split]]</f>
        <v>(AS) Coggin Acura Ft Pierce (NO TOURS)4</v>
      </c>
      <c r="B29">
        <v>4</v>
      </c>
      <c r="C29">
        <v>2</v>
      </c>
      <c r="D29" t="s">
        <v>62</v>
      </c>
      <c r="E29" t="s">
        <v>35</v>
      </c>
      <c r="F29" t="s">
        <v>500</v>
      </c>
      <c r="G29" t="s">
        <v>490</v>
      </c>
      <c r="H29" s="52" t="str">
        <f>VLOOKUP(Tabla3[[#This Row],[Site]],'Important Info!'!$A$1:$J$135,10,FALSE)</f>
        <v>https://tools.sig.systems/site/details/118</v>
      </c>
      <c r="I29" t="s">
        <v>179</v>
      </c>
      <c r="J29" t="s">
        <v>41</v>
      </c>
      <c r="K29" s="79" t="str">
        <f>VLOOKUP(Tabla3[[#This Row],[Site]],'Important Info!'!$A$1:$H$135,8,FALSE)</f>
        <v>-</v>
      </c>
      <c r="L29" s="52" t="str">
        <f>VLOOKUP(Tabla3[[#This Row],[Site]],'Important Info!'!$A$1:$F$135,2,FALSE)</f>
        <v>-</v>
      </c>
      <c r="M29" s="52">
        <f>VLOOKUP(Tabla3[[#This Row],[Site]],'Important Info!'!$A$1:$F$135,3,FALSE)</f>
        <v>6</v>
      </c>
      <c r="N29" s="52" t="str">
        <f>VLOOKUP(Tabla3[[#This Row],[Site]],'Important Info!'!$A$1:$F$135,4,FALSE)</f>
        <v>-</v>
      </c>
      <c r="O29" s="52" t="str">
        <f>VLOOKUP(Tabla3[[#This Row],[Site]],'Important Info!'!$A$1:$F$135,5,FALSE)</f>
        <v>4, 6</v>
      </c>
      <c r="P29" s="52">
        <f>VLOOKUP(Tabla3[[#This Row],[Site]],'Important Info!'!$A$1:$F$135,6,FALSE)</f>
        <v>1</v>
      </c>
      <c r="Q29" s="91">
        <f>VLOOKUP(Tabla3[[#This Row],[Site]],'Important Info!'!$A$1:$J$135,9,FALSE)</f>
        <v>118</v>
      </c>
    </row>
    <row r="30" spans="1:17" x14ac:dyDescent="0.25">
      <c r="A30" t="str">
        <f>+Tabla3[[#This Row],[Site]]&amp;Tabla3[[#This Row],[Split]]</f>
        <v>(AS) Coggin Mercedes Benz Ft Pierce (NO TOURS)4</v>
      </c>
      <c r="B30">
        <v>4</v>
      </c>
      <c r="C30">
        <v>2</v>
      </c>
      <c r="D30" t="s">
        <v>62</v>
      </c>
      <c r="E30" t="s">
        <v>35</v>
      </c>
      <c r="F30" t="s">
        <v>502</v>
      </c>
      <c r="G30" t="s">
        <v>490</v>
      </c>
      <c r="H30" s="52" t="str">
        <f>VLOOKUP(Tabla3[[#This Row],[Site]],'Important Info!'!$A$1:$J$135,10,FALSE)</f>
        <v>https://tools.sig.systems/site/details/127</v>
      </c>
      <c r="I30" s="8" t="s">
        <v>179</v>
      </c>
      <c r="J30" t="s">
        <v>41</v>
      </c>
      <c r="K30" s="79" t="str">
        <f>VLOOKUP(Tabla3[[#This Row],[Site]],'Important Info!'!$A$1:$H$135,8,FALSE)</f>
        <v>-</v>
      </c>
      <c r="L30" s="52">
        <f>VLOOKUP(Tabla3[[#This Row],[Site]],'Important Info!'!$A$1:$F$135,2,FALSE)</f>
        <v>18</v>
      </c>
      <c r="M30" s="52" t="str">
        <f>VLOOKUP(Tabla3[[#This Row],[Site]],'Important Info!'!$A$1:$F$135,3,FALSE)</f>
        <v>1, 3</v>
      </c>
      <c r="N30" s="52" t="str">
        <f>VLOOKUP(Tabla3[[#This Row],[Site]],'Important Info!'!$A$1:$F$135,4,FALSE)</f>
        <v>-</v>
      </c>
      <c r="O30" s="52" t="str">
        <f>VLOOKUP(Tabla3[[#This Row],[Site]],'Important Info!'!$A$1:$F$135,5,FALSE)</f>
        <v>6, 10, 13</v>
      </c>
      <c r="P30" s="52" t="str">
        <f>VLOOKUP(Tabla3[[#This Row],[Site]],'Important Info!'!$A$1:$F$135,6,FALSE)</f>
        <v>1, 4, 5</v>
      </c>
      <c r="Q30" s="91">
        <f>VLOOKUP(Tabla3[[#This Row],[Site]],'Important Info!'!$A$1:$J$135,9,FALSE)</f>
        <v>127</v>
      </c>
    </row>
    <row r="31" spans="1:17" x14ac:dyDescent="0.25">
      <c r="A31" t="str">
        <f>+Tabla3[[#This Row],[Site]]&amp;Tabla3[[#This Row],[Split]]</f>
        <v>(AS) Lexus Grapevine I &amp; II (NO TOURS)4</v>
      </c>
      <c r="B31">
        <v>4</v>
      </c>
      <c r="C31">
        <v>2</v>
      </c>
      <c r="D31" t="s">
        <v>33</v>
      </c>
      <c r="E31" t="s">
        <v>46</v>
      </c>
      <c r="F31" t="s">
        <v>508</v>
      </c>
      <c r="G31" t="s">
        <v>34</v>
      </c>
      <c r="H31" s="52" t="str">
        <f>VLOOKUP(Tabla3[[#This Row],[Site]],'Important Info!'!$A$1:$J$135,10,FALSE)</f>
        <v>https://tools.sig.systems/site/details/136</v>
      </c>
      <c r="J31" t="s">
        <v>41</v>
      </c>
      <c r="K31" s="79" t="str">
        <f>VLOOKUP(Tabla3[[#This Row],[Site]],'Important Info!'!$A$1:$H$135,8,FALSE)</f>
        <v>-</v>
      </c>
      <c r="L31" s="52" t="str">
        <f>VLOOKUP(Tabla3[[#This Row],[Site]],'Important Info!'!$A$1:$F$135,2,FALSE)</f>
        <v>4, 10, 14, 18, 33</v>
      </c>
      <c r="M31" s="52" t="str">
        <f>VLOOKUP(Tabla3[[#This Row],[Site]],'Important Info!'!$A$1:$F$135,3,FALSE)</f>
        <v>-</v>
      </c>
      <c r="N31" s="52" t="str">
        <f>VLOOKUP(Tabla3[[#This Row],[Site]],'Important Info!'!$A$1:$F$135,4,FALSE)</f>
        <v>81, 82, 83</v>
      </c>
      <c r="O31" s="52" t="str">
        <f>VLOOKUP(Tabla3[[#This Row],[Site]],'Important Info!'!$A$1:$F$135,5,FALSE)</f>
        <v>4, 12, 15, 20, 30</v>
      </c>
      <c r="P31" s="52">
        <f>VLOOKUP(Tabla3[[#This Row],[Site]],'Important Info!'!$A$1:$F$135,6,FALSE)</f>
        <v>10</v>
      </c>
      <c r="Q31" s="91">
        <f>VLOOKUP(Tabla3[[#This Row],[Site]],'Important Info!'!$A$1:$J$135,9,FALSE)</f>
        <v>136</v>
      </c>
    </row>
    <row r="32" spans="1:17" x14ac:dyDescent="0.25">
      <c r="A32" t="str">
        <f>+Tabla3[[#This Row],[Site]]&amp;Tabla3[[#This Row],[Split]]</f>
        <v>(AS) Lexus Smyrna (NO TOURS)4</v>
      </c>
      <c r="B32">
        <v>4</v>
      </c>
      <c r="C32">
        <v>2</v>
      </c>
      <c r="D32" t="s">
        <v>62</v>
      </c>
      <c r="E32" t="s">
        <v>35</v>
      </c>
      <c r="F32" t="s">
        <v>84</v>
      </c>
      <c r="G32" t="s">
        <v>490</v>
      </c>
      <c r="H32" s="52" t="str">
        <f>VLOOKUP(Tabla3[[#This Row],[Site]],'Important Info!'!$A$1:$J$135,10,FALSE)</f>
        <v>https://tools.sig.systems/site/details/133</v>
      </c>
      <c r="J32" t="s">
        <v>41</v>
      </c>
      <c r="K32" s="79" t="str">
        <f>VLOOKUP(Tabla3[[#This Row],[Site]],'Important Info!'!$A$1:$H$135,8,FALSE)</f>
        <v>-</v>
      </c>
      <c r="L32" s="52" t="str">
        <f>VLOOKUP(Tabla3[[#This Row],[Site]],'Important Info!'!$A$1:$F$135,2,FALSE)</f>
        <v xml:space="preserve">2, 6, 10 </v>
      </c>
      <c r="M32" s="52" t="str">
        <f>VLOOKUP(Tabla3[[#This Row],[Site]],'Important Info!'!$A$1:$F$135,3,FALSE)</f>
        <v>-</v>
      </c>
      <c r="N32" s="52" t="str">
        <f>VLOOKUP(Tabla3[[#This Row],[Site]],'Important Info!'!$A$1:$F$135,4,FALSE)</f>
        <v>-</v>
      </c>
      <c r="O32" s="52" t="str">
        <f>VLOOKUP(Tabla3[[#This Row],[Site]],'Important Info!'!$A$1:$F$135,5,FALSE)</f>
        <v>3, 5, 10, 15</v>
      </c>
      <c r="P32" s="52" t="str">
        <f>VLOOKUP(Tabla3[[#This Row],[Site]],'Important Info!'!$A$1:$F$135,6,FALSE)</f>
        <v>10, 11</v>
      </c>
      <c r="Q32" s="91">
        <f>VLOOKUP(Tabla3[[#This Row],[Site]],'Important Info!'!$A$1:$J$135,9,FALSE)</f>
        <v>133</v>
      </c>
    </row>
    <row r="33" spans="1:17" x14ac:dyDescent="0.25">
      <c r="A33" t="str">
        <f>+Tabla3[[#This Row],[Site]]&amp;Tabla3[[#This Row],[Split]]</f>
        <v>(AS) Nalley Luxury Collision Center (NO TOURS)4</v>
      </c>
      <c r="B33">
        <v>4</v>
      </c>
      <c r="C33">
        <v>2</v>
      </c>
      <c r="D33" t="s">
        <v>62</v>
      </c>
      <c r="E33" t="s">
        <v>35</v>
      </c>
      <c r="F33" t="s">
        <v>512</v>
      </c>
      <c r="G33" t="s">
        <v>490</v>
      </c>
      <c r="H33" s="52" t="str">
        <f>VLOOKUP(Tabla3[[#This Row],[Site]],'Important Info!'!$A$1:$J$135,10,FALSE)</f>
        <v>https://tools.sig.systems/site/details/263</v>
      </c>
      <c r="I33" s="65" t="s">
        <v>166</v>
      </c>
      <c r="J33" t="s">
        <v>41</v>
      </c>
      <c r="K33" s="79" t="str">
        <f>VLOOKUP(Tabla3[[#This Row],[Site]],'Important Info!'!$A$1:$H$135,8,FALSE)</f>
        <v>-</v>
      </c>
      <c r="L33" s="52" t="str">
        <f>VLOOKUP(Tabla3[[#This Row],[Site]],'Important Info!'!$A$1:$F$135,2,FALSE)</f>
        <v>6, 13</v>
      </c>
      <c r="M33" s="52" t="str">
        <f>VLOOKUP(Tabla3[[#This Row],[Site]],'Important Info!'!$A$1:$F$135,3,FALSE)</f>
        <v>-</v>
      </c>
      <c r="N33" s="52" t="str">
        <f>VLOOKUP(Tabla3[[#This Row],[Site]],'Important Info!'!$A$1:$F$135,4,FALSE)</f>
        <v>-</v>
      </c>
      <c r="O33" s="52" t="str">
        <f>VLOOKUP(Tabla3[[#This Row],[Site]],'Important Info!'!$A$1:$F$135,5,FALSE)</f>
        <v>-</v>
      </c>
      <c r="P33" s="52" t="str">
        <f>VLOOKUP(Tabla3[[#This Row],[Site]],'Important Info!'!$A$1:$F$135,6,FALSE)</f>
        <v>6, 7, 12</v>
      </c>
      <c r="Q33" s="91">
        <f>VLOOKUP(Tabla3[[#This Row],[Site]],'Important Info!'!$A$1:$J$135,9,FALSE)</f>
        <v>263</v>
      </c>
    </row>
    <row r="34" spans="1:17" x14ac:dyDescent="0.25">
      <c r="A34" t="str">
        <f>+Tabla3[[#This Row],[Site]]&amp;Tabla3[[#This Row],[Split]]</f>
        <v>(AS) Park Place Acura (NO TOURS)4</v>
      </c>
      <c r="B34">
        <v>4</v>
      </c>
      <c r="C34">
        <v>2</v>
      </c>
      <c r="D34" t="s">
        <v>33</v>
      </c>
      <c r="E34" t="s">
        <v>46</v>
      </c>
      <c r="F34" t="s">
        <v>513</v>
      </c>
      <c r="G34" t="s">
        <v>34</v>
      </c>
      <c r="H34" s="52" t="str">
        <f>VLOOKUP(Tabla3[[#This Row],[Site]],'Important Info!'!$A$1:$J$135,10,FALSE)</f>
        <v>https://tools.sig.systems/site/details/259</v>
      </c>
      <c r="I34" s="65" t="s">
        <v>127</v>
      </c>
      <c r="J34" t="s">
        <v>41</v>
      </c>
      <c r="K34" s="79" t="str">
        <f>VLOOKUP(Tabla3[[#This Row],[Site]],'Important Info!'!$A$1:$H$135,8,FALSE)</f>
        <v>-</v>
      </c>
      <c r="L34" s="52" t="str">
        <f>VLOOKUP(Tabla3[[#This Row],[Site]],'Important Info!'!$A$1:$F$135,2,FALSE)</f>
        <v>1, 2, 14, 16</v>
      </c>
      <c r="M34" s="52" t="str">
        <f>VLOOKUP(Tabla3[[#This Row],[Site]],'Important Info!'!$A$1:$F$135,3,FALSE)</f>
        <v>-</v>
      </c>
      <c r="N34" s="52" t="str">
        <f>VLOOKUP(Tabla3[[#This Row],[Site]],'Important Info!'!$A$1:$F$135,4,FALSE)</f>
        <v>-</v>
      </c>
      <c r="O34" s="52" t="str">
        <f>VLOOKUP(Tabla3[[#This Row],[Site]],'Important Info!'!$A$1:$F$135,5,FALSE)</f>
        <v>1, 7, 13</v>
      </c>
      <c r="P34" s="52" t="str">
        <f>VLOOKUP(Tabla3[[#This Row],[Site]],'Important Info!'!$A$1:$F$135,6,FALSE)</f>
        <v>-</v>
      </c>
      <c r="Q34" s="91">
        <f>VLOOKUP(Tabla3[[#This Row],[Site]],'Important Info!'!$A$1:$J$135,9,FALSE)</f>
        <v>259</v>
      </c>
    </row>
    <row r="35" spans="1:17" x14ac:dyDescent="0.25">
      <c r="A35" t="str">
        <f>+Tabla3[[#This Row],[Site]]&amp;Tabla3[[#This Row],[Split]]</f>
        <v>(AS) Park Place Volvo Sales (NO TOURS)4</v>
      </c>
      <c r="B35">
        <v>4</v>
      </c>
      <c r="C35">
        <v>2</v>
      </c>
      <c r="D35" t="s">
        <v>33</v>
      </c>
      <c r="E35" t="s">
        <v>46</v>
      </c>
      <c r="F35" t="s">
        <v>521</v>
      </c>
      <c r="G35" t="s">
        <v>34</v>
      </c>
      <c r="H35" s="52" t="str">
        <f>VLOOKUP(Tabla3[[#This Row],[Site]],'Important Info!'!$A$1:$J$135,10,FALSE)</f>
        <v>https://tools.sig.systems/site/details/139</v>
      </c>
      <c r="I35" s="65" t="s">
        <v>125</v>
      </c>
      <c r="J35" t="s">
        <v>41</v>
      </c>
      <c r="K35" s="79" t="str">
        <f>VLOOKUP(Tabla3[[#This Row],[Site]],'Important Info!'!$A$1:$H$135,8,FALSE)</f>
        <v>-</v>
      </c>
      <c r="L35" s="52" t="str">
        <f>VLOOKUP(Tabla3[[#This Row],[Site]],'Important Info!'!$A$1:$F$135,2,FALSE)</f>
        <v>4, 6, 9, 11</v>
      </c>
      <c r="M35" s="52" t="str">
        <f>VLOOKUP(Tabla3[[#This Row],[Site]],'Important Info!'!$A$1:$F$135,3,FALSE)</f>
        <v>-</v>
      </c>
      <c r="N35" s="52" t="str">
        <f>VLOOKUP(Tabla3[[#This Row],[Site]],'Important Info!'!$A$1:$F$135,4,FALSE)</f>
        <v>-</v>
      </c>
      <c r="O35" s="52" t="str">
        <f>VLOOKUP(Tabla3[[#This Row],[Site]],'Important Info!'!$A$1:$F$135,5,FALSE)</f>
        <v>2, 9</v>
      </c>
      <c r="P35" s="52" t="str">
        <f>VLOOKUP(Tabla3[[#This Row],[Site]],'Important Info!'!$A$1:$F$135,6,FALSE)</f>
        <v>4, 10, 11</v>
      </c>
      <c r="Q35" s="91">
        <f>VLOOKUP(Tabla3[[#This Row],[Site]],'Important Info!'!$A$1:$J$135,9,FALSE)</f>
        <v>139</v>
      </c>
    </row>
    <row r="36" spans="1:17" x14ac:dyDescent="0.25">
      <c r="A36" t="str">
        <f>+Tabla3[[#This Row],[Site]]&amp;Tabla3[[#This Row],[Split]]</f>
        <v>(AS) Stevinson Lexus of Lakewood (NO TOURS)4</v>
      </c>
      <c r="B36">
        <v>4</v>
      </c>
      <c r="C36">
        <v>2</v>
      </c>
      <c r="D36" t="s">
        <v>44</v>
      </c>
      <c r="E36" t="s">
        <v>53</v>
      </c>
      <c r="F36" t="s">
        <v>523</v>
      </c>
      <c r="G36" t="s">
        <v>45</v>
      </c>
      <c r="H36" s="52" t="str">
        <f>VLOOKUP(Tabla3[[#This Row],[Site]],'Important Info!'!$A$1:$J$135,10,FALSE)</f>
        <v>https://tools.sig.systems/site/details/260</v>
      </c>
      <c r="I36" s="65" t="s">
        <v>154</v>
      </c>
      <c r="J36" t="s">
        <v>41</v>
      </c>
      <c r="K36" s="79" t="str">
        <f>VLOOKUP(Tabla3[[#This Row],[Site]],'Important Info!'!$A$1:$H$135,8,FALSE)</f>
        <v>-</v>
      </c>
      <c r="L36" s="52" t="str">
        <f>VLOOKUP(Tabla3[[#This Row],[Site]],'Important Info!'!$A$1:$F$135,2,FALSE)</f>
        <v>-</v>
      </c>
      <c r="M36" s="52" t="str">
        <f>VLOOKUP(Tabla3[[#This Row],[Site]],'Important Info!'!$A$1:$F$135,3,FALSE)</f>
        <v>2, 10</v>
      </c>
      <c r="N36" s="52" t="str">
        <f>VLOOKUP(Tabla3[[#This Row],[Site]],'Important Info!'!$A$1:$F$135,4,FALSE)</f>
        <v>9, 17</v>
      </c>
      <c r="O36" s="52" t="str">
        <f>VLOOKUP(Tabla3[[#This Row],[Site]],'Important Info!'!$A$1:$F$135,5,FALSE)</f>
        <v>-</v>
      </c>
      <c r="P36" s="52" t="str">
        <f>VLOOKUP(Tabla3[[#This Row],[Site]],'Important Info!'!$A$1:$F$135,6,FALSE)</f>
        <v>1, 2</v>
      </c>
      <c r="Q36" s="91">
        <f>VLOOKUP(Tabla3[[#This Row],[Site]],'Important Info!'!$A$1:$J$135,9,FALSE)</f>
        <v>260</v>
      </c>
    </row>
    <row r="37" spans="1:17" x14ac:dyDescent="0.25">
      <c r="A37" t="str">
        <f>+Tabla3[[#This Row],[Site]]&amp;Tabla3[[#This Row],[Split]]</f>
        <v>(DT) Albuquerque4</v>
      </c>
      <c r="B37">
        <v>4</v>
      </c>
      <c r="C37">
        <v>2</v>
      </c>
      <c r="D37" t="s">
        <v>44</v>
      </c>
      <c r="E37" t="s">
        <v>53</v>
      </c>
      <c r="F37" t="s">
        <v>155</v>
      </c>
      <c r="G37" t="s">
        <v>45</v>
      </c>
      <c r="H37" s="52" t="str">
        <f>VLOOKUP(Tabla3[[#This Row],[Site]],'Important Info!'!$A$1:$J$135,10,FALSE)</f>
        <v>https://tools.sig.systems/site/details/237</v>
      </c>
      <c r="I37" s="65"/>
      <c r="J37" t="s">
        <v>41</v>
      </c>
      <c r="K37" s="79" t="str">
        <f>VLOOKUP(Tabla3[[#This Row],[Site]],'Important Info!'!$A$1:$H$135,8,FALSE)</f>
        <v>-</v>
      </c>
      <c r="L37" s="52" t="str">
        <f>VLOOKUP(Tabla3[[#This Row],[Site]],'Important Info!'!$A$1:$F$135,2,FALSE)</f>
        <v>14, 16</v>
      </c>
      <c r="M37" s="52" t="str">
        <f>VLOOKUP(Tabla3[[#This Row],[Site]],'Important Info!'!$A$1:$F$135,3,FALSE)</f>
        <v>-</v>
      </c>
      <c r="N37" s="52" t="str">
        <f>VLOOKUP(Tabla3[[#This Row],[Site]],'Important Info!'!$A$1:$F$135,4,FALSE)</f>
        <v>-</v>
      </c>
      <c r="O37" s="52" t="str">
        <f>VLOOKUP(Tabla3[[#This Row],[Site]],'Important Info!'!$A$1:$F$135,5,FALSE)</f>
        <v>14, 15</v>
      </c>
      <c r="P37" s="52" t="str">
        <f>VLOOKUP(Tabla3[[#This Row],[Site]],'Important Info!'!$A$1:$F$135,6,FALSE)</f>
        <v>12, 14, 16</v>
      </c>
      <c r="Q37" s="91">
        <f>VLOOKUP(Tabla3[[#This Row],[Site]],'Important Info!'!$A$1:$J$135,9,FALSE)</f>
        <v>237</v>
      </c>
    </row>
    <row r="38" spans="1:17" x14ac:dyDescent="0.25">
      <c r="A38" t="str">
        <f>+Tabla3[[#This Row],[Site]]&amp;Tabla3[[#This Row],[Split]]</f>
        <v>(DT) Wichita4</v>
      </c>
      <c r="B38">
        <v>4</v>
      </c>
      <c r="C38">
        <v>2</v>
      </c>
      <c r="D38" t="s">
        <v>33</v>
      </c>
      <c r="E38" t="s">
        <v>46</v>
      </c>
      <c r="F38" t="s">
        <v>131</v>
      </c>
      <c r="G38" t="s">
        <v>34</v>
      </c>
      <c r="H38" s="52" t="str">
        <f>VLOOKUP(Tabla3[[#This Row],[Site]],'Important Info!'!$A$1:$J$135,10,FALSE)</f>
        <v>https://tools.sig.systems/site/details/257</v>
      </c>
      <c r="I38" s="8"/>
      <c r="J38" t="s">
        <v>41</v>
      </c>
      <c r="K38" s="79" t="str">
        <f>VLOOKUP(Tabla3[[#This Row],[Site]],'Important Info!'!$A$1:$H$135,8,FALSE)</f>
        <v>-</v>
      </c>
      <c r="L38" s="52" t="str">
        <f>VLOOKUP(Tabla3[[#This Row],[Site]],'Important Info!'!$A$1:$F$135,2,FALSE)</f>
        <v>-</v>
      </c>
      <c r="M38" s="52" t="str">
        <f>VLOOKUP(Tabla3[[#This Row],[Site]],'Important Info!'!$A$1:$F$135,3,FALSE)</f>
        <v>10, 11</v>
      </c>
      <c r="N38" s="52" t="str">
        <f>VLOOKUP(Tabla3[[#This Row],[Site]],'Important Info!'!$A$1:$F$135,4,FALSE)</f>
        <v>-</v>
      </c>
      <c r="O38" s="52" t="str">
        <f>VLOOKUP(Tabla3[[#This Row],[Site]],'Important Info!'!$A$1:$F$135,5,FALSE)</f>
        <v>-</v>
      </c>
      <c r="P38" s="52" t="str">
        <f>VLOOKUP(Tabla3[[#This Row],[Site]],'Important Info!'!$A$1:$F$135,6,FALSE)</f>
        <v>1, 5, 6, 10</v>
      </c>
      <c r="Q38" s="91">
        <f>VLOOKUP(Tabla3[[#This Row],[Site]],'Important Info!'!$A$1:$J$135,9,FALSE)</f>
        <v>257</v>
      </c>
    </row>
    <row r="39" spans="1:17" x14ac:dyDescent="0.25">
      <c r="A39" t="str">
        <f>+Tabla3[[#This Row],[Site]]&amp;Tabla3[[#This Row],[Split]]</f>
        <v>(HUD) Honda Greensboro4</v>
      </c>
      <c r="B39">
        <v>4</v>
      </c>
      <c r="C39">
        <v>2</v>
      </c>
      <c r="D39" t="s">
        <v>62</v>
      </c>
      <c r="E39" t="s">
        <v>35</v>
      </c>
      <c r="F39" t="s">
        <v>85</v>
      </c>
      <c r="G39" t="s">
        <v>490</v>
      </c>
      <c r="H39" s="52" t="str">
        <f>VLOOKUP(Tabla3[[#This Row],[Site]],'Important Info!'!$A$1:$J$135,10,FALSE)</f>
        <v>https://tools.sig.systems/site/details/230</v>
      </c>
      <c r="I39" t="s">
        <v>186</v>
      </c>
      <c r="J39" t="s">
        <v>41</v>
      </c>
      <c r="K39" s="79" t="str">
        <f>VLOOKUP(Tabla3[[#This Row],[Site]],'Important Info!'!$A$1:$H$135,8,FALSE)</f>
        <v>-</v>
      </c>
      <c r="L39" s="52" t="str">
        <f>VLOOKUP(Tabla3[[#This Row],[Site]],'Important Info!'!$A$1:$F$135,2,FALSE)</f>
        <v>1, 3,  15, 16, 22</v>
      </c>
      <c r="M39" s="52" t="str">
        <f>VLOOKUP(Tabla3[[#This Row],[Site]],'Important Info!'!$A$1:$F$135,3,FALSE)</f>
        <v>-</v>
      </c>
      <c r="N39" s="52" t="str">
        <f>VLOOKUP(Tabla3[[#This Row],[Site]],'Important Info!'!$A$1:$F$135,4,FALSE)</f>
        <v>-</v>
      </c>
      <c r="O39" s="52" t="str">
        <f>VLOOKUP(Tabla3[[#This Row],[Site]],'Important Info!'!$A$1:$F$135,5,FALSE)</f>
        <v>3, 20</v>
      </c>
      <c r="P39" s="52">
        <f>VLOOKUP(Tabla3[[#This Row],[Site]],'Important Info!'!$A$1:$F$135,6,FALSE)</f>
        <v>26</v>
      </c>
      <c r="Q39" s="91">
        <f>VLOOKUP(Tabla3[[#This Row],[Site]],'Important Info!'!$A$1:$J$135,9,FALSE)</f>
        <v>230</v>
      </c>
    </row>
    <row r="40" spans="1:17" x14ac:dyDescent="0.25">
      <c r="A40" t="str">
        <f>+Tabla3[[#This Row],[Site]]&amp;Tabla3[[#This Row],[Split]]</f>
        <v>(HUD) Paint and Body Center (NO TOURS)4</v>
      </c>
      <c r="B40">
        <v>4</v>
      </c>
      <c r="C40">
        <v>2</v>
      </c>
      <c r="D40" t="s">
        <v>62</v>
      </c>
      <c r="E40" t="s">
        <v>35</v>
      </c>
      <c r="F40" t="s">
        <v>110</v>
      </c>
      <c r="G40" t="s">
        <v>490</v>
      </c>
      <c r="H40" s="52" t="str">
        <f>VLOOKUP(Tabla3[[#This Row],[Site]],'Important Info!'!$A$1:$J$135,10,FALSE)</f>
        <v>https://tools.sig.systems/site/details/256</v>
      </c>
      <c r="I40" t="s">
        <v>184</v>
      </c>
      <c r="J40" t="s">
        <v>41</v>
      </c>
      <c r="K40" s="79" t="str">
        <f>VLOOKUP(Tabla3[[#This Row],[Site]],'Important Info!'!$A$1:$H$135,8,FALSE)</f>
        <v>-</v>
      </c>
      <c r="L40" s="52" t="str">
        <f>VLOOKUP(Tabla3[[#This Row],[Site]],'Important Info!'!$A$1:$F$135,2,FALSE)</f>
        <v>-</v>
      </c>
      <c r="M40" s="52">
        <f>VLOOKUP(Tabla3[[#This Row],[Site]],'Important Info!'!$A$1:$F$135,3,FALSE)</f>
        <v>1</v>
      </c>
      <c r="N40" s="52" t="str">
        <f>VLOOKUP(Tabla3[[#This Row],[Site]],'Important Info!'!$A$1:$F$135,4,FALSE)</f>
        <v>-</v>
      </c>
      <c r="O40" s="52" t="str">
        <f>VLOOKUP(Tabla3[[#This Row],[Site]],'Important Info!'!$A$1:$F$135,5,FALSE)</f>
        <v>-</v>
      </c>
      <c r="P40" s="52" t="str">
        <f>VLOOKUP(Tabla3[[#This Row],[Site]],'Important Info!'!$A$1:$F$135,6,FALSE)</f>
        <v>-</v>
      </c>
      <c r="Q40" s="91">
        <f>VLOOKUP(Tabla3[[#This Row],[Site]],'Important Info!'!$A$1:$J$135,9,FALSE)</f>
        <v>256</v>
      </c>
    </row>
    <row r="41" spans="1:17" x14ac:dyDescent="0.25">
      <c r="A41" t="str">
        <f>+Tabla3[[#This Row],[Site]]&amp;Tabla3[[#This Row],[Split]]</f>
        <v>(KG) Clear Lake Pre-Owned4</v>
      </c>
      <c r="B41">
        <v>4</v>
      </c>
      <c r="C41">
        <v>2</v>
      </c>
      <c r="D41" t="s">
        <v>33</v>
      </c>
      <c r="E41" t="s">
        <v>46</v>
      </c>
      <c r="F41" t="s">
        <v>87</v>
      </c>
      <c r="G41" t="s">
        <v>34</v>
      </c>
      <c r="H41" s="52" t="str">
        <f>VLOOKUP(Tabla3[[#This Row],[Site]],'Important Info!'!$A$1:$J$135,10,FALSE)</f>
        <v>https://tools.sig.systems/site/details/255</v>
      </c>
      <c r="I41" s="8" t="s">
        <v>134</v>
      </c>
      <c r="J41" t="s">
        <v>41</v>
      </c>
      <c r="K41" s="79" t="str">
        <f>VLOOKUP(Tabla3[[#This Row],[Site]],'Important Info!'!$A$1:$H$135,8,FALSE)</f>
        <v>-</v>
      </c>
      <c r="L41" s="52" t="str">
        <f>VLOOKUP(Tabla3[[#This Row],[Site]],'Important Info!'!$A$1:$F$135,2,FALSE)</f>
        <v>3, 5</v>
      </c>
      <c r="M41" s="52" t="str">
        <f>VLOOKUP(Tabla3[[#This Row],[Site]],'Important Info!'!$A$1:$F$135,3,FALSE)</f>
        <v>-</v>
      </c>
      <c r="N41" s="52" t="str">
        <f>VLOOKUP(Tabla3[[#This Row],[Site]],'Important Info!'!$A$1:$F$135,4,FALSE)</f>
        <v>-</v>
      </c>
      <c r="O41" s="52" t="str">
        <f>VLOOKUP(Tabla3[[#This Row],[Site]],'Important Info!'!$A$1:$F$135,5,FALSE)</f>
        <v>4, 10, 22</v>
      </c>
      <c r="P41" s="52" t="str">
        <f>VLOOKUP(Tabla3[[#This Row],[Site]],'Important Info!'!$A$1:$F$135,6,FALSE)</f>
        <v>8, 15, 20</v>
      </c>
      <c r="Q41" s="91">
        <f>VLOOKUP(Tabla3[[#This Row],[Site]],'Important Info!'!$A$1:$J$135,9,FALSE)</f>
        <v>255</v>
      </c>
    </row>
    <row r="42" spans="1:17" x14ac:dyDescent="0.25">
      <c r="A42" t="str">
        <f>+Tabla3[[#This Row],[Site]]&amp;Tabla3[[#This Row],[Split]]</f>
        <v>(KG) Kia of Phoenix (NO TOURS)4</v>
      </c>
      <c r="B42">
        <v>4</v>
      </c>
      <c r="C42">
        <v>2</v>
      </c>
      <c r="D42" t="s">
        <v>51</v>
      </c>
      <c r="E42" t="s">
        <v>161</v>
      </c>
      <c r="F42" t="s">
        <v>94</v>
      </c>
      <c r="G42" t="s">
        <v>52</v>
      </c>
      <c r="H42" s="52" t="str">
        <f>VLOOKUP(Tabla3[[#This Row],[Site]],'Important Info!'!$A$1:$J$135,10,FALSE)</f>
        <v>https://tools.sig.systems/site/details/262</v>
      </c>
      <c r="I42" s="8"/>
      <c r="J42" t="s">
        <v>162</v>
      </c>
      <c r="K42" s="79" t="str">
        <f>VLOOKUP(Tabla3[[#This Row],[Site]],'Important Info!'!$A$1:$H$135,8,FALSE)</f>
        <v>-</v>
      </c>
      <c r="L42" s="52" t="str">
        <f>VLOOKUP(Tabla3[[#This Row],[Site]],'Important Info!'!$A$1:$F$135,2,FALSE)</f>
        <v>5, 8, 23</v>
      </c>
      <c r="M42" s="52" t="str">
        <f>VLOOKUP(Tabla3[[#This Row],[Site]],'Important Info!'!$A$1:$F$135,3,FALSE)</f>
        <v>-</v>
      </c>
      <c r="N42" s="52" t="str">
        <f>VLOOKUP(Tabla3[[#This Row],[Site]],'Important Info!'!$A$1:$F$135,4,FALSE)</f>
        <v>-</v>
      </c>
      <c r="O42" s="52">
        <f>VLOOKUP(Tabla3[[#This Row],[Site]],'Important Info!'!$A$1:$F$135,5,FALSE)</f>
        <v>4</v>
      </c>
      <c r="P42" s="52" t="str">
        <f>VLOOKUP(Tabla3[[#This Row],[Site]],'Important Info!'!$A$1:$F$135,6,FALSE)</f>
        <v>-</v>
      </c>
      <c r="Q42" s="91">
        <f>VLOOKUP(Tabla3[[#This Row],[Site]],'Important Info!'!$A$1:$J$135,9,FALSE)</f>
        <v>262</v>
      </c>
    </row>
    <row r="43" spans="1:17" x14ac:dyDescent="0.25">
      <c r="A43" t="str">
        <f>+Tabla3[[#This Row],[Site]]&amp;Tabla3[[#This Row],[Split]]</f>
        <v>(KG) Texan GMC Buick (NO TOURS)4</v>
      </c>
      <c r="B43">
        <v>4</v>
      </c>
      <c r="C43">
        <v>2</v>
      </c>
      <c r="D43" t="s">
        <v>33</v>
      </c>
      <c r="E43" t="s">
        <v>46</v>
      </c>
      <c r="F43" t="s">
        <v>111</v>
      </c>
      <c r="G43" t="s">
        <v>34</v>
      </c>
      <c r="H43" s="52" t="str">
        <f>VLOOKUP(Tabla3[[#This Row],[Site]],'Important Info!'!$A$1:$J$135,10,FALSE)</f>
        <v>https://tools.sig.systems/site/details/225</v>
      </c>
      <c r="I43" s="8" t="s">
        <v>137</v>
      </c>
      <c r="J43" t="s">
        <v>41</v>
      </c>
      <c r="K43" s="79" t="str">
        <f>VLOOKUP(Tabla3[[#This Row],[Site]],'Important Info!'!$A$1:$H$135,8,FALSE)</f>
        <v>-</v>
      </c>
      <c r="L43" s="52" t="str">
        <f>VLOOKUP(Tabla3[[#This Row],[Site]],'Important Info!'!$A$1:$F$135,2,FALSE)</f>
        <v>1, 20, 53</v>
      </c>
      <c r="M43" s="52" t="str">
        <f>VLOOKUP(Tabla3[[#This Row],[Site]],'Important Info!'!$A$1:$F$135,3,FALSE)</f>
        <v>-</v>
      </c>
      <c r="N43" s="52" t="str">
        <f>VLOOKUP(Tabla3[[#This Row],[Site]],'Important Info!'!$A$1:$F$135,4,FALSE)</f>
        <v>-</v>
      </c>
      <c r="O43" s="52" t="str">
        <f>VLOOKUP(Tabla3[[#This Row],[Site]],'Important Info!'!$A$1:$F$135,5,FALSE)</f>
        <v>2, 8, 14</v>
      </c>
      <c r="P43" s="52" t="str">
        <f>VLOOKUP(Tabla3[[#This Row],[Site]],'Important Info!'!$A$1:$F$135,6,FALSE)</f>
        <v>51, 52, 16</v>
      </c>
      <c r="Q43" s="91">
        <f>VLOOKUP(Tabla3[[#This Row],[Site]],'Important Info!'!$A$1:$J$135,9,FALSE)</f>
        <v>225</v>
      </c>
    </row>
    <row r="44" spans="1:17" x14ac:dyDescent="0.25">
      <c r="A44" t="str">
        <f>+Tabla3[[#This Row],[Site]]&amp;Tabla3[[#This Row],[Split]]</f>
        <v>(ML) Ford Lincoln of North Little Rock4</v>
      </c>
      <c r="B44">
        <v>4</v>
      </c>
      <c r="C44">
        <v>2</v>
      </c>
      <c r="D44" t="s">
        <v>33</v>
      </c>
      <c r="E44" t="s">
        <v>46</v>
      </c>
      <c r="F44" t="s">
        <v>145</v>
      </c>
      <c r="G44" t="s">
        <v>34</v>
      </c>
      <c r="H44" s="52" t="str">
        <f>VLOOKUP(Tabla3[[#This Row],[Site]],'Important Info!'!$A$1:$J$135,10,FALSE)</f>
        <v>https://tools.sig.systems/site/details/214</v>
      </c>
      <c r="I44" s="8" t="s">
        <v>142</v>
      </c>
      <c r="J44" t="s">
        <v>41</v>
      </c>
      <c r="K44" s="79" t="str">
        <f>VLOOKUP(Tabla3[[#This Row],[Site]],'Important Info!'!$A$1:$H$135,8,FALSE)</f>
        <v>-</v>
      </c>
      <c r="L44" s="52" t="str">
        <f>VLOOKUP(Tabla3[[#This Row],[Site]],'Important Info!'!$A$1:$F$135,2,FALSE)</f>
        <v>4, 15, 18, 67, 74</v>
      </c>
      <c r="M44" s="52">
        <f>VLOOKUP(Tabla3[[#This Row],[Site]],'Important Info!'!$A$1:$F$135,3,FALSE)</f>
        <v>13</v>
      </c>
      <c r="N44" s="52" t="str">
        <f>VLOOKUP(Tabla3[[#This Row],[Site]],'Important Info!'!$A$1:$F$135,4,FALSE)</f>
        <v>-</v>
      </c>
      <c r="O44" s="52" t="str">
        <f>VLOOKUP(Tabla3[[#This Row],[Site]],'Important Info!'!$A$1:$F$135,5,FALSE)</f>
        <v>4, 11, 16, 28</v>
      </c>
      <c r="P44" s="52" t="str">
        <f>VLOOKUP(Tabla3[[#This Row],[Site]],'Important Info!'!$A$1:$F$135,6,FALSE)</f>
        <v>10, 11, 12</v>
      </c>
      <c r="Q44" s="91">
        <f>VLOOKUP(Tabla3[[#This Row],[Site]],'Important Info!'!$A$1:$J$135,9,FALSE)</f>
        <v>214</v>
      </c>
    </row>
    <row r="45" spans="1:17" x14ac:dyDescent="0.25">
      <c r="A45" t="str">
        <f>+Tabla3[[#This Row],[Site]]&amp;Tabla3[[#This Row],[Split]]</f>
        <v>(ML) Joe Machens CDJR4</v>
      </c>
      <c r="B45">
        <v>4</v>
      </c>
      <c r="C45">
        <v>2</v>
      </c>
      <c r="D45" t="s">
        <v>33</v>
      </c>
      <c r="E45" t="s">
        <v>46</v>
      </c>
      <c r="F45" t="s">
        <v>88</v>
      </c>
      <c r="G45" t="s">
        <v>34</v>
      </c>
      <c r="H45" s="52" t="str">
        <f>VLOOKUP(Tabla3[[#This Row],[Site]],'Important Info!'!$A$1:$J$135,10,FALSE)</f>
        <v>https://tools.sig.systems/site/details/273</v>
      </c>
      <c r="I45" s="65" t="s">
        <v>146</v>
      </c>
      <c r="J45" t="s">
        <v>41</v>
      </c>
      <c r="K45" s="79" t="str">
        <f>VLOOKUP(Tabla3[[#This Row],[Site]],'Important Info!'!$A$1:$H$135,8,FALSE)</f>
        <v>-</v>
      </c>
      <c r="L45" s="52" t="str">
        <f>VLOOKUP(Tabla3[[#This Row],[Site]],'Important Info!'!$A$1:$F$135,2,FALSE)</f>
        <v>-</v>
      </c>
      <c r="M45" s="52">
        <f>VLOOKUP(Tabla3[[#This Row],[Site]],'Important Info!'!$A$1:$F$135,3,FALSE)</f>
        <v>3</v>
      </c>
      <c r="N45" s="52" t="str">
        <f>VLOOKUP(Tabla3[[#This Row],[Site]],'Important Info!'!$A$1:$F$135,4,FALSE)</f>
        <v>-</v>
      </c>
      <c r="O45" s="52" t="str">
        <f>VLOOKUP(Tabla3[[#This Row],[Site]],'Important Info!'!$A$1:$F$135,5,FALSE)</f>
        <v>-</v>
      </c>
      <c r="P45" s="52" t="str">
        <f>VLOOKUP(Tabla3[[#This Row],[Site]],'Important Info!'!$A$1:$F$135,6,FALSE)</f>
        <v>1, 2, 3,</v>
      </c>
      <c r="Q45" s="91">
        <f>VLOOKUP(Tabla3[[#This Row],[Site]],'Important Info!'!$A$1:$J$135,9,FALSE)</f>
        <v>273</v>
      </c>
    </row>
    <row r="46" spans="1:17" x14ac:dyDescent="0.25">
      <c r="A46" t="str">
        <f>+Tabla3[[#This Row],[Site]]&amp;Tabla3[[#This Row],[Split]]</f>
        <v>(ML) Joe Machens Temporary 2.04</v>
      </c>
      <c r="B46">
        <v>4</v>
      </c>
      <c r="C46">
        <v>2</v>
      </c>
      <c r="D46" t="s">
        <v>33</v>
      </c>
      <c r="E46" t="s">
        <v>46</v>
      </c>
      <c r="F46" t="s">
        <v>105</v>
      </c>
      <c r="G46" t="s">
        <v>34</v>
      </c>
      <c r="H46" s="52" t="str">
        <f>VLOOKUP(Tabla3[[#This Row],[Site]],'Important Info!'!$A$1:$J$135,10,FALSE)</f>
        <v>https://tools.sig.systems/site/details/278</v>
      </c>
      <c r="I46" s="65" t="s">
        <v>146</v>
      </c>
      <c r="J46" t="s">
        <v>41</v>
      </c>
      <c r="K46" s="79" t="str">
        <f>VLOOKUP(Tabla3[[#This Row],[Site]],'Important Info!'!$A$1:$H$135,8,FALSE)</f>
        <v>-</v>
      </c>
      <c r="L46" s="52" t="str">
        <f>VLOOKUP(Tabla3[[#This Row],[Site]],'Important Info!'!$A$1:$F$135,2,FALSE)</f>
        <v>-</v>
      </c>
      <c r="M46" s="52" t="str">
        <f>VLOOKUP(Tabla3[[#This Row],[Site]],'Important Info!'!$A$1:$F$135,3,FALSE)</f>
        <v>1, 11, 14, 15, 16</v>
      </c>
      <c r="N46" s="52" t="str">
        <f>VLOOKUP(Tabla3[[#This Row],[Site]],'Important Info!'!$A$1:$F$135,4,FALSE)</f>
        <v>-</v>
      </c>
      <c r="O46" s="52">
        <f>VLOOKUP(Tabla3[[#This Row],[Site]],'Important Info!'!$A$1:$F$135,5,FALSE)</f>
        <v>13</v>
      </c>
      <c r="P46" s="52" t="str">
        <f>VLOOKUP(Tabla3[[#This Row],[Site]],'Important Info!'!$A$1:$F$135,6,FALSE)</f>
        <v>-</v>
      </c>
      <c r="Q46" s="91">
        <f>VLOOKUP(Tabla3[[#This Row],[Site]],'Important Info!'!$A$1:$J$135,9,FALSE)</f>
        <v>278</v>
      </c>
    </row>
    <row r="47" spans="1:17" x14ac:dyDescent="0.25">
      <c r="A47" t="str">
        <f>+Tabla3[[#This Row],[Site]]&amp;Tabla3[[#This Row],[Split]]</f>
        <v>(ML) Mazda VW-Lot B4</v>
      </c>
      <c r="B47">
        <v>4</v>
      </c>
      <c r="C47">
        <v>2</v>
      </c>
      <c r="D47" t="s">
        <v>33</v>
      </c>
      <c r="E47" t="s">
        <v>46</v>
      </c>
      <c r="F47" t="s">
        <v>9</v>
      </c>
      <c r="G47" t="s">
        <v>34</v>
      </c>
      <c r="H47" s="52" t="str">
        <f>VLOOKUP(Tabla3[[#This Row],[Site]],'Important Info!'!$A$1:$J$135,10,FALSE)</f>
        <v>https://tools.sig.systems/site/details/205</v>
      </c>
      <c r="I47" s="62" t="s">
        <v>142</v>
      </c>
      <c r="J47" t="s">
        <v>41</v>
      </c>
      <c r="K47" s="79" t="str">
        <f>VLOOKUP(Tabla3[[#This Row],[Site]],'Important Info!'!$A$1:$H$135,8,FALSE)</f>
        <v>-</v>
      </c>
      <c r="L47" s="52" t="str">
        <f>VLOOKUP(Tabla3[[#This Row],[Site]],'Important Info!'!$A$1:$F$135,2,FALSE)</f>
        <v>9, 14, 16</v>
      </c>
      <c r="M47" s="52">
        <f>VLOOKUP(Tabla3[[#This Row],[Site]],'Important Info!'!$A$1:$F$135,3,FALSE)</f>
        <v>1</v>
      </c>
      <c r="N47" s="52" t="str">
        <f>VLOOKUP(Tabla3[[#This Row],[Site]],'Important Info!'!$A$1:$F$135,4,FALSE)</f>
        <v>-</v>
      </c>
      <c r="O47" s="52">
        <f>VLOOKUP(Tabla3[[#This Row],[Site]],'Important Info!'!$A$1:$F$135,5,FALSE)</f>
        <v>4</v>
      </c>
      <c r="P47" s="52" t="str">
        <f>VLOOKUP(Tabla3[[#This Row],[Site]],'Important Info!'!$A$1:$F$135,6,FALSE)</f>
        <v>-</v>
      </c>
      <c r="Q47" s="91">
        <f>VLOOKUP(Tabla3[[#This Row],[Site]],'Important Info!'!$A$1:$J$135,9,FALSE)</f>
        <v>205</v>
      </c>
    </row>
    <row r="48" spans="1:17" x14ac:dyDescent="0.25">
      <c r="A48" t="str">
        <f>+Tabla3[[#This Row],[Site]]&amp;Tabla3[[#This Row],[Split]]</f>
        <v>(ML) Nissan of Little Rock4</v>
      </c>
      <c r="B48">
        <v>4</v>
      </c>
      <c r="C48">
        <v>2</v>
      </c>
      <c r="D48" t="s">
        <v>33</v>
      </c>
      <c r="E48" t="s">
        <v>46</v>
      </c>
      <c r="F48" t="s">
        <v>152</v>
      </c>
      <c r="G48" t="s">
        <v>34</v>
      </c>
      <c r="H48" s="52" t="str">
        <f>VLOOKUP(Tabla3[[#This Row],[Site]],'Important Info!'!$A$1:$J$135,10,FALSE)</f>
        <v>https://tools.sig.systems/site/details/224</v>
      </c>
      <c r="I48" s="8" t="s">
        <v>140</v>
      </c>
      <c r="J48" t="s">
        <v>41</v>
      </c>
      <c r="K48" s="79" t="str">
        <f>VLOOKUP(Tabla3[[#This Row],[Site]],'Important Info!'!$A$1:$H$135,8,FALSE)</f>
        <v>-</v>
      </c>
      <c r="L48" s="52" t="str">
        <f>VLOOKUP(Tabla3[[#This Row],[Site]],'Important Info!'!$A$1:$F$135,2,FALSE)</f>
        <v>3, 6</v>
      </c>
      <c r="M48" s="52" t="str">
        <f>VLOOKUP(Tabla3[[#This Row],[Site]],'Important Info!'!$A$1:$F$135,3,FALSE)</f>
        <v>-</v>
      </c>
      <c r="N48" s="52" t="str">
        <f>VLOOKUP(Tabla3[[#This Row],[Site]],'Important Info!'!$A$1:$F$135,4,FALSE)</f>
        <v>-</v>
      </c>
      <c r="O48" s="52" t="str">
        <f>VLOOKUP(Tabla3[[#This Row],[Site]],'Important Info!'!$A$1:$F$135,5,FALSE)</f>
        <v>1, 8, 16, 22</v>
      </c>
      <c r="P48" s="52" t="str">
        <f>VLOOKUP(Tabla3[[#This Row],[Site]],'Important Info!'!$A$1:$F$135,6,FALSE)</f>
        <v>3, 4</v>
      </c>
      <c r="Q48" s="91">
        <f>VLOOKUP(Tabla3[[#This Row],[Site]],'Important Info!'!$A$1:$J$135,9,FALSE)</f>
        <v>224</v>
      </c>
    </row>
    <row r="49" spans="1:17" x14ac:dyDescent="0.25">
      <c r="A49" t="str">
        <f>+Tabla3[[#This Row],[Site]]&amp;Tabla3[[#This Row],[Split]]</f>
        <v>(ML) Volvo Collision Corp4</v>
      </c>
      <c r="B49">
        <v>4</v>
      </c>
      <c r="C49">
        <v>2</v>
      </c>
      <c r="D49" t="s">
        <v>33</v>
      </c>
      <c r="E49" t="s">
        <v>46</v>
      </c>
      <c r="F49" t="s">
        <v>106</v>
      </c>
      <c r="G49" t="s">
        <v>34</v>
      </c>
      <c r="H49" s="52" t="str">
        <f>VLOOKUP(Tabla3[[#This Row],[Site]],'Important Info!'!$A$1:$J$135,10,FALSE)</f>
        <v>https://tools.sig.systems/site/details/223</v>
      </c>
      <c r="J49" t="s">
        <v>41</v>
      </c>
      <c r="K49" s="79" t="str">
        <f>VLOOKUP(Tabla3[[#This Row],[Site]],'Important Info!'!$A$1:$H$135,8,FALSE)</f>
        <v>-</v>
      </c>
      <c r="L49" s="52" t="str">
        <f>VLOOKUP(Tabla3[[#This Row],[Site]],'Important Info!'!$A$1:$F$135,2,FALSE)</f>
        <v>7, 11</v>
      </c>
      <c r="M49" s="52">
        <f>VLOOKUP(Tabla3[[#This Row],[Site]],'Important Info!'!$A$1:$F$135,3,FALSE)</f>
        <v>4</v>
      </c>
      <c r="N49" s="52" t="str">
        <f>VLOOKUP(Tabla3[[#This Row],[Site]],'Important Info!'!$A$1:$F$135,4,FALSE)</f>
        <v>-</v>
      </c>
      <c r="O49" s="52">
        <f>VLOOKUP(Tabla3[[#This Row],[Site]],'Important Info!'!$A$1:$F$135,5,FALSE)</f>
        <v>18</v>
      </c>
      <c r="P49" s="52" t="str">
        <f>VLOOKUP(Tabla3[[#This Row],[Site]],'Important Info!'!$A$1:$F$135,6,FALSE)</f>
        <v>-</v>
      </c>
      <c r="Q49" s="91">
        <f>VLOOKUP(Tabla3[[#This Row],[Site]],'Important Info!'!$A$1:$J$135,9,FALSE)</f>
        <v>223</v>
      </c>
    </row>
    <row r="50" spans="1:17" x14ac:dyDescent="0.25">
      <c r="A50" t="str">
        <f>+Tabla3[[#This Row],[Site]]&amp;Tabla3[[#This Row],[Split]]</f>
        <v>(PE) BMW Tenafly (NO TOURS)4</v>
      </c>
      <c r="B50">
        <v>4</v>
      </c>
      <c r="C50">
        <v>2</v>
      </c>
      <c r="D50" t="s">
        <v>485</v>
      </c>
      <c r="E50" t="s">
        <v>35</v>
      </c>
      <c r="F50" t="s">
        <v>173</v>
      </c>
      <c r="G50" t="s">
        <v>490</v>
      </c>
      <c r="H50" s="52" t="str">
        <f>VLOOKUP(Tabla3[[#This Row],[Site]],'Important Info!'!$A$1:$J$135,10,FALSE)</f>
        <v>https://tools.sig.systems/site/details/155</v>
      </c>
      <c r="J50" t="s">
        <v>41</v>
      </c>
      <c r="K50" s="79" t="str">
        <f>VLOOKUP(Tabla3[[#This Row],[Site]],'Important Info!'!$A$1:$H$135,8,FALSE)</f>
        <v>-</v>
      </c>
      <c r="L50" s="52">
        <f>VLOOKUP(Tabla3[[#This Row],[Site]],'Important Info!'!$A$1:$F$135,2,FALSE)</f>
        <v>24</v>
      </c>
      <c r="M50" s="52" t="str">
        <f>VLOOKUP(Tabla3[[#This Row],[Site]],'Important Info!'!$A$1:$F$135,3,FALSE)</f>
        <v>1, 3, 4, 17, 23</v>
      </c>
      <c r="N50" s="52" t="str">
        <f>VLOOKUP(Tabla3[[#This Row],[Site]],'Important Info!'!$A$1:$F$135,4,FALSE)</f>
        <v>-</v>
      </c>
      <c r="O50" s="52" t="str">
        <f>VLOOKUP(Tabla3[[#This Row],[Site]],'Important Info!'!$A$1:$F$135,5,FALSE)</f>
        <v>-</v>
      </c>
      <c r="P50" s="52">
        <f>VLOOKUP(Tabla3[[#This Row],[Site]],'Important Info!'!$A$1:$F$135,6,FALSE)</f>
        <v>1</v>
      </c>
      <c r="Q50" s="91">
        <f>VLOOKUP(Tabla3[[#This Row],[Site]],'Important Info!'!$A$1:$J$135,9,FALSE)</f>
        <v>155</v>
      </c>
    </row>
    <row r="51" spans="1:17" x14ac:dyDescent="0.25">
      <c r="A51" t="str">
        <f>+Tabla3[[#This Row],[Site]]&amp;Tabla3[[#This Row],[Split]]</f>
        <v>(PE) Honda of Danbury (NO TOURS)4</v>
      </c>
      <c r="B51">
        <v>4</v>
      </c>
      <c r="C51">
        <v>2</v>
      </c>
      <c r="D51" t="s">
        <v>485</v>
      </c>
      <c r="E51" t="s">
        <v>35</v>
      </c>
      <c r="F51" t="s">
        <v>174</v>
      </c>
      <c r="G51" t="s">
        <v>490</v>
      </c>
      <c r="H51" s="52" t="str">
        <f>VLOOKUP(Tabla3[[#This Row],[Site]],'Important Info!'!$A$1:$J$135,10,FALSE)</f>
        <v>https://tools.sig.systems/site/details/190</v>
      </c>
      <c r="I51" s="43"/>
      <c r="J51" t="s">
        <v>41</v>
      </c>
      <c r="K51" s="79" t="str">
        <f>VLOOKUP(Tabla3[[#This Row],[Site]],'Important Info!'!$A$1:$H$135,8,FALSE)</f>
        <v>-</v>
      </c>
      <c r="L51" s="52" t="str">
        <f>VLOOKUP(Tabla3[[#This Row],[Site]],'Important Info!'!$A$1:$F$135,2,FALSE)</f>
        <v>-</v>
      </c>
      <c r="M51" s="52" t="str">
        <f>VLOOKUP(Tabla3[[#This Row],[Site]],'Important Info!'!$A$1:$F$135,3,FALSE)</f>
        <v>20, 9</v>
      </c>
      <c r="N51" s="52">
        <f>VLOOKUP(Tabla3[[#This Row],[Site]],'Important Info!'!$A$1:$F$135,4,FALSE)</f>
        <v>9</v>
      </c>
      <c r="O51" s="52" t="str">
        <f>VLOOKUP(Tabla3[[#This Row],[Site]],'Important Info!'!$A$1:$F$135,5,FALSE)</f>
        <v>-</v>
      </c>
      <c r="P51" s="52" t="str">
        <f>VLOOKUP(Tabla3[[#This Row],[Site]],'Important Info!'!$A$1:$F$135,6,FALSE)</f>
        <v>9, 16, 17</v>
      </c>
      <c r="Q51" s="91">
        <f>VLOOKUP(Tabla3[[#This Row],[Site]],'Important Info!'!$A$1:$J$135,9,FALSE)</f>
        <v>190</v>
      </c>
    </row>
    <row r="52" spans="1:17" x14ac:dyDescent="0.25">
      <c r="A52" t="str">
        <f>+Tabla3[[#This Row],[Site]]&amp;Tabla3[[#This Row],[Split]]</f>
        <v>(PE) JLR PDI (NO TOURS)4</v>
      </c>
      <c r="B52">
        <v>4</v>
      </c>
      <c r="C52">
        <v>2</v>
      </c>
      <c r="D52" t="s">
        <v>485</v>
      </c>
      <c r="E52" t="s">
        <v>35</v>
      </c>
      <c r="F52" t="s">
        <v>114</v>
      </c>
      <c r="G52" t="s">
        <v>490</v>
      </c>
      <c r="H52" s="52" t="str">
        <f>VLOOKUP(Tabla3[[#This Row],[Site]],'Important Info!'!$A$1:$J$135,10,FALSE)</f>
        <v>https://tools.sig.systems/site/details/179</v>
      </c>
      <c r="I52" s="65" t="s">
        <v>176</v>
      </c>
      <c r="J52" t="s">
        <v>41</v>
      </c>
      <c r="K52" s="79" t="str">
        <f>VLOOKUP(Tabla3[[#This Row],[Site]],'Important Info!'!$A$1:$H$135,8,FALSE)</f>
        <v>-</v>
      </c>
      <c r="L52" s="52" t="str">
        <f>VLOOKUP(Tabla3[[#This Row],[Site]],'Important Info!'!$A$1:$F$135,2,FALSE)</f>
        <v>3, 8</v>
      </c>
      <c r="M52" s="52" t="str">
        <f>VLOOKUP(Tabla3[[#This Row],[Site]],'Important Info!'!$A$1:$F$135,3,FALSE)</f>
        <v>-</v>
      </c>
      <c r="N52" s="52" t="str">
        <f>VLOOKUP(Tabla3[[#This Row],[Site]],'Important Info!'!$A$1:$F$135,4,FALSE)</f>
        <v>-</v>
      </c>
      <c r="O52" s="52" t="str">
        <f>VLOOKUP(Tabla3[[#This Row],[Site]],'Important Info!'!$A$1:$F$135,5,FALSE)</f>
        <v>-</v>
      </c>
      <c r="P52" s="52" t="str">
        <f>VLOOKUP(Tabla3[[#This Row],[Site]],'Important Info!'!$A$1:$F$135,6,FALSE)</f>
        <v>-</v>
      </c>
      <c r="Q52" s="91">
        <f>VLOOKUP(Tabla3[[#This Row],[Site]],'Important Info!'!$A$1:$J$135,9,FALSE)</f>
        <v>179</v>
      </c>
    </row>
    <row r="53" spans="1:17" x14ac:dyDescent="0.25">
      <c r="A53" t="str">
        <f>+Tabla3[[#This Row],[Site]]&amp;Tabla3[[#This Row],[Split]]</f>
        <v>(RV) Toms Camperland Surprise (NO TOURS)4</v>
      </c>
      <c r="B53">
        <v>4</v>
      </c>
      <c r="C53">
        <v>2</v>
      </c>
      <c r="D53" t="s">
        <v>51</v>
      </c>
      <c r="E53" t="s">
        <v>161</v>
      </c>
      <c r="F53" t="s">
        <v>165</v>
      </c>
      <c r="G53" t="s">
        <v>52</v>
      </c>
      <c r="H53" s="52" t="str">
        <f>VLOOKUP(Tabla3[[#This Row],[Site]],'Important Info!'!$A$1:$J$135,10,FALSE)</f>
        <v>https://tools.sig.systems/site/details/254</v>
      </c>
      <c r="I53" s="64"/>
      <c r="J53" t="s">
        <v>52</v>
      </c>
      <c r="K53" s="79" t="str">
        <f>VLOOKUP(Tabla3[[#This Row],[Site]],'Important Info!'!$A$1:$H$135,8,FALSE)</f>
        <v>-</v>
      </c>
      <c r="L53" s="52" t="str">
        <f>VLOOKUP(Tabla3[[#This Row],[Site]],'Important Info!'!$A$1:$F$135,2,FALSE)</f>
        <v>1, 3, 4</v>
      </c>
      <c r="M53" s="52" t="str">
        <f>VLOOKUP(Tabla3[[#This Row],[Site]],'Important Info!'!$A$1:$F$135,3,FALSE)</f>
        <v>-</v>
      </c>
      <c r="N53" s="52" t="str">
        <f>VLOOKUP(Tabla3[[#This Row],[Site]],'Important Info!'!$A$1:$F$135,4,FALSE)</f>
        <v>-</v>
      </c>
      <c r="O53" s="52" t="str">
        <f>VLOOKUP(Tabla3[[#This Row],[Site]],'Important Info!'!$A$1:$F$135,5,FALSE)</f>
        <v>-</v>
      </c>
      <c r="P53" s="52" t="str">
        <f>VLOOKUP(Tabla3[[#This Row],[Site]],'Important Info!'!$A$1:$F$135,6,FALSE)</f>
        <v>1, 2, 3, 4, 15</v>
      </c>
      <c r="Q53" s="91">
        <f>VLOOKUP(Tabla3[[#This Row],[Site]],'Important Info!'!$A$1:$J$135,9,FALSE)</f>
        <v>254</v>
      </c>
    </row>
    <row r="54" spans="1:17" x14ac:dyDescent="0.25">
      <c r="A54" t="str">
        <f>+Tabla3[[#This Row],[Site]]&amp;Tabla3[[#This Row],[Split]]</f>
        <v>(SCH) Chevrolet North Palm4</v>
      </c>
      <c r="B54">
        <v>4</v>
      </c>
      <c r="C54">
        <v>2</v>
      </c>
      <c r="D54" t="s">
        <v>62</v>
      </c>
      <c r="E54" t="s">
        <v>35</v>
      </c>
      <c r="F54" t="s">
        <v>101</v>
      </c>
      <c r="G54" t="s">
        <v>490</v>
      </c>
      <c r="H54" s="52" t="str">
        <f>VLOOKUP(Tabla3[[#This Row],[Site]],'Important Info!'!$A$1:$J$135,10,FALSE)</f>
        <v>https://tools.sig.systems/site/details/160</v>
      </c>
      <c r="J54" t="s">
        <v>36</v>
      </c>
      <c r="K54" s="79" t="str">
        <f>VLOOKUP(Tabla3[[#This Row],[Site]],'Important Info!'!$A$1:$H$135,8,FALSE)</f>
        <v>-</v>
      </c>
      <c r="L54" s="52" t="str">
        <f>VLOOKUP(Tabla3[[#This Row],[Site]],'Important Info!'!$A$1:$F$135,2,FALSE)</f>
        <v xml:space="preserve">7, 10B, 11, 15 </v>
      </c>
      <c r="M54" s="52" t="str">
        <f>VLOOKUP(Tabla3[[#This Row],[Site]],'Important Info!'!$A$1:$F$135,3,FALSE)</f>
        <v>-</v>
      </c>
      <c r="N54" s="52" t="str">
        <f>VLOOKUP(Tabla3[[#This Row],[Site]],'Important Info!'!$A$1:$F$135,4,FALSE)</f>
        <v>-</v>
      </c>
      <c r="O54" s="52" t="str">
        <f>VLOOKUP(Tabla3[[#This Row],[Site]],'Important Info!'!$A$1:$F$135,5,FALSE)</f>
        <v>-</v>
      </c>
      <c r="P54" s="52" t="str">
        <f>VLOOKUP(Tabla3[[#This Row],[Site]],'Important Info!'!$A$1:$F$135,6,FALSE)</f>
        <v>1, 15, 16, 17, 18, 19, 20</v>
      </c>
      <c r="Q54" s="91">
        <f>VLOOKUP(Tabla3[[#This Row],[Site]],'Important Info!'!$A$1:$J$135,9,FALSE)</f>
        <v>160</v>
      </c>
    </row>
    <row r="55" spans="1:17" x14ac:dyDescent="0.25">
      <c r="A55" t="str">
        <f>+Tabla3[[#This Row],[Site]]&amp;Tabla3[[#This Row],[Split]]</f>
        <v>(SCH) Prep Center Delray4</v>
      </c>
      <c r="B55">
        <v>4</v>
      </c>
      <c r="C55">
        <v>2</v>
      </c>
      <c r="D55" t="s">
        <v>62</v>
      </c>
      <c r="E55" t="s">
        <v>35</v>
      </c>
      <c r="F55" t="s">
        <v>191</v>
      </c>
      <c r="G55" t="s">
        <v>490</v>
      </c>
      <c r="H55" s="52" t="str">
        <f>VLOOKUP(Tabla3[[#This Row],[Site]],'Important Info!'!$A$1:$J$135,10,FALSE)</f>
        <v>https://tools.sig.systems/site/details/321</v>
      </c>
      <c r="I55" s="2"/>
      <c r="J55" t="s">
        <v>41</v>
      </c>
      <c r="K55" s="79" t="str">
        <f>VLOOKUP(Tabla3[[#This Row],[Site]],'Important Info!'!$A$1:$H$135,8,FALSE)</f>
        <v>-</v>
      </c>
      <c r="L55" s="52" t="str">
        <f>VLOOKUP(Tabla3[[#This Row],[Site]],'Important Info!'!$A$1:$F$135,2,FALSE)</f>
        <v>2,3</v>
      </c>
      <c r="M55" s="52" t="str">
        <f>VLOOKUP(Tabla3[[#This Row],[Site]],'Important Info!'!$A$1:$F$135,3,FALSE)</f>
        <v>-</v>
      </c>
      <c r="N55" s="52" t="str">
        <f>VLOOKUP(Tabla3[[#This Row],[Site]],'Important Info!'!$A$1:$F$135,4,FALSE)</f>
        <v>-</v>
      </c>
      <c r="O55" s="52" t="str">
        <f>VLOOKUP(Tabla3[[#This Row],[Site]],'Important Info!'!$A$1:$F$135,5,FALSE)</f>
        <v>-</v>
      </c>
      <c r="P55" s="52" t="str">
        <f>VLOOKUP(Tabla3[[#This Row],[Site]],'Important Info!'!$A$1:$F$135,6,FALSE)</f>
        <v>2,4,10</v>
      </c>
      <c r="Q55" s="91">
        <f>VLOOKUP(Tabla3[[#This Row],[Site]],'Important Info!'!$A$1:$J$135,9,FALSE)</f>
        <v>321</v>
      </c>
    </row>
    <row r="56" spans="1:17" x14ac:dyDescent="0.25">
      <c r="A56" t="str">
        <f>+Tabla3[[#This Row],[Site]]&amp;Tabla3[[#This Row],[Split]]</f>
        <v>(SCH) West Palm Beach I, II &amp; III4</v>
      </c>
      <c r="B56">
        <v>4</v>
      </c>
      <c r="C56">
        <v>2</v>
      </c>
      <c r="D56" t="s">
        <v>492</v>
      </c>
      <c r="E56" t="s">
        <v>35</v>
      </c>
      <c r="F56" t="s">
        <v>96</v>
      </c>
      <c r="G56" t="s">
        <v>490</v>
      </c>
      <c r="H56" s="52" t="str">
        <f>VLOOKUP(Tabla3[[#This Row],[Site]],'Important Info!'!$A$1:$J$135,10,FALSE)</f>
        <v>https://tools.sig.systems/site/details/162</v>
      </c>
      <c r="J56" t="s">
        <v>36</v>
      </c>
      <c r="K56" s="79" t="str">
        <f>VLOOKUP(Tabla3[[#This Row],[Site]],'Important Info!'!$A$1:$H$135,8,FALSE)</f>
        <v>SUNDAY: Log in at 5:30 p.m. ET.</v>
      </c>
      <c r="L56" s="52" t="str">
        <f>VLOOKUP(Tabla3[[#This Row],[Site]],'Important Info!'!$A$1:$F$135,2,FALSE)</f>
        <v>34, 62</v>
      </c>
      <c r="M56" s="52" t="str">
        <f>VLOOKUP(Tabla3[[#This Row],[Site]],'Important Info!'!$A$1:$F$135,3,FALSE)</f>
        <v xml:space="preserve">6, 7, 11, 13, </v>
      </c>
      <c r="N56" s="52" t="str">
        <f>VLOOKUP(Tabla3[[#This Row],[Site]],'Important Info!'!$A$1:$F$135,4,FALSE)</f>
        <v>20, 21</v>
      </c>
      <c r="O56" s="52" t="str">
        <f>VLOOKUP(Tabla3[[#This Row],[Site]],'Important Info!'!$A$1:$F$135,5,FALSE)</f>
        <v>-</v>
      </c>
      <c r="P56" s="52" t="str">
        <f>VLOOKUP(Tabla3[[#This Row],[Site]],'Important Info!'!$A$1:$F$135,6,FALSE)</f>
        <v>1, 2, 3, 131, 132</v>
      </c>
      <c r="Q56" s="91">
        <f>VLOOKUP(Tabla3[[#This Row],[Site]],'Important Info!'!$A$1:$J$135,9,FALSE)</f>
        <v>162</v>
      </c>
    </row>
    <row r="57" spans="1:17" x14ac:dyDescent="0.25">
      <c r="A57" t="str">
        <f>+Tabla3[[#This Row],[Site]]&amp;Tabla3[[#This Row],[Split]]</f>
        <v>(AS) Bill Estes Ford (NO TOURS)4</v>
      </c>
      <c r="B57">
        <v>4</v>
      </c>
      <c r="C57">
        <v>3</v>
      </c>
      <c r="D57" t="s">
        <v>62</v>
      </c>
      <c r="E57" t="s">
        <v>35</v>
      </c>
      <c r="F57" t="s">
        <v>178</v>
      </c>
      <c r="G57" t="s">
        <v>490</v>
      </c>
      <c r="H57" s="52" t="str">
        <f>VLOOKUP(Tabla3[[#This Row],[Site]],'Important Info!'!$A$1:$J$135,10,FALSE)</f>
        <v>https://tools.sig.systems/site/details/125</v>
      </c>
      <c r="I57" s="65"/>
      <c r="J57" t="s">
        <v>41</v>
      </c>
      <c r="K57" s="79" t="str">
        <f>VLOOKUP(Tabla3[[#This Row],[Site]],'Important Info!'!$A$1:$H$135,8,FALSE)</f>
        <v>-</v>
      </c>
      <c r="L57" s="52" t="str">
        <f>VLOOKUP(Tabla3[[#This Row],[Site]],'Important Info!'!$A$1:$F$135,2,FALSE)</f>
        <v>-</v>
      </c>
      <c r="M57" s="52" t="str">
        <f>VLOOKUP(Tabla3[[#This Row],[Site]],'Important Info!'!$A$1:$F$135,3,FALSE)</f>
        <v>2, 3, 13, 16</v>
      </c>
      <c r="N57" s="52" t="str">
        <f>VLOOKUP(Tabla3[[#This Row],[Site]],'Important Info!'!$A$1:$F$135,4,FALSE)</f>
        <v>-</v>
      </c>
      <c r="O57" s="52" t="str">
        <f>VLOOKUP(Tabla3[[#This Row],[Site]],'Important Info!'!$A$1:$F$135,5,FALSE)</f>
        <v>1, 10, 14, 19</v>
      </c>
      <c r="P57" s="52" t="str">
        <f>VLOOKUP(Tabla3[[#This Row],[Site]],'Important Info!'!$A$1:$F$135,6,FALSE)</f>
        <v>7, 8, 9, 10, 11, 12, 14</v>
      </c>
      <c r="Q57" s="91">
        <f>VLOOKUP(Tabla3[[#This Row],[Site]],'Important Info!'!$A$1:$J$135,9,FALSE)</f>
        <v>125</v>
      </c>
    </row>
    <row r="58" spans="1:17" x14ac:dyDescent="0.25">
      <c r="A58" t="str">
        <f>+Tabla3[[#This Row],[Site]]&amp;Tabla3[[#This Row],[Split]]</f>
        <v>(AS) Courtesy CDJR of Brandon (NO TOURS)4</v>
      </c>
      <c r="B58">
        <v>4</v>
      </c>
      <c r="C58">
        <v>3</v>
      </c>
      <c r="D58" t="s">
        <v>62</v>
      </c>
      <c r="E58" t="s">
        <v>35</v>
      </c>
      <c r="F58" t="s">
        <v>503</v>
      </c>
      <c r="G58" t="s">
        <v>490</v>
      </c>
      <c r="H58" s="52" t="str">
        <f>VLOOKUP(Tabla3[[#This Row],[Site]],'Important Info!'!$A$1:$J$135,10,FALSE)</f>
        <v>https://tools.sig.systems/site/details/126</v>
      </c>
      <c r="I58" s="62" t="s">
        <v>181</v>
      </c>
      <c r="J58" t="s">
        <v>484</v>
      </c>
      <c r="K58" s="79" t="str">
        <f>VLOOKUP(Tabla3[[#This Row],[Site]],'Important Info!'!$A$1:$H$135,8,FALSE)</f>
        <v>-</v>
      </c>
      <c r="L58" s="52" t="str">
        <f>VLOOKUP(Tabla3[[#This Row],[Site]],'Important Info!'!$A$1:$F$135,2,FALSE)</f>
        <v>1, 14, 15</v>
      </c>
      <c r="M58" s="52">
        <f>VLOOKUP(Tabla3[[#This Row],[Site]],'Important Info!'!$A$1:$F$135,3,FALSE)</f>
        <v>1</v>
      </c>
      <c r="N58" s="52" t="str">
        <f>VLOOKUP(Tabla3[[#This Row],[Site]],'Important Info!'!$A$1:$F$135,4,FALSE)</f>
        <v>-</v>
      </c>
      <c r="O58" s="52" t="str">
        <f>VLOOKUP(Tabla3[[#This Row],[Site]],'Important Info!'!$A$1:$F$135,5,FALSE)</f>
        <v>2, 12</v>
      </c>
      <c r="P58" s="52" t="str">
        <f>VLOOKUP(Tabla3[[#This Row],[Site]],'Important Info!'!$A$1:$F$135,6,FALSE)</f>
        <v xml:space="preserve">1, 2, 3, 4, 14, 15, 21, 25 </v>
      </c>
      <c r="Q58" s="91">
        <f>VLOOKUP(Tabla3[[#This Row],[Site]],'Important Info!'!$A$1:$J$135,9,FALSE)</f>
        <v>126</v>
      </c>
    </row>
    <row r="59" spans="1:17" x14ac:dyDescent="0.25">
      <c r="A59" t="str">
        <f>+Tabla3[[#This Row],[Site]]&amp;Tabla3[[#This Row],[Split]]</f>
        <v>(AS) Courtesy Kia of Brandon (NO TOURS)4</v>
      </c>
      <c r="B59">
        <v>4</v>
      </c>
      <c r="C59">
        <v>3</v>
      </c>
      <c r="D59" t="s">
        <v>62</v>
      </c>
      <c r="E59" t="s">
        <v>35</v>
      </c>
      <c r="F59" t="s">
        <v>505</v>
      </c>
      <c r="G59" t="s">
        <v>490</v>
      </c>
      <c r="H59" s="52" t="str">
        <f>VLOOKUP(Tabla3[[#This Row],[Site]],'Important Info!'!$A$1:$J$135,10,FALSE)</f>
        <v>https://tools.sig.systems/site/details/121</v>
      </c>
      <c r="I59" s="65" t="s">
        <v>181</v>
      </c>
      <c r="J59" t="s">
        <v>484</v>
      </c>
      <c r="K59" s="79" t="str">
        <f>VLOOKUP(Tabla3[[#This Row],[Site]],'Important Info!'!$A$1:$H$135,8,FALSE)</f>
        <v>-</v>
      </c>
      <c r="L59" s="52" t="str">
        <f>VLOOKUP(Tabla3[[#This Row],[Site]],'Important Info!'!$A$1:$F$135,2,FALSE)</f>
        <v>-</v>
      </c>
      <c r="M59" s="52" t="str">
        <f>VLOOKUP(Tabla3[[#This Row],[Site]],'Important Info!'!$A$1:$F$135,3,FALSE)</f>
        <v>4, 8</v>
      </c>
      <c r="N59" s="52" t="str">
        <f>VLOOKUP(Tabla3[[#This Row],[Site]],'Important Info!'!$A$1:$F$135,4,FALSE)</f>
        <v>-</v>
      </c>
      <c r="O59" s="52" t="str">
        <f>VLOOKUP(Tabla3[[#This Row],[Site]],'Important Info!'!$A$1:$F$135,5,FALSE)</f>
        <v>3, 11, 20, 24</v>
      </c>
      <c r="P59" s="52" t="str">
        <f>VLOOKUP(Tabla3[[#This Row],[Site]],'Important Info!'!$A$1:$F$135,6,FALSE)</f>
        <v>2, 8</v>
      </c>
      <c r="Q59" s="91">
        <f>VLOOKUP(Tabla3[[#This Row],[Site]],'Important Info!'!$A$1:$J$135,9,FALSE)</f>
        <v>121</v>
      </c>
    </row>
    <row r="60" spans="1:17" x14ac:dyDescent="0.25">
      <c r="A60" t="str">
        <f>+Tabla3[[#This Row],[Site]]&amp;Tabla3[[#This Row],[Split]]</f>
        <v>(AS) David McDavid Lincoln Frisco (NO TOURS)4</v>
      </c>
      <c r="B60">
        <v>4</v>
      </c>
      <c r="C60">
        <v>3</v>
      </c>
      <c r="D60" t="s">
        <v>33</v>
      </c>
      <c r="E60" t="s">
        <v>46</v>
      </c>
      <c r="F60" t="s">
        <v>507</v>
      </c>
      <c r="G60" t="s">
        <v>34</v>
      </c>
      <c r="H60" s="52" t="str">
        <f>VLOOKUP(Tabla3[[#This Row],[Site]],'Important Info!'!$A$1:$J$135,10,FALSE)</f>
        <v>https://tools.sig.systems/site/details/182</v>
      </c>
      <c r="J60" t="s">
        <v>41</v>
      </c>
      <c r="K60" s="79" t="str">
        <f>VLOOKUP(Tabla3[[#This Row],[Site]],'Important Info!'!$A$1:$H$135,8,FALSE)</f>
        <v>-</v>
      </c>
      <c r="L60" s="52" t="str">
        <f>VLOOKUP(Tabla3[[#This Row],[Site]],'Important Info!'!$A$1:$F$135,2,FALSE)</f>
        <v>1, 2, 11</v>
      </c>
      <c r="M60" s="52" t="str">
        <f>VLOOKUP(Tabla3[[#This Row],[Site]],'Important Info!'!$A$1:$F$135,3,FALSE)</f>
        <v>-</v>
      </c>
      <c r="N60" s="52" t="str">
        <f>VLOOKUP(Tabla3[[#This Row],[Site]],'Important Info!'!$A$1:$F$135,4,FALSE)</f>
        <v>-</v>
      </c>
      <c r="O60" s="52" t="str">
        <f>VLOOKUP(Tabla3[[#This Row],[Site]],'Important Info!'!$A$1:$F$135,5,FALSE)</f>
        <v>11, 16, 20</v>
      </c>
      <c r="P60" s="52" t="str">
        <f>VLOOKUP(Tabla3[[#This Row],[Site]],'Important Info!'!$A$1:$F$135,6,FALSE)</f>
        <v>11, 12, 13, 14</v>
      </c>
      <c r="Q60" s="91">
        <f>VLOOKUP(Tabla3[[#This Row],[Site]],'Important Info!'!$A$1:$J$135,9,FALSE)</f>
        <v>182</v>
      </c>
    </row>
    <row r="61" spans="1:17" x14ac:dyDescent="0.25">
      <c r="A61" t="str">
        <f>+Tabla3[[#This Row],[Site]]&amp;Tabla3[[#This Row],[Split]]</f>
        <v>(AS) Park Place Bodywerks Dallas (NO TOURS)4</v>
      </c>
      <c r="B61">
        <v>4</v>
      </c>
      <c r="C61">
        <v>3</v>
      </c>
      <c r="D61" t="s">
        <v>33</v>
      </c>
      <c r="E61" t="s">
        <v>46</v>
      </c>
      <c r="F61" t="s">
        <v>514</v>
      </c>
      <c r="G61" t="s">
        <v>34</v>
      </c>
      <c r="H61" s="52" t="str">
        <f>VLOOKUP(Tabla3[[#This Row],[Site]],'Important Info!'!$A$1:$J$135,10,FALSE)</f>
        <v>https://tools.sig.systems/site/details/166</v>
      </c>
      <c r="I61" s="65" t="s">
        <v>125</v>
      </c>
      <c r="J61" t="s">
        <v>41</v>
      </c>
      <c r="K61" s="79" t="str">
        <f>VLOOKUP(Tabla3[[#This Row],[Site]],'Important Info!'!$A$1:$H$135,8,FALSE)</f>
        <v>-</v>
      </c>
      <c r="L61" s="52">
        <f>VLOOKUP(Tabla3[[#This Row],[Site]],'Important Info!'!$A$1:$F$135,2,FALSE)</f>
        <v>3</v>
      </c>
      <c r="M61" s="52">
        <f>VLOOKUP(Tabla3[[#This Row],[Site]],'Important Info!'!$A$1:$F$135,3,FALSE)</f>
        <v>1</v>
      </c>
      <c r="N61" s="52" t="str">
        <f>VLOOKUP(Tabla3[[#This Row],[Site]],'Important Info!'!$A$1:$F$135,4,FALSE)</f>
        <v>-</v>
      </c>
      <c r="O61" s="52" t="str">
        <f>VLOOKUP(Tabla3[[#This Row],[Site]],'Important Info!'!$A$1:$F$135,5,FALSE)</f>
        <v>-</v>
      </c>
      <c r="P61" s="52" t="str">
        <f>VLOOKUP(Tabla3[[#This Row],[Site]],'Important Info!'!$A$1:$F$135,6,FALSE)</f>
        <v>1, 2, 8</v>
      </c>
      <c r="Q61" s="91">
        <f>VLOOKUP(Tabla3[[#This Row],[Site]],'Important Info!'!$A$1:$J$135,9,FALSE)</f>
        <v>166</v>
      </c>
    </row>
    <row r="62" spans="1:17" x14ac:dyDescent="0.25">
      <c r="A62" t="str">
        <f>+Tabla3[[#This Row],[Site]]&amp;Tabla3[[#This Row],[Split]]</f>
        <v>(AS) Park Place MB Recon Center Dallas (NO TOURS)4</v>
      </c>
      <c r="B62">
        <v>4</v>
      </c>
      <c r="C62">
        <v>3</v>
      </c>
      <c r="D62" t="s">
        <v>33</v>
      </c>
      <c r="E62" t="s">
        <v>46</v>
      </c>
      <c r="F62" t="s">
        <v>517</v>
      </c>
      <c r="G62" t="s">
        <v>34</v>
      </c>
      <c r="H62" s="52" t="str">
        <f>VLOOKUP(Tabla3[[#This Row],[Site]],'Important Info!'!$A$1:$J$135,10,FALSE)</f>
        <v>https://tools.sig.systems/site/details/170</v>
      </c>
      <c r="I62" s="65" t="s">
        <v>125</v>
      </c>
      <c r="J62" t="s">
        <v>41</v>
      </c>
      <c r="K62" s="79" t="str">
        <f>VLOOKUP(Tabla3[[#This Row],[Site]],'Important Info!'!$A$1:$H$135,8,FALSE)</f>
        <v>-</v>
      </c>
      <c r="L62" s="52" t="str">
        <f>VLOOKUP(Tabla3[[#This Row],[Site]],'Important Info!'!$A$1:$F$135,2,FALSE)</f>
        <v>3, 39</v>
      </c>
      <c r="M62" s="52" t="str">
        <f>VLOOKUP(Tabla3[[#This Row],[Site]],'Important Info!'!$A$1:$F$135,3,FALSE)</f>
        <v>-</v>
      </c>
      <c r="N62" s="52" t="str">
        <f>VLOOKUP(Tabla3[[#This Row],[Site]],'Important Info!'!$A$1:$F$135,4,FALSE)</f>
        <v>-</v>
      </c>
      <c r="O62" s="52" t="str">
        <f>VLOOKUP(Tabla3[[#This Row],[Site]],'Important Info!'!$A$1:$F$135,5,FALSE)</f>
        <v>4, 11</v>
      </c>
      <c r="P62" s="52">
        <f>VLOOKUP(Tabla3[[#This Row],[Site]],'Important Info!'!$A$1:$F$135,6,FALSE)</f>
        <v>1</v>
      </c>
      <c r="Q62" s="91">
        <f>VLOOKUP(Tabla3[[#This Row],[Site]],'Important Info!'!$A$1:$J$135,9,FALSE)</f>
        <v>170</v>
      </c>
    </row>
    <row r="63" spans="1:17" x14ac:dyDescent="0.25">
      <c r="A63" t="str">
        <f>+Tabla3[[#This Row],[Site]]&amp;Tabla3[[#This Row],[Split]]</f>
        <v>(AS) Park Place Mercedes Benz Arlington (NO TOURS)4</v>
      </c>
      <c r="B63">
        <v>4</v>
      </c>
      <c r="C63">
        <v>3</v>
      </c>
      <c r="D63" t="s">
        <v>33</v>
      </c>
      <c r="E63" t="s">
        <v>46</v>
      </c>
      <c r="F63" t="s">
        <v>518</v>
      </c>
      <c r="G63" t="s">
        <v>34</v>
      </c>
      <c r="H63" s="52" t="str">
        <f>VLOOKUP(Tabla3[[#This Row],[Site]],'Important Info!'!$A$1:$J$135,10,FALSE)</f>
        <v>https://tools.sig.systems/site/details/169</v>
      </c>
      <c r="J63" t="s">
        <v>41</v>
      </c>
      <c r="K63" s="79" t="str">
        <f>VLOOKUP(Tabla3[[#This Row],[Site]],'Important Info!'!$A$1:$H$135,8,FALSE)</f>
        <v>-</v>
      </c>
      <c r="L63" s="52" t="str">
        <f>VLOOKUP(Tabla3[[#This Row],[Site]],'Important Info!'!$A$1:$F$135,2,FALSE)</f>
        <v>1, 9, 14</v>
      </c>
      <c r="M63" s="52" t="str">
        <f>VLOOKUP(Tabla3[[#This Row],[Site]],'Important Info!'!$A$1:$F$135,3,FALSE)</f>
        <v>-</v>
      </c>
      <c r="N63" s="52" t="str">
        <f>VLOOKUP(Tabla3[[#This Row],[Site]],'Important Info!'!$A$1:$F$135,4,FALSE)</f>
        <v>77, 78, 79, 80</v>
      </c>
      <c r="O63" s="52" t="str">
        <f>VLOOKUP(Tabla3[[#This Row],[Site]],'Important Info!'!$A$1:$F$135,5,FALSE)</f>
        <v>2, 10, 18, 22, 31, 40</v>
      </c>
      <c r="P63" s="52">
        <f>VLOOKUP(Tabla3[[#This Row],[Site]],'Important Info!'!$A$1:$F$135,6,FALSE)</f>
        <v>9</v>
      </c>
      <c r="Q63" s="91">
        <f>VLOOKUP(Tabla3[[#This Row],[Site]],'Important Info!'!$A$1:$J$135,9,FALSE)</f>
        <v>169</v>
      </c>
    </row>
    <row r="64" spans="1:17" x14ac:dyDescent="0.25">
      <c r="A64" t="str">
        <f>+Tabla3[[#This Row],[Site]]&amp;Tabla3[[#This Row],[Split]]</f>
        <v>(AS) Park Place Volvo Service Center (NO TOURS)4</v>
      </c>
      <c r="B64">
        <v>4</v>
      </c>
      <c r="C64">
        <v>3</v>
      </c>
      <c r="D64" t="s">
        <v>33</v>
      </c>
      <c r="E64" t="s">
        <v>46</v>
      </c>
      <c r="F64" t="s">
        <v>522</v>
      </c>
      <c r="G64" t="s">
        <v>34</v>
      </c>
      <c r="H64" s="52" t="str">
        <f>VLOOKUP(Tabla3[[#This Row],[Site]],'Important Info!'!$A$1:$J$135,10,FALSE)</f>
        <v>https://tools.sig.systems/site/details/171</v>
      </c>
      <c r="I64" s="65" t="s">
        <v>125</v>
      </c>
      <c r="J64" t="s">
        <v>41</v>
      </c>
      <c r="K64" s="79" t="str">
        <f>VLOOKUP(Tabla3[[#This Row],[Site]],'Important Info!'!$A$1:$H$135,8,FALSE)</f>
        <v>-</v>
      </c>
      <c r="L64" s="52" t="str">
        <f>VLOOKUP(Tabla3[[#This Row],[Site]],'Important Info!'!$A$1:$F$135,2,FALSE)</f>
        <v>3, 6, 9, 27, 31, 35</v>
      </c>
      <c r="M64" s="52" t="str">
        <f>VLOOKUP(Tabla3[[#This Row],[Site]],'Important Info!'!$A$1:$F$135,3,FALSE)</f>
        <v>-</v>
      </c>
      <c r="N64" s="52" t="str">
        <f>VLOOKUP(Tabla3[[#This Row],[Site]],'Important Info!'!$A$1:$F$135,4,FALSE)</f>
        <v>-</v>
      </c>
      <c r="O64" s="52" t="str">
        <f>VLOOKUP(Tabla3[[#This Row],[Site]],'Important Info!'!$A$1:$F$135,5,FALSE)</f>
        <v>27, 32</v>
      </c>
      <c r="P64" s="52" t="str">
        <f>VLOOKUP(Tabla3[[#This Row],[Site]],'Important Info!'!$A$1:$F$135,6,FALSE)</f>
        <v>-</v>
      </c>
      <c r="Q64" s="91">
        <f>VLOOKUP(Tabla3[[#This Row],[Site]],'Important Info!'!$A$1:$J$135,9,FALSE)</f>
        <v>171</v>
      </c>
    </row>
    <row r="65" spans="1:17" x14ac:dyDescent="0.25">
      <c r="A65" t="str">
        <f>+Tabla3[[#This Row],[Site]]&amp;Tabla3[[#This Row],[Split]]</f>
        <v>(AS) Plaza Lexus/Mercedes/BMW (NO TOURS)4</v>
      </c>
      <c r="B65">
        <v>4</v>
      </c>
      <c r="C65">
        <v>3</v>
      </c>
      <c r="D65" t="s">
        <v>33</v>
      </c>
      <c r="E65" s="41" t="s">
        <v>46</v>
      </c>
      <c r="F65" s="41" t="s">
        <v>92</v>
      </c>
      <c r="G65" t="s">
        <v>34</v>
      </c>
      <c r="H65" s="52" t="str">
        <f>VLOOKUP(Tabla3[[#This Row],[Site]],'Important Info!'!$A$1:$J$135,10,FALSE)</f>
        <v>https://tools.sig.systems/site/details/141</v>
      </c>
      <c r="I65" s="64" t="s">
        <v>130</v>
      </c>
      <c r="J65" s="41" t="s">
        <v>41</v>
      </c>
      <c r="K65" s="79" t="str">
        <f>VLOOKUP(Tabla3[[#This Row],[Site]],'Important Info!'!$A$1:$H$135,8,FALSE)</f>
        <v>-</v>
      </c>
      <c r="L65" s="52" t="str">
        <f>VLOOKUP(Tabla3[[#This Row],[Site]],'Important Info!'!$A$1:$F$135,2,FALSE)</f>
        <v>3, 4, 18</v>
      </c>
      <c r="M65" s="52" t="str">
        <f>VLOOKUP(Tabla3[[#This Row],[Site]],'Important Info!'!$A$1:$F$135,3,FALSE)</f>
        <v>9, 10, 12, 13, 16, 17</v>
      </c>
      <c r="N65" s="52" t="str">
        <f>VLOOKUP(Tabla3[[#This Row],[Site]],'Important Info!'!$A$1:$F$135,4,FALSE)</f>
        <v>-</v>
      </c>
      <c r="O65" s="52">
        <f>VLOOKUP(Tabla3[[#This Row],[Site]],'Important Info!'!$A$1:$F$135,5,FALSE)</f>
        <v>2</v>
      </c>
      <c r="P65" s="52" t="str">
        <f>VLOOKUP(Tabla3[[#This Row],[Site]],'Important Info!'!$A$1:$F$135,6,FALSE)</f>
        <v>2, 16</v>
      </c>
      <c r="Q65" s="91">
        <f>VLOOKUP(Tabla3[[#This Row],[Site]],'Important Info!'!$A$1:$J$135,9,FALSE)</f>
        <v>141</v>
      </c>
    </row>
    <row r="66" spans="1:17" x14ac:dyDescent="0.25">
      <c r="A66" t="str">
        <f>+Tabla3[[#This Row],[Site]]&amp;Tabla3[[#This Row],[Split]]</f>
        <v>(AS) Stevinson JLR (NO TOURS)4</v>
      </c>
      <c r="B66">
        <v>4</v>
      </c>
      <c r="C66">
        <v>3</v>
      </c>
      <c r="D66" t="s">
        <v>44</v>
      </c>
      <c r="E66" t="s">
        <v>53</v>
      </c>
      <c r="F66" t="s">
        <v>93</v>
      </c>
      <c r="G66" t="s">
        <v>45</v>
      </c>
      <c r="H66" s="52" t="str">
        <f>VLOOKUP(Tabla3[[#This Row],[Site]],'Important Info!'!$A$1:$J$135,10,FALSE)</f>
        <v>https://tools.sig.systems/site/details/204</v>
      </c>
      <c r="J66" t="s">
        <v>41</v>
      </c>
      <c r="K66" s="79" t="str">
        <f>VLOOKUP(Tabla3[[#This Row],[Site]],'Important Info!'!$A$1:$H$135,8,FALSE)</f>
        <v>-</v>
      </c>
      <c r="L66" s="52">
        <f>VLOOKUP(Tabla3[[#This Row],[Site]],'Important Info!'!$A$1:$F$135,2,FALSE)</f>
        <v>5</v>
      </c>
      <c r="M66" s="52">
        <f>VLOOKUP(Tabla3[[#This Row],[Site]],'Important Info!'!$A$1:$F$135,3,FALSE)</f>
        <v>4</v>
      </c>
      <c r="N66" s="52" t="str">
        <f>VLOOKUP(Tabla3[[#This Row],[Site]],'Important Info!'!$A$1:$F$135,4,FALSE)</f>
        <v>-</v>
      </c>
      <c r="O66" s="52">
        <f>VLOOKUP(Tabla3[[#This Row],[Site]],'Important Info!'!$A$1:$F$135,5,FALSE)</f>
        <v>3</v>
      </c>
      <c r="P66" s="52" t="str">
        <f>VLOOKUP(Tabla3[[#This Row],[Site]],'Important Info!'!$A$1:$F$135,6,FALSE)</f>
        <v>1, 4, 15, 16</v>
      </c>
      <c r="Q66" s="91">
        <f>VLOOKUP(Tabla3[[#This Row],[Site]],'Important Info!'!$A$1:$J$135,9,FALSE)</f>
        <v>204</v>
      </c>
    </row>
    <row r="67" spans="1:17" x14ac:dyDescent="0.25">
      <c r="A67" t="str">
        <f>+Tabla3[[#This Row],[Site]]&amp;Tabla3[[#This Row],[Split]]</f>
        <v>(DT) Colorado Springs (NO TOURS)4</v>
      </c>
      <c r="B67">
        <v>4</v>
      </c>
      <c r="C67">
        <v>3</v>
      </c>
      <c r="D67" t="s">
        <v>44</v>
      </c>
      <c r="E67" t="s">
        <v>53</v>
      </c>
      <c r="F67" t="s">
        <v>156</v>
      </c>
      <c r="G67" t="s">
        <v>45</v>
      </c>
      <c r="H67" s="52" t="str">
        <f>VLOOKUP(Tabla3[[#This Row],[Site]],'Important Info!'!$A$1:$J$135,10,FALSE)</f>
        <v>https://tools.sig.systems/site/details/198</v>
      </c>
      <c r="J67" t="s">
        <v>41</v>
      </c>
      <c r="K67" s="79" t="str">
        <f>VLOOKUP(Tabla3[[#This Row],[Site]],'Important Info!'!$A$1:$H$135,8,FALSE)</f>
        <v>-</v>
      </c>
      <c r="L67" s="52" t="str">
        <f>VLOOKUP(Tabla3[[#This Row],[Site]],'Important Info!'!$A$1:$F$135,2,FALSE)</f>
        <v>-</v>
      </c>
      <c r="M67" s="52" t="str">
        <f>VLOOKUP(Tabla3[[#This Row],[Site]],'Important Info!'!$A$1:$F$135,3,FALSE)</f>
        <v>1, 2, 3, 4</v>
      </c>
      <c r="N67" s="52" t="str">
        <f>VLOOKUP(Tabla3[[#This Row],[Site]],'Important Info!'!$A$1:$F$135,4,FALSE)</f>
        <v>-</v>
      </c>
      <c r="O67" s="52" t="str">
        <f>VLOOKUP(Tabla3[[#This Row],[Site]],'Important Info!'!$A$1:$F$135,5,FALSE)</f>
        <v>-</v>
      </c>
      <c r="P67" s="52" t="str">
        <f>VLOOKUP(Tabla3[[#This Row],[Site]],'Important Info!'!$A$1:$F$135,6,FALSE)</f>
        <v>1, 2, 3, 11</v>
      </c>
      <c r="Q67" s="91">
        <f>VLOOKUP(Tabla3[[#This Row],[Site]],'Important Info!'!$A$1:$J$135,9,FALSE)</f>
        <v>198</v>
      </c>
    </row>
    <row r="68" spans="1:17" x14ac:dyDescent="0.25">
      <c r="A68" t="str">
        <f>+Tabla3[[#This Row],[Site]]&amp;Tabla3[[#This Row],[Split]]</f>
        <v>(DT) El Cajon (NO TOURS)4</v>
      </c>
      <c r="B68">
        <v>4</v>
      </c>
      <c r="C68">
        <v>3</v>
      </c>
      <c r="D68" t="s">
        <v>51</v>
      </c>
      <c r="E68" t="s">
        <v>159</v>
      </c>
      <c r="F68" t="s">
        <v>160</v>
      </c>
      <c r="G68" t="s">
        <v>52</v>
      </c>
      <c r="H68" s="52" t="str">
        <f>VLOOKUP(Tabla3[[#This Row],[Site]],'Important Info!'!$A$1:$J$135,10,FALSE)</f>
        <v>https://tools.sig.systems/site/details/241</v>
      </c>
      <c r="J68" t="s">
        <v>41</v>
      </c>
      <c r="K68" s="79" t="str">
        <f>VLOOKUP(Tabla3[[#This Row],[Site]],'Important Info!'!$A$1:$H$135,8,FALSE)</f>
        <v>-</v>
      </c>
      <c r="L68" s="52" t="str">
        <f>VLOOKUP(Tabla3[[#This Row],[Site]],'Important Info!'!$A$1:$F$135,2,FALSE)</f>
        <v>-</v>
      </c>
      <c r="M68" s="52">
        <f>VLOOKUP(Tabla3[[#This Row],[Site]],'Important Info!'!$A$1:$F$135,3,FALSE)</f>
        <v>3</v>
      </c>
      <c r="N68" s="52" t="str">
        <f>VLOOKUP(Tabla3[[#This Row],[Site]],'Important Info!'!$A$1:$F$135,4,FALSE)</f>
        <v>-</v>
      </c>
      <c r="O68" s="52" t="str">
        <f>VLOOKUP(Tabla3[[#This Row],[Site]],'Important Info!'!$A$1:$F$135,5,FALSE)</f>
        <v>-</v>
      </c>
      <c r="P68" s="52" t="str">
        <f>VLOOKUP(Tabla3[[#This Row],[Site]],'Important Info!'!$A$1:$F$135,6,FALSE)</f>
        <v>-</v>
      </c>
      <c r="Q68" s="91">
        <f>VLOOKUP(Tabla3[[#This Row],[Site]],'Important Info!'!$A$1:$J$135,9,FALSE)</f>
        <v>241</v>
      </c>
    </row>
    <row r="69" spans="1:17" x14ac:dyDescent="0.25">
      <c r="A69" t="str">
        <f>+Tabla3[[#This Row],[Site]]&amp;Tabla3[[#This Row],[Split]]</f>
        <v>(DT) Louisville4</v>
      </c>
      <c r="B69">
        <v>4</v>
      </c>
      <c r="C69">
        <v>3</v>
      </c>
      <c r="D69" t="s">
        <v>62</v>
      </c>
      <c r="E69" t="s">
        <v>35</v>
      </c>
      <c r="F69" t="s">
        <v>99</v>
      </c>
      <c r="G69" t="s">
        <v>490</v>
      </c>
      <c r="H69" s="52" t="str">
        <f>VLOOKUP(Tabla3[[#This Row],[Site]],'Important Info!'!$A$1:$J$135,10,FALSE)</f>
        <v>https://tools.sig.systems/site/details/258</v>
      </c>
      <c r="I69" s="8"/>
      <c r="J69" t="s">
        <v>41</v>
      </c>
      <c r="K69" s="79" t="str">
        <f>VLOOKUP(Tabla3[[#This Row],[Site]],'Important Info!'!$A$1:$H$135,8,FALSE)</f>
        <v>-</v>
      </c>
      <c r="L69" s="52" t="str">
        <f>VLOOKUP(Tabla3[[#This Row],[Site]],'Important Info!'!$A$1:$F$135,2,FALSE)</f>
        <v>-</v>
      </c>
      <c r="M69" s="52">
        <f>VLOOKUP(Tabla3[[#This Row],[Site]],'Important Info!'!$A$1:$F$135,3,FALSE)</f>
        <v>3</v>
      </c>
      <c r="N69" s="52" t="str">
        <f>VLOOKUP(Tabla3[[#This Row],[Site]],'Important Info!'!$A$1:$F$135,4,FALSE)</f>
        <v>-</v>
      </c>
      <c r="O69" s="52" t="str">
        <f>VLOOKUP(Tabla3[[#This Row],[Site]],'Important Info!'!$A$1:$F$135,5,FALSE)</f>
        <v>-</v>
      </c>
      <c r="P69" s="52" t="str">
        <f>VLOOKUP(Tabla3[[#This Row],[Site]],'Important Info!'!$A$1:$F$135,6,FALSE)</f>
        <v>3, 8</v>
      </c>
      <c r="Q69" s="91">
        <f>VLOOKUP(Tabla3[[#This Row],[Site]],'Important Info!'!$A$1:$J$135,9,FALSE)</f>
        <v>258</v>
      </c>
    </row>
    <row r="70" spans="1:17" x14ac:dyDescent="0.25">
      <c r="A70" t="str">
        <f>+Tabla3[[#This Row],[Site]]&amp;Tabla3[[#This Row],[Split]]</f>
        <v>(HUD) CDJR of Greensboro4</v>
      </c>
      <c r="B70">
        <v>4</v>
      </c>
      <c r="C70">
        <v>3</v>
      </c>
      <c r="D70" t="s">
        <v>62</v>
      </c>
      <c r="E70" t="s">
        <v>35</v>
      </c>
      <c r="F70" t="s">
        <v>185</v>
      </c>
      <c r="G70" t="s">
        <v>490</v>
      </c>
      <c r="H70" s="52" t="str">
        <f>VLOOKUP(Tabla3[[#This Row],[Site]],'Important Info!'!$A$1:$J$135,10,FALSE)</f>
        <v>https://tools.sig.systems/site/details/215</v>
      </c>
      <c r="I70" t="s">
        <v>184</v>
      </c>
      <c r="J70" t="s">
        <v>36</v>
      </c>
      <c r="K70" s="79" t="str">
        <f>VLOOKUP(Tabla3[[#This Row],[Site]],'Important Info!'!$A$1:$H$135,8,FALSE)</f>
        <v>-</v>
      </c>
      <c r="L70" s="52" t="str">
        <f>VLOOKUP(Tabla3[[#This Row],[Site]],'Important Info!'!$A$1:$F$135,2,FALSE)</f>
        <v>2, 12</v>
      </c>
      <c r="M70" s="52" t="str">
        <f>VLOOKUP(Tabla3[[#This Row],[Site]],'Important Info!'!$A$1:$F$135,3,FALSE)</f>
        <v>-</v>
      </c>
      <c r="N70" s="52" t="str">
        <f>VLOOKUP(Tabla3[[#This Row],[Site]],'Important Info!'!$A$1:$F$135,4,FALSE)</f>
        <v>-</v>
      </c>
      <c r="O70" s="52" t="str">
        <f>VLOOKUP(Tabla3[[#This Row],[Site]],'Important Info!'!$A$1:$F$135,5,FALSE)</f>
        <v>3, 13</v>
      </c>
      <c r="P70" s="52" t="str">
        <f>VLOOKUP(Tabla3[[#This Row],[Site]],'Important Info!'!$A$1:$F$135,6,FALSE)</f>
        <v>1, 17</v>
      </c>
      <c r="Q70" s="91">
        <f>VLOOKUP(Tabla3[[#This Row],[Site]],'Important Info!'!$A$1:$J$135,9,FALSE)</f>
        <v>215</v>
      </c>
    </row>
    <row r="71" spans="1:17" x14ac:dyDescent="0.25">
      <c r="A71" t="str">
        <f>+Tabla3[[#This Row],[Site]]&amp;Tabla3[[#This Row],[Split]]</f>
        <v>(JE) Jim Ellis Ford Sandy Springs4</v>
      </c>
      <c r="B71">
        <v>4</v>
      </c>
      <c r="C71">
        <v>3</v>
      </c>
      <c r="D71" t="s">
        <v>62</v>
      </c>
      <c r="E71" t="s">
        <v>35</v>
      </c>
      <c r="F71" t="s">
        <v>187</v>
      </c>
      <c r="G71" t="s">
        <v>490</v>
      </c>
      <c r="H71" s="52" t="str">
        <f>VLOOKUP(Tabla3[[#This Row],[Site]],'Important Info!'!$A$1:$J$135,10,FALSE)</f>
        <v>https://tools.sig.systems/site/details/142</v>
      </c>
      <c r="J71" t="s">
        <v>41</v>
      </c>
      <c r="K71" s="79" t="str">
        <f>VLOOKUP(Tabla3[[#This Row],[Site]],'Important Info!'!$A$1:$H$135,8,FALSE)</f>
        <v>-</v>
      </c>
      <c r="L71" s="52" t="str">
        <f>VLOOKUP(Tabla3[[#This Row],[Site]],'Important Info!'!$A$1:$F$135,2,FALSE)</f>
        <v>1, 5</v>
      </c>
      <c r="M71" s="52" t="str">
        <f>VLOOKUP(Tabla3[[#This Row],[Site]],'Important Info!'!$A$1:$F$135,3,FALSE)</f>
        <v>-</v>
      </c>
      <c r="N71" s="52" t="str">
        <f>VLOOKUP(Tabla3[[#This Row],[Site]],'Important Info!'!$A$1:$F$135,4,FALSE)</f>
        <v>-</v>
      </c>
      <c r="O71" s="52" t="str">
        <f>VLOOKUP(Tabla3[[#This Row],[Site]],'Important Info!'!$A$1:$F$135,5,FALSE)</f>
        <v>1, 5, 9, 26</v>
      </c>
      <c r="P71" s="52" t="str">
        <f>VLOOKUP(Tabla3[[#This Row],[Site]],'Important Info!'!$A$1:$F$135,6,FALSE)</f>
        <v>3, 4, 8, 28</v>
      </c>
      <c r="Q71" s="91">
        <f>VLOOKUP(Tabla3[[#This Row],[Site]],'Important Info!'!$A$1:$J$135,9,FALSE)</f>
        <v>142</v>
      </c>
    </row>
    <row r="72" spans="1:17" x14ac:dyDescent="0.25">
      <c r="A72" t="str">
        <f>+Tabla3[[#This Row],[Site]]&amp;Tabla3[[#This Row],[Split]]</f>
        <v>(KG) Baytown GMC Buick - Remote Lot (NO TOURS)4</v>
      </c>
      <c r="B72">
        <v>4</v>
      </c>
      <c r="C72">
        <v>3</v>
      </c>
      <c r="D72" t="s">
        <v>60</v>
      </c>
      <c r="E72" t="s">
        <v>46</v>
      </c>
      <c r="F72" t="s">
        <v>167</v>
      </c>
      <c r="G72" t="s">
        <v>41</v>
      </c>
      <c r="H72" s="52" t="str">
        <f>VLOOKUP(Tabla3[[#This Row],[Site]],'Important Info!'!$A$1:$J$135,10,FALSE)</f>
        <v>https://tools.sig.systems/site/details/311</v>
      </c>
      <c r="I72" s="43"/>
      <c r="J72" t="s">
        <v>41</v>
      </c>
      <c r="K72" s="79" t="s">
        <v>168</v>
      </c>
      <c r="L72" s="52" t="str">
        <f>VLOOKUP(Tabla3[[#This Row],[Site]],'Important Info!'!$A$1:$F$135,2,FALSE)</f>
        <v>-</v>
      </c>
      <c r="M72" s="52" t="str">
        <f>VLOOKUP(Tabla3[[#This Row],[Site]],'Important Info!'!$A$1:$F$135,3,FALSE)</f>
        <v>7, 8</v>
      </c>
      <c r="N72" s="52" t="str">
        <f>VLOOKUP(Tabla3[[#This Row],[Site]],'Important Info!'!$A$1:$F$135,4,FALSE)</f>
        <v>-</v>
      </c>
      <c r="O72" s="52" t="str">
        <f>VLOOKUP(Tabla3[[#This Row],[Site]],'Important Info!'!$A$1:$F$135,5,FALSE)</f>
        <v>-</v>
      </c>
      <c r="P72" s="52" t="str">
        <f>VLOOKUP(Tabla3[[#This Row],[Site]],'Important Info!'!$A$1:$F$135,6,FALSE)</f>
        <v>-</v>
      </c>
      <c r="Q72" s="91">
        <f>VLOOKUP(Tabla3[[#This Row],[Site]],'Important Info!'!$A$1:$J$135,9,FALSE)</f>
        <v>311</v>
      </c>
    </row>
    <row r="73" spans="1:17" x14ac:dyDescent="0.25">
      <c r="A73" t="str">
        <f>+Tabla3[[#This Row],[Site]]&amp;Tabla3[[#This Row],[Split]]</f>
        <v>(KG) Baytown GMC Buick (NO TOURS)4</v>
      </c>
      <c r="B73">
        <v>4</v>
      </c>
      <c r="C73">
        <v>3</v>
      </c>
      <c r="D73" t="s">
        <v>33</v>
      </c>
      <c r="E73" t="s">
        <v>46</v>
      </c>
      <c r="F73" t="s">
        <v>132</v>
      </c>
      <c r="G73" t="s">
        <v>34</v>
      </c>
      <c r="H73" s="52" t="str">
        <f>VLOOKUP(Tabla3[[#This Row],[Site]],'Important Info!'!$A$1:$J$135,10,FALSE)</f>
        <v>https://tools.sig.systems/site/details/239</v>
      </c>
      <c r="I73" s="8"/>
      <c r="J73" t="s">
        <v>41</v>
      </c>
      <c r="K73" s="79" t="str">
        <f>VLOOKUP(Tabla3[[#This Row],[Site]],'Important Info!'!$A$1:$H$135,8,FALSE)</f>
        <v>-</v>
      </c>
      <c r="L73" s="52" t="str">
        <f>VLOOKUP(Tabla3[[#This Row],[Site]],'Important Info!'!$A$1:$F$135,2,FALSE)</f>
        <v>1, 5, 7, 21, 22</v>
      </c>
      <c r="M73" s="52" t="str">
        <f>VLOOKUP(Tabla3[[#This Row],[Site]],'Important Info!'!$A$1:$F$135,3,FALSE)</f>
        <v>-</v>
      </c>
      <c r="N73" s="52" t="str">
        <f>VLOOKUP(Tabla3[[#This Row],[Site]],'Important Info!'!$A$1:$F$135,4,FALSE)</f>
        <v>-</v>
      </c>
      <c r="O73" s="52" t="str">
        <f>VLOOKUP(Tabla3[[#This Row],[Site]],'Important Info!'!$A$1:$F$135,5,FALSE)</f>
        <v>2, 10, 15, 24B</v>
      </c>
      <c r="P73" s="52" t="str">
        <f>VLOOKUP(Tabla3[[#This Row],[Site]],'Important Info!'!$A$1:$F$135,6,FALSE)</f>
        <v>21, 22</v>
      </c>
      <c r="Q73" s="91">
        <f>VLOOKUP(Tabla3[[#This Row],[Site]],'Important Info!'!$A$1:$J$135,9,FALSE)</f>
        <v>239</v>
      </c>
    </row>
    <row r="74" spans="1:17" x14ac:dyDescent="0.25">
      <c r="A74" t="str">
        <f>+Tabla3[[#This Row],[Site]]&amp;Tabla3[[#This Row],[Split]]</f>
        <v>(KG) Big Star Honda4</v>
      </c>
      <c r="B74">
        <v>4</v>
      </c>
      <c r="C74">
        <v>3</v>
      </c>
      <c r="D74" t="s">
        <v>33</v>
      </c>
      <c r="E74" t="s">
        <v>46</v>
      </c>
      <c r="F74" t="s">
        <v>136</v>
      </c>
      <c r="G74" t="s">
        <v>34</v>
      </c>
      <c r="H74" s="52" t="str">
        <f>VLOOKUP(Tabla3[[#This Row],[Site]],'Important Info!'!$A$1:$J$135,10,FALSE)</f>
        <v>https://tools.sig.systems/site/details/231</v>
      </c>
      <c r="I74" s="62"/>
      <c r="J74" t="s">
        <v>41</v>
      </c>
      <c r="K74" s="79" t="str">
        <f>VLOOKUP(Tabla3[[#This Row],[Site]],'Important Info!'!$A$1:$H$135,8,FALSE)</f>
        <v>-</v>
      </c>
      <c r="L74" s="52" t="str">
        <f>VLOOKUP(Tabla3[[#This Row],[Site]],'Important Info!'!$A$1:$F$135,2,FALSE)</f>
        <v>2, 17, 33</v>
      </c>
      <c r="M74" s="52" t="str">
        <f>VLOOKUP(Tabla3[[#This Row],[Site]],'Important Info!'!$A$1:$F$135,3,FALSE)</f>
        <v>-</v>
      </c>
      <c r="N74" s="52" t="str">
        <f>VLOOKUP(Tabla3[[#This Row],[Site]],'Important Info!'!$A$1:$F$135,4,FALSE)</f>
        <v>-</v>
      </c>
      <c r="O74" s="52" t="str">
        <f>VLOOKUP(Tabla3[[#This Row],[Site]],'Important Info!'!$A$1:$F$135,5,FALSE)</f>
        <v>3, 11, 16, 21, 24, 31, 34</v>
      </c>
      <c r="P74" s="52" t="str">
        <f>VLOOKUP(Tabla3[[#This Row],[Site]],'Important Info!'!$A$1:$F$135,6,FALSE)</f>
        <v xml:space="preserve">2, 3, 17, 22, 37, 41, 42 </v>
      </c>
      <c r="Q74" s="91">
        <f>VLOOKUP(Tabla3[[#This Row],[Site]],'Important Info!'!$A$1:$J$135,9,FALSE)</f>
        <v>231</v>
      </c>
    </row>
    <row r="75" spans="1:17" x14ac:dyDescent="0.25">
      <c r="A75" t="str">
        <f>+Tabla3[[#This Row],[Site]]&amp;Tabla3[[#This Row],[Split]]</f>
        <v>(KG) JLR LEHI (NO TOURS)4</v>
      </c>
      <c r="B75">
        <v>4</v>
      </c>
      <c r="C75">
        <v>3</v>
      </c>
      <c r="D75" t="s">
        <v>44</v>
      </c>
      <c r="E75" t="s">
        <v>53</v>
      </c>
      <c r="F75" t="s">
        <v>8</v>
      </c>
      <c r="G75" t="s">
        <v>45</v>
      </c>
      <c r="H75" s="52" t="str">
        <f>VLOOKUP(Tabla3[[#This Row],[Site]],'Important Info!'!$A$1:$J$135,10,FALSE)</f>
        <v>https://tools.sig.systems/site/details/145</v>
      </c>
      <c r="I75" s="65"/>
      <c r="J75" t="s">
        <v>41</v>
      </c>
      <c r="K75" s="79" t="str">
        <f>VLOOKUP(Tabla3[[#This Row],[Site]],'Important Info!'!$A$1:$H$135,8,FALSE)</f>
        <v>-</v>
      </c>
      <c r="L75" s="52" t="str">
        <f>VLOOKUP(Tabla3[[#This Row],[Site]],'Important Info!'!$A$1:$F$135,2,FALSE)</f>
        <v>1, 11</v>
      </c>
      <c r="M75" s="52" t="str">
        <f>VLOOKUP(Tabla3[[#This Row],[Site]],'Important Info!'!$A$1:$F$135,3,FALSE)</f>
        <v>-</v>
      </c>
      <c r="N75" s="52" t="str">
        <f>VLOOKUP(Tabla3[[#This Row],[Site]],'Important Info!'!$A$1:$F$135,4,FALSE)</f>
        <v>-</v>
      </c>
      <c r="O75" s="52" t="str">
        <f>VLOOKUP(Tabla3[[#This Row],[Site]],'Important Info!'!$A$1:$F$135,5,FALSE)</f>
        <v>1, 7, 11</v>
      </c>
      <c r="P75" s="52" t="str">
        <f>VLOOKUP(Tabla3[[#This Row],[Site]],'Important Info!'!$A$1:$F$135,6,FALSE)</f>
        <v>-</v>
      </c>
      <c r="Q75" s="91">
        <f>VLOOKUP(Tabla3[[#This Row],[Site]],'Important Info!'!$A$1:$J$135,9,FALSE)</f>
        <v>145</v>
      </c>
    </row>
    <row r="76" spans="1:17" x14ac:dyDescent="0.25">
      <c r="A76" t="str">
        <f>+Tabla3[[#This Row],[Site]]&amp;Tabla3[[#This Row],[Split]]</f>
        <v>(LM) Luther Mazda / Mitsubishi4</v>
      </c>
      <c r="B76">
        <v>4</v>
      </c>
      <c r="C76">
        <v>3</v>
      </c>
      <c r="D76" t="s">
        <v>33</v>
      </c>
      <c r="E76" t="s">
        <v>46</v>
      </c>
      <c r="F76" t="s">
        <v>103</v>
      </c>
      <c r="G76" t="s">
        <v>34</v>
      </c>
      <c r="H76" s="52" t="str">
        <f>VLOOKUP(Tabla3[[#This Row],[Site]],'Important Info!'!$A$1:$J$135,10,FALSE)</f>
        <v>https://tools.sig.systems/site/details/147</v>
      </c>
      <c r="I76" s="8" t="s">
        <v>138</v>
      </c>
      <c r="J76" t="s">
        <v>41</v>
      </c>
      <c r="K76" s="79" t="str">
        <f>VLOOKUP(Tabla3[[#This Row],[Site]],'Important Info!'!$A$1:$H$135,8,FALSE)</f>
        <v>-</v>
      </c>
      <c r="L76" s="52" t="str">
        <f>VLOOKUP(Tabla3[[#This Row],[Site]],'Important Info!'!$A$1:$F$135,2,FALSE)</f>
        <v>4, 5, 6</v>
      </c>
      <c r="M76" s="52" t="str">
        <f>VLOOKUP(Tabla3[[#This Row],[Site]],'Important Info!'!$A$1:$F$135,3,FALSE)</f>
        <v>-</v>
      </c>
      <c r="N76" s="52" t="str">
        <f>VLOOKUP(Tabla3[[#This Row],[Site]],'Important Info!'!$A$1:$F$135,4,FALSE)</f>
        <v>1, 2</v>
      </c>
      <c r="O76" s="52" t="str">
        <f>VLOOKUP(Tabla3[[#This Row],[Site]],'Important Info!'!$A$1:$F$135,5,FALSE)</f>
        <v>-</v>
      </c>
      <c r="P76" s="52" t="str">
        <f>VLOOKUP(Tabla3[[#This Row],[Site]],'Important Info!'!$A$1:$F$135,6,FALSE)</f>
        <v>13, 14, 15, 16</v>
      </c>
      <c r="Q76" s="91">
        <f>VLOOKUP(Tabla3[[#This Row],[Site]],'Important Info!'!$A$1:$J$135,9,FALSE)</f>
        <v>147</v>
      </c>
    </row>
    <row r="77" spans="1:17" x14ac:dyDescent="0.25">
      <c r="A77" t="str">
        <f>+Tabla3[[#This Row],[Site]]&amp;Tabla3[[#This Row],[Split]]</f>
        <v>(ML) Columbia Honda (NO TOURS)4</v>
      </c>
      <c r="B77">
        <v>4</v>
      </c>
      <c r="C77">
        <v>3</v>
      </c>
      <c r="D77" t="s">
        <v>33</v>
      </c>
      <c r="E77" t="s">
        <v>46</v>
      </c>
      <c r="F77" t="s">
        <v>143</v>
      </c>
      <c r="G77" t="s">
        <v>34</v>
      </c>
      <c r="H77" s="52" t="str">
        <f>VLOOKUP(Tabla3[[#This Row],[Site]],'Important Info!'!$A$1:$J$135,10,FALSE)</f>
        <v>https://tools.sig.systems/site/details/272</v>
      </c>
      <c r="I77" s="65" t="s">
        <v>144</v>
      </c>
      <c r="J77" t="s">
        <v>41</v>
      </c>
      <c r="K77" s="79" t="str">
        <f>VLOOKUP(Tabla3[[#This Row],[Site]],'Important Info!'!$A$1:$H$135,8,FALSE)</f>
        <v>-</v>
      </c>
      <c r="L77" s="52" t="str">
        <f>VLOOKUP(Tabla3[[#This Row],[Site]],'Important Info!'!$A$1:$F$135,2,FALSE)</f>
        <v>-</v>
      </c>
      <c r="M77" s="52" t="str">
        <f>VLOOKUP(Tabla3[[#This Row],[Site]],'Important Info!'!$A$1:$F$135,3,FALSE)</f>
        <v>9, 19, 20</v>
      </c>
      <c r="N77" s="52" t="str">
        <f>VLOOKUP(Tabla3[[#This Row],[Site]],'Important Info!'!$A$1:$F$135,4,FALSE)</f>
        <v>-</v>
      </c>
      <c r="O77" s="52" t="str">
        <f>VLOOKUP(Tabla3[[#This Row],[Site]],'Important Info!'!$A$1:$F$135,5,FALSE)</f>
        <v>10, 17, 19</v>
      </c>
      <c r="P77" s="52" t="str">
        <f>VLOOKUP(Tabla3[[#This Row],[Site]],'Important Info!'!$A$1:$F$135,6,FALSE)</f>
        <v>3, 4, 5</v>
      </c>
      <c r="Q77" s="91">
        <f>VLOOKUP(Tabla3[[#This Row],[Site]],'Important Info!'!$A$1:$J$135,9,FALSE)</f>
        <v>272</v>
      </c>
    </row>
    <row r="78" spans="1:17" x14ac:dyDescent="0.25">
      <c r="A78" t="str">
        <f>+Tabla3[[#This Row],[Site]]&amp;Tabla3[[#This Row],[Split]]</f>
        <v>(ML) Joe Machens E Collision Center4</v>
      </c>
      <c r="B78">
        <v>4</v>
      </c>
      <c r="C78">
        <v>3</v>
      </c>
      <c r="D78" t="s">
        <v>33</v>
      </c>
      <c r="E78" t="s">
        <v>46</v>
      </c>
      <c r="F78" t="s">
        <v>147</v>
      </c>
      <c r="G78" t="s">
        <v>34</v>
      </c>
      <c r="H78" s="52" t="str">
        <f>VLOOKUP(Tabla3[[#This Row],[Site]],'Important Info!'!$A$1:$J$135,10,FALSE)</f>
        <v>https://tools.sig.systems/site/details/277</v>
      </c>
      <c r="I78" s="65" t="s">
        <v>146</v>
      </c>
      <c r="J78" t="s">
        <v>41</v>
      </c>
      <c r="K78" s="79" t="str">
        <f>VLOOKUP(Tabla3[[#This Row],[Site]],'Important Info!'!$A$1:$H$135,8,FALSE)</f>
        <v>-</v>
      </c>
      <c r="L78" s="52">
        <f>VLOOKUP(Tabla3[[#This Row],[Site]],'Important Info!'!$A$1:$F$135,2,FALSE)</f>
        <v>1</v>
      </c>
      <c r="M78" s="52" t="str">
        <f>VLOOKUP(Tabla3[[#This Row],[Site]],'Important Info!'!$A$1:$F$135,3,FALSE)</f>
        <v>-</v>
      </c>
      <c r="N78" s="52" t="str">
        <f>VLOOKUP(Tabla3[[#This Row],[Site]],'Important Info!'!$A$1:$F$135,4,FALSE)</f>
        <v>-</v>
      </c>
      <c r="O78" s="52">
        <f>VLOOKUP(Tabla3[[#This Row],[Site]],'Important Info!'!$A$1:$F$135,5,FALSE)</f>
        <v>5</v>
      </c>
      <c r="P78" s="52" t="str">
        <f>VLOOKUP(Tabla3[[#This Row],[Site]],'Important Info!'!$A$1:$F$135,6,FALSE)</f>
        <v>1, 2, 3, 4</v>
      </c>
      <c r="Q78" s="91">
        <f>VLOOKUP(Tabla3[[#This Row],[Site]],'Important Info!'!$A$1:$J$135,9,FALSE)</f>
        <v>277</v>
      </c>
    </row>
    <row r="79" spans="1:17" x14ac:dyDescent="0.25">
      <c r="A79" t="str">
        <f>+Tabla3[[#This Row],[Site]]&amp;Tabla3[[#This Row],[Split]]</f>
        <v>(ML) Joe Machens Ford Lincoln I &amp; II4</v>
      </c>
      <c r="B79">
        <v>4</v>
      </c>
      <c r="C79">
        <v>3</v>
      </c>
      <c r="D79" t="s">
        <v>33</v>
      </c>
      <c r="E79" t="s">
        <v>46</v>
      </c>
      <c r="F79" t="s">
        <v>148</v>
      </c>
      <c r="G79" t="s">
        <v>34</v>
      </c>
      <c r="H79" s="52" t="str">
        <f>VLOOKUP(Tabla3[[#This Row],[Site]],'Important Info!'!$A$1:$J$135,10,FALSE)</f>
        <v>https://tools.sig.systems/site/details/266</v>
      </c>
      <c r="I79" s="2" t="s">
        <v>146</v>
      </c>
      <c r="J79" t="s">
        <v>41</v>
      </c>
      <c r="K79" s="79" t="str">
        <f>VLOOKUP(Tabla3[[#This Row],[Site]],'Important Info!'!$A$1:$H$135,8,FALSE)</f>
        <v>-</v>
      </c>
      <c r="L79" s="52" t="str">
        <f>VLOOKUP(Tabla3[[#This Row],[Site]],'Important Info!'!$A$1:$F$135,2,FALSE)</f>
        <v>-</v>
      </c>
      <c r="M79" s="52" t="str">
        <f>VLOOKUP(Tabla3[[#This Row],[Site]],'Important Info!'!$A$1:$F$135,3,FALSE)</f>
        <v>4, 6, 9, 13, 14, 17, 26, 27, 28, 29, 30</v>
      </c>
      <c r="N79" s="52" t="str">
        <f>VLOOKUP(Tabla3[[#This Row],[Site]],'Important Info!'!$A$1:$F$135,4,FALSE)</f>
        <v>-</v>
      </c>
      <c r="O79" s="52" t="str">
        <f>VLOOKUP(Tabla3[[#This Row],[Site]],'Important Info!'!$A$1:$F$135,5,FALSE)</f>
        <v>23, 40, 49</v>
      </c>
      <c r="P79" s="52" t="str">
        <f>VLOOKUP(Tabla3[[#This Row],[Site]],'Important Info!'!$A$1:$F$135,6,FALSE)</f>
        <v>-</v>
      </c>
      <c r="Q79" s="91">
        <f>VLOOKUP(Tabla3[[#This Row],[Site]],'Important Info!'!$A$1:$J$135,9,FALSE)</f>
        <v>266</v>
      </c>
    </row>
    <row r="80" spans="1:17" x14ac:dyDescent="0.25">
      <c r="A80" t="str">
        <f>+Tabla3[[#This Row],[Site]]&amp;Tabla3[[#This Row],[Split]]</f>
        <v>(ML) Joe Machens Nissan4</v>
      </c>
      <c r="B80">
        <v>4</v>
      </c>
      <c r="C80">
        <v>3</v>
      </c>
      <c r="D80" t="s">
        <v>33</v>
      </c>
      <c r="E80" t="s">
        <v>46</v>
      </c>
      <c r="F80" t="s">
        <v>104</v>
      </c>
      <c r="G80" t="s">
        <v>34</v>
      </c>
      <c r="H80" s="52" t="str">
        <f>VLOOKUP(Tabla3[[#This Row],[Site]],'Important Info!'!$A$1:$J$135,10,FALSE)</f>
        <v>https://tools.sig.systems/site/details/279</v>
      </c>
      <c r="I80" s="62" t="s">
        <v>146</v>
      </c>
      <c r="J80" t="s">
        <v>41</v>
      </c>
      <c r="K80" s="79" t="str">
        <f>VLOOKUP(Tabla3[[#This Row],[Site]],'Important Info!'!$A$1:$H$135,8,FALSE)</f>
        <v>-</v>
      </c>
      <c r="L80" s="52" t="str">
        <f>VLOOKUP(Tabla3[[#This Row],[Site]],'Important Info!'!$A$1:$F$135,2,FALSE)</f>
        <v>-</v>
      </c>
      <c r="M80" s="52" t="str">
        <f>VLOOKUP(Tabla3[[#This Row],[Site]],'Important Info!'!$A$1:$F$135,3,FALSE)</f>
        <v>1, 3, 16</v>
      </c>
      <c r="N80" s="52" t="str">
        <f>VLOOKUP(Tabla3[[#This Row],[Site]],'Important Info!'!$A$1:$F$135,4,FALSE)</f>
        <v>-</v>
      </c>
      <c r="O80" s="52" t="str">
        <f>VLOOKUP(Tabla3[[#This Row],[Site]],'Important Info!'!$A$1:$F$135,5,FALSE)</f>
        <v>-</v>
      </c>
      <c r="P80" s="52" t="str">
        <f>VLOOKUP(Tabla3[[#This Row],[Site]],'Important Info!'!$A$1:$F$135,6,FALSE)</f>
        <v>-</v>
      </c>
      <c r="Q80" s="91">
        <f>VLOOKUP(Tabla3[[#This Row],[Site]],'Important Info!'!$A$1:$J$135,9,FALSE)</f>
        <v>279</v>
      </c>
    </row>
    <row r="81" spans="1:17" x14ac:dyDescent="0.25">
      <c r="A81" t="str">
        <f>+Tabla3[[#This Row],[Site]]&amp;Tabla3[[#This Row],[Split]]</f>
        <v>(ML) McLarty Gray-Daniels Ford Lincoln4</v>
      </c>
      <c r="B81">
        <v>4</v>
      </c>
      <c r="C81">
        <v>3</v>
      </c>
      <c r="D81" t="s">
        <v>33</v>
      </c>
      <c r="E81" t="s">
        <v>46</v>
      </c>
      <c r="F81" t="s">
        <v>89</v>
      </c>
      <c r="G81" t="s">
        <v>34</v>
      </c>
      <c r="H81" s="52" t="str">
        <f>VLOOKUP(Tabla3[[#This Row],[Site]],'Important Info!'!$A$1:$J$135,10,FALSE)</f>
        <v>https://tools.sig.systems/site/details/151</v>
      </c>
      <c r="I81" s="65" t="s">
        <v>150</v>
      </c>
      <c r="J81" t="s">
        <v>41</v>
      </c>
      <c r="K81" s="79" t="str">
        <f>VLOOKUP(Tabla3[[#This Row],[Site]],'Important Info!'!$A$1:$H$135,8,FALSE)</f>
        <v>-</v>
      </c>
      <c r="L81" s="52">
        <f>VLOOKUP(Tabla3[[#This Row],[Site]],'Important Info!'!$A$1:$F$135,2,FALSE)</f>
        <v>16</v>
      </c>
      <c r="M81" s="52" t="str">
        <f>VLOOKUP(Tabla3[[#This Row],[Site]],'Important Info!'!$A$1:$F$135,3,FALSE)</f>
        <v>5, 10, 36, 38, 54, 58B</v>
      </c>
      <c r="N81" s="52" t="str">
        <f>VLOOKUP(Tabla3[[#This Row],[Site]],'Important Info!'!$A$1:$F$135,4,FALSE)</f>
        <v>-</v>
      </c>
      <c r="O81" s="52" t="str">
        <f>VLOOKUP(Tabla3[[#This Row],[Site]],'Important Info!'!$A$1:$F$135,5,FALSE)</f>
        <v>5, 17, 37</v>
      </c>
      <c r="P81" s="52" t="str">
        <f>VLOOKUP(Tabla3[[#This Row],[Site]],'Important Info!'!$A$1:$F$135,6,FALSE)</f>
        <v>1, 2, 3, 4</v>
      </c>
      <c r="Q81" s="91">
        <f>VLOOKUP(Tabla3[[#This Row],[Site]],'Important Info!'!$A$1:$J$135,9,FALSE)</f>
        <v>151</v>
      </c>
    </row>
    <row r="82" spans="1:17" x14ac:dyDescent="0.25">
      <c r="A82" t="str">
        <f>+Tabla3[[#This Row],[Site]]&amp;Tabla3[[#This Row],[Split]]</f>
        <v>(ML) Nissan Of Benton4</v>
      </c>
      <c r="B82">
        <v>4</v>
      </c>
      <c r="C82">
        <v>3</v>
      </c>
      <c r="D82" t="s">
        <v>33</v>
      </c>
      <c r="E82" t="s">
        <v>46</v>
      </c>
      <c r="F82" t="s">
        <v>120</v>
      </c>
      <c r="G82" t="s">
        <v>34</v>
      </c>
      <c r="H82" s="52" t="str">
        <f>VLOOKUP(Tabla3[[#This Row],[Site]],'Important Info!'!$A$1:$J$135,10,FALSE)</f>
        <v>https://tools.sig.systems/site/details/247</v>
      </c>
      <c r="J82" t="s">
        <v>41</v>
      </c>
      <c r="K82" s="79" t="str">
        <f>VLOOKUP(Tabla3[[#This Row],[Site]],'Important Info!'!$A$1:$H$135,8,FALSE)</f>
        <v>-</v>
      </c>
      <c r="L82" s="52" t="str">
        <f>VLOOKUP(Tabla3[[#This Row],[Site]],'Important Info!'!$A$1:$F$135,2,FALSE)</f>
        <v>5, 12</v>
      </c>
      <c r="M82" s="52" t="str">
        <f>VLOOKUP(Tabla3[[#This Row],[Site]],'Important Info!'!$A$1:$F$135,3,FALSE)</f>
        <v>-</v>
      </c>
      <c r="N82" s="52" t="str">
        <f>VLOOKUP(Tabla3[[#This Row],[Site]],'Important Info!'!$A$1:$F$135,4,FALSE)</f>
        <v>-</v>
      </c>
      <c r="O82" s="52" t="str">
        <f>VLOOKUP(Tabla3[[#This Row],[Site]],'Important Info!'!$A$1:$F$135,5,FALSE)</f>
        <v>4, 18</v>
      </c>
      <c r="P82" s="52" t="str">
        <f>VLOOKUP(Tabla3[[#This Row],[Site]],'Important Info!'!$A$1:$F$135,6,FALSE)</f>
        <v>-</v>
      </c>
      <c r="Q82" s="91">
        <f>VLOOKUP(Tabla3[[#This Row],[Site]],'Important Info!'!$A$1:$J$135,9,FALSE)</f>
        <v>247</v>
      </c>
    </row>
    <row r="83" spans="1:17" x14ac:dyDescent="0.25">
      <c r="A83" t="str">
        <f>+Tabla3[[#This Row],[Site]]&amp;Tabla3[[#This Row],[Split]]</f>
        <v>(PE) Hudson Toyota Nissan CDJR (NO TOURS)4</v>
      </c>
      <c r="B83">
        <v>4</v>
      </c>
      <c r="C83">
        <v>3</v>
      </c>
      <c r="D83" t="s">
        <v>485</v>
      </c>
      <c r="E83" t="s">
        <v>35</v>
      </c>
      <c r="F83" t="s">
        <v>82</v>
      </c>
      <c r="G83" t="s">
        <v>490</v>
      </c>
      <c r="H83" s="52" t="str">
        <f>VLOOKUP(Tabla3[[#This Row],[Site]],'Important Info!'!$A$1:$J$135,10,FALSE)</f>
        <v>https://tools.sig.systems/site/details/156</v>
      </c>
      <c r="J83" t="s">
        <v>41</v>
      </c>
      <c r="K83" s="79" t="str">
        <f>VLOOKUP(Tabla3[[#This Row],[Site]],'Important Info!'!$A$1:$H$135,8,FALSE)</f>
        <v>-</v>
      </c>
      <c r="L83" s="52">
        <f>VLOOKUP(Tabla3[[#This Row],[Site]],'Important Info!'!$A$1:$F$135,2,FALSE)</f>
        <v>5</v>
      </c>
      <c r="M83" s="52" t="str">
        <f>VLOOKUP(Tabla3[[#This Row],[Site]],'Important Info!'!$A$1:$F$135,3,FALSE)</f>
        <v>3, 7, 18</v>
      </c>
      <c r="N83" s="52" t="str">
        <f>VLOOKUP(Tabla3[[#This Row],[Site]],'Important Info!'!$A$1:$F$135,4,FALSE)</f>
        <v>-</v>
      </c>
      <c r="O83" s="52">
        <f>VLOOKUP(Tabla3[[#This Row],[Site]],'Important Info!'!$A$1:$F$135,5,FALSE)</f>
        <v>84</v>
      </c>
      <c r="P83" s="52" t="str">
        <f>VLOOKUP(Tabla3[[#This Row],[Site]],'Important Info!'!$A$1:$F$135,6,FALSE)</f>
        <v>1, 2, 3, 4, 5, 6, 7, 8</v>
      </c>
      <c r="Q83" s="91">
        <f>VLOOKUP(Tabla3[[#This Row],[Site]],'Important Info!'!$A$1:$J$135,9,FALSE)</f>
        <v>156</v>
      </c>
    </row>
    <row r="84" spans="1:17" x14ac:dyDescent="0.25">
      <c r="A84" t="str">
        <f>+Tabla3[[#This Row],[Site]]&amp;Tabla3[[#This Row],[Split]]</f>
        <v>(RML) Burleson Nissan4</v>
      </c>
      <c r="B84">
        <v>4</v>
      </c>
      <c r="C84">
        <v>3</v>
      </c>
      <c r="D84" t="s">
        <v>33</v>
      </c>
      <c r="E84" t="s">
        <v>46</v>
      </c>
      <c r="F84" t="s">
        <v>107</v>
      </c>
      <c r="G84" t="s">
        <v>34</v>
      </c>
      <c r="H84" s="52" t="str">
        <f>VLOOKUP(Tabla3[[#This Row],[Site]],'Important Info!'!$A$1:$J$135,10,FALSE)</f>
        <v>https://tools.sig.systems/site/details/202</v>
      </c>
      <c r="J84" t="s">
        <v>41</v>
      </c>
      <c r="K84" s="79" t="str">
        <f>VLOOKUP(Tabla3[[#This Row],[Site]],'Important Info!'!$A$1:$H$135,8,FALSE)</f>
        <v>-</v>
      </c>
      <c r="L84" s="52" t="str">
        <f>VLOOKUP(Tabla3[[#This Row],[Site]],'Important Info!'!$A$1:$F$135,2,FALSE)</f>
        <v>3, 21</v>
      </c>
      <c r="M84" s="52" t="str">
        <f>VLOOKUP(Tabla3[[#This Row],[Site]],'Important Info!'!$A$1:$F$135,3,FALSE)</f>
        <v>-</v>
      </c>
      <c r="N84" s="52" t="str">
        <f>VLOOKUP(Tabla3[[#This Row],[Site]],'Important Info!'!$A$1:$F$135,4,FALSE)</f>
        <v>-</v>
      </c>
      <c r="O84" s="52" t="str">
        <f>VLOOKUP(Tabla3[[#This Row],[Site]],'Important Info!'!$A$1:$F$135,5,FALSE)</f>
        <v>2, 6, 15</v>
      </c>
      <c r="P84" s="52" t="str">
        <f>VLOOKUP(Tabla3[[#This Row],[Site]],'Important Info!'!$A$1:$F$135,6,FALSE)</f>
        <v>-</v>
      </c>
      <c r="Q84" s="91">
        <f>VLOOKUP(Tabla3[[#This Row],[Site]],'Important Info!'!$A$1:$J$135,9,FALSE)</f>
        <v>202</v>
      </c>
    </row>
    <row r="85" spans="1:17" x14ac:dyDescent="0.25">
      <c r="A85" t="str">
        <f>+Tabla3[[#This Row],[Site]]&amp;Tabla3[[#This Row],[Split]]</f>
        <v>(SCH) Auto Body Shop Lake Park4</v>
      </c>
      <c r="B85">
        <v>4</v>
      </c>
      <c r="C85">
        <v>3</v>
      </c>
      <c r="D85" t="s">
        <v>62</v>
      </c>
      <c r="E85" t="s">
        <v>35</v>
      </c>
      <c r="F85" t="s">
        <v>189</v>
      </c>
      <c r="G85" t="s">
        <v>490</v>
      </c>
      <c r="H85" s="52" t="str">
        <f>VLOOKUP(Tabla3[[#This Row],[Site]],'Important Info!'!$A$1:$J$135,10,FALSE)</f>
        <v>https://tools.sig.systems/site/details/158</v>
      </c>
      <c r="I85" s="66"/>
      <c r="J85" t="s">
        <v>41</v>
      </c>
      <c r="K85" s="79" t="str">
        <f>VLOOKUP(Tabla3[[#This Row],[Site]],'Important Info!'!$A$1:$H$135,8,FALSE)</f>
        <v>-</v>
      </c>
      <c r="L85" s="52" t="str">
        <f>VLOOKUP(Tabla3[[#This Row],[Site]],'Important Info!'!$A$1:$F$135,2,FALSE)</f>
        <v>3, 10</v>
      </c>
      <c r="M85" s="52" t="str">
        <f>VLOOKUP(Tabla3[[#This Row],[Site]],'Important Info!'!$A$1:$F$135,3,FALSE)</f>
        <v>-</v>
      </c>
      <c r="N85" s="52" t="str">
        <f>VLOOKUP(Tabla3[[#This Row],[Site]],'Important Info!'!$A$1:$F$135,4,FALSE)</f>
        <v>-</v>
      </c>
      <c r="O85" s="52" t="str">
        <f>VLOOKUP(Tabla3[[#This Row],[Site]],'Important Info!'!$A$1:$F$135,5,FALSE)</f>
        <v>-</v>
      </c>
      <c r="P85" s="52" t="str">
        <f>VLOOKUP(Tabla3[[#This Row],[Site]],'Important Info!'!$A$1:$F$135,6,FALSE)</f>
        <v>-</v>
      </c>
      <c r="Q85" s="91">
        <f>VLOOKUP(Tabla3[[#This Row],[Site]],'Important Info!'!$A$1:$J$135,9,FALSE)</f>
        <v>158</v>
      </c>
    </row>
    <row r="86" spans="1:17" x14ac:dyDescent="0.25">
      <c r="A86" t="str">
        <f>+Tabla3[[#This Row],[Site]]&amp;Tabla3[[#This Row],[Split]]</f>
        <v>(TC) Tavernier Creek Marina (NO TOURS)4</v>
      </c>
      <c r="B86">
        <v>4</v>
      </c>
      <c r="C86">
        <v>3</v>
      </c>
      <c r="D86" t="s">
        <v>62</v>
      </c>
      <c r="E86" t="s">
        <v>35</v>
      </c>
      <c r="F86" t="s">
        <v>119</v>
      </c>
      <c r="G86" t="s">
        <v>34</v>
      </c>
      <c r="H86" s="52" t="str">
        <f>VLOOKUP(Tabla3[[#This Row],[Site]],'Important Info!'!$A$1:$J$135,10,FALSE)</f>
        <v>https://tools.sig.systems/site/details/164</v>
      </c>
      <c r="J86" t="s">
        <v>45</v>
      </c>
      <c r="K86" s="79" t="str">
        <f>VLOOKUP(Tabla3[[#This Row],[Site]],'Important Info!'!$A$1:$H$135,8,FALSE)</f>
        <v>-</v>
      </c>
      <c r="L86" s="52" t="str">
        <f>VLOOKUP(Tabla3[[#This Row],[Site]],'Important Info!'!$A$1:$F$135,2,FALSE)</f>
        <v>28, 29</v>
      </c>
      <c r="M86" s="52" t="str">
        <f>VLOOKUP(Tabla3[[#This Row],[Site]],'Important Info!'!$A$1:$F$135,3,FALSE)</f>
        <v>-</v>
      </c>
      <c r="N86" s="52" t="str">
        <f>VLOOKUP(Tabla3[[#This Row],[Site]],'Important Info!'!$A$1:$F$135,4,FALSE)</f>
        <v>-</v>
      </c>
      <c r="O86" s="52" t="str">
        <f>VLOOKUP(Tabla3[[#This Row],[Site]],'Important Info!'!$A$1:$F$135,5,FALSE)</f>
        <v>-</v>
      </c>
      <c r="P86" s="52" t="str">
        <f>VLOOKUP(Tabla3[[#This Row],[Site]],'Important Info!'!$A$1:$F$135,6,FALSE)</f>
        <v>5, 28, 29</v>
      </c>
      <c r="Q86" s="91">
        <f>VLOOKUP(Tabla3[[#This Row],[Site]],'Important Info!'!$A$1:$J$135,9,FALSE)</f>
        <v>164</v>
      </c>
    </row>
    <row r="87" spans="1:17" x14ac:dyDescent="0.25">
      <c r="A87" t="str">
        <f>+Tabla3[[#This Row],[Site]]&amp;Tabla3[[#This Row],[Split]]</f>
        <v>SIG Office4</v>
      </c>
      <c r="B87">
        <v>4</v>
      </c>
      <c r="C87">
        <v>3</v>
      </c>
      <c r="D87" t="s">
        <v>60</v>
      </c>
      <c r="E87" t="s">
        <v>35</v>
      </c>
      <c r="F87" t="s">
        <v>169</v>
      </c>
      <c r="G87" t="s">
        <v>41</v>
      </c>
      <c r="H87" s="52" t="str">
        <f>VLOOKUP(Tabla3[[#This Row],[Site]],'Important Info!'!$A$1:$J$135,10,FALSE)</f>
        <v>https://tools.sig.systems/site/details/163</v>
      </c>
      <c r="I87" s="43"/>
      <c r="J87" t="s">
        <v>41</v>
      </c>
      <c r="K87" s="79" t="str">
        <f>VLOOKUP(Tabla3[[#This Row],[Site]],'Important Info!'!$A$1:$H$135,8,FALSE)</f>
        <v>-</v>
      </c>
      <c r="L87" s="52" t="str">
        <f>VLOOKUP(Tabla3[[#This Row],[Site]],'Important Info!'!$A$1:$F$135,2,FALSE)</f>
        <v>-</v>
      </c>
      <c r="M87" s="52" t="str">
        <f>VLOOKUP(Tabla3[[#This Row],[Site]],'Important Info!'!$A$1:$F$135,3,FALSE)</f>
        <v>-</v>
      </c>
      <c r="N87" s="52" t="str">
        <f>VLOOKUP(Tabla3[[#This Row],[Site]],'Important Info!'!$A$1:$F$135,4,FALSE)</f>
        <v>-</v>
      </c>
      <c r="O87" s="52" t="str">
        <f>VLOOKUP(Tabla3[[#This Row],[Site]],'Important Info!'!$A$1:$F$135,5,FALSE)</f>
        <v>-</v>
      </c>
      <c r="P87" s="52">
        <f>VLOOKUP(Tabla3[[#This Row],[Site]],'Important Info!'!$A$1:$F$135,6,FALSE)</f>
        <v>25</v>
      </c>
      <c r="Q87" s="91">
        <f>VLOOKUP(Tabla3[[#This Row],[Site]],'Important Info!'!$A$1:$J$135,9,FALSE)</f>
        <v>163</v>
      </c>
    </row>
    <row r="88" spans="1:17" x14ac:dyDescent="0.25">
      <c r="A88" t="str">
        <f>+Tabla3[[#This Row],[Site]]&amp;Tabla3[[#This Row],[Split]]</f>
        <v>(AS) Atwell Prep Center-Dallas (NO TOURS)4</v>
      </c>
      <c r="B88">
        <v>4</v>
      </c>
      <c r="C88">
        <v>4</v>
      </c>
      <c r="D88" t="s">
        <v>33</v>
      </c>
      <c r="E88" t="s">
        <v>46</v>
      </c>
      <c r="F88" t="s">
        <v>498</v>
      </c>
      <c r="G88" t="s">
        <v>34</v>
      </c>
      <c r="H88" s="52" t="str">
        <f>VLOOKUP(Tabla3[[#This Row],[Site]],'Important Info!'!$A$1:$J$135,10,FALSE)</f>
        <v>https://tools.sig.systems/site/details/165</v>
      </c>
      <c r="I88" s="65" t="s">
        <v>125</v>
      </c>
      <c r="J88" t="s">
        <v>41</v>
      </c>
      <c r="K88" s="79" t="str">
        <f>VLOOKUP(Tabla3[[#This Row],[Site]],'Important Info!'!$A$1:$H$135,8,FALSE)</f>
        <v>-</v>
      </c>
      <c r="L88" s="52" t="str">
        <f>VLOOKUP(Tabla3[[#This Row],[Site]],'Important Info!'!$A$1:$F$135,2,FALSE)</f>
        <v>4, 6, 7</v>
      </c>
      <c r="M88" s="52" t="str">
        <f>VLOOKUP(Tabla3[[#This Row],[Site]],'Important Info!'!$A$1:$F$135,3,FALSE)</f>
        <v>-</v>
      </c>
      <c r="N88" s="52" t="str">
        <f>VLOOKUP(Tabla3[[#This Row],[Site]],'Important Info!'!$A$1:$F$135,4,FALSE)</f>
        <v>-</v>
      </c>
      <c r="O88" s="52" t="str">
        <f>VLOOKUP(Tabla3[[#This Row],[Site]],'Important Info!'!$A$1:$F$135,5,FALSE)</f>
        <v>-</v>
      </c>
      <c r="P88" s="52" t="str">
        <f>VLOOKUP(Tabla3[[#This Row],[Site]],'Important Info!'!$A$1:$F$135,6,FALSE)</f>
        <v>1, 2</v>
      </c>
      <c r="Q88" s="91">
        <f>VLOOKUP(Tabla3[[#This Row],[Site]],'Important Info!'!$A$1:$J$135,9,FALSE)</f>
        <v>165</v>
      </c>
    </row>
    <row r="89" spans="1:17" x14ac:dyDescent="0.25">
      <c r="A89" t="str">
        <f>+Tabla3[[#This Row],[Site]]&amp;Tabla3[[#This Row],[Split]]</f>
        <v>(AS) Audi of North Atlanta (NO TOURS)4</v>
      </c>
      <c r="B89">
        <v>4</v>
      </c>
      <c r="C89">
        <v>4</v>
      </c>
      <c r="D89" t="s">
        <v>62</v>
      </c>
      <c r="E89" t="s">
        <v>35</v>
      </c>
      <c r="F89" t="s">
        <v>499</v>
      </c>
      <c r="G89" t="s">
        <v>490</v>
      </c>
      <c r="H89" s="52" t="str">
        <f>VLOOKUP(Tabla3[[#This Row],[Site]],'Important Info!'!$A$1:$J$135,10,FALSE)</f>
        <v>https://tools.sig.systems/site/details/124</v>
      </c>
      <c r="I89" s="43" t="s">
        <v>166</v>
      </c>
      <c r="J89" t="s">
        <v>41</v>
      </c>
      <c r="K89" s="79" t="str">
        <f>VLOOKUP(Tabla3[[#This Row],[Site]],'Important Info!'!$A$1:$H$135,8,FALSE)</f>
        <v>-</v>
      </c>
      <c r="L89" s="52" t="str">
        <f>VLOOKUP(Tabla3[[#This Row],[Site]],'Important Info!'!$A$1:$F$135,2,FALSE)</f>
        <v>1, 5, 16, 54</v>
      </c>
      <c r="M89" s="52" t="str">
        <f>VLOOKUP(Tabla3[[#This Row],[Site]],'Important Info!'!$A$1:$F$135,3,FALSE)</f>
        <v>-</v>
      </c>
      <c r="N89" s="52" t="str">
        <f>VLOOKUP(Tabla3[[#This Row],[Site]],'Important Info!'!$A$1:$F$135,4,FALSE)</f>
        <v>-</v>
      </c>
      <c r="O89" s="52" t="str">
        <f>VLOOKUP(Tabla3[[#This Row],[Site]],'Important Info!'!$A$1:$F$135,5,FALSE)</f>
        <v>3, 16</v>
      </c>
      <c r="P89" s="52" t="str">
        <f>VLOOKUP(Tabla3[[#This Row],[Site]],'Important Info!'!$A$1:$F$135,6,FALSE)</f>
        <v>2, 5, 6</v>
      </c>
      <c r="Q89" s="91">
        <f>VLOOKUP(Tabla3[[#This Row],[Site]],'Important Info!'!$A$1:$J$135,9,FALSE)</f>
        <v>124</v>
      </c>
    </row>
    <row r="90" spans="1:17" x14ac:dyDescent="0.25">
      <c r="A90" t="str">
        <f>+Tabla3[[#This Row],[Site]]&amp;Tabla3[[#This Row],[Split]]</f>
        <v>(AS) Courtesy Honda Palm Harbor (NO TOURS)4</v>
      </c>
      <c r="B90">
        <v>4</v>
      </c>
      <c r="C90">
        <v>4</v>
      </c>
      <c r="D90" t="s">
        <v>62</v>
      </c>
      <c r="E90" t="s">
        <v>35</v>
      </c>
      <c r="F90" t="s">
        <v>108</v>
      </c>
      <c r="G90" t="s">
        <v>490</v>
      </c>
      <c r="H90" s="52" t="str">
        <f>VLOOKUP(Tabla3[[#This Row],[Site]],'Important Info!'!$A$1:$J$135,10,FALSE)</f>
        <v>https://tools.sig.systems/site/details/176</v>
      </c>
      <c r="I90" s="8"/>
      <c r="J90" t="s">
        <v>36</v>
      </c>
      <c r="K90" s="79" t="str">
        <f>VLOOKUP(Tabla3[[#This Row],[Site]],'Important Info!'!$A$1:$H$135,8,FALSE)</f>
        <v>-</v>
      </c>
      <c r="L90" s="52">
        <f>VLOOKUP(Tabla3[[#This Row],[Site]],'Important Info!'!$A$1:$F$135,2,FALSE)</f>
        <v>2</v>
      </c>
      <c r="M90" s="52" t="str">
        <f>VLOOKUP(Tabla3[[#This Row],[Site]],'Important Info!'!$A$1:$F$135,3,FALSE)</f>
        <v>-</v>
      </c>
      <c r="N90" s="52" t="str">
        <f>VLOOKUP(Tabla3[[#This Row],[Site]],'Important Info!'!$A$1:$F$135,4,FALSE)</f>
        <v>-</v>
      </c>
      <c r="O90" s="52" t="str">
        <f>VLOOKUP(Tabla3[[#This Row],[Site]],'Important Info!'!$A$1:$F$135,5,FALSE)</f>
        <v>4, 8, 21</v>
      </c>
      <c r="P90" s="52">
        <f>VLOOKUP(Tabla3[[#This Row],[Site]],'Important Info!'!$A$1:$F$135,6,FALSE)</f>
        <v>10</v>
      </c>
      <c r="Q90" s="91">
        <f>VLOOKUP(Tabla3[[#This Row],[Site]],'Important Info!'!$A$1:$J$135,9,FALSE)</f>
        <v>176</v>
      </c>
    </row>
    <row r="91" spans="1:17" x14ac:dyDescent="0.25">
      <c r="A91" t="str">
        <f>+Tabla3[[#This Row],[Site]]&amp;Tabla3[[#This Row],[Split]]</f>
        <v>(AS) Courtesy Hyundai/Nissan Tampa (NO TOURS)4</v>
      </c>
      <c r="B91">
        <v>4</v>
      </c>
      <c r="C91">
        <v>4</v>
      </c>
      <c r="D91" t="s">
        <v>62</v>
      </c>
      <c r="E91" t="s">
        <v>35</v>
      </c>
      <c r="F91" t="s">
        <v>504</v>
      </c>
      <c r="G91" t="s">
        <v>490</v>
      </c>
      <c r="H91" s="52" t="str">
        <f>VLOOKUP(Tabla3[[#This Row],[Site]],'Important Info!'!$A$1:$J$135,10,FALSE)</f>
        <v>https://tools.sig.systems/site/details/128</v>
      </c>
      <c r="J91" t="s">
        <v>484</v>
      </c>
      <c r="K91" s="79" t="str">
        <f>VLOOKUP(Tabla3[[#This Row],[Site]],'Important Info!'!$A$1:$H$135,8,FALSE)</f>
        <v>-</v>
      </c>
      <c r="L91" s="52" t="str">
        <f>VLOOKUP(Tabla3[[#This Row],[Site]],'Important Info!'!$A$1:$F$135,2,FALSE)</f>
        <v>1, 16, 25, 27, 32</v>
      </c>
      <c r="M91" s="52" t="str">
        <f>VLOOKUP(Tabla3[[#This Row],[Site]],'Important Info!'!$A$1:$F$135,3,FALSE)</f>
        <v>-</v>
      </c>
      <c r="N91" s="52" t="str">
        <f>VLOOKUP(Tabla3[[#This Row],[Site]],'Important Info!'!$A$1:$F$135,4,FALSE)</f>
        <v>-</v>
      </c>
      <c r="O91" s="52" t="str">
        <f>VLOOKUP(Tabla3[[#This Row],[Site]],'Important Info!'!$A$1:$F$135,5,FALSE)</f>
        <v>4, 10, 16</v>
      </c>
      <c r="P91" s="52" t="str">
        <f>VLOOKUP(Tabla3[[#This Row],[Site]],'Important Info!'!$A$1:$F$135,6,FALSE)</f>
        <v>24, 25, 26 &amp; Remote Lots</v>
      </c>
      <c r="Q91" s="91">
        <f>VLOOKUP(Tabla3[[#This Row],[Site]],'Important Info!'!$A$1:$J$135,9,FALSE)</f>
        <v>128</v>
      </c>
    </row>
    <row r="92" spans="1:17" x14ac:dyDescent="0.25">
      <c r="A92" t="str">
        <f>+Tabla3[[#This Row],[Site]]&amp;Tabla3[[#This Row],[Split]]</f>
        <v>(AS) David McDavid Honda I &amp; II (NO TOURS)4</v>
      </c>
      <c r="B92">
        <v>4</v>
      </c>
      <c r="C92">
        <v>4</v>
      </c>
      <c r="D92" t="s">
        <v>33</v>
      </c>
      <c r="E92" t="s">
        <v>46</v>
      </c>
      <c r="F92" t="s">
        <v>506</v>
      </c>
      <c r="G92" t="s">
        <v>34</v>
      </c>
      <c r="H92" s="52" t="str">
        <f>VLOOKUP(Tabla3[[#This Row],[Site]],'Important Info!'!$A$1:$J$135,10,FALSE)</f>
        <v>https://tools.sig.systems/site/details/129</v>
      </c>
      <c r="J92" t="s">
        <v>41</v>
      </c>
      <c r="K92" s="79" t="str">
        <f>VLOOKUP(Tabla3[[#This Row],[Site]],'Important Info!'!$A$1:$H$135,8,FALSE)</f>
        <v>-</v>
      </c>
      <c r="L92" s="52" t="str">
        <f>VLOOKUP(Tabla3[[#This Row],[Site]],'Important Info!'!$A$1:$F$135,2,FALSE)</f>
        <v>-</v>
      </c>
      <c r="M92" s="52" t="str">
        <f>VLOOKUP(Tabla3[[#This Row],[Site]],'Important Info!'!$A$1:$F$135,3,FALSE)</f>
        <v>3, 19, 23, 32, 35</v>
      </c>
      <c r="N92" s="52" t="str">
        <f>VLOOKUP(Tabla3[[#This Row],[Site]],'Important Info!'!$A$1:$F$135,4,FALSE)</f>
        <v>-</v>
      </c>
      <c r="O92" s="52" t="str">
        <f>VLOOKUP(Tabla3[[#This Row],[Site]],'Important Info!'!$A$1:$F$135,5,FALSE)</f>
        <v>2, 6, 9, 19, 25, 30, 48</v>
      </c>
      <c r="P92" s="52" t="str">
        <f>VLOOKUP(Tabla3[[#This Row],[Site]],'Important Info!'!$A$1:$F$135,6,FALSE)</f>
        <v>25, 26, 35, 36, 37</v>
      </c>
      <c r="Q92" s="91">
        <f>VLOOKUP(Tabla3[[#This Row],[Site]],'Important Info!'!$A$1:$J$135,9,FALSE)</f>
        <v>129</v>
      </c>
    </row>
    <row r="93" spans="1:17" x14ac:dyDescent="0.25">
      <c r="A93" t="str">
        <f>+Tabla3[[#This Row],[Site]]&amp;Tabla3[[#This Row],[Split]]</f>
        <v>(AS) Mike Shaw Subaru Greeley (NO TOURS)4</v>
      </c>
      <c r="B93">
        <v>4</v>
      </c>
      <c r="C93">
        <v>4</v>
      </c>
      <c r="D93" t="s">
        <v>44</v>
      </c>
      <c r="E93" t="s">
        <v>53</v>
      </c>
      <c r="F93" t="s">
        <v>95</v>
      </c>
      <c r="G93" t="s">
        <v>45</v>
      </c>
      <c r="H93" s="52" t="str">
        <f>VLOOKUP(Tabla3[[#This Row],[Site]],'Important Info!'!$A$1:$J$135,10,FALSE)</f>
        <v>https://tools.sig.systems/site/details/174</v>
      </c>
      <c r="I93" t="s">
        <v>153</v>
      </c>
      <c r="J93" t="s">
        <v>41</v>
      </c>
      <c r="K93" s="79" t="str">
        <f>VLOOKUP(Tabla3[[#This Row],[Site]],'Important Info!'!$A$1:$H$135,8,FALSE)</f>
        <v>-</v>
      </c>
      <c r="L93" s="52" t="str">
        <f>VLOOKUP(Tabla3[[#This Row],[Site]],'Important Info!'!$A$1:$F$135,2,FALSE)</f>
        <v>16, 17</v>
      </c>
      <c r="M93" s="52">
        <f>VLOOKUP(Tabla3[[#This Row],[Site]],'Important Info!'!$A$1:$F$135,3,FALSE)</f>
        <v>10</v>
      </c>
      <c r="N93" s="52" t="str">
        <f>VLOOKUP(Tabla3[[#This Row],[Site]],'Important Info!'!$A$1:$F$135,4,FALSE)</f>
        <v>-</v>
      </c>
      <c r="O93" s="52" t="str">
        <f>VLOOKUP(Tabla3[[#This Row],[Site]],'Important Info!'!$A$1:$F$135,5,FALSE)</f>
        <v>1, 7</v>
      </c>
      <c r="P93" s="52" t="str">
        <f>VLOOKUP(Tabla3[[#This Row],[Site]],'Important Info!'!$A$1:$F$135,6,FALSE)</f>
        <v>-</v>
      </c>
      <c r="Q93" s="91">
        <f>VLOOKUP(Tabla3[[#This Row],[Site]],'Important Info!'!$A$1:$J$135,9,FALSE)</f>
        <v>174</v>
      </c>
    </row>
    <row r="94" spans="1:17" x14ac:dyDescent="0.25">
      <c r="A94" t="str">
        <f>+Tabla3[[#This Row],[Site]]&amp;Tabla3[[#This Row],[Split]]</f>
        <v>(AS) Park Place Bodywerks Ft. Worth (NO TOURS)4</v>
      </c>
      <c r="B94">
        <v>4</v>
      </c>
      <c r="C94">
        <v>4</v>
      </c>
      <c r="D94" t="s">
        <v>33</v>
      </c>
      <c r="E94" t="s">
        <v>46</v>
      </c>
      <c r="F94" t="s">
        <v>515</v>
      </c>
      <c r="G94" t="s">
        <v>34</v>
      </c>
      <c r="H94" s="52" t="str">
        <f>VLOOKUP(Tabla3[[#This Row],[Site]],'Important Info!'!$A$1:$J$135,10,FALSE)</f>
        <v>https://tools.sig.systems/site/details/134</v>
      </c>
      <c r="I94" s="8" t="s">
        <v>128</v>
      </c>
      <c r="J94" t="s">
        <v>41</v>
      </c>
      <c r="K94" s="79" t="str">
        <f>VLOOKUP(Tabla3[[#This Row],[Site]],'Important Info!'!$A$1:$H$135,8,FALSE)</f>
        <v>-</v>
      </c>
      <c r="L94" s="52" t="str">
        <f>VLOOKUP(Tabla3[[#This Row],[Site]],'Important Info!'!$A$1:$F$135,2,FALSE)</f>
        <v>2, 3, RemoteLot5, RemoteLot9</v>
      </c>
      <c r="M94" s="52" t="str">
        <f>VLOOKUP(Tabla3[[#This Row],[Site]],'Important Info!'!$A$1:$F$135,3,FALSE)</f>
        <v>-</v>
      </c>
      <c r="N94" s="52" t="str">
        <f>VLOOKUP(Tabla3[[#This Row],[Site]],'Important Info!'!$A$1:$F$135,4,FALSE)</f>
        <v>-</v>
      </c>
      <c r="O94" s="52" t="str">
        <f>VLOOKUP(Tabla3[[#This Row],[Site]],'Important Info!'!$A$1:$F$135,5,FALSE)</f>
        <v>1, 7, RL1, RL5, RL9</v>
      </c>
      <c r="P94" s="52" t="str">
        <f>VLOOKUP(Tabla3[[#This Row],[Site]],'Important Info!'!$A$1:$F$135,6,FALSE)</f>
        <v>3, 4, 15</v>
      </c>
      <c r="Q94" s="91">
        <f>VLOOKUP(Tabla3[[#This Row],[Site]],'Important Info!'!$A$1:$J$135,9,FALSE)</f>
        <v>134</v>
      </c>
    </row>
    <row r="95" spans="1:17" x14ac:dyDescent="0.25">
      <c r="A95" t="str">
        <f>+Tabla3[[#This Row],[Site]]&amp;Tabla3[[#This Row],[Split]]</f>
        <v>(AS) Park Place JLR DFW Airport (NO TOURS)4</v>
      </c>
      <c r="B95">
        <v>4</v>
      </c>
      <c r="C95">
        <v>4</v>
      </c>
      <c r="D95" t="s">
        <v>33</v>
      </c>
      <c r="E95" t="s">
        <v>46</v>
      </c>
      <c r="F95" t="s">
        <v>516</v>
      </c>
      <c r="G95" t="s">
        <v>34</v>
      </c>
      <c r="H95" s="52" t="str">
        <f>VLOOKUP(Tabla3[[#This Row],[Site]],'Important Info!'!$A$1:$J$135,10,FALSE)</f>
        <v>https://tools.sig.systems/site/details/135</v>
      </c>
      <c r="J95" t="s">
        <v>41</v>
      </c>
      <c r="K95" s="79" t="str">
        <f>VLOOKUP(Tabla3[[#This Row],[Site]],'Important Info!'!$A$1:$H$135,8,FALSE)</f>
        <v>-</v>
      </c>
      <c r="L95" s="52" t="str">
        <f>VLOOKUP(Tabla3[[#This Row],[Site]],'Important Info!'!$A$1:$F$135,2,FALSE)</f>
        <v>6, 7, 18</v>
      </c>
      <c r="M95" s="52" t="str">
        <f>VLOOKUP(Tabla3[[#This Row],[Site]],'Important Info!'!$A$1:$F$135,3,FALSE)</f>
        <v>70, 79, 80</v>
      </c>
      <c r="N95" s="52" t="str">
        <f>VLOOKUP(Tabla3[[#This Row],[Site]],'Important Info!'!$A$1:$F$135,4,FALSE)</f>
        <v>83, 84</v>
      </c>
      <c r="O95" s="52" t="str">
        <f>VLOOKUP(Tabla3[[#This Row],[Site]],'Important Info!'!$A$1:$F$135,5,FALSE)</f>
        <v>3, 8, 14, 81</v>
      </c>
      <c r="P95" s="52">
        <f>VLOOKUP(Tabla3[[#This Row],[Site]],'Important Info!'!$A$1:$F$135,6,FALSE)</f>
        <v>6</v>
      </c>
      <c r="Q95" s="91">
        <f>VLOOKUP(Tabla3[[#This Row],[Site]],'Important Info!'!$A$1:$J$135,9,FALSE)</f>
        <v>135</v>
      </c>
    </row>
    <row r="96" spans="1:17" x14ac:dyDescent="0.25">
      <c r="A96" t="str">
        <f>+Tabla3[[#This Row],[Site]]&amp;Tabla3[[#This Row],[Split]]</f>
        <v>(AS) Plano Auction (NO SPEAKERS)4</v>
      </c>
      <c r="B96">
        <v>4</v>
      </c>
      <c r="C96">
        <v>4</v>
      </c>
      <c r="D96" t="s">
        <v>33</v>
      </c>
      <c r="E96" t="s">
        <v>46</v>
      </c>
      <c r="F96" t="s">
        <v>129</v>
      </c>
      <c r="G96" t="s">
        <v>34</v>
      </c>
      <c r="H96" s="52" t="str">
        <f>VLOOKUP(Tabla3[[#This Row],[Site]],'Important Info!'!$A$1:$J$135,10,FALSE)</f>
        <v>https://tools.sig.systems/site/details/140</v>
      </c>
      <c r="I96" s="8"/>
      <c r="J96" t="s">
        <v>41</v>
      </c>
      <c r="K96" s="79" t="str">
        <f>VLOOKUP(Tabla3[[#This Row],[Site]],'Important Info!'!$A$1:$H$135,8,FALSE)</f>
        <v>-</v>
      </c>
      <c r="L96" s="52" t="str">
        <f>VLOOKUP(Tabla3[[#This Row],[Site]],'Important Info!'!$A$1:$F$135,2,FALSE)</f>
        <v>-</v>
      </c>
      <c r="M96" s="52" t="str">
        <f>VLOOKUP(Tabla3[[#This Row],[Site]],'Important Info!'!$A$1:$F$135,3,FALSE)</f>
        <v>3, 4, 19</v>
      </c>
      <c r="N96" s="52" t="str">
        <f>VLOOKUP(Tabla3[[#This Row],[Site]],'Important Info!'!$A$1:$F$135,4,FALSE)</f>
        <v>-</v>
      </c>
      <c r="O96" s="52" t="str">
        <f>VLOOKUP(Tabla3[[#This Row],[Site]],'Important Info!'!$A$1:$F$135,5,FALSE)</f>
        <v>5, 19</v>
      </c>
      <c r="P96" s="52">
        <f>VLOOKUP(Tabla3[[#This Row],[Site]],'Important Info!'!$A$1:$F$135,6,FALSE)</f>
        <v>21</v>
      </c>
      <c r="Q96" s="91">
        <f>VLOOKUP(Tabla3[[#This Row],[Site]],'Important Info!'!$A$1:$J$135,9,FALSE)</f>
        <v>140</v>
      </c>
    </row>
    <row r="97" spans="1:17" x14ac:dyDescent="0.25">
      <c r="A97" t="str">
        <f>+Tabla3[[#This Row],[Site]]&amp;Tabla3[[#This Row],[Split]]</f>
        <v>(AS) Plaza Audi/Infiniti (NO TOURS)4</v>
      </c>
      <c r="B97">
        <v>4</v>
      </c>
      <c r="C97">
        <v>4</v>
      </c>
      <c r="D97" t="s">
        <v>33</v>
      </c>
      <c r="E97" t="s">
        <v>46</v>
      </c>
      <c r="F97" t="s">
        <v>91</v>
      </c>
      <c r="G97" t="s">
        <v>34</v>
      </c>
      <c r="H97" s="52" t="str">
        <f>VLOOKUP(Tabla3[[#This Row],[Site]],'Important Info!'!$A$1:$J$135,10,FALSE)</f>
        <v>https://tools.sig.systems/site/details/141</v>
      </c>
      <c r="I97" t="s">
        <v>130</v>
      </c>
      <c r="J97" t="s">
        <v>41</v>
      </c>
      <c r="K97" s="79" t="str">
        <f>VLOOKUP(Tabla3[[#This Row],[Site]],'Important Info!'!$A$1:$H$135,8,FALSE)</f>
        <v>-</v>
      </c>
      <c r="L97" s="52" t="str">
        <f>VLOOKUP(Tabla3[[#This Row],[Site]],'Important Info!'!$A$1:$F$135,2,FALSE)</f>
        <v>7, 25</v>
      </c>
      <c r="M97" s="52" t="str">
        <f>VLOOKUP(Tabla3[[#This Row],[Site]],'Important Info!'!$A$1:$F$135,3,FALSE)</f>
        <v>15, 17, 18</v>
      </c>
      <c r="N97" s="52" t="str">
        <f>VLOOKUP(Tabla3[[#This Row],[Site]],'Important Info!'!$A$1:$F$135,4,FALSE)</f>
        <v>-</v>
      </c>
      <c r="O97" s="52" t="str">
        <f>VLOOKUP(Tabla3[[#This Row],[Site]],'Important Info!'!$A$1:$F$135,5,FALSE)</f>
        <v>1, 24</v>
      </c>
      <c r="P97" s="52" t="str">
        <f>VLOOKUP(Tabla3[[#This Row],[Site]],'Important Info!'!$A$1:$F$135,6,FALSE)</f>
        <v>3, 15, 17</v>
      </c>
      <c r="Q97" s="91">
        <f>VLOOKUP(Tabla3[[#This Row],[Site]],'Important Info!'!$A$1:$J$135,9,FALSE)</f>
        <v>141</v>
      </c>
    </row>
    <row r="98" spans="1:17" x14ac:dyDescent="0.25">
      <c r="A98" t="str">
        <f>+Tabla3[[#This Row],[Site]]&amp;Tabla3[[#This Row],[Split]]</f>
        <v>(AS) Stevinson Chevrolet Golden (NO TOURS)4</v>
      </c>
      <c r="B98">
        <v>4</v>
      </c>
      <c r="C98">
        <v>4</v>
      </c>
      <c r="D98" t="s">
        <v>488</v>
      </c>
      <c r="E98" t="s">
        <v>53</v>
      </c>
      <c r="F98" t="s">
        <v>190</v>
      </c>
      <c r="G98" t="s">
        <v>45</v>
      </c>
      <c r="H98" s="52" t="str">
        <f>VLOOKUP(Tabla3[[#This Row],[Site]],'Important Info!'!$A$1:$J$135,10,FALSE)</f>
        <v>https://tools.sig.systems/site/details/264</v>
      </c>
      <c r="I98" s="2" t="s">
        <v>154</v>
      </c>
      <c r="J98" t="s">
        <v>41</v>
      </c>
      <c r="K98" s="79" t="str">
        <f>VLOOKUP(Tabla3[[#This Row],[Site]],'Important Info!'!$A$1:$H$135,8,FALSE)</f>
        <v>-</v>
      </c>
      <c r="L98" s="52" t="str">
        <f>VLOOKUP(Tabla3[[#This Row],[Site]],'Important Info!'!$A$1:$F$135,2,FALSE)</f>
        <v>-</v>
      </c>
      <c r="M98" s="52" t="str">
        <f>VLOOKUP(Tabla3[[#This Row],[Site]],'Important Info!'!$A$1:$F$135,3,FALSE)</f>
        <v>1, 19</v>
      </c>
      <c r="N98" s="52" t="str">
        <f>VLOOKUP(Tabla3[[#This Row],[Site]],'Important Info!'!$A$1:$F$135,4,FALSE)</f>
        <v>-</v>
      </c>
      <c r="O98" s="52" t="str">
        <f>VLOOKUP(Tabla3[[#This Row],[Site]],'Important Info!'!$A$1:$F$135,5,FALSE)</f>
        <v>14, 30</v>
      </c>
      <c r="P98" s="52" t="str">
        <f>VLOOKUP(Tabla3[[#This Row],[Site]],'Important Info!'!$A$1:$F$135,6,FALSE)</f>
        <v>14, 33, 34, 35, 36</v>
      </c>
      <c r="Q98" s="91">
        <f>VLOOKUP(Tabla3[[#This Row],[Site]],'Important Info!'!$A$1:$J$135,9,FALSE)</f>
        <v>264</v>
      </c>
    </row>
    <row r="99" spans="1:17" x14ac:dyDescent="0.25">
      <c r="A99" t="str">
        <f>+Tabla3[[#This Row],[Site]]&amp;Tabla3[[#This Row],[Split]]</f>
        <v>(DT) Denver (NO TOURS)4</v>
      </c>
      <c r="B99">
        <v>4</v>
      </c>
      <c r="C99">
        <v>4</v>
      </c>
      <c r="D99" t="s">
        <v>44</v>
      </c>
      <c r="E99" t="s">
        <v>53</v>
      </c>
      <c r="F99" t="s">
        <v>157</v>
      </c>
      <c r="G99" t="s">
        <v>45</v>
      </c>
      <c r="H99" s="52" t="str">
        <f>VLOOKUP(Tabla3[[#This Row],[Site]],'Important Info!'!$A$1:$J$135,10,FALSE)</f>
        <v>https://tools.sig.systems/site/details/203</v>
      </c>
      <c r="I99" s="43" t="s">
        <v>158</v>
      </c>
      <c r="J99" t="s">
        <v>41</v>
      </c>
      <c r="K99" s="79" t="str">
        <f>VLOOKUP(Tabla3[[#This Row],[Site]],'Important Info!'!$A$1:$H$135,8,FALSE)</f>
        <v>-</v>
      </c>
      <c r="L99" s="52" t="str">
        <f>VLOOKUP(Tabla3[[#This Row],[Site]],'Important Info!'!$A$1:$F$135,2,FALSE)</f>
        <v>-</v>
      </c>
      <c r="M99" s="52" t="str">
        <f>VLOOKUP(Tabla3[[#This Row],[Site]],'Important Info!'!$A$1:$F$135,3,FALSE)</f>
        <v>7, 8</v>
      </c>
      <c r="N99" s="52" t="str">
        <f>VLOOKUP(Tabla3[[#This Row],[Site]],'Important Info!'!$A$1:$F$135,4,FALSE)</f>
        <v>-</v>
      </c>
      <c r="O99" s="52" t="str">
        <f>VLOOKUP(Tabla3[[#This Row],[Site]],'Important Info!'!$A$1:$F$135,5,FALSE)</f>
        <v>-</v>
      </c>
      <c r="P99" s="52" t="str">
        <f>VLOOKUP(Tabla3[[#This Row],[Site]],'Important Info!'!$A$1:$F$135,6,FALSE)</f>
        <v>7, 8</v>
      </c>
      <c r="Q99" s="91">
        <f>VLOOKUP(Tabla3[[#This Row],[Site]],'Important Info!'!$A$1:$J$135,9,FALSE)</f>
        <v>203</v>
      </c>
    </row>
    <row r="100" spans="1:17" x14ac:dyDescent="0.25">
      <c r="A100" t="str">
        <f>+Tabla3[[#This Row],[Site]]&amp;Tabla3[[#This Row],[Split]]</f>
        <v>(DT) Escondido4</v>
      </c>
      <c r="B100">
        <v>4</v>
      </c>
      <c r="C100">
        <v>4</v>
      </c>
      <c r="D100" t="s">
        <v>51</v>
      </c>
      <c r="E100" t="s">
        <v>159</v>
      </c>
      <c r="F100" t="s">
        <v>112</v>
      </c>
      <c r="G100" t="s">
        <v>164</v>
      </c>
      <c r="H100" s="52" t="str">
        <f>VLOOKUP(Tabla3[[#This Row],[Site]],'Important Info!'!$A$1:$J$135,10,FALSE)</f>
        <v>https://tools.sig.systems/site/details/196</v>
      </c>
      <c r="I100" s="8"/>
      <c r="J100" t="s">
        <v>41</v>
      </c>
      <c r="K100" s="79" t="str">
        <f>VLOOKUP(Tabla3[[#This Row],[Site]],'Important Info!'!$A$1:$H$135,8,FALSE)</f>
        <v>Saturday Drop Time 9:00 A.M.</v>
      </c>
      <c r="L100" s="52" t="str">
        <f>VLOOKUP(Tabla3[[#This Row],[Site]],'Important Info!'!$A$1:$F$135,2,FALSE)</f>
        <v>1, 2</v>
      </c>
      <c r="M100" s="52" t="str">
        <f>VLOOKUP(Tabla3[[#This Row],[Site]],'Important Info!'!$A$1:$F$135,3,FALSE)</f>
        <v>-</v>
      </c>
      <c r="N100" s="52" t="str">
        <f>VLOOKUP(Tabla3[[#This Row],[Site]],'Important Info!'!$A$1:$F$135,4,FALSE)</f>
        <v>-</v>
      </c>
      <c r="O100" s="52" t="str">
        <f>VLOOKUP(Tabla3[[#This Row],[Site]],'Important Info!'!$A$1:$F$135,5,FALSE)</f>
        <v>-</v>
      </c>
      <c r="P100" s="52" t="str">
        <f>VLOOKUP(Tabla3[[#This Row],[Site]],'Important Info!'!$A$1:$F$135,6,FALSE)</f>
        <v>5, 7, 8</v>
      </c>
      <c r="Q100" s="91">
        <f>VLOOKUP(Tabla3[[#This Row],[Site]],'Important Info!'!$A$1:$J$135,9,FALSE)</f>
        <v>196</v>
      </c>
    </row>
    <row r="101" spans="1:17" x14ac:dyDescent="0.25">
      <c r="A101" t="str">
        <f>+Tabla3[[#This Row],[Site]]&amp;Tabla3[[#This Row],[Split]]</f>
        <v>(HUD) Acura of Greensboro4</v>
      </c>
      <c r="B101">
        <v>4</v>
      </c>
      <c r="C101">
        <v>4</v>
      </c>
      <c r="D101" t="s">
        <v>62</v>
      </c>
      <c r="E101" t="s">
        <v>35</v>
      </c>
      <c r="F101" t="s">
        <v>100</v>
      </c>
      <c r="G101" t="s">
        <v>490</v>
      </c>
      <c r="H101" s="52" t="str">
        <f>VLOOKUP(Tabla3[[#This Row],[Site]],'Important Info!'!$A$1:$J$135,10,FALSE)</f>
        <v>https://tools.sig.systems/site/details/213</v>
      </c>
      <c r="I101" s="2" t="s">
        <v>182</v>
      </c>
      <c r="J101" t="s">
        <v>41</v>
      </c>
      <c r="K101" s="79" t="str">
        <f>VLOOKUP(Tabla3[[#This Row],[Site]],'Important Info!'!$A$1:$H$135,8,FALSE)</f>
        <v>-</v>
      </c>
      <c r="L101" s="52" t="str">
        <f>VLOOKUP(Tabla3[[#This Row],[Site]],'Important Info!'!$A$1:$F$135,2,FALSE)</f>
        <v>1, 2, 6, 7, 9</v>
      </c>
      <c r="M101" s="52" t="str">
        <f>VLOOKUP(Tabla3[[#This Row],[Site]],'Important Info!'!$A$1:$F$135,3,FALSE)</f>
        <v>-</v>
      </c>
      <c r="N101" s="52" t="str">
        <f>VLOOKUP(Tabla3[[#This Row],[Site]],'Important Info!'!$A$1:$F$135,4,FALSE)</f>
        <v>-</v>
      </c>
      <c r="O101" s="52" t="str">
        <f>VLOOKUP(Tabla3[[#This Row],[Site]],'Important Info!'!$A$1:$F$135,5,FALSE)</f>
        <v>2, 5</v>
      </c>
      <c r="P101" s="52" t="str">
        <f>VLOOKUP(Tabla3[[#This Row],[Site]],'Important Info!'!$A$1:$F$135,6,FALSE)</f>
        <v>1, 2, 6, 7, 9, 18</v>
      </c>
      <c r="Q101" s="91">
        <f>VLOOKUP(Tabla3[[#This Row],[Site]],'Important Info!'!$A$1:$J$135,9,FALSE)</f>
        <v>213</v>
      </c>
    </row>
    <row r="102" spans="1:17" x14ac:dyDescent="0.25">
      <c r="A102" t="str">
        <f>+Tabla3[[#This Row],[Site]]&amp;Tabla3[[#This Row],[Split]]</f>
        <v>(HUD) BMW of Greensboro4</v>
      </c>
      <c r="B102">
        <v>4</v>
      </c>
      <c r="C102">
        <v>4</v>
      </c>
      <c r="D102" t="s">
        <v>62</v>
      </c>
      <c r="E102" t="s">
        <v>35</v>
      </c>
      <c r="F102" t="s">
        <v>183</v>
      </c>
      <c r="G102" t="s">
        <v>490</v>
      </c>
      <c r="H102" s="52" t="str">
        <f>VLOOKUP(Tabla3[[#This Row],[Site]],'Important Info!'!$A$1:$J$135,10,FALSE)</f>
        <v>https://tools.sig.systems/site/details/219</v>
      </c>
      <c r="I102" t="s">
        <v>184</v>
      </c>
      <c r="J102" t="s">
        <v>41</v>
      </c>
      <c r="K102" s="79" t="str">
        <f>VLOOKUP(Tabla3[[#This Row],[Site]],'Important Info!'!$A$1:$H$135,8,FALSE)</f>
        <v>-</v>
      </c>
      <c r="L102" s="52" t="str">
        <f>VLOOKUP(Tabla3[[#This Row],[Site]],'Important Info!'!$A$1:$F$135,2,FALSE)</f>
        <v>2, 20, 21</v>
      </c>
      <c r="M102" s="52" t="str">
        <f>VLOOKUP(Tabla3[[#This Row],[Site]],'Important Info!'!$A$1:$F$135,3,FALSE)</f>
        <v>-</v>
      </c>
      <c r="N102" s="52" t="str">
        <f>VLOOKUP(Tabla3[[#This Row],[Site]],'Important Info!'!$A$1:$F$135,4,FALSE)</f>
        <v>-</v>
      </c>
      <c r="O102" s="52" t="str">
        <f>VLOOKUP(Tabla3[[#This Row],[Site]],'Important Info!'!$A$1:$F$135,5,FALSE)</f>
        <v>12, 17</v>
      </c>
      <c r="P102" s="52" t="str">
        <f>VLOOKUP(Tabla3[[#This Row],[Site]],'Important Info!'!$A$1:$F$135,6,FALSE)</f>
        <v>1, 2, 6, 20</v>
      </c>
      <c r="Q102" s="91">
        <f>VLOOKUP(Tabla3[[#This Row],[Site]],'Important Info!'!$A$1:$J$135,9,FALSE)</f>
        <v>219</v>
      </c>
    </row>
    <row r="103" spans="1:17" x14ac:dyDescent="0.25">
      <c r="A103" t="str">
        <f>+Tabla3[[#This Row],[Site]]&amp;Tabla3[[#This Row],[Split]]</f>
        <v>(KG) Big Star CDJR of Clear Lake4</v>
      </c>
      <c r="B103">
        <v>4</v>
      </c>
      <c r="C103">
        <v>4</v>
      </c>
      <c r="D103" t="s">
        <v>33</v>
      </c>
      <c r="E103" t="s">
        <v>46</v>
      </c>
      <c r="F103" t="s">
        <v>133</v>
      </c>
      <c r="G103" t="s">
        <v>34</v>
      </c>
      <c r="H103" s="52" t="str">
        <f>VLOOKUP(Tabla3[[#This Row],[Site]],'Important Info!'!$A$1:$J$135,10,FALSE)</f>
        <v>https://tools.sig.systems/site/details/232</v>
      </c>
      <c r="I103" s="2" t="s">
        <v>134</v>
      </c>
      <c r="J103" t="s">
        <v>41</v>
      </c>
      <c r="K103" s="79" t="str">
        <f>VLOOKUP(Tabla3[[#This Row],[Site]],'Important Info!'!$A$1:$H$135,8,FALSE)</f>
        <v>-</v>
      </c>
      <c r="L103" s="52" t="str">
        <f>VLOOKUP(Tabla3[[#This Row],[Site]],'Important Info!'!$A$1:$F$135,2,FALSE)</f>
        <v>8, 25</v>
      </c>
      <c r="M103" s="52" t="str">
        <f>VLOOKUP(Tabla3[[#This Row],[Site]],'Important Info!'!$A$1:$F$135,3,FALSE)</f>
        <v>-</v>
      </c>
      <c r="N103" s="52" t="str">
        <f>VLOOKUP(Tabla3[[#This Row],[Site]],'Important Info!'!$A$1:$F$135,4,FALSE)</f>
        <v>-</v>
      </c>
      <c r="O103" s="52" t="str">
        <f>VLOOKUP(Tabla3[[#This Row],[Site]],'Important Info!'!$A$1:$F$135,5,FALSE)</f>
        <v>7, 13, 19, 24</v>
      </c>
      <c r="P103" s="52" t="str">
        <f>VLOOKUP(Tabla3[[#This Row],[Site]],'Important Info!'!$A$1:$F$135,6,FALSE)</f>
        <v>6, 8, 25, 31</v>
      </c>
      <c r="Q103" s="91">
        <f>VLOOKUP(Tabla3[[#This Row],[Site]],'Important Info!'!$A$1:$J$135,9,FALSE)</f>
        <v>232</v>
      </c>
    </row>
    <row r="104" spans="1:17" x14ac:dyDescent="0.25">
      <c r="A104" t="str">
        <f>+Tabla3[[#This Row],[Site]]&amp;Tabla3[[#This Row],[Split]]</f>
        <v>(KG) Big Star Ford4</v>
      </c>
      <c r="B104">
        <v>4</v>
      </c>
      <c r="C104">
        <v>4</v>
      </c>
      <c r="D104" t="s">
        <v>33</v>
      </c>
      <c r="E104" t="s">
        <v>46</v>
      </c>
      <c r="F104" t="s">
        <v>135</v>
      </c>
      <c r="G104" t="s">
        <v>34</v>
      </c>
      <c r="H104" s="52" t="str">
        <f>VLOOKUP(Tabla3[[#This Row],[Site]],'Important Info!'!$A$1:$J$135,10,FALSE)</f>
        <v>https://tools.sig.systems/site/details/235</v>
      </c>
      <c r="I104" s="8"/>
      <c r="J104" t="s">
        <v>41</v>
      </c>
      <c r="K104" s="79" t="str">
        <f>VLOOKUP(Tabla3[[#This Row],[Site]],'Important Info!'!$A$1:$H$135,8,FALSE)</f>
        <v>-</v>
      </c>
      <c r="L104" s="52" t="str">
        <f>VLOOKUP(Tabla3[[#This Row],[Site]],'Important Info!'!$A$1:$F$135,2,FALSE)</f>
        <v>4, 22, 32, 33</v>
      </c>
      <c r="M104" s="52" t="str">
        <f>VLOOKUP(Tabla3[[#This Row],[Site]],'Important Info!'!$A$1:$F$135,3,FALSE)</f>
        <v>-</v>
      </c>
      <c r="N104" s="52" t="str">
        <f>VLOOKUP(Tabla3[[#This Row],[Site]],'Important Info!'!$A$1:$F$135,4,FALSE)</f>
        <v>-</v>
      </c>
      <c r="O104" s="52" t="str">
        <f>VLOOKUP(Tabla3[[#This Row],[Site]],'Important Info!'!$A$1:$F$135,5,FALSE)</f>
        <v>1, 5, 12, 21</v>
      </c>
      <c r="P104" s="52">
        <f>VLOOKUP(Tabla3[[#This Row],[Site]],'Important Info!'!$A$1:$F$135,6,FALSE)</f>
        <v>22</v>
      </c>
      <c r="Q104" s="91">
        <f>VLOOKUP(Tabla3[[#This Row],[Site]],'Important Info!'!$A$1:$J$135,9,FALSE)</f>
        <v>235</v>
      </c>
    </row>
    <row r="105" spans="1:17" x14ac:dyDescent="0.25">
      <c r="A105" t="str">
        <f>+Tabla3[[#This Row],[Site]]&amp;Tabla3[[#This Row],[Split]]</f>
        <v>(KG) Hyundai Surprise4</v>
      </c>
      <c r="B105">
        <v>4</v>
      </c>
      <c r="C105">
        <v>4</v>
      </c>
      <c r="D105" t="s">
        <v>51</v>
      </c>
      <c r="E105" t="s">
        <v>161</v>
      </c>
      <c r="F105" t="s">
        <v>118</v>
      </c>
      <c r="G105" t="s">
        <v>52</v>
      </c>
      <c r="H105" s="52" t="str">
        <f>VLOOKUP(Tabla3[[#This Row],[Site]],'Important Info!'!$A$1:$J$135,10,FALSE)</f>
        <v>https://tools.sig.systems/site/details/269</v>
      </c>
      <c r="J105" t="s">
        <v>162</v>
      </c>
      <c r="K105" s="79" t="str">
        <f>VLOOKUP(Tabla3[[#This Row],[Site]],'Important Info!'!$A$1:$H$135,8,FALSE)</f>
        <v>-</v>
      </c>
      <c r="L105" s="52" t="str">
        <f>VLOOKUP(Tabla3[[#This Row],[Site]],'Important Info!'!$A$1:$F$135,2,FALSE)</f>
        <v>1, 6, 7</v>
      </c>
      <c r="M105" s="52" t="str">
        <f>VLOOKUP(Tabla3[[#This Row],[Site]],'Important Info!'!$A$1:$F$135,3,FALSE)</f>
        <v>-</v>
      </c>
      <c r="N105" s="52" t="str">
        <f>VLOOKUP(Tabla3[[#This Row],[Site]],'Important Info!'!$A$1:$F$135,4,FALSE)</f>
        <v>-</v>
      </c>
      <c r="O105" s="52" t="str">
        <f>VLOOKUP(Tabla3[[#This Row],[Site]],'Important Info!'!$A$1:$F$135,5,FALSE)</f>
        <v>6, 13</v>
      </c>
      <c r="P105" s="52" t="str">
        <f>VLOOKUP(Tabla3[[#This Row],[Site]],'Important Info!'!$A$1:$F$135,6,FALSE)</f>
        <v>-</v>
      </c>
      <c r="Q105" s="91">
        <f>VLOOKUP(Tabla3[[#This Row],[Site]],'Important Info!'!$A$1:$J$135,9,FALSE)</f>
        <v>269</v>
      </c>
    </row>
    <row r="106" spans="1:17" x14ac:dyDescent="0.25">
      <c r="A106" t="str">
        <f>+Tabla3[[#This Row],[Site]]&amp;Tabla3[[#This Row],[Split]]</f>
        <v>(MK) McKenny Salinas Honda4</v>
      </c>
      <c r="B106">
        <v>4</v>
      </c>
      <c r="C106">
        <v>4</v>
      </c>
      <c r="D106" t="s">
        <v>62</v>
      </c>
      <c r="E106" t="s">
        <v>35</v>
      </c>
      <c r="F106" t="s">
        <v>115</v>
      </c>
      <c r="G106" t="s">
        <v>490</v>
      </c>
      <c r="H106" s="52" t="str">
        <f>VLOOKUP(Tabla3[[#This Row],[Site]],'Important Info!'!$A$1:$J$135,10,FALSE)</f>
        <v>https://tools.sig.systems/site/details/149</v>
      </c>
      <c r="I106" s="8"/>
      <c r="J106" t="s">
        <v>41</v>
      </c>
      <c r="K106" s="79" t="str">
        <f>VLOOKUP(Tabla3[[#This Row],[Site]],'Important Info!'!$A$1:$H$135,8,FALSE)</f>
        <v>-</v>
      </c>
      <c r="L106" s="52" t="str">
        <f>VLOOKUP(Tabla3[[#This Row],[Site]],'Important Info!'!$A$1:$F$135,2,FALSE)</f>
        <v>-</v>
      </c>
      <c r="M106" s="52" t="str">
        <f>VLOOKUP(Tabla3[[#This Row],[Site]],'Important Info!'!$A$1:$F$135,3,FALSE)</f>
        <v>12, 16</v>
      </c>
      <c r="N106" s="52" t="str">
        <f>VLOOKUP(Tabla3[[#This Row],[Site]],'Important Info!'!$A$1:$F$135,4,FALSE)</f>
        <v>-</v>
      </c>
      <c r="O106" s="52" t="str">
        <f>VLOOKUP(Tabla3[[#This Row],[Site]],'Important Info!'!$A$1:$F$135,5,FALSE)</f>
        <v>-</v>
      </c>
      <c r="P106" s="52" t="str">
        <f>VLOOKUP(Tabla3[[#This Row],[Site]],'Important Info!'!$A$1:$F$135,6,FALSE)</f>
        <v>3, 4, 5, 6, 16</v>
      </c>
      <c r="Q106" s="91">
        <f>VLOOKUP(Tabla3[[#This Row],[Site]],'Important Info!'!$A$1:$J$135,9,FALSE)</f>
        <v>149</v>
      </c>
    </row>
    <row r="107" spans="1:17" x14ac:dyDescent="0.25">
      <c r="A107" t="str">
        <f>+Tabla3[[#This Row],[Site]]&amp;Tabla3[[#This Row],[Split]]</f>
        <v>(ML) BMW of Little Rock4</v>
      </c>
      <c r="B107">
        <v>4</v>
      </c>
      <c r="C107">
        <v>4</v>
      </c>
      <c r="D107" t="s">
        <v>33</v>
      </c>
      <c r="E107" t="s">
        <v>46</v>
      </c>
      <c r="F107" t="s">
        <v>139</v>
      </c>
      <c r="G107" t="s">
        <v>34</v>
      </c>
      <c r="H107" s="52" t="str">
        <f>VLOOKUP(Tabla3[[#This Row],[Site]],'Important Info!'!$A$1:$J$135,10,FALSE)</f>
        <v>https://tools.sig.systems/site/details/217</v>
      </c>
      <c r="I107" s="2" t="s">
        <v>140</v>
      </c>
      <c r="J107" t="s">
        <v>41</v>
      </c>
      <c r="K107" s="79" t="str">
        <f>VLOOKUP(Tabla3[[#This Row],[Site]],'Important Info!'!$A$1:$H$135,8,FALSE)</f>
        <v>-</v>
      </c>
      <c r="L107" s="52" t="str">
        <f>VLOOKUP(Tabla3[[#This Row],[Site]],'Important Info!'!$A$1:$F$135,2,FALSE)</f>
        <v>-</v>
      </c>
      <c r="M107" s="52">
        <f>VLOOKUP(Tabla3[[#This Row],[Site]],'Important Info!'!$A$1:$F$135,3,FALSE)</f>
        <v>14</v>
      </c>
      <c r="N107" s="52" t="str">
        <f>VLOOKUP(Tabla3[[#This Row],[Site]],'Important Info!'!$A$1:$F$135,4,FALSE)</f>
        <v>-</v>
      </c>
      <c r="O107" s="52" t="str">
        <f>VLOOKUP(Tabla3[[#This Row],[Site]],'Important Info!'!$A$1:$F$135,5,FALSE)</f>
        <v>-</v>
      </c>
      <c r="P107" s="52" t="str">
        <f>VLOOKUP(Tabla3[[#This Row],[Site]],'Important Info!'!$A$1:$F$135,6,FALSE)</f>
        <v>5, 6, 7, 8, 9, 32</v>
      </c>
      <c r="Q107" s="91">
        <f>VLOOKUP(Tabla3[[#This Row],[Site]],'Important Info!'!$A$1:$J$135,9,FALSE)</f>
        <v>217</v>
      </c>
    </row>
    <row r="108" spans="1:17" x14ac:dyDescent="0.25">
      <c r="A108" t="str">
        <f>+Tabla3[[#This Row],[Site]]&amp;Tabla3[[#This Row],[Split]]</f>
        <v>(ML) Collision Center N Little Rock4</v>
      </c>
      <c r="B108">
        <v>4</v>
      </c>
      <c r="C108">
        <v>4</v>
      </c>
      <c r="D108" t="s">
        <v>33</v>
      </c>
      <c r="E108" t="s">
        <v>46</v>
      </c>
      <c r="F108" t="s">
        <v>141</v>
      </c>
      <c r="G108" t="s">
        <v>34</v>
      </c>
      <c r="H108" s="52" t="str">
        <f>VLOOKUP(Tabla3[[#This Row],[Site]],'Important Info!'!$A$1:$J$135,10,FALSE)</f>
        <v>https://tools.sig.systems/site/details/212</v>
      </c>
      <c r="I108" s="2" t="s">
        <v>142</v>
      </c>
      <c r="J108" t="s">
        <v>41</v>
      </c>
      <c r="K108" s="79" t="str">
        <f>VLOOKUP(Tabla3[[#This Row],[Site]],'Important Info!'!$A$1:$H$135,8,FALSE)</f>
        <v>-</v>
      </c>
      <c r="L108" s="52" t="str">
        <f>VLOOKUP(Tabla3[[#This Row],[Site]],'Important Info!'!$A$1:$F$135,2,FALSE)</f>
        <v>-</v>
      </c>
      <c r="M108" s="52" t="str">
        <f>VLOOKUP(Tabla3[[#This Row],[Site]],'Important Info!'!$A$1:$F$135,3,FALSE)</f>
        <v>-</v>
      </c>
      <c r="N108" s="52" t="str">
        <f>VLOOKUP(Tabla3[[#This Row],[Site]],'Important Info!'!$A$1:$F$135,4,FALSE)</f>
        <v>-</v>
      </c>
      <c r="O108" s="52" t="str">
        <f>VLOOKUP(Tabla3[[#This Row],[Site]],'Important Info!'!$A$1:$F$135,5,FALSE)</f>
        <v>-</v>
      </c>
      <c r="P108" s="52" t="str">
        <f>VLOOKUP(Tabla3[[#This Row],[Site]],'Important Info!'!$A$1:$F$135,6,FALSE)</f>
        <v>1, 3, 7, 8</v>
      </c>
      <c r="Q108" s="91">
        <f>VLOOKUP(Tabla3[[#This Row],[Site]],'Important Info!'!$A$1:$J$135,9,FALSE)</f>
        <v>212</v>
      </c>
    </row>
    <row r="109" spans="1:17" x14ac:dyDescent="0.25">
      <c r="A109" t="str">
        <f>+Tabla3[[#This Row],[Site]]&amp;Tabla3[[#This Row],[Split]]</f>
        <v>(ML) Joe Machens Kia of Columbia4</v>
      </c>
      <c r="B109">
        <v>4</v>
      </c>
      <c r="C109">
        <v>4</v>
      </c>
      <c r="D109" t="s">
        <v>33</v>
      </c>
      <c r="E109" t="s">
        <v>46</v>
      </c>
      <c r="F109" t="s">
        <v>149</v>
      </c>
      <c r="G109" t="s">
        <v>34</v>
      </c>
      <c r="H109" s="52" t="str">
        <f>VLOOKUP(Tabla3[[#This Row],[Site]],'Important Info!'!$A$1:$J$135,10,FALSE)</f>
        <v>https://tools.sig.systems/site/details/270</v>
      </c>
      <c r="I109" s="2" t="s">
        <v>146</v>
      </c>
      <c r="J109" t="s">
        <v>41</v>
      </c>
      <c r="K109" s="79" t="str">
        <f>VLOOKUP(Tabla3[[#This Row],[Site]],'Important Info!'!$A$1:$H$135,8,FALSE)</f>
        <v>-</v>
      </c>
      <c r="L109" s="52" t="str">
        <f>VLOOKUP(Tabla3[[#This Row],[Site]],'Important Info!'!$A$1:$F$135,2,FALSE)</f>
        <v>-</v>
      </c>
      <c r="M109" s="52" t="str">
        <f>VLOOKUP(Tabla3[[#This Row],[Site]],'Important Info!'!$A$1:$F$135,3,FALSE)</f>
        <v>1, 2, 5, 6, 9, 13, 15</v>
      </c>
      <c r="N109" s="52" t="str">
        <f>VLOOKUP(Tabla3[[#This Row],[Site]],'Important Info!'!$A$1:$F$135,4,FALSE)</f>
        <v>-</v>
      </c>
      <c r="O109" s="52" t="str">
        <f>VLOOKUP(Tabla3[[#This Row],[Site]],'Important Info!'!$A$1:$F$135,5,FALSE)</f>
        <v>-</v>
      </c>
      <c r="P109" s="52" t="str">
        <f>VLOOKUP(Tabla3[[#This Row],[Site]],'Important Info!'!$A$1:$F$135,6,FALSE)</f>
        <v>10, 11, 13</v>
      </c>
      <c r="Q109" s="91">
        <f>VLOOKUP(Tabla3[[#This Row],[Site]],'Important Info!'!$A$1:$J$135,9,FALSE)</f>
        <v>270</v>
      </c>
    </row>
    <row r="110" spans="1:17" x14ac:dyDescent="0.25">
      <c r="A110" t="str">
        <f>+Tabla3[[#This Row],[Site]]&amp;Tabla3[[#This Row],[Split]]</f>
        <v>(ML) McLarty Gray-Daniels Toyota Nissan4</v>
      </c>
      <c r="B110">
        <v>4</v>
      </c>
      <c r="C110">
        <v>4</v>
      </c>
      <c r="D110" t="s">
        <v>33</v>
      </c>
      <c r="E110" t="s">
        <v>46</v>
      </c>
      <c r="F110" t="s">
        <v>90</v>
      </c>
      <c r="G110" t="s">
        <v>34</v>
      </c>
      <c r="H110" s="52" t="str">
        <f>VLOOKUP(Tabla3[[#This Row],[Site]],'Important Info!'!$A$1:$J$135,10,FALSE)</f>
        <v>https://tools.sig.systems/site/details/152</v>
      </c>
      <c r="I110" s="2" t="s">
        <v>150</v>
      </c>
      <c r="J110" t="s">
        <v>41</v>
      </c>
      <c r="K110" s="79" t="str">
        <f>VLOOKUP(Tabla3[[#This Row],[Site]],'Important Info!'!$A$1:$H$135,8,FALSE)</f>
        <v>-</v>
      </c>
      <c r="L110" s="52" t="str">
        <f>VLOOKUP(Tabla3[[#This Row],[Site]],'Important Info!'!$A$1:$F$135,2,FALSE)</f>
        <v>-</v>
      </c>
      <c r="M110" s="52" t="str">
        <f>VLOOKUP(Tabla3[[#This Row],[Site]],'Important Info!'!$A$1:$F$135,3,FALSE)</f>
        <v>8, 11, 39, 43</v>
      </c>
      <c r="N110" s="52" t="str">
        <f>VLOOKUP(Tabla3[[#This Row],[Site]],'Important Info!'!$A$1:$F$135,4,FALSE)</f>
        <v>-</v>
      </c>
      <c r="O110" s="52" t="str">
        <f>VLOOKUP(Tabla3[[#This Row],[Site]],'Important Info!'!$A$1:$F$135,5,FALSE)</f>
        <v>6, 11, 15, 18</v>
      </c>
      <c r="P110" s="52" t="str">
        <f>VLOOKUP(Tabla3[[#This Row],[Site]],'Important Info!'!$A$1:$F$135,6,FALSE)</f>
        <v>7, 8, 9</v>
      </c>
      <c r="Q110" s="91">
        <f>VLOOKUP(Tabla3[[#This Row],[Site]],'Important Info!'!$A$1:$J$135,9,FALSE)</f>
        <v>152</v>
      </c>
    </row>
    <row r="111" spans="1:17" x14ac:dyDescent="0.25">
      <c r="A111" t="str">
        <f>+Tabla3[[#This Row],[Site]]&amp;Tabla3[[#This Row],[Split]]</f>
        <v>(ML) McLarty-Gray Daniels Chevrolet4</v>
      </c>
      <c r="B111">
        <v>4</v>
      </c>
      <c r="C111">
        <v>4</v>
      </c>
      <c r="D111" t="s">
        <v>33</v>
      </c>
      <c r="E111" t="s">
        <v>46</v>
      </c>
      <c r="F111" t="s">
        <v>151</v>
      </c>
      <c r="G111" t="s">
        <v>34</v>
      </c>
      <c r="H111" s="52" t="str">
        <f>VLOOKUP(Tabla3[[#This Row],[Site]],'Important Info!'!$A$1:$J$135,10,FALSE)</f>
        <v>https://tools.sig.systems/site/details/150</v>
      </c>
      <c r="J111" t="s">
        <v>41</v>
      </c>
      <c r="K111" s="79" t="str">
        <f>VLOOKUP(Tabla3[[#This Row],[Site]],'Important Info!'!$A$1:$H$135,8,FALSE)</f>
        <v>-</v>
      </c>
      <c r="L111" s="52" t="str">
        <f>VLOOKUP(Tabla3[[#This Row],[Site]],'Important Info!'!$A$1:$F$135,2,FALSE)</f>
        <v>3, 4, 5, 22, 24, 26, 28, 36</v>
      </c>
      <c r="M111" s="52" t="str">
        <f>VLOOKUP(Tabla3[[#This Row],[Site]],'Important Info!'!$A$1:$F$135,3,FALSE)</f>
        <v>-</v>
      </c>
      <c r="N111" s="52" t="str">
        <f>VLOOKUP(Tabla3[[#This Row],[Site]],'Important Info!'!$A$1:$F$135,4,FALSE)</f>
        <v>-</v>
      </c>
      <c r="O111" s="52" t="str">
        <f>VLOOKUP(Tabla3[[#This Row],[Site]],'Important Info!'!$A$1:$F$135,5,FALSE)</f>
        <v>4, 7, 12, 26</v>
      </c>
      <c r="P111" s="52" t="str">
        <f>VLOOKUP(Tabla3[[#This Row],[Site]],'Important Info!'!$A$1:$F$135,6,FALSE)</f>
        <v>1, 3, 5, 6, 23, 24</v>
      </c>
      <c r="Q111" s="91">
        <f>VLOOKUP(Tabla3[[#This Row],[Site]],'Important Info!'!$A$1:$J$135,9,FALSE)</f>
        <v>150</v>
      </c>
    </row>
    <row r="112" spans="1:17" x14ac:dyDescent="0.25">
      <c r="A112" t="str">
        <f>+Tabla3[[#This Row],[Site]]&amp;Tabla3[[#This Row],[Split]]</f>
        <v>(PE) BMW of Greenwich (NO TOURS)4</v>
      </c>
      <c r="B112">
        <v>4</v>
      </c>
      <c r="C112">
        <v>4</v>
      </c>
      <c r="D112" t="s">
        <v>485</v>
      </c>
      <c r="E112" t="s">
        <v>35</v>
      </c>
      <c r="F112" t="s">
        <v>170</v>
      </c>
      <c r="G112" t="s">
        <v>490</v>
      </c>
      <c r="H112" s="52" t="str">
        <f>VLOOKUP(Tabla3[[#This Row],[Site]],'Important Info!'!$A$1:$J$135,10,FALSE)</f>
        <v>https://tools.sig.systems/site/details/186</v>
      </c>
      <c r="I112" s="2" t="s">
        <v>171</v>
      </c>
      <c r="J112" t="s">
        <v>41</v>
      </c>
      <c r="K112" s="79" t="str">
        <f>VLOOKUP(Tabla3[[#This Row],[Site]],'Important Info!'!$A$1:$H$135,8,FALSE)</f>
        <v>-</v>
      </c>
      <c r="L112" s="52" t="str">
        <f>VLOOKUP(Tabla3[[#This Row],[Site]],'Important Info!'!$A$1:$F$135,2,FALSE)</f>
        <v>1, 6, 15</v>
      </c>
      <c r="M112" s="52" t="str">
        <f>VLOOKUP(Tabla3[[#This Row],[Site]],'Important Info!'!$A$1:$F$135,3,FALSE)</f>
        <v>-</v>
      </c>
      <c r="N112" s="52" t="str">
        <f>VLOOKUP(Tabla3[[#This Row],[Site]],'Important Info!'!$A$1:$F$135,4,FALSE)</f>
        <v>-</v>
      </c>
      <c r="O112" s="52" t="str">
        <f>VLOOKUP(Tabla3[[#This Row],[Site]],'Important Info!'!$A$1:$F$135,5,FALSE)</f>
        <v>-</v>
      </c>
      <c r="P112" s="52">
        <f>VLOOKUP(Tabla3[[#This Row],[Site]],'Important Info!'!$A$1:$F$135,6,FALSE)</f>
        <v>12</v>
      </c>
      <c r="Q112" s="91">
        <f>VLOOKUP(Tabla3[[#This Row],[Site]],'Important Info!'!$A$1:$J$135,9,FALSE)</f>
        <v>186</v>
      </c>
    </row>
    <row r="113" spans="1:17" x14ac:dyDescent="0.25">
      <c r="A113" t="str">
        <f>+Tabla3[[#This Row],[Site]]&amp;Tabla3[[#This Row],[Split]]</f>
        <v>(PE) BMW of Mamaroneck (NO TOURS)4</v>
      </c>
      <c r="B113">
        <v>4</v>
      </c>
      <c r="C113">
        <v>4</v>
      </c>
      <c r="D113" t="s">
        <v>485</v>
      </c>
      <c r="E113" t="s">
        <v>35</v>
      </c>
      <c r="F113" t="s">
        <v>172</v>
      </c>
      <c r="G113" t="s">
        <v>490</v>
      </c>
      <c r="H113" s="52" t="str">
        <f>VLOOKUP(Tabla3[[#This Row],[Site]],'Important Info!'!$A$1:$J$135,10,FALSE)</f>
        <v>https://tools.sig.systems/site/details/185</v>
      </c>
      <c r="I113" s="2"/>
      <c r="J113" t="s">
        <v>41</v>
      </c>
      <c r="K113" s="79" t="str">
        <f>VLOOKUP(Tabla3[[#This Row],[Site]],'Important Info!'!$A$1:$H$135,8,FALSE)</f>
        <v>-</v>
      </c>
      <c r="L113" s="52">
        <f>VLOOKUP(Tabla3[[#This Row],[Site]],'Important Info!'!$A$1:$F$135,2,FALSE)</f>
        <v>9</v>
      </c>
      <c r="M113" s="52" t="str">
        <f>VLOOKUP(Tabla3[[#This Row],[Site]],'Important Info!'!$A$1:$F$135,3,FALSE)</f>
        <v>2, 3, 4, 5</v>
      </c>
      <c r="N113" s="52" t="str">
        <f>VLOOKUP(Tabla3[[#This Row],[Site]],'Important Info!'!$A$1:$F$135,4,FALSE)</f>
        <v>-</v>
      </c>
      <c r="O113" s="52" t="str">
        <f>VLOOKUP(Tabla3[[#This Row],[Site]],'Important Info!'!$A$1:$F$135,5,FALSE)</f>
        <v>-</v>
      </c>
      <c r="P113" s="52" t="str">
        <f>VLOOKUP(Tabla3[[#This Row],[Site]],'Important Info!'!$A$1:$F$135,6,FALSE)</f>
        <v>4, 6, 7, 8</v>
      </c>
      <c r="Q113" s="91">
        <f>VLOOKUP(Tabla3[[#This Row],[Site]],'Important Info!'!$A$1:$J$135,9,FALSE)</f>
        <v>185</v>
      </c>
    </row>
    <row r="114" spans="1:17" x14ac:dyDescent="0.25">
      <c r="A114" t="str">
        <f>+Tabla3[[#This Row],[Site]]&amp;Tabla3[[#This Row],[Split]]</f>
        <v>(PE) JLR Darien PDI (NO TOURS)4</v>
      </c>
      <c r="B114">
        <v>4</v>
      </c>
      <c r="C114">
        <v>4</v>
      </c>
      <c r="D114" t="s">
        <v>485</v>
      </c>
      <c r="E114" t="s">
        <v>35</v>
      </c>
      <c r="F114" t="s">
        <v>98</v>
      </c>
      <c r="G114" t="s">
        <v>490</v>
      </c>
      <c r="H114" s="52" t="str">
        <f>VLOOKUP(Tabla3[[#This Row],[Site]],'Important Info!'!$A$1:$J$135,10,FALSE)</f>
        <v>https://tools.sig.systems/site/details/187</v>
      </c>
      <c r="I114" s="43" t="s">
        <v>175</v>
      </c>
      <c r="J114" t="s">
        <v>41</v>
      </c>
      <c r="K114" s="79" t="str">
        <f>VLOOKUP(Tabla3[[#This Row],[Site]],'Important Info!'!$A$1:$H$135,8,FALSE)</f>
        <v>-</v>
      </c>
      <c r="L114" s="52">
        <f>VLOOKUP(Tabla3[[#This Row],[Site]],'Important Info!'!$A$1:$F$135,2,FALSE)</f>
        <v>1</v>
      </c>
      <c r="M114" s="52" t="str">
        <f>VLOOKUP(Tabla3[[#This Row],[Site]],'Important Info!'!$A$1:$F$135,3,FALSE)</f>
        <v>-</v>
      </c>
      <c r="N114" s="52" t="str">
        <f>VLOOKUP(Tabla3[[#This Row],[Site]],'Important Info!'!$A$1:$F$135,4,FALSE)</f>
        <v>-</v>
      </c>
      <c r="O114" s="52">
        <f>VLOOKUP(Tabla3[[#This Row],[Site]],'Important Info!'!$A$1:$F$135,5,FALSE)</f>
        <v>1</v>
      </c>
      <c r="P114" s="52">
        <f>VLOOKUP(Tabla3[[#This Row],[Site]],'Important Info!'!$A$1:$F$135,6,FALSE)</f>
        <v>7</v>
      </c>
      <c r="Q114" s="91">
        <f>VLOOKUP(Tabla3[[#This Row],[Site]],'Important Info!'!$A$1:$J$135,9,FALSE)</f>
        <v>187</v>
      </c>
    </row>
    <row r="115" spans="1:17" x14ac:dyDescent="0.25">
      <c r="A115" t="str">
        <f>+Tabla3[[#This Row],[Site]]&amp;Tabla3[[#This Row],[Split]]</f>
        <v>(PE) Scofield Service Center (NO TOURS)4</v>
      </c>
      <c r="B115">
        <v>4</v>
      </c>
      <c r="C115">
        <v>4</v>
      </c>
      <c r="D115" t="s">
        <v>485</v>
      </c>
      <c r="E115" t="s">
        <v>35</v>
      </c>
      <c r="F115" t="s">
        <v>83</v>
      </c>
      <c r="G115" t="s">
        <v>490</v>
      </c>
      <c r="H115" s="52" t="str">
        <f>VLOOKUP(Tabla3[[#This Row],[Site]],'Important Info!'!$A$1:$J$135,10,FALSE)</f>
        <v>https://tools.sig.systems/site/details/193</v>
      </c>
      <c r="I115" t="s">
        <v>177</v>
      </c>
      <c r="J115" t="s">
        <v>41</v>
      </c>
      <c r="K115" s="79" t="str">
        <f>VLOOKUP(Tabla3[[#This Row],[Site]],'Important Info!'!$A$1:$H$135,8,FALSE)</f>
        <v>-</v>
      </c>
      <c r="L115" s="52">
        <f>VLOOKUP(Tabla3[[#This Row],[Site]],'Important Info!'!$A$1:$F$135,2,FALSE)</f>
        <v>1</v>
      </c>
      <c r="M115" s="52" t="str">
        <f>VLOOKUP(Tabla3[[#This Row],[Site]],'Important Info!'!$A$1:$F$135,3,FALSE)</f>
        <v>-</v>
      </c>
      <c r="N115" s="52" t="str">
        <f>VLOOKUP(Tabla3[[#This Row],[Site]],'Important Info!'!$A$1:$F$135,4,FALSE)</f>
        <v>-</v>
      </c>
      <c r="O115" s="52">
        <f>VLOOKUP(Tabla3[[#This Row],[Site]],'Important Info!'!$A$1:$F$135,5,FALSE)</f>
        <v>9</v>
      </c>
      <c r="P115" s="52" t="str">
        <f>VLOOKUP(Tabla3[[#This Row],[Site]],'Important Info!'!$A$1:$F$135,6,FALSE)</f>
        <v>1, 17</v>
      </c>
      <c r="Q115" s="91">
        <f>VLOOKUP(Tabla3[[#This Row],[Site]],'Important Info!'!$A$1:$J$135,9,FALSE)</f>
        <v>193</v>
      </c>
    </row>
    <row r="116" spans="1:17" x14ac:dyDescent="0.25">
      <c r="A116" t="str">
        <f>+Tabla3[[#This Row],[Site]]&amp;Tabla3[[#This Row],[Split]]</f>
        <v>(RV) Sonny's Camp N Travel Concord4</v>
      </c>
      <c r="B116">
        <v>4</v>
      </c>
      <c r="C116">
        <v>4</v>
      </c>
      <c r="D116" t="s">
        <v>62</v>
      </c>
      <c r="E116" t="s">
        <v>35</v>
      </c>
      <c r="F116" t="s">
        <v>188</v>
      </c>
      <c r="G116" t="s">
        <v>490</v>
      </c>
      <c r="H116" s="52" t="str">
        <f>VLOOKUP(Tabla3[[#This Row],[Site]],'Important Info!'!$A$1:$J$135,10,FALSE)</f>
        <v>https://tools.sig.systems/site/details/183</v>
      </c>
      <c r="I116" s="64"/>
      <c r="J116" t="s">
        <v>41</v>
      </c>
      <c r="K116" s="79" t="str">
        <f>VLOOKUP(Tabla3[[#This Row],[Site]],'Important Info!'!$A$1:$H$135,8,FALSE)</f>
        <v>-</v>
      </c>
      <c r="L116" s="52">
        <f>VLOOKUP(Tabla3[[#This Row],[Site]],'Important Info!'!$A$1:$F$135,2,FALSE)</f>
        <v>1</v>
      </c>
      <c r="M116" s="52" t="str">
        <f>VLOOKUP(Tabla3[[#This Row],[Site]],'Important Info!'!$A$1:$F$135,3,FALSE)</f>
        <v>-</v>
      </c>
      <c r="N116" s="52" t="str">
        <f>VLOOKUP(Tabla3[[#This Row],[Site]],'Important Info!'!$A$1:$F$135,4,FALSE)</f>
        <v>-</v>
      </c>
      <c r="O116" s="52">
        <f>VLOOKUP(Tabla3[[#This Row],[Site]],'Important Info!'!$A$1:$F$135,5,FALSE)</f>
        <v>7</v>
      </c>
      <c r="P116" s="52" t="str">
        <f>VLOOKUP(Tabla3[[#This Row],[Site]],'Important Info!'!$A$1:$F$135,6,FALSE)</f>
        <v>6, 7, 8, 9</v>
      </c>
      <c r="Q116" s="91">
        <f>VLOOKUP(Tabla3[[#This Row],[Site]],'Important Info!'!$A$1:$J$135,9,FALSE)</f>
        <v>183</v>
      </c>
    </row>
    <row r="117" spans="1:17" x14ac:dyDescent="0.25">
      <c r="A117" t="str">
        <f>+Tabla3[[#This Row],[Site]]&amp;Tabla3[[#This Row],[Split]]</f>
        <v>(WAG) Greeley Chrysler Dodge Jeep Ram (NO TOURS)4</v>
      </c>
      <c r="B117">
        <v>4</v>
      </c>
      <c r="C117">
        <v>4</v>
      </c>
      <c r="D117" t="s">
        <v>44</v>
      </c>
      <c r="E117" t="s">
        <v>53</v>
      </c>
      <c r="F117" t="s">
        <v>497</v>
      </c>
      <c r="G117" t="s">
        <v>45</v>
      </c>
      <c r="H117" s="52" t="str">
        <f>VLOOKUP(Tabla3[[#This Row],[Site]],'Important Info!'!$A$1:$J$135,10,FALSE)</f>
        <v>https://tools.sig.systems/site/details/130</v>
      </c>
      <c r="I117" t="s">
        <v>153</v>
      </c>
      <c r="J117" t="s">
        <v>41</v>
      </c>
      <c r="K117" s="79" t="str">
        <f>VLOOKUP(Tabla3[[#This Row],[Site]],'Important Info!'!$A$1:$H$135,8,FALSE)</f>
        <v>-</v>
      </c>
      <c r="L117" s="52" t="str">
        <f>VLOOKUP(Tabla3[[#This Row],[Site]],'Important Info!'!$A$1:$F$135,2,FALSE)</f>
        <v>17, 23 &amp; 18</v>
      </c>
      <c r="M117" s="52" t="str">
        <f>VLOOKUP(Tabla3[[#This Row],[Site]],'Important Info!'!$A$1:$F$135,3,FALSE)</f>
        <v>4, 5, 6, 7, 8, 51, 55</v>
      </c>
      <c r="N117" s="52" t="str">
        <f>VLOOKUP(Tabla3[[#This Row],[Site]],'Important Info!'!$A$1:$F$135,4,FALSE)</f>
        <v>-</v>
      </c>
      <c r="O117" s="52" t="str">
        <f>VLOOKUP(Tabla3[[#This Row],[Site]],'Important Info!'!$A$1:$F$135,5,FALSE)</f>
        <v>3, 13, 17, 49, 53, 59</v>
      </c>
      <c r="P117" s="52" t="str">
        <f>VLOOKUP(Tabla3[[#This Row],[Site]],'Important Info!'!$A$1:$F$135,6,FALSE)</f>
        <v>8, 9, 10, 51, 62</v>
      </c>
      <c r="Q117" s="91">
        <f>VLOOKUP(Tabla3[[#This Row],[Site]],'Important Info!'!$A$1:$J$135,9,FALSE)</f>
        <v>130</v>
      </c>
    </row>
    <row r="118" spans="1:17" x14ac:dyDescent="0.25">
      <c r="A118" t="str">
        <f>+Tabla3[[#This Row],[Site]]&amp;Tabla3[[#This Row],[Split]]</f>
        <v>(AS) Audi of North Atlanta (NO TOURS)5</v>
      </c>
      <c r="B118">
        <v>5</v>
      </c>
      <c r="C118">
        <v>1</v>
      </c>
      <c r="D118" t="s">
        <v>62</v>
      </c>
      <c r="E118" t="s">
        <v>35</v>
      </c>
      <c r="F118" t="s">
        <v>499</v>
      </c>
      <c r="G118" t="s">
        <v>490</v>
      </c>
      <c r="H118" s="52" t="str">
        <f>VLOOKUP(Tabla3[[#This Row],[Site]],'Important Info!'!$A$1:$J$135,10,FALSE)</f>
        <v>https://tools.sig.systems/site/details/124</v>
      </c>
      <c r="I118" s="43" t="s">
        <v>166</v>
      </c>
      <c r="J118" t="s">
        <v>41</v>
      </c>
      <c r="K118" s="79" t="str">
        <f>VLOOKUP(Tabla3[[#This Row],[Site]],'Important Info!'!$A$1:$H$135,8,FALSE)</f>
        <v>-</v>
      </c>
      <c r="L118" s="52" t="str">
        <f>VLOOKUP(Tabla3[[#This Row],[Site]],'Important Info!'!$A$1:$F$135,2,FALSE)</f>
        <v>1, 5, 16, 54</v>
      </c>
      <c r="M118" s="52" t="str">
        <f>VLOOKUP(Tabla3[[#This Row],[Site]],'Important Info!'!$A$1:$F$135,3,FALSE)</f>
        <v>-</v>
      </c>
      <c r="N118" s="52" t="str">
        <f>VLOOKUP(Tabla3[[#This Row],[Site]],'Important Info!'!$A$1:$F$135,4,FALSE)</f>
        <v>-</v>
      </c>
      <c r="O118" s="52" t="str">
        <f>VLOOKUP(Tabla3[[#This Row],[Site]],'Important Info!'!$A$1:$F$135,5,FALSE)</f>
        <v>3, 16</v>
      </c>
      <c r="P118" s="52" t="str">
        <f>VLOOKUP(Tabla3[[#This Row],[Site]],'Important Info!'!$A$1:$F$135,6,FALSE)</f>
        <v>2, 5, 6</v>
      </c>
      <c r="Q118" s="91">
        <f>VLOOKUP(Tabla3[[#This Row],[Site]],'Important Info!'!$A$1:$J$135,9,FALSE)</f>
        <v>124</v>
      </c>
    </row>
    <row r="119" spans="1:17" x14ac:dyDescent="0.25">
      <c r="A119" t="str">
        <f>+Tabla3[[#This Row],[Site]]&amp;Tabla3[[#This Row],[Split]]</f>
        <v>(AS) Courtesy Kia of Brandon (NO TOURS)5</v>
      </c>
      <c r="B119">
        <v>5</v>
      </c>
      <c r="C119">
        <v>1</v>
      </c>
      <c r="D119" t="s">
        <v>62</v>
      </c>
      <c r="E119" t="s">
        <v>35</v>
      </c>
      <c r="F119" t="s">
        <v>505</v>
      </c>
      <c r="G119" t="s">
        <v>490</v>
      </c>
      <c r="H119" s="52" t="str">
        <f>VLOOKUP(Tabla3[[#This Row],[Site]],'Important Info!'!$A$1:$J$135,10,FALSE)</f>
        <v>https://tools.sig.systems/site/details/121</v>
      </c>
      <c r="I119" s="43" t="s">
        <v>181</v>
      </c>
      <c r="J119" t="s">
        <v>484</v>
      </c>
      <c r="K119" s="79" t="str">
        <f>VLOOKUP(Tabla3[[#This Row],[Site]],'Important Info!'!$A$1:$H$135,8,FALSE)</f>
        <v>-</v>
      </c>
      <c r="L119" s="52" t="str">
        <f>VLOOKUP(Tabla3[[#This Row],[Site]],'Important Info!'!$A$1:$F$135,2,FALSE)</f>
        <v>-</v>
      </c>
      <c r="M119" s="52" t="str">
        <f>VLOOKUP(Tabla3[[#This Row],[Site]],'Important Info!'!$A$1:$F$135,3,FALSE)</f>
        <v>4, 8</v>
      </c>
      <c r="N119" s="52" t="str">
        <f>VLOOKUP(Tabla3[[#This Row],[Site]],'Important Info!'!$A$1:$F$135,4,FALSE)</f>
        <v>-</v>
      </c>
      <c r="O119" s="52" t="str">
        <f>VLOOKUP(Tabla3[[#This Row],[Site]],'Important Info!'!$A$1:$F$135,5,FALSE)</f>
        <v>3, 11, 20, 24</v>
      </c>
      <c r="P119" s="52" t="str">
        <f>VLOOKUP(Tabla3[[#This Row],[Site]],'Important Info!'!$A$1:$F$135,6,FALSE)</f>
        <v>2, 8</v>
      </c>
      <c r="Q119" s="91">
        <f>VLOOKUP(Tabla3[[#This Row],[Site]],'Important Info!'!$A$1:$J$135,9,FALSE)</f>
        <v>121</v>
      </c>
    </row>
    <row r="120" spans="1:17" x14ac:dyDescent="0.25">
      <c r="A120" t="str">
        <f>+Tabla3[[#This Row],[Site]]&amp;Tabla3[[#This Row],[Split]]</f>
        <v>(AS) Lexus Smyrna (NO TOURS)5</v>
      </c>
      <c r="B120">
        <v>5</v>
      </c>
      <c r="C120">
        <v>1</v>
      </c>
      <c r="D120" t="s">
        <v>62</v>
      </c>
      <c r="E120" t="s">
        <v>35</v>
      </c>
      <c r="F120" t="s">
        <v>84</v>
      </c>
      <c r="G120" t="s">
        <v>490</v>
      </c>
      <c r="H120" s="52" t="str">
        <f>VLOOKUP(Tabla3[[#This Row],[Site]],'Important Info!'!$A$1:$J$135,10,FALSE)</f>
        <v>https://tools.sig.systems/site/details/133</v>
      </c>
      <c r="I120" s="43"/>
      <c r="J120" t="s">
        <v>41</v>
      </c>
      <c r="K120" s="79" t="str">
        <f>VLOOKUP(Tabla3[[#This Row],[Site]],'Important Info!'!$A$1:$H$135,8,FALSE)</f>
        <v>-</v>
      </c>
      <c r="L120" s="52" t="str">
        <f>VLOOKUP(Tabla3[[#This Row],[Site]],'Important Info!'!$A$1:$F$135,2,FALSE)</f>
        <v xml:space="preserve">2, 6, 10 </v>
      </c>
      <c r="M120" s="52" t="str">
        <f>VLOOKUP(Tabla3[[#This Row],[Site]],'Important Info!'!$A$1:$F$135,3,FALSE)</f>
        <v>-</v>
      </c>
      <c r="N120" s="52" t="str">
        <f>VLOOKUP(Tabla3[[#This Row],[Site]],'Important Info!'!$A$1:$F$135,4,FALSE)</f>
        <v>-</v>
      </c>
      <c r="O120" s="52" t="str">
        <f>VLOOKUP(Tabla3[[#This Row],[Site]],'Important Info!'!$A$1:$F$135,5,FALSE)</f>
        <v>3, 5, 10, 15</v>
      </c>
      <c r="P120" s="52" t="str">
        <f>VLOOKUP(Tabla3[[#This Row],[Site]],'Important Info!'!$A$1:$F$135,6,FALSE)</f>
        <v>10, 11</v>
      </c>
      <c r="Q120" s="91">
        <f>VLOOKUP(Tabla3[[#This Row],[Site]],'Important Info!'!$A$1:$J$135,9,FALSE)</f>
        <v>133</v>
      </c>
    </row>
    <row r="121" spans="1:17" x14ac:dyDescent="0.25">
      <c r="A121" t="str">
        <f>+Tabla3[[#This Row],[Site]]&amp;Tabla3[[#This Row],[Split]]</f>
        <v>(AS) Mike Shaw Subaru Greeley (NO TOURS)5</v>
      </c>
      <c r="B121">
        <v>5</v>
      </c>
      <c r="C121">
        <v>1</v>
      </c>
      <c r="D121" t="s">
        <v>44</v>
      </c>
      <c r="E121" t="s">
        <v>53</v>
      </c>
      <c r="F121" t="s">
        <v>95</v>
      </c>
      <c r="G121" t="s">
        <v>45</v>
      </c>
      <c r="H121" s="52" t="str">
        <f>VLOOKUP(Tabla3[[#This Row],[Site]],'Important Info!'!$A$1:$J$135,10,FALSE)</f>
        <v>https://tools.sig.systems/site/details/174</v>
      </c>
      <c r="I121" t="s">
        <v>153</v>
      </c>
      <c r="J121" t="s">
        <v>41</v>
      </c>
      <c r="K121" s="79" t="str">
        <f>VLOOKUP(Tabla3[[#This Row],[Site]],'Important Info!'!$A$1:$H$135,8,FALSE)</f>
        <v>-</v>
      </c>
      <c r="L121" s="52" t="str">
        <f>VLOOKUP(Tabla3[[#This Row],[Site]],'Important Info!'!$A$1:$F$135,2,FALSE)</f>
        <v>16, 17</v>
      </c>
      <c r="M121" s="52">
        <f>VLOOKUP(Tabla3[[#This Row],[Site]],'Important Info!'!$A$1:$F$135,3,FALSE)</f>
        <v>10</v>
      </c>
      <c r="N121" s="52" t="str">
        <f>VLOOKUP(Tabla3[[#This Row],[Site]],'Important Info!'!$A$1:$F$135,4,FALSE)</f>
        <v>-</v>
      </c>
      <c r="O121" s="52" t="str">
        <f>VLOOKUP(Tabla3[[#This Row],[Site]],'Important Info!'!$A$1:$F$135,5,FALSE)</f>
        <v>1, 7</v>
      </c>
      <c r="P121" s="52" t="str">
        <f>VLOOKUP(Tabla3[[#This Row],[Site]],'Important Info!'!$A$1:$F$135,6,FALSE)</f>
        <v>-</v>
      </c>
      <c r="Q121" s="91">
        <f>VLOOKUP(Tabla3[[#This Row],[Site]],'Important Info!'!$A$1:$J$135,9,FALSE)</f>
        <v>174</v>
      </c>
    </row>
    <row r="122" spans="1:17" x14ac:dyDescent="0.25">
      <c r="A122" t="str">
        <f>+Tabla3[[#This Row],[Site]]&amp;Tabla3[[#This Row],[Split]]</f>
        <v>(AS) Park Place Bodywerks Dallas (NO TOURS)5</v>
      </c>
      <c r="B122">
        <v>5</v>
      </c>
      <c r="C122">
        <v>1</v>
      </c>
      <c r="D122" t="s">
        <v>33</v>
      </c>
      <c r="E122" t="s">
        <v>46</v>
      </c>
      <c r="F122" t="s">
        <v>514</v>
      </c>
      <c r="G122" t="s">
        <v>34</v>
      </c>
      <c r="H122" s="52" t="str">
        <f>VLOOKUP(Tabla3[[#This Row],[Site]],'Important Info!'!$A$1:$J$135,10,FALSE)</f>
        <v>https://tools.sig.systems/site/details/166</v>
      </c>
      <c r="I122" s="62" t="s">
        <v>125</v>
      </c>
      <c r="J122" t="s">
        <v>41</v>
      </c>
      <c r="K122" s="79" t="str">
        <f>VLOOKUP(Tabla3[[#This Row],[Site]],'Important Info!'!$A$1:$H$135,8,FALSE)</f>
        <v>-</v>
      </c>
      <c r="L122" s="52">
        <f>VLOOKUP(Tabla3[[#This Row],[Site]],'Important Info!'!$A$1:$F$135,2,FALSE)</f>
        <v>3</v>
      </c>
      <c r="M122" s="52">
        <f>VLOOKUP(Tabla3[[#This Row],[Site]],'Important Info!'!$A$1:$F$135,3,FALSE)</f>
        <v>1</v>
      </c>
      <c r="N122" s="52" t="str">
        <f>VLOOKUP(Tabla3[[#This Row],[Site]],'Important Info!'!$A$1:$F$135,4,FALSE)</f>
        <v>-</v>
      </c>
      <c r="O122" s="52" t="str">
        <f>VLOOKUP(Tabla3[[#This Row],[Site]],'Important Info!'!$A$1:$F$135,5,FALSE)</f>
        <v>-</v>
      </c>
      <c r="P122" s="52" t="str">
        <f>VLOOKUP(Tabla3[[#This Row],[Site]],'Important Info!'!$A$1:$F$135,6,FALSE)</f>
        <v>1, 2, 8</v>
      </c>
      <c r="Q122" s="91">
        <f>VLOOKUP(Tabla3[[#This Row],[Site]],'Important Info!'!$A$1:$J$135,9,FALSE)</f>
        <v>166</v>
      </c>
    </row>
    <row r="123" spans="1:17" x14ac:dyDescent="0.25">
      <c r="A123" t="str">
        <f>+Tabla3[[#This Row],[Site]]&amp;Tabla3[[#This Row],[Split]]</f>
        <v>(AS) Park Place Bodywerks Ft. Worth (NO TOURS)5</v>
      </c>
      <c r="B123">
        <v>5</v>
      </c>
      <c r="C123">
        <v>1</v>
      </c>
      <c r="D123" t="s">
        <v>33</v>
      </c>
      <c r="E123" t="s">
        <v>46</v>
      </c>
      <c r="F123" t="s">
        <v>515</v>
      </c>
      <c r="G123" t="s">
        <v>34</v>
      </c>
      <c r="H123" s="52" t="str">
        <f>VLOOKUP(Tabla3[[#This Row],[Site]],'Important Info!'!$A$1:$J$135,10,FALSE)</f>
        <v>https://tools.sig.systems/site/details/134</v>
      </c>
      <c r="I123" s="65" t="s">
        <v>128</v>
      </c>
      <c r="J123" t="s">
        <v>41</v>
      </c>
      <c r="K123" s="79" t="str">
        <f>VLOOKUP(Tabla3[[#This Row],[Site]],'Important Info!'!$A$1:$H$135,8,FALSE)</f>
        <v>-</v>
      </c>
      <c r="L123" s="52" t="str">
        <f>VLOOKUP(Tabla3[[#This Row],[Site]],'Important Info!'!$A$1:$F$135,2,FALSE)</f>
        <v>2, 3, RemoteLot5, RemoteLot9</v>
      </c>
      <c r="M123" s="52" t="str">
        <f>VLOOKUP(Tabla3[[#This Row],[Site]],'Important Info!'!$A$1:$F$135,3,FALSE)</f>
        <v>-</v>
      </c>
      <c r="N123" s="52" t="str">
        <f>VLOOKUP(Tabla3[[#This Row],[Site]],'Important Info!'!$A$1:$F$135,4,FALSE)</f>
        <v>-</v>
      </c>
      <c r="O123" s="52" t="str">
        <f>VLOOKUP(Tabla3[[#This Row],[Site]],'Important Info!'!$A$1:$F$135,5,FALSE)</f>
        <v>1, 7, RL1, RL5, RL9</v>
      </c>
      <c r="P123" s="52" t="str">
        <f>VLOOKUP(Tabla3[[#This Row],[Site]],'Important Info!'!$A$1:$F$135,6,FALSE)</f>
        <v>3, 4, 15</v>
      </c>
      <c r="Q123" s="91">
        <f>VLOOKUP(Tabla3[[#This Row],[Site]],'Important Info!'!$A$1:$J$135,9,FALSE)</f>
        <v>134</v>
      </c>
    </row>
    <row r="124" spans="1:17" x14ac:dyDescent="0.25">
      <c r="A124" t="str">
        <f>+Tabla3[[#This Row],[Site]]&amp;Tabla3[[#This Row],[Split]]</f>
        <v>(AS) Plaza Audi/Infiniti (NO TOURS)5</v>
      </c>
      <c r="B124">
        <v>5</v>
      </c>
      <c r="C124">
        <v>1</v>
      </c>
      <c r="D124" t="s">
        <v>33</v>
      </c>
      <c r="E124" t="s">
        <v>46</v>
      </c>
      <c r="F124" t="s">
        <v>91</v>
      </c>
      <c r="G124" t="s">
        <v>34</v>
      </c>
      <c r="H124" s="52" t="str">
        <f>VLOOKUP(Tabla3[[#This Row],[Site]],'Important Info!'!$A$1:$J$135,10,FALSE)</f>
        <v>https://tools.sig.systems/site/details/141</v>
      </c>
      <c r="I124" s="2" t="s">
        <v>130</v>
      </c>
      <c r="J124" t="s">
        <v>41</v>
      </c>
      <c r="K124" s="79" t="str">
        <f>VLOOKUP(Tabla3[[#This Row],[Site]],'Important Info!'!$A$1:$H$135,8,FALSE)</f>
        <v>-</v>
      </c>
      <c r="L124" s="52" t="str">
        <f>VLOOKUP(Tabla3[[#This Row],[Site]],'Important Info!'!$A$1:$F$135,2,FALSE)</f>
        <v>7, 25</v>
      </c>
      <c r="M124" s="52" t="str">
        <f>VLOOKUP(Tabla3[[#This Row],[Site]],'Important Info!'!$A$1:$F$135,3,FALSE)</f>
        <v>15, 17, 18</v>
      </c>
      <c r="N124" s="52" t="str">
        <f>VLOOKUP(Tabla3[[#This Row],[Site]],'Important Info!'!$A$1:$F$135,4,FALSE)</f>
        <v>-</v>
      </c>
      <c r="O124" s="52" t="str">
        <f>VLOOKUP(Tabla3[[#This Row],[Site]],'Important Info!'!$A$1:$F$135,5,FALSE)</f>
        <v>1, 24</v>
      </c>
      <c r="P124" s="52" t="str">
        <f>VLOOKUP(Tabla3[[#This Row],[Site]],'Important Info!'!$A$1:$F$135,6,FALSE)</f>
        <v>3, 15, 17</v>
      </c>
      <c r="Q124" s="91">
        <f>VLOOKUP(Tabla3[[#This Row],[Site]],'Important Info!'!$A$1:$J$135,9,FALSE)</f>
        <v>141</v>
      </c>
    </row>
    <row r="125" spans="1:17" x14ac:dyDescent="0.25">
      <c r="A125" t="str">
        <f>+Tabla3[[#This Row],[Site]]&amp;Tabla3[[#This Row],[Split]]</f>
        <v>(AS) Plaza Lexus/Mercedes/BMW (NO TOURS)5</v>
      </c>
      <c r="B125">
        <v>5</v>
      </c>
      <c r="C125">
        <v>1</v>
      </c>
      <c r="D125" t="s">
        <v>33</v>
      </c>
      <c r="E125" t="s">
        <v>46</v>
      </c>
      <c r="F125" t="s">
        <v>92</v>
      </c>
      <c r="G125" t="s">
        <v>34</v>
      </c>
      <c r="H125" s="52" t="str">
        <f>VLOOKUP(Tabla3[[#This Row],[Site]],'Important Info!'!$A$1:$J$135,10,FALSE)</f>
        <v>https://tools.sig.systems/site/details/141</v>
      </c>
      <c r="I125" s="2" t="s">
        <v>130</v>
      </c>
      <c r="J125" t="s">
        <v>41</v>
      </c>
      <c r="K125" s="79" t="str">
        <f>VLOOKUP(Tabla3[[#This Row],[Site]],'Important Info!'!$A$1:$H$135,8,FALSE)</f>
        <v>-</v>
      </c>
      <c r="L125" s="52" t="str">
        <f>VLOOKUP(Tabla3[[#This Row],[Site]],'Important Info!'!$A$1:$F$135,2,FALSE)</f>
        <v>3, 4, 18</v>
      </c>
      <c r="M125" s="52" t="str">
        <f>VLOOKUP(Tabla3[[#This Row],[Site]],'Important Info!'!$A$1:$F$135,3,FALSE)</f>
        <v>9, 10, 12, 13, 16, 17</v>
      </c>
      <c r="N125" s="52" t="str">
        <f>VLOOKUP(Tabla3[[#This Row],[Site]],'Important Info!'!$A$1:$F$135,4,FALSE)</f>
        <v>-</v>
      </c>
      <c r="O125" s="52">
        <f>VLOOKUP(Tabla3[[#This Row],[Site]],'Important Info!'!$A$1:$F$135,5,FALSE)</f>
        <v>2</v>
      </c>
      <c r="P125" s="52" t="str">
        <f>VLOOKUP(Tabla3[[#This Row],[Site]],'Important Info!'!$A$1:$F$135,6,FALSE)</f>
        <v>2, 16</v>
      </c>
      <c r="Q125" s="91">
        <f>VLOOKUP(Tabla3[[#This Row],[Site]],'Important Info!'!$A$1:$J$135,9,FALSE)</f>
        <v>141</v>
      </c>
    </row>
    <row r="126" spans="1:17" x14ac:dyDescent="0.25">
      <c r="A126" t="str">
        <f>+Tabla3[[#This Row],[Site]]&amp;Tabla3[[#This Row],[Split]]</f>
        <v>(AS) Stevinson JLR (NO TOURS)5</v>
      </c>
      <c r="B126">
        <v>5</v>
      </c>
      <c r="C126">
        <v>1</v>
      </c>
      <c r="D126" t="s">
        <v>44</v>
      </c>
      <c r="E126" t="s">
        <v>53</v>
      </c>
      <c r="F126" t="s">
        <v>93</v>
      </c>
      <c r="G126" t="s">
        <v>45</v>
      </c>
      <c r="H126" s="52" t="str">
        <f>VLOOKUP(Tabla3[[#This Row],[Site]],'Important Info!'!$A$1:$J$135,10,FALSE)</f>
        <v>https://tools.sig.systems/site/details/204</v>
      </c>
      <c r="J126" t="s">
        <v>41</v>
      </c>
      <c r="K126" s="79" t="str">
        <f>VLOOKUP(Tabla3[[#This Row],[Site]],'Important Info!'!$A$1:$H$135,8,FALSE)</f>
        <v>-</v>
      </c>
      <c r="L126" s="52">
        <f>VLOOKUP(Tabla3[[#This Row],[Site]],'Important Info!'!$A$1:$F$135,2,FALSE)</f>
        <v>5</v>
      </c>
      <c r="M126" s="52">
        <f>VLOOKUP(Tabla3[[#This Row],[Site]],'Important Info!'!$A$1:$F$135,3,FALSE)</f>
        <v>4</v>
      </c>
      <c r="N126" s="52" t="str">
        <f>VLOOKUP(Tabla3[[#This Row],[Site]],'Important Info!'!$A$1:$F$135,4,FALSE)</f>
        <v>-</v>
      </c>
      <c r="O126" s="52">
        <f>VLOOKUP(Tabla3[[#This Row],[Site]],'Important Info!'!$A$1:$F$135,5,FALSE)</f>
        <v>3</v>
      </c>
      <c r="P126" s="52" t="str">
        <f>VLOOKUP(Tabla3[[#This Row],[Site]],'Important Info!'!$A$1:$F$135,6,FALSE)</f>
        <v>1, 4, 15, 16</v>
      </c>
      <c r="Q126" s="91">
        <f>VLOOKUP(Tabla3[[#This Row],[Site]],'Important Info!'!$A$1:$J$135,9,FALSE)</f>
        <v>204</v>
      </c>
    </row>
    <row r="127" spans="1:17" x14ac:dyDescent="0.25">
      <c r="A127" t="str">
        <f>+Tabla3[[#This Row],[Site]]&amp;Tabla3[[#This Row],[Split]]</f>
        <v>(DT) Denver (NO TOURS)5</v>
      </c>
      <c r="B127">
        <v>5</v>
      </c>
      <c r="C127">
        <v>1</v>
      </c>
      <c r="D127" t="s">
        <v>44</v>
      </c>
      <c r="E127" t="s">
        <v>53</v>
      </c>
      <c r="F127" t="s">
        <v>157</v>
      </c>
      <c r="G127" t="s">
        <v>45</v>
      </c>
      <c r="H127" s="52" t="str">
        <f>VLOOKUP(Tabla3[[#This Row],[Site]],'Important Info!'!$A$1:$J$135,10,FALSE)</f>
        <v>https://tools.sig.systems/site/details/203</v>
      </c>
      <c r="I127" s="43" t="s">
        <v>158</v>
      </c>
      <c r="J127" t="s">
        <v>41</v>
      </c>
      <c r="K127" s="79" t="str">
        <f>VLOOKUP(Tabla3[[#This Row],[Site]],'Important Info!'!$A$1:$H$135,8,FALSE)</f>
        <v>-</v>
      </c>
      <c r="L127" s="52" t="str">
        <f>VLOOKUP(Tabla3[[#This Row],[Site]],'Important Info!'!$A$1:$F$135,2,FALSE)</f>
        <v>-</v>
      </c>
      <c r="M127" s="52" t="str">
        <f>VLOOKUP(Tabla3[[#This Row],[Site]],'Important Info!'!$A$1:$F$135,3,FALSE)</f>
        <v>7, 8</v>
      </c>
      <c r="N127" s="52" t="str">
        <f>VLOOKUP(Tabla3[[#This Row],[Site]],'Important Info!'!$A$1:$F$135,4,FALSE)</f>
        <v>-</v>
      </c>
      <c r="O127" s="52" t="str">
        <f>VLOOKUP(Tabla3[[#This Row],[Site]],'Important Info!'!$A$1:$F$135,5,FALSE)</f>
        <v>-</v>
      </c>
      <c r="P127" s="52" t="str">
        <f>VLOOKUP(Tabla3[[#This Row],[Site]],'Important Info!'!$A$1:$F$135,6,FALSE)</f>
        <v>7, 8</v>
      </c>
      <c r="Q127" s="91">
        <f>VLOOKUP(Tabla3[[#This Row],[Site]],'Important Info!'!$A$1:$J$135,9,FALSE)</f>
        <v>203</v>
      </c>
    </row>
    <row r="128" spans="1:17" x14ac:dyDescent="0.25">
      <c r="A128" t="str">
        <f>+Tabla3[[#This Row],[Site]]&amp;Tabla3[[#This Row],[Split]]</f>
        <v>(DT) N. Houston5</v>
      </c>
      <c r="B128">
        <v>5</v>
      </c>
      <c r="C128">
        <v>1</v>
      </c>
      <c r="D128" t="s">
        <v>33</v>
      </c>
      <c r="E128" t="s">
        <v>46</v>
      </c>
      <c r="F128" t="s">
        <v>68</v>
      </c>
      <c r="G128" t="s">
        <v>34</v>
      </c>
      <c r="H128" s="52" t="str">
        <f>VLOOKUP(Tabla3[[#This Row],[Site]],'Important Info!'!$A$1:$J$135,10,FALSE)</f>
        <v>https://tools.sig.systems/site/details/250</v>
      </c>
      <c r="I128" s="43"/>
      <c r="J128" t="s">
        <v>41</v>
      </c>
      <c r="K128" s="79" t="str">
        <f>VLOOKUP(Tabla3[[#This Row],[Site]],'Important Info!'!$A$1:$H$135,8,FALSE)</f>
        <v>-</v>
      </c>
      <c r="L128" s="52" t="str">
        <f>VLOOKUP(Tabla3[[#This Row],[Site]],'Important Info!'!$A$1:$F$135,2,FALSE)</f>
        <v>2, 10, 18</v>
      </c>
      <c r="M128" s="52" t="str">
        <f>VLOOKUP(Tabla3[[#This Row],[Site]],'Important Info!'!$A$1:$F$135,3,FALSE)</f>
        <v>-</v>
      </c>
      <c r="N128" s="52" t="str">
        <f>VLOOKUP(Tabla3[[#This Row],[Site]],'Important Info!'!$A$1:$F$135,4,FALSE)</f>
        <v>-</v>
      </c>
      <c r="O128" s="52">
        <f>VLOOKUP(Tabla3[[#This Row],[Site]],'Important Info!'!$A$1:$F$135,5,FALSE)</f>
        <v>15</v>
      </c>
      <c r="P128" s="52" t="str">
        <f>VLOOKUP(Tabla3[[#This Row],[Site]],'Important Info!'!$A$1:$F$135,6,FALSE)</f>
        <v>2, 4, 18</v>
      </c>
      <c r="Q128" s="91">
        <f>VLOOKUP(Tabla3[[#This Row],[Site]],'Important Info!'!$A$1:$J$135,9,FALSE)</f>
        <v>250</v>
      </c>
    </row>
    <row r="129" spans="1:17" x14ac:dyDescent="0.25">
      <c r="A129" t="str">
        <f>+Tabla3[[#This Row],[Site]]&amp;Tabla3[[#This Row],[Split]]</f>
        <v>(HUD) Honda Greensboro5</v>
      </c>
      <c r="B129">
        <v>5</v>
      </c>
      <c r="C129">
        <v>1</v>
      </c>
      <c r="D129" t="s">
        <v>62</v>
      </c>
      <c r="E129" t="s">
        <v>35</v>
      </c>
      <c r="F129" t="s">
        <v>85</v>
      </c>
      <c r="G129" t="s">
        <v>490</v>
      </c>
      <c r="H129" s="52" t="str">
        <f>VLOOKUP(Tabla3[[#This Row],[Site]],'Important Info!'!$A$1:$J$135,10,FALSE)</f>
        <v>https://tools.sig.systems/site/details/230</v>
      </c>
      <c r="I129" s="2" t="s">
        <v>186</v>
      </c>
      <c r="J129" t="s">
        <v>41</v>
      </c>
      <c r="K129" s="79" t="str">
        <f>VLOOKUP(Tabla3[[#This Row],[Site]],'Important Info!'!$A$1:$H$135,8,FALSE)</f>
        <v>-</v>
      </c>
      <c r="L129" s="52" t="str">
        <f>VLOOKUP(Tabla3[[#This Row],[Site]],'Important Info!'!$A$1:$F$135,2,FALSE)</f>
        <v>1, 3,  15, 16, 22</v>
      </c>
      <c r="M129" s="52" t="str">
        <f>VLOOKUP(Tabla3[[#This Row],[Site]],'Important Info!'!$A$1:$F$135,3,FALSE)</f>
        <v>-</v>
      </c>
      <c r="N129" s="52" t="str">
        <f>VLOOKUP(Tabla3[[#This Row],[Site]],'Important Info!'!$A$1:$F$135,4,FALSE)</f>
        <v>-</v>
      </c>
      <c r="O129" s="52" t="str">
        <f>VLOOKUP(Tabla3[[#This Row],[Site]],'Important Info!'!$A$1:$F$135,5,FALSE)</f>
        <v>3, 20</v>
      </c>
      <c r="P129" s="52">
        <f>VLOOKUP(Tabla3[[#This Row],[Site]],'Important Info!'!$A$1:$F$135,6,FALSE)</f>
        <v>26</v>
      </c>
      <c r="Q129" s="91">
        <f>VLOOKUP(Tabla3[[#This Row],[Site]],'Important Info!'!$A$1:$J$135,9,FALSE)</f>
        <v>230</v>
      </c>
    </row>
    <row r="130" spans="1:17" x14ac:dyDescent="0.25">
      <c r="A130" t="str">
        <f>+Tabla3[[#This Row],[Site]]&amp;Tabla3[[#This Row],[Split]]</f>
        <v>(HUD) Honda of Southpoint5</v>
      </c>
      <c r="B130">
        <v>5</v>
      </c>
      <c r="C130">
        <v>1</v>
      </c>
      <c r="D130" t="s">
        <v>62</v>
      </c>
      <c r="E130" t="s">
        <v>35</v>
      </c>
      <c r="F130" t="s">
        <v>65</v>
      </c>
      <c r="G130" t="s">
        <v>490</v>
      </c>
      <c r="H130" s="52" t="str">
        <f>VLOOKUP(Tabla3[[#This Row],[Site]],'Important Info!'!$A$1:$J$135,10,FALSE)</f>
        <v>https://tools.sig.systems/site/details/195</v>
      </c>
      <c r="I130" s="2"/>
      <c r="J130" t="s">
        <v>484</v>
      </c>
      <c r="K130" s="79" t="str">
        <f>VLOOKUP(Tabla3[[#This Row],[Site]],'Important Info!'!$A$1:$H$135,8,FALSE)</f>
        <v>-</v>
      </c>
      <c r="L130" s="52" t="str">
        <f>VLOOKUP(Tabla3[[#This Row],[Site]],'Important Info!'!$A$1:$F$135,2,FALSE)</f>
        <v>2, 12, 18</v>
      </c>
      <c r="M130" s="52">
        <f>VLOOKUP(Tabla3[[#This Row],[Site]],'Important Info!'!$A$1:$F$135,3,FALSE)</f>
        <v>13</v>
      </c>
      <c r="N130" s="52" t="str">
        <f>VLOOKUP(Tabla3[[#This Row],[Site]],'Important Info!'!$A$1:$F$135,4,FALSE)</f>
        <v>-</v>
      </c>
      <c r="O130" s="52" t="str">
        <f>VLOOKUP(Tabla3[[#This Row],[Site]],'Important Info!'!$A$1:$F$135,5,FALSE)</f>
        <v>2, 15</v>
      </c>
      <c r="P130" s="52" t="str">
        <f>VLOOKUP(Tabla3[[#This Row],[Site]],'Important Info!'!$A$1:$F$135,6,FALSE)</f>
        <v>-</v>
      </c>
      <c r="Q130" s="91">
        <f>VLOOKUP(Tabla3[[#This Row],[Site]],'Important Info!'!$A$1:$J$135,9,FALSE)</f>
        <v>195</v>
      </c>
    </row>
    <row r="131" spans="1:17" x14ac:dyDescent="0.25">
      <c r="A131" t="str">
        <f>+Tabla3[[#This Row],[Site]]&amp;Tabla3[[#This Row],[Split]]</f>
        <v>(KG) Clear Lake Pre-Owned5</v>
      </c>
      <c r="B131">
        <v>5</v>
      </c>
      <c r="C131">
        <v>1</v>
      </c>
      <c r="D131" t="s">
        <v>33</v>
      </c>
      <c r="E131" t="s">
        <v>46</v>
      </c>
      <c r="F131" t="s">
        <v>87</v>
      </c>
      <c r="G131" t="s">
        <v>34</v>
      </c>
      <c r="H131" s="52" t="str">
        <f>VLOOKUP(Tabla3[[#This Row],[Site]],'Important Info!'!$A$1:$J$135,10,FALSE)</f>
        <v>https://tools.sig.systems/site/details/255</v>
      </c>
      <c r="I131" s="43" t="s">
        <v>134</v>
      </c>
      <c r="J131" t="s">
        <v>41</v>
      </c>
      <c r="K131" s="79" t="str">
        <f>VLOOKUP(Tabla3[[#This Row],[Site]],'Important Info!'!$A$1:$H$135,8,FALSE)</f>
        <v>-</v>
      </c>
      <c r="L131" s="52" t="str">
        <f>VLOOKUP(Tabla3[[#This Row],[Site]],'Important Info!'!$A$1:$F$135,2,FALSE)</f>
        <v>3, 5</v>
      </c>
      <c r="M131" s="52" t="str">
        <f>VLOOKUP(Tabla3[[#This Row],[Site]],'Important Info!'!$A$1:$F$135,3,FALSE)</f>
        <v>-</v>
      </c>
      <c r="N131" s="52" t="str">
        <f>VLOOKUP(Tabla3[[#This Row],[Site]],'Important Info!'!$A$1:$F$135,4,FALSE)</f>
        <v>-</v>
      </c>
      <c r="O131" s="52" t="str">
        <f>VLOOKUP(Tabla3[[#This Row],[Site]],'Important Info!'!$A$1:$F$135,5,FALSE)</f>
        <v>4, 10, 22</v>
      </c>
      <c r="P131" s="52" t="str">
        <f>VLOOKUP(Tabla3[[#This Row],[Site]],'Important Info!'!$A$1:$F$135,6,FALSE)</f>
        <v>8, 15, 20</v>
      </c>
      <c r="Q131" s="91">
        <f>VLOOKUP(Tabla3[[#This Row],[Site]],'Important Info!'!$A$1:$J$135,9,FALSE)</f>
        <v>255</v>
      </c>
    </row>
    <row r="132" spans="1:17" x14ac:dyDescent="0.25">
      <c r="A132" t="str">
        <f>+Tabla3[[#This Row],[Site]]&amp;Tabla3[[#This Row],[Split]]</f>
        <v>(KG) Kia of Phoenix (NO TOURS)5</v>
      </c>
      <c r="B132">
        <v>5</v>
      </c>
      <c r="C132">
        <v>1</v>
      </c>
      <c r="D132" t="s">
        <v>51</v>
      </c>
      <c r="E132" t="s">
        <v>161</v>
      </c>
      <c r="F132" t="s">
        <v>94</v>
      </c>
      <c r="G132" t="s">
        <v>52</v>
      </c>
      <c r="H132" s="52" t="str">
        <f>VLOOKUP(Tabla3[[#This Row],[Site]],'Important Info!'!$A$1:$J$135,10,FALSE)</f>
        <v>https://tools.sig.systems/site/details/262</v>
      </c>
      <c r="J132" t="s">
        <v>162</v>
      </c>
      <c r="K132" s="79" t="str">
        <f>VLOOKUP(Tabla3[[#This Row],[Site]],'Important Info!'!$A$1:$H$135,8,FALSE)</f>
        <v>-</v>
      </c>
      <c r="L132" s="52" t="str">
        <f>VLOOKUP(Tabla3[[#This Row],[Site]],'Important Info!'!$A$1:$F$135,2,FALSE)</f>
        <v>5, 8, 23</v>
      </c>
      <c r="M132" s="52" t="str">
        <f>VLOOKUP(Tabla3[[#This Row],[Site]],'Important Info!'!$A$1:$F$135,3,FALSE)</f>
        <v>-</v>
      </c>
      <c r="N132" s="52" t="str">
        <f>VLOOKUP(Tabla3[[#This Row],[Site]],'Important Info!'!$A$1:$F$135,4,FALSE)</f>
        <v>-</v>
      </c>
      <c r="O132" s="52">
        <f>VLOOKUP(Tabla3[[#This Row],[Site]],'Important Info!'!$A$1:$F$135,5,FALSE)</f>
        <v>4</v>
      </c>
      <c r="P132" s="52" t="str">
        <f>VLOOKUP(Tabla3[[#This Row],[Site]],'Important Info!'!$A$1:$F$135,6,FALSE)</f>
        <v>-</v>
      </c>
      <c r="Q132" s="91">
        <f>VLOOKUP(Tabla3[[#This Row],[Site]],'Important Info!'!$A$1:$J$135,9,FALSE)</f>
        <v>262</v>
      </c>
    </row>
    <row r="133" spans="1:17" x14ac:dyDescent="0.25">
      <c r="A133" t="str">
        <f>+Tabla3[[#This Row],[Site]]&amp;Tabla3[[#This Row],[Split]]</f>
        <v>(KG) Truck Center Remote Storage Lot5</v>
      </c>
      <c r="B133">
        <v>5</v>
      </c>
      <c r="C133">
        <v>1</v>
      </c>
      <c r="D133" t="s">
        <v>60</v>
      </c>
      <c r="E133" t="s">
        <v>53</v>
      </c>
      <c r="F133" t="s">
        <v>61</v>
      </c>
      <c r="G133" t="s">
        <v>41</v>
      </c>
      <c r="H133" s="52" t="str">
        <f>VLOOKUP(Tabla3[[#This Row],[Site]],'Important Info!'!$A$1:$J$135,10,FALSE)</f>
        <v>https://tools.sig.systems/site/details/144</v>
      </c>
      <c r="J133" t="s">
        <v>41</v>
      </c>
      <c r="K133" s="79" t="str">
        <f>VLOOKUP(Tabla3[[#This Row],[Site]],'Important Info!'!$A$1:$H$135,8,FALSE)</f>
        <v>-</v>
      </c>
      <c r="L133" s="52" t="str">
        <f>VLOOKUP(Tabla3[[#This Row],[Site]],'Important Info!'!$A$1:$F$135,2,FALSE)</f>
        <v>4, A23, A49</v>
      </c>
      <c r="M133" s="52" t="str">
        <f>VLOOKUP(Tabla3[[#This Row],[Site]],'Important Info!'!$A$1:$F$135,3,FALSE)</f>
        <v>5, 24</v>
      </c>
      <c r="N133" s="52" t="str">
        <f>VLOOKUP(Tabla3[[#This Row],[Site]],'Important Info!'!$A$1:$F$135,4,FALSE)</f>
        <v>-</v>
      </c>
      <c r="O133" s="52" t="str">
        <f>VLOOKUP(Tabla3[[#This Row],[Site]],'Important Info!'!$A$1:$F$135,5,FALSE)</f>
        <v>1, 7, 11, 15, 19, 24, 25</v>
      </c>
      <c r="P133" s="52" t="str">
        <f>VLOOKUP(Tabla3[[#This Row],[Site]],'Important Info!'!$A$1:$F$135,6,FALSE)</f>
        <v>9, 20, 24, A49</v>
      </c>
      <c r="Q133" s="91">
        <f>VLOOKUP(Tabla3[[#This Row],[Site]],'Important Info!'!$A$1:$J$135,9,FALSE)</f>
        <v>144</v>
      </c>
    </row>
    <row r="134" spans="1:17" x14ac:dyDescent="0.25">
      <c r="A134" t="str">
        <f>+Tabla3[[#This Row],[Site]]&amp;Tabla3[[#This Row],[Split]]</f>
        <v>(KT) Northwest CDJR (NO TOURS)5</v>
      </c>
      <c r="B134">
        <v>5</v>
      </c>
      <c r="C134">
        <v>1</v>
      </c>
      <c r="D134" t="s">
        <v>33</v>
      </c>
      <c r="E134" t="s">
        <v>46</v>
      </c>
      <c r="F134" t="s">
        <v>77</v>
      </c>
      <c r="G134" t="s">
        <v>34</v>
      </c>
      <c r="H134" s="52" t="str">
        <f>VLOOKUP(Tabla3[[#This Row],[Site]],'Important Info!'!$A$1:$J$135,10,FALSE)</f>
        <v>https://tools.sig.systems/site/details/229</v>
      </c>
      <c r="J134" t="s">
        <v>41</v>
      </c>
      <c r="K134" s="79" t="str">
        <f>VLOOKUP(Tabla3[[#This Row],[Site]],'Important Info!'!$A$1:$H$135,8,FALSE)</f>
        <v>-</v>
      </c>
      <c r="L134" s="52" t="str">
        <f>VLOOKUP(Tabla3[[#This Row],[Site]],'Important Info!'!$A$1:$F$135,2,FALSE)</f>
        <v>1, 3, 11, 25</v>
      </c>
      <c r="M134" s="52" t="str">
        <f>VLOOKUP(Tabla3[[#This Row],[Site]],'Important Info!'!$A$1:$F$135,3,FALSE)</f>
        <v>-</v>
      </c>
      <c r="N134" s="52" t="str">
        <f>VLOOKUP(Tabla3[[#This Row],[Site]],'Important Info!'!$A$1:$F$135,4,FALSE)</f>
        <v>-</v>
      </c>
      <c r="O134" s="52" t="str">
        <f>VLOOKUP(Tabla3[[#This Row],[Site]],'Important Info!'!$A$1:$F$135,5,FALSE)</f>
        <v>4, 12, 18</v>
      </c>
      <c r="P134" s="52" t="str">
        <f>VLOOKUP(Tabla3[[#This Row],[Site]],'Important Info!'!$A$1:$F$135,6,FALSE)</f>
        <v>-</v>
      </c>
      <c r="Q134" s="91">
        <f>VLOOKUP(Tabla3[[#This Row],[Site]],'Important Info!'!$A$1:$J$135,9,FALSE)</f>
        <v>229</v>
      </c>
    </row>
    <row r="135" spans="1:17" x14ac:dyDescent="0.25">
      <c r="A135" t="str">
        <f>+Tabla3[[#This Row],[Site]]&amp;Tabla3[[#This Row],[Split]]</f>
        <v>(ML) Joe Machens Capital City I &amp; II (NO TOURS)5</v>
      </c>
      <c r="B135">
        <v>5</v>
      </c>
      <c r="C135">
        <v>1</v>
      </c>
      <c r="D135" t="s">
        <v>33</v>
      </c>
      <c r="E135" t="s">
        <v>46</v>
      </c>
      <c r="F135" t="s">
        <v>72</v>
      </c>
      <c r="G135" t="s">
        <v>34</v>
      </c>
      <c r="H135" s="52" t="str">
        <f>VLOOKUP(Tabla3[[#This Row],[Site]],'Important Info!'!$A$1:$J$135,10,FALSE)</f>
        <v>https://tools.sig.systems/site/details/271</v>
      </c>
      <c r="J135" t="s">
        <v>41</v>
      </c>
      <c r="K135" s="79" t="str">
        <f>VLOOKUP(Tabla3[[#This Row],[Site]],'Important Info!'!$A$1:$H$135,8,FALSE)</f>
        <v>-</v>
      </c>
      <c r="L135" s="52" t="str">
        <f>VLOOKUP(Tabla3[[#This Row],[Site]],'Important Info!'!$A$1:$F$135,2,FALSE)</f>
        <v>-</v>
      </c>
      <c r="M135" s="52" t="str">
        <f>VLOOKUP(Tabla3[[#This Row],[Site]],'Important Info!'!$A$1:$F$135,3,FALSE)</f>
        <v>1, 3, 4, 20, 25, 27, 28</v>
      </c>
      <c r="N135" s="52" t="str">
        <f>VLOOKUP(Tabla3[[#This Row],[Site]],'Important Info!'!$A$1:$F$135,4,FALSE)</f>
        <v>-</v>
      </c>
      <c r="O135" s="52">
        <f>VLOOKUP(Tabla3[[#This Row],[Site]],'Important Info!'!$A$1:$F$135,5,FALSE)</f>
        <v>29</v>
      </c>
      <c r="P135" s="52" t="str">
        <f>VLOOKUP(Tabla3[[#This Row],[Site]],'Important Info!'!$A$1:$F$135,6,FALSE)</f>
        <v>19, 20</v>
      </c>
      <c r="Q135" s="91">
        <f>VLOOKUP(Tabla3[[#This Row],[Site]],'Important Info!'!$A$1:$J$135,9,FALSE)</f>
        <v>271</v>
      </c>
    </row>
    <row r="136" spans="1:17" x14ac:dyDescent="0.25">
      <c r="A136" t="str">
        <f>+Tabla3[[#This Row],[Site]]&amp;Tabla3[[#This Row],[Split]]</f>
        <v>(ML) Joe Machens CDJR5</v>
      </c>
      <c r="B136">
        <v>5</v>
      </c>
      <c r="C136">
        <v>1</v>
      </c>
      <c r="D136" t="s">
        <v>33</v>
      </c>
      <c r="E136" t="s">
        <v>46</v>
      </c>
      <c r="F136" t="s">
        <v>88</v>
      </c>
      <c r="G136" t="s">
        <v>34</v>
      </c>
      <c r="H136" s="52" t="str">
        <f>VLOOKUP(Tabla3[[#This Row],[Site]],'Important Info!'!$A$1:$J$135,10,FALSE)</f>
        <v>https://tools.sig.systems/site/details/273</v>
      </c>
      <c r="I136" s="2" t="s">
        <v>146</v>
      </c>
      <c r="J136" t="s">
        <v>41</v>
      </c>
      <c r="K136" s="79" t="str">
        <f>VLOOKUP(Tabla3[[#This Row],[Site]],'Important Info!'!$A$1:$H$135,8,FALSE)</f>
        <v>-</v>
      </c>
      <c r="L136" s="52" t="str">
        <f>VLOOKUP(Tabla3[[#This Row],[Site]],'Important Info!'!$A$1:$F$135,2,FALSE)</f>
        <v>-</v>
      </c>
      <c r="M136" s="52">
        <f>VLOOKUP(Tabla3[[#This Row],[Site]],'Important Info!'!$A$1:$F$135,3,FALSE)</f>
        <v>3</v>
      </c>
      <c r="N136" s="52" t="str">
        <f>VLOOKUP(Tabla3[[#This Row],[Site]],'Important Info!'!$A$1:$F$135,4,FALSE)</f>
        <v>-</v>
      </c>
      <c r="O136" s="52" t="str">
        <f>VLOOKUP(Tabla3[[#This Row],[Site]],'Important Info!'!$A$1:$F$135,5,FALSE)</f>
        <v>-</v>
      </c>
      <c r="P136" s="52" t="str">
        <f>VLOOKUP(Tabla3[[#This Row],[Site]],'Important Info!'!$A$1:$F$135,6,FALSE)</f>
        <v>1, 2, 3,</v>
      </c>
      <c r="Q136" s="91">
        <f>VLOOKUP(Tabla3[[#This Row],[Site]],'Important Info!'!$A$1:$J$135,9,FALSE)</f>
        <v>273</v>
      </c>
    </row>
    <row r="137" spans="1:17" x14ac:dyDescent="0.25">
      <c r="A137" t="str">
        <f>+Tabla3[[#This Row],[Site]]&amp;Tabla3[[#This Row],[Split]]</f>
        <v>(ML) McLarty Gray-Daniels Ford Lincoln5</v>
      </c>
      <c r="B137">
        <v>5</v>
      </c>
      <c r="C137">
        <v>1</v>
      </c>
      <c r="D137" t="s">
        <v>33</v>
      </c>
      <c r="E137" t="s">
        <v>46</v>
      </c>
      <c r="F137" t="s">
        <v>89</v>
      </c>
      <c r="G137" t="s">
        <v>34</v>
      </c>
      <c r="H137" s="52" t="str">
        <f>VLOOKUP(Tabla3[[#This Row],[Site]],'Important Info!'!$A$1:$J$135,10,FALSE)</f>
        <v>https://tools.sig.systems/site/details/151</v>
      </c>
      <c r="I137" s="2" t="s">
        <v>150</v>
      </c>
      <c r="J137" t="s">
        <v>41</v>
      </c>
      <c r="K137" s="79" t="str">
        <f>VLOOKUP(Tabla3[[#This Row],[Site]],'Important Info!'!$A$1:$H$135,8,FALSE)</f>
        <v>-</v>
      </c>
      <c r="L137" s="52">
        <f>VLOOKUP(Tabla3[[#This Row],[Site]],'Important Info!'!$A$1:$F$135,2,FALSE)</f>
        <v>16</v>
      </c>
      <c r="M137" s="52" t="str">
        <f>VLOOKUP(Tabla3[[#This Row],[Site]],'Important Info!'!$A$1:$F$135,3,FALSE)</f>
        <v>5, 10, 36, 38, 54, 58B</v>
      </c>
      <c r="N137" s="52" t="str">
        <f>VLOOKUP(Tabla3[[#This Row],[Site]],'Important Info!'!$A$1:$F$135,4,FALSE)</f>
        <v>-</v>
      </c>
      <c r="O137" s="52" t="str">
        <f>VLOOKUP(Tabla3[[#This Row],[Site]],'Important Info!'!$A$1:$F$135,5,FALSE)</f>
        <v>5, 17, 37</v>
      </c>
      <c r="P137" s="52" t="str">
        <f>VLOOKUP(Tabla3[[#This Row],[Site]],'Important Info!'!$A$1:$F$135,6,FALSE)</f>
        <v>1, 2, 3, 4</v>
      </c>
      <c r="Q137" s="91">
        <f>VLOOKUP(Tabla3[[#This Row],[Site]],'Important Info!'!$A$1:$J$135,9,FALSE)</f>
        <v>151</v>
      </c>
    </row>
    <row r="138" spans="1:17" x14ac:dyDescent="0.25">
      <c r="A138" t="str">
        <f>+Tabla3[[#This Row],[Site]]&amp;Tabla3[[#This Row],[Split]]</f>
        <v>(ML) McLarty Gray-Daniels Toyota Nissan5</v>
      </c>
      <c r="B138">
        <v>5</v>
      </c>
      <c r="C138">
        <v>1</v>
      </c>
      <c r="D138" t="s">
        <v>33</v>
      </c>
      <c r="E138" t="s">
        <v>46</v>
      </c>
      <c r="F138" t="s">
        <v>90</v>
      </c>
      <c r="G138" t="s">
        <v>34</v>
      </c>
      <c r="H138" s="52" t="str">
        <f>VLOOKUP(Tabla3[[#This Row],[Site]],'Important Info!'!$A$1:$J$135,10,FALSE)</f>
        <v>https://tools.sig.systems/site/details/152</v>
      </c>
      <c r="I138" s="43" t="s">
        <v>150</v>
      </c>
      <c r="J138" t="s">
        <v>41</v>
      </c>
      <c r="K138" s="79" t="str">
        <f>VLOOKUP(Tabla3[[#This Row],[Site]],'Important Info!'!$A$1:$H$135,8,FALSE)</f>
        <v>-</v>
      </c>
      <c r="L138" s="52" t="str">
        <f>VLOOKUP(Tabla3[[#This Row],[Site]],'Important Info!'!$A$1:$F$135,2,FALSE)</f>
        <v>-</v>
      </c>
      <c r="M138" s="52" t="str">
        <f>VLOOKUP(Tabla3[[#This Row],[Site]],'Important Info!'!$A$1:$F$135,3,FALSE)</f>
        <v>8, 11, 39, 43</v>
      </c>
      <c r="N138" s="52" t="str">
        <f>VLOOKUP(Tabla3[[#This Row],[Site]],'Important Info!'!$A$1:$F$135,4,FALSE)</f>
        <v>-</v>
      </c>
      <c r="O138" s="52" t="str">
        <f>VLOOKUP(Tabla3[[#This Row],[Site]],'Important Info!'!$A$1:$F$135,5,FALSE)</f>
        <v>6, 11, 15, 18</v>
      </c>
      <c r="P138" s="52" t="str">
        <f>VLOOKUP(Tabla3[[#This Row],[Site]],'Important Info!'!$A$1:$F$135,6,FALSE)</f>
        <v>7, 8, 9</v>
      </c>
      <c r="Q138" s="91">
        <f>VLOOKUP(Tabla3[[#This Row],[Site]],'Important Info!'!$A$1:$J$135,9,FALSE)</f>
        <v>152</v>
      </c>
    </row>
    <row r="139" spans="1:17" x14ac:dyDescent="0.25">
      <c r="A139" t="str">
        <f>+Tabla3[[#This Row],[Site]]&amp;Tabla3[[#This Row],[Split]]</f>
        <v>(PE) Scofield Service Center (NO TOURS)5</v>
      </c>
      <c r="B139">
        <v>5</v>
      </c>
      <c r="C139">
        <v>1</v>
      </c>
      <c r="D139" t="s">
        <v>485</v>
      </c>
      <c r="E139" t="s">
        <v>35</v>
      </c>
      <c r="F139" t="s">
        <v>83</v>
      </c>
      <c r="G139" t="s">
        <v>490</v>
      </c>
      <c r="H139" s="52" t="str">
        <f>VLOOKUP(Tabla3[[#This Row],[Site]],'Important Info!'!$A$1:$J$135,10,FALSE)</f>
        <v>https://tools.sig.systems/site/details/193</v>
      </c>
      <c r="I139" t="s">
        <v>177</v>
      </c>
      <c r="J139" t="s">
        <v>41</v>
      </c>
      <c r="K139" s="79" t="str">
        <f>VLOOKUP(Tabla3[[#This Row],[Site]],'Important Info!'!$A$1:$H$135,8,FALSE)</f>
        <v>-</v>
      </c>
      <c r="L139" s="52">
        <f>VLOOKUP(Tabla3[[#This Row],[Site]],'Important Info!'!$A$1:$F$135,2,FALSE)</f>
        <v>1</v>
      </c>
      <c r="M139" s="52" t="str">
        <f>VLOOKUP(Tabla3[[#This Row],[Site]],'Important Info!'!$A$1:$F$135,3,FALSE)</f>
        <v>-</v>
      </c>
      <c r="N139" s="52" t="str">
        <f>VLOOKUP(Tabla3[[#This Row],[Site]],'Important Info!'!$A$1:$F$135,4,FALSE)</f>
        <v>-</v>
      </c>
      <c r="O139" s="52">
        <f>VLOOKUP(Tabla3[[#This Row],[Site]],'Important Info!'!$A$1:$F$135,5,FALSE)</f>
        <v>9</v>
      </c>
      <c r="P139" s="52" t="str">
        <f>VLOOKUP(Tabla3[[#This Row],[Site]],'Important Info!'!$A$1:$F$135,6,FALSE)</f>
        <v>1, 17</v>
      </c>
      <c r="Q139" s="91">
        <f>VLOOKUP(Tabla3[[#This Row],[Site]],'Important Info!'!$A$1:$J$135,9,FALSE)</f>
        <v>193</v>
      </c>
    </row>
    <row r="140" spans="1:17" x14ac:dyDescent="0.25">
      <c r="A140" t="str">
        <f>+Tabla3[[#This Row],[Site]]&amp;Tabla3[[#This Row],[Split]]</f>
        <v>(RV) Toms Camperland Avondale (NO TOURS)5</v>
      </c>
      <c r="B140">
        <v>5</v>
      </c>
      <c r="C140">
        <v>1</v>
      </c>
      <c r="D140" t="s">
        <v>51</v>
      </c>
      <c r="E140" t="s">
        <v>161</v>
      </c>
      <c r="F140" t="s">
        <v>80</v>
      </c>
      <c r="G140" t="s">
        <v>52</v>
      </c>
      <c r="H140" s="52" t="str">
        <f>VLOOKUP(Tabla3[[#This Row],[Site]],'Important Info!'!$A$1:$J$135,10,FALSE)</f>
        <v>https://tools.sig.systems/site/details/248</v>
      </c>
      <c r="I140" s="2" t="s">
        <v>163</v>
      </c>
      <c r="J140" t="s">
        <v>164</v>
      </c>
      <c r="K140" s="79" t="str">
        <f>VLOOKUP(Tabla3[[#This Row],[Site]],'Important Info!'!$A$1:$H$135,8,FALSE)</f>
        <v>-</v>
      </c>
      <c r="L140" s="52">
        <f>VLOOKUP(Tabla3[[#This Row],[Site]],'Important Info!'!$A$1:$F$135,2,FALSE)</f>
        <v>10</v>
      </c>
      <c r="M140" s="52" t="str">
        <f>VLOOKUP(Tabla3[[#This Row],[Site]],'Important Info!'!$A$1:$F$135,3,FALSE)</f>
        <v>2, 7</v>
      </c>
      <c r="N140" s="52" t="str">
        <f>VLOOKUP(Tabla3[[#This Row],[Site]],'Important Info!'!$A$1:$F$135,4,FALSE)</f>
        <v>-</v>
      </c>
      <c r="O140" s="52" t="str">
        <f>VLOOKUP(Tabla3[[#This Row],[Site]],'Important Info!'!$A$1:$F$135,5,FALSE)</f>
        <v>-</v>
      </c>
      <c r="P140" s="52" t="str">
        <f>VLOOKUP(Tabla3[[#This Row],[Site]],'Important Info!'!$A$1:$F$135,6,FALSE)</f>
        <v>2, 7, 8, 13, 15</v>
      </c>
      <c r="Q140" s="91">
        <f>VLOOKUP(Tabla3[[#This Row],[Site]],'Important Info!'!$A$1:$J$135,9,FALSE)</f>
        <v>248</v>
      </c>
    </row>
    <row r="141" spans="1:17" x14ac:dyDescent="0.25">
      <c r="A141" t="str">
        <f>+Tabla3[[#This Row],[Site]]&amp;Tabla3[[#This Row],[Split]]</f>
        <v>(AS) Bill Estes Ford (NO TOURS)5</v>
      </c>
      <c r="B141">
        <v>5</v>
      </c>
      <c r="C141">
        <v>2</v>
      </c>
      <c r="D141" t="s">
        <v>62</v>
      </c>
      <c r="E141" t="s">
        <v>35</v>
      </c>
      <c r="F141" t="s">
        <v>178</v>
      </c>
      <c r="G141" t="s">
        <v>490</v>
      </c>
      <c r="H141" s="52" t="str">
        <f>VLOOKUP(Tabla3[[#This Row],[Site]],'Important Info!'!$A$1:$J$135,10,FALSE)</f>
        <v>https://tools.sig.systems/site/details/125</v>
      </c>
      <c r="J141" t="s">
        <v>41</v>
      </c>
      <c r="K141" s="79" t="str">
        <f>VLOOKUP(Tabla3[[#This Row],[Site]],'Important Info!'!$A$1:$H$135,8,FALSE)</f>
        <v>-</v>
      </c>
      <c r="L141" s="52" t="str">
        <f>VLOOKUP(Tabla3[[#This Row],[Site]],'Important Info!'!$A$1:$F$135,2,FALSE)</f>
        <v>-</v>
      </c>
      <c r="M141" s="52" t="str">
        <f>VLOOKUP(Tabla3[[#This Row],[Site]],'Important Info!'!$A$1:$F$135,3,FALSE)</f>
        <v>2, 3, 13, 16</v>
      </c>
      <c r="N141" s="52" t="str">
        <f>VLOOKUP(Tabla3[[#This Row],[Site]],'Important Info!'!$A$1:$F$135,4,FALSE)</f>
        <v>-</v>
      </c>
      <c r="O141" s="52" t="str">
        <f>VLOOKUP(Tabla3[[#This Row],[Site]],'Important Info!'!$A$1:$F$135,5,FALSE)</f>
        <v>1, 10, 14, 19</v>
      </c>
      <c r="P141" s="52" t="str">
        <f>VLOOKUP(Tabla3[[#This Row],[Site]],'Important Info!'!$A$1:$F$135,6,FALSE)</f>
        <v>7, 8, 9, 10, 11, 12, 14</v>
      </c>
      <c r="Q141" s="91">
        <f>VLOOKUP(Tabla3[[#This Row],[Site]],'Important Info!'!$A$1:$J$135,9,FALSE)</f>
        <v>125</v>
      </c>
    </row>
    <row r="142" spans="1:17" x14ac:dyDescent="0.25">
      <c r="A142" t="str">
        <f>+Tabla3[[#This Row],[Site]]&amp;Tabla3[[#This Row],[Split]]</f>
        <v>(AS) Courtesy Hyundai/Nissan Tampa (NO TOURS)5</v>
      </c>
      <c r="B142">
        <v>5</v>
      </c>
      <c r="C142">
        <v>2</v>
      </c>
      <c r="D142" t="s">
        <v>62</v>
      </c>
      <c r="E142" t="s">
        <v>35</v>
      </c>
      <c r="F142" t="s">
        <v>504</v>
      </c>
      <c r="G142" t="s">
        <v>490</v>
      </c>
      <c r="H142" s="52" t="str">
        <f>VLOOKUP(Tabla3[[#This Row],[Site]],'Important Info!'!$A$1:$J$135,10,FALSE)</f>
        <v>https://tools.sig.systems/site/details/128</v>
      </c>
      <c r="J142" t="s">
        <v>484</v>
      </c>
      <c r="K142" s="79" t="str">
        <f>VLOOKUP(Tabla3[[#This Row],[Site]],'Important Info!'!$A$1:$H$135,8,FALSE)</f>
        <v>-</v>
      </c>
      <c r="L142" s="52" t="str">
        <f>VLOOKUP(Tabla3[[#This Row],[Site]],'Important Info!'!$A$1:$F$135,2,FALSE)</f>
        <v>1, 16, 25, 27, 32</v>
      </c>
      <c r="M142" s="52" t="str">
        <f>VLOOKUP(Tabla3[[#This Row],[Site]],'Important Info!'!$A$1:$F$135,3,FALSE)</f>
        <v>-</v>
      </c>
      <c r="N142" s="52" t="str">
        <f>VLOOKUP(Tabla3[[#This Row],[Site]],'Important Info!'!$A$1:$F$135,4,FALSE)</f>
        <v>-</v>
      </c>
      <c r="O142" s="52" t="str">
        <f>VLOOKUP(Tabla3[[#This Row],[Site]],'Important Info!'!$A$1:$F$135,5,FALSE)</f>
        <v>4, 10, 16</v>
      </c>
      <c r="P142" s="52" t="str">
        <f>VLOOKUP(Tabla3[[#This Row],[Site]],'Important Info!'!$A$1:$F$135,6,FALSE)</f>
        <v>24, 25, 26 &amp; Remote Lots</v>
      </c>
      <c r="Q142" s="91">
        <f>VLOOKUP(Tabla3[[#This Row],[Site]],'Important Info!'!$A$1:$J$135,9,FALSE)</f>
        <v>128</v>
      </c>
    </row>
    <row r="143" spans="1:17" x14ac:dyDescent="0.25">
      <c r="A143" t="str">
        <f>+Tabla3[[#This Row],[Site]]&amp;Tabla3[[#This Row],[Split]]</f>
        <v>(AS) Nalley BMW Collision Center (NO TOURS)5</v>
      </c>
      <c r="B143">
        <v>5</v>
      </c>
      <c r="C143">
        <v>2</v>
      </c>
      <c r="D143" t="s">
        <v>62</v>
      </c>
      <c r="E143" t="s">
        <v>35</v>
      </c>
      <c r="F143" t="s">
        <v>510</v>
      </c>
      <c r="G143" t="s">
        <v>490</v>
      </c>
      <c r="H143" s="52" t="str">
        <f>VLOOKUP(Tabla3[[#This Row],[Site]],'Important Info!'!$A$1:$J$135,10,FALSE)</f>
        <v>https://tools.sig.systems/site/details/220</v>
      </c>
      <c r="I143" s="2"/>
      <c r="J143" t="s">
        <v>41</v>
      </c>
      <c r="K143" s="79" t="str">
        <f>VLOOKUP(Tabla3[[#This Row],[Site]],'Important Info!'!$A$1:$H$135,8,FALSE)</f>
        <v>-</v>
      </c>
      <c r="L143" s="52" t="str">
        <f>VLOOKUP(Tabla3[[#This Row],[Site]],'Important Info!'!$A$1:$F$135,2,FALSE)</f>
        <v>-</v>
      </c>
      <c r="M143" s="52">
        <f>VLOOKUP(Tabla3[[#This Row],[Site]],'Important Info!'!$A$1:$F$135,3,FALSE)</f>
        <v>4</v>
      </c>
      <c r="N143" s="52" t="str">
        <f>VLOOKUP(Tabla3[[#This Row],[Site]],'Important Info!'!$A$1:$F$135,4,FALSE)</f>
        <v>-</v>
      </c>
      <c r="O143" s="52">
        <f>VLOOKUP(Tabla3[[#This Row],[Site]],'Important Info!'!$A$1:$F$135,5,FALSE)</f>
        <v>12</v>
      </c>
      <c r="P143" s="52" t="str">
        <f>VLOOKUP(Tabla3[[#This Row],[Site]],'Important Info!'!$A$1:$F$135,6,FALSE)</f>
        <v>13, 15</v>
      </c>
      <c r="Q143" s="91">
        <f>VLOOKUP(Tabla3[[#This Row],[Site]],'Important Info!'!$A$1:$J$135,9,FALSE)</f>
        <v>220</v>
      </c>
    </row>
    <row r="144" spans="1:17" x14ac:dyDescent="0.25">
      <c r="A144" t="str">
        <f>+Tabla3[[#This Row],[Site]]&amp;Tabla3[[#This Row],[Split]]</f>
        <v>(AS) Park Place Acura (NO TOURS)5</v>
      </c>
      <c r="B144">
        <v>5</v>
      </c>
      <c r="C144">
        <v>2</v>
      </c>
      <c r="D144" t="s">
        <v>33</v>
      </c>
      <c r="E144" t="s">
        <v>46</v>
      </c>
      <c r="F144" t="s">
        <v>513</v>
      </c>
      <c r="G144" t="s">
        <v>34</v>
      </c>
      <c r="H144" s="52" t="str">
        <f>VLOOKUP(Tabla3[[#This Row],[Site]],'Important Info!'!$A$1:$J$135,10,FALSE)</f>
        <v>https://tools.sig.systems/site/details/259</v>
      </c>
      <c r="I144" s="63" t="s">
        <v>127</v>
      </c>
      <c r="J144" t="s">
        <v>41</v>
      </c>
      <c r="K144" s="79" t="str">
        <f>VLOOKUP(Tabla3[[#This Row],[Site]],'Important Info!'!$A$1:$H$135,8,FALSE)</f>
        <v>-</v>
      </c>
      <c r="L144" s="52" t="str">
        <f>VLOOKUP(Tabla3[[#This Row],[Site]],'Important Info!'!$A$1:$F$135,2,FALSE)</f>
        <v>1, 2, 14, 16</v>
      </c>
      <c r="M144" s="52" t="str">
        <f>VLOOKUP(Tabla3[[#This Row],[Site]],'Important Info!'!$A$1:$F$135,3,FALSE)</f>
        <v>-</v>
      </c>
      <c r="N144" s="52" t="str">
        <f>VLOOKUP(Tabla3[[#This Row],[Site]],'Important Info!'!$A$1:$F$135,4,FALSE)</f>
        <v>-</v>
      </c>
      <c r="O144" s="52" t="str">
        <f>VLOOKUP(Tabla3[[#This Row],[Site]],'Important Info!'!$A$1:$F$135,5,FALSE)</f>
        <v>1, 7, 13</v>
      </c>
      <c r="P144" s="52" t="str">
        <f>VLOOKUP(Tabla3[[#This Row],[Site]],'Important Info!'!$A$1:$F$135,6,FALSE)</f>
        <v>-</v>
      </c>
      <c r="Q144" s="91">
        <f>VLOOKUP(Tabla3[[#This Row],[Site]],'Important Info!'!$A$1:$J$135,9,FALSE)</f>
        <v>259</v>
      </c>
    </row>
    <row r="145" spans="1:17" x14ac:dyDescent="0.25">
      <c r="A145" t="str">
        <f>+Tabla3[[#This Row],[Site]]&amp;Tabla3[[#This Row],[Split]]</f>
        <v>(AS) Park Place JLR DFW Airport (NO TOURS)5</v>
      </c>
      <c r="B145">
        <v>5</v>
      </c>
      <c r="C145">
        <v>2</v>
      </c>
      <c r="D145" t="s">
        <v>33</v>
      </c>
      <c r="E145" t="s">
        <v>46</v>
      </c>
      <c r="F145" t="s">
        <v>516</v>
      </c>
      <c r="G145" t="s">
        <v>34</v>
      </c>
      <c r="H145" s="52" t="str">
        <f>VLOOKUP(Tabla3[[#This Row],[Site]],'Important Info!'!$A$1:$J$135,10,FALSE)</f>
        <v>https://tools.sig.systems/site/details/135</v>
      </c>
      <c r="I145" s="43"/>
      <c r="J145" t="s">
        <v>41</v>
      </c>
      <c r="K145" s="79" t="str">
        <f>VLOOKUP(Tabla3[[#This Row],[Site]],'Important Info!'!$A$1:$H$135,8,FALSE)</f>
        <v>-</v>
      </c>
      <c r="L145" s="52" t="str">
        <f>VLOOKUP(Tabla3[[#This Row],[Site]],'Important Info!'!$A$1:$F$135,2,FALSE)</f>
        <v>6, 7, 18</v>
      </c>
      <c r="M145" s="52" t="str">
        <f>VLOOKUP(Tabla3[[#This Row],[Site]],'Important Info!'!$A$1:$F$135,3,FALSE)</f>
        <v>70, 79, 80</v>
      </c>
      <c r="N145" s="52" t="str">
        <f>VLOOKUP(Tabla3[[#This Row],[Site]],'Important Info!'!$A$1:$F$135,4,FALSE)</f>
        <v>83, 84</v>
      </c>
      <c r="O145" s="52" t="str">
        <f>VLOOKUP(Tabla3[[#This Row],[Site]],'Important Info!'!$A$1:$F$135,5,FALSE)</f>
        <v>3, 8, 14, 81</v>
      </c>
      <c r="P145" s="52">
        <f>VLOOKUP(Tabla3[[#This Row],[Site]],'Important Info!'!$A$1:$F$135,6,FALSE)</f>
        <v>6</v>
      </c>
      <c r="Q145" s="91">
        <f>VLOOKUP(Tabla3[[#This Row],[Site]],'Important Info!'!$A$1:$J$135,9,FALSE)</f>
        <v>135</v>
      </c>
    </row>
    <row r="146" spans="1:17" x14ac:dyDescent="0.25">
      <c r="A146" t="str">
        <f>+Tabla3[[#This Row],[Site]]&amp;Tabla3[[#This Row],[Split]]</f>
        <v>(AS) Plano Auction (NO SPEAKERS)5</v>
      </c>
      <c r="B146">
        <v>5</v>
      </c>
      <c r="C146">
        <v>2</v>
      </c>
      <c r="D146" t="s">
        <v>33</v>
      </c>
      <c r="E146" t="s">
        <v>46</v>
      </c>
      <c r="F146" t="s">
        <v>129</v>
      </c>
      <c r="G146" t="s">
        <v>34</v>
      </c>
      <c r="H146" s="52" t="str">
        <f>VLOOKUP(Tabla3[[#This Row],[Site]],'Important Info!'!$A$1:$J$135,10,FALSE)</f>
        <v>https://tools.sig.systems/site/details/140</v>
      </c>
      <c r="J146" t="s">
        <v>41</v>
      </c>
      <c r="K146" s="79" t="str">
        <f>VLOOKUP(Tabla3[[#This Row],[Site]],'Important Info!'!$A$1:$H$135,8,FALSE)</f>
        <v>-</v>
      </c>
      <c r="L146" s="52" t="str">
        <f>VLOOKUP(Tabla3[[#This Row],[Site]],'Important Info!'!$A$1:$F$135,2,FALSE)</f>
        <v>-</v>
      </c>
      <c r="M146" s="52" t="str">
        <f>VLOOKUP(Tabla3[[#This Row],[Site]],'Important Info!'!$A$1:$F$135,3,FALSE)</f>
        <v>3, 4, 19</v>
      </c>
      <c r="N146" s="52" t="str">
        <f>VLOOKUP(Tabla3[[#This Row],[Site]],'Important Info!'!$A$1:$F$135,4,FALSE)</f>
        <v>-</v>
      </c>
      <c r="O146" s="52" t="str">
        <f>VLOOKUP(Tabla3[[#This Row],[Site]],'Important Info!'!$A$1:$F$135,5,FALSE)</f>
        <v>5, 19</v>
      </c>
      <c r="P146" s="52">
        <f>VLOOKUP(Tabla3[[#This Row],[Site]],'Important Info!'!$A$1:$F$135,6,FALSE)</f>
        <v>21</v>
      </c>
      <c r="Q146" s="91">
        <f>VLOOKUP(Tabla3[[#This Row],[Site]],'Important Info!'!$A$1:$J$135,9,FALSE)</f>
        <v>140</v>
      </c>
    </row>
    <row r="147" spans="1:17" x14ac:dyDescent="0.25">
      <c r="A147" t="str">
        <f>+Tabla3[[#This Row],[Site]]&amp;Tabla3[[#This Row],[Split]]</f>
        <v>(AS) Stevinson Lexus of Lakewood (NO TOURS)5</v>
      </c>
      <c r="B147">
        <v>5</v>
      </c>
      <c r="C147">
        <v>2</v>
      </c>
      <c r="D147" t="s">
        <v>44</v>
      </c>
      <c r="E147" t="s">
        <v>53</v>
      </c>
      <c r="F147" t="s">
        <v>523</v>
      </c>
      <c r="G147" t="s">
        <v>45</v>
      </c>
      <c r="H147" s="52" t="str">
        <f>VLOOKUP(Tabla3[[#This Row],[Site]],'Important Info!'!$A$1:$J$135,10,FALSE)</f>
        <v>https://tools.sig.systems/site/details/260</v>
      </c>
      <c r="I147" s="2" t="s">
        <v>154</v>
      </c>
      <c r="J147" t="s">
        <v>41</v>
      </c>
      <c r="K147" s="79" t="str">
        <f>VLOOKUP(Tabla3[[#This Row],[Site]],'Important Info!'!$A$1:$H$135,8,FALSE)</f>
        <v>-</v>
      </c>
      <c r="L147" s="52" t="str">
        <f>VLOOKUP(Tabla3[[#This Row],[Site]],'Important Info!'!$A$1:$F$135,2,FALSE)</f>
        <v>-</v>
      </c>
      <c r="M147" s="52" t="str">
        <f>VLOOKUP(Tabla3[[#This Row],[Site]],'Important Info!'!$A$1:$F$135,3,FALSE)</f>
        <v>2, 10</v>
      </c>
      <c r="N147" s="52" t="str">
        <f>VLOOKUP(Tabla3[[#This Row],[Site]],'Important Info!'!$A$1:$F$135,4,FALSE)</f>
        <v>9, 17</v>
      </c>
      <c r="O147" s="52" t="str">
        <f>VLOOKUP(Tabla3[[#This Row],[Site]],'Important Info!'!$A$1:$F$135,5,FALSE)</f>
        <v>-</v>
      </c>
      <c r="P147" s="52" t="str">
        <f>VLOOKUP(Tabla3[[#This Row],[Site]],'Important Info!'!$A$1:$F$135,6,FALSE)</f>
        <v>1, 2</v>
      </c>
      <c r="Q147" s="91">
        <f>VLOOKUP(Tabla3[[#This Row],[Site]],'Important Info!'!$A$1:$J$135,9,FALSE)</f>
        <v>260</v>
      </c>
    </row>
    <row r="148" spans="1:17" x14ac:dyDescent="0.25">
      <c r="A148" t="str">
        <f>+Tabla3[[#This Row],[Site]]&amp;Tabla3[[#This Row],[Split]]</f>
        <v>(HUD) CDJR of Greensboro5</v>
      </c>
      <c r="B148">
        <v>5</v>
      </c>
      <c r="C148">
        <v>2</v>
      </c>
      <c r="D148" t="s">
        <v>62</v>
      </c>
      <c r="E148" t="s">
        <v>35</v>
      </c>
      <c r="F148" t="s">
        <v>185</v>
      </c>
      <c r="G148" t="s">
        <v>490</v>
      </c>
      <c r="H148" s="52" t="str">
        <f>VLOOKUP(Tabla3[[#This Row],[Site]],'Important Info!'!$A$1:$J$135,10,FALSE)</f>
        <v>https://tools.sig.systems/site/details/215</v>
      </c>
      <c r="I148" t="s">
        <v>184</v>
      </c>
      <c r="J148" t="s">
        <v>36</v>
      </c>
      <c r="K148" s="79" t="str">
        <f>VLOOKUP(Tabla3[[#This Row],[Site]],'Important Info!'!$A$1:$H$135,8,FALSE)</f>
        <v>-</v>
      </c>
      <c r="L148" s="52" t="str">
        <f>VLOOKUP(Tabla3[[#This Row],[Site]],'Important Info!'!$A$1:$F$135,2,FALSE)</f>
        <v>2, 12</v>
      </c>
      <c r="M148" s="52" t="str">
        <f>VLOOKUP(Tabla3[[#This Row],[Site]],'Important Info!'!$A$1:$F$135,3,FALSE)</f>
        <v>-</v>
      </c>
      <c r="N148" s="52" t="str">
        <f>VLOOKUP(Tabla3[[#This Row],[Site]],'Important Info!'!$A$1:$F$135,4,FALSE)</f>
        <v>-</v>
      </c>
      <c r="O148" s="52" t="str">
        <f>VLOOKUP(Tabla3[[#This Row],[Site]],'Important Info!'!$A$1:$F$135,5,FALSE)</f>
        <v>3, 13</v>
      </c>
      <c r="P148" s="52" t="str">
        <f>VLOOKUP(Tabla3[[#This Row],[Site]],'Important Info!'!$A$1:$F$135,6,FALSE)</f>
        <v>1, 17</v>
      </c>
      <c r="Q148" s="91">
        <f>VLOOKUP(Tabla3[[#This Row],[Site]],'Important Info!'!$A$1:$J$135,9,FALSE)</f>
        <v>215</v>
      </c>
    </row>
    <row r="149" spans="1:17" x14ac:dyDescent="0.25">
      <c r="A149" t="str">
        <f>+Tabla3[[#This Row],[Site]]&amp;Tabla3[[#This Row],[Split]]</f>
        <v>(HUD) Nissan Greensboro5</v>
      </c>
      <c r="B149">
        <v>5</v>
      </c>
      <c r="C149">
        <v>2</v>
      </c>
      <c r="D149" t="s">
        <v>62</v>
      </c>
      <c r="E149" t="s">
        <v>35</v>
      </c>
      <c r="F149" t="s">
        <v>66</v>
      </c>
      <c r="G149" t="s">
        <v>490</v>
      </c>
      <c r="H149" s="52" t="str">
        <f>VLOOKUP(Tabla3[[#This Row],[Site]],'Important Info!'!$A$1:$J$135,10,FALSE)</f>
        <v>https://tools.sig.systems/site/details/236</v>
      </c>
      <c r="I149" s="2" t="s">
        <v>184</v>
      </c>
      <c r="J149" t="s">
        <v>41</v>
      </c>
      <c r="K149" s="79" t="str">
        <f>VLOOKUP(Tabla3[[#This Row],[Site]],'Important Info!'!$A$1:$H$135,8,FALSE)</f>
        <v>-</v>
      </c>
      <c r="L149" s="52" t="str">
        <f>VLOOKUP(Tabla3[[#This Row],[Site]],'Important Info!'!$A$1:$F$135,2,FALSE)</f>
        <v>1, 5, 12</v>
      </c>
      <c r="M149" s="52" t="str">
        <f>VLOOKUP(Tabla3[[#This Row],[Site]],'Important Info!'!$A$1:$F$135,3,FALSE)</f>
        <v>-</v>
      </c>
      <c r="N149" s="52" t="str">
        <f>VLOOKUP(Tabla3[[#This Row],[Site]],'Important Info!'!$A$1:$F$135,4,FALSE)</f>
        <v>-</v>
      </c>
      <c r="O149" s="52" t="str">
        <f>VLOOKUP(Tabla3[[#This Row],[Site]],'Important Info!'!$A$1:$F$135,5,FALSE)</f>
        <v>-</v>
      </c>
      <c r="P149" s="52">
        <f>VLOOKUP(Tabla3[[#This Row],[Site]],'Important Info!'!$A$1:$F$135,6,FALSE)</f>
        <v>4</v>
      </c>
      <c r="Q149" s="91">
        <f>VLOOKUP(Tabla3[[#This Row],[Site]],'Important Info!'!$A$1:$J$135,9,FALSE)</f>
        <v>236</v>
      </c>
    </row>
    <row r="150" spans="1:17" x14ac:dyDescent="0.25">
      <c r="A150" t="str">
        <f>+Tabla3[[#This Row],[Site]]&amp;Tabla3[[#This Row],[Split]]</f>
        <v>(KG) Baytown GMC Buick - Remote Lot (NO TOURS)5</v>
      </c>
      <c r="B150">
        <v>5</v>
      </c>
      <c r="C150">
        <v>2</v>
      </c>
      <c r="D150" t="s">
        <v>60</v>
      </c>
      <c r="E150" t="s">
        <v>46</v>
      </c>
      <c r="F150" t="s">
        <v>167</v>
      </c>
      <c r="G150" t="s">
        <v>41</v>
      </c>
      <c r="H150" s="52" t="str">
        <f>VLOOKUP(Tabla3[[#This Row],[Site]],'Important Info!'!$A$1:$J$135,10,FALSE)</f>
        <v>https://tools.sig.systems/site/details/311</v>
      </c>
      <c r="I150" s="2"/>
      <c r="J150" t="s">
        <v>41</v>
      </c>
      <c r="K150" s="79" t="s">
        <v>168</v>
      </c>
      <c r="L150" s="52" t="str">
        <f>VLOOKUP(Tabla3[[#This Row],[Site]],'Important Info!'!$A$1:$F$135,2,FALSE)</f>
        <v>-</v>
      </c>
      <c r="M150" s="52" t="str">
        <f>VLOOKUP(Tabla3[[#This Row],[Site]],'Important Info!'!$A$1:$F$135,3,FALSE)</f>
        <v>7, 8</v>
      </c>
      <c r="N150" s="52" t="str">
        <f>VLOOKUP(Tabla3[[#This Row],[Site]],'Important Info!'!$A$1:$F$135,4,FALSE)</f>
        <v>-</v>
      </c>
      <c r="O150" s="52" t="str">
        <f>VLOOKUP(Tabla3[[#This Row],[Site]],'Important Info!'!$A$1:$F$135,5,FALSE)</f>
        <v>-</v>
      </c>
      <c r="P150" s="52" t="str">
        <f>VLOOKUP(Tabla3[[#This Row],[Site]],'Important Info!'!$A$1:$F$135,6,FALSE)</f>
        <v>-</v>
      </c>
      <c r="Q150" s="91">
        <f>VLOOKUP(Tabla3[[#This Row],[Site]],'Important Info!'!$A$1:$J$135,9,FALSE)</f>
        <v>311</v>
      </c>
    </row>
    <row r="151" spans="1:17" x14ac:dyDescent="0.25">
      <c r="A151" t="str">
        <f>+Tabla3[[#This Row],[Site]]&amp;Tabla3[[#This Row],[Split]]</f>
        <v>(KG) Big Star Honda5</v>
      </c>
      <c r="B151">
        <v>5</v>
      </c>
      <c r="C151">
        <v>2</v>
      </c>
      <c r="D151" t="s">
        <v>33</v>
      </c>
      <c r="E151" t="s">
        <v>46</v>
      </c>
      <c r="F151" t="s">
        <v>136</v>
      </c>
      <c r="G151" t="s">
        <v>34</v>
      </c>
      <c r="H151" s="52" t="str">
        <f>VLOOKUP(Tabla3[[#This Row],[Site]],'Important Info!'!$A$1:$J$135,10,FALSE)</f>
        <v>https://tools.sig.systems/site/details/231</v>
      </c>
      <c r="I151" s="43"/>
      <c r="J151" t="s">
        <v>41</v>
      </c>
      <c r="K151" s="79" t="str">
        <f>VLOOKUP(Tabla3[[#This Row],[Site]],'Important Info!'!$A$1:$H$135,8,FALSE)</f>
        <v>-</v>
      </c>
      <c r="L151" s="52" t="str">
        <f>VLOOKUP(Tabla3[[#This Row],[Site]],'Important Info!'!$A$1:$F$135,2,FALSE)</f>
        <v>2, 17, 33</v>
      </c>
      <c r="M151" s="52" t="str">
        <f>VLOOKUP(Tabla3[[#This Row],[Site]],'Important Info!'!$A$1:$F$135,3,FALSE)</f>
        <v>-</v>
      </c>
      <c r="N151" s="52" t="str">
        <f>VLOOKUP(Tabla3[[#This Row],[Site]],'Important Info!'!$A$1:$F$135,4,FALSE)</f>
        <v>-</v>
      </c>
      <c r="O151" s="52" t="str">
        <f>VLOOKUP(Tabla3[[#This Row],[Site]],'Important Info!'!$A$1:$F$135,5,FALSE)</f>
        <v>3, 11, 16, 21, 24, 31, 34</v>
      </c>
      <c r="P151" s="52" t="str">
        <f>VLOOKUP(Tabla3[[#This Row],[Site]],'Important Info!'!$A$1:$F$135,6,FALSE)</f>
        <v xml:space="preserve">2, 3, 17, 22, 37, 41, 42 </v>
      </c>
      <c r="Q151" s="91">
        <f>VLOOKUP(Tabla3[[#This Row],[Site]],'Important Info!'!$A$1:$J$135,9,FALSE)</f>
        <v>231</v>
      </c>
    </row>
    <row r="152" spans="1:17" x14ac:dyDescent="0.25">
      <c r="A152" t="str">
        <f>+Tabla3[[#This Row],[Site]]&amp;Tabla3[[#This Row],[Split]]</f>
        <v>(KG) JLR LEHI (NO TOURS)5</v>
      </c>
      <c r="B152">
        <v>5</v>
      </c>
      <c r="C152">
        <v>2</v>
      </c>
      <c r="D152" t="s">
        <v>44</v>
      </c>
      <c r="E152" t="s">
        <v>53</v>
      </c>
      <c r="F152" t="s">
        <v>8</v>
      </c>
      <c r="G152" t="s">
        <v>45</v>
      </c>
      <c r="H152" s="52" t="str">
        <f>VLOOKUP(Tabla3[[#This Row],[Site]],'Important Info!'!$A$1:$J$135,10,FALSE)</f>
        <v>https://tools.sig.systems/site/details/145</v>
      </c>
      <c r="I152" s="2"/>
      <c r="J152" t="s">
        <v>41</v>
      </c>
      <c r="K152" s="79" t="str">
        <f>VLOOKUP(Tabla3[[#This Row],[Site]],'Important Info!'!$A$1:$H$135,8,FALSE)</f>
        <v>-</v>
      </c>
      <c r="L152" s="52" t="str">
        <f>VLOOKUP(Tabla3[[#This Row],[Site]],'Important Info!'!$A$1:$F$135,2,FALSE)</f>
        <v>1, 11</v>
      </c>
      <c r="M152" s="52" t="str">
        <f>VLOOKUP(Tabla3[[#This Row],[Site]],'Important Info!'!$A$1:$F$135,3,FALSE)</f>
        <v>-</v>
      </c>
      <c r="N152" s="52" t="str">
        <f>VLOOKUP(Tabla3[[#This Row],[Site]],'Important Info!'!$A$1:$F$135,4,FALSE)</f>
        <v>-</v>
      </c>
      <c r="O152" s="52" t="str">
        <f>VLOOKUP(Tabla3[[#This Row],[Site]],'Important Info!'!$A$1:$F$135,5,FALSE)</f>
        <v>1, 7, 11</v>
      </c>
      <c r="P152" s="52" t="str">
        <f>VLOOKUP(Tabla3[[#This Row],[Site]],'Important Info!'!$A$1:$F$135,6,FALSE)</f>
        <v>-</v>
      </c>
      <c r="Q152" s="91">
        <f>VLOOKUP(Tabla3[[#This Row],[Site]],'Important Info!'!$A$1:$J$135,9,FALSE)</f>
        <v>145</v>
      </c>
    </row>
    <row r="153" spans="1:17" x14ac:dyDescent="0.25">
      <c r="A153" t="str">
        <f>+Tabla3[[#This Row],[Site]]&amp;Tabla3[[#This Row],[Split]]</f>
        <v>(KG) Texan CDJR5</v>
      </c>
      <c r="B153">
        <v>5</v>
      </c>
      <c r="C153">
        <v>2</v>
      </c>
      <c r="D153" t="s">
        <v>33</v>
      </c>
      <c r="E153" t="s">
        <v>46</v>
      </c>
      <c r="F153" t="s">
        <v>70</v>
      </c>
      <c r="G153" t="s">
        <v>34</v>
      </c>
      <c r="H153" s="52" t="str">
        <f>VLOOKUP(Tabla3[[#This Row],[Site]],'Important Info!'!$A$1:$J$135,10,FALSE)</f>
        <v>https://tools.sig.systems/site/details/238</v>
      </c>
      <c r="I153" s="2" t="s">
        <v>137</v>
      </c>
      <c r="J153" t="s">
        <v>41</v>
      </c>
      <c r="K153" s="79" t="str">
        <f>VLOOKUP(Tabla3[[#This Row],[Site]],'Important Info!'!$A$1:$H$135,8,FALSE)</f>
        <v>-</v>
      </c>
      <c r="L153" s="52" t="str">
        <f>VLOOKUP(Tabla3[[#This Row],[Site]],'Important Info!'!$A$1:$F$135,2,FALSE)</f>
        <v>11, 12, 13, 14, 20, 32, 34, 36, 77</v>
      </c>
      <c r="M153" s="52" t="str">
        <f>VLOOKUP(Tabla3[[#This Row],[Site]],'Important Info!'!$A$1:$F$135,3,FALSE)</f>
        <v>-</v>
      </c>
      <c r="N153" s="52" t="str">
        <f>VLOOKUP(Tabla3[[#This Row],[Site]],'Important Info!'!$A$1:$F$135,4,FALSE)</f>
        <v>67, 68, 69, 70</v>
      </c>
      <c r="O153" s="52" t="str">
        <f>VLOOKUP(Tabla3[[#This Row],[Site]],'Important Info!'!$A$1:$F$135,5,FALSE)</f>
        <v>2, 10, 14, 25, 29, 35, 38</v>
      </c>
      <c r="P153" s="52" t="str">
        <f>VLOOKUP(Tabla3[[#This Row],[Site]],'Important Info!'!$A$1:$F$135,6,FALSE)</f>
        <v>36, 46</v>
      </c>
      <c r="Q153" s="91">
        <f>VLOOKUP(Tabla3[[#This Row],[Site]],'Important Info!'!$A$1:$J$135,9,FALSE)</f>
        <v>238</v>
      </c>
    </row>
    <row r="154" spans="1:17" x14ac:dyDescent="0.25">
      <c r="A154" t="str">
        <f>+Tabla3[[#This Row],[Site]]&amp;Tabla3[[#This Row],[Split]]</f>
        <v>(ML) Honda of Little Rock5</v>
      </c>
      <c r="B154">
        <v>5</v>
      </c>
      <c r="C154">
        <v>2</v>
      </c>
      <c r="D154" t="s">
        <v>33</v>
      </c>
      <c r="E154" t="s">
        <v>46</v>
      </c>
      <c r="F154" t="s">
        <v>71</v>
      </c>
      <c r="G154" t="s">
        <v>34</v>
      </c>
      <c r="H154" s="52" t="str">
        <f>VLOOKUP(Tabla3[[#This Row],[Site]],'Important Info!'!$A$1:$J$135,10,FALSE)</f>
        <v>https://tools.sig.systems/site/details/249</v>
      </c>
      <c r="I154" t="s">
        <v>140</v>
      </c>
      <c r="J154" t="s">
        <v>41</v>
      </c>
      <c r="K154" s="79" t="str">
        <f>VLOOKUP(Tabla3[[#This Row],[Site]],'Important Info!'!$A$1:$H$135,8,FALSE)</f>
        <v>-</v>
      </c>
      <c r="L154" s="52" t="str">
        <f>VLOOKUP(Tabla3[[#This Row],[Site]],'Important Info!'!$A$1:$F$135,2,FALSE)</f>
        <v>1, 4, 9, 14, 21</v>
      </c>
      <c r="M154" s="52" t="str">
        <f>VLOOKUP(Tabla3[[#This Row],[Site]],'Important Info!'!$A$1:$F$135,3,FALSE)</f>
        <v>-</v>
      </c>
      <c r="N154" s="52" t="str">
        <f>VLOOKUP(Tabla3[[#This Row],[Site]],'Important Info!'!$A$1:$F$135,4,FALSE)</f>
        <v>-</v>
      </c>
      <c r="O154" s="52" t="str">
        <f>VLOOKUP(Tabla3[[#This Row],[Site]],'Important Info!'!$A$1:$F$135,5,FALSE)</f>
        <v>4, 14, 21</v>
      </c>
      <c r="P154" s="52" t="str">
        <f>VLOOKUP(Tabla3[[#This Row],[Site]],'Important Info!'!$A$1:$F$135,6,FALSE)</f>
        <v>11, 12</v>
      </c>
      <c r="Q154" s="91">
        <f>VLOOKUP(Tabla3[[#This Row],[Site]],'Important Info!'!$A$1:$J$135,9,FALSE)</f>
        <v>249</v>
      </c>
    </row>
    <row r="155" spans="1:17" x14ac:dyDescent="0.25">
      <c r="A155" t="str">
        <f>+Tabla3[[#This Row],[Site]]&amp;Tabla3[[#This Row],[Split]]</f>
        <v>(ML) Joe Machens E Collision Center5</v>
      </c>
      <c r="B155">
        <v>5</v>
      </c>
      <c r="C155">
        <v>2</v>
      </c>
      <c r="D155" t="s">
        <v>33</v>
      </c>
      <c r="E155" t="s">
        <v>46</v>
      </c>
      <c r="F155" t="s">
        <v>147</v>
      </c>
      <c r="G155" t="s">
        <v>34</v>
      </c>
      <c r="H155" s="52" t="str">
        <f>VLOOKUP(Tabla3[[#This Row],[Site]],'Important Info!'!$A$1:$J$135,10,FALSE)</f>
        <v>https://tools.sig.systems/site/details/277</v>
      </c>
      <c r="I155" s="2" t="s">
        <v>146</v>
      </c>
      <c r="J155" t="s">
        <v>41</v>
      </c>
      <c r="K155" s="79" t="str">
        <f>VLOOKUP(Tabla3[[#This Row],[Site]],'Important Info!'!$A$1:$H$135,8,FALSE)</f>
        <v>-</v>
      </c>
      <c r="L155" s="52">
        <f>VLOOKUP(Tabla3[[#This Row],[Site]],'Important Info!'!$A$1:$F$135,2,FALSE)</f>
        <v>1</v>
      </c>
      <c r="M155" s="52" t="str">
        <f>VLOOKUP(Tabla3[[#This Row],[Site]],'Important Info!'!$A$1:$F$135,3,FALSE)</f>
        <v>-</v>
      </c>
      <c r="N155" s="52" t="str">
        <f>VLOOKUP(Tabla3[[#This Row],[Site]],'Important Info!'!$A$1:$F$135,4,FALSE)</f>
        <v>-</v>
      </c>
      <c r="O155" s="52">
        <f>VLOOKUP(Tabla3[[#This Row],[Site]],'Important Info!'!$A$1:$F$135,5,FALSE)</f>
        <v>5</v>
      </c>
      <c r="P155" s="52" t="str">
        <f>VLOOKUP(Tabla3[[#This Row],[Site]],'Important Info!'!$A$1:$F$135,6,FALSE)</f>
        <v>1, 2, 3, 4</v>
      </c>
      <c r="Q155" s="91">
        <f>VLOOKUP(Tabla3[[#This Row],[Site]],'Important Info!'!$A$1:$J$135,9,FALSE)</f>
        <v>277</v>
      </c>
    </row>
    <row r="156" spans="1:17" x14ac:dyDescent="0.25">
      <c r="A156" t="str">
        <f>+Tabla3[[#This Row],[Site]]&amp;Tabla3[[#This Row],[Split]]</f>
        <v>(ML) Mazda VW-Lot B5</v>
      </c>
      <c r="B156">
        <v>5</v>
      </c>
      <c r="C156">
        <v>2</v>
      </c>
      <c r="D156" t="s">
        <v>33</v>
      </c>
      <c r="E156" t="s">
        <v>46</v>
      </c>
      <c r="F156" t="s">
        <v>9</v>
      </c>
      <c r="G156" t="s">
        <v>34</v>
      </c>
      <c r="H156" s="52" t="str">
        <f>VLOOKUP(Tabla3[[#This Row],[Site]],'Important Info!'!$A$1:$J$135,10,FALSE)</f>
        <v>https://tools.sig.systems/site/details/205</v>
      </c>
      <c r="I156" s="2" t="s">
        <v>142</v>
      </c>
      <c r="J156" t="s">
        <v>41</v>
      </c>
      <c r="K156" s="79" t="str">
        <f>VLOOKUP(Tabla3[[#This Row],[Site]],'Important Info!'!$A$1:$H$135,8,FALSE)</f>
        <v>-</v>
      </c>
      <c r="L156" s="52" t="str">
        <f>VLOOKUP(Tabla3[[#This Row],[Site]],'Important Info!'!$A$1:$F$135,2,FALSE)</f>
        <v>9, 14, 16</v>
      </c>
      <c r="M156" s="52">
        <f>VLOOKUP(Tabla3[[#This Row],[Site]],'Important Info!'!$A$1:$F$135,3,FALSE)</f>
        <v>1</v>
      </c>
      <c r="N156" s="52" t="str">
        <f>VLOOKUP(Tabla3[[#This Row],[Site]],'Important Info!'!$A$1:$F$135,4,FALSE)</f>
        <v>-</v>
      </c>
      <c r="O156" s="52">
        <f>VLOOKUP(Tabla3[[#This Row],[Site]],'Important Info!'!$A$1:$F$135,5,FALSE)</f>
        <v>4</v>
      </c>
      <c r="P156" s="52" t="str">
        <f>VLOOKUP(Tabla3[[#This Row],[Site]],'Important Info!'!$A$1:$F$135,6,FALSE)</f>
        <v>-</v>
      </c>
      <c r="Q156" s="91">
        <f>VLOOKUP(Tabla3[[#This Row],[Site]],'Important Info!'!$A$1:$J$135,9,FALSE)</f>
        <v>205</v>
      </c>
    </row>
    <row r="157" spans="1:17" x14ac:dyDescent="0.25">
      <c r="A157" t="str">
        <f>+Tabla3[[#This Row],[Site]]&amp;Tabla3[[#This Row],[Split]]</f>
        <v>(ML) McLarty-Gray Daniels Chevrolet5</v>
      </c>
      <c r="B157">
        <v>5</v>
      </c>
      <c r="C157">
        <v>2</v>
      </c>
      <c r="D157" t="s">
        <v>33</v>
      </c>
      <c r="E157" t="s">
        <v>46</v>
      </c>
      <c r="F157" t="s">
        <v>151</v>
      </c>
      <c r="G157" t="s">
        <v>34</v>
      </c>
      <c r="H157" s="52" t="str">
        <f>VLOOKUP(Tabla3[[#This Row],[Site]],'Important Info!'!$A$1:$J$135,10,FALSE)</f>
        <v>https://tools.sig.systems/site/details/150</v>
      </c>
      <c r="I157" s="2"/>
      <c r="J157" t="s">
        <v>41</v>
      </c>
      <c r="K157" s="79" t="str">
        <f>VLOOKUP(Tabla3[[#This Row],[Site]],'Important Info!'!$A$1:$H$135,8,FALSE)</f>
        <v>-</v>
      </c>
      <c r="L157" s="52" t="str">
        <f>VLOOKUP(Tabla3[[#This Row],[Site]],'Important Info!'!$A$1:$F$135,2,FALSE)</f>
        <v>3, 4, 5, 22, 24, 26, 28, 36</v>
      </c>
      <c r="M157" s="52" t="str">
        <f>VLOOKUP(Tabla3[[#This Row],[Site]],'Important Info!'!$A$1:$F$135,3,FALSE)</f>
        <v>-</v>
      </c>
      <c r="N157" s="52" t="str">
        <f>VLOOKUP(Tabla3[[#This Row],[Site]],'Important Info!'!$A$1:$F$135,4,FALSE)</f>
        <v>-</v>
      </c>
      <c r="O157" s="52" t="str">
        <f>VLOOKUP(Tabla3[[#This Row],[Site]],'Important Info!'!$A$1:$F$135,5,FALSE)</f>
        <v>4, 7, 12, 26</v>
      </c>
      <c r="P157" s="52" t="str">
        <f>VLOOKUP(Tabla3[[#This Row],[Site]],'Important Info!'!$A$1:$F$135,6,FALSE)</f>
        <v>1, 3, 5, 6, 23, 24</v>
      </c>
      <c r="Q157" s="91">
        <f>VLOOKUP(Tabla3[[#This Row],[Site]],'Important Info!'!$A$1:$J$135,9,FALSE)</f>
        <v>150</v>
      </c>
    </row>
    <row r="158" spans="1:17" x14ac:dyDescent="0.25">
      <c r="A158" t="str">
        <f>+Tabla3[[#This Row],[Site]]&amp;Tabla3[[#This Row],[Split]]</f>
        <v>(PE) BMW of Mamaroneck (NO TOURS)5</v>
      </c>
      <c r="B158">
        <v>5</v>
      </c>
      <c r="C158">
        <v>2</v>
      </c>
      <c r="D158" t="s">
        <v>485</v>
      </c>
      <c r="E158" t="s">
        <v>35</v>
      </c>
      <c r="F158" t="s">
        <v>172</v>
      </c>
      <c r="G158" t="s">
        <v>490</v>
      </c>
      <c r="H158" s="52" t="str">
        <f>VLOOKUP(Tabla3[[#This Row],[Site]],'Important Info!'!$A$1:$J$135,10,FALSE)</f>
        <v>https://tools.sig.systems/site/details/185</v>
      </c>
      <c r="I158" s="2"/>
      <c r="J158" t="s">
        <v>41</v>
      </c>
      <c r="K158" s="79" t="str">
        <f>VLOOKUP(Tabla3[[#This Row],[Site]],'Important Info!'!$A$1:$H$135,8,FALSE)</f>
        <v>-</v>
      </c>
      <c r="L158" s="52">
        <f>VLOOKUP(Tabla3[[#This Row],[Site]],'Important Info!'!$A$1:$F$135,2,FALSE)</f>
        <v>9</v>
      </c>
      <c r="M158" s="52" t="str">
        <f>VLOOKUP(Tabla3[[#This Row],[Site]],'Important Info!'!$A$1:$F$135,3,FALSE)</f>
        <v>2, 3, 4, 5</v>
      </c>
      <c r="N158" s="52" t="str">
        <f>VLOOKUP(Tabla3[[#This Row],[Site]],'Important Info!'!$A$1:$F$135,4,FALSE)</f>
        <v>-</v>
      </c>
      <c r="O158" s="52" t="str">
        <f>VLOOKUP(Tabla3[[#This Row],[Site]],'Important Info!'!$A$1:$F$135,5,FALSE)</f>
        <v>-</v>
      </c>
      <c r="P158" s="52" t="str">
        <f>VLOOKUP(Tabla3[[#This Row],[Site]],'Important Info!'!$A$1:$F$135,6,FALSE)</f>
        <v>4, 6, 7, 8</v>
      </c>
      <c r="Q158" s="91">
        <f>VLOOKUP(Tabla3[[#This Row],[Site]],'Important Info!'!$A$1:$J$135,9,FALSE)</f>
        <v>185</v>
      </c>
    </row>
    <row r="159" spans="1:17" x14ac:dyDescent="0.25">
      <c r="A159" t="str">
        <f>+Tabla3[[#This Row],[Site]]&amp;Tabla3[[#This Row],[Split]]</f>
        <v>(PE) Fairfield Collision (NO TOURS)5</v>
      </c>
      <c r="B159">
        <v>5</v>
      </c>
      <c r="C159">
        <v>2</v>
      </c>
      <c r="D159" t="s">
        <v>485</v>
      </c>
      <c r="E159" t="s">
        <v>35</v>
      </c>
      <c r="F159" t="s">
        <v>63</v>
      </c>
      <c r="G159" t="s">
        <v>490</v>
      </c>
      <c r="H159" s="52" t="str">
        <f>VLOOKUP(Tabla3[[#This Row],[Site]],'Important Info!'!$A$1:$J$135,10,FALSE)</f>
        <v>https://tools.sig.systems/site/details/191</v>
      </c>
      <c r="I159" s="2"/>
      <c r="J159" t="s">
        <v>41</v>
      </c>
      <c r="K159" s="79" t="str">
        <f>VLOOKUP(Tabla3[[#This Row],[Site]],'Important Info!'!$A$1:$H$135,8,FALSE)</f>
        <v>-</v>
      </c>
      <c r="L159" s="52">
        <f>VLOOKUP(Tabla3[[#This Row],[Site]],'Important Info!'!$A$1:$F$135,2,FALSE)</f>
        <v>4</v>
      </c>
      <c r="M159" s="52" t="str">
        <f>VLOOKUP(Tabla3[[#This Row],[Site]],'Important Info!'!$A$1:$F$135,3,FALSE)</f>
        <v>-</v>
      </c>
      <c r="N159" s="52" t="str">
        <f>VLOOKUP(Tabla3[[#This Row],[Site]],'Important Info!'!$A$1:$F$135,4,FALSE)</f>
        <v>-</v>
      </c>
      <c r="O159" s="52" t="str">
        <f>VLOOKUP(Tabla3[[#This Row],[Site]],'Important Info!'!$A$1:$F$135,5,FALSE)</f>
        <v>-</v>
      </c>
      <c r="P159" s="52" t="str">
        <f>VLOOKUP(Tabla3[[#This Row],[Site]],'Important Info!'!$A$1:$F$135,6,FALSE)</f>
        <v>1, 2, 3, 4, 5, 6</v>
      </c>
      <c r="Q159" s="91">
        <f>VLOOKUP(Tabla3[[#This Row],[Site]],'Important Info!'!$A$1:$J$135,9,FALSE)</f>
        <v>191</v>
      </c>
    </row>
    <row r="160" spans="1:17" x14ac:dyDescent="0.25">
      <c r="A160" t="str">
        <f>+Tabla3[[#This Row],[Site]]&amp;Tabla3[[#This Row],[Split]]</f>
        <v>(RV) Toms Camperland Mesa (NO TOURS)5</v>
      </c>
      <c r="B160">
        <v>5</v>
      </c>
      <c r="C160">
        <v>2</v>
      </c>
      <c r="D160" t="s">
        <v>51</v>
      </c>
      <c r="E160" t="s">
        <v>161</v>
      </c>
      <c r="F160" t="s">
        <v>81</v>
      </c>
      <c r="G160" t="s">
        <v>52</v>
      </c>
      <c r="H160" s="52" t="str">
        <f>VLOOKUP(Tabla3[[#This Row],[Site]],'Important Info!'!$A$1:$J$135,10,FALSE)</f>
        <v>https://tools.sig.systems/site/details/222</v>
      </c>
      <c r="I160" s="43"/>
      <c r="J160" t="s">
        <v>41</v>
      </c>
      <c r="K160" s="79" t="str">
        <f>VLOOKUP(Tabla3[[#This Row],[Site]],'Important Info!'!$A$1:$H$135,8,FALSE)</f>
        <v>-</v>
      </c>
      <c r="L160" s="52" t="str">
        <f>VLOOKUP(Tabla3[[#This Row],[Site]],'Important Info!'!$A$1:$F$135,2,FALSE)</f>
        <v>1, 2</v>
      </c>
      <c r="M160" s="52" t="str">
        <f>VLOOKUP(Tabla3[[#This Row],[Site]],'Important Info!'!$A$1:$F$135,3,FALSE)</f>
        <v>-</v>
      </c>
      <c r="N160" s="52" t="str">
        <f>VLOOKUP(Tabla3[[#This Row],[Site]],'Important Info!'!$A$1:$F$135,4,FALSE)</f>
        <v>-</v>
      </c>
      <c r="O160" s="52" t="str">
        <f>VLOOKUP(Tabla3[[#This Row],[Site]],'Important Info!'!$A$1:$F$135,5,FALSE)</f>
        <v>-</v>
      </c>
      <c r="P160" s="52" t="str">
        <f>VLOOKUP(Tabla3[[#This Row],[Site]],'Important Info!'!$A$1:$F$135,6,FALSE)</f>
        <v>1, 4, 6, 8, 10, 18</v>
      </c>
      <c r="Q160" s="91">
        <f>VLOOKUP(Tabla3[[#This Row],[Site]],'Important Info!'!$A$1:$J$135,9,FALSE)</f>
        <v>222</v>
      </c>
    </row>
    <row r="161" spans="1:17" x14ac:dyDescent="0.25">
      <c r="A161" t="str">
        <f>+Tabla3[[#This Row],[Site]]&amp;Tabla3[[#This Row],[Split]]</f>
        <v>(SCH) Delray I &amp; II5</v>
      </c>
      <c r="B161">
        <v>5</v>
      </c>
      <c r="C161">
        <v>2</v>
      </c>
      <c r="D161" t="s">
        <v>62</v>
      </c>
      <c r="E161" t="s">
        <v>35</v>
      </c>
      <c r="F161" t="s">
        <v>67</v>
      </c>
      <c r="G161" t="s">
        <v>490</v>
      </c>
      <c r="H161" s="52" t="str">
        <f>VLOOKUP(Tabla3[[#This Row],[Site]],'Important Info!'!$A$1:$J$135,10,FALSE)</f>
        <v>https://tools.sig.systems/site/details/159</v>
      </c>
      <c r="I161" s="2"/>
      <c r="J161" t="s">
        <v>36</v>
      </c>
      <c r="K161" s="79" t="str">
        <f>VLOOKUP(Tabla3[[#This Row],[Site]],'Important Info!'!$A$1:$H$135,8,FALSE)</f>
        <v>-</v>
      </c>
      <c r="L161" s="52" t="str">
        <f>VLOOKUP(Tabla3[[#This Row],[Site]],'Important Info!'!$A$1:$F$135,2,FALSE)</f>
        <v>5, 28, 31</v>
      </c>
      <c r="M161" s="52" t="str">
        <f>VLOOKUP(Tabla3[[#This Row],[Site]],'Important Info!'!$A$1:$F$135,3,FALSE)</f>
        <v>1, 29</v>
      </c>
      <c r="N161" s="52">
        <f>VLOOKUP(Tabla3[[#This Row],[Site]],'Important Info!'!$A$1:$F$135,4,FALSE)</f>
        <v>6</v>
      </c>
      <c r="O161" s="52" t="str">
        <f>VLOOKUP(Tabla3[[#This Row],[Site]],'Important Info!'!$A$1:$F$135,5,FALSE)</f>
        <v>-</v>
      </c>
      <c r="P161" s="52" t="str">
        <f>VLOOKUP(Tabla3[[#This Row],[Site]],'Important Info!'!$A$1:$F$135,6,FALSE)</f>
        <v>1, 35, 36</v>
      </c>
      <c r="Q161" s="91">
        <f>VLOOKUP(Tabla3[[#This Row],[Site]],'Important Info!'!$A$1:$J$135,9,FALSE)</f>
        <v>159</v>
      </c>
    </row>
    <row r="162" spans="1:17" x14ac:dyDescent="0.25">
      <c r="A162" t="str">
        <f>+Tabla3[[#This Row],[Site]]&amp;Tabla3[[#This Row],[Split]]</f>
        <v>(TC) Tavernier Creek Marina (NO TOURS)5</v>
      </c>
      <c r="B162">
        <v>5</v>
      </c>
      <c r="C162">
        <v>2</v>
      </c>
      <c r="D162" t="s">
        <v>62</v>
      </c>
      <c r="E162" t="s">
        <v>35</v>
      </c>
      <c r="F162" t="s">
        <v>119</v>
      </c>
      <c r="G162" t="s">
        <v>34</v>
      </c>
      <c r="H162" s="52" t="str">
        <f>VLOOKUP(Tabla3[[#This Row],[Site]],'Important Info!'!$A$1:$J$135,10,FALSE)</f>
        <v>https://tools.sig.systems/site/details/164</v>
      </c>
      <c r="J162" t="s">
        <v>45</v>
      </c>
      <c r="K162" s="79" t="str">
        <f>VLOOKUP(Tabla3[[#This Row],[Site]],'Important Info!'!$A$1:$H$135,8,FALSE)</f>
        <v>-</v>
      </c>
      <c r="L162" s="52" t="str">
        <f>VLOOKUP(Tabla3[[#This Row],[Site]],'Important Info!'!$A$1:$F$135,2,FALSE)</f>
        <v>28, 29</v>
      </c>
      <c r="M162" s="52" t="str">
        <f>VLOOKUP(Tabla3[[#This Row],[Site]],'Important Info!'!$A$1:$F$135,3,FALSE)</f>
        <v>-</v>
      </c>
      <c r="N162" s="52" t="str">
        <f>VLOOKUP(Tabla3[[#This Row],[Site]],'Important Info!'!$A$1:$F$135,4,FALSE)</f>
        <v>-</v>
      </c>
      <c r="O162" s="52" t="str">
        <f>VLOOKUP(Tabla3[[#This Row],[Site]],'Important Info!'!$A$1:$F$135,5,FALSE)</f>
        <v>-</v>
      </c>
      <c r="P162" s="52" t="str">
        <f>VLOOKUP(Tabla3[[#This Row],[Site]],'Important Info!'!$A$1:$F$135,6,FALSE)</f>
        <v>5, 28, 29</v>
      </c>
      <c r="Q162" s="91">
        <f>VLOOKUP(Tabla3[[#This Row],[Site]],'Important Info!'!$A$1:$J$135,9,FALSE)</f>
        <v>164</v>
      </c>
    </row>
    <row r="163" spans="1:17" x14ac:dyDescent="0.25">
      <c r="A163" t="str">
        <f>+Tabla3[[#This Row],[Site]]&amp;Tabla3[[#This Row],[Split]]</f>
        <v>(WAG) Greeley Chrysler Dodge Jeep Ram (NO TOURS)5</v>
      </c>
      <c r="B163">
        <v>5</v>
      </c>
      <c r="C163">
        <v>2</v>
      </c>
      <c r="D163" t="s">
        <v>44</v>
      </c>
      <c r="E163" t="s">
        <v>53</v>
      </c>
      <c r="F163" t="s">
        <v>497</v>
      </c>
      <c r="G163" t="s">
        <v>45</v>
      </c>
      <c r="H163" s="52" t="str">
        <f>VLOOKUP(Tabla3[[#This Row],[Site]],'Important Info!'!$A$1:$J$135,10,FALSE)</f>
        <v>https://tools.sig.systems/site/details/130</v>
      </c>
      <c r="I163" t="s">
        <v>153</v>
      </c>
      <c r="J163" t="s">
        <v>41</v>
      </c>
      <c r="K163" s="79" t="str">
        <f>VLOOKUP(Tabla3[[#This Row],[Site]],'Important Info!'!$A$1:$H$135,8,FALSE)</f>
        <v>-</v>
      </c>
      <c r="L163" s="52" t="str">
        <f>VLOOKUP(Tabla3[[#This Row],[Site]],'Important Info!'!$A$1:$F$135,2,FALSE)</f>
        <v>17, 23 &amp; 18</v>
      </c>
      <c r="M163" s="52" t="str">
        <f>VLOOKUP(Tabla3[[#This Row],[Site]],'Important Info!'!$A$1:$F$135,3,FALSE)</f>
        <v>4, 5, 6, 7, 8, 51, 55</v>
      </c>
      <c r="N163" s="52" t="str">
        <f>VLOOKUP(Tabla3[[#This Row],[Site]],'Important Info!'!$A$1:$F$135,4,FALSE)</f>
        <v>-</v>
      </c>
      <c r="O163" s="52" t="str">
        <f>VLOOKUP(Tabla3[[#This Row],[Site]],'Important Info!'!$A$1:$F$135,5,FALSE)</f>
        <v>3, 13, 17, 49, 53, 59</v>
      </c>
      <c r="P163" s="52" t="str">
        <f>VLOOKUP(Tabla3[[#This Row],[Site]],'Important Info!'!$A$1:$F$135,6,FALSE)</f>
        <v>8, 9, 10, 51, 62</v>
      </c>
      <c r="Q163" s="91">
        <f>VLOOKUP(Tabla3[[#This Row],[Site]],'Important Info!'!$A$1:$J$135,9,FALSE)</f>
        <v>130</v>
      </c>
    </row>
    <row r="164" spans="1:17" x14ac:dyDescent="0.25">
      <c r="A164" t="str">
        <f>+Tabla3[[#This Row],[Site]]&amp;Tabla3[[#This Row],[Split]]</f>
        <v>(AS) Atwell Prep Center-Dallas (NO TOURS)5</v>
      </c>
      <c r="B164">
        <v>5</v>
      </c>
      <c r="C164">
        <v>3</v>
      </c>
      <c r="D164" t="s">
        <v>33</v>
      </c>
      <c r="E164" t="s">
        <v>46</v>
      </c>
      <c r="F164" t="s">
        <v>498</v>
      </c>
      <c r="G164" t="s">
        <v>34</v>
      </c>
      <c r="H164" s="52" t="str">
        <f>VLOOKUP(Tabla3[[#This Row],[Site]],'Important Info!'!$A$1:$J$135,10,FALSE)</f>
        <v>https://tools.sig.systems/site/details/165</v>
      </c>
      <c r="I164" s="65" t="s">
        <v>125</v>
      </c>
      <c r="J164" t="s">
        <v>41</v>
      </c>
      <c r="K164" s="79" t="str">
        <f>VLOOKUP(Tabla3[[#This Row],[Site]],'Important Info!'!$A$1:$H$135,8,FALSE)</f>
        <v>-</v>
      </c>
      <c r="L164" s="52" t="str">
        <f>VLOOKUP(Tabla3[[#This Row],[Site]],'Important Info!'!$A$1:$F$135,2,FALSE)</f>
        <v>4, 6, 7</v>
      </c>
      <c r="M164" s="52" t="str">
        <f>VLOOKUP(Tabla3[[#This Row],[Site]],'Important Info!'!$A$1:$F$135,3,FALSE)</f>
        <v>-</v>
      </c>
      <c r="N164" s="52" t="str">
        <f>VLOOKUP(Tabla3[[#This Row],[Site]],'Important Info!'!$A$1:$F$135,4,FALSE)</f>
        <v>-</v>
      </c>
      <c r="O164" s="52" t="str">
        <f>VLOOKUP(Tabla3[[#This Row],[Site]],'Important Info!'!$A$1:$F$135,5,FALSE)</f>
        <v>-</v>
      </c>
      <c r="P164" s="52" t="str">
        <f>VLOOKUP(Tabla3[[#This Row],[Site]],'Important Info!'!$A$1:$F$135,6,FALSE)</f>
        <v>1, 2</v>
      </c>
      <c r="Q164" s="91">
        <f>VLOOKUP(Tabla3[[#This Row],[Site]],'Important Info!'!$A$1:$J$135,9,FALSE)</f>
        <v>165</v>
      </c>
    </row>
    <row r="165" spans="1:17" x14ac:dyDescent="0.25">
      <c r="A165" t="str">
        <f>+Tabla3[[#This Row],[Site]]&amp;Tabla3[[#This Row],[Split]]</f>
        <v>(AS) Coggin Acura Ft Pierce (NO TOURS)5</v>
      </c>
      <c r="B165">
        <v>5</v>
      </c>
      <c r="C165">
        <v>3</v>
      </c>
      <c r="D165" t="s">
        <v>62</v>
      </c>
      <c r="E165" t="s">
        <v>35</v>
      </c>
      <c r="F165" t="s">
        <v>500</v>
      </c>
      <c r="G165" t="s">
        <v>490</v>
      </c>
      <c r="H165" s="52" t="str">
        <f>VLOOKUP(Tabla3[[#This Row],[Site]],'Important Info!'!$A$1:$J$135,10,FALSE)</f>
        <v>https://tools.sig.systems/site/details/118</v>
      </c>
      <c r="I165" t="s">
        <v>179</v>
      </c>
      <c r="J165" t="s">
        <v>41</v>
      </c>
      <c r="K165" s="79" t="str">
        <f>VLOOKUP(Tabla3[[#This Row],[Site]],'Important Info!'!$A$1:$H$135,8,FALSE)</f>
        <v>-</v>
      </c>
      <c r="L165" s="52" t="str">
        <f>VLOOKUP(Tabla3[[#This Row],[Site]],'Important Info!'!$A$1:$F$135,2,FALSE)</f>
        <v>-</v>
      </c>
      <c r="M165" s="52">
        <f>VLOOKUP(Tabla3[[#This Row],[Site]],'Important Info!'!$A$1:$F$135,3,FALSE)</f>
        <v>6</v>
      </c>
      <c r="N165" s="52" t="str">
        <f>VLOOKUP(Tabla3[[#This Row],[Site]],'Important Info!'!$A$1:$F$135,4,FALSE)</f>
        <v>-</v>
      </c>
      <c r="O165" s="52" t="str">
        <f>VLOOKUP(Tabla3[[#This Row],[Site]],'Important Info!'!$A$1:$F$135,5,FALSE)</f>
        <v>4, 6</v>
      </c>
      <c r="P165" s="52">
        <f>VLOOKUP(Tabla3[[#This Row],[Site]],'Important Info!'!$A$1:$F$135,6,FALSE)</f>
        <v>1</v>
      </c>
      <c r="Q165" s="91">
        <f>VLOOKUP(Tabla3[[#This Row],[Site]],'Important Info!'!$A$1:$J$135,9,FALSE)</f>
        <v>118</v>
      </c>
    </row>
    <row r="166" spans="1:17" x14ac:dyDescent="0.25">
      <c r="A166" t="str">
        <f>+Tabla3[[#This Row],[Site]]&amp;Tabla3[[#This Row],[Split]]</f>
        <v>(AS) Courtesy Honda Palm Harbor (NO TOURS)5</v>
      </c>
      <c r="B166">
        <v>5</v>
      </c>
      <c r="C166">
        <v>3</v>
      </c>
      <c r="D166" t="s">
        <v>62</v>
      </c>
      <c r="E166" t="s">
        <v>35</v>
      </c>
      <c r="F166" t="s">
        <v>108</v>
      </c>
      <c r="G166" t="s">
        <v>490</v>
      </c>
      <c r="H166" s="52" t="str">
        <f>VLOOKUP(Tabla3[[#This Row],[Site]],'Important Info!'!$A$1:$J$135,10,FALSE)</f>
        <v>https://tools.sig.systems/site/details/176</v>
      </c>
      <c r="I166" s="43"/>
      <c r="J166" t="s">
        <v>36</v>
      </c>
      <c r="K166" s="79" t="str">
        <f>VLOOKUP(Tabla3[[#This Row],[Site]],'Important Info!'!$A$1:$H$135,8,FALSE)</f>
        <v>-</v>
      </c>
      <c r="L166" s="52">
        <f>VLOOKUP(Tabla3[[#This Row],[Site]],'Important Info!'!$A$1:$F$135,2,FALSE)</f>
        <v>2</v>
      </c>
      <c r="M166" s="52" t="str">
        <f>VLOOKUP(Tabla3[[#This Row],[Site]],'Important Info!'!$A$1:$F$135,3,FALSE)</f>
        <v>-</v>
      </c>
      <c r="N166" s="52" t="str">
        <f>VLOOKUP(Tabla3[[#This Row],[Site]],'Important Info!'!$A$1:$F$135,4,FALSE)</f>
        <v>-</v>
      </c>
      <c r="O166" s="52" t="str">
        <f>VLOOKUP(Tabla3[[#This Row],[Site]],'Important Info!'!$A$1:$F$135,5,FALSE)</f>
        <v>4, 8, 21</v>
      </c>
      <c r="P166" s="52">
        <f>VLOOKUP(Tabla3[[#This Row],[Site]],'Important Info!'!$A$1:$F$135,6,FALSE)</f>
        <v>10</v>
      </c>
      <c r="Q166" s="91">
        <f>VLOOKUP(Tabla3[[#This Row],[Site]],'Important Info!'!$A$1:$J$135,9,FALSE)</f>
        <v>176</v>
      </c>
    </row>
    <row r="167" spans="1:17" x14ac:dyDescent="0.25">
      <c r="A167" t="str">
        <f>+Tabla3[[#This Row],[Site]]&amp;Tabla3[[#This Row],[Split]]</f>
        <v>(AS) Mercedes Benz/Porsche Dallas I,II,III (NO TOURS)5</v>
      </c>
      <c r="B167">
        <v>5</v>
      </c>
      <c r="C167">
        <v>3</v>
      </c>
      <c r="D167" t="s">
        <v>33</v>
      </c>
      <c r="E167" t="s">
        <v>46</v>
      </c>
      <c r="F167" t="s">
        <v>509</v>
      </c>
      <c r="G167" t="s">
        <v>34</v>
      </c>
      <c r="H167" s="52" t="str">
        <f>VLOOKUP(Tabla3[[#This Row],[Site]],'Important Info!'!$A$1:$J$135,10,FALSE)</f>
        <v>https://tools.sig.systems/site/details/168</v>
      </c>
      <c r="I167" s="65" t="s">
        <v>125</v>
      </c>
      <c r="J167" t="s">
        <v>41</v>
      </c>
      <c r="K167" s="79" t="str">
        <f>VLOOKUP(Tabla3[[#This Row],[Site]],'Important Info!'!$A$1:$H$135,8,FALSE)</f>
        <v>-</v>
      </c>
      <c r="L167" s="52" t="str">
        <f>VLOOKUP(Tabla3[[#This Row],[Site]],'Important Info!'!$A$1:$F$135,2,FALSE)</f>
        <v>3, 4, 17, 26, 41</v>
      </c>
      <c r="M167" s="52" t="str">
        <f>VLOOKUP(Tabla3[[#This Row],[Site]],'Important Info!'!$A$1:$F$135,3,FALSE)</f>
        <v>-</v>
      </c>
      <c r="N167" s="52" t="str">
        <f>VLOOKUP(Tabla3[[#This Row],[Site]],'Important Info!'!$A$1:$F$135,4,FALSE)</f>
        <v>153, 154, 155, 156, 157, 158</v>
      </c>
      <c r="O167" s="52" t="str">
        <f>VLOOKUP(Tabla3[[#This Row],[Site]],'Important Info!'!$A$1:$F$135,5,FALSE)</f>
        <v>2, 6, 10, 20, 28, 30, 36</v>
      </c>
      <c r="P167" s="52" t="str">
        <f>VLOOKUP(Tabla3[[#This Row],[Site]],'Important Info!'!$A$1:$F$135,6,FALSE)</f>
        <v>31, 41, 159</v>
      </c>
      <c r="Q167" s="91">
        <f>VLOOKUP(Tabla3[[#This Row],[Site]],'Important Info!'!$A$1:$J$135,9,FALSE)</f>
        <v>168</v>
      </c>
    </row>
    <row r="168" spans="1:17" x14ac:dyDescent="0.25">
      <c r="A168" t="str">
        <f>+Tabla3[[#This Row],[Site]]&amp;Tabla3[[#This Row],[Split]]</f>
        <v>(AS) Nalley Lexus &amp; Remote Lot Roswell (NO TOURS)5</v>
      </c>
      <c r="B168">
        <v>5</v>
      </c>
      <c r="C168">
        <v>3</v>
      </c>
      <c r="D168" t="s">
        <v>60</v>
      </c>
      <c r="E168" t="s">
        <v>35</v>
      </c>
      <c r="F168" t="s">
        <v>511</v>
      </c>
      <c r="G168" t="s">
        <v>41</v>
      </c>
      <c r="H168" s="52" t="str">
        <f>VLOOKUP(Tabla3[[#This Row],[Site]],'Important Info!'!$A$1:$J$135,10,FALSE)</f>
        <v>https://tools.sig.systems/site/details/131</v>
      </c>
      <c r="I168" s="43" t="s">
        <v>166</v>
      </c>
      <c r="J168" t="s">
        <v>41</v>
      </c>
      <c r="K168" s="79" t="str">
        <f>VLOOKUP(Tabla3[[#This Row],[Site]],'Important Info!'!$A$1:$H$135,8,FALSE)</f>
        <v>Dealership 11PM to 5AM (Mon to Fri). Sunday Drop Time 1PM</v>
      </c>
      <c r="L168" s="52" t="str">
        <f>VLOOKUP(Tabla3[[#This Row],[Site]],'Important Info!'!$A$1:$F$135,2,FALSE)</f>
        <v>6, 13</v>
      </c>
      <c r="M168" s="52">
        <f>VLOOKUP(Tabla3[[#This Row],[Site]],'Important Info!'!$A$1:$F$135,3,FALSE)</f>
        <v>4</v>
      </c>
      <c r="N168" s="52">
        <f>VLOOKUP(Tabla3[[#This Row],[Site]],'Important Info!'!$A$1:$F$135,4,FALSE)</f>
        <v>1</v>
      </c>
      <c r="O168" s="52" t="str">
        <f>VLOOKUP(Tabla3[[#This Row],[Site]],'Important Info!'!$A$1:$F$135,5,FALSE)</f>
        <v>1, 8, 19</v>
      </c>
      <c r="P168" s="52" t="str">
        <f>VLOOKUP(Tabla3[[#This Row],[Site]],'Important Info!'!$A$1:$F$135,6,FALSE)</f>
        <v>4, 20</v>
      </c>
      <c r="Q168" s="91">
        <f>VLOOKUP(Tabla3[[#This Row],[Site]],'Important Info!'!$A$1:$J$135,9,FALSE)</f>
        <v>131</v>
      </c>
    </row>
    <row r="169" spans="1:17" x14ac:dyDescent="0.25">
      <c r="A169" t="str">
        <f>+Tabla3[[#This Row],[Site]]&amp;Tabla3[[#This Row],[Split]]</f>
        <v>(AS) Park Place MB Recon Center Dallas (NO TOURS)5</v>
      </c>
      <c r="B169">
        <v>5</v>
      </c>
      <c r="C169">
        <v>3</v>
      </c>
      <c r="D169" t="s">
        <v>33</v>
      </c>
      <c r="E169" t="s">
        <v>46</v>
      </c>
      <c r="F169" t="s">
        <v>517</v>
      </c>
      <c r="G169" t="s">
        <v>34</v>
      </c>
      <c r="H169" s="52" t="str">
        <f>VLOOKUP(Tabla3[[#This Row],[Site]],'Important Info!'!$A$1:$J$135,10,FALSE)</f>
        <v>https://tools.sig.systems/site/details/170</v>
      </c>
      <c r="I169" s="65" t="s">
        <v>125</v>
      </c>
      <c r="J169" t="s">
        <v>41</v>
      </c>
      <c r="K169" s="79" t="str">
        <f>VLOOKUP(Tabla3[[#This Row],[Site]],'Important Info!'!$A$1:$H$135,8,FALSE)</f>
        <v>-</v>
      </c>
      <c r="L169" s="52" t="str">
        <f>VLOOKUP(Tabla3[[#This Row],[Site]],'Important Info!'!$A$1:$F$135,2,FALSE)</f>
        <v>3, 39</v>
      </c>
      <c r="M169" s="52" t="str">
        <f>VLOOKUP(Tabla3[[#This Row],[Site]],'Important Info!'!$A$1:$F$135,3,FALSE)</f>
        <v>-</v>
      </c>
      <c r="N169" s="52" t="str">
        <f>VLOOKUP(Tabla3[[#This Row],[Site]],'Important Info!'!$A$1:$F$135,4,FALSE)</f>
        <v>-</v>
      </c>
      <c r="O169" s="52" t="str">
        <f>VLOOKUP(Tabla3[[#This Row],[Site]],'Important Info!'!$A$1:$F$135,5,FALSE)</f>
        <v>4, 11</v>
      </c>
      <c r="P169" s="52">
        <f>VLOOKUP(Tabla3[[#This Row],[Site]],'Important Info!'!$A$1:$F$135,6,FALSE)</f>
        <v>1</v>
      </c>
      <c r="Q169" s="91">
        <f>VLOOKUP(Tabla3[[#This Row],[Site]],'Important Info!'!$A$1:$J$135,9,FALSE)</f>
        <v>170</v>
      </c>
    </row>
    <row r="170" spans="1:17" x14ac:dyDescent="0.25">
      <c r="A170" t="str">
        <f>+Tabla3[[#This Row],[Site]]&amp;Tabla3[[#This Row],[Split]]</f>
        <v>(AS) Park Place Volvo Service Center (NO TOURS)5</v>
      </c>
      <c r="B170">
        <v>5</v>
      </c>
      <c r="C170">
        <v>3</v>
      </c>
      <c r="D170" t="s">
        <v>33</v>
      </c>
      <c r="E170" t="s">
        <v>46</v>
      </c>
      <c r="F170" t="s">
        <v>522</v>
      </c>
      <c r="G170" t="s">
        <v>34</v>
      </c>
      <c r="H170" s="52" t="str">
        <f>VLOOKUP(Tabla3[[#This Row],[Site]],'Important Info!'!$A$1:$J$135,10,FALSE)</f>
        <v>https://tools.sig.systems/site/details/171</v>
      </c>
      <c r="I170" s="62" t="s">
        <v>125</v>
      </c>
      <c r="J170" t="s">
        <v>41</v>
      </c>
      <c r="K170" s="79" t="str">
        <f>VLOOKUP(Tabla3[[#This Row],[Site]],'Important Info!'!$A$1:$H$135,8,FALSE)</f>
        <v>-</v>
      </c>
      <c r="L170" s="52" t="str">
        <f>VLOOKUP(Tabla3[[#This Row],[Site]],'Important Info!'!$A$1:$F$135,2,FALSE)</f>
        <v>3, 6, 9, 27, 31, 35</v>
      </c>
      <c r="M170" s="52" t="str">
        <f>VLOOKUP(Tabla3[[#This Row],[Site]],'Important Info!'!$A$1:$F$135,3,FALSE)</f>
        <v>-</v>
      </c>
      <c r="N170" s="52" t="str">
        <f>VLOOKUP(Tabla3[[#This Row],[Site]],'Important Info!'!$A$1:$F$135,4,FALSE)</f>
        <v>-</v>
      </c>
      <c r="O170" s="52" t="str">
        <f>VLOOKUP(Tabla3[[#This Row],[Site]],'Important Info!'!$A$1:$F$135,5,FALSE)</f>
        <v>27, 32</v>
      </c>
      <c r="P170" s="52" t="str">
        <f>VLOOKUP(Tabla3[[#This Row],[Site]],'Important Info!'!$A$1:$F$135,6,FALSE)</f>
        <v>-</v>
      </c>
      <c r="Q170" s="91">
        <f>VLOOKUP(Tabla3[[#This Row],[Site]],'Important Info!'!$A$1:$J$135,9,FALSE)</f>
        <v>171</v>
      </c>
    </row>
    <row r="171" spans="1:17" x14ac:dyDescent="0.25">
      <c r="A171" t="str">
        <f>+Tabla3[[#This Row],[Site]]&amp;Tabla3[[#This Row],[Split]]</f>
        <v>(AS) Stevinson Porsche of Littleton (NO TOURS)5</v>
      </c>
      <c r="B171">
        <v>5</v>
      </c>
      <c r="C171">
        <v>3</v>
      </c>
      <c r="D171" t="s">
        <v>44</v>
      </c>
      <c r="E171" t="s">
        <v>53</v>
      </c>
      <c r="F171" t="s">
        <v>78</v>
      </c>
      <c r="G171" t="s">
        <v>45</v>
      </c>
      <c r="H171" s="52" t="str">
        <f>VLOOKUP(Tabla3[[#This Row],[Site]],'Important Info!'!$A$1:$J$135,10,FALSE)</f>
        <v>https://tools.sig.systems/site/details/242</v>
      </c>
      <c r="J171" t="s">
        <v>41</v>
      </c>
      <c r="K171" s="79" t="str">
        <f>VLOOKUP(Tabla3[[#This Row],[Site]],'Important Info!'!$A$1:$H$135,8,FALSE)</f>
        <v>-</v>
      </c>
      <c r="L171" s="52" t="str">
        <f>VLOOKUP(Tabla3[[#This Row],[Site]],'Important Info!'!$A$1:$F$135,2,FALSE)</f>
        <v>3, 4</v>
      </c>
      <c r="M171" s="52">
        <f>VLOOKUP(Tabla3[[#This Row],[Site]],'Important Info!'!$A$1:$F$135,3,FALSE)</f>
        <v>2</v>
      </c>
      <c r="N171" s="52" t="str">
        <f>VLOOKUP(Tabla3[[#This Row],[Site]],'Important Info!'!$A$1:$F$135,4,FALSE)</f>
        <v>-</v>
      </c>
      <c r="O171" s="52" t="str">
        <f>VLOOKUP(Tabla3[[#This Row],[Site]],'Important Info!'!$A$1:$F$135,5,FALSE)</f>
        <v>-</v>
      </c>
      <c r="P171" s="52" t="str">
        <f>VLOOKUP(Tabla3[[#This Row],[Site]],'Important Info!'!$A$1:$F$135,6,FALSE)</f>
        <v>3, 4</v>
      </c>
      <c r="Q171" s="91">
        <f>VLOOKUP(Tabla3[[#This Row],[Site]],'Important Info!'!$A$1:$J$135,9,FALSE)</f>
        <v>242</v>
      </c>
    </row>
    <row r="172" spans="1:17" x14ac:dyDescent="0.25">
      <c r="A172" t="str">
        <f>+Tabla3[[#This Row],[Site]]&amp;Tabla3[[#This Row],[Split]]</f>
        <v>(HUD) Paint and Body Center (NO TOURS)5</v>
      </c>
      <c r="B172">
        <v>5</v>
      </c>
      <c r="C172">
        <v>3</v>
      </c>
      <c r="D172" t="s">
        <v>62</v>
      </c>
      <c r="E172" t="s">
        <v>35</v>
      </c>
      <c r="F172" t="s">
        <v>110</v>
      </c>
      <c r="G172" t="s">
        <v>490</v>
      </c>
      <c r="H172" s="52" t="str">
        <f>VLOOKUP(Tabla3[[#This Row],[Site]],'Important Info!'!$A$1:$J$135,10,FALSE)</f>
        <v>https://tools.sig.systems/site/details/256</v>
      </c>
      <c r="I172" t="s">
        <v>184</v>
      </c>
      <c r="J172" t="s">
        <v>41</v>
      </c>
      <c r="K172" s="79" t="str">
        <f>VLOOKUP(Tabla3[[#This Row],[Site]],'Important Info!'!$A$1:$H$135,8,FALSE)</f>
        <v>-</v>
      </c>
      <c r="L172" s="52" t="str">
        <f>VLOOKUP(Tabla3[[#This Row],[Site]],'Important Info!'!$A$1:$F$135,2,FALSE)</f>
        <v>-</v>
      </c>
      <c r="M172" s="52">
        <f>VLOOKUP(Tabla3[[#This Row],[Site]],'Important Info!'!$A$1:$F$135,3,FALSE)</f>
        <v>1</v>
      </c>
      <c r="N172" s="52" t="str">
        <f>VLOOKUP(Tabla3[[#This Row],[Site]],'Important Info!'!$A$1:$F$135,4,FALSE)</f>
        <v>-</v>
      </c>
      <c r="O172" s="52" t="str">
        <f>VLOOKUP(Tabla3[[#This Row],[Site]],'Important Info!'!$A$1:$F$135,5,FALSE)</f>
        <v>-</v>
      </c>
      <c r="P172" s="52" t="str">
        <f>VLOOKUP(Tabla3[[#This Row],[Site]],'Important Info!'!$A$1:$F$135,6,FALSE)</f>
        <v>-</v>
      </c>
      <c r="Q172" s="91">
        <f>VLOOKUP(Tabla3[[#This Row],[Site]],'Important Info!'!$A$1:$J$135,9,FALSE)</f>
        <v>256</v>
      </c>
    </row>
    <row r="173" spans="1:17" x14ac:dyDescent="0.25">
      <c r="A173" t="str">
        <f>+Tabla3[[#This Row],[Site]]&amp;Tabla3[[#This Row],[Split]]</f>
        <v>(KG) Big Star Ford5</v>
      </c>
      <c r="B173">
        <v>5</v>
      </c>
      <c r="C173">
        <v>3</v>
      </c>
      <c r="D173" t="s">
        <v>33</v>
      </c>
      <c r="E173" t="s">
        <v>46</v>
      </c>
      <c r="F173" t="s">
        <v>135</v>
      </c>
      <c r="G173" t="s">
        <v>34</v>
      </c>
      <c r="H173" s="52" t="str">
        <f>VLOOKUP(Tabla3[[#This Row],[Site]],'Important Info!'!$A$1:$J$135,10,FALSE)</f>
        <v>https://tools.sig.systems/site/details/235</v>
      </c>
      <c r="I173" s="2"/>
      <c r="J173" t="s">
        <v>41</v>
      </c>
      <c r="K173" s="79" t="str">
        <f>VLOOKUP(Tabla3[[#This Row],[Site]],'Important Info!'!$A$1:$H$135,8,FALSE)</f>
        <v>-</v>
      </c>
      <c r="L173" s="52" t="str">
        <f>VLOOKUP(Tabla3[[#This Row],[Site]],'Important Info!'!$A$1:$F$135,2,FALSE)</f>
        <v>4, 22, 32, 33</v>
      </c>
      <c r="M173" s="52" t="str">
        <f>VLOOKUP(Tabla3[[#This Row],[Site]],'Important Info!'!$A$1:$F$135,3,FALSE)</f>
        <v>-</v>
      </c>
      <c r="N173" s="52" t="str">
        <f>VLOOKUP(Tabla3[[#This Row],[Site]],'Important Info!'!$A$1:$F$135,4,FALSE)</f>
        <v>-</v>
      </c>
      <c r="O173" s="52" t="str">
        <f>VLOOKUP(Tabla3[[#This Row],[Site]],'Important Info!'!$A$1:$F$135,5,FALSE)</f>
        <v>1, 5, 12, 21</v>
      </c>
      <c r="P173" s="52">
        <f>VLOOKUP(Tabla3[[#This Row],[Site]],'Important Info!'!$A$1:$F$135,6,FALSE)</f>
        <v>22</v>
      </c>
      <c r="Q173" s="91">
        <f>VLOOKUP(Tabla3[[#This Row],[Site]],'Important Info!'!$A$1:$J$135,9,FALSE)</f>
        <v>235</v>
      </c>
    </row>
    <row r="174" spans="1:17" x14ac:dyDescent="0.25">
      <c r="A174" t="str">
        <f>+Tabla3[[#This Row],[Site]]&amp;Tabla3[[#This Row],[Split]]</f>
        <v>(KG) Hyundai Surprise5</v>
      </c>
      <c r="B174">
        <v>5</v>
      </c>
      <c r="C174">
        <v>3</v>
      </c>
      <c r="D174" t="s">
        <v>51</v>
      </c>
      <c r="E174" t="s">
        <v>161</v>
      </c>
      <c r="F174" t="s">
        <v>118</v>
      </c>
      <c r="G174" t="s">
        <v>52</v>
      </c>
      <c r="H174" s="52" t="str">
        <f>VLOOKUP(Tabla3[[#This Row],[Site]],'Important Info!'!$A$1:$J$135,10,FALSE)</f>
        <v>https://tools.sig.systems/site/details/269</v>
      </c>
      <c r="J174" t="s">
        <v>162</v>
      </c>
      <c r="K174" s="79" t="str">
        <f>VLOOKUP(Tabla3[[#This Row],[Site]],'Important Info!'!$A$1:$H$135,8,FALSE)</f>
        <v>-</v>
      </c>
      <c r="L174" s="52" t="str">
        <f>VLOOKUP(Tabla3[[#This Row],[Site]],'Important Info!'!$A$1:$F$135,2,FALSE)</f>
        <v>1, 6, 7</v>
      </c>
      <c r="M174" s="52" t="str">
        <f>VLOOKUP(Tabla3[[#This Row],[Site]],'Important Info!'!$A$1:$F$135,3,FALSE)</f>
        <v>-</v>
      </c>
      <c r="N174" s="52" t="str">
        <f>VLOOKUP(Tabla3[[#This Row],[Site]],'Important Info!'!$A$1:$F$135,4,FALSE)</f>
        <v>-</v>
      </c>
      <c r="O174" s="52" t="str">
        <f>VLOOKUP(Tabla3[[#This Row],[Site]],'Important Info!'!$A$1:$F$135,5,FALSE)</f>
        <v>6, 13</v>
      </c>
      <c r="P174" s="52" t="str">
        <f>VLOOKUP(Tabla3[[#This Row],[Site]],'Important Info!'!$A$1:$F$135,6,FALSE)</f>
        <v>-</v>
      </c>
      <c r="Q174" s="91">
        <f>VLOOKUP(Tabla3[[#This Row],[Site]],'Important Info!'!$A$1:$J$135,9,FALSE)</f>
        <v>269</v>
      </c>
    </row>
    <row r="175" spans="1:17" x14ac:dyDescent="0.25">
      <c r="A175" t="str">
        <f>+Tabla3[[#This Row],[Site]]&amp;Tabla3[[#This Row],[Split]]</f>
        <v>(KG) Texan GMC Buick (NO TOURS)5</v>
      </c>
      <c r="B175">
        <v>5</v>
      </c>
      <c r="C175">
        <v>3</v>
      </c>
      <c r="D175" t="s">
        <v>33</v>
      </c>
      <c r="E175" t="s">
        <v>46</v>
      </c>
      <c r="F175" s="41" t="s">
        <v>111</v>
      </c>
      <c r="G175" t="s">
        <v>34</v>
      </c>
      <c r="H175" s="52" t="str">
        <f>VLOOKUP(Tabla3[[#This Row],[Site]],'Important Info!'!$A$1:$J$135,10,FALSE)</f>
        <v>https://tools.sig.systems/site/details/225</v>
      </c>
      <c r="I175" s="2" t="s">
        <v>137</v>
      </c>
      <c r="J175" t="s">
        <v>41</v>
      </c>
      <c r="K175" s="79" t="str">
        <f>VLOOKUP(Tabla3[[#This Row],[Site]],'Important Info!'!$A$1:$H$135,8,FALSE)</f>
        <v>-</v>
      </c>
      <c r="L175" s="52" t="str">
        <f>VLOOKUP(Tabla3[[#This Row],[Site]],'Important Info!'!$A$1:$F$135,2,FALSE)</f>
        <v>1, 20, 53</v>
      </c>
      <c r="M175" s="52" t="str">
        <f>VLOOKUP(Tabla3[[#This Row],[Site]],'Important Info!'!$A$1:$F$135,3,FALSE)</f>
        <v>-</v>
      </c>
      <c r="N175" s="52" t="str">
        <f>VLOOKUP(Tabla3[[#This Row],[Site]],'Important Info!'!$A$1:$F$135,4,FALSE)</f>
        <v>-</v>
      </c>
      <c r="O175" s="52" t="str">
        <f>VLOOKUP(Tabla3[[#This Row],[Site]],'Important Info!'!$A$1:$F$135,5,FALSE)</f>
        <v>2, 8, 14</v>
      </c>
      <c r="P175" s="52" t="str">
        <f>VLOOKUP(Tabla3[[#This Row],[Site]],'Important Info!'!$A$1:$F$135,6,FALSE)</f>
        <v>51, 52, 16</v>
      </c>
      <c r="Q175" s="91">
        <f>VLOOKUP(Tabla3[[#This Row],[Site]],'Important Info!'!$A$1:$J$135,9,FALSE)</f>
        <v>225</v>
      </c>
    </row>
    <row r="176" spans="1:17" x14ac:dyDescent="0.25">
      <c r="A176" t="str">
        <f>+Tabla3[[#This Row],[Site]]&amp;Tabla3[[#This Row],[Split]]</f>
        <v>(ML) Ford Lincoln of North Little Rock5</v>
      </c>
      <c r="B176">
        <v>5</v>
      </c>
      <c r="C176">
        <v>3</v>
      </c>
      <c r="D176" t="s">
        <v>33</v>
      </c>
      <c r="E176" t="s">
        <v>46</v>
      </c>
      <c r="F176" t="s">
        <v>145</v>
      </c>
      <c r="G176" t="s">
        <v>34</v>
      </c>
      <c r="H176" s="52" t="str">
        <f>VLOOKUP(Tabla3[[#This Row],[Site]],'Important Info!'!$A$1:$J$135,10,FALSE)</f>
        <v>https://tools.sig.systems/site/details/214</v>
      </c>
      <c r="I176" s="66" t="s">
        <v>142</v>
      </c>
      <c r="J176" t="s">
        <v>41</v>
      </c>
      <c r="K176" s="79" t="str">
        <f>VLOOKUP(Tabla3[[#This Row],[Site]],'Important Info!'!$A$1:$H$135,8,FALSE)</f>
        <v>-</v>
      </c>
      <c r="L176" s="52" t="str">
        <f>VLOOKUP(Tabla3[[#This Row],[Site]],'Important Info!'!$A$1:$F$135,2,FALSE)</f>
        <v>4, 15, 18, 67, 74</v>
      </c>
      <c r="M176" s="52">
        <f>VLOOKUP(Tabla3[[#This Row],[Site]],'Important Info!'!$A$1:$F$135,3,FALSE)</f>
        <v>13</v>
      </c>
      <c r="N176" s="52" t="str">
        <f>VLOOKUP(Tabla3[[#This Row],[Site]],'Important Info!'!$A$1:$F$135,4,FALSE)</f>
        <v>-</v>
      </c>
      <c r="O176" s="52" t="str">
        <f>VLOOKUP(Tabla3[[#This Row],[Site]],'Important Info!'!$A$1:$F$135,5,FALSE)</f>
        <v>4, 11, 16, 28</v>
      </c>
      <c r="P176" s="52" t="str">
        <f>VLOOKUP(Tabla3[[#This Row],[Site]],'Important Info!'!$A$1:$F$135,6,FALSE)</f>
        <v>10, 11, 12</v>
      </c>
      <c r="Q176" s="91">
        <f>VLOOKUP(Tabla3[[#This Row],[Site]],'Important Info!'!$A$1:$J$135,9,FALSE)</f>
        <v>214</v>
      </c>
    </row>
    <row r="177" spans="1:17" x14ac:dyDescent="0.25">
      <c r="A177" t="str">
        <f>+Tabla3[[#This Row],[Site]]&amp;Tabla3[[#This Row],[Split]]</f>
        <v>(ML) Joe Machens Ford Lincoln I &amp; II5</v>
      </c>
      <c r="B177">
        <v>5</v>
      </c>
      <c r="C177">
        <v>3</v>
      </c>
      <c r="D177" t="s">
        <v>33</v>
      </c>
      <c r="E177" t="s">
        <v>46</v>
      </c>
      <c r="F177" t="s">
        <v>148</v>
      </c>
      <c r="G177" t="s">
        <v>34</v>
      </c>
      <c r="H177" s="52" t="str">
        <f>VLOOKUP(Tabla3[[#This Row],[Site]],'Important Info!'!$A$1:$J$135,10,FALSE)</f>
        <v>https://tools.sig.systems/site/details/266</v>
      </c>
      <c r="I177" s="43" t="s">
        <v>146</v>
      </c>
      <c r="J177" t="s">
        <v>41</v>
      </c>
      <c r="K177" s="79" t="str">
        <f>VLOOKUP(Tabla3[[#This Row],[Site]],'Important Info!'!$A$1:$H$135,8,FALSE)</f>
        <v>-</v>
      </c>
      <c r="L177" s="52" t="str">
        <f>VLOOKUP(Tabla3[[#This Row],[Site]],'Important Info!'!$A$1:$F$135,2,FALSE)</f>
        <v>-</v>
      </c>
      <c r="M177" s="52" t="str">
        <f>VLOOKUP(Tabla3[[#This Row],[Site]],'Important Info!'!$A$1:$F$135,3,FALSE)</f>
        <v>4, 6, 9, 13, 14, 17, 26, 27, 28, 29, 30</v>
      </c>
      <c r="N177" s="52" t="str">
        <f>VLOOKUP(Tabla3[[#This Row],[Site]],'Important Info!'!$A$1:$F$135,4,FALSE)</f>
        <v>-</v>
      </c>
      <c r="O177" s="52" t="str">
        <f>VLOOKUP(Tabla3[[#This Row],[Site]],'Important Info!'!$A$1:$F$135,5,FALSE)</f>
        <v>23, 40, 49</v>
      </c>
      <c r="P177" s="52" t="str">
        <f>VLOOKUP(Tabla3[[#This Row],[Site]],'Important Info!'!$A$1:$F$135,6,FALSE)</f>
        <v>-</v>
      </c>
      <c r="Q177" s="91">
        <f>VLOOKUP(Tabla3[[#This Row],[Site]],'Important Info!'!$A$1:$J$135,9,FALSE)</f>
        <v>266</v>
      </c>
    </row>
    <row r="178" spans="1:17" x14ac:dyDescent="0.25">
      <c r="A178" t="str">
        <f>+Tabla3[[#This Row],[Site]]&amp;Tabla3[[#This Row],[Split]]</f>
        <v>(ML) Joe Machens VW5</v>
      </c>
      <c r="B178">
        <v>5</v>
      </c>
      <c r="C178">
        <v>3</v>
      </c>
      <c r="D178" t="s">
        <v>33</v>
      </c>
      <c r="E178" t="s">
        <v>46</v>
      </c>
      <c r="F178" t="s">
        <v>74</v>
      </c>
      <c r="G178" t="s">
        <v>34</v>
      </c>
      <c r="H178" s="52" t="str">
        <f>VLOOKUP(Tabla3[[#This Row],[Site]],'Important Info!'!$A$1:$J$135,10,FALSE)</f>
        <v>https://tools.sig.systems/site/details/274</v>
      </c>
      <c r="I178" s="2" t="s">
        <v>146</v>
      </c>
      <c r="J178" t="s">
        <v>41</v>
      </c>
      <c r="K178" s="79" t="str">
        <f>VLOOKUP(Tabla3[[#This Row],[Site]],'Important Info!'!$A$1:$H$135,8,FALSE)</f>
        <v>-</v>
      </c>
      <c r="L178" s="52" t="str">
        <f>VLOOKUP(Tabla3[[#This Row],[Site]],'Important Info!'!$A$1:$F$135,2,FALSE)</f>
        <v>-</v>
      </c>
      <c r="M178" s="52" t="str">
        <f>VLOOKUP(Tabla3[[#This Row],[Site]],'Important Info!'!$A$1:$F$135,3,FALSE)</f>
        <v>1, 11, 18</v>
      </c>
      <c r="N178" s="52" t="str">
        <f>VLOOKUP(Tabla3[[#This Row],[Site]],'Important Info!'!$A$1:$F$135,4,FALSE)</f>
        <v>-</v>
      </c>
      <c r="O178" s="52">
        <f>VLOOKUP(Tabla3[[#This Row],[Site]],'Important Info!'!$A$1:$F$135,5,FALSE)</f>
        <v>17</v>
      </c>
      <c r="P178" s="52" t="str">
        <f>VLOOKUP(Tabla3[[#This Row],[Site]],'Important Info!'!$A$1:$F$135,6,FALSE)</f>
        <v>-</v>
      </c>
      <c r="Q178" s="91">
        <f>VLOOKUP(Tabla3[[#This Row],[Site]],'Important Info!'!$A$1:$J$135,9,FALSE)</f>
        <v>274</v>
      </c>
    </row>
    <row r="179" spans="1:17" x14ac:dyDescent="0.25">
      <c r="A179" t="str">
        <f>+Tabla3[[#This Row],[Site]]&amp;Tabla3[[#This Row],[Split]]</f>
        <v>(ML) Nissan Of Benton5</v>
      </c>
      <c r="B179">
        <v>5</v>
      </c>
      <c r="C179">
        <v>3</v>
      </c>
      <c r="D179" t="s">
        <v>33</v>
      </c>
      <c r="E179" t="s">
        <v>46</v>
      </c>
      <c r="F179" t="s">
        <v>120</v>
      </c>
      <c r="G179" t="s">
        <v>34</v>
      </c>
      <c r="H179" s="52" t="str">
        <f>VLOOKUP(Tabla3[[#This Row],[Site]],'Important Info!'!$A$1:$J$135,10,FALSE)</f>
        <v>https://tools.sig.systems/site/details/247</v>
      </c>
      <c r="J179" t="s">
        <v>41</v>
      </c>
      <c r="K179" s="79" t="str">
        <f>VLOOKUP(Tabla3[[#This Row],[Site]],'Important Info!'!$A$1:$H$135,8,FALSE)</f>
        <v>-</v>
      </c>
      <c r="L179" s="52" t="str">
        <f>VLOOKUP(Tabla3[[#This Row],[Site]],'Important Info!'!$A$1:$F$135,2,FALSE)</f>
        <v>5, 12</v>
      </c>
      <c r="M179" s="52" t="str">
        <f>VLOOKUP(Tabla3[[#This Row],[Site]],'Important Info!'!$A$1:$F$135,3,FALSE)</f>
        <v>-</v>
      </c>
      <c r="N179" s="52" t="str">
        <f>VLOOKUP(Tabla3[[#This Row],[Site]],'Important Info!'!$A$1:$F$135,4,FALSE)</f>
        <v>-</v>
      </c>
      <c r="O179" s="52" t="str">
        <f>VLOOKUP(Tabla3[[#This Row],[Site]],'Important Info!'!$A$1:$F$135,5,FALSE)</f>
        <v>4, 18</v>
      </c>
      <c r="P179" s="52" t="str">
        <f>VLOOKUP(Tabla3[[#This Row],[Site]],'Important Info!'!$A$1:$F$135,6,FALSE)</f>
        <v>-</v>
      </c>
      <c r="Q179" s="91">
        <f>VLOOKUP(Tabla3[[#This Row],[Site]],'Important Info!'!$A$1:$J$135,9,FALSE)</f>
        <v>247</v>
      </c>
    </row>
    <row r="180" spans="1:17" x14ac:dyDescent="0.25">
      <c r="A180" t="str">
        <f>+Tabla3[[#This Row],[Site]]&amp;Tabla3[[#This Row],[Split]]</f>
        <v>(PE) JLR Darien PDI (NO TOURS)5</v>
      </c>
      <c r="B180">
        <v>5</v>
      </c>
      <c r="C180">
        <v>3</v>
      </c>
      <c r="D180" t="s">
        <v>485</v>
      </c>
      <c r="E180" t="s">
        <v>35</v>
      </c>
      <c r="F180" t="s">
        <v>98</v>
      </c>
      <c r="G180" t="s">
        <v>490</v>
      </c>
      <c r="H180" s="52" t="str">
        <f>VLOOKUP(Tabla3[[#This Row],[Site]],'Important Info!'!$A$1:$J$135,10,FALSE)</f>
        <v>https://tools.sig.systems/site/details/187</v>
      </c>
      <c r="I180" t="s">
        <v>175</v>
      </c>
      <c r="J180" t="s">
        <v>41</v>
      </c>
      <c r="K180" s="79" t="str">
        <f>VLOOKUP(Tabla3[[#This Row],[Site]],'Important Info!'!$A$1:$H$135,8,FALSE)</f>
        <v>-</v>
      </c>
      <c r="L180" s="52">
        <f>VLOOKUP(Tabla3[[#This Row],[Site]],'Important Info!'!$A$1:$F$135,2,FALSE)</f>
        <v>1</v>
      </c>
      <c r="M180" s="52" t="str">
        <f>VLOOKUP(Tabla3[[#This Row],[Site]],'Important Info!'!$A$1:$F$135,3,FALSE)</f>
        <v>-</v>
      </c>
      <c r="N180" s="52" t="str">
        <f>VLOOKUP(Tabla3[[#This Row],[Site]],'Important Info!'!$A$1:$F$135,4,FALSE)</f>
        <v>-</v>
      </c>
      <c r="O180" s="52">
        <f>VLOOKUP(Tabla3[[#This Row],[Site]],'Important Info!'!$A$1:$F$135,5,FALSE)</f>
        <v>1</v>
      </c>
      <c r="P180" s="52">
        <f>VLOOKUP(Tabla3[[#This Row],[Site]],'Important Info!'!$A$1:$F$135,6,FALSE)</f>
        <v>7</v>
      </c>
      <c r="Q180" s="91">
        <f>VLOOKUP(Tabla3[[#This Row],[Site]],'Important Info!'!$A$1:$J$135,9,FALSE)</f>
        <v>187</v>
      </c>
    </row>
    <row r="181" spans="1:17" x14ac:dyDescent="0.25">
      <c r="A181" t="str">
        <f>+Tabla3[[#This Row],[Site]]&amp;Tabla3[[#This Row],[Split]]</f>
        <v>(RML) Burleson Nissan5</v>
      </c>
      <c r="B181">
        <v>5</v>
      </c>
      <c r="C181">
        <v>3</v>
      </c>
      <c r="D181" t="s">
        <v>33</v>
      </c>
      <c r="E181" t="s">
        <v>46</v>
      </c>
      <c r="F181" t="s">
        <v>107</v>
      </c>
      <c r="G181" t="s">
        <v>34</v>
      </c>
      <c r="H181" s="52" t="str">
        <f>VLOOKUP(Tabla3[[#This Row],[Site]],'Important Info!'!$A$1:$J$135,10,FALSE)</f>
        <v>https://tools.sig.systems/site/details/202</v>
      </c>
      <c r="J181" t="s">
        <v>41</v>
      </c>
      <c r="K181" s="79" t="str">
        <f>VLOOKUP(Tabla3[[#This Row],[Site]],'Important Info!'!$A$1:$H$135,8,FALSE)</f>
        <v>-</v>
      </c>
      <c r="L181" s="52" t="str">
        <f>VLOOKUP(Tabla3[[#This Row],[Site]],'Important Info!'!$A$1:$F$135,2,FALSE)</f>
        <v>3, 21</v>
      </c>
      <c r="M181" s="52" t="str">
        <f>VLOOKUP(Tabla3[[#This Row],[Site]],'Important Info!'!$A$1:$F$135,3,FALSE)</f>
        <v>-</v>
      </c>
      <c r="N181" s="52" t="str">
        <f>VLOOKUP(Tabla3[[#This Row],[Site]],'Important Info!'!$A$1:$F$135,4,FALSE)</f>
        <v>-</v>
      </c>
      <c r="O181" s="52" t="str">
        <f>VLOOKUP(Tabla3[[#This Row],[Site]],'Important Info!'!$A$1:$F$135,5,FALSE)</f>
        <v>2, 6, 15</v>
      </c>
      <c r="P181" s="52" t="str">
        <f>VLOOKUP(Tabla3[[#This Row],[Site]],'Important Info!'!$A$1:$F$135,6,FALSE)</f>
        <v>-</v>
      </c>
      <c r="Q181" s="91">
        <f>VLOOKUP(Tabla3[[#This Row],[Site]],'Important Info!'!$A$1:$J$135,9,FALSE)</f>
        <v>202</v>
      </c>
    </row>
    <row r="182" spans="1:17" x14ac:dyDescent="0.25">
      <c r="A182" t="str">
        <f>+Tabla3[[#This Row],[Site]]&amp;Tabla3[[#This Row],[Split]]</f>
        <v>(RV) Toms Camperland Surprise (NO TOURS)5</v>
      </c>
      <c r="B182">
        <v>5</v>
      </c>
      <c r="C182">
        <v>3</v>
      </c>
      <c r="D182" t="s">
        <v>51</v>
      </c>
      <c r="E182" t="s">
        <v>161</v>
      </c>
      <c r="F182" t="s">
        <v>165</v>
      </c>
      <c r="G182" t="s">
        <v>52</v>
      </c>
      <c r="H182" s="52" t="str">
        <f>VLOOKUP(Tabla3[[#This Row],[Site]],'Important Info!'!$A$1:$J$135,10,FALSE)</f>
        <v>https://tools.sig.systems/site/details/254</v>
      </c>
      <c r="J182" t="s">
        <v>52</v>
      </c>
      <c r="K182" s="79" t="str">
        <f>VLOOKUP(Tabla3[[#This Row],[Site]],'Important Info!'!$A$1:$H$135,8,FALSE)</f>
        <v>-</v>
      </c>
      <c r="L182" s="52" t="str">
        <f>VLOOKUP(Tabla3[[#This Row],[Site]],'Important Info!'!$A$1:$F$135,2,FALSE)</f>
        <v>1, 3, 4</v>
      </c>
      <c r="M182" s="52" t="str">
        <f>VLOOKUP(Tabla3[[#This Row],[Site]],'Important Info!'!$A$1:$F$135,3,FALSE)</f>
        <v>-</v>
      </c>
      <c r="N182" s="52" t="str">
        <f>VLOOKUP(Tabla3[[#This Row],[Site]],'Important Info!'!$A$1:$F$135,4,FALSE)</f>
        <v>-</v>
      </c>
      <c r="O182" s="52" t="str">
        <f>VLOOKUP(Tabla3[[#This Row],[Site]],'Important Info!'!$A$1:$F$135,5,FALSE)</f>
        <v>-</v>
      </c>
      <c r="P182" s="52" t="str">
        <f>VLOOKUP(Tabla3[[#This Row],[Site]],'Important Info!'!$A$1:$F$135,6,FALSE)</f>
        <v>1, 2, 3, 4, 15</v>
      </c>
      <c r="Q182" s="91">
        <f>VLOOKUP(Tabla3[[#This Row],[Site]],'Important Info!'!$A$1:$J$135,9,FALSE)</f>
        <v>254</v>
      </c>
    </row>
    <row r="183" spans="1:17" x14ac:dyDescent="0.25">
      <c r="A183" t="str">
        <f>+Tabla3[[#This Row],[Site]]&amp;Tabla3[[#This Row],[Split]]</f>
        <v>(SCH) Chevrolet North Palm5</v>
      </c>
      <c r="B183">
        <v>5</v>
      </c>
      <c r="C183">
        <v>3</v>
      </c>
      <c r="D183" t="s">
        <v>62</v>
      </c>
      <c r="E183" t="s">
        <v>35</v>
      </c>
      <c r="F183" t="s">
        <v>101</v>
      </c>
      <c r="G183" t="s">
        <v>490</v>
      </c>
      <c r="H183" s="52" t="str">
        <f>VLOOKUP(Tabla3[[#This Row],[Site]],'Important Info!'!$A$1:$J$135,10,FALSE)</f>
        <v>https://tools.sig.systems/site/details/160</v>
      </c>
      <c r="I183" s="2"/>
      <c r="J183" t="s">
        <v>36</v>
      </c>
      <c r="K183" s="79" t="str">
        <f>VLOOKUP(Tabla3[[#This Row],[Site]],'Important Info!'!$A$1:$H$135,8,FALSE)</f>
        <v>-</v>
      </c>
      <c r="L183" s="52" t="str">
        <f>VLOOKUP(Tabla3[[#This Row],[Site]],'Important Info!'!$A$1:$F$135,2,FALSE)</f>
        <v xml:space="preserve">7, 10B, 11, 15 </v>
      </c>
      <c r="M183" s="52" t="str">
        <f>VLOOKUP(Tabla3[[#This Row],[Site]],'Important Info!'!$A$1:$F$135,3,FALSE)</f>
        <v>-</v>
      </c>
      <c r="N183" s="52" t="str">
        <f>VLOOKUP(Tabla3[[#This Row],[Site]],'Important Info!'!$A$1:$F$135,4,FALSE)</f>
        <v>-</v>
      </c>
      <c r="O183" s="52" t="str">
        <f>VLOOKUP(Tabla3[[#This Row],[Site]],'Important Info!'!$A$1:$F$135,5,FALSE)</f>
        <v>-</v>
      </c>
      <c r="P183" s="52" t="str">
        <f>VLOOKUP(Tabla3[[#This Row],[Site]],'Important Info!'!$A$1:$F$135,6,FALSE)</f>
        <v>1, 15, 16, 17, 18, 19, 20</v>
      </c>
      <c r="Q183" s="91">
        <f>VLOOKUP(Tabla3[[#This Row],[Site]],'Important Info!'!$A$1:$J$135,9,FALSE)</f>
        <v>160</v>
      </c>
    </row>
    <row r="184" spans="1:17" x14ac:dyDescent="0.25">
      <c r="A184" t="str">
        <f>+Tabla3[[#This Row],[Site]]&amp;Tabla3[[#This Row],[Split]]</f>
        <v>(SCH) Prep Center Delray5</v>
      </c>
      <c r="B184">
        <v>5</v>
      </c>
      <c r="C184">
        <v>3</v>
      </c>
      <c r="D184" t="s">
        <v>62</v>
      </c>
      <c r="E184" t="s">
        <v>35</v>
      </c>
      <c r="F184" t="s">
        <v>191</v>
      </c>
      <c r="G184" t="s">
        <v>490</v>
      </c>
      <c r="H184" s="52" t="str">
        <f>VLOOKUP(Tabla3[[#This Row],[Site]],'Important Info!'!$A$1:$J$135,10,FALSE)</f>
        <v>https://tools.sig.systems/site/details/321</v>
      </c>
      <c r="J184" t="s">
        <v>41</v>
      </c>
      <c r="K184" s="79" t="str">
        <f>VLOOKUP(Tabla3[[#This Row],[Site]],'Important Info!'!$A$1:$H$135,8,FALSE)</f>
        <v>-</v>
      </c>
      <c r="L184" s="52" t="str">
        <f>VLOOKUP(Tabla3[[#This Row],[Site]],'Important Info!'!$A$1:$F$135,2,FALSE)</f>
        <v>2,3</v>
      </c>
      <c r="M184" s="52" t="str">
        <f>VLOOKUP(Tabla3[[#This Row],[Site]],'Important Info!'!$A$1:$F$135,3,FALSE)</f>
        <v>-</v>
      </c>
      <c r="N184" s="52" t="str">
        <f>VLOOKUP(Tabla3[[#This Row],[Site]],'Important Info!'!$A$1:$F$135,4,FALSE)</f>
        <v>-</v>
      </c>
      <c r="O184" s="52" t="str">
        <f>VLOOKUP(Tabla3[[#This Row],[Site]],'Important Info!'!$A$1:$F$135,5,FALSE)</f>
        <v>-</v>
      </c>
      <c r="P184" s="52" t="str">
        <f>VLOOKUP(Tabla3[[#This Row],[Site]],'Important Info!'!$A$1:$F$135,6,FALSE)</f>
        <v>2,4,10</v>
      </c>
      <c r="Q184" s="91">
        <f>VLOOKUP(Tabla3[[#This Row],[Site]],'Important Info!'!$A$1:$J$135,9,FALSE)</f>
        <v>321</v>
      </c>
    </row>
    <row r="185" spans="1:17" x14ac:dyDescent="0.25">
      <c r="A185" t="str">
        <f>+Tabla3[[#This Row],[Site]]&amp;Tabla3[[#This Row],[Split]]</f>
        <v>SIG Office5</v>
      </c>
      <c r="B185">
        <v>5</v>
      </c>
      <c r="C185">
        <v>3</v>
      </c>
      <c r="D185" t="s">
        <v>60</v>
      </c>
      <c r="E185" t="s">
        <v>35</v>
      </c>
      <c r="F185" t="s">
        <v>169</v>
      </c>
      <c r="G185" t="s">
        <v>41</v>
      </c>
      <c r="H185" s="52" t="str">
        <f>VLOOKUP(Tabla3[[#This Row],[Site]],'Important Info!'!$A$1:$J$135,10,FALSE)</f>
        <v>https://tools.sig.systems/site/details/163</v>
      </c>
      <c r="J185" t="s">
        <v>41</v>
      </c>
      <c r="K185" s="79" t="str">
        <f>VLOOKUP(Tabla3[[#This Row],[Site]],'Important Info!'!$A$1:$H$135,8,FALSE)</f>
        <v>-</v>
      </c>
      <c r="L185" s="52" t="str">
        <f>VLOOKUP(Tabla3[[#This Row],[Site]],'Important Info!'!$A$1:$F$135,2,FALSE)</f>
        <v>-</v>
      </c>
      <c r="M185" s="52" t="str">
        <f>VLOOKUP(Tabla3[[#This Row],[Site]],'Important Info!'!$A$1:$F$135,3,FALSE)</f>
        <v>-</v>
      </c>
      <c r="N185" s="52" t="str">
        <f>VLOOKUP(Tabla3[[#This Row],[Site]],'Important Info!'!$A$1:$F$135,4,FALSE)</f>
        <v>-</v>
      </c>
      <c r="O185" s="52" t="str">
        <f>VLOOKUP(Tabla3[[#This Row],[Site]],'Important Info!'!$A$1:$F$135,5,FALSE)</f>
        <v>-</v>
      </c>
      <c r="P185" s="52">
        <f>VLOOKUP(Tabla3[[#This Row],[Site]],'Important Info!'!$A$1:$F$135,6,FALSE)</f>
        <v>25</v>
      </c>
      <c r="Q185" s="91">
        <f>VLOOKUP(Tabla3[[#This Row],[Site]],'Important Info!'!$A$1:$J$135,9,FALSE)</f>
        <v>163</v>
      </c>
    </row>
    <row r="186" spans="1:17" x14ac:dyDescent="0.25">
      <c r="A186" t="str">
        <f>+Tabla3[[#This Row],[Site]]&amp;Tabla3[[#This Row],[Split]]</f>
        <v>(AS) Courtesy CDJR of Brandon (NO TOURS)5</v>
      </c>
      <c r="B186">
        <v>5</v>
      </c>
      <c r="C186">
        <v>4</v>
      </c>
      <c r="D186" t="s">
        <v>62</v>
      </c>
      <c r="E186" t="s">
        <v>35</v>
      </c>
      <c r="F186" t="s">
        <v>503</v>
      </c>
      <c r="G186" t="s">
        <v>490</v>
      </c>
      <c r="H186" s="52" t="str">
        <f>VLOOKUP(Tabla3[[#This Row],[Site]],'Important Info!'!$A$1:$J$135,10,FALSE)</f>
        <v>https://tools.sig.systems/site/details/126</v>
      </c>
      <c r="I186" s="66" t="s">
        <v>181</v>
      </c>
      <c r="J186" t="s">
        <v>484</v>
      </c>
      <c r="K186" s="79" t="str">
        <f>VLOOKUP(Tabla3[[#This Row],[Site]],'Important Info!'!$A$1:$H$135,8,FALSE)</f>
        <v>-</v>
      </c>
      <c r="L186" s="52" t="str">
        <f>VLOOKUP(Tabla3[[#This Row],[Site]],'Important Info!'!$A$1:$F$135,2,FALSE)</f>
        <v>1, 14, 15</v>
      </c>
      <c r="M186" s="52">
        <f>VLOOKUP(Tabla3[[#This Row],[Site]],'Important Info!'!$A$1:$F$135,3,FALSE)</f>
        <v>1</v>
      </c>
      <c r="N186" s="52" t="str">
        <f>VLOOKUP(Tabla3[[#This Row],[Site]],'Important Info!'!$A$1:$F$135,4,FALSE)</f>
        <v>-</v>
      </c>
      <c r="O186" s="52" t="str">
        <f>VLOOKUP(Tabla3[[#This Row],[Site]],'Important Info!'!$A$1:$F$135,5,FALSE)</f>
        <v>2, 12</v>
      </c>
      <c r="P186" s="52" t="str">
        <f>VLOOKUP(Tabla3[[#This Row],[Site]],'Important Info!'!$A$1:$F$135,6,FALSE)</f>
        <v xml:space="preserve">1, 2, 3, 4, 14, 15, 21, 25 </v>
      </c>
      <c r="Q186" s="91">
        <f>VLOOKUP(Tabla3[[#This Row],[Site]],'Important Info!'!$A$1:$J$135,9,FALSE)</f>
        <v>126</v>
      </c>
    </row>
    <row r="187" spans="1:17" x14ac:dyDescent="0.25">
      <c r="A187" t="str">
        <f>+Tabla3[[#This Row],[Site]]&amp;Tabla3[[#This Row],[Split]]</f>
        <v>(AS) David McDavid Honda I &amp; II (NO TOURS)5</v>
      </c>
      <c r="B187">
        <v>5</v>
      </c>
      <c r="C187">
        <v>4</v>
      </c>
      <c r="D187" t="s">
        <v>33</v>
      </c>
      <c r="E187" t="s">
        <v>46</v>
      </c>
      <c r="F187" t="s">
        <v>506</v>
      </c>
      <c r="G187" t="s">
        <v>34</v>
      </c>
      <c r="H187" s="52" t="str">
        <f>VLOOKUP(Tabla3[[#This Row],[Site]],'Important Info!'!$A$1:$J$135,10,FALSE)</f>
        <v>https://tools.sig.systems/site/details/129</v>
      </c>
      <c r="J187" t="s">
        <v>41</v>
      </c>
      <c r="K187" s="79" t="str">
        <f>VLOOKUP(Tabla3[[#This Row],[Site]],'Important Info!'!$A$1:$H$135,8,FALSE)</f>
        <v>-</v>
      </c>
      <c r="L187" s="52" t="str">
        <f>VLOOKUP(Tabla3[[#This Row],[Site]],'Important Info!'!$A$1:$F$135,2,FALSE)</f>
        <v>-</v>
      </c>
      <c r="M187" s="52" t="str">
        <f>VLOOKUP(Tabla3[[#This Row],[Site]],'Important Info!'!$A$1:$F$135,3,FALSE)</f>
        <v>3, 19, 23, 32, 35</v>
      </c>
      <c r="N187" s="52" t="str">
        <f>VLOOKUP(Tabla3[[#This Row],[Site]],'Important Info!'!$A$1:$F$135,4,FALSE)</f>
        <v>-</v>
      </c>
      <c r="O187" s="52" t="str">
        <f>VLOOKUP(Tabla3[[#This Row],[Site]],'Important Info!'!$A$1:$F$135,5,FALSE)</f>
        <v>2, 6, 9, 19, 25, 30, 48</v>
      </c>
      <c r="P187" s="52" t="str">
        <f>VLOOKUP(Tabla3[[#This Row],[Site]],'Important Info!'!$A$1:$F$135,6,FALSE)</f>
        <v>25, 26, 35, 36, 37</v>
      </c>
      <c r="Q187" s="91">
        <f>VLOOKUP(Tabla3[[#This Row],[Site]],'Important Info!'!$A$1:$J$135,9,FALSE)</f>
        <v>129</v>
      </c>
    </row>
    <row r="188" spans="1:17" x14ac:dyDescent="0.25">
      <c r="A188" t="str">
        <f>+Tabla3[[#This Row],[Site]]&amp;Tabla3[[#This Row],[Split]]</f>
        <v>(AS) Lexus Plano I &amp; II (NO TOURS)5</v>
      </c>
      <c r="B188">
        <v>5</v>
      </c>
      <c r="C188">
        <v>4</v>
      </c>
      <c r="D188" t="s">
        <v>33</v>
      </c>
      <c r="E188" s="41" t="s">
        <v>46</v>
      </c>
      <c r="F188" s="41" t="s">
        <v>524</v>
      </c>
      <c r="G188" t="s">
        <v>34</v>
      </c>
      <c r="H188" s="52" t="str">
        <f>VLOOKUP(Tabla3[[#This Row],[Site]],'Important Info!'!$A$1:$J$135,10,FALSE)</f>
        <v>https://tools.sig.systems/site/details/167</v>
      </c>
      <c r="I188" s="94" t="s">
        <v>127</v>
      </c>
      <c r="J188" s="41" t="s">
        <v>41</v>
      </c>
      <c r="K188" s="79" t="str">
        <f>VLOOKUP(Tabla3[[#This Row],[Site]],'Important Info!'!$A$1:$H$135,8,FALSE)</f>
        <v>-</v>
      </c>
      <c r="L188" s="52" t="str">
        <f>VLOOKUP(Tabla3[[#This Row],[Site]],'Important Info!'!$A$1:$F$135,2,FALSE)</f>
        <v>5, 9</v>
      </c>
      <c r="M188" s="52" t="str">
        <f>VLOOKUP(Tabla3[[#This Row],[Site]],'Important Info!'!$A$1:$F$135,3,FALSE)</f>
        <v>-</v>
      </c>
      <c r="N188" s="52" t="str">
        <f>VLOOKUP(Tabla3[[#This Row],[Site]],'Important Info!'!$A$1:$F$135,4,FALSE)</f>
        <v>101, 102, 103, 104</v>
      </c>
      <c r="O188" s="52" t="str">
        <f>VLOOKUP(Tabla3[[#This Row],[Site]],'Important Info!'!$A$1:$F$135,5,FALSE)</f>
        <v>4, 10, 28</v>
      </c>
      <c r="P188" s="52" t="str">
        <f>VLOOKUP(Tabla3[[#This Row],[Site]],'Important Info!'!$A$1:$F$135,6,FALSE)</f>
        <v>5, 9, 16</v>
      </c>
      <c r="Q188" s="91">
        <f>VLOOKUP(Tabla3[[#This Row],[Site]],'Important Info!'!$A$1:$J$135,9,FALSE)</f>
        <v>167</v>
      </c>
    </row>
    <row r="189" spans="1:17" x14ac:dyDescent="0.25">
      <c r="A189" t="str">
        <f>+Tabla3[[#This Row],[Site]]&amp;Tabla3[[#This Row],[Split]]</f>
        <v>(AS) Nalley Luxury Collision Center (NO TOURS)5</v>
      </c>
      <c r="B189">
        <v>5</v>
      </c>
      <c r="C189">
        <v>4</v>
      </c>
      <c r="D189" t="s">
        <v>62</v>
      </c>
      <c r="E189" t="s">
        <v>35</v>
      </c>
      <c r="F189" t="s">
        <v>512</v>
      </c>
      <c r="G189" t="s">
        <v>490</v>
      </c>
      <c r="H189" s="52" t="str">
        <f>VLOOKUP(Tabla3[[#This Row],[Site]],'Important Info!'!$A$1:$J$135,10,FALSE)</f>
        <v>https://tools.sig.systems/site/details/263</v>
      </c>
      <c r="I189" s="43" t="s">
        <v>166</v>
      </c>
      <c r="J189" t="s">
        <v>41</v>
      </c>
      <c r="K189" s="79" t="str">
        <f>VLOOKUP(Tabla3[[#This Row],[Site]],'Important Info!'!$A$1:$H$135,8,FALSE)</f>
        <v>-</v>
      </c>
      <c r="L189" s="52" t="str">
        <f>VLOOKUP(Tabla3[[#This Row],[Site]],'Important Info!'!$A$1:$F$135,2,FALSE)</f>
        <v>6, 13</v>
      </c>
      <c r="M189" s="52" t="str">
        <f>VLOOKUP(Tabla3[[#This Row],[Site]],'Important Info!'!$A$1:$F$135,3,FALSE)</f>
        <v>-</v>
      </c>
      <c r="N189" s="52" t="str">
        <f>VLOOKUP(Tabla3[[#This Row],[Site]],'Important Info!'!$A$1:$F$135,4,FALSE)</f>
        <v>-</v>
      </c>
      <c r="O189" s="52" t="str">
        <f>VLOOKUP(Tabla3[[#This Row],[Site]],'Important Info!'!$A$1:$F$135,5,FALSE)</f>
        <v>-</v>
      </c>
      <c r="P189" s="52" t="str">
        <f>VLOOKUP(Tabla3[[#This Row],[Site]],'Important Info!'!$A$1:$F$135,6,FALSE)</f>
        <v>6, 7, 12</v>
      </c>
      <c r="Q189" s="91">
        <f>VLOOKUP(Tabla3[[#This Row],[Site]],'Important Info!'!$A$1:$J$135,9,FALSE)</f>
        <v>263</v>
      </c>
    </row>
    <row r="190" spans="1:17" x14ac:dyDescent="0.25">
      <c r="A190" t="str">
        <f>+Tabla3[[#This Row],[Site]]&amp;Tabla3[[#This Row],[Split]]</f>
        <v>(AS) Park Place Mercedes Benz Arlington (NO TOURS)5</v>
      </c>
      <c r="B190">
        <v>5</v>
      </c>
      <c r="C190">
        <v>4</v>
      </c>
      <c r="D190" t="s">
        <v>33</v>
      </c>
      <c r="E190" t="s">
        <v>46</v>
      </c>
      <c r="F190" t="s">
        <v>518</v>
      </c>
      <c r="G190" t="s">
        <v>34</v>
      </c>
      <c r="H190" s="52" t="str">
        <f>VLOOKUP(Tabla3[[#This Row],[Site]],'Important Info!'!$A$1:$J$135,10,FALSE)</f>
        <v>https://tools.sig.systems/site/details/169</v>
      </c>
      <c r="J190" t="s">
        <v>41</v>
      </c>
      <c r="K190" s="79" t="str">
        <f>VLOOKUP(Tabla3[[#This Row],[Site]],'Important Info!'!$A$1:$H$135,8,FALSE)</f>
        <v>-</v>
      </c>
      <c r="L190" s="52" t="str">
        <f>VLOOKUP(Tabla3[[#This Row],[Site]],'Important Info!'!$A$1:$F$135,2,FALSE)</f>
        <v>1, 9, 14</v>
      </c>
      <c r="M190" s="52" t="str">
        <f>VLOOKUP(Tabla3[[#This Row],[Site]],'Important Info!'!$A$1:$F$135,3,FALSE)</f>
        <v>-</v>
      </c>
      <c r="N190" s="52" t="str">
        <f>VLOOKUP(Tabla3[[#This Row],[Site]],'Important Info!'!$A$1:$F$135,4,FALSE)</f>
        <v>77, 78, 79, 80</v>
      </c>
      <c r="O190" s="52" t="str">
        <f>VLOOKUP(Tabla3[[#This Row],[Site]],'Important Info!'!$A$1:$F$135,5,FALSE)</f>
        <v>2, 10, 18, 22, 31, 40</v>
      </c>
      <c r="P190" s="52">
        <f>VLOOKUP(Tabla3[[#This Row],[Site]],'Important Info!'!$A$1:$F$135,6,FALSE)</f>
        <v>9</v>
      </c>
      <c r="Q190" s="91">
        <f>VLOOKUP(Tabla3[[#This Row],[Site]],'Important Info!'!$A$1:$J$135,9,FALSE)</f>
        <v>169</v>
      </c>
    </row>
    <row r="191" spans="1:17" x14ac:dyDescent="0.25">
      <c r="A191" t="str">
        <f>+Tabla3[[#This Row],[Site]]&amp;Tabla3[[#This Row],[Split]]</f>
        <v>(AS) Park Place Volvo Sales (NO TOURS)5</v>
      </c>
      <c r="B191">
        <v>5</v>
      </c>
      <c r="C191">
        <v>4</v>
      </c>
      <c r="D191" t="s">
        <v>33</v>
      </c>
      <c r="E191" t="s">
        <v>46</v>
      </c>
      <c r="F191" t="s">
        <v>521</v>
      </c>
      <c r="G191" t="s">
        <v>34</v>
      </c>
      <c r="H191" s="52" t="str">
        <f>VLOOKUP(Tabla3[[#This Row],[Site]],'Important Info!'!$A$1:$J$135,10,FALSE)</f>
        <v>https://tools.sig.systems/site/details/139</v>
      </c>
      <c r="I191" s="65" t="s">
        <v>125</v>
      </c>
      <c r="J191" t="s">
        <v>41</v>
      </c>
      <c r="K191" s="79" t="str">
        <f>VLOOKUP(Tabla3[[#This Row],[Site]],'Important Info!'!$A$1:$H$135,8,FALSE)</f>
        <v>-</v>
      </c>
      <c r="L191" s="52" t="str">
        <f>VLOOKUP(Tabla3[[#This Row],[Site]],'Important Info!'!$A$1:$F$135,2,FALSE)</f>
        <v>4, 6, 9, 11</v>
      </c>
      <c r="M191" s="52" t="str">
        <f>VLOOKUP(Tabla3[[#This Row],[Site]],'Important Info!'!$A$1:$F$135,3,FALSE)</f>
        <v>-</v>
      </c>
      <c r="N191" s="52" t="str">
        <f>VLOOKUP(Tabla3[[#This Row],[Site]],'Important Info!'!$A$1:$F$135,4,FALSE)</f>
        <v>-</v>
      </c>
      <c r="O191" s="52" t="str">
        <f>VLOOKUP(Tabla3[[#This Row],[Site]],'Important Info!'!$A$1:$F$135,5,FALSE)</f>
        <v>2, 9</v>
      </c>
      <c r="P191" s="52" t="str">
        <f>VLOOKUP(Tabla3[[#This Row],[Site]],'Important Info!'!$A$1:$F$135,6,FALSE)</f>
        <v>4, 10, 11</v>
      </c>
      <c r="Q191" s="91">
        <f>VLOOKUP(Tabla3[[#This Row],[Site]],'Important Info!'!$A$1:$J$135,9,FALSE)</f>
        <v>139</v>
      </c>
    </row>
    <row r="192" spans="1:17" x14ac:dyDescent="0.25">
      <c r="A192" t="str">
        <f>+Tabla3[[#This Row],[Site]]&amp;Tabla3[[#This Row],[Split]]</f>
        <v>(AS) Stevinson Toyota West (NO TOURS)5</v>
      </c>
      <c r="B192">
        <v>5</v>
      </c>
      <c r="C192">
        <v>4</v>
      </c>
      <c r="D192" t="s">
        <v>44</v>
      </c>
      <c r="E192" t="s">
        <v>53</v>
      </c>
      <c r="F192" t="s">
        <v>79</v>
      </c>
      <c r="G192" t="s">
        <v>45</v>
      </c>
      <c r="H192" s="52" t="str">
        <f>VLOOKUP(Tabla3[[#This Row],[Site]],'Important Info!'!$A$1:$J$135,10,FALSE)</f>
        <v>https://tools.sig.systems/site/details/240</v>
      </c>
      <c r="I192" s="43" t="s">
        <v>154</v>
      </c>
      <c r="J192" t="s">
        <v>41</v>
      </c>
      <c r="K192" s="79" t="str">
        <f>VLOOKUP(Tabla3[[#This Row],[Site]],'Important Info!'!$A$1:$H$135,8,FALSE)</f>
        <v>-</v>
      </c>
      <c r="L192" s="52" t="str">
        <f>VLOOKUP(Tabla3[[#This Row],[Site]],'Important Info!'!$A$1:$F$135,2,FALSE)</f>
        <v>-</v>
      </c>
      <c r="M192" s="52" t="str">
        <f>VLOOKUP(Tabla3[[#This Row],[Site]],'Important Info!'!$A$1:$F$135,3,FALSE)</f>
        <v>7, 18, 21</v>
      </c>
      <c r="N192" s="52" t="str">
        <f>VLOOKUP(Tabla3[[#This Row],[Site]],'Important Info!'!$A$1:$F$135,4,FALSE)</f>
        <v>-</v>
      </c>
      <c r="O192" s="52" t="str">
        <f>VLOOKUP(Tabla3[[#This Row],[Site]],'Important Info!'!$A$1:$F$135,5,FALSE)</f>
        <v>11, 24, 34</v>
      </c>
      <c r="P192" s="52" t="str">
        <f>VLOOKUP(Tabla3[[#This Row],[Site]],'Important Info!'!$A$1:$F$135,6,FALSE)</f>
        <v>1, 2, 3, 12</v>
      </c>
      <c r="Q192" s="91">
        <f>VLOOKUP(Tabla3[[#This Row],[Site]],'Important Info!'!$A$1:$J$135,9,FALSE)</f>
        <v>240</v>
      </c>
    </row>
    <row r="193" spans="1:17" x14ac:dyDescent="0.25">
      <c r="A193" t="str">
        <f>+Tabla3[[#This Row],[Site]]&amp;Tabla3[[#This Row],[Split]]</f>
        <v>(DT) El Cajon (NO TOURS)5</v>
      </c>
      <c r="B193">
        <v>5</v>
      </c>
      <c r="C193">
        <v>4</v>
      </c>
      <c r="D193" t="s">
        <v>51</v>
      </c>
      <c r="E193" t="s">
        <v>159</v>
      </c>
      <c r="F193" t="s">
        <v>160</v>
      </c>
      <c r="G193" t="s">
        <v>52</v>
      </c>
      <c r="H193" s="52" t="str">
        <f>VLOOKUP(Tabla3[[#This Row],[Site]],'Important Info!'!$A$1:$J$135,10,FALSE)</f>
        <v>https://tools.sig.systems/site/details/241</v>
      </c>
      <c r="J193" t="s">
        <v>41</v>
      </c>
      <c r="K193" s="79" t="str">
        <f>VLOOKUP(Tabla3[[#This Row],[Site]],'Important Info!'!$A$1:$H$135,8,FALSE)</f>
        <v>-</v>
      </c>
      <c r="L193" s="52" t="str">
        <f>VLOOKUP(Tabla3[[#This Row],[Site]],'Important Info!'!$A$1:$F$135,2,FALSE)</f>
        <v>-</v>
      </c>
      <c r="M193" s="52">
        <f>VLOOKUP(Tabla3[[#This Row],[Site]],'Important Info!'!$A$1:$F$135,3,FALSE)</f>
        <v>3</v>
      </c>
      <c r="N193" s="52" t="str">
        <f>VLOOKUP(Tabla3[[#This Row],[Site]],'Important Info!'!$A$1:$F$135,4,FALSE)</f>
        <v>-</v>
      </c>
      <c r="O193" s="52" t="str">
        <f>VLOOKUP(Tabla3[[#This Row],[Site]],'Important Info!'!$A$1:$F$135,5,FALSE)</f>
        <v>-</v>
      </c>
      <c r="P193" s="52" t="str">
        <f>VLOOKUP(Tabla3[[#This Row],[Site]],'Important Info!'!$A$1:$F$135,6,FALSE)</f>
        <v>-</v>
      </c>
      <c r="Q193" s="91">
        <f>VLOOKUP(Tabla3[[#This Row],[Site]],'Important Info!'!$A$1:$J$135,9,FALSE)</f>
        <v>241</v>
      </c>
    </row>
    <row r="194" spans="1:17" x14ac:dyDescent="0.25">
      <c r="A194" t="str">
        <f>+Tabla3[[#This Row],[Site]]&amp;Tabla3[[#This Row],[Split]]</f>
        <v>(DT) W Houston5</v>
      </c>
      <c r="B194">
        <v>5</v>
      </c>
      <c r="C194">
        <v>4</v>
      </c>
      <c r="D194" t="s">
        <v>33</v>
      </c>
      <c r="E194" t="s">
        <v>46</v>
      </c>
      <c r="F194" t="s">
        <v>69</v>
      </c>
      <c r="G194" t="s">
        <v>34</v>
      </c>
      <c r="H194" s="52" t="str">
        <f>VLOOKUP(Tabla3[[#This Row],[Site]],'Important Info!'!$A$1:$J$135,10,FALSE)</f>
        <v>https://tools.sig.systems/site/details/197</v>
      </c>
      <c r="I194" s="66"/>
      <c r="J194" t="s">
        <v>41</v>
      </c>
      <c r="K194" s="79" t="str">
        <f>VLOOKUP(Tabla3[[#This Row],[Site]],'Important Info!'!$A$1:$H$135,8,FALSE)</f>
        <v>-</v>
      </c>
      <c r="L194" s="52">
        <f>VLOOKUP(Tabla3[[#This Row],[Site]],'Important Info!'!$A$1:$F$135,2,FALSE)</f>
        <v>7</v>
      </c>
      <c r="M194" s="52">
        <f>VLOOKUP(Tabla3[[#This Row],[Site]],'Important Info!'!$A$1:$F$135,3,FALSE)</f>
        <v>2</v>
      </c>
      <c r="N194" s="52" t="str">
        <f>VLOOKUP(Tabla3[[#This Row],[Site]],'Important Info!'!$A$1:$F$135,4,FALSE)</f>
        <v>-</v>
      </c>
      <c r="O194" s="52">
        <f>VLOOKUP(Tabla3[[#This Row],[Site]],'Important Info!'!$A$1:$F$135,5,FALSE)</f>
        <v>14</v>
      </c>
      <c r="P194" s="52" t="str">
        <f>VLOOKUP(Tabla3[[#This Row],[Site]],'Important Info!'!$A$1:$F$135,6,FALSE)</f>
        <v>2, 3, 7, 10</v>
      </c>
      <c r="Q194" s="91">
        <f>VLOOKUP(Tabla3[[#This Row],[Site]],'Important Info!'!$A$1:$J$135,9,FALSE)</f>
        <v>197</v>
      </c>
    </row>
    <row r="195" spans="1:17" x14ac:dyDescent="0.25">
      <c r="A195" t="str">
        <f>+Tabla3[[#This Row],[Site]]&amp;Tabla3[[#This Row],[Split]]</f>
        <v>(HUD) Acura of Greensboro5</v>
      </c>
      <c r="B195">
        <v>5</v>
      </c>
      <c r="C195">
        <v>4</v>
      </c>
      <c r="D195" t="s">
        <v>62</v>
      </c>
      <c r="E195" t="s">
        <v>35</v>
      </c>
      <c r="F195" t="s">
        <v>100</v>
      </c>
      <c r="G195" t="s">
        <v>490</v>
      </c>
      <c r="H195" s="52" t="str">
        <f>VLOOKUP(Tabla3[[#This Row],[Site]],'Important Info!'!$A$1:$J$135,10,FALSE)</f>
        <v>https://tools.sig.systems/site/details/213</v>
      </c>
      <c r="I195" t="s">
        <v>182</v>
      </c>
      <c r="J195" t="s">
        <v>41</v>
      </c>
      <c r="K195" s="79" t="str">
        <f>VLOOKUP(Tabla3[[#This Row],[Site]],'Important Info!'!$A$1:$H$135,8,FALSE)</f>
        <v>-</v>
      </c>
      <c r="L195" s="52" t="str">
        <f>VLOOKUP(Tabla3[[#This Row],[Site]],'Important Info!'!$A$1:$F$135,2,FALSE)</f>
        <v>1, 2, 6, 7, 9</v>
      </c>
      <c r="M195" s="52" t="str">
        <f>VLOOKUP(Tabla3[[#This Row],[Site]],'Important Info!'!$A$1:$F$135,3,FALSE)</f>
        <v>-</v>
      </c>
      <c r="N195" s="52" t="str">
        <f>VLOOKUP(Tabla3[[#This Row],[Site]],'Important Info!'!$A$1:$F$135,4,FALSE)</f>
        <v>-</v>
      </c>
      <c r="O195" s="52" t="str">
        <f>VLOOKUP(Tabla3[[#This Row],[Site]],'Important Info!'!$A$1:$F$135,5,FALSE)</f>
        <v>2, 5</v>
      </c>
      <c r="P195" s="52" t="str">
        <f>VLOOKUP(Tabla3[[#This Row],[Site]],'Important Info!'!$A$1:$F$135,6,FALSE)</f>
        <v>1, 2, 6, 7, 9, 18</v>
      </c>
      <c r="Q195" s="91">
        <f>VLOOKUP(Tabla3[[#This Row],[Site]],'Important Info!'!$A$1:$J$135,9,FALSE)</f>
        <v>213</v>
      </c>
    </row>
    <row r="196" spans="1:17" x14ac:dyDescent="0.25">
      <c r="A196" t="str">
        <f>+Tabla3[[#This Row],[Site]]&amp;Tabla3[[#This Row],[Split]]</f>
        <v>(JE) Jim Ellis Ford Sandy Springs5</v>
      </c>
      <c r="B196">
        <v>5</v>
      </c>
      <c r="C196">
        <v>4</v>
      </c>
      <c r="D196" t="s">
        <v>62</v>
      </c>
      <c r="E196" t="s">
        <v>35</v>
      </c>
      <c r="F196" t="s">
        <v>187</v>
      </c>
      <c r="G196" t="s">
        <v>490</v>
      </c>
      <c r="H196" s="52" t="str">
        <f>VLOOKUP(Tabla3[[#This Row],[Site]],'Important Info!'!$A$1:$J$135,10,FALSE)</f>
        <v>https://tools.sig.systems/site/details/142</v>
      </c>
      <c r="I196" s="2"/>
      <c r="J196" t="s">
        <v>41</v>
      </c>
      <c r="K196" s="79" t="str">
        <f>VLOOKUP(Tabla3[[#This Row],[Site]],'Important Info!'!$A$1:$H$135,8,FALSE)</f>
        <v>-</v>
      </c>
      <c r="L196" s="52" t="str">
        <f>VLOOKUP(Tabla3[[#This Row],[Site]],'Important Info!'!$A$1:$F$135,2,FALSE)</f>
        <v>1, 5</v>
      </c>
      <c r="M196" s="52" t="str">
        <f>VLOOKUP(Tabla3[[#This Row],[Site]],'Important Info!'!$A$1:$F$135,3,FALSE)</f>
        <v>-</v>
      </c>
      <c r="N196" s="52" t="str">
        <f>VLOOKUP(Tabla3[[#This Row],[Site]],'Important Info!'!$A$1:$F$135,4,FALSE)</f>
        <v>-</v>
      </c>
      <c r="O196" s="52" t="str">
        <f>VLOOKUP(Tabla3[[#This Row],[Site]],'Important Info!'!$A$1:$F$135,5,FALSE)</f>
        <v>1, 5, 9, 26</v>
      </c>
      <c r="P196" s="52" t="str">
        <f>VLOOKUP(Tabla3[[#This Row],[Site]],'Important Info!'!$A$1:$F$135,6,FALSE)</f>
        <v>3, 4, 8, 28</v>
      </c>
      <c r="Q196" s="91">
        <f>VLOOKUP(Tabla3[[#This Row],[Site]],'Important Info!'!$A$1:$J$135,9,FALSE)</f>
        <v>142</v>
      </c>
    </row>
    <row r="197" spans="1:17" x14ac:dyDescent="0.25">
      <c r="A197" t="str">
        <f>+Tabla3[[#This Row],[Site]]&amp;Tabla3[[#This Row],[Split]]</f>
        <v>(KG) Big Star CDJR of Clear Lake5</v>
      </c>
      <c r="B197">
        <v>5</v>
      </c>
      <c r="C197">
        <v>4</v>
      </c>
      <c r="D197" t="s">
        <v>33</v>
      </c>
      <c r="E197" t="s">
        <v>46</v>
      </c>
      <c r="F197" t="s">
        <v>133</v>
      </c>
      <c r="G197" t="s">
        <v>34</v>
      </c>
      <c r="H197" s="52" t="str">
        <f>VLOOKUP(Tabla3[[#This Row],[Site]],'Important Info!'!$A$1:$J$135,10,FALSE)</f>
        <v>https://tools.sig.systems/site/details/232</v>
      </c>
      <c r="I197" s="2" t="s">
        <v>134</v>
      </c>
      <c r="J197" t="s">
        <v>41</v>
      </c>
      <c r="K197" s="79" t="str">
        <f>VLOOKUP(Tabla3[[#This Row],[Site]],'Important Info!'!$A$1:$H$135,8,FALSE)</f>
        <v>-</v>
      </c>
      <c r="L197" s="52" t="str">
        <f>VLOOKUP(Tabla3[[#This Row],[Site]],'Important Info!'!$A$1:$F$135,2,FALSE)</f>
        <v>8, 25</v>
      </c>
      <c r="M197" s="52" t="str">
        <f>VLOOKUP(Tabla3[[#This Row],[Site]],'Important Info!'!$A$1:$F$135,3,FALSE)</f>
        <v>-</v>
      </c>
      <c r="N197" s="52" t="str">
        <f>VLOOKUP(Tabla3[[#This Row],[Site]],'Important Info!'!$A$1:$F$135,4,FALSE)</f>
        <v>-</v>
      </c>
      <c r="O197" s="52" t="str">
        <f>VLOOKUP(Tabla3[[#This Row],[Site]],'Important Info!'!$A$1:$F$135,5,FALSE)</f>
        <v>7, 13, 19, 24</v>
      </c>
      <c r="P197" s="52" t="str">
        <f>VLOOKUP(Tabla3[[#This Row],[Site]],'Important Info!'!$A$1:$F$135,6,FALSE)</f>
        <v>6, 8, 25, 31</v>
      </c>
      <c r="Q197" s="91">
        <f>VLOOKUP(Tabla3[[#This Row],[Site]],'Important Info!'!$A$1:$J$135,9,FALSE)</f>
        <v>232</v>
      </c>
    </row>
    <row r="198" spans="1:17" x14ac:dyDescent="0.25">
      <c r="A198" t="str">
        <f>+Tabla3[[#This Row],[Site]]&amp;Tabla3[[#This Row],[Split]]</f>
        <v>(LM) Luther Mazda / Mitsubishi5</v>
      </c>
      <c r="B198">
        <v>5</v>
      </c>
      <c r="C198">
        <v>4</v>
      </c>
      <c r="D198" t="s">
        <v>33</v>
      </c>
      <c r="E198" t="s">
        <v>46</v>
      </c>
      <c r="F198" t="s">
        <v>103</v>
      </c>
      <c r="G198" t="s">
        <v>34</v>
      </c>
      <c r="H198" s="52" t="str">
        <f>VLOOKUP(Tabla3[[#This Row],[Site]],'Important Info!'!$A$1:$J$135,10,FALSE)</f>
        <v>https://tools.sig.systems/site/details/147</v>
      </c>
      <c r="I198" s="2" t="s">
        <v>138</v>
      </c>
      <c r="J198" t="s">
        <v>41</v>
      </c>
      <c r="K198" s="79" t="str">
        <f>VLOOKUP(Tabla3[[#This Row],[Site]],'Important Info!'!$A$1:$H$135,8,FALSE)</f>
        <v>-</v>
      </c>
      <c r="L198" s="52" t="str">
        <f>VLOOKUP(Tabla3[[#This Row],[Site]],'Important Info!'!$A$1:$F$135,2,FALSE)</f>
        <v>4, 5, 6</v>
      </c>
      <c r="M198" s="52" t="str">
        <f>VLOOKUP(Tabla3[[#This Row],[Site]],'Important Info!'!$A$1:$F$135,3,FALSE)</f>
        <v>-</v>
      </c>
      <c r="N198" s="52" t="str">
        <f>VLOOKUP(Tabla3[[#This Row],[Site]],'Important Info!'!$A$1:$F$135,4,FALSE)</f>
        <v>1, 2</v>
      </c>
      <c r="O198" s="52" t="str">
        <f>VLOOKUP(Tabla3[[#This Row],[Site]],'Important Info!'!$A$1:$F$135,5,FALSE)</f>
        <v>-</v>
      </c>
      <c r="P198" s="52" t="str">
        <f>VLOOKUP(Tabla3[[#This Row],[Site]],'Important Info!'!$A$1:$F$135,6,FALSE)</f>
        <v>13, 14, 15, 16</v>
      </c>
      <c r="Q198" s="91">
        <f>VLOOKUP(Tabla3[[#This Row],[Site]],'Important Info!'!$A$1:$J$135,9,FALSE)</f>
        <v>147</v>
      </c>
    </row>
    <row r="199" spans="1:17" x14ac:dyDescent="0.25">
      <c r="A199" t="str">
        <f>+Tabla3[[#This Row],[Site]]&amp;Tabla3[[#This Row],[Split]]</f>
        <v>(ML) Columbia Honda (NO TOURS)5</v>
      </c>
      <c r="B199">
        <v>5</v>
      </c>
      <c r="C199">
        <v>4</v>
      </c>
      <c r="D199" t="s">
        <v>33</v>
      </c>
      <c r="E199" t="s">
        <v>46</v>
      </c>
      <c r="F199" t="s">
        <v>143</v>
      </c>
      <c r="G199" t="s">
        <v>34</v>
      </c>
      <c r="H199" s="52" t="str">
        <f>VLOOKUP(Tabla3[[#This Row],[Site]],'Important Info!'!$A$1:$J$135,10,FALSE)</f>
        <v>https://tools.sig.systems/site/details/272</v>
      </c>
      <c r="I199" s="66" t="s">
        <v>144</v>
      </c>
      <c r="J199" t="s">
        <v>41</v>
      </c>
      <c r="K199" s="79" t="str">
        <f>VLOOKUP(Tabla3[[#This Row],[Site]],'Important Info!'!$A$1:$H$135,8,FALSE)</f>
        <v>-</v>
      </c>
      <c r="L199" s="52" t="str">
        <f>VLOOKUP(Tabla3[[#This Row],[Site]],'Important Info!'!$A$1:$F$135,2,FALSE)</f>
        <v>-</v>
      </c>
      <c r="M199" s="52" t="str">
        <f>VLOOKUP(Tabla3[[#This Row],[Site]],'Important Info!'!$A$1:$F$135,3,FALSE)</f>
        <v>9, 19, 20</v>
      </c>
      <c r="N199" s="52" t="str">
        <f>VLOOKUP(Tabla3[[#This Row],[Site]],'Important Info!'!$A$1:$F$135,4,FALSE)</f>
        <v>-</v>
      </c>
      <c r="O199" s="52" t="str">
        <f>VLOOKUP(Tabla3[[#This Row],[Site]],'Important Info!'!$A$1:$F$135,5,FALSE)</f>
        <v>10, 17, 19</v>
      </c>
      <c r="P199" s="52" t="str">
        <f>VLOOKUP(Tabla3[[#This Row],[Site]],'Important Info!'!$A$1:$F$135,6,FALSE)</f>
        <v>3, 4, 5</v>
      </c>
      <c r="Q199" s="91">
        <f>VLOOKUP(Tabla3[[#This Row],[Site]],'Important Info!'!$A$1:$J$135,9,FALSE)</f>
        <v>272</v>
      </c>
    </row>
    <row r="200" spans="1:17" x14ac:dyDescent="0.25">
      <c r="A200" t="str">
        <f>+Tabla3[[#This Row],[Site]]&amp;Tabla3[[#This Row],[Split]]</f>
        <v>(ML) Joe Machens Kia of Columbia5</v>
      </c>
      <c r="B200">
        <v>5</v>
      </c>
      <c r="C200">
        <v>4</v>
      </c>
      <c r="D200" t="s">
        <v>33</v>
      </c>
      <c r="E200" t="s">
        <v>46</v>
      </c>
      <c r="F200" t="s">
        <v>149</v>
      </c>
      <c r="G200" t="s">
        <v>34</v>
      </c>
      <c r="H200" s="52" t="str">
        <f>VLOOKUP(Tabla3[[#This Row],[Site]],'Important Info!'!$A$1:$J$135,10,FALSE)</f>
        <v>https://tools.sig.systems/site/details/270</v>
      </c>
      <c r="I200" s="43" t="s">
        <v>146</v>
      </c>
      <c r="J200" t="s">
        <v>41</v>
      </c>
      <c r="K200" s="79" t="str">
        <f>VLOOKUP(Tabla3[[#This Row],[Site]],'Important Info!'!$A$1:$H$135,8,FALSE)</f>
        <v>-</v>
      </c>
      <c r="L200" s="52" t="str">
        <f>VLOOKUP(Tabla3[[#This Row],[Site]],'Important Info!'!$A$1:$F$135,2,FALSE)</f>
        <v>-</v>
      </c>
      <c r="M200" s="52" t="str">
        <f>VLOOKUP(Tabla3[[#This Row],[Site]],'Important Info!'!$A$1:$F$135,3,FALSE)</f>
        <v>1, 2, 5, 6, 9, 13, 15</v>
      </c>
      <c r="N200" s="52" t="str">
        <f>VLOOKUP(Tabla3[[#This Row],[Site]],'Important Info!'!$A$1:$F$135,4,FALSE)</f>
        <v>-</v>
      </c>
      <c r="O200" s="52" t="str">
        <f>VLOOKUP(Tabla3[[#This Row],[Site]],'Important Info!'!$A$1:$F$135,5,FALSE)</f>
        <v>-</v>
      </c>
      <c r="P200" s="52" t="str">
        <f>VLOOKUP(Tabla3[[#This Row],[Site]],'Important Info!'!$A$1:$F$135,6,FALSE)</f>
        <v>10, 11, 13</v>
      </c>
      <c r="Q200" s="91">
        <f>VLOOKUP(Tabla3[[#This Row],[Site]],'Important Info!'!$A$1:$J$135,9,FALSE)</f>
        <v>270</v>
      </c>
    </row>
    <row r="201" spans="1:17" x14ac:dyDescent="0.25">
      <c r="A201" t="str">
        <f>+Tabla3[[#This Row],[Site]]&amp;Tabla3[[#This Row],[Split]]</f>
        <v>(ML) Joe Machens Toyota5</v>
      </c>
      <c r="B201">
        <v>5</v>
      </c>
      <c r="C201">
        <v>4</v>
      </c>
      <c r="D201" t="s">
        <v>33</v>
      </c>
      <c r="E201" t="s">
        <v>46</v>
      </c>
      <c r="F201" t="s">
        <v>73</v>
      </c>
      <c r="G201" t="s">
        <v>34</v>
      </c>
      <c r="H201" s="52" t="str">
        <f>VLOOKUP(Tabla3[[#This Row],[Site]],'Important Info!'!$A$1:$J$135,10,FALSE)</f>
        <v>https://tools.sig.systems/site/details/275</v>
      </c>
      <c r="I201" s="2" t="s">
        <v>146</v>
      </c>
      <c r="J201" t="s">
        <v>41</v>
      </c>
      <c r="K201" s="79" t="str">
        <f>VLOOKUP(Tabla3[[#This Row],[Site]],'Important Info!'!$A$1:$H$135,8,FALSE)</f>
        <v>-</v>
      </c>
      <c r="L201" s="52" t="str">
        <f>VLOOKUP(Tabla3[[#This Row],[Site]],'Important Info!'!$A$1:$F$135,2,FALSE)</f>
        <v>-</v>
      </c>
      <c r="M201" s="52" t="str">
        <f>VLOOKUP(Tabla3[[#This Row],[Site]],'Important Info!'!$A$1:$F$135,3,FALSE)</f>
        <v>1, 4, 6</v>
      </c>
      <c r="N201" s="52" t="str">
        <f>VLOOKUP(Tabla3[[#This Row],[Site]],'Important Info!'!$A$1:$F$135,4,FALSE)</f>
        <v>-</v>
      </c>
      <c r="O201" s="52" t="str">
        <f>VLOOKUP(Tabla3[[#This Row],[Site]],'Important Info!'!$A$1:$F$135,5,FALSE)</f>
        <v>4, 10</v>
      </c>
      <c r="P201" s="52" t="str">
        <f>VLOOKUP(Tabla3[[#This Row],[Site]],'Important Info!'!$A$1:$F$135,6,FALSE)</f>
        <v>-</v>
      </c>
      <c r="Q201" s="91">
        <f>VLOOKUP(Tabla3[[#This Row],[Site]],'Important Info!'!$A$1:$J$135,9,FALSE)</f>
        <v>275</v>
      </c>
    </row>
    <row r="202" spans="1:17" x14ac:dyDescent="0.25">
      <c r="A202" t="str">
        <f>+Tabla3[[#This Row],[Site]]&amp;Tabla3[[#This Row],[Split]]</f>
        <v>(ML) Nissan of Little Rock5</v>
      </c>
      <c r="B202">
        <v>5</v>
      </c>
      <c r="C202">
        <v>4</v>
      </c>
      <c r="D202" t="s">
        <v>33</v>
      </c>
      <c r="E202" t="s">
        <v>46</v>
      </c>
      <c r="F202" t="s">
        <v>152</v>
      </c>
      <c r="G202" t="s">
        <v>34</v>
      </c>
      <c r="H202" s="52" t="str">
        <f>VLOOKUP(Tabla3[[#This Row],[Site]],'Important Info!'!$A$1:$J$135,10,FALSE)</f>
        <v>https://tools.sig.systems/site/details/224</v>
      </c>
      <c r="I202" s="43" t="s">
        <v>140</v>
      </c>
      <c r="J202" t="s">
        <v>41</v>
      </c>
      <c r="K202" s="79" t="str">
        <f>VLOOKUP(Tabla3[[#This Row],[Site]],'Important Info!'!$A$1:$H$135,8,FALSE)</f>
        <v>-</v>
      </c>
      <c r="L202" s="52" t="str">
        <f>VLOOKUP(Tabla3[[#This Row],[Site]],'Important Info!'!$A$1:$F$135,2,FALSE)</f>
        <v>3, 6</v>
      </c>
      <c r="M202" s="52" t="str">
        <f>VLOOKUP(Tabla3[[#This Row],[Site]],'Important Info!'!$A$1:$F$135,3,FALSE)</f>
        <v>-</v>
      </c>
      <c r="N202" s="52" t="str">
        <f>VLOOKUP(Tabla3[[#This Row],[Site]],'Important Info!'!$A$1:$F$135,4,FALSE)</f>
        <v>-</v>
      </c>
      <c r="O202" s="52" t="str">
        <f>VLOOKUP(Tabla3[[#This Row],[Site]],'Important Info!'!$A$1:$F$135,5,FALSE)</f>
        <v>1, 8, 16, 22</v>
      </c>
      <c r="P202" s="52" t="str">
        <f>VLOOKUP(Tabla3[[#This Row],[Site]],'Important Info!'!$A$1:$F$135,6,FALSE)</f>
        <v>3, 4</v>
      </c>
      <c r="Q202" s="91">
        <f>VLOOKUP(Tabla3[[#This Row],[Site]],'Important Info!'!$A$1:$J$135,9,FALSE)</f>
        <v>224</v>
      </c>
    </row>
    <row r="203" spans="1:17" x14ac:dyDescent="0.25">
      <c r="A203" t="str">
        <f>+Tabla3[[#This Row],[Site]]&amp;Tabla3[[#This Row],[Split]]</f>
        <v>(ML) Volvo Collision Corp5</v>
      </c>
      <c r="B203">
        <v>5</v>
      </c>
      <c r="C203">
        <v>4</v>
      </c>
      <c r="D203" t="s">
        <v>33</v>
      </c>
      <c r="E203" t="s">
        <v>46</v>
      </c>
      <c r="F203" t="s">
        <v>106</v>
      </c>
      <c r="G203" t="s">
        <v>34</v>
      </c>
      <c r="H203" s="52" t="str">
        <f>VLOOKUP(Tabla3[[#This Row],[Site]],'Important Info!'!$A$1:$J$135,10,FALSE)</f>
        <v>https://tools.sig.systems/site/details/223</v>
      </c>
      <c r="I203" s="64"/>
      <c r="J203" t="s">
        <v>41</v>
      </c>
      <c r="K203" s="79" t="str">
        <f>VLOOKUP(Tabla3[[#This Row],[Site]],'Important Info!'!$A$1:$H$135,8,FALSE)</f>
        <v>-</v>
      </c>
      <c r="L203" s="52" t="str">
        <f>VLOOKUP(Tabla3[[#This Row],[Site]],'Important Info!'!$A$1:$F$135,2,FALSE)</f>
        <v>7, 11</v>
      </c>
      <c r="M203" s="52">
        <f>VLOOKUP(Tabla3[[#This Row],[Site]],'Important Info!'!$A$1:$F$135,3,FALSE)</f>
        <v>4</v>
      </c>
      <c r="N203" s="52" t="str">
        <f>VLOOKUP(Tabla3[[#This Row],[Site]],'Important Info!'!$A$1:$F$135,4,FALSE)</f>
        <v>-</v>
      </c>
      <c r="O203" s="52">
        <f>VLOOKUP(Tabla3[[#This Row],[Site]],'Important Info!'!$A$1:$F$135,5,FALSE)</f>
        <v>18</v>
      </c>
      <c r="P203" s="52" t="str">
        <f>VLOOKUP(Tabla3[[#This Row],[Site]],'Important Info!'!$A$1:$F$135,6,FALSE)</f>
        <v>-</v>
      </c>
      <c r="Q203" s="91">
        <f>VLOOKUP(Tabla3[[#This Row],[Site]],'Important Info!'!$A$1:$J$135,9,FALSE)</f>
        <v>223</v>
      </c>
    </row>
    <row r="204" spans="1:17" x14ac:dyDescent="0.25">
      <c r="A204" t="str">
        <f>+Tabla3[[#This Row],[Site]]&amp;Tabla3[[#This Row],[Split]]</f>
        <v>(PE) BMW of Greenwich (NO TOURS)5</v>
      </c>
      <c r="B204">
        <v>5</v>
      </c>
      <c r="C204">
        <v>4</v>
      </c>
      <c r="D204" t="s">
        <v>485</v>
      </c>
      <c r="E204" t="s">
        <v>35</v>
      </c>
      <c r="F204" t="s">
        <v>170</v>
      </c>
      <c r="G204" t="s">
        <v>490</v>
      </c>
      <c r="H204" s="52" t="str">
        <f>VLOOKUP(Tabla3[[#This Row],[Site]],'Important Info!'!$A$1:$J$135,10,FALSE)</f>
        <v>https://tools.sig.systems/site/details/186</v>
      </c>
      <c r="I204" s="43" t="s">
        <v>171</v>
      </c>
      <c r="J204" t="s">
        <v>41</v>
      </c>
      <c r="K204" s="79" t="str">
        <f>VLOOKUP(Tabla3[[#This Row],[Site]],'Important Info!'!$A$1:$H$135,8,FALSE)</f>
        <v>-</v>
      </c>
      <c r="L204" s="52" t="str">
        <f>VLOOKUP(Tabla3[[#This Row],[Site]],'Important Info!'!$A$1:$F$135,2,FALSE)</f>
        <v>1, 6, 15</v>
      </c>
      <c r="M204" s="52" t="str">
        <f>VLOOKUP(Tabla3[[#This Row],[Site]],'Important Info!'!$A$1:$F$135,3,FALSE)</f>
        <v>-</v>
      </c>
      <c r="N204" s="52" t="str">
        <f>VLOOKUP(Tabla3[[#This Row],[Site]],'Important Info!'!$A$1:$F$135,4,FALSE)</f>
        <v>-</v>
      </c>
      <c r="O204" s="52" t="str">
        <f>VLOOKUP(Tabla3[[#This Row],[Site]],'Important Info!'!$A$1:$F$135,5,FALSE)</f>
        <v>-</v>
      </c>
      <c r="P204" s="52">
        <f>VLOOKUP(Tabla3[[#This Row],[Site]],'Important Info!'!$A$1:$F$135,6,FALSE)</f>
        <v>12</v>
      </c>
      <c r="Q204" s="91">
        <f>VLOOKUP(Tabla3[[#This Row],[Site]],'Important Info!'!$A$1:$J$135,9,FALSE)</f>
        <v>186</v>
      </c>
    </row>
    <row r="205" spans="1:17" x14ac:dyDescent="0.25">
      <c r="A205" t="str">
        <f>+Tabla3[[#This Row],[Site]]&amp;Tabla3[[#This Row],[Split]]</f>
        <v>(PE) BMW Tenafly (NO TOURS)5</v>
      </c>
      <c r="B205">
        <v>5</v>
      </c>
      <c r="C205">
        <v>4</v>
      </c>
      <c r="D205" t="s">
        <v>485</v>
      </c>
      <c r="E205" t="s">
        <v>35</v>
      </c>
      <c r="F205" t="s">
        <v>173</v>
      </c>
      <c r="G205" t="s">
        <v>490</v>
      </c>
      <c r="H205" s="52" t="str">
        <f>VLOOKUP(Tabla3[[#This Row],[Site]],'Important Info!'!$A$1:$J$135,10,FALSE)</f>
        <v>https://tools.sig.systems/site/details/155</v>
      </c>
      <c r="I205" s="2"/>
      <c r="J205" t="s">
        <v>41</v>
      </c>
      <c r="K205" s="79" t="str">
        <f>VLOOKUP(Tabla3[[#This Row],[Site]],'Important Info!'!$A$1:$H$135,8,FALSE)</f>
        <v>-</v>
      </c>
      <c r="L205" s="52">
        <f>VLOOKUP(Tabla3[[#This Row],[Site]],'Important Info!'!$A$1:$F$135,2,FALSE)</f>
        <v>24</v>
      </c>
      <c r="M205" s="52" t="str">
        <f>VLOOKUP(Tabla3[[#This Row],[Site]],'Important Info!'!$A$1:$F$135,3,FALSE)</f>
        <v>1, 3, 4, 17, 23</v>
      </c>
      <c r="N205" s="52" t="str">
        <f>VLOOKUP(Tabla3[[#This Row],[Site]],'Important Info!'!$A$1:$F$135,4,FALSE)</f>
        <v>-</v>
      </c>
      <c r="O205" s="52" t="str">
        <f>VLOOKUP(Tabla3[[#This Row],[Site]],'Important Info!'!$A$1:$F$135,5,FALSE)</f>
        <v>-</v>
      </c>
      <c r="P205" s="52">
        <f>VLOOKUP(Tabla3[[#This Row],[Site]],'Important Info!'!$A$1:$F$135,6,FALSE)</f>
        <v>1</v>
      </c>
      <c r="Q205" s="91">
        <f>VLOOKUP(Tabla3[[#This Row],[Site]],'Important Info!'!$A$1:$J$135,9,FALSE)</f>
        <v>155</v>
      </c>
    </row>
    <row r="206" spans="1:17" x14ac:dyDescent="0.25">
      <c r="A206" t="str">
        <f>+Tabla3[[#This Row],[Site]]&amp;Tabla3[[#This Row],[Split]]</f>
        <v>(PE) Hudson Toyota Nissan CDJR (NO TOURS)5</v>
      </c>
      <c r="B206">
        <v>5</v>
      </c>
      <c r="C206">
        <v>4</v>
      </c>
      <c r="D206" t="s">
        <v>485</v>
      </c>
      <c r="E206" t="s">
        <v>35</v>
      </c>
      <c r="F206" t="s">
        <v>82</v>
      </c>
      <c r="G206" t="s">
        <v>490</v>
      </c>
      <c r="H206" s="52" t="str">
        <f>VLOOKUP(Tabla3[[#This Row],[Site]],'Important Info!'!$A$1:$J$135,10,FALSE)</f>
        <v>https://tools.sig.systems/site/details/156</v>
      </c>
      <c r="I206" s="2"/>
      <c r="J206" t="s">
        <v>41</v>
      </c>
      <c r="K206" s="79" t="str">
        <f>VLOOKUP(Tabla3[[#This Row],[Site]],'Important Info!'!$A$1:$H$135,8,FALSE)</f>
        <v>-</v>
      </c>
      <c r="L206" s="52">
        <f>VLOOKUP(Tabla3[[#This Row],[Site]],'Important Info!'!$A$1:$F$135,2,FALSE)</f>
        <v>5</v>
      </c>
      <c r="M206" s="52" t="str">
        <f>VLOOKUP(Tabla3[[#This Row],[Site]],'Important Info!'!$A$1:$F$135,3,FALSE)</f>
        <v>3, 7, 18</v>
      </c>
      <c r="N206" s="52" t="str">
        <f>VLOOKUP(Tabla3[[#This Row],[Site]],'Important Info!'!$A$1:$F$135,4,FALSE)</f>
        <v>-</v>
      </c>
      <c r="O206" s="52">
        <f>VLOOKUP(Tabla3[[#This Row],[Site]],'Important Info!'!$A$1:$F$135,5,FALSE)</f>
        <v>84</v>
      </c>
      <c r="P206" s="52" t="str">
        <f>VLOOKUP(Tabla3[[#This Row],[Site]],'Important Info!'!$A$1:$F$135,6,FALSE)</f>
        <v>1, 2, 3, 4, 5, 6, 7, 8</v>
      </c>
      <c r="Q206" s="91">
        <f>VLOOKUP(Tabla3[[#This Row],[Site]],'Important Info!'!$A$1:$J$135,9,FALSE)</f>
        <v>156</v>
      </c>
    </row>
    <row r="207" spans="1:17" x14ac:dyDescent="0.25">
      <c r="A207" t="str">
        <f>+Tabla3[[#This Row],[Site]]&amp;Tabla3[[#This Row],[Split]]</f>
        <v>(PE) Mercedes Benz &amp; Smart Bldg. of Fairfield (NO TOURS)5</v>
      </c>
      <c r="B207">
        <v>5</v>
      </c>
      <c r="C207">
        <v>4</v>
      </c>
      <c r="D207" t="s">
        <v>485</v>
      </c>
      <c r="E207" t="s">
        <v>35</v>
      </c>
      <c r="F207" t="s">
        <v>64</v>
      </c>
      <c r="G207" t="s">
        <v>490</v>
      </c>
      <c r="H207" s="52" t="str">
        <f>VLOOKUP(Tabla3[[#This Row],[Site]],'Important Info!'!$A$1:$J$135,10,FALSE)</f>
        <v>https://tools.sig.systems/site/details/192</v>
      </c>
      <c r="I207" s="2" t="s">
        <v>177</v>
      </c>
      <c r="J207" t="s">
        <v>41</v>
      </c>
      <c r="K207" s="79" t="str">
        <f>VLOOKUP(Tabla3[[#This Row],[Site]],'Important Info!'!$A$1:$H$135,8,FALSE)</f>
        <v>-</v>
      </c>
      <c r="L207" s="52" t="str">
        <f>VLOOKUP(Tabla3[[#This Row],[Site]],'Important Info!'!$A$1:$F$135,2,FALSE)</f>
        <v>-</v>
      </c>
      <c r="M207" s="52">
        <f>VLOOKUP(Tabla3[[#This Row],[Site]],'Important Info!'!$A$1:$F$135,3,FALSE)</f>
        <v>1</v>
      </c>
      <c r="N207" s="52" t="str">
        <f>VLOOKUP(Tabla3[[#This Row],[Site]],'Important Info!'!$A$1:$F$135,4,FALSE)</f>
        <v>-</v>
      </c>
      <c r="O207" s="52" t="str">
        <f>VLOOKUP(Tabla3[[#This Row],[Site]],'Important Info!'!$A$1:$F$135,5,FALSE)</f>
        <v>11, 13</v>
      </c>
      <c r="P207" s="52">
        <f>VLOOKUP(Tabla3[[#This Row],[Site]],'Important Info!'!$A$1:$F$135,6,FALSE)</f>
        <v>1</v>
      </c>
      <c r="Q207" s="91">
        <f>VLOOKUP(Tabla3[[#This Row],[Site]],'Important Info!'!$A$1:$J$135,9,FALSE)</f>
        <v>192</v>
      </c>
    </row>
    <row r="208" spans="1:17" x14ac:dyDescent="0.25">
      <c r="A208" t="str">
        <f>+Tabla3[[#This Row],[Site]]&amp;Tabla3[[#This Row],[Split]]</f>
        <v>(SCH) Auto Body Shop Lake Park5</v>
      </c>
      <c r="B208">
        <v>5</v>
      </c>
      <c r="C208">
        <v>4</v>
      </c>
      <c r="D208" t="s">
        <v>62</v>
      </c>
      <c r="E208" t="s">
        <v>35</v>
      </c>
      <c r="F208" t="s">
        <v>189</v>
      </c>
      <c r="G208" t="s">
        <v>490</v>
      </c>
      <c r="H208" s="52" t="str">
        <f>VLOOKUP(Tabla3[[#This Row],[Site]],'Important Info!'!$A$1:$J$135,10,FALSE)</f>
        <v>https://tools.sig.systems/site/details/158</v>
      </c>
      <c r="J208" t="s">
        <v>41</v>
      </c>
      <c r="K208" s="79" t="str">
        <f>VLOOKUP(Tabla3[[#This Row],[Site]],'Important Info!'!$A$1:$H$135,8,FALSE)</f>
        <v>-</v>
      </c>
      <c r="L208" s="52" t="str">
        <f>VLOOKUP(Tabla3[[#This Row],[Site]],'Important Info!'!$A$1:$F$135,2,FALSE)</f>
        <v>3, 10</v>
      </c>
      <c r="M208" s="52" t="str">
        <f>VLOOKUP(Tabla3[[#This Row],[Site]],'Important Info!'!$A$1:$F$135,3,FALSE)</f>
        <v>-</v>
      </c>
      <c r="N208" s="52" t="str">
        <f>VLOOKUP(Tabla3[[#This Row],[Site]],'Important Info!'!$A$1:$F$135,4,FALSE)</f>
        <v>-</v>
      </c>
      <c r="O208" s="52" t="str">
        <f>VLOOKUP(Tabla3[[#This Row],[Site]],'Important Info!'!$A$1:$F$135,5,FALSE)</f>
        <v>-</v>
      </c>
      <c r="P208" s="52" t="str">
        <f>VLOOKUP(Tabla3[[#This Row],[Site]],'Important Info!'!$A$1:$F$135,6,FALSE)</f>
        <v>-</v>
      </c>
      <c r="Q208" s="91">
        <f>VLOOKUP(Tabla3[[#This Row],[Site]],'Important Info!'!$A$1:$J$135,9,FALSE)</f>
        <v>158</v>
      </c>
    </row>
    <row r="209" spans="1:17" x14ac:dyDescent="0.25">
      <c r="A209" t="str">
        <f>+Tabla3[[#This Row],[Site]]&amp;Tabla3[[#This Row],[Split]]</f>
        <v>(AS) Coggin Honda Ft. Pierce (NO TOURS)5</v>
      </c>
      <c r="B209">
        <v>5</v>
      </c>
      <c r="C209">
        <v>5</v>
      </c>
      <c r="D209" t="s">
        <v>62</v>
      </c>
      <c r="E209" t="s">
        <v>35</v>
      </c>
      <c r="F209" t="s">
        <v>501</v>
      </c>
      <c r="G209" t="s">
        <v>490</v>
      </c>
      <c r="H209" s="52" t="str">
        <f>VLOOKUP(Tabla3[[#This Row],[Site]],'Important Info!'!$A$1:$J$135,10,FALSE)</f>
        <v>https://tools.sig.systems/site/details/120</v>
      </c>
      <c r="I209" t="s">
        <v>179</v>
      </c>
      <c r="J209" t="s">
        <v>484</v>
      </c>
      <c r="K209" s="79" t="str">
        <f>VLOOKUP(Tabla3[[#This Row],[Site]],'Important Info!'!$A$1:$H$135,8,FALSE)</f>
        <v>-</v>
      </c>
      <c r="L209" s="52" t="str">
        <f>VLOOKUP(Tabla3[[#This Row],[Site]],'Important Info!'!$A$1:$F$135,2,FALSE)</f>
        <v>1, 2, 3, 4, 14</v>
      </c>
      <c r="M209" s="52" t="str">
        <f>VLOOKUP(Tabla3[[#This Row],[Site]],'Important Info!'!$A$1:$F$135,3,FALSE)</f>
        <v>-</v>
      </c>
      <c r="N209" s="52" t="str">
        <f>VLOOKUP(Tabla3[[#This Row],[Site]],'Important Info!'!$A$1:$F$135,4,FALSE)</f>
        <v>-</v>
      </c>
      <c r="O209" s="52" t="str">
        <f>VLOOKUP(Tabla3[[#This Row],[Site]],'Important Info!'!$A$1:$F$135,5,FALSE)</f>
        <v>7, 11, 15</v>
      </c>
      <c r="P209" s="52">
        <f>VLOOKUP(Tabla3[[#This Row],[Site]],'Important Info!'!$A$1:$F$135,6,FALSE)</f>
        <v>3</v>
      </c>
      <c r="Q209" s="91">
        <f>VLOOKUP(Tabla3[[#This Row],[Site]],'Important Info!'!$A$1:$J$135,9,FALSE)</f>
        <v>120</v>
      </c>
    </row>
    <row r="210" spans="1:17" x14ac:dyDescent="0.25">
      <c r="A210" t="str">
        <f>+Tabla3[[#This Row],[Site]]&amp;Tabla3[[#This Row],[Split]]</f>
        <v>(AS) Coggin Mercedes Benz Ft Pierce (NO TOURS)5</v>
      </c>
      <c r="B210">
        <v>5</v>
      </c>
      <c r="C210">
        <v>5</v>
      </c>
      <c r="D210" t="s">
        <v>62</v>
      </c>
      <c r="E210" t="s">
        <v>35</v>
      </c>
      <c r="F210" t="s">
        <v>502</v>
      </c>
      <c r="G210" t="s">
        <v>490</v>
      </c>
      <c r="H210" s="52" t="str">
        <f>VLOOKUP(Tabla3[[#This Row],[Site]],'Important Info!'!$A$1:$J$135,10,FALSE)</f>
        <v>https://tools.sig.systems/site/details/127</v>
      </c>
      <c r="I210" t="s">
        <v>179</v>
      </c>
      <c r="J210" t="s">
        <v>41</v>
      </c>
      <c r="K210" s="79" t="str">
        <f>VLOOKUP(Tabla3[[#This Row],[Site]],'Important Info!'!$A$1:$H$135,8,FALSE)</f>
        <v>-</v>
      </c>
      <c r="L210" s="52">
        <f>VLOOKUP(Tabla3[[#This Row],[Site]],'Important Info!'!$A$1:$F$135,2,FALSE)</f>
        <v>18</v>
      </c>
      <c r="M210" s="52" t="str">
        <f>VLOOKUP(Tabla3[[#This Row],[Site]],'Important Info!'!$A$1:$F$135,3,FALSE)</f>
        <v>1, 3</v>
      </c>
      <c r="N210" s="52" t="str">
        <f>VLOOKUP(Tabla3[[#This Row],[Site]],'Important Info!'!$A$1:$F$135,4,FALSE)</f>
        <v>-</v>
      </c>
      <c r="O210" s="52" t="str">
        <f>VLOOKUP(Tabla3[[#This Row],[Site]],'Important Info!'!$A$1:$F$135,5,FALSE)</f>
        <v>6, 10, 13</v>
      </c>
      <c r="P210" s="52" t="str">
        <f>VLOOKUP(Tabla3[[#This Row],[Site]],'Important Info!'!$A$1:$F$135,6,FALSE)</f>
        <v>1, 4, 5</v>
      </c>
      <c r="Q210" s="91">
        <f>VLOOKUP(Tabla3[[#This Row],[Site]],'Important Info!'!$A$1:$J$135,9,FALSE)</f>
        <v>127</v>
      </c>
    </row>
    <row r="211" spans="1:17" x14ac:dyDescent="0.25">
      <c r="A211" t="str">
        <f>+Tabla3[[#This Row],[Site]]&amp;Tabla3[[#This Row],[Split]]</f>
        <v>(AS) David McDavid Lincoln Frisco (NO TOURS)5</v>
      </c>
      <c r="B211">
        <v>5</v>
      </c>
      <c r="C211">
        <v>5</v>
      </c>
      <c r="D211" t="s">
        <v>33</v>
      </c>
      <c r="E211" t="s">
        <v>46</v>
      </c>
      <c r="F211" t="s">
        <v>507</v>
      </c>
      <c r="G211" t="s">
        <v>34</v>
      </c>
      <c r="H211" s="52" t="str">
        <f>VLOOKUP(Tabla3[[#This Row],[Site]],'Important Info!'!$A$1:$J$135,10,FALSE)</f>
        <v>https://tools.sig.systems/site/details/182</v>
      </c>
      <c r="I211" s="2"/>
      <c r="J211" t="s">
        <v>41</v>
      </c>
      <c r="K211" s="79" t="str">
        <f>VLOOKUP(Tabla3[[#This Row],[Site]],'Important Info!'!$A$1:$H$135,8,FALSE)</f>
        <v>-</v>
      </c>
      <c r="L211" s="52" t="str">
        <f>VLOOKUP(Tabla3[[#This Row],[Site]],'Important Info!'!$A$1:$F$135,2,FALSE)</f>
        <v>1, 2, 11</v>
      </c>
      <c r="M211" s="52" t="str">
        <f>VLOOKUP(Tabla3[[#This Row],[Site]],'Important Info!'!$A$1:$F$135,3,FALSE)</f>
        <v>-</v>
      </c>
      <c r="N211" s="52" t="str">
        <f>VLOOKUP(Tabla3[[#This Row],[Site]],'Important Info!'!$A$1:$F$135,4,FALSE)</f>
        <v>-</v>
      </c>
      <c r="O211" s="52" t="str">
        <f>VLOOKUP(Tabla3[[#This Row],[Site]],'Important Info!'!$A$1:$F$135,5,FALSE)</f>
        <v>11, 16, 20</v>
      </c>
      <c r="P211" s="52" t="str">
        <f>VLOOKUP(Tabla3[[#This Row],[Site]],'Important Info!'!$A$1:$F$135,6,FALSE)</f>
        <v>11, 12, 13, 14</v>
      </c>
      <c r="Q211" s="91">
        <f>VLOOKUP(Tabla3[[#This Row],[Site]],'Important Info!'!$A$1:$J$135,9,FALSE)</f>
        <v>182</v>
      </c>
    </row>
    <row r="212" spans="1:17" x14ac:dyDescent="0.25">
      <c r="A212" t="str">
        <f>+Tabla3[[#This Row],[Site]]&amp;Tabla3[[#This Row],[Split]]</f>
        <v>(AS) Lexus Grapevine I &amp; II (NO TOURS)5</v>
      </c>
      <c r="B212">
        <v>5</v>
      </c>
      <c r="C212">
        <v>5</v>
      </c>
      <c r="D212" t="s">
        <v>33</v>
      </c>
      <c r="E212" t="s">
        <v>46</v>
      </c>
      <c r="F212" t="s">
        <v>508</v>
      </c>
      <c r="G212" t="s">
        <v>34</v>
      </c>
      <c r="H212" s="52" t="str">
        <f>VLOOKUP(Tabla3[[#This Row],[Site]],'Important Info!'!$A$1:$J$135,10,FALSE)</f>
        <v>https://tools.sig.systems/site/details/136</v>
      </c>
      <c r="J212" t="s">
        <v>41</v>
      </c>
      <c r="K212" s="79" t="str">
        <f>VLOOKUP(Tabla3[[#This Row],[Site]],'Important Info!'!$A$1:$H$135,8,FALSE)</f>
        <v>-</v>
      </c>
      <c r="L212" s="52" t="str">
        <f>VLOOKUP(Tabla3[[#This Row],[Site]],'Important Info!'!$A$1:$F$135,2,FALSE)</f>
        <v>4, 10, 14, 18, 33</v>
      </c>
      <c r="M212" s="52" t="str">
        <f>VLOOKUP(Tabla3[[#This Row],[Site]],'Important Info!'!$A$1:$F$135,3,FALSE)</f>
        <v>-</v>
      </c>
      <c r="N212" s="52" t="str">
        <f>VLOOKUP(Tabla3[[#This Row],[Site]],'Important Info!'!$A$1:$F$135,4,FALSE)</f>
        <v>81, 82, 83</v>
      </c>
      <c r="O212" s="52" t="str">
        <f>VLOOKUP(Tabla3[[#This Row],[Site]],'Important Info!'!$A$1:$F$135,5,FALSE)</f>
        <v>4, 12, 15, 20, 30</v>
      </c>
      <c r="P212" s="52">
        <f>VLOOKUP(Tabla3[[#This Row],[Site]],'Important Info!'!$A$1:$F$135,6,FALSE)</f>
        <v>10</v>
      </c>
      <c r="Q212" s="91">
        <f>VLOOKUP(Tabla3[[#This Row],[Site]],'Important Info!'!$A$1:$J$135,9,FALSE)</f>
        <v>136</v>
      </c>
    </row>
    <row r="213" spans="1:17" x14ac:dyDescent="0.25">
      <c r="A213" t="str">
        <f>+Tabla3[[#This Row],[Site]]&amp;Tabla3[[#This Row],[Split]]</f>
        <v>(AS) Park Place Mercedes Benz Ft. Worth (NO TOURS)5</v>
      </c>
      <c r="B213">
        <v>5</v>
      </c>
      <c r="C213">
        <v>5</v>
      </c>
      <c r="D213" t="s">
        <v>33</v>
      </c>
      <c r="E213" t="s">
        <v>46</v>
      </c>
      <c r="F213" t="s">
        <v>519</v>
      </c>
      <c r="G213" t="s">
        <v>34</v>
      </c>
      <c r="H213" s="52" t="str">
        <f>VLOOKUP(Tabla3[[#This Row],[Site]],'Important Info!'!$A$1:$J$135,10,FALSE)</f>
        <v>https://tools.sig.systems/site/details/137</v>
      </c>
      <c r="I213" s="8" t="s">
        <v>128</v>
      </c>
      <c r="J213" t="s">
        <v>41</v>
      </c>
      <c r="K213" s="79" t="s">
        <v>37</v>
      </c>
      <c r="L213" s="52" t="str">
        <f>VLOOKUP(Tabla3[[#This Row],[Site]],'Important Info!'!$A$1:$F$135,2,FALSE)</f>
        <v>4, 18</v>
      </c>
      <c r="M213" s="52" t="str">
        <f>VLOOKUP(Tabla3[[#This Row],[Site]],'Important Info!'!$A$1:$F$135,3,FALSE)</f>
        <v>-</v>
      </c>
      <c r="N213" s="52" t="str">
        <f>VLOOKUP(Tabla3[[#This Row],[Site]],'Important Info!'!$A$1:$F$135,4,FALSE)</f>
        <v>54, 55</v>
      </c>
      <c r="O213" s="52" t="str">
        <f>VLOOKUP(Tabla3[[#This Row],[Site]],'Important Info!'!$A$1:$F$135,5,FALSE)</f>
        <v>2, 18</v>
      </c>
      <c r="P213" s="52" t="str">
        <f>VLOOKUP(Tabla3[[#This Row],[Site]],'Important Info!'!$A$1:$F$135,6,FALSE)</f>
        <v>5, 18</v>
      </c>
      <c r="Q213" s="91">
        <f>VLOOKUP(Tabla3[[#This Row],[Site]],'Important Info!'!$A$1:$J$135,9,FALSE)</f>
        <v>137</v>
      </c>
    </row>
    <row r="214" spans="1:17" x14ac:dyDescent="0.25">
      <c r="A214" t="str">
        <f>+Tabla3[[#This Row],[Site]]&amp;Tabla3[[#This Row],[Split]]</f>
        <v>(AS) Park Place Sprinter Van Center (NO TOURS)5</v>
      </c>
      <c r="B214">
        <v>5</v>
      </c>
      <c r="C214">
        <v>5</v>
      </c>
      <c r="D214" t="s">
        <v>33</v>
      </c>
      <c r="E214" t="s">
        <v>46</v>
      </c>
      <c r="F214" t="s">
        <v>520</v>
      </c>
      <c r="G214" t="s">
        <v>34</v>
      </c>
      <c r="H214" s="52" t="str">
        <f>VLOOKUP(Tabla3[[#This Row],[Site]],'Important Info!'!$A$1:$J$135,10,FALSE)</f>
        <v>https://tools.sig.systems/site/details/138</v>
      </c>
      <c r="I214" s="65" t="s">
        <v>125</v>
      </c>
      <c r="J214" t="s">
        <v>41</v>
      </c>
      <c r="K214" s="79" t="str">
        <f>VLOOKUP(Tabla3[[#This Row],[Site]],'Important Info!'!$A$1:$H$135,8,FALSE)</f>
        <v>-</v>
      </c>
      <c r="L214" s="52">
        <f>VLOOKUP(Tabla3[[#This Row],[Site]],'Important Info!'!$A$1:$F$135,2,FALSE)</f>
        <v>1</v>
      </c>
      <c r="M214" s="52" t="str">
        <f>VLOOKUP(Tabla3[[#This Row],[Site]],'Important Info!'!$A$1:$F$135,3,FALSE)</f>
        <v>-</v>
      </c>
      <c r="N214" s="52" t="str">
        <f>VLOOKUP(Tabla3[[#This Row],[Site]],'Important Info!'!$A$1:$F$135,4,FALSE)</f>
        <v>-</v>
      </c>
      <c r="O214" s="52" t="str">
        <f>VLOOKUP(Tabla3[[#This Row],[Site]],'Important Info!'!$A$1:$F$135,5,FALSE)</f>
        <v>-</v>
      </c>
      <c r="P214" s="52" t="str">
        <f>VLOOKUP(Tabla3[[#This Row],[Site]],'Important Info!'!$A$1:$F$135,6,FALSE)</f>
        <v>1, 3</v>
      </c>
      <c r="Q214" s="91">
        <f>VLOOKUP(Tabla3[[#This Row],[Site]],'Important Info!'!$A$1:$J$135,9,FALSE)</f>
        <v>138</v>
      </c>
    </row>
    <row r="215" spans="1:17" x14ac:dyDescent="0.25">
      <c r="A215" t="str">
        <f>+Tabla3[[#This Row],[Site]]&amp;Tabla3[[#This Row],[Split]]</f>
        <v>(AS) Stevinson Chevrolet Golden (NO TOURS)5</v>
      </c>
      <c r="B215">
        <v>5</v>
      </c>
      <c r="C215">
        <v>5</v>
      </c>
      <c r="D215" t="s">
        <v>488</v>
      </c>
      <c r="E215" t="s">
        <v>53</v>
      </c>
      <c r="F215" t="s">
        <v>190</v>
      </c>
      <c r="G215" t="s">
        <v>45</v>
      </c>
      <c r="H215" s="52" t="str">
        <f>VLOOKUP(Tabla3[[#This Row],[Site]],'Important Info!'!$A$1:$J$135,10,FALSE)</f>
        <v>https://tools.sig.systems/site/details/264</v>
      </c>
      <c r="I215" s="43" t="s">
        <v>154</v>
      </c>
      <c r="J215" t="s">
        <v>41</v>
      </c>
      <c r="K215" s="79" t="str">
        <f>VLOOKUP(Tabla3[[#This Row],[Site]],'Important Info!'!$A$1:$H$135,8,FALSE)</f>
        <v>-</v>
      </c>
      <c r="L215" s="52" t="str">
        <f>VLOOKUP(Tabla3[[#This Row],[Site]],'Important Info!'!$A$1:$F$135,2,FALSE)</f>
        <v>-</v>
      </c>
      <c r="M215" s="52" t="str">
        <f>VLOOKUP(Tabla3[[#This Row],[Site]],'Important Info!'!$A$1:$F$135,3,FALSE)</f>
        <v>1, 19</v>
      </c>
      <c r="N215" s="52" t="str">
        <f>VLOOKUP(Tabla3[[#This Row],[Site]],'Important Info!'!$A$1:$F$135,4,FALSE)</f>
        <v>-</v>
      </c>
      <c r="O215" s="52" t="str">
        <f>VLOOKUP(Tabla3[[#This Row],[Site]],'Important Info!'!$A$1:$F$135,5,FALSE)</f>
        <v>14, 30</v>
      </c>
      <c r="P215" s="52" t="str">
        <f>VLOOKUP(Tabla3[[#This Row],[Site]],'Important Info!'!$A$1:$F$135,6,FALSE)</f>
        <v>14, 33, 34, 35, 36</v>
      </c>
      <c r="Q215" s="91">
        <f>VLOOKUP(Tabla3[[#This Row],[Site]],'Important Info!'!$A$1:$J$135,9,FALSE)</f>
        <v>264</v>
      </c>
    </row>
    <row r="216" spans="1:17" x14ac:dyDescent="0.25">
      <c r="A216" t="str">
        <f>+Tabla3[[#This Row],[Site]]&amp;Tabla3[[#This Row],[Split]]</f>
        <v>(DT) Albuquerque5</v>
      </c>
      <c r="B216">
        <v>5</v>
      </c>
      <c r="C216">
        <v>5</v>
      </c>
      <c r="D216" t="s">
        <v>44</v>
      </c>
      <c r="E216" t="s">
        <v>53</v>
      </c>
      <c r="F216" t="s">
        <v>155</v>
      </c>
      <c r="G216" t="s">
        <v>45</v>
      </c>
      <c r="H216" s="52" t="str">
        <f>VLOOKUP(Tabla3[[#This Row],[Site]],'Important Info!'!$A$1:$J$135,10,FALSE)</f>
        <v>https://tools.sig.systems/site/details/237</v>
      </c>
      <c r="J216" t="s">
        <v>41</v>
      </c>
      <c r="K216" s="79" t="str">
        <f>VLOOKUP(Tabla3[[#This Row],[Site]],'Important Info!'!$A$1:$H$135,8,FALSE)</f>
        <v>-</v>
      </c>
      <c r="L216" s="52" t="str">
        <f>VLOOKUP(Tabla3[[#This Row],[Site]],'Important Info!'!$A$1:$F$135,2,FALSE)</f>
        <v>14, 16</v>
      </c>
      <c r="M216" s="52" t="str">
        <f>VLOOKUP(Tabla3[[#This Row],[Site]],'Important Info!'!$A$1:$F$135,3,FALSE)</f>
        <v>-</v>
      </c>
      <c r="N216" s="52" t="str">
        <f>VLOOKUP(Tabla3[[#This Row],[Site]],'Important Info!'!$A$1:$F$135,4,FALSE)</f>
        <v>-</v>
      </c>
      <c r="O216" s="52" t="str">
        <f>VLOOKUP(Tabla3[[#This Row],[Site]],'Important Info!'!$A$1:$F$135,5,FALSE)</f>
        <v>14, 15</v>
      </c>
      <c r="P216" s="52" t="str">
        <f>VLOOKUP(Tabla3[[#This Row],[Site]],'Important Info!'!$A$1:$F$135,6,FALSE)</f>
        <v>12, 14, 16</v>
      </c>
      <c r="Q216" s="91">
        <f>VLOOKUP(Tabla3[[#This Row],[Site]],'Important Info!'!$A$1:$J$135,9,FALSE)</f>
        <v>237</v>
      </c>
    </row>
    <row r="217" spans="1:17" x14ac:dyDescent="0.25">
      <c r="A217" t="str">
        <f>+Tabla3[[#This Row],[Site]]&amp;Tabla3[[#This Row],[Split]]</f>
        <v>(DT) Colorado Springs (NO TOURS)5</v>
      </c>
      <c r="B217">
        <v>5</v>
      </c>
      <c r="C217">
        <v>5</v>
      </c>
      <c r="D217" t="s">
        <v>44</v>
      </c>
      <c r="E217" t="s">
        <v>53</v>
      </c>
      <c r="F217" t="s">
        <v>156</v>
      </c>
      <c r="G217" t="s">
        <v>45</v>
      </c>
      <c r="H217" s="52" t="str">
        <f>VLOOKUP(Tabla3[[#This Row],[Site]],'Important Info!'!$A$1:$J$135,10,FALSE)</f>
        <v>https://tools.sig.systems/site/details/198</v>
      </c>
      <c r="I217" s="43"/>
      <c r="J217" t="s">
        <v>41</v>
      </c>
      <c r="K217" s="79" t="str">
        <f>VLOOKUP(Tabla3[[#This Row],[Site]],'Important Info!'!$A$1:$H$135,8,FALSE)</f>
        <v>-</v>
      </c>
      <c r="L217" s="52" t="str">
        <f>VLOOKUP(Tabla3[[#This Row],[Site]],'Important Info!'!$A$1:$F$135,2,FALSE)</f>
        <v>-</v>
      </c>
      <c r="M217" s="52" t="str">
        <f>VLOOKUP(Tabla3[[#This Row],[Site]],'Important Info!'!$A$1:$F$135,3,FALSE)</f>
        <v>1, 2, 3, 4</v>
      </c>
      <c r="N217" s="52" t="str">
        <f>VLOOKUP(Tabla3[[#This Row],[Site]],'Important Info!'!$A$1:$F$135,4,FALSE)</f>
        <v>-</v>
      </c>
      <c r="O217" s="52" t="str">
        <f>VLOOKUP(Tabla3[[#This Row],[Site]],'Important Info!'!$A$1:$F$135,5,FALSE)</f>
        <v>-</v>
      </c>
      <c r="P217" s="52" t="str">
        <f>VLOOKUP(Tabla3[[#This Row],[Site]],'Important Info!'!$A$1:$F$135,6,FALSE)</f>
        <v>1, 2, 3, 11</v>
      </c>
      <c r="Q217" s="91">
        <f>VLOOKUP(Tabla3[[#This Row],[Site]],'Important Info!'!$A$1:$J$135,9,FALSE)</f>
        <v>198</v>
      </c>
    </row>
    <row r="218" spans="1:17" x14ac:dyDescent="0.25">
      <c r="A218" t="str">
        <f>+Tabla3[[#This Row],[Site]]&amp;Tabla3[[#This Row],[Split]]</f>
        <v>(DT) Escondido5</v>
      </c>
      <c r="B218">
        <v>5</v>
      </c>
      <c r="C218">
        <v>5</v>
      </c>
      <c r="D218" t="s">
        <v>51</v>
      </c>
      <c r="E218" t="s">
        <v>159</v>
      </c>
      <c r="F218" t="s">
        <v>112</v>
      </c>
      <c r="G218" t="s">
        <v>164</v>
      </c>
      <c r="H218" s="52" t="str">
        <f>VLOOKUP(Tabla3[[#This Row],[Site]],'Important Info!'!$A$1:$J$135,10,FALSE)</f>
        <v>https://tools.sig.systems/site/details/196</v>
      </c>
      <c r="J218" t="s">
        <v>41</v>
      </c>
      <c r="K218" s="79" t="str">
        <f>VLOOKUP(Tabla3[[#This Row],[Site]],'Important Info!'!$A$1:$H$135,8,FALSE)</f>
        <v>Saturday Drop Time 9:00 A.M.</v>
      </c>
      <c r="L218" s="52" t="str">
        <f>VLOOKUP(Tabla3[[#This Row],[Site]],'Important Info!'!$A$1:$F$135,2,FALSE)</f>
        <v>1, 2</v>
      </c>
      <c r="M218" s="52" t="str">
        <f>VLOOKUP(Tabla3[[#This Row],[Site]],'Important Info!'!$A$1:$F$135,3,FALSE)</f>
        <v>-</v>
      </c>
      <c r="N218" s="52" t="str">
        <f>VLOOKUP(Tabla3[[#This Row],[Site]],'Important Info!'!$A$1:$F$135,4,FALSE)</f>
        <v>-</v>
      </c>
      <c r="O218" s="52" t="str">
        <f>VLOOKUP(Tabla3[[#This Row],[Site]],'Important Info!'!$A$1:$F$135,5,FALSE)</f>
        <v>-</v>
      </c>
      <c r="P218" s="52" t="str">
        <f>VLOOKUP(Tabla3[[#This Row],[Site]],'Important Info!'!$A$1:$F$135,6,FALSE)</f>
        <v>5, 7, 8</v>
      </c>
      <c r="Q218" s="91">
        <f>VLOOKUP(Tabla3[[#This Row],[Site]],'Important Info!'!$A$1:$J$135,9,FALSE)</f>
        <v>196</v>
      </c>
    </row>
    <row r="219" spans="1:17" x14ac:dyDescent="0.25">
      <c r="A219" t="str">
        <f>+Tabla3[[#This Row],[Site]]&amp;Tabla3[[#This Row],[Split]]</f>
        <v>(DT) Louisville5</v>
      </c>
      <c r="B219">
        <v>5</v>
      </c>
      <c r="C219">
        <v>5</v>
      </c>
      <c r="D219" t="s">
        <v>62</v>
      </c>
      <c r="E219" t="s">
        <v>35</v>
      </c>
      <c r="F219" t="s">
        <v>99</v>
      </c>
      <c r="G219" t="s">
        <v>490</v>
      </c>
      <c r="H219" s="52" t="str">
        <f>VLOOKUP(Tabla3[[#This Row],[Site]],'Important Info!'!$A$1:$J$135,10,FALSE)</f>
        <v>https://tools.sig.systems/site/details/258</v>
      </c>
      <c r="I219" s="2"/>
      <c r="J219" t="s">
        <v>41</v>
      </c>
      <c r="K219" s="79" t="str">
        <f>VLOOKUP(Tabla3[[#This Row],[Site]],'Important Info!'!$A$1:$H$135,8,FALSE)</f>
        <v>-</v>
      </c>
      <c r="L219" s="52" t="str">
        <f>VLOOKUP(Tabla3[[#This Row],[Site]],'Important Info!'!$A$1:$F$135,2,FALSE)</f>
        <v>-</v>
      </c>
      <c r="M219" s="52">
        <f>VLOOKUP(Tabla3[[#This Row],[Site]],'Important Info!'!$A$1:$F$135,3,FALSE)</f>
        <v>3</v>
      </c>
      <c r="N219" s="52" t="str">
        <f>VLOOKUP(Tabla3[[#This Row],[Site]],'Important Info!'!$A$1:$F$135,4,FALSE)</f>
        <v>-</v>
      </c>
      <c r="O219" s="52" t="str">
        <f>VLOOKUP(Tabla3[[#This Row],[Site]],'Important Info!'!$A$1:$F$135,5,FALSE)</f>
        <v>-</v>
      </c>
      <c r="P219" s="52" t="str">
        <f>VLOOKUP(Tabla3[[#This Row],[Site]],'Important Info!'!$A$1:$F$135,6,FALSE)</f>
        <v>3, 8</v>
      </c>
      <c r="Q219" s="91">
        <f>VLOOKUP(Tabla3[[#This Row],[Site]],'Important Info!'!$A$1:$J$135,9,FALSE)</f>
        <v>258</v>
      </c>
    </row>
    <row r="220" spans="1:17" x14ac:dyDescent="0.25">
      <c r="A220" t="str">
        <f>+Tabla3[[#This Row],[Site]]&amp;Tabla3[[#This Row],[Split]]</f>
        <v>(DT) Wichita5</v>
      </c>
      <c r="B220">
        <v>5</v>
      </c>
      <c r="C220">
        <v>5</v>
      </c>
      <c r="D220" t="s">
        <v>33</v>
      </c>
      <c r="E220" t="s">
        <v>46</v>
      </c>
      <c r="F220" t="s">
        <v>131</v>
      </c>
      <c r="G220" t="s">
        <v>34</v>
      </c>
      <c r="H220" s="52" t="str">
        <f>VLOOKUP(Tabla3[[#This Row],[Site]],'Important Info!'!$A$1:$J$135,10,FALSE)</f>
        <v>https://tools.sig.systems/site/details/257</v>
      </c>
      <c r="J220" t="s">
        <v>41</v>
      </c>
      <c r="K220" s="79" t="str">
        <f>VLOOKUP(Tabla3[[#This Row],[Site]],'Important Info!'!$A$1:$H$135,8,FALSE)</f>
        <v>-</v>
      </c>
      <c r="L220" s="52" t="str">
        <f>VLOOKUP(Tabla3[[#This Row],[Site]],'Important Info!'!$A$1:$F$135,2,FALSE)</f>
        <v>-</v>
      </c>
      <c r="M220" s="52" t="str">
        <f>VLOOKUP(Tabla3[[#This Row],[Site]],'Important Info!'!$A$1:$F$135,3,FALSE)</f>
        <v>10, 11</v>
      </c>
      <c r="N220" s="52" t="str">
        <f>VLOOKUP(Tabla3[[#This Row],[Site]],'Important Info!'!$A$1:$F$135,4,FALSE)</f>
        <v>-</v>
      </c>
      <c r="O220" s="52" t="str">
        <f>VLOOKUP(Tabla3[[#This Row],[Site]],'Important Info!'!$A$1:$F$135,5,FALSE)</f>
        <v>-</v>
      </c>
      <c r="P220" s="52" t="str">
        <f>VLOOKUP(Tabla3[[#This Row],[Site]],'Important Info!'!$A$1:$F$135,6,FALSE)</f>
        <v>1, 5, 6, 10</v>
      </c>
      <c r="Q220" s="91">
        <f>VLOOKUP(Tabla3[[#This Row],[Site]],'Important Info!'!$A$1:$J$135,9,FALSE)</f>
        <v>257</v>
      </c>
    </row>
    <row r="221" spans="1:17" x14ac:dyDescent="0.25">
      <c r="A221" t="str">
        <f>+Tabla3[[#This Row],[Site]]&amp;Tabla3[[#This Row],[Split]]</f>
        <v>(HUD) BMW of Greensboro5</v>
      </c>
      <c r="B221">
        <v>5</v>
      </c>
      <c r="C221">
        <v>5</v>
      </c>
      <c r="D221" t="s">
        <v>62</v>
      </c>
      <c r="E221" t="s">
        <v>35</v>
      </c>
      <c r="F221" t="s">
        <v>183</v>
      </c>
      <c r="G221" t="s">
        <v>490</v>
      </c>
      <c r="H221" s="52" t="str">
        <f>VLOOKUP(Tabla3[[#This Row],[Site]],'Important Info!'!$A$1:$J$135,10,FALSE)</f>
        <v>https://tools.sig.systems/site/details/219</v>
      </c>
      <c r="I221" t="s">
        <v>184</v>
      </c>
      <c r="J221" t="s">
        <v>41</v>
      </c>
      <c r="K221" s="79" t="str">
        <f>VLOOKUP(Tabla3[[#This Row],[Site]],'Important Info!'!$A$1:$H$135,8,FALSE)</f>
        <v>-</v>
      </c>
      <c r="L221" s="52" t="str">
        <f>VLOOKUP(Tabla3[[#This Row],[Site]],'Important Info!'!$A$1:$F$135,2,FALSE)</f>
        <v>2, 20, 21</v>
      </c>
      <c r="M221" s="52" t="str">
        <f>VLOOKUP(Tabla3[[#This Row],[Site]],'Important Info!'!$A$1:$F$135,3,FALSE)</f>
        <v>-</v>
      </c>
      <c r="N221" s="52" t="str">
        <f>VLOOKUP(Tabla3[[#This Row],[Site]],'Important Info!'!$A$1:$F$135,4,FALSE)</f>
        <v>-</v>
      </c>
      <c r="O221" s="52" t="str">
        <f>VLOOKUP(Tabla3[[#This Row],[Site]],'Important Info!'!$A$1:$F$135,5,FALSE)</f>
        <v>12, 17</v>
      </c>
      <c r="P221" s="52" t="str">
        <f>VLOOKUP(Tabla3[[#This Row],[Site]],'Important Info!'!$A$1:$F$135,6,FALSE)</f>
        <v>1, 2, 6, 20</v>
      </c>
      <c r="Q221" s="91">
        <f>VLOOKUP(Tabla3[[#This Row],[Site]],'Important Info!'!$A$1:$J$135,9,FALSE)</f>
        <v>219</v>
      </c>
    </row>
    <row r="222" spans="1:17" x14ac:dyDescent="0.25">
      <c r="A222" t="str">
        <f>+Tabla3[[#This Row],[Site]]&amp;Tabla3[[#This Row],[Split]]</f>
        <v>(KG) Baytown GMC Buick (NO TOURS)5</v>
      </c>
      <c r="B222">
        <v>5</v>
      </c>
      <c r="C222">
        <v>5</v>
      </c>
      <c r="D222" t="s">
        <v>33</v>
      </c>
      <c r="E222" t="s">
        <v>46</v>
      </c>
      <c r="F222" t="s">
        <v>132</v>
      </c>
      <c r="G222" t="s">
        <v>34</v>
      </c>
      <c r="H222" s="52" t="str">
        <f>VLOOKUP(Tabla3[[#This Row],[Site]],'Important Info!'!$A$1:$J$135,10,FALSE)</f>
        <v>https://tools.sig.systems/site/details/239</v>
      </c>
      <c r="I222" s="2"/>
      <c r="J222" t="s">
        <v>41</v>
      </c>
      <c r="K222" s="79" t="str">
        <f>VLOOKUP(Tabla3[[#This Row],[Site]],'Important Info!'!$A$1:$H$135,8,FALSE)</f>
        <v>-</v>
      </c>
      <c r="L222" s="52" t="str">
        <f>VLOOKUP(Tabla3[[#This Row],[Site]],'Important Info!'!$A$1:$F$135,2,FALSE)</f>
        <v>1, 5, 7, 21, 22</v>
      </c>
      <c r="M222" s="52" t="str">
        <f>VLOOKUP(Tabla3[[#This Row],[Site]],'Important Info!'!$A$1:$F$135,3,FALSE)</f>
        <v>-</v>
      </c>
      <c r="N222" s="52" t="str">
        <f>VLOOKUP(Tabla3[[#This Row],[Site]],'Important Info!'!$A$1:$F$135,4,FALSE)</f>
        <v>-</v>
      </c>
      <c r="O222" s="52" t="str">
        <f>VLOOKUP(Tabla3[[#This Row],[Site]],'Important Info!'!$A$1:$F$135,5,FALSE)</f>
        <v>2, 10, 15, 24B</v>
      </c>
      <c r="P222" s="52" t="str">
        <f>VLOOKUP(Tabla3[[#This Row],[Site]],'Important Info!'!$A$1:$F$135,6,FALSE)</f>
        <v>21, 22</v>
      </c>
      <c r="Q222" s="91">
        <f>VLOOKUP(Tabla3[[#This Row],[Site]],'Important Info!'!$A$1:$J$135,9,FALSE)</f>
        <v>239</v>
      </c>
    </row>
    <row r="223" spans="1:17" x14ac:dyDescent="0.25">
      <c r="A223" t="str">
        <f>+Tabla3[[#This Row],[Site]]&amp;Tabla3[[#This Row],[Split]]</f>
        <v>(MK) McKenny Salinas Honda5</v>
      </c>
      <c r="B223">
        <v>5</v>
      </c>
      <c r="C223">
        <v>5</v>
      </c>
      <c r="D223" t="s">
        <v>62</v>
      </c>
      <c r="E223" t="s">
        <v>35</v>
      </c>
      <c r="F223" t="s">
        <v>115</v>
      </c>
      <c r="G223" t="s">
        <v>490</v>
      </c>
      <c r="H223" s="52" t="str">
        <f>VLOOKUP(Tabla3[[#This Row],[Site]],'Important Info!'!$A$1:$J$135,10,FALSE)</f>
        <v>https://tools.sig.systems/site/details/149</v>
      </c>
      <c r="J223" t="s">
        <v>41</v>
      </c>
      <c r="K223" s="79" t="str">
        <f>VLOOKUP(Tabla3[[#This Row],[Site]],'Important Info!'!$A$1:$H$135,8,FALSE)</f>
        <v>-</v>
      </c>
      <c r="L223" s="52" t="str">
        <f>VLOOKUP(Tabla3[[#This Row],[Site]],'Important Info!'!$A$1:$F$135,2,FALSE)</f>
        <v>-</v>
      </c>
      <c r="M223" s="52" t="str">
        <f>VLOOKUP(Tabla3[[#This Row],[Site]],'Important Info!'!$A$1:$F$135,3,FALSE)</f>
        <v>12, 16</v>
      </c>
      <c r="N223" s="52" t="str">
        <f>VLOOKUP(Tabla3[[#This Row],[Site]],'Important Info!'!$A$1:$F$135,4,FALSE)</f>
        <v>-</v>
      </c>
      <c r="O223" s="52" t="str">
        <f>VLOOKUP(Tabla3[[#This Row],[Site]],'Important Info!'!$A$1:$F$135,5,FALSE)</f>
        <v>-</v>
      </c>
      <c r="P223" s="52" t="str">
        <f>VLOOKUP(Tabla3[[#This Row],[Site]],'Important Info!'!$A$1:$F$135,6,FALSE)</f>
        <v>3, 4, 5, 6, 16</v>
      </c>
      <c r="Q223" s="91">
        <f>VLOOKUP(Tabla3[[#This Row],[Site]],'Important Info!'!$A$1:$J$135,9,FALSE)</f>
        <v>149</v>
      </c>
    </row>
    <row r="224" spans="1:17" x14ac:dyDescent="0.25">
      <c r="A224" t="str">
        <f>+Tabla3[[#This Row],[Site]]&amp;Tabla3[[#This Row],[Split]]</f>
        <v>(ML) BMW of Little Rock5</v>
      </c>
      <c r="B224">
        <v>5</v>
      </c>
      <c r="C224">
        <v>5</v>
      </c>
      <c r="D224" t="s">
        <v>33</v>
      </c>
      <c r="E224" t="s">
        <v>46</v>
      </c>
      <c r="F224" t="s">
        <v>139</v>
      </c>
      <c r="G224" t="s">
        <v>34</v>
      </c>
      <c r="H224" s="52" t="str">
        <f>VLOOKUP(Tabla3[[#This Row],[Site]],'Important Info!'!$A$1:$J$135,10,FALSE)</f>
        <v>https://tools.sig.systems/site/details/217</v>
      </c>
      <c r="I224" s="2" t="s">
        <v>140</v>
      </c>
      <c r="J224" t="s">
        <v>41</v>
      </c>
      <c r="K224" s="79" t="str">
        <f>VLOOKUP(Tabla3[[#This Row],[Site]],'Important Info!'!$A$1:$H$135,8,FALSE)</f>
        <v>-</v>
      </c>
      <c r="L224" s="52" t="str">
        <f>VLOOKUP(Tabla3[[#This Row],[Site]],'Important Info!'!$A$1:$F$135,2,FALSE)</f>
        <v>-</v>
      </c>
      <c r="M224" s="52">
        <f>VLOOKUP(Tabla3[[#This Row],[Site]],'Important Info!'!$A$1:$F$135,3,FALSE)</f>
        <v>14</v>
      </c>
      <c r="N224" s="52" t="str">
        <f>VLOOKUP(Tabla3[[#This Row],[Site]],'Important Info!'!$A$1:$F$135,4,FALSE)</f>
        <v>-</v>
      </c>
      <c r="O224" s="52" t="str">
        <f>VLOOKUP(Tabla3[[#This Row],[Site]],'Important Info!'!$A$1:$F$135,5,FALSE)</f>
        <v>-</v>
      </c>
      <c r="P224" s="52" t="str">
        <f>VLOOKUP(Tabla3[[#This Row],[Site]],'Important Info!'!$A$1:$F$135,6,FALSE)</f>
        <v>5, 6, 7, 8, 9, 32</v>
      </c>
      <c r="Q224" s="91">
        <f>VLOOKUP(Tabla3[[#This Row],[Site]],'Important Info!'!$A$1:$J$135,9,FALSE)</f>
        <v>217</v>
      </c>
    </row>
    <row r="225" spans="1:17" x14ac:dyDescent="0.25">
      <c r="A225" t="str">
        <f>+Tabla3[[#This Row],[Site]]&amp;Tabla3[[#This Row],[Split]]</f>
        <v>(ML) Collision Center N Little Rock5</v>
      </c>
      <c r="B225">
        <v>5</v>
      </c>
      <c r="C225">
        <v>5</v>
      </c>
      <c r="D225" t="s">
        <v>33</v>
      </c>
      <c r="E225" t="s">
        <v>46</v>
      </c>
      <c r="F225" t="s">
        <v>141</v>
      </c>
      <c r="G225" t="s">
        <v>34</v>
      </c>
      <c r="H225" s="52" t="str">
        <f>VLOOKUP(Tabla3[[#This Row],[Site]],'Important Info!'!$A$1:$J$135,10,FALSE)</f>
        <v>https://tools.sig.systems/site/details/212</v>
      </c>
      <c r="I225" s="2" t="s">
        <v>142</v>
      </c>
      <c r="J225" t="s">
        <v>41</v>
      </c>
      <c r="K225" s="79" t="str">
        <f>VLOOKUP(Tabla3[[#This Row],[Site]],'Important Info!'!$A$1:$H$135,8,FALSE)</f>
        <v>-</v>
      </c>
      <c r="L225" s="52" t="str">
        <f>VLOOKUP(Tabla3[[#This Row],[Site]],'Important Info!'!$A$1:$F$135,2,FALSE)</f>
        <v>-</v>
      </c>
      <c r="M225" s="52" t="str">
        <f>VLOOKUP(Tabla3[[#This Row],[Site]],'Important Info!'!$A$1:$F$135,3,FALSE)</f>
        <v>-</v>
      </c>
      <c r="N225" s="52" t="str">
        <f>VLOOKUP(Tabla3[[#This Row],[Site]],'Important Info!'!$A$1:$F$135,4,FALSE)</f>
        <v>-</v>
      </c>
      <c r="O225" s="52" t="str">
        <f>VLOOKUP(Tabla3[[#This Row],[Site]],'Important Info!'!$A$1:$F$135,5,FALSE)</f>
        <v>-</v>
      </c>
      <c r="P225" s="52" t="str">
        <f>VLOOKUP(Tabla3[[#This Row],[Site]],'Important Info!'!$A$1:$F$135,6,FALSE)</f>
        <v>1, 3, 7, 8</v>
      </c>
      <c r="Q225" s="91">
        <f>VLOOKUP(Tabla3[[#This Row],[Site]],'Important Info!'!$A$1:$J$135,9,FALSE)</f>
        <v>212</v>
      </c>
    </row>
    <row r="226" spans="1:17" x14ac:dyDescent="0.25">
      <c r="A226" t="str">
        <f>+Tabla3[[#This Row],[Site]]&amp;Tabla3[[#This Row],[Split]]</f>
        <v>(ML) Joe Machens Nissan5</v>
      </c>
      <c r="B226">
        <v>5</v>
      </c>
      <c r="C226">
        <v>5</v>
      </c>
      <c r="D226" t="s">
        <v>33</v>
      </c>
      <c r="E226" t="s">
        <v>46</v>
      </c>
      <c r="F226" t="s">
        <v>104</v>
      </c>
      <c r="G226" t="s">
        <v>34</v>
      </c>
      <c r="H226" s="52" t="str">
        <f>VLOOKUP(Tabla3[[#This Row],[Site]],'Important Info!'!$A$1:$J$135,10,FALSE)</f>
        <v>https://tools.sig.systems/site/details/279</v>
      </c>
      <c r="I226" s="2" t="s">
        <v>146</v>
      </c>
      <c r="J226" t="s">
        <v>41</v>
      </c>
      <c r="K226" s="79" t="str">
        <f>VLOOKUP(Tabla3[[#This Row],[Site]],'Important Info!'!$A$1:$H$135,8,FALSE)</f>
        <v>-</v>
      </c>
      <c r="L226" s="52" t="str">
        <f>VLOOKUP(Tabla3[[#This Row],[Site]],'Important Info!'!$A$1:$F$135,2,FALSE)</f>
        <v>-</v>
      </c>
      <c r="M226" s="52" t="str">
        <f>VLOOKUP(Tabla3[[#This Row],[Site]],'Important Info!'!$A$1:$F$135,3,FALSE)</f>
        <v>1, 3, 16</v>
      </c>
      <c r="N226" s="52" t="str">
        <f>VLOOKUP(Tabla3[[#This Row],[Site]],'Important Info!'!$A$1:$F$135,4,FALSE)</f>
        <v>-</v>
      </c>
      <c r="O226" s="52" t="str">
        <f>VLOOKUP(Tabla3[[#This Row],[Site]],'Important Info!'!$A$1:$F$135,5,FALSE)</f>
        <v>-</v>
      </c>
      <c r="P226" s="52" t="str">
        <f>VLOOKUP(Tabla3[[#This Row],[Site]],'Important Info!'!$A$1:$F$135,6,FALSE)</f>
        <v>-</v>
      </c>
      <c r="Q226" s="91">
        <f>VLOOKUP(Tabla3[[#This Row],[Site]],'Important Info!'!$A$1:$J$135,9,FALSE)</f>
        <v>279</v>
      </c>
    </row>
    <row r="227" spans="1:17" x14ac:dyDescent="0.25">
      <c r="A227" t="str">
        <f>+Tabla3[[#This Row],[Site]]&amp;Tabla3[[#This Row],[Split]]</f>
        <v>(ML) Joe Machens Temporary 2.05</v>
      </c>
      <c r="B227">
        <v>5</v>
      </c>
      <c r="C227">
        <v>5</v>
      </c>
      <c r="D227" t="s">
        <v>33</v>
      </c>
      <c r="E227" t="s">
        <v>46</v>
      </c>
      <c r="F227" t="s">
        <v>105</v>
      </c>
      <c r="G227" t="s">
        <v>34</v>
      </c>
      <c r="H227" s="52" t="str">
        <f>VLOOKUP(Tabla3[[#This Row],[Site]],'Important Info!'!$A$1:$J$135,10,FALSE)</f>
        <v>https://tools.sig.systems/site/details/278</v>
      </c>
      <c r="I227" s="43" t="s">
        <v>146</v>
      </c>
      <c r="J227" t="s">
        <v>41</v>
      </c>
      <c r="K227" s="79" t="str">
        <f>VLOOKUP(Tabla3[[#This Row],[Site]],'Important Info!'!$A$1:$H$135,8,FALSE)</f>
        <v>-</v>
      </c>
      <c r="L227" s="52" t="str">
        <f>VLOOKUP(Tabla3[[#This Row],[Site]],'Important Info!'!$A$1:$F$135,2,FALSE)</f>
        <v>-</v>
      </c>
      <c r="M227" s="52" t="str">
        <f>VLOOKUP(Tabla3[[#This Row],[Site]],'Important Info!'!$A$1:$F$135,3,FALSE)</f>
        <v>1, 11, 14, 15, 16</v>
      </c>
      <c r="N227" s="52" t="str">
        <f>VLOOKUP(Tabla3[[#This Row],[Site]],'Important Info!'!$A$1:$F$135,4,FALSE)</f>
        <v>-</v>
      </c>
      <c r="O227" s="52">
        <f>VLOOKUP(Tabla3[[#This Row],[Site]],'Important Info!'!$A$1:$F$135,5,FALSE)</f>
        <v>13</v>
      </c>
      <c r="P227" s="52" t="str">
        <f>VLOOKUP(Tabla3[[#This Row],[Site]],'Important Info!'!$A$1:$F$135,6,FALSE)</f>
        <v>-</v>
      </c>
      <c r="Q227" s="91">
        <f>VLOOKUP(Tabla3[[#This Row],[Site]],'Important Info!'!$A$1:$J$135,9,FALSE)</f>
        <v>278</v>
      </c>
    </row>
    <row r="228" spans="1:17" x14ac:dyDescent="0.25">
      <c r="A228" t="str">
        <f>+Tabla3[[#This Row],[Site]]&amp;Tabla3[[#This Row],[Split]]</f>
        <v>(ML) Nissan of North Little Rock5</v>
      </c>
      <c r="B228">
        <v>5</v>
      </c>
      <c r="C228">
        <v>5</v>
      </c>
      <c r="D228" t="s">
        <v>33</v>
      </c>
      <c r="E228" t="s">
        <v>46</v>
      </c>
      <c r="F228" t="s">
        <v>75</v>
      </c>
      <c r="G228" t="s">
        <v>34</v>
      </c>
      <c r="H228" s="52" t="str">
        <f>VLOOKUP(Tabla3[[#This Row],[Site]],'Important Info!'!$A$1:$J$135,10,FALSE)</f>
        <v>https://tools.sig.systems/site/details/216</v>
      </c>
      <c r="I228" s="2" t="s">
        <v>142</v>
      </c>
      <c r="J228" t="s">
        <v>41</v>
      </c>
      <c r="K228" s="79" t="str">
        <f>VLOOKUP(Tabla3[[#This Row],[Site]],'Important Info!'!$A$1:$H$135,8,FALSE)</f>
        <v>-</v>
      </c>
      <c r="L228" s="52" t="str">
        <f>VLOOKUP(Tabla3[[#This Row],[Site]],'Important Info!'!$A$1:$F$135,2,FALSE)</f>
        <v>2, 4</v>
      </c>
      <c r="M228" s="52" t="str">
        <f>VLOOKUP(Tabla3[[#This Row],[Site]],'Important Info!'!$A$1:$F$135,3,FALSE)</f>
        <v>-</v>
      </c>
      <c r="N228" s="52" t="str">
        <f>VLOOKUP(Tabla3[[#This Row],[Site]],'Important Info!'!$A$1:$F$135,4,FALSE)</f>
        <v>-</v>
      </c>
      <c r="O228" s="52" t="str">
        <f>VLOOKUP(Tabla3[[#This Row],[Site]],'Important Info!'!$A$1:$F$135,5,FALSE)</f>
        <v>5, 17, 23</v>
      </c>
      <c r="P228" s="52">
        <f>VLOOKUP(Tabla3[[#This Row],[Site]],'Important Info!'!$A$1:$F$135,6,FALSE)</f>
        <v>18</v>
      </c>
      <c r="Q228" s="91">
        <f>VLOOKUP(Tabla3[[#This Row],[Site]],'Important Info!'!$A$1:$J$135,9,FALSE)</f>
        <v>216</v>
      </c>
    </row>
    <row r="229" spans="1:17" x14ac:dyDescent="0.25">
      <c r="A229" t="str">
        <f>+Tabla3[[#This Row],[Site]]&amp;Tabla3[[#This Row],[Split]]</f>
        <v>(ML) Toyota N Little Rock5</v>
      </c>
      <c r="B229">
        <v>5</v>
      </c>
      <c r="C229">
        <v>5</v>
      </c>
      <c r="D229" t="s">
        <v>33</v>
      </c>
      <c r="E229" t="s">
        <v>46</v>
      </c>
      <c r="F229" t="s">
        <v>76</v>
      </c>
      <c r="G229" t="s">
        <v>34</v>
      </c>
      <c r="H229" s="52" t="str">
        <f>VLOOKUP(Tabla3[[#This Row],[Site]],'Important Info!'!$A$1:$J$135,10,FALSE)</f>
        <v>https://tools.sig.systems/site/details/201</v>
      </c>
      <c r="I229" s="43" t="s">
        <v>142</v>
      </c>
      <c r="J229" t="s">
        <v>41</v>
      </c>
      <c r="K229" s="79" t="str">
        <f>VLOOKUP(Tabla3[[#This Row],[Site]],'Important Info!'!$A$1:$H$135,8,FALSE)</f>
        <v>-</v>
      </c>
      <c r="L229" s="52" t="str">
        <f>VLOOKUP(Tabla3[[#This Row],[Site]],'Important Info!'!$A$1:$F$135,2,FALSE)</f>
        <v>4, 15, 18, 22, 23, 26</v>
      </c>
      <c r="M229" s="52" t="str">
        <f>VLOOKUP(Tabla3[[#This Row],[Site]],'Important Info!'!$A$1:$F$135,3,FALSE)</f>
        <v>-</v>
      </c>
      <c r="N229" s="52" t="str">
        <f>VLOOKUP(Tabla3[[#This Row],[Site]],'Important Info!'!$A$1:$F$135,4,FALSE)</f>
        <v>-</v>
      </c>
      <c r="O229" s="52" t="str">
        <f>VLOOKUP(Tabla3[[#This Row],[Site]],'Important Info!'!$A$1:$F$135,5,FALSE)</f>
        <v>2, 12, 13, 18</v>
      </c>
      <c r="P229" s="52" t="str">
        <f>VLOOKUP(Tabla3[[#This Row],[Site]],'Important Info!'!$A$1:$F$135,6,FALSE)</f>
        <v>-</v>
      </c>
      <c r="Q229" s="91">
        <f>VLOOKUP(Tabla3[[#This Row],[Site]],'Important Info!'!$A$1:$J$135,9,FALSE)</f>
        <v>201</v>
      </c>
    </row>
    <row r="230" spans="1:17" x14ac:dyDescent="0.25">
      <c r="A230" t="str">
        <f>+Tabla3[[#This Row],[Site]]&amp;Tabla3[[#This Row],[Split]]</f>
        <v>(PE) Honda of Danbury (NO TOURS)5</v>
      </c>
      <c r="B230">
        <v>5</v>
      </c>
      <c r="C230">
        <v>5</v>
      </c>
      <c r="D230" t="s">
        <v>485</v>
      </c>
      <c r="E230" t="s">
        <v>35</v>
      </c>
      <c r="F230" t="s">
        <v>174</v>
      </c>
      <c r="G230" t="s">
        <v>490</v>
      </c>
      <c r="H230" s="52" t="str">
        <f>VLOOKUP(Tabla3[[#This Row],[Site]],'Important Info!'!$A$1:$J$135,10,FALSE)</f>
        <v>https://tools.sig.systems/site/details/190</v>
      </c>
      <c r="J230" t="s">
        <v>41</v>
      </c>
      <c r="K230" s="79" t="str">
        <f>VLOOKUP(Tabla3[[#This Row],[Site]],'Important Info!'!$A$1:$H$135,8,FALSE)</f>
        <v>-</v>
      </c>
      <c r="L230" s="52" t="str">
        <f>VLOOKUP(Tabla3[[#This Row],[Site]],'Important Info!'!$A$1:$F$135,2,FALSE)</f>
        <v>-</v>
      </c>
      <c r="M230" s="52" t="str">
        <f>VLOOKUP(Tabla3[[#This Row],[Site]],'Important Info!'!$A$1:$F$135,3,FALSE)</f>
        <v>20, 9</v>
      </c>
      <c r="N230" s="52">
        <f>VLOOKUP(Tabla3[[#This Row],[Site]],'Important Info!'!$A$1:$F$135,4,FALSE)</f>
        <v>9</v>
      </c>
      <c r="O230" s="52" t="str">
        <f>VLOOKUP(Tabla3[[#This Row],[Site]],'Important Info!'!$A$1:$F$135,5,FALSE)</f>
        <v>-</v>
      </c>
      <c r="P230" s="52" t="str">
        <f>VLOOKUP(Tabla3[[#This Row],[Site]],'Important Info!'!$A$1:$F$135,6,FALSE)</f>
        <v>9, 16, 17</v>
      </c>
      <c r="Q230" s="91">
        <f>VLOOKUP(Tabla3[[#This Row],[Site]],'Important Info!'!$A$1:$J$135,9,FALSE)</f>
        <v>190</v>
      </c>
    </row>
    <row r="231" spans="1:17" x14ac:dyDescent="0.25">
      <c r="A231" t="str">
        <f>+Tabla3[[#This Row],[Site]]&amp;Tabla3[[#This Row],[Split]]</f>
        <v>(PE) JLR PDI (NO TOURS)5</v>
      </c>
      <c r="B231">
        <v>5</v>
      </c>
      <c r="C231">
        <v>5</v>
      </c>
      <c r="D231" t="s">
        <v>485</v>
      </c>
      <c r="E231" t="s">
        <v>35</v>
      </c>
      <c r="F231" t="s">
        <v>114</v>
      </c>
      <c r="G231" t="s">
        <v>490</v>
      </c>
      <c r="H231" s="52" t="str">
        <f>VLOOKUP(Tabla3[[#This Row],[Site]],'Important Info!'!$A$1:$J$135,10,FALSE)</f>
        <v>https://tools.sig.systems/site/details/179</v>
      </c>
      <c r="I231" s="66" t="s">
        <v>176</v>
      </c>
      <c r="J231" t="s">
        <v>41</v>
      </c>
      <c r="K231" s="79" t="str">
        <f>VLOOKUP(Tabla3[[#This Row],[Site]],'Important Info!'!$A$1:$H$135,8,FALSE)</f>
        <v>-</v>
      </c>
      <c r="L231" s="52" t="str">
        <f>VLOOKUP(Tabla3[[#This Row],[Site]],'Important Info!'!$A$1:$F$135,2,FALSE)</f>
        <v>3, 8</v>
      </c>
      <c r="M231" s="52" t="str">
        <f>VLOOKUP(Tabla3[[#This Row],[Site]],'Important Info!'!$A$1:$F$135,3,FALSE)</f>
        <v>-</v>
      </c>
      <c r="N231" s="52" t="str">
        <f>VLOOKUP(Tabla3[[#This Row],[Site]],'Important Info!'!$A$1:$F$135,4,FALSE)</f>
        <v>-</v>
      </c>
      <c r="O231" s="52" t="str">
        <f>VLOOKUP(Tabla3[[#This Row],[Site]],'Important Info!'!$A$1:$F$135,5,FALSE)</f>
        <v>-</v>
      </c>
      <c r="P231" s="52" t="str">
        <f>VLOOKUP(Tabla3[[#This Row],[Site]],'Important Info!'!$A$1:$F$135,6,FALSE)</f>
        <v>-</v>
      </c>
      <c r="Q231" s="91">
        <f>VLOOKUP(Tabla3[[#This Row],[Site]],'Important Info!'!$A$1:$J$135,9,FALSE)</f>
        <v>179</v>
      </c>
    </row>
    <row r="232" spans="1:17" x14ac:dyDescent="0.25">
      <c r="A232" t="str">
        <f>+Tabla3[[#This Row],[Site]]&amp;Tabla3[[#This Row],[Split]]</f>
        <v>(RV) Sonny's Camp N Travel Concord5</v>
      </c>
      <c r="B232">
        <v>5</v>
      </c>
      <c r="C232">
        <v>5</v>
      </c>
      <c r="D232" t="s">
        <v>62</v>
      </c>
      <c r="E232" t="s">
        <v>35</v>
      </c>
      <c r="F232" t="s">
        <v>188</v>
      </c>
      <c r="G232" t="s">
        <v>490</v>
      </c>
      <c r="H232" s="52" t="str">
        <f>VLOOKUP(Tabla3[[#This Row],[Site]],'Important Info!'!$A$1:$J$135,10,FALSE)</f>
        <v>https://tools.sig.systems/site/details/183</v>
      </c>
      <c r="I232" s="43"/>
      <c r="J232" t="s">
        <v>41</v>
      </c>
      <c r="K232" s="79" t="str">
        <f>VLOOKUP(Tabla3[[#This Row],[Site]],'Important Info!'!$A$1:$H$135,8,FALSE)</f>
        <v>-</v>
      </c>
      <c r="L232" s="52">
        <f>VLOOKUP(Tabla3[[#This Row],[Site]],'Important Info!'!$A$1:$F$135,2,FALSE)</f>
        <v>1</v>
      </c>
      <c r="M232" s="52" t="str">
        <f>VLOOKUP(Tabla3[[#This Row],[Site]],'Important Info!'!$A$1:$F$135,3,FALSE)</f>
        <v>-</v>
      </c>
      <c r="N232" s="52" t="str">
        <f>VLOOKUP(Tabla3[[#This Row],[Site]],'Important Info!'!$A$1:$F$135,4,FALSE)</f>
        <v>-</v>
      </c>
      <c r="O232" s="52">
        <f>VLOOKUP(Tabla3[[#This Row],[Site]],'Important Info!'!$A$1:$F$135,5,FALSE)</f>
        <v>7</v>
      </c>
      <c r="P232" s="52" t="str">
        <f>VLOOKUP(Tabla3[[#This Row],[Site]],'Important Info!'!$A$1:$F$135,6,FALSE)</f>
        <v>6, 7, 8, 9</v>
      </c>
      <c r="Q232" s="91">
        <f>VLOOKUP(Tabla3[[#This Row],[Site]],'Important Info!'!$A$1:$J$135,9,FALSE)</f>
        <v>183</v>
      </c>
    </row>
    <row r="233" spans="1:17" x14ac:dyDescent="0.25">
      <c r="A233" t="str">
        <f>+Tabla3[[#This Row],[Site]]&amp;Tabla3[[#This Row],[Split]]</f>
        <v>(SCH) West Palm Beach I, II &amp; III5</v>
      </c>
      <c r="B233">
        <v>5</v>
      </c>
      <c r="C233">
        <v>5</v>
      </c>
      <c r="D233" t="s">
        <v>492</v>
      </c>
      <c r="E233" t="s">
        <v>35</v>
      </c>
      <c r="F233" t="s">
        <v>96</v>
      </c>
      <c r="G233" t="s">
        <v>490</v>
      </c>
      <c r="H233" s="52" t="str">
        <f>VLOOKUP(Tabla3[[#This Row],[Site]],'Important Info!'!$A$1:$J$135,10,FALSE)</f>
        <v>https://tools.sig.systems/site/details/162</v>
      </c>
      <c r="J233" t="s">
        <v>36</v>
      </c>
      <c r="K233" s="79" t="str">
        <f>VLOOKUP(Tabla3[[#This Row],[Site]],'Important Info!'!$A$1:$H$135,8,FALSE)</f>
        <v>SUNDAY: Log in at 5:30 p.m. ET.</v>
      </c>
      <c r="L233" s="52" t="str">
        <f>VLOOKUP(Tabla3[[#This Row],[Site]],'Important Info!'!$A$1:$F$135,2,FALSE)</f>
        <v>34, 62</v>
      </c>
      <c r="M233" s="52" t="str">
        <f>VLOOKUP(Tabla3[[#This Row],[Site]],'Important Info!'!$A$1:$F$135,3,FALSE)</f>
        <v xml:space="preserve">6, 7, 11, 13, </v>
      </c>
      <c r="N233" s="52" t="str">
        <f>VLOOKUP(Tabla3[[#This Row],[Site]],'Important Info!'!$A$1:$F$135,4,FALSE)</f>
        <v>20, 21</v>
      </c>
      <c r="O233" s="52" t="str">
        <f>VLOOKUP(Tabla3[[#This Row],[Site]],'Important Info!'!$A$1:$F$135,5,FALSE)</f>
        <v>-</v>
      </c>
      <c r="P233" s="52" t="str">
        <f>VLOOKUP(Tabla3[[#This Row],[Site]],'Important Info!'!$A$1:$F$135,6,FALSE)</f>
        <v>1, 2, 3, 131, 132</v>
      </c>
      <c r="Q233" s="91">
        <f>VLOOKUP(Tabla3[[#This Row],[Site]],'Important Info!'!$A$1:$J$135,9,FALSE)</f>
        <v>162</v>
      </c>
    </row>
    <row r="234" spans="1:17" x14ac:dyDescent="0.25">
      <c r="A234" t="str">
        <f>+Tabla3[[#This Row],[Site]]&amp;Tabla3[[#This Row],[Split]]</f>
        <v>(AS) Atwell Prep Center-Dallas (NO TOURS)6</v>
      </c>
      <c r="B234">
        <v>6</v>
      </c>
      <c r="C234">
        <v>1</v>
      </c>
      <c r="D234" t="s">
        <v>33</v>
      </c>
      <c r="E234" t="s">
        <v>46</v>
      </c>
      <c r="F234" t="s">
        <v>498</v>
      </c>
      <c r="G234" t="s">
        <v>34</v>
      </c>
      <c r="H234" s="52" t="str">
        <f>VLOOKUP(Tabla3[[#This Row],[Site]],'Important Info!'!$A$1:$J$135,10,FALSE)</f>
        <v>https://tools.sig.systems/site/details/165</v>
      </c>
      <c r="I234" s="65" t="s">
        <v>125</v>
      </c>
      <c r="J234" t="s">
        <v>41</v>
      </c>
      <c r="K234" s="79" t="str">
        <f>VLOOKUP(Tabla3[[#This Row],[Site]],'Important Info!'!$A$1:$H$135,8,FALSE)</f>
        <v>-</v>
      </c>
      <c r="L234" s="52" t="str">
        <f>VLOOKUP(Tabla3[[#This Row],[Site]],'Important Info!'!$A$1:$F$135,2,FALSE)</f>
        <v>4, 6, 7</v>
      </c>
      <c r="M234" s="52" t="str">
        <f>VLOOKUP(Tabla3[[#This Row],[Site]],'Important Info!'!$A$1:$F$135,3,FALSE)</f>
        <v>-</v>
      </c>
      <c r="N234" s="52" t="str">
        <f>VLOOKUP(Tabla3[[#This Row],[Site]],'Important Info!'!$A$1:$F$135,4,FALSE)</f>
        <v>-</v>
      </c>
      <c r="O234" s="52" t="str">
        <f>VLOOKUP(Tabla3[[#This Row],[Site]],'Important Info!'!$A$1:$F$135,5,FALSE)</f>
        <v>-</v>
      </c>
      <c r="P234" s="52" t="str">
        <f>VLOOKUP(Tabla3[[#This Row],[Site]],'Important Info!'!$A$1:$F$135,6,FALSE)</f>
        <v>1, 2</v>
      </c>
      <c r="Q234" s="91">
        <f>VLOOKUP(Tabla3[[#This Row],[Site]],'Important Info!'!$A$1:$J$135,9,FALSE)</f>
        <v>165</v>
      </c>
    </row>
    <row r="235" spans="1:17" x14ac:dyDescent="0.25">
      <c r="A235" t="str">
        <f>+Tabla3[[#This Row],[Site]]&amp;Tabla3[[#This Row],[Split]]</f>
        <v>(AS) Coggin Honda Ft. Pierce (NO TOURS)6</v>
      </c>
      <c r="B235">
        <v>6</v>
      </c>
      <c r="C235">
        <v>1</v>
      </c>
      <c r="D235" t="s">
        <v>62</v>
      </c>
      <c r="E235" t="s">
        <v>35</v>
      </c>
      <c r="F235" t="s">
        <v>501</v>
      </c>
      <c r="G235" t="s">
        <v>490</v>
      </c>
      <c r="H235" s="52" t="str">
        <f>VLOOKUP(Tabla3[[#This Row],[Site]],'Important Info!'!$A$1:$J$135,10,FALSE)</f>
        <v>https://tools.sig.systems/site/details/120</v>
      </c>
      <c r="I235" t="s">
        <v>179</v>
      </c>
      <c r="J235" t="s">
        <v>484</v>
      </c>
      <c r="K235" s="79" t="str">
        <f>VLOOKUP(Tabla3[[#This Row],[Site]],'Important Info!'!$A$1:$H$135,8,FALSE)</f>
        <v>-</v>
      </c>
      <c r="L235" s="52" t="str">
        <f>VLOOKUP(Tabla3[[#This Row],[Site]],'Important Info!'!$A$1:$F$135,2,FALSE)</f>
        <v>1, 2, 3, 4, 14</v>
      </c>
      <c r="M235" s="52" t="str">
        <f>VLOOKUP(Tabla3[[#This Row],[Site]],'Important Info!'!$A$1:$F$135,3,FALSE)</f>
        <v>-</v>
      </c>
      <c r="N235" s="52" t="str">
        <f>VLOOKUP(Tabla3[[#This Row],[Site]],'Important Info!'!$A$1:$F$135,4,FALSE)</f>
        <v>-</v>
      </c>
      <c r="O235" s="52" t="str">
        <f>VLOOKUP(Tabla3[[#This Row],[Site]],'Important Info!'!$A$1:$F$135,5,FALSE)</f>
        <v>7, 11, 15</v>
      </c>
      <c r="P235" s="52">
        <f>VLOOKUP(Tabla3[[#This Row],[Site]],'Important Info!'!$A$1:$F$135,6,FALSE)</f>
        <v>3</v>
      </c>
      <c r="Q235" s="91">
        <f>VLOOKUP(Tabla3[[#This Row],[Site]],'Important Info!'!$A$1:$J$135,9,FALSE)</f>
        <v>120</v>
      </c>
    </row>
    <row r="236" spans="1:17" x14ac:dyDescent="0.25">
      <c r="A236" t="str">
        <f>+Tabla3[[#This Row],[Site]]&amp;Tabla3[[#This Row],[Split]]</f>
        <v>(AS) Mercedes Benz/Porsche Dallas I,II,III (NO TOURS)6</v>
      </c>
      <c r="B236">
        <v>6</v>
      </c>
      <c r="C236">
        <v>1</v>
      </c>
      <c r="D236" t="s">
        <v>33</v>
      </c>
      <c r="E236" t="s">
        <v>46</v>
      </c>
      <c r="F236" t="s">
        <v>509</v>
      </c>
      <c r="G236" t="s">
        <v>34</v>
      </c>
      <c r="H236" s="52" t="str">
        <f>VLOOKUP(Tabla3[[#This Row],[Site]],'Important Info!'!$A$1:$J$135,10,FALSE)</f>
        <v>https://tools.sig.systems/site/details/168</v>
      </c>
      <c r="I236" s="65" t="s">
        <v>125</v>
      </c>
      <c r="J236" t="s">
        <v>41</v>
      </c>
      <c r="K236" s="79" t="str">
        <f>VLOOKUP(Tabla3[[#This Row],[Site]],'Important Info!'!$A$1:$H$135,8,FALSE)</f>
        <v>-</v>
      </c>
      <c r="L236" s="52" t="str">
        <f>VLOOKUP(Tabla3[[#This Row],[Site]],'Important Info!'!$A$1:$F$135,2,FALSE)</f>
        <v>3, 4, 17, 26, 41</v>
      </c>
      <c r="M236" s="52" t="str">
        <f>VLOOKUP(Tabla3[[#This Row],[Site]],'Important Info!'!$A$1:$F$135,3,FALSE)</f>
        <v>-</v>
      </c>
      <c r="N236" s="52" t="str">
        <f>VLOOKUP(Tabla3[[#This Row],[Site]],'Important Info!'!$A$1:$F$135,4,FALSE)</f>
        <v>153, 154, 155, 156, 157, 158</v>
      </c>
      <c r="O236" s="52" t="str">
        <f>VLOOKUP(Tabla3[[#This Row],[Site]],'Important Info!'!$A$1:$F$135,5,FALSE)</f>
        <v>2, 6, 10, 20, 28, 30, 36</v>
      </c>
      <c r="P236" s="52" t="str">
        <f>VLOOKUP(Tabla3[[#This Row],[Site]],'Important Info!'!$A$1:$F$135,6,FALSE)</f>
        <v>31, 41, 159</v>
      </c>
      <c r="Q236" s="91">
        <f>VLOOKUP(Tabla3[[#This Row],[Site]],'Important Info!'!$A$1:$J$135,9,FALSE)</f>
        <v>168</v>
      </c>
    </row>
    <row r="237" spans="1:17" x14ac:dyDescent="0.25">
      <c r="A237" t="str">
        <f>+Tabla3[[#This Row],[Site]]&amp;Tabla3[[#This Row],[Split]]</f>
        <v>(AS) Park Place Bodywerks Dallas (NO TOURS)6</v>
      </c>
      <c r="B237">
        <v>6</v>
      </c>
      <c r="C237">
        <v>1</v>
      </c>
      <c r="D237" t="s">
        <v>33</v>
      </c>
      <c r="E237" t="s">
        <v>46</v>
      </c>
      <c r="F237" t="s">
        <v>514</v>
      </c>
      <c r="G237" t="s">
        <v>34</v>
      </c>
      <c r="H237" s="52" t="str">
        <f>VLOOKUP(Tabla3[[#This Row],[Site]],'Important Info!'!$A$1:$J$135,10,FALSE)</f>
        <v>https://tools.sig.systems/site/details/166</v>
      </c>
      <c r="I237" s="62" t="s">
        <v>125</v>
      </c>
      <c r="J237" t="s">
        <v>41</v>
      </c>
      <c r="K237" s="79" t="str">
        <f>VLOOKUP(Tabla3[[#This Row],[Site]],'Important Info!'!$A$1:$H$135,8,FALSE)</f>
        <v>-</v>
      </c>
      <c r="L237" s="52">
        <f>VLOOKUP(Tabla3[[#This Row],[Site]],'Important Info!'!$A$1:$F$135,2,FALSE)</f>
        <v>3</v>
      </c>
      <c r="M237" s="52">
        <f>VLOOKUP(Tabla3[[#This Row],[Site]],'Important Info!'!$A$1:$F$135,3,FALSE)</f>
        <v>1</v>
      </c>
      <c r="N237" s="52" t="str">
        <f>VLOOKUP(Tabla3[[#This Row],[Site]],'Important Info!'!$A$1:$F$135,4,FALSE)</f>
        <v>-</v>
      </c>
      <c r="O237" s="52" t="str">
        <f>VLOOKUP(Tabla3[[#This Row],[Site]],'Important Info!'!$A$1:$F$135,5,FALSE)</f>
        <v>-</v>
      </c>
      <c r="P237" s="52" t="str">
        <f>VLOOKUP(Tabla3[[#This Row],[Site]],'Important Info!'!$A$1:$F$135,6,FALSE)</f>
        <v>1, 2, 8</v>
      </c>
      <c r="Q237" s="91">
        <f>VLOOKUP(Tabla3[[#This Row],[Site]],'Important Info!'!$A$1:$J$135,9,FALSE)</f>
        <v>166</v>
      </c>
    </row>
    <row r="238" spans="1:17" x14ac:dyDescent="0.25">
      <c r="A238" t="str">
        <f>+Tabla3[[#This Row],[Site]]&amp;Tabla3[[#This Row],[Split]]</f>
        <v>(AS) Park Place Bodywerks Ft. Worth (NO TOURS)6</v>
      </c>
      <c r="B238">
        <v>6</v>
      </c>
      <c r="C238">
        <v>1</v>
      </c>
      <c r="D238" t="s">
        <v>33</v>
      </c>
      <c r="E238" t="s">
        <v>46</v>
      </c>
      <c r="F238" t="s">
        <v>515</v>
      </c>
      <c r="G238" t="s">
        <v>34</v>
      </c>
      <c r="H238" s="52" t="str">
        <f>VLOOKUP(Tabla3[[#This Row],[Site]],'Important Info!'!$A$1:$J$135,10,FALSE)</f>
        <v>https://tools.sig.systems/site/details/134</v>
      </c>
      <c r="I238" s="8" t="s">
        <v>128</v>
      </c>
      <c r="J238" t="s">
        <v>41</v>
      </c>
      <c r="K238" s="79" t="str">
        <f>VLOOKUP(Tabla3[[#This Row],[Site]],'Important Info!'!$A$1:$H$135,8,FALSE)</f>
        <v>-</v>
      </c>
      <c r="L238" s="52" t="str">
        <f>VLOOKUP(Tabla3[[#This Row],[Site]],'Important Info!'!$A$1:$F$135,2,FALSE)</f>
        <v>2, 3, RemoteLot5, RemoteLot9</v>
      </c>
      <c r="M238" s="52" t="str">
        <f>VLOOKUP(Tabla3[[#This Row],[Site]],'Important Info!'!$A$1:$F$135,3,FALSE)</f>
        <v>-</v>
      </c>
      <c r="N238" s="52" t="str">
        <f>VLOOKUP(Tabla3[[#This Row],[Site]],'Important Info!'!$A$1:$F$135,4,FALSE)</f>
        <v>-</v>
      </c>
      <c r="O238" s="52" t="str">
        <f>VLOOKUP(Tabla3[[#This Row],[Site]],'Important Info!'!$A$1:$F$135,5,FALSE)</f>
        <v>1, 7, RL1, RL5, RL9</v>
      </c>
      <c r="P238" s="52" t="str">
        <f>VLOOKUP(Tabla3[[#This Row],[Site]],'Important Info!'!$A$1:$F$135,6,FALSE)</f>
        <v>3, 4, 15</v>
      </c>
      <c r="Q238" s="91">
        <f>VLOOKUP(Tabla3[[#This Row],[Site]],'Important Info!'!$A$1:$J$135,9,FALSE)</f>
        <v>134</v>
      </c>
    </row>
    <row r="239" spans="1:17" x14ac:dyDescent="0.25">
      <c r="A239" t="str">
        <f>+Tabla3[[#This Row],[Site]]&amp;Tabla3[[#This Row],[Split]]</f>
        <v>(DT) Louisville6</v>
      </c>
      <c r="B239">
        <v>6</v>
      </c>
      <c r="C239">
        <v>1</v>
      </c>
      <c r="D239" t="s">
        <v>62</v>
      </c>
      <c r="E239" t="s">
        <v>35</v>
      </c>
      <c r="F239" t="s">
        <v>99</v>
      </c>
      <c r="G239" t="s">
        <v>490</v>
      </c>
      <c r="H239" s="52" t="str">
        <f>VLOOKUP(Tabla3[[#This Row],[Site]],'Important Info!'!$A$1:$J$135,10,FALSE)</f>
        <v>https://tools.sig.systems/site/details/258</v>
      </c>
      <c r="I239" s="43"/>
      <c r="J239" t="s">
        <v>41</v>
      </c>
      <c r="K239" s="79" t="str">
        <f>VLOOKUP(Tabla3[[#This Row],[Site]],'Important Info!'!$A$1:$H$135,8,FALSE)</f>
        <v>-</v>
      </c>
      <c r="L239" s="52" t="str">
        <f>VLOOKUP(Tabla3[[#This Row],[Site]],'Important Info!'!$A$1:$F$135,2,FALSE)</f>
        <v>-</v>
      </c>
      <c r="M239" s="52">
        <f>VLOOKUP(Tabla3[[#This Row],[Site]],'Important Info!'!$A$1:$F$135,3,FALSE)</f>
        <v>3</v>
      </c>
      <c r="N239" s="52" t="str">
        <f>VLOOKUP(Tabla3[[#This Row],[Site]],'Important Info!'!$A$1:$F$135,4,FALSE)</f>
        <v>-</v>
      </c>
      <c r="O239" s="52" t="str">
        <f>VLOOKUP(Tabla3[[#This Row],[Site]],'Important Info!'!$A$1:$F$135,5,FALSE)</f>
        <v>-</v>
      </c>
      <c r="P239" s="52" t="str">
        <f>VLOOKUP(Tabla3[[#This Row],[Site]],'Important Info!'!$A$1:$F$135,6,FALSE)</f>
        <v>3, 8</v>
      </c>
      <c r="Q239" s="91">
        <f>VLOOKUP(Tabla3[[#This Row],[Site]],'Important Info!'!$A$1:$J$135,9,FALSE)</f>
        <v>258</v>
      </c>
    </row>
    <row r="240" spans="1:17" x14ac:dyDescent="0.25">
      <c r="A240" t="str">
        <f>+Tabla3[[#This Row],[Site]]&amp;Tabla3[[#This Row],[Split]]</f>
        <v>(DT) N. Houston6</v>
      </c>
      <c r="B240">
        <v>6</v>
      </c>
      <c r="C240">
        <v>1</v>
      </c>
      <c r="D240" t="s">
        <v>33</v>
      </c>
      <c r="E240" t="s">
        <v>46</v>
      </c>
      <c r="F240" t="s">
        <v>68</v>
      </c>
      <c r="G240" t="s">
        <v>34</v>
      </c>
      <c r="H240" s="52" t="str">
        <f>VLOOKUP(Tabla3[[#This Row],[Site]],'Important Info!'!$A$1:$J$135,10,FALSE)</f>
        <v>https://tools.sig.systems/site/details/250</v>
      </c>
      <c r="I240" s="43"/>
      <c r="J240" t="s">
        <v>41</v>
      </c>
      <c r="K240" s="79" t="str">
        <f>VLOOKUP(Tabla3[[#This Row],[Site]],'Important Info!'!$A$1:$H$135,8,FALSE)</f>
        <v>-</v>
      </c>
      <c r="L240" s="52" t="str">
        <f>VLOOKUP(Tabla3[[#This Row],[Site]],'Important Info!'!$A$1:$F$135,2,FALSE)</f>
        <v>2, 10, 18</v>
      </c>
      <c r="M240" s="52" t="str">
        <f>VLOOKUP(Tabla3[[#This Row],[Site]],'Important Info!'!$A$1:$F$135,3,FALSE)</f>
        <v>-</v>
      </c>
      <c r="N240" s="52" t="str">
        <f>VLOOKUP(Tabla3[[#This Row],[Site]],'Important Info!'!$A$1:$F$135,4,FALSE)</f>
        <v>-</v>
      </c>
      <c r="O240" s="52">
        <f>VLOOKUP(Tabla3[[#This Row],[Site]],'Important Info!'!$A$1:$F$135,5,FALSE)</f>
        <v>15</v>
      </c>
      <c r="P240" s="52" t="str">
        <f>VLOOKUP(Tabla3[[#This Row],[Site]],'Important Info!'!$A$1:$F$135,6,FALSE)</f>
        <v>2, 4, 18</v>
      </c>
      <c r="Q240" s="91">
        <f>VLOOKUP(Tabla3[[#This Row],[Site]],'Important Info!'!$A$1:$J$135,9,FALSE)</f>
        <v>250</v>
      </c>
    </row>
    <row r="241" spans="1:17" x14ac:dyDescent="0.25">
      <c r="A241" t="str">
        <f>+Tabla3[[#This Row],[Site]]&amp;Tabla3[[#This Row],[Split]]</f>
        <v>(HUD) Acura of Greensboro6</v>
      </c>
      <c r="B241">
        <v>6</v>
      </c>
      <c r="C241">
        <v>1</v>
      </c>
      <c r="D241" t="s">
        <v>62</v>
      </c>
      <c r="E241" t="s">
        <v>35</v>
      </c>
      <c r="F241" t="s">
        <v>100</v>
      </c>
      <c r="G241" t="s">
        <v>490</v>
      </c>
      <c r="H241" s="52" t="str">
        <f>VLOOKUP(Tabla3[[#This Row],[Site]],'Important Info!'!$A$1:$J$135,10,FALSE)</f>
        <v>https://tools.sig.systems/site/details/213</v>
      </c>
      <c r="I241" s="2" t="s">
        <v>182</v>
      </c>
      <c r="J241" t="s">
        <v>41</v>
      </c>
      <c r="K241" s="79" t="str">
        <f>VLOOKUP(Tabla3[[#This Row],[Site]],'Important Info!'!$A$1:$H$135,8,FALSE)</f>
        <v>-</v>
      </c>
      <c r="L241" s="52" t="str">
        <f>VLOOKUP(Tabla3[[#This Row],[Site]],'Important Info!'!$A$1:$F$135,2,FALSE)</f>
        <v>1, 2, 6, 7, 9</v>
      </c>
      <c r="M241" s="52" t="str">
        <f>VLOOKUP(Tabla3[[#This Row],[Site]],'Important Info!'!$A$1:$F$135,3,FALSE)</f>
        <v>-</v>
      </c>
      <c r="N241" s="52" t="str">
        <f>VLOOKUP(Tabla3[[#This Row],[Site]],'Important Info!'!$A$1:$F$135,4,FALSE)</f>
        <v>-</v>
      </c>
      <c r="O241" s="52" t="str">
        <f>VLOOKUP(Tabla3[[#This Row],[Site]],'Important Info!'!$A$1:$F$135,5,FALSE)</f>
        <v>2, 5</v>
      </c>
      <c r="P241" s="52" t="str">
        <f>VLOOKUP(Tabla3[[#This Row],[Site]],'Important Info!'!$A$1:$F$135,6,FALSE)</f>
        <v>1, 2, 6, 7, 9, 18</v>
      </c>
      <c r="Q241" s="91">
        <f>VLOOKUP(Tabla3[[#This Row],[Site]],'Important Info!'!$A$1:$J$135,9,FALSE)</f>
        <v>213</v>
      </c>
    </row>
    <row r="242" spans="1:17" x14ac:dyDescent="0.25">
      <c r="A242" t="str">
        <f>+Tabla3[[#This Row],[Site]]&amp;Tabla3[[#This Row],[Split]]</f>
        <v>(KG) Clear Lake Pre-Owned6</v>
      </c>
      <c r="B242">
        <v>6</v>
      </c>
      <c r="C242">
        <v>1</v>
      </c>
      <c r="D242" t="s">
        <v>33</v>
      </c>
      <c r="E242" t="s">
        <v>46</v>
      </c>
      <c r="F242" t="s">
        <v>87</v>
      </c>
      <c r="G242" t="s">
        <v>34</v>
      </c>
      <c r="H242" s="52" t="str">
        <f>VLOOKUP(Tabla3[[#This Row],[Site]],'Important Info!'!$A$1:$J$135,10,FALSE)</f>
        <v>https://tools.sig.systems/site/details/255</v>
      </c>
      <c r="I242" s="2" t="s">
        <v>134</v>
      </c>
      <c r="J242" t="s">
        <v>41</v>
      </c>
      <c r="K242" s="79" t="str">
        <f>VLOOKUP(Tabla3[[#This Row],[Site]],'Important Info!'!$A$1:$H$135,8,FALSE)</f>
        <v>-</v>
      </c>
      <c r="L242" s="52" t="str">
        <f>VLOOKUP(Tabla3[[#This Row],[Site]],'Important Info!'!$A$1:$F$135,2,FALSE)</f>
        <v>3, 5</v>
      </c>
      <c r="M242" s="52" t="str">
        <f>VLOOKUP(Tabla3[[#This Row],[Site]],'Important Info!'!$A$1:$F$135,3,FALSE)</f>
        <v>-</v>
      </c>
      <c r="N242" s="52" t="str">
        <f>VLOOKUP(Tabla3[[#This Row],[Site]],'Important Info!'!$A$1:$F$135,4,FALSE)</f>
        <v>-</v>
      </c>
      <c r="O242" s="52" t="str">
        <f>VLOOKUP(Tabla3[[#This Row],[Site]],'Important Info!'!$A$1:$F$135,5,FALSE)</f>
        <v>4, 10, 22</v>
      </c>
      <c r="P242" s="52" t="str">
        <f>VLOOKUP(Tabla3[[#This Row],[Site]],'Important Info!'!$A$1:$F$135,6,FALSE)</f>
        <v>8, 15, 20</v>
      </c>
      <c r="Q242" s="91">
        <f>VLOOKUP(Tabla3[[#This Row],[Site]],'Important Info!'!$A$1:$J$135,9,FALSE)</f>
        <v>255</v>
      </c>
    </row>
    <row r="243" spans="1:17" x14ac:dyDescent="0.25">
      <c r="A243" t="str">
        <f>+Tabla3[[#This Row],[Site]]&amp;Tabla3[[#This Row],[Split]]</f>
        <v>(KG) JLR LEHI (NO TOURS)6</v>
      </c>
      <c r="B243">
        <v>6</v>
      </c>
      <c r="C243">
        <v>1</v>
      </c>
      <c r="D243" t="s">
        <v>44</v>
      </c>
      <c r="E243" t="s">
        <v>53</v>
      </c>
      <c r="F243" t="s">
        <v>8</v>
      </c>
      <c r="G243" t="s">
        <v>45</v>
      </c>
      <c r="H243" s="52" t="str">
        <f>VLOOKUP(Tabla3[[#This Row],[Site]],'Important Info!'!$A$1:$J$135,10,FALSE)</f>
        <v>https://tools.sig.systems/site/details/145</v>
      </c>
      <c r="I243" s="2"/>
      <c r="J243" t="s">
        <v>41</v>
      </c>
      <c r="K243" s="79" t="str">
        <f>VLOOKUP(Tabla3[[#This Row],[Site]],'Important Info!'!$A$1:$H$135,8,FALSE)</f>
        <v>-</v>
      </c>
      <c r="L243" s="52" t="str">
        <f>VLOOKUP(Tabla3[[#This Row],[Site]],'Important Info!'!$A$1:$F$135,2,FALSE)</f>
        <v>1, 11</v>
      </c>
      <c r="M243" s="52" t="str">
        <f>VLOOKUP(Tabla3[[#This Row],[Site]],'Important Info!'!$A$1:$F$135,3,FALSE)</f>
        <v>-</v>
      </c>
      <c r="N243" s="52" t="str">
        <f>VLOOKUP(Tabla3[[#This Row],[Site]],'Important Info!'!$A$1:$F$135,4,FALSE)</f>
        <v>-</v>
      </c>
      <c r="O243" s="52" t="str">
        <f>VLOOKUP(Tabla3[[#This Row],[Site]],'Important Info!'!$A$1:$F$135,5,FALSE)</f>
        <v>1, 7, 11</v>
      </c>
      <c r="P243" s="52" t="str">
        <f>VLOOKUP(Tabla3[[#This Row],[Site]],'Important Info!'!$A$1:$F$135,6,FALSE)</f>
        <v>-</v>
      </c>
      <c r="Q243" s="91">
        <f>VLOOKUP(Tabla3[[#This Row],[Site]],'Important Info!'!$A$1:$J$135,9,FALSE)</f>
        <v>145</v>
      </c>
    </row>
    <row r="244" spans="1:17" x14ac:dyDescent="0.25">
      <c r="A244" t="str">
        <f>+Tabla3[[#This Row],[Site]]&amp;Tabla3[[#This Row],[Split]]</f>
        <v>(KG) Kia of Phoenix (NO TOURS)6</v>
      </c>
      <c r="B244">
        <v>6</v>
      </c>
      <c r="C244">
        <v>1</v>
      </c>
      <c r="D244" t="s">
        <v>51</v>
      </c>
      <c r="E244" t="s">
        <v>161</v>
      </c>
      <c r="F244" t="s">
        <v>94</v>
      </c>
      <c r="G244" t="s">
        <v>52</v>
      </c>
      <c r="H244" s="52" t="str">
        <f>VLOOKUP(Tabla3[[#This Row],[Site]],'Important Info!'!$A$1:$J$135,10,FALSE)</f>
        <v>https://tools.sig.systems/site/details/262</v>
      </c>
      <c r="J244" t="s">
        <v>162</v>
      </c>
      <c r="K244" s="79" t="str">
        <f>VLOOKUP(Tabla3[[#This Row],[Site]],'Important Info!'!$A$1:$H$135,8,FALSE)</f>
        <v>-</v>
      </c>
      <c r="L244" s="52" t="str">
        <f>VLOOKUP(Tabla3[[#This Row],[Site]],'Important Info!'!$A$1:$F$135,2,FALSE)</f>
        <v>5, 8, 23</v>
      </c>
      <c r="M244" s="52" t="str">
        <f>VLOOKUP(Tabla3[[#This Row],[Site]],'Important Info!'!$A$1:$F$135,3,FALSE)</f>
        <v>-</v>
      </c>
      <c r="N244" s="52" t="str">
        <f>VLOOKUP(Tabla3[[#This Row],[Site]],'Important Info!'!$A$1:$F$135,4,FALSE)</f>
        <v>-</v>
      </c>
      <c r="O244" s="52">
        <f>VLOOKUP(Tabla3[[#This Row],[Site]],'Important Info!'!$A$1:$F$135,5,FALSE)</f>
        <v>4</v>
      </c>
      <c r="P244" s="52" t="str">
        <f>VLOOKUP(Tabla3[[#This Row],[Site]],'Important Info!'!$A$1:$F$135,6,FALSE)</f>
        <v>-</v>
      </c>
      <c r="Q244" s="91">
        <f>VLOOKUP(Tabla3[[#This Row],[Site]],'Important Info!'!$A$1:$J$135,9,FALSE)</f>
        <v>262</v>
      </c>
    </row>
    <row r="245" spans="1:17" x14ac:dyDescent="0.25">
      <c r="A245" t="str">
        <f>+Tabla3[[#This Row],[Site]]&amp;Tabla3[[#This Row],[Split]]</f>
        <v>(KG) Truck Center Remote Storage Lot6</v>
      </c>
      <c r="B245">
        <v>6</v>
      </c>
      <c r="C245">
        <v>1</v>
      </c>
      <c r="D245" t="s">
        <v>60</v>
      </c>
      <c r="E245" t="s">
        <v>53</v>
      </c>
      <c r="F245" t="s">
        <v>61</v>
      </c>
      <c r="G245" t="s">
        <v>41</v>
      </c>
      <c r="H245" s="52" t="str">
        <f>VLOOKUP(Tabla3[[#This Row],[Site]],'Important Info!'!$A$1:$J$135,10,FALSE)</f>
        <v>https://tools.sig.systems/site/details/144</v>
      </c>
      <c r="I245" s="2"/>
      <c r="J245" t="s">
        <v>41</v>
      </c>
      <c r="K245" s="79" t="str">
        <f>VLOOKUP(Tabla3[[#This Row],[Site]],'Important Info!'!$A$1:$H$135,8,FALSE)</f>
        <v>-</v>
      </c>
      <c r="L245" s="52" t="str">
        <f>VLOOKUP(Tabla3[[#This Row],[Site]],'Important Info!'!$A$1:$F$135,2,FALSE)</f>
        <v>4, A23, A49</v>
      </c>
      <c r="M245" s="52" t="str">
        <f>VLOOKUP(Tabla3[[#This Row],[Site]],'Important Info!'!$A$1:$F$135,3,FALSE)</f>
        <v>5, 24</v>
      </c>
      <c r="N245" s="52" t="str">
        <f>VLOOKUP(Tabla3[[#This Row],[Site]],'Important Info!'!$A$1:$F$135,4,FALSE)</f>
        <v>-</v>
      </c>
      <c r="O245" s="52" t="str">
        <f>VLOOKUP(Tabla3[[#This Row],[Site]],'Important Info!'!$A$1:$F$135,5,FALSE)</f>
        <v>1, 7, 11, 15, 19, 24, 25</v>
      </c>
      <c r="P245" s="52" t="str">
        <f>VLOOKUP(Tabla3[[#This Row],[Site]],'Important Info!'!$A$1:$F$135,6,FALSE)</f>
        <v>9, 20, 24, A49</v>
      </c>
      <c r="Q245" s="91">
        <f>VLOOKUP(Tabla3[[#This Row],[Site]],'Important Info!'!$A$1:$J$135,9,FALSE)</f>
        <v>144</v>
      </c>
    </row>
    <row r="246" spans="1:17" x14ac:dyDescent="0.25">
      <c r="A246" t="str">
        <f>+Tabla3[[#This Row],[Site]]&amp;Tabla3[[#This Row],[Split]]</f>
        <v>(LM) Luther Mazda / Mitsubishi6</v>
      </c>
      <c r="B246">
        <v>6</v>
      </c>
      <c r="C246">
        <v>1</v>
      </c>
      <c r="D246" t="s">
        <v>33</v>
      </c>
      <c r="E246" t="s">
        <v>46</v>
      </c>
      <c r="F246" t="s">
        <v>103</v>
      </c>
      <c r="G246" t="s">
        <v>34</v>
      </c>
      <c r="H246" s="52" t="str">
        <f>VLOOKUP(Tabla3[[#This Row],[Site]],'Important Info!'!$A$1:$J$135,10,FALSE)</f>
        <v>https://tools.sig.systems/site/details/147</v>
      </c>
      <c r="I246" s="2" t="s">
        <v>138</v>
      </c>
      <c r="J246" t="s">
        <v>41</v>
      </c>
      <c r="K246" s="79" t="str">
        <f>VLOOKUP(Tabla3[[#This Row],[Site]],'Important Info!'!$A$1:$H$135,8,FALSE)</f>
        <v>-</v>
      </c>
      <c r="L246" s="52" t="str">
        <f>VLOOKUP(Tabla3[[#This Row],[Site]],'Important Info!'!$A$1:$F$135,2,FALSE)</f>
        <v>4, 5, 6</v>
      </c>
      <c r="M246" s="52" t="str">
        <f>VLOOKUP(Tabla3[[#This Row],[Site]],'Important Info!'!$A$1:$F$135,3,FALSE)</f>
        <v>-</v>
      </c>
      <c r="N246" s="52" t="str">
        <f>VLOOKUP(Tabla3[[#This Row],[Site]],'Important Info!'!$A$1:$F$135,4,FALSE)</f>
        <v>1, 2</v>
      </c>
      <c r="O246" s="52" t="str">
        <f>VLOOKUP(Tabla3[[#This Row],[Site]],'Important Info!'!$A$1:$F$135,5,FALSE)</f>
        <v>-</v>
      </c>
      <c r="P246" s="52" t="str">
        <f>VLOOKUP(Tabla3[[#This Row],[Site]],'Important Info!'!$A$1:$F$135,6,FALSE)</f>
        <v>13, 14, 15, 16</v>
      </c>
      <c r="Q246" s="91">
        <f>VLOOKUP(Tabla3[[#This Row],[Site]],'Important Info!'!$A$1:$J$135,9,FALSE)</f>
        <v>147</v>
      </c>
    </row>
    <row r="247" spans="1:17" x14ac:dyDescent="0.25">
      <c r="A247" t="str">
        <f>+Tabla3[[#This Row],[Site]]&amp;Tabla3[[#This Row],[Split]]</f>
        <v>(ML) Joe Machens Nissan6</v>
      </c>
      <c r="B247">
        <v>6</v>
      </c>
      <c r="C247">
        <v>1</v>
      </c>
      <c r="D247" t="s">
        <v>33</v>
      </c>
      <c r="E247" t="s">
        <v>46</v>
      </c>
      <c r="F247" t="s">
        <v>104</v>
      </c>
      <c r="G247" t="s">
        <v>34</v>
      </c>
      <c r="H247" s="52" t="str">
        <f>VLOOKUP(Tabla3[[#This Row],[Site]],'Important Info!'!$A$1:$J$135,10,FALSE)</f>
        <v>https://tools.sig.systems/site/details/279</v>
      </c>
      <c r="I247" s="2" t="s">
        <v>146</v>
      </c>
      <c r="J247" t="s">
        <v>41</v>
      </c>
      <c r="K247" s="79" t="str">
        <f>VLOOKUP(Tabla3[[#This Row],[Site]],'Important Info!'!$A$1:$H$135,8,FALSE)</f>
        <v>-</v>
      </c>
      <c r="L247" s="52" t="str">
        <f>VLOOKUP(Tabla3[[#This Row],[Site]],'Important Info!'!$A$1:$F$135,2,FALSE)</f>
        <v>-</v>
      </c>
      <c r="M247" s="52" t="str">
        <f>VLOOKUP(Tabla3[[#This Row],[Site]],'Important Info!'!$A$1:$F$135,3,FALSE)</f>
        <v>1, 3, 16</v>
      </c>
      <c r="N247" s="52" t="str">
        <f>VLOOKUP(Tabla3[[#This Row],[Site]],'Important Info!'!$A$1:$F$135,4,FALSE)</f>
        <v>-</v>
      </c>
      <c r="O247" s="52" t="str">
        <f>VLOOKUP(Tabla3[[#This Row],[Site]],'Important Info!'!$A$1:$F$135,5,FALSE)</f>
        <v>-</v>
      </c>
      <c r="P247" s="52" t="str">
        <f>VLOOKUP(Tabla3[[#This Row],[Site]],'Important Info!'!$A$1:$F$135,6,FALSE)</f>
        <v>-</v>
      </c>
      <c r="Q247" s="91">
        <f>VLOOKUP(Tabla3[[#This Row],[Site]],'Important Info!'!$A$1:$J$135,9,FALSE)</f>
        <v>279</v>
      </c>
    </row>
    <row r="248" spans="1:17" x14ac:dyDescent="0.25">
      <c r="A248" t="str">
        <f>+Tabla3[[#This Row],[Site]]&amp;Tabla3[[#This Row],[Split]]</f>
        <v>(ML) Joe Machens Temporary 2.06</v>
      </c>
      <c r="B248">
        <v>6</v>
      </c>
      <c r="C248">
        <v>1</v>
      </c>
      <c r="D248" t="s">
        <v>33</v>
      </c>
      <c r="E248" t="s">
        <v>46</v>
      </c>
      <c r="F248" t="s">
        <v>105</v>
      </c>
      <c r="G248" t="s">
        <v>34</v>
      </c>
      <c r="H248" s="52" t="str">
        <f>VLOOKUP(Tabla3[[#This Row],[Site]],'Important Info!'!$A$1:$J$135,10,FALSE)</f>
        <v>https://tools.sig.systems/site/details/278</v>
      </c>
      <c r="I248" s="2" t="s">
        <v>146</v>
      </c>
      <c r="J248" t="s">
        <v>41</v>
      </c>
      <c r="K248" s="79" t="str">
        <f>VLOOKUP(Tabla3[[#This Row],[Site]],'Important Info!'!$A$1:$H$135,8,FALSE)</f>
        <v>-</v>
      </c>
      <c r="L248" s="52" t="str">
        <f>VLOOKUP(Tabla3[[#This Row],[Site]],'Important Info!'!$A$1:$F$135,2,FALSE)</f>
        <v>-</v>
      </c>
      <c r="M248" s="52" t="str">
        <f>VLOOKUP(Tabla3[[#This Row],[Site]],'Important Info!'!$A$1:$F$135,3,FALSE)</f>
        <v>1, 11, 14, 15, 16</v>
      </c>
      <c r="N248" s="52" t="str">
        <f>VLOOKUP(Tabla3[[#This Row],[Site]],'Important Info!'!$A$1:$F$135,4,FALSE)</f>
        <v>-</v>
      </c>
      <c r="O248" s="52">
        <f>VLOOKUP(Tabla3[[#This Row],[Site]],'Important Info!'!$A$1:$F$135,5,FALSE)</f>
        <v>13</v>
      </c>
      <c r="P248" s="52" t="str">
        <f>VLOOKUP(Tabla3[[#This Row],[Site]],'Important Info!'!$A$1:$F$135,6,FALSE)</f>
        <v>-</v>
      </c>
      <c r="Q248" s="91">
        <f>VLOOKUP(Tabla3[[#This Row],[Site]],'Important Info!'!$A$1:$J$135,9,FALSE)</f>
        <v>278</v>
      </c>
    </row>
    <row r="249" spans="1:17" x14ac:dyDescent="0.25">
      <c r="A249" t="str">
        <f>+Tabla3[[#This Row],[Site]]&amp;Tabla3[[#This Row],[Split]]</f>
        <v>(ML) Volvo Collision Corp6</v>
      </c>
      <c r="B249">
        <v>6</v>
      </c>
      <c r="C249">
        <v>1</v>
      </c>
      <c r="D249" t="s">
        <v>33</v>
      </c>
      <c r="E249" t="s">
        <v>46</v>
      </c>
      <c r="F249" t="s">
        <v>106</v>
      </c>
      <c r="G249" t="s">
        <v>34</v>
      </c>
      <c r="H249" s="52" t="str">
        <f>VLOOKUP(Tabla3[[#This Row],[Site]],'Important Info!'!$A$1:$J$135,10,FALSE)</f>
        <v>https://tools.sig.systems/site/details/223</v>
      </c>
      <c r="I249" s="43"/>
      <c r="J249" t="s">
        <v>41</v>
      </c>
      <c r="K249" s="79" t="str">
        <f>VLOOKUP(Tabla3[[#This Row],[Site]],'Important Info!'!$A$1:$H$135,8,FALSE)</f>
        <v>-</v>
      </c>
      <c r="L249" s="52" t="str">
        <f>VLOOKUP(Tabla3[[#This Row],[Site]],'Important Info!'!$A$1:$F$135,2,FALSE)</f>
        <v>7, 11</v>
      </c>
      <c r="M249" s="52">
        <f>VLOOKUP(Tabla3[[#This Row],[Site]],'Important Info!'!$A$1:$F$135,3,FALSE)</f>
        <v>4</v>
      </c>
      <c r="N249" s="52" t="str">
        <f>VLOOKUP(Tabla3[[#This Row],[Site]],'Important Info!'!$A$1:$F$135,4,FALSE)</f>
        <v>-</v>
      </c>
      <c r="O249" s="52">
        <f>VLOOKUP(Tabla3[[#This Row],[Site]],'Important Info!'!$A$1:$F$135,5,FALSE)</f>
        <v>18</v>
      </c>
      <c r="P249" s="52" t="str">
        <f>VLOOKUP(Tabla3[[#This Row],[Site]],'Important Info!'!$A$1:$F$135,6,FALSE)</f>
        <v>-</v>
      </c>
      <c r="Q249" s="91">
        <f>VLOOKUP(Tabla3[[#This Row],[Site]],'Important Info!'!$A$1:$J$135,9,FALSE)</f>
        <v>223</v>
      </c>
    </row>
    <row r="250" spans="1:17" x14ac:dyDescent="0.25">
      <c r="A250" t="str">
        <f>+Tabla3[[#This Row],[Site]]&amp;Tabla3[[#This Row],[Split]]</f>
        <v>(PE) JLR Darien PDI (NO TOURS)6</v>
      </c>
      <c r="B250">
        <v>6</v>
      </c>
      <c r="C250">
        <v>1</v>
      </c>
      <c r="D250" t="s">
        <v>485</v>
      </c>
      <c r="E250" t="s">
        <v>35</v>
      </c>
      <c r="F250" t="s">
        <v>98</v>
      </c>
      <c r="G250" t="s">
        <v>490</v>
      </c>
      <c r="H250" s="52" t="str">
        <f>VLOOKUP(Tabla3[[#This Row],[Site]],'Important Info!'!$A$1:$J$135,10,FALSE)</f>
        <v>https://tools.sig.systems/site/details/187</v>
      </c>
      <c r="I250" t="s">
        <v>175</v>
      </c>
      <c r="J250" t="s">
        <v>41</v>
      </c>
      <c r="K250" s="79" t="str">
        <f>VLOOKUP(Tabla3[[#This Row],[Site]],'Important Info!'!$A$1:$H$135,8,FALSE)</f>
        <v>-</v>
      </c>
      <c r="L250" s="52">
        <f>VLOOKUP(Tabla3[[#This Row],[Site]],'Important Info!'!$A$1:$F$135,2,FALSE)</f>
        <v>1</v>
      </c>
      <c r="M250" s="52" t="str">
        <f>VLOOKUP(Tabla3[[#This Row],[Site]],'Important Info!'!$A$1:$F$135,3,FALSE)</f>
        <v>-</v>
      </c>
      <c r="N250" s="52" t="str">
        <f>VLOOKUP(Tabla3[[#This Row],[Site]],'Important Info!'!$A$1:$F$135,4,FALSE)</f>
        <v>-</v>
      </c>
      <c r="O250" s="52">
        <f>VLOOKUP(Tabla3[[#This Row],[Site]],'Important Info!'!$A$1:$F$135,5,FALSE)</f>
        <v>1</v>
      </c>
      <c r="P250" s="52">
        <f>VLOOKUP(Tabla3[[#This Row],[Site]],'Important Info!'!$A$1:$F$135,6,FALSE)</f>
        <v>7</v>
      </c>
      <c r="Q250" s="91">
        <f>VLOOKUP(Tabla3[[#This Row],[Site]],'Important Info!'!$A$1:$J$135,9,FALSE)</f>
        <v>187</v>
      </c>
    </row>
    <row r="251" spans="1:17" x14ac:dyDescent="0.25">
      <c r="A251" t="str">
        <f>+Tabla3[[#This Row],[Site]]&amp;Tabla3[[#This Row],[Split]]</f>
        <v>(RML) Burleson Nissan6</v>
      </c>
      <c r="B251">
        <v>6</v>
      </c>
      <c r="C251">
        <v>1</v>
      </c>
      <c r="D251" t="s">
        <v>33</v>
      </c>
      <c r="E251" t="s">
        <v>46</v>
      </c>
      <c r="F251" t="s">
        <v>107</v>
      </c>
      <c r="G251" t="s">
        <v>34</v>
      </c>
      <c r="H251" s="52" t="str">
        <f>VLOOKUP(Tabla3[[#This Row],[Site]],'Important Info!'!$A$1:$J$135,10,FALSE)</f>
        <v>https://tools.sig.systems/site/details/202</v>
      </c>
      <c r="I251" s="43"/>
      <c r="J251" t="s">
        <v>41</v>
      </c>
      <c r="K251" s="79" t="str">
        <f>VLOOKUP(Tabla3[[#This Row],[Site]],'Important Info!'!$A$1:$H$135,8,FALSE)</f>
        <v>-</v>
      </c>
      <c r="L251" s="52" t="str">
        <f>VLOOKUP(Tabla3[[#This Row],[Site]],'Important Info!'!$A$1:$F$135,2,FALSE)</f>
        <v>3, 21</v>
      </c>
      <c r="M251" s="52" t="str">
        <f>VLOOKUP(Tabla3[[#This Row],[Site]],'Important Info!'!$A$1:$F$135,3,FALSE)</f>
        <v>-</v>
      </c>
      <c r="N251" s="52" t="str">
        <f>VLOOKUP(Tabla3[[#This Row],[Site]],'Important Info!'!$A$1:$F$135,4,FALSE)</f>
        <v>-</v>
      </c>
      <c r="O251" s="52" t="str">
        <f>VLOOKUP(Tabla3[[#This Row],[Site]],'Important Info!'!$A$1:$F$135,5,FALSE)</f>
        <v>2, 6, 15</v>
      </c>
      <c r="P251" s="52" t="str">
        <f>VLOOKUP(Tabla3[[#This Row],[Site]],'Important Info!'!$A$1:$F$135,6,FALSE)</f>
        <v>-</v>
      </c>
      <c r="Q251" s="91">
        <f>VLOOKUP(Tabla3[[#This Row],[Site]],'Important Info!'!$A$1:$J$135,9,FALSE)</f>
        <v>202</v>
      </c>
    </row>
    <row r="252" spans="1:17" x14ac:dyDescent="0.25">
      <c r="A252" t="str">
        <f>+Tabla3[[#This Row],[Site]]&amp;Tabla3[[#This Row],[Split]]</f>
        <v>(SCH) Chevrolet North Palm6</v>
      </c>
      <c r="B252">
        <v>6</v>
      </c>
      <c r="C252">
        <v>1</v>
      </c>
      <c r="D252" t="s">
        <v>62</v>
      </c>
      <c r="E252" t="s">
        <v>35</v>
      </c>
      <c r="F252" t="s">
        <v>101</v>
      </c>
      <c r="G252" t="s">
        <v>490</v>
      </c>
      <c r="H252" s="52" t="str">
        <f>VLOOKUP(Tabla3[[#This Row],[Site]],'Important Info!'!$A$1:$J$135,10,FALSE)</f>
        <v>https://tools.sig.systems/site/details/160</v>
      </c>
      <c r="I252" s="43"/>
      <c r="J252" t="s">
        <v>36</v>
      </c>
      <c r="K252" s="79" t="str">
        <f>VLOOKUP(Tabla3[[#This Row],[Site]],'Important Info!'!$A$1:$H$135,8,FALSE)</f>
        <v>-</v>
      </c>
      <c r="L252" s="52" t="str">
        <f>VLOOKUP(Tabla3[[#This Row],[Site]],'Important Info!'!$A$1:$F$135,2,FALSE)</f>
        <v xml:space="preserve">7, 10B, 11, 15 </v>
      </c>
      <c r="M252" s="52" t="str">
        <f>VLOOKUP(Tabla3[[#This Row],[Site]],'Important Info!'!$A$1:$F$135,3,FALSE)</f>
        <v>-</v>
      </c>
      <c r="N252" s="52" t="str">
        <f>VLOOKUP(Tabla3[[#This Row],[Site]],'Important Info!'!$A$1:$F$135,4,FALSE)</f>
        <v>-</v>
      </c>
      <c r="O252" s="52" t="str">
        <f>VLOOKUP(Tabla3[[#This Row],[Site]],'Important Info!'!$A$1:$F$135,5,FALSE)</f>
        <v>-</v>
      </c>
      <c r="P252" s="52" t="str">
        <f>VLOOKUP(Tabla3[[#This Row],[Site]],'Important Info!'!$A$1:$F$135,6,FALSE)</f>
        <v>1, 15, 16, 17, 18, 19, 20</v>
      </c>
      <c r="Q252" s="91">
        <f>VLOOKUP(Tabla3[[#This Row],[Site]],'Important Info!'!$A$1:$J$135,9,FALSE)</f>
        <v>160</v>
      </c>
    </row>
    <row r="253" spans="1:17" x14ac:dyDescent="0.25">
      <c r="A253" t="str">
        <f>+Tabla3[[#This Row],[Site]]&amp;Tabla3[[#This Row],[Split]]</f>
        <v>(SCH) Delray I &amp; II6</v>
      </c>
      <c r="B253">
        <v>6</v>
      </c>
      <c r="C253">
        <v>1</v>
      </c>
      <c r="D253" t="s">
        <v>62</v>
      </c>
      <c r="E253" t="s">
        <v>35</v>
      </c>
      <c r="F253" t="s">
        <v>67</v>
      </c>
      <c r="G253" t="s">
        <v>490</v>
      </c>
      <c r="H253" s="52" t="str">
        <f>VLOOKUP(Tabla3[[#This Row],[Site]],'Important Info!'!$A$1:$J$135,10,FALSE)</f>
        <v>https://tools.sig.systems/site/details/159</v>
      </c>
      <c r="I253" s="2"/>
      <c r="J253" t="s">
        <v>36</v>
      </c>
      <c r="K253" s="79" t="str">
        <f>VLOOKUP(Tabla3[[#This Row],[Site]],'Important Info!'!$A$1:$H$135,8,FALSE)</f>
        <v>-</v>
      </c>
      <c r="L253" s="52" t="str">
        <f>VLOOKUP(Tabla3[[#This Row],[Site]],'Important Info!'!$A$1:$F$135,2,FALSE)</f>
        <v>5, 28, 31</v>
      </c>
      <c r="M253" s="52" t="str">
        <f>VLOOKUP(Tabla3[[#This Row],[Site]],'Important Info!'!$A$1:$F$135,3,FALSE)</f>
        <v>1, 29</v>
      </c>
      <c r="N253" s="52">
        <f>VLOOKUP(Tabla3[[#This Row],[Site]],'Important Info!'!$A$1:$F$135,4,FALSE)</f>
        <v>6</v>
      </c>
      <c r="O253" s="52" t="str">
        <f>VLOOKUP(Tabla3[[#This Row],[Site]],'Important Info!'!$A$1:$F$135,5,FALSE)</f>
        <v>-</v>
      </c>
      <c r="P253" s="52" t="str">
        <f>VLOOKUP(Tabla3[[#This Row],[Site]],'Important Info!'!$A$1:$F$135,6,FALSE)</f>
        <v>1, 35, 36</v>
      </c>
      <c r="Q253" s="91">
        <f>VLOOKUP(Tabla3[[#This Row],[Site]],'Important Info!'!$A$1:$J$135,9,FALSE)</f>
        <v>159</v>
      </c>
    </row>
    <row r="254" spans="1:17" x14ac:dyDescent="0.25">
      <c r="A254" t="str">
        <f>+Tabla3[[#This Row],[Site]]&amp;Tabla3[[#This Row],[Split]]</f>
        <v>(AS) Coggin Acura Ft Pierce (NO TOURS)6</v>
      </c>
      <c r="B254">
        <v>6</v>
      </c>
      <c r="C254">
        <v>2</v>
      </c>
      <c r="D254" t="s">
        <v>62</v>
      </c>
      <c r="E254" t="s">
        <v>35</v>
      </c>
      <c r="F254" t="s">
        <v>500</v>
      </c>
      <c r="G254" t="s">
        <v>490</v>
      </c>
      <c r="H254" s="52" t="str">
        <f>VLOOKUP(Tabla3[[#This Row],[Site]],'Important Info!'!$A$1:$J$135,10,FALSE)</f>
        <v>https://tools.sig.systems/site/details/118</v>
      </c>
      <c r="I254" t="s">
        <v>179</v>
      </c>
      <c r="J254" t="s">
        <v>41</v>
      </c>
      <c r="K254" s="79" t="str">
        <f>VLOOKUP(Tabla3[[#This Row],[Site]],'Important Info!'!$A$1:$H$135,8,FALSE)</f>
        <v>-</v>
      </c>
      <c r="L254" s="52" t="str">
        <f>VLOOKUP(Tabla3[[#This Row],[Site]],'Important Info!'!$A$1:$F$135,2,FALSE)</f>
        <v>-</v>
      </c>
      <c r="M254" s="52">
        <f>VLOOKUP(Tabla3[[#This Row],[Site]],'Important Info!'!$A$1:$F$135,3,FALSE)</f>
        <v>6</v>
      </c>
      <c r="N254" s="52" t="str">
        <f>VLOOKUP(Tabla3[[#This Row],[Site]],'Important Info!'!$A$1:$F$135,4,FALSE)</f>
        <v>-</v>
      </c>
      <c r="O254" s="52" t="str">
        <f>VLOOKUP(Tabla3[[#This Row],[Site]],'Important Info!'!$A$1:$F$135,5,FALSE)</f>
        <v>4, 6</v>
      </c>
      <c r="P254" s="52">
        <f>VLOOKUP(Tabla3[[#This Row],[Site]],'Important Info!'!$A$1:$F$135,6,FALSE)</f>
        <v>1</v>
      </c>
      <c r="Q254" s="91">
        <f>VLOOKUP(Tabla3[[#This Row],[Site]],'Important Info!'!$A$1:$J$135,9,FALSE)</f>
        <v>118</v>
      </c>
    </row>
    <row r="255" spans="1:17" x14ac:dyDescent="0.25">
      <c r="A255" t="str">
        <f>+Tabla3[[#This Row],[Site]]&amp;Tabla3[[#This Row],[Split]]</f>
        <v>(AS) Coggin Mercedes Benz Ft Pierce (NO TOURS)6</v>
      </c>
      <c r="B255">
        <v>6</v>
      </c>
      <c r="C255">
        <v>2</v>
      </c>
      <c r="D255" t="s">
        <v>62</v>
      </c>
      <c r="E255" t="s">
        <v>35</v>
      </c>
      <c r="F255" t="s">
        <v>502</v>
      </c>
      <c r="G255" t="s">
        <v>490</v>
      </c>
      <c r="H255" s="52" t="str">
        <f>VLOOKUP(Tabla3[[#This Row],[Site]],'Important Info!'!$A$1:$J$135,10,FALSE)</f>
        <v>https://tools.sig.systems/site/details/127</v>
      </c>
      <c r="I255" t="s">
        <v>179</v>
      </c>
      <c r="J255" t="s">
        <v>41</v>
      </c>
      <c r="K255" s="79" t="str">
        <f>VLOOKUP(Tabla3[[#This Row],[Site]],'Important Info!'!$A$1:$H$135,8,FALSE)</f>
        <v>-</v>
      </c>
      <c r="L255" s="52">
        <f>VLOOKUP(Tabla3[[#This Row],[Site]],'Important Info!'!$A$1:$F$135,2,FALSE)</f>
        <v>18</v>
      </c>
      <c r="M255" s="52" t="str">
        <f>VLOOKUP(Tabla3[[#This Row],[Site]],'Important Info!'!$A$1:$F$135,3,FALSE)</f>
        <v>1, 3</v>
      </c>
      <c r="N255" s="52" t="str">
        <f>VLOOKUP(Tabla3[[#This Row],[Site]],'Important Info!'!$A$1:$F$135,4,FALSE)</f>
        <v>-</v>
      </c>
      <c r="O255" s="52" t="str">
        <f>VLOOKUP(Tabla3[[#This Row],[Site]],'Important Info!'!$A$1:$F$135,5,FALSE)</f>
        <v>6, 10, 13</v>
      </c>
      <c r="P255" s="52" t="str">
        <f>VLOOKUP(Tabla3[[#This Row],[Site]],'Important Info!'!$A$1:$F$135,6,FALSE)</f>
        <v>1, 4, 5</v>
      </c>
      <c r="Q255" s="91">
        <f>VLOOKUP(Tabla3[[#This Row],[Site]],'Important Info!'!$A$1:$J$135,9,FALSE)</f>
        <v>127</v>
      </c>
    </row>
    <row r="256" spans="1:17" x14ac:dyDescent="0.25">
      <c r="A256" t="str">
        <f>+Tabla3[[#This Row],[Site]]&amp;Tabla3[[#This Row],[Split]]</f>
        <v>(AS) Park Place Acura (NO TOURS)6</v>
      </c>
      <c r="B256">
        <v>6</v>
      </c>
      <c r="C256">
        <v>2</v>
      </c>
      <c r="D256" t="s">
        <v>33</v>
      </c>
      <c r="E256" t="s">
        <v>46</v>
      </c>
      <c r="F256" t="s">
        <v>513</v>
      </c>
      <c r="G256" t="s">
        <v>34</v>
      </c>
      <c r="H256" s="52" t="str">
        <f>VLOOKUP(Tabla3[[#This Row],[Site]],'Important Info!'!$A$1:$J$135,10,FALSE)</f>
        <v>https://tools.sig.systems/site/details/259</v>
      </c>
      <c r="I256" s="63" t="s">
        <v>127</v>
      </c>
      <c r="J256" t="s">
        <v>41</v>
      </c>
      <c r="K256" s="79" t="str">
        <f>VLOOKUP(Tabla3[[#This Row],[Site]],'Important Info!'!$A$1:$H$135,8,FALSE)</f>
        <v>-</v>
      </c>
      <c r="L256" s="52" t="str">
        <f>VLOOKUP(Tabla3[[#This Row],[Site]],'Important Info!'!$A$1:$F$135,2,FALSE)</f>
        <v>1, 2, 14, 16</v>
      </c>
      <c r="M256" s="52" t="str">
        <f>VLOOKUP(Tabla3[[#This Row],[Site]],'Important Info!'!$A$1:$F$135,3,FALSE)</f>
        <v>-</v>
      </c>
      <c r="N256" s="52" t="str">
        <f>VLOOKUP(Tabla3[[#This Row],[Site]],'Important Info!'!$A$1:$F$135,4,FALSE)</f>
        <v>-</v>
      </c>
      <c r="O256" s="52" t="str">
        <f>VLOOKUP(Tabla3[[#This Row],[Site]],'Important Info!'!$A$1:$F$135,5,FALSE)</f>
        <v>1, 7, 13</v>
      </c>
      <c r="P256" s="52" t="str">
        <f>VLOOKUP(Tabla3[[#This Row],[Site]],'Important Info!'!$A$1:$F$135,6,FALSE)</f>
        <v>-</v>
      </c>
      <c r="Q256" s="91">
        <f>VLOOKUP(Tabla3[[#This Row],[Site]],'Important Info!'!$A$1:$J$135,9,FALSE)</f>
        <v>259</v>
      </c>
    </row>
    <row r="257" spans="1:17" x14ac:dyDescent="0.25">
      <c r="A257" t="str">
        <f>+Tabla3[[#This Row],[Site]]&amp;Tabla3[[#This Row],[Split]]</f>
        <v>(AS) Park Place JLR DFW Airport (NO TOURS)6</v>
      </c>
      <c r="B257">
        <v>6</v>
      </c>
      <c r="C257">
        <v>2</v>
      </c>
      <c r="D257" t="s">
        <v>33</v>
      </c>
      <c r="E257" t="s">
        <v>46</v>
      </c>
      <c r="F257" t="s">
        <v>516</v>
      </c>
      <c r="G257" t="s">
        <v>34</v>
      </c>
      <c r="H257" s="52" t="str">
        <f>VLOOKUP(Tabla3[[#This Row],[Site]],'Important Info!'!$A$1:$J$135,10,FALSE)</f>
        <v>https://tools.sig.systems/site/details/135</v>
      </c>
      <c r="J257" t="s">
        <v>41</v>
      </c>
      <c r="K257" s="79" t="str">
        <f>VLOOKUP(Tabla3[[#This Row],[Site]],'Important Info!'!$A$1:$H$135,8,FALSE)</f>
        <v>-</v>
      </c>
      <c r="L257" s="52" t="str">
        <f>VLOOKUP(Tabla3[[#This Row],[Site]],'Important Info!'!$A$1:$F$135,2,FALSE)</f>
        <v>6, 7, 18</v>
      </c>
      <c r="M257" s="52" t="str">
        <f>VLOOKUP(Tabla3[[#This Row],[Site]],'Important Info!'!$A$1:$F$135,3,FALSE)</f>
        <v>70, 79, 80</v>
      </c>
      <c r="N257" s="52" t="str">
        <f>VLOOKUP(Tabla3[[#This Row],[Site]],'Important Info!'!$A$1:$F$135,4,FALSE)</f>
        <v>83, 84</v>
      </c>
      <c r="O257" s="52" t="str">
        <f>VLOOKUP(Tabla3[[#This Row],[Site]],'Important Info!'!$A$1:$F$135,5,FALSE)</f>
        <v>3, 8, 14, 81</v>
      </c>
      <c r="P257" s="52">
        <f>VLOOKUP(Tabla3[[#This Row],[Site]],'Important Info!'!$A$1:$F$135,6,FALSE)</f>
        <v>6</v>
      </c>
      <c r="Q257" s="91">
        <f>VLOOKUP(Tabla3[[#This Row],[Site]],'Important Info!'!$A$1:$J$135,9,FALSE)</f>
        <v>135</v>
      </c>
    </row>
    <row r="258" spans="1:17" x14ac:dyDescent="0.25">
      <c r="A258" t="str">
        <f>+Tabla3[[#This Row],[Site]]&amp;Tabla3[[#This Row],[Split]]</f>
        <v>(AS) Plaza Lexus/Mercedes/BMW (NO TOURS)6</v>
      </c>
      <c r="B258">
        <v>6</v>
      </c>
      <c r="C258">
        <v>2</v>
      </c>
      <c r="D258" t="s">
        <v>33</v>
      </c>
      <c r="E258" t="s">
        <v>46</v>
      </c>
      <c r="F258" t="s">
        <v>92</v>
      </c>
      <c r="G258" t="s">
        <v>34</v>
      </c>
      <c r="H258" s="52" t="str">
        <f>VLOOKUP(Tabla3[[#This Row],[Site]],'Important Info!'!$A$1:$J$135,10,FALSE)</f>
        <v>https://tools.sig.systems/site/details/141</v>
      </c>
      <c r="I258" t="s">
        <v>130</v>
      </c>
      <c r="J258" t="s">
        <v>41</v>
      </c>
      <c r="K258" s="79" t="str">
        <f>VLOOKUP(Tabla3[[#This Row],[Site]],'Important Info!'!$A$1:$H$135,8,FALSE)</f>
        <v>-</v>
      </c>
      <c r="L258" s="52" t="str">
        <f>VLOOKUP(Tabla3[[#This Row],[Site]],'Important Info!'!$A$1:$F$135,2,FALSE)</f>
        <v>3, 4, 18</v>
      </c>
      <c r="M258" s="52" t="str">
        <f>VLOOKUP(Tabla3[[#This Row],[Site]],'Important Info!'!$A$1:$F$135,3,FALSE)</f>
        <v>9, 10, 12, 13, 16, 17</v>
      </c>
      <c r="N258" s="52" t="str">
        <f>VLOOKUP(Tabla3[[#This Row],[Site]],'Important Info!'!$A$1:$F$135,4,FALSE)</f>
        <v>-</v>
      </c>
      <c r="O258" s="52">
        <f>VLOOKUP(Tabla3[[#This Row],[Site]],'Important Info!'!$A$1:$F$135,5,FALSE)</f>
        <v>2</v>
      </c>
      <c r="P258" s="52" t="str">
        <f>VLOOKUP(Tabla3[[#This Row],[Site]],'Important Info!'!$A$1:$F$135,6,FALSE)</f>
        <v>2, 16</v>
      </c>
      <c r="Q258" s="91">
        <f>VLOOKUP(Tabla3[[#This Row],[Site]],'Important Info!'!$A$1:$J$135,9,FALSE)</f>
        <v>141</v>
      </c>
    </row>
    <row r="259" spans="1:17" x14ac:dyDescent="0.25">
      <c r="A259" t="str">
        <f>+Tabla3[[#This Row],[Site]]&amp;Tabla3[[#This Row],[Split]]</f>
        <v>(AS) Stevinson Chevrolet Golden (NO TOURS)6</v>
      </c>
      <c r="B259">
        <v>6</v>
      </c>
      <c r="C259">
        <v>2</v>
      </c>
      <c r="D259" t="s">
        <v>488</v>
      </c>
      <c r="E259" t="s">
        <v>53</v>
      </c>
      <c r="F259" t="s">
        <v>190</v>
      </c>
      <c r="G259" t="s">
        <v>45</v>
      </c>
      <c r="H259" s="52" t="str">
        <f>VLOOKUP(Tabla3[[#This Row],[Site]],'Important Info!'!$A$1:$J$135,10,FALSE)</f>
        <v>https://tools.sig.systems/site/details/264</v>
      </c>
      <c r="I259" s="2" t="s">
        <v>154</v>
      </c>
      <c r="J259" t="s">
        <v>41</v>
      </c>
      <c r="K259" s="79" t="str">
        <f>VLOOKUP(Tabla3[[#This Row],[Site]],'Important Info!'!$A$1:$H$135,8,FALSE)</f>
        <v>-</v>
      </c>
      <c r="L259" s="52" t="str">
        <f>VLOOKUP(Tabla3[[#This Row],[Site]],'Important Info!'!$A$1:$F$135,2,FALSE)</f>
        <v>-</v>
      </c>
      <c r="M259" s="52" t="str">
        <f>VLOOKUP(Tabla3[[#This Row],[Site]],'Important Info!'!$A$1:$F$135,3,FALSE)</f>
        <v>1, 19</v>
      </c>
      <c r="N259" s="52" t="str">
        <f>VLOOKUP(Tabla3[[#This Row],[Site]],'Important Info!'!$A$1:$F$135,4,FALSE)</f>
        <v>-</v>
      </c>
      <c r="O259" s="52" t="str">
        <f>VLOOKUP(Tabla3[[#This Row],[Site]],'Important Info!'!$A$1:$F$135,5,FALSE)</f>
        <v>14, 30</v>
      </c>
      <c r="P259" s="52" t="str">
        <f>VLOOKUP(Tabla3[[#This Row],[Site]],'Important Info!'!$A$1:$F$135,6,FALSE)</f>
        <v>14, 33, 34, 35, 36</v>
      </c>
      <c r="Q259" s="91">
        <f>VLOOKUP(Tabla3[[#This Row],[Site]],'Important Info!'!$A$1:$J$135,9,FALSE)</f>
        <v>264</v>
      </c>
    </row>
    <row r="260" spans="1:17" x14ac:dyDescent="0.25">
      <c r="A260" t="str">
        <f>+Tabla3[[#This Row],[Site]]&amp;Tabla3[[#This Row],[Split]]</f>
        <v>(DT) W Houston6</v>
      </c>
      <c r="B260">
        <v>6</v>
      </c>
      <c r="C260">
        <v>2</v>
      </c>
      <c r="D260" t="s">
        <v>33</v>
      </c>
      <c r="E260" t="s">
        <v>46</v>
      </c>
      <c r="F260" t="s">
        <v>69</v>
      </c>
      <c r="G260" t="s">
        <v>34</v>
      </c>
      <c r="H260" s="52" t="str">
        <f>VLOOKUP(Tabla3[[#This Row],[Site]],'Important Info!'!$A$1:$J$135,10,FALSE)</f>
        <v>https://tools.sig.systems/site/details/197</v>
      </c>
      <c r="I260" s="2"/>
      <c r="J260" t="s">
        <v>41</v>
      </c>
      <c r="K260" s="79" t="str">
        <f>VLOOKUP(Tabla3[[#This Row],[Site]],'Important Info!'!$A$1:$H$135,8,FALSE)</f>
        <v>-</v>
      </c>
      <c r="L260" s="52">
        <f>VLOOKUP(Tabla3[[#This Row],[Site]],'Important Info!'!$A$1:$F$135,2,FALSE)</f>
        <v>7</v>
      </c>
      <c r="M260" s="52">
        <f>VLOOKUP(Tabla3[[#This Row],[Site]],'Important Info!'!$A$1:$F$135,3,FALSE)</f>
        <v>2</v>
      </c>
      <c r="N260" s="52" t="str">
        <f>VLOOKUP(Tabla3[[#This Row],[Site]],'Important Info!'!$A$1:$F$135,4,FALSE)</f>
        <v>-</v>
      </c>
      <c r="O260" s="52">
        <f>VLOOKUP(Tabla3[[#This Row],[Site]],'Important Info!'!$A$1:$F$135,5,FALSE)</f>
        <v>14</v>
      </c>
      <c r="P260" s="52" t="str">
        <f>VLOOKUP(Tabla3[[#This Row],[Site]],'Important Info!'!$A$1:$F$135,6,FALSE)</f>
        <v>2, 3, 7, 10</v>
      </c>
      <c r="Q260" s="91">
        <f>VLOOKUP(Tabla3[[#This Row],[Site]],'Important Info!'!$A$1:$J$135,9,FALSE)</f>
        <v>197</v>
      </c>
    </row>
    <row r="261" spans="1:17" x14ac:dyDescent="0.25">
      <c r="A261" t="str">
        <f>+Tabla3[[#This Row],[Site]]&amp;Tabla3[[#This Row],[Split]]</f>
        <v>(DT) Wichita6</v>
      </c>
      <c r="B261">
        <v>6</v>
      </c>
      <c r="C261">
        <v>2</v>
      </c>
      <c r="D261" t="s">
        <v>33</v>
      </c>
      <c r="E261" t="s">
        <v>46</v>
      </c>
      <c r="F261" t="s">
        <v>131</v>
      </c>
      <c r="G261" t="s">
        <v>34</v>
      </c>
      <c r="H261" s="52" t="str">
        <f>VLOOKUP(Tabla3[[#This Row],[Site]],'Important Info!'!$A$1:$J$135,10,FALSE)</f>
        <v>https://tools.sig.systems/site/details/257</v>
      </c>
      <c r="I261" s="43"/>
      <c r="J261" t="s">
        <v>41</v>
      </c>
      <c r="K261" s="79" t="str">
        <f>VLOOKUP(Tabla3[[#This Row],[Site]],'Important Info!'!$A$1:$H$135,8,FALSE)</f>
        <v>-</v>
      </c>
      <c r="L261" s="52" t="str">
        <f>VLOOKUP(Tabla3[[#This Row],[Site]],'Important Info!'!$A$1:$F$135,2,FALSE)</f>
        <v>-</v>
      </c>
      <c r="M261" s="52" t="str">
        <f>VLOOKUP(Tabla3[[#This Row],[Site]],'Important Info!'!$A$1:$F$135,3,FALSE)</f>
        <v>10, 11</v>
      </c>
      <c r="N261" s="52" t="str">
        <f>VLOOKUP(Tabla3[[#This Row],[Site]],'Important Info!'!$A$1:$F$135,4,FALSE)</f>
        <v>-</v>
      </c>
      <c r="O261" s="52" t="str">
        <f>VLOOKUP(Tabla3[[#This Row],[Site]],'Important Info!'!$A$1:$F$135,5,FALSE)</f>
        <v>-</v>
      </c>
      <c r="P261" s="52" t="str">
        <f>VLOOKUP(Tabla3[[#This Row],[Site]],'Important Info!'!$A$1:$F$135,6,FALSE)</f>
        <v>1, 5, 6, 10</v>
      </c>
      <c r="Q261" s="91">
        <f>VLOOKUP(Tabla3[[#This Row],[Site]],'Important Info!'!$A$1:$J$135,9,FALSE)</f>
        <v>257</v>
      </c>
    </row>
    <row r="262" spans="1:17" x14ac:dyDescent="0.25">
      <c r="A262" t="str">
        <f>+Tabla3[[#This Row],[Site]]&amp;Tabla3[[#This Row],[Split]]</f>
        <v>(HUD) BMW of Greensboro6</v>
      </c>
      <c r="B262">
        <v>6</v>
      </c>
      <c r="C262">
        <v>2</v>
      </c>
      <c r="D262" t="s">
        <v>62</v>
      </c>
      <c r="E262" t="s">
        <v>35</v>
      </c>
      <c r="F262" t="s">
        <v>183</v>
      </c>
      <c r="G262" t="s">
        <v>490</v>
      </c>
      <c r="H262" s="52" t="str">
        <f>VLOOKUP(Tabla3[[#This Row],[Site]],'Important Info!'!$A$1:$J$135,10,FALSE)</f>
        <v>https://tools.sig.systems/site/details/219</v>
      </c>
      <c r="I262" s="2" t="s">
        <v>184</v>
      </c>
      <c r="J262" t="s">
        <v>41</v>
      </c>
      <c r="K262" s="79" t="str">
        <f>VLOOKUP(Tabla3[[#This Row],[Site]],'Important Info!'!$A$1:$H$135,8,FALSE)</f>
        <v>-</v>
      </c>
      <c r="L262" s="52" t="str">
        <f>VLOOKUP(Tabla3[[#This Row],[Site]],'Important Info!'!$A$1:$F$135,2,FALSE)</f>
        <v>2, 20, 21</v>
      </c>
      <c r="M262" s="52" t="str">
        <f>VLOOKUP(Tabla3[[#This Row],[Site]],'Important Info!'!$A$1:$F$135,3,FALSE)</f>
        <v>-</v>
      </c>
      <c r="N262" s="52" t="str">
        <f>VLOOKUP(Tabla3[[#This Row],[Site]],'Important Info!'!$A$1:$F$135,4,FALSE)</f>
        <v>-</v>
      </c>
      <c r="O262" s="52" t="str">
        <f>VLOOKUP(Tabla3[[#This Row],[Site]],'Important Info!'!$A$1:$F$135,5,FALSE)</f>
        <v>12, 17</v>
      </c>
      <c r="P262" s="52" t="str">
        <f>VLOOKUP(Tabla3[[#This Row],[Site]],'Important Info!'!$A$1:$F$135,6,FALSE)</f>
        <v>1, 2, 6, 20</v>
      </c>
      <c r="Q262" s="91">
        <f>VLOOKUP(Tabla3[[#This Row],[Site]],'Important Info!'!$A$1:$J$135,9,FALSE)</f>
        <v>219</v>
      </c>
    </row>
    <row r="263" spans="1:17" x14ac:dyDescent="0.25">
      <c r="A263" t="str">
        <f>+Tabla3[[#This Row],[Site]]&amp;Tabla3[[#This Row],[Split]]</f>
        <v>(KG) Hyundai Surprise6</v>
      </c>
      <c r="B263">
        <v>6</v>
      </c>
      <c r="C263">
        <v>2</v>
      </c>
      <c r="D263" t="s">
        <v>51</v>
      </c>
      <c r="E263" t="s">
        <v>161</v>
      </c>
      <c r="F263" t="s">
        <v>118</v>
      </c>
      <c r="G263" t="s">
        <v>52</v>
      </c>
      <c r="H263" s="52" t="str">
        <f>VLOOKUP(Tabla3[[#This Row],[Site]],'Important Info!'!$A$1:$J$135,10,FALSE)</f>
        <v>https://tools.sig.systems/site/details/269</v>
      </c>
      <c r="J263" t="s">
        <v>162</v>
      </c>
      <c r="K263" s="79" t="str">
        <f>VLOOKUP(Tabla3[[#This Row],[Site]],'Important Info!'!$A$1:$H$135,8,FALSE)</f>
        <v>-</v>
      </c>
      <c r="L263" s="52" t="str">
        <f>VLOOKUP(Tabla3[[#This Row],[Site]],'Important Info!'!$A$1:$F$135,2,FALSE)</f>
        <v>1, 6, 7</v>
      </c>
      <c r="M263" s="52" t="str">
        <f>VLOOKUP(Tabla3[[#This Row],[Site]],'Important Info!'!$A$1:$F$135,3,FALSE)</f>
        <v>-</v>
      </c>
      <c r="N263" s="52" t="str">
        <f>VLOOKUP(Tabla3[[#This Row],[Site]],'Important Info!'!$A$1:$F$135,4,FALSE)</f>
        <v>-</v>
      </c>
      <c r="O263" s="52" t="str">
        <f>VLOOKUP(Tabla3[[#This Row],[Site]],'Important Info!'!$A$1:$F$135,5,FALSE)</f>
        <v>6, 13</v>
      </c>
      <c r="P263" s="52" t="str">
        <f>VLOOKUP(Tabla3[[#This Row],[Site]],'Important Info!'!$A$1:$F$135,6,FALSE)</f>
        <v>-</v>
      </c>
      <c r="Q263" s="91">
        <f>VLOOKUP(Tabla3[[#This Row],[Site]],'Important Info!'!$A$1:$J$135,9,FALSE)</f>
        <v>269</v>
      </c>
    </row>
    <row r="264" spans="1:17" x14ac:dyDescent="0.25">
      <c r="A264" t="str">
        <f>+Tabla3[[#This Row],[Site]]&amp;Tabla3[[#This Row],[Split]]</f>
        <v>(KG) Texan GMC Buick (NO TOURS)6</v>
      </c>
      <c r="B264">
        <v>6</v>
      </c>
      <c r="C264">
        <v>2</v>
      </c>
      <c r="D264" t="s">
        <v>33</v>
      </c>
      <c r="E264" t="s">
        <v>46</v>
      </c>
      <c r="F264" t="s">
        <v>111</v>
      </c>
      <c r="G264" t="s">
        <v>34</v>
      </c>
      <c r="H264" s="52" t="str">
        <f>VLOOKUP(Tabla3[[#This Row],[Site]],'Important Info!'!$A$1:$J$135,10,FALSE)</f>
        <v>https://tools.sig.systems/site/details/225</v>
      </c>
      <c r="I264" s="2" t="s">
        <v>137</v>
      </c>
      <c r="J264" t="s">
        <v>41</v>
      </c>
      <c r="K264" s="79" t="str">
        <f>VLOOKUP(Tabla3[[#This Row],[Site]],'Important Info!'!$A$1:$H$135,8,FALSE)</f>
        <v>-</v>
      </c>
      <c r="L264" s="52" t="str">
        <f>VLOOKUP(Tabla3[[#This Row],[Site]],'Important Info!'!$A$1:$F$135,2,FALSE)</f>
        <v>1, 20, 53</v>
      </c>
      <c r="M264" s="52" t="str">
        <f>VLOOKUP(Tabla3[[#This Row],[Site]],'Important Info!'!$A$1:$F$135,3,FALSE)</f>
        <v>-</v>
      </c>
      <c r="N264" s="52" t="str">
        <f>VLOOKUP(Tabla3[[#This Row],[Site]],'Important Info!'!$A$1:$F$135,4,FALSE)</f>
        <v>-</v>
      </c>
      <c r="O264" s="52" t="str">
        <f>VLOOKUP(Tabla3[[#This Row],[Site]],'Important Info!'!$A$1:$F$135,5,FALSE)</f>
        <v>2, 8, 14</v>
      </c>
      <c r="P264" s="52" t="str">
        <f>VLOOKUP(Tabla3[[#This Row],[Site]],'Important Info!'!$A$1:$F$135,6,FALSE)</f>
        <v>51, 52, 16</v>
      </c>
      <c r="Q264" s="91">
        <f>VLOOKUP(Tabla3[[#This Row],[Site]],'Important Info!'!$A$1:$J$135,9,FALSE)</f>
        <v>225</v>
      </c>
    </row>
    <row r="265" spans="1:17" x14ac:dyDescent="0.25">
      <c r="A265" t="str">
        <f>+Tabla3[[#This Row],[Site]]&amp;Tabla3[[#This Row],[Split]]</f>
        <v>(ML) BMW of Little Rock6</v>
      </c>
      <c r="B265">
        <v>6</v>
      </c>
      <c r="C265">
        <v>2</v>
      </c>
      <c r="D265" t="s">
        <v>33</v>
      </c>
      <c r="E265" t="s">
        <v>46</v>
      </c>
      <c r="F265" t="s">
        <v>139</v>
      </c>
      <c r="G265" t="s">
        <v>34</v>
      </c>
      <c r="H265" s="52" t="str">
        <f>VLOOKUP(Tabla3[[#This Row],[Site]],'Important Info!'!$A$1:$J$135,10,FALSE)</f>
        <v>https://tools.sig.systems/site/details/217</v>
      </c>
      <c r="I265" t="s">
        <v>140</v>
      </c>
      <c r="J265" t="s">
        <v>41</v>
      </c>
      <c r="K265" s="79" t="str">
        <f>VLOOKUP(Tabla3[[#This Row],[Site]],'Important Info!'!$A$1:$H$135,8,FALSE)</f>
        <v>-</v>
      </c>
      <c r="L265" s="52" t="str">
        <f>VLOOKUP(Tabla3[[#This Row],[Site]],'Important Info!'!$A$1:$F$135,2,FALSE)</f>
        <v>-</v>
      </c>
      <c r="M265" s="52">
        <f>VLOOKUP(Tabla3[[#This Row],[Site]],'Important Info!'!$A$1:$F$135,3,FALSE)</f>
        <v>14</v>
      </c>
      <c r="N265" s="52" t="str">
        <f>VLOOKUP(Tabla3[[#This Row],[Site]],'Important Info!'!$A$1:$F$135,4,FALSE)</f>
        <v>-</v>
      </c>
      <c r="O265" s="52" t="str">
        <f>VLOOKUP(Tabla3[[#This Row],[Site]],'Important Info!'!$A$1:$F$135,5,FALSE)</f>
        <v>-</v>
      </c>
      <c r="P265" s="52" t="str">
        <f>VLOOKUP(Tabla3[[#This Row],[Site]],'Important Info!'!$A$1:$F$135,6,FALSE)</f>
        <v>5, 6, 7, 8, 9, 32</v>
      </c>
      <c r="Q265" s="91">
        <f>VLOOKUP(Tabla3[[#This Row],[Site]],'Important Info!'!$A$1:$J$135,9,FALSE)</f>
        <v>217</v>
      </c>
    </row>
    <row r="266" spans="1:17" x14ac:dyDescent="0.25">
      <c r="A266" t="str">
        <f>+Tabla3[[#This Row],[Site]]&amp;Tabla3[[#This Row],[Split]]</f>
        <v>(ML) Joe Machens Kia of Columbia6</v>
      </c>
      <c r="B266">
        <v>6</v>
      </c>
      <c r="C266">
        <v>2</v>
      </c>
      <c r="D266" t="s">
        <v>33</v>
      </c>
      <c r="E266" t="s">
        <v>46</v>
      </c>
      <c r="F266" t="s">
        <v>149</v>
      </c>
      <c r="G266" t="s">
        <v>34</v>
      </c>
      <c r="H266" s="52" t="str">
        <f>VLOOKUP(Tabla3[[#This Row],[Site]],'Important Info!'!$A$1:$J$135,10,FALSE)</f>
        <v>https://tools.sig.systems/site/details/270</v>
      </c>
      <c r="I266" s="43" t="s">
        <v>146</v>
      </c>
      <c r="J266" t="s">
        <v>41</v>
      </c>
      <c r="K266" s="79" t="str">
        <f>VLOOKUP(Tabla3[[#This Row],[Site]],'Important Info!'!$A$1:$H$135,8,FALSE)</f>
        <v>-</v>
      </c>
      <c r="L266" s="52" t="str">
        <f>VLOOKUP(Tabla3[[#This Row],[Site]],'Important Info!'!$A$1:$F$135,2,FALSE)</f>
        <v>-</v>
      </c>
      <c r="M266" s="52" t="str">
        <f>VLOOKUP(Tabla3[[#This Row],[Site]],'Important Info!'!$A$1:$F$135,3,FALSE)</f>
        <v>1, 2, 5, 6, 9, 13, 15</v>
      </c>
      <c r="N266" s="52" t="str">
        <f>VLOOKUP(Tabla3[[#This Row],[Site]],'Important Info!'!$A$1:$F$135,4,FALSE)</f>
        <v>-</v>
      </c>
      <c r="O266" s="52" t="str">
        <f>VLOOKUP(Tabla3[[#This Row],[Site]],'Important Info!'!$A$1:$F$135,5,FALSE)</f>
        <v>-</v>
      </c>
      <c r="P266" s="52" t="str">
        <f>VLOOKUP(Tabla3[[#This Row],[Site]],'Important Info!'!$A$1:$F$135,6,FALSE)</f>
        <v>10, 11, 13</v>
      </c>
      <c r="Q266" s="91">
        <f>VLOOKUP(Tabla3[[#This Row],[Site]],'Important Info!'!$A$1:$J$135,9,FALSE)</f>
        <v>270</v>
      </c>
    </row>
    <row r="267" spans="1:17" x14ac:dyDescent="0.25">
      <c r="A267" t="str">
        <f>+Tabla3[[#This Row],[Site]]&amp;Tabla3[[#This Row],[Split]]</f>
        <v>(ML) Joe Machens Toyota6</v>
      </c>
      <c r="B267">
        <v>6</v>
      </c>
      <c r="C267">
        <v>2</v>
      </c>
      <c r="D267" t="s">
        <v>33</v>
      </c>
      <c r="E267" t="s">
        <v>46</v>
      </c>
      <c r="F267" t="s">
        <v>73</v>
      </c>
      <c r="G267" t="s">
        <v>34</v>
      </c>
      <c r="H267" s="52" t="str">
        <f>VLOOKUP(Tabla3[[#This Row],[Site]],'Important Info!'!$A$1:$J$135,10,FALSE)</f>
        <v>https://tools.sig.systems/site/details/275</v>
      </c>
      <c r="I267" s="43" t="s">
        <v>146</v>
      </c>
      <c r="J267" t="s">
        <v>41</v>
      </c>
      <c r="K267" s="79" t="str">
        <f>VLOOKUP(Tabla3[[#This Row],[Site]],'Important Info!'!$A$1:$H$135,8,FALSE)</f>
        <v>-</v>
      </c>
      <c r="L267" s="52" t="str">
        <f>VLOOKUP(Tabla3[[#This Row],[Site]],'Important Info!'!$A$1:$F$135,2,FALSE)</f>
        <v>-</v>
      </c>
      <c r="M267" s="52" t="str">
        <f>VLOOKUP(Tabla3[[#This Row],[Site]],'Important Info!'!$A$1:$F$135,3,FALSE)</f>
        <v>1, 4, 6</v>
      </c>
      <c r="N267" s="52" t="str">
        <f>VLOOKUP(Tabla3[[#This Row],[Site]],'Important Info!'!$A$1:$F$135,4,FALSE)</f>
        <v>-</v>
      </c>
      <c r="O267" s="52" t="str">
        <f>VLOOKUP(Tabla3[[#This Row],[Site]],'Important Info!'!$A$1:$F$135,5,FALSE)</f>
        <v>4, 10</v>
      </c>
      <c r="P267" s="52" t="str">
        <f>VLOOKUP(Tabla3[[#This Row],[Site]],'Important Info!'!$A$1:$F$135,6,FALSE)</f>
        <v>-</v>
      </c>
      <c r="Q267" s="91">
        <f>VLOOKUP(Tabla3[[#This Row],[Site]],'Important Info!'!$A$1:$J$135,9,FALSE)</f>
        <v>275</v>
      </c>
    </row>
    <row r="268" spans="1:17" x14ac:dyDescent="0.25">
      <c r="A268" t="str">
        <f>+Tabla3[[#This Row],[Site]]&amp;Tabla3[[#This Row],[Split]]</f>
        <v>(ML) Toyota N Little Rock6</v>
      </c>
      <c r="B268">
        <v>6</v>
      </c>
      <c r="C268">
        <v>2</v>
      </c>
      <c r="D268" t="s">
        <v>33</v>
      </c>
      <c r="E268" t="s">
        <v>46</v>
      </c>
      <c r="F268" t="s">
        <v>76</v>
      </c>
      <c r="G268" t="s">
        <v>34</v>
      </c>
      <c r="H268" s="52" t="str">
        <f>VLOOKUP(Tabla3[[#This Row],[Site]],'Important Info!'!$A$1:$J$135,10,FALSE)</f>
        <v>https://tools.sig.systems/site/details/201</v>
      </c>
      <c r="I268" s="2" t="s">
        <v>142</v>
      </c>
      <c r="J268" t="s">
        <v>41</v>
      </c>
      <c r="K268" s="79" t="str">
        <f>VLOOKUP(Tabla3[[#This Row],[Site]],'Important Info!'!$A$1:$H$135,8,FALSE)</f>
        <v>-</v>
      </c>
      <c r="L268" s="52" t="str">
        <f>VLOOKUP(Tabla3[[#This Row],[Site]],'Important Info!'!$A$1:$F$135,2,FALSE)</f>
        <v>4, 15, 18, 22, 23, 26</v>
      </c>
      <c r="M268" s="52" t="str">
        <f>VLOOKUP(Tabla3[[#This Row],[Site]],'Important Info!'!$A$1:$F$135,3,FALSE)</f>
        <v>-</v>
      </c>
      <c r="N268" s="52" t="str">
        <f>VLOOKUP(Tabla3[[#This Row],[Site]],'Important Info!'!$A$1:$F$135,4,FALSE)</f>
        <v>-</v>
      </c>
      <c r="O268" s="52" t="str">
        <f>VLOOKUP(Tabla3[[#This Row],[Site]],'Important Info!'!$A$1:$F$135,5,FALSE)</f>
        <v>2, 12, 13, 18</v>
      </c>
      <c r="P268" s="52" t="str">
        <f>VLOOKUP(Tabla3[[#This Row],[Site]],'Important Info!'!$A$1:$F$135,6,FALSE)</f>
        <v>-</v>
      </c>
      <c r="Q268" s="91">
        <f>VLOOKUP(Tabla3[[#This Row],[Site]],'Important Info!'!$A$1:$J$135,9,FALSE)</f>
        <v>201</v>
      </c>
    </row>
    <row r="269" spans="1:17" x14ac:dyDescent="0.25">
      <c r="A269" t="str">
        <f>+Tabla3[[#This Row],[Site]]&amp;Tabla3[[#This Row],[Split]]</f>
        <v>(PE) Fairfield Collision (NO TOURS)6</v>
      </c>
      <c r="B269">
        <v>6</v>
      </c>
      <c r="C269">
        <v>2</v>
      </c>
      <c r="D269" t="s">
        <v>485</v>
      </c>
      <c r="E269" t="s">
        <v>35</v>
      </c>
      <c r="F269" t="s">
        <v>63</v>
      </c>
      <c r="G269" t="s">
        <v>490</v>
      </c>
      <c r="H269" s="52" t="str">
        <f>VLOOKUP(Tabla3[[#This Row],[Site]],'Important Info!'!$A$1:$J$135,10,FALSE)</f>
        <v>https://tools.sig.systems/site/details/191</v>
      </c>
      <c r="I269" s="43"/>
      <c r="J269" t="s">
        <v>41</v>
      </c>
      <c r="K269" s="79" t="str">
        <f>VLOOKUP(Tabla3[[#This Row],[Site]],'Important Info!'!$A$1:$H$135,8,FALSE)</f>
        <v>-</v>
      </c>
      <c r="L269" s="52">
        <f>VLOOKUP(Tabla3[[#This Row],[Site]],'Important Info!'!$A$1:$F$135,2,FALSE)</f>
        <v>4</v>
      </c>
      <c r="M269" s="52" t="str">
        <f>VLOOKUP(Tabla3[[#This Row],[Site]],'Important Info!'!$A$1:$F$135,3,FALSE)</f>
        <v>-</v>
      </c>
      <c r="N269" s="52" t="str">
        <f>VLOOKUP(Tabla3[[#This Row],[Site]],'Important Info!'!$A$1:$F$135,4,FALSE)</f>
        <v>-</v>
      </c>
      <c r="O269" s="52" t="str">
        <f>VLOOKUP(Tabla3[[#This Row],[Site]],'Important Info!'!$A$1:$F$135,5,FALSE)</f>
        <v>-</v>
      </c>
      <c r="P269" s="52" t="str">
        <f>VLOOKUP(Tabla3[[#This Row],[Site]],'Important Info!'!$A$1:$F$135,6,FALSE)</f>
        <v>1, 2, 3, 4, 5, 6</v>
      </c>
      <c r="Q269" s="91">
        <f>VLOOKUP(Tabla3[[#This Row],[Site]],'Important Info!'!$A$1:$J$135,9,FALSE)</f>
        <v>191</v>
      </c>
    </row>
    <row r="270" spans="1:17" x14ac:dyDescent="0.25">
      <c r="A270" t="str">
        <f>+Tabla3[[#This Row],[Site]]&amp;Tabla3[[#This Row],[Split]]</f>
        <v>(PE) Hudson Toyota Nissan CDJR (NO TOURS)6</v>
      </c>
      <c r="B270">
        <v>6</v>
      </c>
      <c r="C270">
        <v>2</v>
      </c>
      <c r="D270" t="s">
        <v>485</v>
      </c>
      <c r="E270" t="s">
        <v>35</v>
      </c>
      <c r="F270" t="s">
        <v>82</v>
      </c>
      <c r="G270" t="s">
        <v>490</v>
      </c>
      <c r="H270" s="52" t="str">
        <f>VLOOKUP(Tabla3[[#This Row],[Site]],'Important Info!'!$A$1:$J$135,10,FALSE)</f>
        <v>https://tools.sig.systems/site/details/156</v>
      </c>
      <c r="I270" s="2"/>
      <c r="J270" t="s">
        <v>41</v>
      </c>
      <c r="K270" s="79" t="str">
        <f>VLOOKUP(Tabla3[[#This Row],[Site]],'Important Info!'!$A$1:$H$135,8,FALSE)</f>
        <v>-</v>
      </c>
      <c r="L270" s="52">
        <f>VLOOKUP(Tabla3[[#This Row],[Site]],'Important Info!'!$A$1:$F$135,2,FALSE)</f>
        <v>5</v>
      </c>
      <c r="M270" s="52" t="str">
        <f>VLOOKUP(Tabla3[[#This Row],[Site]],'Important Info!'!$A$1:$F$135,3,FALSE)</f>
        <v>3, 7, 18</v>
      </c>
      <c r="N270" s="52" t="str">
        <f>VLOOKUP(Tabla3[[#This Row],[Site]],'Important Info!'!$A$1:$F$135,4,FALSE)</f>
        <v>-</v>
      </c>
      <c r="O270" s="52">
        <f>VLOOKUP(Tabla3[[#This Row],[Site]],'Important Info!'!$A$1:$F$135,5,FALSE)</f>
        <v>84</v>
      </c>
      <c r="P270" s="52" t="str">
        <f>VLOOKUP(Tabla3[[#This Row],[Site]],'Important Info!'!$A$1:$F$135,6,FALSE)</f>
        <v>1, 2, 3, 4, 5, 6, 7, 8</v>
      </c>
      <c r="Q270" s="91">
        <f>VLOOKUP(Tabla3[[#This Row],[Site]],'Important Info!'!$A$1:$J$135,9,FALSE)</f>
        <v>156</v>
      </c>
    </row>
    <row r="271" spans="1:17" x14ac:dyDescent="0.25">
      <c r="A271" t="str">
        <f>+Tabla3[[#This Row],[Site]]&amp;Tabla3[[#This Row],[Split]]</f>
        <v>(RV) Toms Camperland Avondale (NO TOURS)6</v>
      </c>
      <c r="B271">
        <v>6</v>
      </c>
      <c r="C271">
        <v>2</v>
      </c>
      <c r="D271" t="s">
        <v>51</v>
      </c>
      <c r="E271" t="s">
        <v>161</v>
      </c>
      <c r="F271" t="s">
        <v>80</v>
      </c>
      <c r="G271" t="s">
        <v>52</v>
      </c>
      <c r="H271" s="52" t="str">
        <f>VLOOKUP(Tabla3[[#This Row],[Site]],'Important Info!'!$A$1:$J$135,10,FALSE)</f>
        <v>https://tools.sig.systems/site/details/248</v>
      </c>
      <c r="I271" s="2" t="s">
        <v>163</v>
      </c>
      <c r="J271" t="s">
        <v>164</v>
      </c>
      <c r="K271" s="79" t="str">
        <f>VLOOKUP(Tabla3[[#This Row],[Site]],'Important Info!'!$A$1:$H$135,8,FALSE)</f>
        <v>-</v>
      </c>
      <c r="L271" s="52">
        <f>VLOOKUP(Tabla3[[#This Row],[Site]],'Important Info!'!$A$1:$F$135,2,FALSE)</f>
        <v>10</v>
      </c>
      <c r="M271" s="52" t="str">
        <f>VLOOKUP(Tabla3[[#This Row],[Site]],'Important Info!'!$A$1:$F$135,3,FALSE)</f>
        <v>2, 7</v>
      </c>
      <c r="N271" s="52" t="str">
        <f>VLOOKUP(Tabla3[[#This Row],[Site]],'Important Info!'!$A$1:$F$135,4,FALSE)</f>
        <v>-</v>
      </c>
      <c r="O271" s="52" t="str">
        <f>VLOOKUP(Tabla3[[#This Row],[Site]],'Important Info!'!$A$1:$F$135,5,FALSE)</f>
        <v>-</v>
      </c>
      <c r="P271" s="52" t="str">
        <f>VLOOKUP(Tabla3[[#This Row],[Site]],'Important Info!'!$A$1:$F$135,6,FALSE)</f>
        <v>2, 7, 8, 13, 15</v>
      </c>
      <c r="Q271" s="91">
        <f>VLOOKUP(Tabla3[[#This Row],[Site]],'Important Info!'!$A$1:$J$135,9,FALSE)</f>
        <v>248</v>
      </c>
    </row>
    <row r="272" spans="1:17" x14ac:dyDescent="0.25">
      <c r="A272" t="str">
        <f>+Tabla3[[#This Row],[Site]]&amp;Tabla3[[#This Row],[Split]]</f>
        <v>(SCH) Auto Body Shop Lake Park6</v>
      </c>
      <c r="B272">
        <v>6</v>
      </c>
      <c r="C272">
        <v>2</v>
      </c>
      <c r="D272" t="s">
        <v>62</v>
      </c>
      <c r="E272" t="s">
        <v>35</v>
      </c>
      <c r="F272" t="s">
        <v>189</v>
      </c>
      <c r="G272" t="s">
        <v>490</v>
      </c>
      <c r="H272" s="52" t="str">
        <f>VLOOKUP(Tabla3[[#This Row],[Site]],'Important Info!'!$A$1:$J$135,10,FALSE)</f>
        <v>https://tools.sig.systems/site/details/158</v>
      </c>
      <c r="I272" s="43"/>
      <c r="J272" t="s">
        <v>41</v>
      </c>
      <c r="K272" s="79" t="str">
        <f>VLOOKUP(Tabla3[[#This Row],[Site]],'Important Info!'!$A$1:$H$135,8,FALSE)</f>
        <v>-</v>
      </c>
      <c r="L272" s="52" t="str">
        <f>VLOOKUP(Tabla3[[#This Row],[Site]],'Important Info!'!$A$1:$F$135,2,FALSE)</f>
        <v>3, 10</v>
      </c>
      <c r="M272" s="52" t="str">
        <f>VLOOKUP(Tabla3[[#This Row],[Site]],'Important Info!'!$A$1:$F$135,3,FALSE)</f>
        <v>-</v>
      </c>
      <c r="N272" s="52" t="str">
        <f>VLOOKUP(Tabla3[[#This Row],[Site]],'Important Info!'!$A$1:$F$135,4,FALSE)</f>
        <v>-</v>
      </c>
      <c r="O272" s="52" t="str">
        <f>VLOOKUP(Tabla3[[#This Row],[Site]],'Important Info!'!$A$1:$F$135,5,FALSE)</f>
        <v>-</v>
      </c>
      <c r="P272" s="52" t="str">
        <f>VLOOKUP(Tabla3[[#This Row],[Site]],'Important Info!'!$A$1:$F$135,6,FALSE)</f>
        <v>-</v>
      </c>
      <c r="Q272" s="91">
        <f>VLOOKUP(Tabla3[[#This Row],[Site]],'Important Info!'!$A$1:$J$135,9,FALSE)</f>
        <v>158</v>
      </c>
    </row>
    <row r="273" spans="1:17" x14ac:dyDescent="0.25">
      <c r="A273" t="str">
        <f>+Tabla3[[#This Row],[Site]]&amp;Tabla3[[#This Row],[Split]]</f>
        <v>(WAG) Greeley Chrysler Dodge Jeep Ram (NO TOURS)6</v>
      </c>
      <c r="B273">
        <v>6</v>
      </c>
      <c r="C273">
        <v>2</v>
      </c>
      <c r="D273" t="s">
        <v>44</v>
      </c>
      <c r="E273" t="s">
        <v>53</v>
      </c>
      <c r="F273" t="s">
        <v>497</v>
      </c>
      <c r="G273" t="s">
        <v>45</v>
      </c>
      <c r="H273" s="52" t="str">
        <f>VLOOKUP(Tabla3[[#This Row],[Site]],'Important Info!'!$A$1:$J$135,10,FALSE)</f>
        <v>https://tools.sig.systems/site/details/130</v>
      </c>
      <c r="I273" t="s">
        <v>153</v>
      </c>
      <c r="J273" t="s">
        <v>41</v>
      </c>
      <c r="K273" s="79" t="str">
        <f>VLOOKUP(Tabla3[[#This Row],[Site]],'Important Info!'!$A$1:$H$135,8,FALSE)</f>
        <v>-</v>
      </c>
      <c r="L273" s="52" t="str">
        <f>VLOOKUP(Tabla3[[#This Row],[Site]],'Important Info!'!$A$1:$F$135,2,FALSE)</f>
        <v>17, 23 &amp; 18</v>
      </c>
      <c r="M273" s="52" t="str">
        <f>VLOOKUP(Tabla3[[#This Row],[Site]],'Important Info!'!$A$1:$F$135,3,FALSE)</f>
        <v>4, 5, 6, 7, 8, 51, 55</v>
      </c>
      <c r="N273" s="52" t="str">
        <f>VLOOKUP(Tabla3[[#This Row],[Site]],'Important Info!'!$A$1:$F$135,4,FALSE)</f>
        <v>-</v>
      </c>
      <c r="O273" s="52" t="str">
        <f>VLOOKUP(Tabla3[[#This Row],[Site]],'Important Info!'!$A$1:$F$135,5,FALSE)</f>
        <v>3, 13, 17, 49, 53, 59</v>
      </c>
      <c r="P273" s="52" t="str">
        <f>VLOOKUP(Tabla3[[#This Row],[Site]],'Important Info!'!$A$1:$F$135,6,FALSE)</f>
        <v>8, 9, 10, 51, 62</v>
      </c>
      <c r="Q273" s="91">
        <f>VLOOKUP(Tabla3[[#This Row],[Site]],'Important Info!'!$A$1:$J$135,9,FALSE)</f>
        <v>130</v>
      </c>
    </row>
    <row r="274" spans="1:17" x14ac:dyDescent="0.25">
      <c r="A274" t="str">
        <f>+Tabla3[[#This Row],[Site]]&amp;Tabla3[[#This Row],[Split]]</f>
        <v>(AS) Bill Estes Ford (NO TOURS)6</v>
      </c>
      <c r="B274">
        <v>6</v>
      </c>
      <c r="C274">
        <v>3</v>
      </c>
      <c r="D274" t="s">
        <v>62</v>
      </c>
      <c r="E274" t="s">
        <v>35</v>
      </c>
      <c r="F274" t="s">
        <v>178</v>
      </c>
      <c r="G274" t="s">
        <v>490</v>
      </c>
      <c r="H274" s="52" t="str">
        <f>VLOOKUP(Tabla3[[#This Row],[Site]],'Important Info!'!$A$1:$J$135,10,FALSE)</f>
        <v>https://tools.sig.systems/site/details/125</v>
      </c>
      <c r="J274" t="s">
        <v>41</v>
      </c>
      <c r="K274" s="79" t="str">
        <f>VLOOKUP(Tabla3[[#This Row],[Site]],'Important Info!'!$A$1:$H$135,8,FALSE)</f>
        <v>-</v>
      </c>
      <c r="L274" s="52" t="str">
        <f>VLOOKUP(Tabla3[[#This Row],[Site]],'Important Info!'!$A$1:$F$135,2,FALSE)</f>
        <v>-</v>
      </c>
      <c r="M274" s="52" t="str">
        <f>VLOOKUP(Tabla3[[#This Row],[Site]],'Important Info!'!$A$1:$F$135,3,FALSE)</f>
        <v>2, 3, 13, 16</v>
      </c>
      <c r="N274" s="52" t="str">
        <f>VLOOKUP(Tabla3[[#This Row],[Site]],'Important Info!'!$A$1:$F$135,4,FALSE)</f>
        <v>-</v>
      </c>
      <c r="O274" s="52" t="str">
        <f>VLOOKUP(Tabla3[[#This Row],[Site]],'Important Info!'!$A$1:$F$135,5,FALSE)</f>
        <v>1, 10, 14, 19</v>
      </c>
      <c r="P274" s="52" t="str">
        <f>VLOOKUP(Tabla3[[#This Row],[Site]],'Important Info!'!$A$1:$F$135,6,FALSE)</f>
        <v>7, 8, 9, 10, 11, 12, 14</v>
      </c>
      <c r="Q274" s="91">
        <f>VLOOKUP(Tabla3[[#This Row],[Site]],'Important Info!'!$A$1:$J$135,9,FALSE)</f>
        <v>125</v>
      </c>
    </row>
    <row r="275" spans="1:17" x14ac:dyDescent="0.25">
      <c r="A275" t="str">
        <f>+Tabla3[[#This Row],[Site]]&amp;Tabla3[[#This Row],[Split]]</f>
        <v>(AS) Courtesy CDJR of Brandon (NO TOURS)6</v>
      </c>
      <c r="B275">
        <v>6</v>
      </c>
      <c r="C275">
        <v>3</v>
      </c>
      <c r="D275" t="s">
        <v>62</v>
      </c>
      <c r="E275" t="s">
        <v>35</v>
      </c>
      <c r="F275" t="s">
        <v>503</v>
      </c>
      <c r="G275" t="s">
        <v>490</v>
      </c>
      <c r="H275" s="52" t="str">
        <f>VLOOKUP(Tabla3[[#This Row],[Site]],'Important Info!'!$A$1:$J$135,10,FALSE)</f>
        <v>https://tools.sig.systems/site/details/126</v>
      </c>
      <c r="I275" s="43" t="s">
        <v>181</v>
      </c>
      <c r="J275" t="s">
        <v>484</v>
      </c>
      <c r="K275" s="79" t="str">
        <f>VLOOKUP(Tabla3[[#This Row],[Site]],'Important Info!'!$A$1:$H$135,8,FALSE)</f>
        <v>-</v>
      </c>
      <c r="L275" s="52" t="str">
        <f>VLOOKUP(Tabla3[[#This Row],[Site]],'Important Info!'!$A$1:$F$135,2,FALSE)</f>
        <v>1, 14, 15</v>
      </c>
      <c r="M275" s="52">
        <f>VLOOKUP(Tabla3[[#This Row],[Site]],'Important Info!'!$A$1:$F$135,3,FALSE)</f>
        <v>1</v>
      </c>
      <c r="N275" s="52" t="str">
        <f>VLOOKUP(Tabla3[[#This Row],[Site]],'Important Info!'!$A$1:$F$135,4,FALSE)</f>
        <v>-</v>
      </c>
      <c r="O275" s="52" t="str">
        <f>VLOOKUP(Tabla3[[#This Row],[Site]],'Important Info!'!$A$1:$F$135,5,FALSE)</f>
        <v>2, 12</v>
      </c>
      <c r="P275" s="52" t="str">
        <f>VLOOKUP(Tabla3[[#This Row],[Site]],'Important Info!'!$A$1:$F$135,6,FALSE)</f>
        <v xml:space="preserve">1, 2, 3, 4, 14, 15, 21, 25 </v>
      </c>
      <c r="Q275" s="91">
        <f>VLOOKUP(Tabla3[[#This Row],[Site]],'Important Info!'!$A$1:$J$135,9,FALSE)</f>
        <v>126</v>
      </c>
    </row>
    <row r="276" spans="1:17" x14ac:dyDescent="0.25">
      <c r="A276" t="str">
        <f>+Tabla3[[#This Row],[Site]]&amp;Tabla3[[#This Row],[Split]]</f>
        <v>(AS) Mike Shaw Subaru Greeley (NO TOURS)6</v>
      </c>
      <c r="B276">
        <v>6</v>
      </c>
      <c r="C276">
        <v>3</v>
      </c>
      <c r="D276" t="s">
        <v>44</v>
      </c>
      <c r="E276" t="s">
        <v>53</v>
      </c>
      <c r="F276" t="s">
        <v>95</v>
      </c>
      <c r="G276" t="s">
        <v>45</v>
      </c>
      <c r="H276" s="52" t="str">
        <f>VLOOKUP(Tabla3[[#This Row],[Site]],'Important Info!'!$A$1:$J$135,10,FALSE)</f>
        <v>https://tools.sig.systems/site/details/174</v>
      </c>
      <c r="I276" t="s">
        <v>153</v>
      </c>
      <c r="J276" t="s">
        <v>41</v>
      </c>
      <c r="K276" s="79" t="str">
        <f>VLOOKUP(Tabla3[[#This Row],[Site]],'Important Info!'!$A$1:$H$135,8,FALSE)</f>
        <v>-</v>
      </c>
      <c r="L276" s="52" t="str">
        <f>VLOOKUP(Tabla3[[#This Row],[Site]],'Important Info!'!$A$1:$F$135,2,FALSE)</f>
        <v>16, 17</v>
      </c>
      <c r="M276" s="52">
        <f>VLOOKUP(Tabla3[[#This Row],[Site]],'Important Info!'!$A$1:$F$135,3,FALSE)</f>
        <v>10</v>
      </c>
      <c r="N276" s="52" t="str">
        <f>VLOOKUP(Tabla3[[#This Row],[Site]],'Important Info!'!$A$1:$F$135,4,FALSE)</f>
        <v>-</v>
      </c>
      <c r="O276" s="52" t="str">
        <f>VLOOKUP(Tabla3[[#This Row],[Site]],'Important Info!'!$A$1:$F$135,5,FALSE)</f>
        <v>1, 7</v>
      </c>
      <c r="P276" s="52" t="str">
        <f>VLOOKUP(Tabla3[[#This Row],[Site]],'Important Info!'!$A$1:$F$135,6,FALSE)</f>
        <v>-</v>
      </c>
      <c r="Q276" s="91">
        <f>VLOOKUP(Tabla3[[#This Row],[Site]],'Important Info!'!$A$1:$J$135,9,FALSE)</f>
        <v>174</v>
      </c>
    </row>
    <row r="277" spans="1:17" x14ac:dyDescent="0.25">
      <c r="A277" t="str">
        <f>+Tabla3[[#This Row],[Site]]&amp;Tabla3[[#This Row],[Split]]</f>
        <v>(AS) Nalley Luxury Collision Center (NO TOURS)6</v>
      </c>
      <c r="B277">
        <v>6</v>
      </c>
      <c r="C277">
        <v>3</v>
      </c>
      <c r="D277" t="s">
        <v>62</v>
      </c>
      <c r="E277" t="s">
        <v>35</v>
      </c>
      <c r="F277" t="s">
        <v>512</v>
      </c>
      <c r="G277" t="s">
        <v>490</v>
      </c>
      <c r="H277" s="52" t="str">
        <f>VLOOKUP(Tabla3[[#This Row],[Site]],'Important Info!'!$A$1:$J$135,10,FALSE)</f>
        <v>https://tools.sig.systems/site/details/263</v>
      </c>
      <c r="I277" s="43" t="s">
        <v>166</v>
      </c>
      <c r="J277" t="s">
        <v>41</v>
      </c>
      <c r="K277" s="79" t="str">
        <f>VLOOKUP(Tabla3[[#This Row],[Site]],'Important Info!'!$A$1:$H$135,8,FALSE)</f>
        <v>-</v>
      </c>
      <c r="L277" s="52" t="str">
        <f>VLOOKUP(Tabla3[[#This Row],[Site]],'Important Info!'!$A$1:$F$135,2,FALSE)</f>
        <v>6, 13</v>
      </c>
      <c r="M277" s="52" t="str">
        <f>VLOOKUP(Tabla3[[#This Row],[Site]],'Important Info!'!$A$1:$F$135,3,FALSE)</f>
        <v>-</v>
      </c>
      <c r="N277" s="52" t="str">
        <f>VLOOKUP(Tabla3[[#This Row],[Site]],'Important Info!'!$A$1:$F$135,4,FALSE)</f>
        <v>-</v>
      </c>
      <c r="O277" s="52" t="str">
        <f>VLOOKUP(Tabla3[[#This Row],[Site]],'Important Info!'!$A$1:$F$135,5,FALSE)</f>
        <v>-</v>
      </c>
      <c r="P277" s="52" t="str">
        <f>VLOOKUP(Tabla3[[#This Row],[Site]],'Important Info!'!$A$1:$F$135,6,FALSE)</f>
        <v>6, 7, 12</v>
      </c>
      <c r="Q277" s="91">
        <f>VLOOKUP(Tabla3[[#This Row],[Site]],'Important Info!'!$A$1:$J$135,9,FALSE)</f>
        <v>263</v>
      </c>
    </row>
    <row r="278" spans="1:17" x14ac:dyDescent="0.25">
      <c r="A278" t="str">
        <f>+Tabla3[[#This Row],[Site]]&amp;Tabla3[[#This Row],[Split]]</f>
        <v>(AS) Park Place MB Recon Center Dallas (NO TOURS)6</v>
      </c>
      <c r="B278">
        <v>6</v>
      </c>
      <c r="C278">
        <v>3</v>
      </c>
      <c r="D278" t="s">
        <v>33</v>
      </c>
      <c r="E278" t="s">
        <v>46</v>
      </c>
      <c r="F278" t="s">
        <v>517</v>
      </c>
      <c r="G278" t="s">
        <v>34</v>
      </c>
      <c r="H278" s="52" t="str">
        <f>VLOOKUP(Tabla3[[#This Row],[Site]],'Important Info!'!$A$1:$J$135,10,FALSE)</f>
        <v>https://tools.sig.systems/site/details/170</v>
      </c>
      <c r="I278" s="65" t="s">
        <v>125</v>
      </c>
      <c r="J278" t="s">
        <v>41</v>
      </c>
      <c r="K278" s="79" t="str">
        <f>VLOOKUP(Tabla3[[#This Row],[Site]],'Important Info!'!$A$1:$H$135,8,FALSE)</f>
        <v>-</v>
      </c>
      <c r="L278" s="52" t="str">
        <f>VLOOKUP(Tabla3[[#This Row],[Site]],'Important Info!'!$A$1:$F$135,2,FALSE)</f>
        <v>3, 39</v>
      </c>
      <c r="M278" s="52" t="str">
        <f>VLOOKUP(Tabla3[[#This Row],[Site]],'Important Info!'!$A$1:$F$135,3,FALSE)</f>
        <v>-</v>
      </c>
      <c r="N278" s="52" t="str">
        <f>VLOOKUP(Tabla3[[#This Row],[Site]],'Important Info!'!$A$1:$F$135,4,FALSE)</f>
        <v>-</v>
      </c>
      <c r="O278" s="52" t="str">
        <f>VLOOKUP(Tabla3[[#This Row],[Site]],'Important Info!'!$A$1:$F$135,5,FALSE)</f>
        <v>4, 11</v>
      </c>
      <c r="P278" s="52">
        <f>VLOOKUP(Tabla3[[#This Row],[Site]],'Important Info!'!$A$1:$F$135,6,FALSE)</f>
        <v>1</v>
      </c>
      <c r="Q278" s="91">
        <f>VLOOKUP(Tabla3[[#This Row],[Site]],'Important Info!'!$A$1:$J$135,9,FALSE)</f>
        <v>170</v>
      </c>
    </row>
    <row r="279" spans="1:17" x14ac:dyDescent="0.25">
      <c r="A279" t="str">
        <f>+Tabla3[[#This Row],[Site]]&amp;Tabla3[[#This Row],[Split]]</f>
        <v>(AS) Plaza Audi/Infiniti (NO TOURS)6</v>
      </c>
      <c r="B279">
        <v>6</v>
      </c>
      <c r="C279">
        <v>3</v>
      </c>
      <c r="D279" t="s">
        <v>33</v>
      </c>
      <c r="E279" t="s">
        <v>46</v>
      </c>
      <c r="F279" t="s">
        <v>91</v>
      </c>
      <c r="G279" t="s">
        <v>34</v>
      </c>
      <c r="H279" s="52" t="str">
        <f>VLOOKUP(Tabla3[[#This Row],[Site]],'Important Info!'!$A$1:$J$135,10,FALSE)</f>
        <v>https://tools.sig.systems/site/details/141</v>
      </c>
      <c r="I279" s="43" t="s">
        <v>130</v>
      </c>
      <c r="J279" t="s">
        <v>41</v>
      </c>
      <c r="K279" s="79" t="str">
        <f>VLOOKUP(Tabla3[[#This Row],[Site]],'Important Info!'!$A$1:$H$135,8,FALSE)</f>
        <v>-</v>
      </c>
      <c r="L279" s="52" t="str">
        <f>VLOOKUP(Tabla3[[#This Row],[Site]],'Important Info!'!$A$1:$F$135,2,FALSE)</f>
        <v>7, 25</v>
      </c>
      <c r="M279" s="52" t="str">
        <f>VLOOKUP(Tabla3[[#This Row],[Site]],'Important Info!'!$A$1:$F$135,3,FALSE)</f>
        <v>15, 17, 18</v>
      </c>
      <c r="N279" s="52" t="str">
        <f>VLOOKUP(Tabla3[[#This Row],[Site]],'Important Info!'!$A$1:$F$135,4,FALSE)</f>
        <v>-</v>
      </c>
      <c r="O279" s="52" t="str">
        <f>VLOOKUP(Tabla3[[#This Row],[Site]],'Important Info!'!$A$1:$F$135,5,FALSE)</f>
        <v>1, 24</v>
      </c>
      <c r="P279" s="52" t="str">
        <f>VLOOKUP(Tabla3[[#This Row],[Site]],'Important Info!'!$A$1:$F$135,6,FALSE)</f>
        <v>3, 15, 17</v>
      </c>
      <c r="Q279" s="91">
        <f>VLOOKUP(Tabla3[[#This Row],[Site]],'Important Info!'!$A$1:$J$135,9,FALSE)</f>
        <v>141</v>
      </c>
    </row>
    <row r="280" spans="1:17" x14ac:dyDescent="0.25">
      <c r="A280" t="str">
        <f>+Tabla3[[#This Row],[Site]]&amp;Tabla3[[#This Row],[Split]]</f>
        <v>(DT) Albuquerque6</v>
      </c>
      <c r="B280">
        <v>6</v>
      </c>
      <c r="C280">
        <v>3</v>
      </c>
      <c r="D280" t="s">
        <v>44</v>
      </c>
      <c r="E280" t="s">
        <v>53</v>
      </c>
      <c r="F280" t="s">
        <v>155</v>
      </c>
      <c r="G280" t="s">
        <v>45</v>
      </c>
      <c r="H280" s="52" t="str">
        <f>VLOOKUP(Tabla3[[#This Row],[Site]],'Important Info!'!$A$1:$J$135,10,FALSE)</f>
        <v>https://tools.sig.systems/site/details/237</v>
      </c>
      <c r="J280" t="s">
        <v>41</v>
      </c>
      <c r="K280" s="79" t="str">
        <f>VLOOKUP(Tabla3[[#This Row],[Site]],'Important Info!'!$A$1:$H$135,8,FALSE)</f>
        <v>-</v>
      </c>
      <c r="L280" s="52" t="str">
        <f>VLOOKUP(Tabla3[[#This Row],[Site]],'Important Info!'!$A$1:$F$135,2,FALSE)</f>
        <v>14, 16</v>
      </c>
      <c r="M280" s="52" t="str">
        <f>VLOOKUP(Tabla3[[#This Row],[Site]],'Important Info!'!$A$1:$F$135,3,FALSE)</f>
        <v>-</v>
      </c>
      <c r="N280" s="52" t="str">
        <f>VLOOKUP(Tabla3[[#This Row],[Site]],'Important Info!'!$A$1:$F$135,4,FALSE)</f>
        <v>-</v>
      </c>
      <c r="O280" s="52" t="str">
        <f>VLOOKUP(Tabla3[[#This Row],[Site]],'Important Info!'!$A$1:$F$135,5,FALSE)</f>
        <v>14, 15</v>
      </c>
      <c r="P280" s="52" t="str">
        <f>VLOOKUP(Tabla3[[#This Row],[Site]],'Important Info!'!$A$1:$F$135,6,FALSE)</f>
        <v>12, 14, 16</v>
      </c>
      <c r="Q280" s="91">
        <f>VLOOKUP(Tabla3[[#This Row],[Site]],'Important Info!'!$A$1:$J$135,9,FALSE)</f>
        <v>237</v>
      </c>
    </row>
    <row r="281" spans="1:17" x14ac:dyDescent="0.25">
      <c r="A281" t="str">
        <f>+Tabla3[[#This Row],[Site]]&amp;Tabla3[[#This Row],[Split]]</f>
        <v>(DT) Denver (NO TOURS)6</v>
      </c>
      <c r="B281">
        <v>6</v>
      </c>
      <c r="C281">
        <v>3</v>
      </c>
      <c r="D281" t="s">
        <v>44</v>
      </c>
      <c r="E281" t="s">
        <v>53</v>
      </c>
      <c r="F281" t="s">
        <v>157</v>
      </c>
      <c r="G281" t="s">
        <v>45</v>
      </c>
      <c r="H281" s="52" t="str">
        <f>VLOOKUP(Tabla3[[#This Row],[Site]],'Important Info!'!$A$1:$J$135,10,FALSE)</f>
        <v>https://tools.sig.systems/site/details/203</v>
      </c>
      <c r="I281" s="2" t="s">
        <v>158</v>
      </c>
      <c r="J281" t="s">
        <v>41</v>
      </c>
      <c r="K281" s="79" t="str">
        <f>VLOOKUP(Tabla3[[#This Row],[Site]],'Important Info!'!$A$1:$H$135,8,FALSE)</f>
        <v>-</v>
      </c>
      <c r="L281" s="52" t="str">
        <f>VLOOKUP(Tabla3[[#This Row],[Site]],'Important Info!'!$A$1:$F$135,2,FALSE)</f>
        <v>-</v>
      </c>
      <c r="M281" s="52" t="str">
        <f>VLOOKUP(Tabla3[[#This Row],[Site]],'Important Info!'!$A$1:$F$135,3,FALSE)</f>
        <v>7, 8</v>
      </c>
      <c r="N281" s="52" t="str">
        <f>VLOOKUP(Tabla3[[#This Row],[Site]],'Important Info!'!$A$1:$F$135,4,FALSE)</f>
        <v>-</v>
      </c>
      <c r="O281" s="52" t="str">
        <f>VLOOKUP(Tabla3[[#This Row],[Site]],'Important Info!'!$A$1:$F$135,5,FALSE)</f>
        <v>-</v>
      </c>
      <c r="P281" s="52" t="str">
        <f>VLOOKUP(Tabla3[[#This Row],[Site]],'Important Info!'!$A$1:$F$135,6,FALSE)</f>
        <v>7, 8</v>
      </c>
      <c r="Q281" s="91">
        <f>VLOOKUP(Tabla3[[#This Row],[Site]],'Important Info!'!$A$1:$J$135,9,FALSE)</f>
        <v>203</v>
      </c>
    </row>
    <row r="282" spans="1:17" x14ac:dyDescent="0.25">
      <c r="A282" t="str">
        <f>+Tabla3[[#This Row],[Site]]&amp;Tabla3[[#This Row],[Split]]</f>
        <v>(HUD) CDJR of Greensboro6</v>
      </c>
      <c r="B282">
        <v>6</v>
      </c>
      <c r="C282">
        <v>3</v>
      </c>
      <c r="D282" t="s">
        <v>62</v>
      </c>
      <c r="E282" t="s">
        <v>35</v>
      </c>
      <c r="F282" t="s">
        <v>185</v>
      </c>
      <c r="G282" t="s">
        <v>490</v>
      </c>
      <c r="H282" s="52" t="str">
        <f>VLOOKUP(Tabla3[[#This Row],[Site]],'Important Info!'!$A$1:$J$135,10,FALSE)</f>
        <v>https://tools.sig.systems/site/details/215</v>
      </c>
      <c r="I282" s="2" t="s">
        <v>184</v>
      </c>
      <c r="J282" t="s">
        <v>36</v>
      </c>
      <c r="K282" s="79" t="str">
        <f>VLOOKUP(Tabla3[[#This Row],[Site]],'Important Info!'!$A$1:$H$135,8,FALSE)</f>
        <v>-</v>
      </c>
      <c r="L282" s="52" t="str">
        <f>VLOOKUP(Tabla3[[#This Row],[Site]],'Important Info!'!$A$1:$F$135,2,FALSE)</f>
        <v>2, 12</v>
      </c>
      <c r="M282" s="52" t="str">
        <f>VLOOKUP(Tabla3[[#This Row],[Site]],'Important Info!'!$A$1:$F$135,3,FALSE)</f>
        <v>-</v>
      </c>
      <c r="N282" s="52" t="str">
        <f>VLOOKUP(Tabla3[[#This Row],[Site]],'Important Info!'!$A$1:$F$135,4,FALSE)</f>
        <v>-</v>
      </c>
      <c r="O282" s="52" t="str">
        <f>VLOOKUP(Tabla3[[#This Row],[Site]],'Important Info!'!$A$1:$F$135,5,FALSE)</f>
        <v>3, 13</v>
      </c>
      <c r="P282" s="52" t="str">
        <f>VLOOKUP(Tabla3[[#This Row],[Site]],'Important Info!'!$A$1:$F$135,6,FALSE)</f>
        <v>1, 17</v>
      </c>
      <c r="Q282" s="91">
        <f>VLOOKUP(Tabla3[[#This Row],[Site]],'Important Info!'!$A$1:$J$135,9,FALSE)</f>
        <v>215</v>
      </c>
    </row>
    <row r="283" spans="1:17" x14ac:dyDescent="0.25">
      <c r="A283" t="str">
        <f>+Tabla3[[#This Row],[Site]]&amp;Tabla3[[#This Row],[Split]]</f>
        <v>(ML) Collision Center N Little Rock6</v>
      </c>
      <c r="B283">
        <v>6</v>
      </c>
      <c r="C283">
        <v>3</v>
      </c>
      <c r="D283" t="s">
        <v>33</v>
      </c>
      <c r="E283" t="s">
        <v>46</v>
      </c>
      <c r="F283" t="s">
        <v>141</v>
      </c>
      <c r="G283" t="s">
        <v>34</v>
      </c>
      <c r="H283" s="52" t="str">
        <f>VLOOKUP(Tabla3[[#This Row],[Site]],'Important Info!'!$A$1:$J$135,10,FALSE)</f>
        <v>https://tools.sig.systems/site/details/212</v>
      </c>
      <c r="I283" s="2" t="s">
        <v>142</v>
      </c>
      <c r="J283" t="s">
        <v>41</v>
      </c>
      <c r="K283" s="79" t="str">
        <f>VLOOKUP(Tabla3[[#This Row],[Site]],'Important Info!'!$A$1:$H$135,8,FALSE)</f>
        <v>-</v>
      </c>
      <c r="L283" s="52" t="str">
        <f>VLOOKUP(Tabla3[[#This Row],[Site]],'Important Info!'!$A$1:$F$135,2,FALSE)</f>
        <v>-</v>
      </c>
      <c r="M283" s="52" t="str">
        <f>VLOOKUP(Tabla3[[#This Row],[Site]],'Important Info!'!$A$1:$F$135,3,FALSE)</f>
        <v>-</v>
      </c>
      <c r="N283" s="52" t="str">
        <f>VLOOKUP(Tabla3[[#This Row],[Site]],'Important Info!'!$A$1:$F$135,4,FALSE)</f>
        <v>-</v>
      </c>
      <c r="O283" s="52" t="str">
        <f>VLOOKUP(Tabla3[[#This Row],[Site]],'Important Info!'!$A$1:$F$135,5,FALSE)</f>
        <v>-</v>
      </c>
      <c r="P283" s="52" t="str">
        <f>VLOOKUP(Tabla3[[#This Row],[Site]],'Important Info!'!$A$1:$F$135,6,FALSE)</f>
        <v>1, 3, 7, 8</v>
      </c>
      <c r="Q283" s="91">
        <f>VLOOKUP(Tabla3[[#This Row],[Site]],'Important Info!'!$A$1:$J$135,9,FALSE)</f>
        <v>212</v>
      </c>
    </row>
    <row r="284" spans="1:17" x14ac:dyDescent="0.25">
      <c r="A284" t="str">
        <f>+Tabla3[[#This Row],[Site]]&amp;Tabla3[[#This Row],[Split]]</f>
        <v>(ML) Joe Machens Ford Lincoln I &amp; II6</v>
      </c>
      <c r="B284">
        <v>6</v>
      </c>
      <c r="C284">
        <v>3</v>
      </c>
      <c r="D284" t="s">
        <v>33</v>
      </c>
      <c r="E284" t="s">
        <v>46</v>
      </c>
      <c r="F284" t="s">
        <v>148</v>
      </c>
      <c r="G284" t="s">
        <v>34</v>
      </c>
      <c r="H284" s="52" t="str">
        <f>VLOOKUP(Tabla3[[#This Row],[Site]],'Important Info!'!$A$1:$J$135,10,FALSE)</f>
        <v>https://tools.sig.systems/site/details/266</v>
      </c>
      <c r="I284" s="43" t="s">
        <v>146</v>
      </c>
      <c r="J284" t="s">
        <v>41</v>
      </c>
      <c r="K284" s="79" t="str">
        <f>VLOOKUP(Tabla3[[#This Row],[Site]],'Important Info!'!$A$1:$H$135,8,FALSE)</f>
        <v>-</v>
      </c>
      <c r="L284" s="52" t="str">
        <f>VLOOKUP(Tabla3[[#This Row],[Site]],'Important Info!'!$A$1:$F$135,2,FALSE)</f>
        <v>-</v>
      </c>
      <c r="M284" s="52" t="str">
        <f>VLOOKUP(Tabla3[[#This Row],[Site]],'Important Info!'!$A$1:$F$135,3,FALSE)</f>
        <v>4, 6, 9, 13, 14, 17, 26, 27, 28, 29, 30</v>
      </c>
      <c r="N284" s="52" t="str">
        <f>VLOOKUP(Tabla3[[#This Row],[Site]],'Important Info!'!$A$1:$F$135,4,FALSE)</f>
        <v>-</v>
      </c>
      <c r="O284" s="52" t="str">
        <f>VLOOKUP(Tabla3[[#This Row],[Site]],'Important Info!'!$A$1:$F$135,5,FALSE)</f>
        <v>23, 40, 49</v>
      </c>
      <c r="P284" s="52" t="str">
        <f>VLOOKUP(Tabla3[[#This Row],[Site]],'Important Info!'!$A$1:$F$135,6,FALSE)</f>
        <v>-</v>
      </c>
      <c r="Q284" s="91">
        <f>VLOOKUP(Tabla3[[#This Row],[Site]],'Important Info!'!$A$1:$J$135,9,FALSE)</f>
        <v>266</v>
      </c>
    </row>
    <row r="285" spans="1:17" x14ac:dyDescent="0.25">
      <c r="A285" t="str">
        <f>+Tabla3[[#This Row],[Site]]&amp;Tabla3[[#This Row],[Split]]</f>
        <v>(ML) Joe Machens VW6</v>
      </c>
      <c r="B285">
        <v>6</v>
      </c>
      <c r="C285">
        <v>3</v>
      </c>
      <c r="D285" t="s">
        <v>33</v>
      </c>
      <c r="E285" t="s">
        <v>46</v>
      </c>
      <c r="F285" t="s">
        <v>74</v>
      </c>
      <c r="G285" t="s">
        <v>34</v>
      </c>
      <c r="H285" s="52" t="str">
        <f>VLOOKUP(Tabla3[[#This Row],[Site]],'Important Info!'!$A$1:$J$135,10,FALSE)</f>
        <v>https://tools.sig.systems/site/details/274</v>
      </c>
      <c r="I285" s="2" t="s">
        <v>146</v>
      </c>
      <c r="J285" t="s">
        <v>41</v>
      </c>
      <c r="K285" s="79" t="str">
        <f>VLOOKUP(Tabla3[[#This Row],[Site]],'Important Info!'!$A$1:$H$135,8,FALSE)</f>
        <v>-</v>
      </c>
      <c r="L285" s="52" t="str">
        <f>VLOOKUP(Tabla3[[#This Row],[Site]],'Important Info!'!$A$1:$F$135,2,FALSE)</f>
        <v>-</v>
      </c>
      <c r="M285" s="52" t="str">
        <f>VLOOKUP(Tabla3[[#This Row],[Site]],'Important Info!'!$A$1:$F$135,3,FALSE)</f>
        <v>1, 11, 18</v>
      </c>
      <c r="N285" s="52" t="str">
        <f>VLOOKUP(Tabla3[[#This Row],[Site]],'Important Info!'!$A$1:$F$135,4,FALSE)</f>
        <v>-</v>
      </c>
      <c r="O285" s="52">
        <f>VLOOKUP(Tabla3[[#This Row],[Site]],'Important Info!'!$A$1:$F$135,5,FALSE)</f>
        <v>17</v>
      </c>
      <c r="P285" s="52" t="str">
        <f>VLOOKUP(Tabla3[[#This Row],[Site]],'Important Info!'!$A$1:$F$135,6,FALSE)</f>
        <v>-</v>
      </c>
      <c r="Q285" s="91">
        <f>VLOOKUP(Tabla3[[#This Row],[Site]],'Important Info!'!$A$1:$J$135,9,FALSE)</f>
        <v>274</v>
      </c>
    </row>
    <row r="286" spans="1:17" x14ac:dyDescent="0.25">
      <c r="A286" t="str">
        <f>+Tabla3[[#This Row],[Site]]&amp;Tabla3[[#This Row],[Split]]</f>
        <v>(ML) Nissan of North Little Rock6</v>
      </c>
      <c r="B286">
        <v>6</v>
      </c>
      <c r="C286">
        <v>3</v>
      </c>
      <c r="D286" t="s">
        <v>33</v>
      </c>
      <c r="E286" t="s">
        <v>46</v>
      </c>
      <c r="F286" t="s">
        <v>75</v>
      </c>
      <c r="G286" t="s">
        <v>34</v>
      </c>
      <c r="H286" s="52" t="str">
        <f>VLOOKUP(Tabla3[[#This Row],[Site]],'Important Info!'!$A$1:$J$135,10,FALSE)</f>
        <v>https://tools.sig.systems/site/details/216</v>
      </c>
      <c r="I286" s="2" t="s">
        <v>142</v>
      </c>
      <c r="J286" t="s">
        <v>41</v>
      </c>
      <c r="K286" s="79" t="str">
        <f>VLOOKUP(Tabla3[[#This Row],[Site]],'Important Info!'!$A$1:$H$135,8,FALSE)</f>
        <v>-</v>
      </c>
      <c r="L286" s="52" t="str">
        <f>VLOOKUP(Tabla3[[#This Row],[Site]],'Important Info!'!$A$1:$F$135,2,FALSE)</f>
        <v>2, 4</v>
      </c>
      <c r="M286" s="52" t="str">
        <f>VLOOKUP(Tabla3[[#This Row],[Site]],'Important Info!'!$A$1:$F$135,3,FALSE)</f>
        <v>-</v>
      </c>
      <c r="N286" s="52" t="str">
        <f>VLOOKUP(Tabla3[[#This Row],[Site]],'Important Info!'!$A$1:$F$135,4,FALSE)</f>
        <v>-</v>
      </c>
      <c r="O286" s="52" t="str">
        <f>VLOOKUP(Tabla3[[#This Row],[Site]],'Important Info!'!$A$1:$F$135,5,FALSE)</f>
        <v>5, 17, 23</v>
      </c>
      <c r="P286" s="52">
        <f>VLOOKUP(Tabla3[[#This Row],[Site]],'Important Info!'!$A$1:$F$135,6,FALSE)</f>
        <v>18</v>
      </c>
      <c r="Q286" s="91">
        <f>VLOOKUP(Tabla3[[#This Row],[Site]],'Important Info!'!$A$1:$J$135,9,FALSE)</f>
        <v>216</v>
      </c>
    </row>
    <row r="287" spans="1:17" x14ac:dyDescent="0.25">
      <c r="A287" t="str">
        <f>+Tabla3[[#This Row],[Site]]&amp;Tabla3[[#This Row],[Split]]</f>
        <v>(PE) Honda of Danbury (NO TOURS)6</v>
      </c>
      <c r="B287">
        <v>6</v>
      </c>
      <c r="C287">
        <v>3</v>
      </c>
      <c r="D287" t="s">
        <v>485</v>
      </c>
      <c r="E287" t="s">
        <v>35</v>
      </c>
      <c r="F287" t="s">
        <v>174</v>
      </c>
      <c r="G287" t="s">
        <v>490</v>
      </c>
      <c r="H287" s="52" t="str">
        <f>VLOOKUP(Tabla3[[#This Row],[Site]],'Important Info!'!$A$1:$J$135,10,FALSE)</f>
        <v>https://tools.sig.systems/site/details/190</v>
      </c>
      <c r="I287" s="2"/>
      <c r="J287" t="s">
        <v>41</v>
      </c>
      <c r="K287" s="79" t="str">
        <f>VLOOKUP(Tabla3[[#This Row],[Site]],'Important Info!'!$A$1:$H$135,8,FALSE)</f>
        <v>-</v>
      </c>
      <c r="L287" s="52" t="str">
        <f>VLOOKUP(Tabla3[[#This Row],[Site]],'Important Info!'!$A$1:$F$135,2,FALSE)</f>
        <v>-</v>
      </c>
      <c r="M287" s="52" t="str">
        <f>VLOOKUP(Tabla3[[#This Row],[Site]],'Important Info!'!$A$1:$F$135,3,FALSE)</f>
        <v>20, 9</v>
      </c>
      <c r="N287" s="52">
        <f>VLOOKUP(Tabla3[[#This Row],[Site]],'Important Info!'!$A$1:$F$135,4,FALSE)</f>
        <v>9</v>
      </c>
      <c r="O287" s="52" t="str">
        <f>VLOOKUP(Tabla3[[#This Row],[Site]],'Important Info!'!$A$1:$F$135,5,FALSE)</f>
        <v>-</v>
      </c>
      <c r="P287" s="52" t="str">
        <f>VLOOKUP(Tabla3[[#This Row],[Site]],'Important Info!'!$A$1:$F$135,6,FALSE)</f>
        <v>9, 16, 17</v>
      </c>
      <c r="Q287" s="91">
        <f>VLOOKUP(Tabla3[[#This Row],[Site]],'Important Info!'!$A$1:$J$135,9,FALSE)</f>
        <v>190</v>
      </c>
    </row>
    <row r="288" spans="1:17" x14ac:dyDescent="0.25">
      <c r="A288" t="str">
        <f>+Tabla3[[#This Row],[Site]]&amp;Tabla3[[#This Row],[Split]]</f>
        <v>(RV) Toms Camperland Mesa (NO TOURS)6</v>
      </c>
      <c r="B288">
        <v>6</v>
      </c>
      <c r="C288">
        <v>3</v>
      </c>
      <c r="D288" t="s">
        <v>51</v>
      </c>
      <c r="E288" t="s">
        <v>161</v>
      </c>
      <c r="F288" t="s">
        <v>81</v>
      </c>
      <c r="G288" t="s">
        <v>52</v>
      </c>
      <c r="H288" s="52" t="str">
        <f>VLOOKUP(Tabla3[[#This Row],[Site]],'Important Info!'!$A$1:$J$135,10,FALSE)</f>
        <v>https://tools.sig.systems/site/details/222</v>
      </c>
      <c r="J288" t="s">
        <v>41</v>
      </c>
      <c r="K288" s="79" t="str">
        <f>VLOOKUP(Tabla3[[#This Row],[Site]],'Important Info!'!$A$1:$H$135,8,FALSE)</f>
        <v>-</v>
      </c>
      <c r="L288" s="52" t="str">
        <f>VLOOKUP(Tabla3[[#This Row],[Site]],'Important Info!'!$A$1:$F$135,2,FALSE)</f>
        <v>1, 2</v>
      </c>
      <c r="M288" s="52" t="str">
        <f>VLOOKUP(Tabla3[[#This Row],[Site]],'Important Info!'!$A$1:$F$135,3,FALSE)</f>
        <v>-</v>
      </c>
      <c r="N288" s="52" t="str">
        <f>VLOOKUP(Tabla3[[#This Row],[Site]],'Important Info!'!$A$1:$F$135,4,FALSE)</f>
        <v>-</v>
      </c>
      <c r="O288" s="52" t="str">
        <f>VLOOKUP(Tabla3[[#This Row],[Site]],'Important Info!'!$A$1:$F$135,5,FALSE)</f>
        <v>-</v>
      </c>
      <c r="P288" s="52" t="str">
        <f>VLOOKUP(Tabla3[[#This Row],[Site]],'Important Info!'!$A$1:$F$135,6,FALSE)</f>
        <v>1, 4, 6, 8, 10, 18</v>
      </c>
      <c r="Q288" s="91">
        <f>VLOOKUP(Tabla3[[#This Row],[Site]],'Important Info!'!$A$1:$J$135,9,FALSE)</f>
        <v>222</v>
      </c>
    </row>
    <row r="289" spans="1:17" x14ac:dyDescent="0.25">
      <c r="A289" t="str">
        <f>+Tabla3[[#This Row],[Site]]&amp;Tabla3[[#This Row],[Split]]</f>
        <v>(SCH) Prep Center Delray6</v>
      </c>
      <c r="B289">
        <v>6</v>
      </c>
      <c r="C289">
        <v>3</v>
      </c>
      <c r="D289" t="s">
        <v>62</v>
      </c>
      <c r="E289" t="s">
        <v>35</v>
      </c>
      <c r="F289" t="s">
        <v>191</v>
      </c>
      <c r="G289" t="s">
        <v>490</v>
      </c>
      <c r="H289" s="52" t="str">
        <f>VLOOKUP(Tabla3[[#This Row],[Site]],'Important Info!'!$A$1:$J$135,10,FALSE)</f>
        <v>https://tools.sig.systems/site/details/321</v>
      </c>
      <c r="J289" t="s">
        <v>41</v>
      </c>
      <c r="K289" s="79" t="str">
        <f>VLOOKUP(Tabla3[[#This Row],[Site]],'Important Info!'!$A$1:$H$135,8,FALSE)</f>
        <v>-</v>
      </c>
      <c r="L289" s="52" t="str">
        <f>VLOOKUP(Tabla3[[#This Row],[Site]],'Important Info!'!$A$1:$F$135,2,FALSE)</f>
        <v>2,3</v>
      </c>
      <c r="M289" s="52" t="str">
        <f>VLOOKUP(Tabla3[[#This Row],[Site]],'Important Info!'!$A$1:$F$135,3,FALSE)</f>
        <v>-</v>
      </c>
      <c r="N289" s="52" t="str">
        <f>VLOOKUP(Tabla3[[#This Row],[Site]],'Important Info!'!$A$1:$F$135,4,FALSE)</f>
        <v>-</v>
      </c>
      <c r="O289" s="52" t="str">
        <f>VLOOKUP(Tabla3[[#This Row],[Site]],'Important Info!'!$A$1:$F$135,5,FALSE)</f>
        <v>-</v>
      </c>
      <c r="P289" s="52" t="str">
        <f>VLOOKUP(Tabla3[[#This Row],[Site]],'Important Info!'!$A$1:$F$135,6,FALSE)</f>
        <v>2,4,10</v>
      </c>
      <c r="Q289" s="91">
        <f>VLOOKUP(Tabla3[[#This Row],[Site]],'Important Info!'!$A$1:$J$135,9,FALSE)</f>
        <v>321</v>
      </c>
    </row>
    <row r="290" spans="1:17" x14ac:dyDescent="0.25">
      <c r="A290" t="str">
        <f>+Tabla3[[#This Row],[Site]]&amp;Tabla3[[#This Row],[Split]]</f>
        <v>(SCH) West Palm Beach I, II &amp; III6</v>
      </c>
      <c r="B290">
        <v>6</v>
      </c>
      <c r="C290">
        <v>3</v>
      </c>
      <c r="D290" t="s">
        <v>492</v>
      </c>
      <c r="E290" t="s">
        <v>35</v>
      </c>
      <c r="F290" t="s">
        <v>96</v>
      </c>
      <c r="G290" t="s">
        <v>490</v>
      </c>
      <c r="H290" s="52" t="str">
        <f>VLOOKUP(Tabla3[[#This Row],[Site]],'Important Info!'!$A$1:$J$135,10,FALSE)</f>
        <v>https://tools.sig.systems/site/details/162</v>
      </c>
      <c r="J290" t="s">
        <v>36</v>
      </c>
      <c r="K290" s="79" t="str">
        <f>VLOOKUP(Tabla3[[#This Row],[Site]],'Important Info!'!$A$1:$H$135,8,FALSE)</f>
        <v>SUNDAY: Log in at 5:30 p.m. ET.</v>
      </c>
      <c r="L290" s="52" t="str">
        <f>VLOOKUP(Tabla3[[#This Row],[Site]],'Important Info!'!$A$1:$F$135,2,FALSE)</f>
        <v>34, 62</v>
      </c>
      <c r="M290" s="52" t="str">
        <f>VLOOKUP(Tabla3[[#This Row],[Site]],'Important Info!'!$A$1:$F$135,3,FALSE)</f>
        <v xml:space="preserve">6, 7, 11, 13, </v>
      </c>
      <c r="N290" s="52" t="str">
        <f>VLOOKUP(Tabla3[[#This Row],[Site]],'Important Info!'!$A$1:$F$135,4,FALSE)</f>
        <v>20, 21</v>
      </c>
      <c r="O290" s="52" t="str">
        <f>VLOOKUP(Tabla3[[#This Row],[Site]],'Important Info!'!$A$1:$F$135,5,FALSE)</f>
        <v>-</v>
      </c>
      <c r="P290" s="52" t="str">
        <f>VLOOKUP(Tabla3[[#This Row],[Site]],'Important Info!'!$A$1:$F$135,6,FALSE)</f>
        <v>1, 2, 3, 131, 132</v>
      </c>
      <c r="Q290" s="91">
        <f>VLOOKUP(Tabla3[[#This Row],[Site]],'Important Info!'!$A$1:$J$135,9,FALSE)</f>
        <v>162</v>
      </c>
    </row>
    <row r="291" spans="1:17" x14ac:dyDescent="0.25">
      <c r="A291" t="str">
        <f>+Tabla3[[#This Row],[Site]]&amp;Tabla3[[#This Row],[Split]]</f>
        <v>SIG Office6</v>
      </c>
      <c r="B291">
        <v>6</v>
      </c>
      <c r="C291">
        <v>3</v>
      </c>
      <c r="D291" t="s">
        <v>60</v>
      </c>
      <c r="E291" t="s">
        <v>35</v>
      </c>
      <c r="F291" t="s">
        <v>169</v>
      </c>
      <c r="G291" t="s">
        <v>41</v>
      </c>
      <c r="H291" s="52" t="str">
        <f>VLOOKUP(Tabla3[[#This Row],[Site]],'Important Info!'!$A$1:$J$135,10,FALSE)</f>
        <v>https://tools.sig.systems/site/details/163</v>
      </c>
      <c r="I291" s="2"/>
      <c r="J291" t="s">
        <v>41</v>
      </c>
      <c r="K291" s="79" t="str">
        <f>VLOOKUP(Tabla3[[#This Row],[Site]],'Important Info!'!$A$1:$H$135,8,FALSE)</f>
        <v>-</v>
      </c>
      <c r="L291" s="52" t="str">
        <f>VLOOKUP(Tabla3[[#This Row],[Site]],'Important Info!'!$A$1:$F$135,2,FALSE)</f>
        <v>-</v>
      </c>
      <c r="M291" s="52" t="str">
        <f>VLOOKUP(Tabla3[[#This Row],[Site]],'Important Info!'!$A$1:$F$135,3,FALSE)</f>
        <v>-</v>
      </c>
      <c r="N291" s="52" t="str">
        <f>VLOOKUP(Tabla3[[#This Row],[Site]],'Important Info!'!$A$1:$F$135,4,FALSE)</f>
        <v>-</v>
      </c>
      <c r="O291" s="52" t="str">
        <f>VLOOKUP(Tabla3[[#This Row],[Site]],'Important Info!'!$A$1:$F$135,5,FALSE)</f>
        <v>-</v>
      </c>
      <c r="P291" s="52">
        <f>VLOOKUP(Tabla3[[#This Row],[Site]],'Important Info!'!$A$1:$F$135,6,FALSE)</f>
        <v>25</v>
      </c>
      <c r="Q291" s="91">
        <f>VLOOKUP(Tabla3[[#This Row],[Site]],'Important Info!'!$A$1:$J$135,9,FALSE)</f>
        <v>163</v>
      </c>
    </row>
    <row r="292" spans="1:17" x14ac:dyDescent="0.25">
      <c r="A292" t="str">
        <f>+Tabla3[[#This Row],[Site]]&amp;Tabla3[[#This Row],[Split]]</f>
        <v>(AS) Audi of North Atlanta (NO TOURS)6</v>
      </c>
      <c r="B292">
        <v>6</v>
      </c>
      <c r="C292">
        <v>4</v>
      </c>
      <c r="D292" t="s">
        <v>62</v>
      </c>
      <c r="E292" t="s">
        <v>35</v>
      </c>
      <c r="F292" t="s">
        <v>499</v>
      </c>
      <c r="G292" t="s">
        <v>490</v>
      </c>
      <c r="H292" s="52" t="str">
        <f>VLOOKUP(Tabla3[[#This Row],[Site]],'Important Info!'!$A$1:$J$135,10,FALSE)</f>
        <v>https://tools.sig.systems/site/details/124</v>
      </c>
      <c r="I292" s="2" t="s">
        <v>166</v>
      </c>
      <c r="J292" t="s">
        <v>41</v>
      </c>
      <c r="K292" s="79" t="str">
        <f>VLOOKUP(Tabla3[[#This Row],[Site]],'Important Info!'!$A$1:$H$135,8,FALSE)</f>
        <v>-</v>
      </c>
      <c r="L292" s="52" t="str">
        <f>VLOOKUP(Tabla3[[#This Row],[Site]],'Important Info!'!$A$1:$F$135,2,FALSE)</f>
        <v>1, 5, 16, 54</v>
      </c>
      <c r="M292" s="52" t="str">
        <f>VLOOKUP(Tabla3[[#This Row],[Site]],'Important Info!'!$A$1:$F$135,3,FALSE)</f>
        <v>-</v>
      </c>
      <c r="N292" s="52" t="str">
        <f>VLOOKUP(Tabla3[[#This Row],[Site]],'Important Info!'!$A$1:$F$135,4,FALSE)</f>
        <v>-</v>
      </c>
      <c r="O292" s="52" t="str">
        <f>VLOOKUP(Tabla3[[#This Row],[Site]],'Important Info!'!$A$1:$F$135,5,FALSE)</f>
        <v>3, 16</v>
      </c>
      <c r="P292" s="52" t="str">
        <f>VLOOKUP(Tabla3[[#This Row],[Site]],'Important Info!'!$A$1:$F$135,6,FALSE)</f>
        <v>2, 5, 6</v>
      </c>
      <c r="Q292" s="91">
        <f>VLOOKUP(Tabla3[[#This Row],[Site]],'Important Info!'!$A$1:$J$135,9,FALSE)</f>
        <v>124</v>
      </c>
    </row>
    <row r="293" spans="1:17" x14ac:dyDescent="0.25">
      <c r="A293" t="str">
        <f>+Tabla3[[#This Row],[Site]]&amp;Tabla3[[#This Row],[Split]]</f>
        <v>(AS) Courtesy Honda Palm Harbor (NO TOURS)6</v>
      </c>
      <c r="B293">
        <v>6</v>
      </c>
      <c r="C293">
        <v>4</v>
      </c>
      <c r="D293" t="s">
        <v>62</v>
      </c>
      <c r="E293" t="s">
        <v>35</v>
      </c>
      <c r="F293" t="s">
        <v>108</v>
      </c>
      <c r="G293" t="s">
        <v>490</v>
      </c>
      <c r="H293" s="52" t="str">
        <f>VLOOKUP(Tabla3[[#This Row],[Site]],'Important Info!'!$A$1:$J$135,10,FALSE)</f>
        <v>https://tools.sig.systems/site/details/176</v>
      </c>
      <c r="I293" s="64"/>
      <c r="J293" t="s">
        <v>36</v>
      </c>
      <c r="K293" s="79" t="str">
        <f>VLOOKUP(Tabla3[[#This Row],[Site]],'Important Info!'!$A$1:$H$135,8,FALSE)</f>
        <v>-</v>
      </c>
      <c r="L293" s="52">
        <f>VLOOKUP(Tabla3[[#This Row],[Site]],'Important Info!'!$A$1:$F$135,2,FALSE)</f>
        <v>2</v>
      </c>
      <c r="M293" s="52" t="str">
        <f>VLOOKUP(Tabla3[[#This Row],[Site]],'Important Info!'!$A$1:$F$135,3,FALSE)</f>
        <v>-</v>
      </c>
      <c r="N293" s="52" t="str">
        <f>VLOOKUP(Tabla3[[#This Row],[Site]],'Important Info!'!$A$1:$F$135,4,FALSE)</f>
        <v>-</v>
      </c>
      <c r="O293" s="52" t="str">
        <f>VLOOKUP(Tabla3[[#This Row],[Site]],'Important Info!'!$A$1:$F$135,5,FALSE)</f>
        <v>4, 8, 21</v>
      </c>
      <c r="P293" s="52">
        <f>VLOOKUP(Tabla3[[#This Row],[Site]],'Important Info!'!$A$1:$F$135,6,FALSE)</f>
        <v>10</v>
      </c>
      <c r="Q293" s="91">
        <f>VLOOKUP(Tabla3[[#This Row],[Site]],'Important Info!'!$A$1:$J$135,9,FALSE)</f>
        <v>176</v>
      </c>
    </row>
    <row r="294" spans="1:17" x14ac:dyDescent="0.25">
      <c r="A294" t="str">
        <f>+Tabla3[[#This Row],[Site]]&amp;Tabla3[[#This Row],[Split]]</f>
        <v>(AS) Lexus Plano I &amp; II (NO TOURS)6</v>
      </c>
      <c r="B294">
        <v>6</v>
      </c>
      <c r="C294">
        <v>4</v>
      </c>
      <c r="D294" t="s">
        <v>33</v>
      </c>
      <c r="E294" t="s">
        <v>46</v>
      </c>
      <c r="F294" t="s">
        <v>524</v>
      </c>
      <c r="G294" t="s">
        <v>34</v>
      </c>
      <c r="H294" s="52" t="str">
        <f>VLOOKUP(Tabla3[[#This Row],[Site]],'Important Info!'!$A$1:$J$135,10,FALSE)</f>
        <v>https://tools.sig.systems/site/details/167</v>
      </c>
      <c r="I294" s="63" t="s">
        <v>127</v>
      </c>
      <c r="J294" t="s">
        <v>41</v>
      </c>
      <c r="K294" s="79" t="str">
        <f>VLOOKUP(Tabla3[[#This Row],[Site]],'Important Info!'!$A$1:$H$135,8,FALSE)</f>
        <v>-</v>
      </c>
      <c r="L294" s="52" t="str">
        <f>VLOOKUP(Tabla3[[#This Row],[Site]],'Important Info!'!$A$1:$F$135,2,FALSE)</f>
        <v>5, 9</v>
      </c>
      <c r="M294" s="52" t="str">
        <f>VLOOKUP(Tabla3[[#This Row],[Site]],'Important Info!'!$A$1:$F$135,3,FALSE)</f>
        <v>-</v>
      </c>
      <c r="N294" s="52" t="str">
        <f>VLOOKUP(Tabla3[[#This Row],[Site]],'Important Info!'!$A$1:$F$135,4,FALSE)</f>
        <v>101, 102, 103, 104</v>
      </c>
      <c r="O294" s="52" t="str">
        <f>VLOOKUP(Tabla3[[#This Row],[Site]],'Important Info!'!$A$1:$F$135,5,FALSE)</f>
        <v>4, 10, 28</v>
      </c>
      <c r="P294" s="52" t="str">
        <f>VLOOKUP(Tabla3[[#This Row],[Site]],'Important Info!'!$A$1:$F$135,6,FALSE)</f>
        <v>5, 9, 16</v>
      </c>
      <c r="Q294" s="91">
        <f>VLOOKUP(Tabla3[[#This Row],[Site]],'Important Info!'!$A$1:$J$135,9,FALSE)</f>
        <v>167</v>
      </c>
    </row>
    <row r="295" spans="1:17" x14ac:dyDescent="0.25">
      <c r="A295" t="str">
        <f>+Tabla3[[#This Row],[Site]]&amp;Tabla3[[#This Row],[Split]]</f>
        <v>(AS) Nalley Lexus &amp; Remote Lot Roswell (NO TOURS)6</v>
      </c>
      <c r="B295">
        <v>6</v>
      </c>
      <c r="C295">
        <v>4</v>
      </c>
      <c r="D295" t="s">
        <v>60</v>
      </c>
      <c r="E295" t="s">
        <v>35</v>
      </c>
      <c r="F295" t="s">
        <v>511</v>
      </c>
      <c r="G295" t="s">
        <v>41</v>
      </c>
      <c r="H295" s="52" t="str">
        <f>VLOOKUP(Tabla3[[#This Row],[Site]],'Important Info!'!$A$1:$J$135,10,FALSE)</f>
        <v>https://tools.sig.systems/site/details/131</v>
      </c>
      <c r="I295" s="43" t="s">
        <v>166</v>
      </c>
      <c r="J295" t="s">
        <v>41</v>
      </c>
      <c r="K295" s="79" t="str">
        <f>VLOOKUP(Tabla3[[#This Row],[Site]],'Important Info!'!$A$1:$H$135,8,FALSE)</f>
        <v>Dealership 11PM to 5AM (Mon to Fri). Sunday Drop Time 1PM</v>
      </c>
      <c r="L295" s="52" t="str">
        <f>VLOOKUP(Tabla3[[#This Row],[Site]],'Important Info!'!$A$1:$F$135,2,FALSE)</f>
        <v>6, 13</v>
      </c>
      <c r="M295" s="52">
        <f>VLOOKUP(Tabla3[[#This Row],[Site]],'Important Info!'!$A$1:$F$135,3,FALSE)</f>
        <v>4</v>
      </c>
      <c r="N295" s="52">
        <f>VLOOKUP(Tabla3[[#This Row],[Site]],'Important Info!'!$A$1:$F$135,4,FALSE)</f>
        <v>1</v>
      </c>
      <c r="O295" s="52" t="str">
        <f>VLOOKUP(Tabla3[[#This Row],[Site]],'Important Info!'!$A$1:$F$135,5,FALSE)</f>
        <v>1, 8, 19</v>
      </c>
      <c r="P295" s="52" t="str">
        <f>VLOOKUP(Tabla3[[#This Row],[Site]],'Important Info!'!$A$1:$F$135,6,FALSE)</f>
        <v>4, 20</v>
      </c>
      <c r="Q295" s="91">
        <f>VLOOKUP(Tabla3[[#This Row],[Site]],'Important Info!'!$A$1:$J$135,9,FALSE)</f>
        <v>131</v>
      </c>
    </row>
    <row r="296" spans="1:17" x14ac:dyDescent="0.25">
      <c r="A296" t="str">
        <f>+Tabla3[[#This Row],[Site]]&amp;Tabla3[[#This Row],[Split]]</f>
        <v>(AS) Park Place Mercedes Benz Arlington (NO TOURS)6</v>
      </c>
      <c r="B296">
        <v>6</v>
      </c>
      <c r="C296">
        <v>4</v>
      </c>
      <c r="D296" t="s">
        <v>33</v>
      </c>
      <c r="E296" t="s">
        <v>46</v>
      </c>
      <c r="F296" t="s">
        <v>518</v>
      </c>
      <c r="G296" t="s">
        <v>34</v>
      </c>
      <c r="H296" s="52" t="str">
        <f>VLOOKUP(Tabla3[[#This Row],[Site]],'Important Info!'!$A$1:$J$135,10,FALSE)</f>
        <v>https://tools.sig.systems/site/details/169</v>
      </c>
      <c r="I296" s="43"/>
      <c r="J296" t="s">
        <v>41</v>
      </c>
      <c r="K296" s="79" t="str">
        <f>VLOOKUP(Tabla3[[#This Row],[Site]],'Important Info!'!$A$1:$H$135,8,FALSE)</f>
        <v>-</v>
      </c>
      <c r="L296" s="52" t="str">
        <f>VLOOKUP(Tabla3[[#This Row],[Site]],'Important Info!'!$A$1:$F$135,2,FALSE)</f>
        <v>1, 9, 14</v>
      </c>
      <c r="M296" s="52" t="str">
        <f>VLOOKUP(Tabla3[[#This Row],[Site]],'Important Info!'!$A$1:$F$135,3,FALSE)</f>
        <v>-</v>
      </c>
      <c r="N296" s="52" t="str">
        <f>VLOOKUP(Tabla3[[#This Row],[Site]],'Important Info!'!$A$1:$F$135,4,FALSE)</f>
        <v>77, 78, 79, 80</v>
      </c>
      <c r="O296" s="52" t="str">
        <f>VLOOKUP(Tabla3[[#This Row],[Site]],'Important Info!'!$A$1:$F$135,5,FALSE)</f>
        <v>2, 10, 18, 22, 31, 40</v>
      </c>
      <c r="P296" s="52">
        <f>VLOOKUP(Tabla3[[#This Row],[Site]],'Important Info!'!$A$1:$F$135,6,FALSE)</f>
        <v>9</v>
      </c>
      <c r="Q296" s="91">
        <f>VLOOKUP(Tabla3[[#This Row],[Site]],'Important Info!'!$A$1:$J$135,9,FALSE)</f>
        <v>169</v>
      </c>
    </row>
    <row r="297" spans="1:17" x14ac:dyDescent="0.25">
      <c r="A297" t="str">
        <f>+Tabla3[[#This Row],[Site]]&amp;Tabla3[[#This Row],[Split]]</f>
        <v>(AS) Plano Auction (NO SPEAKERS)6</v>
      </c>
      <c r="B297">
        <v>6</v>
      </c>
      <c r="C297">
        <v>4</v>
      </c>
      <c r="D297" t="s">
        <v>33</v>
      </c>
      <c r="E297" t="s">
        <v>46</v>
      </c>
      <c r="F297" t="s">
        <v>129</v>
      </c>
      <c r="G297" t="s">
        <v>34</v>
      </c>
      <c r="H297" s="52" t="str">
        <f>VLOOKUP(Tabla3[[#This Row],[Site]],'Important Info!'!$A$1:$J$135,10,FALSE)</f>
        <v>https://tools.sig.systems/site/details/140</v>
      </c>
      <c r="I297" s="43"/>
      <c r="J297" t="s">
        <v>41</v>
      </c>
      <c r="K297" s="79" t="str">
        <f>VLOOKUP(Tabla3[[#This Row],[Site]],'Important Info!'!$A$1:$H$135,8,FALSE)</f>
        <v>-</v>
      </c>
      <c r="L297" s="52" t="str">
        <f>VLOOKUP(Tabla3[[#This Row],[Site]],'Important Info!'!$A$1:$F$135,2,FALSE)</f>
        <v>-</v>
      </c>
      <c r="M297" s="52" t="str">
        <f>VLOOKUP(Tabla3[[#This Row],[Site]],'Important Info!'!$A$1:$F$135,3,FALSE)</f>
        <v>3, 4, 19</v>
      </c>
      <c r="N297" s="52" t="str">
        <f>VLOOKUP(Tabla3[[#This Row],[Site]],'Important Info!'!$A$1:$F$135,4,FALSE)</f>
        <v>-</v>
      </c>
      <c r="O297" s="52" t="str">
        <f>VLOOKUP(Tabla3[[#This Row],[Site]],'Important Info!'!$A$1:$F$135,5,FALSE)</f>
        <v>5, 19</v>
      </c>
      <c r="P297" s="52">
        <f>VLOOKUP(Tabla3[[#This Row],[Site]],'Important Info!'!$A$1:$F$135,6,FALSE)</f>
        <v>21</v>
      </c>
      <c r="Q297" s="91">
        <f>VLOOKUP(Tabla3[[#This Row],[Site]],'Important Info!'!$A$1:$J$135,9,FALSE)</f>
        <v>140</v>
      </c>
    </row>
    <row r="298" spans="1:17" x14ac:dyDescent="0.25">
      <c r="A298" t="str">
        <f>+Tabla3[[#This Row],[Site]]&amp;Tabla3[[#This Row],[Split]]</f>
        <v>(AS) Stevinson JLR (NO TOURS)6</v>
      </c>
      <c r="B298">
        <v>6</v>
      </c>
      <c r="C298">
        <v>4</v>
      </c>
      <c r="D298" t="s">
        <v>44</v>
      </c>
      <c r="E298" t="s">
        <v>53</v>
      </c>
      <c r="F298" t="s">
        <v>93</v>
      </c>
      <c r="G298" t="s">
        <v>45</v>
      </c>
      <c r="H298" s="52" t="str">
        <f>VLOOKUP(Tabla3[[#This Row],[Site]],'Important Info!'!$A$1:$J$135,10,FALSE)</f>
        <v>https://tools.sig.systems/site/details/204</v>
      </c>
      <c r="I298" s="2"/>
      <c r="J298" t="s">
        <v>41</v>
      </c>
      <c r="K298" s="79" t="str">
        <f>VLOOKUP(Tabla3[[#This Row],[Site]],'Important Info!'!$A$1:$H$135,8,FALSE)</f>
        <v>-</v>
      </c>
      <c r="L298" s="52">
        <f>VLOOKUP(Tabla3[[#This Row],[Site]],'Important Info!'!$A$1:$F$135,2,FALSE)</f>
        <v>5</v>
      </c>
      <c r="M298" s="52">
        <f>VLOOKUP(Tabla3[[#This Row],[Site]],'Important Info!'!$A$1:$F$135,3,FALSE)</f>
        <v>4</v>
      </c>
      <c r="N298" s="52" t="str">
        <f>VLOOKUP(Tabla3[[#This Row],[Site]],'Important Info!'!$A$1:$F$135,4,FALSE)</f>
        <v>-</v>
      </c>
      <c r="O298" s="52">
        <f>VLOOKUP(Tabla3[[#This Row],[Site]],'Important Info!'!$A$1:$F$135,5,FALSE)</f>
        <v>3</v>
      </c>
      <c r="P298" s="52" t="str">
        <f>VLOOKUP(Tabla3[[#This Row],[Site]],'Important Info!'!$A$1:$F$135,6,FALSE)</f>
        <v>1, 4, 15, 16</v>
      </c>
      <c r="Q298" s="91">
        <f>VLOOKUP(Tabla3[[#This Row],[Site]],'Important Info!'!$A$1:$J$135,9,FALSE)</f>
        <v>204</v>
      </c>
    </row>
    <row r="299" spans="1:17" x14ac:dyDescent="0.25">
      <c r="A299" t="str">
        <f>+Tabla3[[#This Row],[Site]]&amp;Tabla3[[#This Row],[Split]]</f>
        <v>(DT) Colorado Springs (NO TOURS)6</v>
      </c>
      <c r="B299">
        <v>6</v>
      </c>
      <c r="C299">
        <v>4</v>
      </c>
      <c r="D299" t="s">
        <v>44</v>
      </c>
      <c r="E299" t="s">
        <v>53</v>
      </c>
      <c r="F299" t="s">
        <v>156</v>
      </c>
      <c r="G299" t="s">
        <v>45</v>
      </c>
      <c r="H299" s="52" t="str">
        <f>VLOOKUP(Tabla3[[#This Row],[Site]],'Important Info!'!$A$1:$J$135,10,FALSE)</f>
        <v>https://tools.sig.systems/site/details/198</v>
      </c>
      <c r="I299" s="64"/>
      <c r="J299" t="s">
        <v>41</v>
      </c>
      <c r="K299" s="79" t="str">
        <f>VLOOKUP(Tabla3[[#This Row],[Site]],'Important Info!'!$A$1:$H$135,8,FALSE)</f>
        <v>-</v>
      </c>
      <c r="L299" s="52" t="str">
        <f>VLOOKUP(Tabla3[[#This Row],[Site]],'Important Info!'!$A$1:$F$135,2,FALSE)</f>
        <v>-</v>
      </c>
      <c r="M299" s="52" t="str">
        <f>VLOOKUP(Tabla3[[#This Row],[Site]],'Important Info!'!$A$1:$F$135,3,FALSE)</f>
        <v>1, 2, 3, 4</v>
      </c>
      <c r="N299" s="52" t="str">
        <f>VLOOKUP(Tabla3[[#This Row],[Site]],'Important Info!'!$A$1:$F$135,4,FALSE)</f>
        <v>-</v>
      </c>
      <c r="O299" s="52" t="str">
        <f>VLOOKUP(Tabla3[[#This Row],[Site]],'Important Info!'!$A$1:$F$135,5,FALSE)</f>
        <v>-</v>
      </c>
      <c r="P299" s="52" t="str">
        <f>VLOOKUP(Tabla3[[#This Row],[Site]],'Important Info!'!$A$1:$F$135,6,FALSE)</f>
        <v>1, 2, 3, 11</v>
      </c>
      <c r="Q299" s="91">
        <f>VLOOKUP(Tabla3[[#This Row],[Site]],'Important Info!'!$A$1:$J$135,9,FALSE)</f>
        <v>198</v>
      </c>
    </row>
    <row r="300" spans="1:17" x14ac:dyDescent="0.25">
      <c r="A300" t="str">
        <f>+Tabla3[[#This Row],[Site]]&amp;Tabla3[[#This Row],[Split]]</f>
        <v>(HUD) Honda Greensboro6</v>
      </c>
      <c r="B300">
        <v>6</v>
      </c>
      <c r="C300">
        <v>4</v>
      </c>
      <c r="D300" t="s">
        <v>62</v>
      </c>
      <c r="E300" t="s">
        <v>35</v>
      </c>
      <c r="F300" t="s">
        <v>85</v>
      </c>
      <c r="G300" t="s">
        <v>490</v>
      </c>
      <c r="H300" s="52" t="str">
        <f>VLOOKUP(Tabla3[[#This Row],[Site]],'Important Info!'!$A$1:$J$135,10,FALSE)</f>
        <v>https://tools.sig.systems/site/details/230</v>
      </c>
      <c r="I300" s="43" t="s">
        <v>186</v>
      </c>
      <c r="J300" t="s">
        <v>41</v>
      </c>
      <c r="K300" s="79" t="str">
        <f>VLOOKUP(Tabla3[[#This Row],[Site]],'Important Info!'!$A$1:$H$135,8,FALSE)</f>
        <v>-</v>
      </c>
      <c r="L300" s="52" t="str">
        <f>VLOOKUP(Tabla3[[#This Row],[Site]],'Important Info!'!$A$1:$F$135,2,FALSE)</f>
        <v>1, 3,  15, 16, 22</v>
      </c>
      <c r="M300" s="52" t="str">
        <f>VLOOKUP(Tabla3[[#This Row],[Site]],'Important Info!'!$A$1:$F$135,3,FALSE)</f>
        <v>-</v>
      </c>
      <c r="N300" s="52" t="str">
        <f>VLOOKUP(Tabla3[[#This Row],[Site]],'Important Info!'!$A$1:$F$135,4,FALSE)</f>
        <v>-</v>
      </c>
      <c r="O300" s="52" t="str">
        <f>VLOOKUP(Tabla3[[#This Row],[Site]],'Important Info!'!$A$1:$F$135,5,FALSE)</f>
        <v>3, 20</v>
      </c>
      <c r="P300" s="52">
        <f>VLOOKUP(Tabla3[[#This Row],[Site]],'Important Info!'!$A$1:$F$135,6,FALSE)</f>
        <v>26</v>
      </c>
      <c r="Q300" s="91">
        <f>VLOOKUP(Tabla3[[#This Row],[Site]],'Important Info!'!$A$1:$J$135,9,FALSE)</f>
        <v>230</v>
      </c>
    </row>
    <row r="301" spans="1:17" x14ac:dyDescent="0.25">
      <c r="A301" t="str">
        <f>+Tabla3[[#This Row],[Site]]&amp;Tabla3[[#This Row],[Split]]</f>
        <v>(KG) Baytown GMC Buick - Remote Lot (NO TOURS)6</v>
      </c>
      <c r="B301">
        <v>6</v>
      </c>
      <c r="C301">
        <v>4</v>
      </c>
      <c r="D301" t="s">
        <v>60</v>
      </c>
      <c r="E301" t="s">
        <v>46</v>
      </c>
      <c r="F301" t="s">
        <v>167</v>
      </c>
      <c r="G301" t="s">
        <v>41</v>
      </c>
      <c r="H301" s="52" t="str">
        <f>VLOOKUP(Tabla3[[#This Row],[Site]],'Important Info!'!$A$1:$J$135,10,FALSE)</f>
        <v>https://tools.sig.systems/site/details/311</v>
      </c>
      <c r="I301" s="2"/>
      <c r="J301" t="s">
        <v>41</v>
      </c>
      <c r="K301" s="79" t="s">
        <v>168</v>
      </c>
      <c r="L301" s="52" t="str">
        <f>VLOOKUP(Tabla3[[#This Row],[Site]],'Important Info!'!$A$1:$F$135,2,FALSE)</f>
        <v>-</v>
      </c>
      <c r="M301" s="52" t="str">
        <f>VLOOKUP(Tabla3[[#This Row],[Site]],'Important Info!'!$A$1:$F$135,3,FALSE)</f>
        <v>7, 8</v>
      </c>
      <c r="N301" s="52" t="str">
        <f>VLOOKUP(Tabla3[[#This Row],[Site]],'Important Info!'!$A$1:$F$135,4,FALSE)</f>
        <v>-</v>
      </c>
      <c r="O301" s="52" t="str">
        <f>VLOOKUP(Tabla3[[#This Row],[Site]],'Important Info!'!$A$1:$F$135,5,FALSE)</f>
        <v>-</v>
      </c>
      <c r="P301" s="52" t="str">
        <f>VLOOKUP(Tabla3[[#This Row],[Site]],'Important Info!'!$A$1:$F$135,6,FALSE)</f>
        <v>-</v>
      </c>
      <c r="Q301" s="91">
        <f>VLOOKUP(Tabla3[[#This Row],[Site]],'Important Info!'!$A$1:$J$135,9,FALSE)</f>
        <v>311</v>
      </c>
    </row>
    <row r="302" spans="1:17" x14ac:dyDescent="0.25">
      <c r="A302" t="str">
        <f>+Tabla3[[#This Row],[Site]]&amp;Tabla3[[#This Row],[Split]]</f>
        <v>(KG) Baytown GMC Buick (NO TOURS)6</v>
      </c>
      <c r="B302">
        <v>6</v>
      </c>
      <c r="C302">
        <v>4</v>
      </c>
      <c r="D302" t="s">
        <v>33</v>
      </c>
      <c r="E302" t="s">
        <v>46</v>
      </c>
      <c r="F302" t="s">
        <v>132</v>
      </c>
      <c r="G302" t="s">
        <v>34</v>
      </c>
      <c r="H302" s="52" t="str">
        <f>VLOOKUP(Tabla3[[#This Row],[Site]],'Important Info!'!$A$1:$J$135,10,FALSE)</f>
        <v>https://tools.sig.systems/site/details/239</v>
      </c>
      <c r="I302" s="43"/>
      <c r="J302" t="s">
        <v>41</v>
      </c>
      <c r="K302" s="79" t="str">
        <f>VLOOKUP(Tabla3[[#This Row],[Site]],'Important Info!'!$A$1:$H$135,8,FALSE)</f>
        <v>-</v>
      </c>
      <c r="L302" s="52" t="str">
        <f>VLOOKUP(Tabla3[[#This Row],[Site]],'Important Info!'!$A$1:$F$135,2,FALSE)</f>
        <v>1, 5, 7, 21, 22</v>
      </c>
      <c r="M302" s="52" t="str">
        <f>VLOOKUP(Tabla3[[#This Row],[Site]],'Important Info!'!$A$1:$F$135,3,FALSE)</f>
        <v>-</v>
      </c>
      <c r="N302" s="52" t="str">
        <f>VLOOKUP(Tabla3[[#This Row],[Site]],'Important Info!'!$A$1:$F$135,4,FALSE)</f>
        <v>-</v>
      </c>
      <c r="O302" s="52" t="str">
        <f>VLOOKUP(Tabla3[[#This Row],[Site]],'Important Info!'!$A$1:$F$135,5,FALSE)</f>
        <v>2, 10, 15, 24B</v>
      </c>
      <c r="P302" s="52" t="str">
        <f>VLOOKUP(Tabla3[[#This Row],[Site]],'Important Info!'!$A$1:$F$135,6,FALSE)</f>
        <v>21, 22</v>
      </c>
      <c r="Q302" s="91">
        <f>VLOOKUP(Tabla3[[#This Row],[Site]],'Important Info!'!$A$1:$J$135,9,FALSE)</f>
        <v>239</v>
      </c>
    </row>
    <row r="303" spans="1:17" x14ac:dyDescent="0.25">
      <c r="A303" t="str">
        <f>+Tabla3[[#This Row],[Site]]&amp;Tabla3[[#This Row],[Split]]</f>
        <v>(KT) Northwest CDJR (NO TOURS)6</v>
      </c>
      <c r="B303">
        <v>6</v>
      </c>
      <c r="C303">
        <v>4</v>
      </c>
      <c r="D303" t="s">
        <v>33</v>
      </c>
      <c r="E303" t="s">
        <v>46</v>
      </c>
      <c r="F303" t="s">
        <v>77</v>
      </c>
      <c r="G303" t="s">
        <v>34</v>
      </c>
      <c r="H303" s="52" t="str">
        <f>VLOOKUP(Tabla3[[#This Row],[Site]],'Important Info!'!$A$1:$J$135,10,FALSE)</f>
        <v>https://tools.sig.systems/site/details/229</v>
      </c>
      <c r="I303" s="64"/>
      <c r="J303" t="s">
        <v>41</v>
      </c>
      <c r="K303" s="79" t="str">
        <f>VLOOKUP(Tabla3[[#This Row],[Site]],'Important Info!'!$A$1:$H$135,8,FALSE)</f>
        <v>-</v>
      </c>
      <c r="L303" s="52" t="str">
        <f>VLOOKUP(Tabla3[[#This Row],[Site]],'Important Info!'!$A$1:$F$135,2,FALSE)</f>
        <v>1, 3, 11, 25</v>
      </c>
      <c r="M303" s="52" t="str">
        <f>VLOOKUP(Tabla3[[#This Row],[Site]],'Important Info!'!$A$1:$F$135,3,FALSE)</f>
        <v>-</v>
      </c>
      <c r="N303" s="52" t="str">
        <f>VLOOKUP(Tabla3[[#This Row],[Site]],'Important Info!'!$A$1:$F$135,4,FALSE)</f>
        <v>-</v>
      </c>
      <c r="O303" s="52" t="str">
        <f>VLOOKUP(Tabla3[[#This Row],[Site]],'Important Info!'!$A$1:$F$135,5,FALSE)</f>
        <v>4, 12, 18</v>
      </c>
      <c r="P303" s="52" t="str">
        <f>VLOOKUP(Tabla3[[#This Row],[Site]],'Important Info!'!$A$1:$F$135,6,FALSE)</f>
        <v>-</v>
      </c>
      <c r="Q303" s="91">
        <f>VLOOKUP(Tabla3[[#This Row],[Site]],'Important Info!'!$A$1:$J$135,9,FALSE)</f>
        <v>229</v>
      </c>
    </row>
    <row r="304" spans="1:17" x14ac:dyDescent="0.25">
      <c r="A304" t="str">
        <f>+Tabla3[[#This Row],[Site]]&amp;Tabla3[[#This Row],[Split]]</f>
        <v>(MK) McKenny Salinas Honda6</v>
      </c>
      <c r="B304">
        <v>6</v>
      </c>
      <c r="C304">
        <v>4</v>
      </c>
      <c r="D304" t="s">
        <v>62</v>
      </c>
      <c r="E304" t="s">
        <v>35</v>
      </c>
      <c r="F304" t="s">
        <v>115</v>
      </c>
      <c r="G304" t="s">
        <v>490</v>
      </c>
      <c r="H304" s="52" t="str">
        <f>VLOOKUP(Tabla3[[#This Row],[Site]],'Important Info!'!$A$1:$J$135,10,FALSE)</f>
        <v>https://tools.sig.systems/site/details/149</v>
      </c>
      <c r="I304" s="2"/>
      <c r="J304" t="s">
        <v>41</v>
      </c>
      <c r="K304" s="79" t="str">
        <f>VLOOKUP(Tabla3[[#This Row],[Site]],'Important Info!'!$A$1:$H$135,8,FALSE)</f>
        <v>-</v>
      </c>
      <c r="L304" s="52" t="str">
        <f>VLOOKUP(Tabla3[[#This Row],[Site]],'Important Info!'!$A$1:$F$135,2,FALSE)</f>
        <v>-</v>
      </c>
      <c r="M304" s="52" t="str">
        <f>VLOOKUP(Tabla3[[#This Row],[Site]],'Important Info!'!$A$1:$F$135,3,FALSE)</f>
        <v>12, 16</v>
      </c>
      <c r="N304" s="52" t="str">
        <f>VLOOKUP(Tabla3[[#This Row],[Site]],'Important Info!'!$A$1:$F$135,4,FALSE)</f>
        <v>-</v>
      </c>
      <c r="O304" s="52" t="str">
        <f>VLOOKUP(Tabla3[[#This Row],[Site]],'Important Info!'!$A$1:$F$135,5,FALSE)</f>
        <v>-</v>
      </c>
      <c r="P304" s="52" t="str">
        <f>VLOOKUP(Tabla3[[#This Row],[Site]],'Important Info!'!$A$1:$F$135,6,FALSE)</f>
        <v>3, 4, 5, 6, 16</v>
      </c>
      <c r="Q304" s="91">
        <f>VLOOKUP(Tabla3[[#This Row],[Site]],'Important Info!'!$A$1:$J$135,9,FALSE)</f>
        <v>149</v>
      </c>
    </row>
    <row r="305" spans="1:17" x14ac:dyDescent="0.25">
      <c r="A305" t="str">
        <f>+Tabla3[[#This Row],[Site]]&amp;Tabla3[[#This Row],[Split]]</f>
        <v>(ML) Columbia Honda (NO TOURS)6</v>
      </c>
      <c r="B305">
        <v>6</v>
      </c>
      <c r="C305">
        <v>4</v>
      </c>
      <c r="D305" t="s">
        <v>33</v>
      </c>
      <c r="E305" t="s">
        <v>46</v>
      </c>
      <c r="F305" t="s">
        <v>143</v>
      </c>
      <c r="G305" t="s">
        <v>34</v>
      </c>
      <c r="H305" s="52" t="str">
        <f>VLOOKUP(Tabla3[[#This Row],[Site]],'Important Info!'!$A$1:$J$135,10,FALSE)</f>
        <v>https://tools.sig.systems/site/details/272</v>
      </c>
      <c r="I305" s="2" t="s">
        <v>144</v>
      </c>
      <c r="J305" t="s">
        <v>41</v>
      </c>
      <c r="K305" s="79" t="str">
        <f>VLOOKUP(Tabla3[[#This Row],[Site]],'Important Info!'!$A$1:$H$135,8,FALSE)</f>
        <v>-</v>
      </c>
      <c r="L305" s="52" t="str">
        <f>VLOOKUP(Tabla3[[#This Row],[Site]],'Important Info!'!$A$1:$F$135,2,FALSE)</f>
        <v>-</v>
      </c>
      <c r="M305" s="52" t="str">
        <f>VLOOKUP(Tabla3[[#This Row],[Site]],'Important Info!'!$A$1:$F$135,3,FALSE)</f>
        <v>9, 19, 20</v>
      </c>
      <c r="N305" s="52" t="str">
        <f>VLOOKUP(Tabla3[[#This Row],[Site]],'Important Info!'!$A$1:$F$135,4,FALSE)</f>
        <v>-</v>
      </c>
      <c r="O305" s="52" t="str">
        <f>VLOOKUP(Tabla3[[#This Row],[Site]],'Important Info!'!$A$1:$F$135,5,FALSE)</f>
        <v>10, 17, 19</v>
      </c>
      <c r="P305" s="52" t="str">
        <f>VLOOKUP(Tabla3[[#This Row],[Site]],'Important Info!'!$A$1:$F$135,6,FALSE)</f>
        <v>3, 4, 5</v>
      </c>
      <c r="Q305" s="91">
        <f>VLOOKUP(Tabla3[[#This Row],[Site]],'Important Info!'!$A$1:$J$135,9,FALSE)</f>
        <v>272</v>
      </c>
    </row>
    <row r="306" spans="1:17" x14ac:dyDescent="0.25">
      <c r="A306" t="str">
        <f>+Tabla3[[#This Row],[Site]]&amp;Tabla3[[#This Row],[Split]]</f>
        <v>(ML) Honda of Little Rock6</v>
      </c>
      <c r="B306">
        <v>6</v>
      </c>
      <c r="C306">
        <v>4</v>
      </c>
      <c r="D306" t="s">
        <v>33</v>
      </c>
      <c r="E306" t="s">
        <v>46</v>
      </c>
      <c r="F306" t="s">
        <v>71</v>
      </c>
      <c r="G306" t="s">
        <v>34</v>
      </c>
      <c r="H306" s="52" t="str">
        <f>VLOOKUP(Tabla3[[#This Row],[Site]],'Important Info!'!$A$1:$J$135,10,FALSE)</f>
        <v>https://tools.sig.systems/site/details/249</v>
      </c>
      <c r="I306" t="s">
        <v>140</v>
      </c>
      <c r="J306" t="s">
        <v>41</v>
      </c>
      <c r="K306" s="79" t="str">
        <f>VLOOKUP(Tabla3[[#This Row],[Site]],'Important Info!'!$A$1:$H$135,8,FALSE)</f>
        <v>-</v>
      </c>
      <c r="L306" s="52" t="str">
        <f>VLOOKUP(Tabla3[[#This Row],[Site]],'Important Info!'!$A$1:$F$135,2,FALSE)</f>
        <v>1, 4, 9, 14, 21</v>
      </c>
      <c r="M306" s="52" t="str">
        <f>VLOOKUP(Tabla3[[#This Row],[Site]],'Important Info!'!$A$1:$F$135,3,FALSE)</f>
        <v>-</v>
      </c>
      <c r="N306" s="52" t="str">
        <f>VLOOKUP(Tabla3[[#This Row],[Site]],'Important Info!'!$A$1:$F$135,4,FALSE)</f>
        <v>-</v>
      </c>
      <c r="O306" s="52" t="str">
        <f>VLOOKUP(Tabla3[[#This Row],[Site]],'Important Info!'!$A$1:$F$135,5,FALSE)</f>
        <v>4, 14, 21</v>
      </c>
      <c r="P306" s="52" t="str">
        <f>VLOOKUP(Tabla3[[#This Row],[Site]],'Important Info!'!$A$1:$F$135,6,FALSE)</f>
        <v>11, 12</v>
      </c>
      <c r="Q306" s="91">
        <f>VLOOKUP(Tabla3[[#This Row],[Site]],'Important Info!'!$A$1:$J$135,9,FALSE)</f>
        <v>249</v>
      </c>
    </row>
    <row r="307" spans="1:17" x14ac:dyDescent="0.25">
      <c r="A307" t="str">
        <f>+Tabla3[[#This Row],[Site]]&amp;Tabla3[[#This Row],[Split]]</f>
        <v>(ML) Joe Machens E Collision Center6</v>
      </c>
      <c r="B307">
        <v>6</v>
      </c>
      <c r="C307">
        <v>4</v>
      </c>
      <c r="D307" t="s">
        <v>33</v>
      </c>
      <c r="E307" t="s">
        <v>46</v>
      </c>
      <c r="F307" t="s">
        <v>147</v>
      </c>
      <c r="G307" t="s">
        <v>34</v>
      </c>
      <c r="H307" s="52" t="str">
        <f>VLOOKUP(Tabla3[[#This Row],[Site]],'Important Info!'!$A$1:$J$135,10,FALSE)</f>
        <v>https://tools.sig.systems/site/details/277</v>
      </c>
      <c r="I307" s="43" t="s">
        <v>146</v>
      </c>
      <c r="J307" t="s">
        <v>41</v>
      </c>
      <c r="K307" s="79" t="str">
        <f>VLOOKUP(Tabla3[[#This Row],[Site]],'Important Info!'!$A$1:$H$135,8,FALSE)</f>
        <v>-</v>
      </c>
      <c r="L307" s="52">
        <f>VLOOKUP(Tabla3[[#This Row],[Site]],'Important Info!'!$A$1:$F$135,2,FALSE)</f>
        <v>1</v>
      </c>
      <c r="M307" s="52" t="str">
        <f>VLOOKUP(Tabla3[[#This Row],[Site]],'Important Info!'!$A$1:$F$135,3,FALSE)</f>
        <v>-</v>
      </c>
      <c r="N307" s="52" t="str">
        <f>VLOOKUP(Tabla3[[#This Row],[Site]],'Important Info!'!$A$1:$F$135,4,FALSE)</f>
        <v>-</v>
      </c>
      <c r="O307" s="52">
        <f>VLOOKUP(Tabla3[[#This Row],[Site]],'Important Info!'!$A$1:$F$135,5,FALSE)</f>
        <v>5</v>
      </c>
      <c r="P307" s="52" t="str">
        <f>VLOOKUP(Tabla3[[#This Row],[Site]],'Important Info!'!$A$1:$F$135,6,FALSE)</f>
        <v>1, 2, 3, 4</v>
      </c>
      <c r="Q307" s="91">
        <f>VLOOKUP(Tabla3[[#This Row],[Site]],'Important Info!'!$A$1:$J$135,9,FALSE)</f>
        <v>277</v>
      </c>
    </row>
    <row r="308" spans="1:17" x14ac:dyDescent="0.25">
      <c r="A308" t="str">
        <f>+Tabla3[[#This Row],[Site]]&amp;Tabla3[[#This Row],[Split]]</f>
        <v>(ML) Mazda VW-Lot B6</v>
      </c>
      <c r="B308">
        <v>6</v>
      </c>
      <c r="C308">
        <v>4</v>
      </c>
      <c r="D308" t="s">
        <v>33</v>
      </c>
      <c r="E308" t="s">
        <v>46</v>
      </c>
      <c r="F308" t="s">
        <v>9</v>
      </c>
      <c r="G308" t="s">
        <v>34</v>
      </c>
      <c r="H308" s="52" t="str">
        <f>VLOOKUP(Tabla3[[#This Row],[Site]],'Important Info!'!$A$1:$J$135,10,FALSE)</f>
        <v>https://tools.sig.systems/site/details/205</v>
      </c>
      <c r="I308" s="43" t="s">
        <v>142</v>
      </c>
      <c r="J308" t="s">
        <v>41</v>
      </c>
      <c r="K308" s="79" t="str">
        <f>VLOOKUP(Tabla3[[#This Row],[Site]],'Important Info!'!$A$1:$H$135,8,FALSE)</f>
        <v>-</v>
      </c>
      <c r="L308" s="52" t="str">
        <f>VLOOKUP(Tabla3[[#This Row],[Site]],'Important Info!'!$A$1:$F$135,2,FALSE)</f>
        <v>9, 14, 16</v>
      </c>
      <c r="M308" s="52">
        <f>VLOOKUP(Tabla3[[#This Row],[Site]],'Important Info!'!$A$1:$F$135,3,FALSE)</f>
        <v>1</v>
      </c>
      <c r="N308" s="52" t="str">
        <f>VLOOKUP(Tabla3[[#This Row],[Site]],'Important Info!'!$A$1:$F$135,4,FALSE)</f>
        <v>-</v>
      </c>
      <c r="O308" s="52">
        <f>VLOOKUP(Tabla3[[#This Row],[Site]],'Important Info!'!$A$1:$F$135,5,FALSE)</f>
        <v>4</v>
      </c>
      <c r="P308" s="52" t="str">
        <f>VLOOKUP(Tabla3[[#This Row],[Site]],'Important Info!'!$A$1:$F$135,6,FALSE)</f>
        <v>-</v>
      </c>
      <c r="Q308" s="91">
        <f>VLOOKUP(Tabla3[[#This Row],[Site]],'Important Info!'!$A$1:$J$135,9,FALSE)</f>
        <v>205</v>
      </c>
    </row>
    <row r="309" spans="1:17" x14ac:dyDescent="0.25">
      <c r="A309" t="str">
        <f>+Tabla3[[#This Row],[Site]]&amp;Tabla3[[#This Row],[Split]]</f>
        <v>(ML) Nissan of Little Rock6</v>
      </c>
      <c r="B309">
        <v>6</v>
      </c>
      <c r="C309">
        <v>4</v>
      </c>
      <c r="D309" t="s">
        <v>33</v>
      </c>
      <c r="E309" t="s">
        <v>46</v>
      </c>
      <c r="F309" t="s">
        <v>152</v>
      </c>
      <c r="G309" t="s">
        <v>34</v>
      </c>
      <c r="H309" s="52" t="str">
        <f>VLOOKUP(Tabla3[[#This Row],[Site]],'Important Info!'!$A$1:$J$135,10,FALSE)</f>
        <v>https://tools.sig.systems/site/details/224</v>
      </c>
      <c r="I309" s="66" t="s">
        <v>140</v>
      </c>
      <c r="J309" t="s">
        <v>41</v>
      </c>
      <c r="K309" s="79" t="str">
        <f>VLOOKUP(Tabla3[[#This Row],[Site]],'Important Info!'!$A$1:$H$135,8,FALSE)</f>
        <v>-</v>
      </c>
      <c r="L309" s="52" t="str">
        <f>VLOOKUP(Tabla3[[#This Row],[Site]],'Important Info!'!$A$1:$F$135,2,FALSE)</f>
        <v>3, 6</v>
      </c>
      <c r="M309" s="52" t="str">
        <f>VLOOKUP(Tabla3[[#This Row],[Site]],'Important Info!'!$A$1:$F$135,3,FALSE)</f>
        <v>-</v>
      </c>
      <c r="N309" s="52" t="str">
        <f>VLOOKUP(Tabla3[[#This Row],[Site]],'Important Info!'!$A$1:$F$135,4,FALSE)</f>
        <v>-</v>
      </c>
      <c r="O309" s="52" t="str">
        <f>VLOOKUP(Tabla3[[#This Row],[Site]],'Important Info!'!$A$1:$F$135,5,FALSE)</f>
        <v>1, 8, 16, 22</v>
      </c>
      <c r="P309" s="52" t="str">
        <f>VLOOKUP(Tabla3[[#This Row],[Site]],'Important Info!'!$A$1:$F$135,6,FALSE)</f>
        <v>3, 4</v>
      </c>
      <c r="Q309" s="91">
        <f>VLOOKUP(Tabla3[[#This Row],[Site]],'Important Info!'!$A$1:$J$135,9,FALSE)</f>
        <v>224</v>
      </c>
    </row>
    <row r="310" spans="1:17" x14ac:dyDescent="0.25">
      <c r="A310" t="str">
        <f>+Tabla3[[#This Row],[Site]]&amp;Tabla3[[#This Row],[Split]]</f>
        <v>(PE) BMW of Greenwich (NO TOURS)6</v>
      </c>
      <c r="B310">
        <v>6</v>
      </c>
      <c r="C310">
        <v>4</v>
      </c>
      <c r="D310" t="s">
        <v>485</v>
      </c>
      <c r="E310" t="s">
        <v>35</v>
      </c>
      <c r="F310" t="s">
        <v>170</v>
      </c>
      <c r="G310" t="s">
        <v>490</v>
      </c>
      <c r="H310" s="52" t="str">
        <f>VLOOKUP(Tabla3[[#This Row],[Site]],'Important Info!'!$A$1:$J$135,10,FALSE)</f>
        <v>https://tools.sig.systems/site/details/186</v>
      </c>
      <c r="I310" s="2" t="s">
        <v>171</v>
      </c>
      <c r="J310" t="s">
        <v>41</v>
      </c>
      <c r="K310" s="79" t="str">
        <f>VLOOKUP(Tabla3[[#This Row],[Site]],'Important Info!'!$A$1:$H$135,8,FALSE)</f>
        <v>-</v>
      </c>
      <c r="L310" s="52" t="str">
        <f>VLOOKUP(Tabla3[[#This Row],[Site]],'Important Info!'!$A$1:$F$135,2,FALSE)</f>
        <v>1, 6, 15</v>
      </c>
      <c r="M310" s="52" t="str">
        <f>VLOOKUP(Tabla3[[#This Row],[Site]],'Important Info!'!$A$1:$F$135,3,FALSE)</f>
        <v>-</v>
      </c>
      <c r="N310" s="52" t="str">
        <f>VLOOKUP(Tabla3[[#This Row],[Site]],'Important Info!'!$A$1:$F$135,4,FALSE)</f>
        <v>-</v>
      </c>
      <c r="O310" s="52" t="str">
        <f>VLOOKUP(Tabla3[[#This Row],[Site]],'Important Info!'!$A$1:$F$135,5,FALSE)</f>
        <v>-</v>
      </c>
      <c r="P310" s="52">
        <f>VLOOKUP(Tabla3[[#This Row],[Site]],'Important Info!'!$A$1:$F$135,6,FALSE)</f>
        <v>12</v>
      </c>
      <c r="Q310" s="91">
        <f>VLOOKUP(Tabla3[[#This Row],[Site]],'Important Info!'!$A$1:$J$135,9,FALSE)</f>
        <v>186</v>
      </c>
    </row>
    <row r="311" spans="1:17" x14ac:dyDescent="0.25">
      <c r="A311" t="str">
        <f>+Tabla3[[#This Row],[Site]]&amp;Tabla3[[#This Row],[Split]]</f>
        <v>(PE) JLR PDI (NO TOURS)6</v>
      </c>
      <c r="B311">
        <v>6</v>
      </c>
      <c r="C311">
        <v>4</v>
      </c>
      <c r="D311" t="s">
        <v>485</v>
      </c>
      <c r="E311" s="41" t="s">
        <v>35</v>
      </c>
      <c r="F311" s="41" t="s">
        <v>114</v>
      </c>
      <c r="G311" t="s">
        <v>490</v>
      </c>
      <c r="H311" s="52" t="str">
        <f>VLOOKUP(Tabla3[[#This Row],[Site]],'Important Info!'!$A$1:$J$135,10,FALSE)</f>
        <v>https://tools.sig.systems/site/details/179</v>
      </c>
      <c r="I311" s="41" t="s">
        <v>176</v>
      </c>
      <c r="J311" s="41" t="s">
        <v>41</v>
      </c>
      <c r="K311" s="79" t="str">
        <f>VLOOKUP(Tabla3[[#This Row],[Site]],'Important Info!'!$A$1:$H$135,8,FALSE)</f>
        <v>-</v>
      </c>
      <c r="L311" s="52" t="str">
        <f>VLOOKUP(Tabla3[[#This Row],[Site]],'Important Info!'!$A$1:$F$135,2,FALSE)</f>
        <v>3, 8</v>
      </c>
      <c r="M311" s="52" t="str">
        <f>VLOOKUP(Tabla3[[#This Row],[Site]],'Important Info!'!$A$1:$F$135,3,FALSE)</f>
        <v>-</v>
      </c>
      <c r="N311" s="52" t="str">
        <f>VLOOKUP(Tabla3[[#This Row],[Site]],'Important Info!'!$A$1:$F$135,4,FALSE)</f>
        <v>-</v>
      </c>
      <c r="O311" s="52" t="str">
        <f>VLOOKUP(Tabla3[[#This Row],[Site]],'Important Info!'!$A$1:$F$135,5,FALSE)</f>
        <v>-</v>
      </c>
      <c r="P311" s="52" t="str">
        <f>VLOOKUP(Tabla3[[#This Row],[Site]],'Important Info!'!$A$1:$F$135,6,FALSE)</f>
        <v>-</v>
      </c>
      <c r="Q311" s="91">
        <f>VLOOKUP(Tabla3[[#This Row],[Site]],'Important Info!'!$A$1:$J$135,9,FALSE)</f>
        <v>179</v>
      </c>
    </row>
    <row r="312" spans="1:17" x14ac:dyDescent="0.25">
      <c r="A312" t="str">
        <f>+Tabla3[[#This Row],[Site]]&amp;Tabla3[[#This Row],[Split]]</f>
        <v>(RV) Toms Camperland Surprise (NO TOURS)6</v>
      </c>
      <c r="B312">
        <v>6</v>
      </c>
      <c r="C312">
        <v>4</v>
      </c>
      <c r="D312" t="s">
        <v>51</v>
      </c>
      <c r="E312" t="s">
        <v>161</v>
      </c>
      <c r="F312" t="s">
        <v>165</v>
      </c>
      <c r="G312" t="s">
        <v>52</v>
      </c>
      <c r="H312" s="52" t="str">
        <f>VLOOKUP(Tabla3[[#This Row],[Site]],'Important Info!'!$A$1:$J$135,10,FALSE)</f>
        <v>https://tools.sig.systems/site/details/254</v>
      </c>
      <c r="I312" s="2"/>
      <c r="J312" t="s">
        <v>52</v>
      </c>
      <c r="K312" s="79" t="str">
        <f>VLOOKUP(Tabla3[[#This Row],[Site]],'Important Info!'!$A$1:$H$135,8,FALSE)</f>
        <v>-</v>
      </c>
      <c r="L312" s="52" t="str">
        <f>VLOOKUP(Tabla3[[#This Row],[Site]],'Important Info!'!$A$1:$F$135,2,FALSE)</f>
        <v>1, 3, 4</v>
      </c>
      <c r="M312" s="52" t="str">
        <f>VLOOKUP(Tabla3[[#This Row],[Site]],'Important Info!'!$A$1:$F$135,3,FALSE)</f>
        <v>-</v>
      </c>
      <c r="N312" s="52" t="str">
        <f>VLOOKUP(Tabla3[[#This Row],[Site]],'Important Info!'!$A$1:$F$135,4,FALSE)</f>
        <v>-</v>
      </c>
      <c r="O312" s="52" t="str">
        <f>VLOOKUP(Tabla3[[#This Row],[Site]],'Important Info!'!$A$1:$F$135,5,FALSE)</f>
        <v>-</v>
      </c>
      <c r="P312" s="52" t="str">
        <f>VLOOKUP(Tabla3[[#This Row],[Site]],'Important Info!'!$A$1:$F$135,6,FALSE)</f>
        <v>1, 2, 3, 4, 15</v>
      </c>
      <c r="Q312" s="91">
        <f>VLOOKUP(Tabla3[[#This Row],[Site]],'Important Info!'!$A$1:$J$135,9,FALSE)</f>
        <v>254</v>
      </c>
    </row>
    <row r="313" spans="1:17" x14ac:dyDescent="0.25">
      <c r="A313" t="str">
        <f>+Tabla3[[#This Row],[Site]]&amp;Tabla3[[#This Row],[Split]]</f>
        <v>(TC) Tavernier Creek Marina (NO TOURS)6</v>
      </c>
      <c r="B313">
        <v>6</v>
      </c>
      <c r="C313">
        <v>4</v>
      </c>
      <c r="D313" t="s">
        <v>62</v>
      </c>
      <c r="E313" t="s">
        <v>35</v>
      </c>
      <c r="F313" t="s">
        <v>119</v>
      </c>
      <c r="G313" t="s">
        <v>34</v>
      </c>
      <c r="H313" s="52" t="str">
        <f>VLOOKUP(Tabla3[[#This Row],[Site]],'Important Info!'!$A$1:$J$135,10,FALSE)</f>
        <v>https://tools.sig.systems/site/details/164</v>
      </c>
      <c r="I313" s="43"/>
      <c r="J313" t="s">
        <v>45</v>
      </c>
      <c r="K313" s="79" t="str">
        <f>VLOOKUP(Tabla3[[#This Row],[Site]],'Important Info!'!$A$1:$H$135,8,FALSE)</f>
        <v>-</v>
      </c>
      <c r="L313" s="52" t="str">
        <f>VLOOKUP(Tabla3[[#This Row],[Site]],'Important Info!'!$A$1:$F$135,2,FALSE)</f>
        <v>28, 29</v>
      </c>
      <c r="M313" s="52" t="str">
        <f>VLOOKUP(Tabla3[[#This Row],[Site]],'Important Info!'!$A$1:$F$135,3,FALSE)</f>
        <v>-</v>
      </c>
      <c r="N313" s="52" t="str">
        <f>VLOOKUP(Tabla3[[#This Row],[Site]],'Important Info!'!$A$1:$F$135,4,FALSE)</f>
        <v>-</v>
      </c>
      <c r="O313" s="52" t="str">
        <f>VLOOKUP(Tabla3[[#This Row],[Site]],'Important Info!'!$A$1:$F$135,5,FALSE)</f>
        <v>-</v>
      </c>
      <c r="P313" s="52" t="str">
        <f>VLOOKUP(Tabla3[[#This Row],[Site]],'Important Info!'!$A$1:$F$135,6,FALSE)</f>
        <v>5, 28, 29</v>
      </c>
      <c r="Q313" s="91">
        <f>VLOOKUP(Tabla3[[#This Row],[Site]],'Important Info!'!$A$1:$J$135,9,FALSE)</f>
        <v>164</v>
      </c>
    </row>
    <row r="314" spans="1:17" x14ac:dyDescent="0.25">
      <c r="A314" t="str">
        <f>+Tabla3[[#This Row],[Site]]&amp;Tabla3[[#This Row],[Split]]</f>
        <v>(AS) Courtesy Hyundai/Nissan Tampa (NO TOURS)6</v>
      </c>
      <c r="B314">
        <v>6</v>
      </c>
      <c r="C314">
        <v>5</v>
      </c>
      <c r="D314" t="s">
        <v>62</v>
      </c>
      <c r="E314" t="s">
        <v>35</v>
      </c>
      <c r="F314" t="s">
        <v>504</v>
      </c>
      <c r="G314" t="s">
        <v>490</v>
      </c>
      <c r="H314" s="52" t="str">
        <f>VLOOKUP(Tabla3[[#This Row],[Site]],'Important Info!'!$A$1:$J$135,10,FALSE)</f>
        <v>https://tools.sig.systems/site/details/128</v>
      </c>
      <c r="J314" t="s">
        <v>484</v>
      </c>
      <c r="K314" s="79" t="str">
        <f>VLOOKUP(Tabla3[[#This Row],[Site]],'Important Info!'!$A$1:$H$135,8,FALSE)</f>
        <v>-</v>
      </c>
      <c r="L314" s="52" t="str">
        <f>VLOOKUP(Tabla3[[#This Row],[Site]],'Important Info!'!$A$1:$F$135,2,FALSE)</f>
        <v>1, 16, 25, 27, 32</v>
      </c>
      <c r="M314" s="52" t="str">
        <f>VLOOKUP(Tabla3[[#This Row],[Site]],'Important Info!'!$A$1:$F$135,3,FALSE)</f>
        <v>-</v>
      </c>
      <c r="N314" s="52" t="str">
        <f>VLOOKUP(Tabla3[[#This Row],[Site]],'Important Info!'!$A$1:$F$135,4,FALSE)</f>
        <v>-</v>
      </c>
      <c r="O314" s="52" t="str">
        <f>VLOOKUP(Tabla3[[#This Row],[Site]],'Important Info!'!$A$1:$F$135,5,FALSE)</f>
        <v>4, 10, 16</v>
      </c>
      <c r="P314" s="52" t="str">
        <f>VLOOKUP(Tabla3[[#This Row],[Site]],'Important Info!'!$A$1:$F$135,6,FALSE)</f>
        <v>24, 25, 26 &amp; Remote Lots</v>
      </c>
      <c r="Q314" s="91">
        <f>VLOOKUP(Tabla3[[#This Row],[Site]],'Important Info!'!$A$1:$J$135,9,FALSE)</f>
        <v>128</v>
      </c>
    </row>
    <row r="315" spans="1:17" x14ac:dyDescent="0.25">
      <c r="A315" t="str">
        <f>+Tabla3[[#This Row],[Site]]&amp;Tabla3[[#This Row],[Split]]</f>
        <v>(AS) Lexus Grapevine I &amp; II (NO TOURS)6</v>
      </c>
      <c r="B315">
        <v>6</v>
      </c>
      <c r="C315">
        <v>5</v>
      </c>
      <c r="D315" t="s">
        <v>33</v>
      </c>
      <c r="E315" t="s">
        <v>46</v>
      </c>
      <c r="F315" t="s">
        <v>508</v>
      </c>
      <c r="G315" t="s">
        <v>34</v>
      </c>
      <c r="H315" s="52" t="str">
        <f>VLOOKUP(Tabla3[[#This Row],[Site]],'Important Info!'!$A$1:$J$135,10,FALSE)</f>
        <v>https://tools.sig.systems/site/details/136</v>
      </c>
      <c r="I315" s="43"/>
      <c r="J315" t="s">
        <v>41</v>
      </c>
      <c r="K315" s="79" t="str">
        <f>VLOOKUP(Tabla3[[#This Row],[Site]],'Important Info!'!$A$1:$H$135,8,FALSE)</f>
        <v>-</v>
      </c>
      <c r="L315" s="52" t="str">
        <f>VLOOKUP(Tabla3[[#This Row],[Site]],'Important Info!'!$A$1:$F$135,2,FALSE)</f>
        <v>4, 10, 14, 18, 33</v>
      </c>
      <c r="M315" s="52" t="str">
        <f>VLOOKUP(Tabla3[[#This Row],[Site]],'Important Info!'!$A$1:$F$135,3,FALSE)</f>
        <v>-</v>
      </c>
      <c r="N315" s="52" t="str">
        <f>VLOOKUP(Tabla3[[#This Row],[Site]],'Important Info!'!$A$1:$F$135,4,FALSE)</f>
        <v>81, 82, 83</v>
      </c>
      <c r="O315" s="52" t="str">
        <f>VLOOKUP(Tabla3[[#This Row],[Site]],'Important Info!'!$A$1:$F$135,5,FALSE)</f>
        <v>4, 12, 15, 20, 30</v>
      </c>
      <c r="P315" s="52">
        <f>VLOOKUP(Tabla3[[#This Row],[Site]],'Important Info!'!$A$1:$F$135,6,FALSE)</f>
        <v>10</v>
      </c>
      <c r="Q315" s="91">
        <f>VLOOKUP(Tabla3[[#This Row],[Site]],'Important Info!'!$A$1:$J$135,9,FALSE)</f>
        <v>136</v>
      </c>
    </row>
    <row r="316" spans="1:17" x14ac:dyDescent="0.25">
      <c r="A316" t="str">
        <f>+Tabla3[[#This Row],[Site]]&amp;Tabla3[[#This Row],[Split]]</f>
        <v>(AS) Nalley BMW Collision Center (NO TOURS)6</v>
      </c>
      <c r="B316">
        <v>6</v>
      </c>
      <c r="C316">
        <v>5</v>
      </c>
      <c r="D316" t="s">
        <v>62</v>
      </c>
      <c r="E316" t="s">
        <v>35</v>
      </c>
      <c r="F316" t="s">
        <v>510</v>
      </c>
      <c r="G316" t="s">
        <v>490</v>
      </c>
      <c r="H316" s="52" t="str">
        <f>VLOOKUP(Tabla3[[#This Row],[Site]],'Important Info!'!$A$1:$J$135,10,FALSE)</f>
        <v>https://tools.sig.systems/site/details/220</v>
      </c>
      <c r="I316" s="43"/>
      <c r="J316" t="s">
        <v>41</v>
      </c>
      <c r="K316" s="79" t="str">
        <f>VLOOKUP(Tabla3[[#This Row],[Site]],'Important Info!'!$A$1:$H$135,8,FALSE)</f>
        <v>-</v>
      </c>
      <c r="L316" s="52" t="str">
        <f>VLOOKUP(Tabla3[[#This Row],[Site]],'Important Info!'!$A$1:$F$135,2,FALSE)</f>
        <v>-</v>
      </c>
      <c r="M316" s="52">
        <f>VLOOKUP(Tabla3[[#This Row],[Site]],'Important Info!'!$A$1:$F$135,3,FALSE)</f>
        <v>4</v>
      </c>
      <c r="N316" s="52" t="str">
        <f>VLOOKUP(Tabla3[[#This Row],[Site]],'Important Info!'!$A$1:$F$135,4,FALSE)</f>
        <v>-</v>
      </c>
      <c r="O316" s="52">
        <f>VLOOKUP(Tabla3[[#This Row],[Site]],'Important Info!'!$A$1:$F$135,5,FALSE)</f>
        <v>12</v>
      </c>
      <c r="P316" s="52" t="str">
        <f>VLOOKUP(Tabla3[[#This Row],[Site]],'Important Info!'!$A$1:$F$135,6,FALSE)</f>
        <v>13, 15</v>
      </c>
      <c r="Q316" s="91">
        <f>VLOOKUP(Tabla3[[#This Row],[Site]],'Important Info!'!$A$1:$J$135,9,FALSE)</f>
        <v>220</v>
      </c>
    </row>
    <row r="317" spans="1:17" x14ac:dyDescent="0.25">
      <c r="A317" t="str">
        <f>+Tabla3[[#This Row],[Site]]&amp;Tabla3[[#This Row],[Split]]</f>
        <v>(AS) Park Place Mercedes Benz Ft. Worth (NO TOURS)6</v>
      </c>
      <c r="B317">
        <v>6</v>
      </c>
      <c r="C317">
        <v>5</v>
      </c>
      <c r="D317" t="s">
        <v>33</v>
      </c>
      <c r="E317" t="s">
        <v>46</v>
      </c>
      <c r="F317" t="s">
        <v>519</v>
      </c>
      <c r="G317" t="s">
        <v>34</v>
      </c>
      <c r="H317" s="52" t="str">
        <f>VLOOKUP(Tabla3[[#This Row],[Site]],'Important Info!'!$A$1:$J$135,10,FALSE)</f>
        <v>https://tools.sig.systems/site/details/137</v>
      </c>
      <c r="I317" s="64" t="s">
        <v>128</v>
      </c>
      <c r="J317" t="s">
        <v>41</v>
      </c>
      <c r="K317" s="79" t="s">
        <v>37</v>
      </c>
      <c r="L317" s="52" t="str">
        <f>VLOOKUP(Tabla3[[#This Row],[Site]],'Important Info!'!$A$1:$F$135,2,FALSE)</f>
        <v>4, 18</v>
      </c>
      <c r="M317" s="52" t="str">
        <f>VLOOKUP(Tabla3[[#This Row],[Site]],'Important Info!'!$A$1:$F$135,3,FALSE)</f>
        <v>-</v>
      </c>
      <c r="N317" s="52" t="str">
        <f>VLOOKUP(Tabla3[[#This Row],[Site]],'Important Info!'!$A$1:$F$135,4,FALSE)</f>
        <v>54, 55</v>
      </c>
      <c r="O317" s="52" t="str">
        <f>VLOOKUP(Tabla3[[#This Row],[Site]],'Important Info!'!$A$1:$F$135,5,FALSE)</f>
        <v>2, 18</v>
      </c>
      <c r="P317" s="52" t="str">
        <f>VLOOKUP(Tabla3[[#This Row],[Site]],'Important Info!'!$A$1:$F$135,6,FALSE)</f>
        <v>5, 18</v>
      </c>
      <c r="Q317" s="91">
        <f>VLOOKUP(Tabla3[[#This Row],[Site]],'Important Info!'!$A$1:$J$135,9,FALSE)</f>
        <v>137</v>
      </c>
    </row>
    <row r="318" spans="1:17" x14ac:dyDescent="0.25">
      <c r="A318" t="str">
        <f>+Tabla3[[#This Row],[Site]]&amp;Tabla3[[#This Row],[Split]]</f>
        <v>(AS) Park Place Volvo Service Center (NO TOURS)6</v>
      </c>
      <c r="B318">
        <v>6</v>
      </c>
      <c r="C318">
        <v>5</v>
      </c>
      <c r="D318" t="s">
        <v>33</v>
      </c>
      <c r="E318" t="s">
        <v>46</v>
      </c>
      <c r="F318" t="s">
        <v>522</v>
      </c>
      <c r="G318" t="s">
        <v>34</v>
      </c>
      <c r="H318" s="52" t="str">
        <f>VLOOKUP(Tabla3[[#This Row],[Site]],'Important Info!'!$A$1:$J$135,10,FALSE)</f>
        <v>https://tools.sig.systems/site/details/171</v>
      </c>
      <c r="I318" s="65" t="s">
        <v>125</v>
      </c>
      <c r="J318" t="s">
        <v>41</v>
      </c>
      <c r="K318" s="79" t="str">
        <f>VLOOKUP(Tabla3[[#This Row],[Site]],'Important Info!'!$A$1:$H$135,8,FALSE)</f>
        <v>-</v>
      </c>
      <c r="L318" s="52" t="str">
        <f>VLOOKUP(Tabla3[[#This Row],[Site]],'Important Info!'!$A$1:$F$135,2,FALSE)</f>
        <v>3, 6, 9, 27, 31, 35</v>
      </c>
      <c r="M318" s="52" t="str">
        <f>VLOOKUP(Tabla3[[#This Row],[Site]],'Important Info!'!$A$1:$F$135,3,FALSE)</f>
        <v>-</v>
      </c>
      <c r="N318" s="52" t="str">
        <f>VLOOKUP(Tabla3[[#This Row],[Site]],'Important Info!'!$A$1:$F$135,4,FALSE)</f>
        <v>-</v>
      </c>
      <c r="O318" s="52" t="str">
        <f>VLOOKUP(Tabla3[[#This Row],[Site]],'Important Info!'!$A$1:$F$135,5,FALSE)</f>
        <v>27, 32</v>
      </c>
      <c r="P318" s="52" t="str">
        <f>VLOOKUP(Tabla3[[#This Row],[Site]],'Important Info!'!$A$1:$F$135,6,FALSE)</f>
        <v>-</v>
      </c>
      <c r="Q318" s="91">
        <f>VLOOKUP(Tabla3[[#This Row],[Site]],'Important Info!'!$A$1:$J$135,9,FALSE)</f>
        <v>171</v>
      </c>
    </row>
    <row r="319" spans="1:17" x14ac:dyDescent="0.25">
      <c r="A319" t="str">
        <f>+Tabla3[[#This Row],[Site]]&amp;Tabla3[[#This Row],[Split]]</f>
        <v>(AS) Stevinson Lexus of Lakewood (NO TOURS)6</v>
      </c>
      <c r="B319">
        <v>6</v>
      </c>
      <c r="C319">
        <v>5</v>
      </c>
      <c r="D319" t="s">
        <v>44</v>
      </c>
      <c r="E319" t="s">
        <v>53</v>
      </c>
      <c r="F319" t="s">
        <v>523</v>
      </c>
      <c r="G319" t="s">
        <v>45</v>
      </c>
      <c r="H319" s="52" t="str">
        <f>VLOOKUP(Tabla3[[#This Row],[Site]],'Important Info!'!$A$1:$J$135,10,FALSE)</f>
        <v>https://tools.sig.systems/site/details/260</v>
      </c>
      <c r="I319" s="43" t="s">
        <v>154</v>
      </c>
      <c r="J319" t="s">
        <v>41</v>
      </c>
      <c r="K319" s="79" t="str">
        <f>VLOOKUP(Tabla3[[#This Row],[Site]],'Important Info!'!$A$1:$H$135,8,FALSE)</f>
        <v>-</v>
      </c>
      <c r="L319" s="52" t="str">
        <f>VLOOKUP(Tabla3[[#This Row],[Site]],'Important Info!'!$A$1:$F$135,2,FALSE)</f>
        <v>-</v>
      </c>
      <c r="M319" s="52" t="str">
        <f>VLOOKUP(Tabla3[[#This Row],[Site]],'Important Info!'!$A$1:$F$135,3,FALSE)</f>
        <v>2, 10</v>
      </c>
      <c r="N319" s="52" t="str">
        <f>VLOOKUP(Tabla3[[#This Row],[Site]],'Important Info!'!$A$1:$F$135,4,FALSE)</f>
        <v>9, 17</v>
      </c>
      <c r="O319" s="52" t="str">
        <f>VLOOKUP(Tabla3[[#This Row],[Site]],'Important Info!'!$A$1:$F$135,5,FALSE)</f>
        <v>-</v>
      </c>
      <c r="P319" s="52" t="str">
        <f>VLOOKUP(Tabla3[[#This Row],[Site]],'Important Info!'!$A$1:$F$135,6,FALSE)</f>
        <v>1, 2</v>
      </c>
      <c r="Q319" s="91">
        <f>VLOOKUP(Tabla3[[#This Row],[Site]],'Important Info!'!$A$1:$J$135,9,FALSE)</f>
        <v>260</v>
      </c>
    </row>
    <row r="320" spans="1:17" x14ac:dyDescent="0.25">
      <c r="A320" t="str">
        <f>+Tabla3[[#This Row],[Site]]&amp;Tabla3[[#This Row],[Split]]</f>
        <v>(DT) El Cajon (NO TOURS)6</v>
      </c>
      <c r="B320">
        <v>6</v>
      </c>
      <c r="C320">
        <v>5</v>
      </c>
      <c r="D320" t="s">
        <v>51</v>
      </c>
      <c r="E320" t="s">
        <v>159</v>
      </c>
      <c r="F320" t="s">
        <v>160</v>
      </c>
      <c r="G320" t="s">
        <v>52</v>
      </c>
      <c r="H320" s="52" t="str">
        <f>VLOOKUP(Tabla3[[#This Row],[Site]],'Important Info!'!$A$1:$J$135,10,FALSE)</f>
        <v>https://tools.sig.systems/site/details/241</v>
      </c>
      <c r="J320" t="s">
        <v>41</v>
      </c>
      <c r="K320" s="79" t="str">
        <f>VLOOKUP(Tabla3[[#This Row],[Site]],'Important Info!'!$A$1:$H$135,8,FALSE)</f>
        <v>-</v>
      </c>
      <c r="L320" s="52" t="str">
        <f>VLOOKUP(Tabla3[[#This Row],[Site]],'Important Info!'!$A$1:$F$135,2,FALSE)</f>
        <v>-</v>
      </c>
      <c r="M320" s="52">
        <f>VLOOKUP(Tabla3[[#This Row],[Site]],'Important Info!'!$A$1:$F$135,3,FALSE)</f>
        <v>3</v>
      </c>
      <c r="N320" s="52" t="str">
        <f>VLOOKUP(Tabla3[[#This Row],[Site]],'Important Info!'!$A$1:$F$135,4,FALSE)</f>
        <v>-</v>
      </c>
      <c r="O320" s="52" t="str">
        <f>VLOOKUP(Tabla3[[#This Row],[Site]],'Important Info!'!$A$1:$F$135,5,FALSE)</f>
        <v>-</v>
      </c>
      <c r="P320" s="52" t="str">
        <f>VLOOKUP(Tabla3[[#This Row],[Site]],'Important Info!'!$A$1:$F$135,6,FALSE)</f>
        <v>-</v>
      </c>
      <c r="Q320" s="91">
        <f>VLOOKUP(Tabla3[[#This Row],[Site]],'Important Info!'!$A$1:$J$135,9,FALSE)</f>
        <v>241</v>
      </c>
    </row>
    <row r="321" spans="1:17" x14ac:dyDescent="0.25">
      <c r="A321" t="str">
        <f>+Tabla3[[#This Row],[Site]]&amp;Tabla3[[#This Row],[Split]]</f>
        <v>(HUD) Honda of Southpoint6</v>
      </c>
      <c r="B321">
        <v>6</v>
      </c>
      <c r="C321">
        <v>5</v>
      </c>
      <c r="D321" t="s">
        <v>62</v>
      </c>
      <c r="E321" t="s">
        <v>35</v>
      </c>
      <c r="F321" t="s">
        <v>65</v>
      </c>
      <c r="G321" t="s">
        <v>490</v>
      </c>
      <c r="H321" s="52" t="str">
        <f>VLOOKUP(Tabla3[[#This Row],[Site]],'Important Info!'!$A$1:$J$135,10,FALSE)</f>
        <v>https://tools.sig.systems/site/details/195</v>
      </c>
      <c r="I321" s="43"/>
      <c r="J321" t="s">
        <v>484</v>
      </c>
      <c r="K321" s="79" t="str">
        <f>VLOOKUP(Tabla3[[#This Row],[Site]],'Important Info!'!$A$1:$H$135,8,FALSE)</f>
        <v>-</v>
      </c>
      <c r="L321" s="52" t="str">
        <f>VLOOKUP(Tabla3[[#This Row],[Site]],'Important Info!'!$A$1:$F$135,2,FALSE)</f>
        <v>2, 12, 18</v>
      </c>
      <c r="M321" s="52">
        <f>VLOOKUP(Tabla3[[#This Row],[Site]],'Important Info!'!$A$1:$F$135,3,FALSE)</f>
        <v>13</v>
      </c>
      <c r="N321" s="52" t="str">
        <f>VLOOKUP(Tabla3[[#This Row],[Site]],'Important Info!'!$A$1:$F$135,4,FALSE)</f>
        <v>-</v>
      </c>
      <c r="O321" s="52" t="str">
        <f>VLOOKUP(Tabla3[[#This Row],[Site]],'Important Info!'!$A$1:$F$135,5,FALSE)</f>
        <v>2, 15</v>
      </c>
      <c r="P321" s="52" t="str">
        <f>VLOOKUP(Tabla3[[#This Row],[Site]],'Important Info!'!$A$1:$F$135,6,FALSE)</f>
        <v>-</v>
      </c>
      <c r="Q321" s="91">
        <f>VLOOKUP(Tabla3[[#This Row],[Site]],'Important Info!'!$A$1:$J$135,9,FALSE)</f>
        <v>195</v>
      </c>
    </row>
    <row r="322" spans="1:17" x14ac:dyDescent="0.25">
      <c r="A322" t="str">
        <f>+Tabla3[[#This Row],[Site]]&amp;Tabla3[[#This Row],[Split]]</f>
        <v>(JE) Jim Ellis Ford Sandy Springs6</v>
      </c>
      <c r="B322">
        <v>6</v>
      </c>
      <c r="C322">
        <v>5</v>
      </c>
      <c r="D322" t="s">
        <v>62</v>
      </c>
      <c r="E322" t="s">
        <v>35</v>
      </c>
      <c r="F322" t="s">
        <v>187</v>
      </c>
      <c r="G322" t="s">
        <v>490</v>
      </c>
      <c r="H322" s="52" t="str">
        <f>VLOOKUP(Tabla3[[#This Row],[Site]],'Important Info!'!$A$1:$J$135,10,FALSE)</f>
        <v>https://tools.sig.systems/site/details/142</v>
      </c>
      <c r="J322" t="s">
        <v>41</v>
      </c>
      <c r="K322" s="79" t="str">
        <f>VLOOKUP(Tabla3[[#This Row],[Site]],'Important Info!'!$A$1:$H$135,8,FALSE)</f>
        <v>-</v>
      </c>
      <c r="L322" s="52" t="str">
        <f>VLOOKUP(Tabla3[[#This Row],[Site]],'Important Info!'!$A$1:$F$135,2,FALSE)</f>
        <v>1, 5</v>
      </c>
      <c r="M322" s="52" t="str">
        <f>VLOOKUP(Tabla3[[#This Row],[Site]],'Important Info!'!$A$1:$F$135,3,FALSE)</f>
        <v>-</v>
      </c>
      <c r="N322" s="52" t="str">
        <f>VLOOKUP(Tabla3[[#This Row],[Site]],'Important Info!'!$A$1:$F$135,4,FALSE)</f>
        <v>-</v>
      </c>
      <c r="O322" s="52" t="str">
        <f>VLOOKUP(Tabla3[[#This Row],[Site]],'Important Info!'!$A$1:$F$135,5,FALSE)</f>
        <v>1, 5, 9, 26</v>
      </c>
      <c r="P322" s="52" t="str">
        <f>VLOOKUP(Tabla3[[#This Row],[Site]],'Important Info!'!$A$1:$F$135,6,FALSE)</f>
        <v>3, 4, 8, 28</v>
      </c>
      <c r="Q322" s="91">
        <f>VLOOKUP(Tabla3[[#This Row],[Site]],'Important Info!'!$A$1:$J$135,9,FALSE)</f>
        <v>142</v>
      </c>
    </row>
    <row r="323" spans="1:17" x14ac:dyDescent="0.25">
      <c r="A323" t="str">
        <f>+Tabla3[[#This Row],[Site]]&amp;Tabla3[[#This Row],[Split]]</f>
        <v>(KG) Big Star CDJR of Clear Lake6</v>
      </c>
      <c r="B323">
        <v>6</v>
      </c>
      <c r="C323">
        <v>5</v>
      </c>
      <c r="D323" t="s">
        <v>33</v>
      </c>
      <c r="E323" t="s">
        <v>46</v>
      </c>
      <c r="F323" t="s">
        <v>133</v>
      </c>
      <c r="G323" t="s">
        <v>34</v>
      </c>
      <c r="H323" s="52" t="str">
        <f>VLOOKUP(Tabla3[[#This Row],[Site]],'Important Info!'!$A$1:$J$135,10,FALSE)</f>
        <v>https://tools.sig.systems/site/details/232</v>
      </c>
      <c r="I323" s="2" t="s">
        <v>134</v>
      </c>
      <c r="J323" t="s">
        <v>41</v>
      </c>
      <c r="K323" s="79" t="str">
        <f>VLOOKUP(Tabla3[[#This Row],[Site]],'Important Info!'!$A$1:$H$135,8,FALSE)</f>
        <v>-</v>
      </c>
      <c r="L323" s="52" t="str">
        <f>VLOOKUP(Tabla3[[#This Row],[Site]],'Important Info!'!$A$1:$F$135,2,FALSE)</f>
        <v>8, 25</v>
      </c>
      <c r="M323" s="52" t="str">
        <f>VLOOKUP(Tabla3[[#This Row],[Site]],'Important Info!'!$A$1:$F$135,3,FALSE)</f>
        <v>-</v>
      </c>
      <c r="N323" s="52" t="str">
        <f>VLOOKUP(Tabla3[[#This Row],[Site]],'Important Info!'!$A$1:$F$135,4,FALSE)</f>
        <v>-</v>
      </c>
      <c r="O323" s="52" t="str">
        <f>VLOOKUP(Tabla3[[#This Row],[Site]],'Important Info!'!$A$1:$F$135,5,FALSE)</f>
        <v>7, 13, 19, 24</v>
      </c>
      <c r="P323" s="52" t="str">
        <f>VLOOKUP(Tabla3[[#This Row],[Site]],'Important Info!'!$A$1:$F$135,6,FALSE)</f>
        <v>6, 8, 25, 31</v>
      </c>
      <c r="Q323" s="91">
        <f>VLOOKUP(Tabla3[[#This Row],[Site]],'Important Info!'!$A$1:$J$135,9,FALSE)</f>
        <v>232</v>
      </c>
    </row>
    <row r="324" spans="1:17" x14ac:dyDescent="0.25">
      <c r="A324" t="str">
        <f>+Tabla3[[#This Row],[Site]]&amp;Tabla3[[#This Row],[Split]]</f>
        <v>(KG) Texan CDJR6</v>
      </c>
      <c r="B324">
        <v>6</v>
      </c>
      <c r="C324">
        <v>5</v>
      </c>
      <c r="D324" t="s">
        <v>33</v>
      </c>
      <c r="E324" t="s">
        <v>46</v>
      </c>
      <c r="F324" t="s">
        <v>70</v>
      </c>
      <c r="G324" t="s">
        <v>34</v>
      </c>
      <c r="H324" s="52" t="str">
        <f>VLOOKUP(Tabla3[[#This Row],[Site]],'Important Info!'!$A$1:$J$135,10,FALSE)</f>
        <v>https://tools.sig.systems/site/details/238</v>
      </c>
      <c r="I324" s="2" t="s">
        <v>137</v>
      </c>
      <c r="J324" t="s">
        <v>41</v>
      </c>
      <c r="K324" s="79" t="str">
        <f>VLOOKUP(Tabla3[[#This Row],[Site]],'Important Info!'!$A$1:$H$135,8,FALSE)</f>
        <v>-</v>
      </c>
      <c r="L324" s="52" t="str">
        <f>VLOOKUP(Tabla3[[#This Row],[Site]],'Important Info!'!$A$1:$F$135,2,FALSE)</f>
        <v>11, 12, 13, 14, 20, 32, 34, 36, 77</v>
      </c>
      <c r="M324" s="52" t="str">
        <f>VLOOKUP(Tabla3[[#This Row],[Site]],'Important Info!'!$A$1:$F$135,3,FALSE)</f>
        <v>-</v>
      </c>
      <c r="N324" s="52" t="str">
        <f>VLOOKUP(Tabla3[[#This Row],[Site]],'Important Info!'!$A$1:$F$135,4,FALSE)</f>
        <v>67, 68, 69, 70</v>
      </c>
      <c r="O324" s="52" t="str">
        <f>VLOOKUP(Tabla3[[#This Row],[Site]],'Important Info!'!$A$1:$F$135,5,FALSE)</f>
        <v>2, 10, 14, 25, 29, 35, 38</v>
      </c>
      <c r="P324" s="52" t="str">
        <f>VLOOKUP(Tabla3[[#This Row],[Site]],'Important Info!'!$A$1:$F$135,6,FALSE)</f>
        <v>36, 46</v>
      </c>
      <c r="Q324" s="91">
        <f>VLOOKUP(Tabla3[[#This Row],[Site]],'Important Info!'!$A$1:$J$135,9,FALSE)</f>
        <v>238</v>
      </c>
    </row>
    <row r="325" spans="1:17" x14ac:dyDescent="0.25">
      <c r="A325" t="str">
        <f>+Tabla3[[#This Row],[Site]]&amp;Tabla3[[#This Row],[Split]]</f>
        <v>(ML) Ford Lincoln of North Little Rock6</v>
      </c>
      <c r="B325">
        <v>6</v>
      </c>
      <c r="C325">
        <v>5</v>
      </c>
      <c r="D325" t="s">
        <v>33</v>
      </c>
      <c r="E325" t="s">
        <v>46</v>
      </c>
      <c r="F325" t="s">
        <v>145</v>
      </c>
      <c r="G325" t="s">
        <v>34</v>
      </c>
      <c r="H325" s="52" t="str">
        <f>VLOOKUP(Tabla3[[#This Row],[Site]],'Important Info!'!$A$1:$J$135,10,FALSE)</f>
        <v>https://tools.sig.systems/site/details/214</v>
      </c>
      <c r="I325" s="2" t="s">
        <v>142</v>
      </c>
      <c r="J325" t="s">
        <v>41</v>
      </c>
      <c r="K325" s="79" t="str">
        <f>VLOOKUP(Tabla3[[#This Row],[Site]],'Important Info!'!$A$1:$H$135,8,FALSE)</f>
        <v>-</v>
      </c>
      <c r="L325" s="52" t="str">
        <f>VLOOKUP(Tabla3[[#This Row],[Site]],'Important Info!'!$A$1:$F$135,2,FALSE)</f>
        <v>4, 15, 18, 67, 74</v>
      </c>
      <c r="M325" s="52">
        <f>VLOOKUP(Tabla3[[#This Row],[Site]],'Important Info!'!$A$1:$F$135,3,FALSE)</f>
        <v>13</v>
      </c>
      <c r="N325" s="52" t="str">
        <f>VLOOKUP(Tabla3[[#This Row],[Site]],'Important Info!'!$A$1:$F$135,4,FALSE)</f>
        <v>-</v>
      </c>
      <c r="O325" s="52" t="str">
        <f>VLOOKUP(Tabla3[[#This Row],[Site]],'Important Info!'!$A$1:$F$135,5,FALSE)</f>
        <v>4, 11, 16, 28</v>
      </c>
      <c r="P325" s="52" t="str">
        <f>VLOOKUP(Tabla3[[#This Row],[Site]],'Important Info!'!$A$1:$F$135,6,FALSE)</f>
        <v>10, 11, 12</v>
      </c>
      <c r="Q325" s="91">
        <f>VLOOKUP(Tabla3[[#This Row],[Site]],'Important Info!'!$A$1:$J$135,9,FALSE)</f>
        <v>214</v>
      </c>
    </row>
    <row r="326" spans="1:17" x14ac:dyDescent="0.25">
      <c r="A326" t="str">
        <f>+Tabla3[[#This Row],[Site]]&amp;Tabla3[[#This Row],[Split]]</f>
        <v>(ML) Joe Machens CDJR6</v>
      </c>
      <c r="B326">
        <v>6</v>
      </c>
      <c r="C326">
        <v>5</v>
      </c>
      <c r="D326" t="s">
        <v>33</v>
      </c>
      <c r="E326" t="s">
        <v>46</v>
      </c>
      <c r="F326" s="41" t="s">
        <v>88</v>
      </c>
      <c r="G326" t="s">
        <v>34</v>
      </c>
      <c r="H326" s="52" t="str">
        <f>VLOOKUP(Tabla3[[#This Row],[Site]],'Important Info!'!$A$1:$J$135,10,FALSE)</f>
        <v>https://tools.sig.systems/site/details/273</v>
      </c>
      <c r="I326" s="66" t="s">
        <v>146</v>
      </c>
      <c r="J326" t="s">
        <v>41</v>
      </c>
      <c r="K326" s="79" t="str">
        <f>VLOOKUP(Tabla3[[#This Row],[Site]],'Important Info!'!$A$1:$H$135,8,FALSE)</f>
        <v>-</v>
      </c>
      <c r="L326" s="52" t="str">
        <f>VLOOKUP(Tabla3[[#This Row],[Site]],'Important Info!'!$A$1:$F$135,2,FALSE)</f>
        <v>-</v>
      </c>
      <c r="M326" s="52">
        <f>VLOOKUP(Tabla3[[#This Row],[Site]],'Important Info!'!$A$1:$F$135,3,FALSE)</f>
        <v>3</v>
      </c>
      <c r="N326" s="52" t="str">
        <f>VLOOKUP(Tabla3[[#This Row],[Site]],'Important Info!'!$A$1:$F$135,4,FALSE)</f>
        <v>-</v>
      </c>
      <c r="O326" s="52" t="str">
        <f>VLOOKUP(Tabla3[[#This Row],[Site]],'Important Info!'!$A$1:$F$135,5,FALSE)</f>
        <v>-</v>
      </c>
      <c r="P326" s="52" t="str">
        <f>VLOOKUP(Tabla3[[#This Row],[Site]],'Important Info!'!$A$1:$F$135,6,FALSE)</f>
        <v>1, 2, 3,</v>
      </c>
      <c r="Q326" s="91">
        <f>VLOOKUP(Tabla3[[#This Row],[Site]],'Important Info!'!$A$1:$J$135,9,FALSE)</f>
        <v>273</v>
      </c>
    </row>
    <row r="327" spans="1:17" x14ac:dyDescent="0.25">
      <c r="A327" t="str">
        <f>+Tabla3[[#This Row],[Site]]&amp;Tabla3[[#This Row],[Split]]</f>
        <v>(ML) McLarty Gray-Daniels Ford Lincoln6</v>
      </c>
      <c r="B327">
        <v>6</v>
      </c>
      <c r="C327">
        <v>5</v>
      </c>
      <c r="D327" t="s">
        <v>33</v>
      </c>
      <c r="E327" t="s">
        <v>46</v>
      </c>
      <c r="F327" t="s">
        <v>89</v>
      </c>
      <c r="G327" t="s">
        <v>34</v>
      </c>
      <c r="H327" s="52" t="str">
        <f>VLOOKUP(Tabla3[[#This Row],[Site]],'Important Info!'!$A$1:$J$135,10,FALSE)</f>
        <v>https://tools.sig.systems/site/details/151</v>
      </c>
      <c r="I327" s="2" t="s">
        <v>150</v>
      </c>
      <c r="J327" t="s">
        <v>41</v>
      </c>
      <c r="K327" s="79" t="str">
        <f>VLOOKUP(Tabla3[[#This Row],[Site]],'Important Info!'!$A$1:$H$135,8,FALSE)</f>
        <v>-</v>
      </c>
      <c r="L327" s="52">
        <f>VLOOKUP(Tabla3[[#This Row],[Site]],'Important Info!'!$A$1:$F$135,2,FALSE)</f>
        <v>16</v>
      </c>
      <c r="M327" s="52" t="str">
        <f>VLOOKUP(Tabla3[[#This Row],[Site]],'Important Info!'!$A$1:$F$135,3,FALSE)</f>
        <v>5, 10, 36, 38, 54, 58B</v>
      </c>
      <c r="N327" s="52" t="str">
        <f>VLOOKUP(Tabla3[[#This Row],[Site]],'Important Info!'!$A$1:$F$135,4,FALSE)</f>
        <v>-</v>
      </c>
      <c r="O327" s="52" t="str">
        <f>VLOOKUP(Tabla3[[#This Row],[Site]],'Important Info!'!$A$1:$F$135,5,FALSE)</f>
        <v>5, 17, 37</v>
      </c>
      <c r="P327" s="52" t="str">
        <f>VLOOKUP(Tabla3[[#This Row],[Site]],'Important Info!'!$A$1:$F$135,6,FALSE)</f>
        <v>1, 2, 3, 4</v>
      </c>
      <c r="Q327" s="91">
        <f>VLOOKUP(Tabla3[[#This Row],[Site]],'Important Info!'!$A$1:$J$135,9,FALSE)</f>
        <v>151</v>
      </c>
    </row>
    <row r="328" spans="1:17" x14ac:dyDescent="0.25">
      <c r="A328" t="str">
        <f>+Tabla3[[#This Row],[Site]]&amp;Tabla3[[#This Row],[Split]]</f>
        <v>(ML) Nissan Of Benton6</v>
      </c>
      <c r="B328">
        <v>6</v>
      </c>
      <c r="C328">
        <v>5</v>
      </c>
      <c r="D328" t="s">
        <v>33</v>
      </c>
      <c r="E328" t="s">
        <v>46</v>
      </c>
      <c r="F328" t="s">
        <v>120</v>
      </c>
      <c r="G328" t="s">
        <v>34</v>
      </c>
      <c r="H328" s="52" t="str">
        <f>VLOOKUP(Tabla3[[#This Row],[Site]],'Important Info!'!$A$1:$J$135,10,FALSE)</f>
        <v>https://tools.sig.systems/site/details/247</v>
      </c>
      <c r="J328" t="s">
        <v>41</v>
      </c>
      <c r="K328" s="79" t="str">
        <f>VLOOKUP(Tabla3[[#This Row],[Site]],'Important Info!'!$A$1:$H$135,8,FALSE)</f>
        <v>-</v>
      </c>
      <c r="L328" s="52" t="str">
        <f>VLOOKUP(Tabla3[[#This Row],[Site]],'Important Info!'!$A$1:$F$135,2,FALSE)</f>
        <v>5, 12</v>
      </c>
      <c r="M328" s="52" t="str">
        <f>VLOOKUP(Tabla3[[#This Row],[Site]],'Important Info!'!$A$1:$F$135,3,FALSE)</f>
        <v>-</v>
      </c>
      <c r="N328" s="52" t="str">
        <f>VLOOKUP(Tabla3[[#This Row],[Site]],'Important Info!'!$A$1:$F$135,4,FALSE)</f>
        <v>-</v>
      </c>
      <c r="O328" s="52" t="str">
        <f>VLOOKUP(Tabla3[[#This Row],[Site]],'Important Info!'!$A$1:$F$135,5,FALSE)</f>
        <v>4, 18</v>
      </c>
      <c r="P328" s="52" t="str">
        <f>VLOOKUP(Tabla3[[#This Row],[Site]],'Important Info!'!$A$1:$F$135,6,FALSE)</f>
        <v>-</v>
      </c>
      <c r="Q328" s="91">
        <f>VLOOKUP(Tabla3[[#This Row],[Site]],'Important Info!'!$A$1:$J$135,9,FALSE)</f>
        <v>247</v>
      </c>
    </row>
    <row r="329" spans="1:17" x14ac:dyDescent="0.25">
      <c r="A329" t="str">
        <f>+Tabla3[[#This Row],[Site]]&amp;Tabla3[[#This Row],[Split]]</f>
        <v>(PE) BMW of Mamaroneck (NO TOURS)6</v>
      </c>
      <c r="B329">
        <v>6</v>
      </c>
      <c r="C329">
        <v>5</v>
      </c>
      <c r="D329" t="s">
        <v>485</v>
      </c>
      <c r="E329" t="s">
        <v>35</v>
      </c>
      <c r="F329" t="s">
        <v>172</v>
      </c>
      <c r="G329" t="s">
        <v>490</v>
      </c>
      <c r="H329" s="52" t="str">
        <f>VLOOKUP(Tabla3[[#This Row],[Site]],'Important Info!'!$A$1:$J$135,10,FALSE)</f>
        <v>https://tools.sig.systems/site/details/185</v>
      </c>
      <c r="I329" s="2"/>
      <c r="J329" t="s">
        <v>41</v>
      </c>
      <c r="K329" s="79" t="str">
        <f>VLOOKUP(Tabla3[[#This Row],[Site]],'Important Info!'!$A$1:$H$135,8,FALSE)</f>
        <v>-</v>
      </c>
      <c r="L329" s="52">
        <f>VLOOKUP(Tabla3[[#This Row],[Site]],'Important Info!'!$A$1:$F$135,2,FALSE)</f>
        <v>9</v>
      </c>
      <c r="M329" s="52" t="str">
        <f>VLOOKUP(Tabla3[[#This Row],[Site]],'Important Info!'!$A$1:$F$135,3,FALSE)</f>
        <v>2, 3, 4, 5</v>
      </c>
      <c r="N329" s="52" t="str">
        <f>VLOOKUP(Tabla3[[#This Row],[Site]],'Important Info!'!$A$1:$F$135,4,FALSE)</f>
        <v>-</v>
      </c>
      <c r="O329" s="52" t="str">
        <f>VLOOKUP(Tabla3[[#This Row],[Site]],'Important Info!'!$A$1:$F$135,5,FALSE)</f>
        <v>-</v>
      </c>
      <c r="P329" s="52" t="str">
        <f>VLOOKUP(Tabla3[[#This Row],[Site]],'Important Info!'!$A$1:$F$135,6,FALSE)</f>
        <v>4, 6, 7, 8</v>
      </c>
      <c r="Q329" s="91">
        <f>VLOOKUP(Tabla3[[#This Row],[Site]],'Important Info!'!$A$1:$J$135,9,FALSE)</f>
        <v>185</v>
      </c>
    </row>
    <row r="330" spans="1:17" x14ac:dyDescent="0.25">
      <c r="A330" t="str">
        <f>+Tabla3[[#This Row],[Site]]&amp;Tabla3[[#This Row],[Split]]</f>
        <v>(PE) Mercedes Benz &amp; Smart Bldg. of Fairfield (NO TOURS)6</v>
      </c>
      <c r="B330">
        <v>6</v>
      </c>
      <c r="C330">
        <v>5</v>
      </c>
      <c r="D330" t="s">
        <v>485</v>
      </c>
      <c r="E330" t="s">
        <v>35</v>
      </c>
      <c r="F330" t="s">
        <v>64</v>
      </c>
      <c r="G330" t="s">
        <v>490</v>
      </c>
      <c r="H330" s="52" t="str">
        <f>VLOOKUP(Tabla3[[#This Row],[Site]],'Important Info!'!$A$1:$J$135,10,FALSE)</f>
        <v>https://tools.sig.systems/site/details/192</v>
      </c>
      <c r="I330" t="s">
        <v>177</v>
      </c>
      <c r="J330" t="s">
        <v>41</v>
      </c>
      <c r="K330" s="79" t="str">
        <f>VLOOKUP(Tabla3[[#This Row],[Site]],'Important Info!'!$A$1:$H$135,8,FALSE)</f>
        <v>-</v>
      </c>
      <c r="L330" s="52" t="str">
        <f>VLOOKUP(Tabla3[[#This Row],[Site]],'Important Info!'!$A$1:$F$135,2,FALSE)</f>
        <v>-</v>
      </c>
      <c r="M330" s="52">
        <f>VLOOKUP(Tabla3[[#This Row],[Site]],'Important Info!'!$A$1:$F$135,3,FALSE)</f>
        <v>1</v>
      </c>
      <c r="N330" s="52" t="str">
        <f>VLOOKUP(Tabla3[[#This Row],[Site]],'Important Info!'!$A$1:$F$135,4,FALSE)</f>
        <v>-</v>
      </c>
      <c r="O330" s="52" t="str">
        <f>VLOOKUP(Tabla3[[#This Row],[Site]],'Important Info!'!$A$1:$F$135,5,FALSE)</f>
        <v>11, 13</v>
      </c>
      <c r="P330" s="52">
        <f>VLOOKUP(Tabla3[[#This Row],[Site]],'Important Info!'!$A$1:$F$135,6,FALSE)</f>
        <v>1</v>
      </c>
      <c r="Q330" s="91">
        <f>VLOOKUP(Tabla3[[#This Row],[Site]],'Important Info!'!$A$1:$J$135,9,FALSE)</f>
        <v>192</v>
      </c>
    </row>
    <row r="331" spans="1:17" x14ac:dyDescent="0.25">
      <c r="A331" t="str">
        <f>+Tabla3[[#This Row],[Site]]&amp;Tabla3[[#This Row],[Split]]</f>
        <v>(PE) Scofield Service Center (NO TOURS)6</v>
      </c>
      <c r="B331">
        <v>6</v>
      </c>
      <c r="C331">
        <v>5</v>
      </c>
      <c r="D331" t="s">
        <v>485</v>
      </c>
      <c r="E331" t="s">
        <v>35</v>
      </c>
      <c r="F331" t="s">
        <v>83</v>
      </c>
      <c r="G331" t="s">
        <v>490</v>
      </c>
      <c r="H331" s="52" t="str">
        <f>VLOOKUP(Tabla3[[#This Row],[Site]],'Important Info!'!$A$1:$J$135,10,FALSE)</f>
        <v>https://tools.sig.systems/site/details/193</v>
      </c>
      <c r="I331" t="s">
        <v>177</v>
      </c>
      <c r="J331" t="s">
        <v>41</v>
      </c>
      <c r="K331" s="79" t="str">
        <f>VLOOKUP(Tabla3[[#This Row],[Site]],'Important Info!'!$A$1:$H$135,8,FALSE)</f>
        <v>-</v>
      </c>
      <c r="L331" s="52">
        <f>VLOOKUP(Tabla3[[#This Row],[Site]],'Important Info!'!$A$1:$F$135,2,FALSE)</f>
        <v>1</v>
      </c>
      <c r="M331" s="52" t="str">
        <f>VLOOKUP(Tabla3[[#This Row],[Site]],'Important Info!'!$A$1:$F$135,3,FALSE)</f>
        <v>-</v>
      </c>
      <c r="N331" s="52" t="str">
        <f>VLOOKUP(Tabla3[[#This Row],[Site]],'Important Info!'!$A$1:$F$135,4,FALSE)</f>
        <v>-</v>
      </c>
      <c r="O331" s="52">
        <f>VLOOKUP(Tabla3[[#This Row],[Site]],'Important Info!'!$A$1:$F$135,5,FALSE)</f>
        <v>9</v>
      </c>
      <c r="P331" s="52" t="str">
        <f>VLOOKUP(Tabla3[[#This Row],[Site]],'Important Info!'!$A$1:$F$135,6,FALSE)</f>
        <v>1, 17</v>
      </c>
      <c r="Q331" s="91">
        <f>VLOOKUP(Tabla3[[#This Row],[Site]],'Important Info!'!$A$1:$J$135,9,FALSE)</f>
        <v>193</v>
      </c>
    </row>
    <row r="332" spans="1:17" x14ac:dyDescent="0.25">
      <c r="A332" t="str">
        <f>+Tabla3[[#This Row],[Site]]&amp;Tabla3[[#This Row],[Split]]</f>
        <v>(RV) Sonny's Camp N Travel Concord6</v>
      </c>
      <c r="B332">
        <v>6</v>
      </c>
      <c r="C332">
        <v>5</v>
      </c>
      <c r="D332" t="s">
        <v>62</v>
      </c>
      <c r="E332" t="s">
        <v>35</v>
      </c>
      <c r="F332" t="s">
        <v>188</v>
      </c>
      <c r="G332" t="s">
        <v>490</v>
      </c>
      <c r="H332" s="52" t="str">
        <f>VLOOKUP(Tabla3[[#This Row],[Site]],'Important Info!'!$A$1:$J$135,10,FALSE)</f>
        <v>https://tools.sig.systems/site/details/183</v>
      </c>
      <c r="I332" s="2"/>
      <c r="J332" t="s">
        <v>41</v>
      </c>
      <c r="K332" s="79" t="str">
        <f>VLOOKUP(Tabla3[[#This Row],[Site]],'Important Info!'!$A$1:$H$135,8,FALSE)</f>
        <v>-</v>
      </c>
      <c r="L332" s="52">
        <f>VLOOKUP(Tabla3[[#This Row],[Site]],'Important Info!'!$A$1:$F$135,2,FALSE)</f>
        <v>1</v>
      </c>
      <c r="M332" s="52" t="str">
        <f>VLOOKUP(Tabla3[[#This Row],[Site]],'Important Info!'!$A$1:$F$135,3,FALSE)</f>
        <v>-</v>
      </c>
      <c r="N332" s="52" t="str">
        <f>VLOOKUP(Tabla3[[#This Row],[Site]],'Important Info!'!$A$1:$F$135,4,FALSE)</f>
        <v>-</v>
      </c>
      <c r="O332" s="52">
        <f>VLOOKUP(Tabla3[[#This Row],[Site]],'Important Info!'!$A$1:$F$135,5,FALSE)</f>
        <v>7</v>
      </c>
      <c r="P332" s="52" t="str">
        <f>VLOOKUP(Tabla3[[#This Row],[Site]],'Important Info!'!$A$1:$F$135,6,FALSE)</f>
        <v>6, 7, 8, 9</v>
      </c>
      <c r="Q332" s="91">
        <f>VLOOKUP(Tabla3[[#This Row],[Site]],'Important Info!'!$A$1:$J$135,9,FALSE)</f>
        <v>183</v>
      </c>
    </row>
    <row r="333" spans="1:17" x14ac:dyDescent="0.25">
      <c r="A333" t="str">
        <f>+Tabla3[[#This Row],[Site]]&amp;Tabla3[[#This Row],[Split]]</f>
        <v>(AS) Courtesy Kia of Brandon (NO TOURS)6</v>
      </c>
      <c r="B333">
        <v>6</v>
      </c>
      <c r="C333">
        <v>6</v>
      </c>
      <c r="D333" t="s">
        <v>62</v>
      </c>
      <c r="E333" t="s">
        <v>35</v>
      </c>
      <c r="F333" t="s">
        <v>505</v>
      </c>
      <c r="G333" t="s">
        <v>490</v>
      </c>
      <c r="H333" s="52" t="str">
        <f>VLOOKUP(Tabla3[[#This Row],[Site]],'Important Info!'!$A$1:$J$135,10,FALSE)</f>
        <v>https://tools.sig.systems/site/details/121</v>
      </c>
      <c r="I333" s="2" t="s">
        <v>181</v>
      </c>
      <c r="J333" t="s">
        <v>484</v>
      </c>
      <c r="K333" s="79" t="str">
        <f>VLOOKUP(Tabla3[[#This Row],[Site]],'Important Info!'!$A$1:$H$135,8,FALSE)</f>
        <v>-</v>
      </c>
      <c r="L333" s="52" t="str">
        <f>VLOOKUP(Tabla3[[#This Row],[Site]],'Important Info!'!$A$1:$F$135,2,FALSE)</f>
        <v>-</v>
      </c>
      <c r="M333" s="52" t="str">
        <f>VLOOKUP(Tabla3[[#This Row],[Site]],'Important Info!'!$A$1:$F$135,3,FALSE)</f>
        <v>4, 8</v>
      </c>
      <c r="N333" s="52" t="str">
        <f>VLOOKUP(Tabla3[[#This Row],[Site]],'Important Info!'!$A$1:$F$135,4,FALSE)</f>
        <v>-</v>
      </c>
      <c r="O333" s="52" t="str">
        <f>VLOOKUP(Tabla3[[#This Row],[Site]],'Important Info!'!$A$1:$F$135,5,FALSE)</f>
        <v>3, 11, 20, 24</v>
      </c>
      <c r="P333" s="52" t="str">
        <f>VLOOKUP(Tabla3[[#This Row],[Site]],'Important Info!'!$A$1:$F$135,6,FALSE)</f>
        <v>2, 8</v>
      </c>
      <c r="Q333" s="91">
        <f>VLOOKUP(Tabla3[[#This Row],[Site]],'Important Info!'!$A$1:$J$135,9,FALSE)</f>
        <v>121</v>
      </c>
    </row>
    <row r="334" spans="1:17" x14ac:dyDescent="0.25">
      <c r="A334" t="str">
        <f>+Tabla3[[#This Row],[Site]]&amp;Tabla3[[#This Row],[Split]]</f>
        <v>(AS) David McDavid Honda I &amp; II (NO TOURS)6</v>
      </c>
      <c r="B334">
        <v>6</v>
      </c>
      <c r="C334">
        <v>6</v>
      </c>
      <c r="D334" t="s">
        <v>33</v>
      </c>
      <c r="E334" t="s">
        <v>46</v>
      </c>
      <c r="F334" t="s">
        <v>506</v>
      </c>
      <c r="G334" t="s">
        <v>34</v>
      </c>
      <c r="H334" s="52" t="str">
        <f>VLOOKUP(Tabla3[[#This Row],[Site]],'Important Info!'!$A$1:$J$135,10,FALSE)</f>
        <v>https://tools.sig.systems/site/details/129</v>
      </c>
      <c r="I334" s="43"/>
      <c r="J334" t="s">
        <v>41</v>
      </c>
      <c r="K334" s="79" t="str">
        <f>VLOOKUP(Tabla3[[#This Row],[Site]],'Important Info!'!$A$1:$H$135,8,FALSE)</f>
        <v>-</v>
      </c>
      <c r="L334" s="52" t="str">
        <f>VLOOKUP(Tabla3[[#This Row],[Site]],'Important Info!'!$A$1:$F$135,2,FALSE)</f>
        <v>-</v>
      </c>
      <c r="M334" s="52" t="str">
        <f>VLOOKUP(Tabla3[[#This Row],[Site]],'Important Info!'!$A$1:$F$135,3,FALSE)</f>
        <v>3, 19, 23, 32, 35</v>
      </c>
      <c r="N334" s="52" t="str">
        <f>VLOOKUP(Tabla3[[#This Row],[Site]],'Important Info!'!$A$1:$F$135,4,FALSE)</f>
        <v>-</v>
      </c>
      <c r="O334" s="52" t="str">
        <f>VLOOKUP(Tabla3[[#This Row],[Site]],'Important Info!'!$A$1:$F$135,5,FALSE)</f>
        <v>2, 6, 9, 19, 25, 30, 48</v>
      </c>
      <c r="P334" s="52" t="str">
        <f>VLOOKUP(Tabla3[[#This Row],[Site]],'Important Info!'!$A$1:$F$135,6,FALSE)</f>
        <v>25, 26, 35, 36, 37</v>
      </c>
      <c r="Q334" s="91">
        <f>VLOOKUP(Tabla3[[#This Row],[Site]],'Important Info!'!$A$1:$J$135,9,FALSE)</f>
        <v>129</v>
      </c>
    </row>
    <row r="335" spans="1:17" x14ac:dyDescent="0.25">
      <c r="A335" t="str">
        <f>+Tabla3[[#This Row],[Site]]&amp;Tabla3[[#This Row],[Split]]</f>
        <v>(AS) David McDavid Lincoln Frisco (NO TOURS)6</v>
      </c>
      <c r="B335">
        <v>6</v>
      </c>
      <c r="C335">
        <v>6</v>
      </c>
      <c r="D335" t="s">
        <v>33</v>
      </c>
      <c r="E335" t="s">
        <v>46</v>
      </c>
      <c r="F335" t="s">
        <v>507</v>
      </c>
      <c r="G335" t="s">
        <v>34</v>
      </c>
      <c r="H335" s="52" t="str">
        <f>VLOOKUP(Tabla3[[#This Row],[Site]],'Important Info!'!$A$1:$J$135,10,FALSE)</f>
        <v>https://tools.sig.systems/site/details/182</v>
      </c>
      <c r="J335" t="s">
        <v>41</v>
      </c>
      <c r="K335" s="79" t="str">
        <f>VLOOKUP(Tabla3[[#This Row],[Site]],'Important Info!'!$A$1:$H$135,8,FALSE)</f>
        <v>-</v>
      </c>
      <c r="L335" s="52" t="str">
        <f>VLOOKUP(Tabla3[[#This Row],[Site]],'Important Info!'!$A$1:$F$135,2,FALSE)</f>
        <v>1, 2, 11</v>
      </c>
      <c r="M335" s="52" t="str">
        <f>VLOOKUP(Tabla3[[#This Row],[Site]],'Important Info!'!$A$1:$F$135,3,FALSE)</f>
        <v>-</v>
      </c>
      <c r="N335" s="52" t="str">
        <f>VLOOKUP(Tabla3[[#This Row],[Site]],'Important Info!'!$A$1:$F$135,4,FALSE)</f>
        <v>-</v>
      </c>
      <c r="O335" s="52" t="str">
        <f>VLOOKUP(Tabla3[[#This Row],[Site]],'Important Info!'!$A$1:$F$135,5,FALSE)</f>
        <v>11, 16, 20</v>
      </c>
      <c r="P335" s="52" t="str">
        <f>VLOOKUP(Tabla3[[#This Row],[Site]],'Important Info!'!$A$1:$F$135,6,FALSE)</f>
        <v>11, 12, 13, 14</v>
      </c>
      <c r="Q335" s="91">
        <f>VLOOKUP(Tabla3[[#This Row],[Site]],'Important Info!'!$A$1:$J$135,9,FALSE)</f>
        <v>182</v>
      </c>
    </row>
    <row r="336" spans="1:17" x14ac:dyDescent="0.25">
      <c r="A336" t="str">
        <f>+Tabla3[[#This Row],[Site]]&amp;Tabla3[[#This Row],[Split]]</f>
        <v>(AS) Lexus Smyrna (NO TOURS)6</v>
      </c>
      <c r="B336">
        <v>6</v>
      </c>
      <c r="C336">
        <v>6</v>
      </c>
      <c r="D336" t="s">
        <v>62</v>
      </c>
      <c r="E336" t="s">
        <v>35</v>
      </c>
      <c r="F336" t="s">
        <v>84</v>
      </c>
      <c r="G336" t="s">
        <v>490</v>
      </c>
      <c r="H336" s="52" t="str">
        <f>VLOOKUP(Tabla3[[#This Row],[Site]],'Important Info!'!$A$1:$J$135,10,FALSE)</f>
        <v>https://tools.sig.systems/site/details/133</v>
      </c>
      <c r="I336" s="43"/>
      <c r="J336" t="s">
        <v>41</v>
      </c>
      <c r="K336" s="79" t="str">
        <f>VLOOKUP(Tabla3[[#This Row],[Site]],'Important Info!'!$A$1:$H$135,8,FALSE)</f>
        <v>-</v>
      </c>
      <c r="L336" s="52" t="str">
        <f>VLOOKUP(Tabla3[[#This Row],[Site]],'Important Info!'!$A$1:$F$135,2,FALSE)</f>
        <v xml:space="preserve">2, 6, 10 </v>
      </c>
      <c r="M336" s="52" t="str">
        <f>VLOOKUP(Tabla3[[#This Row],[Site]],'Important Info!'!$A$1:$F$135,3,FALSE)</f>
        <v>-</v>
      </c>
      <c r="N336" s="52" t="str">
        <f>VLOOKUP(Tabla3[[#This Row],[Site]],'Important Info!'!$A$1:$F$135,4,FALSE)</f>
        <v>-</v>
      </c>
      <c r="O336" s="52" t="str">
        <f>VLOOKUP(Tabla3[[#This Row],[Site]],'Important Info!'!$A$1:$F$135,5,FALSE)</f>
        <v>3, 5, 10, 15</v>
      </c>
      <c r="P336" s="52" t="str">
        <f>VLOOKUP(Tabla3[[#This Row],[Site]],'Important Info!'!$A$1:$F$135,6,FALSE)</f>
        <v>10, 11</v>
      </c>
      <c r="Q336" s="91">
        <f>VLOOKUP(Tabla3[[#This Row],[Site]],'Important Info!'!$A$1:$J$135,9,FALSE)</f>
        <v>133</v>
      </c>
    </row>
    <row r="337" spans="1:17" x14ac:dyDescent="0.25">
      <c r="A337" t="str">
        <f>+Tabla3[[#This Row],[Site]]&amp;Tabla3[[#This Row],[Split]]</f>
        <v>(AS) Park Place Sprinter Van Center (NO TOURS)6</v>
      </c>
      <c r="B337">
        <v>6</v>
      </c>
      <c r="C337">
        <v>6</v>
      </c>
      <c r="D337" t="s">
        <v>33</v>
      </c>
      <c r="E337" t="s">
        <v>46</v>
      </c>
      <c r="F337" t="s">
        <v>520</v>
      </c>
      <c r="G337" t="s">
        <v>34</v>
      </c>
      <c r="H337" s="52" t="str">
        <f>VLOOKUP(Tabla3[[#This Row],[Site]],'Important Info!'!$A$1:$J$135,10,FALSE)</f>
        <v>https://tools.sig.systems/site/details/138</v>
      </c>
      <c r="I337" s="65" t="s">
        <v>125</v>
      </c>
      <c r="J337" t="s">
        <v>41</v>
      </c>
      <c r="K337" s="79" t="str">
        <f>VLOOKUP(Tabla3[[#This Row],[Site]],'Important Info!'!$A$1:$H$135,8,FALSE)</f>
        <v>-</v>
      </c>
      <c r="L337" s="52">
        <f>VLOOKUP(Tabla3[[#This Row],[Site]],'Important Info!'!$A$1:$F$135,2,FALSE)</f>
        <v>1</v>
      </c>
      <c r="M337" s="52" t="str">
        <f>VLOOKUP(Tabla3[[#This Row],[Site]],'Important Info!'!$A$1:$F$135,3,FALSE)</f>
        <v>-</v>
      </c>
      <c r="N337" s="52" t="str">
        <f>VLOOKUP(Tabla3[[#This Row],[Site]],'Important Info!'!$A$1:$F$135,4,FALSE)</f>
        <v>-</v>
      </c>
      <c r="O337" s="52" t="str">
        <f>VLOOKUP(Tabla3[[#This Row],[Site]],'Important Info!'!$A$1:$F$135,5,FALSE)</f>
        <v>-</v>
      </c>
      <c r="P337" s="52" t="str">
        <f>VLOOKUP(Tabla3[[#This Row],[Site]],'Important Info!'!$A$1:$F$135,6,FALSE)</f>
        <v>1, 3</v>
      </c>
      <c r="Q337" s="91">
        <f>VLOOKUP(Tabla3[[#This Row],[Site]],'Important Info!'!$A$1:$J$135,9,FALSE)</f>
        <v>138</v>
      </c>
    </row>
    <row r="338" spans="1:17" x14ac:dyDescent="0.25">
      <c r="A338" t="str">
        <f>+Tabla3[[#This Row],[Site]]&amp;Tabla3[[#This Row],[Split]]</f>
        <v>(AS) Park Place Volvo Sales (NO TOURS)6</v>
      </c>
      <c r="B338">
        <v>6</v>
      </c>
      <c r="C338">
        <v>6</v>
      </c>
      <c r="D338" t="s">
        <v>33</v>
      </c>
      <c r="E338" t="s">
        <v>46</v>
      </c>
      <c r="F338" t="s">
        <v>521</v>
      </c>
      <c r="G338" t="s">
        <v>34</v>
      </c>
      <c r="H338" s="52" t="str">
        <f>VLOOKUP(Tabla3[[#This Row],[Site]],'Important Info!'!$A$1:$J$135,10,FALSE)</f>
        <v>https://tools.sig.systems/site/details/139</v>
      </c>
      <c r="I338" s="65" t="s">
        <v>125</v>
      </c>
      <c r="J338" t="s">
        <v>41</v>
      </c>
      <c r="K338" s="79" t="str">
        <f>VLOOKUP(Tabla3[[#This Row],[Site]],'Important Info!'!$A$1:$H$135,8,FALSE)</f>
        <v>-</v>
      </c>
      <c r="L338" s="52" t="str">
        <f>VLOOKUP(Tabla3[[#This Row],[Site]],'Important Info!'!$A$1:$F$135,2,FALSE)</f>
        <v>4, 6, 9, 11</v>
      </c>
      <c r="M338" s="52" t="str">
        <f>VLOOKUP(Tabla3[[#This Row],[Site]],'Important Info!'!$A$1:$F$135,3,FALSE)</f>
        <v>-</v>
      </c>
      <c r="N338" s="52" t="str">
        <f>VLOOKUP(Tabla3[[#This Row],[Site]],'Important Info!'!$A$1:$F$135,4,FALSE)</f>
        <v>-</v>
      </c>
      <c r="O338" s="52" t="str">
        <f>VLOOKUP(Tabla3[[#This Row],[Site]],'Important Info!'!$A$1:$F$135,5,FALSE)</f>
        <v>2, 9</v>
      </c>
      <c r="P338" s="52" t="str">
        <f>VLOOKUP(Tabla3[[#This Row],[Site]],'Important Info!'!$A$1:$F$135,6,FALSE)</f>
        <v>4, 10, 11</v>
      </c>
      <c r="Q338" s="91">
        <f>VLOOKUP(Tabla3[[#This Row],[Site]],'Important Info!'!$A$1:$J$135,9,FALSE)</f>
        <v>139</v>
      </c>
    </row>
    <row r="339" spans="1:17" x14ac:dyDescent="0.25">
      <c r="A339" t="str">
        <f>+Tabla3[[#This Row],[Site]]&amp;Tabla3[[#This Row],[Split]]</f>
        <v>(AS) Stevinson Porsche of Littleton (NO TOURS)6</v>
      </c>
      <c r="B339">
        <v>6</v>
      </c>
      <c r="C339">
        <v>6</v>
      </c>
      <c r="D339" t="s">
        <v>44</v>
      </c>
      <c r="E339" t="s">
        <v>53</v>
      </c>
      <c r="F339" t="s">
        <v>78</v>
      </c>
      <c r="G339" t="s">
        <v>45</v>
      </c>
      <c r="H339" s="52" t="str">
        <f>VLOOKUP(Tabla3[[#This Row],[Site]],'Important Info!'!$A$1:$J$135,10,FALSE)</f>
        <v>https://tools.sig.systems/site/details/242</v>
      </c>
      <c r="I339" s="2"/>
      <c r="J339" t="s">
        <v>41</v>
      </c>
      <c r="K339" s="79" t="str">
        <f>VLOOKUP(Tabla3[[#This Row],[Site]],'Important Info!'!$A$1:$H$135,8,FALSE)</f>
        <v>-</v>
      </c>
      <c r="L339" s="52" t="str">
        <f>VLOOKUP(Tabla3[[#This Row],[Site]],'Important Info!'!$A$1:$F$135,2,FALSE)</f>
        <v>3, 4</v>
      </c>
      <c r="M339" s="52">
        <f>VLOOKUP(Tabla3[[#This Row],[Site]],'Important Info!'!$A$1:$F$135,3,FALSE)</f>
        <v>2</v>
      </c>
      <c r="N339" s="52" t="str">
        <f>VLOOKUP(Tabla3[[#This Row],[Site]],'Important Info!'!$A$1:$F$135,4,FALSE)</f>
        <v>-</v>
      </c>
      <c r="O339" s="52" t="str">
        <f>VLOOKUP(Tabla3[[#This Row],[Site]],'Important Info!'!$A$1:$F$135,5,FALSE)</f>
        <v>-</v>
      </c>
      <c r="P339" s="52" t="str">
        <f>VLOOKUP(Tabla3[[#This Row],[Site]],'Important Info!'!$A$1:$F$135,6,FALSE)</f>
        <v>3, 4</v>
      </c>
      <c r="Q339" s="91">
        <f>VLOOKUP(Tabla3[[#This Row],[Site]],'Important Info!'!$A$1:$J$135,9,FALSE)</f>
        <v>242</v>
      </c>
    </row>
    <row r="340" spans="1:17" x14ac:dyDescent="0.25">
      <c r="A340" t="str">
        <f>+Tabla3[[#This Row],[Site]]&amp;Tabla3[[#This Row],[Split]]</f>
        <v>(AS) Stevinson Toyota West (NO TOURS)6</v>
      </c>
      <c r="B340">
        <v>6</v>
      </c>
      <c r="C340">
        <v>6</v>
      </c>
      <c r="D340" t="s">
        <v>44</v>
      </c>
      <c r="E340" t="s">
        <v>53</v>
      </c>
      <c r="F340" t="s">
        <v>79</v>
      </c>
      <c r="G340" t="s">
        <v>45</v>
      </c>
      <c r="H340" s="52" t="str">
        <f>VLOOKUP(Tabla3[[#This Row],[Site]],'Important Info!'!$A$1:$J$135,10,FALSE)</f>
        <v>https://tools.sig.systems/site/details/240</v>
      </c>
      <c r="I340" s="43" t="s">
        <v>154</v>
      </c>
      <c r="J340" t="s">
        <v>41</v>
      </c>
      <c r="K340" s="79" t="str">
        <f>VLOOKUP(Tabla3[[#This Row],[Site]],'Important Info!'!$A$1:$H$135,8,FALSE)</f>
        <v>-</v>
      </c>
      <c r="L340" s="52" t="str">
        <f>VLOOKUP(Tabla3[[#This Row],[Site]],'Important Info!'!$A$1:$F$135,2,FALSE)</f>
        <v>-</v>
      </c>
      <c r="M340" s="52" t="str">
        <f>VLOOKUP(Tabla3[[#This Row],[Site]],'Important Info!'!$A$1:$F$135,3,FALSE)</f>
        <v>7, 18, 21</v>
      </c>
      <c r="N340" s="52" t="str">
        <f>VLOOKUP(Tabla3[[#This Row],[Site]],'Important Info!'!$A$1:$F$135,4,FALSE)</f>
        <v>-</v>
      </c>
      <c r="O340" s="52" t="str">
        <f>VLOOKUP(Tabla3[[#This Row],[Site]],'Important Info!'!$A$1:$F$135,5,FALSE)</f>
        <v>11, 24, 34</v>
      </c>
      <c r="P340" s="52" t="str">
        <f>VLOOKUP(Tabla3[[#This Row],[Site]],'Important Info!'!$A$1:$F$135,6,FALSE)</f>
        <v>1, 2, 3, 12</v>
      </c>
      <c r="Q340" s="91">
        <f>VLOOKUP(Tabla3[[#This Row],[Site]],'Important Info!'!$A$1:$J$135,9,FALSE)</f>
        <v>240</v>
      </c>
    </row>
    <row r="341" spans="1:17" x14ac:dyDescent="0.25">
      <c r="A341" t="str">
        <f>+Tabla3[[#This Row],[Site]]&amp;Tabla3[[#This Row],[Split]]</f>
        <v>(DT) Escondido6</v>
      </c>
      <c r="B341">
        <v>6</v>
      </c>
      <c r="C341">
        <v>6</v>
      </c>
      <c r="D341" t="s">
        <v>51</v>
      </c>
      <c r="E341" t="s">
        <v>159</v>
      </c>
      <c r="F341" t="s">
        <v>112</v>
      </c>
      <c r="G341" t="s">
        <v>164</v>
      </c>
      <c r="H341" s="52" t="str">
        <f>VLOOKUP(Tabla3[[#This Row],[Site]],'Important Info!'!$A$1:$J$135,10,FALSE)</f>
        <v>https://tools.sig.systems/site/details/196</v>
      </c>
      <c r="J341" t="s">
        <v>41</v>
      </c>
      <c r="K341" s="79" t="str">
        <f>VLOOKUP(Tabla3[[#This Row],[Site]],'Important Info!'!$A$1:$H$135,8,FALSE)</f>
        <v>Saturday Drop Time 9:00 A.M.</v>
      </c>
      <c r="L341" s="52" t="str">
        <f>VLOOKUP(Tabla3[[#This Row],[Site]],'Important Info!'!$A$1:$F$135,2,FALSE)</f>
        <v>1, 2</v>
      </c>
      <c r="M341" s="52" t="str">
        <f>VLOOKUP(Tabla3[[#This Row],[Site]],'Important Info!'!$A$1:$F$135,3,FALSE)</f>
        <v>-</v>
      </c>
      <c r="N341" s="52" t="str">
        <f>VLOOKUP(Tabla3[[#This Row],[Site]],'Important Info!'!$A$1:$F$135,4,FALSE)</f>
        <v>-</v>
      </c>
      <c r="O341" s="52" t="str">
        <f>VLOOKUP(Tabla3[[#This Row],[Site]],'Important Info!'!$A$1:$F$135,5,FALSE)</f>
        <v>-</v>
      </c>
      <c r="P341" s="52" t="str">
        <f>VLOOKUP(Tabla3[[#This Row],[Site]],'Important Info!'!$A$1:$F$135,6,FALSE)</f>
        <v>5, 7, 8</v>
      </c>
      <c r="Q341" s="91">
        <f>VLOOKUP(Tabla3[[#This Row],[Site]],'Important Info!'!$A$1:$J$135,9,FALSE)</f>
        <v>196</v>
      </c>
    </row>
    <row r="342" spans="1:17" x14ac:dyDescent="0.25">
      <c r="A342" t="str">
        <f>+Tabla3[[#This Row],[Site]]&amp;Tabla3[[#This Row],[Split]]</f>
        <v>(HUD) Nissan Greensboro6</v>
      </c>
      <c r="B342">
        <v>6</v>
      </c>
      <c r="C342">
        <v>6</v>
      </c>
      <c r="D342" t="s">
        <v>62</v>
      </c>
      <c r="E342" t="s">
        <v>35</v>
      </c>
      <c r="F342" t="s">
        <v>66</v>
      </c>
      <c r="G342" t="s">
        <v>490</v>
      </c>
      <c r="H342" s="52" t="str">
        <f>VLOOKUP(Tabla3[[#This Row],[Site]],'Important Info!'!$A$1:$J$135,10,FALSE)</f>
        <v>https://tools.sig.systems/site/details/236</v>
      </c>
      <c r="I342" s="2" t="s">
        <v>184</v>
      </c>
      <c r="J342" t="s">
        <v>41</v>
      </c>
      <c r="K342" s="79" t="str">
        <f>VLOOKUP(Tabla3[[#This Row],[Site]],'Important Info!'!$A$1:$H$135,8,FALSE)</f>
        <v>-</v>
      </c>
      <c r="L342" s="52" t="str">
        <f>VLOOKUP(Tabla3[[#This Row],[Site]],'Important Info!'!$A$1:$F$135,2,FALSE)</f>
        <v>1, 5, 12</v>
      </c>
      <c r="M342" s="52" t="str">
        <f>VLOOKUP(Tabla3[[#This Row],[Site]],'Important Info!'!$A$1:$F$135,3,FALSE)</f>
        <v>-</v>
      </c>
      <c r="N342" s="52" t="str">
        <f>VLOOKUP(Tabla3[[#This Row],[Site]],'Important Info!'!$A$1:$F$135,4,FALSE)</f>
        <v>-</v>
      </c>
      <c r="O342" s="52" t="str">
        <f>VLOOKUP(Tabla3[[#This Row],[Site]],'Important Info!'!$A$1:$F$135,5,FALSE)</f>
        <v>-</v>
      </c>
      <c r="P342" s="52">
        <f>VLOOKUP(Tabla3[[#This Row],[Site]],'Important Info!'!$A$1:$F$135,6,FALSE)</f>
        <v>4</v>
      </c>
      <c r="Q342" s="91">
        <f>VLOOKUP(Tabla3[[#This Row],[Site]],'Important Info!'!$A$1:$J$135,9,FALSE)</f>
        <v>236</v>
      </c>
    </row>
    <row r="343" spans="1:17" x14ac:dyDescent="0.25">
      <c r="A343" t="str">
        <f>+Tabla3[[#This Row],[Site]]&amp;Tabla3[[#This Row],[Split]]</f>
        <v>(HUD) Paint and Body Center (NO TOURS)6</v>
      </c>
      <c r="B343">
        <v>6</v>
      </c>
      <c r="C343">
        <v>6</v>
      </c>
      <c r="D343" t="s">
        <v>62</v>
      </c>
      <c r="E343" t="s">
        <v>35</v>
      </c>
      <c r="F343" t="s">
        <v>110</v>
      </c>
      <c r="G343" t="s">
        <v>490</v>
      </c>
      <c r="H343" s="52" t="str">
        <f>VLOOKUP(Tabla3[[#This Row],[Site]],'Important Info!'!$A$1:$J$135,10,FALSE)</f>
        <v>https://tools.sig.systems/site/details/256</v>
      </c>
      <c r="I343" t="s">
        <v>184</v>
      </c>
      <c r="J343" t="s">
        <v>41</v>
      </c>
      <c r="K343" s="79" t="str">
        <f>VLOOKUP(Tabla3[[#This Row],[Site]],'Important Info!'!$A$1:$H$135,8,FALSE)</f>
        <v>-</v>
      </c>
      <c r="L343" s="52" t="str">
        <f>VLOOKUP(Tabla3[[#This Row],[Site]],'Important Info!'!$A$1:$F$135,2,FALSE)</f>
        <v>-</v>
      </c>
      <c r="M343" s="52">
        <f>VLOOKUP(Tabla3[[#This Row],[Site]],'Important Info!'!$A$1:$F$135,3,FALSE)</f>
        <v>1</v>
      </c>
      <c r="N343" s="52" t="str">
        <f>VLOOKUP(Tabla3[[#This Row],[Site]],'Important Info!'!$A$1:$F$135,4,FALSE)</f>
        <v>-</v>
      </c>
      <c r="O343" s="52" t="str">
        <f>VLOOKUP(Tabla3[[#This Row],[Site]],'Important Info!'!$A$1:$F$135,5,FALSE)</f>
        <v>-</v>
      </c>
      <c r="P343" s="52" t="str">
        <f>VLOOKUP(Tabla3[[#This Row],[Site]],'Important Info!'!$A$1:$F$135,6,FALSE)</f>
        <v>-</v>
      </c>
      <c r="Q343" s="91">
        <f>VLOOKUP(Tabla3[[#This Row],[Site]],'Important Info!'!$A$1:$J$135,9,FALSE)</f>
        <v>256</v>
      </c>
    </row>
    <row r="344" spans="1:17" x14ac:dyDescent="0.25">
      <c r="A344" t="str">
        <f>+Tabla3[[#This Row],[Site]]&amp;Tabla3[[#This Row],[Split]]</f>
        <v>(KG) Big Star Ford6</v>
      </c>
      <c r="B344">
        <v>6</v>
      </c>
      <c r="C344">
        <v>6</v>
      </c>
      <c r="D344" t="s">
        <v>33</v>
      </c>
      <c r="E344" t="s">
        <v>46</v>
      </c>
      <c r="F344" t="s">
        <v>135</v>
      </c>
      <c r="G344" t="s">
        <v>34</v>
      </c>
      <c r="H344" s="52" t="str">
        <f>VLOOKUP(Tabla3[[#This Row],[Site]],'Important Info!'!$A$1:$J$135,10,FALSE)</f>
        <v>https://tools.sig.systems/site/details/235</v>
      </c>
      <c r="I344" s="2"/>
      <c r="J344" t="s">
        <v>41</v>
      </c>
      <c r="K344" s="79" t="str">
        <f>VLOOKUP(Tabla3[[#This Row],[Site]],'Important Info!'!$A$1:$H$135,8,FALSE)</f>
        <v>-</v>
      </c>
      <c r="L344" s="52" t="str">
        <f>VLOOKUP(Tabla3[[#This Row],[Site]],'Important Info!'!$A$1:$F$135,2,FALSE)</f>
        <v>4, 22, 32, 33</v>
      </c>
      <c r="M344" s="52" t="str">
        <f>VLOOKUP(Tabla3[[#This Row],[Site]],'Important Info!'!$A$1:$F$135,3,FALSE)</f>
        <v>-</v>
      </c>
      <c r="N344" s="52" t="str">
        <f>VLOOKUP(Tabla3[[#This Row],[Site]],'Important Info!'!$A$1:$F$135,4,FALSE)</f>
        <v>-</v>
      </c>
      <c r="O344" s="52" t="str">
        <f>VLOOKUP(Tabla3[[#This Row],[Site]],'Important Info!'!$A$1:$F$135,5,FALSE)</f>
        <v>1, 5, 12, 21</v>
      </c>
      <c r="P344" s="52">
        <f>VLOOKUP(Tabla3[[#This Row],[Site]],'Important Info!'!$A$1:$F$135,6,FALSE)</f>
        <v>22</v>
      </c>
      <c r="Q344" s="91">
        <f>VLOOKUP(Tabla3[[#This Row],[Site]],'Important Info!'!$A$1:$J$135,9,FALSE)</f>
        <v>235</v>
      </c>
    </row>
    <row r="345" spans="1:17" x14ac:dyDescent="0.25">
      <c r="A345" t="str">
        <f>+Tabla3[[#This Row],[Site]]&amp;Tabla3[[#This Row],[Split]]</f>
        <v>(KG) Big Star Honda6</v>
      </c>
      <c r="B345">
        <v>6</v>
      </c>
      <c r="C345">
        <v>6</v>
      </c>
      <c r="D345" t="s">
        <v>33</v>
      </c>
      <c r="E345" t="s">
        <v>46</v>
      </c>
      <c r="F345" t="s">
        <v>136</v>
      </c>
      <c r="G345" t="s">
        <v>34</v>
      </c>
      <c r="H345" s="52" t="str">
        <f>VLOOKUP(Tabla3[[#This Row],[Site]],'Important Info!'!$A$1:$J$135,10,FALSE)</f>
        <v>https://tools.sig.systems/site/details/231</v>
      </c>
      <c r="I345" s="2"/>
      <c r="J345" t="s">
        <v>41</v>
      </c>
      <c r="K345" s="79" t="str">
        <f>VLOOKUP(Tabla3[[#This Row],[Site]],'Important Info!'!$A$1:$H$135,8,FALSE)</f>
        <v>-</v>
      </c>
      <c r="L345" s="52" t="str">
        <f>VLOOKUP(Tabla3[[#This Row],[Site]],'Important Info!'!$A$1:$F$135,2,FALSE)</f>
        <v>2, 17, 33</v>
      </c>
      <c r="M345" s="52" t="str">
        <f>VLOOKUP(Tabla3[[#This Row],[Site]],'Important Info!'!$A$1:$F$135,3,FALSE)</f>
        <v>-</v>
      </c>
      <c r="N345" s="52" t="str">
        <f>VLOOKUP(Tabla3[[#This Row],[Site]],'Important Info!'!$A$1:$F$135,4,FALSE)</f>
        <v>-</v>
      </c>
      <c r="O345" s="52" t="str">
        <f>VLOOKUP(Tabla3[[#This Row],[Site]],'Important Info!'!$A$1:$F$135,5,FALSE)</f>
        <v>3, 11, 16, 21, 24, 31, 34</v>
      </c>
      <c r="P345" s="52" t="str">
        <f>VLOOKUP(Tabla3[[#This Row],[Site]],'Important Info!'!$A$1:$F$135,6,FALSE)</f>
        <v xml:space="preserve">2, 3, 17, 22, 37, 41, 42 </v>
      </c>
      <c r="Q345" s="91">
        <f>VLOOKUP(Tabla3[[#This Row],[Site]],'Important Info!'!$A$1:$J$135,9,FALSE)</f>
        <v>231</v>
      </c>
    </row>
    <row r="346" spans="1:17" x14ac:dyDescent="0.25">
      <c r="A346" t="str">
        <f>+Tabla3[[#This Row],[Site]]&amp;Tabla3[[#This Row],[Split]]</f>
        <v>(ML) Joe Machens Capital City I &amp; II (NO TOURS)6</v>
      </c>
      <c r="B346">
        <v>6</v>
      </c>
      <c r="C346">
        <v>6</v>
      </c>
      <c r="D346" t="s">
        <v>33</v>
      </c>
      <c r="E346" t="s">
        <v>46</v>
      </c>
      <c r="F346" t="s">
        <v>72</v>
      </c>
      <c r="G346" t="s">
        <v>34</v>
      </c>
      <c r="H346" s="52" t="str">
        <f>VLOOKUP(Tabla3[[#This Row],[Site]],'Important Info!'!$A$1:$J$135,10,FALSE)</f>
        <v>https://tools.sig.systems/site/details/271</v>
      </c>
      <c r="J346" t="s">
        <v>41</v>
      </c>
      <c r="K346" s="79" t="str">
        <f>VLOOKUP(Tabla3[[#This Row],[Site]],'Important Info!'!$A$1:$H$135,8,FALSE)</f>
        <v>-</v>
      </c>
      <c r="L346" s="52" t="str">
        <f>VLOOKUP(Tabla3[[#This Row],[Site]],'Important Info!'!$A$1:$F$135,2,FALSE)</f>
        <v>-</v>
      </c>
      <c r="M346" s="52" t="str">
        <f>VLOOKUP(Tabla3[[#This Row],[Site]],'Important Info!'!$A$1:$F$135,3,FALSE)</f>
        <v>1, 3, 4, 20, 25, 27, 28</v>
      </c>
      <c r="N346" s="52" t="str">
        <f>VLOOKUP(Tabla3[[#This Row],[Site]],'Important Info!'!$A$1:$F$135,4,FALSE)</f>
        <v>-</v>
      </c>
      <c r="O346" s="52">
        <f>VLOOKUP(Tabla3[[#This Row],[Site]],'Important Info!'!$A$1:$F$135,5,FALSE)</f>
        <v>29</v>
      </c>
      <c r="P346" s="52" t="str">
        <f>VLOOKUP(Tabla3[[#This Row],[Site]],'Important Info!'!$A$1:$F$135,6,FALSE)</f>
        <v>19, 20</v>
      </c>
      <c r="Q346" s="91">
        <f>VLOOKUP(Tabla3[[#This Row],[Site]],'Important Info!'!$A$1:$J$135,9,FALSE)</f>
        <v>271</v>
      </c>
    </row>
    <row r="347" spans="1:17" x14ac:dyDescent="0.25">
      <c r="A347" t="str">
        <f>+Tabla3[[#This Row],[Site]]&amp;Tabla3[[#This Row],[Split]]</f>
        <v>(ML) McLarty Gray-Daniels Toyota Nissan6</v>
      </c>
      <c r="B347">
        <v>6</v>
      </c>
      <c r="C347">
        <v>6</v>
      </c>
      <c r="D347" t="s">
        <v>33</v>
      </c>
      <c r="E347" t="s">
        <v>46</v>
      </c>
      <c r="F347" t="s">
        <v>90</v>
      </c>
      <c r="G347" t="s">
        <v>34</v>
      </c>
      <c r="H347" s="52" t="str">
        <f>VLOOKUP(Tabla3[[#This Row],[Site]],'Important Info!'!$A$1:$J$135,10,FALSE)</f>
        <v>https://tools.sig.systems/site/details/152</v>
      </c>
      <c r="I347" s="2" t="s">
        <v>150</v>
      </c>
      <c r="J347" t="s">
        <v>41</v>
      </c>
      <c r="K347" s="79" t="str">
        <f>VLOOKUP(Tabla3[[#This Row],[Site]],'Important Info!'!$A$1:$H$135,8,FALSE)</f>
        <v>-</v>
      </c>
      <c r="L347" s="52" t="str">
        <f>VLOOKUP(Tabla3[[#This Row],[Site]],'Important Info!'!$A$1:$F$135,2,FALSE)</f>
        <v>-</v>
      </c>
      <c r="M347" s="52" t="str">
        <f>VLOOKUP(Tabla3[[#This Row],[Site]],'Important Info!'!$A$1:$F$135,3,FALSE)</f>
        <v>8, 11, 39, 43</v>
      </c>
      <c r="N347" s="52" t="str">
        <f>VLOOKUP(Tabla3[[#This Row],[Site]],'Important Info!'!$A$1:$F$135,4,FALSE)</f>
        <v>-</v>
      </c>
      <c r="O347" s="52" t="str">
        <f>VLOOKUP(Tabla3[[#This Row],[Site]],'Important Info!'!$A$1:$F$135,5,FALSE)</f>
        <v>6, 11, 15, 18</v>
      </c>
      <c r="P347" s="52" t="str">
        <f>VLOOKUP(Tabla3[[#This Row],[Site]],'Important Info!'!$A$1:$F$135,6,FALSE)</f>
        <v>7, 8, 9</v>
      </c>
      <c r="Q347" s="91">
        <f>VLOOKUP(Tabla3[[#This Row],[Site]],'Important Info!'!$A$1:$J$135,9,FALSE)</f>
        <v>152</v>
      </c>
    </row>
    <row r="348" spans="1:17" x14ac:dyDescent="0.25">
      <c r="A348" t="str">
        <f>+Tabla3[[#This Row],[Site]]&amp;Tabla3[[#This Row],[Split]]</f>
        <v>(ML) McLarty-Gray Daniels Chevrolet6</v>
      </c>
      <c r="B348">
        <v>6</v>
      </c>
      <c r="C348">
        <v>6</v>
      </c>
      <c r="D348" t="s">
        <v>33</v>
      </c>
      <c r="E348" t="s">
        <v>46</v>
      </c>
      <c r="F348" t="s">
        <v>151</v>
      </c>
      <c r="G348" t="s">
        <v>34</v>
      </c>
      <c r="H348" s="52" t="str">
        <f>VLOOKUP(Tabla3[[#This Row],[Site]],'Important Info!'!$A$1:$J$135,10,FALSE)</f>
        <v>https://tools.sig.systems/site/details/150</v>
      </c>
      <c r="J348" t="s">
        <v>41</v>
      </c>
      <c r="K348" s="79" t="str">
        <f>VLOOKUP(Tabla3[[#This Row],[Site]],'Important Info!'!$A$1:$H$135,8,FALSE)</f>
        <v>-</v>
      </c>
      <c r="L348" s="52" t="str">
        <f>VLOOKUP(Tabla3[[#This Row],[Site]],'Important Info!'!$A$1:$F$135,2,FALSE)</f>
        <v>3, 4, 5, 22, 24, 26, 28, 36</v>
      </c>
      <c r="M348" s="52" t="str">
        <f>VLOOKUP(Tabla3[[#This Row],[Site]],'Important Info!'!$A$1:$F$135,3,FALSE)</f>
        <v>-</v>
      </c>
      <c r="N348" s="52" t="str">
        <f>VLOOKUP(Tabla3[[#This Row],[Site]],'Important Info!'!$A$1:$F$135,4,FALSE)</f>
        <v>-</v>
      </c>
      <c r="O348" s="52" t="str">
        <f>VLOOKUP(Tabla3[[#This Row],[Site]],'Important Info!'!$A$1:$F$135,5,FALSE)</f>
        <v>4, 7, 12, 26</v>
      </c>
      <c r="P348" s="52" t="str">
        <f>VLOOKUP(Tabla3[[#This Row],[Site]],'Important Info!'!$A$1:$F$135,6,FALSE)</f>
        <v>1, 3, 5, 6, 23, 24</v>
      </c>
      <c r="Q348" s="91">
        <f>VLOOKUP(Tabla3[[#This Row],[Site]],'Important Info!'!$A$1:$J$135,9,FALSE)</f>
        <v>150</v>
      </c>
    </row>
    <row r="349" spans="1:17" x14ac:dyDescent="0.25">
      <c r="A349" t="str">
        <f>+Tabla3[[#This Row],[Site]]&amp;Tabla3[[#This Row],[Split]]</f>
        <v>(PE) BMW Tenafly (NO TOURS)6</v>
      </c>
      <c r="B349">
        <v>6</v>
      </c>
      <c r="C349">
        <v>6</v>
      </c>
      <c r="D349" t="s">
        <v>485</v>
      </c>
      <c r="E349" t="s">
        <v>35</v>
      </c>
      <c r="F349" t="s">
        <v>173</v>
      </c>
      <c r="G349" t="s">
        <v>490</v>
      </c>
      <c r="H349" s="52" t="str">
        <f>VLOOKUP(Tabla3[[#This Row],[Site]],'Important Info!'!$A$1:$J$135,10,FALSE)</f>
        <v>https://tools.sig.systems/site/details/155</v>
      </c>
      <c r="J349" t="s">
        <v>41</v>
      </c>
      <c r="K349" s="79" t="str">
        <f>VLOOKUP(Tabla3[[#This Row],[Site]],'Important Info!'!$A$1:$H$135,8,FALSE)</f>
        <v>-</v>
      </c>
      <c r="L349" s="52">
        <f>VLOOKUP(Tabla3[[#This Row],[Site]],'Important Info!'!$A$1:$F$135,2,FALSE)</f>
        <v>24</v>
      </c>
      <c r="M349" s="52" t="str">
        <f>VLOOKUP(Tabla3[[#This Row],[Site]],'Important Info!'!$A$1:$F$135,3,FALSE)</f>
        <v>1, 3, 4, 17, 23</v>
      </c>
      <c r="N349" s="52" t="str">
        <f>VLOOKUP(Tabla3[[#This Row],[Site]],'Important Info!'!$A$1:$F$135,4,FALSE)</f>
        <v>-</v>
      </c>
      <c r="O349" s="52" t="str">
        <f>VLOOKUP(Tabla3[[#This Row],[Site]],'Important Info!'!$A$1:$F$135,5,FALSE)</f>
        <v>-</v>
      </c>
      <c r="P349" s="52">
        <f>VLOOKUP(Tabla3[[#This Row],[Site]],'Important Info!'!$A$1:$F$135,6,FALSE)</f>
        <v>1</v>
      </c>
      <c r="Q349" s="91">
        <f>VLOOKUP(Tabla3[[#This Row],[Site]],'Important Info!'!$A$1:$J$135,9,FALSE)</f>
        <v>155</v>
      </c>
    </row>
    <row r="350" spans="1:17" x14ac:dyDescent="0.25">
      <c r="A350" t="str">
        <f>+Tabla3[[#This Row],[Site]]&amp;Tabla3[[#This Row],[Split]]</f>
        <v>(AS) Courtesy Honda Palm Harbor (NO TOURS)7</v>
      </c>
      <c r="B350">
        <v>7</v>
      </c>
      <c r="C350">
        <v>1</v>
      </c>
      <c r="D350" t="s">
        <v>62</v>
      </c>
      <c r="E350" t="s">
        <v>35</v>
      </c>
      <c r="F350" t="s">
        <v>108</v>
      </c>
      <c r="G350" t="s">
        <v>490</v>
      </c>
      <c r="H350" s="52" t="str">
        <f>VLOOKUP(Tabla3[[#This Row],[Site]],'Important Info!'!$A$1:$J$135,10,FALSE)</f>
        <v>https://tools.sig.systems/site/details/176</v>
      </c>
      <c r="I350" s="43"/>
      <c r="J350" t="s">
        <v>36</v>
      </c>
      <c r="K350" s="79" t="str">
        <f>VLOOKUP(Tabla3[[#This Row],[Site]],'Important Info!'!$A$1:$H$135,8,FALSE)</f>
        <v>-</v>
      </c>
      <c r="L350" s="52">
        <f>VLOOKUP(Tabla3[[#This Row],[Site]],'Important Info!'!$A$1:$F$135,2,FALSE)</f>
        <v>2</v>
      </c>
      <c r="M350" s="52" t="str">
        <f>VLOOKUP(Tabla3[[#This Row],[Site]],'Important Info!'!$A$1:$F$135,3,FALSE)</f>
        <v>-</v>
      </c>
      <c r="N350" s="52" t="str">
        <f>VLOOKUP(Tabla3[[#This Row],[Site]],'Important Info!'!$A$1:$F$135,4,FALSE)</f>
        <v>-</v>
      </c>
      <c r="O350" s="52" t="str">
        <f>VLOOKUP(Tabla3[[#This Row],[Site]],'Important Info!'!$A$1:$F$135,5,FALSE)</f>
        <v>4, 8, 21</v>
      </c>
      <c r="P350" s="52">
        <f>VLOOKUP(Tabla3[[#This Row],[Site]],'Important Info!'!$A$1:$F$135,6,FALSE)</f>
        <v>10</v>
      </c>
      <c r="Q350" s="91">
        <f>VLOOKUP(Tabla3[[#This Row],[Site]],'Important Info!'!$A$1:$J$135,9,FALSE)</f>
        <v>176</v>
      </c>
    </row>
    <row r="351" spans="1:17" x14ac:dyDescent="0.25">
      <c r="A351" t="str">
        <f>+Tabla3[[#This Row],[Site]]&amp;Tabla3[[#This Row],[Split]]</f>
        <v>(AS) Courtesy Hyundai/Nissan Tampa (NO TOURS)7</v>
      </c>
      <c r="B351">
        <v>7</v>
      </c>
      <c r="C351">
        <v>1</v>
      </c>
      <c r="D351" t="s">
        <v>62</v>
      </c>
      <c r="E351" t="s">
        <v>35</v>
      </c>
      <c r="F351" t="s">
        <v>504</v>
      </c>
      <c r="G351" t="s">
        <v>490</v>
      </c>
      <c r="H351" s="52" t="str">
        <f>VLOOKUP(Tabla3[[#This Row],[Site]],'Important Info!'!$A$1:$J$135,10,FALSE)</f>
        <v>https://tools.sig.systems/site/details/128</v>
      </c>
      <c r="I351" s="64"/>
      <c r="J351" t="s">
        <v>484</v>
      </c>
      <c r="K351" s="79" t="str">
        <f>VLOOKUP(Tabla3[[#This Row],[Site]],'Important Info!'!$A$1:$H$135,8,FALSE)</f>
        <v>-</v>
      </c>
      <c r="L351" s="52" t="str">
        <f>VLOOKUP(Tabla3[[#This Row],[Site]],'Important Info!'!$A$1:$F$135,2,FALSE)</f>
        <v>1, 16, 25, 27, 32</v>
      </c>
      <c r="M351" s="52" t="str">
        <f>VLOOKUP(Tabla3[[#This Row],[Site]],'Important Info!'!$A$1:$F$135,3,FALSE)</f>
        <v>-</v>
      </c>
      <c r="N351" s="52" t="str">
        <f>VLOOKUP(Tabla3[[#This Row],[Site]],'Important Info!'!$A$1:$F$135,4,FALSE)</f>
        <v>-</v>
      </c>
      <c r="O351" s="52" t="str">
        <f>VLOOKUP(Tabla3[[#This Row],[Site]],'Important Info!'!$A$1:$F$135,5,FALSE)</f>
        <v>4, 10, 16</v>
      </c>
      <c r="P351" s="52" t="str">
        <f>VLOOKUP(Tabla3[[#This Row],[Site]],'Important Info!'!$A$1:$F$135,6,FALSE)</f>
        <v>24, 25, 26 &amp; Remote Lots</v>
      </c>
      <c r="Q351" s="91">
        <f>VLOOKUP(Tabla3[[#This Row],[Site]],'Important Info!'!$A$1:$J$135,9,FALSE)</f>
        <v>128</v>
      </c>
    </row>
    <row r="352" spans="1:17" x14ac:dyDescent="0.25">
      <c r="A352" t="str">
        <f>+Tabla3[[#This Row],[Site]]&amp;Tabla3[[#This Row],[Split]]</f>
        <v>(AS) Lexus Grapevine I &amp; II (NO TOURS)7</v>
      </c>
      <c r="B352">
        <v>7</v>
      </c>
      <c r="C352">
        <v>1</v>
      </c>
      <c r="D352" t="s">
        <v>33</v>
      </c>
      <c r="E352" t="s">
        <v>46</v>
      </c>
      <c r="F352" t="s">
        <v>508</v>
      </c>
      <c r="G352" t="s">
        <v>34</v>
      </c>
      <c r="H352" s="52" t="str">
        <f>VLOOKUP(Tabla3[[#This Row],[Site]],'Important Info!'!$A$1:$J$135,10,FALSE)</f>
        <v>https://tools.sig.systems/site/details/136</v>
      </c>
      <c r="J352" t="s">
        <v>41</v>
      </c>
      <c r="K352" s="79" t="str">
        <f>VLOOKUP(Tabla3[[#This Row],[Site]],'Important Info!'!$A$1:$H$135,8,FALSE)</f>
        <v>-</v>
      </c>
      <c r="L352" s="52" t="str">
        <f>VLOOKUP(Tabla3[[#This Row],[Site]],'Important Info!'!$A$1:$F$135,2,FALSE)</f>
        <v>4, 10, 14, 18, 33</v>
      </c>
      <c r="M352" s="52" t="str">
        <f>VLOOKUP(Tabla3[[#This Row],[Site]],'Important Info!'!$A$1:$F$135,3,FALSE)</f>
        <v>-</v>
      </c>
      <c r="N352" s="52" t="str">
        <f>VLOOKUP(Tabla3[[#This Row],[Site]],'Important Info!'!$A$1:$F$135,4,FALSE)</f>
        <v>81, 82, 83</v>
      </c>
      <c r="O352" s="52" t="str">
        <f>VLOOKUP(Tabla3[[#This Row],[Site]],'Important Info!'!$A$1:$F$135,5,FALSE)</f>
        <v>4, 12, 15, 20, 30</v>
      </c>
      <c r="P352" s="52">
        <f>VLOOKUP(Tabla3[[#This Row],[Site]],'Important Info!'!$A$1:$F$135,6,FALSE)</f>
        <v>10</v>
      </c>
      <c r="Q352" s="91">
        <f>VLOOKUP(Tabla3[[#This Row],[Site]],'Important Info!'!$A$1:$J$135,9,FALSE)</f>
        <v>136</v>
      </c>
    </row>
    <row r="353" spans="1:17" x14ac:dyDescent="0.25">
      <c r="A353" t="str">
        <f>+Tabla3[[#This Row],[Site]]&amp;Tabla3[[#This Row],[Split]]</f>
        <v>(AS) Lexus Plano I &amp; II (NO TOURS)7</v>
      </c>
      <c r="B353">
        <v>7</v>
      </c>
      <c r="C353">
        <v>1</v>
      </c>
      <c r="D353" t="s">
        <v>33</v>
      </c>
      <c r="E353" t="s">
        <v>46</v>
      </c>
      <c r="F353" t="s">
        <v>524</v>
      </c>
      <c r="G353" t="s">
        <v>34</v>
      </c>
      <c r="H353" s="52" t="str">
        <f>VLOOKUP(Tabla3[[#This Row],[Site]],'Important Info!'!$A$1:$J$135,10,FALSE)</f>
        <v>https://tools.sig.systems/site/details/167</v>
      </c>
      <c r="I353" s="63" t="s">
        <v>127</v>
      </c>
      <c r="J353" t="s">
        <v>41</v>
      </c>
      <c r="K353" s="79" t="str">
        <f>VLOOKUP(Tabla3[[#This Row],[Site]],'Important Info!'!$A$1:$H$135,8,FALSE)</f>
        <v>-</v>
      </c>
      <c r="L353" s="52" t="str">
        <f>VLOOKUP(Tabla3[[#This Row],[Site]],'Important Info!'!$A$1:$F$135,2,FALSE)</f>
        <v>5, 9</v>
      </c>
      <c r="M353" s="52" t="str">
        <f>VLOOKUP(Tabla3[[#This Row],[Site]],'Important Info!'!$A$1:$F$135,3,FALSE)</f>
        <v>-</v>
      </c>
      <c r="N353" s="52" t="str">
        <f>VLOOKUP(Tabla3[[#This Row],[Site]],'Important Info!'!$A$1:$F$135,4,FALSE)</f>
        <v>101, 102, 103, 104</v>
      </c>
      <c r="O353" s="52" t="str">
        <f>VLOOKUP(Tabla3[[#This Row],[Site]],'Important Info!'!$A$1:$F$135,5,FALSE)</f>
        <v>4, 10, 28</v>
      </c>
      <c r="P353" s="52" t="str">
        <f>VLOOKUP(Tabla3[[#This Row],[Site]],'Important Info!'!$A$1:$F$135,6,FALSE)</f>
        <v>5, 9, 16</v>
      </c>
      <c r="Q353" s="91">
        <f>VLOOKUP(Tabla3[[#This Row],[Site]],'Important Info!'!$A$1:$J$135,9,FALSE)</f>
        <v>167</v>
      </c>
    </row>
    <row r="354" spans="1:17" x14ac:dyDescent="0.25">
      <c r="A354" t="str">
        <f>+Tabla3[[#This Row],[Site]]&amp;Tabla3[[#This Row],[Split]]</f>
        <v>(AS) Plaza Audi/Infiniti (NO TOURS)7</v>
      </c>
      <c r="B354">
        <v>7</v>
      </c>
      <c r="C354">
        <v>1</v>
      </c>
      <c r="D354" t="s">
        <v>33</v>
      </c>
      <c r="E354" t="s">
        <v>46</v>
      </c>
      <c r="F354" t="s">
        <v>91</v>
      </c>
      <c r="G354" t="s">
        <v>34</v>
      </c>
      <c r="H354" s="52" t="str">
        <f>VLOOKUP(Tabla3[[#This Row],[Site]],'Important Info!'!$A$1:$J$135,10,FALSE)</f>
        <v>https://tools.sig.systems/site/details/141</v>
      </c>
      <c r="I354" t="s">
        <v>130</v>
      </c>
      <c r="J354" t="s">
        <v>41</v>
      </c>
      <c r="K354" s="79" t="str">
        <f>VLOOKUP(Tabla3[[#This Row],[Site]],'Important Info!'!$A$1:$H$135,8,FALSE)</f>
        <v>-</v>
      </c>
      <c r="L354" s="52" t="str">
        <f>VLOOKUP(Tabla3[[#This Row],[Site]],'Important Info!'!$A$1:$F$135,2,FALSE)</f>
        <v>7, 25</v>
      </c>
      <c r="M354" s="52" t="str">
        <f>VLOOKUP(Tabla3[[#This Row],[Site]],'Important Info!'!$A$1:$F$135,3,FALSE)</f>
        <v>15, 17, 18</v>
      </c>
      <c r="N354" s="52" t="str">
        <f>VLOOKUP(Tabla3[[#This Row],[Site]],'Important Info!'!$A$1:$F$135,4,FALSE)</f>
        <v>-</v>
      </c>
      <c r="O354" s="52" t="str">
        <f>VLOOKUP(Tabla3[[#This Row],[Site]],'Important Info!'!$A$1:$F$135,5,FALSE)</f>
        <v>1, 24</v>
      </c>
      <c r="P354" s="52" t="str">
        <f>VLOOKUP(Tabla3[[#This Row],[Site]],'Important Info!'!$A$1:$F$135,6,FALSE)</f>
        <v>3, 15, 17</v>
      </c>
      <c r="Q354" s="91">
        <f>VLOOKUP(Tabla3[[#This Row],[Site]],'Important Info!'!$A$1:$J$135,9,FALSE)</f>
        <v>141</v>
      </c>
    </row>
    <row r="355" spans="1:17" x14ac:dyDescent="0.25">
      <c r="A355" t="str">
        <f>+Tabla3[[#This Row],[Site]]&amp;Tabla3[[#This Row],[Split]]</f>
        <v>(AS) Plaza Lexus/Mercedes/BMW (NO TOURS)7</v>
      </c>
      <c r="B355">
        <v>7</v>
      </c>
      <c r="C355">
        <v>1</v>
      </c>
      <c r="D355" t="s">
        <v>33</v>
      </c>
      <c r="E355" t="s">
        <v>46</v>
      </c>
      <c r="F355" t="s">
        <v>92</v>
      </c>
      <c r="G355" t="s">
        <v>34</v>
      </c>
      <c r="H355" s="52" t="str">
        <f>VLOOKUP(Tabla3[[#This Row],[Site]],'Important Info!'!$A$1:$J$135,10,FALSE)</f>
        <v>https://tools.sig.systems/site/details/141</v>
      </c>
      <c r="I355" t="s">
        <v>130</v>
      </c>
      <c r="J355" t="s">
        <v>41</v>
      </c>
      <c r="K355" s="79" t="str">
        <f>VLOOKUP(Tabla3[[#This Row],[Site]],'Important Info!'!$A$1:$H$135,8,FALSE)</f>
        <v>-</v>
      </c>
      <c r="L355" s="52" t="str">
        <f>VLOOKUP(Tabla3[[#This Row],[Site]],'Important Info!'!$A$1:$F$135,2,FALSE)</f>
        <v>3, 4, 18</v>
      </c>
      <c r="M355" s="52" t="str">
        <f>VLOOKUP(Tabla3[[#This Row],[Site]],'Important Info!'!$A$1:$F$135,3,FALSE)</f>
        <v>9, 10, 12, 13, 16, 17</v>
      </c>
      <c r="N355" s="52" t="str">
        <f>VLOOKUP(Tabla3[[#This Row],[Site]],'Important Info!'!$A$1:$F$135,4,FALSE)</f>
        <v>-</v>
      </c>
      <c r="O355" s="52">
        <f>VLOOKUP(Tabla3[[#This Row],[Site]],'Important Info!'!$A$1:$F$135,5,FALSE)</f>
        <v>2</v>
      </c>
      <c r="P355" s="52" t="str">
        <f>VLOOKUP(Tabla3[[#This Row],[Site]],'Important Info!'!$A$1:$F$135,6,FALSE)</f>
        <v>2, 16</v>
      </c>
      <c r="Q355" s="91">
        <f>VLOOKUP(Tabla3[[#This Row],[Site]],'Important Info!'!$A$1:$J$135,9,FALSE)</f>
        <v>141</v>
      </c>
    </row>
    <row r="356" spans="1:17" x14ac:dyDescent="0.25">
      <c r="A356" t="str">
        <f>+Tabla3[[#This Row],[Site]]&amp;Tabla3[[#This Row],[Split]]</f>
        <v>(AS) Stevinson JLR (NO TOURS)7</v>
      </c>
      <c r="B356">
        <v>7</v>
      </c>
      <c r="C356">
        <v>1</v>
      </c>
      <c r="D356" t="s">
        <v>44</v>
      </c>
      <c r="E356" t="s">
        <v>53</v>
      </c>
      <c r="F356" t="s">
        <v>93</v>
      </c>
      <c r="G356" t="s">
        <v>45</v>
      </c>
      <c r="H356" s="52" t="str">
        <f>VLOOKUP(Tabla3[[#This Row],[Site]],'Important Info!'!$A$1:$J$135,10,FALSE)</f>
        <v>https://tools.sig.systems/site/details/204</v>
      </c>
      <c r="I356" s="66"/>
      <c r="J356" t="s">
        <v>41</v>
      </c>
      <c r="K356" s="79" t="str">
        <f>VLOOKUP(Tabla3[[#This Row],[Site]],'Important Info!'!$A$1:$H$135,8,FALSE)</f>
        <v>-</v>
      </c>
      <c r="L356" s="52">
        <f>VLOOKUP(Tabla3[[#This Row],[Site]],'Important Info!'!$A$1:$F$135,2,FALSE)</f>
        <v>5</v>
      </c>
      <c r="M356" s="52">
        <f>VLOOKUP(Tabla3[[#This Row],[Site]],'Important Info!'!$A$1:$F$135,3,FALSE)</f>
        <v>4</v>
      </c>
      <c r="N356" s="52" t="str">
        <f>VLOOKUP(Tabla3[[#This Row],[Site]],'Important Info!'!$A$1:$F$135,4,FALSE)</f>
        <v>-</v>
      </c>
      <c r="O356" s="52">
        <f>VLOOKUP(Tabla3[[#This Row],[Site]],'Important Info!'!$A$1:$F$135,5,FALSE)</f>
        <v>3</v>
      </c>
      <c r="P356" s="52" t="str">
        <f>VLOOKUP(Tabla3[[#This Row],[Site]],'Important Info!'!$A$1:$F$135,6,FALSE)</f>
        <v>1, 4, 15, 16</v>
      </c>
      <c r="Q356" s="91">
        <f>VLOOKUP(Tabla3[[#This Row],[Site]],'Important Info!'!$A$1:$J$135,9,FALSE)</f>
        <v>204</v>
      </c>
    </row>
    <row r="357" spans="1:17" x14ac:dyDescent="0.25">
      <c r="A357" t="str">
        <f>+Tabla3[[#This Row],[Site]]&amp;Tabla3[[#This Row],[Split]]</f>
        <v>(AS) Stevinson Lexus of Lakewood (NO TOURS)7</v>
      </c>
      <c r="B357">
        <v>7</v>
      </c>
      <c r="C357">
        <v>1</v>
      </c>
      <c r="D357" t="s">
        <v>44</v>
      </c>
      <c r="E357" t="s">
        <v>53</v>
      </c>
      <c r="F357" t="s">
        <v>523</v>
      </c>
      <c r="G357" t="s">
        <v>45</v>
      </c>
      <c r="H357" s="52" t="str">
        <f>VLOOKUP(Tabla3[[#This Row],[Site]],'Important Info!'!$A$1:$J$135,10,FALSE)</f>
        <v>https://tools.sig.systems/site/details/260</v>
      </c>
      <c r="I357" s="2" t="s">
        <v>154</v>
      </c>
      <c r="J357" t="s">
        <v>41</v>
      </c>
      <c r="K357" s="79" t="str">
        <f>VLOOKUP(Tabla3[[#This Row],[Site]],'Important Info!'!$A$1:$H$135,8,FALSE)</f>
        <v>-</v>
      </c>
      <c r="L357" s="52" t="str">
        <f>VLOOKUP(Tabla3[[#This Row],[Site]],'Important Info!'!$A$1:$F$135,2,FALSE)</f>
        <v>-</v>
      </c>
      <c r="M357" s="52" t="str">
        <f>VLOOKUP(Tabla3[[#This Row],[Site]],'Important Info!'!$A$1:$F$135,3,FALSE)</f>
        <v>2, 10</v>
      </c>
      <c r="N357" s="52" t="str">
        <f>VLOOKUP(Tabla3[[#This Row],[Site]],'Important Info!'!$A$1:$F$135,4,FALSE)</f>
        <v>9, 17</v>
      </c>
      <c r="O357" s="52" t="str">
        <f>VLOOKUP(Tabla3[[#This Row],[Site]],'Important Info!'!$A$1:$F$135,5,FALSE)</f>
        <v>-</v>
      </c>
      <c r="P357" s="52" t="str">
        <f>VLOOKUP(Tabla3[[#This Row],[Site]],'Important Info!'!$A$1:$F$135,6,FALSE)</f>
        <v>1, 2</v>
      </c>
      <c r="Q357" s="91">
        <f>VLOOKUP(Tabla3[[#This Row],[Site]],'Important Info!'!$A$1:$J$135,9,FALSE)</f>
        <v>260</v>
      </c>
    </row>
    <row r="358" spans="1:17" x14ac:dyDescent="0.25">
      <c r="A358" t="str">
        <f>+Tabla3[[#This Row],[Site]]&amp;Tabla3[[#This Row],[Split]]</f>
        <v>(DT) Escondido7</v>
      </c>
      <c r="B358">
        <v>7</v>
      </c>
      <c r="C358">
        <v>1</v>
      </c>
      <c r="D358" t="s">
        <v>51</v>
      </c>
      <c r="E358" t="s">
        <v>159</v>
      </c>
      <c r="F358" t="s">
        <v>112</v>
      </c>
      <c r="G358" t="s">
        <v>164</v>
      </c>
      <c r="H358" s="52" t="str">
        <f>VLOOKUP(Tabla3[[#This Row],[Site]],'Important Info!'!$A$1:$J$135,10,FALSE)</f>
        <v>https://tools.sig.systems/site/details/196</v>
      </c>
      <c r="J358" t="s">
        <v>41</v>
      </c>
      <c r="K358" s="79" t="str">
        <f>VLOOKUP(Tabla3[[#This Row],[Site]],'Important Info!'!$A$1:$H$135,8,FALSE)</f>
        <v>Saturday Drop Time 9:00 A.M.</v>
      </c>
      <c r="L358" s="52" t="str">
        <f>VLOOKUP(Tabla3[[#This Row],[Site]],'Important Info!'!$A$1:$F$135,2,FALSE)</f>
        <v>1, 2</v>
      </c>
      <c r="M358" s="52" t="str">
        <f>VLOOKUP(Tabla3[[#This Row],[Site]],'Important Info!'!$A$1:$F$135,3,FALSE)</f>
        <v>-</v>
      </c>
      <c r="N358" s="52" t="str">
        <f>VLOOKUP(Tabla3[[#This Row],[Site]],'Important Info!'!$A$1:$F$135,4,FALSE)</f>
        <v>-</v>
      </c>
      <c r="O358" s="52" t="str">
        <f>VLOOKUP(Tabla3[[#This Row],[Site]],'Important Info!'!$A$1:$F$135,5,FALSE)</f>
        <v>-</v>
      </c>
      <c r="P358" s="52" t="str">
        <f>VLOOKUP(Tabla3[[#This Row],[Site]],'Important Info!'!$A$1:$F$135,6,FALSE)</f>
        <v>5, 7, 8</v>
      </c>
      <c r="Q358" s="91">
        <f>VLOOKUP(Tabla3[[#This Row],[Site]],'Important Info!'!$A$1:$J$135,9,FALSE)</f>
        <v>196</v>
      </c>
    </row>
    <row r="359" spans="1:17" x14ac:dyDescent="0.25">
      <c r="A359" t="str">
        <f>+Tabla3[[#This Row],[Site]]&amp;Tabla3[[#This Row],[Split]]</f>
        <v>(HUD) Nissan Greensboro7</v>
      </c>
      <c r="B359">
        <v>7</v>
      </c>
      <c r="C359">
        <v>1</v>
      </c>
      <c r="D359" t="s">
        <v>62</v>
      </c>
      <c r="E359" t="s">
        <v>35</v>
      </c>
      <c r="F359" t="s">
        <v>66</v>
      </c>
      <c r="G359" t="s">
        <v>490</v>
      </c>
      <c r="H359" s="52" t="str">
        <f>VLOOKUP(Tabla3[[#This Row],[Site]],'Important Info!'!$A$1:$J$135,10,FALSE)</f>
        <v>https://tools.sig.systems/site/details/236</v>
      </c>
      <c r="I359" t="s">
        <v>184</v>
      </c>
      <c r="J359" t="s">
        <v>41</v>
      </c>
      <c r="K359" s="79" t="str">
        <f>VLOOKUP(Tabla3[[#This Row],[Site]],'Important Info!'!$A$1:$H$135,8,FALSE)</f>
        <v>-</v>
      </c>
      <c r="L359" s="52" t="str">
        <f>VLOOKUP(Tabla3[[#This Row],[Site]],'Important Info!'!$A$1:$F$135,2,FALSE)</f>
        <v>1, 5, 12</v>
      </c>
      <c r="M359" s="52" t="str">
        <f>VLOOKUP(Tabla3[[#This Row],[Site]],'Important Info!'!$A$1:$F$135,3,FALSE)</f>
        <v>-</v>
      </c>
      <c r="N359" s="52" t="str">
        <f>VLOOKUP(Tabla3[[#This Row],[Site]],'Important Info!'!$A$1:$F$135,4,FALSE)</f>
        <v>-</v>
      </c>
      <c r="O359" s="52" t="str">
        <f>VLOOKUP(Tabla3[[#This Row],[Site]],'Important Info!'!$A$1:$F$135,5,FALSE)</f>
        <v>-</v>
      </c>
      <c r="P359" s="52">
        <f>VLOOKUP(Tabla3[[#This Row],[Site]],'Important Info!'!$A$1:$F$135,6,FALSE)</f>
        <v>4</v>
      </c>
      <c r="Q359" s="91">
        <f>VLOOKUP(Tabla3[[#This Row],[Site]],'Important Info!'!$A$1:$J$135,9,FALSE)</f>
        <v>236</v>
      </c>
    </row>
    <row r="360" spans="1:17" x14ac:dyDescent="0.25">
      <c r="A360" t="str">
        <f>+Tabla3[[#This Row],[Site]]&amp;Tabla3[[#This Row],[Split]]</f>
        <v>(HUD) Paint and Body Center (NO TOURS)7</v>
      </c>
      <c r="B360">
        <v>7</v>
      </c>
      <c r="C360">
        <v>1</v>
      </c>
      <c r="D360" t="s">
        <v>62</v>
      </c>
      <c r="E360" t="s">
        <v>35</v>
      </c>
      <c r="F360" t="s">
        <v>110</v>
      </c>
      <c r="G360" t="s">
        <v>490</v>
      </c>
      <c r="H360" s="52" t="str">
        <f>VLOOKUP(Tabla3[[#This Row],[Site]],'Important Info!'!$A$1:$J$135,10,FALSE)</f>
        <v>https://tools.sig.systems/site/details/256</v>
      </c>
      <c r="I360" t="s">
        <v>184</v>
      </c>
      <c r="J360" t="s">
        <v>41</v>
      </c>
      <c r="K360" s="79" t="str">
        <f>VLOOKUP(Tabla3[[#This Row],[Site]],'Important Info!'!$A$1:$H$135,8,FALSE)</f>
        <v>-</v>
      </c>
      <c r="L360" s="52" t="str">
        <f>VLOOKUP(Tabla3[[#This Row],[Site]],'Important Info!'!$A$1:$F$135,2,FALSE)</f>
        <v>-</v>
      </c>
      <c r="M360" s="52">
        <f>VLOOKUP(Tabla3[[#This Row],[Site]],'Important Info!'!$A$1:$F$135,3,FALSE)</f>
        <v>1</v>
      </c>
      <c r="N360" s="52" t="str">
        <f>VLOOKUP(Tabla3[[#This Row],[Site]],'Important Info!'!$A$1:$F$135,4,FALSE)</f>
        <v>-</v>
      </c>
      <c r="O360" s="52" t="str">
        <f>VLOOKUP(Tabla3[[#This Row],[Site]],'Important Info!'!$A$1:$F$135,5,FALSE)</f>
        <v>-</v>
      </c>
      <c r="P360" s="52" t="str">
        <f>VLOOKUP(Tabla3[[#This Row],[Site]],'Important Info!'!$A$1:$F$135,6,FALSE)</f>
        <v>-</v>
      </c>
      <c r="Q360" s="91">
        <f>VLOOKUP(Tabla3[[#This Row],[Site]],'Important Info!'!$A$1:$J$135,9,FALSE)</f>
        <v>256</v>
      </c>
    </row>
    <row r="361" spans="1:17" x14ac:dyDescent="0.25">
      <c r="A361" t="str">
        <f>+Tabla3[[#This Row],[Site]]&amp;Tabla3[[#This Row],[Split]]</f>
        <v>(KG) Truck Center Remote Storage Lot7</v>
      </c>
      <c r="B361">
        <v>7</v>
      </c>
      <c r="C361">
        <v>1</v>
      </c>
      <c r="D361" t="s">
        <v>60</v>
      </c>
      <c r="E361" t="s">
        <v>53</v>
      </c>
      <c r="F361" t="s">
        <v>61</v>
      </c>
      <c r="G361" t="s">
        <v>41</v>
      </c>
      <c r="H361" s="52" t="str">
        <f>VLOOKUP(Tabla3[[#This Row],[Site]],'Important Info!'!$A$1:$J$135,10,FALSE)</f>
        <v>https://tools.sig.systems/site/details/144</v>
      </c>
      <c r="J361" t="s">
        <v>41</v>
      </c>
      <c r="K361" s="79" t="str">
        <f>VLOOKUP(Tabla3[[#This Row],[Site]],'Important Info!'!$A$1:$H$135,8,FALSE)</f>
        <v>-</v>
      </c>
      <c r="L361" s="52" t="str">
        <f>VLOOKUP(Tabla3[[#This Row],[Site]],'Important Info!'!$A$1:$F$135,2,FALSE)</f>
        <v>4, A23, A49</v>
      </c>
      <c r="M361" s="52" t="str">
        <f>VLOOKUP(Tabla3[[#This Row],[Site]],'Important Info!'!$A$1:$F$135,3,FALSE)</f>
        <v>5, 24</v>
      </c>
      <c r="N361" s="52" t="str">
        <f>VLOOKUP(Tabla3[[#This Row],[Site]],'Important Info!'!$A$1:$F$135,4,FALSE)</f>
        <v>-</v>
      </c>
      <c r="O361" s="52" t="str">
        <f>VLOOKUP(Tabla3[[#This Row],[Site]],'Important Info!'!$A$1:$F$135,5,FALSE)</f>
        <v>1, 7, 11, 15, 19, 24, 25</v>
      </c>
      <c r="P361" s="52" t="str">
        <f>VLOOKUP(Tabla3[[#This Row],[Site]],'Important Info!'!$A$1:$F$135,6,FALSE)</f>
        <v>9, 20, 24, A49</v>
      </c>
      <c r="Q361" s="91">
        <f>VLOOKUP(Tabla3[[#This Row],[Site]],'Important Info!'!$A$1:$J$135,9,FALSE)</f>
        <v>144</v>
      </c>
    </row>
    <row r="362" spans="1:17" x14ac:dyDescent="0.25">
      <c r="A362" t="str">
        <f>+Tabla3[[#This Row],[Site]]&amp;Tabla3[[#This Row],[Split]]</f>
        <v>(LM) Luther Mazda / Mitsubishi7</v>
      </c>
      <c r="B362">
        <v>7</v>
      </c>
      <c r="C362">
        <v>1</v>
      </c>
      <c r="D362" t="s">
        <v>33</v>
      </c>
      <c r="E362" t="s">
        <v>46</v>
      </c>
      <c r="F362" t="s">
        <v>103</v>
      </c>
      <c r="G362" t="s">
        <v>34</v>
      </c>
      <c r="H362" s="52" t="str">
        <f>VLOOKUP(Tabla3[[#This Row],[Site]],'Important Info!'!$A$1:$J$135,10,FALSE)</f>
        <v>https://tools.sig.systems/site/details/147</v>
      </c>
      <c r="I362" s="2" t="s">
        <v>138</v>
      </c>
      <c r="J362" t="s">
        <v>41</v>
      </c>
      <c r="K362" s="79" t="str">
        <f>VLOOKUP(Tabla3[[#This Row],[Site]],'Important Info!'!$A$1:$H$135,8,FALSE)</f>
        <v>-</v>
      </c>
      <c r="L362" s="52" t="str">
        <f>VLOOKUP(Tabla3[[#This Row],[Site]],'Important Info!'!$A$1:$F$135,2,FALSE)</f>
        <v>4, 5, 6</v>
      </c>
      <c r="M362" s="52" t="str">
        <f>VLOOKUP(Tabla3[[#This Row],[Site]],'Important Info!'!$A$1:$F$135,3,FALSE)</f>
        <v>-</v>
      </c>
      <c r="N362" s="52" t="str">
        <f>VLOOKUP(Tabla3[[#This Row],[Site]],'Important Info!'!$A$1:$F$135,4,FALSE)</f>
        <v>1, 2</v>
      </c>
      <c r="O362" s="52" t="str">
        <f>VLOOKUP(Tabla3[[#This Row],[Site]],'Important Info!'!$A$1:$F$135,5,FALSE)</f>
        <v>-</v>
      </c>
      <c r="P362" s="52" t="str">
        <f>VLOOKUP(Tabla3[[#This Row],[Site]],'Important Info!'!$A$1:$F$135,6,FALSE)</f>
        <v>13, 14, 15, 16</v>
      </c>
      <c r="Q362" s="91">
        <f>VLOOKUP(Tabla3[[#This Row],[Site]],'Important Info!'!$A$1:$J$135,9,FALSE)</f>
        <v>147</v>
      </c>
    </row>
    <row r="363" spans="1:17" x14ac:dyDescent="0.25">
      <c r="A363" t="str">
        <f>+Tabla3[[#This Row],[Site]]&amp;Tabla3[[#This Row],[Split]]</f>
        <v>(ML) Joe Machens Toyota7</v>
      </c>
      <c r="B363">
        <v>7</v>
      </c>
      <c r="C363">
        <v>1</v>
      </c>
      <c r="D363" t="s">
        <v>33</v>
      </c>
      <c r="E363" t="s">
        <v>46</v>
      </c>
      <c r="F363" t="s">
        <v>73</v>
      </c>
      <c r="G363" t="s">
        <v>34</v>
      </c>
      <c r="H363" s="52" t="str">
        <f>VLOOKUP(Tabla3[[#This Row],[Site]],'Important Info!'!$A$1:$J$135,10,FALSE)</f>
        <v>https://tools.sig.systems/site/details/275</v>
      </c>
      <c r="I363" s="43" t="s">
        <v>146</v>
      </c>
      <c r="J363" t="s">
        <v>41</v>
      </c>
      <c r="K363" s="79" t="str">
        <f>VLOOKUP(Tabla3[[#This Row],[Site]],'Important Info!'!$A$1:$H$135,8,FALSE)</f>
        <v>-</v>
      </c>
      <c r="L363" s="52" t="str">
        <f>VLOOKUP(Tabla3[[#This Row],[Site]],'Important Info!'!$A$1:$F$135,2,FALSE)</f>
        <v>-</v>
      </c>
      <c r="M363" s="52" t="str">
        <f>VLOOKUP(Tabla3[[#This Row],[Site]],'Important Info!'!$A$1:$F$135,3,FALSE)</f>
        <v>1, 4, 6</v>
      </c>
      <c r="N363" s="52" t="str">
        <f>VLOOKUP(Tabla3[[#This Row],[Site]],'Important Info!'!$A$1:$F$135,4,FALSE)</f>
        <v>-</v>
      </c>
      <c r="O363" s="52" t="str">
        <f>VLOOKUP(Tabla3[[#This Row],[Site]],'Important Info!'!$A$1:$F$135,5,FALSE)</f>
        <v>4, 10</v>
      </c>
      <c r="P363" s="52" t="str">
        <f>VLOOKUP(Tabla3[[#This Row],[Site]],'Important Info!'!$A$1:$F$135,6,FALSE)</f>
        <v>-</v>
      </c>
      <c r="Q363" s="91">
        <f>VLOOKUP(Tabla3[[#This Row],[Site]],'Important Info!'!$A$1:$J$135,9,FALSE)</f>
        <v>275</v>
      </c>
    </row>
    <row r="364" spans="1:17" x14ac:dyDescent="0.25">
      <c r="A364" t="str">
        <f>+Tabla3[[#This Row],[Site]]&amp;Tabla3[[#This Row],[Split]]</f>
        <v>(ML) Joe Machens VW7</v>
      </c>
      <c r="B364">
        <v>7</v>
      </c>
      <c r="C364">
        <v>1</v>
      </c>
      <c r="D364" t="s">
        <v>33</v>
      </c>
      <c r="E364" t="s">
        <v>46</v>
      </c>
      <c r="F364" t="s">
        <v>74</v>
      </c>
      <c r="G364" t="s">
        <v>34</v>
      </c>
      <c r="H364" s="52" t="str">
        <f>VLOOKUP(Tabla3[[#This Row],[Site]],'Important Info!'!$A$1:$J$135,10,FALSE)</f>
        <v>https://tools.sig.systems/site/details/274</v>
      </c>
      <c r="I364" s="43" t="s">
        <v>146</v>
      </c>
      <c r="J364" t="s">
        <v>41</v>
      </c>
      <c r="K364" s="79" t="str">
        <f>VLOOKUP(Tabla3[[#This Row],[Site]],'Important Info!'!$A$1:$H$135,8,FALSE)</f>
        <v>-</v>
      </c>
      <c r="L364" s="52" t="str">
        <f>VLOOKUP(Tabla3[[#This Row],[Site]],'Important Info!'!$A$1:$F$135,2,FALSE)</f>
        <v>-</v>
      </c>
      <c r="M364" s="52" t="str">
        <f>VLOOKUP(Tabla3[[#This Row],[Site]],'Important Info!'!$A$1:$F$135,3,FALSE)</f>
        <v>1, 11, 18</v>
      </c>
      <c r="N364" s="52" t="str">
        <f>VLOOKUP(Tabla3[[#This Row],[Site]],'Important Info!'!$A$1:$F$135,4,FALSE)</f>
        <v>-</v>
      </c>
      <c r="O364" s="52">
        <f>VLOOKUP(Tabla3[[#This Row],[Site]],'Important Info!'!$A$1:$F$135,5,FALSE)</f>
        <v>17</v>
      </c>
      <c r="P364" s="52" t="str">
        <f>VLOOKUP(Tabla3[[#This Row],[Site]],'Important Info!'!$A$1:$F$135,6,FALSE)</f>
        <v>-</v>
      </c>
      <c r="Q364" s="91">
        <f>VLOOKUP(Tabla3[[#This Row],[Site]],'Important Info!'!$A$1:$J$135,9,FALSE)</f>
        <v>274</v>
      </c>
    </row>
    <row r="365" spans="1:17" x14ac:dyDescent="0.25">
      <c r="A365" t="str">
        <f>+Tabla3[[#This Row],[Site]]&amp;Tabla3[[#This Row],[Split]]</f>
        <v>(PE) Fairfield Collision (NO TOURS)7</v>
      </c>
      <c r="B365">
        <v>7</v>
      </c>
      <c r="C365">
        <v>1</v>
      </c>
      <c r="D365" t="s">
        <v>485</v>
      </c>
      <c r="E365" t="s">
        <v>35</v>
      </c>
      <c r="F365" t="s">
        <v>63</v>
      </c>
      <c r="G365" t="s">
        <v>490</v>
      </c>
      <c r="H365" s="52" t="str">
        <f>VLOOKUP(Tabla3[[#This Row],[Site]],'Important Info!'!$A$1:$J$135,10,FALSE)</f>
        <v>https://tools.sig.systems/site/details/191</v>
      </c>
      <c r="I365" s="43"/>
      <c r="J365" t="s">
        <v>41</v>
      </c>
      <c r="K365" s="79" t="str">
        <f>VLOOKUP(Tabla3[[#This Row],[Site]],'Important Info!'!$A$1:$H$135,8,FALSE)</f>
        <v>-</v>
      </c>
      <c r="L365" s="52">
        <f>VLOOKUP(Tabla3[[#This Row],[Site]],'Important Info!'!$A$1:$F$135,2,FALSE)</f>
        <v>4</v>
      </c>
      <c r="M365" s="52" t="str">
        <f>VLOOKUP(Tabla3[[#This Row],[Site]],'Important Info!'!$A$1:$F$135,3,FALSE)</f>
        <v>-</v>
      </c>
      <c r="N365" s="52" t="str">
        <f>VLOOKUP(Tabla3[[#This Row],[Site]],'Important Info!'!$A$1:$F$135,4,FALSE)</f>
        <v>-</v>
      </c>
      <c r="O365" s="52" t="str">
        <f>VLOOKUP(Tabla3[[#This Row],[Site]],'Important Info!'!$A$1:$F$135,5,FALSE)</f>
        <v>-</v>
      </c>
      <c r="P365" s="52" t="str">
        <f>VLOOKUP(Tabla3[[#This Row],[Site]],'Important Info!'!$A$1:$F$135,6,FALSE)</f>
        <v>1, 2, 3, 4, 5, 6</v>
      </c>
      <c r="Q365" s="91">
        <f>VLOOKUP(Tabla3[[#This Row],[Site]],'Important Info!'!$A$1:$J$135,9,FALSE)</f>
        <v>191</v>
      </c>
    </row>
    <row r="366" spans="1:17" x14ac:dyDescent="0.25">
      <c r="A366" t="str">
        <f>+Tabla3[[#This Row],[Site]]&amp;Tabla3[[#This Row],[Split]]</f>
        <v>(AS) Courtesy CDJR of Brandon (NO TOURS)7</v>
      </c>
      <c r="B366">
        <v>7</v>
      </c>
      <c r="C366">
        <v>2</v>
      </c>
      <c r="D366" t="s">
        <v>62</v>
      </c>
      <c r="E366" t="s">
        <v>35</v>
      </c>
      <c r="F366" t="s">
        <v>503</v>
      </c>
      <c r="G366" t="s">
        <v>490</v>
      </c>
      <c r="H366" s="52" t="str">
        <f>VLOOKUP(Tabla3[[#This Row],[Site]],'Important Info!'!$A$1:$J$135,10,FALSE)</f>
        <v>https://tools.sig.systems/site/details/126</v>
      </c>
      <c r="I366" s="43" t="s">
        <v>181</v>
      </c>
      <c r="J366" t="s">
        <v>484</v>
      </c>
      <c r="K366" s="79" t="str">
        <f>VLOOKUP(Tabla3[[#This Row],[Site]],'Important Info!'!$A$1:$H$135,8,FALSE)</f>
        <v>-</v>
      </c>
      <c r="L366" s="52" t="str">
        <f>VLOOKUP(Tabla3[[#This Row],[Site]],'Important Info!'!$A$1:$F$135,2,FALSE)</f>
        <v>1, 14, 15</v>
      </c>
      <c r="M366" s="52">
        <f>VLOOKUP(Tabla3[[#This Row],[Site]],'Important Info!'!$A$1:$F$135,3,FALSE)</f>
        <v>1</v>
      </c>
      <c r="N366" s="52" t="str">
        <f>VLOOKUP(Tabla3[[#This Row],[Site]],'Important Info!'!$A$1:$F$135,4,FALSE)</f>
        <v>-</v>
      </c>
      <c r="O366" s="52" t="str">
        <f>VLOOKUP(Tabla3[[#This Row],[Site]],'Important Info!'!$A$1:$F$135,5,FALSE)</f>
        <v>2, 12</v>
      </c>
      <c r="P366" s="52" t="str">
        <f>VLOOKUP(Tabla3[[#This Row],[Site]],'Important Info!'!$A$1:$F$135,6,FALSE)</f>
        <v xml:space="preserve">1, 2, 3, 4, 14, 15, 21, 25 </v>
      </c>
      <c r="Q366" s="91">
        <f>VLOOKUP(Tabla3[[#This Row],[Site]],'Important Info!'!$A$1:$J$135,9,FALSE)</f>
        <v>126</v>
      </c>
    </row>
    <row r="367" spans="1:17" x14ac:dyDescent="0.25">
      <c r="A367" t="str">
        <f>+Tabla3[[#This Row],[Site]]&amp;Tabla3[[#This Row],[Split]]</f>
        <v>(AS) Courtesy Kia of Brandon (NO TOURS)7</v>
      </c>
      <c r="B367">
        <v>7</v>
      </c>
      <c r="C367">
        <v>2</v>
      </c>
      <c r="D367" t="s">
        <v>62</v>
      </c>
      <c r="E367" t="s">
        <v>35</v>
      </c>
      <c r="F367" t="s">
        <v>505</v>
      </c>
      <c r="G367" t="s">
        <v>490</v>
      </c>
      <c r="H367" s="52" t="str">
        <f>VLOOKUP(Tabla3[[#This Row],[Site]],'Important Info!'!$A$1:$J$135,10,FALSE)</f>
        <v>https://tools.sig.systems/site/details/121</v>
      </c>
      <c r="I367" s="43" t="s">
        <v>181</v>
      </c>
      <c r="J367" t="s">
        <v>484</v>
      </c>
      <c r="K367" s="79" t="str">
        <f>VLOOKUP(Tabla3[[#This Row],[Site]],'Important Info!'!$A$1:$H$135,8,FALSE)</f>
        <v>-</v>
      </c>
      <c r="L367" s="52" t="str">
        <f>VLOOKUP(Tabla3[[#This Row],[Site]],'Important Info!'!$A$1:$F$135,2,FALSE)</f>
        <v>-</v>
      </c>
      <c r="M367" s="52" t="str">
        <f>VLOOKUP(Tabla3[[#This Row],[Site]],'Important Info!'!$A$1:$F$135,3,FALSE)</f>
        <v>4, 8</v>
      </c>
      <c r="N367" s="52" t="str">
        <f>VLOOKUP(Tabla3[[#This Row],[Site]],'Important Info!'!$A$1:$F$135,4,FALSE)</f>
        <v>-</v>
      </c>
      <c r="O367" s="52" t="str">
        <f>VLOOKUP(Tabla3[[#This Row],[Site]],'Important Info!'!$A$1:$F$135,5,FALSE)</f>
        <v>3, 11, 20, 24</v>
      </c>
      <c r="P367" s="52" t="str">
        <f>VLOOKUP(Tabla3[[#This Row],[Site]],'Important Info!'!$A$1:$F$135,6,FALSE)</f>
        <v>2, 8</v>
      </c>
      <c r="Q367" s="91">
        <f>VLOOKUP(Tabla3[[#This Row],[Site]],'Important Info!'!$A$1:$J$135,9,FALSE)</f>
        <v>121</v>
      </c>
    </row>
    <row r="368" spans="1:17" x14ac:dyDescent="0.25">
      <c r="A368" t="str">
        <f>+Tabla3[[#This Row],[Site]]&amp;Tabla3[[#This Row],[Split]]</f>
        <v>(AS) David McDavid Lincoln Frisco (NO TOURS)7</v>
      </c>
      <c r="B368">
        <v>7</v>
      </c>
      <c r="C368">
        <v>2</v>
      </c>
      <c r="D368" t="s">
        <v>33</v>
      </c>
      <c r="E368" t="s">
        <v>46</v>
      </c>
      <c r="F368" t="s">
        <v>507</v>
      </c>
      <c r="G368" t="s">
        <v>34</v>
      </c>
      <c r="H368" s="52" t="str">
        <f>VLOOKUP(Tabla3[[#This Row],[Site]],'Important Info!'!$A$1:$J$135,10,FALSE)</f>
        <v>https://tools.sig.systems/site/details/182</v>
      </c>
      <c r="J368" t="s">
        <v>41</v>
      </c>
      <c r="K368" s="79" t="str">
        <f>VLOOKUP(Tabla3[[#This Row],[Site]],'Important Info!'!$A$1:$H$135,8,FALSE)</f>
        <v>-</v>
      </c>
      <c r="L368" s="52" t="str">
        <f>VLOOKUP(Tabla3[[#This Row],[Site]],'Important Info!'!$A$1:$F$135,2,FALSE)</f>
        <v>1, 2, 11</v>
      </c>
      <c r="M368" s="52" t="str">
        <f>VLOOKUP(Tabla3[[#This Row],[Site]],'Important Info!'!$A$1:$F$135,3,FALSE)</f>
        <v>-</v>
      </c>
      <c r="N368" s="52" t="str">
        <f>VLOOKUP(Tabla3[[#This Row],[Site]],'Important Info!'!$A$1:$F$135,4,FALSE)</f>
        <v>-</v>
      </c>
      <c r="O368" s="52" t="str">
        <f>VLOOKUP(Tabla3[[#This Row],[Site]],'Important Info!'!$A$1:$F$135,5,FALSE)</f>
        <v>11, 16, 20</v>
      </c>
      <c r="P368" s="52" t="str">
        <f>VLOOKUP(Tabla3[[#This Row],[Site]],'Important Info!'!$A$1:$F$135,6,FALSE)</f>
        <v>11, 12, 13, 14</v>
      </c>
      <c r="Q368" s="91">
        <f>VLOOKUP(Tabla3[[#This Row],[Site]],'Important Info!'!$A$1:$J$135,9,FALSE)</f>
        <v>182</v>
      </c>
    </row>
    <row r="369" spans="1:17" x14ac:dyDescent="0.25">
      <c r="A369" t="str">
        <f>+Tabla3[[#This Row],[Site]]&amp;Tabla3[[#This Row],[Split]]</f>
        <v>(AS) Mercedes Benz/Porsche Dallas I,II,III (NO TOURS)7</v>
      </c>
      <c r="B369">
        <v>7</v>
      </c>
      <c r="C369">
        <v>2</v>
      </c>
      <c r="D369" t="s">
        <v>33</v>
      </c>
      <c r="E369" t="s">
        <v>46</v>
      </c>
      <c r="F369" t="s">
        <v>509</v>
      </c>
      <c r="G369" t="s">
        <v>34</v>
      </c>
      <c r="H369" s="52" t="str">
        <f>VLOOKUP(Tabla3[[#This Row],[Site]],'Important Info!'!$A$1:$J$135,10,FALSE)</f>
        <v>https://tools.sig.systems/site/details/168</v>
      </c>
      <c r="I369" s="65" t="s">
        <v>125</v>
      </c>
      <c r="J369" t="s">
        <v>41</v>
      </c>
      <c r="K369" s="79" t="str">
        <f>VLOOKUP(Tabla3[[#This Row],[Site]],'Important Info!'!$A$1:$H$135,8,FALSE)</f>
        <v>-</v>
      </c>
      <c r="L369" s="52" t="str">
        <f>VLOOKUP(Tabla3[[#This Row],[Site]],'Important Info!'!$A$1:$F$135,2,FALSE)</f>
        <v>3, 4, 17, 26, 41</v>
      </c>
      <c r="M369" s="52" t="str">
        <f>VLOOKUP(Tabla3[[#This Row],[Site]],'Important Info!'!$A$1:$F$135,3,FALSE)</f>
        <v>-</v>
      </c>
      <c r="N369" s="52" t="str">
        <f>VLOOKUP(Tabla3[[#This Row],[Site]],'Important Info!'!$A$1:$F$135,4,FALSE)</f>
        <v>153, 154, 155, 156, 157, 158</v>
      </c>
      <c r="O369" s="52" t="str">
        <f>VLOOKUP(Tabla3[[#This Row],[Site]],'Important Info!'!$A$1:$F$135,5,FALSE)</f>
        <v>2, 6, 10, 20, 28, 30, 36</v>
      </c>
      <c r="P369" s="52" t="str">
        <f>VLOOKUP(Tabla3[[#This Row],[Site]],'Important Info!'!$A$1:$F$135,6,FALSE)</f>
        <v>31, 41, 159</v>
      </c>
      <c r="Q369" s="91">
        <f>VLOOKUP(Tabla3[[#This Row],[Site]],'Important Info!'!$A$1:$J$135,9,FALSE)</f>
        <v>168</v>
      </c>
    </row>
    <row r="370" spans="1:17" x14ac:dyDescent="0.25">
      <c r="A370" t="str">
        <f>+Tabla3[[#This Row],[Site]]&amp;Tabla3[[#This Row],[Split]]</f>
        <v>(AS) Mike Shaw Subaru Greeley (NO TOURS)7</v>
      </c>
      <c r="B370">
        <v>7</v>
      </c>
      <c r="C370">
        <v>2</v>
      </c>
      <c r="D370" t="s">
        <v>44</v>
      </c>
      <c r="E370" t="s">
        <v>53</v>
      </c>
      <c r="F370" t="s">
        <v>95</v>
      </c>
      <c r="G370" t="s">
        <v>45</v>
      </c>
      <c r="H370" s="52" t="str">
        <f>VLOOKUP(Tabla3[[#This Row],[Site]],'Important Info!'!$A$1:$J$135,10,FALSE)</f>
        <v>https://tools.sig.systems/site/details/174</v>
      </c>
      <c r="I370" t="s">
        <v>153</v>
      </c>
      <c r="J370" t="s">
        <v>41</v>
      </c>
      <c r="K370" s="79" t="str">
        <f>VLOOKUP(Tabla3[[#This Row],[Site]],'Important Info!'!$A$1:$H$135,8,FALSE)</f>
        <v>-</v>
      </c>
      <c r="L370" s="52" t="str">
        <f>VLOOKUP(Tabla3[[#This Row],[Site]],'Important Info!'!$A$1:$F$135,2,FALSE)</f>
        <v>16, 17</v>
      </c>
      <c r="M370" s="52">
        <f>VLOOKUP(Tabla3[[#This Row],[Site]],'Important Info!'!$A$1:$F$135,3,FALSE)</f>
        <v>10</v>
      </c>
      <c r="N370" s="52" t="str">
        <f>VLOOKUP(Tabla3[[#This Row],[Site]],'Important Info!'!$A$1:$F$135,4,FALSE)</f>
        <v>-</v>
      </c>
      <c r="O370" s="52" t="str">
        <f>VLOOKUP(Tabla3[[#This Row],[Site]],'Important Info!'!$A$1:$F$135,5,FALSE)</f>
        <v>1, 7</v>
      </c>
      <c r="P370" s="52" t="str">
        <f>VLOOKUP(Tabla3[[#This Row],[Site]],'Important Info!'!$A$1:$F$135,6,FALSE)</f>
        <v>-</v>
      </c>
      <c r="Q370" s="91">
        <f>VLOOKUP(Tabla3[[#This Row],[Site]],'Important Info!'!$A$1:$J$135,9,FALSE)</f>
        <v>174</v>
      </c>
    </row>
    <row r="371" spans="1:17" x14ac:dyDescent="0.25">
      <c r="A371" t="str">
        <f>+Tabla3[[#This Row],[Site]]&amp;Tabla3[[#This Row],[Split]]</f>
        <v>(AS) Plano Auction (NO SPEAKERS)7</v>
      </c>
      <c r="B371">
        <v>7</v>
      </c>
      <c r="C371">
        <v>2</v>
      </c>
      <c r="D371" t="s">
        <v>33</v>
      </c>
      <c r="E371" t="s">
        <v>46</v>
      </c>
      <c r="F371" t="s">
        <v>129</v>
      </c>
      <c r="G371" t="s">
        <v>34</v>
      </c>
      <c r="H371" s="52" t="str">
        <f>VLOOKUP(Tabla3[[#This Row],[Site]],'Important Info!'!$A$1:$J$135,10,FALSE)</f>
        <v>https://tools.sig.systems/site/details/140</v>
      </c>
      <c r="I371" s="43"/>
      <c r="J371" t="s">
        <v>41</v>
      </c>
      <c r="K371" s="79" t="str">
        <f>VLOOKUP(Tabla3[[#This Row],[Site]],'Important Info!'!$A$1:$H$135,8,FALSE)</f>
        <v>-</v>
      </c>
      <c r="L371" s="52" t="str">
        <f>VLOOKUP(Tabla3[[#This Row],[Site]],'Important Info!'!$A$1:$F$135,2,FALSE)</f>
        <v>-</v>
      </c>
      <c r="M371" s="52" t="str">
        <f>VLOOKUP(Tabla3[[#This Row],[Site]],'Important Info!'!$A$1:$F$135,3,FALSE)</f>
        <v>3, 4, 19</v>
      </c>
      <c r="N371" s="52" t="str">
        <f>VLOOKUP(Tabla3[[#This Row],[Site]],'Important Info!'!$A$1:$F$135,4,FALSE)</f>
        <v>-</v>
      </c>
      <c r="O371" s="52" t="str">
        <f>VLOOKUP(Tabla3[[#This Row],[Site]],'Important Info!'!$A$1:$F$135,5,FALSE)</f>
        <v>5, 19</v>
      </c>
      <c r="P371" s="52">
        <f>VLOOKUP(Tabla3[[#This Row],[Site]],'Important Info!'!$A$1:$F$135,6,FALSE)</f>
        <v>21</v>
      </c>
      <c r="Q371" s="91">
        <f>VLOOKUP(Tabla3[[#This Row],[Site]],'Important Info!'!$A$1:$J$135,9,FALSE)</f>
        <v>140</v>
      </c>
    </row>
    <row r="372" spans="1:17" x14ac:dyDescent="0.25">
      <c r="A372" t="str">
        <f>+Tabla3[[#This Row],[Site]]&amp;Tabla3[[#This Row],[Split]]</f>
        <v>(AS) Stevinson Porsche of Littleton (NO TOURS)7</v>
      </c>
      <c r="B372">
        <v>7</v>
      </c>
      <c r="C372">
        <v>2</v>
      </c>
      <c r="D372" t="s">
        <v>44</v>
      </c>
      <c r="E372" t="s">
        <v>53</v>
      </c>
      <c r="F372" t="s">
        <v>78</v>
      </c>
      <c r="G372" t="s">
        <v>45</v>
      </c>
      <c r="H372" s="52" t="str">
        <f>VLOOKUP(Tabla3[[#This Row],[Site]],'Important Info!'!$A$1:$J$135,10,FALSE)</f>
        <v>https://tools.sig.systems/site/details/242</v>
      </c>
      <c r="I372" s="43"/>
      <c r="J372" t="s">
        <v>41</v>
      </c>
      <c r="K372" s="79" t="str">
        <f>VLOOKUP(Tabla3[[#This Row],[Site]],'Important Info!'!$A$1:$H$135,8,FALSE)</f>
        <v>-</v>
      </c>
      <c r="L372" s="52" t="str">
        <f>VLOOKUP(Tabla3[[#This Row],[Site]],'Important Info!'!$A$1:$F$135,2,FALSE)</f>
        <v>3, 4</v>
      </c>
      <c r="M372" s="52">
        <f>VLOOKUP(Tabla3[[#This Row],[Site]],'Important Info!'!$A$1:$F$135,3,FALSE)</f>
        <v>2</v>
      </c>
      <c r="N372" s="52" t="str">
        <f>VLOOKUP(Tabla3[[#This Row],[Site]],'Important Info!'!$A$1:$F$135,4,FALSE)</f>
        <v>-</v>
      </c>
      <c r="O372" s="52" t="str">
        <f>VLOOKUP(Tabla3[[#This Row],[Site]],'Important Info!'!$A$1:$F$135,5,FALSE)</f>
        <v>-</v>
      </c>
      <c r="P372" s="52" t="str">
        <f>VLOOKUP(Tabla3[[#This Row],[Site]],'Important Info!'!$A$1:$F$135,6,FALSE)</f>
        <v>3, 4</v>
      </c>
      <c r="Q372" s="91">
        <f>VLOOKUP(Tabla3[[#This Row],[Site]],'Important Info!'!$A$1:$J$135,9,FALSE)</f>
        <v>242</v>
      </c>
    </row>
    <row r="373" spans="1:17" x14ac:dyDescent="0.25">
      <c r="A373" t="str">
        <f>+Tabla3[[#This Row],[Site]]&amp;Tabla3[[#This Row],[Split]]</f>
        <v>(DT) El Cajon (NO TOURS)7</v>
      </c>
      <c r="B373">
        <v>7</v>
      </c>
      <c r="C373">
        <v>2</v>
      </c>
      <c r="D373" t="s">
        <v>51</v>
      </c>
      <c r="E373" t="s">
        <v>159</v>
      </c>
      <c r="F373" t="s">
        <v>160</v>
      </c>
      <c r="G373" t="s">
        <v>52</v>
      </c>
      <c r="H373" s="52" t="str">
        <f>VLOOKUP(Tabla3[[#This Row],[Site]],'Important Info!'!$A$1:$J$135,10,FALSE)</f>
        <v>https://tools.sig.systems/site/details/241</v>
      </c>
      <c r="J373" t="s">
        <v>41</v>
      </c>
      <c r="K373" s="79" t="str">
        <f>VLOOKUP(Tabla3[[#This Row],[Site]],'Important Info!'!$A$1:$H$135,8,FALSE)</f>
        <v>-</v>
      </c>
      <c r="L373" s="52" t="str">
        <f>VLOOKUP(Tabla3[[#This Row],[Site]],'Important Info!'!$A$1:$F$135,2,FALSE)</f>
        <v>-</v>
      </c>
      <c r="M373" s="52">
        <f>VLOOKUP(Tabla3[[#This Row],[Site]],'Important Info!'!$A$1:$F$135,3,FALSE)</f>
        <v>3</v>
      </c>
      <c r="N373" s="52" t="str">
        <f>VLOOKUP(Tabla3[[#This Row],[Site]],'Important Info!'!$A$1:$F$135,4,FALSE)</f>
        <v>-</v>
      </c>
      <c r="O373" s="52" t="str">
        <f>VLOOKUP(Tabla3[[#This Row],[Site]],'Important Info!'!$A$1:$F$135,5,FALSE)</f>
        <v>-</v>
      </c>
      <c r="P373" s="52" t="str">
        <f>VLOOKUP(Tabla3[[#This Row],[Site]],'Important Info!'!$A$1:$F$135,6,FALSE)</f>
        <v>-</v>
      </c>
      <c r="Q373" s="91">
        <f>VLOOKUP(Tabla3[[#This Row],[Site]],'Important Info!'!$A$1:$J$135,9,FALSE)</f>
        <v>241</v>
      </c>
    </row>
    <row r="374" spans="1:17" x14ac:dyDescent="0.25">
      <c r="A374" t="str">
        <f>+Tabla3[[#This Row],[Site]]&amp;Tabla3[[#This Row],[Split]]</f>
        <v>(JE) Jim Ellis Ford Sandy Springs7</v>
      </c>
      <c r="B374">
        <v>7</v>
      </c>
      <c r="C374">
        <v>2</v>
      </c>
      <c r="D374" t="s">
        <v>62</v>
      </c>
      <c r="E374" t="s">
        <v>35</v>
      </c>
      <c r="F374" t="s">
        <v>187</v>
      </c>
      <c r="G374" t="s">
        <v>490</v>
      </c>
      <c r="H374" s="52" t="str">
        <f>VLOOKUP(Tabla3[[#This Row],[Site]],'Important Info!'!$A$1:$J$135,10,FALSE)</f>
        <v>https://tools.sig.systems/site/details/142</v>
      </c>
      <c r="J374" t="s">
        <v>41</v>
      </c>
      <c r="K374" s="79" t="str">
        <f>VLOOKUP(Tabla3[[#This Row],[Site]],'Important Info!'!$A$1:$H$135,8,FALSE)</f>
        <v>-</v>
      </c>
      <c r="L374" s="52" t="str">
        <f>VLOOKUP(Tabla3[[#This Row],[Site]],'Important Info!'!$A$1:$F$135,2,FALSE)</f>
        <v>1, 5</v>
      </c>
      <c r="M374" s="52" t="str">
        <f>VLOOKUP(Tabla3[[#This Row],[Site]],'Important Info!'!$A$1:$F$135,3,FALSE)</f>
        <v>-</v>
      </c>
      <c r="N374" s="52" t="str">
        <f>VLOOKUP(Tabla3[[#This Row],[Site]],'Important Info!'!$A$1:$F$135,4,FALSE)</f>
        <v>-</v>
      </c>
      <c r="O374" s="52" t="str">
        <f>VLOOKUP(Tabla3[[#This Row],[Site]],'Important Info!'!$A$1:$F$135,5,FALSE)</f>
        <v>1, 5, 9, 26</v>
      </c>
      <c r="P374" s="52" t="str">
        <f>VLOOKUP(Tabla3[[#This Row],[Site]],'Important Info!'!$A$1:$F$135,6,FALSE)</f>
        <v>3, 4, 8, 28</v>
      </c>
      <c r="Q374" s="91">
        <f>VLOOKUP(Tabla3[[#This Row],[Site]],'Important Info!'!$A$1:$J$135,9,FALSE)</f>
        <v>142</v>
      </c>
    </row>
    <row r="375" spans="1:17" x14ac:dyDescent="0.25">
      <c r="A375" t="str">
        <f>+Tabla3[[#This Row],[Site]]&amp;Tabla3[[#This Row],[Split]]</f>
        <v>(KG) Texan GMC Buick (NO TOURS)7</v>
      </c>
      <c r="B375">
        <v>7</v>
      </c>
      <c r="C375">
        <v>2</v>
      </c>
      <c r="D375" t="s">
        <v>33</v>
      </c>
      <c r="E375" t="s">
        <v>46</v>
      </c>
      <c r="F375" t="s">
        <v>111</v>
      </c>
      <c r="G375" t="s">
        <v>34</v>
      </c>
      <c r="H375" s="52" t="str">
        <f>VLOOKUP(Tabla3[[#This Row],[Site]],'Important Info!'!$A$1:$J$135,10,FALSE)</f>
        <v>https://tools.sig.systems/site/details/225</v>
      </c>
      <c r="I375" s="2" t="s">
        <v>137</v>
      </c>
      <c r="J375" t="s">
        <v>41</v>
      </c>
      <c r="K375" s="79" t="str">
        <f>VLOOKUP(Tabla3[[#This Row],[Site]],'Important Info!'!$A$1:$H$135,8,FALSE)</f>
        <v>-</v>
      </c>
      <c r="L375" s="52" t="str">
        <f>VLOOKUP(Tabla3[[#This Row],[Site]],'Important Info!'!$A$1:$F$135,2,FALSE)</f>
        <v>1, 20, 53</v>
      </c>
      <c r="M375" s="52" t="str">
        <f>VLOOKUP(Tabla3[[#This Row],[Site]],'Important Info!'!$A$1:$F$135,3,FALSE)</f>
        <v>-</v>
      </c>
      <c r="N375" s="52" t="str">
        <f>VLOOKUP(Tabla3[[#This Row],[Site]],'Important Info!'!$A$1:$F$135,4,FALSE)</f>
        <v>-</v>
      </c>
      <c r="O375" s="52" t="str">
        <f>VLOOKUP(Tabla3[[#This Row],[Site]],'Important Info!'!$A$1:$F$135,5,FALSE)</f>
        <v>2, 8, 14</v>
      </c>
      <c r="P375" s="52" t="str">
        <f>VLOOKUP(Tabla3[[#This Row],[Site]],'Important Info!'!$A$1:$F$135,6,FALSE)</f>
        <v>51, 52, 16</v>
      </c>
      <c r="Q375" s="91">
        <f>VLOOKUP(Tabla3[[#This Row],[Site]],'Important Info!'!$A$1:$J$135,9,FALSE)</f>
        <v>225</v>
      </c>
    </row>
    <row r="376" spans="1:17" x14ac:dyDescent="0.25">
      <c r="A376" t="str">
        <f>+Tabla3[[#This Row],[Site]]&amp;Tabla3[[#This Row],[Split]]</f>
        <v>(ML) BMW of Little Rock7</v>
      </c>
      <c r="B376">
        <v>7</v>
      </c>
      <c r="C376">
        <v>2</v>
      </c>
      <c r="D376" t="s">
        <v>33</v>
      </c>
      <c r="E376" t="s">
        <v>46</v>
      </c>
      <c r="F376" t="s">
        <v>139</v>
      </c>
      <c r="G376" t="s">
        <v>34</v>
      </c>
      <c r="H376" s="52" t="str">
        <f>VLOOKUP(Tabla3[[#This Row],[Site]],'Important Info!'!$A$1:$J$135,10,FALSE)</f>
        <v>https://tools.sig.systems/site/details/217</v>
      </c>
      <c r="I376" t="s">
        <v>140</v>
      </c>
      <c r="J376" t="s">
        <v>41</v>
      </c>
      <c r="K376" s="79" t="str">
        <f>VLOOKUP(Tabla3[[#This Row],[Site]],'Important Info!'!$A$1:$H$135,8,FALSE)</f>
        <v>-</v>
      </c>
      <c r="L376" s="52" t="str">
        <f>VLOOKUP(Tabla3[[#This Row],[Site]],'Important Info!'!$A$1:$F$135,2,FALSE)</f>
        <v>-</v>
      </c>
      <c r="M376" s="52">
        <f>VLOOKUP(Tabla3[[#This Row],[Site]],'Important Info!'!$A$1:$F$135,3,FALSE)</f>
        <v>14</v>
      </c>
      <c r="N376" s="52" t="str">
        <f>VLOOKUP(Tabla3[[#This Row],[Site]],'Important Info!'!$A$1:$F$135,4,FALSE)</f>
        <v>-</v>
      </c>
      <c r="O376" s="52" t="str">
        <f>VLOOKUP(Tabla3[[#This Row],[Site]],'Important Info!'!$A$1:$F$135,5,FALSE)</f>
        <v>-</v>
      </c>
      <c r="P376" s="52" t="str">
        <f>VLOOKUP(Tabla3[[#This Row],[Site]],'Important Info!'!$A$1:$F$135,6,FALSE)</f>
        <v>5, 6, 7, 8, 9, 32</v>
      </c>
      <c r="Q376" s="91">
        <f>VLOOKUP(Tabla3[[#This Row],[Site]],'Important Info!'!$A$1:$J$135,9,FALSE)</f>
        <v>217</v>
      </c>
    </row>
    <row r="377" spans="1:17" x14ac:dyDescent="0.25">
      <c r="A377" t="str">
        <f>+Tabla3[[#This Row],[Site]]&amp;Tabla3[[#This Row],[Split]]</f>
        <v>(ML) Joe Machens Temporary 2.07</v>
      </c>
      <c r="B377">
        <v>7</v>
      </c>
      <c r="C377">
        <v>2</v>
      </c>
      <c r="D377" t="s">
        <v>33</v>
      </c>
      <c r="E377" t="s">
        <v>46</v>
      </c>
      <c r="F377" t="s">
        <v>105</v>
      </c>
      <c r="G377" t="s">
        <v>34</v>
      </c>
      <c r="H377" s="52" t="str">
        <f>VLOOKUP(Tabla3[[#This Row],[Site]],'Important Info!'!$A$1:$J$135,10,FALSE)</f>
        <v>https://tools.sig.systems/site/details/278</v>
      </c>
      <c r="I377" s="43" t="s">
        <v>146</v>
      </c>
      <c r="J377" t="s">
        <v>41</v>
      </c>
      <c r="K377" s="79" t="str">
        <f>VLOOKUP(Tabla3[[#This Row],[Site]],'Important Info!'!$A$1:$H$135,8,FALSE)</f>
        <v>-</v>
      </c>
      <c r="L377" s="52" t="str">
        <f>VLOOKUP(Tabla3[[#This Row],[Site]],'Important Info!'!$A$1:$F$135,2,FALSE)</f>
        <v>-</v>
      </c>
      <c r="M377" s="52" t="str">
        <f>VLOOKUP(Tabla3[[#This Row],[Site]],'Important Info!'!$A$1:$F$135,3,FALSE)</f>
        <v>1, 11, 14, 15, 16</v>
      </c>
      <c r="N377" s="52" t="str">
        <f>VLOOKUP(Tabla3[[#This Row],[Site]],'Important Info!'!$A$1:$F$135,4,FALSE)</f>
        <v>-</v>
      </c>
      <c r="O377" s="52">
        <f>VLOOKUP(Tabla3[[#This Row],[Site]],'Important Info!'!$A$1:$F$135,5,FALSE)</f>
        <v>13</v>
      </c>
      <c r="P377" s="52" t="str">
        <f>VLOOKUP(Tabla3[[#This Row],[Site]],'Important Info!'!$A$1:$F$135,6,FALSE)</f>
        <v>-</v>
      </c>
      <c r="Q377" s="91">
        <f>VLOOKUP(Tabla3[[#This Row],[Site]],'Important Info!'!$A$1:$J$135,9,FALSE)</f>
        <v>278</v>
      </c>
    </row>
    <row r="378" spans="1:17" x14ac:dyDescent="0.25">
      <c r="A378" t="str">
        <f>+Tabla3[[#This Row],[Site]]&amp;Tabla3[[#This Row],[Split]]</f>
        <v>(ML) Mazda VW-Lot B7</v>
      </c>
      <c r="B378">
        <v>7</v>
      </c>
      <c r="C378">
        <v>2</v>
      </c>
      <c r="D378" t="s">
        <v>33</v>
      </c>
      <c r="E378" t="s">
        <v>46</v>
      </c>
      <c r="F378" t="s">
        <v>9</v>
      </c>
      <c r="G378" t="s">
        <v>34</v>
      </c>
      <c r="H378" s="52" t="str">
        <f>VLOOKUP(Tabla3[[#This Row],[Site]],'Important Info!'!$A$1:$J$135,10,FALSE)</f>
        <v>https://tools.sig.systems/site/details/205</v>
      </c>
      <c r="I378" s="2" t="s">
        <v>142</v>
      </c>
      <c r="J378" t="s">
        <v>41</v>
      </c>
      <c r="K378" s="79" t="str">
        <f>VLOOKUP(Tabla3[[#This Row],[Site]],'Important Info!'!$A$1:$H$135,8,FALSE)</f>
        <v>-</v>
      </c>
      <c r="L378" s="52" t="str">
        <f>VLOOKUP(Tabla3[[#This Row],[Site]],'Important Info!'!$A$1:$F$135,2,FALSE)</f>
        <v>9, 14, 16</v>
      </c>
      <c r="M378" s="52">
        <f>VLOOKUP(Tabla3[[#This Row],[Site]],'Important Info!'!$A$1:$F$135,3,FALSE)</f>
        <v>1</v>
      </c>
      <c r="N378" s="52" t="str">
        <f>VLOOKUP(Tabla3[[#This Row],[Site]],'Important Info!'!$A$1:$F$135,4,FALSE)</f>
        <v>-</v>
      </c>
      <c r="O378" s="52">
        <f>VLOOKUP(Tabla3[[#This Row],[Site]],'Important Info!'!$A$1:$F$135,5,FALSE)</f>
        <v>4</v>
      </c>
      <c r="P378" s="52" t="str">
        <f>VLOOKUP(Tabla3[[#This Row],[Site]],'Important Info!'!$A$1:$F$135,6,FALSE)</f>
        <v>-</v>
      </c>
      <c r="Q378" s="91">
        <f>VLOOKUP(Tabla3[[#This Row],[Site]],'Important Info!'!$A$1:$J$135,9,FALSE)</f>
        <v>205</v>
      </c>
    </row>
    <row r="379" spans="1:17" x14ac:dyDescent="0.25">
      <c r="A379" t="str">
        <f>+Tabla3[[#This Row],[Site]]&amp;Tabla3[[#This Row],[Split]]</f>
        <v>(ML) Toyota N Little Rock7</v>
      </c>
      <c r="B379">
        <v>7</v>
      </c>
      <c r="C379">
        <v>2</v>
      </c>
      <c r="D379" t="s">
        <v>33</v>
      </c>
      <c r="E379" t="s">
        <v>46</v>
      </c>
      <c r="F379" t="s">
        <v>76</v>
      </c>
      <c r="G379" t="s">
        <v>34</v>
      </c>
      <c r="H379" s="52" t="str">
        <f>VLOOKUP(Tabla3[[#This Row],[Site]],'Important Info!'!$A$1:$J$135,10,FALSE)</f>
        <v>https://tools.sig.systems/site/details/201</v>
      </c>
      <c r="I379" s="43" t="s">
        <v>142</v>
      </c>
      <c r="J379" t="s">
        <v>41</v>
      </c>
      <c r="K379" s="79" t="str">
        <f>VLOOKUP(Tabla3[[#This Row],[Site]],'Important Info!'!$A$1:$H$135,8,FALSE)</f>
        <v>-</v>
      </c>
      <c r="L379" s="52" t="str">
        <f>VLOOKUP(Tabla3[[#This Row],[Site]],'Important Info!'!$A$1:$F$135,2,FALSE)</f>
        <v>4, 15, 18, 22, 23, 26</v>
      </c>
      <c r="M379" s="52" t="str">
        <f>VLOOKUP(Tabla3[[#This Row],[Site]],'Important Info!'!$A$1:$F$135,3,FALSE)</f>
        <v>-</v>
      </c>
      <c r="N379" s="52" t="str">
        <f>VLOOKUP(Tabla3[[#This Row],[Site]],'Important Info!'!$A$1:$F$135,4,FALSE)</f>
        <v>-</v>
      </c>
      <c r="O379" s="52" t="str">
        <f>VLOOKUP(Tabla3[[#This Row],[Site]],'Important Info!'!$A$1:$F$135,5,FALSE)</f>
        <v>2, 12, 13, 18</v>
      </c>
      <c r="P379" s="52" t="str">
        <f>VLOOKUP(Tabla3[[#This Row],[Site]],'Important Info!'!$A$1:$F$135,6,FALSE)</f>
        <v>-</v>
      </c>
      <c r="Q379" s="91">
        <f>VLOOKUP(Tabla3[[#This Row],[Site]],'Important Info!'!$A$1:$J$135,9,FALSE)</f>
        <v>201</v>
      </c>
    </row>
    <row r="380" spans="1:17" x14ac:dyDescent="0.25">
      <c r="A380" t="str">
        <f>+Tabla3[[#This Row],[Site]]&amp;Tabla3[[#This Row],[Split]]</f>
        <v>(PE) JLR Darien PDI (NO TOURS)7</v>
      </c>
      <c r="B380">
        <v>7</v>
      </c>
      <c r="C380">
        <v>2</v>
      </c>
      <c r="D380" t="s">
        <v>485</v>
      </c>
      <c r="E380" t="s">
        <v>35</v>
      </c>
      <c r="F380" t="s">
        <v>98</v>
      </c>
      <c r="G380" t="s">
        <v>490</v>
      </c>
      <c r="H380" s="52" t="str">
        <f>VLOOKUP(Tabla3[[#This Row],[Site]],'Important Info!'!$A$1:$J$135,10,FALSE)</f>
        <v>https://tools.sig.systems/site/details/187</v>
      </c>
      <c r="I380" t="s">
        <v>175</v>
      </c>
      <c r="J380" t="s">
        <v>41</v>
      </c>
      <c r="K380" s="79" t="str">
        <f>VLOOKUP(Tabla3[[#This Row],[Site]],'Important Info!'!$A$1:$H$135,8,FALSE)</f>
        <v>-</v>
      </c>
      <c r="L380" s="52">
        <f>VLOOKUP(Tabla3[[#This Row],[Site]],'Important Info!'!$A$1:$F$135,2,FALSE)</f>
        <v>1</v>
      </c>
      <c r="M380" s="52" t="str">
        <f>VLOOKUP(Tabla3[[#This Row],[Site]],'Important Info!'!$A$1:$F$135,3,FALSE)</f>
        <v>-</v>
      </c>
      <c r="N380" s="52" t="str">
        <f>VLOOKUP(Tabla3[[#This Row],[Site]],'Important Info!'!$A$1:$F$135,4,FALSE)</f>
        <v>-</v>
      </c>
      <c r="O380" s="52">
        <f>VLOOKUP(Tabla3[[#This Row],[Site]],'Important Info!'!$A$1:$F$135,5,FALSE)</f>
        <v>1</v>
      </c>
      <c r="P380" s="52">
        <f>VLOOKUP(Tabla3[[#This Row],[Site]],'Important Info!'!$A$1:$F$135,6,FALSE)</f>
        <v>7</v>
      </c>
      <c r="Q380" s="91">
        <f>VLOOKUP(Tabla3[[#This Row],[Site]],'Important Info!'!$A$1:$J$135,9,FALSE)</f>
        <v>187</v>
      </c>
    </row>
    <row r="381" spans="1:17" x14ac:dyDescent="0.25">
      <c r="A381" t="str">
        <f>+Tabla3[[#This Row],[Site]]&amp;Tabla3[[#This Row],[Split]]</f>
        <v>(PE) JLR PDI (NO TOURS)7</v>
      </c>
      <c r="B381">
        <v>7</v>
      </c>
      <c r="C381">
        <v>2</v>
      </c>
      <c r="D381" t="s">
        <v>485</v>
      </c>
      <c r="E381" t="s">
        <v>35</v>
      </c>
      <c r="F381" t="s">
        <v>114</v>
      </c>
      <c r="G381" t="s">
        <v>490</v>
      </c>
      <c r="H381" s="52" t="str">
        <f>VLOOKUP(Tabla3[[#This Row],[Site]],'Important Info!'!$A$1:$J$135,10,FALSE)</f>
        <v>https://tools.sig.systems/site/details/179</v>
      </c>
      <c r="I381" s="43" t="s">
        <v>176</v>
      </c>
      <c r="J381" t="s">
        <v>41</v>
      </c>
      <c r="K381" s="79" t="str">
        <f>VLOOKUP(Tabla3[[#This Row],[Site]],'Important Info!'!$A$1:$H$135,8,FALSE)</f>
        <v>-</v>
      </c>
      <c r="L381" s="52" t="str">
        <f>VLOOKUP(Tabla3[[#This Row],[Site]],'Important Info!'!$A$1:$F$135,2,FALSE)</f>
        <v>3, 8</v>
      </c>
      <c r="M381" s="52" t="str">
        <f>VLOOKUP(Tabla3[[#This Row],[Site]],'Important Info!'!$A$1:$F$135,3,FALSE)</f>
        <v>-</v>
      </c>
      <c r="N381" s="52" t="str">
        <f>VLOOKUP(Tabla3[[#This Row],[Site]],'Important Info!'!$A$1:$F$135,4,FALSE)</f>
        <v>-</v>
      </c>
      <c r="O381" s="52" t="str">
        <f>VLOOKUP(Tabla3[[#This Row],[Site]],'Important Info!'!$A$1:$F$135,5,FALSE)</f>
        <v>-</v>
      </c>
      <c r="P381" s="52" t="str">
        <f>VLOOKUP(Tabla3[[#This Row],[Site]],'Important Info!'!$A$1:$F$135,6,FALSE)</f>
        <v>-</v>
      </c>
      <c r="Q381" s="91">
        <f>VLOOKUP(Tabla3[[#This Row],[Site]],'Important Info!'!$A$1:$J$135,9,FALSE)</f>
        <v>179</v>
      </c>
    </row>
    <row r="382" spans="1:17" x14ac:dyDescent="0.25">
      <c r="A382" t="str">
        <f>+Tabla3[[#This Row],[Site]]&amp;Tabla3[[#This Row],[Split]]</f>
        <v>(AS) Coggin Mercedes Benz Ft Pierce (NO TOURS)7</v>
      </c>
      <c r="B382">
        <v>7</v>
      </c>
      <c r="C382">
        <v>3</v>
      </c>
      <c r="D382" t="s">
        <v>62</v>
      </c>
      <c r="E382" t="s">
        <v>35</v>
      </c>
      <c r="F382" t="s">
        <v>502</v>
      </c>
      <c r="G382" t="s">
        <v>490</v>
      </c>
      <c r="H382" s="52" t="str">
        <f>VLOOKUP(Tabla3[[#This Row],[Site]],'Important Info!'!$A$1:$J$135,10,FALSE)</f>
        <v>https://tools.sig.systems/site/details/127</v>
      </c>
      <c r="I382" t="s">
        <v>179</v>
      </c>
      <c r="J382" t="s">
        <v>41</v>
      </c>
      <c r="K382" s="79" t="str">
        <f>VLOOKUP(Tabla3[[#This Row],[Site]],'Important Info!'!$A$1:$H$135,8,FALSE)</f>
        <v>-</v>
      </c>
      <c r="L382" s="52">
        <f>VLOOKUP(Tabla3[[#This Row],[Site]],'Important Info!'!$A$1:$F$135,2,FALSE)</f>
        <v>18</v>
      </c>
      <c r="M382" s="52" t="str">
        <f>VLOOKUP(Tabla3[[#This Row],[Site]],'Important Info!'!$A$1:$F$135,3,FALSE)</f>
        <v>1, 3</v>
      </c>
      <c r="N382" s="52" t="str">
        <f>VLOOKUP(Tabla3[[#This Row],[Site]],'Important Info!'!$A$1:$F$135,4,FALSE)</f>
        <v>-</v>
      </c>
      <c r="O382" s="52" t="str">
        <f>VLOOKUP(Tabla3[[#This Row],[Site]],'Important Info!'!$A$1:$F$135,5,FALSE)</f>
        <v>6, 10, 13</v>
      </c>
      <c r="P382" s="52" t="str">
        <f>VLOOKUP(Tabla3[[#This Row],[Site]],'Important Info!'!$A$1:$F$135,6,FALSE)</f>
        <v>1, 4, 5</v>
      </c>
      <c r="Q382" s="91">
        <f>VLOOKUP(Tabla3[[#This Row],[Site]],'Important Info!'!$A$1:$J$135,9,FALSE)</f>
        <v>127</v>
      </c>
    </row>
    <row r="383" spans="1:17" x14ac:dyDescent="0.25">
      <c r="A383" t="str">
        <f>+Tabla3[[#This Row],[Site]]&amp;Tabla3[[#This Row],[Split]]</f>
        <v>(AS) Lexus Smyrna (NO TOURS)7</v>
      </c>
      <c r="B383">
        <v>7</v>
      </c>
      <c r="C383">
        <v>3</v>
      </c>
      <c r="D383" t="s">
        <v>62</v>
      </c>
      <c r="E383" t="s">
        <v>35</v>
      </c>
      <c r="F383" t="s">
        <v>84</v>
      </c>
      <c r="G383" t="s">
        <v>490</v>
      </c>
      <c r="H383" s="52" t="str">
        <f>VLOOKUP(Tabla3[[#This Row],[Site]],'Important Info!'!$A$1:$J$135,10,FALSE)</f>
        <v>https://tools.sig.systems/site/details/133</v>
      </c>
      <c r="I383" s="2"/>
      <c r="J383" t="s">
        <v>41</v>
      </c>
      <c r="K383" s="79" t="str">
        <f>VLOOKUP(Tabla3[[#This Row],[Site]],'Important Info!'!$A$1:$H$135,8,FALSE)</f>
        <v>-</v>
      </c>
      <c r="L383" s="52" t="str">
        <f>VLOOKUP(Tabla3[[#This Row],[Site]],'Important Info!'!$A$1:$F$135,2,FALSE)</f>
        <v xml:space="preserve">2, 6, 10 </v>
      </c>
      <c r="M383" s="52" t="str">
        <f>VLOOKUP(Tabla3[[#This Row],[Site]],'Important Info!'!$A$1:$F$135,3,FALSE)</f>
        <v>-</v>
      </c>
      <c r="N383" s="52" t="str">
        <f>VLOOKUP(Tabla3[[#This Row],[Site]],'Important Info!'!$A$1:$F$135,4,FALSE)</f>
        <v>-</v>
      </c>
      <c r="O383" s="52" t="str">
        <f>VLOOKUP(Tabla3[[#This Row],[Site]],'Important Info!'!$A$1:$F$135,5,FALSE)</f>
        <v>3, 5, 10, 15</v>
      </c>
      <c r="P383" s="52" t="str">
        <f>VLOOKUP(Tabla3[[#This Row],[Site]],'Important Info!'!$A$1:$F$135,6,FALSE)</f>
        <v>10, 11</v>
      </c>
      <c r="Q383" s="91">
        <f>VLOOKUP(Tabla3[[#This Row],[Site]],'Important Info!'!$A$1:$J$135,9,FALSE)</f>
        <v>133</v>
      </c>
    </row>
    <row r="384" spans="1:17" x14ac:dyDescent="0.25">
      <c r="A384" t="str">
        <f>+Tabla3[[#This Row],[Site]]&amp;Tabla3[[#This Row],[Split]]</f>
        <v>(AS) Park Place Acura (NO TOURS)7</v>
      </c>
      <c r="B384">
        <v>7</v>
      </c>
      <c r="C384">
        <v>3</v>
      </c>
      <c r="D384" t="s">
        <v>33</v>
      </c>
      <c r="E384" t="s">
        <v>46</v>
      </c>
      <c r="F384" t="s">
        <v>513</v>
      </c>
      <c r="G384" t="s">
        <v>34</v>
      </c>
      <c r="H384" s="52" t="str">
        <f>VLOOKUP(Tabla3[[#This Row],[Site]],'Important Info!'!$A$1:$J$135,10,FALSE)</f>
        <v>https://tools.sig.systems/site/details/259</v>
      </c>
      <c r="I384" s="63" t="s">
        <v>127</v>
      </c>
      <c r="J384" t="s">
        <v>41</v>
      </c>
      <c r="K384" s="79" t="str">
        <f>VLOOKUP(Tabla3[[#This Row],[Site]],'Important Info!'!$A$1:$H$135,8,FALSE)</f>
        <v>-</v>
      </c>
      <c r="L384" s="52" t="str">
        <f>VLOOKUP(Tabla3[[#This Row],[Site]],'Important Info!'!$A$1:$F$135,2,FALSE)</f>
        <v>1, 2, 14, 16</v>
      </c>
      <c r="M384" s="52" t="str">
        <f>VLOOKUP(Tabla3[[#This Row],[Site]],'Important Info!'!$A$1:$F$135,3,FALSE)</f>
        <v>-</v>
      </c>
      <c r="N384" s="52" t="str">
        <f>VLOOKUP(Tabla3[[#This Row],[Site]],'Important Info!'!$A$1:$F$135,4,FALSE)</f>
        <v>-</v>
      </c>
      <c r="O384" s="52" t="str">
        <f>VLOOKUP(Tabla3[[#This Row],[Site]],'Important Info!'!$A$1:$F$135,5,FALSE)</f>
        <v>1, 7, 13</v>
      </c>
      <c r="P384" s="52" t="str">
        <f>VLOOKUP(Tabla3[[#This Row],[Site]],'Important Info!'!$A$1:$F$135,6,FALSE)</f>
        <v>-</v>
      </c>
      <c r="Q384" s="91">
        <f>VLOOKUP(Tabla3[[#This Row],[Site]],'Important Info!'!$A$1:$J$135,9,FALSE)</f>
        <v>259</v>
      </c>
    </row>
    <row r="385" spans="1:17" x14ac:dyDescent="0.25">
      <c r="A385" t="str">
        <f>+Tabla3[[#This Row],[Site]]&amp;Tabla3[[#This Row],[Split]]</f>
        <v>(AS) Park Place Volvo Service Center (NO TOURS)7</v>
      </c>
      <c r="B385">
        <v>7</v>
      </c>
      <c r="C385">
        <v>3</v>
      </c>
      <c r="D385" t="s">
        <v>33</v>
      </c>
      <c r="E385" t="s">
        <v>46</v>
      </c>
      <c r="F385" t="s">
        <v>522</v>
      </c>
      <c r="G385" t="s">
        <v>34</v>
      </c>
      <c r="H385" s="52" t="str">
        <f>VLOOKUP(Tabla3[[#This Row],[Site]],'Important Info!'!$A$1:$J$135,10,FALSE)</f>
        <v>https://tools.sig.systems/site/details/171</v>
      </c>
      <c r="I385" s="65" t="s">
        <v>125</v>
      </c>
      <c r="J385" t="s">
        <v>41</v>
      </c>
      <c r="K385" s="79" t="str">
        <f>VLOOKUP(Tabla3[[#This Row],[Site]],'Important Info!'!$A$1:$H$135,8,FALSE)</f>
        <v>-</v>
      </c>
      <c r="L385" s="52" t="str">
        <f>VLOOKUP(Tabla3[[#This Row],[Site]],'Important Info!'!$A$1:$F$135,2,FALSE)</f>
        <v>3, 6, 9, 27, 31, 35</v>
      </c>
      <c r="M385" s="52" t="str">
        <f>VLOOKUP(Tabla3[[#This Row],[Site]],'Important Info!'!$A$1:$F$135,3,FALSE)</f>
        <v>-</v>
      </c>
      <c r="N385" s="52" t="str">
        <f>VLOOKUP(Tabla3[[#This Row],[Site]],'Important Info!'!$A$1:$F$135,4,FALSE)</f>
        <v>-</v>
      </c>
      <c r="O385" s="52" t="str">
        <f>VLOOKUP(Tabla3[[#This Row],[Site]],'Important Info!'!$A$1:$F$135,5,FALSE)</f>
        <v>27, 32</v>
      </c>
      <c r="P385" s="52" t="str">
        <f>VLOOKUP(Tabla3[[#This Row],[Site]],'Important Info!'!$A$1:$F$135,6,FALSE)</f>
        <v>-</v>
      </c>
      <c r="Q385" s="91">
        <f>VLOOKUP(Tabla3[[#This Row],[Site]],'Important Info!'!$A$1:$J$135,9,FALSE)</f>
        <v>171</v>
      </c>
    </row>
    <row r="386" spans="1:17" x14ac:dyDescent="0.25">
      <c r="A386" t="str">
        <f>+Tabla3[[#This Row],[Site]]&amp;Tabla3[[#This Row],[Split]]</f>
        <v>(AS) Stevinson Toyota West (NO TOURS)7</v>
      </c>
      <c r="B386">
        <v>7</v>
      </c>
      <c r="C386">
        <v>3</v>
      </c>
      <c r="D386" t="s">
        <v>44</v>
      </c>
      <c r="E386" t="s">
        <v>53</v>
      </c>
      <c r="F386" t="s">
        <v>79</v>
      </c>
      <c r="G386" t="s">
        <v>45</v>
      </c>
      <c r="H386" s="52" t="str">
        <f>VLOOKUP(Tabla3[[#This Row],[Site]],'Important Info!'!$A$1:$J$135,10,FALSE)</f>
        <v>https://tools.sig.systems/site/details/240</v>
      </c>
      <c r="I386" s="43" t="s">
        <v>154</v>
      </c>
      <c r="J386" t="s">
        <v>41</v>
      </c>
      <c r="K386" s="79" t="str">
        <f>VLOOKUP(Tabla3[[#This Row],[Site]],'Important Info!'!$A$1:$H$135,8,FALSE)</f>
        <v>-</v>
      </c>
      <c r="L386" s="52" t="str">
        <f>VLOOKUP(Tabla3[[#This Row],[Site]],'Important Info!'!$A$1:$F$135,2,FALSE)</f>
        <v>-</v>
      </c>
      <c r="M386" s="52" t="str">
        <f>VLOOKUP(Tabla3[[#This Row],[Site]],'Important Info!'!$A$1:$F$135,3,FALSE)</f>
        <v>7, 18, 21</v>
      </c>
      <c r="N386" s="52" t="str">
        <f>VLOOKUP(Tabla3[[#This Row],[Site]],'Important Info!'!$A$1:$F$135,4,FALSE)</f>
        <v>-</v>
      </c>
      <c r="O386" s="52" t="str">
        <f>VLOOKUP(Tabla3[[#This Row],[Site]],'Important Info!'!$A$1:$F$135,5,FALSE)</f>
        <v>11, 24, 34</v>
      </c>
      <c r="P386" s="52" t="str">
        <f>VLOOKUP(Tabla3[[#This Row],[Site]],'Important Info!'!$A$1:$F$135,6,FALSE)</f>
        <v>1, 2, 3, 12</v>
      </c>
      <c r="Q386" s="91">
        <f>VLOOKUP(Tabla3[[#This Row],[Site]],'Important Info!'!$A$1:$J$135,9,FALSE)</f>
        <v>240</v>
      </c>
    </row>
    <row r="387" spans="1:17" x14ac:dyDescent="0.25">
      <c r="A387" t="str">
        <f>+Tabla3[[#This Row],[Site]]&amp;Tabla3[[#This Row],[Split]]</f>
        <v>(DT) N. Houston7</v>
      </c>
      <c r="B387">
        <v>7</v>
      </c>
      <c r="C387">
        <v>3</v>
      </c>
      <c r="D387" t="s">
        <v>33</v>
      </c>
      <c r="E387" t="s">
        <v>46</v>
      </c>
      <c r="F387" t="s">
        <v>68</v>
      </c>
      <c r="G387" t="s">
        <v>34</v>
      </c>
      <c r="H387" s="52" t="str">
        <f>VLOOKUP(Tabla3[[#This Row],[Site]],'Important Info!'!$A$1:$J$135,10,FALSE)</f>
        <v>https://tools.sig.systems/site/details/250</v>
      </c>
      <c r="I387" s="43"/>
      <c r="J387" t="s">
        <v>41</v>
      </c>
      <c r="K387" s="79" t="str">
        <f>VLOOKUP(Tabla3[[#This Row],[Site]],'Important Info!'!$A$1:$H$135,8,FALSE)</f>
        <v>-</v>
      </c>
      <c r="L387" s="52" t="str">
        <f>VLOOKUP(Tabla3[[#This Row],[Site]],'Important Info!'!$A$1:$F$135,2,FALSE)</f>
        <v>2, 10, 18</v>
      </c>
      <c r="M387" s="52" t="str">
        <f>VLOOKUP(Tabla3[[#This Row],[Site]],'Important Info!'!$A$1:$F$135,3,FALSE)</f>
        <v>-</v>
      </c>
      <c r="N387" s="52" t="str">
        <f>VLOOKUP(Tabla3[[#This Row],[Site]],'Important Info!'!$A$1:$F$135,4,FALSE)</f>
        <v>-</v>
      </c>
      <c r="O387" s="52">
        <f>VLOOKUP(Tabla3[[#This Row],[Site]],'Important Info!'!$A$1:$F$135,5,FALSE)</f>
        <v>15</v>
      </c>
      <c r="P387" s="52" t="str">
        <f>VLOOKUP(Tabla3[[#This Row],[Site]],'Important Info!'!$A$1:$F$135,6,FALSE)</f>
        <v>2, 4, 18</v>
      </c>
      <c r="Q387" s="91">
        <f>VLOOKUP(Tabla3[[#This Row],[Site]],'Important Info!'!$A$1:$J$135,9,FALSE)</f>
        <v>250</v>
      </c>
    </row>
    <row r="388" spans="1:17" x14ac:dyDescent="0.25">
      <c r="A388" t="str">
        <f>+Tabla3[[#This Row],[Site]]&amp;Tabla3[[#This Row],[Split]]</f>
        <v>(HUD) Honda Greensboro7</v>
      </c>
      <c r="B388">
        <v>7</v>
      </c>
      <c r="C388">
        <v>3</v>
      </c>
      <c r="D388" t="s">
        <v>62</v>
      </c>
      <c r="E388" t="s">
        <v>35</v>
      </c>
      <c r="F388" t="s">
        <v>85</v>
      </c>
      <c r="G388" t="s">
        <v>490</v>
      </c>
      <c r="H388" s="52" t="str">
        <f>VLOOKUP(Tabla3[[#This Row],[Site]],'Important Info!'!$A$1:$J$135,10,FALSE)</f>
        <v>https://tools.sig.systems/site/details/230</v>
      </c>
      <c r="I388" t="s">
        <v>186</v>
      </c>
      <c r="J388" t="s">
        <v>41</v>
      </c>
      <c r="K388" s="79" t="str">
        <f>VLOOKUP(Tabla3[[#This Row],[Site]],'Important Info!'!$A$1:$H$135,8,FALSE)</f>
        <v>-</v>
      </c>
      <c r="L388" s="52" t="str">
        <f>VLOOKUP(Tabla3[[#This Row],[Site]],'Important Info!'!$A$1:$F$135,2,FALSE)</f>
        <v>1, 3,  15, 16, 22</v>
      </c>
      <c r="M388" s="52" t="str">
        <f>VLOOKUP(Tabla3[[#This Row],[Site]],'Important Info!'!$A$1:$F$135,3,FALSE)</f>
        <v>-</v>
      </c>
      <c r="N388" s="52" t="str">
        <f>VLOOKUP(Tabla3[[#This Row],[Site]],'Important Info!'!$A$1:$F$135,4,FALSE)</f>
        <v>-</v>
      </c>
      <c r="O388" s="52" t="str">
        <f>VLOOKUP(Tabla3[[#This Row],[Site]],'Important Info!'!$A$1:$F$135,5,FALSE)</f>
        <v>3, 20</v>
      </c>
      <c r="P388" s="52">
        <f>VLOOKUP(Tabla3[[#This Row],[Site]],'Important Info!'!$A$1:$F$135,6,FALSE)</f>
        <v>26</v>
      </c>
      <c r="Q388" s="91">
        <f>VLOOKUP(Tabla3[[#This Row],[Site]],'Important Info!'!$A$1:$J$135,9,FALSE)</f>
        <v>230</v>
      </c>
    </row>
    <row r="389" spans="1:17" x14ac:dyDescent="0.25">
      <c r="A389" t="str">
        <f>+Tabla3[[#This Row],[Site]]&amp;Tabla3[[#This Row],[Split]]</f>
        <v>(HUD) Honda of Southpoint7</v>
      </c>
      <c r="B389">
        <v>7</v>
      </c>
      <c r="C389">
        <v>3</v>
      </c>
      <c r="D389" t="s">
        <v>62</v>
      </c>
      <c r="E389" t="s">
        <v>35</v>
      </c>
      <c r="F389" t="s">
        <v>65</v>
      </c>
      <c r="G389" t="s">
        <v>490</v>
      </c>
      <c r="H389" s="52" t="str">
        <f>VLOOKUP(Tabla3[[#This Row],[Site]],'Important Info!'!$A$1:$J$135,10,FALSE)</f>
        <v>https://tools.sig.systems/site/details/195</v>
      </c>
      <c r="J389" t="s">
        <v>484</v>
      </c>
      <c r="K389" s="79" t="str">
        <f>VLOOKUP(Tabla3[[#This Row],[Site]],'Important Info!'!$A$1:$H$135,8,FALSE)</f>
        <v>-</v>
      </c>
      <c r="L389" s="52" t="str">
        <f>VLOOKUP(Tabla3[[#This Row],[Site]],'Important Info!'!$A$1:$F$135,2,FALSE)</f>
        <v>2, 12, 18</v>
      </c>
      <c r="M389" s="52">
        <f>VLOOKUP(Tabla3[[#This Row],[Site]],'Important Info!'!$A$1:$F$135,3,FALSE)</f>
        <v>13</v>
      </c>
      <c r="N389" s="52" t="str">
        <f>VLOOKUP(Tabla3[[#This Row],[Site]],'Important Info!'!$A$1:$F$135,4,FALSE)</f>
        <v>-</v>
      </c>
      <c r="O389" s="52" t="str">
        <f>VLOOKUP(Tabla3[[#This Row],[Site]],'Important Info!'!$A$1:$F$135,5,FALSE)</f>
        <v>2, 15</v>
      </c>
      <c r="P389" s="52" t="str">
        <f>VLOOKUP(Tabla3[[#This Row],[Site]],'Important Info!'!$A$1:$F$135,6,FALSE)</f>
        <v>-</v>
      </c>
      <c r="Q389" s="91">
        <f>VLOOKUP(Tabla3[[#This Row],[Site]],'Important Info!'!$A$1:$J$135,9,FALSE)</f>
        <v>195</v>
      </c>
    </row>
    <row r="390" spans="1:17" x14ac:dyDescent="0.25">
      <c r="A390" t="str">
        <f>+Tabla3[[#This Row],[Site]]&amp;Tabla3[[#This Row],[Split]]</f>
        <v>(KG) Texan CDJR7</v>
      </c>
      <c r="B390">
        <v>7</v>
      </c>
      <c r="C390">
        <v>3</v>
      </c>
      <c r="D390" t="s">
        <v>33</v>
      </c>
      <c r="E390" t="s">
        <v>46</v>
      </c>
      <c r="F390" t="s">
        <v>70</v>
      </c>
      <c r="G390" t="s">
        <v>34</v>
      </c>
      <c r="H390" s="52" t="str">
        <f>VLOOKUP(Tabla3[[#This Row],[Site]],'Important Info!'!$A$1:$J$135,10,FALSE)</f>
        <v>https://tools.sig.systems/site/details/238</v>
      </c>
      <c r="I390" s="43" t="s">
        <v>137</v>
      </c>
      <c r="J390" t="s">
        <v>41</v>
      </c>
      <c r="K390" s="79" t="str">
        <f>VLOOKUP(Tabla3[[#This Row],[Site]],'Important Info!'!$A$1:$H$135,8,FALSE)</f>
        <v>-</v>
      </c>
      <c r="L390" s="52" t="str">
        <f>VLOOKUP(Tabla3[[#This Row],[Site]],'Important Info!'!$A$1:$F$135,2,FALSE)</f>
        <v>11, 12, 13, 14, 20, 32, 34, 36, 77</v>
      </c>
      <c r="M390" s="52" t="str">
        <f>VLOOKUP(Tabla3[[#This Row],[Site]],'Important Info!'!$A$1:$F$135,3,FALSE)</f>
        <v>-</v>
      </c>
      <c r="N390" s="52" t="str">
        <f>VLOOKUP(Tabla3[[#This Row],[Site]],'Important Info!'!$A$1:$F$135,4,FALSE)</f>
        <v>67, 68, 69, 70</v>
      </c>
      <c r="O390" s="52" t="str">
        <f>VLOOKUP(Tabla3[[#This Row],[Site]],'Important Info!'!$A$1:$F$135,5,FALSE)</f>
        <v>2, 10, 14, 25, 29, 35, 38</v>
      </c>
      <c r="P390" s="52" t="str">
        <f>VLOOKUP(Tabla3[[#This Row],[Site]],'Important Info!'!$A$1:$F$135,6,FALSE)</f>
        <v>36, 46</v>
      </c>
      <c r="Q390" s="91">
        <f>VLOOKUP(Tabla3[[#This Row],[Site]],'Important Info!'!$A$1:$J$135,9,FALSE)</f>
        <v>238</v>
      </c>
    </row>
    <row r="391" spans="1:17" x14ac:dyDescent="0.25">
      <c r="A391" t="str">
        <f>+Tabla3[[#This Row],[Site]]&amp;Tabla3[[#This Row],[Split]]</f>
        <v>(MK) McKenny Salinas Honda7</v>
      </c>
      <c r="B391">
        <v>7</v>
      </c>
      <c r="C391">
        <v>3</v>
      </c>
      <c r="D391" t="s">
        <v>62</v>
      </c>
      <c r="E391" t="s">
        <v>35</v>
      </c>
      <c r="F391" t="s">
        <v>115</v>
      </c>
      <c r="G391" t="s">
        <v>490</v>
      </c>
      <c r="H391" s="52" t="str">
        <f>VLOOKUP(Tabla3[[#This Row],[Site]],'Important Info!'!$A$1:$J$135,10,FALSE)</f>
        <v>https://tools.sig.systems/site/details/149</v>
      </c>
      <c r="J391" t="s">
        <v>41</v>
      </c>
      <c r="K391" s="79" t="str">
        <f>VLOOKUP(Tabla3[[#This Row],[Site]],'Important Info!'!$A$1:$H$135,8,FALSE)</f>
        <v>-</v>
      </c>
      <c r="L391" s="52" t="str">
        <f>VLOOKUP(Tabla3[[#This Row],[Site]],'Important Info!'!$A$1:$F$135,2,FALSE)</f>
        <v>-</v>
      </c>
      <c r="M391" s="52" t="str">
        <f>VLOOKUP(Tabla3[[#This Row],[Site]],'Important Info!'!$A$1:$F$135,3,FALSE)</f>
        <v>12, 16</v>
      </c>
      <c r="N391" s="52" t="str">
        <f>VLOOKUP(Tabla3[[#This Row],[Site]],'Important Info!'!$A$1:$F$135,4,FALSE)</f>
        <v>-</v>
      </c>
      <c r="O391" s="52" t="str">
        <f>VLOOKUP(Tabla3[[#This Row],[Site]],'Important Info!'!$A$1:$F$135,5,FALSE)</f>
        <v>-</v>
      </c>
      <c r="P391" s="52" t="str">
        <f>VLOOKUP(Tabla3[[#This Row],[Site]],'Important Info!'!$A$1:$F$135,6,FALSE)</f>
        <v>3, 4, 5, 6, 16</v>
      </c>
      <c r="Q391" s="91">
        <f>VLOOKUP(Tabla3[[#This Row],[Site]],'Important Info!'!$A$1:$J$135,9,FALSE)</f>
        <v>149</v>
      </c>
    </row>
    <row r="392" spans="1:17" x14ac:dyDescent="0.25">
      <c r="A392" t="str">
        <f>+Tabla3[[#This Row],[Site]]&amp;Tabla3[[#This Row],[Split]]</f>
        <v>(ML) Collision Center N Little Rock7</v>
      </c>
      <c r="B392">
        <v>7</v>
      </c>
      <c r="C392">
        <v>3</v>
      </c>
      <c r="D392" t="s">
        <v>33</v>
      </c>
      <c r="E392" t="s">
        <v>46</v>
      </c>
      <c r="F392" t="s">
        <v>141</v>
      </c>
      <c r="G392" t="s">
        <v>34</v>
      </c>
      <c r="H392" s="52" t="str">
        <f>VLOOKUP(Tabla3[[#This Row],[Site]],'Important Info!'!$A$1:$J$135,10,FALSE)</f>
        <v>https://tools.sig.systems/site/details/212</v>
      </c>
      <c r="I392" s="2" t="s">
        <v>142</v>
      </c>
      <c r="J392" t="s">
        <v>41</v>
      </c>
      <c r="K392" s="79" t="str">
        <f>VLOOKUP(Tabla3[[#This Row],[Site]],'Important Info!'!$A$1:$H$135,8,FALSE)</f>
        <v>-</v>
      </c>
      <c r="L392" s="52" t="str">
        <f>VLOOKUP(Tabla3[[#This Row],[Site]],'Important Info!'!$A$1:$F$135,2,FALSE)</f>
        <v>-</v>
      </c>
      <c r="M392" s="52" t="str">
        <f>VLOOKUP(Tabla3[[#This Row],[Site]],'Important Info!'!$A$1:$F$135,3,FALSE)</f>
        <v>-</v>
      </c>
      <c r="N392" s="52" t="str">
        <f>VLOOKUP(Tabla3[[#This Row],[Site]],'Important Info!'!$A$1:$F$135,4,FALSE)</f>
        <v>-</v>
      </c>
      <c r="O392" s="52" t="str">
        <f>VLOOKUP(Tabla3[[#This Row],[Site]],'Important Info!'!$A$1:$F$135,5,FALSE)</f>
        <v>-</v>
      </c>
      <c r="P392" s="52" t="str">
        <f>VLOOKUP(Tabla3[[#This Row],[Site]],'Important Info!'!$A$1:$F$135,6,FALSE)</f>
        <v>1, 3, 7, 8</v>
      </c>
      <c r="Q392" s="91">
        <f>VLOOKUP(Tabla3[[#This Row],[Site]],'Important Info!'!$A$1:$J$135,9,FALSE)</f>
        <v>212</v>
      </c>
    </row>
    <row r="393" spans="1:17" x14ac:dyDescent="0.25">
      <c r="A393" t="str">
        <f>+Tabla3[[#This Row],[Site]]&amp;Tabla3[[#This Row],[Split]]</f>
        <v>(ML) Joe Machens Nissan7</v>
      </c>
      <c r="B393">
        <v>7</v>
      </c>
      <c r="C393">
        <v>3</v>
      </c>
      <c r="D393" t="s">
        <v>33</v>
      </c>
      <c r="E393" t="s">
        <v>46</v>
      </c>
      <c r="F393" t="s">
        <v>104</v>
      </c>
      <c r="G393" t="s">
        <v>34</v>
      </c>
      <c r="H393" s="52" t="str">
        <f>VLOOKUP(Tabla3[[#This Row],[Site]],'Important Info!'!$A$1:$J$135,10,FALSE)</f>
        <v>https://tools.sig.systems/site/details/279</v>
      </c>
      <c r="I393" s="2" t="s">
        <v>146</v>
      </c>
      <c r="J393" t="s">
        <v>41</v>
      </c>
      <c r="K393" s="79" t="str">
        <f>VLOOKUP(Tabla3[[#This Row],[Site]],'Important Info!'!$A$1:$H$135,8,FALSE)</f>
        <v>-</v>
      </c>
      <c r="L393" s="52" t="str">
        <f>VLOOKUP(Tabla3[[#This Row],[Site]],'Important Info!'!$A$1:$F$135,2,FALSE)</f>
        <v>-</v>
      </c>
      <c r="M393" s="52" t="str">
        <f>VLOOKUP(Tabla3[[#This Row],[Site]],'Important Info!'!$A$1:$F$135,3,FALSE)</f>
        <v>1, 3, 16</v>
      </c>
      <c r="N393" s="52" t="str">
        <f>VLOOKUP(Tabla3[[#This Row],[Site]],'Important Info!'!$A$1:$F$135,4,FALSE)</f>
        <v>-</v>
      </c>
      <c r="O393" s="52" t="str">
        <f>VLOOKUP(Tabla3[[#This Row],[Site]],'Important Info!'!$A$1:$F$135,5,FALSE)</f>
        <v>-</v>
      </c>
      <c r="P393" s="52" t="str">
        <f>VLOOKUP(Tabla3[[#This Row],[Site]],'Important Info!'!$A$1:$F$135,6,FALSE)</f>
        <v>-</v>
      </c>
      <c r="Q393" s="91">
        <f>VLOOKUP(Tabla3[[#This Row],[Site]],'Important Info!'!$A$1:$J$135,9,FALSE)</f>
        <v>279</v>
      </c>
    </row>
    <row r="394" spans="1:17" x14ac:dyDescent="0.25">
      <c r="A394" t="str">
        <f>+Tabla3[[#This Row],[Site]]&amp;Tabla3[[#This Row],[Split]]</f>
        <v>(ML) McLarty Gray-Daniels Ford Lincoln7</v>
      </c>
      <c r="B394">
        <v>7</v>
      </c>
      <c r="C394">
        <v>3</v>
      </c>
      <c r="D394" t="s">
        <v>33</v>
      </c>
      <c r="E394" t="s">
        <v>46</v>
      </c>
      <c r="F394" t="s">
        <v>89</v>
      </c>
      <c r="G394" t="s">
        <v>34</v>
      </c>
      <c r="H394" s="52" t="str">
        <f>VLOOKUP(Tabla3[[#This Row],[Site]],'Important Info!'!$A$1:$J$135,10,FALSE)</f>
        <v>https://tools.sig.systems/site/details/151</v>
      </c>
      <c r="I394" s="2" t="s">
        <v>150</v>
      </c>
      <c r="J394" t="s">
        <v>41</v>
      </c>
      <c r="K394" s="79" t="str">
        <f>VLOOKUP(Tabla3[[#This Row],[Site]],'Important Info!'!$A$1:$H$135,8,FALSE)</f>
        <v>-</v>
      </c>
      <c r="L394" s="52">
        <f>VLOOKUP(Tabla3[[#This Row],[Site]],'Important Info!'!$A$1:$F$135,2,FALSE)</f>
        <v>16</v>
      </c>
      <c r="M394" s="52" t="str">
        <f>VLOOKUP(Tabla3[[#This Row],[Site]],'Important Info!'!$A$1:$F$135,3,FALSE)</f>
        <v>5, 10, 36, 38, 54, 58B</v>
      </c>
      <c r="N394" s="52" t="str">
        <f>VLOOKUP(Tabla3[[#This Row],[Site]],'Important Info!'!$A$1:$F$135,4,FALSE)</f>
        <v>-</v>
      </c>
      <c r="O394" s="52" t="str">
        <f>VLOOKUP(Tabla3[[#This Row],[Site]],'Important Info!'!$A$1:$F$135,5,FALSE)</f>
        <v>5, 17, 37</v>
      </c>
      <c r="P394" s="52" t="str">
        <f>VLOOKUP(Tabla3[[#This Row],[Site]],'Important Info!'!$A$1:$F$135,6,FALSE)</f>
        <v>1, 2, 3, 4</v>
      </c>
      <c r="Q394" s="91">
        <f>VLOOKUP(Tabla3[[#This Row],[Site]],'Important Info!'!$A$1:$J$135,9,FALSE)</f>
        <v>151</v>
      </c>
    </row>
    <row r="395" spans="1:17" x14ac:dyDescent="0.25">
      <c r="A395" t="str">
        <f>+Tabla3[[#This Row],[Site]]&amp;Tabla3[[#This Row],[Split]]</f>
        <v>(PE) Mercedes Benz &amp; Smart Bldg. of Fairfield (NO TOURS)7</v>
      </c>
      <c r="B395">
        <v>7</v>
      </c>
      <c r="C395">
        <v>3</v>
      </c>
      <c r="D395" t="s">
        <v>485</v>
      </c>
      <c r="E395" t="s">
        <v>35</v>
      </c>
      <c r="F395" t="s">
        <v>64</v>
      </c>
      <c r="G395" t="s">
        <v>490</v>
      </c>
      <c r="H395" s="52" t="str">
        <f>VLOOKUP(Tabla3[[#This Row],[Site]],'Important Info!'!$A$1:$J$135,10,FALSE)</f>
        <v>https://tools.sig.systems/site/details/192</v>
      </c>
      <c r="I395" s="43" t="s">
        <v>177</v>
      </c>
      <c r="J395" t="s">
        <v>41</v>
      </c>
      <c r="K395" s="79" t="str">
        <f>VLOOKUP(Tabla3[[#This Row],[Site]],'Important Info!'!$A$1:$H$135,8,FALSE)</f>
        <v>-</v>
      </c>
      <c r="L395" s="52" t="str">
        <f>VLOOKUP(Tabla3[[#This Row],[Site]],'Important Info!'!$A$1:$F$135,2,FALSE)</f>
        <v>-</v>
      </c>
      <c r="M395" s="52">
        <f>VLOOKUP(Tabla3[[#This Row],[Site]],'Important Info!'!$A$1:$F$135,3,FALSE)</f>
        <v>1</v>
      </c>
      <c r="N395" s="52" t="str">
        <f>VLOOKUP(Tabla3[[#This Row],[Site]],'Important Info!'!$A$1:$F$135,4,FALSE)</f>
        <v>-</v>
      </c>
      <c r="O395" s="52" t="str">
        <f>VLOOKUP(Tabla3[[#This Row],[Site]],'Important Info!'!$A$1:$F$135,5,FALSE)</f>
        <v>11, 13</v>
      </c>
      <c r="P395" s="52">
        <f>VLOOKUP(Tabla3[[#This Row],[Site]],'Important Info!'!$A$1:$F$135,6,FALSE)</f>
        <v>1</v>
      </c>
      <c r="Q395" s="91">
        <f>VLOOKUP(Tabla3[[#This Row],[Site]],'Important Info!'!$A$1:$J$135,9,FALSE)</f>
        <v>192</v>
      </c>
    </row>
    <row r="396" spans="1:17" x14ac:dyDescent="0.25">
      <c r="A396" t="str">
        <f>+Tabla3[[#This Row],[Site]]&amp;Tabla3[[#This Row],[Split]]</f>
        <v>(RV) Toms Camperland Surprise (NO TOURS)7</v>
      </c>
      <c r="B396">
        <v>7</v>
      </c>
      <c r="C396">
        <v>3</v>
      </c>
      <c r="D396" t="s">
        <v>51</v>
      </c>
      <c r="E396" t="s">
        <v>161</v>
      </c>
      <c r="F396" t="s">
        <v>165</v>
      </c>
      <c r="G396" t="s">
        <v>52</v>
      </c>
      <c r="H396" s="52" t="str">
        <f>VLOOKUP(Tabla3[[#This Row],[Site]],'Important Info!'!$A$1:$J$135,10,FALSE)</f>
        <v>https://tools.sig.systems/site/details/254</v>
      </c>
      <c r="I396" s="2"/>
      <c r="J396" t="s">
        <v>52</v>
      </c>
      <c r="K396" s="79" t="str">
        <f>VLOOKUP(Tabla3[[#This Row],[Site]],'Important Info!'!$A$1:$H$135,8,FALSE)</f>
        <v>-</v>
      </c>
      <c r="L396" s="52" t="str">
        <f>VLOOKUP(Tabla3[[#This Row],[Site]],'Important Info!'!$A$1:$F$135,2,FALSE)</f>
        <v>1, 3, 4</v>
      </c>
      <c r="M396" s="52" t="str">
        <f>VLOOKUP(Tabla3[[#This Row],[Site]],'Important Info!'!$A$1:$F$135,3,FALSE)</f>
        <v>-</v>
      </c>
      <c r="N396" s="52" t="str">
        <f>VLOOKUP(Tabla3[[#This Row],[Site]],'Important Info!'!$A$1:$F$135,4,FALSE)</f>
        <v>-</v>
      </c>
      <c r="O396" s="52" t="str">
        <f>VLOOKUP(Tabla3[[#This Row],[Site]],'Important Info!'!$A$1:$F$135,5,FALSE)</f>
        <v>-</v>
      </c>
      <c r="P396" s="52" t="str">
        <f>VLOOKUP(Tabla3[[#This Row],[Site]],'Important Info!'!$A$1:$F$135,6,FALSE)</f>
        <v>1, 2, 3, 4, 15</v>
      </c>
      <c r="Q396" s="91">
        <f>VLOOKUP(Tabla3[[#This Row],[Site]],'Important Info!'!$A$1:$J$135,9,FALSE)</f>
        <v>254</v>
      </c>
    </row>
    <row r="397" spans="1:17" x14ac:dyDescent="0.25">
      <c r="A397" t="str">
        <f>+Tabla3[[#This Row],[Site]]&amp;Tabla3[[#This Row],[Split]]</f>
        <v>(SCH) Prep Center Delray7</v>
      </c>
      <c r="B397">
        <v>7</v>
      </c>
      <c r="C397">
        <v>3</v>
      </c>
      <c r="D397" t="s">
        <v>62</v>
      </c>
      <c r="E397" t="s">
        <v>35</v>
      </c>
      <c r="F397" s="41" t="s">
        <v>191</v>
      </c>
      <c r="G397" t="s">
        <v>490</v>
      </c>
      <c r="H397" s="52" t="str">
        <f>VLOOKUP(Tabla3[[#This Row],[Site]],'Important Info!'!$A$1:$J$135,10,FALSE)</f>
        <v>https://tools.sig.systems/site/details/321</v>
      </c>
      <c r="I397" s="2"/>
      <c r="J397" t="s">
        <v>41</v>
      </c>
      <c r="K397" s="79" t="str">
        <f>VLOOKUP(Tabla3[[#This Row],[Site]],'Important Info!'!$A$1:$H$135,8,FALSE)</f>
        <v>-</v>
      </c>
      <c r="L397" s="52" t="str">
        <f>VLOOKUP(Tabla3[[#This Row],[Site]],'Important Info!'!$A$1:$F$135,2,FALSE)</f>
        <v>2,3</v>
      </c>
      <c r="M397" s="52" t="str">
        <f>VLOOKUP(Tabla3[[#This Row],[Site]],'Important Info!'!$A$1:$F$135,3,FALSE)</f>
        <v>-</v>
      </c>
      <c r="N397" s="52" t="str">
        <f>VLOOKUP(Tabla3[[#This Row],[Site]],'Important Info!'!$A$1:$F$135,4,FALSE)</f>
        <v>-</v>
      </c>
      <c r="O397" s="52" t="str">
        <f>VLOOKUP(Tabla3[[#This Row],[Site]],'Important Info!'!$A$1:$F$135,5,FALSE)</f>
        <v>-</v>
      </c>
      <c r="P397" s="52" t="str">
        <f>VLOOKUP(Tabla3[[#This Row],[Site]],'Important Info!'!$A$1:$F$135,6,FALSE)</f>
        <v>2,4,10</v>
      </c>
      <c r="Q397" s="91">
        <f>VLOOKUP(Tabla3[[#This Row],[Site]],'Important Info!'!$A$1:$J$135,9,FALSE)</f>
        <v>321</v>
      </c>
    </row>
    <row r="398" spans="1:17" x14ac:dyDescent="0.25">
      <c r="A398" t="str">
        <f>+Tabla3[[#This Row],[Site]]&amp;Tabla3[[#This Row],[Split]]</f>
        <v>(WAG) Greeley Chrysler Dodge Jeep Ram (NO TOURS)7</v>
      </c>
      <c r="B398">
        <v>7</v>
      </c>
      <c r="C398">
        <v>3</v>
      </c>
      <c r="D398" t="s">
        <v>44</v>
      </c>
      <c r="E398" t="s">
        <v>53</v>
      </c>
      <c r="F398" t="s">
        <v>497</v>
      </c>
      <c r="G398" t="s">
        <v>45</v>
      </c>
      <c r="H398" s="52" t="str">
        <f>VLOOKUP(Tabla3[[#This Row],[Site]],'Important Info!'!$A$1:$J$135,10,FALSE)</f>
        <v>https://tools.sig.systems/site/details/130</v>
      </c>
      <c r="I398" t="s">
        <v>153</v>
      </c>
      <c r="J398" t="s">
        <v>41</v>
      </c>
      <c r="K398" s="79" t="str">
        <f>VLOOKUP(Tabla3[[#This Row],[Site]],'Important Info!'!$A$1:$H$135,8,FALSE)</f>
        <v>-</v>
      </c>
      <c r="L398" s="52" t="str">
        <f>VLOOKUP(Tabla3[[#This Row],[Site]],'Important Info!'!$A$1:$F$135,2,FALSE)</f>
        <v>17, 23 &amp; 18</v>
      </c>
      <c r="M398" s="52" t="str">
        <f>VLOOKUP(Tabla3[[#This Row],[Site]],'Important Info!'!$A$1:$F$135,3,FALSE)</f>
        <v>4, 5, 6, 7, 8, 51, 55</v>
      </c>
      <c r="N398" s="52" t="str">
        <f>VLOOKUP(Tabla3[[#This Row],[Site]],'Important Info!'!$A$1:$F$135,4,FALSE)</f>
        <v>-</v>
      </c>
      <c r="O398" s="52" t="str">
        <f>VLOOKUP(Tabla3[[#This Row],[Site]],'Important Info!'!$A$1:$F$135,5,FALSE)</f>
        <v>3, 13, 17, 49, 53, 59</v>
      </c>
      <c r="P398" s="52" t="str">
        <f>VLOOKUP(Tabla3[[#This Row],[Site]],'Important Info!'!$A$1:$F$135,6,FALSE)</f>
        <v>8, 9, 10, 51, 62</v>
      </c>
      <c r="Q398" s="91">
        <f>VLOOKUP(Tabla3[[#This Row],[Site]],'Important Info!'!$A$1:$J$135,9,FALSE)</f>
        <v>130</v>
      </c>
    </row>
    <row r="399" spans="1:17" x14ac:dyDescent="0.25">
      <c r="A399" t="str">
        <f>+Tabla3[[#This Row],[Site]]&amp;Tabla3[[#This Row],[Split]]</f>
        <v>SIG Office7</v>
      </c>
      <c r="B399">
        <v>7</v>
      </c>
      <c r="C399">
        <v>3</v>
      </c>
      <c r="D399" t="s">
        <v>60</v>
      </c>
      <c r="E399" t="s">
        <v>35</v>
      </c>
      <c r="F399" t="s">
        <v>169</v>
      </c>
      <c r="G399" t="s">
        <v>41</v>
      </c>
      <c r="H399" s="52" t="str">
        <f>VLOOKUP(Tabla3[[#This Row],[Site]],'Important Info!'!$A$1:$J$135,10,FALSE)</f>
        <v>https://tools.sig.systems/site/details/163</v>
      </c>
      <c r="I399" s="43"/>
      <c r="J399" t="s">
        <v>41</v>
      </c>
      <c r="K399" s="79" t="str">
        <f>VLOOKUP(Tabla3[[#This Row],[Site]],'Important Info!'!$A$1:$H$135,8,FALSE)</f>
        <v>-</v>
      </c>
      <c r="L399" s="52" t="str">
        <f>VLOOKUP(Tabla3[[#This Row],[Site]],'Important Info!'!$A$1:$F$135,2,FALSE)</f>
        <v>-</v>
      </c>
      <c r="M399" s="52" t="str">
        <f>VLOOKUP(Tabla3[[#This Row],[Site]],'Important Info!'!$A$1:$F$135,3,FALSE)</f>
        <v>-</v>
      </c>
      <c r="N399" s="52" t="str">
        <f>VLOOKUP(Tabla3[[#This Row],[Site]],'Important Info!'!$A$1:$F$135,4,FALSE)</f>
        <v>-</v>
      </c>
      <c r="O399" s="52" t="str">
        <f>VLOOKUP(Tabla3[[#This Row],[Site]],'Important Info!'!$A$1:$F$135,5,FALSE)</f>
        <v>-</v>
      </c>
      <c r="P399" s="52">
        <f>VLOOKUP(Tabla3[[#This Row],[Site]],'Important Info!'!$A$1:$F$135,6,FALSE)</f>
        <v>25</v>
      </c>
      <c r="Q399" s="91">
        <f>VLOOKUP(Tabla3[[#This Row],[Site]],'Important Info!'!$A$1:$J$135,9,FALSE)</f>
        <v>163</v>
      </c>
    </row>
    <row r="400" spans="1:17" x14ac:dyDescent="0.25">
      <c r="A400" t="str">
        <f>+Tabla3[[#This Row],[Site]]&amp;Tabla3[[#This Row],[Split]]</f>
        <v>(AS) Bill Estes Ford (NO TOURS)7</v>
      </c>
      <c r="B400">
        <v>7</v>
      </c>
      <c r="C400">
        <v>4</v>
      </c>
      <c r="D400" t="s">
        <v>62</v>
      </c>
      <c r="E400" t="s">
        <v>35</v>
      </c>
      <c r="F400" t="s">
        <v>178</v>
      </c>
      <c r="G400" t="s">
        <v>490</v>
      </c>
      <c r="H400" s="52" t="str">
        <f>VLOOKUP(Tabla3[[#This Row],[Site]],'Important Info!'!$A$1:$J$135,10,FALSE)</f>
        <v>https://tools.sig.systems/site/details/125</v>
      </c>
      <c r="J400" t="s">
        <v>41</v>
      </c>
      <c r="K400" s="79" t="str">
        <f>VLOOKUP(Tabla3[[#This Row],[Site]],'Important Info!'!$A$1:$H$135,8,FALSE)</f>
        <v>-</v>
      </c>
      <c r="L400" s="52" t="str">
        <f>VLOOKUP(Tabla3[[#This Row],[Site]],'Important Info!'!$A$1:$F$135,2,FALSE)</f>
        <v>-</v>
      </c>
      <c r="M400" s="52" t="str">
        <f>VLOOKUP(Tabla3[[#This Row],[Site]],'Important Info!'!$A$1:$F$135,3,FALSE)</f>
        <v>2, 3, 13, 16</v>
      </c>
      <c r="N400" s="52" t="str">
        <f>VLOOKUP(Tabla3[[#This Row],[Site]],'Important Info!'!$A$1:$F$135,4,FALSE)</f>
        <v>-</v>
      </c>
      <c r="O400" s="52" t="str">
        <f>VLOOKUP(Tabla3[[#This Row],[Site]],'Important Info!'!$A$1:$F$135,5,FALSE)</f>
        <v>1, 10, 14, 19</v>
      </c>
      <c r="P400" s="52" t="str">
        <f>VLOOKUP(Tabla3[[#This Row],[Site]],'Important Info!'!$A$1:$F$135,6,FALSE)</f>
        <v>7, 8, 9, 10, 11, 12, 14</v>
      </c>
      <c r="Q400" s="91">
        <f>VLOOKUP(Tabla3[[#This Row],[Site]],'Important Info!'!$A$1:$J$135,9,FALSE)</f>
        <v>125</v>
      </c>
    </row>
    <row r="401" spans="1:17" x14ac:dyDescent="0.25">
      <c r="A401" t="str">
        <f>+Tabla3[[#This Row],[Site]]&amp;Tabla3[[#This Row],[Split]]</f>
        <v>(AS) Coggin Honda Ft. Pierce (NO TOURS)7</v>
      </c>
      <c r="B401">
        <v>7</v>
      </c>
      <c r="C401">
        <v>4</v>
      </c>
      <c r="D401" t="s">
        <v>62</v>
      </c>
      <c r="E401" t="s">
        <v>35</v>
      </c>
      <c r="F401" t="s">
        <v>501</v>
      </c>
      <c r="G401" t="s">
        <v>490</v>
      </c>
      <c r="H401" s="52" t="str">
        <f>VLOOKUP(Tabla3[[#This Row],[Site]],'Important Info!'!$A$1:$J$135,10,FALSE)</f>
        <v>https://tools.sig.systems/site/details/120</v>
      </c>
      <c r="I401" s="43" t="s">
        <v>179</v>
      </c>
      <c r="J401" t="s">
        <v>484</v>
      </c>
      <c r="K401" s="79" t="str">
        <f>VLOOKUP(Tabla3[[#This Row],[Site]],'Important Info!'!$A$1:$H$135,8,FALSE)</f>
        <v>-</v>
      </c>
      <c r="L401" s="52" t="str">
        <f>VLOOKUP(Tabla3[[#This Row],[Site]],'Important Info!'!$A$1:$F$135,2,FALSE)</f>
        <v>1, 2, 3, 4, 14</v>
      </c>
      <c r="M401" s="52" t="str">
        <f>VLOOKUP(Tabla3[[#This Row],[Site]],'Important Info!'!$A$1:$F$135,3,FALSE)</f>
        <v>-</v>
      </c>
      <c r="N401" s="52" t="str">
        <f>VLOOKUP(Tabla3[[#This Row],[Site]],'Important Info!'!$A$1:$F$135,4,FALSE)</f>
        <v>-</v>
      </c>
      <c r="O401" s="52" t="str">
        <f>VLOOKUP(Tabla3[[#This Row],[Site]],'Important Info!'!$A$1:$F$135,5,FALSE)</f>
        <v>7, 11, 15</v>
      </c>
      <c r="P401" s="52">
        <f>VLOOKUP(Tabla3[[#This Row],[Site]],'Important Info!'!$A$1:$F$135,6,FALSE)</f>
        <v>3</v>
      </c>
      <c r="Q401" s="91">
        <f>VLOOKUP(Tabla3[[#This Row],[Site]],'Important Info!'!$A$1:$J$135,9,FALSE)</f>
        <v>120</v>
      </c>
    </row>
    <row r="402" spans="1:17" x14ac:dyDescent="0.25">
      <c r="A402" t="str">
        <f>+Tabla3[[#This Row],[Site]]&amp;Tabla3[[#This Row],[Split]]</f>
        <v>(AS) David McDavid Honda I &amp; II (NO TOURS)7</v>
      </c>
      <c r="B402">
        <v>7</v>
      </c>
      <c r="C402">
        <v>4</v>
      </c>
      <c r="D402" t="s">
        <v>33</v>
      </c>
      <c r="E402" t="s">
        <v>46</v>
      </c>
      <c r="F402" t="s">
        <v>506</v>
      </c>
      <c r="G402" t="s">
        <v>34</v>
      </c>
      <c r="H402" s="52" t="str">
        <f>VLOOKUP(Tabla3[[#This Row],[Site]],'Important Info!'!$A$1:$J$135,10,FALSE)</f>
        <v>https://tools.sig.systems/site/details/129</v>
      </c>
      <c r="I402" s="43"/>
      <c r="J402" t="s">
        <v>41</v>
      </c>
      <c r="K402" s="79" t="str">
        <f>VLOOKUP(Tabla3[[#This Row],[Site]],'Important Info!'!$A$1:$H$135,8,FALSE)</f>
        <v>-</v>
      </c>
      <c r="L402" s="52" t="str">
        <f>VLOOKUP(Tabla3[[#This Row],[Site]],'Important Info!'!$A$1:$F$135,2,FALSE)</f>
        <v>-</v>
      </c>
      <c r="M402" s="52" t="str">
        <f>VLOOKUP(Tabla3[[#This Row],[Site]],'Important Info!'!$A$1:$F$135,3,FALSE)</f>
        <v>3, 19, 23, 32, 35</v>
      </c>
      <c r="N402" s="52" t="str">
        <f>VLOOKUP(Tabla3[[#This Row],[Site]],'Important Info!'!$A$1:$F$135,4,FALSE)</f>
        <v>-</v>
      </c>
      <c r="O402" s="52" t="str">
        <f>VLOOKUP(Tabla3[[#This Row],[Site]],'Important Info!'!$A$1:$F$135,5,FALSE)</f>
        <v>2, 6, 9, 19, 25, 30, 48</v>
      </c>
      <c r="P402" s="52" t="str">
        <f>VLOOKUP(Tabla3[[#This Row],[Site]],'Important Info!'!$A$1:$F$135,6,FALSE)</f>
        <v>25, 26, 35, 36, 37</v>
      </c>
      <c r="Q402" s="91">
        <f>VLOOKUP(Tabla3[[#This Row],[Site]],'Important Info!'!$A$1:$J$135,9,FALSE)</f>
        <v>129</v>
      </c>
    </row>
    <row r="403" spans="1:17" x14ac:dyDescent="0.25">
      <c r="A403" t="str">
        <f>+Tabla3[[#This Row],[Site]]&amp;Tabla3[[#This Row],[Split]]</f>
        <v>(AS) Nalley BMW Collision Center (NO TOURS)7</v>
      </c>
      <c r="B403">
        <v>7</v>
      </c>
      <c r="C403">
        <v>4</v>
      </c>
      <c r="D403" t="s">
        <v>62</v>
      </c>
      <c r="E403" t="s">
        <v>35</v>
      </c>
      <c r="F403" t="s">
        <v>510</v>
      </c>
      <c r="G403" t="s">
        <v>490</v>
      </c>
      <c r="H403" s="52" t="str">
        <f>VLOOKUP(Tabla3[[#This Row],[Site]],'Important Info!'!$A$1:$J$135,10,FALSE)</f>
        <v>https://tools.sig.systems/site/details/220</v>
      </c>
      <c r="I403" s="43"/>
      <c r="J403" t="s">
        <v>41</v>
      </c>
      <c r="K403" s="79" t="str">
        <f>VLOOKUP(Tabla3[[#This Row],[Site]],'Important Info!'!$A$1:$H$135,8,FALSE)</f>
        <v>-</v>
      </c>
      <c r="L403" s="52" t="str">
        <f>VLOOKUP(Tabla3[[#This Row],[Site]],'Important Info!'!$A$1:$F$135,2,FALSE)</f>
        <v>-</v>
      </c>
      <c r="M403" s="52">
        <f>VLOOKUP(Tabla3[[#This Row],[Site]],'Important Info!'!$A$1:$F$135,3,FALSE)</f>
        <v>4</v>
      </c>
      <c r="N403" s="52" t="str">
        <f>VLOOKUP(Tabla3[[#This Row],[Site]],'Important Info!'!$A$1:$F$135,4,FALSE)</f>
        <v>-</v>
      </c>
      <c r="O403" s="52">
        <f>VLOOKUP(Tabla3[[#This Row],[Site]],'Important Info!'!$A$1:$F$135,5,FALSE)</f>
        <v>12</v>
      </c>
      <c r="P403" s="52" t="str">
        <f>VLOOKUP(Tabla3[[#This Row],[Site]],'Important Info!'!$A$1:$F$135,6,FALSE)</f>
        <v>13, 15</v>
      </c>
      <c r="Q403" s="91">
        <f>VLOOKUP(Tabla3[[#This Row],[Site]],'Important Info!'!$A$1:$J$135,9,FALSE)</f>
        <v>220</v>
      </c>
    </row>
    <row r="404" spans="1:17" x14ac:dyDescent="0.25">
      <c r="A404" t="str">
        <f>+Tabla3[[#This Row],[Site]]&amp;Tabla3[[#This Row],[Split]]</f>
        <v>(AS) Park Place Bodywerks Dallas (NO TOURS)7</v>
      </c>
      <c r="B404">
        <v>7</v>
      </c>
      <c r="C404">
        <v>4</v>
      </c>
      <c r="D404" t="s">
        <v>33</v>
      </c>
      <c r="E404" t="s">
        <v>46</v>
      </c>
      <c r="F404" t="s">
        <v>514</v>
      </c>
      <c r="G404" t="s">
        <v>34</v>
      </c>
      <c r="H404" s="52" t="str">
        <f>VLOOKUP(Tabla3[[#This Row],[Site]],'Important Info!'!$A$1:$J$135,10,FALSE)</f>
        <v>https://tools.sig.systems/site/details/166</v>
      </c>
      <c r="I404" s="65" t="s">
        <v>125</v>
      </c>
      <c r="J404" t="s">
        <v>41</v>
      </c>
      <c r="K404" s="79" t="str">
        <f>VLOOKUP(Tabla3[[#This Row],[Site]],'Important Info!'!$A$1:$H$135,8,FALSE)</f>
        <v>-</v>
      </c>
      <c r="L404" s="52">
        <f>VLOOKUP(Tabla3[[#This Row],[Site]],'Important Info!'!$A$1:$F$135,2,FALSE)</f>
        <v>3</v>
      </c>
      <c r="M404" s="52">
        <f>VLOOKUP(Tabla3[[#This Row],[Site]],'Important Info!'!$A$1:$F$135,3,FALSE)</f>
        <v>1</v>
      </c>
      <c r="N404" s="52" t="str">
        <f>VLOOKUP(Tabla3[[#This Row],[Site]],'Important Info!'!$A$1:$F$135,4,FALSE)</f>
        <v>-</v>
      </c>
      <c r="O404" s="52" t="str">
        <f>VLOOKUP(Tabla3[[#This Row],[Site]],'Important Info!'!$A$1:$F$135,5,FALSE)</f>
        <v>-</v>
      </c>
      <c r="P404" s="52" t="str">
        <f>VLOOKUP(Tabla3[[#This Row],[Site]],'Important Info!'!$A$1:$F$135,6,FALSE)</f>
        <v>1, 2, 8</v>
      </c>
      <c r="Q404" s="91">
        <f>VLOOKUP(Tabla3[[#This Row],[Site]],'Important Info!'!$A$1:$J$135,9,FALSE)</f>
        <v>166</v>
      </c>
    </row>
    <row r="405" spans="1:17" x14ac:dyDescent="0.25">
      <c r="A405" t="str">
        <f>+Tabla3[[#This Row],[Site]]&amp;Tabla3[[#This Row],[Split]]</f>
        <v>(AS) Park Place Volvo Sales (NO TOURS)7</v>
      </c>
      <c r="B405">
        <v>7</v>
      </c>
      <c r="C405">
        <v>4</v>
      </c>
      <c r="D405" t="s">
        <v>33</v>
      </c>
      <c r="E405" t="s">
        <v>46</v>
      </c>
      <c r="F405" t="s">
        <v>521</v>
      </c>
      <c r="G405" t="s">
        <v>34</v>
      </c>
      <c r="H405" s="52" t="str">
        <f>VLOOKUP(Tabla3[[#This Row],[Site]],'Important Info!'!$A$1:$J$135,10,FALSE)</f>
        <v>https://tools.sig.systems/site/details/139</v>
      </c>
      <c r="I405" s="65" t="s">
        <v>125</v>
      </c>
      <c r="J405" t="s">
        <v>41</v>
      </c>
      <c r="K405" s="79" t="str">
        <f>VLOOKUP(Tabla3[[#This Row],[Site]],'Important Info!'!$A$1:$H$135,8,FALSE)</f>
        <v>-</v>
      </c>
      <c r="L405" s="52" t="str">
        <f>VLOOKUP(Tabla3[[#This Row],[Site]],'Important Info!'!$A$1:$F$135,2,FALSE)</f>
        <v>4, 6, 9, 11</v>
      </c>
      <c r="M405" s="52" t="str">
        <f>VLOOKUP(Tabla3[[#This Row],[Site]],'Important Info!'!$A$1:$F$135,3,FALSE)</f>
        <v>-</v>
      </c>
      <c r="N405" s="52" t="str">
        <f>VLOOKUP(Tabla3[[#This Row],[Site]],'Important Info!'!$A$1:$F$135,4,FALSE)</f>
        <v>-</v>
      </c>
      <c r="O405" s="52" t="str">
        <f>VLOOKUP(Tabla3[[#This Row],[Site]],'Important Info!'!$A$1:$F$135,5,FALSE)</f>
        <v>2, 9</v>
      </c>
      <c r="P405" s="52" t="str">
        <f>VLOOKUP(Tabla3[[#This Row],[Site]],'Important Info!'!$A$1:$F$135,6,FALSE)</f>
        <v>4, 10, 11</v>
      </c>
      <c r="Q405" s="91">
        <f>VLOOKUP(Tabla3[[#This Row],[Site]],'Important Info!'!$A$1:$J$135,9,FALSE)</f>
        <v>139</v>
      </c>
    </row>
    <row r="406" spans="1:17" x14ac:dyDescent="0.25">
      <c r="A406" t="str">
        <f>+Tabla3[[#This Row],[Site]]&amp;Tabla3[[#This Row],[Split]]</f>
        <v>(DT) Albuquerque7</v>
      </c>
      <c r="B406">
        <v>7</v>
      </c>
      <c r="C406">
        <v>4</v>
      </c>
      <c r="D406" t="s">
        <v>44</v>
      </c>
      <c r="E406" t="s">
        <v>53</v>
      </c>
      <c r="F406" t="s">
        <v>155</v>
      </c>
      <c r="G406" t="s">
        <v>45</v>
      </c>
      <c r="H406" s="52" t="str">
        <f>VLOOKUP(Tabla3[[#This Row],[Site]],'Important Info!'!$A$1:$J$135,10,FALSE)</f>
        <v>https://tools.sig.systems/site/details/237</v>
      </c>
      <c r="J406" t="s">
        <v>41</v>
      </c>
      <c r="K406" s="79" t="str">
        <f>VLOOKUP(Tabla3[[#This Row],[Site]],'Important Info!'!$A$1:$H$135,8,FALSE)</f>
        <v>-</v>
      </c>
      <c r="L406" s="52" t="str">
        <f>VLOOKUP(Tabla3[[#This Row],[Site]],'Important Info!'!$A$1:$F$135,2,FALSE)</f>
        <v>14, 16</v>
      </c>
      <c r="M406" s="52" t="str">
        <f>VLOOKUP(Tabla3[[#This Row],[Site]],'Important Info!'!$A$1:$F$135,3,FALSE)</f>
        <v>-</v>
      </c>
      <c r="N406" s="52" t="str">
        <f>VLOOKUP(Tabla3[[#This Row],[Site]],'Important Info!'!$A$1:$F$135,4,FALSE)</f>
        <v>-</v>
      </c>
      <c r="O406" s="52" t="str">
        <f>VLOOKUP(Tabla3[[#This Row],[Site]],'Important Info!'!$A$1:$F$135,5,FALSE)</f>
        <v>14, 15</v>
      </c>
      <c r="P406" s="52" t="str">
        <f>VLOOKUP(Tabla3[[#This Row],[Site]],'Important Info!'!$A$1:$F$135,6,FALSE)</f>
        <v>12, 14, 16</v>
      </c>
      <c r="Q406" s="91">
        <f>VLOOKUP(Tabla3[[#This Row],[Site]],'Important Info!'!$A$1:$J$135,9,FALSE)</f>
        <v>237</v>
      </c>
    </row>
    <row r="407" spans="1:17" x14ac:dyDescent="0.25">
      <c r="A407" t="str">
        <f>+Tabla3[[#This Row],[Site]]&amp;Tabla3[[#This Row],[Split]]</f>
        <v>(DT) W Houston7</v>
      </c>
      <c r="B407">
        <v>7</v>
      </c>
      <c r="C407">
        <v>4</v>
      </c>
      <c r="D407" t="s">
        <v>33</v>
      </c>
      <c r="E407" t="s">
        <v>46</v>
      </c>
      <c r="F407" t="s">
        <v>69</v>
      </c>
      <c r="G407" t="s">
        <v>34</v>
      </c>
      <c r="H407" s="52" t="str">
        <f>VLOOKUP(Tabla3[[#This Row],[Site]],'Important Info!'!$A$1:$J$135,10,FALSE)</f>
        <v>https://tools.sig.systems/site/details/197</v>
      </c>
      <c r="I407" s="43"/>
      <c r="J407" t="s">
        <v>41</v>
      </c>
      <c r="K407" s="79" t="str">
        <f>VLOOKUP(Tabla3[[#This Row],[Site]],'Important Info!'!$A$1:$H$135,8,FALSE)</f>
        <v>-</v>
      </c>
      <c r="L407" s="52">
        <f>VLOOKUP(Tabla3[[#This Row],[Site]],'Important Info!'!$A$1:$F$135,2,FALSE)</f>
        <v>7</v>
      </c>
      <c r="M407" s="52">
        <f>VLOOKUP(Tabla3[[#This Row],[Site]],'Important Info!'!$A$1:$F$135,3,FALSE)</f>
        <v>2</v>
      </c>
      <c r="N407" s="52" t="str">
        <f>VLOOKUP(Tabla3[[#This Row],[Site]],'Important Info!'!$A$1:$F$135,4,FALSE)</f>
        <v>-</v>
      </c>
      <c r="O407" s="52">
        <f>VLOOKUP(Tabla3[[#This Row],[Site]],'Important Info!'!$A$1:$F$135,5,FALSE)</f>
        <v>14</v>
      </c>
      <c r="P407" s="52" t="str">
        <f>VLOOKUP(Tabla3[[#This Row],[Site]],'Important Info!'!$A$1:$F$135,6,FALSE)</f>
        <v>2, 3, 7, 10</v>
      </c>
      <c r="Q407" s="91">
        <f>VLOOKUP(Tabla3[[#This Row],[Site]],'Important Info!'!$A$1:$J$135,9,FALSE)</f>
        <v>197</v>
      </c>
    </row>
    <row r="408" spans="1:17" x14ac:dyDescent="0.25">
      <c r="A408" t="str">
        <f>+Tabla3[[#This Row],[Site]]&amp;Tabla3[[#This Row],[Split]]</f>
        <v>(HUD) CDJR of Greensboro7</v>
      </c>
      <c r="B408">
        <v>7</v>
      </c>
      <c r="C408">
        <v>4</v>
      </c>
      <c r="D408" t="s">
        <v>62</v>
      </c>
      <c r="E408" t="s">
        <v>35</v>
      </c>
      <c r="F408" t="s">
        <v>185</v>
      </c>
      <c r="G408" t="s">
        <v>490</v>
      </c>
      <c r="H408" s="52" t="str">
        <f>VLOOKUP(Tabla3[[#This Row],[Site]],'Important Info!'!$A$1:$J$135,10,FALSE)</f>
        <v>https://tools.sig.systems/site/details/215</v>
      </c>
      <c r="I408" t="s">
        <v>184</v>
      </c>
      <c r="J408" t="s">
        <v>36</v>
      </c>
      <c r="K408" s="79" t="str">
        <f>VLOOKUP(Tabla3[[#This Row],[Site]],'Important Info!'!$A$1:$H$135,8,FALSE)</f>
        <v>-</v>
      </c>
      <c r="L408" s="52" t="str">
        <f>VLOOKUP(Tabla3[[#This Row],[Site]],'Important Info!'!$A$1:$F$135,2,FALSE)</f>
        <v>2, 12</v>
      </c>
      <c r="M408" s="52" t="str">
        <f>VLOOKUP(Tabla3[[#This Row],[Site]],'Important Info!'!$A$1:$F$135,3,FALSE)</f>
        <v>-</v>
      </c>
      <c r="N408" s="52" t="str">
        <f>VLOOKUP(Tabla3[[#This Row],[Site]],'Important Info!'!$A$1:$F$135,4,FALSE)</f>
        <v>-</v>
      </c>
      <c r="O408" s="52" t="str">
        <f>VLOOKUP(Tabla3[[#This Row],[Site]],'Important Info!'!$A$1:$F$135,5,FALSE)</f>
        <v>3, 13</v>
      </c>
      <c r="P408" s="52" t="str">
        <f>VLOOKUP(Tabla3[[#This Row],[Site]],'Important Info!'!$A$1:$F$135,6,FALSE)</f>
        <v>1, 17</v>
      </c>
      <c r="Q408" s="91">
        <f>VLOOKUP(Tabla3[[#This Row],[Site]],'Important Info!'!$A$1:$J$135,9,FALSE)</f>
        <v>215</v>
      </c>
    </row>
    <row r="409" spans="1:17" x14ac:dyDescent="0.25">
      <c r="A409" t="str">
        <f>+Tabla3[[#This Row],[Site]]&amp;Tabla3[[#This Row],[Split]]</f>
        <v>(KT) Northwest CDJR (NO TOURS)7</v>
      </c>
      <c r="B409">
        <v>7</v>
      </c>
      <c r="C409">
        <v>4</v>
      </c>
      <c r="D409" t="s">
        <v>33</v>
      </c>
      <c r="E409" t="s">
        <v>46</v>
      </c>
      <c r="F409" t="s">
        <v>77</v>
      </c>
      <c r="G409" t="s">
        <v>34</v>
      </c>
      <c r="H409" s="52" t="str">
        <f>VLOOKUP(Tabla3[[#This Row],[Site]],'Important Info!'!$A$1:$J$135,10,FALSE)</f>
        <v>https://tools.sig.systems/site/details/229</v>
      </c>
      <c r="J409" t="s">
        <v>41</v>
      </c>
      <c r="K409" s="79" t="str">
        <f>VLOOKUP(Tabla3[[#This Row],[Site]],'Important Info!'!$A$1:$H$135,8,FALSE)</f>
        <v>-</v>
      </c>
      <c r="L409" s="52" t="str">
        <f>VLOOKUP(Tabla3[[#This Row],[Site]],'Important Info!'!$A$1:$F$135,2,FALSE)</f>
        <v>1, 3, 11, 25</v>
      </c>
      <c r="M409" s="52" t="str">
        <f>VLOOKUP(Tabla3[[#This Row],[Site]],'Important Info!'!$A$1:$F$135,3,FALSE)</f>
        <v>-</v>
      </c>
      <c r="N409" s="52" t="str">
        <f>VLOOKUP(Tabla3[[#This Row],[Site]],'Important Info!'!$A$1:$F$135,4,FALSE)</f>
        <v>-</v>
      </c>
      <c r="O409" s="52" t="str">
        <f>VLOOKUP(Tabla3[[#This Row],[Site]],'Important Info!'!$A$1:$F$135,5,FALSE)</f>
        <v>4, 12, 18</v>
      </c>
      <c r="P409" s="52" t="str">
        <f>VLOOKUP(Tabla3[[#This Row],[Site]],'Important Info!'!$A$1:$F$135,6,FALSE)</f>
        <v>-</v>
      </c>
      <c r="Q409" s="91">
        <f>VLOOKUP(Tabla3[[#This Row],[Site]],'Important Info!'!$A$1:$J$135,9,FALSE)</f>
        <v>229</v>
      </c>
    </row>
    <row r="410" spans="1:17" x14ac:dyDescent="0.25">
      <c r="A410" t="str">
        <f>+Tabla3[[#This Row],[Site]]&amp;Tabla3[[#This Row],[Split]]</f>
        <v>(ML) Columbia Honda (NO TOURS)7</v>
      </c>
      <c r="B410">
        <v>7</v>
      </c>
      <c r="C410">
        <v>4</v>
      </c>
      <c r="D410" t="s">
        <v>33</v>
      </c>
      <c r="E410" t="s">
        <v>46</v>
      </c>
      <c r="F410" t="s">
        <v>143</v>
      </c>
      <c r="G410" t="s">
        <v>34</v>
      </c>
      <c r="H410" s="52" t="str">
        <f>VLOOKUP(Tabla3[[#This Row],[Site]],'Important Info!'!$A$1:$J$135,10,FALSE)</f>
        <v>https://tools.sig.systems/site/details/272</v>
      </c>
      <c r="I410" s="43" t="s">
        <v>144</v>
      </c>
      <c r="J410" t="s">
        <v>41</v>
      </c>
      <c r="K410" s="79" t="str">
        <f>VLOOKUP(Tabla3[[#This Row],[Site]],'Important Info!'!$A$1:$H$135,8,FALSE)</f>
        <v>-</v>
      </c>
      <c r="L410" s="52" t="str">
        <f>VLOOKUP(Tabla3[[#This Row],[Site]],'Important Info!'!$A$1:$F$135,2,FALSE)</f>
        <v>-</v>
      </c>
      <c r="M410" s="52" t="str">
        <f>VLOOKUP(Tabla3[[#This Row],[Site]],'Important Info!'!$A$1:$F$135,3,FALSE)</f>
        <v>9, 19, 20</v>
      </c>
      <c r="N410" s="52" t="str">
        <f>VLOOKUP(Tabla3[[#This Row],[Site]],'Important Info!'!$A$1:$F$135,4,FALSE)</f>
        <v>-</v>
      </c>
      <c r="O410" s="52" t="str">
        <f>VLOOKUP(Tabla3[[#This Row],[Site]],'Important Info!'!$A$1:$F$135,5,FALSE)</f>
        <v>10, 17, 19</v>
      </c>
      <c r="P410" s="52" t="str">
        <f>VLOOKUP(Tabla3[[#This Row],[Site]],'Important Info!'!$A$1:$F$135,6,FALSE)</f>
        <v>3, 4, 5</v>
      </c>
      <c r="Q410" s="91">
        <f>VLOOKUP(Tabla3[[#This Row],[Site]],'Important Info!'!$A$1:$J$135,9,FALSE)</f>
        <v>272</v>
      </c>
    </row>
    <row r="411" spans="1:17" x14ac:dyDescent="0.25">
      <c r="A411" t="str">
        <f>+Tabla3[[#This Row],[Site]]&amp;Tabla3[[#This Row],[Split]]</f>
        <v>(ML) Joe Machens Kia of Columbia7</v>
      </c>
      <c r="B411">
        <v>7</v>
      </c>
      <c r="C411">
        <v>4</v>
      </c>
      <c r="D411" t="s">
        <v>33</v>
      </c>
      <c r="E411" t="s">
        <v>46</v>
      </c>
      <c r="F411" t="s">
        <v>149</v>
      </c>
      <c r="G411" t="s">
        <v>34</v>
      </c>
      <c r="H411" s="52" t="str">
        <f>VLOOKUP(Tabla3[[#This Row],[Site]],'Important Info!'!$A$1:$J$135,10,FALSE)</f>
        <v>https://tools.sig.systems/site/details/270</v>
      </c>
      <c r="I411" s="2" t="s">
        <v>146</v>
      </c>
      <c r="J411" t="s">
        <v>41</v>
      </c>
      <c r="K411" s="79" t="str">
        <f>VLOOKUP(Tabla3[[#This Row],[Site]],'Important Info!'!$A$1:$H$135,8,FALSE)</f>
        <v>-</v>
      </c>
      <c r="L411" s="52" t="str">
        <f>VLOOKUP(Tabla3[[#This Row],[Site]],'Important Info!'!$A$1:$F$135,2,FALSE)</f>
        <v>-</v>
      </c>
      <c r="M411" s="52" t="str">
        <f>VLOOKUP(Tabla3[[#This Row],[Site]],'Important Info!'!$A$1:$F$135,3,FALSE)</f>
        <v>1, 2, 5, 6, 9, 13, 15</v>
      </c>
      <c r="N411" s="52" t="str">
        <f>VLOOKUP(Tabla3[[#This Row],[Site]],'Important Info!'!$A$1:$F$135,4,FALSE)</f>
        <v>-</v>
      </c>
      <c r="O411" s="52" t="str">
        <f>VLOOKUP(Tabla3[[#This Row],[Site]],'Important Info!'!$A$1:$F$135,5,FALSE)</f>
        <v>-</v>
      </c>
      <c r="P411" s="52" t="str">
        <f>VLOOKUP(Tabla3[[#This Row],[Site]],'Important Info!'!$A$1:$F$135,6,FALSE)</f>
        <v>10, 11, 13</v>
      </c>
      <c r="Q411" s="91">
        <f>VLOOKUP(Tabla3[[#This Row],[Site]],'Important Info!'!$A$1:$J$135,9,FALSE)</f>
        <v>270</v>
      </c>
    </row>
    <row r="412" spans="1:17" x14ac:dyDescent="0.25">
      <c r="A412" t="str">
        <f>+Tabla3[[#This Row],[Site]]&amp;Tabla3[[#This Row],[Split]]</f>
        <v>(ML) McLarty Gray-Daniels Toyota Nissan7</v>
      </c>
      <c r="B412">
        <v>7</v>
      </c>
      <c r="C412">
        <v>4</v>
      </c>
      <c r="D412" t="s">
        <v>33</v>
      </c>
      <c r="E412" t="s">
        <v>46</v>
      </c>
      <c r="F412" t="s">
        <v>90</v>
      </c>
      <c r="G412" t="s">
        <v>34</v>
      </c>
      <c r="H412" s="52" t="str">
        <f>VLOOKUP(Tabla3[[#This Row],[Site]],'Important Info!'!$A$1:$J$135,10,FALSE)</f>
        <v>https://tools.sig.systems/site/details/152</v>
      </c>
      <c r="I412" s="43" t="s">
        <v>150</v>
      </c>
      <c r="J412" t="s">
        <v>41</v>
      </c>
      <c r="K412" s="79" t="str">
        <f>VLOOKUP(Tabla3[[#This Row],[Site]],'Important Info!'!$A$1:$H$135,8,FALSE)</f>
        <v>-</v>
      </c>
      <c r="L412" s="52" t="str">
        <f>VLOOKUP(Tabla3[[#This Row],[Site]],'Important Info!'!$A$1:$F$135,2,FALSE)</f>
        <v>-</v>
      </c>
      <c r="M412" s="52" t="str">
        <f>VLOOKUP(Tabla3[[#This Row],[Site]],'Important Info!'!$A$1:$F$135,3,FALSE)</f>
        <v>8, 11, 39, 43</v>
      </c>
      <c r="N412" s="52" t="str">
        <f>VLOOKUP(Tabla3[[#This Row],[Site]],'Important Info!'!$A$1:$F$135,4,FALSE)</f>
        <v>-</v>
      </c>
      <c r="O412" s="52" t="str">
        <f>VLOOKUP(Tabla3[[#This Row],[Site]],'Important Info!'!$A$1:$F$135,5,FALSE)</f>
        <v>6, 11, 15, 18</v>
      </c>
      <c r="P412" s="52" t="str">
        <f>VLOOKUP(Tabla3[[#This Row],[Site]],'Important Info!'!$A$1:$F$135,6,FALSE)</f>
        <v>7, 8, 9</v>
      </c>
      <c r="Q412" s="91">
        <f>VLOOKUP(Tabla3[[#This Row],[Site]],'Important Info!'!$A$1:$J$135,9,FALSE)</f>
        <v>152</v>
      </c>
    </row>
    <row r="413" spans="1:17" x14ac:dyDescent="0.25">
      <c r="A413" t="str">
        <f>+Tabla3[[#This Row],[Site]]&amp;Tabla3[[#This Row],[Split]]</f>
        <v>(PE) BMW of Greenwich (NO TOURS)7</v>
      </c>
      <c r="B413">
        <v>7</v>
      </c>
      <c r="C413">
        <v>4</v>
      </c>
      <c r="D413" t="s">
        <v>485</v>
      </c>
      <c r="E413" t="s">
        <v>35</v>
      </c>
      <c r="F413" t="s">
        <v>170</v>
      </c>
      <c r="G413" t="s">
        <v>490</v>
      </c>
      <c r="H413" s="52" t="str">
        <f>VLOOKUP(Tabla3[[#This Row],[Site]],'Important Info!'!$A$1:$J$135,10,FALSE)</f>
        <v>https://tools.sig.systems/site/details/186</v>
      </c>
      <c r="I413" s="43" t="s">
        <v>171</v>
      </c>
      <c r="J413" t="s">
        <v>41</v>
      </c>
      <c r="K413" s="79" t="str">
        <f>VLOOKUP(Tabla3[[#This Row],[Site]],'Important Info!'!$A$1:$H$135,8,FALSE)</f>
        <v>-</v>
      </c>
      <c r="L413" s="52" t="str">
        <f>VLOOKUP(Tabla3[[#This Row],[Site]],'Important Info!'!$A$1:$F$135,2,FALSE)</f>
        <v>1, 6, 15</v>
      </c>
      <c r="M413" s="52" t="str">
        <f>VLOOKUP(Tabla3[[#This Row],[Site]],'Important Info!'!$A$1:$F$135,3,FALSE)</f>
        <v>-</v>
      </c>
      <c r="N413" s="52" t="str">
        <f>VLOOKUP(Tabla3[[#This Row],[Site]],'Important Info!'!$A$1:$F$135,4,FALSE)</f>
        <v>-</v>
      </c>
      <c r="O413" s="52" t="str">
        <f>VLOOKUP(Tabla3[[#This Row],[Site]],'Important Info!'!$A$1:$F$135,5,FALSE)</f>
        <v>-</v>
      </c>
      <c r="P413" s="52">
        <f>VLOOKUP(Tabla3[[#This Row],[Site]],'Important Info!'!$A$1:$F$135,6,FALSE)</f>
        <v>12</v>
      </c>
      <c r="Q413" s="91">
        <f>VLOOKUP(Tabla3[[#This Row],[Site]],'Important Info!'!$A$1:$J$135,9,FALSE)</f>
        <v>186</v>
      </c>
    </row>
    <row r="414" spans="1:17" x14ac:dyDescent="0.25">
      <c r="A414" t="str">
        <f>+Tabla3[[#This Row],[Site]]&amp;Tabla3[[#This Row],[Split]]</f>
        <v>(PE) Hudson Toyota Nissan CDJR (NO TOURS)7</v>
      </c>
      <c r="B414">
        <v>7</v>
      </c>
      <c r="C414">
        <v>4</v>
      </c>
      <c r="D414" t="s">
        <v>485</v>
      </c>
      <c r="E414" t="s">
        <v>35</v>
      </c>
      <c r="F414" t="s">
        <v>82</v>
      </c>
      <c r="G414" t="s">
        <v>490</v>
      </c>
      <c r="H414" s="52" t="str">
        <f>VLOOKUP(Tabla3[[#This Row],[Site]],'Important Info!'!$A$1:$J$135,10,FALSE)</f>
        <v>https://tools.sig.systems/site/details/156</v>
      </c>
      <c r="J414" t="s">
        <v>41</v>
      </c>
      <c r="K414" s="79" t="str">
        <f>VLOOKUP(Tabla3[[#This Row],[Site]],'Important Info!'!$A$1:$H$135,8,FALSE)</f>
        <v>-</v>
      </c>
      <c r="L414" s="52">
        <f>VLOOKUP(Tabla3[[#This Row],[Site]],'Important Info!'!$A$1:$F$135,2,FALSE)</f>
        <v>5</v>
      </c>
      <c r="M414" s="52" t="str">
        <f>VLOOKUP(Tabla3[[#This Row],[Site]],'Important Info!'!$A$1:$F$135,3,FALSE)</f>
        <v>3, 7, 18</v>
      </c>
      <c r="N414" s="52" t="str">
        <f>VLOOKUP(Tabla3[[#This Row],[Site]],'Important Info!'!$A$1:$F$135,4,FALSE)</f>
        <v>-</v>
      </c>
      <c r="O414" s="52">
        <f>VLOOKUP(Tabla3[[#This Row],[Site]],'Important Info!'!$A$1:$F$135,5,FALSE)</f>
        <v>84</v>
      </c>
      <c r="P414" s="52" t="str">
        <f>VLOOKUP(Tabla3[[#This Row],[Site]],'Important Info!'!$A$1:$F$135,6,FALSE)</f>
        <v>1, 2, 3, 4, 5, 6, 7, 8</v>
      </c>
      <c r="Q414" s="91">
        <f>VLOOKUP(Tabla3[[#This Row],[Site]],'Important Info!'!$A$1:$J$135,9,FALSE)</f>
        <v>156</v>
      </c>
    </row>
    <row r="415" spans="1:17" x14ac:dyDescent="0.25">
      <c r="A415" t="str">
        <f>+Tabla3[[#This Row],[Site]]&amp;Tabla3[[#This Row],[Split]]</f>
        <v>(RML) Burleson Nissan7</v>
      </c>
      <c r="B415">
        <v>7</v>
      </c>
      <c r="C415">
        <v>4</v>
      </c>
      <c r="D415" t="s">
        <v>33</v>
      </c>
      <c r="E415" t="s">
        <v>46</v>
      </c>
      <c r="F415" t="s">
        <v>107</v>
      </c>
      <c r="G415" t="s">
        <v>34</v>
      </c>
      <c r="H415" s="52" t="str">
        <f>VLOOKUP(Tabla3[[#This Row],[Site]],'Important Info!'!$A$1:$J$135,10,FALSE)</f>
        <v>https://tools.sig.systems/site/details/202</v>
      </c>
      <c r="I415" s="66"/>
      <c r="J415" t="s">
        <v>41</v>
      </c>
      <c r="K415" s="79" t="str">
        <f>VLOOKUP(Tabla3[[#This Row],[Site]],'Important Info!'!$A$1:$H$135,8,FALSE)</f>
        <v>-</v>
      </c>
      <c r="L415" s="52" t="str">
        <f>VLOOKUP(Tabla3[[#This Row],[Site]],'Important Info!'!$A$1:$F$135,2,FALSE)</f>
        <v>3, 21</v>
      </c>
      <c r="M415" s="52" t="str">
        <f>VLOOKUP(Tabla3[[#This Row],[Site]],'Important Info!'!$A$1:$F$135,3,FALSE)</f>
        <v>-</v>
      </c>
      <c r="N415" s="52" t="str">
        <f>VLOOKUP(Tabla3[[#This Row],[Site]],'Important Info!'!$A$1:$F$135,4,FALSE)</f>
        <v>-</v>
      </c>
      <c r="O415" s="52" t="str">
        <f>VLOOKUP(Tabla3[[#This Row],[Site]],'Important Info!'!$A$1:$F$135,5,FALSE)</f>
        <v>2, 6, 15</v>
      </c>
      <c r="P415" s="52" t="str">
        <f>VLOOKUP(Tabla3[[#This Row],[Site]],'Important Info!'!$A$1:$F$135,6,FALSE)</f>
        <v>-</v>
      </c>
      <c r="Q415" s="91">
        <f>VLOOKUP(Tabla3[[#This Row],[Site]],'Important Info!'!$A$1:$J$135,9,FALSE)</f>
        <v>202</v>
      </c>
    </row>
    <row r="416" spans="1:17" x14ac:dyDescent="0.25">
      <c r="A416" t="str">
        <f>+Tabla3[[#This Row],[Site]]&amp;Tabla3[[#This Row],[Split]]</f>
        <v>(RV) Sonny's Camp N Travel Concord7</v>
      </c>
      <c r="B416">
        <v>7</v>
      </c>
      <c r="C416">
        <v>4</v>
      </c>
      <c r="D416" t="s">
        <v>62</v>
      </c>
      <c r="E416" t="s">
        <v>35</v>
      </c>
      <c r="F416" t="s">
        <v>188</v>
      </c>
      <c r="G416" t="s">
        <v>490</v>
      </c>
      <c r="H416" s="52" t="str">
        <f>VLOOKUP(Tabla3[[#This Row],[Site]],'Important Info!'!$A$1:$J$135,10,FALSE)</f>
        <v>https://tools.sig.systems/site/details/183</v>
      </c>
      <c r="I416" s="43"/>
      <c r="J416" t="s">
        <v>41</v>
      </c>
      <c r="K416" s="79" t="str">
        <f>VLOOKUP(Tabla3[[#This Row],[Site]],'Important Info!'!$A$1:$H$135,8,FALSE)</f>
        <v>-</v>
      </c>
      <c r="L416" s="52">
        <f>VLOOKUP(Tabla3[[#This Row],[Site]],'Important Info!'!$A$1:$F$135,2,FALSE)</f>
        <v>1</v>
      </c>
      <c r="M416" s="52" t="str">
        <f>VLOOKUP(Tabla3[[#This Row],[Site]],'Important Info!'!$A$1:$F$135,3,FALSE)</f>
        <v>-</v>
      </c>
      <c r="N416" s="52" t="str">
        <f>VLOOKUP(Tabla3[[#This Row],[Site]],'Important Info!'!$A$1:$F$135,4,FALSE)</f>
        <v>-</v>
      </c>
      <c r="O416" s="52">
        <f>VLOOKUP(Tabla3[[#This Row],[Site]],'Important Info!'!$A$1:$F$135,5,FALSE)</f>
        <v>7</v>
      </c>
      <c r="P416" s="52" t="str">
        <f>VLOOKUP(Tabla3[[#This Row],[Site]],'Important Info!'!$A$1:$F$135,6,FALSE)</f>
        <v>6, 7, 8, 9</v>
      </c>
      <c r="Q416" s="91">
        <f>VLOOKUP(Tabla3[[#This Row],[Site]],'Important Info!'!$A$1:$J$135,9,FALSE)</f>
        <v>183</v>
      </c>
    </row>
    <row r="417" spans="1:17" x14ac:dyDescent="0.25">
      <c r="A417" t="str">
        <f>+Tabla3[[#This Row],[Site]]&amp;Tabla3[[#This Row],[Split]]</f>
        <v>(RV) Toms Camperland Mesa (NO TOURS)7</v>
      </c>
      <c r="B417">
        <v>7</v>
      </c>
      <c r="C417">
        <v>4</v>
      </c>
      <c r="D417" t="s">
        <v>51</v>
      </c>
      <c r="E417" t="s">
        <v>161</v>
      </c>
      <c r="F417" t="s">
        <v>81</v>
      </c>
      <c r="G417" t="s">
        <v>52</v>
      </c>
      <c r="H417" s="52" t="str">
        <f>VLOOKUP(Tabla3[[#This Row],[Site]],'Important Info!'!$A$1:$J$135,10,FALSE)</f>
        <v>https://tools.sig.systems/site/details/222</v>
      </c>
      <c r="J417" t="s">
        <v>41</v>
      </c>
      <c r="K417" s="79" t="str">
        <f>VLOOKUP(Tabla3[[#This Row],[Site]],'Important Info!'!$A$1:$H$135,8,FALSE)</f>
        <v>-</v>
      </c>
      <c r="L417" s="52" t="str">
        <f>VLOOKUP(Tabla3[[#This Row],[Site]],'Important Info!'!$A$1:$F$135,2,FALSE)</f>
        <v>1, 2</v>
      </c>
      <c r="M417" s="52" t="str">
        <f>VLOOKUP(Tabla3[[#This Row],[Site]],'Important Info!'!$A$1:$F$135,3,FALSE)</f>
        <v>-</v>
      </c>
      <c r="N417" s="52" t="str">
        <f>VLOOKUP(Tabla3[[#This Row],[Site]],'Important Info!'!$A$1:$F$135,4,FALSE)</f>
        <v>-</v>
      </c>
      <c r="O417" s="52" t="str">
        <f>VLOOKUP(Tabla3[[#This Row],[Site]],'Important Info!'!$A$1:$F$135,5,FALSE)</f>
        <v>-</v>
      </c>
      <c r="P417" s="52" t="str">
        <f>VLOOKUP(Tabla3[[#This Row],[Site]],'Important Info!'!$A$1:$F$135,6,FALSE)</f>
        <v>1, 4, 6, 8, 10, 18</v>
      </c>
      <c r="Q417" s="91">
        <f>VLOOKUP(Tabla3[[#This Row],[Site]],'Important Info!'!$A$1:$J$135,9,FALSE)</f>
        <v>222</v>
      </c>
    </row>
    <row r="418" spans="1:17" x14ac:dyDescent="0.25">
      <c r="A418" t="str">
        <f>+Tabla3[[#This Row],[Site]]&amp;Tabla3[[#This Row],[Split]]</f>
        <v>(AS) Atwell Prep Center-Dallas (NO TOURS)7</v>
      </c>
      <c r="B418">
        <v>7</v>
      </c>
      <c r="C418">
        <v>5</v>
      </c>
      <c r="D418" t="s">
        <v>33</v>
      </c>
      <c r="E418" t="s">
        <v>46</v>
      </c>
      <c r="F418" t="s">
        <v>498</v>
      </c>
      <c r="G418" t="s">
        <v>34</v>
      </c>
      <c r="H418" s="52" t="str">
        <f>VLOOKUP(Tabla3[[#This Row],[Site]],'Important Info!'!$A$1:$J$135,10,FALSE)</f>
        <v>https://tools.sig.systems/site/details/165</v>
      </c>
      <c r="I418" s="65" t="s">
        <v>125</v>
      </c>
      <c r="J418" t="s">
        <v>41</v>
      </c>
      <c r="K418" s="79" t="str">
        <f>VLOOKUP(Tabla3[[#This Row],[Site]],'Important Info!'!$A$1:$H$135,8,FALSE)</f>
        <v>-</v>
      </c>
      <c r="L418" s="52" t="str">
        <f>VLOOKUP(Tabla3[[#This Row],[Site]],'Important Info!'!$A$1:$F$135,2,FALSE)</f>
        <v>4, 6, 7</v>
      </c>
      <c r="M418" s="52" t="str">
        <f>VLOOKUP(Tabla3[[#This Row],[Site]],'Important Info!'!$A$1:$F$135,3,FALSE)</f>
        <v>-</v>
      </c>
      <c r="N418" s="52" t="str">
        <f>VLOOKUP(Tabla3[[#This Row],[Site]],'Important Info!'!$A$1:$F$135,4,FALSE)</f>
        <v>-</v>
      </c>
      <c r="O418" s="52" t="str">
        <f>VLOOKUP(Tabla3[[#This Row],[Site]],'Important Info!'!$A$1:$F$135,5,FALSE)</f>
        <v>-</v>
      </c>
      <c r="P418" s="52" t="str">
        <f>VLOOKUP(Tabla3[[#This Row],[Site]],'Important Info!'!$A$1:$F$135,6,FALSE)</f>
        <v>1, 2</v>
      </c>
      <c r="Q418" s="91">
        <f>VLOOKUP(Tabla3[[#This Row],[Site]],'Important Info!'!$A$1:$J$135,9,FALSE)</f>
        <v>165</v>
      </c>
    </row>
    <row r="419" spans="1:17" x14ac:dyDescent="0.25">
      <c r="A419" t="str">
        <f>+Tabla3[[#This Row],[Site]]&amp;Tabla3[[#This Row],[Split]]</f>
        <v>(AS) Nalley Lexus &amp; Remote Lot Roswell (NO TOURS)7</v>
      </c>
      <c r="B419">
        <v>7</v>
      </c>
      <c r="C419">
        <v>5</v>
      </c>
      <c r="D419" t="s">
        <v>60</v>
      </c>
      <c r="E419" t="s">
        <v>35</v>
      </c>
      <c r="F419" t="s">
        <v>511</v>
      </c>
      <c r="G419" t="s">
        <v>41</v>
      </c>
      <c r="H419" s="52" t="str">
        <f>VLOOKUP(Tabla3[[#This Row],[Site]],'Important Info!'!$A$1:$J$135,10,FALSE)</f>
        <v>https://tools.sig.systems/site/details/131</v>
      </c>
      <c r="I419" s="2" t="s">
        <v>166</v>
      </c>
      <c r="J419" t="s">
        <v>41</v>
      </c>
      <c r="K419" s="79" t="str">
        <f>VLOOKUP(Tabla3[[#This Row],[Site]],'Important Info!'!$A$1:$H$135,8,FALSE)</f>
        <v>Dealership 11PM to 5AM (Mon to Fri). Sunday Drop Time 1PM</v>
      </c>
      <c r="L419" s="52" t="str">
        <f>VLOOKUP(Tabla3[[#This Row],[Site]],'Important Info!'!$A$1:$F$135,2,FALSE)</f>
        <v>6, 13</v>
      </c>
      <c r="M419" s="52">
        <f>VLOOKUP(Tabla3[[#This Row],[Site]],'Important Info!'!$A$1:$F$135,3,FALSE)</f>
        <v>4</v>
      </c>
      <c r="N419" s="52">
        <f>VLOOKUP(Tabla3[[#This Row],[Site]],'Important Info!'!$A$1:$F$135,4,FALSE)</f>
        <v>1</v>
      </c>
      <c r="O419" s="52" t="str">
        <f>VLOOKUP(Tabla3[[#This Row],[Site]],'Important Info!'!$A$1:$F$135,5,FALSE)</f>
        <v>1, 8, 19</v>
      </c>
      <c r="P419" s="52" t="str">
        <f>VLOOKUP(Tabla3[[#This Row],[Site]],'Important Info!'!$A$1:$F$135,6,FALSE)</f>
        <v>4, 20</v>
      </c>
      <c r="Q419" s="91">
        <f>VLOOKUP(Tabla3[[#This Row],[Site]],'Important Info!'!$A$1:$J$135,9,FALSE)</f>
        <v>131</v>
      </c>
    </row>
    <row r="420" spans="1:17" x14ac:dyDescent="0.25">
      <c r="A420" t="str">
        <f>+Tabla3[[#This Row],[Site]]&amp;Tabla3[[#This Row],[Split]]</f>
        <v>(AS) Park Place Bodywerks Ft. Worth (NO TOURS)7</v>
      </c>
      <c r="B420">
        <v>7</v>
      </c>
      <c r="C420">
        <v>5</v>
      </c>
      <c r="D420" t="s">
        <v>33</v>
      </c>
      <c r="E420" t="s">
        <v>46</v>
      </c>
      <c r="F420" t="s">
        <v>515</v>
      </c>
      <c r="G420" t="s">
        <v>34</v>
      </c>
      <c r="H420" s="52" t="str">
        <f>VLOOKUP(Tabla3[[#This Row],[Site]],'Important Info!'!$A$1:$J$135,10,FALSE)</f>
        <v>https://tools.sig.systems/site/details/134</v>
      </c>
      <c r="I420" s="65" t="s">
        <v>128</v>
      </c>
      <c r="J420" t="s">
        <v>41</v>
      </c>
      <c r="K420" s="79" t="str">
        <f>VLOOKUP(Tabla3[[#This Row],[Site]],'Important Info!'!$A$1:$H$135,8,FALSE)</f>
        <v>-</v>
      </c>
      <c r="L420" s="52" t="str">
        <f>VLOOKUP(Tabla3[[#This Row],[Site]],'Important Info!'!$A$1:$F$135,2,FALSE)</f>
        <v>2, 3, RemoteLot5, RemoteLot9</v>
      </c>
      <c r="M420" s="52" t="str">
        <f>VLOOKUP(Tabla3[[#This Row],[Site]],'Important Info!'!$A$1:$F$135,3,FALSE)</f>
        <v>-</v>
      </c>
      <c r="N420" s="52" t="str">
        <f>VLOOKUP(Tabla3[[#This Row],[Site]],'Important Info!'!$A$1:$F$135,4,FALSE)</f>
        <v>-</v>
      </c>
      <c r="O420" s="52" t="str">
        <f>VLOOKUP(Tabla3[[#This Row],[Site]],'Important Info!'!$A$1:$F$135,5,FALSE)</f>
        <v>1, 7, RL1, RL5, RL9</v>
      </c>
      <c r="P420" s="52" t="str">
        <f>VLOOKUP(Tabla3[[#This Row],[Site]],'Important Info!'!$A$1:$F$135,6,FALSE)</f>
        <v>3, 4, 15</v>
      </c>
      <c r="Q420" s="91">
        <f>VLOOKUP(Tabla3[[#This Row],[Site]],'Important Info!'!$A$1:$J$135,9,FALSE)</f>
        <v>134</v>
      </c>
    </row>
    <row r="421" spans="1:17" x14ac:dyDescent="0.25">
      <c r="A421" t="str">
        <f>+Tabla3[[#This Row],[Site]]&amp;Tabla3[[#This Row],[Split]]</f>
        <v>(AS) Park Place Sprinter Van Center (NO TOURS)7</v>
      </c>
      <c r="B421">
        <v>7</v>
      </c>
      <c r="C421">
        <v>5</v>
      </c>
      <c r="D421" t="s">
        <v>33</v>
      </c>
      <c r="E421" t="s">
        <v>46</v>
      </c>
      <c r="F421" t="s">
        <v>520</v>
      </c>
      <c r="G421" t="s">
        <v>34</v>
      </c>
      <c r="H421" s="52" t="str">
        <f>VLOOKUP(Tabla3[[#This Row],[Site]],'Important Info!'!$A$1:$J$135,10,FALSE)</f>
        <v>https://tools.sig.systems/site/details/138</v>
      </c>
      <c r="I421" s="62" t="s">
        <v>125</v>
      </c>
      <c r="J421" t="s">
        <v>41</v>
      </c>
      <c r="K421" s="79" t="str">
        <f>VLOOKUP(Tabla3[[#This Row],[Site]],'Important Info!'!$A$1:$H$135,8,FALSE)</f>
        <v>-</v>
      </c>
      <c r="L421" s="52">
        <f>VLOOKUP(Tabla3[[#This Row],[Site]],'Important Info!'!$A$1:$F$135,2,FALSE)</f>
        <v>1</v>
      </c>
      <c r="M421" s="52" t="str">
        <f>VLOOKUP(Tabla3[[#This Row],[Site]],'Important Info!'!$A$1:$F$135,3,FALSE)</f>
        <v>-</v>
      </c>
      <c r="N421" s="52" t="str">
        <f>VLOOKUP(Tabla3[[#This Row],[Site]],'Important Info!'!$A$1:$F$135,4,FALSE)</f>
        <v>-</v>
      </c>
      <c r="O421" s="52" t="str">
        <f>VLOOKUP(Tabla3[[#This Row],[Site]],'Important Info!'!$A$1:$F$135,5,FALSE)</f>
        <v>-</v>
      </c>
      <c r="P421" s="52" t="str">
        <f>VLOOKUP(Tabla3[[#This Row],[Site]],'Important Info!'!$A$1:$F$135,6,FALSE)</f>
        <v>1, 3</v>
      </c>
      <c r="Q421" s="91">
        <f>VLOOKUP(Tabla3[[#This Row],[Site]],'Important Info!'!$A$1:$J$135,9,FALSE)</f>
        <v>138</v>
      </c>
    </row>
    <row r="422" spans="1:17" x14ac:dyDescent="0.25">
      <c r="A422" t="str">
        <f>+Tabla3[[#This Row],[Site]]&amp;Tabla3[[#This Row],[Split]]</f>
        <v>(DT) Colorado Springs (NO TOURS)7</v>
      </c>
      <c r="B422">
        <v>7</v>
      </c>
      <c r="C422">
        <v>5</v>
      </c>
      <c r="D422" t="s">
        <v>44</v>
      </c>
      <c r="E422" t="s">
        <v>53</v>
      </c>
      <c r="F422" t="s">
        <v>156</v>
      </c>
      <c r="G422" t="s">
        <v>45</v>
      </c>
      <c r="H422" s="52" t="str">
        <f>VLOOKUP(Tabla3[[#This Row],[Site]],'Important Info!'!$A$1:$J$135,10,FALSE)</f>
        <v>https://tools.sig.systems/site/details/198</v>
      </c>
      <c r="J422" t="s">
        <v>41</v>
      </c>
      <c r="K422" s="79" t="str">
        <f>VLOOKUP(Tabla3[[#This Row],[Site]],'Important Info!'!$A$1:$H$135,8,FALSE)</f>
        <v>-</v>
      </c>
      <c r="L422" s="52" t="str">
        <f>VLOOKUP(Tabla3[[#This Row],[Site]],'Important Info!'!$A$1:$F$135,2,FALSE)</f>
        <v>-</v>
      </c>
      <c r="M422" s="52" t="str">
        <f>VLOOKUP(Tabla3[[#This Row],[Site]],'Important Info!'!$A$1:$F$135,3,FALSE)</f>
        <v>1, 2, 3, 4</v>
      </c>
      <c r="N422" s="52" t="str">
        <f>VLOOKUP(Tabla3[[#This Row],[Site]],'Important Info!'!$A$1:$F$135,4,FALSE)</f>
        <v>-</v>
      </c>
      <c r="O422" s="52" t="str">
        <f>VLOOKUP(Tabla3[[#This Row],[Site]],'Important Info!'!$A$1:$F$135,5,FALSE)</f>
        <v>-</v>
      </c>
      <c r="P422" s="52" t="str">
        <f>VLOOKUP(Tabla3[[#This Row],[Site]],'Important Info!'!$A$1:$F$135,6,FALSE)</f>
        <v>1, 2, 3, 11</v>
      </c>
      <c r="Q422" s="91">
        <f>VLOOKUP(Tabla3[[#This Row],[Site]],'Important Info!'!$A$1:$J$135,9,FALSE)</f>
        <v>198</v>
      </c>
    </row>
    <row r="423" spans="1:17" x14ac:dyDescent="0.25">
      <c r="A423" t="str">
        <f>+Tabla3[[#This Row],[Site]]&amp;Tabla3[[#This Row],[Split]]</f>
        <v>(DT) Wichita7</v>
      </c>
      <c r="B423">
        <v>7</v>
      </c>
      <c r="C423">
        <v>5</v>
      </c>
      <c r="D423" t="s">
        <v>33</v>
      </c>
      <c r="E423" t="s">
        <v>46</v>
      </c>
      <c r="F423" t="s">
        <v>131</v>
      </c>
      <c r="G423" t="s">
        <v>34</v>
      </c>
      <c r="H423" s="52" t="str">
        <f>VLOOKUP(Tabla3[[#This Row],[Site]],'Important Info!'!$A$1:$J$135,10,FALSE)</f>
        <v>https://tools.sig.systems/site/details/257</v>
      </c>
      <c r="J423" t="s">
        <v>41</v>
      </c>
      <c r="K423" s="79" t="str">
        <f>VLOOKUP(Tabla3[[#This Row],[Site]],'Important Info!'!$A$1:$H$135,8,FALSE)</f>
        <v>-</v>
      </c>
      <c r="L423" s="52" t="str">
        <f>VLOOKUP(Tabla3[[#This Row],[Site]],'Important Info!'!$A$1:$F$135,2,FALSE)</f>
        <v>-</v>
      </c>
      <c r="M423" s="52" t="str">
        <f>VLOOKUP(Tabla3[[#This Row],[Site]],'Important Info!'!$A$1:$F$135,3,FALSE)</f>
        <v>10, 11</v>
      </c>
      <c r="N423" s="52" t="str">
        <f>VLOOKUP(Tabla3[[#This Row],[Site]],'Important Info!'!$A$1:$F$135,4,FALSE)</f>
        <v>-</v>
      </c>
      <c r="O423" s="52" t="str">
        <f>VLOOKUP(Tabla3[[#This Row],[Site]],'Important Info!'!$A$1:$F$135,5,FALSE)</f>
        <v>-</v>
      </c>
      <c r="P423" s="52" t="str">
        <f>VLOOKUP(Tabla3[[#This Row],[Site]],'Important Info!'!$A$1:$F$135,6,FALSE)</f>
        <v>1, 5, 6, 10</v>
      </c>
      <c r="Q423" s="91">
        <f>VLOOKUP(Tabla3[[#This Row],[Site]],'Important Info!'!$A$1:$J$135,9,FALSE)</f>
        <v>257</v>
      </c>
    </row>
    <row r="424" spans="1:17" x14ac:dyDescent="0.25">
      <c r="A424" t="str">
        <f>+Tabla3[[#This Row],[Site]]&amp;Tabla3[[#This Row],[Split]]</f>
        <v>(HUD) BMW of Greensboro7</v>
      </c>
      <c r="B424">
        <v>7</v>
      </c>
      <c r="C424">
        <v>5</v>
      </c>
      <c r="D424" t="s">
        <v>62</v>
      </c>
      <c r="E424" t="s">
        <v>35</v>
      </c>
      <c r="F424" t="s">
        <v>183</v>
      </c>
      <c r="G424" t="s">
        <v>490</v>
      </c>
      <c r="H424" s="52" t="str">
        <f>VLOOKUP(Tabla3[[#This Row],[Site]],'Important Info!'!$A$1:$J$135,10,FALSE)</f>
        <v>https://tools.sig.systems/site/details/219</v>
      </c>
      <c r="I424" t="s">
        <v>184</v>
      </c>
      <c r="J424" t="s">
        <v>41</v>
      </c>
      <c r="K424" s="79" t="str">
        <f>VLOOKUP(Tabla3[[#This Row],[Site]],'Important Info!'!$A$1:$H$135,8,FALSE)</f>
        <v>-</v>
      </c>
      <c r="L424" s="52" t="str">
        <f>VLOOKUP(Tabla3[[#This Row],[Site]],'Important Info!'!$A$1:$F$135,2,FALSE)</f>
        <v>2, 20, 21</v>
      </c>
      <c r="M424" s="52" t="str">
        <f>VLOOKUP(Tabla3[[#This Row],[Site]],'Important Info!'!$A$1:$F$135,3,FALSE)</f>
        <v>-</v>
      </c>
      <c r="N424" s="52" t="str">
        <f>VLOOKUP(Tabla3[[#This Row],[Site]],'Important Info!'!$A$1:$F$135,4,FALSE)</f>
        <v>-</v>
      </c>
      <c r="O424" s="52" t="str">
        <f>VLOOKUP(Tabla3[[#This Row],[Site]],'Important Info!'!$A$1:$F$135,5,FALSE)</f>
        <v>12, 17</v>
      </c>
      <c r="P424" s="52" t="str">
        <f>VLOOKUP(Tabla3[[#This Row],[Site]],'Important Info!'!$A$1:$F$135,6,FALSE)</f>
        <v>1, 2, 6, 20</v>
      </c>
      <c r="Q424" s="91">
        <f>VLOOKUP(Tabla3[[#This Row],[Site]],'Important Info!'!$A$1:$J$135,9,FALSE)</f>
        <v>219</v>
      </c>
    </row>
    <row r="425" spans="1:17" x14ac:dyDescent="0.25">
      <c r="A425" t="str">
        <f>+Tabla3[[#This Row],[Site]]&amp;Tabla3[[#This Row],[Split]]</f>
        <v>(KG) Clear Lake Pre-Owned7</v>
      </c>
      <c r="B425">
        <v>7</v>
      </c>
      <c r="C425">
        <v>5</v>
      </c>
      <c r="D425" t="s">
        <v>33</v>
      </c>
      <c r="E425" t="s">
        <v>46</v>
      </c>
      <c r="F425" t="s">
        <v>87</v>
      </c>
      <c r="G425" t="s">
        <v>34</v>
      </c>
      <c r="H425" s="52" t="str">
        <f>VLOOKUP(Tabla3[[#This Row],[Site]],'Important Info!'!$A$1:$J$135,10,FALSE)</f>
        <v>https://tools.sig.systems/site/details/255</v>
      </c>
      <c r="I425" s="66" t="s">
        <v>134</v>
      </c>
      <c r="J425" t="s">
        <v>41</v>
      </c>
      <c r="K425" s="79" t="str">
        <f>VLOOKUP(Tabla3[[#This Row],[Site]],'Important Info!'!$A$1:$H$135,8,FALSE)</f>
        <v>-</v>
      </c>
      <c r="L425" s="52" t="str">
        <f>VLOOKUP(Tabla3[[#This Row],[Site]],'Important Info!'!$A$1:$F$135,2,FALSE)</f>
        <v>3, 5</v>
      </c>
      <c r="M425" s="52" t="str">
        <f>VLOOKUP(Tabla3[[#This Row],[Site]],'Important Info!'!$A$1:$F$135,3,FALSE)</f>
        <v>-</v>
      </c>
      <c r="N425" s="52" t="str">
        <f>VLOOKUP(Tabla3[[#This Row],[Site]],'Important Info!'!$A$1:$F$135,4,FALSE)</f>
        <v>-</v>
      </c>
      <c r="O425" s="52" t="str">
        <f>VLOOKUP(Tabla3[[#This Row],[Site]],'Important Info!'!$A$1:$F$135,5,FALSE)</f>
        <v>4, 10, 22</v>
      </c>
      <c r="P425" s="52" t="str">
        <f>VLOOKUP(Tabla3[[#This Row],[Site]],'Important Info!'!$A$1:$F$135,6,FALSE)</f>
        <v>8, 15, 20</v>
      </c>
      <c r="Q425" s="91">
        <f>VLOOKUP(Tabla3[[#This Row],[Site]],'Important Info!'!$A$1:$J$135,9,FALSE)</f>
        <v>255</v>
      </c>
    </row>
    <row r="426" spans="1:17" x14ac:dyDescent="0.25">
      <c r="A426" t="str">
        <f>+Tabla3[[#This Row],[Site]]&amp;Tabla3[[#This Row],[Split]]</f>
        <v>(ML) Ford Lincoln of North Little Rock7</v>
      </c>
      <c r="B426">
        <v>7</v>
      </c>
      <c r="C426">
        <v>5</v>
      </c>
      <c r="D426" t="s">
        <v>33</v>
      </c>
      <c r="E426" t="s">
        <v>46</v>
      </c>
      <c r="F426" t="s">
        <v>145</v>
      </c>
      <c r="G426" t="s">
        <v>34</v>
      </c>
      <c r="H426" s="52" t="str">
        <f>VLOOKUP(Tabla3[[#This Row],[Site]],'Important Info!'!$A$1:$J$135,10,FALSE)</f>
        <v>https://tools.sig.systems/site/details/214</v>
      </c>
      <c r="I426" s="43" t="s">
        <v>142</v>
      </c>
      <c r="J426" t="s">
        <v>41</v>
      </c>
      <c r="K426" s="79" t="str">
        <f>VLOOKUP(Tabla3[[#This Row],[Site]],'Important Info!'!$A$1:$H$135,8,FALSE)</f>
        <v>-</v>
      </c>
      <c r="L426" s="52" t="str">
        <f>VLOOKUP(Tabla3[[#This Row],[Site]],'Important Info!'!$A$1:$F$135,2,FALSE)</f>
        <v>4, 15, 18, 67, 74</v>
      </c>
      <c r="M426" s="52">
        <f>VLOOKUP(Tabla3[[#This Row],[Site]],'Important Info!'!$A$1:$F$135,3,FALSE)</f>
        <v>13</v>
      </c>
      <c r="N426" s="52" t="str">
        <f>VLOOKUP(Tabla3[[#This Row],[Site]],'Important Info!'!$A$1:$F$135,4,FALSE)</f>
        <v>-</v>
      </c>
      <c r="O426" s="52" t="str">
        <f>VLOOKUP(Tabla3[[#This Row],[Site]],'Important Info!'!$A$1:$F$135,5,FALSE)</f>
        <v>4, 11, 16, 28</v>
      </c>
      <c r="P426" s="52" t="str">
        <f>VLOOKUP(Tabla3[[#This Row],[Site]],'Important Info!'!$A$1:$F$135,6,FALSE)</f>
        <v>10, 11, 12</v>
      </c>
      <c r="Q426" s="91">
        <f>VLOOKUP(Tabla3[[#This Row],[Site]],'Important Info!'!$A$1:$J$135,9,FALSE)</f>
        <v>214</v>
      </c>
    </row>
    <row r="427" spans="1:17" x14ac:dyDescent="0.25">
      <c r="A427" t="str">
        <f>+Tabla3[[#This Row],[Site]]&amp;Tabla3[[#This Row],[Split]]</f>
        <v>(ML) Joe Machens Ford Lincoln I &amp; II7</v>
      </c>
      <c r="B427">
        <v>7</v>
      </c>
      <c r="C427">
        <v>5</v>
      </c>
      <c r="D427" t="s">
        <v>33</v>
      </c>
      <c r="E427" t="s">
        <v>46</v>
      </c>
      <c r="F427" t="s">
        <v>148</v>
      </c>
      <c r="G427" t="s">
        <v>34</v>
      </c>
      <c r="H427" s="52" t="str">
        <f>VLOOKUP(Tabla3[[#This Row],[Site]],'Important Info!'!$A$1:$J$135,10,FALSE)</f>
        <v>https://tools.sig.systems/site/details/266</v>
      </c>
      <c r="I427" s="2" t="s">
        <v>146</v>
      </c>
      <c r="J427" t="s">
        <v>41</v>
      </c>
      <c r="K427" s="79" t="str">
        <f>VLOOKUP(Tabla3[[#This Row],[Site]],'Important Info!'!$A$1:$H$135,8,FALSE)</f>
        <v>-</v>
      </c>
      <c r="L427" s="52" t="str">
        <f>VLOOKUP(Tabla3[[#This Row],[Site]],'Important Info!'!$A$1:$F$135,2,FALSE)</f>
        <v>-</v>
      </c>
      <c r="M427" s="52" t="str">
        <f>VLOOKUP(Tabla3[[#This Row],[Site]],'Important Info!'!$A$1:$F$135,3,FALSE)</f>
        <v>4, 6, 9, 13, 14, 17, 26, 27, 28, 29, 30</v>
      </c>
      <c r="N427" s="52" t="str">
        <f>VLOOKUP(Tabla3[[#This Row],[Site]],'Important Info!'!$A$1:$F$135,4,FALSE)</f>
        <v>-</v>
      </c>
      <c r="O427" s="52" t="str">
        <f>VLOOKUP(Tabla3[[#This Row],[Site]],'Important Info!'!$A$1:$F$135,5,FALSE)</f>
        <v>23, 40, 49</v>
      </c>
      <c r="P427" s="52" t="str">
        <f>VLOOKUP(Tabla3[[#This Row],[Site]],'Important Info!'!$A$1:$F$135,6,FALSE)</f>
        <v>-</v>
      </c>
      <c r="Q427" s="91">
        <f>VLOOKUP(Tabla3[[#This Row],[Site]],'Important Info!'!$A$1:$J$135,9,FALSE)</f>
        <v>266</v>
      </c>
    </row>
    <row r="428" spans="1:17" x14ac:dyDescent="0.25">
      <c r="A428" t="str">
        <f>+Tabla3[[#This Row],[Site]]&amp;Tabla3[[#This Row],[Split]]</f>
        <v>(ML) McLarty-Gray Daniels Chevrolet7</v>
      </c>
      <c r="B428">
        <v>7</v>
      </c>
      <c r="C428">
        <v>5</v>
      </c>
      <c r="D428" t="s">
        <v>33</v>
      </c>
      <c r="E428" t="s">
        <v>46</v>
      </c>
      <c r="F428" t="s">
        <v>151</v>
      </c>
      <c r="G428" t="s">
        <v>34</v>
      </c>
      <c r="H428" s="52" t="str">
        <f>VLOOKUP(Tabla3[[#This Row],[Site]],'Important Info!'!$A$1:$J$135,10,FALSE)</f>
        <v>https://tools.sig.systems/site/details/150</v>
      </c>
      <c r="I428" s="2"/>
      <c r="J428" t="s">
        <v>41</v>
      </c>
      <c r="K428" s="79" t="str">
        <f>VLOOKUP(Tabla3[[#This Row],[Site]],'Important Info!'!$A$1:$H$135,8,FALSE)</f>
        <v>-</v>
      </c>
      <c r="L428" s="52" t="str">
        <f>VLOOKUP(Tabla3[[#This Row],[Site]],'Important Info!'!$A$1:$F$135,2,FALSE)</f>
        <v>3, 4, 5, 22, 24, 26, 28, 36</v>
      </c>
      <c r="M428" s="52" t="str">
        <f>VLOOKUP(Tabla3[[#This Row],[Site]],'Important Info!'!$A$1:$F$135,3,FALSE)</f>
        <v>-</v>
      </c>
      <c r="N428" s="52" t="str">
        <f>VLOOKUP(Tabla3[[#This Row],[Site]],'Important Info!'!$A$1:$F$135,4,FALSE)</f>
        <v>-</v>
      </c>
      <c r="O428" s="52" t="str">
        <f>VLOOKUP(Tabla3[[#This Row],[Site]],'Important Info!'!$A$1:$F$135,5,FALSE)</f>
        <v>4, 7, 12, 26</v>
      </c>
      <c r="P428" s="52" t="str">
        <f>VLOOKUP(Tabla3[[#This Row],[Site]],'Important Info!'!$A$1:$F$135,6,FALSE)</f>
        <v>1, 3, 5, 6, 23, 24</v>
      </c>
      <c r="Q428" s="91">
        <f>VLOOKUP(Tabla3[[#This Row],[Site]],'Important Info!'!$A$1:$J$135,9,FALSE)</f>
        <v>150</v>
      </c>
    </row>
    <row r="429" spans="1:17" x14ac:dyDescent="0.25">
      <c r="A429" t="str">
        <f>+Tabla3[[#This Row],[Site]]&amp;Tabla3[[#This Row],[Split]]</f>
        <v>(ML) Volvo Collision Corp7</v>
      </c>
      <c r="B429">
        <v>7</v>
      </c>
      <c r="C429">
        <v>5</v>
      </c>
      <c r="D429" t="s">
        <v>33</v>
      </c>
      <c r="E429" t="s">
        <v>46</v>
      </c>
      <c r="F429" t="s">
        <v>106</v>
      </c>
      <c r="G429" t="s">
        <v>34</v>
      </c>
      <c r="H429" s="52" t="str">
        <f>VLOOKUP(Tabla3[[#This Row],[Site]],'Important Info!'!$A$1:$J$135,10,FALSE)</f>
        <v>https://tools.sig.systems/site/details/223</v>
      </c>
      <c r="J429" t="s">
        <v>41</v>
      </c>
      <c r="K429" s="79" t="str">
        <f>VLOOKUP(Tabla3[[#This Row],[Site]],'Important Info!'!$A$1:$H$135,8,FALSE)</f>
        <v>-</v>
      </c>
      <c r="L429" s="52" t="str">
        <f>VLOOKUP(Tabla3[[#This Row],[Site]],'Important Info!'!$A$1:$F$135,2,FALSE)</f>
        <v>7, 11</v>
      </c>
      <c r="M429" s="52">
        <f>VLOOKUP(Tabla3[[#This Row],[Site]],'Important Info!'!$A$1:$F$135,3,FALSE)</f>
        <v>4</v>
      </c>
      <c r="N429" s="52" t="str">
        <f>VLOOKUP(Tabla3[[#This Row],[Site]],'Important Info!'!$A$1:$F$135,4,FALSE)</f>
        <v>-</v>
      </c>
      <c r="O429" s="52">
        <f>VLOOKUP(Tabla3[[#This Row],[Site]],'Important Info!'!$A$1:$F$135,5,FALSE)</f>
        <v>18</v>
      </c>
      <c r="P429" s="52" t="str">
        <f>VLOOKUP(Tabla3[[#This Row],[Site]],'Important Info!'!$A$1:$F$135,6,FALSE)</f>
        <v>-</v>
      </c>
      <c r="Q429" s="91">
        <f>VLOOKUP(Tabla3[[#This Row],[Site]],'Important Info!'!$A$1:$J$135,9,FALSE)</f>
        <v>223</v>
      </c>
    </row>
    <row r="430" spans="1:17" x14ac:dyDescent="0.25">
      <c r="A430" t="str">
        <f>+Tabla3[[#This Row],[Site]]&amp;Tabla3[[#This Row],[Split]]</f>
        <v>(PE) BMW of Mamaroneck (NO TOURS)7</v>
      </c>
      <c r="B430">
        <v>7</v>
      </c>
      <c r="C430">
        <v>5</v>
      </c>
      <c r="D430" t="s">
        <v>485</v>
      </c>
      <c r="E430" t="s">
        <v>35</v>
      </c>
      <c r="F430" t="s">
        <v>172</v>
      </c>
      <c r="G430" t="s">
        <v>490</v>
      </c>
      <c r="H430" s="52" t="str">
        <f>VLOOKUP(Tabla3[[#This Row],[Site]],'Important Info!'!$A$1:$J$135,10,FALSE)</f>
        <v>https://tools.sig.systems/site/details/185</v>
      </c>
      <c r="I430" s="43"/>
      <c r="J430" t="s">
        <v>41</v>
      </c>
      <c r="K430" s="79" t="str">
        <f>VLOOKUP(Tabla3[[#This Row],[Site]],'Important Info!'!$A$1:$H$135,8,FALSE)</f>
        <v>-</v>
      </c>
      <c r="L430" s="52">
        <f>VLOOKUP(Tabla3[[#This Row],[Site]],'Important Info!'!$A$1:$F$135,2,FALSE)</f>
        <v>9</v>
      </c>
      <c r="M430" s="52" t="str">
        <f>VLOOKUP(Tabla3[[#This Row],[Site]],'Important Info!'!$A$1:$F$135,3,FALSE)</f>
        <v>2, 3, 4, 5</v>
      </c>
      <c r="N430" s="52" t="str">
        <f>VLOOKUP(Tabla3[[#This Row],[Site]],'Important Info!'!$A$1:$F$135,4,FALSE)</f>
        <v>-</v>
      </c>
      <c r="O430" s="52" t="str">
        <f>VLOOKUP(Tabla3[[#This Row],[Site]],'Important Info!'!$A$1:$F$135,5,FALSE)</f>
        <v>-</v>
      </c>
      <c r="P430" s="52" t="str">
        <f>VLOOKUP(Tabla3[[#This Row],[Site]],'Important Info!'!$A$1:$F$135,6,FALSE)</f>
        <v>4, 6, 7, 8</v>
      </c>
      <c r="Q430" s="91">
        <f>VLOOKUP(Tabla3[[#This Row],[Site]],'Important Info!'!$A$1:$J$135,9,FALSE)</f>
        <v>185</v>
      </c>
    </row>
    <row r="431" spans="1:17" x14ac:dyDescent="0.25">
      <c r="A431" t="str">
        <f>+Tabla3[[#This Row],[Site]]&amp;Tabla3[[#This Row],[Split]]</f>
        <v>(PE) Honda of Danbury (NO TOURS)7</v>
      </c>
      <c r="B431">
        <v>7</v>
      </c>
      <c r="C431">
        <v>5</v>
      </c>
      <c r="D431" t="s">
        <v>485</v>
      </c>
      <c r="E431" t="s">
        <v>35</v>
      </c>
      <c r="F431" t="s">
        <v>174</v>
      </c>
      <c r="G431" t="s">
        <v>490</v>
      </c>
      <c r="H431" s="52" t="str">
        <f>VLOOKUP(Tabla3[[#This Row],[Site]],'Important Info!'!$A$1:$J$135,10,FALSE)</f>
        <v>https://tools.sig.systems/site/details/190</v>
      </c>
      <c r="I431" s="66"/>
      <c r="J431" t="s">
        <v>41</v>
      </c>
      <c r="K431" s="79" t="str">
        <f>VLOOKUP(Tabla3[[#This Row],[Site]],'Important Info!'!$A$1:$H$135,8,FALSE)</f>
        <v>-</v>
      </c>
      <c r="L431" s="52" t="str">
        <f>VLOOKUP(Tabla3[[#This Row],[Site]],'Important Info!'!$A$1:$F$135,2,FALSE)</f>
        <v>-</v>
      </c>
      <c r="M431" s="52" t="str">
        <f>VLOOKUP(Tabla3[[#This Row],[Site]],'Important Info!'!$A$1:$F$135,3,FALSE)</f>
        <v>20, 9</v>
      </c>
      <c r="N431" s="52">
        <f>VLOOKUP(Tabla3[[#This Row],[Site]],'Important Info!'!$A$1:$F$135,4,FALSE)</f>
        <v>9</v>
      </c>
      <c r="O431" s="52" t="str">
        <f>VLOOKUP(Tabla3[[#This Row],[Site]],'Important Info!'!$A$1:$F$135,5,FALSE)</f>
        <v>-</v>
      </c>
      <c r="P431" s="52" t="str">
        <f>VLOOKUP(Tabla3[[#This Row],[Site]],'Important Info!'!$A$1:$F$135,6,FALSE)</f>
        <v>9, 16, 17</v>
      </c>
      <c r="Q431" s="91">
        <f>VLOOKUP(Tabla3[[#This Row],[Site]],'Important Info!'!$A$1:$J$135,9,FALSE)</f>
        <v>190</v>
      </c>
    </row>
    <row r="432" spans="1:17" x14ac:dyDescent="0.25">
      <c r="A432" t="str">
        <f>+Tabla3[[#This Row],[Site]]&amp;Tabla3[[#This Row],[Split]]</f>
        <v>(RV) Toms Camperland Avondale (NO TOURS)7</v>
      </c>
      <c r="B432">
        <v>7</v>
      </c>
      <c r="C432">
        <v>5</v>
      </c>
      <c r="D432" t="s">
        <v>51</v>
      </c>
      <c r="E432" t="s">
        <v>161</v>
      </c>
      <c r="F432" t="s">
        <v>80</v>
      </c>
      <c r="G432" t="s">
        <v>52</v>
      </c>
      <c r="H432" s="52" t="str">
        <f>VLOOKUP(Tabla3[[#This Row],[Site]],'Important Info!'!$A$1:$J$135,10,FALSE)</f>
        <v>https://tools.sig.systems/site/details/248</v>
      </c>
      <c r="I432" s="2" t="s">
        <v>163</v>
      </c>
      <c r="J432" t="s">
        <v>164</v>
      </c>
      <c r="K432" s="79" t="str">
        <f>VLOOKUP(Tabla3[[#This Row],[Site]],'Important Info!'!$A$1:$H$135,8,FALSE)</f>
        <v>-</v>
      </c>
      <c r="L432" s="52">
        <f>VLOOKUP(Tabla3[[#This Row],[Site]],'Important Info!'!$A$1:$F$135,2,FALSE)</f>
        <v>10</v>
      </c>
      <c r="M432" s="52" t="str">
        <f>VLOOKUP(Tabla3[[#This Row],[Site]],'Important Info!'!$A$1:$F$135,3,FALSE)</f>
        <v>2, 7</v>
      </c>
      <c r="N432" s="52" t="str">
        <f>VLOOKUP(Tabla3[[#This Row],[Site]],'Important Info!'!$A$1:$F$135,4,FALSE)</f>
        <v>-</v>
      </c>
      <c r="O432" s="52" t="str">
        <f>VLOOKUP(Tabla3[[#This Row],[Site]],'Important Info!'!$A$1:$F$135,5,FALSE)</f>
        <v>-</v>
      </c>
      <c r="P432" s="52" t="str">
        <f>VLOOKUP(Tabla3[[#This Row],[Site]],'Important Info!'!$A$1:$F$135,6,FALSE)</f>
        <v>2, 7, 8, 13, 15</v>
      </c>
      <c r="Q432" s="91">
        <f>VLOOKUP(Tabla3[[#This Row],[Site]],'Important Info!'!$A$1:$J$135,9,FALSE)</f>
        <v>248</v>
      </c>
    </row>
    <row r="433" spans="1:17" x14ac:dyDescent="0.25">
      <c r="A433" t="str">
        <f>+Tabla3[[#This Row],[Site]]&amp;Tabla3[[#This Row],[Split]]</f>
        <v>(SCH) Auto Body Shop Lake Park7</v>
      </c>
      <c r="B433">
        <v>7</v>
      </c>
      <c r="C433">
        <v>5</v>
      </c>
      <c r="D433" t="s">
        <v>62</v>
      </c>
      <c r="E433" t="s">
        <v>35</v>
      </c>
      <c r="F433" t="s">
        <v>189</v>
      </c>
      <c r="G433" t="s">
        <v>490</v>
      </c>
      <c r="H433" s="52" t="str">
        <f>VLOOKUP(Tabla3[[#This Row],[Site]],'Important Info!'!$A$1:$J$135,10,FALSE)</f>
        <v>https://tools.sig.systems/site/details/158</v>
      </c>
      <c r="J433" t="s">
        <v>41</v>
      </c>
      <c r="K433" s="79" t="str">
        <f>VLOOKUP(Tabla3[[#This Row],[Site]],'Important Info!'!$A$1:$H$135,8,FALSE)</f>
        <v>-</v>
      </c>
      <c r="L433" s="52" t="str">
        <f>VLOOKUP(Tabla3[[#This Row],[Site]],'Important Info!'!$A$1:$F$135,2,FALSE)</f>
        <v>3, 10</v>
      </c>
      <c r="M433" s="52" t="str">
        <f>VLOOKUP(Tabla3[[#This Row],[Site]],'Important Info!'!$A$1:$F$135,3,FALSE)</f>
        <v>-</v>
      </c>
      <c r="N433" s="52" t="str">
        <f>VLOOKUP(Tabla3[[#This Row],[Site]],'Important Info!'!$A$1:$F$135,4,FALSE)</f>
        <v>-</v>
      </c>
      <c r="O433" s="52" t="str">
        <f>VLOOKUP(Tabla3[[#This Row],[Site]],'Important Info!'!$A$1:$F$135,5,FALSE)</f>
        <v>-</v>
      </c>
      <c r="P433" s="52" t="str">
        <f>VLOOKUP(Tabla3[[#This Row],[Site]],'Important Info!'!$A$1:$F$135,6,FALSE)</f>
        <v>-</v>
      </c>
      <c r="Q433" s="91">
        <f>VLOOKUP(Tabla3[[#This Row],[Site]],'Important Info!'!$A$1:$J$135,9,FALSE)</f>
        <v>158</v>
      </c>
    </row>
    <row r="434" spans="1:17" x14ac:dyDescent="0.25">
      <c r="A434" t="str">
        <f>+Tabla3[[#This Row],[Site]]&amp;Tabla3[[#This Row],[Split]]</f>
        <v>(SCH) Chevrolet North Palm7</v>
      </c>
      <c r="B434">
        <v>7</v>
      </c>
      <c r="C434">
        <v>5</v>
      </c>
      <c r="D434" t="s">
        <v>62</v>
      </c>
      <c r="E434" t="s">
        <v>35</v>
      </c>
      <c r="F434" t="s">
        <v>101</v>
      </c>
      <c r="G434" t="s">
        <v>490</v>
      </c>
      <c r="H434" s="52" t="str">
        <f>VLOOKUP(Tabla3[[#This Row],[Site]],'Important Info!'!$A$1:$J$135,10,FALSE)</f>
        <v>https://tools.sig.systems/site/details/160</v>
      </c>
      <c r="J434" t="s">
        <v>36</v>
      </c>
      <c r="K434" s="79" t="str">
        <f>VLOOKUP(Tabla3[[#This Row],[Site]],'Important Info!'!$A$1:$H$135,8,FALSE)</f>
        <v>-</v>
      </c>
      <c r="L434" s="52" t="str">
        <f>VLOOKUP(Tabla3[[#This Row],[Site]],'Important Info!'!$A$1:$F$135,2,FALSE)</f>
        <v xml:space="preserve">7, 10B, 11, 15 </v>
      </c>
      <c r="M434" s="52" t="str">
        <f>VLOOKUP(Tabla3[[#This Row],[Site]],'Important Info!'!$A$1:$F$135,3,FALSE)</f>
        <v>-</v>
      </c>
      <c r="N434" s="52" t="str">
        <f>VLOOKUP(Tabla3[[#This Row],[Site]],'Important Info!'!$A$1:$F$135,4,FALSE)</f>
        <v>-</v>
      </c>
      <c r="O434" s="52" t="str">
        <f>VLOOKUP(Tabla3[[#This Row],[Site]],'Important Info!'!$A$1:$F$135,5,FALSE)</f>
        <v>-</v>
      </c>
      <c r="P434" s="52" t="str">
        <f>VLOOKUP(Tabla3[[#This Row],[Site]],'Important Info!'!$A$1:$F$135,6,FALSE)</f>
        <v>1, 15, 16, 17, 18, 19, 20</v>
      </c>
      <c r="Q434" s="91">
        <f>VLOOKUP(Tabla3[[#This Row],[Site]],'Important Info!'!$A$1:$J$135,9,FALSE)</f>
        <v>160</v>
      </c>
    </row>
    <row r="435" spans="1:17" x14ac:dyDescent="0.25">
      <c r="A435" t="str">
        <f>+Tabla3[[#This Row],[Site]]&amp;Tabla3[[#This Row],[Split]]</f>
        <v>(TC) Tavernier Creek Marina (NO TOURS)7</v>
      </c>
      <c r="B435">
        <v>7</v>
      </c>
      <c r="C435">
        <v>5</v>
      </c>
      <c r="D435" t="s">
        <v>62</v>
      </c>
      <c r="E435" t="s">
        <v>35</v>
      </c>
      <c r="F435" t="s">
        <v>119</v>
      </c>
      <c r="G435" t="s">
        <v>34</v>
      </c>
      <c r="H435" s="52" t="str">
        <f>VLOOKUP(Tabla3[[#This Row],[Site]],'Important Info!'!$A$1:$J$135,10,FALSE)</f>
        <v>https://tools.sig.systems/site/details/164</v>
      </c>
      <c r="J435" t="s">
        <v>45</v>
      </c>
      <c r="K435" s="79" t="str">
        <f>VLOOKUP(Tabla3[[#This Row],[Site]],'Important Info!'!$A$1:$H$135,8,FALSE)</f>
        <v>-</v>
      </c>
      <c r="L435" s="52" t="str">
        <f>VLOOKUP(Tabla3[[#This Row],[Site]],'Important Info!'!$A$1:$F$135,2,FALSE)</f>
        <v>28, 29</v>
      </c>
      <c r="M435" s="52" t="str">
        <f>VLOOKUP(Tabla3[[#This Row],[Site]],'Important Info!'!$A$1:$F$135,3,FALSE)</f>
        <v>-</v>
      </c>
      <c r="N435" s="52" t="str">
        <f>VLOOKUP(Tabla3[[#This Row],[Site]],'Important Info!'!$A$1:$F$135,4,FALSE)</f>
        <v>-</v>
      </c>
      <c r="O435" s="52" t="str">
        <f>VLOOKUP(Tabla3[[#This Row],[Site]],'Important Info!'!$A$1:$F$135,5,FALSE)</f>
        <v>-</v>
      </c>
      <c r="P435" s="52" t="str">
        <f>VLOOKUP(Tabla3[[#This Row],[Site]],'Important Info!'!$A$1:$F$135,6,FALSE)</f>
        <v>5, 28, 29</v>
      </c>
      <c r="Q435" s="91">
        <f>VLOOKUP(Tabla3[[#This Row],[Site]],'Important Info!'!$A$1:$J$135,9,FALSE)</f>
        <v>164</v>
      </c>
    </row>
    <row r="436" spans="1:17" x14ac:dyDescent="0.25">
      <c r="A436" t="str">
        <f>+Tabla3[[#This Row],[Site]]&amp;Tabla3[[#This Row],[Split]]</f>
        <v>(AS) Coggin Acura Ft Pierce (NO TOURS)7</v>
      </c>
      <c r="B436">
        <v>7</v>
      </c>
      <c r="C436">
        <v>6</v>
      </c>
      <c r="D436" t="s">
        <v>62</v>
      </c>
      <c r="E436" t="s">
        <v>35</v>
      </c>
      <c r="F436" t="s">
        <v>500</v>
      </c>
      <c r="G436" t="s">
        <v>490</v>
      </c>
      <c r="H436" s="52" t="str">
        <f>VLOOKUP(Tabla3[[#This Row],[Site]],'Important Info!'!$A$1:$J$135,10,FALSE)</f>
        <v>https://tools.sig.systems/site/details/118</v>
      </c>
      <c r="I436" s="2" t="s">
        <v>179</v>
      </c>
      <c r="J436" t="s">
        <v>41</v>
      </c>
      <c r="K436" s="79" t="str">
        <f>VLOOKUP(Tabla3[[#This Row],[Site]],'Important Info!'!$A$1:$H$135,8,FALSE)</f>
        <v>-</v>
      </c>
      <c r="L436" s="52" t="str">
        <f>VLOOKUP(Tabla3[[#This Row],[Site]],'Important Info!'!$A$1:$F$135,2,FALSE)</f>
        <v>-</v>
      </c>
      <c r="M436" s="52">
        <f>VLOOKUP(Tabla3[[#This Row],[Site]],'Important Info!'!$A$1:$F$135,3,FALSE)</f>
        <v>6</v>
      </c>
      <c r="N436" s="52" t="str">
        <f>VLOOKUP(Tabla3[[#This Row],[Site]],'Important Info!'!$A$1:$F$135,4,FALSE)</f>
        <v>-</v>
      </c>
      <c r="O436" s="52" t="str">
        <f>VLOOKUP(Tabla3[[#This Row],[Site]],'Important Info!'!$A$1:$F$135,5,FALSE)</f>
        <v>4, 6</v>
      </c>
      <c r="P436" s="52">
        <f>VLOOKUP(Tabla3[[#This Row],[Site]],'Important Info!'!$A$1:$F$135,6,FALSE)</f>
        <v>1</v>
      </c>
      <c r="Q436" s="91">
        <f>VLOOKUP(Tabla3[[#This Row],[Site]],'Important Info!'!$A$1:$J$135,9,FALSE)</f>
        <v>118</v>
      </c>
    </row>
    <row r="437" spans="1:17" x14ac:dyDescent="0.25">
      <c r="A437" t="str">
        <f>+Tabla3[[#This Row],[Site]]&amp;Tabla3[[#This Row],[Split]]</f>
        <v>(AS) Nalley Luxury Collision Center (NO TOURS)7</v>
      </c>
      <c r="B437">
        <v>7</v>
      </c>
      <c r="C437">
        <v>6</v>
      </c>
      <c r="D437" t="s">
        <v>62</v>
      </c>
      <c r="E437" t="s">
        <v>35</v>
      </c>
      <c r="F437" t="s">
        <v>512</v>
      </c>
      <c r="G437" t="s">
        <v>490</v>
      </c>
      <c r="H437" s="52" t="str">
        <f>VLOOKUP(Tabla3[[#This Row],[Site]],'Important Info!'!$A$1:$J$135,10,FALSE)</f>
        <v>https://tools.sig.systems/site/details/263</v>
      </c>
      <c r="I437" s="43" t="s">
        <v>166</v>
      </c>
      <c r="J437" t="s">
        <v>41</v>
      </c>
      <c r="K437" s="79" t="str">
        <f>VLOOKUP(Tabla3[[#This Row],[Site]],'Important Info!'!$A$1:$H$135,8,FALSE)</f>
        <v>-</v>
      </c>
      <c r="L437" s="52" t="str">
        <f>VLOOKUP(Tabla3[[#This Row],[Site]],'Important Info!'!$A$1:$F$135,2,FALSE)</f>
        <v>6, 13</v>
      </c>
      <c r="M437" s="52" t="str">
        <f>VLOOKUP(Tabla3[[#This Row],[Site]],'Important Info!'!$A$1:$F$135,3,FALSE)</f>
        <v>-</v>
      </c>
      <c r="N437" s="52" t="str">
        <f>VLOOKUP(Tabla3[[#This Row],[Site]],'Important Info!'!$A$1:$F$135,4,FALSE)</f>
        <v>-</v>
      </c>
      <c r="O437" s="52" t="str">
        <f>VLOOKUP(Tabla3[[#This Row],[Site]],'Important Info!'!$A$1:$F$135,5,FALSE)</f>
        <v>-</v>
      </c>
      <c r="P437" s="52" t="str">
        <f>VLOOKUP(Tabla3[[#This Row],[Site]],'Important Info!'!$A$1:$F$135,6,FALSE)</f>
        <v>6, 7, 12</v>
      </c>
      <c r="Q437" s="91">
        <f>VLOOKUP(Tabla3[[#This Row],[Site]],'Important Info!'!$A$1:$J$135,9,FALSE)</f>
        <v>263</v>
      </c>
    </row>
    <row r="438" spans="1:17" x14ac:dyDescent="0.25">
      <c r="A438" t="str">
        <f>+Tabla3[[#This Row],[Site]]&amp;Tabla3[[#This Row],[Split]]</f>
        <v>(AS) Park Place JLR DFW Airport (NO TOURS)7</v>
      </c>
      <c r="B438">
        <v>7</v>
      </c>
      <c r="C438">
        <v>6</v>
      </c>
      <c r="D438" t="s">
        <v>33</v>
      </c>
      <c r="E438" t="s">
        <v>46</v>
      </c>
      <c r="F438" t="s">
        <v>516</v>
      </c>
      <c r="G438" t="s">
        <v>34</v>
      </c>
      <c r="H438" s="52" t="str">
        <f>VLOOKUP(Tabla3[[#This Row],[Site]],'Important Info!'!$A$1:$J$135,10,FALSE)</f>
        <v>https://tools.sig.systems/site/details/135</v>
      </c>
      <c r="J438" t="s">
        <v>41</v>
      </c>
      <c r="K438" s="79" t="str">
        <f>VLOOKUP(Tabla3[[#This Row],[Site]],'Important Info!'!$A$1:$H$135,8,FALSE)</f>
        <v>-</v>
      </c>
      <c r="L438" s="52" t="str">
        <f>VLOOKUP(Tabla3[[#This Row],[Site]],'Important Info!'!$A$1:$F$135,2,FALSE)</f>
        <v>6, 7, 18</v>
      </c>
      <c r="M438" s="52" t="str">
        <f>VLOOKUP(Tabla3[[#This Row],[Site]],'Important Info!'!$A$1:$F$135,3,FALSE)</f>
        <v>70, 79, 80</v>
      </c>
      <c r="N438" s="52" t="str">
        <f>VLOOKUP(Tabla3[[#This Row],[Site]],'Important Info!'!$A$1:$F$135,4,FALSE)</f>
        <v>83, 84</v>
      </c>
      <c r="O438" s="52" t="str">
        <f>VLOOKUP(Tabla3[[#This Row],[Site]],'Important Info!'!$A$1:$F$135,5,FALSE)</f>
        <v>3, 8, 14, 81</v>
      </c>
      <c r="P438" s="52">
        <f>VLOOKUP(Tabla3[[#This Row],[Site]],'Important Info!'!$A$1:$F$135,6,FALSE)</f>
        <v>6</v>
      </c>
      <c r="Q438" s="91">
        <f>VLOOKUP(Tabla3[[#This Row],[Site]],'Important Info!'!$A$1:$J$135,9,FALSE)</f>
        <v>135</v>
      </c>
    </row>
    <row r="439" spans="1:17" x14ac:dyDescent="0.25">
      <c r="A439" t="str">
        <f>+Tabla3[[#This Row],[Site]]&amp;Tabla3[[#This Row],[Split]]</f>
        <v>(AS) Park Place Mercedes Benz Ft. Worth (NO TOURS)7</v>
      </c>
      <c r="B439">
        <v>7</v>
      </c>
      <c r="C439">
        <v>6</v>
      </c>
      <c r="D439" t="s">
        <v>33</v>
      </c>
      <c r="E439" t="s">
        <v>46</v>
      </c>
      <c r="F439" t="s">
        <v>519</v>
      </c>
      <c r="G439" t="s">
        <v>34</v>
      </c>
      <c r="H439" s="52" t="str">
        <f>VLOOKUP(Tabla3[[#This Row],[Site]],'Important Info!'!$A$1:$J$135,10,FALSE)</f>
        <v>https://tools.sig.systems/site/details/137</v>
      </c>
      <c r="I439" s="66" t="s">
        <v>128</v>
      </c>
      <c r="J439" t="s">
        <v>41</v>
      </c>
      <c r="K439" s="79" t="s">
        <v>37</v>
      </c>
      <c r="L439" s="52" t="str">
        <f>VLOOKUP(Tabla3[[#This Row],[Site]],'Important Info!'!$A$1:$F$135,2,FALSE)</f>
        <v>4, 18</v>
      </c>
      <c r="M439" s="52" t="str">
        <f>VLOOKUP(Tabla3[[#This Row],[Site]],'Important Info!'!$A$1:$F$135,3,FALSE)</f>
        <v>-</v>
      </c>
      <c r="N439" s="52" t="str">
        <f>VLOOKUP(Tabla3[[#This Row],[Site]],'Important Info!'!$A$1:$F$135,4,FALSE)</f>
        <v>54, 55</v>
      </c>
      <c r="O439" s="52" t="str">
        <f>VLOOKUP(Tabla3[[#This Row],[Site]],'Important Info!'!$A$1:$F$135,5,FALSE)</f>
        <v>2, 18</v>
      </c>
      <c r="P439" s="52" t="str">
        <f>VLOOKUP(Tabla3[[#This Row],[Site]],'Important Info!'!$A$1:$F$135,6,FALSE)</f>
        <v>5, 18</v>
      </c>
      <c r="Q439" s="91">
        <f>VLOOKUP(Tabla3[[#This Row],[Site]],'Important Info!'!$A$1:$J$135,9,FALSE)</f>
        <v>137</v>
      </c>
    </row>
    <row r="440" spans="1:17" x14ac:dyDescent="0.25">
      <c r="A440" t="str">
        <f>+Tabla3[[#This Row],[Site]]&amp;Tabla3[[#This Row],[Split]]</f>
        <v>(DT) Denver (NO TOURS)7</v>
      </c>
      <c r="B440">
        <v>7</v>
      </c>
      <c r="C440">
        <v>6</v>
      </c>
      <c r="D440" t="s">
        <v>44</v>
      </c>
      <c r="E440" t="s">
        <v>53</v>
      </c>
      <c r="F440" t="s">
        <v>157</v>
      </c>
      <c r="G440" t="s">
        <v>45</v>
      </c>
      <c r="H440" s="52" t="str">
        <f>VLOOKUP(Tabla3[[#This Row],[Site]],'Important Info!'!$A$1:$J$135,10,FALSE)</f>
        <v>https://tools.sig.systems/site/details/203</v>
      </c>
      <c r="I440" s="2" t="s">
        <v>158</v>
      </c>
      <c r="J440" t="s">
        <v>41</v>
      </c>
      <c r="K440" s="79" t="str">
        <f>VLOOKUP(Tabla3[[#This Row],[Site]],'Important Info!'!$A$1:$H$135,8,FALSE)</f>
        <v>-</v>
      </c>
      <c r="L440" s="52" t="str">
        <f>VLOOKUP(Tabla3[[#This Row],[Site]],'Important Info!'!$A$1:$F$135,2,FALSE)</f>
        <v>-</v>
      </c>
      <c r="M440" s="52" t="str">
        <f>VLOOKUP(Tabla3[[#This Row],[Site]],'Important Info!'!$A$1:$F$135,3,FALSE)</f>
        <v>7, 8</v>
      </c>
      <c r="N440" s="52" t="str">
        <f>VLOOKUP(Tabla3[[#This Row],[Site]],'Important Info!'!$A$1:$F$135,4,FALSE)</f>
        <v>-</v>
      </c>
      <c r="O440" s="52" t="str">
        <f>VLOOKUP(Tabla3[[#This Row],[Site]],'Important Info!'!$A$1:$F$135,5,FALSE)</f>
        <v>-</v>
      </c>
      <c r="P440" s="52" t="str">
        <f>VLOOKUP(Tabla3[[#This Row],[Site]],'Important Info!'!$A$1:$F$135,6,FALSE)</f>
        <v>7, 8</v>
      </c>
      <c r="Q440" s="91">
        <f>VLOOKUP(Tabla3[[#This Row],[Site]],'Important Info!'!$A$1:$J$135,9,FALSE)</f>
        <v>203</v>
      </c>
    </row>
    <row r="441" spans="1:17" x14ac:dyDescent="0.25">
      <c r="A441" t="str">
        <f>+Tabla3[[#This Row],[Site]]&amp;Tabla3[[#This Row],[Split]]</f>
        <v>(HUD) Acura of Greensboro7</v>
      </c>
      <c r="B441">
        <v>7</v>
      </c>
      <c r="C441">
        <v>6</v>
      </c>
      <c r="D441" t="s">
        <v>62</v>
      </c>
      <c r="E441" t="s">
        <v>35</v>
      </c>
      <c r="F441" t="s">
        <v>100</v>
      </c>
      <c r="G441" t="s">
        <v>490</v>
      </c>
      <c r="H441" s="52" t="str">
        <f>VLOOKUP(Tabla3[[#This Row],[Site]],'Important Info!'!$A$1:$J$135,10,FALSE)</f>
        <v>https://tools.sig.systems/site/details/213</v>
      </c>
      <c r="I441" t="s">
        <v>182</v>
      </c>
      <c r="J441" t="s">
        <v>41</v>
      </c>
      <c r="K441" s="79" t="str">
        <f>VLOOKUP(Tabla3[[#This Row],[Site]],'Important Info!'!$A$1:$H$135,8,FALSE)</f>
        <v>-</v>
      </c>
      <c r="L441" s="52" t="str">
        <f>VLOOKUP(Tabla3[[#This Row],[Site]],'Important Info!'!$A$1:$F$135,2,FALSE)</f>
        <v>1, 2, 6, 7, 9</v>
      </c>
      <c r="M441" s="52" t="str">
        <f>VLOOKUP(Tabla3[[#This Row],[Site]],'Important Info!'!$A$1:$F$135,3,FALSE)</f>
        <v>-</v>
      </c>
      <c r="N441" s="52" t="str">
        <f>VLOOKUP(Tabla3[[#This Row],[Site]],'Important Info!'!$A$1:$F$135,4,FALSE)</f>
        <v>-</v>
      </c>
      <c r="O441" s="52" t="str">
        <f>VLOOKUP(Tabla3[[#This Row],[Site]],'Important Info!'!$A$1:$F$135,5,FALSE)</f>
        <v>2, 5</v>
      </c>
      <c r="P441" s="52" t="str">
        <f>VLOOKUP(Tabla3[[#This Row],[Site]],'Important Info!'!$A$1:$F$135,6,FALSE)</f>
        <v>1, 2, 6, 7, 9, 18</v>
      </c>
      <c r="Q441" s="91">
        <f>VLOOKUP(Tabla3[[#This Row],[Site]],'Important Info!'!$A$1:$J$135,9,FALSE)</f>
        <v>213</v>
      </c>
    </row>
    <row r="442" spans="1:17" x14ac:dyDescent="0.25">
      <c r="A442" t="str">
        <f>+Tabla3[[#This Row],[Site]]&amp;Tabla3[[#This Row],[Split]]</f>
        <v>(KG) Baytown GMC Buick - Remote Lot (NO TOURS)7</v>
      </c>
      <c r="B442">
        <v>7</v>
      </c>
      <c r="C442">
        <v>6</v>
      </c>
      <c r="D442" t="s">
        <v>60</v>
      </c>
      <c r="E442" t="s">
        <v>46</v>
      </c>
      <c r="F442" t="s">
        <v>167</v>
      </c>
      <c r="G442" t="s">
        <v>41</v>
      </c>
      <c r="H442" s="52" t="str">
        <f>VLOOKUP(Tabla3[[#This Row],[Site]],'Important Info!'!$A$1:$J$135,10,FALSE)</f>
        <v>https://tools.sig.systems/site/details/311</v>
      </c>
      <c r="J442" t="s">
        <v>41</v>
      </c>
      <c r="K442" s="79" t="s">
        <v>168</v>
      </c>
      <c r="L442" s="52" t="str">
        <f>VLOOKUP(Tabla3[[#This Row],[Site]],'Important Info!'!$A$1:$F$135,2,FALSE)</f>
        <v>-</v>
      </c>
      <c r="M442" s="52" t="str">
        <f>VLOOKUP(Tabla3[[#This Row],[Site]],'Important Info!'!$A$1:$F$135,3,FALSE)</f>
        <v>7, 8</v>
      </c>
      <c r="N442" s="52" t="str">
        <f>VLOOKUP(Tabla3[[#This Row],[Site]],'Important Info!'!$A$1:$F$135,4,FALSE)</f>
        <v>-</v>
      </c>
      <c r="O442" s="52" t="str">
        <f>VLOOKUP(Tabla3[[#This Row],[Site]],'Important Info!'!$A$1:$F$135,5,FALSE)</f>
        <v>-</v>
      </c>
      <c r="P442" s="52" t="str">
        <f>VLOOKUP(Tabla3[[#This Row],[Site]],'Important Info!'!$A$1:$F$135,6,FALSE)</f>
        <v>-</v>
      </c>
      <c r="Q442" s="91">
        <f>VLOOKUP(Tabla3[[#This Row],[Site]],'Important Info!'!$A$1:$J$135,9,FALSE)</f>
        <v>311</v>
      </c>
    </row>
    <row r="443" spans="1:17" x14ac:dyDescent="0.25">
      <c r="A443" t="str">
        <f>+Tabla3[[#This Row],[Site]]&amp;Tabla3[[#This Row],[Split]]</f>
        <v>(KG) Baytown GMC Buick (NO TOURS)7</v>
      </c>
      <c r="B443">
        <v>7</v>
      </c>
      <c r="C443">
        <v>6</v>
      </c>
      <c r="D443" t="s">
        <v>33</v>
      </c>
      <c r="E443" t="s">
        <v>46</v>
      </c>
      <c r="F443" t="s">
        <v>132</v>
      </c>
      <c r="G443" t="s">
        <v>34</v>
      </c>
      <c r="H443" s="52" t="str">
        <f>VLOOKUP(Tabla3[[#This Row],[Site]],'Important Info!'!$A$1:$J$135,10,FALSE)</f>
        <v>https://tools.sig.systems/site/details/239</v>
      </c>
      <c r="J443" t="s">
        <v>41</v>
      </c>
      <c r="K443" s="79" t="str">
        <f>VLOOKUP(Tabla3[[#This Row],[Site]],'Important Info!'!$A$1:$H$135,8,FALSE)</f>
        <v>-</v>
      </c>
      <c r="L443" s="52" t="str">
        <f>VLOOKUP(Tabla3[[#This Row],[Site]],'Important Info!'!$A$1:$F$135,2,FALSE)</f>
        <v>1, 5, 7, 21, 22</v>
      </c>
      <c r="M443" s="52" t="str">
        <f>VLOOKUP(Tabla3[[#This Row],[Site]],'Important Info!'!$A$1:$F$135,3,FALSE)</f>
        <v>-</v>
      </c>
      <c r="N443" s="52" t="str">
        <f>VLOOKUP(Tabla3[[#This Row],[Site]],'Important Info!'!$A$1:$F$135,4,FALSE)</f>
        <v>-</v>
      </c>
      <c r="O443" s="52" t="str">
        <f>VLOOKUP(Tabla3[[#This Row],[Site]],'Important Info!'!$A$1:$F$135,5,FALSE)</f>
        <v>2, 10, 15, 24B</v>
      </c>
      <c r="P443" s="52" t="str">
        <f>VLOOKUP(Tabla3[[#This Row],[Site]],'Important Info!'!$A$1:$F$135,6,FALSE)</f>
        <v>21, 22</v>
      </c>
      <c r="Q443" s="91">
        <f>VLOOKUP(Tabla3[[#This Row],[Site]],'Important Info!'!$A$1:$J$135,9,FALSE)</f>
        <v>239</v>
      </c>
    </row>
    <row r="444" spans="1:17" x14ac:dyDescent="0.25">
      <c r="A444" t="str">
        <f>+Tabla3[[#This Row],[Site]]&amp;Tabla3[[#This Row],[Split]]</f>
        <v>(KG) Big Star Honda7</v>
      </c>
      <c r="B444">
        <v>7</v>
      </c>
      <c r="C444">
        <v>6</v>
      </c>
      <c r="D444" t="s">
        <v>33</v>
      </c>
      <c r="E444" t="s">
        <v>46</v>
      </c>
      <c r="F444" t="s">
        <v>136</v>
      </c>
      <c r="G444" t="s">
        <v>34</v>
      </c>
      <c r="H444" s="52" t="str">
        <f>VLOOKUP(Tabla3[[#This Row],[Site]],'Important Info!'!$A$1:$J$135,10,FALSE)</f>
        <v>https://tools.sig.systems/site/details/231</v>
      </c>
      <c r="I444" s="64"/>
      <c r="J444" t="s">
        <v>41</v>
      </c>
      <c r="K444" s="79" t="str">
        <f>VLOOKUP(Tabla3[[#This Row],[Site]],'Important Info!'!$A$1:$H$135,8,FALSE)</f>
        <v>-</v>
      </c>
      <c r="L444" s="52" t="str">
        <f>VLOOKUP(Tabla3[[#This Row],[Site]],'Important Info!'!$A$1:$F$135,2,FALSE)</f>
        <v>2, 17, 33</v>
      </c>
      <c r="M444" s="52" t="str">
        <f>VLOOKUP(Tabla3[[#This Row],[Site]],'Important Info!'!$A$1:$F$135,3,FALSE)</f>
        <v>-</v>
      </c>
      <c r="N444" s="52" t="str">
        <f>VLOOKUP(Tabla3[[#This Row],[Site]],'Important Info!'!$A$1:$F$135,4,FALSE)</f>
        <v>-</v>
      </c>
      <c r="O444" s="52" t="str">
        <f>VLOOKUP(Tabla3[[#This Row],[Site]],'Important Info!'!$A$1:$F$135,5,FALSE)</f>
        <v>3, 11, 16, 21, 24, 31, 34</v>
      </c>
      <c r="P444" s="52" t="str">
        <f>VLOOKUP(Tabla3[[#This Row],[Site]],'Important Info!'!$A$1:$F$135,6,FALSE)</f>
        <v xml:space="preserve">2, 3, 17, 22, 37, 41, 42 </v>
      </c>
      <c r="Q444" s="91">
        <f>VLOOKUP(Tabla3[[#This Row],[Site]],'Important Info!'!$A$1:$J$135,9,FALSE)</f>
        <v>231</v>
      </c>
    </row>
    <row r="445" spans="1:17" x14ac:dyDescent="0.25">
      <c r="A445" t="str">
        <f>+Tabla3[[#This Row],[Site]]&amp;Tabla3[[#This Row],[Split]]</f>
        <v>(KG) Kia of Phoenix (NO TOURS)7</v>
      </c>
      <c r="B445">
        <v>7</v>
      </c>
      <c r="C445">
        <v>6</v>
      </c>
      <c r="D445" t="s">
        <v>51</v>
      </c>
      <c r="E445" t="s">
        <v>161</v>
      </c>
      <c r="F445" t="s">
        <v>94</v>
      </c>
      <c r="G445" t="s">
        <v>52</v>
      </c>
      <c r="H445" s="52" t="str">
        <f>VLOOKUP(Tabla3[[#This Row],[Site]],'Important Info!'!$A$1:$J$135,10,FALSE)</f>
        <v>https://tools.sig.systems/site/details/262</v>
      </c>
      <c r="J445" t="s">
        <v>162</v>
      </c>
      <c r="K445" s="79" t="str">
        <f>VLOOKUP(Tabla3[[#This Row],[Site]],'Important Info!'!$A$1:$H$135,8,FALSE)</f>
        <v>-</v>
      </c>
      <c r="L445" s="52" t="str">
        <f>VLOOKUP(Tabla3[[#This Row],[Site]],'Important Info!'!$A$1:$F$135,2,FALSE)</f>
        <v>5, 8, 23</v>
      </c>
      <c r="M445" s="52" t="str">
        <f>VLOOKUP(Tabla3[[#This Row],[Site]],'Important Info!'!$A$1:$F$135,3,FALSE)</f>
        <v>-</v>
      </c>
      <c r="N445" s="52" t="str">
        <f>VLOOKUP(Tabla3[[#This Row],[Site]],'Important Info!'!$A$1:$F$135,4,FALSE)</f>
        <v>-</v>
      </c>
      <c r="O445" s="52">
        <f>VLOOKUP(Tabla3[[#This Row],[Site]],'Important Info!'!$A$1:$F$135,5,FALSE)</f>
        <v>4</v>
      </c>
      <c r="P445" s="52" t="str">
        <f>VLOOKUP(Tabla3[[#This Row],[Site]],'Important Info!'!$A$1:$F$135,6,FALSE)</f>
        <v>-</v>
      </c>
      <c r="Q445" s="91">
        <f>VLOOKUP(Tabla3[[#This Row],[Site]],'Important Info!'!$A$1:$J$135,9,FALSE)</f>
        <v>262</v>
      </c>
    </row>
    <row r="446" spans="1:17" x14ac:dyDescent="0.25">
      <c r="A446" t="str">
        <f>+Tabla3[[#This Row],[Site]]&amp;Tabla3[[#This Row],[Split]]</f>
        <v>(ML) Honda of Little Rock7</v>
      </c>
      <c r="B446">
        <v>7</v>
      </c>
      <c r="C446">
        <v>6</v>
      </c>
      <c r="D446" t="s">
        <v>33</v>
      </c>
      <c r="E446" t="s">
        <v>46</v>
      </c>
      <c r="F446" t="s">
        <v>71</v>
      </c>
      <c r="G446" t="s">
        <v>34</v>
      </c>
      <c r="H446" s="52" t="str">
        <f>VLOOKUP(Tabla3[[#This Row],[Site]],'Important Info!'!$A$1:$J$135,10,FALSE)</f>
        <v>https://tools.sig.systems/site/details/249</v>
      </c>
      <c r="I446" t="s">
        <v>140</v>
      </c>
      <c r="J446" t="s">
        <v>41</v>
      </c>
      <c r="K446" s="79" t="str">
        <f>VLOOKUP(Tabla3[[#This Row],[Site]],'Important Info!'!$A$1:$H$135,8,FALSE)</f>
        <v>-</v>
      </c>
      <c r="L446" s="52" t="str">
        <f>VLOOKUP(Tabla3[[#This Row],[Site]],'Important Info!'!$A$1:$F$135,2,FALSE)</f>
        <v>1, 4, 9, 14, 21</v>
      </c>
      <c r="M446" s="52" t="str">
        <f>VLOOKUP(Tabla3[[#This Row],[Site]],'Important Info!'!$A$1:$F$135,3,FALSE)</f>
        <v>-</v>
      </c>
      <c r="N446" s="52" t="str">
        <f>VLOOKUP(Tabla3[[#This Row],[Site]],'Important Info!'!$A$1:$F$135,4,FALSE)</f>
        <v>-</v>
      </c>
      <c r="O446" s="52" t="str">
        <f>VLOOKUP(Tabla3[[#This Row],[Site]],'Important Info!'!$A$1:$F$135,5,FALSE)</f>
        <v>4, 14, 21</v>
      </c>
      <c r="P446" s="52" t="str">
        <f>VLOOKUP(Tabla3[[#This Row],[Site]],'Important Info!'!$A$1:$F$135,6,FALSE)</f>
        <v>11, 12</v>
      </c>
      <c r="Q446" s="91">
        <f>VLOOKUP(Tabla3[[#This Row],[Site]],'Important Info!'!$A$1:$J$135,9,FALSE)</f>
        <v>249</v>
      </c>
    </row>
    <row r="447" spans="1:17" x14ac:dyDescent="0.25">
      <c r="A447" t="str">
        <f>+Tabla3[[#This Row],[Site]]&amp;Tabla3[[#This Row],[Split]]</f>
        <v>(ML) Joe Machens E Collision Center7</v>
      </c>
      <c r="B447">
        <v>7</v>
      </c>
      <c r="C447">
        <v>6</v>
      </c>
      <c r="D447" t="s">
        <v>33</v>
      </c>
      <c r="E447" t="s">
        <v>46</v>
      </c>
      <c r="F447" t="s">
        <v>147</v>
      </c>
      <c r="G447" t="s">
        <v>34</v>
      </c>
      <c r="H447" s="52" t="str">
        <f>VLOOKUP(Tabla3[[#This Row],[Site]],'Important Info!'!$A$1:$J$135,10,FALSE)</f>
        <v>https://tools.sig.systems/site/details/277</v>
      </c>
      <c r="I447" s="43" t="s">
        <v>146</v>
      </c>
      <c r="J447" t="s">
        <v>41</v>
      </c>
      <c r="K447" s="79" t="str">
        <f>VLOOKUP(Tabla3[[#This Row],[Site]],'Important Info!'!$A$1:$H$135,8,FALSE)</f>
        <v>-</v>
      </c>
      <c r="L447" s="52">
        <f>VLOOKUP(Tabla3[[#This Row],[Site]],'Important Info!'!$A$1:$F$135,2,FALSE)</f>
        <v>1</v>
      </c>
      <c r="M447" s="52" t="str">
        <f>VLOOKUP(Tabla3[[#This Row],[Site]],'Important Info!'!$A$1:$F$135,3,FALSE)</f>
        <v>-</v>
      </c>
      <c r="N447" s="52" t="str">
        <f>VLOOKUP(Tabla3[[#This Row],[Site]],'Important Info!'!$A$1:$F$135,4,FALSE)</f>
        <v>-</v>
      </c>
      <c r="O447" s="52">
        <f>VLOOKUP(Tabla3[[#This Row],[Site]],'Important Info!'!$A$1:$F$135,5,FALSE)</f>
        <v>5</v>
      </c>
      <c r="P447" s="52" t="str">
        <f>VLOOKUP(Tabla3[[#This Row],[Site]],'Important Info!'!$A$1:$F$135,6,FALSE)</f>
        <v>1, 2, 3, 4</v>
      </c>
      <c r="Q447" s="91">
        <f>VLOOKUP(Tabla3[[#This Row],[Site]],'Important Info!'!$A$1:$J$135,9,FALSE)</f>
        <v>277</v>
      </c>
    </row>
    <row r="448" spans="1:17" x14ac:dyDescent="0.25">
      <c r="A448" t="str">
        <f>+Tabla3[[#This Row],[Site]]&amp;Tabla3[[#This Row],[Split]]</f>
        <v>(ML) Nissan Of Benton7</v>
      </c>
      <c r="B448">
        <v>7</v>
      </c>
      <c r="C448">
        <v>6</v>
      </c>
      <c r="D448" t="s">
        <v>33</v>
      </c>
      <c r="E448" t="s">
        <v>46</v>
      </c>
      <c r="F448" t="s">
        <v>120</v>
      </c>
      <c r="G448" t="s">
        <v>34</v>
      </c>
      <c r="H448" s="52" t="str">
        <f>VLOOKUP(Tabla3[[#This Row],[Site]],'Important Info!'!$A$1:$J$135,10,FALSE)</f>
        <v>https://tools.sig.systems/site/details/247</v>
      </c>
      <c r="I448" s="64"/>
      <c r="J448" t="s">
        <v>41</v>
      </c>
      <c r="K448" s="79" t="str">
        <f>VLOOKUP(Tabla3[[#This Row],[Site]],'Important Info!'!$A$1:$H$135,8,FALSE)</f>
        <v>-</v>
      </c>
      <c r="L448" s="52" t="str">
        <f>VLOOKUP(Tabla3[[#This Row],[Site]],'Important Info!'!$A$1:$F$135,2,FALSE)</f>
        <v>5, 12</v>
      </c>
      <c r="M448" s="52" t="str">
        <f>VLOOKUP(Tabla3[[#This Row],[Site]],'Important Info!'!$A$1:$F$135,3,FALSE)</f>
        <v>-</v>
      </c>
      <c r="N448" s="52" t="str">
        <f>VLOOKUP(Tabla3[[#This Row],[Site]],'Important Info!'!$A$1:$F$135,4,FALSE)</f>
        <v>-</v>
      </c>
      <c r="O448" s="52" t="str">
        <f>VLOOKUP(Tabla3[[#This Row],[Site]],'Important Info!'!$A$1:$F$135,5,FALSE)</f>
        <v>4, 18</v>
      </c>
      <c r="P448" s="52" t="str">
        <f>VLOOKUP(Tabla3[[#This Row],[Site]],'Important Info!'!$A$1:$F$135,6,FALSE)</f>
        <v>-</v>
      </c>
      <c r="Q448" s="91">
        <f>VLOOKUP(Tabla3[[#This Row],[Site]],'Important Info!'!$A$1:$J$135,9,FALSE)</f>
        <v>247</v>
      </c>
    </row>
    <row r="449" spans="1:17" x14ac:dyDescent="0.25">
      <c r="A449" t="str">
        <f>+Tabla3[[#This Row],[Site]]&amp;Tabla3[[#This Row],[Split]]</f>
        <v>(PE) Scofield Service Center (NO TOURS)7</v>
      </c>
      <c r="B449">
        <v>7</v>
      </c>
      <c r="C449">
        <v>6</v>
      </c>
      <c r="D449" t="s">
        <v>485</v>
      </c>
      <c r="E449" t="s">
        <v>35</v>
      </c>
      <c r="F449" t="s">
        <v>83</v>
      </c>
      <c r="G449" t="s">
        <v>490</v>
      </c>
      <c r="H449" s="52" t="str">
        <f>VLOOKUP(Tabla3[[#This Row],[Site]],'Important Info!'!$A$1:$J$135,10,FALSE)</f>
        <v>https://tools.sig.systems/site/details/193</v>
      </c>
      <c r="I449" s="43" t="s">
        <v>177</v>
      </c>
      <c r="J449" t="s">
        <v>41</v>
      </c>
      <c r="K449" s="79" t="str">
        <f>VLOOKUP(Tabla3[[#This Row],[Site]],'Important Info!'!$A$1:$H$135,8,FALSE)</f>
        <v>-</v>
      </c>
      <c r="L449" s="52">
        <f>VLOOKUP(Tabla3[[#This Row],[Site]],'Important Info!'!$A$1:$F$135,2,FALSE)</f>
        <v>1</v>
      </c>
      <c r="M449" s="52" t="str">
        <f>VLOOKUP(Tabla3[[#This Row],[Site]],'Important Info!'!$A$1:$F$135,3,FALSE)</f>
        <v>-</v>
      </c>
      <c r="N449" s="52" t="str">
        <f>VLOOKUP(Tabla3[[#This Row],[Site]],'Important Info!'!$A$1:$F$135,4,FALSE)</f>
        <v>-</v>
      </c>
      <c r="O449" s="52">
        <f>VLOOKUP(Tabla3[[#This Row],[Site]],'Important Info!'!$A$1:$F$135,5,FALSE)</f>
        <v>9</v>
      </c>
      <c r="P449" s="52" t="str">
        <f>VLOOKUP(Tabla3[[#This Row],[Site]],'Important Info!'!$A$1:$F$135,6,FALSE)</f>
        <v>1, 17</v>
      </c>
      <c r="Q449" s="91">
        <f>VLOOKUP(Tabla3[[#This Row],[Site]],'Important Info!'!$A$1:$J$135,9,FALSE)</f>
        <v>193</v>
      </c>
    </row>
    <row r="450" spans="1:17" x14ac:dyDescent="0.25">
      <c r="A450" t="str">
        <f>+Tabla3[[#This Row],[Site]]&amp;Tabla3[[#This Row],[Split]]</f>
        <v>(SCH) West Palm Beach I, II &amp; III7</v>
      </c>
      <c r="B450">
        <v>7</v>
      </c>
      <c r="C450">
        <v>6</v>
      </c>
      <c r="D450" t="s">
        <v>492</v>
      </c>
      <c r="E450" t="s">
        <v>35</v>
      </c>
      <c r="F450" t="s">
        <v>96</v>
      </c>
      <c r="G450" t="s">
        <v>490</v>
      </c>
      <c r="H450" s="52" t="str">
        <f>VLOOKUP(Tabla3[[#This Row],[Site]],'Important Info!'!$A$1:$J$135,10,FALSE)</f>
        <v>https://tools.sig.systems/site/details/162</v>
      </c>
      <c r="I450" s="43"/>
      <c r="J450" t="s">
        <v>36</v>
      </c>
      <c r="K450" s="79" t="str">
        <f>VLOOKUP(Tabla3[[#This Row],[Site]],'Important Info!'!$A$1:$H$135,8,FALSE)</f>
        <v>SUNDAY: Log in at 5:30 p.m. ET.</v>
      </c>
      <c r="L450" s="52" t="str">
        <f>VLOOKUP(Tabla3[[#This Row],[Site]],'Important Info!'!$A$1:$F$135,2,FALSE)</f>
        <v>34, 62</v>
      </c>
      <c r="M450" s="52" t="str">
        <f>VLOOKUP(Tabla3[[#This Row],[Site]],'Important Info!'!$A$1:$F$135,3,FALSE)</f>
        <v xml:space="preserve">6, 7, 11, 13, </v>
      </c>
      <c r="N450" s="52" t="str">
        <f>VLOOKUP(Tabla3[[#This Row],[Site]],'Important Info!'!$A$1:$F$135,4,FALSE)</f>
        <v>20, 21</v>
      </c>
      <c r="O450" s="52" t="str">
        <f>VLOOKUP(Tabla3[[#This Row],[Site]],'Important Info!'!$A$1:$F$135,5,FALSE)</f>
        <v>-</v>
      </c>
      <c r="P450" s="52" t="str">
        <f>VLOOKUP(Tabla3[[#This Row],[Site]],'Important Info!'!$A$1:$F$135,6,FALSE)</f>
        <v>1, 2, 3, 131, 132</v>
      </c>
      <c r="Q450" s="91">
        <f>VLOOKUP(Tabla3[[#This Row],[Site]],'Important Info!'!$A$1:$J$135,9,FALSE)</f>
        <v>162</v>
      </c>
    </row>
    <row r="451" spans="1:17" x14ac:dyDescent="0.25">
      <c r="A451" t="str">
        <f>+Tabla3[[#This Row],[Site]]&amp;Tabla3[[#This Row],[Split]]</f>
        <v>(AS) Audi of North Atlanta (NO TOURS)7</v>
      </c>
      <c r="B451">
        <v>7</v>
      </c>
      <c r="C451">
        <v>7</v>
      </c>
      <c r="D451" t="s">
        <v>62</v>
      </c>
      <c r="E451" t="s">
        <v>35</v>
      </c>
      <c r="F451" t="s">
        <v>499</v>
      </c>
      <c r="G451" t="s">
        <v>490</v>
      </c>
      <c r="H451" s="52" t="str">
        <f>VLOOKUP(Tabla3[[#This Row],[Site]],'Important Info!'!$A$1:$J$135,10,FALSE)</f>
        <v>https://tools.sig.systems/site/details/124</v>
      </c>
      <c r="I451" s="43" t="s">
        <v>166</v>
      </c>
      <c r="J451" t="s">
        <v>41</v>
      </c>
      <c r="K451" s="79" t="str">
        <f>VLOOKUP(Tabla3[[#This Row],[Site]],'Important Info!'!$A$1:$H$135,8,FALSE)</f>
        <v>-</v>
      </c>
      <c r="L451" s="52" t="str">
        <f>VLOOKUP(Tabla3[[#This Row],[Site]],'Important Info!'!$A$1:$F$135,2,FALSE)</f>
        <v>1, 5, 16, 54</v>
      </c>
      <c r="M451" s="52" t="str">
        <f>VLOOKUP(Tabla3[[#This Row],[Site]],'Important Info!'!$A$1:$F$135,3,FALSE)</f>
        <v>-</v>
      </c>
      <c r="N451" s="52" t="str">
        <f>VLOOKUP(Tabla3[[#This Row],[Site]],'Important Info!'!$A$1:$F$135,4,FALSE)</f>
        <v>-</v>
      </c>
      <c r="O451" s="52" t="str">
        <f>VLOOKUP(Tabla3[[#This Row],[Site]],'Important Info!'!$A$1:$F$135,5,FALSE)</f>
        <v>3, 16</v>
      </c>
      <c r="P451" s="52" t="str">
        <f>VLOOKUP(Tabla3[[#This Row],[Site]],'Important Info!'!$A$1:$F$135,6,FALSE)</f>
        <v>2, 5, 6</v>
      </c>
      <c r="Q451" s="91">
        <f>VLOOKUP(Tabla3[[#This Row],[Site]],'Important Info!'!$A$1:$J$135,9,FALSE)</f>
        <v>124</v>
      </c>
    </row>
    <row r="452" spans="1:17" x14ac:dyDescent="0.25">
      <c r="A452" t="str">
        <f>+Tabla3[[#This Row],[Site]]&amp;Tabla3[[#This Row],[Split]]</f>
        <v>(AS) Park Place MB Recon Center Dallas (NO TOURS)7</v>
      </c>
      <c r="B452">
        <v>7</v>
      </c>
      <c r="C452">
        <v>7</v>
      </c>
      <c r="D452" t="s">
        <v>33</v>
      </c>
      <c r="E452" t="s">
        <v>46</v>
      </c>
      <c r="F452" t="s">
        <v>517</v>
      </c>
      <c r="G452" t="s">
        <v>34</v>
      </c>
      <c r="H452" s="52" t="str">
        <f>VLOOKUP(Tabla3[[#This Row],[Site]],'Important Info!'!$A$1:$J$135,10,FALSE)</f>
        <v>https://tools.sig.systems/site/details/170</v>
      </c>
      <c r="I452" s="65" t="s">
        <v>125</v>
      </c>
      <c r="J452" t="s">
        <v>41</v>
      </c>
      <c r="K452" s="79" t="str">
        <f>VLOOKUP(Tabla3[[#This Row],[Site]],'Important Info!'!$A$1:$H$135,8,FALSE)</f>
        <v>-</v>
      </c>
      <c r="L452" s="52" t="str">
        <f>VLOOKUP(Tabla3[[#This Row],[Site]],'Important Info!'!$A$1:$F$135,2,FALSE)</f>
        <v>3, 39</v>
      </c>
      <c r="M452" s="52" t="str">
        <f>VLOOKUP(Tabla3[[#This Row],[Site]],'Important Info!'!$A$1:$F$135,3,FALSE)</f>
        <v>-</v>
      </c>
      <c r="N452" s="52" t="str">
        <f>VLOOKUP(Tabla3[[#This Row],[Site]],'Important Info!'!$A$1:$F$135,4,FALSE)</f>
        <v>-</v>
      </c>
      <c r="O452" s="52" t="str">
        <f>VLOOKUP(Tabla3[[#This Row],[Site]],'Important Info!'!$A$1:$F$135,5,FALSE)</f>
        <v>4, 11</v>
      </c>
      <c r="P452" s="52">
        <f>VLOOKUP(Tabla3[[#This Row],[Site]],'Important Info!'!$A$1:$F$135,6,FALSE)</f>
        <v>1</v>
      </c>
      <c r="Q452" s="91">
        <f>VLOOKUP(Tabla3[[#This Row],[Site]],'Important Info!'!$A$1:$J$135,9,FALSE)</f>
        <v>170</v>
      </c>
    </row>
    <row r="453" spans="1:17" x14ac:dyDescent="0.25">
      <c r="A453" t="str">
        <f>+Tabla3[[#This Row],[Site]]&amp;Tabla3[[#This Row],[Split]]</f>
        <v>(AS) Park Place Mercedes Benz Arlington (NO TOURS)7</v>
      </c>
      <c r="B453">
        <v>7</v>
      </c>
      <c r="C453">
        <v>7</v>
      </c>
      <c r="D453" t="s">
        <v>33</v>
      </c>
      <c r="E453" t="s">
        <v>46</v>
      </c>
      <c r="F453" t="s">
        <v>518</v>
      </c>
      <c r="G453" t="s">
        <v>34</v>
      </c>
      <c r="H453" s="52" t="str">
        <f>VLOOKUP(Tabla3[[#This Row],[Site]],'Important Info!'!$A$1:$J$135,10,FALSE)</f>
        <v>https://tools.sig.systems/site/details/169</v>
      </c>
      <c r="I453" s="2"/>
      <c r="J453" t="s">
        <v>41</v>
      </c>
      <c r="K453" s="79" t="str">
        <f>VLOOKUP(Tabla3[[#This Row],[Site]],'Important Info!'!$A$1:$H$135,8,FALSE)</f>
        <v>-</v>
      </c>
      <c r="L453" s="52" t="str">
        <f>VLOOKUP(Tabla3[[#This Row],[Site]],'Important Info!'!$A$1:$F$135,2,FALSE)</f>
        <v>1, 9, 14</v>
      </c>
      <c r="M453" s="52" t="str">
        <f>VLOOKUP(Tabla3[[#This Row],[Site]],'Important Info!'!$A$1:$F$135,3,FALSE)</f>
        <v>-</v>
      </c>
      <c r="N453" s="52" t="str">
        <f>VLOOKUP(Tabla3[[#This Row],[Site]],'Important Info!'!$A$1:$F$135,4,FALSE)</f>
        <v>77, 78, 79, 80</v>
      </c>
      <c r="O453" s="52" t="str">
        <f>VLOOKUP(Tabla3[[#This Row],[Site]],'Important Info!'!$A$1:$F$135,5,FALSE)</f>
        <v>2, 10, 18, 22, 31, 40</v>
      </c>
      <c r="P453" s="52">
        <f>VLOOKUP(Tabla3[[#This Row],[Site]],'Important Info!'!$A$1:$F$135,6,FALSE)</f>
        <v>9</v>
      </c>
      <c r="Q453" s="91">
        <f>VLOOKUP(Tabla3[[#This Row],[Site]],'Important Info!'!$A$1:$J$135,9,FALSE)</f>
        <v>169</v>
      </c>
    </row>
    <row r="454" spans="1:17" x14ac:dyDescent="0.25">
      <c r="A454" t="str">
        <f>+Tabla3[[#This Row],[Site]]&amp;Tabla3[[#This Row],[Split]]</f>
        <v>(AS) Stevinson Chevrolet Golden (NO TOURS)7</v>
      </c>
      <c r="B454">
        <v>7</v>
      </c>
      <c r="C454">
        <v>7</v>
      </c>
      <c r="D454" t="s">
        <v>488</v>
      </c>
      <c r="E454" t="s">
        <v>53</v>
      </c>
      <c r="F454" t="s">
        <v>190</v>
      </c>
      <c r="G454" t="s">
        <v>45</v>
      </c>
      <c r="H454" s="52" t="str">
        <f>VLOOKUP(Tabla3[[#This Row],[Site]],'Important Info!'!$A$1:$J$135,10,FALSE)</f>
        <v>https://tools.sig.systems/site/details/264</v>
      </c>
      <c r="I454" s="2" t="s">
        <v>154</v>
      </c>
      <c r="J454" t="s">
        <v>41</v>
      </c>
      <c r="K454" s="79" t="str">
        <f>VLOOKUP(Tabla3[[#This Row],[Site]],'Important Info!'!$A$1:$H$135,8,FALSE)</f>
        <v>-</v>
      </c>
      <c r="L454" s="52" t="str">
        <f>VLOOKUP(Tabla3[[#This Row],[Site]],'Important Info!'!$A$1:$F$135,2,FALSE)</f>
        <v>-</v>
      </c>
      <c r="M454" s="52" t="str">
        <f>VLOOKUP(Tabla3[[#This Row],[Site]],'Important Info!'!$A$1:$F$135,3,FALSE)</f>
        <v>1, 19</v>
      </c>
      <c r="N454" s="52" t="str">
        <f>VLOOKUP(Tabla3[[#This Row],[Site]],'Important Info!'!$A$1:$F$135,4,FALSE)</f>
        <v>-</v>
      </c>
      <c r="O454" s="52" t="str">
        <f>VLOOKUP(Tabla3[[#This Row],[Site]],'Important Info!'!$A$1:$F$135,5,FALSE)</f>
        <v>14, 30</v>
      </c>
      <c r="P454" s="52" t="str">
        <f>VLOOKUP(Tabla3[[#This Row],[Site]],'Important Info!'!$A$1:$F$135,6,FALSE)</f>
        <v>14, 33, 34, 35, 36</v>
      </c>
      <c r="Q454" s="91">
        <f>VLOOKUP(Tabla3[[#This Row],[Site]],'Important Info!'!$A$1:$J$135,9,FALSE)</f>
        <v>264</v>
      </c>
    </row>
    <row r="455" spans="1:17" x14ac:dyDescent="0.25">
      <c r="A455" t="str">
        <f>+Tabla3[[#This Row],[Site]]&amp;Tabla3[[#This Row],[Split]]</f>
        <v>(DT) Louisville7</v>
      </c>
      <c r="B455">
        <v>7</v>
      </c>
      <c r="C455">
        <v>7</v>
      </c>
      <c r="D455" t="s">
        <v>62</v>
      </c>
      <c r="E455" t="s">
        <v>35</v>
      </c>
      <c r="F455" t="s">
        <v>99</v>
      </c>
      <c r="G455" t="s">
        <v>490</v>
      </c>
      <c r="H455" s="52" t="str">
        <f>VLOOKUP(Tabla3[[#This Row],[Site]],'Important Info!'!$A$1:$J$135,10,FALSE)</f>
        <v>https://tools.sig.systems/site/details/258</v>
      </c>
      <c r="I455" s="2"/>
      <c r="J455" t="s">
        <v>41</v>
      </c>
      <c r="K455" s="79" t="str">
        <f>VLOOKUP(Tabla3[[#This Row],[Site]],'Important Info!'!$A$1:$H$135,8,FALSE)</f>
        <v>-</v>
      </c>
      <c r="L455" s="52" t="str">
        <f>VLOOKUP(Tabla3[[#This Row],[Site]],'Important Info!'!$A$1:$F$135,2,FALSE)</f>
        <v>-</v>
      </c>
      <c r="M455" s="52">
        <f>VLOOKUP(Tabla3[[#This Row],[Site]],'Important Info!'!$A$1:$F$135,3,FALSE)</f>
        <v>3</v>
      </c>
      <c r="N455" s="52" t="str">
        <f>VLOOKUP(Tabla3[[#This Row],[Site]],'Important Info!'!$A$1:$F$135,4,FALSE)</f>
        <v>-</v>
      </c>
      <c r="O455" s="52" t="str">
        <f>VLOOKUP(Tabla3[[#This Row],[Site]],'Important Info!'!$A$1:$F$135,5,FALSE)</f>
        <v>-</v>
      </c>
      <c r="P455" s="52" t="str">
        <f>VLOOKUP(Tabla3[[#This Row],[Site]],'Important Info!'!$A$1:$F$135,6,FALSE)</f>
        <v>3, 8</v>
      </c>
      <c r="Q455" s="91">
        <f>VLOOKUP(Tabla3[[#This Row],[Site]],'Important Info!'!$A$1:$J$135,9,FALSE)</f>
        <v>258</v>
      </c>
    </row>
    <row r="456" spans="1:17" x14ac:dyDescent="0.25">
      <c r="A456" t="str">
        <f>+Tabla3[[#This Row],[Site]]&amp;Tabla3[[#This Row],[Split]]</f>
        <v>(KG) Big Star CDJR of Clear Lake7</v>
      </c>
      <c r="B456">
        <v>7</v>
      </c>
      <c r="C456">
        <v>7</v>
      </c>
      <c r="D456" t="s">
        <v>33</v>
      </c>
      <c r="E456" t="s">
        <v>46</v>
      </c>
      <c r="F456" t="s">
        <v>133</v>
      </c>
      <c r="G456" t="s">
        <v>34</v>
      </c>
      <c r="H456" s="52" t="str">
        <f>VLOOKUP(Tabla3[[#This Row],[Site]],'Important Info!'!$A$1:$J$135,10,FALSE)</f>
        <v>https://tools.sig.systems/site/details/232</v>
      </c>
      <c r="I456" s="43" t="s">
        <v>134</v>
      </c>
      <c r="J456" t="s">
        <v>41</v>
      </c>
      <c r="K456" s="79" t="str">
        <f>VLOOKUP(Tabla3[[#This Row],[Site]],'Important Info!'!$A$1:$H$135,8,FALSE)</f>
        <v>-</v>
      </c>
      <c r="L456" s="52" t="str">
        <f>VLOOKUP(Tabla3[[#This Row],[Site]],'Important Info!'!$A$1:$F$135,2,FALSE)</f>
        <v>8, 25</v>
      </c>
      <c r="M456" s="52" t="str">
        <f>VLOOKUP(Tabla3[[#This Row],[Site]],'Important Info!'!$A$1:$F$135,3,FALSE)</f>
        <v>-</v>
      </c>
      <c r="N456" s="52" t="str">
        <f>VLOOKUP(Tabla3[[#This Row],[Site]],'Important Info!'!$A$1:$F$135,4,FALSE)</f>
        <v>-</v>
      </c>
      <c r="O456" s="52" t="str">
        <f>VLOOKUP(Tabla3[[#This Row],[Site]],'Important Info!'!$A$1:$F$135,5,FALSE)</f>
        <v>7, 13, 19, 24</v>
      </c>
      <c r="P456" s="52" t="str">
        <f>VLOOKUP(Tabla3[[#This Row],[Site]],'Important Info!'!$A$1:$F$135,6,FALSE)</f>
        <v>6, 8, 25, 31</v>
      </c>
      <c r="Q456" s="91">
        <f>VLOOKUP(Tabla3[[#This Row],[Site]],'Important Info!'!$A$1:$J$135,9,FALSE)</f>
        <v>232</v>
      </c>
    </row>
    <row r="457" spans="1:17" x14ac:dyDescent="0.25">
      <c r="A457" t="str">
        <f>+Tabla3[[#This Row],[Site]]&amp;Tabla3[[#This Row],[Split]]</f>
        <v>(KG) Big Star Ford7</v>
      </c>
      <c r="B457">
        <v>7</v>
      </c>
      <c r="C457">
        <v>7</v>
      </c>
      <c r="D457" t="s">
        <v>33</v>
      </c>
      <c r="E457" t="s">
        <v>46</v>
      </c>
      <c r="F457" t="s">
        <v>135</v>
      </c>
      <c r="G457" t="s">
        <v>34</v>
      </c>
      <c r="H457" s="52" t="str">
        <f>VLOOKUP(Tabla3[[#This Row],[Site]],'Important Info!'!$A$1:$J$135,10,FALSE)</f>
        <v>https://tools.sig.systems/site/details/235</v>
      </c>
      <c r="J457" t="s">
        <v>41</v>
      </c>
      <c r="K457" s="79" t="str">
        <f>VLOOKUP(Tabla3[[#This Row],[Site]],'Important Info!'!$A$1:$H$135,8,FALSE)</f>
        <v>-</v>
      </c>
      <c r="L457" s="52" t="str">
        <f>VLOOKUP(Tabla3[[#This Row],[Site]],'Important Info!'!$A$1:$F$135,2,FALSE)</f>
        <v>4, 22, 32, 33</v>
      </c>
      <c r="M457" s="52" t="str">
        <f>VLOOKUP(Tabla3[[#This Row],[Site]],'Important Info!'!$A$1:$F$135,3,FALSE)</f>
        <v>-</v>
      </c>
      <c r="N457" s="52" t="str">
        <f>VLOOKUP(Tabla3[[#This Row],[Site]],'Important Info!'!$A$1:$F$135,4,FALSE)</f>
        <v>-</v>
      </c>
      <c r="O457" s="52" t="str">
        <f>VLOOKUP(Tabla3[[#This Row],[Site]],'Important Info!'!$A$1:$F$135,5,FALSE)</f>
        <v>1, 5, 12, 21</v>
      </c>
      <c r="P457" s="52">
        <f>VLOOKUP(Tabla3[[#This Row],[Site]],'Important Info!'!$A$1:$F$135,6,FALSE)</f>
        <v>22</v>
      </c>
      <c r="Q457" s="91">
        <f>VLOOKUP(Tabla3[[#This Row],[Site]],'Important Info!'!$A$1:$J$135,9,FALSE)</f>
        <v>235</v>
      </c>
    </row>
    <row r="458" spans="1:17" x14ac:dyDescent="0.25">
      <c r="A458" t="str">
        <f>+Tabla3[[#This Row],[Site]]&amp;Tabla3[[#This Row],[Split]]</f>
        <v>(KG) Hyundai Surprise7</v>
      </c>
      <c r="B458">
        <v>7</v>
      </c>
      <c r="C458">
        <v>7</v>
      </c>
      <c r="D458" t="s">
        <v>51</v>
      </c>
      <c r="E458" t="s">
        <v>161</v>
      </c>
      <c r="F458" t="s">
        <v>118</v>
      </c>
      <c r="G458" t="s">
        <v>52</v>
      </c>
      <c r="H458" s="52" t="str">
        <f>VLOOKUP(Tabla3[[#This Row],[Site]],'Important Info!'!$A$1:$J$135,10,FALSE)</f>
        <v>https://tools.sig.systems/site/details/269</v>
      </c>
      <c r="I458" s="2"/>
      <c r="J458" t="s">
        <v>162</v>
      </c>
      <c r="K458" s="79" t="str">
        <f>VLOOKUP(Tabla3[[#This Row],[Site]],'Important Info!'!$A$1:$H$135,8,FALSE)</f>
        <v>-</v>
      </c>
      <c r="L458" s="52" t="str">
        <f>VLOOKUP(Tabla3[[#This Row],[Site]],'Important Info!'!$A$1:$F$135,2,FALSE)</f>
        <v>1, 6, 7</v>
      </c>
      <c r="M458" s="52" t="str">
        <f>VLOOKUP(Tabla3[[#This Row],[Site]],'Important Info!'!$A$1:$F$135,3,FALSE)</f>
        <v>-</v>
      </c>
      <c r="N458" s="52" t="str">
        <f>VLOOKUP(Tabla3[[#This Row],[Site]],'Important Info!'!$A$1:$F$135,4,FALSE)</f>
        <v>-</v>
      </c>
      <c r="O458" s="52" t="str">
        <f>VLOOKUP(Tabla3[[#This Row],[Site]],'Important Info!'!$A$1:$F$135,5,FALSE)</f>
        <v>6, 13</v>
      </c>
      <c r="P458" s="52" t="str">
        <f>VLOOKUP(Tabla3[[#This Row],[Site]],'Important Info!'!$A$1:$F$135,6,FALSE)</f>
        <v>-</v>
      </c>
      <c r="Q458" s="91">
        <f>VLOOKUP(Tabla3[[#This Row],[Site]],'Important Info!'!$A$1:$J$135,9,FALSE)</f>
        <v>269</v>
      </c>
    </row>
    <row r="459" spans="1:17" x14ac:dyDescent="0.25">
      <c r="A459" t="str">
        <f>+Tabla3[[#This Row],[Site]]&amp;Tabla3[[#This Row],[Split]]</f>
        <v>(KG) JLR LEHI (NO TOURS)7</v>
      </c>
      <c r="B459">
        <v>7</v>
      </c>
      <c r="C459">
        <v>7</v>
      </c>
      <c r="D459" t="s">
        <v>44</v>
      </c>
      <c r="E459" t="s">
        <v>53</v>
      </c>
      <c r="F459" t="s">
        <v>8</v>
      </c>
      <c r="G459" t="s">
        <v>45</v>
      </c>
      <c r="H459" s="52" t="str">
        <f>VLOOKUP(Tabla3[[#This Row],[Site]],'Important Info!'!$A$1:$J$135,10,FALSE)</f>
        <v>https://tools.sig.systems/site/details/145</v>
      </c>
      <c r="J459" t="s">
        <v>41</v>
      </c>
      <c r="K459" s="79" t="str">
        <f>VLOOKUP(Tabla3[[#This Row],[Site]],'Important Info!'!$A$1:$H$135,8,FALSE)</f>
        <v>-</v>
      </c>
      <c r="L459" s="52" t="str">
        <f>VLOOKUP(Tabla3[[#This Row],[Site]],'Important Info!'!$A$1:$F$135,2,FALSE)</f>
        <v>1, 11</v>
      </c>
      <c r="M459" s="52" t="str">
        <f>VLOOKUP(Tabla3[[#This Row],[Site]],'Important Info!'!$A$1:$F$135,3,FALSE)</f>
        <v>-</v>
      </c>
      <c r="N459" s="52" t="str">
        <f>VLOOKUP(Tabla3[[#This Row],[Site]],'Important Info!'!$A$1:$F$135,4,FALSE)</f>
        <v>-</v>
      </c>
      <c r="O459" s="52" t="str">
        <f>VLOOKUP(Tabla3[[#This Row],[Site]],'Important Info!'!$A$1:$F$135,5,FALSE)</f>
        <v>1, 7, 11</v>
      </c>
      <c r="P459" s="52" t="str">
        <f>VLOOKUP(Tabla3[[#This Row],[Site]],'Important Info!'!$A$1:$F$135,6,FALSE)</f>
        <v>-</v>
      </c>
      <c r="Q459" s="91">
        <f>VLOOKUP(Tabla3[[#This Row],[Site]],'Important Info!'!$A$1:$J$135,9,FALSE)</f>
        <v>145</v>
      </c>
    </row>
    <row r="460" spans="1:17" x14ac:dyDescent="0.25">
      <c r="A460" t="str">
        <f>+Tabla3[[#This Row],[Site]]&amp;Tabla3[[#This Row],[Split]]</f>
        <v>(ML) Joe Machens Capital City I &amp; II (NO TOURS)7</v>
      </c>
      <c r="B460">
        <v>7</v>
      </c>
      <c r="C460">
        <v>7</v>
      </c>
      <c r="D460" t="s">
        <v>33</v>
      </c>
      <c r="E460" t="s">
        <v>46</v>
      </c>
      <c r="F460" t="s">
        <v>72</v>
      </c>
      <c r="G460" t="s">
        <v>34</v>
      </c>
      <c r="H460" s="52" t="str">
        <f>VLOOKUP(Tabla3[[#This Row],[Site]],'Important Info!'!$A$1:$J$135,10,FALSE)</f>
        <v>https://tools.sig.systems/site/details/271</v>
      </c>
      <c r="J460" t="s">
        <v>41</v>
      </c>
      <c r="K460" s="79" t="str">
        <f>VLOOKUP(Tabla3[[#This Row],[Site]],'Important Info!'!$A$1:$H$135,8,FALSE)</f>
        <v>-</v>
      </c>
      <c r="L460" s="52" t="str">
        <f>VLOOKUP(Tabla3[[#This Row],[Site]],'Important Info!'!$A$1:$F$135,2,FALSE)</f>
        <v>-</v>
      </c>
      <c r="M460" s="52" t="str">
        <f>VLOOKUP(Tabla3[[#This Row],[Site]],'Important Info!'!$A$1:$F$135,3,FALSE)</f>
        <v>1, 3, 4, 20, 25, 27, 28</v>
      </c>
      <c r="N460" s="52" t="str">
        <f>VLOOKUP(Tabla3[[#This Row],[Site]],'Important Info!'!$A$1:$F$135,4,FALSE)</f>
        <v>-</v>
      </c>
      <c r="O460" s="52">
        <f>VLOOKUP(Tabla3[[#This Row],[Site]],'Important Info!'!$A$1:$F$135,5,FALSE)</f>
        <v>29</v>
      </c>
      <c r="P460" s="52" t="str">
        <f>VLOOKUP(Tabla3[[#This Row],[Site]],'Important Info!'!$A$1:$F$135,6,FALSE)</f>
        <v>19, 20</v>
      </c>
      <c r="Q460" s="91">
        <f>VLOOKUP(Tabla3[[#This Row],[Site]],'Important Info!'!$A$1:$J$135,9,FALSE)</f>
        <v>271</v>
      </c>
    </row>
    <row r="461" spans="1:17" x14ac:dyDescent="0.25">
      <c r="A461" t="str">
        <f>+Tabla3[[#This Row],[Site]]&amp;Tabla3[[#This Row],[Split]]</f>
        <v>(ML) Joe Machens CDJR7</v>
      </c>
      <c r="B461">
        <v>7</v>
      </c>
      <c r="C461">
        <v>7</v>
      </c>
      <c r="D461" t="s">
        <v>33</v>
      </c>
      <c r="E461" t="s">
        <v>46</v>
      </c>
      <c r="F461" t="s">
        <v>88</v>
      </c>
      <c r="G461" t="s">
        <v>34</v>
      </c>
      <c r="H461" s="52" t="str">
        <f>VLOOKUP(Tabla3[[#This Row],[Site]],'Important Info!'!$A$1:$J$135,10,FALSE)</f>
        <v>https://tools.sig.systems/site/details/273</v>
      </c>
      <c r="I461" s="43" t="s">
        <v>146</v>
      </c>
      <c r="J461" t="s">
        <v>41</v>
      </c>
      <c r="K461" s="79" t="str">
        <f>VLOOKUP(Tabla3[[#This Row],[Site]],'Important Info!'!$A$1:$H$135,8,FALSE)</f>
        <v>-</v>
      </c>
      <c r="L461" s="52" t="str">
        <f>VLOOKUP(Tabla3[[#This Row],[Site]],'Important Info!'!$A$1:$F$135,2,FALSE)</f>
        <v>-</v>
      </c>
      <c r="M461" s="52">
        <f>VLOOKUP(Tabla3[[#This Row],[Site]],'Important Info!'!$A$1:$F$135,3,FALSE)</f>
        <v>3</v>
      </c>
      <c r="N461" s="52" t="str">
        <f>VLOOKUP(Tabla3[[#This Row],[Site]],'Important Info!'!$A$1:$F$135,4,FALSE)</f>
        <v>-</v>
      </c>
      <c r="O461" s="52" t="str">
        <f>VLOOKUP(Tabla3[[#This Row],[Site]],'Important Info!'!$A$1:$F$135,5,FALSE)</f>
        <v>-</v>
      </c>
      <c r="P461" s="52" t="str">
        <f>VLOOKUP(Tabla3[[#This Row],[Site]],'Important Info!'!$A$1:$F$135,6,FALSE)</f>
        <v>1, 2, 3,</v>
      </c>
      <c r="Q461" s="91">
        <f>VLOOKUP(Tabla3[[#This Row],[Site]],'Important Info!'!$A$1:$J$135,9,FALSE)</f>
        <v>273</v>
      </c>
    </row>
    <row r="462" spans="1:17" x14ac:dyDescent="0.25">
      <c r="A462" t="str">
        <f>+Tabla3[[#This Row],[Site]]&amp;Tabla3[[#This Row],[Split]]</f>
        <v>(ML) Nissan of Little Rock7</v>
      </c>
      <c r="B462">
        <v>7</v>
      </c>
      <c r="C462">
        <v>7</v>
      </c>
      <c r="D462" t="s">
        <v>33</v>
      </c>
      <c r="E462" t="s">
        <v>46</v>
      </c>
      <c r="F462" t="s">
        <v>152</v>
      </c>
      <c r="G462" t="s">
        <v>34</v>
      </c>
      <c r="H462" s="52" t="str">
        <f>VLOOKUP(Tabla3[[#This Row],[Site]],'Important Info!'!$A$1:$J$135,10,FALSE)</f>
        <v>https://tools.sig.systems/site/details/224</v>
      </c>
      <c r="I462" s="2" t="s">
        <v>140</v>
      </c>
      <c r="J462" t="s">
        <v>41</v>
      </c>
      <c r="K462" s="79" t="str">
        <f>VLOOKUP(Tabla3[[#This Row],[Site]],'Important Info!'!$A$1:$H$135,8,FALSE)</f>
        <v>-</v>
      </c>
      <c r="L462" s="52" t="str">
        <f>VLOOKUP(Tabla3[[#This Row],[Site]],'Important Info!'!$A$1:$F$135,2,FALSE)</f>
        <v>3, 6</v>
      </c>
      <c r="M462" s="52" t="str">
        <f>VLOOKUP(Tabla3[[#This Row],[Site]],'Important Info!'!$A$1:$F$135,3,FALSE)</f>
        <v>-</v>
      </c>
      <c r="N462" s="52" t="str">
        <f>VLOOKUP(Tabla3[[#This Row],[Site]],'Important Info!'!$A$1:$F$135,4,FALSE)</f>
        <v>-</v>
      </c>
      <c r="O462" s="52" t="str">
        <f>VLOOKUP(Tabla3[[#This Row],[Site]],'Important Info!'!$A$1:$F$135,5,FALSE)</f>
        <v>1, 8, 16, 22</v>
      </c>
      <c r="P462" s="52" t="str">
        <f>VLOOKUP(Tabla3[[#This Row],[Site]],'Important Info!'!$A$1:$F$135,6,FALSE)</f>
        <v>3, 4</v>
      </c>
      <c r="Q462" s="91">
        <f>VLOOKUP(Tabla3[[#This Row],[Site]],'Important Info!'!$A$1:$J$135,9,FALSE)</f>
        <v>224</v>
      </c>
    </row>
    <row r="463" spans="1:17" x14ac:dyDescent="0.25">
      <c r="A463" t="str">
        <f>+Tabla3[[#This Row],[Site]]&amp;Tabla3[[#This Row],[Split]]</f>
        <v>(ML) Nissan of North Little Rock7</v>
      </c>
      <c r="B463">
        <v>7</v>
      </c>
      <c r="C463">
        <v>7</v>
      </c>
      <c r="D463" t="s">
        <v>33</v>
      </c>
      <c r="E463" t="s">
        <v>46</v>
      </c>
      <c r="F463" t="s">
        <v>75</v>
      </c>
      <c r="G463" t="s">
        <v>34</v>
      </c>
      <c r="H463" s="52" t="str">
        <f>VLOOKUP(Tabla3[[#This Row],[Site]],'Important Info!'!$A$1:$J$135,10,FALSE)</f>
        <v>https://tools.sig.systems/site/details/216</v>
      </c>
      <c r="I463" s="43" t="s">
        <v>142</v>
      </c>
      <c r="J463" t="s">
        <v>41</v>
      </c>
      <c r="K463" s="79" t="str">
        <f>VLOOKUP(Tabla3[[#This Row],[Site]],'Important Info!'!$A$1:$H$135,8,FALSE)</f>
        <v>-</v>
      </c>
      <c r="L463" s="52" t="str">
        <f>VLOOKUP(Tabla3[[#This Row],[Site]],'Important Info!'!$A$1:$F$135,2,FALSE)</f>
        <v>2, 4</v>
      </c>
      <c r="M463" s="52" t="str">
        <f>VLOOKUP(Tabla3[[#This Row],[Site]],'Important Info!'!$A$1:$F$135,3,FALSE)</f>
        <v>-</v>
      </c>
      <c r="N463" s="52" t="str">
        <f>VLOOKUP(Tabla3[[#This Row],[Site]],'Important Info!'!$A$1:$F$135,4,FALSE)</f>
        <v>-</v>
      </c>
      <c r="O463" s="52" t="str">
        <f>VLOOKUP(Tabla3[[#This Row],[Site]],'Important Info!'!$A$1:$F$135,5,FALSE)</f>
        <v>5, 17, 23</v>
      </c>
      <c r="P463" s="52">
        <f>VLOOKUP(Tabla3[[#This Row],[Site]],'Important Info!'!$A$1:$F$135,6,FALSE)</f>
        <v>18</v>
      </c>
      <c r="Q463" s="91">
        <f>VLOOKUP(Tabla3[[#This Row],[Site]],'Important Info!'!$A$1:$J$135,9,FALSE)</f>
        <v>216</v>
      </c>
    </row>
    <row r="464" spans="1:17" x14ac:dyDescent="0.25">
      <c r="A464" t="str">
        <f>+Tabla3[[#This Row],[Site]]&amp;Tabla3[[#This Row],[Split]]</f>
        <v>(PE) BMW Tenafly (NO TOURS)7</v>
      </c>
      <c r="B464">
        <v>7</v>
      </c>
      <c r="C464">
        <v>7</v>
      </c>
      <c r="D464" t="s">
        <v>485</v>
      </c>
      <c r="E464" t="s">
        <v>35</v>
      </c>
      <c r="F464" t="s">
        <v>173</v>
      </c>
      <c r="G464" t="s">
        <v>490</v>
      </c>
      <c r="H464" s="52" t="str">
        <f>VLOOKUP(Tabla3[[#This Row],[Site]],'Important Info!'!$A$1:$J$135,10,FALSE)</f>
        <v>https://tools.sig.systems/site/details/155</v>
      </c>
      <c r="J464" t="s">
        <v>41</v>
      </c>
      <c r="K464" s="79" t="str">
        <f>VLOOKUP(Tabla3[[#This Row],[Site]],'Important Info!'!$A$1:$H$135,8,FALSE)</f>
        <v>-</v>
      </c>
      <c r="L464" s="52">
        <f>VLOOKUP(Tabla3[[#This Row],[Site]],'Important Info!'!$A$1:$F$135,2,FALSE)</f>
        <v>24</v>
      </c>
      <c r="M464" s="52" t="str">
        <f>VLOOKUP(Tabla3[[#This Row],[Site]],'Important Info!'!$A$1:$F$135,3,FALSE)</f>
        <v>1, 3, 4, 17, 23</v>
      </c>
      <c r="N464" s="52" t="str">
        <f>VLOOKUP(Tabla3[[#This Row],[Site]],'Important Info!'!$A$1:$F$135,4,FALSE)</f>
        <v>-</v>
      </c>
      <c r="O464" s="52" t="str">
        <f>VLOOKUP(Tabla3[[#This Row],[Site]],'Important Info!'!$A$1:$F$135,5,FALSE)</f>
        <v>-</v>
      </c>
      <c r="P464" s="52">
        <f>VLOOKUP(Tabla3[[#This Row],[Site]],'Important Info!'!$A$1:$F$135,6,FALSE)</f>
        <v>1</v>
      </c>
      <c r="Q464" s="91">
        <f>VLOOKUP(Tabla3[[#This Row],[Site]],'Important Info!'!$A$1:$J$135,9,FALSE)</f>
        <v>155</v>
      </c>
    </row>
    <row r="465" spans="1:17" x14ac:dyDescent="0.25">
      <c r="A465" t="str">
        <f>+Tabla3[[#This Row],[Site]]&amp;Tabla3[[#This Row],[Split]]</f>
        <v>(SCH) Delray I &amp; II7</v>
      </c>
      <c r="B465">
        <v>7</v>
      </c>
      <c r="C465">
        <v>7</v>
      </c>
      <c r="D465" t="s">
        <v>62</v>
      </c>
      <c r="E465" t="s">
        <v>35</v>
      </c>
      <c r="F465" t="s">
        <v>67</v>
      </c>
      <c r="G465" t="s">
        <v>490</v>
      </c>
      <c r="H465" s="52" t="str">
        <f>VLOOKUP(Tabla3[[#This Row],[Site]],'Important Info!'!$A$1:$J$135,10,FALSE)</f>
        <v>https://tools.sig.systems/site/details/159</v>
      </c>
      <c r="I465" s="2"/>
      <c r="J465" t="s">
        <v>36</v>
      </c>
      <c r="K465" s="79" t="str">
        <f>VLOOKUP(Tabla3[[#This Row],[Site]],'Important Info!'!$A$1:$H$135,8,FALSE)</f>
        <v>-</v>
      </c>
      <c r="L465" s="52" t="str">
        <f>VLOOKUP(Tabla3[[#This Row],[Site]],'Important Info!'!$A$1:$F$135,2,FALSE)</f>
        <v>5, 28, 31</v>
      </c>
      <c r="M465" s="52" t="str">
        <f>VLOOKUP(Tabla3[[#This Row],[Site]],'Important Info!'!$A$1:$F$135,3,FALSE)</f>
        <v>1, 29</v>
      </c>
      <c r="N465" s="52">
        <f>VLOOKUP(Tabla3[[#This Row],[Site]],'Important Info!'!$A$1:$F$135,4,FALSE)</f>
        <v>6</v>
      </c>
      <c r="O465" s="52" t="str">
        <f>VLOOKUP(Tabla3[[#This Row],[Site]],'Important Info!'!$A$1:$F$135,5,FALSE)</f>
        <v>-</v>
      </c>
      <c r="P465" s="52" t="str">
        <f>VLOOKUP(Tabla3[[#This Row],[Site]],'Important Info!'!$A$1:$F$135,6,FALSE)</f>
        <v>1, 35, 36</v>
      </c>
      <c r="Q465" s="91">
        <f>VLOOKUP(Tabla3[[#This Row],[Site]],'Important Info!'!$A$1:$J$135,9,FALSE)</f>
        <v>159</v>
      </c>
    </row>
    <row r="466" spans="1:17" x14ac:dyDescent="0.25">
      <c r="A466" t="str">
        <f>+Tabla3[[#This Row],[Site]]&amp;Tabla3[[#This Row],[Split]]</f>
        <v>(AS) Nalley BMW Collision Center (NO TOURS)8</v>
      </c>
      <c r="B466">
        <v>8</v>
      </c>
      <c r="C466">
        <v>1</v>
      </c>
      <c r="D466" t="s">
        <v>62</v>
      </c>
      <c r="E466" t="s">
        <v>35</v>
      </c>
      <c r="F466" t="s">
        <v>510</v>
      </c>
      <c r="G466" t="s">
        <v>490</v>
      </c>
      <c r="H466" s="52" t="str">
        <f>VLOOKUP(Tabla3[[#This Row],[Site]],'Important Info!'!$A$1:$J$135,10,FALSE)</f>
        <v>https://tools.sig.systems/site/details/220</v>
      </c>
      <c r="I466" s="2"/>
      <c r="J466" t="s">
        <v>41</v>
      </c>
      <c r="K466" s="79" t="str">
        <f>VLOOKUP(Tabla3[[#This Row],[Site]],'Important Info!'!$A$1:$H$135,8,FALSE)</f>
        <v>-</v>
      </c>
      <c r="L466" s="52" t="str">
        <f>VLOOKUP(Tabla3[[#This Row],[Site]],'Important Info!'!$A$1:$F$135,2,FALSE)</f>
        <v>-</v>
      </c>
      <c r="M466" s="52">
        <f>VLOOKUP(Tabla3[[#This Row],[Site]],'Important Info!'!$A$1:$F$135,3,FALSE)</f>
        <v>4</v>
      </c>
      <c r="N466" s="52" t="str">
        <f>VLOOKUP(Tabla3[[#This Row],[Site]],'Important Info!'!$A$1:$F$135,4,FALSE)</f>
        <v>-</v>
      </c>
      <c r="O466" s="52">
        <f>VLOOKUP(Tabla3[[#This Row],[Site]],'Important Info!'!$A$1:$F$135,5,FALSE)</f>
        <v>12</v>
      </c>
      <c r="P466" s="52" t="str">
        <f>VLOOKUP(Tabla3[[#This Row],[Site]],'Important Info!'!$A$1:$F$135,6,FALSE)</f>
        <v>13, 15</v>
      </c>
      <c r="Q466" s="91">
        <f>VLOOKUP(Tabla3[[#This Row],[Site]],'Important Info!'!$A$1:$J$135,9,FALSE)</f>
        <v>220</v>
      </c>
    </row>
    <row r="467" spans="1:17" x14ac:dyDescent="0.25">
      <c r="A467" t="str">
        <f>+Tabla3[[#This Row],[Site]]&amp;Tabla3[[#This Row],[Split]]</f>
        <v>(AS) Nalley Lexus &amp; Remote Lot Roswell (NO TOURS)8</v>
      </c>
      <c r="B467">
        <v>8</v>
      </c>
      <c r="C467">
        <v>1</v>
      </c>
      <c r="D467" t="s">
        <v>60</v>
      </c>
      <c r="E467" t="s">
        <v>35</v>
      </c>
      <c r="F467" t="s">
        <v>511</v>
      </c>
      <c r="G467" t="s">
        <v>41</v>
      </c>
      <c r="H467" s="52" t="str">
        <f>VLOOKUP(Tabla3[[#This Row],[Site]],'Important Info!'!$A$1:$J$135,10,FALSE)</f>
        <v>https://tools.sig.systems/site/details/131</v>
      </c>
      <c r="I467" s="2" t="s">
        <v>166</v>
      </c>
      <c r="J467" t="s">
        <v>41</v>
      </c>
      <c r="K467" s="79" t="str">
        <f>VLOOKUP(Tabla3[[#This Row],[Site]],'Important Info!'!$A$1:$H$135,8,FALSE)</f>
        <v>Dealership 11PM to 5AM (Mon to Fri). Sunday Drop Time 1PM</v>
      </c>
      <c r="L467" s="52" t="str">
        <f>VLOOKUP(Tabla3[[#This Row],[Site]],'Important Info!'!$A$1:$F$135,2,FALSE)</f>
        <v>6, 13</v>
      </c>
      <c r="M467" s="52">
        <f>VLOOKUP(Tabla3[[#This Row],[Site]],'Important Info!'!$A$1:$F$135,3,FALSE)</f>
        <v>4</v>
      </c>
      <c r="N467" s="52">
        <f>VLOOKUP(Tabla3[[#This Row],[Site]],'Important Info!'!$A$1:$F$135,4,FALSE)</f>
        <v>1</v>
      </c>
      <c r="O467" s="52" t="str">
        <f>VLOOKUP(Tabla3[[#This Row],[Site]],'Important Info!'!$A$1:$F$135,5,FALSE)</f>
        <v>1, 8, 19</v>
      </c>
      <c r="P467" s="52" t="str">
        <f>VLOOKUP(Tabla3[[#This Row],[Site]],'Important Info!'!$A$1:$F$135,6,FALSE)</f>
        <v>4, 20</v>
      </c>
      <c r="Q467" s="91">
        <f>VLOOKUP(Tabla3[[#This Row],[Site]],'Important Info!'!$A$1:$J$135,9,FALSE)</f>
        <v>131</v>
      </c>
    </row>
    <row r="468" spans="1:17" x14ac:dyDescent="0.25">
      <c r="A468" t="str">
        <f>+Tabla3[[#This Row],[Site]]&amp;Tabla3[[#This Row],[Split]]</f>
        <v>(AS) Park Place Mercedes Benz Arlington (NO TOURS)8</v>
      </c>
      <c r="B468">
        <v>8</v>
      </c>
      <c r="C468">
        <v>1</v>
      </c>
      <c r="D468" t="s">
        <v>33</v>
      </c>
      <c r="E468" t="s">
        <v>46</v>
      </c>
      <c r="F468" t="s">
        <v>518</v>
      </c>
      <c r="G468" t="s">
        <v>34</v>
      </c>
      <c r="H468" s="52" t="str">
        <f>VLOOKUP(Tabla3[[#This Row],[Site]],'Important Info!'!$A$1:$J$135,10,FALSE)</f>
        <v>https://tools.sig.systems/site/details/169</v>
      </c>
      <c r="I468" s="2"/>
      <c r="J468" t="s">
        <v>41</v>
      </c>
      <c r="K468" s="79" t="str">
        <f>VLOOKUP(Tabla3[[#This Row],[Site]],'Important Info!'!$A$1:$H$135,8,FALSE)</f>
        <v>-</v>
      </c>
      <c r="L468" s="52" t="str">
        <f>VLOOKUP(Tabla3[[#This Row],[Site]],'Important Info!'!$A$1:$F$135,2,FALSE)</f>
        <v>1, 9, 14</v>
      </c>
      <c r="M468" s="52" t="str">
        <f>VLOOKUP(Tabla3[[#This Row],[Site]],'Important Info!'!$A$1:$F$135,3,FALSE)</f>
        <v>-</v>
      </c>
      <c r="N468" s="52" t="str">
        <f>VLOOKUP(Tabla3[[#This Row],[Site]],'Important Info!'!$A$1:$F$135,4,FALSE)</f>
        <v>77, 78, 79, 80</v>
      </c>
      <c r="O468" s="52" t="str">
        <f>VLOOKUP(Tabla3[[#This Row],[Site]],'Important Info!'!$A$1:$F$135,5,FALSE)</f>
        <v>2, 10, 18, 22, 31, 40</v>
      </c>
      <c r="P468" s="52">
        <f>VLOOKUP(Tabla3[[#This Row],[Site]],'Important Info!'!$A$1:$F$135,6,FALSE)</f>
        <v>9</v>
      </c>
      <c r="Q468" s="91">
        <f>VLOOKUP(Tabla3[[#This Row],[Site]],'Important Info!'!$A$1:$J$135,9,FALSE)</f>
        <v>169</v>
      </c>
    </row>
    <row r="469" spans="1:17" x14ac:dyDescent="0.25">
      <c r="A469" t="str">
        <f>+Tabla3[[#This Row],[Site]]&amp;Tabla3[[#This Row],[Split]]</f>
        <v>(AS) Park Place Mercedes Benz Ft. Worth (NO TOURS)8</v>
      </c>
      <c r="B469">
        <v>8</v>
      </c>
      <c r="C469">
        <v>1</v>
      </c>
      <c r="D469" t="s">
        <v>33</v>
      </c>
      <c r="E469" t="s">
        <v>46</v>
      </c>
      <c r="F469" t="s">
        <v>519</v>
      </c>
      <c r="G469" t="s">
        <v>34</v>
      </c>
      <c r="H469" s="52" t="str">
        <f>VLOOKUP(Tabla3[[#This Row],[Site]],'Important Info!'!$A$1:$J$135,10,FALSE)</f>
        <v>https://tools.sig.systems/site/details/137</v>
      </c>
      <c r="I469" t="s">
        <v>128</v>
      </c>
      <c r="J469" t="s">
        <v>41</v>
      </c>
      <c r="K469" s="79" t="s">
        <v>37</v>
      </c>
      <c r="L469" s="52" t="str">
        <f>VLOOKUP(Tabla3[[#This Row],[Site]],'Important Info!'!$A$1:$F$135,2,FALSE)</f>
        <v>4, 18</v>
      </c>
      <c r="M469" s="52" t="str">
        <f>VLOOKUP(Tabla3[[#This Row],[Site]],'Important Info!'!$A$1:$F$135,3,FALSE)</f>
        <v>-</v>
      </c>
      <c r="N469" s="52" t="str">
        <f>VLOOKUP(Tabla3[[#This Row],[Site]],'Important Info!'!$A$1:$F$135,4,FALSE)</f>
        <v>54, 55</v>
      </c>
      <c r="O469" s="52" t="str">
        <f>VLOOKUP(Tabla3[[#This Row],[Site]],'Important Info!'!$A$1:$F$135,5,FALSE)</f>
        <v>2, 18</v>
      </c>
      <c r="P469" s="52" t="str">
        <f>VLOOKUP(Tabla3[[#This Row],[Site]],'Important Info!'!$A$1:$F$135,6,FALSE)</f>
        <v>5, 18</v>
      </c>
      <c r="Q469" s="91">
        <f>VLOOKUP(Tabla3[[#This Row],[Site]],'Important Info!'!$A$1:$J$135,9,FALSE)</f>
        <v>137</v>
      </c>
    </row>
    <row r="470" spans="1:17" x14ac:dyDescent="0.25">
      <c r="A470" t="str">
        <f>+Tabla3[[#This Row],[Site]]&amp;Tabla3[[#This Row],[Split]]</f>
        <v>(AS) Stevinson Lexus of Lakewood (NO TOURS)8</v>
      </c>
      <c r="B470">
        <v>8</v>
      </c>
      <c r="C470">
        <v>1</v>
      </c>
      <c r="D470" t="s">
        <v>44</v>
      </c>
      <c r="E470" t="s">
        <v>53</v>
      </c>
      <c r="F470" t="s">
        <v>523</v>
      </c>
      <c r="G470" t="s">
        <v>45</v>
      </c>
      <c r="H470" s="52" t="str">
        <f>VLOOKUP(Tabla3[[#This Row],[Site]],'Important Info!'!$A$1:$J$135,10,FALSE)</f>
        <v>https://tools.sig.systems/site/details/260</v>
      </c>
      <c r="I470" s="2" t="s">
        <v>154</v>
      </c>
      <c r="J470" t="s">
        <v>41</v>
      </c>
      <c r="K470" s="79" t="str">
        <f>VLOOKUP(Tabla3[[#This Row],[Site]],'Important Info!'!$A$1:$H$135,8,FALSE)</f>
        <v>-</v>
      </c>
      <c r="L470" s="52" t="str">
        <f>VLOOKUP(Tabla3[[#This Row],[Site]],'Important Info!'!$A$1:$F$135,2,FALSE)</f>
        <v>-</v>
      </c>
      <c r="M470" s="52" t="str">
        <f>VLOOKUP(Tabla3[[#This Row],[Site]],'Important Info!'!$A$1:$F$135,3,FALSE)</f>
        <v>2, 10</v>
      </c>
      <c r="N470" s="52" t="str">
        <f>VLOOKUP(Tabla3[[#This Row],[Site]],'Important Info!'!$A$1:$F$135,4,FALSE)</f>
        <v>9, 17</v>
      </c>
      <c r="O470" s="52" t="str">
        <f>VLOOKUP(Tabla3[[#This Row],[Site]],'Important Info!'!$A$1:$F$135,5,FALSE)</f>
        <v>-</v>
      </c>
      <c r="P470" s="52" t="str">
        <f>VLOOKUP(Tabla3[[#This Row],[Site]],'Important Info!'!$A$1:$F$135,6,FALSE)</f>
        <v>1, 2</v>
      </c>
      <c r="Q470" s="91">
        <f>VLOOKUP(Tabla3[[#This Row],[Site]],'Important Info!'!$A$1:$J$135,9,FALSE)</f>
        <v>260</v>
      </c>
    </row>
    <row r="471" spans="1:17" x14ac:dyDescent="0.25">
      <c r="A471" t="str">
        <f>+Tabla3[[#This Row],[Site]]&amp;Tabla3[[#This Row],[Split]]</f>
        <v>(AS) Stevinson Porsche of Littleton (NO TOURS)8</v>
      </c>
      <c r="B471">
        <v>8</v>
      </c>
      <c r="C471">
        <v>1</v>
      </c>
      <c r="D471" t="s">
        <v>44</v>
      </c>
      <c r="E471" t="s">
        <v>53</v>
      </c>
      <c r="F471" t="s">
        <v>78</v>
      </c>
      <c r="G471" t="s">
        <v>45</v>
      </c>
      <c r="H471" s="52" t="str">
        <f>VLOOKUP(Tabla3[[#This Row],[Site]],'Important Info!'!$A$1:$J$135,10,FALSE)</f>
        <v>https://tools.sig.systems/site/details/242</v>
      </c>
      <c r="J471" t="s">
        <v>41</v>
      </c>
      <c r="K471" s="79" t="str">
        <f>VLOOKUP(Tabla3[[#This Row],[Site]],'Important Info!'!$A$1:$H$135,8,FALSE)</f>
        <v>-</v>
      </c>
      <c r="L471" s="52" t="str">
        <f>VLOOKUP(Tabla3[[#This Row],[Site]],'Important Info!'!$A$1:$F$135,2,FALSE)</f>
        <v>3, 4</v>
      </c>
      <c r="M471" s="52">
        <f>VLOOKUP(Tabla3[[#This Row],[Site]],'Important Info!'!$A$1:$F$135,3,FALSE)</f>
        <v>2</v>
      </c>
      <c r="N471" s="52" t="str">
        <f>VLOOKUP(Tabla3[[#This Row],[Site]],'Important Info!'!$A$1:$F$135,4,FALSE)</f>
        <v>-</v>
      </c>
      <c r="O471" s="52" t="str">
        <f>VLOOKUP(Tabla3[[#This Row],[Site]],'Important Info!'!$A$1:$F$135,5,FALSE)</f>
        <v>-</v>
      </c>
      <c r="P471" s="52" t="str">
        <f>VLOOKUP(Tabla3[[#This Row],[Site]],'Important Info!'!$A$1:$F$135,6,FALSE)</f>
        <v>3, 4</v>
      </c>
      <c r="Q471" s="91">
        <f>VLOOKUP(Tabla3[[#This Row],[Site]],'Important Info!'!$A$1:$J$135,9,FALSE)</f>
        <v>242</v>
      </c>
    </row>
    <row r="472" spans="1:17" x14ac:dyDescent="0.25">
      <c r="A472" t="str">
        <f>+Tabla3[[#This Row],[Site]]&amp;Tabla3[[#This Row],[Split]]</f>
        <v>(DT) Albuquerque8</v>
      </c>
      <c r="B472">
        <v>8</v>
      </c>
      <c r="C472">
        <v>1</v>
      </c>
      <c r="D472" t="s">
        <v>44</v>
      </c>
      <c r="E472" t="s">
        <v>53</v>
      </c>
      <c r="F472" t="s">
        <v>155</v>
      </c>
      <c r="G472" t="s">
        <v>45</v>
      </c>
      <c r="H472" s="52" t="str">
        <f>VLOOKUP(Tabla3[[#This Row],[Site]],'Important Info!'!$A$1:$J$135,10,FALSE)</f>
        <v>https://tools.sig.systems/site/details/237</v>
      </c>
      <c r="I472" s="64"/>
      <c r="J472" t="s">
        <v>41</v>
      </c>
      <c r="K472" s="79" t="str">
        <f>VLOOKUP(Tabla3[[#This Row],[Site]],'Important Info!'!$A$1:$H$135,8,FALSE)</f>
        <v>-</v>
      </c>
      <c r="L472" s="52" t="str">
        <f>VLOOKUP(Tabla3[[#This Row],[Site]],'Important Info!'!$A$1:$F$135,2,FALSE)</f>
        <v>14, 16</v>
      </c>
      <c r="M472" s="52" t="str">
        <f>VLOOKUP(Tabla3[[#This Row],[Site]],'Important Info!'!$A$1:$F$135,3,FALSE)</f>
        <v>-</v>
      </c>
      <c r="N472" s="52" t="str">
        <f>VLOOKUP(Tabla3[[#This Row],[Site]],'Important Info!'!$A$1:$F$135,4,FALSE)</f>
        <v>-</v>
      </c>
      <c r="O472" s="52" t="str">
        <f>VLOOKUP(Tabla3[[#This Row],[Site]],'Important Info!'!$A$1:$F$135,5,FALSE)</f>
        <v>14, 15</v>
      </c>
      <c r="P472" s="52" t="str">
        <f>VLOOKUP(Tabla3[[#This Row],[Site]],'Important Info!'!$A$1:$F$135,6,FALSE)</f>
        <v>12, 14, 16</v>
      </c>
      <c r="Q472" s="91">
        <f>VLOOKUP(Tabla3[[#This Row],[Site]],'Important Info!'!$A$1:$J$135,9,FALSE)</f>
        <v>237</v>
      </c>
    </row>
    <row r="473" spans="1:17" x14ac:dyDescent="0.25">
      <c r="A473" t="str">
        <f>+Tabla3[[#This Row],[Site]]&amp;Tabla3[[#This Row],[Split]]</f>
        <v>(KG) Clear Lake Pre-Owned8</v>
      </c>
      <c r="B473">
        <v>8</v>
      </c>
      <c r="C473">
        <v>1</v>
      </c>
      <c r="D473" t="s">
        <v>33</v>
      </c>
      <c r="E473" t="s">
        <v>46</v>
      </c>
      <c r="F473" t="s">
        <v>87</v>
      </c>
      <c r="G473" t="s">
        <v>34</v>
      </c>
      <c r="H473" s="52" t="str">
        <f>VLOOKUP(Tabla3[[#This Row],[Site]],'Important Info!'!$A$1:$J$135,10,FALSE)</f>
        <v>https://tools.sig.systems/site/details/255</v>
      </c>
      <c r="I473" s="43" t="s">
        <v>134</v>
      </c>
      <c r="J473" t="s">
        <v>41</v>
      </c>
      <c r="K473" s="79" t="str">
        <f>VLOOKUP(Tabla3[[#This Row],[Site]],'Important Info!'!$A$1:$H$135,8,FALSE)</f>
        <v>-</v>
      </c>
      <c r="L473" s="52" t="str">
        <f>VLOOKUP(Tabla3[[#This Row],[Site]],'Important Info!'!$A$1:$F$135,2,FALSE)</f>
        <v>3, 5</v>
      </c>
      <c r="M473" s="52" t="str">
        <f>VLOOKUP(Tabla3[[#This Row],[Site]],'Important Info!'!$A$1:$F$135,3,FALSE)</f>
        <v>-</v>
      </c>
      <c r="N473" s="52" t="str">
        <f>VLOOKUP(Tabla3[[#This Row],[Site]],'Important Info!'!$A$1:$F$135,4,FALSE)</f>
        <v>-</v>
      </c>
      <c r="O473" s="52" t="str">
        <f>VLOOKUP(Tabla3[[#This Row],[Site]],'Important Info!'!$A$1:$F$135,5,FALSE)</f>
        <v>4, 10, 22</v>
      </c>
      <c r="P473" s="52" t="str">
        <f>VLOOKUP(Tabla3[[#This Row],[Site]],'Important Info!'!$A$1:$F$135,6,FALSE)</f>
        <v>8, 15, 20</v>
      </c>
      <c r="Q473" s="91">
        <f>VLOOKUP(Tabla3[[#This Row],[Site]],'Important Info!'!$A$1:$J$135,9,FALSE)</f>
        <v>255</v>
      </c>
    </row>
    <row r="474" spans="1:17" x14ac:dyDescent="0.25">
      <c r="A474" t="str">
        <f>+Tabla3[[#This Row],[Site]]&amp;Tabla3[[#This Row],[Split]]</f>
        <v>(KG) Truck Center Remote Storage Lot8</v>
      </c>
      <c r="B474">
        <v>8</v>
      </c>
      <c r="C474">
        <v>1</v>
      </c>
      <c r="D474" t="s">
        <v>60</v>
      </c>
      <c r="E474" t="s">
        <v>53</v>
      </c>
      <c r="F474" t="s">
        <v>61</v>
      </c>
      <c r="G474" t="s">
        <v>41</v>
      </c>
      <c r="H474" s="52" t="str">
        <f>VLOOKUP(Tabla3[[#This Row],[Site]],'Important Info!'!$A$1:$J$135,10,FALSE)</f>
        <v>https://tools.sig.systems/site/details/144</v>
      </c>
      <c r="I474" s="43"/>
      <c r="J474" t="s">
        <v>41</v>
      </c>
      <c r="K474" s="79" t="str">
        <f>VLOOKUP(Tabla3[[#This Row],[Site]],'Important Info!'!$A$1:$H$135,8,FALSE)</f>
        <v>-</v>
      </c>
      <c r="L474" s="52" t="str">
        <f>VLOOKUP(Tabla3[[#This Row],[Site]],'Important Info!'!$A$1:$F$135,2,FALSE)</f>
        <v>4, A23, A49</v>
      </c>
      <c r="M474" s="52" t="str">
        <f>VLOOKUP(Tabla3[[#This Row],[Site]],'Important Info!'!$A$1:$F$135,3,FALSE)</f>
        <v>5, 24</v>
      </c>
      <c r="N474" s="52" t="str">
        <f>VLOOKUP(Tabla3[[#This Row],[Site]],'Important Info!'!$A$1:$F$135,4,FALSE)</f>
        <v>-</v>
      </c>
      <c r="O474" s="52" t="str">
        <f>VLOOKUP(Tabla3[[#This Row],[Site]],'Important Info!'!$A$1:$F$135,5,FALSE)</f>
        <v>1, 7, 11, 15, 19, 24, 25</v>
      </c>
      <c r="P474" s="52" t="str">
        <f>VLOOKUP(Tabla3[[#This Row],[Site]],'Important Info!'!$A$1:$F$135,6,FALSE)</f>
        <v>9, 20, 24, A49</v>
      </c>
      <c r="Q474" s="91">
        <f>VLOOKUP(Tabla3[[#This Row],[Site]],'Important Info!'!$A$1:$J$135,9,FALSE)</f>
        <v>144</v>
      </c>
    </row>
    <row r="475" spans="1:17" x14ac:dyDescent="0.25">
      <c r="A475" t="str">
        <f>+Tabla3[[#This Row],[Site]]&amp;Tabla3[[#This Row],[Split]]</f>
        <v>(KT) Northwest CDJR (NO TOURS)8</v>
      </c>
      <c r="B475">
        <v>8</v>
      </c>
      <c r="C475">
        <v>1</v>
      </c>
      <c r="D475" t="s">
        <v>33</v>
      </c>
      <c r="E475" t="s">
        <v>46</v>
      </c>
      <c r="F475" t="s">
        <v>77</v>
      </c>
      <c r="G475" t="s">
        <v>34</v>
      </c>
      <c r="H475" s="52" t="str">
        <f>VLOOKUP(Tabla3[[#This Row],[Site]],'Important Info!'!$A$1:$J$135,10,FALSE)</f>
        <v>https://tools.sig.systems/site/details/229</v>
      </c>
      <c r="J475" t="s">
        <v>41</v>
      </c>
      <c r="K475" s="79" t="str">
        <f>VLOOKUP(Tabla3[[#This Row],[Site]],'Important Info!'!$A$1:$H$135,8,FALSE)</f>
        <v>-</v>
      </c>
      <c r="L475" s="52" t="str">
        <f>VLOOKUP(Tabla3[[#This Row],[Site]],'Important Info!'!$A$1:$F$135,2,FALSE)</f>
        <v>1, 3, 11, 25</v>
      </c>
      <c r="M475" s="52" t="str">
        <f>VLOOKUP(Tabla3[[#This Row],[Site]],'Important Info!'!$A$1:$F$135,3,FALSE)</f>
        <v>-</v>
      </c>
      <c r="N475" s="52" t="str">
        <f>VLOOKUP(Tabla3[[#This Row],[Site]],'Important Info!'!$A$1:$F$135,4,FALSE)</f>
        <v>-</v>
      </c>
      <c r="O475" s="52" t="str">
        <f>VLOOKUP(Tabla3[[#This Row],[Site]],'Important Info!'!$A$1:$F$135,5,FALSE)</f>
        <v>4, 12, 18</v>
      </c>
      <c r="P475" s="52" t="str">
        <f>VLOOKUP(Tabla3[[#This Row],[Site]],'Important Info!'!$A$1:$F$135,6,FALSE)</f>
        <v>-</v>
      </c>
      <c r="Q475" s="91">
        <f>VLOOKUP(Tabla3[[#This Row],[Site]],'Important Info!'!$A$1:$J$135,9,FALSE)</f>
        <v>229</v>
      </c>
    </row>
    <row r="476" spans="1:17" x14ac:dyDescent="0.25">
      <c r="A476" t="str">
        <f>+Tabla3[[#This Row],[Site]]&amp;Tabla3[[#This Row],[Split]]</f>
        <v>(MK) McKenny Salinas Honda8</v>
      </c>
      <c r="B476">
        <v>8</v>
      </c>
      <c r="C476">
        <v>1</v>
      </c>
      <c r="D476" t="s">
        <v>62</v>
      </c>
      <c r="E476" t="s">
        <v>35</v>
      </c>
      <c r="F476" t="s">
        <v>115</v>
      </c>
      <c r="G476" t="s">
        <v>490</v>
      </c>
      <c r="H476" s="52" t="str">
        <f>VLOOKUP(Tabla3[[#This Row],[Site]],'Important Info!'!$A$1:$J$135,10,FALSE)</f>
        <v>https://tools.sig.systems/site/details/149</v>
      </c>
      <c r="I476" s="43"/>
      <c r="J476" t="s">
        <v>41</v>
      </c>
      <c r="K476" s="79" t="str">
        <f>VLOOKUP(Tabla3[[#This Row],[Site]],'Important Info!'!$A$1:$H$135,8,FALSE)</f>
        <v>-</v>
      </c>
      <c r="L476" s="52" t="str">
        <f>VLOOKUP(Tabla3[[#This Row],[Site]],'Important Info!'!$A$1:$F$135,2,FALSE)</f>
        <v>-</v>
      </c>
      <c r="M476" s="52" t="str">
        <f>VLOOKUP(Tabla3[[#This Row],[Site]],'Important Info!'!$A$1:$F$135,3,FALSE)</f>
        <v>12, 16</v>
      </c>
      <c r="N476" s="52" t="str">
        <f>VLOOKUP(Tabla3[[#This Row],[Site]],'Important Info!'!$A$1:$F$135,4,FALSE)</f>
        <v>-</v>
      </c>
      <c r="O476" s="52" t="str">
        <f>VLOOKUP(Tabla3[[#This Row],[Site]],'Important Info!'!$A$1:$F$135,5,FALSE)</f>
        <v>-</v>
      </c>
      <c r="P476" s="52" t="str">
        <f>VLOOKUP(Tabla3[[#This Row],[Site]],'Important Info!'!$A$1:$F$135,6,FALSE)</f>
        <v>3, 4, 5, 6, 16</v>
      </c>
      <c r="Q476" s="91">
        <f>VLOOKUP(Tabla3[[#This Row],[Site]],'Important Info!'!$A$1:$J$135,9,FALSE)</f>
        <v>149</v>
      </c>
    </row>
    <row r="477" spans="1:17" x14ac:dyDescent="0.25">
      <c r="A477" t="str">
        <f>+Tabla3[[#This Row],[Site]]&amp;Tabla3[[#This Row],[Split]]</f>
        <v>(ML) Joe Machens Temporary 2.08</v>
      </c>
      <c r="B477">
        <v>8</v>
      </c>
      <c r="C477">
        <v>1</v>
      </c>
      <c r="D477" t="s">
        <v>33</v>
      </c>
      <c r="E477" t="s">
        <v>46</v>
      </c>
      <c r="F477" t="s">
        <v>105</v>
      </c>
      <c r="G477" t="s">
        <v>34</v>
      </c>
      <c r="H477" s="52" t="str">
        <f>VLOOKUP(Tabla3[[#This Row],[Site]],'Important Info!'!$A$1:$J$135,10,FALSE)</f>
        <v>https://tools.sig.systems/site/details/278</v>
      </c>
      <c r="I477" s="66" t="s">
        <v>146</v>
      </c>
      <c r="J477" t="s">
        <v>41</v>
      </c>
      <c r="K477" s="79" t="str">
        <f>VLOOKUP(Tabla3[[#This Row],[Site]],'Important Info!'!$A$1:$H$135,8,FALSE)</f>
        <v>-</v>
      </c>
      <c r="L477" s="52" t="str">
        <f>VLOOKUP(Tabla3[[#This Row],[Site]],'Important Info!'!$A$1:$F$135,2,FALSE)</f>
        <v>-</v>
      </c>
      <c r="M477" s="52" t="str">
        <f>VLOOKUP(Tabla3[[#This Row],[Site]],'Important Info!'!$A$1:$F$135,3,FALSE)</f>
        <v>1, 11, 14, 15, 16</v>
      </c>
      <c r="N477" s="52" t="str">
        <f>VLOOKUP(Tabla3[[#This Row],[Site]],'Important Info!'!$A$1:$F$135,4,FALSE)</f>
        <v>-</v>
      </c>
      <c r="O477" s="52">
        <f>VLOOKUP(Tabla3[[#This Row],[Site]],'Important Info!'!$A$1:$F$135,5,FALSE)</f>
        <v>13</v>
      </c>
      <c r="P477" s="52" t="str">
        <f>VLOOKUP(Tabla3[[#This Row],[Site]],'Important Info!'!$A$1:$F$135,6,FALSE)</f>
        <v>-</v>
      </c>
      <c r="Q477" s="91">
        <f>VLOOKUP(Tabla3[[#This Row],[Site]],'Important Info!'!$A$1:$J$135,9,FALSE)</f>
        <v>278</v>
      </c>
    </row>
    <row r="478" spans="1:17" x14ac:dyDescent="0.25">
      <c r="A478" t="str">
        <f>+Tabla3[[#This Row],[Site]]&amp;Tabla3[[#This Row],[Split]]</f>
        <v>(ML) Joe Machens Toyota8</v>
      </c>
      <c r="B478">
        <v>8</v>
      </c>
      <c r="C478">
        <v>1</v>
      </c>
      <c r="D478" t="s">
        <v>33</v>
      </c>
      <c r="E478" t="s">
        <v>46</v>
      </c>
      <c r="F478" t="s">
        <v>73</v>
      </c>
      <c r="G478" t="s">
        <v>34</v>
      </c>
      <c r="H478" s="52" t="str">
        <f>VLOOKUP(Tabla3[[#This Row],[Site]],'Important Info!'!$A$1:$J$135,10,FALSE)</f>
        <v>https://tools.sig.systems/site/details/275</v>
      </c>
      <c r="I478" s="43" t="s">
        <v>146</v>
      </c>
      <c r="J478" t="s">
        <v>41</v>
      </c>
      <c r="K478" s="79" t="str">
        <f>VLOOKUP(Tabla3[[#This Row],[Site]],'Important Info!'!$A$1:$H$135,8,FALSE)</f>
        <v>-</v>
      </c>
      <c r="L478" s="52" t="str">
        <f>VLOOKUP(Tabla3[[#This Row],[Site]],'Important Info!'!$A$1:$F$135,2,FALSE)</f>
        <v>-</v>
      </c>
      <c r="M478" s="52" t="str">
        <f>VLOOKUP(Tabla3[[#This Row],[Site]],'Important Info!'!$A$1:$F$135,3,FALSE)</f>
        <v>1, 4, 6</v>
      </c>
      <c r="N478" s="52" t="str">
        <f>VLOOKUP(Tabla3[[#This Row],[Site]],'Important Info!'!$A$1:$F$135,4,FALSE)</f>
        <v>-</v>
      </c>
      <c r="O478" s="52" t="str">
        <f>VLOOKUP(Tabla3[[#This Row],[Site]],'Important Info!'!$A$1:$F$135,5,FALSE)</f>
        <v>4, 10</v>
      </c>
      <c r="P478" s="52" t="str">
        <f>VLOOKUP(Tabla3[[#This Row],[Site]],'Important Info!'!$A$1:$F$135,6,FALSE)</f>
        <v>-</v>
      </c>
      <c r="Q478" s="91">
        <f>VLOOKUP(Tabla3[[#This Row],[Site]],'Important Info!'!$A$1:$J$135,9,FALSE)</f>
        <v>275</v>
      </c>
    </row>
    <row r="479" spans="1:17" x14ac:dyDescent="0.25">
      <c r="A479" t="str">
        <f>+Tabla3[[#This Row],[Site]]&amp;Tabla3[[#This Row],[Split]]</f>
        <v>(PE) JLR PDI (NO TOURS)8</v>
      </c>
      <c r="B479">
        <v>8</v>
      </c>
      <c r="C479">
        <v>1</v>
      </c>
      <c r="D479" t="s">
        <v>485</v>
      </c>
      <c r="E479" t="s">
        <v>35</v>
      </c>
      <c r="F479" t="s">
        <v>114</v>
      </c>
      <c r="G479" t="s">
        <v>490</v>
      </c>
      <c r="H479" s="52" t="str">
        <f>VLOOKUP(Tabla3[[#This Row],[Site]],'Important Info!'!$A$1:$J$135,10,FALSE)</f>
        <v>https://tools.sig.systems/site/details/179</v>
      </c>
      <c r="I479" t="s">
        <v>176</v>
      </c>
      <c r="J479" t="s">
        <v>41</v>
      </c>
      <c r="K479" s="79" t="str">
        <f>VLOOKUP(Tabla3[[#This Row],[Site]],'Important Info!'!$A$1:$H$135,8,FALSE)</f>
        <v>-</v>
      </c>
      <c r="L479" s="52" t="str">
        <f>VLOOKUP(Tabla3[[#This Row],[Site]],'Important Info!'!$A$1:$F$135,2,FALSE)</f>
        <v>3, 8</v>
      </c>
      <c r="M479" s="52" t="str">
        <f>VLOOKUP(Tabla3[[#This Row],[Site]],'Important Info!'!$A$1:$F$135,3,FALSE)</f>
        <v>-</v>
      </c>
      <c r="N479" s="52" t="str">
        <f>VLOOKUP(Tabla3[[#This Row],[Site]],'Important Info!'!$A$1:$F$135,4,FALSE)</f>
        <v>-</v>
      </c>
      <c r="O479" s="52" t="str">
        <f>VLOOKUP(Tabla3[[#This Row],[Site]],'Important Info!'!$A$1:$F$135,5,FALSE)</f>
        <v>-</v>
      </c>
      <c r="P479" s="52" t="str">
        <f>VLOOKUP(Tabla3[[#This Row],[Site]],'Important Info!'!$A$1:$F$135,6,FALSE)</f>
        <v>-</v>
      </c>
      <c r="Q479" s="91">
        <f>VLOOKUP(Tabla3[[#This Row],[Site]],'Important Info!'!$A$1:$J$135,9,FALSE)</f>
        <v>179</v>
      </c>
    </row>
    <row r="480" spans="1:17" x14ac:dyDescent="0.25">
      <c r="A480" t="str">
        <f>+Tabla3[[#This Row],[Site]]&amp;Tabla3[[#This Row],[Split]]</f>
        <v>(PE) Mercedes Benz &amp; Smart Bldg. of Fairfield (NO TOURS)8</v>
      </c>
      <c r="B480">
        <v>8</v>
      </c>
      <c r="C480">
        <v>1</v>
      </c>
      <c r="D480" t="s">
        <v>485</v>
      </c>
      <c r="E480" t="s">
        <v>35</v>
      </c>
      <c r="F480" t="s">
        <v>64</v>
      </c>
      <c r="G480" t="s">
        <v>490</v>
      </c>
      <c r="H480" s="52" t="str">
        <f>VLOOKUP(Tabla3[[#This Row],[Site]],'Important Info!'!$A$1:$J$135,10,FALSE)</f>
        <v>https://tools.sig.systems/site/details/192</v>
      </c>
      <c r="I480" s="43" t="s">
        <v>177</v>
      </c>
      <c r="J480" t="s">
        <v>41</v>
      </c>
      <c r="K480" s="79" t="str">
        <f>VLOOKUP(Tabla3[[#This Row],[Site]],'Important Info!'!$A$1:$H$135,8,FALSE)</f>
        <v>-</v>
      </c>
      <c r="L480" s="52" t="str">
        <f>VLOOKUP(Tabla3[[#This Row],[Site]],'Important Info!'!$A$1:$F$135,2,FALSE)</f>
        <v>-</v>
      </c>
      <c r="M480" s="52">
        <f>VLOOKUP(Tabla3[[#This Row],[Site]],'Important Info!'!$A$1:$F$135,3,FALSE)</f>
        <v>1</v>
      </c>
      <c r="N480" s="52" t="str">
        <f>VLOOKUP(Tabla3[[#This Row],[Site]],'Important Info!'!$A$1:$F$135,4,FALSE)</f>
        <v>-</v>
      </c>
      <c r="O480" s="52" t="str">
        <f>VLOOKUP(Tabla3[[#This Row],[Site]],'Important Info!'!$A$1:$F$135,5,FALSE)</f>
        <v>11, 13</v>
      </c>
      <c r="P480" s="52">
        <f>VLOOKUP(Tabla3[[#This Row],[Site]],'Important Info!'!$A$1:$F$135,6,FALSE)</f>
        <v>1</v>
      </c>
      <c r="Q480" s="91">
        <f>VLOOKUP(Tabla3[[#This Row],[Site]],'Important Info!'!$A$1:$J$135,9,FALSE)</f>
        <v>192</v>
      </c>
    </row>
    <row r="481" spans="1:17" x14ac:dyDescent="0.25">
      <c r="A481" t="str">
        <f>+Tabla3[[#This Row],[Site]]&amp;Tabla3[[#This Row],[Split]]</f>
        <v>(SCH) Delray I &amp; II8</v>
      </c>
      <c r="B481">
        <v>8</v>
      </c>
      <c r="C481">
        <v>1</v>
      </c>
      <c r="D481" t="s">
        <v>62</v>
      </c>
      <c r="E481" t="s">
        <v>35</v>
      </c>
      <c r="F481" t="s">
        <v>67</v>
      </c>
      <c r="G481" t="s">
        <v>490</v>
      </c>
      <c r="H481" s="52" t="str">
        <f>VLOOKUP(Tabla3[[#This Row],[Site]],'Important Info!'!$A$1:$J$135,10,FALSE)</f>
        <v>https://tools.sig.systems/site/details/159</v>
      </c>
      <c r="I481" s="43"/>
      <c r="J481" t="s">
        <v>36</v>
      </c>
      <c r="K481" s="79" t="str">
        <f>VLOOKUP(Tabla3[[#This Row],[Site]],'Important Info!'!$A$1:$H$135,8,FALSE)</f>
        <v>-</v>
      </c>
      <c r="L481" s="52" t="str">
        <f>VLOOKUP(Tabla3[[#This Row],[Site]],'Important Info!'!$A$1:$F$135,2,FALSE)</f>
        <v>5, 28, 31</v>
      </c>
      <c r="M481" s="52" t="str">
        <f>VLOOKUP(Tabla3[[#This Row],[Site]],'Important Info!'!$A$1:$F$135,3,FALSE)</f>
        <v>1, 29</v>
      </c>
      <c r="N481" s="52">
        <f>VLOOKUP(Tabla3[[#This Row],[Site]],'Important Info!'!$A$1:$F$135,4,FALSE)</f>
        <v>6</v>
      </c>
      <c r="O481" s="52" t="str">
        <f>VLOOKUP(Tabla3[[#This Row],[Site]],'Important Info!'!$A$1:$F$135,5,FALSE)</f>
        <v>-</v>
      </c>
      <c r="P481" s="52" t="str">
        <f>VLOOKUP(Tabla3[[#This Row],[Site]],'Important Info!'!$A$1:$F$135,6,FALSE)</f>
        <v>1, 35, 36</v>
      </c>
      <c r="Q481" s="91">
        <f>VLOOKUP(Tabla3[[#This Row],[Site]],'Important Info!'!$A$1:$J$135,9,FALSE)</f>
        <v>159</v>
      </c>
    </row>
    <row r="482" spans="1:17" x14ac:dyDescent="0.25">
      <c r="A482" t="str">
        <f>+Tabla3[[#This Row],[Site]]&amp;Tabla3[[#This Row],[Split]]</f>
        <v>(AS) David McDavid Lincoln Frisco (NO TOURS)8</v>
      </c>
      <c r="B482">
        <v>8</v>
      </c>
      <c r="C482">
        <v>2</v>
      </c>
      <c r="D482" t="s">
        <v>33</v>
      </c>
      <c r="E482" t="s">
        <v>46</v>
      </c>
      <c r="F482" t="s">
        <v>507</v>
      </c>
      <c r="G482" t="s">
        <v>34</v>
      </c>
      <c r="H482" s="52" t="str">
        <f>VLOOKUP(Tabla3[[#This Row],[Site]],'Important Info!'!$A$1:$J$135,10,FALSE)</f>
        <v>https://tools.sig.systems/site/details/182</v>
      </c>
      <c r="I482" s="43"/>
      <c r="J482" t="s">
        <v>41</v>
      </c>
      <c r="K482" s="79" t="str">
        <f>VLOOKUP(Tabla3[[#This Row],[Site]],'Important Info!'!$A$1:$H$135,8,FALSE)</f>
        <v>-</v>
      </c>
      <c r="L482" s="52" t="str">
        <f>VLOOKUP(Tabla3[[#This Row],[Site]],'Important Info!'!$A$1:$F$135,2,FALSE)</f>
        <v>1, 2, 11</v>
      </c>
      <c r="M482" s="52" t="str">
        <f>VLOOKUP(Tabla3[[#This Row],[Site]],'Important Info!'!$A$1:$F$135,3,FALSE)</f>
        <v>-</v>
      </c>
      <c r="N482" s="52" t="str">
        <f>VLOOKUP(Tabla3[[#This Row],[Site]],'Important Info!'!$A$1:$F$135,4,FALSE)</f>
        <v>-</v>
      </c>
      <c r="O482" s="52" t="str">
        <f>VLOOKUP(Tabla3[[#This Row],[Site]],'Important Info!'!$A$1:$F$135,5,FALSE)</f>
        <v>11, 16, 20</v>
      </c>
      <c r="P482" s="52" t="str">
        <f>VLOOKUP(Tabla3[[#This Row],[Site]],'Important Info!'!$A$1:$F$135,6,FALSE)</f>
        <v>11, 12, 13, 14</v>
      </c>
      <c r="Q482" s="91">
        <f>VLOOKUP(Tabla3[[#This Row],[Site]],'Important Info!'!$A$1:$J$135,9,FALSE)</f>
        <v>182</v>
      </c>
    </row>
    <row r="483" spans="1:17" x14ac:dyDescent="0.25">
      <c r="A483" t="str">
        <f>+Tabla3[[#This Row],[Site]]&amp;Tabla3[[#This Row],[Split]]</f>
        <v>(AS) Lexus Smyrna (NO TOURS)8</v>
      </c>
      <c r="B483">
        <v>8</v>
      </c>
      <c r="C483">
        <v>2</v>
      </c>
      <c r="D483" t="s">
        <v>62</v>
      </c>
      <c r="E483" t="s">
        <v>35</v>
      </c>
      <c r="F483" t="s">
        <v>84</v>
      </c>
      <c r="G483" t="s">
        <v>490</v>
      </c>
      <c r="H483" s="52" t="str">
        <f>VLOOKUP(Tabla3[[#This Row],[Site]],'Important Info!'!$A$1:$J$135,10,FALSE)</f>
        <v>https://tools.sig.systems/site/details/133</v>
      </c>
      <c r="I483" s="43"/>
      <c r="J483" t="s">
        <v>41</v>
      </c>
      <c r="K483" s="79" t="str">
        <f>VLOOKUP(Tabla3[[#This Row],[Site]],'Important Info!'!$A$1:$H$135,8,FALSE)</f>
        <v>-</v>
      </c>
      <c r="L483" s="52" t="str">
        <f>VLOOKUP(Tabla3[[#This Row],[Site]],'Important Info!'!$A$1:$F$135,2,FALSE)</f>
        <v xml:space="preserve">2, 6, 10 </v>
      </c>
      <c r="M483" s="52" t="str">
        <f>VLOOKUP(Tabla3[[#This Row],[Site]],'Important Info!'!$A$1:$F$135,3,FALSE)</f>
        <v>-</v>
      </c>
      <c r="N483" s="52" t="str">
        <f>VLOOKUP(Tabla3[[#This Row],[Site]],'Important Info!'!$A$1:$F$135,4,FALSE)</f>
        <v>-</v>
      </c>
      <c r="O483" s="52" t="str">
        <f>VLOOKUP(Tabla3[[#This Row],[Site]],'Important Info!'!$A$1:$F$135,5,FALSE)</f>
        <v>3, 5, 10, 15</v>
      </c>
      <c r="P483" s="52" t="str">
        <f>VLOOKUP(Tabla3[[#This Row],[Site]],'Important Info!'!$A$1:$F$135,6,FALSE)</f>
        <v>10, 11</v>
      </c>
      <c r="Q483" s="91">
        <f>VLOOKUP(Tabla3[[#This Row],[Site]],'Important Info!'!$A$1:$J$135,9,FALSE)</f>
        <v>133</v>
      </c>
    </row>
    <row r="484" spans="1:17" x14ac:dyDescent="0.25">
      <c r="A484" t="str">
        <f>+Tabla3[[#This Row],[Site]]&amp;Tabla3[[#This Row],[Split]]</f>
        <v>(AS) Nalley Luxury Collision Center (NO TOURS)8</v>
      </c>
      <c r="B484">
        <v>8</v>
      </c>
      <c r="C484">
        <v>2</v>
      </c>
      <c r="D484" t="s">
        <v>62</v>
      </c>
      <c r="E484" t="s">
        <v>35</v>
      </c>
      <c r="F484" t="s">
        <v>512</v>
      </c>
      <c r="G484" t="s">
        <v>490</v>
      </c>
      <c r="H484" s="52" t="str">
        <f>VLOOKUP(Tabla3[[#This Row],[Site]],'Important Info!'!$A$1:$J$135,10,FALSE)</f>
        <v>https://tools.sig.systems/site/details/263</v>
      </c>
      <c r="I484" s="43" t="s">
        <v>166</v>
      </c>
      <c r="J484" t="s">
        <v>41</v>
      </c>
      <c r="K484" s="79" t="str">
        <f>VLOOKUP(Tabla3[[#This Row],[Site]],'Important Info!'!$A$1:$H$135,8,FALSE)</f>
        <v>-</v>
      </c>
      <c r="L484" s="52" t="str">
        <f>VLOOKUP(Tabla3[[#This Row],[Site]],'Important Info!'!$A$1:$F$135,2,FALSE)</f>
        <v>6, 13</v>
      </c>
      <c r="M484" s="52" t="str">
        <f>VLOOKUP(Tabla3[[#This Row],[Site]],'Important Info!'!$A$1:$F$135,3,FALSE)</f>
        <v>-</v>
      </c>
      <c r="N484" s="52" t="str">
        <f>VLOOKUP(Tabla3[[#This Row],[Site]],'Important Info!'!$A$1:$F$135,4,FALSE)</f>
        <v>-</v>
      </c>
      <c r="O484" s="52" t="str">
        <f>VLOOKUP(Tabla3[[#This Row],[Site]],'Important Info!'!$A$1:$F$135,5,FALSE)</f>
        <v>-</v>
      </c>
      <c r="P484" s="52" t="str">
        <f>VLOOKUP(Tabla3[[#This Row],[Site]],'Important Info!'!$A$1:$F$135,6,FALSE)</f>
        <v>6, 7, 12</v>
      </c>
      <c r="Q484" s="91">
        <f>VLOOKUP(Tabla3[[#This Row],[Site]],'Important Info!'!$A$1:$J$135,9,FALSE)</f>
        <v>263</v>
      </c>
    </row>
    <row r="485" spans="1:17" x14ac:dyDescent="0.25">
      <c r="A485" t="str">
        <f>+Tabla3[[#This Row],[Site]]&amp;Tabla3[[#This Row],[Split]]</f>
        <v>(AS) Park Place MB Recon Center Dallas (NO TOURS)8</v>
      </c>
      <c r="B485">
        <v>8</v>
      </c>
      <c r="C485">
        <v>2</v>
      </c>
      <c r="D485" t="s">
        <v>33</v>
      </c>
      <c r="E485" t="s">
        <v>46</v>
      </c>
      <c r="F485" t="s">
        <v>517</v>
      </c>
      <c r="G485" t="s">
        <v>34</v>
      </c>
      <c r="H485" s="52" t="str">
        <f>VLOOKUP(Tabla3[[#This Row],[Site]],'Important Info!'!$A$1:$J$135,10,FALSE)</f>
        <v>https://tools.sig.systems/site/details/170</v>
      </c>
      <c r="I485" s="65" t="s">
        <v>125</v>
      </c>
      <c r="J485" t="s">
        <v>41</v>
      </c>
      <c r="K485" s="79" t="str">
        <f>VLOOKUP(Tabla3[[#This Row],[Site]],'Important Info!'!$A$1:$H$135,8,FALSE)</f>
        <v>-</v>
      </c>
      <c r="L485" s="52" t="str">
        <f>VLOOKUP(Tabla3[[#This Row],[Site]],'Important Info!'!$A$1:$F$135,2,FALSE)</f>
        <v>3, 39</v>
      </c>
      <c r="M485" s="52" t="str">
        <f>VLOOKUP(Tabla3[[#This Row],[Site]],'Important Info!'!$A$1:$F$135,3,FALSE)</f>
        <v>-</v>
      </c>
      <c r="N485" s="52" t="str">
        <f>VLOOKUP(Tabla3[[#This Row],[Site]],'Important Info!'!$A$1:$F$135,4,FALSE)</f>
        <v>-</v>
      </c>
      <c r="O485" s="52" t="str">
        <f>VLOOKUP(Tabla3[[#This Row],[Site]],'Important Info!'!$A$1:$F$135,5,FALSE)</f>
        <v>4, 11</v>
      </c>
      <c r="P485" s="52">
        <f>VLOOKUP(Tabla3[[#This Row],[Site]],'Important Info!'!$A$1:$F$135,6,FALSE)</f>
        <v>1</v>
      </c>
      <c r="Q485" s="91">
        <f>VLOOKUP(Tabla3[[#This Row],[Site]],'Important Info!'!$A$1:$J$135,9,FALSE)</f>
        <v>170</v>
      </c>
    </row>
    <row r="486" spans="1:17" x14ac:dyDescent="0.25">
      <c r="A486" t="str">
        <f>+Tabla3[[#This Row],[Site]]&amp;Tabla3[[#This Row],[Split]]</f>
        <v>(AS) Park Place Sprinter Van Center (NO TOURS)8</v>
      </c>
      <c r="B486">
        <v>8</v>
      </c>
      <c r="C486">
        <v>2</v>
      </c>
      <c r="D486" t="s">
        <v>33</v>
      </c>
      <c r="E486" t="s">
        <v>46</v>
      </c>
      <c r="F486" t="s">
        <v>520</v>
      </c>
      <c r="G486" t="s">
        <v>34</v>
      </c>
      <c r="H486" s="52" t="str">
        <f>VLOOKUP(Tabla3[[#This Row],[Site]],'Important Info!'!$A$1:$J$135,10,FALSE)</f>
        <v>https://tools.sig.systems/site/details/138</v>
      </c>
      <c r="I486" s="65" t="s">
        <v>125</v>
      </c>
      <c r="J486" t="s">
        <v>41</v>
      </c>
      <c r="K486" s="79" t="str">
        <f>VLOOKUP(Tabla3[[#This Row],[Site]],'Important Info!'!$A$1:$H$135,8,FALSE)</f>
        <v>-</v>
      </c>
      <c r="L486" s="52">
        <f>VLOOKUP(Tabla3[[#This Row],[Site]],'Important Info!'!$A$1:$F$135,2,FALSE)</f>
        <v>1</v>
      </c>
      <c r="M486" s="52" t="str">
        <f>VLOOKUP(Tabla3[[#This Row],[Site]],'Important Info!'!$A$1:$F$135,3,FALSE)</f>
        <v>-</v>
      </c>
      <c r="N486" s="52" t="str">
        <f>VLOOKUP(Tabla3[[#This Row],[Site]],'Important Info!'!$A$1:$F$135,4,FALSE)</f>
        <v>-</v>
      </c>
      <c r="O486" s="52" t="str">
        <f>VLOOKUP(Tabla3[[#This Row],[Site]],'Important Info!'!$A$1:$F$135,5,FALSE)</f>
        <v>-</v>
      </c>
      <c r="P486" s="52" t="str">
        <f>VLOOKUP(Tabla3[[#This Row],[Site]],'Important Info!'!$A$1:$F$135,6,FALSE)</f>
        <v>1, 3</v>
      </c>
      <c r="Q486" s="91">
        <f>VLOOKUP(Tabla3[[#This Row],[Site]],'Important Info!'!$A$1:$J$135,9,FALSE)</f>
        <v>138</v>
      </c>
    </row>
    <row r="487" spans="1:17" x14ac:dyDescent="0.25">
      <c r="A487" t="str">
        <f>+Tabla3[[#This Row],[Site]]&amp;Tabla3[[#This Row],[Split]]</f>
        <v>(AS) Stevinson JLR (NO TOURS)8</v>
      </c>
      <c r="B487">
        <v>8</v>
      </c>
      <c r="C487">
        <v>2</v>
      </c>
      <c r="D487" t="s">
        <v>44</v>
      </c>
      <c r="E487" t="s">
        <v>53</v>
      </c>
      <c r="F487" t="s">
        <v>93</v>
      </c>
      <c r="G487" t="s">
        <v>45</v>
      </c>
      <c r="H487" s="52" t="str">
        <f>VLOOKUP(Tabla3[[#This Row],[Site]],'Important Info!'!$A$1:$J$135,10,FALSE)</f>
        <v>https://tools.sig.systems/site/details/204</v>
      </c>
      <c r="J487" t="s">
        <v>41</v>
      </c>
      <c r="K487" s="79" t="str">
        <f>VLOOKUP(Tabla3[[#This Row],[Site]],'Important Info!'!$A$1:$H$135,8,FALSE)</f>
        <v>-</v>
      </c>
      <c r="L487" s="52">
        <f>VLOOKUP(Tabla3[[#This Row],[Site]],'Important Info!'!$A$1:$F$135,2,FALSE)</f>
        <v>5</v>
      </c>
      <c r="M487" s="52">
        <f>VLOOKUP(Tabla3[[#This Row],[Site]],'Important Info!'!$A$1:$F$135,3,FALSE)</f>
        <v>4</v>
      </c>
      <c r="N487" s="52" t="str">
        <f>VLOOKUP(Tabla3[[#This Row],[Site]],'Important Info!'!$A$1:$F$135,4,FALSE)</f>
        <v>-</v>
      </c>
      <c r="O487" s="52">
        <f>VLOOKUP(Tabla3[[#This Row],[Site]],'Important Info!'!$A$1:$F$135,5,FALSE)</f>
        <v>3</v>
      </c>
      <c r="P487" s="52" t="str">
        <f>VLOOKUP(Tabla3[[#This Row],[Site]],'Important Info!'!$A$1:$F$135,6,FALSE)</f>
        <v>1, 4, 15, 16</v>
      </c>
      <c r="Q487" s="91">
        <f>VLOOKUP(Tabla3[[#This Row],[Site]],'Important Info!'!$A$1:$J$135,9,FALSE)</f>
        <v>204</v>
      </c>
    </row>
    <row r="488" spans="1:17" x14ac:dyDescent="0.25">
      <c r="A488" t="str">
        <f>+Tabla3[[#This Row],[Site]]&amp;Tabla3[[#This Row],[Split]]</f>
        <v>(AS) Stevinson Toyota West (NO TOURS)8</v>
      </c>
      <c r="B488">
        <v>8</v>
      </c>
      <c r="C488">
        <v>2</v>
      </c>
      <c r="D488" t="s">
        <v>44</v>
      </c>
      <c r="E488" t="s">
        <v>53</v>
      </c>
      <c r="F488" t="s">
        <v>79</v>
      </c>
      <c r="G488" t="s">
        <v>45</v>
      </c>
      <c r="H488" s="52" t="str">
        <f>VLOOKUP(Tabla3[[#This Row],[Site]],'Important Info!'!$A$1:$J$135,10,FALSE)</f>
        <v>https://tools.sig.systems/site/details/240</v>
      </c>
      <c r="I488" s="43" t="s">
        <v>154</v>
      </c>
      <c r="J488" t="s">
        <v>41</v>
      </c>
      <c r="K488" s="79" t="str">
        <f>VLOOKUP(Tabla3[[#This Row],[Site]],'Important Info!'!$A$1:$H$135,8,FALSE)</f>
        <v>-</v>
      </c>
      <c r="L488" s="52" t="str">
        <f>VLOOKUP(Tabla3[[#This Row],[Site]],'Important Info!'!$A$1:$F$135,2,FALSE)</f>
        <v>-</v>
      </c>
      <c r="M488" s="52" t="str">
        <f>VLOOKUP(Tabla3[[#This Row],[Site]],'Important Info!'!$A$1:$F$135,3,FALSE)</f>
        <v>7, 18, 21</v>
      </c>
      <c r="N488" s="52" t="str">
        <f>VLOOKUP(Tabla3[[#This Row],[Site]],'Important Info!'!$A$1:$F$135,4,FALSE)</f>
        <v>-</v>
      </c>
      <c r="O488" s="52" t="str">
        <f>VLOOKUP(Tabla3[[#This Row],[Site]],'Important Info!'!$A$1:$F$135,5,FALSE)</f>
        <v>11, 24, 34</v>
      </c>
      <c r="P488" s="52" t="str">
        <f>VLOOKUP(Tabla3[[#This Row],[Site]],'Important Info!'!$A$1:$F$135,6,FALSE)</f>
        <v>1, 2, 3, 12</v>
      </c>
      <c r="Q488" s="91">
        <f>VLOOKUP(Tabla3[[#This Row],[Site]],'Important Info!'!$A$1:$J$135,9,FALSE)</f>
        <v>240</v>
      </c>
    </row>
    <row r="489" spans="1:17" x14ac:dyDescent="0.25">
      <c r="A489" t="str">
        <f>+Tabla3[[#This Row],[Site]]&amp;Tabla3[[#This Row],[Split]]</f>
        <v>(KG) Big Star Honda8</v>
      </c>
      <c r="B489">
        <v>8</v>
      </c>
      <c r="C489">
        <v>2</v>
      </c>
      <c r="D489" t="s">
        <v>33</v>
      </c>
      <c r="E489" t="s">
        <v>46</v>
      </c>
      <c r="F489" t="s">
        <v>136</v>
      </c>
      <c r="G489" t="s">
        <v>34</v>
      </c>
      <c r="H489" s="52" t="str">
        <f>VLOOKUP(Tabla3[[#This Row],[Site]],'Important Info!'!$A$1:$J$135,10,FALSE)</f>
        <v>https://tools.sig.systems/site/details/231</v>
      </c>
      <c r="J489" t="s">
        <v>41</v>
      </c>
      <c r="K489" s="79" t="str">
        <f>VLOOKUP(Tabla3[[#This Row],[Site]],'Important Info!'!$A$1:$H$135,8,FALSE)</f>
        <v>-</v>
      </c>
      <c r="L489" s="52" t="str">
        <f>VLOOKUP(Tabla3[[#This Row],[Site]],'Important Info!'!$A$1:$F$135,2,FALSE)</f>
        <v>2, 17, 33</v>
      </c>
      <c r="M489" s="52" t="str">
        <f>VLOOKUP(Tabla3[[#This Row],[Site]],'Important Info!'!$A$1:$F$135,3,FALSE)</f>
        <v>-</v>
      </c>
      <c r="N489" s="52" t="str">
        <f>VLOOKUP(Tabla3[[#This Row],[Site]],'Important Info!'!$A$1:$F$135,4,FALSE)</f>
        <v>-</v>
      </c>
      <c r="O489" s="52" t="str">
        <f>VLOOKUP(Tabla3[[#This Row],[Site]],'Important Info!'!$A$1:$F$135,5,FALSE)</f>
        <v>3, 11, 16, 21, 24, 31, 34</v>
      </c>
      <c r="P489" s="52" t="str">
        <f>VLOOKUP(Tabla3[[#This Row],[Site]],'Important Info!'!$A$1:$F$135,6,FALSE)</f>
        <v xml:space="preserve">2, 3, 17, 22, 37, 41, 42 </v>
      </c>
      <c r="Q489" s="91">
        <f>VLOOKUP(Tabla3[[#This Row],[Site]],'Important Info!'!$A$1:$J$135,9,FALSE)</f>
        <v>231</v>
      </c>
    </row>
    <row r="490" spans="1:17" x14ac:dyDescent="0.25">
      <c r="A490" t="str">
        <f>+Tabla3[[#This Row],[Site]]&amp;Tabla3[[#This Row],[Split]]</f>
        <v>(KG) Kia of Phoenix (NO TOURS)8</v>
      </c>
      <c r="B490">
        <v>8</v>
      </c>
      <c r="C490">
        <v>2</v>
      </c>
      <c r="D490" t="s">
        <v>51</v>
      </c>
      <c r="E490" t="s">
        <v>161</v>
      </c>
      <c r="F490" t="s">
        <v>94</v>
      </c>
      <c r="G490" t="s">
        <v>52</v>
      </c>
      <c r="H490" s="52" t="str">
        <f>VLOOKUP(Tabla3[[#This Row],[Site]],'Important Info!'!$A$1:$J$135,10,FALSE)</f>
        <v>https://tools.sig.systems/site/details/262</v>
      </c>
      <c r="I490" s="43"/>
      <c r="J490" t="s">
        <v>162</v>
      </c>
      <c r="K490" s="79" t="str">
        <f>VLOOKUP(Tabla3[[#This Row],[Site]],'Important Info!'!$A$1:$H$135,8,FALSE)</f>
        <v>-</v>
      </c>
      <c r="L490" s="52" t="str">
        <f>VLOOKUP(Tabla3[[#This Row],[Site]],'Important Info!'!$A$1:$F$135,2,FALSE)</f>
        <v>5, 8, 23</v>
      </c>
      <c r="M490" s="52" t="str">
        <f>VLOOKUP(Tabla3[[#This Row],[Site]],'Important Info!'!$A$1:$F$135,3,FALSE)</f>
        <v>-</v>
      </c>
      <c r="N490" s="52" t="str">
        <f>VLOOKUP(Tabla3[[#This Row],[Site]],'Important Info!'!$A$1:$F$135,4,FALSE)</f>
        <v>-</v>
      </c>
      <c r="O490" s="52">
        <f>VLOOKUP(Tabla3[[#This Row],[Site]],'Important Info!'!$A$1:$F$135,5,FALSE)</f>
        <v>4</v>
      </c>
      <c r="P490" s="52" t="str">
        <f>VLOOKUP(Tabla3[[#This Row],[Site]],'Important Info!'!$A$1:$F$135,6,FALSE)</f>
        <v>-</v>
      </c>
      <c r="Q490" s="91">
        <f>VLOOKUP(Tabla3[[#This Row],[Site]],'Important Info!'!$A$1:$J$135,9,FALSE)</f>
        <v>262</v>
      </c>
    </row>
    <row r="491" spans="1:17" x14ac:dyDescent="0.25">
      <c r="A491" t="str">
        <f>+Tabla3[[#This Row],[Site]]&amp;Tabla3[[#This Row],[Split]]</f>
        <v>(KG) Texan CDJR8</v>
      </c>
      <c r="B491">
        <v>8</v>
      </c>
      <c r="C491">
        <v>2</v>
      </c>
      <c r="D491" t="s">
        <v>33</v>
      </c>
      <c r="E491" t="s">
        <v>46</v>
      </c>
      <c r="F491" t="s">
        <v>70</v>
      </c>
      <c r="G491" t="s">
        <v>34</v>
      </c>
      <c r="H491" s="52" t="str">
        <f>VLOOKUP(Tabla3[[#This Row],[Site]],'Important Info!'!$A$1:$J$135,10,FALSE)</f>
        <v>https://tools.sig.systems/site/details/238</v>
      </c>
      <c r="I491" s="2" t="s">
        <v>137</v>
      </c>
      <c r="J491" t="s">
        <v>41</v>
      </c>
      <c r="K491" s="79" t="str">
        <f>VLOOKUP(Tabla3[[#This Row],[Site]],'Important Info!'!$A$1:$H$135,8,FALSE)</f>
        <v>-</v>
      </c>
      <c r="L491" s="52" t="str">
        <f>VLOOKUP(Tabla3[[#This Row],[Site]],'Important Info!'!$A$1:$F$135,2,FALSE)</f>
        <v>11, 12, 13, 14, 20, 32, 34, 36, 77</v>
      </c>
      <c r="M491" s="52" t="str">
        <f>VLOOKUP(Tabla3[[#This Row],[Site]],'Important Info!'!$A$1:$F$135,3,FALSE)</f>
        <v>-</v>
      </c>
      <c r="N491" s="52" t="str">
        <f>VLOOKUP(Tabla3[[#This Row],[Site]],'Important Info!'!$A$1:$F$135,4,FALSE)</f>
        <v>67, 68, 69, 70</v>
      </c>
      <c r="O491" s="52" t="str">
        <f>VLOOKUP(Tabla3[[#This Row],[Site]],'Important Info!'!$A$1:$F$135,5,FALSE)</f>
        <v>2, 10, 14, 25, 29, 35, 38</v>
      </c>
      <c r="P491" s="52" t="str">
        <f>VLOOKUP(Tabla3[[#This Row],[Site]],'Important Info!'!$A$1:$F$135,6,FALSE)</f>
        <v>36, 46</v>
      </c>
      <c r="Q491" s="91">
        <f>VLOOKUP(Tabla3[[#This Row],[Site]],'Important Info!'!$A$1:$J$135,9,FALSE)</f>
        <v>238</v>
      </c>
    </row>
    <row r="492" spans="1:17" x14ac:dyDescent="0.25">
      <c r="A492" t="str">
        <f>+Tabla3[[#This Row],[Site]]&amp;Tabla3[[#This Row],[Split]]</f>
        <v>(ML) Joe Machens E Collision Center8</v>
      </c>
      <c r="B492">
        <v>8</v>
      </c>
      <c r="C492">
        <v>2</v>
      </c>
      <c r="D492" t="s">
        <v>33</v>
      </c>
      <c r="E492" t="s">
        <v>46</v>
      </c>
      <c r="F492" t="s">
        <v>147</v>
      </c>
      <c r="G492" t="s">
        <v>34</v>
      </c>
      <c r="H492" s="52" t="str">
        <f>VLOOKUP(Tabla3[[#This Row],[Site]],'Important Info!'!$A$1:$J$135,10,FALSE)</f>
        <v>https://tools.sig.systems/site/details/277</v>
      </c>
      <c r="I492" s="43" t="s">
        <v>146</v>
      </c>
      <c r="J492" t="s">
        <v>41</v>
      </c>
      <c r="K492" s="79" t="str">
        <f>VLOOKUP(Tabla3[[#This Row],[Site]],'Important Info!'!$A$1:$H$135,8,FALSE)</f>
        <v>-</v>
      </c>
      <c r="L492" s="52">
        <f>VLOOKUP(Tabla3[[#This Row],[Site]],'Important Info!'!$A$1:$F$135,2,FALSE)</f>
        <v>1</v>
      </c>
      <c r="M492" s="52" t="str">
        <f>VLOOKUP(Tabla3[[#This Row],[Site]],'Important Info!'!$A$1:$F$135,3,FALSE)</f>
        <v>-</v>
      </c>
      <c r="N492" s="52" t="str">
        <f>VLOOKUP(Tabla3[[#This Row],[Site]],'Important Info!'!$A$1:$F$135,4,FALSE)</f>
        <v>-</v>
      </c>
      <c r="O492" s="52">
        <f>VLOOKUP(Tabla3[[#This Row],[Site]],'Important Info!'!$A$1:$F$135,5,FALSE)</f>
        <v>5</v>
      </c>
      <c r="P492" s="52" t="str">
        <f>VLOOKUP(Tabla3[[#This Row],[Site]],'Important Info!'!$A$1:$F$135,6,FALSE)</f>
        <v>1, 2, 3, 4</v>
      </c>
      <c r="Q492" s="91">
        <f>VLOOKUP(Tabla3[[#This Row],[Site]],'Important Info!'!$A$1:$J$135,9,FALSE)</f>
        <v>277</v>
      </c>
    </row>
    <row r="493" spans="1:17" x14ac:dyDescent="0.25">
      <c r="A493" t="str">
        <f>+Tabla3[[#This Row],[Site]]&amp;Tabla3[[#This Row],[Split]]</f>
        <v>(ML) Joe Machens Nissan8</v>
      </c>
      <c r="B493">
        <v>8</v>
      </c>
      <c r="C493">
        <v>2</v>
      </c>
      <c r="D493" t="s">
        <v>33</v>
      </c>
      <c r="E493" t="s">
        <v>46</v>
      </c>
      <c r="F493" t="s">
        <v>104</v>
      </c>
      <c r="G493" t="s">
        <v>34</v>
      </c>
      <c r="H493" s="52" t="str">
        <f>VLOOKUP(Tabla3[[#This Row],[Site]],'Important Info!'!$A$1:$J$135,10,FALSE)</f>
        <v>https://tools.sig.systems/site/details/279</v>
      </c>
      <c r="I493" s="43" t="s">
        <v>146</v>
      </c>
      <c r="J493" t="s">
        <v>41</v>
      </c>
      <c r="K493" s="79" t="str">
        <f>VLOOKUP(Tabla3[[#This Row],[Site]],'Important Info!'!$A$1:$H$135,8,FALSE)</f>
        <v>-</v>
      </c>
      <c r="L493" s="52" t="str">
        <f>VLOOKUP(Tabla3[[#This Row],[Site]],'Important Info!'!$A$1:$F$135,2,FALSE)</f>
        <v>-</v>
      </c>
      <c r="M493" s="52" t="str">
        <f>VLOOKUP(Tabla3[[#This Row],[Site]],'Important Info!'!$A$1:$F$135,3,FALSE)</f>
        <v>1, 3, 16</v>
      </c>
      <c r="N493" s="52" t="str">
        <f>VLOOKUP(Tabla3[[#This Row],[Site]],'Important Info!'!$A$1:$F$135,4,FALSE)</f>
        <v>-</v>
      </c>
      <c r="O493" s="52" t="str">
        <f>VLOOKUP(Tabla3[[#This Row],[Site]],'Important Info!'!$A$1:$F$135,5,FALSE)</f>
        <v>-</v>
      </c>
      <c r="P493" s="52" t="str">
        <f>VLOOKUP(Tabla3[[#This Row],[Site]],'Important Info!'!$A$1:$F$135,6,FALSE)</f>
        <v>-</v>
      </c>
      <c r="Q493" s="91">
        <f>VLOOKUP(Tabla3[[#This Row],[Site]],'Important Info!'!$A$1:$J$135,9,FALSE)</f>
        <v>279</v>
      </c>
    </row>
    <row r="494" spans="1:17" x14ac:dyDescent="0.25">
      <c r="A494" t="str">
        <f>+Tabla3[[#This Row],[Site]]&amp;Tabla3[[#This Row],[Split]]</f>
        <v>(ML) Joe Machens VW8</v>
      </c>
      <c r="B494">
        <v>8</v>
      </c>
      <c r="C494">
        <v>2</v>
      </c>
      <c r="D494" t="s">
        <v>33</v>
      </c>
      <c r="E494" t="s">
        <v>46</v>
      </c>
      <c r="F494" t="s">
        <v>74</v>
      </c>
      <c r="G494" t="s">
        <v>34</v>
      </c>
      <c r="H494" s="52" t="str">
        <f>VLOOKUP(Tabla3[[#This Row],[Site]],'Important Info!'!$A$1:$J$135,10,FALSE)</f>
        <v>https://tools.sig.systems/site/details/274</v>
      </c>
      <c r="I494" s="43" t="s">
        <v>146</v>
      </c>
      <c r="J494" t="s">
        <v>41</v>
      </c>
      <c r="K494" s="79" t="str">
        <f>VLOOKUP(Tabla3[[#This Row],[Site]],'Important Info!'!$A$1:$H$135,8,FALSE)</f>
        <v>-</v>
      </c>
      <c r="L494" s="52" t="str">
        <f>VLOOKUP(Tabla3[[#This Row],[Site]],'Important Info!'!$A$1:$F$135,2,FALSE)</f>
        <v>-</v>
      </c>
      <c r="M494" s="52" t="str">
        <f>VLOOKUP(Tabla3[[#This Row],[Site]],'Important Info!'!$A$1:$F$135,3,FALSE)</f>
        <v>1, 11, 18</v>
      </c>
      <c r="N494" s="52" t="str">
        <f>VLOOKUP(Tabla3[[#This Row],[Site]],'Important Info!'!$A$1:$F$135,4,FALSE)</f>
        <v>-</v>
      </c>
      <c r="O494" s="52">
        <f>VLOOKUP(Tabla3[[#This Row],[Site]],'Important Info!'!$A$1:$F$135,5,FALSE)</f>
        <v>17</v>
      </c>
      <c r="P494" s="52" t="str">
        <f>VLOOKUP(Tabla3[[#This Row],[Site]],'Important Info!'!$A$1:$F$135,6,FALSE)</f>
        <v>-</v>
      </c>
      <c r="Q494" s="91">
        <f>VLOOKUP(Tabla3[[#This Row],[Site]],'Important Info!'!$A$1:$J$135,9,FALSE)</f>
        <v>274</v>
      </c>
    </row>
    <row r="495" spans="1:17" x14ac:dyDescent="0.25">
      <c r="A495" t="str">
        <f>+Tabla3[[#This Row],[Site]]&amp;Tabla3[[#This Row],[Split]]</f>
        <v>(SCH) Auto Body Shop Lake Park8</v>
      </c>
      <c r="B495">
        <v>8</v>
      </c>
      <c r="C495">
        <v>2</v>
      </c>
      <c r="D495" t="s">
        <v>62</v>
      </c>
      <c r="E495" t="s">
        <v>35</v>
      </c>
      <c r="F495" t="s">
        <v>189</v>
      </c>
      <c r="G495" t="s">
        <v>490</v>
      </c>
      <c r="H495" s="52" t="str">
        <f>VLOOKUP(Tabla3[[#This Row],[Site]],'Important Info!'!$A$1:$J$135,10,FALSE)</f>
        <v>https://tools.sig.systems/site/details/158</v>
      </c>
      <c r="I495" s="2"/>
      <c r="J495" t="s">
        <v>41</v>
      </c>
      <c r="K495" s="79" t="str">
        <f>VLOOKUP(Tabla3[[#This Row],[Site]],'Important Info!'!$A$1:$H$135,8,FALSE)</f>
        <v>-</v>
      </c>
      <c r="L495" s="52" t="str">
        <f>VLOOKUP(Tabla3[[#This Row],[Site]],'Important Info!'!$A$1:$F$135,2,FALSE)</f>
        <v>3, 10</v>
      </c>
      <c r="M495" s="52" t="str">
        <f>VLOOKUP(Tabla3[[#This Row],[Site]],'Important Info!'!$A$1:$F$135,3,FALSE)</f>
        <v>-</v>
      </c>
      <c r="N495" s="52" t="str">
        <f>VLOOKUP(Tabla3[[#This Row],[Site]],'Important Info!'!$A$1:$F$135,4,FALSE)</f>
        <v>-</v>
      </c>
      <c r="O495" s="52" t="str">
        <f>VLOOKUP(Tabla3[[#This Row],[Site]],'Important Info!'!$A$1:$F$135,5,FALSE)</f>
        <v>-</v>
      </c>
      <c r="P495" s="52" t="str">
        <f>VLOOKUP(Tabla3[[#This Row],[Site]],'Important Info!'!$A$1:$F$135,6,FALSE)</f>
        <v>-</v>
      </c>
      <c r="Q495" s="91">
        <f>VLOOKUP(Tabla3[[#This Row],[Site]],'Important Info!'!$A$1:$J$135,9,FALSE)</f>
        <v>158</v>
      </c>
    </row>
    <row r="496" spans="1:17" x14ac:dyDescent="0.25">
      <c r="A496" t="str">
        <f>+Tabla3[[#This Row],[Site]]&amp;Tabla3[[#This Row],[Split]]</f>
        <v>(SCH) Chevrolet North Palm8</v>
      </c>
      <c r="B496">
        <v>8</v>
      </c>
      <c r="C496">
        <v>2</v>
      </c>
      <c r="D496" t="s">
        <v>62</v>
      </c>
      <c r="E496" t="s">
        <v>35</v>
      </c>
      <c r="F496" t="s">
        <v>101</v>
      </c>
      <c r="G496" t="s">
        <v>490</v>
      </c>
      <c r="H496" s="52" t="str">
        <f>VLOOKUP(Tabla3[[#This Row],[Site]],'Important Info!'!$A$1:$J$135,10,FALSE)</f>
        <v>https://tools.sig.systems/site/details/160</v>
      </c>
      <c r="J496" t="s">
        <v>36</v>
      </c>
      <c r="K496" s="79" t="str">
        <f>VLOOKUP(Tabla3[[#This Row],[Site]],'Important Info!'!$A$1:$H$135,8,FALSE)</f>
        <v>-</v>
      </c>
      <c r="L496" s="52" t="str">
        <f>VLOOKUP(Tabla3[[#This Row],[Site]],'Important Info!'!$A$1:$F$135,2,FALSE)</f>
        <v xml:space="preserve">7, 10B, 11, 15 </v>
      </c>
      <c r="M496" s="52" t="str">
        <f>VLOOKUP(Tabla3[[#This Row],[Site]],'Important Info!'!$A$1:$F$135,3,FALSE)</f>
        <v>-</v>
      </c>
      <c r="N496" s="52" t="str">
        <f>VLOOKUP(Tabla3[[#This Row],[Site]],'Important Info!'!$A$1:$F$135,4,FALSE)</f>
        <v>-</v>
      </c>
      <c r="O496" s="52" t="str">
        <f>VLOOKUP(Tabla3[[#This Row],[Site]],'Important Info!'!$A$1:$F$135,5,FALSE)</f>
        <v>-</v>
      </c>
      <c r="P496" s="52" t="str">
        <f>VLOOKUP(Tabla3[[#This Row],[Site]],'Important Info!'!$A$1:$F$135,6,FALSE)</f>
        <v>1, 15, 16, 17, 18, 19, 20</v>
      </c>
      <c r="Q496" s="91">
        <f>VLOOKUP(Tabla3[[#This Row],[Site]],'Important Info!'!$A$1:$J$135,9,FALSE)</f>
        <v>160</v>
      </c>
    </row>
    <row r="497" spans="1:17" x14ac:dyDescent="0.25">
      <c r="A497" t="str">
        <f>+Tabla3[[#This Row],[Site]]&amp;Tabla3[[#This Row],[Split]]</f>
        <v>(AS) Courtesy Kia of Brandon (NO TOURS)8</v>
      </c>
      <c r="B497">
        <v>8</v>
      </c>
      <c r="C497">
        <v>3</v>
      </c>
      <c r="D497" t="s">
        <v>62</v>
      </c>
      <c r="E497" t="s">
        <v>35</v>
      </c>
      <c r="F497" t="s">
        <v>505</v>
      </c>
      <c r="G497" t="s">
        <v>490</v>
      </c>
      <c r="H497" s="52" t="str">
        <f>VLOOKUP(Tabla3[[#This Row],[Site]],'Important Info!'!$A$1:$J$135,10,FALSE)</f>
        <v>https://tools.sig.systems/site/details/121</v>
      </c>
      <c r="I497" s="2" t="s">
        <v>181</v>
      </c>
      <c r="J497" t="s">
        <v>484</v>
      </c>
      <c r="K497" s="79" t="str">
        <f>VLOOKUP(Tabla3[[#This Row],[Site]],'Important Info!'!$A$1:$H$135,8,FALSE)</f>
        <v>-</v>
      </c>
      <c r="L497" s="52" t="str">
        <f>VLOOKUP(Tabla3[[#This Row],[Site]],'Important Info!'!$A$1:$F$135,2,FALSE)</f>
        <v>-</v>
      </c>
      <c r="M497" s="52" t="str">
        <f>VLOOKUP(Tabla3[[#This Row],[Site]],'Important Info!'!$A$1:$F$135,3,FALSE)</f>
        <v>4, 8</v>
      </c>
      <c r="N497" s="52" t="str">
        <f>VLOOKUP(Tabla3[[#This Row],[Site]],'Important Info!'!$A$1:$F$135,4,FALSE)</f>
        <v>-</v>
      </c>
      <c r="O497" s="52" t="str">
        <f>VLOOKUP(Tabla3[[#This Row],[Site]],'Important Info!'!$A$1:$F$135,5,FALSE)</f>
        <v>3, 11, 20, 24</v>
      </c>
      <c r="P497" s="52" t="str">
        <f>VLOOKUP(Tabla3[[#This Row],[Site]],'Important Info!'!$A$1:$F$135,6,FALSE)</f>
        <v>2, 8</v>
      </c>
      <c r="Q497" s="91">
        <f>VLOOKUP(Tabla3[[#This Row],[Site]],'Important Info!'!$A$1:$J$135,9,FALSE)</f>
        <v>121</v>
      </c>
    </row>
    <row r="498" spans="1:17" x14ac:dyDescent="0.25">
      <c r="A498" t="str">
        <f>+Tabla3[[#This Row],[Site]]&amp;Tabla3[[#This Row],[Split]]</f>
        <v>(AS) Mike Shaw Subaru Greeley (NO TOURS)8</v>
      </c>
      <c r="B498">
        <v>8</v>
      </c>
      <c r="C498">
        <v>3</v>
      </c>
      <c r="D498" t="s">
        <v>44</v>
      </c>
      <c r="E498" t="s">
        <v>53</v>
      </c>
      <c r="F498" t="s">
        <v>95</v>
      </c>
      <c r="G498" t="s">
        <v>45</v>
      </c>
      <c r="H498" s="52" t="str">
        <f>VLOOKUP(Tabla3[[#This Row],[Site]],'Important Info!'!$A$1:$J$135,10,FALSE)</f>
        <v>https://tools.sig.systems/site/details/174</v>
      </c>
      <c r="I498" t="s">
        <v>153</v>
      </c>
      <c r="J498" t="s">
        <v>41</v>
      </c>
      <c r="K498" s="79" t="str">
        <f>VLOOKUP(Tabla3[[#This Row],[Site]],'Important Info!'!$A$1:$H$135,8,FALSE)</f>
        <v>-</v>
      </c>
      <c r="L498" s="52" t="str">
        <f>VLOOKUP(Tabla3[[#This Row],[Site]],'Important Info!'!$A$1:$F$135,2,FALSE)</f>
        <v>16, 17</v>
      </c>
      <c r="M498" s="52">
        <f>VLOOKUP(Tabla3[[#This Row],[Site]],'Important Info!'!$A$1:$F$135,3,FALSE)</f>
        <v>10</v>
      </c>
      <c r="N498" s="52" t="str">
        <f>VLOOKUP(Tabla3[[#This Row],[Site]],'Important Info!'!$A$1:$F$135,4,FALSE)</f>
        <v>-</v>
      </c>
      <c r="O498" s="52" t="str">
        <f>VLOOKUP(Tabla3[[#This Row],[Site]],'Important Info!'!$A$1:$F$135,5,FALSE)</f>
        <v>1, 7</v>
      </c>
      <c r="P498" s="52" t="str">
        <f>VLOOKUP(Tabla3[[#This Row],[Site]],'Important Info!'!$A$1:$F$135,6,FALSE)</f>
        <v>-</v>
      </c>
      <c r="Q498" s="91">
        <f>VLOOKUP(Tabla3[[#This Row],[Site]],'Important Info!'!$A$1:$J$135,9,FALSE)</f>
        <v>174</v>
      </c>
    </row>
    <row r="499" spans="1:17" x14ac:dyDescent="0.25">
      <c r="A499" t="str">
        <f>+Tabla3[[#This Row],[Site]]&amp;Tabla3[[#This Row],[Split]]</f>
        <v>(AS) Park Place Volvo Sales (NO TOURS)8</v>
      </c>
      <c r="B499">
        <v>8</v>
      </c>
      <c r="C499">
        <v>3</v>
      </c>
      <c r="D499" t="s">
        <v>33</v>
      </c>
      <c r="E499" t="s">
        <v>46</v>
      </c>
      <c r="F499" t="s">
        <v>521</v>
      </c>
      <c r="G499" t="s">
        <v>34</v>
      </c>
      <c r="H499" s="52" t="str">
        <f>VLOOKUP(Tabla3[[#This Row],[Site]],'Important Info!'!$A$1:$J$135,10,FALSE)</f>
        <v>https://tools.sig.systems/site/details/139</v>
      </c>
      <c r="I499" s="65" t="s">
        <v>125</v>
      </c>
      <c r="J499" t="s">
        <v>41</v>
      </c>
      <c r="K499" s="79" t="str">
        <f>VLOOKUP(Tabla3[[#This Row],[Site]],'Important Info!'!$A$1:$H$135,8,FALSE)</f>
        <v>-</v>
      </c>
      <c r="L499" s="52" t="str">
        <f>VLOOKUP(Tabla3[[#This Row],[Site]],'Important Info!'!$A$1:$F$135,2,FALSE)</f>
        <v>4, 6, 9, 11</v>
      </c>
      <c r="M499" s="52" t="str">
        <f>VLOOKUP(Tabla3[[#This Row],[Site]],'Important Info!'!$A$1:$F$135,3,FALSE)</f>
        <v>-</v>
      </c>
      <c r="N499" s="52" t="str">
        <f>VLOOKUP(Tabla3[[#This Row],[Site]],'Important Info!'!$A$1:$F$135,4,FALSE)</f>
        <v>-</v>
      </c>
      <c r="O499" s="52" t="str">
        <f>VLOOKUP(Tabla3[[#This Row],[Site]],'Important Info!'!$A$1:$F$135,5,FALSE)</f>
        <v>2, 9</v>
      </c>
      <c r="P499" s="52" t="str">
        <f>VLOOKUP(Tabla3[[#This Row],[Site]],'Important Info!'!$A$1:$F$135,6,FALSE)</f>
        <v>4, 10, 11</v>
      </c>
      <c r="Q499" s="91">
        <f>VLOOKUP(Tabla3[[#This Row],[Site]],'Important Info!'!$A$1:$J$135,9,FALSE)</f>
        <v>139</v>
      </c>
    </row>
    <row r="500" spans="1:17" x14ac:dyDescent="0.25">
      <c r="A500" t="str">
        <f>+Tabla3[[#This Row],[Site]]&amp;Tabla3[[#This Row],[Split]]</f>
        <v>(AS) Stevinson Chevrolet Golden (NO TOURS)8</v>
      </c>
      <c r="B500">
        <v>8</v>
      </c>
      <c r="C500">
        <v>3</v>
      </c>
      <c r="D500" t="s">
        <v>488</v>
      </c>
      <c r="E500" t="s">
        <v>53</v>
      </c>
      <c r="F500" t="s">
        <v>190</v>
      </c>
      <c r="G500" t="s">
        <v>45</v>
      </c>
      <c r="H500" s="52" t="str">
        <f>VLOOKUP(Tabla3[[#This Row],[Site]],'Important Info!'!$A$1:$J$135,10,FALSE)</f>
        <v>https://tools.sig.systems/site/details/264</v>
      </c>
      <c r="I500" s="43" t="s">
        <v>154</v>
      </c>
      <c r="J500" t="s">
        <v>41</v>
      </c>
      <c r="K500" s="79" t="str">
        <f>VLOOKUP(Tabla3[[#This Row],[Site]],'Important Info!'!$A$1:$H$135,8,FALSE)</f>
        <v>-</v>
      </c>
      <c r="L500" s="52" t="str">
        <f>VLOOKUP(Tabla3[[#This Row],[Site]],'Important Info!'!$A$1:$F$135,2,FALSE)</f>
        <v>-</v>
      </c>
      <c r="M500" s="52" t="str">
        <f>VLOOKUP(Tabla3[[#This Row],[Site]],'Important Info!'!$A$1:$F$135,3,FALSE)</f>
        <v>1, 19</v>
      </c>
      <c r="N500" s="52" t="str">
        <f>VLOOKUP(Tabla3[[#This Row],[Site]],'Important Info!'!$A$1:$F$135,4,FALSE)</f>
        <v>-</v>
      </c>
      <c r="O500" s="52" t="str">
        <f>VLOOKUP(Tabla3[[#This Row],[Site]],'Important Info!'!$A$1:$F$135,5,FALSE)</f>
        <v>14, 30</v>
      </c>
      <c r="P500" s="52" t="str">
        <f>VLOOKUP(Tabla3[[#This Row],[Site]],'Important Info!'!$A$1:$F$135,6,FALSE)</f>
        <v>14, 33, 34, 35, 36</v>
      </c>
      <c r="Q500" s="91">
        <f>VLOOKUP(Tabla3[[#This Row],[Site]],'Important Info!'!$A$1:$J$135,9,FALSE)</f>
        <v>264</v>
      </c>
    </row>
    <row r="501" spans="1:17" x14ac:dyDescent="0.25">
      <c r="A501" t="str">
        <f>+Tabla3[[#This Row],[Site]]&amp;Tabla3[[#This Row],[Split]]</f>
        <v>(KG) Big Star Ford8</v>
      </c>
      <c r="B501">
        <v>8</v>
      </c>
      <c r="C501">
        <v>3</v>
      </c>
      <c r="D501" t="s">
        <v>33</v>
      </c>
      <c r="E501" t="s">
        <v>46</v>
      </c>
      <c r="F501" t="s">
        <v>135</v>
      </c>
      <c r="G501" t="s">
        <v>34</v>
      </c>
      <c r="H501" s="52" t="str">
        <f>VLOOKUP(Tabla3[[#This Row],[Site]],'Important Info!'!$A$1:$J$135,10,FALSE)</f>
        <v>https://tools.sig.systems/site/details/235</v>
      </c>
      <c r="I501" s="43"/>
      <c r="J501" t="s">
        <v>41</v>
      </c>
      <c r="K501" s="79" t="str">
        <f>VLOOKUP(Tabla3[[#This Row],[Site]],'Important Info!'!$A$1:$H$135,8,FALSE)</f>
        <v>-</v>
      </c>
      <c r="L501" s="52" t="str">
        <f>VLOOKUP(Tabla3[[#This Row],[Site]],'Important Info!'!$A$1:$F$135,2,FALSE)</f>
        <v>4, 22, 32, 33</v>
      </c>
      <c r="M501" s="52" t="str">
        <f>VLOOKUP(Tabla3[[#This Row],[Site]],'Important Info!'!$A$1:$F$135,3,FALSE)</f>
        <v>-</v>
      </c>
      <c r="N501" s="52" t="str">
        <f>VLOOKUP(Tabla3[[#This Row],[Site]],'Important Info!'!$A$1:$F$135,4,FALSE)</f>
        <v>-</v>
      </c>
      <c r="O501" s="52" t="str">
        <f>VLOOKUP(Tabla3[[#This Row],[Site]],'Important Info!'!$A$1:$F$135,5,FALSE)</f>
        <v>1, 5, 12, 21</v>
      </c>
      <c r="P501" s="52">
        <f>VLOOKUP(Tabla3[[#This Row],[Site]],'Important Info!'!$A$1:$F$135,6,FALSE)</f>
        <v>22</v>
      </c>
      <c r="Q501" s="91">
        <f>VLOOKUP(Tabla3[[#This Row],[Site]],'Important Info!'!$A$1:$J$135,9,FALSE)</f>
        <v>235</v>
      </c>
    </row>
    <row r="502" spans="1:17" x14ac:dyDescent="0.25">
      <c r="A502" t="str">
        <f>+Tabla3[[#This Row],[Site]]&amp;Tabla3[[#This Row],[Split]]</f>
        <v>(KG) Texan GMC Buick (NO TOURS)8</v>
      </c>
      <c r="B502">
        <v>8</v>
      </c>
      <c r="C502">
        <v>3</v>
      </c>
      <c r="D502" t="s">
        <v>33</v>
      </c>
      <c r="E502" t="s">
        <v>46</v>
      </c>
      <c r="F502" t="s">
        <v>111</v>
      </c>
      <c r="G502" t="s">
        <v>34</v>
      </c>
      <c r="H502" s="52" t="str">
        <f>VLOOKUP(Tabla3[[#This Row],[Site]],'Important Info!'!$A$1:$J$135,10,FALSE)</f>
        <v>https://tools.sig.systems/site/details/225</v>
      </c>
      <c r="I502" s="43" t="s">
        <v>137</v>
      </c>
      <c r="J502" t="s">
        <v>41</v>
      </c>
      <c r="K502" s="79" t="str">
        <f>VLOOKUP(Tabla3[[#This Row],[Site]],'Important Info!'!$A$1:$H$135,8,FALSE)</f>
        <v>-</v>
      </c>
      <c r="L502" s="52" t="str">
        <f>VLOOKUP(Tabla3[[#This Row],[Site]],'Important Info!'!$A$1:$F$135,2,FALSE)</f>
        <v>1, 20, 53</v>
      </c>
      <c r="M502" s="52" t="str">
        <f>VLOOKUP(Tabla3[[#This Row],[Site]],'Important Info!'!$A$1:$F$135,3,FALSE)</f>
        <v>-</v>
      </c>
      <c r="N502" s="52" t="str">
        <f>VLOOKUP(Tabla3[[#This Row],[Site]],'Important Info!'!$A$1:$F$135,4,FALSE)</f>
        <v>-</v>
      </c>
      <c r="O502" s="52" t="str">
        <f>VLOOKUP(Tabla3[[#This Row],[Site]],'Important Info!'!$A$1:$F$135,5,FALSE)</f>
        <v>2, 8, 14</v>
      </c>
      <c r="P502" s="52" t="str">
        <f>VLOOKUP(Tabla3[[#This Row],[Site]],'Important Info!'!$A$1:$F$135,6,FALSE)</f>
        <v>51, 52, 16</v>
      </c>
      <c r="Q502" s="91">
        <f>VLOOKUP(Tabla3[[#This Row],[Site]],'Important Info!'!$A$1:$J$135,9,FALSE)</f>
        <v>225</v>
      </c>
    </row>
    <row r="503" spans="1:17" x14ac:dyDescent="0.25">
      <c r="A503" t="str">
        <f>+Tabla3[[#This Row],[Site]]&amp;Tabla3[[#This Row],[Split]]</f>
        <v>(ML) Joe Machens Kia of Columbia8</v>
      </c>
      <c r="B503">
        <v>8</v>
      </c>
      <c r="C503">
        <v>3</v>
      </c>
      <c r="D503" t="s">
        <v>33</v>
      </c>
      <c r="E503" t="s">
        <v>46</v>
      </c>
      <c r="F503" t="s">
        <v>149</v>
      </c>
      <c r="G503" t="s">
        <v>34</v>
      </c>
      <c r="H503" s="52" t="str">
        <f>VLOOKUP(Tabla3[[#This Row],[Site]],'Important Info!'!$A$1:$J$135,10,FALSE)</f>
        <v>https://tools.sig.systems/site/details/270</v>
      </c>
      <c r="I503" s="2" t="s">
        <v>146</v>
      </c>
      <c r="J503" t="s">
        <v>41</v>
      </c>
      <c r="K503" s="79" t="str">
        <f>VLOOKUP(Tabla3[[#This Row],[Site]],'Important Info!'!$A$1:$H$135,8,FALSE)</f>
        <v>-</v>
      </c>
      <c r="L503" s="52" t="str">
        <f>VLOOKUP(Tabla3[[#This Row],[Site]],'Important Info!'!$A$1:$F$135,2,FALSE)</f>
        <v>-</v>
      </c>
      <c r="M503" s="52" t="str">
        <f>VLOOKUP(Tabla3[[#This Row],[Site]],'Important Info!'!$A$1:$F$135,3,FALSE)</f>
        <v>1, 2, 5, 6, 9, 13, 15</v>
      </c>
      <c r="N503" s="52" t="str">
        <f>VLOOKUP(Tabla3[[#This Row],[Site]],'Important Info!'!$A$1:$F$135,4,FALSE)</f>
        <v>-</v>
      </c>
      <c r="O503" s="52" t="str">
        <f>VLOOKUP(Tabla3[[#This Row],[Site]],'Important Info!'!$A$1:$F$135,5,FALSE)</f>
        <v>-</v>
      </c>
      <c r="P503" s="52" t="str">
        <f>VLOOKUP(Tabla3[[#This Row],[Site]],'Important Info!'!$A$1:$F$135,6,FALSE)</f>
        <v>10, 11, 13</v>
      </c>
      <c r="Q503" s="91">
        <f>VLOOKUP(Tabla3[[#This Row],[Site]],'Important Info!'!$A$1:$J$135,9,FALSE)</f>
        <v>270</v>
      </c>
    </row>
    <row r="504" spans="1:17" x14ac:dyDescent="0.25">
      <c r="A504" t="str">
        <f>+Tabla3[[#This Row],[Site]]&amp;Tabla3[[#This Row],[Split]]</f>
        <v>(ML) Mazda VW-Lot B8</v>
      </c>
      <c r="B504">
        <v>8</v>
      </c>
      <c r="C504">
        <v>3</v>
      </c>
      <c r="D504" t="s">
        <v>33</v>
      </c>
      <c r="E504" t="s">
        <v>46</v>
      </c>
      <c r="F504" t="s">
        <v>9</v>
      </c>
      <c r="G504" t="s">
        <v>34</v>
      </c>
      <c r="H504" s="52" t="str">
        <f>VLOOKUP(Tabla3[[#This Row],[Site]],'Important Info!'!$A$1:$J$135,10,FALSE)</f>
        <v>https://tools.sig.systems/site/details/205</v>
      </c>
      <c r="I504" s="2" t="s">
        <v>142</v>
      </c>
      <c r="J504" t="s">
        <v>41</v>
      </c>
      <c r="K504" s="79" t="str">
        <f>VLOOKUP(Tabla3[[#This Row],[Site]],'Important Info!'!$A$1:$H$135,8,FALSE)</f>
        <v>-</v>
      </c>
      <c r="L504" s="52" t="str">
        <f>VLOOKUP(Tabla3[[#This Row],[Site]],'Important Info!'!$A$1:$F$135,2,FALSE)</f>
        <v>9, 14, 16</v>
      </c>
      <c r="M504" s="52">
        <f>VLOOKUP(Tabla3[[#This Row],[Site]],'Important Info!'!$A$1:$F$135,3,FALSE)</f>
        <v>1</v>
      </c>
      <c r="N504" s="52" t="str">
        <f>VLOOKUP(Tabla3[[#This Row],[Site]],'Important Info!'!$A$1:$F$135,4,FALSE)</f>
        <v>-</v>
      </c>
      <c r="O504" s="52">
        <f>VLOOKUP(Tabla3[[#This Row],[Site]],'Important Info!'!$A$1:$F$135,5,FALSE)</f>
        <v>4</v>
      </c>
      <c r="P504" s="52" t="str">
        <f>VLOOKUP(Tabla3[[#This Row],[Site]],'Important Info!'!$A$1:$F$135,6,FALSE)</f>
        <v>-</v>
      </c>
      <c r="Q504" s="91">
        <f>VLOOKUP(Tabla3[[#This Row],[Site]],'Important Info!'!$A$1:$J$135,9,FALSE)</f>
        <v>205</v>
      </c>
    </row>
    <row r="505" spans="1:17" x14ac:dyDescent="0.25">
      <c r="A505" t="str">
        <f>+Tabla3[[#This Row],[Site]]&amp;Tabla3[[#This Row],[Split]]</f>
        <v>(RV) Sonny's Camp N Travel Concord8</v>
      </c>
      <c r="B505">
        <v>8</v>
      </c>
      <c r="C505">
        <v>3</v>
      </c>
      <c r="D505" t="s">
        <v>62</v>
      </c>
      <c r="E505" t="s">
        <v>35</v>
      </c>
      <c r="F505" t="s">
        <v>188</v>
      </c>
      <c r="G505" t="s">
        <v>490</v>
      </c>
      <c r="H505" s="52" t="str">
        <f>VLOOKUP(Tabla3[[#This Row],[Site]],'Important Info!'!$A$1:$J$135,10,FALSE)</f>
        <v>https://tools.sig.systems/site/details/183</v>
      </c>
      <c r="J505" t="s">
        <v>41</v>
      </c>
      <c r="K505" s="79" t="str">
        <f>VLOOKUP(Tabla3[[#This Row],[Site]],'Important Info!'!$A$1:$H$135,8,FALSE)</f>
        <v>-</v>
      </c>
      <c r="L505" s="52">
        <f>VLOOKUP(Tabla3[[#This Row],[Site]],'Important Info!'!$A$1:$F$135,2,FALSE)</f>
        <v>1</v>
      </c>
      <c r="M505" s="52" t="str">
        <f>VLOOKUP(Tabla3[[#This Row],[Site]],'Important Info!'!$A$1:$F$135,3,FALSE)</f>
        <v>-</v>
      </c>
      <c r="N505" s="52" t="str">
        <f>VLOOKUP(Tabla3[[#This Row],[Site]],'Important Info!'!$A$1:$F$135,4,FALSE)</f>
        <v>-</v>
      </c>
      <c r="O505" s="52">
        <f>VLOOKUP(Tabla3[[#This Row],[Site]],'Important Info!'!$A$1:$F$135,5,FALSE)</f>
        <v>7</v>
      </c>
      <c r="P505" s="52" t="str">
        <f>VLOOKUP(Tabla3[[#This Row],[Site]],'Important Info!'!$A$1:$F$135,6,FALSE)</f>
        <v>6, 7, 8, 9</v>
      </c>
      <c r="Q505" s="91">
        <f>VLOOKUP(Tabla3[[#This Row],[Site]],'Important Info!'!$A$1:$J$135,9,FALSE)</f>
        <v>183</v>
      </c>
    </row>
    <row r="506" spans="1:17" x14ac:dyDescent="0.25">
      <c r="A506" t="str">
        <f>+Tabla3[[#This Row],[Site]]&amp;Tabla3[[#This Row],[Split]]</f>
        <v>(SCH) Prep Center Delray8</v>
      </c>
      <c r="B506">
        <v>8</v>
      </c>
      <c r="C506">
        <v>3</v>
      </c>
      <c r="D506" t="s">
        <v>62</v>
      </c>
      <c r="E506" t="s">
        <v>35</v>
      </c>
      <c r="F506" t="s">
        <v>191</v>
      </c>
      <c r="G506" t="s">
        <v>490</v>
      </c>
      <c r="H506" s="52" t="str">
        <f>VLOOKUP(Tabla3[[#This Row],[Site]],'Important Info!'!$A$1:$J$135,10,FALSE)</f>
        <v>https://tools.sig.systems/site/details/321</v>
      </c>
      <c r="I506" s="2"/>
      <c r="J506" t="s">
        <v>41</v>
      </c>
      <c r="K506" s="79" t="str">
        <f>VLOOKUP(Tabla3[[#This Row],[Site]],'Important Info!'!$A$1:$H$135,8,FALSE)</f>
        <v>-</v>
      </c>
      <c r="L506" s="52" t="str">
        <f>VLOOKUP(Tabla3[[#This Row],[Site]],'Important Info!'!$A$1:$F$135,2,FALSE)</f>
        <v>2,3</v>
      </c>
      <c r="M506" s="52" t="str">
        <f>VLOOKUP(Tabla3[[#This Row],[Site]],'Important Info!'!$A$1:$F$135,3,FALSE)</f>
        <v>-</v>
      </c>
      <c r="N506" s="52" t="str">
        <f>VLOOKUP(Tabla3[[#This Row],[Site]],'Important Info!'!$A$1:$F$135,4,FALSE)</f>
        <v>-</v>
      </c>
      <c r="O506" s="52" t="str">
        <f>VLOOKUP(Tabla3[[#This Row],[Site]],'Important Info!'!$A$1:$F$135,5,FALSE)</f>
        <v>-</v>
      </c>
      <c r="P506" s="52" t="str">
        <f>VLOOKUP(Tabla3[[#This Row],[Site]],'Important Info!'!$A$1:$F$135,6,FALSE)</f>
        <v>2,4,10</v>
      </c>
      <c r="Q506" s="91">
        <f>VLOOKUP(Tabla3[[#This Row],[Site]],'Important Info!'!$A$1:$J$135,9,FALSE)</f>
        <v>321</v>
      </c>
    </row>
    <row r="507" spans="1:17" x14ac:dyDescent="0.25">
      <c r="A507" t="str">
        <f>+Tabla3[[#This Row],[Site]]&amp;Tabla3[[#This Row],[Split]]</f>
        <v>(SCH) West Palm Beach I, II &amp; III8</v>
      </c>
      <c r="B507">
        <v>8</v>
      </c>
      <c r="C507">
        <v>3</v>
      </c>
      <c r="D507" t="s">
        <v>492</v>
      </c>
      <c r="E507" t="s">
        <v>35</v>
      </c>
      <c r="F507" t="s">
        <v>96</v>
      </c>
      <c r="G507" t="s">
        <v>490</v>
      </c>
      <c r="H507" s="52" t="str">
        <f>VLOOKUP(Tabla3[[#This Row],[Site]],'Important Info!'!$A$1:$J$135,10,FALSE)</f>
        <v>https://tools.sig.systems/site/details/162</v>
      </c>
      <c r="I507" s="2"/>
      <c r="J507" t="s">
        <v>36</v>
      </c>
      <c r="K507" s="79" t="str">
        <f>VLOOKUP(Tabla3[[#This Row],[Site]],'Important Info!'!$A$1:$H$135,8,FALSE)</f>
        <v>SUNDAY: Log in at 5:30 p.m. ET.</v>
      </c>
      <c r="L507" s="52" t="str">
        <f>VLOOKUP(Tabla3[[#This Row],[Site]],'Important Info!'!$A$1:$F$135,2,FALSE)</f>
        <v>34, 62</v>
      </c>
      <c r="M507" s="52" t="str">
        <f>VLOOKUP(Tabla3[[#This Row],[Site]],'Important Info!'!$A$1:$F$135,3,FALSE)</f>
        <v xml:space="preserve">6, 7, 11, 13, </v>
      </c>
      <c r="N507" s="52" t="str">
        <f>VLOOKUP(Tabla3[[#This Row],[Site]],'Important Info!'!$A$1:$F$135,4,FALSE)</f>
        <v>20, 21</v>
      </c>
      <c r="O507" s="52" t="str">
        <f>VLOOKUP(Tabla3[[#This Row],[Site]],'Important Info!'!$A$1:$F$135,5,FALSE)</f>
        <v>-</v>
      </c>
      <c r="P507" s="52" t="str">
        <f>VLOOKUP(Tabla3[[#This Row],[Site]],'Important Info!'!$A$1:$F$135,6,FALSE)</f>
        <v>1, 2, 3, 131, 132</v>
      </c>
      <c r="Q507" s="91">
        <f>VLOOKUP(Tabla3[[#This Row],[Site]],'Important Info!'!$A$1:$J$135,9,FALSE)</f>
        <v>162</v>
      </c>
    </row>
    <row r="508" spans="1:17" x14ac:dyDescent="0.25">
      <c r="A508" t="str">
        <f>+Tabla3[[#This Row],[Site]]&amp;Tabla3[[#This Row],[Split]]</f>
        <v>SIG Office8</v>
      </c>
      <c r="B508">
        <v>8</v>
      </c>
      <c r="C508">
        <v>3</v>
      </c>
      <c r="D508" t="s">
        <v>60</v>
      </c>
      <c r="E508" t="s">
        <v>35</v>
      </c>
      <c r="F508" t="s">
        <v>169</v>
      </c>
      <c r="G508" t="s">
        <v>41</v>
      </c>
      <c r="H508" s="52" t="str">
        <f>VLOOKUP(Tabla3[[#This Row],[Site]],'Important Info!'!$A$1:$J$135,10,FALSE)</f>
        <v>https://tools.sig.systems/site/details/163</v>
      </c>
      <c r="J508" t="s">
        <v>41</v>
      </c>
      <c r="K508" s="79" t="str">
        <f>VLOOKUP(Tabla3[[#This Row],[Site]],'Important Info!'!$A$1:$H$135,8,FALSE)</f>
        <v>-</v>
      </c>
      <c r="L508" s="52" t="str">
        <f>VLOOKUP(Tabla3[[#This Row],[Site]],'Important Info!'!$A$1:$F$135,2,FALSE)</f>
        <v>-</v>
      </c>
      <c r="M508" s="52" t="str">
        <f>VLOOKUP(Tabla3[[#This Row],[Site]],'Important Info!'!$A$1:$F$135,3,FALSE)</f>
        <v>-</v>
      </c>
      <c r="N508" s="52" t="str">
        <f>VLOOKUP(Tabla3[[#This Row],[Site]],'Important Info!'!$A$1:$F$135,4,FALSE)</f>
        <v>-</v>
      </c>
      <c r="O508" s="52" t="str">
        <f>VLOOKUP(Tabla3[[#This Row],[Site]],'Important Info!'!$A$1:$F$135,5,FALSE)</f>
        <v>-</v>
      </c>
      <c r="P508" s="52">
        <f>VLOOKUP(Tabla3[[#This Row],[Site]],'Important Info!'!$A$1:$F$135,6,FALSE)</f>
        <v>25</v>
      </c>
      <c r="Q508" s="91">
        <f>VLOOKUP(Tabla3[[#This Row],[Site]],'Important Info!'!$A$1:$J$135,9,FALSE)</f>
        <v>163</v>
      </c>
    </row>
    <row r="509" spans="1:17" x14ac:dyDescent="0.25">
      <c r="A509" t="str">
        <f>+Tabla3[[#This Row],[Site]]&amp;Tabla3[[#This Row],[Split]]</f>
        <v>(AS) Courtesy Hyundai/Nissan Tampa (NO TOURS)8</v>
      </c>
      <c r="B509">
        <v>8</v>
      </c>
      <c r="C509">
        <v>4</v>
      </c>
      <c r="D509" t="s">
        <v>62</v>
      </c>
      <c r="E509" t="s">
        <v>35</v>
      </c>
      <c r="F509" t="s">
        <v>504</v>
      </c>
      <c r="G509" t="s">
        <v>490</v>
      </c>
      <c r="H509" s="52" t="str">
        <f>VLOOKUP(Tabla3[[#This Row],[Site]],'Important Info!'!$A$1:$J$135,10,FALSE)</f>
        <v>https://tools.sig.systems/site/details/128</v>
      </c>
      <c r="J509" t="s">
        <v>484</v>
      </c>
      <c r="K509" s="79" t="str">
        <f>VLOOKUP(Tabla3[[#This Row],[Site]],'Important Info!'!$A$1:$H$135,8,FALSE)</f>
        <v>-</v>
      </c>
      <c r="L509" s="52" t="str">
        <f>VLOOKUP(Tabla3[[#This Row],[Site]],'Important Info!'!$A$1:$F$135,2,FALSE)</f>
        <v>1, 16, 25, 27, 32</v>
      </c>
      <c r="M509" s="52" t="str">
        <f>VLOOKUP(Tabla3[[#This Row],[Site]],'Important Info!'!$A$1:$F$135,3,FALSE)</f>
        <v>-</v>
      </c>
      <c r="N509" s="52" t="str">
        <f>VLOOKUP(Tabla3[[#This Row],[Site]],'Important Info!'!$A$1:$F$135,4,FALSE)</f>
        <v>-</v>
      </c>
      <c r="O509" s="52" t="str">
        <f>VLOOKUP(Tabla3[[#This Row],[Site]],'Important Info!'!$A$1:$F$135,5,FALSE)</f>
        <v>4, 10, 16</v>
      </c>
      <c r="P509" s="52" t="str">
        <f>VLOOKUP(Tabla3[[#This Row],[Site]],'Important Info!'!$A$1:$F$135,6,FALSE)</f>
        <v>24, 25, 26 &amp; Remote Lots</v>
      </c>
      <c r="Q509" s="91">
        <f>VLOOKUP(Tabla3[[#This Row],[Site]],'Important Info!'!$A$1:$J$135,9,FALSE)</f>
        <v>128</v>
      </c>
    </row>
    <row r="510" spans="1:17" x14ac:dyDescent="0.25">
      <c r="A510" t="str">
        <f>+Tabla3[[#This Row],[Site]]&amp;Tabla3[[#This Row],[Split]]</f>
        <v>(AS) Park Place Bodywerks Ft. Worth (NO TOURS)8</v>
      </c>
      <c r="B510">
        <v>8</v>
      </c>
      <c r="C510">
        <v>4</v>
      </c>
      <c r="D510" t="s">
        <v>33</v>
      </c>
      <c r="E510" t="s">
        <v>46</v>
      </c>
      <c r="F510" t="s">
        <v>515</v>
      </c>
      <c r="G510" t="s">
        <v>34</v>
      </c>
      <c r="H510" s="52" t="str">
        <f>VLOOKUP(Tabla3[[#This Row],[Site]],'Important Info!'!$A$1:$J$135,10,FALSE)</f>
        <v>https://tools.sig.systems/site/details/134</v>
      </c>
      <c r="I510" s="8" t="s">
        <v>128</v>
      </c>
      <c r="J510" t="s">
        <v>41</v>
      </c>
      <c r="K510" s="79" t="str">
        <f>VLOOKUP(Tabla3[[#This Row],[Site]],'Important Info!'!$A$1:$H$135,8,FALSE)</f>
        <v>-</v>
      </c>
      <c r="L510" s="52" t="str">
        <f>VLOOKUP(Tabla3[[#This Row],[Site]],'Important Info!'!$A$1:$F$135,2,FALSE)</f>
        <v>2, 3, RemoteLot5, RemoteLot9</v>
      </c>
      <c r="M510" s="52" t="str">
        <f>VLOOKUP(Tabla3[[#This Row],[Site]],'Important Info!'!$A$1:$F$135,3,FALSE)</f>
        <v>-</v>
      </c>
      <c r="N510" s="52" t="str">
        <f>VLOOKUP(Tabla3[[#This Row],[Site]],'Important Info!'!$A$1:$F$135,4,FALSE)</f>
        <v>-</v>
      </c>
      <c r="O510" s="52" t="str">
        <f>VLOOKUP(Tabla3[[#This Row],[Site]],'Important Info!'!$A$1:$F$135,5,FALSE)</f>
        <v>1, 7, RL1, RL5, RL9</v>
      </c>
      <c r="P510" s="52" t="str">
        <f>VLOOKUP(Tabla3[[#This Row],[Site]],'Important Info!'!$A$1:$F$135,6,FALSE)</f>
        <v>3, 4, 15</v>
      </c>
      <c r="Q510" s="91">
        <f>VLOOKUP(Tabla3[[#This Row],[Site]],'Important Info!'!$A$1:$J$135,9,FALSE)</f>
        <v>134</v>
      </c>
    </row>
    <row r="511" spans="1:17" x14ac:dyDescent="0.25">
      <c r="A511" t="str">
        <f>+Tabla3[[#This Row],[Site]]&amp;Tabla3[[#This Row],[Split]]</f>
        <v>(AS) Park Place Volvo Service Center (NO TOURS)8</v>
      </c>
      <c r="B511">
        <v>8</v>
      </c>
      <c r="C511">
        <v>4</v>
      </c>
      <c r="D511" t="s">
        <v>33</v>
      </c>
      <c r="E511" t="s">
        <v>46</v>
      </c>
      <c r="F511" t="s">
        <v>522</v>
      </c>
      <c r="G511" t="s">
        <v>34</v>
      </c>
      <c r="H511" s="52" t="str">
        <f>VLOOKUP(Tabla3[[#This Row],[Site]],'Important Info!'!$A$1:$J$135,10,FALSE)</f>
        <v>https://tools.sig.systems/site/details/171</v>
      </c>
      <c r="I511" s="65" t="s">
        <v>125</v>
      </c>
      <c r="J511" t="s">
        <v>41</v>
      </c>
      <c r="K511" s="79" t="str">
        <f>VLOOKUP(Tabla3[[#This Row],[Site]],'Important Info!'!$A$1:$H$135,8,FALSE)</f>
        <v>-</v>
      </c>
      <c r="L511" s="52" t="str">
        <f>VLOOKUP(Tabla3[[#This Row],[Site]],'Important Info!'!$A$1:$F$135,2,FALSE)</f>
        <v>3, 6, 9, 27, 31, 35</v>
      </c>
      <c r="M511" s="52" t="str">
        <f>VLOOKUP(Tabla3[[#This Row],[Site]],'Important Info!'!$A$1:$F$135,3,FALSE)</f>
        <v>-</v>
      </c>
      <c r="N511" s="52" t="str">
        <f>VLOOKUP(Tabla3[[#This Row],[Site]],'Important Info!'!$A$1:$F$135,4,FALSE)</f>
        <v>-</v>
      </c>
      <c r="O511" s="52" t="str">
        <f>VLOOKUP(Tabla3[[#This Row],[Site]],'Important Info!'!$A$1:$F$135,5,FALSE)</f>
        <v>27, 32</v>
      </c>
      <c r="P511" s="52" t="str">
        <f>VLOOKUP(Tabla3[[#This Row],[Site]],'Important Info!'!$A$1:$F$135,6,FALSE)</f>
        <v>-</v>
      </c>
      <c r="Q511" s="91">
        <f>VLOOKUP(Tabla3[[#This Row],[Site]],'Important Info!'!$A$1:$J$135,9,FALSE)</f>
        <v>171</v>
      </c>
    </row>
    <row r="512" spans="1:17" x14ac:dyDescent="0.25">
      <c r="A512" t="str">
        <f>+Tabla3[[#This Row],[Site]]&amp;Tabla3[[#This Row],[Split]]</f>
        <v>(DT) Colorado Springs (NO TOURS)8</v>
      </c>
      <c r="B512">
        <v>8</v>
      </c>
      <c r="C512">
        <v>4</v>
      </c>
      <c r="D512" t="s">
        <v>44</v>
      </c>
      <c r="E512" t="s">
        <v>53</v>
      </c>
      <c r="F512" t="s">
        <v>156</v>
      </c>
      <c r="G512" t="s">
        <v>45</v>
      </c>
      <c r="H512" s="52" t="str">
        <f>VLOOKUP(Tabla3[[#This Row],[Site]],'Important Info!'!$A$1:$J$135,10,FALSE)</f>
        <v>https://tools.sig.systems/site/details/198</v>
      </c>
      <c r="J512" t="s">
        <v>41</v>
      </c>
      <c r="K512" s="79" t="str">
        <f>VLOOKUP(Tabla3[[#This Row],[Site]],'Important Info!'!$A$1:$H$135,8,FALSE)</f>
        <v>-</v>
      </c>
      <c r="L512" s="52" t="str">
        <f>VLOOKUP(Tabla3[[#This Row],[Site]],'Important Info!'!$A$1:$F$135,2,FALSE)</f>
        <v>-</v>
      </c>
      <c r="M512" s="52" t="str">
        <f>VLOOKUP(Tabla3[[#This Row],[Site]],'Important Info!'!$A$1:$F$135,3,FALSE)</f>
        <v>1, 2, 3, 4</v>
      </c>
      <c r="N512" s="52" t="str">
        <f>VLOOKUP(Tabla3[[#This Row],[Site]],'Important Info!'!$A$1:$F$135,4,FALSE)</f>
        <v>-</v>
      </c>
      <c r="O512" s="52" t="str">
        <f>VLOOKUP(Tabla3[[#This Row],[Site]],'Important Info!'!$A$1:$F$135,5,FALSE)</f>
        <v>-</v>
      </c>
      <c r="P512" s="52" t="str">
        <f>VLOOKUP(Tabla3[[#This Row],[Site]],'Important Info!'!$A$1:$F$135,6,FALSE)</f>
        <v>1, 2, 3, 11</v>
      </c>
      <c r="Q512" s="91">
        <f>VLOOKUP(Tabla3[[#This Row],[Site]],'Important Info!'!$A$1:$J$135,9,FALSE)</f>
        <v>198</v>
      </c>
    </row>
    <row r="513" spans="1:17" x14ac:dyDescent="0.25">
      <c r="A513" t="str">
        <f>+Tabla3[[#This Row],[Site]]&amp;Tabla3[[#This Row],[Split]]</f>
        <v>(DT) Escondido8</v>
      </c>
      <c r="B513">
        <v>8</v>
      </c>
      <c r="C513">
        <v>4</v>
      </c>
      <c r="D513" t="s">
        <v>51</v>
      </c>
      <c r="E513" t="s">
        <v>159</v>
      </c>
      <c r="F513" t="s">
        <v>112</v>
      </c>
      <c r="G513" t="s">
        <v>164</v>
      </c>
      <c r="H513" s="52" t="str">
        <f>VLOOKUP(Tabla3[[#This Row],[Site]],'Important Info!'!$A$1:$J$135,10,FALSE)</f>
        <v>https://tools.sig.systems/site/details/196</v>
      </c>
      <c r="I513" s="43"/>
      <c r="J513" t="s">
        <v>41</v>
      </c>
      <c r="K513" s="79" t="str">
        <f>VLOOKUP(Tabla3[[#This Row],[Site]],'Important Info!'!$A$1:$H$135,8,FALSE)</f>
        <v>Saturday Drop Time 9:00 A.M.</v>
      </c>
      <c r="L513" s="52" t="str">
        <f>VLOOKUP(Tabla3[[#This Row],[Site]],'Important Info!'!$A$1:$F$135,2,FALSE)</f>
        <v>1, 2</v>
      </c>
      <c r="M513" s="52" t="str">
        <f>VLOOKUP(Tabla3[[#This Row],[Site]],'Important Info!'!$A$1:$F$135,3,FALSE)</f>
        <v>-</v>
      </c>
      <c r="N513" s="52" t="str">
        <f>VLOOKUP(Tabla3[[#This Row],[Site]],'Important Info!'!$A$1:$F$135,4,FALSE)</f>
        <v>-</v>
      </c>
      <c r="O513" s="52" t="str">
        <f>VLOOKUP(Tabla3[[#This Row],[Site]],'Important Info!'!$A$1:$F$135,5,FALSE)</f>
        <v>-</v>
      </c>
      <c r="P513" s="52" t="str">
        <f>VLOOKUP(Tabla3[[#This Row],[Site]],'Important Info!'!$A$1:$F$135,6,FALSE)</f>
        <v>5, 7, 8</v>
      </c>
      <c r="Q513" s="91">
        <f>VLOOKUP(Tabla3[[#This Row],[Site]],'Important Info!'!$A$1:$J$135,9,FALSE)</f>
        <v>196</v>
      </c>
    </row>
    <row r="514" spans="1:17" x14ac:dyDescent="0.25">
      <c r="A514" t="str">
        <f>+Tabla3[[#This Row],[Site]]&amp;Tabla3[[#This Row],[Split]]</f>
        <v>(DT) Louisville8</v>
      </c>
      <c r="B514">
        <v>8</v>
      </c>
      <c r="C514">
        <v>4</v>
      </c>
      <c r="D514" t="s">
        <v>62</v>
      </c>
      <c r="E514" t="s">
        <v>35</v>
      </c>
      <c r="F514" t="s">
        <v>99</v>
      </c>
      <c r="G514" t="s">
        <v>490</v>
      </c>
      <c r="H514" s="52" t="str">
        <f>VLOOKUP(Tabla3[[#This Row],[Site]],'Important Info!'!$A$1:$J$135,10,FALSE)</f>
        <v>https://tools.sig.systems/site/details/258</v>
      </c>
      <c r="I514" s="43"/>
      <c r="J514" t="s">
        <v>41</v>
      </c>
      <c r="K514" s="79" t="str">
        <f>VLOOKUP(Tabla3[[#This Row],[Site]],'Important Info!'!$A$1:$H$135,8,FALSE)</f>
        <v>-</v>
      </c>
      <c r="L514" s="52" t="str">
        <f>VLOOKUP(Tabla3[[#This Row],[Site]],'Important Info!'!$A$1:$F$135,2,FALSE)</f>
        <v>-</v>
      </c>
      <c r="M514" s="52">
        <f>VLOOKUP(Tabla3[[#This Row],[Site]],'Important Info!'!$A$1:$F$135,3,FALSE)</f>
        <v>3</v>
      </c>
      <c r="N514" s="52" t="str">
        <f>VLOOKUP(Tabla3[[#This Row],[Site]],'Important Info!'!$A$1:$F$135,4,FALSE)</f>
        <v>-</v>
      </c>
      <c r="O514" s="52" t="str">
        <f>VLOOKUP(Tabla3[[#This Row],[Site]],'Important Info!'!$A$1:$F$135,5,FALSE)</f>
        <v>-</v>
      </c>
      <c r="P514" s="52" t="str">
        <f>VLOOKUP(Tabla3[[#This Row],[Site]],'Important Info!'!$A$1:$F$135,6,FALSE)</f>
        <v>3, 8</v>
      </c>
      <c r="Q514" s="91">
        <f>VLOOKUP(Tabla3[[#This Row],[Site]],'Important Info!'!$A$1:$J$135,9,FALSE)</f>
        <v>258</v>
      </c>
    </row>
    <row r="515" spans="1:17" x14ac:dyDescent="0.25">
      <c r="A515" t="str">
        <f>+Tabla3[[#This Row],[Site]]&amp;Tabla3[[#This Row],[Split]]</f>
        <v>(KG) Big Star CDJR of Clear Lake8</v>
      </c>
      <c r="B515">
        <v>8</v>
      </c>
      <c r="C515">
        <v>4</v>
      </c>
      <c r="D515" t="s">
        <v>33</v>
      </c>
      <c r="E515" t="s">
        <v>46</v>
      </c>
      <c r="F515" t="s">
        <v>133</v>
      </c>
      <c r="G515" t="s">
        <v>34</v>
      </c>
      <c r="H515" s="52" t="str">
        <f>VLOOKUP(Tabla3[[#This Row],[Site]],'Important Info!'!$A$1:$J$135,10,FALSE)</f>
        <v>https://tools.sig.systems/site/details/232</v>
      </c>
      <c r="I515" s="43" t="s">
        <v>134</v>
      </c>
      <c r="J515" t="s">
        <v>41</v>
      </c>
      <c r="K515" s="79" t="str">
        <f>VLOOKUP(Tabla3[[#This Row],[Site]],'Important Info!'!$A$1:$H$135,8,FALSE)</f>
        <v>-</v>
      </c>
      <c r="L515" s="52" t="str">
        <f>VLOOKUP(Tabla3[[#This Row],[Site]],'Important Info!'!$A$1:$F$135,2,FALSE)</f>
        <v>8, 25</v>
      </c>
      <c r="M515" s="52" t="str">
        <f>VLOOKUP(Tabla3[[#This Row],[Site]],'Important Info!'!$A$1:$F$135,3,FALSE)</f>
        <v>-</v>
      </c>
      <c r="N515" s="52" t="str">
        <f>VLOOKUP(Tabla3[[#This Row],[Site]],'Important Info!'!$A$1:$F$135,4,FALSE)</f>
        <v>-</v>
      </c>
      <c r="O515" s="52" t="str">
        <f>VLOOKUP(Tabla3[[#This Row],[Site]],'Important Info!'!$A$1:$F$135,5,FALSE)</f>
        <v>7, 13, 19, 24</v>
      </c>
      <c r="P515" s="52" t="str">
        <f>VLOOKUP(Tabla3[[#This Row],[Site]],'Important Info!'!$A$1:$F$135,6,FALSE)</f>
        <v>6, 8, 25, 31</v>
      </c>
      <c r="Q515" s="91">
        <f>VLOOKUP(Tabla3[[#This Row],[Site]],'Important Info!'!$A$1:$J$135,9,FALSE)</f>
        <v>232</v>
      </c>
    </row>
    <row r="516" spans="1:17" x14ac:dyDescent="0.25">
      <c r="A516" t="str">
        <f>+Tabla3[[#This Row],[Site]]&amp;Tabla3[[#This Row],[Split]]</f>
        <v>(LM) Luther Mazda / Mitsubishi8</v>
      </c>
      <c r="B516">
        <v>8</v>
      </c>
      <c r="C516">
        <v>4</v>
      </c>
      <c r="D516" t="s">
        <v>33</v>
      </c>
      <c r="E516" t="s">
        <v>46</v>
      </c>
      <c r="F516" t="s">
        <v>103</v>
      </c>
      <c r="G516" t="s">
        <v>34</v>
      </c>
      <c r="H516" s="52" t="str">
        <f>VLOOKUP(Tabla3[[#This Row],[Site]],'Important Info!'!$A$1:$J$135,10,FALSE)</f>
        <v>https://tools.sig.systems/site/details/147</v>
      </c>
      <c r="I516" s="43" t="s">
        <v>138</v>
      </c>
      <c r="J516" t="s">
        <v>41</v>
      </c>
      <c r="K516" s="79" t="str">
        <f>VLOOKUP(Tabla3[[#This Row],[Site]],'Important Info!'!$A$1:$H$135,8,FALSE)</f>
        <v>-</v>
      </c>
      <c r="L516" s="52" t="str">
        <f>VLOOKUP(Tabla3[[#This Row],[Site]],'Important Info!'!$A$1:$F$135,2,FALSE)</f>
        <v>4, 5, 6</v>
      </c>
      <c r="M516" s="52" t="str">
        <f>VLOOKUP(Tabla3[[#This Row],[Site]],'Important Info!'!$A$1:$F$135,3,FALSE)</f>
        <v>-</v>
      </c>
      <c r="N516" s="52" t="str">
        <f>VLOOKUP(Tabla3[[#This Row],[Site]],'Important Info!'!$A$1:$F$135,4,FALSE)</f>
        <v>1, 2</v>
      </c>
      <c r="O516" s="52" t="str">
        <f>VLOOKUP(Tabla3[[#This Row],[Site]],'Important Info!'!$A$1:$F$135,5,FALSE)</f>
        <v>-</v>
      </c>
      <c r="P516" s="52" t="str">
        <f>VLOOKUP(Tabla3[[#This Row],[Site]],'Important Info!'!$A$1:$F$135,6,FALSE)</f>
        <v>13, 14, 15, 16</v>
      </c>
      <c r="Q516" s="91">
        <f>VLOOKUP(Tabla3[[#This Row],[Site]],'Important Info!'!$A$1:$J$135,9,FALSE)</f>
        <v>147</v>
      </c>
    </row>
    <row r="517" spans="1:17" x14ac:dyDescent="0.25">
      <c r="A517" t="str">
        <f>+Tabla3[[#This Row],[Site]]&amp;Tabla3[[#This Row],[Split]]</f>
        <v>(ML) Joe Machens Ford Lincoln I &amp; II8</v>
      </c>
      <c r="B517">
        <v>8</v>
      </c>
      <c r="C517">
        <v>4</v>
      </c>
      <c r="D517" t="s">
        <v>33</v>
      </c>
      <c r="E517" t="s">
        <v>46</v>
      </c>
      <c r="F517" t="s">
        <v>148</v>
      </c>
      <c r="G517" t="s">
        <v>34</v>
      </c>
      <c r="H517" s="52" t="str">
        <f>VLOOKUP(Tabla3[[#This Row],[Site]],'Important Info!'!$A$1:$J$135,10,FALSE)</f>
        <v>https://tools.sig.systems/site/details/266</v>
      </c>
      <c r="I517" s="2" t="s">
        <v>146</v>
      </c>
      <c r="J517" t="s">
        <v>41</v>
      </c>
      <c r="K517" s="79" t="str">
        <f>VLOOKUP(Tabla3[[#This Row],[Site]],'Important Info!'!$A$1:$H$135,8,FALSE)</f>
        <v>-</v>
      </c>
      <c r="L517" s="52" t="str">
        <f>VLOOKUP(Tabla3[[#This Row],[Site]],'Important Info!'!$A$1:$F$135,2,FALSE)</f>
        <v>-</v>
      </c>
      <c r="M517" s="52" t="str">
        <f>VLOOKUP(Tabla3[[#This Row],[Site]],'Important Info!'!$A$1:$F$135,3,FALSE)</f>
        <v>4, 6, 9, 13, 14, 17, 26, 27, 28, 29, 30</v>
      </c>
      <c r="N517" s="52" t="str">
        <f>VLOOKUP(Tabla3[[#This Row],[Site]],'Important Info!'!$A$1:$F$135,4,FALSE)</f>
        <v>-</v>
      </c>
      <c r="O517" s="52" t="str">
        <f>VLOOKUP(Tabla3[[#This Row],[Site]],'Important Info!'!$A$1:$F$135,5,FALSE)</f>
        <v>23, 40, 49</v>
      </c>
      <c r="P517" s="52" t="str">
        <f>VLOOKUP(Tabla3[[#This Row],[Site]],'Important Info!'!$A$1:$F$135,6,FALSE)</f>
        <v>-</v>
      </c>
      <c r="Q517" s="91">
        <f>VLOOKUP(Tabla3[[#This Row],[Site]],'Important Info!'!$A$1:$J$135,9,FALSE)</f>
        <v>266</v>
      </c>
    </row>
    <row r="518" spans="1:17" x14ac:dyDescent="0.25">
      <c r="A518" t="str">
        <f>+Tabla3[[#This Row],[Site]]&amp;Tabla3[[#This Row],[Split]]</f>
        <v>(ML) McLarty Gray-Daniels Ford Lincoln8</v>
      </c>
      <c r="B518">
        <v>8</v>
      </c>
      <c r="C518">
        <v>4</v>
      </c>
      <c r="D518" t="s">
        <v>33</v>
      </c>
      <c r="E518" t="s">
        <v>46</v>
      </c>
      <c r="F518" t="s">
        <v>89</v>
      </c>
      <c r="G518" t="s">
        <v>34</v>
      </c>
      <c r="H518" s="52" t="str">
        <f>VLOOKUP(Tabla3[[#This Row],[Site]],'Important Info!'!$A$1:$J$135,10,FALSE)</f>
        <v>https://tools.sig.systems/site/details/151</v>
      </c>
      <c r="I518" s="43" t="s">
        <v>150</v>
      </c>
      <c r="J518" t="s">
        <v>41</v>
      </c>
      <c r="K518" s="79" t="str">
        <f>VLOOKUP(Tabla3[[#This Row],[Site]],'Important Info!'!$A$1:$H$135,8,FALSE)</f>
        <v>-</v>
      </c>
      <c r="L518" s="52">
        <f>VLOOKUP(Tabla3[[#This Row],[Site]],'Important Info!'!$A$1:$F$135,2,FALSE)</f>
        <v>16</v>
      </c>
      <c r="M518" s="52" t="str">
        <f>VLOOKUP(Tabla3[[#This Row],[Site]],'Important Info!'!$A$1:$F$135,3,FALSE)</f>
        <v>5, 10, 36, 38, 54, 58B</v>
      </c>
      <c r="N518" s="52" t="str">
        <f>VLOOKUP(Tabla3[[#This Row],[Site]],'Important Info!'!$A$1:$F$135,4,FALSE)</f>
        <v>-</v>
      </c>
      <c r="O518" s="52" t="str">
        <f>VLOOKUP(Tabla3[[#This Row],[Site]],'Important Info!'!$A$1:$F$135,5,FALSE)</f>
        <v>5, 17, 37</v>
      </c>
      <c r="P518" s="52" t="str">
        <f>VLOOKUP(Tabla3[[#This Row],[Site]],'Important Info!'!$A$1:$F$135,6,FALSE)</f>
        <v>1, 2, 3, 4</v>
      </c>
      <c r="Q518" s="91">
        <f>VLOOKUP(Tabla3[[#This Row],[Site]],'Important Info!'!$A$1:$J$135,9,FALSE)</f>
        <v>151</v>
      </c>
    </row>
    <row r="519" spans="1:17" x14ac:dyDescent="0.25">
      <c r="A519" t="str">
        <f>+Tabla3[[#This Row],[Site]]&amp;Tabla3[[#This Row],[Split]]</f>
        <v>(PE) BMW of Greenwich (NO TOURS)8</v>
      </c>
      <c r="B519">
        <v>8</v>
      </c>
      <c r="C519">
        <v>4</v>
      </c>
      <c r="D519" t="s">
        <v>485</v>
      </c>
      <c r="E519" t="s">
        <v>35</v>
      </c>
      <c r="F519" t="s">
        <v>170</v>
      </c>
      <c r="G519" t="s">
        <v>490</v>
      </c>
      <c r="H519" s="52" t="str">
        <f>VLOOKUP(Tabla3[[#This Row],[Site]],'Important Info!'!$A$1:$J$135,10,FALSE)</f>
        <v>https://tools.sig.systems/site/details/186</v>
      </c>
      <c r="I519" s="43" t="s">
        <v>171</v>
      </c>
      <c r="J519" t="s">
        <v>41</v>
      </c>
      <c r="K519" s="79" t="str">
        <f>VLOOKUP(Tabla3[[#This Row],[Site]],'Important Info!'!$A$1:$H$135,8,FALSE)</f>
        <v>-</v>
      </c>
      <c r="L519" s="52" t="str">
        <f>VLOOKUP(Tabla3[[#This Row],[Site]],'Important Info!'!$A$1:$F$135,2,FALSE)</f>
        <v>1, 6, 15</v>
      </c>
      <c r="M519" s="52" t="str">
        <f>VLOOKUP(Tabla3[[#This Row],[Site]],'Important Info!'!$A$1:$F$135,3,FALSE)</f>
        <v>-</v>
      </c>
      <c r="N519" s="52" t="str">
        <f>VLOOKUP(Tabla3[[#This Row],[Site]],'Important Info!'!$A$1:$F$135,4,FALSE)</f>
        <v>-</v>
      </c>
      <c r="O519" s="52" t="str">
        <f>VLOOKUP(Tabla3[[#This Row],[Site]],'Important Info!'!$A$1:$F$135,5,FALSE)</f>
        <v>-</v>
      </c>
      <c r="P519" s="52">
        <f>VLOOKUP(Tabla3[[#This Row],[Site]],'Important Info!'!$A$1:$F$135,6,FALSE)</f>
        <v>12</v>
      </c>
      <c r="Q519" s="91">
        <f>VLOOKUP(Tabla3[[#This Row],[Site]],'Important Info!'!$A$1:$J$135,9,FALSE)</f>
        <v>186</v>
      </c>
    </row>
    <row r="520" spans="1:17" x14ac:dyDescent="0.25">
      <c r="A520" t="str">
        <f>+Tabla3[[#This Row],[Site]]&amp;Tabla3[[#This Row],[Split]]</f>
        <v>(PE) JLR Darien PDI (NO TOURS)8</v>
      </c>
      <c r="B520">
        <v>8</v>
      </c>
      <c r="C520">
        <v>4</v>
      </c>
      <c r="D520" t="s">
        <v>485</v>
      </c>
      <c r="E520" t="s">
        <v>35</v>
      </c>
      <c r="F520" t="s">
        <v>98</v>
      </c>
      <c r="G520" t="s">
        <v>490</v>
      </c>
      <c r="H520" s="52" t="str">
        <f>VLOOKUP(Tabla3[[#This Row],[Site]],'Important Info!'!$A$1:$J$135,10,FALSE)</f>
        <v>https://tools.sig.systems/site/details/187</v>
      </c>
      <c r="I520" s="2" t="s">
        <v>175</v>
      </c>
      <c r="J520" t="s">
        <v>41</v>
      </c>
      <c r="K520" s="79" t="str">
        <f>VLOOKUP(Tabla3[[#This Row],[Site]],'Important Info!'!$A$1:$H$135,8,FALSE)</f>
        <v>-</v>
      </c>
      <c r="L520" s="52">
        <f>VLOOKUP(Tabla3[[#This Row],[Site]],'Important Info!'!$A$1:$F$135,2,FALSE)</f>
        <v>1</v>
      </c>
      <c r="M520" s="52" t="str">
        <f>VLOOKUP(Tabla3[[#This Row],[Site]],'Important Info!'!$A$1:$F$135,3,FALSE)</f>
        <v>-</v>
      </c>
      <c r="N520" s="52" t="str">
        <f>VLOOKUP(Tabla3[[#This Row],[Site]],'Important Info!'!$A$1:$F$135,4,FALSE)</f>
        <v>-</v>
      </c>
      <c r="O520" s="52">
        <f>VLOOKUP(Tabla3[[#This Row],[Site]],'Important Info!'!$A$1:$F$135,5,FALSE)</f>
        <v>1</v>
      </c>
      <c r="P520" s="52">
        <f>VLOOKUP(Tabla3[[#This Row],[Site]],'Important Info!'!$A$1:$F$135,6,FALSE)</f>
        <v>7</v>
      </c>
      <c r="Q520" s="91">
        <f>VLOOKUP(Tabla3[[#This Row],[Site]],'Important Info!'!$A$1:$J$135,9,FALSE)</f>
        <v>187</v>
      </c>
    </row>
    <row r="521" spans="1:17" x14ac:dyDescent="0.25">
      <c r="A521" t="str">
        <f>+Tabla3[[#This Row],[Site]]&amp;Tabla3[[#This Row],[Split]]</f>
        <v>(PE) Scofield Service Center (NO TOURS)8</v>
      </c>
      <c r="B521">
        <v>8</v>
      </c>
      <c r="C521">
        <v>4</v>
      </c>
      <c r="D521" t="s">
        <v>485</v>
      </c>
      <c r="E521" t="s">
        <v>35</v>
      </c>
      <c r="F521" t="s">
        <v>83</v>
      </c>
      <c r="G521" t="s">
        <v>490</v>
      </c>
      <c r="H521" s="52" t="str">
        <f>VLOOKUP(Tabla3[[#This Row],[Site]],'Important Info!'!$A$1:$J$135,10,FALSE)</f>
        <v>https://tools.sig.systems/site/details/193</v>
      </c>
      <c r="I521" s="43" t="s">
        <v>177</v>
      </c>
      <c r="J521" t="s">
        <v>41</v>
      </c>
      <c r="K521" s="79" t="str">
        <f>VLOOKUP(Tabla3[[#This Row],[Site]],'Important Info!'!$A$1:$H$135,8,FALSE)</f>
        <v>-</v>
      </c>
      <c r="L521" s="52">
        <f>VLOOKUP(Tabla3[[#This Row],[Site]],'Important Info!'!$A$1:$F$135,2,FALSE)</f>
        <v>1</v>
      </c>
      <c r="M521" s="52" t="str">
        <f>VLOOKUP(Tabla3[[#This Row],[Site]],'Important Info!'!$A$1:$F$135,3,FALSE)</f>
        <v>-</v>
      </c>
      <c r="N521" s="52" t="str">
        <f>VLOOKUP(Tabla3[[#This Row],[Site]],'Important Info!'!$A$1:$F$135,4,FALSE)</f>
        <v>-</v>
      </c>
      <c r="O521" s="52">
        <f>VLOOKUP(Tabla3[[#This Row],[Site]],'Important Info!'!$A$1:$F$135,5,FALSE)</f>
        <v>9</v>
      </c>
      <c r="P521" s="52" t="str">
        <f>VLOOKUP(Tabla3[[#This Row],[Site]],'Important Info!'!$A$1:$F$135,6,FALSE)</f>
        <v>1, 17</v>
      </c>
      <c r="Q521" s="91">
        <f>VLOOKUP(Tabla3[[#This Row],[Site]],'Important Info!'!$A$1:$J$135,9,FALSE)</f>
        <v>193</v>
      </c>
    </row>
    <row r="522" spans="1:17" x14ac:dyDescent="0.25">
      <c r="A522" t="str">
        <f>+Tabla3[[#This Row],[Site]]&amp;Tabla3[[#This Row],[Split]]</f>
        <v>(TC) Tavernier Creek Marina (NO TOURS)8</v>
      </c>
      <c r="B522">
        <v>8</v>
      </c>
      <c r="C522">
        <v>4</v>
      </c>
      <c r="D522" t="s">
        <v>62</v>
      </c>
      <c r="E522" t="s">
        <v>35</v>
      </c>
      <c r="F522" t="s">
        <v>119</v>
      </c>
      <c r="G522" t="s">
        <v>34</v>
      </c>
      <c r="H522" s="52" t="str">
        <f>VLOOKUP(Tabla3[[#This Row],[Site]],'Important Info!'!$A$1:$J$135,10,FALSE)</f>
        <v>https://tools.sig.systems/site/details/164</v>
      </c>
      <c r="J522" t="s">
        <v>45</v>
      </c>
      <c r="K522" s="79" t="str">
        <f>VLOOKUP(Tabla3[[#This Row],[Site]],'Important Info!'!$A$1:$H$135,8,FALSE)</f>
        <v>-</v>
      </c>
      <c r="L522" s="52" t="str">
        <f>VLOOKUP(Tabla3[[#This Row],[Site]],'Important Info!'!$A$1:$F$135,2,FALSE)</f>
        <v>28, 29</v>
      </c>
      <c r="M522" s="52" t="str">
        <f>VLOOKUP(Tabla3[[#This Row],[Site]],'Important Info!'!$A$1:$F$135,3,FALSE)</f>
        <v>-</v>
      </c>
      <c r="N522" s="52" t="str">
        <f>VLOOKUP(Tabla3[[#This Row],[Site]],'Important Info!'!$A$1:$F$135,4,FALSE)</f>
        <v>-</v>
      </c>
      <c r="O522" s="52" t="str">
        <f>VLOOKUP(Tabla3[[#This Row],[Site]],'Important Info!'!$A$1:$F$135,5,FALSE)</f>
        <v>-</v>
      </c>
      <c r="P522" s="52" t="str">
        <f>VLOOKUP(Tabla3[[#This Row],[Site]],'Important Info!'!$A$1:$F$135,6,FALSE)</f>
        <v>5, 28, 29</v>
      </c>
      <c r="Q522" s="91">
        <f>VLOOKUP(Tabla3[[#This Row],[Site]],'Important Info!'!$A$1:$J$135,9,FALSE)</f>
        <v>164</v>
      </c>
    </row>
    <row r="523" spans="1:17" x14ac:dyDescent="0.25">
      <c r="A523" t="str">
        <f>+Tabla3[[#This Row],[Site]]&amp;Tabla3[[#This Row],[Split]]</f>
        <v>(WAG) Greeley Chrysler Dodge Jeep Ram (NO TOURS)8</v>
      </c>
      <c r="B523">
        <v>8</v>
      </c>
      <c r="C523">
        <v>4</v>
      </c>
      <c r="D523" t="s">
        <v>44</v>
      </c>
      <c r="E523" t="s">
        <v>53</v>
      </c>
      <c r="F523" t="s">
        <v>497</v>
      </c>
      <c r="G523" t="s">
        <v>45</v>
      </c>
      <c r="H523" s="52" t="str">
        <f>VLOOKUP(Tabla3[[#This Row],[Site]],'Important Info!'!$A$1:$J$135,10,FALSE)</f>
        <v>https://tools.sig.systems/site/details/130</v>
      </c>
      <c r="I523" t="s">
        <v>153</v>
      </c>
      <c r="J523" t="s">
        <v>41</v>
      </c>
      <c r="K523" s="79" t="str">
        <f>VLOOKUP(Tabla3[[#This Row],[Site]],'Important Info!'!$A$1:$H$135,8,FALSE)</f>
        <v>-</v>
      </c>
      <c r="L523" s="52" t="str">
        <f>VLOOKUP(Tabla3[[#This Row],[Site]],'Important Info!'!$A$1:$F$135,2,FALSE)</f>
        <v>17, 23 &amp; 18</v>
      </c>
      <c r="M523" s="52" t="str">
        <f>VLOOKUP(Tabla3[[#This Row],[Site]],'Important Info!'!$A$1:$F$135,3,FALSE)</f>
        <v>4, 5, 6, 7, 8, 51, 55</v>
      </c>
      <c r="N523" s="52" t="str">
        <f>VLOOKUP(Tabla3[[#This Row],[Site]],'Important Info!'!$A$1:$F$135,4,FALSE)</f>
        <v>-</v>
      </c>
      <c r="O523" s="52" t="str">
        <f>VLOOKUP(Tabla3[[#This Row],[Site]],'Important Info!'!$A$1:$F$135,5,FALSE)</f>
        <v>3, 13, 17, 49, 53, 59</v>
      </c>
      <c r="P523" s="52" t="str">
        <f>VLOOKUP(Tabla3[[#This Row],[Site]],'Important Info!'!$A$1:$F$135,6,FALSE)</f>
        <v>8, 9, 10, 51, 62</v>
      </c>
      <c r="Q523" s="91">
        <f>VLOOKUP(Tabla3[[#This Row],[Site]],'Important Info!'!$A$1:$J$135,9,FALSE)</f>
        <v>130</v>
      </c>
    </row>
    <row r="524" spans="1:17" x14ac:dyDescent="0.25">
      <c r="A524" t="str">
        <f>+Tabla3[[#This Row],[Site]]&amp;Tabla3[[#This Row],[Split]]</f>
        <v>(AS) Atwell Prep Center-Dallas (NO TOURS)8</v>
      </c>
      <c r="B524">
        <v>8</v>
      </c>
      <c r="C524">
        <v>5</v>
      </c>
      <c r="D524" t="s">
        <v>33</v>
      </c>
      <c r="E524" t="s">
        <v>46</v>
      </c>
      <c r="F524" t="s">
        <v>498</v>
      </c>
      <c r="G524" t="s">
        <v>34</v>
      </c>
      <c r="H524" s="52" t="str">
        <f>VLOOKUP(Tabla3[[#This Row],[Site]],'Important Info!'!$A$1:$J$135,10,FALSE)</f>
        <v>https://tools.sig.systems/site/details/165</v>
      </c>
      <c r="I524" s="65" t="s">
        <v>125</v>
      </c>
      <c r="J524" t="s">
        <v>41</v>
      </c>
      <c r="K524" s="79" t="str">
        <f>VLOOKUP(Tabla3[[#This Row],[Site]],'Important Info!'!$A$1:$H$135,8,FALSE)</f>
        <v>-</v>
      </c>
      <c r="L524" s="52" t="str">
        <f>VLOOKUP(Tabla3[[#This Row],[Site]],'Important Info!'!$A$1:$F$135,2,FALSE)</f>
        <v>4, 6, 7</v>
      </c>
      <c r="M524" s="52" t="str">
        <f>VLOOKUP(Tabla3[[#This Row],[Site]],'Important Info!'!$A$1:$F$135,3,FALSE)</f>
        <v>-</v>
      </c>
      <c r="N524" s="52" t="str">
        <f>VLOOKUP(Tabla3[[#This Row],[Site]],'Important Info!'!$A$1:$F$135,4,FALSE)</f>
        <v>-</v>
      </c>
      <c r="O524" s="52" t="str">
        <f>VLOOKUP(Tabla3[[#This Row],[Site]],'Important Info!'!$A$1:$F$135,5,FALSE)</f>
        <v>-</v>
      </c>
      <c r="P524" s="52" t="str">
        <f>VLOOKUP(Tabla3[[#This Row],[Site]],'Important Info!'!$A$1:$F$135,6,FALSE)</f>
        <v>1, 2</v>
      </c>
      <c r="Q524" s="91">
        <f>VLOOKUP(Tabla3[[#This Row],[Site]],'Important Info!'!$A$1:$J$135,9,FALSE)</f>
        <v>165</v>
      </c>
    </row>
    <row r="525" spans="1:17" x14ac:dyDescent="0.25">
      <c r="A525" t="str">
        <f>+Tabla3[[#This Row],[Site]]&amp;Tabla3[[#This Row],[Split]]</f>
        <v>(AS) Audi of North Atlanta (NO TOURS)8</v>
      </c>
      <c r="B525">
        <v>8</v>
      </c>
      <c r="C525">
        <v>5</v>
      </c>
      <c r="D525" t="s">
        <v>62</v>
      </c>
      <c r="E525" t="s">
        <v>35</v>
      </c>
      <c r="F525" t="s">
        <v>499</v>
      </c>
      <c r="G525" t="s">
        <v>490</v>
      </c>
      <c r="H525" s="52" t="str">
        <f>VLOOKUP(Tabla3[[#This Row],[Site]],'Important Info!'!$A$1:$J$135,10,FALSE)</f>
        <v>https://tools.sig.systems/site/details/124</v>
      </c>
      <c r="I525" s="43" t="s">
        <v>166</v>
      </c>
      <c r="J525" t="s">
        <v>41</v>
      </c>
      <c r="K525" s="79" t="str">
        <f>VLOOKUP(Tabla3[[#This Row],[Site]],'Important Info!'!$A$1:$H$135,8,FALSE)</f>
        <v>-</v>
      </c>
      <c r="L525" s="52" t="str">
        <f>VLOOKUP(Tabla3[[#This Row],[Site]],'Important Info!'!$A$1:$F$135,2,FALSE)</f>
        <v>1, 5, 16, 54</v>
      </c>
      <c r="M525" s="52" t="str">
        <f>VLOOKUP(Tabla3[[#This Row],[Site]],'Important Info!'!$A$1:$F$135,3,FALSE)</f>
        <v>-</v>
      </c>
      <c r="N525" s="52" t="str">
        <f>VLOOKUP(Tabla3[[#This Row],[Site]],'Important Info!'!$A$1:$F$135,4,FALSE)</f>
        <v>-</v>
      </c>
      <c r="O525" s="52" t="str">
        <f>VLOOKUP(Tabla3[[#This Row],[Site]],'Important Info!'!$A$1:$F$135,5,FALSE)</f>
        <v>3, 16</v>
      </c>
      <c r="P525" s="52" t="str">
        <f>VLOOKUP(Tabla3[[#This Row],[Site]],'Important Info!'!$A$1:$F$135,6,FALSE)</f>
        <v>2, 5, 6</v>
      </c>
      <c r="Q525" s="91">
        <f>VLOOKUP(Tabla3[[#This Row],[Site]],'Important Info!'!$A$1:$J$135,9,FALSE)</f>
        <v>124</v>
      </c>
    </row>
    <row r="526" spans="1:17" x14ac:dyDescent="0.25">
      <c r="A526" t="str">
        <f>+Tabla3[[#This Row],[Site]]&amp;Tabla3[[#This Row],[Split]]</f>
        <v>(AS) Courtesy Honda Palm Harbor (NO TOURS)8</v>
      </c>
      <c r="B526">
        <v>8</v>
      </c>
      <c r="C526">
        <v>5</v>
      </c>
      <c r="D526" t="s">
        <v>62</v>
      </c>
      <c r="E526" t="s">
        <v>35</v>
      </c>
      <c r="F526" t="s">
        <v>108</v>
      </c>
      <c r="G526" t="s">
        <v>490</v>
      </c>
      <c r="H526" s="52" t="str">
        <f>VLOOKUP(Tabla3[[#This Row],[Site]],'Important Info!'!$A$1:$J$135,10,FALSE)</f>
        <v>https://tools.sig.systems/site/details/176</v>
      </c>
      <c r="I526" s="43"/>
      <c r="J526" t="s">
        <v>36</v>
      </c>
      <c r="K526" s="79" t="str">
        <f>VLOOKUP(Tabla3[[#This Row],[Site]],'Important Info!'!$A$1:$H$135,8,FALSE)</f>
        <v>-</v>
      </c>
      <c r="L526" s="52">
        <f>VLOOKUP(Tabla3[[#This Row],[Site]],'Important Info!'!$A$1:$F$135,2,FALSE)</f>
        <v>2</v>
      </c>
      <c r="M526" s="52" t="str">
        <f>VLOOKUP(Tabla3[[#This Row],[Site]],'Important Info!'!$A$1:$F$135,3,FALSE)</f>
        <v>-</v>
      </c>
      <c r="N526" s="52" t="str">
        <f>VLOOKUP(Tabla3[[#This Row],[Site]],'Important Info!'!$A$1:$F$135,4,FALSE)</f>
        <v>-</v>
      </c>
      <c r="O526" s="52" t="str">
        <f>VLOOKUP(Tabla3[[#This Row],[Site]],'Important Info!'!$A$1:$F$135,5,FALSE)</f>
        <v>4, 8, 21</v>
      </c>
      <c r="P526" s="52">
        <f>VLOOKUP(Tabla3[[#This Row],[Site]],'Important Info!'!$A$1:$F$135,6,FALSE)</f>
        <v>10</v>
      </c>
      <c r="Q526" s="91">
        <f>VLOOKUP(Tabla3[[#This Row],[Site]],'Important Info!'!$A$1:$J$135,9,FALSE)</f>
        <v>176</v>
      </c>
    </row>
    <row r="527" spans="1:17" x14ac:dyDescent="0.25">
      <c r="A527" t="str">
        <f>+Tabla3[[#This Row],[Site]]&amp;Tabla3[[#This Row],[Split]]</f>
        <v>(AS) Park Place Bodywerks Dallas (NO TOURS)8</v>
      </c>
      <c r="B527">
        <v>8</v>
      </c>
      <c r="C527">
        <v>5</v>
      </c>
      <c r="D527" t="s">
        <v>33</v>
      </c>
      <c r="E527" t="s">
        <v>46</v>
      </c>
      <c r="F527" t="s">
        <v>514</v>
      </c>
      <c r="G527" t="s">
        <v>34</v>
      </c>
      <c r="H527" s="52" t="str">
        <f>VLOOKUP(Tabla3[[#This Row],[Site]],'Important Info!'!$A$1:$J$135,10,FALSE)</f>
        <v>https://tools.sig.systems/site/details/166</v>
      </c>
      <c r="I527" s="65" t="s">
        <v>125</v>
      </c>
      <c r="J527" t="s">
        <v>41</v>
      </c>
      <c r="K527" s="79" t="str">
        <f>VLOOKUP(Tabla3[[#This Row],[Site]],'Important Info!'!$A$1:$H$135,8,FALSE)</f>
        <v>-</v>
      </c>
      <c r="L527" s="52">
        <f>VLOOKUP(Tabla3[[#This Row],[Site]],'Important Info!'!$A$1:$F$135,2,FALSE)</f>
        <v>3</v>
      </c>
      <c r="M527" s="52">
        <f>VLOOKUP(Tabla3[[#This Row],[Site]],'Important Info!'!$A$1:$F$135,3,FALSE)</f>
        <v>1</v>
      </c>
      <c r="N527" s="52" t="str">
        <f>VLOOKUP(Tabla3[[#This Row],[Site]],'Important Info!'!$A$1:$F$135,4,FALSE)</f>
        <v>-</v>
      </c>
      <c r="O527" s="52" t="str">
        <f>VLOOKUP(Tabla3[[#This Row],[Site]],'Important Info!'!$A$1:$F$135,5,FALSE)</f>
        <v>-</v>
      </c>
      <c r="P527" s="52" t="str">
        <f>VLOOKUP(Tabla3[[#This Row],[Site]],'Important Info!'!$A$1:$F$135,6,FALSE)</f>
        <v>1, 2, 8</v>
      </c>
      <c r="Q527" s="91">
        <f>VLOOKUP(Tabla3[[#This Row],[Site]],'Important Info!'!$A$1:$J$135,9,FALSE)</f>
        <v>166</v>
      </c>
    </row>
    <row r="528" spans="1:17" x14ac:dyDescent="0.25">
      <c r="A528" t="str">
        <f>+Tabla3[[#This Row],[Site]]&amp;Tabla3[[#This Row],[Split]]</f>
        <v>(AS) Plano Auction (NO SPEAKERS)8</v>
      </c>
      <c r="B528">
        <v>8</v>
      </c>
      <c r="C528">
        <v>5</v>
      </c>
      <c r="D528" t="s">
        <v>33</v>
      </c>
      <c r="E528" t="s">
        <v>46</v>
      </c>
      <c r="F528" t="s">
        <v>129</v>
      </c>
      <c r="G528" t="s">
        <v>34</v>
      </c>
      <c r="H528" s="52" t="str">
        <f>VLOOKUP(Tabla3[[#This Row],[Site]],'Important Info!'!$A$1:$J$135,10,FALSE)</f>
        <v>https://tools.sig.systems/site/details/140</v>
      </c>
      <c r="J528" t="s">
        <v>41</v>
      </c>
      <c r="K528" s="79" t="str">
        <f>VLOOKUP(Tabla3[[#This Row],[Site]],'Important Info!'!$A$1:$H$135,8,FALSE)</f>
        <v>-</v>
      </c>
      <c r="L528" s="52" t="str">
        <f>VLOOKUP(Tabla3[[#This Row],[Site]],'Important Info!'!$A$1:$F$135,2,FALSE)</f>
        <v>-</v>
      </c>
      <c r="M528" s="52" t="str">
        <f>VLOOKUP(Tabla3[[#This Row],[Site]],'Important Info!'!$A$1:$F$135,3,FALSE)</f>
        <v>3, 4, 19</v>
      </c>
      <c r="N528" s="52" t="str">
        <f>VLOOKUP(Tabla3[[#This Row],[Site]],'Important Info!'!$A$1:$F$135,4,FALSE)</f>
        <v>-</v>
      </c>
      <c r="O528" s="52" t="str">
        <f>VLOOKUP(Tabla3[[#This Row],[Site]],'Important Info!'!$A$1:$F$135,5,FALSE)</f>
        <v>5, 19</v>
      </c>
      <c r="P528" s="52">
        <f>VLOOKUP(Tabla3[[#This Row],[Site]],'Important Info!'!$A$1:$F$135,6,FALSE)</f>
        <v>21</v>
      </c>
      <c r="Q528" s="91">
        <f>VLOOKUP(Tabla3[[#This Row],[Site]],'Important Info!'!$A$1:$J$135,9,FALSE)</f>
        <v>140</v>
      </c>
    </row>
    <row r="529" spans="1:17" x14ac:dyDescent="0.25">
      <c r="A529" t="str">
        <f>+Tabla3[[#This Row],[Site]]&amp;Tabla3[[#This Row],[Split]]</f>
        <v>(DT) Denver (NO TOURS)8</v>
      </c>
      <c r="B529">
        <v>8</v>
      </c>
      <c r="C529">
        <v>5</v>
      </c>
      <c r="D529" t="s">
        <v>44</v>
      </c>
      <c r="E529" t="s">
        <v>53</v>
      </c>
      <c r="F529" t="s">
        <v>157</v>
      </c>
      <c r="G529" t="s">
        <v>45</v>
      </c>
      <c r="H529" s="52" t="str">
        <f>VLOOKUP(Tabla3[[#This Row],[Site]],'Important Info!'!$A$1:$J$135,10,FALSE)</f>
        <v>https://tools.sig.systems/site/details/203</v>
      </c>
      <c r="I529" s="43" t="s">
        <v>158</v>
      </c>
      <c r="J529" t="s">
        <v>41</v>
      </c>
      <c r="K529" s="79" t="str">
        <f>VLOOKUP(Tabla3[[#This Row],[Site]],'Important Info!'!$A$1:$H$135,8,FALSE)</f>
        <v>-</v>
      </c>
      <c r="L529" s="52" t="str">
        <f>VLOOKUP(Tabla3[[#This Row],[Site]],'Important Info!'!$A$1:$F$135,2,FALSE)</f>
        <v>-</v>
      </c>
      <c r="M529" s="52" t="str">
        <f>VLOOKUP(Tabla3[[#This Row],[Site]],'Important Info!'!$A$1:$F$135,3,FALSE)</f>
        <v>7, 8</v>
      </c>
      <c r="N529" s="52" t="str">
        <f>VLOOKUP(Tabla3[[#This Row],[Site]],'Important Info!'!$A$1:$F$135,4,FALSE)</f>
        <v>-</v>
      </c>
      <c r="O529" s="52" t="str">
        <f>VLOOKUP(Tabla3[[#This Row],[Site]],'Important Info!'!$A$1:$F$135,5,FALSE)</f>
        <v>-</v>
      </c>
      <c r="P529" s="52" t="str">
        <f>VLOOKUP(Tabla3[[#This Row],[Site]],'Important Info!'!$A$1:$F$135,6,FALSE)</f>
        <v>7, 8</v>
      </c>
      <c r="Q529" s="91">
        <f>VLOOKUP(Tabla3[[#This Row],[Site]],'Important Info!'!$A$1:$J$135,9,FALSE)</f>
        <v>203</v>
      </c>
    </row>
    <row r="530" spans="1:17" x14ac:dyDescent="0.25">
      <c r="A530" t="str">
        <f>+Tabla3[[#This Row],[Site]]&amp;Tabla3[[#This Row],[Split]]</f>
        <v>(DT) El Cajon (NO TOURS)8</v>
      </c>
      <c r="B530">
        <v>8</v>
      </c>
      <c r="C530">
        <v>5</v>
      </c>
      <c r="D530" t="s">
        <v>51</v>
      </c>
      <c r="E530" t="s">
        <v>159</v>
      </c>
      <c r="F530" s="41" t="s">
        <v>160</v>
      </c>
      <c r="G530" t="s">
        <v>52</v>
      </c>
      <c r="H530" s="52" t="str">
        <f>VLOOKUP(Tabla3[[#This Row],[Site]],'Important Info!'!$A$1:$J$135,10,FALSE)</f>
        <v>https://tools.sig.systems/site/details/241</v>
      </c>
      <c r="I530" s="43"/>
      <c r="J530" t="s">
        <v>41</v>
      </c>
      <c r="K530" s="79" t="str">
        <f>VLOOKUP(Tabla3[[#This Row],[Site]],'Important Info!'!$A$1:$H$135,8,FALSE)</f>
        <v>-</v>
      </c>
      <c r="L530" s="52" t="str">
        <f>VLOOKUP(Tabla3[[#This Row],[Site]],'Important Info!'!$A$1:$F$135,2,FALSE)</f>
        <v>-</v>
      </c>
      <c r="M530" s="52">
        <f>VLOOKUP(Tabla3[[#This Row],[Site]],'Important Info!'!$A$1:$F$135,3,FALSE)</f>
        <v>3</v>
      </c>
      <c r="N530" s="52" t="str">
        <f>VLOOKUP(Tabla3[[#This Row],[Site]],'Important Info!'!$A$1:$F$135,4,FALSE)</f>
        <v>-</v>
      </c>
      <c r="O530" s="52" t="str">
        <f>VLOOKUP(Tabla3[[#This Row],[Site]],'Important Info!'!$A$1:$F$135,5,FALSE)</f>
        <v>-</v>
      </c>
      <c r="P530" s="52" t="str">
        <f>VLOOKUP(Tabla3[[#This Row],[Site]],'Important Info!'!$A$1:$F$135,6,FALSE)</f>
        <v>-</v>
      </c>
      <c r="Q530" s="91">
        <f>VLOOKUP(Tabla3[[#This Row],[Site]],'Important Info!'!$A$1:$J$135,9,FALSE)</f>
        <v>241</v>
      </c>
    </row>
    <row r="531" spans="1:17" x14ac:dyDescent="0.25">
      <c r="A531" t="str">
        <f>+Tabla3[[#This Row],[Site]]&amp;Tabla3[[#This Row],[Split]]</f>
        <v>(HUD) Acura of Greensboro8</v>
      </c>
      <c r="B531">
        <v>8</v>
      </c>
      <c r="C531">
        <v>5</v>
      </c>
      <c r="D531" t="s">
        <v>62</v>
      </c>
      <c r="E531" t="s">
        <v>35</v>
      </c>
      <c r="F531" t="s">
        <v>100</v>
      </c>
      <c r="G531" t="s">
        <v>490</v>
      </c>
      <c r="H531" s="52" t="str">
        <f>VLOOKUP(Tabla3[[#This Row],[Site]],'Important Info!'!$A$1:$J$135,10,FALSE)</f>
        <v>https://tools.sig.systems/site/details/213</v>
      </c>
      <c r="I531" t="s">
        <v>182</v>
      </c>
      <c r="J531" t="s">
        <v>41</v>
      </c>
      <c r="K531" s="79" t="str">
        <f>VLOOKUP(Tabla3[[#This Row],[Site]],'Important Info!'!$A$1:$H$135,8,FALSE)</f>
        <v>-</v>
      </c>
      <c r="L531" s="52" t="str">
        <f>VLOOKUP(Tabla3[[#This Row],[Site]],'Important Info!'!$A$1:$F$135,2,FALSE)</f>
        <v>1, 2, 6, 7, 9</v>
      </c>
      <c r="M531" s="52" t="str">
        <f>VLOOKUP(Tabla3[[#This Row],[Site]],'Important Info!'!$A$1:$F$135,3,FALSE)</f>
        <v>-</v>
      </c>
      <c r="N531" s="52" t="str">
        <f>VLOOKUP(Tabla3[[#This Row],[Site]],'Important Info!'!$A$1:$F$135,4,FALSE)</f>
        <v>-</v>
      </c>
      <c r="O531" s="52" t="str">
        <f>VLOOKUP(Tabla3[[#This Row],[Site]],'Important Info!'!$A$1:$F$135,5,FALSE)</f>
        <v>2, 5</v>
      </c>
      <c r="P531" s="52" t="str">
        <f>VLOOKUP(Tabla3[[#This Row],[Site]],'Important Info!'!$A$1:$F$135,6,FALSE)</f>
        <v>1, 2, 6, 7, 9, 18</v>
      </c>
      <c r="Q531" s="91">
        <f>VLOOKUP(Tabla3[[#This Row],[Site]],'Important Info!'!$A$1:$J$135,9,FALSE)</f>
        <v>213</v>
      </c>
    </row>
    <row r="532" spans="1:17" x14ac:dyDescent="0.25">
      <c r="A532" t="str">
        <f>+Tabla3[[#This Row],[Site]]&amp;Tabla3[[#This Row],[Split]]</f>
        <v>(JE) Jim Ellis Ford Sandy Springs8</v>
      </c>
      <c r="B532">
        <v>8</v>
      </c>
      <c r="C532">
        <v>5</v>
      </c>
      <c r="D532" t="s">
        <v>62</v>
      </c>
      <c r="E532" t="s">
        <v>35</v>
      </c>
      <c r="F532" t="s">
        <v>187</v>
      </c>
      <c r="G532" t="s">
        <v>490</v>
      </c>
      <c r="H532" s="52" t="str">
        <f>VLOOKUP(Tabla3[[#This Row],[Site]],'Important Info!'!$A$1:$J$135,10,FALSE)</f>
        <v>https://tools.sig.systems/site/details/142</v>
      </c>
      <c r="J532" t="s">
        <v>41</v>
      </c>
      <c r="K532" s="79" t="str">
        <f>VLOOKUP(Tabla3[[#This Row],[Site]],'Important Info!'!$A$1:$H$135,8,FALSE)</f>
        <v>-</v>
      </c>
      <c r="L532" s="52" t="str">
        <f>VLOOKUP(Tabla3[[#This Row],[Site]],'Important Info!'!$A$1:$F$135,2,FALSE)</f>
        <v>1, 5</v>
      </c>
      <c r="M532" s="52" t="str">
        <f>VLOOKUP(Tabla3[[#This Row],[Site]],'Important Info!'!$A$1:$F$135,3,FALSE)</f>
        <v>-</v>
      </c>
      <c r="N532" s="52" t="str">
        <f>VLOOKUP(Tabla3[[#This Row],[Site]],'Important Info!'!$A$1:$F$135,4,FALSE)</f>
        <v>-</v>
      </c>
      <c r="O532" s="52" t="str">
        <f>VLOOKUP(Tabla3[[#This Row],[Site]],'Important Info!'!$A$1:$F$135,5,FALSE)</f>
        <v>1, 5, 9, 26</v>
      </c>
      <c r="P532" s="52" t="str">
        <f>VLOOKUP(Tabla3[[#This Row],[Site]],'Important Info!'!$A$1:$F$135,6,FALSE)</f>
        <v>3, 4, 8, 28</v>
      </c>
      <c r="Q532" s="91">
        <f>VLOOKUP(Tabla3[[#This Row],[Site]],'Important Info!'!$A$1:$J$135,9,FALSE)</f>
        <v>142</v>
      </c>
    </row>
    <row r="533" spans="1:17" x14ac:dyDescent="0.25">
      <c r="A533" t="str">
        <f>+Tabla3[[#This Row],[Site]]&amp;Tabla3[[#This Row],[Split]]</f>
        <v>(KG) Baytown GMC Buick - Remote Lot (NO TOURS)8</v>
      </c>
      <c r="B533">
        <v>8</v>
      </c>
      <c r="C533">
        <v>5</v>
      </c>
      <c r="D533" t="s">
        <v>60</v>
      </c>
      <c r="E533" t="s">
        <v>46</v>
      </c>
      <c r="F533" t="s">
        <v>167</v>
      </c>
      <c r="G533" t="s">
        <v>41</v>
      </c>
      <c r="H533" s="52" t="str">
        <f>VLOOKUP(Tabla3[[#This Row],[Site]],'Important Info!'!$A$1:$J$135,10,FALSE)</f>
        <v>https://tools.sig.systems/site/details/311</v>
      </c>
      <c r="I533" s="43"/>
      <c r="J533" t="s">
        <v>41</v>
      </c>
      <c r="K533" s="79" t="s">
        <v>168</v>
      </c>
      <c r="L533" s="52" t="str">
        <f>VLOOKUP(Tabla3[[#This Row],[Site]],'Important Info!'!$A$1:$F$135,2,FALSE)</f>
        <v>-</v>
      </c>
      <c r="M533" s="52" t="str">
        <f>VLOOKUP(Tabla3[[#This Row],[Site]],'Important Info!'!$A$1:$F$135,3,FALSE)</f>
        <v>7, 8</v>
      </c>
      <c r="N533" s="52" t="str">
        <f>VLOOKUP(Tabla3[[#This Row],[Site]],'Important Info!'!$A$1:$F$135,4,FALSE)</f>
        <v>-</v>
      </c>
      <c r="O533" s="52" t="str">
        <f>VLOOKUP(Tabla3[[#This Row],[Site]],'Important Info!'!$A$1:$F$135,5,FALSE)</f>
        <v>-</v>
      </c>
      <c r="P533" s="52" t="str">
        <f>VLOOKUP(Tabla3[[#This Row],[Site]],'Important Info!'!$A$1:$F$135,6,FALSE)</f>
        <v>-</v>
      </c>
      <c r="Q533" s="91">
        <f>VLOOKUP(Tabla3[[#This Row],[Site]],'Important Info!'!$A$1:$J$135,9,FALSE)</f>
        <v>311</v>
      </c>
    </row>
    <row r="534" spans="1:17" x14ac:dyDescent="0.25">
      <c r="A534" t="str">
        <f>+Tabla3[[#This Row],[Site]]&amp;Tabla3[[#This Row],[Split]]</f>
        <v>(KG) Baytown GMC Buick (NO TOURS)8</v>
      </c>
      <c r="B534">
        <v>8</v>
      </c>
      <c r="C534">
        <v>5</v>
      </c>
      <c r="D534" t="s">
        <v>33</v>
      </c>
      <c r="E534" t="s">
        <v>46</v>
      </c>
      <c r="F534" t="s">
        <v>132</v>
      </c>
      <c r="G534" t="s">
        <v>34</v>
      </c>
      <c r="H534" s="52" t="str">
        <f>VLOOKUP(Tabla3[[#This Row],[Site]],'Important Info!'!$A$1:$J$135,10,FALSE)</f>
        <v>https://tools.sig.systems/site/details/239</v>
      </c>
      <c r="J534" t="s">
        <v>41</v>
      </c>
      <c r="K534" s="79" t="str">
        <f>VLOOKUP(Tabla3[[#This Row],[Site]],'Important Info!'!$A$1:$H$135,8,FALSE)</f>
        <v>-</v>
      </c>
      <c r="L534" s="52" t="str">
        <f>VLOOKUP(Tabla3[[#This Row],[Site]],'Important Info!'!$A$1:$F$135,2,FALSE)</f>
        <v>1, 5, 7, 21, 22</v>
      </c>
      <c r="M534" s="52" t="str">
        <f>VLOOKUP(Tabla3[[#This Row],[Site]],'Important Info!'!$A$1:$F$135,3,FALSE)</f>
        <v>-</v>
      </c>
      <c r="N534" s="52" t="str">
        <f>VLOOKUP(Tabla3[[#This Row],[Site]],'Important Info!'!$A$1:$F$135,4,FALSE)</f>
        <v>-</v>
      </c>
      <c r="O534" s="52" t="str">
        <f>VLOOKUP(Tabla3[[#This Row],[Site]],'Important Info!'!$A$1:$F$135,5,FALSE)</f>
        <v>2, 10, 15, 24B</v>
      </c>
      <c r="P534" s="52" t="str">
        <f>VLOOKUP(Tabla3[[#This Row],[Site]],'Important Info!'!$A$1:$F$135,6,FALSE)</f>
        <v>21, 22</v>
      </c>
      <c r="Q534" s="91">
        <f>VLOOKUP(Tabla3[[#This Row],[Site]],'Important Info!'!$A$1:$J$135,9,FALSE)</f>
        <v>239</v>
      </c>
    </row>
    <row r="535" spans="1:17" x14ac:dyDescent="0.25">
      <c r="A535" t="str">
        <f>+Tabla3[[#This Row],[Site]]&amp;Tabla3[[#This Row],[Split]]</f>
        <v>(ML) BMW of Little Rock8</v>
      </c>
      <c r="B535">
        <v>8</v>
      </c>
      <c r="C535">
        <v>5</v>
      </c>
      <c r="D535" t="s">
        <v>33</v>
      </c>
      <c r="E535" t="s">
        <v>46</v>
      </c>
      <c r="F535" t="s">
        <v>139</v>
      </c>
      <c r="G535" t="s">
        <v>34</v>
      </c>
      <c r="H535" s="52" t="str">
        <f>VLOOKUP(Tabla3[[#This Row],[Site]],'Important Info!'!$A$1:$J$135,10,FALSE)</f>
        <v>https://tools.sig.systems/site/details/217</v>
      </c>
      <c r="I535" s="66" t="s">
        <v>140</v>
      </c>
      <c r="J535" t="s">
        <v>41</v>
      </c>
      <c r="K535" s="79" t="str">
        <f>VLOOKUP(Tabla3[[#This Row],[Site]],'Important Info!'!$A$1:$H$135,8,FALSE)</f>
        <v>-</v>
      </c>
      <c r="L535" s="52" t="str">
        <f>VLOOKUP(Tabla3[[#This Row],[Site]],'Important Info!'!$A$1:$F$135,2,FALSE)</f>
        <v>-</v>
      </c>
      <c r="M535" s="52">
        <f>VLOOKUP(Tabla3[[#This Row],[Site]],'Important Info!'!$A$1:$F$135,3,FALSE)</f>
        <v>14</v>
      </c>
      <c r="N535" s="52" t="str">
        <f>VLOOKUP(Tabla3[[#This Row],[Site]],'Important Info!'!$A$1:$F$135,4,FALSE)</f>
        <v>-</v>
      </c>
      <c r="O535" s="52" t="str">
        <f>VLOOKUP(Tabla3[[#This Row],[Site]],'Important Info!'!$A$1:$F$135,5,FALSE)</f>
        <v>-</v>
      </c>
      <c r="P535" s="52" t="str">
        <f>VLOOKUP(Tabla3[[#This Row],[Site]],'Important Info!'!$A$1:$F$135,6,FALSE)</f>
        <v>5, 6, 7, 8, 9, 32</v>
      </c>
      <c r="Q535" s="91">
        <f>VLOOKUP(Tabla3[[#This Row],[Site]],'Important Info!'!$A$1:$J$135,9,FALSE)</f>
        <v>217</v>
      </c>
    </row>
    <row r="536" spans="1:17" x14ac:dyDescent="0.25">
      <c r="A536" t="str">
        <f>+Tabla3[[#This Row],[Site]]&amp;Tabla3[[#This Row],[Split]]</f>
        <v>(ML) McLarty Gray-Daniels Toyota Nissan8</v>
      </c>
      <c r="B536">
        <v>8</v>
      </c>
      <c r="C536">
        <v>5</v>
      </c>
      <c r="D536" t="s">
        <v>33</v>
      </c>
      <c r="E536" t="s">
        <v>46</v>
      </c>
      <c r="F536" t="s">
        <v>90</v>
      </c>
      <c r="G536" t="s">
        <v>34</v>
      </c>
      <c r="H536" s="52" t="str">
        <f>VLOOKUP(Tabla3[[#This Row],[Site]],'Important Info!'!$A$1:$J$135,10,FALSE)</f>
        <v>https://tools.sig.systems/site/details/152</v>
      </c>
      <c r="I536" s="43" t="s">
        <v>150</v>
      </c>
      <c r="J536" t="s">
        <v>41</v>
      </c>
      <c r="K536" s="79" t="str">
        <f>VLOOKUP(Tabla3[[#This Row],[Site]],'Important Info!'!$A$1:$H$135,8,FALSE)</f>
        <v>-</v>
      </c>
      <c r="L536" s="52" t="str">
        <f>VLOOKUP(Tabla3[[#This Row],[Site]],'Important Info!'!$A$1:$F$135,2,FALSE)</f>
        <v>-</v>
      </c>
      <c r="M536" s="52" t="str">
        <f>VLOOKUP(Tabla3[[#This Row],[Site]],'Important Info!'!$A$1:$F$135,3,FALSE)</f>
        <v>8, 11, 39, 43</v>
      </c>
      <c r="N536" s="52" t="str">
        <f>VLOOKUP(Tabla3[[#This Row],[Site]],'Important Info!'!$A$1:$F$135,4,FALSE)</f>
        <v>-</v>
      </c>
      <c r="O536" s="52" t="str">
        <f>VLOOKUP(Tabla3[[#This Row],[Site]],'Important Info!'!$A$1:$F$135,5,FALSE)</f>
        <v>6, 11, 15, 18</v>
      </c>
      <c r="P536" s="52" t="str">
        <f>VLOOKUP(Tabla3[[#This Row],[Site]],'Important Info!'!$A$1:$F$135,6,FALSE)</f>
        <v>7, 8, 9</v>
      </c>
      <c r="Q536" s="91">
        <f>VLOOKUP(Tabla3[[#This Row],[Site]],'Important Info!'!$A$1:$J$135,9,FALSE)</f>
        <v>152</v>
      </c>
    </row>
    <row r="537" spans="1:17" x14ac:dyDescent="0.25">
      <c r="A537" t="str">
        <f>+Tabla3[[#This Row],[Site]]&amp;Tabla3[[#This Row],[Split]]</f>
        <v>(ML) Toyota N Little Rock8</v>
      </c>
      <c r="B537">
        <v>8</v>
      </c>
      <c r="C537">
        <v>5</v>
      </c>
      <c r="D537" t="s">
        <v>33</v>
      </c>
      <c r="E537" t="s">
        <v>46</v>
      </c>
      <c r="F537" t="s">
        <v>76</v>
      </c>
      <c r="G537" t="s">
        <v>34</v>
      </c>
      <c r="H537" s="52" t="str">
        <f>VLOOKUP(Tabla3[[#This Row],[Site]],'Important Info!'!$A$1:$J$135,10,FALSE)</f>
        <v>https://tools.sig.systems/site/details/201</v>
      </c>
      <c r="I537" s="43" t="s">
        <v>142</v>
      </c>
      <c r="J537" t="s">
        <v>41</v>
      </c>
      <c r="K537" s="79" t="str">
        <f>VLOOKUP(Tabla3[[#This Row],[Site]],'Important Info!'!$A$1:$H$135,8,FALSE)</f>
        <v>-</v>
      </c>
      <c r="L537" s="52" t="str">
        <f>VLOOKUP(Tabla3[[#This Row],[Site]],'Important Info!'!$A$1:$F$135,2,FALSE)</f>
        <v>4, 15, 18, 22, 23, 26</v>
      </c>
      <c r="M537" s="52" t="str">
        <f>VLOOKUP(Tabla3[[#This Row],[Site]],'Important Info!'!$A$1:$F$135,3,FALSE)</f>
        <v>-</v>
      </c>
      <c r="N537" s="52" t="str">
        <f>VLOOKUP(Tabla3[[#This Row],[Site]],'Important Info!'!$A$1:$F$135,4,FALSE)</f>
        <v>-</v>
      </c>
      <c r="O537" s="52" t="str">
        <f>VLOOKUP(Tabla3[[#This Row],[Site]],'Important Info!'!$A$1:$F$135,5,FALSE)</f>
        <v>2, 12, 13, 18</v>
      </c>
      <c r="P537" s="52" t="str">
        <f>VLOOKUP(Tabla3[[#This Row],[Site]],'Important Info!'!$A$1:$F$135,6,FALSE)</f>
        <v>-</v>
      </c>
      <c r="Q537" s="91">
        <f>VLOOKUP(Tabla3[[#This Row],[Site]],'Important Info!'!$A$1:$J$135,9,FALSE)</f>
        <v>201</v>
      </c>
    </row>
    <row r="538" spans="1:17" x14ac:dyDescent="0.25">
      <c r="A538" t="str">
        <f>+Tabla3[[#This Row],[Site]]&amp;Tabla3[[#This Row],[Split]]</f>
        <v>(PE) BMW of Mamaroneck (NO TOURS)8</v>
      </c>
      <c r="B538">
        <v>8</v>
      </c>
      <c r="C538">
        <v>5</v>
      </c>
      <c r="D538" t="s">
        <v>485</v>
      </c>
      <c r="E538" t="s">
        <v>35</v>
      </c>
      <c r="F538" t="s">
        <v>172</v>
      </c>
      <c r="G538" t="s">
        <v>490</v>
      </c>
      <c r="H538" s="52" t="str">
        <f>VLOOKUP(Tabla3[[#This Row],[Site]],'Important Info!'!$A$1:$J$135,10,FALSE)</f>
        <v>https://tools.sig.systems/site/details/185</v>
      </c>
      <c r="J538" t="s">
        <v>41</v>
      </c>
      <c r="K538" s="79" t="str">
        <f>VLOOKUP(Tabla3[[#This Row],[Site]],'Important Info!'!$A$1:$H$135,8,FALSE)</f>
        <v>-</v>
      </c>
      <c r="L538" s="52">
        <f>VLOOKUP(Tabla3[[#This Row],[Site]],'Important Info!'!$A$1:$F$135,2,FALSE)</f>
        <v>9</v>
      </c>
      <c r="M538" s="52" t="str">
        <f>VLOOKUP(Tabla3[[#This Row],[Site]],'Important Info!'!$A$1:$F$135,3,FALSE)</f>
        <v>2, 3, 4, 5</v>
      </c>
      <c r="N538" s="52" t="str">
        <f>VLOOKUP(Tabla3[[#This Row],[Site]],'Important Info!'!$A$1:$F$135,4,FALSE)</f>
        <v>-</v>
      </c>
      <c r="O538" s="52" t="str">
        <f>VLOOKUP(Tabla3[[#This Row],[Site]],'Important Info!'!$A$1:$F$135,5,FALSE)</f>
        <v>-</v>
      </c>
      <c r="P538" s="52" t="str">
        <f>VLOOKUP(Tabla3[[#This Row],[Site]],'Important Info!'!$A$1:$F$135,6,FALSE)</f>
        <v>4, 6, 7, 8</v>
      </c>
      <c r="Q538" s="91">
        <f>VLOOKUP(Tabla3[[#This Row],[Site]],'Important Info!'!$A$1:$J$135,9,FALSE)</f>
        <v>185</v>
      </c>
    </row>
    <row r="539" spans="1:17" x14ac:dyDescent="0.25">
      <c r="A539" t="str">
        <f>+Tabla3[[#This Row],[Site]]&amp;Tabla3[[#This Row],[Split]]</f>
        <v>(PE) Hudson Toyota Nissan CDJR (NO TOURS)8</v>
      </c>
      <c r="B539">
        <v>8</v>
      </c>
      <c r="C539">
        <v>5</v>
      </c>
      <c r="D539" t="s">
        <v>485</v>
      </c>
      <c r="E539" t="s">
        <v>35</v>
      </c>
      <c r="F539" t="s">
        <v>82</v>
      </c>
      <c r="G539" t="s">
        <v>490</v>
      </c>
      <c r="H539" s="52" t="str">
        <f>VLOOKUP(Tabla3[[#This Row],[Site]],'Important Info!'!$A$1:$J$135,10,FALSE)</f>
        <v>https://tools.sig.systems/site/details/156</v>
      </c>
      <c r="J539" t="s">
        <v>41</v>
      </c>
      <c r="K539" s="79" t="str">
        <f>VLOOKUP(Tabla3[[#This Row],[Site]],'Important Info!'!$A$1:$H$135,8,FALSE)</f>
        <v>-</v>
      </c>
      <c r="L539" s="52">
        <f>VLOOKUP(Tabla3[[#This Row],[Site]],'Important Info!'!$A$1:$F$135,2,FALSE)</f>
        <v>5</v>
      </c>
      <c r="M539" s="52" t="str">
        <f>VLOOKUP(Tabla3[[#This Row],[Site]],'Important Info!'!$A$1:$F$135,3,FALSE)</f>
        <v>3, 7, 18</v>
      </c>
      <c r="N539" s="52" t="str">
        <f>VLOOKUP(Tabla3[[#This Row],[Site]],'Important Info!'!$A$1:$F$135,4,FALSE)</f>
        <v>-</v>
      </c>
      <c r="O539" s="52">
        <f>VLOOKUP(Tabla3[[#This Row],[Site]],'Important Info!'!$A$1:$F$135,5,FALSE)</f>
        <v>84</v>
      </c>
      <c r="P539" s="52" t="str">
        <f>VLOOKUP(Tabla3[[#This Row],[Site]],'Important Info!'!$A$1:$F$135,6,FALSE)</f>
        <v>1, 2, 3, 4, 5, 6, 7, 8</v>
      </c>
      <c r="Q539" s="91">
        <f>VLOOKUP(Tabla3[[#This Row],[Site]],'Important Info!'!$A$1:$J$135,9,FALSE)</f>
        <v>156</v>
      </c>
    </row>
    <row r="540" spans="1:17" x14ac:dyDescent="0.25">
      <c r="A540" t="str">
        <f>+Tabla3[[#This Row],[Site]]&amp;Tabla3[[#This Row],[Split]]</f>
        <v>(RML) Burleson Nissan8</v>
      </c>
      <c r="B540">
        <v>8</v>
      </c>
      <c r="C540">
        <v>5</v>
      </c>
      <c r="D540" t="s">
        <v>33</v>
      </c>
      <c r="E540" t="s">
        <v>46</v>
      </c>
      <c r="F540" t="s">
        <v>107</v>
      </c>
      <c r="G540" t="s">
        <v>34</v>
      </c>
      <c r="H540" s="52" t="str">
        <f>VLOOKUP(Tabla3[[#This Row],[Site]],'Important Info!'!$A$1:$J$135,10,FALSE)</f>
        <v>https://tools.sig.systems/site/details/202</v>
      </c>
      <c r="I540" s="64"/>
      <c r="J540" t="s">
        <v>41</v>
      </c>
      <c r="K540" s="79" t="str">
        <f>VLOOKUP(Tabla3[[#This Row],[Site]],'Important Info!'!$A$1:$H$135,8,FALSE)</f>
        <v>-</v>
      </c>
      <c r="L540" s="52" t="str">
        <f>VLOOKUP(Tabla3[[#This Row],[Site]],'Important Info!'!$A$1:$F$135,2,FALSE)</f>
        <v>3, 21</v>
      </c>
      <c r="M540" s="52" t="str">
        <f>VLOOKUP(Tabla3[[#This Row],[Site]],'Important Info!'!$A$1:$F$135,3,FALSE)</f>
        <v>-</v>
      </c>
      <c r="N540" s="52" t="str">
        <f>VLOOKUP(Tabla3[[#This Row],[Site]],'Important Info!'!$A$1:$F$135,4,FALSE)</f>
        <v>-</v>
      </c>
      <c r="O540" s="52" t="str">
        <f>VLOOKUP(Tabla3[[#This Row],[Site]],'Important Info!'!$A$1:$F$135,5,FALSE)</f>
        <v>2, 6, 15</v>
      </c>
      <c r="P540" s="52" t="str">
        <f>VLOOKUP(Tabla3[[#This Row],[Site]],'Important Info!'!$A$1:$F$135,6,FALSE)</f>
        <v>-</v>
      </c>
      <c r="Q540" s="91">
        <f>VLOOKUP(Tabla3[[#This Row],[Site]],'Important Info!'!$A$1:$J$135,9,FALSE)</f>
        <v>202</v>
      </c>
    </row>
    <row r="541" spans="1:17" x14ac:dyDescent="0.25">
      <c r="A541" t="str">
        <f>+Tabla3[[#This Row],[Site]]&amp;Tabla3[[#This Row],[Split]]</f>
        <v>(AS) Bill Estes Ford (NO TOURS)8</v>
      </c>
      <c r="B541">
        <v>8</v>
      </c>
      <c r="C541">
        <v>6</v>
      </c>
      <c r="D541" t="s">
        <v>62</v>
      </c>
      <c r="E541" t="s">
        <v>35</v>
      </c>
      <c r="F541" t="s">
        <v>178</v>
      </c>
      <c r="G541" t="s">
        <v>490</v>
      </c>
      <c r="H541" s="52" t="str">
        <f>VLOOKUP(Tabla3[[#This Row],[Site]],'Important Info!'!$A$1:$J$135,10,FALSE)</f>
        <v>https://tools.sig.systems/site/details/125</v>
      </c>
      <c r="J541" t="s">
        <v>41</v>
      </c>
      <c r="K541" s="79" t="str">
        <f>VLOOKUP(Tabla3[[#This Row],[Site]],'Important Info!'!$A$1:$H$135,8,FALSE)</f>
        <v>-</v>
      </c>
      <c r="L541" s="52" t="str">
        <f>VLOOKUP(Tabla3[[#This Row],[Site]],'Important Info!'!$A$1:$F$135,2,FALSE)</f>
        <v>-</v>
      </c>
      <c r="M541" s="52" t="str">
        <f>VLOOKUP(Tabla3[[#This Row],[Site]],'Important Info!'!$A$1:$F$135,3,FALSE)</f>
        <v>2, 3, 13, 16</v>
      </c>
      <c r="N541" s="52" t="str">
        <f>VLOOKUP(Tabla3[[#This Row],[Site]],'Important Info!'!$A$1:$F$135,4,FALSE)</f>
        <v>-</v>
      </c>
      <c r="O541" s="52" t="str">
        <f>VLOOKUP(Tabla3[[#This Row],[Site]],'Important Info!'!$A$1:$F$135,5,FALSE)</f>
        <v>1, 10, 14, 19</v>
      </c>
      <c r="P541" s="52" t="str">
        <f>VLOOKUP(Tabla3[[#This Row],[Site]],'Important Info!'!$A$1:$F$135,6,FALSE)</f>
        <v>7, 8, 9, 10, 11, 12, 14</v>
      </c>
      <c r="Q541" s="91">
        <f>VLOOKUP(Tabla3[[#This Row],[Site]],'Important Info!'!$A$1:$J$135,9,FALSE)</f>
        <v>125</v>
      </c>
    </row>
    <row r="542" spans="1:17" x14ac:dyDescent="0.25">
      <c r="A542" t="str">
        <f>+Tabla3[[#This Row],[Site]]&amp;Tabla3[[#This Row],[Split]]</f>
        <v>(AS) Courtesy CDJR of Brandon (NO TOURS)8</v>
      </c>
      <c r="B542">
        <v>8</v>
      </c>
      <c r="C542">
        <v>6</v>
      </c>
      <c r="D542" t="s">
        <v>62</v>
      </c>
      <c r="E542" t="s">
        <v>35</v>
      </c>
      <c r="F542" t="s">
        <v>503</v>
      </c>
      <c r="G542" t="s">
        <v>490</v>
      </c>
      <c r="H542" s="52" t="str">
        <f>VLOOKUP(Tabla3[[#This Row],[Site]],'Important Info!'!$A$1:$J$135,10,FALSE)</f>
        <v>https://tools.sig.systems/site/details/126</v>
      </c>
      <c r="I542" s="43" t="s">
        <v>181</v>
      </c>
      <c r="J542" t="s">
        <v>484</v>
      </c>
      <c r="K542" s="79" t="str">
        <f>VLOOKUP(Tabla3[[#This Row],[Site]],'Important Info!'!$A$1:$H$135,8,FALSE)</f>
        <v>-</v>
      </c>
      <c r="L542" s="52" t="str">
        <f>VLOOKUP(Tabla3[[#This Row],[Site]],'Important Info!'!$A$1:$F$135,2,FALSE)</f>
        <v>1, 14, 15</v>
      </c>
      <c r="M542" s="52">
        <f>VLOOKUP(Tabla3[[#This Row],[Site]],'Important Info!'!$A$1:$F$135,3,FALSE)</f>
        <v>1</v>
      </c>
      <c r="N542" s="52" t="str">
        <f>VLOOKUP(Tabla3[[#This Row],[Site]],'Important Info!'!$A$1:$F$135,4,FALSE)</f>
        <v>-</v>
      </c>
      <c r="O542" s="52" t="str">
        <f>VLOOKUP(Tabla3[[#This Row],[Site]],'Important Info!'!$A$1:$F$135,5,FALSE)</f>
        <v>2, 12</v>
      </c>
      <c r="P542" s="52" t="str">
        <f>VLOOKUP(Tabla3[[#This Row],[Site]],'Important Info!'!$A$1:$F$135,6,FALSE)</f>
        <v xml:space="preserve">1, 2, 3, 4, 14, 15, 21, 25 </v>
      </c>
      <c r="Q542" s="91">
        <f>VLOOKUP(Tabla3[[#This Row],[Site]],'Important Info!'!$A$1:$J$135,9,FALSE)</f>
        <v>126</v>
      </c>
    </row>
    <row r="543" spans="1:17" x14ac:dyDescent="0.25">
      <c r="A543" t="str">
        <f>+Tabla3[[#This Row],[Site]]&amp;Tabla3[[#This Row],[Split]]</f>
        <v>(AS) David McDavid Honda I &amp; II (NO TOURS)8</v>
      </c>
      <c r="B543">
        <v>8</v>
      </c>
      <c r="C543">
        <v>6</v>
      </c>
      <c r="D543" t="s">
        <v>33</v>
      </c>
      <c r="E543" t="s">
        <v>46</v>
      </c>
      <c r="F543" t="s">
        <v>506</v>
      </c>
      <c r="G543" t="s">
        <v>34</v>
      </c>
      <c r="H543" s="52" t="str">
        <f>VLOOKUP(Tabla3[[#This Row],[Site]],'Important Info!'!$A$1:$J$135,10,FALSE)</f>
        <v>https://tools.sig.systems/site/details/129</v>
      </c>
      <c r="I543" s="2"/>
      <c r="J543" t="s">
        <v>41</v>
      </c>
      <c r="K543" s="79" t="str">
        <f>VLOOKUP(Tabla3[[#This Row],[Site]],'Important Info!'!$A$1:$H$135,8,FALSE)</f>
        <v>-</v>
      </c>
      <c r="L543" s="52" t="str">
        <f>VLOOKUP(Tabla3[[#This Row],[Site]],'Important Info!'!$A$1:$F$135,2,FALSE)</f>
        <v>-</v>
      </c>
      <c r="M543" s="52" t="str">
        <f>VLOOKUP(Tabla3[[#This Row],[Site]],'Important Info!'!$A$1:$F$135,3,FALSE)</f>
        <v>3, 19, 23, 32, 35</v>
      </c>
      <c r="N543" s="52" t="str">
        <f>VLOOKUP(Tabla3[[#This Row],[Site]],'Important Info!'!$A$1:$F$135,4,FALSE)</f>
        <v>-</v>
      </c>
      <c r="O543" s="52" t="str">
        <f>VLOOKUP(Tabla3[[#This Row],[Site]],'Important Info!'!$A$1:$F$135,5,FALSE)</f>
        <v>2, 6, 9, 19, 25, 30, 48</v>
      </c>
      <c r="P543" s="52" t="str">
        <f>VLOOKUP(Tabla3[[#This Row],[Site]],'Important Info!'!$A$1:$F$135,6,FALSE)</f>
        <v>25, 26, 35, 36, 37</v>
      </c>
      <c r="Q543" s="91">
        <f>VLOOKUP(Tabla3[[#This Row],[Site]],'Important Info!'!$A$1:$J$135,9,FALSE)</f>
        <v>129</v>
      </c>
    </row>
    <row r="544" spans="1:17" x14ac:dyDescent="0.25">
      <c r="A544" t="str">
        <f>+Tabla3[[#This Row],[Site]]&amp;Tabla3[[#This Row],[Split]]</f>
        <v>(AS) Park Place Acura (NO TOURS)8</v>
      </c>
      <c r="B544">
        <v>8</v>
      </c>
      <c r="C544">
        <v>6</v>
      </c>
      <c r="D544" t="s">
        <v>33</v>
      </c>
      <c r="E544" t="s">
        <v>46</v>
      </c>
      <c r="F544" t="s">
        <v>513</v>
      </c>
      <c r="G544" t="s">
        <v>34</v>
      </c>
      <c r="H544" s="52" t="str">
        <f>VLOOKUP(Tabla3[[#This Row],[Site]],'Important Info!'!$A$1:$J$135,10,FALSE)</f>
        <v>https://tools.sig.systems/site/details/259</v>
      </c>
      <c r="I544" s="95" t="s">
        <v>127</v>
      </c>
      <c r="J544" t="s">
        <v>41</v>
      </c>
      <c r="K544" s="79" t="str">
        <f>VLOOKUP(Tabla3[[#This Row],[Site]],'Important Info!'!$A$1:$H$135,8,FALSE)</f>
        <v>-</v>
      </c>
      <c r="L544" s="52" t="str">
        <f>VLOOKUP(Tabla3[[#This Row],[Site]],'Important Info!'!$A$1:$F$135,2,FALSE)</f>
        <v>1, 2, 14, 16</v>
      </c>
      <c r="M544" s="52" t="str">
        <f>VLOOKUP(Tabla3[[#This Row],[Site]],'Important Info!'!$A$1:$F$135,3,FALSE)</f>
        <v>-</v>
      </c>
      <c r="N544" s="52" t="str">
        <f>VLOOKUP(Tabla3[[#This Row],[Site]],'Important Info!'!$A$1:$F$135,4,FALSE)</f>
        <v>-</v>
      </c>
      <c r="O544" s="52" t="str">
        <f>VLOOKUP(Tabla3[[#This Row],[Site]],'Important Info!'!$A$1:$F$135,5,FALSE)</f>
        <v>1, 7, 13</v>
      </c>
      <c r="P544" s="52" t="str">
        <f>VLOOKUP(Tabla3[[#This Row],[Site]],'Important Info!'!$A$1:$F$135,6,FALSE)</f>
        <v>-</v>
      </c>
      <c r="Q544" s="91">
        <f>VLOOKUP(Tabla3[[#This Row],[Site]],'Important Info!'!$A$1:$J$135,9,FALSE)</f>
        <v>259</v>
      </c>
    </row>
    <row r="545" spans="1:17" x14ac:dyDescent="0.25">
      <c r="A545" t="str">
        <f>+Tabla3[[#This Row],[Site]]&amp;Tabla3[[#This Row],[Split]]</f>
        <v>(AS) Plaza Audi/Infiniti (NO TOURS)8</v>
      </c>
      <c r="B545">
        <v>8</v>
      </c>
      <c r="C545">
        <v>6</v>
      </c>
      <c r="D545" t="s">
        <v>33</v>
      </c>
      <c r="E545" t="s">
        <v>46</v>
      </c>
      <c r="F545" t="s">
        <v>91</v>
      </c>
      <c r="G545" t="s">
        <v>34</v>
      </c>
      <c r="H545" s="52" t="str">
        <f>VLOOKUP(Tabla3[[#This Row],[Site]],'Important Info!'!$A$1:$J$135,10,FALSE)</f>
        <v>https://tools.sig.systems/site/details/141</v>
      </c>
      <c r="I545" t="s">
        <v>130</v>
      </c>
      <c r="J545" t="s">
        <v>41</v>
      </c>
      <c r="K545" s="79" t="str">
        <f>VLOOKUP(Tabla3[[#This Row],[Site]],'Important Info!'!$A$1:$H$135,8,FALSE)</f>
        <v>-</v>
      </c>
      <c r="L545" s="52" t="str">
        <f>VLOOKUP(Tabla3[[#This Row],[Site]],'Important Info!'!$A$1:$F$135,2,FALSE)</f>
        <v>7, 25</v>
      </c>
      <c r="M545" s="52" t="str">
        <f>VLOOKUP(Tabla3[[#This Row],[Site]],'Important Info!'!$A$1:$F$135,3,FALSE)</f>
        <v>15, 17, 18</v>
      </c>
      <c r="N545" s="52" t="str">
        <f>VLOOKUP(Tabla3[[#This Row],[Site]],'Important Info!'!$A$1:$F$135,4,FALSE)</f>
        <v>-</v>
      </c>
      <c r="O545" s="52" t="str">
        <f>VLOOKUP(Tabla3[[#This Row],[Site]],'Important Info!'!$A$1:$F$135,5,FALSE)</f>
        <v>1, 24</v>
      </c>
      <c r="P545" s="52" t="str">
        <f>VLOOKUP(Tabla3[[#This Row],[Site]],'Important Info!'!$A$1:$F$135,6,FALSE)</f>
        <v>3, 15, 17</v>
      </c>
      <c r="Q545" s="91">
        <f>VLOOKUP(Tabla3[[#This Row],[Site]],'Important Info!'!$A$1:$J$135,9,FALSE)</f>
        <v>141</v>
      </c>
    </row>
    <row r="546" spans="1:17" x14ac:dyDescent="0.25">
      <c r="A546" t="str">
        <f>+Tabla3[[#This Row],[Site]]&amp;Tabla3[[#This Row],[Split]]</f>
        <v>(DT) Wichita8</v>
      </c>
      <c r="B546">
        <v>8</v>
      </c>
      <c r="C546">
        <v>6</v>
      </c>
      <c r="D546" t="s">
        <v>33</v>
      </c>
      <c r="E546" t="s">
        <v>46</v>
      </c>
      <c r="F546" t="s">
        <v>131</v>
      </c>
      <c r="G546" t="s">
        <v>34</v>
      </c>
      <c r="H546" s="52" t="str">
        <f>VLOOKUP(Tabla3[[#This Row],[Site]],'Important Info!'!$A$1:$J$135,10,FALSE)</f>
        <v>https://tools.sig.systems/site/details/257</v>
      </c>
      <c r="J546" t="s">
        <v>41</v>
      </c>
      <c r="K546" s="79" t="str">
        <f>VLOOKUP(Tabla3[[#This Row],[Site]],'Important Info!'!$A$1:$H$135,8,FALSE)</f>
        <v>-</v>
      </c>
      <c r="L546" s="52" t="str">
        <f>VLOOKUP(Tabla3[[#This Row],[Site]],'Important Info!'!$A$1:$F$135,2,FALSE)</f>
        <v>-</v>
      </c>
      <c r="M546" s="52" t="str">
        <f>VLOOKUP(Tabla3[[#This Row],[Site]],'Important Info!'!$A$1:$F$135,3,FALSE)</f>
        <v>10, 11</v>
      </c>
      <c r="N546" s="52" t="str">
        <f>VLOOKUP(Tabla3[[#This Row],[Site]],'Important Info!'!$A$1:$F$135,4,FALSE)</f>
        <v>-</v>
      </c>
      <c r="O546" s="52" t="str">
        <f>VLOOKUP(Tabla3[[#This Row],[Site]],'Important Info!'!$A$1:$F$135,5,FALSE)</f>
        <v>-</v>
      </c>
      <c r="P546" s="52" t="str">
        <f>VLOOKUP(Tabla3[[#This Row],[Site]],'Important Info!'!$A$1:$F$135,6,FALSE)</f>
        <v>1, 5, 6, 10</v>
      </c>
      <c r="Q546" s="91">
        <f>VLOOKUP(Tabla3[[#This Row],[Site]],'Important Info!'!$A$1:$J$135,9,FALSE)</f>
        <v>257</v>
      </c>
    </row>
    <row r="547" spans="1:17" x14ac:dyDescent="0.25">
      <c r="A547" t="str">
        <f>+Tabla3[[#This Row],[Site]]&amp;Tabla3[[#This Row],[Split]]</f>
        <v>(HUD) BMW of Greensboro8</v>
      </c>
      <c r="B547">
        <v>8</v>
      </c>
      <c r="C547">
        <v>6</v>
      </c>
      <c r="D547" t="s">
        <v>62</v>
      </c>
      <c r="E547" t="s">
        <v>35</v>
      </c>
      <c r="F547" t="s">
        <v>183</v>
      </c>
      <c r="G547" t="s">
        <v>490</v>
      </c>
      <c r="H547" s="52" t="str">
        <f>VLOOKUP(Tabla3[[#This Row],[Site]],'Important Info!'!$A$1:$J$135,10,FALSE)</f>
        <v>https://tools.sig.systems/site/details/219</v>
      </c>
      <c r="I547" t="s">
        <v>184</v>
      </c>
      <c r="J547" t="s">
        <v>41</v>
      </c>
      <c r="K547" s="79" t="str">
        <f>VLOOKUP(Tabla3[[#This Row],[Site]],'Important Info!'!$A$1:$H$135,8,FALSE)</f>
        <v>-</v>
      </c>
      <c r="L547" s="52" t="str">
        <f>VLOOKUP(Tabla3[[#This Row],[Site]],'Important Info!'!$A$1:$F$135,2,FALSE)</f>
        <v>2, 20, 21</v>
      </c>
      <c r="M547" s="52" t="str">
        <f>VLOOKUP(Tabla3[[#This Row],[Site]],'Important Info!'!$A$1:$F$135,3,FALSE)</f>
        <v>-</v>
      </c>
      <c r="N547" s="52" t="str">
        <f>VLOOKUP(Tabla3[[#This Row],[Site]],'Important Info!'!$A$1:$F$135,4,FALSE)</f>
        <v>-</v>
      </c>
      <c r="O547" s="52" t="str">
        <f>VLOOKUP(Tabla3[[#This Row],[Site]],'Important Info!'!$A$1:$F$135,5,FALSE)</f>
        <v>12, 17</v>
      </c>
      <c r="P547" s="52" t="str">
        <f>VLOOKUP(Tabla3[[#This Row],[Site]],'Important Info!'!$A$1:$F$135,6,FALSE)</f>
        <v>1, 2, 6, 20</v>
      </c>
      <c r="Q547" s="91">
        <f>VLOOKUP(Tabla3[[#This Row],[Site]],'Important Info!'!$A$1:$J$135,9,FALSE)</f>
        <v>219</v>
      </c>
    </row>
    <row r="548" spans="1:17" x14ac:dyDescent="0.25">
      <c r="A548" t="str">
        <f>+Tabla3[[#This Row],[Site]]&amp;Tabla3[[#This Row],[Split]]</f>
        <v>(HUD) Paint and Body Center (NO TOURS)8</v>
      </c>
      <c r="B548">
        <v>8</v>
      </c>
      <c r="C548">
        <v>6</v>
      </c>
      <c r="D548" t="s">
        <v>62</v>
      </c>
      <c r="E548" t="s">
        <v>35</v>
      </c>
      <c r="F548" t="s">
        <v>110</v>
      </c>
      <c r="G548" t="s">
        <v>490</v>
      </c>
      <c r="H548" s="52" t="str">
        <f>VLOOKUP(Tabla3[[#This Row],[Site]],'Important Info!'!$A$1:$J$135,10,FALSE)</f>
        <v>https://tools.sig.systems/site/details/256</v>
      </c>
      <c r="I548" t="s">
        <v>184</v>
      </c>
      <c r="J548" t="s">
        <v>41</v>
      </c>
      <c r="K548" s="79" t="str">
        <f>VLOOKUP(Tabla3[[#This Row],[Site]],'Important Info!'!$A$1:$H$135,8,FALSE)</f>
        <v>-</v>
      </c>
      <c r="L548" s="52" t="str">
        <f>VLOOKUP(Tabla3[[#This Row],[Site]],'Important Info!'!$A$1:$F$135,2,FALSE)</f>
        <v>-</v>
      </c>
      <c r="M548" s="52">
        <f>VLOOKUP(Tabla3[[#This Row],[Site]],'Important Info!'!$A$1:$F$135,3,FALSE)</f>
        <v>1</v>
      </c>
      <c r="N548" s="52" t="str">
        <f>VLOOKUP(Tabla3[[#This Row],[Site]],'Important Info!'!$A$1:$F$135,4,FALSE)</f>
        <v>-</v>
      </c>
      <c r="O548" s="52" t="str">
        <f>VLOOKUP(Tabla3[[#This Row],[Site]],'Important Info!'!$A$1:$F$135,5,FALSE)</f>
        <v>-</v>
      </c>
      <c r="P548" s="52" t="str">
        <f>VLOOKUP(Tabla3[[#This Row],[Site]],'Important Info!'!$A$1:$F$135,6,FALSE)</f>
        <v>-</v>
      </c>
      <c r="Q548" s="91">
        <f>VLOOKUP(Tabla3[[#This Row],[Site]],'Important Info!'!$A$1:$J$135,9,FALSE)</f>
        <v>256</v>
      </c>
    </row>
    <row r="549" spans="1:17" x14ac:dyDescent="0.25">
      <c r="A549" t="str">
        <f>+Tabla3[[#This Row],[Site]]&amp;Tabla3[[#This Row],[Split]]</f>
        <v>(KG) Hyundai Surprise8</v>
      </c>
      <c r="B549">
        <v>8</v>
      </c>
      <c r="C549">
        <v>6</v>
      </c>
      <c r="D549" t="s">
        <v>51</v>
      </c>
      <c r="E549" t="s">
        <v>161</v>
      </c>
      <c r="F549" t="s">
        <v>118</v>
      </c>
      <c r="G549" t="s">
        <v>52</v>
      </c>
      <c r="H549" s="52" t="str">
        <f>VLOOKUP(Tabla3[[#This Row],[Site]],'Important Info!'!$A$1:$J$135,10,FALSE)</f>
        <v>https://tools.sig.systems/site/details/269</v>
      </c>
      <c r="J549" t="s">
        <v>162</v>
      </c>
      <c r="K549" s="79" t="str">
        <f>VLOOKUP(Tabla3[[#This Row],[Site]],'Important Info!'!$A$1:$H$135,8,FALSE)</f>
        <v>-</v>
      </c>
      <c r="L549" s="52" t="str">
        <f>VLOOKUP(Tabla3[[#This Row],[Site]],'Important Info!'!$A$1:$F$135,2,FALSE)</f>
        <v>1, 6, 7</v>
      </c>
      <c r="M549" s="52" t="str">
        <f>VLOOKUP(Tabla3[[#This Row],[Site]],'Important Info!'!$A$1:$F$135,3,FALSE)</f>
        <v>-</v>
      </c>
      <c r="N549" s="52" t="str">
        <f>VLOOKUP(Tabla3[[#This Row],[Site]],'Important Info!'!$A$1:$F$135,4,FALSE)</f>
        <v>-</v>
      </c>
      <c r="O549" s="52" t="str">
        <f>VLOOKUP(Tabla3[[#This Row],[Site]],'Important Info!'!$A$1:$F$135,5,FALSE)</f>
        <v>6, 13</v>
      </c>
      <c r="P549" s="52" t="str">
        <f>VLOOKUP(Tabla3[[#This Row],[Site]],'Important Info!'!$A$1:$F$135,6,FALSE)</f>
        <v>-</v>
      </c>
      <c r="Q549" s="91">
        <f>VLOOKUP(Tabla3[[#This Row],[Site]],'Important Info!'!$A$1:$J$135,9,FALSE)</f>
        <v>269</v>
      </c>
    </row>
    <row r="550" spans="1:17" x14ac:dyDescent="0.25">
      <c r="A550" t="str">
        <f>+Tabla3[[#This Row],[Site]]&amp;Tabla3[[#This Row],[Split]]</f>
        <v>(ML) Collision Center N Little Rock8</v>
      </c>
      <c r="B550">
        <v>8</v>
      </c>
      <c r="C550">
        <v>6</v>
      </c>
      <c r="D550" t="s">
        <v>33</v>
      </c>
      <c r="E550" t="s">
        <v>46</v>
      </c>
      <c r="F550" t="s">
        <v>141</v>
      </c>
      <c r="G550" t="s">
        <v>34</v>
      </c>
      <c r="H550" s="52" t="str">
        <f>VLOOKUP(Tabla3[[#This Row],[Site]],'Important Info!'!$A$1:$J$135,10,FALSE)</f>
        <v>https://tools.sig.systems/site/details/212</v>
      </c>
      <c r="I550" s="66" t="s">
        <v>142</v>
      </c>
      <c r="J550" t="s">
        <v>41</v>
      </c>
      <c r="K550" s="79" t="str">
        <f>VLOOKUP(Tabla3[[#This Row],[Site]],'Important Info!'!$A$1:$H$135,8,FALSE)</f>
        <v>-</v>
      </c>
      <c r="L550" s="52" t="str">
        <f>VLOOKUP(Tabla3[[#This Row],[Site]],'Important Info!'!$A$1:$F$135,2,FALSE)</f>
        <v>-</v>
      </c>
      <c r="M550" s="52" t="str">
        <f>VLOOKUP(Tabla3[[#This Row],[Site]],'Important Info!'!$A$1:$F$135,3,FALSE)</f>
        <v>-</v>
      </c>
      <c r="N550" s="52" t="str">
        <f>VLOOKUP(Tabla3[[#This Row],[Site]],'Important Info!'!$A$1:$F$135,4,FALSE)</f>
        <v>-</v>
      </c>
      <c r="O550" s="52" t="str">
        <f>VLOOKUP(Tabla3[[#This Row],[Site]],'Important Info!'!$A$1:$F$135,5,FALSE)</f>
        <v>-</v>
      </c>
      <c r="P550" s="52" t="str">
        <f>VLOOKUP(Tabla3[[#This Row],[Site]],'Important Info!'!$A$1:$F$135,6,FALSE)</f>
        <v>1, 3, 7, 8</v>
      </c>
      <c r="Q550" s="91">
        <f>VLOOKUP(Tabla3[[#This Row],[Site]],'Important Info!'!$A$1:$J$135,9,FALSE)</f>
        <v>212</v>
      </c>
    </row>
    <row r="551" spans="1:17" x14ac:dyDescent="0.25">
      <c r="A551" t="str">
        <f>+Tabla3[[#This Row],[Site]]&amp;Tabla3[[#This Row],[Split]]</f>
        <v>(ML) Joe Machens CDJR8</v>
      </c>
      <c r="B551">
        <v>8</v>
      </c>
      <c r="C551">
        <v>6</v>
      </c>
      <c r="D551" t="s">
        <v>33</v>
      </c>
      <c r="E551" t="s">
        <v>46</v>
      </c>
      <c r="F551" t="s">
        <v>88</v>
      </c>
      <c r="G551" t="s">
        <v>34</v>
      </c>
      <c r="H551" s="52" t="str">
        <f>VLOOKUP(Tabla3[[#This Row],[Site]],'Important Info!'!$A$1:$J$135,10,FALSE)</f>
        <v>https://tools.sig.systems/site/details/273</v>
      </c>
      <c r="I551" s="2" t="s">
        <v>146</v>
      </c>
      <c r="J551" t="s">
        <v>41</v>
      </c>
      <c r="K551" s="79" t="str">
        <f>VLOOKUP(Tabla3[[#This Row],[Site]],'Important Info!'!$A$1:$H$135,8,FALSE)</f>
        <v>-</v>
      </c>
      <c r="L551" s="52" t="str">
        <f>VLOOKUP(Tabla3[[#This Row],[Site]],'Important Info!'!$A$1:$F$135,2,FALSE)</f>
        <v>-</v>
      </c>
      <c r="M551" s="52">
        <f>VLOOKUP(Tabla3[[#This Row],[Site]],'Important Info!'!$A$1:$F$135,3,FALSE)</f>
        <v>3</v>
      </c>
      <c r="N551" s="52" t="str">
        <f>VLOOKUP(Tabla3[[#This Row],[Site]],'Important Info!'!$A$1:$F$135,4,FALSE)</f>
        <v>-</v>
      </c>
      <c r="O551" s="52" t="str">
        <f>VLOOKUP(Tabla3[[#This Row],[Site]],'Important Info!'!$A$1:$F$135,5,FALSE)</f>
        <v>-</v>
      </c>
      <c r="P551" s="52" t="str">
        <f>VLOOKUP(Tabla3[[#This Row],[Site]],'Important Info!'!$A$1:$F$135,6,FALSE)</f>
        <v>1, 2, 3,</v>
      </c>
      <c r="Q551" s="91">
        <f>VLOOKUP(Tabla3[[#This Row],[Site]],'Important Info!'!$A$1:$J$135,9,FALSE)</f>
        <v>273</v>
      </c>
    </row>
    <row r="552" spans="1:17" x14ac:dyDescent="0.25">
      <c r="A552" t="str">
        <f>+Tabla3[[#This Row],[Site]]&amp;Tabla3[[#This Row],[Split]]</f>
        <v>(ML) McLarty-Gray Daniels Chevrolet8</v>
      </c>
      <c r="B552">
        <v>8</v>
      </c>
      <c r="C552">
        <v>6</v>
      </c>
      <c r="D552" t="s">
        <v>33</v>
      </c>
      <c r="E552" t="s">
        <v>46</v>
      </c>
      <c r="F552" t="s">
        <v>151</v>
      </c>
      <c r="G552" t="s">
        <v>34</v>
      </c>
      <c r="H552" s="52" t="str">
        <f>VLOOKUP(Tabla3[[#This Row],[Site]],'Important Info!'!$A$1:$J$135,10,FALSE)</f>
        <v>https://tools.sig.systems/site/details/150</v>
      </c>
      <c r="J552" t="s">
        <v>41</v>
      </c>
      <c r="K552" s="79" t="str">
        <f>VLOOKUP(Tabla3[[#This Row],[Site]],'Important Info!'!$A$1:$H$135,8,FALSE)</f>
        <v>-</v>
      </c>
      <c r="L552" s="52" t="str">
        <f>VLOOKUP(Tabla3[[#This Row],[Site]],'Important Info!'!$A$1:$F$135,2,FALSE)</f>
        <v>3, 4, 5, 22, 24, 26, 28, 36</v>
      </c>
      <c r="M552" s="52" t="str">
        <f>VLOOKUP(Tabla3[[#This Row],[Site]],'Important Info!'!$A$1:$F$135,3,FALSE)</f>
        <v>-</v>
      </c>
      <c r="N552" s="52" t="str">
        <f>VLOOKUP(Tabla3[[#This Row],[Site]],'Important Info!'!$A$1:$F$135,4,FALSE)</f>
        <v>-</v>
      </c>
      <c r="O552" s="52" t="str">
        <f>VLOOKUP(Tabla3[[#This Row],[Site]],'Important Info!'!$A$1:$F$135,5,FALSE)</f>
        <v>4, 7, 12, 26</v>
      </c>
      <c r="P552" s="52" t="str">
        <f>VLOOKUP(Tabla3[[#This Row],[Site]],'Important Info!'!$A$1:$F$135,6,FALSE)</f>
        <v>1, 3, 5, 6, 23, 24</v>
      </c>
      <c r="Q552" s="91">
        <f>VLOOKUP(Tabla3[[#This Row],[Site]],'Important Info!'!$A$1:$J$135,9,FALSE)</f>
        <v>150</v>
      </c>
    </row>
    <row r="553" spans="1:17" x14ac:dyDescent="0.25">
      <c r="A553" t="str">
        <f>+Tabla3[[#This Row],[Site]]&amp;Tabla3[[#This Row],[Split]]</f>
        <v>(ML) Volvo Collision Corp8</v>
      </c>
      <c r="B553">
        <v>8</v>
      </c>
      <c r="C553">
        <v>6</v>
      </c>
      <c r="D553" t="s">
        <v>33</v>
      </c>
      <c r="E553" t="s">
        <v>46</v>
      </c>
      <c r="F553" t="s">
        <v>106</v>
      </c>
      <c r="G553" t="s">
        <v>34</v>
      </c>
      <c r="H553" s="52" t="str">
        <f>VLOOKUP(Tabla3[[#This Row],[Site]],'Important Info!'!$A$1:$J$135,10,FALSE)</f>
        <v>https://tools.sig.systems/site/details/223</v>
      </c>
      <c r="I553" s="43"/>
      <c r="J553" t="s">
        <v>41</v>
      </c>
      <c r="K553" s="79" t="str">
        <f>VLOOKUP(Tabla3[[#This Row],[Site]],'Important Info!'!$A$1:$H$135,8,FALSE)</f>
        <v>-</v>
      </c>
      <c r="L553" s="52" t="str">
        <f>VLOOKUP(Tabla3[[#This Row],[Site]],'Important Info!'!$A$1:$F$135,2,FALSE)</f>
        <v>7, 11</v>
      </c>
      <c r="M553" s="52">
        <f>VLOOKUP(Tabla3[[#This Row],[Site]],'Important Info!'!$A$1:$F$135,3,FALSE)</f>
        <v>4</v>
      </c>
      <c r="N553" s="52" t="str">
        <f>VLOOKUP(Tabla3[[#This Row],[Site]],'Important Info!'!$A$1:$F$135,4,FALSE)</f>
        <v>-</v>
      </c>
      <c r="O553" s="52">
        <f>VLOOKUP(Tabla3[[#This Row],[Site]],'Important Info!'!$A$1:$F$135,5,FALSE)</f>
        <v>18</v>
      </c>
      <c r="P553" s="52" t="str">
        <f>VLOOKUP(Tabla3[[#This Row],[Site]],'Important Info!'!$A$1:$F$135,6,FALSE)</f>
        <v>-</v>
      </c>
      <c r="Q553" s="91">
        <f>VLOOKUP(Tabla3[[#This Row],[Site]],'Important Info!'!$A$1:$J$135,9,FALSE)</f>
        <v>223</v>
      </c>
    </row>
    <row r="554" spans="1:17" x14ac:dyDescent="0.25">
      <c r="A554" t="str">
        <f>+Tabla3[[#This Row],[Site]]&amp;Tabla3[[#This Row],[Split]]</f>
        <v>(RV) Toms Camperland Surprise (NO TOURS)8</v>
      </c>
      <c r="B554">
        <v>8</v>
      </c>
      <c r="C554">
        <v>6</v>
      </c>
      <c r="D554" t="s">
        <v>51</v>
      </c>
      <c r="E554" t="s">
        <v>161</v>
      </c>
      <c r="F554" t="s">
        <v>165</v>
      </c>
      <c r="G554" t="s">
        <v>52</v>
      </c>
      <c r="H554" s="52" t="str">
        <f>VLOOKUP(Tabla3[[#This Row],[Site]],'Important Info!'!$A$1:$J$135,10,FALSE)</f>
        <v>https://tools.sig.systems/site/details/254</v>
      </c>
      <c r="J554" t="s">
        <v>52</v>
      </c>
      <c r="K554" s="79" t="str">
        <f>VLOOKUP(Tabla3[[#This Row],[Site]],'Important Info!'!$A$1:$H$135,8,FALSE)</f>
        <v>-</v>
      </c>
      <c r="L554" s="52" t="str">
        <f>VLOOKUP(Tabla3[[#This Row],[Site]],'Important Info!'!$A$1:$F$135,2,FALSE)</f>
        <v>1, 3, 4</v>
      </c>
      <c r="M554" s="52" t="str">
        <f>VLOOKUP(Tabla3[[#This Row],[Site]],'Important Info!'!$A$1:$F$135,3,FALSE)</f>
        <v>-</v>
      </c>
      <c r="N554" s="52" t="str">
        <f>VLOOKUP(Tabla3[[#This Row],[Site]],'Important Info!'!$A$1:$F$135,4,FALSE)</f>
        <v>-</v>
      </c>
      <c r="O554" s="52" t="str">
        <f>VLOOKUP(Tabla3[[#This Row],[Site]],'Important Info!'!$A$1:$F$135,5,FALSE)</f>
        <v>-</v>
      </c>
      <c r="P554" s="52" t="str">
        <f>VLOOKUP(Tabla3[[#This Row],[Site]],'Important Info!'!$A$1:$F$135,6,FALSE)</f>
        <v>1, 2, 3, 4, 15</v>
      </c>
      <c r="Q554" s="91">
        <f>VLOOKUP(Tabla3[[#This Row],[Site]],'Important Info!'!$A$1:$J$135,9,FALSE)</f>
        <v>254</v>
      </c>
    </row>
    <row r="555" spans="1:17" x14ac:dyDescent="0.25">
      <c r="A555" t="str">
        <f>+Tabla3[[#This Row],[Site]]&amp;Tabla3[[#This Row],[Split]]</f>
        <v>(AS) Coggin Acura Ft Pierce (NO TOURS)8</v>
      </c>
      <c r="B555">
        <v>8</v>
      </c>
      <c r="C555">
        <v>7</v>
      </c>
      <c r="D555" t="s">
        <v>62</v>
      </c>
      <c r="E555" t="s">
        <v>35</v>
      </c>
      <c r="F555" t="s">
        <v>500</v>
      </c>
      <c r="G555" t="s">
        <v>490</v>
      </c>
      <c r="H555" s="52" t="str">
        <f>VLOOKUP(Tabla3[[#This Row],[Site]],'Important Info!'!$A$1:$J$135,10,FALSE)</f>
        <v>https://tools.sig.systems/site/details/118</v>
      </c>
      <c r="I555" t="s">
        <v>179</v>
      </c>
      <c r="J555" t="s">
        <v>41</v>
      </c>
      <c r="K555" s="79" t="str">
        <f>VLOOKUP(Tabla3[[#This Row],[Site]],'Important Info!'!$A$1:$H$135,8,FALSE)</f>
        <v>-</v>
      </c>
      <c r="L555" s="52" t="str">
        <f>VLOOKUP(Tabla3[[#This Row],[Site]],'Important Info!'!$A$1:$F$135,2,FALSE)</f>
        <v>-</v>
      </c>
      <c r="M555" s="52">
        <f>VLOOKUP(Tabla3[[#This Row],[Site]],'Important Info!'!$A$1:$F$135,3,FALSE)</f>
        <v>6</v>
      </c>
      <c r="N555" s="52" t="str">
        <f>VLOOKUP(Tabla3[[#This Row],[Site]],'Important Info!'!$A$1:$F$135,4,FALSE)</f>
        <v>-</v>
      </c>
      <c r="O555" s="52" t="str">
        <f>VLOOKUP(Tabla3[[#This Row],[Site]],'Important Info!'!$A$1:$F$135,5,FALSE)</f>
        <v>4, 6</v>
      </c>
      <c r="P555" s="52">
        <f>VLOOKUP(Tabla3[[#This Row],[Site]],'Important Info!'!$A$1:$F$135,6,FALSE)</f>
        <v>1</v>
      </c>
      <c r="Q555" s="91">
        <f>VLOOKUP(Tabla3[[#This Row],[Site]],'Important Info!'!$A$1:$J$135,9,FALSE)</f>
        <v>118</v>
      </c>
    </row>
    <row r="556" spans="1:17" x14ac:dyDescent="0.25">
      <c r="A556" t="str">
        <f>+Tabla3[[#This Row],[Site]]&amp;Tabla3[[#This Row],[Split]]</f>
        <v>(AS) Coggin Mercedes Benz Ft Pierce (NO TOURS)8</v>
      </c>
      <c r="B556">
        <v>8</v>
      </c>
      <c r="C556">
        <v>7</v>
      </c>
      <c r="D556" t="s">
        <v>62</v>
      </c>
      <c r="E556" t="s">
        <v>35</v>
      </c>
      <c r="F556" t="s">
        <v>502</v>
      </c>
      <c r="G556" t="s">
        <v>490</v>
      </c>
      <c r="H556" s="52" t="str">
        <f>VLOOKUP(Tabla3[[#This Row],[Site]],'Important Info!'!$A$1:$J$135,10,FALSE)</f>
        <v>https://tools.sig.systems/site/details/127</v>
      </c>
      <c r="I556" s="43" t="s">
        <v>179</v>
      </c>
      <c r="J556" t="s">
        <v>41</v>
      </c>
      <c r="K556" s="79" t="str">
        <f>VLOOKUP(Tabla3[[#This Row],[Site]],'Important Info!'!$A$1:$H$135,8,FALSE)</f>
        <v>-</v>
      </c>
      <c r="L556" s="52">
        <f>VLOOKUP(Tabla3[[#This Row],[Site]],'Important Info!'!$A$1:$F$135,2,FALSE)</f>
        <v>18</v>
      </c>
      <c r="M556" s="52" t="str">
        <f>VLOOKUP(Tabla3[[#This Row],[Site]],'Important Info!'!$A$1:$F$135,3,FALSE)</f>
        <v>1, 3</v>
      </c>
      <c r="N556" s="52" t="str">
        <f>VLOOKUP(Tabla3[[#This Row],[Site]],'Important Info!'!$A$1:$F$135,4,FALSE)</f>
        <v>-</v>
      </c>
      <c r="O556" s="52" t="str">
        <f>VLOOKUP(Tabla3[[#This Row],[Site]],'Important Info!'!$A$1:$F$135,5,FALSE)</f>
        <v>6, 10, 13</v>
      </c>
      <c r="P556" s="52" t="str">
        <f>VLOOKUP(Tabla3[[#This Row],[Site]],'Important Info!'!$A$1:$F$135,6,FALSE)</f>
        <v>1, 4, 5</v>
      </c>
      <c r="Q556" s="91">
        <f>VLOOKUP(Tabla3[[#This Row],[Site]],'Important Info!'!$A$1:$J$135,9,FALSE)</f>
        <v>127</v>
      </c>
    </row>
    <row r="557" spans="1:17" x14ac:dyDescent="0.25">
      <c r="A557" t="str">
        <f>+Tabla3[[#This Row],[Site]]&amp;Tabla3[[#This Row],[Split]]</f>
        <v>(AS) Mercedes Benz/Porsche Dallas I,II,III (NO TOURS)8</v>
      </c>
      <c r="B557">
        <v>8</v>
      </c>
      <c r="C557">
        <v>7</v>
      </c>
      <c r="D557" t="s">
        <v>33</v>
      </c>
      <c r="E557" t="s">
        <v>46</v>
      </c>
      <c r="F557" t="s">
        <v>509</v>
      </c>
      <c r="G557" t="s">
        <v>34</v>
      </c>
      <c r="H557" s="52" t="str">
        <f>VLOOKUP(Tabla3[[#This Row],[Site]],'Important Info!'!$A$1:$J$135,10,FALSE)</f>
        <v>https://tools.sig.systems/site/details/168</v>
      </c>
      <c r="I557" s="65" t="s">
        <v>125</v>
      </c>
      <c r="J557" t="s">
        <v>41</v>
      </c>
      <c r="K557" s="79" t="str">
        <f>VLOOKUP(Tabla3[[#This Row],[Site]],'Important Info!'!$A$1:$H$135,8,FALSE)</f>
        <v>-</v>
      </c>
      <c r="L557" s="52" t="str">
        <f>VLOOKUP(Tabla3[[#This Row],[Site]],'Important Info!'!$A$1:$F$135,2,FALSE)</f>
        <v>3, 4, 17, 26, 41</v>
      </c>
      <c r="M557" s="52" t="str">
        <f>VLOOKUP(Tabla3[[#This Row],[Site]],'Important Info!'!$A$1:$F$135,3,FALSE)</f>
        <v>-</v>
      </c>
      <c r="N557" s="52" t="str">
        <f>VLOOKUP(Tabla3[[#This Row],[Site]],'Important Info!'!$A$1:$F$135,4,FALSE)</f>
        <v>153, 154, 155, 156, 157, 158</v>
      </c>
      <c r="O557" s="52" t="str">
        <f>VLOOKUP(Tabla3[[#This Row],[Site]],'Important Info!'!$A$1:$F$135,5,FALSE)</f>
        <v>2, 6, 10, 20, 28, 30, 36</v>
      </c>
      <c r="P557" s="52" t="str">
        <f>VLOOKUP(Tabla3[[#This Row],[Site]],'Important Info!'!$A$1:$F$135,6,FALSE)</f>
        <v>31, 41, 159</v>
      </c>
      <c r="Q557" s="91">
        <f>VLOOKUP(Tabla3[[#This Row],[Site]],'Important Info!'!$A$1:$J$135,9,FALSE)</f>
        <v>168</v>
      </c>
    </row>
    <row r="558" spans="1:17" x14ac:dyDescent="0.25">
      <c r="A558" t="str">
        <f>+Tabla3[[#This Row],[Site]]&amp;Tabla3[[#This Row],[Split]]</f>
        <v>(AS) Plaza Lexus/Mercedes/BMW (NO TOURS)8</v>
      </c>
      <c r="B558">
        <v>8</v>
      </c>
      <c r="C558">
        <v>7</v>
      </c>
      <c r="D558" t="s">
        <v>33</v>
      </c>
      <c r="E558" t="s">
        <v>46</v>
      </c>
      <c r="F558" t="s">
        <v>92</v>
      </c>
      <c r="G558" t="s">
        <v>34</v>
      </c>
      <c r="H558" s="52" t="str">
        <f>VLOOKUP(Tabla3[[#This Row],[Site]],'Important Info!'!$A$1:$J$135,10,FALSE)</f>
        <v>https://tools.sig.systems/site/details/141</v>
      </c>
      <c r="I558" s="66" t="s">
        <v>130</v>
      </c>
      <c r="J558" t="s">
        <v>41</v>
      </c>
      <c r="K558" s="79" t="str">
        <f>VLOOKUP(Tabla3[[#This Row],[Site]],'Important Info!'!$A$1:$H$135,8,FALSE)</f>
        <v>-</v>
      </c>
      <c r="L558" s="52" t="str">
        <f>VLOOKUP(Tabla3[[#This Row],[Site]],'Important Info!'!$A$1:$F$135,2,FALSE)</f>
        <v>3, 4, 18</v>
      </c>
      <c r="M558" s="52" t="str">
        <f>VLOOKUP(Tabla3[[#This Row],[Site]],'Important Info!'!$A$1:$F$135,3,FALSE)</f>
        <v>9, 10, 12, 13, 16, 17</v>
      </c>
      <c r="N558" s="52" t="str">
        <f>VLOOKUP(Tabla3[[#This Row],[Site]],'Important Info!'!$A$1:$F$135,4,FALSE)</f>
        <v>-</v>
      </c>
      <c r="O558" s="52">
        <f>VLOOKUP(Tabla3[[#This Row],[Site]],'Important Info!'!$A$1:$F$135,5,FALSE)</f>
        <v>2</v>
      </c>
      <c r="P558" s="52" t="str">
        <f>VLOOKUP(Tabla3[[#This Row],[Site]],'Important Info!'!$A$1:$F$135,6,FALSE)</f>
        <v>2, 16</v>
      </c>
      <c r="Q558" s="91">
        <f>VLOOKUP(Tabla3[[#This Row],[Site]],'Important Info!'!$A$1:$J$135,9,FALSE)</f>
        <v>141</v>
      </c>
    </row>
    <row r="559" spans="1:17" x14ac:dyDescent="0.25">
      <c r="A559" t="str">
        <f>+Tabla3[[#This Row],[Site]]&amp;Tabla3[[#This Row],[Split]]</f>
        <v>(DT) W Houston8</v>
      </c>
      <c r="B559">
        <v>8</v>
      </c>
      <c r="C559">
        <v>7</v>
      </c>
      <c r="D559" t="s">
        <v>33</v>
      </c>
      <c r="E559" t="s">
        <v>46</v>
      </c>
      <c r="F559" t="s">
        <v>69</v>
      </c>
      <c r="G559" t="s">
        <v>34</v>
      </c>
      <c r="H559" s="52" t="str">
        <f>VLOOKUP(Tabla3[[#This Row],[Site]],'Important Info!'!$A$1:$J$135,10,FALSE)</f>
        <v>https://tools.sig.systems/site/details/197</v>
      </c>
      <c r="J559" t="s">
        <v>41</v>
      </c>
      <c r="K559" s="79" t="str">
        <f>VLOOKUP(Tabla3[[#This Row],[Site]],'Important Info!'!$A$1:$H$135,8,FALSE)</f>
        <v>-</v>
      </c>
      <c r="L559" s="52">
        <f>VLOOKUP(Tabla3[[#This Row],[Site]],'Important Info!'!$A$1:$F$135,2,FALSE)</f>
        <v>7</v>
      </c>
      <c r="M559" s="52">
        <f>VLOOKUP(Tabla3[[#This Row],[Site]],'Important Info!'!$A$1:$F$135,3,FALSE)</f>
        <v>2</v>
      </c>
      <c r="N559" s="52" t="str">
        <f>VLOOKUP(Tabla3[[#This Row],[Site]],'Important Info!'!$A$1:$F$135,4,FALSE)</f>
        <v>-</v>
      </c>
      <c r="O559" s="52">
        <f>VLOOKUP(Tabla3[[#This Row],[Site]],'Important Info!'!$A$1:$F$135,5,FALSE)</f>
        <v>14</v>
      </c>
      <c r="P559" s="52" t="str">
        <f>VLOOKUP(Tabla3[[#This Row],[Site]],'Important Info!'!$A$1:$F$135,6,FALSE)</f>
        <v>2, 3, 7, 10</v>
      </c>
      <c r="Q559" s="91">
        <f>VLOOKUP(Tabla3[[#This Row],[Site]],'Important Info!'!$A$1:$J$135,9,FALSE)</f>
        <v>197</v>
      </c>
    </row>
    <row r="560" spans="1:17" x14ac:dyDescent="0.25">
      <c r="A560" t="str">
        <f>+Tabla3[[#This Row],[Site]]&amp;Tabla3[[#This Row],[Split]]</f>
        <v>(HUD) CDJR of Greensboro8</v>
      </c>
      <c r="B560">
        <v>8</v>
      </c>
      <c r="C560">
        <v>7</v>
      </c>
      <c r="D560" t="s">
        <v>62</v>
      </c>
      <c r="E560" t="s">
        <v>35</v>
      </c>
      <c r="F560" t="s">
        <v>185</v>
      </c>
      <c r="G560" t="s">
        <v>490</v>
      </c>
      <c r="H560" s="52" t="str">
        <f>VLOOKUP(Tabla3[[#This Row],[Site]],'Important Info!'!$A$1:$J$135,10,FALSE)</f>
        <v>https://tools.sig.systems/site/details/215</v>
      </c>
      <c r="I560" s="2" t="s">
        <v>184</v>
      </c>
      <c r="J560" t="s">
        <v>36</v>
      </c>
      <c r="K560" s="79" t="str">
        <f>VLOOKUP(Tabla3[[#This Row],[Site]],'Important Info!'!$A$1:$H$135,8,FALSE)</f>
        <v>-</v>
      </c>
      <c r="L560" s="52" t="str">
        <f>VLOOKUP(Tabla3[[#This Row],[Site]],'Important Info!'!$A$1:$F$135,2,FALSE)</f>
        <v>2, 12</v>
      </c>
      <c r="M560" s="52" t="str">
        <f>VLOOKUP(Tabla3[[#This Row],[Site]],'Important Info!'!$A$1:$F$135,3,FALSE)</f>
        <v>-</v>
      </c>
      <c r="N560" s="52" t="str">
        <f>VLOOKUP(Tabla3[[#This Row],[Site]],'Important Info!'!$A$1:$F$135,4,FALSE)</f>
        <v>-</v>
      </c>
      <c r="O560" s="52" t="str">
        <f>VLOOKUP(Tabla3[[#This Row],[Site]],'Important Info!'!$A$1:$F$135,5,FALSE)</f>
        <v>3, 13</v>
      </c>
      <c r="P560" s="52" t="str">
        <f>VLOOKUP(Tabla3[[#This Row],[Site]],'Important Info!'!$A$1:$F$135,6,FALSE)</f>
        <v>1, 17</v>
      </c>
      <c r="Q560" s="91">
        <f>VLOOKUP(Tabla3[[#This Row],[Site]],'Important Info!'!$A$1:$J$135,9,FALSE)</f>
        <v>215</v>
      </c>
    </row>
    <row r="561" spans="1:17" x14ac:dyDescent="0.25">
      <c r="A561" t="str">
        <f>+Tabla3[[#This Row],[Site]]&amp;Tabla3[[#This Row],[Split]]</f>
        <v>(HUD) Nissan Greensboro8</v>
      </c>
      <c r="B561">
        <v>8</v>
      </c>
      <c r="C561">
        <v>7</v>
      </c>
      <c r="D561" t="s">
        <v>62</v>
      </c>
      <c r="E561" t="s">
        <v>35</v>
      </c>
      <c r="F561" t="s">
        <v>66</v>
      </c>
      <c r="G561" t="s">
        <v>490</v>
      </c>
      <c r="H561" s="52" t="str">
        <f>VLOOKUP(Tabla3[[#This Row],[Site]],'Important Info!'!$A$1:$J$135,10,FALSE)</f>
        <v>https://tools.sig.systems/site/details/236</v>
      </c>
      <c r="I561" s="43" t="s">
        <v>184</v>
      </c>
      <c r="J561" t="s">
        <v>41</v>
      </c>
      <c r="K561" s="79" t="str">
        <f>VLOOKUP(Tabla3[[#This Row],[Site]],'Important Info!'!$A$1:$H$135,8,FALSE)</f>
        <v>-</v>
      </c>
      <c r="L561" s="52" t="str">
        <f>VLOOKUP(Tabla3[[#This Row],[Site]],'Important Info!'!$A$1:$F$135,2,FALSE)</f>
        <v>1, 5, 12</v>
      </c>
      <c r="M561" s="52" t="str">
        <f>VLOOKUP(Tabla3[[#This Row],[Site]],'Important Info!'!$A$1:$F$135,3,FALSE)</f>
        <v>-</v>
      </c>
      <c r="N561" s="52" t="str">
        <f>VLOOKUP(Tabla3[[#This Row],[Site]],'Important Info!'!$A$1:$F$135,4,FALSE)</f>
        <v>-</v>
      </c>
      <c r="O561" s="52" t="str">
        <f>VLOOKUP(Tabla3[[#This Row],[Site]],'Important Info!'!$A$1:$F$135,5,FALSE)</f>
        <v>-</v>
      </c>
      <c r="P561" s="52">
        <f>VLOOKUP(Tabla3[[#This Row],[Site]],'Important Info!'!$A$1:$F$135,6,FALSE)</f>
        <v>4</v>
      </c>
      <c r="Q561" s="91">
        <f>VLOOKUP(Tabla3[[#This Row],[Site]],'Important Info!'!$A$1:$J$135,9,FALSE)</f>
        <v>236</v>
      </c>
    </row>
    <row r="562" spans="1:17" x14ac:dyDescent="0.25">
      <c r="A562" t="str">
        <f>+Tabla3[[#This Row],[Site]]&amp;Tabla3[[#This Row],[Split]]</f>
        <v>(KG) JLR LEHI (NO TOURS)8</v>
      </c>
      <c r="B562">
        <v>8</v>
      </c>
      <c r="C562">
        <v>7</v>
      </c>
      <c r="D562" t="s">
        <v>44</v>
      </c>
      <c r="E562" t="s">
        <v>53</v>
      </c>
      <c r="F562" t="s">
        <v>8</v>
      </c>
      <c r="G562" t="s">
        <v>45</v>
      </c>
      <c r="H562" s="52" t="str">
        <f>VLOOKUP(Tabla3[[#This Row],[Site]],'Important Info!'!$A$1:$J$135,10,FALSE)</f>
        <v>https://tools.sig.systems/site/details/145</v>
      </c>
      <c r="I562" s="43"/>
      <c r="J562" t="s">
        <v>41</v>
      </c>
      <c r="K562" s="79" t="str">
        <f>VLOOKUP(Tabla3[[#This Row],[Site]],'Important Info!'!$A$1:$H$135,8,FALSE)</f>
        <v>-</v>
      </c>
      <c r="L562" s="52" t="str">
        <f>VLOOKUP(Tabla3[[#This Row],[Site]],'Important Info!'!$A$1:$F$135,2,FALSE)</f>
        <v>1, 11</v>
      </c>
      <c r="M562" s="52" t="str">
        <f>VLOOKUP(Tabla3[[#This Row],[Site]],'Important Info!'!$A$1:$F$135,3,FALSE)</f>
        <v>-</v>
      </c>
      <c r="N562" s="52" t="str">
        <f>VLOOKUP(Tabla3[[#This Row],[Site]],'Important Info!'!$A$1:$F$135,4,FALSE)</f>
        <v>-</v>
      </c>
      <c r="O562" s="52" t="str">
        <f>VLOOKUP(Tabla3[[#This Row],[Site]],'Important Info!'!$A$1:$F$135,5,FALSE)</f>
        <v>1, 7, 11</v>
      </c>
      <c r="P562" s="52" t="str">
        <f>VLOOKUP(Tabla3[[#This Row],[Site]],'Important Info!'!$A$1:$F$135,6,FALSE)</f>
        <v>-</v>
      </c>
      <c r="Q562" s="91">
        <f>VLOOKUP(Tabla3[[#This Row],[Site]],'Important Info!'!$A$1:$J$135,9,FALSE)</f>
        <v>145</v>
      </c>
    </row>
    <row r="563" spans="1:17" x14ac:dyDescent="0.25">
      <c r="A563" t="str">
        <f>+Tabla3[[#This Row],[Site]]&amp;Tabla3[[#This Row],[Split]]</f>
        <v>(ML) Columbia Honda (NO TOURS)8</v>
      </c>
      <c r="B563">
        <v>8</v>
      </c>
      <c r="C563">
        <v>7</v>
      </c>
      <c r="D563" t="s">
        <v>33</v>
      </c>
      <c r="E563" t="s">
        <v>46</v>
      </c>
      <c r="F563" t="s">
        <v>143</v>
      </c>
      <c r="G563" t="s">
        <v>34</v>
      </c>
      <c r="H563" s="52" t="str">
        <f>VLOOKUP(Tabla3[[#This Row],[Site]],'Important Info!'!$A$1:$J$135,10,FALSE)</f>
        <v>https://tools.sig.systems/site/details/272</v>
      </c>
      <c r="I563" s="66" t="s">
        <v>144</v>
      </c>
      <c r="J563" t="s">
        <v>41</v>
      </c>
      <c r="K563" s="79" t="str">
        <f>VLOOKUP(Tabla3[[#This Row],[Site]],'Important Info!'!$A$1:$H$135,8,FALSE)</f>
        <v>-</v>
      </c>
      <c r="L563" s="52" t="str">
        <f>VLOOKUP(Tabla3[[#This Row],[Site]],'Important Info!'!$A$1:$F$135,2,FALSE)</f>
        <v>-</v>
      </c>
      <c r="M563" s="52" t="str">
        <f>VLOOKUP(Tabla3[[#This Row],[Site]],'Important Info!'!$A$1:$F$135,3,FALSE)</f>
        <v>9, 19, 20</v>
      </c>
      <c r="N563" s="52" t="str">
        <f>VLOOKUP(Tabla3[[#This Row],[Site]],'Important Info!'!$A$1:$F$135,4,FALSE)</f>
        <v>-</v>
      </c>
      <c r="O563" s="52" t="str">
        <f>VLOOKUP(Tabla3[[#This Row],[Site]],'Important Info!'!$A$1:$F$135,5,FALSE)</f>
        <v>10, 17, 19</v>
      </c>
      <c r="P563" s="52" t="str">
        <f>VLOOKUP(Tabla3[[#This Row],[Site]],'Important Info!'!$A$1:$F$135,6,FALSE)</f>
        <v>3, 4, 5</v>
      </c>
      <c r="Q563" s="91">
        <f>VLOOKUP(Tabla3[[#This Row],[Site]],'Important Info!'!$A$1:$J$135,9,FALSE)</f>
        <v>272</v>
      </c>
    </row>
    <row r="564" spans="1:17" x14ac:dyDescent="0.25">
      <c r="A564" t="str">
        <f>+Tabla3[[#This Row],[Site]]&amp;Tabla3[[#This Row],[Split]]</f>
        <v>(ML) Joe Machens Capital City I &amp; II (NO TOURS)8</v>
      </c>
      <c r="B564">
        <v>8</v>
      </c>
      <c r="C564">
        <v>7</v>
      </c>
      <c r="D564" t="s">
        <v>33</v>
      </c>
      <c r="E564" t="s">
        <v>46</v>
      </c>
      <c r="F564" t="s">
        <v>72</v>
      </c>
      <c r="G564" t="s">
        <v>34</v>
      </c>
      <c r="H564" s="52" t="str">
        <f>VLOOKUP(Tabla3[[#This Row],[Site]],'Important Info!'!$A$1:$J$135,10,FALSE)</f>
        <v>https://tools.sig.systems/site/details/271</v>
      </c>
      <c r="J564" t="s">
        <v>41</v>
      </c>
      <c r="K564" s="79" t="str">
        <f>VLOOKUP(Tabla3[[#This Row],[Site]],'Important Info!'!$A$1:$H$135,8,FALSE)</f>
        <v>-</v>
      </c>
      <c r="L564" s="52" t="str">
        <f>VLOOKUP(Tabla3[[#This Row],[Site]],'Important Info!'!$A$1:$F$135,2,FALSE)</f>
        <v>-</v>
      </c>
      <c r="M564" s="52" t="str">
        <f>VLOOKUP(Tabla3[[#This Row],[Site]],'Important Info!'!$A$1:$F$135,3,FALSE)</f>
        <v>1, 3, 4, 20, 25, 27, 28</v>
      </c>
      <c r="N564" s="52" t="str">
        <f>VLOOKUP(Tabla3[[#This Row],[Site]],'Important Info!'!$A$1:$F$135,4,FALSE)</f>
        <v>-</v>
      </c>
      <c r="O564" s="52">
        <f>VLOOKUP(Tabla3[[#This Row],[Site]],'Important Info!'!$A$1:$F$135,5,FALSE)</f>
        <v>29</v>
      </c>
      <c r="P564" s="52" t="str">
        <f>VLOOKUP(Tabla3[[#This Row],[Site]],'Important Info!'!$A$1:$F$135,6,FALSE)</f>
        <v>19, 20</v>
      </c>
      <c r="Q564" s="91">
        <f>VLOOKUP(Tabla3[[#This Row],[Site]],'Important Info!'!$A$1:$J$135,9,FALSE)</f>
        <v>271</v>
      </c>
    </row>
    <row r="565" spans="1:17" x14ac:dyDescent="0.25">
      <c r="A565" t="str">
        <f>+Tabla3[[#This Row],[Site]]&amp;Tabla3[[#This Row],[Split]]</f>
        <v>(ML) Nissan Of Benton8</v>
      </c>
      <c r="B565">
        <v>8</v>
      </c>
      <c r="C565">
        <v>7</v>
      </c>
      <c r="D565" t="s">
        <v>33</v>
      </c>
      <c r="E565" t="s">
        <v>46</v>
      </c>
      <c r="F565" t="s">
        <v>120</v>
      </c>
      <c r="G565" t="s">
        <v>34</v>
      </c>
      <c r="H565" s="52" t="str">
        <f>VLOOKUP(Tabla3[[#This Row],[Site]],'Important Info!'!$A$1:$J$135,10,FALSE)</f>
        <v>https://tools.sig.systems/site/details/247</v>
      </c>
      <c r="I565" s="2"/>
      <c r="J565" t="s">
        <v>41</v>
      </c>
      <c r="K565" s="79" t="str">
        <f>VLOOKUP(Tabla3[[#This Row],[Site]],'Important Info!'!$A$1:$H$135,8,FALSE)</f>
        <v>-</v>
      </c>
      <c r="L565" s="52" t="str">
        <f>VLOOKUP(Tabla3[[#This Row],[Site]],'Important Info!'!$A$1:$F$135,2,FALSE)</f>
        <v>5, 12</v>
      </c>
      <c r="M565" s="52" t="str">
        <f>VLOOKUP(Tabla3[[#This Row],[Site]],'Important Info!'!$A$1:$F$135,3,FALSE)</f>
        <v>-</v>
      </c>
      <c r="N565" s="52" t="str">
        <f>VLOOKUP(Tabla3[[#This Row],[Site]],'Important Info!'!$A$1:$F$135,4,FALSE)</f>
        <v>-</v>
      </c>
      <c r="O565" s="52" t="str">
        <f>VLOOKUP(Tabla3[[#This Row],[Site]],'Important Info!'!$A$1:$F$135,5,FALSE)</f>
        <v>4, 18</v>
      </c>
      <c r="P565" s="52" t="str">
        <f>VLOOKUP(Tabla3[[#This Row],[Site]],'Important Info!'!$A$1:$F$135,6,FALSE)</f>
        <v>-</v>
      </c>
      <c r="Q565" s="91">
        <f>VLOOKUP(Tabla3[[#This Row],[Site]],'Important Info!'!$A$1:$J$135,9,FALSE)</f>
        <v>247</v>
      </c>
    </row>
    <row r="566" spans="1:17" x14ac:dyDescent="0.25">
      <c r="A566" t="str">
        <f>+Tabla3[[#This Row],[Site]]&amp;Tabla3[[#This Row],[Split]]</f>
        <v>(PE) BMW Tenafly (NO TOURS)8</v>
      </c>
      <c r="B566">
        <v>8</v>
      </c>
      <c r="C566">
        <v>7</v>
      </c>
      <c r="D566" t="s">
        <v>485</v>
      </c>
      <c r="E566" t="s">
        <v>35</v>
      </c>
      <c r="F566" t="s">
        <v>173</v>
      </c>
      <c r="G566" t="s">
        <v>490</v>
      </c>
      <c r="H566" s="52" t="str">
        <f>VLOOKUP(Tabla3[[#This Row],[Site]],'Important Info!'!$A$1:$J$135,10,FALSE)</f>
        <v>https://tools.sig.systems/site/details/155</v>
      </c>
      <c r="J566" t="s">
        <v>41</v>
      </c>
      <c r="K566" s="79" t="str">
        <f>VLOOKUP(Tabla3[[#This Row],[Site]],'Important Info!'!$A$1:$H$135,8,FALSE)</f>
        <v>-</v>
      </c>
      <c r="L566" s="52">
        <f>VLOOKUP(Tabla3[[#This Row],[Site]],'Important Info!'!$A$1:$F$135,2,FALSE)</f>
        <v>24</v>
      </c>
      <c r="M566" s="52" t="str">
        <f>VLOOKUP(Tabla3[[#This Row],[Site]],'Important Info!'!$A$1:$F$135,3,FALSE)</f>
        <v>1, 3, 4, 17, 23</v>
      </c>
      <c r="N566" s="52" t="str">
        <f>VLOOKUP(Tabla3[[#This Row],[Site]],'Important Info!'!$A$1:$F$135,4,FALSE)</f>
        <v>-</v>
      </c>
      <c r="O566" s="52" t="str">
        <f>VLOOKUP(Tabla3[[#This Row],[Site]],'Important Info!'!$A$1:$F$135,5,FALSE)</f>
        <v>-</v>
      </c>
      <c r="P566" s="52">
        <f>VLOOKUP(Tabla3[[#This Row],[Site]],'Important Info!'!$A$1:$F$135,6,FALSE)</f>
        <v>1</v>
      </c>
      <c r="Q566" s="91">
        <f>VLOOKUP(Tabla3[[#This Row],[Site]],'Important Info!'!$A$1:$J$135,9,FALSE)</f>
        <v>155</v>
      </c>
    </row>
    <row r="567" spans="1:17" x14ac:dyDescent="0.25">
      <c r="A567" t="str">
        <f>+Tabla3[[#This Row],[Site]]&amp;Tabla3[[#This Row],[Split]]</f>
        <v>(PE) Honda of Danbury (NO TOURS)8</v>
      </c>
      <c r="B567">
        <v>8</v>
      </c>
      <c r="C567">
        <v>7</v>
      </c>
      <c r="D567" t="s">
        <v>485</v>
      </c>
      <c r="E567" t="s">
        <v>35</v>
      </c>
      <c r="F567" t="s">
        <v>174</v>
      </c>
      <c r="G567" t="s">
        <v>490</v>
      </c>
      <c r="H567" s="52" t="str">
        <f>VLOOKUP(Tabla3[[#This Row],[Site]],'Important Info!'!$A$1:$J$135,10,FALSE)</f>
        <v>https://tools.sig.systems/site/details/190</v>
      </c>
      <c r="I567" s="64"/>
      <c r="J567" t="s">
        <v>41</v>
      </c>
      <c r="K567" s="79" t="str">
        <f>VLOOKUP(Tabla3[[#This Row],[Site]],'Important Info!'!$A$1:$H$135,8,FALSE)</f>
        <v>-</v>
      </c>
      <c r="L567" s="52" t="str">
        <f>VLOOKUP(Tabla3[[#This Row],[Site]],'Important Info!'!$A$1:$F$135,2,FALSE)</f>
        <v>-</v>
      </c>
      <c r="M567" s="52" t="str">
        <f>VLOOKUP(Tabla3[[#This Row],[Site]],'Important Info!'!$A$1:$F$135,3,FALSE)</f>
        <v>20, 9</v>
      </c>
      <c r="N567" s="52">
        <f>VLOOKUP(Tabla3[[#This Row],[Site]],'Important Info!'!$A$1:$F$135,4,FALSE)</f>
        <v>9</v>
      </c>
      <c r="O567" s="52" t="str">
        <f>VLOOKUP(Tabla3[[#This Row],[Site]],'Important Info!'!$A$1:$F$135,5,FALSE)</f>
        <v>-</v>
      </c>
      <c r="P567" s="52" t="str">
        <f>VLOOKUP(Tabla3[[#This Row],[Site]],'Important Info!'!$A$1:$F$135,6,FALSE)</f>
        <v>9, 16, 17</v>
      </c>
      <c r="Q567" s="91">
        <f>VLOOKUP(Tabla3[[#This Row],[Site]],'Important Info!'!$A$1:$J$135,9,FALSE)</f>
        <v>190</v>
      </c>
    </row>
    <row r="568" spans="1:17" x14ac:dyDescent="0.25">
      <c r="A568" t="str">
        <f>+Tabla3[[#This Row],[Site]]&amp;Tabla3[[#This Row],[Split]]</f>
        <v>(RV) Toms Camperland Mesa (NO TOURS)8</v>
      </c>
      <c r="B568">
        <v>8</v>
      </c>
      <c r="C568">
        <v>7</v>
      </c>
      <c r="D568" t="s">
        <v>51</v>
      </c>
      <c r="E568" t="s">
        <v>161</v>
      </c>
      <c r="F568" t="s">
        <v>81</v>
      </c>
      <c r="G568" t="s">
        <v>52</v>
      </c>
      <c r="H568" s="52" t="str">
        <f>VLOOKUP(Tabla3[[#This Row],[Site]],'Important Info!'!$A$1:$J$135,10,FALSE)</f>
        <v>https://tools.sig.systems/site/details/222</v>
      </c>
      <c r="I568" s="2"/>
      <c r="J568" t="s">
        <v>41</v>
      </c>
      <c r="K568" s="79" t="str">
        <f>VLOOKUP(Tabla3[[#This Row],[Site]],'Important Info!'!$A$1:$H$135,8,FALSE)</f>
        <v>-</v>
      </c>
      <c r="L568" s="52" t="str">
        <f>VLOOKUP(Tabla3[[#This Row],[Site]],'Important Info!'!$A$1:$F$135,2,FALSE)</f>
        <v>1, 2</v>
      </c>
      <c r="M568" s="52" t="str">
        <f>VLOOKUP(Tabla3[[#This Row],[Site]],'Important Info!'!$A$1:$F$135,3,FALSE)</f>
        <v>-</v>
      </c>
      <c r="N568" s="52" t="str">
        <f>VLOOKUP(Tabla3[[#This Row],[Site]],'Important Info!'!$A$1:$F$135,4,FALSE)</f>
        <v>-</v>
      </c>
      <c r="O568" s="52" t="str">
        <f>VLOOKUP(Tabla3[[#This Row],[Site]],'Important Info!'!$A$1:$F$135,5,FALSE)</f>
        <v>-</v>
      </c>
      <c r="P568" s="52" t="str">
        <f>VLOOKUP(Tabla3[[#This Row],[Site]],'Important Info!'!$A$1:$F$135,6,FALSE)</f>
        <v>1, 4, 6, 8, 10, 18</v>
      </c>
      <c r="Q568" s="91">
        <f>VLOOKUP(Tabla3[[#This Row],[Site]],'Important Info!'!$A$1:$J$135,9,FALSE)</f>
        <v>222</v>
      </c>
    </row>
    <row r="569" spans="1:17" x14ac:dyDescent="0.25">
      <c r="A569" t="str">
        <f>+Tabla3[[#This Row],[Site]]&amp;Tabla3[[#This Row],[Split]]</f>
        <v>(AS) Coggin Honda Ft. Pierce (NO TOURS)8</v>
      </c>
      <c r="B569">
        <v>8</v>
      </c>
      <c r="C569">
        <v>8</v>
      </c>
      <c r="D569" t="s">
        <v>62</v>
      </c>
      <c r="E569" t="s">
        <v>35</v>
      </c>
      <c r="F569" t="s">
        <v>501</v>
      </c>
      <c r="G569" t="s">
        <v>490</v>
      </c>
      <c r="H569" s="52" t="str">
        <f>VLOOKUP(Tabla3[[#This Row],[Site]],'Important Info!'!$A$1:$J$135,10,FALSE)</f>
        <v>https://tools.sig.systems/site/details/120</v>
      </c>
      <c r="I569" s="2" t="s">
        <v>179</v>
      </c>
      <c r="J569" t="s">
        <v>484</v>
      </c>
      <c r="K569" s="79" t="str">
        <f>VLOOKUP(Tabla3[[#This Row],[Site]],'Important Info!'!$A$1:$H$135,8,FALSE)</f>
        <v>-</v>
      </c>
      <c r="L569" s="52" t="str">
        <f>VLOOKUP(Tabla3[[#This Row],[Site]],'Important Info!'!$A$1:$F$135,2,FALSE)</f>
        <v>1, 2, 3, 4, 14</v>
      </c>
      <c r="M569" s="52" t="str">
        <f>VLOOKUP(Tabla3[[#This Row],[Site]],'Important Info!'!$A$1:$F$135,3,FALSE)</f>
        <v>-</v>
      </c>
      <c r="N569" s="52" t="str">
        <f>VLOOKUP(Tabla3[[#This Row],[Site]],'Important Info!'!$A$1:$F$135,4,FALSE)</f>
        <v>-</v>
      </c>
      <c r="O569" s="52" t="str">
        <f>VLOOKUP(Tabla3[[#This Row],[Site]],'Important Info!'!$A$1:$F$135,5,FALSE)</f>
        <v>7, 11, 15</v>
      </c>
      <c r="P569" s="52">
        <f>VLOOKUP(Tabla3[[#This Row],[Site]],'Important Info!'!$A$1:$F$135,6,FALSE)</f>
        <v>3</v>
      </c>
      <c r="Q569" s="91">
        <f>VLOOKUP(Tabla3[[#This Row],[Site]],'Important Info!'!$A$1:$J$135,9,FALSE)</f>
        <v>120</v>
      </c>
    </row>
    <row r="570" spans="1:17" x14ac:dyDescent="0.25">
      <c r="A570" t="str">
        <f>+Tabla3[[#This Row],[Site]]&amp;Tabla3[[#This Row],[Split]]</f>
        <v>(AS) Lexus Grapevine I &amp; II (NO TOURS)8</v>
      </c>
      <c r="B570">
        <v>8</v>
      </c>
      <c r="C570">
        <v>8</v>
      </c>
      <c r="D570" t="s">
        <v>33</v>
      </c>
      <c r="E570" t="s">
        <v>46</v>
      </c>
      <c r="F570" t="s">
        <v>508</v>
      </c>
      <c r="G570" t="s">
        <v>34</v>
      </c>
      <c r="H570" s="52" t="str">
        <f>VLOOKUP(Tabla3[[#This Row],[Site]],'Important Info!'!$A$1:$J$135,10,FALSE)</f>
        <v>https://tools.sig.systems/site/details/136</v>
      </c>
      <c r="I570" s="43"/>
      <c r="J570" t="s">
        <v>41</v>
      </c>
      <c r="K570" s="79" t="str">
        <f>VLOOKUP(Tabla3[[#This Row],[Site]],'Important Info!'!$A$1:$H$135,8,FALSE)</f>
        <v>-</v>
      </c>
      <c r="L570" s="52" t="str">
        <f>VLOOKUP(Tabla3[[#This Row],[Site]],'Important Info!'!$A$1:$F$135,2,FALSE)</f>
        <v>4, 10, 14, 18, 33</v>
      </c>
      <c r="M570" s="52" t="str">
        <f>VLOOKUP(Tabla3[[#This Row],[Site]],'Important Info!'!$A$1:$F$135,3,FALSE)</f>
        <v>-</v>
      </c>
      <c r="N570" s="52" t="str">
        <f>VLOOKUP(Tabla3[[#This Row],[Site]],'Important Info!'!$A$1:$F$135,4,FALSE)</f>
        <v>81, 82, 83</v>
      </c>
      <c r="O570" s="52" t="str">
        <f>VLOOKUP(Tabla3[[#This Row],[Site]],'Important Info!'!$A$1:$F$135,5,FALSE)</f>
        <v>4, 12, 15, 20, 30</v>
      </c>
      <c r="P570" s="52">
        <f>VLOOKUP(Tabla3[[#This Row],[Site]],'Important Info!'!$A$1:$F$135,6,FALSE)</f>
        <v>10</v>
      </c>
      <c r="Q570" s="91">
        <f>VLOOKUP(Tabla3[[#This Row],[Site]],'Important Info!'!$A$1:$J$135,9,FALSE)</f>
        <v>136</v>
      </c>
    </row>
    <row r="571" spans="1:17" x14ac:dyDescent="0.25">
      <c r="A571" t="str">
        <f>+Tabla3[[#This Row],[Site]]&amp;Tabla3[[#This Row],[Split]]</f>
        <v>(AS) Lexus Plano I &amp; II (NO TOURS)8</v>
      </c>
      <c r="B571">
        <v>8</v>
      </c>
      <c r="C571">
        <v>8</v>
      </c>
      <c r="D571" t="s">
        <v>33</v>
      </c>
      <c r="E571" t="s">
        <v>46</v>
      </c>
      <c r="F571" t="s">
        <v>524</v>
      </c>
      <c r="G571" t="s">
        <v>34</v>
      </c>
      <c r="H571" s="52" t="str">
        <f>VLOOKUP(Tabla3[[#This Row],[Site]],'Important Info!'!$A$1:$J$135,10,FALSE)</f>
        <v>https://tools.sig.systems/site/details/167</v>
      </c>
      <c r="I571" s="63" t="s">
        <v>127</v>
      </c>
      <c r="J571" t="s">
        <v>41</v>
      </c>
      <c r="K571" s="79" t="str">
        <f>VLOOKUP(Tabla3[[#This Row],[Site]],'Important Info!'!$A$1:$H$135,8,FALSE)</f>
        <v>-</v>
      </c>
      <c r="L571" s="52" t="str">
        <f>VLOOKUP(Tabla3[[#This Row],[Site]],'Important Info!'!$A$1:$F$135,2,FALSE)</f>
        <v>5, 9</v>
      </c>
      <c r="M571" s="52" t="str">
        <f>VLOOKUP(Tabla3[[#This Row],[Site]],'Important Info!'!$A$1:$F$135,3,FALSE)</f>
        <v>-</v>
      </c>
      <c r="N571" s="52" t="str">
        <f>VLOOKUP(Tabla3[[#This Row],[Site]],'Important Info!'!$A$1:$F$135,4,FALSE)</f>
        <v>101, 102, 103, 104</v>
      </c>
      <c r="O571" s="52" t="str">
        <f>VLOOKUP(Tabla3[[#This Row],[Site]],'Important Info!'!$A$1:$F$135,5,FALSE)</f>
        <v>4, 10, 28</v>
      </c>
      <c r="P571" s="52" t="str">
        <f>VLOOKUP(Tabla3[[#This Row],[Site]],'Important Info!'!$A$1:$F$135,6,FALSE)</f>
        <v>5, 9, 16</v>
      </c>
      <c r="Q571" s="91">
        <f>VLOOKUP(Tabla3[[#This Row],[Site]],'Important Info!'!$A$1:$J$135,9,FALSE)</f>
        <v>167</v>
      </c>
    </row>
    <row r="572" spans="1:17" x14ac:dyDescent="0.25">
      <c r="A572" t="str">
        <f>+Tabla3[[#This Row],[Site]]&amp;Tabla3[[#This Row],[Split]]</f>
        <v>(AS) Park Place JLR DFW Airport (NO TOURS)8</v>
      </c>
      <c r="B572">
        <v>8</v>
      </c>
      <c r="C572">
        <v>8</v>
      </c>
      <c r="D572" t="s">
        <v>33</v>
      </c>
      <c r="E572" t="s">
        <v>46</v>
      </c>
      <c r="F572" t="s">
        <v>516</v>
      </c>
      <c r="G572" t="s">
        <v>34</v>
      </c>
      <c r="H572" s="52" t="str">
        <f>VLOOKUP(Tabla3[[#This Row],[Site]],'Important Info!'!$A$1:$J$135,10,FALSE)</f>
        <v>https://tools.sig.systems/site/details/135</v>
      </c>
      <c r="J572" t="s">
        <v>41</v>
      </c>
      <c r="K572" s="79" t="str">
        <f>VLOOKUP(Tabla3[[#This Row],[Site]],'Important Info!'!$A$1:$H$135,8,FALSE)</f>
        <v>-</v>
      </c>
      <c r="L572" s="52" t="str">
        <f>VLOOKUP(Tabla3[[#This Row],[Site]],'Important Info!'!$A$1:$F$135,2,FALSE)</f>
        <v>6, 7, 18</v>
      </c>
      <c r="M572" s="52" t="str">
        <f>VLOOKUP(Tabla3[[#This Row],[Site]],'Important Info!'!$A$1:$F$135,3,FALSE)</f>
        <v>70, 79, 80</v>
      </c>
      <c r="N572" s="52" t="str">
        <f>VLOOKUP(Tabla3[[#This Row],[Site]],'Important Info!'!$A$1:$F$135,4,FALSE)</f>
        <v>83, 84</v>
      </c>
      <c r="O572" s="52" t="str">
        <f>VLOOKUP(Tabla3[[#This Row],[Site]],'Important Info!'!$A$1:$F$135,5,FALSE)</f>
        <v>3, 8, 14, 81</v>
      </c>
      <c r="P572" s="52">
        <f>VLOOKUP(Tabla3[[#This Row],[Site]],'Important Info!'!$A$1:$F$135,6,FALSE)</f>
        <v>6</v>
      </c>
      <c r="Q572" s="91">
        <f>VLOOKUP(Tabla3[[#This Row],[Site]],'Important Info!'!$A$1:$J$135,9,FALSE)</f>
        <v>135</v>
      </c>
    </row>
    <row r="573" spans="1:17" x14ac:dyDescent="0.25">
      <c r="A573" t="str">
        <f>+Tabla3[[#This Row],[Site]]&amp;Tabla3[[#This Row],[Split]]</f>
        <v>(DT) N. Houston8</v>
      </c>
      <c r="B573">
        <v>8</v>
      </c>
      <c r="C573">
        <v>8</v>
      </c>
      <c r="D573" t="s">
        <v>33</v>
      </c>
      <c r="E573" t="s">
        <v>46</v>
      </c>
      <c r="F573" t="s">
        <v>68</v>
      </c>
      <c r="G573" t="s">
        <v>34</v>
      </c>
      <c r="H573" s="52" t="str">
        <f>VLOOKUP(Tabla3[[#This Row],[Site]],'Important Info!'!$A$1:$J$135,10,FALSE)</f>
        <v>https://tools.sig.systems/site/details/250</v>
      </c>
      <c r="I573" s="2"/>
      <c r="J573" t="s">
        <v>41</v>
      </c>
      <c r="K573" s="79" t="str">
        <f>VLOOKUP(Tabla3[[#This Row],[Site]],'Important Info!'!$A$1:$H$135,8,FALSE)</f>
        <v>-</v>
      </c>
      <c r="L573" s="52" t="str">
        <f>VLOOKUP(Tabla3[[#This Row],[Site]],'Important Info!'!$A$1:$F$135,2,FALSE)</f>
        <v>2, 10, 18</v>
      </c>
      <c r="M573" s="52" t="str">
        <f>VLOOKUP(Tabla3[[#This Row],[Site]],'Important Info!'!$A$1:$F$135,3,FALSE)</f>
        <v>-</v>
      </c>
      <c r="N573" s="52" t="str">
        <f>VLOOKUP(Tabla3[[#This Row],[Site]],'Important Info!'!$A$1:$F$135,4,FALSE)</f>
        <v>-</v>
      </c>
      <c r="O573" s="52">
        <f>VLOOKUP(Tabla3[[#This Row],[Site]],'Important Info!'!$A$1:$F$135,5,FALSE)</f>
        <v>15</v>
      </c>
      <c r="P573" s="52" t="str">
        <f>VLOOKUP(Tabla3[[#This Row],[Site]],'Important Info!'!$A$1:$F$135,6,FALSE)</f>
        <v>2, 4, 18</v>
      </c>
      <c r="Q573" s="91">
        <f>VLOOKUP(Tabla3[[#This Row],[Site]],'Important Info!'!$A$1:$J$135,9,FALSE)</f>
        <v>250</v>
      </c>
    </row>
    <row r="574" spans="1:17" x14ac:dyDescent="0.25">
      <c r="A574" t="str">
        <f>+Tabla3[[#This Row],[Site]]&amp;Tabla3[[#This Row],[Split]]</f>
        <v>(HUD) Honda Greensboro8</v>
      </c>
      <c r="B574">
        <v>8</v>
      </c>
      <c r="C574">
        <v>8</v>
      </c>
      <c r="D574" t="s">
        <v>62</v>
      </c>
      <c r="E574" t="s">
        <v>35</v>
      </c>
      <c r="F574" t="s">
        <v>85</v>
      </c>
      <c r="G574" t="s">
        <v>490</v>
      </c>
      <c r="H574" s="52" t="str">
        <f>VLOOKUP(Tabla3[[#This Row],[Site]],'Important Info!'!$A$1:$J$135,10,FALSE)</f>
        <v>https://tools.sig.systems/site/details/230</v>
      </c>
      <c r="I574" s="43" t="s">
        <v>186</v>
      </c>
      <c r="J574" t="s">
        <v>41</v>
      </c>
      <c r="K574" s="79" t="str">
        <f>VLOOKUP(Tabla3[[#This Row],[Site]],'Important Info!'!$A$1:$H$135,8,FALSE)</f>
        <v>-</v>
      </c>
      <c r="L574" s="52" t="str">
        <f>VLOOKUP(Tabla3[[#This Row],[Site]],'Important Info!'!$A$1:$F$135,2,FALSE)</f>
        <v>1, 3,  15, 16, 22</v>
      </c>
      <c r="M574" s="52" t="str">
        <f>VLOOKUP(Tabla3[[#This Row],[Site]],'Important Info!'!$A$1:$F$135,3,FALSE)</f>
        <v>-</v>
      </c>
      <c r="N574" s="52" t="str">
        <f>VLOOKUP(Tabla3[[#This Row],[Site]],'Important Info!'!$A$1:$F$135,4,FALSE)</f>
        <v>-</v>
      </c>
      <c r="O574" s="52" t="str">
        <f>VLOOKUP(Tabla3[[#This Row],[Site]],'Important Info!'!$A$1:$F$135,5,FALSE)</f>
        <v>3, 20</v>
      </c>
      <c r="P574" s="52">
        <f>VLOOKUP(Tabla3[[#This Row],[Site]],'Important Info!'!$A$1:$F$135,6,FALSE)</f>
        <v>26</v>
      </c>
      <c r="Q574" s="91">
        <f>VLOOKUP(Tabla3[[#This Row],[Site]],'Important Info!'!$A$1:$J$135,9,FALSE)</f>
        <v>230</v>
      </c>
    </row>
    <row r="575" spans="1:17" x14ac:dyDescent="0.25">
      <c r="A575" t="str">
        <f>+Tabla3[[#This Row],[Site]]&amp;Tabla3[[#This Row],[Split]]</f>
        <v>(HUD) Honda of Southpoint8</v>
      </c>
      <c r="B575">
        <v>8</v>
      </c>
      <c r="C575">
        <v>8</v>
      </c>
      <c r="D575" t="s">
        <v>62</v>
      </c>
      <c r="E575" t="s">
        <v>35</v>
      </c>
      <c r="F575" t="s">
        <v>65</v>
      </c>
      <c r="G575" t="s">
        <v>490</v>
      </c>
      <c r="H575" s="52" t="str">
        <f>VLOOKUP(Tabla3[[#This Row],[Site]],'Important Info!'!$A$1:$J$135,10,FALSE)</f>
        <v>https://tools.sig.systems/site/details/195</v>
      </c>
      <c r="J575" t="s">
        <v>484</v>
      </c>
      <c r="K575" s="79" t="str">
        <f>VLOOKUP(Tabla3[[#This Row],[Site]],'Important Info!'!$A$1:$H$135,8,FALSE)</f>
        <v>-</v>
      </c>
      <c r="L575" s="52" t="str">
        <f>VLOOKUP(Tabla3[[#This Row],[Site]],'Important Info!'!$A$1:$F$135,2,FALSE)</f>
        <v>2, 12, 18</v>
      </c>
      <c r="M575" s="52">
        <f>VLOOKUP(Tabla3[[#This Row],[Site]],'Important Info!'!$A$1:$F$135,3,FALSE)</f>
        <v>13</v>
      </c>
      <c r="N575" s="52" t="str">
        <f>VLOOKUP(Tabla3[[#This Row],[Site]],'Important Info!'!$A$1:$F$135,4,FALSE)</f>
        <v>-</v>
      </c>
      <c r="O575" s="52" t="str">
        <f>VLOOKUP(Tabla3[[#This Row],[Site]],'Important Info!'!$A$1:$F$135,5,FALSE)</f>
        <v>2, 15</v>
      </c>
      <c r="P575" s="52" t="str">
        <f>VLOOKUP(Tabla3[[#This Row],[Site]],'Important Info!'!$A$1:$F$135,6,FALSE)</f>
        <v>-</v>
      </c>
      <c r="Q575" s="91">
        <f>VLOOKUP(Tabla3[[#This Row],[Site]],'Important Info!'!$A$1:$J$135,9,FALSE)</f>
        <v>195</v>
      </c>
    </row>
    <row r="576" spans="1:17" x14ac:dyDescent="0.25">
      <c r="A576" t="str">
        <f>+Tabla3[[#This Row],[Site]]&amp;Tabla3[[#This Row],[Split]]</f>
        <v>(ML) Ford Lincoln of North Little Rock8</v>
      </c>
      <c r="B576">
        <v>8</v>
      </c>
      <c r="C576">
        <v>8</v>
      </c>
      <c r="D576" t="s">
        <v>33</v>
      </c>
      <c r="E576" t="s">
        <v>46</v>
      </c>
      <c r="F576" t="s">
        <v>145</v>
      </c>
      <c r="G576" t="s">
        <v>34</v>
      </c>
      <c r="H576" s="52" t="str">
        <f>VLOOKUP(Tabla3[[#This Row],[Site]],'Important Info!'!$A$1:$J$135,10,FALSE)</f>
        <v>https://tools.sig.systems/site/details/214</v>
      </c>
      <c r="I576" s="43" t="s">
        <v>142</v>
      </c>
      <c r="J576" t="s">
        <v>41</v>
      </c>
      <c r="K576" s="79" t="str">
        <f>VLOOKUP(Tabla3[[#This Row],[Site]],'Important Info!'!$A$1:$H$135,8,FALSE)</f>
        <v>-</v>
      </c>
      <c r="L576" s="52" t="str">
        <f>VLOOKUP(Tabla3[[#This Row],[Site]],'Important Info!'!$A$1:$F$135,2,FALSE)</f>
        <v>4, 15, 18, 67, 74</v>
      </c>
      <c r="M576" s="52">
        <f>VLOOKUP(Tabla3[[#This Row],[Site]],'Important Info!'!$A$1:$F$135,3,FALSE)</f>
        <v>13</v>
      </c>
      <c r="N576" s="52" t="str">
        <f>VLOOKUP(Tabla3[[#This Row],[Site]],'Important Info!'!$A$1:$F$135,4,FALSE)</f>
        <v>-</v>
      </c>
      <c r="O576" s="52" t="str">
        <f>VLOOKUP(Tabla3[[#This Row],[Site]],'Important Info!'!$A$1:$F$135,5,FALSE)</f>
        <v>4, 11, 16, 28</v>
      </c>
      <c r="P576" s="52" t="str">
        <f>VLOOKUP(Tabla3[[#This Row],[Site]],'Important Info!'!$A$1:$F$135,6,FALSE)</f>
        <v>10, 11, 12</v>
      </c>
      <c r="Q576" s="91">
        <f>VLOOKUP(Tabla3[[#This Row],[Site]],'Important Info!'!$A$1:$J$135,9,FALSE)</f>
        <v>214</v>
      </c>
    </row>
    <row r="577" spans="1:17" x14ac:dyDescent="0.25">
      <c r="A577" t="str">
        <f>+Tabla3[[#This Row],[Site]]&amp;Tabla3[[#This Row],[Split]]</f>
        <v>(ML) Honda of Little Rock8</v>
      </c>
      <c r="B577">
        <v>8</v>
      </c>
      <c r="C577">
        <v>8</v>
      </c>
      <c r="D577" t="s">
        <v>33</v>
      </c>
      <c r="E577" t="s">
        <v>46</v>
      </c>
      <c r="F577" t="s">
        <v>71</v>
      </c>
      <c r="G577" t="s">
        <v>34</v>
      </c>
      <c r="H577" s="52" t="str">
        <f>VLOOKUP(Tabla3[[#This Row],[Site]],'Important Info!'!$A$1:$J$135,10,FALSE)</f>
        <v>https://tools.sig.systems/site/details/249</v>
      </c>
      <c r="I577" s="2" t="s">
        <v>140</v>
      </c>
      <c r="J577" t="s">
        <v>41</v>
      </c>
      <c r="K577" s="79" t="str">
        <f>VLOOKUP(Tabla3[[#This Row],[Site]],'Important Info!'!$A$1:$H$135,8,FALSE)</f>
        <v>-</v>
      </c>
      <c r="L577" s="52" t="str">
        <f>VLOOKUP(Tabla3[[#This Row],[Site]],'Important Info!'!$A$1:$F$135,2,FALSE)</f>
        <v>1, 4, 9, 14, 21</v>
      </c>
      <c r="M577" s="52" t="str">
        <f>VLOOKUP(Tabla3[[#This Row],[Site]],'Important Info!'!$A$1:$F$135,3,FALSE)</f>
        <v>-</v>
      </c>
      <c r="N577" s="52" t="str">
        <f>VLOOKUP(Tabla3[[#This Row],[Site]],'Important Info!'!$A$1:$F$135,4,FALSE)</f>
        <v>-</v>
      </c>
      <c r="O577" s="52" t="str">
        <f>VLOOKUP(Tabla3[[#This Row],[Site]],'Important Info!'!$A$1:$F$135,5,FALSE)</f>
        <v>4, 14, 21</v>
      </c>
      <c r="P577" s="52" t="str">
        <f>VLOOKUP(Tabla3[[#This Row],[Site]],'Important Info!'!$A$1:$F$135,6,FALSE)</f>
        <v>11, 12</v>
      </c>
      <c r="Q577" s="91">
        <f>VLOOKUP(Tabla3[[#This Row],[Site]],'Important Info!'!$A$1:$J$135,9,FALSE)</f>
        <v>249</v>
      </c>
    </row>
    <row r="578" spans="1:17" x14ac:dyDescent="0.25">
      <c r="A578" t="str">
        <f>+Tabla3[[#This Row],[Site]]&amp;Tabla3[[#This Row],[Split]]</f>
        <v>(ML) Nissan of Little Rock8</v>
      </c>
      <c r="B578">
        <v>8</v>
      </c>
      <c r="C578">
        <v>8</v>
      </c>
      <c r="D578" t="s">
        <v>33</v>
      </c>
      <c r="E578" t="s">
        <v>46</v>
      </c>
      <c r="F578" t="s">
        <v>152</v>
      </c>
      <c r="G578" t="s">
        <v>34</v>
      </c>
      <c r="H578" s="52" t="str">
        <f>VLOOKUP(Tabla3[[#This Row],[Site]],'Important Info!'!$A$1:$J$135,10,FALSE)</f>
        <v>https://tools.sig.systems/site/details/224</v>
      </c>
      <c r="I578" s="43" t="s">
        <v>140</v>
      </c>
      <c r="J578" t="s">
        <v>41</v>
      </c>
      <c r="K578" s="79" t="str">
        <f>VLOOKUP(Tabla3[[#This Row],[Site]],'Important Info!'!$A$1:$H$135,8,FALSE)</f>
        <v>-</v>
      </c>
      <c r="L578" s="52" t="str">
        <f>VLOOKUP(Tabla3[[#This Row],[Site]],'Important Info!'!$A$1:$F$135,2,FALSE)</f>
        <v>3, 6</v>
      </c>
      <c r="M578" s="52" t="str">
        <f>VLOOKUP(Tabla3[[#This Row],[Site]],'Important Info!'!$A$1:$F$135,3,FALSE)</f>
        <v>-</v>
      </c>
      <c r="N578" s="52" t="str">
        <f>VLOOKUP(Tabla3[[#This Row],[Site]],'Important Info!'!$A$1:$F$135,4,FALSE)</f>
        <v>-</v>
      </c>
      <c r="O578" s="52" t="str">
        <f>VLOOKUP(Tabla3[[#This Row],[Site]],'Important Info!'!$A$1:$F$135,5,FALSE)</f>
        <v>1, 8, 16, 22</v>
      </c>
      <c r="P578" s="52" t="str">
        <f>VLOOKUP(Tabla3[[#This Row],[Site]],'Important Info!'!$A$1:$F$135,6,FALSE)</f>
        <v>3, 4</v>
      </c>
      <c r="Q578" s="91">
        <f>VLOOKUP(Tabla3[[#This Row],[Site]],'Important Info!'!$A$1:$J$135,9,FALSE)</f>
        <v>224</v>
      </c>
    </row>
    <row r="579" spans="1:17" x14ac:dyDescent="0.25">
      <c r="A579" t="str">
        <f>+Tabla3[[#This Row],[Site]]&amp;Tabla3[[#This Row],[Split]]</f>
        <v>(ML) Nissan of North Little Rock8</v>
      </c>
      <c r="B579">
        <v>8</v>
      </c>
      <c r="C579">
        <v>8</v>
      </c>
      <c r="D579" t="s">
        <v>33</v>
      </c>
      <c r="E579" t="s">
        <v>46</v>
      </c>
      <c r="F579" t="s">
        <v>75</v>
      </c>
      <c r="G579" t="s">
        <v>34</v>
      </c>
      <c r="H579" s="52" t="str">
        <f>VLOOKUP(Tabla3[[#This Row],[Site]],'Important Info!'!$A$1:$J$135,10,FALSE)</f>
        <v>https://tools.sig.systems/site/details/216</v>
      </c>
      <c r="I579" s="43" t="s">
        <v>142</v>
      </c>
      <c r="J579" t="s">
        <v>41</v>
      </c>
      <c r="K579" s="79" t="str">
        <f>VLOOKUP(Tabla3[[#This Row],[Site]],'Important Info!'!$A$1:$H$135,8,FALSE)</f>
        <v>-</v>
      </c>
      <c r="L579" s="52" t="str">
        <f>VLOOKUP(Tabla3[[#This Row],[Site]],'Important Info!'!$A$1:$F$135,2,FALSE)</f>
        <v>2, 4</v>
      </c>
      <c r="M579" s="52" t="str">
        <f>VLOOKUP(Tabla3[[#This Row],[Site]],'Important Info!'!$A$1:$F$135,3,FALSE)</f>
        <v>-</v>
      </c>
      <c r="N579" s="52" t="str">
        <f>VLOOKUP(Tabla3[[#This Row],[Site]],'Important Info!'!$A$1:$F$135,4,FALSE)</f>
        <v>-</v>
      </c>
      <c r="O579" s="52" t="str">
        <f>VLOOKUP(Tabla3[[#This Row],[Site]],'Important Info!'!$A$1:$F$135,5,FALSE)</f>
        <v>5, 17, 23</v>
      </c>
      <c r="P579" s="52">
        <f>VLOOKUP(Tabla3[[#This Row],[Site]],'Important Info!'!$A$1:$F$135,6,FALSE)</f>
        <v>18</v>
      </c>
      <c r="Q579" s="91">
        <f>VLOOKUP(Tabla3[[#This Row],[Site]],'Important Info!'!$A$1:$J$135,9,FALSE)</f>
        <v>216</v>
      </c>
    </row>
    <row r="580" spans="1:17" x14ac:dyDescent="0.25">
      <c r="A580" t="str">
        <f>+Tabla3[[#This Row],[Site]]&amp;Tabla3[[#This Row],[Split]]</f>
        <v>(PE) Fairfield Collision (NO TOURS)8</v>
      </c>
      <c r="B580">
        <v>8</v>
      </c>
      <c r="C580">
        <v>8</v>
      </c>
      <c r="D580" t="s">
        <v>485</v>
      </c>
      <c r="E580" t="s">
        <v>35</v>
      </c>
      <c r="F580" t="s">
        <v>63</v>
      </c>
      <c r="G580" t="s">
        <v>490</v>
      </c>
      <c r="H580" s="52" t="str">
        <f>VLOOKUP(Tabla3[[#This Row],[Site]],'Important Info!'!$A$1:$J$135,10,FALSE)</f>
        <v>https://tools.sig.systems/site/details/191</v>
      </c>
      <c r="J580" t="s">
        <v>41</v>
      </c>
      <c r="K580" s="79" t="str">
        <f>VLOOKUP(Tabla3[[#This Row],[Site]],'Important Info!'!$A$1:$H$135,8,FALSE)</f>
        <v>-</v>
      </c>
      <c r="L580" s="52">
        <f>VLOOKUP(Tabla3[[#This Row],[Site]],'Important Info!'!$A$1:$F$135,2,FALSE)</f>
        <v>4</v>
      </c>
      <c r="M580" s="52" t="str">
        <f>VLOOKUP(Tabla3[[#This Row],[Site]],'Important Info!'!$A$1:$F$135,3,FALSE)</f>
        <v>-</v>
      </c>
      <c r="N580" s="52" t="str">
        <f>VLOOKUP(Tabla3[[#This Row],[Site]],'Important Info!'!$A$1:$F$135,4,FALSE)</f>
        <v>-</v>
      </c>
      <c r="O580" s="52" t="str">
        <f>VLOOKUP(Tabla3[[#This Row],[Site]],'Important Info!'!$A$1:$F$135,5,FALSE)</f>
        <v>-</v>
      </c>
      <c r="P580" s="52" t="str">
        <f>VLOOKUP(Tabla3[[#This Row],[Site]],'Important Info!'!$A$1:$F$135,6,FALSE)</f>
        <v>1, 2, 3, 4, 5, 6</v>
      </c>
      <c r="Q580" s="91">
        <f>VLOOKUP(Tabla3[[#This Row],[Site]],'Important Info!'!$A$1:$J$135,9,FALSE)</f>
        <v>191</v>
      </c>
    </row>
    <row r="581" spans="1:17" x14ac:dyDescent="0.25">
      <c r="A581" t="str">
        <f>+Tabla3[[#This Row],[Site]]&amp;Tabla3[[#This Row],[Split]]</f>
        <v>(RV) Toms Camperland Avondale (NO TOURS)8</v>
      </c>
      <c r="B581">
        <v>8</v>
      </c>
      <c r="C581">
        <v>8</v>
      </c>
      <c r="D581" t="s">
        <v>51</v>
      </c>
      <c r="E581" t="s">
        <v>161</v>
      </c>
      <c r="F581" t="s">
        <v>80</v>
      </c>
      <c r="G581" t="s">
        <v>52</v>
      </c>
      <c r="H581" s="52" t="str">
        <f>VLOOKUP(Tabla3[[#This Row],[Site]],'Important Info!'!$A$1:$J$135,10,FALSE)</f>
        <v>https://tools.sig.systems/site/details/248</v>
      </c>
      <c r="I581" s="2" t="s">
        <v>163</v>
      </c>
      <c r="J581" t="s">
        <v>164</v>
      </c>
      <c r="K581" s="79" t="str">
        <f>VLOOKUP(Tabla3[[#This Row],[Site]],'Important Info!'!$A$1:$H$135,8,FALSE)</f>
        <v>-</v>
      </c>
      <c r="L581" s="52">
        <f>VLOOKUP(Tabla3[[#This Row],[Site]],'Important Info!'!$A$1:$F$135,2,FALSE)</f>
        <v>10</v>
      </c>
      <c r="M581" s="52" t="str">
        <f>VLOOKUP(Tabla3[[#This Row],[Site]],'Important Info!'!$A$1:$F$135,3,FALSE)</f>
        <v>2, 7</v>
      </c>
      <c r="N581" s="52" t="str">
        <f>VLOOKUP(Tabla3[[#This Row],[Site]],'Important Info!'!$A$1:$F$135,4,FALSE)</f>
        <v>-</v>
      </c>
      <c r="O581" s="52" t="str">
        <f>VLOOKUP(Tabla3[[#This Row],[Site]],'Important Info!'!$A$1:$F$135,5,FALSE)</f>
        <v>-</v>
      </c>
      <c r="P581" s="52" t="str">
        <f>VLOOKUP(Tabla3[[#This Row],[Site]],'Important Info!'!$A$1:$F$135,6,FALSE)</f>
        <v>2, 7, 8, 13, 15</v>
      </c>
      <c r="Q581" s="91">
        <f>VLOOKUP(Tabla3[[#This Row],[Site]],'Important Info!'!$A$1:$J$135,9,FALSE)</f>
        <v>248</v>
      </c>
    </row>
    <row r="582" spans="1:17" x14ac:dyDescent="0.25">
      <c r="A582" t="str">
        <f>+Tabla3[[#This Row],[Site]]&amp;Tabla3[[#This Row],[Split]]</f>
        <v>(AS) David McDavid Lincoln Frisco (NO TOURS)9</v>
      </c>
      <c r="B582">
        <v>9</v>
      </c>
      <c r="C582">
        <v>1</v>
      </c>
      <c r="D582" t="s">
        <v>33</v>
      </c>
      <c r="E582" t="s">
        <v>46</v>
      </c>
      <c r="F582" t="s">
        <v>507</v>
      </c>
      <c r="G582" t="s">
        <v>34</v>
      </c>
      <c r="H582" s="52" t="str">
        <f>VLOOKUP(Tabla3[[#This Row],[Site]],'Important Info!'!$A$1:$J$135,10,FALSE)</f>
        <v>https://tools.sig.systems/site/details/182</v>
      </c>
      <c r="I582" s="2"/>
      <c r="J582" t="s">
        <v>41</v>
      </c>
      <c r="K582" s="79" t="str">
        <f>VLOOKUP(Tabla3[[#This Row],[Site]],'Important Info!'!$A$1:$H$135,8,FALSE)</f>
        <v>-</v>
      </c>
      <c r="L582" s="52" t="str">
        <f>VLOOKUP(Tabla3[[#This Row],[Site]],'Important Info!'!$A$1:$F$135,2,FALSE)</f>
        <v>1, 2, 11</v>
      </c>
      <c r="M582" s="52" t="str">
        <f>VLOOKUP(Tabla3[[#This Row],[Site]],'Important Info!'!$A$1:$F$135,3,FALSE)</f>
        <v>-</v>
      </c>
      <c r="N582" s="52" t="str">
        <f>VLOOKUP(Tabla3[[#This Row],[Site]],'Important Info!'!$A$1:$F$135,4,FALSE)</f>
        <v>-</v>
      </c>
      <c r="O582" s="52" t="str">
        <f>VLOOKUP(Tabla3[[#This Row],[Site]],'Important Info!'!$A$1:$F$135,5,FALSE)</f>
        <v>11, 16, 20</v>
      </c>
      <c r="P582" s="52" t="str">
        <f>VLOOKUP(Tabla3[[#This Row],[Site]],'Important Info!'!$A$1:$F$135,6,FALSE)</f>
        <v>11, 12, 13, 14</v>
      </c>
      <c r="Q582" s="91">
        <f>VLOOKUP(Tabla3[[#This Row],[Site]],'Important Info!'!$A$1:$J$135,9,FALSE)</f>
        <v>182</v>
      </c>
    </row>
    <row r="583" spans="1:17" x14ac:dyDescent="0.25">
      <c r="A583" t="str">
        <f>+Tabla3[[#This Row],[Site]]&amp;Tabla3[[#This Row],[Split]]</f>
        <v>(AS) Lexus Grapevine I &amp; II (NO TOURS)9</v>
      </c>
      <c r="B583">
        <v>9</v>
      </c>
      <c r="C583">
        <v>1</v>
      </c>
      <c r="D583" t="s">
        <v>33</v>
      </c>
      <c r="E583" t="s">
        <v>46</v>
      </c>
      <c r="F583" t="s">
        <v>508</v>
      </c>
      <c r="G583" t="s">
        <v>34</v>
      </c>
      <c r="H583" s="52" t="str">
        <f>VLOOKUP(Tabla3[[#This Row],[Site]],'Important Info!'!$A$1:$J$135,10,FALSE)</f>
        <v>https://tools.sig.systems/site/details/136</v>
      </c>
      <c r="J583" t="s">
        <v>41</v>
      </c>
      <c r="K583" s="79" t="str">
        <f>VLOOKUP(Tabla3[[#This Row],[Site]],'Important Info!'!$A$1:$H$135,8,FALSE)</f>
        <v>-</v>
      </c>
      <c r="L583" s="52" t="str">
        <f>VLOOKUP(Tabla3[[#This Row],[Site]],'Important Info!'!$A$1:$F$135,2,FALSE)</f>
        <v>4, 10, 14, 18, 33</v>
      </c>
      <c r="M583" s="52" t="str">
        <f>VLOOKUP(Tabla3[[#This Row],[Site]],'Important Info!'!$A$1:$F$135,3,FALSE)</f>
        <v>-</v>
      </c>
      <c r="N583" s="52" t="str">
        <f>VLOOKUP(Tabla3[[#This Row],[Site]],'Important Info!'!$A$1:$F$135,4,FALSE)</f>
        <v>81, 82, 83</v>
      </c>
      <c r="O583" s="52" t="str">
        <f>VLOOKUP(Tabla3[[#This Row],[Site]],'Important Info!'!$A$1:$F$135,5,FALSE)</f>
        <v>4, 12, 15, 20, 30</v>
      </c>
      <c r="P583" s="52">
        <f>VLOOKUP(Tabla3[[#This Row],[Site]],'Important Info!'!$A$1:$F$135,6,FALSE)</f>
        <v>10</v>
      </c>
      <c r="Q583" s="91">
        <f>VLOOKUP(Tabla3[[#This Row],[Site]],'Important Info!'!$A$1:$J$135,9,FALSE)</f>
        <v>136</v>
      </c>
    </row>
    <row r="584" spans="1:17" x14ac:dyDescent="0.25">
      <c r="A584" t="str">
        <f>+Tabla3[[#This Row],[Site]]&amp;Tabla3[[#This Row],[Split]]</f>
        <v>(DT) Louisville9</v>
      </c>
      <c r="B584">
        <v>9</v>
      </c>
      <c r="C584">
        <v>1</v>
      </c>
      <c r="D584" t="s">
        <v>62</v>
      </c>
      <c r="E584" t="s">
        <v>35</v>
      </c>
      <c r="F584" t="s">
        <v>99</v>
      </c>
      <c r="G584" t="s">
        <v>490</v>
      </c>
      <c r="H584" s="52" t="str">
        <f>VLOOKUP(Tabla3[[#This Row],[Site]],'Important Info!'!$A$1:$J$135,10,FALSE)</f>
        <v>https://tools.sig.systems/site/details/258</v>
      </c>
      <c r="I584" s="43"/>
      <c r="J584" t="s">
        <v>41</v>
      </c>
      <c r="K584" s="79" t="str">
        <f>VLOOKUP(Tabla3[[#This Row],[Site]],'Important Info!'!$A$1:$H$135,8,FALSE)</f>
        <v>-</v>
      </c>
      <c r="L584" s="52" t="str">
        <f>VLOOKUP(Tabla3[[#This Row],[Site]],'Important Info!'!$A$1:$F$135,2,FALSE)</f>
        <v>-</v>
      </c>
      <c r="M584" s="52">
        <f>VLOOKUP(Tabla3[[#This Row],[Site]],'Important Info!'!$A$1:$F$135,3,FALSE)</f>
        <v>3</v>
      </c>
      <c r="N584" s="52" t="str">
        <f>VLOOKUP(Tabla3[[#This Row],[Site]],'Important Info!'!$A$1:$F$135,4,FALSE)</f>
        <v>-</v>
      </c>
      <c r="O584" s="52" t="str">
        <f>VLOOKUP(Tabla3[[#This Row],[Site]],'Important Info!'!$A$1:$F$135,5,FALSE)</f>
        <v>-</v>
      </c>
      <c r="P584" s="52" t="str">
        <f>VLOOKUP(Tabla3[[#This Row],[Site]],'Important Info!'!$A$1:$F$135,6,FALSE)</f>
        <v>3, 8</v>
      </c>
      <c r="Q584" s="91">
        <f>VLOOKUP(Tabla3[[#This Row],[Site]],'Important Info!'!$A$1:$J$135,9,FALSE)</f>
        <v>258</v>
      </c>
    </row>
    <row r="585" spans="1:17" x14ac:dyDescent="0.25">
      <c r="A585" t="str">
        <f>+Tabla3[[#This Row],[Site]]&amp;Tabla3[[#This Row],[Split]]</f>
        <v>(DT) N. Houston9</v>
      </c>
      <c r="B585">
        <v>9</v>
      </c>
      <c r="C585">
        <v>1</v>
      </c>
      <c r="D585" t="s">
        <v>33</v>
      </c>
      <c r="E585" t="s">
        <v>46</v>
      </c>
      <c r="F585" t="s">
        <v>68</v>
      </c>
      <c r="G585" t="s">
        <v>34</v>
      </c>
      <c r="H585" s="52" t="str">
        <f>VLOOKUP(Tabla3[[#This Row],[Site]],'Important Info!'!$A$1:$J$135,10,FALSE)</f>
        <v>https://tools.sig.systems/site/details/250</v>
      </c>
      <c r="I585" s="43"/>
      <c r="J585" t="s">
        <v>41</v>
      </c>
      <c r="K585" s="79" t="str">
        <f>VLOOKUP(Tabla3[[#This Row],[Site]],'Important Info!'!$A$1:$H$135,8,FALSE)</f>
        <v>-</v>
      </c>
      <c r="L585" s="52" t="str">
        <f>VLOOKUP(Tabla3[[#This Row],[Site]],'Important Info!'!$A$1:$F$135,2,FALSE)</f>
        <v>2, 10, 18</v>
      </c>
      <c r="M585" s="52" t="str">
        <f>VLOOKUP(Tabla3[[#This Row],[Site]],'Important Info!'!$A$1:$F$135,3,FALSE)</f>
        <v>-</v>
      </c>
      <c r="N585" s="52" t="str">
        <f>VLOOKUP(Tabla3[[#This Row],[Site]],'Important Info!'!$A$1:$F$135,4,FALSE)</f>
        <v>-</v>
      </c>
      <c r="O585" s="52">
        <f>VLOOKUP(Tabla3[[#This Row],[Site]],'Important Info!'!$A$1:$F$135,5,FALSE)</f>
        <v>15</v>
      </c>
      <c r="P585" s="52" t="str">
        <f>VLOOKUP(Tabla3[[#This Row],[Site]],'Important Info!'!$A$1:$F$135,6,FALSE)</f>
        <v>2, 4, 18</v>
      </c>
      <c r="Q585" s="91">
        <f>VLOOKUP(Tabla3[[#This Row],[Site]],'Important Info!'!$A$1:$J$135,9,FALSE)</f>
        <v>250</v>
      </c>
    </row>
    <row r="586" spans="1:17" x14ac:dyDescent="0.25">
      <c r="A586" t="str">
        <f>+Tabla3[[#This Row],[Site]]&amp;Tabla3[[#This Row],[Split]]</f>
        <v>(HUD) Acura of Greensboro9</v>
      </c>
      <c r="B586">
        <v>9</v>
      </c>
      <c r="C586">
        <v>1</v>
      </c>
      <c r="D586" t="s">
        <v>62</v>
      </c>
      <c r="E586" t="s">
        <v>35</v>
      </c>
      <c r="F586" t="s">
        <v>100</v>
      </c>
      <c r="G586" t="s">
        <v>490</v>
      </c>
      <c r="H586" s="52" t="str">
        <f>VLOOKUP(Tabla3[[#This Row],[Site]],'Important Info!'!$A$1:$J$135,10,FALSE)</f>
        <v>https://tools.sig.systems/site/details/213</v>
      </c>
      <c r="I586" t="s">
        <v>182</v>
      </c>
      <c r="J586" t="s">
        <v>41</v>
      </c>
      <c r="K586" s="79" t="str">
        <f>VLOOKUP(Tabla3[[#This Row],[Site]],'Important Info!'!$A$1:$H$135,8,FALSE)</f>
        <v>-</v>
      </c>
      <c r="L586" s="52" t="str">
        <f>VLOOKUP(Tabla3[[#This Row],[Site]],'Important Info!'!$A$1:$F$135,2,FALSE)</f>
        <v>1, 2, 6, 7, 9</v>
      </c>
      <c r="M586" s="52" t="str">
        <f>VLOOKUP(Tabla3[[#This Row],[Site]],'Important Info!'!$A$1:$F$135,3,FALSE)</f>
        <v>-</v>
      </c>
      <c r="N586" s="52" t="str">
        <f>VLOOKUP(Tabla3[[#This Row],[Site]],'Important Info!'!$A$1:$F$135,4,FALSE)</f>
        <v>-</v>
      </c>
      <c r="O586" s="52" t="str">
        <f>VLOOKUP(Tabla3[[#This Row],[Site]],'Important Info!'!$A$1:$F$135,5,FALSE)</f>
        <v>2, 5</v>
      </c>
      <c r="P586" s="52" t="str">
        <f>VLOOKUP(Tabla3[[#This Row],[Site]],'Important Info!'!$A$1:$F$135,6,FALSE)</f>
        <v>1, 2, 6, 7, 9, 18</v>
      </c>
      <c r="Q586" s="91">
        <f>VLOOKUP(Tabla3[[#This Row],[Site]],'Important Info!'!$A$1:$J$135,9,FALSE)</f>
        <v>213</v>
      </c>
    </row>
    <row r="587" spans="1:17" x14ac:dyDescent="0.25">
      <c r="A587" t="str">
        <f>+Tabla3[[#This Row],[Site]]&amp;Tabla3[[#This Row],[Split]]</f>
        <v>(KG) Hyundai Surprise9</v>
      </c>
      <c r="B587">
        <v>9</v>
      </c>
      <c r="C587">
        <v>1</v>
      </c>
      <c r="D587" t="s">
        <v>51</v>
      </c>
      <c r="E587" t="s">
        <v>161</v>
      </c>
      <c r="F587" t="s">
        <v>118</v>
      </c>
      <c r="G587" t="s">
        <v>52</v>
      </c>
      <c r="H587" s="52" t="str">
        <f>VLOOKUP(Tabla3[[#This Row],[Site]],'Important Info!'!$A$1:$J$135,10,FALSE)</f>
        <v>https://tools.sig.systems/site/details/269</v>
      </c>
      <c r="I587" s="2"/>
      <c r="J587" t="s">
        <v>162</v>
      </c>
      <c r="K587" s="79" t="str">
        <f>VLOOKUP(Tabla3[[#This Row],[Site]],'Important Info!'!$A$1:$H$135,8,FALSE)</f>
        <v>-</v>
      </c>
      <c r="L587" s="52" t="str">
        <f>VLOOKUP(Tabla3[[#This Row],[Site]],'Important Info!'!$A$1:$F$135,2,FALSE)</f>
        <v>1, 6, 7</v>
      </c>
      <c r="M587" s="52" t="str">
        <f>VLOOKUP(Tabla3[[#This Row],[Site]],'Important Info!'!$A$1:$F$135,3,FALSE)</f>
        <v>-</v>
      </c>
      <c r="N587" s="52" t="str">
        <f>VLOOKUP(Tabla3[[#This Row],[Site]],'Important Info!'!$A$1:$F$135,4,FALSE)</f>
        <v>-</v>
      </c>
      <c r="O587" s="52" t="str">
        <f>VLOOKUP(Tabla3[[#This Row],[Site]],'Important Info!'!$A$1:$F$135,5,FALSE)</f>
        <v>6, 13</v>
      </c>
      <c r="P587" s="52" t="str">
        <f>VLOOKUP(Tabla3[[#This Row],[Site]],'Important Info!'!$A$1:$F$135,6,FALSE)</f>
        <v>-</v>
      </c>
      <c r="Q587" s="91">
        <f>VLOOKUP(Tabla3[[#This Row],[Site]],'Important Info!'!$A$1:$J$135,9,FALSE)</f>
        <v>269</v>
      </c>
    </row>
    <row r="588" spans="1:17" x14ac:dyDescent="0.25">
      <c r="A588" t="str">
        <f>+Tabla3[[#This Row],[Site]]&amp;Tabla3[[#This Row],[Split]]</f>
        <v>(KG) Truck Center Remote Storage Lot9</v>
      </c>
      <c r="B588">
        <v>9</v>
      </c>
      <c r="C588">
        <v>1</v>
      </c>
      <c r="D588" t="s">
        <v>60</v>
      </c>
      <c r="E588" t="s">
        <v>53</v>
      </c>
      <c r="F588" t="s">
        <v>61</v>
      </c>
      <c r="G588" t="s">
        <v>41</v>
      </c>
      <c r="H588" s="52" t="str">
        <f>VLOOKUP(Tabla3[[#This Row],[Site]],'Important Info!'!$A$1:$J$135,10,FALSE)</f>
        <v>https://tools.sig.systems/site/details/144</v>
      </c>
      <c r="J588" t="s">
        <v>41</v>
      </c>
      <c r="K588" s="79" t="str">
        <f>VLOOKUP(Tabla3[[#This Row],[Site]],'Important Info!'!$A$1:$H$135,8,FALSE)</f>
        <v>-</v>
      </c>
      <c r="L588" s="52" t="str">
        <f>VLOOKUP(Tabla3[[#This Row],[Site]],'Important Info!'!$A$1:$F$135,2,FALSE)</f>
        <v>4, A23, A49</v>
      </c>
      <c r="M588" s="52" t="str">
        <f>VLOOKUP(Tabla3[[#This Row],[Site]],'Important Info!'!$A$1:$F$135,3,FALSE)</f>
        <v>5, 24</v>
      </c>
      <c r="N588" s="52" t="str">
        <f>VLOOKUP(Tabla3[[#This Row],[Site]],'Important Info!'!$A$1:$F$135,4,FALSE)</f>
        <v>-</v>
      </c>
      <c r="O588" s="52" t="str">
        <f>VLOOKUP(Tabla3[[#This Row],[Site]],'Important Info!'!$A$1:$F$135,5,FALSE)</f>
        <v>1, 7, 11, 15, 19, 24, 25</v>
      </c>
      <c r="P588" s="52" t="str">
        <f>VLOOKUP(Tabla3[[#This Row],[Site]],'Important Info!'!$A$1:$F$135,6,FALSE)</f>
        <v>9, 20, 24, A49</v>
      </c>
      <c r="Q588" s="91">
        <f>VLOOKUP(Tabla3[[#This Row],[Site]],'Important Info!'!$A$1:$J$135,9,FALSE)</f>
        <v>144</v>
      </c>
    </row>
    <row r="589" spans="1:17" x14ac:dyDescent="0.25">
      <c r="A589" t="str">
        <f>+Tabla3[[#This Row],[Site]]&amp;Tabla3[[#This Row],[Split]]</f>
        <v>(ML) Joe Machens Capital City I &amp; II (NO TOURS)9</v>
      </c>
      <c r="B589">
        <v>9</v>
      </c>
      <c r="C589">
        <v>1</v>
      </c>
      <c r="D589" t="s">
        <v>33</v>
      </c>
      <c r="E589" t="s">
        <v>46</v>
      </c>
      <c r="F589" t="s">
        <v>72</v>
      </c>
      <c r="G589" t="s">
        <v>34</v>
      </c>
      <c r="H589" s="52" t="str">
        <f>VLOOKUP(Tabla3[[#This Row],[Site]],'Important Info!'!$A$1:$J$135,10,FALSE)</f>
        <v>https://tools.sig.systems/site/details/271</v>
      </c>
      <c r="I589" s="43"/>
      <c r="J589" t="s">
        <v>41</v>
      </c>
      <c r="K589" s="79" t="str">
        <f>VLOOKUP(Tabla3[[#This Row],[Site]],'Important Info!'!$A$1:$H$135,8,FALSE)</f>
        <v>-</v>
      </c>
      <c r="L589" s="52" t="str">
        <f>VLOOKUP(Tabla3[[#This Row],[Site]],'Important Info!'!$A$1:$F$135,2,FALSE)</f>
        <v>-</v>
      </c>
      <c r="M589" s="52" t="str">
        <f>VLOOKUP(Tabla3[[#This Row],[Site]],'Important Info!'!$A$1:$F$135,3,FALSE)</f>
        <v>1, 3, 4, 20, 25, 27, 28</v>
      </c>
      <c r="N589" s="52" t="str">
        <f>VLOOKUP(Tabla3[[#This Row],[Site]],'Important Info!'!$A$1:$F$135,4,FALSE)</f>
        <v>-</v>
      </c>
      <c r="O589" s="52">
        <f>VLOOKUP(Tabla3[[#This Row],[Site]],'Important Info!'!$A$1:$F$135,5,FALSE)</f>
        <v>29</v>
      </c>
      <c r="P589" s="52" t="str">
        <f>VLOOKUP(Tabla3[[#This Row],[Site]],'Important Info!'!$A$1:$F$135,6,FALSE)</f>
        <v>19, 20</v>
      </c>
      <c r="Q589" s="91">
        <f>VLOOKUP(Tabla3[[#This Row],[Site]],'Important Info!'!$A$1:$J$135,9,FALSE)</f>
        <v>271</v>
      </c>
    </row>
    <row r="590" spans="1:17" x14ac:dyDescent="0.25">
      <c r="A590" t="str">
        <f>+Tabla3[[#This Row],[Site]]&amp;Tabla3[[#This Row],[Split]]</f>
        <v>(ML) Joe Machens CDJR9</v>
      </c>
      <c r="B590">
        <v>9</v>
      </c>
      <c r="C590">
        <v>1</v>
      </c>
      <c r="D590" t="s">
        <v>33</v>
      </c>
      <c r="E590" t="s">
        <v>46</v>
      </c>
      <c r="F590" t="s">
        <v>88</v>
      </c>
      <c r="G590" t="s">
        <v>34</v>
      </c>
      <c r="H590" s="52" t="str">
        <f>VLOOKUP(Tabla3[[#This Row],[Site]],'Important Info!'!$A$1:$J$135,10,FALSE)</f>
        <v>https://tools.sig.systems/site/details/273</v>
      </c>
      <c r="I590" s="2" t="s">
        <v>146</v>
      </c>
      <c r="J590" t="s">
        <v>41</v>
      </c>
      <c r="K590" s="79" t="str">
        <f>VLOOKUP(Tabla3[[#This Row],[Site]],'Important Info!'!$A$1:$H$135,8,FALSE)</f>
        <v>-</v>
      </c>
      <c r="L590" s="52" t="str">
        <f>VLOOKUP(Tabla3[[#This Row],[Site]],'Important Info!'!$A$1:$F$135,2,FALSE)</f>
        <v>-</v>
      </c>
      <c r="M590" s="52">
        <f>VLOOKUP(Tabla3[[#This Row],[Site]],'Important Info!'!$A$1:$F$135,3,FALSE)</f>
        <v>3</v>
      </c>
      <c r="N590" s="52" t="str">
        <f>VLOOKUP(Tabla3[[#This Row],[Site]],'Important Info!'!$A$1:$F$135,4,FALSE)</f>
        <v>-</v>
      </c>
      <c r="O590" s="52" t="str">
        <f>VLOOKUP(Tabla3[[#This Row],[Site]],'Important Info!'!$A$1:$F$135,5,FALSE)</f>
        <v>-</v>
      </c>
      <c r="P590" s="52" t="str">
        <f>VLOOKUP(Tabla3[[#This Row],[Site]],'Important Info!'!$A$1:$F$135,6,FALSE)</f>
        <v>1, 2, 3,</v>
      </c>
      <c r="Q590" s="91">
        <f>VLOOKUP(Tabla3[[#This Row],[Site]],'Important Info!'!$A$1:$J$135,9,FALSE)</f>
        <v>273</v>
      </c>
    </row>
    <row r="591" spans="1:17" x14ac:dyDescent="0.25">
      <c r="A591" t="str">
        <f>+Tabla3[[#This Row],[Site]]&amp;Tabla3[[#This Row],[Split]]</f>
        <v>(ML) Toyota N Little Rock9</v>
      </c>
      <c r="B591">
        <v>9</v>
      </c>
      <c r="C591">
        <v>1</v>
      </c>
      <c r="D591" t="s">
        <v>33</v>
      </c>
      <c r="E591" t="s">
        <v>46</v>
      </c>
      <c r="F591" t="s">
        <v>76</v>
      </c>
      <c r="G591" t="s">
        <v>34</v>
      </c>
      <c r="H591" s="52" t="str">
        <f>VLOOKUP(Tabla3[[#This Row],[Site]],'Important Info!'!$A$1:$J$135,10,FALSE)</f>
        <v>https://tools.sig.systems/site/details/201</v>
      </c>
      <c r="I591" s="66" t="s">
        <v>142</v>
      </c>
      <c r="J591" t="s">
        <v>41</v>
      </c>
      <c r="K591" s="79" t="str">
        <f>VLOOKUP(Tabla3[[#This Row],[Site]],'Important Info!'!$A$1:$H$135,8,FALSE)</f>
        <v>-</v>
      </c>
      <c r="L591" s="52" t="str">
        <f>VLOOKUP(Tabla3[[#This Row],[Site]],'Important Info!'!$A$1:$F$135,2,FALSE)</f>
        <v>4, 15, 18, 22, 23, 26</v>
      </c>
      <c r="M591" s="52" t="str">
        <f>VLOOKUP(Tabla3[[#This Row],[Site]],'Important Info!'!$A$1:$F$135,3,FALSE)</f>
        <v>-</v>
      </c>
      <c r="N591" s="52" t="str">
        <f>VLOOKUP(Tabla3[[#This Row],[Site]],'Important Info!'!$A$1:$F$135,4,FALSE)</f>
        <v>-</v>
      </c>
      <c r="O591" s="52" t="str">
        <f>VLOOKUP(Tabla3[[#This Row],[Site]],'Important Info!'!$A$1:$F$135,5,FALSE)</f>
        <v>2, 12, 13, 18</v>
      </c>
      <c r="P591" s="52" t="str">
        <f>VLOOKUP(Tabla3[[#This Row],[Site]],'Important Info!'!$A$1:$F$135,6,FALSE)</f>
        <v>-</v>
      </c>
      <c r="Q591" s="91">
        <f>VLOOKUP(Tabla3[[#This Row],[Site]],'Important Info!'!$A$1:$J$135,9,FALSE)</f>
        <v>201</v>
      </c>
    </row>
    <row r="592" spans="1:17" x14ac:dyDescent="0.25">
      <c r="A592" t="str">
        <f>+Tabla3[[#This Row],[Site]]&amp;Tabla3[[#This Row],[Split]]</f>
        <v>(RML) Burleson Nissan9</v>
      </c>
      <c r="B592">
        <v>9</v>
      </c>
      <c r="C592">
        <v>1</v>
      </c>
      <c r="D592" t="s">
        <v>33</v>
      </c>
      <c r="E592" t="s">
        <v>46</v>
      </c>
      <c r="F592" t="s">
        <v>107</v>
      </c>
      <c r="G592" t="s">
        <v>34</v>
      </c>
      <c r="H592" s="52" t="str">
        <f>VLOOKUP(Tabla3[[#This Row],[Site]],'Important Info!'!$A$1:$J$135,10,FALSE)</f>
        <v>https://tools.sig.systems/site/details/202</v>
      </c>
      <c r="J592" t="s">
        <v>41</v>
      </c>
      <c r="K592" s="79" t="str">
        <f>VLOOKUP(Tabla3[[#This Row],[Site]],'Important Info!'!$A$1:$H$135,8,FALSE)</f>
        <v>-</v>
      </c>
      <c r="L592" s="52" t="str">
        <f>VLOOKUP(Tabla3[[#This Row],[Site]],'Important Info!'!$A$1:$F$135,2,FALSE)</f>
        <v>3, 21</v>
      </c>
      <c r="M592" s="52" t="str">
        <f>VLOOKUP(Tabla3[[#This Row],[Site]],'Important Info!'!$A$1:$F$135,3,FALSE)</f>
        <v>-</v>
      </c>
      <c r="N592" s="52" t="str">
        <f>VLOOKUP(Tabla3[[#This Row],[Site]],'Important Info!'!$A$1:$F$135,4,FALSE)</f>
        <v>-</v>
      </c>
      <c r="O592" s="52" t="str">
        <f>VLOOKUP(Tabla3[[#This Row],[Site]],'Important Info!'!$A$1:$F$135,5,FALSE)</f>
        <v>2, 6, 15</v>
      </c>
      <c r="P592" s="52" t="str">
        <f>VLOOKUP(Tabla3[[#This Row],[Site]],'Important Info!'!$A$1:$F$135,6,FALSE)</f>
        <v>-</v>
      </c>
      <c r="Q592" s="91">
        <f>VLOOKUP(Tabla3[[#This Row],[Site]],'Important Info!'!$A$1:$J$135,9,FALSE)</f>
        <v>202</v>
      </c>
    </row>
    <row r="593" spans="1:17" x14ac:dyDescent="0.25">
      <c r="A593" t="str">
        <f>+Tabla3[[#This Row],[Site]]&amp;Tabla3[[#This Row],[Split]]</f>
        <v>(WAG) Greeley Chrysler Dodge Jeep Ram (NO TOURS)9</v>
      </c>
      <c r="B593">
        <v>9</v>
      </c>
      <c r="C593">
        <v>1</v>
      </c>
      <c r="D593" t="s">
        <v>44</v>
      </c>
      <c r="E593" t="s">
        <v>53</v>
      </c>
      <c r="F593" t="s">
        <v>497</v>
      </c>
      <c r="G593" t="s">
        <v>45</v>
      </c>
      <c r="H593" s="52" t="str">
        <f>VLOOKUP(Tabla3[[#This Row],[Site]],'Important Info!'!$A$1:$J$135,10,FALSE)</f>
        <v>https://tools.sig.systems/site/details/130</v>
      </c>
      <c r="I593" t="s">
        <v>153</v>
      </c>
      <c r="J593" t="s">
        <v>41</v>
      </c>
      <c r="K593" s="79" t="str">
        <f>VLOOKUP(Tabla3[[#This Row],[Site]],'Important Info!'!$A$1:$H$135,8,FALSE)</f>
        <v>-</v>
      </c>
      <c r="L593" s="52" t="str">
        <f>VLOOKUP(Tabla3[[#This Row],[Site]],'Important Info!'!$A$1:$F$135,2,FALSE)</f>
        <v>17, 23 &amp; 18</v>
      </c>
      <c r="M593" s="52" t="str">
        <f>VLOOKUP(Tabla3[[#This Row],[Site]],'Important Info!'!$A$1:$F$135,3,FALSE)</f>
        <v>4, 5, 6, 7, 8, 51, 55</v>
      </c>
      <c r="N593" s="52" t="str">
        <f>VLOOKUP(Tabla3[[#This Row],[Site]],'Important Info!'!$A$1:$F$135,4,FALSE)</f>
        <v>-</v>
      </c>
      <c r="O593" s="52" t="str">
        <f>VLOOKUP(Tabla3[[#This Row],[Site]],'Important Info!'!$A$1:$F$135,5,FALSE)</f>
        <v>3, 13, 17, 49, 53, 59</v>
      </c>
      <c r="P593" s="52" t="str">
        <f>VLOOKUP(Tabla3[[#This Row],[Site]],'Important Info!'!$A$1:$F$135,6,FALSE)</f>
        <v>8, 9, 10, 51, 62</v>
      </c>
      <c r="Q593" s="91">
        <f>VLOOKUP(Tabla3[[#This Row],[Site]],'Important Info!'!$A$1:$J$135,9,FALSE)</f>
        <v>130</v>
      </c>
    </row>
    <row r="594" spans="1:17" x14ac:dyDescent="0.25">
      <c r="A594" t="str">
        <f>+Tabla3[[#This Row],[Site]]&amp;Tabla3[[#This Row],[Split]]</f>
        <v>(AS) Atwell Prep Center-Dallas (NO TOURS)9</v>
      </c>
      <c r="B594">
        <v>9</v>
      </c>
      <c r="C594">
        <v>2</v>
      </c>
      <c r="D594" t="s">
        <v>33</v>
      </c>
      <c r="E594" t="s">
        <v>46</v>
      </c>
      <c r="F594" t="s">
        <v>498</v>
      </c>
      <c r="G594" t="s">
        <v>34</v>
      </c>
      <c r="H594" s="52" t="str">
        <f>VLOOKUP(Tabla3[[#This Row],[Site]],'Important Info!'!$A$1:$J$135,10,FALSE)</f>
        <v>https://tools.sig.systems/site/details/165</v>
      </c>
      <c r="I594" s="65" t="s">
        <v>125</v>
      </c>
      <c r="J594" t="s">
        <v>41</v>
      </c>
      <c r="K594" s="79" t="str">
        <f>VLOOKUP(Tabla3[[#This Row],[Site]],'Important Info!'!$A$1:$H$135,8,FALSE)</f>
        <v>-</v>
      </c>
      <c r="L594" s="52" t="str">
        <f>VLOOKUP(Tabla3[[#This Row],[Site]],'Important Info!'!$A$1:$F$135,2,FALSE)</f>
        <v>4, 6, 7</v>
      </c>
      <c r="M594" s="52" t="str">
        <f>VLOOKUP(Tabla3[[#This Row],[Site]],'Important Info!'!$A$1:$F$135,3,FALSE)</f>
        <v>-</v>
      </c>
      <c r="N594" s="52" t="str">
        <f>VLOOKUP(Tabla3[[#This Row],[Site]],'Important Info!'!$A$1:$F$135,4,FALSE)</f>
        <v>-</v>
      </c>
      <c r="O594" s="52" t="str">
        <f>VLOOKUP(Tabla3[[#This Row],[Site]],'Important Info!'!$A$1:$F$135,5,FALSE)</f>
        <v>-</v>
      </c>
      <c r="P594" s="52" t="str">
        <f>VLOOKUP(Tabla3[[#This Row],[Site]],'Important Info!'!$A$1:$F$135,6,FALSE)</f>
        <v>1, 2</v>
      </c>
      <c r="Q594" s="91">
        <f>VLOOKUP(Tabla3[[#This Row],[Site]],'Important Info!'!$A$1:$J$135,9,FALSE)</f>
        <v>165</v>
      </c>
    </row>
    <row r="595" spans="1:17" x14ac:dyDescent="0.25">
      <c r="A595" t="str">
        <f>+Tabla3[[#This Row],[Site]]&amp;Tabla3[[#This Row],[Split]]</f>
        <v>(AS) Mike Shaw Subaru Greeley (NO TOURS)9</v>
      </c>
      <c r="B595">
        <v>9</v>
      </c>
      <c r="C595">
        <v>2</v>
      </c>
      <c r="D595" t="s">
        <v>44</v>
      </c>
      <c r="E595" t="s">
        <v>53</v>
      </c>
      <c r="F595" t="s">
        <v>95</v>
      </c>
      <c r="G595" t="s">
        <v>45</v>
      </c>
      <c r="H595" s="52" t="str">
        <f>VLOOKUP(Tabla3[[#This Row],[Site]],'Important Info!'!$A$1:$J$135,10,FALSE)</f>
        <v>https://tools.sig.systems/site/details/174</v>
      </c>
      <c r="I595" t="s">
        <v>153</v>
      </c>
      <c r="J595" t="s">
        <v>41</v>
      </c>
      <c r="K595" s="79" t="str">
        <f>VLOOKUP(Tabla3[[#This Row],[Site]],'Important Info!'!$A$1:$H$135,8,FALSE)</f>
        <v>-</v>
      </c>
      <c r="L595" s="52" t="str">
        <f>VLOOKUP(Tabla3[[#This Row],[Site]],'Important Info!'!$A$1:$F$135,2,FALSE)</f>
        <v>16, 17</v>
      </c>
      <c r="M595" s="52">
        <f>VLOOKUP(Tabla3[[#This Row],[Site]],'Important Info!'!$A$1:$F$135,3,FALSE)</f>
        <v>10</v>
      </c>
      <c r="N595" s="52" t="str">
        <f>VLOOKUP(Tabla3[[#This Row],[Site]],'Important Info!'!$A$1:$F$135,4,FALSE)</f>
        <v>-</v>
      </c>
      <c r="O595" s="52" t="str">
        <f>VLOOKUP(Tabla3[[#This Row],[Site]],'Important Info!'!$A$1:$F$135,5,FALSE)</f>
        <v>1, 7</v>
      </c>
      <c r="P595" s="52" t="str">
        <f>VLOOKUP(Tabla3[[#This Row],[Site]],'Important Info!'!$A$1:$F$135,6,FALSE)</f>
        <v>-</v>
      </c>
      <c r="Q595" s="91">
        <f>VLOOKUP(Tabla3[[#This Row],[Site]],'Important Info!'!$A$1:$J$135,9,FALSE)</f>
        <v>174</v>
      </c>
    </row>
    <row r="596" spans="1:17" x14ac:dyDescent="0.25">
      <c r="A596" t="str">
        <f>+Tabla3[[#This Row],[Site]]&amp;Tabla3[[#This Row],[Split]]</f>
        <v>(AS) Plaza Lexus/Mercedes/BMW (NO TOURS)9</v>
      </c>
      <c r="B596">
        <v>9</v>
      </c>
      <c r="C596">
        <v>2</v>
      </c>
      <c r="D596" t="s">
        <v>33</v>
      </c>
      <c r="E596" t="s">
        <v>46</v>
      </c>
      <c r="F596" t="s">
        <v>92</v>
      </c>
      <c r="G596" t="s">
        <v>34</v>
      </c>
      <c r="H596" s="52" t="str">
        <f>VLOOKUP(Tabla3[[#This Row],[Site]],'Important Info!'!$A$1:$J$135,10,FALSE)</f>
        <v>https://tools.sig.systems/site/details/141</v>
      </c>
      <c r="I596" s="66" t="s">
        <v>130</v>
      </c>
      <c r="J596" t="s">
        <v>41</v>
      </c>
      <c r="K596" s="79" t="str">
        <f>VLOOKUP(Tabla3[[#This Row],[Site]],'Important Info!'!$A$1:$H$135,8,FALSE)</f>
        <v>-</v>
      </c>
      <c r="L596" s="52" t="str">
        <f>VLOOKUP(Tabla3[[#This Row],[Site]],'Important Info!'!$A$1:$F$135,2,FALSE)</f>
        <v>3, 4, 18</v>
      </c>
      <c r="M596" s="52" t="str">
        <f>VLOOKUP(Tabla3[[#This Row],[Site]],'Important Info!'!$A$1:$F$135,3,FALSE)</f>
        <v>9, 10, 12, 13, 16, 17</v>
      </c>
      <c r="N596" s="52" t="str">
        <f>VLOOKUP(Tabla3[[#This Row],[Site]],'Important Info!'!$A$1:$F$135,4,FALSE)</f>
        <v>-</v>
      </c>
      <c r="O596" s="52">
        <f>VLOOKUP(Tabla3[[#This Row],[Site]],'Important Info!'!$A$1:$F$135,5,FALSE)</f>
        <v>2</v>
      </c>
      <c r="P596" s="52" t="str">
        <f>VLOOKUP(Tabla3[[#This Row],[Site]],'Important Info!'!$A$1:$F$135,6,FALSE)</f>
        <v>2, 16</v>
      </c>
      <c r="Q596" s="91">
        <f>VLOOKUP(Tabla3[[#This Row],[Site]],'Important Info!'!$A$1:$J$135,9,FALSE)</f>
        <v>141</v>
      </c>
    </row>
    <row r="597" spans="1:17" x14ac:dyDescent="0.25">
      <c r="A597" t="str">
        <f>+Tabla3[[#This Row],[Site]]&amp;Tabla3[[#This Row],[Split]]</f>
        <v>(AS) Stevinson Chevrolet Golden (NO TOURS)9</v>
      </c>
      <c r="B597">
        <v>9</v>
      </c>
      <c r="C597">
        <v>2</v>
      </c>
      <c r="D597" t="s">
        <v>488</v>
      </c>
      <c r="E597" t="s">
        <v>53</v>
      </c>
      <c r="F597" t="s">
        <v>190</v>
      </c>
      <c r="G597" t="s">
        <v>45</v>
      </c>
      <c r="H597" s="52" t="str">
        <f>VLOOKUP(Tabla3[[#This Row],[Site]],'Important Info!'!$A$1:$J$135,10,FALSE)</f>
        <v>https://tools.sig.systems/site/details/264</v>
      </c>
      <c r="I597" s="2" t="s">
        <v>154</v>
      </c>
      <c r="J597" t="s">
        <v>41</v>
      </c>
      <c r="K597" s="79" t="str">
        <f>VLOOKUP(Tabla3[[#This Row],[Site]],'Important Info!'!$A$1:$H$135,8,FALSE)</f>
        <v>-</v>
      </c>
      <c r="L597" s="52" t="str">
        <f>VLOOKUP(Tabla3[[#This Row],[Site]],'Important Info!'!$A$1:$F$135,2,FALSE)</f>
        <v>-</v>
      </c>
      <c r="M597" s="52" t="str">
        <f>VLOOKUP(Tabla3[[#This Row],[Site]],'Important Info!'!$A$1:$F$135,3,FALSE)</f>
        <v>1, 19</v>
      </c>
      <c r="N597" s="52" t="str">
        <f>VLOOKUP(Tabla3[[#This Row],[Site]],'Important Info!'!$A$1:$F$135,4,FALSE)</f>
        <v>-</v>
      </c>
      <c r="O597" s="52" t="str">
        <f>VLOOKUP(Tabla3[[#This Row],[Site]],'Important Info!'!$A$1:$F$135,5,FALSE)</f>
        <v>14, 30</v>
      </c>
      <c r="P597" s="52" t="str">
        <f>VLOOKUP(Tabla3[[#This Row],[Site]],'Important Info!'!$A$1:$F$135,6,FALSE)</f>
        <v>14, 33, 34, 35, 36</v>
      </c>
      <c r="Q597" s="91">
        <f>VLOOKUP(Tabla3[[#This Row],[Site]],'Important Info!'!$A$1:$J$135,9,FALSE)</f>
        <v>264</v>
      </c>
    </row>
    <row r="598" spans="1:17" x14ac:dyDescent="0.25">
      <c r="A598" t="str">
        <f>+Tabla3[[#This Row],[Site]]&amp;Tabla3[[#This Row],[Split]]</f>
        <v>(DT) Escondido9</v>
      </c>
      <c r="B598">
        <v>9</v>
      </c>
      <c r="C598">
        <v>2</v>
      </c>
      <c r="D598" t="s">
        <v>51</v>
      </c>
      <c r="E598" t="s">
        <v>159</v>
      </c>
      <c r="F598" t="s">
        <v>112</v>
      </c>
      <c r="G598" t="s">
        <v>164</v>
      </c>
      <c r="H598" s="52" t="str">
        <f>VLOOKUP(Tabla3[[#This Row],[Site]],'Important Info!'!$A$1:$J$135,10,FALSE)</f>
        <v>https://tools.sig.systems/site/details/196</v>
      </c>
      <c r="J598" t="s">
        <v>41</v>
      </c>
      <c r="K598" s="79" t="str">
        <f>VLOOKUP(Tabla3[[#This Row],[Site]],'Important Info!'!$A$1:$H$135,8,FALSE)</f>
        <v>Saturday Drop Time 9:00 A.M.</v>
      </c>
      <c r="L598" s="52" t="str">
        <f>VLOOKUP(Tabla3[[#This Row],[Site]],'Important Info!'!$A$1:$F$135,2,FALSE)</f>
        <v>1, 2</v>
      </c>
      <c r="M598" s="52" t="str">
        <f>VLOOKUP(Tabla3[[#This Row],[Site]],'Important Info!'!$A$1:$F$135,3,FALSE)</f>
        <v>-</v>
      </c>
      <c r="N598" s="52" t="str">
        <f>VLOOKUP(Tabla3[[#This Row],[Site]],'Important Info!'!$A$1:$F$135,4,FALSE)</f>
        <v>-</v>
      </c>
      <c r="O598" s="52" t="str">
        <f>VLOOKUP(Tabla3[[#This Row],[Site]],'Important Info!'!$A$1:$F$135,5,FALSE)</f>
        <v>-</v>
      </c>
      <c r="P598" s="52" t="str">
        <f>VLOOKUP(Tabla3[[#This Row],[Site]],'Important Info!'!$A$1:$F$135,6,FALSE)</f>
        <v>5, 7, 8</v>
      </c>
      <c r="Q598" s="91">
        <f>VLOOKUP(Tabla3[[#This Row],[Site]],'Important Info!'!$A$1:$J$135,9,FALSE)</f>
        <v>196</v>
      </c>
    </row>
    <row r="599" spans="1:17" x14ac:dyDescent="0.25">
      <c r="A599" t="str">
        <f>+Tabla3[[#This Row],[Site]]&amp;Tabla3[[#This Row],[Split]]</f>
        <v>(DT) W Houston9</v>
      </c>
      <c r="B599">
        <v>9</v>
      </c>
      <c r="C599">
        <v>2</v>
      </c>
      <c r="D599" t="s">
        <v>33</v>
      </c>
      <c r="E599" t="s">
        <v>46</v>
      </c>
      <c r="F599" t="s">
        <v>69</v>
      </c>
      <c r="G599" t="s">
        <v>34</v>
      </c>
      <c r="H599" s="52" t="str">
        <f>VLOOKUP(Tabla3[[#This Row],[Site]],'Important Info!'!$A$1:$J$135,10,FALSE)</f>
        <v>https://tools.sig.systems/site/details/197</v>
      </c>
      <c r="J599" t="s">
        <v>41</v>
      </c>
      <c r="K599" s="79" t="str">
        <f>VLOOKUP(Tabla3[[#This Row],[Site]],'Important Info!'!$A$1:$H$135,8,FALSE)</f>
        <v>-</v>
      </c>
      <c r="L599" s="52">
        <f>VLOOKUP(Tabla3[[#This Row],[Site]],'Important Info!'!$A$1:$F$135,2,FALSE)</f>
        <v>7</v>
      </c>
      <c r="M599" s="52">
        <f>VLOOKUP(Tabla3[[#This Row],[Site]],'Important Info!'!$A$1:$F$135,3,FALSE)</f>
        <v>2</v>
      </c>
      <c r="N599" s="52" t="str">
        <f>VLOOKUP(Tabla3[[#This Row],[Site]],'Important Info!'!$A$1:$F$135,4,FALSE)</f>
        <v>-</v>
      </c>
      <c r="O599" s="52">
        <f>VLOOKUP(Tabla3[[#This Row],[Site]],'Important Info!'!$A$1:$F$135,5,FALSE)</f>
        <v>14</v>
      </c>
      <c r="P599" s="52" t="str">
        <f>VLOOKUP(Tabla3[[#This Row],[Site]],'Important Info!'!$A$1:$F$135,6,FALSE)</f>
        <v>2, 3, 7, 10</v>
      </c>
      <c r="Q599" s="91">
        <f>VLOOKUP(Tabla3[[#This Row],[Site]],'Important Info!'!$A$1:$J$135,9,FALSE)</f>
        <v>197</v>
      </c>
    </row>
    <row r="600" spans="1:17" x14ac:dyDescent="0.25">
      <c r="A600" t="str">
        <f>+Tabla3[[#This Row],[Site]]&amp;Tabla3[[#This Row],[Split]]</f>
        <v>(HUD) BMW of Greensboro9</v>
      </c>
      <c r="B600">
        <v>9</v>
      </c>
      <c r="C600">
        <v>2</v>
      </c>
      <c r="D600" t="s">
        <v>62</v>
      </c>
      <c r="E600" t="s">
        <v>35</v>
      </c>
      <c r="F600" t="s">
        <v>183</v>
      </c>
      <c r="G600" t="s">
        <v>490</v>
      </c>
      <c r="H600" s="52" t="str">
        <f>VLOOKUP(Tabla3[[#This Row],[Site]],'Important Info!'!$A$1:$J$135,10,FALSE)</f>
        <v>https://tools.sig.systems/site/details/219</v>
      </c>
      <c r="I600" s="2" t="s">
        <v>184</v>
      </c>
      <c r="J600" t="s">
        <v>41</v>
      </c>
      <c r="K600" s="79" t="str">
        <f>VLOOKUP(Tabla3[[#This Row],[Site]],'Important Info!'!$A$1:$H$135,8,FALSE)</f>
        <v>-</v>
      </c>
      <c r="L600" s="52" t="str">
        <f>VLOOKUP(Tabla3[[#This Row],[Site]],'Important Info!'!$A$1:$F$135,2,FALSE)</f>
        <v>2, 20, 21</v>
      </c>
      <c r="M600" s="52" t="str">
        <f>VLOOKUP(Tabla3[[#This Row],[Site]],'Important Info!'!$A$1:$F$135,3,FALSE)</f>
        <v>-</v>
      </c>
      <c r="N600" s="52" t="str">
        <f>VLOOKUP(Tabla3[[#This Row],[Site]],'Important Info!'!$A$1:$F$135,4,FALSE)</f>
        <v>-</v>
      </c>
      <c r="O600" s="52" t="str">
        <f>VLOOKUP(Tabla3[[#This Row],[Site]],'Important Info!'!$A$1:$F$135,5,FALSE)</f>
        <v>12, 17</v>
      </c>
      <c r="P600" s="52" t="str">
        <f>VLOOKUP(Tabla3[[#This Row],[Site]],'Important Info!'!$A$1:$F$135,6,FALSE)</f>
        <v>1, 2, 6, 20</v>
      </c>
      <c r="Q600" s="91">
        <f>VLOOKUP(Tabla3[[#This Row],[Site]],'Important Info!'!$A$1:$J$135,9,FALSE)</f>
        <v>219</v>
      </c>
    </row>
    <row r="601" spans="1:17" x14ac:dyDescent="0.25">
      <c r="A601" t="str">
        <f>+Tabla3[[#This Row],[Site]]&amp;Tabla3[[#This Row],[Split]]</f>
        <v>(KG) Kia of Phoenix (NO TOURS)9</v>
      </c>
      <c r="B601">
        <v>9</v>
      </c>
      <c r="C601">
        <v>2</v>
      </c>
      <c r="D601" t="s">
        <v>51</v>
      </c>
      <c r="E601" t="s">
        <v>161</v>
      </c>
      <c r="F601" t="s">
        <v>94</v>
      </c>
      <c r="G601" t="s">
        <v>52</v>
      </c>
      <c r="H601" s="52" t="str">
        <f>VLOOKUP(Tabla3[[#This Row],[Site]],'Important Info!'!$A$1:$J$135,10,FALSE)</f>
        <v>https://tools.sig.systems/site/details/262</v>
      </c>
      <c r="J601" t="s">
        <v>162</v>
      </c>
      <c r="K601" s="79" t="str">
        <f>VLOOKUP(Tabla3[[#This Row],[Site]],'Important Info!'!$A$1:$H$135,8,FALSE)</f>
        <v>-</v>
      </c>
      <c r="L601" s="52" t="str">
        <f>VLOOKUP(Tabla3[[#This Row],[Site]],'Important Info!'!$A$1:$F$135,2,FALSE)</f>
        <v>5, 8, 23</v>
      </c>
      <c r="M601" s="52" t="str">
        <f>VLOOKUP(Tabla3[[#This Row],[Site]],'Important Info!'!$A$1:$F$135,3,FALSE)</f>
        <v>-</v>
      </c>
      <c r="N601" s="52" t="str">
        <f>VLOOKUP(Tabla3[[#This Row],[Site]],'Important Info!'!$A$1:$F$135,4,FALSE)</f>
        <v>-</v>
      </c>
      <c r="O601" s="52">
        <f>VLOOKUP(Tabla3[[#This Row],[Site]],'Important Info!'!$A$1:$F$135,5,FALSE)</f>
        <v>4</v>
      </c>
      <c r="P601" s="52" t="str">
        <f>VLOOKUP(Tabla3[[#This Row],[Site]],'Important Info!'!$A$1:$F$135,6,FALSE)</f>
        <v>-</v>
      </c>
      <c r="Q601" s="91">
        <f>VLOOKUP(Tabla3[[#This Row],[Site]],'Important Info!'!$A$1:$J$135,9,FALSE)</f>
        <v>262</v>
      </c>
    </row>
    <row r="602" spans="1:17" x14ac:dyDescent="0.25">
      <c r="A602" t="str">
        <f>+Tabla3[[#This Row],[Site]]&amp;Tabla3[[#This Row],[Split]]</f>
        <v>(ML) Honda of Little Rock9</v>
      </c>
      <c r="B602">
        <v>9</v>
      </c>
      <c r="C602">
        <v>2</v>
      </c>
      <c r="D602" t="s">
        <v>33</v>
      </c>
      <c r="E602" t="s">
        <v>46</v>
      </c>
      <c r="F602" t="s">
        <v>71</v>
      </c>
      <c r="G602" t="s">
        <v>34</v>
      </c>
      <c r="H602" s="52" t="str">
        <f>VLOOKUP(Tabla3[[#This Row],[Site]],'Important Info!'!$A$1:$J$135,10,FALSE)</f>
        <v>https://tools.sig.systems/site/details/249</v>
      </c>
      <c r="I602" s="2" t="s">
        <v>140</v>
      </c>
      <c r="J602" t="s">
        <v>41</v>
      </c>
      <c r="K602" s="79" t="str">
        <f>VLOOKUP(Tabla3[[#This Row],[Site]],'Important Info!'!$A$1:$H$135,8,FALSE)</f>
        <v>-</v>
      </c>
      <c r="L602" s="52" t="str">
        <f>VLOOKUP(Tabla3[[#This Row],[Site]],'Important Info!'!$A$1:$F$135,2,FALSE)</f>
        <v>1, 4, 9, 14, 21</v>
      </c>
      <c r="M602" s="52" t="str">
        <f>VLOOKUP(Tabla3[[#This Row],[Site]],'Important Info!'!$A$1:$F$135,3,FALSE)</f>
        <v>-</v>
      </c>
      <c r="N602" s="52" t="str">
        <f>VLOOKUP(Tabla3[[#This Row],[Site]],'Important Info!'!$A$1:$F$135,4,FALSE)</f>
        <v>-</v>
      </c>
      <c r="O602" s="52" t="str">
        <f>VLOOKUP(Tabla3[[#This Row],[Site]],'Important Info!'!$A$1:$F$135,5,FALSE)</f>
        <v>4, 14, 21</v>
      </c>
      <c r="P602" s="52" t="str">
        <f>VLOOKUP(Tabla3[[#This Row],[Site]],'Important Info!'!$A$1:$F$135,6,FALSE)</f>
        <v>11, 12</v>
      </c>
      <c r="Q602" s="91">
        <f>VLOOKUP(Tabla3[[#This Row],[Site]],'Important Info!'!$A$1:$J$135,9,FALSE)</f>
        <v>249</v>
      </c>
    </row>
    <row r="603" spans="1:17" x14ac:dyDescent="0.25">
      <c r="A603" t="str">
        <f>+Tabla3[[#This Row],[Site]]&amp;Tabla3[[#This Row],[Split]]</f>
        <v>(ML) Joe Machens E Collision Center9</v>
      </c>
      <c r="B603">
        <v>9</v>
      </c>
      <c r="C603">
        <v>2</v>
      </c>
      <c r="D603" t="s">
        <v>33</v>
      </c>
      <c r="E603" t="s">
        <v>46</v>
      </c>
      <c r="F603" t="s">
        <v>147</v>
      </c>
      <c r="G603" t="s">
        <v>34</v>
      </c>
      <c r="H603" s="52" t="str">
        <f>VLOOKUP(Tabla3[[#This Row],[Site]],'Important Info!'!$A$1:$J$135,10,FALSE)</f>
        <v>https://tools.sig.systems/site/details/277</v>
      </c>
      <c r="I603" s="43" t="s">
        <v>146</v>
      </c>
      <c r="J603" t="s">
        <v>41</v>
      </c>
      <c r="K603" s="79" t="str">
        <f>VLOOKUP(Tabla3[[#This Row],[Site]],'Important Info!'!$A$1:$H$135,8,FALSE)</f>
        <v>-</v>
      </c>
      <c r="L603" s="52">
        <f>VLOOKUP(Tabla3[[#This Row],[Site]],'Important Info!'!$A$1:$F$135,2,FALSE)</f>
        <v>1</v>
      </c>
      <c r="M603" s="52" t="str">
        <f>VLOOKUP(Tabla3[[#This Row],[Site]],'Important Info!'!$A$1:$F$135,3,FALSE)</f>
        <v>-</v>
      </c>
      <c r="N603" s="52" t="str">
        <f>VLOOKUP(Tabla3[[#This Row],[Site]],'Important Info!'!$A$1:$F$135,4,FALSE)</f>
        <v>-</v>
      </c>
      <c r="O603" s="52">
        <f>VLOOKUP(Tabla3[[#This Row],[Site]],'Important Info!'!$A$1:$F$135,5,FALSE)</f>
        <v>5</v>
      </c>
      <c r="P603" s="52" t="str">
        <f>VLOOKUP(Tabla3[[#This Row],[Site]],'Important Info!'!$A$1:$F$135,6,FALSE)</f>
        <v>1, 2, 3, 4</v>
      </c>
      <c r="Q603" s="91">
        <f>VLOOKUP(Tabla3[[#This Row],[Site]],'Important Info!'!$A$1:$J$135,9,FALSE)</f>
        <v>277</v>
      </c>
    </row>
    <row r="604" spans="1:17" x14ac:dyDescent="0.25">
      <c r="A604" t="str">
        <f>+Tabla3[[#This Row],[Site]]&amp;Tabla3[[#This Row],[Split]]</f>
        <v>(ML) Volvo Collision Corp9</v>
      </c>
      <c r="B604">
        <v>9</v>
      </c>
      <c r="C604">
        <v>2</v>
      </c>
      <c r="D604" t="s">
        <v>33</v>
      </c>
      <c r="E604" t="s">
        <v>46</v>
      </c>
      <c r="F604" t="s">
        <v>106</v>
      </c>
      <c r="G604" t="s">
        <v>34</v>
      </c>
      <c r="H604" s="52" t="str">
        <f>VLOOKUP(Tabla3[[#This Row],[Site]],'Important Info!'!$A$1:$J$135,10,FALSE)</f>
        <v>https://tools.sig.systems/site/details/223</v>
      </c>
      <c r="I604" s="43"/>
      <c r="J604" t="s">
        <v>41</v>
      </c>
      <c r="K604" s="79" t="str">
        <f>VLOOKUP(Tabla3[[#This Row],[Site]],'Important Info!'!$A$1:$H$135,8,FALSE)</f>
        <v>-</v>
      </c>
      <c r="L604" s="52" t="str">
        <f>VLOOKUP(Tabla3[[#This Row],[Site]],'Important Info!'!$A$1:$F$135,2,FALSE)</f>
        <v>7, 11</v>
      </c>
      <c r="M604" s="52">
        <f>VLOOKUP(Tabla3[[#This Row],[Site]],'Important Info!'!$A$1:$F$135,3,FALSE)</f>
        <v>4</v>
      </c>
      <c r="N604" s="52" t="str">
        <f>VLOOKUP(Tabla3[[#This Row],[Site]],'Important Info!'!$A$1:$F$135,4,FALSE)</f>
        <v>-</v>
      </c>
      <c r="O604" s="52">
        <f>VLOOKUP(Tabla3[[#This Row],[Site]],'Important Info!'!$A$1:$F$135,5,FALSE)</f>
        <v>18</v>
      </c>
      <c r="P604" s="52" t="str">
        <f>VLOOKUP(Tabla3[[#This Row],[Site]],'Important Info!'!$A$1:$F$135,6,FALSE)</f>
        <v>-</v>
      </c>
      <c r="Q604" s="91">
        <f>VLOOKUP(Tabla3[[#This Row],[Site]],'Important Info!'!$A$1:$J$135,9,FALSE)</f>
        <v>223</v>
      </c>
    </row>
    <row r="605" spans="1:17" x14ac:dyDescent="0.25">
      <c r="A605" t="str">
        <f>+Tabla3[[#This Row],[Site]]&amp;Tabla3[[#This Row],[Split]]</f>
        <v>(PE) Mercedes Benz &amp; Smart Bldg. of Fairfield (NO TOURS)9</v>
      </c>
      <c r="B605">
        <v>9</v>
      </c>
      <c r="C605">
        <v>2</v>
      </c>
      <c r="D605" t="s">
        <v>485</v>
      </c>
      <c r="E605" t="s">
        <v>35</v>
      </c>
      <c r="F605" t="s">
        <v>64</v>
      </c>
      <c r="G605" t="s">
        <v>490</v>
      </c>
      <c r="H605" s="52" t="str">
        <f>VLOOKUP(Tabla3[[#This Row],[Site]],'Important Info!'!$A$1:$J$135,10,FALSE)</f>
        <v>https://tools.sig.systems/site/details/192</v>
      </c>
      <c r="I605" t="s">
        <v>177</v>
      </c>
      <c r="J605" t="s">
        <v>41</v>
      </c>
      <c r="K605" s="79" t="str">
        <f>VLOOKUP(Tabla3[[#This Row],[Site]],'Important Info!'!$A$1:$H$135,8,FALSE)</f>
        <v>-</v>
      </c>
      <c r="L605" s="52" t="str">
        <f>VLOOKUP(Tabla3[[#This Row],[Site]],'Important Info!'!$A$1:$F$135,2,FALSE)</f>
        <v>-</v>
      </c>
      <c r="M605" s="52">
        <f>VLOOKUP(Tabla3[[#This Row],[Site]],'Important Info!'!$A$1:$F$135,3,FALSE)</f>
        <v>1</v>
      </c>
      <c r="N605" s="52" t="str">
        <f>VLOOKUP(Tabla3[[#This Row],[Site]],'Important Info!'!$A$1:$F$135,4,FALSE)</f>
        <v>-</v>
      </c>
      <c r="O605" s="52" t="str">
        <f>VLOOKUP(Tabla3[[#This Row],[Site]],'Important Info!'!$A$1:$F$135,5,FALSE)</f>
        <v>11, 13</v>
      </c>
      <c r="P605" s="52">
        <f>VLOOKUP(Tabla3[[#This Row],[Site]],'Important Info!'!$A$1:$F$135,6,FALSE)</f>
        <v>1</v>
      </c>
      <c r="Q605" s="91">
        <f>VLOOKUP(Tabla3[[#This Row],[Site]],'Important Info!'!$A$1:$J$135,9,FALSE)</f>
        <v>192</v>
      </c>
    </row>
    <row r="606" spans="1:17" x14ac:dyDescent="0.25">
      <c r="A606" t="str">
        <f>+Tabla3[[#This Row],[Site]]&amp;Tabla3[[#This Row],[Split]]</f>
        <v>(PE) Scofield Service Center (NO TOURS)9</v>
      </c>
      <c r="B606">
        <v>9</v>
      </c>
      <c r="C606">
        <v>2</v>
      </c>
      <c r="D606" t="s">
        <v>485</v>
      </c>
      <c r="E606" t="s">
        <v>35</v>
      </c>
      <c r="F606" t="s">
        <v>83</v>
      </c>
      <c r="G606" t="s">
        <v>490</v>
      </c>
      <c r="H606" s="52" t="str">
        <f>VLOOKUP(Tabla3[[#This Row],[Site]],'Important Info!'!$A$1:$J$135,10,FALSE)</f>
        <v>https://tools.sig.systems/site/details/193</v>
      </c>
      <c r="I606" s="2" t="s">
        <v>177</v>
      </c>
      <c r="J606" t="s">
        <v>41</v>
      </c>
      <c r="K606" s="79" t="str">
        <f>VLOOKUP(Tabla3[[#This Row],[Site]],'Important Info!'!$A$1:$H$135,8,FALSE)</f>
        <v>-</v>
      </c>
      <c r="L606" s="52">
        <f>VLOOKUP(Tabla3[[#This Row],[Site]],'Important Info!'!$A$1:$F$135,2,FALSE)</f>
        <v>1</v>
      </c>
      <c r="M606" s="52" t="str">
        <f>VLOOKUP(Tabla3[[#This Row],[Site]],'Important Info!'!$A$1:$F$135,3,FALSE)</f>
        <v>-</v>
      </c>
      <c r="N606" s="52" t="str">
        <f>VLOOKUP(Tabla3[[#This Row],[Site]],'Important Info!'!$A$1:$F$135,4,FALSE)</f>
        <v>-</v>
      </c>
      <c r="O606" s="52">
        <f>VLOOKUP(Tabla3[[#This Row],[Site]],'Important Info!'!$A$1:$F$135,5,FALSE)</f>
        <v>9</v>
      </c>
      <c r="P606" s="52" t="str">
        <f>VLOOKUP(Tabla3[[#This Row],[Site]],'Important Info!'!$A$1:$F$135,6,FALSE)</f>
        <v>1, 17</v>
      </c>
      <c r="Q606" s="91">
        <f>VLOOKUP(Tabla3[[#This Row],[Site]],'Important Info!'!$A$1:$J$135,9,FALSE)</f>
        <v>193</v>
      </c>
    </row>
    <row r="607" spans="1:17" x14ac:dyDescent="0.25">
      <c r="A607" t="str">
        <f>+Tabla3[[#This Row],[Site]]&amp;Tabla3[[#This Row],[Split]]</f>
        <v>(SCH) Chevrolet North Palm9</v>
      </c>
      <c r="B607">
        <v>9</v>
      </c>
      <c r="C607">
        <v>2</v>
      </c>
      <c r="D607" t="s">
        <v>62</v>
      </c>
      <c r="E607" t="s">
        <v>35</v>
      </c>
      <c r="F607" t="s">
        <v>101</v>
      </c>
      <c r="G607" t="s">
        <v>490</v>
      </c>
      <c r="H607" s="52" t="str">
        <f>VLOOKUP(Tabla3[[#This Row],[Site]],'Important Info!'!$A$1:$J$135,10,FALSE)</f>
        <v>https://tools.sig.systems/site/details/160</v>
      </c>
      <c r="J607" t="s">
        <v>36</v>
      </c>
      <c r="K607" s="79" t="str">
        <f>VLOOKUP(Tabla3[[#This Row],[Site]],'Important Info!'!$A$1:$H$135,8,FALSE)</f>
        <v>-</v>
      </c>
      <c r="L607" s="52" t="str">
        <f>VLOOKUP(Tabla3[[#This Row],[Site]],'Important Info!'!$A$1:$F$135,2,FALSE)</f>
        <v xml:space="preserve">7, 10B, 11, 15 </v>
      </c>
      <c r="M607" s="52" t="str">
        <f>VLOOKUP(Tabla3[[#This Row],[Site]],'Important Info!'!$A$1:$F$135,3,FALSE)</f>
        <v>-</v>
      </c>
      <c r="N607" s="52" t="str">
        <f>VLOOKUP(Tabla3[[#This Row],[Site]],'Important Info!'!$A$1:$F$135,4,FALSE)</f>
        <v>-</v>
      </c>
      <c r="O607" s="52" t="str">
        <f>VLOOKUP(Tabla3[[#This Row],[Site]],'Important Info!'!$A$1:$F$135,5,FALSE)</f>
        <v>-</v>
      </c>
      <c r="P607" s="52" t="str">
        <f>VLOOKUP(Tabla3[[#This Row],[Site]],'Important Info!'!$A$1:$F$135,6,FALSE)</f>
        <v>1, 15, 16, 17, 18, 19, 20</v>
      </c>
      <c r="Q607" s="91">
        <f>VLOOKUP(Tabla3[[#This Row],[Site]],'Important Info!'!$A$1:$J$135,9,FALSE)</f>
        <v>160</v>
      </c>
    </row>
    <row r="608" spans="1:17" x14ac:dyDescent="0.25">
      <c r="A608" t="str">
        <f>+Tabla3[[#This Row],[Site]]&amp;Tabla3[[#This Row],[Split]]</f>
        <v>(AS) Audi of North Atlanta (NO TOURS)9</v>
      </c>
      <c r="B608">
        <v>9</v>
      </c>
      <c r="C608">
        <v>3</v>
      </c>
      <c r="D608" t="s">
        <v>62</v>
      </c>
      <c r="E608" t="s">
        <v>35</v>
      </c>
      <c r="F608" t="s">
        <v>499</v>
      </c>
      <c r="G608" t="s">
        <v>490</v>
      </c>
      <c r="H608" s="52" t="str">
        <f>VLOOKUP(Tabla3[[#This Row],[Site]],'Important Info!'!$A$1:$J$135,10,FALSE)</f>
        <v>https://tools.sig.systems/site/details/124</v>
      </c>
      <c r="I608" s="43" t="s">
        <v>166</v>
      </c>
      <c r="J608" t="s">
        <v>41</v>
      </c>
      <c r="K608" s="79" t="str">
        <f>VLOOKUP(Tabla3[[#This Row],[Site]],'Important Info!'!$A$1:$H$135,8,FALSE)</f>
        <v>-</v>
      </c>
      <c r="L608" s="52" t="str">
        <f>VLOOKUP(Tabla3[[#This Row],[Site]],'Important Info!'!$A$1:$F$135,2,FALSE)</f>
        <v>1, 5, 16, 54</v>
      </c>
      <c r="M608" s="52" t="str">
        <f>VLOOKUP(Tabla3[[#This Row],[Site]],'Important Info!'!$A$1:$F$135,3,FALSE)</f>
        <v>-</v>
      </c>
      <c r="N608" s="52" t="str">
        <f>VLOOKUP(Tabla3[[#This Row],[Site]],'Important Info!'!$A$1:$F$135,4,FALSE)</f>
        <v>-</v>
      </c>
      <c r="O608" s="52" t="str">
        <f>VLOOKUP(Tabla3[[#This Row],[Site]],'Important Info!'!$A$1:$F$135,5,FALSE)</f>
        <v>3, 16</v>
      </c>
      <c r="P608" s="52" t="str">
        <f>VLOOKUP(Tabla3[[#This Row],[Site]],'Important Info!'!$A$1:$F$135,6,FALSE)</f>
        <v>2, 5, 6</v>
      </c>
      <c r="Q608" s="91">
        <f>VLOOKUP(Tabla3[[#This Row],[Site]],'Important Info!'!$A$1:$J$135,9,FALSE)</f>
        <v>124</v>
      </c>
    </row>
    <row r="609" spans="1:17" x14ac:dyDescent="0.25">
      <c r="A609" t="str">
        <f>+Tabla3[[#This Row],[Site]]&amp;Tabla3[[#This Row],[Split]]</f>
        <v>(AS) Lexus Plano I &amp; II (NO TOURS)9</v>
      </c>
      <c r="B609">
        <v>9</v>
      </c>
      <c r="C609">
        <v>3</v>
      </c>
      <c r="D609" t="s">
        <v>33</v>
      </c>
      <c r="E609" t="s">
        <v>46</v>
      </c>
      <c r="F609" t="s">
        <v>524</v>
      </c>
      <c r="G609" t="s">
        <v>34</v>
      </c>
      <c r="H609" s="52" t="str">
        <f>VLOOKUP(Tabla3[[#This Row],[Site]],'Important Info!'!$A$1:$J$135,10,FALSE)</f>
        <v>https://tools.sig.systems/site/details/167</v>
      </c>
      <c r="I609" s="63" t="s">
        <v>127</v>
      </c>
      <c r="J609" t="s">
        <v>41</v>
      </c>
      <c r="K609" s="79" t="str">
        <f>VLOOKUP(Tabla3[[#This Row],[Site]],'Important Info!'!$A$1:$H$135,8,FALSE)</f>
        <v>-</v>
      </c>
      <c r="L609" s="52" t="str">
        <f>VLOOKUP(Tabla3[[#This Row],[Site]],'Important Info!'!$A$1:$F$135,2,FALSE)</f>
        <v>5, 9</v>
      </c>
      <c r="M609" s="52" t="str">
        <f>VLOOKUP(Tabla3[[#This Row],[Site]],'Important Info!'!$A$1:$F$135,3,FALSE)</f>
        <v>-</v>
      </c>
      <c r="N609" s="52" t="str">
        <f>VLOOKUP(Tabla3[[#This Row],[Site]],'Important Info!'!$A$1:$F$135,4,FALSE)</f>
        <v>101, 102, 103, 104</v>
      </c>
      <c r="O609" s="52" t="str">
        <f>VLOOKUP(Tabla3[[#This Row],[Site]],'Important Info!'!$A$1:$F$135,5,FALSE)</f>
        <v>4, 10, 28</v>
      </c>
      <c r="P609" s="52" t="str">
        <f>VLOOKUP(Tabla3[[#This Row],[Site]],'Important Info!'!$A$1:$F$135,6,FALSE)</f>
        <v>5, 9, 16</v>
      </c>
      <c r="Q609" s="91">
        <f>VLOOKUP(Tabla3[[#This Row],[Site]],'Important Info!'!$A$1:$J$135,9,FALSE)</f>
        <v>167</v>
      </c>
    </row>
    <row r="610" spans="1:17" x14ac:dyDescent="0.25">
      <c r="A610" t="str">
        <f>+Tabla3[[#This Row],[Site]]&amp;Tabla3[[#This Row],[Split]]</f>
        <v>(AS) Nalley Luxury Collision Center (NO TOURS)9</v>
      </c>
      <c r="B610">
        <v>9</v>
      </c>
      <c r="C610">
        <v>3</v>
      </c>
      <c r="D610" t="s">
        <v>62</v>
      </c>
      <c r="E610" t="s">
        <v>35</v>
      </c>
      <c r="F610" t="s">
        <v>512</v>
      </c>
      <c r="G610" t="s">
        <v>490</v>
      </c>
      <c r="H610" s="52" t="str">
        <f>VLOOKUP(Tabla3[[#This Row],[Site]],'Important Info!'!$A$1:$J$135,10,FALSE)</f>
        <v>https://tools.sig.systems/site/details/263</v>
      </c>
      <c r="I610" s="43" t="s">
        <v>166</v>
      </c>
      <c r="J610" t="s">
        <v>41</v>
      </c>
      <c r="K610" s="79" t="str">
        <f>VLOOKUP(Tabla3[[#This Row],[Site]],'Important Info!'!$A$1:$H$135,8,FALSE)</f>
        <v>-</v>
      </c>
      <c r="L610" s="52" t="str">
        <f>VLOOKUP(Tabla3[[#This Row],[Site]],'Important Info!'!$A$1:$F$135,2,FALSE)</f>
        <v>6, 13</v>
      </c>
      <c r="M610" s="52" t="str">
        <f>VLOOKUP(Tabla3[[#This Row],[Site]],'Important Info!'!$A$1:$F$135,3,FALSE)</f>
        <v>-</v>
      </c>
      <c r="N610" s="52" t="str">
        <f>VLOOKUP(Tabla3[[#This Row],[Site]],'Important Info!'!$A$1:$F$135,4,FALSE)</f>
        <v>-</v>
      </c>
      <c r="O610" s="52" t="str">
        <f>VLOOKUP(Tabla3[[#This Row],[Site]],'Important Info!'!$A$1:$F$135,5,FALSE)</f>
        <v>-</v>
      </c>
      <c r="P610" s="52" t="str">
        <f>VLOOKUP(Tabla3[[#This Row],[Site]],'Important Info!'!$A$1:$F$135,6,FALSE)</f>
        <v>6, 7, 12</v>
      </c>
      <c r="Q610" s="91">
        <f>VLOOKUP(Tabla3[[#This Row],[Site]],'Important Info!'!$A$1:$J$135,9,FALSE)</f>
        <v>263</v>
      </c>
    </row>
    <row r="611" spans="1:17" x14ac:dyDescent="0.25">
      <c r="A611" t="str">
        <f>+Tabla3[[#This Row],[Site]]&amp;Tabla3[[#This Row],[Split]]</f>
        <v>(AS) Plaza Audi/Infiniti (NO TOURS)9</v>
      </c>
      <c r="B611">
        <v>9</v>
      </c>
      <c r="C611">
        <v>3</v>
      </c>
      <c r="D611" t="s">
        <v>33</v>
      </c>
      <c r="E611" t="s">
        <v>46</v>
      </c>
      <c r="F611" t="s">
        <v>91</v>
      </c>
      <c r="G611" t="s">
        <v>34</v>
      </c>
      <c r="H611" s="52" t="str">
        <f>VLOOKUP(Tabla3[[#This Row],[Site]],'Important Info!'!$A$1:$J$135,10,FALSE)</f>
        <v>https://tools.sig.systems/site/details/141</v>
      </c>
      <c r="I611" s="2" t="s">
        <v>130</v>
      </c>
      <c r="J611" t="s">
        <v>41</v>
      </c>
      <c r="K611" s="79" t="str">
        <f>VLOOKUP(Tabla3[[#This Row],[Site]],'Important Info!'!$A$1:$H$135,8,FALSE)</f>
        <v>-</v>
      </c>
      <c r="L611" s="52" t="str">
        <f>VLOOKUP(Tabla3[[#This Row],[Site]],'Important Info!'!$A$1:$F$135,2,FALSE)</f>
        <v>7, 25</v>
      </c>
      <c r="M611" s="52" t="str">
        <f>VLOOKUP(Tabla3[[#This Row],[Site]],'Important Info!'!$A$1:$F$135,3,FALSE)</f>
        <v>15, 17, 18</v>
      </c>
      <c r="N611" s="52" t="str">
        <f>VLOOKUP(Tabla3[[#This Row],[Site]],'Important Info!'!$A$1:$F$135,4,FALSE)</f>
        <v>-</v>
      </c>
      <c r="O611" s="52" t="str">
        <f>VLOOKUP(Tabla3[[#This Row],[Site]],'Important Info!'!$A$1:$F$135,5,FALSE)</f>
        <v>1, 24</v>
      </c>
      <c r="P611" s="52" t="str">
        <f>VLOOKUP(Tabla3[[#This Row],[Site]],'Important Info!'!$A$1:$F$135,6,FALSE)</f>
        <v>3, 15, 17</v>
      </c>
      <c r="Q611" s="91">
        <f>VLOOKUP(Tabla3[[#This Row],[Site]],'Important Info!'!$A$1:$J$135,9,FALSE)</f>
        <v>141</v>
      </c>
    </row>
    <row r="612" spans="1:17" x14ac:dyDescent="0.25">
      <c r="A612" t="str">
        <f>+Tabla3[[#This Row],[Site]]&amp;Tabla3[[#This Row],[Split]]</f>
        <v>(AS) Stevinson JLR (NO TOURS)9</v>
      </c>
      <c r="B612">
        <v>9</v>
      </c>
      <c r="C612">
        <v>3</v>
      </c>
      <c r="D612" t="s">
        <v>44</v>
      </c>
      <c r="E612" t="s">
        <v>53</v>
      </c>
      <c r="F612" t="s">
        <v>93</v>
      </c>
      <c r="G612" t="s">
        <v>45</v>
      </c>
      <c r="H612" s="52" t="str">
        <f>VLOOKUP(Tabla3[[#This Row],[Site]],'Important Info!'!$A$1:$J$135,10,FALSE)</f>
        <v>https://tools.sig.systems/site/details/204</v>
      </c>
      <c r="J612" t="s">
        <v>41</v>
      </c>
      <c r="K612" s="79" t="str">
        <f>VLOOKUP(Tabla3[[#This Row],[Site]],'Important Info!'!$A$1:$H$135,8,FALSE)</f>
        <v>-</v>
      </c>
      <c r="L612" s="52">
        <f>VLOOKUP(Tabla3[[#This Row],[Site]],'Important Info!'!$A$1:$F$135,2,FALSE)</f>
        <v>5</v>
      </c>
      <c r="M612" s="52">
        <f>VLOOKUP(Tabla3[[#This Row],[Site]],'Important Info!'!$A$1:$F$135,3,FALSE)</f>
        <v>4</v>
      </c>
      <c r="N612" s="52" t="str">
        <f>VLOOKUP(Tabla3[[#This Row],[Site]],'Important Info!'!$A$1:$F$135,4,FALSE)</f>
        <v>-</v>
      </c>
      <c r="O612" s="52">
        <f>VLOOKUP(Tabla3[[#This Row],[Site]],'Important Info!'!$A$1:$F$135,5,FALSE)</f>
        <v>3</v>
      </c>
      <c r="P612" s="52" t="str">
        <f>VLOOKUP(Tabla3[[#This Row],[Site]],'Important Info!'!$A$1:$F$135,6,FALSE)</f>
        <v>1, 4, 15, 16</v>
      </c>
      <c r="Q612" s="91">
        <f>VLOOKUP(Tabla3[[#This Row],[Site]],'Important Info!'!$A$1:$J$135,9,FALSE)</f>
        <v>204</v>
      </c>
    </row>
    <row r="613" spans="1:17" x14ac:dyDescent="0.25">
      <c r="A613" t="str">
        <f>+Tabla3[[#This Row],[Site]]&amp;Tabla3[[#This Row],[Split]]</f>
        <v>(DT) El Cajon (NO TOURS)9</v>
      </c>
      <c r="B613">
        <v>9</v>
      </c>
      <c r="C613">
        <v>3</v>
      </c>
      <c r="D613" t="s">
        <v>51</v>
      </c>
      <c r="E613" t="s">
        <v>159</v>
      </c>
      <c r="F613" t="s">
        <v>160</v>
      </c>
      <c r="G613" t="s">
        <v>52</v>
      </c>
      <c r="H613" s="52" t="str">
        <f>VLOOKUP(Tabla3[[#This Row],[Site]],'Important Info!'!$A$1:$J$135,10,FALSE)</f>
        <v>https://tools.sig.systems/site/details/241</v>
      </c>
      <c r="J613" t="s">
        <v>41</v>
      </c>
      <c r="K613" s="79" t="str">
        <f>VLOOKUP(Tabla3[[#This Row],[Site]],'Important Info!'!$A$1:$H$135,8,FALSE)</f>
        <v>-</v>
      </c>
      <c r="L613" s="52" t="str">
        <f>VLOOKUP(Tabla3[[#This Row],[Site]],'Important Info!'!$A$1:$F$135,2,FALSE)</f>
        <v>-</v>
      </c>
      <c r="M613" s="52">
        <f>VLOOKUP(Tabla3[[#This Row],[Site]],'Important Info!'!$A$1:$F$135,3,FALSE)</f>
        <v>3</v>
      </c>
      <c r="N613" s="52" t="str">
        <f>VLOOKUP(Tabla3[[#This Row],[Site]],'Important Info!'!$A$1:$F$135,4,FALSE)</f>
        <v>-</v>
      </c>
      <c r="O613" s="52" t="str">
        <f>VLOOKUP(Tabla3[[#This Row],[Site]],'Important Info!'!$A$1:$F$135,5,FALSE)</f>
        <v>-</v>
      </c>
      <c r="P613" s="52" t="str">
        <f>VLOOKUP(Tabla3[[#This Row],[Site]],'Important Info!'!$A$1:$F$135,6,FALSE)</f>
        <v>-</v>
      </c>
      <c r="Q613" s="91">
        <f>VLOOKUP(Tabla3[[#This Row],[Site]],'Important Info!'!$A$1:$J$135,9,FALSE)</f>
        <v>241</v>
      </c>
    </row>
    <row r="614" spans="1:17" x14ac:dyDescent="0.25">
      <c r="A614" t="str">
        <f>+Tabla3[[#This Row],[Site]]&amp;Tabla3[[#This Row],[Split]]</f>
        <v>(HUD) CDJR of Greensboro9</v>
      </c>
      <c r="B614">
        <v>9</v>
      </c>
      <c r="C614">
        <v>3</v>
      </c>
      <c r="D614" t="s">
        <v>62</v>
      </c>
      <c r="E614" t="s">
        <v>35</v>
      </c>
      <c r="F614" t="s">
        <v>185</v>
      </c>
      <c r="G614" t="s">
        <v>490</v>
      </c>
      <c r="H614" s="52" t="str">
        <f>VLOOKUP(Tabla3[[#This Row],[Site]],'Important Info!'!$A$1:$J$135,10,FALSE)</f>
        <v>https://tools.sig.systems/site/details/215</v>
      </c>
      <c r="I614" s="43" t="s">
        <v>184</v>
      </c>
      <c r="J614" t="s">
        <v>36</v>
      </c>
      <c r="K614" s="79" t="str">
        <f>VLOOKUP(Tabla3[[#This Row],[Site]],'Important Info!'!$A$1:$H$135,8,FALSE)</f>
        <v>-</v>
      </c>
      <c r="L614" s="52" t="str">
        <f>VLOOKUP(Tabla3[[#This Row],[Site]],'Important Info!'!$A$1:$F$135,2,FALSE)</f>
        <v>2, 12</v>
      </c>
      <c r="M614" s="52" t="str">
        <f>VLOOKUP(Tabla3[[#This Row],[Site]],'Important Info!'!$A$1:$F$135,3,FALSE)</f>
        <v>-</v>
      </c>
      <c r="N614" s="52" t="str">
        <f>VLOOKUP(Tabla3[[#This Row],[Site]],'Important Info!'!$A$1:$F$135,4,FALSE)</f>
        <v>-</v>
      </c>
      <c r="O614" s="52" t="str">
        <f>VLOOKUP(Tabla3[[#This Row],[Site]],'Important Info!'!$A$1:$F$135,5,FALSE)</f>
        <v>3, 13</v>
      </c>
      <c r="P614" s="52" t="str">
        <f>VLOOKUP(Tabla3[[#This Row],[Site]],'Important Info!'!$A$1:$F$135,6,FALSE)</f>
        <v>1, 17</v>
      </c>
      <c r="Q614" s="91">
        <f>VLOOKUP(Tabla3[[#This Row],[Site]],'Important Info!'!$A$1:$J$135,9,FALSE)</f>
        <v>215</v>
      </c>
    </row>
    <row r="615" spans="1:17" x14ac:dyDescent="0.25">
      <c r="A615" t="str">
        <f>+Tabla3[[#This Row],[Site]]&amp;Tabla3[[#This Row],[Split]]</f>
        <v>(ML) Ford Lincoln of North Little Rock9</v>
      </c>
      <c r="B615">
        <v>9</v>
      </c>
      <c r="C615">
        <v>3</v>
      </c>
      <c r="D615" t="s">
        <v>33</v>
      </c>
      <c r="E615" t="s">
        <v>46</v>
      </c>
      <c r="F615" t="s">
        <v>145</v>
      </c>
      <c r="G615" t="s">
        <v>34</v>
      </c>
      <c r="H615" s="52" t="str">
        <f>VLOOKUP(Tabla3[[#This Row],[Site]],'Important Info!'!$A$1:$J$135,10,FALSE)</f>
        <v>https://tools.sig.systems/site/details/214</v>
      </c>
      <c r="I615" s="2" t="s">
        <v>142</v>
      </c>
      <c r="J615" t="s">
        <v>41</v>
      </c>
      <c r="K615" s="79" t="str">
        <f>VLOOKUP(Tabla3[[#This Row],[Site]],'Important Info!'!$A$1:$H$135,8,FALSE)</f>
        <v>-</v>
      </c>
      <c r="L615" s="52" t="str">
        <f>VLOOKUP(Tabla3[[#This Row],[Site]],'Important Info!'!$A$1:$F$135,2,FALSE)</f>
        <v>4, 15, 18, 67, 74</v>
      </c>
      <c r="M615" s="52">
        <f>VLOOKUP(Tabla3[[#This Row],[Site]],'Important Info!'!$A$1:$F$135,3,FALSE)</f>
        <v>13</v>
      </c>
      <c r="N615" s="52" t="str">
        <f>VLOOKUP(Tabla3[[#This Row],[Site]],'Important Info!'!$A$1:$F$135,4,FALSE)</f>
        <v>-</v>
      </c>
      <c r="O615" s="52" t="str">
        <f>VLOOKUP(Tabla3[[#This Row],[Site]],'Important Info!'!$A$1:$F$135,5,FALSE)</f>
        <v>4, 11, 16, 28</v>
      </c>
      <c r="P615" s="52" t="str">
        <f>VLOOKUP(Tabla3[[#This Row],[Site]],'Important Info!'!$A$1:$F$135,6,FALSE)</f>
        <v>10, 11, 12</v>
      </c>
      <c r="Q615" s="91">
        <f>VLOOKUP(Tabla3[[#This Row],[Site]],'Important Info!'!$A$1:$J$135,9,FALSE)</f>
        <v>214</v>
      </c>
    </row>
    <row r="616" spans="1:17" x14ac:dyDescent="0.25">
      <c r="A616" t="str">
        <f>+Tabla3[[#This Row],[Site]]&amp;Tabla3[[#This Row],[Split]]</f>
        <v>(ML) Joe Machens Ford Lincoln I &amp; II9</v>
      </c>
      <c r="B616">
        <v>9</v>
      </c>
      <c r="C616">
        <v>3</v>
      </c>
      <c r="D616" t="s">
        <v>33</v>
      </c>
      <c r="E616" t="s">
        <v>46</v>
      </c>
      <c r="F616" t="s">
        <v>148</v>
      </c>
      <c r="G616" t="s">
        <v>34</v>
      </c>
      <c r="H616" s="52" t="str">
        <f>VLOOKUP(Tabla3[[#This Row],[Site]],'Important Info!'!$A$1:$J$135,10,FALSE)</f>
        <v>https://tools.sig.systems/site/details/266</v>
      </c>
      <c r="I616" s="2" t="s">
        <v>146</v>
      </c>
      <c r="J616" t="s">
        <v>41</v>
      </c>
      <c r="K616" s="79" t="str">
        <f>VLOOKUP(Tabla3[[#This Row],[Site]],'Important Info!'!$A$1:$H$135,8,FALSE)</f>
        <v>-</v>
      </c>
      <c r="L616" s="52" t="str">
        <f>VLOOKUP(Tabla3[[#This Row],[Site]],'Important Info!'!$A$1:$F$135,2,FALSE)</f>
        <v>-</v>
      </c>
      <c r="M616" s="52" t="str">
        <f>VLOOKUP(Tabla3[[#This Row],[Site]],'Important Info!'!$A$1:$F$135,3,FALSE)</f>
        <v>4, 6, 9, 13, 14, 17, 26, 27, 28, 29, 30</v>
      </c>
      <c r="N616" s="52" t="str">
        <f>VLOOKUP(Tabla3[[#This Row],[Site]],'Important Info!'!$A$1:$F$135,4,FALSE)</f>
        <v>-</v>
      </c>
      <c r="O616" s="52" t="str">
        <f>VLOOKUP(Tabla3[[#This Row],[Site]],'Important Info!'!$A$1:$F$135,5,FALSE)</f>
        <v>23, 40, 49</v>
      </c>
      <c r="P616" s="52" t="str">
        <f>VLOOKUP(Tabla3[[#This Row],[Site]],'Important Info!'!$A$1:$F$135,6,FALSE)</f>
        <v>-</v>
      </c>
      <c r="Q616" s="91">
        <f>VLOOKUP(Tabla3[[#This Row],[Site]],'Important Info!'!$A$1:$J$135,9,FALSE)</f>
        <v>266</v>
      </c>
    </row>
    <row r="617" spans="1:17" x14ac:dyDescent="0.25">
      <c r="A617" t="str">
        <f>+Tabla3[[#This Row],[Site]]&amp;Tabla3[[#This Row],[Split]]</f>
        <v>(PE) JLR PDI (NO TOURS)9</v>
      </c>
      <c r="B617">
        <v>9</v>
      </c>
      <c r="C617">
        <v>3</v>
      </c>
      <c r="D617" t="s">
        <v>485</v>
      </c>
      <c r="E617" t="s">
        <v>35</v>
      </c>
      <c r="F617" t="s">
        <v>114</v>
      </c>
      <c r="G617" t="s">
        <v>490</v>
      </c>
      <c r="H617" s="52" t="str">
        <f>VLOOKUP(Tabla3[[#This Row],[Site]],'Important Info!'!$A$1:$J$135,10,FALSE)</f>
        <v>https://tools.sig.systems/site/details/179</v>
      </c>
      <c r="I617" s="43" t="s">
        <v>176</v>
      </c>
      <c r="J617" t="s">
        <v>41</v>
      </c>
      <c r="K617" s="79" t="str">
        <f>VLOOKUP(Tabla3[[#This Row],[Site]],'Important Info!'!$A$1:$H$135,8,FALSE)</f>
        <v>-</v>
      </c>
      <c r="L617" s="52" t="str">
        <f>VLOOKUP(Tabla3[[#This Row],[Site]],'Important Info!'!$A$1:$F$135,2,FALSE)</f>
        <v>3, 8</v>
      </c>
      <c r="M617" s="52" t="str">
        <f>VLOOKUP(Tabla3[[#This Row],[Site]],'Important Info!'!$A$1:$F$135,3,FALSE)</f>
        <v>-</v>
      </c>
      <c r="N617" s="52" t="str">
        <f>VLOOKUP(Tabla3[[#This Row],[Site]],'Important Info!'!$A$1:$F$135,4,FALSE)</f>
        <v>-</v>
      </c>
      <c r="O617" s="52" t="str">
        <f>VLOOKUP(Tabla3[[#This Row],[Site]],'Important Info!'!$A$1:$F$135,5,FALSE)</f>
        <v>-</v>
      </c>
      <c r="P617" s="52" t="str">
        <f>VLOOKUP(Tabla3[[#This Row],[Site]],'Important Info!'!$A$1:$F$135,6,FALSE)</f>
        <v>-</v>
      </c>
      <c r="Q617" s="91">
        <f>VLOOKUP(Tabla3[[#This Row],[Site]],'Important Info!'!$A$1:$J$135,9,FALSE)</f>
        <v>179</v>
      </c>
    </row>
    <row r="618" spans="1:17" x14ac:dyDescent="0.25">
      <c r="A618" t="str">
        <f>+Tabla3[[#This Row],[Site]]&amp;Tabla3[[#This Row],[Split]]</f>
        <v>(TC) Tavernier Creek Marina (NO TOURS)9</v>
      </c>
      <c r="B618">
        <v>9</v>
      </c>
      <c r="C618">
        <v>3</v>
      </c>
      <c r="D618" t="s">
        <v>62</v>
      </c>
      <c r="E618" t="s">
        <v>35</v>
      </c>
      <c r="F618" t="s">
        <v>119</v>
      </c>
      <c r="G618" t="s">
        <v>34</v>
      </c>
      <c r="H618" s="52" t="str">
        <f>VLOOKUP(Tabla3[[#This Row],[Site]],'Important Info!'!$A$1:$J$135,10,FALSE)</f>
        <v>https://tools.sig.systems/site/details/164</v>
      </c>
      <c r="I618" s="2"/>
      <c r="J618" t="s">
        <v>45</v>
      </c>
      <c r="K618" s="79" t="str">
        <f>VLOOKUP(Tabla3[[#This Row],[Site]],'Important Info!'!$A$1:$H$135,8,FALSE)</f>
        <v>-</v>
      </c>
      <c r="L618" s="52" t="str">
        <f>VLOOKUP(Tabla3[[#This Row],[Site]],'Important Info!'!$A$1:$F$135,2,FALSE)</f>
        <v>28, 29</v>
      </c>
      <c r="M618" s="52" t="str">
        <f>VLOOKUP(Tabla3[[#This Row],[Site]],'Important Info!'!$A$1:$F$135,3,FALSE)</f>
        <v>-</v>
      </c>
      <c r="N618" s="52" t="str">
        <f>VLOOKUP(Tabla3[[#This Row],[Site]],'Important Info!'!$A$1:$F$135,4,FALSE)</f>
        <v>-</v>
      </c>
      <c r="O618" s="52" t="str">
        <f>VLOOKUP(Tabla3[[#This Row],[Site]],'Important Info!'!$A$1:$F$135,5,FALSE)</f>
        <v>-</v>
      </c>
      <c r="P618" s="52" t="str">
        <f>VLOOKUP(Tabla3[[#This Row],[Site]],'Important Info!'!$A$1:$F$135,6,FALSE)</f>
        <v>5, 28, 29</v>
      </c>
      <c r="Q618" s="91">
        <f>VLOOKUP(Tabla3[[#This Row],[Site]],'Important Info!'!$A$1:$J$135,9,FALSE)</f>
        <v>164</v>
      </c>
    </row>
    <row r="619" spans="1:17" x14ac:dyDescent="0.25">
      <c r="A619" t="str">
        <f>+Tabla3[[#This Row],[Site]]&amp;Tabla3[[#This Row],[Split]]</f>
        <v>SIG Office9</v>
      </c>
      <c r="B619">
        <v>9</v>
      </c>
      <c r="C619">
        <v>3</v>
      </c>
      <c r="D619" t="s">
        <v>60</v>
      </c>
      <c r="E619" t="s">
        <v>35</v>
      </c>
      <c r="F619" t="s">
        <v>169</v>
      </c>
      <c r="G619" t="s">
        <v>41</v>
      </c>
      <c r="H619" s="52" t="str">
        <f>VLOOKUP(Tabla3[[#This Row],[Site]],'Important Info!'!$A$1:$J$135,10,FALSE)</f>
        <v>https://tools.sig.systems/site/details/163</v>
      </c>
      <c r="I619" s="2"/>
      <c r="J619" t="s">
        <v>41</v>
      </c>
      <c r="K619" s="79" t="str">
        <f>VLOOKUP(Tabla3[[#This Row],[Site]],'Important Info!'!$A$1:$H$135,8,FALSE)</f>
        <v>-</v>
      </c>
      <c r="L619" s="52" t="str">
        <f>VLOOKUP(Tabla3[[#This Row],[Site]],'Important Info!'!$A$1:$F$135,2,FALSE)</f>
        <v>-</v>
      </c>
      <c r="M619" s="52" t="str">
        <f>VLOOKUP(Tabla3[[#This Row],[Site]],'Important Info!'!$A$1:$F$135,3,FALSE)</f>
        <v>-</v>
      </c>
      <c r="N619" s="52" t="str">
        <f>VLOOKUP(Tabla3[[#This Row],[Site]],'Important Info!'!$A$1:$F$135,4,FALSE)</f>
        <v>-</v>
      </c>
      <c r="O619" s="52" t="str">
        <f>VLOOKUP(Tabla3[[#This Row],[Site]],'Important Info!'!$A$1:$F$135,5,FALSE)</f>
        <v>-</v>
      </c>
      <c r="P619" s="52">
        <f>VLOOKUP(Tabla3[[#This Row],[Site]],'Important Info!'!$A$1:$F$135,6,FALSE)</f>
        <v>25</v>
      </c>
      <c r="Q619" s="91">
        <f>VLOOKUP(Tabla3[[#This Row],[Site]],'Important Info!'!$A$1:$J$135,9,FALSE)</f>
        <v>163</v>
      </c>
    </row>
    <row r="620" spans="1:17" x14ac:dyDescent="0.25">
      <c r="A620" t="str">
        <f>+Tabla3[[#This Row],[Site]]&amp;Tabla3[[#This Row],[Split]]</f>
        <v>(AS) Bill Estes Ford (NO TOURS)9</v>
      </c>
      <c r="B620">
        <v>9</v>
      </c>
      <c r="C620">
        <v>4</v>
      </c>
      <c r="D620" t="s">
        <v>62</v>
      </c>
      <c r="E620" t="s">
        <v>35</v>
      </c>
      <c r="F620" t="s">
        <v>178</v>
      </c>
      <c r="G620" t="s">
        <v>490</v>
      </c>
      <c r="H620" s="52" t="str">
        <f>VLOOKUP(Tabla3[[#This Row],[Site]],'Important Info!'!$A$1:$J$135,10,FALSE)</f>
        <v>https://tools.sig.systems/site/details/125</v>
      </c>
      <c r="J620" t="s">
        <v>41</v>
      </c>
      <c r="K620" s="79" t="str">
        <f>VLOOKUP(Tabla3[[#This Row],[Site]],'Important Info!'!$A$1:$H$135,8,FALSE)</f>
        <v>-</v>
      </c>
      <c r="L620" s="52" t="str">
        <f>VLOOKUP(Tabla3[[#This Row],[Site]],'Important Info!'!$A$1:$F$135,2,FALSE)</f>
        <v>-</v>
      </c>
      <c r="M620" s="52" t="str">
        <f>VLOOKUP(Tabla3[[#This Row],[Site]],'Important Info!'!$A$1:$F$135,3,FALSE)</f>
        <v>2, 3, 13, 16</v>
      </c>
      <c r="N620" s="52" t="str">
        <f>VLOOKUP(Tabla3[[#This Row],[Site]],'Important Info!'!$A$1:$F$135,4,FALSE)</f>
        <v>-</v>
      </c>
      <c r="O620" s="52" t="str">
        <f>VLOOKUP(Tabla3[[#This Row],[Site]],'Important Info!'!$A$1:$F$135,5,FALSE)</f>
        <v>1, 10, 14, 19</v>
      </c>
      <c r="P620" s="52" t="str">
        <f>VLOOKUP(Tabla3[[#This Row],[Site]],'Important Info!'!$A$1:$F$135,6,FALSE)</f>
        <v>7, 8, 9, 10, 11, 12, 14</v>
      </c>
      <c r="Q620" s="91">
        <f>VLOOKUP(Tabla3[[#This Row],[Site]],'Important Info!'!$A$1:$J$135,9,FALSE)</f>
        <v>125</v>
      </c>
    </row>
    <row r="621" spans="1:17" x14ac:dyDescent="0.25">
      <c r="A621" t="str">
        <f>+Tabla3[[#This Row],[Site]]&amp;Tabla3[[#This Row],[Split]]</f>
        <v>(AS) Mercedes Benz/Porsche Dallas I,II,III (NO TOURS)9</v>
      </c>
      <c r="B621">
        <v>9</v>
      </c>
      <c r="C621">
        <v>4</v>
      </c>
      <c r="D621" t="s">
        <v>33</v>
      </c>
      <c r="E621" t="s">
        <v>46</v>
      </c>
      <c r="F621" t="s">
        <v>509</v>
      </c>
      <c r="G621" t="s">
        <v>34</v>
      </c>
      <c r="H621" s="52" t="str">
        <f>VLOOKUP(Tabla3[[#This Row],[Site]],'Important Info!'!$A$1:$J$135,10,FALSE)</f>
        <v>https://tools.sig.systems/site/details/168</v>
      </c>
      <c r="I621" s="65" t="s">
        <v>125</v>
      </c>
      <c r="J621" t="s">
        <v>41</v>
      </c>
      <c r="K621" s="79" t="str">
        <f>VLOOKUP(Tabla3[[#This Row],[Site]],'Important Info!'!$A$1:$H$135,8,FALSE)</f>
        <v>-</v>
      </c>
      <c r="L621" s="52" t="str">
        <f>VLOOKUP(Tabla3[[#This Row],[Site]],'Important Info!'!$A$1:$F$135,2,FALSE)</f>
        <v>3, 4, 17, 26, 41</v>
      </c>
      <c r="M621" s="52" t="str">
        <f>VLOOKUP(Tabla3[[#This Row],[Site]],'Important Info!'!$A$1:$F$135,3,FALSE)</f>
        <v>-</v>
      </c>
      <c r="N621" s="52" t="str">
        <f>VLOOKUP(Tabla3[[#This Row],[Site]],'Important Info!'!$A$1:$F$135,4,FALSE)</f>
        <v>153, 154, 155, 156, 157, 158</v>
      </c>
      <c r="O621" s="52" t="str">
        <f>VLOOKUP(Tabla3[[#This Row],[Site]],'Important Info!'!$A$1:$F$135,5,FALSE)</f>
        <v>2, 6, 10, 20, 28, 30, 36</v>
      </c>
      <c r="P621" s="52" t="str">
        <f>VLOOKUP(Tabla3[[#This Row],[Site]],'Important Info!'!$A$1:$F$135,6,FALSE)</f>
        <v>31, 41, 159</v>
      </c>
      <c r="Q621" s="91">
        <f>VLOOKUP(Tabla3[[#This Row],[Site]],'Important Info!'!$A$1:$J$135,9,FALSE)</f>
        <v>168</v>
      </c>
    </row>
    <row r="622" spans="1:17" x14ac:dyDescent="0.25">
      <c r="A622" t="str">
        <f>+Tabla3[[#This Row],[Site]]&amp;Tabla3[[#This Row],[Split]]</f>
        <v>(AS) Nalley Lexus &amp; Remote Lot Roswell (NO TOURS)9</v>
      </c>
      <c r="B622">
        <v>9</v>
      </c>
      <c r="C622">
        <v>4</v>
      </c>
      <c r="D622" t="s">
        <v>60</v>
      </c>
      <c r="E622" t="s">
        <v>35</v>
      </c>
      <c r="F622" t="s">
        <v>511</v>
      </c>
      <c r="G622" t="s">
        <v>41</v>
      </c>
      <c r="H622" s="52" t="str">
        <f>VLOOKUP(Tabla3[[#This Row],[Site]],'Important Info!'!$A$1:$J$135,10,FALSE)</f>
        <v>https://tools.sig.systems/site/details/131</v>
      </c>
      <c r="I622" s="43" t="s">
        <v>166</v>
      </c>
      <c r="J622" t="s">
        <v>41</v>
      </c>
      <c r="K622" s="79" t="str">
        <f>VLOOKUP(Tabla3[[#This Row],[Site]],'Important Info!'!$A$1:$H$135,8,FALSE)</f>
        <v>Dealership 11PM to 5AM (Mon to Fri). Sunday Drop Time 1PM</v>
      </c>
      <c r="L622" s="52" t="str">
        <f>VLOOKUP(Tabla3[[#This Row],[Site]],'Important Info!'!$A$1:$F$135,2,FALSE)</f>
        <v>6, 13</v>
      </c>
      <c r="M622" s="52">
        <f>VLOOKUP(Tabla3[[#This Row],[Site]],'Important Info!'!$A$1:$F$135,3,FALSE)</f>
        <v>4</v>
      </c>
      <c r="N622" s="52">
        <f>VLOOKUP(Tabla3[[#This Row],[Site]],'Important Info!'!$A$1:$F$135,4,FALSE)</f>
        <v>1</v>
      </c>
      <c r="O622" s="52" t="str">
        <f>VLOOKUP(Tabla3[[#This Row],[Site]],'Important Info!'!$A$1:$F$135,5,FALSE)</f>
        <v>1, 8, 19</v>
      </c>
      <c r="P622" s="52" t="str">
        <f>VLOOKUP(Tabla3[[#This Row],[Site]],'Important Info!'!$A$1:$F$135,6,FALSE)</f>
        <v>4, 20</v>
      </c>
      <c r="Q622" s="91">
        <f>VLOOKUP(Tabla3[[#This Row],[Site]],'Important Info!'!$A$1:$J$135,9,FALSE)</f>
        <v>131</v>
      </c>
    </row>
    <row r="623" spans="1:17" x14ac:dyDescent="0.25">
      <c r="A623" t="str">
        <f>+Tabla3[[#This Row],[Site]]&amp;Tabla3[[#This Row],[Split]]</f>
        <v>(AS) Plano Auction (NO SPEAKERS)9</v>
      </c>
      <c r="B623">
        <v>9</v>
      </c>
      <c r="C623">
        <v>4</v>
      </c>
      <c r="D623" t="s">
        <v>33</v>
      </c>
      <c r="E623" t="s">
        <v>46</v>
      </c>
      <c r="F623" t="s">
        <v>129</v>
      </c>
      <c r="G623" t="s">
        <v>34</v>
      </c>
      <c r="H623" s="52" t="str">
        <f>VLOOKUP(Tabla3[[#This Row],[Site]],'Important Info!'!$A$1:$J$135,10,FALSE)</f>
        <v>https://tools.sig.systems/site/details/140</v>
      </c>
      <c r="J623" t="s">
        <v>41</v>
      </c>
      <c r="K623" s="79" t="str">
        <f>VLOOKUP(Tabla3[[#This Row],[Site]],'Important Info!'!$A$1:$H$135,8,FALSE)</f>
        <v>-</v>
      </c>
      <c r="L623" s="52" t="str">
        <f>VLOOKUP(Tabla3[[#This Row],[Site]],'Important Info!'!$A$1:$F$135,2,FALSE)</f>
        <v>-</v>
      </c>
      <c r="M623" s="52" t="str">
        <f>VLOOKUP(Tabla3[[#This Row],[Site]],'Important Info!'!$A$1:$F$135,3,FALSE)</f>
        <v>3, 4, 19</v>
      </c>
      <c r="N623" s="52" t="str">
        <f>VLOOKUP(Tabla3[[#This Row],[Site]],'Important Info!'!$A$1:$F$135,4,FALSE)</f>
        <v>-</v>
      </c>
      <c r="O623" s="52" t="str">
        <f>VLOOKUP(Tabla3[[#This Row],[Site]],'Important Info!'!$A$1:$F$135,5,FALSE)</f>
        <v>5, 19</v>
      </c>
      <c r="P623" s="52">
        <f>VLOOKUP(Tabla3[[#This Row],[Site]],'Important Info!'!$A$1:$F$135,6,FALSE)</f>
        <v>21</v>
      </c>
      <c r="Q623" s="91">
        <f>VLOOKUP(Tabla3[[#This Row],[Site]],'Important Info!'!$A$1:$J$135,9,FALSE)</f>
        <v>140</v>
      </c>
    </row>
    <row r="624" spans="1:17" x14ac:dyDescent="0.25">
      <c r="A624" t="str">
        <f>+Tabla3[[#This Row],[Site]]&amp;Tabla3[[#This Row],[Split]]</f>
        <v>(AS) Stevinson Lexus of Lakewood (NO TOURS)9</v>
      </c>
      <c r="B624">
        <v>9</v>
      </c>
      <c r="C624">
        <v>4</v>
      </c>
      <c r="D624" t="s">
        <v>44</v>
      </c>
      <c r="E624" t="s">
        <v>53</v>
      </c>
      <c r="F624" t="s">
        <v>523</v>
      </c>
      <c r="G624" t="s">
        <v>45</v>
      </c>
      <c r="H624" s="52" t="str">
        <f>VLOOKUP(Tabla3[[#This Row],[Site]],'Important Info!'!$A$1:$J$135,10,FALSE)</f>
        <v>https://tools.sig.systems/site/details/260</v>
      </c>
      <c r="I624" s="43" t="s">
        <v>154</v>
      </c>
      <c r="J624" t="s">
        <v>41</v>
      </c>
      <c r="K624" s="79" t="str">
        <f>VLOOKUP(Tabla3[[#This Row],[Site]],'Important Info!'!$A$1:$H$135,8,FALSE)</f>
        <v>-</v>
      </c>
      <c r="L624" s="52" t="str">
        <f>VLOOKUP(Tabla3[[#This Row],[Site]],'Important Info!'!$A$1:$F$135,2,FALSE)</f>
        <v>-</v>
      </c>
      <c r="M624" s="52" t="str">
        <f>VLOOKUP(Tabla3[[#This Row],[Site]],'Important Info!'!$A$1:$F$135,3,FALSE)</f>
        <v>2, 10</v>
      </c>
      <c r="N624" s="52" t="str">
        <f>VLOOKUP(Tabla3[[#This Row],[Site]],'Important Info!'!$A$1:$F$135,4,FALSE)</f>
        <v>9, 17</v>
      </c>
      <c r="O624" s="52" t="str">
        <f>VLOOKUP(Tabla3[[#This Row],[Site]],'Important Info!'!$A$1:$F$135,5,FALSE)</f>
        <v>-</v>
      </c>
      <c r="P624" s="52" t="str">
        <f>VLOOKUP(Tabla3[[#This Row],[Site]],'Important Info!'!$A$1:$F$135,6,FALSE)</f>
        <v>1, 2</v>
      </c>
      <c r="Q624" s="91">
        <f>VLOOKUP(Tabla3[[#This Row],[Site]],'Important Info!'!$A$1:$J$135,9,FALSE)</f>
        <v>260</v>
      </c>
    </row>
    <row r="625" spans="1:17" x14ac:dyDescent="0.25">
      <c r="A625" t="str">
        <f>+Tabla3[[#This Row],[Site]]&amp;Tabla3[[#This Row],[Split]]</f>
        <v>(HUD) Honda Greensboro9</v>
      </c>
      <c r="B625">
        <v>9</v>
      </c>
      <c r="C625">
        <v>4</v>
      </c>
      <c r="D625" t="s">
        <v>62</v>
      </c>
      <c r="E625" t="s">
        <v>35</v>
      </c>
      <c r="F625" t="s">
        <v>85</v>
      </c>
      <c r="G625" t="s">
        <v>490</v>
      </c>
      <c r="H625" s="52" t="str">
        <f>VLOOKUP(Tabla3[[#This Row],[Site]],'Important Info!'!$A$1:$J$135,10,FALSE)</f>
        <v>https://tools.sig.systems/site/details/230</v>
      </c>
      <c r="I625" s="43" t="s">
        <v>184</v>
      </c>
      <c r="J625" t="s">
        <v>41</v>
      </c>
      <c r="K625" s="79" t="str">
        <f>VLOOKUP(Tabla3[[#This Row],[Site]],'Important Info!'!$A$1:$H$135,8,FALSE)</f>
        <v>-</v>
      </c>
      <c r="L625" s="52" t="str">
        <f>VLOOKUP(Tabla3[[#This Row],[Site]],'Important Info!'!$A$1:$F$135,2,FALSE)</f>
        <v>1, 3,  15, 16, 22</v>
      </c>
      <c r="M625" s="52" t="str">
        <f>VLOOKUP(Tabla3[[#This Row],[Site]],'Important Info!'!$A$1:$F$135,3,FALSE)</f>
        <v>-</v>
      </c>
      <c r="N625" s="52" t="str">
        <f>VLOOKUP(Tabla3[[#This Row],[Site]],'Important Info!'!$A$1:$F$135,4,FALSE)</f>
        <v>-</v>
      </c>
      <c r="O625" s="52" t="str">
        <f>VLOOKUP(Tabla3[[#This Row],[Site]],'Important Info!'!$A$1:$F$135,5,FALSE)</f>
        <v>3, 20</v>
      </c>
      <c r="P625" s="52">
        <f>VLOOKUP(Tabla3[[#This Row],[Site]],'Important Info!'!$A$1:$F$135,6,FALSE)</f>
        <v>26</v>
      </c>
      <c r="Q625" s="91">
        <f>VLOOKUP(Tabla3[[#This Row],[Site]],'Important Info!'!$A$1:$J$135,9,FALSE)</f>
        <v>230</v>
      </c>
    </row>
    <row r="626" spans="1:17" x14ac:dyDescent="0.25">
      <c r="A626" t="str">
        <f>+Tabla3[[#This Row],[Site]]&amp;Tabla3[[#This Row],[Split]]</f>
        <v>(KG) Baytown GMC Buick - Remote Lot (NO TOURS)9</v>
      </c>
      <c r="B626">
        <v>9</v>
      </c>
      <c r="C626">
        <v>4</v>
      </c>
      <c r="D626" t="s">
        <v>60</v>
      </c>
      <c r="E626" t="s">
        <v>46</v>
      </c>
      <c r="F626" t="s">
        <v>167</v>
      </c>
      <c r="G626" t="s">
        <v>41</v>
      </c>
      <c r="H626" s="52" t="str">
        <f>VLOOKUP(Tabla3[[#This Row],[Site]],'Important Info!'!$A$1:$J$135,10,FALSE)</f>
        <v>https://tools.sig.systems/site/details/311</v>
      </c>
      <c r="I626" s="2"/>
      <c r="J626" t="s">
        <v>41</v>
      </c>
      <c r="K626" s="79" t="s">
        <v>168</v>
      </c>
      <c r="L626" s="52" t="str">
        <f>VLOOKUP(Tabla3[[#This Row],[Site]],'Important Info!'!$A$1:$F$135,2,FALSE)</f>
        <v>-</v>
      </c>
      <c r="M626" s="52" t="str">
        <f>VLOOKUP(Tabla3[[#This Row],[Site]],'Important Info!'!$A$1:$F$135,3,FALSE)</f>
        <v>7, 8</v>
      </c>
      <c r="N626" s="52" t="str">
        <f>VLOOKUP(Tabla3[[#This Row],[Site]],'Important Info!'!$A$1:$F$135,4,FALSE)</f>
        <v>-</v>
      </c>
      <c r="O626" s="52" t="str">
        <f>VLOOKUP(Tabla3[[#This Row],[Site]],'Important Info!'!$A$1:$F$135,5,FALSE)</f>
        <v>-</v>
      </c>
      <c r="P626" s="52" t="str">
        <f>VLOOKUP(Tabla3[[#This Row],[Site]],'Important Info!'!$A$1:$F$135,6,FALSE)</f>
        <v>-</v>
      </c>
      <c r="Q626" s="91">
        <f>VLOOKUP(Tabla3[[#This Row],[Site]],'Important Info!'!$A$1:$J$135,9,FALSE)</f>
        <v>311</v>
      </c>
    </row>
    <row r="627" spans="1:17" x14ac:dyDescent="0.25">
      <c r="A627" t="str">
        <f>+Tabla3[[#This Row],[Site]]&amp;Tabla3[[#This Row],[Split]]</f>
        <v>(KG) Baytown GMC Buick (NO TOURS)9</v>
      </c>
      <c r="B627">
        <v>9</v>
      </c>
      <c r="C627">
        <v>4</v>
      </c>
      <c r="D627" t="s">
        <v>33</v>
      </c>
      <c r="E627" t="s">
        <v>46</v>
      </c>
      <c r="F627" t="s">
        <v>132</v>
      </c>
      <c r="G627" t="s">
        <v>34</v>
      </c>
      <c r="H627" s="52" t="str">
        <f>VLOOKUP(Tabla3[[#This Row],[Site]],'Important Info!'!$A$1:$J$135,10,FALSE)</f>
        <v>https://tools.sig.systems/site/details/239</v>
      </c>
      <c r="J627" t="s">
        <v>41</v>
      </c>
      <c r="K627" s="79" t="str">
        <f>VLOOKUP(Tabla3[[#This Row],[Site]],'Important Info!'!$A$1:$H$135,8,FALSE)</f>
        <v>-</v>
      </c>
      <c r="L627" s="52" t="str">
        <f>VLOOKUP(Tabla3[[#This Row],[Site]],'Important Info!'!$A$1:$F$135,2,FALSE)</f>
        <v>1, 5, 7, 21, 22</v>
      </c>
      <c r="M627" s="52" t="str">
        <f>VLOOKUP(Tabla3[[#This Row],[Site]],'Important Info!'!$A$1:$F$135,3,FALSE)</f>
        <v>-</v>
      </c>
      <c r="N627" s="52" t="str">
        <f>VLOOKUP(Tabla3[[#This Row],[Site]],'Important Info!'!$A$1:$F$135,4,FALSE)</f>
        <v>-</v>
      </c>
      <c r="O627" s="52" t="str">
        <f>VLOOKUP(Tabla3[[#This Row],[Site]],'Important Info!'!$A$1:$F$135,5,FALSE)</f>
        <v>2, 10, 15, 24B</v>
      </c>
      <c r="P627" s="52" t="str">
        <f>VLOOKUP(Tabla3[[#This Row],[Site]],'Important Info!'!$A$1:$F$135,6,FALSE)</f>
        <v>21, 22</v>
      </c>
      <c r="Q627" s="91">
        <f>VLOOKUP(Tabla3[[#This Row],[Site]],'Important Info!'!$A$1:$J$135,9,FALSE)</f>
        <v>239</v>
      </c>
    </row>
    <row r="628" spans="1:17" x14ac:dyDescent="0.25">
      <c r="A628" t="str">
        <f>+Tabla3[[#This Row],[Site]]&amp;Tabla3[[#This Row],[Split]]</f>
        <v>(ML) Columbia Honda (NO TOURS)9</v>
      </c>
      <c r="B628">
        <v>9</v>
      </c>
      <c r="C628">
        <v>4</v>
      </c>
      <c r="D628" t="s">
        <v>33</v>
      </c>
      <c r="E628" t="s">
        <v>46</v>
      </c>
      <c r="F628" t="s">
        <v>143</v>
      </c>
      <c r="G628" t="s">
        <v>34</v>
      </c>
      <c r="H628" s="52" t="str">
        <f>VLOOKUP(Tabla3[[#This Row],[Site]],'Important Info!'!$A$1:$J$135,10,FALSE)</f>
        <v>https://tools.sig.systems/site/details/272</v>
      </c>
      <c r="I628" s="43" t="s">
        <v>144</v>
      </c>
      <c r="J628" t="s">
        <v>41</v>
      </c>
      <c r="K628" s="79" t="str">
        <f>VLOOKUP(Tabla3[[#This Row],[Site]],'Important Info!'!$A$1:$H$135,8,FALSE)</f>
        <v>-</v>
      </c>
      <c r="L628" s="52" t="str">
        <f>VLOOKUP(Tabla3[[#This Row],[Site]],'Important Info!'!$A$1:$F$135,2,FALSE)</f>
        <v>-</v>
      </c>
      <c r="M628" s="52" t="str">
        <f>VLOOKUP(Tabla3[[#This Row],[Site]],'Important Info!'!$A$1:$F$135,3,FALSE)</f>
        <v>9, 19, 20</v>
      </c>
      <c r="N628" s="52" t="str">
        <f>VLOOKUP(Tabla3[[#This Row],[Site]],'Important Info!'!$A$1:$F$135,4,FALSE)</f>
        <v>-</v>
      </c>
      <c r="O628" s="52" t="str">
        <f>VLOOKUP(Tabla3[[#This Row],[Site]],'Important Info!'!$A$1:$F$135,5,FALSE)</f>
        <v>10, 17, 19</v>
      </c>
      <c r="P628" s="52" t="str">
        <f>VLOOKUP(Tabla3[[#This Row],[Site]],'Important Info!'!$A$1:$F$135,6,FALSE)</f>
        <v>3, 4, 5</v>
      </c>
      <c r="Q628" s="91">
        <f>VLOOKUP(Tabla3[[#This Row],[Site]],'Important Info!'!$A$1:$J$135,9,FALSE)</f>
        <v>272</v>
      </c>
    </row>
    <row r="629" spans="1:17" x14ac:dyDescent="0.25">
      <c r="A629" t="str">
        <f>+Tabla3[[#This Row],[Site]]&amp;Tabla3[[#This Row],[Split]]</f>
        <v>(ML) Joe Machens Kia of Columbia9</v>
      </c>
      <c r="B629">
        <v>9</v>
      </c>
      <c r="C629">
        <v>4</v>
      </c>
      <c r="D629" t="s">
        <v>33</v>
      </c>
      <c r="E629" t="s">
        <v>46</v>
      </c>
      <c r="F629" t="s">
        <v>149</v>
      </c>
      <c r="G629" t="s">
        <v>34</v>
      </c>
      <c r="H629" s="52" t="str">
        <f>VLOOKUP(Tabla3[[#This Row],[Site]],'Important Info!'!$A$1:$J$135,10,FALSE)</f>
        <v>https://tools.sig.systems/site/details/270</v>
      </c>
      <c r="I629" s="2" t="s">
        <v>146</v>
      </c>
      <c r="J629" t="s">
        <v>41</v>
      </c>
      <c r="K629" s="79" t="str">
        <f>VLOOKUP(Tabla3[[#This Row],[Site]],'Important Info!'!$A$1:$H$135,8,FALSE)</f>
        <v>-</v>
      </c>
      <c r="L629" s="52" t="str">
        <f>VLOOKUP(Tabla3[[#This Row],[Site]],'Important Info!'!$A$1:$F$135,2,FALSE)</f>
        <v>-</v>
      </c>
      <c r="M629" s="52" t="str">
        <f>VLOOKUP(Tabla3[[#This Row],[Site]],'Important Info!'!$A$1:$F$135,3,FALSE)</f>
        <v>1, 2, 5, 6, 9, 13, 15</v>
      </c>
      <c r="N629" s="52" t="str">
        <f>VLOOKUP(Tabla3[[#This Row],[Site]],'Important Info!'!$A$1:$F$135,4,FALSE)</f>
        <v>-</v>
      </c>
      <c r="O629" s="52" t="str">
        <f>VLOOKUP(Tabla3[[#This Row],[Site]],'Important Info!'!$A$1:$F$135,5,FALSE)</f>
        <v>-</v>
      </c>
      <c r="P629" s="52" t="str">
        <f>VLOOKUP(Tabla3[[#This Row],[Site]],'Important Info!'!$A$1:$F$135,6,FALSE)</f>
        <v>10, 11, 13</v>
      </c>
      <c r="Q629" s="91">
        <f>VLOOKUP(Tabla3[[#This Row],[Site]],'Important Info!'!$A$1:$J$135,9,FALSE)</f>
        <v>270</v>
      </c>
    </row>
    <row r="630" spans="1:17" x14ac:dyDescent="0.25">
      <c r="A630" t="str">
        <f>+Tabla3[[#This Row],[Site]]&amp;Tabla3[[#This Row],[Split]]</f>
        <v>(ML) Nissan of North Little Rock9</v>
      </c>
      <c r="B630">
        <v>9</v>
      </c>
      <c r="C630">
        <v>4</v>
      </c>
      <c r="D630" t="s">
        <v>33</v>
      </c>
      <c r="E630" t="s">
        <v>46</v>
      </c>
      <c r="F630" t="s">
        <v>75</v>
      </c>
      <c r="G630" t="s">
        <v>34</v>
      </c>
      <c r="H630" s="52" t="str">
        <f>VLOOKUP(Tabla3[[#This Row],[Site]],'Important Info!'!$A$1:$J$135,10,FALSE)</f>
        <v>https://tools.sig.systems/site/details/216</v>
      </c>
      <c r="I630" s="43" t="s">
        <v>142</v>
      </c>
      <c r="J630" t="s">
        <v>41</v>
      </c>
      <c r="K630" s="79" t="str">
        <f>VLOOKUP(Tabla3[[#This Row],[Site]],'Important Info!'!$A$1:$H$135,8,FALSE)</f>
        <v>-</v>
      </c>
      <c r="L630" s="52" t="str">
        <f>VLOOKUP(Tabla3[[#This Row],[Site]],'Important Info!'!$A$1:$F$135,2,FALSE)</f>
        <v>2, 4</v>
      </c>
      <c r="M630" s="52" t="str">
        <f>VLOOKUP(Tabla3[[#This Row],[Site]],'Important Info!'!$A$1:$F$135,3,FALSE)</f>
        <v>-</v>
      </c>
      <c r="N630" s="52" t="str">
        <f>VLOOKUP(Tabla3[[#This Row],[Site]],'Important Info!'!$A$1:$F$135,4,FALSE)</f>
        <v>-</v>
      </c>
      <c r="O630" s="52" t="str">
        <f>VLOOKUP(Tabla3[[#This Row],[Site]],'Important Info!'!$A$1:$F$135,5,FALSE)</f>
        <v>5, 17, 23</v>
      </c>
      <c r="P630" s="52">
        <f>VLOOKUP(Tabla3[[#This Row],[Site]],'Important Info!'!$A$1:$F$135,6,FALSE)</f>
        <v>18</v>
      </c>
      <c r="Q630" s="91">
        <f>VLOOKUP(Tabla3[[#This Row],[Site]],'Important Info!'!$A$1:$J$135,9,FALSE)</f>
        <v>216</v>
      </c>
    </row>
    <row r="631" spans="1:17" x14ac:dyDescent="0.25">
      <c r="A631" t="str">
        <f>+Tabla3[[#This Row],[Site]]&amp;Tabla3[[#This Row],[Split]]</f>
        <v>(PE) BMW of Greenwich (NO TOURS)9</v>
      </c>
      <c r="B631">
        <v>9</v>
      </c>
      <c r="C631">
        <v>4</v>
      </c>
      <c r="D631" t="s">
        <v>485</v>
      </c>
      <c r="E631" t="s">
        <v>35</v>
      </c>
      <c r="F631" t="s">
        <v>170</v>
      </c>
      <c r="G631" t="s">
        <v>490</v>
      </c>
      <c r="H631" s="52" t="str">
        <f>VLOOKUP(Tabla3[[#This Row],[Site]],'Important Info!'!$A$1:$J$135,10,FALSE)</f>
        <v>https://tools.sig.systems/site/details/186</v>
      </c>
      <c r="I631" s="43" t="s">
        <v>171</v>
      </c>
      <c r="J631" t="s">
        <v>41</v>
      </c>
      <c r="K631" s="79" t="str">
        <f>VLOOKUP(Tabla3[[#This Row],[Site]],'Important Info!'!$A$1:$H$135,8,FALSE)</f>
        <v>-</v>
      </c>
      <c r="L631" s="52" t="str">
        <f>VLOOKUP(Tabla3[[#This Row],[Site]],'Important Info!'!$A$1:$F$135,2,FALSE)</f>
        <v>1, 6, 15</v>
      </c>
      <c r="M631" s="52" t="str">
        <f>VLOOKUP(Tabla3[[#This Row],[Site]],'Important Info!'!$A$1:$F$135,3,FALSE)</f>
        <v>-</v>
      </c>
      <c r="N631" s="52" t="str">
        <f>VLOOKUP(Tabla3[[#This Row],[Site]],'Important Info!'!$A$1:$F$135,4,FALSE)</f>
        <v>-</v>
      </c>
      <c r="O631" s="52" t="str">
        <f>VLOOKUP(Tabla3[[#This Row],[Site]],'Important Info!'!$A$1:$F$135,5,FALSE)</f>
        <v>-</v>
      </c>
      <c r="P631" s="52">
        <f>VLOOKUP(Tabla3[[#This Row],[Site]],'Important Info!'!$A$1:$F$135,6,FALSE)</f>
        <v>12</v>
      </c>
      <c r="Q631" s="91">
        <f>VLOOKUP(Tabla3[[#This Row],[Site]],'Important Info!'!$A$1:$J$135,9,FALSE)</f>
        <v>186</v>
      </c>
    </row>
    <row r="632" spans="1:17" x14ac:dyDescent="0.25">
      <c r="A632" t="str">
        <f>+Tabla3[[#This Row],[Site]]&amp;Tabla3[[#This Row],[Split]]</f>
        <v>(RV) Toms Camperland Surprise (NO TOURS)9</v>
      </c>
      <c r="B632">
        <v>9</v>
      </c>
      <c r="C632">
        <v>4</v>
      </c>
      <c r="D632" t="s">
        <v>51</v>
      </c>
      <c r="E632" t="s">
        <v>161</v>
      </c>
      <c r="F632" t="s">
        <v>165</v>
      </c>
      <c r="G632" t="s">
        <v>52</v>
      </c>
      <c r="H632" s="52" t="str">
        <f>VLOOKUP(Tabla3[[#This Row],[Site]],'Important Info!'!$A$1:$J$135,10,FALSE)</f>
        <v>https://tools.sig.systems/site/details/254</v>
      </c>
      <c r="I632" s="43"/>
      <c r="J632" t="s">
        <v>52</v>
      </c>
      <c r="K632" s="79" t="str">
        <f>VLOOKUP(Tabla3[[#This Row],[Site]],'Important Info!'!$A$1:$H$135,8,FALSE)</f>
        <v>-</v>
      </c>
      <c r="L632" s="52" t="str">
        <f>VLOOKUP(Tabla3[[#This Row],[Site]],'Important Info!'!$A$1:$F$135,2,FALSE)</f>
        <v>1, 3, 4</v>
      </c>
      <c r="M632" s="52" t="str">
        <f>VLOOKUP(Tabla3[[#This Row],[Site]],'Important Info!'!$A$1:$F$135,3,FALSE)</f>
        <v>-</v>
      </c>
      <c r="N632" s="52" t="str">
        <f>VLOOKUP(Tabla3[[#This Row],[Site]],'Important Info!'!$A$1:$F$135,4,FALSE)</f>
        <v>-</v>
      </c>
      <c r="O632" s="52" t="str">
        <f>VLOOKUP(Tabla3[[#This Row],[Site]],'Important Info!'!$A$1:$F$135,5,FALSE)</f>
        <v>-</v>
      </c>
      <c r="P632" s="52" t="str">
        <f>VLOOKUP(Tabla3[[#This Row],[Site]],'Important Info!'!$A$1:$F$135,6,FALSE)</f>
        <v>1, 2, 3, 4, 15</v>
      </c>
      <c r="Q632" s="91">
        <f>VLOOKUP(Tabla3[[#This Row],[Site]],'Important Info!'!$A$1:$J$135,9,FALSE)</f>
        <v>254</v>
      </c>
    </row>
    <row r="633" spans="1:17" x14ac:dyDescent="0.25">
      <c r="A633" t="str">
        <f>+Tabla3[[#This Row],[Site]]&amp;Tabla3[[#This Row],[Split]]</f>
        <v>(AS) Coggin Acura Ft Pierce (NO TOURS)9</v>
      </c>
      <c r="B633">
        <v>9</v>
      </c>
      <c r="C633">
        <v>5</v>
      </c>
      <c r="D633" t="s">
        <v>62</v>
      </c>
      <c r="E633" t="s">
        <v>35</v>
      </c>
      <c r="F633" t="s">
        <v>500</v>
      </c>
      <c r="G633" t="s">
        <v>490</v>
      </c>
      <c r="H633" s="52" t="str">
        <f>VLOOKUP(Tabla3[[#This Row],[Site]],'Important Info!'!$A$1:$J$135,10,FALSE)</f>
        <v>https://tools.sig.systems/site/details/118</v>
      </c>
      <c r="I633" s="2" t="s">
        <v>179</v>
      </c>
      <c r="J633" t="s">
        <v>41</v>
      </c>
      <c r="K633" s="79" t="str">
        <f>VLOOKUP(Tabla3[[#This Row],[Site]],'Important Info!'!$A$1:$H$135,8,FALSE)</f>
        <v>-</v>
      </c>
      <c r="L633" s="52" t="str">
        <f>VLOOKUP(Tabla3[[#This Row],[Site]],'Important Info!'!$A$1:$F$135,2,FALSE)</f>
        <v>-</v>
      </c>
      <c r="M633" s="52">
        <f>VLOOKUP(Tabla3[[#This Row],[Site]],'Important Info!'!$A$1:$F$135,3,FALSE)</f>
        <v>6</v>
      </c>
      <c r="N633" s="52" t="str">
        <f>VLOOKUP(Tabla3[[#This Row],[Site]],'Important Info!'!$A$1:$F$135,4,FALSE)</f>
        <v>-</v>
      </c>
      <c r="O633" s="52" t="str">
        <f>VLOOKUP(Tabla3[[#This Row],[Site]],'Important Info!'!$A$1:$F$135,5,FALSE)</f>
        <v>4, 6</v>
      </c>
      <c r="P633" s="52">
        <f>VLOOKUP(Tabla3[[#This Row],[Site]],'Important Info!'!$A$1:$F$135,6,FALSE)</f>
        <v>1</v>
      </c>
      <c r="Q633" s="91">
        <f>VLOOKUP(Tabla3[[#This Row],[Site]],'Important Info!'!$A$1:$J$135,9,FALSE)</f>
        <v>118</v>
      </c>
    </row>
    <row r="634" spans="1:17" x14ac:dyDescent="0.25">
      <c r="A634" t="str">
        <f>+Tabla3[[#This Row],[Site]]&amp;Tabla3[[#This Row],[Split]]</f>
        <v>(AS) Park Place Acura (NO TOURS)9</v>
      </c>
      <c r="B634">
        <v>9</v>
      </c>
      <c r="C634">
        <v>5</v>
      </c>
      <c r="D634" t="s">
        <v>33</v>
      </c>
      <c r="E634" t="s">
        <v>46</v>
      </c>
      <c r="F634" t="s">
        <v>513</v>
      </c>
      <c r="G634" t="s">
        <v>34</v>
      </c>
      <c r="H634" s="52" t="str">
        <f>VLOOKUP(Tabla3[[#This Row],[Site]],'Important Info!'!$A$1:$J$135,10,FALSE)</f>
        <v>https://tools.sig.systems/site/details/259</v>
      </c>
      <c r="I634" s="63" t="s">
        <v>127</v>
      </c>
      <c r="J634" t="s">
        <v>41</v>
      </c>
      <c r="K634" s="79" t="str">
        <f>VLOOKUP(Tabla3[[#This Row],[Site]],'Important Info!'!$A$1:$H$135,8,FALSE)</f>
        <v>-</v>
      </c>
      <c r="L634" s="52" t="str">
        <f>VLOOKUP(Tabla3[[#This Row],[Site]],'Important Info!'!$A$1:$F$135,2,FALSE)</f>
        <v>1, 2, 14, 16</v>
      </c>
      <c r="M634" s="52" t="str">
        <f>VLOOKUP(Tabla3[[#This Row],[Site]],'Important Info!'!$A$1:$F$135,3,FALSE)</f>
        <v>-</v>
      </c>
      <c r="N634" s="52" t="str">
        <f>VLOOKUP(Tabla3[[#This Row],[Site]],'Important Info!'!$A$1:$F$135,4,FALSE)</f>
        <v>-</v>
      </c>
      <c r="O634" s="52" t="str">
        <f>VLOOKUP(Tabla3[[#This Row],[Site]],'Important Info!'!$A$1:$F$135,5,FALSE)</f>
        <v>1, 7, 13</v>
      </c>
      <c r="P634" s="52" t="str">
        <f>VLOOKUP(Tabla3[[#This Row],[Site]],'Important Info!'!$A$1:$F$135,6,FALSE)</f>
        <v>-</v>
      </c>
      <c r="Q634" s="91">
        <f>VLOOKUP(Tabla3[[#This Row],[Site]],'Important Info!'!$A$1:$J$135,9,FALSE)</f>
        <v>259</v>
      </c>
    </row>
    <row r="635" spans="1:17" x14ac:dyDescent="0.25">
      <c r="A635" t="str">
        <f>+Tabla3[[#This Row],[Site]]&amp;Tabla3[[#This Row],[Split]]</f>
        <v>(AS) Park Place Volvo Service Center (NO TOURS)9</v>
      </c>
      <c r="B635">
        <v>9</v>
      </c>
      <c r="C635">
        <v>5</v>
      </c>
      <c r="D635" t="s">
        <v>33</v>
      </c>
      <c r="E635" t="s">
        <v>46</v>
      </c>
      <c r="F635" t="s">
        <v>522</v>
      </c>
      <c r="G635" t="s">
        <v>34</v>
      </c>
      <c r="H635" s="52" t="str">
        <f>VLOOKUP(Tabla3[[#This Row],[Site]],'Important Info!'!$A$1:$J$135,10,FALSE)</f>
        <v>https://tools.sig.systems/site/details/171</v>
      </c>
      <c r="I635" s="65" t="s">
        <v>125</v>
      </c>
      <c r="J635" t="s">
        <v>41</v>
      </c>
      <c r="K635" s="79" t="str">
        <f>VLOOKUP(Tabla3[[#This Row],[Site]],'Important Info!'!$A$1:$H$135,8,FALSE)</f>
        <v>-</v>
      </c>
      <c r="L635" s="52" t="str">
        <f>VLOOKUP(Tabla3[[#This Row],[Site]],'Important Info!'!$A$1:$F$135,2,FALSE)</f>
        <v>3, 6, 9, 27, 31, 35</v>
      </c>
      <c r="M635" s="52" t="str">
        <f>VLOOKUP(Tabla3[[#This Row],[Site]],'Important Info!'!$A$1:$F$135,3,FALSE)</f>
        <v>-</v>
      </c>
      <c r="N635" s="52" t="str">
        <f>VLOOKUP(Tabla3[[#This Row],[Site]],'Important Info!'!$A$1:$F$135,4,FALSE)</f>
        <v>-</v>
      </c>
      <c r="O635" s="52" t="str">
        <f>VLOOKUP(Tabla3[[#This Row],[Site]],'Important Info!'!$A$1:$F$135,5,FALSE)</f>
        <v>27, 32</v>
      </c>
      <c r="P635" s="52" t="str">
        <f>VLOOKUP(Tabla3[[#This Row],[Site]],'Important Info!'!$A$1:$F$135,6,FALSE)</f>
        <v>-</v>
      </c>
      <c r="Q635" s="91">
        <f>VLOOKUP(Tabla3[[#This Row],[Site]],'Important Info!'!$A$1:$J$135,9,FALSE)</f>
        <v>171</v>
      </c>
    </row>
    <row r="636" spans="1:17" x14ac:dyDescent="0.25">
      <c r="A636" t="str">
        <f>+Tabla3[[#This Row],[Site]]&amp;Tabla3[[#This Row],[Split]]</f>
        <v>(AS) Stevinson Porsche of Littleton (NO TOURS)9</v>
      </c>
      <c r="B636">
        <v>9</v>
      </c>
      <c r="C636">
        <v>5</v>
      </c>
      <c r="D636" t="s">
        <v>44</v>
      </c>
      <c r="E636" t="s">
        <v>53</v>
      </c>
      <c r="F636" t="s">
        <v>78</v>
      </c>
      <c r="G636" t="s">
        <v>45</v>
      </c>
      <c r="H636" s="52" t="str">
        <f>VLOOKUP(Tabla3[[#This Row],[Site]],'Important Info!'!$A$1:$J$135,10,FALSE)</f>
        <v>https://tools.sig.systems/site/details/242</v>
      </c>
      <c r="I636" s="43"/>
      <c r="J636" t="s">
        <v>41</v>
      </c>
      <c r="K636" s="79" t="str">
        <f>VLOOKUP(Tabla3[[#This Row],[Site]],'Important Info!'!$A$1:$H$135,8,FALSE)</f>
        <v>-</v>
      </c>
      <c r="L636" s="52" t="str">
        <f>VLOOKUP(Tabla3[[#This Row],[Site]],'Important Info!'!$A$1:$F$135,2,FALSE)</f>
        <v>3, 4</v>
      </c>
      <c r="M636" s="52">
        <f>VLOOKUP(Tabla3[[#This Row],[Site]],'Important Info!'!$A$1:$F$135,3,FALSE)</f>
        <v>2</v>
      </c>
      <c r="N636" s="52" t="str">
        <f>VLOOKUP(Tabla3[[#This Row],[Site]],'Important Info!'!$A$1:$F$135,4,FALSE)</f>
        <v>-</v>
      </c>
      <c r="O636" s="52" t="str">
        <f>VLOOKUP(Tabla3[[#This Row],[Site]],'Important Info!'!$A$1:$F$135,5,FALSE)</f>
        <v>-</v>
      </c>
      <c r="P636" s="52" t="str">
        <f>VLOOKUP(Tabla3[[#This Row],[Site]],'Important Info!'!$A$1:$F$135,6,FALSE)</f>
        <v>3, 4</v>
      </c>
      <c r="Q636" s="91">
        <f>VLOOKUP(Tabla3[[#This Row],[Site]],'Important Info!'!$A$1:$J$135,9,FALSE)</f>
        <v>242</v>
      </c>
    </row>
    <row r="637" spans="1:17" x14ac:dyDescent="0.25">
      <c r="A637" t="str">
        <f>+Tabla3[[#This Row],[Site]]&amp;Tabla3[[#This Row],[Split]]</f>
        <v>(HUD) Honda of Southpoint9</v>
      </c>
      <c r="B637">
        <v>9</v>
      </c>
      <c r="C637">
        <v>5</v>
      </c>
      <c r="D637" t="s">
        <v>62</v>
      </c>
      <c r="E637" t="s">
        <v>35</v>
      </c>
      <c r="F637" t="s">
        <v>65</v>
      </c>
      <c r="G637" t="s">
        <v>490</v>
      </c>
      <c r="H637" s="52" t="str">
        <f>VLOOKUP(Tabla3[[#This Row],[Site]],'Important Info!'!$A$1:$J$135,10,FALSE)</f>
        <v>https://tools.sig.systems/site/details/195</v>
      </c>
      <c r="J637" t="s">
        <v>484</v>
      </c>
      <c r="K637" s="79" t="str">
        <f>VLOOKUP(Tabla3[[#This Row],[Site]],'Important Info!'!$A$1:$H$135,8,FALSE)</f>
        <v>-</v>
      </c>
      <c r="L637" s="52" t="str">
        <f>VLOOKUP(Tabla3[[#This Row],[Site]],'Important Info!'!$A$1:$F$135,2,FALSE)</f>
        <v>2, 12, 18</v>
      </c>
      <c r="M637" s="52">
        <f>VLOOKUP(Tabla3[[#This Row],[Site]],'Important Info!'!$A$1:$F$135,3,FALSE)</f>
        <v>13</v>
      </c>
      <c r="N637" s="52" t="str">
        <f>VLOOKUP(Tabla3[[#This Row],[Site]],'Important Info!'!$A$1:$F$135,4,FALSE)</f>
        <v>-</v>
      </c>
      <c r="O637" s="52" t="str">
        <f>VLOOKUP(Tabla3[[#This Row],[Site]],'Important Info!'!$A$1:$F$135,5,FALSE)</f>
        <v>2, 15</v>
      </c>
      <c r="P637" s="52" t="str">
        <f>VLOOKUP(Tabla3[[#This Row],[Site]],'Important Info!'!$A$1:$F$135,6,FALSE)</f>
        <v>-</v>
      </c>
      <c r="Q637" s="91">
        <f>VLOOKUP(Tabla3[[#This Row],[Site]],'Important Info!'!$A$1:$J$135,9,FALSE)</f>
        <v>195</v>
      </c>
    </row>
    <row r="638" spans="1:17" x14ac:dyDescent="0.25">
      <c r="A638" t="str">
        <f>+Tabla3[[#This Row],[Site]]&amp;Tabla3[[#This Row],[Split]]</f>
        <v>(KG) Big Star CDJR of Clear Lake9</v>
      </c>
      <c r="B638">
        <v>9</v>
      </c>
      <c r="C638">
        <v>5</v>
      </c>
      <c r="D638" t="s">
        <v>33</v>
      </c>
      <c r="E638" t="s">
        <v>46</v>
      </c>
      <c r="F638" t="s">
        <v>133</v>
      </c>
      <c r="G638" t="s">
        <v>34</v>
      </c>
      <c r="H638" s="52" t="str">
        <f>VLOOKUP(Tabla3[[#This Row],[Site]],'Important Info!'!$A$1:$J$135,10,FALSE)</f>
        <v>https://tools.sig.systems/site/details/232</v>
      </c>
      <c r="I638" s="43" t="s">
        <v>134</v>
      </c>
      <c r="J638" t="s">
        <v>41</v>
      </c>
      <c r="K638" s="79" t="str">
        <f>VLOOKUP(Tabla3[[#This Row],[Site]],'Important Info!'!$A$1:$H$135,8,FALSE)</f>
        <v>-</v>
      </c>
      <c r="L638" s="52" t="str">
        <f>VLOOKUP(Tabla3[[#This Row],[Site]],'Important Info!'!$A$1:$F$135,2,FALSE)</f>
        <v>8, 25</v>
      </c>
      <c r="M638" s="52" t="str">
        <f>VLOOKUP(Tabla3[[#This Row],[Site]],'Important Info!'!$A$1:$F$135,3,FALSE)</f>
        <v>-</v>
      </c>
      <c r="N638" s="52" t="str">
        <f>VLOOKUP(Tabla3[[#This Row],[Site]],'Important Info!'!$A$1:$F$135,4,FALSE)</f>
        <v>-</v>
      </c>
      <c r="O638" s="52" t="str">
        <f>VLOOKUP(Tabla3[[#This Row],[Site]],'Important Info!'!$A$1:$F$135,5,FALSE)</f>
        <v>7, 13, 19, 24</v>
      </c>
      <c r="P638" s="52" t="str">
        <f>VLOOKUP(Tabla3[[#This Row],[Site]],'Important Info!'!$A$1:$F$135,6,FALSE)</f>
        <v>6, 8, 25, 31</v>
      </c>
      <c r="Q638" s="91">
        <f>VLOOKUP(Tabla3[[#This Row],[Site]],'Important Info!'!$A$1:$J$135,9,FALSE)</f>
        <v>232</v>
      </c>
    </row>
    <row r="639" spans="1:17" x14ac:dyDescent="0.25">
      <c r="A639" t="str">
        <f>+Tabla3[[#This Row],[Site]]&amp;Tabla3[[#This Row],[Split]]</f>
        <v>(ML) Joe Machens Nissan9</v>
      </c>
      <c r="B639">
        <v>9</v>
      </c>
      <c r="C639">
        <v>5</v>
      </c>
      <c r="D639" t="s">
        <v>33</v>
      </c>
      <c r="E639" t="s">
        <v>46</v>
      </c>
      <c r="F639" t="s">
        <v>104</v>
      </c>
      <c r="G639" t="s">
        <v>34</v>
      </c>
      <c r="H639" s="52" t="str">
        <f>VLOOKUP(Tabla3[[#This Row],[Site]],'Important Info!'!$A$1:$J$135,10,FALSE)</f>
        <v>https://tools.sig.systems/site/details/279</v>
      </c>
      <c r="I639" s="43" t="s">
        <v>146</v>
      </c>
      <c r="J639" t="s">
        <v>41</v>
      </c>
      <c r="K639" s="79" t="str">
        <f>VLOOKUP(Tabla3[[#This Row],[Site]],'Important Info!'!$A$1:$H$135,8,FALSE)</f>
        <v>-</v>
      </c>
      <c r="L639" s="52" t="str">
        <f>VLOOKUP(Tabla3[[#This Row],[Site]],'Important Info!'!$A$1:$F$135,2,FALSE)</f>
        <v>-</v>
      </c>
      <c r="M639" s="52" t="str">
        <f>VLOOKUP(Tabla3[[#This Row],[Site]],'Important Info!'!$A$1:$F$135,3,FALSE)</f>
        <v>1, 3, 16</v>
      </c>
      <c r="N639" s="52" t="str">
        <f>VLOOKUP(Tabla3[[#This Row],[Site]],'Important Info!'!$A$1:$F$135,4,FALSE)</f>
        <v>-</v>
      </c>
      <c r="O639" s="52" t="str">
        <f>VLOOKUP(Tabla3[[#This Row],[Site]],'Important Info!'!$A$1:$F$135,5,FALSE)</f>
        <v>-</v>
      </c>
      <c r="P639" s="52" t="str">
        <f>VLOOKUP(Tabla3[[#This Row],[Site]],'Important Info!'!$A$1:$F$135,6,FALSE)</f>
        <v>-</v>
      </c>
      <c r="Q639" s="91">
        <f>VLOOKUP(Tabla3[[#This Row],[Site]],'Important Info!'!$A$1:$J$135,9,FALSE)</f>
        <v>279</v>
      </c>
    </row>
    <row r="640" spans="1:17" x14ac:dyDescent="0.25">
      <c r="A640" t="str">
        <f>+Tabla3[[#This Row],[Site]]&amp;Tabla3[[#This Row],[Split]]</f>
        <v>(ML) Nissan of Little Rock9</v>
      </c>
      <c r="B640">
        <v>9</v>
      </c>
      <c r="C640">
        <v>5</v>
      </c>
      <c r="D640" t="s">
        <v>33</v>
      </c>
      <c r="E640" t="s">
        <v>46</v>
      </c>
      <c r="F640" t="s">
        <v>152</v>
      </c>
      <c r="G640" t="s">
        <v>34</v>
      </c>
      <c r="H640" s="52" t="str">
        <f>VLOOKUP(Tabla3[[#This Row],[Site]],'Important Info!'!$A$1:$J$135,10,FALSE)</f>
        <v>https://tools.sig.systems/site/details/224</v>
      </c>
      <c r="I640" t="s">
        <v>140</v>
      </c>
      <c r="J640" t="s">
        <v>41</v>
      </c>
      <c r="K640" s="79" t="str">
        <f>VLOOKUP(Tabla3[[#This Row],[Site]],'Important Info!'!$A$1:$H$135,8,FALSE)</f>
        <v>-</v>
      </c>
      <c r="L640" s="52" t="str">
        <f>VLOOKUP(Tabla3[[#This Row],[Site]],'Important Info!'!$A$1:$F$135,2,FALSE)</f>
        <v>3, 6</v>
      </c>
      <c r="M640" s="52" t="str">
        <f>VLOOKUP(Tabla3[[#This Row],[Site]],'Important Info!'!$A$1:$F$135,3,FALSE)</f>
        <v>-</v>
      </c>
      <c r="N640" s="52" t="str">
        <f>VLOOKUP(Tabla3[[#This Row],[Site]],'Important Info!'!$A$1:$F$135,4,FALSE)</f>
        <v>-</v>
      </c>
      <c r="O640" s="52" t="str">
        <f>VLOOKUP(Tabla3[[#This Row],[Site]],'Important Info!'!$A$1:$F$135,5,FALSE)</f>
        <v>1, 8, 16, 22</v>
      </c>
      <c r="P640" s="52" t="str">
        <f>VLOOKUP(Tabla3[[#This Row],[Site]],'Important Info!'!$A$1:$F$135,6,FALSE)</f>
        <v>3, 4</v>
      </c>
      <c r="Q640" s="91">
        <f>VLOOKUP(Tabla3[[#This Row],[Site]],'Important Info!'!$A$1:$J$135,9,FALSE)</f>
        <v>224</v>
      </c>
    </row>
    <row r="641" spans="1:17" x14ac:dyDescent="0.25">
      <c r="A641" t="str">
        <f>+Tabla3[[#This Row],[Site]]&amp;Tabla3[[#This Row],[Split]]</f>
        <v>(PE) BMW of Mamaroneck (NO TOURS)9</v>
      </c>
      <c r="B641">
        <v>9</v>
      </c>
      <c r="C641">
        <v>5</v>
      </c>
      <c r="D641" t="s">
        <v>485</v>
      </c>
      <c r="E641" t="s">
        <v>35</v>
      </c>
      <c r="F641" t="s">
        <v>172</v>
      </c>
      <c r="G641" t="s">
        <v>490</v>
      </c>
      <c r="H641" s="52" t="str">
        <f>VLOOKUP(Tabla3[[#This Row],[Site]],'Important Info!'!$A$1:$J$135,10,FALSE)</f>
        <v>https://tools.sig.systems/site/details/185</v>
      </c>
      <c r="I641" s="43"/>
      <c r="J641" t="s">
        <v>41</v>
      </c>
      <c r="K641" s="79" t="str">
        <f>VLOOKUP(Tabla3[[#This Row],[Site]],'Important Info!'!$A$1:$H$135,8,FALSE)</f>
        <v>-</v>
      </c>
      <c r="L641" s="52">
        <f>VLOOKUP(Tabla3[[#This Row],[Site]],'Important Info!'!$A$1:$F$135,2,FALSE)</f>
        <v>9</v>
      </c>
      <c r="M641" s="52" t="str">
        <f>VLOOKUP(Tabla3[[#This Row],[Site]],'Important Info!'!$A$1:$F$135,3,FALSE)</f>
        <v>2, 3, 4, 5</v>
      </c>
      <c r="N641" s="52" t="str">
        <f>VLOOKUP(Tabla3[[#This Row],[Site]],'Important Info!'!$A$1:$F$135,4,FALSE)</f>
        <v>-</v>
      </c>
      <c r="O641" s="52" t="str">
        <f>VLOOKUP(Tabla3[[#This Row],[Site]],'Important Info!'!$A$1:$F$135,5,FALSE)</f>
        <v>-</v>
      </c>
      <c r="P641" s="52" t="str">
        <f>VLOOKUP(Tabla3[[#This Row],[Site]],'Important Info!'!$A$1:$F$135,6,FALSE)</f>
        <v>4, 6, 7, 8</v>
      </c>
      <c r="Q641" s="91">
        <f>VLOOKUP(Tabla3[[#This Row],[Site]],'Important Info!'!$A$1:$J$135,9,FALSE)</f>
        <v>185</v>
      </c>
    </row>
    <row r="642" spans="1:17" x14ac:dyDescent="0.25">
      <c r="A642" t="str">
        <f>+Tabla3[[#This Row],[Site]]&amp;Tabla3[[#This Row],[Split]]</f>
        <v>(RV) Toms Camperland Mesa (NO TOURS)9</v>
      </c>
      <c r="B642">
        <v>9</v>
      </c>
      <c r="C642">
        <v>5</v>
      </c>
      <c r="D642" t="s">
        <v>51</v>
      </c>
      <c r="E642" t="s">
        <v>161</v>
      </c>
      <c r="F642" t="s">
        <v>81</v>
      </c>
      <c r="G642" t="s">
        <v>52</v>
      </c>
      <c r="H642" s="52" t="str">
        <f>VLOOKUP(Tabla3[[#This Row],[Site]],'Important Info!'!$A$1:$J$135,10,FALSE)</f>
        <v>https://tools.sig.systems/site/details/222</v>
      </c>
      <c r="I642" s="43"/>
      <c r="J642" t="s">
        <v>41</v>
      </c>
      <c r="K642" s="79" t="str">
        <f>VLOOKUP(Tabla3[[#This Row],[Site]],'Important Info!'!$A$1:$H$135,8,FALSE)</f>
        <v>-</v>
      </c>
      <c r="L642" s="52" t="str">
        <f>VLOOKUP(Tabla3[[#This Row],[Site]],'Important Info!'!$A$1:$F$135,2,FALSE)</f>
        <v>1, 2</v>
      </c>
      <c r="M642" s="52" t="str">
        <f>VLOOKUP(Tabla3[[#This Row],[Site]],'Important Info!'!$A$1:$F$135,3,FALSE)</f>
        <v>-</v>
      </c>
      <c r="N642" s="52" t="str">
        <f>VLOOKUP(Tabla3[[#This Row],[Site]],'Important Info!'!$A$1:$F$135,4,FALSE)</f>
        <v>-</v>
      </c>
      <c r="O642" s="52" t="str">
        <f>VLOOKUP(Tabla3[[#This Row],[Site]],'Important Info!'!$A$1:$F$135,5,FALSE)</f>
        <v>-</v>
      </c>
      <c r="P642" s="52" t="str">
        <f>VLOOKUP(Tabla3[[#This Row],[Site]],'Important Info!'!$A$1:$F$135,6,FALSE)</f>
        <v>1, 4, 6, 8, 10, 18</v>
      </c>
      <c r="Q642" s="91">
        <f>VLOOKUP(Tabla3[[#This Row],[Site]],'Important Info!'!$A$1:$J$135,9,FALSE)</f>
        <v>222</v>
      </c>
    </row>
    <row r="643" spans="1:17" x14ac:dyDescent="0.25">
      <c r="A643" t="str">
        <f>+Tabla3[[#This Row],[Site]]&amp;Tabla3[[#This Row],[Split]]</f>
        <v>(SCH) West Palm Beach I, II &amp; III9</v>
      </c>
      <c r="B643">
        <v>9</v>
      </c>
      <c r="C643">
        <v>5</v>
      </c>
      <c r="D643" t="s">
        <v>492</v>
      </c>
      <c r="E643" t="s">
        <v>35</v>
      </c>
      <c r="F643" t="s">
        <v>96</v>
      </c>
      <c r="G643" t="s">
        <v>490</v>
      </c>
      <c r="H643" s="52" t="str">
        <f>VLOOKUP(Tabla3[[#This Row],[Site]],'Important Info!'!$A$1:$J$135,10,FALSE)</f>
        <v>https://tools.sig.systems/site/details/162</v>
      </c>
      <c r="J643" t="s">
        <v>36</v>
      </c>
      <c r="K643" s="79" t="str">
        <f>VLOOKUP(Tabla3[[#This Row],[Site]],'Important Info!'!$A$1:$H$135,8,FALSE)</f>
        <v>SUNDAY: Log in at 5:30 p.m. ET.</v>
      </c>
      <c r="L643" s="52" t="str">
        <f>VLOOKUP(Tabla3[[#This Row],[Site]],'Important Info!'!$A$1:$F$135,2,FALSE)</f>
        <v>34, 62</v>
      </c>
      <c r="M643" s="52" t="str">
        <f>VLOOKUP(Tabla3[[#This Row],[Site]],'Important Info!'!$A$1:$F$135,3,FALSE)</f>
        <v xml:space="preserve">6, 7, 11, 13, </v>
      </c>
      <c r="N643" s="52" t="str">
        <f>VLOOKUP(Tabla3[[#This Row],[Site]],'Important Info!'!$A$1:$F$135,4,FALSE)</f>
        <v>20, 21</v>
      </c>
      <c r="O643" s="52" t="str">
        <f>VLOOKUP(Tabla3[[#This Row],[Site]],'Important Info!'!$A$1:$F$135,5,FALSE)</f>
        <v>-</v>
      </c>
      <c r="P643" s="52" t="str">
        <f>VLOOKUP(Tabla3[[#This Row],[Site]],'Important Info!'!$A$1:$F$135,6,FALSE)</f>
        <v>1, 2, 3, 131, 132</v>
      </c>
      <c r="Q643" s="91">
        <f>VLOOKUP(Tabla3[[#This Row],[Site]],'Important Info!'!$A$1:$J$135,9,FALSE)</f>
        <v>162</v>
      </c>
    </row>
    <row r="644" spans="1:17" x14ac:dyDescent="0.25">
      <c r="A644" t="str">
        <f>+Tabla3[[#This Row],[Site]]&amp;Tabla3[[#This Row],[Split]]</f>
        <v>(AS) Lexus Smyrna (NO TOURS)9</v>
      </c>
      <c r="B644">
        <v>9</v>
      </c>
      <c r="C644">
        <v>6</v>
      </c>
      <c r="D644" t="s">
        <v>62</v>
      </c>
      <c r="E644" t="s">
        <v>35</v>
      </c>
      <c r="F644" t="s">
        <v>84</v>
      </c>
      <c r="G644" t="s">
        <v>490</v>
      </c>
      <c r="H644" s="52" t="str">
        <f>VLOOKUP(Tabla3[[#This Row],[Site]],'Important Info!'!$A$1:$J$135,10,FALSE)</f>
        <v>https://tools.sig.systems/site/details/133</v>
      </c>
      <c r="J644" t="s">
        <v>41</v>
      </c>
      <c r="K644" s="79" t="str">
        <f>VLOOKUP(Tabla3[[#This Row],[Site]],'Important Info!'!$A$1:$H$135,8,FALSE)</f>
        <v>-</v>
      </c>
      <c r="L644" s="52" t="str">
        <f>VLOOKUP(Tabla3[[#This Row],[Site]],'Important Info!'!$A$1:$F$135,2,FALSE)</f>
        <v xml:space="preserve">2, 6, 10 </v>
      </c>
      <c r="M644" s="52" t="str">
        <f>VLOOKUP(Tabla3[[#This Row],[Site]],'Important Info!'!$A$1:$F$135,3,FALSE)</f>
        <v>-</v>
      </c>
      <c r="N644" s="52" t="str">
        <f>VLOOKUP(Tabla3[[#This Row],[Site]],'Important Info!'!$A$1:$F$135,4,FALSE)</f>
        <v>-</v>
      </c>
      <c r="O644" s="52" t="str">
        <f>VLOOKUP(Tabla3[[#This Row],[Site]],'Important Info!'!$A$1:$F$135,5,FALSE)</f>
        <v>3, 5, 10, 15</v>
      </c>
      <c r="P644" s="52" t="str">
        <f>VLOOKUP(Tabla3[[#This Row],[Site]],'Important Info!'!$A$1:$F$135,6,FALSE)</f>
        <v>10, 11</v>
      </c>
      <c r="Q644" s="91">
        <f>VLOOKUP(Tabla3[[#This Row],[Site]],'Important Info!'!$A$1:$J$135,9,FALSE)</f>
        <v>133</v>
      </c>
    </row>
    <row r="645" spans="1:17" x14ac:dyDescent="0.25">
      <c r="A645" t="str">
        <f>+Tabla3[[#This Row],[Site]]&amp;Tabla3[[#This Row],[Split]]</f>
        <v>(AS) Nalley BMW Collision Center (NO TOURS)9</v>
      </c>
      <c r="B645">
        <v>9</v>
      </c>
      <c r="C645">
        <v>6</v>
      </c>
      <c r="D645" t="s">
        <v>62</v>
      </c>
      <c r="E645" t="s">
        <v>35</v>
      </c>
      <c r="F645" t="s">
        <v>510</v>
      </c>
      <c r="G645" t="s">
        <v>490</v>
      </c>
      <c r="H645" s="52" t="str">
        <f>VLOOKUP(Tabla3[[#This Row],[Site]],'Important Info!'!$A$1:$J$135,10,FALSE)</f>
        <v>https://tools.sig.systems/site/details/220</v>
      </c>
      <c r="I645" s="2"/>
      <c r="J645" t="s">
        <v>41</v>
      </c>
      <c r="K645" s="79" t="str">
        <f>VLOOKUP(Tabla3[[#This Row],[Site]],'Important Info!'!$A$1:$H$135,8,FALSE)</f>
        <v>-</v>
      </c>
      <c r="L645" s="52" t="str">
        <f>VLOOKUP(Tabla3[[#This Row],[Site]],'Important Info!'!$A$1:$F$135,2,FALSE)</f>
        <v>-</v>
      </c>
      <c r="M645" s="52">
        <f>VLOOKUP(Tabla3[[#This Row],[Site]],'Important Info!'!$A$1:$F$135,3,FALSE)</f>
        <v>4</v>
      </c>
      <c r="N645" s="52" t="str">
        <f>VLOOKUP(Tabla3[[#This Row],[Site]],'Important Info!'!$A$1:$F$135,4,FALSE)</f>
        <v>-</v>
      </c>
      <c r="O645" s="52">
        <f>VLOOKUP(Tabla3[[#This Row],[Site]],'Important Info!'!$A$1:$F$135,5,FALSE)</f>
        <v>12</v>
      </c>
      <c r="P645" s="52" t="str">
        <f>VLOOKUP(Tabla3[[#This Row],[Site]],'Important Info!'!$A$1:$F$135,6,FALSE)</f>
        <v>13, 15</v>
      </c>
      <c r="Q645" s="91">
        <f>VLOOKUP(Tabla3[[#This Row],[Site]],'Important Info!'!$A$1:$J$135,9,FALSE)</f>
        <v>220</v>
      </c>
    </row>
    <row r="646" spans="1:17" x14ac:dyDescent="0.25">
      <c r="A646" t="str">
        <f>+Tabla3[[#This Row],[Site]]&amp;Tabla3[[#This Row],[Split]]</f>
        <v>(AS) Park Place Bodywerks Dallas (NO TOURS)9</v>
      </c>
      <c r="B646">
        <v>9</v>
      </c>
      <c r="C646">
        <v>6</v>
      </c>
      <c r="D646" t="s">
        <v>33</v>
      </c>
      <c r="E646" t="s">
        <v>46</v>
      </c>
      <c r="F646" t="s">
        <v>514</v>
      </c>
      <c r="G646" t="s">
        <v>34</v>
      </c>
      <c r="H646" s="52" t="str">
        <f>VLOOKUP(Tabla3[[#This Row],[Site]],'Important Info!'!$A$1:$J$135,10,FALSE)</f>
        <v>https://tools.sig.systems/site/details/166</v>
      </c>
      <c r="I646" s="65" t="s">
        <v>125</v>
      </c>
      <c r="J646" t="s">
        <v>41</v>
      </c>
      <c r="K646" s="79" t="str">
        <f>VLOOKUP(Tabla3[[#This Row],[Site]],'Important Info!'!$A$1:$H$135,8,FALSE)</f>
        <v>-</v>
      </c>
      <c r="L646" s="52">
        <f>VLOOKUP(Tabla3[[#This Row],[Site]],'Important Info!'!$A$1:$F$135,2,FALSE)</f>
        <v>3</v>
      </c>
      <c r="M646" s="52">
        <f>VLOOKUP(Tabla3[[#This Row],[Site]],'Important Info!'!$A$1:$F$135,3,FALSE)</f>
        <v>1</v>
      </c>
      <c r="N646" s="52" t="str">
        <f>VLOOKUP(Tabla3[[#This Row],[Site]],'Important Info!'!$A$1:$F$135,4,FALSE)</f>
        <v>-</v>
      </c>
      <c r="O646" s="52" t="str">
        <f>VLOOKUP(Tabla3[[#This Row],[Site]],'Important Info!'!$A$1:$F$135,5,FALSE)</f>
        <v>-</v>
      </c>
      <c r="P646" s="52" t="str">
        <f>VLOOKUP(Tabla3[[#This Row],[Site]],'Important Info!'!$A$1:$F$135,6,FALSE)</f>
        <v>1, 2, 8</v>
      </c>
      <c r="Q646" s="91">
        <f>VLOOKUP(Tabla3[[#This Row],[Site]],'Important Info!'!$A$1:$J$135,9,FALSE)</f>
        <v>166</v>
      </c>
    </row>
    <row r="647" spans="1:17" x14ac:dyDescent="0.25">
      <c r="A647" t="str">
        <f>+Tabla3[[#This Row],[Site]]&amp;Tabla3[[#This Row],[Split]]</f>
        <v>(AS) Park Place Volvo Sales (NO TOURS)9</v>
      </c>
      <c r="B647">
        <v>9</v>
      </c>
      <c r="C647">
        <v>6</v>
      </c>
      <c r="D647" t="s">
        <v>33</v>
      </c>
      <c r="E647" t="s">
        <v>46</v>
      </c>
      <c r="F647" t="s">
        <v>521</v>
      </c>
      <c r="G647" t="s">
        <v>34</v>
      </c>
      <c r="H647" s="52" t="str">
        <f>VLOOKUP(Tabla3[[#This Row],[Site]],'Important Info!'!$A$1:$J$135,10,FALSE)</f>
        <v>https://tools.sig.systems/site/details/139</v>
      </c>
      <c r="I647" s="65" t="s">
        <v>125</v>
      </c>
      <c r="J647" t="s">
        <v>41</v>
      </c>
      <c r="K647" s="79" t="str">
        <f>VLOOKUP(Tabla3[[#This Row],[Site]],'Important Info!'!$A$1:$H$135,8,FALSE)</f>
        <v>-</v>
      </c>
      <c r="L647" s="52" t="str">
        <f>VLOOKUP(Tabla3[[#This Row],[Site]],'Important Info!'!$A$1:$F$135,2,FALSE)</f>
        <v>4, 6, 9, 11</v>
      </c>
      <c r="M647" s="52" t="str">
        <f>VLOOKUP(Tabla3[[#This Row],[Site]],'Important Info!'!$A$1:$F$135,3,FALSE)</f>
        <v>-</v>
      </c>
      <c r="N647" s="52" t="str">
        <f>VLOOKUP(Tabla3[[#This Row],[Site]],'Important Info!'!$A$1:$F$135,4,FALSE)</f>
        <v>-</v>
      </c>
      <c r="O647" s="52" t="str">
        <f>VLOOKUP(Tabla3[[#This Row],[Site]],'Important Info!'!$A$1:$F$135,5,FALSE)</f>
        <v>2, 9</v>
      </c>
      <c r="P647" s="52" t="str">
        <f>VLOOKUP(Tabla3[[#This Row],[Site]],'Important Info!'!$A$1:$F$135,6,FALSE)</f>
        <v>4, 10, 11</v>
      </c>
      <c r="Q647" s="91">
        <f>VLOOKUP(Tabla3[[#This Row],[Site]],'Important Info!'!$A$1:$J$135,9,FALSE)</f>
        <v>139</v>
      </c>
    </row>
    <row r="648" spans="1:17" x14ac:dyDescent="0.25">
      <c r="A648" t="str">
        <f>+Tabla3[[#This Row],[Site]]&amp;Tabla3[[#This Row],[Split]]</f>
        <v>(AS) Stevinson Toyota West (NO TOURS)9</v>
      </c>
      <c r="B648">
        <v>9</v>
      </c>
      <c r="C648">
        <v>6</v>
      </c>
      <c r="D648" t="s">
        <v>44</v>
      </c>
      <c r="E648" t="s">
        <v>53</v>
      </c>
      <c r="F648" t="s">
        <v>79</v>
      </c>
      <c r="G648" t="s">
        <v>45</v>
      </c>
      <c r="H648" s="52" t="str">
        <f>VLOOKUP(Tabla3[[#This Row],[Site]],'Important Info!'!$A$1:$J$135,10,FALSE)</f>
        <v>https://tools.sig.systems/site/details/240</v>
      </c>
      <c r="I648" s="43" t="s">
        <v>154</v>
      </c>
      <c r="J648" t="s">
        <v>41</v>
      </c>
      <c r="K648" s="79" t="str">
        <f>VLOOKUP(Tabla3[[#This Row],[Site]],'Important Info!'!$A$1:$H$135,8,FALSE)</f>
        <v>-</v>
      </c>
      <c r="L648" s="52" t="str">
        <f>VLOOKUP(Tabla3[[#This Row],[Site]],'Important Info!'!$A$1:$F$135,2,FALSE)</f>
        <v>-</v>
      </c>
      <c r="M648" s="52" t="str">
        <f>VLOOKUP(Tabla3[[#This Row],[Site]],'Important Info!'!$A$1:$F$135,3,FALSE)</f>
        <v>7, 18, 21</v>
      </c>
      <c r="N648" s="52" t="str">
        <f>VLOOKUP(Tabla3[[#This Row],[Site]],'Important Info!'!$A$1:$F$135,4,FALSE)</f>
        <v>-</v>
      </c>
      <c r="O648" s="52" t="str">
        <f>VLOOKUP(Tabla3[[#This Row],[Site]],'Important Info!'!$A$1:$F$135,5,FALSE)</f>
        <v>11, 24, 34</v>
      </c>
      <c r="P648" s="52" t="str">
        <f>VLOOKUP(Tabla3[[#This Row],[Site]],'Important Info!'!$A$1:$F$135,6,FALSE)</f>
        <v>1, 2, 3, 12</v>
      </c>
      <c r="Q648" s="91">
        <f>VLOOKUP(Tabla3[[#This Row],[Site]],'Important Info!'!$A$1:$J$135,9,FALSE)</f>
        <v>240</v>
      </c>
    </row>
    <row r="649" spans="1:17" x14ac:dyDescent="0.25">
      <c r="A649" t="str">
        <f>+Tabla3[[#This Row],[Site]]&amp;Tabla3[[#This Row],[Split]]</f>
        <v>(DT) Wichita9</v>
      </c>
      <c r="B649">
        <v>9</v>
      </c>
      <c r="C649">
        <v>6</v>
      </c>
      <c r="D649" t="s">
        <v>33</v>
      </c>
      <c r="E649" t="s">
        <v>46</v>
      </c>
      <c r="F649" t="s">
        <v>131</v>
      </c>
      <c r="G649" t="s">
        <v>34</v>
      </c>
      <c r="H649" s="52" t="str">
        <f>VLOOKUP(Tabla3[[#This Row],[Site]],'Important Info!'!$A$1:$J$135,10,FALSE)</f>
        <v>https://tools.sig.systems/site/details/257</v>
      </c>
      <c r="J649" t="s">
        <v>41</v>
      </c>
      <c r="K649" s="79" t="str">
        <f>VLOOKUP(Tabla3[[#This Row],[Site]],'Important Info!'!$A$1:$H$135,8,FALSE)</f>
        <v>-</v>
      </c>
      <c r="L649" s="52" t="str">
        <f>VLOOKUP(Tabla3[[#This Row],[Site]],'Important Info!'!$A$1:$F$135,2,FALSE)</f>
        <v>-</v>
      </c>
      <c r="M649" s="52" t="str">
        <f>VLOOKUP(Tabla3[[#This Row],[Site]],'Important Info!'!$A$1:$F$135,3,FALSE)</f>
        <v>10, 11</v>
      </c>
      <c r="N649" s="52" t="str">
        <f>VLOOKUP(Tabla3[[#This Row],[Site]],'Important Info!'!$A$1:$F$135,4,FALSE)</f>
        <v>-</v>
      </c>
      <c r="O649" s="52" t="str">
        <f>VLOOKUP(Tabla3[[#This Row],[Site]],'Important Info!'!$A$1:$F$135,5,FALSE)</f>
        <v>-</v>
      </c>
      <c r="P649" s="52" t="str">
        <f>VLOOKUP(Tabla3[[#This Row],[Site]],'Important Info!'!$A$1:$F$135,6,FALSE)</f>
        <v>1, 5, 6, 10</v>
      </c>
      <c r="Q649" s="91">
        <f>VLOOKUP(Tabla3[[#This Row],[Site]],'Important Info!'!$A$1:$J$135,9,FALSE)</f>
        <v>257</v>
      </c>
    </row>
    <row r="650" spans="1:17" x14ac:dyDescent="0.25">
      <c r="A650" t="str">
        <f>+Tabla3[[#This Row],[Site]]&amp;Tabla3[[#This Row],[Split]]</f>
        <v>(HUD) Nissan Greensboro9</v>
      </c>
      <c r="B650">
        <v>9</v>
      </c>
      <c r="C650">
        <v>6</v>
      </c>
      <c r="D650" t="s">
        <v>62</v>
      </c>
      <c r="E650" t="s">
        <v>35</v>
      </c>
      <c r="F650" t="s">
        <v>66</v>
      </c>
      <c r="G650" t="s">
        <v>490</v>
      </c>
      <c r="H650" s="52" t="str">
        <f>VLOOKUP(Tabla3[[#This Row],[Site]],'Important Info!'!$A$1:$J$135,10,FALSE)</f>
        <v>https://tools.sig.systems/site/details/236</v>
      </c>
      <c r="I650" t="s">
        <v>184</v>
      </c>
      <c r="J650" t="s">
        <v>41</v>
      </c>
      <c r="K650" s="79" t="str">
        <f>VLOOKUP(Tabla3[[#This Row],[Site]],'Important Info!'!$A$1:$H$135,8,FALSE)</f>
        <v>-</v>
      </c>
      <c r="L650" s="52" t="str">
        <f>VLOOKUP(Tabla3[[#This Row],[Site]],'Important Info!'!$A$1:$F$135,2,FALSE)</f>
        <v>1, 5, 12</v>
      </c>
      <c r="M650" s="52" t="str">
        <f>VLOOKUP(Tabla3[[#This Row],[Site]],'Important Info!'!$A$1:$F$135,3,FALSE)</f>
        <v>-</v>
      </c>
      <c r="N650" s="52" t="str">
        <f>VLOOKUP(Tabla3[[#This Row],[Site]],'Important Info!'!$A$1:$F$135,4,FALSE)</f>
        <v>-</v>
      </c>
      <c r="O650" s="52" t="str">
        <f>VLOOKUP(Tabla3[[#This Row],[Site]],'Important Info!'!$A$1:$F$135,5,FALSE)</f>
        <v>-</v>
      </c>
      <c r="P650" s="52">
        <f>VLOOKUP(Tabla3[[#This Row],[Site]],'Important Info!'!$A$1:$F$135,6,FALSE)</f>
        <v>4</v>
      </c>
      <c r="Q650" s="91">
        <f>VLOOKUP(Tabla3[[#This Row],[Site]],'Important Info!'!$A$1:$J$135,9,FALSE)</f>
        <v>236</v>
      </c>
    </row>
    <row r="651" spans="1:17" x14ac:dyDescent="0.25">
      <c r="A651" t="str">
        <f>+Tabla3[[#This Row],[Site]]&amp;Tabla3[[#This Row],[Split]]</f>
        <v>(KG) Big Star Ford9</v>
      </c>
      <c r="B651">
        <v>9</v>
      </c>
      <c r="C651">
        <v>6</v>
      </c>
      <c r="D651" t="s">
        <v>33</v>
      </c>
      <c r="E651" t="s">
        <v>46</v>
      </c>
      <c r="F651" t="s">
        <v>135</v>
      </c>
      <c r="G651" t="s">
        <v>34</v>
      </c>
      <c r="H651" s="52" t="str">
        <f>VLOOKUP(Tabla3[[#This Row],[Site]],'Important Info!'!$A$1:$J$135,10,FALSE)</f>
        <v>https://tools.sig.systems/site/details/235</v>
      </c>
      <c r="J651" t="s">
        <v>41</v>
      </c>
      <c r="K651" s="79" t="str">
        <f>VLOOKUP(Tabla3[[#This Row],[Site]],'Important Info!'!$A$1:$H$135,8,FALSE)</f>
        <v>-</v>
      </c>
      <c r="L651" s="52" t="str">
        <f>VLOOKUP(Tabla3[[#This Row],[Site]],'Important Info!'!$A$1:$F$135,2,FALSE)</f>
        <v>4, 22, 32, 33</v>
      </c>
      <c r="M651" s="52" t="str">
        <f>VLOOKUP(Tabla3[[#This Row],[Site]],'Important Info!'!$A$1:$F$135,3,FALSE)</f>
        <v>-</v>
      </c>
      <c r="N651" s="52" t="str">
        <f>VLOOKUP(Tabla3[[#This Row],[Site]],'Important Info!'!$A$1:$F$135,4,FALSE)</f>
        <v>-</v>
      </c>
      <c r="O651" s="52" t="str">
        <f>VLOOKUP(Tabla3[[#This Row],[Site]],'Important Info!'!$A$1:$F$135,5,FALSE)</f>
        <v>1, 5, 12, 21</v>
      </c>
      <c r="P651" s="52">
        <f>VLOOKUP(Tabla3[[#This Row],[Site]],'Important Info!'!$A$1:$F$135,6,FALSE)</f>
        <v>22</v>
      </c>
      <c r="Q651" s="91">
        <f>VLOOKUP(Tabla3[[#This Row],[Site]],'Important Info!'!$A$1:$J$135,9,FALSE)</f>
        <v>235</v>
      </c>
    </row>
    <row r="652" spans="1:17" x14ac:dyDescent="0.25">
      <c r="A652" t="str">
        <f>+Tabla3[[#This Row],[Site]]&amp;Tabla3[[#This Row],[Split]]</f>
        <v>(ML) BMW of Little Rock9</v>
      </c>
      <c r="B652">
        <v>9</v>
      </c>
      <c r="C652">
        <v>6</v>
      </c>
      <c r="D652" t="s">
        <v>33</v>
      </c>
      <c r="E652" t="s">
        <v>46</v>
      </c>
      <c r="F652" t="s">
        <v>139</v>
      </c>
      <c r="G652" t="s">
        <v>34</v>
      </c>
      <c r="H652" s="52" t="str">
        <f>VLOOKUP(Tabla3[[#This Row],[Site]],'Important Info!'!$A$1:$J$135,10,FALSE)</f>
        <v>https://tools.sig.systems/site/details/217</v>
      </c>
      <c r="I652" t="s">
        <v>140</v>
      </c>
      <c r="J652" t="s">
        <v>41</v>
      </c>
      <c r="K652" s="79" t="str">
        <f>VLOOKUP(Tabla3[[#This Row],[Site]],'Important Info!'!$A$1:$H$135,8,FALSE)</f>
        <v>-</v>
      </c>
      <c r="L652" s="52" t="str">
        <f>VLOOKUP(Tabla3[[#This Row],[Site]],'Important Info!'!$A$1:$F$135,2,FALSE)</f>
        <v>-</v>
      </c>
      <c r="M652" s="52">
        <f>VLOOKUP(Tabla3[[#This Row],[Site]],'Important Info!'!$A$1:$F$135,3,FALSE)</f>
        <v>14</v>
      </c>
      <c r="N652" s="52" t="str">
        <f>VLOOKUP(Tabla3[[#This Row],[Site]],'Important Info!'!$A$1:$F$135,4,FALSE)</f>
        <v>-</v>
      </c>
      <c r="O652" s="52" t="str">
        <f>VLOOKUP(Tabla3[[#This Row],[Site]],'Important Info!'!$A$1:$F$135,5,FALSE)</f>
        <v>-</v>
      </c>
      <c r="P652" s="52" t="str">
        <f>VLOOKUP(Tabla3[[#This Row],[Site]],'Important Info!'!$A$1:$F$135,6,FALSE)</f>
        <v>5, 6, 7, 8, 9, 32</v>
      </c>
      <c r="Q652" s="91">
        <f>VLOOKUP(Tabla3[[#This Row],[Site]],'Important Info!'!$A$1:$J$135,9,FALSE)</f>
        <v>217</v>
      </c>
    </row>
    <row r="653" spans="1:17" x14ac:dyDescent="0.25">
      <c r="A653" t="str">
        <f>+Tabla3[[#This Row],[Site]]&amp;Tabla3[[#This Row],[Split]]</f>
        <v>(ML) Joe Machens Temporary 2.09</v>
      </c>
      <c r="B653">
        <v>9</v>
      </c>
      <c r="C653">
        <v>6</v>
      </c>
      <c r="D653" t="s">
        <v>33</v>
      </c>
      <c r="E653" t="s">
        <v>46</v>
      </c>
      <c r="F653" t="s">
        <v>105</v>
      </c>
      <c r="G653" t="s">
        <v>34</v>
      </c>
      <c r="H653" s="52" t="str">
        <f>VLOOKUP(Tabla3[[#This Row],[Site]],'Important Info!'!$A$1:$J$135,10,FALSE)</f>
        <v>https://tools.sig.systems/site/details/278</v>
      </c>
      <c r="I653" s="43" t="s">
        <v>146</v>
      </c>
      <c r="J653" t="s">
        <v>41</v>
      </c>
      <c r="K653" s="79" t="str">
        <f>VLOOKUP(Tabla3[[#This Row],[Site]],'Important Info!'!$A$1:$H$135,8,FALSE)</f>
        <v>-</v>
      </c>
      <c r="L653" s="52" t="str">
        <f>VLOOKUP(Tabla3[[#This Row],[Site]],'Important Info!'!$A$1:$F$135,2,FALSE)</f>
        <v>-</v>
      </c>
      <c r="M653" s="52" t="str">
        <f>VLOOKUP(Tabla3[[#This Row],[Site]],'Important Info!'!$A$1:$F$135,3,FALSE)</f>
        <v>1, 11, 14, 15, 16</v>
      </c>
      <c r="N653" s="52" t="str">
        <f>VLOOKUP(Tabla3[[#This Row],[Site]],'Important Info!'!$A$1:$F$135,4,FALSE)</f>
        <v>-</v>
      </c>
      <c r="O653" s="52">
        <f>VLOOKUP(Tabla3[[#This Row],[Site]],'Important Info!'!$A$1:$F$135,5,FALSE)</f>
        <v>13</v>
      </c>
      <c r="P653" s="52" t="str">
        <f>VLOOKUP(Tabla3[[#This Row],[Site]],'Important Info!'!$A$1:$F$135,6,FALSE)</f>
        <v>-</v>
      </c>
      <c r="Q653" s="91">
        <f>VLOOKUP(Tabla3[[#This Row],[Site]],'Important Info!'!$A$1:$J$135,9,FALSE)</f>
        <v>278</v>
      </c>
    </row>
    <row r="654" spans="1:17" x14ac:dyDescent="0.25">
      <c r="A654" t="str">
        <f>+Tabla3[[#This Row],[Site]]&amp;Tabla3[[#This Row],[Split]]</f>
        <v>(ML) Nissan Of Benton9</v>
      </c>
      <c r="B654">
        <v>9</v>
      </c>
      <c r="C654">
        <v>6</v>
      </c>
      <c r="D654" t="s">
        <v>33</v>
      </c>
      <c r="E654" t="s">
        <v>46</v>
      </c>
      <c r="F654" t="s">
        <v>120</v>
      </c>
      <c r="G654" t="s">
        <v>34</v>
      </c>
      <c r="H654" s="52" t="str">
        <f>VLOOKUP(Tabla3[[#This Row],[Site]],'Important Info!'!$A$1:$J$135,10,FALSE)</f>
        <v>https://tools.sig.systems/site/details/247</v>
      </c>
      <c r="J654" t="s">
        <v>41</v>
      </c>
      <c r="K654" s="79" t="str">
        <f>VLOOKUP(Tabla3[[#This Row],[Site]],'Important Info!'!$A$1:$H$135,8,FALSE)</f>
        <v>-</v>
      </c>
      <c r="L654" s="52" t="str">
        <f>VLOOKUP(Tabla3[[#This Row],[Site]],'Important Info!'!$A$1:$F$135,2,FALSE)</f>
        <v>5, 12</v>
      </c>
      <c r="M654" s="52" t="str">
        <f>VLOOKUP(Tabla3[[#This Row],[Site]],'Important Info!'!$A$1:$F$135,3,FALSE)</f>
        <v>-</v>
      </c>
      <c r="N654" s="52" t="str">
        <f>VLOOKUP(Tabla3[[#This Row],[Site]],'Important Info!'!$A$1:$F$135,4,FALSE)</f>
        <v>-</v>
      </c>
      <c r="O654" s="52" t="str">
        <f>VLOOKUP(Tabla3[[#This Row],[Site]],'Important Info!'!$A$1:$F$135,5,FALSE)</f>
        <v>4, 18</v>
      </c>
      <c r="P654" s="52" t="str">
        <f>VLOOKUP(Tabla3[[#This Row],[Site]],'Important Info!'!$A$1:$F$135,6,FALSE)</f>
        <v>-</v>
      </c>
      <c r="Q654" s="91">
        <f>VLOOKUP(Tabla3[[#This Row],[Site]],'Important Info!'!$A$1:$J$135,9,FALSE)</f>
        <v>247</v>
      </c>
    </row>
    <row r="655" spans="1:17" x14ac:dyDescent="0.25">
      <c r="A655" t="str">
        <f>+Tabla3[[#This Row],[Site]]&amp;Tabla3[[#This Row],[Split]]</f>
        <v>(PE) JLR Darien PDI (NO TOURS)9</v>
      </c>
      <c r="B655">
        <v>9</v>
      </c>
      <c r="C655">
        <v>6</v>
      </c>
      <c r="D655" t="s">
        <v>485</v>
      </c>
      <c r="E655" t="s">
        <v>35</v>
      </c>
      <c r="F655" t="s">
        <v>98</v>
      </c>
      <c r="G655" t="s">
        <v>490</v>
      </c>
      <c r="H655" s="52" t="str">
        <f>VLOOKUP(Tabla3[[#This Row],[Site]],'Important Info!'!$A$1:$J$135,10,FALSE)</f>
        <v>https://tools.sig.systems/site/details/187</v>
      </c>
      <c r="I655" t="s">
        <v>175</v>
      </c>
      <c r="J655" t="s">
        <v>41</v>
      </c>
      <c r="K655" s="79" t="str">
        <f>VLOOKUP(Tabla3[[#This Row],[Site]],'Important Info!'!$A$1:$H$135,8,FALSE)</f>
        <v>-</v>
      </c>
      <c r="L655" s="52">
        <f>VLOOKUP(Tabla3[[#This Row],[Site]],'Important Info!'!$A$1:$F$135,2,FALSE)</f>
        <v>1</v>
      </c>
      <c r="M655" s="52" t="str">
        <f>VLOOKUP(Tabla3[[#This Row],[Site]],'Important Info!'!$A$1:$F$135,3,FALSE)</f>
        <v>-</v>
      </c>
      <c r="N655" s="52" t="str">
        <f>VLOOKUP(Tabla3[[#This Row],[Site]],'Important Info!'!$A$1:$F$135,4,FALSE)</f>
        <v>-</v>
      </c>
      <c r="O655" s="52">
        <f>VLOOKUP(Tabla3[[#This Row],[Site]],'Important Info!'!$A$1:$F$135,5,FALSE)</f>
        <v>1</v>
      </c>
      <c r="P655" s="52">
        <f>VLOOKUP(Tabla3[[#This Row],[Site]],'Important Info!'!$A$1:$F$135,6,FALSE)</f>
        <v>7</v>
      </c>
      <c r="Q655" s="91">
        <f>VLOOKUP(Tabla3[[#This Row],[Site]],'Important Info!'!$A$1:$J$135,9,FALSE)</f>
        <v>187</v>
      </c>
    </row>
    <row r="656" spans="1:17" x14ac:dyDescent="0.25">
      <c r="A656" t="str">
        <f>+Tabla3[[#This Row],[Site]]&amp;Tabla3[[#This Row],[Split]]</f>
        <v>(RV) Toms Camperland Avondale (NO TOURS)9</v>
      </c>
      <c r="B656">
        <v>9</v>
      </c>
      <c r="C656">
        <v>6</v>
      </c>
      <c r="D656" t="s">
        <v>51</v>
      </c>
      <c r="E656" t="s">
        <v>161</v>
      </c>
      <c r="F656" t="s">
        <v>80</v>
      </c>
      <c r="G656" t="s">
        <v>52</v>
      </c>
      <c r="H656" s="52" t="str">
        <f>VLOOKUP(Tabla3[[#This Row],[Site]],'Important Info!'!$A$1:$J$135,10,FALSE)</f>
        <v>https://tools.sig.systems/site/details/248</v>
      </c>
      <c r="I656" s="43" t="s">
        <v>163</v>
      </c>
      <c r="J656" t="s">
        <v>164</v>
      </c>
      <c r="K656" s="79" t="str">
        <f>VLOOKUP(Tabla3[[#This Row],[Site]],'Important Info!'!$A$1:$H$135,8,FALSE)</f>
        <v>-</v>
      </c>
      <c r="L656" s="52">
        <f>VLOOKUP(Tabla3[[#This Row],[Site]],'Important Info!'!$A$1:$F$135,2,FALSE)</f>
        <v>10</v>
      </c>
      <c r="M656" s="52" t="str">
        <f>VLOOKUP(Tabla3[[#This Row],[Site]],'Important Info!'!$A$1:$F$135,3,FALSE)</f>
        <v>2, 7</v>
      </c>
      <c r="N656" s="52" t="str">
        <f>VLOOKUP(Tabla3[[#This Row],[Site]],'Important Info!'!$A$1:$F$135,4,FALSE)</f>
        <v>-</v>
      </c>
      <c r="O656" s="52" t="str">
        <f>VLOOKUP(Tabla3[[#This Row],[Site]],'Important Info!'!$A$1:$F$135,5,FALSE)</f>
        <v>-</v>
      </c>
      <c r="P656" s="52" t="str">
        <f>VLOOKUP(Tabla3[[#This Row],[Site]],'Important Info!'!$A$1:$F$135,6,FALSE)</f>
        <v>2, 7, 8, 13, 15</v>
      </c>
      <c r="Q656" s="91">
        <f>VLOOKUP(Tabla3[[#This Row],[Site]],'Important Info!'!$A$1:$J$135,9,FALSE)</f>
        <v>248</v>
      </c>
    </row>
    <row r="657" spans="1:17" x14ac:dyDescent="0.25">
      <c r="A657" t="str">
        <f>+Tabla3[[#This Row],[Site]]&amp;Tabla3[[#This Row],[Split]]</f>
        <v>(SCH) Delray I &amp; II9</v>
      </c>
      <c r="B657">
        <v>9</v>
      </c>
      <c r="C657">
        <v>6</v>
      </c>
      <c r="D657" t="s">
        <v>62</v>
      </c>
      <c r="E657" t="s">
        <v>35</v>
      </c>
      <c r="F657" s="41" t="s">
        <v>67</v>
      </c>
      <c r="G657" t="s">
        <v>490</v>
      </c>
      <c r="H657" s="52" t="str">
        <f>VLOOKUP(Tabla3[[#This Row],[Site]],'Important Info!'!$A$1:$J$135,10,FALSE)</f>
        <v>https://tools.sig.systems/site/details/159</v>
      </c>
      <c r="I657" s="2"/>
      <c r="J657" t="s">
        <v>36</v>
      </c>
      <c r="K657" s="79" t="str">
        <f>VLOOKUP(Tabla3[[#This Row],[Site]],'Important Info!'!$A$1:$H$135,8,FALSE)</f>
        <v>-</v>
      </c>
      <c r="L657" s="52" t="str">
        <f>VLOOKUP(Tabla3[[#This Row],[Site]],'Important Info!'!$A$1:$F$135,2,FALSE)</f>
        <v>5, 28, 31</v>
      </c>
      <c r="M657" s="52" t="str">
        <f>VLOOKUP(Tabla3[[#This Row],[Site]],'Important Info!'!$A$1:$F$135,3,FALSE)</f>
        <v>1, 29</v>
      </c>
      <c r="N657" s="52">
        <f>VLOOKUP(Tabla3[[#This Row],[Site]],'Important Info!'!$A$1:$F$135,4,FALSE)</f>
        <v>6</v>
      </c>
      <c r="O657" s="52" t="str">
        <f>VLOOKUP(Tabla3[[#This Row],[Site]],'Important Info!'!$A$1:$F$135,5,FALSE)</f>
        <v>-</v>
      </c>
      <c r="P657" s="52" t="str">
        <f>VLOOKUP(Tabla3[[#This Row],[Site]],'Important Info!'!$A$1:$F$135,6,FALSE)</f>
        <v>1, 35, 36</v>
      </c>
      <c r="Q657" s="91">
        <f>VLOOKUP(Tabla3[[#This Row],[Site]],'Important Info!'!$A$1:$J$135,9,FALSE)</f>
        <v>159</v>
      </c>
    </row>
    <row r="658" spans="1:17" x14ac:dyDescent="0.25">
      <c r="A658" t="str">
        <f>+Tabla3[[#This Row],[Site]]&amp;Tabla3[[#This Row],[Split]]</f>
        <v>(SCH) Prep Center Delray9</v>
      </c>
      <c r="B658">
        <v>9</v>
      </c>
      <c r="C658">
        <v>6</v>
      </c>
      <c r="D658" t="s">
        <v>62</v>
      </c>
      <c r="E658" t="s">
        <v>35</v>
      </c>
      <c r="F658" t="s">
        <v>191</v>
      </c>
      <c r="G658" t="s">
        <v>490</v>
      </c>
      <c r="H658" s="52" t="str">
        <f>VLOOKUP(Tabla3[[#This Row],[Site]],'Important Info!'!$A$1:$J$135,10,FALSE)</f>
        <v>https://tools.sig.systems/site/details/321</v>
      </c>
      <c r="I658" s="64"/>
      <c r="J658" t="s">
        <v>41</v>
      </c>
      <c r="K658" s="79" t="str">
        <f>VLOOKUP(Tabla3[[#This Row],[Site]],'Important Info!'!$A$1:$H$135,8,FALSE)</f>
        <v>-</v>
      </c>
      <c r="L658" s="52" t="str">
        <f>VLOOKUP(Tabla3[[#This Row],[Site]],'Important Info!'!$A$1:$F$135,2,FALSE)</f>
        <v>2,3</v>
      </c>
      <c r="M658" s="52" t="str">
        <f>VLOOKUP(Tabla3[[#This Row],[Site]],'Important Info!'!$A$1:$F$135,3,FALSE)</f>
        <v>-</v>
      </c>
      <c r="N658" s="52" t="str">
        <f>VLOOKUP(Tabla3[[#This Row],[Site]],'Important Info!'!$A$1:$F$135,4,FALSE)</f>
        <v>-</v>
      </c>
      <c r="O658" s="52" t="str">
        <f>VLOOKUP(Tabla3[[#This Row],[Site]],'Important Info!'!$A$1:$F$135,5,FALSE)</f>
        <v>-</v>
      </c>
      <c r="P658" s="52" t="str">
        <f>VLOOKUP(Tabla3[[#This Row],[Site]],'Important Info!'!$A$1:$F$135,6,FALSE)</f>
        <v>2,4,10</v>
      </c>
      <c r="Q658" s="91">
        <f>VLOOKUP(Tabla3[[#This Row],[Site]],'Important Info!'!$A$1:$J$135,9,FALSE)</f>
        <v>321</v>
      </c>
    </row>
    <row r="659" spans="1:17" x14ac:dyDescent="0.25">
      <c r="A659" t="str">
        <f>+Tabla3[[#This Row],[Site]]&amp;Tabla3[[#This Row],[Split]]</f>
        <v>(AS) Coggin Honda Ft. Pierce (NO TOURS)9</v>
      </c>
      <c r="B659">
        <v>9</v>
      </c>
      <c r="C659">
        <v>7</v>
      </c>
      <c r="D659" t="s">
        <v>62</v>
      </c>
      <c r="E659" t="s">
        <v>35</v>
      </c>
      <c r="F659" t="s">
        <v>501</v>
      </c>
      <c r="G659" t="s">
        <v>490</v>
      </c>
      <c r="H659" s="52" t="str">
        <f>VLOOKUP(Tabla3[[#This Row],[Site]],'Important Info!'!$A$1:$J$135,10,FALSE)</f>
        <v>https://tools.sig.systems/site/details/120</v>
      </c>
      <c r="I659" t="s">
        <v>179</v>
      </c>
      <c r="J659" t="s">
        <v>484</v>
      </c>
      <c r="K659" s="79" t="str">
        <f>VLOOKUP(Tabla3[[#This Row],[Site]],'Important Info!'!$A$1:$H$135,8,FALSE)</f>
        <v>-</v>
      </c>
      <c r="L659" s="52" t="str">
        <f>VLOOKUP(Tabla3[[#This Row],[Site]],'Important Info!'!$A$1:$F$135,2,FALSE)</f>
        <v>1, 2, 3, 4, 14</v>
      </c>
      <c r="M659" s="52" t="str">
        <f>VLOOKUP(Tabla3[[#This Row],[Site]],'Important Info!'!$A$1:$F$135,3,FALSE)</f>
        <v>-</v>
      </c>
      <c r="N659" s="52" t="str">
        <f>VLOOKUP(Tabla3[[#This Row],[Site]],'Important Info!'!$A$1:$F$135,4,FALSE)</f>
        <v>-</v>
      </c>
      <c r="O659" s="52" t="str">
        <f>VLOOKUP(Tabla3[[#This Row],[Site]],'Important Info!'!$A$1:$F$135,5,FALSE)</f>
        <v>7, 11, 15</v>
      </c>
      <c r="P659" s="52">
        <f>VLOOKUP(Tabla3[[#This Row],[Site]],'Important Info!'!$A$1:$F$135,6,FALSE)</f>
        <v>3</v>
      </c>
      <c r="Q659" s="91">
        <f>VLOOKUP(Tabla3[[#This Row],[Site]],'Important Info!'!$A$1:$J$135,9,FALSE)</f>
        <v>120</v>
      </c>
    </row>
    <row r="660" spans="1:17" x14ac:dyDescent="0.25">
      <c r="A660" t="str">
        <f>+Tabla3[[#This Row],[Site]]&amp;Tabla3[[#This Row],[Split]]</f>
        <v>(AS) Courtesy Kia of Brandon (NO TOURS)9</v>
      </c>
      <c r="B660">
        <v>9</v>
      </c>
      <c r="C660">
        <v>7</v>
      </c>
      <c r="D660" t="s">
        <v>62</v>
      </c>
      <c r="E660" t="s">
        <v>35</v>
      </c>
      <c r="F660" t="s">
        <v>505</v>
      </c>
      <c r="G660" t="s">
        <v>490</v>
      </c>
      <c r="H660" s="52" t="str">
        <f>VLOOKUP(Tabla3[[#This Row],[Site]],'Important Info!'!$A$1:$J$135,10,FALSE)</f>
        <v>https://tools.sig.systems/site/details/121</v>
      </c>
      <c r="I660" s="2" t="s">
        <v>181</v>
      </c>
      <c r="J660" t="s">
        <v>484</v>
      </c>
      <c r="K660" s="79" t="str">
        <f>VLOOKUP(Tabla3[[#This Row],[Site]],'Important Info!'!$A$1:$H$135,8,FALSE)</f>
        <v>-</v>
      </c>
      <c r="L660" s="52" t="str">
        <f>VLOOKUP(Tabla3[[#This Row],[Site]],'Important Info!'!$A$1:$F$135,2,FALSE)</f>
        <v>-</v>
      </c>
      <c r="M660" s="52" t="str">
        <f>VLOOKUP(Tabla3[[#This Row],[Site]],'Important Info!'!$A$1:$F$135,3,FALSE)</f>
        <v>4, 8</v>
      </c>
      <c r="N660" s="52" t="str">
        <f>VLOOKUP(Tabla3[[#This Row],[Site]],'Important Info!'!$A$1:$F$135,4,FALSE)</f>
        <v>-</v>
      </c>
      <c r="O660" s="52" t="str">
        <f>VLOOKUP(Tabla3[[#This Row],[Site]],'Important Info!'!$A$1:$F$135,5,FALSE)</f>
        <v>3, 11, 20, 24</v>
      </c>
      <c r="P660" s="52" t="str">
        <f>VLOOKUP(Tabla3[[#This Row],[Site]],'Important Info!'!$A$1:$F$135,6,FALSE)</f>
        <v>2, 8</v>
      </c>
      <c r="Q660" s="91">
        <f>VLOOKUP(Tabla3[[#This Row],[Site]],'Important Info!'!$A$1:$J$135,9,FALSE)</f>
        <v>121</v>
      </c>
    </row>
    <row r="661" spans="1:17" x14ac:dyDescent="0.25">
      <c r="A661" t="str">
        <f>+Tabla3[[#This Row],[Site]]&amp;Tabla3[[#This Row],[Split]]</f>
        <v>(AS) David McDavid Honda I &amp; II (NO TOURS)9</v>
      </c>
      <c r="B661">
        <v>9</v>
      </c>
      <c r="C661">
        <v>7</v>
      </c>
      <c r="D661" t="s">
        <v>33</v>
      </c>
      <c r="E661" t="s">
        <v>46</v>
      </c>
      <c r="F661" t="s">
        <v>506</v>
      </c>
      <c r="G661" t="s">
        <v>34</v>
      </c>
      <c r="H661" s="52" t="str">
        <f>VLOOKUP(Tabla3[[#This Row],[Site]],'Important Info!'!$A$1:$J$135,10,FALSE)</f>
        <v>https://tools.sig.systems/site/details/129</v>
      </c>
      <c r="J661" t="s">
        <v>41</v>
      </c>
      <c r="K661" s="79" t="str">
        <f>VLOOKUP(Tabla3[[#This Row],[Site]],'Important Info!'!$A$1:$H$135,8,FALSE)</f>
        <v>-</v>
      </c>
      <c r="L661" s="52" t="str">
        <f>VLOOKUP(Tabla3[[#This Row],[Site]],'Important Info!'!$A$1:$F$135,2,FALSE)</f>
        <v>-</v>
      </c>
      <c r="M661" s="52" t="str">
        <f>VLOOKUP(Tabla3[[#This Row],[Site]],'Important Info!'!$A$1:$F$135,3,FALSE)</f>
        <v>3, 19, 23, 32, 35</v>
      </c>
      <c r="N661" s="52" t="str">
        <f>VLOOKUP(Tabla3[[#This Row],[Site]],'Important Info!'!$A$1:$F$135,4,FALSE)</f>
        <v>-</v>
      </c>
      <c r="O661" s="52" t="str">
        <f>VLOOKUP(Tabla3[[#This Row],[Site]],'Important Info!'!$A$1:$F$135,5,FALSE)</f>
        <v>2, 6, 9, 19, 25, 30, 48</v>
      </c>
      <c r="P661" s="52" t="str">
        <f>VLOOKUP(Tabla3[[#This Row],[Site]],'Important Info!'!$A$1:$F$135,6,FALSE)</f>
        <v>25, 26, 35, 36, 37</v>
      </c>
      <c r="Q661" s="91">
        <f>VLOOKUP(Tabla3[[#This Row],[Site]],'Important Info!'!$A$1:$J$135,9,FALSE)</f>
        <v>129</v>
      </c>
    </row>
    <row r="662" spans="1:17" x14ac:dyDescent="0.25">
      <c r="A662" t="str">
        <f>+Tabla3[[#This Row],[Site]]&amp;Tabla3[[#This Row],[Split]]</f>
        <v>(AS) Park Place Bodywerks Ft. Worth (NO TOURS)9</v>
      </c>
      <c r="B662">
        <v>9</v>
      </c>
      <c r="C662">
        <v>7</v>
      </c>
      <c r="D662" t="s">
        <v>33</v>
      </c>
      <c r="E662" t="s">
        <v>46</v>
      </c>
      <c r="F662" t="s">
        <v>515</v>
      </c>
      <c r="G662" t="s">
        <v>34</v>
      </c>
      <c r="H662" s="52" t="str">
        <f>VLOOKUP(Tabla3[[#This Row],[Site]],'Important Info!'!$A$1:$J$135,10,FALSE)</f>
        <v>https://tools.sig.systems/site/details/134</v>
      </c>
      <c r="I662" s="65" t="s">
        <v>128</v>
      </c>
      <c r="J662" t="s">
        <v>41</v>
      </c>
      <c r="K662" s="79" t="str">
        <f>VLOOKUP(Tabla3[[#This Row],[Site]],'Important Info!'!$A$1:$H$135,8,FALSE)</f>
        <v>-</v>
      </c>
      <c r="L662" s="52" t="str">
        <f>VLOOKUP(Tabla3[[#This Row],[Site]],'Important Info!'!$A$1:$F$135,2,FALSE)</f>
        <v>2, 3, RemoteLot5, RemoteLot9</v>
      </c>
      <c r="M662" s="52" t="str">
        <f>VLOOKUP(Tabla3[[#This Row],[Site]],'Important Info!'!$A$1:$F$135,3,FALSE)</f>
        <v>-</v>
      </c>
      <c r="N662" s="52" t="str">
        <f>VLOOKUP(Tabla3[[#This Row],[Site]],'Important Info!'!$A$1:$F$135,4,FALSE)</f>
        <v>-</v>
      </c>
      <c r="O662" s="52" t="str">
        <f>VLOOKUP(Tabla3[[#This Row],[Site]],'Important Info!'!$A$1:$F$135,5,FALSE)</f>
        <v>1, 7, RL1, RL5, RL9</v>
      </c>
      <c r="P662" s="52" t="str">
        <f>VLOOKUP(Tabla3[[#This Row],[Site]],'Important Info!'!$A$1:$F$135,6,FALSE)</f>
        <v>3, 4, 15</v>
      </c>
      <c r="Q662" s="91">
        <f>VLOOKUP(Tabla3[[#This Row],[Site]],'Important Info!'!$A$1:$J$135,9,FALSE)</f>
        <v>134</v>
      </c>
    </row>
    <row r="663" spans="1:17" x14ac:dyDescent="0.25">
      <c r="A663" t="str">
        <f>+Tabla3[[#This Row],[Site]]&amp;Tabla3[[#This Row],[Split]]</f>
        <v>(AS) Park Place Sprinter Van Center (NO TOURS)9</v>
      </c>
      <c r="B663">
        <v>9</v>
      </c>
      <c r="C663">
        <v>7</v>
      </c>
      <c r="D663" t="s">
        <v>33</v>
      </c>
      <c r="E663" t="s">
        <v>46</v>
      </c>
      <c r="F663" t="s">
        <v>520</v>
      </c>
      <c r="G663" t="s">
        <v>34</v>
      </c>
      <c r="H663" s="52" t="str">
        <f>VLOOKUP(Tabla3[[#This Row],[Site]],'Important Info!'!$A$1:$J$135,10,FALSE)</f>
        <v>https://tools.sig.systems/site/details/138</v>
      </c>
      <c r="I663" s="62" t="s">
        <v>125</v>
      </c>
      <c r="J663" t="s">
        <v>41</v>
      </c>
      <c r="K663" s="79" t="str">
        <f>VLOOKUP(Tabla3[[#This Row],[Site]],'Important Info!'!$A$1:$H$135,8,FALSE)</f>
        <v>-</v>
      </c>
      <c r="L663" s="52">
        <f>VLOOKUP(Tabla3[[#This Row],[Site]],'Important Info!'!$A$1:$F$135,2,FALSE)</f>
        <v>1</v>
      </c>
      <c r="M663" s="52" t="str">
        <f>VLOOKUP(Tabla3[[#This Row],[Site]],'Important Info!'!$A$1:$F$135,3,FALSE)</f>
        <v>-</v>
      </c>
      <c r="N663" s="52" t="str">
        <f>VLOOKUP(Tabla3[[#This Row],[Site]],'Important Info!'!$A$1:$F$135,4,FALSE)</f>
        <v>-</v>
      </c>
      <c r="O663" s="52" t="str">
        <f>VLOOKUP(Tabla3[[#This Row],[Site]],'Important Info!'!$A$1:$F$135,5,FALSE)</f>
        <v>-</v>
      </c>
      <c r="P663" s="52" t="str">
        <f>VLOOKUP(Tabla3[[#This Row],[Site]],'Important Info!'!$A$1:$F$135,6,FALSE)</f>
        <v>1, 3</v>
      </c>
      <c r="Q663" s="91">
        <f>VLOOKUP(Tabla3[[#This Row],[Site]],'Important Info!'!$A$1:$J$135,9,FALSE)</f>
        <v>138</v>
      </c>
    </row>
    <row r="664" spans="1:17" x14ac:dyDescent="0.25">
      <c r="A664" t="str">
        <f>+Tabla3[[#This Row],[Site]]&amp;Tabla3[[#This Row],[Split]]</f>
        <v>(DT) Albuquerque9</v>
      </c>
      <c r="B664">
        <v>9</v>
      </c>
      <c r="C664">
        <v>7</v>
      </c>
      <c r="D664" t="s">
        <v>44</v>
      </c>
      <c r="E664" t="s">
        <v>53</v>
      </c>
      <c r="F664" t="s">
        <v>155</v>
      </c>
      <c r="G664" t="s">
        <v>45</v>
      </c>
      <c r="H664" s="52" t="str">
        <f>VLOOKUP(Tabla3[[#This Row],[Site]],'Important Info!'!$A$1:$J$135,10,FALSE)</f>
        <v>https://tools.sig.systems/site/details/237</v>
      </c>
      <c r="J664" t="s">
        <v>41</v>
      </c>
      <c r="K664" s="79" t="str">
        <f>VLOOKUP(Tabla3[[#This Row],[Site]],'Important Info!'!$A$1:$H$135,8,FALSE)</f>
        <v>-</v>
      </c>
      <c r="L664" s="52" t="str">
        <f>VLOOKUP(Tabla3[[#This Row],[Site]],'Important Info!'!$A$1:$F$135,2,FALSE)</f>
        <v>14, 16</v>
      </c>
      <c r="M664" s="52" t="str">
        <f>VLOOKUP(Tabla3[[#This Row],[Site]],'Important Info!'!$A$1:$F$135,3,FALSE)</f>
        <v>-</v>
      </c>
      <c r="N664" s="52" t="str">
        <f>VLOOKUP(Tabla3[[#This Row],[Site]],'Important Info!'!$A$1:$F$135,4,FALSE)</f>
        <v>-</v>
      </c>
      <c r="O664" s="52" t="str">
        <f>VLOOKUP(Tabla3[[#This Row],[Site]],'Important Info!'!$A$1:$F$135,5,FALSE)</f>
        <v>14, 15</v>
      </c>
      <c r="P664" s="52" t="str">
        <f>VLOOKUP(Tabla3[[#This Row],[Site]],'Important Info!'!$A$1:$F$135,6,FALSE)</f>
        <v>12, 14, 16</v>
      </c>
      <c r="Q664" s="91">
        <f>VLOOKUP(Tabla3[[#This Row],[Site]],'Important Info!'!$A$1:$J$135,9,FALSE)</f>
        <v>237</v>
      </c>
    </row>
    <row r="665" spans="1:17" x14ac:dyDescent="0.25">
      <c r="A665" t="str">
        <f>+Tabla3[[#This Row],[Site]]&amp;Tabla3[[#This Row],[Split]]</f>
        <v>(HUD) Paint and Body Center (NO TOURS)9</v>
      </c>
      <c r="B665">
        <v>9</v>
      </c>
      <c r="C665">
        <v>7</v>
      </c>
      <c r="D665" t="s">
        <v>62</v>
      </c>
      <c r="E665" t="s">
        <v>35</v>
      </c>
      <c r="F665" t="s">
        <v>110</v>
      </c>
      <c r="G665" t="s">
        <v>490</v>
      </c>
      <c r="H665" s="52" t="str">
        <f>VLOOKUP(Tabla3[[#This Row],[Site]],'Important Info!'!$A$1:$J$135,10,FALSE)</f>
        <v>https://tools.sig.systems/site/details/256</v>
      </c>
      <c r="I665" s="2" t="s">
        <v>184</v>
      </c>
      <c r="J665" t="s">
        <v>41</v>
      </c>
      <c r="K665" s="79" t="str">
        <f>VLOOKUP(Tabla3[[#This Row],[Site]],'Important Info!'!$A$1:$H$135,8,FALSE)</f>
        <v>-</v>
      </c>
      <c r="L665" s="52" t="str">
        <f>VLOOKUP(Tabla3[[#This Row],[Site]],'Important Info!'!$A$1:$F$135,2,FALSE)</f>
        <v>-</v>
      </c>
      <c r="M665" s="52">
        <f>VLOOKUP(Tabla3[[#This Row],[Site]],'Important Info!'!$A$1:$F$135,3,FALSE)</f>
        <v>1</v>
      </c>
      <c r="N665" s="52" t="str">
        <f>VLOOKUP(Tabla3[[#This Row],[Site]],'Important Info!'!$A$1:$F$135,4,FALSE)</f>
        <v>-</v>
      </c>
      <c r="O665" s="52" t="str">
        <f>VLOOKUP(Tabla3[[#This Row],[Site]],'Important Info!'!$A$1:$F$135,5,FALSE)</f>
        <v>-</v>
      </c>
      <c r="P665" s="52" t="str">
        <f>VLOOKUP(Tabla3[[#This Row],[Site]],'Important Info!'!$A$1:$F$135,6,FALSE)</f>
        <v>-</v>
      </c>
      <c r="Q665" s="91">
        <f>VLOOKUP(Tabla3[[#This Row],[Site]],'Important Info!'!$A$1:$J$135,9,FALSE)</f>
        <v>256</v>
      </c>
    </row>
    <row r="666" spans="1:17" x14ac:dyDescent="0.25">
      <c r="A666" t="str">
        <f>+Tabla3[[#This Row],[Site]]&amp;Tabla3[[#This Row],[Split]]</f>
        <v>(JE) Jim Ellis Ford Sandy Springs9</v>
      </c>
      <c r="B666">
        <v>9</v>
      </c>
      <c r="C666">
        <v>7</v>
      </c>
      <c r="D666" t="s">
        <v>62</v>
      </c>
      <c r="E666" t="s">
        <v>35</v>
      </c>
      <c r="F666" t="s">
        <v>187</v>
      </c>
      <c r="G666" t="s">
        <v>490</v>
      </c>
      <c r="H666" s="52" t="str">
        <f>VLOOKUP(Tabla3[[#This Row],[Site]],'Important Info!'!$A$1:$J$135,10,FALSE)</f>
        <v>https://tools.sig.systems/site/details/142</v>
      </c>
      <c r="I666" s="2"/>
      <c r="J666" t="s">
        <v>41</v>
      </c>
      <c r="K666" s="79" t="str">
        <f>VLOOKUP(Tabla3[[#This Row],[Site]],'Important Info!'!$A$1:$H$135,8,FALSE)</f>
        <v>-</v>
      </c>
      <c r="L666" s="52" t="str">
        <f>VLOOKUP(Tabla3[[#This Row],[Site]],'Important Info!'!$A$1:$F$135,2,FALSE)</f>
        <v>1, 5</v>
      </c>
      <c r="M666" s="52" t="str">
        <f>VLOOKUP(Tabla3[[#This Row],[Site]],'Important Info!'!$A$1:$F$135,3,FALSE)</f>
        <v>-</v>
      </c>
      <c r="N666" s="52" t="str">
        <f>VLOOKUP(Tabla3[[#This Row],[Site]],'Important Info!'!$A$1:$F$135,4,FALSE)</f>
        <v>-</v>
      </c>
      <c r="O666" s="52" t="str">
        <f>VLOOKUP(Tabla3[[#This Row],[Site]],'Important Info!'!$A$1:$F$135,5,FALSE)</f>
        <v>1, 5, 9, 26</v>
      </c>
      <c r="P666" s="52" t="str">
        <f>VLOOKUP(Tabla3[[#This Row],[Site]],'Important Info!'!$A$1:$F$135,6,FALSE)</f>
        <v>3, 4, 8, 28</v>
      </c>
      <c r="Q666" s="91">
        <f>VLOOKUP(Tabla3[[#This Row],[Site]],'Important Info!'!$A$1:$J$135,9,FALSE)</f>
        <v>142</v>
      </c>
    </row>
    <row r="667" spans="1:17" x14ac:dyDescent="0.25">
      <c r="A667" t="str">
        <f>+Tabla3[[#This Row],[Site]]&amp;Tabla3[[#This Row],[Split]]</f>
        <v>(KG) Big Star Honda9</v>
      </c>
      <c r="B667">
        <v>9</v>
      </c>
      <c r="C667">
        <v>7</v>
      </c>
      <c r="D667" t="s">
        <v>33</v>
      </c>
      <c r="E667" t="s">
        <v>46</v>
      </c>
      <c r="F667" t="s">
        <v>136</v>
      </c>
      <c r="G667" t="s">
        <v>34</v>
      </c>
      <c r="H667" s="52" t="str">
        <f>VLOOKUP(Tabla3[[#This Row],[Site]],'Important Info!'!$A$1:$J$135,10,FALSE)</f>
        <v>https://tools.sig.systems/site/details/231</v>
      </c>
      <c r="I667" s="66"/>
      <c r="J667" t="s">
        <v>41</v>
      </c>
      <c r="K667" s="79" t="str">
        <f>VLOOKUP(Tabla3[[#This Row],[Site]],'Important Info!'!$A$1:$H$135,8,FALSE)</f>
        <v>-</v>
      </c>
      <c r="L667" s="52" t="str">
        <f>VLOOKUP(Tabla3[[#This Row],[Site]],'Important Info!'!$A$1:$F$135,2,FALSE)</f>
        <v>2, 17, 33</v>
      </c>
      <c r="M667" s="52" t="str">
        <f>VLOOKUP(Tabla3[[#This Row],[Site]],'Important Info!'!$A$1:$F$135,3,FALSE)</f>
        <v>-</v>
      </c>
      <c r="N667" s="52" t="str">
        <f>VLOOKUP(Tabla3[[#This Row],[Site]],'Important Info!'!$A$1:$F$135,4,FALSE)</f>
        <v>-</v>
      </c>
      <c r="O667" s="52" t="str">
        <f>VLOOKUP(Tabla3[[#This Row],[Site]],'Important Info!'!$A$1:$F$135,5,FALSE)</f>
        <v>3, 11, 16, 21, 24, 31, 34</v>
      </c>
      <c r="P667" s="52" t="str">
        <f>VLOOKUP(Tabla3[[#This Row],[Site]],'Important Info!'!$A$1:$F$135,6,FALSE)</f>
        <v xml:space="preserve">2, 3, 17, 22, 37, 41, 42 </v>
      </c>
      <c r="Q667" s="91">
        <f>VLOOKUP(Tabla3[[#This Row],[Site]],'Important Info!'!$A$1:$J$135,9,FALSE)</f>
        <v>231</v>
      </c>
    </row>
    <row r="668" spans="1:17" x14ac:dyDescent="0.25">
      <c r="A668" t="str">
        <f>+Tabla3[[#This Row],[Site]]&amp;Tabla3[[#This Row],[Split]]</f>
        <v>(LM) Luther Mazda / Mitsubishi9</v>
      </c>
      <c r="B668">
        <v>9</v>
      </c>
      <c r="C668">
        <v>7</v>
      </c>
      <c r="D668" t="s">
        <v>33</v>
      </c>
      <c r="E668" t="s">
        <v>46</v>
      </c>
      <c r="F668" t="s">
        <v>103</v>
      </c>
      <c r="G668" t="s">
        <v>34</v>
      </c>
      <c r="H668" s="52" t="str">
        <f>VLOOKUP(Tabla3[[#This Row],[Site]],'Important Info!'!$A$1:$J$135,10,FALSE)</f>
        <v>https://tools.sig.systems/site/details/147</v>
      </c>
      <c r="I668" s="43" t="s">
        <v>138</v>
      </c>
      <c r="J668" t="s">
        <v>41</v>
      </c>
      <c r="K668" s="79" t="str">
        <f>VLOOKUP(Tabla3[[#This Row],[Site]],'Important Info!'!$A$1:$H$135,8,FALSE)</f>
        <v>-</v>
      </c>
      <c r="L668" s="52" t="str">
        <f>VLOOKUP(Tabla3[[#This Row],[Site]],'Important Info!'!$A$1:$F$135,2,FALSE)</f>
        <v>4, 5, 6</v>
      </c>
      <c r="M668" s="52" t="str">
        <f>VLOOKUP(Tabla3[[#This Row],[Site]],'Important Info!'!$A$1:$F$135,3,FALSE)</f>
        <v>-</v>
      </c>
      <c r="N668" s="52" t="str">
        <f>VLOOKUP(Tabla3[[#This Row],[Site]],'Important Info!'!$A$1:$F$135,4,FALSE)</f>
        <v>1, 2</v>
      </c>
      <c r="O668" s="52" t="str">
        <f>VLOOKUP(Tabla3[[#This Row],[Site]],'Important Info!'!$A$1:$F$135,5,FALSE)</f>
        <v>-</v>
      </c>
      <c r="P668" s="52" t="str">
        <f>VLOOKUP(Tabla3[[#This Row],[Site]],'Important Info!'!$A$1:$F$135,6,FALSE)</f>
        <v>13, 14, 15, 16</v>
      </c>
      <c r="Q668" s="91">
        <f>VLOOKUP(Tabla3[[#This Row],[Site]],'Important Info!'!$A$1:$J$135,9,FALSE)</f>
        <v>147</v>
      </c>
    </row>
    <row r="669" spans="1:17" x14ac:dyDescent="0.25">
      <c r="A669" t="str">
        <f>+Tabla3[[#This Row],[Site]]&amp;Tabla3[[#This Row],[Split]]</f>
        <v>(ML) Joe Machens Toyota9</v>
      </c>
      <c r="B669">
        <v>9</v>
      </c>
      <c r="C669">
        <v>7</v>
      </c>
      <c r="D669" t="s">
        <v>33</v>
      </c>
      <c r="E669" t="s">
        <v>46</v>
      </c>
      <c r="F669" t="s">
        <v>73</v>
      </c>
      <c r="G669" t="s">
        <v>34</v>
      </c>
      <c r="H669" s="52" t="str">
        <f>VLOOKUP(Tabla3[[#This Row],[Site]],'Important Info!'!$A$1:$J$135,10,FALSE)</f>
        <v>https://tools.sig.systems/site/details/275</v>
      </c>
      <c r="I669" s="43" t="s">
        <v>146</v>
      </c>
      <c r="J669" t="s">
        <v>41</v>
      </c>
      <c r="K669" s="79" t="str">
        <f>VLOOKUP(Tabla3[[#This Row],[Site]],'Important Info!'!$A$1:$H$135,8,FALSE)</f>
        <v>-</v>
      </c>
      <c r="L669" s="52" t="str">
        <f>VLOOKUP(Tabla3[[#This Row],[Site]],'Important Info!'!$A$1:$F$135,2,FALSE)</f>
        <v>-</v>
      </c>
      <c r="M669" s="52" t="str">
        <f>VLOOKUP(Tabla3[[#This Row],[Site]],'Important Info!'!$A$1:$F$135,3,FALSE)</f>
        <v>1, 4, 6</v>
      </c>
      <c r="N669" s="52" t="str">
        <f>VLOOKUP(Tabla3[[#This Row],[Site]],'Important Info!'!$A$1:$F$135,4,FALSE)</f>
        <v>-</v>
      </c>
      <c r="O669" s="52" t="str">
        <f>VLOOKUP(Tabla3[[#This Row],[Site]],'Important Info!'!$A$1:$F$135,5,FALSE)</f>
        <v>4, 10</v>
      </c>
      <c r="P669" s="52" t="str">
        <f>VLOOKUP(Tabla3[[#This Row],[Site]],'Important Info!'!$A$1:$F$135,6,FALSE)</f>
        <v>-</v>
      </c>
      <c r="Q669" s="91">
        <f>VLOOKUP(Tabla3[[#This Row],[Site]],'Important Info!'!$A$1:$J$135,9,FALSE)</f>
        <v>275</v>
      </c>
    </row>
    <row r="670" spans="1:17" x14ac:dyDescent="0.25">
      <c r="A670" t="str">
        <f>+Tabla3[[#This Row],[Site]]&amp;Tabla3[[#This Row],[Split]]</f>
        <v>(ML) McLarty-Gray Daniels Chevrolet9</v>
      </c>
      <c r="B670">
        <v>9</v>
      </c>
      <c r="C670">
        <v>7</v>
      </c>
      <c r="D670" t="s">
        <v>33</v>
      </c>
      <c r="E670" t="s">
        <v>46</v>
      </c>
      <c r="F670" t="s">
        <v>151</v>
      </c>
      <c r="G670" t="s">
        <v>34</v>
      </c>
      <c r="H670" s="52" t="str">
        <f>VLOOKUP(Tabla3[[#This Row],[Site]],'Important Info!'!$A$1:$J$135,10,FALSE)</f>
        <v>https://tools.sig.systems/site/details/150</v>
      </c>
      <c r="I670" s="43"/>
      <c r="J670" t="s">
        <v>41</v>
      </c>
      <c r="K670" s="79" t="str">
        <f>VLOOKUP(Tabla3[[#This Row],[Site]],'Important Info!'!$A$1:$H$135,8,FALSE)</f>
        <v>-</v>
      </c>
      <c r="L670" s="52" t="str">
        <f>VLOOKUP(Tabla3[[#This Row],[Site]],'Important Info!'!$A$1:$F$135,2,FALSE)</f>
        <v>3, 4, 5, 22, 24, 26, 28, 36</v>
      </c>
      <c r="M670" s="52" t="str">
        <f>VLOOKUP(Tabla3[[#This Row],[Site]],'Important Info!'!$A$1:$F$135,3,FALSE)</f>
        <v>-</v>
      </c>
      <c r="N670" s="52" t="str">
        <f>VLOOKUP(Tabla3[[#This Row],[Site]],'Important Info!'!$A$1:$F$135,4,FALSE)</f>
        <v>-</v>
      </c>
      <c r="O670" s="52" t="str">
        <f>VLOOKUP(Tabla3[[#This Row],[Site]],'Important Info!'!$A$1:$F$135,5,FALSE)</f>
        <v>4, 7, 12, 26</v>
      </c>
      <c r="P670" s="52" t="str">
        <f>VLOOKUP(Tabla3[[#This Row],[Site]],'Important Info!'!$A$1:$F$135,6,FALSE)</f>
        <v>1, 3, 5, 6, 23, 24</v>
      </c>
      <c r="Q670" s="91">
        <f>VLOOKUP(Tabla3[[#This Row],[Site]],'Important Info!'!$A$1:$J$135,9,FALSE)</f>
        <v>150</v>
      </c>
    </row>
    <row r="671" spans="1:17" x14ac:dyDescent="0.25">
      <c r="A671" t="str">
        <f>+Tabla3[[#This Row],[Site]]&amp;Tabla3[[#This Row],[Split]]</f>
        <v>(PE) BMW Tenafly (NO TOURS)9</v>
      </c>
      <c r="B671">
        <v>9</v>
      </c>
      <c r="C671">
        <v>7</v>
      </c>
      <c r="D671" t="s">
        <v>485</v>
      </c>
      <c r="E671" t="s">
        <v>35</v>
      </c>
      <c r="F671" t="s">
        <v>173</v>
      </c>
      <c r="G671" t="s">
        <v>490</v>
      </c>
      <c r="H671" s="52" t="str">
        <f>VLOOKUP(Tabla3[[#This Row],[Site]],'Important Info!'!$A$1:$J$135,10,FALSE)</f>
        <v>https://tools.sig.systems/site/details/155</v>
      </c>
      <c r="I671" s="2"/>
      <c r="J671" t="s">
        <v>41</v>
      </c>
      <c r="K671" s="79" t="str">
        <f>VLOOKUP(Tabla3[[#This Row],[Site]],'Important Info!'!$A$1:$H$135,8,FALSE)</f>
        <v>-</v>
      </c>
      <c r="L671" s="52">
        <f>VLOOKUP(Tabla3[[#This Row],[Site]],'Important Info!'!$A$1:$F$135,2,FALSE)</f>
        <v>24</v>
      </c>
      <c r="M671" s="52" t="str">
        <f>VLOOKUP(Tabla3[[#This Row],[Site]],'Important Info!'!$A$1:$F$135,3,FALSE)</f>
        <v>1, 3, 4, 17, 23</v>
      </c>
      <c r="N671" s="52" t="str">
        <f>VLOOKUP(Tabla3[[#This Row],[Site]],'Important Info!'!$A$1:$F$135,4,FALSE)</f>
        <v>-</v>
      </c>
      <c r="O671" s="52" t="str">
        <f>VLOOKUP(Tabla3[[#This Row],[Site]],'Important Info!'!$A$1:$F$135,5,FALSE)</f>
        <v>-</v>
      </c>
      <c r="P671" s="52">
        <f>VLOOKUP(Tabla3[[#This Row],[Site]],'Important Info!'!$A$1:$F$135,6,FALSE)</f>
        <v>1</v>
      </c>
      <c r="Q671" s="91">
        <f>VLOOKUP(Tabla3[[#This Row],[Site]],'Important Info!'!$A$1:$J$135,9,FALSE)</f>
        <v>155</v>
      </c>
    </row>
    <row r="672" spans="1:17" x14ac:dyDescent="0.25">
      <c r="A672" t="str">
        <f>+Tabla3[[#This Row],[Site]]&amp;Tabla3[[#This Row],[Split]]</f>
        <v>(AS) Coggin Mercedes Benz Ft Pierce (NO TOURS)9</v>
      </c>
      <c r="B672">
        <v>9</v>
      </c>
      <c r="C672">
        <v>8</v>
      </c>
      <c r="D672" t="s">
        <v>62</v>
      </c>
      <c r="E672" t="s">
        <v>35</v>
      </c>
      <c r="F672" t="s">
        <v>502</v>
      </c>
      <c r="G672" t="s">
        <v>490</v>
      </c>
      <c r="H672" s="52" t="str">
        <f>VLOOKUP(Tabla3[[#This Row],[Site]],'Important Info!'!$A$1:$J$135,10,FALSE)</f>
        <v>https://tools.sig.systems/site/details/127</v>
      </c>
      <c r="I672" s="2" t="s">
        <v>179</v>
      </c>
      <c r="J672" t="s">
        <v>41</v>
      </c>
      <c r="K672" s="79" t="str">
        <f>VLOOKUP(Tabla3[[#This Row],[Site]],'Important Info!'!$A$1:$H$135,8,FALSE)</f>
        <v>-</v>
      </c>
      <c r="L672" s="52">
        <f>VLOOKUP(Tabla3[[#This Row],[Site]],'Important Info!'!$A$1:$F$135,2,FALSE)</f>
        <v>18</v>
      </c>
      <c r="M672" s="52" t="str">
        <f>VLOOKUP(Tabla3[[#This Row],[Site]],'Important Info!'!$A$1:$F$135,3,FALSE)</f>
        <v>1, 3</v>
      </c>
      <c r="N672" s="52" t="str">
        <f>VLOOKUP(Tabla3[[#This Row],[Site]],'Important Info!'!$A$1:$F$135,4,FALSE)</f>
        <v>-</v>
      </c>
      <c r="O672" s="52" t="str">
        <f>VLOOKUP(Tabla3[[#This Row],[Site]],'Important Info!'!$A$1:$F$135,5,FALSE)</f>
        <v>6, 10, 13</v>
      </c>
      <c r="P672" s="52" t="str">
        <f>VLOOKUP(Tabla3[[#This Row],[Site]],'Important Info!'!$A$1:$F$135,6,FALSE)</f>
        <v>1, 4, 5</v>
      </c>
      <c r="Q672" s="91">
        <f>VLOOKUP(Tabla3[[#This Row],[Site]],'Important Info!'!$A$1:$J$135,9,FALSE)</f>
        <v>127</v>
      </c>
    </row>
    <row r="673" spans="1:17" x14ac:dyDescent="0.25">
      <c r="A673" t="str">
        <f>+Tabla3[[#This Row],[Site]]&amp;Tabla3[[#This Row],[Split]]</f>
        <v>(AS) Courtesy Hyundai/Nissan Tampa (NO TOURS)9</v>
      </c>
      <c r="B673">
        <v>9</v>
      </c>
      <c r="C673">
        <v>8</v>
      </c>
      <c r="D673" t="s">
        <v>62</v>
      </c>
      <c r="E673" t="s">
        <v>35</v>
      </c>
      <c r="F673" t="s">
        <v>504</v>
      </c>
      <c r="G673" t="s">
        <v>490</v>
      </c>
      <c r="H673" s="52" t="str">
        <f>VLOOKUP(Tabla3[[#This Row],[Site]],'Important Info!'!$A$1:$J$135,10,FALSE)</f>
        <v>https://tools.sig.systems/site/details/128</v>
      </c>
      <c r="I673" s="66"/>
      <c r="J673" t="s">
        <v>484</v>
      </c>
      <c r="K673" s="79" t="str">
        <f>VLOOKUP(Tabla3[[#This Row],[Site]],'Important Info!'!$A$1:$H$135,8,FALSE)</f>
        <v>-</v>
      </c>
      <c r="L673" s="52" t="str">
        <f>VLOOKUP(Tabla3[[#This Row],[Site]],'Important Info!'!$A$1:$F$135,2,FALSE)</f>
        <v>1, 16, 25, 27, 32</v>
      </c>
      <c r="M673" s="52" t="str">
        <f>VLOOKUP(Tabla3[[#This Row],[Site]],'Important Info!'!$A$1:$F$135,3,FALSE)</f>
        <v>-</v>
      </c>
      <c r="N673" s="52" t="str">
        <f>VLOOKUP(Tabla3[[#This Row],[Site]],'Important Info!'!$A$1:$F$135,4,FALSE)</f>
        <v>-</v>
      </c>
      <c r="O673" s="52" t="str">
        <f>VLOOKUP(Tabla3[[#This Row],[Site]],'Important Info!'!$A$1:$F$135,5,FALSE)</f>
        <v>4, 10, 16</v>
      </c>
      <c r="P673" s="52" t="str">
        <f>VLOOKUP(Tabla3[[#This Row],[Site]],'Important Info!'!$A$1:$F$135,6,FALSE)</f>
        <v>24, 25, 26 &amp; Remote Lots</v>
      </c>
      <c r="Q673" s="91">
        <f>VLOOKUP(Tabla3[[#This Row],[Site]],'Important Info!'!$A$1:$J$135,9,FALSE)</f>
        <v>128</v>
      </c>
    </row>
    <row r="674" spans="1:17" x14ac:dyDescent="0.25">
      <c r="A674" t="str">
        <f>+Tabla3[[#This Row],[Site]]&amp;Tabla3[[#This Row],[Split]]</f>
        <v>(AS) Park Place JLR DFW Airport (NO TOURS)9</v>
      </c>
      <c r="B674">
        <v>9</v>
      </c>
      <c r="C674">
        <v>8</v>
      </c>
      <c r="D674" t="s">
        <v>33</v>
      </c>
      <c r="E674" t="s">
        <v>46</v>
      </c>
      <c r="F674" t="s">
        <v>516</v>
      </c>
      <c r="G674" t="s">
        <v>34</v>
      </c>
      <c r="H674" s="52" t="str">
        <f>VLOOKUP(Tabla3[[#This Row],[Site]],'Important Info!'!$A$1:$J$135,10,FALSE)</f>
        <v>https://tools.sig.systems/site/details/135</v>
      </c>
      <c r="J674" t="s">
        <v>41</v>
      </c>
      <c r="K674" s="79" t="str">
        <f>VLOOKUP(Tabla3[[#This Row],[Site]],'Important Info!'!$A$1:$H$135,8,FALSE)</f>
        <v>-</v>
      </c>
      <c r="L674" s="52" t="str">
        <f>VLOOKUP(Tabla3[[#This Row],[Site]],'Important Info!'!$A$1:$F$135,2,FALSE)</f>
        <v>6, 7, 18</v>
      </c>
      <c r="M674" s="52" t="str">
        <f>VLOOKUP(Tabla3[[#This Row],[Site]],'Important Info!'!$A$1:$F$135,3,FALSE)</f>
        <v>70, 79, 80</v>
      </c>
      <c r="N674" s="52" t="str">
        <f>VLOOKUP(Tabla3[[#This Row],[Site]],'Important Info!'!$A$1:$F$135,4,FALSE)</f>
        <v>83, 84</v>
      </c>
      <c r="O674" s="52" t="str">
        <f>VLOOKUP(Tabla3[[#This Row],[Site]],'Important Info!'!$A$1:$F$135,5,FALSE)</f>
        <v>3, 8, 14, 81</v>
      </c>
      <c r="P674" s="52">
        <f>VLOOKUP(Tabla3[[#This Row],[Site]],'Important Info!'!$A$1:$F$135,6,FALSE)</f>
        <v>6</v>
      </c>
      <c r="Q674" s="91">
        <f>VLOOKUP(Tabla3[[#This Row],[Site]],'Important Info!'!$A$1:$J$135,9,FALSE)</f>
        <v>135</v>
      </c>
    </row>
    <row r="675" spans="1:17" x14ac:dyDescent="0.25">
      <c r="A675" t="str">
        <f>+Tabla3[[#This Row],[Site]]&amp;Tabla3[[#This Row],[Split]]</f>
        <v>(AS) Park Place Mercedes Benz Ft. Worth (NO TOURS)9</v>
      </c>
      <c r="B675">
        <v>9</v>
      </c>
      <c r="C675">
        <v>8</v>
      </c>
      <c r="D675" t="s">
        <v>33</v>
      </c>
      <c r="E675" t="s">
        <v>46</v>
      </c>
      <c r="F675" t="s">
        <v>519</v>
      </c>
      <c r="G675" t="s">
        <v>34</v>
      </c>
      <c r="H675" s="52" t="str">
        <f>VLOOKUP(Tabla3[[#This Row],[Site]],'Important Info!'!$A$1:$J$135,10,FALSE)</f>
        <v>https://tools.sig.systems/site/details/137</v>
      </c>
      <c r="I675" t="s">
        <v>128</v>
      </c>
      <c r="J675" t="s">
        <v>41</v>
      </c>
      <c r="K675" s="79" t="s">
        <v>37</v>
      </c>
      <c r="L675" s="52" t="str">
        <f>VLOOKUP(Tabla3[[#This Row],[Site]],'Important Info!'!$A$1:$F$135,2,FALSE)</f>
        <v>4, 18</v>
      </c>
      <c r="M675" s="52" t="str">
        <f>VLOOKUP(Tabla3[[#This Row],[Site]],'Important Info!'!$A$1:$F$135,3,FALSE)</f>
        <v>-</v>
      </c>
      <c r="N675" s="52" t="str">
        <f>VLOOKUP(Tabla3[[#This Row],[Site]],'Important Info!'!$A$1:$F$135,4,FALSE)</f>
        <v>54, 55</v>
      </c>
      <c r="O675" s="52" t="str">
        <f>VLOOKUP(Tabla3[[#This Row],[Site]],'Important Info!'!$A$1:$F$135,5,FALSE)</f>
        <v>2, 18</v>
      </c>
      <c r="P675" s="52" t="str">
        <f>VLOOKUP(Tabla3[[#This Row],[Site]],'Important Info!'!$A$1:$F$135,6,FALSE)</f>
        <v>5, 18</v>
      </c>
      <c r="Q675" s="91">
        <f>VLOOKUP(Tabla3[[#This Row],[Site]],'Important Info!'!$A$1:$J$135,9,FALSE)</f>
        <v>137</v>
      </c>
    </row>
    <row r="676" spans="1:17" x14ac:dyDescent="0.25">
      <c r="A676" t="str">
        <f>+Tabla3[[#This Row],[Site]]&amp;Tabla3[[#This Row],[Split]]</f>
        <v>(DT) Colorado Springs (NO TOURS)9</v>
      </c>
      <c r="B676">
        <v>9</v>
      </c>
      <c r="C676">
        <v>8</v>
      </c>
      <c r="D676" t="s">
        <v>44</v>
      </c>
      <c r="E676" t="s">
        <v>53</v>
      </c>
      <c r="F676" t="s">
        <v>156</v>
      </c>
      <c r="G676" t="s">
        <v>45</v>
      </c>
      <c r="H676" s="52" t="str">
        <f>VLOOKUP(Tabla3[[#This Row],[Site]],'Important Info!'!$A$1:$J$135,10,FALSE)</f>
        <v>https://tools.sig.systems/site/details/198</v>
      </c>
      <c r="I676" s="2"/>
      <c r="J676" t="s">
        <v>41</v>
      </c>
      <c r="K676" s="79" t="str">
        <f>VLOOKUP(Tabla3[[#This Row],[Site]],'Important Info!'!$A$1:$H$135,8,FALSE)</f>
        <v>-</v>
      </c>
      <c r="L676" s="52" t="str">
        <f>VLOOKUP(Tabla3[[#This Row],[Site]],'Important Info!'!$A$1:$F$135,2,FALSE)</f>
        <v>-</v>
      </c>
      <c r="M676" s="52" t="str">
        <f>VLOOKUP(Tabla3[[#This Row],[Site]],'Important Info!'!$A$1:$F$135,3,FALSE)</f>
        <v>1, 2, 3, 4</v>
      </c>
      <c r="N676" s="52" t="str">
        <f>VLOOKUP(Tabla3[[#This Row],[Site]],'Important Info!'!$A$1:$F$135,4,FALSE)</f>
        <v>-</v>
      </c>
      <c r="O676" s="52" t="str">
        <f>VLOOKUP(Tabla3[[#This Row],[Site]],'Important Info!'!$A$1:$F$135,5,FALSE)</f>
        <v>-</v>
      </c>
      <c r="P676" s="52" t="str">
        <f>VLOOKUP(Tabla3[[#This Row],[Site]],'Important Info!'!$A$1:$F$135,6,FALSE)</f>
        <v>1, 2, 3, 11</v>
      </c>
      <c r="Q676" s="91">
        <f>VLOOKUP(Tabla3[[#This Row],[Site]],'Important Info!'!$A$1:$J$135,9,FALSE)</f>
        <v>198</v>
      </c>
    </row>
    <row r="677" spans="1:17" x14ac:dyDescent="0.25">
      <c r="A677" t="str">
        <f>+Tabla3[[#This Row],[Site]]&amp;Tabla3[[#This Row],[Split]]</f>
        <v>(KG) Clear Lake Pre-Owned9</v>
      </c>
      <c r="B677">
        <v>9</v>
      </c>
      <c r="C677">
        <v>8</v>
      </c>
      <c r="D677" t="s">
        <v>33</v>
      </c>
      <c r="E677" t="s">
        <v>46</v>
      </c>
      <c r="F677" t="s">
        <v>87</v>
      </c>
      <c r="G677" t="s">
        <v>34</v>
      </c>
      <c r="H677" s="52" t="str">
        <f>VLOOKUP(Tabla3[[#This Row],[Site]],'Important Info!'!$A$1:$J$135,10,FALSE)</f>
        <v>https://tools.sig.systems/site/details/255</v>
      </c>
      <c r="I677" s="2" t="s">
        <v>134</v>
      </c>
      <c r="J677" t="s">
        <v>41</v>
      </c>
      <c r="K677" s="79" t="str">
        <f>VLOOKUP(Tabla3[[#This Row],[Site]],'Important Info!'!$A$1:$H$135,8,FALSE)</f>
        <v>-</v>
      </c>
      <c r="L677" s="52" t="str">
        <f>VLOOKUP(Tabla3[[#This Row],[Site]],'Important Info!'!$A$1:$F$135,2,FALSE)</f>
        <v>3, 5</v>
      </c>
      <c r="M677" s="52" t="str">
        <f>VLOOKUP(Tabla3[[#This Row],[Site]],'Important Info!'!$A$1:$F$135,3,FALSE)</f>
        <v>-</v>
      </c>
      <c r="N677" s="52" t="str">
        <f>VLOOKUP(Tabla3[[#This Row],[Site]],'Important Info!'!$A$1:$F$135,4,FALSE)</f>
        <v>-</v>
      </c>
      <c r="O677" s="52" t="str">
        <f>VLOOKUP(Tabla3[[#This Row],[Site]],'Important Info!'!$A$1:$F$135,5,FALSE)</f>
        <v>4, 10, 22</v>
      </c>
      <c r="P677" s="52" t="str">
        <f>VLOOKUP(Tabla3[[#This Row],[Site]],'Important Info!'!$A$1:$F$135,6,FALSE)</f>
        <v>8, 15, 20</v>
      </c>
      <c r="Q677" s="91">
        <f>VLOOKUP(Tabla3[[#This Row],[Site]],'Important Info!'!$A$1:$J$135,9,FALSE)</f>
        <v>255</v>
      </c>
    </row>
    <row r="678" spans="1:17" x14ac:dyDescent="0.25">
      <c r="A678" t="str">
        <f>+Tabla3[[#This Row],[Site]]&amp;Tabla3[[#This Row],[Split]]</f>
        <v>(KG) JLR LEHI (NO TOURS)9</v>
      </c>
      <c r="B678">
        <v>9</v>
      </c>
      <c r="C678">
        <v>8</v>
      </c>
      <c r="D678" t="s">
        <v>44</v>
      </c>
      <c r="E678" t="s">
        <v>53</v>
      </c>
      <c r="F678" t="s">
        <v>8</v>
      </c>
      <c r="G678" t="s">
        <v>45</v>
      </c>
      <c r="H678" s="52" t="str">
        <f>VLOOKUP(Tabla3[[#This Row],[Site]],'Important Info!'!$A$1:$J$135,10,FALSE)</f>
        <v>https://tools.sig.systems/site/details/145</v>
      </c>
      <c r="J678" t="s">
        <v>41</v>
      </c>
      <c r="K678" s="79" t="str">
        <f>VLOOKUP(Tabla3[[#This Row],[Site]],'Important Info!'!$A$1:$H$135,8,FALSE)</f>
        <v>-</v>
      </c>
      <c r="L678" s="52" t="str">
        <f>VLOOKUP(Tabla3[[#This Row],[Site]],'Important Info!'!$A$1:$F$135,2,FALSE)</f>
        <v>1, 11</v>
      </c>
      <c r="M678" s="52" t="str">
        <f>VLOOKUP(Tabla3[[#This Row],[Site]],'Important Info!'!$A$1:$F$135,3,FALSE)</f>
        <v>-</v>
      </c>
      <c r="N678" s="52" t="str">
        <f>VLOOKUP(Tabla3[[#This Row],[Site]],'Important Info!'!$A$1:$F$135,4,FALSE)</f>
        <v>-</v>
      </c>
      <c r="O678" s="52" t="str">
        <f>VLOOKUP(Tabla3[[#This Row],[Site]],'Important Info!'!$A$1:$F$135,5,FALSE)</f>
        <v>1, 7, 11</v>
      </c>
      <c r="P678" s="52" t="str">
        <f>VLOOKUP(Tabla3[[#This Row],[Site]],'Important Info!'!$A$1:$F$135,6,FALSE)</f>
        <v>-</v>
      </c>
      <c r="Q678" s="91">
        <f>VLOOKUP(Tabla3[[#This Row],[Site]],'Important Info!'!$A$1:$J$135,9,FALSE)</f>
        <v>145</v>
      </c>
    </row>
    <row r="679" spans="1:17" x14ac:dyDescent="0.25">
      <c r="A679" t="str">
        <f>+Tabla3[[#This Row],[Site]]&amp;Tabla3[[#This Row],[Split]]</f>
        <v>(KG) Texan GMC Buick (NO TOURS)9</v>
      </c>
      <c r="B679">
        <v>9</v>
      </c>
      <c r="C679">
        <v>8</v>
      </c>
      <c r="D679" t="s">
        <v>33</v>
      </c>
      <c r="E679" t="s">
        <v>46</v>
      </c>
      <c r="F679" t="s">
        <v>111</v>
      </c>
      <c r="G679" t="s">
        <v>34</v>
      </c>
      <c r="H679" s="52" t="str">
        <f>VLOOKUP(Tabla3[[#This Row],[Site]],'Important Info!'!$A$1:$J$135,10,FALSE)</f>
        <v>https://tools.sig.systems/site/details/225</v>
      </c>
      <c r="I679" s="43" t="s">
        <v>137</v>
      </c>
      <c r="J679" t="s">
        <v>41</v>
      </c>
      <c r="K679" s="79" t="str">
        <f>VLOOKUP(Tabla3[[#This Row],[Site]],'Important Info!'!$A$1:$H$135,8,FALSE)</f>
        <v>-</v>
      </c>
      <c r="L679" s="52" t="str">
        <f>VLOOKUP(Tabla3[[#This Row],[Site]],'Important Info!'!$A$1:$F$135,2,FALSE)</f>
        <v>1, 20, 53</v>
      </c>
      <c r="M679" s="52" t="str">
        <f>VLOOKUP(Tabla3[[#This Row],[Site]],'Important Info!'!$A$1:$F$135,3,FALSE)</f>
        <v>-</v>
      </c>
      <c r="N679" s="52" t="str">
        <f>VLOOKUP(Tabla3[[#This Row],[Site]],'Important Info!'!$A$1:$F$135,4,FALSE)</f>
        <v>-</v>
      </c>
      <c r="O679" s="52" t="str">
        <f>VLOOKUP(Tabla3[[#This Row],[Site]],'Important Info!'!$A$1:$F$135,5,FALSE)</f>
        <v>2, 8, 14</v>
      </c>
      <c r="P679" s="52" t="str">
        <f>VLOOKUP(Tabla3[[#This Row],[Site]],'Important Info!'!$A$1:$F$135,6,FALSE)</f>
        <v>51, 52, 16</v>
      </c>
      <c r="Q679" s="91">
        <f>VLOOKUP(Tabla3[[#This Row],[Site]],'Important Info!'!$A$1:$J$135,9,FALSE)</f>
        <v>225</v>
      </c>
    </row>
    <row r="680" spans="1:17" x14ac:dyDescent="0.25">
      <c r="A680" t="str">
        <f>+Tabla3[[#This Row],[Site]]&amp;Tabla3[[#This Row],[Split]]</f>
        <v>(ML) Joe Machens VW9</v>
      </c>
      <c r="B680">
        <v>9</v>
      </c>
      <c r="C680">
        <v>8</v>
      </c>
      <c r="D680" t="s">
        <v>33</v>
      </c>
      <c r="E680" t="s">
        <v>46</v>
      </c>
      <c r="F680" t="s">
        <v>74</v>
      </c>
      <c r="G680" t="s">
        <v>34</v>
      </c>
      <c r="H680" s="52" t="str">
        <f>VLOOKUP(Tabla3[[#This Row],[Site]],'Important Info!'!$A$1:$J$135,10,FALSE)</f>
        <v>https://tools.sig.systems/site/details/274</v>
      </c>
      <c r="I680" s="2" t="s">
        <v>146</v>
      </c>
      <c r="J680" t="s">
        <v>41</v>
      </c>
      <c r="K680" s="79" t="str">
        <f>VLOOKUP(Tabla3[[#This Row],[Site]],'Important Info!'!$A$1:$H$135,8,FALSE)</f>
        <v>-</v>
      </c>
      <c r="L680" s="52" t="str">
        <f>VLOOKUP(Tabla3[[#This Row],[Site]],'Important Info!'!$A$1:$F$135,2,FALSE)</f>
        <v>-</v>
      </c>
      <c r="M680" s="52" t="str">
        <f>VLOOKUP(Tabla3[[#This Row],[Site]],'Important Info!'!$A$1:$F$135,3,FALSE)</f>
        <v>1, 11, 18</v>
      </c>
      <c r="N680" s="52" t="str">
        <f>VLOOKUP(Tabla3[[#This Row],[Site]],'Important Info!'!$A$1:$F$135,4,FALSE)</f>
        <v>-</v>
      </c>
      <c r="O680" s="52">
        <f>VLOOKUP(Tabla3[[#This Row],[Site]],'Important Info!'!$A$1:$F$135,5,FALSE)</f>
        <v>17</v>
      </c>
      <c r="P680" s="52" t="str">
        <f>VLOOKUP(Tabla3[[#This Row],[Site]],'Important Info!'!$A$1:$F$135,6,FALSE)</f>
        <v>-</v>
      </c>
      <c r="Q680" s="91">
        <f>VLOOKUP(Tabla3[[#This Row],[Site]],'Important Info!'!$A$1:$J$135,9,FALSE)</f>
        <v>274</v>
      </c>
    </row>
    <row r="681" spans="1:17" x14ac:dyDescent="0.25">
      <c r="A681" t="str">
        <f>+Tabla3[[#This Row],[Site]]&amp;Tabla3[[#This Row],[Split]]</f>
        <v>(ML) McLarty Gray-Daniels Toyota Nissan9</v>
      </c>
      <c r="B681">
        <v>9</v>
      </c>
      <c r="C681">
        <v>8</v>
      </c>
      <c r="D681" t="s">
        <v>33</v>
      </c>
      <c r="E681" t="s">
        <v>46</v>
      </c>
      <c r="F681" t="s">
        <v>90</v>
      </c>
      <c r="G681" t="s">
        <v>34</v>
      </c>
      <c r="H681" s="52" t="str">
        <f>VLOOKUP(Tabla3[[#This Row],[Site]],'Important Info!'!$A$1:$J$135,10,FALSE)</f>
        <v>https://tools.sig.systems/site/details/152</v>
      </c>
      <c r="I681" s="66" t="s">
        <v>150</v>
      </c>
      <c r="J681" t="s">
        <v>41</v>
      </c>
      <c r="K681" s="79" t="str">
        <f>VLOOKUP(Tabla3[[#This Row],[Site]],'Important Info!'!$A$1:$H$135,8,FALSE)</f>
        <v>-</v>
      </c>
      <c r="L681" s="52" t="str">
        <f>VLOOKUP(Tabla3[[#This Row],[Site]],'Important Info!'!$A$1:$F$135,2,FALSE)</f>
        <v>-</v>
      </c>
      <c r="M681" s="52" t="str">
        <f>VLOOKUP(Tabla3[[#This Row],[Site]],'Important Info!'!$A$1:$F$135,3,FALSE)</f>
        <v>8, 11, 39, 43</v>
      </c>
      <c r="N681" s="52" t="str">
        <f>VLOOKUP(Tabla3[[#This Row],[Site]],'Important Info!'!$A$1:$F$135,4,FALSE)</f>
        <v>-</v>
      </c>
      <c r="O681" s="52" t="str">
        <f>VLOOKUP(Tabla3[[#This Row],[Site]],'Important Info!'!$A$1:$F$135,5,FALSE)</f>
        <v>6, 11, 15, 18</v>
      </c>
      <c r="P681" s="52" t="str">
        <f>VLOOKUP(Tabla3[[#This Row],[Site]],'Important Info!'!$A$1:$F$135,6,FALSE)</f>
        <v>7, 8, 9</v>
      </c>
      <c r="Q681" s="91">
        <f>VLOOKUP(Tabla3[[#This Row],[Site]],'Important Info!'!$A$1:$J$135,9,FALSE)</f>
        <v>152</v>
      </c>
    </row>
    <row r="682" spans="1:17" x14ac:dyDescent="0.25">
      <c r="A682" t="str">
        <f>+Tabla3[[#This Row],[Site]]&amp;Tabla3[[#This Row],[Split]]</f>
        <v>(PE) Hudson Toyota Nissan CDJR (NO TOURS)9</v>
      </c>
      <c r="B682">
        <v>9</v>
      </c>
      <c r="C682">
        <v>8</v>
      </c>
      <c r="D682" t="s">
        <v>485</v>
      </c>
      <c r="E682" t="s">
        <v>35</v>
      </c>
      <c r="F682" t="s">
        <v>82</v>
      </c>
      <c r="G682" t="s">
        <v>490</v>
      </c>
      <c r="H682" s="52" t="str">
        <f>VLOOKUP(Tabla3[[#This Row],[Site]],'Important Info!'!$A$1:$J$135,10,FALSE)</f>
        <v>https://tools.sig.systems/site/details/156</v>
      </c>
      <c r="J682" t="s">
        <v>41</v>
      </c>
      <c r="K682" s="79" t="str">
        <f>VLOOKUP(Tabla3[[#This Row],[Site]],'Important Info!'!$A$1:$H$135,8,FALSE)</f>
        <v>-</v>
      </c>
      <c r="L682" s="52">
        <f>VLOOKUP(Tabla3[[#This Row],[Site]],'Important Info!'!$A$1:$F$135,2,FALSE)</f>
        <v>5</v>
      </c>
      <c r="M682" s="52" t="str">
        <f>VLOOKUP(Tabla3[[#This Row],[Site]],'Important Info!'!$A$1:$F$135,3,FALSE)</f>
        <v>3, 7, 18</v>
      </c>
      <c r="N682" s="52" t="str">
        <f>VLOOKUP(Tabla3[[#This Row],[Site]],'Important Info!'!$A$1:$F$135,4,FALSE)</f>
        <v>-</v>
      </c>
      <c r="O682" s="52">
        <f>VLOOKUP(Tabla3[[#This Row],[Site]],'Important Info!'!$A$1:$F$135,5,FALSE)</f>
        <v>84</v>
      </c>
      <c r="P682" s="52" t="str">
        <f>VLOOKUP(Tabla3[[#This Row],[Site]],'Important Info!'!$A$1:$F$135,6,FALSE)</f>
        <v>1, 2, 3, 4, 5, 6, 7, 8</v>
      </c>
      <c r="Q682" s="91">
        <f>VLOOKUP(Tabla3[[#This Row],[Site]],'Important Info!'!$A$1:$J$135,9,FALSE)</f>
        <v>156</v>
      </c>
    </row>
    <row r="683" spans="1:17" x14ac:dyDescent="0.25">
      <c r="A683" t="str">
        <f>+Tabla3[[#This Row],[Site]]&amp;Tabla3[[#This Row],[Split]]</f>
        <v>(SCH) Auto Body Shop Lake Park9</v>
      </c>
      <c r="B683">
        <v>9</v>
      </c>
      <c r="C683">
        <v>8</v>
      </c>
      <c r="D683" t="s">
        <v>62</v>
      </c>
      <c r="E683" t="s">
        <v>35</v>
      </c>
      <c r="F683" t="s">
        <v>189</v>
      </c>
      <c r="G683" t="s">
        <v>490</v>
      </c>
      <c r="H683" s="52" t="str">
        <f>VLOOKUP(Tabla3[[#This Row],[Site]],'Important Info!'!$A$1:$J$135,10,FALSE)</f>
        <v>https://tools.sig.systems/site/details/158</v>
      </c>
      <c r="I683" s="43"/>
      <c r="J683" t="s">
        <v>41</v>
      </c>
      <c r="K683" s="79" t="str">
        <f>VLOOKUP(Tabla3[[#This Row],[Site]],'Important Info!'!$A$1:$H$135,8,FALSE)</f>
        <v>-</v>
      </c>
      <c r="L683" s="52" t="str">
        <f>VLOOKUP(Tabla3[[#This Row],[Site]],'Important Info!'!$A$1:$F$135,2,FALSE)</f>
        <v>3, 10</v>
      </c>
      <c r="M683" s="52" t="str">
        <f>VLOOKUP(Tabla3[[#This Row],[Site]],'Important Info!'!$A$1:$F$135,3,FALSE)</f>
        <v>-</v>
      </c>
      <c r="N683" s="52" t="str">
        <f>VLOOKUP(Tabla3[[#This Row],[Site]],'Important Info!'!$A$1:$F$135,4,FALSE)</f>
        <v>-</v>
      </c>
      <c r="O683" s="52" t="str">
        <f>VLOOKUP(Tabla3[[#This Row],[Site]],'Important Info!'!$A$1:$F$135,5,FALSE)</f>
        <v>-</v>
      </c>
      <c r="P683" s="52" t="str">
        <f>VLOOKUP(Tabla3[[#This Row],[Site]],'Important Info!'!$A$1:$F$135,6,FALSE)</f>
        <v>-</v>
      </c>
      <c r="Q683" s="91">
        <f>VLOOKUP(Tabla3[[#This Row],[Site]],'Important Info!'!$A$1:$J$135,9,FALSE)</f>
        <v>158</v>
      </c>
    </row>
    <row r="684" spans="1:17" x14ac:dyDescent="0.25">
      <c r="A684" t="str">
        <f>+Tabla3[[#This Row],[Site]]&amp;Tabla3[[#This Row],[Split]]</f>
        <v>(AS) Courtesy CDJR of Brandon (NO TOURS)9</v>
      </c>
      <c r="B684">
        <v>9</v>
      </c>
      <c r="C684">
        <v>9</v>
      </c>
      <c r="D684" t="s">
        <v>62</v>
      </c>
      <c r="E684" t="s">
        <v>35</v>
      </c>
      <c r="F684" t="s">
        <v>503</v>
      </c>
      <c r="G684" t="s">
        <v>490</v>
      </c>
      <c r="H684" s="52" t="str">
        <f>VLOOKUP(Tabla3[[#This Row],[Site]],'Important Info!'!$A$1:$J$135,10,FALSE)</f>
        <v>https://tools.sig.systems/site/details/126</v>
      </c>
      <c r="I684" s="2" t="s">
        <v>181</v>
      </c>
      <c r="J684" t="s">
        <v>484</v>
      </c>
      <c r="K684" s="79" t="str">
        <f>VLOOKUP(Tabla3[[#This Row],[Site]],'Important Info!'!$A$1:$H$135,8,FALSE)</f>
        <v>-</v>
      </c>
      <c r="L684" s="52" t="str">
        <f>VLOOKUP(Tabla3[[#This Row],[Site]],'Important Info!'!$A$1:$F$135,2,FALSE)</f>
        <v>1, 14, 15</v>
      </c>
      <c r="M684" s="52">
        <f>VLOOKUP(Tabla3[[#This Row],[Site]],'Important Info!'!$A$1:$F$135,3,FALSE)</f>
        <v>1</v>
      </c>
      <c r="N684" s="52" t="str">
        <f>VLOOKUP(Tabla3[[#This Row],[Site]],'Important Info!'!$A$1:$F$135,4,FALSE)</f>
        <v>-</v>
      </c>
      <c r="O684" s="52" t="str">
        <f>VLOOKUP(Tabla3[[#This Row],[Site]],'Important Info!'!$A$1:$F$135,5,FALSE)</f>
        <v>2, 12</v>
      </c>
      <c r="P684" s="52" t="str">
        <f>VLOOKUP(Tabla3[[#This Row],[Site]],'Important Info!'!$A$1:$F$135,6,FALSE)</f>
        <v xml:space="preserve">1, 2, 3, 4, 14, 15, 21, 25 </v>
      </c>
      <c r="Q684" s="91">
        <f>VLOOKUP(Tabla3[[#This Row],[Site]],'Important Info!'!$A$1:$J$135,9,FALSE)</f>
        <v>126</v>
      </c>
    </row>
    <row r="685" spans="1:17" x14ac:dyDescent="0.25">
      <c r="A685" t="str">
        <f>+Tabla3[[#This Row],[Site]]&amp;Tabla3[[#This Row],[Split]]</f>
        <v>(AS) Courtesy Honda Palm Harbor (NO TOURS)9</v>
      </c>
      <c r="B685">
        <v>9</v>
      </c>
      <c r="C685">
        <v>9</v>
      </c>
      <c r="D685" t="s">
        <v>62</v>
      </c>
      <c r="E685" t="s">
        <v>35</v>
      </c>
      <c r="F685" t="s">
        <v>108</v>
      </c>
      <c r="G685" t="s">
        <v>490</v>
      </c>
      <c r="H685" s="52" t="str">
        <f>VLOOKUP(Tabla3[[#This Row],[Site]],'Important Info!'!$A$1:$J$135,10,FALSE)</f>
        <v>https://tools.sig.systems/site/details/176</v>
      </c>
      <c r="J685" t="s">
        <v>36</v>
      </c>
      <c r="K685" s="79" t="str">
        <f>VLOOKUP(Tabla3[[#This Row],[Site]],'Important Info!'!$A$1:$H$135,8,FALSE)</f>
        <v>-</v>
      </c>
      <c r="L685" s="52">
        <f>VLOOKUP(Tabla3[[#This Row],[Site]],'Important Info!'!$A$1:$F$135,2,FALSE)</f>
        <v>2</v>
      </c>
      <c r="M685" s="52" t="str">
        <f>VLOOKUP(Tabla3[[#This Row],[Site]],'Important Info!'!$A$1:$F$135,3,FALSE)</f>
        <v>-</v>
      </c>
      <c r="N685" s="52" t="str">
        <f>VLOOKUP(Tabla3[[#This Row],[Site]],'Important Info!'!$A$1:$F$135,4,FALSE)</f>
        <v>-</v>
      </c>
      <c r="O685" s="52" t="str">
        <f>VLOOKUP(Tabla3[[#This Row],[Site]],'Important Info!'!$A$1:$F$135,5,FALSE)</f>
        <v>4, 8, 21</v>
      </c>
      <c r="P685" s="52">
        <f>VLOOKUP(Tabla3[[#This Row],[Site]],'Important Info!'!$A$1:$F$135,6,FALSE)</f>
        <v>10</v>
      </c>
      <c r="Q685" s="91">
        <f>VLOOKUP(Tabla3[[#This Row],[Site]],'Important Info!'!$A$1:$J$135,9,FALSE)</f>
        <v>176</v>
      </c>
    </row>
    <row r="686" spans="1:17" x14ac:dyDescent="0.25">
      <c r="A686" t="str">
        <f>+Tabla3[[#This Row],[Site]]&amp;Tabla3[[#This Row],[Split]]</f>
        <v>(AS) Park Place MB Recon Center Dallas (NO TOURS)9</v>
      </c>
      <c r="B686">
        <v>9</v>
      </c>
      <c r="C686">
        <v>9</v>
      </c>
      <c r="D686" t="s">
        <v>33</v>
      </c>
      <c r="E686" t="s">
        <v>46</v>
      </c>
      <c r="F686" t="s">
        <v>517</v>
      </c>
      <c r="G686" t="s">
        <v>34</v>
      </c>
      <c r="H686" s="52" t="str">
        <f>VLOOKUP(Tabla3[[#This Row],[Site]],'Important Info!'!$A$1:$J$135,10,FALSE)</f>
        <v>https://tools.sig.systems/site/details/170</v>
      </c>
      <c r="I686" s="62" t="s">
        <v>125</v>
      </c>
      <c r="J686" t="s">
        <v>41</v>
      </c>
      <c r="K686" s="79" t="str">
        <f>VLOOKUP(Tabla3[[#This Row],[Site]],'Important Info!'!$A$1:$H$135,8,FALSE)</f>
        <v>-</v>
      </c>
      <c r="L686" s="52" t="str">
        <f>VLOOKUP(Tabla3[[#This Row],[Site]],'Important Info!'!$A$1:$F$135,2,FALSE)</f>
        <v>3, 39</v>
      </c>
      <c r="M686" s="52" t="str">
        <f>VLOOKUP(Tabla3[[#This Row],[Site]],'Important Info!'!$A$1:$F$135,3,FALSE)</f>
        <v>-</v>
      </c>
      <c r="N686" s="52" t="str">
        <f>VLOOKUP(Tabla3[[#This Row],[Site]],'Important Info!'!$A$1:$F$135,4,FALSE)</f>
        <v>-</v>
      </c>
      <c r="O686" s="52" t="str">
        <f>VLOOKUP(Tabla3[[#This Row],[Site]],'Important Info!'!$A$1:$F$135,5,FALSE)</f>
        <v>4, 11</v>
      </c>
      <c r="P686" s="52">
        <f>VLOOKUP(Tabla3[[#This Row],[Site]],'Important Info!'!$A$1:$F$135,6,FALSE)</f>
        <v>1</v>
      </c>
      <c r="Q686" s="91">
        <f>VLOOKUP(Tabla3[[#This Row],[Site]],'Important Info!'!$A$1:$J$135,9,FALSE)</f>
        <v>170</v>
      </c>
    </row>
    <row r="687" spans="1:17" x14ac:dyDescent="0.25">
      <c r="A687" t="str">
        <f>+Tabla3[[#This Row],[Site]]&amp;Tabla3[[#This Row],[Split]]</f>
        <v>(AS) Park Place Mercedes Benz Arlington (NO TOURS)9</v>
      </c>
      <c r="B687">
        <v>9</v>
      </c>
      <c r="C687">
        <v>9</v>
      </c>
      <c r="D687" t="s">
        <v>33</v>
      </c>
      <c r="E687" t="s">
        <v>46</v>
      </c>
      <c r="F687" t="s">
        <v>518</v>
      </c>
      <c r="G687" t="s">
        <v>34</v>
      </c>
      <c r="H687" s="52" t="str">
        <f>VLOOKUP(Tabla3[[#This Row],[Site]],'Important Info!'!$A$1:$J$135,10,FALSE)</f>
        <v>https://tools.sig.systems/site/details/169</v>
      </c>
      <c r="J687" t="s">
        <v>41</v>
      </c>
      <c r="K687" s="79" t="str">
        <f>VLOOKUP(Tabla3[[#This Row],[Site]],'Important Info!'!$A$1:$H$135,8,FALSE)</f>
        <v>-</v>
      </c>
      <c r="L687" s="52" t="str">
        <f>VLOOKUP(Tabla3[[#This Row],[Site]],'Important Info!'!$A$1:$F$135,2,FALSE)</f>
        <v>1, 9, 14</v>
      </c>
      <c r="M687" s="52" t="str">
        <f>VLOOKUP(Tabla3[[#This Row],[Site]],'Important Info!'!$A$1:$F$135,3,FALSE)</f>
        <v>-</v>
      </c>
      <c r="N687" s="52" t="str">
        <f>VLOOKUP(Tabla3[[#This Row],[Site]],'Important Info!'!$A$1:$F$135,4,FALSE)</f>
        <v>77, 78, 79, 80</v>
      </c>
      <c r="O687" s="52" t="str">
        <f>VLOOKUP(Tabla3[[#This Row],[Site]],'Important Info!'!$A$1:$F$135,5,FALSE)</f>
        <v>2, 10, 18, 22, 31, 40</v>
      </c>
      <c r="P687" s="52">
        <f>VLOOKUP(Tabla3[[#This Row],[Site]],'Important Info!'!$A$1:$F$135,6,FALSE)</f>
        <v>9</v>
      </c>
      <c r="Q687" s="91">
        <f>VLOOKUP(Tabla3[[#This Row],[Site]],'Important Info!'!$A$1:$J$135,9,FALSE)</f>
        <v>169</v>
      </c>
    </row>
    <row r="688" spans="1:17" x14ac:dyDescent="0.25">
      <c r="A688" t="str">
        <f>+Tabla3[[#This Row],[Site]]&amp;Tabla3[[#This Row],[Split]]</f>
        <v>(DT) Denver (NO TOURS)9</v>
      </c>
      <c r="B688">
        <v>9</v>
      </c>
      <c r="C688">
        <v>9</v>
      </c>
      <c r="D688" t="s">
        <v>44</v>
      </c>
      <c r="E688" t="s">
        <v>53</v>
      </c>
      <c r="F688" t="s">
        <v>157</v>
      </c>
      <c r="G688" t="s">
        <v>45</v>
      </c>
      <c r="H688" s="52" t="str">
        <f>VLOOKUP(Tabla3[[#This Row],[Site]],'Important Info!'!$A$1:$J$135,10,FALSE)</f>
        <v>https://tools.sig.systems/site/details/203</v>
      </c>
      <c r="I688" s="43" t="s">
        <v>158</v>
      </c>
      <c r="J688" t="s">
        <v>41</v>
      </c>
      <c r="K688" s="79" t="str">
        <f>VLOOKUP(Tabla3[[#This Row],[Site]],'Important Info!'!$A$1:$H$135,8,FALSE)</f>
        <v>-</v>
      </c>
      <c r="L688" s="52" t="str">
        <f>VLOOKUP(Tabla3[[#This Row],[Site]],'Important Info!'!$A$1:$F$135,2,FALSE)</f>
        <v>-</v>
      </c>
      <c r="M688" s="52" t="str">
        <f>VLOOKUP(Tabla3[[#This Row],[Site]],'Important Info!'!$A$1:$F$135,3,FALSE)</f>
        <v>7, 8</v>
      </c>
      <c r="N688" s="52" t="str">
        <f>VLOOKUP(Tabla3[[#This Row],[Site]],'Important Info!'!$A$1:$F$135,4,FALSE)</f>
        <v>-</v>
      </c>
      <c r="O688" s="52" t="str">
        <f>VLOOKUP(Tabla3[[#This Row],[Site]],'Important Info!'!$A$1:$F$135,5,FALSE)</f>
        <v>-</v>
      </c>
      <c r="P688" s="52" t="str">
        <f>VLOOKUP(Tabla3[[#This Row],[Site]],'Important Info!'!$A$1:$F$135,6,FALSE)</f>
        <v>7, 8</v>
      </c>
      <c r="Q688" s="91">
        <f>VLOOKUP(Tabla3[[#This Row],[Site]],'Important Info!'!$A$1:$J$135,9,FALSE)</f>
        <v>203</v>
      </c>
    </row>
    <row r="689" spans="1:17" x14ac:dyDescent="0.25">
      <c r="A689" t="str">
        <f>+Tabla3[[#This Row],[Site]]&amp;Tabla3[[#This Row],[Split]]</f>
        <v>(KG) Texan CDJR9</v>
      </c>
      <c r="B689">
        <v>9</v>
      </c>
      <c r="C689">
        <v>9</v>
      </c>
      <c r="D689" t="s">
        <v>33</v>
      </c>
      <c r="E689" t="s">
        <v>46</v>
      </c>
      <c r="F689" t="s">
        <v>70</v>
      </c>
      <c r="G689" t="s">
        <v>34</v>
      </c>
      <c r="H689" s="52" t="str">
        <f>VLOOKUP(Tabla3[[#This Row],[Site]],'Important Info!'!$A$1:$J$135,10,FALSE)</f>
        <v>https://tools.sig.systems/site/details/238</v>
      </c>
      <c r="I689" s="43" t="s">
        <v>137</v>
      </c>
      <c r="J689" t="s">
        <v>41</v>
      </c>
      <c r="K689" s="79" t="str">
        <f>VLOOKUP(Tabla3[[#This Row],[Site]],'Important Info!'!$A$1:$H$135,8,FALSE)</f>
        <v>-</v>
      </c>
      <c r="L689" s="52" t="str">
        <f>VLOOKUP(Tabla3[[#This Row],[Site]],'Important Info!'!$A$1:$F$135,2,FALSE)</f>
        <v>11, 12, 13, 14, 20, 32, 34, 36, 77</v>
      </c>
      <c r="M689" s="52" t="str">
        <f>VLOOKUP(Tabla3[[#This Row],[Site]],'Important Info!'!$A$1:$F$135,3,FALSE)</f>
        <v>-</v>
      </c>
      <c r="N689" s="52" t="str">
        <f>VLOOKUP(Tabla3[[#This Row],[Site]],'Important Info!'!$A$1:$F$135,4,FALSE)</f>
        <v>67, 68, 69, 70</v>
      </c>
      <c r="O689" s="52" t="str">
        <f>VLOOKUP(Tabla3[[#This Row],[Site]],'Important Info!'!$A$1:$F$135,5,FALSE)</f>
        <v>2, 10, 14, 25, 29, 35, 38</v>
      </c>
      <c r="P689" s="52" t="str">
        <f>VLOOKUP(Tabla3[[#This Row],[Site]],'Important Info!'!$A$1:$F$135,6,FALSE)</f>
        <v>36, 46</v>
      </c>
      <c r="Q689" s="91">
        <f>VLOOKUP(Tabla3[[#This Row],[Site]],'Important Info!'!$A$1:$J$135,9,FALSE)</f>
        <v>238</v>
      </c>
    </row>
    <row r="690" spans="1:17" x14ac:dyDescent="0.25">
      <c r="A690" t="str">
        <f>+Tabla3[[#This Row],[Site]]&amp;Tabla3[[#This Row],[Split]]</f>
        <v>(KT) Northwest CDJR (NO TOURS)9</v>
      </c>
      <c r="B690">
        <v>9</v>
      </c>
      <c r="C690">
        <v>9</v>
      </c>
      <c r="D690" t="s">
        <v>33</v>
      </c>
      <c r="E690" t="s">
        <v>46</v>
      </c>
      <c r="F690" t="s">
        <v>77</v>
      </c>
      <c r="G690" t="s">
        <v>34</v>
      </c>
      <c r="H690" s="52" t="str">
        <f>VLOOKUP(Tabla3[[#This Row],[Site]],'Important Info!'!$A$1:$J$135,10,FALSE)</f>
        <v>https://tools.sig.systems/site/details/229</v>
      </c>
      <c r="I690" s="66"/>
      <c r="J690" t="s">
        <v>41</v>
      </c>
      <c r="K690" s="79" t="str">
        <f>VLOOKUP(Tabla3[[#This Row],[Site]],'Important Info!'!$A$1:$H$135,8,FALSE)</f>
        <v>-</v>
      </c>
      <c r="L690" s="52" t="str">
        <f>VLOOKUP(Tabla3[[#This Row],[Site]],'Important Info!'!$A$1:$F$135,2,FALSE)</f>
        <v>1, 3, 11, 25</v>
      </c>
      <c r="M690" s="52" t="str">
        <f>VLOOKUP(Tabla3[[#This Row],[Site]],'Important Info!'!$A$1:$F$135,3,FALSE)</f>
        <v>-</v>
      </c>
      <c r="N690" s="52" t="str">
        <f>VLOOKUP(Tabla3[[#This Row],[Site]],'Important Info!'!$A$1:$F$135,4,FALSE)</f>
        <v>-</v>
      </c>
      <c r="O690" s="52" t="str">
        <f>VLOOKUP(Tabla3[[#This Row],[Site]],'Important Info!'!$A$1:$F$135,5,FALSE)</f>
        <v>4, 12, 18</v>
      </c>
      <c r="P690" s="52" t="str">
        <f>VLOOKUP(Tabla3[[#This Row],[Site]],'Important Info!'!$A$1:$F$135,6,FALSE)</f>
        <v>-</v>
      </c>
      <c r="Q690" s="91">
        <f>VLOOKUP(Tabla3[[#This Row],[Site]],'Important Info!'!$A$1:$J$135,9,FALSE)</f>
        <v>229</v>
      </c>
    </row>
    <row r="691" spans="1:17" x14ac:dyDescent="0.25">
      <c r="A691" t="str">
        <f>+Tabla3[[#This Row],[Site]]&amp;Tabla3[[#This Row],[Split]]</f>
        <v>(MK) McKenny Salinas Honda9</v>
      </c>
      <c r="B691">
        <v>9</v>
      </c>
      <c r="C691">
        <v>9</v>
      </c>
      <c r="D691" t="s">
        <v>62</v>
      </c>
      <c r="E691" t="s">
        <v>35</v>
      </c>
      <c r="F691" t="s">
        <v>115</v>
      </c>
      <c r="G691" t="s">
        <v>490</v>
      </c>
      <c r="H691" s="52" t="str">
        <f>VLOOKUP(Tabla3[[#This Row],[Site]],'Important Info!'!$A$1:$J$135,10,FALSE)</f>
        <v>https://tools.sig.systems/site/details/149</v>
      </c>
      <c r="J691" t="s">
        <v>41</v>
      </c>
      <c r="K691" s="79" t="str">
        <f>VLOOKUP(Tabla3[[#This Row],[Site]],'Important Info!'!$A$1:$H$135,8,FALSE)</f>
        <v>-</v>
      </c>
      <c r="L691" s="52" t="str">
        <f>VLOOKUP(Tabla3[[#This Row],[Site]],'Important Info!'!$A$1:$F$135,2,FALSE)</f>
        <v>-</v>
      </c>
      <c r="M691" s="52" t="str">
        <f>VLOOKUP(Tabla3[[#This Row],[Site]],'Important Info!'!$A$1:$F$135,3,FALSE)</f>
        <v>12, 16</v>
      </c>
      <c r="N691" s="52" t="str">
        <f>VLOOKUP(Tabla3[[#This Row],[Site]],'Important Info!'!$A$1:$F$135,4,FALSE)</f>
        <v>-</v>
      </c>
      <c r="O691" s="52" t="str">
        <f>VLOOKUP(Tabla3[[#This Row],[Site]],'Important Info!'!$A$1:$F$135,5,FALSE)</f>
        <v>-</v>
      </c>
      <c r="P691" s="52" t="str">
        <f>VLOOKUP(Tabla3[[#This Row],[Site]],'Important Info!'!$A$1:$F$135,6,FALSE)</f>
        <v>3, 4, 5, 6, 16</v>
      </c>
      <c r="Q691" s="91">
        <f>VLOOKUP(Tabla3[[#This Row],[Site]],'Important Info!'!$A$1:$J$135,9,FALSE)</f>
        <v>149</v>
      </c>
    </row>
    <row r="692" spans="1:17" x14ac:dyDescent="0.25">
      <c r="A692" t="str">
        <f>+Tabla3[[#This Row],[Site]]&amp;Tabla3[[#This Row],[Split]]</f>
        <v>(ML) Collision Center N Little Rock9</v>
      </c>
      <c r="B692">
        <v>9</v>
      </c>
      <c r="C692">
        <v>9</v>
      </c>
      <c r="D692" t="s">
        <v>33</v>
      </c>
      <c r="E692" t="s">
        <v>46</v>
      </c>
      <c r="F692" t="s">
        <v>141</v>
      </c>
      <c r="G692" t="s">
        <v>34</v>
      </c>
      <c r="H692" s="52" t="str">
        <f>VLOOKUP(Tabla3[[#This Row],[Site]],'Important Info!'!$A$1:$J$135,10,FALSE)</f>
        <v>https://tools.sig.systems/site/details/212</v>
      </c>
      <c r="I692" s="43" t="s">
        <v>142</v>
      </c>
      <c r="J692" t="s">
        <v>41</v>
      </c>
      <c r="K692" s="79" t="str">
        <f>VLOOKUP(Tabla3[[#This Row],[Site]],'Important Info!'!$A$1:$H$135,8,FALSE)</f>
        <v>-</v>
      </c>
      <c r="L692" s="52" t="str">
        <f>VLOOKUP(Tabla3[[#This Row],[Site]],'Important Info!'!$A$1:$F$135,2,FALSE)</f>
        <v>-</v>
      </c>
      <c r="M692" s="52" t="str">
        <f>VLOOKUP(Tabla3[[#This Row],[Site]],'Important Info!'!$A$1:$F$135,3,FALSE)</f>
        <v>-</v>
      </c>
      <c r="N692" s="52" t="str">
        <f>VLOOKUP(Tabla3[[#This Row],[Site]],'Important Info!'!$A$1:$F$135,4,FALSE)</f>
        <v>-</v>
      </c>
      <c r="O692" s="52" t="str">
        <f>VLOOKUP(Tabla3[[#This Row],[Site]],'Important Info!'!$A$1:$F$135,5,FALSE)</f>
        <v>-</v>
      </c>
      <c r="P692" s="52" t="str">
        <f>VLOOKUP(Tabla3[[#This Row],[Site]],'Important Info!'!$A$1:$F$135,6,FALSE)</f>
        <v>1, 3, 7, 8</v>
      </c>
      <c r="Q692" s="91">
        <f>VLOOKUP(Tabla3[[#This Row],[Site]],'Important Info!'!$A$1:$J$135,9,FALSE)</f>
        <v>212</v>
      </c>
    </row>
    <row r="693" spans="1:17" x14ac:dyDescent="0.25">
      <c r="A693" t="str">
        <f>+Tabla3[[#This Row],[Site]]&amp;Tabla3[[#This Row],[Split]]</f>
        <v>(ML) Mazda VW-Lot B9</v>
      </c>
      <c r="B693">
        <v>9</v>
      </c>
      <c r="C693">
        <v>9</v>
      </c>
      <c r="D693" t="s">
        <v>33</v>
      </c>
      <c r="E693" t="s">
        <v>46</v>
      </c>
      <c r="F693" t="s">
        <v>9</v>
      </c>
      <c r="G693" t="s">
        <v>34</v>
      </c>
      <c r="H693" s="52" t="str">
        <f>VLOOKUP(Tabla3[[#This Row],[Site]],'Important Info!'!$A$1:$J$135,10,FALSE)</f>
        <v>https://tools.sig.systems/site/details/205</v>
      </c>
      <c r="I693" s="2" t="s">
        <v>142</v>
      </c>
      <c r="J693" t="s">
        <v>41</v>
      </c>
      <c r="K693" s="79" t="str">
        <f>VLOOKUP(Tabla3[[#This Row],[Site]],'Important Info!'!$A$1:$H$135,8,FALSE)</f>
        <v>-</v>
      </c>
      <c r="L693" s="52" t="str">
        <f>VLOOKUP(Tabla3[[#This Row],[Site]],'Important Info!'!$A$1:$F$135,2,FALSE)</f>
        <v>9, 14, 16</v>
      </c>
      <c r="M693" s="52">
        <f>VLOOKUP(Tabla3[[#This Row],[Site]],'Important Info!'!$A$1:$F$135,3,FALSE)</f>
        <v>1</v>
      </c>
      <c r="N693" s="52" t="str">
        <f>VLOOKUP(Tabla3[[#This Row],[Site]],'Important Info!'!$A$1:$F$135,4,FALSE)</f>
        <v>-</v>
      </c>
      <c r="O693" s="52">
        <f>VLOOKUP(Tabla3[[#This Row],[Site]],'Important Info!'!$A$1:$F$135,5,FALSE)</f>
        <v>4</v>
      </c>
      <c r="P693" s="52" t="str">
        <f>VLOOKUP(Tabla3[[#This Row],[Site]],'Important Info!'!$A$1:$F$135,6,FALSE)</f>
        <v>-</v>
      </c>
      <c r="Q693" s="91">
        <f>VLOOKUP(Tabla3[[#This Row],[Site]],'Important Info!'!$A$1:$J$135,9,FALSE)</f>
        <v>205</v>
      </c>
    </row>
    <row r="694" spans="1:17" x14ac:dyDescent="0.25">
      <c r="A694" t="str">
        <f>+Tabla3[[#This Row],[Site]]&amp;Tabla3[[#This Row],[Split]]</f>
        <v>(ML) McLarty Gray-Daniels Ford Lincoln9</v>
      </c>
      <c r="B694">
        <v>9</v>
      </c>
      <c r="C694">
        <v>9</v>
      </c>
      <c r="D694" t="s">
        <v>33</v>
      </c>
      <c r="E694" t="s">
        <v>46</v>
      </c>
      <c r="F694" t="s">
        <v>89</v>
      </c>
      <c r="G694" t="s">
        <v>34</v>
      </c>
      <c r="H694" s="52" t="str">
        <f>VLOOKUP(Tabla3[[#This Row],[Site]],'Important Info!'!$A$1:$J$135,10,FALSE)</f>
        <v>https://tools.sig.systems/site/details/151</v>
      </c>
      <c r="I694" s="2" t="s">
        <v>150</v>
      </c>
      <c r="J694" t="s">
        <v>41</v>
      </c>
      <c r="K694" s="79" t="str">
        <f>VLOOKUP(Tabla3[[#This Row],[Site]],'Important Info!'!$A$1:$H$135,8,FALSE)</f>
        <v>-</v>
      </c>
      <c r="L694" s="52">
        <f>VLOOKUP(Tabla3[[#This Row],[Site]],'Important Info!'!$A$1:$F$135,2,FALSE)</f>
        <v>16</v>
      </c>
      <c r="M694" s="52" t="str">
        <f>VLOOKUP(Tabla3[[#This Row],[Site]],'Important Info!'!$A$1:$F$135,3,FALSE)</f>
        <v>5, 10, 36, 38, 54, 58B</v>
      </c>
      <c r="N694" s="52" t="str">
        <f>VLOOKUP(Tabla3[[#This Row],[Site]],'Important Info!'!$A$1:$F$135,4,FALSE)</f>
        <v>-</v>
      </c>
      <c r="O694" s="52" t="str">
        <f>VLOOKUP(Tabla3[[#This Row],[Site]],'Important Info!'!$A$1:$F$135,5,FALSE)</f>
        <v>5, 17, 37</v>
      </c>
      <c r="P694" s="52" t="str">
        <f>VLOOKUP(Tabla3[[#This Row],[Site]],'Important Info!'!$A$1:$F$135,6,FALSE)</f>
        <v>1, 2, 3, 4</v>
      </c>
      <c r="Q694" s="91">
        <f>VLOOKUP(Tabla3[[#This Row],[Site]],'Important Info!'!$A$1:$J$135,9,FALSE)</f>
        <v>151</v>
      </c>
    </row>
    <row r="695" spans="1:17" x14ac:dyDescent="0.25">
      <c r="A695" t="str">
        <f>+Tabla3[[#This Row],[Site]]&amp;Tabla3[[#This Row],[Split]]</f>
        <v>(PE) Fairfield Collision (NO TOURS)9</v>
      </c>
      <c r="B695">
        <v>9</v>
      </c>
      <c r="C695">
        <v>9</v>
      </c>
      <c r="D695" t="s">
        <v>485</v>
      </c>
      <c r="E695" t="s">
        <v>35</v>
      </c>
      <c r="F695" t="s">
        <v>63</v>
      </c>
      <c r="G695" t="s">
        <v>490</v>
      </c>
      <c r="H695" s="52" t="str">
        <f>VLOOKUP(Tabla3[[#This Row],[Site]],'Important Info!'!$A$1:$J$135,10,FALSE)</f>
        <v>https://tools.sig.systems/site/details/191</v>
      </c>
      <c r="I695" s="43"/>
      <c r="J695" t="s">
        <v>41</v>
      </c>
      <c r="K695" s="79" t="str">
        <f>VLOOKUP(Tabla3[[#This Row],[Site]],'Important Info!'!$A$1:$H$135,8,FALSE)</f>
        <v>-</v>
      </c>
      <c r="L695" s="52">
        <f>VLOOKUP(Tabla3[[#This Row],[Site]],'Important Info!'!$A$1:$F$135,2,FALSE)</f>
        <v>4</v>
      </c>
      <c r="M695" s="52" t="str">
        <f>VLOOKUP(Tabla3[[#This Row],[Site]],'Important Info!'!$A$1:$F$135,3,FALSE)</f>
        <v>-</v>
      </c>
      <c r="N695" s="52" t="str">
        <f>VLOOKUP(Tabla3[[#This Row],[Site]],'Important Info!'!$A$1:$F$135,4,FALSE)</f>
        <v>-</v>
      </c>
      <c r="O695" s="52" t="str">
        <f>VLOOKUP(Tabla3[[#This Row],[Site]],'Important Info!'!$A$1:$F$135,5,FALSE)</f>
        <v>-</v>
      </c>
      <c r="P695" s="52" t="str">
        <f>VLOOKUP(Tabla3[[#This Row],[Site]],'Important Info!'!$A$1:$F$135,6,FALSE)</f>
        <v>1, 2, 3, 4, 5, 6</v>
      </c>
      <c r="Q695" s="91">
        <f>VLOOKUP(Tabla3[[#This Row],[Site]],'Important Info!'!$A$1:$J$135,9,FALSE)</f>
        <v>191</v>
      </c>
    </row>
    <row r="696" spans="1:17" x14ac:dyDescent="0.25">
      <c r="A696" t="str">
        <f>+Tabla3[[#This Row],[Site]]&amp;Tabla3[[#This Row],[Split]]</f>
        <v>(PE) Honda of Danbury (NO TOURS)9</v>
      </c>
      <c r="B696">
        <v>9</v>
      </c>
      <c r="C696">
        <v>9</v>
      </c>
      <c r="D696" t="s">
        <v>485</v>
      </c>
      <c r="E696" t="s">
        <v>35</v>
      </c>
      <c r="F696" t="s">
        <v>174</v>
      </c>
      <c r="G696" t="s">
        <v>490</v>
      </c>
      <c r="H696" s="52" t="str">
        <f>VLOOKUP(Tabla3[[#This Row],[Site]],'Important Info!'!$A$1:$J$135,10,FALSE)</f>
        <v>https://tools.sig.systems/site/details/190</v>
      </c>
      <c r="I696" s="43"/>
      <c r="J696" t="s">
        <v>41</v>
      </c>
      <c r="K696" s="79" t="str">
        <f>VLOOKUP(Tabla3[[#This Row],[Site]],'Important Info!'!$A$1:$H$135,8,FALSE)</f>
        <v>-</v>
      </c>
      <c r="L696" s="52" t="str">
        <f>VLOOKUP(Tabla3[[#This Row],[Site]],'Important Info!'!$A$1:$F$135,2,FALSE)</f>
        <v>-</v>
      </c>
      <c r="M696" s="52" t="str">
        <f>VLOOKUP(Tabla3[[#This Row],[Site]],'Important Info!'!$A$1:$F$135,3,FALSE)</f>
        <v>20, 9</v>
      </c>
      <c r="N696" s="52">
        <f>VLOOKUP(Tabla3[[#This Row],[Site]],'Important Info!'!$A$1:$F$135,4,FALSE)</f>
        <v>9</v>
      </c>
      <c r="O696" s="52" t="str">
        <f>VLOOKUP(Tabla3[[#This Row],[Site]],'Important Info!'!$A$1:$F$135,5,FALSE)</f>
        <v>-</v>
      </c>
      <c r="P696" s="52" t="str">
        <f>VLOOKUP(Tabla3[[#This Row],[Site]],'Important Info!'!$A$1:$F$135,6,FALSE)</f>
        <v>9, 16, 17</v>
      </c>
      <c r="Q696" s="91">
        <f>VLOOKUP(Tabla3[[#This Row],[Site]],'Important Info!'!$A$1:$J$135,9,FALSE)</f>
        <v>190</v>
      </c>
    </row>
    <row r="697" spans="1:17" x14ac:dyDescent="0.25">
      <c r="A697" t="str">
        <f>+Tabla3[[#This Row],[Site]]&amp;Tabla3[[#This Row],[Split]]</f>
        <v>(RV) Sonny's Camp N Travel Concord9</v>
      </c>
      <c r="B697">
        <v>9</v>
      </c>
      <c r="C697">
        <v>9</v>
      </c>
      <c r="D697" t="s">
        <v>62</v>
      </c>
      <c r="E697" t="s">
        <v>35</v>
      </c>
      <c r="F697" t="s">
        <v>188</v>
      </c>
      <c r="G697" t="s">
        <v>490</v>
      </c>
      <c r="H697" s="52" t="str">
        <f>VLOOKUP(Tabla3[[#This Row],[Site]],'Important Info!'!$A$1:$J$135,10,FALSE)</f>
        <v>https://tools.sig.systems/site/details/183</v>
      </c>
      <c r="J697" t="s">
        <v>41</v>
      </c>
      <c r="K697" s="79" t="str">
        <f>VLOOKUP(Tabla3[[#This Row],[Site]],'Important Info!'!$A$1:$H$135,8,FALSE)</f>
        <v>-</v>
      </c>
      <c r="L697" s="52">
        <f>VLOOKUP(Tabla3[[#This Row],[Site]],'Important Info!'!$A$1:$F$135,2,FALSE)</f>
        <v>1</v>
      </c>
      <c r="M697" s="52" t="str">
        <f>VLOOKUP(Tabla3[[#This Row],[Site]],'Important Info!'!$A$1:$F$135,3,FALSE)</f>
        <v>-</v>
      </c>
      <c r="N697" s="52" t="str">
        <f>VLOOKUP(Tabla3[[#This Row],[Site]],'Important Info!'!$A$1:$F$135,4,FALSE)</f>
        <v>-</v>
      </c>
      <c r="O697" s="52">
        <f>VLOOKUP(Tabla3[[#This Row],[Site]],'Important Info!'!$A$1:$F$135,5,FALSE)</f>
        <v>7</v>
      </c>
      <c r="P697" s="52" t="str">
        <f>VLOOKUP(Tabla3[[#This Row],[Site]],'Important Info!'!$A$1:$F$135,6,FALSE)</f>
        <v>6, 7, 8, 9</v>
      </c>
      <c r="Q697" s="91">
        <f>VLOOKUP(Tabla3[[#This Row],[Site]],'Important Info!'!$A$1:$J$135,9,FALSE)</f>
        <v>183</v>
      </c>
    </row>
    <row r="698" spans="1:17" x14ac:dyDescent="0.25">
      <c r="A698" t="str">
        <f>+Tabla3[[#This Row],[Site]]&amp;Tabla3[[#This Row],[Split]]</f>
        <v>(AS) Courtesy Hyundai/Nissan Tampa (NO TOURS)10</v>
      </c>
      <c r="B698">
        <v>10</v>
      </c>
      <c r="C698">
        <v>1</v>
      </c>
      <c r="D698" t="s">
        <v>62</v>
      </c>
      <c r="E698" t="s">
        <v>35</v>
      </c>
      <c r="F698" t="s">
        <v>504</v>
      </c>
      <c r="G698" t="s">
        <v>490</v>
      </c>
      <c r="H698" s="52" t="str">
        <f>VLOOKUP(Tabla3[[#This Row],[Site]],'Important Info!'!$A$1:$J$135,10,FALSE)</f>
        <v>https://tools.sig.systems/site/details/128</v>
      </c>
      <c r="I698" s="43"/>
      <c r="J698" t="s">
        <v>484</v>
      </c>
      <c r="K698" s="79" t="str">
        <f>VLOOKUP(Tabla3[[#This Row],[Site]],'Important Info!'!$A$1:$H$135,8,FALSE)</f>
        <v>-</v>
      </c>
      <c r="L698" s="52" t="str">
        <f>VLOOKUP(Tabla3[[#This Row],[Site]],'Important Info!'!$A$1:$F$135,2,FALSE)</f>
        <v>1, 16, 25, 27, 32</v>
      </c>
      <c r="M698" s="52" t="str">
        <f>VLOOKUP(Tabla3[[#This Row],[Site]],'Important Info!'!$A$1:$F$135,3,FALSE)</f>
        <v>-</v>
      </c>
      <c r="N698" s="52" t="str">
        <f>VLOOKUP(Tabla3[[#This Row],[Site]],'Important Info!'!$A$1:$F$135,4,FALSE)</f>
        <v>-</v>
      </c>
      <c r="O698" s="52" t="str">
        <f>VLOOKUP(Tabla3[[#This Row],[Site]],'Important Info!'!$A$1:$F$135,5,FALSE)</f>
        <v>4, 10, 16</v>
      </c>
      <c r="P698" s="52" t="str">
        <f>VLOOKUP(Tabla3[[#This Row],[Site]],'Important Info!'!$A$1:$F$135,6,FALSE)</f>
        <v>24, 25, 26 &amp; Remote Lots</v>
      </c>
      <c r="Q698" s="91">
        <f>VLOOKUP(Tabla3[[#This Row],[Site]],'Important Info!'!$A$1:$J$135,9,FALSE)</f>
        <v>128</v>
      </c>
    </row>
    <row r="699" spans="1:17" x14ac:dyDescent="0.25">
      <c r="A699" t="str">
        <f>+Tabla3[[#This Row],[Site]]&amp;Tabla3[[#This Row],[Split]]</f>
        <v>(AS) Park Place Bodywerks Ft. Worth (NO TOURS)10</v>
      </c>
      <c r="B699">
        <v>10</v>
      </c>
      <c r="C699">
        <v>1</v>
      </c>
      <c r="D699" t="s">
        <v>33</v>
      </c>
      <c r="E699" t="s">
        <v>46</v>
      </c>
      <c r="F699" t="s">
        <v>515</v>
      </c>
      <c r="G699" t="s">
        <v>34</v>
      </c>
      <c r="H699" s="52" t="str">
        <f>VLOOKUP(Tabla3[[#This Row],[Site]],'Important Info!'!$A$1:$J$135,10,FALSE)</f>
        <v>https://tools.sig.systems/site/details/134</v>
      </c>
      <c r="I699" s="65" t="s">
        <v>128</v>
      </c>
      <c r="J699" t="s">
        <v>41</v>
      </c>
      <c r="K699" s="79" t="str">
        <f>VLOOKUP(Tabla3[[#This Row],[Site]],'Important Info!'!$A$1:$H$135,8,FALSE)</f>
        <v>-</v>
      </c>
      <c r="L699" s="52" t="str">
        <f>VLOOKUP(Tabla3[[#This Row],[Site]],'Important Info!'!$A$1:$F$135,2,FALSE)</f>
        <v>2, 3, RemoteLot5, RemoteLot9</v>
      </c>
      <c r="M699" s="52" t="str">
        <f>VLOOKUP(Tabla3[[#This Row],[Site]],'Important Info!'!$A$1:$F$135,3,FALSE)</f>
        <v>-</v>
      </c>
      <c r="N699" s="52" t="str">
        <f>VLOOKUP(Tabla3[[#This Row],[Site]],'Important Info!'!$A$1:$F$135,4,FALSE)</f>
        <v>-</v>
      </c>
      <c r="O699" s="52" t="str">
        <f>VLOOKUP(Tabla3[[#This Row],[Site]],'Important Info!'!$A$1:$F$135,5,FALSE)</f>
        <v>1, 7, RL1, RL5, RL9</v>
      </c>
      <c r="P699" s="52" t="str">
        <f>VLOOKUP(Tabla3[[#This Row],[Site]],'Important Info!'!$A$1:$F$135,6,FALSE)</f>
        <v>3, 4, 15</v>
      </c>
      <c r="Q699" s="91">
        <f>VLOOKUP(Tabla3[[#This Row],[Site]],'Important Info!'!$A$1:$J$135,9,FALSE)</f>
        <v>134</v>
      </c>
    </row>
    <row r="700" spans="1:17" x14ac:dyDescent="0.25">
      <c r="A700" t="str">
        <f>+Tabla3[[#This Row],[Site]]&amp;Tabla3[[#This Row],[Split]]</f>
        <v>(DT) N. Houston10</v>
      </c>
      <c r="B700">
        <v>10</v>
      </c>
      <c r="C700">
        <v>1</v>
      </c>
      <c r="D700" t="s">
        <v>33</v>
      </c>
      <c r="E700" t="s">
        <v>46</v>
      </c>
      <c r="F700" t="s">
        <v>68</v>
      </c>
      <c r="G700" t="s">
        <v>34</v>
      </c>
      <c r="H700" s="52" t="str">
        <f>VLOOKUP(Tabla3[[#This Row],[Site]],'Important Info!'!$A$1:$J$135,10,FALSE)</f>
        <v>https://tools.sig.systems/site/details/250</v>
      </c>
      <c r="I700" s="43"/>
      <c r="J700" t="s">
        <v>41</v>
      </c>
      <c r="K700" s="79" t="str">
        <f>VLOOKUP(Tabla3[[#This Row],[Site]],'Important Info!'!$A$1:$H$135,8,FALSE)</f>
        <v>-</v>
      </c>
      <c r="L700" s="52" t="str">
        <f>VLOOKUP(Tabla3[[#This Row],[Site]],'Important Info!'!$A$1:$F$135,2,FALSE)</f>
        <v>2, 10, 18</v>
      </c>
      <c r="M700" s="52" t="str">
        <f>VLOOKUP(Tabla3[[#This Row],[Site]],'Important Info!'!$A$1:$F$135,3,FALSE)</f>
        <v>-</v>
      </c>
      <c r="N700" s="52" t="str">
        <f>VLOOKUP(Tabla3[[#This Row],[Site]],'Important Info!'!$A$1:$F$135,4,FALSE)</f>
        <v>-</v>
      </c>
      <c r="O700" s="52">
        <f>VLOOKUP(Tabla3[[#This Row],[Site]],'Important Info!'!$A$1:$F$135,5,FALSE)</f>
        <v>15</v>
      </c>
      <c r="P700" s="52" t="str">
        <f>VLOOKUP(Tabla3[[#This Row],[Site]],'Important Info!'!$A$1:$F$135,6,FALSE)</f>
        <v>2, 4, 18</v>
      </c>
      <c r="Q700" s="91">
        <f>VLOOKUP(Tabla3[[#This Row],[Site]],'Important Info!'!$A$1:$J$135,9,FALSE)</f>
        <v>250</v>
      </c>
    </row>
    <row r="701" spans="1:17" x14ac:dyDescent="0.25">
      <c r="A701" t="str">
        <f>+Tabla3[[#This Row],[Site]]&amp;Tabla3[[#This Row],[Split]]</f>
        <v>(DT) W Houston10</v>
      </c>
      <c r="B701">
        <v>10</v>
      </c>
      <c r="C701">
        <v>1</v>
      </c>
      <c r="D701" t="s">
        <v>33</v>
      </c>
      <c r="E701" t="s">
        <v>46</v>
      </c>
      <c r="F701" t="s">
        <v>69</v>
      </c>
      <c r="G701" t="s">
        <v>34</v>
      </c>
      <c r="H701" s="52" t="str">
        <f>VLOOKUP(Tabla3[[#This Row],[Site]],'Important Info!'!$A$1:$J$135,10,FALSE)</f>
        <v>https://tools.sig.systems/site/details/197</v>
      </c>
      <c r="I701" s="2"/>
      <c r="J701" t="s">
        <v>41</v>
      </c>
      <c r="K701" s="79" t="str">
        <f>VLOOKUP(Tabla3[[#This Row],[Site]],'Important Info!'!$A$1:$H$135,8,FALSE)</f>
        <v>-</v>
      </c>
      <c r="L701" s="52">
        <f>VLOOKUP(Tabla3[[#This Row],[Site]],'Important Info!'!$A$1:$F$135,2,FALSE)</f>
        <v>7</v>
      </c>
      <c r="M701" s="52">
        <f>VLOOKUP(Tabla3[[#This Row],[Site]],'Important Info!'!$A$1:$F$135,3,FALSE)</f>
        <v>2</v>
      </c>
      <c r="N701" s="52" t="str">
        <f>VLOOKUP(Tabla3[[#This Row],[Site]],'Important Info!'!$A$1:$F$135,4,FALSE)</f>
        <v>-</v>
      </c>
      <c r="O701" s="52">
        <f>VLOOKUP(Tabla3[[#This Row],[Site]],'Important Info!'!$A$1:$F$135,5,FALSE)</f>
        <v>14</v>
      </c>
      <c r="P701" s="52" t="str">
        <f>VLOOKUP(Tabla3[[#This Row],[Site]],'Important Info!'!$A$1:$F$135,6,FALSE)</f>
        <v>2, 3, 7, 10</v>
      </c>
      <c r="Q701" s="91">
        <f>VLOOKUP(Tabla3[[#This Row],[Site]],'Important Info!'!$A$1:$J$135,9,FALSE)</f>
        <v>197</v>
      </c>
    </row>
    <row r="702" spans="1:17" x14ac:dyDescent="0.25">
      <c r="A702" t="str">
        <f>+Tabla3[[#This Row],[Site]]&amp;Tabla3[[#This Row],[Split]]</f>
        <v>(HUD) Acura of Greensboro10</v>
      </c>
      <c r="B702">
        <v>10</v>
      </c>
      <c r="C702">
        <v>1</v>
      </c>
      <c r="D702" t="s">
        <v>62</v>
      </c>
      <c r="E702" t="s">
        <v>35</v>
      </c>
      <c r="F702" t="s">
        <v>100</v>
      </c>
      <c r="G702" t="s">
        <v>490</v>
      </c>
      <c r="H702" s="52" t="str">
        <f>VLOOKUP(Tabla3[[#This Row],[Site]],'Important Info!'!$A$1:$J$135,10,FALSE)</f>
        <v>https://tools.sig.systems/site/details/213</v>
      </c>
      <c r="I702" t="s">
        <v>182</v>
      </c>
      <c r="J702" t="s">
        <v>41</v>
      </c>
      <c r="K702" s="79" t="str">
        <f>VLOOKUP(Tabla3[[#This Row],[Site]],'Important Info!'!$A$1:$H$135,8,FALSE)</f>
        <v>-</v>
      </c>
      <c r="L702" s="52" t="str">
        <f>VLOOKUP(Tabla3[[#This Row],[Site]],'Important Info!'!$A$1:$F$135,2,FALSE)</f>
        <v>1, 2, 6, 7, 9</v>
      </c>
      <c r="M702" s="52" t="str">
        <f>VLOOKUP(Tabla3[[#This Row],[Site]],'Important Info!'!$A$1:$F$135,3,FALSE)</f>
        <v>-</v>
      </c>
      <c r="N702" s="52" t="str">
        <f>VLOOKUP(Tabla3[[#This Row],[Site]],'Important Info!'!$A$1:$F$135,4,FALSE)</f>
        <v>-</v>
      </c>
      <c r="O702" s="52" t="str">
        <f>VLOOKUP(Tabla3[[#This Row],[Site]],'Important Info!'!$A$1:$F$135,5,FALSE)</f>
        <v>2, 5</v>
      </c>
      <c r="P702" s="52" t="str">
        <f>VLOOKUP(Tabla3[[#This Row],[Site]],'Important Info!'!$A$1:$F$135,6,FALSE)</f>
        <v>1, 2, 6, 7, 9, 18</v>
      </c>
      <c r="Q702" s="91">
        <f>VLOOKUP(Tabla3[[#This Row],[Site]],'Important Info!'!$A$1:$J$135,9,FALSE)</f>
        <v>213</v>
      </c>
    </row>
    <row r="703" spans="1:17" x14ac:dyDescent="0.25">
      <c r="A703" t="str">
        <f>+Tabla3[[#This Row],[Site]]&amp;Tabla3[[#This Row],[Split]]</f>
        <v>(KG) Clear Lake Pre-Owned10</v>
      </c>
      <c r="B703">
        <v>10</v>
      </c>
      <c r="C703">
        <v>1</v>
      </c>
      <c r="D703" t="s">
        <v>33</v>
      </c>
      <c r="E703" t="s">
        <v>46</v>
      </c>
      <c r="F703" t="s">
        <v>87</v>
      </c>
      <c r="G703" t="s">
        <v>34</v>
      </c>
      <c r="H703" s="52" t="str">
        <f>VLOOKUP(Tabla3[[#This Row],[Site]],'Important Info!'!$A$1:$J$135,10,FALSE)</f>
        <v>https://tools.sig.systems/site/details/255</v>
      </c>
      <c r="I703" s="2" t="s">
        <v>134</v>
      </c>
      <c r="J703" t="s">
        <v>41</v>
      </c>
      <c r="K703" s="79" t="str">
        <f>VLOOKUP(Tabla3[[#This Row],[Site]],'Important Info!'!$A$1:$H$135,8,FALSE)</f>
        <v>-</v>
      </c>
      <c r="L703" s="52" t="str">
        <f>VLOOKUP(Tabla3[[#This Row],[Site]],'Important Info!'!$A$1:$F$135,2,FALSE)</f>
        <v>3, 5</v>
      </c>
      <c r="M703" s="52" t="str">
        <f>VLOOKUP(Tabla3[[#This Row],[Site]],'Important Info!'!$A$1:$F$135,3,FALSE)</f>
        <v>-</v>
      </c>
      <c r="N703" s="52" t="str">
        <f>VLOOKUP(Tabla3[[#This Row],[Site]],'Important Info!'!$A$1:$F$135,4,FALSE)</f>
        <v>-</v>
      </c>
      <c r="O703" s="52" t="str">
        <f>VLOOKUP(Tabla3[[#This Row],[Site]],'Important Info!'!$A$1:$F$135,5,FALSE)</f>
        <v>4, 10, 22</v>
      </c>
      <c r="P703" s="52" t="str">
        <f>VLOOKUP(Tabla3[[#This Row],[Site]],'Important Info!'!$A$1:$F$135,6,FALSE)</f>
        <v>8, 15, 20</v>
      </c>
      <c r="Q703" s="91">
        <f>VLOOKUP(Tabla3[[#This Row],[Site]],'Important Info!'!$A$1:$J$135,9,FALSE)</f>
        <v>255</v>
      </c>
    </row>
    <row r="704" spans="1:17" x14ac:dyDescent="0.25">
      <c r="A704" t="str">
        <f>+Tabla3[[#This Row],[Site]]&amp;Tabla3[[#This Row],[Split]]</f>
        <v>(KG) Kia of Phoenix (NO TOURS)10</v>
      </c>
      <c r="B704">
        <v>10</v>
      </c>
      <c r="C704">
        <v>1</v>
      </c>
      <c r="D704" t="s">
        <v>51</v>
      </c>
      <c r="E704" t="s">
        <v>161</v>
      </c>
      <c r="F704" t="s">
        <v>94</v>
      </c>
      <c r="G704" t="s">
        <v>52</v>
      </c>
      <c r="H704" s="52" t="str">
        <f>VLOOKUP(Tabla3[[#This Row],[Site]],'Important Info!'!$A$1:$J$135,10,FALSE)</f>
        <v>https://tools.sig.systems/site/details/262</v>
      </c>
      <c r="J704" t="s">
        <v>162</v>
      </c>
      <c r="K704" s="79" t="str">
        <f>VLOOKUP(Tabla3[[#This Row],[Site]],'Important Info!'!$A$1:$H$135,8,FALSE)</f>
        <v>-</v>
      </c>
      <c r="L704" s="52" t="str">
        <f>VLOOKUP(Tabla3[[#This Row],[Site]],'Important Info!'!$A$1:$F$135,2,FALSE)</f>
        <v>5, 8, 23</v>
      </c>
      <c r="M704" s="52" t="str">
        <f>VLOOKUP(Tabla3[[#This Row],[Site]],'Important Info!'!$A$1:$F$135,3,FALSE)</f>
        <v>-</v>
      </c>
      <c r="N704" s="52" t="str">
        <f>VLOOKUP(Tabla3[[#This Row],[Site]],'Important Info!'!$A$1:$F$135,4,FALSE)</f>
        <v>-</v>
      </c>
      <c r="O704" s="52">
        <f>VLOOKUP(Tabla3[[#This Row],[Site]],'Important Info!'!$A$1:$F$135,5,FALSE)</f>
        <v>4</v>
      </c>
      <c r="P704" s="52" t="str">
        <f>VLOOKUP(Tabla3[[#This Row],[Site]],'Important Info!'!$A$1:$F$135,6,FALSE)</f>
        <v>-</v>
      </c>
      <c r="Q704" s="91">
        <f>VLOOKUP(Tabla3[[#This Row],[Site]],'Important Info!'!$A$1:$J$135,9,FALSE)</f>
        <v>262</v>
      </c>
    </row>
    <row r="705" spans="1:17" x14ac:dyDescent="0.25">
      <c r="A705" t="str">
        <f>+Tabla3[[#This Row],[Site]]&amp;Tabla3[[#This Row],[Split]]</f>
        <v>(KG) Truck Center Remote Storage Lot10</v>
      </c>
      <c r="B705">
        <v>10</v>
      </c>
      <c r="C705">
        <v>1</v>
      </c>
      <c r="D705" t="s">
        <v>60</v>
      </c>
      <c r="E705" t="s">
        <v>53</v>
      </c>
      <c r="F705" t="s">
        <v>61</v>
      </c>
      <c r="G705" t="s">
        <v>41</v>
      </c>
      <c r="H705" s="52" t="str">
        <f>VLOOKUP(Tabla3[[#This Row],[Site]],'Important Info!'!$A$1:$J$135,10,FALSE)</f>
        <v>https://tools.sig.systems/site/details/144</v>
      </c>
      <c r="I705" s="43"/>
      <c r="J705" t="s">
        <v>41</v>
      </c>
      <c r="K705" s="79" t="str">
        <f>VLOOKUP(Tabla3[[#This Row],[Site]],'Important Info!'!$A$1:$H$135,8,FALSE)</f>
        <v>-</v>
      </c>
      <c r="L705" s="52" t="str">
        <f>VLOOKUP(Tabla3[[#This Row],[Site]],'Important Info!'!$A$1:$F$135,2,FALSE)</f>
        <v>4, A23, A49</v>
      </c>
      <c r="M705" s="52" t="str">
        <f>VLOOKUP(Tabla3[[#This Row],[Site]],'Important Info!'!$A$1:$F$135,3,FALSE)</f>
        <v>5, 24</v>
      </c>
      <c r="N705" s="52" t="str">
        <f>VLOOKUP(Tabla3[[#This Row],[Site]],'Important Info!'!$A$1:$F$135,4,FALSE)</f>
        <v>-</v>
      </c>
      <c r="O705" s="52" t="str">
        <f>VLOOKUP(Tabla3[[#This Row],[Site]],'Important Info!'!$A$1:$F$135,5,FALSE)</f>
        <v>1, 7, 11, 15, 19, 24, 25</v>
      </c>
      <c r="P705" s="52" t="str">
        <f>VLOOKUP(Tabla3[[#This Row],[Site]],'Important Info!'!$A$1:$F$135,6,FALSE)</f>
        <v>9, 20, 24, A49</v>
      </c>
      <c r="Q705" s="91">
        <f>VLOOKUP(Tabla3[[#This Row],[Site]],'Important Info!'!$A$1:$J$135,9,FALSE)</f>
        <v>144</v>
      </c>
    </row>
    <row r="706" spans="1:17" x14ac:dyDescent="0.25">
      <c r="A706" t="str">
        <f>+Tabla3[[#This Row],[Site]]&amp;Tabla3[[#This Row],[Split]]</f>
        <v>(KT) Northwest CDJR (NO TOURS)10</v>
      </c>
      <c r="B706">
        <v>10</v>
      </c>
      <c r="C706">
        <v>1</v>
      </c>
      <c r="D706" t="s">
        <v>33</v>
      </c>
      <c r="E706" t="s">
        <v>46</v>
      </c>
      <c r="F706" t="s">
        <v>77</v>
      </c>
      <c r="G706" t="s">
        <v>34</v>
      </c>
      <c r="H706" s="52" t="str">
        <f>VLOOKUP(Tabla3[[#This Row],[Site]],'Important Info!'!$A$1:$J$135,10,FALSE)</f>
        <v>https://tools.sig.systems/site/details/229</v>
      </c>
      <c r="I706" s="43"/>
      <c r="J706" t="s">
        <v>41</v>
      </c>
      <c r="K706" s="79" t="str">
        <f>VLOOKUP(Tabla3[[#This Row],[Site]],'Important Info!'!$A$1:$H$135,8,FALSE)</f>
        <v>-</v>
      </c>
      <c r="L706" s="52" t="str">
        <f>VLOOKUP(Tabla3[[#This Row],[Site]],'Important Info!'!$A$1:$F$135,2,FALSE)</f>
        <v>1, 3, 11, 25</v>
      </c>
      <c r="M706" s="52" t="str">
        <f>VLOOKUP(Tabla3[[#This Row],[Site]],'Important Info!'!$A$1:$F$135,3,FALSE)</f>
        <v>-</v>
      </c>
      <c r="N706" s="52" t="str">
        <f>VLOOKUP(Tabla3[[#This Row],[Site]],'Important Info!'!$A$1:$F$135,4,FALSE)</f>
        <v>-</v>
      </c>
      <c r="O706" s="52" t="str">
        <f>VLOOKUP(Tabla3[[#This Row],[Site]],'Important Info!'!$A$1:$F$135,5,FALSE)</f>
        <v>4, 12, 18</v>
      </c>
      <c r="P706" s="52" t="str">
        <f>VLOOKUP(Tabla3[[#This Row],[Site]],'Important Info!'!$A$1:$F$135,6,FALSE)</f>
        <v>-</v>
      </c>
      <c r="Q706" s="91">
        <f>VLOOKUP(Tabla3[[#This Row],[Site]],'Important Info!'!$A$1:$J$135,9,FALSE)</f>
        <v>229</v>
      </c>
    </row>
    <row r="707" spans="1:17" x14ac:dyDescent="0.25">
      <c r="A707" t="str">
        <f>+Tabla3[[#This Row],[Site]]&amp;Tabla3[[#This Row],[Split]]</f>
        <v>(ML) McLarty Gray-Daniels Ford Lincoln10</v>
      </c>
      <c r="B707">
        <v>10</v>
      </c>
      <c r="C707">
        <v>1</v>
      </c>
      <c r="D707" t="s">
        <v>33</v>
      </c>
      <c r="E707" t="s">
        <v>46</v>
      </c>
      <c r="F707" t="s">
        <v>89</v>
      </c>
      <c r="G707" t="s">
        <v>34</v>
      </c>
      <c r="H707" s="52" t="str">
        <f>VLOOKUP(Tabla3[[#This Row],[Site]],'Important Info!'!$A$1:$J$135,10,FALSE)</f>
        <v>https://tools.sig.systems/site/details/151</v>
      </c>
      <c r="I707" s="2" t="s">
        <v>150</v>
      </c>
      <c r="J707" t="s">
        <v>41</v>
      </c>
      <c r="K707" s="79" t="str">
        <f>VLOOKUP(Tabla3[[#This Row],[Site]],'Important Info!'!$A$1:$H$135,8,FALSE)</f>
        <v>-</v>
      </c>
      <c r="L707" s="52">
        <f>VLOOKUP(Tabla3[[#This Row],[Site]],'Important Info!'!$A$1:$F$135,2,FALSE)</f>
        <v>16</v>
      </c>
      <c r="M707" s="52" t="str">
        <f>VLOOKUP(Tabla3[[#This Row],[Site]],'Important Info!'!$A$1:$F$135,3,FALSE)</f>
        <v>5, 10, 36, 38, 54, 58B</v>
      </c>
      <c r="N707" s="52" t="str">
        <f>VLOOKUP(Tabla3[[#This Row],[Site]],'Important Info!'!$A$1:$F$135,4,FALSE)</f>
        <v>-</v>
      </c>
      <c r="O707" s="52" t="str">
        <f>VLOOKUP(Tabla3[[#This Row],[Site]],'Important Info!'!$A$1:$F$135,5,FALSE)</f>
        <v>5, 17, 37</v>
      </c>
      <c r="P707" s="52" t="str">
        <f>VLOOKUP(Tabla3[[#This Row],[Site]],'Important Info!'!$A$1:$F$135,6,FALSE)</f>
        <v>1, 2, 3, 4</v>
      </c>
      <c r="Q707" s="91">
        <f>VLOOKUP(Tabla3[[#This Row],[Site]],'Important Info!'!$A$1:$J$135,9,FALSE)</f>
        <v>151</v>
      </c>
    </row>
    <row r="708" spans="1:17" x14ac:dyDescent="0.25">
      <c r="A708" t="str">
        <f>+Tabla3[[#This Row],[Site]]&amp;Tabla3[[#This Row],[Split]]</f>
        <v>(PE) Hudson Toyota Nissan CDJR (NO TOURS)10</v>
      </c>
      <c r="B708">
        <v>10</v>
      </c>
      <c r="C708">
        <v>1</v>
      </c>
      <c r="D708" t="s">
        <v>485</v>
      </c>
      <c r="E708" t="s">
        <v>35</v>
      </c>
      <c r="F708" t="s">
        <v>82</v>
      </c>
      <c r="G708" t="s">
        <v>490</v>
      </c>
      <c r="H708" s="52" t="str">
        <f>VLOOKUP(Tabla3[[#This Row],[Site]],'Important Info!'!$A$1:$J$135,10,FALSE)</f>
        <v>https://tools.sig.systems/site/details/156</v>
      </c>
      <c r="J708" t="s">
        <v>41</v>
      </c>
      <c r="K708" s="79" t="str">
        <f>VLOOKUP(Tabla3[[#This Row],[Site]],'Important Info!'!$A$1:$H$135,8,FALSE)</f>
        <v>-</v>
      </c>
      <c r="L708" s="52">
        <f>VLOOKUP(Tabla3[[#This Row],[Site]],'Important Info!'!$A$1:$F$135,2,FALSE)</f>
        <v>5</v>
      </c>
      <c r="M708" s="52" t="str">
        <f>VLOOKUP(Tabla3[[#This Row],[Site]],'Important Info!'!$A$1:$F$135,3,FALSE)</f>
        <v>3, 7, 18</v>
      </c>
      <c r="N708" s="52" t="str">
        <f>VLOOKUP(Tabla3[[#This Row],[Site]],'Important Info!'!$A$1:$F$135,4,FALSE)</f>
        <v>-</v>
      </c>
      <c r="O708" s="52">
        <f>VLOOKUP(Tabla3[[#This Row],[Site]],'Important Info!'!$A$1:$F$135,5,FALSE)</f>
        <v>84</v>
      </c>
      <c r="P708" s="52" t="str">
        <f>VLOOKUP(Tabla3[[#This Row],[Site]],'Important Info!'!$A$1:$F$135,6,FALSE)</f>
        <v>1, 2, 3, 4, 5, 6, 7, 8</v>
      </c>
      <c r="Q708" s="91">
        <f>VLOOKUP(Tabla3[[#This Row],[Site]],'Important Info!'!$A$1:$J$135,9,FALSE)</f>
        <v>156</v>
      </c>
    </row>
    <row r="709" spans="1:17" x14ac:dyDescent="0.25">
      <c r="A709" t="str">
        <f>+Tabla3[[#This Row],[Site]]&amp;Tabla3[[#This Row],[Split]]</f>
        <v>(RV) Toms Camperland Avondale (NO TOURS)10</v>
      </c>
      <c r="B709">
        <v>10</v>
      </c>
      <c r="C709">
        <v>1</v>
      </c>
      <c r="D709" t="s">
        <v>51</v>
      </c>
      <c r="E709" t="s">
        <v>161</v>
      </c>
      <c r="F709" t="s">
        <v>80</v>
      </c>
      <c r="G709" t="s">
        <v>52</v>
      </c>
      <c r="H709" s="52" t="str">
        <f>VLOOKUP(Tabla3[[#This Row],[Site]],'Important Info!'!$A$1:$J$135,10,FALSE)</f>
        <v>https://tools.sig.systems/site/details/248</v>
      </c>
      <c r="I709" s="2" t="s">
        <v>163</v>
      </c>
      <c r="J709" t="s">
        <v>164</v>
      </c>
      <c r="K709" s="79" t="str">
        <f>VLOOKUP(Tabla3[[#This Row],[Site]],'Important Info!'!$A$1:$H$135,8,FALSE)</f>
        <v>-</v>
      </c>
      <c r="L709" s="52">
        <f>VLOOKUP(Tabla3[[#This Row],[Site]],'Important Info!'!$A$1:$F$135,2,FALSE)</f>
        <v>10</v>
      </c>
      <c r="M709" s="52" t="str">
        <f>VLOOKUP(Tabla3[[#This Row],[Site]],'Important Info!'!$A$1:$F$135,3,FALSE)</f>
        <v>2, 7</v>
      </c>
      <c r="N709" s="52" t="str">
        <f>VLOOKUP(Tabla3[[#This Row],[Site]],'Important Info!'!$A$1:$F$135,4,FALSE)</f>
        <v>-</v>
      </c>
      <c r="O709" s="52" t="str">
        <f>VLOOKUP(Tabla3[[#This Row],[Site]],'Important Info!'!$A$1:$F$135,5,FALSE)</f>
        <v>-</v>
      </c>
      <c r="P709" s="52" t="str">
        <f>VLOOKUP(Tabla3[[#This Row],[Site]],'Important Info!'!$A$1:$F$135,6,FALSE)</f>
        <v>2, 7, 8, 13, 15</v>
      </c>
      <c r="Q709" s="91">
        <f>VLOOKUP(Tabla3[[#This Row],[Site]],'Important Info!'!$A$1:$J$135,9,FALSE)</f>
        <v>248</v>
      </c>
    </row>
    <row r="710" spans="1:17" x14ac:dyDescent="0.25">
      <c r="A710" t="str">
        <f>+Tabla3[[#This Row],[Site]]&amp;Tabla3[[#This Row],[Split]]</f>
        <v>(AS) Nalley Lexus &amp; Remote Lot Roswell (NO TOURS)10</v>
      </c>
      <c r="B710">
        <v>10</v>
      </c>
      <c r="C710">
        <v>2</v>
      </c>
      <c r="D710" t="s">
        <v>60</v>
      </c>
      <c r="E710" t="s">
        <v>35</v>
      </c>
      <c r="F710" t="s">
        <v>511</v>
      </c>
      <c r="G710" t="s">
        <v>41</v>
      </c>
      <c r="H710" s="52" t="str">
        <f>VLOOKUP(Tabla3[[#This Row],[Site]],'Important Info!'!$A$1:$J$135,10,FALSE)</f>
        <v>https://tools.sig.systems/site/details/131</v>
      </c>
      <c r="I710" s="43" t="s">
        <v>166</v>
      </c>
      <c r="J710" t="s">
        <v>41</v>
      </c>
      <c r="K710" s="79" t="str">
        <f>VLOOKUP(Tabla3[[#This Row],[Site]],'Important Info!'!$A$1:$H$135,8,FALSE)</f>
        <v>Dealership 11PM to 5AM (Mon to Fri). Sunday Drop Time 1PM</v>
      </c>
      <c r="L710" s="52" t="str">
        <f>VLOOKUP(Tabla3[[#This Row],[Site]],'Important Info!'!$A$1:$F$135,2,FALSE)</f>
        <v>6, 13</v>
      </c>
      <c r="M710" s="52">
        <f>VLOOKUP(Tabla3[[#This Row],[Site]],'Important Info!'!$A$1:$F$135,3,FALSE)</f>
        <v>4</v>
      </c>
      <c r="N710" s="52">
        <f>VLOOKUP(Tabla3[[#This Row],[Site]],'Important Info!'!$A$1:$F$135,4,FALSE)</f>
        <v>1</v>
      </c>
      <c r="O710" s="52" t="str">
        <f>VLOOKUP(Tabla3[[#This Row],[Site]],'Important Info!'!$A$1:$F$135,5,FALSE)</f>
        <v>1, 8, 19</v>
      </c>
      <c r="P710" s="52" t="str">
        <f>VLOOKUP(Tabla3[[#This Row],[Site]],'Important Info!'!$A$1:$F$135,6,FALSE)</f>
        <v>4, 20</v>
      </c>
      <c r="Q710" s="91">
        <f>VLOOKUP(Tabla3[[#This Row],[Site]],'Important Info!'!$A$1:$J$135,9,FALSE)</f>
        <v>131</v>
      </c>
    </row>
    <row r="711" spans="1:17" x14ac:dyDescent="0.25">
      <c r="A711" t="str">
        <f>+Tabla3[[#This Row],[Site]]&amp;Tabla3[[#This Row],[Split]]</f>
        <v>(AS) Park Place Acura (NO TOURS)10</v>
      </c>
      <c r="B711">
        <v>10</v>
      </c>
      <c r="C711">
        <v>2</v>
      </c>
      <c r="D711" t="s">
        <v>33</v>
      </c>
      <c r="E711" t="s">
        <v>46</v>
      </c>
      <c r="F711" t="s">
        <v>513</v>
      </c>
      <c r="G711" t="s">
        <v>34</v>
      </c>
      <c r="H711" s="52" t="str">
        <f>VLOOKUP(Tabla3[[#This Row],[Site]],'Important Info!'!$A$1:$J$135,10,FALSE)</f>
        <v>https://tools.sig.systems/site/details/259</v>
      </c>
      <c r="I711" s="63" t="s">
        <v>127</v>
      </c>
      <c r="J711" t="s">
        <v>41</v>
      </c>
      <c r="K711" s="79" t="str">
        <f>VLOOKUP(Tabla3[[#This Row],[Site]],'Important Info!'!$A$1:$H$135,8,FALSE)</f>
        <v>-</v>
      </c>
      <c r="L711" s="52" t="str">
        <f>VLOOKUP(Tabla3[[#This Row],[Site]],'Important Info!'!$A$1:$F$135,2,FALSE)</f>
        <v>1, 2, 14, 16</v>
      </c>
      <c r="M711" s="52" t="str">
        <f>VLOOKUP(Tabla3[[#This Row],[Site]],'Important Info!'!$A$1:$F$135,3,FALSE)</f>
        <v>-</v>
      </c>
      <c r="N711" s="52" t="str">
        <f>VLOOKUP(Tabla3[[#This Row],[Site]],'Important Info!'!$A$1:$F$135,4,FALSE)</f>
        <v>-</v>
      </c>
      <c r="O711" s="52" t="str">
        <f>VLOOKUP(Tabla3[[#This Row],[Site]],'Important Info!'!$A$1:$F$135,5,FALSE)</f>
        <v>1, 7, 13</v>
      </c>
      <c r="P711" s="52" t="str">
        <f>VLOOKUP(Tabla3[[#This Row],[Site]],'Important Info!'!$A$1:$F$135,6,FALSE)</f>
        <v>-</v>
      </c>
      <c r="Q711" s="91">
        <f>VLOOKUP(Tabla3[[#This Row],[Site]],'Important Info!'!$A$1:$J$135,9,FALSE)</f>
        <v>259</v>
      </c>
    </row>
    <row r="712" spans="1:17" x14ac:dyDescent="0.25">
      <c r="A712" t="str">
        <f>+Tabla3[[#This Row],[Site]]&amp;Tabla3[[#This Row],[Split]]</f>
        <v>(HUD) BMW of Greensboro10</v>
      </c>
      <c r="B712">
        <v>10</v>
      </c>
      <c r="C712">
        <v>2</v>
      </c>
      <c r="D712" t="s">
        <v>62</v>
      </c>
      <c r="E712" t="s">
        <v>35</v>
      </c>
      <c r="F712" t="s">
        <v>183</v>
      </c>
      <c r="G712" t="s">
        <v>490</v>
      </c>
      <c r="H712" s="52" t="str">
        <f>VLOOKUP(Tabla3[[#This Row],[Site]],'Important Info!'!$A$1:$J$135,10,FALSE)</f>
        <v>https://tools.sig.systems/site/details/219</v>
      </c>
      <c r="I712" s="2" t="s">
        <v>184</v>
      </c>
      <c r="J712" t="s">
        <v>41</v>
      </c>
      <c r="K712" s="79" t="str">
        <f>VLOOKUP(Tabla3[[#This Row],[Site]],'Important Info!'!$A$1:$H$135,8,FALSE)</f>
        <v>-</v>
      </c>
      <c r="L712" s="52" t="str">
        <f>VLOOKUP(Tabla3[[#This Row],[Site]],'Important Info!'!$A$1:$F$135,2,FALSE)</f>
        <v>2, 20, 21</v>
      </c>
      <c r="M712" s="52" t="str">
        <f>VLOOKUP(Tabla3[[#This Row],[Site]],'Important Info!'!$A$1:$F$135,3,FALSE)</f>
        <v>-</v>
      </c>
      <c r="N712" s="52" t="str">
        <f>VLOOKUP(Tabla3[[#This Row],[Site]],'Important Info!'!$A$1:$F$135,4,FALSE)</f>
        <v>-</v>
      </c>
      <c r="O712" s="52" t="str">
        <f>VLOOKUP(Tabla3[[#This Row],[Site]],'Important Info!'!$A$1:$F$135,5,FALSE)</f>
        <v>12, 17</v>
      </c>
      <c r="P712" s="52" t="str">
        <f>VLOOKUP(Tabla3[[#This Row],[Site]],'Important Info!'!$A$1:$F$135,6,FALSE)</f>
        <v>1, 2, 6, 20</v>
      </c>
      <c r="Q712" s="91">
        <f>VLOOKUP(Tabla3[[#This Row],[Site]],'Important Info!'!$A$1:$J$135,9,FALSE)</f>
        <v>219</v>
      </c>
    </row>
    <row r="713" spans="1:17" x14ac:dyDescent="0.25">
      <c r="A713" t="str">
        <f>+Tabla3[[#This Row],[Site]]&amp;Tabla3[[#This Row],[Split]]</f>
        <v>(JE) Jim Ellis Ford Sandy Springs10</v>
      </c>
      <c r="B713">
        <v>10</v>
      </c>
      <c r="C713">
        <v>2</v>
      </c>
      <c r="D713" t="s">
        <v>62</v>
      </c>
      <c r="E713" t="s">
        <v>35</v>
      </c>
      <c r="F713" t="s">
        <v>187</v>
      </c>
      <c r="G713" t="s">
        <v>490</v>
      </c>
      <c r="H713" s="52" t="str">
        <f>VLOOKUP(Tabla3[[#This Row],[Site]],'Important Info!'!$A$1:$J$135,10,FALSE)</f>
        <v>https://tools.sig.systems/site/details/142</v>
      </c>
      <c r="I713" s="2"/>
      <c r="J713" t="s">
        <v>41</v>
      </c>
      <c r="K713" s="79" t="str">
        <f>VLOOKUP(Tabla3[[#This Row],[Site]],'Important Info!'!$A$1:$H$135,8,FALSE)</f>
        <v>-</v>
      </c>
      <c r="L713" s="52" t="str">
        <f>VLOOKUP(Tabla3[[#This Row],[Site]],'Important Info!'!$A$1:$F$135,2,FALSE)</f>
        <v>1, 5</v>
      </c>
      <c r="M713" s="52" t="str">
        <f>VLOOKUP(Tabla3[[#This Row],[Site]],'Important Info!'!$A$1:$F$135,3,FALSE)</f>
        <v>-</v>
      </c>
      <c r="N713" s="52" t="str">
        <f>VLOOKUP(Tabla3[[#This Row],[Site]],'Important Info!'!$A$1:$F$135,4,FALSE)</f>
        <v>-</v>
      </c>
      <c r="O713" s="52" t="str">
        <f>VLOOKUP(Tabla3[[#This Row],[Site]],'Important Info!'!$A$1:$F$135,5,FALSE)</f>
        <v>1, 5, 9, 26</v>
      </c>
      <c r="P713" s="52" t="str">
        <f>VLOOKUP(Tabla3[[#This Row],[Site]],'Important Info!'!$A$1:$F$135,6,FALSE)</f>
        <v>3, 4, 8, 28</v>
      </c>
      <c r="Q713" s="91">
        <f>VLOOKUP(Tabla3[[#This Row],[Site]],'Important Info!'!$A$1:$J$135,9,FALSE)</f>
        <v>142</v>
      </c>
    </row>
    <row r="714" spans="1:17" x14ac:dyDescent="0.25">
      <c r="A714" t="str">
        <f>+Tabla3[[#This Row],[Site]]&amp;Tabla3[[#This Row],[Split]]</f>
        <v>(KG) JLR LEHI (NO TOURS)10</v>
      </c>
      <c r="B714">
        <v>10</v>
      </c>
      <c r="C714">
        <v>2</v>
      </c>
      <c r="D714" t="s">
        <v>44</v>
      </c>
      <c r="E714" t="s">
        <v>53</v>
      </c>
      <c r="F714" t="s">
        <v>8</v>
      </c>
      <c r="G714" t="s">
        <v>45</v>
      </c>
      <c r="H714" s="52" t="str">
        <f>VLOOKUP(Tabla3[[#This Row],[Site]],'Important Info!'!$A$1:$J$135,10,FALSE)</f>
        <v>https://tools.sig.systems/site/details/145</v>
      </c>
      <c r="I714" s="66"/>
      <c r="J714" t="s">
        <v>41</v>
      </c>
      <c r="K714" s="79" t="str">
        <f>VLOOKUP(Tabla3[[#This Row],[Site]],'Important Info!'!$A$1:$H$135,8,FALSE)</f>
        <v>-</v>
      </c>
      <c r="L714" s="52" t="str">
        <f>VLOOKUP(Tabla3[[#This Row],[Site]],'Important Info!'!$A$1:$F$135,2,FALSE)</f>
        <v>1, 11</v>
      </c>
      <c r="M714" s="52" t="str">
        <f>VLOOKUP(Tabla3[[#This Row],[Site]],'Important Info!'!$A$1:$F$135,3,FALSE)</f>
        <v>-</v>
      </c>
      <c r="N714" s="52" t="str">
        <f>VLOOKUP(Tabla3[[#This Row],[Site]],'Important Info!'!$A$1:$F$135,4,FALSE)</f>
        <v>-</v>
      </c>
      <c r="O714" s="52" t="str">
        <f>VLOOKUP(Tabla3[[#This Row],[Site]],'Important Info!'!$A$1:$F$135,5,FALSE)</f>
        <v>1, 7, 11</v>
      </c>
      <c r="P714" s="52" t="str">
        <f>VLOOKUP(Tabla3[[#This Row],[Site]],'Important Info!'!$A$1:$F$135,6,FALSE)</f>
        <v>-</v>
      </c>
      <c r="Q714" s="91">
        <f>VLOOKUP(Tabla3[[#This Row],[Site]],'Important Info!'!$A$1:$J$135,9,FALSE)</f>
        <v>145</v>
      </c>
    </row>
    <row r="715" spans="1:17" x14ac:dyDescent="0.25">
      <c r="A715" t="str">
        <f>+Tabla3[[#This Row],[Site]]&amp;Tabla3[[#This Row],[Split]]</f>
        <v>(KG) Texan CDJR10</v>
      </c>
      <c r="B715">
        <v>10</v>
      </c>
      <c r="C715">
        <v>2</v>
      </c>
      <c r="D715" t="s">
        <v>33</v>
      </c>
      <c r="E715" t="s">
        <v>46</v>
      </c>
      <c r="F715" t="s">
        <v>70</v>
      </c>
      <c r="G715" t="s">
        <v>34</v>
      </c>
      <c r="H715" s="52" t="str">
        <f>VLOOKUP(Tabla3[[#This Row],[Site]],'Important Info!'!$A$1:$J$135,10,FALSE)</f>
        <v>https://tools.sig.systems/site/details/238</v>
      </c>
      <c r="I715" s="43" t="s">
        <v>137</v>
      </c>
      <c r="J715" t="s">
        <v>41</v>
      </c>
      <c r="K715" s="79" t="str">
        <f>VLOOKUP(Tabla3[[#This Row],[Site]],'Important Info!'!$A$1:$H$135,8,FALSE)</f>
        <v>-</v>
      </c>
      <c r="L715" s="52" t="str">
        <f>VLOOKUP(Tabla3[[#This Row],[Site]],'Important Info!'!$A$1:$F$135,2,FALSE)</f>
        <v>11, 12, 13, 14, 20, 32, 34, 36, 77</v>
      </c>
      <c r="M715" s="52" t="str">
        <f>VLOOKUP(Tabla3[[#This Row],[Site]],'Important Info!'!$A$1:$F$135,3,FALSE)</f>
        <v>-</v>
      </c>
      <c r="N715" s="52" t="str">
        <f>VLOOKUP(Tabla3[[#This Row],[Site]],'Important Info!'!$A$1:$F$135,4,FALSE)</f>
        <v>67, 68, 69, 70</v>
      </c>
      <c r="O715" s="52" t="str">
        <f>VLOOKUP(Tabla3[[#This Row],[Site]],'Important Info!'!$A$1:$F$135,5,FALSE)</f>
        <v>2, 10, 14, 25, 29, 35, 38</v>
      </c>
      <c r="P715" s="52" t="str">
        <f>VLOOKUP(Tabla3[[#This Row],[Site]],'Important Info!'!$A$1:$F$135,6,FALSE)</f>
        <v>36, 46</v>
      </c>
      <c r="Q715" s="91">
        <f>VLOOKUP(Tabla3[[#This Row],[Site]],'Important Info!'!$A$1:$J$135,9,FALSE)</f>
        <v>238</v>
      </c>
    </row>
    <row r="716" spans="1:17" x14ac:dyDescent="0.25">
      <c r="A716" t="str">
        <f>+Tabla3[[#This Row],[Site]]&amp;Tabla3[[#This Row],[Split]]</f>
        <v>(ML) Columbia Honda (NO TOURS)10</v>
      </c>
      <c r="B716">
        <v>10</v>
      </c>
      <c r="C716">
        <v>2</v>
      </c>
      <c r="D716" t="s">
        <v>33</v>
      </c>
      <c r="E716" t="s">
        <v>46</v>
      </c>
      <c r="F716" t="s">
        <v>143</v>
      </c>
      <c r="G716" t="s">
        <v>34</v>
      </c>
      <c r="H716" s="52" t="str">
        <f>VLOOKUP(Tabla3[[#This Row],[Site]],'Important Info!'!$A$1:$J$135,10,FALSE)</f>
        <v>https://tools.sig.systems/site/details/272</v>
      </c>
      <c r="I716" s="43" t="s">
        <v>144</v>
      </c>
      <c r="J716" t="s">
        <v>41</v>
      </c>
      <c r="K716" s="79" t="str">
        <f>VLOOKUP(Tabla3[[#This Row],[Site]],'Important Info!'!$A$1:$H$135,8,FALSE)</f>
        <v>-</v>
      </c>
      <c r="L716" s="52" t="str">
        <f>VLOOKUP(Tabla3[[#This Row],[Site]],'Important Info!'!$A$1:$F$135,2,FALSE)</f>
        <v>-</v>
      </c>
      <c r="M716" s="52" t="str">
        <f>VLOOKUP(Tabla3[[#This Row],[Site]],'Important Info!'!$A$1:$F$135,3,FALSE)</f>
        <v>9, 19, 20</v>
      </c>
      <c r="N716" s="52" t="str">
        <f>VLOOKUP(Tabla3[[#This Row],[Site]],'Important Info!'!$A$1:$F$135,4,FALSE)</f>
        <v>-</v>
      </c>
      <c r="O716" s="52" t="str">
        <f>VLOOKUP(Tabla3[[#This Row],[Site]],'Important Info!'!$A$1:$F$135,5,FALSE)</f>
        <v>10, 17, 19</v>
      </c>
      <c r="P716" s="52" t="str">
        <f>VLOOKUP(Tabla3[[#This Row],[Site]],'Important Info!'!$A$1:$F$135,6,FALSE)</f>
        <v>3, 4, 5</v>
      </c>
      <c r="Q716" s="91">
        <f>VLOOKUP(Tabla3[[#This Row],[Site]],'Important Info!'!$A$1:$J$135,9,FALSE)</f>
        <v>272</v>
      </c>
    </row>
    <row r="717" spans="1:17" x14ac:dyDescent="0.25">
      <c r="A717" t="str">
        <f>+Tabla3[[#This Row],[Site]]&amp;Tabla3[[#This Row],[Split]]</f>
        <v>(ML) McLarty Gray-Daniels Toyota Nissan10</v>
      </c>
      <c r="B717">
        <v>10</v>
      </c>
      <c r="C717">
        <v>2</v>
      </c>
      <c r="D717" t="s">
        <v>33</v>
      </c>
      <c r="E717" t="s">
        <v>46</v>
      </c>
      <c r="F717" t="s">
        <v>90</v>
      </c>
      <c r="G717" t="s">
        <v>34</v>
      </c>
      <c r="H717" s="52" t="str">
        <f>VLOOKUP(Tabla3[[#This Row],[Site]],'Important Info!'!$A$1:$J$135,10,FALSE)</f>
        <v>https://tools.sig.systems/site/details/152</v>
      </c>
      <c r="I717" s="2" t="s">
        <v>150</v>
      </c>
      <c r="J717" t="s">
        <v>41</v>
      </c>
      <c r="K717" s="79" t="str">
        <f>VLOOKUP(Tabla3[[#This Row],[Site]],'Important Info!'!$A$1:$H$135,8,FALSE)</f>
        <v>-</v>
      </c>
      <c r="L717" s="52" t="str">
        <f>VLOOKUP(Tabla3[[#This Row],[Site]],'Important Info!'!$A$1:$F$135,2,FALSE)</f>
        <v>-</v>
      </c>
      <c r="M717" s="52" t="str">
        <f>VLOOKUP(Tabla3[[#This Row],[Site]],'Important Info!'!$A$1:$F$135,3,FALSE)</f>
        <v>8, 11, 39, 43</v>
      </c>
      <c r="N717" s="52" t="str">
        <f>VLOOKUP(Tabla3[[#This Row],[Site]],'Important Info!'!$A$1:$F$135,4,FALSE)</f>
        <v>-</v>
      </c>
      <c r="O717" s="52" t="str">
        <f>VLOOKUP(Tabla3[[#This Row],[Site]],'Important Info!'!$A$1:$F$135,5,FALSE)</f>
        <v>6, 11, 15, 18</v>
      </c>
      <c r="P717" s="52" t="str">
        <f>VLOOKUP(Tabla3[[#This Row],[Site]],'Important Info!'!$A$1:$F$135,6,FALSE)</f>
        <v>7, 8, 9</v>
      </c>
      <c r="Q717" s="91">
        <f>VLOOKUP(Tabla3[[#This Row],[Site]],'Important Info!'!$A$1:$J$135,9,FALSE)</f>
        <v>152</v>
      </c>
    </row>
    <row r="718" spans="1:17" x14ac:dyDescent="0.25">
      <c r="A718" t="str">
        <f>+Tabla3[[#This Row],[Site]]&amp;Tabla3[[#This Row],[Split]]</f>
        <v>(ML) Nissan Of Benton10</v>
      </c>
      <c r="B718">
        <v>10</v>
      </c>
      <c r="C718">
        <v>2</v>
      </c>
      <c r="D718" t="s">
        <v>33</v>
      </c>
      <c r="E718" t="s">
        <v>46</v>
      </c>
      <c r="F718" t="s">
        <v>120</v>
      </c>
      <c r="G718" t="s">
        <v>34</v>
      </c>
      <c r="H718" s="52" t="str">
        <f>VLOOKUP(Tabla3[[#This Row],[Site]],'Important Info!'!$A$1:$J$135,10,FALSE)</f>
        <v>https://tools.sig.systems/site/details/247</v>
      </c>
      <c r="I718" s="2"/>
      <c r="J718" t="s">
        <v>41</v>
      </c>
      <c r="K718" s="79" t="str">
        <f>VLOOKUP(Tabla3[[#This Row],[Site]],'Important Info!'!$A$1:$H$135,8,FALSE)</f>
        <v>-</v>
      </c>
      <c r="L718" s="52" t="str">
        <f>VLOOKUP(Tabla3[[#This Row],[Site]],'Important Info!'!$A$1:$F$135,2,FALSE)</f>
        <v>5, 12</v>
      </c>
      <c r="M718" s="52" t="str">
        <f>VLOOKUP(Tabla3[[#This Row],[Site]],'Important Info!'!$A$1:$F$135,3,FALSE)</f>
        <v>-</v>
      </c>
      <c r="N718" s="52" t="str">
        <f>VLOOKUP(Tabla3[[#This Row],[Site]],'Important Info!'!$A$1:$F$135,4,FALSE)</f>
        <v>-</v>
      </c>
      <c r="O718" s="52" t="str">
        <f>VLOOKUP(Tabla3[[#This Row],[Site]],'Important Info!'!$A$1:$F$135,5,FALSE)</f>
        <v>4, 18</v>
      </c>
      <c r="P718" s="52" t="str">
        <f>VLOOKUP(Tabla3[[#This Row],[Site]],'Important Info!'!$A$1:$F$135,6,FALSE)</f>
        <v>-</v>
      </c>
      <c r="Q718" s="91">
        <f>VLOOKUP(Tabla3[[#This Row],[Site]],'Important Info!'!$A$1:$J$135,9,FALSE)</f>
        <v>247</v>
      </c>
    </row>
    <row r="719" spans="1:17" x14ac:dyDescent="0.25">
      <c r="A719" t="str">
        <f>+Tabla3[[#This Row],[Site]]&amp;Tabla3[[#This Row],[Split]]</f>
        <v>(ML) Volvo Collision Corp10</v>
      </c>
      <c r="B719">
        <v>10</v>
      </c>
      <c r="C719">
        <v>2</v>
      </c>
      <c r="D719" t="s">
        <v>33</v>
      </c>
      <c r="E719" t="s">
        <v>46</v>
      </c>
      <c r="F719" t="s">
        <v>106</v>
      </c>
      <c r="G719" t="s">
        <v>34</v>
      </c>
      <c r="H719" s="52" t="str">
        <f>VLOOKUP(Tabla3[[#This Row],[Site]],'Important Info!'!$A$1:$J$135,10,FALSE)</f>
        <v>https://tools.sig.systems/site/details/223</v>
      </c>
      <c r="I719" s="66"/>
      <c r="J719" t="s">
        <v>41</v>
      </c>
      <c r="K719" s="79" t="str">
        <f>VLOOKUP(Tabla3[[#This Row],[Site]],'Important Info!'!$A$1:$H$135,8,FALSE)</f>
        <v>-</v>
      </c>
      <c r="L719" s="52" t="str">
        <f>VLOOKUP(Tabla3[[#This Row],[Site]],'Important Info!'!$A$1:$F$135,2,FALSE)</f>
        <v>7, 11</v>
      </c>
      <c r="M719" s="52">
        <f>VLOOKUP(Tabla3[[#This Row],[Site]],'Important Info!'!$A$1:$F$135,3,FALSE)</f>
        <v>4</v>
      </c>
      <c r="N719" s="52" t="str">
        <f>VLOOKUP(Tabla3[[#This Row],[Site]],'Important Info!'!$A$1:$F$135,4,FALSE)</f>
        <v>-</v>
      </c>
      <c r="O719" s="52">
        <f>VLOOKUP(Tabla3[[#This Row],[Site]],'Important Info!'!$A$1:$F$135,5,FALSE)</f>
        <v>18</v>
      </c>
      <c r="P719" s="52" t="str">
        <f>VLOOKUP(Tabla3[[#This Row],[Site]],'Important Info!'!$A$1:$F$135,6,FALSE)</f>
        <v>-</v>
      </c>
      <c r="Q719" s="91">
        <f>VLOOKUP(Tabla3[[#This Row],[Site]],'Important Info!'!$A$1:$J$135,9,FALSE)</f>
        <v>223</v>
      </c>
    </row>
    <row r="720" spans="1:17" x14ac:dyDescent="0.25">
      <c r="A720" t="str">
        <f>+Tabla3[[#This Row],[Site]]&amp;Tabla3[[#This Row],[Split]]</f>
        <v>(RV) Toms Camperland Mesa (NO TOURS)10</v>
      </c>
      <c r="B720">
        <v>10</v>
      </c>
      <c r="C720">
        <v>2</v>
      </c>
      <c r="D720" t="s">
        <v>51</v>
      </c>
      <c r="E720" t="s">
        <v>161</v>
      </c>
      <c r="F720" t="s">
        <v>81</v>
      </c>
      <c r="G720" t="s">
        <v>52</v>
      </c>
      <c r="H720" s="52" t="str">
        <f>VLOOKUP(Tabla3[[#This Row],[Site]],'Important Info!'!$A$1:$J$135,10,FALSE)</f>
        <v>https://tools.sig.systems/site/details/222</v>
      </c>
      <c r="J720" t="s">
        <v>41</v>
      </c>
      <c r="K720" s="79" t="str">
        <f>VLOOKUP(Tabla3[[#This Row],[Site]],'Important Info!'!$A$1:$H$135,8,FALSE)</f>
        <v>-</v>
      </c>
      <c r="L720" s="52" t="str">
        <f>VLOOKUP(Tabla3[[#This Row],[Site]],'Important Info!'!$A$1:$F$135,2,FALSE)</f>
        <v>1, 2</v>
      </c>
      <c r="M720" s="52" t="str">
        <f>VLOOKUP(Tabla3[[#This Row],[Site]],'Important Info!'!$A$1:$F$135,3,FALSE)</f>
        <v>-</v>
      </c>
      <c r="N720" s="52" t="str">
        <f>VLOOKUP(Tabla3[[#This Row],[Site]],'Important Info!'!$A$1:$F$135,4,FALSE)</f>
        <v>-</v>
      </c>
      <c r="O720" s="52" t="str">
        <f>VLOOKUP(Tabla3[[#This Row],[Site]],'Important Info!'!$A$1:$F$135,5,FALSE)</f>
        <v>-</v>
      </c>
      <c r="P720" s="52" t="str">
        <f>VLOOKUP(Tabla3[[#This Row],[Site]],'Important Info!'!$A$1:$F$135,6,FALSE)</f>
        <v>1, 4, 6, 8, 10, 18</v>
      </c>
      <c r="Q720" s="91">
        <f>VLOOKUP(Tabla3[[#This Row],[Site]],'Important Info!'!$A$1:$J$135,9,FALSE)</f>
        <v>222</v>
      </c>
    </row>
    <row r="721" spans="1:17" x14ac:dyDescent="0.25">
      <c r="A721" t="str">
        <f>+Tabla3[[#This Row],[Site]]&amp;Tabla3[[#This Row],[Split]]</f>
        <v>(AS) Bill Estes Ford (NO TOURS)10</v>
      </c>
      <c r="B721">
        <v>10</v>
      </c>
      <c r="C721">
        <v>3</v>
      </c>
      <c r="D721" t="s">
        <v>62</v>
      </c>
      <c r="E721" t="s">
        <v>35</v>
      </c>
      <c r="F721" t="s">
        <v>178</v>
      </c>
      <c r="G721" t="s">
        <v>490</v>
      </c>
      <c r="H721" s="52" t="str">
        <f>VLOOKUP(Tabla3[[#This Row],[Site]],'Important Info!'!$A$1:$J$135,10,FALSE)</f>
        <v>https://tools.sig.systems/site/details/125</v>
      </c>
      <c r="J721" t="s">
        <v>41</v>
      </c>
      <c r="K721" s="79" t="str">
        <f>VLOOKUP(Tabla3[[#This Row],[Site]],'Important Info!'!$A$1:$H$135,8,FALSE)</f>
        <v>-</v>
      </c>
      <c r="L721" s="52" t="str">
        <f>VLOOKUP(Tabla3[[#This Row],[Site]],'Important Info!'!$A$1:$F$135,2,FALSE)</f>
        <v>-</v>
      </c>
      <c r="M721" s="52" t="str">
        <f>VLOOKUP(Tabla3[[#This Row],[Site]],'Important Info!'!$A$1:$F$135,3,FALSE)</f>
        <v>2, 3, 13, 16</v>
      </c>
      <c r="N721" s="52" t="str">
        <f>VLOOKUP(Tabla3[[#This Row],[Site]],'Important Info!'!$A$1:$F$135,4,FALSE)</f>
        <v>-</v>
      </c>
      <c r="O721" s="52" t="str">
        <f>VLOOKUP(Tabla3[[#This Row],[Site]],'Important Info!'!$A$1:$F$135,5,FALSE)</f>
        <v>1, 10, 14, 19</v>
      </c>
      <c r="P721" s="52" t="str">
        <f>VLOOKUP(Tabla3[[#This Row],[Site]],'Important Info!'!$A$1:$F$135,6,FALSE)</f>
        <v>7, 8, 9, 10, 11, 12, 14</v>
      </c>
      <c r="Q721" s="91">
        <f>VLOOKUP(Tabla3[[#This Row],[Site]],'Important Info!'!$A$1:$J$135,9,FALSE)</f>
        <v>125</v>
      </c>
    </row>
    <row r="722" spans="1:17" x14ac:dyDescent="0.25">
      <c r="A722" t="str">
        <f>+Tabla3[[#This Row],[Site]]&amp;Tabla3[[#This Row],[Split]]</f>
        <v>(AS) David McDavid Lincoln Frisco (NO TOURS)10</v>
      </c>
      <c r="B722">
        <v>10</v>
      </c>
      <c r="C722">
        <v>3</v>
      </c>
      <c r="D722" t="s">
        <v>33</v>
      </c>
      <c r="E722" t="s">
        <v>46</v>
      </c>
      <c r="F722" t="s">
        <v>507</v>
      </c>
      <c r="G722" t="s">
        <v>34</v>
      </c>
      <c r="H722" s="52" t="str">
        <f>VLOOKUP(Tabla3[[#This Row],[Site]],'Important Info!'!$A$1:$J$135,10,FALSE)</f>
        <v>https://tools.sig.systems/site/details/182</v>
      </c>
      <c r="I722" s="43"/>
      <c r="J722" t="s">
        <v>41</v>
      </c>
      <c r="K722" s="79" t="str">
        <f>VLOOKUP(Tabla3[[#This Row],[Site]],'Important Info!'!$A$1:$H$135,8,FALSE)</f>
        <v>-</v>
      </c>
      <c r="L722" s="52" t="str">
        <f>VLOOKUP(Tabla3[[#This Row],[Site]],'Important Info!'!$A$1:$F$135,2,FALSE)</f>
        <v>1, 2, 11</v>
      </c>
      <c r="M722" s="52" t="str">
        <f>VLOOKUP(Tabla3[[#This Row],[Site]],'Important Info!'!$A$1:$F$135,3,FALSE)</f>
        <v>-</v>
      </c>
      <c r="N722" s="52" t="str">
        <f>VLOOKUP(Tabla3[[#This Row],[Site]],'Important Info!'!$A$1:$F$135,4,FALSE)</f>
        <v>-</v>
      </c>
      <c r="O722" s="52" t="str">
        <f>VLOOKUP(Tabla3[[#This Row],[Site]],'Important Info!'!$A$1:$F$135,5,FALSE)</f>
        <v>11, 16, 20</v>
      </c>
      <c r="P722" s="52" t="str">
        <f>VLOOKUP(Tabla3[[#This Row],[Site]],'Important Info!'!$A$1:$F$135,6,FALSE)</f>
        <v>11, 12, 13, 14</v>
      </c>
      <c r="Q722" s="91">
        <f>VLOOKUP(Tabla3[[#This Row],[Site]],'Important Info!'!$A$1:$J$135,9,FALSE)</f>
        <v>182</v>
      </c>
    </row>
    <row r="723" spans="1:17" x14ac:dyDescent="0.25">
      <c r="A723" t="str">
        <f>+Tabla3[[#This Row],[Site]]&amp;Tabla3[[#This Row],[Split]]</f>
        <v>(AS) Lexus Grapevine I &amp; II (NO TOURS)10</v>
      </c>
      <c r="B723">
        <v>10</v>
      </c>
      <c r="C723">
        <v>3</v>
      </c>
      <c r="D723" t="s">
        <v>33</v>
      </c>
      <c r="E723" t="s">
        <v>46</v>
      </c>
      <c r="F723" t="s">
        <v>508</v>
      </c>
      <c r="G723" t="s">
        <v>34</v>
      </c>
      <c r="H723" s="52" t="str">
        <f>VLOOKUP(Tabla3[[#This Row],[Site]],'Important Info!'!$A$1:$J$135,10,FALSE)</f>
        <v>https://tools.sig.systems/site/details/136</v>
      </c>
      <c r="J723" t="s">
        <v>41</v>
      </c>
      <c r="K723" s="79" t="str">
        <f>VLOOKUP(Tabla3[[#This Row],[Site]],'Important Info!'!$A$1:$H$135,8,FALSE)</f>
        <v>-</v>
      </c>
      <c r="L723" s="52" t="str">
        <f>VLOOKUP(Tabla3[[#This Row],[Site]],'Important Info!'!$A$1:$F$135,2,FALSE)</f>
        <v>4, 10, 14, 18, 33</v>
      </c>
      <c r="M723" s="52" t="str">
        <f>VLOOKUP(Tabla3[[#This Row],[Site]],'Important Info!'!$A$1:$F$135,3,FALSE)</f>
        <v>-</v>
      </c>
      <c r="N723" s="52" t="str">
        <f>VLOOKUP(Tabla3[[#This Row],[Site]],'Important Info!'!$A$1:$F$135,4,FALSE)</f>
        <v>81, 82, 83</v>
      </c>
      <c r="O723" s="52" t="str">
        <f>VLOOKUP(Tabla3[[#This Row],[Site]],'Important Info!'!$A$1:$F$135,5,FALSE)</f>
        <v>4, 12, 15, 20, 30</v>
      </c>
      <c r="P723" s="52">
        <f>VLOOKUP(Tabla3[[#This Row],[Site]],'Important Info!'!$A$1:$F$135,6,FALSE)</f>
        <v>10</v>
      </c>
      <c r="Q723" s="91">
        <f>VLOOKUP(Tabla3[[#This Row],[Site]],'Important Info!'!$A$1:$J$135,9,FALSE)</f>
        <v>136</v>
      </c>
    </row>
    <row r="724" spans="1:17" x14ac:dyDescent="0.25">
      <c r="A724" t="str">
        <f>+Tabla3[[#This Row],[Site]]&amp;Tabla3[[#This Row],[Split]]</f>
        <v>(AS) Park Place Mercedes Benz Arlington (NO TOURS)10</v>
      </c>
      <c r="B724">
        <v>10</v>
      </c>
      <c r="C724">
        <v>3</v>
      </c>
      <c r="D724" t="s">
        <v>33</v>
      </c>
      <c r="E724" t="s">
        <v>46</v>
      </c>
      <c r="F724" t="s">
        <v>518</v>
      </c>
      <c r="G724" t="s">
        <v>34</v>
      </c>
      <c r="H724" s="52" t="str">
        <f>VLOOKUP(Tabla3[[#This Row],[Site]],'Important Info!'!$A$1:$J$135,10,FALSE)</f>
        <v>https://tools.sig.systems/site/details/169</v>
      </c>
      <c r="J724" t="s">
        <v>41</v>
      </c>
      <c r="K724" s="79" t="str">
        <f>VLOOKUP(Tabla3[[#This Row],[Site]],'Important Info!'!$A$1:$H$135,8,FALSE)</f>
        <v>-</v>
      </c>
      <c r="L724" s="52" t="str">
        <f>VLOOKUP(Tabla3[[#This Row],[Site]],'Important Info!'!$A$1:$F$135,2,FALSE)</f>
        <v>1, 9, 14</v>
      </c>
      <c r="M724" s="52" t="str">
        <f>VLOOKUP(Tabla3[[#This Row],[Site]],'Important Info!'!$A$1:$F$135,3,FALSE)</f>
        <v>-</v>
      </c>
      <c r="N724" s="52" t="str">
        <f>VLOOKUP(Tabla3[[#This Row],[Site]],'Important Info!'!$A$1:$F$135,4,FALSE)</f>
        <v>77, 78, 79, 80</v>
      </c>
      <c r="O724" s="52" t="str">
        <f>VLOOKUP(Tabla3[[#This Row],[Site]],'Important Info!'!$A$1:$F$135,5,FALSE)</f>
        <v>2, 10, 18, 22, 31, 40</v>
      </c>
      <c r="P724" s="52">
        <f>VLOOKUP(Tabla3[[#This Row],[Site]],'Important Info!'!$A$1:$F$135,6,FALSE)</f>
        <v>9</v>
      </c>
      <c r="Q724" s="91">
        <f>VLOOKUP(Tabla3[[#This Row],[Site]],'Important Info!'!$A$1:$J$135,9,FALSE)</f>
        <v>169</v>
      </c>
    </row>
    <row r="725" spans="1:17" x14ac:dyDescent="0.25">
      <c r="A725" t="str">
        <f>+Tabla3[[#This Row],[Site]]&amp;Tabla3[[#This Row],[Split]]</f>
        <v>(HUD) Nissan Greensboro10</v>
      </c>
      <c r="B725">
        <v>10</v>
      </c>
      <c r="C725">
        <v>3</v>
      </c>
      <c r="D725" t="s">
        <v>62</v>
      </c>
      <c r="E725" t="s">
        <v>35</v>
      </c>
      <c r="F725" t="s">
        <v>66</v>
      </c>
      <c r="G725" t="s">
        <v>490</v>
      </c>
      <c r="H725" s="52" t="str">
        <f>VLOOKUP(Tabla3[[#This Row],[Site]],'Important Info!'!$A$1:$J$135,10,FALSE)</f>
        <v>https://tools.sig.systems/site/details/236</v>
      </c>
      <c r="I725" s="43" t="s">
        <v>184</v>
      </c>
      <c r="J725" t="s">
        <v>41</v>
      </c>
      <c r="K725" s="79" t="str">
        <f>VLOOKUP(Tabla3[[#This Row],[Site]],'Important Info!'!$A$1:$H$135,8,FALSE)</f>
        <v>-</v>
      </c>
      <c r="L725" s="52" t="str">
        <f>VLOOKUP(Tabla3[[#This Row],[Site]],'Important Info!'!$A$1:$F$135,2,FALSE)</f>
        <v>1, 5, 12</v>
      </c>
      <c r="M725" s="52" t="str">
        <f>VLOOKUP(Tabla3[[#This Row],[Site]],'Important Info!'!$A$1:$F$135,3,FALSE)</f>
        <v>-</v>
      </c>
      <c r="N725" s="52" t="str">
        <f>VLOOKUP(Tabla3[[#This Row],[Site]],'Important Info!'!$A$1:$F$135,4,FALSE)</f>
        <v>-</v>
      </c>
      <c r="O725" s="52" t="str">
        <f>VLOOKUP(Tabla3[[#This Row],[Site]],'Important Info!'!$A$1:$F$135,5,FALSE)</f>
        <v>-</v>
      </c>
      <c r="P725" s="52">
        <f>VLOOKUP(Tabla3[[#This Row],[Site]],'Important Info!'!$A$1:$F$135,6,FALSE)</f>
        <v>4</v>
      </c>
      <c r="Q725" s="91">
        <f>VLOOKUP(Tabla3[[#This Row],[Site]],'Important Info!'!$A$1:$J$135,9,FALSE)</f>
        <v>236</v>
      </c>
    </row>
    <row r="726" spans="1:17" x14ac:dyDescent="0.25">
      <c r="A726" t="str">
        <f>+Tabla3[[#This Row],[Site]]&amp;Tabla3[[#This Row],[Split]]</f>
        <v>(KG) Hyundai Surprise10</v>
      </c>
      <c r="B726">
        <v>10</v>
      </c>
      <c r="C726">
        <v>3</v>
      </c>
      <c r="D726" t="s">
        <v>51</v>
      </c>
      <c r="E726" t="s">
        <v>161</v>
      </c>
      <c r="F726" t="s">
        <v>118</v>
      </c>
      <c r="G726" t="s">
        <v>52</v>
      </c>
      <c r="H726" s="52" t="str">
        <f>VLOOKUP(Tabla3[[#This Row],[Site]],'Important Info!'!$A$1:$J$135,10,FALSE)</f>
        <v>https://tools.sig.systems/site/details/269</v>
      </c>
      <c r="I726" s="2"/>
      <c r="J726" t="s">
        <v>162</v>
      </c>
      <c r="K726" s="79" t="str">
        <f>VLOOKUP(Tabla3[[#This Row],[Site]],'Important Info!'!$A$1:$H$135,8,FALSE)</f>
        <v>-</v>
      </c>
      <c r="L726" s="52" t="str">
        <f>VLOOKUP(Tabla3[[#This Row],[Site]],'Important Info!'!$A$1:$F$135,2,FALSE)</f>
        <v>1, 6, 7</v>
      </c>
      <c r="M726" s="52" t="str">
        <f>VLOOKUP(Tabla3[[#This Row],[Site]],'Important Info!'!$A$1:$F$135,3,FALSE)</f>
        <v>-</v>
      </c>
      <c r="N726" s="52" t="str">
        <f>VLOOKUP(Tabla3[[#This Row],[Site]],'Important Info!'!$A$1:$F$135,4,FALSE)</f>
        <v>-</v>
      </c>
      <c r="O726" s="52" t="str">
        <f>VLOOKUP(Tabla3[[#This Row],[Site]],'Important Info!'!$A$1:$F$135,5,FALSE)</f>
        <v>6, 13</v>
      </c>
      <c r="P726" s="52" t="str">
        <f>VLOOKUP(Tabla3[[#This Row],[Site]],'Important Info!'!$A$1:$F$135,6,FALSE)</f>
        <v>-</v>
      </c>
      <c r="Q726" s="91">
        <f>VLOOKUP(Tabla3[[#This Row],[Site]],'Important Info!'!$A$1:$J$135,9,FALSE)</f>
        <v>269</v>
      </c>
    </row>
    <row r="727" spans="1:17" x14ac:dyDescent="0.25">
      <c r="A727" t="str">
        <f>+Tabla3[[#This Row],[Site]]&amp;Tabla3[[#This Row],[Split]]</f>
        <v>(KG) Texan GMC Buick (NO TOURS)10</v>
      </c>
      <c r="B727">
        <v>10</v>
      </c>
      <c r="C727">
        <v>3</v>
      </c>
      <c r="D727" t="s">
        <v>33</v>
      </c>
      <c r="E727" t="s">
        <v>46</v>
      </c>
      <c r="F727" t="s">
        <v>111</v>
      </c>
      <c r="G727" t="s">
        <v>34</v>
      </c>
      <c r="H727" s="52" t="str">
        <f>VLOOKUP(Tabla3[[#This Row],[Site]],'Important Info!'!$A$1:$J$135,10,FALSE)</f>
        <v>https://tools.sig.systems/site/details/225</v>
      </c>
      <c r="I727" s="2" t="s">
        <v>137</v>
      </c>
      <c r="J727" t="s">
        <v>41</v>
      </c>
      <c r="K727" s="79" t="str">
        <f>VLOOKUP(Tabla3[[#This Row],[Site]],'Important Info!'!$A$1:$H$135,8,FALSE)</f>
        <v>-</v>
      </c>
      <c r="L727" s="52" t="str">
        <f>VLOOKUP(Tabla3[[#This Row],[Site]],'Important Info!'!$A$1:$F$135,2,FALSE)</f>
        <v>1, 20, 53</v>
      </c>
      <c r="M727" s="52" t="str">
        <f>VLOOKUP(Tabla3[[#This Row],[Site]],'Important Info!'!$A$1:$F$135,3,FALSE)</f>
        <v>-</v>
      </c>
      <c r="N727" s="52" t="str">
        <f>VLOOKUP(Tabla3[[#This Row],[Site]],'Important Info!'!$A$1:$F$135,4,FALSE)</f>
        <v>-</v>
      </c>
      <c r="O727" s="52" t="str">
        <f>VLOOKUP(Tabla3[[#This Row],[Site]],'Important Info!'!$A$1:$F$135,5,FALSE)</f>
        <v>2, 8, 14</v>
      </c>
      <c r="P727" s="52" t="str">
        <f>VLOOKUP(Tabla3[[#This Row],[Site]],'Important Info!'!$A$1:$F$135,6,FALSE)</f>
        <v>51, 52, 16</v>
      </c>
      <c r="Q727" s="91">
        <f>VLOOKUP(Tabla3[[#This Row],[Site]],'Important Info!'!$A$1:$J$135,9,FALSE)</f>
        <v>225</v>
      </c>
    </row>
    <row r="728" spans="1:17" x14ac:dyDescent="0.25">
      <c r="A728" t="str">
        <f>+Tabla3[[#This Row],[Site]]&amp;Tabla3[[#This Row],[Split]]</f>
        <v>(LM) Luther Mazda / Mitsubishi10</v>
      </c>
      <c r="B728">
        <v>10</v>
      </c>
      <c r="C728">
        <v>3</v>
      </c>
      <c r="D728" t="s">
        <v>33</v>
      </c>
      <c r="E728" t="s">
        <v>46</v>
      </c>
      <c r="F728" t="s">
        <v>103</v>
      </c>
      <c r="G728" t="s">
        <v>34</v>
      </c>
      <c r="H728" s="52" t="str">
        <f>VLOOKUP(Tabla3[[#This Row],[Site]],'Important Info!'!$A$1:$J$135,10,FALSE)</f>
        <v>https://tools.sig.systems/site/details/147</v>
      </c>
      <c r="I728" s="43" t="s">
        <v>138</v>
      </c>
      <c r="J728" t="s">
        <v>41</v>
      </c>
      <c r="K728" s="79" t="str">
        <f>VLOOKUP(Tabla3[[#This Row],[Site]],'Important Info!'!$A$1:$H$135,8,FALSE)</f>
        <v>-</v>
      </c>
      <c r="L728" s="52" t="str">
        <f>VLOOKUP(Tabla3[[#This Row],[Site]],'Important Info!'!$A$1:$F$135,2,FALSE)</f>
        <v>4, 5, 6</v>
      </c>
      <c r="M728" s="52" t="str">
        <f>VLOOKUP(Tabla3[[#This Row],[Site]],'Important Info!'!$A$1:$F$135,3,FALSE)</f>
        <v>-</v>
      </c>
      <c r="N728" s="52" t="str">
        <f>VLOOKUP(Tabla3[[#This Row],[Site]],'Important Info!'!$A$1:$F$135,4,FALSE)</f>
        <v>1, 2</v>
      </c>
      <c r="O728" s="52" t="str">
        <f>VLOOKUP(Tabla3[[#This Row],[Site]],'Important Info!'!$A$1:$F$135,5,FALSE)</f>
        <v>-</v>
      </c>
      <c r="P728" s="52" t="str">
        <f>VLOOKUP(Tabla3[[#This Row],[Site]],'Important Info!'!$A$1:$F$135,6,FALSE)</f>
        <v>13, 14, 15, 16</v>
      </c>
      <c r="Q728" s="91">
        <f>VLOOKUP(Tabla3[[#This Row],[Site]],'Important Info!'!$A$1:$J$135,9,FALSE)</f>
        <v>147</v>
      </c>
    </row>
    <row r="729" spans="1:17" x14ac:dyDescent="0.25">
      <c r="A729" t="str">
        <f>+Tabla3[[#This Row],[Site]]&amp;Tabla3[[#This Row],[Split]]</f>
        <v>(ML) Joe Machens CDJR10</v>
      </c>
      <c r="B729">
        <v>10</v>
      </c>
      <c r="C729">
        <v>3</v>
      </c>
      <c r="D729" t="s">
        <v>33</v>
      </c>
      <c r="E729" t="s">
        <v>46</v>
      </c>
      <c r="F729" t="s">
        <v>88</v>
      </c>
      <c r="G729" t="s">
        <v>34</v>
      </c>
      <c r="H729" s="52" t="str">
        <f>VLOOKUP(Tabla3[[#This Row],[Site]],'Important Info!'!$A$1:$J$135,10,FALSE)</f>
        <v>https://tools.sig.systems/site/details/273</v>
      </c>
      <c r="I729" s="43" t="s">
        <v>146</v>
      </c>
      <c r="J729" t="s">
        <v>41</v>
      </c>
      <c r="K729" s="79" t="str">
        <f>VLOOKUP(Tabla3[[#This Row],[Site]],'Important Info!'!$A$1:$H$135,8,FALSE)</f>
        <v>-</v>
      </c>
      <c r="L729" s="52" t="str">
        <f>VLOOKUP(Tabla3[[#This Row],[Site]],'Important Info!'!$A$1:$F$135,2,FALSE)</f>
        <v>-</v>
      </c>
      <c r="M729" s="52">
        <f>VLOOKUP(Tabla3[[#This Row],[Site]],'Important Info!'!$A$1:$F$135,3,FALSE)</f>
        <v>3</v>
      </c>
      <c r="N729" s="52" t="str">
        <f>VLOOKUP(Tabla3[[#This Row],[Site]],'Important Info!'!$A$1:$F$135,4,FALSE)</f>
        <v>-</v>
      </c>
      <c r="O729" s="52" t="str">
        <f>VLOOKUP(Tabla3[[#This Row],[Site]],'Important Info!'!$A$1:$F$135,5,FALSE)</f>
        <v>-</v>
      </c>
      <c r="P729" s="52" t="str">
        <f>VLOOKUP(Tabla3[[#This Row],[Site]],'Important Info!'!$A$1:$F$135,6,FALSE)</f>
        <v>1, 2, 3,</v>
      </c>
      <c r="Q729" s="91">
        <f>VLOOKUP(Tabla3[[#This Row],[Site]],'Important Info!'!$A$1:$J$135,9,FALSE)</f>
        <v>273</v>
      </c>
    </row>
    <row r="730" spans="1:17" x14ac:dyDescent="0.25">
      <c r="A730" t="str">
        <f>+Tabla3[[#This Row],[Site]]&amp;Tabla3[[#This Row],[Split]]</f>
        <v>(RV) Sonny's Camp N Travel Concord10</v>
      </c>
      <c r="B730">
        <v>10</v>
      </c>
      <c r="C730">
        <v>3</v>
      </c>
      <c r="D730" t="s">
        <v>62</v>
      </c>
      <c r="E730" t="s">
        <v>35</v>
      </c>
      <c r="F730" t="s">
        <v>188</v>
      </c>
      <c r="G730" t="s">
        <v>490</v>
      </c>
      <c r="H730" s="52" t="str">
        <f>VLOOKUP(Tabla3[[#This Row],[Site]],'Important Info!'!$A$1:$J$135,10,FALSE)</f>
        <v>https://tools.sig.systems/site/details/183</v>
      </c>
      <c r="J730" t="s">
        <v>41</v>
      </c>
      <c r="K730" s="79" t="str">
        <f>VLOOKUP(Tabla3[[#This Row],[Site]],'Important Info!'!$A$1:$H$135,8,FALSE)</f>
        <v>-</v>
      </c>
      <c r="L730" s="52">
        <f>VLOOKUP(Tabla3[[#This Row],[Site]],'Important Info!'!$A$1:$F$135,2,FALSE)</f>
        <v>1</v>
      </c>
      <c r="M730" s="52" t="str">
        <f>VLOOKUP(Tabla3[[#This Row],[Site]],'Important Info!'!$A$1:$F$135,3,FALSE)</f>
        <v>-</v>
      </c>
      <c r="N730" s="52" t="str">
        <f>VLOOKUP(Tabla3[[#This Row],[Site]],'Important Info!'!$A$1:$F$135,4,FALSE)</f>
        <v>-</v>
      </c>
      <c r="O730" s="52">
        <f>VLOOKUP(Tabla3[[#This Row],[Site]],'Important Info!'!$A$1:$F$135,5,FALSE)</f>
        <v>7</v>
      </c>
      <c r="P730" s="52" t="str">
        <f>VLOOKUP(Tabla3[[#This Row],[Site]],'Important Info!'!$A$1:$F$135,6,FALSE)</f>
        <v>6, 7, 8, 9</v>
      </c>
      <c r="Q730" s="91">
        <f>VLOOKUP(Tabla3[[#This Row],[Site]],'Important Info!'!$A$1:$J$135,9,FALSE)</f>
        <v>183</v>
      </c>
    </row>
    <row r="731" spans="1:17" x14ac:dyDescent="0.25">
      <c r="A731" t="str">
        <f>+Tabla3[[#This Row],[Site]]&amp;Tabla3[[#This Row],[Split]]</f>
        <v>(RV) Toms Camperland Surprise (NO TOURS)10</v>
      </c>
      <c r="B731">
        <v>10</v>
      </c>
      <c r="C731">
        <v>3</v>
      </c>
      <c r="D731" t="s">
        <v>51</v>
      </c>
      <c r="E731" t="s">
        <v>161</v>
      </c>
      <c r="F731" t="s">
        <v>165</v>
      </c>
      <c r="G731" t="s">
        <v>52</v>
      </c>
      <c r="H731" s="52" t="str">
        <f>VLOOKUP(Tabla3[[#This Row],[Site]],'Important Info!'!$A$1:$J$135,10,FALSE)</f>
        <v>https://tools.sig.systems/site/details/254</v>
      </c>
      <c r="I731" s="2"/>
      <c r="J731" t="s">
        <v>52</v>
      </c>
      <c r="K731" s="79" t="str">
        <f>VLOOKUP(Tabla3[[#This Row],[Site]],'Important Info!'!$A$1:$H$135,8,FALSE)</f>
        <v>-</v>
      </c>
      <c r="L731" s="52" t="str">
        <f>VLOOKUP(Tabla3[[#This Row],[Site]],'Important Info!'!$A$1:$F$135,2,FALSE)</f>
        <v>1, 3, 4</v>
      </c>
      <c r="M731" s="52" t="str">
        <f>VLOOKUP(Tabla3[[#This Row],[Site]],'Important Info!'!$A$1:$F$135,3,FALSE)</f>
        <v>-</v>
      </c>
      <c r="N731" s="52" t="str">
        <f>VLOOKUP(Tabla3[[#This Row],[Site]],'Important Info!'!$A$1:$F$135,4,FALSE)</f>
        <v>-</v>
      </c>
      <c r="O731" s="52" t="str">
        <f>VLOOKUP(Tabla3[[#This Row],[Site]],'Important Info!'!$A$1:$F$135,5,FALSE)</f>
        <v>-</v>
      </c>
      <c r="P731" s="52" t="str">
        <f>VLOOKUP(Tabla3[[#This Row],[Site]],'Important Info!'!$A$1:$F$135,6,FALSE)</f>
        <v>1, 2, 3, 4, 15</v>
      </c>
      <c r="Q731" s="91">
        <f>VLOOKUP(Tabla3[[#This Row],[Site]],'Important Info!'!$A$1:$J$135,9,FALSE)</f>
        <v>254</v>
      </c>
    </row>
    <row r="732" spans="1:17" x14ac:dyDescent="0.25">
      <c r="A732" t="str">
        <f>+Tabla3[[#This Row],[Site]]&amp;Tabla3[[#This Row],[Split]]</f>
        <v>SIG Office10</v>
      </c>
      <c r="B732">
        <v>10</v>
      </c>
      <c r="C732">
        <v>3</v>
      </c>
      <c r="D732" t="s">
        <v>60</v>
      </c>
      <c r="E732" t="s">
        <v>35</v>
      </c>
      <c r="F732" t="s">
        <v>169</v>
      </c>
      <c r="G732" t="s">
        <v>41</v>
      </c>
      <c r="H732" s="52" t="str">
        <f>VLOOKUP(Tabla3[[#This Row],[Site]],'Important Info!'!$A$1:$J$135,10,FALSE)</f>
        <v>https://tools.sig.systems/site/details/163</v>
      </c>
      <c r="J732" t="s">
        <v>41</v>
      </c>
      <c r="K732" s="79" t="str">
        <f>VLOOKUP(Tabla3[[#This Row],[Site]],'Important Info!'!$A$1:$H$135,8,FALSE)</f>
        <v>-</v>
      </c>
      <c r="L732" s="52" t="str">
        <f>VLOOKUP(Tabla3[[#This Row],[Site]],'Important Info!'!$A$1:$F$135,2,FALSE)</f>
        <v>-</v>
      </c>
      <c r="M732" s="52" t="str">
        <f>VLOOKUP(Tabla3[[#This Row],[Site]],'Important Info!'!$A$1:$F$135,3,FALSE)</f>
        <v>-</v>
      </c>
      <c r="N732" s="52" t="str">
        <f>VLOOKUP(Tabla3[[#This Row],[Site]],'Important Info!'!$A$1:$F$135,4,FALSE)</f>
        <v>-</v>
      </c>
      <c r="O732" s="52" t="str">
        <f>VLOOKUP(Tabla3[[#This Row],[Site]],'Important Info!'!$A$1:$F$135,5,FALSE)</f>
        <v>-</v>
      </c>
      <c r="P732" s="52">
        <f>VLOOKUP(Tabla3[[#This Row],[Site]],'Important Info!'!$A$1:$F$135,6,FALSE)</f>
        <v>25</v>
      </c>
      <c r="Q732" s="91">
        <f>VLOOKUP(Tabla3[[#This Row],[Site]],'Important Info!'!$A$1:$J$135,9,FALSE)</f>
        <v>163</v>
      </c>
    </row>
    <row r="733" spans="1:17" x14ac:dyDescent="0.25">
      <c r="A733" t="str">
        <f>+Tabla3[[#This Row],[Site]]&amp;Tabla3[[#This Row],[Split]]</f>
        <v>(AS) Lexus Plano I &amp; II (NO TOURS)10</v>
      </c>
      <c r="B733">
        <v>10</v>
      </c>
      <c r="C733">
        <v>4</v>
      </c>
      <c r="D733" t="s">
        <v>33</v>
      </c>
      <c r="E733" t="s">
        <v>46</v>
      </c>
      <c r="F733" t="s">
        <v>524</v>
      </c>
      <c r="G733" t="s">
        <v>34</v>
      </c>
      <c r="H733" s="52" t="str">
        <f>VLOOKUP(Tabla3[[#This Row],[Site]],'Important Info!'!$A$1:$J$135,10,FALSE)</f>
        <v>https://tools.sig.systems/site/details/167</v>
      </c>
      <c r="I733" s="63" t="s">
        <v>127</v>
      </c>
      <c r="J733" t="s">
        <v>41</v>
      </c>
      <c r="K733" s="79" t="str">
        <f>VLOOKUP(Tabla3[[#This Row],[Site]],'Important Info!'!$A$1:$H$135,8,FALSE)</f>
        <v>-</v>
      </c>
      <c r="L733" s="52" t="str">
        <f>VLOOKUP(Tabla3[[#This Row],[Site]],'Important Info!'!$A$1:$F$135,2,FALSE)</f>
        <v>5, 9</v>
      </c>
      <c r="M733" s="52" t="str">
        <f>VLOOKUP(Tabla3[[#This Row],[Site]],'Important Info!'!$A$1:$F$135,3,FALSE)</f>
        <v>-</v>
      </c>
      <c r="N733" s="52" t="str">
        <f>VLOOKUP(Tabla3[[#This Row],[Site]],'Important Info!'!$A$1:$F$135,4,FALSE)</f>
        <v>101, 102, 103, 104</v>
      </c>
      <c r="O733" s="52" t="str">
        <f>VLOOKUP(Tabla3[[#This Row],[Site]],'Important Info!'!$A$1:$F$135,5,FALSE)</f>
        <v>4, 10, 28</v>
      </c>
      <c r="P733" s="52" t="str">
        <f>VLOOKUP(Tabla3[[#This Row],[Site]],'Important Info!'!$A$1:$F$135,6,FALSE)</f>
        <v>5, 9, 16</v>
      </c>
      <c r="Q733" s="91">
        <f>VLOOKUP(Tabla3[[#This Row],[Site]],'Important Info!'!$A$1:$J$135,9,FALSE)</f>
        <v>167</v>
      </c>
    </row>
    <row r="734" spans="1:17" x14ac:dyDescent="0.25">
      <c r="A734" t="str">
        <f>+Tabla3[[#This Row],[Site]]&amp;Tabla3[[#This Row],[Split]]</f>
        <v>(AS) Lexus Smyrna (NO TOURS)10</v>
      </c>
      <c r="B734">
        <v>10</v>
      </c>
      <c r="C734">
        <v>4</v>
      </c>
      <c r="D734" t="s">
        <v>62</v>
      </c>
      <c r="E734" t="s">
        <v>35</v>
      </c>
      <c r="F734" t="s">
        <v>84</v>
      </c>
      <c r="G734" t="s">
        <v>490</v>
      </c>
      <c r="H734" s="52" t="str">
        <f>VLOOKUP(Tabla3[[#This Row],[Site]],'Important Info!'!$A$1:$J$135,10,FALSE)</f>
        <v>https://tools.sig.systems/site/details/133</v>
      </c>
      <c r="I734" s="2"/>
      <c r="J734" t="s">
        <v>41</v>
      </c>
      <c r="K734" s="79" t="str">
        <f>VLOOKUP(Tabla3[[#This Row],[Site]],'Important Info!'!$A$1:$H$135,8,FALSE)</f>
        <v>-</v>
      </c>
      <c r="L734" s="52" t="str">
        <f>VLOOKUP(Tabla3[[#This Row],[Site]],'Important Info!'!$A$1:$F$135,2,FALSE)</f>
        <v xml:space="preserve">2, 6, 10 </v>
      </c>
      <c r="M734" s="52" t="str">
        <f>VLOOKUP(Tabla3[[#This Row],[Site]],'Important Info!'!$A$1:$F$135,3,FALSE)</f>
        <v>-</v>
      </c>
      <c r="N734" s="52" t="str">
        <f>VLOOKUP(Tabla3[[#This Row],[Site]],'Important Info!'!$A$1:$F$135,4,FALSE)</f>
        <v>-</v>
      </c>
      <c r="O734" s="52" t="str">
        <f>VLOOKUP(Tabla3[[#This Row],[Site]],'Important Info!'!$A$1:$F$135,5,FALSE)</f>
        <v>3, 5, 10, 15</v>
      </c>
      <c r="P734" s="52" t="str">
        <f>VLOOKUP(Tabla3[[#This Row],[Site]],'Important Info!'!$A$1:$F$135,6,FALSE)</f>
        <v>10, 11</v>
      </c>
      <c r="Q734" s="91">
        <f>VLOOKUP(Tabla3[[#This Row],[Site]],'Important Info!'!$A$1:$J$135,9,FALSE)</f>
        <v>133</v>
      </c>
    </row>
    <row r="735" spans="1:17" x14ac:dyDescent="0.25">
      <c r="A735" t="str">
        <f>+Tabla3[[#This Row],[Site]]&amp;Tabla3[[#This Row],[Split]]</f>
        <v>(AS) Nalley BMW Collision Center (NO TOURS)10</v>
      </c>
      <c r="B735">
        <v>10</v>
      </c>
      <c r="C735">
        <v>4</v>
      </c>
      <c r="D735" t="s">
        <v>62</v>
      </c>
      <c r="E735" t="s">
        <v>35</v>
      </c>
      <c r="F735" t="s">
        <v>510</v>
      </c>
      <c r="G735" t="s">
        <v>490</v>
      </c>
      <c r="H735" s="52" t="str">
        <f>VLOOKUP(Tabla3[[#This Row],[Site]],'Important Info!'!$A$1:$J$135,10,FALSE)</f>
        <v>https://tools.sig.systems/site/details/220</v>
      </c>
      <c r="I735" s="2"/>
      <c r="J735" t="s">
        <v>41</v>
      </c>
      <c r="K735" s="79" t="str">
        <f>VLOOKUP(Tabla3[[#This Row],[Site]],'Important Info!'!$A$1:$H$135,8,FALSE)</f>
        <v>-</v>
      </c>
      <c r="L735" s="52" t="str">
        <f>VLOOKUP(Tabla3[[#This Row],[Site]],'Important Info!'!$A$1:$F$135,2,FALSE)</f>
        <v>-</v>
      </c>
      <c r="M735" s="52">
        <f>VLOOKUP(Tabla3[[#This Row],[Site]],'Important Info!'!$A$1:$F$135,3,FALSE)</f>
        <v>4</v>
      </c>
      <c r="N735" s="52" t="str">
        <f>VLOOKUP(Tabla3[[#This Row],[Site]],'Important Info!'!$A$1:$F$135,4,FALSE)</f>
        <v>-</v>
      </c>
      <c r="O735" s="52">
        <f>VLOOKUP(Tabla3[[#This Row],[Site]],'Important Info!'!$A$1:$F$135,5,FALSE)</f>
        <v>12</v>
      </c>
      <c r="P735" s="52" t="str">
        <f>VLOOKUP(Tabla3[[#This Row],[Site]],'Important Info!'!$A$1:$F$135,6,FALSE)</f>
        <v>13, 15</v>
      </c>
      <c r="Q735" s="91">
        <f>VLOOKUP(Tabla3[[#This Row],[Site]],'Important Info!'!$A$1:$J$135,9,FALSE)</f>
        <v>220</v>
      </c>
    </row>
    <row r="736" spans="1:17" x14ac:dyDescent="0.25">
      <c r="A736" t="str">
        <f>+Tabla3[[#This Row],[Site]]&amp;Tabla3[[#This Row],[Split]]</f>
        <v>(AS) Park Place Volvo Sales (NO TOURS)10</v>
      </c>
      <c r="B736">
        <v>10</v>
      </c>
      <c r="C736">
        <v>4</v>
      </c>
      <c r="D736" t="s">
        <v>33</v>
      </c>
      <c r="E736" t="s">
        <v>46</v>
      </c>
      <c r="F736" t="s">
        <v>521</v>
      </c>
      <c r="G736" t="s">
        <v>34</v>
      </c>
      <c r="H736" s="52" t="str">
        <f>VLOOKUP(Tabla3[[#This Row],[Site]],'Important Info!'!$A$1:$J$135,10,FALSE)</f>
        <v>https://tools.sig.systems/site/details/139</v>
      </c>
      <c r="I736" s="65" t="s">
        <v>125</v>
      </c>
      <c r="J736" t="s">
        <v>41</v>
      </c>
      <c r="K736" s="79" t="str">
        <f>VLOOKUP(Tabla3[[#This Row],[Site]],'Important Info!'!$A$1:$H$135,8,FALSE)</f>
        <v>-</v>
      </c>
      <c r="L736" s="52" t="str">
        <f>VLOOKUP(Tabla3[[#This Row],[Site]],'Important Info!'!$A$1:$F$135,2,FALSE)</f>
        <v>4, 6, 9, 11</v>
      </c>
      <c r="M736" s="52" t="str">
        <f>VLOOKUP(Tabla3[[#This Row],[Site]],'Important Info!'!$A$1:$F$135,3,FALSE)</f>
        <v>-</v>
      </c>
      <c r="N736" s="52" t="str">
        <f>VLOOKUP(Tabla3[[#This Row],[Site]],'Important Info!'!$A$1:$F$135,4,FALSE)</f>
        <v>-</v>
      </c>
      <c r="O736" s="52" t="str">
        <f>VLOOKUP(Tabla3[[#This Row],[Site]],'Important Info!'!$A$1:$F$135,5,FALSE)</f>
        <v>2, 9</v>
      </c>
      <c r="P736" s="52" t="str">
        <f>VLOOKUP(Tabla3[[#This Row],[Site]],'Important Info!'!$A$1:$F$135,6,FALSE)</f>
        <v>4, 10, 11</v>
      </c>
      <c r="Q736" s="91">
        <f>VLOOKUP(Tabla3[[#This Row],[Site]],'Important Info!'!$A$1:$J$135,9,FALSE)</f>
        <v>139</v>
      </c>
    </row>
    <row r="737" spans="1:17" x14ac:dyDescent="0.25">
      <c r="A737" t="str">
        <f>+Tabla3[[#This Row],[Site]]&amp;Tabla3[[#This Row],[Split]]</f>
        <v>(DT) Denver (NO TOURS)10</v>
      </c>
      <c r="B737">
        <v>10</v>
      </c>
      <c r="C737">
        <v>4</v>
      </c>
      <c r="D737" t="s">
        <v>44</v>
      </c>
      <c r="E737" t="s">
        <v>53</v>
      </c>
      <c r="F737" t="s">
        <v>157</v>
      </c>
      <c r="G737" t="s">
        <v>45</v>
      </c>
      <c r="H737" s="52" t="str">
        <f>VLOOKUP(Tabla3[[#This Row],[Site]],'Important Info!'!$A$1:$J$135,10,FALSE)</f>
        <v>https://tools.sig.systems/site/details/203</v>
      </c>
      <c r="I737" s="43" t="s">
        <v>158</v>
      </c>
      <c r="J737" t="s">
        <v>41</v>
      </c>
      <c r="K737" s="79" t="str">
        <f>VLOOKUP(Tabla3[[#This Row],[Site]],'Important Info!'!$A$1:$H$135,8,FALSE)</f>
        <v>-</v>
      </c>
      <c r="L737" s="52" t="str">
        <f>VLOOKUP(Tabla3[[#This Row],[Site]],'Important Info!'!$A$1:$F$135,2,FALSE)</f>
        <v>-</v>
      </c>
      <c r="M737" s="52" t="str">
        <f>VLOOKUP(Tabla3[[#This Row],[Site]],'Important Info!'!$A$1:$F$135,3,FALSE)</f>
        <v>7, 8</v>
      </c>
      <c r="N737" s="52" t="str">
        <f>VLOOKUP(Tabla3[[#This Row],[Site]],'Important Info!'!$A$1:$F$135,4,FALSE)</f>
        <v>-</v>
      </c>
      <c r="O737" s="52" t="str">
        <f>VLOOKUP(Tabla3[[#This Row],[Site]],'Important Info!'!$A$1:$F$135,5,FALSE)</f>
        <v>-</v>
      </c>
      <c r="P737" s="52" t="str">
        <f>VLOOKUP(Tabla3[[#This Row],[Site]],'Important Info!'!$A$1:$F$135,6,FALSE)</f>
        <v>7, 8</v>
      </c>
      <c r="Q737" s="91">
        <f>VLOOKUP(Tabla3[[#This Row],[Site]],'Important Info!'!$A$1:$J$135,9,FALSE)</f>
        <v>203</v>
      </c>
    </row>
    <row r="738" spans="1:17" x14ac:dyDescent="0.25">
      <c r="A738" t="str">
        <f>+Tabla3[[#This Row],[Site]]&amp;Tabla3[[#This Row],[Split]]</f>
        <v>(DT) El Cajon (NO TOURS)10</v>
      </c>
      <c r="B738">
        <v>10</v>
      </c>
      <c r="C738">
        <v>4</v>
      </c>
      <c r="D738" t="s">
        <v>51</v>
      </c>
      <c r="E738" t="s">
        <v>159</v>
      </c>
      <c r="F738" t="s">
        <v>160</v>
      </c>
      <c r="G738" t="s">
        <v>52</v>
      </c>
      <c r="H738" s="52" t="str">
        <f>VLOOKUP(Tabla3[[#This Row],[Site]],'Important Info!'!$A$1:$J$135,10,FALSE)</f>
        <v>https://tools.sig.systems/site/details/241</v>
      </c>
      <c r="I738" s="2"/>
      <c r="J738" t="s">
        <v>41</v>
      </c>
      <c r="K738" s="79" t="str">
        <f>VLOOKUP(Tabla3[[#This Row],[Site]],'Important Info!'!$A$1:$H$135,8,FALSE)</f>
        <v>-</v>
      </c>
      <c r="L738" s="52" t="str">
        <f>VLOOKUP(Tabla3[[#This Row],[Site]],'Important Info!'!$A$1:$F$135,2,FALSE)</f>
        <v>-</v>
      </c>
      <c r="M738" s="52">
        <f>VLOOKUP(Tabla3[[#This Row],[Site]],'Important Info!'!$A$1:$F$135,3,FALSE)</f>
        <v>3</v>
      </c>
      <c r="N738" s="52" t="str">
        <f>VLOOKUP(Tabla3[[#This Row],[Site]],'Important Info!'!$A$1:$F$135,4,FALSE)</f>
        <v>-</v>
      </c>
      <c r="O738" s="52" t="str">
        <f>VLOOKUP(Tabla3[[#This Row],[Site]],'Important Info!'!$A$1:$F$135,5,FALSE)</f>
        <v>-</v>
      </c>
      <c r="P738" s="52" t="str">
        <f>VLOOKUP(Tabla3[[#This Row],[Site]],'Important Info!'!$A$1:$F$135,6,FALSE)</f>
        <v>-</v>
      </c>
      <c r="Q738" s="91">
        <f>VLOOKUP(Tabla3[[#This Row],[Site]],'Important Info!'!$A$1:$J$135,9,FALSE)</f>
        <v>241</v>
      </c>
    </row>
    <row r="739" spans="1:17" x14ac:dyDescent="0.25">
      <c r="A739" t="str">
        <f>+Tabla3[[#This Row],[Site]]&amp;Tabla3[[#This Row],[Split]]</f>
        <v>(HUD) CDJR of Greensboro10</v>
      </c>
      <c r="B739">
        <v>10</v>
      </c>
      <c r="C739">
        <v>4</v>
      </c>
      <c r="D739" t="s">
        <v>62</v>
      </c>
      <c r="E739" t="s">
        <v>35</v>
      </c>
      <c r="F739" t="s">
        <v>185</v>
      </c>
      <c r="G739" t="s">
        <v>491</v>
      </c>
      <c r="H739" s="52" t="str">
        <f>VLOOKUP(Tabla3[[#This Row],[Site]],'Important Info!'!$A$1:$J$135,10,FALSE)</f>
        <v>https://tools.sig.systems/site/details/215</v>
      </c>
      <c r="I739" s="2" t="s">
        <v>184</v>
      </c>
      <c r="J739" t="s">
        <v>36</v>
      </c>
      <c r="K739" s="79" t="str">
        <f>VLOOKUP(Tabla3[[#This Row],[Site]],'Important Info!'!$A$1:$H$135,8,FALSE)</f>
        <v>-</v>
      </c>
      <c r="L739" s="52" t="str">
        <f>VLOOKUP(Tabla3[[#This Row],[Site]],'Important Info!'!$A$1:$F$135,2,FALSE)</f>
        <v>2, 12</v>
      </c>
      <c r="M739" s="52" t="str">
        <f>VLOOKUP(Tabla3[[#This Row],[Site]],'Important Info!'!$A$1:$F$135,3,FALSE)</f>
        <v>-</v>
      </c>
      <c r="N739" s="52" t="str">
        <f>VLOOKUP(Tabla3[[#This Row],[Site]],'Important Info!'!$A$1:$F$135,4,FALSE)</f>
        <v>-</v>
      </c>
      <c r="O739" s="52" t="str">
        <f>VLOOKUP(Tabla3[[#This Row],[Site]],'Important Info!'!$A$1:$F$135,5,FALSE)</f>
        <v>3, 13</v>
      </c>
      <c r="P739" s="52" t="str">
        <f>VLOOKUP(Tabla3[[#This Row],[Site]],'Important Info!'!$A$1:$F$135,6,FALSE)</f>
        <v>1, 17</v>
      </c>
      <c r="Q739" s="91">
        <f>VLOOKUP(Tabla3[[#This Row],[Site]],'Important Info!'!$A$1:$J$135,9,FALSE)</f>
        <v>215</v>
      </c>
    </row>
    <row r="740" spans="1:17" x14ac:dyDescent="0.25">
      <c r="A740" t="str">
        <f>+Tabla3[[#This Row],[Site]]&amp;Tabla3[[#This Row],[Split]]</f>
        <v>(HUD) Honda of Southpoint10</v>
      </c>
      <c r="B740">
        <v>10</v>
      </c>
      <c r="C740">
        <v>4</v>
      </c>
      <c r="D740" t="s">
        <v>62</v>
      </c>
      <c r="E740" t="s">
        <v>35</v>
      </c>
      <c r="F740" t="s">
        <v>65</v>
      </c>
      <c r="G740" t="s">
        <v>490</v>
      </c>
      <c r="H740" s="52" t="str">
        <f>VLOOKUP(Tabla3[[#This Row],[Site]],'Important Info!'!$A$1:$J$135,10,FALSE)</f>
        <v>https://tools.sig.systems/site/details/195</v>
      </c>
      <c r="I740" s="2"/>
      <c r="J740" t="s">
        <v>484</v>
      </c>
      <c r="K740" s="79" t="str">
        <f>VLOOKUP(Tabla3[[#This Row],[Site]],'Important Info!'!$A$1:$H$135,8,FALSE)</f>
        <v>-</v>
      </c>
      <c r="L740" s="52" t="str">
        <f>VLOOKUP(Tabla3[[#This Row],[Site]],'Important Info!'!$A$1:$F$135,2,FALSE)</f>
        <v>2, 12, 18</v>
      </c>
      <c r="M740" s="52">
        <f>VLOOKUP(Tabla3[[#This Row],[Site]],'Important Info!'!$A$1:$F$135,3,FALSE)</f>
        <v>13</v>
      </c>
      <c r="N740" s="52" t="str">
        <f>VLOOKUP(Tabla3[[#This Row],[Site]],'Important Info!'!$A$1:$F$135,4,FALSE)</f>
        <v>-</v>
      </c>
      <c r="O740" s="52" t="str">
        <f>VLOOKUP(Tabla3[[#This Row],[Site]],'Important Info!'!$A$1:$F$135,5,FALSE)</f>
        <v>2, 15</v>
      </c>
      <c r="P740" s="52" t="str">
        <f>VLOOKUP(Tabla3[[#This Row],[Site]],'Important Info!'!$A$1:$F$135,6,FALSE)</f>
        <v>-</v>
      </c>
      <c r="Q740" s="91">
        <f>VLOOKUP(Tabla3[[#This Row],[Site]],'Important Info!'!$A$1:$J$135,9,FALSE)</f>
        <v>195</v>
      </c>
    </row>
    <row r="741" spans="1:17" x14ac:dyDescent="0.25">
      <c r="A741" t="str">
        <f>+Tabla3[[#This Row],[Site]]&amp;Tabla3[[#This Row],[Split]]</f>
        <v>(KG) Big Star CDJR of Clear Lake10</v>
      </c>
      <c r="B741">
        <v>10</v>
      </c>
      <c r="C741">
        <v>4</v>
      </c>
      <c r="D741" t="s">
        <v>33</v>
      </c>
      <c r="E741" t="s">
        <v>46</v>
      </c>
      <c r="F741" t="s">
        <v>133</v>
      </c>
      <c r="G741" t="s">
        <v>34</v>
      </c>
      <c r="H741" s="52" t="str">
        <f>VLOOKUP(Tabla3[[#This Row],[Site]],'Important Info!'!$A$1:$J$135,10,FALSE)</f>
        <v>https://tools.sig.systems/site/details/232</v>
      </c>
      <c r="I741" s="43" t="s">
        <v>134</v>
      </c>
      <c r="J741" t="s">
        <v>41</v>
      </c>
      <c r="K741" s="79" t="str">
        <f>VLOOKUP(Tabla3[[#This Row],[Site]],'Important Info!'!$A$1:$H$135,8,FALSE)</f>
        <v>-</v>
      </c>
      <c r="L741" s="52" t="str">
        <f>VLOOKUP(Tabla3[[#This Row],[Site]],'Important Info!'!$A$1:$F$135,2,FALSE)</f>
        <v>8, 25</v>
      </c>
      <c r="M741" s="52" t="str">
        <f>VLOOKUP(Tabla3[[#This Row],[Site]],'Important Info!'!$A$1:$F$135,3,FALSE)</f>
        <v>-</v>
      </c>
      <c r="N741" s="52" t="str">
        <f>VLOOKUP(Tabla3[[#This Row],[Site]],'Important Info!'!$A$1:$F$135,4,FALSE)</f>
        <v>-</v>
      </c>
      <c r="O741" s="52" t="str">
        <f>VLOOKUP(Tabla3[[#This Row],[Site]],'Important Info!'!$A$1:$F$135,5,FALSE)</f>
        <v>7, 13, 19, 24</v>
      </c>
      <c r="P741" s="52" t="str">
        <f>VLOOKUP(Tabla3[[#This Row],[Site]],'Important Info!'!$A$1:$F$135,6,FALSE)</f>
        <v>6, 8, 25, 31</v>
      </c>
      <c r="Q741" s="91">
        <f>VLOOKUP(Tabla3[[#This Row],[Site]],'Important Info!'!$A$1:$J$135,9,FALSE)</f>
        <v>232</v>
      </c>
    </row>
    <row r="742" spans="1:17" x14ac:dyDescent="0.25">
      <c r="A742" t="str">
        <f>+Tabla3[[#This Row],[Site]]&amp;Tabla3[[#This Row],[Split]]</f>
        <v>(ML) Joe Machens VW10</v>
      </c>
      <c r="B742">
        <v>10</v>
      </c>
      <c r="C742">
        <v>4</v>
      </c>
      <c r="D742" t="s">
        <v>33</v>
      </c>
      <c r="E742" t="s">
        <v>46</v>
      </c>
      <c r="F742" t="s">
        <v>74</v>
      </c>
      <c r="G742" t="s">
        <v>34</v>
      </c>
      <c r="H742" s="52" t="str">
        <f>VLOOKUP(Tabla3[[#This Row],[Site]],'Important Info!'!$A$1:$J$135,10,FALSE)</f>
        <v>https://tools.sig.systems/site/details/274</v>
      </c>
      <c r="I742" s="43" t="s">
        <v>146</v>
      </c>
      <c r="J742" t="s">
        <v>41</v>
      </c>
      <c r="K742" s="79" t="str">
        <f>VLOOKUP(Tabla3[[#This Row],[Site]],'Important Info!'!$A$1:$H$135,8,FALSE)</f>
        <v>-</v>
      </c>
      <c r="L742" s="52" t="str">
        <f>VLOOKUP(Tabla3[[#This Row],[Site]],'Important Info!'!$A$1:$F$135,2,FALSE)</f>
        <v>-</v>
      </c>
      <c r="M742" s="52" t="str">
        <f>VLOOKUP(Tabla3[[#This Row],[Site]],'Important Info!'!$A$1:$F$135,3,FALSE)</f>
        <v>1, 11, 18</v>
      </c>
      <c r="N742" s="52" t="str">
        <f>VLOOKUP(Tabla3[[#This Row],[Site]],'Important Info!'!$A$1:$F$135,4,FALSE)</f>
        <v>-</v>
      </c>
      <c r="O742" s="52">
        <f>VLOOKUP(Tabla3[[#This Row],[Site]],'Important Info!'!$A$1:$F$135,5,FALSE)</f>
        <v>17</v>
      </c>
      <c r="P742" s="52" t="str">
        <f>VLOOKUP(Tabla3[[#This Row],[Site]],'Important Info!'!$A$1:$F$135,6,FALSE)</f>
        <v>-</v>
      </c>
      <c r="Q742" s="91">
        <f>VLOOKUP(Tabla3[[#This Row],[Site]],'Important Info!'!$A$1:$J$135,9,FALSE)</f>
        <v>274</v>
      </c>
    </row>
    <row r="743" spans="1:17" x14ac:dyDescent="0.25">
      <c r="A743" t="str">
        <f>+Tabla3[[#This Row],[Site]]&amp;Tabla3[[#This Row],[Split]]</f>
        <v>(ML) Nissan of Little Rock10</v>
      </c>
      <c r="B743">
        <v>10</v>
      </c>
      <c r="C743">
        <v>4</v>
      </c>
      <c r="D743" t="s">
        <v>33</v>
      </c>
      <c r="E743" t="s">
        <v>46</v>
      </c>
      <c r="F743" t="s">
        <v>152</v>
      </c>
      <c r="G743" t="s">
        <v>34</v>
      </c>
      <c r="H743" s="52" t="str">
        <f>VLOOKUP(Tabla3[[#This Row],[Site]],'Important Info!'!$A$1:$J$135,10,FALSE)</f>
        <v>https://tools.sig.systems/site/details/224</v>
      </c>
      <c r="I743" t="s">
        <v>140</v>
      </c>
      <c r="J743" t="s">
        <v>41</v>
      </c>
      <c r="K743" s="79" t="str">
        <f>VLOOKUP(Tabla3[[#This Row],[Site]],'Important Info!'!$A$1:$H$135,8,FALSE)</f>
        <v>-</v>
      </c>
      <c r="L743" s="52" t="str">
        <f>VLOOKUP(Tabla3[[#This Row],[Site]],'Important Info!'!$A$1:$F$135,2,FALSE)</f>
        <v>3, 6</v>
      </c>
      <c r="M743" s="52" t="str">
        <f>VLOOKUP(Tabla3[[#This Row],[Site]],'Important Info!'!$A$1:$F$135,3,FALSE)</f>
        <v>-</v>
      </c>
      <c r="N743" s="52" t="str">
        <f>VLOOKUP(Tabla3[[#This Row],[Site]],'Important Info!'!$A$1:$F$135,4,FALSE)</f>
        <v>-</v>
      </c>
      <c r="O743" s="52" t="str">
        <f>VLOOKUP(Tabla3[[#This Row],[Site]],'Important Info!'!$A$1:$F$135,5,FALSE)</f>
        <v>1, 8, 16, 22</v>
      </c>
      <c r="P743" s="52" t="str">
        <f>VLOOKUP(Tabla3[[#This Row],[Site]],'Important Info!'!$A$1:$F$135,6,FALSE)</f>
        <v>3, 4</v>
      </c>
      <c r="Q743" s="91">
        <f>VLOOKUP(Tabla3[[#This Row],[Site]],'Important Info!'!$A$1:$J$135,9,FALSE)</f>
        <v>224</v>
      </c>
    </row>
    <row r="744" spans="1:17" x14ac:dyDescent="0.25">
      <c r="A744" t="str">
        <f>+Tabla3[[#This Row],[Site]]&amp;Tabla3[[#This Row],[Split]]</f>
        <v>(PE) BMW of Greenwich (NO TOURS)10</v>
      </c>
      <c r="B744">
        <v>10</v>
      </c>
      <c r="C744">
        <v>4</v>
      </c>
      <c r="D744" t="s">
        <v>485</v>
      </c>
      <c r="E744" t="s">
        <v>35</v>
      </c>
      <c r="F744" t="s">
        <v>170</v>
      </c>
      <c r="G744" t="s">
        <v>490</v>
      </c>
      <c r="H744" s="52" t="str">
        <f>VLOOKUP(Tabla3[[#This Row],[Site]],'Important Info!'!$A$1:$J$135,10,FALSE)</f>
        <v>https://tools.sig.systems/site/details/186</v>
      </c>
      <c r="I744" s="43" t="s">
        <v>171</v>
      </c>
      <c r="J744" t="s">
        <v>41</v>
      </c>
      <c r="K744" s="79" t="str">
        <f>VLOOKUP(Tabla3[[#This Row],[Site]],'Important Info!'!$A$1:$H$135,8,FALSE)</f>
        <v>-</v>
      </c>
      <c r="L744" s="52" t="str">
        <f>VLOOKUP(Tabla3[[#This Row],[Site]],'Important Info!'!$A$1:$F$135,2,FALSE)</f>
        <v>1, 6, 15</v>
      </c>
      <c r="M744" s="52" t="str">
        <f>VLOOKUP(Tabla3[[#This Row],[Site]],'Important Info!'!$A$1:$F$135,3,FALSE)</f>
        <v>-</v>
      </c>
      <c r="N744" s="52" t="str">
        <f>VLOOKUP(Tabla3[[#This Row],[Site]],'Important Info!'!$A$1:$F$135,4,FALSE)</f>
        <v>-</v>
      </c>
      <c r="O744" s="52" t="str">
        <f>VLOOKUP(Tabla3[[#This Row],[Site]],'Important Info!'!$A$1:$F$135,5,FALSE)</f>
        <v>-</v>
      </c>
      <c r="P744" s="52">
        <f>VLOOKUP(Tabla3[[#This Row],[Site]],'Important Info!'!$A$1:$F$135,6,FALSE)</f>
        <v>12</v>
      </c>
      <c r="Q744" s="91">
        <f>VLOOKUP(Tabla3[[#This Row],[Site]],'Important Info!'!$A$1:$J$135,9,FALSE)</f>
        <v>186</v>
      </c>
    </row>
    <row r="745" spans="1:17" x14ac:dyDescent="0.25">
      <c r="A745" t="str">
        <f>+Tabla3[[#This Row],[Site]]&amp;Tabla3[[#This Row],[Split]]</f>
        <v>(PE) Mercedes Benz &amp; Smart Bldg. of Fairfield (NO TOURS)10</v>
      </c>
      <c r="B745">
        <v>10</v>
      </c>
      <c r="C745">
        <v>4</v>
      </c>
      <c r="D745" t="s">
        <v>485</v>
      </c>
      <c r="E745" t="s">
        <v>35</v>
      </c>
      <c r="F745" t="s">
        <v>64</v>
      </c>
      <c r="G745" t="s">
        <v>490</v>
      </c>
      <c r="H745" s="52" t="str">
        <f>VLOOKUP(Tabla3[[#This Row],[Site]],'Important Info!'!$A$1:$J$135,10,FALSE)</f>
        <v>https://tools.sig.systems/site/details/192</v>
      </c>
      <c r="I745" t="s">
        <v>177</v>
      </c>
      <c r="J745" t="s">
        <v>41</v>
      </c>
      <c r="K745" s="79" t="str">
        <f>VLOOKUP(Tabla3[[#This Row],[Site]],'Important Info!'!$A$1:$H$135,8,FALSE)</f>
        <v>-</v>
      </c>
      <c r="L745" s="52" t="str">
        <f>VLOOKUP(Tabla3[[#This Row],[Site]],'Important Info!'!$A$1:$F$135,2,FALSE)</f>
        <v>-</v>
      </c>
      <c r="M745" s="52">
        <f>VLOOKUP(Tabla3[[#This Row],[Site]],'Important Info!'!$A$1:$F$135,3,FALSE)</f>
        <v>1</v>
      </c>
      <c r="N745" s="52" t="str">
        <f>VLOOKUP(Tabla3[[#This Row],[Site]],'Important Info!'!$A$1:$F$135,4,FALSE)</f>
        <v>-</v>
      </c>
      <c r="O745" s="52" t="str">
        <f>VLOOKUP(Tabla3[[#This Row],[Site]],'Important Info!'!$A$1:$F$135,5,FALSE)</f>
        <v>11, 13</v>
      </c>
      <c r="P745" s="52">
        <f>VLOOKUP(Tabla3[[#This Row],[Site]],'Important Info!'!$A$1:$F$135,6,FALSE)</f>
        <v>1</v>
      </c>
      <c r="Q745" s="91">
        <f>VLOOKUP(Tabla3[[#This Row],[Site]],'Important Info!'!$A$1:$J$135,9,FALSE)</f>
        <v>192</v>
      </c>
    </row>
    <row r="746" spans="1:17" x14ac:dyDescent="0.25">
      <c r="A746" t="str">
        <f>+Tabla3[[#This Row],[Site]]&amp;Tabla3[[#This Row],[Split]]</f>
        <v>(AS) Coggin Honda Ft. Pierce (NO TOURS)10</v>
      </c>
      <c r="B746">
        <v>10</v>
      </c>
      <c r="C746">
        <v>5</v>
      </c>
      <c r="D746" t="s">
        <v>62</v>
      </c>
      <c r="E746" t="s">
        <v>35</v>
      </c>
      <c r="F746" t="s">
        <v>501</v>
      </c>
      <c r="G746" t="s">
        <v>490</v>
      </c>
      <c r="H746" s="52" t="str">
        <f>VLOOKUP(Tabla3[[#This Row],[Site]],'Important Info!'!$A$1:$J$135,10,FALSE)</f>
        <v>https://tools.sig.systems/site/details/120</v>
      </c>
      <c r="I746" t="s">
        <v>179</v>
      </c>
      <c r="J746" t="s">
        <v>484</v>
      </c>
      <c r="K746" s="79" t="str">
        <f>VLOOKUP(Tabla3[[#This Row],[Site]],'Important Info!'!$A$1:$H$135,8,FALSE)</f>
        <v>-</v>
      </c>
      <c r="L746" s="52" t="str">
        <f>VLOOKUP(Tabla3[[#This Row],[Site]],'Important Info!'!$A$1:$F$135,2,FALSE)</f>
        <v>1, 2, 3, 4, 14</v>
      </c>
      <c r="M746" s="52" t="str">
        <f>VLOOKUP(Tabla3[[#This Row],[Site]],'Important Info!'!$A$1:$F$135,3,FALSE)</f>
        <v>-</v>
      </c>
      <c r="N746" s="52" t="str">
        <f>VLOOKUP(Tabla3[[#This Row],[Site]],'Important Info!'!$A$1:$F$135,4,FALSE)</f>
        <v>-</v>
      </c>
      <c r="O746" s="52" t="str">
        <f>VLOOKUP(Tabla3[[#This Row],[Site]],'Important Info!'!$A$1:$F$135,5,FALSE)</f>
        <v>7, 11, 15</v>
      </c>
      <c r="P746" s="52">
        <f>VLOOKUP(Tabla3[[#This Row],[Site]],'Important Info!'!$A$1:$F$135,6,FALSE)</f>
        <v>3</v>
      </c>
      <c r="Q746" s="91">
        <f>VLOOKUP(Tabla3[[#This Row],[Site]],'Important Info!'!$A$1:$J$135,9,FALSE)</f>
        <v>120</v>
      </c>
    </row>
    <row r="747" spans="1:17" x14ac:dyDescent="0.25">
      <c r="A747" t="str">
        <f>+Tabla3[[#This Row],[Site]]&amp;Tabla3[[#This Row],[Split]]</f>
        <v>(AS) Mercedes Benz/Porsche Dallas I,II,III (NO TOURS)10</v>
      </c>
      <c r="B747">
        <v>10</v>
      </c>
      <c r="C747">
        <v>5</v>
      </c>
      <c r="D747" t="s">
        <v>33</v>
      </c>
      <c r="E747" t="s">
        <v>46</v>
      </c>
      <c r="F747" t="s">
        <v>509</v>
      </c>
      <c r="G747" t="s">
        <v>34</v>
      </c>
      <c r="H747" s="52" t="str">
        <f>VLOOKUP(Tabla3[[#This Row],[Site]],'Important Info!'!$A$1:$J$135,10,FALSE)</f>
        <v>https://tools.sig.systems/site/details/168</v>
      </c>
      <c r="I747" s="65" t="s">
        <v>125</v>
      </c>
      <c r="J747" t="s">
        <v>41</v>
      </c>
      <c r="K747" s="79" t="str">
        <f>VLOOKUP(Tabla3[[#This Row],[Site]],'Important Info!'!$A$1:$H$135,8,FALSE)</f>
        <v>-</v>
      </c>
      <c r="L747" s="52" t="str">
        <f>VLOOKUP(Tabla3[[#This Row],[Site]],'Important Info!'!$A$1:$F$135,2,FALSE)</f>
        <v>3, 4, 17, 26, 41</v>
      </c>
      <c r="M747" s="52" t="str">
        <f>VLOOKUP(Tabla3[[#This Row],[Site]],'Important Info!'!$A$1:$F$135,3,FALSE)</f>
        <v>-</v>
      </c>
      <c r="N747" s="52" t="str">
        <f>VLOOKUP(Tabla3[[#This Row],[Site]],'Important Info!'!$A$1:$F$135,4,FALSE)</f>
        <v>153, 154, 155, 156, 157, 158</v>
      </c>
      <c r="O747" s="52" t="str">
        <f>VLOOKUP(Tabla3[[#This Row],[Site]],'Important Info!'!$A$1:$F$135,5,FALSE)</f>
        <v>2, 6, 10, 20, 28, 30, 36</v>
      </c>
      <c r="P747" s="52" t="str">
        <f>VLOOKUP(Tabla3[[#This Row],[Site]],'Important Info!'!$A$1:$F$135,6,FALSE)</f>
        <v>31, 41, 159</v>
      </c>
      <c r="Q747" s="91">
        <f>VLOOKUP(Tabla3[[#This Row],[Site]],'Important Info!'!$A$1:$J$135,9,FALSE)</f>
        <v>168</v>
      </c>
    </row>
    <row r="748" spans="1:17" x14ac:dyDescent="0.25">
      <c r="A748" t="str">
        <f>+Tabla3[[#This Row],[Site]]&amp;Tabla3[[#This Row],[Split]]</f>
        <v>(DT) Colorado Springs (NO TOURS)10</v>
      </c>
      <c r="B748">
        <v>10</v>
      </c>
      <c r="C748">
        <v>5</v>
      </c>
      <c r="D748" t="s">
        <v>44</v>
      </c>
      <c r="E748" t="s">
        <v>53</v>
      </c>
      <c r="F748" t="s">
        <v>156</v>
      </c>
      <c r="G748" t="s">
        <v>45</v>
      </c>
      <c r="H748" s="52" t="str">
        <f>VLOOKUP(Tabla3[[#This Row],[Site]],'Important Info!'!$A$1:$J$135,10,FALSE)</f>
        <v>https://tools.sig.systems/site/details/198</v>
      </c>
      <c r="J748" t="s">
        <v>41</v>
      </c>
      <c r="K748" s="79" t="str">
        <f>VLOOKUP(Tabla3[[#This Row],[Site]],'Important Info!'!$A$1:$H$135,8,FALSE)</f>
        <v>-</v>
      </c>
      <c r="L748" s="52" t="str">
        <f>VLOOKUP(Tabla3[[#This Row],[Site]],'Important Info!'!$A$1:$F$135,2,FALSE)</f>
        <v>-</v>
      </c>
      <c r="M748" s="52" t="str">
        <f>VLOOKUP(Tabla3[[#This Row],[Site]],'Important Info!'!$A$1:$F$135,3,FALSE)</f>
        <v>1, 2, 3, 4</v>
      </c>
      <c r="N748" s="52" t="str">
        <f>VLOOKUP(Tabla3[[#This Row],[Site]],'Important Info!'!$A$1:$F$135,4,FALSE)</f>
        <v>-</v>
      </c>
      <c r="O748" s="52" t="str">
        <f>VLOOKUP(Tabla3[[#This Row],[Site]],'Important Info!'!$A$1:$F$135,5,FALSE)</f>
        <v>-</v>
      </c>
      <c r="P748" s="52" t="str">
        <f>VLOOKUP(Tabla3[[#This Row],[Site]],'Important Info!'!$A$1:$F$135,6,FALSE)</f>
        <v>1, 2, 3, 11</v>
      </c>
      <c r="Q748" s="91">
        <f>VLOOKUP(Tabla3[[#This Row],[Site]],'Important Info!'!$A$1:$J$135,9,FALSE)</f>
        <v>198</v>
      </c>
    </row>
    <row r="749" spans="1:17" x14ac:dyDescent="0.25">
      <c r="A749" t="str">
        <f>+Tabla3[[#This Row],[Site]]&amp;Tabla3[[#This Row],[Split]]</f>
        <v>(DT) Escondido10</v>
      </c>
      <c r="B749">
        <v>10</v>
      </c>
      <c r="C749">
        <v>5</v>
      </c>
      <c r="D749" t="s">
        <v>51</v>
      </c>
      <c r="E749" t="s">
        <v>159</v>
      </c>
      <c r="F749" t="s">
        <v>112</v>
      </c>
      <c r="G749" t="s">
        <v>164</v>
      </c>
      <c r="H749" s="52" t="str">
        <f>VLOOKUP(Tabla3[[#This Row],[Site]],'Important Info!'!$A$1:$J$135,10,FALSE)</f>
        <v>https://tools.sig.systems/site/details/196</v>
      </c>
      <c r="I749" s="2"/>
      <c r="J749" t="s">
        <v>41</v>
      </c>
      <c r="K749" s="79" t="str">
        <f>VLOOKUP(Tabla3[[#This Row],[Site]],'Important Info!'!$A$1:$H$135,8,FALSE)</f>
        <v>Saturday Drop Time 9:00 A.M.</v>
      </c>
      <c r="L749" s="52" t="str">
        <f>VLOOKUP(Tabla3[[#This Row],[Site]],'Important Info!'!$A$1:$F$135,2,FALSE)</f>
        <v>1, 2</v>
      </c>
      <c r="M749" s="52" t="str">
        <f>VLOOKUP(Tabla3[[#This Row],[Site]],'Important Info!'!$A$1:$F$135,3,FALSE)</f>
        <v>-</v>
      </c>
      <c r="N749" s="52" t="str">
        <f>VLOOKUP(Tabla3[[#This Row],[Site]],'Important Info!'!$A$1:$F$135,4,FALSE)</f>
        <v>-</v>
      </c>
      <c r="O749" s="52" t="str">
        <f>VLOOKUP(Tabla3[[#This Row],[Site]],'Important Info!'!$A$1:$F$135,5,FALSE)</f>
        <v>-</v>
      </c>
      <c r="P749" s="52" t="str">
        <f>VLOOKUP(Tabla3[[#This Row],[Site]],'Important Info!'!$A$1:$F$135,6,FALSE)</f>
        <v>5, 7, 8</v>
      </c>
      <c r="Q749" s="91">
        <f>VLOOKUP(Tabla3[[#This Row],[Site]],'Important Info!'!$A$1:$J$135,9,FALSE)</f>
        <v>196</v>
      </c>
    </row>
    <row r="750" spans="1:17" x14ac:dyDescent="0.25">
      <c r="A750" t="str">
        <f>+Tabla3[[#This Row],[Site]]&amp;Tabla3[[#This Row],[Split]]</f>
        <v>(HUD) Honda Greensboro10</v>
      </c>
      <c r="B750">
        <v>10</v>
      </c>
      <c r="C750">
        <v>5</v>
      </c>
      <c r="D750" t="s">
        <v>62</v>
      </c>
      <c r="E750" t="s">
        <v>35</v>
      </c>
      <c r="F750" t="s">
        <v>85</v>
      </c>
      <c r="G750" t="s">
        <v>490</v>
      </c>
      <c r="H750" s="52" t="str">
        <f>VLOOKUP(Tabla3[[#This Row],[Site]],'Important Info!'!$A$1:$J$135,10,FALSE)</f>
        <v>https://tools.sig.systems/site/details/230</v>
      </c>
      <c r="I750" t="s">
        <v>186</v>
      </c>
      <c r="J750" t="s">
        <v>41</v>
      </c>
      <c r="K750" s="79" t="str">
        <f>VLOOKUP(Tabla3[[#This Row],[Site]],'Important Info!'!$A$1:$H$135,8,FALSE)</f>
        <v>-</v>
      </c>
      <c r="L750" s="52" t="str">
        <f>VLOOKUP(Tabla3[[#This Row],[Site]],'Important Info!'!$A$1:$F$135,2,FALSE)</f>
        <v>1, 3,  15, 16, 22</v>
      </c>
      <c r="M750" s="52" t="str">
        <f>VLOOKUP(Tabla3[[#This Row],[Site]],'Important Info!'!$A$1:$F$135,3,FALSE)</f>
        <v>-</v>
      </c>
      <c r="N750" s="52" t="str">
        <f>VLOOKUP(Tabla3[[#This Row],[Site]],'Important Info!'!$A$1:$F$135,4,FALSE)</f>
        <v>-</v>
      </c>
      <c r="O750" s="52" t="str">
        <f>VLOOKUP(Tabla3[[#This Row],[Site]],'Important Info!'!$A$1:$F$135,5,FALSE)</f>
        <v>3, 20</v>
      </c>
      <c r="P750" s="52">
        <f>VLOOKUP(Tabla3[[#This Row],[Site]],'Important Info!'!$A$1:$F$135,6,FALSE)</f>
        <v>26</v>
      </c>
      <c r="Q750" s="91">
        <f>VLOOKUP(Tabla3[[#This Row],[Site]],'Important Info!'!$A$1:$J$135,9,FALSE)</f>
        <v>230</v>
      </c>
    </row>
    <row r="751" spans="1:17" x14ac:dyDescent="0.25">
      <c r="A751" t="str">
        <f>+Tabla3[[#This Row],[Site]]&amp;Tabla3[[#This Row],[Split]]</f>
        <v>(KG) Baytown GMC Buick - Remote Lot (NO TOURS)10</v>
      </c>
      <c r="B751">
        <v>10</v>
      </c>
      <c r="C751">
        <v>5</v>
      </c>
      <c r="D751" t="s">
        <v>60</v>
      </c>
      <c r="E751" t="s">
        <v>46</v>
      </c>
      <c r="F751" t="s">
        <v>167</v>
      </c>
      <c r="G751" t="s">
        <v>41</v>
      </c>
      <c r="H751" s="52" t="str">
        <f>VLOOKUP(Tabla3[[#This Row],[Site]],'Important Info!'!$A$1:$J$135,10,FALSE)</f>
        <v>https://tools.sig.systems/site/details/311</v>
      </c>
      <c r="I751" s="2"/>
      <c r="J751" t="s">
        <v>41</v>
      </c>
      <c r="K751" s="79" t="s">
        <v>168</v>
      </c>
      <c r="L751" s="52" t="str">
        <f>VLOOKUP(Tabla3[[#This Row],[Site]],'Important Info!'!$A$1:$F$135,2,FALSE)</f>
        <v>-</v>
      </c>
      <c r="M751" s="52" t="str">
        <f>VLOOKUP(Tabla3[[#This Row],[Site]],'Important Info!'!$A$1:$F$135,3,FALSE)</f>
        <v>7, 8</v>
      </c>
      <c r="N751" s="52" t="str">
        <f>VLOOKUP(Tabla3[[#This Row],[Site]],'Important Info!'!$A$1:$F$135,4,FALSE)</f>
        <v>-</v>
      </c>
      <c r="O751" s="52" t="str">
        <f>VLOOKUP(Tabla3[[#This Row],[Site]],'Important Info!'!$A$1:$F$135,5,FALSE)</f>
        <v>-</v>
      </c>
      <c r="P751" s="52" t="str">
        <f>VLOOKUP(Tabla3[[#This Row],[Site]],'Important Info!'!$A$1:$F$135,6,FALSE)</f>
        <v>-</v>
      </c>
      <c r="Q751" s="91">
        <f>VLOOKUP(Tabla3[[#This Row],[Site]],'Important Info!'!$A$1:$J$135,9,FALSE)</f>
        <v>311</v>
      </c>
    </row>
    <row r="752" spans="1:17" x14ac:dyDescent="0.25">
      <c r="A752" t="str">
        <f>+Tabla3[[#This Row],[Site]]&amp;Tabla3[[#This Row],[Split]]</f>
        <v>(KG) Baytown GMC Buick (NO TOURS)10</v>
      </c>
      <c r="B752">
        <v>10</v>
      </c>
      <c r="C752">
        <v>5</v>
      </c>
      <c r="D752" t="s">
        <v>33</v>
      </c>
      <c r="E752" t="s">
        <v>46</v>
      </c>
      <c r="F752" t="s">
        <v>132</v>
      </c>
      <c r="G752" t="s">
        <v>34</v>
      </c>
      <c r="H752" s="52" t="str">
        <f>VLOOKUP(Tabla3[[#This Row],[Site]],'Important Info!'!$A$1:$J$135,10,FALSE)</f>
        <v>https://tools.sig.systems/site/details/239</v>
      </c>
      <c r="I752" s="2"/>
      <c r="J752" t="s">
        <v>41</v>
      </c>
      <c r="K752" s="79" t="str">
        <f>VLOOKUP(Tabla3[[#This Row],[Site]],'Important Info!'!$A$1:$H$135,8,FALSE)</f>
        <v>-</v>
      </c>
      <c r="L752" s="52" t="str">
        <f>VLOOKUP(Tabla3[[#This Row],[Site]],'Important Info!'!$A$1:$F$135,2,FALSE)</f>
        <v>1, 5, 7, 21, 22</v>
      </c>
      <c r="M752" s="52" t="str">
        <f>VLOOKUP(Tabla3[[#This Row],[Site]],'Important Info!'!$A$1:$F$135,3,FALSE)</f>
        <v>-</v>
      </c>
      <c r="N752" s="52" t="str">
        <f>VLOOKUP(Tabla3[[#This Row],[Site]],'Important Info!'!$A$1:$F$135,4,FALSE)</f>
        <v>-</v>
      </c>
      <c r="O752" s="52" t="str">
        <f>VLOOKUP(Tabla3[[#This Row],[Site]],'Important Info!'!$A$1:$F$135,5,FALSE)</f>
        <v>2, 10, 15, 24B</v>
      </c>
      <c r="P752" s="52" t="str">
        <f>VLOOKUP(Tabla3[[#This Row],[Site]],'Important Info!'!$A$1:$F$135,6,FALSE)</f>
        <v>21, 22</v>
      </c>
      <c r="Q752" s="91">
        <f>VLOOKUP(Tabla3[[#This Row],[Site]],'Important Info!'!$A$1:$J$135,9,FALSE)</f>
        <v>239</v>
      </c>
    </row>
    <row r="753" spans="1:17" x14ac:dyDescent="0.25">
      <c r="A753" t="str">
        <f>+Tabla3[[#This Row],[Site]]&amp;Tabla3[[#This Row],[Split]]</f>
        <v>(KG) Big Star Ford10</v>
      </c>
      <c r="B753">
        <v>10</v>
      </c>
      <c r="C753">
        <v>5</v>
      </c>
      <c r="D753" t="s">
        <v>33</v>
      </c>
      <c r="E753" t="s">
        <v>46</v>
      </c>
      <c r="F753" t="s">
        <v>135</v>
      </c>
      <c r="G753" t="s">
        <v>34</v>
      </c>
      <c r="H753" s="52" t="str">
        <f>VLOOKUP(Tabla3[[#This Row],[Site]],'Important Info!'!$A$1:$J$135,10,FALSE)</f>
        <v>https://tools.sig.systems/site/details/235</v>
      </c>
      <c r="I753" s="43"/>
      <c r="J753" t="s">
        <v>41</v>
      </c>
      <c r="K753" s="79" t="str">
        <f>VLOOKUP(Tabla3[[#This Row],[Site]],'Important Info!'!$A$1:$H$135,8,FALSE)</f>
        <v>-</v>
      </c>
      <c r="L753" s="52" t="str">
        <f>VLOOKUP(Tabla3[[#This Row],[Site]],'Important Info!'!$A$1:$F$135,2,FALSE)</f>
        <v>4, 22, 32, 33</v>
      </c>
      <c r="M753" s="52" t="str">
        <f>VLOOKUP(Tabla3[[#This Row],[Site]],'Important Info!'!$A$1:$F$135,3,FALSE)</f>
        <v>-</v>
      </c>
      <c r="N753" s="52" t="str">
        <f>VLOOKUP(Tabla3[[#This Row],[Site]],'Important Info!'!$A$1:$F$135,4,FALSE)</f>
        <v>-</v>
      </c>
      <c r="O753" s="52" t="str">
        <f>VLOOKUP(Tabla3[[#This Row],[Site]],'Important Info!'!$A$1:$F$135,5,FALSE)</f>
        <v>1, 5, 12, 21</v>
      </c>
      <c r="P753" s="52">
        <f>VLOOKUP(Tabla3[[#This Row],[Site]],'Important Info!'!$A$1:$F$135,6,FALSE)</f>
        <v>22</v>
      </c>
      <c r="Q753" s="91">
        <f>VLOOKUP(Tabla3[[#This Row],[Site]],'Important Info!'!$A$1:$J$135,9,FALSE)</f>
        <v>235</v>
      </c>
    </row>
    <row r="754" spans="1:17" x14ac:dyDescent="0.25">
      <c r="A754" t="str">
        <f>+Tabla3[[#This Row],[Site]]&amp;Tabla3[[#This Row],[Split]]</f>
        <v>(MK) McKenny Salinas Honda10</v>
      </c>
      <c r="B754">
        <v>10</v>
      </c>
      <c r="C754">
        <v>5</v>
      </c>
      <c r="D754" t="s">
        <v>62</v>
      </c>
      <c r="E754" t="s">
        <v>35</v>
      </c>
      <c r="F754" t="s">
        <v>115</v>
      </c>
      <c r="G754" t="s">
        <v>490</v>
      </c>
      <c r="H754" s="52" t="str">
        <f>VLOOKUP(Tabla3[[#This Row],[Site]],'Important Info!'!$A$1:$J$135,10,FALSE)</f>
        <v>https://tools.sig.systems/site/details/149</v>
      </c>
      <c r="J754" t="s">
        <v>41</v>
      </c>
      <c r="K754" s="79" t="str">
        <f>VLOOKUP(Tabla3[[#This Row],[Site]],'Important Info!'!$A$1:$H$135,8,FALSE)</f>
        <v>-</v>
      </c>
      <c r="L754" s="52" t="str">
        <f>VLOOKUP(Tabla3[[#This Row],[Site]],'Important Info!'!$A$1:$F$135,2,FALSE)</f>
        <v>-</v>
      </c>
      <c r="M754" s="52" t="str">
        <f>VLOOKUP(Tabla3[[#This Row],[Site]],'Important Info!'!$A$1:$F$135,3,FALSE)</f>
        <v>12, 16</v>
      </c>
      <c r="N754" s="52" t="str">
        <f>VLOOKUP(Tabla3[[#This Row],[Site]],'Important Info!'!$A$1:$F$135,4,FALSE)</f>
        <v>-</v>
      </c>
      <c r="O754" s="52" t="str">
        <f>VLOOKUP(Tabla3[[#This Row],[Site]],'Important Info!'!$A$1:$F$135,5,FALSE)</f>
        <v>-</v>
      </c>
      <c r="P754" s="52" t="str">
        <f>VLOOKUP(Tabla3[[#This Row],[Site]],'Important Info!'!$A$1:$F$135,6,FALSE)</f>
        <v>3, 4, 5, 6, 16</v>
      </c>
      <c r="Q754" s="91">
        <f>VLOOKUP(Tabla3[[#This Row],[Site]],'Important Info!'!$A$1:$J$135,9,FALSE)</f>
        <v>149</v>
      </c>
    </row>
    <row r="755" spans="1:17" x14ac:dyDescent="0.25">
      <c r="A755" t="str">
        <f>+Tabla3[[#This Row],[Site]]&amp;Tabla3[[#This Row],[Split]]</f>
        <v>(ML) BMW of Little Rock10</v>
      </c>
      <c r="B755">
        <v>10</v>
      </c>
      <c r="C755">
        <v>5</v>
      </c>
      <c r="D755" t="s">
        <v>33</v>
      </c>
      <c r="E755" t="s">
        <v>46</v>
      </c>
      <c r="F755" t="s">
        <v>139</v>
      </c>
      <c r="G755" t="s">
        <v>34</v>
      </c>
      <c r="H755" s="52" t="str">
        <f>VLOOKUP(Tabla3[[#This Row],[Site]],'Important Info!'!$A$1:$J$135,10,FALSE)</f>
        <v>https://tools.sig.systems/site/details/217</v>
      </c>
      <c r="I755" t="s">
        <v>140</v>
      </c>
      <c r="J755" t="s">
        <v>41</v>
      </c>
      <c r="K755" s="79" t="str">
        <f>VLOOKUP(Tabla3[[#This Row],[Site]],'Important Info!'!$A$1:$H$135,8,FALSE)</f>
        <v>-</v>
      </c>
      <c r="L755" s="52" t="str">
        <f>VLOOKUP(Tabla3[[#This Row],[Site]],'Important Info!'!$A$1:$F$135,2,FALSE)</f>
        <v>-</v>
      </c>
      <c r="M755" s="52">
        <f>VLOOKUP(Tabla3[[#This Row],[Site]],'Important Info!'!$A$1:$F$135,3,FALSE)</f>
        <v>14</v>
      </c>
      <c r="N755" s="52" t="str">
        <f>VLOOKUP(Tabla3[[#This Row],[Site]],'Important Info!'!$A$1:$F$135,4,FALSE)</f>
        <v>-</v>
      </c>
      <c r="O755" s="52" t="str">
        <f>VLOOKUP(Tabla3[[#This Row],[Site]],'Important Info!'!$A$1:$F$135,5,FALSE)</f>
        <v>-</v>
      </c>
      <c r="P755" s="52" t="str">
        <f>VLOOKUP(Tabla3[[#This Row],[Site]],'Important Info!'!$A$1:$F$135,6,FALSE)</f>
        <v>5, 6, 7, 8, 9, 32</v>
      </c>
      <c r="Q755" s="91">
        <f>VLOOKUP(Tabla3[[#This Row],[Site]],'Important Info!'!$A$1:$J$135,9,FALSE)</f>
        <v>217</v>
      </c>
    </row>
    <row r="756" spans="1:17" x14ac:dyDescent="0.25">
      <c r="A756" t="str">
        <f>+Tabla3[[#This Row],[Site]]&amp;Tabla3[[#This Row],[Split]]</f>
        <v>(ML) Joe Machens Toyota10</v>
      </c>
      <c r="B756">
        <v>10</v>
      </c>
      <c r="C756">
        <v>5</v>
      </c>
      <c r="D756" t="s">
        <v>33</v>
      </c>
      <c r="E756" t="s">
        <v>46</v>
      </c>
      <c r="F756" t="s">
        <v>73</v>
      </c>
      <c r="G756" t="s">
        <v>34</v>
      </c>
      <c r="H756" s="52" t="str">
        <f>VLOOKUP(Tabla3[[#This Row],[Site]],'Important Info!'!$A$1:$J$135,10,FALSE)</f>
        <v>https://tools.sig.systems/site/details/275</v>
      </c>
      <c r="I756" s="43" t="s">
        <v>146</v>
      </c>
      <c r="J756" t="s">
        <v>41</v>
      </c>
      <c r="K756" s="79" t="str">
        <f>VLOOKUP(Tabla3[[#This Row],[Site]],'Important Info!'!$A$1:$H$135,8,FALSE)</f>
        <v>-</v>
      </c>
      <c r="L756" s="52" t="str">
        <f>VLOOKUP(Tabla3[[#This Row],[Site]],'Important Info!'!$A$1:$F$135,2,FALSE)</f>
        <v>-</v>
      </c>
      <c r="M756" s="52" t="str">
        <f>VLOOKUP(Tabla3[[#This Row],[Site]],'Important Info!'!$A$1:$F$135,3,FALSE)</f>
        <v>1, 4, 6</v>
      </c>
      <c r="N756" s="52" t="str">
        <f>VLOOKUP(Tabla3[[#This Row],[Site]],'Important Info!'!$A$1:$F$135,4,FALSE)</f>
        <v>-</v>
      </c>
      <c r="O756" s="52" t="str">
        <f>VLOOKUP(Tabla3[[#This Row],[Site]],'Important Info!'!$A$1:$F$135,5,FALSE)</f>
        <v>4, 10</v>
      </c>
      <c r="P756" s="52" t="str">
        <f>VLOOKUP(Tabla3[[#This Row],[Site]],'Important Info!'!$A$1:$F$135,6,FALSE)</f>
        <v>-</v>
      </c>
      <c r="Q756" s="91">
        <f>VLOOKUP(Tabla3[[#This Row],[Site]],'Important Info!'!$A$1:$J$135,9,FALSE)</f>
        <v>275</v>
      </c>
    </row>
    <row r="757" spans="1:17" x14ac:dyDescent="0.25">
      <c r="A757" t="str">
        <f>+Tabla3[[#This Row],[Site]]&amp;Tabla3[[#This Row],[Split]]</f>
        <v>(PE) BMW of Mamaroneck (NO TOURS)10</v>
      </c>
      <c r="B757">
        <v>10</v>
      </c>
      <c r="C757">
        <v>5</v>
      </c>
      <c r="D757" t="s">
        <v>485</v>
      </c>
      <c r="E757" t="s">
        <v>35</v>
      </c>
      <c r="F757" t="s">
        <v>172</v>
      </c>
      <c r="G757" t="s">
        <v>490</v>
      </c>
      <c r="H757" s="52" t="str">
        <f>VLOOKUP(Tabla3[[#This Row],[Site]],'Important Info!'!$A$1:$J$135,10,FALSE)</f>
        <v>https://tools.sig.systems/site/details/185</v>
      </c>
      <c r="I757" s="43"/>
      <c r="J757" t="s">
        <v>41</v>
      </c>
      <c r="K757" s="79" t="str">
        <f>VLOOKUP(Tabla3[[#This Row],[Site]],'Important Info!'!$A$1:$H$135,8,FALSE)</f>
        <v>-</v>
      </c>
      <c r="L757" s="52">
        <f>VLOOKUP(Tabla3[[#This Row],[Site]],'Important Info!'!$A$1:$F$135,2,FALSE)</f>
        <v>9</v>
      </c>
      <c r="M757" s="52" t="str">
        <f>VLOOKUP(Tabla3[[#This Row],[Site]],'Important Info!'!$A$1:$F$135,3,FALSE)</f>
        <v>2, 3, 4, 5</v>
      </c>
      <c r="N757" s="52" t="str">
        <f>VLOOKUP(Tabla3[[#This Row],[Site]],'Important Info!'!$A$1:$F$135,4,FALSE)</f>
        <v>-</v>
      </c>
      <c r="O757" s="52" t="str">
        <f>VLOOKUP(Tabla3[[#This Row],[Site]],'Important Info!'!$A$1:$F$135,5,FALSE)</f>
        <v>-</v>
      </c>
      <c r="P757" s="52" t="str">
        <f>VLOOKUP(Tabla3[[#This Row],[Site]],'Important Info!'!$A$1:$F$135,6,FALSE)</f>
        <v>4, 6, 7, 8</v>
      </c>
      <c r="Q757" s="91">
        <f>VLOOKUP(Tabla3[[#This Row],[Site]],'Important Info!'!$A$1:$J$135,9,FALSE)</f>
        <v>185</v>
      </c>
    </row>
    <row r="758" spans="1:17" x14ac:dyDescent="0.25">
      <c r="A758" t="str">
        <f>+Tabla3[[#This Row],[Site]]&amp;Tabla3[[#This Row],[Split]]</f>
        <v>(PE) JLR PDI (NO TOURS)10</v>
      </c>
      <c r="B758">
        <v>10</v>
      </c>
      <c r="C758">
        <v>5</v>
      </c>
      <c r="D758" t="s">
        <v>485</v>
      </c>
      <c r="E758" t="s">
        <v>35</v>
      </c>
      <c r="F758" t="s">
        <v>114</v>
      </c>
      <c r="G758" t="s">
        <v>490</v>
      </c>
      <c r="H758" s="52" t="str">
        <f>VLOOKUP(Tabla3[[#This Row],[Site]],'Important Info!'!$A$1:$J$135,10,FALSE)</f>
        <v>https://tools.sig.systems/site/details/179</v>
      </c>
      <c r="I758" t="s">
        <v>176</v>
      </c>
      <c r="J758" t="s">
        <v>41</v>
      </c>
      <c r="K758" s="79" t="str">
        <f>VLOOKUP(Tabla3[[#This Row],[Site]],'Important Info!'!$A$1:$H$135,8,FALSE)</f>
        <v>-</v>
      </c>
      <c r="L758" s="52" t="str">
        <f>VLOOKUP(Tabla3[[#This Row],[Site]],'Important Info!'!$A$1:$F$135,2,FALSE)</f>
        <v>3, 8</v>
      </c>
      <c r="M758" s="52" t="str">
        <f>VLOOKUP(Tabla3[[#This Row],[Site]],'Important Info!'!$A$1:$F$135,3,FALSE)</f>
        <v>-</v>
      </c>
      <c r="N758" s="52" t="str">
        <f>VLOOKUP(Tabla3[[#This Row],[Site]],'Important Info!'!$A$1:$F$135,4,FALSE)</f>
        <v>-</v>
      </c>
      <c r="O758" s="52" t="str">
        <f>VLOOKUP(Tabla3[[#This Row],[Site]],'Important Info!'!$A$1:$F$135,5,FALSE)</f>
        <v>-</v>
      </c>
      <c r="P758" s="52" t="str">
        <f>VLOOKUP(Tabla3[[#This Row],[Site]],'Important Info!'!$A$1:$F$135,6,FALSE)</f>
        <v>-</v>
      </c>
      <c r="Q758" s="91">
        <f>VLOOKUP(Tabla3[[#This Row],[Site]],'Important Info!'!$A$1:$J$135,9,FALSE)</f>
        <v>179</v>
      </c>
    </row>
    <row r="759" spans="1:17" x14ac:dyDescent="0.25">
      <c r="A759" t="str">
        <f>+Tabla3[[#This Row],[Site]]&amp;Tabla3[[#This Row],[Split]]</f>
        <v>(RML) Burleson Nissan10</v>
      </c>
      <c r="B759">
        <v>10</v>
      </c>
      <c r="C759">
        <v>5</v>
      </c>
      <c r="D759" t="s">
        <v>33</v>
      </c>
      <c r="E759" t="s">
        <v>46</v>
      </c>
      <c r="F759" t="s">
        <v>107</v>
      </c>
      <c r="G759" t="s">
        <v>34</v>
      </c>
      <c r="H759" s="52" t="str">
        <f>VLOOKUP(Tabla3[[#This Row],[Site]],'Important Info!'!$A$1:$J$135,10,FALSE)</f>
        <v>https://tools.sig.systems/site/details/202</v>
      </c>
      <c r="J759" t="s">
        <v>41</v>
      </c>
      <c r="K759" s="79" t="str">
        <f>VLOOKUP(Tabla3[[#This Row],[Site]],'Important Info!'!$A$1:$H$135,8,FALSE)</f>
        <v>-</v>
      </c>
      <c r="L759" s="52" t="str">
        <f>VLOOKUP(Tabla3[[#This Row],[Site]],'Important Info!'!$A$1:$F$135,2,FALSE)</f>
        <v>3, 21</v>
      </c>
      <c r="M759" s="52" t="str">
        <f>VLOOKUP(Tabla3[[#This Row],[Site]],'Important Info!'!$A$1:$F$135,3,FALSE)</f>
        <v>-</v>
      </c>
      <c r="N759" s="52" t="str">
        <f>VLOOKUP(Tabla3[[#This Row],[Site]],'Important Info!'!$A$1:$F$135,4,FALSE)</f>
        <v>-</v>
      </c>
      <c r="O759" s="52" t="str">
        <f>VLOOKUP(Tabla3[[#This Row],[Site]],'Important Info!'!$A$1:$F$135,5,FALSE)</f>
        <v>2, 6, 15</v>
      </c>
      <c r="P759" s="52" t="str">
        <f>VLOOKUP(Tabla3[[#This Row],[Site]],'Important Info!'!$A$1:$F$135,6,FALSE)</f>
        <v>-</v>
      </c>
      <c r="Q759" s="91">
        <f>VLOOKUP(Tabla3[[#This Row],[Site]],'Important Info!'!$A$1:$J$135,9,FALSE)</f>
        <v>202</v>
      </c>
    </row>
    <row r="760" spans="1:17" x14ac:dyDescent="0.25">
      <c r="A760" t="str">
        <f>+Tabla3[[#This Row],[Site]]&amp;Tabla3[[#This Row],[Split]]</f>
        <v>(AS) Park Place JLR DFW Airport (NO TOURS)10</v>
      </c>
      <c r="B760">
        <v>10</v>
      </c>
      <c r="C760">
        <v>6</v>
      </c>
      <c r="D760" t="s">
        <v>33</v>
      </c>
      <c r="E760" t="s">
        <v>46</v>
      </c>
      <c r="F760" t="s">
        <v>516</v>
      </c>
      <c r="G760" t="s">
        <v>34</v>
      </c>
      <c r="H760" s="52" t="str">
        <f>VLOOKUP(Tabla3[[#This Row],[Site]],'Important Info!'!$A$1:$J$135,10,FALSE)</f>
        <v>https://tools.sig.systems/site/details/135</v>
      </c>
      <c r="J760" t="s">
        <v>41</v>
      </c>
      <c r="K760" s="79" t="str">
        <f>VLOOKUP(Tabla3[[#This Row],[Site]],'Important Info!'!$A$1:$H$135,8,FALSE)</f>
        <v>-</v>
      </c>
      <c r="L760" s="52" t="str">
        <f>VLOOKUP(Tabla3[[#This Row],[Site]],'Important Info!'!$A$1:$F$135,2,FALSE)</f>
        <v>6, 7, 18</v>
      </c>
      <c r="M760" s="52" t="str">
        <f>VLOOKUP(Tabla3[[#This Row],[Site]],'Important Info!'!$A$1:$F$135,3,FALSE)</f>
        <v>70, 79, 80</v>
      </c>
      <c r="N760" s="52" t="str">
        <f>VLOOKUP(Tabla3[[#This Row],[Site]],'Important Info!'!$A$1:$F$135,4,FALSE)</f>
        <v>83, 84</v>
      </c>
      <c r="O760" s="52" t="str">
        <f>VLOOKUP(Tabla3[[#This Row],[Site]],'Important Info!'!$A$1:$F$135,5,FALSE)</f>
        <v>3, 8, 14, 81</v>
      </c>
      <c r="P760" s="52">
        <f>VLOOKUP(Tabla3[[#This Row],[Site]],'Important Info!'!$A$1:$F$135,6,FALSE)</f>
        <v>6</v>
      </c>
      <c r="Q760" s="91">
        <f>VLOOKUP(Tabla3[[#This Row],[Site]],'Important Info!'!$A$1:$J$135,9,FALSE)</f>
        <v>135</v>
      </c>
    </row>
    <row r="761" spans="1:17" x14ac:dyDescent="0.25">
      <c r="A761" t="str">
        <f>+Tabla3[[#This Row],[Site]]&amp;Tabla3[[#This Row],[Split]]</f>
        <v>(AS) Park Place Sprinter Van Center (NO TOURS)10</v>
      </c>
      <c r="B761">
        <v>10</v>
      </c>
      <c r="C761">
        <v>6</v>
      </c>
      <c r="D761" t="s">
        <v>33</v>
      </c>
      <c r="E761" t="s">
        <v>46</v>
      </c>
      <c r="F761" t="s">
        <v>520</v>
      </c>
      <c r="G761" t="s">
        <v>34</v>
      </c>
      <c r="H761" s="52" t="str">
        <f>VLOOKUP(Tabla3[[#This Row],[Site]],'Important Info!'!$A$1:$J$135,10,FALSE)</f>
        <v>https://tools.sig.systems/site/details/138</v>
      </c>
      <c r="I761" s="65" t="s">
        <v>125</v>
      </c>
      <c r="J761" t="s">
        <v>41</v>
      </c>
      <c r="K761" s="79" t="str">
        <f>VLOOKUP(Tabla3[[#This Row],[Site]],'Important Info!'!$A$1:$H$135,8,FALSE)</f>
        <v>-</v>
      </c>
      <c r="L761" s="52">
        <f>VLOOKUP(Tabla3[[#This Row],[Site]],'Important Info!'!$A$1:$F$135,2,FALSE)</f>
        <v>1</v>
      </c>
      <c r="M761" s="52" t="str">
        <f>VLOOKUP(Tabla3[[#This Row],[Site]],'Important Info!'!$A$1:$F$135,3,FALSE)</f>
        <v>-</v>
      </c>
      <c r="N761" s="52" t="str">
        <f>VLOOKUP(Tabla3[[#This Row],[Site]],'Important Info!'!$A$1:$F$135,4,FALSE)</f>
        <v>-</v>
      </c>
      <c r="O761" s="52" t="str">
        <f>VLOOKUP(Tabla3[[#This Row],[Site]],'Important Info!'!$A$1:$F$135,5,FALSE)</f>
        <v>-</v>
      </c>
      <c r="P761" s="52" t="str">
        <f>VLOOKUP(Tabla3[[#This Row],[Site]],'Important Info!'!$A$1:$F$135,6,FALSE)</f>
        <v>1, 3</v>
      </c>
      <c r="Q761" s="91">
        <f>VLOOKUP(Tabla3[[#This Row],[Site]],'Important Info!'!$A$1:$J$135,9,FALSE)</f>
        <v>138</v>
      </c>
    </row>
    <row r="762" spans="1:17" x14ac:dyDescent="0.25">
      <c r="A762" t="str">
        <f>+Tabla3[[#This Row],[Site]]&amp;Tabla3[[#This Row],[Split]]</f>
        <v>(AS) Stevinson Chevrolet Golden (NO TOURS)10</v>
      </c>
      <c r="B762">
        <v>10</v>
      </c>
      <c r="C762">
        <v>6</v>
      </c>
      <c r="D762" t="s">
        <v>488</v>
      </c>
      <c r="E762" t="s">
        <v>53</v>
      </c>
      <c r="F762" t="s">
        <v>190</v>
      </c>
      <c r="G762" t="s">
        <v>45</v>
      </c>
      <c r="H762" s="52" t="str">
        <f>VLOOKUP(Tabla3[[#This Row],[Site]],'Important Info!'!$A$1:$J$135,10,FALSE)</f>
        <v>https://tools.sig.systems/site/details/264</v>
      </c>
      <c r="I762" s="43" t="s">
        <v>154</v>
      </c>
      <c r="J762" t="s">
        <v>41</v>
      </c>
      <c r="K762" s="79" t="str">
        <f>VLOOKUP(Tabla3[[#This Row],[Site]],'Important Info!'!$A$1:$H$135,8,FALSE)</f>
        <v>-</v>
      </c>
      <c r="L762" s="52" t="str">
        <f>VLOOKUP(Tabla3[[#This Row],[Site]],'Important Info!'!$A$1:$F$135,2,FALSE)</f>
        <v>-</v>
      </c>
      <c r="M762" s="52" t="str">
        <f>VLOOKUP(Tabla3[[#This Row],[Site]],'Important Info!'!$A$1:$F$135,3,FALSE)</f>
        <v>1, 19</v>
      </c>
      <c r="N762" s="52" t="str">
        <f>VLOOKUP(Tabla3[[#This Row],[Site]],'Important Info!'!$A$1:$F$135,4,FALSE)</f>
        <v>-</v>
      </c>
      <c r="O762" s="52" t="str">
        <f>VLOOKUP(Tabla3[[#This Row],[Site]],'Important Info!'!$A$1:$F$135,5,FALSE)</f>
        <v>14, 30</v>
      </c>
      <c r="P762" s="52" t="str">
        <f>VLOOKUP(Tabla3[[#This Row],[Site]],'Important Info!'!$A$1:$F$135,6,FALSE)</f>
        <v>14, 33, 34, 35, 36</v>
      </c>
      <c r="Q762" s="91">
        <f>VLOOKUP(Tabla3[[#This Row],[Site]],'Important Info!'!$A$1:$J$135,9,FALSE)</f>
        <v>264</v>
      </c>
    </row>
    <row r="763" spans="1:17" x14ac:dyDescent="0.25">
      <c r="A763" t="str">
        <f>+Tabla3[[#This Row],[Site]]&amp;Tabla3[[#This Row],[Split]]</f>
        <v>(AS) Stevinson JLR (NO TOURS)10</v>
      </c>
      <c r="B763">
        <v>10</v>
      </c>
      <c r="C763">
        <v>6</v>
      </c>
      <c r="D763" t="s">
        <v>44</v>
      </c>
      <c r="E763" t="s">
        <v>53</v>
      </c>
      <c r="F763" t="s">
        <v>93</v>
      </c>
      <c r="G763" t="s">
        <v>45</v>
      </c>
      <c r="H763" s="52" t="str">
        <f>VLOOKUP(Tabla3[[#This Row],[Site]],'Important Info!'!$A$1:$J$135,10,FALSE)</f>
        <v>https://tools.sig.systems/site/details/204</v>
      </c>
      <c r="I763" s="43"/>
      <c r="J763" t="s">
        <v>41</v>
      </c>
      <c r="K763" s="79" t="str">
        <f>VLOOKUP(Tabla3[[#This Row],[Site]],'Important Info!'!$A$1:$H$135,8,FALSE)</f>
        <v>-</v>
      </c>
      <c r="L763" s="52">
        <f>VLOOKUP(Tabla3[[#This Row],[Site]],'Important Info!'!$A$1:$F$135,2,FALSE)</f>
        <v>5</v>
      </c>
      <c r="M763" s="52">
        <f>VLOOKUP(Tabla3[[#This Row],[Site]],'Important Info!'!$A$1:$F$135,3,FALSE)</f>
        <v>4</v>
      </c>
      <c r="N763" s="52" t="str">
        <f>VLOOKUP(Tabla3[[#This Row],[Site]],'Important Info!'!$A$1:$F$135,4,FALSE)</f>
        <v>-</v>
      </c>
      <c r="O763" s="52">
        <f>VLOOKUP(Tabla3[[#This Row],[Site]],'Important Info!'!$A$1:$F$135,5,FALSE)</f>
        <v>3</v>
      </c>
      <c r="P763" s="52" t="str">
        <f>VLOOKUP(Tabla3[[#This Row],[Site]],'Important Info!'!$A$1:$F$135,6,FALSE)</f>
        <v>1, 4, 15, 16</v>
      </c>
      <c r="Q763" s="91">
        <f>VLOOKUP(Tabla3[[#This Row],[Site]],'Important Info!'!$A$1:$J$135,9,FALSE)</f>
        <v>204</v>
      </c>
    </row>
    <row r="764" spans="1:17" x14ac:dyDescent="0.25">
      <c r="A764" t="str">
        <f>+Tabla3[[#This Row],[Site]]&amp;Tabla3[[#This Row],[Split]]</f>
        <v>(DT) Albuquerque10</v>
      </c>
      <c r="B764">
        <v>10</v>
      </c>
      <c r="C764">
        <v>6</v>
      </c>
      <c r="D764" t="s">
        <v>44</v>
      </c>
      <c r="E764" t="s">
        <v>53</v>
      </c>
      <c r="F764" t="s">
        <v>155</v>
      </c>
      <c r="G764" t="s">
        <v>45</v>
      </c>
      <c r="H764" s="52" t="str">
        <f>VLOOKUP(Tabla3[[#This Row],[Site]],'Important Info!'!$A$1:$J$135,10,FALSE)</f>
        <v>https://tools.sig.systems/site/details/237</v>
      </c>
      <c r="J764" t="s">
        <v>41</v>
      </c>
      <c r="K764" s="79" t="str">
        <f>VLOOKUP(Tabla3[[#This Row],[Site]],'Important Info!'!$A$1:$H$135,8,FALSE)</f>
        <v>-</v>
      </c>
      <c r="L764" s="52" t="str">
        <f>VLOOKUP(Tabla3[[#This Row],[Site]],'Important Info!'!$A$1:$F$135,2,FALSE)</f>
        <v>14, 16</v>
      </c>
      <c r="M764" s="52" t="str">
        <f>VLOOKUP(Tabla3[[#This Row],[Site]],'Important Info!'!$A$1:$F$135,3,FALSE)</f>
        <v>-</v>
      </c>
      <c r="N764" s="52" t="str">
        <f>VLOOKUP(Tabla3[[#This Row],[Site]],'Important Info!'!$A$1:$F$135,4,FALSE)</f>
        <v>-</v>
      </c>
      <c r="O764" s="52" t="str">
        <f>VLOOKUP(Tabla3[[#This Row],[Site]],'Important Info!'!$A$1:$F$135,5,FALSE)</f>
        <v>14, 15</v>
      </c>
      <c r="P764" s="52" t="str">
        <f>VLOOKUP(Tabla3[[#This Row],[Site]],'Important Info!'!$A$1:$F$135,6,FALSE)</f>
        <v>12, 14, 16</v>
      </c>
      <c r="Q764" s="91">
        <f>VLOOKUP(Tabla3[[#This Row],[Site]],'Important Info!'!$A$1:$J$135,9,FALSE)</f>
        <v>237</v>
      </c>
    </row>
    <row r="765" spans="1:17" x14ac:dyDescent="0.25">
      <c r="A765" t="str">
        <f>+Tabla3[[#This Row],[Site]]&amp;Tabla3[[#This Row],[Split]]</f>
        <v>(DT) Wichita10</v>
      </c>
      <c r="B765">
        <v>10</v>
      </c>
      <c r="C765">
        <v>6</v>
      </c>
      <c r="D765" t="s">
        <v>33</v>
      </c>
      <c r="E765" t="s">
        <v>46</v>
      </c>
      <c r="F765" t="s">
        <v>131</v>
      </c>
      <c r="G765" t="s">
        <v>34</v>
      </c>
      <c r="H765" s="52" t="str">
        <f>VLOOKUP(Tabla3[[#This Row],[Site]],'Important Info!'!$A$1:$J$135,10,FALSE)</f>
        <v>https://tools.sig.systems/site/details/257</v>
      </c>
      <c r="J765" t="s">
        <v>41</v>
      </c>
      <c r="K765" s="79" t="str">
        <f>VLOOKUP(Tabla3[[#This Row],[Site]],'Important Info!'!$A$1:$H$135,8,FALSE)</f>
        <v>-</v>
      </c>
      <c r="L765" s="52" t="str">
        <f>VLOOKUP(Tabla3[[#This Row],[Site]],'Important Info!'!$A$1:$F$135,2,FALSE)</f>
        <v>-</v>
      </c>
      <c r="M765" s="52" t="str">
        <f>VLOOKUP(Tabla3[[#This Row],[Site]],'Important Info!'!$A$1:$F$135,3,FALSE)</f>
        <v>10, 11</v>
      </c>
      <c r="N765" s="52" t="str">
        <f>VLOOKUP(Tabla3[[#This Row],[Site]],'Important Info!'!$A$1:$F$135,4,FALSE)</f>
        <v>-</v>
      </c>
      <c r="O765" s="52" t="str">
        <f>VLOOKUP(Tabla3[[#This Row],[Site]],'Important Info!'!$A$1:$F$135,5,FALSE)</f>
        <v>-</v>
      </c>
      <c r="P765" s="52" t="str">
        <f>VLOOKUP(Tabla3[[#This Row],[Site]],'Important Info!'!$A$1:$F$135,6,FALSE)</f>
        <v>1, 5, 6, 10</v>
      </c>
      <c r="Q765" s="91">
        <f>VLOOKUP(Tabla3[[#This Row],[Site]],'Important Info!'!$A$1:$J$135,9,FALSE)</f>
        <v>257</v>
      </c>
    </row>
    <row r="766" spans="1:17" x14ac:dyDescent="0.25">
      <c r="A766" t="str">
        <f>+Tabla3[[#This Row],[Site]]&amp;Tabla3[[#This Row],[Split]]</f>
        <v>(HUD) Paint and Body Center (NO TOURS)10</v>
      </c>
      <c r="B766">
        <v>10</v>
      </c>
      <c r="C766">
        <v>6</v>
      </c>
      <c r="D766" t="s">
        <v>62</v>
      </c>
      <c r="E766" t="s">
        <v>35</v>
      </c>
      <c r="F766" t="s">
        <v>110</v>
      </c>
      <c r="G766" t="s">
        <v>490</v>
      </c>
      <c r="H766" s="52" t="str">
        <f>VLOOKUP(Tabla3[[#This Row],[Site]],'Important Info!'!$A$1:$J$135,10,FALSE)</f>
        <v>https://tools.sig.systems/site/details/256</v>
      </c>
      <c r="I766" t="s">
        <v>184</v>
      </c>
      <c r="J766" t="s">
        <v>41</v>
      </c>
      <c r="K766" s="79" t="str">
        <f>VLOOKUP(Tabla3[[#This Row],[Site]],'Important Info!'!$A$1:$H$135,8,FALSE)</f>
        <v>-</v>
      </c>
      <c r="L766" s="52" t="str">
        <f>VLOOKUP(Tabla3[[#This Row],[Site]],'Important Info!'!$A$1:$F$135,2,FALSE)</f>
        <v>-</v>
      </c>
      <c r="M766" s="52">
        <f>VLOOKUP(Tabla3[[#This Row],[Site]],'Important Info!'!$A$1:$F$135,3,FALSE)</f>
        <v>1</v>
      </c>
      <c r="N766" s="52" t="str">
        <f>VLOOKUP(Tabla3[[#This Row],[Site]],'Important Info!'!$A$1:$F$135,4,FALSE)</f>
        <v>-</v>
      </c>
      <c r="O766" s="52" t="str">
        <f>VLOOKUP(Tabla3[[#This Row],[Site]],'Important Info!'!$A$1:$F$135,5,FALSE)</f>
        <v>-</v>
      </c>
      <c r="P766" s="52" t="str">
        <f>VLOOKUP(Tabla3[[#This Row],[Site]],'Important Info!'!$A$1:$F$135,6,FALSE)</f>
        <v>-</v>
      </c>
      <c r="Q766" s="91">
        <f>VLOOKUP(Tabla3[[#This Row],[Site]],'Important Info!'!$A$1:$J$135,9,FALSE)</f>
        <v>256</v>
      </c>
    </row>
    <row r="767" spans="1:17" x14ac:dyDescent="0.25">
      <c r="A767" t="str">
        <f>+Tabla3[[#This Row],[Site]]&amp;Tabla3[[#This Row],[Split]]</f>
        <v>(ML) Joe Machens E Collision Center10</v>
      </c>
      <c r="B767">
        <v>10</v>
      </c>
      <c r="C767">
        <v>6</v>
      </c>
      <c r="D767" t="s">
        <v>33</v>
      </c>
      <c r="E767" t="s">
        <v>46</v>
      </c>
      <c r="F767" t="s">
        <v>147</v>
      </c>
      <c r="G767" t="s">
        <v>34</v>
      </c>
      <c r="H767" s="52" t="str">
        <f>VLOOKUP(Tabla3[[#This Row],[Site]],'Important Info!'!$A$1:$J$135,10,FALSE)</f>
        <v>https://tools.sig.systems/site/details/277</v>
      </c>
      <c r="I767" s="2" t="s">
        <v>146</v>
      </c>
      <c r="J767" t="s">
        <v>41</v>
      </c>
      <c r="K767" s="79" t="str">
        <f>VLOOKUP(Tabla3[[#This Row],[Site]],'Important Info!'!$A$1:$H$135,8,FALSE)</f>
        <v>-</v>
      </c>
      <c r="L767" s="52">
        <f>VLOOKUP(Tabla3[[#This Row],[Site]],'Important Info!'!$A$1:$F$135,2,FALSE)</f>
        <v>1</v>
      </c>
      <c r="M767" s="52" t="str">
        <f>VLOOKUP(Tabla3[[#This Row],[Site]],'Important Info!'!$A$1:$F$135,3,FALSE)</f>
        <v>-</v>
      </c>
      <c r="N767" s="52" t="str">
        <f>VLOOKUP(Tabla3[[#This Row],[Site]],'Important Info!'!$A$1:$F$135,4,FALSE)</f>
        <v>-</v>
      </c>
      <c r="O767" s="52">
        <f>VLOOKUP(Tabla3[[#This Row],[Site]],'Important Info!'!$A$1:$F$135,5,FALSE)</f>
        <v>5</v>
      </c>
      <c r="P767" s="52" t="str">
        <f>VLOOKUP(Tabla3[[#This Row],[Site]],'Important Info!'!$A$1:$F$135,6,FALSE)</f>
        <v>1, 2, 3, 4</v>
      </c>
      <c r="Q767" s="91">
        <f>VLOOKUP(Tabla3[[#This Row],[Site]],'Important Info!'!$A$1:$J$135,9,FALSE)</f>
        <v>277</v>
      </c>
    </row>
    <row r="768" spans="1:17" x14ac:dyDescent="0.25">
      <c r="A768" t="str">
        <f>+Tabla3[[#This Row],[Site]]&amp;Tabla3[[#This Row],[Split]]</f>
        <v>(ML) Joe Machens Ford Lincoln I &amp; II10</v>
      </c>
      <c r="B768">
        <v>10</v>
      </c>
      <c r="C768">
        <v>6</v>
      </c>
      <c r="D768" t="s">
        <v>33</v>
      </c>
      <c r="E768" t="s">
        <v>46</v>
      </c>
      <c r="F768" t="s">
        <v>148</v>
      </c>
      <c r="G768" t="s">
        <v>34</v>
      </c>
      <c r="H768" s="52" t="str">
        <f>VLOOKUP(Tabla3[[#This Row],[Site]],'Important Info!'!$A$1:$J$135,10,FALSE)</f>
        <v>https://tools.sig.systems/site/details/266</v>
      </c>
      <c r="I768" s="2" t="s">
        <v>146</v>
      </c>
      <c r="J768" t="s">
        <v>41</v>
      </c>
      <c r="K768" s="79" t="str">
        <f>VLOOKUP(Tabla3[[#This Row],[Site]],'Important Info!'!$A$1:$H$135,8,FALSE)</f>
        <v>-</v>
      </c>
      <c r="L768" s="52" t="str">
        <f>VLOOKUP(Tabla3[[#This Row],[Site]],'Important Info!'!$A$1:$F$135,2,FALSE)</f>
        <v>-</v>
      </c>
      <c r="M768" s="52" t="str">
        <f>VLOOKUP(Tabla3[[#This Row],[Site]],'Important Info!'!$A$1:$F$135,3,FALSE)</f>
        <v>4, 6, 9, 13, 14, 17, 26, 27, 28, 29, 30</v>
      </c>
      <c r="N768" s="52" t="str">
        <f>VLOOKUP(Tabla3[[#This Row],[Site]],'Important Info!'!$A$1:$F$135,4,FALSE)</f>
        <v>-</v>
      </c>
      <c r="O768" s="52" t="str">
        <f>VLOOKUP(Tabla3[[#This Row],[Site]],'Important Info!'!$A$1:$F$135,5,FALSE)</f>
        <v>23, 40, 49</v>
      </c>
      <c r="P768" s="52" t="str">
        <f>VLOOKUP(Tabla3[[#This Row],[Site]],'Important Info!'!$A$1:$F$135,6,FALSE)</f>
        <v>-</v>
      </c>
      <c r="Q768" s="91">
        <f>VLOOKUP(Tabla3[[#This Row],[Site]],'Important Info!'!$A$1:$J$135,9,FALSE)</f>
        <v>266</v>
      </c>
    </row>
    <row r="769" spans="1:17" x14ac:dyDescent="0.25">
      <c r="A769" t="str">
        <f>+Tabla3[[#This Row],[Site]]&amp;Tabla3[[#This Row],[Split]]</f>
        <v>(ML) Nissan of North Little Rock10</v>
      </c>
      <c r="B769">
        <v>10</v>
      </c>
      <c r="C769">
        <v>6</v>
      </c>
      <c r="D769" t="s">
        <v>33</v>
      </c>
      <c r="E769" t="s">
        <v>46</v>
      </c>
      <c r="F769" t="s">
        <v>75</v>
      </c>
      <c r="G769" t="s">
        <v>34</v>
      </c>
      <c r="H769" s="52" t="str">
        <f>VLOOKUP(Tabla3[[#This Row],[Site]],'Important Info!'!$A$1:$J$135,10,FALSE)</f>
        <v>https://tools.sig.systems/site/details/216</v>
      </c>
      <c r="I769" s="2" t="s">
        <v>142</v>
      </c>
      <c r="J769" t="s">
        <v>41</v>
      </c>
      <c r="K769" s="79" t="str">
        <f>VLOOKUP(Tabla3[[#This Row],[Site]],'Important Info!'!$A$1:$H$135,8,FALSE)</f>
        <v>-</v>
      </c>
      <c r="L769" s="52" t="str">
        <f>VLOOKUP(Tabla3[[#This Row],[Site]],'Important Info!'!$A$1:$F$135,2,FALSE)</f>
        <v>2, 4</v>
      </c>
      <c r="M769" s="52" t="str">
        <f>VLOOKUP(Tabla3[[#This Row],[Site]],'Important Info!'!$A$1:$F$135,3,FALSE)</f>
        <v>-</v>
      </c>
      <c r="N769" s="52" t="str">
        <f>VLOOKUP(Tabla3[[#This Row],[Site]],'Important Info!'!$A$1:$F$135,4,FALSE)</f>
        <v>-</v>
      </c>
      <c r="O769" s="52" t="str">
        <f>VLOOKUP(Tabla3[[#This Row],[Site]],'Important Info!'!$A$1:$F$135,5,FALSE)</f>
        <v>5, 17, 23</v>
      </c>
      <c r="P769" s="52">
        <f>VLOOKUP(Tabla3[[#This Row],[Site]],'Important Info!'!$A$1:$F$135,6,FALSE)</f>
        <v>18</v>
      </c>
      <c r="Q769" s="91">
        <f>VLOOKUP(Tabla3[[#This Row],[Site]],'Important Info!'!$A$1:$J$135,9,FALSE)</f>
        <v>216</v>
      </c>
    </row>
    <row r="770" spans="1:17" x14ac:dyDescent="0.25">
      <c r="A770" t="str">
        <f>+Tabla3[[#This Row],[Site]]&amp;Tabla3[[#This Row],[Split]]</f>
        <v>(PE) Scofield Service Center (NO TOURS)10</v>
      </c>
      <c r="B770">
        <v>10</v>
      </c>
      <c r="C770">
        <v>6</v>
      </c>
      <c r="D770" t="s">
        <v>485</v>
      </c>
      <c r="E770" t="s">
        <v>35</v>
      </c>
      <c r="F770" t="s">
        <v>83</v>
      </c>
      <c r="G770" t="s">
        <v>490</v>
      </c>
      <c r="H770" s="52" t="str">
        <f>VLOOKUP(Tabla3[[#This Row],[Site]],'Important Info!'!$A$1:$J$135,10,FALSE)</f>
        <v>https://tools.sig.systems/site/details/193</v>
      </c>
      <c r="I770" t="s">
        <v>177</v>
      </c>
      <c r="J770" t="s">
        <v>41</v>
      </c>
      <c r="K770" s="79" t="str">
        <f>VLOOKUP(Tabla3[[#This Row],[Site]],'Important Info!'!$A$1:$H$135,8,FALSE)</f>
        <v>-</v>
      </c>
      <c r="L770" s="52">
        <f>VLOOKUP(Tabla3[[#This Row],[Site]],'Important Info!'!$A$1:$F$135,2,FALSE)</f>
        <v>1</v>
      </c>
      <c r="M770" s="52" t="str">
        <f>VLOOKUP(Tabla3[[#This Row],[Site]],'Important Info!'!$A$1:$F$135,3,FALSE)</f>
        <v>-</v>
      </c>
      <c r="N770" s="52" t="str">
        <f>VLOOKUP(Tabla3[[#This Row],[Site]],'Important Info!'!$A$1:$F$135,4,FALSE)</f>
        <v>-</v>
      </c>
      <c r="O770" s="52">
        <f>VLOOKUP(Tabla3[[#This Row],[Site]],'Important Info!'!$A$1:$F$135,5,FALSE)</f>
        <v>9</v>
      </c>
      <c r="P770" s="52" t="str">
        <f>VLOOKUP(Tabla3[[#This Row],[Site]],'Important Info!'!$A$1:$F$135,6,FALSE)</f>
        <v>1, 17</v>
      </c>
      <c r="Q770" s="91">
        <f>VLOOKUP(Tabla3[[#This Row],[Site]],'Important Info!'!$A$1:$J$135,9,FALSE)</f>
        <v>193</v>
      </c>
    </row>
    <row r="771" spans="1:17" x14ac:dyDescent="0.25">
      <c r="A771" t="str">
        <f>+Tabla3[[#This Row],[Site]]&amp;Tabla3[[#This Row],[Split]]</f>
        <v>(SCH) Prep Center Delray10</v>
      </c>
      <c r="B771">
        <v>10</v>
      </c>
      <c r="C771">
        <v>6</v>
      </c>
      <c r="D771" t="s">
        <v>62</v>
      </c>
      <c r="E771" t="s">
        <v>35</v>
      </c>
      <c r="F771" t="s">
        <v>191</v>
      </c>
      <c r="G771" t="s">
        <v>490</v>
      </c>
      <c r="H771" s="52" t="str">
        <f>VLOOKUP(Tabla3[[#This Row],[Site]],'Important Info!'!$A$1:$J$135,10,FALSE)</f>
        <v>https://tools.sig.systems/site/details/321</v>
      </c>
      <c r="J771" t="s">
        <v>41</v>
      </c>
      <c r="K771" s="79" t="str">
        <f>VLOOKUP(Tabla3[[#This Row],[Site]],'Important Info!'!$A$1:$H$135,8,FALSE)</f>
        <v>-</v>
      </c>
      <c r="L771" s="52" t="str">
        <f>VLOOKUP(Tabla3[[#This Row],[Site]],'Important Info!'!$A$1:$F$135,2,FALSE)</f>
        <v>2,3</v>
      </c>
      <c r="M771" s="52" t="str">
        <f>VLOOKUP(Tabla3[[#This Row],[Site]],'Important Info!'!$A$1:$F$135,3,FALSE)</f>
        <v>-</v>
      </c>
      <c r="N771" s="52" t="str">
        <f>VLOOKUP(Tabla3[[#This Row],[Site]],'Important Info!'!$A$1:$F$135,4,FALSE)</f>
        <v>-</v>
      </c>
      <c r="O771" s="52" t="str">
        <f>VLOOKUP(Tabla3[[#This Row],[Site]],'Important Info!'!$A$1:$F$135,5,FALSE)</f>
        <v>-</v>
      </c>
      <c r="P771" s="52" t="str">
        <f>VLOOKUP(Tabla3[[#This Row],[Site]],'Important Info!'!$A$1:$F$135,6,FALSE)</f>
        <v>2,4,10</v>
      </c>
      <c r="Q771" s="91">
        <f>VLOOKUP(Tabla3[[#This Row],[Site]],'Important Info!'!$A$1:$J$135,9,FALSE)</f>
        <v>321</v>
      </c>
    </row>
    <row r="772" spans="1:17" x14ac:dyDescent="0.25">
      <c r="A772" t="str">
        <f>+Tabla3[[#This Row],[Site]]&amp;Tabla3[[#This Row],[Split]]</f>
        <v>(TC) Tavernier Creek Marina (NO TOURS)10</v>
      </c>
      <c r="B772">
        <v>10</v>
      </c>
      <c r="C772">
        <v>6</v>
      </c>
      <c r="D772" t="s">
        <v>62</v>
      </c>
      <c r="E772" t="s">
        <v>35</v>
      </c>
      <c r="F772" t="s">
        <v>119</v>
      </c>
      <c r="G772" t="s">
        <v>34</v>
      </c>
      <c r="H772" s="52" t="str">
        <f>VLOOKUP(Tabla3[[#This Row],[Site]],'Important Info!'!$A$1:$J$135,10,FALSE)</f>
        <v>https://tools.sig.systems/site/details/164</v>
      </c>
      <c r="J772" t="s">
        <v>45</v>
      </c>
      <c r="K772" s="79" t="str">
        <f>VLOOKUP(Tabla3[[#This Row],[Site]],'Important Info!'!$A$1:$H$135,8,FALSE)</f>
        <v>-</v>
      </c>
      <c r="L772" s="52" t="str">
        <f>VLOOKUP(Tabla3[[#This Row],[Site]],'Important Info!'!$A$1:$F$135,2,FALSE)</f>
        <v>28, 29</v>
      </c>
      <c r="M772" s="52" t="str">
        <f>VLOOKUP(Tabla3[[#This Row],[Site]],'Important Info!'!$A$1:$F$135,3,FALSE)</f>
        <v>-</v>
      </c>
      <c r="N772" s="52" t="str">
        <f>VLOOKUP(Tabla3[[#This Row],[Site]],'Important Info!'!$A$1:$F$135,4,FALSE)</f>
        <v>-</v>
      </c>
      <c r="O772" s="52" t="str">
        <f>VLOOKUP(Tabla3[[#This Row],[Site]],'Important Info!'!$A$1:$F$135,5,FALSE)</f>
        <v>-</v>
      </c>
      <c r="P772" s="52" t="str">
        <f>VLOOKUP(Tabla3[[#This Row],[Site]],'Important Info!'!$A$1:$F$135,6,FALSE)</f>
        <v>5, 28, 29</v>
      </c>
      <c r="Q772" s="91">
        <f>VLOOKUP(Tabla3[[#This Row],[Site]],'Important Info!'!$A$1:$J$135,9,FALSE)</f>
        <v>164</v>
      </c>
    </row>
    <row r="773" spans="1:17" x14ac:dyDescent="0.25">
      <c r="A773" t="str">
        <f>+Tabla3[[#This Row],[Site]]&amp;Tabla3[[#This Row],[Split]]</f>
        <v>(AS) Atwell Prep Center-Dallas (NO TOURS)10</v>
      </c>
      <c r="B773">
        <v>10</v>
      </c>
      <c r="C773">
        <v>7</v>
      </c>
      <c r="D773" t="s">
        <v>33</v>
      </c>
      <c r="E773" t="s">
        <v>46</v>
      </c>
      <c r="F773" t="s">
        <v>498</v>
      </c>
      <c r="G773" t="s">
        <v>34</v>
      </c>
      <c r="H773" s="52" t="str">
        <f>VLOOKUP(Tabla3[[#This Row],[Site]],'Important Info!'!$A$1:$J$135,10,FALSE)</f>
        <v>https://tools.sig.systems/site/details/165</v>
      </c>
      <c r="I773" s="65" t="s">
        <v>125</v>
      </c>
      <c r="J773" t="s">
        <v>41</v>
      </c>
      <c r="K773" s="79" t="str">
        <f>VLOOKUP(Tabla3[[#This Row],[Site]],'Important Info!'!$A$1:$H$135,8,FALSE)</f>
        <v>-</v>
      </c>
      <c r="L773" s="52" t="str">
        <f>VLOOKUP(Tabla3[[#This Row],[Site]],'Important Info!'!$A$1:$F$135,2,FALSE)</f>
        <v>4, 6, 7</v>
      </c>
      <c r="M773" s="52" t="str">
        <f>VLOOKUP(Tabla3[[#This Row],[Site]],'Important Info!'!$A$1:$F$135,3,FALSE)</f>
        <v>-</v>
      </c>
      <c r="N773" s="52" t="str">
        <f>VLOOKUP(Tabla3[[#This Row],[Site]],'Important Info!'!$A$1:$F$135,4,FALSE)</f>
        <v>-</v>
      </c>
      <c r="O773" s="52" t="str">
        <f>VLOOKUP(Tabla3[[#This Row],[Site]],'Important Info!'!$A$1:$F$135,5,FALSE)</f>
        <v>-</v>
      </c>
      <c r="P773" s="52" t="str">
        <f>VLOOKUP(Tabla3[[#This Row],[Site]],'Important Info!'!$A$1:$F$135,6,FALSE)</f>
        <v>1, 2</v>
      </c>
      <c r="Q773" s="91">
        <f>VLOOKUP(Tabla3[[#This Row],[Site]],'Important Info!'!$A$1:$J$135,9,FALSE)</f>
        <v>165</v>
      </c>
    </row>
    <row r="774" spans="1:17" x14ac:dyDescent="0.25">
      <c r="A774" t="str">
        <f>+Tabla3[[#This Row],[Site]]&amp;Tabla3[[#This Row],[Split]]</f>
        <v>(AS) Coggin Acura Ft Pierce (NO TOURS)10</v>
      </c>
      <c r="B774">
        <v>10</v>
      </c>
      <c r="C774">
        <v>7</v>
      </c>
      <c r="D774" t="s">
        <v>62</v>
      </c>
      <c r="E774" t="s">
        <v>35</v>
      </c>
      <c r="F774" t="s">
        <v>500</v>
      </c>
      <c r="G774" t="s">
        <v>490</v>
      </c>
      <c r="H774" s="52" t="str">
        <f>VLOOKUP(Tabla3[[#This Row],[Site]],'Important Info!'!$A$1:$J$135,10,FALSE)</f>
        <v>https://tools.sig.systems/site/details/118</v>
      </c>
      <c r="I774" s="43" t="s">
        <v>179</v>
      </c>
      <c r="J774" t="s">
        <v>41</v>
      </c>
      <c r="K774" s="79" t="str">
        <f>VLOOKUP(Tabla3[[#This Row],[Site]],'Important Info!'!$A$1:$H$135,8,FALSE)</f>
        <v>-</v>
      </c>
      <c r="L774" s="52" t="str">
        <f>VLOOKUP(Tabla3[[#This Row],[Site]],'Important Info!'!$A$1:$F$135,2,FALSE)</f>
        <v>-</v>
      </c>
      <c r="M774" s="52">
        <f>VLOOKUP(Tabla3[[#This Row],[Site]],'Important Info!'!$A$1:$F$135,3,FALSE)</f>
        <v>6</v>
      </c>
      <c r="N774" s="52" t="str">
        <f>VLOOKUP(Tabla3[[#This Row],[Site]],'Important Info!'!$A$1:$F$135,4,FALSE)</f>
        <v>-</v>
      </c>
      <c r="O774" s="52" t="str">
        <f>VLOOKUP(Tabla3[[#This Row],[Site]],'Important Info!'!$A$1:$F$135,5,FALSE)</f>
        <v>4, 6</v>
      </c>
      <c r="P774" s="52">
        <f>VLOOKUP(Tabla3[[#This Row],[Site]],'Important Info!'!$A$1:$F$135,6,FALSE)</f>
        <v>1</v>
      </c>
      <c r="Q774" s="91">
        <f>VLOOKUP(Tabla3[[#This Row],[Site]],'Important Info!'!$A$1:$J$135,9,FALSE)</f>
        <v>118</v>
      </c>
    </row>
    <row r="775" spans="1:17" x14ac:dyDescent="0.25">
      <c r="A775" t="str">
        <f>+Tabla3[[#This Row],[Site]]&amp;Tabla3[[#This Row],[Split]]</f>
        <v>(AS) Courtesy CDJR of Brandon (NO TOURS)10</v>
      </c>
      <c r="B775">
        <v>10</v>
      </c>
      <c r="C775">
        <v>7</v>
      </c>
      <c r="D775" t="s">
        <v>62</v>
      </c>
      <c r="E775" t="s">
        <v>35</v>
      </c>
      <c r="F775" t="s">
        <v>503</v>
      </c>
      <c r="G775" t="s">
        <v>490</v>
      </c>
      <c r="H775" s="52" t="str">
        <f>VLOOKUP(Tabla3[[#This Row],[Site]],'Important Info!'!$A$1:$J$135,10,FALSE)</f>
        <v>https://tools.sig.systems/site/details/126</v>
      </c>
      <c r="I775" s="2" t="s">
        <v>181</v>
      </c>
      <c r="J775" t="s">
        <v>484</v>
      </c>
      <c r="K775" s="79" t="str">
        <f>VLOOKUP(Tabla3[[#This Row],[Site]],'Important Info!'!$A$1:$H$135,8,FALSE)</f>
        <v>-</v>
      </c>
      <c r="L775" s="52" t="str">
        <f>VLOOKUP(Tabla3[[#This Row],[Site]],'Important Info!'!$A$1:$F$135,2,FALSE)</f>
        <v>1, 14, 15</v>
      </c>
      <c r="M775" s="52">
        <f>VLOOKUP(Tabla3[[#This Row],[Site]],'Important Info!'!$A$1:$F$135,3,FALSE)</f>
        <v>1</v>
      </c>
      <c r="N775" s="52" t="str">
        <f>VLOOKUP(Tabla3[[#This Row],[Site]],'Important Info!'!$A$1:$F$135,4,FALSE)</f>
        <v>-</v>
      </c>
      <c r="O775" s="52" t="str">
        <f>VLOOKUP(Tabla3[[#This Row],[Site]],'Important Info!'!$A$1:$F$135,5,FALSE)</f>
        <v>2, 12</v>
      </c>
      <c r="P775" s="52" t="str">
        <f>VLOOKUP(Tabla3[[#This Row],[Site]],'Important Info!'!$A$1:$F$135,6,FALSE)</f>
        <v xml:space="preserve">1, 2, 3, 4, 14, 15, 21, 25 </v>
      </c>
      <c r="Q775" s="91">
        <f>VLOOKUP(Tabla3[[#This Row],[Site]],'Important Info!'!$A$1:$J$135,9,FALSE)</f>
        <v>126</v>
      </c>
    </row>
    <row r="776" spans="1:17" x14ac:dyDescent="0.25">
      <c r="A776" t="str">
        <f>+Tabla3[[#This Row],[Site]]&amp;Tabla3[[#This Row],[Split]]</f>
        <v>(AS) David McDavid Honda I &amp; II (NO TOURS)10</v>
      </c>
      <c r="B776">
        <v>10</v>
      </c>
      <c r="C776">
        <v>7</v>
      </c>
      <c r="D776" t="s">
        <v>33</v>
      </c>
      <c r="E776" t="s">
        <v>46</v>
      </c>
      <c r="F776" t="s">
        <v>506</v>
      </c>
      <c r="G776" t="s">
        <v>34</v>
      </c>
      <c r="H776" s="52" t="str">
        <f>VLOOKUP(Tabla3[[#This Row],[Site]],'Important Info!'!$A$1:$J$135,10,FALSE)</f>
        <v>https://tools.sig.systems/site/details/129</v>
      </c>
      <c r="J776" t="s">
        <v>41</v>
      </c>
      <c r="K776" s="79" t="str">
        <f>VLOOKUP(Tabla3[[#This Row],[Site]],'Important Info!'!$A$1:$H$135,8,FALSE)</f>
        <v>-</v>
      </c>
      <c r="L776" s="52" t="str">
        <f>VLOOKUP(Tabla3[[#This Row],[Site]],'Important Info!'!$A$1:$F$135,2,FALSE)</f>
        <v>-</v>
      </c>
      <c r="M776" s="52" t="str">
        <f>VLOOKUP(Tabla3[[#This Row],[Site]],'Important Info!'!$A$1:$F$135,3,FALSE)</f>
        <v>3, 19, 23, 32, 35</v>
      </c>
      <c r="N776" s="52" t="str">
        <f>VLOOKUP(Tabla3[[#This Row],[Site]],'Important Info!'!$A$1:$F$135,4,FALSE)</f>
        <v>-</v>
      </c>
      <c r="O776" s="52" t="str">
        <f>VLOOKUP(Tabla3[[#This Row],[Site]],'Important Info!'!$A$1:$F$135,5,FALSE)</f>
        <v>2, 6, 9, 19, 25, 30, 48</v>
      </c>
      <c r="P776" s="52" t="str">
        <f>VLOOKUP(Tabla3[[#This Row],[Site]],'Important Info!'!$A$1:$F$135,6,FALSE)</f>
        <v>25, 26, 35, 36, 37</v>
      </c>
      <c r="Q776" s="91">
        <f>VLOOKUP(Tabla3[[#This Row],[Site]],'Important Info!'!$A$1:$J$135,9,FALSE)</f>
        <v>129</v>
      </c>
    </row>
    <row r="777" spans="1:17" x14ac:dyDescent="0.25">
      <c r="A777" t="str">
        <f>+Tabla3[[#This Row],[Site]]&amp;Tabla3[[#This Row],[Split]]</f>
        <v>(AS) Park Place Mercedes Benz Ft. Worth (NO TOURS)10</v>
      </c>
      <c r="B777">
        <v>10</v>
      </c>
      <c r="C777">
        <v>7</v>
      </c>
      <c r="D777" t="s">
        <v>33</v>
      </c>
      <c r="E777" t="s">
        <v>46</v>
      </c>
      <c r="F777" t="s">
        <v>519</v>
      </c>
      <c r="G777" t="s">
        <v>34</v>
      </c>
      <c r="H777" s="52" t="str">
        <f>VLOOKUP(Tabla3[[#This Row],[Site]],'Important Info!'!$A$1:$J$135,10,FALSE)</f>
        <v>https://tools.sig.systems/site/details/137</v>
      </c>
      <c r="I777" t="s">
        <v>128</v>
      </c>
      <c r="J777" t="s">
        <v>41</v>
      </c>
      <c r="K777" s="79" t="s">
        <v>37</v>
      </c>
      <c r="L777" s="52" t="str">
        <f>VLOOKUP(Tabla3[[#This Row],[Site]],'Important Info!'!$A$1:$F$135,2,FALSE)</f>
        <v>4, 18</v>
      </c>
      <c r="M777" s="52" t="str">
        <f>VLOOKUP(Tabla3[[#This Row],[Site]],'Important Info!'!$A$1:$F$135,3,FALSE)</f>
        <v>-</v>
      </c>
      <c r="N777" s="52" t="str">
        <f>VLOOKUP(Tabla3[[#This Row],[Site]],'Important Info!'!$A$1:$F$135,4,FALSE)</f>
        <v>54, 55</v>
      </c>
      <c r="O777" s="52" t="str">
        <f>VLOOKUP(Tabla3[[#This Row],[Site]],'Important Info!'!$A$1:$F$135,5,FALSE)</f>
        <v>2, 18</v>
      </c>
      <c r="P777" s="52" t="str">
        <f>VLOOKUP(Tabla3[[#This Row],[Site]],'Important Info!'!$A$1:$F$135,6,FALSE)</f>
        <v>5, 18</v>
      </c>
      <c r="Q777" s="91">
        <f>VLOOKUP(Tabla3[[#This Row],[Site]],'Important Info!'!$A$1:$J$135,9,FALSE)</f>
        <v>137</v>
      </c>
    </row>
    <row r="778" spans="1:17" x14ac:dyDescent="0.25">
      <c r="A778" t="str">
        <f>+Tabla3[[#This Row],[Site]]&amp;Tabla3[[#This Row],[Split]]</f>
        <v>(AS) Stevinson Toyota West (NO TOURS)10</v>
      </c>
      <c r="B778">
        <v>10</v>
      </c>
      <c r="C778">
        <v>7</v>
      </c>
      <c r="D778" t="s">
        <v>44</v>
      </c>
      <c r="E778" t="s">
        <v>53</v>
      </c>
      <c r="F778" t="s">
        <v>79</v>
      </c>
      <c r="G778" t="s">
        <v>45</v>
      </c>
      <c r="H778" s="52" t="str">
        <f>VLOOKUP(Tabla3[[#This Row],[Site]],'Important Info!'!$A$1:$J$135,10,FALSE)</f>
        <v>https://tools.sig.systems/site/details/240</v>
      </c>
      <c r="I778" s="2" t="s">
        <v>154</v>
      </c>
      <c r="J778" t="s">
        <v>41</v>
      </c>
      <c r="K778" s="79" t="str">
        <f>VLOOKUP(Tabla3[[#This Row],[Site]],'Important Info!'!$A$1:$H$135,8,FALSE)</f>
        <v>-</v>
      </c>
      <c r="L778" s="52" t="str">
        <f>VLOOKUP(Tabla3[[#This Row],[Site]],'Important Info!'!$A$1:$F$135,2,FALSE)</f>
        <v>-</v>
      </c>
      <c r="M778" s="52" t="str">
        <f>VLOOKUP(Tabla3[[#This Row],[Site]],'Important Info!'!$A$1:$F$135,3,FALSE)</f>
        <v>7, 18, 21</v>
      </c>
      <c r="N778" s="52" t="str">
        <f>VLOOKUP(Tabla3[[#This Row],[Site]],'Important Info!'!$A$1:$F$135,4,FALSE)</f>
        <v>-</v>
      </c>
      <c r="O778" s="52" t="str">
        <f>VLOOKUP(Tabla3[[#This Row],[Site]],'Important Info!'!$A$1:$F$135,5,FALSE)</f>
        <v>11, 24, 34</v>
      </c>
      <c r="P778" s="52" t="str">
        <f>VLOOKUP(Tabla3[[#This Row],[Site]],'Important Info!'!$A$1:$F$135,6,FALSE)</f>
        <v>1, 2, 3, 12</v>
      </c>
      <c r="Q778" s="91">
        <f>VLOOKUP(Tabla3[[#This Row],[Site]],'Important Info!'!$A$1:$J$135,9,FALSE)</f>
        <v>240</v>
      </c>
    </row>
    <row r="779" spans="1:17" x14ac:dyDescent="0.25">
      <c r="A779" t="str">
        <f>+Tabla3[[#This Row],[Site]]&amp;Tabla3[[#This Row],[Split]]</f>
        <v>(ML) Honda of Little Rock10</v>
      </c>
      <c r="B779">
        <v>10</v>
      </c>
      <c r="C779">
        <v>7</v>
      </c>
      <c r="D779" t="s">
        <v>33</v>
      </c>
      <c r="E779" t="s">
        <v>46</v>
      </c>
      <c r="F779" t="s">
        <v>71</v>
      </c>
      <c r="G779" t="s">
        <v>34</v>
      </c>
      <c r="H779" s="52" t="str">
        <f>VLOOKUP(Tabla3[[#This Row],[Site]],'Important Info!'!$A$1:$J$135,10,FALSE)</f>
        <v>https://tools.sig.systems/site/details/249</v>
      </c>
      <c r="I779" s="43" t="s">
        <v>140</v>
      </c>
      <c r="J779" t="s">
        <v>41</v>
      </c>
      <c r="K779" s="79" t="str">
        <f>VLOOKUP(Tabla3[[#This Row],[Site]],'Important Info!'!$A$1:$H$135,8,FALSE)</f>
        <v>-</v>
      </c>
      <c r="L779" s="52" t="str">
        <f>VLOOKUP(Tabla3[[#This Row],[Site]],'Important Info!'!$A$1:$F$135,2,FALSE)</f>
        <v>1, 4, 9, 14, 21</v>
      </c>
      <c r="M779" s="52" t="str">
        <f>VLOOKUP(Tabla3[[#This Row],[Site]],'Important Info!'!$A$1:$F$135,3,FALSE)</f>
        <v>-</v>
      </c>
      <c r="N779" s="52" t="str">
        <f>VLOOKUP(Tabla3[[#This Row],[Site]],'Important Info!'!$A$1:$F$135,4,FALSE)</f>
        <v>-</v>
      </c>
      <c r="O779" s="52" t="str">
        <f>VLOOKUP(Tabla3[[#This Row],[Site]],'Important Info!'!$A$1:$F$135,5,FALSE)</f>
        <v>4, 14, 21</v>
      </c>
      <c r="P779" s="52" t="str">
        <f>VLOOKUP(Tabla3[[#This Row],[Site]],'Important Info!'!$A$1:$F$135,6,FALSE)</f>
        <v>11, 12</v>
      </c>
      <c r="Q779" s="91">
        <f>VLOOKUP(Tabla3[[#This Row],[Site]],'Important Info!'!$A$1:$J$135,9,FALSE)</f>
        <v>249</v>
      </c>
    </row>
    <row r="780" spans="1:17" x14ac:dyDescent="0.25">
      <c r="A780" t="str">
        <f>+Tabla3[[#This Row],[Site]]&amp;Tabla3[[#This Row],[Split]]</f>
        <v>(ML) Joe Machens Temporary 2.010</v>
      </c>
      <c r="B780">
        <v>10</v>
      </c>
      <c r="C780">
        <v>7</v>
      </c>
      <c r="D780" t="s">
        <v>33</v>
      </c>
      <c r="E780" t="s">
        <v>46</v>
      </c>
      <c r="F780" t="s">
        <v>105</v>
      </c>
      <c r="G780" t="s">
        <v>34</v>
      </c>
      <c r="H780" s="52" t="str">
        <f>VLOOKUP(Tabla3[[#This Row],[Site]],'Important Info!'!$A$1:$J$135,10,FALSE)</f>
        <v>https://tools.sig.systems/site/details/278</v>
      </c>
      <c r="I780" s="66" t="s">
        <v>146</v>
      </c>
      <c r="J780" t="s">
        <v>41</v>
      </c>
      <c r="K780" s="79" t="str">
        <f>VLOOKUP(Tabla3[[#This Row],[Site]],'Important Info!'!$A$1:$H$135,8,FALSE)</f>
        <v>-</v>
      </c>
      <c r="L780" s="52" t="str">
        <f>VLOOKUP(Tabla3[[#This Row],[Site]],'Important Info!'!$A$1:$F$135,2,FALSE)</f>
        <v>-</v>
      </c>
      <c r="M780" s="52" t="str">
        <f>VLOOKUP(Tabla3[[#This Row],[Site]],'Important Info!'!$A$1:$F$135,3,FALSE)</f>
        <v>1, 11, 14, 15, 16</v>
      </c>
      <c r="N780" s="52" t="str">
        <f>VLOOKUP(Tabla3[[#This Row],[Site]],'Important Info!'!$A$1:$F$135,4,FALSE)</f>
        <v>-</v>
      </c>
      <c r="O780" s="52">
        <f>VLOOKUP(Tabla3[[#This Row],[Site]],'Important Info!'!$A$1:$F$135,5,FALSE)</f>
        <v>13</v>
      </c>
      <c r="P780" s="52" t="str">
        <f>VLOOKUP(Tabla3[[#This Row],[Site]],'Important Info!'!$A$1:$F$135,6,FALSE)</f>
        <v>-</v>
      </c>
      <c r="Q780" s="91">
        <f>VLOOKUP(Tabla3[[#This Row],[Site]],'Important Info!'!$A$1:$J$135,9,FALSE)</f>
        <v>278</v>
      </c>
    </row>
    <row r="781" spans="1:17" x14ac:dyDescent="0.25">
      <c r="A781" t="str">
        <f>+Tabla3[[#This Row],[Site]]&amp;Tabla3[[#This Row],[Split]]</f>
        <v>(ML) Mazda VW-Lot B10</v>
      </c>
      <c r="B781">
        <v>10</v>
      </c>
      <c r="C781">
        <v>7</v>
      </c>
      <c r="D781" t="s">
        <v>33</v>
      </c>
      <c r="E781" t="s">
        <v>46</v>
      </c>
      <c r="F781" t="s">
        <v>9</v>
      </c>
      <c r="G781" t="s">
        <v>34</v>
      </c>
      <c r="H781" s="52" t="str">
        <f>VLOOKUP(Tabla3[[#This Row],[Site]],'Important Info!'!$A$1:$J$135,10,FALSE)</f>
        <v>https://tools.sig.systems/site/details/205</v>
      </c>
      <c r="I781" s="43" t="s">
        <v>142</v>
      </c>
      <c r="J781" t="s">
        <v>41</v>
      </c>
      <c r="K781" s="79" t="str">
        <f>VLOOKUP(Tabla3[[#This Row],[Site]],'Important Info!'!$A$1:$H$135,8,FALSE)</f>
        <v>-</v>
      </c>
      <c r="L781" s="52" t="str">
        <f>VLOOKUP(Tabla3[[#This Row],[Site]],'Important Info!'!$A$1:$F$135,2,FALSE)</f>
        <v>9, 14, 16</v>
      </c>
      <c r="M781" s="52">
        <f>VLOOKUP(Tabla3[[#This Row],[Site]],'Important Info!'!$A$1:$F$135,3,FALSE)</f>
        <v>1</v>
      </c>
      <c r="N781" s="52" t="str">
        <f>VLOOKUP(Tabla3[[#This Row],[Site]],'Important Info!'!$A$1:$F$135,4,FALSE)</f>
        <v>-</v>
      </c>
      <c r="O781" s="52">
        <f>VLOOKUP(Tabla3[[#This Row],[Site]],'Important Info!'!$A$1:$F$135,5,FALSE)</f>
        <v>4</v>
      </c>
      <c r="P781" s="52" t="str">
        <f>VLOOKUP(Tabla3[[#This Row],[Site]],'Important Info!'!$A$1:$F$135,6,FALSE)</f>
        <v>-</v>
      </c>
      <c r="Q781" s="91">
        <f>VLOOKUP(Tabla3[[#This Row],[Site]],'Important Info!'!$A$1:$J$135,9,FALSE)</f>
        <v>205</v>
      </c>
    </row>
    <row r="782" spans="1:17" x14ac:dyDescent="0.25">
      <c r="A782" t="str">
        <f>+Tabla3[[#This Row],[Site]]&amp;Tabla3[[#This Row],[Split]]</f>
        <v>(PE) BMW Tenafly (NO TOURS)10</v>
      </c>
      <c r="B782">
        <v>10</v>
      </c>
      <c r="C782">
        <v>7</v>
      </c>
      <c r="D782" t="s">
        <v>485</v>
      </c>
      <c r="E782" t="s">
        <v>35</v>
      </c>
      <c r="F782" t="s">
        <v>173</v>
      </c>
      <c r="G782" t="s">
        <v>490</v>
      </c>
      <c r="H782" s="52" t="str">
        <f>VLOOKUP(Tabla3[[#This Row],[Site]],'Important Info!'!$A$1:$J$135,10,FALSE)</f>
        <v>https://tools.sig.systems/site/details/155</v>
      </c>
      <c r="I782" s="43"/>
      <c r="J782" t="s">
        <v>41</v>
      </c>
      <c r="K782" s="79" t="str">
        <f>VLOOKUP(Tabla3[[#This Row],[Site]],'Important Info!'!$A$1:$H$135,8,FALSE)</f>
        <v>-</v>
      </c>
      <c r="L782" s="52">
        <f>VLOOKUP(Tabla3[[#This Row],[Site]],'Important Info!'!$A$1:$F$135,2,FALSE)</f>
        <v>24</v>
      </c>
      <c r="M782" s="52" t="str">
        <f>VLOOKUP(Tabla3[[#This Row],[Site]],'Important Info!'!$A$1:$F$135,3,FALSE)</f>
        <v>1, 3, 4, 17, 23</v>
      </c>
      <c r="N782" s="52" t="str">
        <f>VLOOKUP(Tabla3[[#This Row],[Site]],'Important Info!'!$A$1:$F$135,4,FALSE)</f>
        <v>-</v>
      </c>
      <c r="O782" s="52" t="str">
        <f>VLOOKUP(Tabla3[[#This Row],[Site]],'Important Info!'!$A$1:$F$135,5,FALSE)</f>
        <v>-</v>
      </c>
      <c r="P782" s="52">
        <f>VLOOKUP(Tabla3[[#This Row],[Site]],'Important Info!'!$A$1:$F$135,6,FALSE)</f>
        <v>1</v>
      </c>
      <c r="Q782" s="91">
        <f>VLOOKUP(Tabla3[[#This Row],[Site]],'Important Info!'!$A$1:$J$135,9,FALSE)</f>
        <v>155</v>
      </c>
    </row>
    <row r="783" spans="1:17" x14ac:dyDescent="0.25">
      <c r="A783" t="str">
        <f>+Tabla3[[#This Row],[Site]]&amp;Tabla3[[#This Row],[Split]]</f>
        <v>(SCH) Auto Body Shop Lake Park10</v>
      </c>
      <c r="B783">
        <v>10</v>
      </c>
      <c r="C783">
        <v>7</v>
      </c>
      <c r="D783" t="s">
        <v>62</v>
      </c>
      <c r="E783" t="s">
        <v>35</v>
      </c>
      <c r="F783" t="s">
        <v>189</v>
      </c>
      <c r="G783" t="s">
        <v>490</v>
      </c>
      <c r="H783" s="52" t="str">
        <f>VLOOKUP(Tabla3[[#This Row],[Site]],'Important Info!'!$A$1:$J$135,10,FALSE)</f>
        <v>https://tools.sig.systems/site/details/158</v>
      </c>
      <c r="I783" s="2"/>
      <c r="J783" t="s">
        <v>41</v>
      </c>
      <c r="K783" s="79" t="str">
        <f>VLOOKUP(Tabla3[[#This Row],[Site]],'Important Info!'!$A$1:$H$135,8,FALSE)</f>
        <v>-</v>
      </c>
      <c r="L783" s="52" t="str">
        <f>VLOOKUP(Tabla3[[#This Row],[Site]],'Important Info!'!$A$1:$F$135,2,FALSE)</f>
        <v>3, 10</v>
      </c>
      <c r="M783" s="52" t="str">
        <f>VLOOKUP(Tabla3[[#This Row],[Site]],'Important Info!'!$A$1:$F$135,3,FALSE)</f>
        <v>-</v>
      </c>
      <c r="N783" s="52" t="str">
        <f>VLOOKUP(Tabla3[[#This Row],[Site]],'Important Info!'!$A$1:$F$135,4,FALSE)</f>
        <v>-</v>
      </c>
      <c r="O783" s="52" t="str">
        <f>VLOOKUP(Tabla3[[#This Row],[Site]],'Important Info!'!$A$1:$F$135,5,FALSE)</f>
        <v>-</v>
      </c>
      <c r="P783" s="52" t="str">
        <f>VLOOKUP(Tabla3[[#This Row],[Site]],'Important Info!'!$A$1:$F$135,6,FALSE)</f>
        <v>-</v>
      </c>
      <c r="Q783" s="91">
        <f>VLOOKUP(Tabla3[[#This Row],[Site]],'Important Info!'!$A$1:$J$135,9,FALSE)</f>
        <v>158</v>
      </c>
    </row>
    <row r="784" spans="1:17" x14ac:dyDescent="0.25">
      <c r="A784" t="str">
        <f>+Tabla3[[#This Row],[Site]]&amp;Tabla3[[#This Row],[Split]]</f>
        <v>(AS) Courtesy Honda Palm Harbor (NO TOURS)10</v>
      </c>
      <c r="B784">
        <v>10</v>
      </c>
      <c r="C784">
        <v>8</v>
      </c>
      <c r="D784" t="s">
        <v>62</v>
      </c>
      <c r="E784" t="s">
        <v>35</v>
      </c>
      <c r="F784" t="s">
        <v>108</v>
      </c>
      <c r="G784" t="s">
        <v>490</v>
      </c>
      <c r="H784" s="52" t="str">
        <f>VLOOKUP(Tabla3[[#This Row],[Site]],'Important Info!'!$A$1:$J$135,10,FALSE)</f>
        <v>https://tools.sig.systems/site/details/176</v>
      </c>
      <c r="I784" s="2"/>
      <c r="J784" t="s">
        <v>36</v>
      </c>
      <c r="K784" s="79" t="str">
        <f>VLOOKUP(Tabla3[[#This Row],[Site]],'Important Info!'!$A$1:$H$135,8,FALSE)</f>
        <v>-</v>
      </c>
      <c r="L784" s="52">
        <f>VLOOKUP(Tabla3[[#This Row],[Site]],'Important Info!'!$A$1:$F$135,2,FALSE)</f>
        <v>2</v>
      </c>
      <c r="M784" s="52" t="str">
        <f>VLOOKUP(Tabla3[[#This Row],[Site]],'Important Info!'!$A$1:$F$135,3,FALSE)</f>
        <v>-</v>
      </c>
      <c r="N784" s="52" t="str">
        <f>VLOOKUP(Tabla3[[#This Row],[Site]],'Important Info!'!$A$1:$F$135,4,FALSE)</f>
        <v>-</v>
      </c>
      <c r="O784" s="52" t="str">
        <f>VLOOKUP(Tabla3[[#This Row],[Site]],'Important Info!'!$A$1:$F$135,5,FALSE)</f>
        <v>4, 8, 21</v>
      </c>
      <c r="P784" s="52">
        <f>VLOOKUP(Tabla3[[#This Row],[Site]],'Important Info!'!$A$1:$F$135,6,FALSE)</f>
        <v>10</v>
      </c>
      <c r="Q784" s="91">
        <f>VLOOKUP(Tabla3[[#This Row],[Site]],'Important Info!'!$A$1:$J$135,9,FALSE)</f>
        <v>176</v>
      </c>
    </row>
    <row r="785" spans="1:17" x14ac:dyDescent="0.25">
      <c r="A785" t="str">
        <f>+Tabla3[[#This Row],[Site]]&amp;Tabla3[[#This Row],[Split]]</f>
        <v>(AS) Park Place Bodywerks Dallas (NO TOURS)10</v>
      </c>
      <c r="B785">
        <v>10</v>
      </c>
      <c r="C785">
        <v>8</v>
      </c>
      <c r="D785" t="s">
        <v>33</v>
      </c>
      <c r="E785" t="s">
        <v>46</v>
      </c>
      <c r="F785" t="s">
        <v>514</v>
      </c>
      <c r="G785" t="s">
        <v>34</v>
      </c>
      <c r="H785" s="52" t="str">
        <f>VLOOKUP(Tabla3[[#This Row],[Site]],'Important Info!'!$A$1:$J$135,10,FALSE)</f>
        <v>https://tools.sig.systems/site/details/166</v>
      </c>
      <c r="I785" s="62" t="s">
        <v>125</v>
      </c>
      <c r="J785" t="s">
        <v>41</v>
      </c>
      <c r="K785" s="79" t="str">
        <f>VLOOKUP(Tabla3[[#This Row],[Site]],'Important Info!'!$A$1:$H$135,8,FALSE)</f>
        <v>-</v>
      </c>
      <c r="L785" s="52">
        <f>VLOOKUP(Tabla3[[#This Row],[Site]],'Important Info!'!$A$1:$F$135,2,FALSE)</f>
        <v>3</v>
      </c>
      <c r="M785" s="52">
        <f>VLOOKUP(Tabla3[[#This Row],[Site]],'Important Info!'!$A$1:$F$135,3,FALSE)</f>
        <v>1</v>
      </c>
      <c r="N785" s="52" t="str">
        <f>VLOOKUP(Tabla3[[#This Row],[Site]],'Important Info!'!$A$1:$F$135,4,FALSE)</f>
        <v>-</v>
      </c>
      <c r="O785" s="52" t="str">
        <f>VLOOKUP(Tabla3[[#This Row],[Site]],'Important Info!'!$A$1:$F$135,5,FALSE)</f>
        <v>-</v>
      </c>
      <c r="P785" s="52" t="str">
        <f>VLOOKUP(Tabla3[[#This Row],[Site]],'Important Info!'!$A$1:$F$135,6,FALSE)</f>
        <v>1, 2, 8</v>
      </c>
      <c r="Q785" s="91">
        <f>VLOOKUP(Tabla3[[#This Row],[Site]],'Important Info!'!$A$1:$J$135,9,FALSE)</f>
        <v>166</v>
      </c>
    </row>
    <row r="786" spans="1:17" x14ac:dyDescent="0.25">
      <c r="A786" t="str">
        <f>+Tabla3[[#This Row],[Site]]&amp;Tabla3[[#This Row],[Split]]</f>
        <v>(AS) Stevinson Porsche of Littleton (NO TOURS)10</v>
      </c>
      <c r="B786">
        <v>10</v>
      </c>
      <c r="C786">
        <v>8</v>
      </c>
      <c r="D786" t="s">
        <v>44</v>
      </c>
      <c r="E786" t="s">
        <v>53</v>
      </c>
      <c r="F786" t="s">
        <v>78</v>
      </c>
      <c r="G786" t="s">
        <v>45</v>
      </c>
      <c r="H786" s="52" t="str">
        <f>VLOOKUP(Tabla3[[#This Row],[Site]],'Important Info!'!$A$1:$J$135,10,FALSE)</f>
        <v>https://tools.sig.systems/site/details/242</v>
      </c>
      <c r="J786" t="s">
        <v>41</v>
      </c>
      <c r="K786" s="79" t="str">
        <f>VLOOKUP(Tabla3[[#This Row],[Site]],'Important Info!'!$A$1:$H$135,8,FALSE)</f>
        <v>-</v>
      </c>
      <c r="L786" s="52" t="str">
        <f>VLOOKUP(Tabla3[[#This Row],[Site]],'Important Info!'!$A$1:$F$135,2,FALSE)</f>
        <v>3, 4</v>
      </c>
      <c r="M786" s="52">
        <f>VLOOKUP(Tabla3[[#This Row],[Site]],'Important Info!'!$A$1:$F$135,3,FALSE)</f>
        <v>2</v>
      </c>
      <c r="N786" s="52" t="str">
        <f>VLOOKUP(Tabla3[[#This Row],[Site]],'Important Info!'!$A$1:$F$135,4,FALSE)</f>
        <v>-</v>
      </c>
      <c r="O786" s="52" t="str">
        <f>VLOOKUP(Tabla3[[#This Row],[Site]],'Important Info!'!$A$1:$F$135,5,FALSE)</f>
        <v>-</v>
      </c>
      <c r="P786" s="52" t="str">
        <f>VLOOKUP(Tabla3[[#This Row],[Site]],'Important Info!'!$A$1:$F$135,6,FALSE)</f>
        <v>3, 4</v>
      </c>
      <c r="Q786" s="91">
        <f>VLOOKUP(Tabla3[[#This Row],[Site]],'Important Info!'!$A$1:$J$135,9,FALSE)</f>
        <v>242</v>
      </c>
    </row>
    <row r="787" spans="1:17" x14ac:dyDescent="0.25">
      <c r="A787" t="str">
        <f>+Tabla3[[#This Row],[Site]]&amp;Tabla3[[#This Row],[Split]]</f>
        <v>(KG) Big Star Honda10</v>
      </c>
      <c r="B787">
        <v>10</v>
      </c>
      <c r="C787">
        <v>8</v>
      </c>
      <c r="D787" t="s">
        <v>33</v>
      </c>
      <c r="E787" t="s">
        <v>46</v>
      </c>
      <c r="F787" t="s">
        <v>136</v>
      </c>
      <c r="G787" t="s">
        <v>34</v>
      </c>
      <c r="H787" s="52" t="str">
        <f>VLOOKUP(Tabla3[[#This Row],[Site]],'Important Info!'!$A$1:$J$135,10,FALSE)</f>
        <v>https://tools.sig.systems/site/details/231</v>
      </c>
      <c r="J787" t="s">
        <v>41</v>
      </c>
      <c r="K787" s="79" t="str">
        <f>VLOOKUP(Tabla3[[#This Row],[Site]],'Important Info!'!$A$1:$H$135,8,FALSE)</f>
        <v>-</v>
      </c>
      <c r="L787" s="52" t="str">
        <f>VLOOKUP(Tabla3[[#This Row],[Site]],'Important Info!'!$A$1:$F$135,2,FALSE)</f>
        <v>2, 17, 33</v>
      </c>
      <c r="M787" s="52" t="str">
        <f>VLOOKUP(Tabla3[[#This Row],[Site]],'Important Info!'!$A$1:$F$135,3,FALSE)</f>
        <v>-</v>
      </c>
      <c r="N787" s="52" t="str">
        <f>VLOOKUP(Tabla3[[#This Row],[Site]],'Important Info!'!$A$1:$F$135,4,FALSE)</f>
        <v>-</v>
      </c>
      <c r="O787" s="52" t="str">
        <f>VLOOKUP(Tabla3[[#This Row],[Site]],'Important Info!'!$A$1:$F$135,5,FALSE)</f>
        <v>3, 11, 16, 21, 24, 31, 34</v>
      </c>
      <c r="P787" s="52" t="str">
        <f>VLOOKUP(Tabla3[[#This Row],[Site]],'Important Info!'!$A$1:$F$135,6,FALSE)</f>
        <v xml:space="preserve">2, 3, 17, 22, 37, 41, 42 </v>
      </c>
      <c r="Q787" s="91">
        <f>VLOOKUP(Tabla3[[#This Row],[Site]],'Important Info!'!$A$1:$J$135,9,FALSE)</f>
        <v>231</v>
      </c>
    </row>
    <row r="788" spans="1:17" x14ac:dyDescent="0.25">
      <c r="A788" t="str">
        <f>+Tabla3[[#This Row],[Site]]&amp;Tabla3[[#This Row],[Split]]</f>
        <v>(ML) Collision Center N Little Rock10</v>
      </c>
      <c r="B788">
        <v>10</v>
      </c>
      <c r="C788">
        <v>8</v>
      </c>
      <c r="D788" t="s">
        <v>33</v>
      </c>
      <c r="E788" t="s">
        <v>46</v>
      </c>
      <c r="F788" t="s">
        <v>141</v>
      </c>
      <c r="G788" t="s">
        <v>34</v>
      </c>
      <c r="H788" s="52" t="str">
        <f>VLOOKUP(Tabla3[[#This Row],[Site]],'Important Info!'!$A$1:$J$135,10,FALSE)</f>
        <v>https://tools.sig.systems/site/details/212</v>
      </c>
      <c r="I788" s="43" t="s">
        <v>142</v>
      </c>
      <c r="J788" t="s">
        <v>41</v>
      </c>
      <c r="K788" s="79" t="str">
        <f>VLOOKUP(Tabla3[[#This Row],[Site]],'Important Info!'!$A$1:$H$135,8,FALSE)</f>
        <v>-</v>
      </c>
      <c r="L788" s="52" t="str">
        <f>VLOOKUP(Tabla3[[#This Row],[Site]],'Important Info!'!$A$1:$F$135,2,FALSE)</f>
        <v>-</v>
      </c>
      <c r="M788" s="52" t="str">
        <f>VLOOKUP(Tabla3[[#This Row],[Site]],'Important Info!'!$A$1:$F$135,3,FALSE)</f>
        <v>-</v>
      </c>
      <c r="N788" s="52" t="str">
        <f>VLOOKUP(Tabla3[[#This Row],[Site]],'Important Info!'!$A$1:$F$135,4,FALSE)</f>
        <v>-</v>
      </c>
      <c r="O788" s="52" t="str">
        <f>VLOOKUP(Tabla3[[#This Row],[Site]],'Important Info!'!$A$1:$F$135,5,FALSE)</f>
        <v>-</v>
      </c>
      <c r="P788" s="52" t="str">
        <f>VLOOKUP(Tabla3[[#This Row],[Site]],'Important Info!'!$A$1:$F$135,6,FALSE)</f>
        <v>1, 3, 7, 8</v>
      </c>
      <c r="Q788" s="91">
        <f>VLOOKUP(Tabla3[[#This Row],[Site]],'Important Info!'!$A$1:$J$135,9,FALSE)</f>
        <v>212</v>
      </c>
    </row>
    <row r="789" spans="1:17" x14ac:dyDescent="0.25">
      <c r="A789" t="str">
        <f>+Tabla3[[#This Row],[Site]]&amp;Tabla3[[#This Row],[Split]]</f>
        <v>(ML) Joe Machens Capital City I &amp; II (NO TOURS)10</v>
      </c>
      <c r="B789">
        <v>10</v>
      </c>
      <c r="C789">
        <v>8</v>
      </c>
      <c r="D789" t="s">
        <v>33</v>
      </c>
      <c r="E789" t="s">
        <v>46</v>
      </c>
      <c r="F789" t="s">
        <v>72</v>
      </c>
      <c r="G789" t="s">
        <v>34</v>
      </c>
      <c r="H789" s="52" t="str">
        <f>VLOOKUP(Tabla3[[#This Row],[Site]],'Important Info!'!$A$1:$J$135,10,FALSE)</f>
        <v>https://tools.sig.systems/site/details/271</v>
      </c>
      <c r="I789" s="66"/>
      <c r="J789" t="s">
        <v>41</v>
      </c>
      <c r="K789" s="79" t="str">
        <f>VLOOKUP(Tabla3[[#This Row],[Site]],'Important Info!'!$A$1:$H$135,8,FALSE)</f>
        <v>-</v>
      </c>
      <c r="L789" s="52" t="str">
        <f>VLOOKUP(Tabla3[[#This Row],[Site]],'Important Info!'!$A$1:$F$135,2,FALSE)</f>
        <v>-</v>
      </c>
      <c r="M789" s="52" t="str">
        <f>VLOOKUP(Tabla3[[#This Row],[Site]],'Important Info!'!$A$1:$F$135,3,FALSE)</f>
        <v>1, 3, 4, 20, 25, 27, 28</v>
      </c>
      <c r="N789" s="52" t="str">
        <f>VLOOKUP(Tabla3[[#This Row],[Site]],'Important Info!'!$A$1:$F$135,4,FALSE)</f>
        <v>-</v>
      </c>
      <c r="O789" s="52">
        <f>VLOOKUP(Tabla3[[#This Row],[Site]],'Important Info!'!$A$1:$F$135,5,FALSE)</f>
        <v>29</v>
      </c>
      <c r="P789" s="52" t="str">
        <f>VLOOKUP(Tabla3[[#This Row],[Site]],'Important Info!'!$A$1:$F$135,6,FALSE)</f>
        <v>19, 20</v>
      </c>
      <c r="Q789" s="91">
        <f>VLOOKUP(Tabla3[[#This Row],[Site]],'Important Info!'!$A$1:$J$135,9,FALSE)</f>
        <v>271</v>
      </c>
    </row>
    <row r="790" spans="1:17" x14ac:dyDescent="0.25">
      <c r="A790" t="str">
        <f>+Tabla3[[#This Row],[Site]]&amp;Tabla3[[#This Row],[Split]]</f>
        <v>(ML) Joe Machens Nissan10</v>
      </c>
      <c r="B790">
        <v>10</v>
      </c>
      <c r="C790">
        <v>8</v>
      </c>
      <c r="D790" t="s">
        <v>33</v>
      </c>
      <c r="E790" t="s">
        <v>46</v>
      </c>
      <c r="F790" t="s">
        <v>104</v>
      </c>
      <c r="G790" t="s">
        <v>34</v>
      </c>
      <c r="H790" s="52" t="str">
        <f>VLOOKUP(Tabla3[[#This Row],[Site]],'Important Info!'!$A$1:$J$135,10,FALSE)</f>
        <v>https://tools.sig.systems/site/details/279</v>
      </c>
      <c r="I790" s="43" t="s">
        <v>146</v>
      </c>
      <c r="J790" t="s">
        <v>41</v>
      </c>
      <c r="K790" s="79" t="str">
        <f>VLOOKUP(Tabla3[[#This Row],[Site]],'Important Info!'!$A$1:$H$135,8,FALSE)</f>
        <v>-</v>
      </c>
      <c r="L790" s="52" t="str">
        <f>VLOOKUP(Tabla3[[#This Row],[Site]],'Important Info!'!$A$1:$F$135,2,FALSE)</f>
        <v>-</v>
      </c>
      <c r="M790" s="52" t="str">
        <f>VLOOKUP(Tabla3[[#This Row],[Site]],'Important Info!'!$A$1:$F$135,3,FALSE)</f>
        <v>1, 3, 16</v>
      </c>
      <c r="N790" s="52" t="str">
        <f>VLOOKUP(Tabla3[[#This Row],[Site]],'Important Info!'!$A$1:$F$135,4,FALSE)</f>
        <v>-</v>
      </c>
      <c r="O790" s="52" t="str">
        <f>VLOOKUP(Tabla3[[#This Row],[Site]],'Important Info!'!$A$1:$F$135,5,FALSE)</f>
        <v>-</v>
      </c>
      <c r="P790" s="52" t="str">
        <f>VLOOKUP(Tabla3[[#This Row],[Site]],'Important Info!'!$A$1:$F$135,6,FALSE)</f>
        <v>-</v>
      </c>
      <c r="Q790" s="91">
        <f>VLOOKUP(Tabla3[[#This Row],[Site]],'Important Info!'!$A$1:$J$135,9,FALSE)</f>
        <v>279</v>
      </c>
    </row>
    <row r="791" spans="1:17" x14ac:dyDescent="0.25">
      <c r="A791" t="str">
        <f>+Tabla3[[#This Row],[Site]]&amp;Tabla3[[#This Row],[Split]]</f>
        <v>(ML) McLarty-Gray Daniels Chevrolet10</v>
      </c>
      <c r="B791">
        <v>10</v>
      </c>
      <c r="C791">
        <v>8</v>
      </c>
      <c r="D791" t="s">
        <v>33</v>
      </c>
      <c r="E791" t="s">
        <v>46</v>
      </c>
      <c r="F791" t="s">
        <v>151</v>
      </c>
      <c r="G791" t="s">
        <v>34</v>
      </c>
      <c r="H791" s="52" t="str">
        <f>VLOOKUP(Tabla3[[#This Row],[Site]],'Important Info!'!$A$1:$J$135,10,FALSE)</f>
        <v>https://tools.sig.systems/site/details/150</v>
      </c>
      <c r="I791" s="43"/>
      <c r="J791" t="s">
        <v>41</v>
      </c>
      <c r="K791" s="79" t="str">
        <f>VLOOKUP(Tabla3[[#This Row],[Site]],'Important Info!'!$A$1:$H$135,8,FALSE)</f>
        <v>-</v>
      </c>
      <c r="L791" s="52" t="str">
        <f>VLOOKUP(Tabla3[[#This Row],[Site]],'Important Info!'!$A$1:$F$135,2,FALSE)</f>
        <v>3, 4, 5, 22, 24, 26, 28, 36</v>
      </c>
      <c r="M791" s="52" t="str">
        <f>VLOOKUP(Tabla3[[#This Row],[Site]],'Important Info!'!$A$1:$F$135,3,FALSE)</f>
        <v>-</v>
      </c>
      <c r="N791" s="52" t="str">
        <f>VLOOKUP(Tabla3[[#This Row],[Site]],'Important Info!'!$A$1:$F$135,4,FALSE)</f>
        <v>-</v>
      </c>
      <c r="O791" s="52" t="str">
        <f>VLOOKUP(Tabla3[[#This Row],[Site]],'Important Info!'!$A$1:$F$135,5,FALSE)</f>
        <v>4, 7, 12, 26</v>
      </c>
      <c r="P791" s="52" t="str">
        <f>VLOOKUP(Tabla3[[#This Row],[Site]],'Important Info!'!$A$1:$F$135,6,FALSE)</f>
        <v>1, 3, 5, 6, 23, 24</v>
      </c>
      <c r="Q791" s="91">
        <f>VLOOKUP(Tabla3[[#This Row],[Site]],'Important Info!'!$A$1:$J$135,9,FALSE)</f>
        <v>150</v>
      </c>
    </row>
    <row r="792" spans="1:17" x14ac:dyDescent="0.25">
      <c r="A792" t="str">
        <f>+Tabla3[[#This Row],[Site]]&amp;Tabla3[[#This Row],[Split]]</f>
        <v>(PE) JLR Darien PDI (NO TOURS)10</v>
      </c>
      <c r="B792">
        <v>10</v>
      </c>
      <c r="C792">
        <v>8</v>
      </c>
      <c r="D792" t="s">
        <v>485</v>
      </c>
      <c r="E792" t="s">
        <v>35</v>
      </c>
      <c r="F792" t="s">
        <v>98</v>
      </c>
      <c r="G792" t="s">
        <v>490</v>
      </c>
      <c r="H792" s="52" t="str">
        <f>VLOOKUP(Tabla3[[#This Row],[Site]],'Important Info!'!$A$1:$J$135,10,FALSE)</f>
        <v>https://tools.sig.systems/site/details/187</v>
      </c>
      <c r="I792" t="s">
        <v>175</v>
      </c>
      <c r="J792" t="s">
        <v>41</v>
      </c>
      <c r="K792" s="79" t="str">
        <f>VLOOKUP(Tabla3[[#This Row],[Site]],'Important Info!'!$A$1:$H$135,8,FALSE)</f>
        <v>-</v>
      </c>
      <c r="L792" s="52">
        <f>VLOOKUP(Tabla3[[#This Row],[Site]],'Important Info!'!$A$1:$F$135,2,FALSE)</f>
        <v>1</v>
      </c>
      <c r="M792" s="52" t="str">
        <f>VLOOKUP(Tabla3[[#This Row],[Site]],'Important Info!'!$A$1:$F$135,3,FALSE)</f>
        <v>-</v>
      </c>
      <c r="N792" s="52" t="str">
        <f>VLOOKUP(Tabla3[[#This Row],[Site]],'Important Info!'!$A$1:$F$135,4,FALSE)</f>
        <v>-</v>
      </c>
      <c r="O792" s="52">
        <f>VLOOKUP(Tabla3[[#This Row],[Site]],'Important Info!'!$A$1:$F$135,5,FALSE)</f>
        <v>1</v>
      </c>
      <c r="P792" s="52">
        <f>VLOOKUP(Tabla3[[#This Row],[Site]],'Important Info!'!$A$1:$F$135,6,FALSE)</f>
        <v>7</v>
      </c>
      <c r="Q792" s="91">
        <f>VLOOKUP(Tabla3[[#This Row],[Site]],'Important Info!'!$A$1:$J$135,9,FALSE)</f>
        <v>187</v>
      </c>
    </row>
    <row r="793" spans="1:17" x14ac:dyDescent="0.25">
      <c r="A793" t="str">
        <f>+Tabla3[[#This Row],[Site]]&amp;Tabla3[[#This Row],[Split]]</f>
        <v>(SCH) Chevrolet North Palm10</v>
      </c>
      <c r="B793">
        <v>10</v>
      </c>
      <c r="C793">
        <v>8</v>
      </c>
      <c r="D793" t="s">
        <v>62</v>
      </c>
      <c r="E793" t="s">
        <v>35</v>
      </c>
      <c r="F793" t="s">
        <v>101</v>
      </c>
      <c r="G793" t="s">
        <v>490</v>
      </c>
      <c r="H793" s="52" t="str">
        <f>VLOOKUP(Tabla3[[#This Row],[Site]],'Important Info!'!$A$1:$J$135,10,FALSE)</f>
        <v>https://tools.sig.systems/site/details/160</v>
      </c>
      <c r="I793" s="2"/>
      <c r="J793" t="s">
        <v>36</v>
      </c>
      <c r="K793" s="79" t="str">
        <f>VLOOKUP(Tabla3[[#This Row],[Site]],'Important Info!'!$A$1:$H$135,8,FALSE)</f>
        <v>-</v>
      </c>
      <c r="L793" s="52" t="str">
        <f>VLOOKUP(Tabla3[[#This Row],[Site]],'Important Info!'!$A$1:$F$135,2,FALSE)</f>
        <v xml:space="preserve">7, 10B, 11, 15 </v>
      </c>
      <c r="M793" s="52" t="str">
        <f>VLOOKUP(Tabla3[[#This Row],[Site]],'Important Info!'!$A$1:$F$135,3,FALSE)</f>
        <v>-</v>
      </c>
      <c r="N793" s="52" t="str">
        <f>VLOOKUP(Tabla3[[#This Row],[Site]],'Important Info!'!$A$1:$F$135,4,FALSE)</f>
        <v>-</v>
      </c>
      <c r="O793" s="52" t="str">
        <f>VLOOKUP(Tabla3[[#This Row],[Site]],'Important Info!'!$A$1:$F$135,5,FALSE)</f>
        <v>-</v>
      </c>
      <c r="P793" s="52" t="str">
        <f>VLOOKUP(Tabla3[[#This Row],[Site]],'Important Info!'!$A$1:$F$135,6,FALSE)</f>
        <v>1, 15, 16, 17, 18, 19, 20</v>
      </c>
      <c r="Q793" s="91">
        <f>VLOOKUP(Tabla3[[#This Row],[Site]],'Important Info!'!$A$1:$J$135,9,FALSE)</f>
        <v>160</v>
      </c>
    </row>
    <row r="794" spans="1:17" x14ac:dyDescent="0.25">
      <c r="A794" t="str">
        <f>+Tabla3[[#This Row],[Site]]&amp;Tabla3[[#This Row],[Split]]</f>
        <v>(AS) Audi of North Atlanta (NO TOURS)10</v>
      </c>
      <c r="B794">
        <v>10</v>
      </c>
      <c r="C794">
        <v>9</v>
      </c>
      <c r="D794" t="s">
        <v>62</v>
      </c>
      <c r="E794" t="s">
        <v>35</v>
      </c>
      <c r="F794" t="s">
        <v>499</v>
      </c>
      <c r="G794" t="s">
        <v>490</v>
      </c>
      <c r="H794" s="52" t="str">
        <f>VLOOKUP(Tabla3[[#This Row],[Site]],'Important Info!'!$A$1:$J$135,10,FALSE)</f>
        <v>https://tools.sig.systems/site/details/124</v>
      </c>
      <c r="I794" s="2" t="s">
        <v>166</v>
      </c>
      <c r="J794" t="s">
        <v>41</v>
      </c>
      <c r="K794" s="79" t="str">
        <f>VLOOKUP(Tabla3[[#This Row],[Site]],'Important Info!'!$A$1:$H$135,8,FALSE)</f>
        <v>-</v>
      </c>
      <c r="L794" s="52" t="str">
        <f>VLOOKUP(Tabla3[[#This Row],[Site]],'Important Info!'!$A$1:$F$135,2,FALSE)</f>
        <v>1, 5, 16, 54</v>
      </c>
      <c r="M794" s="52" t="str">
        <f>VLOOKUP(Tabla3[[#This Row],[Site]],'Important Info!'!$A$1:$F$135,3,FALSE)</f>
        <v>-</v>
      </c>
      <c r="N794" s="52" t="str">
        <f>VLOOKUP(Tabla3[[#This Row],[Site]],'Important Info!'!$A$1:$F$135,4,FALSE)</f>
        <v>-</v>
      </c>
      <c r="O794" s="52" t="str">
        <f>VLOOKUP(Tabla3[[#This Row],[Site]],'Important Info!'!$A$1:$F$135,5,FALSE)</f>
        <v>3, 16</v>
      </c>
      <c r="P794" s="52" t="str">
        <f>VLOOKUP(Tabla3[[#This Row],[Site]],'Important Info!'!$A$1:$F$135,6,FALSE)</f>
        <v>2, 5, 6</v>
      </c>
      <c r="Q794" s="91">
        <f>VLOOKUP(Tabla3[[#This Row],[Site]],'Important Info!'!$A$1:$J$135,9,FALSE)</f>
        <v>124</v>
      </c>
    </row>
    <row r="795" spans="1:17" x14ac:dyDescent="0.25">
      <c r="A795" t="str">
        <f>+Tabla3[[#This Row],[Site]]&amp;Tabla3[[#This Row],[Split]]</f>
        <v>(AS) Coggin Mercedes Benz Ft Pierce (NO TOURS)10</v>
      </c>
      <c r="B795">
        <v>10</v>
      </c>
      <c r="C795">
        <v>9</v>
      </c>
      <c r="D795" t="s">
        <v>62</v>
      </c>
      <c r="E795" t="s">
        <v>35</v>
      </c>
      <c r="F795" t="s">
        <v>502</v>
      </c>
      <c r="G795" t="s">
        <v>490</v>
      </c>
      <c r="H795" s="52" t="str">
        <f>VLOOKUP(Tabla3[[#This Row],[Site]],'Important Info!'!$A$1:$J$135,10,FALSE)</f>
        <v>https://tools.sig.systems/site/details/127</v>
      </c>
      <c r="I795" s="64" t="s">
        <v>179</v>
      </c>
      <c r="J795" t="s">
        <v>41</v>
      </c>
      <c r="K795" s="79" t="str">
        <f>VLOOKUP(Tabla3[[#This Row],[Site]],'Important Info!'!$A$1:$H$135,8,FALSE)</f>
        <v>-</v>
      </c>
      <c r="L795" s="52">
        <f>VLOOKUP(Tabla3[[#This Row],[Site]],'Important Info!'!$A$1:$F$135,2,FALSE)</f>
        <v>18</v>
      </c>
      <c r="M795" s="52" t="str">
        <f>VLOOKUP(Tabla3[[#This Row],[Site]],'Important Info!'!$A$1:$F$135,3,FALSE)</f>
        <v>1, 3</v>
      </c>
      <c r="N795" s="52" t="str">
        <f>VLOOKUP(Tabla3[[#This Row],[Site]],'Important Info!'!$A$1:$F$135,4,FALSE)</f>
        <v>-</v>
      </c>
      <c r="O795" s="52" t="str">
        <f>VLOOKUP(Tabla3[[#This Row],[Site]],'Important Info!'!$A$1:$F$135,5,FALSE)</f>
        <v>6, 10, 13</v>
      </c>
      <c r="P795" s="52" t="str">
        <f>VLOOKUP(Tabla3[[#This Row],[Site]],'Important Info!'!$A$1:$F$135,6,FALSE)</f>
        <v>1, 4, 5</v>
      </c>
      <c r="Q795" s="91">
        <f>VLOOKUP(Tabla3[[#This Row],[Site]],'Important Info!'!$A$1:$J$135,9,FALSE)</f>
        <v>127</v>
      </c>
    </row>
    <row r="796" spans="1:17" x14ac:dyDescent="0.25">
      <c r="A796" t="str">
        <f>+Tabla3[[#This Row],[Site]]&amp;Tabla3[[#This Row],[Split]]</f>
        <v>(AS) Park Place MB Recon Center Dallas (NO TOURS)10</v>
      </c>
      <c r="B796">
        <v>10</v>
      </c>
      <c r="C796">
        <v>9</v>
      </c>
      <c r="D796" t="s">
        <v>33</v>
      </c>
      <c r="E796" t="s">
        <v>46</v>
      </c>
      <c r="F796" t="s">
        <v>517</v>
      </c>
      <c r="G796" t="s">
        <v>34</v>
      </c>
      <c r="H796" s="52" t="str">
        <f>VLOOKUP(Tabla3[[#This Row],[Site]],'Important Info!'!$A$1:$J$135,10,FALSE)</f>
        <v>https://tools.sig.systems/site/details/170</v>
      </c>
      <c r="I796" s="65" t="s">
        <v>125</v>
      </c>
      <c r="J796" t="s">
        <v>41</v>
      </c>
      <c r="K796" s="79" t="str">
        <f>VLOOKUP(Tabla3[[#This Row],[Site]],'Important Info!'!$A$1:$H$135,8,FALSE)</f>
        <v>-</v>
      </c>
      <c r="L796" s="52" t="str">
        <f>VLOOKUP(Tabla3[[#This Row],[Site]],'Important Info!'!$A$1:$F$135,2,FALSE)</f>
        <v>3, 39</v>
      </c>
      <c r="M796" s="52" t="str">
        <f>VLOOKUP(Tabla3[[#This Row],[Site]],'Important Info!'!$A$1:$F$135,3,FALSE)</f>
        <v>-</v>
      </c>
      <c r="N796" s="52" t="str">
        <f>VLOOKUP(Tabla3[[#This Row],[Site]],'Important Info!'!$A$1:$F$135,4,FALSE)</f>
        <v>-</v>
      </c>
      <c r="O796" s="52" t="str">
        <f>VLOOKUP(Tabla3[[#This Row],[Site]],'Important Info!'!$A$1:$F$135,5,FALSE)</f>
        <v>4, 11</v>
      </c>
      <c r="P796" s="52">
        <f>VLOOKUP(Tabla3[[#This Row],[Site]],'Important Info!'!$A$1:$F$135,6,FALSE)</f>
        <v>1</v>
      </c>
      <c r="Q796" s="91">
        <f>VLOOKUP(Tabla3[[#This Row],[Site]],'Important Info!'!$A$1:$J$135,9,FALSE)</f>
        <v>170</v>
      </c>
    </row>
    <row r="797" spans="1:17" x14ac:dyDescent="0.25">
      <c r="A797" t="str">
        <f>+Tabla3[[#This Row],[Site]]&amp;Tabla3[[#This Row],[Split]]</f>
        <v>(AS) Plano Auction (NO SPEAKERS)10</v>
      </c>
      <c r="B797">
        <v>10</v>
      </c>
      <c r="C797">
        <v>9</v>
      </c>
      <c r="D797" t="s">
        <v>33</v>
      </c>
      <c r="E797" t="s">
        <v>46</v>
      </c>
      <c r="F797" t="s">
        <v>129</v>
      </c>
      <c r="G797" t="s">
        <v>34</v>
      </c>
      <c r="H797" s="52" t="str">
        <f>VLOOKUP(Tabla3[[#This Row],[Site]],'Important Info!'!$A$1:$J$135,10,FALSE)</f>
        <v>https://tools.sig.systems/site/details/140</v>
      </c>
      <c r="J797" t="s">
        <v>41</v>
      </c>
      <c r="K797" s="79" t="str">
        <f>VLOOKUP(Tabla3[[#This Row],[Site]],'Important Info!'!$A$1:$H$135,8,FALSE)</f>
        <v>-</v>
      </c>
      <c r="L797" s="52" t="str">
        <f>VLOOKUP(Tabla3[[#This Row],[Site]],'Important Info!'!$A$1:$F$135,2,FALSE)</f>
        <v>-</v>
      </c>
      <c r="M797" s="52" t="str">
        <f>VLOOKUP(Tabla3[[#This Row],[Site]],'Important Info!'!$A$1:$F$135,3,FALSE)</f>
        <v>3, 4, 19</v>
      </c>
      <c r="N797" s="52" t="str">
        <f>VLOOKUP(Tabla3[[#This Row],[Site]],'Important Info!'!$A$1:$F$135,4,FALSE)</f>
        <v>-</v>
      </c>
      <c r="O797" s="52" t="str">
        <f>VLOOKUP(Tabla3[[#This Row],[Site]],'Important Info!'!$A$1:$F$135,5,FALSE)</f>
        <v>5, 19</v>
      </c>
      <c r="P797" s="52">
        <f>VLOOKUP(Tabla3[[#This Row],[Site]],'Important Info!'!$A$1:$F$135,6,FALSE)</f>
        <v>21</v>
      </c>
      <c r="Q797" s="91">
        <f>VLOOKUP(Tabla3[[#This Row],[Site]],'Important Info!'!$A$1:$J$135,9,FALSE)</f>
        <v>140</v>
      </c>
    </row>
    <row r="798" spans="1:17" x14ac:dyDescent="0.25">
      <c r="A798" t="str">
        <f>+Tabla3[[#This Row],[Site]]&amp;Tabla3[[#This Row],[Split]]</f>
        <v>(AS) Plaza Audi/Infiniti (NO TOURS)10</v>
      </c>
      <c r="B798">
        <v>10</v>
      </c>
      <c r="C798">
        <v>9</v>
      </c>
      <c r="D798" t="s">
        <v>33</v>
      </c>
      <c r="E798" t="s">
        <v>46</v>
      </c>
      <c r="F798" t="s">
        <v>91</v>
      </c>
      <c r="G798" t="s">
        <v>34</v>
      </c>
      <c r="H798" s="52" t="str">
        <f>VLOOKUP(Tabla3[[#This Row],[Site]],'Important Info!'!$A$1:$J$135,10,FALSE)</f>
        <v>https://tools.sig.systems/site/details/141</v>
      </c>
      <c r="I798" t="s">
        <v>130</v>
      </c>
      <c r="J798" t="s">
        <v>41</v>
      </c>
      <c r="K798" s="79" t="str">
        <f>VLOOKUP(Tabla3[[#This Row],[Site]],'Important Info!'!$A$1:$H$135,8,FALSE)</f>
        <v>-</v>
      </c>
      <c r="L798" s="52" t="str">
        <f>VLOOKUP(Tabla3[[#This Row],[Site]],'Important Info!'!$A$1:$F$135,2,FALSE)</f>
        <v>7, 25</v>
      </c>
      <c r="M798" s="52" t="str">
        <f>VLOOKUP(Tabla3[[#This Row],[Site]],'Important Info!'!$A$1:$F$135,3,FALSE)</f>
        <v>15, 17, 18</v>
      </c>
      <c r="N798" s="52" t="str">
        <f>VLOOKUP(Tabla3[[#This Row],[Site]],'Important Info!'!$A$1:$F$135,4,FALSE)</f>
        <v>-</v>
      </c>
      <c r="O798" s="52" t="str">
        <f>VLOOKUP(Tabla3[[#This Row],[Site]],'Important Info!'!$A$1:$F$135,5,FALSE)</f>
        <v>1, 24</v>
      </c>
      <c r="P798" s="52" t="str">
        <f>VLOOKUP(Tabla3[[#This Row],[Site]],'Important Info!'!$A$1:$F$135,6,FALSE)</f>
        <v>3, 15, 17</v>
      </c>
      <c r="Q798" s="91">
        <f>VLOOKUP(Tabla3[[#This Row],[Site]],'Important Info!'!$A$1:$J$135,9,FALSE)</f>
        <v>141</v>
      </c>
    </row>
    <row r="799" spans="1:17" x14ac:dyDescent="0.25">
      <c r="A799" t="str">
        <f>+Tabla3[[#This Row],[Site]]&amp;Tabla3[[#This Row],[Split]]</f>
        <v>(AS) Stevinson Lexus of Lakewood (NO TOURS)10</v>
      </c>
      <c r="B799">
        <v>10</v>
      </c>
      <c r="C799">
        <v>9</v>
      </c>
      <c r="D799" t="s">
        <v>44</v>
      </c>
      <c r="E799" t="s">
        <v>53</v>
      </c>
      <c r="F799" t="s">
        <v>523</v>
      </c>
      <c r="G799" t="s">
        <v>45</v>
      </c>
      <c r="H799" s="52" t="str">
        <f>VLOOKUP(Tabla3[[#This Row],[Site]],'Important Info!'!$A$1:$J$135,10,FALSE)</f>
        <v>https://tools.sig.systems/site/details/260</v>
      </c>
      <c r="I799" s="2" t="s">
        <v>154</v>
      </c>
      <c r="J799" t="s">
        <v>41</v>
      </c>
      <c r="K799" s="79" t="str">
        <f>VLOOKUP(Tabla3[[#This Row],[Site]],'Important Info!'!$A$1:$H$135,8,FALSE)</f>
        <v>-</v>
      </c>
      <c r="L799" s="52" t="str">
        <f>VLOOKUP(Tabla3[[#This Row],[Site]],'Important Info!'!$A$1:$F$135,2,FALSE)</f>
        <v>-</v>
      </c>
      <c r="M799" s="52" t="str">
        <f>VLOOKUP(Tabla3[[#This Row],[Site]],'Important Info!'!$A$1:$F$135,3,FALSE)</f>
        <v>2, 10</v>
      </c>
      <c r="N799" s="52" t="str">
        <f>VLOOKUP(Tabla3[[#This Row],[Site]],'Important Info!'!$A$1:$F$135,4,FALSE)</f>
        <v>9, 17</v>
      </c>
      <c r="O799" s="52" t="str">
        <f>VLOOKUP(Tabla3[[#This Row],[Site]],'Important Info!'!$A$1:$F$135,5,FALSE)</f>
        <v>-</v>
      </c>
      <c r="P799" s="52" t="str">
        <f>VLOOKUP(Tabla3[[#This Row],[Site]],'Important Info!'!$A$1:$F$135,6,FALSE)</f>
        <v>1, 2</v>
      </c>
      <c r="Q799" s="91">
        <f>VLOOKUP(Tabla3[[#This Row],[Site]],'Important Info!'!$A$1:$J$135,9,FALSE)</f>
        <v>260</v>
      </c>
    </row>
    <row r="800" spans="1:17" x14ac:dyDescent="0.25">
      <c r="A800" t="str">
        <f>+Tabla3[[#This Row],[Site]]&amp;Tabla3[[#This Row],[Split]]</f>
        <v>(ML) Ford Lincoln of North Little Rock10</v>
      </c>
      <c r="B800">
        <v>10</v>
      </c>
      <c r="C800">
        <v>9</v>
      </c>
      <c r="D800" t="s">
        <v>33</v>
      </c>
      <c r="E800" t="s">
        <v>46</v>
      </c>
      <c r="F800" t="s">
        <v>145</v>
      </c>
      <c r="G800" t="s">
        <v>34</v>
      </c>
      <c r="H800" s="52" t="str">
        <f>VLOOKUP(Tabla3[[#This Row],[Site]],'Important Info!'!$A$1:$J$135,10,FALSE)</f>
        <v>https://tools.sig.systems/site/details/214</v>
      </c>
      <c r="I800" s="43" t="s">
        <v>142</v>
      </c>
      <c r="J800" t="s">
        <v>41</v>
      </c>
      <c r="K800" s="79" t="str">
        <f>VLOOKUP(Tabla3[[#This Row],[Site]],'Important Info!'!$A$1:$H$135,8,FALSE)</f>
        <v>-</v>
      </c>
      <c r="L800" s="52" t="str">
        <f>VLOOKUP(Tabla3[[#This Row],[Site]],'Important Info!'!$A$1:$F$135,2,FALSE)</f>
        <v>4, 15, 18, 67, 74</v>
      </c>
      <c r="M800" s="52">
        <f>VLOOKUP(Tabla3[[#This Row],[Site]],'Important Info!'!$A$1:$F$135,3,FALSE)</f>
        <v>13</v>
      </c>
      <c r="N800" s="52" t="str">
        <f>VLOOKUP(Tabla3[[#This Row],[Site]],'Important Info!'!$A$1:$F$135,4,FALSE)</f>
        <v>-</v>
      </c>
      <c r="O800" s="52" t="str">
        <f>VLOOKUP(Tabla3[[#This Row],[Site]],'Important Info!'!$A$1:$F$135,5,FALSE)</f>
        <v>4, 11, 16, 28</v>
      </c>
      <c r="P800" s="52" t="str">
        <f>VLOOKUP(Tabla3[[#This Row],[Site]],'Important Info!'!$A$1:$F$135,6,FALSE)</f>
        <v>10, 11, 12</v>
      </c>
      <c r="Q800" s="91">
        <f>VLOOKUP(Tabla3[[#This Row],[Site]],'Important Info!'!$A$1:$J$135,9,FALSE)</f>
        <v>214</v>
      </c>
    </row>
    <row r="801" spans="1:17" x14ac:dyDescent="0.25">
      <c r="A801" t="str">
        <f>+Tabla3[[#This Row],[Site]]&amp;Tabla3[[#This Row],[Split]]</f>
        <v>(ML) Joe Machens Kia of Columbia10</v>
      </c>
      <c r="B801">
        <v>10</v>
      </c>
      <c r="C801">
        <v>9</v>
      </c>
      <c r="D801" t="s">
        <v>33</v>
      </c>
      <c r="E801" t="s">
        <v>46</v>
      </c>
      <c r="F801" t="s">
        <v>149</v>
      </c>
      <c r="G801" t="s">
        <v>34</v>
      </c>
      <c r="H801" s="52" t="str">
        <f>VLOOKUP(Tabla3[[#This Row],[Site]],'Important Info!'!$A$1:$J$135,10,FALSE)</f>
        <v>https://tools.sig.systems/site/details/270</v>
      </c>
      <c r="I801" s="2" t="s">
        <v>146</v>
      </c>
      <c r="J801" t="s">
        <v>41</v>
      </c>
      <c r="K801" s="79" t="str">
        <f>VLOOKUP(Tabla3[[#This Row],[Site]],'Important Info!'!$A$1:$H$135,8,FALSE)</f>
        <v>-</v>
      </c>
      <c r="L801" s="52" t="str">
        <f>VLOOKUP(Tabla3[[#This Row],[Site]],'Important Info!'!$A$1:$F$135,2,FALSE)</f>
        <v>-</v>
      </c>
      <c r="M801" s="52" t="str">
        <f>VLOOKUP(Tabla3[[#This Row],[Site]],'Important Info!'!$A$1:$F$135,3,FALSE)</f>
        <v>1, 2, 5, 6, 9, 13, 15</v>
      </c>
      <c r="N801" s="52" t="str">
        <f>VLOOKUP(Tabla3[[#This Row],[Site]],'Important Info!'!$A$1:$F$135,4,FALSE)</f>
        <v>-</v>
      </c>
      <c r="O801" s="52" t="str">
        <f>VLOOKUP(Tabla3[[#This Row],[Site]],'Important Info!'!$A$1:$F$135,5,FALSE)</f>
        <v>-</v>
      </c>
      <c r="P801" s="52" t="str">
        <f>VLOOKUP(Tabla3[[#This Row],[Site]],'Important Info!'!$A$1:$F$135,6,FALSE)</f>
        <v>10, 11, 13</v>
      </c>
      <c r="Q801" s="91">
        <f>VLOOKUP(Tabla3[[#This Row],[Site]],'Important Info!'!$A$1:$J$135,9,FALSE)</f>
        <v>270</v>
      </c>
    </row>
    <row r="802" spans="1:17" x14ac:dyDescent="0.25">
      <c r="A802" t="str">
        <f>+Tabla3[[#This Row],[Site]]&amp;Tabla3[[#This Row],[Split]]</f>
        <v>(PE) Fairfield Collision (NO TOURS)10</v>
      </c>
      <c r="B802">
        <v>10</v>
      </c>
      <c r="C802">
        <v>9</v>
      </c>
      <c r="D802" t="s">
        <v>485</v>
      </c>
      <c r="E802" t="s">
        <v>35</v>
      </c>
      <c r="F802" t="s">
        <v>63</v>
      </c>
      <c r="G802" t="s">
        <v>490</v>
      </c>
      <c r="H802" s="52" t="str">
        <f>VLOOKUP(Tabla3[[#This Row],[Site]],'Important Info!'!$A$1:$J$135,10,FALSE)</f>
        <v>https://tools.sig.systems/site/details/191</v>
      </c>
      <c r="J802" t="s">
        <v>41</v>
      </c>
      <c r="K802" s="79" t="str">
        <f>VLOOKUP(Tabla3[[#This Row],[Site]],'Important Info!'!$A$1:$H$135,8,FALSE)</f>
        <v>-</v>
      </c>
      <c r="L802" s="52">
        <f>VLOOKUP(Tabla3[[#This Row],[Site]],'Important Info!'!$A$1:$F$135,2,FALSE)</f>
        <v>4</v>
      </c>
      <c r="M802" s="52" t="str">
        <f>VLOOKUP(Tabla3[[#This Row],[Site]],'Important Info!'!$A$1:$F$135,3,FALSE)</f>
        <v>-</v>
      </c>
      <c r="N802" s="52" t="str">
        <f>VLOOKUP(Tabla3[[#This Row],[Site]],'Important Info!'!$A$1:$F$135,4,FALSE)</f>
        <v>-</v>
      </c>
      <c r="O802" s="52" t="str">
        <f>VLOOKUP(Tabla3[[#This Row],[Site]],'Important Info!'!$A$1:$F$135,5,FALSE)</f>
        <v>-</v>
      </c>
      <c r="P802" s="52" t="str">
        <f>VLOOKUP(Tabla3[[#This Row],[Site]],'Important Info!'!$A$1:$F$135,6,FALSE)</f>
        <v>1, 2, 3, 4, 5, 6</v>
      </c>
      <c r="Q802" s="91">
        <f>VLOOKUP(Tabla3[[#This Row],[Site]],'Important Info!'!$A$1:$J$135,9,FALSE)</f>
        <v>191</v>
      </c>
    </row>
    <row r="803" spans="1:17" x14ac:dyDescent="0.25">
      <c r="A803" t="str">
        <f>+Tabla3[[#This Row],[Site]]&amp;Tabla3[[#This Row],[Split]]</f>
        <v>(SCH) Delray I &amp; II10</v>
      </c>
      <c r="B803">
        <v>10</v>
      </c>
      <c r="C803">
        <v>9</v>
      </c>
      <c r="D803" t="s">
        <v>62</v>
      </c>
      <c r="E803" t="s">
        <v>35</v>
      </c>
      <c r="F803" t="s">
        <v>67</v>
      </c>
      <c r="G803" t="s">
        <v>490</v>
      </c>
      <c r="H803" s="52" t="str">
        <f>VLOOKUP(Tabla3[[#This Row],[Site]],'Important Info!'!$A$1:$J$135,10,FALSE)</f>
        <v>https://tools.sig.systems/site/details/159</v>
      </c>
      <c r="I803" s="66"/>
      <c r="J803" t="s">
        <v>36</v>
      </c>
      <c r="K803" s="79" t="str">
        <f>VLOOKUP(Tabla3[[#This Row],[Site]],'Important Info!'!$A$1:$H$135,8,FALSE)</f>
        <v>-</v>
      </c>
      <c r="L803" s="52" t="str">
        <f>VLOOKUP(Tabla3[[#This Row],[Site]],'Important Info!'!$A$1:$F$135,2,FALSE)</f>
        <v>5, 28, 31</v>
      </c>
      <c r="M803" s="52" t="str">
        <f>VLOOKUP(Tabla3[[#This Row],[Site]],'Important Info!'!$A$1:$F$135,3,FALSE)</f>
        <v>1, 29</v>
      </c>
      <c r="N803" s="52">
        <f>VLOOKUP(Tabla3[[#This Row],[Site]],'Important Info!'!$A$1:$F$135,4,FALSE)</f>
        <v>6</v>
      </c>
      <c r="O803" s="52" t="str">
        <f>VLOOKUP(Tabla3[[#This Row],[Site]],'Important Info!'!$A$1:$F$135,5,FALSE)</f>
        <v>-</v>
      </c>
      <c r="P803" s="52" t="str">
        <f>VLOOKUP(Tabla3[[#This Row],[Site]],'Important Info!'!$A$1:$F$135,6,FALSE)</f>
        <v>1, 35, 36</v>
      </c>
      <c r="Q803" s="91">
        <f>VLOOKUP(Tabla3[[#This Row],[Site]],'Important Info!'!$A$1:$J$135,9,FALSE)</f>
        <v>159</v>
      </c>
    </row>
    <row r="804" spans="1:17" x14ac:dyDescent="0.25">
      <c r="A804" t="str">
        <f>+Tabla3[[#This Row],[Site]]&amp;Tabla3[[#This Row],[Split]]</f>
        <v>(WAG) Greeley Chrysler Dodge Jeep Ram (NO TOURS)10</v>
      </c>
      <c r="B804">
        <v>10</v>
      </c>
      <c r="C804">
        <v>9</v>
      </c>
      <c r="D804" t="s">
        <v>44</v>
      </c>
      <c r="E804" t="s">
        <v>53</v>
      </c>
      <c r="F804" t="s">
        <v>497</v>
      </c>
      <c r="G804" t="s">
        <v>45</v>
      </c>
      <c r="H804" s="52" t="str">
        <f>VLOOKUP(Tabla3[[#This Row],[Site]],'Important Info!'!$A$1:$J$135,10,FALSE)</f>
        <v>https://tools.sig.systems/site/details/130</v>
      </c>
      <c r="I804" t="s">
        <v>153</v>
      </c>
      <c r="J804" t="s">
        <v>41</v>
      </c>
      <c r="K804" s="79" t="str">
        <f>VLOOKUP(Tabla3[[#This Row],[Site]],'Important Info!'!$A$1:$H$135,8,FALSE)</f>
        <v>-</v>
      </c>
      <c r="L804" s="52" t="str">
        <f>VLOOKUP(Tabla3[[#This Row],[Site]],'Important Info!'!$A$1:$F$135,2,FALSE)</f>
        <v>17, 23 &amp; 18</v>
      </c>
      <c r="M804" s="52" t="str">
        <f>VLOOKUP(Tabla3[[#This Row],[Site]],'Important Info!'!$A$1:$F$135,3,FALSE)</f>
        <v>4, 5, 6, 7, 8, 51, 55</v>
      </c>
      <c r="N804" s="52" t="str">
        <f>VLOOKUP(Tabla3[[#This Row],[Site]],'Important Info!'!$A$1:$F$135,4,FALSE)</f>
        <v>-</v>
      </c>
      <c r="O804" s="52" t="str">
        <f>VLOOKUP(Tabla3[[#This Row],[Site]],'Important Info!'!$A$1:$F$135,5,FALSE)</f>
        <v>3, 13, 17, 49, 53, 59</v>
      </c>
      <c r="P804" s="52" t="str">
        <f>VLOOKUP(Tabla3[[#This Row],[Site]],'Important Info!'!$A$1:$F$135,6,FALSE)</f>
        <v>8, 9, 10, 51, 62</v>
      </c>
      <c r="Q804" s="91">
        <f>VLOOKUP(Tabla3[[#This Row],[Site]],'Important Info!'!$A$1:$J$135,9,FALSE)</f>
        <v>130</v>
      </c>
    </row>
    <row r="805" spans="1:17" x14ac:dyDescent="0.25">
      <c r="A805" t="str">
        <f>+Tabla3[[#This Row],[Site]]&amp;Tabla3[[#This Row],[Split]]</f>
        <v>(AS) Courtesy Kia of Brandon (NO TOURS)10</v>
      </c>
      <c r="B805">
        <v>10</v>
      </c>
      <c r="C805">
        <v>10</v>
      </c>
      <c r="D805" t="s">
        <v>62</v>
      </c>
      <c r="E805" t="s">
        <v>35</v>
      </c>
      <c r="F805" t="s">
        <v>505</v>
      </c>
      <c r="G805" t="s">
        <v>490</v>
      </c>
      <c r="H805" s="52" t="str">
        <f>VLOOKUP(Tabla3[[#This Row],[Site]],'Important Info!'!$A$1:$J$135,10,FALSE)</f>
        <v>https://tools.sig.systems/site/details/121</v>
      </c>
      <c r="I805" s="2" t="s">
        <v>181</v>
      </c>
      <c r="J805" t="s">
        <v>484</v>
      </c>
      <c r="K805" s="79" t="str">
        <f>VLOOKUP(Tabla3[[#This Row],[Site]],'Important Info!'!$A$1:$H$135,8,FALSE)</f>
        <v>-</v>
      </c>
      <c r="L805" s="52" t="str">
        <f>VLOOKUP(Tabla3[[#This Row],[Site]],'Important Info!'!$A$1:$F$135,2,FALSE)</f>
        <v>-</v>
      </c>
      <c r="M805" s="52" t="str">
        <f>VLOOKUP(Tabla3[[#This Row],[Site]],'Important Info!'!$A$1:$F$135,3,FALSE)</f>
        <v>4, 8</v>
      </c>
      <c r="N805" s="52" t="str">
        <f>VLOOKUP(Tabla3[[#This Row],[Site]],'Important Info!'!$A$1:$F$135,4,FALSE)</f>
        <v>-</v>
      </c>
      <c r="O805" s="52" t="str">
        <f>VLOOKUP(Tabla3[[#This Row],[Site]],'Important Info!'!$A$1:$F$135,5,FALSE)</f>
        <v>3, 11, 20, 24</v>
      </c>
      <c r="P805" s="52" t="str">
        <f>VLOOKUP(Tabla3[[#This Row],[Site]],'Important Info!'!$A$1:$F$135,6,FALSE)</f>
        <v>2, 8</v>
      </c>
      <c r="Q805" s="91">
        <f>VLOOKUP(Tabla3[[#This Row],[Site]],'Important Info!'!$A$1:$J$135,9,FALSE)</f>
        <v>121</v>
      </c>
    </row>
    <row r="806" spans="1:17" x14ac:dyDescent="0.25">
      <c r="A806" t="str">
        <f>+Tabla3[[#This Row],[Site]]&amp;Tabla3[[#This Row],[Split]]</f>
        <v>(AS) Mike Shaw Subaru Greeley (NO TOURS)10</v>
      </c>
      <c r="B806">
        <v>10</v>
      </c>
      <c r="C806">
        <v>10</v>
      </c>
      <c r="D806" t="s">
        <v>44</v>
      </c>
      <c r="E806" t="s">
        <v>53</v>
      </c>
      <c r="F806" t="s">
        <v>95</v>
      </c>
      <c r="G806" t="s">
        <v>45</v>
      </c>
      <c r="H806" s="52" t="str">
        <f>VLOOKUP(Tabla3[[#This Row],[Site]],'Important Info!'!$A$1:$J$135,10,FALSE)</f>
        <v>https://tools.sig.systems/site/details/174</v>
      </c>
      <c r="I806" t="s">
        <v>153</v>
      </c>
      <c r="J806" t="s">
        <v>41</v>
      </c>
      <c r="K806" s="79" t="str">
        <f>VLOOKUP(Tabla3[[#This Row],[Site]],'Important Info!'!$A$1:$H$135,8,FALSE)</f>
        <v>-</v>
      </c>
      <c r="L806" s="52" t="str">
        <f>VLOOKUP(Tabla3[[#This Row],[Site]],'Important Info!'!$A$1:$F$135,2,FALSE)</f>
        <v>16, 17</v>
      </c>
      <c r="M806" s="52">
        <f>VLOOKUP(Tabla3[[#This Row],[Site]],'Important Info!'!$A$1:$F$135,3,FALSE)</f>
        <v>10</v>
      </c>
      <c r="N806" s="52" t="str">
        <f>VLOOKUP(Tabla3[[#This Row],[Site]],'Important Info!'!$A$1:$F$135,4,FALSE)</f>
        <v>-</v>
      </c>
      <c r="O806" s="52" t="str">
        <f>VLOOKUP(Tabla3[[#This Row],[Site]],'Important Info!'!$A$1:$F$135,5,FALSE)</f>
        <v>1, 7</v>
      </c>
      <c r="P806" s="52" t="str">
        <f>VLOOKUP(Tabla3[[#This Row],[Site]],'Important Info!'!$A$1:$F$135,6,FALSE)</f>
        <v>-</v>
      </c>
      <c r="Q806" s="91">
        <f>VLOOKUP(Tabla3[[#This Row],[Site]],'Important Info!'!$A$1:$J$135,9,FALSE)</f>
        <v>174</v>
      </c>
    </row>
    <row r="807" spans="1:17" x14ac:dyDescent="0.25">
      <c r="A807" t="str">
        <f>+Tabla3[[#This Row],[Site]]&amp;Tabla3[[#This Row],[Split]]</f>
        <v>(AS) Nalley Luxury Collision Center (NO TOURS)10</v>
      </c>
      <c r="B807">
        <v>10</v>
      </c>
      <c r="C807">
        <v>10</v>
      </c>
      <c r="D807" t="s">
        <v>62</v>
      </c>
      <c r="E807" t="s">
        <v>35</v>
      </c>
      <c r="F807" t="s">
        <v>512</v>
      </c>
      <c r="G807" t="s">
        <v>490</v>
      </c>
      <c r="H807" s="52" t="str">
        <f>VLOOKUP(Tabla3[[#This Row],[Site]],'Important Info!'!$A$1:$J$135,10,FALSE)</f>
        <v>https://tools.sig.systems/site/details/263</v>
      </c>
      <c r="I807" s="2" t="s">
        <v>166</v>
      </c>
      <c r="J807" t="s">
        <v>41</v>
      </c>
      <c r="K807" s="79" t="str">
        <f>VLOOKUP(Tabla3[[#This Row],[Site]],'Important Info!'!$A$1:$H$135,8,FALSE)</f>
        <v>-</v>
      </c>
      <c r="L807" s="52" t="str">
        <f>VLOOKUP(Tabla3[[#This Row],[Site]],'Important Info!'!$A$1:$F$135,2,FALSE)</f>
        <v>6, 13</v>
      </c>
      <c r="M807" s="52" t="str">
        <f>VLOOKUP(Tabla3[[#This Row],[Site]],'Important Info!'!$A$1:$F$135,3,FALSE)</f>
        <v>-</v>
      </c>
      <c r="N807" s="52" t="str">
        <f>VLOOKUP(Tabla3[[#This Row],[Site]],'Important Info!'!$A$1:$F$135,4,FALSE)</f>
        <v>-</v>
      </c>
      <c r="O807" s="52" t="str">
        <f>VLOOKUP(Tabla3[[#This Row],[Site]],'Important Info!'!$A$1:$F$135,5,FALSE)</f>
        <v>-</v>
      </c>
      <c r="P807" s="52" t="str">
        <f>VLOOKUP(Tabla3[[#This Row],[Site]],'Important Info!'!$A$1:$F$135,6,FALSE)</f>
        <v>6, 7, 12</v>
      </c>
      <c r="Q807" s="91">
        <f>VLOOKUP(Tabla3[[#This Row],[Site]],'Important Info!'!$A$1:$J$135,9,FALSE)</f>
        <v>263</v>
      </c>
    </row>
    <row r="808" spans="1:17" x14ac:dyDescent="0.25">
      <c r="A808" t="str">
        <f>+Tabla3[[#This Row],[Site]]&amp;Tabla3[[#This Row],[Split]]</f>
        <v>(AS) Park Place Volvo Service Center (NO TOURS)10</v>
      </c>
      <c r="B808">
        <v>10</v>
      </c>
      <c r="C808">
        <v>10</v>
      </c>
      <c r="D808" t="s">
        <v>33</v>
      </c>
      <c r="E808" t="s">
        <v>46</v>
      </c>
      <c r="F808" t="s">
        <v>522</v>
      </c>
      <c r="G808" t="s">
        <v>34</v>
      </c>
      <c r="H808" s="52" t="str">
        <f>VLOOKUP(Tabla3[[#This Row],[Site]],'Important Info!'!$A$1:$J$135,10,FALSE)</f>
        <v>https://tools.sig.systems/site/details/171</v>
      </c>
      <c r="I808" s="62" t="s">
        <v>125</v>
      </c>
      <c r="J808" t="s">
        <v>41</v>
      </c>
      <c r="K808" s="79" t="str">
        <f>VLOOKUP(Tabla3[[#This Row],[Site]],'Important Info!'!$A$1:$H$135,8,FALSE)</f>
        <v>-</v>
      </c>
      <c r="L808" s="52" t="str">
        <f>VLOOKUP(Tabla3[[#This Row],[Site]],'Important Info!'!$A$1:$F$135,2,FALSE)</f>
        <v>3, 6, 9, 27, 31, 35</v>
      </c>
      <c r="M808" s="52" t="str">
        <f>VLOOKUP(Tabla3[[#This Row],[Site]],'Important Info!'!$A$1:$F$135,3,FALSE)</f>
        <v>-</v>
      </c>
      <c r="N808" s="52" t="str">
        <f>VLOOKUP(Tabla3[[#This Row],[Site]],'Important Info!'!$A$1:$F$135,4,FALSE)</f>
        <v>-</v>
      </c>
      <c r="O808" s="52" t="str">
        <f>VLOOKUP(Tabla3[[#This Row],[Site]],'Important Info!'!$A$1:$F$135,5,FALSE)</f>
        <v>27, 32</v>
      </c>
      <c r="P808" s="52" t="str">
        <f>VLOOKUP(Tabla3[[#This Row],[Site]],'Important Info!'!$A$1:$F$135,6,FALSE)</f>
        <v>-</v>
      </c>
      <c r="Q808" s="91">
        <f>VLOOKUP(Tabla3[[#This Row],[Site]],'Important Info!'!$A$1:$J$135,9,FALSE)</f>
        <v>171</v>
      </c>
    </row>
    <row r="809" spans="1:17" x14ac:dyDescent="0.25">
      <c r="A809" t="str">
        <f>+Tabla3[[#This Row],[Site]]&amp;Tabla3[[#This Row],[Split]]</f>
        <v>(AS) Plaza Lexus/Mercedes/BMW (NO TOURS)10</v>
      </c>
      <c r="B809">
        <v>10</v>
      </c>
      <c r="C809">
        <v>10</v>
      </c>
      <c r="D809" t="s">
        <v>33</v>
      </c>
      <c r="E809" t="s">
        <v>46</v>
      </c>
      <c r="F809" t="s">
        <v>92</v>
      </c>
      <c r="G809" t="s">
        <v>34</v>
      </c>
      <c r="H809" s="52" t="str">
        <f>VLOOKUP(Tabla3[[#This Row],[Site]],'Important Info!'!$A$1:$J$135,10,FALSE)</f>
        <v>https://tools.sig.systems/site/details/141</v>
      </c>
      <c r="I809" t="s">
        <v>130</v>
      </c>
      <c r="J809" t="s">
        <v>41</v>
      </c>
      <c r="K809" s="79" t="str">
        <f>VLOOKUP(Tabla3[[#This Row],[Site]],'Important Info!'!$A$1:$H$135,8,FALSE)</f>
        <v>-</v>
      </c>
      <c r="L809" s="52" t="str">
        <f>VLOOKUP(Tabla3[[#This Row],[Site]],'Important Info!'!$A$1:$F$135,2,FALSE)</f>
        <v>3, 4, 18</v>
      </c>
      <c r="M809" s="52" t="str">
        <f>VLOOKUP(Tabla3[[#This Row],[Site]],'Important Info!'!$A$1:$F$135,3,FALSE)</f>
        <v>9, 10, 12, 13, 16, 17</v>
      </c>
      <c r="N809" s="52" t="str">
        <f>VLOOKUP(Tabla3[[#This Row],[Site]],'Important Info!'!$A$1:$F$135,4,FALSE)</f>
        <v>-</v>
      </c>
      <c r="O809" s="52">
        <f>VLOOKUP(Tabla3[[#This Row],[Site]],'Important Info!'!$A$1:$F$135,5,FALSE)</f>
        <v>2</v>
      </c>
      <c r="P809" s="52" t="str">
        <f>VLOOKUP(Tabla3[[#This Row],[Site]],'Important Info!'!$A$1:$F$135,6,FALSE)</f>
        <v>2, 16</v>
      </c>
      <c r="Q809" s="91">
        <f>VLOOKUP(Tabla3[[#This Row],[Site]],'Important Info!'!$A$1:$J$135,9,FALSE)</f>
        <v>141</v>
      </c>
    </row>
    <row r="810" spans="1:17" x14ac:dyDescent="0.25">
      <c r="A810" t="str">
        <f>+Tabla3[[#This Row],[Site]]&amp;Tabla3[[#This Row],[Split]]</f>
        <v>(DT) Louisville10</v>
      </c>
      <c r="B810">
        <v>10</v>
      </c>
      <c r="C810">
        <v>10</v>
      </c>
      <c r="D810" t="s">
        <v>62</v>
      </c>
      <c r="E810" t="s">
        <v>35</v>
      </c>
      <c r="F810" t="s">
        <v>99</v>
      </c>
      <c r="G810" t="s">
        <v>490</v>
      </c>
      <c r="H810" s="52" t="str">
        <f>VLOOKUP(Tabla3[[#This Row],[Site]],'Important Info!'!$A$1:$J$135,10,FALSE)</f>
        <v>https://tools.sig.systems/site/details/258</v>
      </c>
      <c r="J810" t="s">
        <v>41</v>
      </c>
      <c r="K810" s="79" t="str">
        <f>VLOOKUP(Tabla3[[#This Row],[Site]],'Important Info!'!$A$1:$H$135,8,FALSE)</f>
        <v>-</v>
      </c>
      <c r="L810" s="52" t="str">
        <f>VLOOKUP(Tabla3[[#This Row],[Site]],'Important Info!'!$A$1:$F$135,2,FALSE)</f>
        <v>-</v>
      </c>
      <c r="M810" s="52">
        <f>VLOOKUP(Tabla3[[#This Row],[Site]],'Important Info!'!$A$1:$F$135,3,FALSE)</f>
        <v>3</v>
      </c>
      <c r="N810" s="52" t="str">
        <f>VLOOKUP(Tabla3[[#This Row],[Site]],'Important Info!'!$A$1:$F$135,4,FALSE)</f>
        <v>-</v>
      </c>
      <c r="O810" s="52" t="str">
        <f>VLOOKUP(Tabla3[[#This Row],[Site]],'Important Info!'!$A$1:$F$135,5,FALSE)</f>
        <v>-</v>
      </c>
      <c r="P810" s="52" t="str">
        <f>VLOOKUP(Tabla3[[#This Row],[Site]],'Important Info!'!$A$1:$F$135,6,FALSE)</f>
        <v>3, 8</v>
      </c>
      <c r="Q810" s="91">
        <f>VLOOKUP(Tabla3[[#This Row],[Site]],'Important Info!'!$A$1:$J$135,9,FALSE)</f>
        <v>258</v>
      </c>
    </row>
    <row r="811" spans="1:17" x14ac:dyDescent="0.25">
      <c r="A811" t="str">
        <f>+Tabla3[[#This Row],[Site]]&amp;Tabla3[[#This Row],[Split]]</f>
        <v>(ML) Toyota N Little Rock10</v>
      </c>
      <c r="B811">
        <v>10</v>
      </c>
      <c r="C811">
        <v>10</v>
      </c>
      <c r="D811" t="s">
        <v>33</v>
      </c>
      <c r="E811" t="s">
        <v>46</v>
      </c>
      <c r="F811" t="s">
        <v>76</v>
      </c>
      <c r="G811" t="s">
        <v>34</v>
      </c>
      <c r="H811" s="52" t="str">
        <f>VLOOKUP(Tabla3[[#This Row],[Site]],'Important Info!'!$A$1:$J$135,10,FALSE)</f>
        <v>https://tools.sig.systems/site/details/201</v>
      </c>
      <c r="I811" s="2" t="s">
        <v>142</v>
      </c>
      <c r="J811" t="s">
        <v>41</v>
      </c>
      <c r="K811" s="79" t="str">
        <f>VLOOKUP(Tabla3[[#This Row],[Site]],'Important Info!'!$A$1:$H$135,8,FALSE)</f>
        <v>-</v>
      </c>
      <c r="L811" s="52" t="str">
        <f>VLOOKUP(Tabla3[[#This Row],[Site]],'Important Info!'!$A$1:$F$135,2,FALSE)</f>
        <v>4, 15, 18, 22, 23, 26</v>
      </c>
      <c r="M811" s="52" t="str">
        <f>VLOOKUP(Tabla3[[#This Row],[Site]],'Important Info!'!$A$1:$F$135,3,FALSE)</f>
        <v>-</v>
      </c>
      <c r="N811" s="52" t="str">
        <f>VLOOKUP(Tabla3[[#This Row],[Site]],'Important Info!'!$A$1:$F$135,4,FALSE)</f>
        <v>-</v>
      </c>
      <c r="O811" s="52" t="str">
        <f>VLOOKUP(Tabla3[[#This Row],[Site]],'Important Info!'!$A$1:$F$135,5,FALSE)</f>
        <v>2, 12, 13, 18</v>
      </c>
      <c r="P811" s="52" t="str">
        <f>VLOOKUP(Tabla3[[#This Row],[Site]],'Important Info!'!$A$1:$F$135,6,FALSE)</f>
        <v>-</v>
      </c>
      <c r="Q811" s="91">
        <f>VLOOKUP(Tabla3[[#This Row],[Site]],'Important Info!'!$A$1:$J$135,9,FALSE)</f>
        <v>201</v>
      </c>
    </row>
    <row r="812" spans="1:17" x14ac:dyDescent="0.25">
      <c r="A812" t="str">
        <f>+Tabla3[[#This Row],[Site]]&amp;Tabla3[[#This Row],[Split]]</f>
        <v>(PE) Honda of Danbury (NO TOURS)10</v>
      </c>
      <c r="B812">
        <v>10</v>
      </c>
      <c r="C812">
        <v>10</v>
      </c>
      <c r="D812" t="s">
        <v>485</v>
      </c>
      <c r="E812" t="s">
        <v>35</v>
      </c>
      <c r="F812" t="s">
        <v>174</v>
      </c>
      <c r="G812" t="s">
        <v>490</v>
      </c>
      <c r="H812" s="52" t="str">
        <f>VLOOKUP(Tabla3[[#This Row],[Site]],'Important Info!'!$A$1:$J$135,10,FALSE)</f>
        <v>https://tools.sig.systems/site/details/190</v>
      </c>
      <c r="I812" s="66"/>
      <c r="J812" t="s">
        <v>41</v>
      </c>
      <c r="K812" s="79" t="str">
        <f>VLOOKUP(Tabla3[[#This Row],[Site]],'Important Info!'!$A$1:$H$135,8,FALSE)</f>
        <v>-</v>
      </c>
      <c r="L812" s="52" t="str">
        <f>VLOOKUP(Tabla3[[#This Row],[Site]],'Important Info!'!$A$1:$F$135,2,FALSE)</f>
        <v>-</v>
      </c>
      <c r="M812" s="52" t="str">
        <f>VLOOKUP(Tabla3[[#This Row],[Site]],'Important Info!'!$A$1:$F$135,3,FALSE)</f>
        <v>20, 9</v>
      </c>
      <c r="N812" s="52">
        <f>VLOOKUP(Tabla3[[#This Row],[Site]],'Important Info!'!$A$1:$F$135,4,FALSE)</f>
        <v>9</v>
      </c>
      <c r="O812" s="52" t="str">
        <f>VLOOKUP(Tabla3[[#This Row],[Site]],'Important Info!'!$A$1:$F$135,5,FALSE)</f>
        <v>-</v>
      </c>
      <c r="P812" s="52" t="str">
        <f>VLOOKUP(Tabla3[[#This Row],[Site]],'Important Info!'!$A$1:$F$135,6,FALSE)</f>
        <v>9, 16, 17</v>
      </c>
      <c r="Q812" s="91">
        <f>VLOOKUP(Tabla3[[#This Row],[Site]],'Important Info!'!$A$1:$J$135,9,FALSE)</f>
        <v>190</v>
      </c>
    </row>
    <row r="813" spans="1:17" x14ac:dyDescent="0.25">
      <c r="A813" t="str">
        <f>+Tabla3[[#This Row],[Site]]&amp;Tabla3[[#This Row],[Split]]</f>
        <v>(SCH) West Palm Beach I, II &amp; III10</v>
      </c>
      <c r="B813">
        <v>10</v>
      </c>
      <c r="C813">
        <v>10</v>
      </c>
      <c r="D813" t="s">
        <v>492</v>
      </c>
      <c r="E813" t="s">
        <v>35</v>
      </c>
      <c r="F813" t="s">
        <v>96</v>
      </c>
      <c r="G813" t="s">
        <v>490</v>
      </c>
      <c r="H813" s="52" t="str">
        <f>VLOOKUP(Tabla3[[#This Row],[Site]],'Important Info!'!$A$1:$J$135,10,FALSE)</f>
        <v>https://tools.sig.systems/site/details/162</v>
      </c>
      <c r="I813" s="43"/>
      <c r="J813" t="s">
        <v>36</v>
      </c>
      <c r="K813" s="79" t="str">
        <f>VLOOKUP(Tabla3[[#This Row],[Site]],'Important Info!'!$A$1:$H$135,8,FALSE)</f>
        <v>SUNDAY: Log in at 5:30 p.m. ET.</v>
      </c>
      <c r="L813" s="52" t="str">
        <f>VLOOKUP(Tabla3[[#This Row],[Site]],'Important Info!'!$A$1:$F$135,2,FALSE)</f>
        <v>34, 62</v>
      </c>
      <c r="M813" s="52" t="str">
        <f>VLOOKUP(Tabla3[[#This Row],[Site]],'Important Info!'!$A$1:$F$135,3,FALSE)</f>
        <v xml:space="preserve">6, 7, 11, 13, </v>
      </c>
      <c r="N813" s="52" t="str">
        <f>VLOOKUP(Tabla3[[#This Row],[Site]],'Important Info!'!$A$1:$F$135,4,FALSE)</f>
        <v>20, 21</v>
      </c>
      <c r="O813" s="52" t="str">
        <f>VLOOKUP(Tabla3[[#This Row],[Site]],'Important Info!'!$A$1:$F$135,5,FALSE)</f>
        <v>-</v>
      </c>
      <c r="P813" s="52" t="str">
        <f>VLOOKUP(Tabla3[[#This Row],[Site]],'Important Info!'!$A$1:$F$135,6,FALSE)</f>
        <v>1, 2, 3, 131, 132</v>
      </c>
      <c r="Q813" s="91">
        <f>VLOOKUP(Tabla3[[#This Row],[Site]],'Important Info!'!$A$1:$J$135,9,FALSE)</f>
        <v>162</v>
      </c>
    </row>
    <row r="814" spans="1:17" x14ac:dyDescent="0.25">
      <c r="A814" t="str">
        <f>+Tabla3[[#This Row],[Site]]&amp;Tabla3[[#This Row],[Split]]</f>
        <v>(AS) Courtesy Hyundai/Nissan Tampa (NO TOURS)11</v>
      </c>
      <c r="B814">
        <v>11</v>
      </c>
      <c r="C814">
        <v>1</v>
      </c>
      <c r="D814" t="s">
        <v>62</v>
      </c>
      <c r="E814" t="s">
        <v>35</v>
      </c>
      <c r="F814" t="s">
        <v>504</v>
      </c>
      <c r="G814" t="s">
        <v>490</v>
      </c>
      <c r="H814" s="52" t="str">
        <f>VLOOKUP(Tabla3[[#This Row],[Site]],'Important Info!'!$A$1:$J$135,10,FALSE)</f>
        <v>https://tools.sig.systems/site/details/128</v>
      </c>
      <c r="I814" s="43"/>
      <c r="J814" t="s">
        <v>484</v>
      </c>
      <c r="K814" s="79" t="str">
        <f>VLOOKUP(Tabla3[[#This Row],[Site]],'Important Info!'!$A$1:$H$135,8,FALSE)</f>
        <v>-</v>
      </c>
      <c r="L814" s="52" t="str">
        <f>VLOOKUP(Tabla3[[#This Row],[Site]],'Important Info!'!$A$1:$F$135,2,FALSE)</f>
        <v>1, 16, 25, 27, 32</v>
      </c>
      <c r="M814" s="52" t="str">
        <f>VLOOKUP(Tabla3[[#This Row],[Site]],'Important Info!'!$A$1:$F$135,3,FALSE)</f>
        <v>-</v>
      </c>
      <c r="N814" s="52" t="str">
        <f>VLOOKUP(Tabla3[[#This Row],[Site]],'Important Info!'!$A$1:$F$135,4,FALSE)</f>
        <v>-</v>
      </c>
      <c r="O814" s="52" t="str">
        <f>VLOOKUP(Tabla3[[#This Row],[Site]],'Important Info!'!$A$1:$F$135,5,FALSE)</f>
        <v>4, 10, 16</v>
      </c>
      <c r="P814" s="52" t="str">
        <f>VLOOKUP(Tabla3[[#This Row],[Site]],'Important Info!'!$A$1:$F$135,6,FALSE)</f>
        <v>24, 25, 26 &amp; Remote Lots</v>
      </c>
      <c r="Q814" s="91">
        <f>VLOOKUP(Tabla3[[#This Row],[Site]],'Important Info!'!$A$1:$J$135,9,FALSE)</f>
        <v>128</v>
      </c>
    </row>
    <row r="815" spans="1:17" x14ac:dyDescent="0.25">
      <c r="A815" t="str">
        <f>+Tabla3[[#This Row],[Site]]&amp;Tabla3[[#This Row],[Split]]</f>
        <v>(AS) Park Place Bodywerks Ft. Worth (NO TOURS)11</v>
      </c>
      <c r="B815">
        <v>11</v>
      </c>
      <c r="C815">
        <v>1</v>
      </c>
      <c r="D815" t="s">
        <v>33</v>
      </c>
      <c r="E815" t="s">
        <v>46</v>
      </c>
      <c r="F815" t="s">
        <v>515</v>
      </c>
      <c r="G815" t="s">
        <v>34</v>
      </c>
      <c r="H815" s="52" t="str">
        <f>VLOOKUP(Tabla3[[#This Row],[Site]],'Important Info!'!$A$1:$J$135,10,FALSE)</f>
        <v>https://tools.sig.systems/site/details/134</v>
      </c>
      <c r="I815" s="65" t="s">
        <v>128</v>
      </c>
      <c r="J815" t="s">
        <v>41</v>
      </c>
      <c r="K815" s="79" t="str">
        <f>VLOOKUP(Tabla3[[#This Row],[Site]],'Important Info!'!$A$1:$H$135,8,FALSE)</f>
        <v>-</v>
      </c>
      <c r="L815" s="52" t="str">
        <f>VLOOKUP(Tabla3[[#This Row],[Site]],'Important Info!'!$A$1:$F$135,2,FALSE)</f>
        <v>2, 3, RemoteLot5, RemoteLot9</v>
      </c>
      <c r="M815" s="52" t="str">
        <f>VLOOKUP(Tabla3[[#This Row],[Site]],'Important Info!'!$A$1:$F$135,3,FALSE)</f>
        <v>-</v>
      </c>
      <c r="N815" s="52" t="str">
        <f>VLOOKUP(Tabla3[[#This Row],[Site]],'Important Info!'!$A$1:$F$135,4,FALSE)</f>
        <v>-</v>
      </c>
      <c r="O815" s="52" t="str">
        <f>VLOOKUP(Tabla3[[#This Row],[Site]],'Important Info!'!$A$1:$F$135,5,FALSE)</f>
        <v>1, 7, RL1, RL5, RL9</v>
      </c>
      <c r="P815" s="52" t="str">
        <f>VLOOKUP(Tabla3[[#This Row],[Site]],'Important Info!'!$A$1:$F$135,6,FALSE)</f>
        <v>3, 4, 15</v>
      </c>
      <c r="Q815" s="91">
        <f>VLOOKUP(Tabla3[[#This Row],[Site]],'Important Info!'!$A$1:$J$135,9,FALSE)</f>
        <v>134</v>
      </c>
    </row>
    <row r="816" spans="1:17" x14ac:dyDescent="0.25">
      <c r="A816" t="str">
        <f>+Tabla3[[#This Row],[Site]]&amp;Tabla3[[#This Row],[Split]]</f>
        <v>(DT) N. Houston11</v>
      </c>
      <c r="B816">
        <v>11</v>
      </c>
      <c r="C816">
        <v>1</v>
      </c>
      <c r="D816" t="s">
        <v>33</v>
      </c>
      <c r="E816" t="s">
        <v>46</v>
      </c>
      <c r="F816" t="s">
        <v>68</v>
      </c>
      <c r="G816" t="s">
        <v>34</v>
      </c>
      <c r="H816" s="52" t="str">
        <f>VLOOKUP(Tabla3[[#This Row],[Site]],'Important Info!'!$A$1:$J$135,10,FALSE)</f>
        <v>https://tools.sig.systems/site/details/250</v>
      </c>
      <c r="I816" s="43"/>
      <c r="J816" t="s">
        <v>41</v>
      </c>
      <c r="K816" s="79" t="str">
        <f>VLOOKUP(Tabla3[[#This Row],[Site]],'Important Info!'!$A$1:$H$135,8,FALSE)</f>
        <v>-</v>
      </c>
      <c r="L816" s="52" t="str">
        <f>VLOOKUP(Tabla3[[#This Row],[Site]],'Important Info!'!$A$1:$F$135,2,FALSE)</f>
        <v>2, 10, 18</v>
      </c>
      <c r="M816" s="52" t="str">
        <f>VLOOKUP(Tabla3[[#This Row],[Site]],'Important Info!'!$A$1:$F$135,3,FALSE)</f>
        <v>-</v>
      </c>
      <c r="N816" s="52" t="str">
        <f>VLOOKUP(Tabla3[[#This Row],[Site]],'Important Info!'!$A$1:$F$135,4,FALSE)</f>
        <v>-</v>
      </c>
      <c r="O816" s="52">
        <f>VLOOKUP(Tabla3[[#This Row],[Site]],'Important Info!'!$A$1:$F$135,5,FALSE)</f>
        <v>15</v>
      </c>
      <c r="P816" s="52" t="str">
        <f>VLOOKUP(Tabla3[[#This Row],[Site]],'Important Info!'!$A$1:$F$135,6,FALSE)</f>
        <v>2, 4, 18</v>
      </c>
      <c r="Q816" s="91">
        <f>VLOOKUP(Tabla3[[#This Row],[Site]],'Important Info!'!$A$1:$J$135,9,FALSE)</f>
        <v>250</v>
      </c>
    </row>
    <row r="817" spans="1:17" x14ac:dyDescent="0.25">
      <c r="A817" t="str">
        <f>+Tabla3[[#This Row],[Site]]&amp;Tabla3[[#This Row],[Split]]</f>
        <v>(DT) W Houston11</v>
      </c>
      <c r="B817">
        <v>11</v>
      </c>
      <c r="C817">
        <v>1</v>
      </c>
      <c r="D817" t="s">
        <v>33</v>
      </c>
      <c r="E817" t="s">
        <v>46</v>
      </c>
      <c r="F817" t="s">
        <v>69</v>
      </c>
      <c r="G817" t="s">
        <v>34</v>
      </c>
      <c r="H817" s="52" t="str">
        <f>VLOOKUP(Tabla3[[#This Row],[Site]],'Important Info!'!$A$1:$J$135,10,FALSE)</f>
        <v>https://tools.sig.systems/site/details/197</v>
      </c>
      <c r="I817" s="2"/>
      <c r="J817" t="s">
        <v>41</v>
      </c>
      <c r="K817" s="79" t="str">
        <f>VLOOKUP(Tabla3[[#This Row],[Site]],'Important Info!'!$A$1:$H$135,8,FALSE)</f>
        <v>-</v>
      </c>
      <c r="L817" s="52">
        <f>VLOOKUP(Tabla3[[#This Row],[Site]],'Important Info!'!$A$1:$F$135,2,FALSE)</f>
        <v>7</v>
      </c>
      <c r="M817" s="52">
        <f>VLOOKUP(Tabla3[[#This Row],[Site]],'Important Info!'!$A$1:$F$135,3,FALSE)</f>
        <v>2</v>
      </c>
      <c r="N817" s="52" t="str">
        <f>VLOOKUP(Tabla3[[#This Row],[Site]],'Important Info!'!$A$1:$F$135,4,FALSE)</f>
        <v>-</v>
      </c>
      <c r="O817" s="52">
        <f>VLOOKUP(Tabla3[[#This Row],[Site]],'Important Info!'!$A$1:$F$135,5,FALSE)</f>
        <v>14</v>
      </c>
      <c r="P817" s="52" t="str">
        <f>VLOOKUP(Tabla3[[#This Row],[Site]],'Important Info!'!$A$1:$F$135,6,FALSE)</f>
        <v>2, 3, 7, 10</v>
      </c>
      <c r="Q817" s="91">
        <f>VLOOKUP(Tabla3[[#This Row],[Site]],'Important Info!'!$A$1:$J$135,9,FALSE)</f>
        <v>197</v>
      </c>
    </row>
    <row r="818" spans="1:17" x14ac:dyDescent="0.25">
      <c r="A818" t="str">
        <f>+Tabla3[[#This Row],[Site]]&amp;Tabla3[[#This Row],[Split]]</f>
        <v>(HUD) Acura of Greensboro11</v>
      </c>
      <c r="B818">
        <v>11</v>
      </c>
      <c r="C818">
        <v>1</v>
      </c>
      <c r="D818" t="s">
        <v>62</v>
      </c>
      <c r="E818" t="s">
        <v>35</v>
      </c>
      <c r="F818" t="s">
        <v>100</v>
      </c>
      <c r="G818" t="s">
        <v>490</v>
      </c>
      <c r="H818" s="52" t="str">
        <f>VLOOKUP(Tabla3[[#This Row],[Site]],'Important Info!'!$A$1:$J$135,10,FALSE)</f>
        <v>https://tools.sig.systems/site/details/213</v>
      </c>
      <c r="I818" t="s">
        <v>182</v>
      </c>
      <c r="J818" t="s">
        <v>41</v>
      </c>
      <c r="K818" s="79" t="str">
        <f>VLOOKUP(Tabla3[[#This Row],[Site]],'Important Info!'!$A$1:$H$135,8,FALSE)</f>
        <v>-</v>
      </c>
      <c r="L818" s="52" t="str">
        <f>VLOOKUP(Tabla3[[#This Row],[Site]],'Important Info!'!$A$1:$F$135,2,FALSE)</f>
        <v>1, 2, 6, 7, 9</v>
      </c>
      <c r="M818" s="52" t="str">
        <f>VLOOKUP(Tabla3[[#This Row],[Site]],'Important Info!'!$A$1:$F$135,3,FALSE)</f>
        <v>-</v>
      </c>
      <c r="N818" s="52" t="str">
        <f>VLOOKUP(Tabla3[[#This Row],[Site]],'Important Info!'!$A$1:$F$135,4,FALSE)</f>
        <v>-</v>
      </c>
      <c r="O818" s="52" t="str">
        <f>VLOOKUP(Tabla3[[#This Row],[Site]],'Important Info!'!$A$1:$F$135,5,FALSE)</f>
        <v>2, 5</v>
      </c>
      <c r="P818" s="52" t="str">
        <f>VLOOKUP(Tabla3[[#This Row],[Site]],'Important Info!'!$A$1:$F$135,6,FALSE)</f>
        <v>1, 2, 6, 7, 9, 18</v>
      </c>
      <c r="Q818" s="91">
        <f>VLOOKUP(Tabla3[[#This Row],[Site]],'Important Info!'!$A$1:$J$135,9,FALSE)</f>
        <v>213</v>
      </c>
    </row>
    <row r="819" spans="1:17" x14ac:dyDescent="0.25">
      <c r="A819" t="str">
        <f>+Tabla3[[#This Row],[Site]]&amp;Tabla3[[#This Row],[Split]]</f>
        <v>(KG) Clear Lake Pre-Owned11</v>
      </c>
      <c r="B819">
        <v>11</v>
      </c>
      <c r="C819">
        <v>1</v>
      </c>
      <c r="D819" t="s">
        <v>33</v>
      </c>
      <c r="E819" t="s">
        <v>46</v>
      </c>
      <c r="F819" t="s">
        <v>87</v>
      </c>
      <c r="G819" t="s">
        <v>34</v>
      </c>
      <c r="H819" s="52" t="str">
        <f>VLOOKUP(Tabla3[[#This Row],[Site]],'Important Info!'!$A$1:$J$135,10,FALSE)</f>
        <v>https://tools.sig.systems/site/details/255</v>
      </c>
      <c r="I819" s="43" t="s">
        <v>134</v>
      </c>
      <c r="J819" t="s">
        <v>41</v>
      </c>
      <c r="K819" s="79" t="str">
        <f>VLOOKUP(Tabla3[[#This Row],[Site]],'Important Info!'!$A$1:$H$135,8,FALSE)</f>
        <v>-</v>
      </c>
      <c r="L819" s="52" t="str">
        <f>VLOOKUP(Tabla3[[#This Row],[Site]],'Important Info!'!$A$1:$F$135,2,FALSE)</f>
        <v>3, 5</v>
      </c>
      <c r="M819" s="52" t="str">
        <f>VLOOKUP(Tabla3[[#This Row],[Site]],'Important Info!'!$A$1:$F$135,3,FALSE)</f>
        <v>-</v>
      </c>
      <c r="N819" s="52" t="str">
        <f>VLOOKUP(Tabla3[[#This Row],[Site]],'Important Info!'!$A$1:$F$135,4,FALSE)</f>
        <v>-</v>
      </c>
      <c r="O819" s="52" t="str">
        <f>VLOOKUP(Tabla3[[#This Row],[Site]],'Important Info!'!$A$1:$F$135,5,FALSE)</f>
        <v>4, 10, 22</v>
      </c>
      <c r="P819" s="52" t="str">
        <f>VLOOKUP(Tabla3[[#This Row],[Site]],'Important Info!'!$A$1:$F$135,6,FALSE)</f>
        <v>8, 15, 20</v>
      </c>
      <c r="Q819" s="91">
        <f>VLOOKUP(Tabla3[[#This Row],[Site]],'Important Info!'!$A$1:$J$135,9,FALSE)</f>
        <v>255</v>
      </c>
    </row>
    <row r="820" spans="1:17" x14ac:dyDescent="0.25">
      <c r="A820" t="str">
        <f>+Tabla3[[#This Row],[Site]]&amp;Tabla3[[#This Row],[Split]]</f>
        <v>(KG) Truck Center Remote Storage Lot11</v>
      </c>
      <c r="B820">
        <v>11</v>
      </c>
      <c r="C820">
        <v>1</v>
      </c>
      <c r="D820" t="s">
        <v>60</v>
      </c>
      <c r="E820" t="s">
        <v>53</v>
      </c>
      <c r="F820" t="s">
        <v>61</v>
      </c>
      <c r="G820" t="s">
        <v>41</v>
      </c>
      <c r="H820" s="52" t="str">
        <f>VLOOKUP(Tabla3[[#This Row],[Site]],'Important Info!'!$A$1:$J$135,10,FALSE)</f>
        <v>https://tools.sig.systems/site/details/144</v>
      </c>
      <c r="I820" s="43"/>
      <c r="J820" t="s">
        <v>41</v>
      </c>
      <c r="K820" s="79" t="str">
        <f>VLOOKUP(Tabla3[[#This Row],[Site]],'Important Info!'!$A$1:$H$135,8,FALSE)</f>
        <v>-</v>
      </c>
      <c r="L820" s="52" t="str">
        <f>VLOOKUP(Tabla3[[#This Row],[Site]],'Important Info!'!$A$1:$F$135,2,FALSE)</f>
        <v>4, A23, A49</v>
      </c>
      <c r="M820" s="52" t="str">
        <f>VLOOKUP(Tabla3[[#This Row],[Site]],'Important Info!'!$A$1:$F$135,3,FALSE)</f>
        <v>5, 24</v>
      </c>
      <c r="N820" s="52" t="str">
        <f>VLOOKUP(Tabla3[[#This Row],[Site]],'Important Info!'!$A$1:$F$135,4,FALSE)</f>
        <v>-</v>
      </c>
      <c r="O820" s="52" t="str">
        <f>VLOOKUP(Tabla3[[#This Row],[Site]],'Important Info!'!$A$1:$F$135,5,FALSE)</f>
        <v>1, 7, 11, 15, 19, 24, 25</v>
      </c>
      <c r="P820" s="52" t="str">
        <f>VLOOKUP(Tabla3[[#This Row],[Site]],'Important Info!'!$A$1:$F$135,6,FALSE)</f>
        <v>9, 20, 24, A49</v>
      </c>
      <c r="Q820" s="91">
        <f>VLOOKUP(Tabla3[[#This Row],[Site]],'Important Info!'!$A$1:$J$135,9,FALSE)</f>
        <v>144</v>
      </c>
    </row>
    <row r="821" spans="1:17" x14ac:dyDescent="0.25">
      <c r="A821" t="str">
        <f>+Tabla3[[#This Row],[Site]]&amp;Tabla3[[#This Row],[Split]]</f>
        <v>(KT) Northwest CDJR (NO TOURS)11</v>
      </c>
      <c r="B821">
        <v>11</v>
      </c>
      <c r="C821">
        <v>1</v>
      </c>
      <c r="D821" t="s">
        <v>33</v>
      </c>
      <c r="E821" t="s">
        <v>46</v>
      </c>
      <c r="F821" t="s">
        <v>77</v>
      </c>
      <c r="G821" t="s">
        <v>34</v>
      </c>
      <c r="H821" s="52" t="str">
        <f>VLOOKUP(Tabla3[[#This Row],[Site]],'Important Info!'!$A$1:$J$135,10,FALSE)</f>
        <v>https://tools.sig.systems/site/details/229</v>
      </c>
      <c r="I821" s="43"/>
      <c r="J821" t="s">
        <v>41</v>
      </c>
      <c r="K821" s="79" t="str">
        <f>VLOOKUP(Tabla3[[#This Row],[Site]],'Important Info!'!$A$1:$H$135,8,FALSE)</f>
        <v>-</v>
      </c>
      <c r="L821" s="52" t="str">
        <f>VLOOKUP(Tabla3[[#This Row],[Site]],'Important Info!'!$A$1:$F$135,2,FALSE)</f>
        <v>1, 3, 11, 25</v>
      </c>
      <c r="M821" s="52" t="str">
        <f>VLOOKUP(Tabla3[[#This Row],[Site]],'Important Info!'!$A$1:$F$135,3,FALSE)</f>
        <v>-</v>
      </c>
      <c r="N821" s="52" t="str">
        <f>VLOOKUP(Tabla3[[#This Row],[Site]],'Important Info!'!$A$1:$F$135,4,FALSE)</f>
        <v>-</v>
      </c>
      <c r="O821" s="52" t="str">
        <f>VLOOKUP(Tabla3[[#This Row],[Site]],'Important Info!'!$A$1:$F$135,5,FALSE)</f>
        <v>4, 12, 18</v>
      </c>
      <c r="P821" s="52" t="str">
        <f>VLOOKUP(Tabla3[[#This Row],[Site]],'Important Info!'!$A$1:$F$135,6,FALSE)</f>
        <v>-</v>
      </c>
      <c r="Q821" s="91">
        <f>VLOOKUP(Tabla3[[#This Row],[Site]],'Important Info!'!$A$1:$J$135,9,FALSE)</f>
        <v>229</v>
      </c>
    </row>
    <row r="822" spans="1:17" x14ac:dyDescent="0.25">
      <c r="A822" t="str">
        <f>+Tabla3[[#This Row],[Site]]&amp;Tabla3[[#This Row],[Split]]</f>
        <v>(PE) Hudson Toyota Nissan CDJR (NO TOURS)11</v>
      </c>
      <c r="B822">
        <v>11</v>
      </c>
      <c r="C822">
        <v>1</v>
      </c>
      <c r="D822" t="s">
        <v>485</v>
      </c>
      <c r="E822" t="s">
        <v>35</v>
      </c>
      <c r="F822" t="s">
        <v>82</v>
      </c>
      <c r="G822" t="s">
        <v>490</v>
      </c>
      <c r="H822" s="52" t="str">
        <f>VLOOKUP(Tabla3[[#This Row],[Site]],'Important Info!'!$A$1:$J$135,10,FALSE)</f>
        <v>https://tools.sig.systems/site/details/156</v>
      </c>
      <c r="J822" t="s">
        <v>41</v>
      </c>
      <c r="K822" s="79" t="str">
        <f>VLOOKUP(Tabla3[[#This Row],[Site]],'Important Info!'!$A$1:$H$135,8,FALSE)</f>
        <v>-</v>
      </c>
      <c r="L822" s="52">
        <f>VLOOKUP(Tabla3[[#This Row],[Site]],'Important Info!'!$A$1:$F$135,2,FALSE)</f>
        <v>5</v>
      </c>
      <c r="M822" s="52" t="str">
        <f>VLOOKUP(Tabla3[[#This Row],[Site]],'Important Info!'!$A$1:$F$135,3,FALSE)</f>
        <v>3, 7, 18</v>
      </c>
      <c r="N822" s="52" t="str">
        <f>VLOOKUP(Tabla3[[#This Row],[Site]],'Important Info!'!$A$1:$F$135,4,FALSE)</f>
        <v>-</v>
      </c>
      <c r="O822" s="52">
        <f>VLOOKUP(Tabla3[[#This Row],[Site]],'Important Info!'!$A$1:$F$135,5,FALSE)</f>
        <v>84</v>
      </c>
      <c r="P822" s="52" t="str">
        <f>VLOOKUP(Tabla3[[#This Row],[Site]],'Important Info!'!$A$1:$F$135,6,FALSE)</f>
        <v>1, 2, 3, 4, 5, 6, 7, 8</v>
      </c>
      <c r="Q822" s="91">
        <f>VLOOKUP(Tabla3[[#This Row],[Site]],'Important Info!'!$A$1:$J$135,9,FALSE)</f>
        <v>156</v>
      </c>
    </row>
    <row r="823" spans="1:17" x14ac:dyDescent="0.25">
      <c r="A823" t="str">
        <f>+Tabla3[[#This Row],[Site]]&amp;Tabla3[[#This Row],[Split]]</f>
        <v>(PE) Scofield Service Center (NO TOURS)11</v>
      </c>
      <c r="B823">
        <v>11</v>
      </c>
      <c r="C823">
        <v>1</v>
      </c>
      <c r="D823" t="s">
        <v>485</v>
      </c>
      <c r="E823" t="s">
        <v>35</v>
      </c>
      <c r="F823" t="s">
        <v>83</v>
      </c>
      <c r="G823" t="s">
        <v>490</v>
      </c>
      <c r="H823" s="52" t="str">
        <f>VLOOKUP(Tabla3[[#This Row],[Site]],'Important Info!'!$A$1:$J$135,10,FALSE)</f>
        <v>https://tools.sig.systems/site/details/193</v>
      </c>
      <c r="I823" t="s">
        <v>177</v>
      </c>
      <c r="J823" t="s">
        <v>41</v>
      </c>
      <c r="K823" s="79" t="str">
        <f>VLOOKUP(Tabla3[[#This Row],[Site]],'Important Info!'!$A$1:$H$135,8,FALSE)</f>
        <v>-</v>
      </c>
      <c r="L823" s="52">
        <f>VLOOKUP(Tabla3[[#This Row],[Site]],'Important Info!'!$A$1:$F$135,2,FALSE)</f>
        <v>1</v>
      </c>
      <c r="M823" s="52" t="str">
        <f>VLOOKUP(Tabla3[[#This Row],[Site]],'Important Info!'!$A$1:$F$135,3,FALSE)</f>
        <v>-</v>
      </c>
      <c r="N823" s="52" t="str">
        <f>VLOOKUP(Tabla3[[#This Row],[Site]],'Important Info!'!$A$1:$F$135,4,FALSE)</f>
        <v>-</v>
      </c>
      <c r="O823" s="52">
        <f>VLOOKUP(Tabla3[[#This Row],[Site]],'Important Info!'!$A$1:$F$135,5,FALSE)</f>
        <v>9</v>
      </c>
      <c r="P823" s="52" t="str">
        <f>VLOOKUP(Tabla3[[#This Row],[Site]],'Important Info!'!$A$1:$F$135,6,FALSE)</f>
        <v>1, 17</v>
      </c>
      <c r="Q823" s="91">
        <f>VLOOKUP(Tabla3[[#This Row],[Site]],'Important Info!'!$A$1:$J$135,9,FALSE)</f>
        <v>193</v>
      </c>
    </row>
    <row r="824" spans="1:17" x14ac:dyDescent="0.25">
      <c r="A824" t="str">
        <f>+Tabla3[[#This Row],[Site]]&amp;Tabla3[[#This Row],[Split]]</f>
        <v>(RV) Toms Camperland Avondale (NO TOURS)11</v>
      </c>
      <c r="B824">
        <v>11</v>
      </c>
      <c r="C824">
        <v>1</v>
      </c>
      <c r="D824" t="s">
        <v>51</v>
      </c>
      <c r="E824" t="s">
        <v>161</v>
      </c>
      <c r="F824" t="s">
        <v>80</v>
      </c>
      <c r="G824" t="s">
        <v>52</v>
      </c>
      <c r="H824" s="52" t="str">
        <f>VLOOKUP(Tabla3[[#This Row],[Site]],'Important Info!'!$A$1:$J$135,10,FALSE)</f>
        <v>https://tools.sig.systems/site/details/248</v>
      </c>
      <c r="I824" s="2" t="s">
        <v>163</v>
      </c>
      <c r="J824" t="s">
        <v>164</v>
      </c>
      <c r="K824" s="79" t="str">
        <f>VLOOKUP(Tabla3[[#This Row],[Site]],'Important Info!'!$A$1:$H$135,8,FALSE)</f>
        <v>-</v>
      </c>
      <c r="L824" s="52">
        <f>VLOOKUP(Tabla3[[#This Row],[Site]],'Important Info!'!$A$1:$F$135,2,FALSE)</f>
        <v>10</v>
      </c>
      <c r="M824" s="52" t="str">
        <f>VLOOKUP(Tabla3[[#This Row],[Site]],'Important Info!'!$A$1:$F$135,3,FALSE)</f>
        <v>2, 7</v>
      </c>
      <c r="N824" s="52" t="str">
        <f>VLOOKUP(Tabla3[[#This Row],[Site]],'Important Info!'!$A$1:$F$135,4,FALSE)</f>
        <v>-</v>
      </c>
      <c r="O824" s="52" t="str">
        <f>VLOOKUP(Tabla3[[#This Row],[Site]],'Important Info!'!$A$1:$F$135,5,FALSE)</f>
        <v>-</v>
      </c>
      <c r="P824" s="52" t="str">
        <f>VLOOKUP(Tabla3[[#This Row],[Site]],'Important Info!'!$A$1:$F$135,6,FALSE)</f>
        <v>2, 7, 8, 13, 15</v>
      </c>
      <c r="Q824" s="91">
        <f>VLOOKUP(Tabla3[[#This Row],[Site]],'Important Info!'!$A$1:$J$135,9,FALSE)</f>
        <v>248</v>
      </c>
    </row>
    <row r="825" spans="1:17" x14ac:dyDescent="0.25">
      <c r="A825" t="str">
        <f>+Tabla3[[#This Row],[Site]]&amp;Tabla3[[#This Row],[Split]]</f>
        <v>(AS) Park Place Acura (NO TOURS)11</v>
      </c>
      <c r="B825">
        <v>11</v>
      </c>
      <c r="C825">
        <v>2</v>
      </c>
      <c r="D825" t="s">
        <v>33</v>
      </c>
      <c r="E825" t="s">
        <v>46</v>
      </c>
      <c r="F825" t="s">
        <v>513</v>
      </c>
      <c r="G825" t="s">
        <v>34</v>
      </c>
      <c r="H825" s="52" t="str">
        <f>VLOOKUP(Tabla3[[#This Row],[Site]],'Important Info!'!$A$1:$J$135,10,FALSE)</f>
        <v>https://tools.sig.systems/site/details/259</v>
      </c>
      <c r="I825" s="63" t="s">
        <v>127</v>
      </c>
      <c r="J825" t="s">
        <v>41</v>
      </c>
      <c r="K825" s="79" t="str">
        <f>VLOOKUP(Tabla3[[#This Row],[Site]],'Important Info!'!$A$1:$H$135,8,FALSE)</f>
        <v>-</v>
      </c>
      <c r="L825" s="52" t="str">
        <f>VLOOKUP(Tabla3[[#This Row],[Site]],'Important Info!'!$A$1:$F$135,2,FALSE)</f>
        <v>1, 2, 14, 16</v>
      </c>
      <c r="M825" s="52" t="str">
        <f>VLOOKUP(Tabla3[[#This Row],[Site]],'Important Info!'!$A$1:$F$135,3,FALSE)</f>
        <v>-</v>
      </c>
      <c r="N825" s="52" t="str">
        <f>VLOOKUP(Tabla3[[#This Row],[Site]],'Important Info!'!$A$1:$F$135,4,FALSE)</f>
        <v>-</v>
      </c>
      <c r="O825" s="52" t="str">
        <f>VLOOKUP(Tabla3[[#This Row],[Site]],'Important Info!'!$A$1:$F$135,5,FALSE)</f>
        <v>1, 7, 13</v>
      </c>
      <c r="P825" s="52" t="str">
        <f>VLOOKUP(Tabla3[[#This Row],[Site]],'Important Info!'!$A$1:$F$135,6,FALSE)</f>
        <v>-</v>
      </c>
      <c r="Q825" s="91">
        <f>VLOOKUP(Tabla3[[#This Row],[Site]],'Important Info!'!$A$1:$J$135,9,FALSE)</f>
        <v>259</v>
      </c>
    </row>
    <row r="826" spans="1:17" x14ac:dyDescent="0.25">
      <c r="A826" t="str">
        <f>+Tabla3[[#This Row],[Site]]&amp;Tabla3[[#This Row],[Split]]</f>
        <v>(HUD) BMW of Greensboro11</v>
      </c>
      <c r="B826">
        <v>11</v>
      </c>
      <c r="C826">
        <v>2</v>
      </c>
      <c r="D826" t="s">
        <v>62</v>
      </c>
      <c r="E826" t="s">
        <v>35</v>
      </c>
      <c r="F826" t="s">
        <v>183</v>
      </c>
      <c r="G826" t="s">
        <v>490</v>
      </c>
      <c r="H826" s="52" t="str">
        <f>VLOOKUP(Tabla3[[#This Row],[Site]],'Important Info!'!$A$1:$J$135,10,FALSE)</f>
        <v>https://tools.sig.systems/site/details/219</v>
      </c>
      <c r="I826" s="2" t="s">
        <v>184</v>
      </c>
      <c r="J826" t="s">
        <v>41</v>
      </c>
      <c r="K826" s="79" t="str">
        <f>VLOOKUP(Tabla3[[#This Row],[Site]],'Important Info!'!$A$1:$H$135,8,FALSE)</f>
        <v>-</v>
      </c>
      <c r="L826" s="52" t="str">
        <f>VLOOKUP(Tabla3[[#This Row],[Site]],'Important Info!'!$A$1:$F$135,2,FALSE)</f>
        <v>2, 20, 21</v>
      </c>
      <c r="M826" s="52" t="str">
        <f>VLOOKUP(Tabla3[[#This Row],[Site]],'Important Info!'!$A$1:$F$135,3,FALSE)</f>
        <v>-</v>
      </c>
      <c r="N826" s="52" t="str">
        <f>VLOOKUP(Tabla3[[#This Row],[Site]],'Important Info!'!$A$1:$F$135,4,FALSE)</f>
        <v>-</v>
      </c>
      <c r="O826" s="52" t="str">
        <f>VLOOKUP(Tabla3[[#This Row],[Site]],'Important Info!'!$A$1:$F$135,5,FALSE)</f>
        <v>12, 17</v>
      </c>
      <c r="P826" s="52" t="str">
        <f>VLOOKUP(Tabla3[[#This Row],[Site]],'Important Info!'!$A$1:$F$135,6,FALSE)</f>
        <v>1, 2, 6, 20</v>
      </c>
      <c r="Q826" s="91">
        <f>VLOOKUP(Tabla3[[#This Row],[Site]],'Important Info!'!$A$1:$J$135,9,FALSE)</f>
        <v>219</v>
      </c>
    </row>
    <row r="827" spans="1:17" x14ac:dyDescent="0.25">
      <c r="A827" t="str">
        <f>+Tabla3[[#This Row],[Site]]&amp;Tabla3[[#This Row],[Split]]</f>
        <v>(HUD) Honda of Southpoint11</v>
      </c>
      <c r="B827">
        <v>11</v>
      </c>
      <c r="C827">
        <v>2</v>
      </c>
      <c r="D827" t="s">
        <v>62</v>
      </c>
      <c r="E827" t="s">
        <v>35</v>
      </c>
      <c r="F827" t="s">
        <v>65</v>
      </c>
      <c r="G827" t="s">
        <v>490</v>
      </c>
      <c r="H827" s="52" t="str">
        <f>VLOOKUP(Tabla3[[#This Row],[Site]],'Important Info!'!$A$1:$J$135,10,FALSE)</f>
        <v>https://tools.sig.systems/site/details/195</v>
      </c>
      <c r="I827" s="2"/>
      <c r="J827" t="s">
        <v>484</v>
      </c>
      <c r="K827" s="79" t="str">
        <f>VLOOKUP(Tabla3[[#This Row],[Site]],'Important Info!'!$A$1:$H$135,8,FALSE)</f>
        <v>-</v>
      </c>
      <c r="L827" s="52" t="str">
        <f>VLOOKUP(Tabla3[[#This Row],[Site]],'Important Info!'!$A$1:$F$135,2,FALSE)</f>
        <v>2, 12, 18</v>
      </c>
      <c r="M827" s="52">
        <f>VLOOKUP(Tabla3[[#This Row],[Site]],'Important Info!'!$A$1:$F$135,3,FALSE)</f>
        <v>13</v>
      </c>
      <c r="N827" s="52" t="str">
        <f>VLOOKUP(Tabla3[[#This Row],[Site]],'Important Info!'!$A$1:$F$135,4,FALSE)</f>
        <v>-</v>
      </c>
      <c r="O827" s="52" t="str">
        <f>VLOOKUP(Tabla3[[#This Row],[Site]],'Important Info!'!$A$1:$F$135,5,FALSE)</f>
        <v>2, 15</v>
      </c>
      <c r="P827" s="52" t="str">
        <f>VLOOKUP(Tabla3[[#This Row],[Site]],'Important Info!'!$A$1:$F$135,6,FALSE)</f>
        <v>-</v>
      </c>
      <c r="Q827" s="91">
        <f>VLOOKUP(Tabla3[[#This Row],[Site]],'Important Info!'!$A$1:$J$135,9,FALSE)</f>
        <v>195</v>
      </c>
    </row>
    <row r="828" spans="1:17" x14ac:dyDescent="0.25">
      <c r="A828" t="str">
        <f>+Tabla3[[#This Row],[Site]]&amp;Tabla3[[#This Row],[Split]]</f>
        <v>(JE) Jim Ellis Ford Sandy Springs11</v>
      </c>
      <c r="B828">
        <v>11</v>
      </c>
      <c r="C828">
        <v>2</v>
      </c>
      <c r="D828" t="s">
        <v>62</v>
      </c>
      <c r="E828" t="s">
        <v>35</v>
      </c>
      <c r="F828" t="s">
        <v>187</v>
      </c>
      <c r="G828" t="s">
        <v>490</v>
      </c>
      <c r="H828" s="52" t="str">
        <f>VLOOKUP(Tabla3[[#This Row],[Site]],'Important Info!'!$A$1:$J$135,10,FALSE)</f>
        <v>https://tools.sig.systems/site/details/142</v>
      </c>
      <c r="I828" s="2"/>
      <c r="J828" t="s">
        <v>41</v>
      </c>
      <c r="K828" s="79" t="str">
        <f>VLOOKUP(Tabla3[[#This Row],[Site]],'Important Info!'!$A$1:$H$135,8,FALSE)</f>
        <v>-</v>
      </c>
      <c r="L828" s="52" t="str">
        <f>VLOOKUP(Tabla3[[#This Row],[Site]],'Important Info!'!$A$1:$F$135,2,FALSE)</f>
        <v>1, 5</v>
      </c>
      <c r="M828" s="52" t="str">
        <f>VLOOKUP(Tabla3[[#This Row],[Site]],'Important Info!'!$A$1:$F$135,3,FALSE)</f>
        <v>-</v>
      </c>
      <c r="N828" s="52" t="str">
        <f>VLOOKUP(Tabla3[[#This Row],[Site]],'Important Info!'!$A$1:$F$135,4,FALSE)</f>
        <v>-</v>
      </c>
      <c r="O828" s="52" t="str">
        <f>VLOOKUP(Tabla3[[#This Row],[Site]],'Important Info!'!$A$1:$F$135,5,FALSE)</f>
        <v>1, 5, 9, 26</v>
      </c>
      <c r="P828" s="52" t="str">
        <f>VLOOKUP(Tabla3[[#This Row],[Site]],'Important Info!'!$A$1:$F$135,6,FALSE)</f>
        <v>3, 4, 8, 28</v>
      </c>
      <c r="Q828" s="91">
        <f>VLOOKUP(Tabla3[[#This Row],[Site]],'Important Info!'!$A$1:$J$135,9,FALSE)</f>
        <v>142</v>
      </c>
    </row>
    <row r="829" spans="1:17" x14ac:dyDescent="0.25">
      <c r="A829" t="str">
        <f>+Tabla3[[#This Row],[Site]]&amp;Tabla3[[#This Row],[Split]]</f>
        <v>(KG) Texan CDJR11</v>
      </c>
      <c r="B829">
        <v>11</v>
      </c>
      <c r="C829">
        <v>2</v>
      </c>
      <c r="D829" t="s">
        <v>33</v>
      </c>
      <c r="E829" t="s">
        <v>46</v>
      </c>
      <c r="F829" t="s">
        <v>70</v>
      </c>
      <c r="G829" t="s">
        <v>34</v>
      </c>
      <c r="H829" s="52" t="str">
        <f>VLOOKUP(Tabla3[[#This Row],[Site]],'Important Info!'!$A$1:$J$135,10,FALSE)</f>
        <v>https://tools.sig.systems/site/details/238</v>
      </c>
      <c r="I829" s="2" t="s">
        <v>137</v>
      </c>
      <c r="J829" t="s">
        <v>41</v>
      </c>
      <c r="K829" s="79" t="str">
        <f>VLOOKUP(Tabla3[[#This Row],[Site]],'Important Info!'!$A$1:$H$135,8,FALSE)</f>
        <v>-</v>
      </c>
      <c r="L829" s="52" t="str">
        <f>VLOOKUP(Tabla3[[#This Row],[Site]],'Important Info!'!$A$1:$F$135,2,FALSE)</f>
        <v>11, 12, 13, 14, 20, 32, 34, 36, 77</v>
      </c>
      <c r="M829" s="52" t="str">
        <f>VLOOKUP(Tabla3[[#This Row],[Site]],'Important Info!'!$A$1:$F$135,3,FALSE)</f>
        <v>-</v>
      </c>
      <c r="N829" s="52" t="str">
        <f>VLOOKUP(Tabla3[[#This Row],[Site]],'Important Info!'!$A$1:$F$135,4,FALSE)</f>
        <v>67, 68, 69, 70</v>
      </c>
      <c r="O829" s="52" t="str">
        <f>VLOOKUP(Tabla3[[#This Row],[Site]],'Important Info!'!$A$1:$F$135,5,FALSE)</f>
        <v>2, 10, 14, 25, 29, 35, 38</v>
      </c>
      <c r="P829" s="52" t="str">
        <f>VLOOKUP(Tabla3[[#This Row],[Site]],'Important Info!'!$A$1:$F$135,6,FALSE)</f>
        <v>36, 46</v>
      </c>
      <c r="Q829" s="91">
        <f>VLOOKUP(Tabla3[[#This Row],[Site]],'Important Info!'!$A$1:$J$135,9,FALSE)</f>
        <v>238</v>
      </c>
    </row>
    <row r="830" spans="1:17" x14ac:dyDescent="0.25">
      <c r="A830" t="str">
        <f>+Tabla3[[#This Row],[Site]]&amp;Tabla3[[#This Row],[Split]]</f>
        <v>(ML) Columbia Honda (NO TOURS)11</v>
      </c>
      <c r="B830">
        <v>11</v>
      </c>
      <c r="C830">
        <v>2</v>
      </c>
      <c r="D830" t="s">
        <v>33</v>
      </c>
      <c r="E830" t="s">
        <v>46</v>
      </c>
      <c r="F830" t="s">
        <v>143</v>
      </c>
      <c r="G830" t="s">
        <v>34</v>
      </c>
      <c r="H830" s="52" t="str">
        <f>VLOOKUP(Tabla3[[#This Row],[Site]],'Important Info!'!$A$1:$J$135,10,FALSE)</f>
        <v>https://tools.sig.systems/site/details/272</v>
      </c>
      <c r="I830" s="43" t="s">
        <v>144</v>
      </c>
      <c r="J830" t="s">
        <v>41</v>
      </c>
      <c r="K830" s="79" t="str">
        <f>VLOOKUP(Tabla3[[#This Row],[Site]],'Important Info!'!$A$1:$H$135,8,FALSE)</f>
        <v>-</v>
      </c>
      <c r="L830" s="52" t="str">
        <f>VLOOKUP(Tabla3[[#This Row],[Site]],'Important Info!'!$A$1:$F$135,2,FALSE)</f>
        <v>-</v>
      </c>
      <c r="M830" s="52" t="str">
        <f>VLOOKUP(Tabla3[[#This Row],[Site]],'Important Info!'!$A$1:$F$135,3,FALSE)</f>
        <v>9, 19, 20</v>
      </c>
      <c r="N830" s="52" t="str">
        <f>VLOOKUP(Tabla3[[#This Row],[Site]],'Important Info!'!$A$1:$F$135,4,FALSE)</f>
        <v>-</v>
      </c>
      <c r="O830" s="52" t="str">
        <f>VLOOKUP(Tabla3[[#This Row],[Site]],'Important Info!'!$A$1:$F$135,5,FALSE)</f>
        <v>10, 17, 19</v>
      </c>
      <c r="P830" s="52" t="str">
        <f>VLOOKUP(Tabla3[[#This Row],[Site]],'Important Info!'!$A$1:$F$135,6,FALSE)</f>
        <v>3, 4, 5</v>
      </c>
      <c r="Q830" s="91">
        <f>VLOOKUP(Tabla3[[#This Row],[Site]],'Important Info!'!$A$1:$J$135,9,FALSE)</f>
        <v>272</v>
      </c>
    </row>
    <row r="831" spans="1:17" x14ac:dyDescent="0.25">
      <c r="A831" t="str">
        <f>+Tabla3[[#This Row],[Site]]&amp;Tabla3[[#This Row],[Split]]</f>
        <v>(ML) McLarty Gray-Daniels Toyota Nissan11</v>
      </c>
      <c r="B831">
        <v>11</v>
      </c>
      <c r="C831">
        <v>2</v>
      </c>
      <c r="D831" t="s">
        <v>33</v>
      </c>
      <c r="E831" t="s">
        <v>46</v>
      </c>
      <c r="F831" t="s">
        <v>90</v>
      </c>
      <c r="G831" t="s">
        <v>34</v>
      </c>
      <c r="H831" s="52" t="str">
        <f>VLOOKUP(Tabla3[[#This Row],[Site]],'Important Info!'!$A$1:$J$135,10,FALSE)</f>
        <v>https://tools.sig.systems/site/details/152</v>
      </c>
      <c r="I831" s="43" t="s">
        <v>150</v>
      </c>
      <c r="J831" t="s">
        <v>41</v>
      </c>
      <c r="K831" s="79" t="str">
        <f>VLOOKUP(Tabla3[[#This Row],[Site]],'Important Info!'!$A$1:$H$135,8,FALSE)</f>
        <v>-</v>
      </c>
      <c r="L831" s="52" t="str">
        <f>VLOOKUP(Tabla3[[#This Row],[Site]],'Important Info!'!$A$1:$F$135,2,FALSE)</f>
        <v>-</v>
      </c>
      <c r="M831" s="52" t="str">
        <f>VLOOKUP(Tabla3[[#This Row],[Site]],'Important Info!'!$A$1:$F$135,3,FALSE)</f>
        <v>8, 11, 39, 43</v>
      </c>
      <c r="N831" s="52" t="str">
        <f>VLOOKUP(Tabla3[[#This Row],[Site]],'Important Info!'!$A$1:$F$135,4,FALSE)</f>
        <v>-</v>
      </c>
      <c r="O831" s="52" t="str">
        <f>VLOOKUP(Tabla3[[#This Row],[Site]],'Important Info!'!$A$1:$F$135,5,FALSE)</f>
        <v>6, 11, 15, 18</v>
      </c>
      <c r="P831" s="52" t="str">
        <f>VLOOKUP(Tabla3[[#This Row],[Site]],'Important Info!'!$A$1:$F$135,6,FALSE)</f>
        <v>7, 8, 9</v>
      </c>
      <c r="Q831" s="91">
        <f>VLOOKUP(Tabla3[[#This Row],[Site]],'Important Info!'!$A$1:$J$135,9,FALSE)</f>
        <v>152</v>
      </c>
    </row>
    <row r="832" spans="1:17" x14ac:dyDescent="0.25">
      <c r="A832" t="str">
        <f>+Tabla3[[#This Row],[Site]]&amp;Tabla3[[#This Row],[Split]]</f>
        <v>(ML) McLarty-Gray Daniels Chevrolet11</v>
      </c>
      <c r="B832">
        <v>11</v>
      </c>
      <c r="C832">
        <v>2</v>
      </c>
      <c r="D832" t="s">
        <v>33</v>
      </c>
      <c r="E832" t="s">
        <v>46</v>
      </c>
      <c r="F832" t="s">
        <v>151</v>
      </c>
      <c r="G832" t="s">
        <v>34</v>
      </c>
      <c r="H832" s="52" t="str">
        <f>VLOOKUP(Tabla3[[#This Row],[Site]],'Important Info!'!$A$1:$J$135,10,FALSE)</f>
        <v>https://tools.sig.systems/site/details/150</v>
      </c>
      <c r="I832" s="2"/>
      <c r="J832" t="s">
        <v>41</v>
      </c>
      <c r="K832" s="79" t="str">
        <f>VLOOKUP(Tabla3[[#This Row],[Site]],'Important Info!'!$A$1:$H$135,8,FALSE)</f>
        <v>-</v>
      </c>
      <c r="L832" s="52" t="str">
        <f>VLOOKUP(Tabla3[[#This Row],[Site]],'Important Info!'!$A$1:$F$135,2,FALSE)</f>
        <v>3, 4, 5, 22, 24, 26, 28, 36</v>
      </c>
      <c r="M832" s="52" t="str">
        <f>VLOOKUP(Tabla3[[#This Row],[Site]],'Important Info!'!$A$1:$F$135,3,FALSE)</f>
        <v>-</v>
      </c>
      <c r="N832" s="52" t="str">
        <f>VLOOKUP(Tabla3[[#This Row],[Site]],'Important Info!'!$A$1:$F$135,4,FALSE)</f>
        <v>-</v>
      </c>
      <c r="O832" s="52" t="str">
        <f>VLOOKUP(Tabla3[[#This Row],[Site]],'Important Info!'!$A$1:$F$135,5,FALSE)</f>
        <v>4, 7, 12, 26</v>
      </c>
      <c r="P832" s="52" t="str">
        <f>VLOOKUP(Tabla3[[#This Row],[Site]],'Important Info!'!$A$1:$F$135,6,FALSE)</f>
        <v>1, 3, 5, 6, 23, 24</v>
      </c>
      <c r="Q832" s="91">
        <f>VLOOKUP(Tabla3[[#This Row],[Site]],'Important Info!'!$A$1:$J$135,9,FALSE)</f>
        <v>150</v>
      </c>
    </row>
    <row r="833" spans="1:17" x14ac:dyDescent="0.25">
      <c r="A833" t="str">
        <f>+Tabla3[[#This Row],[Site]]&amp;Tabla3[[#This Row],[Split]]</f>
        <v>(RV) Toms Camperland Mesa (NO TOURS)11</v>
      </c>
      <c r="B833">
        <v>11</v>
      </c>
      <c r="C833">
        <v>2</v>
      </c>
      <c r="D833" t="s">
        <v>51</v>
      </c>
      <c r="E833" t="s">
        <v>161</v>
      </c>
      <c r="F833" t="s">
        <v>81</v>
      </c>
      <c r="G833" t="s">
        <v>52</v>
      </c>
      <c r="H833" s="52" t="str">
        <f>VLOOKUP(Tabla3[[#This Row],[Site]],'Important Info!'!$A$1:$J$135,10,FALSE)</f>
        <v>https://tools.sig.systems/site/details/222</v>
      </c>
      <c r="J833" t="s">
        <v>41</v>
      </c>
      <c r="K833" s="79" t="str">
        <f>VLOOKUP(Tabla3[[#This Row],[Site]],'Important Info!'!$A$1:$H$135,8,FALSE)</f>
        <v>-</v>
      </c>
      <c r="L833" s="52" t="str">
        <f>VLOOKUP(Tabla3[[#This Row],[Site]],'Important Info!'!$A$1:$F$135,2,FALSE)</f>
        <v>1, 2</v>
      </c>
      <c r="M833" s="52" t="str">
        <f>VLOOKUP(Tabla3[[#This Row],[Site]],'Important Info!'!$A$1:$F$135,3,FALSE)</f>
        <v>-</v>
      </c>
      <c r="N833" s="52" t="str">
        <f>VLOOKUP(Tabla3[[#This Row],[Site]],'Important Info!'!$A$1:$F$135,4,FALSE)</f>
        <v>-</v>
      </c>
      <c r="O833" s="52" t="str">
        <f>VLOOKUP(Tabla3[[#This Row],[Site]],'Important Info!'!$A$1:$F$135,5,FALSE)</f>
        <v>-</v>
      </c>
      <c r="P833" s="52" t="str">
        <f>VLOOKUP(Tabla3[[#This Row],[Site]],'Important Info!'!$A$1:$F$135,6,FALSE)</f>
        <v>1, 4, 6, 8, 10, 18</v>
      </c>
      <c r="Q833" s="91">
        <f>VLOOKUP(Tabla3[[#This Row],[Site]],'Important Info!'!$A$1:$J$135,9,FALSE)</f>
        <v>222</v>
      </c>
    </row>
    <row r="834" spans="1:17" x14ac:dyDescent="0.25">
      <c r="A834" t="str">
        <f>+Tabla3[[#This Row],[Site]]&amp;Tabla3[[#This Row],[Split]]</f>
        <v>(AS) Bill Estes Ford (NO TOURS)11</v>
      </c>
      <c r="B834">
        <v>11</v>
      </c>
      <c r="C834">
        <v>3</v>
      </c>
      <c r="D834" t="s">
        <v>62</v>
      </c>
      <c r="E834" t="s">
        <v>35</v>
      </c>
      <c r="F834" t="s">
        <v>178</v>
      </c>
      <c r="G834" t="s">
        <v>490</v>
      </c>
      <c r="H834" s="52" t="str">
        <f>VLOOKUP(Tabla3[[#This Row],[Site]],'Important Info!'!$A$1:$J$135,10,FALSE)</f>
        <v>https://tools.sig.systems/site/details/125</v>
      </c>
      <c r="J834" t="s">
        <v>41</v>
      </c>
      <c r="K834" s="79" t="str">
        <f>VLOOKUP(Tabla3[[#This Row],[Site]],'Important Info!'!$A$1:$H$135,8,FALSE)</f>
        <v>-</v>
      </c>
      <c r="L834" s="52" t="str">
        <f>VLOOKUP(Tabla3[[#This Row],[Site]],'Important Info!'!$A$1:$F$135,2,FALSE)</f>
        <v>-</v>
      </c>
      <c r="M834" s="52" t="str">
        <f>VLOOKUP(Tabla3[[#This Row],[Site]],'Important Info!'!$A$1:$F$135,3,FALSE)</f>
        <v>2, 3, 13, 16</v>
      </c>
      <c r="N834" s="52" t="str">
        <f>VLOOKUP(Tabla3[[#This Row],[Site]],'Important Info!'!$A$1:$F$135,4,FALSE)</f>
        <v>-</v>
      </c>
      <c r="O834" s="52" t="str">
        <f>VLOOKUP(Tabla3[[#This Row],[Site]],'Important Info!'!$A$1:$F$135,5,FALSE)</f>
        <v>1, 10, 14, 19</v>
      </c>
      <c r="P834" s="52" t="str">
        <f>VLOOKUP(Tabla3[[#This Row],[Site]],'Important Info!'!$A$1:$F$135,6,FALSE)</f>
        <v>7, 8, 9, 10, 11, 12, 14</v>
      </c>
      <c r="Q834" s="91">
        <f>VLOOKUP(Tabla3[[#This Row],[Site]],'Important Info!'!$A$1:$J$135,9,FALSE)</f>
        <v>125</v>
      </c>
    </row>
    <row r="835" spans="1:17" x14ac:dyDescent="0.25">
      <c r="A835" t="str">
        <f>+Tabla3[[#This Row],[Site]]&amp;Tabla3[[#This Row],[Split]]</f>
        <v>(AS) Lexus Grapevine I &amp; II (NO TOURS)11</v>
      </c>
      <c r="B835">
        <v>11</v>
      </c>
      <c r="C835">
        <v>3</v>
      </c>
      <c r="D835" t="s">
        <v>33</v>
      </c>
      <c r="E835" t="s">
        <v>46</v>
      </c>
      <c r="F835" s="41" t="s">
        <v>508</v>
      </c>
      <c r="G835" t="s">
        <v>34</v>
      </c>
      <c r="H835" s="52" t="str">
        <f>VLOOKUP(Tabla3[[#This Row],[Site]],'Important Info!'!$A$1:$J$135,10,FALSE)</f>
        <v>https://tools.sig.systems/site/details/136</v>
      </c>
      <c r="J835" t="s">
        <v>41</v>
      </c>
      <c r="K835" s="79" t="str">
        <f>VLOOKUP(Tabla3[[#This Row],[Site]],'Important Info!'!$A$1:$H$135,8,FALSE)</f>
        <v>-</v>
      </c>
      <c r="L835" s="52" t="str">
        <f>VLOOKUP(Tabla3[[#This Row],[Site]],'Important Info!'!$A$1:$F$135,2,FALSE)</f>
        <v>4, 10, 14, 18, 33</v>
      </c>
      <c r="M835" s="52" t="str">
        <f>VLOOKUP(Tabla3[[#This Row],[Site]],'Important Info!'!$A$1:$F$135,3,FALSE)</f>
        <v>-</v>
      </c>
      <c r="N835" s="52" t="str">
        <f>VLOOKUP(Tabla3[[#This Row],[Site]],'Important Info!'!$A$1:$F$135,4,FALSE)</f>
        <v>81, 82, 83</v>
      </c>
      <c r="O835" s="52" t="str">
        <f>VLOOKUP(Tabla3[[#This Row],[Site]],'Important Info!'!$A$1:$F$135,5,FALSE)</f>
        <v>4, 12, 15, 20, 30</v>
      </c>
      <c r="P835" s="52">
        <f>VLOOKUP(Tabla3[[#This Row],[Site]],'Important Info!'!$A$1:$F$135,6,FALSE)</f>
        <v>10</v>
      </c>
      <c r="Q835" s="91">
        <f>VLOOKUP(Tabla3[[#This Row],[Site]],'Important Info!'!$A$1:$J$135,9,FALSE)</f>
        <v>136</v>
      </c>
    </row>
    <row r="836" spans="1:17" x14ac:dyDescent="0.25">
      <c r="A836" t="str">
        <f>+Tabla3[[#This Row],[Site]]&amp;Tabla3[[#This Row],[Split]]</f>
        <v>(AS) Park Place Mercedes Benz Arlington (NO TOURS)11</v>
      </c>
      <c r="B836">
        <v>11</v>
      </c>
      <c r="C836">
        <v>3</v>
      </c>
      <c r="D836" t="s">
        <v>33</v>
      </c>
      <c r="E836" t="s">
        <v>46</v>
      </c>
      <c r="F836" t="s">
        <v>518</v>
      </c>
      <c r="G836" t="s">
        <v>34</v>
      </c>
      <c r="H836" s="52" t="str">
        <f>VLOOKUP(Tabla3[[#This Row],[Site]],'Important Info!'!$A$1:$J$135,10,FALSE)</f>
        <v>https://tools.sig.systems/site/details/169</v>
      </c>
      <c r="I836" s="64"/>
      <c r="J836" t="s">
        <v>41</v>
      </c>
      <c r="K836" s="79" t="str">
        <f>VLOOKUP(Tabla3[[#This Row],[Site]],'Important Info!'!$A$1:$H$135,8,FALSE)</f>
        <v>-</v>
      </c>
      <c r="L836" s="52" t="str">
        <f>VLOOKUP(Tabla3[[#This Row],[Site]],'Important Info!'!$A$1:$F$135,2,FALSE)</f>
        <v>1, 9, 14</v>
      </c>
      <c r="M836" s="52" t="str">
        <f>VLOOKUP(Tabla3[[#This Row],[Site]],'Important Info!'!$A$1:$F$135,3,FALSE)</f>
        <v>-</v>
      </c>
      <c r="N836" s="52" t="str">
        <f>VLOOKUP(Tabla3[[#This Row],[Site]],'Important Info!'!$A$1:$F$135,4,FALSE)</f>
        <v>77, 78, 79, 80</v>
      </c>
      <c r="O836" s="52" t="str">
        <f>VLOOKUP(Tabla3[[#This Row],[Site]],'Important Info!'!$A$1:$F$135,5,FALSE)</f>
        <v>2, 10, 18, 22, 31, 40</v>
      </c>
      <c r="P836" s="52">
        <f>VLOOKUP(Tabla3[[#This Row],[Site]],'Important Info!'!$A$1:$F$135,6,FALSE)</f>
        <v>9</v>
      </c>
      <c r="Q836" s="91">
        <f>VLOOKUP(Tabla3[[#This Row],[Site]],'Important Info!'!$A$1:$J$135,9,FALSE)</f>
        <v>169</v>
      </c>
    </row>
    <row r="837" spans="1:17" x14ac:dyDescent="0.25">
      <c r="A837" t="str">
        <f>+Tabla3[[#This Row],[Site]]&amp;Tabla3[[#This Row],[Split]]</f>
        <v>(HUD) Nissan Greensboro11</v>
      </c>
      <c r="B837">
        <v>11</v>
      </c>
      <c r="C837">
        <v>3</v>
      </c>
      <c r="D837" t="s">
        <v>62</v>
      </c>
      <c r="E837" t="s">
        <v>35</v>
      </c>
      <c r="F837" t="s">
        <v>66</v>
      </c>
      <c r="G837" t="s">
        <v>490</v>
      </c>
      <c r="H837" s="52" t="str">
        <f>VLOOKUP(Tabla3[[#This Row],[Site]],'Important Info!'!$A$1:$J$135,10,FALSE)</f>
        <v>https://tools.sig.systems/site/details/236</v>
      </c>
      <c r="I837" s="43" t="s">
        <v>184</v>
      </c>
      <c r="J837" t="s">
        <v>41</v>
      </c>
      <c r="K837" s="79" t="str">
        <f>VLOOKUP(Tabla3[[#This Row],[Site]],'Important Info!'!$A$1:$H$135,8,FALSE)</f>
        <v>-</v>
      </c>
      <c r="L837" s="52" t="str">
        <f>VLOOKUP(Tabla3[[#This Row],[Site]],'Important Info!'!$A$1:$F$135,2,FALSE)</f>
        <v>1, 5, 12</v>
      </c>
      <c r="M837" s="52" t="str">
        <f>VLOOKUP(Tabla3[[#This Row],[Site]],'Important Info!'!$A$1:$F$135,3,FALSE)</f>
        <v>-</v>
      </c>
      <c r="N837" s="52" t="str">
        <f>VLOOKUP(Tabla3[[#This Row],[Site]],'Important Info!'!$A$1:$F$135,4,FALSE)</f>
        <v>-</v>
      </c>
      <c r="O837" s="52" t="str">
        <f>VLOOKUP(Tabla3[[#This Row],[Site]],'Important Info!'!$A$1:$F$135,5,FALSE)</f>
        <v>-</v>
      </c>
      <c r="P837" s="52">
        <f>VLOOKUP(Tabla3[[#This Row],[Site]],'Important Info!'!$A$1:$F$135,6,FALSE)</f>
        <v>4</v>
      </c>
      <c r="Q837" s="91">
        <f>VLOOKUP(Tabla3[[#This Row],[Site]],'Important Info!'!$A$1:$J$135,9,FALSE)</f>
        <v>236</v>
      </c>
    </row>
    <row r="838" spans="1:17" x14ac:dyDescent="0.25">
      <c r="A838" t="str">
        <f>+Tabla3[[#This Row],[Site]]&amp;Tabla3[[#This Row],[Split]]</f>
        <v>(KG) Big Star Ford11</v>
      </c>
      <c r="B838">
        <v>11</v>
      </c>
      <c r="C838">
        <v>3</v>
      </c>
      <c r="D838" t="s">
        <v>33</v>
      </c>
      <c r="E838" t="s">
        <v>46</v>
      </c>
      <c r="F838" t="s">
        <v>135</v>
      </c>
      <c r="G838" t="s">
        <v>34</v>
      </c>
      <c r="H838" s="52" t="str">
        <f>VLOOKUP(Tabla3[[#This Row],[Site]],'Important Info!'!$A$1:$J$135,10,FALSE)</f>
        <v>https://tools.sig.systems/site/details/235</v>
      </c>
      <c r="I838" s="2"/>
      <c r="J838" t="s">
        <v>41</v>
      </c>
      <c r="K838" s="79" t="str">
        <f>VLOOKUP(Tabla3[[#This Row],[Site]],'Important Info!'!$A$1:$H$135,8,FALSE)</f>
        <v>-</v>
      </c>
      <c r="L838" s="52" t="str">
        <f>VLOOKUP(Tabla3[[#This Row],[Site]],'Important Info!'!$A$1:$F$135,2,FALSE)</f>
        <v>4, 22, 32, 33</v>
      </c>
      <c r="M838" s="52" t="str">
        <f>VLOOKUP(Tabla3[[#This Row],[Site]],'Important Info!'!$A$1:$F$135,3,FALSE)</f>
        <v>-</v>
      </c>
      <c r="N838" s="52" t="str">
        <f>VLOOKUP(Tabla3[[#This Row],[Site]],'Important Info!'!$A$1:$F$135,4,FALSE)</f>
        <v>-</v>
      </c>
      <c r="O838" s="52" t="str">
        <f>VLOOKUP(Tabla3[[#This Row],[Site]],'Important Info!'!$A$1:$F$135,5,FALSE)</f>
        <v>1, 5, 12, 21</v>
      </c>
      <c r="P838" s="52">
        <f>VLOOKUP(Tabla3[[#This Row],[Site]],'Important Info!'!$A$1:$F$135,6,FALSE)</f>
        <v>22</v>
      </c>
      <c r="Q838" s="91">
        <f>VLOOKUP(Tabla3[[#This Row],[Site]],'Important Info!'!$A$1:$J$135,9,FALSE)</f>
        <v>235</v>
      </c>
    </row>
    <row r="839" spans="1:17" x14ac:dyDescent="0.25">
      <c r="A839" t="str">
        <f>+Tabla3[[#This Row],[Site]]&amp;Tabla3[[#This Row],[Split]]</f>
        <v>(KG) Hyundai Surprise11</v>
      </c>
      <c r="B839">
        <v>11</v>
      </c>
      <c r="C839">
        <v>3</v>
      </c>
      <c r="D839" t="s">
        <v>51</v>
      </c>
      <c r="E839" t="s">
        <v>161</v>
      </c>
      <c r="F839" t="s">
        <v>118</v>
      </c>
      <c r="G839" t="s">
        <v>52</v>
      </c>
      <c r="H839" s="52" t="str">
        <f>VLOOKUP(Tabla3[[#This Row],[Site]],'Important Info!'!$A$1:$J$135,10,FALSE)</f>
        <v>https://tools.sig.systems/site/details/269</v>
      </c>
      <c r="I839" s="43"/>
      <c r="J839" t="s">
        <v>162</v>
      </c>
      <c r="K839" s="79" t="str">
        <f>VLOOKUP(Tabla3[[#This Row],[Site]],'Important Info!'!$A$1:$H$135,8,FALSE)</f>
        <v>-</v>
      </c>
      <c r="L839" s="52" t="str">
        <f>VLOOKUP(Tabla3[[#This Row],[Site]],'Important Info!'!$A$1:$F$135,2,FALSE)</f>
        <v>1, 6, 7</v>
      </c>
      <c r="M839" s="52" t="str">
        <f>VLOOKUP(Tabla3[[#This Row],[Site]],'Important Info!'!$A$1:$F$135,3,FALSE)</f>
        <v>-</v>
      </c>
      <c r="N839" s="52" t="str">
        <f>VLOOKUP(Tabla3[[#This Row],[Site]],'Important Info!'!$A$1:$F$135,4,FALSE)</f>
        <v>-</v>
      </c>
      <c r="O839" s="52" t="str">
        <f>VLOOKUP(Tabla3[[#This Row],[Site]],'Important Info!'!$A$1:$F$135,5,FALSE)</f>
        <v>6, 13</v>
      </c>
      <c r="P839" s="52" t="str">
        <f>VLOOKUP(Tabla3[[#This Row],[Site]],'Important Info!'!$A$1:$F$135,6,FALSE)</f>
        <v>-</v>
      </c>
      <c r="Q839" s="91">
        <f>VLOOKUP(Tabla3[[#This Row],[Site]],'Important Info!'!$A$1:$J$135,9,FALSE)</f>
        <v>269</v>
      </c>
    </row>
    <row r="840" spans="1:17" x14ac:dyDescent="0.25">
      <c r="A840" t="str">
        <f>+Tabla3[[#This Row],[Site]]&amp;Tabla3[[#This Row],[Split]]</f>
        <v>(KG) Texan GMC Buick (NO TOURS)11</v>
      </c>
      <c r="B840">
        <v>11</v>
      </c>
      <c r="C840">
        <v>3</v>
      </c>
      <c r="D840" t="s">
        <v>33</v>
      </c>
      <c r="E840" t="s">
        <v>46</v>
      </c>
      <c r="F840" t="s">
        <v>111</v>
      </c>
      <c r="G840" t="s">
        <v>34</v>
      </c>
      <c r="H840" s="52" t="str">
        <f>VLOOKUP(Tabla3[[#This Row],[Site]],'Important Info!'!$A$1:$J$135,10,FALSE)</f>
        <v>https://tools.sig.systems/site/details/225</v>
      </c>
      <c r="I840" s="43" t="s">
        <v>137</v>
      </c>
      <c r="J840" t="s">
        <v>41</v>
      </c>
      <c r="K840" s="79" t="str">
        <f>VLOOKUP(Tabla3[[#This Row],[Site]],'Important Info!'!$A$1:$H$135,8,FALSE)</f>
        <v>-</v>
      </c>
      <c r="L840" s="52" t="str">
        <f>VLOOKUP(Tabla3[[#This Row],[Site]],'Important Info!'!$A$1:$F$135,2,FALSE)</f>
        <v>1, 20, 53</v>
      </c>
      <c r="M840" s="52" t="str">
        <f>VLOOKUP(Tabla3[[#This Row],[Site]],'Important Info!'!$A$1:$F$135,3,FALSE)</f>
        <v>-</v>
      </c>
      <c r="N840" s="52" t="str">
        <f>VLOOKUP(Tabla3[[#This Row],[Site]],'Important Info!'!$A$1:$F$135,4,FALSE)</f>
        <v>-</v>
      </c>
      <c r="O840" s="52" t="str">
        <f>VLOOKUP(Tabla3[[#This Row],[Site]],'Important Info!'!$A$1:$F$135,5,FALSE)</f>
        <v>2, 8, 14</v>
      </c>
      <c r="P840" s="52" t="str">
        <f>VLOOKUP(Tabla3[[#This Row],[Site]],'Important Info!'!$A$1:$F$135,6,FALSE)</f>
        <v>51, 52, 16</v>
      </c>
      <c r="Q840" s="91">
        <f>VLOOKUP(Tabla3[[#This Row],[Site]],'Important Info!'!$A$1:$J$135,9,FALSE)</f>
        <v>225</v>
      </c>
    </row>
    <row r="841" spans="1:17" x14ac:dyDescent="0.25">
      <c r="A841" t="str">
        <f>+Tabla3[[#This Row],[Site]]&amp;Tabla3[[#This Row],[Split]]</f>
        <v>(LM) Luther Mazda / Mitsubishi11</v>
      </c>
      <c r="B841">
        <v>11</v>
      </c>
      <c r="C841">
        <v>3</v>
      </c>
      <c r="D841" t="s">
        <v>33</v>
      </c>
      <c r="E841" t="s">
        <v>46</v>
      </c>
      <c r="F841" t="s">
        <v>103</v>
      </c>
      <c r="G841" t="s">
        <v>34</v>
      </c>
      <c r="H841" s="52" t="str">
        <f>VLOOKUP(Tabla3[[#This Row],[Site]],'Important Info!'!$A$1:$J$135,10,FALSE)</f>
        <v>https://tools.sig.systems/site/details/147</v>
      </c>
      <c r="I841" s="66" t="s">
        <v>138</v>
      </c>
      <c r="J841" t="s">
        <v>41</v>
      </c>
      <c r="K841" s="79" t="str">
        <f>VLOOKUP(Tabla3[[#This Row],[Site]],'Important Info!'!$A$1:$H$135,8,FALSE)</f>
        <v>-</v>
      </c>
      <c r="L841" s="52" t="str">
        <f>VLOOKUP(Tabla3[[#This Row],[Site]],'Important Info!'!$A$1:$F$135,2,FALSE)</f>
        <v>4, 5, 6</v>
      </c>
      <c r="M841" s="52" t="str">
        <f>VLOOKUP(Tabla3[[#This Row],[Site]],'Important Info!'!$A$1:$F$135,3,FALSE)</f>
        <v>-</v>
      </c>
      <c r="N841" s="52" t="str">
        <f>VLOOKUP(Tabla3[[#This Row],[Site]],'Important Info!'!$A$1:$F$135,4,FALSE)</f>
        <v>1, 2</v>
      </c>
      <c r="O841" s="52" t="str">
        <f>VLOOKUP(Tabla3[[#This Row],[Site]],'Important Info!'!$A$1:$F$135,5,FALSE)</f>
        <v>-</v>
      </c>
      <c r="P841" s="52" t="str">
        <f>VLOOKUP(Tabla3[[#This Row],[Site]],'Important Info!'!$A$1:$F$135,6,FALSE)</f>
        <v>13, 14, 15, 16</v>
      </c>
      <c r="Q841" s="91">
        <f>VLOOKUP(Tabla3[[#This Row],[Site]],'Important Info!'!$A$1:$J$135,9,FALSE)</f>
        <v>147</v>
      </c>
    </row>
    <row r="842" spans="1:17" x14ac:dyDescent="0.25">
      <c r="A842" t="str">
        <f>+Tabla3[[#This Row],[Site]]&amp;Tabla3[[#This Row],[Split]]</f>
        <v>(ML) Joe Machens CDJR11</v>
      </c>
      <c r="B842">
        <v>11</v>
      </c>
      <c r="C842">
        <v>3</v>
      </c>
      <c r="D842" t="s">
        <v>33</v>
      </c>
      <c r="E842" t="s">
        <v>46</v>
      </c>
      <c r="F842" t="s">
        <v>88</v>
      </c>
      <c r="G842" t="s">
        <v>34</v>
      </c>
      <c r="H842" s="52" t="str">
        <f>VLOOKUP(Tabla3[[#This Row],[Site]],'Important Info!'!$A$1:$J$135,10,FALSE)</f>
        <v>https://tools.sig.systems/site/details/273</v>
      </c>
      <c r="I842" s="43" t="s">
        <v>146</v>
      </c>
      <c r="J842" t="s">
        <v>41</v>
      </c>
      <c r="K842" s="79" t="str">
        <f>VLOOKUP(Tabla3[[#This Row],[Site]],'Important Info!'!$A$1:$H$135,8,FALSE)</f>
        <v>-</v>
      </c>
      <c r="L842" s="52" t="str">
        <f>VLOOKUP(Tabla3[[#This Row],[Site]],'Important Info!'!$A$1:$F$135,2,FALSE)</f>
        <v>-</v>
      </c>
      <c r="M842" s="52">
        <f>VLOOKUP(Tabla3[[#This Row],[Site]],'Important Info!'!$A$1:$F$135,3,FALSE)</f>
        <v>3</v>
      </c>
      <c r="N842" s="52" t="str">
        <f>VLOOKUP(Tabla3[[#This Row],[Site]],'Important Info!'!$A$1:$F$135,4,FALSE)</f>
        <v>-</v>
      </c>
      <c r="O842" s="52" t="str">
        <f>VLOOKUP(Tabla3[[#This Row],[Site]],'Important Info!'!$A$1:$F$135,5,FALSE)</f>
        <v>-</v>
      </c>
      <c r="P842" s="52" t="str">
        <f>VLOOKUP(Tabla3[[#This Row],[Site]],'Important Info!'!$A$1:$F$135,6,FALSE)</f>
        <v>1, 2, 3,</v>
      </c>
      <c r="Q842" s="91">
        <f>VLOOKUP(Tabla3[[#This Row],[Site]],'Important Info!'!$A$1:$J$135,9,FALSE)</f>
        <v>273</v>
      </c>
    </row>
    <row r="843" spans="1:17" x14ac:dyDescent="0.25">
      <c r="A843" t="str">
        <f>+Tabla3[[#This Row],[Site]]&amp;Tabla3[[#This Row],[Split]]</f>
        <v>SIG Office11</v>
      </c>
      <c r="B843">
        <v>11</v>
      </c>
      <c r="C843">
        <v>3</v>
      </c>
      <c r="D843" t="s">
        <v>60</v>
      </c>
      <c r="E843" t="s">
        <v>35</v>
      </c>
      <c r="F843" t="s">
        <v>169</v>
      </c>
      <c r="G843" t="s">
        <v>41</v>
      </c>
      <c r="H843" s="52" t="str">
        <f>VLOOKUP(Tabla3[[#This Row],[Site]],'Important Info!'!$A$1:$J$135,10,FALSE)</f>
        <v>https://tools.sig.systems/site/details/163</v>
      </c>
      <c r="J843" t="s">
        <v>41</v>
      </c>
      <c r="K843" s="79" t="str">
        <f>VLOOKUP(Tabla3[[#This Row],[Site]],'Important Info!'!$A$1:$H$135,8,FALSE)</f>
        <v>-</v>
      </c>
      <c r="L843" s="52" t="str">
        <f>VLOOKUP(Tabla3[[#This Row],[Site]],'Important Info!'!$A$1:$F$135,2,FALSE)</f>
        <v>-</v>
      </c>
      <c r="M843" s="52" t="str">
        <f>VLOOKUP(Tabla3[[#This Row],[Site]],'Important Info!'!$A$1:$F$135,3,FALSE)</f>
        <v>-</v>
      </c>
      <c r="N843" s="52" t="str">
        <f>VLOOKUP(Tabla3[[#This Row],[Site]],'Important Info!'!$A$1:$F$135,4,FALSE)</f>
        <v>-</v>
      </c>
      <c r="O843" s="52" t="str">
        <f>VLOOKUP(Tabla3[[#This Row],[Site]],'Important Info!'!$A$1:$F$135,5,FALSE)</f>
        <v>-</v>
      </c>
      <c r="P843" s="52">
        <f>VLOOKUP(Tabla3[[#This Row],[Site]],'Important Info!'!$A$1:$F$135,6,FALSE)</f>
        <v>25</v>
      </c>
      <c r="Q843" s="91">
        <f>VLOOKUP(Tabla3[[#This Row],[Site]],'Important Info!'!$A$1:$J$135,9,FALSE)</f>
        <v>163</v>
      </c>
    </row>
    <row r="844" spans="1:17" x14ac:dyDescent="0.25">
      <c r="A844" t="str">
        <f>+Tabla3[[#This Row],[Site]]&amp;Tabla3[[#This Row],[Split]]</f>
        <v>(AS) Lexus Plano I &amp; II (NO TOURS)11</v>
      </c>
      <c r="B844">
        <v>11</v>
      </c>
      <c r="C844">
        <v>4</v>
      </c>
      <c r="D844" t="s">
        <v>33</v>
      </c>
      <c r="E844" t="s">
        <v>46</v>
      </c>
      <c r="F844" t="s">
        <v>524</v>
      </c>
      <c r="G844" t="s">
        <v>34</v>
      </c>
      <c r="H844" s="52" t="str">
        <f>VLOOKUP(Tabla3[[#This Row],[Site]],'Important Info!'!$A$1:$J$135,10,FALSE)</f>
        <v>https://tools.sig.systems/site/details/167</v>
      </c>
      <c r="I844" s="63" t="s">
        <v>127</v>
      </c>
      <c r="J844" t="s">
        <v>41</v>
      </c>
      <c r="K844" s="79" t="str">
        <f>VLOOKUP(Tabla3[[#This Row],[Site]],'Important Info!'!$A$1:$H$135,8,FALSE)</f>
        <v>-</v>
      </c>
      <c r="L844" s="52" t="str">
        <f>VLOOKUP(Tabla3[[#This Row],[Site]],'Important Info!'!$A$1:$F$135,2,FALSE)</f>
        <v>5, 9</v>
      </c>
      <c r="M844" s="52" t="str">
        <f>VLOOKUP(Tabla3[[#This Row],[Site]],'Important Info!'!$A$1:$F$135,3,FALSE)</f>
        <v>-</v>
      </c>
      <c r="N844" s="52" t="str">
        <f>VLOOKUP(Tabla3[[#This Row],[Site]],'Important Info!'!$A$1:$F$135,4,FALSE)</f>
        <v>101, 102, 103, 104</v>
      </c>
      <c r="O844" s="52" t="str">
        <f>VLOOKUP(Tabla3[[#This Row],[Site]],'Important Info!'!$A$1:$F$135,5,FALSE)</f>
        <v>4, 10, 28</v>
      </c>
      <c r="P844" s="52" t="str">
        <f>VLOOKUP(Tabla3[[#This Row],[Site]],'Important Info!'!$A$1:$F$135,6,FALSE)</f>
        <v>5, 9, 16</v>
      </c>
      <c r="Q844" s="91">
        <f>VLOOKUP(Tabla3[[#This Row],[Site]],'Important Info!'!$A$1:$J$135,9,FALSE)</f>
        <v>167</v>
      </c>
    </row>
    <row r="845" spans="1:17" x14ac:dyDescent="0.25">
      <c r="A845" t="str">
        <f>+Tabla3[[#This Row],[Site]]&amp;Tabla3[[#This Row],[Split]]</f>
        <v>(AS) Mike Shaw Subaru Greeley (NO TOURS)11</v>
      </c>
      <c r="B845">
        <v>11</v>
      </c>
      <c r="C845">
        <v>4</v>
      </c>
      <c r="D845" t="s">
        <v>44</v>
      </c>
      <c r="E845" t="s">
        <v>53</v>
      </c>
      <c r="F845" t="s">
        <v>95</v>
      </c>
      <c r="G845" t="s">
        <v>45</v>
      </c>
      <c r="H845" s="52" t="str">
        <f>VLOOKUP(Tabla3[[#This Row],[Site]],'Important Info!'!$A$1:$J$135,10,FALSE)</f>
        <v>https://tools.sig.systems/site/details/174</v>
      </c>
      <c r="I845" t="s">
        <v>153</v>
      </c>
      <c r="J845" t="s">
        <v>41</v>
      </c>
      <c r="K845" s="79" t="str">
        <f>VLOOKUP(Tabla3[[#This Row],[Site]],'Important Info!'!$A$1:$H$135,8,FALSE)</f>
        <v>-</v>
      </c>
      <c r="L845" s="52" t="str">
        <f>VLOOKUP(Tabla3[[#This Row],[Site]],'Important Info!'!$A$1:$F$135,2,FALSE)</f>
        <v>16, 17</v>
      </c>
      <c r="M845" s="52">
        <f>VLOOKUP(Tabla3[[#This Row],[Site]],'Important Info!'!$A$1:$F$135,3,FALSE)</f>
        <v>10</v>
      </c>
      <c r="N845" s="52" t="str">
        <f>VLOOKUP(Tabla3[[#This Row],[Site]],'Important Info!'!$A$1:$F$135,4,FALSE)</f>
        <v>-</v>
      </c>
      <c r="O845" s="52" t="str">
        <f>VLOOKUP(Tabla3[[#This Row],[Site]],'Important Info!'!$A$1:$F$135,5,FALSE)</f>
        <v>1, 7</v>
      </c>
      <c r="P845" s="52" t="str">
        <f>VLOOKUP(Tabla3[[#This Row],[Site]],'Important Info!'!$A$1:$F$135,6,FALSE)</f>
        <v>-</v>
      </c>
      <c r="Q845" s="91">
        <f>VLOOKUP(Tabla3[[#This Row],[Site]],'Important Info!'!$A$1:$J$135,9,FALSE)</f>
        <v>174</v>
      </c>
    </row>
    <row r="846" spans="1:17" x14ac:dyDescent="0.25">
      <c r="A846" t="str">
        <f>+Tabla3[[#This Row],[Site]]&amp;Tabla3[[#This Row],[Split]]</f>
        <v>(AS) Park Place Volvo Sales (NO TOURS)11</v>
      </c>
      <c r="B846">
        <v>11</v>
      </c>
      <c r="C846">
        <v>4</v>
      </c>
      <c r="D846" t="s">
        <v>33</v>
      </c>
      <c r="E846" t="s">
        <v>46</v>
      </c>
      <c r="F846" t="s">
        <v>521</v>
      </c>
      <c r="G846" t="s">
        <v>34</v>
      </c>
      <c r="H846" s="52" t="str">
        <f>VLOOKUP(Tabla3[[#This Row],[Site]],'Important Info!'!$A$1:$J$135,10,FALSE)</f>
        <v>https://tools.sig.systems/site/details/139</v>
      </c>
      <c r="I846" s="65" t="s">
        <v>125</v>
      </c>
      <c r="J846" t="s">
        <v>41</v>
      </c>
      <c r="K846" s="79" t="str">
        <f>VLOOKUP(Tabla3[[#This Row],[Site]],'Important Info!'!$A$1:$H$135,8,FALSE)</f>
        <v>-</v>
      </c>
      <c r="L846" s="52" t="str">
        <f>VLOOKUP(Tabla3[[#This Row],[Site]],'Important Info!'!$A$1:$F$135,2,FALSE)</f>
        <v>4, 6, 9, 11</v>
      </c>
      <c r="M846" s="52" t="str">
        <f>VLOOKUP(Tabla3[[#This Row],[Site]],'Important Info!'!$A$1:$F$135,3,FALSE)</f>
        <v>-</v>
      </c>
      <c r="N846" s="52" t="str">
        <f>VLOOKUP(Tabla3[[#This Row],[Site]],'Important Info!'!$A$1:$F$135,4,FALSE)</f>
        <v>-</v>
      </c>
      <c r="O846" s="52" t="str">
        <f>VLOOKUP(Tabla3[[#This Row],[Site]],'Important Info!'!$A$1:$F$135,5,FALSE)</f>
        <v>2, 9</v>
      </c>
      <c r="P846" s="52" t="str">
        <f>VLOOKUP(Tabla3[[#This Row],[Site]],'Important Info!'!$A$1:$F$135,6,FALSE)</f>
        <v>4, 10, 11</v>
      </c>
      <c r="Q846" s="91">
        <f>VLOOKUP(Tabla3[[#This Row],[Site]],'Important Info!'!$A$1:$J$135,9,FALSE)</f>
        <v>139</v>
      </c>
    </row>
    <row r="847" spans="1:17" x14ac:dyDescent="0.25">
      <c r="A847" t="str">
        <f>+Tabla3[[#This Row],[Site]]&amp;Tabla3[[#This Row],[Split]]</f>
        <v>(AS) Plano Auction (NO SPEAKERS)11</v>
      </c>
      <c r="B847">
        <v>11</v>
      </c>
      <c r="C847">
        <v>4</v>
      </c>
      <c r="D847" t="s">
        <v>33</v>
      </c>
      <c r="E847" t="s">
        <v>46</v>
      </c>
      <c r="F847" t="s">
        <v>129</v>
      </c>
      <c r="G847" t="s">
        <v>34</v>
      </c>
      <c r="H847" s="52" t="str">
        <f>VLOOKUP(Tabla3[[#This Row],[Site]],'Important Info!'!$A$1:$J$135,10,FALSE)</f>
        <v>https://tools.sig.systems/site/details/140</v>
      </c>
      <c r="J847" t="s">
        <v>41</v>
      </c>
      <c r="K847" s="79" t="str">
        <f>VLOOKUP(Tabla3[[#This Row],[Site]],'Important Info!'!$A$1:$H$135,8,FALSE)</f>
        <v>-</v>
      </c>
      <c r="L847" s="52" t="str">
        <f>VLOOKUP(Tabla3[[#This Row],[Site]],'Important Info!'!$A$1:$F$135,2,FALSE)</f>
        <v>-</v>
      </c>
      <c r="M847" s="52" t="str">
        <f>VLOOKUP(Tabla3[[#This Row],[Site]],'Important Info!'!$A$1:$F$135,3,FALSE)</f>
        <v>3, 4, 19</v>
      </c>
      <c r="N847" s="52" t="str">
        <f>VLOOKUP(Tabla3[[#This Row],[Site]],'Important Info!'!$A$1:$F$135,4,FALSE)</f>
        <v>-</v>
      </c>
      <c r="O847" s="52" t="str">
        <f>VLOOKUP(Tabla3[[#This Row],[Site]],'Important Info!'!$A$1:$F$135,5,FALSE)</f>
        <v>5, 19</v>
      </c>
      <c r="P847" s="52">
        <f>VLOOKUP(Tabla3[[#This Row],[Site]],'Important Info!'!$A$1:$F$135,6,FALSE)</f>
        <v>21</v>
      </c>
      <c r="Q847" s="91">
        <f>VLOOKUP(Tabla3[[#This Row],[Site]],'Important Info!'!$A$1:$J$135,9,FALSE)</f>
        <v>140</v>
      </c>
    </row>
    <row r="848" spans="1:17" x14ac:dyDescent="0.25">
      <c r="A848" t="str">
        <f>+Tabla3[[#This Row],[Site]]&amp;Tabla3[[#This Row],[Split]]</f>
        <v>(DT) Denver (NO TOURS)11</v>
      </c>
      <c r="B848">
        <v>11</v>
      </c>
      <c r="C848">
        <v>4</v>
      </c>
      <c r="D848" t="s">
        <v>44</v>
      </c>
      <c r="E848" t="s">
        <v>53</v>
      </c>
      <c r="F848" t="s">
        <v>157</v>
      </c>
      <c r="G848" t="s">
        <v>45</v>
      </c>
      <c r="H848" s="52" t="str">
        <f>VLOOKUP(Tabla3[[#This Row],[Site]],'Important Info!'!$A$1:$J$135,10,FALSE)</f>
        <v>https://tools.sig.systems/site/details/203</v>
      </c>
      <c r="I848" s="43" t="s">
        <v>158</v>
      </c>
      <c r="J848" t="s">
        <v>41</v>
      </c>
      <c r="K848" s="79" t="str">
        <f>VLOOKUP(Tabla3[[#This Row],[Site]],'Important Info!'!$A$1:$H$135,8,FALSE)</f>
        <v>-</v>
      </c>
      <c r="L848" s="52" t="str">
        <f>VLOOKUP(Tabla3[[#This Row],[Site]],'Important Info!'!$A$1:$F$135,2,FALSE)</f>
        <v>-</v>
      </c>
      <c r="M848" s="52" t="str">
        <f>VLOOKUP(Tabla3[[#This Row],[Site]],'Important Info!'!$A$1:$F$135,3,FALSE)</f>
        <v>7, 8</v>
      </c>
      <c r="N848" s="52" t="str">
        <f>VLOOKUP(Tabla3[[#This Row],[Site]],'Important Info!'!$A$1:$F$135,4,FALSE)</f>
        <v>-</v>
      </c>
      <c r="O848" s="52" t="str">
        <f>VLOOKUP(Tabla3[[#This Row],[Site]],'Important Info!'!$A$1:$F$135,5,FALSE)</f>
        <v>-</v>
      </c>
      <c r="P848" s="52" t="str">
        <f>VLOOKUP(Tabla3[[#This Row],[Site]],'Important Info!'!$A$1:$F$135,6,FALSE)</f>
        <v>7, 8</v>
      </c>
      <c r="Q848" s="91">
        <f>VLOOKUP(Tabla3[[#This Row],[Site]],'Important Info!'!$A$1:$J$135,9,FALSE)</f>
        <v>203</v>
      </c>
    </row>
    <row r="849" spans="1:17" x14ac:dyDescent="0.25">
      <c r="A849" t="str">
        <f>+Tabla3[[#This Row],[Site]]&amp;Tabla3[[#This Row],[Split]]</f>
        <v>(DT) El Cajon (NO TOURS)11</v>
      </c>
      <c r="B849">
        <v>11</v>
      </c>
      <c r="C849">
        <v>4</v>
      </c>
      <c r="D849" t="s">
        <v>51</v>
      </c>
      <c r="E849" t="s">
        <v>159</v>
      </c>
      <c r="F849" t="s">
        <v>160</v>
      </c>
      <c r="G849" t="s">
        <v>52</v>
      </c>
      <c r="H849" s="52" t="str">
        <f>VLOOKUP(Tabla3[[#This Row],[Site]],'Important Info!'!$A$1:$J$135,10,FALSE)</f>
        <v>https://tools.sig.systems/site/details/241</v>
      </c>
      <c r="I849" s="2"/>
      <c r="J849" t="s">
        <v>41</v>
      </c>
      <c r="K849" s="79" t="str">
        <f>VLOOKUP(Tabla3[[#This Row],[Site]],'Important Info!'!$A$1:$H$135,8,FALSE)</f>
        <v>-</v>
      </c>
      <c r="L849" s="52" t="str">
        <f>VLOOKUP(Tabla3[[#This Row],[Site]],'Important Info!'!$A$1:$F$135,2,FALSE)</f>
        <v>-</v>
      </c>
      <c r="M849" s="52">
        <f>VLOOKUP(Tabla3[[#This Row],[Site]],'Important Info!'!$A$1:$F$135,3,FALSE)</f>
        <v>3</v>
      </c>
      <c r="N849" s="52" t="str">
        <f>VLOOKUP(Tabla3[[#This Row],[Site]],'Important Info!'!$A$1:$F$135,4,FALSE)</f>
        <v>-</v>
      </c>
      <c r="O849" s="52" t="str">
        <f>VLOOKUP(Tabla3[[#This Row],[Site]],'Important Info!'!$A$1:$F$135,5,FALSE)</f>
        <v>-</v>
      </c>
      <c r="P849" s="52" t="str">
        <f>VLOOKUP(Tabla3[[#This Row],[Site]],'Important Info!'!$A$1:$F$135,6,FALSE)</f>
        <v>-</v>
      </c>
      <c r="Q849" s="91">
        <f>VLOOKUP(Tabla3[[#This Row],[Site]],'Important Info!'!$A$1:$J$135,9,FALSE)</f>
        <v>241</v>
      </c>
    </row>
    <row r="850" spans="1:17" x14ac:dyDescent="0.25">
      <c r="A850" t="str">
        <f>+Tabla3[[#This Row],[Site]]&amp;Tabla3[[#This Row],[Split]]</f>
        <v>(HUD) CDJR of Greensboro11</v>
      </c>
      <c r="B850">
        <v>11</v>
      </c>
      <c r="C850">
        <v>4</v>
      </c>
      <c r="D850" t="s">
        <v>62</v>
      </c>
      <c r="E850" t="s">
        <v>35</v>
      </c>
      <c r="F850" t="s">
        <v>185</v>
      </c>
      <c r="G850" t="s">
        <v>491</v>
      </c>
      <c r="H850" s="52" t="str">
        <f>VLOOKUP(Tabla3[[#This Row],[Site]],'Important Info!'!$A$1:$J$135,10,FALSE)</f>
        <v>https://tools.sig.systems/site/details/215</v>
      </c>
      <c r="I850" s="43" t="s">
        <v>184</v>
      </c>
      <c r="J850" t="s">
        <v>36</v>
      </c>
      <c r="K850" s="79" t="str">
        <f>VLOOKUP(Tabla3[[#This Row],[Site]],'Important Info!'!$A$1:$H$135,8,FALSE)</f>
        <v>-</v>
      </c>
      <c r="L850" s="52" t="str">
        <f>VLOOKUP(Tabla3[[#This Row],[Site]],'Important Info!'!$A$1:$F$135,2,FALSE)</f>
        <v>2, 12</v>
      </c>
      <c r="M850" s="52" t="str">
        <f>VLOOKUP(Tabla3[[#This Row],[Site]],'Important Info!'!$A$1:$F$135,3,FALSE)</f>
        <v>-</v>
      </c>
      <c r="N850" s="52" t="str">
        <f>VLOOKUP(Tabla3[[#This Row],[Site]],'Important Info!'!$A$1:$F$135,4,FALSE)</f>
        <v>-</v>
      </c>
      <c r="O850" s="52" t="str">
        <f>VLOOKUP(Tabla3[[#This Row],[Site]],'Important Info!'!$A$1:$F$135,5,FALSE)</f>
        <v>3, 13</v>
      </c>
      <c r="P850" s="52" t="str">
        <f>VLOOKUP(Tabla3[[#This Row],[Site]],'Important Info!'!$A$1:$F$135,6,FALSE)</f>
        <v>1, 17</v>
      </c>
      <c r="Q850" s="91">
        <f>VLOOKUP(Tabla3[[#This Row],[Site]],'Important Info!'!$A$1:$J$135,9,FALSE)</f>
        <v>215</v>
      </c>
    </row>
    <row r="851" spans="1:17" x14ac:dyDescent="0.25">
      <c r="A851" t="str">
        <f>+Tabla3[[#This Row],[Site]]&amp;Tabla3[[#This Row],[Split]]</f>
        <v>(KG) Big Star CDJR of Clear Lake11</v>
      </c>
      <c r="B851">
        <v>11</v>
      </c>
      <c r="C851">
        <v>4</v>
      </c>
      <c r="D851" t="s">
        <v>33</v>
      </c>
      <c r="E851" t="s">
        <v>46</v>
      </c>
      <c r="F851" t="s">
        <v>133</v>
      </c>
      <c r="G851" t="s">
        <v>34</v>
      </c>
      <c r="H851" s="52" t="str">
        <f>VLOOKUP(Tabla3[[#This Row],[Site]],'Important Info!'!$A$1:$J$135,10,FALSE)</f>
        <v>https://tools.sig.systems/site/details/232</v>
      </c>
      <c r="I851" s="2" t="s">
        <v>134</v>
      </c>
      <c r="J851" t="s">
        <v>41</v>
      </c>
      <c r="K851" s="79" t="str">
        <f>VLOOKUP(Tabla3[[#This Row],[Site]],'Important Info!'!$A$1:$H$135,8,FALSE)</f>
        <v>-</v>
      </c>
      <c r="L851" s="52" t="str">
        <f>VLOOKUP(Tabla3[[#This Row],[Site]],'Important Info!'!$A$1:$F$135,2,FALSE)</f>
        <v>8, 25</v>
      </c>
      <c r="M851" s="52" t="str">
        <f>VLOOKUP(Tabla3[[#This Row],[Site]],'Important Info!'!$A$1:$F$135,3,FALSE)</f>
        <v>-</v>
      </c>
      <c r="N851" s="52" t="str">
        <f>VLOOKUP(Tabla3[[#This Row],[Site]],'Important Info!'!$A$1:$F$135,4,FALSE)</f>
        <v>-</v>
      </c>
      <c r="O851" s="52" t="str">
        <f>VLOOKUP(Tabla3[[#This Row],[Site]],'Important Info!'!$A$1:$F$135,5,FALSE)</f>
        <v>7, 13, 19, 24</v>
      </c>
      <c r="P851" s="52" t="str">
        <f>VLOOKUP(Tabla3[[#This Row],[Site]],'Important Info!'!$A$1:$F$135,6,FALSE)</f>
        <v>6, 8, 25, 31</v>
      </c>
      <c r="Q851" s="91">
        <f>VLOOKUP(Tabla3[[#This Row],[Site]],'Important Info!'!$A$1:$J$135,9,FALSE)</f>
        <v>232</v>
      </c>
    </row>
    <row r="852" spans="1:17" x14ac:dyDescent="0.25">
      <c r="A852" t="str">
        <f>+Tabla3[[#This Row],[Site]]&amp;Tabla3[[#This Row],[Split]]</f>
        <v>(ML) Joe Machens VW11</v>
      </c>
      <c r="B852">
        <v>11</v>
      </c>
      <c r="C852">
        <v>4</v>
      </c>
      <c r="D852" t="s">
        <v>33</v>
      </c>
      <c r="E852" t="s">
        <v>46</v>
      </c>
      <c r="F852" t="s">
        <v>74</v>
      </c>
      <c r="G852" t="s">
        <v>34</v>
      </c>
      <c r="H852" s="52" t="str">
        <f>VLOOKUP(Tabla3[[#This Row],[Site]],'Important Info!'!$A$1:$J$135,10,FALSE)</f>
        <v>https://tools.sig.systems/site/details/274</v>
      </c>
      <c r="I852" s="43" t="s">
        <v>146</v>
      </c>
      <c r="J852" t="s">
        <v>41</v>
      </c>
      <c r="K852" s="79" t="str">
        <f>VLOOKUP(Tabla3[[#This Row],[Site]],'Important Info!'!$A$1:$H$135,8,FALSE)</f>
        <v>-</v>
      </c>
      <c r="L852" s="52" t="str">
        <f>VLOOKUP(Tabla3[[#This Row],[Site]],'Important Info!'!$A$1:$F$135,2,FALSE)</f>
        <v>-</v>
      </c>
      <c r="M852" s="52" t="str">
        <f>VLOOKUP(Tabla3[[#This Row],[Site]],'Important Info!'!$A$1:$F$135,3,FALSE)</f>
        <v>1, 11, 18</v>
      </c>
      <c r="N852" s="52" t="str">
        <f>VLOOKUP(Tabla3[[#This Row],[Site]],'Important Info!'!$A$1:$F$135,4,FALSE)</f>
        <v>-</v>
      </c>
      <c r="O852" s="52">
        <f>VLOOKUP(Tabla3[[#This Row],[Site]],'Important Info!'!$A$1:$F$135,5,FALSE)</f>
        <v>17</v>
      </c>
      <c r="P852" s="52" t="str">
        <f>VLOOKUP(Tabla3[[#This Row],[Site]],'Important Info!'!$A$1:$F$135,6,FALSE)</f>
        <v>-</v>
      </c>
      <c r="Q852" s="91">
        <f>VLOOKUP(Tabla3[[#This Row],[Site]],'Important Info!'!$A$1:$J$135,9,FALSE)</f>
        <v>274</v>
      </c>
    </row>
    <row r="853" spans="1:17" x14ac:dyDescent="0.25">
      <c r="A853" t="str">
        <f>+Tabla3[[#This Row],[Site]]&amp;Tabla3[[#This Row],[Split]]</f>
        <v>(ML) Nissan of Little Rock11</v>
      </c>
      <c r="B853">
        <v>11</v>
      </c>
      <c r="C853">
        <v>4</v>
      </c>
      <c r="D853" t="s">
        <v>33</v>
      </c>
      <c r="E853" t="s">
        <v>46</v>
      </c>
      <c r="F853" t="s">
        <v>152</v>
      </c>
      <c r="G853" t="s">
        <v>34</v>
      </c>
      <c r="H853" s="52" t="str">
        <f>VLOOKUP(Tabla3[[#This Row],[Site]],'Important Info!'!$A$1:$J$135,10,FALSE)</f>
        <v>https://tools.sig.systems/site/details/224</v>
      </c>
      <c r="I853" t="s">
        <v>140</v>
      </c>
      <c r="J853" t="s">
        <v>41</v>
      </c>
      <c r="K853" s="79" t="str">
        <f>VLOOKUP(Tabla3[[#This Row],[Site]],'Important Info!'!$A$1:$H$135,8,FALSE)</f>
        <v>-</v>
      </c>
      <c r="L853" s="52" t="str">
        <f>VLOOKUP(Tabla3[[#This Row],[Site]],'Important Info!'!$A$1:$F$135,2,FALSE)</f>
        <v>3, 6</v>
      </c>
      <c r="M853" s="52" t="str">
        <f>VLOOKUP(Tabla3[[#This Row],[Site]],'Important Info!'!$A$1:$F$135,3,FALSE)</f>
        <v>-</v>
      </c>
      <c r="N853" s="52" t="str">
        <f>VLOOKUP(Tabla3[[#This Row],[Site]],'Important Info!'!$A$1:$F$135,4,FALSE)</f>
        <v>-</v>
      </c>
      <c r="O853" s="52" t="str">
        <f>VLOOKUP(Tabla3[[#This Row],[Site]],'Important Info!'!$A$1:$F$135,5,FALSE)</f>
        <v>1, 8, 16, 22</v>
      </c>
      <c r="P853" s="52" t="str">
        <f>VLOOKUP(Tabla3[[#This Row],[Site]],'Important Info!'!$A$1:$F$135,6,FALSE)</f>
        <v>3, 4</v>
      </c>
      <c r="Q853" s="91">
        <f>VLOOKUP(Tabla3[[#This Row],[Site]],'Important Info!'!$A$1:$J$135,9,FALSE)</f>
        <v>224</v>
      </c>
    </row>
    <row r="854" spans="1:17" x14ac:dyDescent="0.25">
      <c r="A854" t="str">
        <f>+Tabla3[[#This Row],[Site]]&amp;Tabla3[[#This Row],[Split]]</f>
        <v>(PE) BMW of Greenwich (NO TOURS)11</v>
      </c>
      <c r="B854">
        <v>11</v>
      </c>
      <c r="C854">
        <v>4</v>
      </c>
      <c r="D854" t="s">
        <v>485</v>
      </c>
      <c r="E854" t="s">
        <v>35</v>
      </c>
      <c r="F854" t="s">
        <v>170</v>
      </c>
      <c r="G854" t="s">
        <v>490</v>
      </c>
      <c r="H854" s="52" t="str">
        <f>VLOOKUP(Tabla3[[#This Row],[Site]],'Important Info!'!$A$1:$J$135,10,FALSE)</f>
        <v>https://tools.sig.systems/site/details/186</v>
      </c>
      <c r="I854" s="43" t="s">
        <v>171</v>
      </c>
      <c r="J854" t="s">
        <v>41</v>
      </c>
      <c r="K854" s="79" t="str">
        <f>VLOOKUP(Tabla3[[#This Row],[Site]],'Important Info!'!$A$1:$H$135,8,FALSE)</f>
        <v>-</v>
      </c>
      <c r="L854" s="52" t="str">
        <f>VLOOKUP(Tabla3[[#This Row],[Site]],'Important Info!'!$A$1:$F$135,2,FALSE)</f>
        <v>1, 6, 15</v>
      </c>
      <c r="M854" s="52" t="str">
        <f>VLOOKUP(Tabla3[[#This Row],[Site]],'Important Info!'!$A$1:$F$135,3,FALSE)</f>
        <v>-</v>
      </c>
      <c r="N854" s="52" t="str">
        <f>VLOOKUP(Tabla3[[#This Row],[Site]],'Important Info!'!$A$1:$F$135,4,FALSE)</f>
        <v>-</v>
      </c>
      <c r="O854" s="52" t="str">
        <f>VLOOKUP(Tabla3[[#This Row],[Site]],'Important Info!'!$A$1:$F$135,5,FALSE)</f>
        <v>-</v>
      </c>
      <c r="P854" s="52">
        <f>VLOOKUP(Tabla3[[#This Row],[Site]],'Important Info!'!$A$1:$F$135,6,FALSE)</f>
        <v>12</v>
      </c>
      <c r="Q854" s="91">
        <f>VLOOKUP(Tabla3[[#This Row],[Site]],'Important Info!'!$A$1:$J$135,9,FALSE)</f>
        <v>186</v>
      </c>
    </row>
    <row r="855" spans="1:17" x14ac:dyDescent="0.25">
      <c r="A855" t="str">
        <f>+Tabla3[[#This Row],[Site]]&amp;Tabla3[[#This Row],[Split]]</f>
        <v>(PE) Mercedes Benz &amp; Smart Bldg. of Fairfield (NO TOURS)11</v>
      </c>
      <c r="B855">
        <v>11</v>
      </c>
      <c r="C855">
        <v>4</v>
      </c>
      <c r="D855" t="s">
        <v>485</v>
      </c>
      <c r="E855" t="s">
        <v>35</v>
      </c>
      <c r="F855" t="s">
        <v>64</v>
      </c>
      <c r="G855" t="s">
        <v>490</v>
      </c>
      <c r="H855" s="52" t="str">
        <f>VLOOKUP(Tabla3[[#This Row],[Site]],'Important Info!'!$A$1:$J$135,10,FALSE)</f>
        <v>https://tools.sig.systems/site/details/192</v>
      </c>
      <c r="I855" t="s">
        <v>177</v>
      </c>
      <c r="J855" t="s">
        <v>41</v>
      </c>
      <c r="K855" s="79" t="str">
        <f>VLOOKUP(Tabla3[[#This Row],[Site]],'Important Info!'!$A$1:$H$135,8,FALSE)</f>
        <v>-</v>
      </c>
      <c r="L855" s="52" t="str">
        <f>VLOOKUP(Tabla3[[#This Row],[Site]],'Important Info!'!$A$1:$F$135,2,FALSE)</f>
        <v>-</v>
      </c>
      <c r="M855" s="52">
        <f>VLOOKUP(Tabla3[[#This Row],[Site]],'Important Info!'!$A$1:$F$135,3,FALSE)</f>
        <v>1</v>
      </c>
      <c r="N855" s="52" t="str">
        <f>VLOOKUP(Tabla3[[#This Row],[Site]],'Important Info!'!$A$1:$F$135,4,FALSE)</f>
        <v>-</v>
      </c>
      <c r="O855" s="52" t="str">
        <f>VLOOKUP(Tabla3[[#This Row],[Site]],'Important Info!'!$A$1:$F$135,5,FALSE)</f>
        <v>11, 13</v>
      </c>
      <c r="P855" s="52">
        <f>VLOOKUP(Tabla3[[#This Row],[Site]],'Important Info!'!$A$1:$F$135,6,FALSE)</f>
        <v>1</v>
      </c>
      <c r="Q855" s="91">
        <f>VLOOKUP(Tabla3[[#This Row],[Site]],'Important Info!'!$A$1:$J$135,9,FALSE)</f>
        <v>192</v>
      </c>
    </row>
    <row r="856" spans="1:17" x14ac:dyDescent="0.25">
      <c r="A856" t="str">
        <f>+Tabla3[[#This Row],[Site]]&amp;Tabla3[[#This Row],[Split]]</f>
        <v>(AS) Coggin Honda Ft. Pierce (NO TOURS)11</v>
      </c>
      <c r="B856">
        <v>11</v>
      </c>
      <c r="C856">
        <v>5</v>
      </c>
      <c r="D856" t="s">
        <v>62</v>
      </c>
      <c r="E856" t="s">
        <v>35</v>
      </c>
      <c r="F856" t="s">
        <v>501</v>
      </c>
      <c r="G856" t="s">
        <v>490</v>
      </c>
      <c r="H856" s="52" t="str">
        <f>VLOOKUP(Tabla3[[#This Row],[Site]],'Important Info!'!$A$1:$J$135,10,FALSE)</f>
        <v>https://tools.sig.systems/site/details/120</v>
      </c>
      <c r="I856" t="s">
        <v>179</v>
      </c>
      <c r="J856" t="s">
        <v>484</v>
      </c>
      <c r="K856" s="79" t="str">
        <f>VLOOKUP(Tabla3[[#This Row],[Site]],'Important Info!'!$A$1:$H$135,8,FALSE)</f>
        <v>-</v>
      </c>
      <c r="L856" s="52" t="str">
        <f>VLOOKUP(Tabla3[[#This Row],[Site]],'Important Info!'!$A$1:$F$135,2,FALSE)</f>
        <v>1, 2, 3, 4, 14</v>
      </c>
      <c r="M856" s="52" t="str">
        <f>VLOOKUP(Tabla3[[#This Row],[Site]],'Important Info!'!$A$1:$F$135,3,FALSE)</f>
        <v>-</v>
      </c>
      <c r="N856" s="52" t="str">
        <f>VLOOKUP(Tabla3[[#This Row],[Site]],'Important Info!'!$A$1:$F$135,4,FALSE)</f>
        <v>-</v>
      </c>
      <c r="O856" s="52" t="str">
        <f>VLOOKUP(Tabla3[[#This Row],[Site]],'Important Info!'!$A$1:$F$135,5,FALSE)</f>
        <v>7, 11, 15</v>
      </c>
      <c r="P856" s="52">
        <f>VLOOKUP(Tabla3[[#This Row],[Site]],'Important Info!'!$A$1:$F$135,6,FALSE)</f>
        <v>3</v>
      </c>
      <c r="Q856" s="91">
        <f>VLOOKUP(Tabla3[[#This Row],[Site]],'Important Info!'!$A$1:$J$135,9,FALSE)</f>
        <v>120</v>
      </c>
    </row>
    <row r="857" spans="1:17" x14ac:dyDescent="0.25">
      <c r="A857" t="str">
        <f>+Tabla3[[#This Row],[Site]]&amp;Tabla3[[#This Row],[Split]]</f>
        <v>(AS) Mercedes Benz/Porsche Dallas I,II,III (NO TOURS)11</v>
      </c>
      <c r="B857">
        <v>11</v>
      </c>
      <c r="C857">
        <v>5</v>
      </c>
      <c r="D857" t="s">
        <v>33</v>
      </c>
      <c r="E857" t="s">
        <v>46</v>
      </c>
      <c r="F857" t="s">
        <v>509</v>
      </c>
      <c r="G857" t="s">
        <v>34</v>
      </c>
      <c r="H857" s="52" t="str">
        <f>VLOOKUP(Tabla3[[#This Row],[Site]],'Important Info!'!$A$1:$J$135,10,FALSE)</f>
        <v>https://tools.sig.systems/site/details/168</v>
      </c>
      <c r="I857" s="65" t="s">
        <v>125</v>
      </c>
      <c r="J857" t="s">
        <v>41</v>
      </c>
      <c r="K857" s="79" t="str">
        <f>VLOOKUP(Tabla3[[#This Row],[Site]],'Important Info!'!$A$1:$H$135,8,FALSE)</f>
        <v>-</v>
      </c>
      <c r="L857" s="52" t="str">
        <f>VLOOKUP(Tabla3[[#This Row],[Site]],'Important Info!'!$A$1:$F$135,2,FALSE)</f>
        <v>3, 4, 17, 26, 41</v>
      </c>
      <c r="M857" s="52" t="str">
        <f>VLOOKUP(Tabla3[[#This Row],[Site]],'Important Info!'!$A$1:$F$135,3,FALSE)</f>
        <v>-</v>
      </c>
      <c r="N857" s="52" t="str">
        <f>VLOOKUP(Tabla3[[#This Row],[Site]],'Important Info!'!$A$1:$F$135,4,FALSE)</f>
        <v>153, 154, 155, 156, 157, 158</v>
      </c>
      <c r="O857" s="52" t="str">
        <f>VLOOKUP(Tabla3[[#This Row],[Site]],'Important Info!'!$A$1:$F$135,5,FALSE)</f>
        <v>2, 6, 10, 20, 28, 30, 36</v>
      </c>
      <c r="P857" s="52" t="str">
        <f>VLOOKUP(Tabla3[[#This Row],[Site]],'Important Info!'!$A$1:$F$135,6,FALSE)</f>
        <v>31, 41, 159</v>
      </c>
      <c r="Q857" s="91">
        <f>VLOOKUP(Tabla3[[#This Row],[Site]],'Important Info!'!$A$1:$J$135,9,FALSE)</f>
        <v>168</v>
      </c>
    </row>
    <row r="858" spans="1:17" x14ac:dyDescent="0.25">
      <c r="A858" t="str">
        <f>+Tabla3[[#This Row],[Site]]&amp;Tabla3[[#This Row],[Split]]</f>
        <v>(DT) Colorado Springs (NO TOURS)11</v>
      </c>
      <c r="B858">
        <v>11</v>
      </c>
      <c r="C858">
        <v>5</v>
      </c>
      <c r="D858" t="s">
        <v>44</v>
      </c>
      <c r="E858" t="s">
        <v>53</v>
      </c>
      <c r="F858" t="s">
        <v>156</v>
      </c>
      <c r="G858" t="s">
        <v>45</v>
      </c>
      <c r="H858" s="52" t="str">
        <f>VLOOKUP(Tabla3[[#This Row],[Site]],'Important Info!'!$A$1:$J$135,10,FALSE)</f>
        <v>https://tools.sig.systems/site/details/198</v>
      </c>
      <c r="J858" t="s">
        <v>41</v>
      </c>
      <c r="K858" s="79" t="str">
        <f>VLOOKUP(Tabla3[[#This Row],[Site]],'Important Info!'!$A$1:$H$135,8,FALSE)</f>
        <v>-</v>
      </c>
      <c r="L858" s="52" t="str">
        <f>VLOOKUP(Tabla3[[#This Row],[Site]],'Important Info!'!$A$1:$F$135,2,FALSE)</f>
        <v>-</v>
      </c>
      <c r="M858" s="52" t="str">
        <f>VLOOKUP(Tabla3[[#This Row],[Site]],'Important Info!'!$A$1:$F$135,3,FALSE)</f>
        <v>1, 2, 3, 4</v>
      </c>
      <c r="N858" s="52" t="str">
        <f>VLOOKUP(Tabla3[[#This Row],[Site]],'Important Info!'!$A$1:$F$135,4,FALSE)</f>
        <v>-</v>
      </c>
      <c r="O858" s="52" t="str">
        <f>VLOOKUP(Tabla3[[#This Row],[Site]],'Important Info!'!$A$1:$F$135,5,FALSE)</f>
        <v>-</v>
      </c>
      <c r="P858" s="52" t="str">
        <f>VLOOKUP(Tabla3[[#This Row],[Site]],'Important Info!'!$A$1:$F$135,6,FALSE)</f>
        <v>1, 2, 3, 11</v>
      </c>
      <c r="Q858" s="91">
        <f>VLOOKUP(Tabla3[[#This Row],[Site]],'Important Info!'!$A$1:$J$135,9,FALSE)</f>
        <v>198</v>
      </c>
    </row>
    <row r="859" spans="1:17" x14ac:dyDescent="0.25">
      <c r="A859" t="str">
        <f>+Tabla3[[#This Row],[Site]]&amp;Tabla3[[#This Row],[Split]]</f>
        <v>(DT) Escondido11</v>
      </c>
      <c r="B859">
        <v>11</v>
      </c>
      <c r="C859">
        <v>5</v>
      </c>
      <c r="D859" t="s">
        <v>51</v>
      </c>
      <c r="E859" t="s">
        <v>159</v>
      </c>
      <c r="F859" t="s">
        <v>112</v>
      </c>
      <c r="G859" t="s">
        <v>164</v>
      </c>
      <c r="H859" s="52" t="str">
        <f>VLOOKUP(Tabla3[[#This Row],[Site]],'Important Info!'!$A$1:$J$135,10,FALSE)</f>
        <v>https://tools.sig.systems/site/details/196</v>
      </c>
      <c r="I859" s="43"/>
      <c r="J859" t="s">
        <v>41</v>
      </c>
      <c r="K859" s="79" t="str">
        <f>VLOOKUP(Tabla3[[#This Row],[Site]],'Important Info!'!$A$1:$H$135,8,FALSE)</f>
        <v>Saturday Drop Time 9:00 A.M.</v>
      </c>
      <c r="L859" s="52" t="str">
        <f>VLOOKUP(Tabla3[[#This Row],[Site]],'Important Info!'!$A$1:$F$135,2,FALSE)</f>
        <v>1, 2</v>
      </c>
      <c r="M859" s="52" t="str">
        <f>VLOOKUP(Tabla3[[#This Row],[Site]],'Important Info!'!$A$1:$F$135,3,FALSE)</f>
        <v>-</v>
      </c>
      <c r="N859" s="52" t="str">
        <f>VLOOKUP(Tabla3[[#This Row],[Site]],'Important Info!'!$A$1:$F$135,4,FALSE)</f>
        <v>-</v>
      </c>
      <c r="O859" s="52" t="str">
        <f>VLOOKUP(Tabla3[[#This Row],[Site]],'Important Info!'!$A$1:$F$135,5,FALSE)</f>
        <v>-</v>
      </c>
      <c r="P859" s="52" t="str">
        <f>VLOOKUP(Tabla3[[#This Row],[Site]],'Important Info!'!$A$1:$F$135,6,FALSE)</f>
        <v>5, 7, 8</v>
      </c>
      <c r="Q859" s="91">
        <f>VLOOKUP(Tabla3[[#This Row],[Site]],'Important Info!'!$A$1:$J$135,9,FALSE)</f>
        <v>196</v>
      </c>
    </row>
    <row r="860" spans="1:17" x14ac:dyDescent="0.25">
      <c r="A860" t="str">
        <f>+Tabla3[[#This Row],[Site]]&amp;Tabla3[[#This Row],[Split]]</f>
        <v>(HUD) Honda Greensboro11</v>
      </c>
      <c r="B860">
        <v>11</v>
      </c>
      <c r="C860">
        <v>5</v>
      </c>
      <c r="D860" t="s">
        <v>62</v>
      </c>
      <c r="E860" t="s">
        <v>35</v>
      </c>
      <c r="F860" t="s">
        <v>85</v>
      </c>
      <c r="G860" t="s">
        <v>490</v>
      </c>
      <c r="H860" s="52" t="str">
        <f>VLOOKUP(Tabla3[[#This Row],[Site]],'Important Info!'!$A$1:$J$135,10,FALSE)</f>
        <v>https://tools.sig.systems/site/details/230</v>
      </c>
      <c r="I860" t="s">
        <v>186</v>
      </c>
      <c r="J860" t="s">
        <v>41</v>
      </c>
      <c r="K860" s="79" t="str">
        <f>VLOOKUP(Tabla3[[#This Row],[Site]],'Important Info!'!$A$1:$H$135,8,FALSE)</f>
        <v>-</v>
      </c>
      <c r="L860" s="52" t="str">
        <f>VLOOKUP(Tabla3[[#This Row],[Site]],'Important Info!'!$A$1:$F$135,2,FALSE)</f>
        <v>1, 3,  15, 16, 22</v>
      </c>
      <c r="M860" s="52" t="str">
        <f>VLOOKUP(Tabla3[[#This Row],[Site]],'Important Info!'!$A$1:$F$135,3,FALSE)</f>
        <v>-</v>
      </c>
      <c r="N860" s="52" t="str">
        <f>VLOOKUP(Tabla3[[#This Row],[Site]],'Important Info!'!$A$1:$F$135,4,FALSE)</f>
        <v>-</v>
      </c>
      <c r="O860" s="52" t="str">
        <f>VLOOKUP(Tabla3[[#This Row],[Site]],'Important Info!'!$A$1:$F$135,5,FALSE)</f>
        <v>3, 20</v>
      </c>
      <c r="P860" s="52">
        <f>VLOOKUP(Tabla3[[#This Row],[Site]],'Important Info!'!$A$1:$F$135,6,FALSE)</f>
        <v>26</v>
      </c>
      <c r="Q860" s="91">
        <f>VLOOKUP(Tabla3[[#This Row],[Site]],'Important Info!'!$A$1:$J$135,9,FALSE)</f>
        <v>230</v>
      </c>
    </row>
    <row r="861" spans="1:17" x14ac:dyDescent="0.25">
      <c r="A861" t="str">
        <f>+Tabla3[[#This Row],[Site]]&amp;Tabla3[[#This Row],[Split]]</f>
        <v>(ML) BMW of Little Rock11</v>
      </c>
      <c r="B861">
        <v>11</v>
      </c>
      <c r="C861">
        <v>5</v>
      </c>
      <c r="D861" t="s">
        <v>33</v>
      </c>
      <c r="E861" t="s">
        <v>46</v>
      </c>
      <c r="F861" t="s">
        <v>139</v>
      </c>
      <c r="G861" t="s">
        <v>34</v>
      </c>
      <c r="H861" s="52" t="str">
        <f>VLOOKUP(Tabla3[[#This Row],[Site]],'Important Info!'!$A$1:$J$135,10,FALSE)</f>
        <v>https://tools.sig.systems/site/details/217</v>
      </c>
      <c r="I861" t="s">
        <v>140</v>
      </c>
      <c r="J861" t="s">
        <v>41</v>
      </c>
      <c r="K861" s="79" t="str">
        <f>VLOOKUP(Tabla3[[#This Row],[Site]],'Important Info!'!$A$1:$H$135,8,FALSE)</f>
        <v>-</v>
      </c>
      <c r="L861" s="52" t="str">
        <f>VLOOKUP(Tabla3[[#This Row],[Site]],'Important Info!'!$A$1:$F$135,2,FALSE)</f>
        <v>-</v>
      </c>
      <c r="M861" s="52">
        <f>VLOOKUP(Tabla3[[#This Row],[Site]],'Important Info!'!$A$1:$F$135,3,FALSE)</f>
        <v>14</v>
      </c>
      <c r="N861" s="52" t="str">
        <f>VLOOKUP(Tabla3[[#This Row],[Site]],'Important Info!'!$A$1:$F$135,4,FALSE)</f>
        <v>-</v>
      </c>
      <c r="O861" s="52" t="str">
        <f>VLOOKUP(Tabla3[[#This Row],[Site]],'Important Info!'!$A$1:$F$135,5,FALSE)</f>
        <v>-</v>
      </c>
      <c r="P861" s="52" t="str">
        <f>VLOOKUP(Tabla3[[#This Row],[Site]],'Important Info!'!$A$1:$F$135,6,FALSE)</f>
        <v>5, 6, 7, 8, 9, 32</v>
      </c>
      <c r="Q861" s="91">
        <f>VLOOKUP(Tabla3[[#This Row],[Site]],'Important Info!'!$A$1:$J$135,9,FALSE)</f>
        <v>217</v>
      </c>
    </row>
    <row r="862" spans="1:17" x14ac:dyDescent="0.25">
      <c r="A862" t="str">
        <f>+Tabla3[[#This Row],[Site]]&amp;Tabla3[[#This Row],[Split]]</f>
        <v>(ML) Joe Machens Toyota11</v>
      </c>
      <c r="B862">
        <v>11</v>
      </c>
      <c r="C862">
        <v>5</v>
      </c>
      <c r="D862" t="s">
        <v>33</v>
      </c>
      <c r="E862" t="s">
        <v>46</v>
      </c>
      <c r="F862" t="s">
        <v>73</v>
      </c>
      <c r="G862" t="s">
        <v>34</v>
      </c>
      <c r="H862" s="52" t="str">
        <f>VLOOKUP(Tabla3[[#This Row],[Site]],'Important Info!'!$A$1:$J$135,10,FALSE)</f>
        <v>https://tools.sig.systems/site/details/275</v>
      </c>
      <c r="I862" s="43" t="s">
        <v>146</v>
      </c>
      <c r="J862" t="s">
        <v>41</v>
      </c>
      <c r="K862" s="79" t="str">
        <f>VLOOKUP(Tabla3[[#This Row],[Site]],'Important Info!'!$A$1:$H$135,8,FALSE)</f>
        <v>-</v>
      </c>
      <c r="L862" s="52" t="str">
        <f>VLOOKUP(Tabla3[[#This Row],[Site]],'Important Info!'!$A$1:$F$135,2,FALSE)</f>
        <v>-</v>
      </c>
      <c r="M862" s="52" t="str">
        <f>VLOOKUP(Tabla3[[#This Row],[Site]],'Important Info!'!$A$1:$F$135,3,FALSE)</f>
        <v>1, 4, 6</v>
      </c>
      <c r="N862" s="52" t="str">
        <f>VLOOKUP(Tabla3[[#This Row],[Site]],'Important Info!'!$A$1:$F$135,4,FALSE)</f>
        <v>-</v>
      </c>
      <c r="O862" s="52" t="str">
        <f>VLOOKUP(Tabla3[[#This Row],[Site]],'Important Info!'!$A$1:$F$135,5,FALSE)</f>
        <v>4, 10</v>
      </c>
      <c r="P862" s="52" t="str">
        <f>VLOOKUP(Tabla3[[#This Row],[Site]],'Important Info!'!$A$1:$F$135,6,FALSE)</f>
        <v>-</v>
      </c>
      <c r="Q862" s="91">
        <f>VLOOKUP(Tabla3[[#This Row],[Site]],'Important Info!'!$A$1:$J$135,9,FALSE)</f>
        <v>275</v>
      </c>
    </row>
    <row r="863" spans="1:17" x14ac:dyDescent="0.25">
      <c r="A863" t="str">
        <f>+Tabla3[[#This Row],[Site]]&amp;Tabla3[[#This Row],[Split]]</f>
        <v>(ML) McLarty Gray-Daniels Ford Lincoln11</v>
      </c>
      <c r="B863">
        <v>11</v>
      </c>
      <c r="C863">
        <v>5</v>
      </c>
      <c r="D863" t="s">
        <v>33</v>
      </c>
      <c r="E863" t="s">
        <v>46</v>
      </c>
      <c r="F863" t="s">
        <v>89</v>
      </c>
      <c r="G863" t="s">
        <v>34</v>
      </c>
      <c r="H863" s="52" t="str">
        <f>VLOOKUP(Tabla3[[#This Row],[Site]],'Important Info!'!$A$1:$J$135,10,FALSE)</f>
        <v>https://tools.sig.systems/site/details/151</v>
      </c>
      <c r="I863" s="2" t="s">
        <v>150</v>
      </c>
      <c r="J863" t="s">
        <v>41</v>
      </c>
      <c r="K863" s="79" t="str">
        <f>VLOOKUP(Tabla3[[#This Row],[Site]],'Important Info!'!$A$1:$H$135,8,FALSE)</f>
        <v>-</v>
      </c>
      <c r="L863" s="52">
        <f>VLOOKUP(Tabla3[[#This Row],[Site]],'Important Info!'!$A$1:$F$135,2,FALSE)</f>
        <v>16</v>
      </c>
      <c r="M863" s="52" t="str">
        <f>VLOOKUP(Tabla3[[#This Row],[Site]],'Important Info!'!$A$1:$F$135,3,FALSE)</f>
        <v>5, 10, 36, 38, 54, 58B</v>
      </c>
      <c r="N863" s="52" t="str">
        <f>VLOOKUP(Tabla3[[#This Row],[Site]],'Important Info!'!$A$1:$F$135,4,FALSE)</f>
        <v>-</v>
      </c>
      <c r="O863" s="52" t="str">
        <f>VLOOKUP(Tabla3[[#This Row],[Site]],'Important Info!'!$A$1:$F$135,5,FALSE)</f>
        <v>5, 17, 37</v>
      </c>
      <c r="P863" s="52" t="str">
        <f>VLOOKUP(Tabla3[[#This Row],[Site]],'Important Info!'!$A$1:$F$135,6,FALSE)</f>
        <v>1, 2, 3, 4</v>
      </c>
      <c r="Q863" s="91">
        <f>VLOOKUP(Tabla3[[#This Row],[Site]],'Important Info!'!$A$1:$J$135,9,FALSE)</f>
        <v>151</v>
      </c>
    </row>
    <row r="864" spans="1:17" x14ac:dyDescent="0.25">
      <c r="A864" t="str">
        <f>+Tabla3[[#This Row],[Site]]&amp;Tabla3[[#This Row],[Split]]</f>
        <v>(PE) BMW of Mamaroneck (NO TOURS)11</v>
      </c>
      <c r="B864">
        <v>11</v>
      </c>
      <c r="C864">
        <v>5</v>
      </c>
      <c r="D864" t="s">
        <v>485</v>
      </c>
      <c r="E864" t="s">
        <v>35</v>
      </c>
      <c r="F864" t="s">
        <v>172</v>
      </c>
      <c r="G864" t="s">
        <v>490</v>
      </c>
      <c r="H864" s="52" t="str">
        <f>VLOOKUP(Tabla3[[#This Row],[Site]],'Important Info!'!$A$1:$J$135,10,FALSE)</f>
        <v>https://tools.sig.systems/site/details/185</v>
      </c>
      <c r="I864" s="43"/>
      <c r="J864" t="s">
        <v>41</v>
      </c>
      <c r="K864" s="79" t="str">
        <f>VLOOKUP(Tabla3[[#This Row],[Site]],'Important Info!'!$A$1:$H$135,8,FALSE)</f>
        <v>-</v>
      </c>
      <c r="L864" s="52">
        <f>VLOOKUP(Tabla3[[#This Row],[Site]],'Important Info!'!$A$1:$F$135,2,FALSE)</f>
        <v>9</v>
      </c>
      <c r="M864" s="52" t="str">
        <f>VLOOKUP(Tabla3[[#This Row],[Site]],'Important Info!'!$A$1:$F$135,3,FALSE)</f>
        <v>2, 3, 4, 5</v>
      </c>
      <c r="N864" s="52" t="str">
        <f>VLOOKUP(Tabla3[[#This Row],[Site]],'Important Info!'!$A$1:$F$135,4,FALSE)</f>
        <v>-</v>
      </c>
      <c r="O864" s="52" t="str">
        <f>VLOOKUP(Tabla3[[#This Row],[Site]],'Important Info!'!$A$1:$F$135,5,FALSE)</f>
        <v>-</v>
      </c>
      <c r="P864" s="52" t="str">
        <f>VLOOKUP(Tabla3[[#This Row],[Site]],'Important Info!'!$A$1:$F$135,6,FALSE)</f>
        <v>4, 6, 7, 8</v>
      </c>
      <c r="Q864" s="91">
        <f>VLOOKUP(Tabla3[[#This Row],[Site]],'Important Info!'!$A$1:$J$135,9,FALSE)</f>
        <v>185</v>
      </c>
    </row>
    <row r="865" spans="1:17" x14ac:dyDescent="0.25">
      <c r="A865" t="str">
        <f>+Tabla3[[#This Row],[Site]]&amp;Tabla3[[#This Row],[Split]]</f>
        <v>(PE) JLR PDI (NO TOURS)11</v>
      </c>
      <c r="B865">
        <v>11</v>
      </c>
      <c r="C865">
        <v>5</v>
      </c>
      <c r="D865" t="s">
        <v>485</v>
      </c>
      <c r="E865" t="s">
        <v>35</v>
      </c>
      <c r="F865" t="s">
        <v>114</v>
      </c>
      <c r="G865" t="s">
        <v>490</v>
      </c>
      <c r="H865" s="52" t="str">
        <f>VLOOKUP(Tabla3[[#This Row],[Site]],'Important Info!'!$A$1:$J$135,10,FALSE)</f>
        <v>https://tools.sig.systems/site/details/179</v>
      </c>
      <c r="I865" t="s">
        <v>176</v>
      </c>
      <c r="J865" t="s">
        <v>41</v>
      </c>
      <c r="K865" s="79" t="str">
        <f>VLOOKUP(Tabla3[[#This Row],[Site]],'Important Info!'!$A$1:$H$135,8,FALSE)</f>
        <v>-</v>
      </c>
      <c r="L865" s="52" t="str">
        <f>VLOOKUP(Tabla3[[#This Row],[Site]],'Important Info!'!$A$1:$F$135,2,FALSE)</f>
        <v>3, 8</v>
      </c>
      <c r="M865" s="52" t="str">
        <f>VLOOKUP(Tabla3[[#This Row],[Site]],'Important Info!'!$A$1:$F$135,3,FALSE)</f>
        <v>-</v>
      </c>
      <c r="N865" s="52" t="str">
        <f>VLOOKUP(Tabla3[[#This Row],[Site]],'Important Info!'!$A$1:$F$135,4,FALSE)</f>
        <v>-</v>
      </c>
      <c r="O865" s="52" t="str">
        <f>VLOOKUP(Tabla3[[#This Row],[Site]],'Important Info!'!$A$1:$F$135,5,FALSE)</f>
        <v>-</v>
      </c>
      <c r="P865" s="52" t="str">
        <f>VLOOKUP(Tabla3[[#This Row],[Site]],'Important Info!'!$A$1:$F$135,6,FALSE)</f>
        <v>-</v>
      </c>
      <c r="Q865" s="91">
        <f>VLOOKUP(Tabla3[[#This Row],[Site]],'Important Info!'!$A$1:$J$135,9,FALSE)</f>
        <v>179</v>
      </c>
    </row>
    <row r="866" spans="1:17" x14ac:dyDescent="0.25">
      <c r="A866" t="str">
        <f>+Tabla3[[#This Row],[Site]]&amp;Tabla3[[#This Row],[Split]]</f>
        <v>(RML) Burleson Nissan11</v>
      </c>
      <c r="B866">
        <v>11</v>
      </c>
      <c r="C866">
        <v>5</v>
      </c>
      <c r="D866" t="s">
        <v>33</v>
      </c>
      <c r="E866" t="s">
        <v>46</v>
      </c>
      <c r="F866" t="s">
        <v>107</v>
      </c>
      <c r="G866" t="s">
        <v>34</v>
      </c>
      <c r="H866" s="52" t="str">
        <f>VLOOKUP(Tabla3[[#This Row],[Site]],'Important Info!'!$A$1:$J$135,10,FALSE)</f>
        <v>https://tools.sig.systems/site/details/202</v>
      </c>
      <c r="J866" t="s">
        <v>41</v>
      </c>
      <c r="K866" s="79" t="str">
        <f>VLOOKUP(Tabla3[[#This Row],[Site]],'Important Info!'!$A$1:$H$135,8,FALSE)</f>
        <v>-</v>
      </c>
      <c r="L866" s="52" t="str">
        <f>VLOOKUP(Tabla3[[#This Row],[Site]],'Important Info!'!$A$1:$F$135,2,FALSE)</f>
        <v>3, 21</v>
      </c>
      <c r="M866" s="52" t="str">
        <f>VLOOKUP(Tabla3[[#This Row],[Site]],'Important Info!'!$A$1:$F$135,3,FALSE)</f>
        <v>-</v>
      </c>
      <c r="N866" s="52" t="str">
        <f>VLOOKUP(Tabla3[[#This Row],[Site]],'Important Info!'!$A$1:$F$135,4,FALSE)</f>
        <v>-</v>
      </c>
      <c r="O866" s="52" t="str">
        <f>VLOOKUP(Tabla3[[#This Row],[Site]],'Important Info!'!$A$1:$F$135,5,FALSE)</f>
        <v>2, 6, 15</v>
      </c>
      <c r="P866" s="52" t="str">
        <f>VLOOKUP(Tabla3[[#This Row],[Site]],'Important Info!'!$A$1:$F$135,6,FALSE)</f>
        <v>-</v>
      </c>
      <c r="Q866" s="91">
        <f>VLOOKUP(Tabla3[[#This Row],[Site]],'Important Info!'!$A$1:$J$135,9,FALSE)</f>
        <v>202</v>
      </c>
    </row>
    <row r="867" spans="1:17" x14ac:dyDescent="0.25">
      <c r="A867" t="str">
        <f>+Tabla3[[#This Row],[Site]]&amp;Tabla3[[#This Row],[Split]]</f>
        <v>(AS) Courtesy Kia of Brandon (NO TOURS)11</v>
      </c>
      <c r="B867">
        <v>11</v>
      </c>
      <c r="C867">
        <v>6</v>
      </c>
      <c r="D867" t="s">
        <v>62</v>
      </c>
      <c r="E867" t="s">
        <v>35</v>
      </c>
      <c r="F867" t="s">
        <v>505</v>
      </c>
      <c r="G867" t="s">
        <v>490</v>
      </c>
      <c r="H867" s="52" t="str">
        <f>VLOOKUP(Tabla3[[#This Row],[Site]],'Important Info!'!$A$1:$J$135,10,FALSE)</f>
        <v>https://tools.sig.systems/site/details/121</v>
      </c>
      <c r="I867" s="2" t="s">
        <v>181</v>
      </c>
      <c r="J867" t="s">
        <v>484</v>
      </c>
      <c r="K867" s="79" t="str">
        <f>VLOOKUP(Tabla3[[#This Row],[Site]],'Important Info!'!$A$1:$H$135,8,FALSE)</f>
        <v>-</v>
      </c>
      <c r="L867" s="52" t="str">
        <f>VLOOKUP(Tabla3[[#This Row],[Site]],'Important Info!'!$A$1:$F$135,2,FALSE)</f>
        <v>-</v>
      </c>
      <c r="M867" s="52" t="str">
        <f>VLOOKUP(Tabla3[[#This Row],[Site]],'Important Info!'!$A$1:$F$135,3,FALSE)</f>
        <v>4, 8</v>
      </c>
      <c r="N867" s="52" t="str">
        <f>VLOOKUP(Tabla3[[#This Row],[Site]],'Important Info!'!$A$1:$F$135,4,FALSE)</f>
        <v>-</v>
      </c>
      <c r="O867" s="52" t="str">
        <f>VLOOKUP(Tabla3[[#This Row],[Site]],'Important Info!'!$A$1:$F$135,5,FALSE)</f>
        <v>3, 11, 20, 24</v>
      </c>
      <c r="P867" s="52" t="str">
        <f>VLOOKUP(Tabla3[[#This Row],[Site]],'Important Info!'!$A$1:$F$135,6,FALSE)</f>
        <v>2, 8</v>
      </c>
      <c r="Q867" s="91">
        <f>VLOOKUP(Tabla3[[#This Row],[Site]],'Important Info!'!$A$1:$J$135,9,FALSE)</f>
        <v>121</v>
      </c>
    </row>
    <row r="868" spans="1:17" x14ac:dyDescent="0.25">
      <c r="A868" t="str">
        <f>+Tabla3[[#This Row],[Site]]&amp;Tabla3[[#This Row],[Split]]</f>
        <v>(AS) Park Place Sprinter Van Center (NO TOURS)11</v>
      </c>
      <c r="B868">
        <v>11</v>
      </c>
      <c r="C868">
        <v>6</v>
      </c>
      <c r="D868" t="s">
        <v>33</v>
      </c>
      <c r="E868" t="s">
        <v>46</v>
      </c>
      <c r="F868" t="s">
        <v>520</v>
      </c>
      <c r="G868" t="s">
        <v>34</v>
      </c>
      <c r="H868" s="52" t="str">
        <f>VLOOKUP(Tabla3[[#This Row],[Site]],'Important Info!'!$A$1:$J$135,10,FALSE)</f>
        <v>https://tools.sig.systems/site/details/138</v>
      </c>
      <c r="I868" s="65" t="s">
        <v>125</v>
      </c>
      <c r="J868" t="s">
        <v>41</v>
      </c>
      <c r="K868" s="79" t="str">
        <f>VLOOKUP(Tabla3[[#This Row],[Site]],'Important Info!'!$A$1:$H$135,8,FALSE)</f>
        <v>-</v>
      </c>
      <c r="L868" s="52">
        <f>VLOOKUP(Tabla3[[#This Row],[Site]],'Important Info!'!$A$1:$F$135,2,FALSE)</f>
        <v>1</v>
      </c>
      <c r="M868" s="52" t="str">
        <f>VLOOKUP(Tabla3[[#This Row],[Site]],'Important Info!'!$A$1:$F$135,3,FALSE)</f>
        <v>-</v>
      </c>
      <c r="N868" s="52" t="str">
        <f>VLOOKUP(Tabla3[[#This Row],[Site]],'Important Info!'!$A$1:$F$135,4,FALSE)</f>
        <v>-</v>
      </c>
      <c r="O868" s="52" t="str">
        <f>VLOOKUP(Tabla3[[#This Row],[Site]],'Important Info!'!$A$1:$F$135,5,FALSE)</f>
        <v>-</v>
      </c>
      <c r="P868" s="52" t="str">
        <f>VLOOKUP(Tabla3[[#This Row],[Site]],'Important Info!'!$A$1:$F$135,6,FALSE)</f>
        <v>1, 3</v>
      </c>
      <c r="Q868" s="91">
        <f>VLOOKUP(Tabla3[[#This Row],[Site]],'Important Info!'!$A$1:$J$135,9,FALSE)</f>
        <v>138</v>
      </c>
    </row>
    <row r="869" spans="1:17" x14ac:dyDescent="0.25">
      <c r="A869" t="str">
        <f>+Tabla3[[#This Row],[Site]]&amp;Tabla3[[#This Row],[Split]]</f>
        <v>(AS) Stevinson Chevrolet Golden (NO TOURS)11</v>
      </c>
      <c r="B869">
        <v>11</v>
      </c>
      <c r="C869">
        <v>6</v>
      </c>
      <c r="D869" t="s">
        <v>488</v>
      </c>
      <c r="E869" t="s">
        <v>53</v>
      </c>
      <c r="F869" t="s">
        <v>190</v>
      </c>
      <c r="G869" t="s">
        <v>45</v>
      </c>
      <c r="H869" s="52" t="str">
        <f>VLOOKUP(Tabla3[[#This Row],[Site]],'Important Info!'!$A$1:$J$135,10,FALSE)</f>
        <v>https://tools.sig.systems/site/details/264</v>
      </c>
      <c r="I869" s="2" t="s">
        <v>154</v>
      </c>
      <c r="J869" t="s">
        <v>41</v>
      </c>
      <c r="K869" s="79" t="str">
        <f>VLOOKUP(Tabla3[[#This Row],[Site]],'Important Info!'!$A$1:$H$135,8,FALSE)</f>
        <v>-</v>
      </c>
      <c r="L869" s="52" t="str">
        <f>VLOOKUP(Tabla3[[#This Row],[Site]],'Important Info!'!$A$1:$F$135,2,FALSE)</f>
        <v>-</v>
      </c>
      <c r="M869" s="52" t="str">
        <f>VLOOKUP(Tabla3[[#This Row],[Site]],'Important Info!'!$A$1:$F$135,3,FALSE)</f>
        <v>1, 19</v>
      </c>
      <c r="N869" s="52" t="str">
        <f>VLOOKUP(Tabla3[[#This Row],[Site]],'Important Info!'!$A$1:$F$135,4,FALSE)</f>
        <v>-</v>
      </c>
      <c r="O869" s="52" t="str">
        <f>VLOOKUP(Tabla3[[#This Row],[Site]],'Important Info!'!$A$1:$F$135,5,FALSE)</f>
        <v>14, 30</v>
      </c>
      <c r="P869" s="52" t="str">
        <f>VLOOKUP(Tabla3[[#This Row],[Site]],'Important Info!'!$A$1:$F$135,6,FALSE)</f>
        <v>14, 33, 34, 35, 36</v>
      </c>
      <c r="Q869" s="91">
        <f>VLOOKUP(Tabla3[[#This Row],[Site]],'Important Info!'!$A$1:$J$135,9,FALSE)</f>
        <v>264</v>
      </c>
    </row>
    <row r="870" spans="1:17" x14ac:dyDescent="0.25">
      <c r="A870" t="str">
        <f>+Tabla3[[#This Row],[Site]]&amp;Tabla3[[#This Row],[Split]]</f>
        <v>(AS) Stevinson JLR (NO TOURS)11</v>
      </c>
      <c r="B870">
        <v>11</v>
      </c>
      <c r="C870">
        <v>6</v>
      </c>
      <c r="D870" t="s">
        <v>44</v>
      </c>
      <c r="E870" t="s">
        <v>53</v>
      </c>
      <c r="F870" t="s">
        <v>93</v>
      </c>
      <c r="G870" t="s">
        <v>45</v>
      </c>
      <c r="H870" s="52" t="str">
        <f>VLOOKUP(Tabla3[[#This Row],[Site]],'Important Info!'!$A$1:$J$135,10,FALSE)</f>
        <v>https://tools.sig.systems/site/details/204</v>
      </c>
      <c r="I870" s="2"/>
      <c r="J870" t="s">
        <v>41</v>
      </c>
      <c r="K870" s="79" t="str">
        <f>VLOOKUP(Tabla3[[#This Row],[Site]],'Important Info!'!$A$1:$H$135,8,FALSE)</f>
        <v>-</v>
      </c>
      <c r="L870" s="52">
        <f>VLOOKUP(Tabla3[[#This Row],[Site]],'Important Info!'!$A$1:$F$135,2,FALSE)</f>
        <v>5</v>
      </c>
      <c r="M870" s="52">
        <f>VLOOKUP(Tabla3[[#This Row],[Site]],'Important Info!'!$A$1:$F$135,3,FALSE)</f>
        <v>4</v>
      </c>
      <c r="N870" s="52" t="str">
        <f>VLOOKUP(Tabla3[[#This Row],[Site]],'Important Info!'!$A$1:$F$135,4,FALSE)</f>
        <v>-</v>
      </c>
      <c r="O870" s="52">
        <f>VLOOKUP(Tabla3[[#This Row],[Site]],'Important Info!'!$A$1:$F$135,5,FALSE)</f>
        <v>3</v>
      </c>
      <c r="P870" s="52" t="str">
        <f>VLOOKUP(Tabla3[[#This Row],[Site]],'Important Info!'!$A$1:$F$135,6,FALSE)</f>
        <v>1, 4, 15, 16</v>
      </c>
      <c r="Q870" s="91">
        <f>VLOOKUP(Tabla3[[#This Row],[Site]],'Important Info!'!$A$1:$J$135,9,FALSE)</f>
        <v>204</v>
      </c>
    </row>
    <row r="871" spans="1:17" x14ac:dyDescent="0.25">
      <c r="A871" t="str">
        <f>+Tabla3[[#This Row],[Site]]&amp;Tabla3[[#This Row],[Split]]</f>
        <v>(DT) Wichita11</v>
      </c>
      <c r="B871">
        <v>11</v>
      </c>
      <c r="C871">
        <v>6</v>
      </c>
      <c r="D871" t="s">
        <v>33</v>
      </c>
      <c r="E871" t="s">
        <v>46</v>
      </c>
      <c r="F871" t="s">
        <v>131</v>
      </c>
      <c r="G871" t="s">
        <v>34</v>
      </c>
      <c r="H871" s="52" t="str">
        <f>VLOOKUP(Tabla3[[#This Row],[Site]],'Important Info!'!$A$1:$J$135,10,FALSE)</f>
        <v>https://tools.sig.systems/site/details/257</v>
      </c>
      <c r="J871" t="s">
        <v>41</v>
      </c>
      <c r="K871" s="79" t="str">
        <f>VLOOKUP(Tabla3[[#This Row],[Site]],'Important Info!'!$A$1:$H$135,8,FALSE)</f>
        <v>-</v>
      </c>
      <c r="L871" s="52" t="str">
        <f>VLOOKUP(Tabla3[[#This Row],[Site]],'Important Info!'!$A$1:$F$135,2,FALSE)</f>
        <v>-</v>
      </c>
      <c r="M871" s="52" t="str">
        <f>VLOOKUP(Tabla3[[#This Row],[Site]],'Important Info!'!$A$1:$F$135,3,FALSE)</f>
        <v>10, 11</v>
      </c>
      <c r="N871" s="52" t="str">
        <f>VLOOKUP(Tabla3[[#This Row],[Site]],'Important Info!'!$A$1:$F$135,4,FALSE)</f>
        <v>-</v>
      </c>
      <c r="O871" s="52" t="str">
        <f>VLOOKUP(Tabla3[[#This Row],[Site]],'Important Info!'!$A$1:$F$135,5,FALSE)</f>
        <v>-</v>
      </c>
      <c r="P871" s="52" t="str">
        <f>VLOOKUP(Tabla3[[#This Row],[Site]],'Important Info!'!$A$1:$F$135,6,FALSE)</f>
        <v>1, 5, 6, 10</v>
      </c>
      <c r="Q871" s="91">
        <f>VLOOKUP(Tabla3[[#This Row],[Site]],'Important Info!'!$A$1:$J$135,9,FALSE)</f>
        <v>257</v>
      </c>
    </row>
    <row r="872" spans="1:17" x14ac:dyDescent="0.25">
      <c r="A872" t="str">
        <f>+Tabla3[[#This Row],[Site]]&amp;Tabla3[[#This Row],[Split]]</f>
        <v>(HUD) Paint and Body Center (NO TOURS)11</v>
      </c>
      <c r="B872">
        <v>11</v>
      </c>
      <c r="C872">
        <v>6</v>
      </c>
      <c r="D872" t="s">
        <v>62</v>
      </c>
      <c r="E872" t="s">
        <v>35</v>
      </c>
      <c r="F872" t="s">
        <v>110</v>
      </c>
      <c r="G872" t="s">
        <v>490</v>
      </c>
      <c r="H872" s="52" t="str">
        <f>VLOOKUP(Tabla3[[#This Row],[Site]],'Important Info!'!$A$1:$J$135,10,FALSE)</f>
        <v>https://tools.sig.systems/site/details/256</v>
      </c>
      <c r="I872" t="s">
        <v>184</v>
      </c>
      <c r="J872" t="s">
        <v>41</v>
      </c>
      <c r="K872" s="79" t="str">
        <f>VLOOKUP(Tabla3[[#This Row],[Site]],'Important Info!'!$A$1:$H$135,8,FALSE)</f>
        <v>-</v>
      </c>
      <c r="L872" s="52" t="str">
        <f>VLOOKUP(Tabla3[[#This Row],[Site]],'Important Info!'!$A$1:$F$135,2,FALSE)</f>
        <v>-</v>
      </c>
      <c r="M872" s="52">
        <f>VLOOKUP(Tabla3[[#This Row],[Site]],'Important Info!'!$A$1:$F$135,3,FALSE)</f>
        <v>1</v>
      </c>
      <c r="N872" s="52" t="str">
        <f>VLOOKUP(Tabla3[[#This Row],[Site]],'Important Info!'!$A$1:$F$135,4,FALSE)</f>
        <v>-</v>
      </c>
      <c r="O872" s="52" t="str">
        <f>VLOOKUP(Tabla3[[#This Row],[Site]],'Important Info!'!$A$1:$F$135,5,FALSE)</f>
        <v>-</v>
      </c>
      <c r="P872" s="52" t="str">
        <f>VLOOKUP(Tabla3[[#This Row],[Site]],'Important Info!'!$A$1:$F$135,6,FALSE)</f>
        <v>-</v>
      </c>
      <c r="Q872" s="91">
        <f>VLOOKUP(Tabla3[[#This Row],[Site]],'Important Info!'!$A$1:$J$135,9,FALSE)</f>
        <v>256</v>
      </c>
    </row>
    <row r="873" spans="1:17" x14ac:dyDescent="0.25">
      <c r="A873" t="str">
        <f>+Tabla3[[#This Row],[Site]]&amp;Tabla3[[#This Row],[Split]]</f>
        <v>(KG) JLR LEHI (NO TOURS)11</v>
      </c>
      <c r="B873">
        <v>11</v>
      </c>
      <c r="C873">
        <v>6</v>
      </c>
      <c r="D873" t="s">
        <v>44</v>
      </c>
      <c r="E873" t="s">
        <v>53</v>
      </c>
      <c r="F873" t="s">
        <v>8</v>
      </c>
      <c r="G873" t="s">
        <v>45</v>
      </c>
      <c r="H873" s="52" t="str">
        <f>VLOOKUP(Tabla3[[#This Row],[Site]],'Important Info!'!$A$1:$J$135,10,FALSE)</f>
        <v>https://tools.sig.systems/site/details/145</v>
      </c>
      <c r="I873" s="2"/>
      <c r="J873" t="s">
        <v>41</v>
      </c>
      <c r="K873" s="79" t="str">
        <f>VLOOKUP(Tabla3[[#This Row],[Site]],'Important Info!'!$A$1:$H$135,8,FALSE)</f>
        <v>-</v>
      </c>
      <c r="L873" s="52" t="str">
        <f>VLOOKUP(Tabla3[[#This Row],[Site]],'Important Info!'!$A$1:$F$135,2,FALSE)</f>
        <v>1, 11</v>
      </c>
      <c r="M873" s="52" t="str">
        <f>VLOOKUP(Tabla3[[#This Row],[Site]],'Important Info!'!$A$1:$F$135,3,FALSE)</f>
        <v>-</v>
      </c>
      <c r="N873" s="52" t="str">
        <f>VLOOKUP(Tabla3[[#This Row],[Site]],'Important Info!'!$A$1:$F$135,4,FALSE)</f>
        <v>-</v>
      </c>
      <c r="O873" s="52" t="str">
        <f>VLOOKUP(Tabla3[[#This Row],[Site]],'Important Info!'!$A$1:$F$135,5,FALSE)</f>
        <v>1, 7, 11</v>
      </c>
      <c r="P873" s="52" t="str">
        <f>VLOOKUP(Tabla3[[#This Row],[Site]],'Important Info!'!$A$1:$F$135,6,FALSE)</f>
        <v>-</v>
      </c>
      <c r="Q873" s="91">
        <f>VLOOKUP(Tabla3[[#This Row],[Site]],'Important Info!'!$A$1:$J$135,9,FALSE)</f>
        <v>145</v>
      </c>
    </row>
    <row r="874" spans="1:17" x14ac:dyDescent="0.25">
      <c r="A874" t="str">
        <f>+Tabla3[[#This Row],[Site]]&amp;Tabla3[[#This Row],[Split]]</f>
        <v>(ML) Joe Machens E Collision Center11</v>
      </c>
      <c r="B874">
        <v>11</v>
      </c>
      <c r="C874">
        <v>6</v>
      </c>
      <c r="D874" t="s">
        <v>33</v>
      </c>
      <c r="E874" t="s">
        <v>46</v>
      </c>
      <c r="F874" t="s">
        <v>147</v>
      </c>
      <c r="G874" t="s">
        <v>34</v>
      </c>
      <c r="H874" s="52" t="str">
        <f>VLOOKUP(Tabla3[[#This Row],[Site]],'Important Info!'!$A$1:$J$135,10,FALSE)</f>
        <v>https://tools.sig.systems/site/details/277</v>
      </c>
      <c r="I874" s="43" t="s">
        <v>146</v>
      </c>
      <c r="J874" t="s">
        <v>41</v>
      </c>
      <c r="K874" s="79" t="str">
        <f>VLOOKUP(Tabla3[[#This Row],[Site]],'Important Info!'!$A$1:$H$135,8,FALSE)</f>
        <v>-</v>
      </c>
      <c r="L874" s="52">
        <f>VLOOKUP(Tabla3[[#This Row],[Site]],'Important Info!'!$A$1:$F$135,2,FALSE)</f>
        <v>1</v>
      </c>
      <c r="M874" s="52" t="str">
        <f>VLOOKUP(Tabla3[[#This Row],[Site]],'Important Info!'!$A$1:$F$135,3,FALSE)</f>
        <v>-</v>
      </c>
      <c r="N874" s="52" t="str">
        <f>VLOOKUP(Tabla3[[#This Row],[Site]],'Important Info!'!$A$1:$F$135,4,FALSE)</f>
        <v>-</v>
      </c>
      <c r="O874" s="52">
        <f>VLOOKUP(Tabla3[[#This Row],[Site]],'Important Info!'!$A$1:$F$135,5,FALSE)</f>
        <v>5</v>
      </c>
      <c r="P874" s="52" t="str">
        <f>VLOOKUP(Tabla3[[#This Row],[Site]],'Important Info!'!$A$1:$F$135,6,FALSE)</f>
        <v>1, 2, 3, 4</v>
      </c>
      <c r="Q874" s="91">
        <f>VLOOKUP(Tabla3[[#This Row],[Site]],'Important Info!'!$A$1:$J$135,9,FALSE)</f>
        <v>277</v>
      </c>
    </row>
    <row r="875" spans="1:17" x14ac:dyDescent="0.25">
      <c r="A875" t="str">
        <f>+Tabla3[[#This Row],[Site]]&amp;Tabla3[[#This Row],[Split]]</f>
        <v>(ML) Nissan Of Benton11</v>
      </c>
      <c r="B875">
        <v>11</v>
      </c>
      <c r="C875">
        <v>6</v>
      </c>
      <c r="D875" t="s">
        <v>33</v>
      </c>
      <c r="E875" t="s">
        <v>46</v>
      </c>
      <c r="F875" t="s">
        <v>120</v>
      </c>
      <c r="G875" t="s">
        <v>34</v>
      </c>
      <c r="H875" s="52" t="str">
        <f>VLOOKUP(Tabla3[[#This Row],[Site]],'Important Info!'!$A$1:$J$135,10,FALSE)</f>
        <v>https://tools.sig.systems/site/details/247</v>
      </c>
      <c r="I875" s="2"/>
      <c r="J875" t="s">
        <v>41</v>
      </c>
      <c r="K875" s="79" t="str">
        <f>VLOOKUP(Tabla3[[#This Row],[Site]],'Important Info!'!$A$1:$H$135,8,FALSE)</f>
        <v>-</v>
      </c>
      <c r="L875" s="52" t="str">
        <f>VLOOKUP(Tabla3[[#This Row],[Site]],'Important Info!'!$A$1:$F$135,2,FALSE)</f>
        <v>5, 12</v>
      </c>
      <c r="M875" s="52" t="str">
        <f>VLOOKUP(Tabla3[[#This Row],[Site]],'Important Info!'!$A$1:$F$135,3,FALSE)</f>
        <v>-</v>
      </c>
      <c r="N875" s="52" t="str">
        <f>VLOOKUP(Tabla3[[#This Row],[Site]],'Important Info!'!$A$1:$F$135,4,FALSE)</f>
        <v>-</v>
      </c>
      <c r="O875" s="52" t="str">
        <f>VLOOKUP(Tabla3[[#This Row],[Site]],'Important Info!'!$A$1:$F$135,5,FALSE)</f>
        <v>4, 18</v>
      </c>
      <c r="P875" s="52" t="str">
        <f>VLOOKUP(Tabla3[[#This Row],[Site]],'Important Info!'!$A$1:$F$135,6,FALSE)</f>
        <v>-</v>
      </c>
      <c r="Q875" s="91">
        <f>VLOOKUP(Tabla3[[#This Row],[Site]],'Important Info!'!$A$1:$J$135,9,FALSE)</f>
        <v>247</v>
      </c>
    </row>
    <row r="876" spans="1:17" x14ac:dyDescent="0.25">
      <c r="A876" t="str">
        <f>+Tabla3[[#This Row],[Site]]&amp;Tabla3[[#This Row],[Split]]</f>
        <v>(ML) Nissan of North Little Rock11</v>
      </c>
      <c r="B876">
        <v>11</v>
      </c>
      <c r="C876">
        <v>6</v>
      </c>
      <c r="D876" t="s">
        <v>33</v>
      </c>
      <c r="E876" t="s">
        <v>46</v>
      </c>
      <c r="F876" t="s">
        <v>75</v>
      </c>
      <c r="G876" t="s">
        <v>34</v>
      </c>
      <c r="H876" s="52" t="str">
        <f>VLOOKUP(Tabla3[[#This Row],[Site]],'Important Info!'!$A$1:$J$135,10,FALSE)</f>
        <v>https://tools.sig.systems/site/details/216</v>
      </c>
      <c r="I876" s="43" t="s">
        <v>142</v>
      </c>
      <c r="J876" t="s">
        <v>41</v>
      </c>
      <c r="K876" s="79" t="str">
        <f>VLOOKUP(Tabla3[[#This Row],[Site]],'Important Info!'!$A$1:$H$135,8,FALSE)</f>
        <v>-</v>
      </c>
      <c r="L876" s="52" t="str">
        <f>VLOOKUP(Tabla3[[#This Row],[Site]],'Important Info!'!$A$1:$F$135,2,FALSE)</f>
        <v>2, 4</v>
      </c>
      <c r="M876" s="52" t="str">
        <f>VLOOKUP(Tabla3[[#This Row],[Site]],'Important Info!'!$A$1:$F$135,3,FALSE)</f>
        <v>-</v>
      </c>
      <c r="N876" s="52" t="str">
        <f>VLOOKUP(Tabla3[[#This Row],[Site]],'Important Info!'!$A$1:$F$135,4,FALSE)</f>
        <v>-</v>
      </c>
      <c r="O876" s="52" t="str">
        <f>VLOOKUP(Tabla3[[#This Row],[Site]],'Important Info!'!$A$1:$F$135,5,FALSE)</f>
        <v>5, 17, 23</v>
      </c>
      <c r="P876" s="52">
        <f>VLOOKUP(Tabla3[[#This Row],[Site]],'Important Info!'!$A$1:$F$135,6,FALSE)</f>
        <v>18</v>
      </c>
      <c r="Q876" s="91">
        <f>VLOOKUP(Tabla3[[#This Row],[Site]],'Important Info!'!$A$1:$J$135,9,FALSE)</f>
        <v>216</v>
      </c>
    </row>
    <row r="877" spans="1:17" x14ac:dyDescent="0.25">
      <c r="A877" t="str">
        <f>+Tabla3[[#This Row],[Site]]&amp;Tabla3[[#This Row],[Split]]</f>
        <v>(ML) Toyota N Little Rock11</v>
      </c>
      <c r="B877">
        <v>11</v>
      </c>
      <c r="C877">
        <v>6</v>
      </c>
      <c r="D877" t="s">
        <v>33</v>
      </c>
      <c r="E877" t="s">
        <v>46</v>
      </c>
      <c r="F877" t="s">
        <v>76</v>
      </c>
      <c r="G877" t="s">
        <v>34</v>
      </c>
      <c r="H877" s="52" t="str">
        <f>VLOOKUP(Tabla3[[#This Row],[Site]],'Important Info!'!$A$1:$J$135,10,FALSE)</f>
        <v>https://tools.sig.systems/site/details/201</v>
      </c>
      <c r="I877" s="43" t="s">
        <v>142</v>
      </c>
      <c r="J877" t="s">
        <v>41</v>
      </c>
      <c r="K877" s="79" t="str">
        <f>VLOOKUP(Tabla3[[#This Row],[Site]],'Important Info!'!$A$1:$H$135,8,FALSE)</f>
        <v>-</v>
      </c>
      <c r="L877" s="52" t="str">
        <f>VLOOKUP(Tabla3[[#This Row],[Site]],'Important Info!'!$A$1:$F$135,2,FALSE)</f>
        <v>4, 15, 18, 22, 23, 26</v>
      </c>
      <c r="M877" s="52" t="str">
        <f>VLOOKUP(Tabla3[[#This Row],[Site]],'Important Info!'!$A$1:$F$135,3,FALSE)</f>
        <v>-</v>
      </c>
      <c r="N877" s="52" t="str">
        <f>VLOOKUP(Tabla3[[#This Row],[Site]],'Important Info!'!$A$1:$F$135,4,FALSE)</f>
        <v>-</v>
      </c>
      <c r="O877" s="52" t="str">
        <f>VLOOKUP(Tabla3[[#This Row],[Site]],'Important Info!'!$A$1:$F$135,5,FALSE)</f>
        <v>2, 12, 13, 18</v>
      </c>
      <c r="P877" s="52" t="str">
        <f>VLOOKUP(Tabla3[[#This Row],[Site]],'Important Info!'!$A$1:$F$135,6,FALSE)</f>
        <v>-</v>
      </c>
      <c r="Q877" s="91">
        <f>VLOOKUP(Tabla3[[#This Row],[Site]],'Important Info!'!$A$1:$J$135,9,FALSE)</f>
        <v>201</v>
      </c>
    </row>
    <row r="878" spans="1:17" x14ac:dyDescent="0.25">
      <c r="A878" t="str">
        <f>+Tabla3[[#This Row],[Site]]&amp;Tabla3[[#This Row],[Split]]</f>
        <v>(RV) Toms Camperland Surprise (NO TOURS)11</v>
      </c>
      <c r="B878">
        <v>11</v>
      </c>
      <c r="C878">
        <v>6</v>
      </c>
      <c r="D878" t="s">
        <v>51</v>
      </c>
      <c r="E878" t="s">
        <v>161</v>
      </c>
      <c r="F878" t="s">
        <v>165</v>
      </c>
      <c r="G878" t="s">
        <v>52</v>
      </c>
      <c r="H878" s="52" t="str">
        <f>VLOOKUP(Tabla3[[#This Row],[Site]],'Important Info!'!$A$1:$J$135,10,FALSE)</f>
        <v>https://tools.sig.systems/site/details/254</v>
      </c>
      <c r="I878" s="43"/>
      <c r="J878" t="s">
        <v>52</v>
      </c>
      <c r="K878" s="79" t="str">
        <f>VLOOKUP(Tabla3[[#This Row],[Site]],'Important Info!'!$A$1:$H$135,8,FALSE)</f>
        <v>-</v>
      </c>
      <c r="L878" s="52" t="str">
        <f>VLOOKUP(Tabla3[[#This Row],[Site]],'Important Info!'!$A$1:$F$135,2,FALSE)</f>
        <v>1, 3, 4</v>
      </c>
      <c r="M878" s="52" t="str">
        <f>VLOOKUP(Tabla3[[#This Row],[Site]],'Important Info!'!$A$1:$F$135,3,FALSE)</f>
        <v>-</v>
      </c>
      <c r="N878" s="52" t="str">
        <f>VLOOKUP(Tabla3[[#This Row],[Site]],'Important Info!'!$A$1:$F$135,4,FALSE)</f>
        <v>-</v>
      </c>
      <c r="O878" s="52" t="str">
        <f>VLOOKUP(Tabla3[[#This Row],[Site]],'Important Info!'!$A$1:$F$135,5,FALSE)</f>
        <v>-</v>
      </c>
      <c r="P878" s="52" t="str">
        <f>VLOOKUP(Tabla3[[#This Row],[Site]],'Important Info!'!$A$1:$F$135,6,FALSE)</f>
        <v>1, 2, 3, 4, 15</v>
      </c>
      <c r="Q878" s="91">
        <f>VLOOKUP(Tabla3[[#This Row],[Site]],'Important Info!'!$A$1:$J$135,9,FALSE)</f>
        <v>254</v>
      </c>
    </row>
    <row r="879" spans="1:17" x14ac:dyDescent="0.25">
      <c r="A879" t="str">
        <f>+Tabla3[[#This Row],[Site]]&amp;Tabla3[[#This Row],[Split]]</f>
        <v>(SCH) Prep Center Delray11</v>
      </c>
      <c r="B879">
        <v>11</v>
      </c>
      <c r="C879">
        <v>6</v>
      </c>
      <c r="D879" t="s">
        <v>62</v>
      </c>
      <c r="E879" t="s">
        <v>35</v>
      </c>
      <c r="F879" t="s">
        <v>191</v>
      </c>
      <c r="G879" t="s">
        <v>490</v>
      </c>
      <c r="H879" s="52" t="str">
        <f>VLOOKUP(Tabla3[[#This Row],[Site]],'Important Info!'!$A$1:$J$135,10,FALSE)</f>
        <v>https://tools.sig.systems/site/details/321</v>
      </c>
      <c r="I879" s="43"/>
      <c r="J879" t="s">
        <v>41</v>
      </c>
      <c r="K879" s="79" t="str">
        <f>VLOOKUP(Tabla3[[#This Row],[Site]],'Important Info!'!$A$1:$H$135,8,FALSE)</f>
        <v>-</v>
      </c>
      <c r="L879" s="52" t="str">
        <f>VLOOKUP(Tabla3[[#This Row],[Site]],'Important Info!'!$A$1:$F$135,2,FALSE)</f>
        <v>2,3</v>
      </c>
      <c r="M879" s="52" t="str">
        <f>VLOOKUP(Tabla3[[#This Row],[Site]],'Important Info!'!$A$1:$F$135,3,FALSE)</f>
        <v>-</v>
      </c>
      <c r="N879" s="52" t="str">
        <f>VLOOKUP(Tabla3[[#This Row],[Site]],'Important Info!'!$A$1:$F$135,4,FALSE)</f>
        <v>-</v>
      </c>
      <c r="O879" s="52" t="str">
        <f>VLOOKUP(Tabla3[[#This Row],[Site]],'Important Info!'!$A$1:$F$135,5,FALSE)</f>
        <v>-</v>
      </c>
      <c r="P879" s="52" t="str">
        <f>VLOOKUP(Tabla3[[#This Row],[Site]],'Important Info!'!$A$1:$F$135,6,FALSE)</f>
        <v>2,4,10</v>
      </c>
      <c r="Q879" s="91">
        <f>VLOOKUP(Tabla3[[#This Row],[Site]],'Important Info!'!$A$1:$J$135,9,FALSE)</f>
        <v>321</v>
      </c>
    </row>
    <row r="880" spans="1:17" x14ac:dyDescent="0.25">
      <c r="A880" t="str">
        <f>+Tabla3[[#This Row],[Site]]&amp;Tabla3[[#This Row],[Split]]</f>
        <v>(TC) Tavernier Creek Marina (NO TOURS)11</v>
      </c>
      <c r="B880">
        <v>11</v>
      </c>
      <c r="C880">
        <v>6</v>
      </c>
      <c r="D880" t="s">
        <v>62</v>
      </c>
      <c r="E880" t="s">
        <v>35</v>
      </c>
      <c r="F880" t="s">
        <v>119</v>
      </c>
      <c r="G880" t="s">
        <v>34</v>
      </c>
      <c r="H880" s="52" t="str">
        <f>VLOOKUP(Tabla3[[#This Row],[Site]],'Important Info!'!$A$1:$J$135,10,FALSE)</f>
        <v>https://tools.sig.systems/site/details/164</v>
      </c>
      <c r="J880" t="s">
        <v>45</v>
      </c>
      <c r="K880" s="79" t="str">
        <f>VLOOKUP(Tabla3[[#This Row],[Site]],'Important Info!'!$A$1:$H$135,8,FALSE)</f>
        <v>-</v>
      </c>
      <c r="L880" s="52" t="str">
        <f>VLOOKUP(Tabla3[[#This Row],[Site]],'Important Info!'!$A$1:$F$135,2,FALSE)</f>
        <v>28, 29</v>
      </c>
      <c r="M880" s="52" t="str">
        <f>VLOOKUP(Tabla3[[#This Row],[Site]],'Important Info!'!$A$1:$F$135,3,FALSE)</f>
        <v>-</v>
      </c>
      <c r="N880" s="52" t="str">
        <f>VLOOKUP(Tabla3[[#This Row],[Site]],'Important Info!'!$A$1:$F$135,4,FALSE)</f>
        <v>-</v>
      </c>
      <c r="O880" s="52" t="str">
        <f>VLOOKUP(Tabla3[[#This Row],[Site]],'Important Info!'!$A$1:$F$135,5,FALSE)</f>
        <v>-</v>
      </c>
      <c r="P880" s="52" t="str">
        <f>VLOOKUP(Tabla3[[#This Row],[Site]],'Important Info!'!$A$1:$F$135,6,FALSE)</f>
        <v>5, 28, 29</v>
      </c>
      <c r="Q880" s="91">
        <f>VLOOKUP(Tabla3[[#This Row],[Site]],'Important Info!'!$A$1:$J$135,9,FALSE)</f>
        <v>164</v>
      </c>
    </row>
    <row r="881" spans="1:17" x14ac:dyDescent="0.25">
      <c r="A881" t="str">
        <f>+Tabla3[[#This Row],[Site]]&amp;Tabla3[[#This Row],[Split]]</f>
        <v>(AS) Atwell Prep Center-Dallas (NO TOURS)11</v>
      </c>
      <c r="B881">
        <v>11</v>
      </c>
      <c r="C881">
        <v>7</v>
      </c>
      <c r="D881" t="s">
        <v>33</v>
      </c>
      <c r="E881" t="s">
        <v>46</v>
      </c>
      <c r="F881" t="s">
        <v>498</v>
      </c>
      <c r="G881" t="s">
        <v>34</v>
      </c>
      <c r="H881" s="52" t="str">
        <f>VLOOKUP(Tabla3[[#This Row],[Site]],'Important Info!'!$A$1:$J$135,10,FALSE)</f>
        <v>https://tools.sig.systems/site/details/165</v>
      </c>
      <c r="I881" s="65" t="s">
        <v>125</v>
      </c>
      <c r="J881" t="s">
        <v>41</v>
      </c>
      <c r="K881" s="79" t="str">
        <f>VLOOKUP(Tabla3[[#This Row],[Site]],'Important Info!'!$A$1:$H$135,8,FALSE)</f>
        <v>-</v>
      </c>
      <c r="L881" s="52" t="str">
        <f>VLOOKUP(Tabla3[[#This Row],[Site]],'Important Info!'!$A$1:$F$135,2,FALSE)</f>
        <v>4, 6, 7</v>
      </c>
      <c r="M881" s="52" t="str">
        <f>VLOOKUP(Tabla3[[#This Row],[Site]],'Important Info!'!$A$1:$F$135,3,FALSE)</f>
        <v>-</v>
      </c>
      <c r="N881" s="52" t="str">
        <f>VLOOKUP(Tabla3[[#This Row],[Site]],'Important Info!'!$A$1:$F$135,4,FALSE)</f>
        <v>-</v>
      </c>
      <c r="O881" s="52" t="str">
        <f>VLOOKUP(Tabla3[[#This Row],[Site]],'Important Info!'!$A$1:$F$135,5,FALSE)</f>
        <v>-</v>
      </c>
      <c r="P881" s="52" t="str">
        <f>VLOOKUP(Tabla3[[#This Row],[Site]],'Important Info!'!$A$1:$F$135,6,FALSE)</f>
        <v>1, 2</v>
      </c>
      <c r="Q881" s="91">
        <f>VLOOKUP(Tabla3[[#This Row],[Site]],'Important Info!'!$A$1:$J$135,9,FALSE)</f>
        <v>165</v>
      </c>
    </row>
    <row r="882" spans="1:17" x14ac:dyDescent="0.25">
      <c r="A882" t="str">
        <f>+Tabla3[[#This Row],[Site]]&amp;Tabla3[[#This Row],[Split]]</f>
        <v>(AS) Coggin Acura Ft Pierce (NO TOURS)11</v>
      </c>
      <c r="B882">
        <v>11</v>
      </c>
      <c r="C882">
        <v>7</v>
      </c>
      <c r="D882" t="s">
        <v>62</v>
      </c>
      <c r="E882" t="s">
        <v>35</v>
      </c>
      <c r="F882" t="s">
        <v>500</v>
      </c>
      <c r="G882" t="s">
        <v>490</v>
      </c>
      <c r="H882" s="52" t="str">
        <f>VLOOKUP(Tabla3[[#This Row],[Site]],'Important Info!'!$A$1:$J$135,10,FALSE)</f>
        <v>https://tools.sig.systems/site/details/118</v>
      </c>
      <c r="I882" s="43" t="s">
        <v>179</v>
      </c>
      <c r="J882" t="s">
        <v>41</v>
      </c>
      <c r="K882" s="79" t="str">
        <f>VLOOKUP(Tabla3[[#This Row],[Site]],'Important Info!'!$A$1:$H$135,8,FALSE)</f>
        <v>-</v>
      </c>
      <c r="L882" s="52" t="str">
        <f>VLOOKUP(Tabla3[[#This Row],[Site]],'Important Info!'!$A$1:$F$135,2,FALSE)</f>
        <v>-</v>
      </c>
      <c r="M882" s="52">
        <f>VLOOKUP(Tabla3[[#This Row],[Site]],'Important Info!'!$A$1:$F$135,3,FALSE)</f>
        <v>6</v>
      </c>
      <c r="N882" s="52" t="str">
        <f>VLOOKUP(Tabla3[[#This Row],[Site]],'Important Info!'!$A$1:$F$135,4,FALSE)</f>
        <v>-</v>
      </c>
      <c r="O882" s="52" t="str">
        <f>VLOOKUP(Tabla3[[#This Row],[Site]],'Important Info!'!$A$1:$F$135,5,FALSE)</f>
        <v>4, 6</v>
      </c>
      <c r="P882" s="52">
        <f>VLOOKUP(Tabla3[[#This Row],[Site]],'Important Info!'!$A$1:$F$135,6,FALSE)</f>
        <v>1</v>
      </c>
      <c r="Q882" s="91">
        <f>VLOOKUP(Tabla3[[#This Row],[Site]],'Important Info!'!$A$1:$J$135,9,FALSE)</f>
        <v>118</v>
      </c>
    </row>
    <row r="883" spans="1:17" x14ac:dyDescent="0.25">
      <c r="A883" t="str">
        <f>+Tabla3[[#This Row],[Site]]&amp;Tabla3[[#This Row],[Split]]</f>
        <v>(AS) Courtesy CDJR of Brandon (NO TOURS)11</v>
      </c>
      <c r="B883">
        <v>11</v>
      </c>
      <c r="C883">
        <v>7</v>
      </c>
      <c r="D883" t="s">
        <v>62</v>
      </c>
      <c r="E883" t="s">
        <v>35</v>
      </c>
      <c r="F883" t="s">
        <v>503</v>
      </c>
      <c r="G883" t="s">
        <v>490</v>
      </c>
      <c r="H883" s="52" t="str">
        <f>VLOOKUP(Tabla3[[#This Row],[Site]],'Important Info!'!$A$1:$J$135,10,FALSE)</f>
        <v>https://tools.sig.systems/site/details/126</v>
      </c>
      <c r="I883" s="43" t="s">
        <v>181</v>
      </c>
      <c r="J883" t="s">
        <v>484</v>
      </c>
      <c r="K883" s="79" t="str">
        <f>VLOOKUP(Tabla3[[#This Row],[Site]],'Important Info!'!$A$1:$H$135,8,FALSE)</f>
        <v>-</v>
      </c>
      <c r="L883" s="52" t="str">
        <f>VLOOKUP(Tabla3[[#This Row],[Site]],'Important Info!'!$A$1:$F$135,2,FALSE)</f>
        <v>1, 14, 15</v>
      </c>
      <c r="M883" s="52">
        <f>VLOOKUP(Tabla3[[#This Row],[Site]],'Important Info!'!$A$1:$F$135,3,FALSE)</f>
        <v>1</v>
      </c>
      <c r="N883" s="52" t="str">
        <f>VLOOKUP(Tabla3[[#This Row],[Site]],'Important Info!'!$A$1:$F$135,4,FALSE)</f>
        <v>-</v>
      </c>
      <c r="O883" s="52" t="str">
        <f>VLOOKUP(Tabla3[[#This Row],[Site]],'Important Info!'!$A$1:$F$135,5,FALSE)</f>
        <v>2, 12</v>
      </c>
      <c r="P883" s="52" t="str">
        <f>VLOOKUP(Tabla3[[#This Row],[Site]],'Important Info!'!$A$1:$F$135,6,FALSE)</f>
        <v xml:space="preserve">1, 2, 3, 4, 14, 15, 21, 25 </v>
      </c>
      <c r="Q883" s="91">
        <f>VLOOKUP(Tabla3[[#This Row],[Site]],'Important Info!'!$A$1:$J$135,9,FALSE)</f>
        <v>126</v>
      </c>
    </row>
    <row r="884" spans="1:17" x14ac:dyDescent="0.25">
      <c r="A884" t="str">
        <f>+Tabla3[[#This Row],[Site]]&amp;Tabla3[[#This Row],[Split]]</f>
        <v>(AS) David McDavid Honda I &amp; II (NO TOURS)11</v>
      </c>
      <c r="B884">
        <v>11</v>
      </c>
      <c r="C884">
        <v>7</v>
      </c>
      <c r="D884" t="s">
        <v>33</v>
      </c>
      <c r="E884" t="s">
        <v>46</v>
      </c>
      <c r="F884" t="s">
        <v>506</v>
      </c>
      <c r="G884" t="s">
        <v>34</v>
      </c>
      <c r="H884" s="52" t="str">
        <f>VLOOKUP(Tabla3[[#This Row],[Site]],'Important Info!'!$A$1:$J$135,10,FALSE)</f>
        <v>https://tools.sig.systems/site/details/129</v>
      </c>
      <c r="J884" t="s">
        <v>41</v>
      </c>
      <c r="K884" s="79" t="str">
        <f>VLOOKUP(Tabla3[[#This Row],[Site]],'Important Info!'!$A$1:$H$135,8,FALSE)</f>
        <v>-</v>
      </c>
      <c r="L884" s="52" t="str">
        <f>VLOOKUP(Tabla3[[#This Row],[Site]],'Important Info!'!$A$1:$F$135,2,FALSE)</f>
        <v>-</v>
      </c>
      <c r="M884" s="52" t="str">
        <f>VLOOKUP(Tabla3[[#This Row],[Site]],'Important Info!'!$A$1:$F$135,3,FALSE)</f>
        <v>3, 19, 23, 32, 35</v>
      </c>
      <c r="N884" s="52" t="str">
        <f>VLOOKUP(Tabla3[[#This Row],[Site]],'Important Info!'!$A$1:$F$135,4,FALSE)</f>
        <v>-</v>
      </c>
      <c r="O884" s="52" t="str">
        <f>VLOOKUP(Tabla3[[#This Row],[Site]],'Important Info!'!$A$1:$F$135,5,FALSE)</f>
        <v>2, 6, 9, 19, 25, 30, 48</v>
      </c>
      <c r="P884" s="52" t="str">
        <f>VLOOKUP(Tabla3[[#This Row],[Site]],'Important Info!'!$A$1:$F$135,6,FALSE)</f>
        <v>25, 26, 35, 36, 37</v>
      </c>
      <c r="Q884" s="91">
        <f>VLOOKUP(Tabla3[[#This Row],[Site]],'Important Info!'!$A$1:$J$135,9,FALSE)</f>
        <v>129</v>
      </c>
    </row>
    <row r="885" spans="1:17" x14ac:dyDescent="0.25">
      <c r="A885" t="str">
        <f>+Tabla3[[#This Row],[Site]]&amp;Tabla3[[#This Row],[Split]]</f>
        <v>(AS) Park Place Mercedes Benz Ft. Worth (NO TOURS)11</v>
      </c>
      <c r="B885">
        <v>11</v>
      </c>
      <c r="C885">
        <v>7</v>
      </c>
      <c r="D885" t="s">
        <v>33</v>
      </c>
      <c r="E885" t="s">
        <v>46</v>
      </c>
      <c r="F885" t="s">
        <v>519</v>
      </c>
      <c r="G885" t="s">
        <v>34</v>
      </c>
      <c r="H885" s="52" t="str">
        <f>VLOOKUP(Tabla3[[#This Row],[Site]],'Important Info!'!$A$1:$J$135,10,FALSE)</f>
        <v>https://tools.sig.systems/site/details/137</v>
      </c>
      <c r="I885" s="2" t="s">
        <v>128</v>
      </c>
      <c r="J885" t="s">
        <v>41</v>
      </c>
      <c r="K885" s="79" t="s">
        <v>37</v>
      </c>
      <c r="L885" s="52" t="str">
        <f>VLOOKUP(Tabla3[[#This Row],[Site]],'Important Info!'!$A$1:$F$135,2,FALSE)</f>
        <v>4, 18</v>
      </c>
      <c r="M885" s="52" t="str">
        <f>VLOOKUP(Tabla3[[#This Row],[Site]],'Important Info!'!$A$1:$F$135,3,FALSE)</f>
        <v>-</v>
      </c>
      <c r="N885" s="52" t="str">
        <f>VLOOKUP(Tabla3[[#This Row],[Site]],'Important Info!'!$A$1:$F$135,4,FALSE)</f>
        <v>54, 55</v>
      </c>
      <c r="O885" s="52" t="str">
        <f>VLOOKUP(Tabla3[[#This Row],[Site]],'Important Info!'!$A$1:$F$135,5,FALSE)</f>
        <v>2, 18</v>
      </c>
      <c r="P885" s="52" t="str">
        <f>VLOOKUP(Tabla3[[#This Row],[Site]],'Important Info!'!$A$1:$F$135,6,FALSE)</f>
        <v>5, 18</v>
      </c>
      <c r="Q885" s="91">
        <f>VLOOKUP(Tabla3[[#This Row],[Site]],'Important Info!'!$A$1:$J$135,9,FALSE)</f>
        <v>137</v>
      </c>
    </row>
    <row r="886" spans="1:17" x14ac:dyDescent="0.25">
      <c r="A886" t="str">
        <f>+Tabla3[[#This Row],[Site]]&amp;Tabla3[[#This Row],[Split]]</f>
        <v>(AS) Stevinson Toyota West (NO TOURS)11</v>
      </c>
      <c r="B886">
        <v>11</v>
      </c>
      <c r="C886">
        <v>7</v>
      </c>
      <c r="D886" t="s">
        <v>44</v>
      </c>
      <c r="E886" t="s">
        <v>53</v>
      </c>
      <c r="F886" t="s">
        <v>79</v>
      </c>
      <c r="G886" t="s">
        <v>45</v>
      </c>
      <c r="H886" s="52" t="str">
        <f>VLOOKUP(Tabla3[[#This Row],[Site]],'Important Info!'!$A$1:$J$135,10,FALSE)</f>
        <v>https://tools.sig.systems/site/details/240</v>
      </c>
      <c r="I886" s="2" t="s">
        <v>154</v>
      </c>
      <c r="J886" t="s">
        <v>41</v>
      </c>
      <c r="K886" s="79" t="str">
        <f>VLOOKUP(Tabla3[[#This Row],[Site]],'Important Info!'!$A$1:$H$135,8,FALSE)</f>
        <v>-</v>
      </c>
      <c r="L886" s="52" t="str">
        <f>VLOOKUP(Tabla3[[#This Row],[Site]],'Important Info!'!$A$1:$F$135,2,FALSE)</f>
        <v>-</v>
      </c>
      <c r="M886" s="52" t="str">
        <f>VLOOKUP(Tabla3[[#This Row],[Site]],'Important Info!'!$A$1:$F$135,3,FALSE)</f>
        <v>7, 18, 21</v>
      </c>
      <c r="N886" s="52" t="str">
        <f>VLOOKUP(Tabla3[[#This Row],[Site]],'Important Info!'!$A$1:$F$135,4,FALSE)</f>
        <v>-</v>
      </c>
      <c r="O886" s="52" t="str">
        <f>VLOOKUP(Tabla3[[#This Row],[Site]],'Important Info!'!$A$1:$F$135,5,FALSE)</f>
        <v>11, 24, 34</v>
      </c>
      <c r="P886" s="52" t="str">
        <f>VLOOKUP(Tabla3[[#This Row],[Site]],'Important Info!'!$A$1:$F$135,6,FALSE)</f>
        <v>1, 2, 3, 12</v>
      </c>
      <c r="Q886" s="91">
        <f>VLOOKUP(Tabla3[[#This Row],[Site]],'Important Info!'!$A$1:$J$135,9,FALSE)</f>
        <v>240</v>
      </c>
    </row>
    <row r="887" spans="1:17" x14ac:dyDescent="0.25">
      <c r="A887" t="str">
        <f>+Tabla3[[#This Row],[Site]]&amp;Tabla3[[#This Row],[Split]]</f>
        <v>(MK) McKenny Salinas Honda11</v>
      </c>
      <c r="B887">
        <v>11</v>
      </c>
      <c r="C887">
        <v>7</v>
      </c>
      <c r="D887" t="s">
        <v>62</v>
      </c>
      <c r="E887" t="s">
        <v>35</v>
      </c>
      <c r="F887" t="s">
        <v>115</v>
      </c>
      <c r="G887" t="s">
        <v>490</v>
      </c>
      <c r="H887" s="52" t="str">
        <f>VLOOKUP(Tabla3[[#This Row],[Site]],'Important Info!'!$A$1:$J$135,10,FALSE)</f>
        <v>https://tools.sig.systems/site/details/149</v>
      </c>
      <c r="J887" t="s">
        <v>41</v>
      </c>
      <c r="K887" s="79" t="str">
        <f>VLOOKUP(Tabla3[[#This Row],[Site]],'Important Info!'!$A$1:$H$135,8,FALSE)</f>
        <v>-</v>
      </c>
      <c r="L887" s="52" t="str">
        <f>VLOOKUP(Tabla3[[#This Row],[Site]],'Important Info!'!$A$1:$F$135,2,FALSE)</f>
        <v>-</v>
      </c>
      <c r="M887" s="52" t="str">
        <f>VLOOKUP(Tabla3[[#This Row],[Site]],'Important Info!'!$A$1:$F$135,3,FALSE)</f>
        <v>12, 16</v>
      </c>
      <c r="N887" s="52" t="str">
        <f>VLOOKUP(Tabla3[[#This Row],[Site]],'Important Info!'!$A$1:$F$135,4,FALSE)</f>
        <v>-</v>
      </c>
      <c r="O887" s="52" t="str">
        <f>VLOOKUP(Tabla3[[#This Row],[Site]],'Important Info!'!$A$1:$F$135,5,FALSE)</f>
        <v>-</v>
      </c>
      <c r="P887" s="52" t="str">
        <f>VLOOKUP(Tabla3[[#This Row],[Site]],'Important Info!'!$A$1:$F$135,6,FALSE)</f>
        <v>3, 4, 5, 6, 16</v>
      </c>
      <c r="Q887" s="91">
        <f>VLOOKUP(Tabla3[[#This Row],[Site]],'Important Info!'!$A$1:$J$135,9,FALSE)</f>
        <v>149</v>
      </c>
    </row>
    <row r="888" spans="1:17" x14ac:dyDescent="0.25">
      <c r="A888" t="str">
        <f>+Tabla3[[#This Row],[Site]]&amp;Tabla3[[#This Row],[Split]]</f>
        <v>(ML) Honda of Little Rock11</v>
      </c>
      <c r="B888">
        <v>11</v>
      </c>
      <c r="C888">
        <v>7</v>
      </c>
      <c r="D888" t="s">
        <v>33</v>
      </c>
      <c r="E888" t="s">
        <v>46</v>
      </c>
      <c r="F888" t="s">
        <v>71</v>
      </c>
      <c r="G888" t="s">
        <v>34</v>
      </c>
      <c r="H888" s="52" t="str">
        <f>VLOOKUP(Tabla3[[#This Row],[Site]],'Important Info!'!$A$1:$J$135,10,FALSE)</f>
        <v>https://tools.sig.systems/site/details/249</v>
      </c>
      <c r="I888" s="43" t="s">
        <v>140</v>
      </c>
      <c r="J888" t="s">
        <v>41</v>
      </c>
      <c r="K888" s="79" t="str">
        <f>VLOOKUP(Tabla3[[#This Row],[Site]],'Important Info!'!$A$1:$H$135,8,FALSE)</f>
        <v>-</v>
      </c>
      <c r="L888" s="52" t="str">
        <f>VLOOKUP(Tabla3[[#This Row],[Site]],'Important Info!'!$A$1:$F$135,2,FALSE)</f>
        <v>1, 4, 9, 14, 21</v>
      </c>
      <c r="M888" s="52" t="str">
        <f>VLOOKUP(Tabla3[[#This Row],[Site]],'Important Info!'!$A$1:$F$135,3,FALSE)</f>
        <v>-</v>
      </c>
      <c r="N888" s="52" t="str">
        <f>VLOOKUP(Tabla3[[#This Row],[Site]],'Important Info!'!$A$1:$F$135,4,FALSE)</f>
        <v>-</v>
      </c>
      <c r="O888" s="52" t="str">
        <f>VLOOKUP(Tabla3[[#This Row],[Site]],'Important Info!'!$A$1:$F$135,5,FALSE)</f>
        <v>4, 14, 21</v>
      </c>
      <c r="P888" s="52" t="str">
        <f>VLOOKUP(Tabla3[[#This Row],[Site]],'Important Info!'!$A$1:$F$135,6,FALSE)</f>
        <v>11, 12</v>
      </c>
      <c r="Q888" s="91">
        <f>VLOOKUP(Tabla3[[#This Row],[Site]],'Important Info!'!$A$1:$J$135,9,FALSE)</f>
        <v>249</v>
      </c>
    </row>
    <row r="889" spans="1:17" x14ac:dyDescent="0.25">
      <c r="A889" t="str">
        <f>+Tabla3[[#This Row],[Site]]&amp;Tabla3[[#This Row],[Split]]</f>
        <v>(ML) Joe Machens Temporary 2.011</v>
      </c>
      <c r="B889">
        <v>11</v>
      </c>
      <c r="C889">
        <v>7</v>
      </c>
      <c r="D889" t="s">
        <v>33</v>
      </c>
      <c r="E889" t="s">
        <v>46</v>
      </c>
      <c r="F889" t="s">
        <v>105</v>
      </c>
      <c r="G889" t="s">
        <v>34</v>
      </c>
      <c r="H889" s="52" t="str">
        <f>VLOOKUP(Tabla3[[#This Row],[Site]],'Important Info!'!$A$1:$J$135,10,FALSE)</f>
        <v>https://tools.sig.systems/site/details/278</v>
      </c>
      <c r="I889" s="43" t="s">
        <v>146</v>
      </c>
      <c r="J889" t="s">
        <v>41</v>
      </c>
      <c r="K889" s="79" t="str">
        <f>VLOOKUP(Tabla3[[#This Row],[Site]],'Important Info!'!$A$1:$H$135,8,FALSE)</f>
        <v>-</v>
      </c>
      <c r="L889" s="52" t="str">
        <f>VLOOKUP(Tabla3[[#This Row],[Site]],'Important Info!'!$A$1:$F$135,2,FALSE)</f>
        <v>-</v>
      </c>
      <c r="M889" s="52" t="str">
        <f>VLOOKUP(Tabla3[[#This Row],[Site]],'Important Info!'!$A$1:$F$135,3,FALSE)</f>
        <v>1, 11, 14, 15, 16</v>
      </c>
      <c r="N889" s="52" t="str">
        <f>VLOOKUP(Tabla3[[#This Row],[Site]],'Important Info!'!$A$1:$F$135,4,FALSE)</f>
        <v>-</v>
      </c>
      <c r="O889" s="52">
        <f>VLOOKUP(Tabla3[[#This Row],[Site]],'Important Info!'!$A$1:$F$135,5,FALSE)</f>
        <v>13</v>
      </c>
      <c r="P889" s="52" t="str">
        <f>VLOOKUP(Tabla3[[#This Row],[Site]],'Important Info!'!$A$1:$F$135,6,FALSE)</f>
        <v>-</v>
      </c>
      <c r="Q889" s="91">
        <f>VLOOKUP(Tabla3[[#This Row],[Site]],'Important Info!'!$A$1:$J$135,9,FALSE)</f>
        <v>278</v>
      </c>
    </row>
    <row r="890" spans="1:17" x14ac:dyDescent="0.25">
      <c r="A890" t="str">
        <f>+Tabla3[[#This Row],[Site]]&amp;Tabla3[[#This Row],[Split]]</f>
        <v>(PE) BMW Tenafly (NO TOURS)11</v>
      </c>
      <c r="B890">
        <v>11</v>
      </c>
      <c r="C890">
        <v>7</v>
      </c>
      <c r="D890" t="s">
        <v>485</v>
      </c>
      <c r="E890" t="s">
        <v>35</v>
      </c>
      <c r="F890" t="s">
        <v>173</v>
      </c>
      <c r="G890" t="s">
        <v>490</v>
      </c>
      <c r="H890" s="52" t="str">
        <f>VLOOKUP(Tabla3[[#This Row],[Site]],'Important Info!'!$A$1:$J$135,10,FALSE)</f>
        <v>https://tools.sig.systems/site/details/155</v>
      </c>
      <c r="I890" s="2"/>
      <c r="J890" t="s">
        <v>41</v>
      </c>
      <c r="K890" s="79" t="str">
        <f>VLOOKUP(Tabla3[[#This Row],[Site]],'Important Info!'!$A$1:$H$135,8,FALSE)</f>
        <v>-</v>
      </c>
      <c r="L890" s="52">
        <f>VLOOKUP(Tabla3[[#This Row],[Site]],'Important Info!'!$A$1:$F$135,2,FALSE)</f>
        <v>24</v>
      </c>
      <c r="M890" s="52" t="str">
        <f>VLOOKUP(Tabla3[[#This Row],[Site]],'Important Info!'!$A$1:$F$135,3,FALSE)</f>
        <v>1, 3, 4, 17, 23</v>
      </c>
      <c r="N890" s="52" t="str">
        <f>VLOOKUP(Tabla3[[#This Row],[Site]],'Important Info!'!$A$1:$F$135,4,FALSE)</f>
        <v>-</v>
      </c>
      <c r="O890" s="52" t="str">
        <f>VLOOKUP(Tabla3[[#This Row],[Site]],'Important Info!'!$A$1:$F$135,5,FALSE)</f>
        <v>-</v>
      </c>
      <c r="P890" s="52">
        <f>VLOOKUP(Tabla3[[#This Row],[Site]],'Important Info!'!$A$1:$F$135,6,FALSE)</f>
        <v>1</v>
      </c>
      <c r="Q890" s="91">
        <f>VLOOKUP(Tabla3[[#This Row],[Site]],'Important Info!'!$A$1:$J$135,9,FALSE)</f>
        <v>155</v>
      </c>
    </row>
    <row r="891" spans="1:17" x14ac:dyDescent="0.25">
      <c r="A891" t="str">
        <f>+Tabla3[[#This Row],[Site]]&amp;Tabla3[[#This Row],[Split]]</f>
        <v>(SCH) Auto Body Shop Lake Park11</v>
      </c>
      <c r="B891">
        <v>11</v>
      </c>
      <c r="C891">
        <v>7</v>
      </c>
      <c r="D891" t="s">
        <v>62</v>
      </c>
      <c r="E891" t="s">
        <v>35</v>
      </c>
      <c r="F891" t="s">
        <v>189</v>
      </c>
      <c r="G891" t="s">
        <v>490</v>
      </c>
      <c r="H891" s="52" t="str">
        <f>VLOOKUP(Tabla3[[#This Row],[Site]],'Important Info!'!$A$1:$J$135,10,FALSE)</f>
        <v>https://tools.sig.systems/site/details/158</v>
      </c>
      <c r="I891" s="43"/>
      <c r="J891" t="s">
        <v>41</v>
      </c>
      <c r="K891" s="79" t="str">
        <f>VLOOKUP(Tabla3[[#This Row],[Site]],'Important Info!'!$A$1:$H$135,8,FALSE)</f>
        <v>-</v>
      </c>
      <c r="L891" s="52" t="str">
        <f>VLOOKUP(Tabla3[[#This Row],[Site]],'Important Info!'!$A$1:$F$135,2,FALSE)</f>
        <v>3, 10</v>
      </c>
      <c r="M891" s="52" t="str">
        <f>VLOOKUP(Tabla3[[#This Row],[Site]],'Important Info!'!$A$1:$F$135,3,FALSE)</f>
        <v>-</v>
      </c>
      <c r="N891" s="52" t="str">
        <f>VLOOKUP(Tabla3[[#This Row],[Site]],'Important Info!'!$A$1:$F$135,4,FALSE)</f>
        <v>-</v>
      </c>
      <c r="O891" s="52" t="str">
        <f>VLOOKUP(Tabla3[[#This Row],[Site]],'Important Info!'!$A$1:$F$135,5,FALSE)</f>
        <v>-</v>
      </c>
      <c r="P891" s="52" t="str">
        <f>VLOOKUP(Tabla3[[#This Row],[Site]],'Important Info!'!$A$1:$F$135,6,FALSE)</f>
        <v>-</v>
      </c>
      <c r="Q891" s="91">
        <f>VLOOKUP(Tabla3[[#This Row],[Site]],'Important Info!'!$A$1:$J$135,9,FALSE)</f>
        <v>158</v>
      </c>
    </row>
    <row r="892" spans="1:17" x14ac:dyDescent="0.25">
      <c r="A892" t="str">
        <f>+Tabla3[[#This Row],[Site]]&amp;Tabla3[[#This Row],[Split]]</f>
        <v>(AS) Courtesy Honda Palm Harbor (NO TOURS)11</v>
      </c>
      <c r="B892">
        <v>11</v>
      </c>
      <c r="C892">
        <v>8</v>
      </c>
      <c r="D892" t="s">
        <v>62</v>
      </c>
      <c r="E892" t="s">
        <v>35</v>
      </c>
      <c r="F892" t="s">
        <v>108</v>
      </c>
      <c r="G892" t="s">
        <v>490</v>
      </c>
      <c r="H892" s="52" t="str">
        <f>VLOOKUP(Tabla3[[#This Row],[Site]],'Important Info!'!$A$1:$J$135,10,FALSE)</f>
        <v>https://tools.sig.systems/site/details/176</v>
      </c>
      <c r="I892" s="43"/>
      <c r="J892" t="s">
        <v>36</v>
      </c>
      <c r="K892" s="79" t="str">
        <f>VLOOKUP(Tabla3[[#This Row],[Site]],'Important Info!'!$A$1:$H$135,8,FALSE)</f>
        <v>-</v>
      </c>
      <c r="L892" s="52">
        <f>VLOOKUP(Tabla3[[#This Row],[Site]],'Important Info!'!$A$1:$F$135,2,FALSE)</f>
        <v>2</v>
      </c>
      <c r="M892" s="52" t="str">
        <f>VLOOKUP(Tabla3[[#This Row],[Site]],'Important Info!'!$A$1:$F$135,3,FALSE)</f>
        <v>-</v>
      </c>
      <c r="N892" s="52" t="str">
        <f>VLOOKUP(Tabla3[[#This Row],[Site]],'Important Info!'!$A$1:$F$135,4,FALSE)</f>
        <v>-</v>
      </c>
      <c r="O892" s="52" t="str">
        <f>VLOOKUP(Tabla3[[#This Row],[Site]],'Important Info!'!$A$1:$F$135,5,FALSE)</f>
        <v>4, 8, 21</v>
      </c>
      <c r="P892" s="52">
        <f>VLOOKUP(Tabla3[[#This Row],[Site]],'Important Info!'!$A$1:$F$135,6,FALSE)</f>
        <v>10</v>
      </c>
      <c r="Q892" s="91">
        <f>VLOOKUP(Tabla3[[#This Row],[Site]],'Important Info!'!$A$1:$J$135,9,FALSE)</f>
        <v>176</v>
      </c>
    </row>
    <row r="893" spans="1:17" x14ac:dyDescent="0.25">
      <c r="A893" t="str">
        <f>+Tabla3[[#This Row],[Site]]&amp;Tabla3[[#This Row],[Split]]</f>
        <v>(AS) Nalley Lexus &amp; Remote Lot Roswell (NO TOURS)11</v>
      </c>
      <c r="B893">
        <v>11</v>
      </c>
      <c r="C893">
        <v>8</v>
      </c>
      <c r="D893" t="s">
        <v>60</v>
      </c>
      <c r="E893" t="s">
        <v>35</v>
      </c>
      <c r="F893" t="s">
        <v>511</v>
      </c>
      <c r="G893" t="s">
        <v>41</v>
      </c>
      <c r="H893" s="52" t="str">
        <f>VLOOKUP(Tabla3[[#This Row],[Site]],'Important Info!'!$A$1:$J$135,10,FALSE)</f>
        <v>https://tools.sig.systems/site/details/131</v>
      </c>
      <c r="I893" s="2" t="s">
        <v>166</v>
      </c>
      <c r="J893" t="s">
        <v>41</v>
      </c>
      <c r="K893" s="79" t="str">
        <f>VLOOKUP(Tabla3[[#This Row],[Site]],'Important Info!'!$A$1:$H$135,8,FALSE)</f>
        <v>Dealership 11PM to 5AM (Mon to Fri). Sunday Drop Time 1PM</v>
      </c>
      <c r="L893" s="52" t="str">
        <f>VLOOKUP(Tabla3[[#This Row],[Site]],'Important Info!'!$A$1:$F$135,2,FALSE)</f>
        <v>6, 13</v>
      </c>
      <c r="M893" s="52">
        <f>VLOOKUP(Tabla3[[#This Row],[Site]],'Important Info!'!$A$1:$F$135,3,FALSE)</f>
        <v>4</v>
      </c>
      <c r="N893" s="52">
        <f>VLOOKUP(Tabla3[[#This Row],[Site]],'Important Info!'!$A$1:$F$135,4,FALSE)</f>
        <v>1</v>
      </c>
      <c r="O893" s="52" t="str">
        <f>VLOOKUP(Tabla3[[#This Row],[Site]],'Important Info!'!$A$1:$F$135,5,FALSE)</f>
        <v>1, 8, 19</v>
      </c>
      <c r="P893" s="52" t="str">
        <f>VLOOKUP(Tabla3[[#This Row],[Site]],'Important Info!'!$A$1:$F$135,6,FALSE)</f>
        <v>4, 20</v>
      </c>
      <c r="Q893" s="91">
        <f>VLOOKUP(Tabla3[[#This Row],[Site]],'Important Info!'!$A$1:$J$135,9,FALSE)</f>
        <v>131</v>
      </c>
    </row>
    <row r="894" spans="1:17" x14ac:dyDescent="0.25">
      <c r="A894" t="str">
        <f>+Tabla3[[#This Row],[Site]]&amp;Tabla3[[#This Row],[Split]]</f>
        <v>(AS) Park Place Bodywerks Dallas (NO TOURS)11</v>
      </c>
      <c r="B894">
        <v>11</v>
      </c>
      <c r="C894">
        <v>8</v>
      </c>
      <c r="D894" t="s">
        <v>33</v>
      </c>
      <c r="E894" t="s">
        <v>46</v>
      </c>
      <c r="F894" t="s">
        <v>514</v>
      </c>
      <c r="G894" t="s">
        <v>34</v>
      </c>
      <c r="H894" s="52" t="str">
        <f>VLOOKUP(Tabla3[[#This Row],[Site]],'Important Info!'!$A$1:$J$135,10,FALSE)</f>
        <v>https://tools.sig.systems/site/details/166</v>
      </c>
      <c r="I894" s="65" t="s">
        <v>125</v>
      </c>
      <c r="J894" t="s">
        <v>41</v>
      </c>
      <c r="K894" s="79" t="str">
        <f>VLOOKUP(Tabla3[[#This Row],[Site]],'Important Info!'!$A$1:$H$135,8,FALSE)</f>
        <v>-</v>
      </c>
      <c r="L894" s="52">
        <f>VLOOKUP(Tabla3[[#This Row],[Site]],'Important Info!'!$A$1:$F$135,2,FALSE)</f>
        <v>3</v>
      </c>
      <c r="M894" s="52">
        <f>VLOOKUP(Tabla3[[#This Row],[Site]],'Important Info!'!$A$1:$F$135,3,FALSE)</f>
        <v>1</v>
      </c>
      <c r="N894" s="52" t="str">
        <f>VLOOKUP(Tabla3[[#This Row],[Site]],'Important Info!'!$A$1:$F$135,4,FALSE)</f>
        <v>-</v>
      </c>
      <c r="O894" s="52" t="str">
        <f>VLOOKUP(Tabla3[[#This Row],[Site]],'Important Info!'!$A$1:$F$135,5,FALSE)</f>
        <v>-</v>
      </c>
      <c r="P894" s="52" t="str">
        <f>VLOOKUP(Tabla3[[#This Row],[Site]],'Important Info!'!$A$1:$F$135,6,FALSE)</f>
        <v>1, 2, 8</v>
      </c>
      <c r="Q894" s="91">
        <f>VLOOKUP(Tabla3[[#This Row],[Site]],'Important Info!'!$A$1:$J$135,9,FALSE)</f>
        <v>166</v>
      </c>
    </row>
    <row r="895" spans="1:17" x14ac:dyDescent="0.25">
      <c r="A895" t="str">
        <f>+Tabla3[[#This Row],[Site]]&amp;Tabla3[[#This Row],[Split]]</f>
        <v>(AS) Park Place JLR DFW Airport (NO TOURS)11</v>
      </c>
      <c r="B895">
        <v>11</v>
      </c>
      <c r="C895">
        <v>8</v>
      </c>
      <c r="D895" t="s">
        <v>33</v>
      </c>
      <c r="E895" t="s">
        <v>46</v>
      </c>
      <c r="F895" t="s">
        <v>516</v>
      </c>
      <c r="G895" t="s">
        <v>34</v>
      </c>
      <c r="H895" s="52" t="str">
        <f>VLOOKUP(Tabla3[[#This Row],[Site]],'Important Info!'!$A$1:$J$135,10,FALSE)</f>
        <v>https://tools.sig.systems/site/details/135</v>
      </c>
      <c r="J895" t="s">
        <v>41</v>
      </c>
      <c r="K895" s="79" t="str">
        <f>VLOOKUP(Tabla3[[#This Row],[Site]],'Important Info!'!$A$1:$H$135,8,FALSE)</f>
        <v>-</v>
      </c>
      <c r="L895" s="52" t="str">
        <f>VLOOKUP(Tabla3[[#This Row],[Site]],'Important Info!'!$A$1:$F$135,2,FALSE)</f>
        <v>6, 7, 18</v>
      </c>
      <c r="M895" s="52" t="str">
        <f>VLOOKUP(Tabla3[[#This Row],[Site]],'Important Info!'!$A$1:$F$135,3,FALSE)</f>
        <v>70, 79, 80</v>
      </c>
      <c r="N895" s="52" t="str">
        <f>VLOOKUP(Tabla3[[#This Row],[Site]],'Important Info!'!$A$1:$F$135,4,FALSE)</f>
        <v>83, 84</v>
      </c>
      <c r="O895" s="52" t="str">
        <f>VLOOKUP(Tabla3[[#This Row],[Site]],'Important Info!'!$A$1:$F$135,5,FALSE)</f>
        <v>3, 8, 14, 81</v>
      </c>
      <c r="P895" s="52">
        <f>VLOOKUP(Tabla3[[#This Row],[Site]],'Important Info!'!$A$1:$F$135,6,FALSE)</f>
        <v>6</v>
      </c>
      <c r="Q895" s="91">
        <f>VLOOKUP(Tabla3[[#This Row],[Site]],'Important Info!'!$A$1:$J$135,9,FALSE)</f>
        <v>135</v>
      </c>
    </row>
    <row r="896" spans="1:17" x14ac:dyDescent="0.25">
      <c r="A896" t="str">
        <f>+Tabla3[[#This Row],[Site]]&amp;Tabla3[[#This Row],[Split]]</f>
        <v>(AS) Stevinson Porsche of Littleton (NO TOURS)11</v>
      </c>
      <c r="B896">
        <v>11</v>
      </c>
      <c r="C896">
        <v>8</v>
      </c>
      <c r="D896" t="s">
        <v>44</v>
      </c>
      <c r="E896" t="s">
        <v>53</v>
      </c>
      <c r="F896" t="s">
        <v>78</v>
      </c>
      <c r="G896" t="s">
        <v>45</v>
      </c>
      <c r="H896" s="52" t="str">
        <f>VLOOKUP(Tabla3[[#This Row],[Site]],'Important Info!'!$A$1:$J$135,10,FALSE)</f>
        <v>https://tools.sig.systems/site/details/242</v>
      </c>
      <c r="J896" t="s">
        <v>41</v>
      </c>
      <c r="K896" s="79" t="str">
        <f>VLOOKUP(Tabla3[[#This Row],[Site]],'Important Info!'!$A$1:$H$135,8,FALSE)</f>
        <v>-</v>
      </c>
      <c r="L896" s="52" t="str">
        <f>VLOOKUP(Tabla3[[#This Row],[Site]],'Important Info!'!$A$1:$F$135,2,FALSE)</f>
        <v>3, 4</v>
      </c>
      <c r="M896" s="52">
        <f>VLOOKUP(Tabla3[[#This Row],[Site]],'Important Info!'!$A$1:$F$135,3,FALSE)</f>
        <v>2</v>
      </c>
      <c r="N896" s="52" t="str">
        <f>VLOOKUP(Tabla3[[#This Row],[Site]],'Important Info!'!$A$1:$F$135,4,FALSE)</f>
        <v>-</v>
      </c>
      <c r="O896" s="52" t="str">
        <f>VLOOKUP(Tabla3[[#This Row],[Site]],'Important Info!'!$A$1:$F$135,5,FALSE)</f>
        <v>-</v>
      </c>
      <c r="P896" s="52" t="str">
        <f>VLOOKUP(Tabla3[[#This Row],[Site]],'Important Info!'!$A$1:$F$135,6,FALSE)</f>
        <v>3, 4</v>
      </c>
      <c r="Q896" s="91">
        <f>VLOOKUP(Tabla3[[#This Row],[Site]],'Important Info!'!$A$1:$J$135,9,FALSE)</f>
        <v>242</v>
      </c>
    </row>
    <row r="897" spans="1:17" x14ac:dyDescent="0.25">
      <c r="A897" t="str">
        <f>+Tabla3[[#This Row],[Site]]&amp;Tabla3[[#This Row],[Split]]</f>
        <v>(KG) Big Star Honda11</v>
      </c>
      <c r="B897">
        <v>11</v>
      </c>
      <c r="C897">
        <v>8</v>
      </c>
      <c r="D897" t="s">
        <v>33</v>
      </c>
      <c r="E897" t="s">
        <v>46</v>
      </c>
      <c r="F897" t="s">
        <v>136</v>
      </c>
      <c r="G897" t="s">
        <v>34</v>
      </c>
      <c r="H897" s="52" t="str">
        <f>VLOOKUP(Tabla3[[#This Row],[Site]],'Important Info!'!$A$1:$J$135,10,FALSE)</f>
        <v>https://tools.sig.systems/site/details/231</v>
      </c>
      <c r="J897" t="s">
        <v>41</v>
      </c>
      <c r="K897" s="79" t="str">
        <f>VLOOKUP(Tabla3[[#This Row],[Site]],'Important Info!'!$A$1:$H$135,8,FALSE)</f>
        <v>-</v>
      </c>
      <c r="L897" s="52" t="str">
        <f>VLOOKUP(Tabla3[[#This Row],[Site]],'Important Info!'!$A$1:$F$135,2,FALSE)</f>
        <v>2, 17, 33</v>
      </c>
      <c r="M897" s="52" t="str">
        <f>VLOOKUP(Tabla3[[#This Row],[Site]],'Important Info!'!$A$1:$F$135,3,FALSE)</f>
        <v>-</v>
      </c>
      <c r="N897" s="52" t="str">
        <f>VLOOKUP(Tabla3[[#This Row],[Site]],'Important Info!'!$A$1:$F$135,4,FALSE)</f>
        <v>-</v>
      </c>
      <c r="O897" s="52" t="str">
        <f>VLOOKUP(Tabla3[[#This Row],[Site]],'Important Info!'!$A$1:$F$135,5,FALSE)</f>
        <v>3, 11, 16, 21, 24, 31, 34</v>
      </c>
      <c r="P897" s="52" t="str">
        <f>VLOOKUP(Tabla3[[#This Row],[Site]],'Important Info!'!$A$1:$F$135,6,FALSE)</f>
        <v xml:space="preserve">2, 3, 17, 22, 37, 41, 42 </v>
      </c>
      <c r="Q897" s="91">
        <f>VLOOKUP(Tabla3[[#This Row],[Site]],'Important Info!'!$A$1:$J$135,9,FALSE)</f>
        <v>231</v>
      </c>
    </row>
    <row r="898" spans="1:17" x14ac:dyDescent="0.25">
      <c r="A898" t="str">
        <f>+Tabla3[[#This Row],[Site]]&amp;Tabla3[[#This Row],[Split]]</f>
        <v>(ML) Collision Center N Little Rock11</v>
      </c>
      <c r="B898">
        <v>11</v>
      </c>
      <c r="C898">
        <v>8</v>
      </c>
      <c r="D898" t="s">
        <v>33</v>
      </c>
      <c r="E898" t="s">
        <v>46</v>
      </c>
      <c r="F898" t="s">
        <v>141</v>
      </c>
      <c r="G898" t="s">
        <v>34</v>
      </c>
      <c r="H898" s="52" t="str">
        <f>VLOOKUP(Tabla3[[#This Row],[Site]],'Important Info!'!$A$1:$J$135,10,FALSE)</f>
        <v>https://tools.sig.systems/site/details/212</v>
      </c>
      <c r="I898" s="43" t="s">
        <v>142</v>
      </c>
      <c r="J898" t="s">
        <v>41</v>
      </c>
      <c r="K898" s="79" t="str">
        <f>VLOOKUP(Tabla3[[#This Row],[Site]],'Important Info!'!$A$1:$H$135,8,FALSE)</f>
        <v>-</v>
      </c>
      <c r="L898" s="52" t="str">
        <f>VLOOKUP(Tabla3[[#This Row],[Site]],'Important Info!'!$A$1:$F$135,2,FALSE)</f>
        <v>-</v>
      </c>
      <c r="M898" s="52" t="str">
        <f>VLOOKUP(Tabla3[[#This Row],[Site]],'Important Info!'!$A$1:$F$135,3,FALSE)</f>
        <v>-</v>
      </c>
      <c r="N898" s="52" t="str">
        <f>VLOOKUP(Tabla3[[#This Row],[Site]],'Important Info!'!$A$1:$F$135,4,FALSE)</f>
        <v>-</v>
      </c>
      <c r="O898" s="52" t="str">
        <f>VLOOKUP(Tabla3[[#This Row],[Site]],'Important Info!'!$A$1:$F$135,5,FALSE)</f>
        <v>-</v>
      </c>
      <c r="P898" s="52" t="str">
        <f>VLOOKUP(Tabla3[[#This Row],[Site]],'Important Info!'!$A$1:$F$135,6,FALSE)</f>
        <v>1, 3, 7, 8</v>
      </c>
      <c r="Q898" s="91">
        <f>VLOOKUP(Tabla3[[#This Row],[Site]],'Important Info!'!$A$1:$J$135,9,FALSE)</f>
        <v>212</v>
      </c>
    </row>
    <row r="899" spans="1:17" x14ac:dyDescent="0.25">
      <c r="A899" t="str">
        <f>+Tabla3[[#This Row],[Site]]&amp;Tabla3[[#This Row],[Split]]</f>
        <v>(ML) Joe Machens Capital City I &amp; II (NO TOURS)11</v>
      </c>
      <c r="B899">
        <v>11</v>
      </c>
      <c r="C899">
        <v>8</v>
      </c>
      <c r="D899" t="s">
        <v>33</v>
      </c>
      <c r="E899" t="s">
        <v>46</v>
      </c>
      <c r="F899" t="s">
        <v>72</v>
      </c>
      <c r="G899" t="s">
        <v>34</v>
      </c>
      <c r="H899" s="52" t="str">
        <f>VLOOKUP(Tabla3[[#This Row],[Site]],'Important Info!'!$A$1:$J$135,10,FALSE)</f>
        <v>https://tools.sig.systems/site/details/271</v>
      </c>
      <c r="I899" s="2"/>
      <c r="J899" t="s">
        <v>41</v>
      </c>
      <c r="K899" s="79" t="str">
        <f>VLOOKUP(Tabla3[[#This Row],[Site]],'Important Info!'!$A$1:$H$135,8,FALSE)</f>
        <v>-</v>
      </c>
      <c r="L899" s="52" t="str">
        <f>VLOOKUP(Tabla3[[#This Row],[Site]],'Important Info!'!$A$1:$F$135,2,FALSE)</f>
        <v>-</v>
      </c>
      <c r="M899" s="52" t="str">
        <f>VLOOKUP(Tabla3[[#This Row],[Site]],'Important Info!'!$A$1:$F$135,3,FALSE)</f>
        <v>1, 3, 4, 20, 25, 27, 28</v>
      </c>
      <c r="N899" s="52" t="str">
        <f>VLOOKUP(Tabla3[[#This Row],[Site]],'Important Info!'!$A$1:$F$135,4,FALSE)</f>
        <v>-</v>
      </c>
      <c r="O899" s="52">
        <f>VLOOKUP(Tabla3[[#This Row],[Site]],'Important Info!'!$A$1:$F$135,5,FALSE)</f>
        <v>29</v>
      </c>
      <c r="P899" s="52" t="str">
        <f>VLOOKUP(Tabla3[[#This Row],[Site]],'Important Info!'!$A$1:$F$135,6,FALSE)</f>
        <v>19, 20</v>
      </c>
      <c r="Q899" s="91">
        <f>VLOOKUP(Tabla3[[#This Row],[Site]],'Important Info!'!$A$1:$J$135,9,FALSE)</f>
        <v>271</v>
      </c>
    </row>
    <row r="900" spans="1:17" x14ac:dyDescent="0.25">
      <c r="A900" t="str">
        <f>+Tabla3[[#This Row],[Site]]&amp;Tabla3[[#This Row],[Split]]</f>
        <v>(ML) Joe Machens Nissan11</v>
      </c>
      <c r="B900">
        <v>11</v>
      </c>
      <c r="C900">
        <v>8</v>
      </c>
      <c r="D900" t="s">
        <v>33</v>
      </c>
      <c r="E900" t="s">
        <v>46</v>
      </c>
      <c r="F900" t="s">
        <v>104</v>
      </c>
      <c r="G900" t="s">
        <v>34</v>
      </c>
      <c r="H900" s="52" t="str">
        <f>VLOOKUP(Tabla3[[#This Row],[Site]],'Important Info!'!$A$1:$J$135,10,FALSE)</f>
        <v>https://tools.sig.systems/site/details/279</v>
      </c>
      <c r="I900" s="43" t="s">
        <v>146</v>
      </c>
      <c r="J900" t="s">
        <v>41</v>
      </c>
      <c r="K900" s="79" t="str">
        <f>VLOOKUP(Tabla3[[#This Row],[Site]],'Important Info!'!$A$1:$H$135,8,FALSE)</f>
        <v>-</v>
      </c>
      <c r="L900" s="52" t="str">
        <f>VLOOKUP(Tabla3[[#This Row],[Site]],'Important Info!'!$A$1:$F$135,2,FALSE)</f>
        <v>-</v>
      </c>
      <c r="M900" s="52" t="str">
        <f>VLOOKUP(Tabla3[[#This Row],[Site]],'Important Info!'!$A$1:$F$135,3,FALSE)</f>
        <v>1, 3, 16</v>
      </c>
      <c r="N900" s="52" t="str">
        <f>VLOOKUP(Tabla3[[#This Row],[Site]],'Important Info!'!$A$1:$F$135,4,FALSE)</f>
        <v>-</v>
      </c>
      <c r="O900" s="52" t="str">
        <f>VLOOKUP(Tabla3[[#This Row],[Site]],'Important Info!'!$A$1:$F$135,5,FALSE)</f>
        <v>-</v>
      </c>
      <c r="P900" s="52" t="str">
        <f>VLOOKUP(Tabla3[[#This Row],[Site]],'Important Info!'!$A$1:$F$135,6,FALSE)</f>
        <v>-</v>
      </c>
      <c r="Q900" s="91">
        <f>VLOOKUP(Tabla3[[#This Row],[Site]],'Important Info!'!$A$1:$J$135,9,FALSE)</f>
        <v>279</v>
      </c>
    </row>
    <row r="901" spans="1:17" x14ac:dyDescent="0.25">
      <c r="A901" t="str">
        <f>+Tabla3[[#This Row],[Site]]&amp;Tabla3[[#This Row],[Split]]</f>
        <v>(PE) JLR Darien PDI (NO TOURS)11</v>
      </c>
      <c r="B901">
        <v>11</v>
      </c>
      <c r="C901">
        <v>8</v>
      </c>
      <c r="D901" t="s">
        <v>485</v>
      </c>
      <c r="E901" t="s">
        <v>35</v>
      </c>
      <c r="F901" t="s">
        <v>98</v>
      </c>
      <c r="G901" t="s">
        <v>490</v>
      </c>
      <c r="H901" s="52" t="str">
        <f>VLOOKUP(Tabla3[[#This Row],[Site]],'Important Info!'!$A$1:$J$135,10,FALSE)</f>
        <v>https://tools.sig.systems/site/details/187</v>
      </c>
      <c r="I901" t="s">
        <v>175</v>
      </c>
      <c r="J901" t="s">
        <v>41</v>
      </c>
      <c r="K901" s="79" t="str">
        <f>VLOOKUP(Tabla3[[#This Row],[Site]],'Important Info!'!$A$1:$H$135,8,FALSE)</f>
        <v>-</v>
      </c>
      <c r="L901" s="52">
        <f>VLOOKUP(Tabla3[[#This Row],[Site]],'Important Info!'!$A$1:$F$135,2,FALSE)</f>
        <v>1</v>
      </c>
      <c r="M901" s="52" t="str">
        <f>VLOOKUP(Tabla3[[#This Row],[Site]],'Important Info!'!$A$1:$F$135,3,FALSE)</f>
        <v>-</v>
      </c>
      <c r="N901" s="52" t="str">
        <f>VLOOKUP(Tabla3[[#This Row],[Site]],'Important Info!'!$A$1:$F$135,4,FALSE)</f>
        <v>-</v>
      </c>
      <c r="O901" s="52">
        <f>VLOOKUP(Tabla3[[#This Row],[Site]],'Important Info!'!$A$1:$F$135,5,FALSE)</f>
        <v>1</v>
      </c>
      <c r="P901" s="52">
        <f>VLOOKUP(Tabla3[[#This Row],[Site]],'Important Info!'!$A$1:$F$135,6,FALSE)</f>
        <v>7</v>
      </c>
      <c r="Q901" s="91">
        <f>VLOOKUP(Tabla3[[#This Row],[Site]],'Important Info!'!$A$1:$J$135,9,FALSE)</f>
        <v>187</v>
      </c>
    </row>
    <row r="902" spans="1:17" x14ac:dyDescent="0.25">
      <c r="A902" t="str">
        <f>+Tabla3[[#This Row],[Site]]&amp;Tabla3[[#This Row],[Split]]</f>
        <v>(AS) Audi of North Atlanta (NO TOURS)11</v>
      </c>
      <c r="B902">
        <v>11</v>
      </c>
      <c r="C902">
        <v>9</v>
      </c>
      <c r="D902" t="s">
        <v>62</v>
      </c>
      <c r="E902" t="s">
        <v>35</v>
      </c>
      <c r="F902" t="s">
        <v>499</v>
      </c>
      <c r="G902" t="s">
        <v>490</v>
      </c>
      <c r="H902" s="52" t="str">
        <f>VLOOKUP(Tabla3[[#This Row],[Site]],'Important Info!'!$A$1:$J$135,10,FALSE)</f>
        <v>https://tools.sig.systems/site/details/124</v>
      </c>
      <c r="I902" s="66" t="s">
        <v>166</v>
      </c>
      <c r="J902" t="s">
        <v>41</v>
      </c>
      <c r="K902" s="79" t="str">
        <f>VLOOKUP(Tabla3[[#This Row],[Site]],'Important Info!'!$A$1:$H$135,8,FALSE)</f>
        <v>-</v>
      </c>
      <c r="L902" s="52" t="str">
        <f>VLOOKUP(Tabla3[[#This Row],[Site]],'Important Info!'!$A$1:$F$135,2,FALSE)</f>
        <v>1, 5, 16, 54</v>
      </c>
      <c r="M902" s="52" t="str">
        <f>VLOOKUP(Tabla3[[#This Row],[Site]],'Important Info!'!$A$1:$F$135,3,FALSE)</f>
        <v>-</v>
      </c>
      <c r="N902" s="52" t="str">
        <f>VLOOKUP(Tabla3[[#This Row],[Site]],'Important Info!'!$A$1:$F$135,4,FALSE)</f>
        <v>-</v>
      </c>
      <c r="O902" s="52" t="str">
        <f>VLOOKUP(Tabla3[[#This Row],[Site]],'Important Info!'!$A$1:$F$135,5,FALSE)</f>
        <v>3, 16</v>
      </c>
      <c r="P902" s="52" t="str">
        <f>VLOOKUP(Tabla3[[#This Row],[Site]],'Important Info!'!$A$1:$F$135,6,FALSE)</f>
        <v>2, 5, 6</v>
      </c>
      <c r="Q902" s="91">
        <f>VLOOKUP(Tabla3[[#This Row],[Site]],'Important Info!'!$A$1:$J$135,9,FALSE)</f>
        <v>124</v>
      </c>
    </row>
    <row r="903" spans="1:17" x14ac:dyDescent="0.25">
      <c r="A903" t="str">
        <f>+Tabla3[[#This Row],[Site]]&amp;Tabla3[[#This Row],[Split]]</f>
        <v>(AS) Coggin Mercedes Benz Ft Pierce (NO TOURS)11</v>
      </c>
      <c r="B903">
        <v>11</v>
      </c>
      <c r="C903">
        <v>9</v>
      </c>
      <c r="D903" t="s">
        <v>62</v>
      </c>
      <c r="E903" t="s">
        <v>35</v>
      </c>
      <c r="F903" t="s">
        <v>502</v>
      </c>
      <c r="G903" t="s">
        <v>490</v>
      </c>
      <c r="H903" s="52" t="str">
        <f>VLOOKUP(Tabla3[[#This Row],[Site]],'Important Info!'!$A$1:$J$135,10,FALSE)</f>
        <v>https://tools.sig.systems/site/details/127</v>
      </c>
      <c r="I903" t="s">
        <v>179</v>
      </c>
      <c r="J903" t="s">
        <v>41</v>
      </c>
      <c r="K903" s="79" t="str">
        <f>VLOOKUP(Tabla3[[#This Row],[Site]],'Important Info!'!$A$1:$H$135,8,FALSE)</f>
        <v>-</v>
      </c>
      <c r="L903" s="52">
        <f>VLOOKUP(Tabla3[[#This Row],[Site]],'Important Info!'!$A$1:$F$135,2,FALSE)</f>
        <v>18</v>
      </c>
      <c r="M903" s="52" t="str">
        <f>VLOOKUP(Tabla3[[#This Row],[Site]],'Important Info!'!$A$1:$F$135,3,FALSE)</f>
        <v>1, 3</v>
      </c>
      <c r="N903" s="52" t="str">
        <f>VLOOKUP(Tabla3[[#This Row],[Site]],'Important Info!'!$A$1:$F$135,4,FALSE)</f>
        <v>-</v>
      </c>
      <c r="O903" s="52" t="str">
        <f>VLOOKUP(Tabla3[[#This Row],[Site]],'Important Info!'!$A$1:$F$135,5,FALSE)</f>
        <v>6, 10, 13</v>
      </c>
      <c r="P903" s="52" t="str">
        <f>VLOOKUP(Tabla3[[#This Row],[Site]],'Important Info!'!$A$1:$F$135,6,FALSE)</f>
        <v>1, 4, 5</v>
      </c>
      <c r="Q903" s="91">
        <f>VLOOKUP(Tabla3[[#This Row],[Site]],'Important Info!'!$A$1:$J$135,9,FALSE)</f>
        <v>127</v>
      </c>
    </row>
    <row r="904" spans="1:17" x14ac:dyDescent="0.25">
      <c r="A904" t="str">
        <f>+Tabla3[[#This Row],[Site]]&amp;Tabla3[[#This Row],[Split]]</f>
        <v>(AS) Park Place MB Recon Center Dallas (NO TOURS)11</v>
      </c>
      <c r="B904">
        <v>11</v>
      </c>
      <c r="C904">
        <v>9</v>
      </c>
      <c r="D904" t="s">
        <v>33</v>
      </c>
      <c r="E904" t="s">
        <v>46</v>
      </c>
      <c r="F904" t="s">
        <v>517</v>
      </c>
      <c r="G904" t="s">
        <v>34</v>
      </c>
      <c r="H904" s="52" t="str">
        <f>VLOOKUP(Tabla3[[#This Row],[Site]],'Important Info!'!$A$1:$J$135,10,FALSE)</f>
        <v>https://tools.sig.systems/site/details/170</v>
      </c>
      <c r="I904" s="65" t="s">
        <v>125</v>
      </c>
      <c r="J904" t="s">
        <v>41</v>
      </c>
      <c r="K904" s="79" t="str">
        <f>VLOOKUP(Tabla3[[#This Row],[Site]],'Important Info!'!$A$1:$H$135,8,FALSE)</f>
        <v>-</v>
      </c>
      <c r="L904" s="52" t="str">
        <f>VLOOKUP(Tabla3[[#This Row],[Site]],'Important Info!'!$A$1:$F$135,2,FALSE)</f>
        <v>3, 39</v>
      </c>
      <c r="M904" s="52" t="str">
        <f>VLOOKUP(Tabla3[[#This Row],[Site]],'Important Info!'!$A$1:$F$135,3,FALSE)</f>
        <v>-</v>
      </c>
      <c r="N904" s="52" t="str">
        <f>VLOOKUP(Tabla3[[#This Row],[Site]],'Important Info!'!$A$1:$F$135,4,FALSE)</f>
        <v>-</v>
      </c>
      <c r="O904" s="52" t="str">
        <f>VLOOKUP(Tabla3[[#This Row],[Site]],'Important Info!'!$A$1:$F$135,5,FALSE)</f>
        <v>4, 11</v>
      </c>
      <c r="P904" s="52">
        <f>VLOOKUP(Tabla3[[#This Row],[Site]],'Important Info!'!$A$1:$F$135,6,FALSE)</f>
        <v>1</v>
      </c>
      <c r="Q904" s="91">
        <f>VLOOKUP(Tabla3[[#This Row],[Site]],'Important Info!'!$A$1:$J$135,9,FALSE)</f>
        <v>170</v>
      </c>
    </row>
    <row r="905" spans="1:17" x14ac:dyDescent="0.25">
      <c r="A905" t="str">
        <f>+Tabla3[[#This Row],[Site]]&amp;Tabla3[[#This Row],[Split]]</f>
        <v>(AS) Stevinson Lexus of Lakewood (NO TOURS)11</v>
      </c>
      <c r="B905">
        <v>11</v>
      </c>
      <c r="C905">
        <v>9</v>
      </c>
      <c r="D905" t="s">
        <v>44</v>
      </c>
      <c r="E905" t="s">
        <v>53</v>
      </c>
      <c r="F905" t="s">
        <v>523</v>
      </c>
      <c r="G905" t="s">
        <v>45</v>
      </c>
      <c r="H905" s="52" t="str">
        <f>VLOOKUP(Tabla3[[#This Row],[Site]],'Important Info!'!$A$1:$J$135,10,FALSE)</f>
        <v>https://tools.sig.systems/site/details/260</v>
      </c>
      <c r="I905" s="2" t="s">
        <v>154</v>
      </c>
      <c r="J905" t="s">
        <v>41</v>
      </c>
      <c r="K905" s="79" t="str">
        <f>VLOOKUP(Tabla3[[#This Row],[Site]],'Important Info!'!$A$1:$H$135,8,FALSE)</f>
        <v>-</v>
      </c>
      <c r="L905" s="52" t="str">
        <f>VLOOKUP(Tabla3[[#This Row],[Site]],'Important Info!'!$A$1:$F$135,2,FALSE)</f>
        <v>-</v>
      </c>
      <c r="M905" s="52" t="str">
        <f>VLOOKUP(Tabla3[[#This Row],[Site]],'Important Info!'!$A$1:$F$135,3,FALSE)</f>
        <v>2, 10</v>
      </c>
      <c r="N905" s="52" t="str">
        <f>VLOOKUP(Tabla3[[#This Row],[Site]],'Important Info!'!$A$1:$F$135,4,FALSE)</f>
        <v>9, 17</v>
      </c>
      <c r="O905" s="52" t="str">
        <f>VLOOKUP(Tabla3[[#This Row],[Site]],'Important Info!'!$A$1:$F$135,5,FALSE)</f>
        <v>-</v>
      </c>
      <c r="P905" s="52" t="str">
        <f>VLOOKUP(Tabla3[[#This Row],[Site]],'Important Info!'!$A$1:$F$135,6,FALSE)</f>
        <v>1, 2</v>
      </c>
      <c r="Q905" s="91">
        <f>VLOOKUP(Tabla3[[#This Row],[Site]],'Important Info!'!$A$1:$J$135,9,FALSE)</f>
        <v>260</v>
      </c>
    </row>
    <row r="906" spans="1:17" x14ac:dyDescent="0.25">
      <c r="A906" t="str">
        <f>+Tabla3[[#This Row],[Site]]&amp;Tabla3[[#This Row],[Split]]</f>
        <v>(ML) Ford Lincoln of North Little Rock11</v>
      </c>
      <c r="B906">
        <v>11</v>
      </c>
      <c r="C906">
        <v>9</v>
      </c>
      <c r="D906" t="s">
        <v>33</v>
      </c>
      <c r="E906" t="s">
        <v>46</v>
      </c>
      <c r="F906" t="s">
        <v>145</v>
      </c>
      <c r="G906" t="s">
        <v>34</v>
      </c>
      <c r="H906" s="52" t="str">
        <f>VLOOKUP(Tabla3[[#This Row],[Site]],'Important Info!'!$A$1:$J$135,10,FALSE)</f>
        <v>https://tools.sig.systems/site/details/214</v>
      </c>
      <c r="I906" s="43" t="s">
        <v>142</v>
      </c>
      <c r="J906" t="s">
        <v>41</v>
      </c>
      <c r="K906" s="79" t="str">
        <f>VLOOKUP(Tabla3[[#This Row],[Site]],'Important Info!'!$A$1:$H$135,8,FALSE)</f>
        <v>-</v>
      </c>
      <c r="L906" s="52" t="str">
        <f>VLOOKUP(Tabla3[[#This Row],[Site]],'Important Info!'!$A$1:$F$135,2,FALSE)</f>
        <v>4, 15, 18, 67, 74</v>
      </c>
      <c r="M906" s="52">
        <f>VLOOKUP(Tabla3[[#This Row],[Site]],'Important Info!'!$A$1:$F$135,3,FALSE)</f>
        <v>13</v>
      </c>
      <c r="N906" s="52" t="str">
        <f>VLOOKUP(Tabla3[[#This Row],[Site]],'Important Info!'!$A$1:$F$135,4,FALSE)</f>
        <v>-</v>
      </c>
      <c r="O906" s="52" t="str">
        <f>VLOOKUP(Tabla3[[#This Row],[Site]],'Important Info!'!$A$1:$F$135,5,FALSE)</f>
        <v>4, 11, 16, 28</v>
      </c>
      <c r="P906" s="52" t="str">
        <f>VLOOKUP(Tabla3[[#This Row],[Site]],'Important Info!'!$A$1:$F$135,6,FALSE)</f>
        <v>10, 11, 12</v>
      </c>
      <c r="Q906" s="91">
        <f>VLOOKUP(Tabla3[[#This Row],[Site]],'Important Info!'!$A$1:$J$135,9,FALSE)</f>
        <v>214</v>
      </c>
    </row>
    <row r="907" spans="1:17" x14ac:dyDescent="0.25">
      <c r="A907" t="str">
        <f>+Tabla3[[#This Row],[Site]]&amp;Tabla3[[#This Row],[Split]]</f>
        <v>(ML) Joe Machens Kia of Columbia11</v>
      </c>
      <c r="B907">
        <v>11</v>
      </c>
      <c r="C907">
        <v>9</v>
      </c>
      <c r="D907" t="s">
        <v>33</v>
      </c>
      <c r="E907" t="s">
        <v>46</v>
      </c>
      <c r="F907" t="s">
        <v>149</v>
      </c>
      <c r="G907" t="s">
        <v>34</v>
      </c>
      <c r="H907" s="52" t="str">
        <f>VLOOKUP(Tabla3[[#This Row],[Site]],'Important Info!'!$A$1:$J$135,10,FALSE)</f>
        <v>https://tools.sig.systems/site/details/270</v>
      </c>
      <c r="I907" s="66" t="s">
        <v>146</v>
      </c>
      <c r="J907" t="s">
        <v>41</v>
      </c>
      <c r="K907" s="79" t="str">
        <f>VLOOKUP(Tabla3[[#This Row],[Site]],'Important Info!'!$A$1:$H$135,8,FALSE)</f>
        <v>-</v>
      </c>
      <c r="L907" s="52" t="str">
        <f>VLOOKUP(Tabla3[[#This Row],[Site]],'Important Info!'!$A$1:$F$135,2,FALSE)</f>
        <v>-</v>
      </c>
      <c r="M907" s="52" t="str">
        <f>VLOOKUP(Tabla3[[#This Row],[Site]],'Important Info!'!$A$1:$F$135,3,FALSE)</f>
        <v>1, 2, 5, 6, 9, 13, 15</v>
      </c>
      <c r="N907" s="52" t="str">
        <f>VLOOKUP(Tabla3[[#This Row],[Site]],'Important Info!'!$A$1:$F$135,4,FALSE)</f>
        <v>-</v>
      </c>
      <c r="O907" s="52" t="str">
        <f>VLOOKUP(Tabla3[[#This Row],[Site]],'Important Info!'!$A$1:$F$135,5,FALSE)</f>
        <v>-</v>
      </c>
      <c r="P907" s="52" t="str">
        <f>VLOOKUP(Tabla3[[#This Row],[Site]],'Important Info!'!$A$1:$F$135,6,FALSE)</f>
        <v>10, 11, 13</v>
      </c>
      <c r="Q907" s="91">
        <f>VLOOKUP(Tabla3[[#This Row],[Site]],'Important Info!'!$A$1:$J$135,9,FALSE)</f>
        <v>270</v>
      </c>
    </row>
    <row r="908" spans="1:17" x14ac:dyDescent="0.25">
      <c r="A908" t="str">
        <f>+Tabla3[[#This Row],[Site]]&amp;Tabla3[[#This Row],[Split]]</f>
        <v>(SCH) Chevrolet North Palm11</v>
      </c>
      <c r="B908">
        <v>11</v>
      </c>
      <c r="C908">
        <v>9</v>
      </c>
      <c r="D908" t="s">
        <v>62</v>
      </c>
      <c r="E908" t="s">
        <v>35</v>
      </c>
      <c r="F908" t="s">
        <v>101</v>
      </c>
      <c r="G908" t="s">
        <v>490</v>
      </c>
      <c r="H908" s="52" t="str">
        <f>VLOOKUP(Tabla3[[#This Row],[Site]],'Important Info!'!$A$1:$J$135,10,FALSE)</f>
        <v>https://tools.sig.systems/site/details/160</v>
      </c>
      <c r="I908" s="2"/>
      <c r="J908" t="s">
        <v>36</v>
      </c>
      <c r="K908" s="79" t="str">
        <f>VLOOKUP(Tabla3[[#This Row],[Site]],'Important Info!'!$A$1:$H$135,8,FALSE)</f>
        <v>-</v>
      </c>
      <c r="L908" s="52" t="str">
        <f>VLOOKUP(Tabla3[[#This Row],[Site]],'Important Info!'!$A$1:$F$135,2,FALSE)</f>
        <v xml:space="preserve">7, 10B, 11, 15 </v>
      </c>
      <c r="M908" s="52" t="str">
        <f>VLOOKUP(Tabla3[[#This Row],[Site]],'Important Info!'!$A$1:$F$135,3,FALSE)</f>
        <v>-</v>
      </c>
      <c r="N908" s="52" t="str">
        <f>VLOOKUP(Tabla3[[#This Row],[Site]],'Important Info!'!$A$1:$F$135,4,FALSE)</f>
        <v>-</v>
      </c>
      <c r="O908" s="52" t="str">
        <f>VLOOKUP(Tabla3[[#This Row],[Site]],'Important Info!'!$A$1:$F$135,5,FALSE)</f>
        <v>-</v>
      </c>
      <c r="P908" s="52" t="str">
        <f>VLOOKUP(Tabla3[[#This Row],[Site]],'Important Info!'!$A$1:$F$135,6,FALSE)</f>
        <v>1, 15, 16, 17, 18, 19, 20</v>
      </c>
      <c r="Q908" s="91">
        <f>VLOOKUP(Tabla3[[#This Row],[Site]],'Important Info!'!$A$1:$J$135,9,FALSE)</f>
        <v>160</v>
      </c>
    </row>
    <row r="909" spans="1:17" x14ac:dyDescent="0.25">
      <c r="A909" t="str">
        <f>+Tabla3[[#This Row],[Site]]&amp;Tabla3[[#This Row],[Split]]</f>
        <v>(SCH) Delray I &amp; II11</v>
      </c>
      <c r="B909">
        <v>11</v>
      </c>
      <c r="C909">
        <v>9</v>
      </c>
      <c r="D909" t="s">
        <v>62</v>
      </c>
      <c r="E909" t="s">
        <v>35</v>
      </c>
      <c r="F909" t="s">
        <v>67</v>
      </c>
      <c r="G909" t="s">
        <v>490</v>
      </c>
      <c r="H909" s="52" t="str">
        <f>VLOOKUP(Tabla3[[#This Row],[Site]],'Important Info!'!$A$1:$J$135,10,FALSE)</f>
        <v>https://tools.sig.systems/site/details/159</v>
      </c>
      <c r="I909" s="2"/>
      <c r="J909" t="s">
        <v>36</v>
      </c>
      <c r="K909" s="79" t="str">
        <f>VLOOKUP(Tabla3[[#This Row],[Site]],'Important Info!'!$A$1:$H$135,8,FALSE)</f>
        <v>-</v>
      </c>
      <c r="L909" s="52" t="str">
        <f>VLOOKUP(Tabla3[[#This Row],[Site]],'Important Info!'!$A$1:$F$135,2,FALSE)</f>
        <v>5, 28, 31</v>
      </c>
      <c r="M909" s="52" t="str">
        <f>VLOOKUP(Tabla3[[#This Row],[Site]],'Important Info!'!$A$1:$F$135,3,FALSE)</f>
        <v>1, 29</v>
      </c>
      <c r="N909" s="52">
        <f>VLOOKUP(Tabla3[[#This Row],[Site]],'Important Info!'!$A$1:$F$135,4,FALSE)</f>
        <v>6</v>
      </c>
      <c r="O909" s="52" t="str">
        <f>VLOOKUP(Tabla3[[#This Row],[Site]],'Important Info!'!$A$1:$F$135,5,FALSE)</f>
        <v>-</v>
      </c>
      <c r="P909" s="52" t="str">
        <f>VLOOKUP(Tabla3[[#This Row],[Site]],'Important Info!'!$A$1:$F$135,6,FALSE)</f>
        <v>1, 35, 36</v>
      </c>
      <c r="Q909" s="91">
        <f>VLOOKUP(Tabla3[[#This Row],[Site]],'Important Info!'!$A$1:$J$135,9,FALSE)</f>
        <v>159</v>
      </c>
    </row>
    <row r="910" spans="1:17" x14ac:dyDescent="0.25">
      <c r="A910" t="str">
        <f>+Tabla3[[#This Row],[Site]]&amp;Tabla3[[#This Row],[Split]]</f>
        <v>(WAG) Greeley Chrysler Dodge Jeep Ram (NO TOURS)11</v>
      </c>
      <c r="B910">
        <v>11</v>
      </c>
      <c r="C910">
        <v>9</v>
      </c>
      <c r="D910" t="s">
        <v>44</v>
      </c>
      <c r="E910" t="s">
        <v>53</v>
      </c>
      <c r="F910" t="s">
        <v>497</v>
      </c>
      <c r="G910" t="s">
        <v>45</v>
      </c>
      <c r="H910" s="52" t="str">
        <f>VLOOKUP(Tabla3[[#This Row],[Site]],'Important Info!'!$A$1:$J$135,10,FALSE)</f>
        <v>https://tools.sig.systems/site/details/130</v>
      </c>
      <c r="I910" t="s">
        <v>153</v>
      </c>
      <c r="J910" t="s">
        <v>41</v>
      </c>
      <c r="K910" s="79" t="str">
        <f>VLOOKUP(Tabla3[[#This Row],[Site]],'Important Info!'!$A$1:$H$135,8,FALSE)</f>
        <v>-</v>
      </c>
      <c r="L910" s="52" t="str">
        <f>VLOOKUP(Tabla3[[#This Row],[Site]],'Important Info!'!$A$1:$F$135,2,FALSE)</f>
        <v>17, 23 &amp; 18</v>
      </c>
      <c r="M910" s="52" t="str">
        <f>VLOOKUP(Tabla3[[#This Row],[Site]],'Important Info!'!$A$1:$F$135,3,FALSE)</f>
        <v>4, 5, 6, 7, 8, 51, 55</v>
      </c>
      <c r="N910" s="52" t="str">
        <f>VLOOKUP(Tabla3[[#This Row],[Site]],'Important Info!'!$A$1:$F$135,4,FALSE)</f>
        <v>-</v>
      </c>
      <c r="O910" s="52" t="str">
        <f>VLOOKUP(Tabla3[[#This Row],[Site]],'Important Info!'!$A$1:$F$135,5,FALSE)</f>
        <v>3, 13, 17, 49, 53, 59</v>
      </c>
      <c r="P910" s="52" t="str">
        <f>VLOOKUP(Tabla3[[#This Row],[Site]],'Important Info!'!$A$1:$F$135,6,FALSE)</f>
        <v>8, 9, 10, 51, 62</v>
      </c>
      <c r="Q910" s="91">
        <f>VLOOKUP(Tabla3[[#This Row],[Site]],'Important Info!'!$A$1:$J$135,9,FALSE)</f>
        <v>130</v>
      </c>
    </row>
    <row r="911" spans="1:17" x14ac:dyDescent="0.25">
      <c r="A911" t="str">
        <f>+Tabla3[[#This Row],[Site]]&amp;Tabla3[[#This Row],[Split]]</f>
        <v>(AS) Nalley Luxury Collision Center (NO TOURS)11</v>
      </c>
      <c r="B911">
        <v>11</v>
      </c>
      <c r="C911">
        <v>10</v>
      </c>
      <c r="D911" t="s">
        <v>62</v>
      </c>
      <c r="E911" t="s">
        <v>35</v>
      </c>
      <c r="F911" t="s">
        <v>512</v>
      </c>
      <c r="G911" t="s">
        <v>490</v>
      </c>
      <c r="H911" s="52" t="str">
        <f>VLOOKUP(Tabla3[[#This Row],[Site]],'Important Info!'!$A$1:$J$135,10,FALSE)</f>
        <v>https://tools.sig.systems/site/details/263</v>
      </c>
      <c r="I911" s="66" t="s">
        <v>166</v>
      </c>
      <c r="J911" t="s">
        <v>41</v>
      </c>
      <c r="K911" s="79" t="str">
        <f>VLOOKUP(Tabla3[[#This Row],[Site]],'Important Info!'!$A$1:$H$135,8,FALSE)</f>
        <v>-</v>
      </c>
      <c r="L911" s="52" t="str">
        <f>VLOOKUP(Tabla3[[#This Row],[Site]],'Important Info!'!$A$1:$F$135,2,FALSE)</f>
        <v>6, 13</v>
      </c>
      <c r="M911" s="52" t="str">
        <f>VLOOKUP(Tabla3[[#This Row],[Site]],'Important Info!'!$A$1:$F$135,3,FALSE)</f>
        <v>-</v>
      </c>
      <c r="N911" s="52" t="str">
        <f>VLOOKUP(Tabla3[[#This Row],[Site]],'Important Info!'!$A$1:$F$135,4,FALSE)</f>
        <v>-</v>
      </c>
      <c r="O911" s="52" t="str">
        <f>VLOOKUP(Tabla3[[#This Row],[Site]],'Important Info!'!$A$1:$F$135,5,FALSE)</f>
        <v>-</v>
      </c>
      <c r="P911" s="52" t="str">
        <f>VLOOKUP(Tabla3[[#This Row],[Site]],'Important Info!'!$A$1:$F$135,6,FALSE)</f>
        <v>6, 7, 12</v>
      </c>
      <c r="Q911" s="91">
        <f>VLOOKUP(Tabla3[[#This Row],[Site]],'Important Info!'!$A$1:$J$135,9,FALSE)</f>
        <v>263</v>
      </c>
    </row>
    <row r="912" spans="1:17" x14ac:dyDescent="0.25">
      <c r="A912" t="str">
        <f>+Tabla3[[#This Row],[Site]]&amp;Tabla3[[#This Row],[Split]]</f>
        <v>(AS) Park Place Volvo Service Center (NO TOURS)11</v>
      </c>
      <c r="B912">
        <v>11</v>
      </c>
      <c r="C912">
        <v>10</v>
      </c>
      <c r="D912" t="s">
        <v>33</v>
      </c>
      <c r="E912" t="s">
        <v>46</v>
      </c>
      <c r="F912" t="s">
        <v>522</v>
      </c>
      <c r="G912" t="s">
        <v>34</v>
      </c>
      <c r="H912" s="52" t="str">
        <f>VLOOKUP(Tabla3[[#This Row],[Site]],'Important Info!'!$A$1:$J$135,10,FALSE)</f>
        <v>https://tools.sig.systems/site/details/171</v>
      </c>
      <c r="I912" s="65" t="s">
        <v>125</v>
      </c>
      <c r="J912" t="s">
        <v>41</v>
      </c>
      <c r="K912" s="79" t="str">
        <f>VLOOKUP(Tabla3[[#This Row],[Site]],'Important Info!'!$A$1:$H$135,8,FALSE)</f>
        <v>-</v>
      </c>
      <c r="L912" s="52" t="str">
        <f>VLOOKUP(Tabla3[[#This Row],[Site]],'Important Info!'!$A$1:$F$135,2,FALSE)</f>
        <v>3, 6, 9, 27, 31, 35</v>
      </c>
      <c r="M912" s="52" t="str">
        <f>VLOOKUP(Tabla3[[#This Row],[Site]],'Important Info!'!$A$1:$F$135,3,FALSE)</f>
        <v>-</v>
      </c>
      <c r="N912" s="52" t="str">
        <f>VLOOKUP(Tabla3[[#This Row],[Site]],'Important Info!'!$A$1:$F$135,4,FALSE)</f>
        <v>-</v>
      </c>
      <c r="O912" s="52" t="str">
        <f>VLOOKUP(Tabla3[[#This Row],[Site]],'Important Info!'!$A$1:$F$135,5,FALSE)</f>
        <v>27, 32</v>
      </c>
      <c r="P912" s="52" t="str">
        <f>VLOOKUP(Tabla3[[#This Row],[Site]],'Important Info!'!$A$1:$F$135,6,FALSE)</f>
        <v>-</v>
      </c>
      <c r="Q912" s="91">
        <f>VLOOKUP(Tabla3[[#This Row],[Site]],'Important Info!'!$A$1:$J$135,9,FALSE)</f>
        <v>171</v>
      </c>
    </row>
    <row r="913" spans="1:17" x14ac:dyDescent="0.25">
      <c r="A913" t="str">
        <f>+Tabla3[[#This Row],[Site]]&amp;Tabla3[[#This Row],[Split]]</f>
        <v>(AS) Plaza Lexus/Mercedes/BMW (NO TOURS)11</v>
      </c>
      <c r="B913">
        <v>11</v>
      </c>
      <c r="C913">
        <v>10</v>
      </c>
      <c r="D913" t="s">
        <v>33</v>
      </c>
      <c r="E913" t="s">
        <v>46</v>
      </c>
      <c r="F913" t="s">
        <v>92</v>
      </c>
      <c r="G913" t="s">
        <v>34</v>
      </c>
      <c r="H913" s="52" t="str">
        <f>VLOOKUP(Tabla3[[#This Row],[Site]],'Important Info!'!$A$1:$J$135,10,FALSE)</f>
        <v>https://tools.sig.systems/site/details/141</v>
      </c>
      <c r="I913" t="s">
        <v>130</v>
      </c>
      <c r="J913" t="s">
        <v>41</v>
      </c>
      <c r="K913" s="79" t="str">
        <f>VLOOKUP(Tabla3[[#This Row],[Site]],'Important Info!'!$A$1:$H$135,8,FALSE)</f>
        <v>-</v>
      </c>
      <c r="L913" s="52" t="str">
        <f>VLOOKUP(Tabla3[[#This Row],[Site]],'Important Info!'!$A$1:$F$135,2,FALSE)</f>
        <v>3, 4, 18</v>
      </c>
      <c r="M913" s="52" t="str">
        <f>VLOOKUP(Tabla3[[#This Row],[Site]],'Important Info!'!$A$1:$F$135,3,FALSE)</f>
        <v>9, 10, 12, 13, 16, 17</v>
      </c>
      <c r="N913" s="52" t="str">
        <f>VLOOKUP(Tabla3[[#This Row],[Site]],'Important Info!'!$A$1:$F$135,4,FALSE)</f>
        <v>-</v>
      </c>
      <c r="O913" s="52">
        <f>VLOOKUP(Tabla3[[#This Row],[Site]],'Important Info!'!$A$1:$F$135,5,FALSE)</f>
        <v>2</v>
      </c>
      <c r="P913" s="52" t="str">
        <f>VLOOKUP(Tabla3[[#This Row],[Site]],'Important Info!'!$A$1:$F$135,6,FALSE)</f>
        <v>2, 16</v>
      </c>
      <c r="Q913" s="91">
        <f>VLOOKUP(Tabla3[[#This Row],[Site]],'Important Info!'!$A$1:$J$135,9,FALSE)</f>
        <v>141</v>
      </c>
    </row>
    <row r="914" spans="1:17" x14ac:dyDescent="0.25">
      <c r="A914" t="str">
        <f>+Tabla3[[#This Row],[Site]]&amp;Tabla3[[#This Row],[Split]]</f>
        <v>(ML) Joe Machens Ford Lincoln I &amp; II11</v>
      </c>
      <c r="B914">
        <v>11</v>
      </c>
      <c r="C914">
        <v>10</v>
      </c>
      <c r="D914" t="s">
        <v>33</v>
      </c>
      <c r="E914" t="s">
        <v>46</v>
      </c>
      <c r="F914" t="s">
        <v>148</v>
      </c>
      <c r="G914" t="s">
        <v>34</v>
      </c>
      <c r="H914" s="52" t="str">
        <f>VLOOKUP(Tabla3[[#This Row],[Site]],'Important Info!'!$A$1:$J$135,10,FALSE)</f>
        <v>https://tools.sig.systems/site/details/266</v>
      </c>
      <c r="I914" s="2" t="s">
        <v>146</v>
      </c>
      <c r="J914" t="s">
        <v>41</v>
      </c>
      <c r="K914" s="79" t="str">
        <f>VLOOKUP(Tabla3[[#This Row],[Site]],'Important Info!'!$A$1:$H$135,8,FALSE)</f>
        <v>-</v>
      </c>
      <c r="L914" s="52" t="str">
        <f>VLOOKUP(Tabla3[[#This Row],[Site]],'Important Info!'!$A$1:$F$135,2,FALSE)</f>
        <v>-</v>
      </c>
      <c r="M914" s="52" t="str">
        <f>VLOOKUP(Tabla3[[#This Row],[Site]],'Important Info!'!$A$1:$F$135,3,FALSE)</f>
        <v>4, 6, 9, 13, 14, 17, 26, 27, 28, 29, 30</v>
      </c>
      <c r="N914" s="52" t="str">
        <f>VLOOKUP(Tabla3[[#This Row],[Site]],'Important Info!'!$A$1:$F$135,4,FALSE)</f>
        <v>-</v>
      </c>
      <c r="O914" s="52" t="str">
        <f>VLOOKUP(Tabla3[[#This Row],[Site]],'Important Info!'!$A$1:$F$135,5,FALSE)</f>
        <v>23, 40, 49</v>
      </c>
      <c r="P914" s="52" t="str">
        <f>VLOOKUP(Tabla3[[#This Row],[Site]],'Important Info!'!$A$1:$F$135,6,FALSE)</f>
        <v>-</v>
      </c>
      <c r="Q914" s="91">
        <f>VLOOKUP(Tabla3[[#This Row],[Site]],'Important Info!'!$A$1:$J$135,9,FALSE)</f>
        <v>266</v>
      </c>
    </row>
    <row r="915" spans="1:17" x14ac:dyDescent="0.25">
      <c r="A915" t="str">
        <f>+Tabla3[[#This Row],[Site]]&amp;Tabla3[[#This Row],[Split]]</f>
        <v>(PE) Honda of Danbury (NO TOURS)11</v>
      </c>
      <c r="B915">
        <v>11</v>
      </c>
      <c r="C915">
        <v>10</v>
      </c>
      <c r="D915" t="s">
        <v>485</v>
      </c>
      <c r="E915" t="s">
        <v>35</v>
      </c>
      <c r="F915" t="s">
        <v>174</v>
      </c>
      <c r="G915" t="s">
        <v>490</v>
      </c>
      <c r="H915" s="52" t="str">
        <f>VLOOKUP(Tabla3[[#This Row],[Site]],'Important Info!'!$A$1:$J$135,10,FALSE)</f>
        <v>https://tools.sig.systems/site/details/190</v>
      </c>
      <c r="I915" s="2"/>
      <c r="J915" t="s">
        <v>41</v>
      </c>
      <c r="K915" s="79" t="str">
        <f>VLOOKUP(Tabla3[[#This Row],[Site]],'Important Info!'!$A$1:$H$135,8,FALSE)</f>
        <v>-</v>
      </c>
      <c r="L915" s="52" t="str">
        <f>VLOOKUP(Tabla3[[#This Row],[Site]],'Important Info!'!$A$1:$F$135,2,FALSE)</f>
        <v>-</v>
      </c>
      <c r="M915" s="52" t="str">
        <f>VLOOKUP(Tabla3[[#This Row],[Site]],'Important Info!'!$A$1:$F$135,3,FALSE)</f>
        <v>20, 9</v>
      </c>
      <c r="N915" s="52">
        <f>VLOOKUP(Tabla3[[#This Row],[Site]],'Important Info!'!$A$1:$F$135,4,FALSE)</f>
        <v>9</v>
      </c>
      <c r="O915" s="52" t="str">
        <f>VLOOKUP(Tabla3[[#This Row],[Site]],'Important Info!'!$A$1:$F$135,5,FALSE)</f>
        <v>-</v>
      </c>
      <c r="P915" s="52" t="str">
        <f>VLOOKUP(Tabla3[[#This Row],[Site]],'Important Info!'!$A$1:$F$135,6,FALSE)</f>
        <v>9, 16, 17</v>
      </c>
      <c r="Q915" s="91">
        <f>VLOOKUP(Tabla3[[#This Row],[Site]],'Important Info!'!$A$1:$J$135,9,FALSE)</f>
        <v>190</v>
      </c>
    </row>
    <row r="916" spans="1:17" x14ac:dyDescent="0.25">
      <c r="A916" t="str">
        <f>+Tabla3[[#This Row],[Site]]&amp;Tabla3[[#This Row],[Split]]</f>
        <v>(SCH) West Palm Beach I, II &amp; III11</v>
      </c>
      <c r="B916">
        <v>11</v>
      </c>
      <c r="C916">
        <v>10</v>
      </c>
      <c r="D916" t="s">
        <v>492</v>
      </c>
      <c r="E916" t="s">
        <v>35</v>
      </c>
      <c r="F916" t="s">
        <v>96</v>
      </c>
      <c r="G916" t="s">
        <v>490</v>
      </c>
      <c r="H916" s="52" t="str">
        <f>VLOOKUP(Tabla3[[#This Row],[Site]],'Important Info!'!$A$1:$J$135,10,FALSE)</f>
        <v>https://tools.sig.systems/site/details/162</v>
      </c>
      <c r="I916" s="2"/>
      <c r="J916" t="s">
        <v>36</v>
      </c>
      <c r="K916" s="79" t="str">
        <f>VLOOKUP(Tabla3[[#This Row],[Site]],'Important Info!'!$A$1:$H$135,8,FALSE)</f>
        <v>SUNDAY: Log in at 5:30 p.m. ET.</v>
      </c>
      <c r="L916" s="52" t="str">
        <f>VLOOKUP(Tabla3[[#This Row],[Site]],'Important Info!'!$A$1:$F$135,2,FALSE)</f>
        <v>34, 62</v>
      </c>
      <c r="M916" s="52" t="str">
        <f>VLOOKUP(Tabla3[[#This Row],[Site]],'Important Info!'!$A$1:$F$135,3,FALSE)</f>
        <v xml:space="preserve">6, 7, 11, 13, </v>
      </c>
      <c r="N916" s="52" t="str">
        <f>VLOOKUP(Tabla3[[#This Row],[Site]],'Important Info!'!$A$1:$F$135,4,FALSE)</f>
        <v>20, 21</v>
      </c>
      <c r="O916" s="52" t="str">
        <f>VLOOKUP(Tabla3[[#This Row],[Site]],'Important Info!'!$A$1:$F$135,5,FALSE)</f>
        <v>-</v>
      </c>
      <c r="P916" s="52" t="str">
        <f>VLOOKUP(Tabla3[[#This Row],[Site]],'Important Info!'!$A$1:$F$135,6,FALSE)</f>
        <v>1, 2, 3, 131, 132</v>
      </c>
      <c r="Q916" s="91">
        <f>VLOOKUP(Tabla3[[#This Row],[Site]],'Important Info!'!$A$1:$J$135,9,FALSE)</f>
        <v>162</v>
      </c>
    </row>
    <row r="917" spans="1:17" x14ac:dyDescent="0.25">
      <c r="A917" t="str">
        <f>+Tabla3[[#This Row],[Site]]&amp;Tabla3[[#This Row],[Split]]</f>
        <v>(AS) David McDavid Lincoln Frisco (NO TOURS)11</v>
      </c>
      <c r="B917">
        <v>11</v>
      </c>
      <c r="C917">
        <v>11</v>
      </c>
      <c r="D917" t="s">
        <v>33</v>
      </c>
      <c r="E917" t="s">
        <v>46</v>
      </c>
      <c r="F917" t="s">
        <v>507</v>
      </c>
      <c r="G917" t="s">
        <v>34</v>
      </c>
      <c r="H917" s="52" t="str">
        <f>VLOOKUP(Tabla3[[#This Row],[Site]],'Important Info!'!$A$1:$J$135,10,FALSE)</f>
        <v>https://tools.sig.systems/site/details/182</v>
      </c>
      <c r="I917" s="66"/>
      <c r="J917" t="s">
        <v>41</v>
      </c>
      <c r="K917" s="79" t="str">
        <f>VLOOKUP(Tabla3[[#This Row],[Site]],'Important Info!'!$A$1:$H$135,8,FALSE)</f>
        <v>-</v>
      </c>
      <c r="L917" s="52" t="str">
        <f>VLOOKUP(Tabla3[[#This Row],[Site]],'Important Info!'!$A$1:$F$135,2,FALSE)</f>
        <v>1, 2, 11</v>
      </c>
      <c r="M917" s="52" t="str">
        <f>VLOOKUP(Tabla3[[#This Row],[Site]],'Important Info!'!$A$1:$F$135,3,FALSE)</f>
        <v>-</v>
      </c>
      <c r="N917" s="52" t="str">
        <f>VLOOKUP(Tabla3[[#This Row],[Site]],'Important Info!'!$A$1:$F$135,4,FALSE)</f>
        <v>-</v>
      </c>
      <c r="O917" s="52" t="str">
        <f>VLOOKUP(Tabla3[[#This Row],[Site]],'Important Info!'!$A$1:$F$135,5,FALSE)</f>
        <v>11, 16, 20</v>
      </c>
      <c r="P917" s="52" t="str">
        <f>VLOOKUP(Tabla3[[#This Row],[Site]],'Important Info!'!$A$1:$F$135,6,FALSE)</f>
        <v>11, 12, 13, 14</v>
      </c>
      <c r="Q917" s="91">
        <f>VLOOKUP(Tabla3[[#This Row],[Site]],'Important Info!'!$A$1:$J$135,9,FALSE)</f>
        <v>182</v>
      </c>
    </row>
    <row r="918" spans="1:17" x14ac:dyDescent="0.25">
      <c r="A918" t="str">
        <f>+Tabla3[[#This Row],[Site]]&amp;Tabla3[[#This Row],[Split]]</f>
        <v>(AS) Lexus Smyrna (NO TOURS)11</v>
      </c>
      <c r="B918">
        <v>11</v>
      </c>
      <c r="C918">
        <v>11</v>
      </c>
      <c r="D918" t="s">
        <v>62</v>
      </c>
      <c r="E918" t="s">
        <v>35</v>
      </c>
      <c r="F918" t="s">
        <v>84</v>
      </c>
      <c r="G918" t="s">
        <v>490</v>
      </c>
      <c r="H918" s="52" t="str">
        <f>VLOOKUP(Tabla3[[#This Row],[Site]],'Important Info!'!$A$1:$J$135,10,FALSE)</f>
        <v>https://tools.sig.systems/site/details/133</v>
      </c>
      <c r="I918" s="43"/>
      <c r="J918" t="s">
        <v>41</v>
      </c>
      <c r="K918" s="79" t="str">
        <f>VLOOKUP(Tabla3[[#This Row],[Site]],'Important Info!'!$A$1:$H$135,8,FALSE)</f>
        <v>-</v>
      </c>
      <c r="L918" s="52" t="str">
        <f>VLOOKUP(Tabla3[[#This Row],[Site]],'Important Info!'!$A$1:$F$135,2,FALSE)</f>
        <v xml:space="preserve">2, 6, 10 </v>
      </c>
      <c r="M918" s="52" t="str">
        <f>VLOOKUP(Tabla3[[#This Row],[Site]],'Important Info!'!$A$1:$F$135,3,FALSE)</f>
        <v>-</v>
      </c>
      <c r="N918" s="52" t="str">
        <f>VLOOKUP(Tabla3[[#This Row],[Site]],'Important Info!'!$A$1:$F$135,4,FALSE)</f>
        <v>-</v>
      </c>
      <c r="O918" s="52" t="str">
        <f>VLOOKUP(Tabla3[[#This Row],[Site]],'Important Info!'!$A$1:$F$135,5,FALSE)</f>
        <v>3, 5, 10, 15</v>
      </c>
      <c r="P918" s="52" t="str">
        <f>VLOOKUP(Tabla3[[#This Row],[Site]],'Important Info!'!$A$1:$F$135,6,FALSE)</f>
        <v>10, 11</v>
      </c>
      <c r="Q918" s="91">
        <f>VLOOKUP(Tabla3[[#This Row],[Site]],'Important Info!'!$A$1:$J$135,9,FALSE)</f>
        <v>133</v>
      </c>
    </row>
    <row r="919" spans="1:17" x14ac:dyDescent="0.25">
      <c r="A919" t="str">
        <f>+Tabla3[[#This Row],[Site]]&amp;Tabla3[[#This Row],[Split]]</f>
        <v>(AS) Nalley BMW Collision Center (NO TOURS)11</v>
      </c>
      <c r="B919">
        <v>11</v>
      </c>
      <c r="C919">
        <v>11</v>
      </c>
      <c r="D919" t="s">
        <v>62</v>
      </c>
      <c r="E919" t="s">
        <v>35</v>
      </c>
      <c r="F919" t="s">
        <v>510</v>
      </c>
      <c r="G919" t="s">
        <v>490</v>
      </c>
      <c r="H919" s="52" t="str">
        <f>VLOOKUP(Tabla3[[#This Row],[Site]],'Important Info!'!$A$1:$J$135,10,FALSE)</f>
        <v>https://tools.sig.systems/site/details/220</v>
      </c>
      <c r="I919" s="43"/>
      <c r="J919" t="s">
        <v>41</v>
      </c>
      <c r="K919" s="79" t="str">
        <f>VLOOKUP(Tabla3[[#This Row],[Site]],'Important Info!'!$A$1:$H$135,8,FALSE)</f>
        <v>-</v>
      </c>
      <c r="L919" s="52" t="str">
        <f>VLOOKUP(Tabla3[[#This Row],[Site]],'Important Info!'!$A$1:$F$135,2,FALSE)</f>
        <v>-</v>
      </c>
      <c r="M919" s="52">
        <f>VLOOKUP(Tabla3[[#This Row],[Site]],'Important Info!'!$A$1:$F$135,3,FALSE)</f>
        <v>4</v>
      </c>
      <c r="N919" s="52" t="str">
        <f>VLOOKUP(Tabla3[[#This Row],[Site]],'Important Info!'!$A$1:$F$135,4,FALSE)</f>
        <v>-</v>
      </c>
      <c r="O919" s="52">
        <f>VLOOKUP(Tabla3[[#This Row],[Site]],'Important Info!'!$A$1:$F$135,5,FALSE)</f>
        <v>12</v>
      </c>
      <c r="P919" s="52" t="str">
        <f>VLOOKUP(Tabla3[[#This Row],[Site]],'Important Info!'!$A$1:$F$135,6,FALSE)</f>
        <v>13, 15</v>
      </c>
      <c r="Q919" s="91">
        <f>VLOOKUP(Tabla3[[#This Row],[Site]],'Important Info!'!$A$1:$J$135,9,FALSE)</f>
        <v>220</v>
      </c>
    </row>
    <row r="920" spans="1:17" x14ac:dyDescent="0.25">
      <c r="A920" t="str">
        <f>+Tabla3[[#This Row],[Site]]&amp;Tabla3[[#This Row],[Split]]</f>
        <v>(AS) Plaza Audi/Infiniti (NO TOURS)11</v>
      </c>
      <c r="B920">
        <v>11</v>
      </c>
      <c r="C920">
        <v>11</v>
      </c>
      <c r="D920" t="s">
        <v>33</v>
      </c>
      <c r="E920" t="s">
        <v>46</v>
      </c>
      <c r="F920" t="s">
        <v>91</v>
      </c>
      <c r="G920" t="s">
        <v>34</v>
      </c>
      <c r="H920" s="52" t="str">
        <f>VLOOKUP(Tabla3[[#This Row],[Site]],'Important Info!'!$A$1:$J$135,10,FALSE)</f>
        <v>https://tools.sig.systems/site/details/141</v>
      </c>
      <c r="I920" t="s">
        <v>130</v>
      </c>
      <c r="J920" t="s">
        <v>41</v>
      </c>
      <c r="K920" s="79" t="str">
        <f>VLOOKUP(Tabla3[[#This Row],[Site]],'Important Info!'!$A$1:$H$135,8,FALSE)</f>
        <v>-</v>
      </c>
      <c r="L920" s="52" t="str">
        <f>VLOOKUP(Tabla3[[#This Row],[Site]],'Important Info!'!$A$1:$F$135,2,FALSE)</f>
        <v>7, 25</v>
      </c>
      <c r="M920" s="52" t="str">
        <f>VLOOKUP(Tabla3[[#This Row],[Site]],'Important Info!'!$A$1:$F$135,3,FALSE)</f>
        <v>15, 17, 18</v>
      </c>
      <c r="N920" s="52" t="str">
        <f>VLOOKUP(Tabla3[[#This Row],[Site]],'Important Info!'!$A$1:$F$135,4,FALSE)</f>
        <v>-</v>
      </c>
      <c r="O920" s="52" t="str">
        <f>VLOOKUP(Tabla3[[#This Row],[Site]],'Important Info!'!$A$1:$F$135,5,FALSE)</f>
        <v>1, 24</v>
      </c>
      <c r="P920" s="52" t="str">
        <f>VLOOKUP(Tabla3[[#This Row],[Site]],'Important Info!'!$A$1:$F$135,6,FALSE)</f>
        <v>3, 15, 17</v>
      </c>
      <c r="Q920" s="91">
        <f>VLOOKUP(Tabla3[[#This Row],[Site]],'Important Info!'!$A$1:$J$135,9,FALSE)</f>
        <v>141</v>
      </c>
    </row>
    <row r="921" spans="1:17" x14ac:dyDescent="0.25">
      <c r="A921" t="str">
        <f>+Tabla3[[#This Row],[Site]]&amp;Tabla3[[#This Row],[Split]]</f>
        <v>(DT) Albuquerque11</v>
      </c>
      <c r="B921">
        <v>11</v>
      </c>
      <c r="C921">
        <v>11</v>
      </c>
      <c r="D921" t="s">
        <v>44</v>
      </c>
      <c r="E921" t="s">
        <v>53</v>
      </c>
      <c r="F921" t="s">
        <v>155</v>
      </c>
      <c r="G921" t="s">
        <v>45</v>
      </c>
      <c r="H921" s="52" t="str">
        <f>VLOOKUP(Tabla3[[#This Row],[Site]],'Important Info!'!$A$1:$J$135,10,FALSE)</f>
        <v>https://tools.sig.systems/site/details/237</v>
      </c>
      <c r="J921" t="s">
        <v>41</v>
      </c>
      <c r="K921" s="79" t="str">
        <f>VLOOKUP(Tabla3[[#This Row],[Site]],'Important Info!'!$A$1:$H$135,8,FALSE)</f>
        <v>-</v>
      </c>
      <c r="L921" s="52" t="str">
        <f>VLOOKUP(Tabla3[[#This Row],[Site]],'Important Info!'!$A$1:$F$135,2,FALSE)</f>
        <v>14, 16</v>
      </c>
      <c r="M921" s="52" t="str">
        <f>VLOOKUP(Tabla3[[#This Row],[Site]],'Important Info!'!$A$1:$F$135,3,FALSE)</f>
        <v>-</v>
      </c>
      <c r="N921" s="52" t="str">
        <f>VLOOKUP(Tabla3[[#This Row],[Site]],'Important Info!'!$A$1:$F$135,4,FALSE)</f>
        <v>-</v>
      </c>
      <c r="O921" s="52" t="str">
        <f>VLOOKUP(Tabla3[[#This Row],[Site]],'Important Info!'!$A$1:$F$135,5,FALSE)</f>
        <v>14, 15</v>
      </c>
      <c r="P921" s="52" t="str">
        <f>VLOOKUP(Tabla3[[#This Row],[Site]],'Important Info!'!$A$1:$F$135,6,FALSE)</f>
        <v>12, 14, 16</v>
      </c>
      <c r="Q921" s="91">
        <f>VLOOKUP(Tabla3[[#This Row],[Site]],'Important Info!'!$A$1:$J$135,9,FALSE)</f>
        <v>237</v>
      </c>
    </row>
    <row r="922" spans="1:17" x14ac:dyDescent="0.25">
      <c r="A922" t="str">
        <f>+Tabla3[[#This Row],[Site]]&amp;Tabla3[[#This Row],[Split]]</f>
        <v>(DT) Louisville11</v>
      </c>
      <c r="B922">
        <v>11</v>
      </c>
      <c r="C922">
        <v>11</v>
      </c>
      <c r="D922" t="s">
        <v>62</v>
      </c>
      <c r="E922" t="s">
        <v>35</v>
      </c>
      <c r="F922" t="s">
        <v>99</v>
      </c>
      <c r="G922" t="s">
        <v>490</v>
      </c>
      <c r="H922" s="52" t="str">
        <f>VLOOKUP(Tabla3[[#This Row],[Site]],'Important Info!'!$A$1:$J$135,10,FALSE)</f>
        <v>https://tools.sig.systems/site/details/258</v>
      </c>
      <c r="J922" t="s">
        <v>41</v>
      </c>
      <c r="K922" s="79" t="str">
        <f>VLOOKUP(Tabla3[[#This Row],[Site]],'Important Info!'!$A$1:$H$135,8,FALSE)</f>
        <v>-</v>
      </c>
      <c r="L922" s="52" t="str">
        <f>VLOOKUP(Tabla3[[#This Row],[Site]],'Important Info!'!$A$1:$F$135,2,FALSE)</f>
        <v>-</v>
      </c>
      <c r="M922" s="52">
        <f>VLOOKUP(Tabla3[[#This Row],[Site]],'Important Info!'!$A$1:$F$135,3,FALSE)</f>
        <v>3</v>
      </c>
      <c r="N922" s="52" t="str">
        <f>VLOOKUP(Tabla3[[#This Row],[Site]],'Important Info!'!$A$1:$F$135,4,FALSE)</f>
        <v>-</v>
      </c>
      <c r="O922" s="52" t="str">
        <f>VLOOKUP(Tabla3[[#This Row],[Site]],'Important Info!'!$A$1:$F$135,5,FALSE)</f>
        <v>-</v>
      </c>
      <c r="P922" s="52" t="str">
        <f>VLOOKUP(Tabla3[[#This Row],[Site]],'Important Info!'!$A$1:$F$135,6,FALSE)</f>
        <v>3, 8</v>
      </c>
      <c r="Q922" s="91">
        <f>VLOOKUP(Tabla3[[#This Row],[Site]],'Important Info!'!$A$1:$J$135,9,FALSE)</f>
        <v>258</v>
      </c>
    </row>
    <row r="923" spans="1:17" x14ac:dyDescent="0.25">
      <c r="A923" t="str">
        <f>+Tabla3[[#This Row],[Site]]&amp;Tabla3[[#This Row],[Split]]</f>
        <v>(KG) Baytown GMC Buick - Remote Lot (NO TOURS)11</v>
      </c>
      <c r="B923">
        <v>11</v>
      </c>
      <c r="C923">
        <v>11</v>
      </c>
      <c r="D923" t="s">
        <v>60</v>
      </c>
      <c r="E923" t="s">
        <v>46</v>
      </c>
      <c r="F923" t="s">
        <v>167</v>
      </c>
      <c r="G923" t="s">
        <v>41</v>
      </c>
      <c r="H923" s="52" t="str">
        <f>VLOOKUP(Tabla3[[#This Row],[Site]],'Important Info!'!$A$1:$J$135,10,FALSE)</f>
        <v>https://tools.sig.systems/site/details/311</v>
      </c>
      <c r="I923" s="2"/>
      <c r="J923" t="s">
        <v>41</v>
      </c>
      <c r="K923" s="79" t="s">
        <v>168</v>
      </c>
      <c r="L923" s="52" t="str">
        <f>VLOOKUP(Tabla3[[#This Row],[Site]],'Important Info!'!$A$1:$F$135,2,FALSE)</f>
        <v>-</v>
      </c>
      <c r="M923" s="52" t="str">
        <f>VLOOKUP(Tabla3[[#This Row],[Site]],'Important Info!'!$A$1:$F$135,3,FALSE)</f>
        <v>7, 8</v>
      </c>
      <c r="N923" s="52" t="str">
        <f>VLOOKUP(Tabla3[[#This Row],[Site]],'Important Info!'!$A$1:$F$135,4,FALSE)</f>
        <v>-</v>
      </c>
      <c r="O923" s="52" t="str">
        <f>VLOOKUP(Tabla3[[#This Row],[Site]],'Important Info!'!$A$1:$F$135,5,FALSE)</f>
        <v>-</v>
      </c>
      <c r="P923" s="52" t="str">
        <f>VLOOKUP(Tabla3[[#This Row],[Site]],'Important Info!'!$A$1:$F$135,6,FALSE)</f>
        <v>-</v>
      </c>
      <c r="Q923" s="91">
        <f>VLOOKUP(Tabla3[[#This Row],[Site]],'Important Info!'!$A$1:$J$135,9,FALSE)</f>
        <v>311</v>
      </c>
    </row>
    <row r="924" spans="1:17" x14ac:dyDescent="0.25">
      <c r="A924" t="str">
        <f>+Tabla3[[#This Row],[Site]]&amp;Tabla3[[#This Row],[Split]]</f>
        <v>(KG) Baytown GMC Buick (NO TOURS)11</v>
      </c>
      <c r="B924">
        <v>11</v>
      </c>
      <c r="C924">
        <v>11</v>
      </c>
      <c r="D924" t="s">
        <v>33</v>
      </c>
      <c r="E924" t="s">
        <v>46</v>
      </c>
      <c r="F924" t="s">
        <v>132</v>
      </c>
      <c r="G924" t="s">
        <v>34</v>
      </c>
      <c r="H924" s="52" t="str">
        <f>VLOOKUP(Tabla3[[#This Row],[Site]],'Important Info!'!$A$1:$J$135,10,FALSE)</f>
        <v>https://tools.sig.systems/site/details/239</v>
      </c>
      <c r="I924" s="43"/>
      <c r="J924" t="s">
        <v>41</v>
      </c>
      <c r="K924" s="79" t="str">
        <f>VLOOKUP(Tabla3[[#This Row],[Site]],'Important Info!'!$A$1:$H$135,8,FALSE)</f>
        <v>-</v>
      </c>
      <c r="L924" s="52" t="str">
        <f>VLOOKUP(Tabla3[[#This Row],[Site]],'Important Info!'!$A$1:$F$135,2,FALSE)</f>
        <v>1, 5, 7, 21, 22</v>
      </c>
      <c r="M924" s="52" t="str">
        <f>VLOOKUP(Tabla3[[#This Row],[Site]],'Important Info!'!$A$1:$F$135,3,FALSE)</f>
        <v>-</v>
      </c>
      <c r="N924" s="52" t="str">
        <f>VLOOKUP(Tabla3[[#This Row],[Site]],'Important Info!'!$A$1:$F$135,4,FALSE)</f>
        <v>-</v>
      </c>
      <c r="O924" s="52" t="str">
        <f>VLOOKUP(Tabla3[[#This Row],[Site]],'Important Info!'!$A$1:$F$135,5,FALSE)</f>
        <v>2, 10, 15, 24B</v>
      </c>
      <c r="P924" s="52" t="str">
        <f>VLOOKUP(Tabla3[[#This Row],[Site]],'Important Info!'!$A$1:$F$135,6,FALSE)</f>
        <v>21, 22</v>
      </c>
      <c r="Q924" s="91">
        <f>VLOOKUP(Tabla3[[#This Row],[Site]],'Important Info!'!$A$1:$J$135,9,FALSE)</f>
        <v>239</v>
      </c>
    </row>
    <row r="925" spans="1:17" x14ac:dyDescent="0.25">
      <c r="A925" t="str">
        <f>+Tabla3[[#This Row],[Site]]&amp;Tabla3[[#This Row],[Split]]</f>
        <v>(KG) Kia of Phoenix (NO TOURS)11</v>
      </c>
      <c r="B925">
        <v>11</v>
      </c>
      <c r="C925">
        <v>11</v>
      </c>
      <c r="D925" t="s">
        <v>51</v>
      </c>
      <c r="E925" t="s">
        <v>161</v>
      </c>
      <c r="F925" t="s">
        <v>94</v>
      </c>
      <c r="G925" t="s">
        <v>52</v>
      </c>
      <c r="H925" s="52" t="str">
        <f>VLOOKUP(Tabla3[[#This Row],[Site]],'Important Info!'!$A$1:$J$135,10,FALSE)</f>
        <v>https://tools.sig.systems/site/details/262</v>
      </c>
      <c r="I925" s="64"/>
      <c r="J925" t="s">
        <v>162</v>
      </c>
      <c r="K925" s="79" t="str">
        <f>VLOOKUP(Tabla3[[#This Row],[Site]],'Important Info!'!$A$1:$H$135,8,FALSE)</f>
        <v>-</v>
      </c>
      <c r="L925" s="52" t="str">
        <f>VLOOKUP(Tabla3[[#This Row],[Site]],'Important Info!'!$A$1:$F$135,2,FALSE)</f>
        <v>5, 8, 23</v>
      </c>
      <c r="M925" s="52" t="str">
        <f>VLOOKUP(Tabla3[[#This Row],[Site]],'Important Info!'!$A$1:$F$135,3,FALSE)</f>
        <v>-</v>
      </c>
      <c r="N925" s="52" t="str">
        <f>VLOOKUP(Tabla3[[#This Row],[Site]],'Important Info!'!$A$1:$F$135,4,FALSE)</f>
        <v>-</v>
      </c>
      <c r="O925" s="52">
        <f>VLOOKUP(Tabla3[[#This Row],[Site]],'Important Info!'!$A$1:$F$135,5,FALSE)</f>
        <v>4</v>
      </c>
      <c r="P925" s="52" t="str">
        <f>VLOOKUP(Tabla3[[#This Row],[Site]],'Important Info!'!$A$1:$F$135,6,FALSE)</f>
        <v>-</v>
      </c>
      <c r="Q925" s="91">
        <f>VLOOKUP(Tabla3[[#This Row],[Site]],'Important Info!'!$A$1:$J$135,9,FALSE)</f>
        <v>262</v>
      </c>
    </row>
    <row r="926" spans="1:17" x14ac:dyDescent="0.25">
      <c r="A926" t="str">
        <f>+Tabla3[[#This Row],[Site]]&amp;Tabla3[[#This Row],[Split]]</f>
        <v>(ML) Mazda VW-Lot B11</v>
      </c>
      <c r="B926">
        <v>11</v>
      </c>
      <c r="C926">
        <v>11</v>
      </c>
      <c r="D926" t="s">
        <v>33</v>
      </c>
      <c r="E926" t="s">
        <v>46</v>
      </c>
      <c r="F926" t="s">
        <v>9</v>
      </c>
      <c r="G926" t="s">
        <v>34</v>
      </c>
      <c r="H926" s="52" t="str">
        <f>VLOOKUP(Tabla3[[#This Row],[Site]],'Important Info!'!$A$1:$J$135,10,FALSE)</f>
        <v>https://tools.sig.systems/site/details/205</v>
      </c>
      <c r="I926" s="2" t="s">
        <v>142</v>
      </c>
      <c r="J926" t="s">
        <v>41</v>
      </c>
      <c r="K926" s="79" t="str">
        <f>VLOOKUP(Tabla3[[#This Row],[Site]],'Important Info!'!$A$1:$H$135,8,FALSE)</f>
        <v>-</v>
      </c>
      <c r="L926" s="52" t="str">
        <f>VLOOKUP(Tabla3[[#This Row],[Site]],'Important Info!'!$A$1:$F$135,2,FALSE)</f>
        <v>9, 14, 16</v>
      </c>
      <c r="M926" s="52">
        <f>VLOOKUP(Tabla3[[#This Row],[Site]],'Important Info!'!$A$1:$F$135,3,FALSE)</f>
        <v>1</v>
      </c>
      <c r="N926" s="52" t="str">
        <f>VLOOKUP(Tabla3[[#This Row],[Site]],'Important Info!'!$A$1:$F$135,4,FALSE)</f>
        <v>-</v>
      </c>
      <c r="O926" s="52">
        <f>VLOOKUP(Tabla3[[#This Row],[Site]],'Important Info!'!$A$1:$F$135,5,FALSE)</f>
        <v>4</v>
      </c>
      <c r="P926" s="52" t="str">
        <f>VLOOKUP(Tabla3[[#This Row],[Site]],'Important Info!'!$A$1:$F$135,6,FALSE)</f>
        <v>-</v>
      </c>
      <c r="Q926" s="91">
        <f>VLOOKUP(Tabla3[[#This Row],[Site]],'Important Info!'!$A$1:$J$135,9,FALSE)</f>
        <v>205</v>
      </c>
    </row>
    <row r="927" spans="1:17" x14ac:dyDescent="0.25">
      <c r="A927" t="str">
        <f>+Tabla3[[#This Row],[Site]]&amp;Tabla3[[#This Row],[Split]]</f>
        <v>(ML) Volvo Collision Corp11</v>
      </c>
      <c r="B927">
        <v>11</v>
      </c>
      <c r="C927">
        <v>11</v>
      </c>
      <c r="D927" t="s">
        <v>33</v>
      </c>
      <c r="E927" t="s">
        <v>46</v>
      </c>
      <c r="F927" t="s">
        <v>106</v>
      </c>
      <c r="G927" t="s">
        <v>34</v>
      </c>
      <c r="H927" s="52" t="str">
        <f>VLOOKUP(Tabla3[[#This Row],[Site]],'Important Info!'!$A$1:$J$135,10,FALSE)</f>
        <v>https://tools.sig.systems/site/details/223</v>
      </c>
      <c r="I927" s="2"/>
      <c r="J927" t="s">
        <v>41</v>
      </c>
      <c r="K927" s="79" t="str">
        <f>VLOOKUP(Tabla3[[#This Row],[Site]],'Important Info!'!$A$1:$H$135,8,FALSE)</f>
        <v>-</v>
      </c>
      <c r="L927" s="52" t="str">
        <f>VLOOKUP(Tabla3[[#This Row],[Site]],'Important Info!'!$A$1:$F$135,2,FALSE)</f>
        <v>7, 11</v>
      </c>
      <c r="M927" s="52">
        <f>VLOOKUP(Tabla3[[#This Row],[Site]],'Important Info!'!$A$1:$F$135,3,FALSE)</f>
        <v>4</v>
      </c>
      <c r="N927" s="52" t="str">
        <f>VLOOKUP(Tabla3[[#This Row],[Site]],'Important Info!'!$A$1:$F$135,4,FALSE)</f>
        <v>-</v>
      </c>
      <c r="O927" s="52">
        <f>VLOOKUP(Tabla3[[#This Row],[Site]],'Important Info!'!$A$1:$F$135,5,FALSE)</f>
        <v>18</v>
      </c>
      <c r="P927" s="52" t="str">
        <f>VLOOKUP(Tabla3[[#This Row],[Site]],'Important Info!'!$A$1:$F$135,6,FALSE)</f>
        <v>-</v>
      </c>
      <c r="Q927" s="91">
        <f>VLOOKUP(Tabla3[[#This Row],[Site]],'Important Info!'!$A$1:$J$135,9,FALSE)</f>
        <v>223</v>
      </c>
    </row>
    <row r="928" spans="1:17" x14ac:dyDescent="0.25">
      <c r="A928" t="str">
        <f>+Tabla3[[#This Row],[Site]]&amp;Tabla3[[#This Row],[Split]]</f>
        <v>(PE) Fairfield Collision (NO TOURS)11</v>
      </c>
      <c r="B928">
        <v>11</v>
      </c>
      <c r="C928">
        <v>11</v>
      </c>
      <c r="D928" t="s">
        <v>485</v>
      </c>
      <c r="E928" t="s">
        <v>35</v>
      </c>
      <c r="F928" t="s">
        <v>63</v>
      </c>
      <c r="G928" t="s">
        <v>490</v>
      </c>
      <c r="H928" s="52" t="str">
        <f>VLOOKUP(Tabla3[[#This Row],[Site]],'Important Info!'!$A$1:$J$135,10,FALSE)</f>
        <v>https://tools.sig.systems/site/details/191</v>
      </c>
      <c r="J928" t="s">
        <v>41</v>
      </c>
      <c r="K928" s="79" t="str">
        <f>VLOOKUP(Tabla3[[#This Row],[Site]],'Important Info!'!$A$1:$H$135,8,FALSE)</f>
        <v>-</v>
      </c>
      <c r="L928" s="52">
        <f>VLOOKUP(Tabla3[[#This Row],[Site]],'Important Info!'!$A$1:$F$135,2,FALSE)</f>
        <v>4</v>
      </c>
      <c r="M928" s="52" t="str">
        <f>VLOOKUP(Tabla3[[#This Row],[Site]],'Important Info!'!$A$1:$F$135,3,FALSE)</f>
        <v>-</v>
      </c>
      <c r="N928" s="52" t="str">
        <f>VLOOKUP(Tabla3[[#This Row],[Site]],'Important Info!'!$A$1:$F$135,4,FALSE)</f>
        <v>-</v>
      </c>
      <c r="O928" s="52" t="str">
        <f>VLOOKUP(Tabla3[[#This Row],[Site]],'Important Info!'!$A$1:$F$135,5,FALSE)</f>
        <v>-</v>
      </c>
      <c r="P928" s="52" t="str">
        <f>VLOOKUP(Tabla3[[#This Row],[Site]],'Important Info!'!$A$1:$F$135,6,FALSE)</f>
        <v>1, 2, 3, 4, 5, 6</v>
      </c>
      <c r="Q928" s="91">
        <f>VLOOKUP(Tabla3[[#This Row],[Site]],'Important Info!'!$A$1:$J$135,9,FALSE)</f>
        <v>191</v>
      </c>
    </row>
    <row r="929" spans="1:17" x14ac:dyDescent="0.25">
      <c r="A929" t="str">
        <f>+Tabla3[[#This Row],[Site]]&amp;Tabla3[[#This Row],[Split]]</f>
        <v>(RV) Sonny's Camp N Travel Concord11</v>
      </c>
      <c r="B929">
        <v>11</v>
      </c>
      <c r="C929">
        <v>11</v>
      </c>
      <c r="D929" t="s">
        <v>62</v>
      </c>
      <c r="E929" t="s">
        <v>35</v>
      </c>
      <c r="F929" t="s">
        <v>188</v>
      </c>
      <c r="G929" t="s">
        <v>490</v>
      </c>
      <c r="H929" s="52" t="str">
        <f>VLOOKUP(Tabla3[[#This Row],[Site]],'Important Info!'!$A$1:$J$135,10,FALSE)</f>
        <v>https://tools.sig.systems/site/details/183</v>
      </c>
      <c r="J929" t="s">
        <v>41</v>
      </c>
      <c r="K929" s="79" t="str">
        <f>VLOOKUP(Tabla3[[#This Row],[Site]],'Important Info!'!$A$1:$H$135,8,FALSE)</f>
        <v>-</v>
      </c>
      <c r="L929" s="52">
        <f>VLOOKUP(Tabla3[[#This Row],[Site]],'Important Info!'!$A$1:$F$135,2,FALSE)</f>
        <v>1</v>
      </c>
      <c r="M929" s="52" t="str">
        <f>VLOOKUP(Tabla3[[#This Row],[Site]],'Important Info!'!$A$1:$F$135,3,FALSE)</f>
        <v>-</v>
      </c>
      <c r="N929" s="52" t="str">
        <f>VLOOKUP(Tabla3[[#This Row],[Site]],'Important Info!'!$A$1:$F$135,4,FALSE)</f>
        <v>-</v>
      </c>
      <c r="O929" s="52">
        <f>VLOOKUP(Tabla3[[#This Row],[Site]],'Important Info!'!$A$1:$F$135,5,FALSE)</f>
        <v>7</v>
      </c>
      <c r="P929" s="52" t="str">
        <f>VLOOKUP(Tabla3[[#This Row],[Site]],'Important Info!'!$A$1:$F$135,6,FALSE)</f>
        <v>6, 7, 8, 9</v>
      </c>
      <c r="Q929" s="91">
        <f>VLOOKUP(Tabla3[[#This Row],[Site]],'Important Info!'!$A$1:$J$135,9,FALSE)</f>
        <v>183</v>
      </c>
    </row>
    <row r="930" spans="1:17" x14ac:dyDescent="0.25">
      <c r="A930" t="str">
        <f>+Tabla3[[#This Row],[Site]]&amp;Tabla3[[#This Row],[Split]]</f>
        <v>(AS) Courtesy Hyundai/Nissan Tampa (NO TOURS)12</v>
      </c>
      <c r="B930">
        <v>12</v>
      </c>
      <c r="C930">
        <v>1</v>
      </c>
      <c r="D930" t="s">
        <v>62</v>
      </c>
      <c r="E930" t="s">
        <v>35</v>
      </c>
      <c r="F930" t="s">
        <v>504</v>
      </c>
      <c r="G930" t="s">
        <v>490</v>
      </c>
      <c r="H930" s="52" t="str">
        <f>VLOOKUP(Tabla3[[#This Row],[Site]],'Important Info!'!$A$1:$J$135,10,FALSE)</f>
        <v>https://tools.sig.systems/site/details/128</v>
      </c>
      <c r="I930" s="66"/>
      <c r="J930" t="s">
        <v>484</v>
      </c>
      <c r="K930" s="79" t="str">
        <f>VLOOKUP(Tabla3[[#This Row],[Site]],'Important Info!'!$A$1:$H$135,8,FALSE)</f>
        <v>-</v>
      </c>
      <c r="L930" s="52" t="str">
        <f>VLOOKUP(Tabla3[[#This Row],[Site]],'Important Info!'!$A$1:$F$135,2,FALSE)</f>
        <v>1, 16, 25, 27, 32</v>
      </c>
      <c r="M930" s="52" t="str">
        <f>VLOOKUP(Tabla3[[#This Row],[Site]],'Important Info!'!$A$1:$F$135,3,FALSE)</f>
        <v>-</v>
      </c>
      <c r="N930" s="52" t="str">
        <f>VLOOKUP(Tabla3[[#This Row],[Site]],'Important Info!'!$A$1:$F$135,4,FALSE)</f>
        <v>-</v>
      </c>
      <c r="O930" s="52" t="str">
        <f>VLOOKUP(Tabla3[[#This Row],[Site]],'Important Info!'!$A$1:$F$135,5,FALSE)</f>
        <v>4, 10, 16</v>
      </c>
      <c r="P930" s="52" t="str">
        <f>VLOOKUP(Tabla3[[#This Row],[Site]],'Important Info!'!$A$1:$F$135,6,FALSE)</f>
        <v>24, 25, 26 &amp; Remote Lots</v>
      </c>
      <c r="Q930" s="91">
        <f>VLOOKUP(Tabla3[[#This Row],[Site]],'Important Info!'!$A$1:$J$135,9,FALSE)</f>
        <v>128</v>
      </c>
    </row>
    <row r="931" spans="1:17" x14ac:dyDescent="0.25">
      <c r="A931" t="str">
        <f>+Tabla3[[#This Row],[Site]]&amp;Tabla3[[#This Row],[Split]]</f>
        <v>(AS) Park Place Bodywerks Ft. Worth (NO TOURS)12</v>
      </c>
      <c r="B931">
        <v>12</v>
      </c>
      <c r="C931">
        <v>1</v>
      </c>
      <c r="D931" t="s">
        <v>33</v>
      </c>
      <c r="E931" t="s">
        <v>46</v>
      </c>
      <c r="F931" t="s">
        <v>515</v>
      </c>
      <c r="G931" t="s">
        <v>34</v>
      </c>
      <c r="H931" s="52" t="str">
        <f>VLOOKUP(Tabla3[[#This Row],[Site]],'Important Info!'!$A$1:$J$135,10,FALSE)</f>
        <v>https://tools.sig.systems/site/details/134</v>
      </c>
      <c r="I931" s="65" t="s">
        <v>128</v>
      </c>
      <c r="J931" t="s">
        <v>41</v>
      </c>
      <c r="K931" s="79" t="str">
        <f>VLOOKUP(Tabla3[[#This Row],[Site]],'Important Info!'!$A$1:$H$135,8,FALSE)</f>
        <v>-</v>
      </c>
      <c r="L931" s="52" t="str">
        <f>VLOOKUP(Tabla3[[#This Row],[Site]],'Important Info!'!$A$1:$F$135,2,FALSE)</f>
        <v>2, 3, RemoteLot5, RemoteLot9</v>
      </c>
      <c r="M931" s="52" t="str">
        <f>VLOOKUP(Tabla3[[#This Row],[Site]],'Important Info!'!$A$1:$F$135,3,FALSE)</f>
        <v>-</v>
      </c>
      <c r="N931" s="52" t="str">
        <f>VLOOKUP(Tabla3[[#This Row],[Site]],'Important Info!'!$A$1:$F$135,4,FALSE)</f>
        <v>-</v>
      </c>
      <c r="O931" s="52" t="str">
        <f>VLOOKUP(Tabla3[[#This Row],[Site]],'Important Info!'!$A$1:$F$135,5,FALSE)</f>
        <v>1, 7, RL1, RL5, RL9</v>
      </c>
      <c r="P931" s="52" t="str">
        <f>VLOOKUP(Tabla3[[#This Row],[Site]],'Important Info!'!$A$1:$F$135,6,FALSE)</f>
        <v>3, 4, 15</v>
      </c>
      <c r="Q931" s="91">
        <f>VLOOKUP(Tabla3[[#This Row],[Site]],'Important Info!'!$A$1:$J$135,9,FALSE)</f>
        <v>134</v>
      </c>
    </row>
    <row r="932" spans="1:17" x14ac:dyDescent="0.25">
      <c r="A932" t="str">
        <f>+Tabla3[[#This Row],[Site]]&amp;Tabla3[[#This Row],[Split]]</f>
        <v>(DT) N. Houston12</v>
      </c>
      <c r="B932">
        <v>12</v>
      </c>
      <c r="C932">
        <v>1</v>
      </c>
      <c r="D932" t="s">
        <v>33</v>
      </c>
      <c r="E932" t="s">
        <v>46</v>
      </c>
      <c r="F932" t="s">
        <v>68</v>
      </c>
      <c r="G932" t="s">
        <v>34</v>
      </c>
      <c r="H932" s="52" t="str">
        <f>VLOOKUP(Tabla3[[#This Row],[Site]],'Important Info!'!$A$1:$J$135,10,FALSE)</f>
        <v>https://tools.sig.systems/site/details/250</v>
      </c>
      <c r="I932" s="43"/>
      <c r="J932" t="s">
        <v>41</v>
      </c>
      <c r="K932" s="79" t="str">
        <f>VLOOKUP(Tabla3[[#This Row],[Site]],'Important Info!'!$A$1:$H$135,8,FALSE)</f>
        <v>-</v>
      </c>
      <c r="L932" s="52" t="str">
        <f>VLOOKUP(Tabla3[[#This Row],[Site]],'Important Info!'!$A$1:$F$135,2,FALSE)</f>
        <v>2, 10, 18</v>
      </c>
      <c r="M932" s="52" t="str">
        <f>VLOOKUP(Tabla3[[#This Row],[Site]],'Important Info!'!$A$1:$F$135,3,FALSE)</f>
        <v>-</v>
      </c>
      <c r="N932" s="52" t="str">
        <f>VLOOKUP(Tabla3[[#This Row],[Site]],'Important Info!'!$A$1:$F$135,4,FALSE)</f>
        <v>-</v>
      </c>
      <c r="O932" s="52">
        <f>VLOOKUP(Tabla3[[#This Row],[Site]],'Important Info!'!$A$1:$F$135,5,FALSE)</f>
        <v>15</v>
      </c>
      <c r="P932" s="52" t="str">
        <f>VLOOKUP(Tabla3[[#This Row],[Site]],'Important Info!'!$A$1:$F$135,6,FALSE)</f>
        <v>2, 4, 18</v>
      </c>
      <c r="Q932" s="91">
        <f>VLOOKUP(Tabla3[[#This Row],[Site]],'Important Info!'!$A$1:$J$135,9,FALSE)</f>
        <v>250</v>
      </c>
    </row>
    <row r="933" spans="1:17" x14ac:dyDescent="0.25">
      <c r="A933" t="str">
        <f>+Tabla3[[#This Row],[Site]]&amp;Tabla3[[#This Row],[Split]]</f>
        <v>(DT) W Houston12</v>
      </c>
      <c r="B933">
        <v>12</v>
      </c>
      <c r="C933">
        <v>1</v>
      </c>
      <c r="D933" t="s">
        <v>33</v>
      </c>
      <c r="E933" t="s">
        <v>46</v>
      </c>
      <c r="F933" t="s">
        <v>69</v>
      </c>
      <c r="G933" t="s">
        <v>34</v>
      </c>
      <c r="H933" s="52" t="str">
        <f>VLOOKUP(Tabla3[[#This Row],[Site]],'Important Info!'!$A$1:$J$135,10,FALSE)</f>
        <v>https://tools.sig.systems/site/details/197</v>
      </c>
      <c r="I933" s="43"/>
      <c r="J933" t="s">
        <v>41</v>
      </c>
      <c r="K933" s="79" t="str">
        <f>VLOOKUP(Tabla3[[#This Row],[Site]],'Important Info!'!$A$1:$H$135,8,FALSE)</f>
        <v>-</v>
      </c>
      <c r="L933" s="52">
        <f>VLOOKUP(Tabla3[[#This Row],[Site]],'Important Info!'!$A$1:$F$135,2,FALSE)</f>
        <v>7</v>
      </c>
      <c r="M933" s="52">
        <f>VLOOKUP(Tabla3[[#This Row],[Site]],'Important Info!'!$A$1:$F$135,3,FALSE)</f>
        <v>2</v>
      </c>
      <c r="N933" s="52" t="str">
        <f>VLOOKUP(Tabla3[[#This Row],[Site]],'Important Info!'!$A$1:$F$135,4,FALSE)</f>
        <v>-</v>
      </c>
      <c r="O933" s="52">
        <f>VLOOKUP(Tabla3[[#This Row],[Site]],'Important Info!'!$A$1:$F$135,5,FALSE)</f>
        <v>14</v>
      </c>
      <c r="P933" s="52" t="str">
        <f>VLOOKUP(Tabla3[[#This Row],[Site]],'Important Info!'!$A$1:$F$135,6,FALSE)</f>
        <v>2, 3, 7, 10</v>
      </c>
      <c r="Q933" s="91">
        <f>VLOOKUP(Tabla3[[#This Row],[Site]],'Important Info!'!$A$1:$J$135,9,FALSE)</f>
        <v>197</v>
      </c>
    </row>
    <row r="934" spans="1:17" x14ac:dyDescent="0.25">
      <c r="A934" t="str">
        <f>+Tabla3[[#This Row],[Site]]&amp;Tabla3[[#This Row],[Split]]</f>
        <v>(HUD) Acura of Greensboro12</v>
      </c>
      <c r="B934">
        <v>12</v>
      </c>
      <c r="C934">
        <v>1</v>
      </c>
      <c r="D934" t="s">
        <v>62</v>
      </c>
      <c r="E934" t="s">
        <v>35</v>
      </c>
      <c r="F934" t="s">
        <v>100</v>
      </c>
      <c r="G934" t="s">
        <v>490</v>
      </c>
      <c r="H934" s="52" t="str">
        <f>VLOOKUP(Tabla3[[#This Row],[Site]],'Important Info!'!$A$1:$J$135,10,FALSE)</f>
        <v>https://tools.sig.systems/site/details/213</v>
      </c>
      <c r="I934" s="64" t="s">
        <v>182</v>
      </c>
      <c r="J934" t="s">
        <v>41</v>
      </c>
      <c r="K934" s="79" t="str">
        <f>VLOOKUP(Tabla3[[#This Row],[Site]],'Important Info!'!$A$1:$H$135,8,FALSE)</f>
        <v>-</v>
      </c>
      <c r="L934" s="52" t="str">
        <f>VLOOKUP(Tabla3[[#This Row],[Site]],'Important Info!'!$A$1:$F$135,2,FALSE)</f>
        <v>1, 2, 6, 7, 9</v>
      </c>
      <c r="M934" s="52" t="str">
        <f>VLOOKUP(Tabla3[[#This Row],[Site]],'Important Info!'!$A$1:$F$135,3,FALSE)</f>
        <v>-</v>
      </c>
      <c r="N934" s="52" t="str">
        <f>VLOOKUP(Tabla3[[#This Row],[Site]],'Important Info!'!$A$1:$F$135,4,FALSE)</f>
        <v>-</v>
      </c>
      <c r="O934" s="52" t="str">
        <f>VLOOKUP(Tabla3[[#This Row],[Site]],'Important Info!'!$A$1:$F$135,5,FALSE)</f>
        <v>2, 5</v>
      </c>
      <c r="P934" s="52" t="str">
        <f>VLOOKUP(Tabla3[[#This Row],[Site]],'Important Info!'!$A$1:$F$135,6,FALSE)</f>
        <v>1, 2, 6, 7, 9, 18</v>
      </c>
      <c r="Q934" s="91">
        <f>VLOOKUP(Tabla3[[#This Row],[Site]],'Important Info!'!$A$1:$J$135,9,FALSE)</f>
        <v>213</v>
      </c>
    </row>
    <row r="935" spans="1:17" x14ac:dyDescent="0.25">
      <c r="A935" t="str">
        <f>+Tabla3[[#This Row],[Site]]&amp;Tabla3[[#This Row],[Split]]</f>
        <v>(KG) Clear Lake Pre-Owned12</v>
      </c>
      <c r="B935">
        <v>12</v>
      </c>
      <c r="C935">
        <v>1</v>
      </c>
      <c r="D935" t="s">
        <v>33</v>
      </c>
      <c r="E935" t="s">
        <v>46</v>
      </c>
      <c r="F935" t="s">
        <v>87</v>
      </c>
      <c r="G935" t="s">
        <v>34</v>
      </c>
      <c r="H935" s="52" t="str">
        <f>VLOOKUP(Tabla3[[#This Row],[Site]],'Important Info!'!$A$1:$J$135,10,FALSE)</f>
        <v>https://tools.sig.systems/site/details/255</v>
      </c>
      <c r="I935" s="2" t="s">
        <v>134</v>
      </c>
      <c r="J935" t="s">
        <v>41</v>
      </c>
      <c r="K935" s="79" t="str">
        <f>VLOOKUP(Tabla3[[#This Row],[Site]],'Important Info!'!$A$1:$H$135,8,FALSE)</f>
        <v>-</v>
      </c>
      <c r="L935" s="52" t="str">
        <f>VLOOKUP(Tabla3[[#This Row],[Site]],'Important Info!'!$A$1:$F$135,2,FALSE)</f>
        <v>3, 5</v>
      </c>
      <c r="M935" s="52" t="str">
        <f>VLOOKUP(Tabla3[[#This Row],[Site]],'Important Info!'!$A$1:$F$135,3,FALSE)</f>
        <v>-</v>
      </c>
      <c r="N935" s="52" t="str">
        <f>VLOOKUP(Tabla3[[#This Row],[Site]],'Important Info!'!$A$1:$F$135,4,FALSE)</f>
        <v>-</v>
      </c>
      <c r="O935" s="52" t="str">
        <f>VLOOKUP(Tabla3[[#This Row],[Site]],'Important Info!'!$A$1:$F$135,5,FALSE)</f>
        <v>4, 10, 22</v>
      </c>
      <c r="P935" s="52" t="str">
        <f>VLOOKUP(Tabla3[[#This Row],[Site]],'Important Info!'!$A$1:$F$135,6,FALSE)</f>
        <v>8, 15, 20</v>
      </c>
      <c r="Q935" s="91">
        <f>VLOOKUP(Tabla3[[#This Row],[Site]],'Important Info!'!$A$1:$J$135,9,FALSE)</f>
        <v>255</v>
      </c>
    </row>
    <row r="936" spans="1:17" x14ac:dyDescent="0.25">
      <c r="A936" t="str">
        <f>+Tabla3[[#This Row],[Site]]&amp;Tabla3[[#This Row],[Split]]</f>
        <v>(KG) Truck Center Remote Storage Lot12</v>
      </c>
      <c r="B936">
        <v>12</v>
      </c>
      <c r="C936">
        <v>1</v>
      </c>
      <c r="D936" t="s">
        <v>60</v>
      </c>
      <c r="E936" t="s">
        <v>53</v>
      </c>
      <c r="F936" t="s">
        <v>61</v>
      </c>
      <c r="G936" t="s">
        <v>41</v>
      </c>
      <c r="H936" s="52" t="str">
        <f>VLOOKUP(Tabla3[[#This Row],[Site]],'Important Info!'!$A$1:$J$135,10,FALSE)</f>
        <v>https://tools.sig.systems/site/details/144</v>
      </c>
      <c r="I936" s="2"/>
      <c r="J936" t="s">
        <v>41</v>
      </c>
      <c r="K936" s="79" t="str">
        <f>VLOOKUP(Tabla3[[#This Row],[Site]],'Important Info!'!$A$1:$H$135,8,FALSE)</f>
        <v>-</v>
      </c>
      <c r="L936" s="52" t="str">
        <f>VLOOKUP(Tabla3[[#This Row],[Site]],'Important Info!'!$A$1:$F$135,2,FALSE)</f>
        <v>4, A23, A49</v>
      </c>
      <c r="M936" s="52" t="str">
        <f>VLOOKUP(Tabla3[[#This Row],[Site]],'Important Info!'!$A$1:$F$135,3,FALSE)</f>
        <v>5, 24</v>
      </c>
      <c r="N936" s="52" t="str">
        <f>VLOOKUP(Tabla3[[#This Row],[Site]],'Important Info!'!$A$1:$F$135,4,FALSE)</f>
        <v>-</v>
      </c>
      <c r="O936" s="52" t="str">
        <f>VLOOKUP(Tabla3[[#This Row],[Site]],'Important Info!'!$A$1:$F$135,5,FALSE)</f>
        <v>1, 7, 11, 15, 19, 24, 25</v>
      </c>
      <c r="P936" s="52" t="str">
        <f>VLOOKUP(Tabla3[[#This Row],[Site]],'Important Info!'!$A$1:$F$135,6,FALSE)</f>
        <v>9, 20, 24, A49</v>
      </c>
      <c r="Q936" s="91">
        <f>VLOOKUP(Tabla3[[#This Row],[Site]],'Important Info!'!$A$1:$J$135,9,FALSE)</f>
        <v>144</v>
      </c>
    </row>
    <row r="937" spans="1:17" x14ac:dyDescent="0.25">
      <c r="A937" t="str">
        <f>+Tabla3[[#This Row],[Site]]&amp;Tabla3[[#This Row],[Split]]</f>
        <v>(ML) McLarty Gray-Daniels Ford Lincoln12</v>
      </c>
      <c r="B937">
        <v>12</v>
      </c>
      <c r="C937">
        <v>1</v>
      </c>
      <c r="D937" t="s">
        <v>33</v>
      </c>
      <c r="E937" t="s">
        <v>46</v>
      </c>
      <c r="F937" t="s">
        <v>89</v>
      </c>
      <c r="G937" t="s">
        <v>34</v>
      </c>
      <c r="H937" s="52" t="str">
        <f>VLOOKUP(Tabla3[[#This Row],[Site]],'Important Info!'!$A$1:$J$135,10,FALSE)</f>
        <v>https://tools.sig.systems/site/details/151</v>
      </c>
      <c r="I937" s="2" t="s">
        <v>150</v>
      </c>
      <c r="J937" t="s">
        <v>41</v>
      </c>
      <c r="K937" s="79" t="str">
        <f>VLOOKUP(Tabla3[[#This Row],[Site]],'Important Info!'!$A$1:$H$135,8,FALSE)</f>
        <v>-</v>
      </c>
      <c r="L937" s="52">
        <f>VLOOKUP(Tabla3[[#This Row],[Site]],'Important Info!'!$A$1:$F$135,2,FALSE)</f>
        <v>16</v>
      </c>
      <c r="M937" s="52" t="str">
        <f>VLOOKUP(Tabla3[[#This Row],[Site]],'Important Info!'!$A$1:$F$135,3,FALSE)</f>
        <v>5, 10, 36, 38, 54, 58B</v>
      </c>
      <c r="N937" s="52" t="str">
        <f>VLOOKUP(Tabla3[[#This Row],[Site]],'Important Info!'!$A$1:$F$135,4,FALSE)</f>
        <v>-</v>
      </c>
      <c r="O937" s="52" t="str">
        <f>VLOOKUP(Tabla3[[#This Row],[Site]],'Important Info!'!$A$1:$F$135,5,FALSE)</f>
        <v>5, 17, 37</v>
      </c>
      <c r="P937" s="52" t="str">
        <f>VLOOKUP(Tabla3[[#This Row],[Site]],'Important Info!'!$A$1:$F$135,6,FALSE)</f>
        <v>1, 2, 3, 4</v>
      </c>
      <c r="Q937" s="91">
        <f>VLOOKUP(Tabla3[[#This Row],[Site]],'Important Info!'!$A$1:$J$135,9,FALSE)</f>
        <v>151</v>
      </c>
    </row>
    <row r="938" spans="1:17" x14ac:dyDescent="0.25">
      <c r="A938" t="str">
        <f>+Tabla3[[#This Row],[Site]]&amp;Tabla3[[#This Row],[Split]]</f>
        <v>(PE) Hudson Toyota Nissan CDJR (NO TOURS)12</v>
      </c>
      <c r="B938">
        <v>12</v>
      </c>
      <c r="C938">
        <v>1</v>
      </c>
      <c r="D938" t="s">
        <v>485</v>
      </c>
      <c r="E938" t="s">
        <v>35</v>
      </c>
      <c r="F938" t="s">
        <v>82</v>
      </c>
      <c r="G938" t="s">
        <v>490</v>
      </c>
      <c r="H938" s="52" t="str">
        <f>VLOOKUP(Tabla3[[#This Row],[Site]],'Important Info!'!$A$1:$J$135,10,FALSE)</f>
        <v>https://tools.sig.systems/site/details/156</v>
      </c>
      <c r="J938" t="s">
        <v>41</v>
      </c>
      <c r="K938" s="79" t="str">
        <f>VLOOKUP(Tabla3[[#This Row],[Site]],'Important Info!'!$A$1:$H$135,8,FALSE)</f>
        <v>-</v>
      </c>
      <c r="L938" s="52">
        <f>VLOOKUP(Tabla3[[#This Row],[Site]],'Important Info!'!$A$1:$F$135,2,FALSE)</f>
        <v>5</v>
      </c>
      <c r="M938" s="52" t="str">
        <f>VLOOKUP(Tabla3[[#This Row],[Site]],'Important Info!'!$A$1:$F$135,3,FALSE)</f>
        <v>3, 7, 18</v>
      </c>
      <c r="N938" s="52" t="str">
        <f>VLOOKUP(Tabla3[[#This Row],[Site]],'Important Info!'!$A$1:$F$135,4,FALSE)</f>
        <v>-</v>
      </c>
      <c r="O938" s="52">
        <f>VLOOKUP(Tabla3[[#This Row],[Site]],'Important Info!'!$A$1:$F$135,5,FALSE)</f>
        <v>84</v>
      </c>
      <c r="P938" s="52" t="str">
        <f>VLOOKUP(Tabla3[[#This Row],[Site]],'Important Info!'!$A$1:$F$135,6,FALSE)</f>
        <v>1, 2, 3, 4, 5, 6, 7, 8</v>
      </c>
      <c r="Q938" s="91">
        <f>VLOOKUP(Tabla3[[#This Row],[Site]],'Important Info!'!$A$1:$J$135,9,FALSE)</f>
        <v>156</v>
      </c>
    </row>
    <row r="939" spans="1:17" x14ac:dyDescent="0.25">
      <c r="A939" t="str">
        <f>+Tabla3[[#This Row],[Site]]&amp;Tabla3[[#This Row],[Split]]</f>
        <v>(RV) Toms Camperland Avondale (NO TOURS)12</v>
      </c>
      <c r="B939">
        <v>12</v>
      </c>
      <c r="C939">
        <v>1</v>
      </c>
      <c r="D939" t="s">
        <v>51</v>
      </c>
      <c r="E939" t="s">
        <v>161</v>
      </c>
      <c r="F939" t="s">
        <v>80</v>
      </c>
      <c r="G939" t="s">
        <v>52</v>
      </c>
      <c r="H939" s="52" t="str">
        <f>VLOOKUP(Tabla3[[#This Row],[Site]],'Important Info!'!$A$1:$J$135,10,FALSE)</f>
        <v>https://tools.sig.systems/site/details/248</v>
      </c>
      <c r="I939" s="2" t="s">
        <v>163</v>
      </c>
      <c r="J939" t="s">
        <v>164</v>
      </c>
      <c r="K939" s="79" t="str">
        <f>VLOOKUP(Tabla3[[#This Row],[Site]],'Important Info!'!$A$1:$H$135,8,FALSE)</f>
        <v>-</v>
      </c>
      <c r="L939" s="52">
        <f>VLOOKUP(Tabla3[[#This Row],[Site]],'Important Info!'!$A$1:$F$135,2,FALSE)</f>
        <v>10</v>
      </c>
      <c r="M939" s="52" t="str">
        <f>VLOOKUP(Tabla3[[#This Row],[Site]],'Important Info!'!$A$1:$F$135,3,FALSE)</f>
        <v>2, 7</v>
      </c>
      <c r="N939" s="52" t="str">
        <f>VLOOKUP(Tabla3[[#This Row],[Site]],'Important Info!'!$A$1:$F$135,4,FALSE)</f>
        <v>-</v>
      </c>
      <c r="O939" s="52" t="str">
        <f>VLOOKUP(Tabla3[[#This Row],[Site]],'Important Info!'!$A$1:$F$135,5,FALSE)</f>
        <v>-</v>
      </c>
      <c r="P939" s="52" t="str">
        <f>VLOOKUP(Tabla3[[#This Row],[Site]],'Important Info!'!$A$1:$F$135,6,FALSE)</f>
        <v>2, 7, 8, 13, 15</v>
      </c>
      <c r="Q939" s="91">
        <f>VLOOKUP(Tabla3[[#This Row],[Site]],'Important Info!'!$A$1:$J$135,9,FALSE)</f>
        <v>248</v>
      </c>
    </row>
    <row r="940" spans="1:17" x14ac:dyDescent="0.25">
      <c r="A940" t="str">
        <f>+Tabla3[[#This Row],[Site]]&amp;Tabla3[[#This Row],[Split]]</f>
        <v>(AS) Nalley Lexus &amp; Remote Lot Roswell (NO TOURS)12</v>
      </c>
      <c r="B940">
        <v>12</v>
      </c>
      <c r="C940">
        <v>2</v>
      </c>
      <c r="D940" t="s">
        <v>60</v>
      </c>
      <c r="E940" t="s">
        <v>35</v>
      </c>
      <c r="F940" t="s">
        <v>511</v>
      </c>
      <c r="G940" t="s">
        <v>41</v>
      </c>
      <c r="H940" s="52" t="str">
        <f>VLOOKUP(Tabla3[[#This Row],[Site]],'Important Info!'!$A$1:$J$135,10,FALSE)</f>
        <v>https://tools.sig.systems/site/details/131</v>
      </c>
      <c r="I940" s="43" t="s">
        <v>166</v>
      </c>
      <c r="J940" t="s">
        <v>41</v>
      </c>
      <c r="K940" s="79" t="str">
        <f>VLOOKUP(Tabla3[[#This Row],[Site]],'Important Info!'!$A$1:$H$135,8,FALSE)</f>
        <v>Dealership 11PM to 5AM (Mon to Fri). Sunday Drop Time 1PM</v>
      </c>
      <c r="L940" s="52" t="str">
        <f>VLOOKUP(Tabla3[[#This Row],[Site]],'Important Info!'!$A$1:$F$135,2,FALSE)</f>
        <v>6, 13</v>
      </c>
      <c r="M940" s="52">
        <f>VLOOKUP(Tabla3[[#This Row],[Site]],'Important Info!'!$A$1:$F$135,3,FALSE)</f>
        <v>4</v>
      </c>
      <c r="N940" s="52">
        <f>VLOOKUP(Tabla3[[#This Row],[Site]],'Important Info!'!$A$1:$F$135,4,FALSE)</f>
        <v>1</v>
      </c>
      <c r="O940" s="52" t="str">
        <f>VLOOKUP(Tabla3[[#This Row],[Site]],'Important Info!'!$A$1:$F$135,5,FALSE)</f>
        <v>1, 8, 19</v>
      </c>
      <c r="P940" s="52" t="str">
        <f>VLOOKUP(Tabla3[[#This Row],[Site]],'Important Info!'!$A$1:$F$135,6,FALSE)</f>
        <v>4, 20</v>
      </c>
      <c r="Q940" s="91">
        <f>VLOOKUP(Tabla3[[#This Row],[Site]],'Important Info!'!$A$1:$J$135,9,FALSE)</f>
        <v>131</v>
      </c>
    </row>
    <row r="941" spans="1:17" x14ac:dyDescent="0.25">
      <c r="A941" t="str">
        <f>+Tabla3[[#This Row],[Site]]&amp;Tabla3[[#This Row],[Split]]</f>
        <v>(AS) Park Place Acura (NO TOURS)12</v>
      </c>
      <c r="B941">
        <v>12</v>
      </c>
      <c r="C941">
        <v>2</v>
      </c>
      <c r="D941" t="s">
        <v>33</v>
      </c>
      <c r="E941" t="s">
        <v>46</v>
      </c>
      <c r="F941" t="s">
        <v>513</v>
      </c>
      <c r="G941" t="s">
        <v>34</v>
      </c>
      <c r="H941" s="52" t="str">
        <f>VLOOKUP(Tabla3[[#This Row],[Site]],'Important Info!'!$A$1:$J$135,10,FALSE)</f>
        <v>https://tools.sig.systems/site/details/259</v>
      </c>
      <c r="I941" s="63" t="s">
        <v>127</v>
      </c>
      <c r="J941" t="s">
        <v>41</v>
      </c>
      <c r="K941" s="79" t="str">
        <f>VLOOKUP(Tabla3[[#This Row],[Site]],'Important Info!'!$A$1:$H$135,8,FALSE)</f>
        <v>-</v>
      </c>
      <c r="L941" s="52" t="str">
        <f>VLOOKUP(Tabla3[[#This Row],[Site]],'Important Info!'!$A$1:$F$135,2,FALSE)</f>
        <v>1, 2, 14, 16</v>
      </c>
      <c r="M941" s="52" t="str">
        <f>VLOOKUP(Tabla3[[#This Row],[Site]],'Important Info!'!$A$1:$F$135,3,FALSE)</f>
        <v>-</v>
      </c>
      <c r="N941" s="52" t="str">
        <f>VLOOKUP(Tabla3[[#This Row],[Site]],'Important Info!'!$A$1:$F$135,4,FALSE)</f>
        <v>-</v>
      </c>
      <c r="O941" s="52" t="str">
        <f>VLOOKUP(Tabla3[[#This Row],[Site]],'Important Info!'!$A$1:$F$135,5,FALSE)</f>
        <v>1, 7, 13</v>
      </c>
      <c r="P941" s="52" t="str">
        <f>VLOOKUP(Tabla3[[#This Row],[Site]],'Important Info!'!$A$1:$F$135,6,FALSE)</f>
        <v>-</v>
      </c>
      <c r="Q941" s="91">
        <f>VLOOKUP(Tabla3[[#This Row],[Site]],'Important Info!'!$A$1:$J$135,9,FALSE)</f>
        <v>259</v>
      </c>
    </row>
    <row r="942" spans="1:17" x14ac:dyDescent="0.25">
      <c r="A942" t="str">
        <f>+Tabla3[[#This Row],[Site]]&amp;Tabla3[[#This Row],[Split]]</f>
        <v>(DT) Denver (NO TOURS)12</v>
      </c>
      <c r="B942">
        <v>12</v>
      </c>
      <c r="C942">
        <v>2</v>
      </c>
      <c r="D942" t="s">
        <v>44</v>
      </c>
      <c r="E942" t="s">
        <v>53</v>
      </c>
      <c r="F942" t="s">
        <v>157</v>
      </c>
      <c r="G942" t="s">
        <v>45</v>
      </c>
      <c r="H942" s="52" t="str">
        <f>VLOOKUP(Tabla3[[#This Row],[Site]],'Important Info!'!$A$1:$J$135,10,FALSE)</f>
        <v>https://tools.sig.systems/site/details/203</v>
      </c>
      <c r="I942" s="43" t="s">
        <v>158</v>
      </c>
      <c r="J942" t="s">
        <v>41</v>
      </c>
      <c r="K942" s="79" t="str">
        <f>VLOOKUP(Tabla3[[#This Row],[Site]],'Important Info!'!$A$1:$H$135,8,FALSE)</f>
        <v>-</v>
      </c>
      <c r="L942" s="52" t="str">
        <f>VLOOKUP(Tabla3[[#This Row],[Site]],'Important Info!'!$A$1:$F$135,2,FALSE)</f>
        <v>-</v>
      </c>
      <c r="M942" s="52" t="str">
        <f>VLOOKUP(Tabla3[[#This Row],[Site]],'Important Info!'!$A$1:$F$135,3,FALSE)</f>
        <v>7, 8</v>
      </c>
      <c r="N942" s="52" t="str">
        <f>VLOOKUP(Tabla3[[#This Row],[Site]],'Important Info!'!$A$1:$F$135,4,FALSE)</f>
        <v>-</v>
      </c>
      <c r="O942" s="52" t="str">
        <f>VLOOKUP(Tabla3[[#This Row],[Site]],'Important Info!'!$A$1:$F$135,5,FALSE)</f>
        <v>-</v>
      </c>
      <c r="P942" s="52" t="str">
        <f>VLOOKUP(Tabla3[[#This Row],[Site]],'Important Info!'!$A$1:$F$135,6,FALSE)</f>
        <v>7, 8</v>
      </c>
      <c r="Q942" s="91">
        <f>VLOOKUP(Tabla3[[#This Row],[Site]],'Important Info!'!$A$1:$J$135,9,FALSE)</f>
        <v>203</v>
      </c>
    </row>
    <row r="943" spans="1:17" x14ac:dyDescent="0.25">
      <c r="A943" t="str">
        <f>+Tabla3[[#This Row],[Site]]&amp;Tabla3[[#This Row],[Split]]</f>
        <v>(HUD) BMW of Greensboro12</v>
      </c>
      <c r="B943">
        <v>12</v>
      </c>
      <c r="C943">
        <v>2</v>
      </c>
      <c r="D943" t="s">
        <v>62</v>
      </c>
      <c r="E943" t="s">
        <v>35</v>
      </c>
      <c r="F943" t="s">
        <v>183</v>
      </c>
      <c r="G943" t="s">
        <v>490</v>
      </c>
      <c r="H943" s="52" t="str">
        <f>VLOOKUP(Tabla3[[#This Row],[Site]],'Important Info!'!$A$1:$J$135,10,FALSE)</f>
        <v>https://tools.sig.systems/site/details/219</v>
      </c>
      <c r="I943" s="2" t="s">
        <v>184</v>
      </c>
      <c r="J943" t="s">
        <v>41</v>
      </c>
      <c r="K943" s="79" t="str">
        <f>VLOOKUP(Tabla3[[#This Row],[Site]],'Important Info!'!$A$1:$H$135,8,FALSE)</f>
        <v>-</v>
      </c>
      <c r="L943" s="52" t="str">
        <f>VLOOKUP(Tabla3[[#This Row],[Site]],'Important Info!'!$A$1:$F$135,2,FALSE)</f>
        <v>2, 20, 21</v>
      </c>
      <c r="M943" s="52" t="str">
        <f>VLOOKUP(Tabla3[[#This Row],[Site]],'Important Info!'!$A$1:$F$135,3,FALSE)</f>
        <v>-</v>
      </c>
      <c r="N943" s="52" t="str">
        <f>VLOOKUP(Tabla3[[#This Row],[Site]],'Important Info!'!$A$1:$F$135,4,FALSE)</f>
        <v>-</v>
      </c>
      <c r="O943" s="52" t="str">
        <f>VLOOKUP(Tabla3[[#This Row],[Site]],'Important Info!'!$A$1:$F$135,5,FALSE)</f>
        <v>12, 17</v>
      </c>
      <c r="P943" s="52" t="str">
        <f>VLOOKUP(Tabla3[[#This Row],[Site]],'Important Info!'!$A$1:$F$135,6,FALSE)</f>
        <v>1, 2, 6, 20</v>
      </c>
      <c r="Q943" s="91">
        <f>VLOOKUP(Tabla3[[#This Row],[Site]],'Important Info!'!$A$1:$J$135,9,FALSE)</f>
        <v>219</v>
      </c>
    </row>
    <row r="944" spans="1:17" x14ac:dyDescent="0.25">
      <c r="A944" t="str">
        <f>+Tabla3[[#This Row],[Site]]&amp;Tabla3[[#This Row],[Split]]</f>
        <v>(KG) JLR LEHI (NO TOURS)12</v>
      </c>
      <c r="B944">
        <v>12</v>
      </c>
      <c r="C944">
        <v>2</v>
      </c>
      <c r="D944" t="s">
        <v>44</v>
      </c>
      <c r="E944" t="s">
        <v>53</v>
      </c>
      <c r="F944" s="41" t="s">
        <v>8</v>
      </c>
      <c r="G944" t="s">
        <v>45</v>
      </c>
      <c r="H944" s="52" t="str">
        <f>VLOOKUP(Tabla3[[#This Row],[Site]],'Important Info!'!$A$1:$J$135,10,FALSE)</f>
        <v>https://tools.sig.systems/site/details/145</v>
      </c>
      <c r="I944" s="2"/>
      <c r="J944" t="s">
        <v>41</v>
      </c>
      <c r="K944" s="79" t="str">
        <f>VLOOKUP(Tabla3[[#This Row],[Site]],'Important Info!'!$A$1:$H$135,8,FALSE)</f>
        <v>-</v>
      </c>
      <c r="L944" s="52" t="str">
        <f>VLOOKUP(Tabla3[[#This Row],[Site]],'Important Info!'!$A$1:$F$135,2,FALSE)</f>
        <v>1, 11</v>
      </c>
      <c r="M944" s="52" t="str">
        <f>VLOOKUP(Tabla3[[#This Row],[Site]],'Important Info!'!$A$1:$F$135,3,FALSE)</f>
        <v>-</v>
      </c>
      <c r="N944" s="52" t="str">
        <f>VLOOKUP(Tabla3[[#This Row],[Site]],'Important Info!'!$A$1:$F$135,4,FALSE)</f>
        <v>-</v>
      </c>
      <c r="O944" s="52" t="str">
        <f>VLOOKUP(Tabla3[[#This Row],[Site]],'Important Info!'!$A$1:$F$135,5,FALSE)</f>
        <v>1, 7, 11</v>
      </c>
      <c r="P944" s="52" t="str">
        <f>VLOOKUP(Tabla3[[#This Row],[Site]],'Important Info!'!$A$1:$F$135,6,FALSE)</f>
        <v>-</v>
      </c>
      <c r="Q944" s="91">
        <f>VLOOKUP(Tabla3[[#This Row],[Site]],'Important Info!'!$A$1:$J$135,9,FALSE)</f>
        <v>145</v>
      </c>
    </row>
    <row r="945" spans="1:17" x14ac:dyDescent="0.25">
      <c r="A945" t="str">
        <f>+Tabla3[[#This Row],[Site]]&amp;Tabla3[[#This Row],[Split]]</f>
        <v>(KG) Texan CDJR12</v>
      </c>
      <c r="B945">
        <v>12</v>
      </c>
      <c r="C945">
        <v>2</v>
      </c>
      <c r="D945" t="s">
        <v>33</v>
      </c>
      <c r="E945" t="s">
        <v>46</v>
      </c>
      <c r="F945" t="s">
        <v>70</v>
      </c>
      <c r="G945" t="s">
        <v>34</v>
      </c>
      <c r="H945" s="52" t="str">
        <f>VLOOKUP(Tabla3[[#This Row],[Site]],'Important Info!'!$A$1:$J$135,10,FALSE)</f>
        <v>https://tools.sig.systems/site/details/238</v>
      </c>
      <c r="I945" s="2" t="s">
        <v>137</v>
      </c>
      <c r="J945" t="s">
        <v>41</v>
      </c>
      <c r="K945" s="79" t="str">
        <f>VLOOKUP(Tabla3[[#This Row],[Site]],'Important Info!'!$A$1:$H$135,8,FALSE)</f>
        <v>-</v>
      </c>
      <c r="L945" s="52" t="str">
        <f>VLOOKUP(Tabla3[[#This Row],[Site]],'Important Info!'!$A$1:$F$135,2,FALSE)</f>
        <v>11, 12, 13, 14, 20, 32, 34, 36, 77</v>
      </c>
      <c r="M945" s="52" t="str">
        <f>VLOOKUP(Tabla3[[#This Row],[Site]],'Important Info!'!$A$1:$F$135,3,FALSE)</f>
        <v>-</v>
      </c>
      <c r="N945" s="52" t="str">
        <f>VLOOKUP(Tabla3[[#This Row],[Site]],'Important Info!'!$A$1:$F$135,4,FALSE)</f>
        <v>67, 68, 69, 70</v>
      </c>
      <c r="O945" s="52" t="str">
        <f>VLOOKUP(Tabla3[[#This Row],[Site]],'Important Info!'!$A$1:$F$135,5,FALSE)</f>
        <v>2, 10, 14, 25, 29, 35, 38</v>
      </c>
      <c r="P945" s="52" t="str">
        <f>VLOOKUP(Tabla3[[#This Row],[Site]],'Important Info!'!$A$1:$F$135,6,FALSE)</f>
        <v>36, 46</v>
      </c>
      <c r="Q945" s="91">
        <f>VLOOKUP(Tabla3[[#This Row],[Site]],'Important Info!'!$A$1:$J$135,9,FALSE)</f>
        <v>238</v>
      </c>
    </row>
    <row r="946" spans="1:17" x14ac:dyDescent="0.25">
      <c r="A946" t="str">
        <f>+Tabla3[[#This Row],[Site]]&amp;Tabla3[[#This Row],[Split]]</f>
        <v>(LM) Luther Mazda / Mitsubishi12</v>
      </c>
      <c r="B946">
        <v>12</v>
      </c>
      <c r="C946">
        <v>2</v>
      </c>
      <c r="D946" t="s">
        <v>33</v>
      </c>
      <c r="E946" t="s">
        <v>46</v>
      </c>
      <c r="F946" t="s">
        <v>103</v>
      </c>
      <c r="G946" t="s">
        <v>34</v>
      </c>
      <c r="H946" s="52" t="str">
        <f>VLOOKUP(Tabla3[[#This Row],[Site]],'Important Info!'!$A$1:$J$135,10,FALSE)</f>
        <v>https://tools.sig.systems/site/details/147</v>
      </c>
      <c r="I946" s="2" t="s">
        <v>138</v>
      </c>
      <c r="J946" t="s">
        <v>41</v>
      </c>
      <c r="K946" s="79" t="str">
        <f>VLOOKUP(Tabla3[[#This Row],[Site]],'Important Info!'!$A$1:$H$135,8,FALSE)</f>
        <v>-</v>
      </c>
      <c r="L946" s="52" t="str">
        <f>VLOOKUP(Tabla3[[#This Row],[Site]],'Important Info!'!$A$1:$F$135,2,FALSE)</f>
        <v>4, 5, 6</v>
      </c>
      <c r="M946" s="52" t="str">
        <f>VLOOKUP(Tabla3[[#This Row],[Site]],'Important Info!'!$A$1:$F$135,3,FALSE)</f>
        <v>-</v>
      </c>
      <c r="N946" s="52" t="str">
        <f>VLOOKUP(Tabla3[[#This Row],[Site]],'Important Info!'!$A$1:$F$135,4,FALSE)</f>
        <v>1, 2</v>
      </c>
      <c r="O946" s="52" t="str">
        <f>VLOOKUP(Tabla3[[#This Row],[Site]],'Important Info!'!$A$1:$F$135,5,FALSE)</f>
        <v>-</v>
      </c>
      <c r="P946" s="52" t="str">
        <f>VLOOKUP(Tabla3[[#This Row],[Site]],'Important Info!'!$A$1:$F$135,6,FALSE)</f>
        <v>13, 14, 15, 16</v>
      </c>
      <c r="Q946" s="91">
        <f>VLOOKUP(Tabla3[[#This Row],[Site]],'Important Info!'!$A$1:$J$135,9,FALSE)</f>
        <v>147</v>
      </c>
    </row>
    <row r="947" spans="1:17" x14ac:dyDescent="0.25">
      <c r="A947" t="str">
        <f>+Tabla3[[#This Row],[Site]]&amp;Tabla3[[#This Row],[Split]]</f>
        <v>(ML) Columbia Honda (NO TOURS)12</v>
      </c>
      <c r="B947">
        <v>12</v>
      </c>
      <c r="C947">
        <v>2</v>
      </c>
      <c r="D947" t="s">
        <v>33</v>
      </c>
      <c r="E947" t="s">
        <v>46</v>
      </c>
      <c r="F947" t="s">
        <v>143</v>
      </c>
      <c r="G947" t="s">
        <v>34</v>
      </c>
      <c r="H947" s="52" t="str">
        <f>VLOOKUP(Tabla3[[#This Row],[Site]],'Important Info!'!$A$1:$J$135,10,FALSE)</f>
        <v>https://tools.sig.systems/site/details/272</v>
      </c>
      <c r="I947" s="2" t="s">
        <v>144</v>
      </c>
      <c r="J947" t="s">
        <v>41</v>
      </c>
      <c r="K947" s="79" t="str">
        <f>VLOOKUP(Tabla3[[#This Row],[Site]],'Important Info!'!$A$1:$H$135,8,FALSE)</f>
        <v>-</v>
      </c>
      <c r="L947" s="52" t="str">
        <f>VLOOKUP(Tabla3[[#This Row],[Site]],'Important Info!'!$A$1:$F$135,2,FALSE)</f>
        <v>-</v>
      </c>
      <c r="M947" s="52" t="str">
        <f>VLOOKUP(Tabla3[[#This Row],[Site]],'Important Info!'!$A$1:$F$135,3,FALSE)</f>
        <v>9, 19, 20</v>
      </c>
      <c r="N947" s="52" t="str">
        <f>VLOOKUP(Tabla3[[#This Row],[Site]],'Important Info!'!$A$1:$F$135,4,FALSE)</f>
        <v>-</v>
      </c>
      <c r="O947" s="52" t="str">
        <f>VLOOKUP(Tabla3[[#This Row],[Site]],'Important Info!'!$A$1:$F$135,5,FALSE)</f>
        <v>10, 17, 19</v>
      </c>
      <c r="P947" s="52" t="str">
        <f>VLOOKUP(Tabla3[[#This Row],[Site]],'Important Info!'!$A$1:$F$135,6,FALSE)</f>
        <v>3, 4, 5</v>
      </c>
      <c r="Q947" s="91">
        <f>VLOOKUP(Tabla3[[#This Row],[Site]],'Important Info!'!$A$1:$J$135,9,FALSE)</f>
        <v>272</v>
      </c>
    </row>
    <row r="948" spans="1:17" x14ac:dyDescent="0.25">
      <c r="A948" t="str">
        <f>+Tabla3[[#This Row],[Site]]&amp;Tabla3[[#This Row],[Split]]</f>
        <v>(ML) McLarty Gray-Daniels Toyota Nissan12</v>
      </c>
      <c r="B948">
        <v>12</v>
      </c>
      <c r="C948">
        <v>2</v>
      </c>
      <c r="D948" t="s">
        <v>33</v>
      </c>
      <c r="E948" t="s">
        <v>46</v>
      </c>
      <c r="F948" t="s">
        <v>90</v>
      </c>
      <c r="G948" t="s">
        <v>34</v>
      </c>
      <c r="H948" s="52" t="str">
        <f>VLOOKUP(Tabla3[[#This Row],[Site]],'Important Info!'!$A$1:$J$135,10,FALSE)</f>
        <v>https://tools.sig.systems/site/details/152</v>
      </c>
      <c r="I948" s="43" t="s">
        <v>150</v>
      </c>
      <c r="J948" t="s">
        <v>41</v>
      </c>
      <c r="K948" s="79" t="str">
        <f>VLOOKUP(Tabla3[[#This Row],[Site]],'Important Info!'!$A$1:$H$135,8,FALSE)</f>
        <v>-</v>
      </c>
      <c r="L948" s="52" t="str">
        <f>VLOOKUP(Tabla3[[#This Row],[Site]],'Important Info!'!$A$1:$F$135,2,FALSE)</f>
        <v>-</v>
      </c>
      <c r="M948" s="52" t="str">
        <f>VLOOKUP(Tabla3[[#This Row],[Site]],'Important Info!'!$A$1:$F$135,3,FALSE)</f>
        <v>8, 11, 39, 43</v>
      </c>
      <c r="N948" s="52" t="str">
        <f>VLOOKUP(Tabla3[[#This Row],[Site]],'Important Info!'!$A$1:$F$135,4,FALSE)</f>
        <v>-</v>
      </c>
      <c r="O948" s="52" t="str">
        <f>VLOOKUP(Tabla3[[#This Row],[Site]],'Important Info!'!$A$1:$F$135,5,FALSE)</f>
        <v>6, 11, 15, 18</v>
      </c>
      <c r="P948" s="52" t="str">
        <f>VLOOKUP(Tabla3[[#This Row],[Site]],'Important Info!'!$A$1:$F$135,6,FALSE)</f>
        <v>7, 8, 9</v>
      </c>
      <c r="Q948" s="91">
        <f>VLOOKUP(Tabla3[[#This Row],[Site]],'Important Info!'!$A$1:$J$135,9,FALSE)</f>
        <v>152</v>
      </c>
    </row>
    <row r="949" spans="1:17" x14ac:dyDescent="0.25">
      <c r="A949" t="str">
        <f>+Tabla3[[#This Row],[Site]]&amp;Tabla3[[#This Row],[Split]]</f>
        <v>(RV) Toms Camperland Mesa (NO TOURS)12</v>
      </c>
      <c r="B949">
        <v>12</v>
      </c>
      <c r="C949">
        <v>2</v>
      </c>
      <c r="D949" t="s">
        <v>51</v>
      </c>
      <c r="E949" t="s">
        <v>161</v>
      </c>
      <c r="F949" t="s">
        <v>81</v>
      </c>
      <c r="G949" t="s">
        <v>52</v>
      </c>
      <c r="H949" s="52" t="str">
        <f>VLOOKUP(Tabla3[[#This Row],[Site]],'Important Info!'!$A$1:$J$135,10,FALSE)</f>
        <v>https://tools.sig.systems/site/details/222</v>
      </c>
      <c r="J949" t="s">
        <v>41</v>
      </c>
      <c r="K949" s="79" t="str">
        <f>VLOOKUP(Tabla3[[#This Row],[Site]],'Important Info!'!$A$1:$H$135,8,FALSE)</f>
        <v>-</v>
      </c>
      <c r="L949" s="52" t="str">
        <f>VLOOKUP(Tabla3[[#This Row],[Site]],'Important Info!'!$A$1:$F$135,2,FALSE)</f>
        <v>1, 2</v>
      </c>
      <c r="M949" s="52" t="str">
        <f>VLOOKUP(Tabla3[[#This Row],[Site]],'Important Info!'!$A$1:$F$135,3,FALSE)</f>
        <v>-</v>
      </c>
      <c r="N949" s="52" t="str">
        <f>VLOOKUP(Tabla3[[#This Row],[Site]],'Important Info!'!$A$1:$F$135,4,FALSE)</f>
        <v>-</v>
      </c>
      <c r="O949" s="52" t="str">
        <f>VLOOKUP(Tabla3[[#This Row],[Site]],'Important Info!'!$A$1:$F$135,5,FALSE)</f>
        <v>-</v>
      </c>
      <c r="P949" s="52" t="str">
        <f>VLOOKUP(Tabla3[[#This Row],[Site]],'Important Info!'!$A$1:$F$135,6,FALSE)</f>
        <v>1, 4, 6, 8, 10, 18</v>
      </c>
      <c r="Q949" s="91">
        <f>VLOOKUP(Tabla3[[#This Row],[Site]],'Important Info!'!$A$1:$J$135,9,FALSE)</f>
        <v>222</v>
      </c>
    </row>
    <row r="950" spans="1:17" x14ac:dyDescent="0.25">
      <c r="A950" t="str">
        <f>+Tabla3[[#This Row],[Site]]&amp;Tabla3[[#This Row],[Split]]</f>
        <v>(AS) Bill Estes Ford (NO TOURS)12</v>
      </c>
      <c r="B950">
        <v>12</v>
      </c>
      <c r="C950">
        <v>3</v>
      </c>
      <c r="D950" t="s">
        <v>62</v>
      </c>
      <c r="E950" t="s">
        <v>35</v>
      </c>
      <c r="F950" t="s">
        <v>178</v>
      </c>
      <c r="G950" t="s">
        <v>490</v>
      </c>
      <c r="H950" s="52" t="str">
        <f>VLOOKUP(Tabla3[[#This Row],[Site]],'Important Info!'!$A$1:$J$135,10,FALSE)</f>
        <v>https://tools.sig.systems/site/details/125</v>
      </c>
      <c r="J950" t="s">
        <v>41</v>
      </c>
      <c r="K950" s="79" t="str">
        <f>VLOOKUP(Tabla3[[#This Row],[Site]],'Important Info!'!$A$1:$H$135,8,FALSE)</f>
        <v>-</v>
      </c>
      <c r="L950" s="52" t="str">
        <f>VLOOKUP(Tabla3[[#This Row],[Site]],'Important Info!'!$A$1:$F$135,2,FALSE)</f>
        <v>-</v>
      </c>
      <c r="M950" s="52" t="str">
        <f>VLOOKUP(Tabla3[[#This Row],[Site]],'Important Info!'!$A$1:$F$135,3,FALSE)</f>
        <v>2, 3, 13, 16</v>
      </c>
      <c r="N950" s="52" t="str">
        <f>VLOOKUP(Tabla3[[#This Row],[Site]],'Important Info!'!$A$1:$F$135,4,FALSE)</f>
        <v>-</v>
      </c>
      <c r="O950" s="52" t="str">
        <f>VLOOKUP(Tabla3[[#This Row],[Site]],'Important Info!'!$A$1:$F$135,5,FALSE)</f>
        <v>1, 10, 14, 19</v>
      </c>
      <c r="P950" s="52" t="str">
        <f>VLOOKUP(Tabla3[[#This Row],[Site]],'Important Info!'!$A$1:$F$135,6,FALSE)</f>
        <v>7, 8, 9, 10, 11, 12, 14</v>
      </c>
      <c r="Q950" s="91">
        <f>VLOOKUP(Tabla3[[#This Row],[Site]],'Important Info!'!$A$1:$J$135,9,FALSE)</f>
        <v>125</v>
      </c>
    </row>
    <row r="951" spans="1:17" x14ac:dyDescent="0.25">
      <c r="A951" t="str">
        <f>+Tabla3[[#This Row],[Site]]&amp;Tabla3[[#This Row],[Split]]</f>
        <v>(AS) Lexus Grapevine I &amp; II (NO TOURS)12</v>
      </c>
      <c r="B951">
        <v>12</v>
      </c>
      <c r="C951">
        <v>3</v>
      </c>
      <c r="D951" t="s">
        <v>33</v>
      </c>
      <c r="E951" t="s">
        <v>46</v>
      </c>
      <c r="F951" t="s">
        <v>508</v>
      </c>
      <c r="G951" t="s">
        <v>34</v>
      </c>
      <c r="H951" s="52" t="str">
        <f>VLOOKUP(Tabla3[[#This Row],[Site]],'Important Info!'!$A$1:$J$135,10,FALSE)</f>
        <v>https://tools.sig.systems/site/details/136</v>
      </c>
      <c r="J951" t="s">
        <v>41</v>
      </c>
      <c r="K951" s="79" t="str">
        <f>VLOOKUP(Tabla3[[#This Row],[Site]],'Important Info!'!$A$1:$H$135,8,FALSE)</f>
        <v>-</v>
      </c>
      <c r="L951" s="52" t="str">
        <f>VLOOKUP(Tabla3[[#This Row],[Site]],'Important Info!'!$A$1:$F$135,2,FALSE)</f>
        <v>4, 10, 14, 18, 33</v>
      </c>
      <c r="M951" s="52" t="str">
        <f>VLOOKUP(Tabla3[[#This Row],[Site]],'Important Info!'!$A$1:$F$135,3,FALSE)</f>
        <v>-</v>
      </c>
      <c r="N951" s="52" t="str">
        <f>VLOOKUP(Tabla3[[#This Row],[Site]],'Important Info!'!$A$1:$F$135,4,FALSE)</f>
        <v>81, 82, 83</v>
      </c>
      <c r="O951" s="52" t="str">
        <f>VLOOKUP(Tabla3[[#This Row],[Site]],'Important Info!'!$A$1:$F$135,5,FALSE)</f>
        <v>4, 12, 15, 20, 30</v>
      </c>
      <c r="P951" s="52">
        <f>VLOOKUP(Tabla3[[#This Row],[Site]],'Important Info!'!$A$1:$F$135,6,FALSE)</f>
        <v>10</v>
      </c>
      <c r="Q951" s="91">
        <f>VLOOKUP(Tabla3[[#This Row],[Site]],'Important Info!'!$A$1:$J$135,9,FALSE)</f>
        <v>136</v>
      </c>
    </row>
    <row r="952" spans="1:17" x14ac:dyDescent="0.25">
      <c r="A952" t="str">
        <f>+Tabla3[[#This Row],[Site]]&amp;Tabla3[[#This Row],[Split]]</f>
        <v>(AS) Park Place Mercedes Benz Arlington (NO TOURS)12</v>
      </c>
      <c r="B952">
        <v>12</v>
      </c>
      <c r="C952">
        <v>3</v>
      </c>
      <c r="D952" t="s">
        <v>33</v>
      </c>
      <c r="E952" t="s">
        <v>46</v>
      </c>
      <c r="F952" t="s">
        <v>518</v>
      </c>
      <c r="G952" t="s">
        <v>34</v>
      </c>
      <c r="H952" s="52" t="str">
        <f>VLOOKUP(Tabla3[[#This Row],[Site]],'Important Info!'!$A$1:$J$135,10,FALSE)</f>
        <v>https://tools.sig.systems/site/details/169</v>
      </c>
      <c r="J952" t="s">
        <v>41</v>
      </c>
      <c r="K952" s="79" t="str">
        <f>VLOOKUP(Tabla3[[#This Row],[Site]],'Important Info!'!$A$1:$H$135,8,FALSE)</f>
        <v>-</v>
      </c>
      <c r="L952" s="52" t="str">
        <f>VLOOKUP(Tabla3[[#This Row],[Site]],'Important Info!'!$A$1:$F$135,2,FALSE)</f>
        <v>1, 9, 14</v>
      </c>
      <c r="M952" s="52" t="str">
        <f>VLOOKUP(Tabla3[[#This Row],[Site]],'Important Info!'!$A$1:$F$135,3,FALSE)</f>
        <v>-</v>
      </c>
      <c r="N952" s="52" t="str">
        <f>VLOOKUP(Tabla3[[#This Row],[Site]],'Important Info!'!$A$1:$F$135,4,FALSE)</f>
        <v>77, 78, 79, 80</v>
      </c>
      <c r="O952" s="52" t="str">
        <f>VLOOKUP(Tabla3[[#This Row],[Site]],'Important Info!'!$A$1:$F$135,5,FALSE)</f>
        <v>2, 10, 18, 22, 31, 40</v>
      </c>
      <c r="P952" s="52">
        <f>VLOOKUP(Tabla3[[#This Row],[Site]],'Important Info!'!$A$1:$F$135,6,FALSE)</f>
        <v>9</v>
      </c>
      <c r="Q952" s="91">
        <f>VLOOKUP(Tabla3[[#This Row],[Site]],'Important Info!'!$A$1:$J$135,9,FALSE)</f>
        <v>169</v>
      </c>
    </row>
    <row r="953" spans="1:17" x14ac:dyDescent="0.25">
      <c r="A953" t="str">
        <f>+Tabla3[[#This Row],[Site]]&amp;Tabla3[[#This Row],[Split]]</f>
        <v>(HUD) Nissan Greensboro12</v>
      </c>
      <c r="B953">
        <v>12</v>
      </c>
      <c r="C953">
        <v>3</v>
      </c>
      <c r="D953" t="s">
        <v>62</v>
      </c>
      <c r="E953" t="s">
        <v>35</v>
      </c>
      <c r="F953" t="s">
        <v>66</v>
      </c>
      <c r="G953" t="s">
        <v>490</v>
      </c>
      <c r="H953" s="52" t="str">
        <f>VLOOKUP(Tabla3[[#This Row],[Site]],'Important Info!'!$A$1:$J$135,10,FALSE)</f>
        <v>https://tools.sig.systems/site/details/236</v>
      </c>
      <c r="I953" s="43" t="s">
        <v>184</v>
      </c>
      <c r="J953" t="s">
        <v>41</v>
      </c>
      <c r="K953" s="79" t="str">
        <f>VLOOKUP(Tabla3[[#This Row],[Site]],'Important Info!'!$A$1:$H$135,8,FALSE)</f>
        <v>-</v>
      </c>
      <c r="L953" s="52" t="str">
        <f>VLOOKUP(Tabla3[[#This Row],[Site]],'Important Info!'!$A$1:$F$135,2,FALSE)</f>
        <v>1, 5, 12</v>
      </c>
      <c r="M953" s="52" t="str">
        <f>VLOOKUP(Tabla3[[#This Row],[Site]],'Important Info!'!$A$1:$F$135,3,FALSE)</f>
        <v>-</v>
      </c>
      <c r="N953" s="52" t="str">
        <f>VLOOKUP(Tabla3[[#This Row],[Site]],'Important Info!'!$A$1:$F$135,4,FALSE)</f>
        <v>-</v>
      </c>
      <c r="O953" s="52" t="str">
        <f>VLOOKUP(Tabla3[[#This Row],[Site]],'Important Info!'!$A$1:$F$135,5,FALSE)</f>
        <v>-</v>
      </c>
      <c r="P953" s="52">
        <f>VLOOKUP(Tabla3[[#This Row],[Site]],'Important Info!'!$A$1:$F$135,6,FALSE)</f>
        <v>4</v>
      </c>
      <c r="Q953" s="91">
        <f>VLOOKUP(Tabla3[[#This Row],[Site]],'Important Info!'!$A$1:$J$135,9,FALSE)</f>
        <v>236</v>
      </c>
    </row>
    <row r="954" spans="1:17" x14ac:dyDescent="0.25">
      <c r="A954" t="str">
        <f>+Tabla3[[#This Row],[Site]]&amp;Tabla3[[#This Row],[Split]]</f>
        <v>(KG) Big Star Ford12</v>
      </c>
      <c r="B954">
        <v>12</v>
      </c>
      <c r="C954">
        <v>3</v>
      </c>
      <c r="D954" t="s">
        <v>33</v>
      </c>
      <c r="E954" t="s">
        <v>46</v>
      </c>
      <c r="F954" t="s">
        <v>135</v>
      </c>
      <c r="G954" t="s">
        <v>34</v>
      </c>
      <c r="H954" s="52" t="str">
        <f>VLOOKUP(Tabla3[[#This Row],[Site]],'Important Info!'!$A$1:$J$135,10,FALSE)</f>
        <v>https://tools.sig.systems/site/details/235</v>
      </c>
      <c r="I954" s="2"/>
      <c r="J954" t="s">
        <v>41</v>
      </c>
      <c r="K954" s="79" t="str">
        <f>VLOOKUP(Tabla3[[#This Row],[Site]],'Important Info!'!$A$1:$H$135,8,FALSE)</f>
        <v>-</v>
      </c>
      <c r="L954" s="52" t="str">
        <f>VLOOKUP(Tabla3[[#This Row],[Site]],'Important Info!'!$A$1:$F$135,2,FALSE)</f>
        <v>4, 22, 32, 33</v>
      </c>
      <c r="M954" s="52" t="str">
        <f>VLOOKUP(Tabla3[[#This Row],[Site]],'Important Info!'!$A$1:$F$135,3,FALSE)</f>
        <v>-</v>
      </c>
      <c r="N954" s="52" t="str">
        <f>VLOOKUP(Tabla3[[#This Row],[Site]],'Important Info!'!$A$1:$F$135,4,FALSE)</f>
        <v>-</v>
      </c>
      <c r="O954" s="52" t="str">
        <f>VLOOKUP(Tabla3[[#This Row],[Site]],'Important Info!'!$A$1:$F$135,5,FALSE)</f>
        <v>1, 5, 12, 21</v>
      </c>
      <c r="P954" s="52">
        <f>VLOOKUP(Tabla3[[#This Row],[Site]],'Important Info!'!$A$1:$F$135,6,FALSE)</f>
        <v>22</v>
      </c>
      <c r="Q954" s="91">
        <f>VLOOKUP(Tabla3[[#This Row],[Site]],'Important Info!'!$A$1:$J$135,9,FALSE)</f>
        <v>235</v>
      </c>
    </row>
    <row r="955" spans="1:17" x14ac:dyDescent="0.25">
      <c r="A955" t="str">
        <f>+Tabla3[[#This Row],[Site]]&amp;Tabla3[[#This Row],[Split]]</f>
        <v>(KG) Hyundai Surprise12</v>
      </c>
      <c r="B955">
        <v>12</v>
      </c>
      <c r="C955">
        <v>3</v>
      </c>
      <c r="D955" t="s">
        <v>51</v>
      </c>
      <c r="E955" t="s">
        <v>161</v>
      </c>
      <c r="F955" t="s">
        <v>118</v>
      </c>
      <c r="G955" t="s">
        <v>52</v>
      </c>
      <c r="H955" s="52" t="str">
        <f>VLOOKUP(Tabla3[[#This Row],[Site]],'Important Info!'!$A$1:$J$135,10,FALSE)</f>
        <v>https://tools.sig.systems/site/details/269</v>
      </c>
      <c r="I955" s="43"/>
      <c r="J955" t="s">
        <v>162</v>
      </c>
      <c r="K955" s="79" t="str">
        <f>VLOOKUP(Tabla3[[#This Row],[Site]],'Important Info!'!$A$1:$H$135,8,FALSE)</f>
        <v>-</v>
      </c>
      <c r="L955" s="52" t="str">
        <f>VLOOKUP(Tabla3[[#This Row],[Site]],'Important Info!'!$A$1:$F$135,2,FALSE)</f>
        <v>1, 6, 7</v>
      </c>
      <c r="M955" s="52" t="str">
        <f>VLOOKUP(Tabla3[[#This Row],[Site]],'Important Info!'!$A$1:$F$135,3,FALSE)</f>
        <v>-</v>
      </c>
      <c r="N955" s="52" t="str">
        <f>VLOOKUP(Tabla3[[#This Row],[Site]],'Important Info!'!$A$1:$F$135,4,FALSE)</f>
        <v>-</v>
      </c>
      <c r="O955" s="52" t="str">
        <f>VLOOKUP(Tabla3[[#This Row],[Site]],'Important Info!'!$A$1:$F$135,5,FALSE)</f>
        <v>6, 13</v>
      </c>
      <c r="P955" s="52" t="str">
        <f>VLOOKUP(Tabla3[[#This Row],[Site]],'Important Info!'!$A$1:$F$135,6,FALSE)</f>
        <v>-</v>
      </c>
      <c r="Q955" s="91">
        <f>VLOOKUP(Tabla3[[#This Row],[Site]],'Important Info!'!$A$1:$J$135,9,FALSE)</f>
        <v>269</v>
      </c>
    </row>
    <row r="956" spans="1:17" x14ac:dyDescent="0.25">
      <c r="A956" t="str">
        <f>+Tabla3[[#This Row],[Site]]&amp;Tabla3[[#This Row],[Split]]</f>
        <v>(KG) Texan GMC Buick (NO TOURS)12</v>
      </c>
      <c r="B956">
        <v>12</v>
      </c>
      <c r="C956">
        <v>3</v>
      </c>
      <c r="D956" t="s">
        <v>33</v>
      </c>
      <c r="E956" t="s">
        <v>46</v>
      </c>
      <c r="F956" t="s">
        <v>111</v>
      </c>
      <c r="G956" t="s">
        <v>34</v>
      </c>
      <c r="H956" s="52" t="str">
        <f>VLOOKUP(Tabla3[[#This Row],[Site]],'Important Info!'!$A$1:$J$135,10,FALSE)</f>
        <v>https://tools.sig.systems/site/details/225</v>
      </c>
      <c r="I956" s="2" t="s">
        <v>137</v>
      </c>
      <c r="J956" t="s">
        <v>41</v>
      </c>
      <c r="K956" s="79" t="str">
        <f>VLOOKUP(Tabla3[[#This Row],[Site]],'Important Info!'!$A$1:$H$135,8,FALSE)</f>
        <v>-</v>
      </c>
      <c r="L956" s="52" t="str">
        <f>VLOOKUP(Tabla3[[#This Row],[Site]],'Important Info!'!$A$1:$F$135,2,FALSE)</f>
        <v>1, 20, 53</v>
      </c>
      <c r="M956" s="52" t="str">
        <f>VLOOKUP(Tabla3[[#This Row],[Site]],'Important Info!'!$A$1:$F$135,3,FALSE)</f>
        <v>-</v>
      </c>
      <c r="N956" s="52" t="str">
        <f>VLOOKUP(Tabla3[[#This Row],[Site]],'Important Info!'!$A$1:$F$135,4,FALSE)</f>
        <v>-</v>
      </c>
      <c r="O956" s="52" t="str">
        <f>VLOOKUP(Tabla3[[#This Row],[Site]],'Important Info!'!$A$1:$F$135,5,FALSE)</f>
        <v>2, 8, 14</v>
      </c>
      <c r="P956" s="52" t="str">
        <f>VLOOKUP(Tabla3[[#This Row],[Site]],'Important Info!'!$A$1:$F$135,6,FALSE)</f>
        <v>51, 52, 16</v>
      </c>
      <c r="Q956" s="91">
        <f>VLOOKUP(Tabla3[[#This Row],[Site]],'Important Info!'!$A$1:$J$135,9,FALSE)</f>
        <v>225</v>
      </c>
    </row>
    <row r="957" spans="1:17" x14ac:dyDescent="0.25">
      <c r="A957" t="str">
        <f>+Tabla3[[#This Row],[Site]]&amp;Tabla3[[#This Row],[Split]]</f>
        <v>(ML) Joe Machens CDJR12</v>
      </c>
      <c r="B957">
        <v>12</v>
      </c>
      <c r="C957">
        <v>3</v>
      </c>
      <c r="D957" t="s">
        <v>33</v>
      </c>
      <c r="E957" t="s">
        <v>46</v>
      </c>
      <c r="F957" t="s">
        <v>88</v>
      </c>
      <c r="G957" t="s">
        <v>34</v>
      </c>
      <c r="H957" s="52" t="str">
        <f>VLOOKUP(Tabla3[[#This Row],[Site]],'Important Info!'!$A$1:$J$135,10,FALSE)</f>
        <v>https://tools.sig.systems/site/details/273</v>
      </c>
      <c r="I957" s="2" t="s">
        <v>146</v>
      </c>
      <c r="J957" t="s">
        <v>41</v>
      </c>
      <c r="K957" s="79" t="str">
        <f>VLOOKUP(Tabla3[[#This Row],[Site]],'Important Info!'!$A$1:$H$135,8,FALSE)</f>
        <v>-</v>
      </c>
      <c r="L957" s="52" t="str">
        <f>VLOOKUP(Tabla3[[#This Row],[Site]],'Important Info!'!$A$1:$F$135,2,FALSE)</f>
        <v>-</v>
      </c>
      <c r="M957" s="52">
        <f>VLOOKUP(Tabla3[[#This Row],[Site]],'Important Info!'!$A$1:$F$135,3,FALSE)</f>
        <v>3</v>
      </c>
      <c r="N957" s="52" t="str">
        <f>VLOOKUP(Tabla3[[#This Row],[Site]],'Important Info!'!$A$1:$F$135,4,FALSE)</f>
        <v>-</v>
      </c>
      <c r="O957" s="52" t="str">
        <f>VLOOKUP(Tabla3[[#This Row],[Site]],'Important Info!'!$A$1:$F$135,5,FALSE)</f>
        <v>-</v>
      </c>
      <c r="P957" s="52" t="str">
        <f>VLOOKUP(Tabla3[[#This Row],[Site]],'Important Info!'!$A$1:$F$135,6,FALSE)</f>
        <v>1, 2, 3,</v>
      </c>
      <c r="Q957" s="91">
        <f>VLOOKUP(Tabla3[[#This Row],[Site]],'Important Info!'!$A$1:$J$135,9,FALSE)</f>
        <v>273</v>
      </c>
    </row>
    <row r="958" spans="1:17" x14ac:dyDescent="0.25">
      <c r="A958" t="str">
        <f>+Tabla3[[#This Row],[Site]]&amp;Tabla3[[#This Row],[Split]]</f>
        <v>SIG Office12</v>
      </c>
      <c r="B958">
        <v>12</v>
      </c>
      <c r="C958">
        <v>3</v>
      </c>
      <c r="D958" t="s">
        <v>60</v>
      </c>
      <c r="E958" t="s">
        <v>35</v>
      </c>
      <c r="F958" t="s">
        <v>169</v>
      </c>
      <c r="G958" t="s">
        <v>41</v>
      </c>
      <c r="H958" s="52" t="str">
        <f>VLOOKUP(Tabla3[[#This Row],[Site]],'Important Info!'!$A$1:$J$135,10,FALSE)</f>
        <v>https://tools.sig.systems/site/details/163</v>
      </c>
      <c r="I958" s="64"/>
      <c r="J958" t="s">
        <v>41</v>
      </c>
      <c r="K958" s="79" t="str">
        <f>VLOOKUP(Tabla3[[#This Row],[Site]],'Important Info!'!$A$1:$H$135,8,FALSE)</f>
        <v>-</v>
      </c>
      <c r="L958" s="52" t="str">
        <f>VLOOKUP(Tabla3[[#This Row],[Site]],'Important Info!'!$A$1:$F$135,2,FALSE)</f>
        <v>-</v>
      </c>
      <c r="M958" s="52" t="str">
        <f>VLOOKUP(Tabla3[[#This Row],[Site]],'Important Info!'!$A$1:$F$135,3,FALSE)</f>
        <v>-</v>
      </c>
      <c r="N958" s="52" t="str">
        <f>VLOOKUP(Tabla3[[#This Row],[Site]],'Important Info!'!$A$1:$F$135,4,FALSE)</f>
        <v>-</v>
      </c>
      <c r="O958" s="52" t="str">
        <f>VLOOKUP(Tabla3[[#This Row],[Site]],'Important Info!'!$A$1:$F$135,5,FALSE)</f>
        <v>-</v>
      </c>
      <c r="P958" s="52">
        <f>VLOOKUP(Tabla3[[#This Row],[Site]],'Important Info!'!$A$1:$F$135,6,FALSE)</f>
        <v>25</v>
      </c>
      <c r="Q958" s="91">
        <f>VLOOKUP(Tabla3[[#This Row],[Site]],'Important Info!'!$A$1:$J$135,9,FALSE)</f>
        <v>163</v>
      </c>
    </row>
    <row r="959" spans="1:17" x14ac:dyDescent="0.25">
      <c r="A959" t="str">
        <f>+Tabla3[[#This Row],[Site]]&amp;Tabla3[[#This Row],[Split]]</f>
        <v>(AS) Lexus Plano I &amp; II (NO TOURS)12</v>
      </c>
      <c r="B959">
        <v>12</v>
      </c>
      <c r="C959">
        <v>4</v>
      </c>
      <c r="D959" t="s">
        <v>33</v>
      </c>
      <c r="E959" t="s">
        <v>46</v>
      </c>
      <c r="F959" t="s">
        <v>524</v>
      </c>
      <c r="G959" t="s">
        <v>34</v>
      </c>
      <c r="H959" s="52" t="str">
        <f>VLOOKUP(Tabla3[[#This Row],[Site]],'Important Info!'!$A$1:$J$135,10,FALSE)</f>
        <v>https://tools.sig.systems/site/details/167</v>
      </c>
      <c r="I959" s="63" t="s">
        <v>127</v>
      </c>
      <c r="J959" t="s">
        <v>41</v>
      </c>
      <c r="K959" s="79" t="str">
        <f>VLOOKUP(Tabla3[[#This Row],[Site]],'Important Info!'!$A$1:$H$135,8,FALSE)</f>
        <v>-</v>
      </c>
      <c r="L959" s="52" t="str">
        <f>VLOOKUP(Tabla3[[#This Row],[Site]],'Important Info!'!$A$1:$F$135,2,FALSE)</f>
        <v>5, 9</v>
      </c>
      <c r="M959" s="52" t="str">
        <f>VLOOKUP(Tabla3[[#This Row],[Site]],'Important Info!'!$A$1:$F$135,3,FALSE)</f>
        <v>-</v>
      </c>
      <c r="N959" s="52" t="str">
        <f>VLOOKUP(Tabla3[[#This Row],[Site]],'Important Info!'!$A$1:$F$135,4,FALSE)</f>
        <v>101, 102, 103, 104</v>
      </c>
      <c r="O959" s="52" t="str">
        <f>VLOOKUP(Tabla3[[#This Row],[Site]],'Important Info!'!$A$1:$F$135,5,FALSE)</f>
        <v>4, 10, 28</v>
      </c>
      <c r="P959" s="52" t="str">
        <f>VLOOKUP(Tabla3[[#This Row],[Site]],'Important Info!'!$A$1:$F$135,6,FALSE)</f>
        <v>5, 9, 16</v>
      </c>
      <c r="Q959" s="91">
        <f>VLOOKUP(Tabla3[[#This Row],[Site]],'Important Info!'!$A$1:$J$135,9,FALSE)</f>
        <v>167</v>
      </c>
    </row>
    <row r="960" spans="1:17" x14ac:dyDescent="0.25">
      <c r="A960" t="str">
        <f>+Tabla3[[#This Row],[Site]]&amp;Tabla3[[#This Row],[Split]]</f>
        <v>(AS) Park Place Volvo Sales (NO TOURS)12</v>
      </c>
      <c r="B960">
        <v>12</v>
      </c>
      <c r="C960">
        <v>4</v>
      </c>
      <c r="D960" t="s">
        <v>33</v>
      </c>
      <c r="E960" t="s">
        <v>46</v>
      </c>
      <c r="F960" t="s">
        <v>521</v>
      </c>
      <c r="G960" t="s">
        <v>34</v>
      </c>
      <c r="H960" s="52" t="str">
        <f>VLOOKUP(Tabla3[[#This Row],[Site]],'Important Info!'!$A$1:$J$135,10,FALSE)</f>
        <v>https://tools.sig.systems/site/details/139</v>
      </c>
      <c r="I960" s="65" t="s">
        <v>125</v>
      </c>
      <c r="J960" t="s">
        <v>41</v>
      </c>
      <c r="K960" s="79" t="str">
        <f>VLOOKUP(Tabla3[[#This Row],[Site]],'Important Info!'!$A$1:$H$135,8,FALSE)</f>
        <v>-</v>
      </c>
      <c r="L960" s="52" t="str">
        <f>VLOOKUP(Tabla3[[#This Row],[Site]],'Important Info!'!$A$1:$F$135,2,FALSE)</f>
        <v>4, 6, 9, 11</v>
      </c>
      <c r="M960" s="52" t="str">
        <f>VLOOKUP(Tabla3[[#This Row],[Site]],'Important Info!'!$A$1:$F$135,3,FALSE)</f>
        <v>-</v>
      </c>
      <c r="N960" s="52" t="str">
        <f>VLOOKUP(Tabla3[[#This Row],[Site]],'Important Info!'!$A$1:$F$135,4,FALSE)</f>
        <v>-</v>
      </c>
      <c r="O960" s="52" t="str">
        <f>VLOOKUP(Tabla3[[#This Row],[Site]],'Important Info!'!$A$1:$F$135,5,FALSE)</f>
        <v>2, 9</v>
      </c>
      <c r="P960" s="52" t="str">
        <f>VLOOKUP(Tabla3[[#This Row],[Site]],'Important Info!'!$A$1:$F$135,6,FALSE)</f>
        <v>4, 10, 11</v>
      </c>
      <c r="Q960" s="91">
        <f>VLOOKUP(Tabla3[[#This Row],[Site]],'Important Info!'!$A$1:$J$135,9,FALSE)</f>
        <v>139</v>
      </c>
    </row>
    <row r="961" spans="1:17" x14ac:dyDescent="0.25">
      <c r="A961" t="str">
        <f>+Tabla3[[#This Row],[Site]]&amp;Tabla3[[#This Row],[Split]]</f>
        <v>(AS) Park Place Volvo Service Center (NO TOURS)12</v>
      </c>
      <c r="B961">
        <v>12</v>
      </c>
      <c r="C961">
        <v>4</v>
      </c>
      <c r="D961" t="s">
        <v>33</v>
      </c>
      <c r="E961" t="s">
        <v>46</v>
      </c>
      <c r="F961" t="s">
        <v>522</v>
      </c>
      <c r="G961" t="s">
        <v>34</v>
      </c>
      <c r="H961" s="52" t="str">
        <f>VLOOKUP(Tabla3[[#This Row],[Site]],'Important Info!'!$A$1:$J$135,10,FALSE)</f>
        <v>https://tools.sig.systems/site/details/171</v>
      </c>
      <c r="I961" s="65" t="s">
        <v>125</v>
      </c>
      <c r="J961" t="s">
        <v>41</v>
      </c>
      <c r="K961" s="79" t="str">
        <f>VLOOKUP(Tabla3[[#This Row],[Site]],'Important Info!'!$A$1:$H$135,8,FALSE)</f>
        <v>-</v>
      </c>
      <c r="L961" s="52" t="str">
        <f>VLOOKUP(Tabla3[[#This Row],[Site]],'Important Info!'!$A$1:$F$135,2,FALSE)</f>
        <v>3, 6, 9, 27, 31, 35</v>
      </c>
      <c r="M961" s="52" t="str">
        <f>VLOOKUP(Tabla3[[#This Row],[Site]],'Important Info!'!$A$1:$F$135,3,FALSE)</f>
        <v>-</v>
      </c>
      <c r="N961" s="52" t="str">
        <f>VLOOKUP(Tabla3[[#This Row],[Site]],'Important Info!'!$A$1:$F$135,4,FALSE)</f>
        <v>-</v>
      </c>
      <c r="O961" s="52" t="str">
        <f>VLOOKUP(Tabla3[[#This Row],[Site]],'Important Info!'!$A$1:$F$135,5,FALSE)</f>
        <v>27, 32</v>
      </c>
      <c r="P961" s="52" t="str">
        <f>VLOOKUP(Tabla3[[#This Row],[Site]],'Important Info!'!$A$1:$F$135,6,FALSE)</f>
        <v>-</v>
      </c>
      <c r="Q961" s="91">
        <f>VLOOKUP(Tabla3[[#This Row],[Site]],'Important Info!'!$A$1:$J$135,9,FALSE)</f>
        <v>171</v>
      </c>
    </row>
    <row r="962" spans="1:17" x14ac:dyDescent="0.25">
      <c r="A962" t="str">
        <f>+Tabla3[[#This Row],[Site]]&amp;Tabla3[[#This Row],[Split]]</f>
        <v>(DT) El Cajon (NO TOURS)12</v>
      </c>
      <c r="B962">
        <v>12</v>
      </c>
      <c r="C962">
        <v>4</v>
      </c>
      <c r="D962" t="s">
        <v>51</v>
      </c>
      <c r="E962" t="s">
        <v>159</v>
      </c>
      <c r="F962" t="s">
        <v>160</v>
      </c>
      <c r="G962" t="s">
        <v>52</v>
      </c>
      <c r="H962" s="52" t="str">
        <f>VLOOKUP(Tabla3[[#This Row],[Site]],'Important Info!'!$A$1:$J$135,10,FALSE)</f>
        <v>https://tools.sig.systems/site/details/241</v>
      </c>
      <c r="I962" s="2"/>
      <c r="J962" t="s">
        <v>41</v>
      </c>
      <c r="K962" s="79" t="str">
        <f>VLOOKUP(Tabla3[[#This Row],[Site]],'Important Info!'!$A$1:$H$135,8,FALSE)</f>
        <v>-</v>
      </c>
      <c r="L962" s="52" t="str">
        <f>VLOOKUP(Tabla3[[#This Row],[Site]],'Important Info!'!$A$1:$F$135,2,FALSE)</f>
        <v>-</v>
      </c>
      <c r="M962" s="52">
        <f>VLOOKUP(Tabla3[[#This Row],[Site]],'Important Info!'!$A$1:$F$135,3,FALSE)</f>
        <v>3</v>
      </c>
      <c r="N962" s="52" t="str">
        <f>VLOOKUP(Tabla3[[#This Row],[Site]],'Important Info!'!$A$1:$F$135,4,FALSE)</f>
        <v>-</v>
      </c>
      <c r="O962" s="52" t="str">
        <f>VLOOKUP(Tabla3[[#This Row],[Site]],'Important Info!'!$A$1:$F$135,5,FALSE)</f>
        <v>-</v>
      </c>
      <c r="P962" s="52" t="str">
        <f>VLOOKUP(Tabla3[[#This Row],[Site]],'Important Info!'!$A$1:$F$135,6,FALSE)</f>
        <v>-</v>
      </c>
      <c r="Q962" s="91">
        <f>VLOOKUP(Tabla3[[#This Row],[Site]],'Important Info!'!$A$1:$J$135,9,FALSE)</f>
        <v>241</v>
      </c>
    </row>
    <row r="963" spans="1:17" x14ac:dyDescent="0.25">
      <c r="A963" t="str">
        <f>+Tabla3[[#This Row],[Site]]&amp;Tabla3[[#This Row],[Split]]</f>
        <v>(HUD) CDJR of Greensboro12</v>
      </c>
      <c r="B963">
        <v>12</v>
      </c>
      <c r="C963">
        <v>4</v>
      </c>
      <c r="D963" t="s">
        <v>62</v>
      </c>
      <c r="E963" t="s">
        <v>35</v>
      </c>
      <c r="F963" t="s">
        <v>185</v>
      </c>
      <c r="G963" t="s">
        <v>491</v>
      </c>
      <c r="H963" s="52" t="str">
        <f>VLOOKUP(Tabla3[[#This Row],[Site]],'Important Info!'!$A$1:$J$135,10,FALSE)</f>
        <v>https://tools.sig.systems/site/details/215</v>
      </c>
      <c r="I963" s="66" t="s">
        <v>184</v>
      </c>
      <c r="J963" t="s">
        <v>36</v>
      </c>
      <c r="K963" s="79" t="str">
        <f>VLOOKUP(Tabla3[[#This Row],[Site]],'Important Info!'!$A$1:$H$135,8,FALSE)</f>
        <v>-</v>
      </c>
      <c r="L963" s="52" t="str">
        <f>VLOOKUP(Tabla3[[#This Row],[Site]],'Important Info!'!$A$1:$F$135,2,FALSE)</f>
        <v>2, 12</v>
      </c>
      <c r="M963" s="52" t="str">
        <f>VLOOKUP(Tabla3[[#This Row],[Site]],'Important Info!'!$A$1:$F$135,3,FALSE)</f>
        <v>-</v>
      </c>
      <c r="N963" s="52" t="str">
        <f>VLOOKUP(Tabla3[[#This Row],[Site]],'Important Info!'!$A$1:$F$135,4,FALSE)</f>
        <v>-</v>
      </c>
      <c r="O963" s="52" t="str">
        <f>VLOOKUP(Tabla3[[#This Row],[Site]],'Important Info!'!$A$1:$F$135,5,FALSE)</f>
        <v>3, 13</v>
      </c>
      <c r="P963" s="52" t="str">
        <f>VLOOKUP(Tabla3[[#This Row],[Site]],'Important Info!'!$A$1:$F$135,6,FALSE)</f>
        <v>1, 17</v>
      </c>
      <c r="Q963" s="91">
        <f>VLOOKUP(Tabla3[[#This Row],[Site]],'Important Info!'!$A$1:$J$135,9,FALSE)</f>
        <v>215</v>
      </c>
    </row>
    <row r="964" spans="1:17" x14ac:dyDescent="0.25">
      <c r="A964" t="str">
        <f>+Tabla3[[#This Row],[Site]]&amp;Tabla3[[#This Row],[Split]]</f>
        <v>(HUD) Honda of Southpoint12</v>
      </c>
      <c r="B964">
        <v>12</v>
      </c>
      <c r="C964">
        <v>4</v>
      </c>
      <c r="D964" t="s">
        <v>62</v>
      </c>
      <c r="E964" t="s">
        <v>35</v>
      </c>
      <c r="F964" t="s">
        <v>65</v>
      </c>
      <c r="G964" t="s">
        <v>490</v>
      </c>
      <c r="H964" s="52" t="str">
        <f>VLOOKUP(Tabla3[[#This Row],[Site]],'Important Info!'!$A$1:$J$135,10,FALSE)</f>
        <v>https://tools.sig.systems/site/details/195</v>
      </c>
      <c r="I964" s="43"/>
      <c r="J964" t="s">
        <v>484</v>
      </c>
      <c r="K964" s="79" t="str">
        <f>VLOOKUP(Tabla3[[#This Row],[Site]],'Important Info!'!$A$1:$H$135,8,FALSE)</f>
        <v>-</v>
      </c>
      <c r="L964" s="52" t="str">
        <f>VLOOKUP(Tabla3[[#This Row],[Site]],'Important Info!'!$A$1:$F$135,2,FALSE)</f>
        <v>2, 12, 18</v>
      </c>
      <c r="M964" s="52">
        <f>VLOOKUP(Tabla3[[#This Row],[Site]],'Important Info!'!$A$1:$F$135,3,FALSE)</f>
        <v>13</v>
      </c>
      <c r="N964" s="52" t="str">
        <f>VLOOKUP(Tabla3[[#This Row],[Site]],'Important Info!'!$A$1:$F$135,4,FALSE)</f>
        <v>-</v>
      </c>
      <c r="O964" s="52" t="str">
        <f>VLOOKUP(Tabla3[[#This Row],[Site]],'Important Info!'!$A$1:$F$135,5,FALSE)</f>
        <v>2, 15</v>
      </c>
      <c r="P964" s="52" t="str">
        <f>VLOOKUP(Tabla3[[#This Row],[Site]],'Important Info!'!$A$1:$F$135,6,FALSE)</f>
        <v>-</v>
      </c>
      <c r="Q964" s="91">
        <f>VLOOKUP(Tabla3[[#This Row],[Site]],'Important Info!'!$A$1:$J$135,9,FALSE)</f>
        <v>195</v>
      </c>
    </row>
    <row r="965" spans="1:17" x14ac:dyDescent="0.25">
      <c r="A965" t="str">
        <f>+Tabla3[[#This Row],[Site]]&amp;Tabla3[[#This Row],[Split]]</f>
        <v>(KG) Big Star CDJR of Clear Lake12</v>
      </c>
      <c r="B965">
        <v>12</v>
      </c>
      <c r="C965">
        <v>4</v>
      </c>
      <c r="D965" t="s">
        <v>33</v>
      </c>
      <c r="E965" t="s">
        <v>46</v>
      </c>
      <c r="F965" t="s">
        <v>133</v>
      </c>
      <c r="G965" t="s">
        <v>34</v>
      </c>
      <c r="H965" s="52" t="str">
        <f>VLOOKUP(Tabla3[[#This Row],[Site]],'Important Info!'!$A$1:$J$135,10,FALSE)</f>
        <v>https://tools.sig.systems/site/details/232</v>
      </c>
      <c r="I965" s="43" t="s">
        <v>134</v>
      </c>
      <c r="J965" t="s">
        <v>41</v>
      </c>
      <c r="K965" s="79" t="str">
        <f>VLOOKUP(Tabla3[[#This Row],[Site]],'Important Info!'!$A$1:$H$135,8,FALSE)</f>
        <v>-</v>
      </c>
      <c r="L965" s="52" t="str">
        <f>VLOOKUP(Tabla3[[#This Row],[Site]],'Important Info!'!$A$1:$F$135,2,FALSE)</f>
        <v>8, 25</v>
      </c>
      <c r="M965" s="52" t="str">
        <f>VLOOKUP(Tabla3[[#This Row],[Site]],'Important Info!'!$A$1:$F$135,3,FALSE)</f>
        <v>-</v>
      </c>
      <c r="N965" s="52" t="str">
        <f>VLOOKUP(Tabla3[[#This Row],[Site]],'Important Info!'!$A$1:$F$135,4,FALSE)</f>
        <v>-</v>
      </c>
      <c r="O965" s="52" t="str">
        <f>VLOOKUP(Tabla3[[#This Row],[Site]],'Important Info!'!$A$1:$F$135,5,FALSE)</f>
        <v>7, 13, 19, 24</v>
      </c>
      <c r="P965" s="52" t="str">
        <f>VLOOKUP(Tabla3[[#This Row],[Site]],'Important Info!'!$A$1:$F$135,6,FALSE)</f>
        <v>6, 8, 25, 31</v>
      </c>
      <c r="Q965" s="91">
        <f>VLOOKUP(Tabla3[[#This Row],[Site]],'Important Info!'!$A$1:$J$135,9,FALSE)</f>
        <v>232</v>
      </c>
    </row>
    <row r="966" spans="1:17" x14ac:dyDescent="0.25">
      <c r="A966" t="str">
        <f>+Tabla3[[#This Row],[Site]]&amp;Tabla3[[#This Row],[Split]]</f>
        <v>(ML) Joe Machens VW12</v>
      </c>
      <c r="B966">
        <v>12</v>
      </c>
      <c r="C966">
        <v>4</v>
      </c>
      <c r="D966" t="s">
        <v>33</v>
      </c>
      <c r="E966" t="s">
        <v>46</v>
      </c>
      <c r="F966" t="s">
        <v>74</v>
      </c>
      <c r="G966" t="s">
        <v>34</v>
      </c>
      <c r="H966" s="52" t="str">
        <f>VLOOKUP(Tabla3[[#This Row],[Site]],'Important Info!'!$A$1:$J$135,10,FALSE)</f>
        <v>https://tools.sig.systems/site/details/274</v>
      </c>
      <c r="I966" s="43" t="s">
        <v>146</v>
      </c>
      <c r="J966" t="s">
        <v>41</v>
      </c>
      <c r="K966" s="79" t="str">
        <f>VLOOKUP(Tabla3[[#This Row],[Site]],'Important Info!'!$A$1:$H$135,8,FALSE)</f>
        <v>-</v>
      </c>
      <c r="L966" s="52" t="str">
        <f>VLOOKUP(Tabla3[[#This Row],[Site]],'Important Info!'!$A$1:$F$135,2,FALSE)</f>
        <v>-</v>
      </c>
      <c r="M966" s="52" t="str">
        <f>VLOOKUP(Tabla3[[#This Row],[Site]],'Important Info!'!$A$1:$F$135,3,FALSE)</f>
        <v>1, 11, 18</v>
      </c>
      <c r="N966" s="52" t="str">
        <f>VLOOKUP(Tabla3[[#This Row],[Site]],'Important Info!'!$A$1:$F$135,4,FALSE)</f>
        <v>-</v>
      </c>
      <c r="O966" s="52">
        <f>VLOOKUP(Tabla3[[#This Row],[Site]],'Important Info!'!$A$1:$F$135,5,FALSE)</f>
        <v>17</v>
      </c>
      <c r="P966" s="52" t="str">
        <f>VLOOKUP(Tabla3[[#This Row],[Site]],'Important Info!'!$A$1:$F$135,6,FALSE)</f>
        <v>-</v>
      </c>
      <c r="Q966" s="91">
        <f>VLOOKUP(Tabla3[[#This Row],[Site]],'Important Info!'!$A$1:$J$135,9,FALSE)</f>
        <v>274</v>
      </c>
    </row>
    <row r="967" spans="1:17" x14ac:dyDescent="0.25">
      <c r="A967" t="str">
        <f>+Tabla3[[#This Row],[Site]]&amp;Tabla3[[#This Row],[Split]]</f>
        <v>(ML) Nissan of Little Rock12</v>
      </c>
      <c r="B967">
        <v>12</v>
      </c>
      <c r="C967">
        <v>4</v>
      </c>
      <c r="D967" t="s">
        <v>33</v>
      </c>
      <c r="E967" t="s">
        <v>46</v>
      </c>
      <c r="F967" t="s">
        <v>152</v>
      </c>
      <c r="G967" t="s">
        <v>34</v>
      </c>
      <c r="H967" s="52" t="str">
        <f>VLOOKUP(Tabla3[[#This Row],[Site]],'Important Info!'!$A$1:$J$135,10,FALSE)</f>
        <v>https://tools.sig.systems/site/details/224</v>
      </c>
      <c r="I967" t="s">
        <v>140</v>
      </c>
      <c r="J967" t="s">
        <v>41</v>
      </c>
      <c r="K967" s="79" t="str">
        <f>VLOOKUP(Tabla3[[#This Row],[Site]],'Important Info!'!$A$1:$H$135,8,FALSE)</f>
        <v>-</v>
      </c>
      <c r="L967" s="52" t="str">
        <f>VLOOKUP(Tabla3[[#This Row],[Site]],'Important Info!'!$A$1:$F$135,2,FALSE)</f>
        <v>3, 6</v>
      </c>
      <c r="M967" s="52" t="str">
        <f>VLOOKUP(Tabla3[[#This Row],[Site]],'Important Info!'!$A$1:$F$135,3,FALSE)</f>
        <v>-</v>
      </c>
      <c r="N967" s="52" t="str">
        <f>VLOOKUP(Tabla3[[#This Row],[Site]],'Important Info!'!$A$1:$F$135,4,FALSE)</f>
        <v>-</v>
      </c>
      <c r="O967" s="52" t="str">
        <f>VLOOKUP(Tabla3[[#This Row],[Site]],'Important Info!'!$A$1:$F$135,5,FALSE)</f>
        <v>1, 8, 16, 22</v>
      </c>
      <c r="P967" s="52" t="str">
        <f>VLOOKUP(Tabla3[[#This Row],[Site]],'Important Info!'!$A$1:$F$135,6,FALSE)</f>
        <v>3, 4</v>
      </c>
      <c r="Q967" s="91">
        <f>VLOOKUP(Tabla3[[#This Row],[Site]],'Important Info!'!$A$1:$J$135,9,FALSE)</f>
        <v>224</v>
      </c>
    </row>
    <row r="968" spans="1:17" x14ac:dyDescent="0.25">
      <c r="A968" t="str">
        <f>+Tabla3[[#This Row],[Site]]&amp;Tabla3[[#This Row],[Split]]</f>
        <v>(PE) BMW of Greenwich (NO TOURS)12</v>
      </c>
      <c r="B968">
        <v>12</v>
      </c>
      <c r="C968">
        <v>4</v>
      </c>
      <c r="D968" t="s">
        <v>485</v>
      </c>
      <c r="E968" t="s">
        <v>35</v>
      </c>
      <c r="F968" t="s">
        <v>170</v>
      </c>
      <c r="G968" t="s">
        <v>490</v>
      </c>
      <c r="H968" s="52" t="str">
        <f>VLOOKUP(Tabla3[[#This Row],[Site]],'Important Info!'!$A$1:$J$135,10,FALSE)</f>
        <v>https://tools.sig.systems/site/details/186</v>
      </c>
      <c r="I968" s="43" t="s">
        <v>171</v>
      </c>
      <c r="J968" t="s">
        <v>41</v>
      </c>
      <c r="K968" s="79" t="str">
        <f>VLOOKUP(Tabla3[[#This Row],[Site]],'Important Info!'!$A$1:$H$135,8,FALSE)</f>
        <v>-</v>
      </c>
      <c r="L968" s="52" t="str">
        <f>VLOOKUP(Tabla3[[#This Row],[Site]],'Important Info!'!$A$1:$F$135,2,FALSE)</f>
        <v>1, 6, 15</v>
      </c>
      <c r="M968" s="52" t="str">
        <f>VLOOKUP(Tabla3[[#This Row],[Site]],'Important Info!'!$A$1:$F$135,3,FALSE)</f>
        <v>-</v>
      </c>
      <c r="N968" s="52" t="str">
        <f>VLOOKUP(Tabla3[[#This Row],[Site]],'Important Info!'!$A$1:$F$135,4,FALSE)</f>
        <v>-</v>
      </c>
      <c r="O968" s="52" t="str">
        <f>VLOOKUP(Tabla3[[#This Row],[Site]],'Important Info!'!$A$1:$F$135,5,FALSE)</f>
        <v>-</v>
      </c>
      <c r="P968" s="52">
        <f>VLOOKUP(Tabla3[[#This Row],[Site]],'Important Info!'!$A$1:$F$135,6,FALSE)</f>
        <v>12</v>
      </c>
      <c r="Q968" s="91">
        <f>VLOOKUP(Tabla3[[#This Row],[Site]],'Important Info!'!$A$1:$J$135,9,FALSE)</f>
        <v>186</v>
      </c>
    </row>
    <row r="969" spans="1:17" x14ac:dyDescent="0.25">
      <c r="A969" t="str">
        <f>+Tabla3[[#This Row],[Site]]&amp;Tabla3[[#This Row],[Split]]</f>
        <v>(AS) Coggin Honda Ft. Pierce (NO TOURS)12</v>
      </c>
      <c r="B969">
        <v>12</v>
      </c>
      <c r="C969">
        <v>5</v>
      </c>
      <c r="D969" t="s">
        <v>62</v>
      </c>
      <c r="E969" t="s">
        <v>35</v>
      </c>
      <c r="F969" t="s">
        <v>501</v>
      </c>
      <c r="G969" t="s">
        <v>490</v>
      </c>
      <c r="H969" s="52" t="str">
        <f>VLOOKUP(Tabla3[[#This Row],[Site]],'Important Info!'!$A$1:$J$135,10,FALSE)</f>
        <v>https://tools.sig.systems/site/details/120</v>
      </c>
      <c r="I969" t="s">
        <v>179</v>
      </c>
      <c r="J969" t="s">
        <v>484</v>
      </c>
      <c r="K969" s="79" t="str">
        <f>VLOOKUP(Tabla3[[#This Row],[Site]],'Important Info!'!$A$1:$H$135,8,FALSE)</f>
        <v>-</v>
      </c>
      <c r="L969" s="52" t="str">
        <f>VLOOKUP(Tabla3[[#This Row],[Site]],'Important Info!'!$A$1:$F$135,2,FALSE)</f>
        <v>1, 2, 3, 4, 14</v>
      </c>
      <c r="M969" s="52" t="str">
        <f>VLOOKUP(Tabla3[[#This Row],[Site]],'Important Info!'!$A$1:$F$135,3,FALSE)</f>
        <v>-</v>
      </c>
      <c r="N969" s="52" t="str">
        <f>VLOOKUP(Tabla3[[#This Row],[Site]],'Important Info!'!$A$1:$F$135,4,FALSE)</f>
        <v>-</v>
      </c>
      <c r="O969" s="52" t="str">
        <f>VLOOKUP(Tabla3[[#This Row],[Site]],'Important Info!'!$A$1:$F$135,5,FALSE)</f>
        <v>7, 11, 15</v>
      </c>
      <c r="P969" s="52">
        <f>VLOOKUP(Tabla3[[#This Row],[Site]],'Important Info!'!$A$1:$F$135,6,FALSE)</f>
        <v>3</v>
      </c>
      <c r="Q969" s="91">
        <f>VLOOKUP(Tabla3[[#This Row],[Site]],'Important Info!'!$A$1:$J$135,9,FALSE)</f>
        <v>120</v>
      </c>
    </row>
    <row r="970" spans="1:17" x14ac:dyDescent="0.25">
      <c r="A970" t="str">
        <f>+Tabla3[[#This Row],[Site]]&amp;Tabla3[[#This Row],[Split]]</f>
        <v>(AS) Mercedes Benz/Porsche Dallas I,II,III (NO TOURS)12</v>
      </c>
      <c r="B970">
        <v>12</v>
      </c>
      <c r="C970">
        <v>5</v>
      </c>
      <c r="D970" t="s">
        <v>33</v>
      </c>
      <c r="E970" t="s">
        <v>46</v>
      </c>
      <c r="F970" t="s">
        <v>509</v>
      </c>
      <c r="G970" t="s">
        <v>34</v>
      </c>
      <c r="H970" s="52" t="str">
        <f>VLOOKUP(Tabla3[[#This Row],[Site]],'Important Info!'!$A$1:$J$135,10,FALSE)</f>
        <v>https://tools.sig.systems/site/details/168</v>
      </c>
      <c r="I970" s="65" t="s">
        <v>125</v>
      </c>
      <c r="J970" t="s">
        <v>41</v>
      </c>
      <c r="K970" s="79" t="str">
        <f>VLOOKUP(Tabla3[[#This Row],[Site]],'Important Info!'!$A$1:$H$135,8,FALSE)</f>
        <v>-</v>
      </c>
      <c r="L970" s="52" t="str">
        <f>VLOOKUP(Tabla3[[#This Row],[Site]],'Important Info!'!$A$1:$F$135,2,FALSE)</f>
        <v>3, 4, 17, 26, 41</v>
      </c>
      <c r="M970" s="52" t="str">
        <f>VLOOKUP(Tabla3[[#This Row],[Site]],'Important Info!'!$A$1:$F$135,3,FALSE)</f>
        <v>-</v>
      </c>
      <c r="N970" s="52" t="str">
        <f>VLOOKUP(Tabla3[[#This Row],[Site]],'Important Info!'!$A$1:$F$135,4,FALSE)</f>
        <v>153, 154, 155, 156, 157, 158</v>
      </c>
      <c r="O970" s="52" t="str">
        <f>VLOOKUP(Tabla3[[#This Row],[Site]],'Important Info!'!$A$1:$F$135,5,FALSE)</f>
        <v>2, 6, 10, 20, 28, 30, 36</v>
      </c>
      <c r="P970" s="52" t="str">
        <f>VLOOKUP(Tabla3[[#This Row],[Site]],'Important Info!'!$A$1:$F$135,6,FALSE)</f>
        <v>31, 41, 159</v>
      </c>
      <c r="Q970" s="91">
        <f>VLOOKUP(Tabla3[[#This Row],[Site]],'Important Info!'!$A$1:$J$135,9,FALSE)</f>
        <v>168</v>
      </c>
    </row>
    <row r="971" spans="1:17" x14ac:dyDescent="0.25">
      <c r="A971" t="str">
        <f>+Tabla3[[#This Row],[Site]]&amp;Tabla3[[#This Row],[Split]]</f>
        <v>(AS) Mike Shaw Subaru Greeley (NO TOURS)12</v>
      </c>
      <c r="B971">
        <v>12</v>
      </c>
      <c r="C971">
        <v>5</v>
      </c>
      <c r="D971" t="s">
        <v>44</v>
      </c>
      <c r="E971" t="s">
        <v>53</v>
      </c>
      <c r="F971" t="s">
        <v>95</v>
      </c>
      <c r="G971" t="s">
        <v>45</v>
      </c>
      <c r="H971" s="52" t="str">
        <f>VLOOKUP(Tabla3[[#This Row],[Site]],'Important Info!'!$A$1:$J$135,10,FALSE)</f>
        <v>https://tools.sig.systems/site/details/174</v>
      </c>
      <c r="I971" t="s">
        <v>153</v>
      </c>
      <c r="J971" t="s">
        <v>41</v>
      </c>
      <c r="K971" s="79" t="str">
        <f>VLOOKUP(Tabla3[[#This Row],[Site]],'Important Info!'!$A$1:$H$135,8,FALSE)</f>
        <v>-</v>
      </c>
      <c r="L971" s="52" t="str">
        <f>VLOOKUP(Tabla3[[#This Row],[Site]],'Important Info!'!$A$1:$F$135,2,FALSE)</f>
        <v>16, 17</v>
      </c>
      <c r="M971" s="52">
        <f>VLOOKUP(Tabla3[[#This Row],[Site]],'Important Info!'!$A$1:$F$135,3,FALSE)</f>
        <v>10</v>
      </c>
      <c r="N971" s="52" t="str">
        <f>VLOOKUP(Tabla3[[#This Row],[Site]],'Important Info!'!$A$1:$F$135,4,FALSE)</f>
        <v>-</v>
      </c>
      <c r="O971" s="52" t="str">
        <f>VLOOKUP(Tabla3[[#This Row],[Site]],'Important Info!'!$A$1:$F$135,5,FALSE)</f>
        <v>1, 7</v>
      </c>
      <c r="P971" s="52" t="str">
        <f>VLOOKUP(Tabla3[[#This Row],[Site]],'Important Info!'!$A$1:$F$135,6,FALSE)</f>
        <v>-</v>
      </c>
      <c r="Q971" s="91">
        <f>VLOOKUP(Tabla3[[#This Row],[Site]],'Important Info!'!$A$1:$J$135,9,FALSE)</f>
        <v>174</v>
      </c>
    </row>
    <row r="972" spans="1:17" x14ac:dyDescent="0.25">
      <c r="A972" t="str">
        <f>+Tabla3[[#This Row],[Site]]&amp;Tabla3[[#This Row],[Split]]</f>
        <v>(DT) Colorado Springs (NO TOURS)12</v>
      </c>
      <c r="B972">
        <v>12</v>
      </c>
      <c r="C972">
        <v>5</v>
      </c>
      <c r="D972" t="s">
        <v>44</v>
      </c>
      <c r="E972" t="s">
        <v>53</v>
      </c>
      <c r="F972" t="s">
        <v>156</v>
      </c>
      <c r="G972" t="s">
        <v>45</v>
      </c>
      <c r="H972" s="52" t="str">
        <f>VLOOKUP(Tabla3[[#This Row],[Site]],'Important Info!'!$A$1:$J$135,10,FALSE)</f>
        <v>https://tools.sig.systems/site/details/198</v>
      </c>
      <c r="J972" t="s">
        <v>41</v>
      </c>
      <c r="K972" s="79" t="str">
        <f>VLOOKUP(Tabla3[[#This Row],[Site]],'Important Info!'!$A$1:$H$135,8,FALSE)</f>
        <v>-</v>
      </c>
      <c r="L972" s="52" t="str">
        <f>VLOOKUP(Tabla3[[#This Row],[Site]],'Important Info!'!$A$1:$F$135,2,FALSE)</f>
        <v>-</v>
      </c>
      <c r="M972" s="52" t="str">
        <f>VLOOKUP(Tabla3[[#This Row],[Site]],'Important Info!'!$A$1:$F$135,3,FALSE)</f>
        <v>1, 2, 3, 4</v>
      </c>
      <c r="N972" s="52" t="str">
        <f>VLOOKUP(Tabla3[[#This Row],[Site]],'Important Info!'!$A$1:$F$135,4,FALSE)</f>
        <v>-</v>
      </c>
      <c r="O972" s="52" t="str">
        <f>VLOOKUP(Tabla3[[#This Row],[Site]],'Important Info!'!$A$1:$F$135,5,FALSE)</f>
        <v>-</v>
      </c>
      <c r="P972" s="52" t="str">
        <f>VLOOKUP(Tabla3[[#This Row],[Site]],'Important Info!'!$A$1:$F$135,6,FALSE)</f>
        <v>1, 2, 3, 11</v>
      </c>
      <c r="Q972" s="91">
        <f>VLOOKUP(Tabla3[[#This Row],[Site]],'Important Info!'!$A$1:$J$135,9,FALSE)</f>
        <v>198</v>
      </c>
    </row>
    <row r="973" spans="1:17" x14ac:dyDescent="0.25">
      <c r="A973" t="str">
        <f>+Tabla3[[#This Row],[Site]]&amp;Tabla3[[#This Row],[Split]]</f>
        <v>(DT) Escondido12</v>
      </c>
      <c r="B973">
        <v>12</v>
      </c>
      <c r="C973">
        <v>5</v>
      </c>
      <c r="D973" t="s">
        <v>51</v>
      </c>
      <c r="E973" t="s">
        <v>159</v>
      </c>
      <c r="F973" t="s">
        <v>112</v>
      </c>
      <c r="G973" t="s">
        <v>164</v>
      </c>
      <c r="H973" s="52" t="str">
        <f>VLOOKUP(Tabla3[[#This Row],[Site]],'Important Info!'!$A$1:$J$135,10,FALSE)</f>
        <v>https://tools.sig.systems/site/details/196</v>
      </c>
      <c r="I973" s="43"/>
      <c r="J973" t="s">
        <v>41</v>
      </c>
      <c r="K973" s="79" t="str">
        <f>VLOOKUP(Tabla3[[#This Row],[Site]],'Important Info!'!$A$1:$H$135,8,FALSE)</f>
        <v>Saturday Drop Time 9:00 A.M.</v>
      </c>
      <c r="L973" s="52" t="str">
        <f>VLOOKUP(Tabla3[[#This Row],[Site]],'Important Info!'!$A$1:$F$135,2,FALSE)</f>
        <v>1, 2</v>
      </c>
      <c r="M973" s="52" t="str">
        <f>VLOOKUP(Tabla3[[#This Row],[Site]],'Important Info!'!$A$1:$F$135,3,FALSE)</f>
        <v>-</v>
      </c>
      <c r="N973" s="52" t="str">
        <f>VLOOKUP(Tabla3[[#This Row],[Site]],'Important Info!'!$A$1:$F$135,4,FALSE)</f>
        <v>-</v>
      </c>
      <c r="O973" s="52" t="str">
        <f>VLOOKUP(Tabla3[[#This Row],[Site]],'Important Info!'!$A$1:$F$135,5,FALSE)</f>
        <v>-</v>
      </c>
      <c r="P973" s="52" t="str">
        <f>VLOOKUP(Tabla3[[#This Row],[Site]],'Important Info!'!$A$1:$F$135,6,FALSE)</f>
        <v>5, 7, 8</v>
      </c>
      <c r="Q973" s="91">
        <f>VLOOKUP(Tabla3[[#This Row],[Site]],'Important Info!'!$A$1:$J$135,9,FALSE)</f>
        <v>196</v>
      </c>
    </row>
    <row r="974" spans="1:17" x14ac:dyDescent="0.25">
      <c r="A974" t="str">
        <f>+Tabla3[[#This Row],[Site]]&amp;Tabla3[[#This Row],[Split]]</f>
        <v>(HUD) Honda Greensboro12</v>
      </c>
      <c r="B974">
        <v>12</v>
      </c>
      <c r="C974">
        <v>5</v>
      </c>
      <c r="D974" t="s">
        <v>62</v>
      </c>
      <c r="E974" t="s">
        <v>35</v>
      </c>
      <c r="F974" t="s">
        <v>85</v>
      </c>
      <c r="G974" t="s">
        <v>490</v>
      </c>
      <c r="H974" s="52" t="str">
        <f>VLOOKUP(Tabla3[[#This Row],[Site]],'Important Info!'!$A$1:$J$135,10,FALSE)</f>
        <v>https://tools.sig.systems/site/details/230</v>
      </c>
      <c r="I974" t="s">
        <v>186</v>
      </c>
      <c r="J974" t="s">
        <v>41</v>
      </c>
      <c r="K974" s="79" t="str">
        <f>VLOOKUP(Tabla3[[#This Row],[Site]],'Important Info!'!$A$1:$H$135,8,FALSE)</f>
        <v>-</v>
      </c>
      <c r="L974" s="52" t="str">
        <f>VLOOKUP(Tabla3[[#This Row],[Site]],'Important Info!'!$A$1:$F$135,2,FALSE)</f>
        <v>1, 3,  15, 16, 22</v>
      </c>
      <c r="M974" s="52" t="str">
        <f>VLOOKUP(Tabla3[[#This Row],[Site]],'Important Info!'!$A$1:$F$135,3,FALSE)</f>
        <v>-</v>
      </c>
      <c r="N974" s="52" t="str">
        <f>VLOOKUP(Tabla3[[#This Row],[Site]],'Important Info!'!$A$1:$F$135,4,FALSE)</f>
        <v>-</v>
      </c>
      <c r="O974" s="52" t="str">
        <f>VLOOKUP(Tabla3[[#This Row],[Site]],'Important Info!'!$A$1:$F$135,5,FALSE)</f>
        <v>3, 20</v>
      </c>
      <c r="P974" s="52">
        <f>VLOOKUP(Tabla3[[#This Row],[Site]],'Important Info!'!$A$1:$F$135,6,FALSE)</f>
        <v>26</v>
      </c>
      <c r="Q974" s="91">
        <f>VLOOKUP(Tabla3[[#This Row],[Site]],'Important Info!'!$A$1:$J$135,9,FALSE)</f>
        <v>230</v>
      </c>
    </row>
    <row r="975" spans="1:17" x14ac:dyDescent="0.25">
      <c r="A975" t="str">
        <f>+Tabla3[[#This Row],[Site]]&amp;Tabla3[[#This Row],[Split]]</f>
        <v>(ML) BMW of Little Rock12</v>
      </c>
      <c r="B975">
        <v>12</v>
      </c>
      <c r="C975">
        <v>5</v>
      </c>
      <c r="D975" t="s">
        <v>33</v>
      </c>
      <c r="E975" t="s">
        <v>46</v>
      </c>
      <c r="F975" t="s">
        <v>139</v>
      </c>
      <c r="G975" t="s">
        <v>34</v>
      </c>
      <c r="H975" s="52" t="str">
        <f>VLOOKUP(Tabla3[[#This Row],[Site]],'Important Info!'!$A$1:$J$135,10,FALSE)</f>
        <v>https://tools.sig.systems/site/details/217</v>
      </c>
      <c r="I975" t="s">
        <v>140</v>
      </c>
      <c r="J975" t="s">
        <v>41</v>
      </c>
      <c r="K975" s="79" t="str">
        <f>VLOOKUP(Tabla3[[#This Row],[Site]],'Important Info!'!$A$1:$H$135,8,FALSE)</f>
        <v>-</v>
      </c>
      <c r="L975" s="52" t="str">
        <f>VLOOKUP(Tabla3[[#This Row],[Site]],'Important Info!'!$A$1:$F$135,2,FALSE)</f>
        <v>-</v>
      </c>
      <c r="M975" s="52">
        <f>VLOOKUP(Tabla3[[#This Row],[Site]],'Important Info!'!$A$1:$F$135,3,FALSE)</f>
        <v>14</v>
      </c>
      <c r="N975" s="52" t="str">
        <f>VLOOKUP(Tabla3[[#This Row],[Site]],'Important Info!'!$A$1:$F$135,4,FALSE)</f>
        <v>-</v>
      </c>
      <c r="O975" s="52" t="str">
        <f>VLOOKUP(Tabla3[[#This Row],[Site]],'Important Info!'!$A$1:$F$135,5,FALSE)</f>
        <v>-</v>
      </c>
      <c r="P975" s="52" t="str">
        <f>VLOOKUP(Tabla3[[#This Row],[Site]],'Important Info!'!$A$1:$F$135,6,FALSE)</f>
        <v>5, 6, 7, 8, 9, 32</v>
      </c>
      <c r="Q975" s="91">
        <f>VLOOKUP(Tabla3[[#This Row],[Site]],'Important Info!'!$A$1:$J$135,9,FALSE)</f>
        <v>217</v>
      </c>
    </row>
    <row r="976" spans="1:17" x14ac:dyDescent="0.25">
      <c r="A976" t="str">
        <f>+Tabla3[[#This Row],[Site]]&amp;Tabla3[[#This Row],[Split]]</f>
        <v>(ML) Honda of Little Rock12</v>
      </c>
      <c r="B976">
        <v>12</v>
      </c>
      <c r="C976">
        <v>5</v>
      </c>
      <c r="D976" t="s">
        <v>33</v>
      </c>
      <c r="E976" t="s">
        <v>46</v>
      </c>
      <c r="F976" t="s">
        <v>71</v>
      </c>
      <c r="G976" t="s">
        <v>34</v>
      </c>
      <c r="H976" s="52" t="str">
        <f>VLOOKUP(Tabla3[[#This Row],[Site]],'Important Info!'!$A$1:$J$135,10,FALSE)</f>
        <v>https://tools.sig.systems/site/details/249</v>
      </c>
      <c r="I976" s="43" t="s">
        <v>140</v>
      </c>
      <c r="J976" t="s">
        <v>41</v>
      </c>
      <c r="K976" s="79" t="str">
        <f>VLOOKUP(Tabla3[[#This Row],[Site]],'Important Info!'!$A$1:$H$135,8,FALSE)</f>
        <v>-</v>
      </c>
      <c r="L976" s="52" t="str">
        <f>VLOOKUP(Tabla3[[#This Row],[Site]],'Important Info!'!$A$1:$F$135,2,FALSE)</f>
        <v>1, 4, 9, 14, 21</v>
      </c>
      <c r="M976" s="52" t="str">
        <f>VLOOKUP(Tabla3[[#This Row],[Site]],'Important Info!'!$A$1:$F$135,3,FALSE)</f>
        <v>-</v>
      </c>
      <c r="N976" s="52" t="str">
        <f>VLOOKUP(Tabla3[[#This Row],[Site]],'Important Info!'!$A$1:$F$135,4,FALSE)</f>
        <v>-</v>
      </c>
      <c r="O976" s="52" t="str">
        <f>VLOOKUP(Tabla3[[#This Row],[Site]],'Important Info!'!$A$1:$F$135,5,FALSE)</f>
        <v>4, 14, 21</v>
      </c>
      <c r="P976" s="52" t="str">
        <f>VLOOKUP(Tabla3[[#This Row],[Site]],'Important Info!'!$A$1:$F$135,6,FALSE)</f>
        <v>11, 12</v>
      </c>
      <c r="Q976" s="91">
        <f>VLOOKUP(Tabla3[[#This Row],[Site]],'Important Info!'!$A$1:$J$135,9,FALSE)</f>
        <v>249</v>
      </c>
    </row>
    <row r="977" spans="1:17" x14ac:dyDescent="0.25">
      <c r="A977" t="str">
        <f>+Tabla3[[#This Row],[Site]]&amp;Tabla3[[#This Row],[Split]]</f>
        <v>(ML) Joe Machens Toyota12</v>
      </c>
      <c r="B977">
        <v>12</v>
      </c>
      <c r="C977">
        <v>5</v>
      </c>
      <c r="D977" t="s">
        <v>33</v>
      </c>
      <c r="E977" t="s">
        <v>46</v>
      </c>
      <c r="F977" t="s">
        <v>73</v>
      </c>
      <c r="G977" t="s">
        <v>34</v>
      </c>
      <c r="H977" s="52" t="str">
        <f>VLOOKUP(Tabla3[[#This Row],[Site]],'Important Info!'!$A$1:$J$135,10,FALSE)</f>
        <v>https://tools.sig.systems/site/details/275</v>
      </c>
      <c r="I977" s="43" t="s">
        <v>146</v>
      </c>
      <c r="J977" t="s">
        <v>41</v>
      </c>
      <c r="K977" s="79" t="str">
        <f>VLOOKUP(Tabla3[[#This Row],[Site]],'Important Info!'!$A$1:$H$135,8,FALSE)</f>
        <v>-</v>
      </c>
      <c r="L977" s="52" t="str">
        <f>VLOOKUP(Tabla3[[#This Row],[Site]],'Important Info!'!$A$1:$F$135,2,FALSE)</f>
        <v>-</v>
      </c>
      <c r="M977" s="52" t="str">
        <f>VLOOKUP(Tabla3[[#This Row],[Site]],'Important Info!'!$A$1:$F$135,3,FALSE)</f>
        <v>1, 4, 6</v>
      </c>
      <c r="N977" s="52" t="str">
        <f>VLOOKUP(Tabla3[[#This Row],[Site]],'Important Info!'!$A$1:$F$135,4,FALSE)</f>
        <v>-</v>
      </c>
      <c r="O977" s="52" t="str">
        <f>VLOOKUP(Tabla3[[#This Row],[Site]],'Important Info!'!$A$1:$F$135,5,FALSE)</f>
        <v>4, 10</v>
      </c>
      <c r="P977" s="52" t="str">
        <f>VLOOKUP(Tabla3[[#This Row],[Site]],'Important Info!'!$A$1:$F$135,6,FALSE)</f>
        <v>-</v>
      </c>
      <c r="Q977" s="91">
        <f>VLOOKUP(Tabla3[[#This Row],[Site]],'Important Info!'!$A$1:$J$135,9,FALSE)</f>
        <v>275</v>
      </c>
    </row>
    <row r="978" spans="1:17" x14ac:dyDescent="0.25">
      <c r="A978" t="str">
        <f>+Tabla3[[#This Row],[Site]]&amp;Tabla3[[#This Row],[Split]]</f>
        <v>(PE) BMW of Mamaroneck (NO TOURS)12</v>
      </c>
      <c r="B978">
        <v>12</v>
      </c>
      <c r="C978">
        <v>5</v>
      </c>
      <c r="D978" t="s">
        <v>485</v>
      </c>
      <c r="E978" t="s">
        <v>35</v>
      </c>
      <c r="F978" t="s">
        <v>172</v>
      </c>
      <c r="G978" t="s">
        <v>490</v>
      </c>
      <c r="H978" s="52" t="str">
        <f>VLOOKUP(Tabla3[[#This Row],[Site]],'Important Info!'!$A$1:$J$135,10,FALSE)</f>
        <v>https://tools.sig.systems/site/details/185</v>
      </c>
      <c r="I978" s="2"/>
      <c r="J978" t="s">
        <v>41</v>
      </c>
      <c r="K978" s="79" t="str">
        <f>VLOOKUP(Tabla3[[#This Row],[Site]],'Important Info!'!$A$1:$H$135,8,FALSE)</f>
        <v>-</v>
      </c>
      <c r="L978" s="52">
        <f>VLOOKUP(Tabla3[[#This Row],[Site]],'Important Info!'!$A$1:$F$135,2,FALSE)</f>
        <v>9</v>
      </c>
      <c r="M978" s="52" t="str">
        <f>VLOOKUP(Tabla3[[#This Row],[Site]],'Important Info!'!$A$1:$F$135,3,FALSE)</f>
        <v>2, 3, 4, 5</v>
      </c>
      <c r="N978" s="52" t="str">
        <f>VLOOKUP(Tabla3[[#This Row],[Site]],'Important Info!'!$A$1:$F$135,4,FALSE)</f>
        <v>-</v>
      </c>
      <c r="O978" s="52" t="str">
        <f>VLOOKUP(Tabla3[[#This Row],[Site]],'Important Info!'!$A$1:$F$135,5,FALSE)</f>
        <v>-</v>
      </c>
      <c r="P978" s="52" t="str">
        <f>VLOOKUP(Tabla3[[#This Row],[Site]],'Important Info!'!$A$1:$F$135,6,FALSE)</f>
        <v>4, 6, 7, 8</v>
      </c>
      <c r="Q978" s="91">
        <f>VLOOKUP(Tabla3[[#This Row],[Site]],'Important Info!'!$A$1:$J$135,9,FALSE)</f>
        <v>185</v>
      </c>
    </row>
    <row r="979" spans="1:17" x14ac:dyDescent="0.25">
      <c r="A979" t="str">
        <f>+Tabla3[[#This Row],[Site]]&amp;Tabla3[[#This Row],[Split]]</f>
        <v>(PE) JLR PDI (NO TOURS)12</v>
      </c>
      <c r="B979">
        <v>12</v>
      </c>
      <c r="C979">
        <v>5</v>
      </c>
      <c r="D979" t="s">
        <v>485</v>
      </c>
      <c r="E979" t="s">
        <v>35</v>
      </c>
      <c r="F979" t="s">
        <v>114</v>
      </c>
      <c r="G979" t="s">
        <v>490</v>
      </c>
      <c r="H979" s="52" t="str">
        <f>VLOOKUP(Tabla3[[#This Row],[Site]],'Important Info!'!$A$1:$J$135,10,FALSE)</f>
        <v>https://tools.sig.systems/site/details/179</v>
      </c>
      <c r="I979" t="s">
        <v>176</v>
      </c>
      <c r="J979" t="s">
        <v>41</v>
      </c>
      <c r="K979" s="79" t="str">
        <f>VLOOKUP(Tabla3[[#This Row],[Site]],'Important Info!'!$A$1:$H$135,8,FALSE)</f>
        <v>-</v>
      </c>
      <c r="L979" s="52" t="str">
        <f>VLOOKUP(Tabla3[[#This Row],[Site]],'Important Info!'!$A$1:$F$135,2,FALSE)</f>
        <v>3, 8</v>
      </c>
      <c r="M979" s="52" t="str">
        <f>VLOOKUP(Tabla3[[#This Row],[Site]],'Important Info!'!$A$1:$F$135,3,FALSE)</f>
        <v>-</v>
      </c>
      <c r="N979" s="52" t="str">
        <f>VLOOKUP(Tabla3[[#This Row],[Site]],'Important Info!'!$A$1:$F$135,4,FALSE)</f>
        <v>-</v>
      </c>
      <c r="O979" s="52" t="str">
        <f>VLOOKUP(Tabla3[[#This Row],[Site]],'Important Info!'!$A$1:$F$135,5,FALSE)</f>
        <v>-</v>
      </c>
      <c r="P979" s="52" t="str">
        <f>VLOOKUP(Tabla3[[#This Row],[Site]],'Important Info!'!$A$1:$F$135,6,FALSE)</f>
        <v>-</v>
      </c>
      <c r="Q979" s="91">
        <f>VLOOKUP(Tabla3[[#This Row],[Site]],'Important Info!'!$A$1:$J$135,9,FALSE)</f>
        <v>179</v>
      </c>
    </row>
    <row r="980" spans="1:17" x14ac:dyDescent="0.25">
      <c r="A980" t="str">
        <f>+Tabla3[[#This Row],[Site]]&amp;Tabla3[[#This Row],[Split]]</f>
        <v>(AS) Park Place Sprinter Van Center (NO TOURS)12</v>
      </c>
      <c r="B980">
        <v>12</v>
      </c>
      <c r="C980">
        <v>6</v>
      </c>
      <c r="D980" t="s">
        <v>33</v>
      </c>
      <c r="E980" t="s">
        <v>46</v>
      </c>
      <c r="F980" t="s">
        <v>520</v>
      </c>
      <c r="G980" t="s">
        <v>34</v>
      </c>
      <c r="H980" s="52" t="str">
        <f>VLOOKUP(Tabla3[[#This Row],[Site]],'Important Info!'!$A$1:$J$135,10,FALSE)</f>
        <v>https://tools.sig.systems/site/details/138</v>
      </c>
      <c r="I980" s="65" t="s">
        <v>125</v>
      </c>
      <c r="J980" t="s">
        <v>41</v>
      </c>
      <c r="K980" s="79" t="str">
        <f>VLOOKUP(Tabla3[[#This Row],[Site]],'Important Info!'!$A$1:$H$135,8,FALSE)</f>
        <v>-</v>
      </c>
      <c r="L980" s="52">
        <f>VLOOKUP(Tabla3[[#This Row],[Site]],'Important Info!'!$A$1:$F$135,2,FALSE)</f>
        <v>1</v>
      </c>
      <c r="M980" s="52" t="str">
        <f>VLOOKUP(Tabla3[[#This Row],[Site]],'Important Info!'!$A$1:$F$135,3,FALSE)</f>
        <v>-</v>
      </c>
      <c r="N980" s="52" t="str">
        <f>VLOOKUP(Tabla3[[#This Row],[Site]],'Important Info!'!$A$1:$F$135,4,FALSE)</f>
        <v>-</v>
      </c>
      <c r="O980" s="52" t="str">
        <f>VLOOKUP(Tabla3[[#This Row],[Site]],'Important Info!'!$A$1:$F$135,5,FALSE)</f>
        <v>-</v>
      </c>
      <c r="P980" s="52" t="str">
        <f>VLOOKUP(Tabla3[[#This Row],[Site]],'Important Info!'!$A$1:$F$135,6,FALSE)</f>
        <v>1, 3</v>
      </c>
      <c r="Q980" s="91">
        <f>VLOOKUP(Tabla3[[#This Row],[Site]],'Important Info!'!$A$1:$J$135,9,FALSE)</f>
        <v>138</v>
      </c>
    </row>
    <row r="981" spans="1:17" x14ac:dyDescent="0.25">
      <c r="A981" t="str">
        <f>+Tabla3[[#This Row],[Site]]&amp;Tabla3[[#This Row],[Split]]</f>
        <v>(AS) Stevinson Chevrolet Golden (NO TOURS)12</v>
      </c>
      <c r="B981">
        <v>12</v>
      </c>
      <c r="C981">
        <v>6</v>
      </c>
      <c r="D981" t="s">
        <v>488</v>
      </c>
      <c r="E981" t="s">
        <v>53</v>
      </c>
      <c r="F981" t="s">
        <v>190</v>
      </c>
      <c r="G981" t="s">
        <v>45</v>
      </c>
      <c r="H981" s="52" t="str">
        <f>VLOOKUP(Tabla3[[#This Row],[Site]],'Important Info!'!$A$1:$J$135,10,FALSE)</f>
        <v>https://tools.sig.systems/site/details/264</v>
      </c>
      <c r="I981" s="43" t="s">
        <v>154</v>
      </c>
      <c r="J981" t="s">
        <v>41</v>
      </c>
      <c r="K981" s="79" t="str">
        <f>VLOOKUP(Tabla3[[#This Row],[Site]],'Important Info!'!$A$1:$H$135,8,FALSE)</f>
        <v>-</v>
      </c>
      <c r="L981" s="52" t="str">
        <f>VLOOKUP(Tabla3[[#This Row],[Site]],'Important Info!'!$A$1:$F$135,2,FALSE)</f>
        <v>-</v>
      </c>
      <c r="M981" s="52" t="str">
        <f>VLOOKUP(Tabla3[[#This Row],[Site]],'Important Info!'!$A$1:$F$135,3,FALSE)</f>
        <v>1, 19</v>
      </c>
      <c r="N981" s="52" t="str">
        <f>VLOOKUP(Tabla3[[#This Row],[Site]],'Important Info!'!$A$1:$F$135,4,FALSE)</f>
        <v>-</v>
      </c>
      <c r="O981" s="52" t="str">
        <f>VLOOKUP(Tabla3[[#This Row],[Site]],'Important Info!'!$A$1:$F$135,5,FALSE)</f>
        <v>14, 30</v>
      </c>
      <c r="P981" s="52" t="str">
        <f>VLOOKUP(Tabla3[[#This Row],[Site]],'Important Info!'!$A$1:$F$135,6,FALSE)</f>
        <v>14, 33, 34, 35, 36</v>
      </c>
      <c r="Q981" s="91">
        <f>VLOOKUP(Tabla3[[#This Row],[Site]],'Important Info!'!$A$1:$J$135,9,FALSE)</f>
        <v>264</v>
      </c>
    </row>
    <row r="982" spans="1:17" x14ac:dyDescent="0.25">
      <c r="A982" t="str">
        <f>+Tabla3[[#This Row],[Site]]&amp;Tabla3[[#This Row],[Split]]</f>
        <v>(AS) Stevinson JLR (NO TOURS)12</v>
      </c>
      <c r="B982">
        <v>12</v>
      </c>
      <c r="C982">
        <v>6</v>
      </c>
      <c r="D982" t="s">
        <v>44</v>
      </c>
      <c r="E982" t="s">
        <v>53</v>
      </c>
      <c r="F982" t="s">
        <v>93</v>
      </c>
      <c r="G982" t="s">
        <v>45</v>
      </c>
      <c r="H982" s="52" t="str">
        <f>VLOOKUP(Tabla3[[#This Row],[Site]],'Important Info!'!$A$1:$J$135,10,FALSE)</f>
        <v>https://tools.sig.systems/site/details/204</v>
      </c>
      <c r="I982" s="2"/>
      <c r="J982" t="s">
        <v>41</v>
      </c>
      <c r="K982" s="79" t="str">
        <f>VLOOKUP(Tabla3[[#This Row],[Site]],'Important Info!'!$A$1:$H$135,8,FALSE)</f>
        <v>-</v>
      </c>
      <c r="L982" s="52">
        <f>VLOOKUP(Tabla3[[#This Row],[Site]],'Important Info!'!$A$1:$F$135,2,FALSE)</f>
        <v>5</v>
      </c>
      <c r="M982" s="52">
        <f>VLOOKUP(Tabla3[[#This Row],[Site]],'Important Info!'!$A$1:$F$135,3,FALSE)</f>
        <v>4</v>
      </c>
      <c r="N982" s="52" t="str">
        <f>VLOOKUP(Tabla3[[#This Row],[Site]],'Important Info!'!$A$1:$F$135,4,FALSE)</f>
        <v>-</v>
      </c>
      <c r="O982" s="52">
        <f>VLOOKUP(Tabla3[[#This Row],[Site]],'Important Info!'!$A$1:$F$135,5,FALSE)</f>
        <v>3</v>
      </c>
      <c r="P982" s="52" t="str">
        <f>VLOOKUP(Tabla3[[#This Row],[Site]],'Important Info!'!$A$1:$F$135,6,FALSE)</f>
        <v>1, 4, 15, 16</v>
      </c>
      <c r="Q982" s="91">
        <f>VLOOKUP(Tabla3[[#This Row],[Site]],'Important Info!'!$A$1:$J$135,9,FALSE)</f>
        <v>204</v>
      </c>
    </row>
    <row r="983" spans="1:17" x14ac:dyDescent="0.25">
      <c r="A983" t="str">
        <f>+Tabla3[[#This Row],[Site]]&amp;Tabla3[[#This Row],[Split]]</f>
        <v>(DT) Wichita12</v>
      </c>
      <c r="B983">
        <v>12</v>
      </c>
      <c r="C983">
        <v>6</v>
      </c>
      <c r="D983" t="s">
        <v>33</v>
      </c>
      <c r="E983" t="s">
        <v>46</v>
      </c>
      <c r="F983" t="s">
        <v>131</v>
      </c>
      <c r="G983" t="s">
        <v>34</v>
      </c>
      <c r="H983" s="52" t="str">
        <f>VLOOKUP(Tabla3[[#This Row],[Site]],'Important Info!'!$A$1:$J$135,10,FALSE)</f>
        <v>https://tools.sig.systems/site/details/257</v>
      </c>
      <c r="J983" t="s">
        <v>41</v>
      </c>
      <c r="K983" s="79" t="str">
        <f>VLOOKUP(Tabla3[[#This Row],[Site]],'Important Info!'!$A$1:$H$135,8,FALSE)</f>
        <v>-</v>
      </c>
      <c r="L983" s="52" t="str">
        <f>VLOOKUP(Tabla3[[#This Row],[Site]],'Important Info!'!$A$1:$F$135,2,FALSE)</f>
        <v>-</v>
      </c>
      <c r="M983" s="52" t="str">
        <f>VLOOKUP(Tabla3[[#This Row],[Site]],'Important Info!'!$A$1:$F$135,3,FALSE)</f>
        <v>10, 11</v>
      </c>
      <c r="N983" s="52" t="str">
        <f>VLOOKUP(Tabla3[[#This Row],[Site]],'Important Info!'!$A$1:$F$135,4,FALSE)</f>
        <v>-</v>
      </c>
      <c r="O983" s="52" t="str">
        <f>VLOOKUP(Tabla3[[#This Row],[Site]],'Important Info!'!$A$1:$F$135,5,FALSE)</f>
        <v>-</v>
      </c>
      <c r="P983" s="52" t="str">
        <f>VLOOKUP(Tabla3[[#This Row],[Site]],'Important Info!'!$A$1:$F$135,6,FALSE)</f>
        <v>1, 5, 6, 10</v>
      </c>
      <c r="Q983" s="91">
        <f>VLOOKUP(Tabla3[[#This Row],[Site]],'Important Info!'!$A$1:$J$135,9,FALSE)</f>
        <v>257</v>
      </c>
    </row>
    <row r="984" spans="1:17" x14ac:dyDescent="0.25">
      <c r="A984" t="str">
        <f>+Tabla3[[#This Row],[Site]]&amp;Tabla3[[#This Row],[Split]]</f>
        <v>(HUD) Paint and Body Center (NO TOURS)12</v>
      </c>
      <c r="B984">
        <v>12</v>
      </c>
      <c r="C984">
        <v>6</v>
      </c>
      <c r="D984" t="s">
        <v>62</v>
      </c>
      <c r="E984" t="s">
        <v>35</v>
      </c>
      <c r="F984" t="s">
        <v>110</v>
      </c>
      <c r="G984" t="s">
        <v>490</v>
      </c>
      <c r="H984" s="52" t="str">
        <f>VLOOKUP(Tabla3[[#This Row],[Site]],'Important Info!'!$A$1:$J$135,10,FALSE)</f>
        <v>https://tools.sig.systems/site/details/256</v>
      </c>
      <c r="I984" t="s">
        <v>184</v>
      </c>
      <c r="J984" t="s">
        <v>41</v>
      </c>
      <c r="K984" s="79" t="str">
        <f>VLOOKUP(Tabla3[[#This Row],[Site]],'Important Info!'!$A$1:$H$135,8,FALSE)</f>
        <v>-</v>
      </c>
      <c r="L984" s="52" t="str">
        <f>VLOOKUP(Tabla3[[#This Row],[Site]],'Important Info!'!$A$1:$F$135,2,FALSE)</f>
        <v>-</v>
      </c>
      <c r="M984" s="52">
        <f>VLOOKUP(Tabla3[[#This Row],[Site]],'Important Info!'!$A$1:$F$135,3,FALSE)</f>
        <v>1</v>
      </c>
      <c r="N984" s="52" t="str">
        <f>VLOOKUP(Tabla3[[#This Row],[Site]],'Important Info!'!$A$1:$F$135,4,FALSE)</f>
        <v>-</v>
      </c>
      <c r="O984" s="52" t="str">
        <f>VLOOKUP(Tabla3[[#This Row],[Site]],'Important Info!'!$A$1:$F$135,5,FALSE)</f>
        <v>-</v>
      </c>
      <c r="P984" s="52" t="str">
        <f>VLOOKUP(Tabla3[[#This Row],[Site]],'Important Info!'!$A$1:$F$135,6,FALSE)</f>
        <v>-</v>
      </c>
      <c r="Q984" s="91">
        <f>VLOOKUP(Tabla3[[#This Row],[Site]],'Important Info!'!$A$1:$J$135,9,FALSE)</f>
        <v>256</v>
      </c>
    </row>
    <row r="985" spans="1:17" x14ac:dyDescent="0.25">
      <c r="A985" t="str">
        <f>+Tabla3[[#This Row],[Site]]&amp;Tabla3[[#This Row],[Split]]</f>
        <v>(ML) Joe Machens E Collision Center12</v>
      </c>
      <c r="B985">
        <v>12</v>
      </c>
      <c r="C985">
        <v>6</v>
      </c>
      <c r="D985" t="s">
        <v>33</v>
      </c>
      <c r="E985" t="s">
        <v>46</v>
      </c>
      <c r="F985" t="s">
        <v>147</v>
      </c>
      <c r="G985" t="s">
        <v>34</v>
      </c>
      <c r="H985" s="52" t="str">
        <f>VLOOKUP(Tabla3[[#This Row],[Site]],'Important Info!'!$A$1:$J$135,10,FALSE)</f>
        <v>https://tools.sig.systems/site/details/277</v>
      </c>
      <c r="I985" s="2" t="s">
        <v>146</v>
      </c>
      <c r="J985" t="s">
        <v>41</v>
      </c>
      <c r="K985" s="79" t="str">
        <f>VLOOKUP(Tabla3[[#This Row],[Site]],'Important Info!'!$A$1:$H$135,8,FALSE)</f>
        <v>-</v>
      </c>
      <c r="L985" s="52">
        <f>VLOOKUP(Tabla3[[#This Row],[Site]],'Important Info!'!$A$1:$F$135,2,FALSE)</f>
        <v>1</v>
      </c>
      <c r="M985" s="52" t="str">
        <f>VLOOKUP(Tabla3[[#This Row],[Site]],'Important Info!'!$A$1:$F$135,3,FALSE)</f>
        <v>-</v>
      </c>
      <c r="N985" s="52" t="str">
        <f>VLOOKUP(Tabla3[[#This Row],[Site]],'Important Info!'!$A$1:$F$135,4,FALSE)</f>
        <v>-</v>
      </c>
      <c r="O985" s="52">
        <f>VLOOKUP(Tabla3[[#This Row],[Site]],'Important Info!'!$A$1:$F$135,5,FALSE)</f>
        <v>5</v>
      </c>
      <c r="P985" s="52" t="str">
        <f>VLOOKUP(Tabla3[[#This Row],[Site]],'Important Info!'!$A$1:$F$135,6,FALSE)</f>
        <v>1, 2, 3, 4</v>
      </c>
      <c r="Q985" s="91">
        <f>VLOOKUP(Tabla3[[#This Row],[Site]],'Important Info!'!$A$1:$J$135,9,FALSE)</f>
        <v>277</v>
      </c>
    </row>
    <row r="986" spans="1:17" x14ac:dyDescent="0.25">
      <c r="A986" t="str">
        <f>+Tabla3[[#This Row],[Site]]&amp;Tabla3[[#This Row],[Split]]</f>
        <v>(ML) Nissan of North Little Rock12</v>
      </c>
      <c r="B986">
        <v>12</v>
      </c>
      <c r="C986">
        <v>6</v>
      </c>
      <c r="D986" t="s">
        <v>33</v>
      </c>
      <c r="E986" t="s">
        <v>46</v>
      </c>
      <c r="F986" t="s">
        <v>75</v>
      </c>
      <c r="G986" t="s">
        <v>34</v>
      </c>
      <c r="H986" s="52" t="str">
        <f>VLOOKUP(Tabla3[[#This Row],[Site]],'Important Info!'!$A$1:$J$135,10,FALSE)</f>
        <v>https://tools.sig.systems/site/details/216</v>
      </c>
      <c r="I986" s="2" t="s">
        <v>142</v>
      </c>
      <c r="J986" t="s">
        <v>41</v>
      </c>
      <c r="K986" s="79" t="str">
        <f>VLOOKUP(Tabla3[[#This Row],[Site]],'Important Info!'!$A$1:$H$135,8,FALSE)</f>
        <v>-</v>
      </c>
      <c r="L986" s="52" t="str">
        <f>VLOOKUP(Tabla3[[#This Row],[Site]],'Important Info!'!$A$1:$F$135,2,FALSE)</f>
        <v>2, 4</v>
      </c>
      <c r="M986" s="52" t="str">
        <f>VLOOKUP(Tabla3[[#This Row],[Site]],'Important Info!'!$A$1:$F$135,3,FALSE)</f>
        <v>-</v>
      </c>
      <c r="N986" s="52" t="str">
        <f>VLOOKUP(Tabla3[[#This Row],[Site]],'Important Info!'!$A$1:$F$135,4,FALSE)</f>
        <v>-</v>
      </c>
      <c r="O986" s="52" t="str">
        <f>VLOOKUP(Tabla3[[#This Row],[Site]],'Important Info!'!$A$1:$F$135,5,FALSE)</f>
        <v>5, 17, 23</v>
      </c>
      <c r="P986" s="52">
        <f>VLOOKUP(Tabla3[[#This Row],[Site]],'Important Info!'!$A$1:$F$135,6,FALSE)</f>
        <v>18</v>
      </c>
      <c r="Q986" s="91">
        <f>VLOOKUP(Tabla3[[#This Row],[Site]],'Important Info!'!$A$1:$J$135,9,FALSE)</f>
        <v>216</v>
      </c>
    </row>
    <row r="987" spans="1:17" x14ac:dyDescent="0.25">
      <c r="A987" t="str">
        <f>+Tabla3[[#This Row],[Site]]&amp;Tabla3[[#This Row],[Split]]</f>
        <v>(ML) Toyota N Little Rock12</v>
      </c>
      <c r="B987">
        <v>12</v>
      </c>
      <c r="C987">
        <v>6</v>
      </c>
      <c r="D987" t="s">
        <v>33</v>
      </c>
      <c r="E987" t="s">
        <v>46</v>
      </c>
      <c r="F987" t="s">
        <v>76</v>
      </c>
      <c r="G987" t="s">
        <v>34</v>
      </c>
      <c r="H987" s="52" t="str">
        <f>VLOOKUP(Tabla3[[#This Row],[Site]],'Important Info!'!$A$1:$J$135,10,FALSE)</f>
        <v>https://tools.sig.systems/site/details/201</v>
      </c>
      <c r="I987" s="2" t="s">
        <v>142</v>
      </c>
      <c r="J987" t="s">
        <v>41</v>
      </c>
      <c r="K987" s="79" t="str">
        <f>VLOOKUP(Tabla3[[#This Row],[Site]],'Important Info!'!$A$1:$H$135,8,FALSE)</f>
        <v>-</v>
      </c>
      <c r="L987" s="52" t="str">
        <f>VLOOKUP(Tabla3[[#This Row],[Site]],'Important Info!'!$A$1:$F$135,2,FALSE)</f>
        <v>4, 15, 18, 22, 23, 26</v>
      </c>
      <c r="M987" s="52" t="str">
        <f>VLOOKUP(Tabla3[[#This Row],[Site]],'Important Info!'!$A$1:$F$135,3,FALSE)</f>
        <v>-</v>
      </c>
      <c r="N987" s="52" t="str">
        <f>VLOOKUP(Tabla3[[#This Row],[Site]],'Important Info!'!$A$1:$F$135,4,FALSE)</f>
        <v>-</v>
      </c>
      <c r="O987" s="52" t="str">
        <f>VLOOKUP(Tabla3[[#This Row],[Site]],'Important Info!'!$A$1:$F$135,5,FALSE)</f>
        <v>2, 12, 13, 18</v>
      </c>
      <c r="P987" s="52" t="str">
        <f>VLOOKUP(Tabla3[[#This Row],[Site]],'Important Info!'!$A$1:$F$135,6,FALSE)</f>
        <v>-</v>
      </c>
      <c r="Q987" s="91">
        <f>VLOOKUP(Tabla3[[#This Row],[Site]],'Important Info!'!$A$1:$J$135,9,FALSE)</f>
        <v>201</v>
      </c>
    </row>
    <row r="988" spans="1:17" x14ac:dyDescent="0.25">
      <c r="A988" t="str">
        <f>+Tabla3[[#This Row],[Site]]&amp;Tabla3[[#This Row],[Split]]</f>
        <v>(PE) Scofield Service Center (NO TOURS)12</v>
      </c>
      <c r="B988">
        <v>12</v>
      </c>
      <c r="C988">
        <v>6</v>
      </c>
      <c r="D988" t="s">
        <v>485</v>
      </c>
      <c r="E988" t="s">
        <v>35</v>
      </c>
      <c r="F988" t="s">
        <v>83</v>
      </c>
      <c r="G988" t="s">
        <v>490</v>
      </c>
      <c r="H988" s="52" t="str">
        <f>VLOOKUP(Tabla3[[#This Row],[Site]],'Important Info!'!$A$1:$J$135,10,FALSE)</f>
        <v>https://tools.sig.systems/site/details/193</v>
      </c>
      <c r="I988" t="s">
        <v>177</v>
      </c>
      <c r="J988" t="s">
        <v>41</v>
      </c>
      <c r="K988" s="79" t="str">
        <f>VLOOKUP(Tabla3[[#This Row],[Site]],'Important Info!'!$A$1:$H$135,8,FALSE)</f>
        <v>-</v>
      </c>
      <c r="L988" s="52">
        <f>VLOOKUP(Tabla3[[#This Row],[Site]],'Important Info!'!$A$1:$F$135,2,FALSE)</f>
        <v>1</v>
      </c>
      <c r="M988" s="52" t="str">
        <f>VLOOKUP(Tabla3[[#This Row],[Site]],'Important Info!'!$A$1:$F$135,3,FALSE)</f>
        <v>-</v>
      </c>
      <c r="N988" s="52" t="str">
        <f>VLOOKUP(Tabla3[[#This Row],[Site]],'Important Info!'!$A$1:$F$135,4,FALSE)</f>
        <v>-</v>
      </c>
      <c r="O988" s="52">
        <f>VLOOKUP(Tabla3[[#This Row],[Site]],'Important Info!'!$A$1:$F$135,5,FALSE)</f>
        <v>9</v>
      </c>
      <c r="P988" s="52" t="str">
        <f>VLOOKUP(Tabla3[[#This Row],[Site]],'Important Info!'!$A$1:$F$135,6,FALSE)</f>
        <v>1, 17</v>
      </c>
      <c r="Q988" s="91">
        <f>VLOOKUP(Tabla3[[#This Row],[Site]],'Important Info!'!$A$1:$J$135,9,FALSE)</f>
        <v>193</v>
      </c>
    </row>
    <row r="989" spans="1:17" x14ac:dyDescent="0.25">
      <c r="A989" t="str">
        <f>+Tabla3[[#This Row],[Site]]&amp;Tabla3[[#This Row],[Split]]</f>
        <v>(RML) Burleson Nissan12</v>
      </c>
      <c r="B989">
        <v>12</v>
      </c>
      <c r="C989">
        <v>6</v>
      </c>
      <c r="D989" t="s">
        <v>33</v>
      </c>
      <c r="E989" t="s">
        <v>46</v>
      </c>
      <c r="F989" t="s">
        <v>107</v>
      </c>
      <c r="G989" t="s">
        <v>34</v>
      </c>
      <c r="H989" s="52" t="str">
        <f>VLOOKUP(Tabla3[[#This Row],[Site]],'Important Info!'!$A$1:$J$135,10,FALSE)</f>
        <v>https://tools.sig.systems/site/details/202</v>
      </c>
      <c r="J989" t="s">
        <v>41</v>
      </c>
      <c r="K989" s="79" t="str">
        <f>VLOOKUP(Tabla3[[#This Row],[Site]],'Important Info!'!$A$1:$H$135,8,FALSE)</f>
        <v>-</v>
      </c>
      <c r="L989" s="52" t="str">
        <f>VLOOKUP(Tabla3[[#This Row],[Site]],'Important Info!'!$A$1:$F$135,2,FALSE)</f>
        <v>3, 21</v>
      </c>
      <c r="M989" s="52" t="str">
        <f>VLOOKUP(Tabla3[[#This Row],[Site]],'Important Info!'!$A$1:$F$135,3,FALSE)</f>
        <v>-</v>
      </c>
      <c r="N989" s="52" t="str">
        <f>VLOOKUP(Tabla3[[#This Row],[Site]],'Important Info!'!$A$1:$F$135,4,FALSE)</f>
        <v>-</v>
      </c>
      <c r="O989" s="52" t="str">
        <f>VLOOKUP(Tabla3[[#This Row],[Site]],'Important Info!'!$A$1:$F$135,5,FALSE)</f>
        <v>2, 6, 15</v>
      </c>
      <c r="P989" s="52" t="str">
        <f>VLOOKUP(Tabla3[[#This Row],[Site]],'Important Info!'!$A$1:$F$135,6,FALSE)</f>
        <v>-</v>
      </c>
      <c r="Q989" s="91">
        <f>VLOOKUP(Tabla3[[#This Row],[Site]],'Important Info!'!$A$1:$J$135,9,FALSE)</f>
        <v>202</v>
      </c>
    </row>
    <row r="990" spans="1:17" x14ac:dyDescent="0.25">
      <c r="A990" t="str">
        <f>+Tabla3[[#This Row],[Site]]&amp;Tabla3[[#This Row],[Split]]</f>
        <v>(RV) Toms Camperland Surprise (NO TOURS)12</v>
      </c>
      <c r="B990">
        <v>12</v>
      </c>
      <c r="C990">
        <v>6</v>
      </c>
      <c r="D990" t="s">
        <v>51</v>
      </c>
      <c r="E990" t="s">
        <v>161</v>
      </c>
      <c r="F990" t="s">
        <v>165</v>
      </c>
      <c r="G990" t="s">
        <v>52</v>
      </c>
      <c r="H990" s="52" t="str">
        <f>VLOOKUP(Tabla3[[#This Row],[Site]],'Important Info!'!$A$1:$J$135,10,FALSE)</f>
        <v>https://tools.sig.systems/site/details/254</v>
      </c>
      <c r="I990" s="43"/>
      <c r="J990" t="s">
        <v>52</v>
      </c>
      <c r="K990" s="79" t="str">
        <f>VLOOKUP(Tabla3[[#This Row],[Site]],'Important Info!'!$A$1:$H$135,8,FALSE)</f>
        <v>-</v>
      </c>
      <c r="L990" s="52" t="str">
        <f>VLOOKUP(Tabla3[[#This Row],[Site]],'Important Info!'!$A$1:$F$135,2,FALSE)</f>
        <v>1, 3, 4</v>
      </c>
      <c r="M990" s="52" t="str">
        <f>VLOOKUP(Tabla3[[#This Row],[Site]],'Important Info!'!$A$1:$F$135,3,FALSE)</f>
        <v>-</v>
      </c>
      <c r="N990" s="52" t="str">
        <f>VLOOKUP(Tabla3[[#This Row],[Site]],'Important Info!'!$A$1:$F$135,4,FALSE)</f>
        <v>-</v>
      </c>
      <c r="O990" s="52" t="str">
        <f>VLOOKUP(Tabla3[[#This Row],[Site]],'Important Info!'!$A$1:$F$135,5,FALSE)</f>
        <v>-</v>
      </c>
      <c r="P990" s="52" t="str">
        <f>VLOOKUP(Tabla3[[#This Row],[Site]],'Important Info!'!$A$1:$F$135,6,FALSE)</f>
        <v>1, 2, 3, 4, 15</v>
      </c>
      <c r="Q990" s="91">
        <f>VLOOKUP(Tabla3[[#This Row],[Site]],'Important Info!'!$A$1:$J$135,9,FALSE)</f>
        <v>254</v>
      </c>
    </row>
    <row r="991" spans="1:17" x14ac:dyDescent="0.25">
      <c r="A991" t="str">
        <f>+Tabla3[[#This Row],[Site]]&amp;Tabla3[[#This Row],[Split]]</f>
        <v>(SCH) Prep Center Delray12</v>
      </c>
      <c r="B991">
        <v>12</v>
      </c>
      <c r="C991">
        <v>6</v>
      </c>
      <c r="D991" t="s">
        <v>62</v>
      </c>
      <c r="E991" t="s">
        <v>35</v>
      </c>
      <c r="F991" t="s">
        <v>191</v>
      </c>
      <c r="G991" t="s">
        <v>490</v>
      </c>
      <c r="H991" s="52" t="str">
        <f>VLOOKUP(Tabla3[[#This Row],[Site]],'Important Info!'!$A$1:$J$135,10,FALSE)</f>
        <v>https://tools.sig.systems/site/details/321</v>
      </c>
      <c r="J991" t="s">
        <v>41</v>
      </c>
      <c r="K991" s="79" t="str">
        <f>VLOOKUP(Tabla3[[#This Row],[Site]],'Important Info!'!$A$1:$H$135,8,FALSE)</f>
        <v>-</v>
      </c>
      <c r="L991" s="52" t="str">
        <f>VLOOKUP(Tabla3[[#This Row],[Site]],'Important Info!'!$A$1:$F$135,2,FALSE)</f>
        <v>2,3</v>
      </c>
      <c r="M991" s="52" t="str">
        <f>VLOOKUP(Tabla3[[#This Row],[Site]],'Important Info!'!$A$1:$F$135,3,FALSE)</f>
        <v>-</v>
      </c>
      <c r="N991" s="52" t="str">
        <f>VLOOKUP(Tabla3[[#This Row],[Site]],'Important Info!'!$A$1:$F$135,4,FALSE)</f>
        <v>-</v>
      </c>
      <c r="O991" s="52" t="str">
        <f>VLOOKUP(Tabla3[[#This Row],[Site]],'Important Info!'!$A$1:$F$135,5,FALSE)</f>
        <v>-</v>
      </c>
      <c r="P991" s="52" t="str">
        <f>VLOOKUP(Tabla3[[#This Row],[Site]],'Important Info!'!$A$1:$F$135,6,FALSE)</f>
        <v>2,4,10</v>
      </c>
      <c r="Q991" s="91">
        <f>VLOOKUP(Tabla3[[#This Row],[Site]],'Important Info!'!$A$1:$J$135,9,FALSE)</f>
        <v>321</v>
      </c>
    </row>
    <row r="992" spans="1:17" x14ac:dyDescent="0.25">
      <c r="A992" t="str">
        <f>+Tabla3[[#This Row],[Site]]&amp;Tabla3[[#This Row],[Split]]</f>
        <v>(TC) Tavernier Creek Marina (NO TOURS)12</v>
      </c>
      <c r="B992">
        <v>12</v>
      </c>
      <c r="C992">
        <v>6</v>
      </c>
      <c r="D992" t="s">
        <v>62</v>
      </c>
      <c r="E992" t="s">
        <v>35</v>
      </c>
      <c r="F992" t="s">
        <v>119</v>
      </c>
      <c r="G992" t="s">
        <v>34</v>
      </c>
      <c r="H992" s="52" t="str">
        <f>VLOOKUP(Tabla3[[#This Row],[Site]],'Important Info!'!$A$1:$J$135,10,FALSE)</f>
        <v>https://tools.sig.systems/site/details/164</v>
      </c>
      <c r="J992" t="s">
        <v>45</v>
      </c>
      <c r="K992" s="79" t="str">
        <f>VLOOKUP(Tabla3[[#This Row],[Site]],'Important Info!'!$A$1:$H$135,8,FALSE)</f>
        <v>-</v>
      </c>
      <c r="L992" s="52" t="str">
        <f>VLOOKUP(Tabla3[[#This Row],[Site]],'Important Info!'!$A$1:$F$135,2,FALSE)</f>
        <v>28, 29</v>
      </c>
      <c r="M992" s="52" t="str">
        <f>VLOOKUP(Tabla3[[#This Row],[Site]],'Important Info!'!$A$1:$F$135,3,FALSE)</f>
        <v>-</v>
      </c>
      <c r="N992" s="52" t="str">
        <f>VLOOKUP(Tabla3[[#This Row],[Site]],'Important Info!'!$A$1:$F$135,4,FALSE)</f>
        <v>-</v>
      </c>
      <c r="O992" s="52" t="str">
        <f>VLOOKUP(Tabla3[[#This Row],[Site]],'Important Info!'!$A$1:$F$135,5,FALSE)</f>
        <v>-</v>
      </c>
      <c r="P992" s="52" t="str">
        <f>VLOOKUP(Tabla3[[#This Row],[Site]],'Important Info!'!$A$1:$F$135,6,FALSE)</f>
        <v>5, 28, 29</v>
      </c>
      <c r="Q992" s="91">
        <f>VLOOKUP(Tabla3[[#This Row],[Site]],'Important Info!'!$A$1:$J$135,9,FALSE)</f>
        <v>164</v>
      </c>
    </row>
    <row r="993" spans="1:17" x14ac:dyDescent="0.25">
      <c r="A993" t="str">
        <f>+Tabla3[[#This Row],[Site]]&amp;Tabla3[[#This Row],[Split]]</f>
        <v>(AS) Atwell Prep Center-Dallas (NO TOURS)12</v>
      </c>
      <c r="B993">
        <v>12</v>
      </c>
      <c r="C993">
        <v>7</v>
      </c>
      <c r="D993" t="s">
        <v>33</v>
      </c>
      <c r="E993" t="s">
        <v>46</v>
      </c>
      <c r="F993" t="s">
        <v>498</v>
      </c>
      <c r="G993" t="s">
        <v>34</v>
      </c>
      <c r="H993" s="52" t="str">
        <f>VLOOKUP(Tabla3[[#This Row],[Site]],'Important Info!'!$A$1:$J$135,10,FALSE)</f>
        <v>https://tools.sig.systems/site/details/165</v>
      </c>
      <c r="I993" s="65" t="s">
        <v>125</v>
      </c>
      <c r="J993" t="s">
        <v>41</v>
      </c>
      <c r="K993" s="79" t="str">
        <f>VLOOKUP(Tabla3[[#This Row],[Site]],'Important Info!'!$A$1:$H$135,8,FALSE)</f>
        <v>-</v>
      </c>
      <c r="L993" s="52" t="str">
        <f>VLOOKUP(Tabla3[[#This Row],[Site]],'Important Info!'!$A$1:$F$135,2,FALSE)</f>
        <v>4, 6, 7</v>
      </c>
      <c r="M993" s="52" t="str">
        <f>VLOOKUP(Tabla3[[#This Row],[Site]],'Important Info!'!$A$1:$F$135,3,FALSE)</f>
        <v>-</v>
      </c>
      <c r="N993" s="52" t="str">
        <f>VLOOKUP(Tabla3[[#This Row],[Site]],'Important Info!'!$A$1:$F$135,4,FALSE)</f>
        <v>-</v>
      </c>
      <c r="O993" s="52" t="str">
        <f>VLOOKUP(Tabla3[[#This Row],[Site]],'Important Info!'!$A$1:$F$135,5,FALSE)</f>
        <v>-</v>
      </c>
      <c r="P993" s="52" t="str">
        <f>VLOOKUP(Tabla3[[#This Row],[Site]],'Important Info!'!$A$1:$F$135,6,FALSE)</f>
        <v>1, 2</v>
      </c>
      <c r="Q993" s="91">
        <f>VLOOKUP(Tabla3[[#This Row],[Site]],'Important Info!'!$A$1:$J$135,9,FALSE)</f>
        <v>165</v>
      </c>
    </row>
    <row r="994" spans="1:17" x14ac:dyDescent="0.25">
      <c r="A994" t="str">
        <f>+Tabla3[[#This Row],[Site]]&amp;Tabla3[[#This Row],[Split]]</f>
        <v>(AS) Coggin Acura Ft Pierce (NO TOURS)12</v>
      </c>
      <c r="B994">
        <v>12</v>
      </c>
      <c r="C994">
        <v>7</v>
      </c>
      <c r="D994" t="s">
        <v>62</v>
      </c>
      <c r="E994" t="s">
        <v>35</v>
      </c>
      <c r="F994" t="s">
        <v>500</v>
      </c>
      <c r="G994" t="s">
        <v>490</v>
      </c>
      <c r="H994" s="52" t="str">
        <f>VLOOKUP(Tabla3[[#This Row],[Site]],'Important Info!'!$A$1:$J$135,10,FALSE)</f>
        <v>https://tools.sig.systems/site/details/118</v>
      </c>
      <c r="I994" s="43" t="s">
        <v>179</v>
      </c>
      <c r="J994" t="s">
        <v>41</v>
      </c>
      <c r="K994" s="79" t="str">
        <f>VLOOKUP(Tabla3[[#This Row],[Site]],'Important Info!'!$A$1:$H$135,8,FALSE)</f>
        <v>-</v>
      </c>
      <c r="L994" s="52" t="str">
        <f>VLOOKUP(Tabla3[[#This Row],[Site]],'Important Info!'!$A$1:$F$135,2,FALSE)</f>
        <v>-</v>
      </c>
      <c r="M994" s="52">
        <f>VLOOKUP(Tabla3[[#This Row],[Site]],'Important Info!'!$A$1:$F$135,3,FALSE)</f>
        <v>6</v>
      </c>
      <c r="N994" s="52" t="str">
        <f>VLOOKUP(Tabla3[[#This Row],[Site]],'Important Info!'!$A$1:$F$135,4,FALSE)</f>
        <v>-</v>
      </c>
      <c r="O994" s="52" t="str">
        <f>VLOOKUP(Tabla3[[#This Row],[Site]],'Important Info!'!$A$1:$F$135,5,FALSE)</f>
        <v>4, 6</v>
      </c>
      <c r="P994" s="52">
        <f>VLOOKUP(Tabla3[[#This Row],[Site]],'Important Info!'!$A$1:$F$135,6,FALSE)</f>
        <v>1</v>
      </c>
      <c r="Q994" s="91">
        <f>VLOOKUP(Tabla3[[#This Row],[Site]],'Important Info!'!$A$1:$J$135,9,FALSE)</f>
        <v>118</v>
      </c>
    </row>
    <row r="995" spans="1:17" x14ac:dyDescent="0.25">
      <c r="A995" t="str">
        <f>+Tabla3[[#This Row],[Site]]&amp;Tabla3[[#This Row],[Split]]</f>
        <v>(AS) Courtesy CDJR of Brandon (NO TOURS)12</v>
      </c>
      <c r="B995">
        <v>12</v>
      </c>
      <c r="C995">
        <v>7</v>
      </c>
      <c r="D995" t="s">
        <v>62</v>
      </c>
      <c r="E995" t="s">
        <v>35</v>
      </c>
      <c r="F995" t="s">
        <v>503</v>
      </c>
      <c r="G995" t="s">
        <v>490</v>
      </c>
      <c r="H995" s="52" t="str">
        <f>VLOOKUP(Tabla3[[#This Row],[Site]],'Important Info!'!$A$1:$J$135,10,FALSE)</f>
        <v>https://tools.sig.systems/site/details/126</v>
      </c>
      <c r="I995" s="2" t="s">
        <v>181</v>
      </c>
      <c r="J995" t="s">
        <v>484</v>
      </c>
      <c r="K995" s="79" t="str">
        <f>VLOOKUP(Tabla3[[#This Row],[Site]],'Important Info!'!$A$1:$H$135,8,FALSE)</f>
        <v>-</v>
      </c>
      <c r="L995" s="52" t="str">
        <f>VLOOKUP(Tabla3[[#This Row],[Site]],'Important Info!'!$A$1:$F$135,2,FALSE)</f>
        <v>1, 14, 15</v>
      </c>
      <c r="M995" s="52">
        <f>VLOOKUP(Tabla3[[#This Row],[Site]],'Important Info!'!$A$1:$F$135,3,FALSE)</f>
        <v>1</v>
      </c>
      <c r="N995" s="52" t="str">
        <f>VLOOKUP(Tabla3[[#This Row],[Site]],'Important Info!'!$A$1:$F$135,4,FALSE)</f>
        <v>-</v>
      </c>
      <c r="O995" s="52" t="str">
        <f>VLOOKUP(Tabla3[[#This Row],[Site]],'Important Info!'!$A$1:$F$135,5,FALSE)</f>
        <v>2, 12</v>
      </c>
      <c r="P995" s="52" t="str">
        <f>VLOOKUP(Tabla3[[#This Row],[Site]],'Important Info!'!$A$1:$F$135,6,FALSE)</f>
        <v xml:space="preserve">1, 2, 3, 4, 14, 15, 21, 25 </v>
      </c>
      <c r="Q995" s="91">
        <f>VLOOKUP(Tabla3[[#This Row],[Site]],'Important Info!'!$A$1:$J$135,9,FALSE)</f>
        <v>126</v>
      </c>
    </row>
    <row r="996" spans="1:17" x14ac:dyDescent="0.25">
      <c r="A996" t="str">
        <f>+Tabla3[[#This Row],[Site]]&amp;Tabla3[[#This Row],[Split]]</f>
        <v>(AS) David McDavid Honda I &amp; II (NO TOURS)12</v>
      </c>
      <c r="B996">
        <v>12</v>
      </c>
      <c r="C996">
        <v>7</v>
      </c>
      <c r="D996" t="s">
        <v>33</v>
      </c>
      <c r="E996" t="s">
        <v>46</v>
      </c>
      <c r="F996" t="s">
        <v>506</v>
      </c>
      <c r="G996" t="s">
        <v>34</v>
      </c>
      <c r="H996" s="52" t="str">
        <f>VLOOKUP(Tabla3[[#This Row],[Site]],'Important Info!'!$A$1:$J$135,10,FALSE)</f>
        <v>https://tools.sig.systems/site/details/129</v>
      </c>
      <c r="J996" t="s">
        <v>41</v>
      </c>
      <c r="K996" s="79" t="str">
        <f>VLOOKUP(Tabla3[[#This Row],[Site]],'Important Info!'!$A$1:$H$135,8,FALSE)</f>
        <v>-</v>
      </c>
      <c r="L996" s="52" t="str">
        <f>VLOOKUP(Tabla3[[#This Row],[Site]],'Important Info!'!$A$1:$F$135,2,FALSE)</f>
        <v>-</v>
      </c>
      <c r="M996" s="52" t="str">
        <f>VLOOKUP(Tabla3[[#This Row],[Site]],'Important Info!'!$A$1:$F$135,3,FALSE)</f>
        <v>3, 19, 23, 32, 35</v>
      </c>
      <c r="N996" s="52" t="str">
        <f>VLOOKUP(Tabla3[[#This Row],[Site]],'Important Info!'!$A$1:$F$135,4,FALSE)</f>
        <v>-</v>
      </c>
      <c r="O996" s="52" t="str">
        <f>VLOOKUP(Tabla3[[#This Row],[Site]],'Important Info!'!$A$1:$F$135,5,FALSE)</f>
        <v>2, 6, 9, 19, 25, 30, 48</v>
      </c>
      <c r="P996" s="52" t="str">
        <f>VLOOKUP(Tabla3[[#This Row],[Site]],'Important Info!'!$A$1:$F$135,6,FALSE)</f>
        <v>25, 26, 35, 36, 37</v>
      </c>
      <c r="Q996" s="91">
        <f>VLOOKUP(Tabla3[[#This Row],[Site]],'Important Info!'!$A$1:$J$135,9,FALSE)</f>
        <v>129</v>
      </c>
    </row>
    <row r="997" spans="1:17" x14ac:dyDescent="0.25">
      <c r="A997" t="str">
        <f>+Tabla3[[#This Row],[Site]]&amp;Tabla3[[#This Row],[Split]]</f>
        <v>(AS) Park Place Mercedes Benz Ft. Worth (NO TOURS)12</v>
      </c>
      <c r="B997">
        <v>12</v>
      </c>
      <c r="C997">
        <v>7</v>
      </c>
      <c r="D997" t="s">
        <v>33</v>
      </c>
      <c r="E997" t="s">
        <v>46</v>
      </c>
      <c r="F997" t="s">
        <v>519</v>
      </c>
      <c r="G997" t="s">
        <v>34</v>
      </c>
      <c r="H997" s="52" t="str">
        <f>VLOOKUP(Tabla3[[#This Row],[Site]],'Important Info!'!$A$1:$J$135,10,FALSE)</f>
        <v>https://tools.sig.systems/site/details/137</v>
      </c>
      <c r="I997" s="8" t="s">
        <v>128</v>
      </c>
      <c r="J997" t="s">
        <v>41</v>
      </c>
      <c r="K997" s="79" t="s">
        <v>37</v>
      </c>
      <c r="L997" s="52" t="str">
        <f>VLOOKUP(Tabla3[[#This Row],[Site]],'Important Info!'!$A$1:$F$135,2,FALSE)</f>
        <v>4, 18</v>
      </c>
      <c r="M997" s="52" t="str">
        <f>VLOOKUP(Tabla3[[#This Row],[Site]],'Important Info!'!$A$1:$F$135,3,FALSE)</f>
        <v>-</v>
      </c>
      <c r="N997" s="52" t="str">
        <f>VLOOKUP(Tabla3[[#This Row],[Site]],'Important Info!'!$A$1:$F$135,4,FALSE)</f>
        <v>54, 55</v>
      </c>
      <c r="O997" s="52" t="str">
        <f>VLOOKUP(Tabla3[[#This Row],[Site]],'Important Info!'!$A$1:$F$135,5,FALSE)</f>
        <v>2, 18</v>
      </c>
      <c r="P997" s="52" t="str">
        <f>VLOOKUP(Tabla3[[#This Row],[Site]],'Important Info!'!$A$1:$F$135,6,FALSE)</f>
        <v>5, 18</v>
      </c>
      <c r="Q997" s="91">
        <f>VLOOKUP(Tabla3[[#This Row],[Site]],'Important Info!'!$A$1:$J$135,9,FALSE)</f>
        <v>137</v>
      </c>
    </row>
    <row r="998" spans="1:17" x14ac:dyDescent="0.25">
      <c r="A998" t="str">
        <f>+Tabla3[[#This Row],[Site]]&amp;Tabla3[[#This Row],[Split]]</f>
        <v>(AS) Stevinson Toyota West (NO TOURS)12</v>
      </c>
      <c r="B998">
        <v>12</v>
      </c>
      <c r="C998">
        <v>7</v>
      </c>
      <c r="D998" t="s">
        <v>44</v>
      </c>
      <c r="E998" t="s">
        <v>53</v>
      </c>
      <c r="F998" t="s">
        <v>79</v>
      </c>
      <c r="G998" t="s">
        <v>45</v>
      </c>
      <c r="H998" s="52" t="str">
        <f>VLOOKUP(Tabla3[[#This Row],[Site]],'Important Info!'!$A$1:$J$135,10,FALSE)</f>
        <v>https://tools.sig.systems/site/details/240</v>
      </c>
      <c r="I998" s="43" t="s">
        <v>154</v>
      </c>
      <c r="J998" t="s">
        <v>41</v>
      </c>
      <c r="K998" s="79" t="str">
        <f>VLOOKUP(Tabla3[[#This Row],[Site]],'Important Info!'!$A$1:$H$135,8,FALSE)</f>
        <v>-</v>
      </c>
      <c r="L998" s="52" t="str">
        <f>VLOOKUP(Tabla3[[#This Row],[Site]],'Important Info!'!$A$1:$F$135,2,FALSE)</f>
        <v>-</v>
      </c>
      <c r="M998" s="52" t="str">
        <f>VLOOKUP(Tabla3[[#This Row],[Site]],'Important Info!'!$A$1:$F$135,3,FALSE)</f>
        <v>7, 18, 21</v>
      </c>
      <c r="N998" s="52" t="str">
        <f>VLOOKUP(Tabla3[[#This Row],[Site]],'Important Info!'!$A$1:$F$135,4,FALSE)</f>
        <v>-</v>
      </c>
      <c r="O998" s="52" t="str">
        <f>VLOOKUP(Tabla3[[#This Row],[Site]],'Important Info!'!$A$1:$F$135,5,FALSE)</f>
        <v>11, 24, 34</v>
      </c>
      <c r="P998" s="52" t="str">
        <f>VLOOKUP(Tabla3[[#This Row],[Site]],'Important Info!'!$A$1:$F$135,6,FALSE)</f>
        <v>1, 2, 3, 12</v>
      </c>
      <c r="Q998" s="91">
        <f>VLOOKUP(Tabla3[[#This Row],[Site]],'Important Info!'!$A$1:$J$135,9,FALSE)</f>
        <v>240</v>
      </c>
    </row>
    <row r="999" spans="1:17" x14ac:dyDescent="0.25">
      <c r="A999" t="str">
        <f>+Tabla3[[#This Row],[Site]]&amp;Tabla3[[#This Row],[Split]]</f>
        <v>(ML) Joe Machens Temporary 2.012</v>
      </c>
      <c r="B999">
        <v>12</v>
      </c>
      <c r="C999">
        <v>7</v>
      </c>
      <c r="D999" t="s">
        <v>33</v>
      </c>
      <c r="E999" t="s">
        <v>46</v>
      </c>
      <c r="F999" t="s">
        <v>105</v>
      </c>
      <c r="G999" t="s">
        <v>34</v>
      </c>
      <c r="H999" s="52" t="str">
        <f>VLOOKUP(Tabla3[[#This Row],[Site]],'Important Info!'!$A$1:$J$135,10,FALSE)</f>
        <v>https://tools.sig.systems/site/details/278</v>
      </c>
      <c r="I999" s="43" t="s">
        <v>146</v>
      </c>
      <c r="J999" t="s">
        <v>41</v>
      </c>
      <c r="K999" s="79" t="str">
        <f>VLOOKUP(Tabla3[[#This Row],[Site]],'Important Info!'!$A$1:$H$135,8,FALSE)</f>
        <v>-</v>
      </c>
      <c r="L999" s="52" t="str">
        <f>VLOOKUP(Tabla3[[#This Row],[Site]],'Important Info!'!$A$1:$F$135,2,FALSE)</f>
        <v>-</v>
      </c>
      <c r="M999" s="52" t="str">
        <f>VLOOKUP(Tabla3[[#This Row],[Site]],'Important Info!'!$A$1:$F$135,3,FALSE)</f>
        <v>1, 11, 14, 15, 16</v>
      </c>
      <c r="N999" s="52" t="str">
        <f>VLOOKUP(Tabla3[[#This Row],[Site]],'Important Info!'!$A$1:$F$135,4,FALSE)</f>
        <v>-</v>
      </c>
      <c r="O999" s="52">
        <f>VLOOKUP(Tabla3[[#This Row],[Site]],'Important Info!'!$A$1:$F$135,5,FALSE)</f>
        <v>13</v>
      </c>
      <c r="P999" s="52" t="str">
        <f>VLOOKUP(Tabla3[[#This Row],[Site]],'Important Info!'!$A$1:$F$135,6,FALSE)</f>
        <v>-</v>
      </c>
      <c r="Q999" s="91">
        <f>VLOOKUP(Tabla3[[#This Row],[Site]],'Important Info!'!$A$1:$J$135,9,FALSE)</f>
        <v>278</v>
      </c>
    </row>
    <row r="1000" spans="1:17" x14ac:dyDescent="0.25">
      <c r="A1000" t="str">
        <f>+Tabla3[[#This Row],[Site]]&amp;Tabla3[[#This Row],[Split]]</f>
        <v>(PE) BMW Tenafly (NO TOURS)12</v>
      </c>
      <c r="B1000">
        <v>12</v>
      </c>
      <c r="C1000">
        <v>7</v>
      </c>
      <c r="D1000" t="s">
        <v>485</v>
      </c>
      <c r="E1000" t="s">
        <v>35</v>
      </c>
      <c r="F1000" t="s">
        <v>173</v>
      </c>
      <c r="G1000" t="s">
        <v>490</v>
      </c>
      <c r="H1000" s="52" t="str">
        <f>VLOOKUP(Tabla3[[#This Row],[Site]],'Important Info!'!$A$1:$J$135,10,FALSE)</f>
        <v>https://tools.sig.systems/site/details/155</v>
      </c>
      <c r="I1000" s="43"/>
      <c r="J1000" t="s">
        <v>41</v>
      </c>
      <c r="K1000" s="79" t="str">
        <f>VLOOKUP(Tabla3[[#This Row],[Site]],'Important Info!'!$A$1:$H$135,8,FALSE)</f>
        <v>-</v>
      </c>
      <c r="L1000" s="52">
        <f>VLOOKUP(Tabla3[[#This Row],[Site]],'Important Info!'!$A$1:$F$135,2,FALSE)</f>
        <v>24</v>
      </c>
      <c r="M1000" s="52" t="str">
        <f>VLOOKUP(Tabla3[[#This Row],[Site]],'Important Info!'!$A$1:$F$135,3,FALSE)</f>
        <v>1, 3, 4, 17, 23</v>
      </c>
      <c r="N1000" s="52" t="str">
        <f>VLOOKUP(Tabla3[[#This Row],[Site]],'Important Info!'!$A$1:$F$135,4,FALSE)</f>
        <v>-</v>
      </c>
      <c r="O1000" s="52" t="str">
        <f>VLOOKUP(Tabla3[[#This Row],[Site]],'Important Info!'!$A$1:$F$135,5,FALSE)</f>
        <v>-</v>
      </c>
      <c r="P1000" s="52">
        <f>VLOOKUP(Tabla3[[#This Row],[Site]],'Important Info!'!$A$1:$F$135,6,FALSE)</f>
        <v>1</v>
      </c>
      <c r="Q1000" s="91">
        <f>VLOOKUP(Tabla3[[#This Row],[Site]],'Important Info!'!$A$1:$J$135,9,FALSE)</f>
        <v>155</v>
      </c>
    </row>
    <row r="1001" spans="1:17" x14ac:dyDescent="0.25">
      <c r="A1001" t="str">
        <f>+Tabla3[[#This Row],[Site]]&amp;Tabla3[[#This Row],[Split]]</f>
        <v>(SCH) Auto Body Shop Lake Park12</v>
      </c>
      <c r="B1001">
        <v>12</v>
      </c>
      <c r="C1001">
        <v>7</v>
      </c>
      <c r="D1001" t="s">
        <v>62</v>
      </c>
      <c r="E1001" t="s">
        <v>35</v>
      </c>
      <c r="F1001" t="s">
        <v>189</v>
      </c>
      <c r="G1001" t="s">
        <v>490</v>
      </c>
      <c r="H1001" s="52" t="str">
        <f>VLOOKUP(Tabla3[[#This Row],[Site]],'Important Info!'!$A$1:$J$135,10,FALSE)</f>
        <v>https://tools.sig.systems/site/details/158</v>
      </c>
      <c r="I1001" s="2"/>
      <c r="J1001" t="s">
        <v>41</v>
      </c>
      <c r="K1001" s="79" t="str">
        <f>VLOOKUP(Tabla3[[#This Row],[Site]],'Important Info!'!$A$1:$H$135,8,FALSE)</f>
        <v>-</v>
      </c>
      <c r="L1001" s="52" t="str">
        <f>VLOOKUP(Tabla3[[#This Row],[Site]],'Important Info!'!$A$1:$F$135,2,FALSE)</f>
        <v>3, 10</v>
      </c>
      <c r="M1001" s="52" t="str">
        <f>VLOOKUP(Tabla3[[#This Row],[Site]],'Important Info!'!$A$1:$F$135,3,FALSE)</f>
        <v>-</v>
      </c>
      <c r="N1001" s="52" t="str">
        <f>VLOOKUP(Tabla3[[#This Row],[Site]],'Important Info!'!$A$1:$F$135,4,FALSE)</f>
        <v>-</v>
      </c>
      <c r="O1001" s="52" t="str">
        <f>VLOOKUP(Tabla3[[#This Row],[Site]],'Important Info!'!$A$1:$F$135,5,FALSE)</f>
        <v>-</v>
      </c>
      <c r="P1001" s="52" t="str">
        <f>VLOOKUP(Tabla3[[#This Row],[Site]],'Important Info!'!$A$1:$F$135,6,FALSE)</f>
        <v>-</v>
      </c>
      <c r="Q1001" s="91">
        <f>VLOOKUP(Tabla3[[#This Row],[Site]],'Important Info!'!$A$1:$J$135,9,FALSE)</f>
        <v>158</v>
      </c>
    </row>
    <row r="1002" spans="1:17" x14ac:dyDescent="0.25">
      <c r="A1002" t="str">
        <f>+Tabla3[[#This Row],[Site]]&amp;Tabla3[[#This Row],[Split]]</f>
        <v>(AS) Courtesy Honda Palm Harbor (NO TOURS)12</v>
      </c>
      <c r="B1002">
        <v>12</v>
      </c>
      <c r="C1002">
        <v>8</v>
      </c>
      <c r="D1002" t="s">
        <v>62</v>
      </c>
      <c r="E1002" t="s">
        <v>35</v>
      </c>
      <c r="F1002" t="s">
        <v>108</v>
      </c>
      <c r="G1002" t="s">
        <v>490</v>
      </c>
      <c r="H1002" s="52" t="str">
        <f>VLOOKUP(Tabla3[[#This Row],[Site]],'Important Info!'!$A$1:$J$135,10,FALSE)</f>
        <v>https://tools.sig.systems/site/details/176</v>
      </c>
      <c r="I1002" s="43"/>
      <c r="J1002" t="s">
        <v>36</v>
      </c>
      <c r="K1002" s="79" t="str">
        <f>VLOOKUP(Tabla3[[#This Row],[Site]],'Important Info!'!$A$1:$H$135,8,FALSE)</f>
        <v>-</v>
      </c>
      <c r="L1002" s="52">
        <f>VLOOKUP(Tabla3[[#This Row],[Site]],'Important Info!'!$A$1:$F$135,2,FALSE)</f>
        <v>2</v>
      </c>
      <c r="M1002" s="52" t="str">
        <f>VLOOKUP(Tabla3[[#This Row],[Site]],'Important Info!'!$A$1:$F$135,3,FALSE)</f>
        <v>-</v>
      </c>
      <c r="N1002" s="52" t="str">
        <f>VLOOKUP(Tabla3[[#This Row],[Site]],'Important Info!'!$A$1:$F$135,4,FALSE)</f>
        <v>-</v>
      </c>
      <c r="O1002" s="52" t="str">
        <f>VLOOKUP(Tabla3[[#This Row],[Site]],'Important Info!'!$A$1:$F$135,5,FALSE)</f>
        <v>4, 8, 21</v>
      </c>
      <c r="P1002" s="52">
        <f>VLOOKUP(Tabla3[[#This Row],[Site]],'Important Info!'!$A$1:$F$135,6,FALSE)</f>
        <v>10</v>
      </c>
      <c r="Q1002" s="91">
        <f>VLOOKUP(Tabla3[[#This Row],[Site]],'Important Info!'!$A$1:$J$135,9,FALSE)</f>
        <v>176</v>
      </c>
    </row>
    <row r="1003" spans="1:17" x14ac:dyDescent="0.25">
      <c r="A1003" t="str">
        <f>+Tabla3[[#This Row],[Site]]&amp;Tabla3[[#This Row],[Split]]</f>
        <v>(AS) David McDavid Lincoln Frisco (NO TOURS)12</v>
      </c>
      <c r="B1003">
        <v>12</v>
      </c>
      <c r="C1003">
        <v>8</v>
      </c>
      <c r="D1003" t="s">
        <v>33</v>
      </c>
      <c r="E1003" t="s">
        <v>46</v>
      </c>
      <c r="F1003" t="s">
        <v>507</v>
      </c>
      <c r="G1003" t="s">
        <v>34</v>
      </c>
      <c r="H1003" s="52" t="str">
        <f>VLOOKUP(Tabla3[[#This Row],[Site]],'Important Info!'!$A$1:$J$135,10,FALSE)</f>
        <v>https://tools.sig.systems/site/details/182</v>
      </c>
      <c r="I1003" s="2"/>
      <c r="J1003" t="s">
        <v>41</v>
      </c>
      <c r="K1003" s="79" t="str">
        <f>VLOOKUP(Tabla3[[#This Row],[Site]],'Important Info!'!$A$1:$H$135,8,FALSE)</f>
        <v>-</v>
      </c>
      <c r="L1003" s="52" t="str">
        <f>VLOOKUP(Tabla3[[#This Row],[Site]],'Important Info!'!$A$1:$F$135,2,FALSE)</f>
        <v>1, 2, 11</v>
      </c>
      <c r="M1003" s="52" t="str">
        <f>VLOOKUP(Tabla3[[#This Row],[Site]],'Important Info!'!$A$1:$F$135,3,FALSE)</f>
        <v>-</v>
      </c>
      <c r="N1003" s="52" t="str">
        <f>VLOOKUP(Tabla3[[#This Row],[Site]],'Important Info!'!$A$1:$F$135,4,FALSE)</f>
        <v>-</v>
      </c>
      <c r="O1003" s="52" t="str">
        <f>VLOOKUP(Tabla3[[#This Row],[Site]],'Important Info!'!$A$1:$F$135,5,FALSE)</f>
        <v>11, 16, 20</v>
      </c>
      <c r="P1003" s="52" t="str">
        <f>VLOOKUP(Tabla3[[#This Row],[Site]],'Important Info!'!$A$1:$F$135,6,FALSE)</f>
        <v>11, 12, 13, 14</v>
      </c>
      <c r="Q1003" s="91">
        <f>VLOOKUP(Tabla3[[#This Row],[Site]],'Important Info!'!$A$1:$J$135,9,FALSE)</f>
        <v>182</v>
      </c>
    </row>
    <row r="1004" spans="1:17" x14ac:dyDescent="0.25">
      <c r="A1004" t="str">
        <f>+Tabla3[[#This Row],[Site]]&amp;Tabla3[[#This Row],[Split]]</f>
        <v>(AS) Park Place Bodywerks Dallas (NO TOURS)12</v>
      </c>
      <c r="B1004">
        <v>12</v>
      </c>
      <c r="C1004">
        <v>8</v>
      </c>
      <c r="D1004" t="s">
        <v>33</v>
      </c>
      <c r="E1004" t="s">
        <v>46</v>
      </c>
      <c r="F1004" t="s">
        <v>514</v>
      </c>
      <c r="G1004" t="s">
        <v>34</v>
      </c>
      <c r="H1004" s="52" t="str">
        <f>VLOOKUP(Tabla3[[#This Row],[Site]],'Important Info!'!$A$1:$J$135,10,FALSE)</f>
        <v>https://tools.sig.systems/site/details/166</v>
      </c>
      <c r="I1004" s="65" t="s">
        <v>125</v>
      </c>
      <c r="J1004" t="s">
        <v>41</v>
      </c>
      <c r="K1004" s="79" t="str">
        <f>VLOOKUP(Tabla3[[#This Row],[Site]],'Important Info!'!$A$1:$H$135,8,FALSE)</f>
        <v>-</v>
      </c>
      <c r="L1004" s="52">
        <f>VLOOKUP(Tabla3[[#This Row],[Site]],'Important Info!'!$A$1:$F$135,2,FALSE)</f>
        <v>3</v>
      </c>
      <c r="M1004" s="52">
        <f>VLOOKUP(Tabla3[[#This Row],[Site]],'Important Info!'!$A$1:$F$135,3,FALSE)</f>
        <v>1</v>
      </c>
      <c r="N1004" s="52" t="str">
        <f>VLOOKUP(Tabla3[[#This Row],[Site]],'Important Info!'!$A$1:$F$135,4,FALSE)</f>
        <v>-</v>
      </c>
      <c r="O1004" s="52" t="str">
        <f>VLOOKUP(Tabla3[[#This Row],[Site]],'Important Info!'!$A$1:$F$135,5,FALSE)</f>
        <v>-</v>
      </c>
      <c r="P1004" s="52" t="str">
        <f>VLOOKUP(Tabla3[[#This Row],[Site]],'Important Info!'!$A$1:$F$135,6,FALSE)</f>
        <v>1, 2, 8</v>
      </c>
      <c r="Q1004" s="91">
        <f>VLOOKUP(Tabla3[[#This Row],[Site]],'Important Info!'!$A$1:$J$135,9,FALSE)</f>
        <v>166</v>
      </c>
    </row>
    <row r="1005" spans="1:17" x14ac:dyDescent="0.25">
      <c r="A1005" t="str">
        <f>+Tabla3[[#This Row],[Site]]&amp;Tabla3[[#This Row],[Split]]</f>
        <v>(AS) Park Place JLR DFW Airport (NO TOURS)12</v>
      </c>
      <c r="B1005">
        <v>12</v>
      </c>
      <c r="C1005">
        <v>8</v>
      </c>
      <c r="D1005" t="s">
        <v>33</v>
      </c>
      <c r="E1005" t="s">
        <v>46</v>
      </c>
      <c r="F1005" t="s">
        <v>516</v>
      </c>
      <c r="G1005" t="s">
        <v>34</v>
      </c>
      <c r="H1005" s="52" t="str">
        <f>VLOOKUP(Tabla3[[#This Row],[Site]],'Important Info!'!$A$1:$J$135,10,FALSE)</f>
        <v>https://tools.sig.systems/site/details/135</v>
      </c>
      <c r="J1005" t="s">
        <v>41</v>
      </c>
      <c r="K1005" s="79" t="str">
        <f>VLOOKUP(Tabla3[[#This Row],[Site]],'Important Info!'!$A$1:$H$135,8,FALSE)</f>
        <v>-</v>
      </c>
      <c r="L1005" s="52" t="str">
        <f>VLOOKUP(Tabla3[[#This Row],[Site]],'Important Info!'!$A$1:$F$135,2,FALSE)</f>
        <v>6, 7, 18</v>
      </c>
      <c r="M1005" s="52" t="str">
        <f>VLOOKUP(Tabla3[[#This Row],[Site]],'Important Info!'!$A$1:$F$135,3,FALSE)</f>
        <v>70, 79, 80</v>
      </c>
      <c r="N1005" s="52" t="str">
        <f>VLOOKUP(Tabla3[[#This Row],[Site]],'Important Info!'!$A$1:$F$135,4,FALSE)</f>
        <v>83, 84</v>
      </c>
      <c r="O1005" s="52" t="str">
        <f>VLOOKUP(Tabla3[[#This Row],[Site]],'Important Info!'!$A$1:$F$135,5,FALSE)</f>
        <v>3, 8, 14, 81</v>
      </c>
      <c r="P1005" s="52">
        <f>VLOOKUP(Tabla3[[#This Row],[Site]],'Important Info!'!$A$1:$F$135,6,FALSE)</f>
        <v>6</v>
      </c>
      <c r="Q1005" s="91">
        <f>VLOOKUP(Tabla3[[#This Row],[Site]],'Important Info!'!$A$1:$J$135,9,FALSE)</f>
        <v>135</v>
      </c>
    </row>
    <row r="1006" spans="1:17" x14ac:dyDescent="0.25">
      <c r="A1006" t="str">
        <f>+Tabla3[[#This Row],[Site]]&amp;Tabla3[[#This Row],[Split]]</f>
        <v>(AS) Stevinson Porsche of Littleton (NO TOURS)12</v>
      </c>
      <c r="B1006">
        <v>12</v>
      </c>
      <c r="C1006">
        <v>8</v>
      </c>
      <c r="D1006" t="s">
        <v>44</v>
      </c>
      <c r="E1006" t="s">
        <v>53</v>
      </c>
      <c r="F1006" t="s">
        <v>78</v>
      </c>
      <c r="G1006" t="s">
        <v>45</v>
      </c>
      <c r="H1006" s="52" t="str">
        <f>VLOOKUP(Tabla3[[#This Row],[Site]],'Important Info!'!$A$1:$J$135,10,FALSE)</f>
        <v>https://tools.sig.systems/site/details/242</v>
      </c>
      <c r="J1006" t="s">
        <v>41</v>
      </c>
      <c r="K1006" s="79" t="str">
        <f>VLOOKUP(Tabla3[[#This Row],[Site]],'Important Info!'!$A$1:$H$135,8,FALSE)</f>
        <v>-</v>
      </c>
      <c r="L1006" s="52" t="str">
        <f>VLOOKUP(Tabla3[[#This Row],[Site]],'Important Info!'!$A$1:$F$135,2,FALSE)</f>
        <v>3, 4</v>
      </c>
      <c r="M1006" s="52">
        <f>VLOOKUP(Tabla3[[#This Row],[Site]],'Important Info!'!$A$1:$F$135,3,FALSE)</f>
        <v>2</v>
      </c>
      <c r="N1006" s="52" t="str">
        <f>VLOOKUP(Tabla3[[#This Row],[Site]],'Important Info!'!$A$1:$F$135,4,FALSE)</f>
        <v>-</v>
      </c>
      <c r="O1006" s="52" t="str">
        <f>VLOOKUP(Tabla3[[#This Row],[Site]],'Important Info!'!$A$1:$F$135,5,FALSE)</f>
        <v>-</v>
      </c>
      <c r="P1006" s="52" t="str">
        <f>VLOOKUP(Tabla3[[#This Row],[Site]],'Important Info!'!$A$1:$F$135,6,FALSE)</f>
        <v>3, 4</v>
      </c>
      <c r="Q1006" s="91">
        <f>VLOOKUP(Tabla3[[#This Row],[Site]],'Important Info!'!$A$1:$J$135,9,FALSE)</f>
        <v>242</v>
      </c>
    </row>
    <row r="1007" spans="1:17" x14ac:dyDescent="0.25">
      <c r="A1007" t="str">
        <f>+Tabla3[[#This Row],[Site]]&amp;Tabla3[[#This Row],[Split]]</f>
        <v>(JE) Jim Ellis Ford Sandy Springs12</v>
      </c>
      <c r="B1007">
        <v>12</v>
      </c>
      <c r="C1007">
        <v>8</v>
      </c>
      <c r="D1007" t="s">
        <v>62</v>
      </c>
      <c r="E1007" t="s">
        <v>35</v>
      </c>
      <c r="F1007" t="s">
        <v>187</v>
      </c>
      <c r="G1007" t="s">
        <v>490</v>
      </c>
      <c r="H1007" s="52" t="str">
        <f>VLOOKUP(Tabla3[[#This Row],[Site]],'Important Info!'!$A$1:$J$135,10,FALSE)</f>
        <v>https://tools.sig.systems/site/details/142</v>
      </c>
      <c r="I1007" s="43"/>
      <c r="J1007" t="s">
        <v>41</v>
      </c>
      <c r="K1007" s="79" t="str">
        <f>VLOOKUP(Tabla3[[#This Row],[Site]],'Important Info!'!$A$1:$H$135,8,FALSE)</f>
        <v>-</v>
      </c>
      <c r="L1007" s="52" t="str">
        <f>VLOOKUP(Tabla3[[#This Row],[Site]],'Important Info!'!$A$1:$F$135,2,FALSE)</f>
        <v>1, 5</v>
      </c>
      <c r="M1007" s="52" t="str">
        <f>VLOOKUP(Tabla3[[#This Row],[Site]],'Important Info!'!$A$1:$F$135,3,FALSE)</f>
        <v>-</v>
      </c>
      <c r="N1007" s="52" t="str">
        <f>VLOOKUP(Tabla3[[#This Row],[Site]],'Important Info!'!$A$1:$F$135,4,FALSE)</f>
        <v>-</v>
      </c>
      <c r="O1007" s="52" t="str">
        <f>VLOOKUP(Tabla3[[#This Row],[Site]],'Important Info!'!$A$1:$F$135,5,FALSE)</f>
        <v>1, 5, 9, 26</v>
      </c>
      <c r="P1007" s="52" t="str">
        <f>VLOOKUP(Tabla3[[#This Row],[Site]],'Important Info!'!$A$1:$F$135,6,FALSE)</f>
        <v>3, 4, 8, 28</v>
      </c>
      <c r="Q1007" s="91">
        <f>VLOOKUP(Tabla3[[#This Row],[Site]],'Important Info!'!$A$1:$J$135,9,FALSE)</f>
        <v>142</v>
      </c>
    </row>
    <row r="1008" spans="1:17" x14ac:dyDescent="0.25">
      <c r="A1008" t="str">
        <f>+Tabla3[[#This Row],[Site]]&amp;Tabla3[[#This Row],[Split]]</f>
        <v>(KG) Big Star Honda12</v>
      </c>
      <c r="B1008">
        <v>12</v>
      </c>
      <c r="C1008">
        <v>8</v>
      </c>
      <c r="D1008" t="s">
        <v>33</v>
      </c>
      <c r="E1008" t="s">
        <v>46</v>
      </c>
      <c r="F1008" t="s">
        <v>136</v>
      </c>
      <c r="G1008" t="s">
        <v>34</v>
      </c>
      <c r="H1008" s="52" t="str">
        <f>VLOOKUP(Tabla3[[#This Row],[Site]],'Important Info!'!$A$1:$J$135,10,FALSE)</f>
        <v>https://tools.sig.systems/site/details/231</v>
      </c>
      <c r="J1008" t="s">
        <v>41</v>
      </c>
      <c r="K1008" s="79" t="str">
        <f>VLOOKUP(Tabla3[[#This Row],[Site]],'Important Info!'!$A$1:$H$135,8,FALSE)</f>
        <v>-</v>
      </c>
      <c r="L1008" s="52" t="str">
        <f>VLOOKUP(Tabla3[[#This Row],[Site]],'Important Info!'!$A$1:$F$135,2,FALSE)</f>
        <v>2, 17, 33</v>
      </c>
      <c r="M1008" s="52" t="str">
        <f>VLOOKUP(Tabla3[[#This Row],[Site]],'Important Info!'!$A$1:$F$135,3,FALSE)</f>
        <v>-</v>
      </c>
      <c r="N1008" s="52" t="str">
        <f>VLOOKUP(Tabla3[[#This Row],[Site]],'Important Info!'!$A$1:$F$135,4,FALSE)</f>
        <v>-</v>
      </c>
      <c r="O1008" s="52" t="str">
        <f>VLOOKUP(Tabla3[[#This Row],[Site]],'Important Info!'!$A$1:$F$135,5,FALSE)</f>
        <v>3, 11, 16, 21, 24, 31, 34</v>
      </c>
      <c r="P1008" s="52" t="str">
        <f>VLOOKUP(Tabla3[[#This Row],[Site]],'Important Info!'!$A$1:$F$135,6,FALSE)</f>
        <v xml:space="preserve">2, 3, 17, 22, 37, 41, 42 </v>
      </c>
      <c r="Q1008" s="91">
        <f>VLOOKUP(Tabla3[[#This Row],[Site]],'Important Info!'!$A$1:$J$135,9,FALSE)</f>
        <v>231</v>
      </c>
    </row>
    <row r="1009" spans="1:17" x14ac:dyDescent="0.25">
      <c r="A1009" t="str">
        <f>+Tabla3[[#This Row],[Site]]&amp;Tabla3[[#This Row],[Split]]</f>
        <v>(ML) Collision Center N Little Rock12</v>
      </c>
      <c r="B1009">
        <v>12</v>
      </c>
      <c r="C1009">
        <v>8</v>
      </c>
      <c r="D1009" t="s">
        <v>33</v>
      </c>
      <c r="E1009" t="s">
        <v>46</v>
      </c>
      <c r="F1009" t="s">
        <v>141</v>
      </c>
      <c r="G1009" t="s">
        <v>34</v>
      </c>
      <c r="H1009" s="52" t="str">
        <f>VLOOKUP(Tabla3[[#This Row],[Site]],'Important Info!'!$A$1:$J$135,10,FALSE)</f>
        <v>https://tools.sig.systems/site/details/212</v>
      </c>
      <c r="I1009" s="43" t="s">
        <v>142</v>
      </c>
      <c r="J1009" t="s">
        <v>41</v>
      </c>
      <c r="K1009" s="79" t="str">
        <f>VLOOKUP(Tabla3[[#This Row],[Site]],'Important Info!'!$A$1:$H$135,8,FALSE)</f>
        <v>-</v>
      </c>
      <c r="L1009" s="52" t="str">
        <f>VLOOKUP(Tabla3[[#This Row],[Site]],'Important Info!'!$A$1:$F$135,2,FALSE)</f>
        <v>-</v>
      </c>
      <c r="M1009" s="52" t="str">
        <f>VLOOKUP(Tabla3[[#This Row],[Site]],'Important Info!'!$A$1:$F$135,3,FALSE)</f>
        <v>-</v>
      </c>
      <c r="N1009" s="52" t="str">
        <f>VLOOKUP(Tabla3[[#This Row],[Site]],'Important Info!'!$A$1:$F$135,4,FALSE)</f>
        <v>-</v>
      </c>
      <c r="O1009" s="52" t="str">
        <f>VLOOKUP(Tabla3[[#This Row],[Site]],'Important Info!'!$A$1:$F$135,5,FALSE)</f>
        <v>-</v>
      </c>
      <c r="P1009" s="52" t="str">
        <f>VLOOKUP(Tabla3[[#This Row],[Site]],'Important Info!'!$A$1:$F$135,6,FALSE)</f>
        <v>1, 3, 7, 8</v>
      </c>
      <c r="Q1009" s="91">
        <f>VLOOKUP(Tabla3[[#This Row],[Site]],'Important Info!'!$A$1:$J$135,9,FALSE)</f>
        <v>212</v>
      </c>
    </row>
    <row r="1010" spans="1:17" x14ac:dyDescent="0.25">
      <c r="A1010" t="str">
        <f>+Tabla3[[#This Row],[Site]]&amp;Tabla3[[#This Row],[Split]]</f>
        <v>(ML) Joe Machens Nissan12</v>
      </c>
      <c r="B1010">
        <v>12</v>
      </c>
      <c r="C1010">
        <v>8</v>
      </c>
      <c r="D1010" t="s">
        <v>33</v>
      </c>
      <c r="E1010" t="s">
        <v>46</v>
      </c>
      <c r="F1010" t="s">
        <v>104</v>
      </c>
      <c r="G1010" t="s">
        <v>34</v>
      </c>
      <c r="H1010" s="52" t="str">
        <f>VLOOKUP(Tabla3[[#This Row],[Site]],'Important Info!'!$A$1:$J$135,10,FALSE)</f>
        <v>https://tools.sig.systems/site/details/279</v>
      </c>
      <c r="I1010" s="43" t="s">
        <v>146</v>
      </c>
      <c r="J1010" t="s">
        <v>41</v>
      </c>
      <c r="K1010" s="79" t="str">
        <f>VLOOKUP(Tabla3[[#This Row],[Site]],'Important Info!'!$A$1:$H$135,8,FALSE)</f>
        <v>-</v>
      </c>
      <c r="L1010" s="52" t="str">
        <f>VLOOKUP(Tabla3[[#This Row],[Site]],'Important Info!'!$A$1:$F$135,2,FALSE)</f>
        <v>-</v>
      </c>
      <c r="M1010" s="52" t="str">
        <f>VLOOKUP(Tabla3[[#This Row],[Site]],'Important Info!'!$A$1:$F$135,3,FALSE)</f>
        <v>1, 3, 16</v>
      </c>
      <c r="N1010" s="52" t="str">
        <f>VLOOKUP(Tabla3[[#This Row],[Site]],'Important Info!'!$A$1:$F$135,4,FALSE)</f>
        <v>-</v>
      </c>
      <c r="O1010" s="52" t="str">
        <f>VLOOKUP(Tabla3[[#This Row],[Site]],'Important Info!'!$A$1:$F$135,5,FALSE)</f>
        <v>-</v>
      </c>
      <c r="P1010" s="52" t="str">
        <f>VLOOKUP(Tabla3[[#This Row],[Site]],'Important Info!'!$A$1:$F$135,6,FALSE)</f>
        <v>-</v>
      </c>
      <c r="Q1010" s="91">
        <f>VLOOKUP(Tabla3[[#This Row],[Site]],'Important Info!'!$A$1:$J$135,9,FALSE)</f>
        <v>279</v>
      </c>
    </row>
    <row r="1011" spans="1:17" x14ac:dyDescent="0.25">
      <c r="A1011" t="str">
        <f>+Tabla3[[#This Row],[Site]]&amp;Tabla3[[#This Row],[Split]]</f>
        <v>(PE) JLR Darien PDI (NO TOURS)12</v>
      </c>
      <c r="B1011">
        <v>12</v>
      </c>
      <c r="C1011">
        <v>8</v>
      </c>
      <c r="D1011" t="s">
        <v>485</v>
      </c>
      <c r="E1011" t="s">
        <v>35</v>
      </c>
      <c r="F1011" t="s">
        <v>98</v>
      </c>
      <c r="G1011" t="s">
        <v>490</v>
      </c>
      <c r="H1011" s="52" t="str">
        <f>VLOOKUP(Tabla3[[#This Row],[Site]],'Important Info!'!$A$1:$J$135,10,FALSE)</f>
        <v>https://tools.sig.systems/site/details/187</v>
      </c>
      <c r="I1011" t="s">
        <v>175</v>
      </c>
      <c r="J1011" t="s">
        <v>41</v>
      </c>
      <c r="K1011" s="79" t="str">
        <f>VLOOKUP(Tabla3[[#This Row],[Site]],'Important Info!'!$A$1:$H$135,8,FALSE)</f>
        <v>-</v>
      </c>
      <c r="L1011" s="52">
        <f>VLOOKUP(Tabla3[[#This Row],[Site]],'Important Info!'!$A$1:$F$135,2,FALSE)</f>
        <v>1</v>
      </c>
      <c r="M1011" s="52" t="str">
        <f>VLOOKUP(Tabla3[[#This Row],[Site]],'Important Info!'!$A$1:$F$135,3,FALSE)</f>
        <v>-</v>
      </c>
      <c r="N1011" s="52" t="str">
        <f>VLOOKUP(Tabla3[[#This Row],[Site]],'Important Info!'!$A$1:$F$135,4,FALSE)</f>
        <v>-</v>
      </c>
      <c r="O1011" s="52">
        <f>VLOOKUP(Tabla3[[#This Row],[Site]],'Important Info!'!$A$1:$F$135,5,FALSE)</f>
        <v>1</v>
      </c>
      <c r="P1011" s="52">
        <f>VLOOKUP(Tabla3[[#This Row],[Site]],'Important Info!'!$A$1:$F$135,6,FALSE)</f>
        <v>7</v>
      </c>
      <c r="Q1011" s="91">
        <f>VLOOKUP(Tabla3[[#This Row],[Site]],'Important Info!'!$A$1:$J$135,9,FALSE)</f>
        <v>187</v>
      </c>
    </row>
    <row r="1012" spans="1:17" x14ac:dyDescent="0.25">
      <c r="A1012" t="str">
        <f>+Tabla3[[#This Row],[Site]]&amp;Tabla3[[#This Row],[Split]]</f>
        <v>(AS) Audi of North Atlanta (NO TOURS)12</v>
      </c>
      <c r="B1012">
        <v>12</v>
      </c>
      <c r="C1012">
        <v>9</v>
      </c>
      <c r="D1012" t="s">
        <v>62</v>
      </c>
      <c r="E1012" t="s">
        <v>35</v>
      </c>
      <c r="F1012" t="s">
        <v>499</v>
      </c>
      <c r="G1012" t="s">
        <v>490</v>
      </c>
      <c r="H1012" s="52" t="str">
        <f>VLOOKUP(Tabla3[[#This Row],[Site]],'Important Info!'!$A$1:$J$135,10,FALSE)</f>
        <v>https://tools.sig.systems/site/details/124</v>
      </c>
      <c r="I1012" s="43" t="s">
        <v>166</v>
      </c>
      <c r="J1012" t="s">
        <v>41</v>
      </c>
      <c r="K1012" s="79" t="str">
        <f>VLOOKUP(Tabla3[[#This Row],[Site]],'Important Info!'!$A$1:$H$135,8,FALSE)</f>
        <v>-</v>
      </c>
      <c r="L1012" s="52" t="str">
        <f>VLOOKUP(Tabla3[[#This Row],[Site]],'Important Info!'!$A$1:$F$135,2,FALSE)</f>
        <v>1, 5, 16, 54</v>
      </c>
      <c r="M1012" s="52" t="str">
        <f>VLOOKUP(Tabla3[[#This Row],[Site]],'Important Info!'!$A$1:$F$135,3,FALSE)</f>
        <v>-</v>
      </c>
      <c r="N1012" s="52" t="str">
        <f>VLOOKUP(Tabla3[[#This Row],[Site]],'Important Info!'!$A$1:$F$135,4,FALSE)</f>
        <v>-</v>
      </c>
      <c r="O1012" s="52" t="str">
        <f>VLOOKUP(Tabla3[[#This Row],[Site]],'Important Info!'!$A$1:$F$135,5,FALSE)</f>
        <v>3, 16</v>
      </c>
      <c r="P1012" s="52" t="str">
        <f>VLOOKUP(Tabla3[[#This Row],[Site]],'Important Info!'!$A$1:$F$135,6,FALSE)</f>
        <v>2, 5, 6</v>
      </c>
      <c r="Q1012" s="91">
        <f>VLOOKUP(Tabla3[[#This Row],[Site]],'Important Info!'!$A$1:$J$135,9,FALSE)</f>
        <v>124</v>
      </c>
    </row>
    <row r="1013" spans="1:17" x14ac:dyDescent="0.25">
      <c r="A1013" t="str">
        <f>+Tabla3[[#This Row],[Site]]&amp;Tabla3[[#This Row],[Split]]</f>
        <v>(AS) Coggin Mercedes Benz Ft Pierce (NO TOURS)12</v>
      </c>
      <c r="B1013">
        <v>12</v>
      </c>
      <c r="C1013">
        <v>9</v>
      </c>
      <c r="D1013" t="s">
        <v>62</v>
      </c>
      <c r="E1013" t="s">
        <v>35</v>
      </c>
      <c r="F1013" t="s">
        <v>502</v>
      </c>
      <c r="G1013" t="s">
        <v>490</v>
      </c>
      <c r="H1013" s="52" t="str">
        <f>VLOOKUP(Tabla3[[#This Row],[Site]],'Important Info!'!$A$1:$J$135,10,FALSE)</f>
        <v>https://tools.sig.systems/site/details/127</v>
      </c>
      <c r="I1013" t="s">
        <v>179</v>
      </c>
      <c r="J1013" t="s">
        <v>41</v>
      </c>
      <c r="K1013" s="79" t="str">
        <f>VLOOKUP(Tabla3[[#This Row],[Site]],'Important Info!'!$A$1:$H$135,8,FALSE)</f>
        <v>-</v>
      </c>
      <c r="L1013" s="52">
        <f>VLOOKUP(Tabla3[[#This Row],[Site]],'Important Info!'!$A$1:$F$135,2,FALSE)</f>
        <v>18</v>
      </c>
      <c r="M1013" s="52" t="str">
        <f>VLOOKUP(Tabla3[[#This Row],[Site]],'Important Info!'!$A$1:$F$135,3,FALSE)</f>
        <v>1, 3</v>
      </c>
      <c r="N1013" s="52" t="str">
        <f>VLOOKUP(Tabla3[[#This Row],[Site]],'Important Info!'!$A$1:$F$135,4,FALSE)</f>
        <v>-</v>
      </c>
      <c r="O1013" s="52" t="str">
        <f>VLOOKUP(Tabla3[[#This Row],[Site]],'Important Info!'!$A$1:$F$135,5,FALSE)</f>
        <v>6, 10, 13</v>
      </c>
      <c r="P1013" s="52" t="str">
        <f>VLOOKUP(Tabla3[[#This Row],[Site]],'Important Info!'!$A$1:$F$135,6,FALSE)</f>
        <v>1, 4, 5</v>
      </c>
      <c r="Q1013" s="91">
        <f>VLOOKUP(Tabla3[[#This Row],[Site]],'Important Info!'!$A$1:$J$135,9,FALSE)</f>
        <v>127</v>
      </c>
    </row>
    <row r="1014" spans="1:17" x14ac:dyDescent="0.25">
      <c r="A1014" t="str">
        <f>+Tabla3[[#This Row],[Site]]&amp;Tabla3[[#This Row],[Split]]</f>
        <v>(AS) Park Place MB Recon Center Dallas (NO TOURS)12</v>
      </c>
      <c r="B1014">
        <v>12</v>
      </c>
      <c r="C1014">
        <v>9</v>
      </c>
      <c r="D1014" t="s">
        <v>33</v>
      </c>
      <c r="E1014" t="s">
        <v>46</v>
      </c>
      <c r="F1014" t="s">
        <v>517</v>
      </c>
      <c r="G1014" t="s">
        <v>34</v>
      </c>
      <c r="H1014" s="52" t="str">
        <f>VLOOKUP(Tabla3[[#This Row],[Site]],'Important Info!'!$A$1:$J$135,10,FALSE)</f>
        <v>https://tools.sig.systems/site/details/170</v>
      </c>
      <c r="I1014" s="65" t="s">
        <v>125</v>
      </c>
      <c r="J1014" t="s">
        <v>41</v>
      </c>
      <c r="K1014" s="79" t="str">
        <f>VLOOKUP(Tabla3[[#This Row],[Site]],'Important Info!'!$A$1:$H$135,8,FALSE)</f>
        <v>-</v>
      </c>
      <c r="L1014" s="52" t="str">
        <f>VLOOKUP(Tabla3[[#This Row],[Site]],'Important Info!'!$A$1:$F$135,2,FALSE)</f>
        <v>3, 39</v>
      </c>
      <c r="M1014" s="52" t="str">
        <f>VLOOKUP(Tabla3[[#This Row],[Site]],'Important Info!'!$A$1:$F$135,3,FALSE)</f>
        <v>-</v>
      </c>
      <c r="N1014" s="52" t="str">
        <f>VLOOKUP(Tabla3[[#This Row],[Site]],'Important Info!'!$A$1:$F$135,4,FALSE)</f>
        <v>-</v>
      </c>
      <c r="O1014" s="52" t="str">
        <f>VLOOKUP(Tabla3[[#This Row],[Site]],'Important Info!'!$A$1:$F$135,5,FALSE)</f>
        <v>4, 11</v>
      </c>
      <c r="P1014" s="52">
        <f>VLOOKUP(Tabla3[[#This Row],[Site]],'Important Info!'!$A$1:$F$135,6,FALSE)</f>
        <v>1</v>
      </c>
      <c r="Q1014" s="91">
        <f>VLOOKUP(Tabla3[[#This Row],[Site]],'Important Info!'!$A$1:$J$135,9,FALSE)</f>
        <v>170</v>
      </c>
    </row>
    <row r="1015" spans="1:17" x14ac:dyDescent="0.25">
      <c r="A1015" t="str">
        <f>+Tabla3[[#This Row],[Site]]&amp;Tabla3[[#This Row],[Split]]</f>
        <v>(AS) Plano Auction (NO SPEAKERS)12</v>
      </c>
      <c r="B1015">
        <v>12</v>
      </c>
      <c r="C1015">
        <v>9</v>
      </c>
      <c r="D1015" t="s">
        <v>33</v>
      </c>
      <c r="E1015" t="s">
        <v>46</v>
      </c>
      <c r="F1015" t="s">
        <v>129</v>
      </c>
      <c r="G1015" t="s">
        <v>34</v>
      </c>
      <c r="H1015" s="52" t="str">
        <f>VLOOKUP(Tabla3[[#This Row],[Site]],'Important Info!'!$A$1:$J$135,10,FALSE)</f>
        <v>https://tools.sig.systems/site/details/140</v>
      </c>
      <c r="J1015" t="s">
        <v>41</v>
      </c>
      <c r="K1015" s="79" t="str">
        <f>VLOOKUP(Tabla3[[#This Row],[Site]],'Important Info!'!$A$1:$H$135,8,FALSE)</f>
        <v>-</v>
      </c>
      <c r="L1015" s="52" t="str">
        <f>VLOOKUP(Tabla3[[#This Row],[Site]],'Important Info!'!$A$1:$F$135,2,FALSE)</f>
        <v>-</v>
      </c>
      <c r="M1015" s="52" t="str">
        <f>VLOOKUP(Tabla3[[#This Row],[Site]],'Important Info!'!$A$1:$F$135,3,FALSE)</f>
        <v>3, 4, 19</v>
      </c>
      <c r="N1015" s="52" t="str">
        <f>VLOOKUP(Tabla3[[#This Row],[Site]],'Important Info!'!$A$1:$F$135,4,FALSE)</f>
        <v>-</v>
      </c>
      <c r="O1015" s="52" t="str">
        <f>VLOOKUP(Tabla3[[#This Row],[Site]],'Important Info!'!$A$1:$F$135,5,FALSE)</f>
        <v>5, 19</v>
      </c>
      <c r="P1015" s="52">
        <f>VLOOKUP(Tabla3[[#This Row],[Site]],'Important Info!'!$A$1:$F$135,6,FALSE)</f>
        <v>21</v>
      </c>
      <c r="Q1015" s="91">
        <f>VLOOKUP(Tabla3[[#This Row],[Site]],'Important Info!'!$A$1:$J$135,9,FALSE)</f>
        <v>140</v>
      </c>
    </row>
    <row r="1016" spans="1:17" x14ac:dyDescent="0.25">
      <c r="A1016" t="str">
        <f>+Tabla3[[#This Row],[Site]]&amp;Tabla3[[#This Row],[Split]]</f>
        <v>(AS) Stevinson Lexus of Lakewood (NO TOURS)12</v>
      </c>
      <c r="B1016">
        <v>12</v>
      </c>
      <c r="C1016">
        <v>9</v>
      </c>
      <c r="D1016" t="s">
        <v>44</v>
      </c>
      <c r="E1016" t="s">
        <v>53</v>
      </c>
      <c r="F1016" t="s">
        <v>523</v>
      </c>
      <c r="G1016" t="s">
        <v>45</v>
      </c>
      <c r="H1016" s="52" t="str">
        <f>VLOOKUP(Tabla3[[#This Row],[Site]],'Important Info!'!$A$1:$J$135,10,FALSE)</f>
        <v>https://tools.sig.systems/site/details/260</v>
      </c>
      <c r="I1016" s="43" t="s">
        <v>154</v>
      </c>
      <c r="J1016" t="s">
        <v>41</v>
      </c>
      <c r="K1016" s="79" t="str">
        <f>VLOOKUP(Tabla3[[#This Row],[Site]],'Important Info!'!$A$1:$H$135,8,FALSE)</f>
        <v>-</v>
      </c>
      <c r="L1016" s="52" t="str">
        <f>VLOOKUP(Tabla3[[#This Row],[Site]],'Important Info!'!$A$1:$F$135,2,FALSE)</f>
        <v>-</v>
      </c>
      <c r="M1016" s="52" t="str">
        <f>VLOOKUP(Tabla3[[#This Row],[Site]],'Important Info!'!$A$1:$F$135,3,FALSE)</f>
        <v>2, 10</v>
      </c>
      <c r="N1016" s="52" t="str">
        <f>VLOOKUP(Tabla3[[#This Row],[Site]],'Important Info!'!$A$1:$F$135,4,FALSE)</f>
        <v>9, 17</v>
      </c>
      <c r="O1016" s="52" t="str">
        <f>VLOOKUP(Tabla3[[#This Row],[Site]],'Important Info!'!$A$1:$F$135,5,FALSE)</f>
        <v>-</v>
      </c>
      <c r="P1016" s="52" t="str">
        <f>VLOOKUP(Tabla3[[#This Row],[Site]],'Important Info!'!$A$1:$F$135,6,FALSE)</f>
        <v>1, 2</v>
      </c>
      <c r="Q1016" s="91">
        <f>VLOOKUP(Tabla3[[#This Row],[Site]],'Important Info!'!$A$1:$J$135,9,FALSE)</f>
        <v>260</v>
      </c>
    </row>
    <row r="1017" spans="1:17" x14ac:dyDescent="0.25">
      <c r="A1017" t="str">
        <f>+Tabla3[[#This Row],[Site]]&amp;Tabla3[[#This Row],[Split]]</f>
        <v>(ML) Ford Lincoln of North Little Rock12</v>
      </c>
      <c r="B1017">
        <v>12</v>
      </c>
      <c r="C1017">
        <v>9</v>
      </c>
      <c r="D1017" t="s">
        <v>33</v>
      </c>
      <c r="E1017" t="s">
        <v>46</v>
      </c>
      <c r="F1017" t="s">
        <v>145</v>
      </c>
      <c r="G1017" t="s">
        <v>34</v>
      </c>
      <c r="H1017" s="52" t="str">
        <f>VLOOKUP(Tabla3[[#This Row],[Site]],'Important Info!'!$A$1:$J$135,10,FALSE)</f>
        <v>https://tools.sig.systems/site/details/214</v>
      </c>
      <c r="I1017" s="43" t="s">
        <v>142</v>
      </c>
      <c r="J1017" t="s">
        <v>41</v>
      </c>
      <c r="K1017" s="79" t="str">
        <f>VLOOKUP(Tabla3[[#This Row],[Site]],'Important Info!'!$A$1:$H$135,8,FALSE)</f>
        <v>-</v>
      </c>
      <c r="L1017" s="52" t="str">
        <f>VLOOKUP(Tabla3[[#This Row],[Site]],'Important Info!'!$A$1:$F$135,2,FALSE)</f>
        <v>4, 15, 18, 67, 74</v>
      </c>
      <c r="M1017" s="52">
        <f>VLOOKUP(Tabla3[[#This Row],[Site]],'Important Info!'!$A$1:$F$135,3,FALSE)</f>
        <v>13</v>
      </c>
      <c r="N1017" s="52" t="str">
        <f>VLOOKUP(Tabla3[[#This Row],[Site]],'Important Info!'!$A$1:$F$135,4,FALSE)</f>
        <v>-</v>
      </c>
      <c r="O1017" s="52" t="str">
        <f>VLOOKUP(Tabla3[[#This Row],[Site]],'Important Info!'!$A$1:$F$135,5,FALSE)</f>
        <v>4, 11, 16, 28</v>
      </c>
      <c r="P1017" s="52" t="str">
        <f>VLOOKUP(Tabla3[[#This Row],[Site]],'Important Info!'!$A$1:$F$135,6,FALSE)</f>
        <v>10, 11, 12</v>
      </c>
      <c r="Q1017" s="91">
        <f>VLOOKUP(Tabla3[[#This Row],[Site]],'Important Info!'!$A$1:$J$135,9,FALSE)</f>
        <v>214</v>
      </c>
    </row>
    <row r="1018" spans="1:17" x14ac:dyDescent="0.25">
      <c r="A1018" t="str">
        <f>+Tabla3[[#This Row],[Site]]&amp;Tabla3[[#This Row],[Split]]</f>
        <v>(ML) Joe Machens Kia of Columbia12</v>
      </c>
      <c r="B1018">
        <v>12</v>
      </c>
      <c r="C1018">
        <v>9</v>
      </c>
      <c r="D1018" t="s">
        <v>33</v>
      </c>
      <c r="E1018" t="s">
        <v>46</v>
      </c>
      <c r="F1018" t="s">
        <v>149</v>
      </c>
      <c r="G1018" t="s">
        <v>34</v>
      </c>
      <c r="H1018" s="52" t="str">
        <f>VLOOKUP(Tabla3[[#This Row],[Site]],'Important Info!'!$A$1:$J$135,10,FALSE)</f>
        <v>https://tools.sig.systems/site/details/270</v>
      </c>
      <c r="I1018" s="2" t="s">
        <v>146</v>
      </c>
      <c r="J1018" t="s">
        <v>41</v>
      </c>
      <c r="K1018" s="79" t="str">
        <f>VLOOKUP(Tabla3[[#This Row],[Site]],'Important Info!'!$A$1:$H$135,8,FALSE)</f>
        <v>-</v>
      </c>
      <c r="L1018" s="52" t="str">
        <f>VLOOKUP(Tabla3[[#This Row],[Site]],'Important Info!'!$A$1:$F$135,2,FALSE)</f>
        <v>-</v>
      </c>
      <c r="M1018" s="52" t="str">
        <f>VLOOKUP(Tabla3[[#This Row],[Site]],'Important Info!'!$A$1:$F$135,3,FALSE)</f>
        <v>1, 2, 5, 6, 9, 13, 15</v>
      </c>
      <c r="N1018" s="52" t="str">
        <f>VLOOKUP(Tabla3[[#This Row],[Site]],'Important Info!'!$A$1:$F$135,4,FALSE)</f>
        <v>-</v>
      </c>
      <c r="O1018" s="52" t="str">
        <f>VLOOKUP(Tabla3[[#This Row],[Site]],'Important Info!'!$A$1:$F$135,5,FALSE)</f>
        <v>-</v>
      </c>
      <c r="P1018" s="52" t="str">
        <f>VLOOKUP(Tabla3[[#This Row],[Site]],'Important Info!'!$A$1:$F$135,6,FALSE)</f>
        <v>10, 11, 13</v>
      </c>
      <c r="Q1018" s="91">
        <f>VLOOKUP(Tabla3[[#This Row],[Site]],'Important Info!'!$A$1:$J$135,9,FALSE)</f>
        <v>270</v>
      </c>
    </row>
    <row r="1019" spans="1:17" x14ac:dyDescent="0.25">
      <c r="A1019" t="str">
        <f>+Tabla3[[#This Row],[Site]]&amp;Tabla3[[#This Row],[Split]]</f>
        <v>(SCH) Delray I &amp; II12</v>
      </c>
      <c r="B1019">
        <v>12</v>
      </c>
      <c r="C1019">
        <v>9</v>
      </c>
      <c r="D1019" t="s">
        <v>62</v>
      </c>
      <c r="E1019" t="s">
        <v>35</v>
      </c>
      <c r="F1019" t="s">
        <v>67</v>
      </c>
      <c r="G1019" t="s">
        <v>490</v>
      </c>
      <c r="H1019" s="52" t="str">
        <f>VLOOKUP(Tabla3[[#This Row],[Site]],'Important Info!'!$A$1:$J$135,10,FALSE)</f>
        <v>https://tools.sig.systems/site/details/159</v>
      </c>
      <c r="I1019" s="43"/>
      <c r="J1019" t="s">
        <v>36</v>
      </c>
      <c r="K1019" s="79" t="str">
        <f>VLOOKUP(Tabla3[[#This Row],[Site]],'Important Info!'!$A$1:$H$135,8,FALSE)</f>
        <v>-</v>
      </c>
      <c r="L1019" s="52" t="str">
        <f>VLOOKUP(Tabla3[[#This Row],[Site]],'Important Info!'!$A$1:$F$135,2,FALSE)</f>
        <v>5, 28, 31</v>
      </c>
      <c r="M1019" s="52" t="str">
        <f>VLOOKUP(Tabla3[[#This Row],[Site]],'Important Info!'!$A$1:$F$135,3,FALSE)</f>
        <v>1, 29</v>
      </c>
      <c r="N1019" s="52">
        <f>VLOOKUP(Tabla3[[#This Row],[Site]],'Important Info!'!$A$1:$F$135,4,FALSE)</f>
        <v>6</v>
      </c>
      <c r="O1019" s="52" t="str">
        <f>VLOOKUP(Tabla3[[#This Row],[Site]],'Important Info!'!$A$1:$F$135,5,FALSE)</f>
        <v>-</v>
      </c>
      <c r="P1019" s="52" t="str">
        <f>VLOOKUP(Tabla3[[#This Row],[Site]],'Important Info!'!$A$1:$F$135,6,FALSE)</f>
        <v>1, 35, 36</v>
      </c>
      <c r="Q1019" s="91">
        <f>VLOOKUP(Tabla3[[#This Row],[Site]],'Important Info!'!$A$1:$J$135,9,FALSE)</f>
        <v>159</v>
      </c>
    </row>
    <row r="1020" spans="1:17" x14ac:dyDescent="0.25">
      <c r="A1020" t="str">
        <f>+Tabla3[[#This Row],[Site]]&amp;Tabla3[[#This Row],[Split]]</f>
        <v>(WAG) Greeley Chrysler Dodge Jeep Ram (NO TOURS)12</v>
      </c>
      <c r="B1020">
        <v>12</v>
      </c>
      <c r="C1020">
        <v>9</v>
      </c>
      <c r="D1020" t="s">
        <v>44</v>
      </c>
      <c r="E1020" t="s">
        <v>53</v>
      </c>
      <c r="F1020" t="s">
        <v>497</v>
      </c>
      <c r="G1020" t="s">
        <v>45</v>
      </c>
      <c r="H1020" s="52" t="str">
        <f>VLOOKUP(Tabla3[[#This Row],[Site]],'Important Info!'!$A$1:$J$135,10,FALSE)</f>
        <v>https://tools.sig.systems/site/details/130</v>
      </c>
      <c r="I1020" t="s">
        <v>153</v>
      </c>
      <c r="J1020" t="s">
        <v>41</v>
      </c>
      <c r="K1020" s="79" t="str">
        <f>VLOOKUP(Tabla3[[#This Row],[Site]],'Important Info!'!$A$1:$H$135,8,FALSE)</f>
        <v>-</v>
      </c>
      <c r="L1020" s="52" t="str">
        <f>VLOOKUP(Tabla3[[#This Row],[Site]],'Important Info!'!$A$1:$F$135,2,FALSE)</f>
        <v>17, 23 &amp; 18</v>
      </c>
      <c r="M1020" s="52" t="str">
        <f>VLOOKUP(Tabla3[[#This Row],[Site]],'Important Info!'!$A$1:$F$135,3,FALSE)</f>
        <v>4, 5, 6, 7, 8, 51, 55</v>
      </c>
      <c r="N1020" s="52" t="str">
        <f>VLOOKUP(Tabla3[[#This Row],[Site]],'Important Info!'!$A$1:$F$135,4,FALSE)</f>
        <v>-</v>
      </c>
      <c r="O1020" s="52" t="str">
        <f>VLOOKUP(Tabla3[[#This Row],[Site]],'Important Info!'!$A$1:$F$135,5,FALSE)</f>
        <v>3, 13, 17, 49, 53, 59</v>
      </c>
      <c r="P1020" s="52" t="str">
        <f>VLOOKUP(Tabla3[[#This Row],[Site]],'Important Info!'!$A$1:$F$135,6,FALSE)</f>
        <v>8, 9, 10, 51, 62</v>
      </c>
      <c r="Q1020" s="91">
        <f>VLOOKUP(Tabla3[[#This Row],[Site]],'Important Info!'!$A$1:$J$135,9,FALSE)</f>
        <v>130</v>
      </c>
    </row>
    <row r="1021" spans="1:17" x14ac:dyDescent="0.25">
      <c r="A1021" t="str">
        <f>+Tabla3[[#This Row],[Site]]&amp;Tabla3[[#This Row],[Split]]</f>
        <v>(AS) Courtesy Kia of Brandon (NO TOURS)12</v>
      </c>
      <c r="B1021">
        <v>12</v>
      </c>
      <c r="C1021">
        <v>10</v>
      </c>
      <c r="D1021" t="s">
        <v>62</v>
      </c>
      <c r="E1021" t="s">
        <v>35</v>
      </c>
      <c r="F1021" t="s">
        <v>505</v>
      </c>
      <c r="G1021" t="s">
        <v>490</v>
      </c>
      <c r="H1021" s="52" t="str">
        <f>VLOOKUP(Tabla3[[#This Row],[Site]],'Important Info!'!$A$1:$J$135,10,FALSE)</f>
        <v>https://tools.sig.systems/site/details/121</v>
      </c>
      <c r="I1021" s="43" t="s">
        <v>181</v>
      </c>
      <c r="J1021" t="s">
        <v>484</v>
      </c>
      <c r="K1021" s="79" t="str">
        <f>VLOOKUP(Tabla3[[#This Row],[Site]],'Important Info!'!$A$1:$H$135,8,FALSE)</f>
        <v>-</v>
      </c>
      <c r="L1021" s="52" t="str">
        <f>VLOOKUP(Tabla3[[#This Row],[Site]],'Important Info!'!$A$1:$F$135,2,FALSE)</f>
        <v>-</v>
      </c>
      <c r="M1021" s="52" t="str">
        <f>VLOOKUP(Tabla3[[#This Row],[Site]],'Important Info!'!$A$1:$F$135,3,FALSE)</f>
        <v>4, 8</v>
      </c>
      <c r="N1021" s="52" t="str">
        <f>VLOOKUP(Tabla3[[#This Row],[Site]],'Important Info!'!$A$1:$F$135,4,FALSE)</f>
        <v>-</v>
      </c>
      <c r="O1021" s="52" t="str">
        <f>VLOOKUP(Tabla3[[#This Row],[Site]],'Important Info!'!$A$1:$F$135,5,FALSE)</f>
        <v>3, 11, 20, 24</v>
      </c>
      <c r="P1021" s="52" t="str">
        <f>VLOOKUP(Tabla3[[#This Row],[Site]],'Important Info!'!$A$1:$F$135,6,FALSE)</f>
        <v>2, 8</v>
      </c>
      <c r="Q1021" s="91">
        <f>VLOOKUP(Tabla3[[#This Row],[Site]],'Important Info!'!$A$1:$J$135,9,FALSE)</f>
        <v>121</v>
      </c>
    </row>
    <row r="1022" spans="1:17" x14ac:dyDescent="0.25">
      <c r="A1022" t="str">
        <f>+Tabla3[[#This Row],[Site]]&amp;Tabla3[[#This Row],[Split]]</f>
        <v>(AS) Nalley Luxury Collision Center (NO TOURS)12</v>
      </c>
      <c r="B1022">
        <v>12</v>
      </c>
      <c r="C1022">
        <v>10</v>
      </c>
      <c r="D1022" t="s">
        <v>62</v>
      </c>
      <c r="E1022" t="s">
        <v>35</v>
      </c>
      <c r="F1022" t="s">
        <v>512</v>
      </c>
      <c r="G1022" t="s">
        <v>490</v>
      </c>
      <c r="H1022" s="52" t="str">
        <f>VLOOKUP(Tabla3[[#This Row],[Site]],'Important Info!'!$A$1:$J$135,10,FALSE)</f>
        <v>https://tools.sig.systems/site/details/263</v>
      </c>
      <c r="I1022" s="43" t="s">
        <v>166</v>
      </c>
      <c r="J1022" t="s">
        <v>41</v>
      </c>
      <c r="K1022" s="79" t="str">
        <f>VLOOKUP(Tabla3[[#This Row],[Site]],'Important Info!'!$A$1:$H$135,8,FALSE)</f>
        <v>-</v>
      </c>
      <c r="L1022" s="52" t="str">
        <f>VLOOKUP(Tabla3[[#This Row],[Site]],'Important Info!'!$A$1:$F$135,2,FALSE)</f>
        <v>6, 13</v>
      </c>
      <c r="M1022" s="52" t="str">
        <f>VLOOKUP(Tabla3[[#This Row],[Site]],'Important Info!'!$A$1:$F$135,3,FALSE)</f>
        <v>-</v>
      </c>
      <c r="N1022" s="52" t="str">
        <f>VLOOKUP(Tabla3[[#This Row],[Site]],'Important Info!'!$A$1:$F$135,4,FALSE)</f>
        <v>-</v>
      </c>
      <c r="O1022" s="52" t="str">
        <f>VLOOKUP(Tabla3[[#This Row],[Site]],'Important Info!'!$A$1:$F$135,5,FALSE)</f>
        <v>-</v>
      </c>
      <c r="P1022" s="52" t="str">
        <f>VLOOKUP(Tabla3[[#This Row],[Site]],'Important Info!'!$A$1:$F$135,6,FALSE)</f>
        <v>6, 7, 12</v>
      </c>
      <c r="Q1022" s="91">
        <f>VLOOKUP(Tabla3[[#This Row],[Site]],'Important Info!'!$A$1:$J$135,9,FALSE)</f>
        <v>263</v>
      </c>
    </row>
    <row r="1023" spans="1:17" x14ac:dyDescent="0.25">
      <c r="A1023" t="str">
        <f>+Tabla3[[#This Row],[Site]]&amp;Tabla3[[#This Row],[Split]]</f>
        <v>(AS) Plaza Lexus/Mercedes/BMW (NO TOURS)12</v>
      </c>
      <c r="B1023">
        <v>12</v>
      </c>
      <c r="C1023">
        <v>10</v>
      </c>
      <c r="D1023" t="s">
        <v>33</v>
      </c>
      <c r="E1023" t="s">
        <v>46</v>
      </c>
      <c r="F1023" t="s">
        <v>92</v>
      </c>
      <c r="G1023" t="s">
        <v>34</v>
      </c>
      <c r="H1023" s="52" t="str">
        <f>VLOOKUP(Tabla3[[#This Row],[Site]],'Important Info!'!$A$1:$J$135,10,FALSE)</f>
        <v>https://tools.sig.systems/site/details/141</v>
      </c>
      <c r="I1023" t="s">
        <v>130</v>
      </c>
      <c r="J1023" t="s">
        <v>41</v>
      </c>
      <c r="K1023" s="79" t="str">
        <f>VLOOKUP(Tabla3[[#This Row],[Site]],'Important Info!'!$A$1:$H$135,8,FALSE)</f>
        <v>-</v>
      </c>
      <c r="L1023" s="52" t="str">
        <f>VLOOKUP(Tabla3[[#This Row],[Site]],'Important Info!'!$A$1:$F$135,2,FALSE)</f>
        <v>3, 4, 18</v>
      </c>
      <c r="M1023" s="52" t="str">
        <f>VLOOKUP(Tabla3[[#This Row],[Site]],'Important Info!'!$A$1:$F$135,3,FALSE)</f>
        <v>9, 10, 12, 13, 16, 17</v>
      </c>
      <c r="N1023" s="52" t="str">
        <f>VLOOKUP(Tabla3[[#This Row],[Site]],'Important Info!'!$A$1:$F$135,4,FALSE)</f>
        <v>-</v>
      </c>
      <c r="O1023" s="52">
        <f>VLOOKUP(Tabla3[[#This Row],[Site]],'Important Info!'!$A$1:$F$135,5,FALSE)</f>
        <v>2</v>
      </c>
      <c r="P1023" s="52" t="str">
        <f>VLOOKUP(Tabla3[[#This Row],[Site]],'Important Info!'!$A$1:$F$135,6,FALSE)</f>
        <v>2, 16</v>
      </c>
      <c r="Q1023" s="91">
        <f>VLOOKUP(Tabla3[[#This Row],[Site]],'Important Info!'!$A$1:$J$135,9,FALSE)</f>
        <v>141</v>
      </c>
    </row>
    <row r="1024" spans="1:17" x14ac:dyDescent="0.25">
      <c r="A1024" t="str">
        <f>+Tabla3[[#This Row],[Site]]&amp;Tabla3[[#This Row],[Split]]</f>
        <v>(ML) Nissan Of Benton12</v>
      </c>
      <c r="B1024">
        <v>12</v>
      </c>
      <c r="C1024">
        <v>10</v>
      </c>
      <c r="D1024" t="s">
        <v>33</v>
      </c>
      <c r="E1024" t="s">
        <v>46</v>
      </c>
      <c r="F1024" t="s">
        <v>120</v>
      </c>
      <c r="G1024" t="s">
        <v>34</v>
      </c>
      <c r="H1024" s="52" t="str">
        <f>VLOOKUP(Tabla3[[#This Row],[Site]],'Important Info!'!$A$1:$J$135,10,FALSE)</f>
        <v>https://tools.sig.systems/site/details/247</v>
      </c>
      <c r="I1024" s="66"/>
      <c r="J1024" t="s">
        <v>41</v>
      </c>
      <c r="K1024" s="79" t="str">
        <f>VLOOKUP(Tabla3[[#This Row],[Site]],'Important Info!'!$A$1:$H$135,8,FALSE)</f>
        <v>-</v>
      </c>
      <c r="L1024" s="52" t="str">
        <f>VLOOKUP(Tabla3[[#This Row],[Site]],'Important Info!'!$A$1:$F$135,2,FALSE)</f>
        <v>5, 12</v>
      </c>
      <c r="M1024" s="52" t="str">
        <f>VLOOKUP(Tabla3[[#This Row],[Site]],'Important Info!'!$A$1:$F$135,3,FALSE)</f>
        <v>-</v>
      </c>
      <c r="N1024" s="52" t="str">
        <f>VLOOKUP(Tabla3[[#This Row],[Site]],'Important Info!'!$A$1:$F$135,4,FALSE)</f>
        <v>-</v>
      </c>
      <c r="O1024" s="52" t="str">
        <f>VLOOKUP(Tabla3[[#This Row],[Site]],'Important Info!'!$A$1:$F$135,5,FALSE)</f>
        <v>4, 18</v>
      </c>
      <c r="P1024" s="52" t="str">
        <f>VLOOKUP(Tabla3[[#This Row],[Site]],'Important Info!'!$A$1:$F$135,6,FALSE)</f>
        <v>-</v>
      </c>
      <c r="Q1024" s="91">
        <f>VLOOKUP(Tabla3[[#This Row],[Site]],'Important Info!'!$A$1:$J$135,9,FALSE)</f>
        <v>247</v>
      </c>
    </row>
    <row r="1025" spans="1:17" x14ac:dyDescent="0.25">
      <c r="A1025" t="str">
        <f>+Tabla3[[#This Row],[Site]]&amp;Tabla3[[#This Row],[Split]]</f>
        <v>(PE) Honda of Danbury (NO TOURS)12</v>
      </c>
      <c r="B1025">
        <v>12</v>
      </c>
      <c r="C1025">
        <v>10</v>
      </c>
      <c r="D1025" t="s">
        <v>485</v>
      </c>
      <c r="E1025" t="s">
        <v>35</v>
      </c>
      <c r="F1025" t="s">
        <v>174</v>
      </c>
      <c r="G1025" t="s">
        <v>490</v>
      </c>
      <c r="H1025" s="52" t="str">
        <f>VLOOKUP(Tabla3[[#This Row],[Site]],'Important Info!'!$A$1:$J$135,10,FALSE)</f>
        <v>https://tools.sig.systems/site/details/190</v>
      </c>
      <c r="I1025" s="2"/>
      <c r="J1025" t="s">
        <v>41</v>
      </c>
      <c r="K1025" s="79" t="str">
        <f>VLOOKUP(Tabla3[[#This Row],[Site]],'Important Info!'!$A$1:$H$135,8,FALSE)</f>
        <v>-</v>
      </c>
      <c r="L1025" s="52" t="str">
        <f>VLOOKUP(Tabla3[[#This Row],[Site]],'Important Info!'!$A$1:$F$135,2,FALSE)</f>
        <v>-</v>
      </c>
      <c r="M1025" s="52" t="str">
        <f>VLOOKUP(Tabla3[[#This Row],[Site]],'Important Info!'!$A$1:$F$135,3,FALSE)</f>
        <v>20, 9</v>
      </c>
      <c r="N1025" s="52">
        <f>VLOOKUP(Tabla3[[#This Row],[Site]],'Important Info!'!$A$1:$F$135,4,FALSE)</f>
        <v>9</v>
      </c>
      <c r="O1025" s="52" t="str">
        <f>VLOOKUP(Tabla3[[#This Row],[Site]],'Important Info!'!$A$1:$F$135,5,FALSE)</f>
        <v>-</v>
      </c>
      <c r="P1025" s="52" t="str">
        <f>VLOOKUP(Tabla3[[#This Row],[Site]],'Important Info!'!$A$1:$F$135,6,FALSE)</f>
        <v>9, 16, 17</v>
      </c>
      <c r="Q1025" s="91">
        <f>VLOOKUP(Tabla3[[#This Row],[Site]],'Important Info!'!$A$1:$J$135,9,FALSE)</f>
        <v>190</v>
      </c>
    </row>
    <row r="1026" spans="1:17" x14ac:dyDescent="0.25">
      <c r="A1026" t="str">
        <f>+Tabla3[[#This Row],[Site]]&amp;Tabla3[[#This Row],[Split]]</f>
        <v>(SCH) West Palm Beach I, II &amp; III12</v>
      </c>
      <c r="B1026">
        <v>12</v>
      </c>
      <c r="C1026">
        <v>10</v>
      </c>
      <c r="D1026" t="s">
        <v>492</v>
      </c>
      <c r="E1026" t="s">
        <v>35</v>
      </c>
      <c r="F1026" t="s">
        <v>96</v>
      </c>
      <c r="G1026" t="s">
        <v>490</v>
      </c>
      <c r="H1026" s="52" t="str">
        <f>VLOOKUP(Tabla3[[#This Row],[Site]],'Important Info!'!$A$1:$J$135,10,FALSE)</f>
        <v>https://tools.sig.systems/site/details/162</v>
      </c>
      <c r="I1026" s="2"/>
      <c r="J1026" t="s">
        <v>36</v>
      </c>
      <c r="K1026" s="79" t="str">
        <f>VLOOKUP(Tabla3[[#This Row],[Site]],'Important Info!'!$A$1:$H$135,8,FALSE)</f>
        <v>SUNDAY: Log in at 5:30 p.m. ET.</v>
      </c>
      <c r="L1026" s="52" t="str">
        <f>VLOOKUP(Tabla3[[#This Row],[Site]],'Important Info!'!$A$1:$F$135,2,FALSE)</f>
        <v>34, 62</v>
      </c>
      <c r="M1026" s="52" t="str">
        <f>VLOOKUP(Tabla3[[#This Row],[Site]],'Important Info!'!$A$1:$F$135,3,FALSE)</f>
        <v xml:space="preserve">6, 7, 11, 13, </v>
      </c>
      <c r="N1026" s="52" t="str">
        <f>VLOOKUP(Tabla3[[#This Row],[Site]],'Important Info!'!$A$1:$F$135,4,FALSE)</f>
        <v>20, 21</v>
      </c>
      <c r="O1026" s="52" t="str">
        <f>VLOOKUP(Tabla3[[#This Row],[Site]],'Important Info!'!$A$1:$F$135,5,FALSE)</f>
        <v>-</v>
      </c>
      <c r="P1026" s="52" t="str">
        <f>VLOOKUP(Tabla3[[#This Row],[Site]],'Important Info!'!$A$1:$F$135,6,FALSE)</f>
        <v>1, 2, 3, 131, 132</v>
      </c>
      <c r="Q1026" s="91">
        <f>VLOOKUP(Tabla3[[#This Row],[Site]],'Important Info!'!$A$1:$J$135,9,FALSE)</f>
        <v>162</v>
      </c>
    </row>
    <row r="1027" spans="1:17" x14ac:dyDescent="0.25">
      <c r="A1027" t="str">
        <f>+Tabla3[[#This Row],[Site]]&amp;Tabla3[[#This Row],[Split]]</f>
        <v>(AS) Lexus Smyrna (NO TOURS)12</v>
      </c>
      <c r="B1027">
        <v>12</v>
      </c>
      <c r="C1027">
        <v>11</v>
      </c>
      <c r="D1027" t="s">
        <v>62</v>
      </c>
      <c r="E1027" t="s">
        <v>35</v>
      </c>
      <c r="F1027" t="s">
        <v>84</v>
      </c>
      <c r="G1027" t="s">
        <v>490</v>
      </c>
      <c r="H1027" s="52" t="str">
        <f>VLOOKUP(Tabla3[[#This Row],[Site]],'Important Info!'!$A$1:$J$135,10,FALSE)</f>
        <v>https://tools.sig.systems/site/details/133</v>
      </c>
      <c r="I1027" s="2"/>
      <c r="J1027" t="s">
        <v>41</v>
      </c>
      <c r="K1027" s="79" t="str">
        <f>VLOOKUP(Tabla3[[#This Row],[Site]],'Important Info!'!$A$1:$H$135,8,FALSE)</f>
        <v>-</v>
      </c>
      <c r="L1027" s="52" t="str">
        <f>VLOOKUP(Tabla3[[#This Row],[Site]],'Important Info!'!$A$1:$F$135,2,FALSE)</f>
        <v xml:space="preserve">2, 6, 10 </v>
      </c>
      <c r="M1027" s="52" t="str">
        <f>VLOOKUP(Tabla3[[#This Row],[Site]],'Important Info!'!$A$1:$F$135,3,FALSE)</f>
        <v>-</v>
      </c>
      <c r="N1027" s="52" t="str">
        <f>VLOOKUP(Tabla3[[#This Row],[Site]],'Important Info!'!$A$1:$F$135,4,FALSE)</f>
        <v>-</v>
      </c>
      <c r="O1027" s="52" t="str">
        <f>VLOOKUP(Tabla3[[#This Row],[Site]],'Important Info!'!$A$1:$F$135,5,FALSE)</f>
        <v>3, 5, 10, 15</v>
      </c>
      <c r="P1027" s="52" t="str">
        <f>VLOOKUP(Tabla3[[#This Row],[Site]],'Important Info!'!$A$1:$F$135,6,FALSE)</f>
        <v>10, 11</v>
      </c>
      <c r="Q1027" s="91">
        <f>VLOOKUP(Tabla3[[#This Row],[Site]],'Important Info!'!$A$1:$J$135,9,FALSE)</f>
        <v>133</v>
      </c>
    </row>
    <row r="1028" spans="1:17" x14ac:dyDescent="0.25">
      <c r="A1028" t="str">
        <f>+Tabla3[[#This Row],[Site]]&amp;Tabla3[[#This Row],[Split]]</f>
        <v>(AS) Nalley BMW Collision Center (NO TOURS)12</v>
      </c>
      <c r="B1028">
        <v>12</v>
      </c>
      <c r="C1028">
        <v>11</v>
      </c>
      <c r="D1028" t="s">
        <v>62</v>
      </c>
      <c r="E1028" t="s">
        <v>35</v>
      </c>
      <c r="F1028" t="s">
        <v>510</v>
      </c>
      <c r="G1028" t="s">
        <v>490</v>
      </c>
      <c r="H1028" s="52" t="str">
        <f>VLOOKUP(Tabla3[[#This Row],[Site]],'Important Info!'!$A$1:$J$135,10,FALSE)</f>
        <v>https://tools.sig.systems/site/details/220</v>
      </c>
      <c r="I1028" s="2"/>
      <c r="J1028" t="s">
        <v>41</v>
      </c>
      <c r="K1028" s="79" t="str">
        <f>VLOOKUP(Tabla3[[#This Row],[Site]],'Important Info!'!$A$1:$H$135,8,FALSE)</f>
        <v>-</v>
      </c>
      <c r="L1028" s="52" t="str">
        <f>VLOOKUP(Tabla3[[#This Row],[Site]],'Important Info!'!$A$1:$F$135,2,FALSE)</f>
        <v>-</v>
      </c>
      <c r="M1028" s="52">
        <f>VLOOKUP(Tabla3[[#This Row],[Site]],'Important Info!'!$A$1:$F$135,3,FALSE)</f>
        <v>4</v>
      </c>
      <c r="N1028" s="52" t="str">
        <f>VLOOKUP(Tabla3[[#This Row],[Site]],'Important Info!'!$A$1:$F$135,4,FALSE)</f>
        <v>-</v>
      </c>
      <c r="O1028" s="52">
        <f>VLOOKUP(Tabla3[[#This Row],[Site]],'Important Info!'!$A$1:$F$135,5,FALSE)</f>
        <v>12</v>
      </c>
      <c r="P1028" s="52" t="str">
        <f>VLOOKUP(Tabla3[[#This Row],[Site]],'Important Info!'!$A$1:$F$135,6,FALSE)</f>
        <v>13, 15</v>
      </c>
      <c r="Q1028" s="91">
        <f>VLOOKUP(Tabla3[[#This Row],[Site]],'Important Info!'!$A$1:$J$135,9,FALSE)</f>
        <v>220</v>
      </c>
    </row>
    <row r="1029" spans="1:17" x14ac:dyDescent="0.25">
      <c r="A1029" t="str">
        <f>+Tabla3[[#This Row],[Site]]&amp;Tabla3[[#This Row],[Split]]</f>
        <v>(AS) Plaza Audi/Infiniti (NO TOURS)12</v>
      </c>
      <c r="B1029">
        <v>12</v>
      </c>
      <c r="C1029">
        <v>11</v>
      </c>
      <c r="D1029" t="s">
        <v>33</v>
      </c>
      <c r="E1029" t="s">
        <v>46</v>
      </c>
      <c r="F1029" t="s">
        <v>91</v>
      </c>
      <c r="G1029" t="s">
        <v>34</v>
      </c>
      <c r="H1029" s="52" t="str">
        <f>VLOOKUP(Tabla3[[#This Row],[Site]],'Important Info!'!$A$1:$J$135,10,FALSE)</f>
        <v>https://tools.sig.systems/site/details/141</v>
      </c>
      <c r="I1029" s="64" t="s">
        <v>130</v>
      </c>
      <c r="J1029" t="s">
        <v>41</v>
      </c>
      <c r="K1029" s="79" t="str">
        <f>VLOOKUP(Tabla3[[#This Row],[Site]],'Important Info!'!$A$1:$H$135,8,FALSE)</f>
        <v>-</v>
      </c>
      <c r="L1029" s="52" t="str">
        <f>VLOOKUP(Tabla3[[#This Row],[Site]],'Important Info!'!$A$1:$F$135,2,FALSE)</f>
        <v>7, 25</v>
      </c>
      <c r="M1029" s="52" t="str">
        <f>VLOOKUP(Tabla3[[#This Row],[Site]],'Important Info!'!$A$1:$F$135,3,FALSE)</f>
        <v>15, 17, 18</v>
      </c>
      <c r="N1029" s="52" t="str">
        <f>VLOOKUP(Tabla3[[#This Row],[Site]],'Important Info!'!$A$1:$F$135,4,FALSE)</f>
        <v>-</v>
      </c>
      <c r="O1029" s="52" t="str">
        <f>VLOOKUP(Tabla3[[#This Row],[Site]],'Important Info!'!$A$1:$F$135,5,FALSE)</f>
        <v>1, 24</v>
      </c>
      <c r="P1029" s="52" t="str">
        <f>VLOOKUP(Tabla3[[#This Row],[Site]],'Important Info!'!$A$1:$F$135,6,FALSE)</f>
        <v>3, 15, 17</v>
      </c>
      <c r="Q1029" s="91">
        <f>VLOOKUP(Tabla3[[#This Row],[Site]],'Important Info!'!$A$1:$J$135,9,FALSE)</f>
        <v>141</v>
      </c>
    </row>
    <row r="1030" spans="1:17" x14ac:dyDescent="0.25">
      <c r="A1030" t="str">
        <f>+Tabla3[[#This Row],[Site]]&amp;Tabla3[[#This Row],[Split]]</f>
        <v>(DT) Albuquerque12</v>
      </c>
      <c r="B1030">
        <v>12</v>
      </c>
      <c r="C1030">
        <v>11</v>
      </c>
      <c r="D1030" t="s">
        <v>44</v>
      </c>
      <c r="E1030" t="s">
        <v>53</v>
      </c>
      <c r="F1030" t="s">
        <v>155</v>
      </c>
      <c r="G1030" t="s">
        <v>45</v>
      </c>
      <c r="H1030" s="52" t="str">
        <f>VLOOKUP(Tabla3[[#This Row],[Site]],'Important Info!'!$A$1:$J$135,10,FALSE)</f>
        <v>https://tools.sig.systems/site/details/237</v>
      </c>
      <c r="J1030" t="s">
        <v>41</v>
      </c>
      <c r="K1030" s="79" t="str">
        <f>VLOOKUP(Tabla3[[#This Row],[Site]],'Important Info!'!$A$1:$H$135,8,FALSE)</f>
        <v>-</v>
      </c>
      <c r="L1030" s="52" t="str">
        <f>VLOOKUP(Tabla3[[#This Row],[Site]],'Important Info!'!$A$1:$F$135,2,FALSE)</f>
        <v>14, 16</v>
      </c>
      <c r="M1030" s="52" t="str">
        <f>VLOOKUP(Tabla3[[#This Row],[Site]],'Important Info!'!$A$1:$F$135,3,FALSE)</f>
        <v>-</v>
      </c>
      <c r="N1030" s="52" t="str">
        <f>VLOOKUP(Tabla3[[#This Row],[Site]],'Important Info!'!$A$1:$F$135,4,FALSE)</f>
        <v>-</v>
      </c>
      <c r="O1030" s="52" t="str">
        <f>VLOOKUP(Tabla3[[#This Row],[Site]],'Important Info!'!$A$1:$F$135,5,FALSE)</f>
        <v>14, 15</v>
      </c>
      <c r="P1030" s="52" t="str">
        <f>VLOOKUP(Tabla3[[#This Row],[Site]],'Important Info!'!$A$1:$F$135,6,FALSE)</f>
        <v>12, 14, 16</v>
      </c>
      <c r="Q1030" s="91">
        <f>VLOOKUP(Tabla3[[#This Row],[Site]],'Important Info!'!$A$1:$J$135,9,FALSE)</f>
        <v>237</v>
      </c>
    </row>
    <row r="1031" spans="1:17" x14ac:dyDescent="0.25">
      <c r="A1031" t="str">
        <f>+Tabla3[[#This Row],[Site]]&amp;Tabla3[[#This Row],[Split]]</f>
        <v>(DT) Louisville12</v>
      </c>
      <c r="B1031">
        <v>12</v>
      </c>
      <c r="C1031">
        <v>11</v>
      </c>
      <c r="D1031" t="s">
        <v>62</v>
      </c>
      <c r="E1031" t="s">
        <v>35</v>
      </c>
      <c r="F1031" t="s">
        <v>99</v>
      </c>
      <c r="G1031" t="s">
        <v>490</v>
      </c>
      <c r="H1031" s="52" t="str">
        <f>VLOOKUP(Tabla3[[#This Row],[Site]],'Important Info!'!$A$1:$J$135,10,FALSE)</f>
        <v>https://tools.sig.systems/site/details/258</v>
      </c>
      <c r="J1031" t="s">
        <v>41</v>
      </c>
      <c r="K1031" s="79" t="str">
        <f>VLOOKUP(Tabla3[[#This Row],[Site]],'Important Info!'!$A$1:$H$135,8,FALSE)</f>
        <v>-</v>
      </c>
      <c r="L1031" s="52" t="str">
        <f>VLOOKUP(Tabla3[[#This Row],[Site]],'Important Info!'!$A$1:$F$135,2,FALSE)</f>
        <v>-</v>
      </c>
      <c r="M1031" s="52">
        <f>VLOOKUP(Tabla3[[#This Row],[Site]],'Important Info!'!$A$1:$F$135,3,FALSE)</f>
        <v>3</v>
      </c>
      <c r="N1031" s="52" t="str">
        <f>VLOOKUP(Tabla3[[#This Row],[Site]],'Important Info!'!$A$1:$F$135,4,FALSE)</f>
        <v>-</v>
      </c>
      <c r="O1031" s="52" t="str">
        <f>VLOOKUP(Tabla3[[#This Row],[Site]],'Important Info!'!$A$1:$F$135,5,FALSE)</f>
        <v>-</v>
      </c>
      <c r="P1031" s="52" t="str">
        <f>VLOOKUP(Tabla3[[#This Row],[Site]],'Important Info!'!$A$1:$F$135,6,FALSE)</f>
        <v>3, 8</v>
      </c>
      <c r="Q1031" s="91">
        <f>VLOOKUP(Tabla3[[#This Row],[Site]],'Important Info!'!$A$1:$J$135,9,FALSE)</f>
        <v>258</v>
      </c>
    </row>
    <row r="1032" spans="1:17" x14ac:dyDescent="0.25">
      <c r="A1032" t="str">
        <f>+Tabla3[[#This Row],[Site]]&amp;Tabla3[[#This Row],[Split]]</f>
        <v>(KG) Baytown GMC Buick - Remote Lot (NO TOURS)12</v>
      </c>
      <c r="B1032">
        <v>12</v>
      </c>
      <c r="C1032">
        <v>11</v>
      </c>
      <c r="D1032" t="s">
        <v>60</v>
      </c>
      <c r="E1032" t="s">
        <v>46</v>
      </c>
      <c r="F1032" t="s">
        <v>167</v>
      </c>
      <c r="G1032" t="s">
        <v>41</v>
      </c>
      <c r="H1032" s="52" t="str">
        <f>VLOOKUP(Tabla3[[#This Row],[Site]],'Important Info!'!$A$1:$J$135,10,FALSE)</f>
        <v>https://tools.sig.systems/site/details/311</v>
      </c>
      <c r="I1032" s="2"/>
      <c r="J1032" t="s">
        <v>41</v>
      </c>
      <c r="K1032" s="79" t="s">
        <v>168</v>
      </c>
      <c r="L1032" s="52" t="str">
        <f>VLOOKUP(Tabla3[[#This Row],[Site]],'Important Info!'!$A$1:$F$135,2,FALSE)</f>
        <v>-</v>
      </c>
      <c r="M1032" s="52" t="str">
        <f>VLOOKUP(Tabla3[[#This Row],[Site]],'Important Info!'!$A$1:$F$135,3,FALSE)</f>
        <v>7, 8</v>
      </c>
      <c r="N1032" s="52" t="str">
        <f>VLOOKUP(Tabla3[[#This Row],[Site]],'Important Info!'!$A$1:$F$135,4,FALSE)</f>
        <v>-</v>
      </c>
      <c r="O1032" s="52" t="str">
        <f>VLOOKUP(Tabla3[[#This Row],[Site]],'Important Info!'!$A$1:$F$135,5,FALSE)</f>
        <v>-</v>
      </c>
      <c r="P1032" s="52" t="str">
        <f>VLOOKUP(Tabla3[[#This Row],[Site]],'Important Info!'!$A$1:$F$135,6,FALSE)</f>
        <v>-</v>
      </c>
      <c r="Q1032" s="91">
        <f>VLOOKUP(Tabla3[[#This Row],[Site]],'Important Info!'!$A$1:$J$135,9,FALSE)</f>
        <v>311</v>
      </c>
    </row>
    <row r="1033" spans="1:17" x14ac:dyDescent="0.25">
      <c r="A1033" t="str">
        <f>+Tabla3[[#This Row],[Site]]&amp;Tabla3[[#This Row],[Split]]</f>
        <v>(KG) Baytown GMC Buick (NO TOURS)12</v>
      </c>
      <c r="B1033">
        <v>12</v>
      </c>
      <c r="C1033">
        <v>11</v>
      </c>
      <c r="D1033" t="s">
        <v>33</v>
      </c>
      <c r="E1033" t="s">
        <v>46</v>
      </c>
      <c r="F1033" t="s">
        <v>132</v>
      </c>
      <c r="G1033" t="s">
        <v>34</v>
      </c>
      <c r="H1033" s="52" t="str">
        <f>VLOOKUP(Tabla3[[#This Row],[Site]],'Important Info!'!$A$1:$J$135,10,FALSE)</f>
        <v>https://tools.sig.systems/site/details/239</v>
      </c>
      <c r="I1033" s="66"/>
      <c r="J1033" t="s">
        <v>41</v>
      </c>
      <c r="K1033" s="79" t="str">
        <f>VLOOKUP(Tabla3[[#This Row],[Site]],'Important Info!'!$A$1:$H$135,8,FALSE)</f>
        <v>-</v>
      </c>
      <c r="L1033" s="52" t="str">
        <f>VLOOKUP(Tabla3[[#This Row],[Site]],'Important Info!'!$A$1:$F$135,2,FALSE)</f>
        <v>1, 5, 7, 21, 22</v>
      </c>
      <c r="M1033" s="52" t="str">
        <f>VLOOKUP(Tabla3[[#This Row],[Site]],'Important Info!'!$A$1:$F$135,3,FALSE)</f>
        <v>-</v>
      </c>
      <c r="N1033" s="52" t="str">
        <f>VLOOKUP(Tabla3[[#This Row],[Site]],'Important Info!'!$A$1:$F$135,4,FALSE)</f>
        <v>-</v>
      </c>
      <c r="O1033" s="52" t="str">
        <f>VLOOKUP(Tabla3[[#This Row],[Site]],'Important Info!'!$A$1:$F$135,5,FALSE)</f>
        <v>2, 10, 15, 24B</v>
      </c>
      <c r="P1033" s="52" t="str">
        <f>VLOOKUP(Tabla3[[#This Row],[Site]],'Important Info!'!$A$1:$F$135,6,FALSE)</f>
        <v>21, 22</v>
      </c>
      <c r="Q1033" s="91">
        <f>VLOOKUP(Tabla3[[#This Row],[Site]],'Important Info!'!$A$1:$J$135,9,FALSE)</f>
        <v>239</v>
      </c>
    </row>
    <row r="1034" spans="1:17" x14ac:dyDescent="0.25">
      <c r="A1034" t="str">
        <f>+Tabla3[[#This Row],[Site]]&amp;Tabla3[[#This Row],[Split]]</f>
        <v>(ML) Mazda VW-Lot B12</v>
      </c>
      <c r="B1034">
        <v>12</v>
      </c>
      <c r="C1034">
        <v>11</v>
      </c>
      <c r="D1034" t="s">
        <v>33</v>
      </c>
      <c r="E1034" t="s">
        <v>46</v>
      </c>
      <c r="F1034" t="s">
        <v>9</v>
      </c>
      <c r="G1034" t="s">
        <v>34</v>
      </c>
      <c r="H1034" s="52" t="str">
        <f>VLOOKUP(Tabla3[[#This Row],[Site]],'Important Info!'!$A$1:$J$135,10,FALSE)</f>
        <v>https://tools.sig.systems/site/details/205</v>
      </c>
      <c r="I1034" s="2" t="s">
        <v>142</v>
      </c>
      <c r="J1034" t="s">
        <v>41</v>
      </c>
      <c r="K1034" s="79" t="str">
        <f>VLOOKUP(Tabla3[[#This Row],[Site]],'Important Info!'!$A$1:$H$135,8,FALSE)</f>
        <v>-</v>
      </c>
      <c r="L1034" s="52" t="str">
        <f>VLOOKUP(Tabla3[[#This Row],[Site]],'Important Info!'!$A$1:$F$135,2,FALSE)</f>
        <v>9, 14, 16</v>
      </c>
      <c r="M1034" s="52">
        <f>VLOOKUP(Tabla3[[#This Row],[Site]],'Important Info!'!$A$1:$F$135,3,FALSE)</f>
        <v>1</v>
      </c>
      <c r="N1034" s="52" t="str">
        <f>VLOOKUP(Tabla3[[#This Row],[Site]],'Important Info!'!$A$1:$F$135,4,FALSE)</f>
        <v>-</v>
      </c>
      <c r="O1034" s="52">
        <f>VLOOKUP(Tabla3[[#This Row],[Site]],'Important Info!'!$A$1:$F$135,5,FALSE)</f>
        <v>4</v>
      </c>
      <c r="P1034" s="52" t="str">
        <f>VLOOKUP(Tabla3[[#This Row],[Site]],'Important Info!'!$A$1:$F$135,6,FALSE)</f>
        <v>-</v>
      </c>
      <c r="Q1034" s="91">
        <f>VLOOKUP(Tabla3[[#This Row],[Site]],'Important Info!'!$A$1:$J$135,9,FALSE)</f>
        <v>205</v>
      </c>
    </row>
    <row r="1035" spans="1:17" x14ac:dyDescent="0.25">
      <c r="A1035" t="str">
        <f>+Tabla3[[#This Row],[Site]]&amp;Tabla3[[#This Row],[Split]]</f>
        <v>(ML) Volvo Collision Corp12</v>
      </c>
      <c r="B1035">
        <v>12</v>
      </c>
      <c r="C1035">
        <v>11</v>
      </c>
      <c r="D1035" t="s">
        <v>33</v>
      </c>
      <c r="E1035" t="s">
        <v>46</v>
      </c>
      <c r="F1035" t="s">
        <v>106</v>
      </c>
      <c r="G1035" t="s">
        <v>34</v>
      </c>
      <c r="H1035" s="52" t="str">
        <f>VLOOKUP(Tabla3[[#This Row],[Site]],'Important Info!'!$A$1:$J$135,10,FALSE)</f>
        <v>https://tools.sig.systems/site/details/223</v>
      </c>
      <c r="I1035" s="43"/>
      <c r="J1035" t="s">
        <v>41</v>
      </c>
      <c r="K1035" s="79" t="str">
        <f>VLOOKUP(Tabla3[[#This Row],[Site]],'Important Info!'!$A$1:$H$135,8,FALSE)</f>
        <v>-</v>
      </c>
      <c r="L1035" s="52" t="str">
        <f>VLOOKUP(Tabla3[[#This Row],[Site]],'Important Info!'!$A$1:$F$135,2,FALSE)</f>
        <v>7, 11</v>
      </c>
      <c r="M1035" s="52">
        <f>VLOOKUP(Tabla3[[#This Row],[Site]],'Important Info!'!$A$1:$F$135,3,FALSE)</f>
        <v>4</v>
      </c>
      <c r="N1035" s="52" t="str">
        <f>VLOOKUP(Tabla3[[#This Row],[Site]],'Important Info!'!$A$1:$F$135,4,FALSE)</f>
        <v>-</v>
      </c>
      <c r="O1035" s="52">
        <f>VLOOKUP(Tabla3[[#This Row],[Site]],'Important Info!'!$A$1:$F$135,5,FALSE)</f>
        <v>18</v>
      </c>
      <c r="P1035" s="52" t="str">
        <f>VLOOKUP(Tabla3[[#This Row],[Site]],'Important Info!'!$A$1:$F$135,6,FALSE)</f>
        <v>-</v>
      </c>
      <c r="Q1035" s="91">
        <f>VLOOKUP(Tabla3[[#This Row],[Site]],'Important Info!'!$A$1:$J$135,9,FALSE)</f>
        <v>223</v>
      </c>
    </row>
    <row r="1036" spans="1:17" x14ac:dyDescent="0.25">
      <c r="A1036" t="str">
        <f>+Tabla3[[#This Row],[Site]]&amp;Tabla3[[#This Row],[Split]]</f>
        <v>(PE) Fairfield Collision (NO TOURS)12</v>
      </c>
      <c r="B1036">
        <v>12</v>
      </c>
      <c r="C1036">
        <v>11</v>
      </c>
      <c r="D1036" t="s">
        <v>485</v>
      </c>
      <c r="E1036" t="s">
        <v>35</v>
      </c>
      <c r="F1036" t="s">
        <v>63</v>
      </c>
      <c r="G1036" t="s">
        <v>490</v>
      </c>
      <c r="H1036" s="52" t="str">
        <f>VLOOKUP(Tabla3[[#This Row],[Site]],'Important Info!'!$A$1:$J$135,10,FALSE)</f>
        <v>https://tools.sig.systems/site/details/191</v>
      </c>
      <c r="J1036" t="s">
        <v>41</v>
      </c>
      <c r="K1036" s="79" t="str">
        <f>VLOOKUP(Tabla3[[#This Row],[Site]],'Important Info!'!$A$1:$H$135,8,FALSE)</f>
        <v>-</v>
      </c>
      <c r="L1036" s="52">
        <f>VLOOKUP(Tabla3[[#This Row],[Site]],'Important Info!'!$A$1:$F$135,2,FALSE)</f>
        <v>4</v>
      </c>
      <c r="M1036" s="52" t="str">
        <f>VLOOKUP(Tabla3[[#This Row],[Site]],'Important Info!'!$A$1:$F$135,3,FALSE)</f>
        <v>-</v>
      </c>
      <c r="N1036" s="52" t="str">
        <f>VLOOKUP(Tabla3[[#This Row],[Site]],'Important Info!'!$A$1:$F$135,4,FALSE)</f>
        <v>-</v>
      </c>
      <c r="O1036" s="52" t="str">
        <f>VLOOKUP(Tabla3[[#This Row],[Site]],'Important Info!'!$A$1:$F$135,5,FALSE)</f>
        <v>-</v>
      </c>
      <c r="P1036" s="52" t="str">
        <f>VLOOKUP(Tabla3[[#This Row],[Site]],'Important Info!'!$A$1:$F$135,6,FALSE)</f>
        <v>1, 2, 3, 4, 5, 6</v>
      </c>
      <c r="Q1036" s="91">
        <f>VLOOKUP(Tabla3[[#This Row],[Site]],'Important Info!'!$A$1:$J$135,9,FALSE)</f>
        <v>191</v>
      </c>
    </row>
    <row r="1037" spans="1:17" x14ac:dyDescent="0.25">
      <c r="A1037" t="str">
        <f>+Tabla3[[#This Row],[Site]]&amp;Tabla3[[#This Row],[Split]]</f>
        <v>(SCH) Chevrolet North Palm12</v>
      </c>
      <c r="B1037">
        <v>12</v>
      </c>
      <c r="C1037">
        <v>11</v>
      </c>
      <c r="D1037" t="s">
        <v>62</v>
      </c>
      <c r="E1037" t="s">
        <v>35</v>
      </c>
      <c r="F1037" t="s">
        <v>101</v>
      </c>
      <c r="G1037" t="s">
        <v>490</v>
      </c>
      <c r="H1037" s="52" t="str">
        <f>VLOOKUP(Tabla3[[#This Row],[Site]],'Important Info!'!$A$1:$J$135,10,FALSE)</f>
        <v>https://tools.sig.systems/site/details/160</v>
      </c>
      <c r="I1037" s="2"/>
      <c r="J1037" t="s">
        <v>36</v>
      </c>
      <c r="K1037" s="79" t="str">
        <f>VLOOKUP(Tabla3[[#This Row],[Site]],'Important Info!'!$A$1:$H$135,8,FALSE)</f>
        <v>-</v>
      </c>
      <c r="L1037" s="52" t="str">
        <f>VLOOKUP(Tabla3[[#This Row],[Site]],'Important Info!'!$A$1:$F$135,2,FALSE)</f>
        <v xml:space="preserve">7, 10B, 11, 15 </v>
      </c>
      <c r="M1037" s="52" t="str">
        <f>VLOOKUP(Tabla3[[#This Row],[Site]],'Important Info!'!$A$1:$F$135,3,FALSE)</f>
        <v>-</v>
      </c>
      <c r="N1037" s="52" t="str">
        <f>VLOOKUP(Tabla3[[#This Row],[Site]],'Important Info!'!$A$1:$F$135,4,FALSE)</f>
        <v>-</v>
      </c>
      <c r="O1037" s="52" t="str">
        <f>VLOOKUP(Tabla3[[#This Row],[Site]],'Important Info!'!$A$1:$F$135,5,FALSE)</f>
        <v>-</v>
      </c>
      <c r="P1037" s="52" t="str">
        <f>VLOOKUP(Tabla3[[#This Row],[Site]],'Important Info!'!$A$1:$F$135,6,FALSE)</f>
        <v>1, 15, 16, 17, 18, 19, 20</v>
      </c>
      <c r="Q1037" s="91">
        <f>VLOOKUP(Tabla3[[#This Row],[Site]],'Important Info!'!$A$1:$J$135,9,FALSE)</f>
        <v>160</v>
      </c>
    </row>
    <row r="1038" spans="1:17" x14ac:dyDescent="0.25">
      <c r="A1038" t="str">
        <f>+Tabla3[[#This Row],[Site]]&amp;Tabla3[[#This Row],[Split]]</f>
        <v>(KG) Kia of Phoenix (NO TOURS)12</v>
      </c>
      <c r="B1038">
        <v>12</v>
      </c>
      <c r="C1038">
        <v>12</v>
      </c>
      <c r="D1038" t="s">
        <v>51</v>
      </c>
      <c r="E1038" t="s">
        <v>161</v>
      </c>
      <c r="F1038" t="s">
        <v>94</v>
      </c>
      <c r="G1038" t="s">
        <v>52</v>
      </c>
      <c r="H1038" s="52" t="str">
        <f>VLOOKUP(Tabla3[[#This Row],[Site]],'Important Info!'!$A$1:$J$135,10,FALSE)</f>
        <v>https://tools.sig.systems/site/details/262</v>
      </c>
      <c r="J1038" t="s">
        <v>162</v>
      </c>
      <c r="K1038" s="79" t="str">
        <f>VLOOKUP(Tabla3[[#This Row],[Site]],'Important Info!'!$A$1:$H$135,8,FALSE)</f>
        <v>-</v>
      </c>
      <c r="L1038" s="52" t="str">
        <f>VLOOKUP(Tabla3[[#This Row],[Site]],'Important Info!'!$A$1:$F$135,2,FALSE)</f>
        <v>5, 8, 23</v>
      </c>
      <c r="M1038" s="52" t="str">
        <f>VLOOKUP(Tabla3[[#This Row],[Site]],'Important Info!'!$A$1:$F$135,3,FALSE)</f>
        <v>-</v>
      </c>
      <c r="N1038" s="52" t="str">
        <f>VLOOKUP(Tabla3[[#This Row],[Site]],'Important Info!'!$A$1:$F$135,4,FALSE)</f>
        <v>-</v>
      </c>
      <c r="O1038" s="52">
        <f>VLOOKUP(Tabla3[[#This Row],[Site]],'Important Info!'!$A$1:$F$135,5,FALSE)</f>
        <v>4</v>
      </c>
      <c r="P1038" s="52" t="str">
        <f>VLOOKUP(Tabla3[[#This Row],[Site]],'Important Info!'!$A$1:$F$135,6,FALSE)</f>
        <v>-</v>
      </c>
      <c r="Q1038" s="91">
        <f>VLOOKUP(Tabla3[[#This Row],[Site]],'Important Info!'!$A$1:$J$135,9,FALSE)</f>
        <v>262</v>
      </c>
    </row>
    <row r="1039" spans="1:17" x14ac:dyDescent="0.25">
      <c r="A1039" t="str">
        <f>+Tabla3[[#This Row],[Site]]&amp;Tabla3[[#This Row],[Split]]</f>
        <v>(KT) Northwest CDJR (NO TOURS)12</v>
      </c>
      <c r="B1039">
        <v>12</v>
      </c>
      <c r="C1039">
        <v>12</v>
      </c>
      <c r="D1039" t="s">
        <v>33</v>
      </c>
      <c r="E1039" t="s">
        <v>46</v>
      </c>
      <c r="F1039" t="s">
        <v>77</v>
      </c>
      <c r="G1039" t="s">
        <v>34</v>
      </c>
      <c r="H1039" s="52" t="str">
        <f>VLOOKUP(Tabla3[[#This Row],[Site]],'Important Info!'!$A$1:$J$135,10,FALSE)</f>
        <v>https://tools.sig.systems/site/details/229</v>
      </c>
      <c r="I1039" s="66"/>
      <c r="J1039" t="s">
        <v>41</v>
      </c>
      <c r="K1039" s="79" t="str">
        <f>VLOOKUP(Tabla3[[#This Row],[Site]],'Important Info!'!$A$1:$H$135,8,FALSE)</f>
        <v>-</v>
      </c>
      <c r="L1039" s="52" t="str">
        <f>VLOOKUP(Tabla3[[#This Row],[Site]],'Important Info!'!$A$1:$F$135,2,FALSE)</f>
        <v>1, 3, 11, 25</v>
      </c>
      <c r="M1039" s="52" t="str">
        <f>VLOOKUP(Tabla3[[#This Row],[Site]],'Important Info!'!$A$1:$F$135,3,FALSE)</f>
        <v>-</v>
      </c>
      <c r="N1039" s="52" t="str">
        <f>VLOOKUP(Tabla3[[#This Row],[Site]],'Important Info!'!$A$1:$F$135,4,FALSE)</f>
        <v>-</v>
      </c>
      <c r="O1039" s="52" t="str">
        <f>VLOOKUP(Tabla3[[#This Row],[Site]],'Important Info!'!$A$1:$F$135,5,FALSE)</f>
        <v>4, 12, 18</v>
      </c>
      <c r="P1039" s="52" t="str">
        <f>VLOOKUP(Tabla3[[#This Row],[Site]],'Important Info!'!$A$1:$F$135,6,FALSE)</f>
        <v>-</v>
      </c>
      <c r="Q1039" s="91">
        <f>VLOOKUP(Tabla3[[#This Row],[Site]],'Important Info!'!$A$1:$J$135,9,FALSE)</f>
        <v>229</v>
      </c>
    </row>
    <row r="1040" spans="1:17" x14ac:dyDescent="0.25">
      <c r="A1040" t="str">
        <f>+Tabla3[[#This Row],[Site]]&amp;Tabla3[[#This Row],[Split]]</f>
        <v>(MK) McKenny Salinas Honda12</v>
      </c>
      <c r="B1040">
        <v>12</v>
      </c>
      <c r="C1040">
        <v>12</v>
      </c>
      <c r="D1040" t="s">
        <v>62</v>
      </c>
      <c r="E1040" t="s">
        <v>35</v>
      </c>
      <c r="F1040" t="s">
        <v>115</v>
      </c>
      <c r="G1040" t="s">
        <v>490</v>
      </c>
      <c r="H1040" s="52" t="str">
        <f>VLOOKUP(Tabla3[[#This Row],[Site]],'Important Info!'!$A$1:$J$135,10,FALSE)</f>
        <v>https://tools.sig.systems/site/details/149</v>
      </c>
      <c r="J1040" t="s">
        <v>41</v>
      </c>
      <c r="K1040" s="79" t="str">
        <f>VLOOKUP(Tabla3[[#This Row],[Site]],'Important Info!'!$A$1:$H$135,8,FALSE)</f>
        <v>-</v>
      </c>
      <c r="L1040" s="52" t="str">
        <f>VLOOKUP(Tabla3[[#This Row],[Site]],'Important Info!'!$A$1:$F$135,2,FALSE)</f>
        <v>-</v>
      </c>
      <c r="M1040" s="52" t="str">
        <f>VLOOKUP(Tabla3[[#This Row],[Site]],'Important Info!'!$A$1:$F$135,3,FALSE)</f>
        <v>12, 16</v>
      </c>
      <c r="N1040" s="52" t="str">
        <f>VLOOKUP(Tabla3[[#This Row],[Site]],'Important Info!'!$A$1:$F$135,4,FALSE)</f>
        <v>-</v>
      </c>
      <c r="O1040" s="52" t="str">
        <f>VLOOKUP(Tabla3[[#This Row],[Site]],'Important Info!'!$A$1:$F$135,5,FALSE)</f>
        <v>-</v>
      </c>
      <c r="P1040" s="52" t="str">
        <f>VLOOKUP(Tabla3[[#This Row],[Site]],'Important Info!'!$A$1:$F$135,6,FALSE)</f>
        <v>3, 4, 5, 6, 16</v>
      </c>
      <c r="Q1040" s="91">
        <f>VLOOKUP(Tabla3[[#This Row],[Site]],'Important Info!'!$A$1:$J$135,9,FALSE)</f>
        <v>149</v>
      </c>
    </row>
    <row r="1041" spans="1:17" x14ac:dyDescent="0.25">
      <c r="A1041" t="str">
        <f>+Tabla3[[#This Row],[Site]]&amp;Tabla3[[#This Row],[Split]]</f>
        <v>(ML) Joe Machens Capital City I &amp; II (NO TOURS)12</v>
      </c>
      <c r="B1041">
        <v>12</v>
      </c>
      <c r="C1041">
        <v>12</v>
      </c>
      <c r="D1041" t="s">
        <v>33</v>
      </c>
      <c r="E1041" t="s">
        <v>46</v>
      </c>
      <c r="F1041" t="s">
        <v>72</v>
      </c>
      <c r="G1041" t="s">
        <v>34</v>
      </c>
      <c r="H1041" s="52" t="str">
        <f>VLOOKUP(Tabla3[[#This Row],[Site]],'Important Info!'!$A$1:$J$135,10,FALSE)</f>
        <v>https://tools.sig.systems/site/details/271</v>
      </c>
      <c r="I1041" s="2"/>
      <c r="J1041" t="s">
        <v>41</v>
      </c>
      <c r="K1041" s="79" t="str">
        <f>VLOOKUP(Tabla3[[#This Row],[Site]],'Important Info!'!$A$1:$H$135,8,FALSE)</f>
        <v>-</v>
      </c>
      <c r="L1041" s="52" t="str">
        <f>VLOOKUP(Tabla3[[#This Row],[Site]],'Important Info!'!$A$1:$F$135,2,FALSE)</f>
        <v>-</v>
      </c>
      <c r="M1041" s="52" t="str">
        <f>VLOOKUP(Tabla3[[#This Row],[Site]],'Important Info!'!$A$1:$F$135,3,FALSE)</f>
        <v>1, 3, 4, 20, 25, 27, 28</v>
      </c>
      <c r="N1041" s="52" t="str">
        <f>VLOOKUP(Tabla3[[#This Row],[Site]],'Important Info!'!$A$1:$F$135,4,FALSE)</f>
        <v>-</v>
      </c>
      <c r="O1041" s="52">
        <f>VLOOKUP(Tabla3[[#This Row],[Site]],'Important Info!'!$A$1:$F$135,5,FALSE)</f>
        <v>29</v>
      </c>
      <c r="P1041" s="52" t="str">
        <f>VLOOKUP(Tabla3[[#This Row],[Site]],'Important Info!'!$A$1:$F$135,6,FALSE)</f>
        <v>19, 20</v>
      </c>
      <c r="Q1041" s="91">
        <f>VLOOKUP(Tabla3[[#This Row],[Site]],'Important Info!'!$A$1:$J$135,9,FALSE)</f>
        <v>271</v>
      </c>
    </row>
    <row r="1042" spans="1:17" x14ac:dyDescent="0.25">
      <c r="A1042" t="str">
        <f>+Tabla3[[#This Row],[Site]]&amp;Tabla3[[#This Row],[Split]]</f>
        <v>(ML) Joe Machens Ford Lincoln I &amp; II12</v>
      </c>
      <c r="B1042">
        <v>12</v>
      </c>
      <c r="C1042">
        <v>12</v>
      </c>
      <c r="D1042" t="s">
        <v>33</v>
      </c>
      <c r="E1042" t="s">
        <v>46</v>
      </c>
      <c r="F1042" t="s">
        <v>148</v>
      </c>
      <c r="G1042" t="s">
        <v>34</v>
      </c>
      <c r="H1042" s="52" t="str">
        <f>VLOOKUP(Tabla3[[#This Row],[Site]],'Important Info!'!$A$1:$J$135,10,FALSE)</f>
        <v>https://tools.sig.systems/site/details/266</v>
      </c>
      <c r="I1042" s="43" t="s">
        <v>146</v>
      </c>
      <c r="J1042" t="s">
        <v>41</v>
      </c>
      <c r="K1042" s="79" t="str">
        <f>VLOOKUP(Tabla3[[#This Row],[Site]],'Important Info!'!$A$1:$H$135,8,FALSE)</f>
        <v>-</v>
      </c>
      <c r="L1042" s="52" t="str">
        <f>VLOOKUP(Tabla3[[#This Row],[Site]],'Important Info!'!$A$1:$F$135,2,FALSE)</f>
        <v>-</v>
      </c>
      <c r="M1042" s="52" t="str">
        <f>VLOOKUP(Tabla3[[#This Row],[Site]],'Important Info!'!$A$1:$F$135,3,FALSE)</f>
        <v>4, 6, 9, 13, 14, 17, 26, 27, 28, 29, 30</v>
      </c>
      <c r="N1042" s="52" t="str">
        <f>VLOOKUP(Tabla3[[#This Row],[Site]],'Important Info!'!$A$1:$F$135,4,FALSE)</f>
        <v>-</v>
      </c>
      <c r="O1042" s="52" t="str">
        <f>VLOOKUP(Tabla3[[#This Row],[Site]],'Important Info!'!$A$1:$F$135,5,FALSE)</f>
        <v>23, 40, 49</v>
      </c>
      <c r="P1042" s="52" t="str">
        <f>VLOOKUP(Tabla3[[#This Row],[Site]],'Important Info!'!$A$1:$F$135,6,FALSE)</f>
        <v>-</v>
      </c>
      <c r="Q1042" s="91">
        <f>VLOOKUP(Tabla3[[#This Row],[Site]],'Important Info!'!$A$1:$J$135,9,FALSE)</f>
        <v>266</v>
      </c>
    </row>
    <row r="1043" spans="1:17" x14ac:dyDescent="0.25">
      <c r="A1043" t="str">
        <f>+Tabla3[[#This Row],[Site]]&amp;Tabla3[[#This Row],[Split]]</f>
        <v>(ML) McLarty-Gray Daniels Chevrolet12</v>
      </c>
      <c r="B1043">
        <v>12</v>
      </c>
      <c r="C1043">
        <v>12</v>
      </c>
      <c r="D1043" t="s">
        <v>33</v>
      </c>
      <c r="E1043" t="s">
        <v>46</v>
      </c>
      <c r="F1043" t="s">
        <v>151</v>
      </c>
      <c r="G1043" t="s">
        <v>34</v>
      </c>
      <c r="H1043" s="52" t="str">
        <f>VLOOKUP(Tabla3[[#This Row],[Site]],'Important Info!'!$A$1:$J$135,10,FALSE)</f>
        <v>https://tools.sig.systems/site/details/150</v>
      </c>
      <c r="I1043" s="2"/>
      <c r="J1043" t="s">
        <v>41</v>
      </c>
      <c r="K1043" s="79" t="str">
        <f>VLOOKUP(Tabla3[[#This Row],[Site]],'Important Info!'!$A$1:$H$135,8,FALSE)</f>
        <v>-</v>
      </c>
      <c r="L1043" s="52" t="str">
        <f>VLOOKUP(Tabla3[[#This Row],[Site]],'Important Info!'!$A$1:$F$135,2,FALSE)</f>
        <v>3, 4, 5, 22, 24, 26, 28, 36</v>
      </c>
      <c r="M1043" s="52" t="str">
        <f>VLOOKUP(Tabla3[[#This Row],[Site]],'Important Info!'!$A$1:$F$135,3,FALSE)</f>
        <v>-</v>
      </c>
      <c r="N1043" s="52" t="str">
        <f>VLOOKUP(Tabla3[[#This Row],[Site]],'Important Info!'!$A$1:$F$135,4,FALSE)</f>
        <v>-</v>
      </c>
      <c r="O1043" s="52" t="str">
        <f>VLOOKUP(Tabla3[[#This Row],[Site]],'Important Info!'!$A$1:$F$135,5,FALSE)</f>
        <v>4, 7, 12, 26</v>
      </c>
      <c r="P1043" s="52" t="str">
        <f>VLOOKUP(Tabla3[[#This Row],[Site]],'Important Info!'!$A$1:$F$135,6,FALSE)</f>
        <v>1, 3, 5, 6, 23, 24</v>
      </c>
      <c r="Q1043" s="91">
        <f>VLOOKUP(Tabla3[[#This Row],[Site]],'Important Info!'!$A$1:$J$135,9,FALSE)</f>
        <v>150</v>
      </c>
    </row>
    <row r="1044" spans="1:17" x14ac:dyDescent="0.25">
      <c r="A1044" t="str">
        <f>+Tabla3[[#This Row],[Site]]&amp;Tabla3[[#This Row],[Split]]</f>
        <v>(PE) Mercedes Benz &amp; Smart Bldg. of Fairfield (NO TOURS)12</v>
      </c>
      <c r="B1044">
        <v>12</v>
      </c>
      <c r="C1044">
        <v>12</v>
      </c>
      <c r="D1044" t="s">
        <v>485</v>
      </c>
      <c r="E1044" t="s">
        <v>35</v>
      </c>
      <c r="F1044" t="s">
        <v>64</v>
      </c>
      <c r="G1044" t="s">
        <v>490</v>
      </c>
      <c r="H1044" s="52" t="str">
        <f>VLOOKUP(Tabla3[[#This Row],[Site]],'Important Info!'!$A$1:$J$135,10,FALSE)</f>
        <v>https://tools.sig.systems/site/details/192</v>
      </c>
      <c r="I1044" t="s">
        <v>177</v>
      </c>
      <c r="J1044" t="s">
        <v>41</v>
      </c>
      <c r="K1044" s="79" t="str">
        <f>VLOOKUP(Tabla3[[#This Row],[Site]],'Important Info!'!$A$1:$H$135,8,FALSE)</f>
        <v>-</v>
      </c>
      <c r="L1044" s="52" t="str">
        <f>VLOOKUP(Tabla3[[#This Row],[Site]],'Important Info!'!$A$1:$F$135,2,FALSE)</f>
        <v>-</v>
      </c>
      <c r="M1044" s="52">
        <f>VLOOKUP(Tabla3[[#This Row],[Site]],'Important Info!'!$A$1:$F$135,3,FALSE)</f>
        <v>1</v>
      </c>
      <c r="N1044" s="52" t="str">
        <f>VLOOKUP(Tabla3[[#This Row],[Site]],'Important Info!'!$A$1:$F$135,4,FALSE)</f>
        <v>-</v>
      </c>
      <c r="O1044" s="52" t="str">
        <f>VLOOKUP(Tabla3[[#This Row],[Site]],'Important Info!'!$A$1:$F$135,5,FALSE)</f>
        <v>11, 13</v>
      </c>
      <c r="P1044" s="52">
        <f>VLOOKUP(Tabla3[[#This Row],[Site]],'Important Info!'!$A$1:$F$135,6,FALSE)</f>
        <v>1</v>
      </c>
      <c r="Q1044" s="91">
        <f>VLOOKUP(Tabla3[[#This Row],[Site]],'Important Info!'!$A$1:$J$135,9,FALSE)</f>
        <v>192</v>
      </c>
    </row>
    <row r="1045" spans="1:17" x14ac:dyDescent="0.25">
      <c r="A1045" t="str">
        <f>+Tabla3[[#This Row],[Site]]&amp;Tabla3[[#This Row],[Split]]</f>
        <v>(RV) Sonny's Camp N Travel Concord12</v>
      </c>
      <c r="B1045">
        <v>12</v>
      </c>
      <c r="C1045">
        <v>12</v>
      </c>
      <c r="D1045" t="s">
        <v>62</v>
      </c>
      <c r="E1045" t="s">
        <v>35</v>
      </c>
      <c r="F1045" t="s">
        <v>188</v>
      </c>
      <c r="G1045" t="s">
        <v>490</v>
      </c>
      <c r="H1045" s="52" t="str">
        <f>VLOOKUP(Tabla3[[#This Row],[Site]],'Important Info!'!$A$1:$J$135,10,FALSE)</f>
        <v>https://tools.sig.systems/site/details/183</v>
      </c>
      <c r="J1045" t="s">
        <v>41</v>
      </c>
      <c r="K1045" s="79" t="str">
        <f>VLOOKUP(Tabla3[[#This Row],[Site]],'Important Info!'!$A$1:$H$135,8,FALSE)</f>
        <v>-</v>
      </c>
      <c r="L1045" s="52">
        <f>VLOOKUP(Tabla3[[#This Row],[Site]],'Important Info!'!$A$1:$F$135,2,FALSE)</f>
        <v>1</v>
      </c>
      <c r="M1045" s="52" t="str">
        <f>VLOOKUP(Tabla3[[#This Row],[Site]],'Important Info!'!$A$1:$F$135,3,FALSE)</f>
        <v>-</v>
      </c>
      <c r="N1045" s="52" t="str">
        <f>VLOOKUP(Tabla3[[#This Row],[Site]],'Important Info!'!$A$1:$F$135,4,FALSE)</f>
        <v>-</v>
      </c>
      <c r="O1045" s="52">
        <f>VLOOKUP(Tabla3[[#This Row],[Site]],'Important Info!'!$A$1:$F$135,5,FALSE)</f>
        <v>7</v>
      </c>
      <c r="P1045" s="52" t="str">
        <f>VLOOKUP(Tabla3[[#This Row],[Site]],'Important Info!'!$A$1:$F$135,6,FALSE)</f>
        <v>6, 7, 8, 9</v>
      </c>
      <c r="Q1045" s="91">
        <f>VLOOKUP(Tabla3[[#This Row],[Site]],'Important Info!'!$A$1:$J$135,9,FALSE)</f>
        <v>183</v>
      </c>
    </row>
    <row r="1046" spans="1:17" x14ac:dyDescent="0.25">
      <c r="A1046" t="str">
        <f>+Tabla3[[#This Row],[Site]]&amp;Tabla3[[#This Row],[Split]]</f>
        <v>(AS) Nalley Lexus &amp; Remote Lot Roswell (NO TOURS)13</v>
      </c>
      <c r="B1046">
        <v>13</v>
      </c>
      <c r="C1046">
        <v>1</v>
      </c>
      <c r="D1046" t="s">
        <v>60</v>
      </c>
      <c r="E1046" t="s">
        <v>35</v>
      </c>
      <c r="F1046" t="s">
        <v>511</v>
      </c>
      <c r="G1046" t="s">
        <v>41</v>
      </c>
      <c r="H1046" s="52" t="str">
        <f>VLOOKUP(Tabla3[[#This Row],[Site]],'Important Info!'!$A$1:$J$135,10,FALSE)</f>
        <v>https://tools.sig.systems/site/details/131</v>
      </c>
      <c r="I1046" s="2" t="s">
        <v>166</v>
      </c>
      <c r="J1046" t="s">
        <v>41</v>
      </c>
      <c r="K1046" s="79" t="str">
        <f>VLOOKUP(Tabla3[[#This Row],[Site]],'Important Info!'!$A$1:$H$135,8,FALSE)</f>
        <v>Dealership 11PM to 5AM (Mon to Fri). Sunday Drop Time 1PM</v>
      </c>
      <c r="L1046" s="52" t="str">
        <f>VLOOKUP(Tabla3[[#This Row],[Site]],'Important Info!'!$A$1:$F$135,2,FALSE)</f>
        <v>6, 13</v>
      </c>
      <c r="M1046" s="52">
        <f>VLOOKUP(Tabla3[[#This Row],[Site]],'Important Info!'!$A$1:$F$135,3,FALSE)</f>
        <v>4</v>
      </c>
      <c r="N1046" s="52">
        <f>VLOOKUP(Tabla3[[#This Row],[Site]],'Important Info!'!$A$1:$F$135,4,FALSE)</f>
        <v>1</v>
      </c>
      <c r="O1046" s="52" t="str">
        <f>VLOOKUP(Tabla3[[#This Row],[Site]],'Important Info!'!$A$1:$F$135,5,FALSE)</f>
        <v>1, 8, 19</v>
      </c>
      <c r="P1046" s="52" t="str">
        <f>VLOOKUP(Tabla3[[#This Row],[Site]],'Important Info!'!$A$1:$F$135,6,FALSE)</f>
        <v>4, 20</v>
      </c>
      <c r="Q1046" s="91">
        <f>VLOOKUP(Tabla3[[#This Row],[Site]],'Important Info!'!$A$1:$J$135,9,FALSE)</f>
        <v>131</v>
      </c>
    </row>
    <row r="1047" spans="1:17" x14ac:dyDescent="0.25">
      <c r="A1047" t="str">
        <f>+Tabla3[[#This Row],[Site]]&amp;Tabla3[[#This Row],[Split]]</f>
        <v>(AS) Park Place Bodywerks Ft. Worth (NO TOURS)13</v>
      </c>
      <c r="B1047">
        <v>13</v>
      </c>
      <c r="C1047">
        <v>1</v>
      </c>
      <c r="D1047" t="s">
        <v>33</v>
      </c>
      <c r="E1047" t="s">
        <v>46</v>
      </c>
      <c r="F1047" t="s">
        <v>515</v>
      </c>
      <c r="G1047" t="s">
        <v>34</v>
      </c>
      <c r="H1047" s="52" t="str">
        <f>VLOOKUP(Tabla3[[#This Row],[Site]],'Important Info!'!$A$1:$J$135,10,FALSE)</f>
        <v>https://tools.sig.systems/site/details/134</v>
      </c>
      <c r="I1047" s="62" t="s">
        <v>128</v>
      </c>
      <c r="J1047" t="s">
        <v>41</v>
      </c>
      <c r="K1047" s="79" t="str">
        <f>VLOOKUP(Tabla3[[#This Row],[Site]],'Important Info!'!$A$1:$H$135,8,FALSE)</f>
        <v>-</v>
      </c>
      <c r="L1047" s="52" t="str">
        <f>VLOOKUP(Tabla3[[#This Row],[Site]],'Important Info!'!$A$1:$F$135,2,FALSE)</f>
        <v>2, 3, RemoteLot5, RemoteLot9</v>
      </c>
      <c r="M1047" s="52" t="str">
        <f>VLOOKUP(Tabla3[[#This Row],[Site]],'Important Info!'!$A$1:$F$135,3,FALSE)</f>
        <v>-</v>
      </c>
      <c r="N1047" s="52" t="str">
        <f>VLOOKUP(Tabla3[[#This Row],[Site]],'Important Info!'!$A$1:$F$135,4,FALSE)</f>
        <v>-</v>
      </c>
      <c r="O1047" s="52" t="str">
        <f>VLOOKUP(Tabla3[[#This Row],[Site]],'Important Info!'!$A$1:$F$135,5,FALSE)</f>
        <v>1, 7, RL1, RL5, RL9</v>
      </c>
      <c r="P1047" s="52" t="str">
        <f>VLOOKUP(Tabla3[[#This Row],[Site]],'Important Info!'!$A$1:$F$135,6,FALSE)</f>
        <v>3, 4, 15</v>
      </c>
      <c r="Q1047" s="91">
        <f>VLOOKUP(Tabla3[[#This Row],[Site]],'Important Info!'!$A$1:$J$135,9,FALSE)</f>
        <v>134</v>
      </c>
    </row>
    <row r="1048" spans="1:17" x14ac:dyDescent="0.25">
      <c r="A1048" t="str">
        <f>+Tabla3[[#This Row],[Site]]&amp;Tabla3[[#This Row],[Split]]</f>
        <v>(DT) N. Houston13</v>
      </c>
      <c r="B1048">
        <v>13</v>
      </c>
      <c r="C1048">
        <v>1</v>
      </c>
      <c r="D1048" t="s">
        <v>33</v>
      </c>
      <c r="E1048" t="s">
        <v>46</v>
      </c>
      <c r="F1048" t="s">
        <v>68</v>
      </c>
      <c r="G1048" t="s">
        <v>34</v>
      </c>
      <c r="H1048" s="52" t="str">
        <f>VLOOKUP(Tabla3[[#This Row],[Site]],'Important Info!'!$A$1:$J$135,10,FALSE)</f>
        <v>https://tools.sig.systems/site/details/250</v>
      </c>
      <c r="I1048" s="43"/>
      <c r="J1048" t="s">
        <v>41</v>
      </c>
      <c r="K1048" s="79" t="str">
        <f>VLOOKUP(Tabla3[[#This Row],[Site]],'Important Info!'!$A$1:$H$135,8,FALSE)</f>
        <v>-</v>
      </c>
      <c r="L1048" s="52" t="str">
        <f>VLOOKUP(Tabla3[[#This Row],[Site]],'Important Info!'!$A$1:$F$135,2,FALSE)</f>
        <v>2, 10, 18</v>
      </c>
      <c r="M1048" s="52" t="str">
        <f>VLOOKUP(Tabla3[[#This Row],[Site]],'Important Info!'!$A$1:$F$135,3,FALSE)</f>
        <v>-</v>
      </c>
      <c r="N1048" s="52" t="str">
        <f>VLOOKUP(Tabla3[[#This Row],[Site]],'Important Info!'!$A$1:$F$135,4,FALSE)</f>
        <v>-</v>
      </c>
      <c r="O1048" s="52">
        <f>VLOOKUP(Tabla3[[#This Row],[Site]],'Important Info!'!$A$1:$F$135,5,FALSE)</f>
        <v>15</v>
      </c>
      <c r="P1048" s="52" t="str">
        <f>VLOOKUP(Tabla3[[#This Row],[Site]],'Important Info!'!$A$1:$F$135,6,FALSE)</f>
        <v>2, 4, 18</v>
      </c>
      <c r="Q1048" s="91">
        <f>VLOOKUP(Tabla3[[#This Row],[Site]],'Important Info!'!$A$1:$J$135,9,FALSE)</f>
        <v>250</v>
      </c>
    </row>
    <row r="1049" spans="1:17" x14ac:dyDescent="0.25">
      <c r="A1049" t="str">
        <f>+Tabla3[[#This Row],[Site]]&amp;Tabla3[[#This Row],[Split]]</f>
        <v>(DT) W Houston13</v>
      </c>
      <c r="B1049">
        <v>13</v>
      </c>
      <c r="C1049">
        <v>1</v>
      </c>
      <c r="D1049" t="s">
        <v>33</v>
      </c>
      <c r="E1049" t="s">
        <v>46</v>
      </c>
      <c r="F1049" t="s">
        <v>69</v>
      </c>
      <c r="G1049" t="s">
        <v>34</v>
      </c>
      <c r="H1049" s="52" t="str">
        <f>VLOOKUP(Tabla3[[#This Row],[Site]],'Important Info!'!$A$1:$J$135,10,FALSE)</f>
        <v>https://tools.sig.systems/site/details/197</v>
      </c>
      <c r="I1049" s="43"/>
      <c r="J1049" t="s">
        <v>41</v>
      </c>
      <c r="K1049" s="79" t="str">
        <f>VLOOKUP(Tabla3[[#This Row],[Site]],'Important Info!'!$A$1:$H$135,8,FALSE)</f>
        <v>-</v>
      </c>
      <c r="L1049" s="52">
        <f>VLOOKUP(Tabla3[[#This Row],[Site]],'Important Info!'!$A$1:$F$135,2,FALSE)</f>
        <v>7</v>
      </c>
      <c r="M1049" s="52">
        <f>VLOOKUP(Tabla3[[#This Row],[Site]],'Important Info!'!$A$1:$F$135,3,FALSE)</f>
        <v>2</v>
      </c>
      <c r="N1049" s="52" t="str">
        <f>VLOOKUP(Tabla3[[#This Row],[Site]],'Important Info!'!$A$1:$F$135,4,FALSE)</f>
        <v>-</v>
      </c>
      <c r="O1049" s="52">
        <f>VLOOKUP(Tabla3[[#This Row],[Site]],'Important Info!'!$A$1:$F$135,5,FALSE)</f>
        <v>14</v>
      </c>
      <c r="P1049" s="52" t="str">
        <f>VLOOKUP(Tabla3[[#This Row],[Site]],'Important Info!'!$A$1:$F$135,6,FALSE)</f>
        <v>2, 3, 7, 10</v>
      </c>
      <c r="Q1049" s="91">
        <f>VLOOKUP(Tabla3[[#This Row],[Site]],'Important Info!'!$A$1:$J$135,9,FALSE)</f>
        <v>197</v>
      </c>
    </row>
    <row r="1050" spans="1:17" x14ac:dyDescent="0.25">
      <c r="A1050" t="str">
        <f>+Tabla3[[#This Row],[Site]]&amp;Tabla3[[#This Row],[Split]]</f>
        <v>(HUD) Acura of Greensboro13</v>
      </c>
      <c r="B1050">
        <v>13</v>
      </c>
      <c r="C1050">
        <v>1</v>
      </c>
      <c r="D1050" t="s">
        <v>62</v>
      </c>
      <c r="E1050" t="s">
        <v>35</v>
      </c>
      <c r="F1050" t="s">
        <v>100</v>
      </c>
      <c r="G1050" t="s">
        <v>490</v>
      </c>
      <c r="H1050" s="52" t="str">
        <f>VLOOKUP(Tabla3[[#This Row],[Site]],'Important Info!'!$A$1:$J$135,10,FALSE)</f>
        <v>https://tools.sig.systems/site/details/213</v>
      </c>
      <c r="I1050" t="s">
        <v>182</v>
      </c>
      <c r="J1050" t="s">
        <v>41</v>
      </c>
      <c r="K1050" s="79" t="str">
        <f>VLOOKUP(Tabla3[[#This Row],[Site]],'Important Info!'!$A$1:$H$135,8,FALSE)</f>
        <v>-</v>
      </c>
      <c r="L1050" s="52" t="str">
        <f>VLOOKUP(Tabla3[[#This Row],[Site]],'Important Info!'!$A$1:$F$135,2,FALSE)</f>
        <v>1, 2, 6, 7, 9</v>
      </c>
      <c r="M1050" s="52" t="str">
        <f>VLOOKUP(Tabla3[[#This Row],[Site]],'Important Info!'!$A$1:$F$135,3,FALSE)</f>
        <v>-</v>
      </c>
      <c r="N1050" s="52" t="str">
        <f>VLOOKUP(Tabla3[[#This Row],[Site]],'Important Info!'!$A$1:$F$135,4,FALSE)</f>
        <v>-</v>
      </c>
      <c r="O1050" s="52" t="str">
        <f>VLOOKUP(Tabla3[[#This Row],[Site]],'Important Info!'!$A$1:$F$135,5,FALSE)</f>
        <v>2, 5</v>
      </c>
      <c r="P1050" s="52" t="str">
        <f>VLOOKUP(Tabla3[[#This Row],[Site]],'Important Info!'!$A$1:$F$135,6,FALSE)</f>
        <v>1, 2, 6, 7, 9, 18</v>
      </c>
      <c r="Q1050" s="91">
        <f>VLOOKUP(Tabla3[[#This Row],[Site]],'Important Info!'!$A$1:$J$135,9,FALSE)</f>
        <v>213</v>
      </c>
    </row>
    <row r="1051" spans="1:17" x14ac:dyDescent="0.25">
      <c r="A1051" t="str">
        <f>+Tabla3[[#This Row],[Site]]&amp;Tabla3[[#This Row],[Split]]</f>
        <v>(KG) Clear Lake Pre-Owned13</v>
      </c>
      <c r="B1051">
        <v>13</v>
      </c>
      <c r="C1051">
        <v>1</v>
      </c>
      <c r="D1051" t="s">
        <v>33</v>
      </c>
      <c r="E1051" t="s">
        <v>46</v>
      </c>
      <c r="F1051" t="s">
        <v>87</v>
      </c>
      <c r="G1051" t="s">
        <v>34</v>
      </c>
      <c r="H1051" s="52" t="str">
        <f>VLOOKUP(Tabla3[[#This Row],[Site]],'Important Info!'!$A$1:$J$135,10,FALSE)</f>
        <v>https://tools.sig.systems/site/details/255</v>
      </c>
      <c r="I1051" s="43" t="s">
        <v>134</v>
      </c>
      <c r="J1051" t="s">
        <v>41</v>
      </c>
      <c r="K1051" s="79" t="str">
        <f>VLOOKUP(Tabla3[[#This Row],[Site]],'Important Info!'!$A$1:$H$135,8,FALSE)</f>
        <v>-</v>
      </c>
      <c r="L1051" s="52" t="str">
        <f>VLOOKUP(Tabla3[[#This Row],[Site]],'Important Info!'!$A$1:$F$135,2,FALSE)</f>
        <v>3, 5</v>
      </c>
      <c r="M1051" s="52" t="str">
        <f>VLOOKUP(Tabla3[[#This Row],[Site]],'Important Info!'!$A$1:$F$135,3,FALSE)</f>
        <v>-</v>
      </c>
      <c r="N1051" s="52" t="str">
        <f>VLOOKUP(Tabla3[[#This Row],[Site]],'Important Info!'!$A$1:$F$135,4,FALSE)</f>
        <v>-</v>
      </c>
      <c r="O1051" s="52" t="str">
        <f>VLOOKUP(Tabla3[[#This Row],[Site]],'Important Info!'!$A$1:$F$135,5,FALSE)</f>
        <v>4, 10, 22</v>
      </c>
      <c r="P1051" s="52" t="str">
        <f>VLOOKUP(Tabla3[[#This Row],[Site]],'Important Info!'!$A$1:$F$135,6,FALSE)</f>
        <v>8, 15, 20</v>
      </c>
      <c r="Q1051" s="91">
        <f>VLOOKUP(Tabla3[[#This Row],[Site]],'Important Info!'!$A$1:$J$135,9,FALSE)</f>
        <v>255</v>
      </c>
    </row>
    <row r="1052" spans="1:17" x14ac:dyDescent="0.25">
      <c r="A1052" t="str">
        <f>+Tabla3[[#This Row],[Site]]&amp;Tabla3[[#This Row],[Split]]</f>
        <v>(ML) McLarty Gray-Daniels Ford Lincoln13</v>
      </c>
      <c r="B1052">
        <v>13</v>
      </c>
      <c r="C1052">
        <v>1</v>
      </c>
      <c r="D1052" t="s">
        <v>33</v>
      </c>
      <c r="E1052" t="s">
        <v>46</v>
      </c>
      <c r="F1052" t="s">
        <v>89</v>
      </c>
      <c r="G1052" t="s">
        <v>34</v>
      </c>
      <c r="H1052" s="52" t="str">
        <f>VLOOKUP(Tabla3[[#This Row],[Site]],'Important Info!'!$A$1:$J$135,10,FALSE)</f>
        <v>https://tools.sig.systems/site/details/151</v>
      </c>
      <c r="I1052" s="66" t="s">
        <v>150</v>
      </c>
      <c r="J1052" t="s">
        <v>41</v>
      </c>
      <c r="K1052" s="79" t="str">
        <f>VLOOKUP(Tabla3[[#This Row],[Site]],'Important Info!'!$A$1:$H$135,8,FALSE)</f>
        <v>-</v>
      </c>
      <c r="L1052" s="52">
        <f>VLOOKUP(Tabla3[[#This Row],[Site]],'Important Info!'!$A$1:$F$135,2,FALSE)</f>
        <v>16</v>
      </c>
      <c r="M1052" s="52" t="str">
        <f>VLOOKUP(Tabla3[[#This Row],[Site]],'Important Info!'!$A$1:$F$135,3,FALSE)</f>
        <v>5, 10, 36, 38, 54, 58B</v>
      </c>
      <c r="N1052" s="52" t="str">
        <f>VLOOKUP(Tabla3[[#This Row],[Site]],'Important Info!'!$A$1:$F$135,4,FALSE)</f>
        <v>-</v>
      </c>
      <c r="O1052" s="52" t="str">
        <f>VLOOKUP(Tabla3[[#This Row],[Site]],'Important Info!'!$A$1:$F$135,5,FALSE)</f>
        <v>5, 17, 37</v>
      </c>
      <c r="P1052" s="52" t="str">
        <f>VLOOKUP(Tabla3[[#This Row],[Site]],'Important Info!'!$A$1:$F$135,6,FALSE)</f>
        <v>1, 2, 3, 4</v>
      </c>
      <c r="Q1052" s="91">
        <f>VLOOKUP(Tabla3[[#This Row],[Site]],'Important Info!'!$A$1:$J$135,9,FALSE)</f>
        <v>151</v>
      </c>
    </row>
    <row r="1053" spans="1:17" x14ac:dyDescent="0.25">
      <c r="A1053" t="str">
        <f>+Tabla3[[#This Row],[Site]]&amp;Tabla3[[#This Row],[Split]]</f>
        <v>(PE) Hudson Toyota Nissan CDJR (NO TOURS)13</v>
      </c>
      <c r="B1053">
        <v>13</v>
      </c>
      <c r="C1053">
        <v>1</v>
      </c>
      <c r="D1053" t="s">
        <v>485</v>
      </c>
      <c r="E1053" t="s">
        <v>35</v>
      </c>
      <c r="F1053" t="s">
        <v>82</v>
      </c>
      <c r="G1053" t="s">
        <v>490</v>
      </c>
      <c r="H1053" s="52" t="str">
        <f>VLOOKUP(Tabla3[[#This Row],[Site]],'Important Info!'!$A$1:$J$135,10,FALSE)</f>
        <v>https://tools.sig.systems/site/details/156</v>
      </c>
      <c r="J1053" t="s">
        <v>41</v>
      </c>
      <c r="K1053" s="79" t="str">
        <f>VLOOKUP(Tabla3[[#This Row],[Site]],'Important Info!'!$A$1:$H$135,8,FALSE)</f>
        <v>-</v>
      </c>
      <c r="L1053" s="52">
        <f>VLOOKUP(Tabla3[[#This Row],[Site]],'Important Info!'!$A$1:$F$135,2,FALSE)</f>
        <v>5</v>
      </c>
      <c r="M1053" s="52" t="str">
        <f>VLOOKUP(Tabla3[[#This Row],[Site]],'Important Info!'!$A$1:$F$135,3,FALSE)</f>
        <v>3, 7, 18</v>
      </c>
      <c r="N1053" s="52" t="str">
        <f>VLOOKUP(Tabla3[[#This Row],[Site]],'Important Info!'!$A$1:$F$135,4,FALSE)</f>
        <v>-</v>
      </c>
      <c r="O1053" s="52">
        <f>VLOOKUP(Tabla3[[#This Row],[Site]],'Important Info!'!$A$1:$F$135,5,FALSE)</f>
        <v>84</v>
      </c>
      <c r="P1053" s="52" t="str">
        <f>VLOOKUP(Tabla3[[#This Row],[Site]],'Important Info!'!$A$1:$F$135,6,FALSE)</f>
        <v>1, 2, 3, 4, 5, 6, 7, 8</v>
      </c>
      <c r="Q1053" s="91">
        <f>VLOOKUP(Tabla3[[#This Row],[Site]],'Important Info!'!$A$1:$J$135,9,FALSE)</f>
        <v>156</v>
      </c>
    </row>
    <row r="1054" spans="1:17" x14ac:dyDescent="0.25">
      <c r="A1054" t="str">
        <f>+Tabla3[[#This Row],[Site]]&amp;Tabla3[[#This Row],[Split]]</f>
        <v>(PE) Scofield Service Center (NO TOURS)13</v>
      </c>
      <c r="B1054">
        <v>13</v>
      </c>
      <c r="C1054">
        <v>1</v>
      </c>
      <c r="D1054" t="s">
        <v>485</v>
      </c>
      <c r="E1054" t="s">
        <v>35</v>
      </c>
      <c r="F1054" t="s">
        <v>83</v>
      </c>
      <c r="G1054" t="s">
        <v>490</v>
      </c>
      <c r="H1054" s="52" t="str">
        <f>VLOOKUP(Tabla3[[#This Row],[Site]],'Important Info!'!$A$1:$J$135,10,FALSE)</f>
        <v>https://tools.sig.systems/site/details/193</v>
      </c>
      <c r="I1054" t="s">
        <v>177</v>
      </c>
      <c r="J1054" t="s">
        <v>41</v>
      </c>
      <c r="K1054" s="79" t="str">
        <f>VLOOKUP(Tabla3[[#This Row],[Site]],'Important Info!'!$A$1:$H$135,8,FALSE)</f>
        <v>-</v>
      </c>
      <c r="L1054" s="52">
        <f>VLOOKUP(Tabla3[[#This Row],[Site]],'Important Info!'!$A$1:$F$135,2,FALSE)</f>
        <v>1</v>
      </c>
      <c r="M1054" s="52" t="str">
        <f>VLOOKUP(Tabla3[[#This Row],[Site]],'Important Info!'!$A$1:$F$135,3,FALSE)</f>
        <v>-</v>
      </c>
      <c r="N1054" s="52" t="str">
        <f>VLOOKUP(Tabla3[[#This Row],[Site]],'Important Info!'!$A$1:$F$135,4,FALSE)</f>
        <v>-</v>
      </c>
      <c r="O1054" s="52">
        <f>VLOOKUP(Tabla3[[#This Row],[Site]],'Important Info!'!$A$1:$F$135,5,FALSE)</f>
        <v>9</v>
      </c>
      <c r="P1054" s="52" t="str">
        <f>VLOOKUP(Tabla3[[#This Row],[Site]],'Important Info!'!$A$1:$F$135,6,FALSE)</f>
        <v>1, 17</v>
      </c>
      <c r="Q1054" s="91">
        <f>VLOOKUP(Tabla3[[#This Row],[Site]],'Important Info!'!$A$1:$J$135,9,FALSE)</f>
        <v>193</v>
      </c>
    </row>
    <row r="1055" spans="1:17" x14ac:dyDescent="0.25">
      <c r="A1055" t="str">
        <f>+Tabla3[[#This Row],[Site]]&amp;Tabla3[[#This Row],[Split]]</f>
        <v>(RV) Toms Camperland Avondale (NO TOURS)13</v>
      </c>
      <c r="B1055">
        <v>13</v>
      </c>
      <c r="C1055">
        <v>1</v>
      </c>
      <c r="D1055" t="s">
        <v>51</v>
      </c>
      <c r="E1055" t="s">
        <v>161</v>
      </c>
      <c r="F1055" s="41" t="s">
        <v>80</v>
      </c>
      <c r="G1055" t="s">
        <v>52</v>
      </c>
      <c r="H1055" s="52" t="str">
        <f>VLOOKUP(Tabla3[[#This Row],[Site]],'Important Info!'!$A$1:$J$135,10,FALSE)</f>
        <v>https://tools.sig.systems/site/details/248</v>
      </c>
      <c r="I1055" s="2" t="s">
        <v>163</v>
      </c>
      <c r="J1055" t="s">
        <v>164</v>
      </c>
      <c r="K1055" s="79" t="str">
        <f>VLOOKUP(Tabla3[[#This Row],[Site]],'Important Info!'!$A$1:$H$135,8,FALSE)</f>
        <v>-</v>
      </c>
      <c r="L1055" s="52">
        <f>VLOOKUP(Tabla3[[#This Row],[Site]],'Important Info!'!$A$1:$F$135,2,FALSE)</f>
        <v>10</v>
      </c>
      <c r="M1055" s="52" t="str">
        <f>VLOOKUP(Tabla3[[#This Row],[Site]],'Important Info!'!$A$1:$F$135,3,FALSE)</f>
        <v>2, 7</v>
      </c>
      <c r="N1055" s="52" t="str">
        <f>VLOOKUP(Tabla3[[#This Row],[Site]],'Important Info!'!$A$1:$F$135,4,FALSE)</f>
        <v>-</v>
      </c>
      <c r="O1055" s="52" t="str">
        <f>VLOOKUP(Tabla3[[#This Row],[Site]],'Important Info!'!$A$1:$F$135,5,FALSE)</f>
        <v>-</v>
      </c>
      <c r="P1055" s="52" t="str">
        <f>VLOOKUP(Tabla3[[#This Row],[Site]],'Important Info!'!$A$1:$F$135,6,FALSE)</f>
        <v>2, 7, 8, 13, 15</v>
      </c>
      <c r="Q1055" s="91">
        <f>VLOOKUP(Tabla3[[#This Row],[Site]],'Important Info!'!$A$1:$J$135,9,FALSE)</f>
        <v>248</v>
      </c>
    </row>
    <row r="1056" spans="1:17" x14ac:dyDescent="0.25">
      <c r="A1056" t="str">
        <f>+Tabla3[[#This Row],[Site]]&amp;Tabla3[[#This Row],[Split]]</f>
        <v>(AS) Park Place Acura (NO TOURS)13</v>
      </c>
      <c r="B1056">
        <v>13</v>
      </c>
      <c r="C1056">
        <v>2</v>
      </c>
      <c r="D1056" t="s">
        <v>33</v>
      </c>
      <c r="E1056" t="s">
        <v>46</v>
      </c>
      <c r="F1056" t="s">
        <v>513</v>
      </c>
      <c r="G1056" t="s">
        <v>34</v>
      </c>
      <c r="H1056" s="52" t="str">
        <f>VLOOKUP(Tabla3[[#This Row],[Site]],'Important Info!'!$A$1:$J$135,10,FALSE)</f>
        <v>https://tools.sig.systems/site/details/259</v>
      </c>
      <c r="I1056" s="95" t="s">
        <v>127</v>
      </c>
      <c r="J1056" t="s">
        <v>41</v>
      </c>
      <c r="K1056" s="79" t="str">
        <f>VLOOKUP(Tabla3[[#This Row],[Site]],'Important Info!'!$A$1:$H$135,8,FALSE)</f>
        <v>-</v>
      </c>
      <c r="L1056" s="52" t="str">
        <f>VLOOKUP(Tabla3[[#This Row],[Site]],'Important Info!'!$A$1:$F$135,2,FALSE)</f>
        <v>1, 2, 14, 16</v>
      </c>
      <c r="M1056" s="52" t="str">
        <f>VLOOKUP(Tabla3[[#This Row],[Site]],'Important Info!'!$A$1:$F$135,3,FALSE)</f>
        <v>-</v>
      </c>
      <c r="N1056" s="52" t="str">
        <f>VLOOKUP(Tabla3[[#This Row],[Site]],'Important Info!'!$A$1:$F$135,4,FALSE)</f>
        <v>-</v>
      </c>
      <c r="O1056" s="52" t="str">
        <f>VLOOKUP(Tabla3[[#This Row],[Site]],'Important Info!'!$A$1:$F$135,5,FALSE)</f>
        <v>1, 7, 13</v>
      </c>
      <c r="P1056" s="52" t="str">
        <f>VLOOKUP(Tabla3[[#This Row],[Site]],'Important Info!'!$A$1:$F$135,6,FALSE)</f>
        <v>-</v>
      </c>
      <c r="Q1056" s="91">
        <f>VLOOKUP(Tabla3[[#This Row],[Site]],'Important Info!'!$A$1:$J$135,9,FALSE)</f>
        <v>259</v>
      </c>
    </row>
    <row r="1057" spans="1:17" x14ac:dyDescent="0.25">
      <c r="A1057" t="str">
        <f>+Tabla3[[#This Row],[Site]]&amp;Tabla3[[#This Row],[Split]]</f>
        <v>(HUD) BMW of Greensboro13</v>
      </c>
      <c r="B1057">
        <v>13</v>
      </c>
      <c r="C1057">
        <v>2</v>
      </c>
      <c r="D1057" t="s">
        <v>62</v>
      </c>
      <c r="E1057" t="s">
        <v>35</v>
      </c>
      <c r="F1057" t="s">
        <v>183</v>
      </c>
      <c r="G1057" t="s">
        <v>490</v>
      </c>
      <c r="H1057" s="52" t="str">
        <f>VLOOKUP(Tabla3[[#This Row],[Site]],'Important Info!'!$A$1:$J$135,10,FALSE)</f>
        <v>https://tools.sig.systems/site/details/219</v>
      </c>
      <c r="I1057" s="43" t="s">
        <v>184</v>
      </c>
      <c r="J1057" t="s">
        <v>41</v>
      </c>
      <c r="K1057" s="79" t="str">
        <f>VLOOKUP(Tabla3[[#This Row],[Site]],'Important Info!'!$A$1:$H$135,8,FALSE)</f>
        <v>-</v>
      </c>
      <c r="L1057" s="52" t="str">
        <f>VLOOKUP(Tabla3[[#This Row],[Site]],'Important Info!'!$A$1:$F$135,2,FALSE)</f>
        <v>2, 20, 21</v>
      </c>
      <c r="M1057" s="52" t="str">
        <f>VLOOKUP(Tabla3[[#This Row],[Site]],'Important Info!'!$A$1:$F$135,3,FALSE)</f>
        <v>-</v>
      </c>
      <c r="N1057" s="52" t="str">
        <f>VLOOKUP(Tabla3[[#This Row],[Site]],'Important Info!'!$A$1:$F$135,4,FALSE)</f>
        <v>-</v>
      </c>
      <c r="O1057" s="52" t="str">
        <f>VLOOKUP(Tabla3[[#This Row],[Site]],'Important Info!'!$A$1:$F$135,5,FALSE)</f>
        <v>12, 17</v>
      </c>
      <c r="P1057" s="52" t="str">
        <f>VLOOKUP(Tabla3[[#This Row],[Site]],'Important Info!'!$A$1:$F$135,6,FALSE)</f>
        <v>1, 2, 6, 20</v>
      </c>
      <c r="Q1057" s="91">
        <f>VLOOKUP(Tabla3[[#This Row],[Site]],'Important Info!'!$A$1:$J$135,9,FALSE)</f>
        <v>219</v>
      </c>
    </row>
    <row r="1058" spans="1:17" x14ac:dyDescent="0.25">
      <c r="A1058" t="str">
        <f>+Tabla3[[#This Row],[Site]]&amp;Tabla3[[#This Row],[Split]]</f>
        <v>(HUD) Honda of Southpoint13</v>
      </c>
      <c r="B1058">
        <v>13</v>
      </c>
      <c r="C1058">
        <v>2</v>
      </c>
      <c r="D1058" t="s">
        <v>62</v>
      </c>
      <c r="E1058" t="s">
        <v>35</v>
      </c>
      <c r="F1058" t="s">
        <v>65</v>
      </c>
      <c r="G1058" t="s">
        <v>490</v>
      </c>
      <c r="H1058" s="52" t="str">
        <f>VLOOKUP(Tabla3[[#This Row],[Site]],'Important Info!'!$A$1:$J$135,10,FALSE)</f>
        <v>https://tools.sig.systems/site/details/195</v>
      </c>
      <c r="I1058" s="2"/>
      <c r="J1058" t="s">
        <v>484</v>
      </c>
      <c r="K1058" s="79" t="str">
        <f>VLOOKUP(Tabla3[[#This Row],[Site]],'Important Info!'!$A$1:$H$135,8,FALSE)</f>
        <v>-</v>
      </c>
      <c r="L1058" s="52" t="str">
        <f>VLOOKUP(Tabla3[[#This Row],[Site]],'Important Info!'!$A$1:$F$135,2,FALSE)</f>
        <v>2, 12, 18</v>
      </c>
      <c r="M1058" s="52">
        <f>VLOOKUP(Tabla3[[#This Row],[Site]],'Important Info!'!$A$1:$F$135,3,FALSE)</f>
        <v>13</v>
      </c>
      <c r="N1058" s="52" t="str">
        <f>VLOOKUP(Tabla3[[#This Row],[Site]],'Important Info!'!$A$1:$F$135,4,FALSE)</f>
        <v>-</v>
      </c>
      <c r="O1058" s="52" t="str">
        <f>VLOOKUP(Tabla3[[#This Row],[Site]],'Important Info!'!$A$1:$F$135,5,FALSE)</f>
        <v>2, 15</v>
      </c>
      <c r="P1058" s="52" t="str">
        <f>VLOOKUP(Tabla3[[#This Row],[Site]],'Important Info!'!$A$1:$F$135,6,FALSE)</f>
        <v>-</v>
      </c>
      <c r="Q1058" s="91">
        <f>VLOOKUP(Tabla3[[#This Row],[Site]],'Important Info!'!$A$1:$J$135,9,FALSE)</f>
        <v>195</v>
      </c>
    </row>
    <row r="1059" spans="1:17" x14ac:dyDescent="0.25">
      <c r="A1059" t="str">
        <f>+Tabla3[[#This Row],[Site]]&amp;Tabla3[[#This Row],[Split]]</f>
        <v>(KG) JLR LEHI (NO TOURS)13</v>
      </c>
      <c r="B1059">
        <v>13</v>
      </c>
      <c r="C1059">
        <v>2</v>
      </c>
      <c r="D1059" t="s">
        <v>44</v>
      </c>
      <c r="E1059" t="s">
        <v>53</v>
      </c>
      <c r="F1059" t="s">
        <v>8</v>
      </c>
      <c r="G1059" t="s">
        <v>45</v>
      </c>
      <c r="H1059" s="52" t="str">
        <f>VLOOKUP(Tabla3[[#This Row],[Site]],'Important Info!'!$A$1:$J$135,10,FALSE)</f>
        <v>https://tools.sig.systems/site/details/145</v>
      </c>
      <c r="I1059" s="2"/>
      <c r="J1059" t="s">
        <v>41</v>
      </c>
      <c r="K1059" s="79" t="str">
        <f>VLOOKUP(Tabla3[[#This Row],[Site]],'Important Info!'!$A$1:$H$135,8,FALSE)</f>
        <v>-</v>
      </c>
      <c r="L1059" s="52" t="str">
        <f>VLOOKUP(Tabla3[[#This Row],[Site]],'Important Info!'!$A$1:$F$135,2,FALSE)</f>
        <v>1, 11</v>
      </c>
      <c r="M1059" s="52" t="str">
        <f>VLOOKUP(Tabla3[[#This Row],[Site]],'Important Info!'!$A$1:$F$135,3,FALSE)</f>
        <v>-</v>
      </c>
      <c r="N1059" s="52" t="str">
        <f>VLOOKUP(Tabla3[[#This Row],[Site]],'Important Info!'!$A$1:$F$135,4,FALSE)</f>
        <v>-</v>
      </c>
      <c r="O1059" s="52" t="str">
        <f>VLOOKUP(Tabla3[[#This Row],[Site]],'Important Info!'!$A$1:$F$135,5,FALSE)</f>
        <v>1, 7, 11</v>
      </c>
      <c r="P1059" s="52" t="str">
        <f>VLOOKUP(Tabla3[[#This Row],[Site]],'Important Info!'!$A$1:$F$135,6,FALSE)</f>
        <v>-</v>
      </c>
      <c r="Q1059" s="91">
        <f>VLOOKUP(Tabla3[[#This Row],[Site]],'Important Info!'!$A$1:$J$135,9,FALSE)</f>
        <v>145</v>
      </c>
    </row>
    <row r="1060" spans="1:17" x14ac:dyDescent="0.25">
      <c r="A1060" t="str">
        <f>+Tabla3[[#This Row],[Site]]&amp;Tabla3[[#This Row],[Split]]</f>
        <v>(KG) Texan CDJR13</v>
      </c>
      <c r="B1060">
        <v>13</v>
      </c>
      <c r="C1060">
        <v>2</v>
      </c>
      <c r="D1060" t="s">
        <v>33</v>
      </c>
      <c r="E1060" t="s">
        <v>46</v>
      </c>
      <c r="F1060" t="s">
        <v>70</v>
      </c>
      <c r="G1060" t="s">
        <v>34</v>
      </c>
      <c r="H1060" s="52" t="str">
        <f>VLOOKUP(Tabla3[[#This Row],[Site]],'Important Info!'!$A$1:$J$135,10,FALSE)</f>
        <v>https://tools.sig.systems/site/details/238</v>
      </c>
      <c r="I1060" s="2" t="s">
        <v>137</v>
      </c>
      <c r="J1060" t="s">
        <v>41</v>
      </c>
      <c r="K1060" s="79" t="str">
        <f>VLOOKUP(Tabla3[[#This Row],[Site]],'Important Info!'!$A$1:$H$135,8,FALSE)</f>
        <v>-</v>
      </c>
      <c r="L1060" s="52" t="str">
        <f>VLOOKUP(Tabla3[[#This Row],[Site]],'Important Info!'!$A$1:$F$135,2,FALSE)</f>
        <v>11, 12, 13, 14, 20, 32, 34, 36, 77</v>
      </c>
      <c r="M1060" s="52" t="str">
        <f>VLOOKUP(Tabla3[[#This Row],[Site]],'Important Info!'!$A$1:$F$135,3,FALSE)</f>
        <v>-</v>
      </c>
      <c r="N1060" s="52" t="str">
        <f>VLOOKUP(Tabla3[[#This Row],[Site]],'Important Info!'!$A$1:$F$135,4,FALSE)</f>
        <v>67, 68, 69, 70</v>
      </c>
      <c r="O1060" s="52" t="str">
        <f>VLOOKUP(Tabla3[[#This Row],[Site]],'Important Info!'!$A$1:$F$135,5,FALSE)</f>
        <v>2, 10, 14, 25, 29, 35, 38</v>
      </c>
      <c r="P1060" s="52" t="str">
        <f>VLOOKUP(Tabla3[[#This Row],[Site]],'Important Info!'!$A$1:$F$135,6,FALSE)</f>
        <v>36, 46</v>
      </c>
      <c r="Q1060" s="91">
        <f>VLOOKUP(Tabla3[[#This Row],[Site]],'Important Info!'!$A$1:$J$135,9,FALSE)</f>
        <v>238</v>
      </c>
    </row>
    <row r="1061" spans="1:17" x14ac:dyDescent="0.25">
      <c r="A1061" t="str">
        <f>+Tabla3[[#This Row],[Site]]&amp;Tabla3[[#This Row],[Split]]</f>
        <v>(ML) Columbia Honda (NO TOURS)13</v>
      </c>
      <c r="B1061">
        <v>13</v>
      </c>
      <c r="C1061">
        <v>2</v>
      </c>
      <c r="D1061" t="s">
        <v>33</v>
      </c>
      <c r="E1061" t="s">
        <v>46</v>
      </c>
      <c r="F1061" t="s">
        <v>143</v>
      </c>
      <c r="G1061" t="s">
        <v>34</v>
      </c>
      <c r="H1061" s="52" t="str">
        <f>VLOOKUP(Tabla3[[#This Row],[Site]],'Important Info!'!$A$1:$J$135,10,FALSE)</f>
        <v>https://tools.sig.systems/site/details/272</v>
      </c>
      <c r="I1061" s="43" t="s">
        <v>144</v>
      </c>
      <c r="J1061" t="s">
        <v>41</v>
      </c>
      <c r="K1061" s="79" t="str">
        <f>VLOOKUP(Tabla3[[#This Row],[Site]],'Important Info!'!$A$1:$H$135,8,FALSE)</f>
        <v>-</v>
      </c>
      <c r="L1061" s="52" t="str">
        <f>VLOOKUP(Tabla3[[#This Row],[Site]],'Important Info!'!$A$1:$F$135,2,FALSE)</f>
        <v>-</v>
      </c>
      <c r="M1061" s="52" t="str">
        <f>VLOOKUP(Tabla3[[#This Row],[Site]],'Important Info!'!$A$1:$F$135,3,FALSE)</f>
        <v>9, 19, 20</v>
      </c>
      <c r="N1061" s="52" t="str">
        <f>VLOOKUP(Tabla3[[#This Row],[Site]],'Important Info!'!$A$1:$F$135,4,FALSE)</f>
        <v>-</v>
      </c>
      <c r="O1061" s="52" t="str">
        <f>VLOOKUP(Tabla3[[#This Row],[Site]],'Important Info!'!$A$1:$F$135,5,FALSE)</f>
        <v>10, 17, 19</v>
      </c>
      <c r="P1061" s="52" t="str">
        <f>VLOOKUP(Tabla3[[#This Row],[Site]],'Important Info!'!$A$1:$F$135,6,FALSE)</f>
        <v>3, 4, 5</v>
      </c>
      <c r="Q1061" s="91">
        <f>VLOOKUP(Tabla3[[#This Row],[Site]],'Important Info!'!$A$1:$J$135,9,FALSE)</f>
        <v>272</v>
      </c>
    </row>
    <row r="1062" spans="1:17" x14ac:dyDescent="0.25">
      <c r="A1062" t="str">
        <f>+Tabla3[[#This Row],[Site]]&amp;Tabla3[[#This Row],[Split]]</f>
        <v>(ML) McLarty Gray-Daniels Toyota Nissan13</v>
      </c>
      <c r="B1062">
        <v>13</v>
      </c>
      <c r="C1062">
        <v>2</v>
      </c>
      <c r="D1062" t="s">
        <v>33</v>
      </c>
      <c r="E1062" t="s">
        <v>46</v>
      </c>
      <c r="F1062" t="s">
        <v>90</v>
      </c>
      <c r="G1062" t="s">
        <v>34</v>
      </c>
      <c r="H1062" s="52" t="str">
        <f>VLOOKUP(Tabla3[[#This Row],[Site]],'Important Info!'!$A$1:$J$135,10,FALSE)</f>
        <v>https://tools.sig.systems/site/details/152</v>
      </c>
      <c r="I1062" s="43" t="s">
        <v>150</v>
      </c>
      <c r="J1062" t="s">
        <v>41</v>
      </c>
      <c r="K1062" s="79" t="str">
        <f>VLOOKUP(Tabla3[[#This Row],[Site]],'Important Info!'!$A$1:$H$135,8,FALSE)</f>
        <v>-</v>
      </c>
      <c r="L1062" s="52" t="str">
        <f>VLOOKUP(Tabla3[[#This Row],[Site]],'Important Info!'!$A$1:$F$135,2,FALSE)</f>
        <v>-</v>
      </c>
      <c r="M1062" s="52" t="str">
        <f>VLOOKUP(Tabla3[[#This Row],[Site]],'Important Info!'!$A$1:$F$135,3,FALSE)</f>
        <v>8, 11, 39, 43</v>
      </c>
      <c r="N1062" s="52" t="str">
        <f>VLOOKUP(Tabla3[[#This Row],[Site]],'Important Info!'!$A$1:$F$135,4,FALSE)</f>
        <v>-</v>
      </c>
      <c r="O1062" s="52" t="str">
        <f>VLOOKUP(Tabla3[[#This Row],[Site]],'Important Info!'!$A$1:$F$135,5,FALSE)</f>
        <v>6, 11, 15, 18</v>
      </c>
      <c r="P1062" s="52" t="str">
        <f>VLOOKUP(Tabla3[[#This Row],[Site]],'Important Info!'!$A$1:$F$135,6,FALSE)</f>
        <v>7, 8, 9</v>
      </c>
      <c r="Q1062" s="91">
        <f>VLOOKUP(Tabla3[[#This Row],[Site]],'Important Info!'!$A$1:$J$135,9,FALSE)</f>
        <v>152</v>
      </c>
    </row>
    <row r="1063" spans="1:17" x14ac:dyDescent="0.25">
      <c r="A1063" t="str">
        <f>+Tabla3[[#This Row],[Site]]&amp;Tabla3[[#This Row],[Split]]</f>
        <v>(RV) Toms Camperland Mesa (NO TOURS)13</v>
      </c>
      <c r="B1063">
        <v>13</v>
      </c>
      <c r="C1063">
        <v>2</v>
      </c>
      <c r="D1063" t="s">
        <v>51</v>
      </c>
      <c r="E1063" t="s">
        <v>161</v>
      </c>
      <c r="F1063" t="s">
        <v>81</v>
      </c>
      <c r="G1063" t="s">
        <v>52</v>
      </c>
      <c r="H1063" s="52" t="str">
        <f>VLOOKUP(Tabla3[[#This Row],[Site]],'Important Info!'!$A$1:$J$135,10,FALSE)</f>
        <v>https://tools.sig.systems/site/details/222</v>
      </c>
      <c r="J1063" t="s">
        <v>41</v>
      </c>
      <c r="K1063" s="79" t="str">
        <f>VLOOKUP(Tabla3[[#This Row],[Site]],'Important Info!'!$A$1:$H$135,8,FALSE)</f>
        <v>-</v>
      </c>
      <c r="L1063" s="52" t="str">
        <f>VLOOKUP(Tabla3[[#This Row],[Site]],'Important Info!'!$A$1:$F$135,2,FALSE)</f>
        <v>1, 2</v>
      </c>
      <c r="M1063" s="52" t="str">
        <f>VLOOKUP(Tabla3[[#This Row],[Site]],'Important Info!'!$A$1:$F$135,3,FALSE)</f>
        <v>-</v>
      </c>
      <c r="N1063" s="52" t="str">
        <f>VLOOKUP(Tabla3[[#This Row],[Site]],'Important Info!'!$A$1:$F$135,4,FALSE)</f>
        <v>-</v>
      </c>
      <c r="O1063" s="52" t="str">
        <f>VLOOKUP(Tabla3[[#This Row],[Site]],'Important Info!'!$A$1:$F$135,5,FALSE)</f>
        <v>-</v>
      </c>
      <c r="P1063" s="52" t="str">
        <f>VLOOKUP(Tabla3[[#This Row],[Site]],'Important Info!'!$A$1:$F$135,6,FALSE)</f>
        <v>1, 4, 6, 8, 10, 18</v>
      </c>
      <c r="Q1063" s="91">
        <f>VLOOKUP(Tabla3[[#This Row],[Site]],'Important Info!'!$A$1:$J$135,9,FALSE)</f>
        <v>222</v>
      </c>
    </row>
    <row r="1064" spans="1:17" x14ac:dyDescent="0.25">
      <c r="A1064" t="str">
        <f>+Tabla3[[#This Row],[Site]]&amp;Tabla3[[#This Row],[Split]]</f>
        <v>(AS) Bill Estes Ford (NO TOURS)13</v>
      </c>
      <c r="B1064">
        <v>13</v>
      </c>
      <c r="C1064">
        <v>3</v>
      </c>
      <c r="D1064" t="s">
        <v>62</v>
      </c>
      <c r="E1064" t="s">
        <v>35</v>
      </c>
      <c r="F1064" t="s">
        <v>178</v>
      </c>
      <c r="G1064" t="s">
        <v>490</v>
      </c>
      <c r="H1064" s="52" t="str">
        <f>VLOOKUP(Tabla3[[#This Row],[Site]],'Important Info!'!$A$1:$J$135,10,FALSE)</f>
        <v>https://tools.sig.systems/site/details/125</v>
      </c>
      <c r="J1064" t="s">
        <v>41</v>
      </c>
      <c r="K1064" s="79" t="str">
        <f>VLOOKUP(Tabla3[[#This Row],[Site]],'Important Info!'!$A$1:$H$135,8,FALSE)</f>
        <v>-</v>
      </c>
      <c r="L1064" s="52" t="str">
        <f>VLOOKUP(Tabla3[[#This Row],[Site]],'Important Info!'!$A$1:$F$135,2,FALSE)</f>
        <v>-</v>
      </c>
      <c r="M1064" s="52" t="str">
        <f>VLOOKUP(Tabla3[[#This Row],[Site]],'Important Info!'!$A$1:$F$135,3,FALSE)</f>
        <v>2, 3, 13, 16</v>
      </c>
      <c r="N1064" s="52" t="str">
        <f>VLOOKUP(Tabla3[[#This Row],[Site]],'Important Info!'!$A$1:$F$135,4,FALSE)</f>
        <v>-</v>
      </c>
      <c r="O1064" s="52" t="str">
        <f>VLOOKUP(Tabla3[[#This Row],[Site]],'Important Info!'!$A$1:$F$135,5,FALSE)</f>
        <v>1, 10, 14, 19</v>
      </c>
      <c r="P1064" s="52" t="str">
        <f>VLOOKUP(Tabla3[[#This Row],[Site]],'Important Info!'!$A$1:$F$135,6,FALSE)</f>
        <v>7, 8, 9, 10, 11, 12, 14</v>
      </c>
      <c r="Q1064" s="91">
        <f>VLOOKUP(Tabla3[[#This Row],[Site]],'Important Info!'!$A$1:$J$135,9,FALSE)</f>
        <v>125</v>
      </c>
    </row>
    <row r="1065" spans="1:17" x14ac:dyDescent="0.25">
      <c r="A1065" t="str">
        <f>+Tabla3[[#This Row],[Site]]&amp;Tabla3[[#This Row],[Split]]</f>
        <v>(AS) Lexus Grapevine I &amp; II (NO TOURS)13</v>
      </c>
      <c r="B1065">
        <v>13</v>
      </c>
      <c r="C1065">
        <v>3</v>
      </c>
      <c r="D1065" t="s">
        <v>33</v>
      </c>
      <c r="E1065" t="s">
        <v>46</v>
      </c>
      <c r="F1065" t="s">
        <v>508</v>
      </c>
      <c r="G1065" t="s">
        <v>34</v>
      </c>
      <c r="H1065" s="52" t="str">
        <f>VLOOKUP(Tabla3[[#This Row],[Site]],'Important Info!'!$A$1:$J$135,10,FALSE)</f>
        <v>https://tools.sig.systems/site/details/136</v>
      </c>
      <c r="J1065" t="s">
        <v>41</v>
      </c>
      <c r="K1065" s="79" t="str">
        <f>VLOOKUP(Tabla3[[#This Row],[Site]],'Important Info!'!$A$1:$H$135,8,FALSE)</f>
        <v>-</v>
      </c>
      <c r="L1065" s="52" t="str">
        <f>VLOOKUP(Tabla3[[#This Row],[Site]],'Important Info!'!$A$1:$F$135,2,FALSE)</f>
        <v>4, 10, 14, 18, 33</v>
      </c>
      <c r="M1065" s="52" t="str">
        <f>VLOOKUP(Tabla3[[#This Row],[Site]],'Important Info!'!$A$1:$F$135,3,FALSE)</f>
        <v>-</v>
      </c>
      <c r="N1065" s="52" t="str">
        <f>VLOOKUP(Tabla3[[#This Row],[Site]],'Important Info!'!$A$1:$F$135,4,FALSE)</f>
        <v>81, 82, 83</v>
      </c>
      <c r="O1065" s="52" t="str">
        <f>VLOOKUP(Tabla3[[#This Row],[Site]],'Important Info!'!$A$1:$F$135,5,FALSE)</f>
        <v>4, 12, 15, 20, 30</v>
      </c>
      <c r="P1065" s="52">
        <f>VLOOKUP(Tabla3[[#This Row],[Site]],'Important Info!'!$A$1:$F$135,6,FALSE)</f>
        <v>10</v>
      </c>
      <c r="Q1065" s="91">
        <f>VLOOKUP(Tabla3[[#This Row],[Site]],'Important Info!'!$A$1:$J$135,9,FALSE)</f>
        <v>136</v>
      </c>
    </row>
    <row r="1066" spans="1:17" x14ac:dyDescent="0.25">
      <c r="A1066" t="str">
        <f>+Tabla3[[#This Row],[Site]]&amp;Tabla3[[#This Row],[Split]]</f>
        <v>(HUD) Nissan Greensboro13</v>
      </c>
      <c r="B1066">
        <v>13</v>
      </c>
      <c r="C1066">
        <v>3</v>
      </c>
      <c r="D1066" t="s">
        <v>62</v>
      </c>
      <c r="E1066" t="s">
        <v>35</v>
      </c>
      <c r="F1066" t="s">
        <v>66</v>
      </c>
      <c r="G1066" t="s">
        <v>490</v>
      </c>
      <c r="H1066" s="52" t="str">
        <f>VLOOKUP(Tabla3[[#This Row],[Site]],'Important Info!'!$A$1:$J$135,10,FALSE)</f>
        <v>https://tools.sig.systems/site/details/236</v>
      </c>
      <c r="I1066" s="43" t="s">
        <v>184</v>
      </c>
      <c r="J1066" t="s">
        <v>41</v>
      </c>
      <c r="K1066" s="79" t="str">
        <f>VLOOKUP(Tabla3[[#This Row],[Site]],'Important Info!'!$A$1:$H$135,8,FALSE)</f>
        <v>-</v>
      </c>
      <c r="L1066" s="52" t="str">
        <f>VLOOKUP(Tabla3[[#This Row],[Site]],'Important Info!'!$A$1:$F$135,2,FALSE)</f>
        <v>1, 5, 12</v>
      </c>
      <c r="M1066" s="52" t="str">
        <f>VLOOKUP(Tabla3[[#This Row],[Site]],'Important Info!'!$A$1:$F$135,3,FALSE)</f>
        <v>-</v>
      </c>
      <c r="N1066" s="52" t="str">
        <f>VLOOKUP(Tabla3[[#This Row],[Site]],'Important Info!'!$A$1:$F$135,4,FALSE)</f>
        <v>-</v>
      </c>
      <c r="O1066" s="52" t="str">
        <f>VLOOKUP(Tabla3[[#This Row],[Site]],'Important Info!'!$A$1:$F$135,5,FALSE)</f>
        <v>-</v>
      </c>
      <c r="P1066" s="52">
        <f>VLOOKUP(Tabla3[[#This Row],[Site]],'Important Info!'!$A$1:$F$135,6,FALSE)</f>
        <v>4</v>
      </c>
      <c r="Q1066" s="91">
        <f>VLOOKUP(Tabla3[[#This Row],[Site]],'Important Info!'!$A$1:$J$135,9,FALSE)</f>
        <v>236</v>
      </c>
    </row>
    <row r="1067" spans="1:17" x14ac:dyDescent="0.25">
      <c r="A1067" t="str">
        <f>+Tabla3[[#This Row],[Site]]&amp;Tabla3[[#This Row],[Split]]</f>
        <v>(KG) Hyundai Surprise13</v>
      </c>
      <c r="B1067">
        <v>13</v>
      </c>
      <c r="C1067">
        <v>3</v>
      </c>
      <c r="D1067" t="s">
        <v>51</v>
      </c>
      <c r="E1067" t="s">
        <v>161</v>
      </c>
      <c r="F1067" t="s">
        <v>118</v>
      </c>
      <c r="G1067" t="s">
        <v>52</v>
      </c>
      <c r="H1067" s="52" t="str">
        <f>VLOOKUP(Tabla3[[#This Row],[Site]],'Important Info!'!$A$1:$J$135,10,FALSE)</f>
        <v>https://tools.sig.systems/site/details/269</v>
      </c>
      <c r="I1067" s="43"/>
      <c r="J1067" t="s">
        <v>162</v>
      </c>
      <c r="K1067" s="79" t="str">
        <f>VLOOKUP(Tabla3[[#This Row],[Site]],'Important Info!'!$A$1:$H$135,8,FALSE)</f>
        <v>-</v>
      </c>
      <c r="L1067" s="52" t="str">
        <f>VLOOKUP(Tabla3[[#This Row],[Site]],'Important Info!'!$A$1:$F$135,2,FALSE)</f>
        <v>1, 6, 7</v>
      </c>
      <c r="M1067" s="52" t="str">
        <f>VLOOKUP(Tabla3[[#This Row],[Site]],'Important Info!'!$A$1:$F$135,3,FALSE)</f>
        <v>-</v>
      </c>
      <c r="N1067" s="52" t="str">
        <f>VLOOKUP(Tabla3[[#This Row],[Site]],'Important Info!'!$A$1:$F$135,4,FALSE)</f>
        <v>-</v>
      </c>
      <c r="O1067" s="52" t="str">
        <f>VLOOKUP(Tabla3[[#This Row],[Site]],'Important Info!'!$A$1:$F$135,5,FALSE)</f>
        <v>6, 13</v>
      </c>
      <c r="P1067" s="52" t="str">
        <f>VLOOKUP(Tabla3[[#This Row],[Site]],'Important Info!'!$A$1:$F$135,6,FALSE)</f>
        <v>-</v>
      </c>
      <c r="Q1067" s="91">
        <f>VLOOKUP(Tabla3[[#This Row],[Site]],'Important Info!'!$A$1:$J$135,9,FALSE)</f>
        <v>269</v>
      </c>
    </row>
    <row r="1068" spans="1:17" x14ac:dyDescent="0.25">
      <c r="A1068" t="str">
        <f>+Tabla3[[#This Row],[Site]]&amp;Tabla3[[#This Row],[Split]]</f>
        <v>(KG) Texan GMC Buick (NO TOURS)13</v>
      </c>
      <c r="B1068">
        <v>13</v>
      </c>
      <c r="C1068">
        <v>3</v>
      </c>
      <c r="D1068" t="s">
        <v>33</v>
      </c>
      <c r="E1068" t="s">
        <v>46</v>
      </c>
      <c r="F1068" t="s">
        <v>111</v>
      </c>
      <c r="G1068" t="s">
        <v>34</v>
      </c>
      <c r="H1068" s="52" t="str">
        <f>VLOOKUP(Tabla3[[#This Row],[Site]],'Important Info!'!$A$1:$J$135,10,FALSE)</f>
        <v>https://tools.sig.systems/site/details/225</v>
      </c>
      <c r="I1068" s="2" t="s">
        <v>137</v>
      </c>
      <c r="J1068" t="s">
        <v>41</v>
      </c>
      <c r="K1068" s="79" t="str">
        <f>VLOOKUP(Tabla3[[#This Row],[Site]],'Important Info!'!$A$1:$H$135,8,FALSE)</f>
        <v>-</v>
      </c>
      <c r="L1068" s="52" t="str">
        <f>VLOOKUP(Tabla3[[#This Row],[Site]],'Important Info!'!$A$1:$F$135,2,FALSE)</f>
        <v>1, 20, 53</v>
      </c>
      <c r="M1068" s="52" t="str">
        <f>VLOOKUP(Tabla3[[#This Row],[Site]],'Important Info!'!$A$1:$F$135,3,FALSE)</f>
        <v>-</v>
      </c>
      <c r="N1068" s="52" t="str">
        <f>VLOOKUP(Tabla3[[#This Row],[Site]],'Important Info!'!$A$1:$F$135,4,FALSE)</f>
        <v>-</v>
      </c>
      <c r="O1068" s="52" t="str">
        <f>VLOOKUP(Tabla3[[#This Row],[Site]],'Important Info!'!$A$1:$F$135,5,FALSE)</f>
        <v>2, 8, 14</v>
      </c>
      <c r="P1068" s="52" t="str">
        <f>VLOOKUP(Tabla3[[#This Row],[Site]],'Important Info!'!$A$1:$F$135,6,FALSE)</f>
        <v>51, 52, 16</v>
      </c>
      <c r="Q1068" s="91">
        <f>VLOOKUP(Tabla3[[#This Row],[Site]],'Important Info!'!$A$1:$J$135,9,FALSE)</f>
        <v>225</v>
      </c>
    </row>
    <row r="1069" spans="1:17" x14ac:dyDescent="0.25">
      <c r="A1069" t="str">
        <f>+Tabla3[[#This Row],[Site]]&amp;Tabla3[[#This Row],[Split]]</f>
        <v>(LM) Luther Mazda / Mitsubishi13</v>
      </c>
      <c r="B1069">
        <v>13</v>
      </c>
      <c r="C1069">
        <v>3</v>
      </c>
      <c r="D1069" t="s">
        <v>33</v>
      </c>
      <c r="E1069" t="s">
        <v>46</v>
      </c>
      <c r="F1069" t="s">
        <v>103</v>
      </c>
      <c r="G1069" t="s">
        <v>34</v>
      </c>
      <c r="H1069" s="52" t="str">
        <f>VLOOKUP(Tabla3[[#This Row],[Site]],'Important Info!'!$A$1:$J$135,10,FALSE)</f>
        <v>https://tools.sig.systems/site/details/147</v>
      </c>
      <c r="I1069" s="2" t="s">
        <v>138</v>
      </c>
      <c r="J1069" t="s">
        <v>41</v>
      </c>
      <c r="K1069" s="79" t="str">
        <f>VLOOKUP(Tabla3[[#This Row],[Site]],'Important Info!'!$A$1:$H$135,8,FALSE)</f>
        <v>-</v>
      </c>
      <c r="L1069" s="52" t="str">
        <f>VLOOKUP(Tabla3[[#This Row],[Site]],'Important Info!'!$A$1:$F$135,2,FALSE)</f>
        <v>4, 5, 6</v>
      </c>
      <c r="M1069" s="52" t="str">
        <f>VLOOKUP(Tabla3[[#This Row],[Site]],'Important Info!'!$A$1:$F$135,3,FALSE)</f>
        <v>-</v>
      </c>
      <c r="N1069" s="52" t="str">
        <f>VLOOKUP(Tabla3[[#This Row],[Site]],'Important Info!'!$A$1:$F$135,4,FALSE)</f>
        <v>1, 2</v>
      </c>
      <c r="O1069" s="52" t="str">
        <f>VLOOKUP(Tabla3[[#This Row],[Site]],'Important Info!'!$A$1:$F$135,5,FALSE)</f>
        <v>-</v>
      </c>
      <c r="P1069" s="52" t="str">
        <f>VLOOKUP(Tabla3[[#This Row],[Site]],'Important Info!'!$A$1:$F$135,6,FALSE)</f>
        <v>13, 14, 15, 16</v>
      </c>
      <c r="Q1069" s="91">
        <f>VLOOKUP(Tabla3[[#This Row],[Site]],'Important Info!'!$A$1:$J$135,9,FALSE)</f>
        <v>147</v>
      </c>
    </row>
    <row r="1070" spans="1:17" x14ac:dyDescent="0.25">
      <c r="A1070" t="str">
        <f>+Tabla3[[#This Row],[Site]]&amp;Tabla3[[#This Row],[Split]]</f>
        <v>(ML) Joe Machens CDJR13</v>
      </c>
      <c r="B1070">
        <v>13</v>
      </c>
      <c r="C1070">
        <v>3</v>
      </c>
      <c r="D1070" t="s">
        <v>33</v>
      </c>
      <c r="E1070" t="s">
        <v>46</v>
      </c>
      <c r="F1070" t="s">
        <v>88</v>
      </c>
      <c r="G1070" t="s">
        <v>34</v>
      </c>
      <c r="H1070" s="52" t="str">
        <f>VLOOKUP(Tabla3[[#This Row],[Site]],'Important Info!'!$A$1:$J$135,10,FALSE)</f>
        <v>https://tools.sig.systems/site/details/273</v>
      </c>
      <c r="I1070" s="43" t="s">
        <v>146</v>
      </c>
      <c r="J1070" t="s">
        <v>41</v>
      </c>
      <c r="K1070" s="79" t="str">
        <f>VLOOKUP(Tabla3[[#This Row],[Site]],'Important Info!'!$A$1:$H$135,8,FALSE)</f>
        <v>-</v>
      </c>
      <c r="L1070" s="52" t="str">
        <f>VLOOKUP(Tabla3[[#This Row],[Site]],'Important Info!'!$A$1:$F$135,2,FALSE)</f>
        <v>-</v>
      </c>
      <c r="M1070" s="52">
        <f>VLOOKUP(Tabla3[[#This Row],[Site]],'Important Info!'!$A$1:$F$135,3,FALSE)</f>
        <v>3</v>
      </c>
      <c r="N1070" s="52" t="str">
        <f>VLOOKUP(Tabla3[[#This Row],[Site]],'Important Info!'!$A$1:$F$135,4,FALSE)</f>
        <v>-</v>
      </c>
      <c r="O1070" s="52" t="str">
        <f>VLOOKUP(Tabla3[[#This Row],[Site]],'Important Info!'!$A$1:$F$135,5,FALSE)</f>
        <v>-</v>
      </c>
      <c r="P1070" s="52" t="str">
        <f>VLOOKUP(Tabla3[[#This Row],[Site]],'Important Info!'!$A$1:$F$135,6,FALSE)</f>
        <v>1, 2, 3,</v>
      </c>
      <c r="Q1070" s="91">
        <f>VLOOKUP(Tabla3[[#This Row],[Site]],'Important Info!'!$A$1:$J$135,9,FALSE)</f>
        <v>273</v>
      </c>
    </row>
    <row r="1071" spans="1:17" x14ac:dyDescent="0.25">
      <c r="A1071" t="str">
        <f>+Tabla3[[#This Row],[Site]]&amp;Tabla3[[#This Row],[Split]]</f>
        <v>(RV) Toms Camperland Surprise (NO TOURS)13</v>
      </c>
      <c r="B1071">
        <v>13</v>
      </c>
      <c r="C1071">
        <v>3</v>
      </c>
      <c r="D1071" t="s">
        <v>51</v>
      </c>
      <c r="E1071" t="s">
        <v>161</v>
      </c>
      <c r="F1071" t="s">
        <v>165</v>
      </c>
      <c r="G1071" t="s">
        <v>52</v>
      </c>
      <c r="H1071" s="52" t="str">
        <f>VLOOKUP(Tabla3[[#This Row],[Site]],'Important Info!'!$A$1:$J$135,10,FALSE)</f>
        <v>https://tools.sig.systems/site/details/254</v>
      </c>
      <c r="I1071" s="43"/>
      <c r="J1071" t="s">
        <v>52</v>
      </c>
      <c r="K1071" s="79" t="str">
        <f>VLOOKUP(Tabla3[[#This Row],[Site]],'Important Info!'!$A$1:$H$135,8,FALSE)</f>
        <v>-</v>
      </c>
      <c r="L1071" s="52" t="str">
        <f>VLOOKUP(Tabla3[[#This Row],[Site]],'Important Info!'!$A$1:$F$135,2,FALSE)</f>
        <v>1, 3, 4</v>
      </c>
      <c r="M1071" s="52" t="str">
        <f>VLOOKUP(Tabla3[[#This Row],[Site]],'Important Info!'!$A$1:$F$135,3,FALSE)</f>
        <v>-</v>
      </c>
      <c r="N1071" s="52" t="str">
        <f>VLOOKUP(Tabla3[[#This Row],[Site]],'Important Info!'!$A$1:$F$135,4,FALSE)</f>
        <v>-</v>
      </c>
      <c r="O1071" s="52" t="str">
        <f>VLOOKUP(Tabla3[[#This Row],[Site]],'Important Info!'!$A$1:$F$135,5,FALSE)</f>
        <v>-</v>
      </c>
      <c r="P1071" s="52" t="str">
        <f>VLOOKUP(Tabla3[[#This Row],[Site]],'Important Info!'!$A$1:$F$135,6,FALSE)</f>
        <v>1, 2, 3, 4, 15</v>
      </c>
      <c r="Q1071" s="91">
        <f>VLOOKUP(Tabla3[[#This Row],[Site]],'Important Info!'!$A$1:$J$135,9,FALSE)</f>
        <v>254</v>
      </c>
    </row>
    <row r="1072" spans="1:17" x14ac:dyDescent="0.25">
      <c r="A1072" t="str">
        <f>+Tabla3[[#This Row],[Site]]&amp;Tabla3[[#This Row],[Split]]</f>
        <v>SIG Office13</v>
      </c>
      <c r="B1072">
        <v>13</v>
      </c>
      <c r="C1072">
        <v>3</v>
      </c>
      <c r="D1072" t="s">
        <v>60</v>
      </c>
      <c r="E1072" t="s">
        <v>35</v>
      </c>
      <c r="F1072" t="s">
        <v>169</v>
      </c>
      <c r="G1072" t="s">
        <v>41</v>
      </c>
      <c r="H1072" s="52" t="str">
        <f>VLOOKUP(Tabla3[[#This Row],[Site]],'Important Info!'!$A$1:$J$135,10,FALSE)</f>
        <v>https://tools.sig.systems/site/details/163</v>
      </c>
      <c r="J1072" t="s">
        <v>41</v>
      </c>
      <c r="K1072" s="79" t="str">
        <f>VLOOKUP(Tabla3[[#This Row],[Site]],'Important Info!'!$A$1:$H$135,8,FALSE)</f>
        <v>-</v>
      </c>
      <c r="L1072" s="52" t="str">
        <f>VLOOKUP(Tabla3[[#This Row],[Site]],'Important Info!'!$A$1:$F$135,2,FALSE)</f>
        <v>-</v>
      </c>
      <c r="M1072" s="52" t="str">
        <f>VLOOKUP(Tabla3[[#This Row],[Site]],'Important Info!'!$A$1:$F$135,3,FALSE)</f>
        <v>-</v>
      </c>
      <c r="N1072" s="52" t="str">
        <f>VLOOKUP(Tabla3[[#This Row],[Site]],'Important Info!'!$A$1:$F$135,4,FALSE)</f>
        <v>-</v>
      </c>
      <c r="O1072" s="52" t="str">
        <f>VLOOKUP(Tabla3[[#This Row],[Site]],'Important Info!'!$A$1:$F$135,5,FALSE)</f>
        <v>-</v>
      </c>
      <c r="P1072" s="52">
        <f>VLOOKUP(Tabla3[[#This Row],[Site]],'Important Info!'!$A$1:$F$135,6,FALSE)</f>
        <v>25</v>
      </c>
      <c r="Q1072" s="91">
        <f>VLOOKUP(Tabla3[[#This Row],[Site]],'Important Info!'!$A$1:$J$135,9,FALSE)</f>
        <v>163</v>
      </c>
    </row>
    <row r="1073" spans="1:17" x14ac:dyDescent="0.25">
      <c r="A1073" t="str">
        <f>+Tabla3[[#This Row],[Site]]&amp;Tabla3[[#This Row],[Split]]</f>
        <v>(AS) Lexus Plano I &amp; II (NO TOURS)13</v>
      </c>
      <c r="B1073">
        <v>13</v>
      </c>
      <c r="C1073">
        <v>4</v>
      </c>
      <c r="D1073" t="s">
        <v>33</v>
      </c>
      <c r="E1073" t="s">
        <v>46</v>
      </c>
      <c r="F1073" t="s">
        <v>524</v>
      </c>
      <c r="G1073" t="s">
        <v>34</v>
      </c>
      <c r="H1073" s="52" t="str">
        <f>VLOOKUP(Tabla3[[#This Row],[Site]],'Important Info!'!$A$1:$J$135,10,FALSE)</f>
        <v>https://tools.sig.systems/site/details/167</v>
      </c>
      <c r="I1073" s="63" t="s">
        <v>127</v>
      </c>
      <c r="J1073" t="s">
        <v>41</v>
      </c>
      <c r="K1073" s="79" t="str">
        <f>VLOOKUP(Tabla3[[#This Row],[Site]],'Important Info!'!$A$1:$H$135,8,FALSE)</f>
        <v>-</v>
      </c>
      <c r="L1073" s="52" t="str">
        <f>VLOOKUP(Tabla3[[#This Row],[Site]],'Important Info!'!$A$1:$F$135,2,FALSE)</f>
        <v>5, 9</v>
      </c>
      <c r="M1073" s="52" t="str">
        <f>VLOOKUP(Tabla3[[#This Row],[Site]],'Important Info!'!$A$1:$F$135,3,FALSE)</f>
        <v>-</v>
      </c>
      <c r="N1073" s="52" t="str">
        <f>VLOOKUP(Tabla3[[#This Row],[Site]],'Important Info!'!$A$1:$F$135,4,FALSE)</f>
        <v>101, 102, 103, 104</v>
      </c>
      <c r="O1073" s="52" t="str">
        <f>VLOOKUP(Tabla3[[#This Row],[Site]],'Important Info!'!$A$1:$F$135,5,FALSE)</f>
        <v>4, 10, 28</v>
      </c>
      <c r="P1073" s="52" t="str">
        <f>VLOOKUP(Tabla3[[#This Row],[Site]],'Important Info!'!$A$1:$F$135,6,FALSE)</f>
        <v>5, 9, 16</v>
      </c>
      <c r="Q1073" s="91">
        <f>VLOOKUP(Tabla3[[#This Row],[Site]],'Important Info!'!$A$1:$J$135,9,FALSE)</f>
        <v>167</v>
      </c>
    </row>
    <row r="1074" spans="1:17" x14ac:dyDescent="0.25">
      <c r="A1074" t="str">
        <f>+Tabla3[[#This Row],[Site]]&amp;Tabla3[[#This Row],[Split]]</f>
        <v>(AS) Park Place Volvo Sales (NO TOURS)13</v>
      </c>
      <c r="B1074">
        <v>13</v>
      </c>
      <c r="C1074">
        <v>4</v>
      </c>
      <c r="D1074" t="s">
        <v>33</v>
      </c>
      <c r="E1074" t="s">
        <v>46</v>
      </c>
      <c r="F1074" t="s">
        <v>521</v>
      </c>
      <c r="G1074" t="s">
        <v>34</v>
      </c>
      <c r="H1074" s="52" t="str">
        <f>VLOOKUP(Tabla3[[#This Row],[Site]],'Important Info!'!$A$1:$J$135,10,FALSE)</f>
        <v>https://tools.sig.systems/site/details/139</v>
      </c>
      <c r="I1074" s="65" t="s">
        <v>125</v>
      </c>
      <c r="J1074" t="s">
        <v>41</v>
      </c>
      <c r="K1074" s="79" t="str">
        <f>VLOOKUP(Tabla3[[#This Row],[Site]],'Important Info!'!$A$1:$H$135,8,FALSE)</f>
        <v>-</v>
      </c>
      <c r="L1074" s="52" t="str">
        <f>VLOOKUP(Tabla3[[#This Row],[Site]],'Important Info!'!$A$1:$F$135,2,FALSE)</f>
        <v>4, 6, 9, 11</v>
      </c>
      <c r="M1074" s="52" t="str">
        <f>VLOOKUP(Tabla3[[#This Row],[Site]],'Important Info!'!$A$1:$F$135,3,FALSE)</f>
        <v>-</v>
      </c>
      <c r="N1074" s="52" t="str">
        <f>VLOOKUP(Tabla3[[#This Row],[Site]],'Important Info!'!$A$1:$F$135,4,FALSE)</f>
        <v>-</v>
      </c>
      <c r="O1074" s="52" t="str">
        <f>VLOOKUP(Tabla3[[#This Row],[Site]],'Important Info!'!$A$1:$F$135,5,FALSE)</f>
        <v>2, 9</v>
      </c>
      <c r="P1074" s="52" t="str">
        <f>VLOOKUP(Tabla3[[#This Row],[Site]],'Important Info!'!$A$1:$F$135,6,FALSE)</f>
        <v>4, 10, 11</v>
      </c>
      <c r="Q1074" s="91">
        <f>VLOOKUP(Tabla3[[#This Row],[Site]],'Important Info!'!$A$1:$J$135,9,FALSE)</f>
        <v>139</v>
      </c>
    </row>
    <row r="1075" spans="1:17" x14ac:dyDescent="0.25">
      <c r="A1075" t="str">
        <f>+Tabla3[[#This Row],[Site]]&amp;Tabla3[[#This Row],[Split]]</f>
        <v>(DT) Denver (NO TOURS)13</v>
      </c>
      <c r="B1075">
        <v>13</v>
      </c>
      <c r="C1075">
        <v>4</v>
      </c>
      <c r="D1075" t="s">
        <v>44</v>
      </c>
      <c r="E1075" t="s">
        <v>53</v>
      </c>
      <c r="F1075" t="s">
        <v>157</v>
      </c>
      <c r="G1075" t="s">
        <v>45</v>
      </c>
      <c r="H1075" s="52" t="str">
        <f>VLOOKUP(Tabla3[[#This Row],[Site]],'Important Info!'!$A$1:$J$135,10,FALSE)</f>
        <v>https://tools.sig.systems/site/details/203</v>
      </c>
      <c r="I1075" s="43" t="s">
        <v>158</v>
      </c>
      <c r="J1075" t="s">
        <v>41</v>
      </c>
      <c r="K1075" s="79" t="str">
        <f>VLOOKUP(Tabla3[[#This Row],[Site]],'Important Info!'!$A$1:$H$135,8,FALSE)</f>
        <v>-</v>
      </c>
      <c r="L1075" s="52" t="str">
        <f>VLOOKUP(Tabla3[[#This Row],[Site]],'Important Info!'!$A$1:$F$135,2,FALSE)</f>
        <v>-</v>
      </c>
      <c r="M1075" s="52" t="str">
        <f>VLOOKUP(Tabla3[[#This Row],[Site]],'Important Info!'!$A$1:$F$135,3,FALSE)</f>
        <v>7, 8</v>
      </c>
      <c r="N1075" s="52" t="str">
        <f>VLOOKUP(Tabla3[[#This Row],[Site]],'Important Info!'!$A$1:$F$135,4,FALSE)</f>
        <v>-</v>
      </c>
      <c r="O1075" s="52" t="str">
        <f>VLOOKUP(Tabla3[[#This Row],[Site]],'Important Info!'!$A$1:$F$135,5,FALSE)</f>
        <v>-</v>
      </c>
      <c r="P1075" s="52" t="str">
        <f>VLOOKUP(Tabla3[[#This Row],[Site]],'Important Info!'!$A$1:$F$135,6,FALSE)</f>
        <v>7, 8</v>
      </c>
      <c r="Q1075" s="91">
        <f>VLOOKUP(Tabla3[[#This Row],[Site]],'Important Info!'!$A$1:$J$135,9,FALSE)</f>
        <v>203</v>
      </c>
    </row>
    <row r="1076" spans="1:17" x14ac:dyDescent="0.25">
      <c r="A1076" t="str">
        <f>+Tabla3[[#This Row],[Site]]&amp;Tabla3[[#This Row],[Split]]</f>
        <v>(DT) El Cajon (NO TOURS)13</v>
      </c>
      <c r="B1076">
        <v>13</v>
      </c>
      <c r="C1076">
        <v>4</v>
      </c>
      <c r="D1076" t="s">
        <v>51</v>
      </c>
      <c r="E1076" t="s">
        <v>159</v>
      </c>
      <c r="F1076" t="s">
        <v>160</v>
      </c>
      <c r="G1076" t="s">
        <v>52</v>
      </c>
      <c r="H1076" s="52" t="str">
        <f>VLOOKUP(Tabla3[[#This Row],[Site]],'Important Info!'!$A$1:$J$135,10,FALSE)</f>
        <v>https://tools.sig.systems/site/details/241</v>
      </c>
      <c r="I1076" s="43"/>
      <c r="J1076" t="s">
        <v>41</v>
      </c>
      <c r="K1076" s="79" t="str">
        <f>VLOOKUP(Tabla3[[#This Row],[Site]],'Important Info!'!$A$1:$H$135,8,FALSE)</f>
        <v>-</v>
      </c>
      <c r="L1076" s="52" t="str">
        <f>VLOOKUP(Tabla3[[#This Row],[Site]],'Important Info!'!$A$1:$F$135,2,FALSE)</f>
        <v>-</v>
      </c>
      <c r="M1076" s="52">
        <f>VLOOKUP(Tabla3[[#This Row],[Site]],'Important Info!'!$A$1:$F$135,3,FALSE)</f>
        <v>3</v>
      </c>
      <c r="N1076" s="52" t="str">
        <f>VLOOKUP(Tabla3[[#This Row],[Site]],'Important Info!'!$A$1:$F$135,4,FALSE)</f>
        <v>-</v>
      </c>
      <c r="O1076" s="52" t="str">
        <f>VLOOKUP(Tabla3[[#This Row],[Site]],'Important Info!'!$A$1:$F$135,5,FALSE)</f>
        <v>-</v>
      </c>
      <c r="P1076" s="52" t="str">
        <f>VLOOKUP(Tabla3[[#This Row],[Site]],'Important Info!'!$A$1:$F$135,6,FALSE)</f>
        <v>-</v>
      </c>
      <c r="Q1076" s="91">
        <f>VLOOKUP(Tabla3[[#This Row],[Site]],'Important Info!'!$A$1:$J$135,9,FALSE)</f>
        <v>241</v>
      </c>
    </row>
    <row r="1077" spans="1:17" x14ac:dyDescent="0.25">
      <c r="A1077" t="str">
        <f>+Tabla3[[#This Row],[Site]]&amp;Tabla3[[#This Row],[Split]]</f>
        <v>(HUD) CDJR of Greensboro13</v>
      </c>
      <c r="B1077">
        <v>13</v>
      </c>
      <c r="C1077">
        <v>4</v>
      </c>
      <c r="D1077" t="s">
        <v>62</v>
      </c>
      <c r="E1077" t="s">
        <v>35</v>
      </c>
      <c r="F1077" t="s">
        <v>185</v>
      </c>
      <c r="G1077" t="s">
        <v>491</v>
      </c>
      <c r="H1077" s="52" t="str">
        <f>VLOOKUP(Tabla3[[#This Row],[Site]],'Important Info!'!$A$1:$J$135,10,FALSE)</f>
        <v>https://tools.sig.systems/site/details/215</v>
      </c>
      <c r="I1077" s="43" t="s">
        <v>184</v>
      </c>
      <c r="J1077" t="s">
        <v>36</v>
      </c>
      <c r="K1077" s="79" t="str">
        <f>VLOOKUP(Tabla3[[#This Row],[Site]],'Important Info!'!$A$1:$H$135,8,FALSE)</f>
        <v>-</v>
      </c>
      <c r="L1077" s="52" t="str">
        <f>VLOOKUP(Tabla3[[#This Row],[Site]],'Important Info!'!$A$1:$F$135,2,FALSE)</f>
        <v>2, 12</v>
      </c>
      <c r="M1077" s="52" t="str">
        <f>VLOOKUP(Tabla3[[#This Row],[Site]],'Important Info!'!$A$1:$F$135,3,FALSE)</f>
        <v>-</v>
      </c>
      <c r="N1077" s="52" t="str">
        <f>VLOOKUP(Tabla3[[#This Row],[Site]],'Important Info!'!$A$1:$F$135,4,FALSE)</f>
        <v>-</v>
      </c>
      <c r="O1077" s="52" t="str">
        <f>VLOOKUP(Tabla3[[#This Row],[Site]],'Important Info!'!$A$1:$F$135,5,FALSE)</f>
        <v>3, 13</v>
      </c>
      <c r="P1077" s="52" t="str">
        <f>VLOOKUP(Tabla3[[#This Row],[Site]],'Important Info!'!$A$1:$F$135,6,FALSE)</f>
        <v>1, 17</v>
      </c>
      <c r="Q1077" s="91">
        <f>VLOOKUP(Tabla3[[#This Row],[Site]],'Important Info!'!$A$1:$J$135,9,FALSE)</f>
        <v>215</v>
      </c>
    </row>
    <row r="1078" spans="1:17" x14ac:dyDescent="0.25">
      <c r="A1078" t="str">
        <f>+Tabla3[[#This Row],[Site]]&amp;Tabla3[[#This Row],[Split]]</f>
        <v>(KG) Big Star CDJR of Clear Lake13</v>
      </c>
      <c r="B1078">
        <v>13</v>
      </c>
      <c r="C1078">
        <v>4</v>
      </c>
      <c r="D1078" t="s">
        <v>33</v>
      </c>
      <c r="E1078" t="s">
        <v>46</v>
      </c>
      <c r="F1078" t="s">
        <v>133</v>
      </c>
      <c r="G1078" t="s">
        <v>34</v>
      </c>
      <c r="H1078" s="52" t="str">
        <f>VLOOKUP(Tabla3[[#This Row],[Site]],'Important Info!'!$A$1:$J$135,10,FALSE)</f>
        <v>https://tools.sig.systems/site/details/232</v>
      </c>
      <c r="I1078" s="2" t="s">
        <v>134</v>
      </c>
      <c r="J1078" t="s">
        <v>41</v>
      </c>
      <c r="K1078" s="79" t="str">
        <f>VLOOKUP(Tabla3[[#This Row],[Site]],'Important Info!'!$A$1:$H$135,8,FALSE)</f>
        <v>-</v>
      </c>
      <c r="L1078" s="52" t="str">
        <f>VLOOKUP(Tabla3[[#This Row],[Site]],'Important Info!'!$A$1:$F$135,2,FALSE)</f>
        <v>8, 25</v>
      </c>
      <c r="M1078" s="52" t="str">
        <f>VLOOKUP(Tabla3[[#This Row],[Site]],'Important Info!'!$A$1:$F$135,3,FALSE)</f>
        <v>-</v>
      </c>
      <c r="N1078" s="52" t="str">
        <f>VLOOKUP(Tabla3[[#This Row],[Site]],'Important Info!'!$A$1:$F$135,4,FALSE)</f>
        <v>-</v>
      </c>
      <c r="O1078" s="52" t="str">
        <f>VLOOKUP(Tabla3[[#This Row],[Site]],'Important Info!'!$A$1:$F$135,5,FALSE)</f>
        <v>7, 13, 19, 24</v>
      </c>
      <c r="P1078" s="52" t="str">
        <f>VLOOKUP(Tabla3[[#This Row],[Site]],'Important Info!'!$A$1:$F$135,6,FALSE)</f>
        <v>6, 8, 25, 31</v>
      </c>
      <c r="Q1078" s="91">
        <f>VLOOKUP(Tabla3[[#This Row],[Site]],'Important Info!'!$A$1:$J$135,9,FALSE)</f>
        <v>232</v>
      </c>
    </row>
    <row r="1079" spans="1:17" x14ac:dyDescent="0.25">
      <c r="A1079" t="str">
        <f>+Tabla3[[#This Row],[Site]]&amp;Tabla3[[#This Row],[Split]]</f>
        <v>(KG) Big Star Ford13</v>
      </c>
      <c r="B1079">
        <v>13</v>
      </c>
      <c r="C1079">
        <v>4</v>
      </c>
      <c r="D1079" t="s">
        <v>33</v>
      </c>
      <c r="E1079" t="s">
        <v>46</v>
      </c>
      <c r="F1079" t="s">
        <v>135</v>
      </c>
      <c r="G1079" t="s">
        <v>34</v>
      </c>
      <c r="H1079" s="52" t="str">
        <f>VLOOKUP(Tabla3[[#This Row],[Site]],'Important Info!'!$A$1:$J$135,10,FALSE)</f>
        <v>https://tools.sig.systems/site/details/235</v>
      </c>
      <c r="I1079" s="2"/>
      <c r="J1079" t="s">
        <v>41</v>
      </c>
      <c r="K1079" s="79" t="str">
        <f>VLOOKUP(Tabla3[[#This Row],[Site]],'Important Info!'!$A$1:$H$135,8,FALSE)</f>
        <v>-</v>
      </c>
      <c r="L1079" s="52" t="str">
        <f>VLOOKUP(Tabla3[[#This Row],[Site]],'Important Info!'!$A$1:$F$135,2,FALSE)</f>
        <v>4, 22, 32, 33</v>
      </c>
      <c r="M1079" s="52" t="str">
        <f>VLOOKUP(Tabla3[[#This Row],[Site]],'Important Info!'!$A$1:$F$135,3,FALSE)</f>
        <v>-</v>
      </c>
      <c r="N1079" s="52" t="str">
        <f>VLOOKUP(Tabla3[[#This Row],[Site]],'Important Info!'!$A$1:$F$135,4,FALSE)</f>
        <v>-</v>
      </c>
      <c r="O1079" s="52" t="str">
        <f>VLOOKUP(Tabla3[[#This Row],[Site]],'Important Info!'!$A$1:$F$135,5,FALSE)</f>
        <v>1, 5, 12, 21</v>
      </c>
      <c r="P1079" s="52">
        <f>VLOOKUP(Tabla3[[#This Row],[Site]],'Important Info!'!$A$1:$F$135,6,FALSE)</f>
        <v>22</v>
      </c>
      <c r="Q1079" s="91">
        <f>VLOOKUP(Tabla3[[#This Row],[Site]],'Important Info!'!$A$1:$J$135,9,FALSE)</f>
        <v>235</v>
      </c>
    </row>
    <row r="1080" spans="1:17" x14ac:dyDescent="0.25">
      <c r="A1080" t="str">
        <f>+Tabla3[[#This Row],[Site]]&amp;Tabla3[[#This Row],[Split]]</f>
        <v>(ML) Joe Machens VW13</v>
      </c>
      <c r="B1080">
        <v>13</v>
      </c>
      <c r="C1080">
        <v>4</v>
      </c>
      <c r="D1080" t="s">
        <v>33</v>
      </c>
      <c r="E1080" t="s">
        <v>46</v>
      </c>
      <c r="F1080" t="s">
        <v>74</v>
      </c>
      <c r="G1080" t="s">
        <v>34</v>
      </c>
      <c r="H1080" s="52" t="str">
        <f>VLOOKUP(Tabla3[[#This Row],[Site]],'Important Info!'!$A$1:$J$135,10,FALSE)</f>
        <v>https://tools.sig.systems/site/details/274</v>
      </c>
      <c r="I1080" s="66" t="s">
        <v>146</v>
      </c>
      <c r="J1080" t="s">
        <v>41</v>
      </c>
      <c r="K1080" s="79" t="str">
        <f>VLOOKUP(Tabla3[[#This Row],[Site]],'Important Info!'!$A$1:$H$135,8,FALSE)</f>
        <v>-</v>
      </c>
      <c r="L1080" s="52" t="str">
        <f>VLOOKUP(Tabla3[[#This Row],[Site]],'Important Info!'!$A$1:$F$135,2,FALSE)</f>
        <v>-</v>
      </c>
      <c r="M1080" s="52" t="str">
        <f>VLOOKUP(Tabla3[[#This Row],[Site]],'Important Info!'!$A$1:$F$135,3,FALSE)</f>
        <v>1, 11, 18</v>
      </c>
      <c r="N1080" s="52" t="str">
        <f>VLOOKUP(Tabla3[[#This Row],[Site]],'Important Info!'!$A$1:$F$135,4,FALSE)</f>
        <v>-</v>
      </c>
      <c r="O1080" s="52">
        <f>VLOOKUP(Tabla3[[#This Row],[Site]],'Important Info!'!$A$1:$F$135,5,FALSE)</f>
        <v>17</v>
      </c>
      <c r="P1080" s="52" t="str">
        <f>VLOOKUP(Tabla3[[#This Row],[Site]],'Important Info!'!$A$1:$F$135,6,FALSE)</f>
        <v>-</v>
      </c>
      <c r="Q1080" s="91">
        <f>VLOOKUP(Tabla3[[#This Row],[Site]],'Important Info!'!$A$1:$J$135,9,FALSE)</f>
        <v>274</v>
      </c>
    </row>
    <row r="1081" spans="1:17" x14ac:dyDescent="0.25">
      <c r="A1081" t="str">
        <f>+Tabla3[[#This Row],[Site]]&amp;Tabla3[[#This Row],[Split]]</f>
        <v>(ML) Nissan of Little Rock13</v>
      </c>
      <c r="B1081">
        <v>13</v>
      </c>
      <c r="C1081">
        <v>4</v>
      </c>
      <c r="D1081" t="s">
        <v>33</v>
      </c>
      <c r="E1081" t="s">
        <v>46</v>
      </c>
      <c r="F1081" t="s">
        <v>152</v>
      </c>
      <c r="G1081" t="s">
        <v>34</v>
      </c>
      <c r="H1081" s="52" t="str">
        <f>VLOOKUP(Tabla3[[#This Row],[Site]],'Important Info!'!$A$1:$J$135,10,FALSE)</f>
        <v>https://tools.sig.systems/site/details/224</v>
      </c>
      <c r="I1081" t="s">
        <v>140</v>
      </c>
      <c r="J1081" t="s">
        <v>41</v>
      </c>
      <c r="K1081" s="79" t="str">
        <f>VLOOKUP(Tabla3[[#This Row],[Site]],'Important Info!'!$A$1:$H$135,8,FALSE)</f>
        <v>-</v>
      </c>
      <c r="L1081" s="52" t="str">
        <f>VLOOKUP(Tabla3[[#This Row],[Site]],'Important Info!'!$A$1:$F$135,2,FALSE)</f>
        <v>3, 6</v>
      </c>
      <c r="M1081" s="52" t="str">
        <f>VLOOKUP(Tabla3[[#This Row],[Site]],'Important Info!'!$A$1:$F$135,3,FALSE)</f>
        <v>-</v>
      </c>
      <c r="N1081" s="52" t="str">
        <f>VLOOKUP(Tabla3[[#This Row],[Site]],'Important Info!'!$A$1:$F$135,4,FALSE)</f>
        <v>-</v>
      </c>
      <c r="O1081" s="52" t="str">
        <f>VLOOKUP(Tabla3[[#This Row],[Site]],'Important Info!'!$A$1:$F$135,5,FALSE)</f>
        <v>1, 8, 16, 22</v>
      </c>
      <c r="P1081" s="52" t="str">
        <f>VLOOKUP(Tabla3[[#This Row],[Site]],'Important Info!'!$A$1:$F$135,6,FALSE)</f>
        <v>3, 4</v>
      </c>
      <c r="Q1081" s="91">
        <f>VLOOKUP(Tabla3[[#This Row],[Site]],'Important Info!'!$A$1:$J$135,9,FALSE)</f>
        <v>224</v>
      </c>
    </row>
    <row r="1082" spans="1:17" x14ac:dyDescent="0.25">
      <c r="A1082" t="str">
        <f>+Tabla3[[#This Row],[Site]]&amp;Tabla3[[#This Row],[Split]]</f>
        <v>(PE) BMW of Greenwich (NO TOURS)13</v>
      </c>
      <c r="B1082">
        <v>13</v>
      </c>
      <c r="C1082">
        <v>4</v>
      </c>
      <c r="D1082" t="s">
        <v>485</v>
      </c>
      <c r="E1082" t="s">
        <v>35</v>
      </c>
      <c r="F1082" t="s">
        <v>170</v>
      </c>
      <c r="G1082" t="s">
        <v>490</v>
      </c>
      <c r="H1082" s="52" t="str">
        <f>VLOOKUP(Tabla3[[#This Row],[Site]],'Important Info!'!$A$1:$J$135,10,FALSE)</f>
        <v>https://tools.sig.systems/site/details/186</v>
      </c>
      <c r="I1082" s="43" t="s">
        <v>171</v>
      </c>
      <c r="J1082" t="s">
        <v>41</v>
      </c>
      <c r="K1082" s="79" t="str">
        <f>VLOOKUP(Tabla3[[#This Row],[Site]],'Important Info!'!$A$1:$H$135,8,FALSE)</f>
        <v>-</v>
      </c>
      <c r="L1082" s="52" t="str">
        <f>VLOOKUP(Tabla3[[#This Row],[Site]],'Important Info!'!$A$1:$F$135,2,FALSE)</f>
        <v>1, 6, 15</v>
      </c>
      <c r="M1082" s="52" t="str">
        <f>VLOOKUP(Tabla3[[#This Row],[Site]],'Important Info!'!$A$1:$F$135,3,FALSE)</f>
        <v>-</v>
      </c>
      <c r="N1082" s="52" t="str">
        <f>VLOOKUP(Tabla3[[#This Row],[Site]],'Important Info!'!$A$1:$F$135,4,FALSE)</f>
        <v>-</v>
      </c>
      <c r="O1082" s="52" t="str">
        <f>VLOOKUP(Tabla3[[#This Row],[Site]],'Important Info!'!$A$1:$F$135,5,FALSE)</f>
        <v>-</v>
      </c>
      <c r="P1082" s="52">
        <f>VLOOKUP(Tabla3[[#This Row],[Site]],'Important Info!'!$A$1:$F$135,6,FALSE)</f>
        <v>12</v>
      </c>
      <c r="Q1082" s="91">
        <f>VLOOKUP(Tabla3[[#This Row],[Site]],'Important Info!'!$A$1:$J$135,9,FALSE)</f>
        <v>186</v>
      </c>
    </row>
    <row r="1083" spans="1:17" x14ac:dyDescent="0.25">
      <c r="A1083" t="str">
        <f>+Tabla3[[#This Row],[Site]]&amp;Tabla3[[#This Row],[Split]]</f>
        <v>(AS) Coggin Honda Ft. Pierce (NO TOURS)13</v>
      </c>
      <c r="B1083">
        <v>13</v>
      </c>
      <c r="C1083">
        <v>5</v>
      </c>
      <c r="D1083" t="s">
        <v>62</v>
      </c>
      <c r="E1083" t="s">
        <v>35</v>
      </c>
      <c r="F1083" t="s">
        <v>501</v>
      </c>
      <c r="G1083" t="s">
        <v>490</v>
      </c>
      <c r="H1083" s="52" t="str">
        <f>VLOOKUP(Tabla3[[#This Row],[Site]],'Important Info!'!$A$1:$J$135,10,FALSE)</f>
        <v>https://tools.sig.systems/site/details/120</v>
      </c>
      <c r="I1083" t="s">
        <v>179</v>
      </c>
      <c r="J1083" t="s">
        <v>484</v>
      </c>
      <c r="K1083" s="79" t="str">
        <f>VLOOKUP(Tabla3[[#This Row],[Site]],'Important Info!'!$A$1:$H$135,8,FALSE)</f>
        <v>-</v>
      </c>
      <c r="L1083" s="52" t="str">
        <f>VLOOKUP(Tabla3[[#This Row],[Site]],'Important Info!'!$A$1:$F$135,2,FALSE)</f>
        <v>1, 2, 3, 4, 14</v>
      </c>
      <c r="M1083" s="52" t="str">
        <f>VLOOKUP(Tabla3[[#This Row],[Site]],'Important Info!'!$A$1:$F$135,3,FALSE)</f>
        <v>-</v>
      </c>
      <c r="N1083" s="52" t="str">
        <f>VLOOKUP(Tabla3[[#This Row],[Site]],'Important Info!'!$A$1:$F$135,4,FALSE)</f>
        <v>-</v>
      </c>
      <c r="O1083" s="52" t="str">
        <f>VLOOKUP(Tabla3[[#This Row],[Site]],'Important Info!'!$A$1:$F$135,5,FALSE)</f>
        <v>7, 11, 15</v>
      </c>
      <c r="P1083" s="52">
        <f>VLOOKUP(Tabla3[[#This Row],[Site]],'Important Info!'!$A$1:$F$135,6,FALSE)</f>
        <v>3</v>
      </c>
      <c r="Q1083" s="91">
        <f>VLOOKUP(Tabla3[[#This Row],[Site]],'Important Info!'!$A$1:$J$135,9,FALSE)</f>
        <v>120</v>
      </c>
    </row>
    <row r="1084" spans="1:17" x14ac:dyDescent="0.25">
      <c r="A1084" t="str">
        <f>+Tabla3[[#This Row],[Site]]&amp;Tabla3[[#This Row],[Split]]</f>
        <v>(AS) Mercedes Benz/Porsche Dallas I,II,III (NO TOURS)13</v>
      </c>
      <c r="B1084">
        <v>13</v>
      </c>
      <c r="C1084">
        <v>5</v>
      </c>
      <c r="D1084" t="s">
        <v>33</v>
      </c>
      <c r="E1084" t="s">
        <v>46</v>
      </c>
      <c r="F1084" t="s">
        <v>509</v>
      </c>
      <c r="G1084" t="s">
        <v>34</v>
      </c>
      <c r="H1084" s="52" t="str">
        <f>VLOOKUP(Tabla3[[#This Row],[Site]],'Important Info!'!$A$1:$J$135,10,FALSE)</f>
        <v>https://tools.sig.systems/site/details/168</v>
      </c>
      <c r="I1084" s="65" t="s">
        <v>125</v>
      </c>
      <c r="J1084" t="s">
        <v>41</v>
      </c>
      <c r="K1084" s="79" t="str">
        <f>VLOOKUP(Tabla3[[#This Row],[Site]],'Important Info!'!$A$1:$H$135,8,FALSE)</f>
        <v>-</v>
      </c>
      <c r="L1084" s="52" t="str">
        <f>VLOOKUP(Tabla3[[#This Row],[Site]],'Important Info!'!$A$1:$F$135,2,FALSE)</f>
        <v>3, 4, 17, 26, 41</v>
      </c>
      <c r="M1084" s="52" t="str">
        <f>VLOOKUP(Tabla3[[#This Row],[Site]],'Important Info!'!$A$1:$F$135,3,FALSE)</f>
        <v>-</v>
      </c>
      <c r="N1084" s="52" t="str">
        <f>VLOOKUP(Tabla3[[#This Row],[Site]],'Important Info!'!$A$1:$F$135,4,FALSE)</f>
        <v>153, 154, 155, 156, 157, 158</v>
      </c>
      <c r="O1084" s="52" t="str">
        <f>VLOOKUP(Tabla3[[#This Row],[Site]],'Important Info!'!$A$1:$F$135,5,FALSE)</f>
        <v>2, 6, 10, 20, 28, 30, 36</v>
      </c>
      <c r="P1084" s="52" t="str">
        <f>VLOOKUP(Tabla3[[#This Row],[Site]],'Important Info!'!$A$1:$F$135,6,FALSE)</f>
        <v>31, 41, 159</v>
      </c>
      <c r="Q1084" s="91">
        <f>VLOOKUP(Tabla3[[#This Row],[Site]],'Important Info!'!$A$1:$J$135,9,FALSE)</f>
        <v>168</v>
      </c>
    </row>
    <row r="1085" spans="1:17" x14ac:dyDescent="0.25">
      <c r="A1085" t="str">
        <f>+Tabla3[[#This Row],[Site]]&amp;Tabla3[[#This Row],[Split]]</f>
        <v>(DT) Colorado Springs (NO TOURS)13</v>
      </c>
      <c r="B1085">
        <v>13</v>
      </c>
      <c r="C1085">
        <v>5</v>
      </c>
      <c r="D1085" t="s">
        <v>44</v>
      </c>
      <c r="E1085" t="s">
        <v>53</v>
      </c>
      <c r="F1085" t="s">
        <v>156</v>
      </c>
      <c r="G1085" t="s">
        <v>45</v>
      </c>
      <c r="H1085" s="52" t="str">
        <f>VLOOKUP(Tabla3[[#This Row],[Site]],'Important Info!'!$A$1:$J$135,10,FALSE)</f>
        <v>https://tools.sig.systems/site/details/198</v>
      </c>
      <c r="I1085" s="64"/>
      <c r="J1085" t="s">
        <v>41</v>
      </c>
      <c r="K1085" s="79" t="str">
        <f>VLOOKUP(Tabla3[[#This Row],[Site]],'Important Info!'!$A$1:$H$135,8,FALSE)</f>
        <v>-</v>
      </c>
      <c r="L1085" s="52" t="str">
        <f>VLOOKUP(Tabla3[[#This Row],[Site]],'Important Info!'!$A$1:$F$135,2,FALSE)</f>
        <v>-</v>
      </c>
      <c r="M1085" s="52" t="str">
        <f>VLOOKUP(Tabla3[[#This Row],[Site]],'Important Info!'!$A$1:$F$135,3,FALSE)</f>
        <v>1, 2, 3, 4</v>
      </c>
      <c r="N1085" s="52" t="str">
        <f>VLOOKUP(Tabla3[[#This Row],[Site]],'Important Info!'!$A$1:$F$135,4,FALSE)</f>
        <v>-</v>
      </c>
      <c r="O1085" s="52" t="str">
        <f>VLOOKUP(Tabla3[[#This Row],[Site]],'Important Info!'!$A$1:$F$135,5,FALSE)</f>
        <v>-</v>
      </c>
      <c r="P1085" s="52" t="str">
        <f>VLOOKUP(Tabla3[[#This Row],[Site]],'Important Info!'!$A$1:$F$135,6,FALSE)</f>
        <v>1, 2, 3, 11</v>
      </c>
      <c r="Q1085" s="91">
        <f>VLOOKUP(Tabla3[[#This Row],[Site]],'Important Info!'!$A$1:$J$135,9,FALSE)</f>
        <v>198</v>
      </c>
    </row>
    <row r="1086" spans="1:17" x14ac:dyDescent="0.25">
      <c r="A1086" t="str">
        <f>+Tabla3[[#This Row],[Site]]&amp;Tabla3[[#This Row],[Split]]</f>
        <v>(HUD) Honda Greensboro13</v>
      </c>
      <c r="B1086">
        <v>13</v>
      </c>
      <c r="C1086">
        <v>5</v>
      </c>
      <c r="D1086" t="s">
        <v>62</v>
      </c>
      <c r="E1086" t="s">
        <v>35</v>
      </c>
      <c r="F1086" t="s">
        <v>85</v>
      </c>
      <c r="G1086" t="s">
        <v>490</v>
      </c>
      <c r="H1086" s="52" t="str">
        <f>VLOOKUP(Tabla3[[#This Row],[Site]],'Important Info!'!$A$1:$J$135,10,FALSE)</f>
        <v>https://tools.sig.systems/site/details/230</v>
      </c>
      <c r="I1086" t="s">
        <v>186</v>
      </c>
      <c r="J1086" t="s">
        <v>41</v>
      </c>
      <c r="K1086" s="79" t="str">
        <f>VLOOKUP(Tabla3[[#This Row],[Site]],'Important Info!'!$A$1:$H$135,8,FALSE)</f>
        <v>-</v>
      </c>
      <c r="L1086" s="52" t="str">
        <f>VLOOKUP(Tabla3[[#This Row],[Site]],'Important Info!'!$A$1:$F$135,2,FALSE)</f>
        <v>1, 3,  15, 16, 22</v>
      </c>
      <c r="M1086" s="52" t="str">
        <f>VLOOKUP(Tabla3[[#This Row],[Site]],'Important Info!'!$A$1:$F$135,3,FALSE)</f>
        <v>-</v>
      </c>
      <c r="N1086" s="52" t="str">
        <f>VLOOKUP(Tabla3[[#This Row],[Site]],'Important Info!'!$A$1:$F$135,4,FALSE)</f>
        <v>-</v>
      </c>
      <c r="O1086" s="52" t="str">
        <f>VLOOKUP(Tabla3[[#This Row],[Site]],'Important Info!'!$A$1:$F$135,5,FALSE)</f>
        <v>3, 20</v>
      </c>
      <c r="P1086" s="52">
        <f>VLOOKUP(Tabla3[[#This Row],[Site]],'Important Info!'!$A$1:$F$135,6,FALSE)</f>
        <v>26</v>
      </c>
      <c r="Q1086" s="91">
        <f>VLOOKUP(Tabla3[[#This Row],[Site]],'Important Info!'!$A$1:$J$135,9,FALSE)</f>
        <v>230</v>
      </c>
    </row>
    <row r="1087" spans="1:17" x14ac:dyDescent="0.25">
      <c r="A1087" t="str">
        <f>+Tabla3[[#This Row],[Site]]&amp;Tabla3[[#This Row],[Split]]</f>
        <v>(ML) BMW of Little Rock13</v>
      </c>
      <c r="B1087">
        <v>13</v>
      </c>
      <c r="C1087">
        <v>5</v>
      </c>
      <c r="D1087" t="s">
        <v>33</v>
      </c>
      <c r="E1087" t="s">
        <v>46</v>
      </c>
      <c r="F1087" t="s">
        <v>139</v>
      </c>
      <c r="G1087" t="s">
        <v>34</v>
      </c>
      <c r="H1087" s="52" t="str">
        <f>VLOOKUP(Tabla3[[#This Row],[Site]],'Important Info!'!$A$1:$J$135,10,FALSE)</f>
        <v>https://tools.sig.systems/site/details/217</v>
      </c>
      <c r="I1087" t="s">
        <v>140</v>
      </c>
      <c r="J1087" t="s">
        <v>41</v>
      </c>
      <c r="K1087" s="79" t="str">
        <f>VLOOKUP(Tabla3[[#This Row],[Site]],'Important Info!'!$A$1:$H$135,8,FALSE)</f>
        <v>-</v>
      </c>
      <c r="L1087" s="52" t="str">
        <f>VLOOKUP(Tabla3[[#This Row],[Site]],'Important Info!'!$A$1:$F$135,2,FALSE)</f>
        <v>-</v>
      </c>
      <c r="M1087" s="52">
        <f>VLOOKUP(Tabla3[[#This Row],[Site]],'Important Info!'!$A$1:$F$135,3,FALSE)</f>
        <v>14</v>
      </c>
      <c r="N1087" s="52" t="str">
        <f>VLOOKUP(Tabla3[[#This Row],[Site]],'Important Info!'!$A$1:$F$135,4,FALSE)</f>
        <v>-</v>
      </c>
      <c r="O1087" s="52" t="str">
        <f>VLOOKUP(Tabla3[[#This Row],[Site]],'Important Info!'!$A$1:$F$135,5,FALSE)</f>
        <v>-</v>
      </c>
      <c r="P1087" s="52" t="str">
        <f>VLOOKUP(Tabla3[[#This Row],[Site]],'Important Info!'!$A$1:$F$135,6,FALSE)</f>
        <v>5, 6, 7, 8, 9, 32</v>
      </c>
      <c r="Q1087" s="91">
        <f>VLOOKUP(Tabla3[[#This Row],[Site]],'Important Info!'!$A$1:$J$135,9,FALSE)</f>
        <v>217</v>
      </c>
    </row>
    <row r="1088" spans="1:17" x14ac:dyDescent="0.25">
      <c r="A1088" t="str">
        <f>+Tabla3[[#This Row],[Site]]&amp;Tabla3[[#This Row],[Split]]</f>
        <v>(ML) Joe Machens Toyota13</v>
      </c>
      <c r="B1088">
        <v>13</v>
      </c>
      <c r="C1088">
        <v>5</v>
      </c>
      <c r="D1088" t="s">
        <v>33</v>
      </c>
      <c r="E1088" t="s">
        <v>46</v>
      </c>
      <c r="F1088" t="s">
        <v>73</v>
      </c>
      <c r="G1088" t="s">
        <v>34</v>
      </c>
      <c r="H1088" s="52" t="str">
        <f>VLOOKUP(Tabla3[[#This Row],[Site]],'Important Info!'!$A$1:$J$135,10,FALSE)</f>
        <v>https://tools.sig.systems/site/details/275</v>
      </c>
      <c r="I1088" s="2" t="s">
        <v>146</v>
      </c>
      <c r="J1088" t="s">
        <v>41</v>
      </c>
      <c r="K1088" s="79" t="str">
        <f>VLOOKUP(Tabla3[[#This Row],[Site]],'Important Info!'!$A$1:$H$135,8,FALSE)</f>
        <v>-</v>
      </c>
      <c r="L1088" s="52" t="str">
        <f>VLOOKUP(Tabla3[[#This Row],[Site]],'Important Info!'!$A$1:$F$135,2,FALSE)</f>
        <v>-</v>
      </c>
      <c r="M1088" s="52" t="str">
        <f>VLOOKUP(Tabla3[[#This Row],[Site]],'Important Info!'!$A$1:$F$135,3,FALSE)</f>
        <v>1, 4, 6</v>
      </c>
      <c r="N1088" s="52" t="str">
        <f>VLOOKUP(Tabla3[[#This Row],[Site]],'Important Info!'!$A$1:$F$135,4,FALSE)</f>
        <v>-</v>
      </c>
      <c r="O1088" s="52" t="str">
        <f>VLOOKUP(Tabla3[[#This Row],[Site]],'Important Info!'!$A$1:$F$135,5,FALSE)</f>
        <v>4, 10</v>
      </c>
      <c r="P1088" s="52" t="str">
        <f>VLOOKUP(Tabla3[[#This Row],[Site]],'Important Info!'!$A$1:$F$135,6,FALSE)</f>
        <v>-</v>
      </c>
      <c r="Q1088" s="91">
        <f>VLOOKUP(Tabla3[[#This Row],[Site]],'Important Info!'!$A$1:$J$135,9,FALSE)</f>
        <v>275</v>
      </c>
    </row>
    <row r="1089" spans="1:17" x14ac:dyDescent="0.25">
      <c r="A1089" t="str">
        <f>+Tabla3[[#This Row],[Site]]&amp;Tabla3[[#This Row],[Split]]</f>
        <v>(PE) BMW of Mamaroneck (NO TOURS)13</v>
      </c>
      <c r="B1089">
        <v>13</v>
      </c>
      <c r="C1089">
        <v>5</v>
      </c>
      <c r="D1089" t="s">
        <v>485</v>
      </c>
      <c r="E1089" t="s">
        <v>35</v>
      </c>
      <c r="F1089" t="s">
        <v>172</v>
      </c>
      <c r="G1089" t="s">
        <v>490</v>
      </c>
      <c r="H1089" s="52" t="str">
        <f>VLOOKUP(Tabla3[[#This Row],[Site]],'Important Info!'!$A$1:$J$135,10,FALSE)</f>
        <v>https://tools.sig.systems/site/details/185</v>
      </c>
      <c r="I1089" s="2"/>
      <c r="J1089" t="s">
        <v>41</v>
      </c>
      <c r="K1089" s="79" t="str">
        <f>VLOOKUP(Tabla3[[#This Row],[Site]],'Important Info!'!$A$1:$H$135,8,FALSE)</f>
        <v>-</v>
      </c>
      <c r="L1089" s="52">
        <f>VLOOKUP(Tabla3[[#This Row],[Site]],'Important Info!'!$A$1:$F$135,2,FALSE)</f>
        <v>9</v>
      </c>
      <c r="M1089" s="52" t="str">
        <f>VLOOKUP(Tabla3[[#This Row],[Site]],'Important Info!'!$A$1:$F$135,3,FALSE)</f>
        <v>2, 3, 4, 5</v>
      </c>
      <c r="N1089" s="52" t="str">
        <f>VLOOKUP(Tabla3[[#This Row],[Site]],'Important Info!'!$A$1:$F$135,4,FALSE)</f>
        <v>-</v>
      </c>
      <c r="O1089" s="52" t="str">
        <f>VLOOKUP(Tabla3[[#This Row],[Site]],'Important Info!'!$A$1:$F$135,5,FALSE)</f>
        <v>-</v>
      </c>
      <c r="P1089" s="52" t="str">
        <f>VLOOKUP(Tabla3[[#This Row],[Site]],'Important Info!'!$A$1:$F$135,6,FALSE)</f>
        <v>4, 6, 7, 8</v>
      </c>
      <c r="Q1089" s="91">
        <f>VLOOKUP(Tabla3[[#This Row],[Site]],'Important Info!'!$A$1:$J$135,9,FALSE)</f>
        <v>185</v>
      </c>
    </row>
    <row r="1090" spans="1:17" x14ac:dyDescent="0.25">
      <c r="A1090" t="str">
        <f>+Tabla3[[#This Row],[Site]]&amp;Tabla3[[#This Row],[Split]]</f>
        <v>(PE) JLR PDI (NO TOURS)13</v>
      </c>
      <c r="B1090">
        <v>13</v>
      </c>
      <c r="C1090">
        <v>5</v>
      </c>
      <c r="D1090" t="s">
        <v>485</v>
      </c>
      <c r="E1090" t="s">
        <v>35</v>
      </c>
      <c r="F1090" t="s">
        <v>114</v>
      </c>
      <c r="G1090" t="s">
        <v>490</v>
      </c>
      <c r="H1090" s="52" t="str">
        <f>VLOOKUP(Tabla3[[#This Row],[Site]],'Important Info!'!$A$1:$J$135,10,FALSE)</f>
        <v>https://tools.sig.systems/site/details/179</v>
      </c>
      <c r="I1090" t="s">
        <v>176</v>
      </c>
      <c r="J1090" t="s">
        <v>41</v>
      </c>
      <c r="K1090" s="79" t="str">
        <f>VLOOKUP(Tabla3[[#This Row],[Site]],'Important Info!'!$A$1:$H$135,8,FALSE)</f>
        <v>-</v>
      </c>
      <c r="L1090" s="52" t="str">
        <f>VLOOKUP(Tabla3[[#This Row],[Site]],'Important Info!'!$A$1:$F$135,2,FALSE)</f>
        <v>3, 8</v>
      </c>
      <c r="M1090" s="52" t="str">
        <f>VLOOKUP(Tabla3[[#This Row],[Site]],'Important Info!'!$A$1:$F$135,3,FALSE)</f>
        <v>-</v>
      </c>
      <c r="N1090" s="52" t="str">
        <f>VLOOKUP(Tabla3[[#This Row],[Site]],'Important Info!'!$A$1:$F$135,4,FALSE)</f>
        <v>-</v>
      </c>
      <c r="O1090" s="52" t="str">
        <f>VLOOKUP(Tabla3[[#This Row],[Site]],'Important Info!'!$A$1:$F$135,5,FALSE)</f>
        <v>-</v>
      </c>
      <c r="P1090" s="52" t="str">
        <f>VLOOKUP(Tabla3[[#This Row],[Site]],'Important Info!'!$A$1:$F$135,6,FALSE)</f>
        <v>-</v>
      </c>
      <c r="Q1090" s="91">
        <f>VLOOKUP(Tabla3[[#This Row],[Site]],'Important Info!'!$A$1:$J$135,9,FALSE)</f>
        <v>179</v>
      </c>
    </row>
    <row r="1091" spans="1:17" x14ac:dyDescent="0.25">
      <c r="A1091" t="str">
        <f>+Tabla3[[#This Row],[Site]]&amp;Tabla3[[#This Row],[Split]]</f>
        <v>(RML) Burleson Nissan13</v>
      </c>
      <c r="B1091">
        <v>13</v>
      </c>
      <c r="C1091">
        <v>5</v>
      </c>
      <c r="D1091" t="s">
        <v>33</v>
      </c>
      <c r="E1091" t="s">
        <v>46</v>
      </c>
      <c r="F1091" t="s">
        <v>107</v>
      </c>
      <c r="G1091" t="s">
        <v>34</v>
      </c>
      <c r="H1091" s="52" t="str">
        <f>VLOOKUP(Tabla3[[#This Row],[Site]],'Important Info!'!$A$1:$J$135,10,FALSE)</f>
        <v>https://tools.sig.systems/site/details/202</v>
      </c>
      <c r="J1091" t="s">
        <v>41</v>
      </c>
      <c r="K1091" s="79" t="str">
        <f>VLOOKUP(Tabla3[[#This Row],[Site]],'Important Info!'!$A$1:$H$135,8,FALSE)</f>
        <v>-</v>
      </c>
      <c r="L1091" s="52" t="str">
        <f>VLOOKUP(Tabla3[[#This Row],[Site]],'Important Info!'!$A$1:$F$135,2,FALSE)</f>
        <v>3, 21</v>
      </c>
      <c r="M1091" s="52" t="str">
        <f>VLOOKUP(Tabla3[[#This Row],[Site]],'Important Info!'!$A$1:$F$135,3,FALSE)</f>
        <v>-</v>
      </c>
      <c r="N1091" s="52" t="str">
        <f>VLOOKUP(Tabla3[[#This Row],[Site]],'Important Info!'!$A$1:$F$135,4,FALSE)</f>
        <v>-</v>
      </c>
      <c r="O1091" s="52" t="str">
        <f>VLOOKUP(Tabla3[[#This Row],[Site]],'Important Info!'!$A$1:$F$135,5,FALSE)</f>
        <v>2, 6, 15</v>
      </c>
      <c r="P1091" s="52" t="str">
        <f>VLOOKUP(Tabla3[[#This Row],[Site]],'Important Info!'!$A$1:$F$135,6,FALSE)</f>
        <v>-</v>
      </c>
      <c r="Q1091" s="91">
        <f>VLOOKUP(Tabla3[[#This Row],[Site]],'Important Info!'!$A$1:$J$135,9,FALSE)</f>
        <v>202</v>
      </c>
    </row>
    <row r="1092" spans="1:17" x14ac:dyDescent="0.25">
      <c r="A1092" t="str">
        <f>+Tabla3[[#This Row],[Site]]&amp;Tabla3[[#This Row],[Split]]</f>
        <v>(AS) Park Place Mercedes Benz Arlington (NO TOURS)13</v>
      </c>
      <c r="B1092">
        <v>13</v>
      </c>
      <c r="C1092">
        <v>6</v>
      </c>
      <c r="D1092" t="s">
        <v>33</v>
      </c>
      <c r="E1092" t="s">
        <v>46</v>
      </c>
      <c r="F1092" t="s">
        <v>518</v>
      </c>
      <c r="G1092" t="s">
        <v>34</v>
      </c>
      <c r="H1092" s="52" t="str">
        <f>VLOOKUP(Tabla3[[#This Row],[Site]],'Important Info!'!$A$1:$J$135,10,FALSE)</f>
        <v>https://tools.sig.systems/site/details/169</v>
      </c>
      <c r="J1092" t="s">
        <v>41</v>
      </c>
      <c r="K1092" s="79" t="str">
        <f>VLOOKUP(Tabla3[[#This Row],[Site]],'Important Info!'!$A$1:$H$135,8,FALSE)</f>
        <v>-</v>
      </c>
      <c r="L1092" s="52" t="str">
        <f>VLOOKUP(Tabla3[[#This Row],[Site]],'Important Info!'!$A$1:$F$135,2,FALSE)</f>
        <v>1, 9, 14</v>
      </c>
      <c r="M1092" s="52" t="str">
        <f>VLOOKUP(Tabla3[[#This Row],[Site]],'Important Info!'!$A$1:$F$135,3,FALSE)</f>
        <v>-</v>
      </c>
      <c r="N1092" s="52" t="str">
        <f>VLOOKUP(Tabla3[[#This Row],[Site]],'Important Info!'!$A$1:$F$135,4,FALSE)</f>
        <v>77, 78, 79, 80</v>
      </c>
      <c r="O1092" s="52" t="str">
        <f>VLOOKUP(Tabla3[[#This Row],[Site]],'Important Info!'!$A$1:$F$135,5,FALSE)</f>
        <v>2, 10, 18, 22, 31, 40</v>
      </c>
      <c r="P1092" s="52">
        <f>VLOOKUP(Tabla3[[#This Row],[Site]],'Important Info!'!$A$1:$F$135,6,FALSE)</f>
        <v>9</v>
      </c>
      <c r="Q1092" s="91">
        <f>VLOOKUP(Tabla3[[#This Row],[Site]],'Important Info!'!$A$1:$J$135,9,FALSE)</f>
        <v>169</v>
      </c>
    </row>
    <row r="1093" spans="1:17" x14ac:dyDescent="0.25">
      <c r="A1093" t="str">
        <f>+Tabla3[[#This Row],[Site]]&amp;Tabla3[[#This Row],[Split]]</f>
        <v>(AS) Park Place Sprinter Van Center (NO TOURS)13</v>
      </c>
      <c r="B1093">
        <v>13</v>
      </c>
      <c r="C1093">
        <v>6</v>
      </c>
      <c r="D1093" t="s">
        <v>33</v>
      </c>
      <c r="E1093" t="s">
        <v>46</v>
      </c>
      <c r="F1093" t="s">
        <v>520</v>
      </c>
      <c r="G1093" t="s">
        <v>34</v>
      </c>
      <c r="H1093" s="52" t="str">
        <f>VLOOKUP(Tabla3[[#This Row],[Site]],'Important Info!'!$A$1:$J$135,10,FALSE)</f>
        <v>https://tools.sig.systems/site/details/138</v>
      </c>
      <c r="I1093" s="65" t="s">
        <v>125</v>
      </c>
      <c r="J1093" t="s">
        <v>41</v>
      </c>
      <c r="K1093" s="79" t="str">
        <f>VLOOKUP(Tabla3[[#This Row],[Site]],'Important Info!'!$A$1:$H$135,8,FALSE)</f>
        <v>-</v>
      </c>
      <c r="L1093" s="52">
        <f>VLOOKUP(Tabla3[[#This Row],[Site]],'Important Info!'!$A$1:$F$135,2,FALSE)</f>
        <v>1</v>
      </c>
      <c r="M1093" s="52" t="str">
        <f>VLOOKUP(Tabla3[[#This Row],[Site]],'Important Info!'!$A$1:$F$135,3,FALSE)</f>
        <v>-</v>
      </c>
      <c r="N1093" s="52" t="str">
        <f>VLOOKUP(Tabla3[[#This Row],[Site]],'Important Info!'!$A$1:$F$135,4,FALSE)</f>
        <v>-</v>
      </c>
      <c r="O1093" s="52" t="str">
        <f>VLOOKUP(Tabla3[[#This Row],[Site]],'Important Info!'!$A$1:$F$135,5,FALSE)</f>
        <v>-</v>
      </c>
      <c r="P1093" s="52" t="str">
        <f>VLOOKUP(Tabla3[[#This Row],[Site]],'Important Info!'!$A$1:$F$135,6,FALSE)</f>
        <v>1, 3</v>
      </c>
      <c r="Q1093" s="91">
        <f>VLOOKUP(Tabla3[[#This Row],[Site]],'Important Info!'!$A$1:$J$135,9,FALSE)</f>
        <v>138</v>
      </c>
    </row>
    <row r="1094" spans="1:17" x14ac:dyDescent="0.25">
      <c r="A1094" t="str">
        <f>+Tabla3[[#This Row],[Site]]&amp;Tabla3[[#This Row],[Split]]</f>
        <v>(AS) Stevinson Chevrolet Golden (NO TOURS)13</v>
      </c>
      <c r="B1094">
        <v>13</v>
      </c>
      <c r="C1094">
        <v>6</v>
      </c>
      <c r="D1094" t="s">
        <v>488</v>
      </c>
      <c r="E1094" t="s">
        <v>53</v>
      </c>
      <c r="F1094" t="s">
        <v>190</v>
      </c>
      <c r="G1094" t="s">
        <v>45</v>
      </c>
      <c r="H1094" s="52" t="str">
        <f>VLOOKUP(Tabla3[[#This Row],[Site]],'Important Info!'!$A$1:$J$135,10,FALSE)</f>
        <v>https://tools.sig.systems/site/details/264</v>
      </c>
      <c r="I1094" s="43" t="s">
        <v>154</v>
      </c>
      <c r="J1094" t="s">
        <v>41</v>
      </c>
      <c r="K1094" s="79" t="str">
        <f>VLOOKUP(Tabla3[[#This Row],[Site]],'Important Info!'!$A$1:$H$135,8,FALSE)</f>
        <v>-</v>
      </c>
      <c r="L1094" s="52" t="str">
        <f>VLOOKUP(Tabla3[[#This Row],[Site]],'Important Info!'!$A$1:$F$135,2,FALSE)</f>
        <v>-</v>
      </c>
      <c r="M1094" s="52" t="str">
        <f>VLOOKUP(Tabla3[[#This Row],[Site]],'Important Info!'!$A$1:$F$135,3,FALSE)</f>
        <v>1, 19</v>
      </c>
      <c r="N1094" s="52" t="str">
        <f>VLOOKUP(Tabla3[[#This Row],[Site]],'Important Info!'!$A$1:$F$135,4,FALSE)</f>
        <v>-</v>
      </c>
      <c r="O1094" s="52" t="str">
        <f>VLOOKUP(Tabla3[[#This Row],[Site]],'Important Info!'!$A$1:$F$135,5,FALSE)</f>
        <v>14, 30</v>
      </c>
      <c r="P1094" s="52" t="str">
        <f>VLOOKUP(Tabla3[[#This Row],[Site]],'Important Info!'!$A$1:$F$135,6,FALSE)</f>
        <v>14, 33, 34, 35, 36</v>
      </c>
      <c r="Q1094" s="91">
        <f>VLOOKUP(Tabla3[[#This Row],[Site]],'Important Info!'!$A$1:$J$135,9,FALSE)</f>
        <v>264</v>
      </c>
    </row>
    <row r="1095" spans="1:17" x14ac:dyDescent="0.25">
      <c r="A1095" t="str">
        <f>+Tabla3[[#This Row],[Site]]&amp;Tabla3[[#This Row],[Split]]</f>
        <v>(AS) Stevinson JLR (NO TOURS)13</v>
      </c>
      <c r="B1095">
        <v>13</v>
      </c>
      <c r="C1095">
        <v>6</v>
      </c>
      <c r="D1095" t="s">
        <v>44</v>
      </c>
      <c r="E1095" t="s">
        <v>53</v>
      </c>
      <c r="F1095" t="s">
        <v>93</v>
      </c>
      <c r="G1095" t="s">
        <v>45</v>
      </c>
      <c r="H1095" s="52" t="str">
        <f>VLOOKUP(Tabla3[[#This Row],[Site]],'Important Info!'!$A$1:$J$135,10,FALSE)</f>
        <v>https://tools.sig.systems/site/details/204</v>
      </c>
      <c r="I1095" s="43"/>
      <c r="J1095" t="s">
        <v>41</v>
      </c>
      <c r="K1095" s="79" t="str">
        <f>VLOOKUP(Tabla3[[#This Row],[Site]],'Important Info!'!$A$1:$H$135,8,FALSE)</f>
        <v>-</v>
      </c>
      <c r="L1095" s="52">
        <f>VLOOKUP(Tabla3[[#This Row],[Site]],'Important Info!'!$A$1:$F$135,2,FALSE)</f>
        <v>5</v>
      </c>
      <c r="M1095" s="52">
        <f>VLOOKUP(Tabla3[[#This Row],[Site]],'Important Info!'!$A$1:$F$135,3,FALSE)</f>
        <v>4</v>
      </c>
      <c r="N1095" s="52" t="str">
        <f>VLOOKUP(Tabla3[[#This Row],[Site]],'Important Info!'!$A$1:$F$135,4,FALSE)</f>
        <v>-</v>
      </c>
      <c r="O1095" s="52">
        <f>VLOOKUP(Tabla3[[#This Row],[Site]],'Important Info!'!$A$1:$F$135,5,FALSE)</f>
        <v>3</v>
      </c>
      <c r="P1095" s="52" t="str">
        <f>VLOOKUP(Tabla3[[#This Row],[Site]],'Important Info!'!$A$1:$F$135,6,FALSE)</f>
        <v>1, 4, 15, 16</v>
      </c>
      <c r="Q1095" s="91">
        <f>VLOOKUP(Tabla3[[#This Row],[Site]],'Important Info!'!$A$1:$J$135,9,FALSE)</f>
        <v>204</v>
      </c>
    </row>
    <row r="1096" spans="1:17" x14ac:dyDescent="0.25">
      <c r="A1096" t="str">
        <f>+Tabla3[[#This Row],[Site]]&amp;Tabla3[[#This Row],[Split]]</f>
        <v>(DT) Wichita13</v>
      </c>
      <c r="B1096">
        <v>13</v>
      </c>
      <c r="C1096">
        <v>6</v>
      </c>
      <c r="D1096" t="s">
        <v>33</v>
      </c>
      <c r="E1096" t="s">
        <v>46</v>
      </c>
      <c r="F1096" t="s">
        <v>131</v>
      </c>
      <c r="G1096" t="s">
        <v>34</v>
      </c>
      <c r="H1096" s="52" t="str">
        <f>VLOOKUP(Tabla3[[#This Row],[Site]],'Important Info!'!$A$1:$J$135,10,FALSE)</f>
        <v>https://tools.sig.systems/site/details/257</v>
      </c>
      <c r="J1096" t="s">
        <v>41</v>
      </c>
      <c r="K1096" s="79" t="str">
        <f>VLOOKUP(Tabla3[[#This Row],[Site]],'Important Info!'!$A$1:$H$135,8,FALSE)</f>
        <v>-</v>
      </c>
      <c r="L1096" s="52" t="str">
        <f>VLOOKUP(Tabla3[[#This Row],[Site]],'Important Info!'!$A$1:$F$135,2,FALSE)</f>
        <v>-</v>
      </c>
      <c r="M1096" s="52" t="str">
        <f>VLOOKUP(Tabla3[[#This Row],[Site]],'Important Info!'!$A$1:$F$135,3,FALSE)</f>
        <v>10, 11</v>
      </c>
      <c r="N1096" s="52" t="str">
        <f>VLOOKUP(Tabla3[[#This Row],[Site]],'Important Info!'!$A$1:$F$135,4,FALSE)</f>
        <v>-</v>
      </c>
      <c r="O1096" s="52" t="str">
        <f>VLOOKUP(Tabla3[[#This Row],[Site]],'Important Info!'!$A$1:$F$135,5,FALSE)</f>
        <v>-</v>
      </c>
      <c r="P1096" s="52" t="str">
        <f>VLOOKUP(Tabla3[[#This Row],[Site]],'Important Info!'!$A$1:$F$135,6,FALSE)</f>
        <v>1, 5, 6, 10</v>
      </c>
      <c r="Q1096" s="91">
        <f>VLOOKUP(Tabla3[[#This Row],[Site]],'Important Info!'!$A$1:$J$135,9,FALSE)</f>
        <v>257</v>
      </c>
    </row>
    <row r="1097" spans="1:17" x14ac:dyDescent="0.25">
      <c r="A1097" t="str">
        <f>+Tabla3[[#This Row],[Site]]&amp;Tabla3[[#This Row],[Split]]</f>
        <v>(HUD) Paint and Body Center (NO TOURS)13</v>
      </c>
      <c r="B1097">
        <v>13</v>
      </c>
      <c r="C1097">
        <v>6</v>
      </c>
      <c r="D1097" t="s">
        <v>62</v>
      </c>
      <c r="E1097" t="s">
        <v>35</v>
      </c>
      <c r="F1097" t="s">
        <v>110</v>
      </c>
      <c r="G1097" t="s">
        <v>490</v>
      </c>
      <c r="H1097" s="52" t="str">
        <f>VLOOKUP(Tabla3[[#This Row],[Site]],'Important Info!'!$A$1:$J$135,10,FALSE)</f>
        <v>https://tools.sig.systems/site/details/256</v>
      </c>
      <c r="I1097" t="s">
        <v>184</v>
      </c>
      <c r="J1097" t="s">
        <v>41</v>
      </c>
      <c r="K1097" s="79" t="str">
        <f>VLOOKUP(Tabla3[[#This Row],[Site]],'Important Info!'!$A$1:$H$135,8,FALSE)</f>
        <v>-</v>
      </c>
      <c r="L1097" s="52" t="str">
        <f>VLOOKUP(Tabla3[[#This Row],[Site]],'Important Info!'!$A$1:$F$135,2,FALSE)</f>
        <v>-</v>
      </c>
      <c r="M1097" s="52">
        <f>VLOOKUP(Tabla3[[#This Row],[Site]],'Important Info!'!$A$1:$F$135,3,FALSE)</f>
        <v>1</v>
      </c>
      <c r="N1097" s="52" t="str">
        <f>VLOOKUP(Tabla3[[#This Row],[Site]],'Important Info!'!$A$1:$F$135,4,FALSE)</f>
        <v>-</v>
      </c>
      <c r="O1097" s="52" t="str">
        <f>VLOOKUP(Tabla3[[#This Row],[Site]],'Important Info!'!$A$1:$F$135,5,FALSE)</f>
        <v>-</v>
      </c>
      <c r="P1097" s="52" t="str">
        <f>VLOOKUP(Tabla3[[#This Row],[Site]],'Important Info!'!$A$1:$F$135,6,FALSE)</f>
        <v>-</v>
      </c>
      <c r="Q1097" s="91">
        <f>VLOOKUP(Tabla3[[#This Row],[Site]],'Important Info!'!$A$1:$J$135,9,FALSE)</f>
        <v>256</v>
      </c>
    </row>
    <row r="1098" spans="1:17" x14ac:dyDescent="0.25">
      <c r="A1098" t="str">
        <f>+Tabla3[[#This Row],[Site]]&amp;Tabla3[[#This Row],[Split]]</f>
        <v>(ML) Joe Machens E Collision Center13</v>
      </c>
      <c r="B1098">
        <v>13</v>
      </c>
      <c r="C1098">
        <v>6</v>
      </c>
      <c r="D1098" t="s">
        <v>33</v>
      </c>
      <c r="E1098" t="s">
        <v>46</v>
      </c>
      <c r="F1098" t="s">
        <v>147</v>
      </c>
      <c r="G1098" t="s">
        <v>34</v>
      </c>
      <c r="H1098" s="52" t="str">
        <f>VLOOKUP(Tabla3[[#This Row],[Site]],'Important Info!'!$A$1:$J$135,10,FALSE)</f>
        <v>https://tools.sig.systems/site/details/277</v>
      </c>
      <c r="I1098" s="43" t="s">
        <v>146</v>
      </c>
      <c r="J1098" t="s">
        <v>41</v>
      </c>
      <c r="K1098" s="79" t="str">
        <f>VLOOKUP(Tabla3[[#This Row],[Site]],'Important Info!'!$A$1:$H$135,8,FALSE)</f>
        <v>-</v>
      </c>
      <c r="L1098" s="52">
        <f>VLOOKUP(Tabla3[[#This Row],[Site]],'Important Info!'!$A$1:$F$135,2,FALSE)</f>
        <v>1</v>
      </c>
      <c r="M1098" s="52" t="str">
        <f>VLOOKUP(Tabla3[[#This Row],[Site]],'Important Info!'!$A$1:$F$135,3,FALSE)</f>
        <v>-</v>
      </c>
      <c r="N1098" s="52" t="str">
        <f>VLOOKUP(Tabla3[[#This Row],[Site]],'Important Info!'!$A$1:$F$135,4,FALSE)</f>
        <v>-</v>
      </c>
      <c r="O1098" s="52">
        <f>VLOOKUP(Tabla3[[#This Row],[Site]],'Important Info!'!$A$1:$F$135,5,FALSE)</f>
        <v>5</v>
      </c>
      <c r="P1098" s="52" t="str">
        <f>VLOOKUP(Tabla3[[#This Row],[Site]],'Important Info!'!$A$1:$F$135,6,FALSE)</f>
        <v>1, 2, 3, 4</v>
      </c>
      <c r="Q1098" s="91">
        <f>VLOOKUP(Tabla3[[#This Row],[Site]],'Important Info!'!$A$1:$J$135,9,FALSE)</f>
        <v>277</v>
      </c>
    </row>
    <row r="1099" spans="1:17" x14ac:dyDescent="0.25">
      <c r="A1099" t="str">
        <f>+Tabla3[[#This Row],[Site]]&amp;Tabla3[[#This Row],[Split]]</f>
        <v>(ML) Mazda VW-Lot B13</v>
      </c>
      <c r="B1099">
        <v>13</v>
      </c>
      <c r="C1099">
        <v>6</v>
      </c>
      <c r="D1099" t="s">
        <v>33</v>
      </c>
      <c r="E1099" t="s">
        <v>46</v>
      </c>
      <c r="F1099" t="s">
        <v>9</v>
      </c>
      <c r="G1099" t="s">
        <v>34</v>
      </c>
      <c r="H1099" s="52" t="str">
        <f>VLOOKUP(Tabla3[[#This Row],[Site]],'Important Info!'!$A$1:$J$135,10,FALSE)</f>
        <v>https://tools.sig.systems/site/details/205</v>
      </c>
      <c r="I1099" s="2" t="s">
        <v>142</v>
      </c>
      <c r="J1099" t="s">
        <v>41</v>
      </c>
      <c r="K1099" s="79" t="str">
        <f>VLOOKUP(Tabla3[[#This Row],[Site]],'Important Info!'!$A$1:$H$135,8,FALSE)</f>
        <v>-</v>
      </c>
      <c r="L1099" s="52" t="str">
        <f>VLOOKUP(Tabla3[[#This Row],[Site]],'Important Info!'!$A$1:$F$135,2,FALSE)</f>
        <v>9, 14, 16</v>
      </c>
      <c r="M1099" s="52">
        <f>VLOOKUP(Tabla3[[#This Row],[Site]],'Important Info!'!$A$1:$F$135,3,FALSE)</f>
        <v>1</v>
      </c>
      <c r="N1099" s="52" t="str">
        <f>VLOOKUP(Tabla3[[#This Row],[Site]],'Important Info!'!$A$1:$F$135,4,FALSE)</f>
        <v>-</v>
      </c>
      <c r="O1099" s="52">
        <f>VLOOKUP(Tabla3[[#This Row],[Site]],'Important Info!'!$A$1:$F$135,5,FALSE)</f>
        <v>4</v>
      </c>
      <c r="P1099" s="52" t="str">
        <f>VLOOKUP(Tabla3[[#This Row],[Site]],'Important Info!'!$A$1:$F$135,6,FALSE)</f>
        <v>-</v>
      </c>
      <c r="Q1099" s="91">
        <f>VLOOKUP(Tabla3[[#This Row],[Site]],'Important Info!'!$A$1:$J$135,9,FALSE)</f>
        <v>205</v>
      </c>
    </row>
    <row r="1100" spans="1:17" x14ac:dyDescent="0.25">
      <c r="A1100" t="str">
        <f>+Tabla3[[#This Row],[Site]]&amp;Tabla3[[#This Row],[Split]]</f>
        <v>(ML) Nissan of North Little Rock13</v>
      </c>
      <c r="B1100">
        <v>13</v>
      </c>
      <c r="C1100">
        <v>6</v>
      </c>
      <c r="D1100" t="s">
        <v>33</v>
      </c>
      <c r="E1100" t="s">
        <v>46</v>
      </c>
      <c r="F1100" t="s">
        <v>75</v>
      </c>
      <c r="G1100" t="s">
        <v>34</v>
      </c>
      <c r="H1100" s="52" t="str">
        <f>VLOOKUP(Tabla3[[#This Row],[Site]],'Important Info!'!$A$1:$J$135,10,FALSE)</f>
        <v>https://tools.sig.systems/site/details/216</v>
      </c>
      <c r="I1100" s="2" t="s">
        <v>142</v>
      </c>
      <c r="J1100" t="s">
        <v>41</v>
      </c>
      <c r="K1100" s="79" t="str">
        <f>VLOOKUP(Tabla3[[#This Row],[Site]],'Important Info!'!$A$1:$H$135,8,FALSE)</f>
        <v>-</v>
      </c>
      <c r="L1100" s="52" t="str">
        <f>VLOOKUP(Tabla3[[#This Row],[Site]],'Important Info!'!$A$1:$F$135,2,FALSE)</f>
        <v>2, 4</v>
      </c>
      <c r="M1100" s="52" t="str">
        <f>VLOOKUP(Tabla3[[#This Row],[Site]],'Important Info!'!$A$1:$F$135,3,FALSE)</f>
        <v>-</v>
      </c>
      <c r="N1100" s="52" t="str">
        <f>VLOOKUP(Tabla3[[#This Row],[Site]],'Important Info!'!$A$1:$F$135,4,FALSE)</f>
        <v>-</v>
      </c>
      <c r="O1100" s="52" t="str">
        <f>VLOOKUP(Tabla3[[#This Row],[Site]],'Important Info!'!$A$1:$F$135,5,FALSE)</f>
        <v>5, 17, 23</v>
      </c>
      <c r="P1100" s="52">
        <f>VLOOKUP(Tabla3[[#This Row],[Site]],'Important Info!'!$A$1:$F$135,6,FALSE)</f>
        <v>18</v>
      </c>
      <c r="Q1100" s="91">
        <f>VLOOKUP(Tabla3[[#This Row],[Site]],'Important Info!'!$A$1:$J$135,9,FALSE)</f>
        <v>216</v>
      </c>
    </row>
    <row r="1101" spans="1:17" x14ac:dyDescent="0.25">
      <c r="A1101" t="str">
        <f>+Tabla3[[#This Row],[Site]]&amp;Tabla3[[#This Row],[Split]]</f>
        <v>(SCH) Prep Center Delray13</v>
      </c>
      <c r="B1101">
        <v>13</v>
      </c>
      <c r="C1101">
        <v>6</v>
      </c>
      <c r="D1101" t="s">
        <v>62</v>
      </c>
      <c r="E1101" t="s">
        <v>35</v>
      </c>
      <c r="F1101" t="s">
        <v>191</v>
      </c>
      <c r="G1101" t="s">
        <v>490</v>
      </c>
      <c r="H1101" s="52" t="str">
        <f>VLOOKUP(Tabla3[[#This Row],[Site]],'Important Info!'!$A$1:$J$135,10,FALSE)</f>
        <v>https://tools.sig.systems/site/details/321</v>
      </c>
      <c r="J1101" t="s">
        <v>41</v>
      </c>
      <c r="K1101" s="79" t="str">
        <f>VLOOKUP(Tabla3[[#This Row],[Site]],'Important Info!'!$A$1:$H$135,8,FALSE)</f>
        <v>-</v>
      </c>
      <c r="L1101" s="52" t="str">
        <f>VLOOKUP(Tabla3[[#This Row],[Site]],'Important Info!'!$A$1:$F$135,2,FALSE)</f>
        <v>2,3</v>
      </c>
      <c r="M1101" s="52" t="str">
        <f>VLOOKUP(Tabla3[[#This Row],[Site]],'Important Info!'!$A$1:$F$135,3,FALSE)</f>
        <v>-</v>
      </c>
      <c r="N1101" s="52" t="str">
        <f>VLOOKUP(Tabla3[[#This Row],[Site]],'Important Info!'!$A$1:$F$135,4,FALSE)</f>
        <v>-</v>
      </c>
      <c r="O1101" s="52" t="str">
        <f>VLOOKUP(Tabla3[[#This Row],[Site]],'Important Info!'!$A$1:$F$135,5,FALSE)</f>
        <v>-</v>
      </c>
      <c r="P1101" s="52" t="str">
        <f>VLOOKUP(Tabla3[[#This Row],[Site]],'Important Info!'!$A$1:$F$135,6,FALSE)</f>
        <v>2,4,10</v>
      </c>
      <c r="Q1101" s="91">
        <f>VLOOKUP(Tabla3[[#This Row],[Site]],'Important Info!'!$A$1:$J$135,9,FALSE)</f>
        <v>321</v>
      </c>
    </row>
    <row r="1102" spans="1:17" x14ac:dyDescent="0.25">
      <c r="A1102" t="str">
        <f>+Tabla3[[#This Row],[Site]]&amp;Tabla3[[#This Row],[Split]]</f>
        <v>(TC) Tavernier Creek Marina (NO TOURS)13</v>
      </c>
      <c r="B1102">
        <v>13</v>
      </c>
      <c r="C1102">
        <v>6</v>
      </c>
      <c r="D1102" t="s">
        <v>62</v>
      </c>
      <c r="E1102" t="s">
        <v>35</v>
      </c>
      <c r="F1102" t="s">
        <v>119</v>
      </c>
      <c r="G1102" t="s">
        <v>34</v>
      </c>
      <c r="H1102" s="52" t="str">
        <f>VLOOKUP(Tabla3[[#This Row],[Site]],'Important Info!'!$A$1:$J$135,10,FALSE)</f>
        <v>https://tools.sig.systems/site/details/164</v>
      </c>
      <c r="J1102" t="s">
        <v>45</v>
      </c>
      <c r="K1102" s="79" t="str">
        <f>VLOOKUP(Tabla3[[#This Row],[Site]],'Important Info!'!$A$1:$H$135,8,FALSE)</f>
        <v>-</v>
      </c>
      <c r="L1102" s="52" t="str">
        <f>VLOOKUP(Tabla3[[#This Row],[Site]],'Important Info!'!$A$1:$F$135,2,FALSE)</f>
        <v>28, 29</v>
      </c>
      <c r="M1102" s="52" t="str">
        <f>VLOOKUP(Tabla3[[#This Row],[Site]],'Important Info!'!$A$1:$F$135,3,FALSE)</f>
        <v>-</v>
      </c>
      <c r="N1102" s="52" t="str">
        <f>VLOOKUP(Tabla3[[#This Row],[Site]],'Important Info!'!$A$1:$F$135,4,FALSE)</f>
        <v>-</v>
      </c>
      <c r="O1102" s="52" t="str">
        <f>VLOOKUP(Tabla3[[#This Row],[Site]],'Important Info!'!$A$1:$F$135,5,FALSE)</f>
        <v>-</v>
      </c>
      <c r="P1102" s="52" t="str">
        <f>VLOOKUP(Tabla3[[#This Row],[Site]],'Important Info!'!$A$1:$F$135,6,FALSE)</f>
        <v>5, 28, 29</v>
      </c>
      <c r="Q1102" s="91">
        <f>VLOOKUP(Tabla3[[#This Row],[Site]],'Important Info!'!$A$1:$J$135,9,FALSE)</f>
        <v>164</v>
      </c>
    </row>
    <row r="1103" spans="1:17" x14ac:dyDescent="0.25">
      <c r="A1103" t="str">
        <f>+Tabla3[[#This Row],[Site]]&amp;Tabla3[[#This Row],[Split]]</f>
        <v>(AS) Atwell Prep Center-Dallas (NO TOURS)13</v>
      </c>
      <c r="B1103">
        <v>13</v>
      </c>
      <c r="C1103">
        <v>7</v>
      </c>
      <c r="D1103" t="s">
        <v>33</v>
      </c>
      <c r="E1103" t="s">
        <v>46</v>
      </c>
      <c r="F1103" t="s">
        <v>498</v>
      </c>
      <c r="G1103" t="s">
        <v>34</v>
      </c>
      <c r="H1103" s="52" t="str">
        <f>VLOOKUP(Tabla3[[#This Row],[Site]],'Important Info!'!$A$1:$J$135,10,FALSE)</f>
        <v>https://tools.sig.systems/site/details/165</v>
      </c>
      <c r="I1103" s="65" t="s">
        <v>125</v>
      </c>
      <c r="J1103" t="s">
        <v>41</v>
      </c>
      <c r="K1103" s="79" t="str">
        <f>VLOOKUP(Tabla3[[#This Row],[Site]],'Important Info!'!$A$1:$H$135,8,FALSE)</f>
        <v>-</v>
      </c>
      <c r="L1103" s="52" t="str">
        <f>VLOOKUP(Tabla3[[#This Row],[Site]],'Important Info!'!$A$1:$F$135,2,FALSE)</f>
        <v>4, 6, 7</v>
      </c>
      <c r="M1103" s="52" t="str">
        <f>VLOOKUP(Tabla3[[#This Row],[Site]],'Important Info!'!$A$1:$F$135,3,FALSE)</f>
        <v>-</v>
      </c>
      <c r="N1103" s="52" t="str">
        <f>VLOOKUP(Tabla3[[#This Row],[Site]],'Important Info!'!$A$1:$F$135,4,FALSE)</f>
        <v>-</v>
      </c>
      <c r="O1103" s="52" t="str">
        <f>VLOOKUP(Tabla3[[#This Row],[Site]],'Important Info!'!$A$1:$F$135,5,FALSE)</f>
        <v>-</v>
      </c>
      <c r="P1103" s="52" t="str">
        <f>VLOOKUP(Tabla3[[#This Row],[Site]],'Important Info!'!$A$1:$F$135,6,FALSE)</f>
        <v>1, 2</v>
      </c>
      <c r="Q1103" s="91">
        <f>VLOOKUP(Tabla3[[#This Row],[Site]],'Important Info!'!$A$1:$J$135,9,FALSE)</f>
        <v>165</v>
      </c>
    </row>
    <row r="1104" spans="1:17" x14ac:dyDescent="0.25">
      <c r="A1104" t="str">
        <f>+Tabla3[[#This Row],[Site]]&amp;Tabla3[[#This Row],[Split]]</f>
        <v>(AS) Coggin Acura Ft Pierce (NO TOURS)13</v>
      </c>
      <c r="B1104">
        <v>13</v>
      </c>
      <c r="C1104">
        <v>7</v>
      </c>
      <c r="D1104" t="s">
        <v>62</v>
      </c>
      <c r="E1104" t="s">
        <v>35</v>
      </c>
      <c r="F1104" t="s">
        <v>500</v>
      </c>
      <c r="G1104" t="s">
        <v>490</v>
      </c>
      <c r="H1104" s="52" t="str">
        <f>VLOOKUP(Tabla3[[#This Row],[Site]],'Important Info!'!$A$1:$J$135,10,FALSE)</f>
        <v>https://tools.sig.systems/site/details/118</v>
      </c>
      <c r="I1104" s="43" t="s">
        <v>179</v>
      </c>
      <c r="J1104" t="s">
        <v>41</v>
      </c>
      <c r="K1104" s="79" t="str">
        <f>VLOOKUP(Tabla3[[#This Row],[Site]],'Important Info!'!$A$1:$H$135,8,FALSE)</f>
        <v>-</v>
      </c>
      <c r="L1104" s="52" t="str">
        <f>VLOOKUP(Tabla3[[#This Row],[Site]],'Important Info!'!$A$1:$F$135,2,FALSE)</f>
        <v>-</v>
      </c>
      <c r="M1104" s="52">
        <f>VLOOKUP(Tabla3[[#This Row],[Site]],'Important Info!'!$A$1:$F$135,3,FALSE)</f>
        <v>6</v>
      </c>
      <c r="N1104" s="52" t="str">
        <f>VLOOKUP(Tabla3[[#This Row],[Site]],'Important Info!'!$A$1:$F$135,4,FALSE)</f>
        <v>-</v>
      </c>
      <c r="O1104" s="52" t="str">
        <f>VLOOKUP(Tabla3[[#This Row],[Site]],'Important Info!'!$A$1:$F$135,5,FALSE)</f>
        <v>4, 6</v>
      </c>
      <c r="P1104" s="52">
        <f>VLOOKUP(Tabla3[[#This Row],[Site]],'Important Info!'!$A$1:$F$135,6,FALSE)</f>
        <v>1</v>
      </c>
      <c r="Q1104" s="91">
        <f>VLOOKUP(Tabla3[[#This Row],[Site]],'Important Info!'!$A$1:$J$135,9,FALSE)</f>
        <v>118</v>
      </c>
    </row>
    <row r="1105" spans="1:17" x14ac:dyDescent="0.25">
      <c r="A1105" t="str">
        <f>+Tabla3[[#This Row],[Site]]&amp;Tabla3[[#This Row],[Split]]</f>
        <v>(AS) Courtesy CDJR of Brandon (NO TOURS)13</v>
      </c>
      <c r="B1105">
        <v>13</v>
      </c>
      <c r="C1105">
        <v>7</v>
      </c>
      <c r="D1105" t="s">
        <v>62</v>
      </c>
      <c r="E1105" t="s">
        <v>35</v>
      </c>
      <c r="F1105" t="s">
        <v>503</v>
      </c>
      <c r="G1105" t="s">
        <v>490</v>
      </c>
      <c r="H1105" s="52" t="str">
        <f>VLOOKUP(Tabla3[[#This Row],[Site]],'Important Info!'!$A$1:$J$135,10,FALSE)</f>
        <v>https://tools.sig.systems/site/details/126</v>
      </c>
      <c r="I1105" s="2" t="s">
        <v>181</v>
      </c>
      <c r="J1105" t="s">
        <v>484</v>
      </c>
      <c r="K1105" s="79" t="str">
        <f>VLOOKUP(Tabla3[[#This Row],[Site]],'Important Info!'!$A$1:$H$135,8,FALSE)</f>
        <v>-</v>
      </c>
      <c r="L1105" s="52" t="str">
        <f>VLOOKUP(Tabla3[[#This Row],[Site]],'Important Info!'!$A$1:$F$135,2,FALSE)</f>
        <v>1, 14, 15</v>
      </c>
      <c r="M1105" s="52">
        <f>VLOOKUP(Tabla3[[#This Row],[Site]],'Important Info!'!$A$1:$F$135,3,FALSE)</f>
        <v>1</v>
      </c>
      <c r="N1105" s="52" t="str">
        <f>VLOOKUP(Tabla3[[#This Row],[Site]],'Important Info!'!$A$1:$F$135,4,FALSE)</f>
        <v>-</v>
      </c>
      <c r="O1105" s="52" t="str">
        <f>VLOOKUP(Tabla3[[#This Row],[Site]],'Important Info!'!$A$1:$F$135,5,FALSE)</f>
        <v>2, 12</v>
      </c>
      <c r="P1105" s="52" t="str">
        <f>VLOOKUP(Tabla3[[#This Row],[Site]],'Important Info!'!$A$1:$F$135,6,FALSE)</f>
        <v xml:space="preserve">1, 2, 3, 4, 14, 15, 21, 25 </v>
      </c>
      <c r="Q1105" s="91">
        <f>VLOOKUP(Tabla3[[#This Row],[Site]],'Important Info!'!$A$1:$J$135,9,FALSE)</f>
        <v>126</v>
      </c>
    </row>
    <row r="1106" spans="1:17" x14ac:dyDescent="0.25">
      <c r="A1106" t="str">
        <f>+Tabla3[[#This Row],[Site]]&amp;Tabla3[[#This Row],[Split]]</f>
        <v>(AS) Nalley BMW Collision Center (NO TOURS)13</v>
      </c>
      <c r="B1106">
        <v>13</v>
      </c>
      <c r="C1106">
        <v>7</v>
      </c>
      <c r="D1106" t="s">
        <v>62</v>
      </c>
      <c r="E1106" t="s">
        <v>35</v>
      </c>
      <c r="F1106" t="s">
        <v>510</v>
      </c>
      <c r="G1106" t="s">
        <v>490</v>
      </c>
      <c r="H1106" s="52" t="str">
        <f>VLOOKUP(Tabla3[[#This Row],[Site]],'Important Info!'!$A$1:$J$135,10,FALSE)</f>
        <v>https://tools.sig.systems/site/details/220</v>
      </c>
      <c r="I1106" s="43"/>
      <c r="J1106" t="s">
        <v>41</v>
      </c>
      <c r="K1106" s="79" t="str">
        <f>VLOOKUP(Tabla3[[#This Row],[Site]],'Important Info!'!$A$1:$H$135,8,FALSE)</f>
        <v>-</v>
      </c>
      <c r="L1106" s="52" t="str">
        <f>VLOOKUP(Tabla3[[#This Row],[Site]],'Important Info!'!$A$1:$F$135,2,FALSE)</f>
        <v>-</v>
      </c>
      <c r="M1106" s="52">
        <f>VLOOKUP(Tabla3[[#This Row],[Site]],'Important Info!'!$A$1:$F$135,3,FALSE)</f>
        <v>4</v>
      </c>
      <c r="N1106" s="52" t="str">
        <f>VLOOKUP(Tabla3[[#This Row],[Site]],'Important Info!'!$A$1:$F$135,4,FALSE)</f>
        <v>-</v>
      </c>
      <c r="O1106" s="52">
        <f>VLOOKUP(Tabla3[[#This Row],[Site]],'Important Info!'!$A$1:$F$135,5,FALSE)</f>
        <v>12</v>
      </c>
      <c r="P1106" s="52" t="str">
        <f>VLOOKUP(Tabla3[[#This Row],[Site]],'Important Info!'!$A$1:$F$135,6,FALSE)</f>
        <v>13, 15</v>
      </c>
      <c r="Q1106" s="91">
        <f>VLOOKUP(Tabla3[[#This Row],[Site]],'Important Info!'!$A$1:$J$135,9,FALSE)</f>
        <v>220</v>
      </c>
    </row>
    <row r="1107" spans="1:17" x14ac:dyDescent="0.25">
      <c r="A1107" t="str">
        <f>+Tabla3[[#This Row],[Site]]&amp;Tabla3[[#This Row],[Split]]</f>
        <v>(AS) Park Place Mercedes Benz Ft. Worth (NO TOURS)13</v>
      </c>
      <c r="B1107">
        <v>13</v>
      </c>
      <c r="C1107">
        <v>7</v>
      </c>
      <c r="D1107" t="s">
        <v>33</v>
      </c>
      <c r="E1107" t="s">
        <v>46</v>
      </c>
      <c r="F1107" t="s">
        <v>519</v>
      </c>
      <c r="G1107" t="s">
        <v>34</v>
      </c>
      <c r="H1107" s="52" t="str">
        <f>VLOOKUP(Tabla3[[#This Row],[Site]],'Important Info!'!$A$1:$J$135,10,FALSE)</f>
        <v>https://tools.sig.systems/site/details/137</v>
      </c>
      <c r="I1107" s="2" t="s">
        <v>128</v>
      </c>
      <c r="J1107" t="s">
        <v>41</v>
      </c>
      <c r="K1107" s="79" t="s">
        <v>37</v>
      </c>
      <c r="L1107" s="52" t="str">
        <f>VLOOKUP(Tabla3[[#This Row],[Site]],'Important Info!'!$A$1:$F$135,2,FALSE)</f>
        <v>4, 18</v>
      </c>
      <c r="M1107" s="52" t="str">
        <f>VLOOKUP(Tabla3[[#This Row],[Site]],'Important Info!'!$A$1:$F$135,3,FALSE)</f>
        <v>-</v>
      </c>
      <c r="N1107" s="52" t="str">
        <f>VLOOKUP(Tabla3[[#This Row],[Site]],'Important Info!'!$A$1:$F$135,4,FALSE)</f>
        <v>54, 55</v>
      </c>
      <c r="O1107" s="52" t="str">
        <f>VLOOKUP(Tabla3[[#This Row],[Site]],'Important Info!'!$A$1:$F$135,5,FALSE)</f>
        <v>2, 18</v>
      </c>
      <c r="P1107" s="52" t="str">
        <f>VLOOKUP(Tabla3[[#This Row],[Site]],'Important Info!'!$A$1:$F$135,6,FALSE)</f>
        <v>5, 18</v>
      </c>
      <c r="Q1107" s="91">
        <f>VLOOKUP(Tabla3[[#This Row],[Site]],'Important Info!'!$A$1:$J$135,9,FALSE)</f>
        <v>137</v>
      </c>
    </row>
    <row r="1108" spans="1:17" x14ac:dyDescent="0.25">
      <c r="A1108" t="str">
        <f>+Tabla3[[#This Row],[Site]]&amp;Tabla3[[#This Row],[Split]]</f>
        <v>(AS) Stevinson Toyota West (NO TOURS)13</v>
      </c>
      <c r="B1108">
        <v>13</v>
      </c>
      <c r="C1108">
        <v>7</v>
      </c>
      <c r="D1108" t="s">
        <v>44</v>
      </c>
      <c r="E1108" t="s">
        <v>53</v>
      </c>
      <c r="F1108" t="s">
        <v>79</v>
      </c>
      <c r="G1108" t="s">
        <v>45</v>
      </c>
      <c r="H1108" s="52" t="str">
        <f>VLOOKUP(Tabla3[[#This Row],[Site]],'Important Info!'!$A$1:$J$135,10,FALSE)</f>
        <v>https://tools.sig.systems/site/details/240</v>
      </c>
      <c r="I1108" s="43" t="s">
        <v>154</v>
      </c>
      <c r="J1108" t="s">
        <v>41</v>
      </c>
      <c r="K1108" s="79" t="str">
        <f>VLOOKUP(Tabla3[[#This Row],[Site]],'Important Info!'!$A$1:$H$135,8,FALSE)</f>
        <v>-</v>
      </c>
      <c r="L1108" s="52" t="str">
        <f>VLOOKUP(Tabla3[[#This Row],[Site]],'Important Info!'!$A$1:$F$135,2,FALSE)</f>
        <v>-</v>
      </c>
      <c r="M1108" s="52" t="str">
        <f>VLOOKUP(Tabla3[[#This Row],[Site]],'Important Info!'!$A$1:$F$135,3,FALSE)</f>
        <v>7, 18, 21</v>
      </c>
      <c r="N1108" s="52" t="str">
        <f>VLOOKUP(Tabla3[[#This Row],[Site]],'Important Info!'!$A$1:$F$135,4,FALSE)</f>
        <v>-</v>
      </c>
      <c r="O1108" s="52" t="str">
        <f>VLOOKUP(Tabla3[[#This Row],[Site]],'Important Info!'!$A$1:$F$135,5,FALSE)</f>
        <v>11, 24, 34</v>
      </c>
      <c r="P1108" s="52" t="str">
        <f>VLOOKUP(Tabla3[[#This Row],[Site]],'Important Info!'!$A$1:$F$135,6,FALSE)</f>
        <v>1, 2, 3, 12</v>
      </c>
      <c r="Q1108" s="91">
        <f>VLOOKUP(Tabla3[[#This Row],[Site]],'Important Info!'!$A$1:$J$135,9,FALSE)</f>
        <v>240</v>
      </c>
    </row>
    <row r="1109" spans="1:17" x14ac:dyDescent="0.25">
      <c r="A1109" t="str">
        <f>+Tabla3[[#This Row],[Site]]&amp;Tabla3[[#This Row],[Split]]</f>
        <v>(ML) Honda of Little Rock13</v>
      </c>
      <c r="B1109">
        <v>13</v>
      </c>
      <c r="C1109">
        <v>7</v>
      </c>
      <c r="D1109" t="s">
        <v>33</v>
      </c>
      <c r="E1109" t="s">
        <v>46</v>
      </c>
      <c r="F1109" t="s">
        <v>71</v>
      </c>
      <c r="G1109" t="s">
        <v>34</v>
      </c>
      <c r="H1109" s="52" t="str">
        <f>VLOOKUP(Tabla3[[#This Row],[Site]],'Important Info!'!$A$1:$J$135,10,FALSE)</f>
        <v>https://tools.sig.systems/site/details/249</v>
      </c>
      <c r="I1109" s="43" t="s">
        <v>140</v>
      </c>
      <c r="J1109" t="s">
        <v>41</v>
      </c>
      <c r="K1109" s="79" t="str">
        <f>VLOOKUP(Tabla3[[#This Row],[Site]],'Important Info!'!$A$1:$H$135,8,FALSE)</f>
        <v>-</v>
      </c>
      <c r="L1109" s="52" t="str">
        <f>VLOOKUP(Tabla3[[#This Row],[Site]],'Important Info!'!$A$1:$F$135,2,FALSE)</f>
        <v>1, 4, 9, 14, 21</v>
      </c>
      <c r="M1109" s="52" t="str">
        <f>VLOOKUP(Tabla3[[#This Row],[Site]],'Important Info!'!$A$1:$F$135,3,FALSE)</f>
        <v>-</v>
      </c>
      <c r="N1109" s="52" t="str">
        <f>VLOOKUP(Tabla3[[#This Row],[Site]],'Important Info!'!$A$1:$F$135,4,FALSE)</f>
        <v>-</v>
      </c>
      <c r="O1109" s="52" t="str">
        <f>VLOOKUP(Tabla3[[#This Row],[Site]],'Important Info!'!$A$1:$F$135,5,FALSE)</f>
        <v>4, 14, 21</v>
      </c>
      <c r="P1109" s="52" t="str">
        <f>VLOOKUP(Tabla3[[#This Row],[Site]],'Important Info!'!$A$1:$F$135,6,FALSE)</f>
        <v>11, 12</v>
      </c>
      <c r="Q1109" s="91">
        <f>VLOOKUP(Tabla3[[#This Row],[Site]],'Important Info!'!$A$1:$J$135,9,FALSE)</f>
        <v>249</v>
      </c>
    </row>
    <row r="1110" spans="1:17" x14ac:dyDescent="0.25">
      <c r="A1110" t="str">
        <f>+Tabla3[[#This Row],[Site]]&amp;Tabla3[[#This Row],[Split]]</f>
        <v>(ML) Joe Machens Temporary 2.013</v>
      </c>
      <c r="B1110">
        <v>13</v>
      </c>
      <c r="C1110">
        <v>7</v>
      </c>
      <c r="D1110" t="s">
        <v>33</v>
      </c>
      <c r="E1110" t="s">
        <v>46</v>
      </c>
      <c r="F1110" t="s">
        <v>105</v>
      </c>
      <c r="G1110" t="s">
        <v>34</v>
      </c>
      <c r="H1110" s="52" t="str">
        <f>VLOOKUP(Tabla3[[#This Row],[Site]],'Important Info!'!$A$1:$J$135,10,FALSE)</f>
        <v>https://tools.sig.systems/site/details/278</v>
      </c>
      <c r="I1110" s="2" t="s">
        <v>146</v>
      </c>
      <c r="J1110" t="s">
        <v>41</v>
      </c>
      <c r="K1110" s="79" t="str">
        <f>VLOOKUP(Tabla3[[#This Row],[Site]],'Important Info!'!$A$1:$H$135,8,FALSE)</f>
        <v>-</v>
      </c>
      <c r="L1110" s="52" t="str">
        <f>VLOOKUP(Tabla3[[#This Row],[Site]],'Important Info!'!$A$1:$F$135,2,FALSE)</f>
        <v>-</v>
      </c>
      <c r="M1110" s="52" t="str">
        <f>VLOOKUP(Tabla3[[#This Row],[Site]],'Important Info!'!$A$1:$F$135,3,FALSE)</f>
        <v>1, 11, 14, 15, 16</v>
      </c>
      <c r="N1110" s="52" t="str">
        <f>VLOOKUP(Tabla3[[#This Row],[Site]],'Important Info!'!$A$1:$F$135,4,FALSE)</f>
        <v>-</v>
      </c>
      <c r="O1110" s="52">
        <f>VLOOKUP(Tabla3[[#This Row],[Site]],'Important Info!'!$A$1:$F$135,5,FALSE)</f>
        <v>13</v>
      </c>
      <c r="P1110" s="52" t="str">
        <f>VLOOKUP(Tabla3[[#This Row],[Site]],'Important Info!'!$A$1:$F$135,6,FALSE)</f>
        <v>-</v>
      </c>
      <c r="Q1110" s="91">
        <f>VLOOKUP(Tabla3[[#This Row],[Site]],'Important Info!'!$A$1:$J$135,9,FALSE)</f>
        <v>278</v>
      </c>
    </row>
    <row r="1111" spans="1:17" x14ac:dyDescent="0.25">
      <c r="A1111" t="str">
        <f>+Tabla3[[#This Row],[Site]]&amp;Tabla3[[#This Row],[Split]]</f>
        <v>(PE) BMW Tenafly (NO TOURS)13</v>
      </c>
      <c r="B1111">
        <v>13</v>
      </c>
      <c r="C1111">
        <v>7</v>
      </c>
      <c r="D1111" t="s">
        <v>485</v>
      </c>
      <c r="E1111" t="s">
        <v>35</v>
      </c>
      <c r="F1111" t="s">
        <v>173</v>
      </c>
      <c r="G1111" t="s">
        <v>490</v>
      </c>
      <c r="H1111" s="52" t="str">
        <f>VLOOKUP(Tabla3[[#This Row],[Site]],'Important Info!'!$A$1:$J$135,10,FALSE)</f>
        <v>https://tools.sig.systems/site/details/155</v>
      </c>
      <c r="I1111" s="43"/>
      <c r="J1111" t="s">
        <v>41</v>
      </c>
      <c r="K1111" s="79" t="str">
        <f>VLOOKUP(Tabla3[[#This Row],[Site]],'Important Info!'!$A$1:$H$135,8,FALSE)</f>
        <v>-</v>
      </c>
      <c r="L1111" s="52">
        <f>VLOOKUP(Tabla3[[#This Row],[Site]],'Important Info!'!$A$1:$F$135,2,FALSE)</f>
        <v>24</v>
      </c>
      <c r="M1111" s="52" t="str">
        <f>VLOOKUP(Tabla3[[#This Row],[Site]],'Important Info!'!$A$1:$F$135,3,FALSE)</f>
        <v>1, 3, 4, 17, 23</v>
      </c>
      <c r="N1111" s="52" t="str">
        <f>VLOOKUP(Tabla3[[#This Row],[Site]],'Important Info!'!$A$1:$F$135,4,FALSE)</f>
        <v>-</v>
      </c>
      <c r="O1111" s="52" t="str">
        <f>VLOOKUP(Tabla3[[#This Row],[Site]],'Important Info!'!$A$1:$F$135,5,FALSE)</f>
        <v>-</v>
      </c>
      <c r="P1111" s="52">
        <f>VLOOKUP(Tabla3[[#This Row],[Site]],'Important Info!'!$A$1:$F$135,6,FALSE)</f>
        <v>1</v>
      </c>
      <c r="Q1111" s="91">
        <f>VLOOKUP(Tabla3[[#This Row],[Site]],'Important Info!'!$A$1:$J$135,9,FALSE)</f>
        <v>155</v>
      </c>
    </row>
    <row r="1112" spans="1:17" x14ac:dyDescent="0.25">
      <c r="A1112" t="str">
        <f>+Tabla3[[#This Row],[Site]]&amp;Tabla3[[#This Row],[Split]]</f>
        <v>(SCH) Auto Body Shop Lake Park13</v>
      </c>
      <c r="B1112">
        <v>13</v>
      </c>
      <c r="C1112">
        <v>7</v>
      </c>
      <c r="D1112" t="s">
        <v>62</v>
      </c>
      <c r="E1112" t="s">
        <v>35</v>
      </c>
      <c r="F1112" t="s">
        <v>189</v>
      </c>
      <c r="G1112" t="s">
        <v>490</v>
      </c>
      <c r="H1112" s="52" t="str">
        <f>VLOOKUP(Tabla3[[#This Row],[Site]],'Important Info!'!$A$1:$J$135,10,FALSE)</f>
        <v>https://tools.sig.systems/site/details/158</v>
      </c>
      <c r="I1112" s="43"/>
      <c r="J1112" t="s">
        <v>41</v>
      </c>
      <c r="K1112" s="79" t="str">
        <f>VLOOKUP(Tabla3[[#This Row],[Site]],'Important Info!'!$A$1:$H$135,8,FALSE)</f>
        <v>-</v>
      </c>
      <c r="L1112" s="52" t="str">
        <f>VLOOKUP(Tabla3[[#This Row],[Site]],'Important Info!'!$A$1:$F$135,2,FALSE)</f>
        <v>3, 10</v>
      </c>
      <c r="M1112" s="52" t="str">
        <f>VLOOKUP(Tabla3[[#This Row],[Site]],'Important Info!'!$A$1:$F$135,3,FALSE)</f>
        <v>-</v>
      </c>
      <c r="N1112" s="52" t="str">
        <f>VLOOKUP(Tabla3[[#This Row],[Site]],'Important Info!'!$A$1:$F$135,4,FALSE)</f>
        <v>-</v>
      </c>
      <c r="O1112" s="52" t="str">
        <f>VLOOKUP(Tabla3[[#This Row],[Site]],'Important Info!'!$A$1:$F$135,5,FALSE)</f>
        <v>-</v>
      </c>
      <c r="P1112" s="52" t="str">
        <f>VLOOKUP(Tabla3[[#This Row],[Site]],'Important Info!'!$A$1:$F$135,6,FALSE)</f>
        <v>-</v>
      </c>
      <c r="Q1112" s="91">
        <f>VLOOKUP(Tabla3[[#This Row],[Site]],'Important Info!'!$A$1:$J$135,9,FALSE)</f>
        <v>158</v>
      </c>
    </row>
    <row r="1113" spans="1:17" x14ac:dyDescent="0.25">
      <c r="A1113" t="str">
        <f>+Tabla3[[#This Row],[Site]]&amp;Tabla3[[#This Row],[Split]]</f>
        <v>(AS) Courtesy Honda Palm Harbor (NO TOURS)13</v>
      </c>
      <c r="B1113">
        <v>13</v>
      </c>
      <c r="C1113">
        <v>8</v>
      </c>
      <c r="D1113" t="s">
        <v>62</v>
      </c>
      <c r="E1113" t="s">
        <v>35</v>
      </c>
      <c r="F1113" t="s">
        <v>108</v>
      </c>
      <c r="G1113" t="s">
        <v>490</v>
      </c>
      <c r="H1113" s="52" t="str">
        <f>VLOOKUP(Tabla3[[#This Row],[Site]],'Important Info!'!$A$1:$J$135,10,FALSE)</f>
        <v>https://tools.sig.systems/site/details/176</v>
      </c>
      <c r="I1113" s="43"/>
      <c r="J1113" t="s">
        <v>36</v>
      </c>
      <c r="K1113" s="79" t="str">
        <f>VLOOKUP(Tabla3[[#This Row],[Site]],'Important Info!'!$A$1:$H$135,8,FALSE)</f>
        <v>-</v>
      </c>
      <c r="L1113" s="52">
        <f>VLOOKUP(Tabla3[[#This Row],[Site]],'Important Info!'!$A$1:$F$135,2,FALSE)</f>
        <v>2</v>
      </c>
      <c r="M1113" s="52" t="str">
        <f>VLOOKUP(Tabla3[[#This Row],[Site]],'Important Info!'!$A$1:$F$135,3,FALSE)</f>
        <v>-</v>
      </c>
      <c r="N1113" s="52" t="str">
        <f>VLOOKUP(Tabla3[[#This Row],[Site]],'Important Info!'!$A$1:$F$135,4,FALSE)</f>
        <v>-</v>
      </c>
      <c r="O1113" s="52" t="str">
        <f>VLOOKUP(Tabla3[[#This Row],[Site]],'Important Info!'!$A$1:$F$135,5,FALSE)</f>
        <v>4, 8, 21</v>
      </c>
      <c r="P1113" s="52">
        <f>VLOOKUP(Tabla3[[#This Row],[Site]],'Important Info!'!$A$1:$F$135,6,FALSE)</f>
        <v>10</v>
      </c>
      <c r="Q1113" s="91">
        <f>VLOOKUP(Tabla3[[#This Row],[Site]],'Important Info!'!$A$1:$J$135,9,FALSE)</f>
        <v>176</v>
      </c>
    </row>
    <row r="1114" spans="1:17" x14ac:dyDescent="0.25">
      <c r="A1114" t="str">
        <f>+Tabla3[[#This Row],[Site]]&amp;Tabla3[[#This Row],[Split]]</f>
        <v>(AS) Park Place Bodywerks Dallas (NO TOURS)13</v>
      </c>
      <c r="B1114">
        <v>13</v>
      </c>
      <c r="C1114">
        <v>8</v>
      </c>
      <c r="D1114" t="s">
        <v>33</v>
      </c>
      <c r="E1114" t="s">
        <v>46</v>
      </c>
      <c r="F1114" t="s">
        <v>514</v>
      </c>
      <c r="G1114" t="s">
        <v>34</v>
      </c>
      <c r="H1114" s="52" t="str">
        <f>VLOOKUP(Tabla3[[#This Row],[Site]],'Important Info!'!$A$1:$J$135,10,FALSE)</f>
        <v>https://tools.sig.systems/site/details/166</v>
      </c>
      <c r="I1114" s="65" t="s">
        <v>125</v>
      </c>
      <c r="J1114" t="s">
        <v>41</v>
      </c>
      <c r="K1114" s="79" t="str">
        <f>VLOOKUP(Tabla3[[#This Row],[Site]],'Important Info!'!$A$1:$H$135,8,FALSE)</f>
        <v>-</v>
      </c>
      <c r="L1114" s="52">
        <f>VLOOKUP(Tabla3[[#This Row],[Site]],'Important Info!'!$A$1:$F$135,2,FALSE)</f>
        <v>3</v>
      </c>
      <c r="M1114" s="52">
        <f>VLOOKUP(Tabla3[[#This Row],[Site]],'Important Info!'!$A$1:$F$135,3,FALSE)</f>
        <v>1</v>
      </c>
      <c r="N1114" s="52" t="str">
        <f>VLOOKUP(Tabla3[[#This Row],[Site]],'Important Info!'!$A$1:$F$135,4,FALSE)</f>
        <v>-</v>
      </c>
      <c r="O1114" s="52" t="str">
        <f>VLOOKUP(Tabla3[[#This Row],[Site]],'Important Info!'!$A$1:$F$135,5,FALSE)</f>
        <v>-</v>
      </c>
      <c r="P1114" s="52" t="str">
        <f>VLOOKUP(Tabla3[[#This Row],[Site]],'Important Info!'!$A$1:$F$135,6,FALSE)</f>
        <v>1, 2, 8</v>
      </c>
      <c r="Q1114" s="91">
        <f>VLOOKUP(Tabla3[[#This Row],[Site]],'Important Info!'!$A$1:$J$135,9,FALSE)</f>
        <v>166</v>
      </c>
    </row>
    <row r="1115" spans="1:17" x14ac:dyDescent="0.25">
      <c r="A1115" t="str">
        <f>+Tabla3[[#This Row],[Site]]&amp;Tabla3[[#This Row],[Split]]</f>
        <v>(AS) Stevinson Lexus of Lakewood (NO TOURS)13</v>
      </c>
      <c r="B1115">
        <v>13</v>
      </c>
      <c r="C1115">
        <v>8</v>
      </c>
      <c r="D1115" t="s">
        <v>44</v>
      </c>
      <c r="E1115" t="s">
        <v>53</v>
      </c>
      <c r="F1115" t="s">
        <v>523</v>
      </c>
      <c r="G1115" t="s">
        <v>45</v>
      </c>
      <c r="H1115" s="52" t="str">
        <f>VLOOKUP(Tabla3[[#This Row],[Site]],'Important Info!'!$A$1:$J$135,10,FALSE)</f>
        <v>https://tools.sig.systems/site/details/260</v>
      </c>
      <c r="I1115" s="2" t="s">
        <v>154</v>
      </c>
      <c r="J1115" t="s">
        <v>41</v>
      </c>
      <c r="K1115" s="79" t="str">
        <f>VLOOKUP(Tabla3[[#This Row],[Site]],'Important Info!'!$A$1:$H$135,8,FALSE)</f>
        <v>-</v>
      </c>
      <c r="L1115" s="52" t="str">
        <f>VLOOKUP(Tabla3[[#This Row],[Site]],'Important Info!'!$A$1:$F$135,2,FALSE)</f>
        <v>-</v>
      </c>
      <c r="M1115" s="52" t="str">
        <f>VLOOKUP(Tabla3[[#This Row],[Site]],'Important Info!'!$A$1:$F$135,3,FALSE)</f>
        <v>2, 10</v>
      </c>
      <c r="N1115" s="52" t="str">
        <f>VLOOKUP(Tabla3[[#This Row],[Site]],'Important Info!'!$A$1:$F$135,4,FALSE)</f>
        <v>9, 17</v>
      </c>
      <c r="O1115" s="52" t="str">
        <f>VLOOKUP(Tabla3[[#This Row],[Site]],'Important Info!'!$A$1:$F$135,5,FALSE)</f>
        <v>-</v>
      </c>
      <c r="P1115" s="52" t="str">
        <f>VLOOKUP(Tabla3[[#This Row],[Site]],'Important Info!'!$A$1:$F$135,6,FALSE)</f>
        <v>1, 2</v>
      </c>
      <c r="Q1115" s="91">
        <f>VLOOKUP(Tabla3[[#This Row],[Site]],'Important Info!'!$A$1:$J$135,9,FALSE)</f>
        <v>260</v>
      </c>
    </row>
    <row r="1116" spans="1:17" x14ac:dyDescent="0.25">
      <c r="A1116" t="str">
        <f>+Tabla3[[#This Row],[Site]]&amp;Tabla3[[#This Row],[Split]]</f>
        <v>(KG) Big Star Honda13</v>
      </c>
      <c r="B1116">
        <v>13</v>
      </c>
      <c r="C1116">
        <v>8</v>
      </c>
      <c r="D1116" t="s">
        <v>33</v>
      </c>
      <c r="E1116" t="s">
        <v>46</v>
      </c>
      <c r="F1116" t="s">
        <v>136</v>
      </c>
      <c r="G1116" t="s">
        <v>34</v>
      </c>
      <c r="H1116" s="52" t="str">
        <f>VLOOKUP(Tabla3[[#This Row],[Site]],'Important Info!'!$A$1:$J$135,10,FALSE)</f>
        <v>https://tools.sig.systems/site/details/231</v>
      </c>
      <c r="J1116" t="s">
        <v>41</v>
      </c>
      <c r="K1116" s="79" t="str">
        <f>VLOOKUP(Tabla3[[#This Row],[Site]],'Important Info!'!$A$1:$H$135,8,FALSE)</f>
        <v>-</v>
      </c>
      <c r="L1116" s="52" t="str">
        <f>VLOOKUP(Tabla3[[#This Row],[Site]],'Important Info!'!$A$1:$F$135,2,FALSE)</f>
        <v>2, 17, 33</v>
      </c>
      <c r="M1116" s="52" t="str">
        <f>VLOOKUP(Tabla3[[#This Row],[Site]],'Important Info!'!$A$1:$F$135,3,FALSE)</f>
        <v>-</v>
      </c>
      <c r="N1116" s="52" t="str">
        <f>VLOOKUP(Tabla3[[#This Row],[Site]],'Important Info!'!$A$1:$F$135,4,FALSE)</f>
        <v>-</v>
      </c>
      <c r="O1116" s="52" t="str">
        <f>VLOOKUP(Tabla3[[#This Row],[Site]],'Important Info!'!$A$1:$F$135,5,FALSE)</f>
        <v>3, 11, 16, 21, 24, 31, 34</v>
      </c>
      <c r="P1116" s="52" t="str">
        <f>VLOOKUP(Tabla3[[#This Row],[Site]],'Important Info!'!$A$1:$F$135,6,FALSE)</f>
        <v xml:space="preserve">2, 3, 17, 22, 37, 41, 42 </v>
      </c>
      <c r="Q1116" s="91">
        <f>VLOOKUP(Tabla3[[#This Row],[Site]],'Important Info!'!$A$1:$J$135,9,FALSE)</f>
        <v>231</v>
      </c>
    </row>
    <row r="1117" spans="1:17" x14ac:dyDescent="0.25">
      <c r="A1117" t="str">
        <f>+Tabla3[[#This Row],[Site]]&amp;Tabla3[[#This Row],[Split]]</f>
        <v>(KG) Truck Center Remote Storage Lot13</v>
      </c>
      <c r="B1117">
        <v>13</v>
      </c>
      <c r="C1117">
        <v>8</v>
      </c>
      <c r="D1117" t="s">
        <v>60</v>
      </c>
      <c r="E1117" t="s">
        <v>53</v>
      </c>
      <c r="F1117" t="s">
        <v>61</v>
      </c>
      <c r="G1117" t="s">
        <v>41</v>
      </c>
      <c r="H1117" s="52" t="str">
        <f>VLOOKUP(Tabla3[[#This Row],[Site]],'Important Info!'!$A$1:$J$135,10,FALSE)</f>
        <v>https://tools.sig.systems/site/details/144</v>
      </c>
      <c r="I1117" s="43"/>
      <c r="J1117" t="s">
        <v>41</v>
      </c>
      <c r="K1117" s="79" t="str">
        <f>VLOOKUP(Tabla3[[#This Row],[Site]],'Important Info!'!$A$1:$H$135,8,FALSE)</f>
        <v>-</v>
      </c>
      <c r="L1117" s="52" t="str">
        <f>VLOOKUP(Tabla3[[#This Row],[Site]],'Important Info!'!$A$1:$F$135,2,FALSE)</f>
        <v>4, A23, A49</v>
      </c>
      <c r="M1117" s="52" t="str">
        <f>VLOOKUP(Tabla3[[#This Row],[Site]],'Important Info!'!$A$1:$F$135,3,FALSE)</f>
        <v>5, 24</v>
      </c>
      <c r="N1117" s="52" t="str">
        <f>VLOOKUP(Tabla3[[#This Row],[Site]],'Important Info!'!$A$1:$F$135,4,FALSE)</f>
        <v>-</v>
      </c>
      <c r="O1117" s="52" t="str">
        <f>VLOOKUP(Tabla3[[#This Row],[Site]],'Important Info!'!$A$1:$F$135,5,FALSE)</f>
        <v>1, 7, 11, 15, 19, 24, 25</v>
      </c>
      <c r="P1117" s="52" t="str">
        <f>VLOOKUP(Tabla3[[#This Row],[Site]],'Important Info!'!$A$1:$F$135,6,FALSE)</f>
        <v>9, 20, 24, A49</v>
      </c>
      <c r="Q1117" s="91">
        <f>VLOOKUP(Tabla3[[#This Row],[Site]],'Important Info!'!$A$1:$J$135,9,FALSE)</f>
        <v>144</v>
      </c>
    </row>
    <row r="1118" spans="1:17" x14ac:dyDescent="0.25">
      <c r="A1118" t="str">
        <f>+Tabla3[[#This Row],[Site]]&amp;Tabla3[[#This Row],[Split]]</f>
        <v>(ML) Collision Center N Little Rock13</v>
      </c>
      <c r="B1118">
        <v>13</v>
      </c>
      <c r="C1118">
        <v>8</v>
      </c>
      <c r="D1118" t="s">
        <v>33</v>
      </c>
      <c r="E1118" t="s">
        <v>46</v>
      </c>
      <c r="F1118" t="s">
        <v>141</v>
      </c>
      <c r="G1118" t="s">
        <v>34</v>
      </c>
      <c r="H1118" s="52" t="str">
        <f>VLOOKUP(Tabla3[[#This Row],[Site]],'Important Info!'!$A$1:$J$135,10,FALSE)</f>
        <v>https://tools.sig.systems/site/details/212</v>
      </c>
      <c r="I1118" s="43" t="s">
        <v>142</v>
      </c>
      <c r="J1118" t="s">
        <v>41</v>
      </c>
      <c r="K1118" s="79" t="str">
        <f>VLOOKUP(Tabla3[[#This Row],[Site]],'Important Info!'!$A$1:$H$135,8,FALSE)</f>
        <v>-</v>
      </c>
      <c r="L1118" s="52" t="str">
        <f>VLOOKUP(Tabla3[[#This Row],[Site]],'Important Info!'!$A$1:$F$135,2,FALSE)</f>
        <v>-</v>
      </c>
      <c r="M1118" s="52" t="str">
        <f>VLOOKUP(Tabla3[[#This Row],[Site]],'Important Info!'!$A$1:$F$135,3,FALSE)</f>
        <v>-</v>
      </c>
      <c r="N1118" s="52" t="str">
        <f>VLOOKUP(Tabla3[[#This Row],[Site]],'Important Info!'!$A$1:$F$135,4,FALSE)</f>
        <v>-</v>
      </c>
      <c r="O1118" s="52" t="str">
        <f>VLOOKUP(Tabla3[[#This Row],[Site]],'Important Info!'!$A$1:$F$135,5,FALSE)</f>
        <v>-</v>
      </c>
      <c r="P1118" s="52" t="str">
        <f>VLOOKUP(Tabla3[[#This Row],[Site]],'Important Info!'!$A$1:$F$135,6,FALSE)</f>
        <v>1, 3, 7, 8</v>
      </c>
      <c r="Q1118" s="91">
        <f>VLOOKUP(Tabla3[[#This Row],[Site]],'Important Info!'!$A$1:$J$135,9,FALSE)</f>
        <v>212</v>
      </c>
    </row>
    <row r="1119" spans="1:17" x14ac:dyDescent="0.25">
      <c r="A1119" t="str">
        <f>+Tabla3[[#This Row],[Site]]&amp;Tabla3[[#This Row],[Split]]</f>
        <v>(ML) Ford Lincoln of North Little Rock13</v>
      </c>
      <c r="B1119">
        <v>13</v>
      </c>
      <c r="C1119">
        <v>8</v>
      </c>
      <c r="D1119" t="s">
        <v>33</v>
      </c>
      <c r="E1119" t="s">
        <v>46</v>
      </c>
      <c r="F1119" t="s">
        <v>145</v>
      </c>
      <c r="G1119" t="s">
        <v>34</v>
      </c>
      <c r="H1119" s="52" t="str">
        <f>VLOOKUP(Tabla3[[#This Row],[Site]],'Important Info!'!$A$1:$J$135,10,FALSE)</f>
        <v>https://tools.sig.systems/site/details/214</v>
      </c>
      <c r="I1119" s="2" t="s">
        <v>142</v>
      </c>
      <c r="J1119" t="s">
        <v>41</v>
      </c>
      <c r="K1119" s="79" t="str">
        <f>VLOOKUP(Tabla3[[#This Row],[Site]],'Important Info!'!$A$1:$H$135,8,FALSE)</f>
        <v>-</v>
      </c>
      <c r="L1119" s="52" t="str">
        <f>VLOOKUP(Tabla3[[#This Row],[Site]],'Important Info!'!$A$1:$F$135,2,FALSE)</f>
        <v>4, 15, 18, 67, 74</v>
      </c>
      <c r="M1119" s="52">
        <f>VLOOKUP(Tabla3[[#This Row],[Site]],'Important Info!'!$A$1:$F$135,3,FALSE)</f>
        <v>13</v>
      </c>
      <c r="N1119" s="52" t="str">
        <f>VLOOKUP(Tabla3[[#This Row],[Site]],'Important Info!'!$A$1:$F$135,4,FALSE)</f>
        <v>-</v>
      </c>
      <c r="O1119" s="52" t="str">
        <f>VLOOKUP(Tabla3[[#This Row],[Site]],'Important Info!'!$A$1:$F$135,5,FALSE)</f>
        <v>4, 11, 16, 28</v>
      </c>
      <c r="P1119" s="52" t="str">
        <f>VLOOKUP(Tabla3[[#This Row],[Site]],'Important Info!'!$A$1:$F$135,6,FALSE)</f>
        <v>10, 11, 12</v>
      </c>
      <c r="Q1119" s="91">
        <f>VLOOKUP(Tabla3[[#This Row],[Site]],'Important Info!'!$A$1:$J$135,9,FALSE)</f>
        <v>214</v>
      </c>
    </row>
    <row r="1120" spans="1:17" x14ac:dyDescent="0.25">
      <c r="A1120" t="str">
        <f>+Tabla3[[#This Row],[Site]]&amp;Tabla3[[#This Row],[Split]]</f>
        <v>(ML) Joe Machens Nissan13</v>
      </c>
      <c r="B1120">
        <v>13</v>
      </c>
      <c r="C1120">
        <v>8</v>
      </c>
      <c r="D1120" t="s">
        <v>33</v>
      </c>
      <c r="E1120" t="s">
        <v>46</v>
      </c>
      <c r="F1120" t="s">
        <v>104</v>
      </c>
      <c r="G1120" t="s">
        <v>34</v>
      </c>
      <c r="H1120" s="52" t="str">
        <f>VLOOKUP(Tabla3[[#This Row],[Site]],'Important Info!'!$A$1:$J$135,10,FALSE)</f>
        <v>https://tools.sig.systems/site/details/279</v>
      </c>
      <c r="I1120" s="2" t="s">
        <v>146</v>
      </c>
      <c r="J1120" t="s">
        <v>41</v>
      </c>
      <c r="K1120" s="79" t="str">
        <f>VLOOKUP(Tabla3[[#This Row],[Site]],'Important Info!'!$A$1:$H$135,8,FALSE)</f>
        <v>-</v>
      </c>
      <c r="L1120" s="52" t="str">
        <f>VLOOKUP(Tabla3[[#This Row],[Site]],'Important Info!'!$A$1:$F$135,2,FALSE)</f>
        <v>-</v>
      </c>
      <c r="M1120" s="52" t="str">
        <f>VLOOKUP(Tabla3[[#This Row],[Site]],'Important Info!'!$A$1:$F$135,3,FALSE)</f>
        <v>1, 3, 16</v>
      </c>
      <c r="N1120" s="52" t="str">
        <f>VLOOKUP(Tabla3[[#This Row],[Site]],'Important Info!'!$A$1:$F$135,4,FALSE)</f>
        <v>-</v>
      </c>
      <c r="O1120" s="52" t="str">
        <f>VLOOKUP(Tabla3[[#This Row],[Site]],'Important Info!'!$A$1:$F$135,5,FALSE)</f>
        <v>-</v>
      </c>
      <c r="P1120" s="52" t="str">
        <f>VLOOKUP(Tabla3[[#This Row],[Site]],'Important Info!'!$A$1:$F$135,6,FALSE)</f>
        <v>-</v>
      </c>
      <c r="Q1120" s="91">
        <f>VLOOKUP(Tabla3[[#This Row],[Site]],'Important Info!'!$A$1:$J$135,9,FALSE)</f>
        <v>279</v>
      </c>
    </row>
    <row r="1121" spans="1:17" x14ac:dyDescent="0.25">
      <c r="A1121" t="str">
        <f>+Tabla3[[#This Row],[Site]]&amp;Tabla3[[#This Row],[Split]]</f>
        <v>(PE) JLR Darien PDI (NO TOURS)13</v>
      </c>
      <c r="B1121">
        <v>13</v>
      </c>
      <c r="C1121">
        <v>8</v>
      </c>
      <c r="D1121" t="s">
        <v>485</v>
      </c>
      <c r="E1121" t="s">
        <v>35</v>
      </c>
      <c r="F1121" t="s">
        <v>98</v>
      </c>
      <c r="G1121" t="s">
        <v>490</v>
      </c>
      <c r="H1121" s="52" t="str">
        <f>VLOOKUP(Tabla3[[#This Row],[Site]],'Important Info!'!$A$1:$J$135,10,FALSE)</f>
        <v>https://tools.sig.systems/site/details/187</v>
      </c>
      <c r="I1121" t="s">
        <v>175</v>
      </c>
      <c r="J1121" t="s">
        <v>41</v>
      </c>
      <c r="K1121" s="79" t="str">
        <f>VLOOKUP(Tabla3[[#This Row],[Site]],'Important Info!'!$A$1:$H$135,8,FALSE)</f>
        <v>-</v>
      </c>
      <c r="L1121" s="52">
        <f>VLOOKUP(Tabla3[[#This Row],[Site]],'Important Info!'!$A$1:$F$135,2,FALSE)</f>
        <v>1</v>
      </c>
      <c r="M1121" s="52" t="str">
        <f>VLOOKUP(Tabla3[[#This Row],[Site]],'Important Info!'!$A$1:$F$135,3,FALSE)</f>
        <v>-</v>
      </c>
      <c r="N1121" s="52" t="str">
        <f>VLOOKUP(Tabla3[[#This Row],[Site]],'Important Info!'!$A$1:$F$135,4,FALSE)</f>
        <v>-</v>
      </c>
      <c r="O1121" s="52">
        <f>VLOOKUP(Tabla3[[#This Row],[Site]],'Important Info!'!$A$1:$F$135,5,FALSE)</f>
        <v>1</v>
      </c>
      <c r="P1121" s="52">
        <f>VLOOKUP(Tabla3[[#This Row],[Site]],'Important Info!'!$A$1:$F$135,6,FALSE)</f>
        <v>7</v>
      </c>
      <c r="Q1121" s="91">
        <f>VLOOKUP(Tabla3[[#This Row],[Site]],'Important Info!'!$A$1:$J$135,9,FALSE)</f>
        <v>187</v>
      </c>
    </row>
    <row r="1122" spans="1:17" x14ac:dyDescent="0.25">
      <c r="A1122" t="str">
        <f>+Tabla3[[#This Row],[Site]]&amp;Tabla3[[#This Row],[Split]]</f>
        <v>(AS) Audi of North Atlanta (NO TOURS)13</v>
      </c>
      <c r="B1122">
        <v>13</v>
      </c>
      <c r="C1122">
        <v>9</v>
      </c>
      <c r="D1122" t="s">
        <v>62</v>
      </c>
      <c r="E1122" t="s">
        <v>35</v>
      </c>
      <c r="F1122" t="s">
        <v>499</v>
      </c>
      <c r="G1122" t="s">
        <v>490</v>
      </c>
      <c r="H1122" s="52" t="str">
        <f>VLOOKUP(Tabla3[[#This Row],[Site]],'Important Info!'!$A$1:$J$135,10,FALSE)</f>
        <v>https://tools.sig.systems/site/details/124</v>
      </c>
      <c r="I1122" s="2" t="s">
        <v>166</v>
      </c>
      <c r="J1122" t="s">
        <v>41</v>
      </c>
      <c r="K1122" s="79" t="str">
        <f>VLOOKUP(Tabla3[[#This Row],[Site]],'Important Info!'!$A$1:$H$135,8,FALSE)</f>
        <v>-</v>
      </c>
      <c r="L1122" s="52" t="str">
        <f>VLOOKUP(Tabla3[[#This Row],[Site]],'Important Info!'!$A$1:$F$135,2,FALSE)</f>
        <v>1, 5, 16, 54</v>
      </c>
      <c r="M1122" s="52" t="str">
        <f>VLOOKUP(Tabla3[[#This Row],[Site]],'Important Info!'!$A$1:$F$135,3,FALSE)</f>
        <v>-</v>
      </c>
      <c r="N1122" s="52" t="str">
        <f>VLOOKUP(Tabla3[[#This Row],[Site]],'Important Info!'!$A$1:$F$135,4,FALSE)</f>
        <v>-</v>
      </c>
      <c r="O1122" s="52" t="str">
        <f>VLOOKUP(Tabla3[[#This Row],[Site]],'Important Info!'!$A$1:$F$135,5,FALSE)</f>
        <v>3, 16</v>
      </c>
      <c r="P1122" s="52" t="str">
        <f>VLOOKUP(Tabla3[[#This Row],[Site]],'Important Info!'!$A$1:$F$135,6,FALSE)</f>
        <v>2, 5, 6</v>
      </c>
      <c r="Q1122" s="91">
        <f>VLOOKUP(Tabla3[[#This Row],[Site]],'Important Info!'!$A$1:$J$135,9,FALSE)</f>
        <v>124</v>
      </c>
    </row>
    <row r="1123" spans="1:17" x14ac:dyDescent="0.25">
      <c r="A1123" t="str">
        <f>+Tabla3[[#This Row],[Site]]&amp;Tabla3[[#This Row],[Split]]</f>
        <v>(AS) Coggin Mercedes Benz Ft Pierce (NO TOURS)13</v>
      </c>
      <c r="B1123">
        <v>13</v>
      </c>
      <c r="C1123">
        <v>9</v>
      </c>
      <c r="D1123" t="s">
        <v>62</v>
      </c>
      <c r="E1123" t="s">
        <v>35</v>
      </c>
      <c r="F1123" t="s">
        <v>502</v>
      </c>
      <c r="G1123" t="s">
        <v>490</v>
      </c>
      <c r="H1123" s="52" t="str">
        <f>VLOOKUP(Tabla3[[#This Row],[Site]],'Important Info!'!$A$1:$J$135,10,FALSE)</f>
        <v>https://tools.sig.systems/site/details/127</v>
      </c>
      <c r="I1123" t="s">
        <v>179</v>
      </c>
      <c r="J1123" t="s">
        <v>41</v>
      </c>
      <c r="K1123" s="79" t="str">
        <f>VLOOKUP(Tabla3[[#This Row],[Site]],'Important Info!'!$A$1:$H$135,8,FALSE)</f>
        <v>-</v>
      </c>
      <c r="L1123" s="52">
        <f>VLOOKUP(Tabla3[[#This Row],[Site]],'Important Info!'!$A$1:$F$135,2,FALSE)</f>
        <v>18</v>
      </c>
      <c r="M1123" s="52" t="str">
        <f>VLOOKUP(Tabla3[[#This Row],[Site]],'Important Info!'!$A$1:$F$135,3,FALSE)</f>
        <v>1, 3</v>
      </c>
      <c r="N1123" s="52" t="str">
        <f>VLOOKUP(Tabla3[[#This Row],[Site]],'Important Info!'!$A$1:$F$135,4,FALSE)</f>
        <v>-</v>
      </c>
      <c r="O1123" s="52" t="str">
        <f>VLOOKUP(Tabla3[[#This Row],[Site]],'Important Info!'!$A$1:$F$135,5,FALSE)</f>
        <v>6, 10, 13</v>
      </c>
      <c r="P1123" s="52" t="str">
        <f>VLOOKUP(Tabla3[[#This Row],[Site]],'Important Info!'!$A$1:$F$135,6,FALSE)</f>
        <v>1, 4, 5</v>
      </c>
      <c r="Q1123" s="91">
        <f>VLOOKUP(Tabla3[[#This Row],[Site]],'Important Info!'!$A$1:$J$135,9,FALSE)</f>
        <v>127</v>
      </c>
    </row>
    <row r="1124" spans="1:17" x14ac:dyDescent="0.25">
      <c r="A1124" t="str">
        <f>+Tabla3[[#This Row],[Site]]&amp;Tabla3[[#This Row],[Split]]</f>
        <v>(AS) Park Place MB Recon Center Dallas (NO TOURS)13</v>
      </c>
      <c r="B1124">
        <v>13</v>
      </c>
      <c r="C1124">
        <v>9</v>
      </c>
      <c r="D1124" t="s">
        <v>33</v>
      </c>
      <c r="E1124" t="s">
        <v>46</v>
      </c>
      <c r="F1124" t="s">
        <v>517</v>
      </c>
      <c r="G1124" t="s">
        <v>34</v>
      </c>
      <c r="H1124" s="52" t="str">
        <f>VLOOKUP(Tabla3[[#This Row],[Site]],'Important Info!'!$A$1:$J$135,10,FALSE)</f>
        <v>https://tools.sig.systems/site/details/170</v>
      </c>
      <c r="I1124" s="65" t="s">
        <v>125</v>
      </c>
      <c r="J1124" t="s">
        <v>41</v>
      </c>
      <c r="K1124" s="79" t="str">
        <f>VLOOKUP(Tabla3[[#This Row],[Site]],'Important Info!'!$A$1:$H$135,8,FALSE)</f>
        <v>-</v>
      </c>
      <c r="L1124" s="52" t="str">
        <f>VLOOKUP(Tabla3[[#This Row],[Site]],'Important Info!'!$A$1:$F$135,2,FALSE)</f>
        <v>3, 39</v>
      </c>
      <c r="M1124" s="52" t="str">
        <f>VLOOKUP(Tabla3[[#This Row],[Site]],'Important Info!'!$A$1:$F$135,3,FALSE)</f>
        <v>-</v>
      </c>
      <c r="N1124" s="52" t="str">
        <f>VLOOKUP(Tabla3[[#This Row],[Site]],'Important Info!'!$A$1:$F$135,4,FALSE)</f>
        <v>-</v>
      </c>
      <c r="O1124" s="52" t="str">
        <f>VLOOKUP(Tabla3[[#This Row],[Site]],'Important Info!'!$A$1:$F$135,5,FALSE)</f>
        <v>4, 11</v>
      </c>
      <c r="P1124" s="52">
        <f>VLOOKUP(Tabla3[[#This Row],[Site]],'Important Info!'!$A$1:$F$135,6,FALSE)</f>
        <v>1</v>
      </c>
      <c r="Q1124" s="91">
        <f>VLOOKUP(Tabla3[[#This Row],[Site]],'Important Info!'!$A$1:$J$135,9,FALSE)</f>
        <v>170</v>
      </c>
    </row>
    <row r="1125" spans="1:17" x14ac:dyDescent="0.25">
      <c r="A1125" t="str">
        <f>+Tabla3[[#This Row],[Site]]&amp;Tabla3[[#This Row],[Split]]</f>
        <v>(ML) Joe Machens Ford Lincoln I &amp; II13</v>
      </c>
      <c r="B1125">
        <v>13</v>
      </c>
      <c r="C1125">
        <v>9</v>
      </c>
      <c r="D1125" t="s">
        <v>33</v>
      </c>
      <c r="E1125" t="s">
        <v>46</v>
      </c>
      <c r="F1125" t="s">
        <v>148</v>
      </c>
      <c r="G1125" t="s">
        <v>34</v>
      </c>
      <c r="H1125" s="52" t="str">
        <f>VLOOKUP(Tabla3[[#This Row],[Site]],'Important Info!'!$A$1:$J$135,10,FALSE)</f>
        <v>https://tools.sig.systems/site/details/266</v>
      </c>
      <c r="I1125" s="43" t="s">
        <v>146</v>
      </c>
      <c r="J1125" t="s">
        <v>41</v>
      </c>
      <c r="K1125" s="79" t="str">
        <f>VLOOKUP(Tabla3[[#This Row],[Site]],'Important Info!'!$A$1:$H$135,8,FALSE)</f>
        <v>-</v>
      </c>
      <c r="L1125" s="52" t="str">
        <f>VLOOKUP(Tabla3[[#This Row],[Site]],'Important Info!'!$A$1:$F$135,2,FALSE)</f>
        <v>-</v>
      </c>
      <c r="M1125" s="52" t="str">
        <f>VLOOKUP(Tabla3[[#This Row],[Site]],'Important Info!'!$A$1:$F$135,3,FALSE)</f>
        <v>4, 6, 9, 13, 14, 17, 26, 27, 28, 29, 30</v>
      </c>
      <c r="N1125" s="52" t="str">
        <f>VLOOKUP(Tabla3[[#This Row],[Site]],'Important Info!'!$A$1:$F$135,4,FALSE)</f>
        <v>-</v>
      </c>
      <c r="O1125" s="52" t="str">
        <f>VLOOKUP(Tabla3[[#This Row],[Site]],'Important Info!'!$A$1:$F$135,5,FALSE)</f>
        <v>23, 40, 49</v>
      </c>
      <c r="P1125" s="52" t="str">
        <f>VLOOKUP(Tabla3[[#This Row],[Site]],'Important Info!'!$A$1:$F$135,6,FALSE)</f>
        <v>-</v>
      </c>
      <c r="Q1125" s="91">
        <f>VLOOKUP(Tabla3[[#This Row],[Site]],'Important Info!'!$A$1:$J$135,9,FALSE)</f>
        <v>266</v>
      </c>
    </row>
    <row r="1126" spans="1:17" x14ac:dyDescent="0.25">
      <c r="A1126" t="str">
        <f>+Tabla3[[#This Row],[Site]]&amp;Tabla3[[#This Row],[Split]]</f>
        <v>(ML) Joe Machens Kia of Columbia13</v>
      </c>
      <c r="B1126">
        <v>13</v>
      </c>
      <c r="C1126">
        <v>9</v>
      </c>
      <c r="D1126" t="s">
        <v>33</v>
      </c>
      <c r="E1126" t="s">
        <v>46</v>
      </c>
      <c r="F1126" t="s">
        <v>149</v>
      </c>
      <c r="G1126" t="s">
        <v>34</v>
      </c>
      <c r="H1126" s="52" t="str">
        <f>VLOOKUP(Tabla3[[#This Row],[Site]],'Important Info!'!$A$1:$J$135,10,FALSE)</f>
        <v>https://tools.sig.systems/site/details/270</v>
      </c>
      <c r="I1126" s="2" t="s">
        <v>146</v>
      </c>
      <c r="J1126" t="s">
        <v>41</v>
      </c>
      <c r="K1126" s="79" t="str">
        <f>VLOOKUP(Tabla3[[#This Row],[Site]],'Important Info!'!$A$1:$H$135,8,FALSE)</f>
        <v>-</v>
      </c>
      <c r="L1126" s="52" t="str">
        <f>VLOOKUP(Tabla3[[#This Row],[Site]],'Important Info!'!$A$1:$F$135,2,FALSE)</f>
        <v>-</v>
      </c>
      <c r="M1126" s="52" t="str">
        <f>VLOOKUP(Tabla3[[#This Row],[Site]],'Important Info!'!$A$1:$F$135,3,FALSE)</f>
        <v>1, 2, 5, 6, 9, 13, 15</v>
      </c>
      <c r="N1126" s="52" t="str">
        <f>VLOOKUP(Tabla3[[#This Row],[Site]],'Important Info!'!$A$1:$F$135,4,FALSE)</f>
        <v>-</v>
      </c>
      <c r="O1126" s="52" t="str">
        <f>VLOOKUP(Tabla3[[#This Row],[Site]],'Important Info!'!$A$1:$F$135,5,FALSE)</f>
        <v>-</v>
      </c>
      <c r="P1126" s="52" t="str">
        <f>VLOOKUP(Tabla3[[#This Row],[Site]],'Important Info!'!$A$1:$F$135,6,FALSE)</f>
        <v>10, 11, 13</v>
      </c>
      <c r="Q1126" s="91">
        <f>VLOOKUP(Tabla3[[#This Row],[Site]],'Important Info!'!$A$1:$J$135,9,FALSE)</f>
        <v>270</v>
      </c>
    </row>
    <row r="1127" spans="1:17" x14ac:dyDescent="0.25">
      <c r="A1127" t="str">
        <f>+Tabla3[[#This Row],[Site]]&amp;Tabla3[[#This Row],[Split]]</f>
        <v>(SCH) Delray I &amp; II13</v>
      </c>
      <c r="B1127">
        <v>13</v>
      </c>
      <c r="C1127">
        <v>9</v>
      </c>
      <c r="D1127" t="s">
        <v>62</v>
      </c>
      <c r="E1127" t="s">
        <v>35</v>
      </c>
      <c r="F1127" t="s">
        <v>67</v>
      </c>
      <c r="G1127" t="s">
        <v>490</v>
      </c>
      <c r="H1127" s="52" t="str">
        <f>VLOOKUP(Tabla3[[#This Row],[Site]],'Important Info!'!$A$1:$J$135,10,FALSE)</f>
        <v>https://tools.sig.systems/site/details/159</v>
      </c>
      <c r="I1127" s="2"/>
      <c r="J1127" t="s">
        <v>36</v>
      </c>
      <c r="K1127" s="79" t="str">
        <f>VLOOKUP(Tabla3[[#This Row],[Site]],'Important Info!'!$A$1:$H$135,8,FALSE)</f>
        <v>-</v>
      </c>
      <c r="L1127" s="52" t="str">
        <f>VLOOKUP(Tabla3[[#This Row],[Site]],'Important Info!'!$A$1:$F$135,2,FALSE)</f>
        <v>5, 28, 31</v>
      </c>
      <c r="M1127" s="52" t="str">
        <f>VLOOKUP(Tabla3[[#This Row],[Site]],'Important Info!'!$A$1:$F$135,3,FALSE)</f>
        <v>1, 29</v>
      </c>
      <c r="N1127" s="52">
        <f>VLOOKUP(Tabla3[[#This Row],[Site]],'Important Info!'!$A$1:$F$135,4,FALSE)</f>
        <v>6</v>
      </c>
      <c r="O1127" s="52" t="str">
        <f>VLOOKUP(Tabla3[[#This Row],[Site]],'Important Info!'!$A$1:$F$135,5,FALSE)</f>
        <v>-</v>
      </c>
      <c r="P1127" s="52" t="str">
        <f>VLOOKUP(Tabla3[[#This Row],[Site]],'Important Info!'!$A$1:$F$135,6,FALSE)</f>
        <v>1, 35, 36</v>
      </c>
      <c r="Q1127" s="91">
        <f>VLOOKUP(Tabla3[[#This Row],[Site]],'Important Info!'!$A$1:$J$135,9,FALSE)</f>
        <v>159</v>
      </c>
    </row>
    <row r="1128" spans="1:17" x14ac:dyDescent="0.25">
      <c r="A1128" t="str">
        <f>+Tabla3[[#This Row],[Site]]&amp;Tabla3[[#This Row],[Split]]</f>
        <v>(WAG) Greeley Chrysler Dodge Jeep Ram (NO TOURS)13</v>
      </c>
      <c r="B1128">
        <v>13</v>
      </c>
      <c r="C1128">
        <v>9</v>
      </c>
      <c r="D1128" t="s">
        <v>44</v>
      </c>
      <c r="E1128" t="s">
        <v>53</v>
      </c>
      <c r="F1128" t="s">
        <v>497</v>
      </c>
      <c r="G1128" t="s">
        <v>45</v>
      </c>
      <c r="H1128" s="52" t="str">
        <f>VLOOKUP(Tabla3[[#This Row],[Site]],'Important Info!'!$A$1:$J$135,10,FALSE)</f>
        <v>https://tools.sig.systems/site/details/130</v>
      </c>
      <c r="I1128" t="s">
        <v>153</v>
      </c>
      <c r="J1128" t="s">
        <v>41</v>
      </c>
      <c r="K1128" s="79" t="str">
        <f>VLOOKUP(Tabla3[[#This Row],[Site]],'Important Info!'!$A$1:$H$135,8,FALSE)</f>
        <v>-</v>
      </c>
      <c r="L1128" s="52" t="str">
        <f>VLOOKUP(Tabla3[[#This Row],[Site]],'Important Info!'!$A$1:$F$135,2,FALSE)</f>
        <v>17, 23 &amp; 18</v>
      </c>
      <c r="M1128" s="52" t="str">
        <f>VLOOKUP(Tabla3[[#This Row],[Site]],'Important Info!'!$A$1:$F$135,3,FALSE)</f>
        <v>4, 5, 6, 7, 8, 51, 55</v>
      </c>
      <c r="N1128" s="52" t="str">
        <f>VLOOKUP(Tabla3[[#This Row],[Site]],'Important Info!'!$A$1:$F$135,4,FALSE)</f>
        <v>-</v>
      </c>
      <c r="O1128" s="52" t="str">
        <f>VLOOKUP(Tabla3[[#This Row],[Site]],'Important Info!'!$A$1:$F$135,5,FALSE)</f>
        <v>3, 13, 17, 49, 53, 59</v>
      </c>
      <c r="P1128" s="52" t="str">
        <f>VLOOKUP(Tabla3[[#This Row],[Site]],'Important Info!'!$A$1:$F$135,6,FALSE)</f>
        <v>8, 9, 10, 51, 62</v>
      </c>
      <c r="Q1128" s="91">
        <f>VLOOKUP(Tabla3[[#This Row],[Site]],'Important Info!'!$A$1:$J$135,9,FALSE)</f>
        <v>130</v>
      </c>
    </row>
    <row r="1129" spans="1:17" x14ac:dyDescent="0.25">
      <c r="A1129" t="str">
        <f>+Tabla3[[#This Row],[Site]]&amp;Tabla3[[#This Row],[Split]]</f>
        <v>(AS) Courtesy Kia of Brandon (NO TOURS)13</v>
      </c>
      <c r="B1129">
        <v>13</v>
      </c>
      <c r="C1129">
        <v>10</v>
      </c>
      <c r="D1129" t="s">
        <v>62</v>
      </c>
      <c r="E1129" t="s">
        <v>35</v>
      </c>
      <c r="F1129" t="s">
        <v>505</v>
      </c>
      <c r="G1129" t="s">
        <v>490</v>
      </c>
      <c r="H1129" s="52" t="str">
        <f>VLOOKUP(Tabla3[[#This Row],[Site]],'Important Info!'!$A$1:$J$135,10,FALSE)</f>
        <v>https://tools.sig.systems/site/details/121</v>
      </c>
      <c r="I1129" s="2" t="s">
        <v>181</v>
      </c>
      <c r="J1129" t="s">
        <v>484</v>
      </c>
      <c r="K1129" s="79" t="str">
        <f>VLOOKUP(Tabla3[[#This Row],[Site]],'Important Info!'!$A$1:$H$135,8,FALSE)</f>
        <v>-</v>
      </c>
      <c r="L1129" s="52" t="str">
        <f>VLOOKUP(Tabla3[[#This Row],[Site]],'Important Info!'!$A$1:$F$135,2,FALSE)</f>
        <v>-</v>
      </c>
      <c r="M1129" s="52" t="str">
        <f>VLOOKUP(Tabla3[[#This Row],[Site]],'Important Info!'!$A$1:$F$135,3,FALSE)</f>
        <v>4, 8</v>
      </c>
      <c r="N1129" s="52" t="str">
        <f>VLOOKUP(Tabla3[[#This Row],[Site]],'Important Info!'!$A$1:$F$135,4,FALSE)</f>
        <v>-</v>
      </c>
      <c r="O1129" s="52" t="str">
        <f>VLOOKUP(Tabla3[[#This Row],[Site]],'Important Info!'!$A$1:$F$135,5,FALSE)</f>
        <v>3, 11, 20, 24</v>
      </c>
      <c r="P1129" s="52" t="str">
        <f>VLOOKUP(Tabla3[[#This Row],[Site]],'Important Info!'!$A$1:$F$135,6,FALSE)</f>
        <v>2, 8</v>
      </c>
      <c r="Q1129" s="91">
        <f>VLOOKUP(Tabla3[[#This Row],[Site]],'Important Info!'!$A$1:$J$135,9,FALSE)</f>
        <v>121</v>
      </c>
    </row>
    <row r="1130" spans="1:17" x14ac:dyDescent="0.25">
      <c r="A1130" t="str">
        <f>+Tabla3[[#This Row],[Site]]&amp;Tabla3[[#This Row],[Split]]</f>
        <v>(AS) Nalley Luxury Collision Center (NO TOURS)13</v>
      </c>
      <c r="B1130">
        <v>13</v>
      </c>
      <c r="C1130">
        <v>10</v>
      </c>
      <c r="D1130" t="s">
        <v>62</v>
      </c>
      <c r="E1130" t="s">
        <v>35</v>
      </c>
      <c r="F1130" t="s">
        <v>512</v>
      </c>
      <c r="G1130" t="s">
        <v>490</v>
      </c>
      <c r="H1130" s="52" t="str">
        <f>VLOOKUP(Tabla3[[#This Row],[Site]],'Important Info!'!$A$1:$J$135,10,FALSE)</f>
        <v>https://tools.sig.systems/site/details/263</v>
      </c>
      <c r="I1130" s="43" t="s">
        <v>166</v>
      </c>
      <c r="J1130" t="s">
        <v>41</v>
      </c>
      <c r="K1130" s="79" t="str">
        <f>VLOOKUP(Tabla3[[#This Row],[Site]],'Important Info!'!$A$1:$H$135,8,FALSE)</f>
        <v>-</v>
      </c>
      <c r="L1130" s="52" t="str">
        <f>VLOOKUP(Tabla3[[#This Row],[Site]],'Important Info!'!$A$1:$F$135,2,FALSE)</f>
        <v>6, 13</v>
      </c>
      <c r="M1130" s="52" t="str">
        <f>VLOOKUP(Tabla3[[#This Row],[Site]],'Important Info!'!$A$1:$F$135,3,FALSE)</f>
        <v>-</v>
      </c>
      <c r="N1130" s="52" t="str">
        <f>VLOOKUP(Tabla3[[#This Row],[Site]],'Important Info!'!$A$1:$F$135,4,FALSE)</f>
        <v>-</v>
      </c>
      <c r="O1130" s="52" t="str">
        <f>VLOOKUP(Tabla3[[#This Row],[Site]],'Important Info!'!$A$1:$F$135,5,FALSE)</f>
        <v>-</v>
      </c>
      <c r="P1130" s="52" t="str">
        <f>VLOOKUP(Tabla3[[#This Row],[Site]],'Important Info!'!$A$1:$F$135,6,FALSE)</f>
        <v>6, 7, 12</v>
      </c>
      <c r="Q1130" s="91">
        <f>VLOOKUP(Tabla3[[#This Row],[Site]],'Important Info!'!$A$1:$J$135,9,FALSE)</f>
        <v>263</v>
      </c>
    </row>
    <row r="1131" spans="1:17" x14ac:dyDescent="0.25">
      <c r="A1131" t="str">
        <f>+Tabla3[[#This Row],[Site]]&amp;Tabla3[[#This Row],[Split]]</f>
        <v>(AS) Park Place Volvo Service Center (NO TOURS)13</v>
      </c>
      <c r="B1131">
        <v>13</v>
      </c>
      <c r="C1131">
        <v>10</v>
      </c>
      <c r="D1131" t="s">
        <v>33</v>
      </c>
      <c r="E1131" t="s">
        <v>46</v>
      </c>
      <c r="F1131" t="s">
        <v>522</v>
      </c>
      <c r="G1131" t="s">
        <v>34</v>
      </c>
      <c r="H1131" s="52" t="str">
        <f>VLOOKUP(Tabla3[[#This Row],[Site]],'Important Info!'!$A$1:$J$135,10,FALSE)</f>
        <v>https://tools.sig.systems/site/details/171</v>
      </c>
      <c r="I1131" s="65" t="s">
        <v>125</v>
      </c>
      <c r="J1131" t="s">
        <v>41</v>
      </c>
      <c r="K1131" s="79" t="str">
        <f>VLOOKUP(Tabla3[[#This Row],[Site]],'Important Info!'!$A$1:$H$135,8,FALSE)</f>
        <v>-</v>
      </c>
      <c r="L1131" s="52" t="str">
        <f>VLOOKUP(Tabla3[[#This Row],[Site]],'Important Info!'!$A$1:$F$135,2,FALSE)</f>
        <v>3, 6, 9, 27, 31, 35</v>
      </c>
      <c r="M1131" s="52" t="str">
        <f>VLOOKUP(Tabla3[[#This Row],[Site]],'Important Info!'!$A$1:$F$135,3,FALSE)</f>
        <v>-</v>
      </c>
      <c r="N1131" s="52" t="str">
        <f>VLOOKUP(Tabla3[[#This Row],[Site]],'Important Info!'!$A$1:$F$135,4,FALSE)</f>
        <v>-</v>
      </c>
      <c r="O1131" s="52" t="str">
        <f>VLOOKUP(Tabla3[[#This Row],[Site]],'Important Info!'!$A$1:$F$135,5,FALSE)</f>
        <v>27, 32</v>
      </c>
      <c r="P1131" s="52" t="str">
        <f>VLOOKUP(Tabla3[[#This Row],[Site]],'Important Info!'!$A$1:$F$135,6,FALSE)</f>
        <v>-</v>
      </c>
      <c r="Q1131" s="91">
        <f>VLOOKUP(Tabla3[[#This Row],[Site]],'Important Info!'!$A$1:$J$135,9,FALSE)</f>
        <v>171</v>
      </c>
    </row>
    <row r="1132" spans="1:17" x14ac:dyDescent="0.25">
      <c r="A1132" t="str">
        <f>+Tabla3[[#This Row],[Site]]&amp;Tabla3[[#This Row],[Split]]</f>
        <v>(AS) Plaza Lexus/Mercedes/BMW (NO TOURS)13</v>
      </c>
      <c r="B1132">
        <v>13</v>
      </c>
      <c r="C1132">
        <v>10</v>
      </c>
      <c r="D1132" t="s">
        <v>33</v>
      </c>
      <c r="E1132" t="s">
        <v>46</v>
      </c>
      <c r="F1132" t="s">
        <v>92</v>
      </c>
      <c r="G1132" t="s">
        <v>34</v>
      </c>
      <c r="H1132" s="52" t="str">
        <f>VLOOKUP(Tabla3[[#This Row],[Site]],'Important Info!'!$A$1:$J$135,10,FALSE)</f>
        <v>https://tools.sig.systems/site/details/141</v>
      </c>
      <c r="I1132" t="s">
        <v>130</v>
      </c>
      <c r="J1132" t="s">
        <v>41</v>
      </c>
      <c r="K1132" s="79" t="str">
        <f>VLOOKUP(Tabla3[[#This Row],[Site]],'Important Info!'!$A$1:$H$135,8,FALSE)</f>
        <v>-</v>
      </c>
      <c r="L1132" s="52" t="str">
        <f>VLOOKUP(Tabla3[[#This Row],[Site]],'Important Info!'!$A$1:$F$135,2,FALSE)</f>
        <v>3, 4, 18</v>
      </c>
      <c r="M1132" s="52" t="str">
        <f>VLOOKUP(Tabla3[[#This Row],[Site]],'Important Info!'!$A$1:$F$135,3,FALSE)</f>
        <v>9, 10, 12, 13, 16, 17</v>
      </c>
      <c r="N1132" s="52" t="str">
        <f>VLOOKUP(Tabla3[[#This Row],[Site]],'Important Info!'!$A$1:$F$135,4,FALSE)</f>
        <v>-</v>
      </c>
      <c r="O1132" s="52">
        <f>VLOOKUP(Tabla3[[#This Row],[Site]],'Important Info!'!$A$1:$F$135,5,FALSE)</f>
        <v>2</v>
      </c>
      <c r="P1132" s="52" t="str">
        <f>VLOOKUP(Tabla3[[#This Row],[Site]],'Important Info!'!$A$1:$F$135,6,FALSE)</f>
        <v>2, 16</v>
      </c>
      <c r="Q1132" s="91">
        <f>VLOOKUP(Tabla3[[#This Row],[Site]],'Important Info!'!$A$1:$J$135,9,FALSE)</f>
        <v>141</v>
      </c>
    </row>
    <row r="1133" spans="1:17" x14ac:dyDescent="0.25">
      <c r="A1133" t="str">
        <f>+Tabla3[[#This Row],[Site]]&amp;Tabla3[[#This Row],[Split]]</f>
        <v>(AS) Stevinson Porsche of Littleton (NO TOURS)13</v>
      </c>
      <c r="B1133">
        <v>13</v>
      </c>
      <c r="C1133">
        <v>10</v>
      </c>
      <c r="D1133" t="s">
        <v>44</v>
      </c>
      <c r="E1133" t="s">
        <v>53</v>
      </c>
      <c r="F1133" t="s">
        <v>78</v>
      </c>
      <c r="G1133" t="s">
        <v>45</v>
      </c>
      <c r="H1133" s="52" t="str">
        <f>VLOOKUP(Tabla3[[#This Row],[Site]],'Important Info!'!$A$1:$J$135,10,FALSE)</f>
        <v>https://tools.sig.systems/site/details/242</v>
      </c>
      <c r="J1133" t="s">
        <v>41</v>
      </c>
      <c r="K1133" s="79" t="str">
        <f>VLOOKUP(Tabla3[[#This Row],[Site]],'Important Info!'!$A$1:$H$135,8,FALSE)</f>
        <v>-</v>
      </c>
      <c r="L1133" s="52" t="str">
        <f>VLOOKUP(Tabla3[[#This Row],[Site]],'Important Info!'!$A$1:$F$135,2,FALSE)</f>
        <v>3, 4</v>
      </c>
      <c r="M1133" s="52">
        <f>VLOOKUP(Tabla3[[#This Row],[Site]],'Important Info!'!$A$1:$F$135,3,FALSE)</f>
        <v>2</v>
      </c>
      <c r="N1133" s="52" t="str">
        <f>VLOOKUP(Tabla3[[#This Row],[Site]],'Important Info!'!$A$1:$F$135,4,FALSE)</f>
        <v>-</v>
      </c>
      <c r="O1133" s="52" t="str">
        <f>VLOOKUP(Tabla3[[#This Row],[Site]],'Important Info!'!$A$1:$F$135,5,FALSE)</f>
        <v>-</v>
      </c>
      <c r="P1133" s="52" t="str">
        <f>VLOOKUP(Tabla3[[#This Row],[Site]],'Important Info!'!$A$1:$F$135,6,FALSE)</f>
        <v>3, 4</v>
      </c>
      <c r="Q1133" s="91">
        <f>VLOOKUP(Tabla3[[#This Row],[Site]],'Important Info!'!$A$1:$J$135,9,FALSE)</f>
        <v>242</v>
      </c>
    </row>
    <row r="1134" spans="1:17" x14ac:dyDescent="0.25">
      <c r="A1134" t="str">
        <f>+Tabla3[[#This Row],[Site]]&amp;Tabla3[[#This Row],[Split]]</f>
        <v>(SCH) West Palm Beach I, II &amp; III13</v>
      </c>
      <c r="B1134">
        <v>13</v>
      </c>
      <c r="C1134">
        <v>10</v>
      </c>
      <c r="D1134" t="s">
        <v>492</v>
      </c>
      <c r="E1134" t="s">
        <v>35</v>
      </c>
      <c r="F1134" t="s">
        <v>96</v>
      </c>
      <c r="G1134" t="s">
        <v>490</v>
      </c>
      <c r="H1134" s="52" t="str">
        <f>VLOOKUP(Tabla3[[#This Row],[Site]],'Important Info!'!$A$1:$J$135,10,FALSE)</f>
        <v>https://tools.sig.systems/site/details/162</v>
      </c>
      <c r="I1134" s="43"/>
      <c r="J1134" t="s">
        <v>36</v>
      </c>
      <c r="K1134" s="79" t="str">
        <f>VLOOKUP(Tabla3[[#This Row],[Site]],'Important Info!'!$A$1:$H$135,8,FALSE)</f>
        <v>SUNDAY: Log in at 5:30 p.m. ET.</v>
      </c>
      <c r="L1134" s="52" t="str">
        <f>VLOOKUP(Tabla3[[#This Row],[Site]],'Important Info!'!$A$1:$F$135,2,FALSE)</f>
        <v>34, 62</v>
      </c>
      <c r="M1134" s="52" t="str">
        <f>VLOOKUP(Tabla3[[#This Row],[Site]],'Important Info!'!$A$1:$F$135,3,FALSE)</f>
        <v xml:space="preserve">6, 7, 11, 13, </v>
      </c>
      <c r="N1134" s="52" t="str">
        <f>VLOOKUP(Tabla3[[#This Row],[Site]],'Important Info!'!$A$1:$F$135,4,FALSE)</f>
        <v>20, 21</v>
      </c>
      <c r="O1134" s="52" t="str">
        <f>VLOOKUP(Tabla3[[#This Row],[Site]],'Important Info!'!$A$1:$F$135,5,FALSE)</f>
        <v>-</v>
      </c>
      <c r="P1134" s="52" t="str">
        <f>VLOOKUP(Tabla3[[#This Row],[Site]],'Important Info!'!$A$1:$F$135,6,FALSE)</f>
        <v>1, 2, 3, 131, 132</v>
      </c>
      <c r="Q1134" s="91">
        <f>VLOOKUP(Tabla3[[#This Row],[Site]],'Important Info!'!$A$1:$J$135,9,FALSE)</f>
        <v>162</v>
      </c>
    </row>
    <row r="1135" spans="1:17" x14ac:dyDescent="0.25">
      <c r="A1135" t="str">
        <f>+Tabla3[[#This Row],[Site]]&amp;Tabla3[[#This Row],[Split]]</f>
        <v>(AS) David McDavid Lincoln Frisco (NO TOURS)13</v>
      </c>
      <c r="B1135">
        <v>13</v>
      </c>
      <c r="C1135">
        <v>11</v>
      </c>
      <c r="D1135" t="s">
        <v>33</v>
      </c>
      <c r="E1135" t="s">
        <v>46</v>
      </c>
      <c r="F1135" t="s">
        <v>507</v>
      </c>
      <c r="G1135" t="s">
        <v>34</v>
      </c>
      <c r="H1135" s="52" t="str">
        <f>VLOOKUP(Tabla3[[#This Row],[Site]],'Important Info!'!$A$1:$J$135,10,FALSE)</f>
        <v>https://tools.sig.systems/site/details/182</v>
      </c>
      <c r="I1135" s="43"/>
      <c r="J1135" t="s">
        <v>41</v>
      </c>
      <c r="K1135" s="79" t="str">
        <f>VLOOKUP(Tabla3[[#This Row],[Site]],'Important Info!'!$A$1:$H$135,8,FALSE)</f>
        <v>-</v>
      </c>
      <c r="L1135" s="52" t="str">
        <f>VLOOKUP(Tabla3[[#This Row],[Site]],'Important Info!'!$A$1:$F$135,2,FALSE)</f>
        <v>1, 2, 11</v>
      </c>
      <c r="M1135" s="52" t="str">
        <f>VLOOKUP(Tabla3[[#This Row],[Site]],'Important Info!'!$A$1:$F$135,3,FALSE)</f>
        <v>-</v>
      </c>
      <c r="N1135" s="52" t="str">
        <f>VLOOKUP(Tabla3[[#This Row],[Site]],'Important Info!'!$A$1:$F$135,4,FALSE)</f>
        <v>-</v>
      </c>
      <c r="O1135" s="52" t="str">
        <f>VLOOKUP(Tabla3[[#This Row],[Site]],'Important Info!'!$A$1:$F$135,5,FALSE)</f>
        <v>11, 16, 20</v>
      </c>
      <c r="P1135" s="52" t="str">
        <f>VLOOKUP(Tabla3[[#This Row],[Site]],'Important Info!'!$A$1:$F$135,6,FALSE)</f>
        <v>11, 12, 13, 14</v>
      </c>
      <c r="Q1135" s="91">
        <f>VLOOKUP(Tabla3[[#This Row],[Site]],'Important Info!'!$A$1:$J$135,9,FALSE)</f>
        <v>182</v>
      </c>
    </row>
    <row r="1136" spans="1:17" x14ac:dyDescent="0.25">
      <c r="A1136" t="str">
        <f>+Tabla3[[#This Row],[Site]]&amp;Tabla3[[#This Row],[Split]]</f>
        <v>(AS) Lexus Smyrna (NO TOURS)13</v>
      </c>
      <c r="B1136">
        <v>13</v>
      </c>
      <c r="C1136">
        <v>11</v>
      </c>
      <c r="D1136" t="s">
        <v>62</v>
      </c>
      <c r="E1136" t="s">
        <v>35</v>
      </c>
      <c r="F1136" t="s">
        <v>84</v>
      </c>
      <c r="G1136" t="s">
        <v>490</v>
      </c>
      <c r="H1136" s="52" t="str">
        <f>VLOOKUP(Tabla3[[#This Row],[Site]],'Important Info!'!$A$1:$J$135,10,FALSE)</f>
        <v>https://tools.sig.systems/site/details/133</v>
      </c>
      <c r="I1136" s="2"/>
      <c r="J1136" t="s">
        <v>41</v>
      </c>
      <c r="K1136" s="79" t="str">
        <f>VLOOKUP(Tabla3[[#This Row],[Site]],'Important Info!'!$A$1:$H$135,8,FALSE)</f>
        <v>-</v>
      </c>
      <c r="L1136" s="52" t="str">
        <f>VLOOKUP(Tabla3[[#This Row],[Site]],'Important Info!'!$A$1:$F$135,2,FALSE)</f>
        <v xml:space="preserve">2, 6, 10 </v>
      </c>
      <c r="M1136" s="52" t="str">
        <f>VLOOKUP(Tabla3[[#This Row],[Site]],'Important Info!'!$A$1:$F$135,3,FALSE)</f>
        <v>-</v>
      </c>
      <c r="N1136" s="52" t="str">
        <f>VLOOKUP(Tabla3[[#This Row],[Site]],'Important Info!'!$A$1:$F$135,4,FALSE)</f>
        <v>-</v>
      </c>
      <c r="O1136" s="52" t="str">
        <f>VLOOKUP(Tabla3[[#This Row],[Site]],'Important Info!'!$A$1:$F$135,5,FALSE)</f>
        <v>3, 5, 10, 15</v>
      </c>
      <c r="P1136" s="52" t="str">
        <f>VLOOKUP(Tabla3[[#This Row],[Site]],'Important Info!'!$A$1:$F$135,6,FALSE)</f>
        <v>10, 11</v>
      </c>
      <c r="Q1136" s="91">
        <f>VLOOKUP(Tabla3[[#This Row],[Site]],'Important Info!'!$A$1:$J$135,9,FALSE)</f>
        <v>133</v>
      </c>
    </row>
    <row r="1137" spans="1:17" x14ac:dyDescent="0.25">
      <c r="A1137" t="str">
        <f>+Tabla3[[#This Row],[Site]]&amp;Tabla3[[#This Row],[Split]]</f>
        <v>(AS) Plaza Audi/Infiniti (NO TOURS)13</v>
      </c>
      <c r="B1137">
        <v>13</v>
      </c>
      <c r="C1137">
        <v>11</v>
      </c>
      <c r="D1137" t="s">
        <v>33</v>
      </c>
      <c r="E1137" t="s">
        <v>46</v>
      </c>
      <c r="F1137" t="s">
        <v>91</v>
      </c>
      <c r="G1137" t="s">
        <v>34</v>
      </c>
      <c r="H1137" s="52" t="str">
        <f>VLOOKUP(Tabla3[[#This Row],[Site]],'Important Info!'!$A$1:$J$135,10,FALSE)</f>
        <v>https://tools.sig.systems/site/details/141</v>
      </c>
      <c r="I1137" t="s">
        <v>130</v>
      </c>
      <c r="J1137" t="s">
        <v>41</v>
      </c>
      <c r="K1137" s="79" t="str">
        <f>VLOOKUP(Tabla3[[#This Row],[Site]],'Important Info!'!$A$1:$H$135,8,FALSE)</f>
        <v>-</v>
      </c>
      <c r="L1137" s="52" t="str">
        <f>VLOOKUP(Tabla3[[#This Row],[Site]],'Important Info!'!$A$1:$F$135,2,FALSE)</f>
        <v>7, 25</v>
      </c>
      <c r="M1137" s="52" t="str">
        <f>VLOOKUP(Tabla3[[#This Row],[Site]],'Important Info!'!$A$1:$F$135,3,FALSE)</f>
        <v>15, 17, 18</v>
      </c>
      <c r="N1137" s="52" t="str">
        <f>VLOOKUP(Tabla3[[#This Row],[Site]],'Important Info!'!$A$1:$F$135,4,FALSE)</f>
        <v>-</v>
      </c>
      <c r="O1137" s="52" t="str">
        <f>VLOOKUP(Tabla3[[#This Row],[Site]],'Important Info!'!$A$1:$F$135,5,FALSE)</f>
        <v>1, 24</v>
      </c>
      <c r="P1137" s="52" t="str">
        <f>VLOOKUP(Tabla3[[#This Row],[Site]],'Important Info!'!$A$1:$F$135,6,FALSE)</f>
        <v>3, 15, 17</v>
      </c>
      <c r="Q1137" s="91">
        <f>VLOOKUP(Tabla3[[#This Row],[Site]],'Important Info!'!$A$1:$J$135,9,FALSE)</f>
        <v>141</v>
      </c>
    </row>
    <row r="1138" spans="1:17" x14ac:dyDescent="0.25">
      <c r="A1138" t="str">
        <f>+Tabla3[[#This Row],[Site]]&amp;Tabla3[[#This Row],[Split]]</f>
        <v>(DT) Albuquerque13</v>
      </c>
      <c r="B1138">
        <v>13</v>
      </c>
      <c r="C1138">
        <v>11</v>
      </c>
      <c r="D1138" t="s">
        <v>44</v>
      </c>
      <c r="E1138" t="s">
        <v>53</v>
      </c>
      <c r="F1138" t="s">
        <v>155</v>
      </c>
      <c r="G1138" t="s">
        <v>45</v>
      </c>
      <c r="H1138" s="52" t="str">
        <f>VLOOKUP(Tabla3[[#This Row],[Site]],'Important Info!'!$A$1:$J$135,10,FALSE)</f>
        <v>https://tools.sig.systems/site/details/237</v>
      </c>
      <c r="J1138" t="s">
        <v>41</v>
      </c>
      <c r="K1138" s="79" t="str">
        <f>VLOOKUP(Tabla3[[#This Row],[Site]],'Important Info!'!$A$1:$H$135,8,FALSE)</f>
        <v>-</v>
      </c>
      <c r="L1138" s="52" t="str">
        <f>VLOOKUP(Tabla3[[#This Row],[Site]],'Important Info!'!$A$1:$F$135,2,FALSE)</f>
        <v>14, 16</v>
      </c>
      <c r="M1138" s="52" t="str">
        <f>VLOOKUP(Tabla3[[#This Row],[Site]],'Important Info!'!$A$1:$F$135,3,FALSE)</f>
        <v>-</v>
      </c>
      <c r="N1138" s="52" t="str">
        <f>VLOOKUP(Tabla3[[#This Row],[Site]],'Important Info!'!$A$1:$F$135,4,FALSE)</f>
        <v>-</v>
      </c>
      <c r="O1138" s="52" t="str">
        <f>VLOOKUP(Tabla3[[#This Row],[Site]],'Important Info!'!$A$1:$F$135,5,FALSE)</f>
        <v>14, 15</v>
      </c>
      <c r="P1138" s="52" t="str">
        <f>VLOOKUP(Tabla3[[#This Row],[Site]],'Important Info!'!$A$1:$F$135,6,FALSE)</f>
        <v>12, 14, 16</v>
      </c>
      <c r="Q1138" s="91">
        <f>VLOOKUP(Tabla3[[#This Row],[Site]],'Important Info!'!$A$1:$J$135,9,FALSE)</f>
        <v>237</v>
      </c>
    </row>
    <row r="1139" spans="1:17" x14ac:dyDescent="0.25">
      <c r="A1139" t="str">
        <f>+Tabla3[[#This Row],[Site]]&amp;Tabla3[[#This Row],[Split]]</f>
        <v>(DT) Louisville13</v>
      </c>
      <c r="B1139">
        <v>13</v>
      </c>
      <c r="C1139">
        <v>11</v>
      </c>
      <c r="D1139" t="s">
        <v>62</v>
      </c>
      <c r="E1139" t="s">
        <v>35</v>
      </c>
      <c r="F1139" t="s">
        <v>99</v>
      </c>
      <c r="G1139" t="s">
        <v>490</v>
      </c>
      <c r="H1139" s="52" t="str">
        <f>VLOOKUP(Tabla3[[#This Row],[Site]],'Important Info!'!$A$1:$J$135,10,FALSE)</f>
        <v>https://tools.sig.systems/site/details/258</v>
      </c>
      <c r="J1139" t="s">
        <v>41</v>
      </c>
      <c r="K1139" s="79" t="str">
        <f>VLOOKUP(Tabla3[[#This Row],[Site]],'Important Info!'!$A$1:$H$135,8,FALSE)</f>
        <v>-</v>
      </c>
      <c r="L1139" s="52" t="str">
        <f>VLOOKUP(Tabla3[[#This Row],[Site]],'Important Info!'!$A$1:$F$135,2,FALSE)</f>
        <v>-</v>
      </c>
      <c r="M1139" s="52">
        <f>VLOOKUP(Tabla3[[#This Row],[Site]],'Important Info!'!$A$1:$F$135,3,FALSE)</f>
        <v>3</v>
      </c>
      <c r="N1139" s="52" t="str">
        <f>VLOOKUP(Tabla3[[#This Row],[Site]],'Important Info!'!$A$1:$F$135,4,FALSE)</f>
        <v>-</v>
      </c>
      <c r="O1139" s="52" t="str">
        <f>VLOOKUP(Tabla3[[#This Row],[Site]],'Important Info!'!$A$1:$F$135,5,FALSE)</f>
        <v>-</v>
      </c>
      <c r="P1139" s="52" t="str">
        <f>VLOOKUP(Tabla3[[#This Row],[Site]],'Important Info!'!$A$1:$F$135,6,FALSE)</f>
        <v>3, 8</v>
      </c>
      <c r="Q1139" s="91">
        <f>VLOOKUP(Tabla3[[#This Row],[Site]],'Important Info!'!$A$1:$J$135,9,FALSE)</f>
        <v>258</v>
      </c>
    </row>
    <row r="1140" spans="1:17" x14ac:dyDescent="0.25">
      <c r="A1140" t="str">
        <f>+Tabla3[[#This Row],[Site]]&amp;Tabla3[[#This Row],[Split]]</f>
        <v>(KG) Baytown GMC Buick - Remote Lot (NO TOURS)13</v>
      </c>
      <c r="B1140">
        <v>13</v>
      </c>
      <c r="C1140">
        <v>11</v>
      </c>
      <c r="D1140" t="s">
        <v>60</v>
      </c>
      <c r="E1140" t="s">
        <v>46</v>
      </c>
      <c r="F1140" t="s">
        <v>167</v>
      </c>
      <c r="G1140" t="s">
        <v>41</v>
      </c>
      <c r="H1140" s="52" t="str">
        <f>VLOOKUP(Tabla3[[#This Row],[Site]],'Important Info!'!$A$1:$J$135,10,FALSE)</f>
        <v>https://tools.sig.systems/site/details/311</v>
      </c>
      <c r="J1140" t="s">
        <v>41</v>
      </c>
      <c r="K1140" s="79" t="s">
        <v>168</v>
      </c>
      <c r="L1140" s="52" t="str">
        <f>VLOOKUP(Tabla3[[#This Row],[Site]],'Important Info!'!$A$1:$F$135,2,FALSE)</f>
        <v>-</v>
      </c>
      <c r="M1140" s="52" t="str">
        <f>VLOOKUP(Tabla3[[#This Row],[Site]],'Important Info!'!$A$1:$F$135,3,FALSE)</f>
        <v>7, 8</v>
      </c>
      <c r="N1140" s="52" t="str">
        <f>VLOOKUP(Tabla3[[#This Row],[Site]],'Important Info!'!$A$1:$F$135,4,FALSE)</f>
        <v>-</v>
      </c>
      <c r="O1140" s="52" t="str">
        <f>VLOOKUP(Tabla3[[#This Row],[Site]],'Important Info!'!$A$1:$F$135,5,FALSE)</f>
        <v>-</v>
      </c>
      <c r="P1140" s="52" t="str">
        <f>VLOOKUP(Tabla3[[#This Row],[Site]],'Important Info!'!$A$1:$F$135,6,FALSE)</f>
        <v>-</v>
      </c>
      <c r="Q1140" s="91">
        <f>VLOOKUP(Tabla3[[#This Row],[Site]],'Important Info!'!$A$1:$J$135,9,FALSE)</f>
        <v>311</v>
      </c>
    </row>
    <row r="1141" spans="1:17" x14ac:dyDescent="0.25">
      <c r="A1141" t="str">
        <f>+Tabla3[[#This Row],[Site]]&amp;Tabla3[[#This Row],[Split]]</f>
        <v>(KG) Baytown GMC Buick (NO TOURS)13</v>
      </c>
      <c r="B1141">
        <v>13</v>
      </c>
      <c r="C1141">
        <v>11</v>
      </c>
      <c r="D1141" t="s">
        <v>33</v>
      </c>
      <c r="E1141" t="s">
        <v>46</v>
      </c>
      <c r="F1141" t="s">
        <v>132</v>
      </c>
      <c r="G1141" t="s">
        <v>34</v>
      </c>
      <c r="H1141" s="52" t="str">
        <f>VLOOKUP(Tabla3[[#This Row],[Site]],'Important Info!'!$A$1:$J$135,10,FALSE)</f>
        <v>https://tools.sig.systems/site/details/239</v>
      </c>
      <c r="I1141" s="43"/>
      <c r="J1141" t="s">
        <v>41</v>
      </c>
      <c r="K1141" s="79" t="str">
        <f>VLOOKUP(Tabla3[[#This Row],[Site]],'Important Info!'!$A$1:$H$135,8,FALSE)</f>
        <v>-</v>
      </c>
      <c r="L1141" s="52" t="str">
        <f>VLOOKUP(Tabla3[[#This Row],[Site]],'Important Info!'!$A$1:$F$135,2,FALSE)</f>
        <v>1, 5, 7, 21, 22</v>
      </c>
      <c r="M1141" s="52" t="str">
        <f>VLOOKUP(Tabla3[[#This Row],[Site]],'Important Info!'!$A$1:$F$135,3,FALSE)</f>
        <v>-</v>
      </c>
      <c r="N1141" s="52" t="str">
        <f>VLOOKUP(Tabla3[[#This Row],[Site]],'Important Info!'!$A$1:$F$135,4,FALSE)</f>
        <v>-</v>
      </c>
      <c r="O1141" s="52" t="str">
        <f>VLOOKUP(Tabla3[[#This Row],[Site]],'Important Info!'!$A$1:$F$135,5,FALSE)</f>
        <v>2, 10, 15, 24B</v>
      </c>
      <c r="P1141" s="52" t="str">
        <f>VLOOKUP(Tabla3[[#This Row],[Site]],'Important Info!'!$A$1:$F$135,6,FALSE)</f>
        <v>21, 22</v>
      </c>
      <c r="Q1141" s="91">
        <f>VLOOKUP(Tabla3[[#This Row],[Site]],'Important Info!'!$A$1:$J$135,9,FALSE)</f>
        <v>239</v>
      </c>
    </row>
    <row r="1142" spans="1:17" x14ac:dyDescent="0.25">
      <c r="A1142" t="str">
        <f>+Tabla3[[#This Row],[Site]]&amp;Tabla3[[#This Row],[Split]]</f>
        <v>(ML) Volvo Collision Corp13</v>
      </c>
      <c r="B1142">
        <v>13</v>
      </c>
      <c r="C1142">
        <v>11</v>
      </c>
      <c r="D1142" t="s">
        <v>33</v>
      </c>
      <c r="E1142" t="s">
        <v>46</v>
      </c>
      <c r="F1142" t="s">
        <v>106</v>
      </c>
      <c r="G1142" t="s">
        <v>34</v>
      </c>
      <c r="H1142" s="52" t="str">
        <f>VLOOKUP(Tabla3[[#This Row],[Site]],'Important Info!'!$A$1:$J$135,10,FALSE)</f>
        <v>https://tools.sig.systems/site/details/223</v>
      </c>
      <c r="I1142" s="2"/>
      <c r="J1142" t="s">
        <v>41</v>
      </c>
      <c r="K1142" s="79" t="str">
        <f>VLOOKUP(Tabla3[[#This Row],[Site]],'Important Info!'!$A$1:$H$135,8,FALSE)</f>
        <v>-</v>
      </c>
      <c r="L1142" s="52" t="str">
        <f>VLOOKUP(Tabla3[[#This Row],[Site]],'Important Info!'!$A$1:$F$135,2,FALSE)</f>
        <v>7, 11</v>
      </c>
      <c r="M1142" s="52">
        <f>VLOOKUP(Tabla3[[#This Row],[Site]],'Important Info!'!$A$1:$F$135,3,FALSE)</f>
        <v>4</v>
      </c>
      <c r="N1142" s="52" t="str">
        <f>VLOOKUP(Tabla3[[#This Row],[Site]],'Important Info!'!$A$1:$F$135,4,FALSE)</f>
        <v>-</v>
      </c>
      <c r="O1142" s="52">
        <f>VLOOKUP(Tabla3[[#This Row],[Site]],'Important Info!'!$A$1:$F$135,5,FALSE)</f>
        <v>18</v>
      </c>
      <c r="P1142" s="52" t="str">
        <f>VLOOKUP(Tabla3[[#This Row],[Site]],'Important Info!'!$A$1:$F$135,6,FALSE)</f>
        <v>-</v>
      </c>
      <c r="Q1142" s="91">
        <f>VLOOKUP(Tabla3[[#This Row],[Site]],'Important Info!'!$A$1:$J$135,9,FALSE)</f>
        <v>223</v>
      </c>
    </row>
    <row r="1143" spans="1:17" x14ac:dyDescent="0.25">
      <c r="A1143" t="str">
        <f>+Tabla3[[#This Row],[Site]]&amp;Tabla3[[#This Row],[Split]]</f>
        <v>(PE) Fairfield Collision (NO TOURS)13</v>
      </c>
      <c r="B1143">
        <v>13</v>
      </c>
      <c r="C1143">
        <v>11</v>
      </c>
      <c r="D1143" t="s">
        <v>485</v>
      </c>
      <c r="E1143" t="s">
        <v>35</v>
      </c>
      <c r="F1143" t="s">
        <v>63</v>
      </c>
      <c r="G1143" t="s">
        <v>490</v>
      </c>
      <c r="H1143" s="52" t="str">
        <f>VLOOKUP(Tabla3[[#This Row],[Site]],'Important Info!'!$A$1:$J$135,10,FALSE)</f>
        <v>https://tools.sig.systems/site/details/191</v>
      </c>
      <c r="J1143" t="s">
        <v>41</v>
      </c>
      <c r="K1143" s="79" t="str">
        <f>VLOOKUP(Tabla3[[#This Row],[Site]],'Important Info!'!$A$1:$H$135,8,FALSE)</f>
        <v>-</v>
      </c>
      <c r="L1143" s="52">
        <f>VLOOKUP(Tabla3[[#This Row],[Site]],'Important Info!'!$A$1:$F$135,2,FALSE)</f>
        <v>4</v>
      </c>
      <c r="M1143" s="52" t="str">
        <f>VLOOKUP(Tabla3[[#This Row],[Site]],'Important Info!'!$A$1:$F$135,3,FALSE)</f>
        <v>-</v>
      </c>
      <c r="N1143" s="52" t="str">
        <f>VLOOKUP(Tabla3[[#This Row],[Site]],'Important Info!'!$A$1:$F$135,4,FALSE)</f>
        <v>-</v>
      </c>
      <c r="O1143" s="52" t="str">
        <f>VLOOKUP(Tabla3[[#This Row],[Site]],'Important Info!'!$A$1:$F$135,5,FALSE)</f>
        <v>-</v>
      </c>
      <c r="P1143" s="52" t="str">
        <f>VLOOKUP(Tabla3[[#This Row],[Site]],'Important Info!'!$A$1:$F$135,6,FALSE)</f>
        <v>1, 2, 3, 4, 5, 6</v>
      </c>
      <c r="Q1143" s="91">
        <f>VLOOKUP(Tabla3[[#This Row],[Site]],'Important Info!'!$A$1:$J$135,9,FALSE)</f>
        <v>191</v>
      </c>
    </row>
    <row r="1144" spans="1:17" x14ac:dyDescent="0.25">
      <c r="A1144" t="str">
        <f>+Tabla3[[#This Row],[Site]]&amp;Tabla3[[#This Row],[Split]]</f>
        <v>(SCH) Chevrolet North Palm13</v>
      </c>
      <c r="B1144">
        <v>13</v>
      </c>
      <c r="C1144">
        <v>11</v>
      </c>
      <c r="D1144" t="s">
        <v>62</v>
      </c>
      <c r="E1144" t="s">
        <v>35</v>
      </c>
      <c r="F1144" t="s">
        <v>101</v>
      </c>
      <c r="G1144" t="s">
        <v>490</v>
      </c>
      <c r="H1144" s="52" t="str">
        <f>VLOOKUP(Tabla3[[#This Row],[Site]],'Important Info!'!$A$1:$J$135,10,FALSE)</f>
        <v>https://tools.sig.systems/site/details/160</v>
      </c>
      <c r="I1144" s="43"/>
      <c r="J1144" t="s">
        <v>36</v>
      </c>
      <c r="K1144" s="79" t="str">
        <f>VLOOKUP(Tabla3[[#This Row],[Site]],'Important Info!'!$A$1:$H$135,8,FALSE)</f>
        <v>-</v>
      </c>
      <c r="L1144" s="52" t="str">
        <f>VLOOKUP(Tabla3[[#This Row],[Site]],'Important Info!'!$A$1:$F$135,2,FALSE)</f>
        <v xml:space="preserve">7, 10B, 11, 15 </v>
      </c>
      <c r="M1144" s="52" t="str">
        <f>VLOOKUP(Tabla3[[#This Row],[Site]],'Important Info!'!$A$1:$F$135,3,FALSE)</f>
        <v>-</v>
      </c>
      <c r="N1144" s="52" t="str">
        <f>VLOOKUP(Tabla3[[#This Row],[Site]],'Important Info!'!$A$1:$F$135,4,FALSE)</f>
        <v>-</v>
      </c>
      <c r="O1144" s="52" t="str">
        <f>VLOOKUP(Tabla3[[#This Row],[Site]],'Important Info!'!$A$1:$F$135,5,FALSE)</f>
        <v>-</v>
      </c>
      <c r="P1144" s="52" t="str">
        <f>VLOOKUP(Tabla3[[#This Row],[Site]],'Important Info!'!$A$1:$F$135,6,FALSE)</f>
        <v>1, 15, 16, 17, 18, 19, 20</v>
      </c>
      <c r="Q1144" s="91">
        <f>VLOOKUP(Tabla3[[#This Row],[Site]],'Important Info!'!$A$1:$J$135,9,FALSE)</f>
        <v>160</v>
      </c>
    </row>
    <row r="1145" spans="1:17" x14ac:dyDescent="0.25">
      <c r="A1145" t="str">
        <f>+Tabla3[[#This Row],[Site]]&amp;Tabla3[[#This Row],[Split]]</f>
        <v>(KG) Kia of Phoenix (NO TOURS)13</v>
      </c>
      <c r="B1145">
        <v>13</v>
      </c>
      <c r="C1145">
        <v>12</v>
      </c>
      <c r="D1145" t="s">
        <v>51</v>
      </c>
      <c r="E1145" t="s">
        <v>161</v>
      </c>
      <c r="F1145" t="s">
        <v>94</v>
      </c>
      <c r="G1145" t="s">
        <v>52</v>
      </c>
      <c r="H1145" s="52" t="str">
        <f>VLOOKUP(Tabla3[[#This Row],[Site]],'Important Info!'!$A$1:$J$135,10,FALSE)</f>
        <v>https://tools.sig.systems/site/details/262</v>
      </c>
      <c r="J1145" t="s">
        <v>162</v>
      </c>
      <c r="K1145" s="79" t="str">
        <f>VLOOKUP(Tabla3[[#This Row],[Site]],'Important Info!'!$A$1:$H$135,8,FALSE)</f>
        <v>-</v>
      </c>
      <c r="L1145" s="52" t="str">
        <f>VLOOKUP(Tabla3[[#This Row],[Site]],'Important Info!'!$A$1:$F$135,2,FALSE)</f>
        <v>5, 8, 23</v>
      </c>
      <c r="M1145" s="52" t="str">
        <f>VLOOKUP(Tabla3[[#This Row],[Site]],'Important Info!'!$A$1:$F$135,3,FALSE)</f>
        <v>-</v>
      </c>
      <c r="N1145" s="52" t="str">
        <f>VLOOKUP(Tabla3[[#This Row],[Site]],'Important Info!'!$A$1:$F$135,4,FALSE)</f>
        <v>-</v>
      </c>
      <c r="O1145" s="52">
        <f>VLOOKUP(Tabla3[[#This Row],[Site]],'Important Info!'!$A$1:$F$135,5,FALSE)</f>
        <v>4</v>
      </c>
      <c r="P1145" s="52" t="str">
        <f>VLOOKUP(Tabla3[[#This Row],[Site]],'Important Info!'!$A$1:$F$135,6,FALSE)</f>
        <v>-</v>
      </c>
      <c r="Q1145" s="91">
        <f>VLOOKUP(Tabla3[[#This Row],[Site]],'Important Info!'!$A$1:$J$135,9,FALSE)</f>
        <v>262</v>
      </c>
    </row>
    <row r="1146" spans="1:17" x14ac:dyDescent="0.25">
      <c r="A1146" t="str">
        <f>+Tabla3[[#This Row],[Site]]&amp;Tabla3[[#This Row],[Split]]</f>
        <v>(KT) Northwest CDJR (NO TOURS)13</v>
      </c>
      <c r="B1146">
        <v>13</v>
      </c>
      <c r="C1146">
        <v>12</v>
      </c>
      <c r="D1146" t="s">
        <v>33</v>
      </c>
      <c r="E1146" t="s">
        <v>46</v>
      </c>
      <c r="F1146" t="s">
        <v>77</v>
      </c>
      <c r="G1146" t="s">
        <v>34</v>
      </c>
      <c r="H1146" s="52" t="str">
        <f>VLOOKUP(Tabla3[[#This Row],[Site]],'Important Info!'!$A$1:$J$135,10,FALSE)</f>
        <v>https://tools.sig.systems/site/details/229</v>
      </c>
      <c r="I1146" s="66"/>
      <c r="J1146" t="s">
        <v>41</v>
      </c>
      <c r="K1146" s="79" t="str">
        <f>VLOOKUP(Tabla3[[#This Row],[Site]],'Important Info!'!$A$1:$H$135,8,FALSE)</f>
        <v>-</v>
      </c>
      <c r="L1146" s="52" t="str">
        <f>VLOOKUP(Tabla3[[#This Row],[Site]],'Important Info!'!$A$1:$F$135,2,FALSE)</f>
        <v>1, 3, 11, 25</v>
      </c>
      <c r="M1146" s="52" t="str">
        <f>VLOOKUP(Tabla3[[#This Row],[Site]],'Important Info!'!$A$1:$F$135,3,FALSE)</f>
        <v>-</v>
      </c>
      <c r="N1146" s="52" t="str">
        <f>VLOOKUP(Tabla3[[#This Row],[Site]],'Important Info!'!$A$1:$F$135,4,FALSE)</f>
        <v>-</v>
      </c>
      <c r="O1146" s="52" t="str">
        <f>VLOOKUP(Tabla3[[#This Row],[Site]],'Important Info!'!$A$1:$F$135,5,FALSE)</f>
        <v>4, 12, 18</v>
      </c>
      <c r="P1146" s="52" t="str">
        <f>VLOOKUP(Tabla3[[#This Row],[Site]],'Important Info!'!$A$1:$F$135,6,FALSE)</f>
        <v>-</v>
      </c>
      <c r="Q1146" s="91">
        <f>VLOOKUP(Tabla3[[#This Row],[Site]],'Important Info!'!$A$1:$J$135,9,FALSE)</f>
        <v>229</v>
      </c>
    </row>
    <row r="1147" spans="1:17" x14ac:dyDescent="0.25">
      <c r="A1147" t="str">
        <f>+Tabla3[[#This Row],[Site]]&amp;Tabla3[[#This Row],[Split]]</f>
        <v>(MK) McKenny Salinas Honda13</v>
      </c>
      <c r="B1147">
        <v>13</v>
      </c>
      <c r="C1147">
        <v>12</v>
      </c>
      <c r="D1147" t="s">
        <v>62</v>
      </c>
      <c r="E1147" t="s">
        <v>35</v>
      </c>
      <c r="F1147" t="s">
        <v>115</v>
      </c>
      <c r="G1147" t="s">
        <v>490</v>
      </c>
      <c r="H1147" s="52" t="str">
        <f>VLOOKUP(Tabla3[[#This Row],[Site]],'Important Info!'!$A$1:$J$135,10,FALSE)</f>
        <v>https://tools.sig.systems/site/details/149</v>
      </c>
      <c r="J1147" t="s">
        <v>41</v>
      </c>
      <c r="K1147" s="79" t="str">
        <f>VLOOKUP(Tabla3[[#This Row],[Site]],'Important Info!'!$A$1:$H$135,8,FALSE)</f>
        <v>-</v>
      </c>
      <c r="L1147" s="52" t="str">
        <f>VLOOKUP(Tabla3[[#This Row],[Site]],'Important Info!'!$A$1:$F$135,2,FALSE)</f>
        <v>-</v>
      </c>
      <c r="M1147" s="52" t="str">
        <f>VLOOKUP(Tabla3[[#This Row],[Site]],'Important Info!'!$A$1:$F$135,3,FALSE)</f>
        <v>12, 16</v>
      </c>
      <c r="N1147" s="52" t="str">
        <f>VLOOKUP(Tabla3[[#This Row],[Site]],'Important Info!'!$A$1:$F$135,4,FALSE)</f>
        <v>-</v>
      </c>
      <c r="O1147" s="52" t="str">
        <f>VLOOKUP(Tabla3[[#This Row],[Site]],'Important Info!'!$A$1:$F$135,5,FALSE)</f>
        <v>-</v>
      </c>
      <c r="P1147" s="52" t="str">
        <f>VLOOKUP(Tabla3[[#This Row],[Site]],'Important Info!'!$A$1:$F$135,6,FALSE)</f>
        <v>3, 4, 5, 6, 16</v>
      </c>
      <c r="Q1147" s="91">
        <f>VLOOKUP(Tabla3[[#This Row],[Site]],'Important Info!'!$A$1:$J$135,9,FALSE)</f>
        <v>149</v>
      </c>
    </row>
    <row r="1148" spans="1:17" x14ac:dyDescent="0.25">
      <c r="A1148" t="str">
        <f>+Tabla3[[#This Row],[Site]]&amp;Tabla3[[#This Row],[Split]]</f>
        <v>(ML) Joe Machens Capital City I &amp; II (NO TOURS)13</v>
      </c>
      <c r="B1148">
        <v>13</v>
      </c>
      <c r="C1148">
        <v>12</v>
      </c>
      <c r="D1148" t="s">
        <v>33</v>
      </c>
      <c r="E1148" t="s">
        <v>46</v>
      </c>
      <c r="F1148" t="s">
        <v>72</v>
      </c>
      <c r="G1148" t="s">
        <v>34</v>
      </c>
      <c r="H1148" s="52" t="str">
        <f>VLOOKUP(Tabla3[[#This Row],[Site]],'Important Info!'!$A$1:$J$135,10,FALSE)</f>
        <v>https://tools.sig.systems/site/details/271</v>
      </c>
      <c r="I1148" s="2"/>
      <c r="J1148" t="s">
        <v>41</v>
      </c>
      <c r="K1148" s="79" t="str">
        <f>VLOOKUP(Tabla3[[#This Row],[Site]],'Important Info!'!$A$1:$H$135,8,FALSE)</f>
        <v>-</v>
      </c>
      <c r="L1148" s="52" t="str">
        <f>VLOOKUP(Tabla3[[#This Row],[Site]],'Important Info!'!$A$1:$F$135,2,FALSE)</f>
        <v>-</v>
      </c>
      <c r="M1148" s="52" t="str">
        <f>VLOOKUP(Tabla3[[#This Row],[Site]],'Important Info!'!$A$1:$F$135,3,FALSE)</f>
        <v>1, 3, 4, 20, 25, 27, 28</v>
      </c>
      <c r="N1148" s="52" t="str">
        <f>VLOOKUP(Tabla3[[#This Row],[Site]],'Important Info!'!$A$1:$F$135,4,FALSE)</f>
        <v>-</v>
      </c>
      <c r="O1148" s="52">
        <f>VLOOKUP(Tabla3[[#This Row],[Site]],'Important Info!'!$A$1:$F$135,5,FALSE)</f>
        <v>29</v>
      </c>
      <c r="P1148" s="52" t="str">
        <f>VLOOKUP(Tabla3[[#This Row],[Site]],'Important Info!'!$A$1:$F$135,6,FALSE)</f>
        <v>19, 20</v>
      </c>
      <c r="Q1148" s="91">
        <f>VLOOKUP(Tabla3[[#This Row],[Site]],'Important Info!'!$A$1:$J$135,9,FALSE)</f>
        <v>271</v>
      </c>
    </row>
    <row r="1149" spans="1:17" x14ac:dyDescent="0.25">
      <c r="A1149" t="str">
        <f>+Tabla3[[#This Row],[Site]]&amp;Tabla3[[#This Row],[Split]]</f>
        <v>(ML) McLarty-Gray Daniels Chevrolet13</v>
      </c>
      <c r="B1149">
        <v>13</v>
      </c>
      <c r="C1149">
        <v>12</v>
      </c>
      <c r="D1149" t="s">
        <v>33</v>
      </c>
      <c r="E1149" t="s">
        <v>46</v>
      </c>
      <c r="F1149" t="s">
        <v>151</v>
      </c>
      <c r="G1149" t="s">
        <v>34</v>
      </c>
      <c r="H1149" s="52" t="str">
        <f>VLOOKUP(Tabla3[[#This Row],[Site]],'Important Info!'!$A$1:$J$135,10,FALSE)</f>
        <v>https://tools.sig.systems/site/details/150</v>
      </c>
      <c r="I1149" s="43"/>
      <c r="J1149" t="s">
        <v>41</v>
      </c>
      <c r="K1149" s="79" t="str">
        <f>VLOOKUP(Tabla3[[#This Row],[Site]],'Important Info!'!$A$1:$H$135,8,FALSE)</f>
        <v>-</v>
      </c>
      <c r="L1149" s="52" t="str">
        <f>VLOOKUP(Tabla3[[#This Row],[Site]],'Important Info!'!$A$1:$F$135,2,FALSE)</f>
        <v>3, 4, 5, 22, 24, 26, 28, 36</v>
      </c>
      <c r="M1149" s="52" t="str">
        <f>VLOOKUP(Tabla3[[#This Row],[Site]],'Important Info!'!$A$1:$F$135,3,FALSE)</f>
        <v>-</v>
      </c>
      <c r="N1149" s="52" t="str">
        <f>VLOOKUP(Tabla3[[#This Row],[Site]],'Important Info!'!$A$1:$F$135,4,FALSE)</f>
        <v>-</v>
      </c>
      <c r="O1149" s="52" t="str">
        <f>VLOOKUP(Tabla3[[#This Row],[Site]],'Important Info!'!$A$1:$F$135,5,FALSE)</f>
        <v>4, 7, 12, 26</v>
      </c>
      <c r="P1149" s="52" t="str">
        <f>VLOOKUP(Tabla3[[#This Row],[Site]],'Important Info!'!$A$1:$F$135,6,FALSE)</f>
        <v>1, 3, 5, 6, 23, 24</v>
      </c>
      <c r="Q1149" s="91">
        <f>VLOOKUP(Tabla3[[#This Row],[Site]],'Important Info!'!$A$1:$J$135,9,FALSE)</f>
        <v>150</v>
      </c>
    </row>
    <row r="1150" spans="1:17" x14ac:dyDescent="0.25">
      <c r="A1150" t="str">
        <f>+Tabla3[[#This Row],[Site]]&amp;Tabla3[[#This Row],[Split]]</f>
        <v>(ML) Nissan Of Benton13</v>
      </c>
      <c r="B1150">
        <v>13</v>
      </c>
      <c r="C1150">
        <v>12</v>
      </c>
      <c r="D1150" t="s">
        <v>33</v>
      </c>
      <c r="E1150" t="s">
        <v>46</v>
      </c>
      <c r="F1150" t="s">
        <v>120</v>
      </c>
      <c r="G1150" t="s">
        <v>34</v>
      </c>
      <c r="H1150" s="52" t="str">
        <f>VLOOKUP(Tabla3[[#This Row],[Site]],'Important Info!'!$A$1:$J$135,10,FALSE)</f>
        <v>https://tools.sig.systems/site/details/247</v>
      </c>
      <c r="I1150" s="2"/>
      <c r="J1150" t="s">
        <v>41</v>
      </c>
      <c r="K1150" s="79" t="str">
        <f>VLOOKUP(Tabla3[[#This Row],[Site]],'Important Info!'!$A$1:$H$135,8,FALSE)</f>
        <v>-</v>
      </c>
      <c r="L1150" s="52" t="str">
        <f>VLOOKUP(Tabla3[[#This Row],[Site]],'Important Info!'!$A$1:$F$135,2,FALSE)</f>
        <v>5, 12</v>
      </c>
      <c r="M1150" s="52" t="str">
        <f>VLOOKUP(Tabla3[[#This Row],[Site]],'Important Info!'!$A$1:$F$135,3,FALSE)</f>
        <v>-</v>
      </c>
      <c r="N1150" s="52" t="str">
        <f>VLOOKUP(Tabla3[[#This Row],[Site]],'Important Info!'!$A$1:$F$135,4,FALSE)</f>
        <v>-</v>
      </c>
      <c r="O1150" s="52" t="str">
        <f>VLOOKUP(Tabla3[[#This Row],[Site]],'Important Info!'!$A$1:$F$135,5,FALSE)</f>
        <v>4, 18</v>
      </c>
      <c r="P1150" s="52" t="str">
        <f>VLOOKUP(Tabla3[[#This Row],[Site]],'Important Info!'!$A$1:$F$135,6,FALSE)</f>
        <v>-</v>
      </c>
      <c r="Q1150" s="91">
        <f>VLOOKUP(Tabla3[[#This Row],[Site]],'Important Info!'!$A$1:$J$135,9,FALSE)</f>
        <v>247</v>
      </c>
    </row>
    <row r="1151" spans="1:17" x14ac:dyDescent="0.25">
      <c r="A1151" t="str">
        <f>+Tabla3[[#This Row],[Site]]&amp;Tabla3[[#This Row],[Split]]</f>
        <v>(ML) Toyota N Little Rock13</v>
      </c>
      <c r="B1151">
        <v>13</v>
      </c>
      <c r="C1151">
        <v>12</v>
      </c>
      <c r="D1151" t="s">
        <v>33</v>
      </c>
      <c r="E1151" t="s">
        <v>46</v>
      </c>
      <c r="F1151" t="s">
        <v>76</v>
      </c>
      <c r="G1151" t="s">
        <v>34</v>
      </c>
      <c r="H1151" s="52" t="str">
        <f>VLOOKUP(Tabla3[[#This Row],[Site]],'Important Info!'!$A$1:$J$135,10,FALSE)</f>
        <v>https://tools.sig.systems/site/details/201</v>
      </c>
      <c r="I1151" s="66" t="s">
        <v>142</v>
      </c>
      <c r="J1151" t="s">
        <v>41</v>
      </c>
      <c r="K1151" s="79" t="str">
        <f>VLOOKUP(Tabla3[[#This Row],[Site]],'Important Info!'!$A$1:$H$135,8,FALSE)</f>
        <v>-</v>
      </c>
      <c r="L1151" s="52" t="str">
        <f>VLOOKUP(Tabla3[[#This Row],[Site]],'Important Info!'!$A$1:$F$135,2,FALSE)</f>
        <v>4, 15, 18, 22, 23, 26</v>
      </c>
      <c r="M1151" s="52" t="str">
        <f>VLOOKUP(Tabla3[[#This Row],[Site]],'Important Info!'!$A$1:$F$135,3,FALSE)</f>
        <v>-</v>
      </c>
      <c r="N1151" s="52" t="str">
        <f>VLOOKUP(Tabla3[[#This Row],[Site]],'Important Info!'!$A$1:$F$135,4,FALSE)</f>
        <v>-</v>
      </c>
      <c r="O1151" s="52" t="str">
        <f>VLOOKUP(Tabla3[[#This Row],[Site]],'Important Info!'!$A$1:$F$135,5,FALSE)</f>
        <v>2, 12, 13, 18</v>
      </c>
      <c r="P1151" s="52" t="str">
        <f>VLOOKUP(Tabla3[[#This Row],[Site]],'Important Info!'!$A$1:$F$135,6,FALSE)</f>
        <v>-</v>
      </c>
      <c r="Q1151" s="91">
        <f>VLOOKUP(Tabla3[[#This Row],[Site]],'Important Info!'!$A$1:$J$135,9,FALSE)</f>
        <v>201</v>
      </c>
    </row>
    <row r="1152" spans="1:17" x14ac:dyDescent="0.25">
      <c r="A1152" t="str">
        <f>+Tabla3[[#This Row],[Site]]&amp;Tabla3[[#This Row],[Split]]</f>
        <v>(PE) Mercedes Benz &amp; Smart Bldg. of Fairfield (NO TOURS)13</v>
      </c>
      <c r="B1152">
        <v>13</v>
      </c>
      <c r="C1152">
        <v>12</v>
      </c>
      <c r="D1152" t="s">
        <v>485</v>
      </c>
      <c r="E1152" t="s">
        <v>35</v>
      </c>
      <c r="F1152" t="s">
        <v>64</v>
      </c>
      <c r="G1152" t="s">
        <v>490</v>
      </c>
      <c r="H1152" s="52" t="str">
        <f>VLOOKUP(Tabla3[[#This Row],[Site]],'Important Info!'!$A$1:$J$135,10,FALSE)</f>
        <v>https://tools.sig.systems/site/details/192</v>
      </c>
      <c r="I1152" t="s">
        <v>177</v>
      </c>
      <c r="J1152" t="s">
        <v>41</v>
      </c>
      <c r="K1152" s="79" t="str">
        <f>VLOOKUP(Tabla3[[#This Row],[Site]],'Important Info!'!$A$1:$H$135,8,FALSE)</f>
        <v>-</v>
      </c>
      <c r="L1152" s="52" t="str">
        <f>VLOOKUP(Tabla3[[#This Row],[Site]],'Important Info!'!$A$1:$F$135,2,FALSE)</f>
        <v>-</v>
      </c>
      <c r="M1152" s="52">
        <f>VLOOKUP(Tabla3[[#This Row],[Site]],'Important Info!'!$A$1:$F$135,3,FALSE)</f>
        <v>1</v>
      </c>
      <c r="N1152" s="52" t="str">
        <f>VLOOKUP(Tabla3[[#This Row],[Site]],'Important Info!'!$A$1:$F$135,4,FALSE)</f>
        <v>-</v>
      </c>
      <c r="O1152" s="52" t="str">
        <f>VLOOKUP(Tabla3[[#This Row],[Site]],'Important Info!'!$A$1:$F$135,5,FALSE)</f>
        <v>11, 13</v>
      </c>
      <c r="P1152" s="52">
        <f>VLOOKUP(Tabla3[[#This Row],[Site]],'Important Info!'!$A$1:$F$135,6,FALSE)</f>
        <v>1</v>
      </c>
      <c r="Q1152" s="91">
        <f>VLOOKUP(Tabla3[[#This Row],[Site]],'Important Info!'!$A$1:$J$135,9,FALSE)</f>
        <v>192</v>
      </c>
    </row>
    <row r="1153" spans="1:17" x14ac:dyDescent="0.25">
      <c r="A1153" t="str">
        <f>+Tabla3[[#This Row],[Site]]&amp;Tabla3[[#This Row],[Split]]</f>
        <v>(RV) Sonny's Camp N Travel Concord13</v>
      </c>
      <c r="B1153">
        <v>13</v>
      </c>
      <c r="C1153">
        <v>12</v>
      </c>
      <c r="D1153" t="s">
        <v>62</v>
      </c>
      <c r="E1153" t="s">
        <v>35</v>
      </c>
      <c r="F1153" t="s">
        <v>188</v>
      </c>
      <c r="G1153" t="s">
        <v>490</v>
      </c>
      <c r="H1153" s="52" t="str">
        <f>VLOOKUP(Tabla3[[#This Row],[Site]],'Important Info!'!$A$1:$J$135,10,FALSE)</f>
        <v>https://tools.sig.systems/site/details/183</v>
      </c>
      <c r="J1153" t="s">
        <v>41</v>
      </c>
      <c r="K1153" s="79" t="str">
        <f>VLOOKUP(Tabla3[[#This Row],[Site]],'Important Info!'!$A$1:$H$135,8,FALSE)</f>
        <v>-</v>
      </c>
      <c r="L1153" s="52">
        <f>VLOOKUP(Tabla3[[#This Row],[Site]],'Important Info!'!$A$1:$F$135,2,FALSE)</f>
        <v>1</v>
      </c>
      <c r="M1153" s="52" t="str">
        <f>VLOOKUP(Tabla3[[#This Row],[Site]],'Important Info!'!$A$1:$F$135,3,FALSE)</f>
        <v>-</v>
      </c>
      <c r="N1153" s="52" t="str">
        <f>VLOOKUP(Tabla3[[#This Row],[Site]],'Important Info!'!$A$1:$F$135,4,FALSE)</f>
        <v>-</v>
      </c>
      <c r="O1153" s="52">
        <f>VLOOKUP(Tabla3[[#This Row],[Site]],'Important Info!'!$A$1:$F$135,5,FALSE)</f>
        <v>7</v>
      </c>
      <c r="P1153" s="52" t="str">
        <f>VLOOKUP(Tabla3[[#This Row],[Site]],'Important Info!'!$A$1:$F$135,6,FALSE)</f>
        <v>6, 7, 8, 9</v>
      </c>
      <c r="Q1153" s="91">
        <f>VLOOKUP(Tabla3[[#This Row],[Site]],'Important Info!'!$A$1:$J$135,9,FALSE)</f>
        <v>183</v>
      </c>
    </row>
    <row r="1154" spans="1:17" x14ac:dyDescent="0.25">
      <c r="A1154" t="str">
        <f>+Tabla3[[#This Row],[Site]]&amp;Tabla3[[#This Row],[Split]]</f>
        <v>(AS) Courtesy Hyundai/Nissan Tampa (NO TOURS)13</v>
      </c>
      <c r="B1154">
        <v>13</v>
      </c>
      <c r="C1154">
        <v>13</v>
      </c>
      <c r="D1154" t="s">
        <v>62</v>
      </c>
      <c r="E1154" t="s">
        <v>35</v>
      </c>
      <c r="F1154" t="s">
        <v>504</v>
      </c>
      <c r="G1154" t="s">
        <v>490</v>
      </c>
      <c r="H1154" s="52" t="str">
        <f>VLOOKUP(Tabla3[[#This Row],[Site]],'Important Info!'!$A$1:$J$135,10,FALSE)</f>
        <v>https://tools.sig.systems/site/details/128</v>
      </c>
      <c r="I1154" s="2"/>
      <c r="J1154" t="s">
        <v>484</v>
      </c>
      <c r="K1154" s="79" t="str">
        <f>VLOOKUP(Tabla3[[#This Row],[Site]],'Important Info!'!$A$1:$H$135,8,FALSE)</f>
        <v>-</v>
      </c>
      <c r="L1154" s="52" t="str">
        <f>VLOOKUP(Tabla3[[#This Row],[Site]],'Important Info!'!$A$1:$F$135,2,FALSE)</f>
        <v>1, 16, 25, 27, 32</v>
      </c>
      <c r="M1154" s="52" t="str">
        <f>VLOOKUP(Tabla3[[#This Row],[Site]],'Important Info!'!$A$1:$F$135,3,FALSE)</f>
        <v>-</v>
      </c>
      <c r="N1154" s="52" t="str">
        <f>VLOOKUP(Tabla3[[#This Row],[Site]],'Important Info!'!$A$1:$F$135,4,FALSE)</f>
        <v>-</v>
      </c>
      <c r="O1154" s="52" t="str">
        <f>VLOOKUP(Tabla3[[#This Row],[Site]],'Important Info!'!$A$1:$F$135,5,FALSE)</f>
        <v>4, 10, 16</v>
      </c>
      <c r="P1154" s="52" t="str">
        <f>VLOOKUP(Tabla3[[#This Row],[Site]],'Important Info!'!$A$1:$F$135,6,FALSE)</f>
        <v>24, 25, 26 &amp; Remote Lots</v>
      </c>
      <c r="Q1154" s="91">
        <f>VLOOKUP(Tabla3[[#This Row],[Site]],'Important Info!'!$A$1:$J$135,9,FALSE)</f>
        <v>128</v>
      </c>
    </row>
    <row r="1155" spans="1:17" x14ac:dyDescent="0.25">
      <c r="A1155" t="str">
        <f>+Tabla3[[#This Row],[Site]]&amp;Tabla3[[#This Row],[Split]]</f>
        <v>(AS) David McDavid Honda I &amp; II (NO TOURS)13</v>
      </c>
      <c r="B1155">
        <v>13</v>
      </c>
      <c r="C1155">
        <v>13</v>
      </c>
      <c r="D1155" t="s">
        <v>33</v>
      </c>
      <c r="E1155" t="s">
        <v>46</v>
      </c>
      <c r="F1155" t="s">
        <v>506</v>
      </c>
      <c r="G1155" t="s">
        <v>34</v>
      </c>
      <c r="H1155" s="52" t="str">
        <f>VLOOKUP(Tabla3[[#This Row],[Site]],'Important Info!'!$A$1:$J$135,10,FALSE)</f>
        <v>https://tools.sig.systems/site/details/129</v>
      </c>
      <c r="I1155" s="64"/>
      <c r="J1155" t="s">
        <v>41</v>
      </c>
      <c r="K1155" s="79" t="str">
        <f>VLOOKUP(Tabla3[[#This Row],[Site]],'Important Info!'!$A$1:$H$135,8,FALSE)</f>
        <v>-</v>
      </c>
      <c r="L1155" s="52" t="str">
        <f>VLOOKUP(Tabla3[[#This Row],[Site]],'Important Info!'!$A$1:$F$135,2,FALSE)</f>
        <v>-</v>
      </c>
      <c r="M1155" s="52" t="str">
        <f>VLOOKUP(Tabla3[[#This Row],[Site]],'Important Info!'!$A$1:$F$135,3,FALSE)</f>
        <v>3, 19, 23, 32, 35</v>
      </c>
      <c r="N1155" s="52" t="str">
        <f>VLOOKUP(Tabla3[[#This Row],[Site]],'Important Info!'!$A$1:$F$135,4,FALSE)</f>
        <v>-</v>
      </c>
      <c r="O1155" s="52" t="str">
        <f>VLOOKUP(Tabla3[[#This Row],[Site]],'Important Info!'!$A$1:$F$135,5,FALSE)</f>
        <v>2, 6, 9, 19, 25, 30, 48</v>
      </c>
      <c r="P1155" s="52" t="str">
        <f>VLOOKUP(Tabla3[[#This Row],[Site]],'Important Info!'!$A$1:$F$135,6,FALSE)</f>
        <v>25, 26, 35, 36, 37</v>
      </c>
      <c r="Q1155" s="91">
        <f>VLOOKUP(Tabla3[[#This Row],[Site]],'Important Info!'!$A$1:$J$135,9,FALSE)</f>
        <v>129</v>
      </c>
    </row>
    <row r="1156" spans="1:17" x14ac:dyDescent="0.25">
      <c r="A1156" t="str">
        <f>+Tabla3[[#This Row],[Site]]&amp;Tabla3[[#This Row],[Split]]</f>
        <v>(AS) Mike Shaw Subaru Greeley (NO TOURS)13</v>
      </c>
      <c r="B1156">
        <v>13</v>
      </c>
      <c r="C1156">
        <v>13</v>
      </c>
      <c r="D1156" t="s">
        <v>44</v>
      </c>
      <c r="E1156" t="s">
        <v>53</v>
      </c>
      <c r="F1156" t="s">
        <v>95</v>
      </c>
      <c r="G1156" t="s">
        <v>45</v>
      </c>
      <c r="H1156" s="52" t="str">
        <f>VLOOKUP(Tabla3[[#This Row],[Site]],'Important Info!'!$A$1:$J$135,10,FALSE)</f>
        <v>https://tools.sig.systems/site/details/174</v>
      </c>
      <c r="I1156" t="s">
        <v>153</v>
      </c>
      <c r="J1156" t="s">
        <v>41</v>
      </c>
      <c r="K1156" s="79" t="str">
        <f>VLOOKUP(Tabla3[[#This Row],[Site]],'Important Info!'!$A$1:$H$135,8,FALSE)</f>
        <v>-</v>
      </c>
      <c r="L1156" s="52" t="str">
        <f>VLOOKUP(Tabla3[[#This Row],[Site]],'Important Info!'!$A$1:$F$135,2,FALSE)</f>
        <v>16, 17</v>
      </c>
      <c r="M1156" s="52">
        <f>VLOOKUP(Tabla3[[#This Row],[Site]],'Important Info!'!$A$1:$F$135,3,FALSE)</f>
        <v>10</v>
      </c>
      <c r="N1156" s="52" t="str">
        <f>VLOOKUP(Tabla3[[#This Row],[Site]],'Important Info!'!$A$1:$F$135,4,FALSE)</f>
        <v>-</v>
      </c>
      <c r="O1156" s="52" t="str">
        <f>VLOOKUP(Tabla3[[#This Row],[Site]],'Important Info!'!$A$1:$F$135,5,FALSE)</f>
        <v>1, 7</v>
      </c>
      <c r="P1156" s="52" t="str">
        <f>VLOOKUP(Tabla3[[#This Row],[Site]],'Important Info!'!$A$1:$F$135,6,FALSE)</f>
        <v>-</v>
      </c>
      <c r="Q1156" s="91">
        <f>VLOOKUP(Tabla3[[#This Row],[Site]],'Important Info!'!$A$1:$J$135,9,FALSE)</f>
        <v>174</v>
      </c>
    </row>
    <row r="1157" spans="1:17" x14ac:dyDescent="0.25">
      <c r="A1157" t="str">
        <f>+Tabla3[[#This Row],[Site]]&amp;Tabla3[[#This Row],[Split]]</f>
        <v>(AS) Park Place JLR DFW Airport (NO TOURS)13</v>
      </c>
      <c r="B1157">
        <v>13</v>
      </c>
      <c r="C1157">
        <v>13</v>
      </c>
      <c r="D1157" t="s">
        <v>33</v>
      </c>
      <c r="E1157" t="s">
        <v>46</v>
      </c>
      <c r="F1157" t="s">
        <v>516</v>
      </c>
      <c r="G1157" t="s">
        <v>34</v>
      </c>
      <c r="H1157" s="52" t="str">
        <f>VLOOKUP(Tabla3[[#This Row],[Site]],'Important Info!'!$A$1:$J$135,10,FALSE)</f>
        <v>https://tools.sig.systems/site/details/135</v>
      </c>
      <c r="J1157" t="s">
        <v>41</v>
      </c>
      <c r="K1157" s="79" t="str">
        <f>VLOOKUP(Tabla3[[#This Row],[Site]],'Important Info!'!$A$1:$H$135,8,FALSE)</f>
        <v>-</v>
      </c>
      <c r="L1157" s="52" t="str">
        <f>VLOOKUP(Tabla3[[#This Row],[Site]],'Important Info!'!$A$1:$F$135,2,FALSE)</f>
        <v>6, 7, 18</v>
      </c>
      <c r="M1157" s="52" t="str">
        <f>VLOOKUP(Tabla3[[#This Row],[Site]],'Important Info!'!$A$1:$F$135,3,FALSE)</f>
        <v>70, 79, 80</v>
      </c>
      <c r="N1157" s="52" t="str">
        <f>VLOOKUP(Tabla3[[#This Row],[Site]],'Important Info!'!$A$1:$F$135,4,FALSE)</f>
        <v>83, 84</v>
      </c>
      <c r="O1157" s="52" t="str">
        <f>VLOOKUP(Tabla3[[#This Row],[Site]],'Important Info!'!$A$1:$F$135,5,FALSE)</f>
        <v>3, 8, 14, 81</v>
      </c>
      <c r="P1157" s="52">
        <f>VLOOKUP(Tabla3[[#This Row],[Site]],'Important Info!'!$A$1:$F$135,6,FALSE)</f>
        <v>6</v>
      </c>
      <c r="Q1157" s="91">
        <f>VLOOKUP(Tabla3[[#This Row],[Site]],'Important Info!'!$A$1:$J$135,9,FALSE)</f>
        <v>135</v>
      </c>
    </row>
    <row r="1158" spans="1:17" x14ac:dyDescent="0.25">
      <c r="A1158" t="str">
        <f>+Tabla3[[#This Row],[Site]]&amp;Tabla3[[#This Row],[Split]]</f>
        <v>(AS) Plano Auction (NO SPEAKERS)13</v>
      </c>
      <c r="B1158">
        <v>13</v>
      </c>
      <c r="C1158">
        <v>13</v>
      </c>
      <c r="D1158" t="s">
        <v>33</v>
      </c>
      <c r="E1158" t="s">
        <v>46</v>
      </c>
      <c r="F1158" t="s">
        <v>129</v>
      </c>
      <c r="G1158" t="s">
        <v>34</v>
      </c>
      <c r="H1158" s="52" t="str">
        <f>VLOOKUP(Tabla3[[#This Row],[Site]],'Important Info!'!$A$1:$J$135,10,FALSE)</f>
        <v>https://tools.sig.systems/site/details/140</v>
      </c>
      <c r="J1158" t="s">
        <v>41</v>
      </c>
      <c r="K1158" s="79" t="str">
        <f>VLOOKUP(Tabla3[[#This Row],[Site]],'Important Info!'!$A$1:$H$135,8,FALSE)</f>
        <v>-</v>
      </c>
      <c r="L1158" s="52" t="str">
        <f>VLOOKUP(Tabla3[[#This Row],[Site]],'Important Info!'!$A$1:$F$135,2,FALSE)</f>
        <v>-</v>
      </c>
      <c r="M1158" s="52" t="str">
        <f>VLOOKUP(Tabla3[[#This Row],[Site]],'Important Info!'!$A$1:$F$135,3,FALSE)</f>
        <v>3, 4, 19</v>
      </c>
      <c r="N1158" s="52" t="str">
        <f>VLOOKUP(Tabla3[[#This Row],[Site]],'Important Info!'!$A$1:$F$135,4,FALSE)</f>
        <v>-</v>
      </c>
      <c r="O1158" s="52" t="str">
        <f>VLOOKUP(Tabla3[[#This Row],[Site]],'Important Info!'!$A$1:$F$135,5,FALSE)</f>
        <v>5, 19</v>
      </c>
      <c r="P1158" s="52">
        <f>VLOOKUP(Tabla3[[#This Row],[Site]],'Important Info!'!$A$1:$F$135,6,FALSE)</f>
        <v>21</v>
      </c>
      <c r="Q1158" s="91">
        <f>VLOOKUP(Tabla3[[#This Row],[Site]],'Important Info!'!$A$1:$J$135,9,FALSE)</f>
        <v>140</v>
      </c>
    </row>
    <row r="1159" spans="1:17" x14ac:dyDescent="0.25">
      <c r="A1159" t="str">
        <f>+Tabla3[[#This Row],[Site]]&amp;Tabla3[[#This Row],[Split]]</f>
        <v>(DT) Escondido13</v>
      </c>
      <c r="B1159">
        <v>13</v>
      </c>
      <c r="C1159">
        <v>13</v>
      </c>
      <c r="D1159" t="s">
        <v>51</v>
      </c>
      <c r="E1159" t="s">
        <v>159</v>
      </c>
      <c r="F1159" t="s">
        <v>112</v>
      </c>
      <c r="G1159" t="s">
        <v>164</v>
      </c>
      <c r="H1159" s="52" t="str">
        <f>VLOOKUP(Tabla3[[#This Row],[Site]],'Important Info!'!$A$1:$J$135,10,FALSE)</f>
        <v>https://tools.sig.systems/site/details/196</v>
      </c>
      <c r="I1159" s="2"/>
      <c r="J1159" t="s">
        <v>41</v>
      </c>
      <c r="K1159" s="79" t="str">
        <f>VLOOKUP(Tabla3[[#This Row],[Site]],'Important Info!'!$A$1:$H$135,8,FALSE)</f>
        <v>Saturday Drop Time 9:00 A.M.</v>
      </c>
      <c r="L1159" s="52" t="str">
        <f>VLOOKUP(Tabla3[[#This Row],[Site]],'Important Info!'!$A$1:$F$135,2,FALSE)</f>
        <v>1, 2</v>
      </c>
      <c r="M1159" s="52" t="str">
        <f>VLOOKUP(Tabla3[[#This Row],[Site]],'Important Info!'!$A$1:$F$135,3,FALSE)</f>
        <v>-</v>
      </c>
      <c r="N1159" s="52" t="str">
        <f>VLOOKUP(Tabla3[[#This Row],[Site]],'Important Info!'!$A$1:$F$135,4,FALSE)</f>
        <v>-</v>
      </c>
      <c r="O1159" s="52" t="str">
        <f>VLOOKUP(Tabla3[[#This Row],[Site]],'Important Info!'!$A$1:$F$135,5,FALSE)</f>
        <v>-</v>
      </c>
      <c r="P1159" s="52" t="str">
        <f>VLOOKUP(Tabla3[[#This Row],[Site]],'Important Info!'!$A$1:$F$135,6,FALSE)</f>
        <v>5, 7, 8</v>
      </c>
      <c r="Q1159" s="91">
        <f>VLOOKUP(Tabla3[[#This Row],[Site]],'Important Info!'!$A$1:$J$135,9,FALSE)</f>
        <v>196</v>
      </c>
    </row>
    <row r="1160" spans="1:17" x14ac:dyDescent="0.25">
      <c r="A1160" t="str">
        <f>+Tabla3[[#This Row],[Site]]&amp;Tabla3[[#This Row],[Split]]</f>
        <v>(JE) Jim Ellis Ford Sandy Springs13</v>
      </c>
      <c r="B1160">
        <v>13</v>
      </c>
      <c r="C1160">
        <v>13</v>
      </c>
      <c r="D1160" t="s">
        <v>62</v>
      </c>
      <c r="E1160" t="s">
        <v>35</v>
      </c>
      <c r="F1160" t="s">
        <v>187</v>
      </c>
      <c r="G1160" t="s">
        <v>490</v>
      </c>
      <c r="H1160" s="52" t="str">
        <f>VLOOKUP(Tabla3[[#This Row],[Site]],'Important Info!'!$A$1:$J$135,10,FALSE)</f>
        <v>https://tools.sig.systems/site/details/142</v>
      </c>
      <c r="I1160" s="2"/>
      <c r="J1160" t="s">
        <v>41</v>
      </c>
      <c r="K1160" s="79" t="str">
        <f>VLOOKUP(Tabla3[[#This Row],[Site]],'Important Info!'!$A$1:$H$135,8,FALSE)</f>
        <v>-</v>
      </c>
      <c r="L1160" s="52" t="str">
        <f>VLOOKUP(Tabla3[[#This Row],[Site]],'Important Info!'!$A$1:$F$135,2,FALSE)</f>
        <v>1, 5</v>
      </c>
      <c r="M1160" s="52" t="str">
        <f>VLOOKUP(Tabla3[[#This Row],[Site]],'Important Info!'!$A$1:$F$135,3,FALSE)</f>
        <v>-</v>
      </c>
      <c r="N1160" s="52" t="str">
        <f>VLOOKUP(Tabla3[[#This Row],[Site]],'Important Info!'!$A$1:$F$135,4,FALSE)</f>
        <v>-</v>
      </c>
      <c r="O1160" s="52" t="str">
        <f>VLOOKUP(Tabla3[[#This Row],[Site]],'Important Info!'!$A$1:$F$135,5,FALSE)</f>
        <v>1, 5, 9, 26</v>
      </c>
      <c r="P1160" s="52" t="str">
        <f>VLOOKUP(Tabla3[[#This Row],[Site]],'Important Info!'!$A$1:$F$135,6,FALSE)</f>
        <v>3, 4, 8, 28</v>
      </c>
      <c r="Q1160" s="91">
        <f>VLOOKUP(Tabla3[[#This Row],[Site]],'Important Info!'!$A$1:$J$135,9,FALSE)</f>
        <v>142</v>
      </c>
    </row>
    <row r="1161" spans="1:17" x14ac:dyDescent="0.25">
      <c r="A1161" t="str">
        <f>+Tabla3[[#This Row],[Site]]&amp;Tabla3[[#This Row],[Split]]</f>
        <v>(PE) Honda of Danbury (NO TOURS)13</v>
      </c>
      <c r="B1161">
        <v>13</v>
      </c>
      <c r="C1161">
        <v>13</v>
      </c>
      <c r="D1161" t="s">
        <v>485</v>
      </c>
      <c r="E1161" t="s">
        <v>35</v>
      </c>
      <c r="F1161" t="s">
        <v>174</v>
      </c>
      <c r="G1161" t="s">
        <v>490</v>
      </c>
      <c r="H1161" s="52" t="str">
        <f>VLOOKUP(Tabla3[[#This Row],[Site]],'Important Info!'!$A$1:$J$135,10,FALSE)</f>
        <v>https://tools.sig.systems/site/details/190</v>
      </c>
      <c r="I1161" s="66"/>
      <c r="J1161" t="s">
        <v>41</v>
      </c>
      <c r="K1161" s="79" t="str">
        <f>VLOOKUP(Tabla3[[#This Row],[Site]],'Important Info!'!$A$1:$H$135,8,FALSE)</f>
        <v>-</v>
      </c>
      <c r="L1161" s="52" t="str">
        <f>VLOOKUP(Tabla3[[#This Row],[Site]],'Important Info!'!$A$1:$F$135,2,FALSE)</f>
        <v>-</v>
      </c>
      <c r="M1161" s="52" t="str">
        <f>VLOOKUP(Tabla3[[#This Row],[Site]],'Important Info!'!$A$1:$F$135,3,FALSE)</f>
        <v>20, 9</v>
      </c>
      <c r="N1161" s="52">
        <f>VLOOKUP(Tabla3[[#This Row],[Site]],'Important Info!'!$A$1:$F$135,4,FALSE)</f>
        <v>9</v>
      </c>
      <c r="O1161" s="52" t="str">
        <f>VLOOKUP(Tabla3[[#This Row],[Site]],'Important Info!'!$A$1:$F$135,5,FALSE)</f>
        <v>-</v>
      </c>
      <c r="P1161" s="52" t="str">
        <f>VLOOKUP(Tabla3[[#This Row],[Site]],'Important Info!'!$A$1:$F$135,6,FALSE)</f>
        <v>9, 16, 17</v>
      </c>
      <c r="Q1161" s="91">
        <f>VLOOKUP(Tabla3[[#This Row],[Site]],'Important Info!'!$A$1:$J$135,9,FALSE)</f>
        <v>190</v>
      </c>
    </row>
    <row r="1162" spans="1:17" x14ac:dyDescent="0.25">
      <c r="A1162" t="str">
        <f>+Tabla3[[#This Row],[Site]]&amp;Tabla3[[#This Row],[Split]]</f>
        <v>(AS) Nalley Lexus &amp; Remote Lot Roswell (NO TOURS)14</v>
      </c>
      <c r="B1162">
        <v>14</v>
      </c>
      <c r="C1162">
        <v>1</v>
      </c>
      <c r="D1162" t="s">
        <v>60</v>
      </c>
      <c r="E1162" t="s">
        <v>35</v>
      </c>
      <c r="F1162" t="s">
        <v>511</v>
      </c>
      <c r="G1162" t="s">
        <v>41</v>
      </c>
      <c r="H1162" s="52" t="str">
        <f>VLOOKUP(Tabla3[[#This Row],[Site]],'Important Info!'!$A$1:$J$135,10,FALSE)</f>
        <v>https://tools.sig.systems/site/details/131</v>
      </c>
      <c r="I1162" s="43" t="s">
        <v>166</v>
      </c>
      <c r="J1162" t="s">
        <v>41</v>
      </c>
      <c r="K1162" s="79" t="str">
        <f>VLOOKUP(Tabla3[[#This Row],[Site]],'Important Info!'!$A$1:$H$135,8,FALSE)</f>
        <v>Dealership 11PM to 5AM (Mon to Fri). Sunday Drop Time 1PM</v>
      </c>
      <c r="L1162" s="52" t="str">
        <f>VLOOKUP(Tabla3[[#This Row],[Site]],'Important Info!'!$A$1:$F$135,2,FALSE)</f>
        <v>6, 13</v>
      </c>
      <c r="M1162" s="52">
        <f>VLOOKUP(Tabla3[[#This Row],[Site]],'Important Info!'!$A$1:$F$135,3,FALSE)</f>
        <v>4</v>
      </c>
      <c r="N1162" s="52">
        <f>VLOOKUP(Tabla3[[#This Row],[Site]],'Important Info!'!$A$1:$F$135,4,FALSE)</f>
        <v>1</v>
      </c>
      <c r="O1162" s="52" t="str">
        <f>VLOOKUP(Tabla3[[#This Row],[Site]],'Important Info!'!$A$1:$F$135,5,FALSE)</f>
        <v>1, 8, 19</v>
      </c>
      <c r="P1162" s="52" t="str">
        <f>VLOOKUP(Tabla3[[#This Row],[Site]],'Important Info!'!$A$1:$F$135,6,FALSE)</f>
        <v>4, 20</v>
      </c>
      <c r="Q1162" s="91">
        <f>VLOOKUP(Tabla3[[#This Row],[Site]],'Important Info!'!$A$1:$J$135,9,FALSE)</f>
        <v>131</v>
      </c>
    </row>
    <row r="1163" spans="1:17" x14ac:dyDescent="0.25">
      <c r="A1163" t="str">
        <f>+Tabla3[[#This Row],[Site]]&amp;Tabla3[[#This Row],[Split]]</f>
        <v>(AS) Park Place Bodywerks Ft. Worth (NO TOURS)14</v>
      </c>
      <c r="B1163">
        <v>14</v>
      </c>
      <c r="C1163">
        <v>1</v>
      </c>
      <c r="D1163" t="s">
        <v>33</v>
      </c>
      <c r="E1163" t="s">
        <v>46</v>
      </c>
      <c r="F1163" t="s">
        <v>515</v>
      </c>
      <c r="G1163" t="s">
        <v>34</v>
      </c>
      <c r="H1163" s="52" t="str">
        <f>VLOOKUP(Tabla3[[#This Row],[Site]],'Important Info!'!$A$1:$J$135,10,FALSE)</f>
        <v>https://tools.sig.systems/site/details/134</v>
      </c>
      <c r="I1163" s="8" t="s">
        <v>128</v>
      </c>
      <c r="J1163" t="s">
        <v>41</v>
      </c>
      <c r="K1163" s="79" t="str">
        <f>VLOOKUP(Tabla3[[#This Row],[Site]],'Important Info!'!$A$1:$H$135,8,FALSE)</f>
        <v>-</v>
      </c>
      <c r="L1163" s="52" t="str">
        <f>VLOOKUP(Tabla3[[#This Row],[Site]],'Important Info!'!$A$1:$F$135,2,FALSE)</f>
        <v>2, 3, RemoteLot5, RemoteLot9</v>
      </c>
      <c r="M1163" s="52" t="str">
        <f>VLOOKUP(Tabla3[[#This Row],[Site]],'Important Info!'!$A$1:$F$135,3,FALSE)</f>
        <v>-</v>
      </c>
      <c r="N1163" s="52" t="str">
        <f>VLOOKUP(Tabla3[[#This Row],[Site]],'Important Info!'!$A$1:$F$135,4,FALSE)</f>
        <v>-</v>
      </c>
      <c r="O1163" s="52" t="str">
        <f>VLOOKUP(Tabla3[[#This Row],[Site]],'Important Info!'!$A$1:$F$135,5,FALSE)</f>
        <v>1, 7, RL1, RL5, RL9</v>
      </c>
      <c r="P1163" s="52" t="str">
        <f>VLOOKUP(Tabla3[[#This Row],[Site]],'Important Info!'!$A$1:$F$135,6,FALSE)</f>
        <v>3, 4, 15</v>
      </c>
      <c r="Q1163" s="91">
        <f>VLOOKUP(Tabla3[[#This Row],[Site]],'Important Info!'!$A$1:$J$135,9,FALSE)</f>
        <v>134</v>
      </c>
    </row>
    <row r="1164" spans="1:17" x14ac:dyDescent="0.25">
      <c r="A1164" t="str">
        <f>+Tabla3[[#This Row],[Site]]&amp;Tabla3[[#This Row],[Split]]</f>
        <v>(DT) W Houston14</v>
      </c>
      <c r="B1164">
        <v>14</v>
      </c>
      <c r="C1164">
        <v>1</v>
      </c>
      <c r="D1164" t="s">
        <v>33</v>
      </c>
      <c r="E1164" t="s">
        <v>46</v>
      </c>
      <c r="F1164" t="s">
        <v>69</v>
      </c>
      <c r="G1164" t="s">
        <v>34</v>
      </c>
      <c r="H1164" s="52" t="str">
        <f>VLOOKUP(Tabla3[[#This Row],[Site]],'Important Info!'!$A$1:$J$135,10,FALSE)</f>
        <v>https://tools.sig.systems/site/details/197</v>
      </c>
      <c r="I1164" s="2"/>
      <c r="J1164" t="s">
        <v>41</v>
      </c>
      <c r="K1164" s="79" t="str">
        <f>VLOOKUP(Tabla3[[#This Row],[Site]],'Important Info!'!$A$1:$H$135,8,FALSE)</f>
        <v>-</v>
      </c>
      <c r="L1164" s="52">
        <f>VLOOKUP(Tabla3[[#This Row],[Site]],'Important Info!'!$A$1:$F$135,2,FALSE)</f>
        <v>7</v>
      </c>
      <c r="M1164" s="52">
        <f>VLOOKUP(Tabla3[[#This Row],[Site]],'Important Info!'!$A$1:$F$135,3,FALSE)</f>
        <v>2</v>
      </c>
      <c r="N1164" s="52" t="str">
        <f>VLOOKUP(Tabla3[[#This Row],[Site]],'Important Info!'!$A$1:$F$135,4,FALSE)</f>
        <v>-</v>
      </c>
      <c r="O1164" s="52">
        <f>VLOOKUP(Tabla3[[#This Row],[Site]],'Important Info!'!$A$1:$F$135,5,FALSE)</f>
        <v>14</v>
      </c>
      <c r="P1164" s="52" t="str">
        <f>VLOOKUP(Tabla3[[#This Row],[Site]],'Important Info!'!$A$1:$F$135,6,FALSE)</f>
        <v>2, 3, 7, 10</v>
      </c>
      <c r="Q1164" s="91">
        <f>VLOOKUP(Tabla3[[#This Row],[Site]],'Important Info!'!$A$1:$J$135,9,FALSE)</f>
        <v>197</v>
      </c>
    </row>
    <row r="1165" spans="1:17" x14ac:dyDescent="0.25">
      <c r="A1165" t="str">
        <f>+Tabla3[[#This Row],[Site]]&amp;Tabla3[[#This Row],[Split]]</f>
        <v>(HUD) Acura of Greensboro14</v>
      </c>
      <c r="B1165">
        <v>14</v>
      </c>
      <c r="C1165">
        <v>1</v>
      </c>
      <c r="D1165" t="s">
        <v>62</v>
      </c>
      <c r="E1165" t="s">
        <v>35</v>
      </c>
      <c r="F1165" t="s">
        <v>100</v>
      </c>
      <c r="G1165" t="s">
        <v>490</v>
      </c>
      <c r="H1165" s="52" t="str">
        <f>VLOOKUP(Tabla3[[#This Row],[Site]],'Important Info!'!$A$1:$J$135,10,FALSE)</f>
        <v>https://tools.sig.systems/site/details/213</v>
      </c>
      <c r="I1165" t="s">
        <v>182</v>
      </c>
      <c r="J1165" t="s">
        <v>41</v>
      </c>
      <c r="K1165" s="79" t="str">
        <f>VLOOKUP(Tabla3[[#This Row],[Site]],'Important Info!'!$A$1:$H$135,8,FALSE)</f>
        <v>-</v>
      </c>
      <c r="L1165" s="52" t="str">
        <f>VLOOKUP(Tabla3[[#This Row],[Site]],'Important Info!'!$A$1:$F$135,2,FALSE)</f>
        <v>1, 2, 6, 7, 9</v>
      </c>
      <c r="M1165" s="52" t="str">
        <f>VLOOKUP(Tabla3[[#This Row],[Site]],'Important Info!'!$A$1:$F$135,3,FALSE)</f>
        <v>-</v>
      </c>
      <c r="N1165" s="52" t="str">
        <f>VLOOKUP(Tabla3[[#This Row],[Site]],'Important Info!'!$A$1:$F$135,4,FALSE)</f>
        <v>-</v>
      </c>
      <c r="O1165" s="52" t="str">
        <f>VLOOKUP(Tabla3[[#This Row],[Site]],'Important Info!'!$A$1:$F$135,5,FALSE)</f>
        <v>2, 5</v>
      </c>
      <c r="P1165" s="52" t="str">
        <f>VLOOKUP(Tabla3[[#This Row],[Site]],'Important Info!'!$A$1:$F$135,6,FALSE)</f>
        <v>1, 2, 6, 7, 9, 18</v>
      </c>
      <c r="Q1165" s="91">
        <f>VLOOKUP(Tabla3[[#This Row],[Site]],'Important Info!'!$A$1:$J$135,9,FALSE)</f>
        <v>213</v>
      </c>
    </row>
    <row r="1166" spans="1:17" x14ac:dyDescent="0.25">
      <c r="A1166" t="str">
        <f>+Tabla3[[#This Row],[Site]]&amp;Tabla3[[#This Row],[Split]]</f>
        <v>(KG) Clear Lake Pre-Owned14</v>
      </c>
      <c r="B1166">
        <v>14</v>
      </c>
      <c r="C1166">
        <v>1</v>
      </c>
      <c r="D1166" t="s">
        <v>33</v>
      </c>
      <c r="E1166" t="s">
        <v>46</v>
      </c>
      <c r="F1166" s="41" t="s">
        <v>87</v>
      </c>
      <c r="G1166" t="s">
        <v>34</v>
      </c>
      <c r="H1166" s="52" t="str">
        <f>VLOOKUP(Tabla3[[#This Row],[Site]],'Important Info!'!$A$1:$J$135,10,FALSE)</f>
        <v>https://tools.sig.systems/site/details/255</v>
      </c>
      <c r="I1166" s="43" t="s">
        <v>134</v>
      </c>
      <c r="J1166" t="s">
        <v>41</v>
      </c>
      <c r="K1166" s="79" t="str">
        <f>VLOOKUP(Tabla3[[#This Row],[Site]],'Important Info!'!$A$1:$H$135,8,FALSE)</f>
        <v>-</v>
      </c>
      <c r="L1166" s="52" t="str">
        <f>VLOOKUP(Tabla3[[#This Row],[Site]],'Important Info!'!$A$1:$F$135,2,FALSE)</f>
        <v>3, 5</v>
      </c>
      <c r="M1166" s="52" t="str">
        <f>VLOOKUP(Tabla3[[#This Row],[Site]],'Important Info!'!$A$1:$F$135,3,FALSE)</f>
        <v>-</v>
      </c>
      <c r="N1166" s="52" t="str">
        <f>VLOOKUP(Tabla3[[#This Row],[Site]],'Important Info!'!$A$1:$F$135,4,FALSE)</f>
        <v>-</v>
      </c>
      <c r="O1166" s="52" t="str">
        <f>VLOOKUP(Tabla3[[#This Row],[Site]],'Important Info!'!$A$1:$F$135,5,FALSE)</f>
        <v>4, 10, 22</v>
      </c>
      <c r="P1166" s="52" t="str">
        <f>VLOOKUP(Tabla3[[#This Row],[Site]],'Important Info!'!$A$1:$F$135,6,FALSE)</f>
        <v>8, 15, 20</v>
      </c>
      <c r="Q1166" s="91">
        <f>VLOOKUP(Tabla3[[#This Row],[Site]],'Important Info!'!$A$1:$J$135,9,FALSE)</f>
        <v>255</v>
      </c>
    </row>
    <row r="1167" spans="1:17" x14ac:dyDescent="0.25">
      <c r="A1167" t="str">
        <f>+Tabla3[[#This Row],[Site]]&amp;Tabla3[[#This Row],[Split]]</f>
        <v>(ML) McLarty Gray-Daniels Ford Lincoln14</v>
      </c>
      <c r="B1167">
        <v>14</v>
      </c>
      <c r="C1167">
        <v>1</v>
      </c>
      <c r="D1167" t="s">
        <v>33</v>
      </c>
      <c r="E1167" t="s">
        <v>46</v>
      </c>
      <c r="F1167" t="s">
        <v>89</v>
      </c>
      <c r="G1167" t="s">
        <v>34</v>
      </c>
      <c r="H1167" s="52" t="str">
        <f>VLOOKUP(Tabla3[[#This Row],[Site]],'Important Info!'!$A$1:$J$135,10,FALSE)</f>
        <v>https://tools.sig.systems/site/details/151</v>
      </c>
      <c r="I1167" s="43" t="s">
        <v>150</v>
      </c>
      <c r="J1167" t="s">
        <v>41</v>
      </c>
      <c r="K1167" s="79" t="str">
        <f>VLOOKUP(Tabla3[[#This Row],[Site]],'Important Info!'!$A$1:$H$135,8,FALSE)</f>
        <v>-</v>
      </c>
      <c r="L1167" s="52">
        <f>VLOOKUP(Tabla3[[#This Row],[Site]],'Important Info!'!$A$1:$F$135,2,FALSE)</f>
        <v>16</v>
      </c>
      <c r="M1167" s="52" t="str">
        <f>VLOOKUP(Tabla3[[#This Row],[Site]],'Important Info!'!$A$1:$F$135,3,FALSE)</f>
        <v>5, 10, 36, 38, 54, 58B</v>
      </c>
      <c r="N1167" s="52" t="str">
        <f>VLOOKUP(Tabla3[[#This Row],[Site]],'Important Info!'!$A$1:$F$135,4,FALSE)</f>
        <v>-</v>
      </c>
      <c r="O1167" s="52" t="str">
        <f>VLOOKUP(Tabla3[[#This Row],[Site]],'Important Info!'!$A$1:$F$135,5,FALSE)</f>
        <v>5, 17, 37</v>
      </c>
      <c r="P1167" s="52" t="str">
        <f>VLOOKUP(Tabla3[[#This Row],[Site]],'Important Info!'!$A$1:$F$135,6,FALSE)</f>
        <v>1, 2, 3, 4</v>
      </c>
      <c r="Q1167" s="91">
        <f>VLOOKUP(Tabla3[[#This Row],[Site]],'Important Info!'!$A$1:$J$135,9,FALSE)</f>
        <v>151</v>
      </c>
    </row>
    <row r="1168" spans="1:17" x14ac:dyDescent="0.25">
      <c r="A1168" t="str">
        <f>+Tabla3[[#This Row],[Site]]&amp;Tabla3[[#This Row],[Split]]</f>
        <v>(PE) Hudson Toyota Nissan CDJR (NO TOURS)14</v>
      </c>
      <c r="B1168">
        <v>14</v>
      </c>
      <c r="C1168">
        <v>1</v>
      </c>
      <c r="D1168" t="s">
        <v>485</v>
      </c>
      <c r="E1168" t="s">
        <v>35</v>
      </c>
      <c r="F1168" t="s">
        <v>82</v>
      </c>
      <c r="G1168" t="s">
        <v>490</v>
      </c>
      <c r="H1168" s="52" t="str">
        <f>VLOOKUP(Tabla3[[#This Row],[Site]],'Important Info!'!$A$1:$J$135,10,FALSE)</f>
        <v>https://tools.sig.systems/site/details/156</v>
      </c>
      <c r="J1168" t="s">
        <v>41</v>
      </c>
      <c r="K1168" s="79" t="str">
        <f>VLOOKUP(Tabla3[[#This Row],[Site]],'Important Info!'!$A$1:$H$135,8,FALSE)</f>
        <v>-</v>
      </c>
      <c r="L1168" s="52">
        <f>VLOOKUP(Tabla3[[#This Row],[Site]],'Important Info!'!$A$1:$F$135,2,FALSE)</f>
        <v>5</v>
      </c>
      <c r="M1168" s="52" t="str">
        <f>VLOOKUP(Tabla3[[#This Row],[Site]],'Important Info!'!$A$1:$F$135,3,FALSE)</f>
        <v>3, 7, 18</v>
      </c>
      <c r="N1168" s="52" t="str">
        <f>VLOOKUP(Tabla3[[#This Row],[Site]],'Important Info!'!$A$1:$F$135,4,FALSE)</f>
        <v>-</v>
      </c>
      <c r="O1168" s="52">
        <f>VLOOKUP(Tabla3[[#This Row],[Site]],'Important Info!'!$A$1:$F$135,5,FALSE)</f>
        <v>84</v>
      </c>
      <c r="P1168" s="52" t="str">
        <f>VLOOKUP(Tabla3[[#This Row],[Site]],'Important Info!'!$A$1:$F$135,6,FALSE)</f>
        <v>1, 2, 3, 4, 5, 6, 7, 8</v>
      </c>
      <c r="Q1168" s="91">
        <f>VLOOKUP(Tabla3[[#This Row],[Site]],'Important Info!'!$A$1:$J$135,9,FALSE)</f>
        <v>156</v>
      </c>
    </row>
    <row r="1169" spans="1:17" x14ac:dyDescent="0.25">
      <c r="A1169" t="str">
        <f>+Tabla3[[#This Row],[Site]]&amp;Tabla3[[#This Row],[Split]]</f>
        <v>(PE) Scofield Service Center (NO TOURS)14</v>
      </c>
      <c r="B1169">
        <v>14</v>
      </c>
      <c r="C1169">
        <v>1</v>
      </c>
      <c r="D1169" t="s">
        <v>485</v>
      </c>
      <c r="E1169" t="s">
        <v>35</v>
      </c>
      <c r="F1169" t="s">
        <v>83</v>
      </c>
      <c r="G1169" t="s">
        <v>490</v>
      </c>
      <c r="H1169" s="52" t="str">
        <f>VLOOKUP(Tabla3[[#This Row],[Site]],'Important Info!'!$A$1:$J$135,10,FALSE)</f>
        <v>https://tools.sig.systems/site/details/193</v>
      </c>
      <c r="I1169" s="64" t="s">
        <v>177</v>
      </c>
      <c r="J1169" t="s">
        <v>41</v>
      </c>
      <c r="K1169" s="79" t="str">
        <f>VLOOKUP(Tabla3[[#This Row],[Site]],'Important Info!'!$A$1:$H$135,8,FALSE)</f>
        <v>-</v>
      </c>
      <c r="L1169" s="52">
        <f>VLOOKUP(Tabla3[[#This Row],[Site]],'Important Info!'!$A$1:$F$135,2,FALSE)</f>
        <v>1</v>
      </c>
      <c r="M1169" s="52" t="str">
        <f>VLOOKUP(Tabla3[[#This Row],[Site]],'Important Info!'!$A$1:$F$135,3,FALSE)</f>
        <v>-</v>
      </c>
      <c r="N1169" s="52" t="str">
        <f>VLOOKUP(Tabla3[[#This Row],[Site]],'Important Info!'!$A$1:$F$135,4,FALSE)</f>
        <v>-</v>
      </c>
      <c r="O1169" s="52">
        <f>VLOOKUP(Tabla3[[#This Row],[Site]],'Important Info!'!$A$1:$F$135,5,FALSE)</f>
        <v>9</v>
      </c>
      <c r="P1169" s="52" t="str">
        <f>VLOOKUP(Tabla3[[#This Row],[Site]],'Important Info!'!$A$1:$F$135,6,FALSE)</f>
        <v>1, 17</v>
      </c>
      <c r="Q1169" s="91">
        <f>VLOOKUP(Tabla3[[#This Row],[Site]],'Important Info!'!$A$1:$J$135,9,FALSE)</f>
        <v>193</v>
      </c>
    </row>
    <row r="1170" spans="1:17" x14ac:dyDescent="0.25">
      <c r="A1170" t="str">
        <f>+Tabla3[[#This Row],[Site]]&amp;Tabla3[[#This Row],[Split]]</f>
        <v>(RV) Toms Camperland Avondale (NO TOURS)14</v>
      </c>
      <c r="B1170">
        <v>14</v>
      </c>
      <c r="C1170">
        <v>1</v>
      </c>
      <c r="D1170" t="s">
        <v>51</v>
      </c>
      <c r="E1170" t="s">
        <v>161</v>
      </c>
      <c r="F1170" t="s">
        <v>80</v>
      </c>
      <c r="G1170" t="s">
        <v>52</v>
      </c>
      <c r="H1170" s="52" t="str">
        <f>VLOOKUP(Tabla3[[#This Row],[Site]],'Important Info!'!$A$1:$J$135,10,FALSE)</f>
        <v>https://tools.sig.systems/site/details/248</v>
      </c>
      <c r="I1170" s="43" t="s">
        <v>163</v>
      </c>
      <c r="J1170" t="s">
        <v>164</v>
      </c>
      <c r="K1170" s="79" t="str">
        <f>VLOOKUP(Tabla3[[#This Row],[Site]],'Important Info!'!$A$1:$H$135,8,FALSE)</f>
        <v>-</v>
      </c>
      <c r="L1170" s="52">
        <f>VLOOKUP(Tabla3[[#This Row],[Site]],'Important Info!'!$A$1:$F$135,2,FALSE)</f>
        <v>10</v>
      </c>
      <c r="M1170" s="52" t="str">
        <f>VLOOKUP(Tabla3[[#This Row],[Site]],'Important Info!'!$A$1:$F$135,3,FALSE)</f>
        <v>2, 7</v>
      </c>
      <c r="N1170" s="52" t="str">
        <f>VLOOKUP(Tabla3[[#This Row],[Site]],'Important Info!'!$A$1:$F$135,4,FALSE)</f>
        <v>-</v>
      </c>
      <c r="O1170" s="52" t="str">
        <f>VLOOKUP(Tabla3[[#This Row],[Site]],'Important Info!'!$A$1:$F$135,5,FALSE)</f>
        <v>-</v>
      </c>
      <c r="P1170" s="52" t="str">
        <f>VLOOKUP(Tabla3[[#This Row],[Site]],'Important Info!'!$A$1:$F$135,6,FALSE)</f>
        <v>2, 7, 8, 13, 15</v>
      </c>
      <c r="Q1170" s="91">
        <f>VLOOKUP(Tabla3[[#This Row],[Site]],'Important Info!'!$A$1:$J$135,9,FALSE)</f>
        <v>248</v>
      </c>
    </row>
    <row r="1171" spans="1:17" x14ac:dyDescent="0.25">
      <c r="A1171" t="str">
        <f>+Tabla3[[#This Row],[Site]]&amp;Tabla3[[#This Row],[Split]]</f>
        <v>(AS) Park Place Acura (NO TOURS)14</v>
      </c>
      <c r="B1171">
        <v>14</v>
      </c>
      <c r="C1171">
        <v>2</v>
      </c>
      <c r="D1171" t="s">
        <v>33</v>
      </c>
      <c r="E1171" t="s">
        <v>46</v>
      </c>
      <c r="F1171" t="s">
        <v>513</v>
      </c>
      <c r="G1171" t="s">
        <v>34</v>
      </c>
      <c r="H1171" s="52" t="str">
        <f>VLOOKUP(Tabla3[[#This Row],[Site]],'Important Info!'!$A$1:$J$135,10,FALSE)</f>
        <v>https://tools.sig.systems/site/details/259</v>
      </c>
      <c r="I1171" s="63" t="s">
        <v>127</v>
      </c>
      <c r="J1171" t="s">
        <v>41</v>
      </c>
      <c r="K1171" s="79" t="str">
        <f>VLOOKUP(Tabla3[[#This Row],[Site]],'Important Info!'!$A$1:$H$135,8,FALSE)</f>
        <v>-</v>
      </c>
      <c r="L1171" s="52" t="str">
        <f>VLOOKUP(Tabla3[[#This Row],[Site]],'Important Info!'!$A$1:$F$135,2,FALSE)</f>
        <v>1, 2, 14, 16</v>
      </c>
      <c r="M1171" s="52" t="str">
        <f>VLOOKUP(Tabla3[[#This Row],[Site]],'Important Info!'!$A$1:$F$135,3,FALSE)</f>
        <v>-</v>
      </c>
      <c r="N1171" s="52" t="str">
        <f>VLOOKUP(Tabla3[[#This Row],[Site]],'Important Info!'!$A$1:$F$135,4,FALSE)</f>
        <v>-</v>
      </c>
      <c r="O1171" s="52" t="str">
        <f>VLOOKUP(Tabla3[[#This Row],[Site]],'Important Info!'!$A$1:$F$135,5,FALSE)</f>
        <v>1, 7, 13</v>
      </c>
      <c r="P1171" s="52" t="str">
        <f>VLOOKUP(Tabla3[[#This Row],[Site]],'Important Info!'!$A$1:$F$135,6,FALSE)</f>
        <v>-</v>
      </c>
      <c r="Q1171" s="91">
        <f>VLOOKUP(Tabla3[[#This Row],[Site]],'Important Info!'!$A$1:$J$135,9,FALSE)</f>
        <v>259</v>
      </c>
    </row>
    <row r="1172" spans="1:17" x14ac:dyDescent="0.25">
      <c r="A1172" t="str">
        <f>+Tabla3[[#This Row],[Site]]&amp;Tabla3[[#This Row],[Split]]</f>
        <v>(KG) JLR LEHI (NO TOURS)14</v>
      </c>
      <c r="B1172">
        <v>14</v>
      </c>
      <c r="C1172">
        <v>2</v>
      </c>
      <c r="D1172" t="s">
        <v>44</v>
      </c>
      <c r="E1172" t="s">
        <v>53</v>
      </c>
      <c r="F1172" t="s">
        <v>8</v>
      </c>
      <c r="G1172" t="s">
        <v>45</v>
      </c>
      <c r="H1172" s="52" t="str">
        <f>VLOOKUP(Tabla3[[#This Row],[Site]],'Important Info!'!$A$1:$J$135,10,FALSE)</f>
        <v>https://tools.sig.systems/site/details/145</v>
      </c>
      <c r="I1172" s="43"/>
      <c r="J1172" t="s">
        <v>41</v>
      </c>
      <c r="K1172" s="79" t="str">
        <f>VLOOKUP(Tabla3[[#This Row],[Site]],'Important Info!'!$A$1:$H$135,8,FALSE)</f>
        <v>-</v>
      </c>
      <c r="L1172" s="52" t="str">
        <f>VLOOKUP(Tabla3[[#This Row],[Site]],'Important Info!'!$A$1:$F$135,2,FALSE)</f>
        <v>1, 11</v>
      </c>
      <c r="M1172" s="52" t="str">
        <f>VLOOKUP(Tabla3[[#This Row],[Site]],'Important Info!'!$A$1:$F$135,3,FALSE)</f>
        <v>-</v>
      </c>
      <c r="N1172" s="52" t="str">
        <f>VLOOKUP(Tabla3[[#This Row],[Site]],'Important Info!'!$A$1:$F$135,4,FALSE)</f>
        <v>-</v>
      </c>
      <c r="O1172" s="52" t="str">
        <f>VLOOKUP(Tabla3[[#This Row],[Site]],'Important Info!'!$A$1:$F$135,5,FALSE)</f>
        <v>1, 7, 11</v>
      </c>
      <c r="P1172" s="52" t="str">
        <f>VLOOKUP(Tabla3[[#This Row],[Site]],'Important Info!'!$A$1:$F$135,6,FALSE)</f>
        <v>-</v>
      </c>
      <c r="Q1172" s="91">
        <f>VLOOKUP(Tabla3[[#This Row],[Site]],'Important Info!'!$A$1:$J$135,9,FALSE)</f>
        <v>145</v>
      </c>
    </row>
    <row r="1173" spans="1:17" x14ac:dyDescent="0.25">
      <c r="A1173" t="str">
        <f>+Tabla3[[#This Row],[Site]]&amp;Tabla3[[#This Row],[Split]]</f>
        <v>(KG) Texan CDJR14</v>
      </c>
      <c r="B1173">
        <v>14</v>
      </c>
      <c r="C1173">
        <v>2</v>
      </c>
      <c r="D1173" t="s">
        <v>33</v>
      </c>
      <c r="E1173" t="s">
        <v>46</v>
      </c>
      <c r="F1173" t="s">
        <v>70</v>
      </c>
      <c r="G1173" t="s">
        <v>34</v>
      </c>
      <c r="H1173" s="52" t="str">
        <f>VLOOKUP(Tabla3[[#This Row],[Site]],'Important Info!'!$A$1:$J$135,10,FALSE)</f>
        <v>https://tools.sig.systems/site/details/238</v>
      </c>
      <c r="I1173" s="2" t="s">
        <v>137</v>
      </c>
      <c r="J1173" t="s">
        <v>41</v>
      </c>
      <c r="K1173" s="79" t="str">
        <f>VLOOKUP(Tabla3[[#This Row],[Site]],'Important Info!'!$A$1:$H$135,8,FALSE)</f>
        <v>-</v>
      </c>
      <c r="L1173" s="52" t="str">
        <f>VLOOKUP(Tabla3[[#This Row],[Site]],'Important Info!'!$A$1:$F$135,2,FALSE)</f>
        <v>11, 12, 13, 14, 20, 32, 34, 36, 77</v>
      </c>
      <c r="M1173" s="52" t="str">
        <f>VLOOKUP(Tabla3[[#This Row],[Site]],'Important Info!'!$A$1:$F$135,3,FALSE)</f>
        <v>-</v>
      </c>
      <c r="N1173" s="52" t="str">
        <f>VLOOKUP(Tabla3[[#This Row],[Site]],'Important Info!'!$A$1:$F$135,4,FALSE)</f>
        <v>67, 68, 69, 70</v>
      </c>
      <c r="O1173" s="52" t="str">
        <f>VLOOKUP(Tabla3[[#This Row],[Site]],'Important Info!'!$A$1:$F$135,5,FALSE)</f>
        <v>2, 10, 14, 25, 29, 35, 38</v>
      </c>
      <c r="P1173" s="52" t="str">
        <f>VLOOKUP(Tabla3[[#This Row],[Site]],'Important Info!'!$A$1:$F$135,6,FALSE)</f>
        <v>36, 46</v>
      </c>
      <c r="Q1173" s="91">
        <f>VLOOKUP(Tabla3[[#This Row],[Site]],'Important Info!'!$A$1:$J$135,9,FALSE)</f>
        <v>238</v>
      </c>
    </row>
    <row r="1174" spans="1:17" x14ac:dyDescent="0.25">
      <c r="A1174" t="str">
        <f>+Tabla3[[#This Row],[Site]]&amp;Tabla3[[#This Row],[Split]]</f>
        <v>(ML) Columbia Honda (NO TOURS)14</v>
      </c>
      <c r="B1174">
        <v>14</v>
      </c>
      <c r="C1174">
        <v>2</v>
      </c>
      <c r="D1174" t="s">
        <v>33</v>
      </c>
      <c r="E1174" t="s">
        <v>46</v>
      </c>
      <c r="F1174" t="s">
        <v>143</v>
      </c>
      <c r="G1174" t="s">
        <v>34</v>
      </c>
      <c r="H1174" s="52" t="str">
        <f>VLOOKUP(Tabla3[[#This Row],[Site]],'Important Info!'!$A$1:$J$135,10,FALSE)</f>
        <v>https://tools.sig.systems/site/details/272</v>
      </c>
      <c r="I1174" s="66" t="s">
        <v>144</v>
      </c>
      <c r="J1174" t="s">
        <v>41</v>
      </c>
      <c r="K1174" s="79" t="str">
        <f>VLOOKUP(Tabla3[[#This Row],[Site]],'Important Info!'!$A$1:$H$135,8,FALSE)</f>
        <v>-</v>
      </c>
      <c r="L1174" s="52" t="str">
        <f>VLOOKUP(Tabla3[[#This Row],[Site]],'Important Info!'!$A$1:$F$135,2,FALSE)</f>
        <v>-</v>
      </c>
      <c r="M1174" s="52" t="str">
        <f>VLOOKUP(Tabla3[[#This Row],[Site]],'Important Info!'!$A$1:$F$135,3,FALSE)</f>
        <v>9, 19, 20</v>
      </c>
      <c r="N1174" s="52" t="str">
        <f>VLOOKUP(Tabla3[[#This Row],[Site]],'Important Info!'!$A$1:$F$135,4,FALSE)</f>
        <v>-</v>
      </c>
      <c r="O1174" s="52" t="str">
        <f>VLOOKUP(Tabla3[[#This Row],[Site]],'Important Info!'!$A$1:$F$135,5,FALSE)</f>
        <v>10, 17, 19</v>
      </c>
      <c r="P1174" s="52" t="str">
        <f>VLOOKUP(Tabla3[[#This Row],[Site]],'Important Info!'!$A$1:$F$135,6,FALSE)</f>
        <v>3, 4, 5</v>
      </c>
      <c r="Q1174" s="91">
        <f>VLOOKUP(Tabla3[[#This Row],[Site]],'Important Info!'!$A$1:$J$135,9,FALSE)</f>
        <v>272</v>
      </c>
    </row>
    <row r="1175" spans="1:17" x14ac:dyDescent="0.25">
      <c r="A1175" t="str">
        <f>+Tabla3[[#This Row],[Site]]&amp;Tabla3[[#This Row],[Split]]</f>
        <v>(ML) McLarty Gray-Daniels Toyota Nissan14</v>
      </c>
      <c r="B1175">
        <v>14</v>
      </c>
      <c r="C1175">
        <v>2</v>
      </c>
      <c r="D1175" t="s">
        <v>33</v>
      </c>
      <c r="E1175" t="s">
        <v>46</v>
      </c>
      <c r="F1175" t="s">
        <v>90</v>
      </c>
      <c r="G1175" t="s">
        <v>34</v>
      </c>
      <c r="H1175" s="52" t="str">
        <f>VLOOKUP(Tabla3[[#This Row],[Site]],'Important Info!'!$A$1:$J$135,10,FALSE)</f>
        <v>https://tools.sig.systems/site/details/152</v>
      </c>
      <c r="I1175" s="2" t="s">
        <v>150</v>
      </c>
      <c r="J1175" t="s">
        <v>41</v>
      </c>
      <c r="K1175" s="79" t="str">
        <f>VLOOKUP(Tabla3[[#This Row],[Site]],'Important Info!'!$A$1:$H$135,8,FALSE)</f>
        <v>-</v>
      </c>
      <c r="L1175" s="52" t="str">
        <f>VLOOKUP(Tabla3[[#This Row],[Site]],'Important Info!'!$A$1:$F$135,2,FALSE)</f>
        <v>-</v>
      </c>
      <c r="M1175" s="52" t="str">
        <f>VLOOKUP(Tabla3[[#This Row],[Site]],'Important Info!'!$A$1:$F$135,3,FALSE)</f>
        <v>8, 11, 39, 43</v>
      </c>
      <c r="N1175" s="52" t="str">
        <f>VLOOKUP(Tabla3[[#This Row],[Site]],'Important Info!'!$A$1:$F$135,4,FALSE)</f>
        <v>-</v>
      </c>
      <c r="O1175" s="52" t="str">
        <f>VLOOKUP(Tabla3[[#This Row],[Site]],'Important Info!'!$A$1:$F$135,5,FALSE)</f>
        <v>6, 11, 15, 18</v>
      </c>
      <c r="P1175" s="52" t="str">
        <f>VLOOKUP(Tabla3[[#This Row],[Site]],'Important Info!'!$A$1:$F$135,6,FALSE)</f>
        <v>7, 8, 9</v>
      </c>
      <c r="Q1175" s="91">
        <f>VLOOKUP(Tabla3[[#This Row],[Site]],'Important Info!'!$A$1:$J$135,9,FALSE)</f>
        <v>152</v>
      </c>
    </row>
    <row r="1176" spans="1:17" x14ac:dyDescent="0.25">
      <c r="A1176" t="str">
        <f>+Tabla3[[#This Row],[Site]]&amp;Tabla3[[#This Row],[Split]]</f>
        <v>(RV) Toms Camperland Mesa (NO TOURS)14</v>
      </c>
      <c r="B1176">
        <v>14</v>
      </c>
      <c r="C1176">
        <v>2</v>
      </c>
      <c r="D1176" t="s">
        <v>51</v>
      </c>
      <c r="E1176" t="s">
        <v>161</v>
      </c>
      <c r="F1176" t="s">
        <v>81</v>
      </c>
      <c r="G1176" t="s">
        <v>52</v>
      </c>
      <c r="H1176" s="52" t="str">
        <f>VLOOKUP(Tabla3[[#This Row],[Site]],'Important Info!'!$A$1:$J$135,10,FALSE)</f>
        <v>https://tools.sig.systems/site/details/222</v>
      </c>
      <c r="J1176" t="s">
        <v>41</v>
      </c>
      <c r="K1176" s="79" t="str">
        <f>VLOOKUP(Tabla3[[#This Row],[Site]],'Important Info!'!$A$1:$H$135,8,FALSE)</f>
        <v>-</v>
      </c>
      <c r="L1176" s="52" t="str">
        <f>VLOOKUP(Tabla3[[#This Row],[Site]],'Important Info!'!$A$1:$F$135,2,FALSE)</f>
        <v>1, 2</v>
      </c>
      <c r="M1176" s="52" t="str">
        <f>VLOOKUP(Tabla3[[#This Row],[Site]],'Important Info!'!$A$1:$F$135,3,FALSE)</f>
        <v>-</v>
      </c>
      <c r="N1176" s="52" t="str">
        <f>VLOOKUP(Tabla3[[#This Row],[Site]],'Important Info!'!$A$1:$F$135,4,FALSE)</f>
        <v>-</v>
      </c>
      <c r="O1176" s="52" t="str">
        <f>VLOOKUP(Tabla3[[#This Row],[Site]],'Important Info!'!$A$1:$F$135,5,FALSE)</f>
        <v>-</v>
      </c>
      <c r="P1176" s="52" t="str">
        <f>VLOOKUP(Tabla3[[#This Row],[Site]],'Important Info!'!$A$1:$F$135,6,FALSE)</f>
        <v>1, 4, 6, 8, 10, 18</v>
      </c>
      <c r="Q1176" s="91">
        <f>VLOOKUP(Tabla3[[#This Row],[Site]],'Important Info!'!$A$1:$J$135,9,FALSE)</f>
        <v>222</v>
      </c>
    </row>
    <row r="1177" spans="1:17" x14ac:dyDescent="0.25">
      <c r="A1177" t="str">
        <f>+Tabla3[[#This Row],[Site]]&amp;Tabla3[[#This Row],[Split]]</f>
        <v>(SCH) Chevrolet North Palm14</v>
      </c>
      <c r="B1177">
        <v>14</v>
      </c>
      <c r="C1177">
        <v>2</v>
      </c>
      <c r="D1177" t="s">
        <v>62</v>
      </c>
      <c r="E1177" t="s">
        <v>35</v>
      </c>
      <c r="F1177" t="s">
        <v>101</v>
      </c>
      <c r="G1177" t="s">
        <v>490</v>
      </c>
      <c r="H1177" s="52" t="str">
        <f>VLOOKUP(Tabla3[[#This Row],[Site]],'Important Info!'!$A$1:$J$135,10,FALSE)</f>
        <v>https://tools.sig.systems/site/details/160</v>
      </c>
      <c r="I1177" s="43"/>
      <c r="J1177" t="s">
        <v>36</v>
      </c>
      <c r="K1177" s="79" t="str">
        <f>VLOOKUP(Tabla3[[#This Row],[Site]],'Important Info!'!$A$1:$H$135,8,FALSE)</f>
        <v>-</v>
      </c>
      <c r="L1177" s="52" t="str">
        <f>VLOOKUP(Tabla3[[#This Row],[Site]],'Important Info!'!$A$1:$F$135,2,FALSE)</f>
        <v xml:space="preserve">7, 10B, 11, 15 </v>
      </c>
      <c r="M1177" s="52" t="str">
        <f>VLOOKUP(Tabla3[[#This Row],[Site]],'Important Info!'!$A$1:$F$135,3,FALSE)</f>
        <v>-</v>
      </c>
      <c r="N1177" s="52" t="str">
        <f>VLOOKUP(Tabla3[[#This Row],[Site]],'Important Info!'!$A$1:$F$135,4,FALSE)</f>
        <v>-</v>
      </c>
      <c r="O1177" s="52" t="str">
        <f>VLOOKUP(Tabla3[[#This Row],[Site]],'Important Info!'!$A$1:$F$135,5,FALSE)</f>
        <v>-</v>
      </c>
      <c r="P1177" s="52" t="str">
        <f>VLOOKUP(Tabla3[[#This Row],[Site]],'Important Info!'!$A$1:$F$135,6,FALSE)</f>
        <v>1, 15, 16, 17, 18, 19, 20</v>
      </c>
      <c r="Q1177" s="91">
        <f>VLOOKUP(Tabla3[[#This Row],[Site]],'Important Info!'!$A$1:$J$135,9,FALSE)</f>
        <v>160</v>
      </c>
    </row>
    <row r="1178" spans="1:17" x14ac:dyDescent="0.25">
      <c r="A1178" t="str">
        <f>+Tabla3[[#This Row],[Site]]&amp;Tabla3[[#This Row],[Split]]</f>
        <v>(AS) Bill Estes Ford (NO TOURS)14</v>
      </c>
      <c r="B1178">
        <v>14</v>
      </c>
      <c r="C1178">
        <v>3</v>
      </c>
      <c r="D1178" t="s">
        <v>62</v>
      </c>
      <c r="E1178" t="s">
        <v>35</v>
      </c>
      <c r="F1178" t="s">
        <v>178</v>
      </c>
      <c r="G1178" t="s">
        <v>490</v>
      </c>
      <c r="H1178" s="52" t="str">
        <f>VLOOKUP(Tabla3[[#This Row],[Site]],'Important Info!'!$A$1:$J$135,10,FALSE)</f>
        <v>https://tools.sig.systems/site/details/125</v>
      </c>
      <c r="I1178" s="64"/>
      <c r="J1178" t="s">
        <v>41</v>
      </c>
      <c r="K1178" s="79" t="str">
        <f>VLOOKUP(Tabla3[[#This Row],[Site]],'Important Info!'!$A$1:$H$135,8,FALSE)</f>
        <v>-</v>
      </c>
      <c r="L1178" s="52" t="str">
        <f>VLOOKUP(Tabla3[[#This Row],[Site]],'Important Info!'!$A$1:$F$135,2,FALSE)</f>
        <v>-</v>
      </c>
      <c r="M1178" s="52" t="str">
        <f>VLOOKUP(Tabla3[[#This Row],[Site]],'Important Info!'!$A$1:$F$135,3,FALSE)</f>
        <v>2, 3, 13, 16</v>
      </c>
      <c r="N1178" s="52" t="str">
        <f>VLOOKUP(Tabla3[[#This Row],[Site]],'Important Info!'!$A$1:$F$135,4,FALSE)</f>
        <v>-</v>
      </c>
      <c r="O1178" s="52" t="str">
        <f>VLOOKUP(Tabla3[[#This Row],[Site]],'Important Info!'!$A$1:$F$135,5,FALSE)</f>
        <v>1, 10, 14, 19</v>
      </c>
      <c r="P1178" s="52" t="str">
        <f>VLOOKUP(Tabla3[[#This Row],[Site]],'Important Info!'!$A$1:$F$135,6,FALSE)</f>
        <v>7, 8, 9, 10, 11, 12, 14</v>
      </c>
      <c r="Q1178" s="91">
        <f>VLOOKUP(Tabla3[[#This Row],[Site]],'Important Info!'!$A$1:$J$135,9,FALSE)</f>
        <v>125</v>
      </c>
    </row>
    <row r="1179" spans="1:17" x14ac:dyDescent="0.25">
      <c r="A1179" t="str">
        <f>+Tabla3[[#This Row],[Site]]&amp;Tabla3[[#This Row],[Split]]</f>
        <v>(AS) Park Place Mercedes Benz Arlington (NO TOURS)14</v>
      </c>
      <c r="B1179">
        <v>14</v>
      </c>
      <c r="C1179">
        <v>3</v>
      </c>
      <c r="D1179" t="s">
        <v>33</v>
      </c>
      <c r="E1179" t="s">
        <v>46</v>
      </c>
      <c r="F1179" t="s">
        <v>518</v>
      </c>
      <c r="G1179" t="s">
        <v>34</v>
      </c>
      <c r="H1179" s="52" t="str">
        <f>VLOOKUP(Tabla3[[#This Row],[Site]],'Important Info!'!$A$1:$J$135,10,FALSE)</f>
        <v>https://tools.sig.systems/site/details/169</v>
      </c>
      <c r="J1179" t="s">
        <v>41</v>
      </c>
      <c r="K1179" s="79" t="str">
        <f>VLOOKUP(Tabla3[[#This Row],[Site]],'Important Info!'!$A$1:$H$135,8,FALSE)</f>
        <v>-</v>
      </c>
      <c r="L1179" s="52" t="str">
        <f>VLOOKUP(Tabla3[[#This Row],[Site]],'Important Info!'!$A$1:$F$135,2,FALSE)</f>
        <v>1, 9, 14</v>
      </c>
      <c r="M1179" s="52" t="str">
        <f>VLOOKUP(Tabla3[[#This Row],[Site]],'Important Info!'!$A$1:$F$135,3,FALSE)</f>
        <v>-</v>
      </c>
      <c r="N1179" s="52" t="str">
        <f>VLOOKUP(Tabla3[[#This Row],[Site]],'Important Info!'!$A$1:$F$135,4,FALSE)</f>
        <v>77, 78, 79, 80</v>
      </c>
      <c r="O1179" s="52" t="str">
        <f>VLOOKUP(Tabla3[[#This Row],[Site]],'Important Info!'!$A$1:$F$135,5,FALSE)</f>
        <v>2, 10, 18, 22, 31, 40</v>
      </c>
      <c r="P1179" s="52">
        <f>VLOOKUP(Tabla3[[#This Row],[Site]],'Important Info!'!$A$1:$F$135,6,FALSE)</f>
        <v>9</v>
      </c>
      <c r="Q1179" s="91">
        <f>VLOOKUP(Tabla3[[#This Row],[Site]],'Important Info!'!$A$1:$J$135,9,FALSE)</f>
        <v>169</v>
      </c>
    </row>
    <row r="1180" spans="1:17" x14ac:dyDescent="0.25">
      <c r="A1180" t="str">
        <f>+Tabla3[[#This Row],[Site]]&amp;Tabla3[[#This Row],[Split]]</f>
        <v>(HUD) Nissan Greensboro14</v>
      </c>
      <c r="B1180">
        <v>14</v>
      </c>
      <c r="C1180">
        <v>3</v>
      </c>
      <c r="D1180" t="s">
        <v>62</v>
      </c>
      <c r="E1180" t="s">
        <v>35</v>
      </c>
      <c r="F1180" t="s">
        <v>66</v>
      </c>
      <c r="G1180" t="s">
        <v>490</v>
      </c>
      <c r="H1180" s="52" t="str">
        <f>VLOOKUP(Tabla3[[#This Row],[Site]],'Important Info!'!$A$1:$J$135,10,FALSE)</f>
        <v>https://tools.sig.systems/site/details/236</v>
      </c>
      <c r="I1180" s="43" t="s">
        <v>184</v>
      </c>
      <c r="J1180" t="s">
        <v>41</v>
      </c>
      <c r="K1180" s="79" t="str">
        <f>VLOOKUP(Tabla3[[#This Row],[Site]],'Important Info!'!$A$1:$H$135,8,FALSE)</f>
        <v>-</v>
      </c>
      <c r="L1180" s="52" t="str">
        <f>VLOOKUP(Tabla3[[#This Row],[Site]],'Important Info!'!$A$1:$F$135,2,FALSE)</f>
        <v>1, 5, 12</v>
      </c>
      <c r="M1180" s="52" t="str">
        <f>VLOOKUP(Tabla3[[#This Row],[Site]],'Important Info!'!$A$1:$F$135,3,FALSE)</f>
        <v>-</v>
      </c>
      <c r="N1180" s="52" t="str">
        <f>VLOOKUP(Tabla3[[#This Row],[Site]],'Important Info!'!$A$1:$F$135,4,FALSE)</f>
        <v>-</v>
      </c>
      <c r="O1180" s="52" t="str">
        <f>VLOOKUP(Tabla3[[#This Row],[Site]],'Important Info!'!$A$1:$F$135,5,FALSE)</f>
        <v>-</v>
      </c>
      <c r="P1180" s="52">
        <f>VLOOKUP(Tabla3[[#This Row],[Site]],'Important Info!'!$A$1:$F$135,6,FALSE)</f>
        <v>4</v>
      </c>
      <c r="Q1180" s="91">
        <f>VLOOKUP(Tabla3[[#This Row],[Site]],'Important Info!'!$A$1:$J$135,9,FALSE)</f>
        <v>236</v>
      </c>
    </row>
    <row r="1181" spans="1:17" x14ac:dyDescent="0.25">
      <c r="A1181" t="str">
        <f>+Tabla3[[#This Row],[Site]]&amp;Tabla3[[#This Row],[Split]]</f>
        <v>(KG) Hyundai Surprise14</v>
      </c>
      <c r="B1181">
        <v>14</v>
      </c>
      <c r="C1181">
        <v>3</v>
      </c>
      <c r="D1181" t="s">
        <v>51</v>
      </c>
      <c r="E1181" t="s">
        <v>161</v>
      </c>
      <c r="F1181" t="s">
        <v>118</v>
      </c>
      <c r="G1181" t="s">
        <v>52</v>
      </c>
      <c r="H1181" s="52" t="str">
        <f>VLOOKUP(Tabla3[[#This Row],[Site]],'Important Info!'!$A$1:$J$135,10,FALSE)</f>
        <v>https://tools.sig.systems/site/details/269</v>
      </c>
      <c r="I1181" s="2"/>
      <c r="J1181" t="s">
        <v>162</v>
      </c>
      <c r="K1181" s="79" t="str">
        <f>VLOOKUP(Tabla3[[#This Row],[Site]],'Important Info!'!$A$1:$H$135,8,FALSE)</f>
        <v>-</v>
      </c>
      <c r="L1181" s="52" t="str">
        <f>VLOOKUP(Tabla3[[#This Row],[Site]],'Important Info!'!$A$1:$F$135,2,FALSE)</f>
        <v>1, 6, 7</v>
      </c>
      <c r="M1181" s="52" t="str">
        <f>VLOOKUP(Tabla3[[#This Row],[Site]],'Important Info!'!$A$1:$F$135,3,FALSE)</f>
        <v>-</v>
      </c>
      <c r="N1181" s="52" t="str">
        <f>VLOOKUP(Tabla3[[#This Row],[Site]],'Important Info!'!$A$1:$F$135,4,FALSE)</f>
        <v>-</v>
      </c>
      <c r="O1181" s="52" t="str">
        <f>VLOOKUP(Tabla3[[#This Row],[Site]],'Important Info!'!$A$1:$F$135,5,FALSE)</f>
        <v>6, 13</v>
      </c>
      <c r="P1181" s="52" t="str">
        <f>VLOOKUP(Tabla3[[#This Row],[Site]],'Important Info!'!$A$1:$F$135,6,FALSE)</f>
        <v>-</v>
      </c>
      <c r="Q1181" s="91">
        <f>VLOOKUP(Tabla3[[#This Row],[Site]],'Important Info!'!$A$1:$J$135,9,FALSE)</f>
        <v>269</v>
      </c>
    </row>
    <row r="1182" spans="1:17" x14ac:dyDescent="0.25">
      <c r="A1182" t="str">
        <f>+Tabla3[[#This Row],[Site]]&amp;Tabla3[[#This Row],[Split]]</f>
        <v>(KG) Texan GMC Buick (NO TOURS)14</v>
      </c>
      <c r="B1182">
        <v>14</v>
      </c>
      <c r="C1182">
        <v>3</v>
      </c>
      <c r="D1182" t="s">
        <v>33</v>
      </c>
      <c r="E1182" t="s">
        <v>46</v>
      </c>
      <c r="F1182" t="s">
        <v>111</v>
      </c>
      <c r="G1182" t="s">
        <v>34</v>
      </c>
      <c r="H1182" s="52" t="str">
        <f>VLOOKUP(Tabla3[[#This Row],[Site]],'Important Info!'!$A$1:$J$135,10,FALSE)</f>
        <v>https://tools.sig.systems/site/details/225</v>
      </c>
      <c r="I1182" s="2" t="s">
        <v>137</v>
      </c>
      <c r="J1182" t="s">
        <v>41</v>
      </c>
      <c r="K1182" s="79" t="str">
        <f>VLOOKUP(Tabla3[[#This Row],[Site]],'Important Info!'!$A$1:$H$135,8,FALSE)</f>
        <v>-</v>
      </c>
      <c r="L1182" s="52" t="str">
        <f>VLOOKUP(Tabla3[[#This Row],[Site]],'Important Info!'!$A$1:$F$135,2,FALSE)</f>
        <v>1, 20, 53</v>
      </c>
      <c r="M1182" s="52" t="str">
        <f>VLOOKUP(Tabla3[[#This Row],[Site]],'Important Info!'!$A$1:$F$135,3,FALSE)</f>
        <v>-</v>
      </c>
      <c r="N1182" s="52" t="str">
        <f>VLOOKUP(Tabla3[[#This Row],[Site]],'Important Info!'!$A$1:$F$135,4,FALSE)</f>
        <v>-</v>
      </c>
      <c r="O1182" s="52" t="str">
        <f>VLOOKUP(Tabla3[[#This Row],[Site]],'Important Info!'!$A$1:$F$135,5,FALSE)</f>
        <v>2, 8, 14</v>
      </c>
      <c r="P1182" s="52" t="str">
        <f>VLOOKUP(Tabla3[[#This Row],[Site]],'Important Info!'!$A$1:$F$135,6,FALSE)</f>
        <v>51, 52, 16</v>
      </c>
      <c r="Q1182" s="91">
        <f>VLOOKUP(Tabla3[[#This Row],[Site]],'Important Info!'!$A$1:$J$135,9,FALSE)</f>
        <v>225</v>
      </c>
    </row>
    <row r="1183" spans="1:17" x14ac:dyDescent="0.25">
      <c r="A1183" t="str">
        <f>+Tabla3[[#This Row],[Site]]&amp;Tabla3[[#This Row],[Split]]</f>
        <v>(LM) Luther Mazda / Mitsubishi14</v>
      </c>
      <c r="B1183">
        <v>14</v>
      </c>
      <c r="C1183">
        <v>3</v>
      </c>
      <c r="D1183" t="s">
        <v>33</v>
      </c>
      <c r="E1183" t="s">
        <v>46</v>
      </c>
      <c r="F1183" t="s">
        <v>103</v>
      </c>
      <c r="G1183" t="s">
        <v>34</v>
      </c>
      <c r="H1183" s="52" t="str">
        <f>VLOOKUP(Tabla3[[#This Row],[Site]],'Important Info!'!$A$1:$J$135,10,FALSE)</f>
        <v>https://tools.sig.systems/site/details/147</v>
      </c>
      <c r="I1183" s="2" t="s">
        <v>138</v>
      </c>
      <c r="J1183" t="s">
        <v>41</v>
      </c>
      <c r="K1183" s="79" t="str">
        <f>VLOOKUP(Tabla3[[#This Row],[Site]],'Important Info!'!$A$1:$H$135,8,FALSE)</f>
        <v>-</v>
      </c>
      <c r="L1183" s="52" t="str">
        <f>VLOOKUP(Tabla3[[#This Row],[Site]],'Important Info!'!$A$1:$F$135,2,FALSE)</f>
        <v>4, 5, 6</v>
      </c>
      <c r="M1183" s="52" t="str">
        <f>VLOOKUP(Tabla3[[#This Row],[Site]],'Important Info!'!$A$1:$F$135,3,FALSE)</f>
        <v>-</v>
      </c>
      <c r="N1183" s="52" t="str">
        <f>VLOOKUP(Tabla3[[#This Row],[Site]],'Important Info!'!$A$1:$F$135,4,FALSE)</f>
        <v>1, 2</v>
      </c>
      <c r="O1183" s="52" t="str">
        <f>VLOOKUP(Tabla3[[#This Row],[Site]],'Important Info!'!$A$1:$F$135,5,FALSE)</f>
        <v>-</v>
      </c>
      <c r="P1183" s="52" t="str">
        <f>VLOOKUP(Tabla3[[#This Row],[Site]],'Important Info!'!$A$1:$F$135,6,FALSE)</f>
        <v>13, 14, 15, 16</v>
      </c>
      <c r="Q1183" s="91">
        <f>VLOOKUP(Tabla3[[#This Row],[Site]],'Important Info!'!$A$1:$J$135,9,FALSE)</f>
        <v>147</v>
      </c>
    </row>
    <row r="1184" spans="1:17" x14ac:dyDescent="0.25">
      <c r="A1184" t="str">
        <f>+Tabla3[[#This Row],[Site]]&amp;Tabla3[[#This Row],[Split]]</f>
        <v>(ML) Joe Machens CDJR14</v>
      </c>
      <c r="B1184">
        <v>14</v>
      </c>
      <c r="C1184">
        <v>3</v>
      </c>
      <c r="D1184" t="s">
        <v>33</v>
      </c>
      <c r="E1184" t="s">
        <v>46</v>
      </c>
      <c r="F1184" t="s">
        <v>88</v>
      </c>
      <c r="G1184" t="s">
        <v>34</v>
      </c>
      <c r="H1184" s="52" t="str">
        <f>VLOOKUP(Tabla3[[#This Row],[Site]],'Important Info!'!$A$1:$J$135,10,FALSE)</f>
        <v>https://tools.sig.systems/site/details/273</v>
      </c>
      <c r="I1184" s="43" t="s">
        <v>146</v>
      </c>
      <c r="J1184" t="s">
        <v>41</v>
      </c>
      <c r="K1184" s="79" t="str">
        <f>VLOOKUP(Tabla3[[#This Row],[Site]],'Important Info!'!$A$1:$H$135,8,FALSE)</f>
        <v>-</v>
      </c>
      <c r="L1184" s="52" t="str">
        <f>VLOOKUP(Tabla3[[#This Row],[Site]],'Important Info!'!$A$1:$F$135,2,FALSE)</f>
        <v>-</v>
      </c>
      <c r="M1184" s="52">
        <f>VLOOKUP(Tabla3[[#This Row],[Site]],'Important Info!'!$A$1:$F$135,3,FALSE)</f>
        <v>3</v>
      </c>
      <c r="N1184" s="52" t="str">
        <f>VLOOKUP(Tabla3[[#This Row],[Site]],'Important Info!'!$A$1:$F$135,4,FALSE)</f>
        <v>-</v>
      </c>
      <c r="O1184" s="52" t="str">
        <f>VLOOKUP(Tabla3[[#This Row],[Site]],'Important Info!'!$A$1:$F$135,5,FALSE)</f>
        <v>-</v>
      </c>
      <c r="P1184" s="52" t="str">
        <f>VLOOKUP(Tabla3[[#This Row],[Site]],'Important Info!'!$A$1:$F$135,6,FALSE)</f>
        <v>1, 2, 3,</v>
      </c>
      <c r="Q1184" s="91">
        <f>VLOOKUP(Tabla3[[#This Row],[Site]],'Important Info!'!$A$1:$J$135,9,FALSE)</f>
        <v>273</v>
      </c>
    </row>
    <row r="1185" spans="1:17" x14ac:dyDescent="0.25">
      <c r="A1185" t="str">
        <f>+Tabla3[[#This Row],[Site]]&amp;Tabla3[[#This Row],[Split]]</f>
        <v>(RV) Toms Camperland Surprise (NO TOURS)14</v>
      </c>
      <c r="B1185">
        <v>14</v>
      </c>
      <c r="C1185">
        <v>3</v>
      </c>
      <c r="D1185" t="s">
        <v>51</v>
      </c>
      <c r="E1185" t="s">
        <v>161</v>
      </c>
      <c r="F1185" t="s">
        <v>165</v>
      </c>
      <c r="G1185" t="s">
        <v>52</v>
      </c>
      <c r="H1185" s="52" t="str">
        <f>VLOOKUP(Tabla3[[#This Row],[Site]],'Important Info!'!$A$1:$J$135,10,FALSE)</f>
        <v>https://tools.sig.systems/site/details/254</v>
      </c>
      <c r="I1185" s="43"/>
      <c r="J1185" t="s">
        <v>52</v>
      </c>
      <c r="K1185" s="79" t="str">
        <f>VLOOKUP(Tabla3[[#This Row],[Site]],'Important Info!'!$A$1:$H$135,8,FALSE)</f>
        <v>-</v>
      </c>
      <c r="L1185" s="52" t="str">
        <f>VLOOKUP(Tabla3[[#This Row],[Site]],'Important Info!'!$A$1:$F$135,2,FALSE)</f>
        <v>1, 3, 4</v>
      </c>
      <c r="M1185" s="52" t="str">
        <f>VLOOKUP(Tabla3[[#This Row],[Site]],'Important Info!'!$A$1:$F$135,3,FALSE)</f>
        <v>-</v>
      </c>
      <c r="N1185" s="52" t="str">
        <f>VLOOKUP(Tabla3[[#This Row],[Site]],'Important Info!'!$A$1:$F$135,4,FALSE)</f>
        <v>-</v>
      </c>
      <c r="O1185" s="52" t="str">
        <f>VLOOKUP(Tabla3[[#This Row],[Site]],'Important Info!'!$A$1:$F$135,5,FALSE)</f>
        <v>-</v>
      </c>
      <c r="P1185" s="52" t="str">
        <f>VLOOKUP(Tabla3[[#This Row],[Site]],'Important Info!'!$A$1:$F$135,6,FALSE)</f>
        <v>1, 2, 3, 4, 15</v>
      </c>
      <c r="Q1185" s="91">
        <f>VLOOKUP(Tabla3[[#This Row],[Site]],'Important Info!'!$A$1:$J$135,9,FALSE)</f>
        <v>254</v>
      </c>
    </row>
    <row r="1186" spans="1:17" x14ac:dyDescent="0.25">
      <c r="A1186" t="str">
        <f>+Tabla3[[#This Row],[Site]]&amp;Tabla3[[#This Row],[Split]]</f>
        <v>SIG Office14</v>
      </c>
      <c r="B1186">
        <v>14</v>
      </c>
      <c r="C1186">
        <v>3</v>
      </c>
      <c r="D1186" t="s">
        <v>60</v>
      </c>
      <c r="E1186" t="s">
        <v>35</v>
      </c>
      <c r="F1186" t="s">
        <v>169</v>
      </c>
      <c r="G1186" t="s">
        <v>41</v>
      </c>
      <c r="H1186" s="52" t="str">
        <f>VLOOKUP(Tabla3[[#This Row],[Site]],'Important Info!'!$A$1:$J$135,10,FALSE)</f>
        <v>https://tools.sig.systems/site/details/163</v>
      </c>
      <c r="J1186" t="s">
        <v>41</v>
      </c>
      <c r="K1186" s="79" t="str">
        <f>VLOOKUP(Tabla3[[#This Row],[Site]],'Important Info!'!$A$1:$H$135,8,FALSE)</f>
        <v>-</v>
      </c>
      <c r="L1186" s="52" t="str">
        <f>VLOOKUP(Tabla3[[#This Row],[Site]],'Important Info!'!$A$1:$F$135,2,FALSE)</f>
        <v>-</v>
      </c>
      <c r="M1186" s="52" t="str">
        <f>VLOOKUP(Tabla3[[#This Row],[Site]],'Important Info!'!$A$1:$F$135,3,FALSE)</f>
        <v>-</v>
      </c>
      <c r="N1186" s="52" t="str">
        <f>VLOOKUP(Tabla3[[#This Row],[Site]],'Important Info!'!$A$1:$F$135,4,FALSE)</f>
        <v>-</v>
      </c>
      <c r="O1186" s="52" t="str">
        <f>VLOOKUP(Tabla3[[#This Row],[Site]],'Important Info!'!$A$1:$F$135,5,FALSE)</f>
        <v>-</v>
      </c>
      <c r="P1186" s="52">
        <f>VLOOKUP(Tabla3[[#This Row],[Site]],'Important Info!'!$A$1:$F$135,6,FALSE)</f>
        <v>25</v>
      </c>
      <c r="Q1186" s="91">
        <f>VLOOKUP(Tabla3[[#This Row],[Site]],'Important Info!'!$A$1:$J$135,9,FALSE)</f>
        <v>163</v>
      </c>
    </row>
    <row r="1187" spans="1:17" x14ac:dyDescent="0.25">
      <c r="A1187" t="str">
        <f>+Tabla3[[#This Row],[Site]]&amp;Tabla3[[#This Row],[Split]]</f>
        <v>(AS) Lexus Plano I &amp; II (NO TOURS)14</v>
      </c>
      <c r="B1187">
        <v>14</v>
      </c>
      <c r="C1187">
        <v>4</v>
      </c>
      <c r="D1187" t="s">
        <v>33</v>
      </c>
      <c r="E1187" t="s">
        <v>46</v>
      </c>
      <c r="F1187" t="s">
        <v>524</v>
      </c>
      <c r="G1187" t="s">
        <v>34</v>
      </c>
      <c r="H1187" s="52" t="str">
        <f>VLOOKUP(Tabla3[[#This Row],[Site]],'Important Info!'!$A$1:$J$135,10,FALSE)</f>
        <v>https://tools.sig.systems/site/details/167</v>
      </c>
      <c r="I1187" s="63" t="s">
        <v>127</v>
      </c>
      <c r="J1187" t="s">
        <v>41</v>
      </c>
      <c r="K1187" s="79" t="str">
        <f>VLOOKUP(Tabla3[[#This Row],[Site]],'Important Info!'!$A$1:$H$135,8,FALSE)</f>
        <v>-</v>
      </c>
      <c r="L1187" s="52" t="str">
        <f>VLOOKUP(Tabla3[[#This Row],[Site]],'Important Info!'!$A$1:$F$135,2,FALSE)</f>
        <v>5, 9</v>
      </c>
      <c r="M1187" s="52" t="str">
        <f>VLOOKUP(Tabla3[[#This Row],[Site]],'Important Info!'!$A$1:$F$135,3,FALSE)</f>
        <v>-</v>
      </c>
      <c r="N1187" s="52" t="str">
        <f>VLOOKUP(Tabla3[[#This Row],[Site]],'Important Info!'!$A$1:$F$135,4,FALSE)</f>
        <v>101, 102, 103, 104</v>
      </c>
      <c r="O1187" s="52" t="str">
        <f>VLOOKUP(Tabla3[[#This Row],[Site]],'Important Info!'!$A$1:$F$135,5,FALSE)</f>
        <v>4, 10, 28</v>
      </c>
      <c r="P1187" s="52" t="str">
        <f>VLOOKUP(Tabla3[[#This Row],[Site]],'Important Info!'!$A$1:$F$135,6,FALSE)</f>
        <v>5, 9, 16</v>
      </c>
      <c r="Q1187" s="91">
        <f>VLOOKUP(Tabla3[[#This Row],[Site]],'Important Info!'!$A$1:$J$135,9,FALSE)</f>
        <v>167</v>
      </c>
    </row>
    <row r="1188" spans="1:17" x14ac:dyDescent="0.25">
      <c r="A1188" t="str">
        <f>+Tabla3[[#This Row],[Site]]&amp;Tabla3[[#This Row],[Split]]</f>
        <v>(AS) Park Place Volvo Sales (NO TOURS)14</v>
      </c>
      <c r="B1188">
        <v>14</v>
      </c>
      <c r="C1188">
        <v>4</v>
      </c>
      <c r="D1188" t="s">
        <v>33</v>
      </c>
      <c r="E1188" t="s">
        <v>46</v>
      </c>
      <c r="F1188" t="s">
        <v>521</v>
      </c>
      <c r="G1188" t="s">
        <v>34</v>
      </c>
      <c r="H1188" s="52" t="str">
        <f>VLOOKUP(Tabla3[[#This Row],[Site]],'Important Info!'!$A$1:$J$135,10,FALSE)</f>
        <v>https://tools.sig.systems/site/details/139</v>
      </c>
      <c r="I1188" s="65" t="s">
        <v>125</v>
      </c>
      <c r="J1188" t="s">
        <v>41</v>
      </c>
      <c r="K1188" s="79" t="str">
        <f>VLOOKUP(Tabla3[[#This Row],[Site]],'Important Info!'!$A$1:$H$135,8,FALSE)</f>
        <v>-</v>
      </c>
      <c r="L1188" s="52" t="str">
        <f>VLOOKUP(Tabla3[[#This Row],[Site]],'Important Info!'!$A$1:$F$135,2,FALSE)</f>
        <v>4, 6, 9, 11</v>
      </c>
      <c r="M1188" s="52" t="str">
        <f>VLOOKUP(Tabla3[[#This Row],[Site]],'Important Info!'!$A$1:$F$135,3,FALSE)</f>
        <v>-</v>
      </c>
      <c r="N1188" s="52" t="str">
        <f>VLOOKUP(Tabla3[[#This Row],[Site]],'Important Info!'!$A$1:$F$135,4,FALSE)</f>
        <v>-</v>
      </c>
      <c r="O1188" s="52" t="str">
        <f>VLOOKUP(Tabla3[[#This Row],[Site]],'Important Info!'!$A$1:$F$135,5,FALSE)</f>
        <v>2, 9</v>
      </c>
      <c r="P1188" s="52" t="str">
        <f>VLOOKUP(Tabla3[[#This Row],[Site]],'Important Info!'!$A$1:$F$135,6,FALSE)</f>
        <v>4, 10, 11</v>
      </c>
      <c r="Q1188" s="91">
        <f>VLOOKUP(Tabla3[[#This Row],[Site]],'Important Info!'!$A$1:$J$135,9,FALSE)</f>
        <v>139</v>
      </c>
    </row>
    <row r="1189" spans="1:17" x14ac:dyDescent="0.25">
      <c r="A1189" t="str">
        <f>+Tabla3[[#This Row],[Site]]&amp;Tabla3[[#This Row],[Split]]</f>
        <v>(DT) Denver (NO TOURS)14</v>
      </c>
      <c r="B1189">
        <v>14</v>
      </c>
      <c r="C1189">
        <v>4</v>
      </c>
      <c r="D1189" t="s">
        <v>44</v>
      </c>
      <c r="E1189" t="s">
        <v>53</v>
      </c>
      <c r="F1189" t="s">
        <v>157</v>
      </c>
      <c r="G1189" t="s">
        <v>45</v>
      </c>
      <c r="H1189" s="52" t="str">
        <f>VLOOKUP(Tabla3[[#This Row],[Site]],'Important Info!'!$A$1:$J$135,10,FALSE)</f>
        <v>https://tools.sig.systems/site/details/203</v>
      </c>
      <c r="I1189" s="43" t="s">
        <v>158</v>
      </c>
      <c r="J1189" t="s">
        <v>41</v>
      </c>
      <c r="K1189" s="79" t="str">
        <f>VLOOKUP(Tabla3[[#This Row],[Site]],'Important Info!'!$A$1:$H$135,8,FALSE)</f>
        <v>-</v>
      </c>
      <c r="L1189" s="52" t="str">
        <f>VLOOKUP(Tabla3[[#This Row],[Site]],'Important Info!'!$A$1:$F$135,2,FALSE)</f>
        <v>-</v>
      </c>
      <c r="M1189" s="52" t="str">
        <f>VLOOKUP(Tabla3[[#This Row],[Site]],'Important Info!'!$A$1:$F$135,3,FALSE)</f>
        <v>7, 8</v>
      </c>
      <c r="N1189" s="52" t="str">
        <f>VLOOKUP(Tabla3[[#This Row],[Site]],'Important Info!'!$A$1:$F$135,4,FALSE)</f>
        <v>-</v>
      </c>
      <c r="O1189" s="52" t="str">
        <f>VLOOKUP(Tabla3[[#This Row],[Site]],'Important Info!'!$A$1:$F$135,5,FALSE)</f>
        <v>-</v>
      </c>
      <c r="P1189" s="52" t="str">
        <f>VLOOKUP(Tabla3[[#This Row],[Site]],'Important Info!'!$A$1:$F$135,6,FALSE)</f>
        <v>7, 8</v>
      </c>
      <c r="Q1189" s="91">
        <f>VLOOKUP(Tabla3[[#This Row],[Site]],'Important Info!'!$A$1:$J$135,9,FALSE)</f>
        <v>203</v>
      </c>
    </row>
    <row r="1190" spans="1:17" x14ac:dyDescent="0.25">
      <c r="A1190" t="str">
        <f>+Tabla3[[#This Row],[Site]]&amp;Tabla3[[#This Row],[Split]]</f>
        <v>(HUD) CDJR of Greensboro14</v>
      </c>
      <c r="B1190">
        <v>14</v>
      </c>
      <c r="C1190">
        <v>4</v>
      </c>
      <c r="D1190" t="s">
        <v>62</v>
      </c>
      <c r="E1190" t="s">
        <v>35</v>
      </c>
      <c r="F1190" t="s">
        <v>185</v>
      </c>
      <c r="G1190" t="s">
        <v>491</v>
      </c>
      <c r="H1190" s="52" t="str">
        <f>VLOOKUP(Tabla3[[#This Row],[Site]],'Important Info!'!$A$1:$J$135,10,FALSE)</f>
        <v>https://tools.sig.systems/site/details/215</v>
      </c>
      <c r="I1190" s="2" t="s">
        <v>184</v>
      </c>
      <c r="J1190" t="s">
        <v>36</v>
      </c>
      <c r="K1190" s="79" t="str">
        <f>VLOOKUP(Tabla3[[#This Row],[Site]],'Important Info!'!$A$1:$H$135,8,FALSE)</f>
        <v>-</v>
      </c>
      <c r="L1190" s="52" t="str">
        <f>VLOOKUP(Tabla3[[#This Row],[Site]],'Important Info!'!$A$1:$F$135,2,FALSE)</f>
        <v>2, 12</v>
      </c>
      <c r="M1190" s="52" t="str">
        <f>VLOOKUP(Tabla3[[#This Row],[Site]],'Important Info!'!$A$1:$F$135,3,FALSE)</f>
        <v>-</v>
      </c>
      <c r="N1190" s="52" t="str">
        <f>VLOOKUP(Tabla3[[#This Row],[Site]],'Important Info!'!$A$1:$F$135,4,FALSE)</f>
        <v>-</v>
      </c>
      <c r="O1190" s="52" t="str">
        <f>VLOOKUP(Tabla3[[#This Row],[Site]],'Important Info!'!$A$1:$F$135,5,FALSE)</f>
        <v>3, 13</v>
      </c>
      <c r="P1190" s="52" t="str">
        <f>VLOOKUP(Tabla3[[#This Row],[Site]],'Important Info!'!$A$1:$F$135,6,FALSE)</f>
        <v>1, 17</v>
      </c>
      <c r="Q1190" s="91">
        <f>VLOOKUP(Tabla3[[#This Row],[Site]],'Important Info!'!$A$1:$J$135,9,FALSE)</f>
        <v>215</v>
      </c>
    </row>
    <row r="1191" spans="1:17" x14ac:dyDescent="0.25">
      <c r="A1191" t="str">
        <f>+Tabla3[[#This Row],[Site]]&amp;Tabla3[[#This Row],[Split]]</f>
        <v>(KG) Big Star CDJR of Clear Lake14</v>
      </c>
      <c r="B1191">
        <v>14</v>
      </c>
      <c r="C1191">
        <v>4</v>
      </c>
      <c r="D1191" t="s">
        <v>33</v>
      </c>
      <c r="E1191" t="s">
        <v>46</v>
      </c>
      <c r="F1191" t="s">
        <v>133</v>
      </c>
      <c r="G1191" t="s">
        <v>34</v>
      </c>
      <c r="H1191" s="52" t="str">
        <f>VLOOKUP(Tabla3[[#This Row],[Site]],'Important Info!'!$A$1:$J$135,10,FALSE)</f>
        <v>https://tools.sig.systems/site/details/232</v>
      </c>
      <c r="I1191" s="2" t="s">
        <v>134</v>
      </c>
      <c r="J1191" t="s">
        <v>41</v>
      </c>
      <c r="K1191" s="79" t="str">
        <f>VLOOKUP(Tabla3[[#This Row],[Site]],'Important Info!'!$A$1:$H$135,8,FALSE)</f>
        <v>-</v>
      </c>
      <c r="L1191" s="52" t="str">
        <f>VLOOKUP(Tabla3[[#This Row],[Site]],'Important Info!'!$A$1:$F$135,2,FALSE)</f>
        <v>8, 25</v>
      </c>
      <c r="M1191" s="52" t="str">
        <f>VLOOKUP(Tabla3[[#This Row],[Site]],'Important Info!'!$A$1:$F$135,3,FALSE)</f>
        <v>-</v>
      </c>
      <c r="N1191" s="52" t="str">
        <f>VLOOKUP(Tabla3[[#This Row],[Site]],'Important Info!'!$A$1:$F$135,4,FALSE)</f>
        <v>-</v>
      </c>
      <c r="O1191" s="52" t="str">
        <f>VLOOKUP(Tabla3[[#This Row],[Site]],'Important Info!'!$A$1:$F$135,5,FALSE)</f>
        <v>7, 13, 19, 24</v>
      </c>
      <c r="P1191" s="52" t="str">
        <f>VLOOKUP(Tabla3[[#This Row],[Site]],'Important Info!'!$A$1:$F$135,6,FALSE)</f>
        <v>6, 8, 25, 31</v>
      </c>
      <c r="Q1191" s="91">
        <f>VLOOKUP(Tabla3[[#This Row],[Site]],'Important Info!'!$A$1:$J$135,9,FALSE)</f>
        <v>232</v>
      </c>
    </row>
    <row r="1192" spans="1:17" x14ac:dyDescent="0.25">
      <c r="A1192" t="str">
        <f>+Tabla3[[#This Row],[Site]]&amp;Tabla3[[#This Row],[Split]]</f>
        <v>(ML) Joe Machens VW14</v>
      </c>
      <c r="B1192">
        <v>14</v>
      </c>
      <c r="C1192">
        <v>4</v>
      </c>
      <c r="D1192" t="s">
        <v>33</v>
      </c>
      <c r="E1192" t="s">
        <v>46</v>
      </c>
      <c r="F1192" t="s">
        <v>74</v>
      </c>
      <c r="G1192" t="s">
        <v>34</v>
      </c>
      <c r="H1192" s="52" t="str">
        <f>VLOOKUP(Tabla3[[#This Row],[Site]],'Important Info!'!$A$1:$J$135,10,FALSE)</f>
        <v>https://tools.sig.systems/site/details/274</v>
      </c>
      <c r="I1192" s="2" t="s">
        <v>146</v>
      </c>
      <c r="J1192" t="s">
        <v>41</v>
      </c>
      <c r="K1192" s="79" t="str">
        <f>VLOOKUP(Tabla3[[#This Row],[Site]],'Important Info!'!$A$1:$H$135,8,FALSE)</f>
        <v>-</v>
      </c>
      <c r="L1192" s="52" t="str">
        <f>VLOOKUP(Tabla3[[#This Row],[Site]],'Important Info!'!$A$1:$F$135,2,FALSE)</f>
        <v>-</v>
      </c>
      <c r="M1192" s="52" t="str">
        <f>VLOOKUP(Tabla3[[#This Row],[Site]],'Important Info!'!$A$1:$F$135,3,FALSE)</f>
        <v>1, 11, 18</v>
      </c>
      <c r="N1192" s="52" t="str">
        <f>VLOOKUP(Tabla3[[#This Row],[Site]],'Important Info!'!$A$1:$F$135,4,FALSE)</f>
        <v>-</v>
      </c>
      <c r="O1192" s="52">
        <f>VLOOKUP(Tabla3[[#This Row],[Site]],'Important Info!'!$A$1:$F$135,5,FALSE)</f>
        <v>17</v>
      </c>
      <c r="P1192" s="52" t="str">
        <f>VLOOKUP(Tabla3[[#This Row],[Site]],'Important Info!'!$A$1:$F$135,6,FALSE)</f>
        <v>-</v>
      </c>
      <c r="Q1192" s="91">
        <f>VLOOKUP(Tabla3[[#This Row],[Site]],'Important Info!'!$A$1:$J$135,9,FALSE)</f>
        <v>274</v>
      </c>
    </row>
    <row r="1193" spans="1:17" x14ac:dyDescent="0.25">
      <c r="A1193" t="str">
        <f>+Tabla3[[#This Row],[Site]]&amp;Tabla3[[#This Row],[Split]]</f>
        <v>(ML) Nissan of Little Rock14</v>
      </c>
      <c r="B1193">
        <v>14</v>
      </c>
      <c r="C1193">
        <v>4</v>
      </c>
      <c r="D1193" t="s">
        <v>33</v>
      </c>
      <c r="E1193" t="s">
        <v>46</v>
      </c>
      <c r="F1193" t="s">
        <v>152</v>
      </c>
      <c r="G1193" t="s">
        <v>34</v>
      </c>
      <c r="H1193" s="52" t="str">
        <f>VLOOKUP(Tabla3[[#This Row],[Site]],'Important Info!'!$A$1:$J$135,10,FALSE)</f>
        <v>https://tools.sig.systems/site/details/224</v>
      </c>
      <c r="I1193" t="s">
        <v>140</v>
      </c>
      <c r="J1193" t="s">
        <v>41</v>
      </c>
      <c r="K1193" s="79" t="str">
        <f>VLOOKUP(Tabla3[[#This Row],[Site]],'Important Info!'!$A$1:$H$135,8,FALSE)</f>
        <v>-</v>
      </c>
      <c r="L1193" s="52" t="str">
        <f>VLOOKUP(Tabla3[[#This Row],[Site]],'Important Info!'!$A$1:$F$135,2,FALSE)</f>
        <v>3, 6</v>
      </c>
      <c r="M1193" s="52" t="str">
        <f>VLOOKUP(Tabla3[[#This Row],[Site]],'Important Info!'!$A$1:$F$135,3,FALSE)</f>
        <v>-</v>
      </c>
      <c r="N1193" s="52" t="str">
        <f>VLOOKUP(Tabla3[[#This Row],[Site]],'Important Info!'!$A$1:$F$135,4,FALSE)</f>
        <v>-</v>
      </c>
      <c r="O1193" s="52" t="str">
        <f>VLOOKUP(Tabla3[[#This Row],[Site]],'Important Info!'!$A$1:$F$135,5,FALSE)</f>
        <v>1, 8, 16, 22</v>
      </c>
      <c r="P1193" s="52" t="str">
        <f>VLOOKUP(Tabla3[[#This Row],[Site]],'Important Info!'!$A$1:$F$135,6,FALSE)</f>
        <v>3, 4</v>
      </c>
      <c r="Q1193" s="91">
        <f>VLOOKUP(Tabla3[[#This Row],[Site]],'Important Info!'!$A$1:$J$135,9,FALSE)</f>
        <v>224</v>
      </c>
    </row>
    <row r="1194" spans="1:17" x14ac:dyDescent="0.25">
      <c r="A1194" t="str">
        <f>+Tabla3[[#This Row],[Site]]&amp;Tabla3[[#This Row],[Split]]</f>
        <v>(ML) Toyota N Little Rock14</v>
      </c>
      <c r="B1194">
        <v>14</v>
      </c>
      <c r="C1194">
        <v>4</v>
      </c>
      <c r="D1194" t="s">
        <v>33</v>
      </c>
      <c r="E1194" t="s">
        <v>46</v>
      </c>
      <c r="F1194" t="s">
        <v>76</v>
      </c>
      <c r="G1194" t="s">
        <v>34</v>
      </c>
      <c r="H1194" s="52" t="str">
        <f>VLOOKUP(Tabla3[[#This Row],[Site]],'Important Info!'!$A$1:$J$135,10,FALSE)</f>
        <v>https://tools.sig.systems/site/details/201</v>
      </c>
      <c r="I1194" s="43" t="s">
        <v>142</v>
      </c>
      <c r="J1194" t="s">
        <v>41</v>
      </c>
      <c r="K1194" s="79" t="str">
        <f>VLOOKUP(Tabla3[[#This Row],[Site]],'Important Info!'!$A$1:$H$135,8,FALSE)</f>
        <v>-</v>
      </c>
      <c r="L1194" s="52" t="str">
        <f>VLOOKUP(Tabla3[[#This Row],[Site]],'Important Info!'!$A$1:$F$135,2,FALSE)</f>
        <v>4, 15, 18, 22, 23, 26</v>
      </c>
      <c r="M1194" s="52" t="str">
        <f>VLOOKUP(Tabla3[[#This Row],[Site]],'Important Info!'!$A$1:$F$135,3,FALSE)</f>
        <v>-</v>
      </c>
      <c r="N1194" s="52" t="str">
        <f>VLOOKUP(Tabla3[[#This Row],[Site]],'Important Info!'!$A$1:$F$135,4,FALSE)</f>
        <v>-</v>
      </c>
      <c r="O1194" s="52" t="str">
        <f>VLOOKUP(Tabla3[[#This Row],[Site]],'Important Info!'!$A$1:$F$135,5,FALSE)</f>
        <v>2, 12, 13, 18</v>
      </c>
      <c r="P1194" s="52" t="str">
        <f>VLOOKUP(Tabla3[[#This Row],[Site]],'Important Info!'!$A$1:$F$135,6,FALSE)</f>
        <v>-</v>
      </c>
      <c r="Q1194" s="91">
        <f>VLOOKUP(Tabla3[[#This Row],[Site]],'Important Info!'!$A$1:$J$135,9,FALSE)</f>
        <v>201</v>
      </c>
    </row>
    <row r="1195" spans="1:17" x14ac:dyDescent="0.25">
      <c r="A1195" t="str">
        <f>+Tabla3[[#This Row],[Site]]&amp;Tabla3[[#This Row],[Split]]</f>
        <v>(PE) BMW of Greenwich (NO TOURS)14</v>
      </c>
      <c r="B1195">
        <v>14</v>
      </c>
      <c r="C1195">
        <v>4</v>
      </c>
      <c r="D1195" t="s">
        <v>485</v>
      </c>
      <c r="E1195" t="s">
        <v>35</v>
      </c>
      <c r="F1195" t="s">
        <v>170</v>
      </c>
      <c r="G1195" t="s">
        <v>490</v>
      </c>
      <c r="H1195" s="52" t="str">
        <f>VLOOKUP(Tabla3[[#This Row],[Site]],'Important Info!'!$A$1:$J$135,10,FALSE)</f>
        <v>https://tools.sig.systems/site/details/186</v>
      </c>
      <c r="I1195" s="43" t="s">
        <v>171</v>
      </c>
      <c r="J1195" t="s">
        <v>41</v>
      </c>
      <c r="K1195" s="79" t="str">
        <f>VLOOKUP(Tabla3[[#This Row],[Site]],'Important Info!'!$A$1:$H$135,8,FALSE)</f>
        <v>-</v>
      </c>
      <c r="L1195" s="52" t="str">
        <f>VLOOKUP(Tabla3[[#This Row],[Site]],'Important Info!'!$A$1:$F$135,2,FALSE)</f>
        <v>1, 6, 15</v>
      </c>
      <c r="M1195" s="52" t="str">
        <f>VLOOKUP(Tabla3[[#This Row],[Site]],'Important Info!'!$A$1:$F$135,3,FALSE)</f>
        <v>-</v>
      </c>
      <c r="N1195" s="52" t="str">
        <f>VLOOKUP(Tabla3[[#This Row],[Site]],'Important Info!'!$A$1:$F$135,4,FALSE)</f>
        <v>-</v>
      </c>
      <c r="O1195" s="52" t="str">
        <f>VLOOKUP(Tabla3[[#This Row],[Site]],'Important Info!'!$A$1:$F$135,5,FALSE)</f>
        <v>-</v>
      </c>
      <c r="P1195" s="52">
        <f>VLOOKUP(Tabla3[[#This Row],[Site]],'Important Info!'!$A$1:$F$135,6,FALSE)</f>
        <v>12</v>
      </c>
      <c r="Q1195" s="91">
        <f>VLOOKUP(Tabla3[[#This Row],[Site]],'Important Info!'!$A$1:$J$135,9,FALSE)</f>
        <v>186</v>
      </c>
    </row>
    <row r="1196" spans="1:17" x14ac:dyDescent="0.25">
      <c r="A1196" t="str">
        <f>+Tabla3[[#This Row],[Site]]&amp;Tabla3[[#This Row],[Split]]</f>
        <v>(AS) Mercedes Benz/Porsche Dallas I,II,III (NO TOURS)14</v>
      </c>
      <c r="B1196">
        <v>14</v>
      </c>
      <c r="C1196">
        <v>5</v>
      </c>
      <c r="D1196" t="s">
        <v>33</v>
      </c>
      <c r="E1196" t="s">
        <v>46</v>
      </c>
      <c r="F1196" t="s">
        <v>509</v>
      </c>
      <c r="G1196" t="s">
        <v>34</v>
      </c>
      <c r="H1196" s="52" t="str">
        <f>VLOOKUP(Tabla3[[#This Row],[Site]],'Important Info!'!$A$1:$J$135,10,FALSE)</f>
        <v>https://tools.sig.systems/site/details/168</v>
      </c>
      <c r="I1196" s="65" t="s">
        <v>125</v>
      </c>
      <c r="J1196" t="s">
        <v>41</v>
      </c>
      <c r="K1196" s="79" t="str">
        <f>VLOOKUP(Tabla3[[#This Row],[Site]],'Important Info!'!$A$1:$H$135,8,FALSE)</f>
        <v>-</v>
      </c>
      <c r="L1196" s="52" t="str">
        <f>VLOOKUP(Tabla3[[#This Row],[Site]],'Important Info!'!$A$1:$F$135,2,FALSE)</f>
        <v>3, 4, 17, 26, 41</v>
      </c>
      <c r="M1196" s="52" t="str">
        <f>VLOOKUP(Tabla3[[#This Row],[Site]],'Important Info!'!$A$1:$F$135,3,FALSE)</f>
        <v>-</v>
      </c>
      <c r="N1196" s="52" t="str">
        <f>VLOOKUP(Tabla3[[#This Row],[Site]],'Important Info!'!$A$1:$F$135,4,FALSE)</f>
        <v>153, 154, 155, 156, 157, 158</v>
      </c>
      <c r="O1196" s="52" t="str">
        <f>VLOOKUP(Tabla3[[#This Row],[Site]],'Important Info!'!$A$1:$F$135,5,FALSE)</f>
        <v>2, 6, 10, 20, 28, 30, 36</v>
      </c>
      <c r="P1196" s="52" t="str">
        <f>VLOOKUP(Tabla3[[#This Row],[Site]],'Important Info!'!$A$1:$F$135,6,FALSE)</f>
        <v>31, 41, 159</v>
      </c>
      <c r="Q1196" s="91">
        <f>VLOOKUP(Tabla3[[#This Row],[Site]],'Important Info!'!$A$1:$J$135,9,FALSE)</f>
        <v>168</v>
      </c>
    </row>
    <row r="1197" spans="1:17" x14ac:dyDescent="0.25">
      <c r="A1197" t="str">
        <f>+Tabla3[[#This Row],[Site]]&amp;Tabla3[[#This Row],[Split]]</f>
        <v>(DT) Colorado Springs (NO TOURS)14</v>
      </c>
      <c r="B1197">
        <v>14</v>
      </c>
      <c r="C1197">
        <v>5</v>
      </c>
      <c r="D1197" t="s">
        <v>44</v>
      </c>
      <c r="E1197" t="s">
        <v>53</v>
      </c>
      <c r="F1197" t="s">
        <v>156</v>
      </c>
      <c r="G1197" t="s">
        <v>45</v>
      </c>
      <c r="H1197" s="52" t="str">
        <f>VLOOKUP(Tabla3[[#This Row],[Site]],'Important Info!'!$A$1:$J$135,10,FALSE)</f>
        <v>https://tools.sig.systems/site/details/198</v>
      </c>
      <c r="J1197" t="s">
        <v>41</v>
      </c>
      <c r="K1197" s="79" t="str">
        <f>VLOOKUP(Tabla3[[#This Row],[Site]],'Important Info!'!$A$1:$H$135,8,FALSE)</f>
        <v>-</v>
      </c>
      <c r="L1197" s="52" t="str">
        <f>VLOOKUP(Tabla3[[#This Row],[Site]],'Important Info!'!$A$1:$F$135,2,FALSE)</f>
        <v>-</v>
      </c>
      <c r="M1197" s="52" t="str">
        <f>VLOOKUP(Tabla3[[#This Row],[Site]],'Important Info!'!$A$1:$F$135,3,FALSE)</f>
        <v>1, 2, 3, 4</v>
      </c>
      <c r="N1197" s="52" t="str">
        <f>VLOOKUP(Tabla3[[#This Row],[Site]],'Important Info!'!$A$1:$F$135,4,FALSE)</f>
        <v>-</v>
      </c>
      <c r="O1197" s="52" t="str">
        <f>VLOOKUP(Tabla3[[#This Row],[Site]],'Important Info!'!$A$1:$F$135,5,FALSE)</f>
        <v>-</v>
      </c>
      <c r="P1197" s="52" t="str">
        <f>VLOOKUP(Tabla3[[#This Row],[Site]],'Important Info!'!$A$1:$F$135,6,FALSE)</f>
        <v>1, 2, 3, 11</v>
      </c>
      <c r="Q1197" s="91">
        <f>VLOOKUP(Tabla3[[#This Row],[Site]],'Important Info!'!$A$1:$J$135,9,FALSE)</f>
        <v>198</v>
      </c>
    </row>
    <row r="1198" spans="1:17" x14ac:dyDescent="0.25">
      <c r="A1198" t="str">
        <f>+Tabla3[[#This Row],[Site]]&amp;Tabla3[[#This Row],[Split]]</f>
        <v>(HUD) Honda Greensboro14</v>
      </c>
      <c r="B1198">
        <v>14</v>
      </c>
      <c r="C1198">
        <v>5</v>
      </c>
      <c r="D1198" t="s">
        <v>62</v>
      </c>
      <c r="E1198" t="s">
        <v>35</v>
      </c>
      <c r="F1198" t="s">
        <v>85</v>
      </c>
      <c r="G1198" t="s">
        <v>490</v>
      </c>
      <c r="H1198" s="52" t="str">
        <f>VLOOKUP(Tabla3[[#This Row],[Site]],'Important Info!'!$A$1:$J$135,10,FALSE)</f>
        <v>https://tools.sig.systems/site/details/230</v>
      </c>
      <c r="I1198" t="s">
        <v>186</v>
      </c>
      <c r="J1198" t="s">
        <v>41</v>
      </c>
      <c r="K1198" s="79" t="str">
        <f>VLOOKUP(Tabla3[[#This Row],[Site]],'Important Info!'!$A$1:$H$135,8,FALSE)</f>
        <v>-</v>
      </c>
      <c r="L1198" s="52" t="str">
        <f>VLOOKUP(Tabla3[[#This Row],[Site]],'Important Info!'!$A$1:$F$135,2,FALSE)</f>
        <v>1, 3,  15, 16, 22</v>
      </c>
      <c r="M1198" s="52" t="str">
        <f>VLOOKUP(Tabla3[[#This Row],[Site]],'Important Info!'!$A$1:$F$135,3,FALSE)</f>
        <v>-</v>
      </c>
      <c r="N1198" s="52" t="str">
        <f>VLOOKUP(Tabla3[[#This Row],[Site]],'Important Info!'!$A$1:$F$135,4,FALSE)</f>
        <v>-</v>
      </c>
      <c r="O1198" s="52" t="str">
        <f>VLOOKUP(Tabla3[[#This Row],[Site]],'Important Info!'!$A$1:$F$135,5,FALSE)</f>
        <v>3, 20</v>
      </c>
      <c r="P1198" s="52">
        <f>VLOOKUP(Tabla3[[#This Row],[Site]],'Important Info!'!$A$1:$F$135,6,FALSE)</f>
        <v>26</v>
      </c>
      <c r="Q1198" s="91">
        <f>VLOOKUP(Tabla3[[#This Row],[Site]],'Important Info!'!$A$1:$J$135,9,FALSE)</f>
        <v>230</v>
      </c>
    </row>
    <row r="1199" spans="1:17" x14ac:dyDescent="0.25">
      <c r="A1199" t="str">
        <f>+Tabla3[[#This Row],[Site]]&amp;Tabla3[[#This Row],[Split]]</f>
        <v>(HUD) Honda of Southpoint14</v>
      </c>
      <c r="B1199">
        <v>14</v>
      </c>
      <c r="C1199">
        <v>5</v>
      </c>
      <c r="D1199" t="s">
        <v>62</v>
      </c>
      <c r="E1199" t="s">
        <v>35</v>
      </c>
      <c r="F1199" t="s">
        <v>65</v>
      </c>
      <c r="G1199" t="s">
        <v>490</v>
      </c>
      <c r="H1199" s="52" t="str">
        <f>VLOOKUP(Tabla3[[#This Row],[Site]],'Important Info!'!$A$1:$J$135,10,FALSE)</f>
        <v>https://tools.sig.systems/site/details/195</v>
      </c>
      <c r="I1199" s="2"/>
      <c r="J1199" t="s">
        <v>484</v>
      </c>
      <c r="K1199" s="79" t="str">
        <f>VLOOKUP(Tabla3[[#This Row],[Site]],'Important Info!'!$A$1:$H$135,8,FALSE)</f>
        <v>-</v>
      </c>
      <c r="L1199" s="52" t="str">
        <f>VLOOKUP(Tabla3[[#This Row],[Site]],'Important Info!'!$A$1:$F$135,2,FALSE)</f>
        <v>2, 12, 18</v>
      </c>
      <c r="M1199" s="52">
        <f>VLOOKUP(Tabla3[[#This Row],[Site]],'Important Info!'!$A$1:$F$135,3,FALSE)</f>
        <v>13</v>
      </c>
      <c r="N1199" s="52" t="str">
        <f>VLOOKUP(Tabla3[[#This Row],[Site]],'Important Info!'!$A$1:$F$135,4,FALSE)</f>
        <v>-</v>
      </c>
      <c r="O1199" s="52" t="str">
        <f>VLOOKUP(Tabla3[[#This Row],[Site]],'Important Info!'!$A$1:$F$135,5,FALSE)</f>
        <v>2, 15</v>
      </c>
      <c r="P1199" s="52" t="str">
        <f>VLOOKUP(Tabla3[[#This Row],[Site]],'Important Info!'!$A$1:$F$135,6,FALSE)</f>
        <v>-</v>
      </c>
      <c r="Q1199" s="91">
        <f>VLOOKUP(Tabla3[[#This Row],[Site]],'Important Info!'!$A$1:$J$135,9,FALSE)</f>
        <v>195</v>
      </c>
    </row>
    <row r="1200" spans="1:17" x14ac:dyDescent="0.25">
      <c r="A1200" t="str">
        <f>+Tabla3[[#This Row],[Site]]&amp;Tabla3[[#This Row],[Split]]</f>
        <v>(ML) Joe Machens Toyota14</v>
      </c>
      <c r="B1200">
        <v>14</v>
      </c>
      <c r="C1200">
        <v>5</v>
      </c>
      <c r="D1200" t="s">
        <v>33</v>
      </c>
      <c r="E1200" t="s">
        <v>46</v>
      </c>
      <c r="F1200" t="s">
        <v>73</v>
      </c>
      <c r="G1200" t="s">
        <v>34</v>
      </c>
      <c r="H1200" s="52" t="str">
        <f>VLOOKUP(Tabla3[[#This Row],[Site]],'Important Info!'!$A$1:$J$135,10,FALSE)</f>
        <v>https://tools.sig.systems/site/details/275</v>
      </c>
      <c r="I1200" s="2" t="s">
        <v>146</v>
      </c>
      <c r="J1200" t="s">
        <v>41</v>
      </c>
      <c r="K1200" s="79" t="str">
        <f>VLOOKUP(Tabla3[[#This Row],[Site]],'Important Info!'!$A$1:$H$135,8,FALSE)</f>
        <v>-</v>
      </c>
      <c r="L1200" s="52" t="str">
        <f>VLOOKUP(Tabla3[[#This Row],[Site]],'Important Info!'!$A$1:$F$135,2,FALSE)</f>
        <v>-</v>
      </c>
      <c r="M1200" s="52" t="str">
        <f>VLOOKUP(Tabla3[[#This Row],[Site]],'Important Info!'!$A$1:$F$135,3,FALSE)</f>
        <v>1, 4, 6</v>
      </c>
      <c r="N1200" s="52" t="str">
        <f>VLOOKUP(Tabla3[[#This Row],[Site]],'Important Info!'!$A$1:$F$135,4,FALSE)</f>
        <v>-</v>
      </c>
      <c r="O1200" s="52" t="str">
        <f>VLOOKUP(Tabla3[[#This Row],[Site]],'Important Info!'!$A$1:$F$135,5,FALSE)</f>
        <v>4, 10</v>
      </c>
      <c r="P1200" s="52" t="str">
        <f>VLOOKUP(Tabla3[[#This Row],[Site]],'Important Info!'!$A$1:$F$135,6,FALSE)</f>
        <v>-</v>
      </c>
      <c r="Q1200" s="91">
        <f>VLOOKUP(Tabla3[[#This Row],[Site]],'Important Info!'!$A$1:$J$135,9,FALSE)</f>
        <v>275</v>
      </c>
    </row>
    <row r="1201" spans="1:17" x14ac:dyDescent="0.25">
      <c r="A1201" t="str">
        <f>+Tabla3[[#This Row],[Site]]&amp;Tabla3[[#This Row],[Split]]</f>
        <v>(PE) JLR PDI (NO TOURS)14</v>
      </c>
      <c r="B1201">
        <v>14</v>
      </c>
      <c r="C1201">
        <v>5</v>
      </c>
      <c r="D1201" t="s">
        <v>485</v>
      </c>
      <c r="E1201" t="s">
        <v>35</v>
      </c>
      <c r="F1201" t="s">
        <v>114</v>
      </c>
      <c r="G1201" t="s">
        <v>490</v>
      </c>
      <c r="H1201" s="52" t="str">
        <f>VLOOKUP(Tabla3[[#This Row],[Site]],'Important Info!'!$A$1:$J$135,10,FALSE)</f>
        <v>https://tools.sig.systems/site/details/179</v>
      </c>
      <c r="I1201" t="s">
        <v>176</v>
      </c>
      <c r="J1201" t="s">
        <v>41</v>
      </c>
      <c r="K1201" s="79" t="str">
        <f>VLOOKUP(Tabla3[[#This Row],[Site]],'Important Info!'!$A$1:$H$135,8,FALSE)</f>
        <v>-</v>
      </c>
      <c r="L1201" s="52" t="str">
        <f>VLOOKUP(Tabla3[[#This Row],[Site]],'Important Info!'!$A$1:$F$135,2,FALSE)</f>
        <v>3, 8</v>
      </c>
      <c r="M1201" s="52" t="str">
        <f>VLOOKUP(Tabla3[[#This Row],[Site]],'Important Info!'!$A$1:$F$135,3,FALSE)</f>
        <v>-</v>
      </c>
      <c r="N1201" s="52" t="str">
        <f>VLOOKUP(Tabla3[[#This Row],[Site]],'Important Info!'!$A$1:$F$135,4,FALSE)</f>
        <v>-</v>
      </c>
      <c r="O1201" s="52" t="str">
        <f>VLOOKUP(Tabla3[[#This Row],[Site]],'Important Info!'!$A$1:$F$135,5,FALSE)</f>
        <v>-</v>
      </c>
      <c r="P1201" s="52" t="str">
        <f>VLOOKUP(Tabla3[[#This Row],[Site]],'Important Info!'!$A$1:$F$135,6,FALSE)</f>
        <v>-</v>
      </c>
      <c r="Q1201" s="91">
        <f>VLOOKUP(Tabla3[[#This Row],[Site]],'Important Info!'!$A$1:$J$135,9,FALSE)</f>
        <v>179</v>
      </c>
    </row>
    <row r="1202" spans="1:17" x14ac:dyDescent="0.25">
      <c r="A1202" t="str">
        <f>+Tabla3[[#This Row],[Site]]&amp;Tabla3[[#This Row],[Split]]</f>
        <v>(RML) Burleson Nissan14</v>
      </c>
      <c r="B1202">
        <v>14</v>
      </c>
      <c r="C1202">
        <v>5</v>
      </c>
      <c r="D1202" t="s">
        <v>33</v>
      </c>
      <c r="E1202" t="s">
        <v>46</v>
      </c>
      <c r="F1202" t="s">
        <v>107</v>
      </c>
      <c r="G1202" t="s">
        <v>34</v>
      </c>
      <c r="H1202" s="52" t="str">
        <f>VLOOKUP(Tabla3[[#This Row],[Site]],'Important Info!'!$A$1:$J$135,10,FALSE)</f>
        <v>https://tools.sig.systems/site/details/202</v>
      </c>
      <c r="I1202" s="64"/>
      <c r="J1202" t="s">
        <v>41</v>
      </c>
      <c r="K1202" s="79" t="str">
        <f>VLOOKUP(Tabla3[[#This Row],[Site]],'Important Info!'!$A$1:$H$135,8,FALSE)</f>
        <v>-</v>
      </c>
      <c r="L1202" s="52" t="str">
        <f>VLOOKUP(Tabla3[[#This Row],[Site]],'Important Info!'!$A$1:$F$135,2,FALSE)</f>
        <v>3, 21</v>
      </c>
      <c r="M1202" s="52" t="str">
        <f>VLOOKUP(Tabla3[[#This Row],[Site]],'Important Info!'!$A$1:$F$135,3,FALSE)</f>
        <v>-</v>
      </c>
      <c r="N1202" s="52" t="str">
        <f>VLOOKUP(Tabla3[[#This Row],[Site]],'Important Info!'!$A$1:$F$135,4,FALSE)</f>
        <v>-</v>
      </c>
      <c r="O1202" s="52" t="str">
        <f>VLOOKUP(Tabla3[[#This Row],[Site]],'Important Info!'!$A$1:$F$135,5,FALSE)</f>
        <v>2, 6, 15</v>
      </c>
      <c r="P1202" s="52" t="str">
        <f>VLOOKUP(Tabla3[[#This Row],[Site]],'Important Info!'!$A$1:$F$135,6,FALSE)</f>
        <v>-</v>
      </c>
      <c r="Q1202" s="91">
        <f>VLOOKUP(Tabla3[[#This Row],[Site]],'Important Info!'!$A$1:$J$135,9,FALSE)</f>
        <v>202</v>
      </c>
    </row>
    <row r="1203" spans="1:17" x14ac:dyDescent="0.25">
      <c r="A1203" t="str">
        <f>+Tabla3[[#This Row],[Site]]&amp;Tabla3[[#This Row],[Split]]</f>
        <v>(AS) Park Place Sprinter Van Center (NO TOURS)14</v>
      </c>
      <c r="B1203">
        <v>14</v>
      </c>
      <c r="C1203">
        <v>6</v>
      </c>
      <c r="D1203" t="s">
        <v>33</v>
      </c>
      <c r="E1203" t="s">
        <v>46</v>
      </c>
      <c r="F1203" t="s">
        <v>520</v>
      </c>
      <c r="G1203" t="s">
        <v>34</v>
      </c>
      <c r="H1203" s="52" t="str">
        <f>VLOOKUP(Tabla3[[#This Row],[Site]],'Important Info!'!$A$1:$J$135,10,FALSE)</f>
        <v>https://tools.sig.systems/site/details/138</v>
      </c>
      <c r="I1203" s="65" t="s">
        <v>125</v>
      </c>
      <c r="J1203" t="s">
        <v>41</v>
      </c>
      <c r="K1203" s="79" t="str">
        <f>VLOOKUP(Tabla3[[#This Row],[Site]],'Important Info!'!$A$1:$H$135,8,FALSE)</f>
        <v>-</v>
      </c>
      <c r="L1203" s="52">
        <f>VLOOKUP(Tabla3[[#This Row],[Site]],'Important Info!'!$A$1:$F$135,2,FALSE)</f>
        <v>1</v>
      </c>
      <c r="M1203" s="52" t="str">
        <f>VLOOKUP(Tabla3[[#This Row],[Site]],'Important Info!'!$A$1:$F$135,3,FALSE)</f>
        <v>-</v>
      </c>
      <c r="N1203" s="52" t="str">
        <f>VLOOKUP(Tabla3[[#This Row],[Site]],'Important Info!'!$A$1:$F$135,4,FALSE)</f>
        <v>-</v>
      </c>
      <c r="O1203" s="52" t="str">
        <f>VLOOKUP(Tabla3[[#This Row],[Site]],'Important Info!'!$A$1:$F$135,5,FALSE)</f>
        <v>-</v>
      </c>
      <c r="P1203" s="52" t="str">
        <f>VLOOKUP(Tabla3[[#This Row],[Site]],'Important Info!'!$A$1:$F$135,6,FALSE)</f>
        <v>1, 3</v>
      </c>
      <c r="Q1203" s="91">
        <f>VLOOKUP(Tabla3[[#This Row],[Site]],'Important Info!'!$A$1:$J$135,9,FALSE)</f>
        <v>138</v>
      </c>
    </row>
    <row r="1204" spans="1:17" x14ac:dyDescent="0.25">
      <c r="A1204" t="str">
        <f>+Tabla3[[#This Row],[Site]]&amp;Tabla3[[#This Row],[Split]]</f>
        <v>(AS) Stevinson Chevrolet Golden (NO TOURS)14</v>
      </c>
      <c r="B1204">
        <v>14</v>
      </c>
      <c r="C1204">
        <v>6</v>
      </c>
      <c r="D1204" t="s">
        <v>488</v>
      </c>
      <c r="E1204" t="s">
        <v>53</v>
      </c>
      <c r="F1204" t="s">
        <v>190</v>
      </c>
      <c r="G1204" t="s">
        <v>45</v>
      </c>
      <c r="H1204" s="52" t="str">
        <f>VLOOKUP(Tabla3[[#This Row],[Site]],'Important Info!'!$A$1:$J$135,10,FALSE)</f>
        <v>https://tools.sig.systems/site/details/264</v>
      </c>
      <c r="I1204" s="2" t="s">
        <v>154</v>
      </c>
      <c r="J1204" t="s">
        <v>41</v>
      </c>
      <c r="K1204" s="79" t="str">
        <f>VLOOKUP(Tabla3[[#This Row],[Site]],'Important Info!'!$A$1:$H$135,8,FALSE)</f>
        <v>-</v>
      </c>
      <c r="L1204" s="52" t="str">
        <f>VLOOKUP(Tabla3[[#This Row],[Site]],'Important Info!'!$A$1:$F$135,2,FALSE)</f>
        <v>-</v>
      </c>
      <c r="M1204" s="52" t="str">
        <f>VLOOKUP(Tabla3[[#This Row],[Site]],'Important Info!'!$A$1:$F$135,3,FALSE)</f>
        <v>1, 19</v>
      </c>
      <c r="N1204" s="52" t="str">
        <f>VLOOKUP(Tabla3[[#This Row],[Site]],'Important Info!'!$A$1:$F$135,4,FALSE)</f>
        <v>-</v>
      </c>
      <c r="O1204" s="52" t="str">
        <f>VLOOKUP(Tabla3[[#This Row],[Site]],'Important Info!'!$A$1:$F$135,5,FALSE)</f>
        <v>14, 30</v>
      </c>
      <c r="P1204" s="52" t="str">
        <f>VLOOKUP(Tabla3[[#This Row],[Site]],'Important Info!'!$A$1:$F$135,6,FALSE)</f>
        <v>14, 33, 34, 35, 36</v>
      </c>
      <c r="Q1204" s="91">
        <f>VLOOKUP(Tabla3[[#This Row],[Site]],'Important Info!'!$A$1:$J$135,9,FALSE)</f>
        <v>264</v>
      </c>
    </row>
    <row r="1205" spans="1:17" x14ac:dyDescent="0.25">
      <c r="A1205" t="str">
        <f>+Tabla3[[#This Row],[Site]]&amp;Tabla3[[#This Row],[Split]]</f>
        <v>(DT) Wichita14</v>
      </c>
      <c r="B1205">
        <v>14</v>
      </c>
      <c r="C1205">
        <v>6</v>
      </c>
      <c r="D1205" t="s">
        <v>33</v>
      </c>
      <c r="E1205" t="s">
        <v>46</v>
      </c>
      <c r="F1205" t="s">
        <v>131</v>
      </c>
      <c r="G1205" t="s">
        <v>34</v>
      </c>
      <c r="H1205" s="52" t="str">
        <f>VLOOKUP(Tabla3[[#This Row],[Site]],'Important Info!'!$A$1:$J$135,10,FALSE)</f>
        <v>https://tools.sig.systems/site/details/257</v>
      </c>
      <c r="J1205" t="s">
        <v>41</v>
      </c>
      <c r="K1205" s="79" t="str">
        <f>VLOOKUP(Tabla3[[#This Row],[Site]],'Important Info!'!$A$1:$H$135,8,FALSE)</f>
        <v>-</v>
      </c>
      <c r="L1205" s="52" t="str">
        <f>VLOOKUP(Tabla3[[#This Row],[Site]],'Important Info!'!$A$1:$F$135,2,FALSE)</f>
        <v>-</v>
      </c>
      <c r="M1205" s="52" t="str">
        <f>VLOOKUP(Tabla3[[#This Row],[Site]],'Important Info!'!$A$1:$F$135,3,FALSE)</f>
        <v>10, 11</v>
      </c>
      <c r="N1205" s="52" t="str">
        <f>VLOOKUP(Tabla3[[#This Row],[Site]],'Important Info!'!$A$1:$F$135,4,FALSE)</f>
        <v>-</v>
      </c>
      <c r="O1205" s="52" t="str">
        <f>VLOOKUP(Tabla3[[#This Row],[Site]],'Important Info!'!$A$1:$F$135,5,FALSE)</f>
        <v>-</v>
      </c>
      <c r="P1205" s="52" t="str">
        <f>VLOOKUP(Tabla3[[#This Row],[Site]],'Important Info!'!$A$1:$F$135,6,FALSE)</f>
        <v>1, 5, 6, 10</v>
      </c>
      <c r="Q1205" s="91">
        <f>VLOOKUP(Tabla3[[#This Row],[Site]],'Important Info!'!$A$1:$J$135,9,FALSE)</f>
        <v>257</v>
      </c>
    </row>
    <row r="1206" spans="1:17" x14ac:dyDescent="0.25">
      <c r="A1206" t="str">
        <f>+Tabla3[[#This Row],[Site]]&amp;Tabla3[[#This Row],[Split]]</f>
        <v>(HUD) Paint and Body Center (NO TOURS)14</v>
      </c>
      <c r="B1206">
        <v>14</v>
      </c>
      <c r="C1206">
        <v>6</v>
      </c>
      <c r="D1206" t="s">
        <v>62</v>
      </c>
      <c r="E1206" t="s">
        <v>35</v>
      </c>
      <c r="F1206" t="s">
        <v>110</v>
      </c>
      <c r="G1206" t="s">
        <v>490</v>
      </c>
      <c r="H1206" s="52" t="str">
        <f>VLOOKUP(Tabla3[[#This Row],[Site]],'Important Info!'!$A$1:$J$135,10,FALSE)</f>
        <v>https://tools.sig.systems/site/details/256</v>
      </c>
      <c r="I1206" t="s">
        <v>184</v>
      </c>
      <c r="J1206" t="s">
        <v>41</v>
      </c>
      <c r="K1206" s="79" t="str">
        <f>VLOOKUP(Tabla3[[#This Row],[Site]],'Important Info!'!$A$1:$H$135,8,FALSE)</f>
        <v>-</v>
      </c>
      <c r="L1206" s="52" t="str">
        <f>VLOOKUP(Tabla3[[#This Row],[Site]],'Important Info!'!$A$1:$F$135,2,FALSE)</f>
        <v>-</v>
      </c>
      <c r="M1206" s="52">
        <f>VLOOKUP(Tabla3[[#This Row],[Site]],'Important Info!'!$A$1:$F$135,3,FALSE)</f>
        <v>1</v>
      </c>
      <c r="N1206" s="52" t="str">
        <f>VLOOKUP(Tabla3[[#This Row],[Site]],'Important Info!'!$A$1:$F$135,4,FALSE)</f>
        <v>-</v>
      </c>
      <c r="O1206" s="52" t="str">
        <f>VLOOKUP(Tabla3[[#This Row],[Site]],'Important Info!'!$A$1:$F$135,5,FALSE)</f>
        <v>-</v>
      </c>
      <c r="P1206" s="52" t="str">
        <f>VLOOKUP(Tabla3[[#This Row],[Site]],'Important Info!'!$A$1:$F$135,6,FALSE)</f>
        <v>-</v>
      </c>
      <c r="Q1206" s="91">
        <f>VLOOKUP(Tabla3[[#This Row],[Site]],'Important Info!'!$A$1:$J$135,9,FALSE)</f>
        <v>256</v>
      </c>
    </row>
    <row r="1207" spans="1:17" x14ac:dyDescent="0.25">
      <c r="A1207" t="str">
        <f>+Tabla3[[#This Row],[Site]]&amp;Tabla3[[#This Row],[Split]]</f>
        <v>(ML) Joe Machens E Collision Center14</v>
      </c>
      <c r="B1207">
        <v>14</v>
      </c>
      <c r="C1207">
        <v>6</v>
      </c>
      <c r="D1207" t="s">
        <v>33</v>
      </c>
      <c r="E1207" t="s">
        <v>46</v>
      </c>
      <c r="F1207" t="s">
        <v>147</v>
      </c>
      <c r="G1207" t="s">
        <v>34</v>
      </c>
      <c r="H1207" s="52" t="str">
        <f>VLOOKUP(Tabla3[[#This Row],[Site]],'Important Info!'!$A$1:$J$135,10,FALSE)</f>
        <v>https://tools.sig.systems/site/details/277</v>
      </c>
      <c r="I1207" s="66" t="s">
        <v>146</v>
      </c>
      <c r="J1207" t="s">
        <v>41</v>
      </c>
      <c r="K1207" s="79" t="str">
        <f>VLOOKUP(Tabla3[[#This Row],[Site]],'Important Info!'!$A$1:$H$135,8,FALSE)</f>
        <v>-</v>
      </c>
      <c r="L1207" s="52">
        <f>VLOOKUP(Tabla3[[#This Row],[Site]],'Important Info!'!$A$1:$F$135,2,FALSE)</f>
        <v>1</v>
      </c>
      <c r="M1207" s="52" t="str">
        <f>VLOOKUP(Tabla3[[#This Row],[Site]],'Important Info!'!$A$1:$F$135,3,FALSE)</f>
        <v>-</v>
      </c>
      <c r="N1207" s="52" t="str">
        <f>VLOOKUP(Tabla3[[#This Row],[Site]],'Important Info!'!$A$1:$F$135,4,FALSE)</f>
        <v>-</v>
      </c>
      <c r="O1207" s="52">
        <f>VLOOKUP(Tabla3[[#This Row],[Site]],'Important Info!'!$A$1:$F$135,5,FALSE)</f>
        <v>5</v>
      </c>
      <c r="P1207" s="52" t="str">
        <f>VLOOKUP(Tabla3[[#This Row],[Site]],'Important Info!'!$A$1:$F$135,6,FALSE)</f>
        <v>1, 2, 3, 4</v>
      </c>
      <c r="Q1207" s="91">
        <f>VLOOKUP(Tabla3[[#This Row],[Site]],'Important Info!'!$A$1:$J$135,9,FALSE)</f>
        <v>277</v>
      </c>
    </row>
    <row r="1208" spans="1:17" x14ac:dyDescent="0.25">
      <c r="A1208" t="str">
        <f>+Tabla3[[#This Row],[Site]]&amp;Tabla3[[#This Row],[Split]]</f>
        <v>(ML) Nissan of North Little Rock14</v>
      </c>
      <c r="B1208">
        <v>14</v>
      </c>
      <c r="C1208">
        <v>6</v>
      </c>
      <c r="D1208" t="s">
        <v>33</v>
      </c>
      <c r="E1208" t="s">
        <v>46</v>
      </c>
      <c r="F1208" t="s">
        <v>75</v>
      </c>
      <c r="G1208" t="s">
        <v>34</v>
      </c>
      <c r="H1208" s="52" t="str">
        <f>VLOOKUP(Tabla3[[#This Row],[Site]],'Important Info!'!$A$1:$J$135,10,FALSE)</f>
        <v>https://tools.sig.systems/site/details/216</v>
      </c>
      <c r="I1208" s="2" t="s">
        <v>142</v>
      </c>
      <c r="J1208" t="s">
        <v>41</v>
      </c>
      <c r="K1208" s="79" t="str">
        <f>VLOOKUP(Tabla3[[#This Row],[Site]],'Important Info!'!$A$1:$H$135,8,FALSE)</f>
        <v>-</v>
      </c>
      <c r="L1208" s="52" t="str">
        <f>VLOOKUP(Tabla3[[#This Row],[Site]],'Important Info!'!$A$1:$F$135,2,FALSE)</f>
        <v>2, 4</v>
      </c>
      <c r="M1208" s="52" t="str">
        <f>VLOOKUP(Tabla3[[#This Row],[Site]],'Important Info!'!$A$1:$F$135,3,FALSE)</f>
        <v>-</v>
      </c>
      <c r="N1208" s="52" t="str">
        <f>VLOOKUP(Tabla3[[#This Row],[Site]],'Important Info!'!$A$1:$F$135,4,FALSE)</f>
        <v>-</v>
      </c>
      <c r="O1208" s="52" t="str">
        <f>VLOOKUP(Tabla3[[#This Row],[Site]],'Important Info!'!$A$1:$F$135,5,FALSE)</f>
        <v>5, 17, 23</v>
      </c>
      <c r="P1208" s="52">
        <f>VLOOKUP(Tabla3[[#This Row],[Site]],'Important Info!'!$A$1:$F$135,6,FALSE)</f>
        <v>18</v>
      </c>
      <c r="Q1208" s="91">
        <f>VLOOKUP(Tabla3[[#This Row],[Site]],'Important Info!'!$A$1:$J$135,9,FALSE)</f>
        <v>216</v>
      </c>
    </row>
    <row r="1209" spans="1:17" x14ac:dyDescent="0.25">
      <c r="A1209" t="str">
        <f>+Tabla3[[#This Row],[Site]]&amp;Tabla3[[#This Row],[Split]]</f>
        <v>(ML) Volvo Collision Corp14</v>
      </c>
      <c r="B1209">
        <v>14</v>
      </c>
      <c r="C1209">
        <v>6</v>
      </c>
      <c r="D1209" t="s">
        <v>33</v>
      </c>
      <c r="E1209" t="s">
        <v>46</v>
      </c>
      <c r="F1209" t="s">
        <v>106</v>
      </c>
      <c r="G1209" t="s">
        <v>34</v>
      </c>
      <c r="H1209" s="52" t="str">
        <f>VLOOKUP(Tabla3[[#This Row],[Site]],'Important Info!'!$A$1:$J$135,10,FALSE)</f>
        <v>https://tools.sig.systems/site/details/223</v>
      </c>
      <c r="I1209" s="43"/>
      <c r="J1209" t="s">
        <v>41</v>
      </c>
      <c r="K1209" s="79" t="str">
        <f>VLOOKUP(Tabla3[[#This Row],[Site]],'Important Info!'!$A$1:$H$135,8,FALSE)</f>
        <v>-</v>
      </c>
      <c r="L1209" s="52" t="str">
        <f>VLOOKUP(Tabla3[[#This Row],[Site]],'Important Info!'!$A$1:$F$135,2,FALSE)</f>
        <v>7, 11</v>
      </c>
      <c r="M1209" s="52">
        <f>VLOOKUP(Tabla3[[#This Row],[Site]],'Important Info!'!$A$1:$F$135,3,FALSE)</f>
        <v>4</v>
      </c>
      <c r="N1209" s="52" t="str">
        <f>VLOOKUP(Tabla3[[#This Row],[Site]],'Important Info!'!$A$1:$F$135,4,FALSE)</f>
        <v>-</v>
      </c>
      <c r="O1209" s="52">
        <f>VLOOKUP(Tabla3[[#This Row],[Site]],'Important Info!'!$A$1:$F$135,5,FALSE)</f>
        <v>18</v>
      </c>
      <c r="P1209" s="52" t="str">
        <f>VLOOKUP(Tabla3[[#This Row],[Site]],'Important Info!'!$A$1:$F$135,6,FALSE)</f>
        <v>-</v>
      </c>
      <c r="Q1209" s="91">
        <f>VLOOKUP(Tabla3[[#This Row],[Site]],'Important Info!'!$A$1:$J$135,9,FALSE)</f>
        <v>223</v>
      </c>
    </row>
    <row r="1210" spans="1:17" x14ac:dyDescent="0.25">
      <c r="A1210" t="str">
        <f>+Tabla3[[#This Row],[Site]]&amp;Tabla3[[#This Row],[Split]]</f>
        <v>(SCH) Prep Center Delray14</v>
      </c>
      <c r="B1210">
        <v>14</v>
      </c>
      <c r="C1210">
        <v>6</v>
      </c>
      <c r="D1210" t="s">
        <v>62</v>
      </c>
      <c r="E1210" t="s">
        <v>35</v>
      </c>
      <c r="F1210" t="s">
        <v>191</v>
      </c>
      <c r="G1210" t="s">
        <v>490</v>
      </c>
      <c r="H1210" s="52" t="str">
        <f>VLOOKUP(Tabla3[[#This Row],[Site]],'Important Info!'!$A$1:$J$135,10,FALSE)</f>
        <v>https://tools.sig.systems/site/details/321</v>
      </c>
      <c r="J1210" t="s">
        <v>41</v>
      </c>
      <c r="K1210" s="79" t="str">
        <f>VLOOKUP(Tabla3[[#This Row],[Site]],'Important Info!'!$A$1:$H$135,8,FALSE)</f>
        <v>-</v>
      </c>
      <c r="L1210" s="52" t="str">
        <f>VLOOKUP(Tabla3[[#This Row],[Site]],'Important Info!'!$A$1:$F$135,2,FALSE)</f>
        <v>2,3</v>
      </c>
      <c r="M1210" s="52" t="str">
        <f>VLOOKUP(Tabla3[[#This Row],[Site]],'Important Info!'!$A$1:$F$135,3,FALSE)</f>
        <v>-</v>
      </c>
      <c r="N1210" s="52" t="str">
        <f>VLOOKUP(Tabla3[[#This Row],[Site]],'Important Info!'!$A$1:$F$135,4,FALSE)</f>
        <v>-</v>
      </c>
      <c r="O1210" s="52" t="str">
        <f>VLOOKUP(Tabla3[[#This Row],[Site]],'Important Info!'!$A$1:$F$135,5,FALSE)</f>
        <v>-</v>
      </c>
      <c r="P1210" s="52" t="str">
        <f>VLOOKUP(Tabla3[[#This Row],[Site]],'Important Info!'!$A$1:$F$135,6,FALSE)</f>
        <v>2,4,10</v>
      </c>
      <c r="Q1210" s="91">
        <f>VLOOKUP(Tabla3[[#This Row],[Site]],'Important Info!'!$A$1:$J$135,9,FALSE)</f>
        <v>321</v>
      </c>
    </row>
    <row r="1211" spans="1:17" x14ac:dyDescent="0.25">
      <c r="A1211" t="str">
        <f>+Tabla3[[#This Row],[Site]]&amp;Tabla3[[#This Row],[Split]]</f>
        <v>(TC) Tavernier Creek Marina (NO TOURS)14</v>
      </c>
      <c r="B1211">
        <v>14</v>
      </c>
      <c r="C1211">
        <v>6</v>
      </c>
      <c r="D1211" t="s">
        <v>62</v>
      </c>
      <c r="E1211" t="s">
        <v>35</v>
      </c>
      <c r="F1211" t="s">
        <v>119</v>
      </c>
      <c r="G1211" t="s">
        <v>34</v>
      </c>
      <c r="H1211" s="52" t="str">
        <f>VLOOKUP(Tabla3[[#This Row],[Site]],'Important Info!'!$A$1:$J$135,10,FALSE)</f>
        <v>https://tools.sig.systems/site/details/164</v>
      </c>
      <c r="J1211" t="s">
        <v>45</v>
      </c>
      <c r="K1211" s="79" t="str">
        <f>VLOOKUP(Tabla3[[#This Row],[Site]],'Important Info!'!$A$1:$H$135,8,FALSE)</f>
        <v>-</v>
      </c>
      <c r="L1211" s="52" t="str">
        <f>VLOOKUP(Tabla3[[#This Row],[Site]],'Important Info!'!$A$1:$F$135,2,FALSE)</f>
        <v>28, 29</v>
      </c>
      <c r="M1211" s="52" t="str">
        <f>VLOOKUP(Tabla3[[#This Row],[Site]],'Important Info!'!$A$1:$F$135,3,FALSE)</f>
        <v>-</v>
      </c>
      <c r="N1211" s="52" t="str">
        <f>VLOOKUP(Tabla3[[#This Row],[Site]],'Important Info!'!$A$1:$F$135,4,FALSE)</f>
        <v>-</v>
      </c>
      <c r="O1211" s="52" t="str">
        <f>VLOOKUP(Tabla3[[#This Row],[Site]],'Important Info!'!$A$1:$F$135,5,FALSE)</f>
        <v>-</v>
      </c>
      <c r="P1211" s="52" t="str">
        <f>VLOOKUP(Tabla3[[#This Row],[Site]],'Important Info!'!$A$1:$F$135,6,FALSE)</f>
        <v>5, 28, 29</v>
      </c>
      <c r="Q1211" s="91">
        <f>VLOOKUP(Tabla3[[#This Row],[Site]],'Important Info!'!$A$1:$J$135,9,FALSE)</f>
        <v>164</v>
      </c>
    </row>
    <row r="1212" spans="1:17" x14ac:dyDescent="0.25">
      <c r="A1212" t="str">
        <f>+Tabla3[[#This Row],[Site]]&amp;Tabla3[[#This Row],[Split]]</f>
        <v>(WAG) Greeley Chrysler Dodge Jeep Ram (NO TOURS)14</v>
      </c>
      <c r="B1212">
        <v>14</v>
      </c>
      <c r="C1212">
        <v>6</v>
      </c>
      <c r="D1212" t="s">
        <v>44</v>
      </c>
      <c r="E1212" t="s">
        <v>53</v>
      </c>
      <c r="F1212" t="s">
        <v>497</v>
      </c>
      <c r="G1212" t="s">
        <v>45</v>
      </c>
      <c r="H1212" s="52" t="str">
        <f>VLOOKUP(Tabla3[[#This Row],[Site]],'Important Info!'!$A$1:$J$135,10,FALSE)</f>
        <v>https://tools.sig.systems/site/details/130</v>
      </c>
      <c r="I1212" t="s">
        <v>153</v>
      </c>
      <c r="J1212" t="s">
        <v>41</v>
      </c>
      <c r="K1212" s="79" t="str">
        <f>VLOOKUP(Tabla3[[#This Row],[Site]],'Important Info!'!$A$1:$H$135,8,FALSE)</f>
        <v>-</v>
      </c>
      <c r="L1212" s="52" t="str">
        <f>VLOOKUP(Tabla3[[#This Row],[Site]],'Important Info!'!$A$1:$F$135,2,FALSE)</f>
        <v>17, 23 &amp; 18</v>
      </c>
      <c r="M1212" s="52" t="str">
        <f>VLOOKUP(Tabla3[[#This Row],[Site]],'Important Info!'!$A$1:$F$135,3,FALSE)</f>
        <v>4, 5, 6, 7, 8, 51, 55</v>
      </c>
      <c r="N1212" s="52" t="str">
        <f>VLOOKUP(Tabla3[[#This Row],[Site]],'Important Info!'!$A$1:$F$135,4,FALSE)</f>
        <v>-</v>
      </c>
      <c r="O1212" s="52" t="str">
        <f>VLOOKUP(Tabla3[[#This Row],[Site]],'Important Info!'!$A$1:$F$135,5,FALSE)</f>
        <v>3, 13, 17, 49, 53, 59</v>
      </c>
      <c r="P1212" s="52" t="str">
        <f>VLOOKUP(Tabla3[[#This Row],[Site]],'Important Info!'!$A$1:$F$135,6,FALSE)</f>
        <v>8, 9, 10, 51, 62</v>
      </c>
      <c r="Q1212" s="91">
        <f>VLOOKUP(Tabla3[[#This Row],[Site]],'Important Info!'!$A$1:$J$135,9,FALSE)</f>
        <v>130</v>
      </c>
    </row>
    <row r="1213" spans="1:17" x14ac:dyDescent="0.25">
      <c r="A1213" t="str">
        <f>+Tabla3[[#This Row],[Site]]&amp;Tabla3[[#This Row],[Split]]</f>
        <v>(AS) Atwell Prep Center-Dallas (NO TOURS)14</v>
      </c>
      <c r="B1213">
        <v>14</v>
      </c>
      <c r="C1213">
        <v>7</v>
      </c>
      <c r="D1213" t="s">
        <v>33</v>
      </c>
      <c r="E1213" t="s">
        <v>46</v>
      </c>
      <c r="F1213" t="s">
        <v>498</v>
      </c>
      <c r="G1213" t="s">
        <v>34</v>
      </c>
      <c r="H1213" s="52" t="str">
        <f>VLOOKUP(Tabla3[[#This Row],[Site]],'Important Info!'!$A$1:$J$135,10,FALSE)</f>
        <v>https://tools.sig.systems/site/details/165</v>
      </c>
      <c r="I1213" s="65" t="s">
        <v>125</v>
      </c>
      <c r="J1213" t="s">
        <v>41</v>
      </c>
      <c r="K1213" s="79" t="str">
        <f>VLOOKUP(Tabla3[[#This Row],[Site]],'Important Info!'!$A$1:$H$135,8,FALSE)</f>
        <v>-</v>
      </c>
      <c r="L1213" s="52" t="str">
        <f>VLOOKUP(Tabla3[[#This Row],[Site]],'Important Info!'!$A$1:$F$135,2,FALSE)</f>
        <v>4, 6, 7</v>
      </c>
      <c r="M1213" s="52" t="str">
        <f>VLOOKUP(Tabla3[[#This Row],[Site]],'Important Info!'!$A$1:$F$135,3,FALSE)</f>
        <v>-</v>
      </c>
      <c r="N1213" s="52" t="str">
        <f>VLOOKUP(Tabla3[[#This Row],[Site]],'Important Info!'!$A$1:$F$135,4,FALSE)</f>
        <v>-</v>
      </c>
      <c r="O1213" s="52" t="str">
        <f>VLOOKUP(Tabla3[[#This Row],[Site]],'Important Info!'!$A$1:$F$135,5,FALSE)</f>
        <v>-</v>
      </c>
      <c r="P1213" s="52" t="str">
        <f>VLOOKUP(Tabla3[[#This Row],[Site]],'Important Info!'!$A$1:$F$135,6,FALSE)</f>
        <v>1, 2</v>
      </c>
      <c r="Q1213" s="91">
        <f>VLOOKUP(Tabla3[[#This Row],[Site]],'Important Info!'!$A$1:$J$135,9,FALSE)</f>
        <v>165</v>
      </c>
    </row>
    <row r="1214" spans="1:17" x14ac:dyDescent="0.25">
      <c r="A1214" t="str">
        <f>+Tabla3[[#This Row],[Site]]&amp;Tabla3[[#This Row],[Split]]</f>
        <v>(AS) Courtesy CDJR of Brandon (NO TOURS)14</v>
      </c>
      <c r="B1214">
        <v>14</v>
      </c>
      <c r="C1214">
        <v>7</v>
      </c>
      <c r="D1214" t="s">
        <v>62</v>
      </c>
      <c r="E1214" t="s">
        <v>35</v>
      </c>
      <c r="F1214" t="s">
        <v>503</v>
      </c>
      <c r="G1214" t="s">
        <v>490</v>
      </c>
      <c r="H1214" s="52" t="str">
        <f>VLOOKUP(Tabla3[[#This Row],[Site]],'Important Info!'!$A$1:$J$135,10,FALSE)</f>
        <v>https://tools.sig.systems/site/details/126</v>
      </c>
      <c r="I1214" s="43" t="s">
        <v>181</v>
      </c>
      <c r="J1214" t="s">
        <v>484</v>
      </c>
      <c r="K1214" s="79" t="str">
        <f>VLOOKUP(Tabla3[[#This Row],[Site]],'Important Info!'!$A$1:$H$135,8,FALSE)</f>
        <v>-</v>
      </c>
      <c r="L1214" s="52" t="str">
        <f>VLOOKUP(Tabla3[[#This Row],[Site]],'Important Info!'!$A$1:$F$135,2,FALSE)</f>
        <v>1, 14, 15</v>
      </c>
      <c r="M1214" s="52">
        <f>VLOOKUP(Tabla3[[#This Row],[Site]],'Important Info!'!$A$1:$F$135,3,FALSE)</f>
        <v>1</v>
      </c>
      <c r="N1214" s="52" t="str">
        <f>VLOOKUP(Tabla3[[#This Row],[Site]],'Important Info!'!$A$1:$F$135,4,FALSE)</f>
        <v>-</v>
      </c>
      <c r="O1214" s="52" t="str">
        <f>VLOOKUP(Tabla3[[#This Row],[Site]],'Important Info!'!$A$1:$F$135,5,FALSE)</f>
        <v>2, 12</v>
      </c>
      <c r="P1214" s="52" t="str">
        <f>VLOOKUP(Tabla3[[#This Row],[Site]],'Important Info!'!$A$1:$F$135,6,FALSE)</f>
        <v xml:space="preserve">1, 2, 3, 4, 14, 15, 21, 25 </v>
      </c>
      <c r="Q1214" s="91">
        <f>VLOOKUP(Tabla3[[#This Row],[Site]],'Important Info!'!$A$1:$J$135,9,FALSE)</f>
        <v>126</v>
      </c>
    </row>
    <row r="1215" spans="1:17" x14ac:dyDescent="0.25">
      <c r="A1215" t="str">
        <f>+Tabla3[[#This Row],[Site]]&amp;Tabla3[[#This Row],[Split]]</f>
        <v>(AS) Park Place Mercedes Benz Ft. Worth (NO TOURS)14</v>
      </c>
      <c r="B1215">
        <v>14</v>
      </c>
      <c r="C1215">
        <v>7</v>
      </c>
      <c r="D1215" t="s">
        <v>33</v>
      </c>
      <c r="E1215" t="s">
        <v>46</v>
      </c>
      <c r="F1215" t="s">
        <v>519</v>
      </c>
      <c r="G1215" t="s">
        <v>34</v>
      </c>
      <c r="H1215" s="52" t="str">
        <f>VLOOKUP(Tabla3[[#This Row],[Site]],'Important Info!'!$A$1:$J$135,10,FALSE)</f>
        <v>https://tools.sig.systems/site/details/137</v>
      </c>
      <c r="I1215" t="s">
        <v>128</v>
      </c>
      <c r="J1215" t="s">
        <v>41</v>
      </c>
      <c r="K1215" s="79" t="s">
        <v>37</v>
      </c>
      <c r="L1215" s="52" t="str">
        <f>VLOOKUP(Tabla3[[#This Row],[Site]],'Important Info!'!$A$1:$F$135,2,FALSE)</f>
        <v>4, 18</v>
      </c>
      <c r="M1215" s="52" t="str">
        <f>VLOOKUP(Tabla3[[#This Row],[Site]],'Important Info!'!$A$1:$F$135,3,FALSE)</f>
        <v>-</v>
      </c>
      <c r="N1215" s="52" t="str">
        <f>VLOOKUP(Tabla3[[#This Row],[Site]],'Important Info!'!$A$1:$F$135,4,FALSE)</f>
        <v>54, 55</v>
      </c>
      <c r="O1215" s="52" t="str">
        <f>VLOOKUP(Tabla3[[#This Row],[Site]],'Important Info!'!$A$1:$F$135,5,FALSE)</f>
        <v>2, 18</v>
      </c>
      <c r="P1215" s="52" t="str">
        <f>VLOOKUP(Tabla3[[#This Row],[Site]],'Important Info!'!$A$1:$F$135,6,FALSE)</f>
        <v>5, 18</v>
      </c>
      <c r="Q1215" s="91">
        <f>VLOOKUP(Tabla3[[#This Row],[Site]],'Important Info!'!$A$1:$J$135,9,FALSE)</f>
        <v>137</v>
      </c>
    </row>
    <row r="1216" spans="1:17" x14ac:dyDescent="0.25">
      <c r="A1216" t="str">
        <f>+Tabla3[[#This Row],[Site]]&amp;Tabla3[[#This Row],[Split]]</f>
        <v>(AS) Stevinson Toyota West (NO TOURS)14</v>
      </c>
      <c r="B1216">
        <v>14</v>
      </c>
      <c r="C1216">
        <v>7</v>
      </c>
      <c r="D1216" t="s">
        <v>44</v>
      </c>
      <c r="E1216" t="s">
        <v>53</v>
      </c>
      <c r="F1216" t="s">
        <v>79</v>
      </c>
      <c r="G1216" t="s">
        <v>45</v>
      </c>
      <c r="H1216" s="52" t="str">
        <f>VLOOKUP(Tabla3[[#This Row],[Site]],'Important Info!'!$A$1:$J$135,10,FALSE)</f>
        <v>https://tools.sig.systems/site/details/240</v>
      </c>
      <c r="I1216" s="2" t="s">
        <v>154</v>
      </c>
      <c r="J1216" t="s">
        <v>41</v>
      </c>
      <c r="K1216" s="79" t="str">
        <f>VLOOKUP(Tabla3[[#This Row],[Site]],'Important Info!'!$A$1:$H$135,8,FALSE)</f>
        <v>-</v>
      </c>
      <c r="L1216" s="52" t="str">
        <f>VLOOKUP(Tabla3[[#This Row],[Site]],'Important Info!'!$A$1:$F$135,2,FALSE)</f>
        <v>-</v>
      </c>
      <c r="M1216" s="52" t="str">
        <f>VLOOKUP(Tabla3[[#This Row],[Site]],'Important Info!'!$A$1:$F$135,3,FALSE)</f>
        <v>7, 18, 21</v>
      </c>
      <c r="N1216" s="52" t="str">
        <f>VLOOKUP(Tabla3[[#This Row],[Site]],'Important Info!'!$A$1:$F$135,4,FALSE)</f>
        <v>-</v>
      </c>
      <c r="O1216" s="52" t="str">
        <f>VLOOKUP(Tabla3[[#This Row],[Site]],'Important Info!'!$A$1:$F$135,5,FALSE)</f>
        <v>11, 24, 34</v>
      </c>
      <c r="P1216" s="52" t="str">
        <f>VLOOKUP(Tabla3[[#This Row],[Site]],'Important Info!'!$A$1:$F$135,6,FALSE)</f>
        <v>1, 2, 3, 12</v>
      </c>
      <c r="Q1216" s="91">
        <f>VLOOKUP(Tabla3[[#This Row],[Site]],'Important Info!'!$A$1:$J$135,9,FALSE)</f>
        <v>240</v>
      </c>
    </row>
    <row r="1217" spans="1:17" x14ac:dyDescent="0.25">
      <c r="A1217" t="str">
        <f>+Tabla3[[#This Row],[Site]]&amp;Tabla3[[#This Row],[Split]]</f>
        <v>(DT) Louisville14</v>
      </c>
      <c r="B1217">
        <v>14</v>
      </c>
      <c r="C1217">
        <v>7</v>
      </c>
      <c r="D1217" t="s">
        <v>62</v>
      </c>
      <c r="E1217" t="s">
        <v>35</v>
      </c>
      <c r="F1217" t="s">
        <v>99</v>
      </c>
      <c r="G1217" t="s">
        <v>490</v>
      </c>
      <c r="H1217" s="52" t="str">
        <f>VLOOKUP(Tabla3[[#This Row],[Site]],'Important Info!'!$A$1:$J$135,10,FALSE)</f>
        <v>https://tools.sig.systems/site/details/258</v>
      </c>
      <c r="J1217" t="s">
        <v>41</v>
      </c>
      <c r="K1217" s="79" t="str">
        <f>VLOOKUP(Tabla3[[#This Row],[Site]],'Important Info!'!$A$1:$H$135,8,FALSE)</f>
        <v>-</v>
      </c>
      <c r="L1217" s="52" t="str">
        <f>VLOOKUP(Tabla3[[#This Row],[Site]],'Important Info!'!$A$1:$F$135,2,FALSE)</f>
        <v>-</v>
      </c>
      <c r="M1217" s="52">
        <f>VLOOKUP(Tabla3[[#This Row],[Site]],'Important Info!'!$A$1:$F$135,3,FALSE)</f>
        <v>3</v>
      </c>
      <c r="N1217" s="52" t="str">
        <f>VLOOKUP(Tabla3[[#This Row],[Site]],'Important Info!'!$A$1:$F$135,4,FALSE)</f>
        <v>-</v>
      </c>
      <c r="O1217" s="52" t="str">
        <f>VLOOKUP(Tabla3[[#This Row],[Site]],'Important Info!'!$A$1:$F$135,5,FALSE)</f>
        <v>-</v>
      </c>
      <c r="P1217" s="52" t="str">
        <f>VLOOKUP(Tabla3[[#This Row],[Site]],'Important Info!'!$A$1:$F$135,6,FALSE)</f>
        <v>3, 8</v>
      </c>
      <c r="Q1217" s="91">
        <f>VLOOKUP(Tabla3[[#This Row],[Site]],'Important Info!'!$A$1:$J$135,9,FALSE)</f>
        <v>258</v>
      </c>
    </row>
    <row r="1218" spans="1:17" x14ac:dyDescent="0.25">
      <c r="A1218" t="str">
        <f>+Tabla3[[#This Row],[Site]]&amp;Tabla3[[#This Row],[Split]]</f>
        <v>(ML) Honda of Little Rock14</v>
      </c>
      <c r="B1218">
        <v>14</v>
      </c>
      <c r="C1218">
        <v>7</v>
      </c>
      <c r="D1218" t="s">
        <v>33</v>
      </c>
      <c r="E1218" t="s">
        <v>46</v>
      </c>
      <c r="F1218" t="s">
        <v>71</v>
      </c>
      <c r="G1218" t="s">
        <v>34</v>
      </c>
      <c r="H1218" s="52" t="str">
        <f>VLOOKUP(Tabla3[[#This Row],[Site]],'Important Info!'!$A$1:$J$135,10,FALSE)</f>
        <v>https://tools.sig.systems/site/details/249</v>
      </c>
      <c r="I1218" s="2" t="s">
        <v>140</v>
      </c>
      <c r="J1218" t="s">
        <v>41</v>
      </c>
      <c r="K1218" s="79" t="str">
        <f>VLOOKUP(Tabla3[[#This Row],[Site]],'Important Info!'!$A$1:$H$135,8,FALSE)</f>
        <v>-</v>
      </c>
      <c r="L1218" s="52" t="str">
        <f>VLOOKUP(Tabla3[[#This Row],[Site]],'Important Info!'!$A$1:$F$135,2,FALSE)</f>
        <v>1, 4, 9, 14, 21</v>
      </c>
      <c r="M1218" s="52" t="str">
        <f>VLOOKUP(Tabla3[[#This Row],[Site]],'Important Info!'!$A$1:$F$135,3,FALSE)</f>
        <v>-</v>
      </c>
      <c r="N1218" s="52" t="str">
        <f>VLOOKUP(Tabla3[[#This Row],[Site]],'Important Info!'!$A$1:$F$135,4,FALSE)</f>
        <v>-</v>
      </c>
      <c r="O1218" s="52" t="str">
        <f>VLOOKUP(Tabla3[[#This Row],[Site]],'Important Info!'!$A$1:$F$135,5,FALSE)</f>
        <v>4, 14, 21</v>
      </c>
      <c r="P1218" s="52" t="str">
        <f>VLOOKUP(Tabla3[[#This Row],[Site]],'Important Info!'!$A$1:$F$135,6,FALSE)</f>
        <v>11, 12</v>
      </c>
      <c r="Q1218" s="91">
        <f>VLOOKUP(Tabla3[[#This Row],[Site]],'Important Info!'!$A$1:$J$135,9,FALSE)</f>
        <v>249</v>
      </c>
    </row>
    <row r="1219" spans="1:17" x14ac:dyDescent="0.25">
      <c r="A1219" t="str">
        <f>+Tabla3[[#This Row],[Site]]&amp;Tabla3[[#This Row],[Split]]</f>
        <v>(ML) Joe Machens Temporary 2.014</v>
      </c>
      <c r="B1219">
        <v>14</v>
      </c>
      <c r="C1219">
        <v>7</v>
      </c>
      <c r="D1219" t="s">
        <v>33</v>
      </c>
      <c r="E1219" t="s">
        <v>46</v>
      </c>
      <c r="F1219" t="s">
        <v>105</v>
      </c>
      <c r="G1219" t="s">
        <v>34</v>
      </c>
      <c r="H1219" s="52" t="str">
        <f>VLOOKUP(Tabla3[[#This Row],[Site]],'Important Info!'!$A$1:$J$135,10,FALSE)</f>
        <v>https://tools.sig.systems/site/details/278</v>
      </c>
      <c r="I1219" s="43" t="s">
        <v>146</v>
      </c>
      <c r="J1219" t="s">
        <v>41</v>
      </c>
      <c r="K1219" s="79" t="str">
        <f>VLOOKUP(Tabla3[[#This Row],[Site]],'Important Info!'!$A$1:$H$135,8,FALSE)</f>
        <v>-</v>
      </c>
      <c r="L1219" s="52" t="str">
        <f>VLOOKUP(Tabla3[[#This Row],[Site]],'Important Info!'!$A$1:$F$135,2,FALSE)</f>
        <v>-</v>
      </c>
      <c r="M1219" s="52" t="str">
        <f>VLOOKUP(Tabla3[[#This Row],[Site]],'Important Info!'!$A$1:$F$135,3,FALSE)</f>
        <v>1, 11, 14, 15, 16</v>
      </c>
      <c r="N1219" s="52" t="str">
        <f>VLOOKUP(Tabla3[[#This Row],[Site]],'Important Info!'!$A$1:$F$135,4,FALSE)</f>
        <v>-</v>
      </c>
      <c r="O1219" s="52">
        <f>VLOOKUP(Tabla3[[#This Row],[Site]],'Important Info!'!$A$1:$F$135,5,FALSE)</f>
        <v>13</v>
      </c>
      <c r="P1219" s="52" t="str">
        <f>VLOOKUP(Tabla3[[#This Row],[Site]],'Important Info!'!$A$1:$F$135,6,FALSE)</f>
        <v>-</v>
      </c>
      <c r="Q1219" s="91">
        <f>VLOOKUP(Tabla3[[#This Row],[Site]],'Important Info!'!$A$1:$J$135,9,FALSE)</f>
        <v>278</v>
      </c>
    </row>
    <row r="1220" spans="1:17" x14ac:dyDescent="0.25">
      <c r="A1220" t="str">
        <f>+Tabla3[[#This Row],[Site]]&amp;Tabla3[[#This Row],[Split]]</f>
        <v>(PE) BMW Tenafly (NO TOURS)14</v>
      </c>
      <c r="B1220">
        <v>14</v>
      </c>
      <c r="C1220">
        <v>7</v>
      </c>
      <c r="D1220" t="s">
        <v>485</v>
      </c>
      <c r="E1220" t="s">
        <v>35</v>
      </c>
      <c r="F1220" t="s">
        <v>173</v>
      </c>
      <c r="G1220" t="s">
        <v>490</v>
      </c>
      <c r="H1220" s="52" t="str">
        <f>VLOOKUP(Tabla3[[#This Row],[Site]],'Important Info!'!$A$1:$J$135,10,FALSE)</f>
        <v>https://tools.sig.systems/site/details/155</v>
      </c>
      <c r="I1220" s="43"/>
      <c r="J1220" t="s">
        <v>41</v>
      </c>
      <c r="K1220" s="79" t="str">
        <f>VLOOKUP(Tabla3[[#This Row],[Site]],'Important Info!'!$A$1:$H$135,8,FALSE)</f>
        <v>-</v>
      </c>
      <c r="L1220" s="52">
        <f>VLOOKUP(Tabla3[[#This Row],[Site]],'Important Info!'!$A$1:$F$135,2,FALSE)</f>
        <v>24</v>
      </c>
      <c r="M1220" s="52" t="str">
        <f>VLOOKUP(Tabla3[[#This Row],[Site]],'Important Info!'!$A$1:$F$135,3,FALSE)</f>
        <v>1, 3, 4, 17, 23</v>
      </c>
      <c r="N1220" s="52" t="str">
        <f>VLOOKUP(Tabla3[[#This Row],[Site]],'Important Info!'!$A$1:$F$135,4,FALSE)</f>
        <v>-</v>
      </c>
      <c r="O1220" s="52" t="str">
        <f>VLOOKUP(Tabla3[[#This Row],[Site]],'Important Info!'!$A$1:$F$135,5,FALSE)</f>
        <v>-</v>
      </c>
      <c r="P1220" s="52">
        <f>VLOOKUP(Tabla3[[#This Row],[Site]],'Important Info!'!$A$1:$F$135,6,FALSE)</f>
        <v>1</v>
      </c>
      <c r="Q1220" s="91">
        <f>VLOOKUP(Tabla3[[#This Row],[Site]],'Important Info!'!$A$1:$J$135,9,FALSE)</f>
        <v>155</v>
      </c>
    </row>
    <row r="1221" spans="1:17" x14ac:dyDescent="0.25">
      <c r="A1221" t="str">
        <f>+Tabla3[[#This Row],[Site]]&amp;Tabla3[[#This Row],[Split]]</f>
        <v>(SCH) Auto Body Shop Lake Park14</v>
      </c>
      <c r="B1221">
        <v>14</v>
      </c>
      <c r="C1221">
        <v>7</v>
      </c>
      <c r="D1221" t="s">
        <v>62</v>
      </c>
      <c r="E1221" t="s">
        <v>35</v>
      </c>
      <c r="F1221" t="s">
        <v>189</v>
      </c>
      <c r="G1221" t="s">
        <v>490</v>
      </c>
      <c r="H1221" s="52" t="str">
        <f>VLOOKUP(Tabla3[[#This Row],[Site]],'Important Info!'!$A$1:$J$135,10,FALSE)</f>
        <v>https://tools.sig.systems/site/details/158</v>
      </c>
      <c r="I1221" s="2"/>
      <c r="J1221" t="s">
        <v>41</v>
      </c>
      <c r="K1221" s="79" t="str">
        <f>VLOOKUP(Tabla3[[#This Row],[Site]],'Important Info!'!$A$1:$H$135,8,FALSE)</f>
        <v>-</v>
      </c>
      <c r="L1221" s="52" t="str">
        <f>VLOOKUP(Tabla3[[#This Row],[Site]],'Important Info!'!$A$1:$F$135,2,FALSE)</f>
        <v>3, 10</v>
      </c>
      <c r="M1221" s="52" t="str">
        <f>VLOOKUP(Tabla3[[#This Row],[Site]],'Important Info!'!$A$1:$F$135,3,FALSE)</f>
        <v>-</v>
      </c>
      <c r="N1221" s="52" t="str">
        <f>VLOOKUP(Tabla3[[#This Row],[Site]],'Important Info!'!$A$1:$F$135,4,FALSE)</f>
        <v>-</v>
      </c>
      <c r="O1221" s="52" t="str">
        <f>VLOOKUP(Tabla3[[#This Row],[Site]],'Important Info!'!$A$1:$F$135,5,FALSE)</f>
        <v>-</v>
      </c>
      <c r="P1221" s="52" t="str">
        <f>VLOOKUP(Tabla3[[#This Row],[Site]],'Important Info!'!$A$1:$F$135,6,FALSE)</f>
        <v>-</v>
      </c>
      <c r="Q1221" s="91">
        <f>VLOOKUP(Tabla3[[#This Row],[Site]],'Important Info!'!$A$1:$J$135,9,FALSE)</f>
        <v>158</v>
      </c>
    </row>
    <row r="1222" spans="1:17" x14ac:dyDescent="0.25">
      <c r="A1222" t="str">
        <f>+Tabla3[[#This Row],[Site]]&amp;Tabla3[[#This Row],[Split]]</f>
        <v>(AS) Courtesy Honda Palm Harbor (NO TOURS)14</v>
      </c>
      <c r="B1222">
        <v>14</v>
      </c>
      <c r="C1222">
        <v>8</v>
      </c>
      <c r="D1222" t="s">
        <v>62</v>
      </c>
      <c r="E1222" t="s">
        <v>35</v>
      </c>
      <c r="F1222" t="s">
        <v>108</v>
      </c>
      <c r="G1222" t="s">
        <v>490</v>
      </c>
      <c r="H1222" s="52" t="str">
        <f>VLOOKUP(Tabla3[[#This Row],[Site]],'Important Info!'!$A$1:$J$135,10,FALSE)</f>
        <v>https://tools.sig.systems/site/details/176</v>
      </c>
      <c r="I1222" s="43"/>
      <c r="J1222" t="s">
        <v>36</v>
      </c>
      <c r="K1222" s="79" t="str">
        <f>VLOOKUP(Tabla3[[#This Row],[Site]],'Important Info!'!$A$1:$H$135,8,FALSE)</f>
        <v>-</v>
      </c>
      <c r="L1222" s="52">
        <f>VLOOKUP(Tabla3[[#This Row],[Site]],'Important Info!'!$A$1:$F$135,2,FALSE)</f>
        <v>2</v>
      </c>
      <c r="M1222" s="52" t="str">
        <f>VLOOKUP(Tabla3[[#This Row],[Site]],'Important Info!'!$A$1:$F$135,3,FALSE)</f>
        <v>-</v>
      </c>
      <c r="N1222" s="52" t="str">
        <f>VLOOKUP(Tabla3[[#This Row],[Site]],'Important Info!'!$A$1:$F$135,4,FALSE)</f>
        <v>-</v>
      </c>
      <c r="O1222" s="52" t="str">
        <f>VLOOKUP(Tabla3[[#This Row],[Site]],'Important Info!'!$A$1:$F$135,5,FALSE)</f>
        <v>4, 8, 21</v>
      </c>
      <c r="P1222" s="52">
        <f>VLOOKUP(Tabla3[[#This Row],[Site]],'Important Info!'!$A$1:$F$135,6,FALSE)</f>
        <v>10</v>
      </c>
      <c r="Q1222" s="91">
        <f>VLOOKUP(Tabla3[[#This Row],[Site]],'Important Info!'!$A$1:$J$135,9,FALSE)</f>
        <v>176</v>
      </c>
    </row>
    <row r="1223" spans="1:17" x14ac:dyDescent="0.25">
      <c r="A1223" t="str">
        <f>+Tabla3[[#This Row],[Site]]&amp;Tabla3[[#This Row],[Split]]</f>
        <v>(AS) Park Place Bodywerks Dallas (NO TOURS)14</v>
      </c>
      <c r="B1223">
        <v>14</v>
      </c>
      <c r="C1223">
        <v>8</v>
      </c>
      <c r="D1223" t="s">
        <v>33</v>
      </c>
      <c r="E1223" t="s">
        <v>46</v>
      </c>
      <c r="F1223" t="s">
        <v>514</v>
      </c>
      <c r="G1223" t="s">
        <v>34</v>
      </c>
      <c r="H1223" s="52" t="str">
        <f>VLOOKUP(Tabla3[[#This Row],[Site]],'Important Info!'!$A$1:$J$135,10,FALSE)</f>
        <v>https://tools.sig.systems/site/details/166</v>
      </c>
      <c r="I1223" s="65" t="s">
        <v>125</v>
      </c>
      <c r="J1223" t="s">
        <v>41</v>
      </c>
      <c r="K1223" s="79" t="str">
        <f>VLOOKUP(Tabla3[[#This Row],[Site]],'Important Info!'!$A$1:$H$135,8,FALSE)</f>
        <v>-</v>
      </c>
      <c r="L1223" s="52">
        <f>VLOOKUP(Tabla3[[#This Row],[Site]],'Important Info!'!$A$1:$F$135,2,FALSE)</f>
        <v>3</v>
      </c>
      <c r="M1223" s="52">
        <f>VLOOKUP(Tabla3[[#This Row],[Site]],'Important Info!'!$A$1:$F$135,3,FALSE)</f>
        <v>1</v>
      </c>
      <c r="N1223" s="52" t="str">
        <f>VLOOKUP(Tabla3[[#This Row],[Site]],'Important Info!'!$A$1:$F$135,4,FALSE)</f>
        <v>-</v>
      </c>
      <c r="O1223" s="52" t="str">
        <f>VLOOKUP(Tabla3[[#This Row],[Site]],'Important Info!'!$A$1:$F$135,5,FALSE)</f>
        <v>-</v>
      </c>
      <c r="P1223" s="52" t="str">
        <f>VLOOKUP(Tabla3[[#This Row],[Site]],'Important Info!'!$A$1:$F$135,6,FALSE)</f>
        <v>1, 2, 8</v>
      </c>
      <c r="Q1223" s="91">
        <f>VLOOKUP(Tabla3[[#This Row],[Site]],'Important Info!'!$A$1:$J$135,9,FALSE)</f>
        <v>166</v>
      </c>
    </row>
    <row r="1224" spans="1:17" x14ac:dyDescent="0.25">
      <c r="A1224" t="str">
        <f>+Tabla3[[#This Row],[Site]]&amp;Tabla3[[#This Row],[Split]]</f>
        <v>(AS) Stevinson Porsche of Littleton (NO TOURS)14</v>
      </c>
      <c r="B1224">
        <v>14</v>
      </c>
      <c r="C1224">
        <v>8</v>
      </c>
      <c r="D1224" t="s">
        <v>44</v>
      </c>
      <c r="E1224" t="s">
        <v>53</v>
      </c>
      <c r="F1224" t="s">
        <v>78</v>
      </c>
      <c r="G1224" t="s">
        <v>45</v>
      </c>
      <c r="H1224" s="52" t="str">
        <f>VLOOKUP(Tabla3[[#This Row],[Site]],'Important Info!'!$A$1:$J$135,10,FALSE)</f>
        <v>https://tools.sig.systems/site/details/242</v>
      </c>
      <c r="J1224" t="s">
        <v>41</v>
      </c>
      <c r="K1224" s="79" t="str">
        <f>VLOOKUP(Tabla3[[#This Row],[Site]],'Important Info!'!$A$1:$H$135,8,FALSE)</f>
        <v>-</v>
      </c>
      <c r="L1224" s="52" t="str">
        <f>VLOOKUP(Tabla3[[#This Row],[Site]],'Important Info!'!$A$1:$F$135,2,FALSE)</f>
        <v>3, 4</v>
      </c>
      <c r="M1224" s="52">
        <f>VLOOKUP(Tabla3[[#This Row],[Site]],'Important Info!'!$A$1:$F$135,3,FALSE)</f>
        <v>2</v>
      </c>
      <c r="N1224" s="52" t="str">
        <f>VLOOKUP(Tabla3[[#This Row],[Site]],'Important Info!'!$A$1:$F$135,4,FALSE)</f>
        <v>-</v>
      </c>
      <c r="O1224" s="52" t="str">
        <f>VLOOKUP(Tabla3[[#This Row],[Site]],'Important Info!'!$A$1:$F$135,5,FALSE)</f>
        <v>-</v>
      </c>
      <c r="P1224" s="52" t="str">
        <f>VLOOKUP(Tabla3[[#This Row],[Site]],'Important Info!'!$A$1:$F$135,6,FALSE)</f>
        <v>3, 4</v>
      </c>
      <c r="Q1224" s="91">
        <f>VLOOKUP(Tabla3[[#This Row],[Site]],'Important Info!'!$A$1:$J$135,9,FALSE)</f>
        <v>242</v>
      </c>
    </row>
    <row r="1225" spans="1:17" x14ac:dyDescent="0.25">
      <c r="A1225" t="str">
        <f>+Tabla3[[#This Row],[Site]]&amp;Tabla3[[#This Row],[Split]]</f>
        <v>(DT) N. Houston14</v>
      </c>
      <c r="B1225">
        <v>14</v>
      </c>
      <c r="C1225">
        <v>8</v>
      </c>
      <c r="D1225" t="s">
        <v>33</v>
      </c>
      <c r="E1225" t="s">
        <v>46</v>
      </c>
      <c r="F1225" t="s">
        <v>68</v>
      </c>
      <c r="G1225" t="s">
        <v>34</v>
      </c>
      <c r="H1225" s="52" t="str">
        <f>VLOOKUP(Tabla3[[#This Row],[Site]],'Important Info!'!$A$1:$J$135,10,FALSE)</f>
        <v>https://tools.sig.systems/site/details/250</v>
      </c>
      <c r="I1225" s="43"/>
      <c r="J1225" t="s">
        <v>41</v>
      </c>
      <c r="K1225" s="79" t="str">
        <f>VLOOKUP(Tabla3[[#This Row],[Site]],'Important Info!'!$A$1:$H$135,8,FALSE)</f>
        <v>-</v>
      </c>
      <c r="L1225" s="52" t="str">
        <f>VLOOKUP(Tabla3[[#This Row],[Site]],'Important Info!'!$A$1:$F$135,2,FALSE)</f>
        <v>2, 10, 18</v>
      </c>
      <c r="M1225" s="52" t="str">
        <f>VLOOKUP(Tabla3[[#This Row],[Site]],'Important Info!'!$A$1:$F$135,3,FALSE)</f>
        <v>-</v>
      </c>
      <c r="N1225" s="52" t="str">
        <f>VLOOKUP(Tabla3[[#This Row],[Site]],'Important Info!'!$A$1:$F$135,4,FALSE)</f>
        <v>-</v>
      </c>
      <c r="O1225" s="52">
        <f>VLOOKUP(Tabla3[[#This Row],[Site]],'Important Info!'!$A$1:$F$135,5,FALSE)</f>
        <v>15</v>
      </c>
      <c r="P1225" s="52" t="str">
        <f>VLOOKUP(Tabla3[[#This Row],[Site]],'Important Info!'!$A$1:$F$135,6,FALSE)</f>
        <v>2, 4, 18</v>
      </c>
      <c r="Q1225" s="91">
        <f>VLOOKUP(Tabla3[[#This Row],[Site]],'Important Info!'!$A$1:$J$135,9,FALSE)</f>
        <v>250</v>
      </c>
    </row>
    <row r="1226" spans="1:17" x14ac:dyDescent="0.25">
      <c r="A1226" t="str">
        <f>+Tabla3[[#This Row],[Site]]&amp;Tabla3[[#This Row],[Split]]</f>
        <v>(JE) Jim Ellis Ford Sandy Springs14</v>
      </c>
      <c r="B1226">
        <v>14</v>
      </c>
      <c r="C1226">
        <v>8</v>
      </c>
      <c r="D1226" t="s">
        <v>62</v>
      </c>
      <c r="E1226" t="s">
        <v>35</v>
      </c>
      <c r="F1226" t="s">
        <v>187</v>
      </c>
      <c r="G1226" t="s">
        <v>490</v>
      </c>
      <c r="H1226" s="52" t="str">
        <f>VLOOKUP(Tabla3[[#This Row],[Site]],'Important Info!'!$A$1:$J$135,10,FALSE)</f>
        <v>https://tools.sig.systems/site/details/142</v>
      </c>
      <c r="I1226" s="2"/>
      <c r="J1226" t="s">
        <v>41</v>
      </c>
      <c r="K1226" s="79" t="str">
        <f>VLOOKUP(Tabla3[[#This Row],[Site]],'Important Info!'!$A$1:$H$135,8,FALSE)</f>
        <v>-</v>
      </c>
      <c r="L1226" s="52" t="str">
        <f>VLOOKUP(Tabla3[[#This Row],[Site]],'Important Info!'!$A$1:$F$135,2,FALSE)</f>
        <v>1, 5</v>
      </c>
      <c r="M1226" s="52" t="str">
        <f>VLOOKUP(Tabla3[[#This Row],[Site]],'Important Info!'!$A$1:$F$135,3,FALSE)</f>
        <v>-</v>
      </c>
      <c r="N1226" s="52" t="str">
        <f>VLOOKUP(Tabla3[[#This Row],[Site]],'Important Info!'!$A$1:$F$135,4,FALSE)</f>
        <v>-</v>
      </c>
      <c r="O1226" s="52" t="str">
        <f>VLOOKUP(Tabla3[[#This Row],[Site]],'Important Info!'!$A$1:$F$135,5,FALSE)</f>
        <v>1, 5, 9, 26</v>
      </c>
      <c r="P1226" s="52" t="str">
        <f>VLOOKUP(Tabla3[[#This Row],[Site]],'Important Info!'!$A$1:$F$135,6,FALSE)</f>
        <v>3, 4, 8, 28</v>
      </c>
      <c r="Q1226" s="91">
        <f>VLOOKUP(Tabla3[[#This Row],[Site]],'Important Info!'!$A$1:$J$135,9,FALSE)</f>
        <v>142</v>
      </c>
    </row>
    <row r="1227" spans="1:17" x14ac:dyDescent="0.25">
      <c r="A1227" t="str">
        <f>+Tabla3[[#This Row],[Site]]&amp;Tabla3[[#This Row],[Split]]</f>
        <v>(KG) Big Star Honda14</v>
      </c>
      <c r="B1227">
        <v>14</v>
      </c>
      <c r="C1227">
        <v>8</v>
      </c>
      <c r="D1227" t="s">
        <v>33</v>
      </c>
      <c r="E1227" t="s">
        <v>46</v>
      </c>
      <c r="F1227" t="s">
        <v>136</v>
      </c>
      <c r="G1227" t="s">
        <v>34</v>
      </c>
      <c r="H1227" s="52" t="str">
        <f>VLOOKUP(Tabla3[[#This Row],[Site]],'Important Info!'!$A$1:$J$135,10,FALSE)</f>
        <v>https://tools.sig.systems/site/details/231</v>
      </c>
      <c r="J1227" t="s">
        <v>41</v>
      </c>
      <c r="K1227" s="79" t="str">
        <f>VLOOKUP(Tabla3[[#This Row],[Site]],'Important Info!'!$A$1:$H$135,8,FALSE)</f>
        <v>-</v>
      </c>
      <c r="L1227" s="52" t="str">
        <f>VLOOKUP(Tabla3[[#This Row],[Site]],'Important Info!'!$A$1:$F$135,2,FALSE)</f>
        <v>2, 17, 33</v>
      </c>
      <c r="M1227" s="52" t="str">
        <f>VLOOKUP(Tabla3[[#This Row],[Site]],'Important Info!'!$A$1:$F$135,3,FALSE)</f>
        <v>-</v>
      </c>
      <c r="N1227" s="52" t="str">
        <f>VLOOKUP(Tabla3[[#This Row],[Site]],'Important Info!'!$A$1:$F$135,4,FALSE)</f>
        <v>-</v>
      </c>
      <c r="O1227" s="52" t="str">
        <f>VLOOKUP(Tabla3[[#This Row],[Site]],'Important Info!'!$A$1:$F$135,5,FALSE)</f>
        <v>3, 11, 16, 21, 24, 31, 34</v>
      </c>
      <c r="P1227" s="52" t="str">
        <f>VLOOKUP(Tabla3[[#This Row],[Site]],'Important Info!'!$A$1:$F$135,6,FALSE)</f>
        <v xml:space="preserve">2, 3, 17, 22, 37, 41, 42 </v>
      </c>
      <c r="Q1227" s="91">
        <f>VLOOKUP(Tabla3[[#This Row],[Site]],'Important Info!'!$A$1:$J$135,9,FALSE)</f>
        <v>231</v>
      </c>
    </row>
    <row r="1228" spans="1:17" x14ac:dyDescent="0.25">
      <c r="A1228" t="str">
        <f>+Tabla3[[#This Row],[Site]]&amp;Tabla3[[#This Row],[Split]]</f>
        <v>(ML) BMW of Little Rock14</v>
      </c>
      <c r="B1228">
        <v>14</v>
      </c>
      <c r="C1228">
        <v>8</v>
      </c>
      <c r="D1228" t="s">
        <v>33</v>
      </c>
      <c r="E1228" t="s">
        <v>46</v>
      </c>
      <c r="F1228" t="s">
        <v>139</v>
      </c>
      <c r="G1228" t="s">
        <v>34</v>
      </c>
      <c r="H1228" s="52" t="str">
        <f>VLOOKUP(Tabla3[[#This Row],[Site]],'Important Info!'!$A$1:$J$135,10,FALSE)</f>
        <v>https://tools.sig.systems/site/details/217</v>
      </c>
      <c r="I1228" t="s">
        <v>140</v>
      </c>
      <c r="J1228" t="s">
        <v>41</v>
      </c>
      <c r="K1228" s="79" t="str">
        <f>VLOOKUP(Tabla3[[#This Row],[Site]],'Important Info!'!$A$1:$H$135,8,FALSE)</f>
        <v>-</v>
      </c>
      <c r="L1228" s="52" t="str">
        <f>VLOOKUP(Tabla3[[#This Row],[Site]],'Important Info!'!$A$1:$F$135,2,FALSE)</f>
        <v>-</v>
      </c>
      <c r="M1228" s="52">
        <f>VLOOKUP(Tabla3[[#This Row],[Site]],'Important Info!'!$A$1:$F$135,3,FALSE)</f>
        <v>14</v>
      </c>
      <c r="N1228" s="52" t="str">
        <f>VLOOKUP(Tabla3[[#This Row],[Site]],'Important Info!'!$A$1:$F$135,4,FALSE)</f>
        <v>-</v>
      </c>
      <c r="O1228" s="52" t="str">
        <f>VLOOKUP(Tabla3[[#This Row],[Site]],'Important Info!'!$A$1:$F$135,5,FALSE)</f>
        <v>-</v>
      </c>
      <c r="P1228" s="52" t="str">
        <f>VLOOKUP(Tabla3[[#This Row],[Site]],'Important Info!'!$A$1:$F$135,6,FALSE)</f>
        <v>5, 6, 7, 8, 9, 32</v>
      </c>
      <c r="Q1228" s="91">
        <f>VLOOKUP(Tabla3[[#This Row],[Site]],'Important Info!'!$A$1:$J$135,9,FALSE)</f>
        <v>217</v>
      </c>
    </row>
    <row r="1229" spans="1:17" x14ac:dyDescent="0.25">
      <c r="A1229" t="str">
        <f>+Tabla3[[#This Row],[Site]]&amp;Tabla3[[#This Row],[Split]]</f>
        <v>(ML) Collision Center N Little Rock14</v>
      </c>
      <c r="B1229">
        <v>14</v>
      </c>
      <c r="C1229">
        <v>8</v>
      </c>
      <c r="D1229" t="s">
        <v>33</v>
      </c>
      <c r="E1229" t="s">
        <v>46</v>
      </c>
      <c r="F1229" t="s">
        <v>141</v>
      </c>
      <c r="G1229" t="s">
        <v>34</v>
      </c>
      <c r="H1229" s="52" t="str">
        <f>VLOOKUP(Tabla3[[#This Row],[Site]],'Important Info!'!$A$1:$J$135,10,FALSE)</f>
        <v>https://tools.sig.systems/site/details/212</v>
      </c>
      <c r="I1229" s="2" t="s">
        <v>142</v>
      </c>
      <c r="J1229" t="s">
        <v>41</v>
      </c>
      <c r="K1229" s="79" t="str">
        <f>VLOOKUP(Tabla3[[#This Row],[Site]],'Important Info!'!$A$1:$H$135,8,FALSE)</f>
        <v>-</v>
      </c>
      <c r="L1229" s="52" t="str">
        <f>VLOOKUP(Tabla3[[#This Row],[Site]],'Important Info!'!$A$1:$F$135,2,FALSE)</f>
        <v>-</v>
      </c>
      <c r="M1229" s="52" t="str">
        <f>VLOOKUP(Tabla3[[#This Row],[Site]],'Important Info!'!$A$1:$F$135,3,FALSE)</f>
        <v>-</v>
      </c>
      <c r="N1229" s="52" t="str">
        <f>VLOOKUP(Tabla3[[#This Row],[Site]],'Important Info!'!$A$1:$F$135,4,FALSE)</f>
        <v>-</v>
      </c>
      <c r="O1229" s="52" t="str">
        <f>VLOOKUP(Tabla3[[#This Row],[Site]],'Important Info!'!$A$1:$F$135,5,FALSE)</f>
        <v>-</v>
      </c>
      <c r="P1229" s="52" t="str">
        <f>VLOOKUP(Tabla3[[#This Row],[Site]],'Important Info!'!$A$1:$F$135,6,FALSE)</f>
        <v>1, 3, 7, 8</v>
      </c>
      <c r="Q1229" s="91">
        <f>VLOOKUP(Tabla3[[#This Row],[Site]],'Important Info!'!$A$1:$J$135,9,FALSE)</f>
        <v>212</v>
      </c>
    </row>
    <row r="1230" spans="1:17" x14ac:dyDescent="0.25">
      <c r="A1230" t="str">
        <f>+Tabla3[[#This Row],[Site]]&amp;Tabla3[[#This Row],[Split]]</f>
        <v>(ML) Joe Machens Nissan14</v>
      </c>
      <c r="B1230">
        <v>14</v>
      </c>
      <c r="C1230">
        <v>8</v>
      </c>
      <c r="D1230" t="s">
        <v>33</v>
      </c>
      <c r="E1230" t="s">
        <v>46</v>
      </c>
      <c r="F1230" t="s">
        <v>104</v>
      </c>
      <c r="G1230" t="s">
        <v>34</v>
      </c>
      <c r="H1230" s="52" t="str">
        <f>VLOOKUP(Tabla3[[#This Row],[Site]],'Important Info!'!$A$1:$J$135,10,FALSE)</f>
        <v>https://tools.sig.systems/site/details/279</v>
      </c>
      <c r="I1230" s="43" t="s">
        <v>146</v>
      </c>
      <c r="J1230" t="s">
        <v>41</v>
      </c>
      <c r="K1230" s="79" t="str">
        <f>VLOOKUP(Tabla3[[#This Row],[Site]],'Important Info!'!$A$1:$H$135,8,FALSE)</f>
        <v>-</v>
      </c>
      <c r="L1230" s="52" t="str">
        <f>VLOOKUP(Tabla3[[#This Row],[Site]],'Important Info!'!$A$1:$F$135,2,FALSE)</f>
        <v>-</v>
      </c>
      <c r="M1230" s="52" t="str">
        <f>VLOOKUP(Tabla3[[#This Row],[Site]],'Important Info!'!$A$1:$F$135,3,FALSE)</f>
        <v>1, 3, 16</v>
      </c>
      <c r="N1230" s="52" t="str">
        <f>VLOOKUP(Tabla3[[#This Row],[Site]],'Important Info!'!$A$1:$F$135,4,FALSE)</f>
        <v>-</v>
      </c>
      <c r="O1230" s="52" t="str">
        <f>VLOOKUP(Tabla3[[#This Row],[Site]],'Important Info!'!$A$1:$F$135,5,FALSE)</f>
        <v>-</v>
      </c>
      <c r="P1230" s="52" t="str">
        <f>VLOOKUP(Tabla3[[#This Row],[Site]],'Important Info!'!$A$1:$F$135,6,FALSE)</f>
        <v>-</v>
      </c>
      <c r="Q1230" s="91">
        <f>VLOOKUP(Tabla3[[#This Row],[Site]],'Important Info!'!$A$1:$J$135,9,FALSE)</f>
        <v>279</v>
      </c>
    </row>
    <row r="1231" spans="1:17" x14ac:dyDescent="0.25">
      <c r="A1231" t="str">
        <f>+Tabla3[[#This Row],[Site]]&amp;Tabla3[[#This Row],[Split]]</f>
        <v>(PE) JLR Darien PDI (NO TOURS)14</v>
      </c>
      <c r="B1231">
        <v>14</v>
      </c>
      <c r="C1231">
        <v>8</v>
      </c>
      <c r="D1231" t="s">
        <v>485</v>
      </c>
      <c r="E1231" t="s">
        <v>35</v>
      </c>
      <c r="F1231" t="s">
        <v>98</v>
      </c>
      <c r="G1231" t="s">
        <v>490</v>
      </c>
      <c r="H1231" s="52" t="str">
        <f>VLOOKUP(Tabla3[[#This Row],[Site]],'Important Info!'!$A$1:$J$135,10,FALSE)</f>
        <v>https://tools.sig.systems/site/details/187</v>
      </c>
      <c r="I1231" t="s">
        <v>175</v>
      </c>
      <c r="J1231" t="s">
        <v>41</v>
      </c>
      <c r="K1231" s="79" t="str">
        <f>VLOOKUP(Tabla3[[#This Row],[Site]],'Important Info!'!$A$1:$H$135,8,FALSE)</f>
        <v>-</v>
      </c>
      <c r="L1231" s="52">
        <f>VLOOKUP(Tabla3[[#This Row],[Site]],'Important Info!'!$A$1:$F$135,2,FALSE)</f>
        <v>1</v>
      </c>
      <c r="M1231" s="52" t="str">
        <f>VLOOKUP(Tabla3[[#This Row],[Site]],'Important Info!'!$A$1:$F$135,3,FALSE)</f>
        <v>-</v>
      </c>
      <c r="N1231" s="52" t="str">
        <f>VLOOKUP(Tabla3[[#This Row],[Site]],'Important Info!'!$A$1:$F$135,4,FALSE)</f>
        <v>-</v>
      </c>
      <c r="O1231" s="52">
        <f>VLOOKUP(Tabla3[[#This Row],[Site]],'Important Info!'!$A$1:$F$135,5,FALSE)</f>
        <v>1</v>
      </c>
      <c r="P1231" s="52">
        <f>VLOOKUP(Tabla3[[#This Row],[Site]],'Important Info!'!$A$1:$F$135,6,FALSE)</f>
        <v>7</v>
      </c>
      <c r="Q1231" s="91">
        <f>VLOOKUP(Tabla3[[#This Row],[Site]],'Important Info!'!$A$1:$J$135,9,FALSE)</f>
        <v>187</v>
      </c>
    </row>
    <row r="1232" spans="1:17" x14ac:dyDescent="0.25">
      <c r="A1232" t="str">
        <f>+Tabla3[[#This Row],[Site]]&amp;Tabla3[[#This Row],[Split]]</f>
        <v>(AS) Audi of North Atlanta (NO TOURS)14</v>
      </c>
      <c r="B1232">
        <v>14</v>
      </c>
      <c r="C1232">
        <v>9</v>
      </c>
      <c r="D1232" t="s">
        <v>62</v>
      </c>
      <c r="E1232" t="s">
        <v>35</v>
      </c>
      <c r="F1232" t="s">
        <v>499</v>
      </c>
      <c r="G1232" t="s">
        <v>490</v>
      </c>
      <c r="H1232" s="52" t="str">
        <f>VLOOKUP(Tabla3[[#This Row],[Site]],'Important Info!'!$A$1:$J$135,10,FALSE)</f>
        <v>https://tools.sig.systems/site/details/124</v>
      </c>
      <c r="I1232" s="43" t="s">
        <v>166</v>
      </c>
      <c r="J1232" t="s">
        <v>41</v>
      </c>
      <c r="K1232" s="79" t="str">
        <f>VLOOKUP(Tabla3[[#This Row],[Site]],'Important Info!'!$A$1:$H$135,8,FALSE)</f>
        <v>-</v>
      </c>
      <c r="L1232" s="52" t="str">
        <f>VLOOKUP(Tabla3[[#This Row],[Site]],'Important Info!'!$A$1:$F$135,2,FALSE)</f>
        <v>1, 5, 16, 54</v>
      </c>
      <c r="M1232" s="52" t="str">
        <f>VLOOKUP(Tabla3[[#This Row],[Site]],'Important Info!'!$A$1:$F$135,3,FALSE)</f>
        <v>-</v>
      </c>
      <c r="N1232" s="52" t="str">
        <f>VLOOKUP(Tabla3[[#This Row],[Site]],'Important Info!'!$A$1:$F$135,4,FALSE)</f>
        <v>-</v>
      </c>
      <c r="O1232" s="52" t="str">
        <f>VLOOKUP(Tabla3[[#This Row],[Site]],'Important Info!'!$A$1:$F$135,5,FALSE)</f>
        <v>3, 16</v>
      </c>
      <c r="P1232" s="52" t="str">
        <f>VLOOKUP(Tabla3[[#This Row],[Site]],'Important Info!'!$A$1:$F$135,6,FALSE)</f>
        <v>2, 5, 6</v>
      </c>
      <c r="Q1232" s="91">
        <f>VLOOKUP(Tabla3[[#This Row],[Site]],'Important Info!'!$A$1:$J$135,9,FALSE)</f>
        <v>124</v>
      </c>
    </row>
    <row r="1233" spans="1:17" x14ac:dyDescent="0.25">
      <c r="A1233" t="str">
        <f>+Tabla3[[#This Row],[Site]]&amp;Tabla3[[#This Row],[Split]]</f>
        <v>(AS) Park Place MB Recon Center Dallas (NO TOURS)14</v>
      </c>
      <c r="B1233">
        <v>14</v>
      </c>
      <c r="C1233">
        <v>9</v>
      </c>
      <c r="D1233" t="s">
        <v>33</v>
      </c>
      <c r="E1233" t="s">
        <v>46</v>
      </c>
      <c r="F1233" t="s">
        <v>517</v>
      </c>
      <c r="G1233" t="s">
        <v>34</v>
      </c>
      <c r="H1233" s="52" t="str">
        <f>VLOOKUP(Tabla3[[#This Row],[Site]],'Important Info!'!$A$1:$J$135,10,FALSE)</f>
        <v>https://tools.sig.systems/site/details/170</v>
      </c>
      <c r="I1233" s="65" t="s">
        <v>125</v>
      </c>
      <c r="J1233" t="s">
        <v>41</v>
      </c>
      <c r="K1233" s="79" t="str">
        <f>VLOOKUP(Tabla3[[#This Row],[Site]],'Important Info!'!$A$1:$H$135,8,FALSE)</f>
        <v>-</v>
      </c>
      <c r="L1233" s="52" t="str">
        <f>VLOOKUP(Tabla3[[#This Row],[Site]],'Important Info!'!$A$1:$F$135,2,FALSE)</f>
        <v>3, 39</v>
      </c>
      <c r="M1233" s="52" t="str">
        <f>VLOOKUP(Tabla3[[#This Row],[Site]],'Important Info!'!$A$1:$F$135,3,FALSE)</f>
        <v>-</v>
      </c>
      <c r="N1233" s="52" t="str">
        <f>VLOOKUP(Tabla3[[#This Row],[Site]],'Important Info!'!$A$1:$F$135,4,FALSE)</f>
        <v>-</v>
      </c>
      <c r="O1233" s="52" t="str">
        <f>VLOOKUP(Tabla3[[#This Row],[Site]],'Important Info!'!$A$1:$F$135,5,FALSE)</f>
        <v>4, 11</v>
      </c>
      <c r="P1233" s="52">
        <f>VLOOKUP(Tabla3[[#This Row],[Site]],'Important Info!'!$A$1:$F$135,6,FALSE)</f>
        <v>1</v>
      </c>
      <c r="Q1233" s="91">
        <f>VLOOKUP(Tabla3[[#This Row],[Site]],'Important Info!'!$A$1:$J$135,9,FALSE)</f>
        <v>170</v>
      </c>
    </row>
    <row r="1234" spans="1:17" x14ac:dyDescent="0.25">
      <c r="A1234" t="str">
        <f>+Tabla3[[#This Row],[Site]]&amp;Tabla3[[#This Row],[Split]]</f>
        <v>(AS) Stevinson Lexus of Lakewood (NO TOURS)14</v>
      </c>
      <c r="B1234">
        <v>14</v>
      </c>
      <c r="C1234">
        <v>9</v>
      </c>
      <c r="D1234" t="s">
        <v>44</v>
      </c>
      <c r="E1234" t="s">
        <v>53</v>
      </c>
      <c r="F1234" t="s">
        <v>523</v>
      </c>
      <c r="G1234" t="s">
        <v>45</v>
      </c>
      <c r="H1234" s="52" t="str">
        <f>VLOOKUP(Tabla3[[#This Row],[Site]],'Important Info!'!$A$1:$J$135,10,FALSE)</f>
        <v>https://tools.sig.systems/site/details/260</v>
      </c>
      <c r="I1234" s="43" t="s">
        <v>154</v>
      </c>
      <c r="J1234" t="s">
        <v>41</v>
      </c>
      <c r="K1234" s="79" t="str">
        <f>VLOOKUP(Tabla3[[#This Row],[Site]],'Important Info!'!$A$1:$H$135,8,FALSE)</f>
        <v>-</v>
      </c>
      <c r="L1234" s="52" t="str">
        <f>VLOOKUP(Tabla3[[#This Row],[Site]],'Important Info!'!$A$1:$F$135,2,FALSE)</f>
        <v>-</v>
      </c>
      <c r="M1234" s="52" t="str">
        <f>VLOOKUP(Tabla3[[#This Row],[Site]],'Important Info!'!$A$1:$F$135,3,FALSE)</f>
        <v>2, 10</v>
      </c>
      <c r="N1234" s="52" t="str">
        <f>VLOOKUP(Tabla3[[#This Row],[Site]],'Important Info!'!$A$1:$F$135,4,FALSE)</f>
        <v>9, 17</v>
      </c>
      <c r="O1234" s="52" t="str">
        <f>VLOOKUP(Tabla3[[#This Row],[Site]],'Important Info!'!$A$1:$F$135,5,FALSE)</f>
        <v>-</v>
      </c>
      <c r="P1234" s="52" t="str">
        <f>VLOOKUP(Tabla3[[#This Row],[Site]],'Important Info!'!$A$1:$F$135,6,FALSE)</f>
        <v>1, 2</v>
      </c>
      <c r="Q1234" s="91">
        <f>VLOOKUP(Tabla3[[#This Row],[Site]],'Important Info!'!$A$1:$J$135,9,FALSE)</f>
        <v>260</v>
      </c>
    </row>
    <row r="1235" spans="1:17" x14ac:dyDescent="0.25">
      <c r="A1235" t="str">
        <f>+Tabla3[[#This Row],[Site]]&amp;Tabla3[[#This Row],[Split]]</f>
        <v>(ML) Ford Lincoln of North Little Rock14</v>
      </c>
      <c r="B1235">
        <v>14</v>
      </c>
      <c r="C1235">
        <v>9</v>
      </c>
      <c r="D1235" t="s">
        <v>33</v>
      </c>
      <c r="E1235" t="s">
        <v>46</v>
      </c>
      <c r="F1235" t="s">
        <v>145</v>
      </c>
      <c r="G1235" t="s">
        <v>34</v>
      </c>
      <c r="H1235" s="52" t="str">
        <f>VLOOKUP(Tabla3[[#This Row],[Site]],'Important Info!'!$A$1:$J$135,10,FALSE)</f>
        <v>https://tools.sig.systems/site/details/214</v>
      </c>
      <c r="I1235" s="2" t="s">
        <v>142</v>
      </c>
      <c r="J1235" t="s">
        <v>41</v>
      </c>
      <c r="K1235" s="79" t="str">
        <f>VLOOKUP(Tabla3[[#This Row],[Site]],'Important Info!'!$A$1:$H$135,8,FALSE)</f>
        <v>-</v>
      </c>
      <c r="L1235" s="52" t="str">
        <f>VLOOKUP(Tabla3[[#This Row],[Site]],'Important Info!'!$A$1:$F$135,2,FALSE)</f>
        <v>4, 15, 18, 67, 74</v>
      </c>
      <c r="M1235" s="52">
        <f>VLOOKUP(Tabla3[[#This Row],[Site]],'Important Info!'!$A$1:$F$135,3,FALSE)</f>
        <v>13</v>
      </c>
      <c r="N1235" s="52" t="str">
        <f>VLOOKUP(Tabla3[[#This Row],[Site]],'Important Info!'!$A$1:$F$135,4,FALSE)</f>
        <v>-</v>
      </c>
      <c r="O1235" s="52" t="str">
        <f>VLOOKUP(Tabla3[[#This Row],[Site]],'Important Info!'!$A$1:$F$135,5,FALSE)</f>
        <v>4, 11, 16, 28</v>
      </c>
      <c r="P1235" s="52" t="str">
        <f>VLOOKUP(Tabla3[[#This Row],[Site]],'Important Info!'!$A$1:$F$135,6,FALSE)</f>
        <v>10, 11, 12</v>
      </c>
      <c r="Q1235" s="91">
        <f>VLOOKUP(Tabla3[[#This Row],[Site]],'Important Info!'!$A$1:$J$135,9,FALSE)</f>
        <v>214</v>
      </c>
    </row>
    <row r="1236" spans="1:17" x14ac:dyDescent="0.25">
      <c r="A1236" t="str">
        <f>+Tabla3[[#This Row],[Site]]&amp;Tabla3[[#This Row],[Split]]</f>
        <v>(ML) Joe Machens Ford Lincoln I &amp; II14</v>
      </c>
      <c r="B1236">
        <v>14</v>
      </c>
      <c r="C1236">
        <v>9</v>
      </c>
      <c r="D1236" t="s">
        <v>33</v>
      </c>
      <c r="E1236" t="s">
        <v>46</v>
      </c>
      <c r="F1236" t="s">
        <v>148</v>
      </c>
      <c r="G1236" t="s">
        <v>34</v>
      </c>
      <c r="H1236" s="52" t="str">
        <f>VLOOKUP(Tabla3[[#This Row],[Site]],'Important Info!'!$A$1:$J$135,10,FALSE)</f>
        <v>https://tools.sig.systems/site/details/266</v>
      </c>
      <c r="I1236" s="43" t="s">
        <v>146</v>
      </c>
      <c r="J1236" t="s">
        <v>41</v>
      </c>
      <c r="K1236" s="79" t="str">
        <f>VLOOKUP(Tabla3[[#This Row],[Site]],'Important Info!'!$A$1:$H$135,8,FALSE)</f>
        <v>-</v>
      </c>
      <c r="L1236" s="52" t="str">
        <f>VLOOKUP(Tabla3[[#This Row],[Site]],'Important Info!'!$A$1:$F$135,2,FALSE)</f>
        <v>-</v>
      </c>
      <c r="M1236" s="52" t="str">
        <f>VLOOKUP(Tabla3[[#This Row],[Site]],'Important Info!'!$A$1:$F$135,3,FALSE)</f>
        <v>4, 6, 9, 13, 14, 17, 26, 27, 28, 29, 30</v>
      </c>
      <c r="N1236" s="52" t="str">
        <f>VLOOKUP(Tabla3[[#This Row],[Site]],'Important Info!'!$A$1:$F$135,4,FALSE)</f>
        <v>-</v>
      </c>
      <c r="O1236" s="52" t="str">
        <f>VLOOKUP(Tabla3[[#This Row],[Site]],'Important Info!'!$A$1:$F$135,5,FALSE)</f>
        <v>23, 40, 49</v>
      </c>
      <c r="P1236" s="52" t="str">
        <f>VLOOKUP(Tabla3[[#This Row],[Site]],'Important Info!'!$A$1:$F$135,6,FALSE)</f>
        <v>-</v>
      </c>
      <c r="Q1236" s="91">
        <f>VLOOKUP(Tabla3[[#This Row],[Site]],'Important Info!'!$A$1:$J$135,9,FALSE)</f>
        <v>266</v>
      </c>
    </row>
    <row r="1237" spans="1:17" x14ac:dyDescent="0.25">
      <c r="A1237" t="str">
        <f>+Tabla3[[#This Row],[Site]]&amp;Tabla3[[#This Row],[Split]]</f>
        <v>(SCH) Delray I &amp; II14</v>
      </c>
      <c r="B1237">
        <v>14</v>
      </c>
      <c r="C1237">
        <v>9</v>
      </c>
      <c r="D1237" t="s">
        <v>62</v>
      </c>
      <c r="E1237" t="s">
        <v>35</v>
      </c>
      <c r="F1237" t="s">
        <v>67</v>
      </c>
      <c r="G1237" t="s">
        <v>490</v>
      </c>
      <c r="H1237" s="52" t="str">
        <f>VLOOKUP(Tabla3[[#This Row],[Site]],'Important Info!'!$A$1:$J$135,10,FALSE)</f>
        <v>https://tools.sig.systems/site/details/159</v>
      </c>
      <c r="I1237" s="2"/>
      <c r="J1237" t="s">
        <v>36</v>
      </c>
      <c r="K1237" s="79" t="str">
        <f>VLOOKUP(Tabla3[[#This Row],[Site]],'Important Info!'!$A$1:$H$135,8,FALSE)</f>
        <v>-</v>
      </c>
      <c r="L1237" s="52" t="str">
        <f>VLOOKUP(Tabla3[[#This Row],[Site]],'Important Info!'!$A$1:$F$135,2,FALSE)</f>
        <v>5, 28, 31</v>
      </c>
      <c r="M1237" s="52" t="str">
        <f>VLOOKUP(Tabla3[[#This Row],[Site]],'Important Info!'!$A$1:$F$135,3,FALSE)</f>
        <v>1, 29</v>
      </c>
      <c r="N1237" s="52">
        <f>VLOOKUP(Tabla3[[#This Row],[Site]],'Important Info!'!$A$1:$F$135,4,FALSE)</f>
        <v>6</v>
      </c>
      <c r="O1237" s="52" t="str">
        <f>VLOOKUP(Tabla3[[#This Row],[Site]],'Important Info!'!$A$1:$F$135,5,FALSE)</f>
        <v>-</v>
      </c>
      <c r="P1237" s="52" t="str">
        <f>VLOOKUP(Tabla3[[#This Row],[Site]],'Important Info!'!$A$1:$F$135,6,FALSE)</f>
        <v>1, 35, 36</v>
      </c>
      <c r="Q1237" s="91">
        <f>VLOOKUP(Tabla3[[#This Row],[Site]],'Important Info!'!$A$1:$J$135,9,FALSE)</f>
        <v>159</v>
      </c>
    </row>
    <row r="1238" spans="1:17" x14ac:dyDescent="0.25">
      <c r="A1238" t="str">
        <f>+Tabla3[[#This Row],[Site]]&amp;Tabla3[[#This Row],[Split]]</f>
        <v>(AS) Courtesy Kia of Brandon (NO TOURS)14</v>
      </c>
      <c r="B1238">
        <v>14</v>
      </c>
      <c r="C1238">
        <v>10</v>
      </c>
      <c r="D1238" t="s">
        <v>62</v>
      </c>
      <c r="E1238" t="s">
        <v>35</v>
      </c>
      <c r="F1238" t="s">
        <v>505</v>
      </c>
      <c r="G1238" t="s">
        <v>490</v>
      </c>
      <c r="H1238" s="52" t="str">
        <f>VLOOKUP(Tabla3[[#This Row],[Site]],'Important Info!'!$A$1:$J$135,10,FALSE)</f>
        <v>https://tools.sig.systems/site/details/121</v>
      </c>
      <c r="I1238" s="43" t="s">
        <v>181</v>
      </c>
      <c r="J1238" t="s">
        <v>484</v>
      </c>
      <c r="K1238" s="79" t="str">
        <f>VLOOKUP(Tabla3[[#This Row],[Site]],'Important Info!'!$A$1:$H$135,8,FALSE)</f>
        <v>-</v>
      </c>
      <c r="L1238" s="52" t="str">
        <f>VLOOKUP(Tabla3[[#This Row],[Site]],'Important Info!'!$A$1:$F$135,2,FALSE)</f>
        <v>-</v>
      </c>
      <c r="M1238" s="52" t="str">
        <f>VLOOKUP(Tabla3[[#This Row],[Site]],'Important Info!'!$A$1:$F$135,3,FALSE)</f>
        <v>4, 8</v>
      </c>
      <c r="N1238" s="52" t="str">
        <f>VLOOKUP(Tabla3[[#This Row],[Site]],'Important Info!'!$A$1:$F$135,4,FALSE)</f>
        <v>-</v>
      </c>
      <c r="O1238" s="52" t="str">
        <f>VLOOKUP(Tabla3[[#This Row],[Site]],'Important Info!'!$A$1:$F$135,5,FALSE)</f>
        <v>3, 11, 20, 24</v>
      </c>
      <c r="P1238" s="52" t="str">
        <f>VLOOKUP(Tabla3[[#This Row],[Site]],'Important Info!'!$A$1:$F$135,6,FALSE)</f>
        <v>2, 8</v>
      </c>
      <c r="Q1238" s="91">
        <f>VLOOKUP(Tabla3[[#This Row],[Site]],'Important Info!'!$A$1:$J$135,9,FALSE)</f>
        <v>121</v>
      </c>
    </row>
    <row r="1239" spans="1:17" x14ac:dyDescent="0.25">
      <c r="A1239" t="str">
        <f>+Tabla3[[#This Row],[Site]]&amp;Tabla3[[#This Row],[Split]]</f>
        <v>(AS) Nalley Luxury Collision Center (NO TOURS)14</v>
      </c>
      <c r="B1239">
        <v>14</v>
      </c>
      <c r="C1239">
        <v>10</v>
      </c>
      <c r="D1239" t="s">
        <v>62</v>
      </c>
      <c r="E1239" t="s">
        <v>35</v>
      </c>
      <c r="F1239" t="s">
        <v>512</v>
      </c>
      <c r="G1239" t="s">
        <v>490</v>
      </c>
      <c r="H1239" s="52" t="str">
        <f>VLOOKUP(Tabla3[[#This Row],[Site]],'Important Info!'!$A$1:$J$135,10,FALSE)</f>
        <v>https://tools.sig.systems/site/details/263</v>
      </c>
      <c r="I1239" s="43" t="s">
        <v>166</v>
      </c>
      <c r="J1239" t="s">
        <v>41</v>
      </c>
      <c r="K1239" s="79" t="str">
        <f>VLOOKUP(Tabla3[[#This Row],[Site]],'Important Info!'!$A$1:$H$135,8,FALSE)</f>
        <v>-</v>
      </c>
      <c r="L1239" s="52" t="str">
        <f>VLOOKUP(Tabla3[[#This Row],[Site]],'Important Info!'!$A$1:$F$135,2,FALSE)</f>
        <v>6, 13</v>
      </c>
      <c r="M1239" s="52" t="str">
        <f>VLOOKUP(Tabla3[[#This Row],[Site]],'Important Info!'!$A$1:$F$135,3,FALSE)</f>
        <v>-</v>
      </c>
      <c r="N1239" s="52" t="str">
        <f>VLOOKUP(Tabla3[[#This Row],[Site]],'Important Info!'!$A$1:$F$135,4,FALSE)</f>
        <v>-</v>
      </c>
      <c r="O1239" s="52" t="str">
        <f>VLOOKUP(Tabla3[[#This Row],[Site]],'Important Info!'!$A$1:$F$135,5,FALSE)</f>
        <v>-</v>
      </c>
      <c r="P1239" s="52" t="str">
        <f>VLOOKUP(Tabla3[[#This Row],[Site]],'Important Info!'!$A$1:$F$135,6,FALSE)</f>
        <v>6, 7, 12</v>
      </c>
      <c r="Q1239" s="91">
        <f>VLOOKUP(Tabla3[[#This Row],[Site]],'Important Info!'!$A$1:$J$135,9,FALSE)</f>
        <v>263</v>
      </c>
    </row>
    <row r="1240" spans="1:17" x14ac:dyDescent="0.25">
      <c r="A1240" t="str">
        <f>+Tabla3[[#This Row],[Site]]&amp;Tabla3[[#This Row],[Split]]</f>
        <v>(AS) Park Place Volvo Service Center (NO TOURS)14</v>
      </c>
      <c r="B1240">
        <v>14</v>
      </c>
      <c r="C1240">
        <v>10</v>
      </c>
      <c r="D1240" t="s">
        <v>33</v>
      </c>
      <c r="E1240" t="s">
        <v>46</v>
      </c>
      <c r="F1240" t="s">
        <v>522</v>
      </c>
      <c r="G1240" t="s">
        <v>34</v>
      </c>
      <c r="H1240" s="52" t="str">
        <f>VLOOKUP(Tabla3[[#This Row],[Site]],'Important Info!'!$A$1:$J$135,10,FALSE)</f>
        <v>https://tools.sig.systems/site/details/171</v>
      </c>
      <c r="I1240" s="65" t="s">
        <v>125</v>
      </c>
      <c r="J1240" t="s">
        <v>41</v>
      </c>
      <c r="K1240" s="79" t="str">
        <f>VLOOKUP(Tabla3[[#This Row],[Site]],'Important Info!'!$A$1:$H$135,8,FALSE)</f>
        <v>-</v>
      </c>
      <c r="L1240" s="52" t="str">
        <f>VLOOKUP(Tabla3[[#This Row],[Site]],'Important Info!'!$A$1:$F$135,2,FALSE)</f>
        <v>3, 6, 9, 27, 31, 35</v>
      </c>
      <c r="M1240" s="52" t="str">
        <f>VLOOKUP(Tabla3[[#This Row],[Site]],'Important Info!'!$A$1:$F$135,3,FALSE)</f>
        <v>-</v>
      </c>
      <c r="N1240" s="52" t="str">
        <f>VLOOKUP(Tabla3[[#This Row],[Site]],'Important Info!'!$A$1:$F$135,4,FALSE)</f>
        <v>-</v>
      </c>
      <c r="O1240" s="52" t="str">
        <f>VLOOKUP(Tabla3[[#This Row],[Site]],'Important Info!'!$A$1:$F$135,5,FALSE)</f>
        <v>27, 32</v>
      </c>
      <c r="P1240" s="52" t="str">
        <f>VLOOKUP(Tabla3[[#This Row],[Site]],'Important Info!'!$A$1:$F$135,6,FALSE)</f>
        <v>-</v>
      </c>
      <c r="Q1240" s="91">
        <f>VLOOKUP(Tabla3[[#This Row],[Site]],'Important Info!'!$A$1:$J$135,9,FALSE)</f>
        <v>171</v>
      </c>
    </row>
    <row r="1241" spans="1:17" x14ac:dyDescent="0.25">
      <c r="A1241" t="str">
        <f>+Tabla3[[#This Row],[Site]]&amp;Tabla3[[#This Row],[Split]]</f>
        <v>(AS) Plaza Lexus/Mercedes/BMW (NO TOURS)14</v>
      </c>
      <c r="B1241">
        <v>14</v>
      </c>
      <c r="C1241">
        <v>10</v>
      </c>
      <c r="D1241" t="s">
        <v>33</v>
      </c>
      <c r="E1241" t="s">
        <v>46</v>
      </c>
      <c r="F1241" t="s">
        <v>92</v>
      </c>
      <c r="G1241" t="s">
        <v>34</v>
      </c>
      <c r="H1241" s="52" t="str">
        <f>VLOOKUP(Tabla3[[#This Row],[Site]],'Important Info!'!$A$1:$J$135,10,FALSE)</f>
        <v>https://tools.sig.systems/site/details/141</v>
      </c>
      <c r="I1241" t="s">
        <v>130</v>
      </c>
      <c r="J1241" t="s">
        <v>41</v>
      </c>
      <c r="K1241" s="79" t="str">
        <f>VLOOKUP(Tabla3[[#This Row],[Site]],'Important Info!'!$A$1:$H$135,8,FALSE)</f>
        <v>-</v>
      </c>
      <c r="L1241" s="52" t="str">
        <f>VLOOKUP(Tabla3[[#This Row],[Site]],'Important Info!'!$A$1:$F$135,2,FALSE)</f>
        <v>3, 4, 18</v>
      </c>
      <c r="M1241" s="52" t="str">
        <f>VLOOKUP(Tabla3[[#This Row],[Site]],'Important Info!'!$A$1:$F$135,3,FALSE)</f>
        <v>9, 10, 12, 13, 16, 17</v>
      </c>
      <c r="N1241" s="52" t="str">
        <f>VLOOKUP(Tabla3[[#This Row],[Site]],'Important Info!'!$A$1:$F$135,4,FALSE)</f>
        <v>-</v>
      </c>
      <c r="O1241" s="52">
        <f>VLOOKUP(Tabla3[[#This Row],[Site]],'Important Info!'!$A$1:$F$135,5,FALSE)</f>
        <v>2</v>
      </c>
      <c r="P1241" s="52" t="str">
        <f>VLOOKUP(Tabla3[[#This Row],[Site]],'Important Info!'!$A$1:$F$135,6,FALSE)</f>
        <v>2, 16</v>
      </c>
      <c r="Q1241" s="91">
        <f>VLOOKUP(Tabla3[[#This Row],[Site]],'Important Info!'!$A$1:$J$135,9,FALSE)</f>
        <v>141</v>
      </c>
    </row>
    <row r="1242" spans="1:17" x14ac:dyDescent="0.25">
      <c r="A1242" t="str">
        <f>+Tabla3[[#This Row],[Site]]&amp;Tabla3[[#This Row],[Split]]</f>
        <v>(SCH) West Palm Beach I, II &amp; III14</v>
      </c>
      <c r="B1242">
        <v>14</v>
      </c>
      <c r="C1242">
        <v>10</v>
      </c>
      <c r="D1242" t="s">
        <v>492</v>
      </c>
      <c r="E1242" t="s">
        <v>35</v>
      </c>
      <c r="F1242" t="s">
        <v>96</v>
      </c>
      <c r="G1242" t="s">
        <v>490</v>
      </c>
      <c r="H1242" s="52" t="str">
        <f>VLOOKUP(Tabla3[[#This Row],[Site]],'Important Info!'!$A$1:$J$135,10,FALSE)</f>
        <v>https://tools.sig.systems/site/details/162</v>
      </c>
      <c r="I1242" s="43"/>
      <c r="J1242" t="s">
        <v>36</v>
      </c>
      <c r="K1242" s="79" t="str">
        <f>VLOOKUP(Tabla3[[#This Row],[Site]],'Important Info!'!$A$1:$H$135,8,FALSE)</f>
        <v>SUNDAY: Log in at 5:30 p.m. ET.</v>
      </c>
      <c r="L1242" s="52" t="str">
        <f>VLOOKUP(Tabla3[[#This Row],[Site]],'Important Info!'!$A$1:$F$135,2,FALSE)</f>
        <v>34, 62</v>
      </c>
      <c r="M1242" s="52" t="str">
        <f>VLOOKUP(Tabla3[[#This Row],[Site]],'Important Info!'!$A$1:$F$135,3,FALSE)</f>
        <v xml:space="preserve">6, 7, 11, 13, </v>
      </c>
      <c r="N1242" s="52" t="str">
        <f>VLOOKUP(Tabla3[[#This Row],[Site]],'Important Info!'!$A$1:$F$135,4,FALSE)</f>
        <v>20, 21</v>
      </c>
      <c r="O1242" s="52" t="str">
        <f>VLOOKUP(Tabla3[[#This Row],[Site]],'Important Info!'!$A$1:$F$135,5,FALSE)</f>
        <v>-</v>
      </c>
      <c r="P1242" s="52" t="str">
        <f>VLOOKUP(Tabla3[[#This Row],[Site]],'Important Info!'!$A$1:$F$135,6,FALSE)</f>
        <v>1, 2, 3, 131, 132</v>
      </c>
      <c r="Q1242" s="91">
        <f>VLOOKUP(Tabla3[[#This Row],[Site]],'Important Info!'!$A$1:$J$135,9,FALSE)</f>
        <v>162</v>
      </c>
    </row>
    <row r="1243" spans="1:17" x14ac:dyDescent="0.25">
      <c r="A1243" t="str">
        <f>+Tabla3[[#This Row],[Site]]&amp;Tabla3[[#This Row],[Split]]</f>
        <v>(AS) David McDavid Lincoln Frisco (NO TOURS)14</v>
      </c>
      <c r="B1243">
        <v>14</v>
      </c>
      <c r="C1243">
        <v>11</v>
      </c>
      <c r="D1243" t="s">
        <v>33</v>
      </c>
      <c r="E1243" t="s">
        <v>46</v>
      </c>
      <c r="F1243" t="s">
        <v>507</v>
      </c>
      <c r="G1243" t="s">
        <v>34</v>
      </c>
      <c r="H1243" s="52" t="str">
        <f>VLOOKUP(Tabla3[[#This Row],[Site]],'Important Info!'!$A$1:$J$135,10,FALSE)</f>
        <v>https://tools.sig.systems/site/details/182</v>
      </c>
      <c r="I1243" s="43"/>
      <c r="J1243" t="s">
        <v>41</v>
      </c>
      <c r="K1243" s="79" t="str">
        <f>VLOOKUP(Tabla3[[#This Row],[Site]],'Important Info!'!$A$1:$H$135,8,FALSE)</f>
        <v>-</v>
      </c>
      <c r="L1243" s="52" t="str">
        <f>VLOOKUP(Tabla3[[#This Row],[Site]],'Important Info!'!$A$1:$F$135,2,FALSE)</f>
        <v>1, 2, 11</v>
      </c>
      <c r="M1243" s="52" t="str">
        <f>VLOOKUP(Tabla3[[#This Row],[Site]],'Important Info!'!$A$1:$F$135,3,FALSE)</f>
        <v>-</v>
      </c>
      <c r="N1243" s="52" t="str">
        <f>VLOOKUP(Tabla3[[#This Row],[Site]],'Important Info!'!$A$1:$F$135,4,FALSE)</f>
        <v>-</v>
      </c>
      <c r="O1243" s="52" t="str">
        <f>VLOOKUP(Tabla3[[#This Row],[Site]],'Important Info!'!$A$1:$F$135,5,FALSE)</f>
        <v>11, 16, 20</v>
      </c>
      <c r="P1243" s="52" t="str">
        <f>VLOOKUP(Tabla3[[#This Row],[Site]],'Important Info!'!$A$1:$F$135,6,FALSE)</f>
        <v>11, 12, 13, 14</v>
      </c>
      <c r="Q1243" s="91">
        <f>VLOOKUP(Tabla3[[#This Row],[Site]],'Important Info!'!$A$1:$J$135,9,FALSE)</f>
        <v>182</v>
      </c>
    </row>
    <row r="1244" spans="1:17" x14ac:dyDescent="0.25">
      <c r="A1244" t="str">
        <f>+Tabla3[[#This Row],[Site]]&amp;Tabla3[[#This Row],[Split]]</f>
        <v>(AS) Lexus Smyrna (NO TOURS)14</v>
      </c>
      <c r="B1244">
        <v>14</v>
      </c>
      <c r="C1244">
        <v>11</v>
      </c>
      <c r="D1244" t="s">
        <v>62</v>
      </c>
      <c r="E1244" t="s">
        <v>35</v>
      </c>
      <c r="F1244" t="s">
        <v>84</v>
      </c>
      <c r="G1244" t="s">
        <v>490</v>
      </c>
      <c r="H1244" s="52" t="str">
        <f>VLOOKUP(Tabla3[[#This Row],[Site]],'Important Info!'!$A$1:$J$135,10,FALSE)</f>
        <v>https://tools.sig.systems/site/details/133</v>
      </c>
      <c r="I1244" s="2"/>
      <c r="J1244" t="s">
        <v>41</v>
      </c>
      <c r="K1244" s="79" t="str">
        <f>VLOOKUP(Tabla3[[#This Row],[Site]],'Important Info!'!$A$1:$H$135,8,FALSE)</f>
        <v>-</v>
      </c>
      <c r="L1244" s="52" t="str">
        <f>VLOOKUP(Tabla3[[#This Row],[Site]],'Important Info!'!$A$1:$F$135,2,FALSE)</f>
        <v xml:space="preserve">2, 6, 10 </v>
      </c>
      <c r="M1244" s="52" t="str">
        <f>VLOOKUP(Tabla3[[#This Row],[Site]],'Important Info!'!$A$1:$F$135,3,FALSE)</f>
        <v>-</v>
      </c>
      <c r="N1244" s="52" t="str">
        <f>VLOOKUP(Tabla3[[#This Row],[Site]],'Important Info!'!$A$1:$F$135,4,FALSE)</f>
        <v>-</v>
      </c>
      <c r="O1244" s="52" t="str">
        <f>VLOOKUP(Tabla3[[#This Row],[Site]],'Important Info!'!$A$1:$F$135,5,FALSE)</f>
        <v>3, 5, 10, 15</v>
      </c>
      <c r="P1244" s="52" t="str">
        <f>VLOOKUP(Tabla3[[#This Row],[Site]],'Important Info!'!$A$1:$F$135,6,FALSE)</f>
        <v>10, 11</v>
      </c>
      <c r="Q1244" s="91">
        <f>VLOOKUP(Tabla3[[#This Row],[Site]],'Important Info!'!$A$1:$J$135,9,FALSE)</f>
        <v>133</v>
      </c>
    </row>
    <row r="1245" spans="1:17" x14ac:dyDescent="0.25">
      <c r="A1245" t="str">
        <f>+Tabla3[[#This Row],[Site]]&amp;Tabla3[[#This Row],[Split]]</f>
        <v>(AS) Nalley BMW Collision Center (NO TOURS)14</v>
      </c>
      <c r="B1245">
        <v>14</v>
      </c>
      <c r="C1245">
        <v>11</v>
      </c>
      <c r="D1245" t="s">
        <v>62</v>
      </c>
      <c r="E1245" t="s">
        <v>35</v>
      </c>
      <c r="F1245" t="s">
        <v>510</v>
      </c>
      <c r="G1245" t="s">
        <v>490</v>
      </c>
      <c r="H1245" s="52" t="str">
        <f>VLOOKUP(Tabla3[[#This Row],[Site]],'Important Info!'!$A$1:$J$135,10,FALSE)</f>
        <v>https://tools.sig.systems/site/details/220</v>
      </c>
      <c r="I1245" s="2"/>
      <c r="J1245" t="s">
        <v>41</v>
      </c>
      <c r="K1245" s="79" t="str">
        <f>VLOOKUP(Tabla3[[#This Row],[Site]],'Important Info!'!$A$1:$H$135,8,FALSE)</f>
        <v>-</v>
      </c>
      <c r="L1245" s="52" t="str">
        <f>VLOOKUP(Tabla3[[#This Row],[Site]],'Important Info!'!$A$1:$F$135,2,FALSE)</f>
        <v>-</v>
      </c>
      <c r="M1245" s="52">
        <f>VLOOKUP(Tabla3[[#This Row],[Site]],'Important Info!'!$A$1:$F$135,3,FALSE)</f>
        <v>4</v>
      </c>
      <c r="N1245" s="52" t="str">
        <f>VLOOKUP(Tabla3[[#This Row],[Site]],'Important Info!'!$A$1:$F$135,4,FALSE)</f>
        <v>-</v>
      </c>
      <c r="O1245" s="52">
        <f>VLOOKUP(Tabla3[[#This Row],[Site]],'Important Info!'!$A$1:$F$135,5,FALSE)</f>
        <v>12</v>
      </c>
      <c r="P1245" s="52" t="str">
        <f>VLOOKUP(Tabla3[[#This Row],[Site]],'Important Info!'!$A$1:$F$135,6,FALSE)</f>
        <v>13, 15</v>
      </c>
      <c r="Q1245" s="91">
        <f>VLOOKUP(Tabla3[[#This Row],[Site]],'Important Info!'!$A$1:$J$135,9,FALSE)</f>
        <v>220</v>
      </c>
    </row>
    <row r="1246" spans="1:17" x14ac:dyDescent="0.25">
      <c r="A1246" t="str">
        <f>+Tabla3[[#This Row],[Site]]&amp;Tabla3[[#This Row],[Split]]</f>
        <v>(AS) Plaza Audi/Infiniti (NO TOURS)14</v>
      </c>
      <c r="B1246">
        <v>14</v>
      </c>
      <c r="C1246">
        <v>11</v>
      </c>
      <c r="D1246" t="s">
        <v>33</v>
      </c>
      <c r="E1246" t="s">
        <v>46</v>
      </c>
      <c r="F1246" t="s">
        <v>91</v>
      </c>
      <c r="G1246" t="s">
        <v>34</v>
      </c>
      <c r="H1246" s="52" t="str">
        <f>VLOOKUP(Tabla3[[#This Row],[Site]],'Important Info!'!$A$1:$J$135,10,FALSE)</f>
        <v>https://tools.sig.systems/site/details/141</v>
      </c>
      <c r="I1246" t="s">
        <v>130</v>
      </c>
      <c r="J1246" t="s">
        <v>41</v>
      </c>
      <c r="K1246" s="79" t="str">
        <f>VLOOKUP(Tabla3[[#This Row],[Site]],'Important Info!'!$A$1:$H$135,8,FALSE)</f>
        <v>-</v>
      </c>
      <c r="L1246" s="52" t="str">
        <f>VLOOKUP(Tabla3[[#This Row],[Site]],'Important Info!'!$A$1:$F$135,2,FALSE)</f>
        <v>7, 25</v>
      </c>
      <c r="M1246" s="52" t="str">
        <f>VLOOKUP(Tabla3[[#This Row],[Site]],'Important Info!'!$A$1:$F$135,3,FALSE)</f>
        <v>15, 17, 18</v>
      </c>
      <c r="N1246" s="52" t="str">
        <f>VLOOKUP(Tabla3[[#This Row],[Site]],'Important Info!'!$A$1:$F$135,4,FALSE)</f>
        <v>-</v>
      </c>
      <c r="O1246" s="52" t="str">
        <f>VLOOKUP(Tabla3[[#This Row],[Site]],'Important Info!'!$A$1:$F$135,5,FALSE)</f>
        <v>1, 24</v>
      </c>
      <c r="P1246" s="52" t="str">
        <f>VLOOKUP(Tabla3[[#This Row],[Site]],'Important Info!'!$A$1:$F$135,6,FALSE)</f>
        <v>3, 15, 17</v>
      </c>
      <c r="Q1246" s="91">
        <f>VLOOKUP(Tabla3[[#This Row],[Site]],'Important Info!'!$A$1:$J$135,9,FALSE)</f>
        <v>141</v>
      </c>
    </row>
    <row r="1247" spans="1:17" x14ac:dyDescent="0.25">
      <c r="A1247" t="str">
        <f>+Tabla3[[#This Row],[Site]]&amp;Tabla3[[#This Row],[Split]]</f>
        <v>(KG) Baytown GMC Buick - Remote Lot (NO TOURS)14</v>
      </c>
      <c r="B1247">
        <v>14</v>
      </c>
      <c r="C1247">
        <v>11</v>
      </c>
      <c r="D1247" t="s">
        <v>60</v>
      </c>
      <c r="E1247" t="s">
        <v>46</v>
      </c>
      <c r="F1247" t="s">
        <v>167</v>
      </c>
      <c r="G1247" t="s">
        <v>41</v>
      </c>
      <c r="H1247" s="52" t="str">
        <f>VLOOKUP(Tabla3[[#This Row],[Site]],'Important Info!'!$A$1:$J$135,10,FALSE)</f>
        <v>https://tools.sig.systems/site/details/311</v>
      </c>
      <c r="I1247" s="43"/>
      <c r="J1247" t="s">
        <v>41</v>
      </c>
      <c r="K1247" s="79" t="s">
        <v>168</v>
      </c>
      <c r="L1247" s="52" t="str">
        <f>VLOOKUP(Tabla3[[#This Row],[Site]],'Important Info!'!$A$1:$F$135,2,FALSE)</f>
        <v>-</v>
      </c>
      <c r="M1247" s="52" t="str">
        <f>VLOOKUP(Tabla3[[#This Row],[Site]],'Important Info!'!$A$1:$F$135,3,FALSE)</f>
        <v>7, 8</v>
      </c>
      <c r="N1247" s="52" t="str">
        <f>VLOOKUP(Tabla3[[#This Row],[Site]],'Important Info!'!$A$1:$F$135,4,FALSE)</f>
        <v>-</v>
      </c>
      <c r="O1247" s="52" t="str">
        <f>VLOOKUP(Tabla3[[#This Row],[Site]],'Important Info!'!$A$1:$F$135,5,FALSE)</f>
        <v>-</v>
      </c>
      <c r="P1247" s="52" t="str">
        <f>VLOOKUP(Tabla3[[#This Row],[Site]],'Important Info!'!$A$1:$F$135,6,FALSE)</f>
        <v>-</v>
      </c>
      <c r="Q1247" s="91">
        <f>VLOOKUP(Tabla3[[#This Row],[Site]],'Important Info!'!$A$1:$J$135,9,FALSE)</f>
        <v>311</v>
      </c>
    </row>
    <row r="1248" spans="1:17" x14ac:dyDescent="0.25">
      <c r="A1248" t="str">
        <f>+Tabla3[[#This Row],[Site]]&amp;Tabla3[[#This Row],[Split]]</f>
        <v>(KG) Baytown GMC Buick (NO TOURS)14</v>
      </c>
      <c r="B1248">
        <v>14</v>
      </c>
      <c r="C1248">
        <v>11</v>
      </c>
      <c r="D1248" t="s">
        <v>33</v>
      </c>
      <c r="E1248" t="s">
        <v>46</v>
      </c>
      <c r="F1248" t="s">
        <v>132</v>
      </c>
      <c r="G1248" t="s">
        <v>34</v>
      </c>
      <c r="H1248" s="52" t="str">
        <f>VLOOKUP(Tabla3[[#This Row],[Site]],'Important Info!'!$A$1:$J$135,10,FALSE)</f>
        <v>https://tools.sig.systems/site/details/239</v>
      </c>
      <c r="I1248" s="43"/>
      <c r="J1248" t="s">
        <v>41</v>
      </c>
      <c r="K1248" s="79" t="str">
        <f>VLOOKUP(Tabla3[[#This Row],[Site]],'Important Info!'!$A$1:$H$135,8,FALSE)</f>
        <v>-</v>
      </c>
      <c r="L1248" s="52" t="str">
        <f>VLOOKUP(Tabla3[[#This Row],[Site]],'Important Info!'!$A$1:$F$135,2,FALSE)</f>
        <v>1, 5, 7, 21, 22</v>
      </c>
      <c r="M1248" s="52" t="str">
        <f>VLOOKUP(Tabla3[[#This Row],[Site]],'Important Info!'!$A$1:$F$135,3,FALSE)</f>
        <v>-</v>
      </c>
      <c r="N1248" s="52" t="str">
        <f>VLOOKUP(Tabla3[[#This Row],[Site]],'Important Info!'!$A$1:$F$135,4,FALSE)</f>
        <v>-</v>
      </c>
      <c r="O1248" s="52" t="str">
        <f>VLOOKUP(Tabla3[[#This Row],[Site]],'Important Info!'!$A$1:$F$135,5,FALSE)</f>
        <v>2, 10, 15, 24B</v>
      </c>
      <c r="P1248" s="52" t="str">
        <f>VLOOKUP(Tabla3[[#This Row],[Site]],'Important Info!'!$A$1:$F$135,6,FALSE)</f>
        <v>21, 22</v>
      </c>
      <c r="Q1248" s="91">
        <f>VLOOKUP(Tabla3[[#This Row],[Site]],'Important Info!'!$A$1:$J$135,9,FALSE)</f>
        <v>239</v>
      </c>
    </row>
    <row r="1249" spans="1:17" x14ac:dyDescent="0.25">
      <c r="A1249" t="str">
        <f>+Tabla3[[#This Row],[Site]]&amp;Tabla3[[#This Row],[Split]]</f>
        <v>(KG) Kia of Phoenix (NO TOURS)14</v>
      </c>
      <c r="B1249">
        <v>14</v>
      </c>
      <c r="C1249">
        <v>11</v>
      </c>
      <c r="D1249" t="s">
        <v>51</v>
      </c>
      <c r="E1249" t="s">
        <v>161</v>
      </c>
      <c r="F1249" t="s">
        <v>94</v>
      </c>
      <c r="G1249" t="s">
        <v>52</v>
      </c>
      <c r="H1249" s="52" t="str">
        <f>VLOOKUP(Tabla3[[#This Row],[Site]],'Important Info!'!$A$1:$J$135,10,FALSE)</f>
        <v>https://tools.sig.systems/site/details/262</v>
      </c>
      <c r="J1249" t="s">
        <v>162</v>
      </c>
      <c r="K1249" s="79" t="str">
        <f>VLOOKUP(Tabla3[[#This Row],[Site]],'Important Info!'!$A$1:$H$135,8,FALSE)</f>
        <v>-</v>
      </c>
      <c r="L1249" s="52" t="str">
        <f>VLOOKUP(Tabla3[[#This Row],[Site]],'Important Info!'!$A$1:$F$135,2,FALSE)</f>
        <v>5, 8, 23</v>
      </c>
      <c r="M1249" s="52" t="str">
        <f>VLOOKUP(Tabla3[[#This Row],[Site]],'Important Info!'!$A$1:$F$135,3,FALSE)</f>
        <v>-</v>
      </c>
      <c r="N1249" s="52" t="str">
        <f>VLOOKUP(Tabla3[[#This Row],[Site]],'Important Info!'!$A$1:$F$135,4,FALSE)</f>
        <v>-</v>
      </c>
      <c r="O1249" s="52">
        <f>VLOOKUP(Tabla3[[#This Row],[Site]],'Important Info!'!$A$1:$F$135,5,FALSE)</f>
        <v>4</v>
      </c>
      <c r="P1249" s="52" t="str">
        <f>VLOOKUP(Tabla3[[#This Row],[Site]],'Important Info!'!$A$1:$F$135,6,FALSE)</f>
        <v>-</v>
      </c>
      <c r="Q1249" s="91">
        <f>VLOOKUP(Tabla3[[#This Row],[Site]],'Important Info!'!$A$1:$J$135,9,FALSE)</f>
        <v>262</v>
      </c>
    </row>
    <row r="1250" spans="1:17" x14ac:dyDescent="0.25">
      <c r="A1250" t="str">
        <f>+Tabla3[[#This Row],[Site]]&amp;Tabla3[[#This Row],[Split]]</f>
        <v>(ML) Joe Machens Kia of Columbia14</v>
      </c>
      <c r="B1250">
        <v>14</v>
      </c>
      <c r="C1250">
        <v>11</v>
      </c>
      <c r="D1250" t="s">
        <v>33</v>
      </c>
      <c r="E1250" t="s">
        <v>46</v>
      </c>
      <c r="F1250" t="s">
        <v>149</v>
      </c>
      <c r="G1250" t="s">
        <v>34</v>
      </c>
      <c r="H1250" s="52" t="str">
        <f>VLOOKUP(Tabla3[[#This Row],[Site]],'Important Info!'!$A$1:$J$135,10,FALSE)</f>
        <v>https://tools.sig.systems/site/details/270</v>
      </c>
      <c r="I1250" s="2" t="s">
        <v>146</v>
      </c>
      <c r="J1250" t="s">
        <v>41</v>
      </c>
      <c r="K1250" s="79" t="str">
        <f>VLOOKUP(Tabla3[[#This Row],[Site]],'Important Info!'!$A$1:$H$135,8,FALSE)</f>
        <v>-</v>
      </c>
      <c r="L1250" s="52" t="str">
        <f>VLOOKUP(Tabla3[[#This Row],[Site]],'Important Info!'!$A$1:$F$135,2,FALSE)</f>
        <v>-</v>
      </c>
      <c r="M1250" s="52" t="str">
        <f>VLOOKUP(Tabla3[[#This Row],[Site]],'Important Info!'!$A$1:$F$135,3,FALSE)</f>
        <v>1, 2, 5, 6, 9, 13, 15</v>
      </c>
      <c r="N1250" s="52" t="str">
        <f>VLOOKUP(Tabla3[[#This Row],[Site]],'Important Info!'!$A$1:$F$135,4,FALSE)</f>
        <v>-</v>
      </c>
      <c r="O1250" s="52" t="str">
        <f>VLOOKUP(Tabla3[[#This Row],[Site]],'Important Info!'!$A$1:$F$135,5,FALSE)</f>
        <v>-</v>
      </c>
      <c r="P1250" s="52" t="str">
        <f>VLOOKUP(Tabla3[[#This Row],[Site]],'Important Info!'!$A$1:$F$135,6,FALSE)</f>
        <v>10, 11, 13</v>
      </c>
      <c r="Q1250" s="91">
        <f>VLOOKUP(Tabla3[[#This Row],[Site]],'Important Info!'!$A$1:$J$135,9,FALSE)</f>
        <v>270</v>
      </c>
    </row>
    <row r="1251" spans="1:17" x14ac:dyDescent="0.25">
      <c r="A1251" t="str">
        <f>+Tabla3[[#This Row],[Site]]&amp;Tabla3[[#This Row],[Split]]</f>
        <v>(ML) Mazda VW-Lot B14</v>
      </c>
      <c r="B1251">
        <v>14</v>
      </c>
      <c r="C1251">
        <v>11</v>
      </c>
      <c r="D1251" t="s">
        <v>33</v>
      </c>
      <c r="E1251" t="s">
        <v>46</v>
      </c>
      <c r="F1251" t="s">
        <v>9</v>
      </c>
      <c r="G1251" t="s">
        <v>34</v>
      </c>
      <c r="H1251" s="52" t="str">
        <f>VLOOKUP(Tabla3[[#This Row],[Site]],'Important Info!'!$A$1:$J$135,10,FALSE)</f>
        <v>https://tools.sig.systems/site/details/205</v>
      </c>
      <c r="I1251" s="2" t="s">
        <v>142</v>
      </c>
      <c r="J1251" t="s">
        <v>41</v>
      </c>
      <c r="K1251" s="79" t="str">
        <f>VLOOKUP(Tabla3[[#This Row],[Site]],'Important Info!'!$A$1:$H$135,8,FALSE)</f>
        <v>-</v>
      </c>
      <c r="L1251" s="52" t="str">
        <f>VLOOKUP(Tabla3[[#This Row],[Site]],'Important Info!'!$A$1:$F$135,2,FALSE)</f>
        <v>9, 14, 16</v>
      </c>
      <c r="M1251" s="52">
        <f>VLOOKUP(Tabla3[[#This Row],[Site]],'Important Info!'!$A$1:$F$135,3,FALSE)</f>
        <v>1</v>
      </c>
      <c r="N1251" s="52" t="str">
        <f>VLOOKUP(Tabla3[[#This Row],[Site]],'Important Info!'!$A$1:$F$135,4,FALSE)</f>
        <v>-</v>
      </c>
      <c r="O1251" s="52">
        <f>VLOOKUP(Tabla3[[#This Row],[Site]],'Important Info!'!$A$1:$F$135,5,FALSE)</f>
        <v>4</v>
      </c>
      <c r="P1251" s="52" t="str">
        <f>VLOOKUP(Tabla3[[#This Row],[Site]],'Important Info!'!$A$1:$F$135,6,FALSE)</f>
        <v>-</v>
      </c>
      <c r="Q1251" s="91">
        <f>VLOOKUP(Tabla3[[#This Row],[Site]],'Important Info!'!$A$1:$J$135,9,FALSE)</f>
        <v>205</v>
      </c>
    </row>
    <row r="1252" spans="1:17" x14ac:dyDescent="0.25">
      <c r="A1252" t="str">
        <f>+Tabla3[[#This Row],[Site]]&amp;Tabla3[[#This Row],[Split]]</f>
        <v>(PE) Fairfield Collision (NO TOURS)14</v>
      </c>
      <c r="B1252">
        <v>14</v>
      </c>
      <c r="C1252">
        <v>11</v>
      </c>
      <c r="D1252" t="s">
        <v>485</v>
      </c>
      <c r="E1252" t="s">
        <v>35</v>
      </c>
      <c r="F1252" t="s">
        <v>63</v>
      </c>
      <c r="G1252" t="s">
        <v>490</v>
      </c>
      <c r="H1252" s="52" t="str">
        <f>VLOOKUP(Tabla3[[#This Row],[Site]],'Important Info!'!$A$1:$J$135,10,FALSE)</f>
        <v>https://tools.sig.systems/site/details/191</v>
      </c>
      <c r="J1252" t="s">
        <v>41</v>
      </c>
      <c r="K1252" s="79" t="str">
        <f>VLOOKUP(Tabla3[[#This Row],[Site]],'Important Info!'!$A$1:$H$135,8,FALSE)</f>
        <v>-</v>
      </c>
      <c r="L1252" s="52">
        <f>VLOOKUP(Tabla3[[#This Row],[Site]],'Important Info!'!$A$1:$F$135,2,FALSE)</f>
        <v>4</v>
      </c>
      <c r="M1252" s="52" t="str">
        <f>VLOOKUP(Tabla3[[#This Row],[Site]],'Important Info!'!$A$1:$F$135,3,FALSE)</f>
        <v>-</v>
      </c>
      <c r="N1252" s="52" t="str">
        <f>VLOOKUP(Tabla3[[#This Row],[Site]],'Important Info!'!$A$1:$F$135,4,FALSE)</f>
        <v>-</v>
      </c>
      <c r="O1252" s="52" t="str">
        <f>VLOOKUP(Tabla3[[#This Row],[Site]],'Important Info!'!$A$1:$F$135,5,FALSE)</f>
        <v>-</v>
      </c>
      <c r="P1252" s="52" t="str">
        <f>VLOOKUP(Tabla3[[#This Row],[Site]],'Important Info!'!$A$1:$F$135,6,FALSE)</f>
        <v>1, 2, 3, 4, 5, 6</v>
      </c>
      <c r="Q1252" s="91">
        <f>VLOOKUP(Tabla3[[#This Row],[Site]],'Important Info!'!$A$1:$J$135,9,FALSE)</f>
        <v>191</v>
      </c>
    </row>
    <row r="1253" spans="1:17" x14ac:dyDescent="0.25">
      <c r="A1253" t="str">
        <f>+Tabla3[[#This Row],[Site]]&amp;Tabla3[[#This Row],[Split]]</f>
        <v>(AS) Coggin Honda Ft. Pierce (NO TOURS)14</v>
      </c>
      <c r="B1253">
        <v>14</v>
      </c>
      <c r="C1253">
        <v>12</v>
      </c>
      <c r="D1253" t="s">
        <v>62</v>
      </c>
      <c r="E1253" t="s">
        <v>35</v>
      </c>
      <c r="F1253" t="s">
        <v>501</v>
      </c>
      <c r="G1253" t="s">
        <v>490</v>
      </c>
      <c r="H1253" s="52" t="str">
        <f>VLOOKUP(Tabla3[[#This Row],[Site]],'Important Info!'!$A$1:$J$135,10,FALSE)</f>
        <v>https://tools.sig.systems/site/details/120</v>
      </c>
      <c r="I1253" t="s">
        <v>179</v>
      </c>
      <c r="J1253" t="s">
        <v>484</v>
      </c>
      <c r="K1253" s="79" t="str">
        <f>VLOOKUP(Tabla3[[#This Row],[Site]],'Important Info!'!$A$1:$H$135,8,FALSE)</f>
        <v>-</v>
      </c>
      <c r="L1253" s="52" t="str">
        <f>VLOOKUP(Tabla3[[#This Row],[Site]],'Important Info!'!$A$1:$F$135,2,FALSE)</f>
        <v>1, 2, 3, 4, 14</v>
      </c>
      <c r="M1253" s="52" t="str">
        <f>VLOOKUP(Tabla3[[#This Row],[Site]],'Important Info!'!$A$1:$F$135,3,FALSE)</f>
        <v>-</v>
      </c>
      <c r="N1253" s="52" t="str">
        <f>VLOOKUP(Tabla3[[#This Row],[Site]],'Important Info!'!$A$1:$F$135,4,FALSE)</f>
        <v>-</v>
      </c>
      <c r="O1253" s="52" t="str">
        <f>VLOOKUP(Tabla3[[#This Row],[Site]],'Important Info!'!$A$1:$F$135,5,FALSE)</f>
        <v>7, 11, 15</v>
      </c>
      <c r="P1253" s="52">
        <f>VLOOKUP(Tabla3[[#This Row],[Site]],'Important Info!'!$A$1:$F$135,6,FALSE)</f>
        <v>3</v>
      </c>
      <c r="Q1253" s="91">
        <f>VLOOKUP(Tabla3[[#This Row],[Site]],'Important Info!'!$A$1:$J$135,9,FALSE)</f>
        <v>120</v>
      </c>
    </row>
    <row r="1254" spans="1:17" x14ac:dyDescent="0.25">
      <c r="A1254" t="str">
        <f>+Tabla3[[#This Row],[Site]]&amp;Tabla3[[#This Row],[Split]]</f>
        <v>(AS) Courtesy Hyundai/Nissan Tampa (NO TOURS)14</v>
      </c>
      <c r="B1254">
        <v>14</v>
      </c>
      <c r="C1254">
        <v>12</v>
      </c>
      <c r="D1254" t="s">
        <v>62</v>
      </c>
      <c r="E1254" t="s">
        <v>35</v>
      </c>
      <c r="F1254" t="s">
        <v>504</v>
      </c>
      <c r="G1254" t="s">
        <v>490</v>
      </c>
      <c r="H1254" s="52" t="str">
        <f>VLOOKUP(Tabla3[[#This Row],[Site]],'Important Info!'!$A$1:$J$135,10,FALSE)</f>
        <v>https://tools.sig.systems/site/details/128</v>
      </c>
      <c r="I1254" s="2"/>
      <c r="J1254" t="s">
        <v>484</v>
      </c>
      <c r="K1254" s="79" t="str">
        <f>VLOOKUP(Tabla3[[#This Row],[Site]],'Important Info!'!$A$1:$H$135,8,FALSE)</f>
        <v>-</v>
      </c>
      <c r="L1254" s="52" t="str">
        <f>VLOOKUP(Tabla3[[#This Row],[Site]],'Important Info!'!$A$1:$F$135,2,FALSE)</f>
        <v>1, 16, 25, 27, 32</v>
      </c>
      <c r="M1254" s="52" t="str">
        <f>VLOOKUP(Tabla3[[#This Row],[Site]],'Important Info!'!$A$1:$F$135,3,FALSE)</f>
        <v>-</v>
      </c>
      <c r="N1254" s="52" t="str">
        <f>VLOOKUP(Tabla3[[#This Row],[Site]],'Important Info!'!$A$1:$F$135,4,FALSE)</f>
        <v>-</v>
      </c>
      <c r="O1254" s="52" t="str">
        <f>VLOOKUP(Tabla3[[#This Row],[Site]],'Important Info!'!$A$1:$F$135,5,FALSE)</f>
        <v>4, 10, 16</v>
      </c>
      <c r="P1254" s="52" t="str">
        <f>VLOOKUP(Tabla3[[#This Row],[Site]],'Important Info!'!$A$1:$F$135,6,FALSE)</f>
        <v>24, 25, 26 &amp; Remote Lots</v>
      </c>
      <c r="Q1254" s="91">
        <f>VLOOKUP(Tabla3[[#This Row],[Site]],'Important Info!'!$A$1:$J$135,9,FALSE)</f>
        <v>128</v>
      </c>
    </row>
    <row r="1255" spans="1:17" x14ac:dyDescent="0.25">
      <c r="A1255" t="str">
        <f>+Tabla3[[#This Row],[Site]]&amp;Tabla3[[#This Row],[Split]]</f>
        <v>(DT) Albuquerque14</v>
      </c>
      <c r="B1255">
        <v>14</v>
      </c>
      <c r="C1255">
        <v>12</v>
      </c>
      <c r="D1255" t="s">
        <v>44</v>
      </c>
      <c r="E1255" t="s">
        <v>53</v>
      </c>
      <c r="F1255" t="s">
        <v>155</v>
      </c>
      <c r="G1255" t="s">
        <v>45</v>
      </c>
      <c r="H1255" s="52" t="str">
        <f>VLOOKUP(Tabla3[[#This Row],[Site]],'Important Info!'!$A$1:$J$135,10,FALSE)</f>
        <v>https://tools.sig.systems/site/details/237</v>
      </c>
      <c r="J1255" t="s">
        <v>41</v>
      </c>
      <c r="K1255" s="79" t="str">
        <f>VLOOKUP(Tabla3[[#This Row],[Site]],'Important Info!'!$A$1:$H$135,8,FALSE)</f>
        <v>-</v>
      </c>
      <c r="L1255" s="52" t="str">
        <f>VLOOKUP(Tabla3[[#This Row],[Site]],'Important Info!'!$A$1:$F$135,2,FALSE)</f>
        <v>14, 16</v>
      </c>
      <c r="M1255" s="52" t="str">
        <f>VLOOKUP(Tabla3[[#This Row],[Site]],'Important Info!'!$A$1:$F$135,3,FALSE)</f>
        <v>-</v>
      </c>
      <c r="N1255" s="52" t="str">
        <f>VLOOKUP(Tabla3[[#This Row],[Site]],'Important Info!'!$A$1:$F$135,4,FALSE)</f>
        <v>-</v>
      </c>
      <c r="O1255" s="52" t="str">
        <f>VLOOKUP(Tabla3[[#This Row],[Site]],'Important Info!'!$A$1:$F$135,5,FALSE)</f>
        <v>14, 15</v>
      </c>
      <c r="P1255" s="52" t="str">
        <f>VLOOKUP(Tabla3[[#This Row],[Site]],'Important Info!'!$A$1:$F$135,6,FALSE)</f>
        <v>12, 14, 16</v>
      </c>
      <c r="Q1255" s="91">
        <f>VLOOKUP(Tabla3[[#This Row],[Site]],'Important Info!'!$A$1:$J$135,9,FALSE)</f>
        <v>237</v>
      </c>
    </row>
    <row r="1256" spans="1:17" x14ac:dyDescent="0.25">
      <c r="A1256" t="str">
        <f>+Tabla3[[#This Row],[Site]]&amp;Tabla3[[#This Row],[Split]]</f>
        <v>(KT) Northwest CDJR (NO TOURS)14</v>
      </c>
      <c r="B1256">
        <v>14</v>
      </c>
      <c r="C1256">
        <v>12</v>
      </c>
      <c r="D1256" t="s">
        <v>33</v>
      </c>
      <c r="E1256" t="s">
        <v>46</v>
      </c>
      <c r="F1256" t="s">
        <v>77</v>
      </c>
      <c r="G1256" t="s">
        <v>34</v>
      </c>
      <c r="H1256" s="52" t="str">
        <f>VLOOKUP(Tabla3[[#This Row],[Site]],'Important Info!'!$A$1:$J$135,10,FALSE)</f>
        <v>https://tools.sig.systems/site/details/229</v>
      </c>
      <c r="I1256" s="2"/>
      <c r="J1256" t="s">
        <v>41</v>
      </c>
      <c r="K1256" s="79" t="str">
        <f>VLOOKUP(Tabla3[[#This Row],[Site]],'Important Info!'!$A$1:$H$135,8,FALSE)</f>
        <v>-</v>
      </c>
      <c r="L1256" s="52" t="str">
        <f>VLOOKUP(Tabla3[[#This Row],[Site]],'Important Info!'!$A$1:$F$135,2,FALSE)</f>
        <v>1, 3, 11, 25</v>
      </c>
      <c r="M1256" s="52" t="str">
        <f>VLOOKUP(Tabla3[[#This Row],[Site]],'Important Info!'!$A$1:$F$135,3,FALSE)</f>
        <v>-</v>
      </c>
      <c r="N1256" s="52" t="str">
        <f>VLOOKUP(Tabla3[[#This Row],[Site]],'Important Info!'!$A$1:$F$135,4,FALSE)</f>
        <v>-</v>
      </c>
      <c r="O1256" s="52" t="str">
        <f>VLOOKUP(Tabla3[[#This Row],[Site]],'Important Info!'!$A$1:$F$135,5,FALSE)</f>
        <v>4, 12, 18</v>
      </c>
      <c r="P1256" s="52" t="str">
        <f>VLOOKUP(Tabla3[[#This Row],[Site]],'Important Info!'!$A$1:$F$135,6,FALSE)</f>
        <v>-</v>
      </c>
      <c r="Q1256" s="91">
        <f>VLOOKUP(Tabla3[[#This Row],[Site]],'Important Info!'!$A$1:$J$135,9,FALSE)</f>
        <v>229</v>
      </c>
    </row>
    <row r="1257" spans="1:17" x14ac:dyDescent="0.25">
      <c r="A1257" t="str">
        <f>+Tabla3[[#This Row],[Site]]&amp;Tabla3[[#This Row],[Split]]</f>
        <v>(MK) McKenny Salinas Honda14</v>
      </c>
      <c r="B1257">
        <v>14</v>
      </c>
      <c r="C1257">
        <v>12</v>
      </c>
      <c r="D1257" t="s">
        <v>62</v>
      </c>
      <c r="E1257" t="s">
        <v>35</v>
      </c>
      <c r="F1257" t="s">
        <v>115</v>
      </c>
      <c r="G1257" t="s">
        <v>490</v>
      </c>
      <c r="H1257" s="52" t="str">
        <f>VLOOKUP(Tabla3[[#This Row],[Site]],'Important Info!'!$A$1:$J$135,10,FALSE)</f>
        <v>https://tools.sig.systems/site/details/149</v>
      </c>
      <c r="J1257" t="s">
        <v>41</v>
      </c>
      <c r="K1257" s="79" t="str">
        <f>VLOOKUP(Tabla3[[#This Row],[Site]],'Important Info!'!$A$1:$H$135,8,FALSE)</f>
        <v>-</v>
      </c>
      <c r="L1257" s="52" t="str">
        <f>VLOOKUP(Tabla3[[#This Row],[Site]],'Important Info!'!$A$1:$F$135,2,FALSE)</f>
        <v>-</v>
      </c>
      <c r="M1257" s="52" t="str">
        <f>VLOOKUP(Tabla3[[#This Row],[Site]],'Important Info!'!$A$1:$F$135,3,FALSE)</f>
        <v>12, 16</v>
      </c>
      <c r="N1257" s="52" t="str">
        <f>VLOOKUP(Tabla3[[#This Row],[Site]],'Important Info!'!$A$1:$F$135,4,FALSE)</f>
        <v>-</v>
      </c>
      <c r="O1257" s="52" t="str">
        <f>VLOOKUP(Tabla3[[#This Row],[Site]],'Important Info!'!$A$1:$F$135,5,FALSE)</f>
        <v>-</v>
      </c>
      <c r="P1257" s="52" t="str">
        <f>VLOOKUP(Tabla3[[#This Row],[Site]],'Important Info!'!$A$1:$F$135,6,FALSE)</f>
        <v>3, 4, 5, 6, 16</v>
      </c>
      <c r="Q1257" s="91">
        <f>VLOOKUP(Tabla3[[#This Row],[Site]],'Important Info!'!$A$1:$J$135,9,FALSE)</f>
        <v>149</v>
      </c>
    </row>
    <row r="1258" spans="1:17" x14ac:dyDescent="0.25">
      <c r="A1258" t="str">
        <f>+Tabla3[[#This Row],[Site]]&amp;Tabla3[[#This Row],[Split]]</f>
        <v>(ML) Joe Machens Capital City I &amp; II (NO TOURS)14</v>
      </c>
      <c r="B1258">
        <v>14</v>
      </c>
      <c r="C1258">
        <v>12</v>
      </c>
      <c r="D1258" t="s">
        <v>33</v>
      </c>
      <c r="E1258" t="s">
        <v>46</v>
      </c>
      <c r="F1258" t="s">
        <v>72</v>
      </c>
      <c r="G1258" t="s">
        <v>34</v>
      </c>
      <c r="H1258" s="52" t="str">
        <f>VLOOKUP(Tabla3[[#This Row],[Site]],'Important Info!'!$A$1:$J$135,10,FALSE)</f>
        <v>https://tools.sig.systems/site/details/271</v>
      </c>
      <c r="I1258" s="2"/>
      <c r="J1258" t="s">
        <v>41</v>
      </c>
      <c r="K1258" s="79" t="str">
        <f>VLOOKUP(Tabla3[[#This Row],[Site]],'Important Info!'!$A$1:$H$135,8,FALSE)</f>
        <v>-</v>
      </c>
      <c r="L1258" s="52" t="str">
        <f>VLOOKUP(Tabla3[[#This Row],[Site]],'Important Info!'!$A$1:$F$135,2,FALSE)</f>
        <v>-</v>
      </c>
      <c r="M1258" s="52" t="str">
        <f>VLOOKUP(Tabla3[[#This Row],[Site]],'Important Info!'!$A$1:$F$135,3,FALSE)</f>
        <v>1, 3, 4, 20, 25, 27, 28</v>
      </c>
      <c r="N1258" s="52" t="str">
        <f>VLOOKUP(Tabla3[[#This Row],[Site]],'Important Info!'!$A$1:$F$135,4,FALSE)</f>
        <v>-</v>
      </c>
      <c r="O1258" s="52">
        <f>VLOOKUP(Tabla3[[#This Row],[Site]],'Important Info!'!$A$1:$F$135,5,FALSE)</f>
        <v>29</v>
      </c>
      <c r="P1258" s="52" t="str">
        <f>VLOOKUP(Tabla3[[#This Row],[Site]],'Important Info!'!$A$1:$F$135,6,FALSE)</f>
        <v>19, 20</v>
      </c>
      <c r="Q1258" s="91">
        <f>VLOOKUP(Tabla3[[#This Row],[Site]],'Important Info!'!$A$1:$J$135,9,FALSE)</f>
        <v>271</v>
      </c>
    </row>
    <row r="1259" spans="1:17" x14ac:dyDescent="0.25">
      <c r="A1259" t="str">
        <f>+Tabla3[[#This Row],[Site]]&amp;Tabla3[[#This Row],[Split]]</f>
        <v>(ML) Nissan Of Benton14</v>
      </c>
      <c r="B1259">
        <v>14</v>
      </c>
      <c r="C1259">
        <v>12</v>
      </c>
      <c r="D1259" t="s">
        <v>33</v>
      </c>
      <c r="E1259" t="s">
        <v>46</v>
      </c>
      <c r="F1259" t="s">
        <v>120</v>
      </c>
      <c r="G1259" t="s">
        <v>34</v>
      </c>
      <c r="H1259" s="52" t="str">
        <f>VLOOKUP(Tabla3[[#This Row],[Site]],'Important Info!'!$A$1:$J$135,10,FALSE)</f>
        <v>https://tools.sig.systems/site/details/247</v>
      </c>
      <c r="I1259" s="2"/>
      <c r="J1259" t="s">
        <v>41</v>
      </c>
      <c r="K1259" s="79" t="str">
        <f>VLOOKUP(Tabla3[[#This Row],[Site]],'Important Info!'!$A$1:$H$135,8,FALSE)</f>
        <v>-</v>
      </c>
      <c r="L1259" s="52" t="str">
        <f>VLOOKUP(Tabla3[[#This Row],[Site]],'Important Info!'!$A$1:$F$135,2,FALSE)</f>
        <v>5, 12</v>
      </c>
      <c r="M1259" s="52" t="str">
        <f>VLOOKUP(Tabla3[[#This Row],[Site]],'Important Info!'!$A$1:$F$135,3,FALSE)</f>
        <v>-</v>
      </c>
      <c r="N1259" s="52" t="str">
        <f>VLOOKUP(Tabla3[[#This Row],[Site]],'Important Info!'!$A$1:$F$135,4,FALSE)</f>
        <v>-</v>
      </c>
      <c r="O1259" s="52" t="str">
        <f>VLOOKUP(Tabla3[[#This Row],[Site]],'Important Info!'!$A$1:$F$135,5,FALSE)</f>
        <v>4, 18</v>
      </c>
      <c r="P1259" s="52" t="str">
        <f>VLOOKUP(Tabla3[[#This Row],[Site]],'Important Info!'!$A$1:$F$135,6,FALSE)</f>
        <v>-</v>
      </c>
      <c r="Q1259" s="91">
        <f>VLOOKUP(Tabla3[[#This Row],[Site]],'Important Info!'!$A$1:$J$135,9,FALSE)</f>
        <v>247</v>
      </c>
    </row>
    <row r="1260" spans="1:17" x14ac:dyDescent="0.25">
      <c r="A1260" t="str">
        <f>+Tabla3[[#This Row],[Site]]&amp;Tabla3[[#This Row],[Split]]</f>
        <v>(PE) Mercedes Benz &amp; Smart Bldg. of Fairfield (NO TOURS)14</v>
      </c>
      <c r="B1260">
        <v>14</v>
      </c>
      <c r="C1260">
        <v>12</v>
      </c>
      <c r="D1260" t="s">
        <v>485</v>
      </c>
      <c r="E1260" t="s">
        <v>35</v>
      </c>
      <c r="F1260" t="s">
        <v>64</v>
      </c>
      <c r="G1260" t="s">
        <v>490</v>
      </c>
      <c r="H1260" s="52" t="str">
        <f>VLOOKUP(Tabla3[[#This Row],[Site]],'Important Info!'!$A$1:$J$135,10,FALSE)</f>
        <v>https://tools.sig.systems/site/details/192</v>
      </c>
      <c r="I1260" t="s">
        <v>177</v>
      </c>
      <c r="J1260" t="s">
        <v>41</v>
      </c>
      <c r="K1260" s="79" t="str">
        <f>VLOOKUP(Tabla3[[#This Row],[Site]],'Important Info!'!$A$1:$H$135,8,FALSE)</f>
        <v>-</v>
      </c>
      <c r="L1260" s="52" t="str">
        <f>VLOOKUP(Tabla3[[#This Row],[Site]],'Important Info!'!$A$1:$F$135,2,FALSE)</f>
        <v>-</v>
      </c>
      <c r="M1260" s="52">
        <f>VLOOKUP(Tabla3[[#This Row],[Site]],'Important Info!'!$A$1:$F$135,3,FALSE)</f>
        <v>1</v>
      </c>
      <c r="N1260" s="52" t="str">
        <f>VLOOKUP(Tabla3[[#This Row],[Site]],'Important Info!'!$A$1:$F$135,4,FALSE)</f>
        <v>-</v>
      </c>
      <c r="O1260" s="52" t="str">
        <f>VLOOKUP(Tabla3[[#This Row],[Site]],'Important Info!'!$A$1:$F$135,5,FALSE)</f>
        <v>11, 13</v>
      </c>
      <c r="P1260" s="52">
        <f>VLOOKUP(Tabla3[[#This Row],[Site]],'Important Info!'!$A$1:$F$135,6,FALSE)</f>
        <v>1</v>
      </c>
      <c r="Q1260" s="91">
        <f>VLOOKUP(Tabla3[[#This Row],[Site]],'Important Info!'!$A$1:$J$135,9,FALSE)</f>
        <v>192</v>
      </c>
    </row>
    <row r="1261" spans="1:17" x14ac:dyDescent="0.25">
      <c r="A1261" t="str">
        <f>+Tabla3[[#This Row],[Site]]&amp;Tabla3[[#This Row],[Split]]</f>
        <v>(RV) Sonny's Camp N Travel Concord14</v>
      </c>
      <c r="B1261">
        <v>14</v>
      </c>
      <c r="C1261">
        <v>12</v>
      </c>
      <c r="D1261" t="s">
        <v>62</v>
      </c>
      <c r="E1261" t="s">
        <v>35</v>
      </c>
      <c r="F1261" t="s">
        <v>188</v>
      </c>
      <c r="G1261" t="s">
        <v>490</v>
      </c>
      <c r="H1261" s="52" t="str">
        <f>VLOOKUP(Tabla3[[#This Row],[Site]],'Important Info!'!$A$1:$J$135,10,FALSE)</f>
        <v>https://tools.sig.systems/site/details/183</v>
      </c>
      <c r="J1261" t="s">
        <v>41</v>
      </c>
      <c r="K1261" s="79" t="str">
        <f>VLOOKUP(Tabla3[[#This Row],[Site]],'Important Info!'!$A$1:$H$135,8,FALSE)</f>
        <v>-</v>
      </c>
      <c r="L1261" s="52">
        <f>VLOOKUP(Tabla3[[#This Row],[Site]],'Important Info!'!$A$1:$F$135,2,FALSE)</f>
        <v>1</v>
      </c>
      <c r="M1261" s="52" t="str">
        <f>VLOOKUP(Tabla3[[#This Row],[Site]],'Important Info!'!$A$1:$F$135,3,FALSE)</f>
        <v>-</v>
      </c>
      <c r="N1261" s="52" t="str">
        <f>VLOOKUP(Tabla3[[#This Row],[Site]],'Important Info!'!$A$1:$F$135,4,FALSE)</f>
        <v>-</v>
      </c>
      <c r="O1261" s="52">
        <f>VLOOKUP(Tabla3[[#This Row],[Site]],'Important Info!'!$A$1:$F$135,5,FALSE)</f>
        <v>7</v>
      </c>
      <c r="P1261" s="52" t="str">
        <f>VLOOKUP(Tabla3[[#This Row],[Site]],'Important Info!'!$A$1:$F$135,6,FALSE)</f>
        <v>6, 7, 8, 9</v>
      </c>
      <c r="Q1261" s="91">
        <f>VLOOKUP(Tabla3[[#This Row],[Site]],'Important Info!'!$A$1:$J$135,9,FALSE)</f>
        <v>183</v>
      </c>
    </row>
    <row r="1262" spans="1:17" x14ac:dyDescent="0.25">
      <c r="A1262" t="str">
        <f>+Tabla3[[#This Row],[Site]]&amp;Tabla3[[#This Row],[Split]]</f>
        <v>(AS) Coggin Acura Ft Pierce (NO TOURS)14</v>
      </c>
      <c r="B1262">
        <v>14</v>
      </c>
      <c r="C1262">
        <v>13</v>
      </c>
      <c r="D1262" t="s">
        <v>62</v>
      </c>
      <c r="E1262" t="s">
        <v>35</v>
      </c>
      <c r="F1262" t="s">
        <v>500</v>
      </c>
      <c r="G1262" t="s">
        <v>490</v>
      </c>
      <c r="H1262" s="52" t="str">
        <f>VLOOKUP(Tabla3[[#This Row],[Site]],'Important Info!'!$A$1:$J$135,10,FALSE)</f>
        <v>https://tools.sig.systems/site/details/118</v>
      </c>
      <c r="I1262" s="2" t="s">
        <v>179</v>
      </c>
      <c r="J1262" t="s">
        <v>41</v>
      </c>
      <c r="K1262" s="79" t="str">
        <f>VLOOKUP(Tabla3[[#This Row],[Site]],'Important Info!'!$A$1:$H$135,8,FALSE)</f>
        <v>-</v>
      </c>
      <c r="L1262" s="52" t="str">
        <f>VLOOKUP(Tabla3[[#This Row],[Site]],'Important Info!'!$A$1:$F$135,2,FALSE)</f>
        <v>-</v>
      </c>
      <c r="M1262" s="52">
        <f>VLOOKUP(Tabla3[[#This Row],[Site]],'Important Info!'!$A$1:$F$135,3,FALSE)</f>
        <v>6</v>
      </c>
      <c r="N1262" s="52" t="str">
        <f>VLOOKUP(Tabla3[[#This Row],[Site]],'Important Info!'!$A$1:$F$135,4,FALSE)</f>
        <v>-</v>
      </c>
      <c r="O1262" s="52" t="str">
        <f>VLOOKUP(Tabla3[[#This Row],[Site]],'Important Info!'!$A$1:$F$135,5,FALSE)</f>
        <v>4, 6</v>
      </c>
      <c r="P1262" s="52">
        <f>VLOOKUP(Tabla3[[#This Row],[Site]],'Important Info!'!$A$1:$F$135,6,FALSE)</f>
        <v>1</v>
      </c>
      <c r="Q1262" s="91">
        <f>VLOOKUP(Tabla3[[#This Row],[Site]],'Important Info!'!$A$1:$J$135,9,FALSE)</f>
        <v>118</v>
      </c>
    </row>
    <row r="1263" spans="1:17" x14ac:dyDescent="0.25">
      <c r="A1263" t="str">
        <f>+Tabla3[[#This Row],[Site]]&amp;Tabla3[[#This Row],[Split]]</f>
        <v>(AS) David McDavid Honda I &amp; II (NO TOURS)14</v>
      </c>
      <c r="B1263">
        <v>14</v>
      </c>
      <c r="C1263">
        <v>13</v>
      </c>
      <c r="D1263" t="s">
        <v>33</v>
      </c>
      <c r="E1263" t="s">
        <v>46</v>
      </c>
      <c r="F1263" t="s">
        <v>506</v>
      </c>
      <c r="G1263" t="s">
        <v>34</v>
      </c>
      <c r="H1263" s="52" t="str">
        <f>VLOOKUP(Tabla3[[#This Row],[Site]],'Important Info!'!$A$1:$J$135,10,FALSE)</f>
        <v>https://tools.sig.systems/site/details/129</v>
      </c>
      <c r="J1263" t="s">
        <v>41</v>
      </c>
      <c r="K1263" s="79" t="str">
        <f>VLOOKUP(Tabla3[[#This Row],[Site]],'Important Info!'!$A$1:$H$135,8,FALSE)</f>
        <v>-</v>
      </c>
      <c r="L1263" s="52" t="str">
        <f>VLOOKUP(Tabla3[[#This Row],[Site]],'Important Info!'!$A$1:$F$135,2,FALSE)</f>
        <v>-</v>
      </c>
      <c r="M1263" s="52" t="str">
        <f>VLOOKUP(Tabla3[[#This Row],[Site]],'Important Info!'!$A$1:$F$135,3,FALSE)</f>
        <v>3, 19, 23, 32, 35</v>
      </c>
      <c r="N1263" s="52" t="str">
        <f>VLOOKUP(Tabla3[[#This Row],[Site]],'Important Info!'!$A$1:$F$135,4,FALSE)</f>
        <v>-</v>
      </c>
      <c r="O1263" s="52" t="str">
        <f>VLOOKUP(Tabla3[[#This Row],[Site]],'Important Info!'!$A$1:$F$135,5,FALSE)</f>
        <v>2, 6, 9, 19, 25, 30, 48</v>
      </c>
      <c r="P1263" s="52" t="str">
        <f>VLOOKUP(Tabla3[[#This Row],[Site]],'Important Info!'!$A$1:$F$135,6,FALSE)</f>
        <v>25, 26, 35, 36, 37</v>
      </c>
      <c r="Q1263" s="91">
        <f>VLOOKUP(Tabla3[[#This Row],[Site]],'Important Info!'!$A$1:$J$135,9,FALSE)</f>
        <v>129</v>
      </c>
    </row>
    <row r="1264" spans="1:17" x14ac:dyDescent="0.25">
      <c r="A1264" t="str">
        <f>+Tabla3[[#This Row],[Site]]&amp;Tabla3[[#This Row],[Split]]</f>
        <v>(AS) Mike Shaw Subaru Greeley (NO TOURS)14</v>
      </c>
      <c r="B1264">
        <v>14</v>
      </c>
      <c r="C1264">
        <v>13</v>
      </c>
      <c r="D1264" t="s">
        <v>44</v>
      </c>
      <c r="E1264" t="s">
        <v>53</v>
      </c>
      <c r="F1264" t="s">
        <v>95</v>
      </c>
      <c r="G1264" t="s">
        <v>45</v>
      </c>
      <c r="H1264" s="52" t="str">
        <f>VLOOKUP(Tabla3[[#This Row],[Site]],'Important Info!'!$A$1:$J$135,10,FALSE)</f>
        <v>https://tools.sig.systems/site/details/174</v>
      </c>
      <c r="I1264" t="s">
        <v>153</v>
      </c>
      <c r="J1264" t="s">
        <v>41</v>
      </c>
      <c r="K1264" s="79" t="str">
        <f>VLOOKUP(Tabla3[[#This Row],[Site]],'Important Info!'!$A$1:$H$135,8,FALSE)</f>
        <v>-</v>
      </c>
      <c r="L1264" s="52" t="str">
        <f>VLOOKUP(Tabla3[[#This Row],[Site]],'Important Info!'!$A$1:$F$135,2,FALSE)</f>
        <v>16, 17</v>
      </c>
      <c r="M1264" s="52">
        <f>VLOOKUP(Tabla3[[#This Row],[Site]],'Important Info!'!$A$1:$F$135,3,FALSE)</f>
        <v>10</v>
      </c>
      <c r="N1264" s="52" t="str">
        <f>VLOOKUP(Tabla3[[#This Row],[Site]],'Important Info!'!$A$1:$F$135,4,FALSE)</f>
        <v>-</v>
      </c>
      <c r="O1264" s="52" t="str">
        <f>VLOOKUP(Tabla3[[#This Row],[Site]],'Important Info!'!$A$1:$F$135,5,FALSE)</f>
        <v>1, 7</v>
      </c>
      <c r="P1264" s="52" t="str">
        <f>VLOOKUP(Tabla3[[#This Row],[Site]],'Important Info!'!$A$1:$F$135,6,FALSE)</f>
        <v>-</v>
      </c>
      <c r="Q1264" s="91">
        <f>VLOOKUP(Tabla3[[#This Row],[Site]],'Important Info!'!$A$1:$J$135,9,FALSE)</f>
        <v>174</v>
      </c>
    </row>
    <row r="1265" spans="1:17" x14ac:dyDescent="0.25">
      <c r="A1265" t="str">
        <f>+Tabla3[[#This Row],[Site]]&amp;Tabla3[[#This Row],[Split]]</f>
        <v>(AS) Park Place JLR DFW Airport (NO TOURS)14</v>
      </c>
      <c r="B1265">
        <v>14</v>
      </c>
      <c r="C1265">
        <v>13</v>
      </c>
      <c r="D1265" t="s">
        <v>33</v>
      </c>
      <c r="E1265" t="s">
        <v>46</v>
      </c>
      <c r="F1265" t="s">
        <v>516</v>
      </c>
      <c r="G1265" t="s">
        <v>34</v>
      </c>
      <c r="H1265" s="52" t="str">
        <f>VLOOKUP(Tabla3[[#This Row],[Site]],'Important Info!'!$A$1:$J$135,10,FALSE)</f>
        <v>https://tools.sig.systems/site/details/135</v>
      </c>
      <c r="J1265" t="s">
        <v>41</v>
      </c>
      <c r="K1265" s="79" t="str">
        <f>VLOOKUP(Tabla3[[#This Row],[Site]],'Important Info!'!$A$1:$H$135,8,FALSE)</f>
        <v>-</v>
      </c>
      <c r="L1265" s="52" t="str">
        <f>VLOOKUP(Tabla3[[#This Row],[Site]],'Important Info!'!$A$1:$F$135,2,FALSE)</f>
        <v>6, 7, 18</v>
      </c>
      <c r="M1265" s="52" t="str">
        <f>VLOOKUP(Tabla3[[#This Row],[Site]],'Important Info!'!$A$1:$F$135,3,FALSE)</f>
        <v>70, 79, 80</v>
      </c>
      <c r="N1265" s="52" t="str">
        <f>VLOOKUP(Tabla3[[#This Row],[Site]],'Important Info!'!$A$1:$F$135,4,FALSE)</f>
        <v>83, 84</v>
      </c>
      <c r="O1265" s="52" t="str">
        <f>VLOOKUP(Tabla3[[#This Row],[Site]],'Important Info!'!$A$1:$F$135,5,FALSE)</f>
        <v>3, 8, 14, 81</v>
      </c>
      <c r="P1265" s="52">
        <f>VLOOKUP(Tabla3[[#This Row],[Site]],'Important Info!'!$A$1:$F$135,6,FALSE)</f>
        <v>6</v>
      </c>
      <c r="Q1265" s="91">
        <f>VLOOKUP(Tabla3[[#This Row],[Site]],'Important Info!'!$A$1:$J$135,9,FALSE)</f>
        <v>135</v>
      </c>
    </row>
    <row r="1266" spans="1:17" x14ac:dyDescent="0.25">
      <c r="A1266" t="str">
        <f>+Tabla3[[#This Row],[Site]]&amp;Tabla3[[#This Row],[Split]]</f>
        <v>(AS) Plano Auction (NO SPEAKERS)14</v>
      </c>
      <c r="B1266">
        <v>14</v>
      </c>
      <c r="C1266">
        <v>13</v>
      </c>
      <c r="D1266" t="s">
        <v>33</v>
      </c>
      <c r="E1266" t="s">
        <v>46</v>
      </c>
      <c r="F1266" t="s">
        <v>129</v>
      </c>
      <c r="G1266" t="s">
        <v>34</v>
      </c>
      <c r="H1266" s="52" t="str">
        <f>VLOOKUP(Tabla3[[#This Row],[Site]],'Important Info!'!$A$1:$J$135,10,FALSE)</f>
        <v>https://tools.sig.systems/site/details/140</v>
      </c>
      <c r="J1266" t="s">
        <v>41</v>
      </c>
      <c r="K1266" s="79" t="str">
        <f>VLOOKUP(Tabla3[[#This Row],[Site]],'Important Info!'!$A$1:$H$135,8,FALSE)</f>
        <v>-</v>
      </c>
      <c r="L1266" s="52" t="str">
        <f>VLOOKUP(Tabla3[[#This Row],[Site]],'Important Info!'!$A$1:$F$135,2,FALSE)</f>
        <v>-</v>
      </c>
      <c r="M1266" s="52" t="str">
        <f>VLOOKUP(Tabla3[[#This Row],[Site]],'Important Info!'!$A$1:$F$135,3,FALSE)</f>
        <v>3, 4, 19</v>
      </c>
      <c r="N1266" s="52" t="str">
        <f>VLOOKUP(Tabla3[[#This Row],[Site]],'Important Info!'!$A$1:$F$135,4,FALSE)</f>
        <v>-</v>
      </c>
      <c r="O1266" s="52" t="str">
        <f>VLOOKUP(Tabla3[[#This Row],[Site]],'Important Info!'!$A$1:$F$135,5,FALSE)</f>
        <v>5, 19</v>
      </c>
      <c r="P1266" s="52">
        <f>VLOOKUP(Tabla3[[#This Row],[Site]],'Important Info!'!$A$1:$F$135,6,FALSE)</f>
        <v>21</v>
      </c>
      <c r="Q1266" s="91">
        <f>VLOOKUP(Tabla3[[#This Row],[Site]],'Important Info!'!$A$1:$J$135,9,FALSE)</f>
        <v>140</v>
      </c>
    </row>
    <row r="1267" spans="1:17" x14ac:dyDescent="0.25">
      <c r="A1267" t="str">
        <f>+Tabla3[[#This Row],[Site]]&amp;Tabla3[[#This Row],[Split]]</f>
        <v>(DT) Escondido14</v>
      </c>
      <c r="B1267">
        <v>14</v>
      </c>
      <c r="C1267">
        <v>13</v>
      </c>
      <c r="D1267" t="s">
        <v>51</v>
      </c>
      <c r="E1267" t="s">
        <v>159</v>
      </c>
      <c r="F1267" t="s">
        <v>112</v>
      </c>
      <c r="G1267" t="s">
        <v>164</v>
      </c>
      <c r="H1267" s="52" t="str">
        <f>VLOOKUP(Tabla3[[#This Row],[Site]],'Important Info!'!$A$1:$J$135,10,FALSE)</f>
        <v>https://tools.sig.systems/site/details/196</v>
      </c>
      <c r="I1267" s="2"/>
      <c r="J1267" t="s">
        <v>41</v>
      </c>
      <c r="K1267" s="79" t="str">
        <f>VLOOKUP(Tabla3[[#This Row],[Site]],'Important Info!'!$A$1:$H$135,8,FALSE)</f>
        <v>Saturday Drop Time 9:00 A.M.</v>
      </c>
      <c r="L1267" s="52" t="str">
        <f>VLOOKUP(Tabla3[[#This Row],[Site]],'Important Info!'!$A$1:$F$135,2,FALSE)</f>
        <v>1, 2</v>
      </c>
      <c r="M1267" s="52" t="str">
        <f>VLOOKUP(Tabla3[[#This Row],[Site]],'Important Info!'!$A$1:$F$135,3,FALSE)</f>
        <v>-</v>
      </c>
      <c r="N1267" s="52" t="str">
        <f>VLOOKUP(Tabla3[[#This Row],[Site]],'Important Info!'!$A$1:$F$135,4,FALSE)</f>
        <v>-</v>
      </c>
      <c r="O1267" s="52" t="str">
        <f>VLOOKUP(Tabla3[[#This Row],[Site]],'Important Info!'!$A$1:$F$135,5,FALSE)</f>
        <v>-</v>
      </c>
      <c r="P1267" s="52" t="str">
        <f>VLOOKUP(Tabla3[[#This Row],[Site]],'Important Info!'!$A$1:$F$135,6,FALSE)</f>
        <v>5, 7, 8</v>
      </c>
      <c r="Q1267" s="91">
        <f>VLOOKUP(Tabla3[[#This Row],[Site]],'Important Info!'!$A$1:$J$135,9,FALSE)</f>
        <v>196</v>
      </c>
    </row>
    <row r="1268" spans="1:17" x14ac:dyDescent="0.25">
      <c r="A1268" t="str">
        <f>+Tabla3[[#This Row],[Site]]&amp;Tabla3[[#This Row],[Split]]</f>
        <v>(KG) Big Star Ford14</v>
      </c>
      <c r="B1268">
        <v>14</v>
      </c>
      <c r="C1268">
        <v>13</v>
      </c>
      <c r="D1268" t="s">
        <v>33</v>
      </c>
      <c r="E1268" t="s">
        <v>46</v>
      </c>
      <c r="F1268" t="s">
        <v>135</v>
      </c>
      <c r="G1268" t="s">
        <v>34</v>
      </c>
      <c r="H1268" s="52" t="str">
        <f>VLOOKUP(Tabla3[[#This Row],[Site]],'Important Info!'!$A$1:$J$135,10,FALSE)</f>
        <v>https://tools.sig.systems/site/details/235</v>
      </c>
      <c r="I1268" s="66"/>
      <c r="J1268" t="s">
        <v>41</v>
      </c>
      <c r="K1268" s="79" t="str">
        <f>VLOOKUP(Tabla3[[#This Row],[Site]],'Important Info!'!$A$1:$H$135,8,FALSE)</f>
        <v>-</v>
      </c>
      <c r="L1268" s="52" t="str">
        <f>VLOOKUP(Tabla3[[#This Row],[Site]],'Important Info!'!$A$1:$F$135,2,FALSE)</f>
        <v>4, 22, 32, 33</v>
      </c>
      <c r="M1268" s="52" t="str">
        <f>VLOOKUP(Tabla3[[#This Row],[Site]],'Important Info!'!$A$1:$F$135,3,FALSE)</f>
        <v>-</v>
      </c>
      <c r="N1268" s="52" t="str">
        <f>VLOOKUP(Tabla3[[#This Row],[Site]],'Important Info!'!$A$1:$F$135,4,FALSE)</f>
        <v>-</v>
      </c>
      <c r="O1268" s="52" t="str">
        <f>VLOOKUP(Tabla3[[#This Row],[Site]],'Important Info!'!$A$1:$F$135,5,FALSE)</f>
        <v>1, 5, 12, 21</v>
      </c>
      <c r="P1268" s="52">
        <f>VLOOKUP(Tabla3[[#This Row],[Site]],'Important Info!'!$A$1:$F$135,6,FALSE)</f>
        <v>22</v>
      </c>
      <c r="Q1268" s="91">
        <f>VLOOKUP(Tabla3[[#This Row],[Site]],'Important Info!'!$A$1:$J$135,9,FALSE)</f>
        <v>235</v>
      </c>
    </row>
    <row r="1269" spans="1:17" x14ac:dyDescent="0.25">
      <c r="A1269" t="str">
        <f>+Tabla3[[#This Row],[Site]]&amp;Tabla3[[#This Row],[Split]]</f>
        <v>(PE) Honda of Danbury (NO TOURS)14</v>
      </c>
      <c r="B1269">
        <v>14</v>
      </c>
      <c r="C1269">
        <v>13</v>
      </c>
      <c r="D1269" t="s">
        <v>485</v>
      </c>
      <c r="E1269" t="s">
        <v>35</v>
      </c>
      <c r="F1269" t="s">
        <v>174</v>
      </c>
      <c r="G1269" t="s">
        <v>490</v>
      </c>
      <c r="H1269" s="52" t="str">
        <f>VLOOKUP(Tabla3[[#This Row],[Site]],'Important Info!'!$A$1:$J$135,10,FALSE)</f>
        <v>https://tools.sig.systems/site/details/190</v>
      </c>
      <c r="I1269" s="2"/>
      <c r="J1269" t="s">
        <v>41</v>
      </c>
      <c r="K1269" s="79" t="str">
        <f>VLOOKUP(Tabla3[[#This Row],[Site]],'Important Info!'!$A$1:$H$135,8,FALSE)</f>
        <v>-</v>
      </c>
      <c r="L1269" s="52" t="str">
        <f>VLOOKUP(Tabla3[[#This Row],[Site]],'Important Info!'!$A$1:$F$135,2,FALSE)</f>
        <v>-</v>
      </c>
      <c r="M1269" s="52" t="str">
        <f>VLOOKUP(Tabla3[[#This Row],[Site]],'Important Info!'!$A$1:$F$135,3,FALSE)</f>
        <v>20, 9</v>
      </c>
      <c r="N1269" s="52">
        <f>VLOOKUP(Tabla3[[#This Row],[Site]],'Important Info!'!$A$1:$F$135,4,FALSE)</f>
        <v>9</v>
      </c>
      <c r="O1269" s="52" t="str">
        <f>VLOOKUP(Tabla3[[#This Row],[Site]],'Important Info!'!$A$1:$F$135,5,FALSE)</f>
        <v>-</v>
      </c>
      <c r="P1269" s="52" t="str">
        <f>VLOOKUP(Tabla3[[#This Row],[Site]],'Important Info!'!$A$1:$F$135,6,FALSE)</f>
        <v>9, 16, 17</v>
      </c>
      <c r="Q1269" s="91">
        <f>VLOOKUP(Tabla3[[#This Row],[Site]],'Important Info!'!$A$1:$J$135,9,FALSE)</f>
        <v>190</v>
      </c>
    </row>
    <row r="1270" spans="1:17" x14ac:dyDescent="0.25">
      <c r="A1270" t="str">
        <f>+Tabla3[[#This Row],[Site]]&amp;Tabla3[[#This Row],[Split]]</f>
        <v>(AS) Coggin Mercedes Benz Ft Pierce (NO TOURS)14</v>
      </c>
      <c r="B1270">
        <v>14</v>
      </c>
      <c r="C1270">
        <v>14</v>
      </c>
      <c r="D1270" t="s">
        <v>62</v>
      </c>
      <c r="E1270" t="s">
        <v>35</v>
      </c>
      <c r="F1270" t="s">
        <v>502</v>
      </c>
      <c r="G1270" t="s">
        <v>490</v>
      </c>
      <c r="H1270" s="52" t="str">
        <f>VLOOKUP(Tabla3[[#This Row],[Site]],'Important Info!'!$A$1:$J$135,10,FALSE)</f>
        <v>https://tools.sig.systems/site/details/127</v>
      </c>
      <c r="I1270" t="s">
        <v>179</v>
      </c>
      <c r="J1270" t="s">
        <v>41</v>
      </c>
      <c r="K1270" s="79" t="str">
        <f>VLOOKUP(Tabla3[[#This Row],[Site]],'Important Info!'!$A$1:$H$135,8,FALSE)</f>
        <v>-</v>
      </c>
      <c r="L1270" s="52">
        <f>VLOOKUP(Tabla3[[#This Row],[Site]],'Important Info!'!$A$1:$F$135,2,FALSE)</f>
        <v>18</v>
      </c>
      <c r="M1270" s="52" t="str">
        <f>VLOOKUP(Tabla3[[#This Row],[Site]],'Important Info!'!$A$1:$F$135,3,FALSE)</f>
        <v>1, 3</v>
      </c>
      <c r="N1270" s="52" t="str">
        <f>VLOOKUP(Tabla3[[#This Row],[Site]],'Important Info!'!$A$1:$F$135,4,FALSE)</f>
        <v>-</v>
      </c>
      <c r="O1270" s="52" t="str">
        <f>VLOOKUP(Tabla3[[#This Row],[Site]],'Important Info!'!$A$1:$F$135,5,FALSE)</f>
        <v>6, 10, 13</v>
      </c>
      <c r="P1270" s="52" t="str">
        <f>VLOOKUP(Tabla3[[#This Row],[Site]],'Important Info!'!$A$1:$F$135,6,FALSE)</f>
        <v>1, 4, 5</v>
      </c>
      <c r="Q1270" s="91">
        <f>VLOOKUP(Tabla3[[#This Row],[Site]],'Important Info!'!$A$1:$J$135,9,FALSE)</f>
        <v>127</v>
      </c>
    </row>
    <row r="1271" spans="1:17" x14ac:dyDescent="0.25">
      <c r="A1271" t="str">
        <f>+Tabla3[[#This Row],[Site]]&amp;Tabla3[[#This Row],[Split]]</f>
        <v>(AS) Lexus Grapevine I &amp; II (NO TOURS)14</v>
      </c>
      <c r="B1271">
        <v>14</v>
      </c>
      <c r="C1271">
        <v>14</v>
      </c>
      <c r="D1271" t="s">
        <v>33</v>
      </c>
      <c r="E1271" t="s">
        <v>46</v>
      </c>
      <c r="F1271" t="s">
        <v>508</v>
      </c>
      <c r="G1271" t="s">
        <v>34</v>
      </c>
      <c r="H1271" s="52" t="str">
        <f>VLOOKUP(Tabla3[[#This Row],[Site]],'Important Info!'!$A$1:$J$135,10,FALSE)</f>
        <v>https://tools.sig.systems/site/details/136</v>
      </c>
      <c r="J1271" t="s">
        <v>41</v>
      </c>
      <c r="K1271" s="79" t="str">
        <f>VLOOKUP(Tabla3[[#This Row],[Site]],'Important Info!'!$A$1:$H$135,8,FALSE)</f>
        <v>-</v>
      </c>
      <c r="L1271" s="52" t="str">
        <f>VLOOKUP(Tabla3[[#This Row],[Site]],'Important Info!'!$A$1:$F$135,2,FALSE)</f>
        <v>4, 10, 14, 18, 33</v>
      </c>
      <c r="M1271" s="52" t="str">
        <f>VLOOKUP(Tabla3[[#This Row],[Site]],'Important Info!'!$A$1:$F$135,3,FALSE)</f>
        <v>-</v>
      </c>
      <c r="N1271" s="52" t="str">
        <f>VLOOKUP(Tabla3[[#This Row],[Site]],'Important Info!'!$A$1:$F$135,4,FALSE)</f>
        <v>81, 82, 83</v>
      </c>
      <c r="O1271" s="52" t="str">
        <f>VLOOKUP(Tabla3[[#This Row],[Site]],'Important Info!'!$A$1:$F$135,5,FALSE)</f>
        <v>4, 12, 15, 20, 30</v>
      </c>
      <c r="P1271" s="52">
        <f>VLOOKUP(Tabla3[[#This Row],[Site]],'Important Info!'!$A$1:$F$135,6,FALSE)</f>
        <v>10</v>
      </c>
      <c r="Q1271" s="91">
        <f>VLOOKUP(Tabla3[[#This Row],[Site]],'Important Info!'!$A$1:$J$135,9,FALSE)</f>
        <v>136</v>
      </c>
    </row>
    <row r="1272" spans="1:17" x14ac:dyDescent="0.25">
      <c r="A1272" t="str">
        <f>+Tabla3[[#This Row],[Site]]&amp;Tabla3[[#This Row],[Split]]</f>
        <v>(AS) Stevinson JLR (NO TOURS)14</v>
      </c>
      <c r="B1272">
        <v>14</v>
      </c>
      <c r="C1272">
        <v>14</v>
      </c>
      <c r="D1272" t="s">
        <v>44</v>
      </c>
      <c r="E1272" t="s">
        <v>53</v>
      </c>
      <c r="F1272" t="s">
        <v>93</v>
      </c>
      <c r="G1272" t="s">
        <v>45</v>
      </c>
      <c r="H1272" s="52" t="str">
        <f>VLOOKUP(Tabla3[[#This Row],[Site]],'Important Info!'!$A$1:$J$135,10,FALSE)</f>
        <v>https://tools.sig.systems/site/details/204</v>
      </c>
      <c r="I1272" s="2"/>
      <c r="J1272" t="s">
        <v>41</v>
      </c>
      <c r="K1272" s="79" t="str">
        <f>VLOOKUP(Tabla3[[#This Row],[Site]],'Important Info!'!$A$1:$H$135,8,FALSE)</f>
        <v>-</v>
      </c>
      <c r="L1272" s="52">
        <f>VLOOKUP(Tabla3[[#This Row],[Site]],'Important Info!'!$A$1:$F$135,2,FALSE)</f>
        <v>5</v>
      </c>
      <c r="M1272" s="52">
        <f>VLOOKUP(Tabla3[[#This Row],[Site]],'Important Info!'!$A$1:$F$135,3,FALSE)</f>
        <v>4</v>
      </c>
      <c r="N1272" s="52" t="str">
        <f>VLOOKUP(Tabla3[[#This Row],[Site]],'Important Info!'!$A$1:$F$135,4,FALSE)</f>
        <v>-</v>
      </c>
      <c r="O1272" s="52">
        <f>VLOOKUP(Tabla3[[#This Row],[Site]],'Important Info!'!$A$1:$F$135,5,FALSE)</f>
        <v>3</v>
      </c>
      <c r="P1272" s="52" t="str">
        <f>VLOOKUP(Tabla3[[#This Row],[Site]],'Important Info!'!$A$1:$F$135,6,FALSE)</f>
        <v>1, 4, 15, 16</v>
      </c>
      <c r="Q1272" s="91">
        <f>VLOOKUP(Tabla3[[#This Row],[Site]],'Important Info!'!$A$1:$J$135,9,FALSE)</f>
        <v>204</v>
      </c>
    </row>
    <row r="1273" spans="1:17" x14ac:dyDescent="0.25">
      <c r="A1273" t="str">
        <f>+Tabla3[[#This Row],[Site]]&amp;Tabla3[[#This Row],[Split]]</f>
        <v>(DT) El Cajon (NO TOURS)14</v>
      </c>
      <c r="B1273">
        <v>14</v>
      </c>
      <c r="C1273">
        <v>14</v>
      </c>
      <c r="D1273" t="s">
        <v>51</v>
      </c>
      <c r="E1273" t="s">
        <v>159</v>
      </c>
      <c r="F1273" t="s">
        <v>160</v>
      </c>
      <c r="G1273" t="s">
        <v>52</v>
      </c>
      <c r="H1273" s="52" t="str">
        <f>VLOOKUP(Tabla3[[#This Row],[Site]],'Important Info!'!$A$1:$J$135,10,FALSE)</f>
        <v>https://tools.sig.systems/site/details/241</v>
      </c>
      <c r="I1273" s="66"/>
      <c r="J1273" t="s">
        <v>41</v>
      </c>
      <c r="K1273" s="79" t="str">
        <f>VLOOKUP(Tabla3[[#This Row],[Site]],'Important Info!'!$A$1:$H$135,8,FALSE)</f>
        <v>-</v>
      </c>
      <c r="L1273" s="52" t="str">
        <f>VLOOKUP(Tabla3[[#This Row],[Site]],'Important Info!'!$A$1:$F$135,2,FALSE)</f>
        <v>-</v>
      </c>
      <c r="M1273" s="52">
        <f>VLOOKUP(Tabla3[[#This Row],[Site]],'Important Info!'!$A$1:$F$135,3,FALSE)</f>
        <v>3</v>
      </c>
      <c r="N1273" s="52" t="str">
        <f>VLOOKUP(Tabla3[[#This Row],[Site]],'Important Info!'!$A$1:$F$135,4,FALSE)</f>
        <v>-</v>
      </c>
      <c r="O1273" s="52" t="str">
        <f>VLOOKUP(Tabla3[[#This Row],[Site]],'Important Info!'!$A$1:$F$135,5,FALSE)</f>
        <v>-</v>
      </c>
      <c r="P1273" s="52" t="str">
        <f>VLOOKUP(Tabla3[[#This Row],[Site]],'Important Info!'!$A$1:$F$135,6,FALSE)</f>
        <v>-</v>
      </c>
      <c r="Q1273" s="91">
        <f>VLOOKUP(Tabla3[[#This Row],[Site]],'Important Info!'!$A$1:$J$135,9,FALSE)</f>
        <v>241</v>
      </c>
    </row>
    <row r="1274" spans="1:17" x14ac:dyDescent="0.25">
      <c r="A1274" t="str">
        <f>+Tabla3[[#This Row],[Site]]&amp;Tabla3[[#This Row],[Split]]</f>
        <v>(HUD) BMW of Greensboro14</v>
      </c>
      <c r="B1274">
        <v>14</v>
      </c>
      <c r="C1274">
        <v>14</v>
      </c>
      <c r="D1274" t="s">
        <v>62</v>
      </c>
      <c r="E1274" t="s">
        <v>35</v>
      </c>
      <c r="F1274" t="s">
        <v>183</v>
      </c>
      <c r="G1274" t="s">
        <v>490</v>
      </c>
      <c r="H1274" s="52" t="str">
        <f>VLOOKUP(Tabla3[[#This Row],[Site]],'Important Info!'!$A$1:$J$135,10,FALSE)</f>
        <v>https://tools.sig.systems/site/details/219</v>
      </c>
      <c r="I1274" s="2" t="s">
        <v>184</v>
      </c>
      <c r="J1274" t="s">
        <v>41</v>
      </c>
      <c r="K1274" s="79" t="str">
        <f>VLOOKUP(Tabla3[[#This Row],[Site]],'Important Info!'!$A$1:$H$135,8,FALSE)</f>
        <v>-</v>
      </c>
      <c r="L1274" s="52" t="str">
        <f>VLOOKUP(Tabla3[[#This Row],[Site]],'Important Info!'!$A$1:$F$135,2,FALSE)</f>
        <v>2, 20, 21</v>
      </c>
      <c r="M1274" s="52" t="str">
        <f>VLOOKUP(Tabla3[[#This Row],[Site]],'Important Info!'!$A$1:$F$135,3,FALSE)</f>
        <v>-</v>
      </c>
      <c r="N1274" s="52" t="str">
        <f>VLOOKUP(Tabla3[[#This Row],[Site]],'Important Info!'!$A$1:$F$135,4,FALSE)</f>
        <v>-</v>
      </c>
      <c r="O1274" s="52" t="str">
        <f>VLOOKUP(Tabla3[[#This Row],[Site]],'Important Info!'!$A$1:$F$135,5,FALSE)</f>
        <v>12, 17</v>
      </c>
      <c r="P1274" s="52" t="str">
        <f>VLOOKUP(Tabla3[[#This Row],[Site]],'Important Info!'!$A$1:$F$135,6,FALSE)</f>
        <v>1, 2, 6, 20</v>
      </c>
      <c r="Q1274" s="91">
        <f>VLOOKUP(Tabla3[[#This Row],[Site]],'Important Info!'!$A$1:$J$135,9,FALSE)</f>
        <v>219</v>
      </c>
    </row>
    <row r="1275" spans="1:17" x14ac:dyDescent="0.25">
      <c r="A1275" t="str">
        <f>+Tabla3[[#This Row],[Site]]&amp;Tabla3[[#This Row],[Split]]</f>
        <v>(KG) Truck Center Remote Storage Lot14</v>
      </c>
      <c r="B1275">
        <v>14</v>
      </c>
      <c r="C1275">
        <v>14</v>
      </c>
      <c r="D1275" t="s">
        <v>60</v>
      </c>
      <c r="E1275" t="s">
        <v>53</v>
      </c>
      <c r="F1275" t="s">
        <v>61</v>
      </c>
      <c r="G1275" t="s">
        <v>41</v>
      </c>
      <c r="H1275" s="52" t="str">
        <f>VLOOKUP(Tabla3[[#This Row],[Site]],'Important Info!'!$A$1:$J$135,10,FALSE)</f>
        <v>https://tools.sig.systems/site/details/144</v>
      </c>
      <c r="I1275" s="2"/>
      <c r="J1275" t="s">
        <v>41</v>
      </c>
      <c r="K1275" s="79" t="str">
        <f>VLOOKUP(Tabla3[[#This Row],[Site]],'Important Info!'!$A$1:$H$135,8,FALSE)</f>
        <v>-</v>
      </c>
      <c r="L1275" s="52" t="str">
        <f>VLOOKUP(Tabla3[[#This Row],[Site]],'Important Info!'!$A$1:$F$135,2,FALSE)</f>
        <v>4, A23, A49</v>
      </c>
      <c r="M1275" s="52" t="str">
        <f>VLOOKUP(Tabla3[[#This Row],[Site]],'Important Info!'!$A$1:$F$135,3,FALSE)</f>
        <v>5, 24</v>
      </c>
      <c r="N1275" s="52" t="str">
        <f>VLOOKUP(Tabla3[[#This Row],[Site]],'Important Info!'!$A$1:$F$135,4,FALSE)</f>
        <v>-</v>
      </c>
      <c r="O1275" s="52" t="str">
        <f>VLOOKUP(Tabla3[[#This Row],[Site]],'Important Info!'!$A$1:$F$135,5,FALSE)</f>
        <v>1, 7, 11, 15, 19, 24, 25</v>
      </c>
      <c r="P1275" s="52" t="str">
        <f>VLOOKUP(Tabla3[[#This Row],[Site]],'Important Info!'!$A$1:$F$135,6,FALSE)</f>
        <v>9, 20, 24, A49</v>
      </c>
      <c r="Q1275" s="91">
        <f>VLOOKUP(Tabla3[[#This Row],[Site]],'Important Info!'!$A$1:$J$135,9,FALSE)</f>
        <v>144</v>
      </c>
    </row>
    <row r="1276" spans="1:17" x14ac:dyDescent="0.25">
      <c r="A1276" t="str">
        <f>+Tabla3[[#This Row],[Site]]&amp;Tabla3[[#This Row],[Split]]</f>
        <v>(ML) McLarty-Gray Daniels Chevrolet14</v>
      </c>
      <c r="B1276">
        <v>14</v>
      </c>
      <c r="C1276">
        <v>14</v>
      </c>
      <c r="D1276" t="s">
        <v>33</v>
      </c>
      <c r="E1276" t="s">
        <v>46</v>
      </c>
      <c r="F1276" t="s">
        <v>151</v>
      </c>
      <c r="G1276" t="s">
        <v>34</v>
      </c>
      <c r="H1276" s="52" t="str">
        <f>VLOOKUP(Tabla3[[#This Row],[Site]],'Important Info!'!$A$1:$J$135,10,FALSE)</f>
        <v>https://tools.sig.systems/site/details/150</v>
      </c>
      <c r="I1276" s="2"/>
      <c r="J1276" t="s">
        <v>41</v>
      </c>
      <c r="K1276" s="79" t="str">
        <f>VLOOKUP(Tabla3[[#This Row],[Site]],'Important Info!'!$A$1:$H$135,8,FALSE)</f>
        <v>-</v>
      </c>
      <c r="L1276" s="52" t="str">
        <f>VLOOKUP(Tabla3[[#This Row],[Site]],'Important Info!'!$A$1:$F$135,2,FALSE)</f>
        <v>3, 4, 5, 22, 24, 26, 28, 36</v>
      </c>
      <c r="M1276" s="52" t="str">
        <f>VLOOKUP(Tabla3[[#This Row],[Site]],'Important Info!'!$A$1:$F$135,3,FALSE)</f>
        <v>-</v>
      </c>
      <c r="N1276" s="52" t="str">
        <f>VLOOKUP(Tabla3[[#This Row],[Site]],'Important Info!'!$A$1:$F$135,4,FALSE)</f>
        <v>-</v>
      </c>
      <c r="O1276" s="52" t="str">
        <f>VLOOKUP(Tabla3[[#This Row],[Site]],'Important Info!'!$A$1:$F$135,5,FALSE)</f>
        <v>4, 7, 12, 26</v>
      </c>
      <c r="P1276" s="52" t="str">
        <f>VLOOKUP(Tabla3[[#This Row],[Site]],'Important Info!'!$A$1:$F$135,6,FALSE)</f>
        <v>1, 3, 5, 6, 23, 24</v>
      </c>
      <c r="Q1276" s="91">
        <f>VLOOKUP(Tabla3[[#This Row],[Site]],'Important Info!'!$A$1:$J$135,9,FALSE)</f>
        <v>150</v>
      </c>
    </row>
    <row r="1277" spans="1:17" x14ac:dyDescent="0.25">
      <c r="A1277" t="str">
        <f>+Tabla3[[#This Row],[Site]]&amp;Tabla3[[#This Row],[Split]]</f>
        <v>(PE) BMW of Mamaroneck (NO TOURS)14</v>
      </c>
      <c r="B1277">
        <v>14</v>
      </c>
      <c r="C1277">
        <v>14</v>
      </c>
      <c r="D1277" t="s">
        <v>485</v>
      </c>
      <c r="E1277" t="s">
        <v>35</v>
      </c>
      <c r="F1277" t="s">
        <v>172</v>
      </c>
      <c r="G1277" t="s">
        <v>490</v>
      </c>
      <c r="H1277" s="52" t="str">
        <f>VLOOKUP(Tabla3[[#This Row],[Site]],'Important Info!'!$A$1:$J$135,10,FALSE)</f>
        <v>https://tools.sig.systems/site/details/185</v>
      </c>
      <c r="I1277" s="66"/>
      <c r="J1277" t="s">
        <v>41</v>
      </c>
      <c r="K1277" s="79" t="str">
        <f>VLOOKUP(Tabla3[[#This Row],[Site]],'Important Info!'!$A$1:$H$135,8,FALSE)</f>
        <v>-</v>
      </c>
      <c r="L1277" s="52">
        <f>VLOOKUP(Tabla3[[#This Row],[Site]],'Important Info!'!$A$1:$F$135,2,FALSE)</f>
        <v>9</v>
      </c>
      <c r="M1277" s="52" t="str">
        <f>VLOOKUP(Tabla3[[#This Row],[Site]],'Important Info!'!$A$1:$F$135,3,FALSE)</f>
        <v>2, 3, 4, 5</v>
      </c>
      <c r="N1277" s="52" t="str">
        <f>VLOOKUP(Tabla3[[#This Row],[Site]],'Important Info!'!$A$1:$F$135,4,FALSE)</f>
        <v>-</v>
      </c>
      <c r="O1277" s="52" t="str">
        <f>VLOOKUP(Tabla3[[#This Row],[Site]],'Important Info!'!$A$1:$F$135,5,FALSE)</f>
        <v>-</v>
      </c>
      <c r="P1277" s="52" t="str">
        <f>VLOOKUP(Tabla3[[#This Row],[Site]],'Important Info!'!$A$1:$F$135,6,FALSE)</f>
        <v>4, 6, 7, 8</v>
      </c>
      <c r="Q1277" s="91">
        <f>VLOOKUP(Tabla3[[#This Row],[Site]],'Important Info!'!$A$1:$J$135,9,FALSE)</f>
        <v>185</v>
      </c>
    </row>
    <row r="1278" spans="1:17" x14ac:dyDescent="0.25">
      <c r="A1278" t="str">
        <f>+Tabla3[[#This Row],[Site]]&amp;Tabla3[[#This Row],[Split]]</f>
        <v>(AS) Park Place Bodywerks Ft. Worth (NO TOURS)15</v>
      </c>
      <c r="B1278">
        <v>15</v>
      </c>
      <c r="C1278">
        <v>1</v>
      </c>
      <c r="D1278" t="s">
        <v>33</v>
      </c>
      <c r="E1278" t="s">
        <v>46</v>
      </c>
      <c r="F1278" t="s">
        <v>515</v>
      </c>
      <c r="G1278" t="s">
        <v>34</v>
      </c>
      <c r="H1278" s="52" t="str">
        <f>VLOOKUP(Tabla3[[#This Row],[Site]],'Important Info!'!$A$1:$J$135,10,FALSE)</f>
        <v>https://tools.sig.systems/site/details/134</v>
      </c>
      <c r="I1278" s="8" t="s">
        <v>128</v>
      </c>
      <c r="J1278" t="s">
        <v>41</v>
      </c>
      <c r="K1278" s="79" t="str">
        <f>VLOOKUP(Tabla3[[#This Row],[Site]],'Important Info!'!$A$1:$H$135,8,FALSE)</f>
        <v>-</v>
      </c>
      <c r="L1278" s="52" t="str">
        <f>VLOOKUP(Tabla3[[#This Row],[Site]],'Important Info!'!$A$1:$F$135,2,FALSE)</f>
        <v>2, 3, RemoteLot5, RemoteLot9</v>
      </c>
      <c r="M1278" s="52" t="str">
        <f>VLOOKUP(Tabla3[[#This Row],[Site]],'Important Info!'!$A$1:$F$135,3,FALSE)</f>
        <v>-</v>
      </c>
      <c r="N1278" s="52" t="str">
        <f>VLOOKUP(Tabla3[[#This Row],[Site]],'Important Info!'!$A$1:$F$135,4,FALSE)</f>
        <v>-</v>
      </c>
      <c r="O1278" s="52" t="str">
        <f>VLOOKUP(Tabla3[[#This Row],[Site]],'Important Info!'!$A$1:$F$135,5,FALSE)</f>
        <v>1, 7, RL1, RL5, RL9</v>
      </c>
      <c r="P1278" s="52" t="str">
        <f>VLOOKUP(Tabla3[[#This Row],[Site]],'Important Info!'!$A$1:$F$135,6,FALSE)</f>
        <v>3, 4, 15</v>
      </c>
      <c r="Q1278" s="91">
        <f>VLOOKUP(Tabla3[[#This Row],[Site]],'Important Info!'!$A$1:$J$135,9,FALSE)</f>
        <v>134</v>
      </c>
    </row>
    <row r="1279" spans="1:17" x14ac:dyDescent="0.25">
      <c r="A1279" t="str">
        <f>+Tabla3[[#This Row],[Site]]&amp;Tabla3[[#This Row],[Split]]</f>
        <v>(DT) W Houston15</v>
      </c>
      <c r="B1279">
        <v>15</v>
      </c>
      <c r="C1279">
        <v>1</v>
      </c>
      <c r="D1279" t="s">
        <v>33</v>
      </c>
      <c r="E1279" t="s">
        <v>46</v>
      </c>
      <c r="F1279" t="s">
        <v>69</v>
      </c>
      <c r="G1279" t="s">
        <v>34</v>
      </c>
      <c r="H1279" s="52" t="str">
        <f>VLOOKUP(Tabla3[[#This Row],[Site]],'Important Info!'!$A$1:$J$135,10,FALSE)</f>
        <v>https://tools.sig.systems/site/details/197</v>
      </c>
      <c r="I1279" s="43"/>
      <c r="J1279" t="s">
        <v>41</v>
      </c>
      <c r="K1279" s="79" t="str">
        <f>VLOOKUP(Tabla3[[#This Row],[Site]],'Important Info!'!$A$1:$H$135,8,FALSE)</f>
        <v>-</v>
      </c>
      <c r="L1279" s="52">
        <f>VLOOKUP(Tabla3[[#This Row],[Site]],'Important Info!'!$A$1:$F$135,2,FALSE)</f>
        <v>7</v>
      </c>
      <c r="M1279" s="52">
        <f>VLOOKUP(Tabla3[[#This Row],[Site]],'Important Info!'!$A$1:$F$135,3,FALSE)</f>
        <v>2</v>
      </c>
      <c r="N1279" s="52" t="str">
        <f>VLOOKUP(Tabla3[[#This Row],[Site]],'Important Info!'!$A$1:$F$135,4,FALSE)</f>
        <v>-</v>
      </c>
      <c r="O1279" s="52">
        <f>VLOOKUP(Tabla3[[#This Row],[Site]],'Important Info!'!$A$1:$F$135,5,FALSE)</f>
        <v>14</v>
      </c>
      <c r="P1279" s="52" t="str">
        <f>VLOOKUP(Tabla3[[#This Row],[Site]],'Important Info!'!$A$1:$F$135,6,FALSE)</f>
        <v>2, 3, 7, 10</v>
      </c>
      <c r="Q1279" s="91">
        <f>VLOOKUP(Tabla3[[#This Row],[Site]],'Important Info!'!$A$1:$J$135,9,FALSE)</f>
        <v>197</v>
      </c>
    </row>
    <row r="1280" spans="1:17" x14ac:dyDescent="0.25">
      <c r="A1280" t="str">
        <f>+Tabla3[[#This Row],[Site]]&amp;Tabla3[[#This Row],[Split]]</f>
        <v>(HUD) Acura of Greensboro15</v>
      </c>
      <c r="B1280">
        <v>15</v>
      </c>
      <c r="C1280">
        <v>1</v>
      </c>
      <c r="D1280" t="s">
        <v>62</v>
      </c>
      <c r="E1280" t="s">
        <v>35</v>
      </c>
      <c r="F1280" t="s">
        <v>100</v>
      </c>
      <c r="G1280" t="s">
        <v>490</v>
      </c>
      <c r="H1280" s="52" t="str">
        <f>VLOOKUP(Tabla3[[#This Row],[Site]],'Important Info!'!$A$1:$J$135,10,FALSE)</f>
        <v>https://tools.sig.systems/site/details/213</v>
      </c>
      <c r="I1280" t="s">
        <v>182</v>
      </c>
      <c r="J1280" t="s">
        <v>41</v>
      </c>
      <c r="K1280" s="79" t="str">
        <f>VLOOKUP(Tabla3[[#This Row],[Site]],'Important Info!'!$A$1:$H$135,8,FALSE)</f>
        <v>-</v>
      </c>
      <c r="L1280" s="52" t="str">
        <f>VLOOKUP(Tabla3[[#This Row],[Site]],'Important Info!'!$A$1:$F$135,2,FALSE)</f>
        <v>1, 2, 6, 7, 9</v>
      </c>
      <c r="M1280" s="52" t="str">
        <f>VLOOKUP(Tabla3[[#This Row],[Site]],'Important Info!'!$A$1:$F$135,3,FALSE)</f>
        <v>-</v>
      </c>
      <c r="N1280" s="52" t="str">
        <f>VLOOKUP(Tabla3[[#This Row],[Site]],'Important Info!'!$A$1:$F$135,4,FALSE)</f>
        <v>-</v>
      </c>
      <c r="O1280" s="52" t="str">
        <f>VLOOKUP(Tabla3[[#This Row],[Site]],'Important Info!'!$A$1:$F$135,5,FALSE)</f>
        <v>2, 5</v>
      </c>
      <c r="P1280" s="52" t="str">
        <f>VLOOKUP(Tabla3[[#This Row],[Site]],'Important Info!'!$A$1:$F$135,6,FALSE)</f>
        <v>1, 2, 6, 7, 9, 18</v>
      </c>
      <c r="Q1280" s="91">
        <f>VLOOKUP(Tabla3[[#This Row],[Site]],'Important Info!'!$A$1:$J$135,9,FALSE)</f>
        <v>213</v>
      </c>
    </row>
    <row r="1281" spans="1:17" x14ac:dyDescent="0.25">
      <c r="A1281" t="str">
        <f>+Tabla3[[#This Row],[Site]]&amp;Tabla3[[#This Row],[Split]]</f>
        <v>(KG) Clear Lake Pre-Owned15</v>
      </c>
      <c r="B1281">
        <v>15</v>
      </c>
      <c r="C1281">
        <v>1</v>
      </c>
      <c r="D1281" t="s">
        <v>33</v>
      </c>
      <c r="E1281" t="s">
        <v>46</v>
      </c>
      <c r="F1281" t="s">
        <v>87</v>
      </c>
      <c r="G1281" t="s">
        <v>34</v>
      </c>
      <c r="H1281" s="52" t="str">
        <f>VLOOKUP(Tabla3[[#This Row],[Site]],'Important Info!'!$A$1:$J$135,10,FALSE)</f>
        <v>https://tools.sig.systems/site/details/255</v>
      </c>
      <c r="I1281" s="2" t="s">
        <v>134</v>
      </c>
      <c r="J1281" t="s">
        <v>41</v>
      </c>
      <c r="K1281" s="79" t="str">
        <f>VLOOKUP(Tabla3[[#This Row],[Site]],'Important Info!'!$A$1:$H$135,8,FALSE)</f>
        <v>-</v>
      </c>
      <c r="L1281" s="52" t="str">
        <f>VLOOKUP(Tabla3[[#This Row],[Site]],'Important Info!'!$A$1:$F$135,2,FALSE)</f>
        <v>3, 5</v>
      </c>
      <c r="M1281" s="52" t="str">
        <f>VLOOKUP(Tabla3[[#This Row],[Site]],'Important Info!'!$A$1:$F$135,3,FALSE)</f>
        <v>-</v>
      </c>
      <c r="N1281" s="52" t="str">
        <f>VLOOKUP(Tabla3[[#This Row],[Site]],'Important Info!'!$A$1:$F$135,4,FALSE)</f>
        <v>-</v>
      </c>
      <c r="O1281" s="52" t="str">
        <f>VLOOKUP(Tabla3[[#This Row],[Site]],'Important Info!'!$A$1:$F$135,5,FALSE)</f>
        <v>4, 10, 22</v>
      </c>
      <c r="P1281" s="52" t="str">
        <f>VLOOKUP(Tabla3[[#This Row],[Site]],'Important Info!'!$A$1:$F$135,6,FALSE)</f>
        <v>8, 15, 20</v>
      </c>
      <c r="Q1281" s="91">
        <f>VLOOKUP(Tabla3[[#This Row],[Site]],'Important Info!'!$A$1:$J$135,9,FALSE)</f>
        <v>255</v>
      </c>
    </row>
    <row r="1282" spans="1:17" x14ac:dyDescent="0.25">
      <c r="A1282" t="str">
        <f>+Tabla3[[#This Row],[Site]]&amp;Tabla3[[#This Row],[Split]]</f>
        <v>(ML) McLarty Gray-Daniels Ford Lincoln15</v>
      </c>
      <c r="B1282">
        <v>15</v>
      </c>
      <c r="C1282">
        <v>1</v>
      </c>
      <c r="D1282" t="s">
        <v>33</v>
      </c>
      <c r="E1282" t="s">
        <v>46</v>
      </c>
      <c r="F1282" s="41" t="s">
        <v>89</v>
      </c>
      <c r="G1282" t="s">
        <v>34</v>
      </c>
      <c r="H1282" s="52" t="str">
        <f>VLOOKUP(Tabla3[[#This Row],[Site]],'Important Info!'!$A$1:$J$135,10,FALSE)</f>
        <v>https://tools.sig.systems/site/details/151</v>
      </c>
      <c r="I1282" s="2" t="s">
        <v>150</v>
      </c>
      <c r="J1282" t="s">
        <v>41</v>
      </c>
      <c r="K1282" s="79" t="str">
        <f>VLOOKUP(Tabla3[[#This Row],[Site]],'Important Info!'!$A$1:$H$135,8,FALSE)</f>
        <v>-</v>
      </c>
      <c r="L1282" s="52">
        <f>VLOOKUP(Tabla3[[#This Row],[Site]],'Important Info!'!$A$1:$F$135,2,FALSE)</f>
        <v>16</v>
      </c>
      <c r="M1282" s="52" t="str">
        <f>VLOOKUP(Tabla3[[#This Row],[Site]],'Important Info!'!$A$1:$F$135,3,FALSE)</f>
        <v>5, 10, 36, 38, 54, 58B</v>
      </c>
      <c r="N1282" s="52" t="str">
        <f>VLOOKUP(Tabla3[[#This Row],[Site]],'Important Info!'!$A$1:$F$135,4,FALSE)</f>
        <v>-</v>
      </c>
      <c r="O1282" s="52" t="str">
        <f>VLOOKUP(Tabla3[[#This Row],[Site]],'Important Info!'!$A$1:$F$135,5,FALSE)</f>
        <v>5, 17, 37</v>
      </c>
      <c r="P1282" s="52" t="str">
        <f>VLOOKUP(Tabla3[[#This Row],[Site]],'Important Info!'!$A$1:$F$135,6,FALSE)</f>
        <v>1, 2, 3, 4</v>
      </c>
      <c r="Q1282" s="91">
        <f>VLOOKUP(Tabla3[[#This Row],[Site]],'Important Info!'!$A$1:$J$135,9,FALSE)</f>
        <v>151</v>
      </c>
    </row>
    <row r="1283" spans="1:17" x14ac:dyDescent="0.25">
      <c r="A1283" t="str">
        <f>+Tabla3[[#This Row],[Site]]&amp;Tabla3[[#This Row],[Split]]</f>
        <v>(PE) Hudson Toyota Nissan CDJR (NO TOURS)15</v>
      </c>
      <c r="B1283">
        <v>15</v>
      </c>
      <c r="C1283">
        <v>1</v>
      </c>
      <c r="D1283" t="s">
        <v>485</v>
      </c>
      <c r="E1283" t="s">
        <v>35</v>
      </c>
      <c r="F1283" t="s">
        <v>82</v>
      </c>
      <c r="G1283" t="s">
        <v>490</v>
      </c>
      <c r="H1283" s="52" t="str">
        <f>VLOOKUP(Tabla3[[#This Row],[Site]],'Important Info!'!$A$1:$J$135,10,FALSE)</f>
        <v>https://tools.sig.systems/site/details/156</v>
      </c>
      <c r="I1283" s="64"/>
      <c r="J1283" t="s">
        <v>41</v>
      </c>
      <c r="K1283" s="79" t="str">
        <f>VLOOKUP(Tabla3[[#This Row],[Site]],'Important Info!'!$A$1:$H$135,8,FALSE)</f>
        <v>-</v>
      </c>
      <c r="L1283" s="52">
        <f>VLOOKUP(Tabla3[[#This Row],[Site]],'Important Info!'!$A$1:$F$135,2,FALSE)</f>
        <v>5</v>
      </c>
      <c r="M1283" s="52" t="str">
        <f>VLOOKUP(Tabla3[[#This Row],[Site]],'Important Info!'!$A$1:$F$135,3,FALSE)</f>
        <v>3, 7, 18</v>
      </c>
      <c r="N1283" s="52" t="str">
        <f>VLOOKUP(Tabla3[[#This Row],[Site]],'Important Info!'!$A$1:$F$135,4,FALSE)</f>
        <v>-</v>
      </c>
      <c r="O1283" s="52">
        <f>VLOOKUP(Tabla3[[#This Row],[Site]],'Important Info!'!$A$1:$F$135,5,FALSE)</f>
        <v>84</v>
      </c>
      <c r="P1283" s="52" t="str">
        <f>VLOOKUP(Tabla3[[#This Row],[Site]],'Important Info!'!$A$1:$F$135,6,FALSE)</f>
        <v>1, 2, 3, 4, 5, 6, 7, 8</v>
      </c>
      <c r="Q1283" s="91">
        <f>VLOOKUP(Tabla3[[#This Row],[Site]],'Important Info!'!$A$1:$J$135,9,FALSE)</f>
        <v>156</v>
      </c>
    </row>
    <row r="1284" spans="1:17" x14ac:dyDescent="0.25">
      <c r="A1284" t="str">
        <f>+Tabla3[[#This Row],[Site]]&amp;Tabla3[[#This Row],[Split]]</f>
        <v>(PE) Scofield Service Center (NO TOURS)15</v>
      </c>
      <c r="B1284">
        <v>15</v>
      </c>
      <c r="C1284">
        <v>1</v>
      </c>
      <c r="D1284" t="s">
        <v>485</v>
      </c>
      <c r="E1284" t="s">
        <v>35</v>
      </c>
      <c r="F1284" t="s">
        <v>83</v>
      </c>
      <c r="G1284" t="s">
        <v>490</v>
      </c>
      <c r="H1284" s="52" t="str">
        <f>VLOOKUP(Tabla3[[#This Row],[Site]],'Important Info!'!$A$1:$J$135,10,FALSE)</f>
        <v>https://tools.sig.systems/site/details/193</v>
      </c>
      <c r="I1284" t="s">
        <v>177</v>
      </c>
      <c r="J1284" t="s">
        <v>41</v>
      </c>
      <c r="K1284" s="79" t="str">
        <f>VLOOKUP(Tabla3[[#This Row],[Site]],'Important Info!'!$A$1:$H$135,8,FALSE)</f>
        <v>-</v>
      </c>
      <c r="L1284" s="52">
        <f>VLOOKUP(Tabla3[[#This Row],[Site]],'Important Info!'!$A$1:$F$135,2,FALSE)</f>
        <v>1</v>
      </c>
      <c r="M1284" s="52" t="str">
        <f>VLOOKUP(Tabla3[[#This Row],[Site]],'Important Info!'!$A$1:$F$135,3,FALSE)</f>
        <v>-</v>
      </c>
      <c r="N1284" s="52" t="str">
        <f>VLOOKUP(Tabla3[[#This Row],[Site]],'Important Info!'!$A$1:$F$135,4,FALSE)</f>
        <v>-</v>
      </c>
      <c r="O1284" s="52">
        <f>VLOOKUP(Tabla3[[#This Row],[Site]],'Important Info!'!$A$1:$F$135,5,FALSE)</f>
        <v>9</v>
      </c>
      <c r="P1284" s="52" t="str">
        <f>VLOOKUP(Tabla3[[#This Row],[Site]],'Important Info!'!$A$1:$F$135,6,FALSE)</f>
        <v>1, 17</v>
      </c>
      <c r="Q1284" s="91">
        <f>VLOOKUP(Tabla3[[#This Row],[Site]],'Important Info!'!$A$1:$J$135,9,FALSE)</f>
        <v>193</v>
      </c>
    </row>
    <row r="1285" spans="1:17" x14ac:dyDescent="0.25">
      <c r="A1285" t="str">
        <f>+Tabla3[[#This Row],[Site]]&amp;Tabla3[[#This Row],[Split]]</f>
        <v>(RV) Toms Camperland Avondale (NO TOURS)15</v>
      </c>
      <c r="B1285">
        <v>15</v>
      </c>
      <c r="C1285">
        <v>1</v>
      </c>
      <c r="D1285" t="s">
        <v>51</v>
      </c>
      <c r="E1285" t="s">
        <v>161</v>
      </c>
      <c r="F1285" t="s">
        <v>80</v>
      </c>
      <c r="G1285" t="s">
        <v>52</v>
      </c>
      <c r="H1285" s="52" t="str">
        <f>VLOOKUP(Tabla3[[#This Row],[Site]],'Important Info!'!$A$1:$J$135,10,FALSE)</f>
        <v>https://tools.sig.systems/site/details/248</v>
      </c>
      <c r="I1285" s="43" t="s">
        <v>163</v>
      </c>
      <c r="J1285" t="s">
        <v>164</v>
      </c>
      <c r="K1285" s="79" t="str">
        <f>VLOOKUP(Tabla3[[#This Row],[Site]],'Important Info!'!$A$1:$H$135,8,FALSE)</f>
        <v>-</v>
      </c>
      <c r="L1285" s="52">
        <f>VLOOKUP(Tabla3[[#This Row],[Site]],'Important Info!'!$A$1:$F$135,2,FALSE)</f>
        <v>10</v>
      </c>
      <c r="M1285" s="52" t="str">
        <f>VLOOKUP(Tabla3[[#This Row],[Site]],'Important Info!'!$A$1:$F$135,3,FALSE)</f>
        <v>2, 7</v>
      </c>
      <c r="N1285" s="52" t="str">
        <f>VLOOKUP(Tabla3[[#This Row],[Site]],'Important Info!'!$A$1:$F$135,4,FALSE)</f>
        <v>-</v>
      </c>
      <c r="O1285" s="52" t="str">
        <f>VLOOKUP(Tabla3[[#This Row],[Site]],'Important Info!'!$A$1:$F$135,5,FALSE)</f>
        <v>-</v>
      </c>
      <c r="P1285" s="52" t="str">
        <f>VLOOKUP(Tabla3[[#This Row],[Site]],'Important Info!'!$A$1:$F$135,6,FALSE)</f>
        <v>2, 7, 8, 13, 15</v>
      </c>
      <c r="Q1285" s="91">
        <f>VLOOKUP(Tabla3[[#This Row],[Site]],'Important Info!'!$A$1:$J$135,9,FALSE)</f>
        <v>248</v>
      </c>
    </row>
    <row r="1286" spans="1:17" x14ac:dyDescent="0.25">
      <c r="A1286" t="str">
        <f>+Tabla3[[#This Row],[Site]]&amp;Tabla3[[#This Row],[Split]]</f>
        <v>(KG) JLR LEHI (NO TOURS)15</v>
      </c>
      <c r="B1286">
        <v>15</v>
      </c>
      <c r="C1286">
        <v>2</v>
      </c>
      <c r="D1286" t="s">
        <v>44</v>
      </c>
      <c r="E1286" t="s">
        <v>53</v>
      </c>
      <c r="F1286" t="s">
        <v>8</v>
      </c>
      <c r="G1286" t="s">
        <v>45</v>
      </c>
      <c r="H1286" s="52" t="str">
        <f>VLOOKUP(Tabla3[[#This Row],[Site]],'Important Info!'!$A$1:$J$135,10,FALSE)</f>
        <v>https://tools.sig.systems/site/details/145</v>
      </c>
      <c r="I1286" s="2"/>
      <c r="J1286" t="s">
        <v>41</v>
      </c>
      <c r="K1286" s="79" t="str">
        <f>VLOOKUP(Tabla3[[#This Row],[Site]],'Important Info!'!$A$1:$H$135,8,FALSE)</f>
        <v>-</v>
      </c>
      <c r="L1286" s="52" t="str">
        <f>VLOOKUP(Tabla3[[#This Row],[Site]],'Important Info!'!$A$1:$F$135,2,FALSE)</f>
        <v>1, 11</v>
      </c>
      <c r="M1286" s="52" t="str">
        <f>VLOOKUP(Tabla3[[#This Row],[Site]],'Important Info!'!$A$1:$F$135,3,FALSE)</f>
        <v>-</v>
      </c>
      <c r="N1286" s="52" t="str">
        <f>VLOOKUP(Tabla3[[#This Row],[Site]],'Important Info!'!$A$1:$F$135,4,FALSE)</f>
        <v>-</v>
      </c>
      <c r="O1286" s="52" t="str">
        <f>VLOOKUP(Tabla3[[#This Row],[Site]],'Important Info!'!$A$1:$F$135,5,FALSE)</f>
        <v>1, 7, 11</v>
      </c>
      <c r="P1286" s="52" t="str">
        <f>VLOOKUP(Tabla3[[#This Row],[Site]],'Important Info!'!$A$1:$F$135,6,FALSE)</f>
        <v>-</v>
      </c>
      <c r="Q1286" s="91">
        <f>VLOOKUP(Tabla3[[#This Row],[Site]],'Important Info!'!$A$1:$J$135,9,FALSE)</f>
        <v>145</v>
      </c>
    </row>
    <row r="1287" spans="1:17" x14ac:dyDescent="0.25">
      <c r="A1287" t="str">
        <f>+Tabla3[[#This Row],[Site]]&amp;Tabla3[[#This Row],[Split]]</f>
        <v>(KG) Texan CDJR15</v>
      </c>
      <c r="B1287">
        <v>15</v>
      </c>
      <c r="C1287">
        <v>2</v>
      </c>
      <c r="D1287" t="s">
        <v>33</v>
      </c>
      <c r="E1287" t="s">
        <v>46</v>
      </c>
      <c r="F1287" t="s">
        <v>70</v>
      </c>
      <c r="G1287" t="s">
        <v>34</v>
      </c>
      <c r="H1287" s="52" t="str">
        <f>VLOOKUP(Tabla3[[#This Row],[Site]],'Important Info!'!$A$1:$J$135,10,FALSE)</f>
        <v>https://tools.sig.systems/site/details/238</v>
      </c>
      <c r="I1287" s="43" t="s">
        <v>137</v>
      </c>
      <c r="J1287" t="s">
        <v>41</v>
      </c>
      <c r="K1287" s="79" t="str">
        <f>VLOOKUP(Tabla3[[#This Row],[Site]],'Important Info!'!$A$1:$H$135,8,FALSE)</f>
        <v>-</v>
      </c>
      <c r="L1287" s="52" t="str">
        <f>VLOOKUP(Tabla3[[#This Row],[Site]],'Important Info!'!$A$1:$F$135,2,FALSE)</f>
        <v>11, 12, 13, 14, 20, 32, 34, 36, 77</v>
      </c>
      <c r="M1287" s="52" t="str">
        <f>VLOOKUP(Tabla3[[#This Row],[Site]],'Important Info!'!$A$1:$F$135,3,FALSE)</f>
        <v>-</v>
      </c>
      <c r="N1287" s="52" t="str">
        <f>VLOOKUP(Tabla3[[#This Row],[Site]],'Important Info!'!$A$1:$F$135,4,FALSE)</f>
        <v>67, 68, 69, 70</v>
      </c>
      <c r="O1287" s="52" t="str">
        <f>VLOOKUP(Tabla3[[#This Row],[Site]],'Important Info!'!$A$1:$F$135,5,FALSE)</f>
        <v>2, 10, 14, 25, 29, 35, 38</v>
      </c>
      <c r="P1287" s="52" t="str">
        <f>VLOOKUP(Tabla3[[#This Row],[Site]],'Important Info!'!$A$1:$F$135,6,FALSE)</f>
        <v>36, 46</v>
      </c>
      <c r="Q1287" s="91">
        <f>VLOOKUP(Tabla3[[#This Row],[Site]],'Important Info!'!$A$1:$J$135,9,FALSE)</f>
        <v>238</v>
      </c>
    </row>
    <row r="1288" spans="1:17" x14ac:dyDescent="0.25">
      <c r="A1288" t="str">
        <f>+Tabla3[[#This Row],[Site]]&amp;Tabla3[[#This Row],[Split]]</f>
        <v>(ML) Columbia Honda (NO TOURS)15</v>
      </c>
      <c r="B1288">
        <v>15</v>
      </c>
      <c r="C1288">
        <v>2</v>
      </c>
      <c r="D1288" t="s">
        <v>33</v>
      </c>
      <c r="E1288" t="s">
        <v>46</v>
      </c>
      <c r="F1288" t="s">
        <v>143</v>
      </c>
      <c r="G1288" t="s">
        <v>34</v>
      </c>
      <c r="H1288" s="52" t="str">
        <f>VLOOKUP(Tabla3[[#This Row],[Site]],'Important Info!'!$A$1:$J$135,10,FALSE)</f>
        <v>https://tools.sig.systems/site/details/272</v>
      </c>
      <c r="I1288" s="43" t="s">
        <v>144</v>
      </c>
      <c r="J1288" t="s">
        <v>41</v>
      </c>
      <c r="K1288" s="79" t="str">
        <f>VLOOKUP(Tabla3[[#This Row],[Site]],'Important Info!'!$A$1:$H$135,8,FALSE)</f>
        <v>-</v>
      </c>
      <c r="L1288" s="52" t="str">
        <f>VLOOKUP(Tabla3[[#This Row],[Site]],'Important Info!'!$A$1:$F$135,2,FALSE)</f>
        <v>-</v>
      </c>
      <c r="M1288" s="52" t="str">
        <f>VLOOKUP(Tabla3[[#This Row],[Site]],'Important Info!'!$A$1:$F$135,3,FALSE)</f>
        <v>9, 19, 20</v>
      </c>
      <c r="N1288" s="52" t="str">
        <f>VLOOKUP(Tabla3[[#This Row],[Site]],'Important Info!'!$A$1:$F$135,4,FALSE)</f>
        <v>-</v>
      </c>
      <c r="O1288" s="52" t="str">
        <f>VLOOKUP(Tabla3[[#This Row],[Site]],'Important Info!'!$A$1:$F$135,5,FALSE)</f>
        <v>10, 17, 19</v>
      </c>
      <c r="P1288" s="52" t="str">
        <f>VLOOKUP(Tabla3[[#This Row],[Site]],'Important Info!'!$A$1:$F$135,6,FALSE)</f>
        <v>3, 4, 5</v>
      </c>
      <c r="Q1288" s="91">
        <f>VLOOKUP(Tabla3[[#This Row],[Site]],'Important Info!'!$A$1:$J$135,9,FALSE)</f>
        <v>272</v>
      </c>
    </row>
    <row r="1289" spans="1:17" x14ac:dyDescent="0.25">
      <c r="A1289" t="str">
        <f>+Tabla3[[#This Row],[Site]]&amp;Tabla3[[#This Row],[Split]]</f>
        <v>(ML) Joe Machens Kia of Columbia15</v>
      </c>
      <c r="B1289">
        <v>15</v>
      </c>
      <c r="C1289">
        <v>2</v>
      </c>
      <c r="D1289" t="s">
        <v>33</v>
      </c>
      <c r="E1289" t="s">
        <v>46</v>
      </c>
      <c r="F1289" t="s">
        <v>149</v>
      </c>
      <c r="G1289" t="s">
        <v>34</v>
      </c>
      <c r="H1289" s="52" t="str">
        <f>VLOOKUP(Tabla3[[#This Row],[Site]],'Important Info!'!$A$1:$J$135,10,FALSE)</f>
        <v>https://tools.sig.systems/site/details/270</v>
      </c>
      <c r="I1289" s="43" t="s">
        <v>146</v>
      </c>
      <c r="J1289" t="s">
        <v>41</v>
      </c>
      <c r="K1289" s="79" t="str">
        <f>VLOOKUP(Tabla3[[#This Row],[Site]],'Important Info!'!$A$1:$H$135,8,FALSE)</f>
        <v>-</v>
      </c>
      <c r="L1289" s="52" t="str">
        <f>VLOOKUP(Tabla3[[#This Row],[Site]],'Important Info!'!$A$1:$F$135,2,FALSE)</f>
        <v>-</v>
      </c>
      <c r="M1289" s="52" t="str">
        <f>VLOOKUP(Tabla3[[#This Row],[Site]],'Important Info!'!$A$1:$F$135,3,FALSE)</f>
        <v>1, 2, 5, 6, 9, 13, 15</v>
      </c>
      <c r="N1289" s="52" t="str">
        <f>VLOOKUP(Tabla3[[#This Row],[Site]],'Important Info!'!$A$1:$F$135,4,FALSE)</f>
        <v>-</v>
      </c>
      <c r="O1289" s="52" t="str">
        <f>VLOOKUP(Tabla3[[#This Row],[Site]],'Important Info!'!$A$1:$F$135,5,FALSE)</f>
        <v>-</v>
      </c>
      <c r="P1289" s="52" t="str">
        <f>VLOOKUP(Tabla3[[#This Row],[Site]],'Important Info!'!$A$1:$F$135,6,FALSE)</f>
        <v>10, 11, 13</v>
      </c>
      <c r="Q1289" s="91">
        <f>VLOOKUP(Tabla3[[#This Row],[Site]],'Important Info!'!$A$1:$J$135,9,FALSE)</f>
        <v>270</v>
      </c>
    </row>
    <row r="1290" spans="1:17" x14ac:dyDescent="0.25">
      <c r="A1290" t="str">
        <f>+Tabla3[[#This Row],[Site]]&amp;Tabla3[[#This Row],[Split]]</f>
        <v>(ML) McLarty Gray-Daniels Toyota Nissan15</v>
      </c>
      <c r="B1290">
        <v>15</v>
      </c>
      <c r="C1290">
        <v>2</v>
      </c>
      <c r="D1290" t="s">
        <v>33</v>
      </c>
      <c r="E1290" t="s">
        <v>46</v>
      </c>
      <c r="F1290" t="s">
        <v>90</v>
      </c>
      <c r="G1290" t="s">
        <v>34</v>
      </c>
      <c r="H1290" s="52" t="str">
        <f>VLOOKUP(Tabla3[[#This Row],[Site]],'Important Info!'!$A$1:$J$135,10,FALSE)</f>
        <v>https://tools.sig.systems/site/details/152</v>
      </c>
      <c r="I1290" s="43" t="s">
        <v>150</v>
      </c>
      <c r="J1290" t="s">
        <v>41</v>
      </c>
      <c r="K1290" s="79" t="str">
        <f>VLOOKUP(Tabla3[[#This Row],[Site]],'Important Info!'!$A$1:$H$135,8,FALSE)</f>
        <v>-</v>
      </c>
      <c r="L1290" s="52" t="str">
        <f>VLOOKUP(Tabla3[[#This Row],[Site]],'Important Info!'!$A$1:$F$135,2,FALSE)</f>
        <v>-</v>
      </c>
      <c r="M1290" s="52" t="str">
        <f>VLOOKUP(Tabla3[[#This Row],[Site]],'Important Info!'!$A$1:$F$135,3,FALSE)</f>
        <v>8, 11, 39, 43</v>
      </c>
      <c r="N1290" s="52" t="str">
        <f>VLOOKUP(Tabla3[[#This Row],[Site]],'Important Info!'!$A$1:$F$135,4,FALSE)</f>
        <v>-</v>
      </c>
      <c r="O1290" s="52" t="str">
        <f>VLOOKUP(Tabla3[[#This Row],[Site]],'Important Info!'!$A$1:$F$135,5,FALSE)</f>
        <v>6, 11, 15, 18</v>
      </c>
      <c r="P1290" s="52" t="str">
        <f>VLOOKUP(Tabla3[[#This Row],[Site]],'Important Info!'!$A$1:$F$135,6,FALSE)</f>
        <v>7, 8, 9</v>
      </c>
      <c r="Q1290" s="91">
        <f>VLOOKUP(Tabla3[[#This Row],[Site]],'Important Info!'!$A$1:$J$135,9,FALSE)</f>
        <v>152</v>
      </c>
    </row>
    <row r="1291" spans="1:17" x14ac:dyDescent="0.25">
      <c r="A1291" t="str">
        <f>+Tabla3[[#This Row],[Site]]&amp;Tabla3[[#This Row],[Split]]</f>
        <v>(PE) BMW of Mamaroneck (NO TOURS)15</v>
      </c>
      <c r="B1291">
        <v>15</v>
      </c>
      <c r="C1291">
        <v>2</v>
      </c>
      <c r="D1291" t="s">
        <v>485</v>
      </c>
      <c r="E1291" t="s">
        <v>35</v>
      </c>
      <c r="F1291" t="s">
        <v>172</v>
      </c>
      <c r="G1291" t="s">
        <v>490</v>
      </c>
      <c r="H1291" s="52" t="str">
        <f>VLOOKUP(Tabla3[[#This Row],[Site]],'Important Info!'!$A$1:$J$135,10,FALSE)</f>
        <v>https://tools.sig.systems/site/details/185</v>
      </c>
      <c r="I1291" s="66"/>
      <c r="J1291" t="s">
        <v>41</v>
      </c>
      <c r="K1291" s="79" t="str">
        <f>VLOOKUP(Tabla3[[#This Row],[Site]],'Important Info!'!$A$1:$H$135,8,FALSE)</f>
        <v>-</v>
      </c>
      <c r="L1291" s="52">
        <f>VLOOKUP(Tabla3[[#This Row],[Site]],'Important Info!'!$A$1:$F$135,2,FALSE)</f>
        <v>9</v>
      </c>
      <c r="M1291" s="52" t="str">
        <f>VLOOKUP(Tabla3[[#This Row],[Site]],'Important Info!'!$A$1:$F$135,3,FALSE)</f>
        <v>2, 3, 4, 5</v>
      </c>
      <c r="N1291" s="52" t="str">
        <f>VLOOKUP(Tabla3[[#This Row],[Site]],'Important Info!'!$A$1:$F$135,4,FALSE)</f>
        <v>-</v>
      </c>
      <c r="O1291" s="52" t="str">
        <f>VLOOKUP(Tabla3[[#This Row],[Site]],'Important Info!'!$A$1:$F$135,5,FALSE)</f>
        <v>-</v>
      </c>
      <c r="P1291" s="52" t="str">
        <f>VLOOKUP(Tabla3[[#This Row],[Site]],'Important Info!'!$A$1:$F$135,6,FALSE)</f>
        <v>4, 6, 7, 8</v>
      </c>
      <c r="Q1291" s="91">
        <f>VLOOKUP(Tabla3[[#This Row],[Site]],'Important Info!'!$A$1:$J$135,9,FALSE)</f>
        <v>185</v>
      </c>
    </row>
    <row r="1292" spans="1:17" x14ac:dyDescent="0.25">
      <c r="A1292" t="str">
        <f>+Tabla3[[#This Row],[Site]]&amp;Tabla3[[#This Row],[Split]]</f>
        <v>(RV) Toms Camperland Mesa (NO TOURS)15</v>
      </c>
      <c r="B1292">
        <v>15</v>
      </c>
      <c r="C1292">
        <v>2</v>
      </c>
      <c r="D1292" t="s">
        <v>51</v>
      </c>
      <c r="E1292" t="s">
        <v>161</v>
      </c>
      <c r="F1292" t="s">
        <v>81</v>
      </c>
      <c r="G1292" t="s">
        <v>52</v>
      </c>
      <c r="H1292" s="52" t="str">
        <f>VLOOKUP(Tabla3[[#This Row],[Site]],'Important Info!'!$A$1:$J$135,10,FALSE)</f>
        <v>https://tools.sig.systems/site/details/222</v>
      </c>
      <c r="J1292" t="s">
        <v>41</v>
      </c>
      <c r="K1292" s="79" t="str">
        <f>VLOOKUP(Tabla3[[#This Row],[Site]],'Important Info!'!$A$1:$H$135,8,FALSE)</f>
        <v>-</v>
      </c>
      <c r="L1292" s="52" t="str">
        <f>VLOOKUP(Tabla3[[#This Row],[Site]],'Important Info!'!$A$1:$F$135,2,FALSE)</f>
        <v>1, 2</v>
      </c>
      <c r="M1292" s="52" t="str">
        <f>VLOOKUP(Tabla3[[#This Row],[Site]],'Important Info!'!$A$1:$F$135,3,FALSE)</f>
        <v>-</v>
      </c>
      <c r="N1292" s="52" t="str">
        <f>VLOOKUP(Tabla3[[#This Row],[Site]],'Important Info!'!$A$1:$F$135,4,FALSE)</f>
        <v>-</v>
      </c>
      <c r="O1292" s="52" t="str">
        <f>VLOOKUP(Tabla3[[#This Row],[Site]],'Important Info!'!$A$1:$F$135,5,FALSE)</f>
        <v>-</v>
      </c>
      <c r="P1292" s="52" t="str">
        <f>VLOOKUP(Tabla3[[#This Row],[Site]],'Important Info!'!$A$1:$F$135,6,FALSE)</f>
        <v>1, 4, 6, 8, 10, 18</v>
      </c>
      <c r="Q1292" s="91">
        <f>VLOOKUP(Tabla3[[#This Row],[Site]],'Important Info!'!$A$1:$J$135,9,FALSE)</f>
        <v>222</v>
      </c>
    </row>
    <row r="1293" spans="1:17" x14ac:dyDescent="0.25">
      <c r="A1293" t="str">
        <f>+Tabla3[[#This Row],[Site]]&amp;Tabla3[[#This Row],[Split]]</f>
        <v>(SCH) Chevrolet North Palm15</v>
      </c>
      <c r="B1293">
        <v>15</v>
      </c>
      <c r="C1293">
        <v>2</v>
      </c>
      <c r="D1293" t="s">
        <v>62</v>
      </c>
      <c r="E1293" t="s">
        <v>35</v>
      </c>
      <c r="F1293" t="s">
        <v>101</v>
      </c>
      <c r="G1293" t="s">
        <v>490</v>
      </c>
      <c r="H1293" s="52" t="str">
        <f>VLOOKUP(Tabla3[[#This Row],[Site]],'Important Info!'!$A$1:$J$135,10,FALSE)</f>
        <v>https://tools.sig.systems/site/details/160</v>
      </c>
      <c r="I1293" s="43"/>
      <c r="J1293" t="s">
        <v>36</v>
      </c>
      <c r="K1293" s="79" t="str">
        <f>VLOOKUP(Tabla3[[#This Row],[Site]],'Important Info!'!$A$1:$H$135,8,FALSE)</f>
        <v>-</v>
      </c>
      <c r="L1293" s="52" t="str">
        <f>VLOOKUP(Tabla3[[#This Row],[Site]],'Important Info!'!$A$1:$F$135,2,FALSE)</f>
        <v xml:space="preserve">7, 10B, 11, 15 </v>
      </c>
      <c r="M1293" s="52" t="str">
        <f>VLOOKUP(Tabla3[[#This Row],[Site]],'Important Info!'!$A$1:$F$135,3,FALSE)</f>
        <v>-</v>
      </c>
      <c r="N1293" s="52" t="str">
        <f>VLOOKUP(Tabla3[[#This Row],[Site]],'Important Info!'!$A$1:$F$135,4,FALSE)</f>
        <v>-</v>
      </c>
      <c r="O1293" s="52" t="str">
        <f>VLOOKUP(Tabla3[[#This Row],[Site]],'Important Info!'!$A$1:$F$135,5,FALSE)</f>
        <v>-</v>
      </c>
      <c r="P1293" s="52" t="str">
        <f>VLOOKUP(Tabla3[[#This Row],[Site]],'Important Info!'!$A$1:$F$135,6,FALSE)</f>
        <v>1, 15, 16, 17, 18, 19, 20</v>
      </c>
      <c r="Q1293" s="91">
        <f>VLOOKUP(Tabla3[[#This Row],[Site]],'Important Info!'!$A$1:$J$135,9,FALSE)</f>
        <v>160</v>
      </c>
    </row>
    <row r="1294" spans="1:17" x14ac:dyDescent="0.25">
      <c r="A1294" t="str">
        <f>+Tabla3[[#This Row],[Site]]&amp;Tabla3[[#This Row],[Split]]</f>
        <v>(AS) Bill Estes Ford (NO TOURS)15</v>
      </c>
      <c r="B1294">
        <v>15</v>
      </c>
      <c r="C1294">
        <v>3</v>
      </c>
      <c r="D1294" t="s">
        <v>62</v>
      </c>
      <c r="E1294" t="s">
        <v>35</v>
      </c>
      <c r="F1294" t="s">
        <v>178</v>
      </c>
      <c r="G1294" t="s">
        <v>490</v>
      </c>
      <c r="H1294" s="52" t="str">
        <f>VLOOKUP(Tabla3[[#This Row],[Site]],'Important Info!'!$A$1:$J$135,10,FALSE)</f>
        <v>https://tools.sig.systems/site/details/125</v>
      </c>
      <c r="J1294" t="s">
        <v>41</v>
      </c>
      <c r="K1294" s="79" t="str">
        <f>VLOOKUP(Tabla3[[#This Row],[Site]],'Important Info!'!$A$1:$H$135,8,FALSE)</f>
        <v>-</v>
      </c>
      <c r="L1294" s="52" t="str">
        <f>VLOOKUP(Tabla3[[#This Row],[Site]],'Important Info!'!$A$1:$F$135,2,FALSE)</f>
        <v>-</v>
      </c>
      <c r="M1294" s="52" t="str">
        <f>VLOOKUP(Tabla3[[#This Row],[Site]],'Important Info!'!$A$1:$F$135,3,FALSE)</f>
        <v>2, 3, 13, 16</v>
      </c>
      <c r="N1294" s="52" t="str">
        <f>VLOOKUP(Tabla3[[#This Row],[Site]],'Important Info!'!$A$1:$F$135,4,FALSE)</f>
        <v>-</v>
      </c>
      <c r="O1294" s="52" t="str">
        <f>VLOOKUP(Tabla3[[#This Row],[Site]],'Important Info!'!$A$1:$F$135,5,FALSE)</f>
        <v>1, 10, 14, 19</v>
      </c>
      <c r="P1294" s="52" t="str">
        <f>VLOOKUP(Tabla3[[#This Row],[Site]],'Important Info!'!$A$1:$F$135,6,FALSE)</f>
        <v>7, 8, 9, 10, 11, 12, 14</v>
      </c>
      <c r="Q1294" s="91">
        <f>VLOOKUP(Tabla3[[#This Row],[Site]],'Important Info!'!$A$1:$J$135,9,FALSE)</f>
        <v>125</v>
      </c>
    </row>
    <row r="1295" spans="1:17" x14ac:dyDescent="0.25">
      <c r="A1295" t="str">
        <f>+Tabla3[[#This Row],[Site]]&amp;Tabla3[[#This Row],[Split]]</f>
        <v>(AS) Park Place Mercedes Benz Arlington (NO TOURS)15</v>
      </c>
      <c r="B1295">
        <v>15</v>
      </c>
      <c r="C1295">
        <v>3</v>
      </c>
      <c r="D1295" t="s">
        <v>33</v>
      </c>
      <c r="E1295" t="s">
        <v>46</v>
      </c>
      <c r="F1295" t="s">
        <v>518</v>
      </c>
      <c r="G1295" t="s">
        <v>34</v>
      </c>
      <c r="H1295" s="52" t="str">
        <f>VLOOKUP(Tabla3[[#This Row],[Site]],'Important Info!'!$A$1:$J$135,10,FALSE)</f>
        <v>https://tools.sig.systems/site/details/169</v>
      </c>
      <c r="J1295" t="s">
        <v>41</v>
      </c>
      <c r="K1295" s="79" t="str">
        <f>VLOOKUP(Tabla3[[#This Row],[Site]],'Important Info!'!$A$1:$H$135,8,FALSE)</f>
        <v>-</v>
      </c>
      <c r="L1295" s="52" t="str">
        <f>VLOOKUP(Tabla3[[#This Row],[Site]],'Important Info!'!$A$1:$F$135,2,FALSE)</f>
        <v>1, 9, 14</v>
      </c>
      <c r="M1295" s="52" t="str">
        <f>VLOOKUP(Tabla3[[#This Row],[Site]],'Important Info!'!$A$1:$F$135,3,FALSE)</f>
        <v>-</v>
      </c>
      <c r="N1295" s="52" t="str">
        <f>VLOOKUP(Tabla3[[#This Row],[Site]],'Important Info!'!$A$1:$F$135,4,FALSE)</f>
        <v>77, 78, 79, 80</v>
      </c>
      <c r="O1295" s="52" t="str">
        <f>VLOOKUP(Tabla3[[#This Row],[Site]],'Important Info!'!$A$1:$F$135,5,FALSE)</f>
        <v>2, 10, 18, 22, 31, 40</v>
      </c>
      <c r="P1295" s="52">
        <f>VLOOKUP(Tabla3[[#This Row],[Site]],'Important Info!'!$A$1:$F$135,6,FALSE)</f>
        <v>9</v>
      </c>
      <c r="Q1295" s="91">
        <f>VLOOKUP(Tabla3[[#This Row],[Site]],'Important Info!'!$A$1:$J$135,9,FALSE)</f>
        <v>169</v>
      </c>
    </row>
    <row r="1296" spans="1:17" x14ac:dyDescent="0.25">
      <c r="A1296" t="str">
        <f>+Tabla3[[#This Row],[Site]]&amp;Tabla3[[#This Row],[Split]]</f>
        <v>(HUD) Nissan Greensboro15</v>
      </c>
      <c r="B1296">
        <v>15</v>
      </c>
      <c r="C1296">
        <v>3</v>
      </c>
      <c r="D1296" t="s">
        <v>62</v>
      </c>
      <c r="E1296" t="s">
        <v>35</v>
      </c>
      <c r="F1296" t="s">
        <v>66</v>
      </c>
      <c r="G1296" t="s">
        <v>490</v>
      </c>
      <c r="H1296" s="52" t="str">
        <f>VLOOKUP(Tabla3[[#This Row],[Site]],'Important Info!'!$A$1:$J$135,10,FALSE)</f>
        <v>https://tools.sig.systems/site/details/236</v>
      </c>
      <c r="I1296" s="66" t="s">
        <v>184</v>
      </c>
      <c r="J1296" t="s">
        <v>41</v>
      </c>
      <c r="K1296" s="79" t="str">
        <f>VLOOKUP(Tabla3[[#This Row],[Site]],'Important Info!'!$A$1:$H$135,8,FALSE)</f>
        <v>-</v>
      </c>
      <c r="L1296" s="52" t="str">
        <f>VLOOKUP(Tabla3[[#This Row],[Site]],'Important Info!'!$A$1:$F$135,2,FALSE)</f>
        <v>1, 5, 12</v>
      </c>
      <c r="M1296" s="52" t="str">
        <f>VLOOKUP(Tabla3[[#This Row],[Site]],'Important Info!'!$A$1:$F$135,3,FALSE)</f>
        <v>-</v>
      </c>
      <c r="N1296" s="52" t="str">
        <f>VLOOKUP(Tabla3[[#This Row],[Site]],'Important Info!'!$A$1:$F$135,4,FALSE)</f>
        <v>-</v>
      </c>
      <c r="O1296" s="52" t="str">
        <f>VLOOKUP(Tabla3[[#This Row],[Site]],'Important Info!'!$A$1:$F$135,5,FALSE)</f>
        <v>-</v>
      </c>
      <c r="P1296" s="52">
        <f>VLOOKUP(Tabla3[[#This Row],[Site]],'Important Info!'!$A$1:$F$135,6,FALSE)</f>
        <v>4</v>
      </c>
      <c r="Q1296" s="91">
        <f>VLOOKUP(Tabla3[[#This Row],[Site]],'Important Info!'!$A$1:$J$135,9,FALSE)</f>
        <v>236</v>
      </c>
    </row>
    <row r="1297" spans="1:17" x14ac:dyDescent="0.25">
      <c r="A1297" t="str">
        <f>+Tabla3[[#This Row],[Site]]&amp;Tabla3[[#This Row],[Split]]</f>
        <v>(KG) Hyundai Surprise15</v>
      </c>
      <c r="B1297">
        <v>15</v>
      </c>
      <c r="C1297">
        <v>3</v>
      </c>
      <c r="D1297" t="s">
        <v>51</v>
      </c>
      <c r="E1297" t="s">
        <v>161</v>
      </c>
      <c r="F1297" t="s">
        <v>118</v>
      </c>
      <c r="G1297" t="s">
        <v>52</v>
      </c>
      <c r="H1297" s="52" t="str">
        <f>VLOOKUP(Tabla3[[#This Row],[Site]],'Important Info!'!$A$1:$J$135,10,FALSE)</f>
        <v>https://tools.sig.systems/site/details/269</v>
      </c>
      <c r="I1297" s="2"/>
      <c r="J1297" t="s">
        <v>162</v>
      </c>
      <c r="K1297" s="79" t="str">
        <f>VLOOKUP(Tabla3[[#This Row],[Site]],'Important Info!'!$A$1:$H$135,8,FALSE)</f>
        <v>-</v>
      </c>
      <c r="L1297" s="52" t="str">
        <f>VLOOKUP(Tabla3[[#This Row],[Site]],'Important Info!'!$A$1:$F$135,2,FALSE)</f>
        <v>1, 6, 7</v>
      </c>
      <c r="M1297" s="52" t="str">
        <f>VLOOKUP(Tabla3[[#This Row],[Site]],'Important Info!'!$A$1:$F$135,3,FALSE)</f>
        <v>-</v>
      </c>
      <c r="N1297" s="52" t="str">
        <f>VLOOKUP(Tabla3[[#This Row],[Site]],'Important Info!'!$A$1:$F$135,4,FALSE)</f>
        <v>-</v>
      </c>
      <c r="O1297" s="52" t="str">
        <f>VLOOKUP(Tabla3[[#This Row],[Site]],'Important Info!'!$A$1:$F$135,5,FALSE)</f>
        <v>6, 13</v>
      </c>
      <c r="P1297" s="52" t="str">
        <f>VLOOKUP(Tabla3[[#This Row],[Site]],'Important Info!'!$A$1:$F$135,6,FALSE)</f>
        <v>-</v>
      </c>
      <c r="Q1297" s="91">
        <f>VLOOKUP(Tabla3[[#This Row],[Site]],'Important Info!'!$A$1:$J$135,9,FALSE)</f>
        <v>269</v>
      </c>
    </row>
    <row r="1298" spans="1:17" x14ac:dyDescent="0.25">
      <c r="A1298" t="str">
        <f>+Tabla3[[#This Row],[Site]]&amp;Tabla3[[#This Row],[Split]]</f>
        <v>(KG) Texan GMC Buick (NO TOURS)15</v>
      </c>
      <c r="B1298">
        <v>15</v>
      </c>
      <c r="C1298">
        <v>3</v>
      </c>
      <c r="D1298" t="s">
        <v>33</v>
      </c>
      <c r="E1298" t="s">
        <v>46</v>
      </c>
      <c r="F1298" t="s">
        <v>111</v>
      </c>
      <c r="G1298" t="s">
        <v>34</v>
      </c>
      <c r="H1298" s="52" t="str">
        <f>VLOOKUP(Tabla3[[#This Row],[Site]],'Important Info!'!$A$1:$J$135,10,FALSE)</f>
        <v>https://tools.sig.systems/site/details/225</v>
      </c>
      <c r="I1298" s="2" t="s">
        <v>137</v>
      </c>
      <c r="J1298" t="s">
        <v>41</v>
      </c>
      <c r="K1298" s="79" t="str">
        <f>VLOOKUP(Tabla3[[#This Row],[Site]],'Important Info!'!$A$1:$H$135,8,FALSE)</f>
        <v>-</v>
      </c>
      <c r="L1298" s="52" t="str">
        <f>VLOOKUP(Tabla3[[#This Row],[Site]],'Important Info!'!$A$1:$F$135,2,FALSE)</f>
        <v>1, 20, 53</v>
      </c>
      <c r="M1298" s="52" t="str">
        <f>VLOOKUP(Tabla3[[#This Row],[Site]],'Important Info!'!$A$1:$F$135,3,FALSE)</f>
        <v>-</v>
      </c>
      <c r="N1298" s="52" t="str">
        <f>VLOOKUP(Tabla3[[#This Row],[Site]],'Important Info!'!$A$1:$F$135,4,FALSE)</f>
        <v>-</v>
      </c>
      <c r="O1298" s="52" t="str">
        <f>VLOOKUP(Tabla3[[#This Row],[Site]],'Important Info!'!$A$1:$F$135,5,FALSE)</f>
        <v>2, 8, 14</v>
      </c>
      <c r="P1298" s="52" t="str">
        <f>VLOOKUP(Tabla3[[#This Row],[Site]],'Important Info!'!$A$1:$F$135,6,FALSE)</f>
        <v>51, 52, 16</v>
      </c>
      <c r="Q1298" s="91">
        <f>VLOOKUP(Tabla3[[#This Row],[Site]],'Important Info!'!$A$1:$J$135,9,FALSE)</f>
        <v>225</v>
      </c>
    </row>
    <row r="1299" spans="1:17" x14ac:dyDescent="0.25">
      <c r="A1299" t="str">
        <f>+Tabla3[[#This Row],[Site]]&amp;Tabla3[[#This Row],[Split]]</f>
        <v>(LM) Luther Mazda / Mitsubishi15</v>
      </c>
      <c r="B1299">
        <v>15</v>
      </c>
      <c r="C1299">
        <v>3</v>
      </c>
      <c r="D1299" t="s">
        <v>33</v>
      </c>
      <c r="E1299" t="s">
        <v>46</v>
      </c>
      <c r="F1299" t="s">
        <v>103</v>
      </c>
      <c r="G1299" t="s">
        <v>34</v>
      </c>
      <c r="H1299" s="52" t="str">
        <f>VLOOKUP(Tabla3[[#This Row],[Site]],'Important Info!'!$A$1:$J$135,10,FALSE)</f>
        <v>https://tools.sig.systems/site/details/147</v>
      </c>
      <c r="I1299" s="2" t="s">
        <v>138</v>
      </c>
      <c r="J1299" t="s">
        <v>41</v>
      </c>
      <c r="K1299" s="79" t="str">
        <f>VLOOKUP(Tabla3[[#This Row],[Site]],'Important Info!'!$A$1:$H$135,8,FALSE)</f>
        <v>-</v>
      </c>
      <c r="L1299" s="52" t="str">
        <f>VLOOKUP(Tabla3[[#This Row],[Site]],'Important Info!'!$A$1:$F$135,2,FALSE)</f>
        <v>4, 5, 6</v>
      </c>
      <c r="M1299" s="52" t="str">
        <f>VLOOKUP(Tabla3[[#This Row],[Site]],'Important Info!'!$A$1:$F$135,3,FALSE)</f>
        <v>-</v>
      </c>
      <c r="N1299" s="52" t="str">
        <f>VLOOKUP(Tabla3[[#This Row],[Site]],'Important Info!'!$A$1:$F$135,4,FALSE)</f>
        <v>1, 2</v>
      </c>
      <c r="O1299" s="52" t="str">
        <f>VLOOKUP(Tabla3[[#This Row],[Site]],'Important Info!'!$A$1:$F$135,5,FALSE)</f>
        <v>-</v>
      </c>
      <c r="P1299" s="52" t="str">
        <f>VLOOKUP(Tabla3[[#This Row],[Site]],'Important Info!'!$A$1:$F$135,6,FALSE)</f>
        <v>13, 14, 15, 16</v>
      </c>
      <c r="Q1299" s="91">
        <f>VLOOKUP(Tabla3[[#This Row],[Site]],'Important Info!'!$A$1:$J$135,9,FALSE)</f>
        <v>147</v>
      </c>
    </row>
    <row r="1300" spans="1:17" x14ac:dyDescent="0.25">
      <c r="A1300" t="str">
        <f>+Tabla3[[#This Row],[Site]]&amp;Tabla3[[#This Row],[Split]]</f>
        <v>(ML) Joe Machens CDJR15</v>
      </c>
      <c r="B1300">
        <v>15</v>
      </c>
      <c r="C1300">
        <v>3</v>
      </c>
      <c r="D1300" t="s">
        <v>33</v>
      </c>
      <c r="E1300" t="s">
        <v>46</v>
      </c>
      <c r="F1300" t="s">
        <v>88</v>
      </c>
      <c r="G1300" t="s">
        <v>34</v>
      </c>
      <c r="H1300" s="52" t="str">
        <f>VLOOKUP(Tabla3[[#This Row],[Site]],'Important Info!'!$A$1:$J$135,10,FALSE)</f>
        <v>https://tools.sig.systems/site/details/273</v>
      </c>
      <c r="I1300" s="66" t="s">
        <v>146</v>
      </c>
      <c r="J1300" t="s">
        <v>41</v>
      </c>
      <c r="K1300" s="79" t="str">
        <f>VLOOKUP(Tabla3[[#This Row],[Site]],'Important Info!'!$A$1:$H$135,8,FALSE)</f>
        <v>-</v>
      </c>
      <c r="L1300" s="52" t="str">
        <f>VLOOKUP(Tabla3[[#This Row],[Site]],'Important Info!'!$A$1:$F$135,2,FALSE)</f>
        <v>-</v>
      </c>
      <c r="M1300" s="52">
        <f>VLOOKUP(Tabla3[[#This Row],[Site]],'Important Info!'!$A$1:$F$135,3,FALSE)</f>
        <v>3</v>
      </c>
      <c r="N1300" s="52" t="str">
        <f>VLOOKUP(Tabla3[[#This Row],[Site]],'Important Info!'!$A$1:$F$135,4,FALSE)</f>
        <v>-</v>
      </c>
      <c r="O1300" s="52" t="str">
        <f>VLOOKUP(Tabla3[[#This Row],[Site]],'Important Info!'!$A$1:$F$135,5,FALSE)</f>
        <v>-</v>
      </c>
      <c r="P1300" s="52" t="str">
        <f>VLOOKUP(Tabla3[[#This Row],[Site]],'Important Info!'!$A$1:$F$135,6,FALSE)</f>
        <v>1, 2, 3,</v>
      </c>
      <c r="Q1300" s="91">
        <f>VLOOKUP(Tabla3[[#This Row],[Site]],'Important Info!'!$A$1:$J$135,9,FALSE)</f>
        <v>273</v>
      </c>
    </row>
    <row r="1301" spans="1:17" x14ac:dyDescent="0.25">
      <c r="A1301" t="str">
        <f>+Tabla3[[#This Row],[Site]]&amp;Tabla3[[#This Row],[Split]]</f>
        <v>(RV) Toms Camperland Surprise (NO TOURS)15</v>
      </c>
      <c r="B1301">
        <v>15</v>
      </c>
      <c r="C1301">
        <v>3</v>
      </c>
      <c r="D1301" t="s">
        <v>51</v>
      </c>
      <c r="E1301" t="s">
        <v>161</v>
      </c>
      <c r="F1301" t="s">
        <v>165</v>
      </c>
      <c r="G1301" t="s">
        <v>52</v>
      </c>
      <c r="H1301" s="52" t="str">
        <f>VLOOKUP(Tabla3[[#This Row],[Site]],'Important Info!'!$A$1:$J$135,10,FALSE)</f>
        <v>https://tools.sig.systems/site/details/254</v>
      </c>
      <c r="I1301" s="43"/>
      <c r="J1301" t="s">
        <v>52</v>
      </c>
      <c r="K1301" s="79" t="str">
        <f>VLOOKUP(Tabla3[[#This Row],[Site]],'Important Info!'!$A$1:$H$135,8,FALSE)</f>
        <v>-</v>
      </c>
      <c r="L1301" s="52" t="str">
        <f>VLOOKUP(Tabla3[[#This Row],[Site]],'Important Info!'!$A$1:$F$135,2,FALSE)</f>
        <v>1, 3, 4</v>
      </c>
      <c r="M1301" s="52" t="str">
        <f>VLOOKUP(Tabla3[[#This Row],[Site]],'Important Info!'!$A$1:$F$135,3,FALSE)</f>
        <v>-</v>
      </c>
      <c r="N1301" s="52" t="str">
        <f>VLOOKUP(Tabla3[[#This Row],[Site]],'Important Info!'!$A$1:$F$135,4,FALSE)</f>
        <v>-</v>
      </c>
      <c r="O1301" s="52" t="str">
        <f>VLOOKUP(Tabla3[[#This Row],[Site]],'Important Info!'!$A$1:$F$135,5,FALSE)</f>
        <v>-</v>
      </c>
      <c r="P1301" s="52" t="str">
        <f>VLOOKUP(Tabla3[[#This Row],[Site]],'Important Info!'!$A$1:$F$135,6,FALSE)</f>
        <v>1, 2, 3, 4, 15</v>
      </c>
      <c r="Q1301" s="91">
        <f>VLOOKUP(Tabla3[[#This Row],[Site]],'Important Info!'!$A$1:$J$135,9,FALSE)</f>
        <v>254</v>
      </c>
    </row>
    <row r="1302" spans="1:17" x14ac:dyDescent="0.25">
      <c r="A1302" t="str">
        <f>+Tabla3[[#This Row],[Site]]&amp;Tabla3[[#This Row],[Split]]</f>
        <v>SIG Office15</v>
      </c>
      <c r="B1302">
        <v>15</v>
      </c>
      <c r="C1302">
        <v>3</v>
      </c>
      <c r="D1302" t="s">
        <v>60</v>
      </c>
      <c r="E1302" t="s">
        <v>35</v>
      </c>
      <c r="F1302" t="s">
        <v>169</v>
      </c>
      <c r="G1302" t="s">
        <v>41</v>
      </c>
      <c r="H1302" s="52" t="str">
        <f>VLOOKUP(Tabla3[[#This Row],[Site]],'Important Info!'!$A$1:$J$135,10,FALSE)</f>
        <v>https://tools.sig.systems/site/details/163</v>
      </c>
      <c r="J1302" t="s">
        <v>41</v>
      </c>
      <c r="K1302" s="79" t="str">
        <f>VLOOKUP(Tabla3[[#This Row],[Site]],'Important Info!'!$A$1:$H$135,8,FALSE)</f>
        <v>-</v>
      </c>
      <c r="L1302" s="52" t="str">
        <f>VLOOKUP(Tabla3[[#This Row],[Site]],'Important Info!'!$A$1:$F$135,2,FALSE)</f>
        <v>-</v>
      </c>
      <c r="M1302" s="52" t="str">
        <f>VLOOKUP(Tabla3[[#This Row],[Site]],'Important Info!'!$A$1:$F$135,3,FALSE)</f>
        <v>-</v>
      </c>
      <c r="N1302" s="52" t="str">
        <f>VLOOKUP(Tabla3[[#This Row],[Site]],'Important Info!'!$A$1:$F$135,4,FALSE)</f>
        <v>-</v>
      </c>
      <c r="O1302" s="52" t="str">
        <f>VLOOKUP(Tabla3[[#This Row],[Site]],'Important Info!'!$A$1:$F$135,5,FALSE)</f>
        <v>-</v>
      </c>
      <c r="P1302" s="52">
        <f>VLOOKUP(Tabla3[[#This Row],[Site]],'Important Info!'!$A$1:$F$135,6,FALSE)</f>
        <v>25</v>
      </c>
      <c r="Q1302" s="91">
        <f>VLOOKUP(Tabla3[[#This Row],[Site]],'Important Info!'!$A$1:$J$135,9,FALSE)</f>
        <v>163</v>
      </c>
    </row>
    <row r="1303" spans="1:17" x14ac:dyDescent="0.25">
      <c r="A1303" t="str">
        <f>+Tabla3[[#This Row],[Site]]&amp;Tabla3[[#This Row],[Split]]</f>
        <v>(AS) Park Place Volvo Sales (NO TOURS)15</v>
      </c>
      <c r="B1303">
        <v>15</v>
      </c>
      <c r="C1303">
        <v>4</v>
      </c>
      <c r="D1303" t="s">
        <v>33</v>
      </c>
      <c r="E1303" t="s">
        <v>46</v>
      </c>
      <c r="F1303" t="s">
        <v>521</v>
      </c>
      <c r="G1303" t="s">
        <v>34</v>
      </c>
      <c r="H1303" s="52" t="str">
        <f>VLOOKUP(Tabla3[[#This Row],[Site]],'Important Info!'!$A$1:$J$135,10,FALSE)</f>
        <v>https://tools.sig.systems/site/details/139</v>
      </c>
      <c r="I1303" s="65" t="s">
        <v>125</v>
      </c>
      <c r="J1303" t="s">
        <v>41</v>
      </c>
      <c r="K1303" s="79" t="str">
        <f>VLOOKUP(Tabla3[[#This Row],[Site]],'Important Info!'!$A$1:$H$135,8,FALSE)</f>
        <v>-</v>
      </c>
      <c r="L1303" s="52" t="str">
        <f>VLOOKUP(Tabla3[[#This Row],[Site]],'Important Info!'!$A$1:$F$135,2,FALSE)</f>
        <v>4, 6, 9, 11</v>
      </c>
      <c r="M1303" s="52" t="str">
        <f>VLOOKUP(Tabla3[[#This Row],[Site]],'Important Info!'!$A$1:$F$135,3,FALSE)</f>
        <v>-</v>
      </c>
      <c r="N1303" s="52" t="str">
        <f>VLOOKUP(Tabla3[[#This Row],[Site]],'Important Info!'!$A$1:$F$135,4,FALSE)</f>
        <v>-</v>
      </c>
      <c r="O1303" s="52" t="str">
        <f>VLOOKUP(Tabla3[[#This Row],[Site]],'Important Info!'!$A$1:$F$135,5,FALSE)</f>
        <v>2, 9</v>
      </c>
      <c r="P1303" s="52" t="str">
        <f>VLOOKUP(Tabla3[[#This Row],[Site]],'Important Info!'!$A$1:$F$135,6,FALSE)</f>
        <v>4, 10, 11</v>
      </c>
      <c r="Q1303" s="91">
        <f>VLOOKUP(Tabla3[[#This Row],[Site]],'Important Info!'!$A$1:$J$135,9,FALSE)</f>
        <v>139</v>
      </c>
    </row>
    <row r="1304" spans="1:17" x14ac:dyDescent="0.25">
      <c r="A1304" t="str">
        <f>+Tabla3[[#This Row],[Site]]&amp;Tabla3[[#This Row],[Split]]</f>
        <v>(DT) Denver (NO TOURS)15</v>
      </c>
      <c r="B1304">
        <v>15</v>
      </c>
      <c r="C1304">
        <v>4</v>
      </c>
      <c r="D1304" t="s">
        <v>44</v>
      </c>
      <c r="E1304" t="s">
        <v>53</v>
      </c>
      <c r="F1304" t="s">
        <v>157</v>
      </c>
      <c r="G1304" t="s">
        <v>45</v>
      </c>
      <c r="H1304" s="52" t="str">
        <f>VLOOKUP(Tabla3[[#This Row],[Site]],'Important Info!'!$A$1:$J$135,10,FALSE)</f>
        <v>https://tools.sig.systems/site/details/203</v>
      </c>
      <c r="I1304" s="2" t="s">
        <v>158</v>
      </c>
      <c r="J1304" t="s">
        <v>41</v>
      </c>
      <c r="K1304" s="79" t="str">
        <f>VLOOKUP(Tabla3[[#This Row],[Site]],'Important Info!'!$A$1:$H$135,8,FALSE)</f>
        <v>-</v>
      </c>
      <c r="L1304" s="52" t="str">
        <f>VLOOKUP(Tabla3[[#This Row],[Site]],'Important Info!'!$A$1:$F$135,2,FALSE)</f>
        <v>-</v>
      </c>
      <c r="M1304" s="52" t="str">
        <f>VLOOKUP(Tabla3[[#This Row],[Site]],'Important Info!'!$A$1:$F$135,3,FALSE)</f>
        <v>7, 8</v>
      </c>
      <c r="N1304" s="52" t="str">
        <f>VLOOKUP(Tabla3[[#This Row],[Site]],'Important Info!'!$A$1:$F$135,4,FALSE)</f>
        <v>-</v>
      </c>
      <c r="O1304" s="52" t="str">
        <f>VLOOKUP(Tabla3[[#This Row],[Site]],'Important Info!'!$A$1:$F$135,5,FALSE)</f>
        <v>-</v>
      </c>
      <c r="P1304" s="52" t="str">
        <f>VLOOKUP(Tabla3[[#This Row],[Site]],'Important Info!'!$A$1:$F$135,6,FALSE)</f>
        <v>7, 8</v>
      </c>
      <c r="Q1304" s="91">
        <f>VLOOKUP(Tabla3[[#This Row],[Site]],'Important Info!'!$A$1:$J$135,9,FALSE)</f>
        <v>203</v>
      </c>
    </row>
    <row r="1305" spans="1:17" x14ac:dyDescent="0.25">
      <c r="A1305" t="str">
        <f>+Tabla3[[#This Row],[Site]]&amp;Tabla3[[#This Row],[Split]]</f>
        <v>(DT) N. Houston15</v>
      </c>
      <c r="B1305">
        <v>15</v>
      </c>
      <c r="C1305">
        <v>4</v>
      </c>
      <c r="D1305" t="s">
        <v>33</v>
      </c>
      <c r="E1305" t="s">
        <v>46</v>
      </c>
      <c r="F1305" t="s">
        <v>68</v>
      </c>
      <c r="G1305" t="s">
        <v>34</v>
      </c>
      <c r="H1305" s="52" t="str">
        <f>VLOOKUP(Tabla3[[#This Row],[Site]],'Important Info!'!$A$1:$J$135,10,FALSE)</f>
        <v>https://tools.sig.systems/site/details/250</v>
      </c>
      <c r="I1305" s="43"/>
      <c r="J1305" t="s">
        <v>41</v>
      </c>
      <c r="K1305" s="79" t="str">
        <f>VLOOKUP(Tabla3[[#This Row],[Site]],'Important Info!'!$A$1:$H$135,8,FALSE)</f>
        <v>-</v>
      </c>
      <c r="L1305" s="52" t="str">
        <f>VLOOKUP(Tabla3[[#This Row],[Site]],'Important Info!'!$A$1:$F$135,2,FALSE)</f>
        <v>2, 10, 18</v>
      </c>
      <c r="M1305" s="52" t="str">
        <f>VLOOKUP(Tabla3[[#This Row],[Site]],'Important Info!'!$A$1:$F$135,3,FALSE)</f>
        <v>-</v>
      </c>
      <c r="N1305" s="52" t="str">
        <f>VLOOKUP(Tabla3[[#This Row],[Site]],'Important Info!'!$A$1:$F$135,4,FALSE)</f>
        <v>-</v>
      </c>
      <c r="O1305" s="52">
        <f>VLOOKUP(Tabla3[[#This Row],[Site]],'Important Info!'!$A$1:$F$135,5,FALSE)</f>
        <v>15</v>
      </c>
      <c r="P1305" s="52" t="str">
        <f>VLOOKUP(Tabla3[[#This Row],[Site]],'Important Info!'!$A$1:$F$135,6,FALSE)</f>
        <v>2, 4, 18</v>
      </c>
      <c r="Q1305" s="91">
        <f>VLOOKUP(Tabla3[[#This Row],[Site]],'Important Info!'!$A$1:$J$135,9,FALSE)</f>
        <v>250</v>
      </c>
    </row>
    <row r="1306" spans="1:17" x14ac:dyDescent="0.25">
      <c r="A1306" t="str">
        <f>+Tabla3[[#This Row],[Site]]&amp;Tabla3[[#This Row],[Split]]</f>
        <v>(HUD) CDJR of Greensboro15</v>
      </c>
      <c r="B1306">
        <v>15</v>
      </c>
      <c r="C1306">
        <v>4</v>
      </c>
      <c r="D1306" t="s">
        <v>62</v>
      </c>
      <c r="E1306" t="s">
        <v>35</v>
      </c>
      <c r="F1306" t="s">
        <v>185</v>
      </c>
      <c r="G1306" t="s">
        <v>491</v>
      </c>
      <c r="H1306" s="52" t="str">
        <f>VLOOKUP(Tabla3[[#This Row],[Site]],'Important Info!'!$A$1:$J$135,10,FALSE)</f>
        <v>https://tools.sig.systems/site/details/215</v>
      </c>
      <c r="I1306" s="2" t="s">
        <v>184</v>
      </c>
      <c r="J1306" t="s">
        <v>36</v>
      </c>
      <c r="K1306" s="79" t="str">
        <f>VLOOKUP(Tabla3[[#This Row],[Site]],'Important Info!'!$A$1:$H$135,8,FALSE)</f>
        <v>-</v>
      </c>
      <c r="L1306" s="52" t="str">
        <f>VLOOKUP(Tabla3[[#This Row],[Site]],'Important Info!'!$A$1:$F$135,2,FALSE)</f>
        <v>2, 12</v>
      </c>
      <c r="M1306" s="52" t="str">
        <f>VLOOKUP(Tabla3[[#This Row],[Site]],'Important Info!'!$A$1:$F$135,3,FALSE)</f>
        <v>-</v>
      </c>
      <c r="N1306" s="52" t="str">
        <f>VLOOKUP(Tabla3[[#This Row],[Site]],'Important Info!'!$A$1:$F$135,4,FALSE)</f>
        <v>-</v>
      </c>
      <c r="O1306" s="52" t="str">
        <f>VLOOKUP(Tabla3[[#This Row],[Site]],'Important Info!'!$A$1:$F$135,5,FALSE)</f>
        <v>3, 13</v>
      </c>
      <c r="P1306" s="52" t="str">
        <f>VLOOKUP(Tabla3[[#This Row],[Site]],'Important Info!'!$A$1:$F$135,6,FALSE)</f>
        <v>1, 17</v>
      </c>
      <c r="Q1306" s="91">
        <f>VLOOKUP(Tabla3[[#This Row],[Site]],'Important Info!'!$A$1:$J$135,9,FALSE)</f>
        <v>215</v>
      </c>
    </row>
    <row r="1307" spans="1:17" x14ac:dyDescent="0.25">
      <c r="A1307" t="str">
        <f>+Tabla3[[#This Row],[Site]]&amp;Tabla3[[#This Row],[Split]]</f>
        <v>(KG) Big Star CDJR of Clear Lake15</v>
      </c>
      <c r="B1307">
        <v>15</v>
      </c>
      <c r="C1307">
        <v>4</v>
      </c>
      <c r="D1307" t="s">
        <v>33</v>
      </c>
      <c r="E1307" t="s">
        <v>46</v>
      </c>
      <c r="F1307" t="s">
        <v>133</v>
      </c>
      <c r="G1307" t="s">
        <v>34</v>
      </c>
      <c r="H1307" s="52" t="str">
        <f>VLOOKUP(Tabla3[[#This Row],[Site]],'Important Info!'!$A$1:$J$135,10,FALSE)</f>
        <v>https://tools.sig.systems/site/details/232</v>
      </c>
      <c r="I1307" s="43" t="s">
        <v>134</v>
      </c>
      <c r="J1307" t="s">
        <v>41</v>
      </c>
      <c r="K1307" s="79" t="str">
        <f>VLOOKUP(Tabla3[[#This Row],[Site]],'Important Info!'!$A$1:$H$135,8,FALSE)</f>
        <v>-</v>
      </c>
      <c r="L1307" s="52" t="str">
        <f>VLOOKUP(Tabla3[[#This Row],[Site]],'Important Info!'!$A$1:$F$135,2,FALSE)</f>
        <v>8, 25</v>
      </c>
      <c r="M1307" s="52" t="str">
        <f>VLOOKUP(Tabla3[[#This Row],[Site]],'Important Info!'!$A$1:$F$135,3,FALSE)</f>
        <v>-</v>
      </c>
      <c r="N1307" s="52" t="str">
        <f>VLOOKUP(Tabla3[[#This Row],[Site]],'Important Info!'!$A$1:$F$135,4,FALSE)</f>
        <v>-</v>
      </c>
      <c r="O1307" s="52" t="str">
        <f>VLOOKUP(Tabla3[[#This Row],[Site]],'Important Info!'!$A$1:$F$135,5,FALSE)</f>
        <v>7, 13, 19, 24</v>
      </c>
      <c r="P1307" s="52" t="str">
        <f>VLOOKUP(Tabla3[[#This Row],[Site]],'Important Info!'!$A$1:$F$135,6,FALSE)</f>
        <v>6, 8, 25, 31</v>
      </c>
      <c r="Q1307" s="91">
        <f>VLOOKUP(Tabla3[[#This Row],[Site]],'Important Info!'!$A$1:$J$135,9,FALSE)</f>
        <v>232</v>
      </c>
    </row>
    <row r="1308" spans="1:17" x14ac:dyDescent="0.25">
      <c r="A1308" t="str">
        <f>+Tabla3[[#This Row],[Site]]&amp;Tabla3[[#This Row],[Split]]</f>
        <v>(ML) Joe Machens Ford Lincoln I &amp; II15</v>
      </c>
      <c r="B1308">
        <v>15</v>
      </c>
      <c r="C1308">
        <v>4</v>
      </c>
      <c r="D1308" t="s">
        <v>33</v>
      </c>
      <c r="E1308" t="s">
        <v>46</v>
      </c>
      <c r="F1308" t="s">
        <v>148</v>
      </c>
      <c r="G1308" t="s">
        <v>34</v>
      </c>
      <c r="H1308" s="52" t="str">
        <f>VLOOKUP(Tabla3[[#This Row],[Site]],'Important Info!'!$A$1:$J$135,10,FALSE)</f>
        <v>https://tools.sig.systems/site/details/266</v>
      </c>
      <c r="I1308" s="43" t="s">
        <v>146</v>
      </c>
      <c r="J1308" t="s">
        <v>41</v>
      </c>
      <c r="K1308" s="79" t="str">
        <f>VLOOKUP(Tabla3[[#This Row],[Site]],'Important Info!'!$A$1:$H$135,8,FALSE)</f>
        <v>-</v>
      </c>
      <c r="L1308" s="52" t="str">
        <f>VLOOKUP(Tabla3[[#This Row],[Site]],'Important Info!'!$A$1:$F$135,2,FALSE)</f>
        <v>-</v>
      </c>
      <c r="M1308" s="52" t="str">
        <f>VLOOKUP(Tabla3[[#This Row],[Site]],'Important Info!'!$A$1:$F$135,3,FALSE)</f>
        <v>4, 6, 9, 13, 14, 17, 26, 27, 28, 29, 30</v>
      </c>
      <c r="N1308" s="52" t="str">
        <f>VLOOKUP(Tabla3[[#This Row],[Site]],'Important Info!'!$A$1:$F$135,4,FALSE)</f>
        <v>-</v>
      </c>
      <c r="O1308" s="52" t="str">
        <f>VLOOKUP(Tabla3[[#This Row],[Site]],'Important Info!'!$A$1:$F$135,5,FALSE)</f>
        <v>23, 40, 49</v>
      </c>
      <c r="P1308" s="52" t="str">
        <f>VLOOKUP(Tabla3[[#This Row],[Site]],'Important Info!'!$A$1:$F$135,6,FALSE)</f>
        <v>-</v>
      </c>
      <c r="Q1308" s="91">
        <f>VLOOKUP(Tabla3[[#This Row],[Site]],'Important Info!'!$A$1:$J$135,9,FALSE)</f>
        <v>266</v>
      </c>
    </row>
    <row r="1309" spans="1:17" x14ac:dyDescent="0.25">
      <c r="A1309" t="str">
        <f>+Tabla3[[#This Row],[Site]]&amp;Tabla3[[#This Row],[Split]]</f>
        <v>(ML) Joe Machens VW15</v>
      </c>
      <c r="B1309">
        <v>15</v>
      </c>
      <c r="C1309">
        <v>4</v>
      </c>
      <c r="D1309" t="s">
        <v>33</v>
      </c>
      <c r="E1309" t="s">
        <v>46</v>
      </c>
      <c r="F1309" t="s">
        <v>74</v>
      </c>
      <c r="G1309" t="s">
        <v>34</v>
      </c>
      <c r="H1309" s="52" t="str">
        <f>VLOOKUP(Tabla3[[#This Row],[Site]],'Important Info!'!$A$1:$J$135,10,FALSE)</f>
        <v>https://tools.sig.systems/site/details/274</v>
      </c>
      <c r="I1309" s="43" t="s">
        <v>146</v>
      </c>
      <c r="J1309" t="s">
        <v>41</v>
      </c>
      <c r="K1309" s="79" t="str">
        <f>VLOOKUP(Tabla3[[#This Row],[Site]],'Important Info!'!$A$1:$H$135,8,FALSE)</f>
        <v>-</v>
      </c>
      <c r="L1309" s="52" t="str">
        <f>VLOOKUP(Tabla3[[#This Row],[Site]],'Important Info!'!$A$1:$F$135,2,FALSE)</f>
        <v>-</v>
      </c>
      <c r="M1309" s="52" t="str">
        <f>VLOOKUP(Tabla3[[#This Row],[Site]],'Important Info!'!$A$1:$F$135,3,FALSE)</f>
        <v>1, 11, 18</v>
      </c>
      <c r="N1309" s="52" t="str">
        <f>VLOOKUP(Tabla3[[#This Row],[Site]],'Important Info!'!$A$1:$F$135,4,FALSE)</f>
        <v>-</v>
      </c>
      <c r="O1309" s="52">
        <f>VLOOKUP(Tabla3[[#This Row],[Site]],'Important Info!'!$A$1:$F$135,5,FALSE)</f>
        <v>17</v>
      </c>
      <c r="P1309" s="52" t="str">
        <f>VLOOKUP(Tabla3[[#This Row],[Site]],'Important Info!'!$A$1:$F$135,6,FALSE)</f>
        <v>-</v>
      </c>
      <c r="Q1309" s="91">
        <f>VLOOKUP(Tabla3[[#This Row],[Site]],'Important Info!'!$A$1:$J$135,9,FALSE)</f>
        <v>274</v>
      </c>
    </row>
    <row r="1310" spans="1:17" x14ac:dyDescent="0.25">
      <c r="A1310" t="str">
        <f>+Tabla3[[#This Row],[Site]]&amp;Tabla3[[#This Row],[Split]]</f>
        <v>(ML) Nissan of Little Rock15</v>
      </c>
      <c r="B1310">
        <v>15</v>
      </c>
      <c r="C1310">
        <v>4</v>
      </c>
      <c r="D1310" t="s">
        <v>33</v>
      </c>
      <c r="E1310" t="s">
        <v>46</v>
      </c>
      <c r="F1310" t="s">
        <v>152</v>
      </c>
      <c r="G1310" t="s">
        <v>34</v>
      </c>
      <c r="H1310" s="52" t="str">
        <f>VLOOKUP(Tabla3[[#This Row],[Site]],'Important Info!'!$A$1:$J$135,10,FALSE)</f>
        <v>https://tools.sig.systems/site/details/224</v>
      </c>
      <c r="I1310" t="s">
        <v>140</v>
      </c>
      <c r="J1310" t="s">
        <v>41</v>
      </c>
      <c r="K1310" s="79" t="str">
        <f>VLOOKUP(Tabla3[[#This Row],[Site]],'Important Info!'!$A$1:$H$135,8,FALSE)</f>
        <v>-</v>
      </c>
      <c r="L1310" s="52" t="str">
        <f>VLOOKUP(Tabla3[[#This Row],[Site]],'Important Info!'!$A$1:$F$135,2,FALSE)</f>
        <v>3, 6</v>
      </c>
      <c r="M1310" s="52" t="str">
        <f>VLOOKUP(Tabla3[[#This Row],[Site]],'Important Info!'!$A$1:$F$135,3,FALSE)</f>
        <v>-</v>
      </c>
      <c r="N1310" s="52" t="str">
        <f>VLOOKUP(Tabla3[[#This Row],[Site]],'Important Info!'!$A$1:$F$135,4,FALSE)</f>
        <v>-</v>
      </c>
      <c r="O1310" s="52" t="str">
        <f>VLOOKUP(Tabla3[[#This Row],[Site]],'Important Info!'!$A$1:$F$135,5,FALSE)</f>
        <v>1, 8, 16, 22</v>
      </c>
      <c r="P1310" s="52" t="str">
        <f>VLOOKUP(Tabla3[[#This Row],[Site]],'Important Info!'!$A$1:$F$135,6,FALSE)</f>
        <v>3, 4</v>
      </c>
      <c r="Q1310" s="91">
        <f>VLOOKUP(Tabla3[[#This Row],[Site]],'Important Info!'!$A$1:$J$135,9,FALSE)</f>
        <v>224</v>
      </c>
    </row>
    <row r="1311" spans="1:17" x14ac:dyDescent="0.25">
      <c r="A1311" t="str">
        <f>+Tabla3[[#This Row],[Site]]&amp;Tabla3[[#This Row],[Split]]</f>
        <v>(PE) BMW of Greenwich (NO TOURS)15</v>
      </c>
      <c r="B1311">
        <v>15</v>
      </c>
      <c r="C1311">
        <v>4</v>
      </c>
      <c r="D1311" t="s">
        <v>485</v>
      </c>
      <c r="E1311" t="s">
        <v>35</v>
      </c>
      <c r="F1311" t="s">
        <v>170</v>
      </c>
      <c r="G1311" t="s">
        <v>490</v>
      </c>
      <c r="H1311" s="52" t="str">
        <f>VLOOKUP(Tabla3[[#This Row],[Site]],'Important Info!'!$A$1:$J$135,10,FALSE)</f>
        <v>https://tools.sig.systems/site/details/186</v>
      </c>
      <c r="I1311" s="2" t="s">
        <v>171</v>
      </c>
      <c r="J1311" t="s">
        <v>41</v>
      </c>
      <c r="K1311" s="79" t="str">
        <f>VLOOKUP(Tabla3[[#This Row],[Site]],'Important Info!'!$A$1:$H$135,8,FALSE)</f>
        <v>-</v>
      </c>
      <c r="L1311" s="52" t="str">
        <f>VLOOKUP(Tabla3[[#This Row],[Site]],'Important Info!'!$A$1:$F$135,2,FALSE)</f>
        <v>1, 6, 15</v>
      </c>
      <c r="M1311" s="52" t="str">
        <f>VLOOKUP(Tabla3[[#This Row],[Site]],'Important Info!'!$A$1:$F$135,3,FALSE)</f>
        <v>-</v>
      </c>
      <c r="N1311" s="52" t="str">
        <f>VLOOKUP(Tabla3[[#This Row],[Site]],'Important Info!'!$A$1:$F$135,4,FALSE)</f>
        <v>-</v>
      </c>
      <c r="O1311" s="52" t="str">
        <f>VLOOKUP(Tabla3[[#This Row],[Site]],'Important Info!'!$A$1:$F$135,5,FALSE)</f>
        <v>-</v>
      </c>
      <c r="P1311" s="52">
        <f>VLOOKUP(Tabla3[[#This Row],[Site]],'Important Info!'!$A$1:$F$135,6,FALSE)</f>
        <v>12</v>
      </c>
      <c r="Q1311" s="91">
        <f>VLOOKUP(Tabla3[[#This Row],[Site]],'Important Info!'!$A$1:$J$135,9,FALSE)</f>
        <v>186</v>
      </c>
    </row>
    <row r="1312" spans="1:17" x14ac:dyDescent="0.25">
      <c r="A1312" t="str">
        <f>+Tabla3[[#This Row],[Site]]&amp;Tabla3[[#This Row],[Split]]</f>
        <v>(AS) Mercedes Benz/Porsche Dallas I,II,III (NO TOURS)15</v>
      </c>
      <c r="B1312">
        <v>15</v>
      </c>
      <c r="C1312">
        <v>5</v>
      </c>
      <c r="D1312" t="s">
        <v>33</v>
      </c>
      <c r="E1312" t="s">
        <v>46</v>
      </c>
      <c r="F1312" t="s">
        <v>509</v>
      </c>
      <c r="G1312" t="s">
        <v>34</v>
      </c>
      <c r="H1312" s="52" t="str">
        <f>VLOOKUP(Tabla3[[#This Row],[Site]],'Important Info!'!$A$1:$J$135,10,FALSE)</f>
        <v>https://tools.sig.systems/site/details/168</v>
      </c>
      <c r="I1312" s="65" t="s">
        <v>125</v>
      </c>
      <c r="J1312" t="s">
        <v>41</v>
      </c>
      <c r="K1312" s="79" t="str">
        <f>VLOOKUP(Tabla3[[#This Row],[Site]],'Important Info!'!$A$1:$H$135,8,FALSE)</f>
        <v>-</v>
      </c>
      <c r="L1312" s="52" t="str">
        <f>VLOOKUP(Tabla3[[#This Row],[Site]],'Important Info!'!$A$1:$F$135,2,FALSE)</f>
        <v>3, 4, 17, 26, 41</v>
      </c>
      <c r="M1312" s="52" t="str">
        <f>VLOOKUP(Tabla3[[#This Row],[Site]],'Important Info!'!$A$1:$F$135,3,FALSE)</f>
        <v>-</v>
      </c>
      <c r="N1312" s="52" t="str">
        <f>VLOOKUP(Tabla3[[#This Row],[Site]],'Important Info!'!$A$1:$F$135,4,FALSE)</f>
        <v>153, 154, 155, 156, 157, 158</v>
      </c>
      <c r="O1312" s="52" t="str">
        <f>VLOOKUP(Tabla3[[#This Row],[Site]],'Important Info!'!$A$1:$F$135,5,FALSE)</f>
        <v>2, 6, 10, 20, 28, 30, 36</v>
      </c>
      <c r="P1312" s="52" t="str">
        <f>VLOOKUP(Tabla3[[#This Row],[Site]],'Important Info!'!$A$1:$F$135,6,FALSE)</f>
        <v>31, 41, 159</v>
      </c>
      <c r="Q1312" s="91">
        <f>VLOOKUP(Tabla3[[#This Row],[Site]],'Important Info!'!$A$1:$J$135,9,FALSE)</f>
        <v>168</v>
      </c>
    </row>
    <row r="1313" spans="1:17" x14ac:dyDescent="0.25">
      <c r="A1313" t="str">
        <f>+Tabla3[[#This Row],[Site]]&amp;Tabla3[[#This Row],[Split]]</f>
        <v>(HUD) Honda Greensboro15</v>
      </c>
      <c r="B1313">
        <v>15</v>
      </c>
      <c r="C1313">
        <v>5</v>
      </c>
      <c r="D1313" t="s">
        <v>62</v>
      </c>
      <c r="E1313" t="s">
        <v>35</v>
      </c>
      <c r="F1313" t="s">
        <v>85</v>
      </c>
      <c r="G1313" t="s">
        <v>490</v>
      </c>
      <c r="H1313" s="52" t="str">
        <f>VLOOKUP(Tabla3[[#This Row],[Site]],'Important Info!'!$A$1:$J$135,10,FALSE)</f>
        <v>https://tools.sig.systems/site/details/230</v>
      </c>
      <c r="I1313" t="s">
        <v>186</v>
      </c>
      <c r="J1313" t="s">
        <v>41</v>
      </c>
      <c r="K1313" s="79" t="str">
        <f>VLOOKUP(Tabla3[[#This Row],[Site]],'Important Info!'!$A$1:$H$135,8,FALSE)</f>
        <v>-</v>
      </c>
      <c r="L1313" s="52" t="str">
        <f>VLOOKUP(Tabla3[[#This Row],[Site]],'Important Info!'!$A$1:$F$135,2,FALSE)</f>
        <v>1, 3,  15, 16, 22</v>
      </c>
      <c r="M1313" s="52" t="str">
        <f>VLOOKUP(Tabla3[[#This Row],[Site]],'Important Info!'!$A$1:$F$135,3,FALSE)</f>
        <v>-</v>
      </c>
      <c r="N1313" s="52" t="str">
        <f>VLOOKUP(Tabla3[[#This Row],[Site]],'Important Info!'!$A$1:$F$135,4,FALSE)</f>
        <v>-</v>
      </c>
      <c r="O1313" s="52" t="str">
        <f>VLOOKUP(Tabla3[[#This Row],[Site]],'Important Info!'!$A$1:$F$135,5,FALSE)</f>
        <v>3, 20</v>
      </c>
      <c r="P1313" s="52">
        <f>VLOOKUP(Tabla3[[#This Row],[Site]],'Important Info!'!$A$1:$F$135,6,FALSE)</f>
        <v>26</v>
      </c>
      <c r="Q1313" s="91">
        <f>VLOOKUP(Tabla3[[#This Row],[Site]],'Important Info!'!$A$1:$J$135,9,FALSE)</f>
        <v>230</v>
      </c>
    </row>
    <row r="1314" spans="1:17" x14ac:dyDescent="0.25">
      <c r="A1314" t="str">
        <f>+Tabla3[[#This Row],[Site]]&amp;Tabla3[[#This Row],[Split]]</f>
        <v>(HUD) Honda of Southpoint15</v>
      </c>
      <c r="B1314">
        <v>15</v>
      </c>
      <c r="C1314">
        <v>5</v>
      </c>
      <c r="D1314" t="s">
        <v>62</v>
      </c>
      <c r="E1314" t="s">
        <v>35</v>
      </c>
      <c r="F1314" t="s">
        <v>65</v>
      </c>
      <c r="G1314" t="s">
        <v>490</v>
      </c>
      <c r="H1314" s="52" t="str">
        <f>VLOOKUP(Tabla3[[#This Row],[Site]],'Important Info!'!$A$1:$J$135,10,FALSE)</f>
        <v>https://tools.sig.systems/site/details/195</v>
      </c>
      <c r="I1314" s="43"/>
      <c r="J1314" t="s">
        <v>484</v>
      </c>
      <c r="K1314" s="79" t="str">
        <f>VLOOKUP(Tabla3[[#This Row],[Site]],'Important Info!'!$A$1:$H$135,8,FALSE)</f>
        <v>-</v>
      </c>
      <c r="L1314" s="52" t="str">
        <f>VLOOKUP(Tabla3[[#This Row],[Site]],'Important Info!'!$A$1:$F$135,2,FALSE)</f>
        <v>2, 12, 18</v>
      </c>
      <c r="M1314" s="52">
        <f>VLOOKUP(Tabla3[[#This Row],[Site]],'Important Info!'!$A$1:$F$135,3,FALSE)</f>
        <v>13</v>
      </c>
      <c r="N1314" s="52" t="str">
        <f>VLOOKUP(Tabla3[[#This Row],[Site]],'Important Info!'!$A$1:$F$135,4,FALSE)</f>
        <v>-</v>
      </c>
      <c r="O1314" s="52" t="str">
        <f>VLOOKUP(Tabla3[[#This Row],[Site]],'Important Info!'!$A$1:$F$135,5,FALSE)</f>
        <v>2, 15</v>
      </c>
      <c r="P1314" s="52" t="str">
        <f>VLOOKUP(Tabla3[[#This Row],[Site]],'Important Info!'!$A$1:$F$135,6,FALSE)</f>
        <v>-</v>
      </c>
      <c r="Q1314" s="91">
        <f>VLOOKUP(Tabla3[[#This Row],[Site]],'Important Info!'!$A$1:$J$135,9,FALSE)</f>
        <v>195</v>
      </c>
    </row>
    <row r="1315" spans="1:17" x14ac:dyDescent="0.25">
      <c r="A1315" t="str">
        <f>+Tabla3[[#This Row],[Site]]&amp;Tabla3[[#This Row],[Split]]</f>
        <v>(ML) BMW of Little Rock15</v>
      </c>
      <c r="B1315">
        <v>15</v>
      </c>
      <c r="C1315">
        <v>5</v>
      </c>
      <c r="D1315" t="s">
        <v>33</v>
      </c>
      <c r="E1315" t="s">
        <v>46</v>
      </c>
      <c r="F1315" t="s">
        <v>139</v>
      </c>
      <c r="G1315" t="s">
        <v>34</v>
      </c>
      <c r="H1315" s="52" t="str">
        <f>VLOOKUP(Tabla3[[#This Row],[Site]],'Important Info!'!$A$1:$J$135,10,FALSE)</f>
        <v>https://tools.sig.systems/site/details/217</v>
      </c>
      <c r="I1315" t="s">
        <v>140</v>
      </c>
      <c r="J1315" t="s">
        <v>41</v>
      </c>
      <c r="K1315" s="79" t="str">
        <f>VLOOKUP(Tabla3[[#This Row],[Site]],'Important Info!'!$A$1:$H$135,8,FALSE)</f>
        <v>-</v>
      </c>
      <c r="L1315" s="52" t="str">
        <f>VLOOKUP(Tabla3[[#This Row],[Site]],'Important Info!'!$A$1:$F$135,2,FALSE)</f>
        <v>-</v>
      </c>
      <c r="M1315" s="52">
        <f>VLOOKUP(Tabla3[[#This Row],[Site]],'Important Info!'!$A$1:$F$135,3,FALSE)</f>
        <v>14</v>
      </c>
      <c r="N1315" s="52" t="str">
        <f>VLOOKUP(Tabla3[[#This Row],[Site]],'Important Info!'!$A$1:$F$135,4,FALSE)</f>
        <v>-</v>
      </c>
      <c r="O1315" s="52" t="str">
        <f>VLOOKUP(Tabla3[[#This Row],[Site]],'Important Info!'!$A$1:$F$135,5,FALSE)</f>
        <v>-</v>
      </c>
      <c r="P1315" s="52" t="str">
        <f>VLOOKUP(Tabla3[[#This Row],[Site]],'Important Info!'!$A$1:$F$135,6,FALSE)</f>
        <v>5, 6, 7, 8, 9, 32</v>
      </c>
      <c r="Q1315" s="91">
        <f>VLOOKUP(Tabla3[[#This Row],[Site]],'Important Info!'!$A$1:$J$135,9,FALSE)</f>
        <v>217</v>
      </c>
    </row>
    <row r="1316" spans="1:17" x14ac:dyDescent="0.25">
      <c r="A1316" t="str">
        <f>+Tabla3[[#This Row],[Site]]&amp;Tabla3[[#This Row],[Split]]</f>
        <v>(ML) Joe Machens Toyota15</v>
      </c>
      <c r="B1316">
        <v>15</v>
      </c>
      <c r="C1316">
        <v>5</v>
      </c>
      <c r="D1316" t="s">
        <v>33</v>
      </c>
      <c r="E1316" t="s">
        <v>46</v>
      </c>
      <c r="F1316" t="s">
        <v>73</v>
      </c>
      <c r="G1316" t="s">
        <v>34</v>
      </c>
      <c r="H1316" s="52" t="str">
        <f>VLOOKUP(Tabla3[[#This Row],[Site]],'Important Info!'!$A$1:$J$135,10,FALSE)</f>
        <v>https://tools.sig.systems/site/details/275</v>
      </c>
      <c r="I1316" s="2" t="s">
        <v>146</v>
      </c>
      <c r="J1316" t="s">
        <v>41</v>
      </c>
      <c r="K1316" s="79" t="str">
        <f>VLOOKUP(Tabla3[[#This Row],[Site]],'Important Info!'!$A$1:$H$135,8,FALSE)</f>
        <v>-</v>
      </c>
      <c r="L1316" s="52" t="str">
        <f>VLOOKUP(Tabla3[[#This Row],[Site]],'Important Info!'!$A$1:$F$135,2,FALSE)</f>
        <v>-</v>
      </c>
      <c r="M1316" s="52" t="str">
        <f>VLOOKUP(Tabla3[[#This Row],[Site]],'Important Info!'!$A$1:$F$135,3,FALSE)</f>
        <v>1, 4, 6</v>
      </c>
      <c r="N1316" s="52" t="str">
        <f>VLOOKUP(Tabla3[[#This Row],[Site]],'Important Info!'!$A$1:$F$135,4,FALSE)</f>
        <v>-</v>
      </c>
      <c r="O1316" s="52" t="str">
        <f>VLOOKUP(Tabla3[[#This Row],[Site]],'Important Info!'!$A$1:$F$135,5,FALSE)</f>
        <v>4, 10</v>
      </c>
      <c r="P1316" s="52" t="str">
        <f>VLOOKUP(Tabla3[[#This Row],[Site]],'Important Info!'!$A$1:$F$135,6,FALSE)</f>
        <v>-</v>
      </c>
      <c r="Q1316" s="91">
        <f>VLOOKUP(Tabla3[[#This Row],[Site]],'Important Info!'!$A$1:$J$135,9,FALSE)</f>
        <v>275</v>
      </c>
    </row>
    <row r="1317" spans="1:17" x14ac:dyDescent="0.25">
      <c r="A1317" t="str">
        <f>+Tabla3[[#This Row],[Site]]&amp;Tabla3[[#This Row],[Split]]</f>
        <v>(PE) JLR PDI (NO TOURS)15</v>
      </c>
      <c r="B1317">
        <v>15</v>
      </c>
      <c r="C1317">
        <v>5</v>
      </c>
      <c r="D1317" t="s">
        <v>485</v>
      </c>
      <c r="E1317" t="s">
        <v>35</v>
      </c>
      <c r="F1317" t="s">
        <v>114</v>
      </c>
      <c r="G1317" t="s">
        <v>490</v>
      </c>
      <c r="H1317" s="52" t="str">
        <f>VLOOKUP(Tabla3[[#This Row],[Site]],'Important Info!'!$A$1:$J$135,10,FALSE)</f>
        <v>https://tools.sig.systems/site/details/179</v>
      </c>
      <c r="I1317" t="s">
        <v>176</v>
      </c>
      <c r="J1317" t="s">
        <v>41</v>
      </c>
      <c r="K1317" s="79" t="str">
        <f>VLOOKUP(Tabla3[[#This Row],[Site]],'Important Info!'!$A$1:$H$135,8,FALSE)</f>
        <v>-</v>
      </c>
      <c r="L1317" s="52" t="str">
        <f>VLOOKUP(Tabla3[[#This Row],[Site]],'Important Info!'!$A$1:$F$135,2,FALSE)</f>
        <v>3, 8</v>
      </c>
      <c r="M1317" s="52" t="str">
        <f>VLOOKUP(Tabla3[[#This Row],[Site]],'Important Info!'!$A$1:$F$135,3,FALSE)</f>
        <v>-</v>
      </c>
      <c r="N1317" s="52" t="str">
        <f>VLOOKUP(Tabla3[[#This Row],[Site]],'Important Info!'!$A$1:$F$135,4,FALSE)</f>
        <v>-</v>
      </c>
      <c r="O1317" s="52" t="str">
        <f>VLOOKUP(Tabla3[[#This Row],[Site]],'Important Info!'!$A$1:$F$135,5,FALSE)</f>
        <v>-</v>
      </c>
      <c r="P1317" s="52" t="str">
        <f>VLOOKUP(Tabla3[[#This Row],[Site]],'Important Info!'!$A$1:$F$135,6,FALSE)</f>
        <v>-</v>
      </c>
      <c r="Q1317" s="91">
        <f>VLOOKUP(Tabla3[[#This Row],[Site]],'Important Info!'!$A$1:$J$135,9,FALSE)</f>
        <v>179</v>
      </c>
    </row>
    <row r="1318" spans="1:17" x14ac:dyDescent="0.25">
      <c r="A1318" t="str">
        <f>+Tabla3[[#This Row],[Site]]&amp;Tabla3[[#This Row],[Split]]</f>
        <v>(AS) Mike Shaw Subaru Greeley (NO TOURS)15</v>
      </c>
      <c r="B1318">
        <v>15</v>
      </c>
      <c r="C1318">
        <v>6</v>
      </c>
      <c r="D1318" t="s">
        <v>44</v>
      </c>
      <c r="E1318" t="s">
        <v>53</v>
      </c>
      <c r="F1318" t="s">
        <v>95</v>
      </c>
      <c r="G1318" t="s">
        <v>45</v>
      </c>
      <c r="H1318" s="52" t="str">
        <f>VLOOKUP(Tabla3[[#This Row],[Site]],'Important Info!'!$A$1:$J$135,10,FALSE)</f>
        <v>https://tools.sig.systems/site/details/174</v>
      </c>
      <c r="I1318" s="2" t="s">
        <v>153</v>
      </c>
      <c r="J1318" t="s">
        <v>41</v>
      </c>
      <c r="K1318" s="79" t="str">
        <f>VLOOKUP(Tabla3[[#This Row],[Site]],'Important Info!'!$A$1:$H$135,8,FALSE)</f>
        <v>-</v>
      </c>
      <c r="L1318" s="52" t="str">
        <f>VLOOKUP(Tabla3[[#This Row],[Site]],'Important Info!'!$A$1:$F$135,2,FALSE)</f>
        <v>16, 17</v>
      </c>
      <c r="M1318" s="52">
        <f>VLOOKUP(Tabla3[[#This Row],[Site]],'Important Info!'!$A$1:$F$135,3,FALSE)</f>
        <v>10</v>
      </c>
      <c r="N1318" s="52" t="str">
        <f>VLOOKUP(Tabla3[[#This Row],[Site]],'Important Info!'!$A$1:$F$135,4,FALSE)</f>
        <v>-</v>
      </c>
      <c r="O1318" s="52" t="str">
        <f>VLOOKUP(Tabla3[[#This Row],[Site]],'Important Info!'!$A$1:$F$135,5,FALSE)</f>
        <v>1, 7</v>
      </c>
      <c r="P1318" s="52" t="str">
        <f>VLOOKUP(Tabla3[[#This Row],[Site]],'Important Info!'!$A$1:$F$135,6,FALSE)</f>
        <v>-</v>
      </c>
      <c r="Q1318" s="91">
        <f>VLOOKUP(Tabla3[[#This Row],[Site]],'Important Info!'!$A$1:$J$135,9,FALSE)</f>
        <v>174</v>
      </c>
    </row>
    <row r="1319" spans="1:17" x14ac:dyDescent="0.25">
      <c r="A1319" t="str">
        <f>+Tabla3[[#This Row],[Site]]&amp;Tabla3[[#This Row],[Split]]</f>
        <v>(AS) Nalley Lexus &amp; Remote Lot Roswell (NO TOURS)15</v>
      </c>
      <c r="B1319">
        <v>15</v>
      </c>
      <c r="C1319">
        <v>6</v>
      </c>
      <c r="D1319" t="s">
        <v>60</v>
      </c>
      <c r="E1319" t="s">
        <v>35</v>
      </c>
      <c r="F1319" t="s">
        <v>511</v>
      </c>
      <c r="G1319" t="s">
        <v>41</v>
      </c>
      <c r="H1319" s="52" t="str">
        <f>VLOOKUP(Tabla3[[#This Row],[Site]],'Important Info!'!$A$1:$J$135,10,FALSE)</f>
        <v>https://tools.sig.systems/site/details/131</v>
      </c>
      <c r="I1319" s="43" t="s">
        <v>166</v>
      </c>
      <c r="J1319" t="s">
        <v>41</v>
      </c>
      <c r="K1319" s="79" t="str">
        <f>VLOOKUP(Tabla3[[#This Row],[Site]],'Important Info!'!$A$1:$H$135,8,FALSE)</f>
        <v>Dealership 11PM to 5AM (Mon to Fri). Sunday Drop Time 1PM</v>
      </c>
      <c r="L1319" s="52" t="str">
        <f>VLOOKUP(Tabla3[[#This Row],[Site]],'Important Info!'!$A$1:$F$135,2,FALSE)</f>
        <v>6, 13</v>
      </c>
      <c r="M1319" s="52">
        <f>VLOOKUP(Tabla3[[#This Row],[Site]],'Important Info!'!$A$1:$F$135,3,FALSE)</f>
        <v>4</v>
      </c>
      <c r="N1319" s="52">
        <f>VLOOKUP(Tabla3[[#This Row],[Site]],'Important Info!'!$A$1:$F$135,4,FALSE)</f>
        <v>1</v>
      </c>
      <c r="O1319" s="52" t="str">
        <f>VLOOKUP(Tabla3[[#This Row],[Site]],'Important Info!'!$A$1:$F$135,5,FALSE)</f>
        <v>1, 8, 19</v>
      </c>
      <c r="P1319" s="52" t="str">
        <f>VLOOKUP(Tabla3[[#This Row],[Site]],'Important Info!'!$A$1:$F$135,6,FALSE)</f>
        <v>4, 20</v>
      </c>
      <c r="Q1319" s="91">
        <f>VLOOKUP(Tabla3[[#This Row],[Site]],'Important Info!'!$A$1:$J$135,9,FALSE)</f>
        <v>131</v>
      </c>
    </row>
    <row r="1320" spans="1:17" x14ac:dyDescent="0.25">
      <c r="A1320" t="str">
        <f>+Tabla3[[#This Row],[Site]]&amp;Tabla3[[#This Row],[Split]]</f>
        <v>(AS) Park Place Sprinter Van Center (NO TOURS)15</v>
      </c>
      <c r="B1320">
        <v>15</v>
      </c>
      <c r="C1320">
        <v>6</v>
      </c>
      <c r="D1320" t="s">
        <v>33</v>
      </c>
      <c r="E1320" t="s">
        <v>46</v>
      </c>
      <c r="F1320" t="s">
        <v>520</v>
      </c>
      <c r="G1320" t="s">
        <v>34</v>
      </c>
      <c r="H1320" s="52" t="str">
        <f>VLOOKUP(Tabla3[[#This Row],[Site]],'Important Info!'!$A$1:$J$135,10,FALSE)</f>
        <v>https://tools.sig.systems/site/details/138</v>
      </c>
      <c r="I1320" s="65" t="s">
        <v>125</v>
      </c>
      <c r="J1320" t="s">
        <v>41</v>
      </c>
      <c r="K1320" s="79" t="str">
        <f>VLOOKUP(Tabla3[[#This Row],[Site]],'Important Info!'!$A$1:$H$135,8,FALSE)</f>
        <v>-</v>
      </c>
      <c r="L1320" s="52">
        <f>VLOOKUP(Tabla3[[#This Row],[Site]],'Important Info!'!$A$1:$F$135,2,FALSE)</f>
        <v>1</v>
      </c>
      <c r="M1320" s="52" t="str">
        <f>VLOOKUP(Tabla3[[#This Row],[Site]],'Important Info!'!$A$1:$F$135,3,FALSE)</f>
        <v>-</v>
      </c>
      <c r="N1320" s="52" t="str">
        <f>VLOOKUP(Tabla3[[#This Row],[Site]],'Important Info!'!$A$1:$F$135,4,FALSE)</f>
        <v>-</v>
      </c>
      <c r="O1320" s="52" t="str">
        <f>VLOOKUP(Tabla3[[#This Row],[Site]],'Important Info!'!$A$1:$F$135,5,FALSE)</f>
        <v>-</v>
      </c>
      <c r="P1320" s="52" t="str">
        <f>VLOOKUP(Tabla3[[#This Row],[Site]],'Important Info!'!$A$1:$F$135,6,FALSE)</f>
        <v>1, 3</v>
      </c>
      <c r="Q1320" s="91">
        <f>VLOOKUP(Tabla3[[#This Row],[Site]],'Important Info!'!$A$1:$J$135,9,FALSE)</f>
        <v>138</v>
      </c>
    </row>
    <row r="1321" spans="1:17" x14ac:dyDescent="0.25">
      <c r="A1321" t="str">
        <f>+Tabla3[[#This Row],[Site]]&amp;Tabla3[[#This Row],[Split]]</f>
        <v>(AS) Stevinson Chevrolet Golden (NO TOURS)15</v>
      </c>
      <c r="B1321">
        <v>15</v>
      </c>
      <c r="C1321">
        <v>6</v>
      </c>
      <c r="D1321" t="s">
        <v>488</v>
      </c>
      <c r="E1321" t="s">
        <v>53</v>
      </c>
      <c r="F1321" t="s">
        <v>190</v>
      </c>
      <c r="G1321" t="s">
        <v>45</v>
      </c>
      <c r="H1321" s="52" t="str">
        <f>VLOOKUP(Tabla3[[#This Row],[Site]],'Important Info!'!$A$1:$J$135,10,FALSE)</f>
        <v>https://tools.sig.systems/site/details/264</v>
      </c>
      <c r="I1321" s="2" t="s">
        <v>154</v>
      </c>
      <c r="J1321" t="s">
        <v>41</v>
      </c>
      <c r="K1321" s="79" t="str">
        <f>VLOOKUP(Tabla3[[#This Row],[Site]],'Important Info!'!$A$1:$H$135,8,FALSE)</f>
        <v>-</v>
      </c>
      <c r="L1321" s="52" t="str">
        <f>VLOOKUP(Tabla3[[#This Row],[Site]],'Important Info!'!$A$1:$F$135,2,FALSE)</f>
        <v>-</v>
      </c>
      <c r="M1321" s="52" t="str">
        <f>VLOOKUP(Tabla3[[#This Row],[Site]],'Important Info!'!$A$1:$F$135,3,FALSE)</f>
        <v>1, 19</v>
      </c>
      <c r="N1321" s="52" t="str">
        <f>VLOOKUP(Tabla3[[#This Row],[Site]],'Important Info!'!$A$1:$F$135,4,FALSE)</f>
        <v>-</v>
      </c>
      <c r="O1321" s="52" t="str">
        <f>VLOOKUP(Tabla3[[#This Row],[Site]],'Important Info!'!$A$1:$F$135,5,FALSE)</f>
        <v>14, 30</v>
      </c>
      <c r="P1321" s="52" t="str">
        <f>VLOOKUP(Tabla3[[#This Row],[Site]],'Important Info!'!$A$1:$F$135,6,FALSE)</f>
        <v>14, 33, 34, 35, 36</v>
      </c>
      <c r="Q1321" s="91">
        <f>VLOOKUP(Tabla3[[#This Row],[Site]],'Important Info!'!$A$1:$J$135,9,FALSE)</f>
        <v>264</v>
      </c>
    </row>
    <row r="1322" spans="1:17" x14ac:dyDescent="0.25">
      <c r="A1322" t="str">
        <f>+Tabla3[[#This Row],[Site]]&amp;Tabla3[[#This Row],[Split]]</f>
        <v>(HUD) Paint and Body Center (NO TOURS)15</v>
      </c>
      <c r="B1322">
        <v>15</v>
      </c>
      <c r="C1322">
        <v>6</v>
      </c>
      <c r="D1322" t="s">
        <v>62</v>
      </c>
      <c r="E1322" t="s">
        <v>35</v>
      </c>
      <c r="F1322" t="s">
        <v>110</v>
      </c>
      <c r="G1322" t="s">
        <v>490</v>
      </c>
      <c r="H1322" s="52" t="str">
        <f>VLOOKUP(Tabla3[[#This Row],[Site]],'Important Info!'!$A$1:$J$135,10,FALSE)</f>
        <v>https://tools.sig.systems/site/details/256</v>
      </c>
      <c r="I1322" t="s">
        <v>184</v>
      </c>
      <c r="J1322" t="s">
        <v>41</v>
      </c>
      <c r="K1322" s="79" t="str">
        <f>VLOOKUP(Tabla3[[#This Row],[Site]],'Important Info!'!$A$1:$H$135,8,FALSE)</f>
        <v>-</v>
      </c>
      <c r="L1322" s="52" t="str">
        <f>VLOOKUP(Tabla3[[#This Row],[Site]],'Important Info!'!$A$1:$F$135,2,FALSE)</f>
        <v>-</v>
      </c>
      <c r="M1322" s="52">
        <f>VLOOKUP(Tabla3[[#This Row],[Site]],'Important Info!'!$A$1:$F$135,3,FALSE)</f>
        <v>1</v>
      </c>
      <c r="N1322" s="52" t="str">
        <f>VLOOKUP(Tabla3[[#This Row],[Site]],'Important Info!'!$A$1:$F$135,4,FALSE)</f>
        <v>-</v>
      </c>
      <c r="O1322" s="52" t="str">
        <f>VLOOKUP(Tabla3[[#This Row],[Site]],'Important Info!'!$A$1:$F$135,5,FALSE)</f>
        <v>-</v>
      </c>
      <c r="P1322" s="52" t="str">
        <f>VLOOKUP(Tabla3[[#This Row],[Site]],'Important Info!'!$A$1:$F$135,6,FALSE)</f>
        <v>-</v>
      </c>
      <c r="Q1322" s="91">
        <f>VLOOKUP(Tabla3[[#This Row],[Site]],'Important Info!'!$A$1:$J$135,9,FALSE)</f>
        <v>256</v>
      </c>
    </row>
    <row r="1323" spans="1:17" x14ac:dyDescent="0.25">
      <c r="A1323" t="str">
        <f>+Tabla3[[#This Row],[Site]]&amp;Tabla3[[#This Row],[Split]]</f>
        <v>(KG) Truck Center Remote Storage Lot15</v>
      </c>
      <c r="B1323">
        <v>15</v>
      </c>
      <c r="C1323">
        <v>6</v>
      </c>
      <c r="D1323" t="s">
        <v>60</v>
      </c>
      <c r="E1323" t="s">
        <v>53</v>
      </c>
      <c r="F1323" t="s">
        <v>61</v>
      </c>
      <c r="G1323" t="s">
        <v>41</v>
      </c>
      <c r="H1323" s="52" t="str">
        <f>VLOOKUP(Tabla3[[#This Row],[Site]],'Important Info!'!$A$1:$J$135,10,FALSE)</f>
        <v>https://tools.sig.systems/site/details/144</v>
      </c>
      <c r="I1323" s="43"/>
      <c r="J1323" t="s">
        <v>41</v>
      </c>
      <c r="K1323" s="79" t="str">
        <f>VLOOKUP(Tabla3[[#This Row],[Site]],'Important Info!'!$A$1:$H$135,8,FALSE)</f>
        <v>-</v>
      </c>
      <c r="L1323" s="52" t="str">
        <f>VLOOKUP(Tabla3[[#This Row],[Site]],'Important Info!'!$A$1:$F$135,2,FALSE)</f>
        <v>4, A23, A49</v>
      </c>
      <c r="M1323" s="52" t="str">
        <f>VLOOKUP(Tabla3[[#This Row],[Site]],'Important Info!'!$A$1:$F$135,3,FALSE)</f>
        <v>5, 24</v>
      </c>
      <c r="N1323" s="52" t="str">
        <f>VLOOKUP(Tabla3[[#This Row],[Site]],'Important Info!'!$A$1:$F$135,4,FALSE)</f>
        <v>-</v>
      </c>
      <c r="O1323" s="52" t="str">
        <f>VLOOKUP(Tabla3[[#This Row],[Site]],'Important Info!'!$A$1:$F$135,5,FALSE)</f>
        <v>1, 7, 11, 15, 19, 24, 25</v>
      </c>
      <c r="P1323" s="52" t="str">
        <f>VLOOKUP(Tabla3[[#This Row],[Site]],'Important Info!'!$A$1:$F$135,6,FALSE)</f>
        <v>9, 20, 24, A49</v>
      </c>
      <c r="Q1323" s="91">
        <f>VLOOKUP(Tabla3[[#This Row],[Site]],'Important Info!'!$A$1:$J$135,9,FALSE)</f>
        <v>144</v>
      </c>
    </row>
    <row r="1324" spans="1:17" x14ac:dyDescent="0.25">
      <c r="A1324" t="str">
        <f>+Tabla3[[#This Row],[Site]]&amp;Tabla3[[#This Row],[Split]]</f>
        <v>(ML) Joe Machens E Collision Center15</v>
      </c>
      <c r="B1324">
        <v>15</v>
      </c>
      <c r="C1324">
        <v>6</v>
      </c>
      <c r="D1324" t="s">
        <v>33</v>
      </c>
      <c r="E1324" t="s">
        <v>46</v>
      </c>
      <c r="F1324" t="s">
        <v>147</v>
      </c>
      <c r="G1324" t="s">
        <v>34</v>
      </c>
      <c r="H1324" s="52" t="str">
        <f>VLOOKUP(Tabla3[[#This Row],[Site]],'Important Info!'!$A$1:$J$135,10,FALSE)</f>
        <v>https://tools.sig.systems/site/details/277</v>
      </c>
      <c r="I1324" s="66" t="s">
        <v>146</v>
      </c>
      <c r="J1324" t="s">
        <v>41</v>
      </c>
      <c r="K1324" s="79" t="str">
        <f>VLOOKUP(Tabla3[[#This Row],[Site]],'Important Info!'!$A$1:$H$135,8,FALSE)</f>
        <v>-</v>
      </c>
      <c r="L1324" s="52">
        <f>VLOOKUP(Tabla3[[#This Row],[Site]],'Important Info!'!$A$1:$F$135,2,FALSE)</f>
        <v>1</v>
      </c>
      <c r="M1324" s="52" t="str">
        <f>VLOOKUP(Tabla3[[#This Row],[Site]],'Important Info!'!$A$1:$F$135,3,FALSE)</f>
        <v>-</v>
      </c>
      <c r="N1324" s="52" t="str">
        <f>VLOOKUP(Tabla3[[#This Row],[Site]],'Important Info!'!$A$1:$F$135,4,FALSE)</f>
        <v>-</v>
      </c>
      <c r="O1324" s="52">
        <f>VLOOKUP(Tabla3[[#This Row],[Site]],'Important Info!'!$A$1:$F$135,5,FALSE)</f>
        <v>5</v>
      </c>
      <c r="P1324" s="52" t="str">
        <f>VLOOKUP(Tabla3[[#This Row],[Site]],'Important Info!'!$A$1:$F$135,6,FALSE)</f>
        <v>1, 2, 3, 4</v>
      </c>
      <c r="Q1324" s="91">
        <f>VLOOKUP(Tabla3[[#This Row],[Site]],'Important Info!'!$A$1:$J$135,9,FALSE)</f>
        <v>277</v>
      </c>
    </row>
    <row r="1325" spans="1:17" x14ac:dyDescent="0.25">
      <c r="A1325" t="str">
        <f>+Tabla3[[#This Row],[Site]]&amp;Tabla3[[#This Row],[Split]]</f>
        <v>(ML) Nissan of North Little Rock15</v>
      </c>
      <c r="B1325">
        <v>15</v>
      </c>
      <c r="C1325">
        <v>6</v>
      </c>
      <c r="D1325" t="s">
        <v>33</v>
      </c>
      <c r="E1325" t="s">
        <v>46</v>
      </c>
      <c r="F1325" t="s">
        <v>75</v>
      </c>
      <c r="G1325" t="s">
        <v>34</v>
      </c>
      <c r="H1325" s="52" t="str">
        <f>VLOOKUP(Tabla3[[#This Row],[Site]],'Important Info!'!$A$1:$J$135,10,FALSE)</f>
        <v>https://tools.sig.systems/site/details/216</v>
      </c>
      <c r="I1325" s="43" t="s">
        <v>142</v>
      </c>
      <c r="J1325" t="s">
        <v>41</v>
      </c>
      <c r="K1325" s="79" t="str">
        <f>VLOOKUP(Tabla3[[#This Row],[Site]],'Important Info!'!$A$1:$H$135,8,FALSE)</f>
        <v>-</v>
      </c>
      <c r="L1325" s="52" t="str">
        <f>VLOOKUP(Tabla3[[#This Row],[Site]],'Important Info!'!$A$1:$F$135,2,FALSE)</f>
        <v>2, 4</v>
      </c>
      <c r="M1325" s="52" t="str">
        <f>VLOOKUP(Tabla3[[#This Row],[Site]],'Important Info!'!$A$1:$F$135,3,FALSE)</f>
        <v>-</v>
      </c>
      <c r="N1325" s="52" t="str">
        <f>VLOOKUP(Tabla3[[#This Row],[Site]],'Important Info!'!$A$1:$F$135,4,FALSE)</f>
        <v>-</v>
      </c>
      <c r="O1325" s="52" t="str">
        <f>VLOOKUP(Tabla3[[#This Row],[Site]],'Important Info!'!$A$1:$F$135,5,FALSE)</f>
        <v>5, 17, 23</v>
      </c>
      <c r="P1325" s="52">
        <f>VLOOKUP(Tabla3[[#This Row],[Site]],'Important Info!'!$A$1:$F$135,6,FALSE)</f>
        <v>18</v>
      </c>
      <c r="Q1325" s="91">
        <f>VLOOKUP(Tabla3[[#This Row],[Site]],'Important Info!'!$A$1:$J$135,9,FALSE)</f>
        <v>216</v>
      </c>
    </row>
    <row r="1326" spans="1:17" x14ac:dyDescent="0.25">
      <c r="A1326" t="str">
        <f>+Tabla3[[#This Row],[Site]]&amp;Tabla3[[#This Row],[Split]]</f>
        <v>(SCH) Prep Center Delray15</v>
      </c>
      <c r="B1326">
        <v>15</v>
      </c>
      <c r="C1326">
        <v>6</v>
      </c>
      <c r="D1326" t="s">
        <v>62</v>
      </c>
      <c r="E1326" t="s">
        <v>35</v>
      </c>
      <c r="F1326" t="s">
        <v>191</v>
      </c>
      <c r="G1326" t="s">
        <v>490</v>
      </c>
      <c r="H1326" s="52" t="str">
        <f>VLOOKUP(Tabla3[[#This Row],[Site]],'Important Info!'!$A$1:$J$135,10,FALSE)</f>
        <v>https://tools.sig.systems/site/details/321</v>
      </c>
      <c r="J1326" t="s">
        <v>41</v>
      </c>
      <c r="K1326" s="79" t="str">
        <f>VLOOKUP(Tabla3[[#This Row],[Site]],'Important Info!'!$A$1:$H$135,8,FALSE)</f>
        <v>-</v>
      </c>
      <c r="L1326" s="52" t="str">
        <f>VLOOKUP(Tabla3[[#This Row],[Site]],'Important Info!'!$A$1:$F$135,2,FALSE)</f>
        <v>2,3</v>
      </c>
      <c r="M1326" s="52" t="str">
        <f>VLOOKUP(Tabla3[[#This Row],[Site]],'Important Info!'!$A$1:$F$135,3,FALSE)</f>
        <v>-</v>
      </c>
      <c r="N1326" s="52" t="str">
        <f>VLOOKUP(Tabla3[[#This Row],[Site]],'Important Info!'!$A$1:$F$135,4,FALSE)</f>
        <v>-</v>
      </c>
      <c r="O1326" s="52" t="str">
        <f>VLOOKUP(Tabla3[[#This Row],[Site]],'Important Info!'!$A$1:$F$135,5,FALSE)</f>
        <v>-</v>
      </c>
      <c r="P1326" s="52" t="str">
        <f>VLOOKUP(Tabla3[[#This Row],[Site]],'Important Info!'!$A$1:$F$135,6,FALSE)</f>
        <v>2,4,10</v>
      </c>
      <c r="Q1326" s="91">
        <f>VLOOKUP(Tabla3[[#This Row],[Site]],'Important Info!'!$A$1:$J$135,9,FALSE)</f>
        <v>321</v>
      </c>
    </row>
    <row r="1327" spans="1:17" x14ac:dyDescent="0.25">
      <c r="A1327" t="str">
        <f>+Tabla3[[#This Row],[Site]]&amp;Tabla3[[#This Row],[Split]]</f>
        <v>(AS) Atwell Prep Center-Dallas (NO TOURS)15</v>
      </c>
      <c r="B1327">
        <v>15</v>
      </c>
      <c r="C1327">
        <v>7</v>
      </c>
      <c r="D1327" t="s">
        <v>33</v>
      </c>
      <c r="E1327" t="s">
        <v>46</v>
      </c>
      <c r="F1327" t="s">
        <v>498</v>
      </c>
      <c r="G1327" t="s">
        <v>34</v>
      </c>
      <c r="H1327" s="52" t="str">
        <f>VLOOKUP(Tabla3[[#This Row],[Site]],'Important Info!'!$A$1:$J$135,10,FALSE)</f>
        <v>https://tools.sig.systems/site/details/165</v>
      </c>
      <c r="I1327" s="65" t="s">
        <v>125</v>
      </c>
      <c r="J1327" t="s">
        <v>41</v>
      </c>
      <c r="K1327" s="79" t="str">
        <f>VLOOKUP(Tabla3[[#This Row],[Site]],'Important Info!'!$A$1:$H$135,8,FALSE)</f>
        <v>-</v>
      </c>
      <c r="L1327" s="52" t="str">
        <f>VLOOKUP(Tabla3[[#This Row],[Site]],'Important Info!'!$A$1:$F$135,2,FALSE)</f>
        <v>4, 6, 7</v>
      </c>
      <c r="M1327" s="52" t="str">
        <f>VLOOKUP(Tabla3[[#This Row],[Site]],'Important Info!'!$A$1:$F$135,3,FALSE)</f>
        <v>-</v>
      </c>
      <c r="N1327" s="52" t="str">
        <f>VLOOKUP(Tabla3[[#This Row],[Site]],'Important Info!'!$A$1:$F$135,4,FALSE)</f>
        <v>-</v>
      </c>
      <c r="O1327" s="52" t="str">
        <f>VLOOKUP(Tabla3[[#This Row],[Site]],'Important Info!'!$A$1:$F$135,5,FALSE)</f>
        <v>-</v>
      </c>
      <c r="P1327" s="52" t="str">
        <f>VLOOKUP(Tabla3[[#This Row],[Site]],'Important Info!'!$A$1:$F$135,6,FALSE)</f>
        <v>1, 2</v>
      </c>
      <c r="Q1327" s="91">
        <f>VLOOKUP(Tabla3[[#This Row],[Site]],'Important Info!'!$A$1:$J$135,9,FALSE)</f>
        <v>165</v>
      </c>
    </row>
    <row r="1328" spans="1:17" x14ac:dyDescent="0.25">
      <c r="A1328" t="str">
        <f>+Tabla3[[#This Row],[Site]]&amp;Tabla3[[#This Row],[Split]]</f>
        <v>(AS) Park Place Mercedes Benz Ft. Worth (NO TOURS)15</v>
      </c>
      <c r="B1328">
        <v>15</v>
      </c>
      <c r="C1328">
        <v>7</v>
      </c>
      <c r="D1328" t="s">
        <v>33</v>
      </c>
      <c r="E1328" t="s">
        <v>46</v>
      </c>
      <c r="F1328" t="s">
        <v>519</v>
      </c>
      <c r="G1328" t="s">
        <v>34</v>
      </c>
      <c r="H1328" s="52" t="str">
        <f>VLOOKUP(Tabla3[[#This Row],[Site]],'Important Info!'!$A$1:$J$135,10,FALSE)</f>
        <v>https://tools.sig.systems/site/details/137</v>
      </c>
      <c r="I1328" t="s">
        <v>128</v>
      </c>
      <c r="J1328" t="s">
        <v>41</v>
      </c>
      <c r="K1328" s="79" t="s">
        <v>37</v>
      </c>
      <c r="L1328" s="52" t="str">
        <f>VLOOKUP(Tabla3[[#This Row],[Site]],'Important Info!'!$A$1:$F$135,2,FALSE)</f>
        <v>4, 18</v>
      </c>
      <c r="M1328" s="52" t="str">
        <f>VLOOKUP(Tabla3[[#This Row],[Site]],'Important Info!'!$A$1:$F$135,3,FALSE)</f>
        <v>-</v>
      </c>
      <c r="N1328" s="52" t="str">
        <f>VLOOKUP(Tabla3[[#This Row],[Site]],'Important Info!'!$A$1:$F$135,4,FALSE)</f>
        <v>54, 55</v>
      </c>
      <c r="O1328" s="52" t="str">
        <f>VLOOKUP(Tabla3[[#This Row],[Site]],'Important Info!'!$A$1:$F$135,5,FALSE)</f>
        <v>2, 18</v>
      </c>
      <c r="P1328" s="52" t="str">
        <f>VLOOKUP(Tabla3[[#This Row],[Site]],'Important Info!'!$A$1:$F$135,6,FALSE)</f>
        <v>5, 18</v>
      </c>
      <c r="Q1328" s="91">
        <f>VLOOKUP(Tabla3[[#This Row],[Site]],'Important Info!'!$A$1:$J$135,9,FALSE)</f>
        <v>137</v>
      </c>
    </row>
    <row r="1329" spans="1:17" x14ac:dyDescent="0.25">
      <c r="A1329" t="str">
        <f>+Tabla3[[#This Row],[Site]]&amp;Tabla3[[#This Row],[Split]]</f>
        <v>(AS) Stevinson Toyota West (NO TOURS)15</v>
      </c>
      <c r="B1329">
        <v>15</v>
      </c>
      <c r="C1329">
        <v>7</v>
      </c>
      <c r="D1329" t="s">
        <v>44</v>
      </c>
      <c r="E1329" t="s">
        <v>53</v>
      </c>
      <c r="F1329" t="s">
        <v>79</v>
      </c>
      <c r="G1329" t="s">
        <v>45</v>
      </c>
      <c r="H1329" s="52" t="str">
        <f>VLOOKUP(Tabla3[[#This Row],[Site]],'Important Info!'!$A$1:$J$135,10,FALSE)</f>
        <v>https://tools.sig.systems/site/details/240</v>
      </c>
      <c r="I1329" s="66" t="s">
        <v>154</v>
      </c>
      <c r="J1329" t="s">
        <v>41</v>
      </c>
      <c r="K1329" s="79" t="str">
        <f>VLOOKUP(Tabla3[[#This Row],[Site]],'Important Info!'!$A$1:$H$135,8,FALSE)</f>
        <v>-</v>
      </c>
      <c r="L1329" s="52" t="str">
        <f>VLOOKUP(Tabla3[[#This Row],[Site]],'Important Info!'!$A$1:$F$135,2,FALSE)</f>
        <v>-</v>
      </c>
      <c r="M1329" s="52" t="str">
        <f>VLOOKUP(Tabla3[[#This Row],[Site]],'Important Info!'!$A$1:$F$135,3,FALSE)</f>
        <v>7, 18, 21</v>
      </c>
      <c r="N1329" s="52" t="str">
        <f>VLOOKUP(Tabla3[[#This Row],[Site]],'Important Info!'!$A$1:$F$135,4,FALSE)</f>
        <v>-</v>
      </c>
      <c r="O1329" s="52" t="str">
        <f>VLOOKUP(Tabla3[[#This Row],[Site]],'Important Info!'!$A$1:$F$135,5,FALSE)</f>
        <v>11, 24, 34</v>
      </c>
      <c r="P1329" s="52" t="str">
        <f>VLOOKUP(Tabla3[[#This Row],[Site]],'Important Info!'!$A$1:$F$135,6,FALSE)</f>
        <v>1, 2, 3, 12</v>
      </c>
      <c r="Q1329" s="91">
        <f>VLOOKUP(Tabla3[[#This Row],[Site]],'Important Info!'!$A$1:$J$135,9,FALSE)</f>
        <v>240</v>
      </c>
    </row>
    <row r="1330" spans="1:17" x14ac:dyDescent="0.25">
      <c r="A1330" t="str">
        <f>+Tabla3[[#This Row],[Site]]&amp;Tabla3[[#This Row],[Split]]</f>
        <v>(DT) Louisville15</v>
      </c>
      <c r="B1330">
        <v>15</v>
      </c>
      <c r="C1330">
        <v>7</v>
      </c>
      <c r="D1330" t="s">
        <v>62</v>
      </c>
      <c r="E1330" t="s">
        <v>35</v>
      </c>
      <c r="F1330" t="s">
        <v>99</v>
      </c>
      <c r="G1330" t="s">
        <v>490</v>
      </c>
      <c r="H1330" s="52" t="str">
        <f>VLOOKUP(Tabla3[[#This Row],[Site]],'Important Info!'!$A$1:$J$135,10,FALSE)</f>
        <v>https://tools.sig.systems/site/details/258</v>
      </c>
      <c r="J1330" t="s">
        <v>41</v>
      </c>
      <c r="K1330" s="79" t="str">
        <f>VLOOKUP(Tabla3[[#This Row],[Site]],'Important Info!'!$A$1:$H$135,8,FALSE)</f>
        <v>-</v>
      </c>
      <c r="L1330" s="52" t="str">
        <f>VLOOKUP(Tabla3[[#This Row],[Site]],'Important Info!'!$A$1:$F$135,2,FALSE)</f>
        <v>-</v>
      </c>
      <c r="M1330" s="52">
        <f>VLOOKUP(Tabla3[[#This Row],[Site]],'Important Info!'!$A$1:$F$135,3,FALSE)</f>
        <v>3</v>
      </c>
      <c r="N1330" s="52" t="str">
        <f>VLOOKUP(Tabla3[[#This Row],[Site]],'Important Info!'!$A$1:$F$135,4,FALSE)</f>
        <v>-</v>
      </c>
      <c r="O1330" s="52" t="str">
        <f>VLOOKUP(Tabla3[[#This Row],[Site]],'Important Info!'!$A$1:$F$135,5,FALSE)</f>
        <v>-</v>
      </c>
      <c r="P1330" s="52" t="str">
        <f>VLOOKUP(Tabla3[[#This Row],[Site]],'Important Info!'!$A$1:$F$135,6,FALSE)</f>
        <v>3, 8</v>
      </c>
      <c r="Q1330" s="91">
        <f>VLOOKUP(Tabla3[[#This Row],[Site]],'Important Info!'!$A$1:$J$135,9,FALSE)</f>
        <v>258</v>
      </c>
    </row>
    <row r="1331" spans="1:17" x14ac:dyDescent="0.25">
      <c r="A1331" t="str">
        <f>+Tabla3[[#This Row],[Site]]&amp;Tabla3[[#This Row],[Split]]</f>
        <v>(KG) Big Star Ford15</v>
      </c>
      <c r="B1331">
        <v>15</v>
      </c>
      <c r="C1331">
        <v>7</v>
      </c>
      <c r="D1331" t="s">
        <v>33</v>
      </c>
      <c r="E1331" t="s">
        <v>46</v>
      </c>
      <c r="F1331" t="s">
        <v>135</v>
      </c>
      <c r="G1331" t="s">
        <v>34</v>
      </c>
      <c r="H1331" s="52" t="str">
        <f>VLOOKUP(Tabla3[[#This Row],[Site]],'Important Info!'!$A$1:$J$135,10,FALSE)</f>
        <v>https://tools.sig.systems/site/details/235</v>
      </c>
      <c r="I1331" s="43"/>
      <c r="J1331" t="s">
        <v>41</v>
      </c>
      <c r="K1331" s="79" t="str">
        <f>VLOOKUP(Tabla3[[#This Row],[Site]],'Important Info!'!$A$1:$H$135,8,FALSE)</f>
        <v>-</v>
      </c>
      <c r="L1331" s="52" t="str">
        <f>VLOOKUP(Tabla3[[#This Row],[Site]],'Important Info!'!$A$1:$F$135,2,FALSE)</f>
        <v>4, 22, 32, 33</v>
      </c>
      <c r="M1331" s="52" t="str">
        <f>VLOOKUP(Tabla3[[#This Row],[Site]],'Important Info!'!$A$1:$F$135,3,FALSE)</f>
        <v>-</v>
      </c>
      <c r="N1331" s="52" t="str">
        <f>VLOOKUP(Tabla3[[#This Row],[Site]],'Important Info!'!$A$1:$F$135,4,FALSE)</f>
        <v>-</v>
      </c>
      <c r="O1331" s="52" t="str">
        <f>VLOOKUP(Tabla3[[#This Row],[Site]],'Important Info!'!$A$1:$F$135,5,FALSE)</f>
        <v>1, 5, 12, 21</v>
      </c>
      <c r="P1331" s="52">
        <f>VLOOKUP(Tabla3[[#This Row],[Site]],'Important Info!'!$A$1:$F$135,6,FALSE)</f>
        <v>22</v>
      </c>
      <c r="Q1331" s="91">
        <f>VLOOKUP(Tabla3[[#This Row],[Site]],'Important Info!'!$A$1:$J$135,9,FALSE)</f>
        <v>235</v>
      </c>
    </row>
    <row r="1332" spans="1:17" x14ac:dyDescent="0.25">
      <c r="A1332" t="str">
        <f>+Tabla3[[#This Row],[Site]]&amp;Tabla3[[#This Row],[Split]]</f>
        <v>(ML) Honda of Little Rock15</v>
      </c>
      <c r="B1332">
        <v>15</v>
      </c>
      <c r="C1332">
        <v>7</v>
      </c>
      <c r="D1332" t="s">
        <v>33</v>
      </c>
      <c r="E1332" t="s">
        <v>46</v>
      </c>
      <c r="F1332" t="s">
        <v>71</v>
      </c>
      <c r="G1332" t="s">
        <v>34</v>
      </c>
      <c r="H1332" s="52" t="str">
        <f>VLOOKUP(Tabla3[[#This Row],[Site]],'Important Info!'!$A$1:$J$135,10,FALSE)</f>
        <v>https://tools.sig.systems/site/details/249</v>
      </c>
      <c r="I1332" s="43" t="s">
        <v>140</v>
      </c>
      <c r="J1332" t="s">
        <v>41</v>
      </c>
      <c r="K1332" s="79" t="str">
        <f>VLOOKUP(Tabla3[[#This Row],[Site]],'Important Info!'!$A$1:$H$135,8,FALSE)</f>
        <v>-</v>
      </c>
      <c r="L1332" s="52" t="str">
        <f>VLOOKUP(Tabla3[[#This Row],[Site]],'Important Info!'!$A$1:$F$135,2,FALSE)</f>
        <v>1, 4, 9, 14, 21</v>
      </c>
      <c r="M1332" s="52" t="str">
        <f>VLOOKUP(Tabla3[[#This Row],[Site]],'Important Info!'!$A$1:$F$135,3,FALSE)</f>
        <v>-</v>
      </c>
      <c r="N1332" s="52" t="str">
        <f>VLOOKUP(Tabla3[[#This Row],[Site]],'Important Info!'!$A$1:$F$135,4,FALSE)</f>
        <v>-</v>
      </c>
      <c r="O1332" s="52" t="str">
        <f>VLOOKUP(Tabla3[[#This Row],[Site]],'Important Info!'!$A$1:$F$135,5,FALSE)</f>
        <v>4, 14, 21</v>
      </c>
      <c r="P1332" s="52" t="str">
        <f>VLOOKUP(Tabla3[[#This Row],[Site]],'Important Info!'!$A$1:$F$135,6,FALSE)</f>
        <v>11, 12</v>
      </c>
      <c r="Q1332" s="91">
        <f>VLOOKUP(Tabla3[[#This Row],[Site]],'Important Info!'!$A$1:$J$135,9,FALSE)</f>
        <v>249</v>
      </c>
    </row>
    <row r="1333" spans="1:17" x14ac:dyDescent="0.25">
      <c r="A1333" t="str">
        <f>+Tabla3[[#This Row],[Site]]&amp;Tabla3[[#This Row],[Split]]</f>
        <v>(ML) Joe Machens Temporary 2.015</v>
      </c>
      <c r="B1333">
        <v>15</v>
      </c>
      <c r="C1333">
        <v>7</v>
      </c>
      <c r="D1333" t="s">
        <v>33</v>
      </c>
      <c r="E1333" t="s">
        <v>46</v>
      </c>
      <c r="F1333" t="s">
        <v>105</v>
      </c>
      <c r="G1333" t="s">
        <v>34</v>
      </c>
      <c r="H1333" s="52" t="str">
        <f>VLOOKUP(Tabla3[[#This Row],[Site]],'Important Info!'!$A$1:$J$135,10,FALSE)</f>
        <v>https://tools.sig.systems/site/details/278</v>
      </c>
      <c r="I1333" s="2" t="s">
        <v>146</v>
      </c>
      <c r="J1333" t="s">
        <v>41</v>
      </c>
      <c r="K1333" s="79" t="str">
        <f>VLOOKUP(Tabla3[[#This Row],[Site]],'Important Info!'!$A$1:$H$135,8,FALSE)</f>
        <v>-</v>
      </c>
      <c r="L1333" s="52" t="str">
        <f>VLOOKUP(Tabla3[[#This Row],[Site]],'Important Info!'!$A$1:$F$135,2,FALSE)</f>
        <v>-</v>
      </c>
      <c r="M1333" s="52" t="str">
        <f>VLOOKUP(Tabla3[[#This Row],[Site]],'Important Info!'!$A$1:$F$135,3,FALSE)</f>
        <v>1, 11, 14, 15, 16</v>
      </c>
      <c r="N1333" s="52" t="str">
        <f>VLOOKUP(Tabla3[[#This Row],[Site]],'Important Info!'!$A$1:$F$135,4,FALSE)</f>
        <v>-</v>
      </c>
      <c r="O1333" s="52">
        <f>VLOOKUP(Tabla3[[#This Row],[Site]],'Important Info!'!$A$1:$F$135,5,FALSE)</f>
        <v>13</v>
      </c>
      <c r="P1333" s="52" t="str">
        <f>VLOOKUP(Tabla3[[#This Row],[Site]],'Important Info!'!$A$1:$F$135,6,FALSE)</f>
        <v>-</v>
      </c>
      <c r="Q1333" s="91">
        <f>VLOOKUP(Tabla3[[#This Row],[Site]],'Important Info!'!$A$1:$J$135,9,FALSE)</f>
        <v>278</v>
      </c>
    </row>
    <row r="1334" spans="1:17" x14ac:dyDescent="0.25">
      <c r="A1334" t="str">
        <f>+Tabla3[[#This Row],[Site]]&amp;Tabla3[[#This Row],[Split]]</f>
        <v>(PE) BMW Tenafly (NO TOURS)15</v>
      </c>
      <c r="B1334">
        <v>15</v>
      </c>
      <c r="C1334">
        <v>7</v>
      </c>
      <c r="D1334" t="s">
        <v>485</v>
      </c>
      <c r="E1334" t="s">
        <v>35</v>
      </c>
      <c r="F1334" t="s">
        <v>173</v>
      </c>
      <c r="G1334" t="s">
        <v>490</v>
      </c>
      <c r="H1334" s="52" t="str">
        <f>VLOOKUP(Tabla3[[#This Row],[Site]],'Important Info!'!$A$1:$J$135,10,FALSE)</f>
        <v>https://tools.sig.systems/site/details/155</v>
      </c>
      <c r="I1334" s="2"/>
      <c r="J1334" t="s">
        <v>41</v>
      </c>
      <c r="K1334" s="79" t="str">
        <f>VLOOKUP(Tabla3[[#This Row],[Site]],'Important Info!'!$A$1:$H$135,8,FALSE)</f>
        <v>-</v>
      </c>
      <c r="L1334" s="52">
        <f>VLOOKUP(Tabla3[[#This Row],[Site]],'Important Info!'!$A$1:$F$135,2,FALSE)</f>
        <v>24</v>
      </c>
      <c r="M1334" s="52" t="str">
        <f>VLOOKUP(Tabla3[[#This Row],[Site]],'Important Info!'!$A$1:$F$135,3,FALSE)</f>
        <v>1, 3, 4, 17, 23</v>
      </c>
      <c r="N1334" s="52" t="str">
        <f>VLOOKUP(Tabla3[[#This Row],[Site]],'Important Info!'!$A$1:$F$135,4,FALSE)</f>
        <v>-</v>
      </c>
      <c r="O1334" s="52" t="str">
        <f>VLOOKUP(Tabla3[[#This Row],[Site]],'Important Info!'!$A$1:$F$135,5,FALSE)</f>
        <v>-</v>
      </c>
      <c r="P1334" s="52">
        <f>VLOOKUP(Tabla3[[#This Row],[Site]],'Important Info!'!$A$1:$F$135,6,FALSE)</f>
        <v>1</v>
      </c>
      <c r="Q1334" s="91">
        <f>VLOOKUP(Tabla3[[#This Row],[Site]],'Important Info!'!$A$1:$J$135,9,FALSE)</f>
        <v>155</v>
      </c>
    </row>
    <row r="1335" spans="1:17" x14ac:dyDescent="0.25">
      <c r="A1335" t="str">
        <f>+Tabla3[[#This Row],[Site]]&amp;Tabla3[[#This Row],[Split]]</f>
        <v>(SCH) Auto Body Shop Lake Park15</v>
      </c>
      <c r="B1335">
        <v>15</v>
      </c>
      <c r="C1335">
        <v>7</v>
      </c>
      <c r="D1335" t="s">
        <v>62</v>
      </c>
      <c r="E1335" t="s">
        <v>35</v>
      </c>
      <c r="F1335" t="s">
        <v>189</v>
      </c>
      <c r="G1335" t="s">
        <v>490</v>
      </c>
      <c r="H1335" s="52" t="str">
        <f>VLOOKUP(Tabla3[[#This Row],[Site]],'Important Info!'!$A$1:$J$135,10,FALSE)</f>
        <v>https://tools.sig.systems/site/details/158</v>
      </c>
      <c r="I1335" s="43"/>
      <c r="J1335" t="s">
        <v>41</v>
      </c>
      <c r="K1335" s="79" t="str">
        <f>VLOOKUP(Tabla3[[#This Row],[Site]],'Important Info!'!$A$1:$H$135,8,FALSE)</f>
        <v>-</v>
      </c>
      <c r="L1335" s="52" t="str">
        <f>VLOOKUP(Tabla3[[#This Row],[Site]],'Important Info!'!$A$1:$F$135,2,FALSE)</f>
        <v>3, 10</v>
      </c>
      <c r="M1335" s="52" t="str">
        <f>VLOOKUP(Tabla3[[#This Row],[Site]],'Important Info!'!$A$1:$F$135,3,FALSE)</f>
        <v>-</v>
      </c>
      <c r="N1335" s="52" t="str">
        <f>VLOOKUP(Tabla3[[#This Row],[Site]],'Important Info!'!$A$1:$F$135,4,FALSE)</f>
        <v>-</v>
      </c>
      <c r="O1335" s="52" t="str">
        <f>VLOOKUP(Tabla3[[#This Row],[Site]],'Important Info!'!$A$1:$F$135,5,FALSE)</f>
        <v>-</v>
      </c>
      <c r="P1335" s="52" t="str">
        <f>VLOOKUP(Tabla3[[#This Row],[Site]],'Important Info!'!$A$1:$F$135,6,FALSE)</f>
        <v>-</v>
      </c>
      <c r="Q1335" s="91">
        <f>VLOOKUP(Tabla3[[#This Row],[Site]],'Important Info!'!$A$1:$J$135,9,FALSE)</f>
        <v>158</v>
      </c>
    </row>
    <row r="1336" spans="1:17" x14ac:dyDescent="0.25">
      <c r="A1336" t="str">
        <f>+Tabla3[[#This Row],[Site]]&amp;Tabla3[[#This Row],[Split]]</f>
        <v>(AS) Courtesy Honda Palm Harbor (NO TOURS)15</v>
      </c>
      <c r="B1336">
        <v>15</v>
      </c>
      <c r="C1336">
        <v>8</v>
      </c>
      <c r="D1336" t="s">
        <v>62</v>
      </c>
      <c r="E1336" t="s">
        <v>35</v>
      </c>
      <c r="F1336" t="s">
        <v>108</v>
      </c>
      <c r="G1336" t="s">
        <v>490</v>
      </c>
      <c r="H1336" s="52" t="str">
        <f>VLOOKUP(Tabla3[[#This Row],[Site]],'Important Info!'!$A$1:$J$135,10,FALSE)</f>
        <v>https://tools.sig.systems/site/details/176</v>
      </c>
      <c r="I1336" s="43"/>
      <c r="J1336" t="s">
        <v>36</v>
      </c>
      <c r="K1336" s="79" t="str">
        <f>VLOOKUP(Tabla3[[#This Row],[Site]],'Important Info!'!$A$1:$H$135,8,FALSE)</f>
        <v>-</v>
      </c>
      <c r="L1336" s="52">
        <f>VLOOKUP(Tabla3[[#This Row],[Site]],'Important Info!'!$A$1:$F$135,2,FALSE)</f>
        <v>2</v>
      </c>
      <c r="M1336" s="52" t="str">
        <f>VLOOKUP(Tabla3[[#This Row],[Site]],'Important Info!'!$A$1:$F$135,3,FALSE)</f>
        <v>-</v>
      </c>
      <c r="N1336" s="52" t="str">
        <f>VLOOKUP(Tabla3[[#This Row],[Site]],'Important Info!'!$A$1:$F$135,4,FALSE)</f>
        <v>-</v>
      </c>
      <c r="O1336" s="52" t="str">
        <f>VLOOKUP(Tabla3[[#This Row],[Site]],'Important Info!'!$A$1:$F$135,5,FALSE)</f>
        <v>4, 8, 21</v>
      </c>
      <c r="P1336" s="52">
        <f>VLOOKUP(Tabla3[[#This Row],[Site]],'Important Info!'!$A$1:$F$135,6,FALSE)</f>
        <v>10</v>
      </c>
      <c r="Q1336" s="91">
        <f>VLOOKUP(Tabla3[[#This Row],[Site]],'Important Info!'!$A$1:$J$135,9,FALSE)</f>
        <v>176</v>
      </c>
    </row>
    <row r="1337" spans="1:17" x14ac:dyDescent="0.25">
      <c r="A1337" t="str">
        <f>+Tabla3[[#This Row],[Site]]&amp;Tabla3[[#This Row],[Split]]</f>
        <v>(AS) Park Place Bodywerks Dallas (NO TOURS)15</v>
      </c>
      <c r="B1337">
        <v>15</v>
      </c>
      <c r="C1337">
        <v>8</v>
      </c>
      <c r="D1337" t="s">
        <v>33</v>
      </c>
      <c r="E1337" t="s">
        <v>46</v>
      </c>
      <c r="F1337" t="s">
        <v>514</v>
      </c>
      <c r="G1337" t="s">
        <v>34</v>
      </c>
      <c r="H1337" s="52" t="str">
        <f>VLOOKUP(Tabla3[[#This Row],[Site]],'Important Info!'!$A$1:$J$135,10,FALSE)</f>
        <v>https://tools.sig.systems/site/details/166</v>
      </c>
      <c r="I1337" s="65" t="s">
        <v>125</v>
      </c>
      <c r="J1337" t="s">
        <v>41</v>
      </c>
      <c r="K1337" s="79" t="str">
        <f>VLOOKUP(Tabla3[[#This Row],[Site]],'Important Info!'!$A$1:$H$135,8,FALSE)</f>
        <v>-</v>
      </c>
      <c r="L1337" s="52">
        <f>VLOOKUP(Tabla3[[#This Row],[Site]],'Important Info!'!$A$1:$F$135,2,FALSE)</f>
        <v>3</v>
      </c>
      <c r="M1337" s="52">
        <f>VLOOKUP(Tabla3[[#This Row],[Site]],'Important Info!'!$A$1:$F$135,3,FALSE)</f>
        <v>1</v>
      </c>
      <c r="N1337" s="52" t="str">
        <f>VLOOKUP(Tabla3[[#This Row],[Site]],'Important Info!'!$A$1:$F$135,4,FALSE)</f>
        <v>-</v>
      </c>
      <c r="O1337" s="52" t="str">
        <f>VLOOKUP(Tabla3[[#This Row],[Site]],'Important Info!'!$A$1:$F$135,5,FALSE)</f>
        <v>-</v>
      </c>
      <c r="P1337" s="52" t="str">
        <f>VLOOKUP(Tabla3[[#This Row],[Site]],'Important Info!'!$A$1:$F$135,6,FALSE)</f>
        <v>1, 2, 8</v>
      </c>
      <c r="Q1337" s="91">
        <f>VLOOKUP(Tabla3[[#This Row],[Site]],'Important Info!'!$A$1:$J$135,9,FALSE)</f>
        <v>166</v>
      </c>
    </row>
    <row r="1338" spans="1:17" x14ac:dyDescent="0.25">
      <c r="A1338" t="str">
        <f>+Tabla3[[#This Row],[Site]]&amp;Tabla3[[#This Row],[Split]]</f>
        <v>(AS) Stevinson Porsche of Littleton (NO TOURS)15</v>
      </c>
      <c r="B1338">
        <v>15</v>
      </c>
      <c r="C1338">
        <v>8</v>
      </c>
      <c r="D1338" t="s">
        <v>44</v>
      </c>
      <c r="E1338" t="s">
        <v>53</v>
      </c>
      <c r="F1338" t="s">
        <v>78</v>
      </c>
      <c r="G1338" t="s">
        <v>45</v>
      </c>
      <c r="H1338" s="52" t="str">
        <f>VLOOKUP(Tabla3[[#This Row],[Site]],'Important Info!'!$A$1:$J$135,10,FALSE)</f>
        <v>https://tools.sig.systems/site/details/242</v>
      </c>
      <c r="J1338" t="s">
        <v>41</v>
      </c>
      <c r="K1338" s="79" t="str">
        <f>VLOOKUP(Tabla3[[#This Row],[Site]],'Important Info!'!$A$1:$H$135,8,FALSE)</f>
        <v>-</v>
      </c>
      <c r="L1338" s="52" t="str">
        <f>VLOOKUP(Tabla3[[#This Row],[Site]],'Important Info!'!$A$1:$F$135,2,FALSE)</f>
        <v>3, 4</v>
      </c>
      <c r="M1338" s="52">
        <f>VLOOKUP(Tabla3[[#This Row],[Site]],'Important Info!'!$A$1:$F$135,3,FALSE)</f>
        <v>2</v>
      </c>
      <c r="N1338" s="52" t="str">
        <f>VLOOKUP(Tabla3[[#This Row],[Site]],'Important Info!'!$A$1:$F$135,4,FALSE)</f>
        <v>-</v>
      </c>
      <c r="O1338" s="52" t="str">
        <f>VLOOKUP(Tabla3[[#This Row],[Site]],'Important Info!'!$A$1:$F$135,5,FALSE)</f>
        <v>-</v>
      </c>
      <c r="P1338" s="52" t="str">
        <f>VLOOKUP(Tabla3[[#This Row],[Site]],'Important Info!'!$A$1:$F$135,6,FALSE)</f>
        <v>3, 4</v>
      </c>
      <c r="Q1338" s="91">
        <f>VLOOKUP(Tabla3[[#This Row],[Site]],'Important Info!'!$A$1:$J$135,9,FALSE)</f>
        <v>242</v>
      </c>
    </row>
    <row r="1339" spans="1:17" x14ac:dyDescent="0.25">
      <c r="A1339" t="str">
        <f>+Tabla3[[#This Row],[Site]]&amp;Tabla3[[#This Row],[Split]]</f>
        <v>(DT) Wichita15</v>
      </c>
      <c r="B1339">
        <v>15</v>
      </c>
      <c r="C1339">
        <v>8</v>
      </c>
      <c r="D1339" t="s">
        <v>33</v>
      </c>
      <c r="E1339" t="s">
        <v>46</v>
      </c>
      <c r="F1339" t="s">
        <v>131</v>
      </c>
      <c r="G1339" t="s">
        <v>34</v>
      </c>
      <c r="H1339" s="52" t="str">
        <f>VLOOKUP(Tabla3[[#This Row],[Site]],'Important Info!'!$A$1:$J$135,10,FALSE)</f>
        <v>https://tools.sig.systems/site/details/257</v>
      </c>
      <c r="J1339" t="s">
        <v>41</v>
      </c>
      <c r="K1339" s="79" t="str">
        <f>VLOOKUP(Tabla3[[#This Row],[Site]],'Important Info!'!$A$1:$H$135,8,FALSE)</f>
        <v>-</v>
      </c>
      <c r="L1339" s="52" t="str">
        <f>VLOOKUP(Tabla3[[#This Row],[Site]],'Important Info!'!$A$1:$F$135,2,FALSE)</f>
        <v>-</v>
      </c>
      <c r="M1339" s="52" t="str">
        <f>VLOOKUP(Tabla3[[#This Row],[Site]],'Important Info!'!$A$1:$F$135,3,FALSE)</f>
        <v>10, 11</v>
      </c>
      <c r="N1339" s="52" t="str">
        <f>VLOOKUP(Tabla3[[#This Row],[Site]],'Important Info!'!$A$1:$F$135,4,FALSE)</f>
        <v>-</v>
      </c>
      <c r="O1339" s="52" t="str">
        <f>VLOOKUP(Tabla3[[#This Row],[Site]],'Important Info!'!$A$1:$F$135,5,FALSE)</f>
        <v>-</v>
      </c>
      <c r="P1339" s="52" t="str">
        <f>VLOOKUP(Tabla3[[#This Row],[Site]],'Important Info!'!$A$1:$F$135,6,FALSE)</f>
        <v>1, 5, 6, 10</v>
      </c>
      <c r="Q1339" s="91">
        <f>VLOOKUP(Tabla3[[#This Row],[Site]],'Important Info!'!$A$1:$J$135,9,FALSE)</f>
        <v>257</v>
      </c>
    </row>
    <row r="1340" spans="1:17" x14ac:dyDescent="0.25">
      <c r="A1340" t="str">
        <f>+Tabla3[[#This Row],[Site]]&amp;Tabla3[[#This Row],[Split]]</f>
        <v>(JE) Jim Ellis Ford Sandy Springs15</v>
      </c>
      <c r="B1340">
        <v>15</v>
      </c>
      <c r="C1340">
        <v>8</v>
      </c>
      <c r="D1340" t="s">
        <v>62</v>
      </c>
      <c r="E1340" t="s">
        <v>35</v>
      </c>
      <c r="F1340" t="s">
        <v>187</v>
      </c>
      <c r="G1340" t="s">
        <v>490</v>
      </c>
      <c r="H1340" s="52" t="str">
        <f>VLOOKUP(Tabla3[[#This Row],[Site]],'Important Info!'!$A$1:$J$135,10,FALSE)</f>
        <v>https://tools.sig.systems/site/details/142</v>
      </c>
      <c r="I1340" s="43"/>
      <c r="J1340" t="s">
        <v>41</v>
      </c>
      <c r="K1340" s="79" t="str">
        <f>VLOOKUP(Tabla3[[#This Row],[Site]],'Important Info!'!$A$1:$H$135,8,FALSE)</f>
        <v>-</v>
      </c>
      <c r="L1340" s="52" t="str">
        <f>VLOOKUP(Tabla3[[#This Row],[Site]],'Important Info!'!$A$1:$F$135,2,FALSE)</f>
        <v>1, 5</v>
      </c>
      <c r="M1340" s="52" t="str">
        <f>VLOOKUP(Tabla3[[#This Row],[Site]],'Important Info!'!$A$1:$F$135,3,FALSE)</f>
        <v>-</v>
      </c>
      <c r="N1340" s="52" t="str">
        <f>VLOOKUP(Tabla3[[#This Row],[Site]],'Important Info!'!$A$1:$F$135,4,FALSE)</f>
        <v>-</v>
      </c>
      <c r="O1340" s="52" t="str">
        <f>VLOOKUP(Tabla3[[#This Row],[Site]],'Important Info!'!$A$1:$F$135,5,FALSE)</f>
        <v>1, 5, 9, 26</v>
      </c>
      <c r="P1340" s="52" t="str">
        <f>VLOOKUP(Tabla3[[#This Row],[Site]],'Important Info!'!$A$1:$F$135,6,FALSE)</f>
        <v>3, 4, 8, 28</v>
      </c>
      <c r="Q1340" s="91">
        <f>VLOOKUP(Tabla3[[#This Row],[Site]],'Important Info!'!$A$1:$J$135,9,FALSE)</f>
        <v>142</v>
      </c>
    </row>
    <row r="1341" spans="1:17" x14ac:dyDescent="0.25">
      <c r="A1341" t="str">
        <f>+Tabla3[[#This Row],[Site]]&amp;Tabla3[[#This Row],[Split]]</f>
        <v>(KG) Big Star Honda15</v>
      </c>
      <c r="B1341">
        <v>15</v>
      </c>
      <c r="C1341">
        <v>8</v>
      </c>
      <c r="D1341" t="s">
        <v>33</v>
      </c>
      <c r="E1341" t="s">
        <v>46</v>
      </c>
      <c r="F1341" t="s">
        <v>136</v>
      </c>
      <c r="G1341" t="s">
        <v>34</v>
      </c>
      <c r="H1341" s="52" t="str">
        <f>VLOOKUP(Tabla3[[#This Row],[Site]],'Important Info!'!$A$1:$J$135,10,FALSE)</f>
        <v>https://tools.sig.systems/site/details/231</v>
      </c>
      <c r="J1341" t="s">
        <v>41</v>
      </c>
      <c r="K1341" s="79" t="str">
        <f>VLOOKUP(Tabla3[[#This Row],[Site]],'Important Info!'!$A$1:$H$135,8,FALSE)</f>
        <v>-</v>
      </c>
      <c r="L1341" s="52" t="str">
        <f>VLOOKUP(Tabla3[[#This Row],[Site]],'Important Info!'!$A$1:$F$135,2,FALSE)</f>
        <v>2, 17, 33</v>
      </c>
      <c r="M1341" s="52" t="str">
        <f>VLOOKUP(Tabla3[[#This Row],[Site]],'Important Info!'!$A$1:$F$135,3,FALSE)</f>
        <v>-</v>
      </c>
      <c r="N1341" s="52" t="str">
        <f>VLOOKUP(Tabla3[[#This Row],[Site]],'Important Info!'!$A$1:$F$135,4,FALSE)</f>
        <v>-</v>
      </c>
      <c r="O1341" s="52" t="str">
        <f>VLOOKUP(Tabla3[[#This Row],[Site]],'Important Info!'!$A$1:$F$135,5,FALSE)</f>
        <v>3, 11, 16, 21, 24, 31, 34</v>
      </c>
      <c r="P1341" s="52" t="str">
        <f>VLOOKUP(Tabla3[[#This Row],[Site]],'Important Info!'!$A$1:$F$135,6,FALSE)</f>
        <v xml:space="preserve">2, 3, 17, 22, 37, 41, 42 </v>
      </c>
      <c r="Q1341" s="91">
        <f>VLOOKUP(Tabla3[[#This Row],[Site]],'Important Info!'!$A$1:$J$135,9,FALSE)</f>
        <v>231</v>
      </c>
    </row>
    <row r="1342" spans="1:17" x14ac:dyDescent="0.25">
      <c r="A1342" t="str">
        <f>+Tabla3[[#This Row],[Site]]&amp;Tabla3[[#This Row],[Split]]</f>
        <v>(ML) Collision Center N Little Rock15</v>
      </c>
      <c r="B1342">
        <v>15</v>
      </c>
      <c r="C1342">
        <v>8</v>
      </c>
      <c r="D1342" t="s">
        <v>33</v>
      </c>
      <c r="E1342" t="s">
        <v>46</v>
      </c>
      <c r="F1342" t="s">
        <v>141</v>
      </c>
      <c r="G1342" t="s">
        <v>34</v>
      </c>
      <c r="H1342" s="52" t="str">
        <f>VLOOKUP(Tabla3[[#This Row],[Site]],'Important Info!'!$A$1:$J$135,10,FALSE)</f>
        <v>https://tools.sig.systems/site/details/212</v>
      </c>
      <c r="I1342" s="43" t="s">
        <v>142</v>
      </c>
      <c r="J1342" t="s">
        <v>41</v>
      </c>
      <c r="K1342" s="79" t="str">
        <f>VLOOKUP(Tabla3[[#This Row],[Site]],'Important Info!'!$A$1:$H$135,8,FALSE)</f>
        <v>-</v>
      </c>
      <c r="L1342" s="52" t="str">
        <f>VLOOKUP(Tabla3[[#This Row],[Site]],'Important Info!'!$A$1:$F$135,2,FALSE)</f>
        <v>-</v>
      </c>
      <c r="M1342" s="52" t="str">
        <f>VLOOKUP(Tabla3[[#This Row],[Site]],'Important Info!'!$A$1:$F$135,3,FALSE)</f>
        <v>-</v>
      </c>
      <c r="N1342" s="52" t="str">
        <f>VLOOKUP(Tabla3[[#This Row],[Site]],'Important Info!'!$A$1:$F$135,4,FALSE)</f>
        <v>-</v>
      </c>
      <c r="O1342" s="52" t="str">
        <f>VLOOKUP(Tabla3[[#This Row],[Site]],'Important Info!'!$A$1:$F$135,5,FALSE)</f>
        <v>-</v>
      </c>
      <c r="P1342" s="52" t="str">
        <f>VLOOKUP(Tabla3[[#This Row],[Site]],'Important Info!'!$A$1:$F$135,6,FALSE)</f>
        <v>1, 3, 7, 8</v>
      </c>
      <c r="Q1342" s="91">
        <f>VLOOKUP(Tabla3[[#This Row],[Site]],'Important Info!'!$A$1:$J$135,9,FALSE)</f>
        <v>212</v>
      </c>
    </row>
    <row r="1343" spans="1:17" x14ac:dyDescent="0.25">
      <c r="A1343" t="str">
        <f>+Tabla3[[#This Row],[Site]]&amp;Tabla3[[#This Row],[Split]]</f>
        <v>(ML) Joe Machens Nissan15</v>
      </c>
      <c r="B1343">
        <v>15</v>
      </c>
      <c r="C1343">
        <v>8</v>
      </c>
      <c r="D1343" t="s">
        <v>33</v>
      </c>
      <c r="E1343" t="s">
        <v>46</v>
      </c>
      <c r="F1343" t="s">
        <v>104</v>
      </c>
      <c r="G1343" t="s">
        <v>34</v>
      </c>
      <c r="H1343" s="52" t="str">
        <f>VLOOKUP(Tabla3[[#This Row],[Site]],'Important Info!'!$A$1:$J$135,10,FALSE)</f>
        <v>https://tools.sig.systems/site/details/279</v>
      </c>
      <c r="I1343" s="43" t="s">
        <v>146</v>
      </c>
      <c r="J1343" t="s">
        <v>41</v>
      </c>
      <c r="K1343" s="79" t="str">
        <f>VLOOKUP(Tabla3[[#This Row],[Site]],'Important Info!'!$A$1:$H$135,8,FALSE)</f>
        <v>-</v>
      </c>
      <c r="L1343" s="52" t="str">
        <f>VLOOKUP(Tabla3[[#This Row],[Site]],'Important Info!'!$A$1:$F$135,2,FALSE)</f>
        <v>-</v>
      </c>
      <c r="M1343" s="52" t="str">
        <f>VLOOKUP(Tabla3[[#This Row],[Site]],'Important Info!'!$A$1:$F$135,3,FALSE)</f>
        <v>1, 3, 16</v>
      </c>
      <c r="N1343" s="52" t="str">
        <f>VLOOKUP(Tabla3[[#This Row],[Site]],'Important Info!'!$A$1:$F$135,4,FALSE)</f>
        <v>-</v>
      </c>
      <c r="O1343" s="52" t="str">
        <f>VLOOKUP(Tabla3[[#This Row],[Site]],'Important Info!'!$A$1:$F$135,5,FALSE)</f>
        <v>-</v>
      </c>
      <c r="P1343" s="52" t="str">
        <f>VLOOKUP(Tabla3[[#This Row],[Site]],'Important Info!'!$A$1:$F$135,6,FALSE)</f>
        <v>-</v>
      </c>
      <c r="Q1343" s="91">
        <f>VLOOKUP(Tabla3[[#This Row],[Site]],'Important Info!'!$A$1:$J$135,9,FALSE)</f>
        <v>279</v>
      </c>
    </row>
    <row r="1344" spans="1:17" x14ac:dyDescent="0.25">
      <c r="A1344" t="str">
        <f>+Tabla3[[#This Row],[Site]]&amp;Tabla3[[#This Row],[Split]]</f>
        <v>(TC) Tavernier Creek Marina (NO TOURS)15</v>
      </c>
      <c r="B1344">
        <v>15</v>
      </c>
      <c r="C1344">
        <v>8</v>
      </c>
      <c r="D1344" t="s">
        <v>62</v>
      </c>
      <c r="E1344" t="s">
        <v>35</v>
      </c>
      <c r="F1344" t="s">
        <v>119</v>
      </c>
      <c r="G1344" t="s">
        <v>34</v>
      </c>
      <c r="H1344" s="52" t="str">
        <f>VLOOKUP(Tabla3[[#This Row],[Site]],'Important Info!'!$A$1:$J$135,10,FALSE)</f>
        <v>https://tools.sig.systems/site/details/164</v>
      </c>
      <c r="J1344" t="s">
        <v>45</v>
      </c>
      <c r="K1344" s="79" t="str">
        <f>VLOOKUP(Tabla3[[#This Row],[Site]],'Important Info!'!$A$1:$H$135,8,FALSE)</f>
        <v>-</v>
      </c>
      <c r="L1344" s="52" t="str">
        <f>VLOOKUP(Tabla3[[#This Row],[Site]],'Important Info!'!$A$1:$F$135,2,FALSE)</f>
        <v>28, 29</v>
      </c>
      <c r="M1344" s="52" t="str">
        <f>VLOOKUP(Tabla3[[#This Row],[Site]],'Important Info!'!$A$1:$F$135,3,FALSE)</f>
        <v>-</v>
      </c>
      <c r="N1344" s="52" t="str">
        <f>VLOOKUP(Tabla3[[#This Row],[Site]],'Important Info!'!$A$1:$F$135,4,FALSE)</f>
        <v>-</v>
      </c>
      <c r="O1344" s="52" t="str">
        <f>VLOOKUP(Tabla3[[#This Row],[Site]],'Important Info!'!$A$1:$F$135,5,FALSE)</f>
        <v>-</v>
      </c>
      <c r="P1344" s="52" t="str">
        <f>VLOOKUP(Tabla3[[#This Row],[Site]],'Important Info!'!$A$1:$F$135,6,FALSE)</f>
        <v>5, 28, 29</v>
      </c>
      <c r="Q1344" s="91">
        <f>VLOOKUP(Tabla3[[#This Row],[Site]],'Important Info!'!$A$1:$J$135,9,FALSE)</f>
        <v>164</v>
      </c>
    </row>
    <row r="1345" spans="1:17" x14ac:dyDescent="0.25">
      <c r="A1345" t="str">
        <f>+Tabla3[[#This Row],[Site]]&amp;Tabla3[[#This Row],[Split]]</f>
        <v>(AS) Audi of North Atlanta (NO TOURS)15</v>
      </c>
      <c r="B1345">
        <v>15</v>
      </c>
      <c r="C1345">
        <v>9</v>
      </c>
      <c r="D1345" t="s">
        <v>62</v>
      </c>
      <c r="E1345" t="s">
        <v>35</v>
      </c>
      <c r="F1345" t="s">
        <v>499</v>
      </c>
      <c r="G1345" t="s">
        <v>490</v>
      </c>
      <c r="H1345" s="52" t="str">
        <f>VLOOKUP(Tabla3[[#This Row],[Site]],'Important Info!'!$A$1:$J$135,10,FALSE)</f>
        <v>https://tools.sig.systems/site/details/124</v>
      </c>
      <c r="I1345" s="2" t="s">
        <v>166</v>
      </c>
      <c r="J1345" t="s">
        <v>41</v>
      </c>
      <c r="K1345" s="79" t="str">
        <f>VLOOKUP(Tabla3[[#This Row],[Site]],'Important Info!'!$A$1:$H$135,8,FALSE)</f>
        <v>-</v>
      </c>
      <c r="L1345" s="52" t="str">
        <f>VLOOKUP(Tabla3[[#This Row],[Site]],'Important Info!'!$A$1:$F$135,2,FALSE)</f>
        <v>1, 5, 16, 54</v>
      </c>
      <c r="M1345" s="52" t="str">
        <f>VLOOKUP(Tabla3[[#This Row],[Site]],'Important Info!'!$A$1:$F$135,3,FALSE)</f>
        <v>-</v>
      </c>
      <c r="N1345" s="52" t="str">
        <f>VLOOKUP(Tabla3[[#This Row],[Site]],'Important Info!'!$A$1:$F$135,4,FALSE)</f>
        <v>-</v>
      </c>
      <c r="O1345" s="52" t="str">
        <f>VLOOKUP(Tabla3[[#This Row],[Site]],'Important Info!'!$A$1:$F$135,5,FALSE)</f>
        <v>3, 16</v>
      </c>
      <c r="P1345" s="52" t="str">
        <f>VLOOKUP(Tabla3[[#This Row],[Site]],'Important Info!'!$A$1:$F$135,6,FALSE)</f>
        <v>2, 5, 6</v>
      </c>
      <c r="Q1345" s="91">
        <f>VLOOKUP(Tabla3[[#This Row],[Site]],'Important Info!'!$A$1:$J$135,9,FALSE)</f>
        <v>124</v>
      </c>
    </row>
    <row r="1346" spans="1:17" x14ac:dyDescent="0.25">
      <c r="A1346" t="str">
        <f>+Tabla3[[#This Row],[Site]]&amp;Tabla3[[#This Row],[Split]]</f>
        <v>(AS) Park Place MB Recon Center Dallas (NO TOURS)15</v>
      </c>
      <c r="B1346">
        <v>15</v>
      </c>
      <c r="C1346">
        <v>9</v>
      </c>
      <c r="D1346" t="s">
        <v>33</v>
      </c>
      <c r="E1346" t="s">
        <v>46</v>
      </c>
      <c r="F1346" t="s">
        <v>517</v>
      </c>
      <c r="G1346" t="s">
        <v>34</v>
      </c>
      <c r="H1346" s="52" t="str">
        <f>VLOOKUP(Tabla3[[#This Row],[Site]],'Important Info!'!$A$1:$J$135,10,FALSE)</f>
        <v>https://tools.sig.systems/site/details/170</v>
      </c>
      <c r="I1346" s="65" t="s">
        <v>125</v>
      </c>
      <c r="J1346" t="s">
        <v>41</v>
      </c>
      <c r="K1346" s="79" t="str">
        <f>VLOOKUP(Tabla3[[#This Row],[Site]],'Important Info!'!$A$1:$H$135,8,FALSE)</f>
        <v>-</v>
      </c>
      <c r="L1346" s="52" t="str">
        <f>VLOOKUP(Tabla3[[#This Row],[Site]],'Important Info!'!$A$1:$F$135,2,FALSE)</f>
        <v>3, 39</v>
      </c>
      <c r="M1346" s="52" t="str">
        <f>VLOOKUP(Tabla3[[#This Row],[Site]],'Important Info!'!$A$1:$F$135,3,FALSE)</f>
        <v>-</v>
      </c>
      <c r="N1346" s="52" t="str">
        <f>VLOOKUP(Tabla3[[#This Row],[Site]],'Important Info!'!$A$1:$F$135,4,FALSE)</f>
        <v>-</v>
      </c>
      <c r="O1346" s="52" t="str">
        <f>VLOOKUP(Tabla3[[#This Row],[Site]],'Important Info!'!$A$1:$F$135,5,FALSE)</f>
        <v>4, 11</v>
      </c>
      <c r="P1346" s="52">
        <f>VLOOKUP(Tabla3[[#This Row],[Site]],'Important Info!'!$A$1:$F$135,6,FALSE)</f>
        <v>1</v>
      </c>
      <c r="Q1346" s="91">
        <f>VLOOKUP(Tabla3[[#This Row],[Site]],'Important Info!'!$A$1:$J$135,9,FALSE)</f>
        <v>170</v>
      </c>
    </row>
    <row r="1347" spans="1:17" x14ac:dyDescent="0.25">
      <c r="A1347" t="str">
        <f>+Tabla3[[#This Row],[Site]]&amp;Tabla3[[#This Row],[Split]]</f>
        <v>(AS) Stevinson Lexus of Lakewood (NO TOURS)15</v>
      </c>
      <c r="B1347">
        <v>15</v>
      </c>
      <c r="C1347">
        <v>9</v>
      </c>
      <c r="D1347" t="s">
        <v>44</v>
      </c>
      <c r="E1347" t="s">
        <v>53</v>
      </c>
      <c r="F1347" t="s">
        <v>523</v>
      </c>
      <c r="G1347" t="s">
        <v>45</v>
      </c>
      <c r="H1347" s="52" t="str">
        <f>VLOOKUP(Tabla3[[#This Row],[Site]],'Important Info!'!$A$1:$J$135,10,FALSE)</f>
        <v>https://tools.sig.systems/site/details/260</v>
      </c>
      <c r="I1347" s="43" t="s">
        <v>154</v>
      </c>
      <c r="J1347" t="s">
        <v>41</v>
      </c>
      <c r="K1347" s="79" t="str">
        <f>VLOOKUP(Tabla3[[#This Row],[Site]],'Important Info!'!$A$1:$H$135,8,FALSE)</f>
        <v>-</v>
      </c>
      <c r="L1347" s="52" t="str">
        <f>VLOOKUP(Tabla3[[#This Row],[Site]],'Important Info!'!$A$1:$F$135,2,FALSE)</f>
        <v>-</v>
      </c>
      <c r="M1347" s="52" t="str">
        <f>VLOOKUP(Tabla3[[#This Row],[Site]],'Important Info!'!$A$1:$F$135,3,FALSE)</f>
        <v>2, 10</v>
      </c>
      <c r="N1347" s="52" t="str">
        <f>VLOOKUP(Tabla3[[#This Row],[Site]],'Important Info!'!$A$1:$F$135,4,FALSE)</f>
        <v>9, 17</v>
      </c>
      <c r="O1347" s="52" t="str">
        <f>VLOOKUP(Tabla3[[#This Row],[Site]],'Important Info!'!$A$1:$F$135,5,FALSE)</f>
        <v>-</v>
      </c>
      <c r="P1347" s="52" t="str">
        <f>VLOOKUP(Tabla3[[#This Row],[Site]],'Important Info!'!$A$1:$F$135,6,FALSE)</f>
        <v>1, 2</v>
      </c>
      <c r="Q1347" s="91">
        <f>VLOOKUP(Tabla3[[#This Row],[Site]],'Important Info!'!$A$1:$J$135,9,FALSE)</f>
        <v>260</v>
      </c>
    </row>
    <row r="1348" spans="1:17" x14ac:dyDescent="0.25">
      <c r="A1348" t="str">
        <f>+Tabla3[[#This Row],[Site]]&amp;Tabla3[[#This Row],[Split]]</f>
        <v>(ML) Ford Lincoln of North Little Rock15</v>
      </c>
      <c r="B1348">
        <v>15</v>
      </c>
      <c r="C1348">
        <v>9</v>
      </c>
      <c r="D1348" t="s">
        <v>33</v>
      </c>
      <c r="E1348" t="s">
        <v>46</v>
      </c>
      <c r="F1348" t="s">
        <v>145</v>
      </c>
      <c r="G1348" t="s">
        <v>34</v>
      </c>
      <c r="H1348" s="52" t="str">
        <f>VLOOKUP(Tabla3[[#This Row],[Site]],'Important Info!'!$A$1:$J$135,10,FALSE)</f>
        <v>https://tools.sig.systems/site/details/214</v>
      </c>
      <c r="I1348" s="43" t="s">
        <v>142</v>
      </c>
      <c r="J1348" t="s">
        <v>41</v>
      </c>
      <c r="K1348" s="79" t="str">
        <f>VLOOKUP(Tabla3[[#This Row],[Site]],'Important Info!'!$A$1:$H$135,8,FALSE)</f>
        <v>-</v>
      </c>
      <c r="L1348" s="52" t="str">
        <f>VLOOKUP(Tabla3[[#This Row],[Site]],'Important Info!'!$A$1:$F$135,2,FALSE)</f>
        <v>4, 15, 18, 67, 74</v>
      </c>
      <c r="M1348" s="52">
        <f>VLOOKUP(Tabla3[[#This Row],[Site]],'Important Info!'!$A$1:$F$135,3,FALSE)</f>
        <v>13</v>
      </c>
      <c r="N1348" s="52" t="str">
        <f>VLOOKUP(Tabla3[[#This Row],[Site]],'Important Info!'!$A$1:$F$135,4,FALSE)</f>
        <v>-</v>
      </c>
      <c r="O1348" s="52" t="str">
        <f>VLOOKUP(Tabla3[[#This Row],[Site]],'Important Info!'!$A$1:$F$135,5,FALSE)</f>
        <v>4, 11, 16, 28</v>
      </c>
      <c r="P1348" s="52" t="str">
        <f>VLOOKUP(Tabla3[[#This Row],[Site]],'Important Info!'!$A$1:$F$135,6,FALSE)</f>
        <v>10, 11, 12</v>
      </c>
      <c r="Q1348" s="91">
        <f>VLOOKUP(Tabla3[[#This Row],[Site]],'Important Info!'!$A$1:$J$135,9,FALSE)</f>
        <v>214</v>
      </c>
    </row>
    <row r="1349" spans="1:17" x14ac:dyDescent="0.25">
      <c r="A1349" t="str">
        <f>+Tabla3[[#This Row],[Site]]&amp;Tabla3[[#This Row],[Split]]</f>
        <v>(SCH) Delray I &amp; II15</v>
      </c>
      <c r="B1349">
        <v>15</v>
      </c>
      <c r="C1349">
        <v>9</v>
      </c>
      <c r="D1349" t="s">
        <v>62</v>
      </c>
      <c r="E1349" t="s">
        <v>35</v>
      </c>
      <c r="F1349" t="s">
        <v>67</v>
      </c>
      <c r="G1349" t="s">
        <v>490</v>
      </c>
      <c r="H1349" s="52" t="str">
        <f>VLOOKUP(Tabla3[[#This Row],[Site]],'Important Info!'!$A$1:$J$135,10,FALSE)</f>
        <v>https://tools.sig.systems/site/details/159</v>
      </c>
      <c r="I1349" s="2"/>
      <c r="J1349" t="s">
        <v>36</v>
      </c>
      <c r="K1349" s="79" t="str">
        <f>VLOOKUP(Tabla3[[#This Row],[Site]],'Important Info!'!$A$1:$H$135,8,FALSE)</f>
        <v>-</v>
      </c>
      <c r="L1349" s="52" t="str">
        <f>VLOOKUP(Tabla3[[#This Row],[Site]],'Important Info!'!$A$1:$F$135,2,FALSE)</f>
        <v>5, 28, 31</v>
      </c>
      <c r="M1349" s="52" t="str">
        <f>VLOOKUP(Tabla3[[#This Row],[Site]],'Important Info!'!$A$1:$F$135,3,FALSE)</f>
        <v>1, 29</v>
      </c>
      <c r="N1349" s="52">
        <f>VLOOKUP(Tabla3[[#This Row],[Site]],'Important Info!'!$A$1:$F$135,4,FALSE)</f>
        <v>6</v>
      </c>
      <c r="O1349" s="52" t="str">
        <f>VLOOKUP(Tabla3[[#This Row],[Site]],'Important Info!'!$A$1:$F$135,5,FALSE)</f>
        <v>-</v>
      </c>
      <c r="P1349" s="52" t="str">
        <f>VLOOKUP(Tabla3[[#This Row],[Site]],'Important Info!'!$A$1:$F$135,6,FALSE)</f>
        <v>1, 35, 36</v>
      </c>
      <c r="Q1349" s="91">
        <f>VLOOKUP(Tabla3[[#This Row],[Site]],'Important Info!'!$A$1:$J$135,9,FALSE)</f>
        <v>159</v>
      </c>
    </row>
    <row r="1350" spans="1:17" x14ac:dyDescent="0.25">
      <c r="A1350" t="str">
        <f>+Tabla3[[#This Row],[Site]]&amp;Tabla3[[#This Row],[Split]]</f>
        <v>(WAG) Greeley Chrysler Dodge Jeep Ram (NO TOURS)15</v>
      </c>
      <c r="B1350">
        <v>15</v>
      </c>
      <c r="C1350">
        <v>9</v>
      </c>
      <c r="D1350" t="s">
        <v>44</v>
      </c>
      <c r="E1350" t="s">
        <v>53</v>
      </c>
      <c r="F1350" t="s">
        <v>497</v>
      </c>
      <c r="G1350" t="s">
        <v>45</v>
      </c>
      <c r="H1350" s="52" t="str">
        <f>VLOOKUP(Tabla3[[#This Row],[Site]],'Important Info!'!$A$1:$J$135,10,FALSE)</f>
        <v>https://tools.sig.systems/site/details/130</v>
      </c>
      <c r="I1350" t="s">
        <v>153</v>
      </c>
      <c r="J1350" t="s">
        <v>41</v>
      </c>
      <c r="K1350" s="79" t="str">
        <f>VLOOKUP(Tabla3[[#This Row],[Site]],'Important Info!'!$A$1:$H$135,8,FALSE)</f>
        <v>-</v>
      </c>
      <c r="L1350" s="52" t="str">
        <f>VLOOKUP(Tabla3[[#This Row],[Site]],'Important Info!'!$A$1:$F$135,2,FALSE)</f>
        <v>17, 23 &amp; 18</v>
      </c>
      <c r="M1350" s="52" t="str">
        <f>VLOOKUP(Tabla3[[#This Row],[Site]],'Important Info!'!$A$1:$F$135,3,FALSE)</f>
        <v>4, 5, 6, 7, 8, 51, 55</v>
      </c>
      <c r="N1350" s="52" t="str">
        <f>VLOOKUP(Tabla3[[#This Row],[Site]],'Important Info!'!$A$1:$F$135,4,FALSE)</f>
        <v>-</v>
      </c>
      <c r="O1350" s="52" t="str">
        <f>VLOOKUP(Tabla3[[#This Row],[Site]],'Important Info!'!$A$1:$F$135,5,FALSE)</f>
        <v>3, 13, 17, 49, 53, 59</v>
      </c>
      <c r="P1350" s="52" t="str">
        <f>VLOOKUP(Tabla3[[#This Row],[Site]],'Important Info!'!$A$1:$F$135,6,FALSE)</f>
        <v>8, 9, 10, 51, 62</v>
      </c>
      <c r="Q1350" s="91">
        <f>VLOOKUP(Tabla3[[#This Row],[Site]],'Important Info!'!$A$1:$J$135,9,FALSE)</f>
        <v>130</v>
      </c>
    </row>
    <row r="1351" spans="1:17" x14ac:dyDescent="0.25">
      <c r="A1351" t="str">
        <f>+Tabla3[[#This Row],[Site]]&amp;Tabla3[[#This Row],[Split]]</f>
        <v>(AS) Nalley Luxury Collision Center (NO TOURS)15</v>
      </c>
      <c r="B1351">
        <v>15</v>
      </c>
      <c r="C1351">
        <v>10</v>
      </c>
      <c r="D1351" t="s">
        <v>62</v>
      </c>
      <c r="E1351" t="s">
        <v>35</v>
      </c>
      <c r="F1351" t="s">
        <v>512</v>
      </c>
      <c r="G1351" t="s">
        <v>490</v>
      </c>
      <c r="H1351" s="52" t="str">
        <f>VLOOKUP(Tabla3[[#This Row],[Site]],'Important Info!'!$A$1:$J$135,10,FALSE)</f>
        <v>https://tools.sig.systems/site/details/263</v>
      </c>
      <c r="I1351" s="43" t="s">
        <v>166</v>
      </c>
      <c r="J1351" t="s">
        <v>41</v>
      </c>
      <c r="K1351" s="79" t="str">
        <f>VLOOKUP(Tabla3[[#This Row],[Site]],'Important Info!'!$A$1:$H$135,8,FALSE)</f>
        <v>-</v>
      </c>
      <c r="L1351" s="52" t="str">
        <f>VLOOKUP(Tabla3[[#This Row],[Site]],'Important Info!'!$A$1:$F$135,2,FALSE)</f>
        <v>6, 13</v>
      </c>
      <c r="M1351" s="52" t="str">
        <f>VLOOKUP(Tabla3[[#This Row],[Site]],'Important Info!'!$A$1:$F$135,3,FALSE)</f>
        <v>-</v>
      </c>
      <c r="N1351" s="52" t="str">
        <f>VLOOKUP(Tabla3[[#This Row],[Site]],'Important Info!'!$A$1:$F$135,4,FALSE)</f>
        <v>-</v>
      </c>
      <c r="O1351" s="52" t="str">
        <f>VLOOKUP(Tabla3[[#This Row],[Site]],'Important Info!'!$A$1:$F$135,5,FALSE)</f>
        <v>-</v>
      </c>
      <c r="P1351" s="52" t="str">
        <f>VLOOKUP(Tabla3[[#This Row],[Site]],'Important Info!'!$A$1:$F$135,6,FALSE)</f>
        <v>6, 7, 12</v>
      </c>
      <c r="Q1351" s="91">
        <f>VLOOKUP(Tabla3[[#This Row],[Site]],'Important Info!'!$A$1:$J$135,9,FALSE)</f>
        <v>263</v>
      </c>
    </row>
    <row r="1352" spans="1:17" x14ac:dyDescent="0.25">
      <c r="A1352" t="str">
        <f>+Tabla3[[#This Row],[Site]]&amp;Tabla3[[#This Row],[Split]]</f>
        <v>(AS) Park Place Volvo Service Center (NO TOURS)15</v>
      </c>
      <c r="B1352">
        <v>15</v>
      </c>
      <c r="C1352">
        <v>10</v>
      </c>
      <c r="D1352" t="s">
        <v>33</v>
      </c>
      <c r="E1352" t="s">
        <v>46</v>
      </c>
      <c r="F1352" t="s">
        <v>522</v>
      </c>
      <c r="G1352" t="s">
        <v>34</v>
      </c>
      <c r="H1352" s="52" t="str">
        <f>VLOOKUP(Tabla3[[#This Row],[Site]],'Important Info!'!$A$1:$J$135,10,FALSE)</f>
        <v>https://tools.sig.systems/site/details/171</v>
      </c>
      <c r="I1352" s="65" t="s">
        <v>125</v>
      </c>
      <c r="J1352" t="s">
        <v>41</v>
      </c>
      <c r="K1352" s="79" t="str">
        <f>VLOOKUP(Tabla3[[#This Row],[Site]],'Important Info!'!$A$1:$H$135,8,FALSE)</f>
        <v>-</v>
      </c>
      <c r="L1352" s="52" t="str">
        <f>VLOOKUP(Tabla3[[#This Row],[Site]],'Important Info!'!$A$1:$F$135,2,FALSE)</f>
        <v>3, 6, 9, 27, 31, 35</v>
      </c>
      <c r="M1352" s="52" t="str">
        <f>VLOOKUP(Tabla3[[#This Row],[Site]],'Important Info!'!$A$1:$F$135,3,FALSE)</f>
        <v>-</v>
      </c>
      <c r="N1352" s="52" t="str">
        <f>VLOOKUP(Tabla3[[#This Row],[Site]],'Important Info!'!$A$1:$F$135,4,FALSE)</f>
        <v>-</v>
      </c>
      <c r="O1352" s="52" t="str">
        <f>VLOOKUP(Tabla3[[#This Row],[Site]],'Important Info!'!$A$1:$F$135,5,FALSE)</f>
        <v>27, 32</v>
      </c>
      <c r="P1352" s="52" t="str">
        <f>VLOOKUP(Tabla3[[#This Row],[Site]],'Important Info!'!$A$1:$F$135,6,FALSE)</f>
        <v>-</v>
      </c>
      <c r="Q1352" s="91">
        <f>VLOOKUP(Tabla3[[#This Row],[Site]],'Important Info!'!$A$1:$J$135,9,FALSE)</f>
        <v>171</v>
      </c>
    </row>
    <row r="1353" spans="1:17" x14ac:dyDescent="0.25">
      <c r="A1353" t="str">
        <f>+Tabla3[[#This Row],[Site]]&amp;Tabla3[[#This Row],[Split]]</f>
        <v>(DT) El Cajon (NO TOURS)15</v>
      </c>
      <c r="B1353">
        <v>15</v>
      </c>
      <c r="C1353">
        <v>10</v>
      </c>
      <c r="D1353" t="s">
        <v>51</v>
      </c>
      <c r="E1353" t="s">
        <v>159</v>
      </c>
      <c r="F1353" t="s">
        <v>160</v>
      </c>
      <c r="G1353" t="s">
        <v>52</v>
      </c>
      <c r="H1353" s="52" t="str">
        <f>VLOOKUP(Tabla3[[#This Row],[Site]],'Important Info!'!$A$1:$J$135,10,FALSE)</f>
        <v>https://tools.sig.systems/site/details/241</v>
      </c>
      <c r="I1353" s="2"/>
      <c r="J1353" t="s">
        <v>41</v>
      </c>
      <c r="K1353" s="79" t="str">
        <f>VLOOKUP(Tabla3[[#This Row],[Site]],'Important Info!'!$A$1:$H$135,8,FALSE)</f>
        <v>-</v>
      </c>
      <c r="L1353" s="52" t="str">
        <f>VLOOKUP(Tabla3[[#This Row],[Site]],'Important Info!'!$A$1:$F$135,2,FALSE)</f>
        <v>-</v>
      </c>
      <c r="M1353" s="52">
        <f>VLOOKUP(Tabla3[[#This Row],[Site]],'Important Info!'!$A$1:$F$135,3,FALSE)</f>
        <v>3</v>
      </c>
      <c r="N1353" s="52" t="str">
        <f>VLOOKUP(Tabla3[[#This Row],[Site]],'Important Info!'!$A$1:$F$135,4,FALSE)</f>
        <v>-</v>
      </c>
      <c r="O1353" s="52" t="str">
        <f>VLOOKUP(Tabla3[[#This Row],[Site]],'Important Info!'!$A$1:$F$135,5,FALSE)</f>
        <v>-</v>
      </c>
      <c r="P1353" s="52" t="str">
        <f>VLOOKUP(Tabla3[[#This Row],[Site]],'Important Info!'!$A$1:$F$135,6,FALSE)</f>
        <v>-</v>
      </c>
      <c r="Q1353" s="91">
        <f>VLOOKUP(Tabla3[[#This Row],[Site]],'Important Info!'!$A$1:$J$135,9,FALSE)</f>
        <v>241</v>
      </c>
    </row>
    <row r="1354" spans="1:17" x14ac:dyDescent="0.25">
      <c r="A1354" t="str">
        <f>+Tabla3[[#This Row],[Site]]&amp;Tabla3[[#This Row],[Split]]</f>
        <v>(ML) Toyota N Little Rock15</v>
      </c>
      <c r="B1354">
        <v>15</v>
      </c>
      <c r="C1354">
        <v>10</v>
      </c>
      <c r="D1354" t="s">
        <v>33</v>
      </c>
      <c r="E1354" t="s">
        <v>46</v>
      </c>
      <c r="F1354" t="s">
        <v>76</v>
      </c>
      <c r="G1354" t="s">
        <v>34</v>
      </c>
      <c r="H1354" s="52" t="str">
        <f>VLOOKUP(Tabla3[[#This Row],[Site]],'Important Info!'!$A$1:$J$135,10,FALSE)</f>
        <v>https://tools.sig.systems/site/details/201</v>
      </c>
      <c r="I1354" s="43" t="s">
        <v>142</v>
      </c>
      <c r="J1354" t="s">
        <v>41</v>
      </c>
      <c r="K1354" s="79" t="str">
        <f>VLOOKUP(Tabla3[[#This Row],[Site]],'Important Info!'!$A$1:$H$135,8,FALSE)</f>
        <v>-</v>
      </c>
      <c r="L1354" s="52" t="str">
        <f>VLOOKUP(Tabla3[[#This Row],[Site]],'Important Info!'!$A$1:$F$135,2,FALSE)</f>
        <v>4, 15, 18, 22, 23, 26</v>
      </c>
      <c r="M1354" s="52" t="str">
        <f>VLOOKUP(Tabla3[[#This Row],[Site]],'Important Info!'!$A$1:$F$135,3,FALSE)</f>
        <v>-</v>
      </c>
      <c r="N1354" s="52" t="str">
        <f>VLOOKUP(Tabla3[[#This Row],[Site]],'Important Info!'!$A$1:$F$135,4,FALSE)</f>
        <v>-</v>
      </c>
      <c r="O1354" s="52" t="str">
        <f>VLOOKUP(Tabla3[[#This Row],[Site]],'Important Info!'!$A$1:$F$135,5,FALSE)</f>
        <v>2, 12, 13, 18</v>
      </c>
      <c r="P1354" s="52" t="str">
        <f>VLOOKUP(Tabla3[[#This Row],[Site]],'Important Info!'!$A$1:$F$135,6,FALSE)</f>
        <v>-</v>
      </c>
      <c r="Q1354" s="91">
        <f>VLOOKUP(Tabla3[[#This Row],[Site]],'Important Info!'!$A$1:$J$135,9,FALSE)</f>
        <v>201</v>
      </c>
    </row>
    <row r="1355" spans="1:17" x14ac:dyDescent="0.25">
      <c r="A1355" t="str">
        <f>+Tabla3[[#This Row],[Site]]&amp;Tabla3[[#This Row],[Split]]</f>
        <v>(SCH) West Palm Beach I, II &amp; III15</v>
      </c>
      <c r="B1355">
        <v>15</v>
      </c>
      <c r="C1355">
        <v>10</v>
      </c>
      <c r="D1355" t="s">
        <v>492</v>
      </c>
      <c r="E1355" t="s">
        <v>35</v>
      </c>
      <c r="F1355" t="s">
        <v>96</v>
      </c>
      <c r="G1355" t="s">
        <v>490</v>
      </c>
      <c r="H1355" s="52" t="str">
        <f>VLOOKUP(Tabla3[[#This Row],[Site]],'Important Info!'!$A$1:$J$135,10,FALSE)</f>
        <v>https://tools.sig.systems/site/details/162</v>
      </c>
      <c r="I1355" s="43"/>
      <c r="J1355" t="s">
        <v>36</v>
      </c>
      <c r="K1355" s="79" t="str">
        <f>VLOOKUP(Tabla3[[#This Row],[Site]],'Important Info!'!$A$1:$H$135,8,FALSE)</f>
        <v>SUNDAY: Log in at 5:30 p.m. ET.</v>
      </c>
      <c r="L1355" s="52" t="str">
        <f>VLOOKUP(Tabla3[[#This Row],[Site]],'Important Info!'!$A$1:$F$135,2,FALSE)</f>
        <v>34, 62</v>
      </c>
      <c r="M1355" s="52" t="str">
        <f>VLOOKUP(Tabla3[[#This Row],[Site]],'Important Info!'!$A$1:$F$135,3,FALSE)</f>
        <v xml:space="preserve">6, 7, 11, 13, </v>
      </c>
      <c r="N1355" s="52" t="str">
        <f>VLOOKUP(Tabla3[[#This Row],[Site]],'Important Info!'!$A$1:$F$135,4,FALSE)</f>
        <v>20, 21</v>
      </c>
      <c r="O1355" s="52" t="str">
        <f>VLOOKUP(Tabla3[[#This Row],[Site]],'Important Info!'!$A$1:$F$135,5,FALSE)</f>
        <v>-</v>
      </c>
      <c r="P1355" s="52" t="str">
        <f>VLOOKUP(Tabla3[[#This Row],[Site]],'Important Info!'!$A$1:$F$135,6,FALSE)</f>
        <v>1, 2, 3, 131, 132</v>
      </c>
      <c r="Q1355" s="91">
        <f>VLOOKUP(Tabla3[[#This Row],[Site]],'Important Info!'!$A$1:$J$135,9,FALSE)</f>
        <v>162</v>
      </c>
    </row>
    <row r="1356" spans="1:17" x14ac:dyDescent="0.25">
      <c r="A1356" t="str">
        <f>+Tabla3[[#This Row],[Site]]&amp;Tabla3[[#This Row],[Split]]</f>
        <v>(AS) Courtesy CDJR of Brandon (NO TOURS)15</v>
      </c>
      <c r="B1356">
        <v>15</v>
      </c>
      <c r="C1356">
        <v>11</v>
      </c>
      <c r="D1356" t="s">
        <v>62</v>
      </c>
      <c r="E1356" t="s">
        <v>35</v>
      </c>
      <c r="F1356" t="s">
        <v>503</v>
      </c>
      <c r="G1356" t="s">
        <v>490</v>
      </c>
      <c r="H1356" s="52" t="str">
        <f>VLOOKUP(Tabla3[[#This Row],[Site]],'Important Info!'!$A$1:$J$135,10,FALSE)</f>
        <v>https://tools.sig.systems/site/details/126</v>
      </c>
      <c r="I1356" s="2" t="s">
        <v>181</v>
      </c>
      <c r="J1356" t="s">
        <v>484</v>
      </c>
      <c r="K1356" s="79" t="str">
        <f>VLOOKUP(Tabla3[[#This Row],[Site]],'Important Info!'!$A$1:$H$135,8,FALSE)</f>
        <v>-</v>
      </c>
      <c r="L1356" s="52" t="str">
        <f>VLOOKUP(Tabla3[[#This Row],[Site]],'Important Info!'!$A$1:$F$135,2,FALSE)</f>
        <v>1, 14, 15</v>
      </c>
      <c r="M1356" s="52">
        <f>VLOOKUP(Tabla3[[#This Row],[Site]],'Important Info!'!$A$1:$F$135,3,FALSE)</f>
        <v>1</v>
      </c>
      <c r="N1356" s="52" t="str">
        <f>VLOOKUP(Tabla3[[#This Row],[Site]],'Important Info!'!$A$1:$F$135,4,FALSE)</f>
        <v>-</v>
      </c>
      <c r="O1356" s="52" t="str">
        <f>VLOOKUP(Tabla3[[#This Row],[Site]],'Important Info!'!$A$1:$F$135,5,FALSE)</f>
        <v>2, 12</v>
      </c>
      <c r="P1356" s="52" t="str">
        <f>VLOOKUP(Tabla3[[#This Row],[Site]],'Important Info!'!$A$1:$F$135,6,FALSE)</f>
        <v xml:space="preserve">1, 2, 3, 4, 14, 15, 21, 25 </v>
      </c>
      <c r="Q1356" s="91">
        <f>VLOOKUP(Tabla3[[#This Row],[Site]],'Important Info!'!$A$1:$J$135,9,FALSE)</f>
        <v>126</v>
      </c>
    </row>
    <row r="1357" spans="1:17" x14ac:dyDescent="0.25">
      <c r="A1357" t="str">
        <f>+Tabla3[[#This Row],[Site]]&amp;Tabla3[[#This Row],[Split]]</f>
        <v>(AS) David McDavid Lincoln Frisco (NO TOURS)15</v>
      </c>
      <c r="B1357">
        <v>15</v>
      </c>
      <c r="C1357">
        <v>11</v>
      </c>
      <c r="D1357" t="s">
        <v>33</v>
      </c>
      <c r="E1357" t="s">
        <v>46</v>
      </c>
      <c r="F1357" t="s">
        <v>507</v>
      </c>
      <c r="G1357" t="s">
        <v>34</v>
      </c>
      <c r="H1357" s="52" t="str">
        <f>VLOOKUP(Tabla3[[#This Row],[Site]],'Important Info!'!$A$1:$J$135,10,FALSE)</f>
        <v>https://tools.sig.systems/site/details/182</v>
      </c>
      <c r="I1357" s="43"/>
      <c r="J1357" t="s">
        <v>41</v>
      </c>
      <c r="K1357" s="79" t="str">
        <f>VLOOKUP(Tabla3[[#This Row],[Site]],'Important Info!'!$A$1:$H$135,8,FALSE)</f>
        <v>-</v>
      </c>
      <c r="L1357" s="52" t="str">
        <f>VLOOKUP(Tabla3[[#This Row],[Site]],'Important Info!'!$A$1:$F$135,2,FALSE)</f>
        <v>1, 2, 11</v>
      </c>
      <c r="M1357" s="52" t="str">
        <f>VLOOKUP(Tabla3[[#This Row],[Site]],'Important Info!'!$A$1:$F$135,3,FALSE)</f>
        <v>-</v>
      </c>
      <c r="N1357" s="52" t="str">
        <f>VLOOKUP(Tabla3[[#This Row],[Site]],'Important Info!'!$A$1:$F$135,4,FALSE)</f>
        <v>-</v>
      </c>
      <c r="O1357" s="52" t="str">
        <f>VLOOKUP(Tabla3[[#This Row],[Site]],'Important Info!'!$A$1:$F$135,5,FALSE)</f>
        <v>11, 16, 20</v>
      </c>
      <c r="P1357" s="52" t="str">
        <f>VLOOKUP(Tabla3[[#This Row],[Site]],'Important Info!'!$A$1:$F$135,6,FALSE)</f>
        <v>11, 12, 13, 14</v>
      </c>
      <c r="Q1357" s="91">
        <f>VLOOKUP(Tabla3[[#This Row],[Site]],'Important Info!'!$A$1:$J$135,9,FALSE)</f>
        <v>182</v>
      </c>
    </row>
    <row r="1358" spans="1:17" x14ac:dyDescent="0.25">
      <c r="A1358" t="str">
        <f>+Tabla3[[#This Row],[Site]]&amp;Tabla3[[#This Row],[Split]]</f>
        <v>(AS) Lexus Smyrna (NO TOURS)15</v>
      </c>
      <c r="B1358">
        <v>15</v>
      </c>
      <c r="C1358">
        <v>11</v>
      </c>
      <c r="D1358" t="s">
        <v>62</v>
      </c>
      <c r="E1358" t="s">
        <v>35</v>
      </c>
      <c r="F1358" t="s">
        <v>84</v>
      </c>
      <c r="G1358" t="s">
        <v>490</v>
      </c>
      <c r="H1358" s="52" t="str">
        <f>VLOOKUP(Tabla3[[#This Row],[Site]],'Important Info!'!$A$1:$J$135,10,FALSE)</f>
        <v>https://tools.sig.systems/site/details/133</v>
      </c>
      <c r="I1358" s="2"/>
      <c r="J1358" t="s">
        <v>41</v>
      </c>
      <c r="K1358" s="79" t="str">
        <f>VLOOKUP(Tabla3[[#This Row],[Site]],'Important Info!'!$A$1:$H$135,8,FALSE)</f>
        <v>-</v>
      </c>
      <c r="L1358" s="52" t="str">
        <f>VLOOKUP(Tabla3[[#This Row],[Site]],'Important Info!'!$A$1:$F$135,2,FALSE)</f>
        <v xml:space="preserve">2, 6, 10 </v>
      </c>
      <c r="M1358" s="52" t="str">
        <f>VLOOKUP(Tabla3[[#This Row],[Site]],'Important Info!'!$A$1:$F$135,3,FALSE)</f>
        <v>-</v>
      </c>
      <c r="N1358" s="52" t="str">
        <f>VLOOKUP(Tabla3[[#This Row],[Site]],'Important Info!'!$A$1:$F$135,4,FALSE)</f>
        <v>-</v>
      </c>
      <c r="O1358" s="52" t="str">
        <f>VLOOKUP(Tabla3[[#This Row],[Site]],'Important Info!'!$A$1:$F$135,5,FALSE)</f>
        <v>3, 5, 10, 15</v>
      </c>
      <c r="P1358" s="52" t="str">
        <f>VLOOKUP(Tabla3[[#This Row],[Site]],'Important Info!'!$A$1:$F$135,6,FALSE)</f>
        <v>10, 11</v>
      </c>
      <c r="Q1358" s="91">
        <f>VLOOKUP(Tabla3[[#This Row],[Site]],'Important Info!'!$A$1:$J$135,9,FALSE)</f>
        <v>133</v>
      </c>
    </row>
    <row r="1359" spans="1:17" x14ac:dyDescent="0.25">
      <c r="A1359" t="str">
        <f>+Tabla3[[#This Row],[Site]]&amp;Tabla3[[#This Row],[Split]]</f>
        <v>(AS) Nalley BMW Collision Center (NO TOURS)15</v>
      </c>
      <c r="B1359">
        <v>15</v>
      </c>
      <c r="C1359">
        <v>11</v>
      </c>
      <c r="D1359" t="s">
        <v>62</v>
      </c>
      <c r="E1359" t="s">
        <v>35</v>
      </c>
      <c r="F1359" t="s">
        <v>510</v>
      </c>
      <c r="G1359" t="s">
        <v>490</v>
      </c>
      <c r="H1359" s="52" t="str">
        <f>VLOOKUP(Tabla3[[#This Row],[Site]],'Important Info!'!$A$1:$J$135,10,FALSE)</f>
        <v>https://tools.sig.systems/site/details/220</v>
      </c>
      <c r="I1359" s="2"/>
      <c r="J1359" t="s">
        <v>41</v>
      </c>
      <c r="K1359" s="79" t="str">
        <f>VLOOKUP(Tabla3[[#This Row],[Site]],'Important Info!'!$A$1:$H$135,8,FALSE)</f>
        <v>-</v>
      </c>
      <c r="L1359" s="52" t="str">
        <f>VLOOKUP(Tabla3[[#This Row],[Site]],'Important Info!'!$A$1:$F$135,2,FALSE)</f>
        <v>-</v>
      </c>
      <c r="M1359" s="52">
        <f>VLOOKUP(Tabla3[[#This Row],[Site]],'Important Info!'!$A$1:$F$135,3,FALSE)</f>
        <v>4</v>
      </c>
      <c r="N1359" s="52" t="str">
        <f>VLOOKUP(Tabla3[[#This Row],[Site]],'Important Info!'!$A$1:$F$135,4,FALSE)</f>
        <v>-</v>
      </c>
      <c r="O1359" s="52">
        <f>VLOOKUP(Tabla3[[#This Row],[Site]],'Important Info!'!$A$1:$F$135,5,FALSE)</f>
        <v>12</v>
      </c>
      <c r="P1359" s="52" t="str">
        <f>VLOOKUP(Tabla3[[#This Row],[Site]],'Important Info!'!$A$1:$F$135,6,FALSE)</f>
        <v>13, 15</v>
      </c>
      <c r="Q1359" s="91">
        <f>VLOOKUP(Tabla3[[#This Row],[Site]],'Important Info!'!$A$1:$J$135,9,FALSE)</f>
        <v>220</v>
      </c>
    </row>
    <row r="1360" spans="1:17" x14ac:dyDescent="0.25">
      <c r="A1360" t="str">
        <f>+Tabla3[[#This Row],[Site]]&amp;Tabla3[[#This Row],[Split]]</f>
        <v>(DT) Albuquerque15</v>
      </c>
      <c r="B1360">
        <v>15</v>
      </c>
      <c r="C1360">
        <v>11</v>
      </c>
      <c r="D1360" t="s">
        <v>44</v>
      </c>
      <c r="E1360" t="s">
        <v>53</v>
      </c>
      <c r="F1360" t="s">
        <v>155</v>
      </c>
      <c r="G1360" t="s">
        <v>45</v>
      </c>
      <c r="H1360" s="52" t="str">
        <f>VLOOKUP(Tabla3[[#This Row],[Site]],'Important Info!'!$A$1:$J$135,10,FALSE)</f>
        <v>https://tools.sig.systems/site/details/237</v>
      </c>
      <c r="J1360" t="s">
        <v>41</v>
      </c>
      <c r="K1360" s="79" t="str">
        <f>VLOOKUP(Tabla3[[#This Row],[Site]],'Important Info!'!$A$1:$H$135,8,FALSE)</f>
        <v>-</v>
      </c>
      <c r="L1360" s="52" t="str">
        <f>VLOOKUP(Tabla3[[#This Row],[Site]],'Important Info!'!$A$1:$F$135,2,FALSE)</f>
        <v>14, 16</v>
      </c>
      <c r="M1360" s="52" t="str">
        <f>VLOOKUP(Tabla3[[#This Row],[Site]],'Important Info!'!$A$1:$F$135,3,FALSE)</f>
        <v>-</v>
      </c>
      <c r="N1360" s="52" t="str">
        <f>VLOOKUP(Tabla3[[#This Row],[Site]],'Important Info!'!$A$1:$F$135,4,FALSE)</f>
        <v>-</v>
      </c>
      <c r="O1360" s="52" t="str">
        <f>VLOOKUP(Tabla3[[#This Row],[Site]],'Important Info!'!$A$1:$F$135,5,FALSE)</f>
        <v>14, 15</v>
      </c>
      <c r="P1360" s="52" t="str">
        <f>VLOOKUP(Tabla3[[#This Row],[Site]],'Important Info!'!$A$1:$F$135,6,FALSE)</f>
        <v>12, 14, 16</v>
      </c>
      <c r="Q1360" s="91">
        <f>VLOOKUP(Tabla3[[#This Row],[Site]],'Important Info!'!$A$1:$J$135,9,FALSE)</f>
        <v>237</v>
      </c>
    </row>
    <row r="1361" spans="1:17" x14ac:dyDescent="0.25">
      <c r="A1361" t="str">
        <f>+Tabla3[[#This Row],[Site]]&amp;Tabla3[[#This Row],[Split]]</f>
        <v>(ML) Mazda VW-Lot B15</v>
      </c>
      <c r="B1361">
        <v>15</v>
      </c>
      <c r="C1361">
        <v>11</v>
      </c>
      <c r="D1361" t="s">
        <v>33</v>
      </c>
      <c r="E1361" t="s">
        <v>46</v>
      </c>
      <c r="F1361" t="s">
        <v>9</v>
      </c>
      <c r="G1361" t="s">
        <v>34</v>
      </c>
      <c r="H1361" s="52" t="str">
        <f>VLOOKUP(Tabla3[[#This Row],[Site]],'Important Info!'!$A$1:$J$135,10,FALSE)</f>
        <v>https://tools.sig.systems/site/details/205</v>
      </c>
      <c r="I1361" s="2" t="s">
        <v>142</v>
      </c>
      <c r="J1361" t="s">
        <v>41</v>
      </c>
      <c r="K1361" s="79" t="str">
        <f>VLOOKUP(Tabla3[[#This Row],[Site]],'Important Info!'!$A$1:$H$135,8,FALSE)</f>
        <v>-</v>
      </c>
      <c r="L1361" s="52" t="str">
        <f>VLOOKUP(Tabla3[[#This Row],[Site]],'Important Info!'!$A$1:$F$135,2,FALSE)</f>
        <v>9, 14, 16</v>
      </c>
      <c r="M1361" s="52">
        <f>VLOOKUP(Tabla3[[#This Row],[Site]],'Important Info!'!$A$1:$F$135,3,FALSE)</f>
        <v>1</v>
      </c>
      <c r="N1361" s="52" t="str">
        <f>VLOOKUP(Tabla3[[#This Row],[Site]],'Important Info!'!$A$1:$F$135,4,FALSE)</f>
        <v>-</v>
      </c>
      <c r="O1361" s="52">
        <f>VLOOKUP(Tabla3[[#This Row],[Site]],'Important Info!'!$A$1:$F$135,5,FALSE)</f>
        <v>4</v>
      </c>
      <c r="P1361" s="52" t="str">
        <f>VLOOKUP(Tabla3[[#This Row],[Site]],'Important Info!'!$A$1:$F$135,6,FALSE)</f>
        <v>-</v>
      </c>
      <c r="Q1361" s="91">
        <f>VLOOKUP(Tabla3[[#This Row],[Site]],'Important Info!'!$A$1:$J$135,9,FALSE)</f>
        <v>205</v>
      </c>
    </row>
    <row r="1362" spans="1:17" x14ac:dyDescent="0.25">
      <c r="A1362" t="str">
        <f>+Tabla3[[#This Row],[Site]]&amp;Tabla3[[#This Row],[Split]]</f>
        <v>(ML) Volvo Collision Corp15</v>
      </c>
      <c r="B1362">
        <v>15</v>
      </c>
      <c r="C1362">
        <v>11</v>
      </c>
      <c r="D1362" t="s">
        <v>33</v>
      </c>
      <c r="E1362" t="s">
        <v>46</v>
      </c>
      <c r="F1362" t="s">
        <v>106</v>
      </c>
      <c r="G1362" t="s">
        <v>34</v>
      </c>
      <c r="H1362" s="52" t="str">
        <f>VLOOKUP(Tabla3[[#This Row],[Site]],'Important Info!'!$A$1:$J$135,10,FALSE)</f>
        <v>https://tools.sig.systems/site/details/223</v>
      </c>
      <c r="I1362" s="2"/>
      <c r="J1362" t="s">
        <v>41</v>
      </c>
      <c r="K1362" s="79" t="str">
        <f>VLOOKUP(Tabla3[[#This Row],[Site]],'Important Info!'!$A$1:$H$135,8,FALSE)</f>
        <v>-</v>
      </c>
      <c r="L1362" s="52" t="str">
        <f>VLOOKUP(Tabla3[[#This Row],[Site]],'Important Info!'!$A$1:$F$135,2,FALSE)</f>
        <v>7, 11</v>
      </c>
      <c r="M1362" s="52">
        <f>VLOOKUP(Tabla3[[#This Row],[Site]],'Important Info!'!$A$1:$F$135,3,FALSE)</f>
        <v>4</v>
      </c>
      <c r="N1362" s="52" t="str">
        <f>VLOOKUP(Tabla3[[#This Row],[Site]],'Important Info!'!$A$1:$F$135,4,FALSE)</f>
        <v>-</v>
      </c>
      <c r="O1362" s="52">
        <f>VLOOKUP(Tabla3[[#This Row],[Site]],'Important Info!'!$A$1:$F$135,5,FALSE)</f>
        <v>18</v>
      </c>
      <c r="P1362" s="52" t="str">
        <f>VLOOKUP(Tabla3[[#This Row],[Site]],'Important Info!'!$A$1:$F$135,6,FALSE)</f>
        <v>-</v>
      </c>
      <c r="Q1362" s="91">
        <f>VLOOKUP(Tabla3[[#This Row],[Site]],'Important Info!'!$A$1:$J$135,9,FALSE)</f>
        <v>223</v>
      </c>
    </row>
    <row r="1363" spans="1:17" x14ac:dyDescent="0.25">
      <c r="A1363" t="str">
        <f>+Tabla3[[#This Row],[Site]]&amp;Tabla3[[#This Row],[Split]]</f>
        <v>(PE) Fairfield Collision (NO TOURS)15</v>
      </c>
      <c r="B1363">
        <v>15</v>
      </c>
      <c r="C1363">
        <v>11</v>
      </c>
      <c r="D1363" t="s">
        <v>485</v>
      </c>
      <c r="E1363" t="s">
        <v>35</v>
      </c>
      <c r="F1363" t="s">
        <v>63</v>
      </c>
      <c r="G1363" t="s">
        <v>490</v>
      </c>
      <c r="H1363" s="52" t="str">
        <f>VLOOKUP(Tabla3[[#This Row],[Site]],'Important Info!'!$A$1:$J$135,10,FALSE)</f>
        <v>https://tools.sig.systems/site/details/191</v>
      </c>
      <c r="J1363" t="s">
        <v>41</v>
      </c>
      <c r="K1363" s="79" t="str">
        <f>VLOOKUP(Tabla3[[#This Row],[Site]],'Important Info!'!$A$1:$H$135,8,FALSE)</f>
        <v>-</v>
      </c>
      <c r="L1363" s="52">
        <f>VLOOKUP(Tabla3[[#This Row],[Site]],'Important Info!'!$A$1:$F$135,2,FALSE)</f>
        <v>4</v>
      </c>
      <c r="M1363" s="52" t="str">
        <f>VLOOKUP(Tabla3[[#This Row],[Site]],'Important Info!'!$A$1:$F$135,3,FALSE)</f>
        <v>-</v>
      </c>
      <c r="N1363" s="52" t="str">
        <f>VLOOKUP(Tabla3[[#This Row],[Site]],'Important Info!'!$A$1:$F$135,4,FALSE)</f>
        <v>-</v>
      </c>
      <c r="O1363" s="52" t="str">
        <f>VLOOKUP(Tabla3[[#This Row],[Site]],'Important Info!'!$A$1:$F$135,5,FALSE)</f>
        <v>-</v>
      </c>
      <c r="P1363" s="52" t="str">
        <f>VLOOKUP(Tabla3[[#This Row],[Site]],'Important Info!'!$A$1:$F$135,6,FALSE)</f>
        <v>1, 2, 3, 4, 5, 6</v>
      </c>
      <c r="Q1363" s="91">
        <f>VLOOKUP(Tabla3[[#This Row],[Site]],'Important Info!'!$A$1:$J$135,9,FALSE)</f>
        <v>191</v>
      </c>
    </row>
    <row r="1364" spans="1:17" x14ac:dyDescent="0.25">
      <c r="A1364" t="str">
        <f>+Tabla3[[#This Row],[Site]]&amp;Tabla3[[#This Row],[Split]]</f>
        <v>(AS) Courtesy Kia of Brandon (NO TOURS)15</v>
      </c>
      <c r="B1364">
        <v>15</v>
      </c>
      <c r="C1364">
        <v>12</v>
      </c>
      <c r="D1364" t="s">
        <v>62</v>
      </c>
      <c r="E1364" t="s">
        <v>35</v>
      </c>
      <c r="F1364" t="s">
        <v>505</v>
      </c>
      <c r="G1364" t="s">
        <v>490</v>
      </c>
      <c r="H1364" s="52" t="str">
        <f>VLOOKUP(Tabla3[[#This Row],[Site]],'Important Info!'!$A$1:$J$135,10,FALSE)</f>
        <v>https://tools.sig.systems/site/details/121</v>
      </c>
      <c r="I1364" s="43" t="s">
        <v>181</v>
      </c>
      <c r="J1364" t="s">
        <v>484</v>
      </c>
      <c r="K1364" s="79" t="str">
        <f>VLOOKUP(Tabla3[[#This Row],[Site]],'Important Info!'!$A$1:$H$135,8,FALSE)</f>
        <v>-</v>
      </c>
      <c r="L1364" s="52" t="str">
        <f>VLOOKUP(Tabla3[[#This Row],[Site]],'Important Info!'!$A$1:$F$135,2,FALSE)</f>
        <v>-</v>
      </c>
      <c r="M1364" s="52" t="str">
        <f>VLOOKUP(Tabla3[[#This Row],[Site]],'Important Info!'!$A$1:$F$135,3,FALSE)</f>
        <v>4, 8</v>
      </c>
      <c r="N1364" s="52" t="str">
        <f>VLOOKUP(Tabla3[[#This Row],[Site]],'Important Info!'!$A$1:$F$135,4,FALSE)</f>
        <v>-</v>
      </c>
      <c r="O1364" s="52" t="str">
        <f>VLOOKUP(Tabla3[[#This Row],[Site]],'Important Info!'!$A$1:$F$135,5,FALSE)</f>
        <v>3, 11, 20, 24</v>
      </c>
      <c r="P1364" s="52" t="str">
        <f>VLOOKUP(Tabla3[[#This Row],[Site]],'Important Info!'!$A$1:$F$135,6,FALSE)</f>
        <v>2, 8</v>
      </c>
      <c r="Q1364" s="91">
        <f>VLOOKUP(Tabla3[[#This Row],[Site]],'Important Info!'!$A$1:$J$135,9,FALSE)</f>
        <v>121</v>
      </c>
    </row>
    <row r="1365" spans="1:17" x14ac:dyDescent="0.25">
      <c r="A1365" t="str">
        <f>+Tabla3[[#This Row],[Site]]&amp;Tabla3[[#This Row],[Split]]</f>
        <v>(DT) Colorado Springs (NO TOURS)15</v>
      </c>
      <c r="B1365">
        <v>15</v>
      </c>
      <c r="C1365">
        <v>12</v>
      </c>
      <c r="D1365" t="s">
        <v>44</v>
      </c>
      <c r="E1365" t="s">
        <v>53</v>
      </c>
      <c r="F1365" t="s">
        <v>156</v>
      </c>
      <c r="G1365" t="s">
        <v>45</v>
      </c>
      <c r="H1365" s="52" t="str">
        <f>VLOOKUP(Tabla3[[#This Row],[Site]],'Important Info!'!$A$1:$J$135,10,FALSE)</f>
        <v>https://tools.sig.systems/site/details/198</v>
      </c>
      <c r="J1365" t="s">
        <v>41</v>
      </c>
      <c r="K1365" s="79" t="str">
        <f>VLOOKUP(Tabla3[[#This Row],[Site]],'Important Info!'!$A$1:$H$135,8,FALSE)</f>
        <v>-</v>
      </c>
      <c r="L1365" s="52" t="str">
        <f>VLOOKUP(Tabla3[[#This Row],[Site]],'Important Info!'!$A$1:$F$135,2,FALSE)</f>
        <v>-</v>
      </c>
      <c r="M1365" s="52" t="str">
        <f>VLOOKUP(Tabla3[[#This Row],[Site]],'Important Info!'!$A$1:$F$135,3,FALSE)</f>
        <v>1, 2, 3, 4</v>
      </c>
      <c r="N1365" s="52" t="str">
        <f>VLOOKUP(Tabla3[[#This Row],[Site]],'Important Info!'!$A$1:$F$135,4,FALSE)</f>
        <v>-</v>
      </c>
      <c r="O1365" s="52" t="str">
        <f>VLOOKUP(Tabla3[[#This Row],[Site]],'Important Info!'!$A$1:$F$135,5,FALSE)</f>
        <v>-</v>
      </c>
      <c r="P1365" s="52" t="str">
        <f>VLOOKUP(Tabla3[[#This Row],[Site]],'Important Info!'!$A$1:$F$135,6,FALSE)</f>
        <v>1, 2, 3, 11</v>
      </c>
      <c r="Q1365" s="91">
        <f>VLOOKUP(Tabla3[[#This Row],[Site]],'Important Info!'!$A$1:$J$135,9,FALSE)</f>
        <v>198</v>
      </c>
    </row>
    <row r="1366" spans="1:17" x14ac:dyDescent="0.25">
      <c r="A1366" t="str">
        <f>+Tabla3[[#This Row],[Site]]&amp;Tabla3[[#This Row],[Split]]</f>
        <v>(KG) Kia of Phoenix (NO TOURS)15</v>
      </c>
      <c r="B1366">
        <v>15</v>
      </c>
      <c r="C1366">
        <v>12</v>
      </c>
      <c r="D1366" t="s">
        <v>51</v>
      </c>
      <c r="E1366" t="s">
        <v>161</v>
      </c>
      <c r="F1366" t="s">
        <v>94</v>
      </c>
      <c r="G1366" t="s">
        <v>52</v>
      </c>
      <c r="H1366" s="52" t="str">
        <f>VLOOKUP(Tabla3[[#This Row],[Site]],'Important Info!'!$A$1:$J$135,10,FALSE)</f>
        <v>https://tools.sig.systems/site/details/262</v>
      </c>
      <c r="J1366" t="s">
        <v>162</v>
      </c>
      <c r="K1366" s="79" t="str">
        <f>VLOOKUP(Tabla3[[#This Row],[Site]],'Important Info!'!$A$1:$H$135,8,FALSE)</f>
        <v>-</v>
      </c>
      <c r="L1366" s="52" t="str">
        <f>VLOOKUP(Tabla3[[#This Row],[Site]],'Important Info!'!$A$1:$F$135,2,FALSE)</f>
        <v>5, 8, 23</v>
      </c>
      <c r="M1366" s="52" t="str">
        <f>VLOOKUP(Tabla3[[#This Row],[Site]],'Important Info!'!$A$1:$F$135,3,FALSE)</f>
        <v>-</v>
      </c>
      <c r="N1366" s="52" t="str">
        <f>VLOOKUP(Tabla3[[#This Row],[Site]],'Important Info!'!$A$1:$F$135,4,FALSE)</f>
        <v>-</v>
      </c>
      <c r="O1366" s="52">
        <f>VLOOKUP(Tabla3[[#This Row],[Site]],'Important Info!'!$A$1:$F$135,5,FALSE)</f>
        <v>4</v>
      </c>
      <c r="P1366" s="52" t="str">
        <f>VLOOKUP(Tabla3[[#This Row],[Site]],'Important Info!'!$A$1:$F$135,6,FALSE)</f>
        <v>-</v>
      </c>
      <c r="Q1366" s="91">
        <f>VLOOKUP(Tabla3[[#This Row],[Site]],'Important Info!'!$A$1:$J$135,9,FALSE)</f>
        <v>262</v>
      </c>
    </row>
    <row r="1367" spans="1:17" x14ac:dyDescent="0.25">
      <c r="A1367" t="str">
        <f>+Tabla3[[#This Row],[Site]]&amp;Tabla3[[#This Row],[Split]]</f>
        <v>(KT) Northwest CDJR (NO TOURS)15</v>
      </c>
      <c r="B1367">
        <v>15</v>
      </c>
      <c r="C1367">
        <v>12</v>
      </c>
      <c r="D1367" t="s">
        <v>33</v>
      </c>
      <c r="E1367" t="s">
        <v>46</v>
      </c>
      <c r="F1367" t="s">
        <v>77</v>
      </c>
      <c r="G1367" t="s">
        <v>34</v>
      </c>
      <c r="H1367" s="52" t="str">
        <f>VLOOKUP(Tabla3[[#This Row],[Site]],'Important Info!'!$A$1:$J$135,10,FALSE)</f>
        <v>https://tools.sig.systems/site/details/229</v>
      </c>
      <c r="I1367" s="2"/>
      <c r="J1367" t="s">
        <v>41</v>
      </c>
      <c r="K1367" s="79" t="str">
        <f>VLOOKUP(Tabla3[[#This Row],[Site]],'Important Info!'!$A$1:$H$135,8,FALSE)</f>
        <v>-</v>
      </c>
      <c r="L1367" s="52" t="str">
        <f>VLOOKUP(Tabla3[[#This Row],[Site]],'Important Info!'!$A$1:$F$135,2,FALSE)</f>
        <v>1, 3, 11, 25</v>
      </c>
      <c r="M1367" s="52" t="str">
        <f>VLOOKUP(Tabla3[[#This Row],[Site]],'Important Info!'!$A$1:$F$135,3,FALSE)</f>
        <v>-</v>
      </c>
      <c r="N1367" s="52" t="str">
        <f>VLOOKUP(Tabla3[[#This Row],[Site]],'Important Info!'!$A$1:$F$135,4,FALSE)</f>
        <v>-</v>
      </c>
      <c r="O1367" s="52" t="str">
        <f>VLOOKUP(Tabla3[[#This Row],[Site]],'Important Info!'!$A$1:$F$135,5,FALSE)</f>
        <v>4, 12, 18</v>
      </c>
      <c r="P1367" s="52" t="str">
        <f>VLOOKUP(Tabla3[[#This Row],[Site]],'Important Info!'!$A$1:$F$135,6,FALSE)</f>
        <v>-</v>
      </c>
      <c r="Q1367" s="91">
        <f>VLOOKUP(Tabla3[[#This Row],[Site]],'Important Info!'!$A$1:$J$135,9,FALSE)</f>
        <v>229</v>
      </c>
    </row>
    <row r="1368" spans="1:17" x14ac:dyDescent="0.25">
      <c r="A1368" t="str">
        <f>+Tabla3[[#This Row],[Site]]&amp;Tabla3[[#This Row],[Split]]</f>
        <v>(MK) McKenny Salinas Honda15</v>
      </c>
      <c r="B1368">
        <v>15</v>
      </c>
      <c r="C1368">
        <v>12</v>
      </c>
      <c r="D1368" t="s">
        <v>62</v>
      </c>
      <c r="E1368" t="s">
        <v>35</v>
      </c>
      <c r="F1368" t="s">
        <v>115</v>
      </c>
      <c r="G1368" t="s">
        <v>490</v>
      </c>
      <c r="H1368" s="52" t="str">
        <f>VLOOKUP(Tabla3[[#This Row],[Site]],'Important Info!'!$A$1:$J$135,10,FALSE)</f>
        <v>https://tools.sig.systems/site/details/149</v>
      </c>
      <c r="J1368" t="s">
        <v>41</v>
      </c>
      <c r="K1368" s="79" t="str">
        <f>VLOOKUP(Tabla3[[#This Row],[Site]],'Important Info!'!$A$1:$H$135,8,FALSE)</f>
        <v>-</v>
      </c>
      <c r="L1368" s="52" t="str">
        <f>VLOOKUP(Tabla3[[#This Row],[Site]],'Important Info!'!$A$1:$F$135,2,FALSE)</f>
        <v>-</v>
      </c>
      <c r="M1368" s="52" t="str">
        <f>VLOOKUP(Tabla3[[#This Row],[Site]],'Important Info!'!$A$1:$F$135,3,FALSE)</f>
        <v>12, 16</v>
      </c>
      <c r="N1368" s="52" t="str">
        <f>VLOOKUP(Tabla3[[#This Row],[Site]],'Important Info!'!$A$1:$F$135,4,FALSE)</f>
        <v>-</v>
      </c>
      <c r="O1368" s="52" t="str">
        <f>VLOOKUP(Tabla3[[#This Row],[Site]],'Important Info!'!$A$1:$F$135,5,FALSE)</f>
        <v>-</v>
      </c>
      <c r="P1368" s="52" t="str">
        <f>VLOOKUP(Tabla3[[#This Row],[Site]],'Important Info!'!$A$1:$F$135,6,FALSE)</f>
        <v>3, 4, 5, 6, 16</v>
      </c>
      <c r="Q1368" s="91">
        <f>VLOOKUP(Tabla3[[#This Row],[Site]],'Important Info!'!$A$1:$J$135,9,FALSE)</f>
        <v>149</v>
      </c>
    </row>
    <row r="1369" spans="1:17" x14ac:dyDescent="0.25">
      <c r="A1369" t="str">
        <f>+Tabla3[[#This Row],[Site]]&amp;Tabla3[[#This Row],[Split]]</f>
        <v>(ML) Joe Machens Capital City I &amp; II (NO TOURS)15</v>
      </c>
      <c r="B1369">
        <v>15</v>
      </c>
      <c r="C1369">
        <v>12</v>
      </c>
      <c r="D1369" t="s">
        <v>33</v>
      </c>
      <c r="E1369" t="s">
        <v>46</v>
      </c>
      <c r="F1369" t="s">
        <v>72</v>
      </c>
      <c r="G1369" t="s">
        <v>34</v>
      </c>
      <c r="H1369" s="52" t="str">
        <f>VLOOKUP(Tabla3[[#This Row],[Site]],'Important Info!'!$A$1:$J$135,10,FALSE)</f>
        <v>https://tools.sig.systems/site/details/271</v>
      </c>
      <c r="I1369" s="2"/>
      <c r="J1369" t="s">
        <v>41</v>
      </c>
      <c r="K1369" s="79" t="str">
        <f>VLOOKUP(Tabla3[[#This Row],[Site]],'Important Info!'!$A$1:$H$135,8,FALSE)</f>
        <v>-</v>
      </c>
      <c r="L1369" s="52" t="str">
        <f>VLOOKUP(Tabla3[[#This Row],[Site]],'Important Info!'!$A$1:$F$135,2,FALSE)</f>
        <v>-</v>
      </c>
      <c r="M1369" s="52" t="str">
        <f>VLOOKUP(Tabla3[[#This Row],[Site]],'Important Info!'!$A$1:$F$135,3,FALSE)</f>
        <v>1, 3, 4, 20, 25, 27, 28</v>
      </c>
      <c r="N1369" s="52" t="str">
        <f>VLOOKUP(Tabla3[[#This Row],[Site]],'Important Info!'!$A$1:$F$135,4,FALSE)</f>
        <v>-</v>
      </c>
      <c r="O1369" s="52">
        <f>VLOOKUP(Tabla3[[#This Row],[Site]],'Important Info!'!$A$1:$F$135,5,FALSE)</f>
        <v>29</v>
      </c>
      <c r="P1369" s="52" t="str">
        <f>VLOOKUP(Tabla3[[#This Row],[Site]],'Important Info!'!$A$1:$F$135,6,FALSE)</f>
        <v>19, 20</v>
      </c>
      <c r="Q1369" s="91">
        <f>VLOOKUP(Tabla3[[#This Row],[Site]],'Important Info!'!$A$1:$J$135,9,FALSE)</f>
        <v>271</v>
      </c>
    </row>
    <row r="1370" spans="1:17" x14ac:dyDescent="0.25">
      <c r="A1370" t="str">
        <f>+Tabla3[[#This Row],[Site]]&amp;Tabla3[[#This Row],[Split]]</f>
        <v>(ML) Nissan Of Benton15</v>
      </c>
      <c r="B1370">
        <v>15</v>
      </c>
      <c r="C1370">
        <v>12</v>
      </c>
      <c r="D1370" t="s">
        <v>33</v>
      </c>
      <c r="E1370" t="s">
        <v>46</v>
      </c>
      <c r="F1370" t="s">
        <v>120</v>
      </c>
      <c r="G1370" t="s">
        <v>34</v>
      </c>
      <c r="H1370" s="52" t="str">
        <f>VLOOKUP(Tabla3[[#This Row],[Site]],'Important Info!'!$A$1:$J$135,10,FALSE)</f>
        <v>https://tools.sig.systems/site/details/247</v>
      </c>
      <c r="I1370" s="43"/>
      <c r="J1370" t="s">
        <v>41</v>
      </c>
      <c r="K1370" s="79" t="str">
        <f>VLOOKUP(Tabla3[[#This Row],[Site]],'Important Info!'!$A$1:$H$135,8,FALSE)</f>
        <v>-</v>
      </c>
      <c r="L1370" s="52" t="str">
        <f>VLOOKUP(Tabla3[[#This Row],[Site]],'Important Info!'!$A$1:$F$135,2,FALSE)</f>
        <v>5, 12</v>
      </c>
      <c r="M1370" s="52" t="str">
        <f>VLOOKUP(Tabla3[[#This Row],[Site]],'Important Info!'!$A$1:$F$135,3,FALSE)</f>
        <v>-</v>
      </c>
      <c r="N1370" s="52" t="str">
        <f>VLOOKUP(Tabla3[[#This Row],[Site]],'Important Info!'!$A$1:$F$135,4,FALSE)</f>
        <v>-</v>
      </c>
      <c r="O1370" s="52" t="str">
        <f>VLOOKUP(Tabla3[[#This Row],[Site]],'Important Info!'!$A$1:$F$135,5,FALSE)</f>
        <v>4, 18</v>
      </c>
      <c r="P1370" s="52" t="str">
        <f>VLOOKUP(Tabla3[[#This Row],[Site]],'Important Info!'!$A$1:$F$135,6,FALSE)</f>
        <v>-</v>
      </c>
      <c r="Q1370" s="91">
        <f>VLOOKUP(Tabla3[[#This Row],[Site]],'Important Info!'!$A$1:$J$135,9,FALSE)</f>
        <v>247</v>
      </c>
    </row>
    <row r="1371" spans="1:17" x14ac:dyDescent="0.25">
      <c r="A1371" t="str">
        <f>+Tabla3[[#This Row],[Site]]&amp;Tabla3[[#This Row],[Split]]</f>
        <v>(PE) Mercedes Benz &amp; Smart Bldg. of Fairfield (NO TOURS)15</v>
      </c>
      <c r="B1371">
        <v>15</v>
      </c>
      <c r="C1371">
        <v>12</v>
      </c>
      <c r="D1371" t="s">
        <v>485</v>
      </c>
      <c r="E1371" t="s">
        <v>35</v>
      </c>
      <c r="F1371" t="s">
        <v>64</v>
      </c>
      <c r="G1371" t="s">
        <v>490</v>
      </c>
      <c r="H1371" s="52" t="str">
        <f>VLOOKUP(Tabla3[[#This Row],[Site]],'Important Info!'!$A$1:$J$135,10,FALSE)</f>
        <v>https://tools.sig.systems/site/details/192</v>
      </c>
      <c r="I1371" t="s">
        <v>177</v>
      </c>
      <c r="J1371" t="s">
        <v>41</v>
      </c>
      <c r="K1371" s="79" t="str">
        <f>VLOOKUP(Tabla3[[#This Row],[Site]],'Important Info!'!$A$1:$H$135,8,FALSE)</f>
        <v>-</v>
      </c>
      <c r="L1371" s="52" t="str">
        <f>VLOOKUP(Tabla3[[#This Row],[Site]],'Important Info!'!$A$1:$F$135,2,FALSE)</f>
        <v>-</v>
      </c>
      <c r="M1371" s="52">
        <f>VLOOKUP(Tabla3[[#This Row],[Site]],'Important Info!'!$A$1:$F$135,3,FALSE)</f>
        <v>1</v>
      </c>
      <c r="N1371" s="52" t="str">
        <f>VLOOKUP(Tabla3[[#This Row],[Site]],'Important Info!'!$A$1:$F$135,4,FALSE)</f>
        <v>-</v>
      </c>
      <c r="O1371" s="52" t="str">
        <f>VLOOKUP(Tabla3[[#This Row],[Site]],'Important Info!'!$A$1:$F$135,5,FALSE)</f>
        <v>11, 13</v>
      </c>
      <c r="P1371" s="52">
        <f>VLOOKUP(Tabla3[[#This Row],[Site]],'Important Info!'!$A$1:$F$135,6,FALSE)</f>
        <v>1</v>
      </c>
      <c r="Q1371" s="91">
        <f>VLOOKUP(Tabla3[[#This Row],[Site]],'Important Info!'!$A$1:$J$135,9,FALSE)</f>
        <v>192</v>
      </c>
    </row>
    <row r="1372" spans="1:17" x14ac:dyDescent="0.25">
      <c r="A1372" t="str">
        <f>+Tabla3[[#This Row],[Site]]&amp;Tabla3[[#This Row],[Split]]</f>
        <v>(RV) Sonny's Camp N Travel Concord15</v>
      </c>
      <c r="B1372">
        <v>15</v>
      </c>
      <c r="C1372">
        <v>12</v>
      </c>
      <c r="D1372" t="s">
        <v>62</v>
      </c>
      <c r="E1372" t="s">
        <v>35</v>
      </c>
      <c r="F1372" t="s">
        <v>188</v>
      </c>
      <c r="G1372" t="s">
        <v>490</v>
      </c>
      <c r="H1372" s="52" t="str">
        <f>VLOOKUP(Tabla3[[#This Row],[Site]],'Important Info!'!$A$1:$J$135,10,FALSE)</f>
        <v>https://tools.sig.systems/site/details/183</v>
      </c>
      <c r="J1372" t="s">
        <v>41</v>
      </c>
      <c r="K1372" s="79" t="str">
        <f>VLOOKUP(Tabla3[[#This Row],[Site]],'Important Info!'!$A$1:$H$135,8,FALSE)</f>
        <v>-</v>
      </c>
      <c r="L1372" s="52">
        <f>VLOOKUP(Tabla3[[#This Row],[Site]],'Important Info!'!$A$1:$F$135,2,FALSE)</f>
        <v>1</v>
      </c>
      <c r="M1372" s="52" t="str">
        <f>VLOOKUP(Tabla3[[#This Row],[Site]],'Important Info!'!$A$1:$F$135,3,FALSE)</f>
        <v>-</v>
      </c>
      <c r="N1372" s="52" t="str">
        <f>VLOOKUP(Tabla3[[#This Row],[Site]],'Important Info!'!$A$1:$F$135,4,FALSE)</f>
        <v>-</v>
      </c>
      <c r="O1372" s="52">
        <f>VLOOKUP(Tabla3[[#This Row],[Site]],'Important Info!'!$A$1:$F$135,5,FALSE)</f>
        <v>7</v>
      </c>
      <c r="P1372" s="52" t="str">
        <f>VLOOKUP(Tabla3[[#This Row],[Site]],'Important Info!'!$A$1:$F$135,6,FALSE)</f>
        <v>6, 7, 8, 9</v>
      </c>
      <c r="Q1372" s="91">
        <f>VLOOKUP(Tabla3[[#This Row],[Site]],'Important Info!'!$A$1:$J$135,9,FALSE)</f>
        <v>183</v>
      </c>
    </row>
    <row r="1373" spans="1:17" x14ac:dyDescent="0.25">
      <c r="A1373" t="str">
        <f>+Tabla3[[#This Row],[Site]]&amp;Tabla3[[#This Row],[Split]]</f>
        <v>(AS) Coggin Acura Ft Pierce (NO TOURS)15</v>
      </c>
      <c r="B1373">
        <v>15</v>
      </c>
      <c r="C1373">
        <v>13</v>
      </c>
      <c r="D1373" t="s">
        <v>62</v>
      </c>
      <c r="E1373" t="s">
        <v>35</v>
      </c>
      <c r="F1373" t="s">
        <v>500</v>
      </c>
      <c r="G1373" t="s">
        <v>490</v>
      </c>
      <c r="H1373" s="52" t="str">
        <f>VLOOKUP(Tabla3[[#This Row],[Site]],'Important Info!'!$A$1:$J$135,10,FALSE)</f>
        <v>https://tools.sig.systems/site/details/118</v>
      </c>
      <c r="I1373" s="2" t="s">
        <v>179</v>
      </c>
      <c r="J1373" t="s">
        <v>41</v>
      </c>
      <c r="K1373" s="79" t="str">
        <f>VLOOKUP(Tabla3[[#This Row],[Site]],'Important Info!'!$A$1:$H$135,8,FALSE)</f>
        <v>-</v>
      </c>
      <c r="L1373" s="52" t="str">
        <f>VLOOKUP(Tabla3[[#This Row],[Site]],'Important Info!'!$A$1:$F$135,2,FALSE)</f>
        <v>-</v>
      </c>
      <c r="M1373" s="52">
        <f>VLOOKUP(Tabla3[[#This Row],[Site]],'Important Info!'!$A$1:$F$135,3,FALSE)</f>
        <v>6</v>
      </c>
      <c r="N1373" s="52" t="str">
        <f>VLOOKUP(Tabla3[[#This Row],[Site]],'Important Info!'!$A$1:$F$135,4,FALSE)</f>
        <v>-</v>
      </c>
      <c r="O1373" s="52" t="str">
        <f>VLOOKUP(Tabla3[[#This Row],[Site]],'Important Info!'!$A$1:$F$135,5,FALSE)</f>
        <v>4, 6</v>
      </c>
      <c r="P1373" s="52">
        <f>VLOOKUP(Tabla3[[#This Row],[Site]],'Important Info!'!$A$1:$F$135,6,FALSE)</f>
        <v>1</v>
      </c>
      <c r="Q1373" s="91">
        <f>VLOOKUP(Tabla3[[#This Row],[Site]],'Important Info!'!$A$1:$J$135,9,FALSE)</f>
        <v>118</v>
      </c>
    </row>
    <row r="1374" spans="1:17" x14ac:dyDescent="0.25">
      <c r="A1374" t="str">
        <f>+Tabla3[[#This Row],[Site]]&amp;Tabla3[[#This Row],[Split]]</f>
        <v>(AS) Courtesy Hyundai/Nissan Tampa (NO TOURS)15</v>
      </c>
      <c r="B1374">
        <v>15</v>
      </c>
      <c r="C1374">
        <v>13</v>
      </c>
      <c r="D1374" t="s">
        <v>62</v>
      </c>
      <c r="E1374" t="s">
        <v>35</v>
      </c>
      <c r="F1374" t="s">
        <v>504</v>
      </c>
      <c r="G1374" t="s">
        <v>490</v>
      </c>
      <c r="H1374" s="52" t="str">
        <f>VLOOKUP(Tabla3[[#This Row],[Site]],'Important Info!'!$A$1:$J$135,10,FALSE)</f>
        <v>https://tools.sig.systems/site/details/128</v>
      </c>
      <c r="I1374" s="2"/>
      <c r="J1374" t="s">
        <v>484</v>
      </c>
      <c r="K1374" s="79" t="str">
        <f>VLOOKUP(Tabla3[[#This Row],[Site]],'Important Info!'!$A$1:$H$135,8,FALSE)</f>
        <v>-</v>
      </c>
      <c r="L1374" s="52" t="str">
        <f>VLOOKUP(Tabla3[[#This Row],[Site]],'Important Info!'!$A$1:$F$135,2,FALSE)</f>
        <v>1, 16, 25, 27, 32</v>
      </c>
      <c r="M1374" s="52" t="str">
        <f>VLOOKUP(Tabla3[[#This Row],[Site]],'Important Info!'!$A$1:$F$135,3,FALSE)</f>
        <v>-</v>
      </c>
      <c r="N1374" s="52" t="str">
        <f>VLOOKUP(Tabla3[[#This Row],[Site]],'Important Info!'!$A$1:$F$135,4,FALSE)</f>
        <v>-</v>
      </c>
      <c r="O1374" s="52" t="str">
        <f>VLOOKUP(Tabla3[[#This Row],[Site]],'Important Info!'!$A$1:$F$135,5,FALSE)</f>
        <v>4, 10, 16</v>
      </c>
      <c r="P1374" s="52" t="str">
        <f>VLOOKUP(Tabla3[[#This Row],[Site]],'Important Info!'!$A$1:$F$135,6,FALSE)</f>
        <v>24, 25, 26 &amp; Remote Lots</v>
      </c>
      <c r="Q1374" s="91">
        <f>VLOOKUP(Tabla3[[#This Row],[Site]],'Important Info!'!$A$1:$J$135,9,FALSE)</f>
        <v>128</v>
      </c>
    </row>
    <row r="1375" spans="1:17" x14ac:dyDescent="0.25">
      <c r="A1375" t="str">
        <f>+Tabla3[[#This Row],[Site]]&amp;Tabla3[[#This Row],[Split]]</f>
        <v>(AS) David McDavid Honda I &amp; II (NO TOURS)15</v>
      </c>
      <c r="B1375">
        <v>15</v>
      </c>
      <c r="C1375">
        <v>13</v>
      </c>
      <c r="D1375" t="s">
        <v>33</v>
      </c>
      <c r="E1375" t="s">
        <v>46</v>
      </c>
      <c r="F1375" t="s">
        <v>506</v>
      </c>
      <c r="G1375" t="s">
        <v>34</v>
      </c>
      <c r="H1375" s="52" t="str">
        <f>VLOOKUP(Tabla3[[#This Row],[Site]],'Important Info!'!$A$1:$J$135,10,FALSE)</f>
        <v>https://tools.sig.systems/site/details/129</v>
      </c>
      <c r="J1375" t="s">
        <v>41</v>
      </c>
      <c r="K1375" s="79" t="str">
        <f>VLOOKUP(Tabla3[[#This Row],[Site]],'Important Info!'!$A$1:$H$135,8,FALSE)</f>
        <v>-</v>
      </c>
      <c r="L1375" s="52" t="str">
        <f>VLOOKUP(Tabla3[[#This Row],[Site]],'Important Info!'!$A$1:$F$135,2,FALSE)</f>
        <v>-</v>
      </c>
      <c r="M1375" s="52" t="str">
        <f>VLOOKUP(Tabla3[[#This Row],[Site]],'Important Info!'!$A$1:$F$135,3,FALSE)</f>
        <v>3, 19, 23, 32, 35</v>
      </c>
      <c r="N1375" s="52" t="str">
        <f>VLOOKUP(Tabla3[[#This Row],[Site]],'Important Info!'!$A$1:$F$135,4,FALSE)</f>
        <v>-</v>
      </c>
      <c r="O1375" s="52" t="str">
        <f>VLOOKUP(Tabla3[[#This Row],[Site]],'Important Info!'!$A$1:$F$135,5,FALSE)</f>
        <v>2, 6, 9, 19, 25, 30, 48</v>
      </c>
      <c r="P1375" s="52" t="str">
        <f>VLOOKUP(Tabla3[[#This Row],[Site]],'Important Info!'!$A$1:$F$135,6,FALSE)</f>
        <v>25, 26, 35, 36, 37</v>
      </c>
      <c r="Q1375" s="91">
        <f>VLOOKUP(Tabla3[[#This Row],[Site]],'Important Info!'!$A$1:$J$135,9,FALSE)</f>
        <v>129</v>
      </c>
    </row>
    <row r="1376" spans="1:17" x14ac:dyDescent="0.25">
      <c r="A1376" t="str">
        <f>+Tabla3[[#This Row],[Site]]&amp;Tabla3[[#This Row],[Split]]</f>
        <v>(AS) Park Place JLR DFW Airport (NO TOURS)15</v>
      </c>
      <c r="B1376">
        <v>15</v>
      </c>
      <c r="C1376">
        <v>13</v>
      </c>
      <c r="D1376" t="s">
        <v>33</v>
      </c>
      <c r="E1376" t="s">
        <v>46</v>
      </c>
      <c r="F1376" t="s">
        <v>516</v>
      </c>
      <c r="G1376" t="s">
        <v>34</v>
      </c>
      <c r="H1376" s="52" t="str">
        <f>VLOOKUP(Tabla3[[#This Row],[Site]],'Important Info!'!$A$1:$J$135,10,FALSE)</f>
        <v>https://tools.sig.systems/site/details/135</v>
      </c>
      <c r="J1376" t="s">
        <v>41</v>
      </c>
      <c r="K1376" s="79" t="str">
        <f>VLOOKUP(Tabla3[[#This Row],[Site]],'Important Info!'!$A$1:$H$135,8,FALSE)</f>
        <v>-</v>
      </c>
      <c r="L1376" s="52" t="str">
        <f>VLOOKUP(Tabla3[[#This Row],[Site]],'Important Info!'!$A$1:$F$135,2,FALSE)</f>
        <v>6, 7, 18</v>
      </c>
      <c r="M1376" s="52" t="str">
        <f>VLOOKUP(Tabla3[[#This Row],[Site]],'Important Info!'!$A$1:$F$135,3,FALSE)</f>
        <v>70, 79, 80</v>
      </c>
      <c r="N1376" s="52" t="str">
        <f>VLOOKUP(Tabla3[[#This Row],[Site]],'Important Info!'!$A$1:$F$135,4,FALSE)</f>
        <v>83, 84</v>
      </c>
      <c r="O1376" s="52" t="str">
        <f>VLOOKUP(Tabla3[[#This Row],[Site]],'Important Info!'!$A$1:$F$135,5,FALSE)</f>
        <v>3, 8, 14, 81</v>
      </c>
      <c r="P1376" s="52">
        <f>VLOOKUP(Tabla3[[#This Row],[Site]],'Important Info!'!$A$1:$F$135,6,FALSE)</f>
        <v>6</v>
      </c>
      <c r="Q1376" s="91">
        <f>VLOOKUP(Tabla3[[#This Row],[Site]],'Important Info!'!$A$1:$J$135,9,FALSE)</f>
        <v>135</v>
      </c>
    </row>
    <row r="1377" spans="1:17" x14ac:dyDescent="0.25">
      <c r="A1377" t="str">
        <f>+Tabla3[[#This Row],[Site]]&amp;Tabla3[[#This Row],[Split]]</f>
        <v>(AS) Plano Auction (NO SPEAKERS)15</v>
      </c>
      <c r="B1377">
        <v>15</v>
      </c>
      <c r="C1377">
        <v>13</v>
      </c>
      <c r="D1377" t="s">
        <v>33</v>
      </c>
      <c r="E1377" t="s">
        <v>46</v>
      </c>
      <c r="F1377" t="s">
        <v>129</v>
      </c>
      <c r="G1377" t="s">
        <v>34</v>
      </c>
      <c r="H1377" s="52" t="str">
        <f>VLOOKUP(Tabla3[[#This Row],[Site]],'Important Info!'!$A$1:$J$135,10,FALSE)</f>
        <v>https://tools.sig.systems/site/details/140</v>
      </c>
      <c r="J1377" t="s">
        <v>41</v>
      </c>
      <c r="K1377" s="79" t="str">
        <f>VLOOKUP(Tabla3[[#This Row],[Site]],'Important Info!'!$A$1:$H$135,8,FALSE)</f>
        <v>-</v>
      </c>
      <c r="L1377" s="52" t="str">
        <f>VLOOKUP(Tabla3[[#This Row],[Site]],'Important Info!'!$A$1:$F$135,2,FALSE)</f>
        <v>-</v>
      </c>
      <c r="M1377" s="52" t="str">
        <f>VLOOKUP(Tabla3[[#This Row],[Site]],'Important Info!'!$A$1:$F$135,3,FALSE)</f>
        <v>3, 4, 19</v>
      </c>
      <c r="N1377" s="52" t="str">
        <f>VLOOKUP(Tabla3[[#This Row],[Site]],'Important Info!'!$A$1:$F$135,4,FALSE)</f>
        <v>-</v>
      </c>
      <c r="O1377" s="52" t="str">
        <f>VLOOKUP(Tabla3[[#This Row],[Site]],'Important Info!'!$A$1:$F$135,5,FALSE)</f>
        <v>5, 19</v>
      </c>
      <c r="P1377" s="52">
        <f>VLOOKUP(Tabla3[[#This Row],[Site]],'Important Info!'!$A$1:$F$135,6,FALSE)</f>
        <v>21</v>
      </c>
      <c r="Q1377" s="91">
        <f>VLOOKUP(Tabla3[[#This Row],[Site]],'Important Info!'!$A$1:$J$135,9,FALSE)</f>
        <v>140</v>
      </c>
    </row>
    <row r="1378" spans="1:17" x14ac:dyDescent="0.25">
      <c r="A1378" t="str">
        <f>+Tabla3[[#This Row],[Site]]&amp;Tabla3[[#This Row],[Split]]</f>
        <v>(PE) Honda of Danbury (NO TOURS)15</v>
      </c>
      <c r="B1378">
        <v>15</v>
      </c>
      <c r="C1378">
        <v>13</v>
      </c>
      <c r="D1378" t="s">
        <v>485</v>
      </c>
      <c r="E1378" t="s">
        <v>35</v>
      </c>
      <c r="F1378" t="s">
        <v>174</v>
      </c>
      <c r="G1378" t="s">
        <v>490</v>
      </c>
      <c r="H1378" s="52" t="str">
        <f>VLOOKUP(Tabla3[[#This Row],[Site]],'Important Info!'!$A$1:$J$135,10,FALSE)</f>
        <v>https://tools.sig.systems/site/details/190</v>
      </c>
      <c r="I1378" s="43"/>
      <c r="J1378" t="s">
        <v>41</v>
      </c>
      <c r="K1378" s="79" t="str">
        <f>VLOOKUP(Tabla3[[#This Row],[Site]],'Important Info!'!$A$1:$H$135,8,FALSE)</f>
        <v>-</v>
      </c>
      <c r="L1378" s="52" t="str">
        <f>VLOOKUP(Tabla3[[#This Row],[Site]],'Important Info!'!$A$1:$F$135,2,FALSE)</f>
        <v>-</v>
      </c>
      <c r="M1378" s="52" t="str">
        <f>VLOOKUP(Tabla3[[#This Row],[Site]],'Important Info!'!$A$1:$F$135,3,FALSE)</f>
        <v>20, 9</v>
      </c>
      <c r="N1378" s="52">
        <f>VLOOKUP(Tabla3[[#This Row],[Site]],'Important Info!'!$A$1:$F$135,4,FALSE)</f>
        <v>9</v>
      </c>
      <c r="O1378" s="52" t="str">
        <f>VLOOKUP(Tabla3[[#This Row],[Site]],'Important Info!'!$A$1:$F$135,5,FALSE)</f>
        <v>-</v>
      </c>
      <c r="P1378" s="52" t="str">
        <f>VLOOKUP(Tabla3[[#This Row],[Site]],'Important Info!'!$A$1:$F$135,6,FALSE)</f>
        <v>9, 16, 17</v>
      </c>
      <c r="Q1378" s="91">
        <f>VLOOKUP(Tabla3[[#This Row],[Site]],'Important Info!'!$A$1:$J$135,9,FALSE)</f>
        <v>190</v>
      </c>
    </row>
    <row r="1379" spans="1:17" x14ac:dyDescent="0.25">
      <c r="A1379" t="str">
        <f>+Tabla3[[#This Row],[Site]]&amp;Tabla3[[#This Row],[Split]]</f>
        <v>(AS) Coggin Mercedes Benz Ft Pierce (NO TOURS)15</v>
      </c>
      <c r="B1379">
        <v>15</v>
      </c>
      <c r="C1379">
        <v>14</v>
      </c>
      <c r="D1379" t="s">
        <v>62</v>
      </c>
      <c r="E1379" t="s">
        <v>35</v>
      </c>
      <c r="F1379" t="s">
        <v>502</v>
      </c>
      <c r="G1379" t="s">
        <v>490</v>
      </c>
      <c r="H1379" s="52" t="str">
        <f>VLOOKUP(Tabla3[[#This Row],[Site]],'Important Info!'!$A$1:$J$135,10,FALSE)</f>
        <v>https://tools.sig.systems/site/details/127</v>
      </c>
      <c r="I1379" t="s">
        <v>179</v>
      </c>
      <c r="J1379" t="s">
        <v>41</v>
      </c>
      <c r="K1379" s="79" t="str">
        <f>VLOOKUP(Tabla3[[#This Row],[Site]],'Important Info!'!$A$1:$H$135,8,FALSE)</f>
        <v>-</v>
      </c>
      <c r="L1379" s="52">
        <f>VLOOKUP(Tabla3[[#This Row],[Site]],'Important Info!'!$A$1:$F$135,2,FALSE)</f>
        <v>18</v>
      </c>
      <c r="M1379" s="52" t="str">
        <f>VLOOKUP(Tabla3[[#This Row],[Site]],'Important Info!'!$A$1:$F$135,3,FALSE)</f>
        <v>1, 3</v>
      </c>
      <c r="N1379" s="52" t="str">
        <f>VLOOKUP(Tabla3[[#This Row],[Site]],'Important Info!'!$A$1:$F$135,4,FALSE)</f>
        <v>-</v>
      </c>
      <c r="O1379" s="52" t="str">
        <f>VLOOKUP(Tabla3[[#This Row],[Site]],'Important Info!'!$A$1:$F$135,5,FALSE)</f>
        <v>6, 10, 13</v>
      </c>
      <c r="P1379" s="52" t="str">
        <f>VLOOKUP(Tabla3[[#This Row],[Site]],'Important Info!'!$A$1:$F$135,6,FALSE)</f>
        <v>1, 4, 5</v>
      </c>
      <c r="Q1379" s="91">
        <f>VLOOKUP(Tabla3[[#This Row],[Site]],'Important Info!'!$A$1:$J$135,9,FALSE)</f>
        <v>127</v>
      </c>
    </row>
    <row r="1380" spans="1:17" x14ac:dyDescent="0.25">
      <c r="A1380" t="str">
        <f>+Tabla3[[#This Row],[Site]]&amp;Tabla3[[#This Row],[Split]]</f>
        <v>(AS) Lexus Grapevine I &amp; II (NO TOURS)15</v>
      </c>
      <c r="B1380">
        <v>15</v>
      </c>
      <c r="C1380">
        <v>14</v>
      </c>
      <c r="D1380" t="s">
        <v>33</v>
      </c>
      <c r="E1380" t="s">
        <v>46</v>
      </c>
      <c r="F1380" t="s">
        <v>508</v>
      </c>
      <c r="G1380" t="s">
        <v>34</v>
      </c>
      <c r="H1380" s="52" t="str">
        <f>VLOOKUP(Tabla3[[#This Row],[Site]],'Important Info!'!$A$1:$J$135,10,FALSE)</f>
        <v>https://tools.sig.systems/site/details/136</v>
      </c>
      <c r="J1380" t="s">
        <v>41</v>
      </c>
      <c r="K1380" s="79" t="str">
        <f>VLOOKUP(Tabla3[[#This Row],[Site]],'Important Info!'!$A$1:$H$135,8,FALSE)</f>
        <v>-</v>
      </c>
      <c r="L1380" s="52" t="str">
        <f>VLOOKUP(Tabla3[[#This Row],[Site]],'Important Info!'!$A$1:$F$135,2,FALSE)</f>
        <v>4, 10, 14, 18, 33</v>
      </c>
      <c r="M1380" s="52" t="str">
        <f>VLOOKUP(Tabla3[[#This Row],[Site]],'Important Info!'!$A$1:$F$135,3,FALSE)</f>
        <v>-</v>
      </c>
      <c r="N1380" s="52" t="str">
        <f>VLOOKUP(Tabla3[[#This Row],[Site]],'Important Info!'!$A$1:$F$135,4,FALSE)</f>
        <v>81, 82, 83</v>
      </c>
      <c r="O1380" s="52" t="str">
        <f>VLOOKUP(Tabla3[[#This Row],[Site]],'Important Info!'!$A$1:$F$135,5,FALSE)</f>
        <v>4, 12, 15, 20, 30</v>
      </c>
      <c r="P1380" s="52">
        <f>VLOOKUP(Tabla3[[#This Row],[Site]],'Important Info!'!$A$1:$F$135,6,FALSE)</f>
        <v>10</v>
      </c>
      <c r="Q1380" s="91">
        <f>VLOOKUP(Tabla3[[#This Row],[Site]],'Important Info!'!$A$1:$J$135,9,FALSE)</f>
        <v>136</v>
      </c>
    </row>
    <row r="1381" spans="1:17" x14ac:dyDescent="0.25">
      <c r="A1381" t="str">
        <f>+Tabla3[[#This Row],[Site]]&amp;Tabla3[[#This Row],[Split]]</f>
        <v>(AS) Park Place Acura (NO TOURS)15</v>
      </c>
      <c r="B1381">
        <v>15</v>
      </c>
      <c r="C1381">
        <v>14</v>
      </c>
      <c r="D1381" t="s">
        <v>33</v>
      </c>
      <c r="E1381" t="s">
        <v>46</v>
      </c>
      <c r="F1381" t="s">
        <v>513</v>
      </c>
      <c r="G1381" t="s">
        <v>34</v>
      </c>
      <c r="H1381" s="52" t="str">
        <f>VLOOKUP(Tabla3[[#This Row],[Site]],'Important Info!'!$A$1:$J$135,10,FALSE)</f>
        <v>https://tools.sig.systems/site/details/259</v>
      </c>
      <c r="I1381" s="63" t="s">
        <v>127</v>
      </c>
      <c r="J1381" t="s">
        <v>41</v>
      </c>
      <c r="K1381" s="79" t="str">
        <f>VLOOKUP(Tabla3[[#This Row],[Site]],'Important Info!'!$A$1:$H$135,8,FALSE)</f>
        <v>-</v>
      </c>
      <c r="L1381" s="52" t="str">
        <f>VLOOKUP(Tabla3[[#This Row],[Site]],'Important Info!'!$A$1:$F$135,2,FALSE)</f>
        <v>1, 2, 14, 16</v>
      </c>
      <c r="M1381" s="52" t="str">
        <f>VLOOKUP(Tabla3[[#This Row],[Site]],'Important Info!'!$A$1:$F$135,3,FALSE)</f>
        <v>-</v>
      </c>
      <c r="N1381" s="52" t="str">
        <f>VLOOKUP(Tabla3[[#This Row],[Site]],'Important Info!'!$A$1:$F$135,4,FALSE)</f>
        <v>-</v>
      </c>
      <c r="O1381" s="52" t="str">
        <f>VLOOKUP(Tabla3[[#This Row],[Site]],'Important Info!'!$A$1:$F$135,5,FALSE)</f>
        <v>1, 7, 13</v>
      </c>
      <c r="P1381" s="52" t="str">
        <f>VLOOKUP(Tabla3[[#This Row],[Site]],'Important Info!'!$A$1:$F$135,6,FALSE)</f>
        <v>-</v>
      </c>
      <c r="Q1381" s="91">
        <f>VLOOKUP(Tabla3[[#This Row],[Site]],'Important Info!'!$A$1:$J$135,9,FALSE)</f>
        <v>259</v>
      </c>
    </row>
    <row r="1382" spans="1:17" x14ac:dyDescent="0.25">
      <c r="A1382" t="str">
        <f>+Tabla3[[#This Row],[Site]]&amp;Tabla3[[#This Row],[Split]]</f>
        <v>(AS) Plaza Lexus/Mercedes/BMW (NO TOURS)15</v>
      </c>
      <c r="B1382">
        <v>15</v>
      </c>
      <c r="C1382">
        <v>14</v>
      </c>
      <c r="D1382" t="s">
        <v>33</v>
      </c>
      <c r="E1382" t="s">
        <v>46</v>
      </c>
      <c r="F1382" t="s">
        <v>92</v>
      </c>
      <c r="G1382" t="s">
        <v>34</v>
      </c>
      <c r="H1382" s="52" t="str">
        <f>VLOOKUP(Tabla3[[#This Row],[Site]],'Important Info!'!$A$1:$J$135,10,FALSE)</f>
        <v>https://tools.sig.systems/site/details/141</v>
      </c>
      <c r="I1382" t="s">
        <v>130</v>
      </c>
      <c r="J1382" t="s">
        <v>41</v>
      </c>
      <c r="K1382" s="79" t="str">
        <f>VLOOKUP(Tabla3[[#This Row],[Site]],'Important Info!'!$A$1:$H$135,8,FALSE)</f>
        <v>-</v>
      </c>
      <c r="L1382" s="52" t="str">
        <f>VLOOKUP(Tabla3[[#This Row],[Site]],'Important Info!'!$A$1:$F$135,2,FALSE)</f>
        <v>3, 4, 18</v>
      </c>
      <c r="M1382" s="52" t="str">
        <f>VLOOKUP(Tabla3[[#This Row],[Site]],'Important Info!'!$A$1:$F$135,3,FALSE)</f>
        <v>9, 10, 12, 13, 16, 17</v>
      </c>
      <c r="N1382" s="52" t="str">
        <f>VLOOKUP(Tabla3[[#This Row],[Site]],'Important Info!'!$A$1:$F$135,4,FALSE)</f>
        <v>-</v>
      </c>
      <c r="O1382" s="52">
        <f>VLOOKUP(Tabla3[[#This Row],[Site]],'Important Info!'!$A$1:$F$135,5,FALSE)</f>
        <v>2</v>
      </c>
      <c r="P1382" s="52" t="str">
        <f>VLOOKUP(Tabla3[[#This Row],[Site]],'Important Info!'!$A$1:$F$135,6,FALSE)</f>
        <v>2, 16</v>
      </c>
      <c r="Q1382" s="91">
        <f>VLOOKUP(Tabla3[[#This Row],[Site]],'Important Info!'!$A$1:$J$135,9,FALSE)</f>
        <v>141</v>
      </c>
    </row>
    <row r="1383" spans="1:17" x14ac:dyDescent="0.25">
      <c r="A1383" t="str">
        <f>+Tabla3[[#This Row],[Site]]&amp;Tabla3[[#This Row],[Split]]</f>
        <v>(HUD) BMW of Greensboro15</v>
      </c>
      <c r="B1383">
        <v>15</v>
      </c>
      <c r="C1383">
        <v>14</v>
      </c>
      <c r="D1383" t="s">
        <v>62</v>
      </c>
      <c r="E1383" t="s">
        <v>35</v>
      </c>
      <c r="F1383" t="s">
        <v>183</v>
      </c>
      <c r="G1383" t="s">
        <v>490</v>
      </c>
      <c r="H1383" s="52" t="str">
        <f>VLOOKUP(Tabla3[[#This Row],[Site]],'Important Info!'!$A$1:$J$135,10,FALSE)</f>
        <v>https://tools.sig.systems/site/details/219</v>
      </c>
      <c r="I1383" s="2" t="s">
        <v>184</v>
      </c>
      <c r="J1383" t="s">
        <v>41</v>
      </c>
      <c r="K1383" s="79" t="str">
        <f>VLOOKUP(Tabla3[[#This Row],[Site]],'Important Info!'!$A$1:$H$135,8,FALSE)</f>
        <v>-</v>
      </c>
      <c r="L1383" s="52" t="str">
        <f>VLOOKUP(Tabla3[[#This Row],[Site]],'Important Info!'!$A$1:$F$135,2,FALSE)</f>
        <v>2, 20, 21</v>
      </c>
      <c r="M1383" s="52" t="str">
        <f>VLOOKUP(Tabla3[[#This Row],[Site]],'Important Info!'!$A$1:$F$135,3,FALSE)</f>
        <v>-</v>
      </c>
      <c r="N1383" s="52" t="str">
        <f>VLOOKUP(Tabla3[[#This Row],[Site]],'Important Info!'!$A$1:$F$135,4,FALSE)</f>
        <v>-</v>
      </c>
      <c r="O1383" s="52" t="str">
        <f>VLOOKUP(Tabla3[[#This Row],[Site]],'Important Info!'!$A$1:$F$135,5,FALSE)</f>
        <v>12, 17</v>
      </c>
      <c r="P1383" s="52" t="str">
        <f>VLOOKUP(Tabla3[[#This Row],[Site]],'Important Info!'!$A$1:$F$135,6,FALSE)</f>
        <v>1, 2, 6, 20</v>
      </c>
      <c r="Q1383" s="91">
        <f>VLOOKUP(Tabla3[[#This Row],[Site]],'Important Info!'!$A$1:$J$135,9,FALSE)</f>
        <v>219</v>
      </c>
    </row>
    <row r="1384" spans="1:17" x14ac:dyDescent="0.25">
      <c r="A1384" t="str">
        <f>+Tabla3[[#This Row],[Site]]&amp;Tabla3[[#This Row],[Split]]</f>
        <v>(ML) McLarty-Gray Daniels Chevrolet15</v>
      </c>
      <c r="B1384">
        <v>15</v>
      </c>
      <c r="C1384">
        <v>14</v>
      </c>
      <c r="D1384" t="s">
        <v>33</v>
      </c>
      <c r="E1384" t="s">
        <v>46</v>
      </c>
      <c r="F1384" t="s">
        <v>151</v>
      </c>
      <c r="G1384" t="s">
        <v>34</v>
      </c>
      <c r="H1384" s="52" t="str">
        <f>VLOOKUP(Tabla3[[#This Row],[Site]],'Important Info!'!$A$1:$J$135,10,FALSE)</f>
        <v>https://tools.sig.systems/site/details/150</v>
      </c>
      <c r="I1384" s="43"/>
      <c r="J1384" t="s">
        <v>41</v>
      </c>
      <c r="K1384" s="79" t="str">
        <f>VLOOKUP(Tabla3[[#This Row],[Site]],'Important Info!'!$A$1:$H$135,8,FALSE)</f>
        <v>-</v>
      </c>
      <c r="L1384" s="52" t="str">
        <f>VLOOKUP(Tabla3[[#This Row],[Site]],'Important Info!'!$A$1:$F$135,2,FALSE)</f>
        <v>3, 4, 5, 22, 24, 26, 28, 36</v>
      </c>
      <c r="M1384" s="52" t="str">
        <f>VLOOKUP(Tabla3[[#This Row],[Site]],'Important Info!'!$A$1:$F$135,3,FALSE)</f>
        <v>-</v>
      </c>
      <c r="N1384" s="52" t="str">
        <f>VLOOKUP(Tabla3[[#This Row],[Site]],'Important Info!'!$A$1:$F$135,4,FALSE)</f>
        <v>-</v>
      </c>
      <c r="O1384" s="52" t="str">
        <f>VLOOKUP(Tabla3[[#This Row],[Site]],'Important Info!'!$A$1:$F$135,5,FALSE)</f>
        <v>4, 7, 12, 26</v>
      </c>
      <c r="P1384" s="52" t="str">
        <f>VLOOKUP(Tabla3[[#This Row],[Site]],'Important Info!'!$A$1:$F$135,6,FALSE)</f>
        <v>1, 3, 5, 6, 23, 24</v>
      </c>
      <c r="Q1384" s="91">
        <f>VLOOKUP(Tabla3[[#This Row],[Site]],'Important Info!'!$A$1:$J$135,9,FALSE)</f>
        <v>150</v>
      </c>
    </row>
    <row r="1385" spans="1:17" x14ac:dyDescent="0.25">
      <c r="A1385" t="str">
        <f>+Tabla3[[#This Row],[Site]]&amp;Tabla3[[#This Row],[Split]]</f>
        <v>(AS) Coggin Honda Ft. Pierce (NO TOURS)15</v>
      </c>
      <c r="B1385">
        <v>15</v>
      </c>
      <c r="C1385">
        <v>15</v>
      </c>
      <c r="D1385" t="s">
        <v>62</v>
      </c>
      <c r="E1385" t="s">
        <v>35</v>
      </c>
      <c r="F1385" t="s">
        <v>501</v>
      </c>
      <c r="G1385" t="s">
        <v>490</v>
      </c>
      <c r="H1385" s="52" t="str">
        <f>VLOOKUP(Tabla3[[#This Row],[Site]],'Important Info!'!$A$1:$J$135,10,FALSE)</f>
        <v>https://tools.sig.systems/site/details/120</v>
      </c>
      <c r="I1385" t="s">
        <v>179</v>
      </c>
      <c r="J1385" t="s">
        <v>484</v>
      </c>
      <c r="K1385" s="79" t="str">
        <f>VLOOKUP(Tabla3[[#This Row],[Site]],'Important Info!'!$A$1:$H$135,8,FALSE)</f>
        <v>-</v>
      </c>
      <c r="L1385" s="52" t="str">
        <f>VLOOKUP(Tabla3[[#This Row],[Site]],'Important Info!'!$A$1:$F$135,2,FALSE)</f>
        <v>1, 2, 3, 4, 14</v>
      </c>
      <c r="M1385" s="52" t="str">
        <f>VLOOKUP(Tabla3[[#This Row],[Site]],'Important Info!'!$A$1:$F$135,3,FALSE)</f>
        <v>-</v>
      </c>
      <c r="N1385" s="52" t="str">
        <f>VLOOKUP(Tabla3[[#This Row],[Site]],'Important Info!'!$A$1:$F$135,4,FALSE)</f>
        <v>-</v>
      </c>
      <c r="O1385" s="52" t="str">
        <f>VLOOKUP(Tabla3[[#This Row],[Site]],'Important Info!'!$A$1:$F$135,5,FALSE)</f>
        <v>7, 11, 15</v>
      </c>
      <c r="P1385" s="52">
        <f>VLOOKUP(Tabla3[[#This Row],[Site]],'Important Info!'!$A$1:$F$135,6,FALSE)</f>
        <v>3</v>
      </c>
      <c r="Q1385" s="91">
        <f>VLOOKUP(Tabla3[[#This Row],[Site]],'Important Info!'!$A$1:$J$135,9,FALSE)</f>
        <v>120</v>
      </c>
    </row>
    <row r="1386" spans="1:17" x14ac:dyDescent="0.25">
      <c r="A1386" t="str">
        <f>+Tabla3[[#This Row],[Site]]&amp;Tabla3[[#This Row],[Split]]</f>
        <v>(AS) Lexus Plano I &amp; II (NO TOURS)15</v>
      </c>
      <c r="B1386">
        <v>15</v>
      </c>
      <c r="C1386">
        <v>15</v>
      </c>
      <c r="D1386" t="s">
        <v>33</v>
      </c>
      <c r="E1386" t="s">
        <v>46</v>
      </c>
      <c r="F1386" t="s">
        <v>524</v>
      </c>
      <c r="G1386" t="s">
        <v>34</v>
      </c>
      <c r="H1386" s="52" t="str">
        <f>VLOOKUP(Tabla3[[#This Row],[Site]],'Important Info!'!$A$1:$J$135,10,FALSE)</f>
        <v>https://tools.sig.systems/site/details/167</v>
      </c>
      <c r="I1386" s="63" t="s">
        <v>127</v>
      </c>
      <c r="J1386" t="s">
        <v>41</v>
      </c>
      <c r="K1386" s="79" t="str">
        <f>VLOOKUP(Tabla3[[#This Row],[Site]],'Important Info!'!$A$1:$H$135,8,FALSE)</f>
        <v>-</v>
      </c>
      <c r="L1386" s="52" t="str">
        <f>VLOOKUP(Tabla3[[#This Row],[Site]],'Important Info!'!$A$1:$F$135,2,FALSE)</f>
        <v>5, 9</v>
      </c>
      <c r="M1386" s="52" t="str">
        <f>VLOOKUP(Tabla3[[#This Row],[Site]],'Important Info!'!$A$1:$F$135,3,FALSE)</f>
        <v>-</v>
      </c>
      <c r="N1386" s="52" t="str">
        <f>VLOOKUP(Tabla3[[#This Row],[Site]],'Important Info!'!$A$1:$F$135,4,FALSE)</f>
        <v>101, 102, 103, 104</v>
      </c>
      <c r="O1386" s="52" t="str">
        <f>VLOOKUP(Tabla3[[#This Row],[Site]],'Important Info!'!$A$1:$F$135,5,FALSE)</f>
        <v>4, 10, 28</v>
      </c>
      <c r="P1386" s="52" t="str">
        <f>VLOOKUP(Tabla3[[#This Row],[Site]],'Important Info!'!$A$1:$F$135,6,FALSE)</f>
        <v>5, 9, 16</v>
      </c>
      <c r="Q1386" s="91">
        <f>VLOOKUP(Tabla3[[#This Row],[Site]],'Important Info!'!$A$1:$J$135,9,FALSE)</f>
        <v>167</v>
      </c>
    </row>
    <row r="1387" spans="1:17" x14ac:dyDescent="0.25">
      <c r="A1387" t="str">
        <f>+Tabla3[[#This Row],[Site]]&amp;Tabla3[[#This Row],[Split]]</f>
        <v>(AS) Plaza Audi/Infiniti (NO TOURS)15</v>
      </c>
      <c r="B1387">
        <v>15</v>
      </c>
      <c r="C1387">
        <v>15</v>
      </c>
      <c r="D1387" t="s">
        <v>33</v>
      </c>
      <c r="E1387" t="s">
        <v>46</v>
      </c>
      <c r="F1387" t="s">
        <v>91</v>
      </c>
      <c r="G1387" t="s">
        <v>34</v>
      </c>
      <c r="H1387" s="52" t="str">
        <f>VLOOKUP(Tabla3[[#This Row],[Site]],'Important Info!'!$A$1:$J$135,10,FALSE)</f>
        <v>https://tools.sig.systems/site/details/141</v>
      </c>
      <c r="I1387" t="s">
        <v>130</v>
      </c>
      <c r="J1387" t="s">
        <v>41</v>
      </c>
      <c r="K1387" s="79" t="str">
        <f>VLOOKUP(Tabla3[[#This Row],[Site]],'Important Info!'!$A$1:$H$135,8,FALSE)</f>
        <v>-</v>
      </c>
      <c r="L1387" s="52" t="str">
        <f>VLOOKUP(Tabla3[[#This Row],[Site]],'Important Info!'!$A$1:$F$135,2,FALSE)</f>
        <v>7, 25</v>
      </c>
      <c r="M1387" s="52" t="str">
        <f>VLOOKUP(Tabla3[[#This Row],[Site]],'Important Info!'!$A$1:$F$135,3,FALSE)</f>
        <v>15, 17, 18</v>
      </c>
      <c r="N1387" s="52" t="str">
        <f>VLOOKUP(Tabla3[[#This Row],[Site]],'Important Info!'!$A$1:$F$135,4,FALSE)</f>
        <v>-</v>
      </c>
      <c r="O1387" s="52" t="str">
        <f>VLOOKUP(Tabla3[[#This Row],[Site]],'Important Info!'!$A$1:$F$135,5,FALSE)</f>
        <v>1, 24</v>
      </c>
      <c r="P1387" s="52" t="str">
        <f>VLOOKUP(Tabla3[[#This Row],[Site]],'Important Info!'!$A$1:$F$135,6,FALSE)</f>
        <v>3, 15, 17</v>
      </c>
      <c r="Q1387" s="91">
        <f>VLOOKUP(Tabla3[[#This Row],[Site]],'Important Info!'!$A$1:$J$135,9,FALSE)</f>
        <v>141</v>
      </c>
    </row>
    <row r="1388" spans="1:17" x14ac:dyDescent="0.25">
      <c r="A1388" t="str">
        <f>+Tabla3[[#This Row],[Site]]&amp;Tabla3[[#This Row],[Split]]</f>
        <v>(AS) Stevinson JLR (NO TOURS)15</v>
      </c>
      <c r="B1388">
        <v>15</v>
      </c>
      <c r="C1388">
        <v>15</v>
      </c>
      <c r="D1388" t="s">
        <v>44</v>
      </c>
      <c r="E1388" t="s">
        <v>53</v>
      </c>
      <c r="F1388" t="s">
        <v>93</v>
      </c>
      <c r="G1388" t="s">
        <v>45</v>
      </c>
      <c r="H1388" s="52" t="str">
        <f>VLOOKUP(Tabla3[[#This Row],[Site]],'Important Info!'!$A$1:$J$135,10,FALSE)</f>
        <v>https://tools.sig.systems/site/details/204</v>
      </c>
      <c r="I1388" s="2"/>
      <c r="J1388" t="s">
        <v>41</v>
      </c>
      <c r="K1388" s="79" t="str">
        <f>VLOOKUP(Tabla3[[#This Row],[Site]],'Important Info!'!$A$1:$H$135,8,FALSE)</f>
        <v>-</v>
      </c>
      <c r="L1388" s="52">
        <f>VLOOKUP(Tabla3[[#This Row],[Site]],'Important Info!'!$A$1:$F$135,2,FALSE)</f>
        <v>5</v>
      </c>
      <c r="M1388" s="52">
        <f>VLOOKUP(Tabla3[[#This Row],[Site]],'Important Info!'!$A$1:$F$135,3,FALSE)</f>
        <v>4</v>
      </c>
      <c r="N1388" s="52" t="str">
        <f>VLOOKUP(Tabla3[[#This Row],[Site]],'Important Info!'!$A$1:$F$135,4,FALSE)</f>
        <v>-</v>
      </c>
      <c r="O1388" s="52">
        <f>VLOOKUP(Tabla3[[#This Row],[Site]],'Important Info!'!$A$1:$F$135,5,FALSE)</f>
        <v>3</v>
      </c>
      <c r="P1388" s="52" t="str">
        <f>VLOOKUP(Tabla3[[#This Row],[Site]],'Important Info!'!$A$1:$F$135,6,FALSE)</f>
        <v>1, 4, 15, 16</v>
      </c>
      <c r="Q1388" s="91">
        <f>VLOOKUP(Tabla3[[#This Row],[Site]],'Important Info!'!$A$1:$J$135,9,FALSE)</f>
        <v>204</v>
      </c>
    </row>
    <row r="1389" spans="1:17" x14ac:dyDescent="0.25">
      <c r="A1389" t="str">
        <f>+Tabla3[[#This Row],[Site]]&amp;Tabla3[[#This Row],[Split]]</f>
        <v>(DT) Escondido15</v>
      </c>
      <c r="B1389">
        <v>15</v>
      </c>
      <c r="C1389">
        <v>15</v>
      </c>
      <c r="D1389" t="s">
        <v>51</v>
      </c>
      <c r="E1389" t="s">
        <v>159</v>
      </c>
      <c r="F1389" t="s">
        <v>112</v>
      </c>
      <c r="G1389" t="s">
        <v>164</v>
      </c>
      <c r="H1389" s="52" t="str">
        <f>VLOOKUP(Tabla3[[#This Row],[Site]],'Important Info!'!$A$1:$J$135,10,FALSE)</f>
        <v>https://tools.sig.systems/site/details/196</v>
      </c>
      <c r="I1389" s="43"/>
      <c r="J1389" t="s">
        <v>41</v>
      </c>
      <c r="K1389" s="79" t="str">
        <f>VLOOKUP(Tabla3[[#This Row],[Site]],'Important Info!'!$A$1:$H$135,8,FALSE)</f>
        <v>Saturday Drop Time 9:00 A.M.</v>
      </c>
      <c r="L1389" s="52" t="str">
        <f>VLOOKUP(Tabla3[[#This Row],[Site]],'Important Info!'!$A$1:$F$135,2,FALSE)</f>
        <v>1, 2</v>
      </c>
      <c r="M1389" s="52" t="str">
        <f>VLOOKUP(Tabla3[[#This Row],[Site]],'Important Info!'!$A$1:$F$135,3,FALSE)</f>
        <v>-</v>
      </c>
      <c r="N1389" s="52" t="str">
        <f>VLOOKUP(Tabla3[[#This Row],[Site]],'Important Info!'!$A$1:$F$135,4,FALSE)</f>
        <v>-</v>
      </c>
      <c r="O1389" s="52" t="str">
        <f>VLOOKUP(Tabla3[[#This Row],[Site]],'Important Info!'!$A$1:$F$135,5,FALSE)</f>
        <v>-</v>
      </c>
      <c r="P1389" s="52" t="str">
        <f>VLOOKUP(Tabla3[[#This Row],[Site]],'Important Info!'!$A$1:$F$135,6,FALSE)</f>
        <v>5, 7, 8</v>
      </c>
      <c r="Q1389" s="91">
        <f>VLOOKUP(Tabla3[[#This Row],[Site]],'Important Info!'!$A$1:$J$135,9,FALSE)</f>
        <v>196</v>
      </c>
    </row>
    <row r="1390" spans="1:17" x14ac:dyDescent="0.25">
      <c r="A1390" t="str">
        <f>+Tabla3[[#This Row],[Site]]&amp;Tabla3[[#This Row],[Split]]</f>
        <v>(KG) Baytown GMC Buick - Remote Lot (NO TOURS)15</v>
      </c>
      <c r="B1390">
        <v>15</v>
      </c>
      <c r="C1390">
        <v>15</v>
      </c>
      <c r="D1390" t="s">
        <v>60</v>
      </c>
      <c r="E1390" t="s">
        <v>46</v>
      </c>
      <c r="F1390" t="s">
        <v>167</v>
      </c>
      <c r="G1390" t="s">
        <v>41</v>
      </c>
      <c r="H1390" s="52" t="str">
        <f>VLOOKUP(Tabla3[[#This Row],[Site]],'Important Info!'!$A$1:$J$135,10,FALSE)</f>
        <v>https://tools.sig.systems/site/details/311</v>
      </c>
      <c r="I1390" s="2"/>
      <c r="J1390" t="s">
        <v>41</v>
      </c>
      <c r="K1390" s="79" t="s">
        <v>168</v>
      </c>
      <c r="L1390" s="52" t="str">
        <f>VLOOKUP(Tabla3[[#This Row],[Site]],'Important Info!'!$A$1:$F$135,2,FALSE)</f>
        <v>-</v>
      </c>
      <c r="M1390" s="52" t="str">
        <f>VLOOKUP(Tabla3[[#This Row],[Site]],'Important Info!'!$A$1:$F$135,3,FALSE)</f>
        <v>7, 8</v>
      </c>
      <c r="N1390" s="52" t="str">
        <f>VLOOKUP(Tabla3[[#This Row],[Site]],'Important Info!'!$A$1:$F$135,4,FALSE)</f>
        <v>-</v>
      </c>
      <c r="O1390" s="52" t="str">
        <f>VLOOKUP(Tabla3[[#This Row],[Site]],'Important Info!'!$A$1:$F$135,5,FALSE)</f>
        <v>-</v>
      </c>
      <c r="P1390" s="52" t="str">
        <f>VLOOKUP(Tabla3[[#This Row],[Site]],'Important Info!'!$A$1:$F$135,6,FALSE)</f>
        <v>-</v>
      </c>
      <c r="Q1390" s="91">
        <f>VLOOKUP(Tabla3[[#This Row],[Site]],'Important Info!'!$A$1:$J$135,9,FALSE)</f>
        <v>311</v>
      </c>
    </row>
    <row r="1391" spans="1:17" x14ac:dyDescent="0.25">
      <c r="A1391" t="str">
        <f>+Tabla3[[#This Row],[Site]]&amp;Tabla3[[#This Row],[Split]]</f>
        <v>(KG) Baytown GMC Buick (NO TOURS)15</v>
      </c>
      <c r="B1391">
        <v>15</v>
      </c>
      <c r="C1391">
        <v>15</v>
      </c>
      <c r="D1391" t="s">
        <v>33</v>
      </c>
      <c r="E1391" t="s">
        <v>46</v>
      </c>
      <c r="F1391" t="s">
        <v>132</v>
      </c>
      <c r="G1391" t="s">
        <v>34</v>
      </c>
      <c r="H1391" s="52" t="str">
        <f>VLOOKUP(Tabla3[[#This Row],[Site]],'Important Info!'!$A$1:$J$135,10,FALSE)</f>
        <v>https://tools.sig.systems/site/details/239</v>
      </c>
      <c r="I1391" s="43"/>
      <c r="J1391" t="s">
        <v>41</v>
      </c>
      <c r="K1391" s="79" t="str">
        <f>VLOOKUP(Tabla3[[#This Row],[Site]],'Important Info!'!$A$1:$H$135,8,FALSE)</f>
        <v>-</v>
      </c>
      <c r="L1391" s="52" t="str">
        <f>VLOOKUP(Tabla3[[#This Row],[Site]],'Important Info!'!$A$1:$F$135,2,FALSE)</f>
        <v>1, 5, 7, 21, 22</v>
      </c>
      <c r="M1391" s="52" t="str">
        <f>VLOOKUP(Tabla3[[#This Row],[Site]],'Important Info!'!$A$1:$F$135,3,FALSE)</f>
        <v>-</v>
      </c>
      <c r="N1391" s="52" t="str">
        <f>VLOOKUP(Tabla3[[#This Row],[Site]],'Important Info!'!$A$1:$F$135,4,FALSE)</f>
        <v>-</v>
      </c>
      <c r="O1391" s="52" t="str">
        <f>VLOOKUP(Tabla3[[#This Row],[Site]],'Important Info!'!$A$1:$F$135,5,FALSE)</f>
        <v>2, 10, 15, 24B</v>
      </c>
      <c r="P1391" s="52" t="str">
        <f>VLOOKUP(Tabla3[[#This Row],[Site]],'Important Info!'!$A$1:$F$135,6,FALSE)</f>
        <v>21, 22</v>
      </c>
      <c r="Q1391" s="91">
        <f>VLOOKUP(Tabla3[[#This Row],[Site]],'Important Info!'!$A$1:$J$135,9,FALSE)</f>
        <v>239</v>
      </c>
    </row>
    <row r="1392" spans="1:17" x14ac:dyDescent="0.25">
      <c r="A1392" t="str">
        <f>+Tabla3[[#This Row],[Site]]&amp;Tabla3[[#This Row],[Split]]</f>
        <v>(PE) JLR Darien PDI (NO TOURS)15</v>
      </c>
      <c r="B1392">
        <v>15</v>
      </c>
      <c r="C1392">
        <v>15</v>
      </c>
      <c r="D1392" t="s">
        <v>485</v>
      </c>
      <c r="E1392" t="s">
        <v>35</v>
      </c>
      <c r="F1392" t="s">
        <v>98</v>
      </c>
      <c r="G1392" t="s">
        <v>490</v>
      </c>
      <c r="H1392" s="52" t="str">
        <f>VLOOKUP(Tabla3[[#This Row],[Site]],'Important Info!'!$A$1:$J$135,10,FALSE)</f>
        <v>https://tools.sig.systems/site/details/187</v>
      </c>
      <c r="I1392" t="s">
        <v>175</v>
      </c>
      <c r="J1392" t="s">
        <v>41</v>
      </c>
      <c r="K1392" s="79" t="str">
        <f>VLOOKUP(Tabla3[[#This Row],[Site]],'Important Info!'!$A$1:$H$135,8,FALSE)</f>
        <v>-</v>
      </c>
      <c r="L1392" s="52">
        <f>VLOOKUP(Tabla3[[#This Row],[Site]],'Important Info!'!$A$1:$F$135,2,FALSE)</f>
        <v>1</v>
      </c>
      <c r="M1392" s="52" t="str">
        <f>VLOOKUP(Tabla3[[#This Row],[Site]],'Important Info!'!$A$1:$F$135,3,FALSE)</f>
        <v>-</v>
      </c>
      <c r="N1392" s="52" t="str">
        <f>VLOOKUP(Tabla3[[#This Row],[Site]],'Important Info!'!$A$1:$F$135,4,FALSE)</f>
        <v>-</v>
      </c>
      <c r="O1392" s="52">
        <f>VLOOKUP(Tabla3[[#This Row],[Site]],'Important Info!'!$A$1:$F$135,5,FALSE)</f>
        <v>1</v>
      </c>
      <c r="P1392" s="52">
        <f>VLOOKUP(Tabla3[[#This Row],[Site]],'Important Info!'!$A$1:$F$135,6,FALSE)</f>
        <v>7</v>
      </c>
      <c r="Q1392" s="91">
        <f>VLOOKUP(Tabla3[[#This Row],[Site]],'Important Info!'!$A$1:$J$135,9,FALSE)</f>
        <v>187</v>
      </c>
    </row>
    <row r="1393" spans="1:17" x14ac:dyDescent="0.25">
      <c r="A1393" t="str">
        <f>+Tabla3[[#This Row],[Site]]&amp;Tabla3[[#This Row],[Split]]</f>
        <v>(RML) Burleson Nissan15</v>
      </c>
      <c r="B1393">
        <v>15</v>
      </c>
      <c r="C1393">
        <v>15</v>
      </c>
      <c r="D1393" t="s">
        <v>33</v>
      </c>
      <c r="E1393" t="s">
        <v>46</v>
      </c>
      <c r="F1393" t="s">
        <v>107</v>
      </c>
      <c r="G1393" t="s">
        <v>34</v>
      </c>
      <c r="H1393" s="52" t="str">
        <f>VLOOKUP(Tabla3[[#This Row],[Site]],'Important Info!'!$A$1:$J$135,10,FALSE)</f>
        <v>https://tools.sig.systems/site/details/202</v>
      </c>
      <c r="J1393" t="s">
        <v>41</v>
      </c>
      <c r="K1393" s="79" t="str">
        <f>VLOOKUP(Tabla3[[#This Row],[Site]],'Important Info!'!$A$1:$H$135,8,FALSE)</f>
        <v>-</v>
      </c>
      <c r="L1393" s="52" t="str">
        <f>VLOOKUP(Tabla3[[#This Row],[Site]],'Important Info!'!$A$1:$F$135,2,FALSE)</f>
        <v>3, 21</v>
      </c>
      <c r="M1393" s="52" t="str">
        <f>VLOOKUP(Tabla3[[#This Row],[Site]],'Important Info!'!$A$1:$F$135,3,FALSE)</f>
        <v>-</v>
      </c>
      <c r="N1393" s="52" t="str">
        <f>VLOOKUP(Tabla3[[#This Row],[Site]],'Important Info!'!$A$1:$F$135,4,FALSE)</f>
        <v>-</v>
      </c>
      <c r="O1393" s="52" t="str">
        <f>VLOOKUP(Tabla3[[#This Row],[Site]],'Important Info!'!$A$1:$F$135,5,FALSE)</f>
        <v>2, 6, 15</v>
      </c>
      <c r="P1393" s="52" t="str">
        <f>VLOOKUP(Tabla3[[#This Row],[Site]],'Important Info!'!$A$1:$F$135,6,FALSE)</f>
        <v>-</v>
      </c>
      <c r="Q1393" s="91">
        <f>VLOOKUP(Tabla3[[#This Row],[Site]],'Important Info!'!$A$1:$J$135,9,FALSE)</f>
        <v>202</v>
      </c>
    </row>
    <row r="1394" spans="1:17" x14ac:dyDescent="0.25">
      <c r="A1394" t="str">
        <f>+Tabla3[[#This Row],[Site]]&amp;Tabla3[[#This Row],[Split]]</f>
        <v>(AS) Park Place Bodywerks Ft. Worth (NO TOURS)16</v>
      </c>
      <c r="B1394">
        <v>16</v>
      </c>
      <c r="C1394">
        <v>1</v>
      </c>
      <c r="D1394" t="s">
        <v>33</v>
      </c>
      <c r="E1394" t="s">
        <v>46</v>
      </c>
      <c r="F1394" t="s">
        <v>515</v>
      </c>
      <c r="G1394" t="s">
        <v>34</v>
      </c>
      <c r="H1394" s="52" t="str">
        <f>VLOOKUP(Tabla3[[#This Row],[Site]],'Important Info!'!$A$1:$J$135,10,FALSE)</f>
        <v>https://tools.sig.systems/site/details/134</v>
      </c>
      <c r="I1394" s="8" t="s">
        <v>128</v>
      </c>
      <c r="J1394" t="s">
        <v>41</v>
      </c>
      <c r="K1394" s="79" t="str">
        <f>VLOOKUP(Tabla3[[#This Row],[Site]],'Important Info!'!$A$1:$H$135,8,FALSE)</f>
        <v>-</v>
      </c>
      <c r="L1394" s="52" t="str">
        <f>VLOOKUP(Tabla3[[#This Row],[Site]],'Important Info!'!$A$1:$F$135,2,FALSE)</f>
        <v>2, 3, RemoteLot5, RemoteLot9</v>
      </c>
      <c r="M1394" s="52" t="str">
        <f>VLOOKUP(Tabla3[[#This Row],[Site]],'Important Info!'!$A$1:$F$135,3,FALSE)</f>
        <v>-</v>
      </c>
      <c r="N1394" s="52" t="str">
        <f>VLOOKUP(Tabla3[[#This Row],[Site]],'Important Info!'!$A$1:$F$135,4,FALSE)</f>
        <v>-</v>
      </c>
      <c r="O1394" s="52" t="str">
        <f>VLOOKUP(Tabla3[[#This Row],[Site]],'Important Info!'!$A$1:$F$135,5,FALSE)</f>
        <v>1, 7, RL1, RL5, RL9</v>
      </c>
      <c r="P1394" s="52" t="str">
        <f>VLOOKUP(Tabla3[[#This Row],[Site]],'Important Info!'!$A$1:$F$135,6,FALSE)</f>
        <v>3, 4, 15</v>
      </c>
      <c r="Q1394" s="91">
        <f>VLOOKUP(Tabla3[[#This Row],[Site]],'Important Info!'!$A$1:$J$135,9,FALSE)</f>
        <v>134</v>
      </c>
    </row>
    <row r="1395" spans="1:17" x14ac:dyDescent="0.25">
      <c r="A1395" t="str">
        <f>+Tabla3[[#This Row],[Site]]&amp;Tabla3[[#This Row],[Split]]</f>
        <v>(DT) N. Houston16</v>
      </c>
      <c r="B1395">
        <v>16</v>
      </c>
      <c r="C1395">
        <v>1</v>
      </c>
      <c r="D1395" t="s">
        <v>33</v>
      </c>
      <c r="E1395" t="s">
        <v>46</v>
      </c>
      <c r="F1395" t="s">
        <v>68</v>
      </c>
      <c r="G1395" t="s">
        <v>34</v>
      </c>
      <c r="H1395" s="52" t="str">
        <f>VLOOKUP(Tabla3[[#This Row],[Site]],'Important Info!'!$A$1:$J$135,10,FALSE)</f>
        <v>https://tools.sig.systems/site/details/250</v>
      </c>
      <c r="I1395" s="43"/>
      <c r="J1395" t="s">
        <v>41</v>
      </c>
      <c r="K1395" s="79" t="str">
        <f>VLOOKUP(Tabla3[[#This Row],[Site]],'Important Info!'!$A$1:$H$135,8,FALSE)</f>
        <v>-</v>
      </c>
      <c r="L1395" s="52" t="str">
        <f>VLOOKUP(Tabla3[[#This Row],[Site]],'Important Info!'!$A$1:$F$135,2,FALSE)</f>
        <v>2, 10, 18</v>
      </c>
      <c r="M1395" s="52" t="str">
        <f>VLOOKUP(Tabla3[[#This Row],[Site]],'Important Info!'!$A$1:$F$135,3,FALSE)</f>
        <v>-</v>
      </c>
      <c r="N1395" s="52" t="str">
        <f>VLOOKUP(Tabla3[[#This Row],[Site]],'Important Info!'!$A$1:$F$135,4,FALSE)</f>
        <v>-</v>
      </c>
      <c r="O1395" s="52">
        <f>VLOOKUP(Tabla3[[#This Row],[Site]],'Important Info!'!$A$1:$F$135,5,FALSE)</f>
        <v>15</v>
      </c>
      <c r="P1395" s="52" t="str">
        <f>VLOOKUP(Tabla3[[#This Row],[Site]],'Important Info!'!$A$1:$F$135,6,FALSE)</f>
        <v>2, 4, 18</v>
      </c>
      <c r="Q1395" s="91">
        <f>VLOOKUP(Tabla3[[#This Row],[Site]],'Important Info!'!$A$1:$J$135,9,FALSE)</f>
        <v>250</v>
      </c>
    </row>
    <row r="1396" spans="1:17" x14ac:dyDescent="0.25">
      <c r="A1396" t="str">
        <f>+Tabla3[[#This Row],[Site]]&amp;Tabla3[[#This Row],[Split]]</f>
        <v>(HUD) Acura of Greensboro16</v>
      </c>
      <c r="B1396">
        <v>16</v>
      </c>
      <c r="C1396">
        <v>1</v>
      </c>
      <c r="D1396" t="s">
        <v>62</v>
      </c>
      <c r="E1396" t="s">
        <v>35</v>
      </c>
      <c r="F1396" t="s">
        <v>100</v>
      </c>
      <c r="G1396" t="s">
        <v>490</v>
      </c>
      <c r="H1396" s="52" t="str">
        <f>VLOOKUP(Tabla3[[#This Row],[Site]],'Important Info!'!$A$1:$J$135,10,FALSE)</f>
        <v>https://tools.sig.systems/site/details/213</v>
      </c>
      <c r="I1396" t="s">
        <v>182</v>
      </c>
      <c r="J1396" t="s">
        <v>41</v>
      </c>
      <c r="K1396" s="79" t="str">
        <f>VLOOKUP(Tabla3[[#This Row],[Site]],'Important Info!'!$A$1:$H$135,8,FALSE)</f>
        <v>-</v>
      </c>
      <c r="L1396" s="52" t="str">
        <f>VLOOKUP(Tabla3[[#This Row],[Site]],'Important Info!'!$A$1:$F$135,2,FALSE)</f>
        <v>1, 2, 6, 7, 9</v>
      </c>
      <c r="M1396" s="52" t="str">
        <f>VLOOKUP(Tabla3[[#This Row],[Site]],'Important Info!'!$A$1:$F$135,3,FALSE)</f>
        <v>-</v>
      </c>
      <c r="N1396" s="52" t="str">
        <f>VLOOKUP(Tabla3[[#This Row],[Site]],'Important Info!'!$A$1:$F$135,4,FALSE)</f>
        <v>-</v>
      </c>
      <c r="O1396" s="52" t="str">
        <f>VLOOKUP(Tabla3[[#This Row],[Site]],'Important Info!'!$A$1:$F$135,5,FALSE)</f>
        <v>2, 5</v>
      </c>
      <c r="P1396" s="52" t="str">
        <f>VLOOKUP(Tabla3[[#This Row],[Site]],'Important Info!'!$A$1:$F$135,6,FALSE)</f>
        <v>1, 2, 6, 7, 9, 18</v>
      </c>
      <c r="Q1396" s="91">
        <f>VLOOKUP(Tabla3[[#This Row],[Site]],'Important Info!'!$A$1:$J$135,9,FALSE)</f>
        <v>213</v>
      </c>
    </row>
    <row r="1397" spans="1:17" x14ac:dyDescent="0.25">
      <c r="A1397" t="str">
        <f>+Tabla3[[#This Row],[Site]]&amp;Tabla3[[#This Row],[Split]]</f>
        <v>(KG) Clear Lake Pre-Owned16</v>
      </c>
      <c r="B1397">
        <v>16</v>
      </c>
      <c r="C1397">
        <v>1</v>
      </c>
      <c r="D1397" t="s">
        <v>33</v>
      </c>
      <c r="E1397" t="s">
        <v>46</v>
      </c>
      <c r="F1397" s="41" t="s">
        <v>87</v>
      </c>
      <c r="G1397" t="s">
        <v>34</v>
      </c>
      <c r="H1397" s="52" t="str">
        <f>VLOOKUP(Tabla3[[#This Row],[Site]],'Important Info!'!$A$1:$J$135,10,FALSE)</f>
        <v>https://tools.sig.systems/site/details/255</v>
      </c>
      <c r="I1397" s="2" t="s">
        <v>134</v>
      </c>
      <c r="J1397" t="s">
        <v>41</v>
      </c>
      <c r="K1397" s="79" t="str">
        <f>VLOOKUP(Tabla3[[#This Row],[Site]],'Important Info!'!$A$1:$H$135,8,FALSE)</f>
        <v>-</v>
      </c>
      <c r="L1397" s="52" t="str">
        <f>VLOOKUP(Tabla3[[#This Row],[Site]],'Important Info!'!$A$1:$F$135,2,FALSE)</f>
        <v>3, 5</v>
      </c>
      <c r="M1397" s="52" t="str">
        <f>VLOOKUP(Tabla3[[#This Row],[Site]],'Important Info!'!$A$1:$F$135,3,FALSE)</f>
        <v>-</v>
      </c>
      <c r="N1397" s="52" t="str">
        <f>VLOOKUP(Tabla3[[#This Row],[Site]],'Important Info!'!$A$1:$F$135,4,FALSE)</f>
        <v>-</v>
      </c>
      <c r="O1397" s="52" t="str">
        <f>VLOOKUP(Tabla3[[#This Row],[Site]],'Important Info!'!$A$1:$F$135,5,FALSE)</f>
        <v>4, 10, 22</v>
      </c>
      <c r="P1397" s="52" t="str">
        <f>VLOOKUP(Tabla3[[#This Row],[Site]],'Important Info!'!$A$1:$F$135,6,FALSE)</f>
        <v>8, 15, 20</v>
      </c>
      <c r="Q1397" s="91">
        <f>VLOOKUP(Tabla3[[#This Row],[Site]],'Important Info!'!$A$1:$J$135,9,FALSE)</f>
        <v>255</v>
      </c>
    </row>
    <row r="1398" spans="1:17" x14ac:dyDescent="0.25">
      <c r="A1398" t="str">
        <f>+Tabla3[[#This Row],[Site]]&amp;Tabla3[[#This Row],[Split]]</f>
        <v>(PE) Hudson Toyota Nissan CDJR (NO TOURS)16</v>
      </c>
      <c r="B1398">
        <v>16</v>
      </c>
      <c r="C1398">
        <v>1</v>
      </c>
      <c r="D1398" t="s">
        <v>485</v>
      </c>
      <c r="E1398" t="s">
        <v>35</v>
      </c>
      <c r="F1398" t="s">
        <v>82</v>
      </c>
      <c r="G1398" t="s">
        <v>490</v>
      </c>
      <c r="H1398" s="52" t="str">
        <f>VLOOKUP(Tabla3[[#This Row],[Site]],'Important Info!'!$A$1:$J$135,10,FALSE)</f>
        <v>https://tools.sig.systems/site/details/156</v>
      </c>
      <c r="J1398" t="s">
        <v>41</v>
      </c>
      <c r="K1398" s="79" t="str">
        <f>VLOOKUP(Tabla3[[#This Row],[Site]],'Important Info!'!$A$1:$H$135,8,FALSE)</f>
        <v>-</v>
      </c>
      <c r="L1398" s="52">
        <f>VLOOKUP(Tabla3[[#This Row],[Site]],'Important Info!'!$A$1:$F$135,2,FALSE)</f>
        <v>5</v>
      </c>
      <c r="M1398" s="52" t="str">
        <f>VLOOKUP(Tabla3[[#This Row],[Site]],'Important Info!'!$A$1:$F$135,3,FALSE)</f>
        <v>3, 7, 18</v>
      </c>
      <c r="N1398" s="52" t="str">
        <f>VLOOKUP(Tabla3[[#This Row],[Site]],'Important Info!'!$A$1:$F$135,4,FALSE)</f>
        <v>-</v>
      </c>
      <c r="O1398" s="52">
        <f>VLOOKUP(Tabla3[[#This Row],[Site]],'Important Info!'!$A$1:$F$135,5,FALSE)</f>
        <v>84</v>
      </c>
      <c r="P1398" s="52" t="str">
        <f>VLOOKUP(Tabla3[[#This Row],[Site]],'Important Info!'!$A$1:$F$135,6,FALSE)</f>
        <v>1, 2, 3, 4, 5, 6, 7, 8</v>
      </c>
      <c r="Q1398" s="91">
        <f>VLOOKUP(Tabla3[[#This Row],[Site]],'Important Info!'!$A$1:$J$135,9,FALSE)</f>
        <v>156</v>
      </c>
    </row>
    <row r="1399" spans="1:17" x14ac:dyDescent="0.25">
      <c r="A1399" t="str">
        <f>+Tabla3[[#This Row],[Site]]&amp;Tabla3[[#This Row],[Split]]</f>
        <v>(PE) Scofield Service Center (NO TOURS)16</v>
      </c>
      <c r="B1399">
        <v>16</v>
      </c>
      <c r="C1399">
        <v>1</v>
      </c>
      <c r="D1399" t="s">
        <v>485</v>
      </c>
      <c r="E1399" t="s">
        <v>35</v>
      </c>
      <c r="F1399" t="s">
        <v>83</v>
      </c>
      <c r="G1399" t="s">
        <v>490</v>
      </c>
      <c r="H1399" s="52" t="str">
        <f>VLOOKUP(Tabla3[[#This Row],[Site]],'Important Info!'!$A$1:$J$135,10,FALSE)</f>
        <v>https://tools.sig.systems/site/details/193</v>
      </c>
      <c r="I1399" t="s">
        <v>177</v>
      </c>
      <c r="J1399" t="s">
        <v>41</v>
      </c>
      <c r="K1399" s="79" t="str">
        <f>VLOOKUP(Tabla3[[#This Row],[Site]],'Important Info!'!$A$1:$H$135,8,FALSE)</f>
        <v>-</v>
      </c>
      <c r="L1399" s="52">
        <f>VLOOKUP(Tabla3[[#This Row],[Site]],'Important Info!'!$A$1:$F$135,2,FALSE)</f>
        <v>1</v>
      </c>
      <c r="M1399" s="52" t="str">
        <f>VLOOKUP(Tabla3[[#This Row],[Site]],'Important Info!'!$A$1:$F$135,3,FALSE)</f>
        <v>-</v>
      </c>
      <c r="N1399" s="52" t="str">
        <f>VLOOKUP(Tabla3[[#This Row],[Site]],'Important Info!'!$A$1:$F$135,4,FALSE)</f>
        <v>-</v>
      </c>
      <c r="O1399" s="52">
        <f>VLOOKUP(Tabla3[[#This Row],[Site]],'Important Info!'!$A$1:$F$135,5,FALSE)</f>
        <v>9</v>
      </c>
      <c r="P1399" s="52" t="str">
        <f>VLOOKUP(Tabla3[[#This Row],[Site]],'Important Info!'!$A$1:$F$135,6,FALSE)</f>
        <v>1, 17</v>
      </c>
      <c r="Q1399" s="91">
        <f>VLOOKUP(Tabla3[[#This Row],[Site]],'Important Info!'!$A$1:$J$135,9,FALSE)</f>
        <v>193</v>
      </c>
    </row>
    <row r="1400" spans="1:17" x14ac:dyDescent="0.25">
      <c r="A1400" t="str">
        <f>+Tabla3[[#This Row],[Site]]&amp;Tabla3[[#This Row],[Split]]</f>
        <v>(RV) Toms Camperland Avondale (NO TOURS)16</v>
      </c>
      <c r="B1400">
        <v>16</v>
      </c>
      <c r="C1400">
        <v>1</v>
      </c>
      <c r="D1400" t="s">
        <v>51</v>
      </c>
      <c r="E1400" t="s">
        <v>161</v>
      </c>
      <c r="F1400" t="s">
        <v>80</v>
      </c>
      <c r="G1400" t="s">
        <v>52</v>
      </c>
      <c r="H1400" s="52" t="str">
        <f>VLOOKUP(Tabla3[[#This Row],[Site]],'Important Info!'!$A$1:$J$135,10,FALSE)</f>
        <v>https://tools.sig.systems/site/details/248</v>
      </c>
      <c r="I1400" s="2" t="s">
        <v>163</v>
      </c>
      <c r="J1400" t="s">
        <v>164</v>
      </c>
      <c r="K1400" s="79" t="str">
        <f>VLOOKUP(Tabla3[[#This Row],[Site]],'Important Info!'!$A$1:$H$135,8,FALSE)</f>
        <v>-</v>
      </c>
      <c r="L1400" s="52">
        <f>VLOOKUP(Tabla3[[#This Row],[Site]],'Important Info!'!$A$1:$F$135,2,FALSE)</f>
        <v>10</v>
      </c>
      <c r="M1400" s="52" t="str">
        <f>VLOOKUP(Tabla3[[#This Row],[Site]],'Important Info!'!$A$1:$F$135,3,FALSE)</f>
        <v>2, 7</v>
      </c>
      <c r="N1400" s="52" t="str">
        <f>VLOOKUP(Tabla3[[#This Row],[Site]],'Important Info!'!$A$1:$F$135,4,FALSE)</f>
        <v>-</v>
      </c>
      <c r="O1400" s="52" t="str">
        <f>VLOOKUP(Tabla3[[#This Row],[Site]],'Important Info!'!$A$1:$F$135,5,FALSE)</f>
        <v>-</v>
      </c>
      <c r="P1400" s="52" t="str">
        <f>VLOOKUP(Tabla3[[#This Row],[Site]],'Important Info!'!$A$1:$F$135,6,FALSE)</f>
        <v>2, 7, 8, 13, 15</v>
      </c>
      <c r="Q1400" s="91">
        <f>VLOOKUP(Tabla3[[#This Row],[Site]],'Important Info!'!$A$1:$J$135,9,FALSE)</f>
        <v>248</v>
      </c>
    </row>
    <row r="1401" spans="1:17" x14ac:dyDescent="0.25">
      <c r="A1401" t="str">
        <f>+Tabla3[[#This Row],[Site]]&amp;Tabla3[[#This Row],[Split]]</f>
        <v>(TC) Tavernier Creek Marina (NO TOURS)16</v>
      </c>
      <c r="B1401">
        <v>16</v>
      </c>
      <c r="C1401">
        <v>1</v>
      </c>
      <c r="D1401" t="s">
        <v>62</v>
      </c>
      <c r="E1401" t="s">
        <v>35</v>
      </c>
      <c r="F1401" t="s">
        <v>119</v>
      </c>
      <c r="G1401" t="s">
        <v>34</v>
      </c>
      <c r="H1401" s="52" t="str">
        <f>VLOOKUP(Tabla3[[#This Row],[Site]],'Important Info!'!$A$1:$J$135,10,FALSE)</f>
        <v>https://tools.sig.systems/site/details/164</v>
      </c>
      <c r="J1401" t="s">
        <v>45</v>
      </c>
      <c r="K1401" s="79" t="str">
        <f>VLOOKUP(Tabla3[[#This Row],[Site]],'Important Info!'!$A$1:$H$135,8,FALSE)</f>
        <v>-</v>
      </c>
      <c r="L1401" s="52" t="str">
        <f>VLOOKUP(Tabla3[[#This Row],[Site]],'Important Info!'!$A$1:$F$135,2,FALSE)</f>
        <v>28, 29</v>
      </c>
      <c r="M1401" s="52" t="str">
        <f>VLOOKUP(Tabla3[[#This Row],[Site]],'Important Info!'!$A$1:$F$135,3,FALSE)</f>
        <v>-</v>
      </c>
      <c r="N1401" s="52" t="str">
        <f>VLOOKUP(Tabla3[[#This Row],[Site]],'Important Info!'!$A$1:$F$135,4,FALSE)</f>
        <v>-</v>
      </c>
      <c r="O1401" s="52" t="str">
        <f>VLOOKUP(Tabla3[[#This Row],[Site]],'Important Info!'!$A$1:$F$135,5,FALSE)</f>
        <v>-</v>
      </c>
      <c r="P1401" s="52" t="str">
        <f>VLOOKUP(Tabla3[[#This Row],[Site]],'Important Info!'!$A$1:$F$135,6,FALSE)</f>
        <v>5, 28, 29</v>
      </c>
      <c r="Q1401" s="91">
        <f>VLOOKUP(Tabla3[[#This Row],[Site]],'Important Info!'!$A$1:$J$135,9,FALSE)</f>
        <v>164</v>
      </c>
    </row>
    <row r="1402" spans="1:17" x14ac:dyDescent="0.25">
      <c r="A1402" t="str">
        <f>+Tabla3[[#This Row],[Site]]&amp;Tabla3[[#This Row],[Split]]</f>
        <v>(AS) Nalley Lexus &amp; Remote Lot Roswell (NO TOURS)16</v>
      </c>
      <c r="B1402">
        <v>16</v>
      </c>
      <c r="C1402">
        <v>2</v>
      </c>
      <c r="D1402" t="s">
        <v>60</v>
      </c>
      <c r="E1402" t="s">
        <v>35</v>
      </c>
      <c r="F1402" t="s">
        <v>511</v>
      </c>
      <c r="G1402" t="s">
        <v>41</v>
      </c>
      <c r="H1402" s="52" t="str">
        <f>VLOOKUP(Tabla3[[#This Row],[Site]],'Important Info!'!$A$1:$J$135,10,FALSE)</f>
        <v>https://tools.sig.systems/site/details/131</v>
      </c>
      <c r="I1402" s="2" t="s">
        <v>166</v>
      </c>
      <c r="J1402" t="s">
        <v>41</v>
      </c>
      <c r="K1402" s="79" t="str">
        <f>VLOOKUP(Tabla3[[#This Row],[Site]],'Important Info!'!$A$1:$H$135,8,FALSE)</f>
        <v>Dealership 11PM to 5AM (Mon to Fri). Sunday Drop Time 1PM</v>
      </c>
      <c r="L1402" s="52" t="str">
        <f>VLOOKUP(Tabla3[[#This Row],[Site]],'Important Info!'!$A$1:$F$135,2,FALSE)</f>
        <v>6, 13</v>
      </c>
      <c r="M1402" s="52">
        <f>VLOOKUP(Tabla3[[#This Row],[Site]],'Important Info!'!$A$1:$F$135,3,FALSE)</f>
        <v>4</v>
      </c>
      <c r="N1402" s="52">
        <f>VLOOKUP(Tabla3[[#This Row],[Site]],'Important Info!'!$A$1:$F$135,4,FALSE)</f>
        <v>1</v>
      </c>
      <c r="O1402" s="52" t="str">
        <f>VLOOKUP(Tabla3[[#This Row],[Site]],'Important Info!'!$A$1:$F$135,5,FALSE)</f>
        <v>1, 8, 19</v>
      </c>
      <c r="P1402" s="52" t="str">
        <f>VLOOKUP(Tabla3[[#This Row],[Site]],'Important Info!'!$A$1:$F$135,6,FALSE)</f>
        <v>4, 20</v>
      </c>
      <c r="Q1402" s="91">
        <f>VLOOKUP(Tabla3[[#This Row],[Site]],'Important Info!'!$A$1:$J$135,9,FALSE)</f>
        <v>131</v>
      </c>
    </row>
    <row r="1403" spans="1:17" x14ac:dyDescent="0.25">
      <c r="A1403" t="str">
        <f>+Tabla3[[#This Row],[Site]]&amp;Tabla3[[#This Row],[Split]]</f>
        <v>(KG) JLR LEHI (NO TOURS)16</v>
      </c>
      <c r="B1403">
        <v>16</v>
      </c>
      <c r="C1403">
        <v>2</v>
      </c>
      <c r="D1403" t="s">
        <v>44</v>
      </c>
      <c r="E1403" t="s">
        <v>53</v>
      </c>
      <c r="F1403" t="s">
        <v>8</v>
      </c>
      <c r="G1403" t="s">
        <v>45</v>
      </c>
      <c r="H1403" s="52" t="str">
        <f>VLOOKUP(Tabla3[[#This Row],[Site]],'Important Info!'!$A$1:$J$135,10,FALSE)</f>
        <v>https://tools.sig.systems/site/details/145</v>
      </c>
      <c r="I1403" s="2"/>
      <c r="J1403" t="s">
        <v>41</v>
      </c>
      <c r="K1403" s="79" t="str">
        <f>VLOOKUP(Tabla3[[#This Row],[Site]],'Important Info!'!$A$1:$H$135,8,FALSE)</f>
        <v>-</v>
      </c>
      <c r="L1403" s="52" t="str">
        <f>VLOOKUP(Tabla3[[#This Row],[Site]],'Important Info!'!$A$1:$F$135,2,FALSE)</f>
        <v>1, 11</v>
      </c>
      <c r="M1403" s="52" t="str">
        <f>VLOOKUP(Tabla3[[#This Row],[Site]],'Important Info!'!$A$1:$F$135,3,FALSE)</f>
        <v>-</v>
      </c>
      <c r="N1403" s="52" t="str">
        <f>VLOOKUP(Tabla3[[#This Row],[Site]],'Important Info!'!$A$1:$F$135,4,FALSE)</f>
        <v>-</v>
      </c>
      <c r="O1403" s="52" t="str">
        <f>VLOOKUP(Tabla3[[#This Row],[Site]],'Important Info!'!$A$1:$F$135,5,FALSE)</f>
        <v>1, 7, 11</v>
      </c>
      <c r="P1403" s="52" t="str">
        <f>VLOOKUP(Tabla3[[#This Row],[Site]],'Important Info!'!$A$1:$F$135,6,FALSE)</f>
        <v>-</v>
      </c>
      <c r="Q1403" s="91">
        <f>VLOOKUP(Tabla3[[#This Row],[Site]],'Important Info!'!$A$1:$J$135,9,FALSE)</f>
        <v>145</v>
      </c>
    </row>
    <row r="1404" spans="1:17" x14ac:dyDescent="0.25">
      <c r="A1404" t="str">
        <f>+Tabla3[[#This Row],[Site]]&amp;Tabla3[[#This Row],[Split]]</f>
        <v>(KG) Texan CDJR16</v>
      </c>
      <c r="B1404">
        <v>16</v>
      </c>
      <c r="C1404">
        <v>2</v>
      </c>
      <c r="D1404" t="s">
        <v>33</v>
      </c>
      <c r="E1404" t="s">
        <v>46</v>
      </c>
      <c r="F1404" t="s">
        <v>70</v>
      </c>
      <c r="G1404" t="s">
        <v>34</v>
      </c>
      <c r="H1404" s="52" t="str">
        <f>VLOOKUP(Tabla3[[#This Row],[Site]],'Important Info!'!$A$1:$J$135,10,FALSE)</f>
        <v>https://tools.sig.systems/site/details/238</v>
      </c>
      <c r="I1404" s="43" t="s">
        <v>137</v>
      </c>
      <c r="J1404" t="s">
        <v>41</v>
      </c>
      <c r="K1404" s="79" t="str">
        <f>VLOOKUP(Tabla3[[#This Row],[Site]],'Important Info!'!$A$1:$H$135,8,FALSE)</f>
        <v>-</v>
      </c>
      <c r="L1404" s="52" t="str">
        <f>VLOOKUP(Tabla3[[#This Row],[Site]],'Important Info!'!$A$1:$F$135,2,FALSE)</f>
        <v>11, 12, 13, 14, 20, 32, 34, 36, 77</v>
      </c>
      <c r="M1404" s="52" t="str">
        <f>VLOOKUP(Tabla3[[#This Row],[Site]],'Important Info!'!$A$1:$F$135,3,FALSE)</f>
        <v>-</v>
      </c>
      <c r="N1404" s="52" t="str">
        <f>VLOOKUP(Tabla3[[#This Row],[Site]],'Important Info!'!$A$1:$F$135,4,FALSE)</f>
        <v>67, 68, 69, 70</v>
      </c>
      <c r="O1404" s="52" t="str">
        <f>VLOOKUP(Tabla3[[#This Row],[Site]],'Important Info!'!$A$1:$F$135,5,FALSE)</f>
        <v>2, 10, 14, 25, 29, 35, 38</v>
      </c>
      <c r="P1404" s="52" t="str">
        <f>VLOOKUP(Tabla3[[#This Row],[Site]],'Important Info!'!$A$1:$F$135,6,FALSE)</f>
        <v>36, 46</v>
      </c>
      <c r="Q1404" s="91">
        <f>VLOOKUP(Tabla3[[#This Row],[Site]],'Important Info!'!$A$1:$J$135,9,FALSE)</f>
        <v>238</v>
      </c>
    </row>
    <row r="1405" spans="1:17" x14ac:dyDescent="0.25">
      <c r="A1405" t="str">
        <f>+Tabla3[[#This Row],[Site]]&amp;Tabla3[[#This Row],[Split]]</f>
        <v>(ML) Columbia Honda (NO TOURS)16</v>
      </c>
      <c r="B1405">
        <v>16</v>
      </c>
      <c r="C1405">
        <v>2</v>
      </c>
      <c r="D1405" t="s">
        <v>33</v>
      </c>
      <c r="E1405" t="s">
        <v>46</v>
      </c>
      <c r="F1405" t="s">
        <v>143</v>
      </c>
      <c r="G1405" t="s">
        <v>34</v>
      </c>
      <c r="H1405" s="52" t="str">
        <f>VLOOKUP(Tabla3[[#This Row],[Site]],'Important Info!'!$A$1:$J$135,10,FALSE)</f>
        <v>https://tools.sig.systems/site/details/272</v>
      </c>
      <c r="I1405" s="43" t="s">
        <v>144</v>
      </c>
      <c r="J1405" t="s">
        <v>41</v>
      </c>
      <c r="K1405" s="79" t="str">
        <f>VLOOKUP(Tabla3[[#This Row],[Site]],'Important Info!'!$A$1:$H$135,8,FALSE)</f>
        <v>-</v>
      </c>
      <c r="L1405" s="52" t="str">
        <f>VLOOKUP(Tabla3[[#This Row],[Site]],'Important Info!'!$A$1:$F$135,2,FALSE)</f>
        <v>-</v>
      </c>
      <c r="M1405" s="52" t="str">
        <f>VLOOKUP(Tabla3[[#This Row],[Site]],'Important Info!'!$A$1:$F$135,3,FALSE)</f>
        <v>9, 19, 20</v>
      </c>
      <c r="N1405" s="52" t="str">
        <f>VLOOKUP(Tabla3[[#This Row],[Site]],'Important Info!'!$A$1:$F$135,4,FALSE)</f>
        <v>-</v>
      </c>
      <c r="O1405" s="52" t="str">
        <f>VLOOKUP(Tabla3[[#This Row],[Site]],'Important Info!'!$A$1:$F$135,5,FALSE)</f>
        <v>10, 17, 19</v>
      </c>
      <c r="P1405" s="52" t="str">
        <f>VLOOKUP(Tabla3[[#This Row],[Site]],'Important Info!'!$A$1:$F$135,6,FALSE)</f>
        <v>3, 4, 5</v>
      </c>
      <c r="Q1405" s="91">
        <f>VLOOKUP(Tabla3[[#This Row],[Site]],'Important Info!'!$A$1:$J$135,9,FALSE)</f>
        <v>272</v>
      </c>
    </row>
    <row r="1406" spans="1:17" x14ac:dyDescent="0.25">
      <c r="A1406" t="str">
        <f>+Tabla3[[#This Row],[Site]]&amp;Tabla3[[#This Row],[Split]]</f>
        <v>(ML) Toyota N Little Rock16</v>
      </c>
      <c r="B1406">
        <v>16</v>
      </c>
      <c r="C1406">
        <v>2</v>
      </c>
      <c r="D1406" t="s">
        <v>33</v>
      </c>
      <c r="E1406" t="s">
        <v>46</v>
      </c>
      <c r="F1406" t="s">
        <v>76</v>
      </c>
      <c r="G1406" t="s">
        <v>34</v>
      </c>
      <c r="H1406" s="52" t="str">
        <f>VLOOKUP(Tabla3[[#This Row],[Site]],'Important Info!'!$A$1:$J$135,10,FALSE)</f>
        <v>https://tools.sig.systems/site/details/201</v>
      </c>
      <c r="I1406" s="2" t="s">
        <v>142</v>
      </c>
      <c r="J1406" t="s">
        <v>41</v>
      </c>
      <c r="K1406" s="79" t="str">
        <f>VLOOKUP(Tabla3[[#This Row],[Site]],'Important Info!'!$A$1:$H$135,8,FALSE)</f>
        <v>-</v>
      </c>
      <c r="L1406" s="52" t="str">
        <f>VLOOKUP(Tabla3[[#This Row],[Site]],'Important Info!'!$A$1:$F$135,2,FALSE)</f>
        <v>4, 15, 18, 22, 23, 26</v>
      </c>
      <c r="M1406" s="52" t="str">
        <f>VLOOKUP(Tabla3[[#This Row],[Site]],'Important Info!'!$A$1:$F$135,3,FALSE)</f>
        <v>-</v>
      </c>
      <c r="N1406" s="52" t="str">
        <f>VLOOKUP(Tabla3[[#This Row],[Site]],'Important Info!'!$A$1:$F$135,4,FALSE)</f>
        <v>-</v>
      </c>
      <c r="O1406" s="52" t="str">
        <f>VLOOKUP(Tabla3[[#This Row],[Site]],'Important Info!'!$A$1:$F$135,5,FALSE)</f>
        <v>2, 12, 13, 18</v>
      </c>
      <c r="P1406" s="52" t="str">
        <f>VLOOKUP(Tabla3[[#This Row],[Site]],'Important Info!'!$A$1:$F$135,6,FALSE)</f>
        <v>-</v>
      </c>
      <c r="Q1406" s="91">
        <f>VLOOKUP(Tabla3[[#This Row],[Site]],'Important Info!'!$A$1:$J$135,9,FALSE)</f>
        <v>201</v>
      </c>
    </row>
    <row r="1407" spans="1:17" x14ac:dyDescent="0.25">
      <c r="A1407" t="str">
        <f>+Tabla3[[#This Row],[Site]]&amp;Tabla3[[#This Row],[Split]]</f>
        <v>(PE) BMW of Mamaroneck (NO TOURS)16</v>
      </c>
      <c r="B1407">
        <v>16</v>
      </c>
      <c r="C1407">
        <v>2</v>
      </c>
      <c r="D1407" t="s">
        <v>485</v>
      </c>
      <c r="E1407" t="s">
        <v>35</v>
      </c>
      <c r="F1407" t="s">
        <v>172</v>
      </c>
      <c r="G1407" t="s">
        <v>490</v>
      </c>
      <c r="H1407" s="52" t="str">
        <f>VLOOKUP(Tabla3[[#This Row],[Site]],'Important Info!'!$A$1:$J$135,10,FALSE)</f>
        <v>https://tools.sig.systems/site/details/185</v>
      </c>
      <c r="I1407" s="43"/>
      <c r="J1407" t="s">
        <v>41</v>
      </c>
      <c r="K1407" s="79" t="str">
        <f>VLOOKUP(Tabla3[[#This Row],[Site]],'Important Info!'!$A$1:$H$135,8,FALSE)</f>
        <v>-</v>
      </c>
      <c r="L1407" s="52">
        <f>VLOOKUP(Tabla3[[#This Row],[Site]],'Important Info!'!$A$1:$F$135,2,FALSE)</f>
        <v>9</v>
      </c>
      <c r="M1407" s="52" t="str">
        <f>VLOOKUP(Tabla3[[#This Row],[Site]],'Important Info!'!$A$1:$F$135,3,FALSE)</f>
        <v>2, 3, 4, 5</v>
      </c>
      <c r="N1407" s="52" t="str">
        <f>VLOOKUP(Tabla3[[#This Row],[Site]],'Important Info!'!$A$1:$F$135,4,FALSE)</f>
        <v>-</v>
      </c>
      <c r="O1407" s="52" t="str">
        <f>VLOOKUP(Tabla3[[#This Row],[Site]],'Important Info!'!$A$1:$F$135,5,FALSE)</f>
        <v>-</v>
      </c>
      <c r="P1407" s="52" t="str">
        <f>VLOOKUP(Tabla3[[#This Row],[Site]],'Important Info!'!$A$1:$F$135,6,FALSE)</f>
        <v>4, 6, 7, 8</v>
      </c>
      <c r="Q1407" s="91">
        <f>VLOOKUP(Tabla3[[#This Row],[Site]],'Important Info!'!$A$1:$J$135,9,FALSE)</f>
        <v>185</v>
      </c>
    </row>
    <row r="1408" spans="1:17" x14ac:dyDescent="0.25">
      <c r="A1408" t="str">
        <f>+Tabla3[[#This Row],[Site]]&amp;Tabla3[[#This Row],[Split]]</f>
        <v>(RV) Toms Camperland Mesa (NO TOURS)16</v>
      </c>
      <c r="B1408">
        <v>16</v>
      </c>
      <c r="C1408">
        <v>2</v>
      </c>
      <c r="D1408" t="s">
        <v>51</v>
      </c>
      <c r="E1408" t="s">
        <v>161</v>
      </c>
      <c r="F1408" t="s">
        <v>81</v>
      </c>
      <c r="G1408" t="s">
        <v>52</v>
      </c>
      <c r="H1408" s="52" t="str">
        <f>VLOOKUP(Tabla3[[#This Row],[Site]],'Important Info!'!$A$1:$J$135,10,FALSE)</f>
        <v>https://tools.sig.systems/site/details/222</v>
      </c>
      <c r="J1408" t="s">
        <v>41</v>
      </c>
      <c r="K1408" s="79" t="str">
        <f>VLOOKUP(Tabla3[[#This Row],[Site]],'Important Info!'!$A$1:$H$135,8,FALSE)</f>
        <v>-</v>
      </c>
      <c r="L1408" s="52" t="str">
        <f>VLOOKUP(Tabla3[[#This Row],[Site]],'Important Info!'!$A$1:$F$135,2,FALSE)</f>
        <v>1, 2</v>
      </c>
      <c r="M1408" s="52" t="str">
        <f>VLOOKUP(Tabla3[[#This Row],[Site]],'Important Info!'!$A$1:$F$135,3,FALSE)</f>
        <v>-</v>
      </c>
      <c r="N1408" s="52" t="str">
        <f>VLOOKUP(Tabla3[[#This Row],[Site]],'Important Info!'!$A$1:$F$135,4,FALSE)</f>
        <v>-</v>
      </c>
      <c r="O1408" s="52" t="str">
        <f>VLOOKUP(Tabla3[[#This Row],[Site]],'Important Info!'!$A$1:$F$135,5,FALSE)</f>
        <v>-</v>
      </c>
      <c r="P1408" s="52" t="str">
        <f>VLOOKUP(Tabla3[[#This Row],[Site]],'Important Info!'!$A$1:$F$135,6,FALSE)</f>
        <v>1, 4, 6, 8, 10, 18</v>
      </c>
      <c r="Q1408" s="91">
        <f>VLOOKUP(Tabla3[[#This Row],[Site]],'Important Info!'!$A$1:$J$135,9,FALSE)</f>
        <v>222</v>
      </c>
    </row>
    <row r="1409" spans="1:17" x14ac:dyDescent="0.25">
      <c r="A1409" t="str">
        <f>+Tabla3[[#This Row],[Site]]&amp;Tabla3[[#This Row],[Split]]</f>
        <v>(AS) Bill Estes Ford (NO TOURS)16</v>
      </c>
      <c r="B1409">
        <v>16</v>
      </c>
      <c r="C1409">
        <v>3</v>
      </c>
      <c r="D1409" t="s">
        <v>62</v>
      </c>
      <c r="E1409" t="s">
        <v>35</v>
      </c>
      <c r="F1409" t="s">
        <v>178</v>
      </c>
      <c r="G1409" t="s">
        <v>490</v>
      </c>
      <c r="H1409" s="52" t="str">
        <f>VLOOKUP(Tabla3[[#This Row],[Site]],'Important Info!'!$A$1:$J$135,10,FALSE)</f>
        <v>https://tools.sig.systems/site/details/125</v>
      </c>
      <c r="J1409" t="s">
        <v>41</v>
      </c>
      <c r="K1409" s="79" t="str">
        <f>VLOOKUP(Tabla3[[#This Row],[Site]],'Important Info!'!$A$1:$H$135,8,FALSE)</f>
        <v>-</v>
      </c>
      <c r="L1409" s="52" t="str">
        <f>VLOOKUP(Tabla3[[#This Row],[Site]],'Important Info!'!$A$1:$F$135,2,FALSE)</f>
        <v>-</v>
      </c>
      <c r="M1409" s="52" t="str">
        <f>VLOOKUP(Tabla3[[#This Row],[Site]],'Important Info!'!$A$1:$F$135,3,FALSE)</f>
        <v>2, 3, 13, 16</v>
      </c>
      <c r="N1409" s="52" t="str">
        <f>VLOOKUP(Tabla3[[#This Row],[Site]],'Important Info!'!$A$1:$F$135,4,FALSE)</f>
        <v>-</v>
      </c>
      <c r="O1409" s="52" t="str">
        <f>VLOOKUP(Tabla3[[#This Row],[Site]],'Important Info!'!$A$1:$F$135,5,FALSE)</f>
        <v>1, 10, 14, 19</v>
      </c>
      <c r="P1409" s="52" t="str">
        <f>VLOOKUP(Tabla3[[#This Row],[Site]],'Important Info!'!$A$1:$F$135,6,FALSE)</f>
        <v>7, 8, 9, 10, 11, 12, 14</v>
      </c>
      <c r="Q1409" s="91">
        <f>VLOOKUP(Tabla3[[#This Row],[Site]],'Important Info!'!$A$1:$J$135,9,FALSE)</f>
        <v>125</v>
      </c>
    </row>
    <row r="1410" spans="1:17" x14ac:dyDescent="0.25">
      <c r="A1410" t="str">
        <f>+Tabla3[[#This Row],[Site]]&amp;Tabla3[[#This Row],[Split]]</f>
        <v>(AS) Park Place Mercedes Benz Arlington (NO TOURS)16</v>
      </c>
      <c r="B1410">
        <v>16</v>
      </c>
      <c r="C1410">
        <v>3</v>
      </c>
      <c r="D1410" t="s">
        <v>33</v>
      </c>
      <c r="E1410" t="s">
        <v>46</v>
      </c>
      <c r="F1410" t="s">
        <v>518</v>
      </c>
      <c r="G1410" t="s">
        <v>34</v>
      </c>
      <c r="H1410" s="52" t="str">
        <f>VLOOKUP(Tabla3[[#This Row],[Site]],'Important Info!'!$A$1:$J$135,10,FALSE)</f>
        <v>https://tools.sig.systems/site/details/169</v>
      </c>
      <c r="J1410" t="s">
        <v>41</v>
      </c>
      <c r="K1410" s="79" t="str">
        <f>VLOOKUP(Tabla3[[#This Row],[Site]],'Important Info!'!$A$1:$H$135,8,FALSE)</f>
        <v>-</v>
      </c>
      <c r="L1410" s="52" t="str">
        <f>VLOOKUP(Tabla3[[#This Row],[Site]],'Important Info!'!$A$1:$F$135,2,FALSE)</f>
        <v>1, 9, 14</v>
      </c>
      <c r="M1410" s="52" t="str">
        <f>VLOOKUP(Tabla3[[#This Row],[Site]],'Important Info!'!$A$1:$F$135,3,FALSE)</f>
        <v>-</v>
      </c>
      <c r="N1410" s="52" t="str">
        <f>VLOOKUP(Tabla3[[#This Row],[Site]],'Important Info!'!$A$1:$F$135,4,FALSE)</f>
        <v>77, 78, 79, 80</v>
      </c>
      <c r="O1410" s="52" t="str">
        <f>VLOOKUP(Tabla3[[#This Row],[Site]],'Important Info!'!$A$1:$F$135,5,FALSE)</f>
        <v>2, 10, 18, 22, 31, 40</v>
      </c>
      <c r="P1410" s="52">
        <f>VLOOKUP(Tabla3[[#This Row],[Site]],'Important Info!'!$A$1:$F$135,6,FALSE)</f>
        <v>9</v>
      </c>
      <c r="Q1410" s="91">
        <f>VLOOKUP(Tabla3[[#This Row],[Site]],'Important Info!'!$A$1:$J$135,9,FALSE)</f>
        <v>169</v>
      </c>
    </row>
    <row r="1411" spans="1:17" x14ac:dyDescent="0.25">
      <c r="A1411" t="str">
        <f>+Tabla3[[#This Row],[Site]]&amp;Tabla3[[#This Row],[Split]]</f>
        <v>(HUD) Nissan Greensboro16</v>
      </c>
      <c r="B1411">
        <v>16</v>
      </c>
      <c r="C1411">
        <v>3</v>
      </c>
      <c r="D1411" t="s">
        <v>62</v>
      </c>
      <c r="E1411" t="s">
        <v>35</v>
      </c>
      <c r="F1411" t="s">
        <v>66</v>
      </c>
      <c r="G1411" t="s">
        <v>490</v>
      </c>
      <c r="H1411" s="52" t="str">
        <f>VLOOKUP(Tabla3[[#This Row],[Site]],'Important Info!'!$A$1:$J$135,10,FALSE)</f>
        <v>https://tools.sig.systems/site/details/236</v>
      </c>
      <c r="I1411" s="2" t="s">
        <v>184</v>
      </c>
      <c r="J1411" t="s">
        <v>41</v>
      </c>
      <c r="K1411" s="79" t="str">
        <f>VLOOKUP(Tabla3[[#This Row],[Site]],'Important Info!'!$A$1:$H$135,8,FALSE)</f>
        <v>-</v>
      </c>
      <c r="L1411" s="52" t="str">
        <f>VLOOKUP(Tabla3[[#This Row],[Site]],'Important Info!'!$A$1:$F$135,2,FALSE)</f>
        <v>1, 5, 12</v>
      </c>
      <c r="M1411" s="52" t="str">
        <f>VLOOKUP(Tabla3[[#This Row],[Site]],'Important Info!'!$A$1:$F$135,3,FALSE)</f>
        <v>-</v>
      </c>
      <c r="N1411" s="52" t="str">
        <f>VLOOKUP(Tabla3[[#This Row],[Site]],'Important Info!'!$A$1:$F$135,4,FALSE)</f>
        <v>-</v>
      </c>
      <c r="O1411" s="52" t="str">
        <f>VLOOKUP(Tabla3[[#This Row],[Site]],'Important Info!'!$A$1:$F$135,5,FALSE)</f>
        <v>-</v>
      </c>
      <c r="P1411" s="52">
        <f>VLOOKUP(Tabla3[[#This Row],[Site]],'Important Info!'!$A$1:$F$135,6,FALSE)</f>
        <v>4</v>
      </c>
      <c r="Q1411" s="91">
        <f>VLOOKUP(Tabla3[[#This Row],[Site]],'Important Info!'!$A$1:$J$135,9,FALSE)</f>
        <v>236</v>
      </c>
    </row>
    <row r="1412" spans="1:17" x14ac:dyDescent="0.25">
      <c r="A1412" t="str">
        <f>+Tabla3[[#This Row],[Site]]&amp;Tabla3[[#This Row],[Split]]</f>
        <v>(KG) Hyundai Surprise16</v>
      </c>
      <c r="B1412">
        <v>16</v>
      </c>
      <c r="C1412">
        <v>3</v>
      </c>
      <c r="D1412" t="s">
        <v>51</v>
      </c>
      <c r="E1412" t="s">
        <v>161</v>
      </c>
      <c r="F1412" t="s">
        <v>118</v>
      </c>
      <c r="G1412" t="s">
        <v>52</v>
      </c>
      <c r="H1412" s="52" t="str">
        <f>VLOOKUP(Tabla3[[#This Row],[Site]],'Important Info!'!$A$1:$J$135,10,FALSE)</f>
        <v>https://tools.sig.systems/site/details/269</v>
      </c>
      <c r="I1412" s="2"/>
      <c r="J1412" t="s">
        <v>162</v>
      </c>
      <c r="K1412" s="79" t="str">
        <f>VLOOKUP(Tabla3[[#This Row],[Site]],'Important Info!'!$A$1:$H$135,8,FALSE)</f>
        <v>-</v>
      </c>
      <c r="L1412" s="52" t="str">
        <f>VLOOKUP(Tabla3[[#This Row],[Site]],'Important Info!'!$A$1:$F$135,2,FALSE)</f>
        <v>1, 6, 7</v>
      </c>
      <c r="M1412" s="52" t="str">
        <f>VLOOKUP(Tabla3[[#This Row],[Site]],'Important Info!'!$A$1:$F$135,3,FALSE)</f>
        <v>-</v>
      </c>
      <c r="N1412" s="52" t="str">
        <f>VLOOKUP(Tabla3[[#This Row],[Site]],'Important Info!'!$A$1:$F$135,4,FALSE)</f>
        <v>-</v>
      </c>
      <c r="O1412" s="52" t="str">
        <f>VLOOKUP(Tabla3[[#This Row],[Site]],'Important Info!'!$A$1:$F$135,5,FALSE)</f>
        <v>6, 13</v>
      </c>
      <c r="P1412" s="52" t="str">
        <f>VLOOKUP(Tabla3[[#This Row],[Site]],'Important Info!'!$A$1:$F$135,6,FALSE)</f>
        <v>-</v>
      </c>
      <c r="Q1412" s="91">
        <f>VLOOKUP(Tabla3[[#This Row],[Site]],'Important Info!'!$A$1:$J$135,9,FALSE)</f>
        <v>269</v>
      </c>
    </row>
    <row r="1413" spans="1:17" x14ac:dyDescent="0.25">
      <c r="A1413" t="str">
        <f>+Tabla3[[#This Row],[Site]]&amp;Tabla3[[#This Row],[Split]]</f>
        <v>(KG) Texan GMC Buick (NO TOURS)16</v>
      </c>
      <c r="B1413">
        <v>16</v>
      </c>
      <c r="C1413">
        <v>3</v>
      </c>
      <c r="D1413" t="s">
        <v>33</v>
      </c>
      <c r="E1413" t="s">
        <v>46</v>
      </c>
      <c r="F1413" t="s">
        <v>111</v>
      </c>
      <c r="G1413" t="s">
        <v>34</v>
      </c>
      <c r="H1413" s="52" t="str">
        <f>VLOOKUP(Tabla3[[#This Row],[Site]],'Important Info!'!$A$1:$J$135,10,FALSE)</f>
        <v>https://tools.sig.systems/site/details/225</v>
      </c>
      <c r="I1413" s="2" t="s">
        <v>137</v>
      </c>
      <c r="J1413" t="s">
        <v>41</v>
      </c>
      <c r="K1413" s="79" t="str">
        <f>VLOOKUP(Tabla3[[#This Row],[Site]],'Important Info!'!$A$1:$H$135,8,FALSE)</f>
        <v>-</v>
      </c>
      <c r="L1413" s="52" t="str">
        <f>VLOOKUP(Tabla3[[#This Row],[Site]],'Important Info!'!$A$1:$F$135,2,FALSE)</f>
        <v>1, 20, 53</v>
      </c>
      <c r="M1413" s="52" t="str">
        <f>VLOOKUP(Tabla3[[#This Row],[Site]],'Important Info!'!$A$1:$F$135,3,FALSE)</f>
        <v>-</v>
      </c>
      <c r="N1413" s="52" t="str">
        <f>VLOOKUP(Tabla3[[#This Row],[Site]],'Important Info!'!$A$1:$F$135,4,FALSE)</f>
        <v>-</v>
      </c>
      <c r="O1413" s="52" t="str">
        <f>VLOOKUP(Tabla3[[#This Row],[Site]],'Important Info!'!$A$1:$F$135,5,FALSE)</f>
        <v>2, 8, 14</v>
      </c>
      <c r="P1413" s="52" t="str">
        <f>VLOOKUP(Tabla3[[#This Row],[Site]],'Important Info!'!$A$1:$F$135,6,FALSE)</f>
        <v>51, 52, 16</v>
      </c>
      <c r="Q1413" s="91">
        <f>VLOOKUP(Tabla3[[#This Row],[Site]],'Important Info!'!$A$1:$J$135,9,FALSE)</f>
        <v>225</v>
      </c>
    </row>
    <row r="1414" spans="1:17" x14ac:dyDescent="0.25">
      <c r="A1414" t="str">
        <f>+Tabla3[[#This Row],[Site]]&amp;Tabla3[[#This Row],[Split]]</f>
        <v>(LM) Luther Mazda / Mitsubishi16</v>
      </c>
      <c r="B1414">
        <v>16</v>
      </c>
      <c r="C1414">
        <v>3</v>
      </c>
      <c r="D1414" t="s">
        <v>33</v>
      </c>
      <c r="E1414" t="s">
        <v>46</v>
      </c>
      <c r="F1414" t="s">
        <v>103</v>
      </c>
      <c r="G1414" t="s">
        <v>34</v>
      </c>
      <c r="H1414" s="52" t="str">
        <f>VLOOKUP(Tabla3[[#This Row],[Site]],'Important Info!'!$A$1:$J$135,10,FALSE)</f>
        <v>https://tools.sig.systems/site/details/147</v>
      </c>
      <c r="I1414" s="43" t="s">
        <v>138</v>
      </c>
      <c r="J1414" t="s">
        <v>41</v>
      </c>
      <c r="K1414" s="79" t="str">
        <f>VLOOKUP(Tabla3[[#This Row],[Site]],'Important Info!'!$A$1:$H$135,8,FALSE)</f>
        <v>-</v>
      </c>
      <c r="L1414" s="52" t="str">
        <f>VLOOKUP(Tabla3[[#This Row],[Site]],'Important Info!'!$A$1:$F$135,2,FALSE)</f>
        <v>4, 5, 6</v>
      </c>
      <c r="M1414" s="52" t="str">
        <f>VLOOKUP(Tabla3[[#This Row],[Site]],'Important Info!'!$A$1:$F$135,3,FALSE)</f>
        <v>-</v>
      </c>
      <c r="N1414" s="52" t="str">
        <f>VLOOKUP(Tabla3[[#This Row],[Site]],'Important Info!'!$A$1:$F$135,4,FALSE)</f>
        <v>1, 2</v>
      </c>
      <c r="O1414" s="52" t="str">
        <f>VLOOKUP(Tabla3[[#This Row],[Site]],'Important Info!'!$A$1:$F$135,5,FALSE)</f>
        <v>-</v>
      </c>
      <c r="P1414" s="52" t="str">
        <f>VLOOKUP(Tabla3[[#This Row],[Site]],'Important Info!'!$A$1:$F$135,6,FALSE)</f>
        <v>13, 14, 15, 16</v>
      </c>
      <c r="Q1414" s="91">
        <f>VLOOKUP(Tabla3[[#This Row],[Site]],'Important Info!'!$A$1:$J$135,9,FALSE)</f>
        <v>147</v>
      </c>
    </row>
    <row r="1415" spans="1:17" x14ac:dyDescent="0.25">
      <c r="A1415" t="str">
        <f>+Tabla3[[#This Row],[Site]]&amp;Tabla3[[#This Row],[Split]]</f>
        <v>(ML) Joe Machens CDJR16</v>
      </c>
      <c r="B1415">
        <v>16</v>
      </c>
      <c r="C1415">
        <v>3</v>
      </c>
      <c r="D1415" t="s">
        <v>33</v>
      </c>
      <c r="E1415" t="s">
        <v>46</v>
      </c>
      <c r="F1415" t="s">
        <v>88</v>
      </c>
      <c r="G1415" t="s">
        <v>34</v>
      </c>
      <c r="H1415" s="52" t="str">
        <f>VLOOKUP(Tabla3[[#This Row],[Site]],'Important Info!'!$A$1:$J$135,10,FALSE)</f>
        <v>https://tools.sig.systems/site/details/273</v>
      </c>
      <c r="I1415" s="43" t="s">
        <v>146</v>
      </c>
      <c r="J1415" t="s">
        <v>41</v>
      </c>
      <c r="K1415" s="79" t="str">
        <f>VLOOKUP(Tabla3[[#This Row],[Site]],'Important Info!'!$A$1:$H$135,8,FALSE)</f>
        <v>-</v>
      </c>
      <c r="L1415" s="52" t="str">
        <f>VLOOKUP(Tabla3[[#This Row],[Site]],'Important Info!'!$A$1:$F$135,2,FALSE)</f>
        <v>-</v>
      </c>
      <c r="M1415" s="52">
        <f>VLOOKUP(Tabla3[[#This Row],[Site]],'Important Info!'!$A$1:$F$135,3,FALSE)</f>
        <v>3</v>
      </c>
      <c r="N1415" s="52" t="str">
        <f>VLOOKUP(Tabla3[[#This Row],[Site]],'Important Info!'!$A$1:$F$135,4,FALSE)</f>
        <v>-</v>
      </c>
      <c r="O1415" s="52" t="str">
        <f>VLOOKUP(Tabla3[[#This Row],[Site]],'Important Info!'!$A$1:$F$135,5,FALSE)</f>
        <v>-</v>
      </c>
      <c r="P1415" s="52" t="str">
        <f>VLOOKUP(Tabla3[[#This Row],[Site]],'Important Info!'!$A$1:$F$135,6,FALSE)</f>
        <v>1, 2, 3,</v>
      </c>
      <c r="Q1415" s="91">
        <f>VLOOKUP(Tabla3[[#This Row],[Site]],'Important Info!'!$A$1:$J$135,9,FALSE)</f>
        <v>273</v>
      </c>
    </row>
    <row r="1416" spans="1:17" x14ac:dyDescent="0.25">
      <c r="A1416" t="str">
        <f>+Tabla3[[#This Row],[Site]]&amp;Tabla3[[#This Row],[Split]]</f>
        <v>(RV) Toms Camperland Surprise (NO TOURS)16</v>
      </c>
      <c r="B1416">
        <v>16</v>
      </c>
      <c r="C1416">
        <v>3</v>
      </c>
      <c r="D1416" t="s">
        <v>51</v>
      </c>
      <c r="E1416" t="s">
        <v>161</v>
      </c>
      <c r="F1416" t="s">
        <v>165</v>
      </c>
      <c r="G1416" t="s">
        <v>52</v>
      </c>
      <c r="H1416" s="52" t="str">
        <f>VLOOKUP(Tabla3[[#This Row],[Site]],'Important Info!'!$A$1:$J$135,10,FALSE)</f>
        <v>https://tools.sig.systems/site/details/254</v>
      </c>
      <c r="I1416" s="43"/>
      <c r="J1416" t="s">
        <v>52</v>
      </c>
      <c r="K1416" s="79" t="str">
        <f>VLOOKUP(Tabla3[[#This Row],[Site]],'Important Info!'!$A$1:$H$135,8,FALSE)</f>
        <v>-</v>
      </c>
      <c r="L1416" s="52" t="str">
        <f>VLOOKUP(Tabla3[[#This Row],[Site]],'Important Info!'!$A$1:$F$135,2,FALSE)</f>
        <v>1, 3, 4</v>
      </c>
      <c r="M1416" s="52" t="str">
        <f>VLOOKUP(Tabla3[[#This Row],[Site]],'Important Info!'!$A$1:$F$135,3,FALSE)</f>
        <v>-</v>
      </c>
      <c r="N1416" s="52" t="str">
        <f>VLOOKUP(Tabla3[[#This Row],[Site]],'Important Info!'!$A$1:$F$135,4,FALSE)</f>
        <v>-</v>
      </c>
      <c r="O1416" s="52" t="str">
        <f>VLOOKUP(Tabla3[[#This Row],[Site]],'Important Info!'!$A$1:$F$135,5,FALSE)</f>
        <v>-</v>
      </c>
      <c r="P1416" s="52" t="str">
        <f>VLOOKUP(Tabla3[[#This Row],[Site]],'Important Info!'!$A$1:$F$135,6,FALSE)</f>
        <v>1, 2, 3, 4, 15</v>
      </c>
      <c r="Q1416" s="91">
        <f>VLOOKUP(Tabla3[[#This Row],[Site]],'Important Info!'!$A$1:$J$135,9,FALSE)</f>
        <v>254</v>
      </c>
    </row>
    <row r="1417" spans="1:17" x14ac:dyDescent="0.25">
      <c r="A1417" t="str">
        <f>+Tabla3[[#This Row],[Site]]&amp;Tabla3[[#This Row],[Split]]</f>
        <v>(AS) Park Place Volvo Sales (NO TOURS)16</v>
      </c>
      <c r="B1417">
        <v>16</v>
      </c>
      <c r="C1417">
        <v>4</v>
      </c>
      <c r="D1417" t="s">
        <v>33</v>
      </c>
      <c r="E1417" t="s">
        <v>46</v>
      </c>
      <c r="F1417" t="s">
        <v>521</v>
      </c>
      <c r="G1417" t="s">
        <v>34</v>
      </c>
      <c r="H1417" s="52" t="str">
        <f>VLOOKUP(Tabla3[[#This Row],[Site]],'Important Info!'!$A$1:$J$135,10,FALSE)</f>
        <v>https://tools.sig.systems/site/details/139</v>
      </c>
      <c r="I1417" s="65" t="s">
        <v>125</v>
      </c>
      <c r="J1417" t="s">
        <v>41</v>
      </c>
      <c r="K1417" s="79" t="str">
        <f>VLOOKUP(Tabla3[[#This Row],[Site]],'Important Info!'!$A$1:$H$135,8,FALSE)</f>
        <v>-</v>
      </c>
      <c r="L1417" s="52" t="str">
        <f>VLOOKUP(Tabla3[[#This Row],[Site]],'Important Info!'!$A$1:$F$135,2,FALSE)</f>
        <v>4, 6, 9, 11</v>
      </c>
      <c r="M1417" s="52" t="str">
        <f>VLOOKUP(Tabla3[[#This Row],[Site]],'Important Info!'!$A$1:$F$135,3,FALSE)</f>
        <v>-</v>
      </c>
      <c r="N1417" s="52" t="str">
        <f>VLOOKUP(Tabla3[[#This Row],[Site]],'Important Info!'!$A$1:$F$135,4,FALSE)</f>
        <v>-</v>
      </c>
      <c r="O1417" s="52" t="str">
        <f>VLOOKUP(Tabla3[[#This Row],[Site]],'Important Info!'!$A$1:$F$135,5,FALSE)</f>
        <v>2, 9</v>
      </c>
      <c r="P1417" s="52" t="str">
        <f>VLOOKUP(Tabla3[[#This Row],[Site]],'Important Info!'!$A$1:$F$135,6,FALSE)</f>
        <v>4, 10, 11</v>
      </c>
      <c r="Q1417" s="91">
        <f>VLOOKUP(Tabla3[[#This Row],[Site]],'Important Info!'!$A$1:$J$135,9,FALSE)</f>
        <v>139</v>
      </c>
    </row>
    <row r="1418" spans="1:17" x14ac:dyDescent="0.25">
      <c r="A1418" t="str">
        <f>+Tabla3[[#This Row],[Site]]&amp;Tabla3[[#This Row],[Split]]</f>
        <v>(AS) Stevinson Chevrolet Golden (NO TOURS)16</v>
      </c>
      <c r="B1418">
        <v>16</v>
      </c>
      <c r="C1418">
        <v>4</v>
      </c>
      <c r="D1418" t="s">
        <v>488</v>
      </c>
      <c r="E1418" t="s">
        <v>53</v>
      </c>
      <c r="F1418" t="s">
        <v>190</v>
      </c>
      <c r="G1418" t="s">
        <v>45</v>
      </c>
      <c r="H1418" s="52" t="str">
        <f>VLOOKUP(Tabla3[[#This Row],[Site]],'Important Info!'!$A$1:$J$135,10,FALSE)</f>
        <v>https://tools.sig.systems/site/details/264</v>
      </c>
      <c r="I1418" s="43" t="s">
        <v>154</v>
      </c>
      <c r="J1418" t="s">
        <v>41</v>
      </c>
      <c r="K1418" s="79" t="str">
        <f>VLOOKUP(Tabla3[[#This Row],[Site]],'Important Info!'!$A$1:$H$135,8,FALSE)</f>
        <v>-</v>
      </c>
      <c r="L1418" s="52" t="str">
        <f>VLOOKUP(Tabla3[[#This Row],[Site]],'Important Info!'!$A$1:$F$135,2,FALSE)</f>
        <v>-</v>
      </c>
      <c r="M1418" s="52" t="str">
        <f>VLOOKUP(Tabla3[[#This Row],[Site]],'Important Info!'!$A$1:$F$135,3,FALSE)</f>
        <v>1, 19</v>
      </c>
      <c r="N1418" s="52" t="str">
        <f>VLOOKUP(Tabla3[[#This Row],[Site]],'Important Info!'!$A$1:$F$135,4,FALSE)</f>
        <v>-</v>
      </c>
      <c r="O1418" s="52" t="str">
        <f>VLOOKUP(Tabla3[[#This Row],[Site]],'Important Info!'!$A$1:$F$135,5,FALSE)</f>
        <v>14, 30</v>
      </c>
      <c r="P1418" s="52" t="str">
        <f>VLOOKUP(Tabla3[[#This Row],[Site]],'Important Info!'!$A$1:$F$135,6,FALSE)</f>
        <v>14, 33, 34, 35, 36</v>
      </c>
      <c r="Q1418" s="91">
        <f>VLOOKUP(Tabla3[[#This Row],[Site]],'Important Info!'!$A$1:$J$135,9,FALSE)</f>
        <v>264</v>
      </c>
    </row>
    <row r="1419" spans="1:17" x14ac:dyDescent="0.25">
      <c r="A1419" t="str">
        <f>+Tabla3[[#This Row],[Site]]&amp;Tabla3[[#This Row],[Split]]</f>
        <v>(DT) Denver (NO TOURS)16</v>
      </c>
      <c r="B1419">
        <v>16</v>
      </c>
      <c r="C1419">
        <v>4</v>
      </c>
      <c r="D1419" t="s">
        <v>44</v>
      </c>
      <c r="E1419" t="s">
        <v>53</v>
      </c>
      <c r="F1419" t="s">
        <v>157</v>
      </c>
      <c r="G1419" t="s">
        <v>45</v>
      </c>
      <c r="H1419" s="52" t="str">
        <f>VLOOKUP(Tabla3[[#This Row],[Site]],'Important Info!'!$A$1:$J$135,10,FALSE)</f>
        <v>https://tools.sig.systems/site/details/203</v>
      </c>
      <c r="I1419" s="2" t="s">
        <v>158</v>
      </c>
      <c r="J1419" t="s">
        <v>41</v>
      </c>
      <c r="K1419" s="79" t="str">
        <f>VLOOKUP(Tabla3[[#This Row],[Site]],'Important Info!'!$A$1:$H$135,8,FALSE)</f>
        <v>-</v>
      </c>
      <c r="L1419" s="52" t="str">
        <f>VLOOKUP(Tabla3[[#This Row],[Site]],'Important Info!'!$A$1:$F$135,2,FALSE)</f>
        <v>-</v>
      </c>
      <c r="M1419" s="52" t="str">
        <f>VLOOKUP(Tabla3[[#This Row],[Site]],'Important Info!'!$A$1:$F$135,3,FALSE)</f>
        <v>7, 8</v>
      </c>
      <c r="N1419" s="52" t="str">
        <f>VLOOKUP(Tabla3[[#This Row],[Site]],'Important Info!'!$A$1:$F$135,4,FALSE)</f>
        <v>-</v>
      </c>
      <c r="O1419" s="52" t="str">
        <f>VLOOKUP(Tabla3[[#This Row],[Site]],'Important Info!'!$A$1:$F$135,5,FALSE)</f>
        <v>-</v>
      </c>
      <c r="P1419" s="52" t="str">
        <f>VLOOKUP(Tabla3[[#This Row],[Site]],'Important Info!'!$A$1:$F$135,6,FALSE)</f>
        <v>7, 8</v>
      </c>
      <c r="Q1419" s="91">
        <f>VLOOKUP(Tabla3[[#This Row],[Site]],'Important Info!'!$A$1:$J$135,9,FALSE)</f>
        <v>203</v>
      </c>
    </row>
    <row r="1420" spans="1:17" x14ac:dyDescent="0.25">
      <c r="A1420" t="str">
        <f>+Tabla3[[#This Row],[Site]]&amp;Tabla3[[#This Row],[Split]]</f>
        <v>(DT) Louisville16</v>
      </c>
      <c r="B1420">
        <v>16</v>
      </c>
      <c r="C1420">
        <v>4</v>
      </c>
      <c r="D1420" t="s">
        <v>62</v>
      </c>
      <c r="E1420" t="s">
        <v>35</v>
      </c>
      <c r="F1420" t="s">
        <v>99</v>
      </c>
      <c r="G1420" t="s">
        <v>490</v>
      </c>
      <c r="H1420" s="52" t="str">
        <f>VLOOKUP(Tabla3[[#This Row],[Site]],'Important Info!'!$A$1:$J$135,10,FALSE)</f>
        <v>https://tools.sig.systems/site/details/258</v>
      </c>
      <c r="J1420" t="s">
        <v>41</v>
      </c>
      <c r="K1420" s="79" t="str">
        <f>VLOOKUP(Tabla3[[#This Row],[Site]],'Important Info!'!$A$1:$H$135,8,FALSE)</f>
        <v>-</v>
      </c>
      <c r="L1420" s="52" t="str">
        <f>VLOOKUP(Tabla3[[#This Row],[Site]],'Important Info!'!$A$1:$F$135,2,FALSE)</f>
        <v>-</v>
      </c>
      <c r="M1420" s="52">
        <f>VLOOKUP(Tabla3[[#This Row],[Site]],'Important Info!'!$A$1:$F$135,3,FALSE)</f>
        <v>3</v>
      </c>
      <c r="N1420" s="52" t="str">
        <f>VLOOKUP(Tabla3[[#This Row],[Site]],'Important Info!'!$A$1:$F$135,4,FALSE)</f>
        <v>-</v>
      </c>
      <c r="O1420" s="52" t="str">
        <f>VLOOKUP(Tabla3[[#This Row],[Site]],'Important Info!'!$A$1:$F$135,5,FALSE)</f>
        <v>-</v>
      </c>
      <c r="P1420" s="52" t="str">
        <f>VLOOKUP(Tabla3[[#This Row],[Site]],'Important Info!'!$A$1:$F$135,6,FALSE)</f>
        <v>3, 8</v>
      </c>
      <c r="Q1420" s="91">
        <f>VLOOKUP(Tabla3[[#This Row],[Site]],'Important Info!'!$A$1:$J$135,9,FALSE)</f>
        <v>258</v>
      </c>
    </row>
    <row r="1421" spans="1:17" x14ac:dyDescent="0.25">
      <c r="A1421" t="str">
        <f>+Tabla3[[#This Row],[Site]]&amp;Tabla3[[#This Row],[Split]]</f>
        <v>(HUD) CDJR of Greensboro16</v>
      </c>
      <c r="B1421">
        <v>16</v>
      </c>
      <c r="C1421">
        <v>4</v>
      </c>
      <c r="D1421" t="s">
        <v>62</v>
      </c>
      <c r="E1421" t="s">
        <v>35</v>
      </c>
      <c r="F1421" t="s">
        <v>185</v>
      </c>
      <c r="G1421" t="s">
        <v>491</v>
      </c>
      <c r="H1421" s="52" t="str">
        <f>VLOOKUP(Tabla3[[#This Row],[Site]],'Important Info!'!$A$1:$J$135,10,FALSE)</f>
        <v>https://tools.sig.systems/site/details/215</v>
      </c>
      <c r="I1421" s="2" t="s">
        <v>184</v>
      </c>
      <c r="J1421" t="s">
        <v>36</v>
      </c>
      <c r="K1421" s="79" t="str">
        <f>VLOOKUP(Tabla3[[#This Row],[Site]],'Important Info!'!$A$1:$H$135,8,FALSE)</f>
        <v>-</v>
      </c>
      <c r="L1421" s="52" t="str">
        <f>VLOOKUP(Tabla3[[#This Row],[Site]],'Important Info!'!$A$1:$F$135,2,FALSE)</f>
        <v>2, 12</v>
      </c>
      <c r="M1421" s="52" t="str">
        <f>VLOOKUP(Tabla3[[#This Row],[Site]],'Important Info!'!$A$1:$F$135,3,FALSE)</f>
        <v>-</v>
      </c>
      <c r="N1421" s="52" t="str">
        <f>VLOOKUP(Tabla3[[#This Row],[Site]],'Important Info!'!$A$1:$F$135,4,FALSE)</f>
        <v>-</v>
      </c>
      <c r="O1421" s="52" t="str">
        <f>VLOOKUP(Tabla3[[#This Row],[Site]],'Important Info!'!$A$1:$F$135,5,FALSE)</f>
        <v>3, 13</v>
      </c>
      <c r="P1421" s="52" t="str">
        <f>VLOOKUP(Tabla3[[#This Row],[Site]],'Important Info!'!$A$1:$F$135,6,FALSE)</f>
        <v>1, 17</v>
      </c>
      <c r="Q1421" s="91">
        <f>VLOOKUP(Tabla3[[#This Row],[Site]],'Important Info!'!$A$1:$J$135,9,FALSE)</f>
        <v>215</v>
      </c>
    </row>
    <row r="1422" spans="1:17" x14ac:dyDescent="0.25">
      <c r="A1422" t="str">
        <f>+Tabla3[[#This Row],[Site]]&amp;Tabla3[[#This Row],[Split]]</f>
        <v>(KG) Big Star CDJR of Clear Lake16</v>
      </c>
      <c r="B1422">
        <v>16</v>
      </c>
      <c r="C1422">
        <v>4</v>
      </c>
      <c r="D1422" t="s">
        <v>33</v>
      </c>
      <c r="E1422" t="s">
        <v>46</v>
      </c>
      <c r="F1422" t="s">
        <v>133</v>
      </c>
      <c r="G1422" t="s">
        <v>34</v>
      </c>
      <c r="H1422" s="52" t="str">
        <f>VLOOKUP(Tabla3[[#This Row],[Site]],'Important Info!'!$A$1:$J$135,10,FALSE)</f>
        <v>https://tools.sig.systems/site/details/232</v>
      </c>
      <c r="I1422" s="43" t="s">
        <v>134</v>
      </c>
      <c r="J1422" t="s">
        <v>41</v>
      </c>
      <c r="K1422" s="79" t="str">
        <f>VLOOKUP(Tabla3[[#This Row],[Site]],'Important Info!'!$A$1:$H$135,8,FALSE)</f>
        <v>-</v>
      </c>
      <c r="L1422" s="52" t="str">
        <f>VLOOKUP(Tabla3[[#This Row],[Site]],'Important Info!'!$A$1:$F$135,2,FALSE)</f>
        <v>8, 25</v>
      </c>
      <c r="M1422" s="52" t="str">
        <f>VLOOKUP(Tabla3[[#This Row],[Site]],'Important Info!'!$A$1:$F$135,3,FALSE)</f>
        <v>-</v>
      </c>
      <c r="N1422" s="52" t="str">
        <f>VLOOKUP(Tabla3[[#This Row],[Site]],'Important Info!'!$A$1:$F$135,4,FALSE)</f>
        <v>-</v>
      </c>
      <c r="O1422" s="52" t="str">
        <f>VLOOKUP(Tabla3[[#This Row],[Site]],'Important Info!'!$A$1:$F$135,5,FALSE)</f>
        <v>7, 13, 19, 24</v>
      </c>
      <c r="P1422" s="52" t="str">
        <f>VLOOKUP(Tabla3[[#This Row],[Site]],'Important Info!'!$A$1:$F$135,6,FALSE)</f>
        <v>6, 8, 25, 31</v>
      </c>
      <c r="Q1422" s="91">
        <f>VLOOKUP(Tabla3[[#This Row],[Site]],'Important Info!'!$A$1:$J$135,9,FALSE)</f>
        <v>232</v>
      </c>
    </row>
    <row r="1423" spans="1:17" x14ac:dyDescent="0.25">
      <c r="A1423" t="str">
        <f>+Tabla3[[#This Row],[Site]]&amp;Tabla3[[#This Row],[Split]]</f>
        <v>(ML) Joe Machens VW16</v>
      </c>
      <c r="B1423">
        <v>16</v>
      </c>
      <c r="C1423">
        <v>4</v>
      </c>
      <c r="D1423" t="s">
        <v>33</v>
      </c>
      <c r="E1423" t="s">
        <v>46</v>
      </c>
      <c r="F1423" t="s">
        <v>74</v>
      </c>
      <c r="G1423" t="s">
        <v>34</v>
      </c>
      <c r="H1423" s="52" t="str">
        <f>VLOOKUP(Tabla3[[#This Row],[Site]],'Important Info!'!$A$1:$J$135,10,FALSE)</f>
        <v>https://tools.sig.systems/site/details/274</v>
      </c>
      <c r="I1423" s="43" t="s">
        <v>146</v>
      </c>
      <c r="J1423" t="s">
        <v>41</v>
      </c>
      <c r="K1423" s="79" t="str">
        <f>VLOOKUP(Tabla3[[#This Row],[Site]],'Important Info!'!$A$1:$H$135,8,FALSE)</f>
        <v>-</v>
      </c>
      <c r="L1423" s="52" t="str">
        <f>VLOOKUP(Tabla3[[#This Row],[Site]],'Important Info!'!$A$1:$F$135,2,FALSE)</f>
        <v>-</v>
      </c>
      <c r="M1423" s="52" t="str">
        <f>VLOOKUP(Tabla3[[#This Row],[Site]],'Important Info!'!$A$1:$F$135,3,FALSE)</f>
        <v>1, 11, 18</v>
      </c>
      <c r="N1423" s="52" t="str">
        <f>VLOOKUP(Tabla3[[#This Row],[Site]],'Important Info!'!$A$1:$F$135,4,FALSE)</f>
        <v>-</v>
      </c>
      <c r="O1423" s="52">
        <f>VLOOKUP(Tabla3[[#This Row],[Site]],'Important Info!'!$A$1:$F$135,5,FALSE)</f>
        <v>17</v>
      </c>
      <c r="P1423" s="52" t="str">
        <f>VLOOKUP(Tabla3[[#This Row],[Site]],'Important Info!'!$A$1:$F$135,6,FALSE)</f>
        <v>-</v>
      </c>
      <c r="Q1423" s="91">
        <f>VLOOKUP(Tabla3[[#This Row],[Site]],'Important Info!'!$A$1:$J$135,9,FALSE)</f>
        <v>274</v>
      </c>
    </row>
    <row r="1424" spans="1:17" x14ac:dyDescent="0.25">
      <c r="A1424" t="str">
        <f>+Tabla3[[#This Row],[Site]]&amp;Tabla3[[#This Row],[Split]]</f>
        <v>(ML) Nissan of Little Rock16</v>
      </c>
      <c r="B1424">
        <v>16</v>
      </c>
      <c r="C1424">
        <v>4</v>
      </c>
      <c r="D1424" t="s">
        <v>33</v>
      </c>
      <c r="E1424" t="s">
        <v>46</v>
      </c>
      <c r="F1424" t="s">
        <v>152</v>
      </c>
      <c r="G1424" t="s">
        <v>34</v>
      </c>
      <c r="H1424" s="52" t="str">
        <f>VLOOKUP(Tabla3[[#This Row],[Site]],'Important Info!'!$A$1:$J$135,10,FALSE)</f>
        <v>https://tools.sig.systems/site/details/224</v>
      </c>
      <c r="I1424" t="s">
        <v>140</v>
      </c>
      <c r="J1424" t="s">
        <v>41</v>
      </c>
      <c r="K1424" s="79" t="str">
        <f>VLOOKUP(Tabla3[[#This Row],[Site]],'Important Info!'!$A$1:$H$135,8,FALSE)</f>
        <v>-</v>
      </c>
      <c r="L1424" s="52" t="str">
        <f>VLOOKUP(Tabla3[[#This Row],[Site]],'Important Info!'!$A$1:$F$135,2,FALSE)</f>
        <v>3, 6</v>
      </c>
      <c r="M1424" s="52" t="str">
        <f>VLOOKUP(Tabla3[[#This Row],[Site]],'Important Info!'!$A$1:$F$135,3,FALSE)</f>
        <v>-</v>
      </c>
      <c r="N1424" s="52" t="str">
        <f>VLOOKUP(Tabla3[[#This Row],[Site]],'Important Info!'!$A$1:$F$135,4,FALSE)</f>
        <v>-</v>
      </c>
      <c r="O1424" s="52" t="str">
        <f>VLOOKUP(Tabla3[[#This Row],[Site]],'Important Info!'!$A$1:$F$135,5,FALSE)</f>
        <v>1, 8, 16, 22</v>
      </c>
      <c r="P1424" s="52" t="str">
        <f>VLOOKUP(Tabla3[[#This Row],[Site]],'Important Info!'!$A$1:$F$135,6,FALSE)</f>
        <v>3, 4</v>
      </c>
      <c r="Q1424" s="91">
        <f>VLOOKUP(Tabla3[[#This Row],[Site]],'Important Info!'!$A$1:$J$135,9,FALSE)</f>
        <v>224</v>
      </c>
    </row>
    <row r="1425" spans="1:17" x14ac:dyDescent="0.25">
      <c r="A1425" t="str">
        <f>+Tabla3[[#This Row],[Site]]&amp;Tabla3[[#This Row],[Split]]</f>
        <v>(PE) BMW of Greenwich (NO TOURS)16</v>
      </c>
      <c r="B1425">
        <v>16</v>
      </c>
      <c r="C1425">
        <v>4</v>
      </c>
      <c r="D1425" t="s">
        <v>485</v>
      </c>
      <c r="E1425" t="s">
        <v>35</v>
      </c>
      <c r="F1425" t="s">
        <v>170</v>
      </c>
      <c r="G1425" t="s">
        <v>490</v>
      </c>
      <c r="H1425" s="52" t="str">
        <f>VLOOKUP(Tabla3[[#This Row],[Site]],'Important Info!'!$A$1:$J$135,10,FALSE)</f>
        <v>https://tools.sig.systems/site/details/186</v>
      </c>
      <c r="I1425" s="2" t="s">
        <v>171</v>
      </c>
      <c r="J1425" t="s">
        <v>41</v>
      </c>
      <c r="K1425" s="79" t="str">
        <f>VLOOKUP(Tabla3[[#This Row],[Site]],'Important Info!'!$A$1:$H$135,8,FALSE)</f>
        <v>-</v>
      </c>
      <c r="L1425" s="52" t="str">
        <f>VLOOKUP(Tabla3[[#This Row],[Site]],'Important Info!'!$A$1:$F$135,2,FALSE)</f>
        <v>1, 6, 15</v>
      </c>
      <c r="M1425" s="52" t="str">
        <f>VLOOKUP(Tabla3[[#This Row],[Site]],'Important Info!'!$A$1:$F$135,3,FALSE)</f>
        <v>-</v>
      </c>
      <c r="N1425" s="52" t="str">
        <f>VLOOKUP(Tabla3[[#This Row],[Site]],'Important Info!'!$A$1:$F$135,4,FALSE)</f>
        <v>-</v>
      </c>
      <c r="O1425" s="52" t="str">
        <f>VLOOKUP(Tabla3[[#This Row],[Site]],'Important Info!'!$A$1:$F$135,5,FALSE)</f>
        <v>-</v>
      </c>
      <c r="P1425" s="52">
        <f>VLOOKUP(Tabla3[[#This Row],[Site]],'Important Info!'!$A$1:$F$135,6,FALSE)</f>
        <v>12</v>
      </c>
      <c r="Q1425" s="91">
        <f>VLOOKUP(Tabla3[[#This Row],[Site]],'Important Info!'!$A$1:$J$135,9,FALSE)</f>
        <v>186</v>
      </c>
    </row>
    <row r="1426" spans="1:17" x14ac:dyDescent="0.25">
      <c r="A1426" t="str">
        <f>+Tabla3[[#This Row],[Site]]&amp;Tabla3[[#This Row],[Split]]</f>
        <v>(AS) Mercedes Benz/Porsche Dallas I,II,III (NO TOURS)16</v>
      </c>
      <c r="B1426">
        <v>16</v>
      </c>
      <c r="C1426">
        <v>5</v>
      </c>
      <c r="D1426" t="s">
        <v>33</v>
      </c>
      <c r="E1426" t="s">
        <v>46</v>
      </c>
      <c r="F1426" t="s">
        <v>509</v>
      </c>
      <c r="G1426" t="s">
        <v>34</v>
      </c>
      <c r="H1426" s="52" t="str">
        <f>VLOOKUP(Tabla3[[#This Row],[Site]],'Important Info!'!$A$1:$J$135,10,FALSE)</f>
        <v>https://tools.sig.systems/site/details/168</v>
      </c>
      <c r="I1426" s="65" t="s">
        <v>125</v>
      </c>
      <c r="J1426" t="s">
        <v>41</v>
      </c>
      <c r="K1426" s="79" t="str">
        <f>VLOOKUP(Tabla3[[#This Row],[Site]],'Important Info!'!$A$1:$H$135,8,FALSE)</f>
        <v>-</v>
      </c>
      <c r="L1426" s="52" t="str">
        <f>VLOOKUP(Tabla3[[#This Row],[Site]],'Important Info!'!$A$1:$F$135,2,FALSE)</f>
        <v>3, 4, 17, 26, 41</v>
      </c>
      <c r="M1426" s="52" t="str">
        <f>VLOOKUP(Tabla3[[#This Row],[Site]],'Important Info!'!$A$1:$F$135,3,FALSE)</f>
        <v>-</v>
      </c>
      <c r="N1426" s="52" t="str">
        <f>VLOOKUP(Tabla3[[#This Row],[Site]],'Important Info!'!$A$1:$F$135,4,FALSE)</f>
        <v>153, 154, 155, 156, 157, 158</v>
      </c>
      <c r="O1426" s="52" t="str">
        <f>VLOOKUP(Tabla3[[#This Row],[Site]],'Important Info!'!$A$1:$F$135,5,FALSE)</f>
        <v>2, 6, 10, 20, 28, 30, 36</v>
      </c>
      <c r="P1426" s="52" t="str">
        <f>VLOOKUP(Tabla3[[#This Row],[Site]],'Important Info!'!$A$1:$F$135,6,FALSE)</f>
        <v>31, 41, 159</v>
      </c>
      <c r="Q1426" s="91">
        <f>VLOOKUP(Tabla3[[#This Row],[Site]],'Important Info!'!$A$1:$J$135,9,FALSE)</f>
        <v>168</v>
      </c>
    </row>
    <row r="1427" spans="1:17" x14ac:dyDescent="0.25">
      <c r="A1427" t="str">
        <f>+Tabla3[[#This Row],[Site]]&amp;Tabla3[[#This Row],[Split]]</f>
        <v>(DT) Colorado Springs (NO TOURS)16</v>
      </c>
      <c r="B1427">
        <v>16</v>
      </c>
      <c r="C1427">
        <v>5</v>
      </c>
      <c r="D1427" t="s">
        <v>44</v>
      </c>
      <c r="E1427" t="s">
        <v>53</v>
      </c>
      <c r="F1427" t="s">
        <v>156</v>
      </c>
      <c r="G1427" t="s">
        <v>45</v>
      </c>
      <c r="H1427" s="52" t="str">
        <f>VLOOKUP(Tabla3[[#This Row],[Site]],'Important Info!'!$A$1:$J$135,10,FALSE)</f>
        <v>https://tools.sig.systems/site/details/198</v>
      </c>
      <c r="J1427" t="s">
        <v>41</v>
      </c>
      <c r="K1427" s="79" t="str">
        <f>VLOOKUP(Tabla3[[#This Row],[Site]],'Important Info!'!$A$1:$H$135,8,FALSE)</f>
        <v>-</v>
      </c>
      <c r="L1427" s="52" t="str">
        <f>VLOOKUP(Tabla3[[#This Row],[Site]],'Important Info!'!$A$1:$F$135,2,FALSE)</f>
        <v>-</v>
      </c>
      <c r="M1427" s="52" t="str">
        <f>VLOOKUP(Tabla3[[#This Row],[Site]],'Important Info!'!$A$1:$F$135,3,FALSE)</f>
        <v>1, 2, 3, 4</v>
      </c>
      <c r="N1427" s="52" t="str">
        <f>VLOOKUP(Tabla3[[#This Row],[Site]],'Important Info!'!$A$1:$F$135,4,FALSE)</f>
        <v>-</v>
      </c>
      <c r="O1427" s="52" t="str">
        <f>VLOOKUP(Tabla3[[#This Row],[Site]],'Important Info!'!$A$1:$F$135,5,FALSE)</f>
        <v>-</v>
      </c>
      <c r="P1427" s="52" t="str">
        <f>VLOOKUP(Tabla3[[#This Row],[Site]],'Important Info!'!$A$1:$F$135,6,FALSE)</f>
        <v>1, 2, 3, 11</v>
      </c>
      <c r="Q1427" s="91">
        <f>VLOOKUP(Tabla3[[#This Row],[Site]],'Important Info!'!$A$1:$J$135,9,FALSE)</f>
        <v>198</v>
      </c>
    </row>
    <row r="1428" spans="1:17" x14ac:dyDescent="0.25">
      <c r="A1428" t="str">
        <f>+Tabla3[[#This Row],[Site]]&amp;Tabla3[[#This Row],[Split]]</f>
        <v>(HUD) Honda Greensboro16</v>
      </c>
      <c r="B1428">
        <v>16</v>
      </c>
      <c r="C1428">
        <v>5</v>
      </c>
      <c r="D1428" t="s">
        <v>62</v>
      </c>
      <c r="E1428" t="s">
        <v>35</v>
      </c>
      <c r="F1428" t="s">
        <v>85</v>
      </c>
      <c r="G1428" t="s">
        <v>490</v>
      </c>
      <c r="H1428" s="52" t="str">
        <f>VLOOKUP(Tabla3[[#This Row],[Site]],'Important Info!'!$A$1:$J$135,10,FALSE)</f>
        <v>https://tools.sig.systems/site/details/230</v>
      </c>
      <c r="I1428" t="s">
        <v>186</v>
      </c>
      <c r="J1428" t="s">
        <v>41</v>
      </c>
      <c r="K1428" s="79" t="str">
        <f>VLOOKUP(Tabla3[[#This Row],[Site]],'Important Info!'!$A$1:$H$135,8,FALSE)</f>
        <v>-</v>
      </c>
      <c r="L1428" s="52" t="str">
        <f>VLOOKUP(Tabla3[[#This Row],[Site]],'Important Info!'!$A$1:$F$135,2,FALSE)</f>
        <v>1, 3,  15, 16, 22</v>
      </c>
      <c r="M1428" s="52" t="str">
        <f>VLOOKUP(Tabla3[[#This Row],[Site]],'Important Info!'!$A$1:$F$135,3,FALSE)</f>
        <v>-</v>
      </c>
      <c r="N1428" s="52" t="str">
        <f>VLOOKUP(Tabla3[[#This Row],[Site]],'Important Info!'!$A$1:$F$135,4,FALSE)</f>
        <v>-</v>
      </c>
      <c r="O1428" s="52" t="str">
        <f>VLOOKUP(Tabla3[[#This Row],[Site]],'Important Info!'!$A$1:$F$135,5,FALSE)</f>
        <v>3, 20</v>
      </c>
      <c r="P1428" s="52">
        <f>VLOOKUP(Tabla3[[#This Row],[Site]],'Important Info!'!$A$1:$F$135,6,FALSE)</f>
        <v>26</v>
      </c>
      <c r="Q1428" s="91">
        <f>VLOOKUP(Tabla3[[#This Row],[Site]],'Important Info!'!$A$1:$J$135,9,FALSE)</f>
        <v>230</v>
      </c>
    </row>
    <row r="1429" spans="1:17" x14ac:dyDescent="0.25">
      <c r="A1429" t="str">
        <f>+Tabla3[[#This Row],[Site]]&amp;Tabla3[[#This Row],[Split]]</f>
        <v>(HUD) Honda of Southpoint16</v>
      </c>
      <c r="B1429">
        <v>16</v>
      </c>
      <c r="C1429">
        <v>5</v>
      </c>
      <c r="D1429" t="s">
        <v>62</v>
      </c>
      <c r="E1429" t="s">
        <v>35</v>
      </c>
      <c r="F1429" t="s">
        <v>65</v>
      </c>
      <c r="G1429" t="s">
        <v>490</v>
      </c>
      <c r="H1429" s="52" t="str">
        <f>VLOOKUP(Tabla3[[#This Row],[Site]],'Important Info!'!$A$1:$J$135,10,FALSE)</f>
        <v>https://tools.sig.systems/site/details/195</v>
      </c>
      <c r="I1429" s="43"/>
      <c r="J1429" t="s">
        <v>484</v>
      </c>
      <c r="K1429" s="79" t="str">
        <f>VLOOKUP(Tabla3[[#This Row],[Site]],'Important Info!'!$A$1:$H$135,8,FALSE)</f>
        <v>-</v>
      </c>
      <c r="L1429" s="52" t="str">
        <f>VLOOKUP(Tabla3[[#This Row],[Site]],'Important Info!'!$A$1:$F$135,2,FALSE)</f>
        <v>2, 12, 18</v>
      </c>
      <c r="M1429" s="52">
        <f>VLOOKUP(Tabla3[[#This Row],[Site]],'Important Info!'!$A$1:$F$135,3,FALSE)</f>
        <v>13</v>
      </c>
      <c r="N1429" s="52" t="str">
        <f>VLOOKUP(Tabla3[[#This Row],[Site]],'Important Info!'!$A$1:$F$135,4,FALSE)</f>
        <v>-</v>
      </c>
      <c r="O1429" s="52" t="str">
        <f>VLOOKUP(Tabla3[[#This Row],[Site]],'Important Info!'!$A$1:$F$135,5,FALSE)</f>
        <v>2, 15</v>
      </c>
      <c r="P1429" s="52" t="str">
        <f>VLOOKUP(Tabla3[[#This Row],[Site]],'Important Info!'!$A$1:$F$135,6,FALSE)</f>
        <v>-</v>
      </c>
      <c r="Q1429" s="91">
        <f>VLOOKUP(Tabla3[[#This Row],[Site]],'Important Info!'!$A$1:$J$135,9,FALSE)</f>
        <v>195</v>
      </c>
    </row>
    <row r="1430" spans="1:17" x14ac:dyDescent="0.25">
      <c r="A1430" t="str">
        <f>+Tabla3[[#This Row],[Site]]&amp;Tabla3[[#This Row],[Split]]</f>
        <v>(ML) BMW of Little Rock16</v>
      </c>
      <c r="B1430">
        <v>16</v>
      </c>
      <c r="C1430">
        <v>5</v>
      </c>
      <c r="D1430" t="s">
        <v>33</v>
      </c>
      <c r="E1430" t="s">
        <v>46</v>
      </c>
      <c r="F1430" t="s">
        <v>139</v>
      </c>
      <c r="G1430" t="s">
        <v>34</v>
      </c>
      <c r="H1430" s="52" t="str">
        <f>VLOOKUP(Tabla3[[#This Row],[Site]],'Important Info!'!$A$1:$J$135,10,FALSE)</f>
        <v>https://tools.sig.systems/site/details/217</v>
      </c>
      <c r="I1430" t="s">
        <v>140</v>
      </c>
      <c r="J1430" t="s">
        <v>41</v>
      </c>
      <c r="K1430" s="79" t="str">
        <f>VLOOKUP(Tabla3[[#This Row],[Site]],'Important Info!'!$A$1:$H$135,8,FALSE)</f>
        <v>-</v>
      </c>
      <c r="L1430" s="52" t="str">
        <f>VLOOKUP(Tabla3[[#This Row],[Site]],'Important Info!'!$A$1:$F$135,2,FALSE)</f>
        <v>-</v>
      </c>
      <c r="M1430" s="52">
        <f>VLOOKUP(Tabla3[[#This Row],[Site]],'Important Info!'!$A$1:$F$135,3,FALSE)</f>
        <v>14</v>
      </c>
      <c r="N1430" s="52" t="str">
        <f>VLOOKUP(Tabla3[[#This Row],[Site]],'Important Info!'!$A$1:$F$135,4,FALSE)</f>
        <v>-</v>
      </c>
      <c r="O1430" s="52" t="str">
        <f>VLOOKUP(Tabla3[[#This Row],[Site]],'Important Info!'!$A$1:$F$135,5,FALSE)</f>
        <v>-</v>
      </c>
      <c r="P1430" s="52" t="str">
        <f>VLOOKUP(Tabla3[[#This Row],[Site]],'Important Info!'!$A$1:$F$135,6,FALSE)</f>
        <v>5, 6, 7, 8, 9, 32</v>
      </c>
      <c r="Q1430" s="91">
        <f>VLOOKUP(Tabla3[[#This Row],[Site]],'Important Info!'!$A$1:$J$135,9,FALSE)</f>
        <v>217</v>
      </c>
    </row>
    <row r="1431" spans="1:17" x14ac:dyDescent="0.25">
      <c r="A1431" t="str">
        <f>+Tabla3[[#This Row],[Site]]&amp;Tabla3[[#This Row],[Split]]</f>
        <v>(ML) Joe Machens Toyota16</v>
      </c>
      <c r="B1431">
        <v>16</v>
      </c>
      <c r="C1431">
        <v>5</v>
      </c>
      <c r="D1431" t="s">
        <v>33</v>
      </c>
      <c r="E1431" t="s">
        <v>46</v>
      </c>
      <c r="F1431" t="s">
        <v>73</v>
      </c>
      <c r="G1431" t="s">
        <v>34</v>
      </c>
      <c r="H1431" s="52" t="str">
        <f>VLOOKUP(Tabla3[[#This Row],[Site]],'Important Info!'!$A$1:$J$135,10,FALSE)</f>
        <v>https://tools.sig.systems/site/details/275</v>
      </c>
      <c r="I1431" s="2" t="s">
        <v>146</v>
      </c>
      <c r="J1431" t="s">
        <v>41</v>
      </c>
      <c r="K1431" s="79" t="str">
        <f>VLOOKUP(Tabla3[[#This Row],[Site]],'Important Info!'!$A$1:$H$135,8,FALSE)</f>
        <v>-</v>
      </c>
      <c r="L1431" s="52" t="str">
        <f>VLOOKUP(Tabla3[[#This Row],[Site]],'Important Info!'!$A$1:$F$135,2,FALSE)</f>
        <v>-</v>
      </c>
      <c r="M1431" s="52" t="str">
        <f>VLOOKUP(Tabla3[[#This Row],[Site]],'Important Info!'!$A$1:$F$135,3,FALSE)</f>
        <v>1, 4, 6</v>
      </c>
      <c r="N1431" s="52" t="str">
        <f>VLOOKUP(Tabla3[[#This Row],[Site]],'Important Info!'!$A$1:$F$135,4,FALSE)</f>
        <v>-</v>
      </c>
      <c r="O1431" s="52" t="str">
        <f>VLOOKUP(Tabla3[[#This Row],[Site]],'Important Info!'!$A$1:$F$135,5,FALSE)</f>
        <v>4, 10</v>
      </c>
      <c r="P1431" s="52" t="str">
        <f>VLOOKUP(Tabla3[[#This Row],[Site]],'Important Info!'!$A$1:$F$135,6,FALSE)</f>
        <v>-</v>
      </c>
      <c r="Q1431" s="91">
        <f>VLOOKUP(Tabla3[[#This Row],[Site]],'Important Info!'!$A$1:$J$135,9,FALSE)</f>
        <v>275</v>
      </c>
    </row>
    <row r="1432" spans="1:17" x14ac:dyDescent="0.25">
      <c r="A1432" t="str">
        <f>+Tabla3[[#This Row],[Site]]&amp;Tabla3[[#This Row],[Split]]</f>
        <v>(PE) JLR PDI (NO TOURS)16</v>
      </c>
      <c r="B1432">
        <v>16</v>
      </c>
      <c r="C1432">
        <v>5</v>
      </c>
      <c r="D1432" t="s">
        <v>485</v>
      </c>
      <c r="E1432" t="s">
        <v>35</v>
      </c>
      <c r="F1432" t="s">
        <v>114</v>
      </c>
      <c r="G1432" t="s">
        <v>490</v>
      </c>
      <c r="H1432" s="52" t="str">
        <f>VLOOKUP(Tabla3[[#This Row],[Site]],'Important Info!'!$A$1:$J$135,10,FALSE)</f>
        <v>https://tools.sig.systems/site/details/179</v>
      </c>
      <c r="I1432" t="s">
        <v>176</v>
      </c>
      <c r="J1432" t="s">
        <v>41</v>
      </c>
      <c r="K1432" s="79" t="str">
        <f>VLOOKUP(Tabla3[[#This Row],[Site]],'Important Info!'!$A$1:$H$135,8,FALSE)</f>
        <v>-</v>
      </c>
      <c r="L1432" s="52" t="str">
        <f>VLOOKUP(Tabla3[[#This Row],[Site]],'Important Info!'!$A$1:$F$135,2,FALSE)</f>
        <v>3, 8</v>
      </c>
      <c r="M1432" s="52" t="str">
        <f>VLOOKUP(Tabla3[[#This Row],[Site]],'Important Info!'!$A$1:$F$135,3,FALSE)</f>
        <v>-</v>
      </c>
      <c r="N1432" s="52" t="str">
        <f>VLOOKUP(Tabla3[[#This Row],[Site]],'Important Info!'!$A$1:$F$135,4,FALSE)</f>
        <v>-</v>
      </c>
      <c r="O1432" s="52" t="str">
        <f>VLOOKUP(Tabla3[[#This Row],[Site]],'Important Info!'!$A$1:$F$135,5,FALSE)</f>
        <v>-</v>
      </c>
      <c r="P1432" s="52" t="str">
        <f>VLOOKUP(Tabla3[[#This Row],[Site]],'Important Info!'!$A$1:$F$135,6,FALSE)</f>
        <v>-</v>
      </c>
      <c r="Q1432" s="91">
        <f>VLOOKUP(Tabla3[[#This Row],[Site]],'Important Info!'!$A$1:$J$135,9,FALSE)</f>
        <v>179</v>
      </c>
    </row>
    <row r="1433" spans="1:17" x14ac:dyDescent="0.25">
      <c r="A1433" t="str">
        <f>+Tabla3[[#This Row],[Site]]&amp;Tabla3[[#This Row],[Split]]</f>
        <v>(AS) Park Place Sprinter Van Center (NO TOURS)16</v>
      </c>
      <c r="B1433">
        <v>16</v>
      </c>
      <c r="C1433">
        <v>6</v>
      </c>
      <c r="D1433" t="s">
        <v>33</v>
      </c>
      <c r="E1433" t="s">
        <v>46</v>
      </c>
      <c r="F1433" t="s">
        <v>520</v>
      </c>
      <c r="G1433" t="s">
        <v>34</v>
      </c>
      <c r="H1433" s="52" t="str">
        <f>VLOOKUP(Tabla3[[#This Row],[Site]],'Important Info!'!$A$1:$J$135,10,FALSE)</f>
        <v>https://tools.sig.systems/site/details/138</v>
      </c>
      <c r="I1433" s="65" t="s">
        <v>125</v>
      </c>
      <c r="J1433" t="s">
        <v>41</v>
      </c>
      <c r="K1433" s="79" t="str">
        <f>VLOOKUP(Tabla3[[#This Row],[Site]],'Important Info!'!$A$1:$H$135,8,FALSE)</f>
        <v>-</v>
      </c>
      <c r="L1433" s="52">
        <f>VLOOKUP(Tabla3[[#This Row],[Site]],'Important Info!'!$A$1:$F$135,2,FALSE)</f>
        <v>1</v>
      </c>
      <c r="M1433" s="52" t="str">
        <f>VLOOKUP(Tabla3[[#This Row],[Site]],'Important Info!'!$A$1:$F$135,3,FALSE)</f>
        <v>-</v>
      </c>
      <c r="N1433" s="52" t="str">
        <f>VLOOKUP(Tabla3[[#This Row],[Site]],'Important Info!'!$A$1:$F$135,4,FALSE)</f>
        <v>-</v>
      </c>
      <c r="O1433" s="52" t="str">
        <f>VLOOKUP(Tabla3[[#This Row],[Site]],'Important Info!'!$A$1:$F$135,5,FALSE)</f>
        <v>-</v>
      </c>
      <c r="P1433" s="52" t="str">
        <f>VLOOKUP(Tabla3[[#This Row],[Site]],'Important Info!'!$A$1:$F$135,6,FALSE)</f>
        <v>1, 3</v>
      </c>
      <c r="Q1433" s="91">
        <f>VLOOKUP(Tabla3[[#This Row],[Site]],'Important Info!'!$A$1:$J$135,9,FALSE)</f>
        <v>138</v>
      </c>
    </row>
    <row r="1434" spans="1:17" x14ac:dyDescent="0.25">
      <c r="A1434" t="str">
        <f>+Tabla3[[#This Row],[Site]]&amp;Tabla3[[#This Row],[Split]]</f>
        <v>(HUD) Paint and Body Center (NO TOURS)16</v>
      </c>
      <c r="B1434">
        <v>16</v>
      </c>
      <c r="C1434">
        <v>6</v>
      </c>
      <c r="D1434" t="s">
        <v>62</v>
      </c>
      <c r="E1434" t="s">
        <v>35</v>
      </c>
      <c r="F1434" t="s">
        <v>110</v>
      </c>
      <c r="G1434" t="s">
        <v>490</v>
      </c>
      <c r="H1434" s="52" t="str">
        <f>VLOOKUP(Tabla3[[#This Row],[Site]],'Important Info!'!$A$1:$J$135,10,FALSE)</f>
        <v>https://tools.sig.systems/site/details/256</v>
      </c>
      <c r="I1434" t="s">
        <v>184</v>
      </c>
      <c r="J1434" t="s">
        <v>41</v>
      </c>
      <c r="K1434" s="79" t="str">
        <f>VLOOKUP(Tabla3[[#This Row],[Site]],'Important Info!'!$A$1:$H$135,8,FALSE)</f>
        <v>-</v>
      </c>
      <c r="L1434" s="52" t="str">
        <f>VLOOKUP(Tabla3[[#This Row],[Site]],'Important Info!'!$A$1:$F$135,2,FALSE)</f>
        <v>-</v>
      </c>
      <c r="M1434" s="52">
        <f>VLOOKUP(Tabla3[[#This Row],[Site]],'Important Info!'!$A$1:$F$135,3,FALSE)</f>
        <v>1</v>
      </c>
      <c r="N1434" s="52" t="str">
        <f>VLOOKUP(Tabla3[[#This Row],[Site]],'Important Info!'!$A$1:$F$135,4,FALSE)</f>
        <v>-</v>
      </c>
      <c r="O1434" s="52" t="str">
        <f>VLOOKUP(Tabla3[[#This Row],[Site]],'Important Info!'!$A$1:$F$135,5,FALSE)</f>
        <v>-</v>
      </c>
      <c r="P1434" s="52" t="str">
        <f>VLOOKUP(Tabla3[[#This Row],[Site]],'Important Info!'!$A$1:$F$135,6,FALSE)</f>
        <v>-</v>
      </c>
      <c r="Q1434" s="91">
        <f>VLOOKUP(Tabla3[[#This Row],[Site]],'Important Info!'!$A$1:$J$135,9,FALSE)</f>
        <v>256</v>
      </c>
    </row>
    <row r="1435" spans="1:17" x14ac:dyDescent="0.25">
      <c r="A1435" t="str">
        <f>+Tabla3[[#This Row],[Site]]&amp;Tabla3[[#This Row],[Split]]</f>
        <v>(ML) Joe Machens E Collision Center16</v>
      </c>
      <c r="B1435">
        <v>16</v>
      </c>
      <c r="C1435">
        <v>6</v>
      </c>
      <c r="D1435" t="s">
        <v>33</v>
      </c>
      <c r="E1435" t="s">
        <v>46</v>
      </c>
      <c r="F1435" t="s">
        <v>147</v>
      </c>
      <c r="G1435" t="s">
        <v>34</v>
      </c>
      <c r="H1435" s="52" t="str">
        <f>VLOOKUP(Tabla3[[#This Row],[Site]],'Important Info!'!$A$1:$J$135,10,FALSE)</f>
        <v>https://tools.sig.systems/site/details/277</v>
      </c>
      <c r="I1435" s="2" t="s">
        <v>146</v>
      </c>
      <c r="J1435" t="s">
        <v>41</v>
      </c>
      <c r="K1435" s="79" t="str">
        <f>VLOOKUP(Tabla3[[#This Row],[Site]],'Important Info!'!$A$1:$H$135,8,FALSE)</f>
        <v>-</v>
      </c>
      <c r="L1435" s="52">
        <f>VLOOKUP(Tabla3[[#This Row],[Site]],'Important Info!'!$A$1:$F$135,2,FALSE)</f>
        <v>1</v>
      </c>
      <c r="M1435" s="52" t="str">
        <f>VLOOKUP(Tabla3[[#This Row],[Site]],'Important Info!'!$A$1:$F$135,3,FALSE)</f>
        <v>-</v>
      </c>
      <c r="N1435" s="52" t="str">
        <f>VLOOKUP(Tabla3[[#This Row],[Site]],'Important Info!'!$A$1:$F$135,4,FALSE)</f>
        <v>-</v>
      </c>
      <c r="O1435" s="52">
        <f>VLOOKUP(Tabla3[[#This Row],[Site]],'Important Info!'!$A$1:$F$135,5,FALSE)</f>
        <v>5</v>
      </c>
      <c r="P1435" s="52" t="str">
        <f>VLOOKUP(Tabla3[[#This Row],[Site]],'Important Info!'!$A$1:$F$135,6,FALSE)</f>
        <v>1, 2, 3, 4</v>
      </c>
      <c r="Q1435" s="91">
        <f>VLOOKUP(Tabla3[[#This Row],[Site]],'Important Info!'!$A$1:$J$135,9,FALSE)</f>
        <v>277</v>
      </c>
    </row>
    <row r="1436" spans="1:17" x14ac:dyDescent="0.25">
      <c r="A1436" t="str">
        <f>+Tabla3[[#This Row],[Site]]&amp;Tabla3[[#This Row],[Split]]</f>
        <v>(ML) Joe Machens Ford Lincoln I &amp; II16</v>
      </c>
      <c r="B1436">
        <v>16</v>
      </c>
      <c r="C1436">
        <v>6</v>
      </c>
      <c r="D1436" t="s">
        <v>33</v>
      </c>
      <c r="E1436" t="s">
        <v>46</v>
      </c>
      <c r="F1436" t="s">
        <v>148</v>
      </c>
      <c r="G1436" t="s">
        <v>34</v>
      </c>
      <c r="H1436" s="52" t="str">
        <f>VLOOKUP(Tabla3[[#This Row],[Site]],'Important Info!'!$A$1:$J$135,10,FALSE)</f>
        <v>https://tools.sig.systems/site/details/266</v>
      </c>
      <c r="I1436" s="2" t="s">
        <v>146</v>
      </c>
      <c r="J1436" t="s">
        <v>41</v>
      </c>
      <c r="K1436" s="79" t="str">
        <f>VLOOKUP(Tabla3[[#This Row],[Site]],'Important Info!'!$A$1:$H$135,8,FALSE)</f>
        <v>-</v>
      </c>
      <c r="L1436" s="52" t="str">
        <f>VLOOKUP(Tabla3[[#This Row],[Site]],'Important Info!'!$A$1:$F$135,2,FALSE)</f>
        <v>-</v>
      </c>
      <c r="M1436" s="52" t="str">
        <f>VLOOKUP(Tabla3[[#This Row],[Site]],'Important Info!'!$A$1:$F$135,3,FALSE)</f>
        <v>4, 6, 9, 13, 14, 17, 26, 27, 28, 29, 30</v>
      </c>
      <c r="N1436" s="52" t="str">
        <f>VLOOKUP(Tabla3[[#This Row],[Site]],'Important Info!'!$A$1:$F$135,4,FALSE)</f>
        <v>-</v>
      </c>
      <c r="O1436" s="52" t="str">
        <f>VLOOKUP(Tabla3[[#This Row],[Site]],'Important Info!'!$A$1:$F$135,5,FALSE)</f>
        <v>23, 40, 49</v>
      </c>
      <c r="P1436" s="52" t="str">
        <f>VLOOKUP(Tabla3[[#This Row],[Site]],'Important Info!'!$A$1:$F$135,6,FALSE)</f>
        <v>-</v>
      </c>
      <c r="Q1436" s="91">
        <f>VLOOKUP(Tabla3[[#This Row],[Site]],'Important Info!'!$A$1:$J$135,9,FALSE)</f>
        <v>266</v>
      </c>
    </row>
    <row r="1437" spans="1:17" x14ac:dyDescent="0.25">
      <c r="A1437" t="str">
        <f>+Tabla3[[#This Row],[Site]]&amp;Tabla3[[#This Row],[Split]]</f>
        <v>(ML) Nissan of North Little Rock16</v>
      </c>
      <c r="B1437">
        <v>16</v>
      </c>
      <c r="C1437">
        <v>6</v>
      </c>
      <c r="D1437" t="s">
        <v>33</v>
      </c>
      <c r="E1437" t="s">
        <v>46</v>
      </c>
      <c r="F1437" t="s">
        <v>75</v>
      </c>
      <c r="G1437" t="s">
        <v>34</v>
      </c>
      <c r="H1437" s="52" t="str">
        <f>VLOOKUP(Tabla3[[#This Row],[Site]],'Important Info!'!$A$1:$J$135,10,FALSE)</f>
        <v>https://tools.sig.systems/site/details/216</v>
      </c>
      <c r="I1437" s="43" t="s">
        <v>142</v>
      </c>
      <c r="J1437" t="s">
        <v>41</v>
      </c>
      <c r="K1437" s="79" t="str">
        <f>VLOOKUP(Tabla3[[#This Row],[Site]],'Important Info!'!$A$1:$H$135,8,FALSE)</f>
        <v>-</v>
      </c>
      <c r="L1437" s="52" t="str">
        <f>VLOOKUP(Tabla3[[#This Row],[Site]],'Important Info!'!$A$1:$F$135,2,FALSE)</f>
        <v>2, 4</v>
      </c>
      <c r="M1437" s="52" t="str">
        <f>VLOOKUP(Tabla3[[#This Row],[Site]],'Important Info!'!$A$1:$F$135,3,FALSE)</f>
        <v>-</v>
      </c>
      <c r="N1437" s="52" t="str">
        <f>VLOOKUP(Tabla3[[#This Row],[Site]],'Important Info!'!$A$1:$F$135,4,FALSE)</f>
        <v>-</v>
      </c>
      <c r="O1437" s="52" t="str">
        <f>VLOOKUP(Tabla3[[#This Row],[Site]],'Important Info!'!$A$1:$F$135,5,FALSE)</f>
        <v>5, 17, 23</v>
      </c>
      <c r="P1437" s="52">
        <f>VLOOKUP(Tabla3[[#This Row],[Site]],'Important Info!'!$A$1:$F$135,6,FALSE)</f>
        <v>18</v>
      </c>
      <c r="Q1437" s="91">
        <f>VLOOKUP(Tabla3[[#This Row],[Site]],'Important Info!'!$A$1:$J$135,9,FALSE)</f>
        <v>216</v>
      </c>
    </row>
    <row r="1438" spans="1:17" x14ac:dyDescent="0.25">
      <c r="A1438" t="str">
        <f>+Tabla3[[#This Row],[Site]]&amp;Tabla3[[#This Row],[Split]]</f>
        <v>(SCH) Chevrolet North Palm16</v>
      </c>
      <c r="B1438">
        <v>16</v>
      </c>
      <c r="C1438">
        <v>6</v>
      </c>
      <c r="D1438" t="s">
        <v>62</v>
      </c>
      <c r="E1438" t="s">
        <v>35</v>
      </c>
      <c r="F1438" t="s">
        <v>101</v>
      </c>
      <c r="G1438" t="s">
        <v>490</v>
      </c>
      <c r="H1438" s="52" t="str">
        <f>VLOOKUP(Tabla3[[#This Row],[Site]],'Important Info!'!$A$1:$J$135,10,FALSE)</f>
        <v>https://tools.sig.systems/site/details/160</v>
      </c>
      <c r="I1438" s="43"/>
      <c r="J1438" t="s">
        <v>36</v>
      </c>
      <c r="K1438" s="79" t="str">
        <f>VLOOKUP(Tabla3[[#This Row],[Site]],'Important Info!'!$A$1:$H$135,8,FALSE)</f>
        <v>-</v>
      </c>
      <c r="L1438" s="52" t="str">
        <f>VLOOKUP(Tabla3[[#This Row],[Site]],'Important Info!'!$A$1:$F$135,2,FALSE)</f>
        <v xml:space="preserve">7, 10B, 11, 15 </v>
      </c>
      <c r="M1438" s="52" t="str">
        <f>VLOOKUP(Tabla3[[#This Row],[Site]],'Important Info!'!$A$1:$F$135,3,FALSE)</f>
        <v>-</v>
      </c>
      <c r="N1438" s="52" t="str">
        <f>VLOOKUP(Tabla3[[#This Row],[Site]],'Important Info!'!$A$1:$F$135,4,FALSE)</f>
        <v>-</v>
      </c>
      <c r="O1438" s="52" t="str">
        <f>VLOOKUP(Tabla3[[#This Row],[Site]],'Important Info!'!$A$1:$F$135,5,FALSE)</f>
        <v>-</v>
      </c>
      <c r="P1438" s="52" t="str">
        <f>VLOOKUP(Tabla3[[#This Row],[Site]],'Important Info!'!$A$1:$F$135,6,FALSE)</f>
        <v>1, 15, 16, 17, 18, 19, 20</v>
      </c>
      <c r="Q1438" s="91">
        <f>VLOOKUP(Tabla3[[#This Row],[Site]],'Important Info!'!$A$1:$J$135,9,FALSE)</f>
        <v>160</v>
      </c>
    </row>
    <row r="1439" spans="1:17" x14ac:dyDescent="0.25">
      <c r="A1439" t="str">
        <f>+Tabla3[[#This Row],[Site]]&amp;Tabla3[[#This Row],[Split]]</f>
        <v>(SCH) Prep Center Delray16</v>
      </c>
      <c r="B1439">
        <v>16</v>
      </c>
      <c r="C1439">
        <v>6</v>
      </c>
      <c r="D1439" t="s">
        <v>62</v>
      </c>
      <c r="E1439" t="s">
        <v>35</v>
      </c>
      <c r="F1439" t="s">
        <v>191</v>
      </c>
      <c r="G1439" t="s">
        <v>490</v>
      </c>
      <c r="H1439" s="52" t="str">
        <f>VLOOKUP(Tabla3[[#This Row],[Site]],'Important Info!'!$A$1:$J$135,10,FALSE)</f>
        <v>https://tools.sig.systems/site/details/321</v>
      </c>
      <c r="J1439" t="s">
        <v>41</v>
      </c>
      <c r="K1439" s="79" t="str">
        <f>VLOOKUP(Tabla3[[#This Row],[Site]],'Important Info!'!$A$1:$H$135,8,FALSE)</f>
        <v>-</v>
      </c>
      <c r="L1439" s="52" t="str">
        <f>VLOOKUP(Tabla3[[#This Row],[Site]],'Important Info!'!$A$1:$F$135,2,FALSE)</f>
        <v>2,3</v>
      </c>
      <c r="M1439" s="52" t="str">
        <f>VLOOKUP(Tabla3[[#This Row],[Site]],'Important Info!'!$A$1:$F$135,3,FALSE)</f>
        <v>-</v>
      </c>
      <c r="N1439" s="52" t="str">
        <f>VLOOKUP(Tabla3[[#This Row],[Site]],'Important Info!'!$A$1:$F$135,4,FALSE)</f>
        <v>-</v>
      </c>
      <c r="O1439" s="52" t="str">
        <f>VLOOKUP(Tabla3[[#This Row],[Site]],'Important Info!'!$A$1:$F$135,5,FALSE)</f>
        <v>-</v>
      </c>
      <c r="P1439" s="52" t="str">
        <f>VLOOKUP(Tabla3[[#This Row],[Site]],'Important Info!'!$A$1:$F$135,6,FALSE)</f>
        <v>2,4,10</v>
      </c>
      <c r="Q1439" s="91">
        <f>VLOOKUP(Tabla3[[#This Row],[Site]],'Important Info!'!$A$1:$J$135,9,FALSE)</f>
        <v>321</v>
      </c>
    </row>
    <row r="1440" spans="1:17" x14ac:dyDescent="0.25">
      <c r="A1440" t="str">
        <f>+Tabla3[[#This Row],[Site]]&amp;Tabla3[[#This Row],[Split]]</f>
        <v>(AS) Atwell Prep Center-Dallas (NO TOURS)16</v>
      </c>
      <c r="B1440">
        <v>16</v>
      </c>
      <c r="C1440">
        <v>7</v>
      </c>
      <c r="D1440" t="s">
        <v>33</v>
      </c>
      <c r="E1440" t="s">
        <v>46</v>
      </c>
      <c r="F1440" t="s">
        <v>498</v>
      </c>
      <c r="G1440" t="s">
        <v>34</v>
      </c>
      <c r="H1440" s="52" t="str">
        <f>VLOOKUP(Tabla3[[#This Row],[Site]],'Important Info!'!$A$1:$J$135,10,FALSE)</f>
        <v>https://tools.sig.systems/site/details/165</v>
      </c>
      <c r="I1440" s="65" t="s">
        <v>125</v>
      </c>
      <c r="J1440" t="s">
        <v>41</v>
      </c>
      <c r="K1440" s="79" t="str">
        <f>VLOOKUP(Tabla3[[#This Row],[Site]],'Important Info!'!$A$1:$H$135,8,FALSE)</f>
        <v>-</v>
      </c>
      <c r="L1440" s="52" t="str">
        <f>VLOOKUP(Tabla3[[#This Row],[Site]],'Important Info!'!$A$1:$F$135,2,FALSE)</f>
        <v>4, 6, 7</v>
      </c>
      <c r="M1440" s="52" t="str">
        <f>VLOOKUP(Tabla3[[#This Row],[Site]],'Important Info!'!$A$1:$F$135,3,FALSE)</f>
        <v>-</v>
      </c>
      <c r="N1440" s="52" t="str">
        <f>VLOOKUP(Tabla3[[#This Row],[Site]],'Important Info!'!$A$1:$F$135,4,FALSE)</f>
        <v>-</v>
      </c>
      <c r="O1440" s="52" t="str">
        <f>VLOOKUP(Tabla3[[#This Row],[Site]],'Important Info!'!$A$1:$F$135,5,FALSE)</f>
        <v>-</v>
      </c>
      <c r="P1440" s="52" t="str">
        <f>VLOOKUP(Tabla3[[#This Row],[Site]],'Important Info!'!$A$1:$F$135,6,FALSE)</f>
        <v>1, 2</v>
      </c>
      <c r="Q1440" s="91">
        <f>VLOOKUP(Tabla3[[#This Row],[Site]],'Important Info!'!$A$1:$J$135,9,FALSE)</f>
        <v>165</v>
      </c>
    </row>
    <row r="1441" spans="1:17" x14ac:dyDescent="0.25">
      <c r="A1441" t="str">
        <f>+Tabla3[[#This Row],[Site]]&amp;Tabla3[[#This Row],[Split]]</f>
        <v>(AS) Courtesy CDJR of Brandon (NO TOURS)16</v>
      </c>
      <c r="B1441">
        <v>16</v>
      </c>
      <c r="C1441">
        <v>7</v>
      </c>
      <c r="D1441" t="s">
        <v>62</v>
      </c>
      <c r="E1441" t="s">
        <v>35</v>
      </c>
      <c r="F1441" t="s">
        <v>503</v>
      </c>
      <c r="G1441" t="s">
        <v>490</v>
      </c>
      <c r="H1441" s="52" t="str">
        <f>VLOOKUP(Tabla3[[#This Row],[Site]],'Important Info!'!$A$1:$J$135,10,FALSE)</f>
        <v>https://tools.sig.systems/site/details/126</v>
      </c>
      <c r="I1441" s="43" t="s">
        <v>181</v>
      </c>
      <c r="J1441" t="s">
        <v>484</v>
      </c>
      <c r="K1441" s="79" t="str">
        <f>VLOOKUP(Tabla3[[#This Row],[Site]],'Important Info!'!$A$1:$H$135,8,FALSE)</f>
        <v>-</v>
      </c>
      <c r="L1441" s="52" t="str">
        <f>VLOOKUP(Tabla3[[#This Row],[Site]],'Important Info!'!$A$1:$F$135,2,FALSE)</f>
        <v>1, 14, 15</v>
      </c>
      <c r="M1441" s="52">
        <f>VLOOKUP(Tabla3[[#This Row],[Site]],'Important Info!'!$A$1:$F$135,3,FALSE)</f>
        <v>1</v>
      </c>
      <c r="N1441" s="52" t="str">
        <f>VLOOKUP(Tabla3[[#This Row],[Site]],'Important Info!'!$A$1:$F$135,4,FALSE)</f>
        <v>-</v>
      </c>
      <c r="O1441" s="52" t="str">
        <f>VLOOKUP(Tabla3[[#This Row],[Site]],'Important Info!'!$A$1:$F$135,5,FALSE)</f>
        <v>2, 12</v>
      </c>
      <c r="P1441" s="52" t="str">
        <f>VLOOKUP(Tabla3[[#This Row],[Site]],'Important Info!'!$A$1:$F$135,6,FALSE)</f>
        <v xml:space="preserve">1, 2, 3, 4, 14, 15, 21, 25 </v>
      </c>
      <c r="Q1441" s="91">
        <f>VLOOKUP(Tabla3[[#This Row],[Site]],'Important Info!'!$A$1:$J$135,9,FALSE)</f>
        <v>126</v>
      </c>
    </row>
    <row r="1442" spans="1:17" x14ac:dyDescent="0.25">
      <c r="A1442" t="str">
        <f>+Tabla3[[#This Row],[Site]]&amp;Tabla3[[#This Row],[Split]]</f>
        <v>(AS) Park Place Mercedes Benz Ft. Worth (NO TOURS)16</v>
      </c>
      <c r="B1442">
        <v>16</v>
      </c>
      <c r="C1442">
        <v>7</v>
      </c>
      <c r="D1442" t="s">
        <v>33</v>
      </c>
      <c r="E1442" t="s">
        <v>46</v>
      </c>
      <c r="F1442" t="s">
        <v>519</v>
      </c>
      <c r="G1442" t="s">
        <v>34</v>
      </c>
      <c r="H1442" s="52" t="str">
        <f>VLOOKUP(Tabla3[[#This Row],[Site]],'Important Info!'!$A$1:$J$135,10,FALSE)</f>
        <v>https://tools.sig.systems/site/details/137</v>
      </c>
      <c r="I1442" s="65" t="s">
        <v>128</v>
      </c>
      <c r="J1442" t="s">
        <v>41</v>
      </c>
      <c r="K1442" s="79" t="s">
        <v>37</v>
      </c>
      <c r="L1442" s="52" t="str">
        <f>VLOOKUP(Tabla3[[#This Row],[Site]],'Important Info!'!$A$1:$F$135,2,FALSE)</f>
        <v>4, 18</v>
      </c>
      <c r="M1442" s="52" t="str">
        <f>VLOOKUP(Tabla3[[#This Row],[Site]],'Important Info!'!$A$1:$F$135,3,FALSE)</f>
        <v>-</v>
      </c>
      <c r="N1442" s="52" t="str">
        <f>VLOOKUP(Tabla3[[#This Row],[Site]],'Important Info!'!$A$1:$F$135,4,FALSE)</f>
        <v>54, 55</v>
      </c>
      <c r="O1442" s="52" t="str">
        <f>VLOOKUP(Tabla3[[#This Row],[Site]],'Important Info!'!$A$1:$F$135,5,FALSE)</f>
        <v>2, 18</v>
      </c>
      <c r="P1442" s="52" t="str">
        <f>VLOOKUP(Tabla3[[#This Row],[Site]],'Important Info!'!$A$1:$F$135,6,FALSE)</f>
        <v>5, 18</v>
      </c>
      <c r="Q1442" s="91">
        <f>VLOOKUP(Tabla3[[#This Row],[Site]],'Important Info!'!$A$1:$J$135,9,FALSE)</f>
        <v>137</v>
      </c>
    </row>
    <row r="1443" spans="1:17" x14ac:dyDescent="0.25">
      <c r="A1443" t="str">
        <f>+Tabla3[[#This Row],[Site]]&amp;Tabla3[[#This Row],[Split]]</f>
        <v>(AS) Stevinson Toyota West (NO TOURS)16</v>
      </c>
      <c r="B1443">
        <v>16</v>
      </c>
      <c r="C1443">
        <v>7</v>
      </c>
      <c r="D1443" t="s">
        <v>44</v>
      </c>
      <c r="E1443" t="s">
        <v>53</v>
      </c>
      <c r="F1443" t="s">
        <v>79</v>
      </c>
      <c r="G1443" t="s">
        <v>45</v>
      </c>
      <c r="H1443" s="52" t="str">
        <f>VLOOKUP(Tabla3[[#This Row],[Site]],'Important Info!'!$A$1:$J$135,10,FALSE)</f>
        <v>https://tools.sig.systems/site/details/240</v>
      </c>
      <c r="I1443" s="43" t="s">
        <v>154</v>
      </c>
      <c r="J1443" t="s">
        <v>41</v>
      </c>
      <c r="K1443" s="79" t="str">
        <f>VLOOKUP(Tabla3[[#This Row],[Site]],'Important Info!'!$A$1:$H$135,8,FALSE)</f>
        <v>-</v>
      </c>
      <c r="L1443" s="52" t="str">
        <f>VLOOKUP(Tabla3[[#This Row],[Site]],'Important Info!'!$A$1:$F$135,2,FALSE)</f>
        <v>-</v>
      </c>
      <c r="M1443" s="52" t="str">
        <f>VLOOKUP(Tabla3[[#This Row],[Site]],'Important Info!'!$A$1:$F$135,3,FALSE)</f>
        <v>7, 18, 21</v>
      </c>
      <c r="N1443" s="52" t="str">
        <f>VLOOKUP(Tabla3[[#This Row],[Site]],'Important Info!'!$A$1:$F$135,4,FALSE)</f>
        <v>-</v>
      </c>
      <c r="O1443" s="52" t="str">
        <f>VLOOKUP(Tabla3[[#This Row],[Site]],'Important Info!'!$A$1:$F$135,5,FALSE)</f>
        <v>11, 24, 34</v>
      </c>
      <c r="P1443" s="52" t="str">
        <f>VLOOKUP(Tabla3[[#This Row],[Site]],'Important Info!'!$A$1:$F$135,6,FALSE)</f>
        <v>1, 2, 3, 12</v>
      </c>
      <c r="Q1443" s="91">
        <f>VLOOKUP(Tabla3[[#This Row],[Site]],'Important Info!'!$A$1:$J$135,9,FALSE)</f>
        <v>240</v>
      </c>
    </row>
    <row r="1444" spans="1:17" x14ac:dyDescent="0.25">
      <c r="A1444" t="str">
        <f>+Tabla3[[#This Row],[Site]]&amp;Tabla3[[#This Row],[Split]]</f>
        <v>(ML) Honda of Little Rock16</v>
      </c>
      <c r="B1444">
        <v>16</v>
      </c>
      <c r="C1444">
        <v>7</v>
      </c>
      <c r="D1444" t="s">
        <v>33</v>
      </c>
      <c r="E1444" t="s">
        <v>46</v>
      </c>
      <c r="F1444" t="s">
        <v>71</v>
      </c>
      <c r="G1444" t="s">
        <v>34</v>
      </c>
      <c r="H1444" s="52" t="str">
        <f>VLOOKUP(Tabla3[[#This Row],[Site]],'Important Info!'!$A$1:$J$135,10,FALSE)</f>
        <v>https://tools.sig.systems/site/details/249</v>
      </c>
      <c r="I1444" s="43" t="s">
        <v>140</v>
      </c>
      <c r="J1444" t="s">
        <v>41</v>
      </c>
      <c r="K1444" s="79" t="str">
        <f>VLOOKUP(Tabla3[[#This Row],[Site]],'Important Info!'!$A$1:$H$135,8,FALSE)</f>
        <v>-</v>
      </c>
      <c r="L1444" s="52" t="str">
        <f>VLOOKUP(Tabla3[[#This Row],[Site]],'Important Info!'!$A$1:$F$135,2,FALSE)</f>
        <v>1, 4, 9, 14, 21</v>
      </c>
      <c r="M1444" s="52" t="str">
        <f>VLOOKUP(Tabla3[[#This Row],[Site]],'Important Info!'!$A$1:$F$135,3,FALSE)</f>
        <v>-</v>
      </c>
      <c r="N1444" s="52" t="str">
        <f>VLOOKUP(Tabla3[[#This Row],[Site]],'Important Info!'!$A$1:$F$135,4,FALSE)</f>
        <v>-</v>
      </c>
      <c r="O1444" s="52" t="str">
        <f>VLOOKUP(Tabla3[[#This Row],[Site]],'Important Info!'!$A$1:$F$135,5,FALSE)</f>
        <v>4, 14, 21</v>
      </c>
      <c r="P1444" s="52" t="str">
        <f>VLOOKUP(Tabla3[[#This Row],[Site]],'Important Info!'!$A$1:$F$135,6,FALSE)</f>
        <v>11, 12</v>
      </c>
      <c r="Q1444" s="91">
        <f>VLOOKUP(Tabla3[[#This Row],[Site]],'Important Info!'!$A$1:$J$135,9,FALSE)</f>
        <v>249</v>
      </c>
    </row>
    <row r="1445" spans="1:17" x14ac:dyDescent="0.25">
      <c r="A1445" t="str">
        <f>+Tabla3[[#This Row],[Site]]&amp;Tabla3[[#This Row],[Split]]</f>
        <v>(ML) Joe Machens Temporary 2.016</v>
      </c>
      <c r="B1445">
        <v>16</v>
      </c>
      <c r="C1445">
        <v>7</v>
      </c>
      <c r="D1445" t="s">
        <v>33</v>
      </c>
      <c r="E1445" t="s">
        <v>46</v>
      </c>
      <c r="F1445" t="s">
        <v>105</v>
      </c>
      <c r="G1445" t="s">
        <v>34</v>
      </c>
      <c r="H1445" s="52" t="str">
        <f>VLOOKUP(Tabla3[[#This Row],[Site]],'Important Info!'!$A$1:$J$135,10,FALSE)</f>
        <v>https://tools.sig.systems/site/details/278</v>
      </c>
      <c r="I1445" s="43" t="s">
        <v>146</v>
      </c>
      <c r="J1445" t="s">
        <v>41</v>
      </c>
      <c r="K1445" s="79" t="str">
        <f>VLOOKUP(Tabla3[[#This Row],[Site]],'Important Info!'!$A$1:$H$135,8,FALSE)</f>
        <v>-</v>
      </c>
      <c r="L1445" s="52" t="str">
        <f>VLOOKUP(Tabla3[[#This Row],[Site]],'Important Info!'!$A$1:$F$135,2,FALSE)</f>
        <v>-</v>
      </c>
      <c r="M1445" s="52" t="str">
        <f>VLOOKUP(Tabla3[[#This Row],[Site]],'Important Info!'!$A$1:$F$135,3,FALSE)</f>
        <v>1, 11, 14, 15, 16</v>
      </c>
      <c r="N1445" s="52" t="str">
        <f>VLOOKUP(Tabla3[[#This Row],[Site]],'Important Info!'!$A$1:$F$135,4,FALSE)</f>
        <v>-</v>
      </c>
      <c r="O1445" s="52">
        <f>VLOOKUP(Tabla3[[#This Row],[Site]],'Important Info!'!$A$1:$F$135,5,FALSE)</f>
        <v>13</v>
      </c>
      <c r="P1445" s="52" t="str">
        <f>VLOOKUP(Tabla3[[#This Row],[Site]],'Important Info!'!$A$1:$F$135,6,FALSE)</f>
        <v>-</v>
      </c>
      <c r="Q1445" s="91">
        <f>VLOOKUP(Tabla3[[#This Row],[Site]],'Important Info!'!$A$1:$J$135,9,FALSE)</f>
        <v>278</v>
      </c>
    </row>
    <row r="1446" spans="1:17" x14ac:dyDescent="0.25">
      <c r="A1446" t="str">
        <f>+Tabla3[[#This Row],[Site]]&amp;Tabla3[[#This Row],[Split]]</f>
        <v>(PE) BMW Tenafly (NO TOURS)16</v>
      </c>
      <c r="B1446">
        <v>16</v>
      </c>
      <c r="C1446">
        <v>7</v>
      </c>
      <c r="D1446" t="s">
        <v>485</v>
      </c>
      <c r="E1446" t="s">
        <v>35</v>
      </c>
      <c r="F1446" t="s">
        <v>173</v>
      </c>
      <c r="G1446" t="s">
        <v>490</v>
      </c>
      <c r="H1446" s="52" t="str">
        <f>VLOOKUP(Tabla3[[#This Row],[Site]],'Important Info!'!$A$1:$J$135,10,FALSE)</f>
        <v>https://tools.sig.systems/site/details/155</v>
      </c>
      <c r="I1446" s="43"/>
      <c r="J1446" t="s">
        <v>41</v>
      </c>
      <c r="K1446" s="79" t="str">
        <f>VLOOKUP(Tabla3[[#This Row],[Site]],'Important Info!'!$A$1:$H$135,8,FALSE)</f>
        <v>-</v>
      </c>
      <c r="L1446" s="52">
        <f>VLOOKUP(Tabla3[[#This Row],[Site]],'Important Info!'!$A$1:$F$135,2,FALSE)</f>
        <v>24</v>
      </c>
      <c r="M1446" s="52" t="str">
        <f>VLOOKUP(Tabla3[[#This Row],[Site]],'Important Info!'!$A$1:$F$135,3,FALSE)</f>
        <v>1, 3, 4, 17, 23</v>
      </c>
      <c r="N1446" s="52" t="str">
        <f>VLOOKUP(Tabla3[[#This Row],[Site]],'Important Info!'!$A$1:$F$135,4,FALSE)</f>
        <v>-</v>
      </c>
      <c r="O1446" s="52" t="str">
        <f>VLOOKUP(Tabla3[[#This Row],[Site]],'Important Info!'!$A$1:$F$135,5,FALSE)</f>
        <v>-</v>
      </c>
      <c r="P1446" s="52">
        <f>VLOOKUP(Tabla3[[#This Row],[Site]],'Important Info!'!$A$1:$F$135,6,FALSE)</f>
        <v>1</v>
      </c>
      <c r="Q1446" s="91">
        <f>VLOOKUP(Tabla3[[#This Row],[Site]],'Important Info!'!$A$1:$J$135,9,FALSE)</f>
        <v>155</v>
      </c>
    </row>
    <row r="1447" spans="1:17" x14ac:dyDescent="0.25">
      <c r="A1447" t="str">
        <f>+Tabla3[[#This Row],[Site]]&amp;Tabla3[[#This Row],[Split]]</f>
        <v>(SCH) Auto Body Shop Lake Park16</v>
      </c>
      <c r="B1447">
        <v>16</v>
      </c>
      <c r="C1447">
        <v>7</v>
      </c>
      <c r="D1447" t="s">
        <v>62</v>
      </c>
      <c r="E1447" t="s">
        <v>35</v>
      </c>
      <c r="F1447" t="s">
        <v>189</v>
      </c>
      <c r="G1447" t="s">
        <v>490</v>
      </c>
      <c r="H1447" s="52" t="str">
        <f>VLOOKUP(Tabla3[[#This Row],[Site]],'Important Info!'!$A$1:$J$135,10,FALSE)</f>
        <v>https://tools.sig.systems/site/details/158</v>
      </c>
      <c r="I1447" s="43"/>
      <c r="J1447" t="s">
        <v>41</v>
      </c>
      <c r="K1447" s="79" t="str">
        <f>VLOOKUP(Tabla3[[#This Row],[Site]],'Important Info!'!$A$1:$H$135,8,FALSE)</f>
        <v>-</v>
      </c>
      <c r="L1447" s="52" t="str">
        <f>VLOOKUP(Tabla3[[#This Row],[Site]],'Important Info!'!$A$1:$F$135,2,FALSE)</f>
        <v>3, 10</v>
      </c>
      <c r="M1447" s="52" t="str">
        <f>VLOOKUP(Tabla3[[#This Row],[Site]],'Important Info!'!$A$1:$F$135,3,FALSE)</f>
        <v>-</v>
      </c>
      <c r="N1447" s="52" t="str">
        <f>VLOOKUP(Tabla3[[#This Row],[Site]],'Important Info!'!$A$1:$F$135,4,FALSE)</f>
        <v>-</v>
      </c>
      <c r="O1447" s="52" t="str">
        <f>VLOOKUP(Tabla3[[#This Row],[Site]],'Important Info!'!$A$1:$F$135,5,FALSE)</f>
        <v>-</v>
      </c>
      <c r="P1447" s="52" t="str">
        <f>VLOOKUP(Tabla3[[#This Row],[Site]],'Important Info!'!$A$1:$F$135,6,FALSE)</f>
        <v>-</v>
      </c>
      <c r="Q1447" s="91">
        <f>VLOOKUP(Tabla3[[#This Row],[Site]],'Important Info!'!$A$1:$J$135,9,FALSE)</f>
        <v>158</v>
      </c>
    </row>
    <row r="1448" spans="1:17" x14ac:dyDescent="0.25">
      <c r="A1448" t="str">
        <f>+Tabla3[[#This Row],[Site]]&amp;Tabla3[[#This Row],[Split]]</f>
        <v>(AS) Courtesy Honda Palm Harbor (NO TOURS)16</v>
      </c>
      <c r="B1448">
        <v>16</v>
      </c>
      <c r="C1448">
        <v>8</v>
      </c>
      <c r="D1448" t="s">
        <v>62</v>
      </c>
      <c r="E1448" t="s">
        <v>35</v>
      </c>
      <c r="F1448" t="s">
        <v>108</v>
      </c>
      <c r="G1448" t="s">
        <v>490</v>
      </c>
      <c r="H1448" s="52" t="str">
        <f>VLOOKUP(Tabla3[[#This Row],[Site]],'Important Info!'!$A$1:$J$135,10,FALSE)</f>
        <v>https://tools.sig.systems/site/details/176</v>
      </c>
      <c r="I1448" s="2"/>
      <c r="J1448" t="s">
        <v>36</v>
      </c>
      <c r="K1448" s="79" t="str">
        <f>VLOOKUP(Tabla3[[#This Row],[Site]],'Important Info!'!$A$1:$H$135,8,FALSE)</f>
        <v>-</v>
      </c>
      <c r="L1448" s="52">
        <f>VLOOKUP(Tabla3[[#This Row],[Site]],'Important Info!'!$A$1:$F$135,2,FALSE)</f>
        <v>2</v>
      </c>
      <c r="M1448" s="52" t="str">
        <f>VLOOKUP(Tabla3[[#This Row],[Site]],'Important Info!'!$A$1:$F$135,3,FALSE)</f>
        <v>-</v>
      </c>
      <c r="N1448" s="52" t="str">
        <f>VLOOKUP(Tabla3[[#This Row],[Site]],'Important Info!'!$A$1:$F$135,4,FALSE)</f>
        <v>-</v>
      </c>
      <c r="O1448" s="52" t="str">
        <f>VLOOKUP(Tabla3[[#This Row],[Site]],'Important Info!'!$A$1:$F$135,5,FALSE)</f>
        <v>4, 8, 21</v>
      </c>
      <c r="P1448" s="52">
        <f>VLOOKUP(Tabla3[[#This Row],[Site]],'Important Info!'!$A$1:$F$135,6,FALSE)</f>
        <v>10</v>
      </c>
      <c r="Q1448" s="91">
        <f>VLOOKUP(Tabla3[[#This Row],[Site]],'Important Info!'!$A$1:$J$135,9,FALSE)</f>
        <v>176</v>
      </c>
    </row>
    <row r="1449" spans="1:17" x14ac:dyDescent="0.25">
      <c r="A1449" t="str">
        <f>+Tabla3[[#This Row],[Site]]&amp;Tabla3[[#This Row],[Split]]</f>
        <v>(AS) Park Place Bodywerks Dallas (NO TOURS)16</v>
      </c>
      <c r="B1449">
        <v>16</v>
      </c>
      <c r="C1449">
        <v>8</v>
      </c>
      <c r="D1449" t="s">
        <v>33</v>
      </c>
      <c r="E1449" t="s">
        <v>46</v>
      </c>
      <c r="F1449" t="s">
        <v>514</v>
      </c>
      <c r="G1449" t="s">
        <v>34</v>
      </c>
      <c r="H1449" s="52" t="str">
        <f>VLOOKUP(Tabla3[[#This Row],[Site]],'Important Info!'!$A$1:$J$135,10,FALSE)</f>
        <v>https://tools.sig.systems/site/details/166</v>
      </c>
      <c r="I1449" s="65" t="s">
        <v>125</v>
      </c>
      <c r="J1449" t="s">
        <v>41</v>
      </c>
      <c r="K1449" s="79" t="str">
        <f>VLOOKUP(Tabla3[[#This Row],[Site]],'Important Info!'!$A$1:$H$135,8,FALSE)</f>
        <v>-</v>
      </c>
      <c r="L1449" s="52">
        <f>VLOOKUP(Tabla3[[#This Row],[Site]],'Important Info!'!$A$1:$F$135,2,FALSE)</f>
        <v>3</v>
      </c>
      <c r="M1449" s="52">
        <f>VLOOKUP(Tabla3[[#This Row],[Site]],'Important Info!'!$A$1:$F$135,3,FALSE)</f>
        <v>1</v>
      </c>
      <c r="N1449" s="52" t="str">
        <f>VLOOKUP(Tabla3[[#This Row],[Site]],'Important Info!'!$A$1:$F$135,4,FALSE)</f>
        <v>-</v>
      </c>
      <c r="O1449" s="52" t="str">
        <f>VLOOKUP(Tabla3[[#This Row],[Site]],'Important Info!'!$A$1:$F$135,5,FALSE)</f>
        <v>-</v>
      </c>
      <c r="P1449" s="52" t="str">
        <f>VLOOKUP(Tabla3[[#This Row],[Site]],'Important Info!'!$A$1:$F$135,6,FALSE)</f>
        <v>1, 2, 8</v>
      </c>
      <c r="Q1449" s="91">
        <f>VLOOKUP(Tabla3[[#This Row],[Site]],'Important Info!'!$A$1:$J$135,9,FALSE)</f>
        <v>166</v>
      </c>
    </row>
    <row r="1450" spans="1:17" x14ac:dyDescent="0.25">
      <c r="A1450" t="str">
        <f>+Tabla3[[#This Row],[Site]]&amp;Tabla3[[#This Row],[Split]]</f>
        <v>(JE) Jim Ellis Ford Sandy Springs16</v>
      </c>
      <c r="B1450">
        <v>16</v>
      </c>
      <c r="C1450">
        <v>8</v>
      </c>
      <c r="D1450" t="s">
        <v>62</v>
      </c>
      <c r="E1450" t="s">
        <v>35</v>
      </c>
      <c r="F1450" t="s">
        <v>187</v>
      </c>
      <c r="G1450" t="s">
        <v>490</v>
      </c>
      <c r="H1450" s="52" t="str">
        <f>VLOOKUP(Tabla3[[#This Row],[Site]],'Important Info!'!$A$1:$J$135,10,FALSE)</f>
        <v>https://tools.sig.systems/site/details/142</v>
      </c>
      <c r="I1450" s="43"/>
      <c r="J1450" t="s">
        <v>41</v>
      </c>
      <c r="K1450" s="79" t="str">
        <f>VLOOKUP(Tabla3[[#This Row],[Site]],'Important Info!'!$A$1:$H$135,8,FALSE)</f>
        <v>-</v>
      </c>
      <c r="L1450" s="52" t="str">
        <f>VLOOKUP(Tabla3[[#This Row],[Site]],'Important Info!'!$A$1:$F$135,2,FALSE)</f>
        <v>1, 5</v>
      </c>
      <c r="M1450" s="52" t="str">
        <f>VLOOKUP(Tabla3[[#This Row],[Site]],'Important Info!'!$A$1:$F$135,3,FALSE)</f>
        <v>-</v>
      </c>
      <c r="N1450" s="52" t="str">
        <f>VLOOKUP(Tabla3[[#This Row],[Site]],'Important Info!'!$A$1:$F$135,4,FALSE)</f>
        <v>-</v>
      </c>
      <c r="O1450" s="52" t="str">
        <f>VLOOKUP(Tabla3[[#This Row],[Site]],'Important Info!'!$A$1:$F$135,5,FALSE)</f>
        <v>1, 5, 9, 26</v>
      </c>
      <c r="P1450" s="52" t="str">
        <f>VLOOKUP(Tabla3[[#This Row],[Site]],'Important Info!'!$A$1:$F$135,6,FALSE)</f>
        <v>3, 4, 8, 28</v>
      </c>
      <c r="Q1450" s="91">
        <f>VLOOKUP(Tabla3[[#This Row],[Site]],'Important Info!'!$A$1:$J$135,9,FALSE)</f>
        <v>142</v>
      </c>
    </row>
    <row r="1451" spans="1:17" x14ac:dyDescent="0.25">
      <c r="A1451" t="str">
        <f>+Tabla3[[#This Row],[Site]]&amp;Tabla3[[#This Row],[Split]]</f>
        <v>(KG) Baytown GMC Buick - Remote Lot (NO TOURS)16</v>
      </c>
      <c r="B1451">
        <v>16</v>
      </c>
      <c r="C1451">
        <v>8</v>
      </c>
      <c r="D1451" t="s">
        <v>60</v>
      </c>
      <c r="E1451" t="s">
        <v>46</v>
      </c>
      <c r="F1451" t="s">
        <v>167</v>
      </c>
      <c r="G1451" t="s">
        <v>41</v>
      </c>
      <c r="H1451" s="52" t="str">
        <f>VLOOKUP(Tabla3[[#This Row],[Site]],'Important Info!'!$A$1:$J$135,10,FALSE)</f>
        <v>https://tools.sig.systems/site/details/311</v>
      </c>
      <c r="I1451" s="2"/>
      <c r="J1451" t="s">
        <v>41</v>
      </c>
      <c r="K1451" s="79" t="s">
        <v>168</v>
      </c>
      <c r="L1451" s="52" t="str">
        <f>VLOOKUP(Tabla3[[#This Row],[Site]],'Important Info!'!$A$1:$F$135,2,FALSE)</f>
        <v>-</v>
      </c>
      <c r="M1451" s="52" t="str">
        <f>VLOOKUP(Tabla3[[#This Row],[Site]],'Important Info!'!$A$1:$F$135,3,FALSE)</f>
        <v>7, 8</v>
      </c>
      <c r="N1451" s="52" t="str">
        <f>VLOOKUP(Tabla3[[#This Row],[Site]],'Important Info!'!$A$1:$F$135,4,FALSE)</f>
        <v>-</v>
      </c>
      <c r="O1451" s="52" t="str">
        <f>VLOOKUP(Tabla3[[#This Row],[Site]],'Important Info!'!$A$1:$F$135,5,FALSE)</f>
        <v>-</v>
      </c>
      <c r="P1451" s="52" t="str">
        <f>VLOOKUP(Tabla3[[#This Row],[Site]],'Important Info!'!$A$1:$F$135,6,FALSE)</f>
        <v>-</v>
      </c>
      <c r="Q1451" s="91">
        <f>VLOOKUP(Tabla3[[#This Row],[Site]],'Important Info!'!$A$1:$J$135,9,FALSE)</f>
        <v>311</v>
      </c>
    </row>
    <row r="1452" spans="1:17" x14ac:dyDescent="0.25">
      <c r="A1452" t="str">
        <f>+Tabla3[[#This Row],[Site]]&amp;Tabla3[[#This Row],[Split]]</f>
        <v>(KG) Baytown GMC Buick (NO TOURS)16</v>
      </c>
      <c r="B1452">
        <v>16</v>
      </c>
      <c r="C1452">
        <v>8</v>
      </c>
      <c r="D1452" t="s">
        <v>33</v>
      </c>
      <c r="E1452" t="s">
        <v>46</v>
      </c>
      <c r="F1452" t="s">
        <v>132</v>
      </c>
      <c r="G1452" t="s">
        <v>34</v>
      </c>
      <c r="H1452" s="52" t="str">
        <f>VLOOKUP(Tabla3[[#This Row],[Site]],'Important Info!'!$A$1:$J$135,10,FALSE)</f>
        <v>https://tools.sig.systems/site/details/239</v>
      </c>
      <c r="I1452" s="43"/>
      <c r="J1452" t="s">
        <v>41</v>
      </c>
      <c r="K1452" s="79" t="str">
        <f>VLOOKUP(Tabla3[[#This Row],[Site]],'Important Info!'!$A$1:$H$135,8,FALSE)</f>
        <v>-</v>
      </c>
      <c r="L1452" s="52" t="str">
        <f>VLOOKUP(Tabla3[[#This Row],[Site]],'Important Info!'!$A$1:$F$135,2,FALSE)</f>
        <v>1, 5, 7, 21, 22</v>
      </c>
      <c r="M1452" s="52" t="str">
        <f>VLOOKUP(Tabla3[[#This Row],[Site]],'Important Info!'!$A$1:$F$135,3,FALSE)</f>
        <v>-</v>
      </c>
      <c r="N1452" s="52" t="str">
        <f>VLOOKUP(Tabla3[[#This Row],[Site]],'Important Info!'!$A$1:$F$135,4,FALSE)</f>
        <v>-</v>
      </c>
      <c r="O1452" s="52" t="str">
        <f>VLOOKUP(Tabla3[[#This Row],[Site]],'Important Info!'!$A$1:$F$135,5,FALSE)</f>
        <v>2, 10, 15, 24B</v>
      </c>
      <c r="P1452" s="52" t="str">
        <f>VLOOKUP(Tabla3[[#This Row],[Site]],'Important Info!'!$A$1:$F$135,6,FALSE)</f>
        <v>21, 22</v>
      </c>
      <c r="Q1452" s="91">
        <f>VLOOKUP(Tabla3[[#This Row],[Site]],'Important Info!'!$A$1:$J$135,9,FALSE)</f>
        <v>239</v>
      </c>
    </row>
    <row r="1453" spans="1:17" x14ac:dyDescent="0.25">
      <c r="A1453" t="str">
        <f>+Tabla3[[#This Row],[Site]]&amp;Tabla3[[#This Row],[Split]]</f>
        <v>(KG) Big Star Honda16</v>
      </c>
      <c r="B1453">
        <v>16</v>
      </c>
      <c r="C1453">
        <v>8</v>
      </c>
      <c r="D1453" t="s">
        <v>33</v>
      </c>
      <c r="E1453" t="s">
        <v>46</v>
      </c>
      <c r="F1453" t="s">
        <v>136</v>
      </c>
      <c r="G1453" t="s">
        <v>34</v>
      </c>
      <c r="H1453" s="52" t="str">
        <f>VLOOKUP(Tabla3[[#This Row],[Site]],'Important Info!'!$A$1:$J$135,10,FALSE)</f>
        <v>https://tools.sig.systems/site/details/231</v>
      </c>
      <c r="J1453" t="s">
        <v>41</v>
      </c>
      <c r="K1453" s="79" t="str">
        <f>VLOOKUP(Tabla3[[#This Row],[Site]],'Important Info!'!$A$1:$H$135,8,FALSE)</f>
        <v>-</v>
      </c>
      <c r="L1453" s="52" t="str">
        <f>VLOOKUP(Tabla3[[#This Row],[Site]],'Important Info!'!$A$1:$F$135,2,FALSE)</f>
        <v>2, 17, 33</v>
      </c>
      <c r="M1453" s="52" t="str">
        <f>VLOOKUP(Tabla3[[#This Row],[Site]],'Important Info!'!$A$1:$F$135,3,FALSE)</f>
        <v>-</v>
      </c>
      <c r="N1453" s="52" t="str">
        <f>VLOOKUP(Tabla3[[#This Row],[Site]],'Important Info!'!$A$1:$F$135,4,FALSE)</f>
        <v>-</v>
      </c>
      <c r="O1453" s="52" t="str">
        <f>VLOOKUP(Tabla3[[#This Row],[Site]],'Important Info!'!$A$1:$F$135,5,FALSE)</f>
        <v>3, 11, 16, 21, 24, 31, 34</v>
      </c>
      <c r="P1453" s="52" t="str">
        <f>VLOOKUP(Tabla3[[#This Row],[Site]],'Important Info!'!$A$1:$F$135,6,FALSE)</f>
        <v xml:space="preserve">2, 3, 17, 22, 37, 41, 42 </v>
      </c>
      <c r="Q1453" s="91">
        <f>VLOOKUP(Tabla3[[#This Row],[Site]],'Important Info!'!$A$1:$J$135,9,FALSE)</f>
        <v>231</v>
      </c>
    </row>
    <row r="1454" spans="1:17" x14ac:dyDescent="0.25">
      <c r="A1454" t="str">
        <f>+Tabla3[[#This Row],[Site]]&amp;Tabla3[[#This Row],[Split]]</f>
        <v>(ML) Collision Center N Little Rock16</v>
      </c>
      <c r="B1454">
        <v>16</v>
      </c>
      <c r="C1454">
        <v>8</v>
      </c>
      <c r="D1454" t="s">
        <v>33</v>
      </c>
      <c r="E1454" t="s">
        <v>46</v>
      </c>
      <c r="F1454" t="s">
        <v>141</v>
      </c>
      <c r="G1454" t="s">
        <v>34</v>
      </c>
      <c r="H1454" s="52" t="str">
        <f>VLOOKUP(Tabla3[[#This Row],[Site]],'Important Info!'!$A$1:$J$135,10,FALSE)</f>
        <v>https://tools.sig.systems/site/details/212</v>
      </c>
      <c r="I1454" s="43" t="s">
        <v>142</v>
      </c>
      <c r="J1454" t="s">
        <v>41</v>
      </c>
      <c r="K1454" s="79" t="str">
        <f>VLOOKUP(Tabla3[[#This Row],[Site]],'Important Info!'!$A$1:$H$135,8,FALSE)</f>
        <v>-</v>
      </c>
      <c r="L1454" s="52" t="str">
        <f>VLOOKUP(Tabla3[[#This Row],[Site]],'Important Info!'!$A$1:$F$135,2,FALSE)</f>
        <v>-</v>
      </c>
      <c r="M1454" s="52" t="str">
        <f>VLOOKUP(Tabla3[[#This Row],[Site]],'Important Info!'!$A$1:$F$135,3,FALSE)</f>
        <v>-</v>
      </c>
      <c r="N1454" s="52" t="str">
        <f>VLOOKUP(Tabla3[[#This Row],[Site]],'Important Info!'!$A$1:$F$135,4,FALSE)</f>
        <v>-</v>
      </c>
      <c r="O1454" s="52" t="str">
        <f>VLOOKUP(Tabla3[[#This Row],[Site]],'Important Info!'!$A$1:$F$135,5,FALSE)</f>
        <v>-</v>
      </c>
      <c r="P1454" s="52" t="str">
        <f>VLOOKUP(Tabla3[[#This Row],[Site]],'Important Info!'!$A$1:$F$135,6,FALSE)</f>
        <v>1, 3, 7, 8</v>
      </c>
      <c r="Q1454" s="91">
        <f>VLOOKUP(Tabla3[[#This Row],[Site]],'Important Info!'!$A$1:$J$135,9,FALSE)</f>
        <v>212</v>
      </c>
    </row>
    <row r="1455" spans="1:17" x14ac:dyDescent="0.25">
      <c r="A1455" t="str">
        <f>+Tabla3[[#This Row],[Site]]&amp;Tabla3[[#This Row],[Split]]</f>
        <v>(ML) Joe Machens Nissan16</v>
      </c>
      <c r="B1455">
        <v>16</v>
      </c>
      <c r="C1455">
        <v>8</v>
      </c>
      <c r="D1455" t="s">
        <v>33</v>
      </c>
      <c r="E1455" t="s">
        <v>46</v>
      </c>
      <c r="F1455" t="s">
        <v>104</v>
      </c>
      <c r="G1455" t="s">
        <v>34</v>
      </c>
      <c r="H1455" s="52" t="str">
        <f>VLOOKUP(Tabla3[[#This Row],[Site]],'Important Info!'!$A$1:$J$135,10,FALSE)</f>
        <v>https://tools.sig.systems/site/details/279</v>
      </c>
      <c r="I1455" s="2" t="s">
        <v>146</v>
      </c>
      <c r="J1455" t="s">
        <v>41</v>
      </c>
      <c r="K1455" s="79" t="str">
        <f>VLOOKUP(Tabla3[[#This Row],[Site]],'Important Info!'!$A$1:$H$135,8,FALSE)</f>
        <v>-</v>
      </c>
      <c r="L1455" s="52" t="str">
        <f>VLOOKUP(Tabla3[[#This Row],[Site]],'Important Info!'!$A$1:$F$135,2,FALSE)</f>
        <v>-</v>
      </c>
      <c r="M1455" s="52" t="str">
        <f>VLOOKUP(Tabla3[[#This Row],[Site]],'Important Info!'!$A$1:$F$135,3,FALSE)</f>
        <v>1, 3, 16</v>
      </c>
      <c r="N1455" s="52" t="str">
        <f>VLOOKUP(Tabla3[[#This Row],[Site]],'Important Info!'!$A$1:$F$135,4,FALSE)</f>
        <v>-</v>
      </c>
      <c r="O1455" s="52" t="str">
        <f>VLOOKUP(Tabla3[[#This Row],[Site]],'Important Info!'!$A$1:$F$135,5,FALSE)</f>
        <v>-</v>
      </c>
      <c r="P1455" s="52" t="str">
        <f>VLOOKUP(Tabla3[[#This Row],[Site]],'Important Info!'!$A$1:$F$135,6,FALSE)</f>
        <v>-</v>
      </c>
      <c r="Q1455" s="91">
        <f>VLOOKUP(Tabla3[[#This Row],[Site]],'Important Info!'!$A$1:$J$135,9,FALSE)</f>
        <v>279</v>
      </c>
    </row>
    <row r="1456" spans="1:17" x14ac:dyDescent="0.25">
      <c r="A1456" t="str">
        <f>+Tabla3[[#This Row],[Site]]&amp;Tabla3[[#This Row],[Split]]</f>
        <v>(AS) Audi of North Atlanta (NO TOURS)16</v>
      </c>
      <c r="B1456">
        <v>16</v>
      </c>
      <c r="C1456">
        <v>9</v>
      </c>
      <c r="D1456" t="s">
        <v>62</v>
      </c>
      <c r="E1456" t="s">
        <v>35</v>
      </c>
      <c r="F1456" t="s">
        <v>499</v>
      </c>
      <c r="G1456" t="s">
        <v>490</v>
      </c>
      <c r="H1456" s="52" t="str">
        <f>VLOOKUP(Tabla3[[#This Row],[Site]],'Important Info!'!$A$1:$J$135,10,FALSE)</f>
        <v>https://tools.sig.systems/site/details/124</v>
      </c>
      <c r="I1456" s="2" t="s">
        <v>166</v>
      </c>
      <c r="J1456" t="s">
        <v>41</v>
      </c>
      <c r="K1456" s="79" t="str">
        <f>VLOOKUP(Tabla3[[#This Row],[Site]],'Important Info!'!$A$1:$H$135,8,FALSE)</f>
        <v>-</v>
      </c>
      <c r="L1456" s="52" t="str">
        <f>VLOOKUP(Tabla3[[#This Row],[Site]],'Important Info!'!$A$1:$F$135,2,FALSE)</f>
        <v>1, 5, 16, 54</v>
      </c>
      <c r="M1456" s="52" t="str">
        <f>VLOOKUP(Tabla3[[#This Row],[Site]],'Important Info!'!$A$1:$F$135,3,FALSE)</f>
        <v>-</v>
      </c>
      <c r="N1456" s="52" t="str">
        <f>VLOOKUP(Tabla3[[#This Row],[Site]],'Important Info!'!$A$1:$F$135,4,FALSE)</f>
        <v>-</v>
      </c>
      <c r="O1456" s="52" t="str">
        <f>VLOOKUP(Tabla3[[#This Row],[Site]],'Important Info!'!$A$1:$F$135,5,FALSE)</f>
        <v>3, 16</v>
      </c>
      <c r="P1456" s="52" t="str">
        <f>VLOOKUP(Tabla3[[#This Row],[Site]],'Important Info!'!$A$1:$F$135,6,FALSE)</f>
        <v>2, 5, 6</v>
      </c>
      <c r="Q1456" s="91">
        <f>VLOOKUP(Tabla3[[#This Row],[Site]],'Important Info!'!$A$1:$J$135,9,FALSE)</f>
        <v>124</v>
      </c>
    </row>
    <row r="1457" spans="1:17" x14ac:dyDescent="0.25">
      <c r="A1457" t="str">
        <f>+Tabla3[[#This Row],[Site]]&amp;Tabla3[[#This Row],[Split]]</f>
        <v>(AS) Park Place MB Recon Center Dallas (NO TOURS)16</v>
      </c>
      <c r="B1457">
        <v>16</v>
      </c>
      <c r="C1457">
        <v>9</v>
      </c>
      <c r="D1457" t="s">
        <v>33</v>
      </c>
      <c r="E1457" t="s">
        <v>46</v>
      </c>
      <c r="F1457" t="s">
        <v>517</v>
      </c>
      <c r="G1457" t="s">
        <v>34</v>
      </c>
      <c r="H1457" s="52" t="str">
        <f>VLOOKUP(Tabla3[[#This Row],[Site]],'Important Info!'!$A$1:$J$135,10,FALSE)</f>
        <v>https://tools.sig.systems/site/details/170</v>
      </c>
      <c r="I1457" s="65" t="s">
        <v>125</v>
      </c>
      <c r="J1457" t="s">
        <v>41</v>
      </c>
      <c r="K1457" s="79" t="str">
        <f>VLOOKUP(Tabla3[[#This Row],[Site]],'Important Info!'!$A$1:$H$135,8,FALSE)</f>
        <v>-</v>
      </c>
      <c r="L1457" s="52" t="str">
        <f>VLOOKUP(Tabla3[[#This Row],[Site]],'Important Info!'!$A$1:$F$135,2,FALSE)</f>
        <v>3, 39</v>
      </c>
      <c r="M1457" s="52" t="str">
        <f>VLOOKUP(Tabla3[[#This Row],[Site]],'Important Info!'!$A$1:$F$135,3,FALSE)</f>
        <v>-</v>
      </c>
      <c r="N1457" s="52" t="str">
        <f>VLOOKUP(Tabla3[[#This Row],[Site]],'Important Info!'!$A$1:$F$135,4,FALSE)</f>
        <v>-</v>
      </c>
      <c r="O1457" s="52" t="str">
        <f>VLOOKUP(Tabla3[[#This Row],[Site]],'Important Info!'!$A$1:$F$135,5,FALSE)</f>
        <v>4, 11</v>
      </c>
      <c r="P1457" s="52">
        <f>VLOOKUP(Tabla3[[#This Row],[Site]],'Important Info!'!$A$1:$F$135,6,FALSE)</f>
        <v>1</v>
      </c>
      <c r="Q1457" s="91">
        <f>VLOOKUP(Tabla3[[#This Row],[Site]],'Important Info!'!$A$1:$J$135,9,FALSE)</f>
        <v>170</v>
      </c>
    </row>
    <row r="1458" spans="1:17" x14ac:dyDescent="0.25">
      <c r="A1458" t="str">
        <f>+Tabla3[[#This Row],[Site]]&amp;Tabla3[[#This Row],[Split]]</f>
        <v>(AS) Stevinson Lexus of Lakewood (NO TOURS)16</v>
      </c>
      <c r="B1458">
        <v>16</v>
      </c>
      <c r="C1458">
        <v>9</v>
      </c>
      <c r="D1458" t="s">
        <v>44</v>
      </c>
      <c r="E1458" t="s">
        <v>53</v>
      </c>
      <c r="F1458" t="s">
        <v>523</v>
      </c>
      <c r="G1458" t="s">
        <v>45</v>
      </c>
      <c r="H1458" s="52" t="str">
        <f>VLOOKUP(Tabla3[[#This Row],[Site]],'Important Info!'!$A$1:$J$135,10,FALSE)</f>
        <v>https://tools.sig.systems/site/details/260</v>
      </c>
      <c r="I1458" s="2" t="s">
        <v>154</v>
      </c>
      <c r="J1458" t="s">
        <v>41</v>
      </c>
      <c r="K1458" s="79" t="str">
        <f>VLOOKUP(Tabla3[[#This Row],[Site]],'Important Info!'!$A$1:$H$135,8,FALSE)</f>
        <v>-</v>
      </c>
      <c r="L1458" s="52" t="str">
        <f>VLOOKUP(Tabla3[[#This Row],[Site]],'Important Info!'!$A$1:$F$135,2,FALSE)</f>
        <v>-</v>
      </c>
      <c r="M1458" s="52" t="str">
        <f>VLOOKUP(Tabla3[[#This Row],[Site]],'Important Info!'!$A$1:$F$135,3,FALSE)</f>
        <v>2, 10</v>
      </c>
      <c r="N1458" s="52" t="str">
        <f>VLOOKUP(Tabla3[[#This Row],[Site]],'Important Info!'!$A$1:$F$135,4,FALSE)</f>
        <v>9, 17</v>
      </c>
      <c r="O1458" s="52" t="str">
        <f>VLOOKUP(Tabla3[[#This Row],[Site]],'Important Info!'!$A$1:$F$135,5,FALSE)</f>
        <v>-</v>
      </c>
      <c r="P1458" s="52" t="str">
        <f>VLOOKUP(Tabla3[[#This Row],[Site]],'Important Info!'!$A$1:$F$135,6,FALSE)</f>
        <v>1, 2</v>
      </c>
      <c r="Q1458" s="91">
        <f>VLOOKUP(Tabla3[[#This Row],[Site]],'Important Info!'!$A$1:$J$135,9,FALSE)</f>
        <v>260</v>
      </c>
    </row>
    <row r="1459" spans="1:17" x14ac:dyDescent="0.25">
      <c r="A1459" t="str">
        <f>+Tabla3[[#This Row],[Site]]&amp;Tabla3[[#This Row],[Split]]</f>
        <v>(ML) Ford Lincoln of North Little Rock16</v>
      </c>
      <c r="B1459">
        <v>16</v>
      </c>
      <c r="C1459">
        <v>9</v>
      </c>
      <c r="D1459" t="s">
        <v>33</v>
      </c>
      <c r="E1459" t="s">
        <v>46</v>
      </c>
      <c r="F1459" t="s">
        <v>145</v>
      </c>
      <c r="G1459" t="s">
        <v>34</v>
      </c>
      <c r="H1459" s="52" t="str">
        <f>VLOOKUP(Tabla3[[#This Row],[Site]],'Important Info!'!$A$1:$J$135,10,FALSE)</f>
        <v>https://tools.sig.systems/site/details/214</v>
      </c>
      <c r="I1459" s="2" t="s">
        <v>142</v>
      </c>
      <c r="J1459" t="s">
        <v>41</v>
      </c>
      <c r="K1459" s="79" t="str">
        <f>VLOOKUP(Tabla3[[#This Row],[Site]],'Important Info!'!$A$1:$H$135,8,FALSE)</f>
        <v>-</v>
      </c>
      <c r="L1459" s="52" t="str">
        <f>VLOOKUP(Tabla3[[#This Row],[Site]],'Important Info!'!$A$1:$F$135,2,FALSE)</f>
        <v>4, 15, 18, 67, 74</v>
      </c>
      <c r="M1459" s="52">
        <f>VLOOKUP(Tabla3[[#This Row],[Site]],'Important Info!'!$A$1:$F$135,3,FALSE)</f>
        <v>13</v>
      </c>
      <c r="N1459" s="52" t="str">
        <f>VLOOKUP(Tabla3[[#This Row],[Site]],'Important Info!'!$A$1:$F$135,4,FALSE)</f>
        <v>-</v>
      </c>
      <c r="O1459" s="52" t="str">
        <f>VLOOKUP(Tabla3[[#This Row],[Site]],'Important Info!'!$A$1:$F$135,5,FALSE)</f>
        <v>4, 11, 16, 28</v>
      </c>
      <c r="P1459" s="52" t="str">
        <f>VLOOKUP(Tabla3[[#This Row],[Site]],'Important Info!'!$A$1:$F$135,6,FALSE)</f>
        <v>10, 11, 12</v>
      </c>
      <c r="Q1459" s="91">
        <f>VLOOKUP(Tabla3[[#This Row],[Site]],'Important Info!'!$A$1:$J$135,9,FALSE)</f>
        <v>214</v>
      </c>
    </row>
    <row r="1460" spans="1:17" x14ac:dyDescent="0.25">
      <c r="A1460" t="str">
        <f>+Tabla3[[#This Row],[Site]]&amp;Tabla3[[#This Row],[Split]]</f>
        <v>(ML) Joe Machens Kia of Columbia16</v>
      </c>
      <c r="B1460">
        <v>16</v>
      </c>
      <c r="C1460">
        <v>9</v>
      </c>
      <c r="D1460" t="s">
        <v>33</v>
      </c>
      <c r="E1460" t="s">
        <v>46</v>
      </c>
      <c r="F1460" t="s">
        <v>149</v>
      </c>
      <c r="G1460" t="s">
        <v>34</v>
      </c>
      <c r="H1460" s="52" t="str">
        <f>VLOOKUP(Tabla3[[#This Row],[Site]],'Important Info!'!$A$1:$J$135,10,FALSE)</f>
        <v>https://tools.sig.systems/site/details/270</v>
      </c>
      <c r="I1460" s="43" t="s">
        <v>146</v>
      </c>
      <c r="J1460" t="s">
        <v>41</v>
      </c>
      <c r="K1460" s="79" t="str">
        <f>VLOOKUP(Tabla3[[#This Row],[Site]],'Important Info!'!$A$1:$H$135,8,FALSE)</f>
        <v>-</v>
      </c>
      <c r="L1460" s="52" t="str">
        <f>VLOOKUP(Tabla3[[#This Row],[Site]],'Important Info!'!$A$1:$F$135,2,FALSE)</f>
        <v>-</v>
      </c>
      <c r="M1460" s="52" t="str">
        <f>VLOOKUP(Tabla3[[#This Row],[Site]],'Important Info!'!$A$1:$F$135,3,FALSE)</f>
        <v>1, 2, 5, 6, 9, 13, 15</v>
      </c>
      <c r="N1460" s="52" t="str">
        <f>VLOOKUP(Tabla3[[#This Row],[Site]],'Important Info!'!$A$1:$F$135,4,FALSE)</f>
        <v>-</v>
      </c>
      <c r="O1460" s="52" t="str">
        <f>VLOOKUP(Tabla3[[#This Row],[Site]],'Important Info!'!$A$1:$F$135,5,FALSE)</f>
        <v>-</v>
      </c>
      <c r="P1460" s="52" t="str">
        <f>VLOOKUP(Tabla3[[#This Row],[Site]],'Important Info!'!$A$1:$F$135,6,FALSE)</f>
        <v>10, 11, 13</v>
      </c>
      <c r="Q1460" s="91">
        <f>VLOOKUP(Tabla3[[#This Row],[Site]],'Important Info!'!$A$1:$J$135,9,FALSE)</f>
        <v>270</v>
      </c>
    </row>
    <row r="1461" spans="1:17" x14ac:dyDescent="0.25">
      <c r="A1461" t="str">
        <f>+Tabla3[[#This Row],[Site]]&amp;Tabla3[[#This Row],[Split]]</f>
        <v>(SCH) Delray I &amp; II16</v>
      </c>
      <c r="B1461">
        <v>16</v>
      </c>
      <c r="C1461">
        <v>9</v>
      </c>
      <c r="D1461" t="s">
        <v>62</v>
      </c>
      <c r="E1461" t="s">
        <v>35</v>
      </c>
      <c r="F1461" t="s">
        <v>67</v>
      </c>
      <c r="G1461" t="s">
        <v>490</v>
      </c>
      <c r="H1461" s="52" t="str">
        <f>VLOOKUP(Tabla3[[#This Row],[Site]],'Important Info!'!$A$1:$J$135,10,FALSE)</f>
        <v>https://tools.sig.systems/site/details/159</v>
      </c>
      <c r="I1461" s="2"/>
      <c r="J1461" t="s">
        <v>36</v>
      </c>
      <c r="K1461" s="79" t="str">
        <f>VLOOKUP(Tabla3[[#This Row],[Site]],'Important Info!'!$A$1:$H$135,8,FALSE)</f>
        <v>-</v>
      </c>
      <c r="L1461" s="52" t="str">
        <f>VLOOKUP(Tabla3[[#This Row],[Site]],'Important Info!'!$A$1:$F$135,2,FALSE)</f>
        <v>5, 28, 31</v>
      </c>
      <c r="M1461" s="52" t="str">
        <f>VLOOKUP(Tabla3[[#This Row],[Site]],'Important Info!'!$A$1:$F$135,3,FALSE)</f>
        <v>1, 29</v>
      </c>
      <c r="N1461" s="52">
        <f>VLOOKUP(Tabla3[[#This Row],[Site]],'Important Info!'!$A$1:$F$135,4,FALSE)</f>
        <v>6</v>
      </c>
      <c r="O1461" s="52" t="str">
        <f>VLOOKUP(Tabla3[[#This Row],[Site]],'Important Info!'!$A$1:$F$135,5,FALSE)</f>
        <v>-</v>
      </c>
      <c r="P1461" s="52" t="str">
        <f>VLOOKUP(Tabla3[[#This Row],[Site]],'Important Info!'!$A$1:$F$135,6,FALSE)</f>
        <v>1, 35, 36</v>
      </c>
      <c r="Q1461" s="91">
        <f>VLOOKUP(Tabla3[[#This Row],[Site]],'Important Info!'!$A$1:$J$135,9,FALSE)</f>
        <v>159</v>
      </c>
    </row>
    <row r="1462" spans="1:17" x14ac:dyDescent="0.25">
      <c r="A1462" t="str">
        <f>+Tabla3[[#This Row],[Site]]&amp;Tabla3[[#This Row],[Split]]</f>
        <v>(WAG) Greeley Chrysler Dodge Jeep Ram (NO TOURS)16</v>
      </c>
      <c r="B1462">
        <v>16</v>
      </c>
      <c r="C1462">
        <v>9</v>
      </c>
      <c r="D1462" t="s">
        <v>44</v>
      </c>
      <c r="E1462" t="s">
        <v>53</v>
      </c>
      <c r="F1462" t="s">
        <v>497</v>
      </c>
      <c r="G1462" t="s">
        <v>45</v>
      </c>
      <c r="H1462" s="52" t="str">
        <f>VLOOKUP(Tabla3[[#This Row],[Site]],'Important Info!'!$A$1:$J$135,10,FALSE)</f>
        <v>https://tools.sig.systems/site/details/130</v>
      </c>
      <c r="I1462" s="43" t="s">
        <v>153</v>
      </c>
      <c r="J1462" t="s">
        <v>41</v>
      </c>
      <c r="K1462" s="79" t="str">
        <f>VLOOKUP(Tabla3[[#This Row],[Site]],'Important Info!'!$A$1:$H$135,8,FALSE)</f>
        <v>-</v>
      </c>
      <c r="L1462" s="52" t="str">
        <f>VLOOKUP(Tabla3[[#This Row],[Site]],'Important Info!'!$A$1:$F$135,2,FALSE)</f>
        <v>17, 23 &amp; 18</v>
      </c>
      <c r="M1462" s="52" t="str">
        <f>VLOOKUP(Tabla3[[#This Row],[Site]],'Important Info!'!$A$1:$F$135,3,FALSE)</f>
        <v>4, 5, 6, 7, 8, 51, 55</v>
      </c>
      <c r="N1462" s="52" t="str">
        <f>VLOOKUP(Tabla3[[#This Row],[Site]],'Important Info!'!$A$1:$F$135,4,FALSE)</f>
        <v>-</v>
      </c>
      <c r="O1462" s="52" t="str">
        <f>VLOOKUP(Tabla3[[#This Row],[Site]],'Important Info!'!$A$1:$F$135,5,FALSE)</f>
        <v>3, 13, 17, 49, 53, 59</v>
      </c>
      <c r="P1462" s="52" t="str">
        <f>VLOOKUP(Tabla3[[#This Row],[Site]],'Important Info!'!$A$1:$F$135,6,FALSE)</f>
        <v>8, 9, 10, 51, 62</v>
      </c>
      <c r="Q1462" s="91">
        <f>VLOOKUP(Tabla3[[#This Row],[Site]],'Important Info!'!$A$1:$J$135,9,FALSE)</f>
        <v>130</v>
      </c>
    </row>
    <row r="1463" spans="1:17" x14ac:dyDescent="0.25">
      <c r="A1463" t="str">
        <f>+Tabla3[[#This Row],[Site]]&amp;Tabla3[[#This Row],[Split]]</f>
        <v>(AS) Courtesy Kia of Brandon (NO TOURS)16</v>
      </c>
      <c r="B1463">
        <v>16</v>
      </c>
      <c r="C1463">
        <v>10</v>
      </c>
      <c r="D1463" t="s">
        <v>62</v>
      </c>
      <c r="E1463" t="s">
        <v>35</v>
      </c>
      <c r="F1463" t="s">
        <v>505</v>
      </c>
      <c r="G1463" t="s">
        <v>490</v>
      </c>
      <c r="H1463" s="52" t="str">
        <f>VLOOKUP(Tabla3[[#This Row],[Site]],'Important Info!'!$A$1:$J$135,10,FALSE)</f>
        <v>https://tools.sig.systems/site/details/121</v>
      </c>
      <c r="I1463" s="43" t="s">
        <v>181</v>
      </c>
      <c r="J1463" t="s">
        <v>484</v>
      </c>
      <c r="K1463" s="79" t="str">
        <f>VLOOKUP(Tabla3[[#This Row],[Site]],'Important Info!'!$A$1:$H$135,8,FALSE)</f>
        <v>-</v>
      </c>
      <c r="L1463" s="52" t="str">
        <f>VLOOKUP(Tabla3[[#This Row],[Site]],'Important Info!'!$A$1:$F$135,2,FALSE)</f>
        <v>-</v>
      </c>
      <c r="M1463" s="52" t="str">
        <f>VLOOKUP(Tabla3[[#This Row],[Site]],'Important Info!'!$A$1:$F$135,3,FALSE)</f>
        <v>4, 8</v>
      </c>
      <c r="N1463" s="52" t="str">
        <f>VLOOKUP(Tabla3[[#This Row],[Site]],'Important Info!'!$A$1:$F$135,4,FALSE)</f>
        <v>-</v>
      </c>
      <c r="O1463" s="52" t="str">
        <f>VLOOKUP(Tabla3[[#This Row],[Site]],'Important Info!'!$A$1:$F$135,5,FALSE)</f>
        <v>3, 11, 20, 24</v>
      </c>
      <c r="P1463" s="52" t="str">
        <f>VLOOKUP(Tabla3[[#This Row],[Site]],'Important Info!'!$A$1:$F$135,6,FALSE)</f>
        <v>2, 8</v>
      </c>
      <c r="Q1463" s="91">
        <f>VLOOKUP(Tabla3[[#This Row],[Site]],'Important Info!'!$A$1:$J$135,9,FALSE)</f>
        <v>121</v>
      </c>
    </row>
    <row r="1464" spans="1:17" x14ac:dyDescent="0.25">
      <c r="A1464" t="str">
        <f>+Tabla3[[#This Row],[Site]]&amp;Tabla3[[#This Row],[Split]]</f>
        <v>(AS) Nalley Luxury Collision Center (NO TOURS)16</v>
      </c>
      <c r="B1464">
        <v>16</v>
      </c>
      <c r="C1464">
        <v>10</v>
      </c>
      <c r="D1464" t="s">
        <v>62</v>
      </c>
      <c r="E1464" t="s">
        <v>35</v>
      </c>
      <c r="F1464" t="s">
        <v>512</v>
      </c>
      <c r="G1464" t="s">
        <v>490</v>
      </c>
      <c r="H1464" s="52" t="str">
        <f>VLOOKUP(Tabla3[[#This Row],[Site]],'Important Info!'!$A$1:$J$135,10,FALSE)</f>
        <v>https://tools.sig.systems/site/details/263</v>
      </c>
      <c r="I1464" s="2" t="s">
        <v>166</v>
      </c>
      <c r="J1464" t="s">
        <v>41</v>
      </c>
      <c r="K1464" s="79" t="str">
        <f>VLOOKUP(Tabla3[[#This Row],[Site]],'Important Info!'!$A$1:$H$135,8,FALSE)</f>
        <v>-</v>
      </c>
      <c r="L1464" s="52" t="str">
        <f>VLOOKUP(Tabla3[[#This Row],[Site]],'Important Info!'!$A$1:$F$135,2,FALSE)</f>
        <v>6, 13</v>
      </c>
      <c r="M1464" s="52" t="str">
        <f>VLOOKUP(Tabla3[[#This Row],[Site]],'Important Info!'!$A$1:$F$135,3,FALSE)</f>
        <v>-</v>
      </c>
      <c r="N1464" s="52" t="str">
        <f>VLOOKUP(Tabla3[[#This Row],[Site]],'Important Info!'!$A$1:$F$135,4,FALSE)</f>
        <v>-</v>
      </c>
      <c r="O1464" s="52" t="str">
        <f>VLOOKUP(Tabla3[[#This Row],[Site]],'Important Info!'!$A$1:$F$135,5,FALSE)</f>
        <v>-</v>
      </c>
      <c r="P1464" s="52" t="str">
        <f>VLOOKUP(Tabla3[[#This Row],[Site]],'Important Info!'!$A$1:$F$135,6,FALSE)</f>
        <v>6, 7, 12</v>
      </c>
      <c r="Q1464" s="91">
        <f>VLOOKUP(Tabla3[[#This Row],[Site]],'Important Info!'!$A$1:$J$135,9,FALSE)</f>
        <v>263</v>
      </c>
    </row>
    <row r="1465" spans="1:17" x14ac:dyDescent="0.25">
      <c r="A1465" t="str">
        <f>+Tabla3[[#This Row],[Site]]&amp;Tabla3[[#This Row],[Split]]</f>
        <v>(AS) Park Place Volvo Service Center (NO TOURS)16</v>
      </c>
      <c r="B1465">
        <v>16</v>
      </c>
      <c r="C1465">
        <v>10</v>
      </c>
      <c r="D1465" t="s">
        <v>33</v>
      </c>
      <c r="E1465" t="s">
        <v>46</v>
      </c>
      <c r="F1465" t="s">
        <v>522</v>
      </c>
      <c r="G1465" t="s">
        <v>34</v>
      </c>
      <c r="H1465" s="52" t="str">
        <f>VLOOKUP(Tabla3[[#This Row],[Site]],'Important Info!'!$A$1:$J$135,10,FALSE)</f>
        <v>https://tools.sig.systems/site/details/171</v>
      </c>
      <c r="I1465" s="65" t="s">
        <v>125</v>
      </c>
      <c r="J1465" t="s">
        <v>41</v>
      </c>
      <c r="K1465" s="79" t="str">
        <f>VLOOKUP(Tabla3[[#This Row],[Site]],'Important Info!'!$A$1:$H$135,8,FALSE)</f>
        <v>-</v>
      </c>
      <c r="L1465" s="52" t="str">
        <f>VLOOKUP(Tabla3[[#This Row],[Site]],'Important Info!'!$A$1:$F$135,2,FALSE)</f>
        <v>3, 6, 9, 27, 31, 35</v>
      </c>
      <c r="M1465" s="52" t="str">
        <f>VLOOKUP(Tabla3[[#This Row],[Site]],'Important Info!'!$A$1:$F$135,3,FALSE)</f>
        <v>-</v>
      </c>
      <c r="N1465" s="52" t="str">
        <f>VLOOKUP(Tabla3[[#This Row],[Site]],'Important Info!'!$A$1:$F$135,4,FALSE)</f>
        <v>-</v>
      </c>
      <c r="O1465" s="52" t="str">
        <f>VLOOKUP(Tabla3[[#This Row],[Site]],'Important Info!'!$A$1:$F$135,5,FALSE)</f>
        <v>27, 32</v>
      </c>
      <c r="P1465" s="52" t="str">
        <f>VLOOKUP(Tabla3[[#This Row],[Site]],'Important Info!'!$A$1:$F$135,6,FALSE)</f>
        <v>-</v>
      </c>
      <c r="Q1465" s="91">
        <f>VLOOKUP(Tabla3[[#This Row],[Site]],'Important Info!'!$A$1:$J$135,9,FALSE)</f>
        <v>171</v>
      </c>
    </row>
    <row r="1466" spans="1:17" x14ac:dyDescent="0.25">
      <c r="A1466" t="str">
        <f>+Tabla3[[#This Row],[Site]]&amp;Tabla3[[#This Row],[Split]]</f>
        <v>(SCH) West Palm Beach I, II &amp; III16</v>
      </c>
      <c r="B1466">
        <v>16</v>
      </c>
      <c r="C1466">
        <v>10</v>
      </c>
      <c r="D1466" t="s">
        <v>492</v>
      </c>
      <c r="E1466" t="s">
        <v>35</v>
      </c>
      <c r="F1466" t="s">
        <v>96</v>
      </c>
      <c r="G1466" t="s">
        <v>490</v>
      </c>
      <c r="H1466" s="52" t="str">
        <f>VLOOKUP(Tabla3[[#This Row],[Site]],'Important Info!'!$A$1:$J$135,10,FALSE)</f>
        <v>https://tools.sig.systems/site/details/162</v>
      </c>
      <c r="I1466" s="2"/>
      <c r="J1466" t="s">
        <v>36</v>
      </c>
      <c r="K1466" s="79" t="str">
        <f>VLOOKUP(Tabla3[[#This Row],[Site]],'Important Info!'!$A$1:$H$135,8,FALSE)</f>
        <v>SUNDAY: Log in at 5:30 p.m. ET.</v>
      </c>
      <c r="L1466" s="52" t="str">
        <f>VLOOKUP(Tabla3[[#This Row],[Site]],'Important Info!'!$A$1:$F$135,2,FALSE)</f>
        <v>34, 62</v>
      </c>
      <c r="M1466" s="52" t="str">
        <f>VLOOKUP(Tabla3[[#This Row],[Site]],'Important Info!'!$A$1:$F$135,3,FALSE)</f>
        <v xml:space="preserve">6, 7, 11, 13, </v>
      </c>
      <c r="N1466" s="52" t="str">
        <f>VLOOKUP(Tabla3[[#This Row],[Site]],'Important Info!'!$A$1:$F$135,4,FALSE)</f>
        <v>20, 21</v>
      </c>
      <c r="O1466" s="52" t="str">
        <f>VLOOKUP(Tabla3[[#This Row],[Site]],'Important Info!'!$A$1:$F$135,5,FALSE)</f>
        <v>-</v>
      </c>
      <c r="P1466" s="52" t="str">
        <f>VLOOKUP(Tabla3[[#This Row],[Site]],'Important Info!'!$A$1:$F$135,6,FALSE)</f>
        <v>1, 2, 3, 131, 132</v>
      </c>
      <c r="Q1466" s="91">
        <f>VLOOKUP(Tabla3[[#This Row],[Site]],'Important Info!'!$A$1:$J$135,9,FALSE)</f>
        <v>162</v>
      </c>
    </row>
    <row r="1467" spans="1:17" x14ac:dyDescent="0.25">
      <c r="A1467" t="str">
        <f>+Tabla3[[#This Row],[Site]]&amp;Tabla3[[#This Row],[Split]]</f>
        <v>(AS) David McDavid Lincoln Frisco (NO TOURS)16</v>
      </c>
      <c r="B1467">
        <v>16</v>
      </c>
      <c r="C1467">
        <v>11</v>
      </c>
      <c r="D1467" t="s">
        <v>33</v>
      </c>
      <c r="E1467" t="s">
        <v>46</v>
      </c>
      <c r="F1467" t="s">
        <v>507</v>
      </c>
      <c r="G1467" t="s">
        <v>34</v>
      </c>
      <c r="H1467" s="52" t="str">
        <f>VLOOKUP(Tabla3[[#This Row],[Site]],'Important Info!'!$A$1:$J$135,10,FALSE)</f>
        <v>https://tools.sig.systems/site/details/182</v>
      </c>
      <c r="I1467" s="2"/>
      <c r="J1467" t="s">
        <v>41</v>
      </c>
      <c r="K1467" s="79" t="str">
        <f>VLOOKUP(Tabla3[[#This Row],[Site]],'Important Info!'!$A$1:$H$135,8,FALSE)</f>
        <v>-</v>
      </c>
      <c r="L1467" s="52" t="str">
        <f>VLOOKUP(Tabla3[[#This Row],[Site]],'Important Info!'!$A$1:$F$135,2,FALSE)</f>
        <v>1, 2, 11</v>
      </c>
      <c r="M1467" s="52" t="str">
        <f>VLOOKUP(Tabla3[[#This Row],[Site]],'Important Info!'!$A$1:$F$135,3,FALSE)</f>
        <v>-</v>
      </c>
      <c r="N1467" s="52" t="str">
        <f>VLOOKUP(Tabla3[[#This Row],[Site]],'Important Info!'!$A$1:$F$135,4,FALSE)</f>
        <v>-</v>
      </c>
      <c r="O1467" s="52" t="str">
        <f>VLOOKUP(Tabla3[[#This Row],[Site]],'Important Info!'!$A$1:$F$135,5,FALSE)</f>
        <v>11, 16, 20</v>
      </c>
      <c r="P1467" s="52" t="str">
        <f>VLOOKUP(Tabla3[[#This Row],[Site]],'Important Info!'!$A$1:$F$135,6,FALSE)</f>
        <v>11, 12, 13, 14</v>
      </c>
      <c r="Q1467" s="91">
        <f>VLOOKUP(Tabla3[[#This Row],[Site]],'Important Info!'!$A$1:$J$135,9,FALSE)</f>
        <v>182</v>
      </c>
    </row>
    <row r="1468" spans="1:17" x14ac:dyDescent="0.25">
      <c r="A1468" t="str">
        <f>+Tabla3[[#This Row],[Site]]&amp;Tabla3[[#This Row],[Split]]</f>
        <v>(AS) Lexus Smyrna (NO TOURS)16</v>
      </c>
      <c r="B1468">
        <v>16</v>
      </c>
      <c r="C1468">
        <v>11</v>
      </c>
      <c r="D1468" t="s">
        <v>62</v>
      </c>
      <c r="E1468" t="s">
        <v>35</v>
      </c>
      <c r="F1468" t="s">
        <v>84</v>
      </c>
      <c r="G1468" t="s">
        <v>490</v>
      </c>
      <c r="H1468" s="52" t="str">
        <f>VLOOKUP(Tabla3[[#This Row],[Site]],'Important Info!'!$A$1:$J$135,10,FALSE)</f>
        <v>https://tools.sig.systems/site/details/133</v>
      </c>
      <c r="I1468" s="43"/>
      <c r="J1468" t="s">
        <v>41</v>
      </c>
      <c r="K1468" s="79" t="str">
        <f>VLOOKUP(Tabla3[[#This Row],[Site]],'Important Info!'!$A$1:$H$135,8,FALSE)</f>
        <v>-</v>
      </c>
      <c r="L1468" s="52" t="str">
        <f>VLOOKUP(Tabla3[[#This Row],[Site]],'Important Info!'!$A$1:$F$135,2,FALSE)</f>
        <v xml:space="preserve">2, 6, 10 </v>
      </c>
      <c r="M1468" s="52" t="str">
        <f>VLOOKUP(Tabla3[[#This Row],[Site]],'Important Info!'!$A$1:$F$135,3,FALSE)</f>
        <v>-</v>
      </c>
      <c r="N1468" s="52" t="str">
        <f>VLOOKUP(Tabla3[[#This Row],[Site]],'Important Info!'!$A$1:$F$135,4,FALSE)</f>
        <v>-</v>
      </c>
      <c r="O1468" s="52" t="str">
        <f>VLOOKUP(Tabla3[[#This Row],[Site]],'Important Info!'!$A$1:$F$135,5,FALSE)</f>
        <v>3, 5, 10, 15</v>
      </c>
      <c r="P1468" s="52" t="str">
        <f>VLOOKUP(Tabla3[[#This Row],[Site]],'Important Info!'!$A$1:$F$135,6,FALSE)</f>
        <v>10, 11</v>
      </c>
      <c r="Q1468" s="91">
        <f>VLOOKUP(Tabla3[[#This Row],[Site]],'Important Info!'!$A$1:$J$135,9,FALSE)</f>
        <v>133</v>
      </c>
    </row>
    <row r="1469" spans="1:17" x14ac:dyDescent="0.25">
      <c r="A1469" t="str">
        <f>+Tabla3[[#This Row],[Site]]&amp;Tabla3[[#This Row],[Split]]</f>
        <v>(AS) Nalley BMW Collision Center (NO TOURS)16</v>
      </c>
      <c r="B1469">
        <v>16</v>
      </c>
      <c r="C1469">
        <v>11</v>
      </c>
      <c r="D1469" t="s">
        <v>62</v>
      </c>
      <c r="E1469" t="s">
        <v>35</v>
      </c>
      <c r="F1469" t="s">
        <v>510</v>
      </c>
      <c r="G1469" t="s">
        <v>490</v>
      </c>
      <c r="H1469" s="52" t="str">
        <f>VLOOKUP(Tabla3[[#This Row],[Site]],'Important Info!'!$A$1:$J$135,10,FALSE)</f>
        <v>https://tools.sig.systems/site/details/220</v>
      </c>
      <c r="I1469" s="43"/>
      <c r="J1469" t="s">
        <v>41</v>
      </c>
      <c r="K1469" s="79" t="str">
        <f>VLOOKUP(Tabla3[[#This Row],[Site]],'Important Info!'!$A$1:$H$135,8,FALSE)</f>
        <v>-</v>
      </c>
      <c r="L1469" s="52" t="str">
        <f>VLOOKUP(Tabla3[[#This Row],[Site]],'Important Info!'!$A$1:$F$135,2,FALSE)</f>
        <v>-</v>
      </c>
      <c r="M1469" s="52">
        <f>VLOOKUP(Tabla3[[#This Row],[Site]],'Important Info!'!$A$1:$F$135,3,FALSE)</f>
        <v>4</v>
      </c>
      <c r="N1469" s="52" t="str">
        <f>VLOOKUP(Tabla3[[#This Row],[Site]],'Important Info!'!$A$1:$F$135,4,FALSE)</f>
        <v>-</v>
      </c>
      <c r="O1469" s="52">
        <f>VLOOKUP(Tabla3[[#This Row],[Site]],'Important Info!'!$A$1:$F$135,5,FALSE)</f>
        <v>12</v>
      </c>
      <c r="P1469" s="52" t="str">
        <f>VLOOKUP(Tabla3[[#This Row],[Site]],'Important Info!'!$A$1:$F$135,6,FALSE)</f>
        <v>13, 15</v>
      </c>
      <c r="Q1469" s="91">
        <f>VLOOKUP(Tabla3[[#This Row],[Site]],'Important Info!'!$A$1:$J$135,9,FALSE)</f>
        <v>220</v>
      </c>
    </row>
    <row r="1470" spans="1:17" x14ac:dyDescent="0.25">
      <c r="A1470" t="str">
        <f>+Tabla3[[#This Row],[Site]]&amp;Tabla3[[#This Row],[Split]]</f>
        <v>(DT) Albuquerque16</v>
      </c>
      <c r="B1470">
        <v>16</v>
      </c>
      <c r="C1470">
        <v>11</v>
      </c>
      <c r="D1470" t="s">
        <v>44</v>
      </c>
      <c r="E1470" t="s">
        <v>53</v>
      </c>
      <c r="F1470" t="s">
        <v>155</v>
      </c>
      <c r="G1470" t="s">
        <v>45</v>
      </c>
      <c r="H1470" s="52" t="str">
        <f>VLOOKUP(Tabla3[[#This Row],[Site]],'Important Info!'!$A$1:$J$135,10,FALSE)</f>
        <v>https://tools.sig.systems/site/details/237</v>
      </c>
      <c r="J1470" t="s">
        <v>41</v>
      </c>
      <c r="K1470" s="79" t="str">
        <f>VLOOKUP(Tabla3[[#This Row],[Site]],'Important Info!'!$A$1:$H$135,8,FALSE)</f>
        <v>-</v>
      </c>
      <c r="L1470" s="52" t="str">
        <f>VLOOKUP(Tabla3[[#This Row],[Site]],'Important Info!'!$A$1:$F$135,2,FALSE)</f>
        <v>14, 16</v>
      </c>
      <c r="M1470" s="52" t="str">
        <f>VLOOKUP(Tabla3[[#This Row],[Site]],'Important Info!'!$A$1:$F$135,3,FALSE)</f>
        <v>-</v>
      </c>
      <c r="N1470" s="52" t="str">
        <f>VLOOKUP(Tabla3[[#This Row],[Site]],'Important Info!'!$A$1:$F$135,4,FALSE)</f>
        <v>-</v>
      </c>
      <c r="O1470" s="52" t="str">
        <f>VLOOKUP(Tabla3[[#This Row],[Site]],'Important Info!'!$A$1:$F$135,5,FALSE)</f>
        <v>14, 15</v>
      </c>
      <c r="P1470" s="52" t="str">
        <f>VLOOKUP(Tabla3[[#This Row],[Site]],'Important Info!'!$A$1:$F$135,6,FALSE)</f>
        <v>12, 14, 16</v>
      </c>
      <c r="Q1470" s="91">
        <f>VLOOKUP(Tabla3[[#This Row],[Site]],'Important Info!'!$A$1:$J$135,9,FALSE)</f>
        <v>237</v>
      </c>
    </row>
    <row r="1471" spans="1:17" x14ac:dyDescent="0.25">
      <c r="A1471" t="str">
        <f>+Tabla3[[#This Row],[Site]]&amp;Tabla3[[#This Row],[Split]]</f>
        <v>(ML) Mazda VW-Lot B16</v>
      </c>
      <c r="B1471">
        <v>16</v>
      </c>
      <c r="C1471">
        <v>11</v>
      </c>
      <c r="D1471" t="s">
        <v>33</v>
      </c>
      <c r="E1471" t="s">
        <v>46</v>
      </c>
      <c r="F1471" t="s">
        <v>9</v>
      </c>
      <c r="G1471" t="s">
        <v>34</v>
      </c>
      <c r="H1471" s="52" t="str">
        <f>VLOOKUP(Tabla3[[#This Row],[Site]],'Important Info!'!$A$1:$J$135,10,FALSE)</f>
        <v>https://tools.sig.systems/site/details/205</v>
      </c>
      <c r="I1471" s="2" t="s">
        <v>142</v>
      </c>
      <c r="J1471" t="s">
        <v>41</v>
      </c>
      <c r="K1471" s="79" t="str">
        <f>VLOOKUP(Tabla3[[#This Row],[Site]],'Important Info!'!$A$1:$H$135,8,FALSE)</f>
        <v>-</v>
      </c>
      <c r="L1471" s="52" t="str">
        <f>VLOOKUP(Tabla3[[#This Row],[Site]],'Important Info!'!$A$1:$F$135,2,FALSE)</f>
        <v>9, 14, 16</v>
      </c>
      <c r="M1471" s="52">
        <f>VLOOKUP(Tabla3[[#This Row],[Site]],'Important Info!'!$A$1:$F$135,3,FALSE)</f>
        <v>1</v>
      </c>
      <c r="N1471" s="52" t="str">
        <f>VLOOKUP(Tabla3[[#This Row],[Site]],'Important Info!'!$A$1:$F$135,4,FALSE)</f>
        <v>-</v>
      </c>
      <c r="O1471" s="52">
        <f>VLOOKUP(Tabla3[[#This Row],[Site]],'Important Info!'!$A$1:$F$135,5,FALSE)</f>
        <v>4</v>
      </c>
      <c r="P1471" s="52" t="str">
        <f>VLOOKUP(Tabla3[[#This Row],[Site]],'Important Info!'!$A$1:$F$135,6,FALSE)</f>
        <v>-</v>
      </c>
      <c r="Q1471" s="91">
        <f>VLOOKUP(Tabla3[[#This Row],[Site]],'Important Info!'!$A$1:$J$135,9,FALSE)</f>
        <v>205</v>
      </c>
    </row>
    <row r="1472" spans="1:17" x14ac:dyDescent="0.25">
      <c r="A1472" t="str">
        <f>+Tabla3[[#This Row],[Site]]&amp;Tabla3[[#This Row],[Split]]</f>
        <v>(ML) Volvo Collision Corp16</v>
      </c>
      <c r="B1472">
        <v>16</v>
      </c>
      <c r="C1472">
        <v>11</v>
      </c>
      <c r="D1472" t="s">
        <v>33</v>
      </c>
      <c r="E1472" t="s">
        <v>46</v>
      </c>
      <c r="F1472" t="s">
        <v>106</v>
      </c>
      <c r="G1472" t="s">
        <v>34</v>
      </c>
      <c r="H1472" s="52" t="str">
        <f>VLOOKUP(Tabla3[[#This Row],[Site]],'Important Info!'!$A$1:$J$135,10,FALSE)</f>
        <v>https://tools.sig.systems/site/details/223</v>
      </c>
      <c r="I1472" s="43"/>
      <c r="J1472" t="s">
        <v>41</v>
      </c>
      <c r="K1472" s="79" t="str">
        <f>VLOOKUP(Tabla3[[#This Row],[Site]],'Important Info!'!$A$1:$H$135,8,FALSE)</f>
        <v>-</v>
      </c>
      <c r="L1472" s="52" t="str">
        <f>VLOOKUP(Tabla3[[#This Row],[Site]],'Important Info!'!$A$1:$F$135,2,FALSE)</f>
        <v>7, 11</v>
      </c>
      <c r="M1472" s="52">
        <f>VLOOKUP(Tabla3[[#This Row],[Site]],'Important Info!'!$A$1:$F$135,3,FALSE)</f>
        <v>4</v>
      </c>
      <c r="N1472" s="52" t="str">
        <f>VLOOKUP(Tabla3[[#This Row],[Site]],'Important Info!'!$A$1:$F$135,4,FALSE)</f>
        <v>-</v>
      </c>
      <c r="O1472" s="52">
        <f>VLOOKUP(Tabla3[[#This Row],[Site]],'Important Info!'!$A$1:$F$135,5,FALSE)</f>
        <v>18</v>
      </c>
      <c r="P1472" s="52" t="str">
        <f>VLOOKUP(Tabla3[[#This Row],[Site]],'Important Info!'!$A$1:$F$135,6,FALSE)</f>
        <v>-</v>
      </c>
      <c r="Q1472" s="91">
        <f>VLOOKUP(Tabla3[[#This Row],[Site]],'Important Info!'!$A$1:$J$135,9,FALSE)</f>
        <v>223</v>
      </c>
    </row>
    <row r="1473" spans="1:17" x14ac:dyDescent="0.25">
      <c r="A1473" t="str">
        <f>+Tabla3[[#This Row],[Site]]&amp;Tabla3[[#This Row],[Split]]</f>
        <v>(PE) Fairfield Collision (NO TOURS)16</v>
      </c>
      <c r="B1473">
        <v>16</v>
      </c>
      <c r="C1473">
        <v>11</v>
      </c>
      <c r="D1473" t="s">
        <v>485</v>
      </c>
      <c r="E1473" t="s">
        <v>35</v>
      </c>
      <c r="F1473" t="s">
        <v>63</v>
      </c>
      <c r="G1473" t="s">
        <v>490</v>
      </c>
      <c r="H1473" s="52" t="str">
        <f>VLOOKUP(Tabla3[[#This Row],[Site]],'Important Info!'!$A$1:$J$135,10,FALSE)</f>
        <v>https://tools.sig.systems/site/details/191</v>
      </c>
      <c r="J1473" t="s">
        <v>41</v>
      </c>
      <c r="K1473" s="79" t="str">
        <f>VLOOKUP(Tabla3[[#This Row],[Site]],'Important Info!'!$A$1:$H$135,8,FALSE)</f>
        <v>-</v>
      </c>
      <c r="L1473" s="52">
        <f>VLOOKUP(Tabla3[[#This Row],[Site]],'Important Info!'!$A$1:$F$135,2,FALSE)</f>
        <v>4</v>
      </c>
      <c r="M1473" s="52" t="str">
        <f>VLOOKUP(Tabla3[[#This Row],[Site]],'Important Info!'!$A$1:$F$135,3,FALSE)</f>
        <v>-</v>
      </c>
      <c r="N1473" s="52" t="str">
        <f>VLOOKUP(Tabla3[[#This Row],[Site]],'Important Info!'!$A$1:$F$135,4,FALSE)</f>
        <v>-</v>
      </c>
      <c r="O1473" s="52" t="str">
        <f>VLOOKUP(Tabla3[[#This Row],[Site]],'Important Info!'!$A$1:$F$135,5,FALSE)</f>
        <v>-</v>
      </c>
      <c r="P1473" s="52" t="str">
        <f>VLOOKUP(Tabla3[[#This Row],[Site]],'Important Info!'!$A$1:$F$135,6,FALSE)</f>
        <v>1, 2, 3, 4, 5, 6</v>
      </c>
      <c r="Q1473" s="91">
        <f>VLOOKUP(Tabla3[[#This Row],[Site]],'Important Info!'!$A$1:$J$135,9,FALSE)</f>
        <v>191</v>
      </c>
    </row>
    <row r="1474" spans="1:17" x14ac:dyDescent="0.25">
      <c r="A1474" t="str">
        <f>+Tabla3[[#This Row],[Site]]&amp;Tabla3[[#This Row],[Split]]</f>
        <v>(AS) David McDavid Honda I &amp; II (NO TOURS)16</v>
      </c>
      <c r="B1474">
        <v>16</v>
      </c>
      <c r="C1474">
        <v>12</v>
      </c>
      <c r="D1474" t="s">
        <v>33</v>
      </c>
      <c r="E1474" t="s">
        <v>46</v>
      </c>
      <c r="F1474" t="s">
        <v>506</v>
      </c>
      <c r="G1474" t="s">
        <v>34</v>
      </c>
      <c r="H1474" s="52" t="str">
        <f>VLOOKUP(Tabla3[[#This Row],[Site]],'Important Info!'!$A$1:$J$135,10,FALSE)</f>
        <v>https://tools.sig.systems/site/details/129</v>
      </c>
      <c r="J1474" t="s">
        <v>41</v>
      </c>
      <c r="K1474" s="79" t="str">
        <f>VLOOKUP(Tabla3[[#This Row],[Site]],'Important Info!'!$A$1:$H$135,8,FALSE)</f>
        <v>-</v>
      </c>
      <c r="L1474" s="52" t="str">
        <f>VLOOKUP(Tabla3[[#This Row],[Site]],'Important Info!'!$A$1:$F$135,2,FALSE)</f>
        <v>-</v>
      </c>
      <c r="M1474" s="52" t="str">
        <f>VLOOKUP(Tabla3[[#This Row],[Site]],'Important Info!'!$A$1:$F$135,3,FALSE)</f>
        <v>3, 19, 23, 32, 35</v>
      </c>
      <c r="N1474" s="52" t="str">
        <f>VLOOKUP(Tabla3[[#This Row],[Site]],'Important Info!'!$A$1:$F$135,4,FALSE)</f>
        <v>-</v>
      </c>
      <c r="O1474" s="52" t="str">
        <f>VLOOKUP(Tabla3[[#This Row],[Site]],'Important Info!'!$A$1:$F$135,5,FALSE)</f>
        <v>2, 6, 9, 19, 25, 30, 48</v>
      </c>
      <c r="P1474" s="52" t="str">
        <f>VLOOKUP(Tabla3[[#This Row],[Site]],'Important Info!'!$A$1:$F$135,6,FALSE)</f>
        <v>25, 26, 35, 36, 37</v>
      </c>
      <c r="Q1474" s="91">
        <f>VLOOKUP(Tabla3[[#This Row],[Site]],'Important Info!'!$A$1:$J$135,9,FALSE)</f>
        <v>129</v>
      </c>
    </row>
    <row r="1475" spans="1:17" x14ac:dyDescent="0.25">
      <c r="A1475" t="str">
        <f>+Tabla3[[#This Row],[Site]]&amp;Tabla3[[#This Row],[Split]]</f>
        <v>(KG) Kia of Phoenix (NO TOURS)16</v>
      </c>
      <c r="B1475">
        <v>16</v>
      </c>
      <c r="C1475">
        <v>12</v>
      </c>
      <c r="D1475" t="s">
        <v>51</v>
      </c>
      <c r="E1475" t="s">
        <v>161</v>
      </c>
      <c r="F1475" t="s">
        <v>94</v>
      </c>
      <c r="G1475" t="s">
        <v>52</v>
      </c>
      <c r="H1475" s="52" t="str">
        <f>VLOOKUP(Tabla3[[#This Row],[Site]],'Important Info!'!$A$1:$J$135,10,FALSE)</f>
        <v>https://tools.sig.systems/site/details/262</v>
      </c>
      <c r="J1475" t="s">
        <v>162</v>
      </c>
      <c r="K1475" s="79" t="str">
        <f>VLOOKUP(Tabla3[[#This Row],[Site]],'Important Info!'!$A$1:$H$135,8,FALSE)</f>
        <v>-</v>
      </c>
      <c r="L1475" s="52" t="str">
        <f>VLOOKUP(Tabla3[[#This Row],[Site]],'Important Info!'!$A$1:$F$135,2,FALSE)</f>
        <v>5, 8, 23</v>
      </c>
      <c r="M1475" s="52" t="str">
        <f>VLOOKUP(Tabla3[[#This Row],[Site]],'Important Info!'!$A$1:$F$135,3,FALSE)</f>
        <v>-</v>
      </c>
      <c r="N1475" s="52" t="str">
        <f>VLOOKUP(Tabla3[[#This Row],[Site]],'Important Info!'!$A$1:$F$135,4,FALSE)</f>
        <v>-</v>
      </c>
      <c r="O1475" s="52">
        <f>VLOOKUP(Tabla3[[#This Row],[Site]],'Important Info!'!$A$1:$F$135,5,FALSE)</f>
        <v>4</v>
      </c>
      <c r="P1475" s="52" t="str">
        <f>VLOOKUP(Tabla3[[#This Row],[Site]],'Important Info!'!$A$1:$F$135,6,FALSE)</f>
        <v>-</v>
      </c>
      <c r="Q1475" s="91">
        <f>VLOOKUP(Tabla3[[#This Row],[Site]],'Important Info!'!$A$1:$J$135,9,FALSE)</f>
        <v>262</v>
      </c>
    </row>
    <row r="1476" spans="1:17" x14ac:dyDescent="0.25">
      <c r="A1476" t="str">
        <f>+Tabla3[[#This Row],[Site]]&amp;Tabla3[[#This Row],[Split]]</f>
        <v>(KT) Northwest CDJR (NO TOURS)16</v>
      </c>
      <c r="B1476">
        <v>16</v>
      </c>
      <c r="C1476">
        <v>12</v>
      </c>
      <c r="D1476" t="s">
        <v>33</v>
      </c>
      <c r="E1476" t="s">
        <v>46</v>
      </c>
      <c r="F1476" t="s">
        <v>77</v>
      </c>
      <c r="G1476" t="s">
        <v>34</v>
      </c>
      <c r="H1476" s="52" t="str">
        <f>VLOOKUP(Tabla3[[#This Row],[Site]],'Important Info!'!$A$1:$J$135,10,FALSE)</f>
        <v>https://tools.sig.systems/site/details/229</v>
      </c>
      <c r="I1476" s="2"/>
      <c r="J1476" t="s">
        <v>41</v>
      </c>
      <c r="K1476" s="79" t="str">
        <f>VLOOKUP(Tabla3[[#This Row],[Site]],'Important Info!'!$A$1:$H$135,8,FALSE)</f>
        <v>-</v>
      </c>
      <c r="L1476" s="52" t="str">
        <f>VLOOKUP(Tabla3[[#This Row],[Site]],'Important Info!'!$A$1:$F$135,2,FALSE)</f>
        <v>1, 3, 11, 25</v>
      </c>
      <c r="M1476" s="52" t="str">
        <f>VLOOKUP(Tabla3[[#This Row],[Site]],'Important Info!'!$A$1:$F$135,3,FALSE)</f>
        <v>-</v>
      </c>
      <c r="N1476" s="52" t="str">
        <f>VLOOKUP(Tabla3[[#This Row],[Site]],'Important Info!'!$A$1:$F$135,4,FALSE)</f>
        <v>-</v>
      </c>
      <c r="O1476" s="52" t="str">
        <f>VLOOKUP(Tabla3[[#This Row],[Site]],'Important Info!'!$A$1:$F$135,5,FALSE)</f>
        <v>4, 12, 18</v>
      </c>
      <c r="P1476" s="52" t="str">
        <f>VLOOKUP(Tabla3[[#This Row],[Site]],'Important Info!'!$A$1:$F$135,6,FALSE)</f>
        <v>-</v>
      </c>
      <c r="Q1476" s="91">
        <f>VLOOKUP(Tabla3[[#This Row],[Site]],'Important Info!'!$A$1:$J$135,9,FALSE)</f>
        <v>229</v>
      </c>
    </row>
    <row r="1477" spans="1:17" x14ac:dyDescent="0.25">
      <c r="A1477" t="str">
        <f>+Tabla3[[#This Row],[Site]]&amp;Tabla3[[#This Row],[Split]]</f>
        <v>(MK) McKenny Salinas Honda16</v>
      </c>
      <c r="B1477">
        <v>16</v>
      </c>
      <c r="C1477">
        <v>12</v>
      </c>
      <c r="D1477" t="s">
        <v>62</v>
      </c>
      <c r="E1477" t="s">
        <v>35</v>
      </c>
      <c r="F1477" t="s">
        <v>115</v>
      </c>
      <c r="G1477" t="s">
        <v>490</v>
      </c>
      <c r="H1477" s="52" t="str">
        <f>VLOOKUP(Tabla3[[#This Row],[Site]],'Important Info!'!$A$1:$J$135,10,FALSE)</f>
        <v>https://tools.sig.systems/site/details/149</v>
      </c>
      <c r="J1477" t="s">
        <v>41</v>
      </c>
      <c r="K1477" s="79" t="str">
        <f>VLOOKUP(Tabla3[[#This Row],[Site]],'Important Info!'!$A$1:$H$135,8,FALSE)</f>
        <v>-</v>
      </c>
      <c r="L1477" s="52" t="str">
        <f>VLOOKUP(Tabla3[[#This Row],[Site]],'Important Info!'!$A$1:$F$135,2,FALSE)</f>
        <v>-</v>
      </c>
      <c r="M1477" s="52" t="str">
        <f>VLOOKUP(Tabla3[[#This Row],[Site]],'Important Info!'!$A$1:$F$135,3,FALSE)</f>
        <v>12, 16</v>
      </c>
      <c r="N1477" s="52" t="str">
        <f>VLOOKUP(Tabla3[[#This Row],[Site]],'Important Info!'!$A$1:$F$135,4,FALSE)</f>
        <v>-</v>
      </c>
      <c r="O1477" s="52" t="str">
        <f>VLOOKUP(Tabla3[[#This Row],[Site]],'Important Info!'!$A$1:$F$135,5,FALSE)</f>
        <v>-</v>
      </c>
      <c r="P1477" s="52" t="str">
        <f>VLOOKUP(Tabla3[[#This Row],[Site]],'Important Info!'!$A$1:$F$135,6,FALSE)</f>
        <v>3, 4, 5, 6, 16</v>
      </c>
      <c r="Q1477" s="91">
        <f>VLOOKUP(Tabla3[[#This Row],[Site]],'Important Info!'!$A$1:$J$135,9,FALSE)</f>
        <v>149</v>
      </c>
    </row>
    <row r="1478" spans="1:17" x14ac:dyDescent="0.25">
      <c r="A1478" t="str">
        <f>+Tabla3[[#This Row],[Site]]&amp;Tabla3[[#This Row],[Split]]</f>
        <v>(ML) Joe Machens Capital City I &amp; II (NO TOURS)16</v>
      </c>
      <c r="B1478">
        <v>16</v>
      </c>
      <c r="C1478">
        <v>12</v>
      </c>
      <c r="D1478" t="s">
        <v>33</v>
      </c>
      <c r="E1478" t="s">
        <v>46</v>
      </c>
      <c r="F1478" t="s">
        <v>72</v>
      </c>
      <c r="G1478" t="s">
        <v>34</v>
      </c>
      <c r="H1478" s="52" t="str">
        <f>VLOOKUP(Tabla3[[#This Row],[Site]],'Important Info!'!$A$1:$J$135,10,FALSE)</f>
        <v>https://tools.sig.systems/site/details/271</v>
      </c>
      <c r="I1478" s="2"/>
      <c r="J1478" t="s">
        <v>41</v>
      </c>
      <c r="K1478" s="79" t="str">
        <f>VLOOKUP(Tabla3[[#This Row],[Site]],'Important Info!'!$A$1:$H$135,8,FALSE)</f>
        <v>-</v>
      </c>
      <c r="L1478" s="52" t="str">
        <f>VLOOKUP(Tabla3[[#This Row],[Site]],'Important Info!'!$A$1:$F$135,2,FALSE)</f>
        <v>-</v>
      </c>
      <c r="M1478" s="52" t="str">
        <f>VLOOKUP(Tabla3[[#This Row],[Site]],'Important Info!'!$A$1:$F$135,3,FALSE)</f>
        <v>1, 3, 4, 20, 25, 27, 28</v>
      </c>
      <c r="N1478" s="52" t="str">
        <f>VLOOKUP(Tabla3[[#This Row],[Site]],'Important Info!'!$A$1:$F$135,4,FALSE)</f>
        <v>-</v>
      </c>
      <c r="O1478" s="52">
        <f>VLOOKUP(Tabla3[[#This Row],[Site]],'Important Info!'!$A$1:$F$135,5,FALSE)</f>
        <v>29</v>
      </c>
      <c r="P1478" s="52" t="str">
        <f>VLOOKUP(Tabla3[[#This Row],[Site]],'Important Info!'!$A$1:$F$135,6,FALSE)</f>
        <v>19, 20</v>
      </c>
      <c r="Q1478" s="91">
        <f>VLOOKUP(Tabla3[[#This Row],[Site]],'Important Info!'!$A$1:$J$135,9,FALSE)</f>
        <v>271</v>
      </c>
    </row>
    <row r="1479" spans="1:17" x14ac:dyDescent="0.25">
      <c r="A1479" t="str">
        <f>+Tabla3[[#This Row],[Site]]&amp;Tabla3[[#This Row],[Split]]</f>
        <v>(ML) Nissan Of Benton16</v>
      </c>
      <c r="B1479">
        <v>16</v>
      </c>
      <c r="C1479">
        <v>12</v>
      </c>
      <c r="D1479" t="s">
        <v>33</v>
      </c>
      <c r="E1479" t="s">
        <v>46</v>
      </c>
      <c r="F1479" t="s">
        <v>120</v>
      </c>
      <c r="G1479" t="s">
        <v>34</v>
      </c>
      <c r="H1479" s="52" t="str">
        <f>VLOOKUP(Tabla3[[#This Row],[Site]],'Important Info!'!$A$1:$J$135,10,FALSE)</f>
        <v>https://tools.sig.systems/site/details/247</v>
      </c>
      <c r="I1479" s="2"/>
      <c r="J1479" t="s">
        <v>41</v>
      </c>
      <c r="K1479" s="79" t="str">
        <f>VLOOKUP(Tabla3[[#This Row],[Site]],'Important Info!'!$A$1:$H$135,8,FALSE)</f>
        <v>-</v>
      </c>
      <c r="L1479" s="52" t="str">
        <f>VLOOKUP(Tabla3[[#This Row],[Site]],'Important Info!'!$A$1:$F$135,2,FALSE)</f>
        <v>5, 12</v>
      </c>
      <c r="M1479" s="52" t="str">
        <f>VLOOKUP(Tabla3[[#This Row],[Site]],'Important Info!'!$A$1:$F$135,3,FALSE)</f>
        <v>-</v>
      </c>
      <c r="N1479" s="52" t="str">
        <f>VLOOKUP(Tabla3[[#This Row],[Site]],'Important Info!'!$A$1:$F$135,4,FALSE)</f>
        <v>-</v>
      </c>
      <c r="O1479" s="52" t="str">
        <f>VLOOKUP(Tabla3[[#This Row],[Site]],'Important Info!'!$A$1:$F$135,5,FALSE)</f>
        <v>4, 18</v>
      </c>
      <c r="P1479" s="52" t="str">
        <f>VLOOKUP(Tabla3[[#This Row],[Site]],'Important Info!'!$A$1:$F$135,6,FALSE)</f>
        <v>-</v>
      </c>
      <c r="Q1479" s="91">
        <f>VLOOKUP(Tabla3[[#This Row],[Site]],'Important Info!'!$A$1:$J$135,9,FALSE)</f>
        <v>247</v>
      </c>
    </row>
    <row r="1480" spans="1:17" x14ac:dyDescent="0.25">
      <c r="A1480" t="str">
        <f>+Tabla3[[#This Row],[Site]]&amp;Tabla3[[#This Row],[Split]]</f>
        <v>(PE) Mercedes Benz &amp; Smart Bldg. of Fairfield (NO TOURS)16</v>
      </c>
      <c r="B1480">
        <v>16</v>
      </c>
      <c r="C1480">
        <v>12</v>
      </c>
      <c r="D1480" t="s">
        <v>485</v>
      </c>
      <c r="E1480" t="s">
        <v>35</v>
      </c>
      <c r="F1480" t="s">
        <v>64</v>
      </c>
      <c r="G1480" t="s">
        <v>490</v>
      </c>
      <c r="H1480" s="52" t="str">
        <f>VLOOKUP(Tabla3[[#This Row],[Site]],'Important Info!'!$A$1:$J$135,10,FALSE)</f>
        <v>https://tools.sig.systems/site/details/192</v>
      </c>
      <c r="I1480" t="s">
        <v>177</v>
      </c>
      <c r="J1480" t="s">
        <v>41</v>
      </c>
      <c r="K1480" s="79" t="str">
        <f>VLOOKUP(Tabla3[[#This Row],[Site]],'Important Info!'!$A$1:$H$135,8,FALSE)</f>
        <v>-</v>
      </c>
      <c r="L1480" s="52" t="str">
        <f>VLOOKUP(Tabla3[[#This Row],[Site]],'Important Info!'!$A$1:$F$135,2,FALSE)</f>
        <v>-</v>
      </c>
      <c r="M1480" s="52">
        <f>VLOOKUP(Tabla3[[#This Row],[Site]],'Important Info!'!$A$1:$F$135,3,FALSE)</f>
        <v>1</v>
      </c>
      <c r="N1480" s="52" t="str">
        <f>VLOOKUP(Tabla3[[#This Row],[Site]],'Important Info!'!$A$1:$F$135,4,FALSE)</f>
        <v>-</v>
      </c>
      <c r="O1480" s="52" t="str">
        <f>VLOOKUP(Tabla3[[#This Row],[Site]],'Important Info!'!$A$1:$F$135,5,FALSE)</f>
        <v>11, 13</v>
      </c>
      <c r="P1480" s="52">
        <f>VLOOKUP(Tabla3[[#This Row],[Site]],'Important Info!'!$A$1:$F$135,6,FALSE)</f>
        <v>1</v>
      </c>
      <c r="Q1480" s="91">
        <f>VLOOKUP(Tabla3[[#This Row],[Site]],'Important Info!'!$A$1:$J$135,9,FALSE)</f>
        <v>192</v>
      </c>
    </row>
    <row r="1481" spans="1:17" x14ac:dyDescent="0.25">
      <c r="A1481" t="str">
        <f>+Tabla3[[#This Row],[Site]]&amp;Tabla3[[#This Row],[Split]]</f>
        <v>(AS) Courtesy Hyundai/Nissan Tampa (NO TOURS)16</v>
      </c>
      <c r="B1481">
        <v>16</v>
      </c>
      <c r="C1481">
        <v>13</v>
      </c>
      <c r="D1481" t="s">
        <v>62</v>
      </c>
      <c r="E1481" t="s">
        <v>35</v>
      </c>
      <c r="F1481" t="s">
        <v>504</v>
      </c>
      <c r="G1481" t="s">
        <v>490</v>
      </c>
      <c r="H1481" s="52" t="str">
        <f>VLOOKUP(Tabla3[[#This Row],[Site]],'Important Info!'!$A$1:$J$135,10,FALSE)</f>
        <v>https://tools.sig.systems/site/details/128</v>
      </c>
      <c r="I1481" s="2"/>
      <c r="J1481" t="s">
        <v>484</v>
      </c>
      <c r="K1481" s="79" t="str">
        <f>VLOOKUP(Tabla3[[#This Row],[Site]],'Important Info!'!$A$1:$H$135,8,FALSE)</f>
        <v>-</v>
      </c>
      <c r="L1481" s="52" t="str">
        <f>VLOOKUP(Tabla3[[#This Row],[Site]],'Important Info!'!$A$1:$F$135,2,FALSE)</f>
        <v>1, 16, 25, 27, 32</v>
      </c>
      <c r="M1481" s="52" t="str">
        <f>VLOOKUP(Tabla3[[#This Row],[Site]],'Important Info!'!$A$1:$F$135,3,FALSE)</f>
        <v>-</v>
      </c>
      <c r="N1481" s="52" t="str">
        <f>VLOOKUP(Tabla3[[#This Row],[Site]],'Important Info!'!$A$1:$F$135,4,FALSE)</f>
        <v>-</v>
      </c>
      <c r="O1481" s="52" t="str">
        <f>VLOOKUP(Tabla3[[#This Row],[Site]],'Important Info!'!$A$1:$F$135,5,FALSE)</f>
        <v>4, 10, 16</v>
      </c>
      <c r="P1481" s="52" t="str">
        <f>VLOOKUP(Tabla3[[#This Row],[Site]],'Important Info!'!$A$1:$F$135,6,FALSE)</f>
        <v>24, 25, 26 &amp; Remote Lots</v>
      </c>
      <c r="Q1481" s="91">
        <f>VLOOKUP(Tabla3[[#This Row],[Site]],'Important Info!'!$A$1:$J$135,9,FALSE)</f>
        <v>128</v>
      </c>
    </row>
    <row r="1482" spans="1:17" x14ac:dyDescent="0.25">
      <c r="A1482" t="str">
        <f>+Tabla3[[#This Row],[Site]]&amp;Tabla3[[#This Row],[Split]]</f>
        <v>(AS) Mike Shaw Subaru Greeley (NO TOURS)16</v>
      </c>
      <c r="B1482">
        <v>16</v>
      </c>
      <c r="C1482">
        <v>13</v>
      </c>
      <c r="D1482" t="s">
        <v>44</v>
      </c>
      <c r="E1482" t="s">
        <v>53</v>
      </c>
      <c r="F1482" t="s">
        <v>95</v>
      </c>
      <c r="G1482" t="s">
        <v>45</v>
      </c>
      <c r="H1482" s="52" t="str">
        <f>VLOOKUP(Tabla3[[#This Row],[Site]],'Important Info!'!$A$1:$J$135,10,FALSE)</f>
        <v>https://tools.sig.systems/site/details/174</v>
      </c>
      <c r="I1482" s="43" t="s">
        <v>153</v>
      </c>
      <c r="J1482" t="s">
        <v>41</v>
      </c>
      <c r="K1482" s="79" t="str">
        <f>VLOOKUP(Tabla3[[#This Row],[Site]],'Important Info!'!$A$1:$H$135,8,FALSE)</f>
        <v>-</v>
      </c>
      <c r="L1482" s="52" t="str">
        <f>VLOOKUP(Tabla3[[#This Row],[Site]],'Important Info!'!$A$1:$F$135,2,FALSE)</f>
        <v>16, 17</v>
      </c>
      <c r="M1482" s="52">
        <f>VLOOKUP(Tabla3[[#This Row],[Site]],'Important Info!'!$A$1:$F$135,3,FALSE)</f>
        <v>10</v>
      </c>
      <c r="N1482" s="52" t="str">
        <f>VLOOKUP(Tabla3[[#This Row],[Site]],'Important Info!'!$A$1:$F$135,4,FALSE)</f>
        <v>-</v>
      </c>
      <c r="O1482" s="52" t="str">
        <f>VLOOKUP(Tabla3[[#This Row],[Site]],'Important Info!'!$A$1:$F$135,5,FALSE)</f>
        <v>1, 7</v>
      </c>
      <c r="P1482" s="52" t="str">
        <f>VLOOKUP(Tabla3[[#This Row],[Site]],'Important Info!'!$A$1:$F$135,6,FALSE)</f>
        <v>-</v>
      </c>
      <c r="Q1482" s="91">
        <f>VLOOKUP(Tabla3[[#This Row],[Site]],'Important Info!'!$A$1:$J$135,9,FALSE)</f>
        <v>174</v>
      </c>
    </row>
    <row r="1483" spans="1:17" x14ac:dyDescent="0.25">
      <c r="A1483" t="str">
        <f>+Tabla3[[#This Row],[Site]]&amp;Tabla3[[#This Row],[Split]]</f>
        <v>(AS) Park Place JLR DFW Airport (NO TOURS)16</v>
      </c>
      <c r="B1483">
        <v>16</v>
      </c>
      <c r="C1483">
        <v>13</v>
      </c>
      <c r="D1483" t="s">
        <v>33</v>
      </c>
      <c r="E1483" t="s">
        <v>46</v>
      </c>
      <c r="F1483" t="s">
        <v>516</v>
      </c>
      <c r="G1483" t="s">
        <v>34</v>
      </c>
      <c r="H1483" s="52" t="str">
        <f>VLOOKUP(Tabla3[[#This Row],[Site]],'Important Info!'!$A$1:$J$135,10,FALSE)</f>
        <v>https://tools.sig.systems/site/details/135</v>
      </c>
      <c r="J1483" t="s">
        <v>41</v>
      </c>
      <c r="K1483" s="79" t="str">
        <f>VLOOKUP(Tabla3[[#This Row],[Site]],'Important Info!'!$A$1:$H$135,8,FALSE)</f>
        <v>-</v>
      </c>
      <c r="L1483" s="52" t="str">
        <f>VLOOKUP(Tabla3[[#This Row],[Site]],'Important Info!'!$A$1:$F$135,2,FALSE)</f>
        <v>6, 7, 18</v>
      </c>
      <c r="M1483" s="52" t="str">
        <f>VLOOKUP(Tabla3[[#This Row],[Site]],'Important Info!'!$A$1:$F$135,3,FALSE)</f>
        <v>70, 79, 80</v>
      </c>
      <c r="N1483" s="52" t="str">
        <f>VLOOKUP(Tabla3[[#This Row],[Site]],'Important Info!'!$A$1:$F$135,4,FALSE)</f>
        <v>83, 84</v>
      </c>
      <c r="O1483" s="52" t="str">
        <f>VLOOKUP(Tabla3[[#This Row],[Site]],'Important Info!'!$A$1:$F$135,5,FALSE)</f>
        <v>3, 8, 14, 81</v>
      </c>
      <c r="P1483" s="52">
        <f>VLOOKUP(Tabla3[[#This Row],[Site]],'Important Info!'!$A$1:$F$135,6,FALSE)</f>
        <v>6</v>
      </c>
      <c r="Q1483" s="91">
        <f>VLOOKUP(Tabla3[[#This Row],[Site]],'Important Info!'!$A$1:$J$135,9,FALSE)</f>
        <v>135</v>
      </c>
    </row>
    <row r="1484" spans="1:17" x14ac:dyDescent="0.25">
      <c r="A1484" t="str">
        <f>+Tabla3[[#This Row],[Site]]&amp;Tabla3[[#This Row],[Split]]</f>
        <v>(AS) Plano Auction (NO SPEAKERS)16</v>
      </c>
      <c r="B1484">
        <v>16</v>
      </c>
      <c r="C1484">
        <v>13</v>
      </c>
      <c r="D1484" t="s">
        <v>33</v>
      </c>
      <c r="E1484" t="s">
        <v>46</v>
      </c>
      <c r="F1484" t="s">
        <v>129</v>
      </c>
      <c r="G1484" t="s">
        <v>34</v>
      </c>
      <c r="H1484" s="52" t="str">
        <f>VLOOKUP(Tabla3[[#This Row],[Site]],'Important Info!'!$A$1:$J$135,10,FALSE)</f>
        <v>https://tools.sig.systems/site/details/140</v>
      </c>
      <c r="J1484" t="s">
        <v>41</v>
      </c>
      <c r="K1484" s="79" t="str">
        <f>VLOOKUP(Tabla3[[#This Row],[Site]],'Important Info!'!$A$1:$H$135,8,FALSE)</f>
        <v>-</v>
      </c>
      <c r="L1484" s="52" t="str">
        <f>VLOOKUP(Tabla3[[#This Row],[Site]],'Important Info!'!$A$1:$F$135,2,FALSE)</f>
        <v>-</v>
      </c>
      <c r="M1484" s="52" t="str">
        <f>VLOOKUP(Tabla3[[#This Row],[Site]],'Important Info!'!$A$1:$F$135,3,FALSE)</f>
        <v>3, 4, 19</v>
      </c>
      <c r="N1484" s="52" t="str">
        <f>VLOOKUP(Tabla3[[#This Row],[Site]],'Important Info!'!$A$1:$F$135,4,FALSE)</f>
        <v>-</v>
      </c>
      <c r="O1484" s="52" t="str">
        <f>VLOOKUP(Tabla3[[#This Row],[Site]],'Important Info!'!$A$1:$F$135,5,FALSE)</f>
        <v>5, 19</v>
      </c>
      <c r="P1484" s="52">
        <f>VLOOKUP(Tabla3[[#This Row],[Site]],'Important Info!'!$A$1:$F$135,6,FALSE)</f>
        <v>21</v>
      </c>
      <c r="Q1484" s="91">
        <f>VLOOKUP(Tabla3[[#This Row],[Site]],'Important Info!'!$A$1:$J$135,9,FALSE)</f>
        <v>140</v>
      </c>
    </row>
    <row r="1485" spans="1:17" x14ac:dyDescent="0.25">
      <c r="A1485" t="str">
        <f>+Tabla3[[#This Row],[Site]]&amp;Tabla3[[#This Row],[Split]]</f>
        <v>(KG) Big Star Ford16</v>
      </c>
      <c r="B1485">
        <v>16</v>
      </c>
      <c r="C1485">
        <v>13</v>
      </c>
      <c r="D1485" t="s">
        <v>33</v>
      </c>
      <c r="E1485" t="s">
        <v>46</v>
      </c>
      <c r="F1485" t="s">
        <v>135</v>
      </c>
      <c r="G1485" t="s">
        <v>34</v>
      </c>
      <c r="H1485" s="52" t="str">
        <f>VLOOKUP(Tabla3[[#This Row],[Site]],'Important Info!'!$A$1:$J$135,10,FALSE)</f>
        <v>https://tools.sig.systems/site/details/235</v>
      </c>
      <c r="I1485" s="2"/>
      <c r="J1485" t="s">
        <v>41</v>
      </c>
      <c r="K1485" s="79" t="str">
        <f>VLOOKUP(Tabla3[[#This Row],[Site]],'Important Info!'!$A$1:$H$135,8,FALSE)</f>
        <v>-</v>
      </c>
      <c r="L1485" s="52" t="str">
        <f>VLOOKUP(Tabla3[[#This Row],[Site]],'Important Info!'!$A$1:$F$135,2,FALSE)</f>
        <v>4, 22, 32, 33</v>
      </c>
      <c r="M1485" s="52" t="str">
        <f>VLOOKUP(Tabla3[[#This Row],[Site]],'Important Info!'!$A$1:$F$135,3,FALSE)</f>
        <v>-</v>
      </c>
      <c r="N1485" s="52" t="str">
        <f>VLOOKUP(Tabla3[[#This Row],[Site]],'Important Info!'!$A$1:$F$135,4,FALSE)</f>
        <v>-</v>
      </c>
      <c r="O1485" s="52" t="str">
        <f>VLOOKUP(Tabla3[[#This Row],[Site]],'Important Info!'!$A$1:$F$135,5,FALSE)</f>
        <v>1, 5, 12, 21</v>
      </c>
      <c r="P1485" s="52">
        <f>VLOOKUP(Tabla3[[#This Row],[Site]],'Important Info!'!$A$1:$F$135,6,FALSE)</f>
        <v>22</v>
      </c>
      <c r="Q1485" s="91">
        <f>VLOOKUP(Tabla3[[#This Row],[Site]],'Important Info!'!$A$1:$J$135,9,FALSE)</f>
        <v>235</v>
      </c>
    </row>
    <row r="1486" spans="1:17" x14ac:dyDescent="0.25">
      <c r="A1486" t="str">
        <f>+Tabla3[[#This Row],[Site]]&amp;Tabla3[[#This Row],[Split]]</f>
        <v>(PE) Honda of Danbury (NO TOURS)16</v>
      </c>
      <c r="B1486">
        <v>16</v>
      </c>
      <c r="C1486">
        <v>13</v>
      </c>
      <c r="D1486" t="s">
        <v>485</v>
      </c>
      <c r="E1486" t="s">
        <v>35</v>
      </c>
      <c r="F1486" t="s">
        <v>174</v>
      </c>
      <c r="G1486" t="s">
        <v>490</v>
      </c>
      <c r="H1486" s="52" t="str">
        <f>VLOOKUP(Tabla3[[#This Row],[Site]],'Important Info!'!$A$1:$J$135,10,FALSE)</f>
        <v>https://tools.sig.systems/site/details/190</v>
      </c>
      <c r="I1486" s="2"/>
      <c r="J1486" t="s">
        <v>41</v>
      </c>
      <c r="K1486" s="79" t="str">
        <f>VLOOKUP(Tabla3[[#This Row],[Site]],'Important Info!'!$A$1:$H$135,8,FALSE)</f>
        <v>-</v>
      </c>
      <c r="L1486" s="52" t="str">
        <f>VLOOKUP(Tabla3[[#This Row],[Site]],'Important Info!'!$A$1:$F$135,2,FALSE)</f>
        <v>-</v>
      </c>
      <c r="M1486" s="52" t="str">
        <f>VLOOKUP(Tabla3[[#This Row],[Site]],'Important Info!'!$A$1:$F$135,3,FALSE)</f>
        <v>20, 9</v>
      </c>
      <c r="N1486" s="52">
        <f>VLOOKUP(Tabla3[[#This Row],[Site]],'Important Info!'!$A$1:$F$135,4,FALSE)</f>
        <v>9</v>
      </c>
      <c r="O1486" s="52" t="str">
        <f>VLOOKUP(Tabla3[[#This Row],[Site]],'Important Info!'!$A$1:$F$135,5,FALSE)</f>
        <v>-</v>
      </c>
      <c r="P1486" s="52" t="str">
        <f>VLOOKUP(Tabla3[[#This Row],[Site]],'Important Info!'!$A$1:$F$135,6,FALSE)</f>
        <v>9, 16, 17</v>
      </c>
      <c r="Q1486" s="91">
        <f>VLOOKUP(Tabla3[[#This Row],[Site]],'Important Info!'!$A$1:$J$135,9,FALSE)</f>
        <v>190</v>
      </c>
    </row>
    <row r="1487" spans="1:17" x14ac:dyDescent="0.25">
      <c r="A1487" t="str">
        <f>+Tabla3[[#This Row],[Site]]&amp;Tabla3[[#This Row],[Split]]</f>
        <v>(AS) Coggin Mercedes Benz Ft Pierce (NO TOURS)16</v>
      </c>
      <c r="B1487">
        <v>16</v>
      </c>
      <c r="C1487">
        <v>14</v>
      </c>
      <c r="D1487" t="s">
        <v>62</v>
      </c>
      <c r="E1487" t="s">
        <v>35</v>
      </c>
      <c r="F1487" t="s">
        <v>502</v>
      </c>
      <c r="G1487" t="s">
        <v>490</v>
      </c>
      <c r="H1487" s="52" t="str">
        <f>VLOOKUP(Tabla3[[#This Row],[Site]],'Important Info!'!$A$1:$J$135,10,FALSE)</f>
        <v>https://tools.sig.systems/site/details/127</v>
      </c>
      <c r="I1487" t="s">
        <v>179</v>
      </c>
      <c r="J1487" t="s">
        <v>41</v>
      </c>
      <c r="K1487" s="79" t="str">
        <f>VLOOKUP(Tabla3[[#This Row],[Site]],'Important Info!'!$A$1:$H$135,8,FALSE)</f>
        <v>-</v>
      </c>
      <c r="L1487" s="52">
        <f>VLOOKUP(Tabla3[[#This Row],[Site]],'Important Info!'!$A$1:$F$135,2,FALSE)</f>
        <v>18</v>
      </c>
      <c r="M1487" s="52" t="str">
        <f>VLOOKUP(Tabla3[[#This Row],[Site]],'Important Info!'!$A$1:$F$135,3,FALSE)</f>
        <v>1, 3</v>
      </c>
      <c r="N1487" s="52" t="str">
        <f>VLOOKUP(Tabla3[[#This Row],[Site]],'Important Info!'!$A$1:$F$135,4,FALSE)</f>
        <v>-</v>
      </c>
      <c r="O1487" s="52" t="str">
        <f>VLOOKUP(Tabla3[[#This Row],[Site]],'Important Info!'!$A$1:$F$135,5,FALSE)</f>
        <v>6, 10, 13</v>
      </c>
      <c r="P1487" s="52" t="str">
        <f>VLOOKUP(Tabla3[[#This Row],[Site]],'Important Info!'!$A$1:$F$135,6,FALSE)</f>
        <v>1, 4, 5</v>
      </c>
      <c r="Q1487" s="91">
        <f>VLOOKUP(Tabla3[[#This Row],[Site]],'Important Info!'!$A$1:$J$135,9,FALSE)</f>
        <v>127</v>
      </c>
    </row>
    <row r="1488" spans="1:17" x14ac:dyDescent="0.25">
      <c r="A1488" t="str">
        <f>+Tabla3[[#This Row],[Site]]&amp;Tabla3[[#This Row],[Split]]</f>
        <v>(AS) Lexus Grapevine I &amp; II (NO TOURS)16</v>
      </c>
      <c r="B1488">
        <v>16</v>
      </c>
      <c r="C1488">
        <v>14</v>
      </c>
      <c r="D1488" t="s">
        <v>33</v>
      </c>
      <c r="E1488" t="s">
        <v>46</v>
      </c>
      <c r="F1488" t="s">
        <v>508</v>
      </c>
      <c r="G1488" t="s">
        <v>34</v>
      </c>
      <c r="H1488" s="52" t="str">
        <f>VLOOKUP(Tabla3[[#This Row],[Site]],'Important Info!'!$A$1:$J$135,10,FALSE)</f>
        <v>https://tools.sig.systems/site/details/136</v>
      </c>
      <c r="J1488" t="s">
        <v>41</v>
      </c>
      <c r="K1488" s="79" t="str">
        <f>VLOOKUP(Tabla3[[#This Row],[Site]],'Important Info!'!$A$1:$H$135,8,FALSE)</f>
        <v>-</v>
      </c>
      <c r="L1488" s="52" t="str">
        <f>VLOOKUP(Tabla3[[#This Row],[Site]],'Important Info!'!$A$1:$F$135,2,FALSE)</f>
        <v>4, 10, 14, 18, 33</v>
      </c>
      <c r="M1488" s="52" t="str">
        <f>VLOOKUP(Tabla3[[#This Row],[Site]],'Important Info!'!$A$1:$F$135,3,FALSE)</f>
        <v>-</v>
      </c>
      <c r="N1488" s="52" t="str">
        <f>VLOOKUP(Tabla3[[#This Row],[Site]],'Important Info!'!$A$1:$F$135,4,FALSE)</f>
        <v>81, 82, 83</v>
      </c>
      <c r="O1488" s="52" t="str">
        <f>VLOOKUP(Tabla3[[#This Row],[Site]],'Important Info!'!$A$1:$F$135,5,FALSE)</f>
        <v>4, 12, 15, 20, 30</v>
      </c>
      <c r="P1488" s="52">
        <f>VLOOKUP(Tabla3[[#This Row],[Site]],'Important Info!'!$A$1:$F$135,6,FALSE)</f>
        <v>10</v>
      </c>
      <c r="Q1488" s="91">
        <f>VLOOKUP(Tabla3[[#This Row],[Site]],'Important Info!'!$A$1:$J$135,9,FALSE)</f>
        <v>136</v>
      </c>
    </row>
    <row r="1489" spans="1:17" x14ac:dyDescent="0.25">
      <c r="A1489" t="str">
        <f>+Tabla3[[#This Row],[Site]]&amp;Tabla3[[#This Row],[Split]]</f>
        <v>(AS) Plaza Lexus/Mercedes/BMW (NO TOURS)16</v>
      </c>
      <c r="B1489">
        <v>16</v>
      </c>
      <c r="C1489">
        <v>14</v>
      </c>
      <c r="D1489" t="s">
        <v>33</v>
      </c>
      <c r="E1489" t="s">
        <v>46</v>
      </c>
      <c r="F1489" t="s">
        <v>92</v>
      </c>
      <c r="G1489" t="s">
        <v>34</v>
      </c>
      <c r="H1489" s="52" t="str">
        <f>VLOOKUP(Tabla3[[#This Row],[Site]],'Important Info!'!$A$1:$J$135,10,FALSE)</f>
        <v>https://tools.sig.systems/site/details/141</v>
      </c>
      <c r="I1489" t="s">
        <v>130</v>
      </c>
      <c r="J1489" t="s">
        <v>41</v>
      </c>
      <c r="K1489" s="79" t="str">
        <f>VLOOKUP(Tabla3[[#This Row],[Site]],'Important Info!'!$A$1:$H$135,8,FALSE)</f>
        <v>-</v>
      </c>
      <c r="L1489" s="52" t="str">
        <f>VLOOKUP(Tabla3[[#This Row],[Site]],'Important Info!'!$A$1:$F$135,2,FALSE)</f>
        <v>3, 4, 18</v>
      </c>
      <c r="M1489" s="52" t="str">
        <f>VLOOKUP(Tabla3[[#This Row],[Site]],'Important Info!'!$A$1:$F$135,3,FALSE)</f>
        <v>9, 10, 12, 13, 16, 17</v>
      </c>
      <c r="N1489" s="52" t="str">
        <f>VLOOKUP(Tabla3[[#This Row],[Site]],'Important Info!'!$A$1:$F$135,4,FALSE)</f>
        <v>-</v>
      </c>
      <c r="O1489" s="52">
        <f>VLOOKUP(Tabla3[[#This Row],[Site]],'Important Info!'!$A$1:$F$135,5,FALSE)</f>
        <v>2</v>
      </c>
      <c r="P1489" s="52" t="str">
        <f>VLOOKUP(Tabla3[[#This Row],[Site]],'Important Info!'!$A$1:$F$135,6,FALSE)</f>
        <v>2, 16</v>
      </c>
      <c r="Q1489" s="91">
        <f>VLOOKUP(Tabla3[[#This Row],[Site]],'Important Info!'!$A$1:$J$135,9,FALSE)</f>
        <v>141</v>
      </c>
    </row>
    <row r="1490" spans="1:17" x14ac:dyDescent="0.25">
      <c r="A1490" t="str">
        <f>+Tabla3[[#This Row],[Site]]&amp;Tabla3[[#This Row],[Split]]</f>
        <v>(DT) El Cajon (NO TOURS)16</v>
      </c>
      <c r="B1490">
        <v>16</v>
      </c>
      <c r="C1490">
        <v>14</v>
      </c>
      <c r="D1490" t="s">
        <v>51</v>
      </c>
      <c r="E1490" t="s">
        <v>159</v>
      </c>
      <c r="F1490" t="s">
        <v>160</v>
      </c>
      <c r="G1490" t="s">
        <v>52</v>
      </c>
      <c r="H1490" s="52" t="str">
        <f>VLOOKUP(Tabla3[[#This Row],[Site]],'Important Info!'!$A$1:$J$135,10,FALSE)</f>
        <v>https://tools.sig.systems/site/details/241</v>
      </c>
      <c r="I1490" s="43"/>
      <c r="J1490" t="s">
        <v>41</v>
      </c>
      <c r="K1490" s="79" t="str">
        <f>VLOOKUP(Tabla3[[#This Row],[Site]],'Important Info!'!$A$1:$H$135,8,FALSE)</f>
        <v>-</v>
      </c>
      <c r="L1490" s="52" t="str">
        <f>VLOOKUP(Tabla3[[#This Row],[Site]],'Important Info!'!$A$1:$F$135,2,FALSE)</f>
        <v>-</v>
      </c>
      <c r="M1490" s="52">
        <f>VLOOKUP(Tabla3[[#This Row],[Site]],'Important Info!'!$A$1:$F$135,3,FALSE)</f>
        <v>3</v>
      </c>
      <c r="N1490" s="52" t="str">
        <f>VLOOKUP(Tabla3[[#This Row],[Site]],'Important Info!'!$A$1:$F$135,4,FALSE)</f>
        <v>-</v>
      </c>
      <c r="O1490" s="52" t="str">
        <f>VLOOKUP(Tabla3[[#This Row],[Site]],'Important Info!'!$A$1:$F$135,5,FALSE)</f>
        <v>-</v>
      </c>
      <c r="P1490" s="52" t="str">
        <f>VLOOKUP(Tabla3[[#This Row],[Site]],'Important Info!'!$A$1:$F$135,6,FALSE)</f>
        <v>-</v>
      </c>
      <c r="Q1490" s="91">
        <f>VLOOKUP(Tabla3[[#This Row],[Site]],'Important Info!'!$A$1:$J$135,9,FALSE)</f>
        <v>241</v>
      </c>
    </row>
    <row r="1491" spans="1:17" x14ac:dyDescent="0.25">
      <c r="A1491" t="str">
        <f>+Tabla3[[#This Row],[Site]]&amp;Tabla3[[#This Row],[Split]]</f>
        <v>(HUD) BMW of Greensboro16</v>
      </c>
      <c r="B1491">
        <v>16</v>
      </c>
      <c r="C1491">
        <v>14</v>
      </c>
      <c r="D1491" t="s">
        <v>62</v>
      </c>
      <c r="E1491" t="s">
        <v>35</v>
      </c>
      <c r="F1491" t="s">
        <v>183</v>
      </c>
      <c r="G1491" t="s">
        <v>490</v>
      </c>
      <c r="H1491" s="52" t="str">
        <f>VLOOKUP(Tabla3[[#This Row],[Site]],'Important Info!'!$A$1:$J$135,10,FALSE)</f>
        <v>https://tools.sig.systems/site/details/219</v>
      </c>
      <c r="I1491" s="43" t="s">
        <v>184</v>
      </c>
      <c r="J1491" t="s">
        <v>41</v>
      </c>
      <c r="K1491" s="79" t="str">
        <f>VLOOKUP(Tabla3[[#This Row],[Site]],'Important Info!'!$A$1:$H$135,8,FALSE)</f>
        <v>-</v>
      </c>
      <c r="L1491" s="52" t="str">
        <f>VLOOKUP(Tabla3[[#This Row],[Site]],'Important Info!'!$A$1:$F$135,2,FALSE)</f>
        <v>2, 20, 21</v>
      </c>
      <c r="M1491" s="52" t="str">
        <f>VLOOKUP(Tabla3[[#This Row],[Site]],'Important Info!'!$A$1:$F$135,3,FALSE)</f>
        <v>-</v>
      </c>
      <c r="N1491" s="52" t="str">
        <f>VLOOKUP(Tabla3[[#This Row],[Site]],'Important Info!'!$A$1:$F$135,4,FALSE)</f>
        <v>-</v>
      </c>
      <c r="O1491" s="52" t="str">
        <f>VLOOKUP(Tabla3[[#This Row],[Site]],'Important Info!'!$A$1:$F$135,5,FALSE)</f>
        <v>12, 17</v>
      </c>
      <c r="P1491" s="52" t="str">
        <f>VLOOKUP(Tabla3[[#This Row],[Site]],'Important Info!'!$A$1:$F$135,6,FALSE)</f>
        <v>1, 2, 6, 20</v>
      </c>
      <c r="Q1491" s="91">
        <f>VLOOKUP(Tabla3[[#This Row],[Site]],'Important Info!'!$A$1:$J$135,9,FALSE)</f>
        <v>219</v>
      </c>
    </row>
    <row r="1492" spans="1:17" x14ac:dyDescent="0.25">
      <c r="A1492" t="str">
        <f>+Tabla3[[#This Row],[Site]]&amp;Tabla3[[#This Row],[Split]]</f>
        <v>(KG) Truck Center Remote Storage Lot16</v>
      </c>
      <c r="B1492">
        <v>16</v>
      </c>
      <c r="C1492">
        <v>14</v>
      </c>
      <c r="D1492" t="s">
        <v>60</v>
      </c>
      <c r="E1492" t="s">
        <v>53</v>
      </c>
      <c r="F1492" t="s">
        <v>61</v>
      </c>
      <c r="G1492" t="s">
        <v>41</v>
      </c>
      <c r="H1492" s="52" t="str">
        <f>VLOOKUP(Tabla3[[#This Row],[Site]],'Important Info!'!$A$1:$J$135,10,FALSE)</f>
        <v>https://tools.sig.systems/site/details/144</v>
      </c>
      <c r="I1492" s="2"/>
      <c r="J1492" t="s">
        <v>41</v>
      </c>
      <c r="K1492" s="79" t="str">
        <f>VLOOKUP(Tabla3[[#This Row],[Site]],'Important Info!'!$A$1:$H$135,8,FALSE)</f>
        <v>-</v>
      </c>
      <c r="L1492" s="52" t="str">
        <f>VLOOKUP(Tabla3[[#This Row],[Site]],'Important Info!'!$A$1:$F$135,2,FALSE)</f>
        <v>4, A23, A49</v>
      </c>
      <c r="M1492" s="52" t="str">
        <f>VLOOKUP(Tabla3[[#This Row],[Site]],'Important Info!'!$A$1:$F$135,3,FALSE)</f>
        <v>5, 24</v>
      </c>
      <c r="N1492" s="52" t="str">
        <f>VLOOKUP(Tabla3[[#This Row],[Site]],'Important Info!'!$A$1:$F$135,4,FALSE)</f>
        <v>-</v>
      </c>
      <c r="O1492" s="52" t="str">
        <f>VLOOKUP(Tabla3[[#This Row],[Site]],'Important Info!'!$A$1:$F$135,5,FALSE)</f>
        <v>1, 7, 11, 15, 19, 24, 25</v>
      </c>
      <c r="P1492" s="52" t="str">
        <f>VLOOKUP(Tabla3[[#This Row],[Site]],'Important Info!'!$A$1:$F$135,6,FALSE)</f>
        <v>9, 20, 24, A49</v>
      </c>
      <c r="Q1492" s="91">
        <f>VLOOKUP(Tabla3[[#This Row],[Site]],'Important Info!'!$A$1:$J$135,9,FALSE)</f>
        <v>144</v>
      </c>
    </row>
    <row r="1493" spans="1:17" x14ac:dyDescent="0.25">
      <c r="A1493" t="str">
        <f>+Tabla3[[#This Row],[Site]]&amp;Tabla3[[#This Row],[Split]]</f>
        <v>(ML) McLarty-Gray Daniels Chevrolet16</v>
      </c>
      <c r="B1493">
        <v>16</v>
      </c>
      <c r="C1493">
        <v>14</v>
      </c>
      <c r="D1493" t="s">
        <v>33</v>
      </c>
      <c r="E1493" t="s">
        <v>46</v>
      </c>
      <c r="F1493" t="s">
        <v>151</v>
      </c>
      <c r="G1493" t="s">
        <v>34</v>
      </c>
      <c r="H1493" s="52" t="str">
        <f>VLOOKUP(Tabla3[[#This Row],[Site]],'Important Info!'!$A$1:$J$135,10,FALSE)</f>
        <v>https://tools.sig.systems/site/details/150</v>
      </c>
      <c r="I1493" s="2"/>
      <c r="J1493" t="s">
        <v>41</v>
      </c>
      <c r="K1493" s="79" t="str">
        <f>VLOOKUP(Tabla3[[#This Row],[Site]],'Important Info!'!$A$1:$H$135,8,FALSE)</f>
        <v>-</v>
      </c>
      <c r="L1493" s="52" t="str">
        <f>VLOOKUP(Tabla3[[#This Row],[Site]],'Important Info!'!$A$1:$F$135,2,FALSE)</f>
        <v>3, 4, 5, 22, 24, 26, 28, 36</v>
      </c>
      <c r="M1493" s="52" t="str">
        <f>VLOOKUP(Tabla3[[#This Row],[Site]],'Important Info!'!$A$1:$F$135,3,FALSE)</f>
        <v>-</v>
      </c>
      <c r="N1493" s="52" t="str">
        <f>VLOOKUP(Tabla3[[#This Row],[Site]],'Important Info!'!$A$1:$F$135,4,FALSE)</f>
        <v>-</v>
      </c>
      <c r="O1493" s="52" t="str">
        <f>VLOOKUP(Tabla3[[#This Row],[Site]],'Important Info!'!$A$1:$F$135,5,FALSE)</f>
        <v>4, 7, 12, 26</v>
      </c>
      <c r="P1493" s="52" t="str">
        <f>VLOOKUP(Tabla3[[#This Row],[Site]],'Important Info!'!$A$1:$F$135,6,FALSE)</f>
        <v>1, 3, 5, 6, 23, 24</v>
      </c>
      <c r="Q1493" s="91">
        <f>VLOOKUP(Tabla3[[#This Row],[Site]],'Important Info!'!$A$1:$J$135,9,FALSE)</f>
        <v>150</v>
      </c>
    </row>
    <row r="1494" spans="1:17" x14ac:dyDescent="0.25">
      <c r="A1494" t="str">
        <f>+Tabla3[[#This Row],[Site]]&amp;Tabla3[[#This Row],[Split]]</f>
        <v>(AS) Coggin Honda Ft. Pierce (NO TOURS)16</v>
      </c>
      <c r="B1494">
        <v>16</v>
      </c>
      <c r="C1494">
        <v>15</v>
      </c>
      <c r="D1494" t="s">
        <v>62</v>
      </c>
      <c r="E1494" t="s">
        <v>35</v>
      </c>
      <c r="F1494" t="s">
        <v>501</v>
      </c>
      <c r="G1494" t="s">
        <v>490</v>
      </c>
      <c r="H1494" s="52" t="str">
        <f>VLOOKUP(Tabla3[[#This Row],[Site]],'Important Info!'!$A$1:$J$135,10,FALSE)</f>
        <v>https://tools.sig.systems/site/details/120</v>
      </c>
      <c r="I1494" t="s">
        <v>179</v>
      </c>
      <c r="J1494" t="s">
        <v>484</v>
      </c>
      <c r="K1494" s="79" t="str">
        <f>VLOOKUP(Tabla3[[#This Row],[Site]],'Important Info!'!$A$1:$H$135,8,FALSE)</f>
        <v>-</v>
      </c>
      <c r="L1494" s="52" t="str">
        <f>VLOOKUP(Tabla3[[#This Row],[Site]],'Important Info!'!$A$1:$F$135,2,FALSE)</f>
        <v>1, 2, 3, 4, 14</v>
      </c>
      <c r="M1494" s="52" t="str">
        <f>VLOOKUP(Tabla3[[#This Row],[Site]],'Important Info!'!$A$1:$F$135,3,FALSE)</f>
        <v>-</v>
      </c>
      <c r="N1494" s="52" t="str">
        <f>VLOOKUP(Tabla3[[#This Row],[Site]],'Important Info!'!$A$1:$F$135,4,FALSE)</f>
        <v>-</v>
      </c>
      <c r="O1494" s="52" t="str">
        <f>VLOOKUP(Tabla3[[#This Row],[Site]],'Important Info!'!$A$1:$F$135,5,FALSE)</f>
        <v>7, 11, 15</v>
      </c>
      <c r="P1494" s="52">
        <f>VLOOKUP(Tabla3[[#This Row],[Site]],'Important Info!'!$A$1:$F$135,6,FALSE)</f>
        <v>3</v>
      </c>
      <c r="Q1494" s="91">
        <f>VLOOKUP(Tabla3[[#This Row],[Site]],'Important Info!'!$A$1:$J$135,9,FALSE)</f>
        <v>120</v>
      </c>
    </row>
    <row r="1495" spans="1:17" x14ac:dyDescent="0.25">
      <c r="A1495" t="str">
        <f>+Tabla3[[#This Row],[Site]]&amp;Tabla3[[#This Row],[Split]]</f>
        <v>(AS) Lexus Plano I &amp; II (NO TOURS)16</v>
      </c>
      <c r="B1495">
        <v>16</v>
      </c>
      <c r="C1495">
        <v>15</v>
      </c>
      <c r="D1495" t="s">
        <v>33</v>
      </c>
      <c r="E1495" t="s">
        <v>46</v>
      </c>
      <c r="F1495" t="s">
        <v>524</v>
      </c>
      <c r="G1495" t="s">
        <v>34</v>
      </c>
      <c r="H1495" s="52" t="str">
        <f>VLOOKUP(Tabla3[[#This Row],[Site]],'Important Info!'!$A$1:$J$135,10,FALSE)</f>
        <v>https://tools.sig.systems/site/details/167</v>
      </c>
      <c r="I1495" s="63" t="s">
        <v>127</v>
      </c>
      <c r="J1495" t="s">
        <v>41</v>
      </c>
      <c r="K1495" s="79" t="str">
        <f>VLOOKUP(Tabla3[[#This Row],[Site]],'Important Info!'!$A$1:$H$135,8,FALSE)</f>
        <v>-</v>
      </c>
      <c r="L1495" s="52" t="str">
        <f>VLOOKUP(Tabla3[[#This Row],[Site]],'Important Info!'!$A$1:$F$135,2,FALSE)</f>
        <v>5, 9</v>
      </c>
      <c r="M1495" s="52" t="str">
        <f>VLOOKUP(Tabla3[[#This Row],[Site]],'Important Info!'!$A$1:$F$135,3,FALSE)</f>
        <v>-</v>
      </c>
      <c r="N1495" s="52" t="str">
        <f>VLOOKUP(Tabla3[[#This Row],[Site]],'Important Info!'!$A$1:$F$135,4,FALSE)</f>
        <v>101, 102, 103, 104</v>
      </c>
      <c r="O1495" s="52" t="str">
        <f>VLOOKUP(Tabla3[[#This Row],[Site]],'Important Info!'!$A$1:$F$135,5,FALSE)</f>
        <v>4, 10, 28</v>
      </c>
      <c r="P1495" s="52" t="str">
        <f>VLOOKUP(Tabla3[[#This Row],[Site]],'Important Info!'!$A$1:$F$135,6,FALSE)</f>
        <v>5, 9, 16</v>
      </c>
      <c r="Q1495" s="91">
        <f>VLOOKUP(Tabla3[[#This Row],[Site]],'Important Info!'!$A$1:$J$135,9,FALSE)</f>
        <v>167</v>
      </c>
    </row>
    <row r="1496" spans="1:17" x14ac:dyDescent="0.25">
      <c r="A1496" t="str">
        <f>+Tabla3[[#This Row],[Site]]&amp;Tabla3[[#This Row],[Split]]</f>
        <v>(AS) Plaza Audi/Infiniti (NO TOURS)16</v>
      </c>
      <c r="B1496">
        <v>16</v>
      </c>
      <c r="C1496">
        <v>15</v>
      </c>
      <c r="D1496" t="s">
        <v>33</v>
      </c>
      <c r="E1496" t="s">
        <v>46</v>
      </c>
      <c r="F1496" t="s">
        <v>91</v>
      </c>
      <c r="G1496" t="s">
        <v>34</v>
      </c>
      <c r="H1496" s="52" t="str">
        <f>VLOOKUP(Tabla3[[#This Row],[Site]],'Important Info!'!$A$1:$J$135,10,FALSE)</f>
        <v>https://tools.sig.systems/site/details/141</v>
      </c>
      <c r="I1496" t="s">
        <v>130</v>
      </c>
      <c r="J1496" t="s">
        <v>41</v>
      </c>
      <c r="K1496" s="79" t="str">
        <f>VLOOKUP(Tabla3[[#This Row],[Site]],'Important Info!'!$A$1:$H$135,8,FALSE)</f>
        <v>-</v>
      </c>
      <c r="L1496" s="52" t="str">
        <f>VLOOKUP(Tabla3[[#This Row],[Site]],'Important Info!'!$A$1:$F$135,2,FALSE)</f>
        <v>7, 25</v>
      </c>
      <c r="M1496" s="52" t="str">
        <f>VLOOKUP(Tabla3[[#This Row],[Site]],'Important Info!'!$A$1:$F$135,3,FALSE)</f>
        <v>15, 17, 18</v>
      </c>
      <c r="N1496" s="52" t="str">
        <f>VLOOKUP(Tabla3[[#This Row],[Site]],'Important Info!'!$A$1:$F$135,4,FALSE)</f>
        <v>-</v>
      </c>
      <c r="O1496" s="52" t="str">
        <f>VLOOKUP(Tabla3[[#This Row],[Site]],'Important Info!'!$A$1:$F$135,5,FALSE)</f>
        <v>1, 24</v>
      </c>
      <c r="P1496" s="52" t="str">
        <f>VLOOKUP(Tabla3[[#This Row],[Site]],'Important Info!'!$A$1:$F$135,6,FALSE)</f>
        <v>3, 15, 17</v>
      </c>
      <c r="Q1496" s="91">
        <f>VLOOKUP(Tabla3[[#This Row],[Site]],'Important Info!'!$A$1:$J$135,9,FALSE)</f>
        <v>141</v>
      </c>
    </row>
    <row r="1497" spans="1:17" x14ac:dyDescent="0.25">
      <c r="A1497" t="str">
        <f>+Tabla3[[#This Row],[Site]]&amp;Tabla3[[#This Row],[Split]]</f>
        <v>(AS) Stevinson JLR (NO TOURS)16</v>
      </c>
      <c r="B1497">
        <v>16</v>
      </c>
      <c r="C1497">
        <v>15</v>
      </c>
      <c r="D1497" t="s">
        <v>44</v>
      </c>
      <c r="E1497" t="s">
        <v>53</v>
      </c>
      <c r="F1497" t="s">
        <v>93</v>
      </c>
      <c r="G1497" t="s">
        <v>45</v>
      </c>
      <c r="H1497" s="52" t="str">
        <f>VLOOKUP(Tabla3[[#This Row],[Site]],'Important Info!'!$A$1:$J$135,10,FALSE)</f>
        <v>https://tools.sig.systems/site/details/204</v>
      </c>
      <c r="I1497" s="2"/>
      <c r="J1497" t="s">
        <v>41</v>
      </c>
      <c r="K1497" s="79" t="str">
        <f>VLOOKUP(Tabla3[[#This Row],[Site]],'Important Info!'!$A$1:$H$135,8,FALSE)</f>
        <v>-</v>
      </c>
      <c r="L1497" s="52">
        <f>VLOOKUP(Tabla3[[#This Row],[Site]],'Important Info!'!$A$1:$F$135,2,FALSE)</f>
        <v>5</v>
      </c>
      <c r="M1497" s="52">
        <f>VLOOKUP(Tabla3[[#This Row],[Site]],'Important Info!'!$A$1:$F$135,3,FALSE)</f>
        <v>4</v>
      </c>
      <c r="N1497" s="52" t="str">
        <f>VLOOKUP(Tabla3[[#This Row],[Site]],'Important Info!'!$A$1:$F$135,4,FALSE)</f>
        <v>-</v>
      </c>
      <c r="O1497" s="52">
        <f>VLOOKUP(Tabla3[[#This Row],[Site]],'Important Info!'!$A$1:$F$135,5,FALSE)</f>
        <v>3</v>
      </c>
      <c r="P1497" s="52" t="str">
        <f>VLOOKUP(Tabla3[[#This Row],[Site]],'Important Info!'!$A$1:$F$135,6,FALSE)</f>
        <v>1, 4, 15, 16</v>
      </c>
      <c r="Q1497" s="91">
        <f>VLOOKUP(Tabla3[[#This Row],[Site]],'Important Info!'!$A$1:$J$135,9,FALSE)</f>
        <v>204</v>
      </c>
    </row>
    <row r="1498" spans="1:17" x14ac:dyDescent="0.25">
      <c r="A1498" t="str">
        <f>+Tabla3[[#This Row],[Site]]&amp;Tabla3[[#This Row],[Split]]</f>
        <v>(DT) Escondido16</v>
      </c>
      <c r="B1498">
        <v>16</v>
      </c>
      <c r="C1498">
        <v>15</v>
      </c>
      <c r="D1498" t="s">
        <v>51</v>
      </c>
      <c r="E1498" t="s">
        <v>159</v>
      </c>
      <c r="F1498" t="s">
        <v>112</v>
      </c>
      <c r="G1498" t="s">
        <v>164</v>
      </c>
      <c r="H1498" s="52" t="str">
        <f>VLOOKUP(Tabla3[[#This Row],[Site]],'Important Info!'!$A$1:$J$135,10,FALSE)</f>
        <v>https://tools.sig.systems/site/details/196</v>
      </c>
      <c r="I1498" s="43"/>
      <c r="J1498" t="s">
        <v>41</v>
      </c>
      <c r="K1498" s="79" t="str">
        <f>VLOOKUP(Tabla3[[#This Row],[Site]],'Important Info!'!$A$1:$H$135,8,FALSE)</f>
        <v>Saturday Drop Time 9:00 A.M.</v>
      </c>
      <c r="L1498" s="52" t="str">
        <f>VLOOKUP(Tabla3[[#This Row],[Site]],'Important Info!'!$A$1:$F$135,2,FALSE)</f>
        <v>1, 2</v>
      </c>
      <c r="M1498" s="52" t="str">
        <f>VLOOKUP(Tabla3[[#This Row],[Site]],'Important Info!'!$A$1:$F$135,3,FALSE)</f>
        <v>-</v>
      </c>
      <c r="N1498" s="52" t="str">
        <f>VLOOKUP(Tabla3[[#This Row],[Site]],'Important Info!'!$A$1:$F$135,4,FALSE)</f>
        <v>-</v>
      </c>
      <c r="O1498" s="52" t="str">
        <f>VLOOKUP(Tabla3[[#This Row],[Site]],'Important Info!'!$A$1:$F$135,5,FALSE)</f>
        <v>-</v>
      </c>
      <c r="P1498" s="52" t="str">
        <f>VLOOKUP(Tabla3[[#This Row],[Site]],'Important Info!'!$A$1:$F$135,6,FALSE)</f>
        <v>5, 7, 8</v>
      </c>
      <c r="Q1498" s="91">
        <f>VLOOKUP(Tabla3[[#This Row],[Site]],'Important Info!'!$A$1:$J$135,9,FALSE)</f>
        <v>196</v>
      </c>
    </row>
    <row r="1499" spans="1:17" x14ac:dyDescent="0.25">
      <c r="A1499" t="str">
        <f>+Tabla3[[#This Row],[Site]]&amp;Tabla3[[#This Row],[Split]]</f>
        <v>(ML) McLarty Gray-Daniels Ford Lincoln16</v>
      </c>
      <c r="B1499">
        <v>16</v>
      </c>
      <c r="C1499">
        <v>15</v>
      </c>
      <c r="D1499" t="s">
        <v>33</v>
      </c>
      <c r="E1499" t="s">
        <v>46</v>
      </c>
      <c r="F1499" t="s">
        <v>89</v>
      </c>
      <c r="G1499" t="s">
        <v>34</v>
      </c>
      <c r="H1499" s="52" t="str">
        <f>VLOOKUP(Tabla3[[#This Row],[Site]],'Important Info!'!$A$1:$J$135,10,FALSE)</f>
        <v>https://tools.sig.systems/site/details/151</v>
      </c>
      <c r="I1499" s="2" t="s">
        <v>150</v>
      </c>
      <c r="J1499" t="s">
        <v>41</v>
      </c>
      <c r="K1499" s="79" t="str">
        <f>VLOOKUP(Tabla3[[#This Row],[Site]],'Important Info!'!$A$1:$H$135,8,FALSE)</f>
        <v>-</v>
      </c>
      <c r="L1499" s="52">
        <f>VLOOKUP(Tabla3[[#This Row],[Site]],'Important Info!'!$A$1:$F$135,2,FALSE)</f>
        <v>16</v>
      </c>
      <c r="M1499" s="52" t="str">
        <f>VLOOKUP(Tabla3[[#This Row],[Site]],'Important Info!'!$A$1:$F$135,3,FALSE)</f>
        <v>5, 10, 36, 38, 54, 58B</v>
      </c>
      <c r="N1499" s="52" t="str">
        <f>VLOOKUP(Tabla3[[#This Row],[Site]],'Important Info!'!$A$1:$F$135,4,FALSE)</f>
        <v>-</v>
      </c>
      <c r="O1499" s="52" t="str">
        <f>VLOOKUP(Tabla3[[#This Row],[Site]],'Important Info!'!$A$1:$F$135,5,FALSE)</f>
        <v>5, 17, 37</v>
      </c>
      <c r="P1499" s="52" t="str">
        <f>VLOOKUP(Tabla3[[#This Row],[Site]],'Important Info!'!$A$1:$F$135,6,FALSE)</f>
        <v>1, 2, 3, 4</v>
      </c>
      <c r="Q1499" s="91">
        <f>VLOOKUP(Tabla3[[#This Row],[Site]],'Important Info!'!$A$1:$J$135,9,FALSE)</f>
        <v>151</v>
      </c>
    </row>
    <row r="1500" spans="1:17" x14ac:dyDescent="0.25">
      <c r="A1500" t="str">
        <f>+Tabla3[[#This Row],[Site]]&amp;Tabla3[[#This Row],[Split]]</f>
        <v>(PE) JLR Darien PDI (NO TOURS)16</v>
      </c>
      <c r="B1500">
        <v>16</v>
      </c>
      <c r="C1500">
        <v>15</v>
      </c>
      <c r="D1500" t="s">
        <v>485</v>
      </c>
      <c r="E1500" t="s">
        <v>35</v>
      </c>
      <c r="F1500" t="s">
        <v>98</v>
      </c>
      <c r="G1500" t="s">
        <v>490</v>
      </c>
      <c r="H1500" s="52" t="str">
        <f>VLOOKUP(Tabla3[[#This Row],[Site]],'Important Info!'!$A$1:$J$135,10,FALSE)</f>
        <v>https://tools.sig.systems/site/details/187</v>
      </c>
      <c r="I1500" t="s">
        <v>175</v>
      </c>
      <c r="J1500" t="s">
        <v>41</v>
      </c>
      <c r="K1500" s="79" t="str">
        <f>VLOOKUP(Tabla3[[#This Row],[Site]],'Important Info!'!$A$1:$H$135,8,FALSE)</f>
        <v>-</v>
      </c>
      <c r="L1500" s="52">
        <f>VLOOKUP(Tabla3[[#This Row],[Site]],'Important Info!'!$A$1:$F$135,2,FALSE)</f>
        <v>1</v>
      </c>
      <c r="M1500" s="52" t="str">
        <f>VLOOKUP(Tabla3[[#This Row],[Site]],'Important Info!'!$A$1:$F$135,3,FALSE)</f>
        <v>-</v>
      </c>
      <c r="N1500" s="52" t="str">
        <f>VLOOKUP(Tabla3[[#This Row],[Site]],'Important Info!'!$A$1:$F$135,4,FALSE)</f>
        <v>-</v>
      </c>
      <c r="O1500" s="52">
        <f>VLOOKUP(Tabla3[[#This Row],[Site]],'Important Info!'!$A$1:$F$135,5,FALSE)</f>
        <v>1</v>
      </c>
      <c r="P1500" s="52">
        <f>VLOOKUP(Tabla3[[#This Row],[Site]],'Important Info!'!$A$1:$F$135,6,FALSE)</f>
        <v>7</v>
      </c>
      <c r="Q1500" s="91">
        <f>VLOOKUP(Tabla3[[#This Row],[Site]],'Important Info!'!$A$1:$J$135,9,FALSE)</f>
        <v>187</v>
      </c>
    </row>
    <row r="1501" spans="1:17" x14ac:dyDescent="0.25">
      <c r="A1501" t="str">
        <f>+Tabla3[[#This Row],[Site]]&amp;Tabla3[[#This Row],[Split]]</f>
        <v>(RML) Burleson Nissan16</v>
      </c>
      <c r="B1501">
        <v>16</v>
      </c>
      <c r="C1501">
        <v>15</v>
      </c>
      <c r="D1501" t="s">
        <v>33</v>
      </c>
      <c r="E1501" t="s">
        <v>46</v>
      </c>
      <c r="F1501" t="s">
        <v>107</v>
      </c>
      <c r="G1501" t="s">
        <v>34</v>
      </c>
      <c r="H1501" s="52" t="str">
        <f>VLOOKUP(Tabla3[[#This Row],[Site]],'Important Info!'!$A$1:$J$135,10,FALSE)</f>
        <v>https://tools.sig.systems/site/details/202</v>
      </c>
      <c r="J1501" t="s">
        <v>41</v>
      </c>
      <c r="K1501" s="79" t="str">
        <f>VLOOKUP(Tabla3[[#This Row],[Site]],'Important Info!'!$A$1:$H$135,8,FALSE)</f>
        <v>-</v>
      </c>
      <c r="L1501" s="52" t="str">
        <f>VLOOKUP(Tabla3[[#This Row],[Site]],'Important Info!'!$A$1:$F$135,2,FALSE)</f>
        <v>3, 21</v>
      </c>
      <c r="M1501" s="52" t="str">
        <f>VLOOKUP(Tabla3[[#This Row],[Site]],'Important Info!'!$A$1:$F$135,3,FALSE)</f>
        <v>-</v>
      </c>
      <c r="N1501" s="52" t="str">
        <f>VLOOKUP(Tabla3[[#This Row],[Site]],'Important Info!'!$A$1:$F$135,4,FALSE)</f>
        <v>-</v>
      </c>
      <c r="O1501" s="52" t="str">
        <f>VLOOKUP(Tabla3[[#This Row],[Site]],'Important Info!'!$A$1:$F$135,5,FALSE)</f>
        <v>2, 6, 15</v>
      </c>
      <c r="P1501" s="52" t="str">
        <f>VLOOKUP(Tabla3[[#This Row],[Site]],'Important Info!'!$A$1:$F$135,6,FALSE)</f>
        <v>-</v>
      </c>
      <c r="Q1501" s="91">
        <f>VLOOKUP(Tabla3[[#This Row],[Site]],'Important Info!'!$A$1:$J$135,9,FALSE)</f>
        <v>202</v>
      </c>
    </row>
    <row r="1502" spans="1:17" x14ac:dyDescent="0.25">
      <c r="A1502" t="str">
        <f>+Tabla3[[#This Row],[Site]]&amp;Tabla3[[#This Row],[Split]]</f>
        <v>(AS) Coggin Acura Ft Pierce (NO TOURS)16</v>
      </c>
      <c r="B1502">
        <v>16</v>
      </c>
      <c r="C1502">
        <v>16</v>
      </c>
      <c r="D1502" t="s">
        <v>62</v>
      </c>
      <c r="E1502" t="s">
        <v>35</v>
      </c>
      <c r="F1502" t="s">
        <v>500</v>
      </c>
      <c r="G1502" t="s">
        <v>490</v>
      </c>
      <c r="H1502" s="52" t="str">
        <f>VLOOKUP(Tabla3[[#This Row],[Site]],'Important Info!'!$A$1:$J$135,10,FALSE)</f>
        <v>https://tools.sig.systems/site/details/118</v>
      </c>
      <c r="I1502" s="43" t="s">
        <v>179</v>
      </c>
      <c r="J1502" t="s">
        <v>41</v>
      </c>
      <c r="K1502" s="79" t="str">
        <f>VLOOKUP(Tabla3[[#This Row],[Site]],'Important Info!'!$A$1:$H$135,8,FALSE)</f>
        <v>-</v>
      </c>
      <c r="L1502" s="52" t="str">
        <f>VLOOKUP(Tabla3[[#This Row],[Site]],'Important Info!'!$A$1:$F$135,2,FALSE)</f>
        <v>-</v>
      </c>
      <c r="M1502" s="52">
        <f>VLOOKUP(Tabla3[[#This Row],[Site]],'Important Info!'!$A$1:$F$135,3,FALSE)</f>
        <v>6</v>
      </c>
      <c r="N1502" s="52" t="str">
        <f>VLOOKUP(Tabla3[[#This Row],[Site]],'Important Info!'!$A$1:$F$135,4,FALSE)</f>
        <v>-</v>
      </c>
      <c r="O1502" s="52" t="str">
        <f>VLOOKUP(Tabla3[[#This Row],[Site]],'Important Info!'!$A$1:$F$135,5,FALSE)</f>
        <v>4, 6</v>
      </c>
      <c r="P1502" s="52">
        <f>VLOOKUP(Tabla3[[#This Row],[Site]],'Important Info!'!$A$1:$F$135,6,FALSE)</f>
        <v>1</v>
      </c>
      <c r="Q1502" s="91">
        <f>VLOOKUP(Tabla3[[#This Row],[Site]],'Important Info!'!$A$1:$J$135,9,FALSE)</f>
        <v>118</v>
      </c>
    </row>
    <row r="1503" spans="1:17" x14ac:dyDescent="0.25">
      <c r="A1503" t="str">
        <f>+Tabla3[[#This Row],[Site]]&amp;Tabla3[[#This Row],[Split]]</f>
        <v>(AS) Park Place Acura (NO TOURS)16</v>
      </c>
      <c r="B1503">
        <v>16</v>
      </c>
      <c r="C1503">
        <v>16</v>
      </c>
      <c r="D1503" t="s">
        <v>33</v>
      </c>
      <c r="E1503" t="s">
        <v>46</v>
      </c>
      <c r="F1503" t="s">
        <v>513</v>
      </c>
      <c r="G1503" t="s">
        <v>34</v>
      </c>
      <c r="H1503" s="52" t="str">
        <f>VLOOKUP(Tabla3[[#This Row],[Site]],'Important Info!'!$A$1:$J$135,10,FALSE)</f>
        <v>https://tools.sig.systems/site/details/259</v>
      </c>
      <c r="I1503" s="63" t="s">
        <v>127</v>
      </c>
      <c r="J1503" t="s">
        <v>41</v>
      </c>
      <c r="K1503" s="79" t="str">
        <f>VLOOKUP(Tabla3[[#This Row],[Site]],'Important Info!'!$A$1:$H$135,8,FALSE)</f>
        <v>-</v>
      </c>
      <c r="L1503" s="52" t="str">
        <f>VLOOKUP(Tabla3[[#This Row],[Site]],'Important Info!'!$A$1:$F$135,2,FALSE)</f>
        <v>1, 2, 14, 16</v>
      </c>
      <c r="M1503" s="52" t="str">
        <f>VLOOKUP(Tabla3[[#This Row],[Site]],'Important Info!'!$A$1:$F$135,3,FALSE)</f>
        <v>-</v>
      </c>
      <c r="N1503" s="52" t="str">
        <f>VLOOKUP(Tabla3[[#This Row],[Site]],'Important Info!'!$A$1:$F$135,4,FALSE)</f>
        <v>-</v>
      </c>
      <c r="O1503" s="52" t="str">
        <f>VLOOKUP(Tabla3[[#This Row],[Site]],'Important Info!'!$A$1:$F$135,5,FALSE)</f>
        <v>1, 7, 13</v>
      </c>
      <c r="P1503" s="52" t="str">
        <f>VLOOKUP(Tabla3[[#This Row],[Site]],'Important Info!'!$A$1:$F$135,6,FALSE)</f>
        <v>-</v>
      </c>
      <c r="Q1503" s="91">
        <f>VLOOKUP(Tabla3[[#This Row],[Site]],'Important Info!'!$A$1:$J$135,9,FALSE)</f>
        <v>259</v>
      </c>
    </row>
    <row r="1504" spans="1:17" x14ac:dyDescent="0.25">
      <c r="A1504" t="str">
        <f>+Tabla3[[#This Row],[Site]]&amp;Tabla3[[#This Row],[Split]]</f>
        <v>(AS) Stevinson Porsche of Littleton (NO TOURS)16</v>
      </c>
      <c r="B1504">
        <v>16</v>
      </c>
      <c r="C1504">
        <v>16</v>
      </c>
      <c r="D1504" t="s">
        <v>44</v>
      </c>
      <c r="E1504" t="s">
        <v>53</v>
      </c>
      <c r="F1504" t="s">
        <v>78</v>
      </c>
      <c r="G1504" t="s">
        <v>45</v>
      </c>
      <c r="H1504" s="52" t="str">
        <f>VLOOKUP(Tabla3[[#This Row],[Site]],'Important Info!'!$A$1:$J$135,10,FALSE)</f>
        <v>https://tools.sig.systems/site/details/242</v>
      </c>
      <c r="J1504" t="s">
        <v>41</v>
      </c>
      <c r="K1504" s="79" t="str">
        <f>VLOOKUP(Tabla3[[#This Row],[Site]],'Important Info!'!$A$1:$H$135,8,FALSE)</f>
        <v>-</v>
      </c>
      <c r="L1504" s="52" t="str">
        <f>VLOOKUP(Tabla3[[#This Row],[Site]],'Important Info!'!$A$1:$F$135,2,FALSE)</f>
        <v>3, 4</v>
      </c>
      <c r="M1504" s="52">
        <f>VLOOKUP(Tabla3[[#This Row],[Site]],'Important Info!'!$A$1:$F$135,3,FALSE)</f>
        <v>2</v>
      </c>
      <c r="N1504" s="52" t="str">
        <f>VLOOKUP(Tabla3[[#This Row],[Site]],'Important Info!'!$A$1:$F$135,4,FALSE)</f>
        <v>-</v>
      </c>
      <c r="O1504" s="52" t="str">
        <f>VLOOKUP(Tabla3[[#This Row],[Site]],'Important Info!'!$A$1:$F$135,5,FALSE)</f>
        <v>-</v>
      </c>
      <c r="P1504" s="52" t="str">
        <f>VLOOKUP(Tabla3[[#This Row],[Site]],'Important Info!'!$A$1:$F$135,6,FALSE)</f>
        <v>3, 4</v>
      </c>
      <c r="Q1504" s="91">
        <f>VLOOKUP(Tabla3[[#This Row],[Site]],'Important Info!'!$A$1:$J$135,9,FALSE)</f>
        <v>242</v>
      </c>
    </row>
    <row r="1505" spans="1:17" x14ac:dyDescent="0.25">
      <c r="A1505" t="str">
        <f>+Tabla3[[#This Row],[Site]]&amp;Tabla3[[#This Row],[Split]]</f>
        <v>(DT) W Houston16</v>
      </c>
      <c r="B1505">
        <v>16</v>
      </c>
      <c r="C1505">
        <v>16</v>
      </c>
      <c r="D1505" t="s">
        <v>33</v>
      </c>
      <c r="E1505" t="s">
        <v>46</v>
      </c>
      <c r="F1505" t="s">
        <v>69</v>
      </c>
      <c r="G1505" t="s">
        <v>34</v>
      </c>
      <c r="H1505" s="52" t="str">
        <f>VLOOKUP(Tabla3[[#This Row],[Site]],'Important Info!'!$A$1:$J$135,10,FALSE)</f>
        <v>https://tools.sig.systems/site/details/197</v>
      </c>
      <c r="I1505" s="2"/>
      <c r="J1505" t="s">
        <v>41</v>
      </c>
      <c r="K1505" s="79" t="str">
        <f>VLOOKUP(Tabla3[[#This Row],[Site]],'Important Info!'!$A$1:$H$135,8,FALSE)</f>
        <v>-</v>
      </c>
      <c r="L1505" s="52">
        <f>VLOOKUP(Tabla3[[#This Row],[Site]],'Important Info!'!$A$1:$F$135,2,FALSE)</f>
        <v>7</v>
      </c>
      <c r="M1505" s="52">
        <f>VLOOKUP(Tabla3[[#This Row],[Site]],'Important Info!'!$A$1:$F$135,3,FALSE)</f>
        <v>2</v>
      </c>
      <c r="N1505" s="52" t="str">
        <f>VLOOKUP(Tabla3[[#This Row],[Site]],'Important Info!'!$A$1:$F$135,4,FALSE)</f>
        <v>-</v>
      </c>
      <c r="O1505" s="52">
        <f>VLOOKUP(Tabla3[[#This Row],[Site]],'Important Info!'!$A$1:$F$135,5,FALSE)</f>
        <v>14</v>
      </c>
      <c r="P1505" s="52" t="str">
        <f>VLOOKUP(Tabla3[[#This Row],[Site]],'Important Info!'!$A$1:$F$135,6,FALSE)</f>
        <v>2, 3, 7, 10</v>
      </c>
      <c r="Q1505" s="91">
        <f>VLOOKUP(Tabla3[[#This Row],[Site]],'Important Info!'!$A$1:$J$135,9,FALSE)</f>
        <v>197</v>
      </c>
    </row>
    <row r="1506" spans="1:17" x14ac:dyDescent="0.25">
      <c r="A1506" t="str">
        <f>+Tabla3[[#This Row],[Site]]&amp;Tabla3[[#This Row],[Split]]</f>
        <v>(DT) Wichita16</v>
      </c>
      <c r="B1506">
        <v>16</v>
      </c>
      <c r="C1506">
        <v>16</v>
      </c>
      <c r="D1506" t="s">
        <v>33</v>
      </c>
      <c r="E1506" t="s">
        <v>46</v>
      </c>
      <c r="F1506" t="s">
        <v>131</v>
      </c>
      <c r="G1506" t="s">
        <v>34</v>
      </c>
      <c r="H1506" s="52" t="str">
        <f>VLOOKUP(Tabla3[[#This Row],[Site]],'Important Info!'!$A$1:$J$135,10,FALSE)</f>
        <v>https://tools.sig.systems/site/details/257</v>
      </c>
      <c r="J1506" t="s">
        <v>41</v>
      </c>
      <c r="K1506" s="79" t="str">
        <f>VLOOKUP(Tabla3[[#This Row],[Site]],'Important Info!'!$A$1:$H$135,8,FALSE)</f>
        <v>-</v>
      </c>
      <c r="L1506" s="52" t="str">
        <f>VLOOKUP(Tabla3[[#This Row],[Site]],'Important Info!'!$A$1:$F$135,2,FALSE)</f>
        <v>-</v>
      </c>
      <c r="M1506" s="52" t="str">
        <f>VLOOKUP(Tabla3[[#This Row],[Site]],'Important Info!'!$A$1:$F$135,3,FALSE)</f>
        <v>10, 11</v>
      </c>
      <c r="N1506" s="52" t="str">
        <f>VLOOKUP(Tabla3[[#This Row],[Site]],'Important Info!'!$A$1:$F$135,4,FALSE)</f>
        <v>-</v>
      </c>
      <c r="O1506" s="52" t="str">
        <f>VLOOKUP(Tabla3[[#This Row],[Site]],'Important Info!'!$A$1:$F$135,5,FALSE)</f>
        <v>-</v>
      </c>
      <c r="P1506" s="52" t="str">
        <f>VLOOKUP(Tabla3[[#This Row],[Site]],'Important Info!'!$A$1:$F$135,6,FALSE)</f>
        <v>1, 5, 6, 10</v>
      </c>
      <c r="Q1506" s="91">
        <f>VLOOKUP(Tabla3[[#This Row],[Site]],'Important Info!'!$A$1:$J$135,9,FALSE)</f>
        <v>257</v>
      </c>
    </row>
    <row r="1507" spans="1:17" x14ac:dyDescent="0.25">
      <c r="A1507" t="str">
        <f>+Tabla3[[#This Row],[Site]]&amp;Tabla3[[#This Row],[Split]]</f>
        <v>(ML) McLarty Gray-Daniels Toyota Nissan16</v>
      </c>
      <c r="B1507">
        <v>16</v>
      </c>
      <c r="C1507">
        <v>16</v>
      </c>
      <c r="D1507" t="s">
        <v>33</v>
      </c>
      <c r="E1507" t="s">
        <v>46</v>
      </c>
      <c r="F1507" t="s">
        <v>90</v>
      </c>
      <c r="G1507" t="s">
        <v>34</v>
      </c>
      <c r="H1507" s="52" t="str">
        <f>VLOOKUP(Tabla3[[#This Row],[Site]],'Important Info!'!$A$1:$J$135,10,FALSE)</f>
        <v>https://tools.sig.systems/site/details/152</v>
      </c>
      <c r="I1507" s="2" t="s">
        <v>150</v>
      </c>
      <c r="J1507" t="s">
        <v>41</v>
      </c>
      <c r="K1507" s="79" t="str">
        <f>VLOOKUP(Tabla3[[#This Row],[Site]],'Important Info!'!$A$1:$H$135,8,FALSE)</f>
        <v>-</v>
      </c>
      <c r="L1507" s="52" t="str">
        <f>VLOOKUP(Tabla3[[#This Row],[Site]],'Important Info!'!$A$1:$F$135,2,FALSE)</f>
        <v>-</v>
      </c>
      <c r="M1507" s="52" t="str">
        <f>VLOOKUP(Tabla3[[#This Row],[Site]],'Important Info!'!$A$1:$F$135,3,FALSE)</f>
        <v>8, 11, 39, 43</v>
      </c>
      <c r="N1507" s="52" t="str">
        <f>VLOOKUP(Tabla3[[#This Row],[Site]],'Important Info!'!$A$1:$F$135,4,FALSE)</f>
        <v>-</v>
      </c>
      <c r="O1507" s="52" t="str">
        <f>VLOOKUP(Tabla3[[#This Row],[Site]],'Important Info!'!$A$1:$F$135,5,FALSE)</f>
        <v>6, 11, 15, 18</v>
      </c>
      <c r="P1507" s="52" t="str">
        <f>VLOOKUP(Tabla3[[#This Row],[Site]],'Important Info!'!$A$1:$F$135,6,FALSE)</f>
        <v>7, 8, 9</v>
      </c>
      <c r="Q1507" s="91">
        <f>VLOOKUP(Tabla3[[#This Row],[Site]],'Important Info!'!$A$1:$J$135,9,FALSE)</f>
        <v>152</v>
      </c>
    </row>
    <row r="1508" spans="1:17" x14ac:dyDescent="0.25">
      <c r="A1508" t="str">
        <f>+Tabla3[[#This Row],[Site]]&amp;Tabla3[[#This Row],[Split]]</f>
        <v>(RV) Sonny's Camp N Travel Concord16</v>
      </c>
      <c r="B1508">
        <v>16</v>
      </c>
      <c r="C1508">
        <v>16</v>
      </c>
      <c r="D1508" t="s">
        <v>62</v>
      </c>
      <c r="E1508" t="s">
        <v>35</v>
      </c>
      <c r="F1508" t="s">
        <v>188</v>
      </c>
      <c r="G1508" t="s">
        <v>490</v>
      </c>
      <c r="H1508" s="52" t="str">
        <f>VLOOKUP(Tabla3[[#This Row],[Site]],'Important Info!'!$A$1:$J$135,10,FALSE)</f>
        <v>https://tools.sig.systems/site/details/183</v>
      </c>
      <c r="J1508" t="s">
        <v>41</v>
      </c>
      <c r="K1508" s="79" t="str">
        <f>VLOOKUP(Tabla3[[#This Row],[Site]],'Important Info!'!$A$1:$H$135,8,FALSE)</f>
        <v>-</v>
      </c>
      <c r="L1508" s="52">
        <f>VLOOKUP(Tabla3[[#This Row],[Site]],'Important Info!'!$A$1:$F$135,2,FALSE)</f>
        <v>1</v>
      </c>
      <c r="M1508" s="52" t="str">
        <f>VLOOKUP(Tabla3[[#This Row],[Site]],'Important Info!'!$A$1:$F$135,3,FALSE)</f>
        <v>-</v>
      </c>
      <c r="N1508" s="52" t="str">
        <f>VLOOKUP(Tabla3[[#This Row],[Site]],'Important Info!'!$A$1:$F$135,4,FALSE)</f>
        <v>-</v>
      </c>
      <c r="O1508" s="52">
        <f>VLOOKUP(Tabla3[[#This Row],[Site]],'Important Info!'!$A$1:$F$135,5,FALSE)</f>
        <v>7</v>
      </c>
      <c r="P1508" s="52" t="str">
        <f>VLOOKUP(Tabla3[[#This Row],[Site]],'Important Info!'!$A$1:$F$135,6,FALSE)</f>
        <v>6, 7, 8, 9</v>
      </c>
      <c r="Q1508" s="91">
        <f>VLOOKUP(Tabla3[[#This Row],[Site]],'Important Info!'!$A$1:$J$135,9,FALSE)</f>
        <v>183</v>
      </c>
    </row>
    <row r="1509" spans="1:17" x14ac:dyDescent="0.25">
      <c r="A1509" t="str">
        <f>+Tabla3[[#This Row],[Site]]&amp;Tabla3[[#This Row],[Split]]</f>
        <v>SIG Office16</v>
      </c>
      <c r="B1509">
        <v>16</v>
      </c>
      <c r="C1509">
        <v>16</v>
      </c>
      <c r="D1509" t="s">
        <v>60</v>
      </c>
      <c r="E1509" t="s">
        <v>35</v>
      </c>
      <c r="F1509" t="s">
        <v>169</v>
      </c>
      <c r="G1509" t="s">
        <v>41</v>
      </c>
      <c r="H1509" s="52" t="str">
        <f>VLOOKUP(Tabla3[[#This Row],[Site]],'Important Info!'!$A$1:$J$135,10,FALSE)</f>
        <v>https://tools.sig.systems/site/details/163</v>
      </c>
      <c r="J1509" t="s">
        <v>41</v>
      </c>
      <c r="K1509" s="79" t="str">
        <f>VLOOKUP(Tabla3[[#This Row],[Site]],'Important Info!'!$A$1:$H$135,8,FALSE)</f>
        <v>-</v>
      </c>
      <c r="L1509" s="52" t="str">
        <f>VLOOKUP(Tabla3[[#This Row],[Site]],'Important Info!'!$A$1:$F$135,2,FALSE)</f>
        <v>-</v>
      </c>
      <c r="M1509" s="52" t="str">
        <f>VLOOKUP(Tabla3[[#This Row],[Site]],'Important Info!'!$A$1:$F$135,3,FALSE)</f>
        <v>-</v>
      </c>
      <c r="N1509" s="52" t="str">
        <f>VLOOKUP(Tabla3[[#This Row],[Site]],'Important Info!'!$A$1:$F$135,4,FALSE)</f>
        <v>-</v>
      </c>
      <c r="O1509" s="52" t="str">
        <f>VLOOKUP(Tabla3[[#This Row],[Site]],'Important Info!'!$A$1:$F$135,5,FALSE)</f>
        <v>-</v>
      </c>
      <c r="P1509" s="52">
        <f>VLOOKUP(Tabla3[[#This Row],[Site]],'Important Info!'!$A$1:$F$135,6,FALSE)</f>
        <v>25</v>
      </c>
      <c r="Q1509" s="91">
        <f>VLOOKUP(Tabla3[[#This Row],[Site]],'Important Info!'!$A$1:$J$135,9,FALSE)</f>
        <v>163</v>
      </c>
    </row>
    <row r="1510" spans="1:17" x14ac:dyDescent="0.25">
      <c r="A1510" t="str">
        <f>+Tabla3[[#This Row],[Site]]&amp;Tabla3[[#This Row],[Split]]</f>
        <v>(AS) Park Place Bodywerks Ft. Worth (NO TOURS)17</v>
      </c>
      <c r="B1510">
        <v>17</v>
      </c>
      <c r="C1510">
        <v>1</v>
      </c>
      <c r="D1510" t="s">
        <v>33</v>
      </c>
      <c r="E1510" t="s">
        <v>46</v>
      </c>
      <c r="F1510" t="s">
        <v>515</v>
      </c>
      <c r="G1510" t="s">
        <v>34</v>
      </c>
      <c r="H1510" s="52" t="str">
        <f>VLOOKUP(Tabla3[[#This Row],[Site]],'Important Info!'!$A$1:$J$135,10,FALSE)</f>
        <v>https://tools.sig.systems/site/details/134</v>
      </c>
      <c r="I1510" s="65" t="s">
        <v>128</v>
      </c>
      <c r="J1510" t="s">
        <v>41</v>
      </c>
      <c r="K1510" s="79" t="str">
        <f>VLOOKUP(Tabla3[[#This Row],[Site]],'Important Info!'!$A$1:$H$135,8,FALSE)</f>
        <v>-</v>
      </c>
      <c r="L1510" s="52" t="str">
        <f>VLOOKUP(Tabla3[[#This Row],[Site]],'Important Info!'!$A$1:$F$135,2,FALSE)</f>
        <v>2, 3, RemoteLot5, RemoteLot9</v>
      </c>
      <c r="M1510" s="52" t="str">
        <f>VLOOKUP(Tabla3[[#This Row],[Site]],'Important Info!'!$A$1:$F$135,3,FALSE)</f>
        <v>-</v>
      </c>
      <c r="N1510" s="52" t="str">
        <f>VLOOKUP(Tabla3[[#This Row],[Site]],'Important Info!'!$A$1:$F$135,4,FALSE)</f>
        <v>-</v>
      </c>
      <c r="O1510" s="52" t="str">
        <f>VLOOKUP(Tabla3[[#This Row],[Site]],'Important Info!'!$A$1:$F$135,5,FALSE)</f>
        <v>1, 7, RL1, RL5, RL9</v>
      </c>
      <c r="P1510" s="52" t="str">
        <f>VLOOKUP(Tabla3[[#This Row],[Site]],'Important Info!'!$A$1:$F$135,6,FALSE)</f>
        <v>3, 4, 15</v>
      </c>
      <c r="Q1510" s="91">
        <f>VLOOKUP(Tabla3[[#This Row],[Site]],'Important Info!'!$A$1:$J$135,9,FALSE)</f>
        <v>134</v>
      </c>
    </row>
    <row r="1511" spans="1:17" x14ac:dyDescent="0.25">
      <c r="A1511" t="str">
        <f>+Tabla3[[#This Row],[Site]]&amp;Tabla3[[#This Row],[Split]]</f>
        <v>(DT) Louisville17</v>
      </c>
      <c r="B1511">
        <v>17</v>
      </c>
      <c r="C1511">
        <v>1</v>
      </c>
      <c r="D1511" t="s">
        <v>62</v>
      </c>
      <c r="E1511" t="s">
        <v>35</v>
      </c>
      <c r="F1511" t="s">
        <v>99</v>
      </c>
      <c r="G1511" t="s">
        <v>490</v>
      </c>
      <c r="H1511" s="52" t="str">
        <f>VLOOKUP(Tabla3[[#This Row],[Site]],'Important Info!'!$A$1:$J$135,10,FALSE)</f>
        <v>https://tools.sig.systems/site/details/258</v>
      </c>
      <c r="J1511" t="s">
        <v>41</v>
      </c>
      <c r="K1511" s="79" t="str">
        <f>VLOOKUP(Tabla3[[#This Row],[Site]],'Important Info!'!$A$1:$H$135,8,FALSE)</f>
        <v>-</v>
      </c>
      <c r="L1511" s="52" t="str">
        <f>VLOOKUP(Tabla3[[#This Row],[Site]],'Important Info!'!$A$1:$F$135,2,FALSE)</f>
        <v>-</v>
      </c>
      <c r="M1511" s="52">
        <f>VLOOKUP(Tabla3[[#This Row],[Site]],'Important Info!'!$A$1:$F$135,3,FALSE)</f>
        <v>3</v>
      </c>
      <c r="N1511" s="52" t="str">
        <f>VLOOKUP(Tabla3[[#This Row],[Site]],'Important Info!'!$A$1:$F$135,4,FALSE)</f>
        <v>-</v>
      </c>
      <c r="O1511" s="52" t="str">
        <f>VLOOKUP(Tabla3[[#This Row],[Site]],'Important Info!'!$A$1:$F$135,5,FALSE)</f>
        <v>-</v>
      </c>
      <c r="P1511" s="52" t="str">
        <f>VLOOKUP(Tabla3[[#This Row],[Site]],'Important Info!'!$A$1:$F$135,6,FALSE)</f>
        <v>3, 8</v>
      </c>
      <c r="Q1511" s="91">
        <f>VLOOKUP(Tabla3[[#This Row],[Site]],'Important Info!'!$A$1:$J$135,9,FALSE)</f>
        <v>258</v>
      </c>
    </row>
    <row r="1512" spans="1:17" x14ac:dyDescent="0.25">
      <c r="A1512" t="str">
        <f>+Tabla3[[#This Row],[Site]]&amp;Tabla3[[#This Row],[Split]]</f>
        <v>(DT) N. Houston17</v>
      </c>
      <c r="B1512">
        <v>17</v>
      </c>
      <c r="C1512">
        <v>1</v>
      </c>
      <c r="D1512" t="s">
        <v>33</v>
      </c>
      <c r="E1512" t="s">
        <v>46</v>
      </c>
      <c r="F1512" t="s">
        <v>68</v>
      </c>
      <c r="G1512" t="s">
        <v>34</v>
      </c>
      <c r="H1512" s="52" t="str">
        <f>VLOOKUP(Tabla3[[#This Row],[Site]],'Important Info!'!$A$1:$J$135,10,FALSE)</f>
        <v>https://tools.sig.systems/site/details/250</v>
      </c>
      <c r="I1512" s="43"/>
      <c r="J1512" t="s">
        <v>41</v>
      </c>
      <c r="K1512" s="79" t="str">
        <f>VLOOKUP(Tabla3[[#This Row],[Site]],'Important Info!'!$A$1:$H$135,8,FALSE)</f>
        <v>-</v>
      </c>
      <c r="L1512" s="52" t="str">
        <f>VLOOKUP(Tabla3[[#This Row],[Site]],'Important Info!'!$A$1:$F$135,2,FALSE)</f>
        <v>2, 10, 18</v>
      </c>
      <c r="M1512" s="52" t="str">
        <f>VLOOKUP(Tabla3[[#This Row],[Site]],'Important Info!'!$A$1:$F$135,3,FALSE)</f>
        <v>-</v>
      </c>
      <c r="N1512" s="52" t="str">
        <f>VLOOKUP(Tabla3[[#This Row],[Site]],'Important Info!'!$A$1:$F$135,4,FALSE)</f>
        <v>-</v>
      </c>
      <c r="O1512" s="52">
        <f>VLOOKUP(Tabla3[[#This Row],[Site]],'Important Info!'!$A$1:$F$135,5,FALSE)</f>
        <v>15</v>
      </c>
      <c r="P1512" s="52" t="str">
        <f>VLOOKUP(Tabla3[[#This Row],[Site]],'Important Info!'!$A$1:$F$135,6,FALSE)</f>
        <v>2, 4, 18</v>
      </c>
      <c r="Q1512" s="91">
        <f>VLOOKUP(Tabla3[[#This Row],[Site]],'Important Info!'!$A$1:$J$135,9,FALSE)</f>
        <v>250</v>
      </c>
    </row>
    <row r="1513" spans="1:17" x14ac:dyDescent="0.25">
      <c r="A1513" t="str">
        <f>+Tabla3[[#This Row],[Site]]&amp;Tabla3[[#This Row],[Split]]</f>
        <v>(KG) Clear Lake Pre-Owned17</v>
      </c>
      <c r="B1513">
        <v>17</v>
      </c>
      <c r="C1513">
        <v>1</v>
      </c>
      <c r="D1513" t="s">
        <v>33</v>
      </c>
      <c r="E1513" t="s">
        <v>46</v>
      </c>
      <c r="F1513" t="s">
        <v>87</v>
      </c>
      <c r="G1513" t="s">
        <v>34</v>
      </c>
      <c r="H1513" s="52" t="str">
        <f>VLOOKUP(Tabla3[[#This Row],[Site]],'Important Info!'!$A$1:$J$135,10,FALSE)</f>
        <v>https://tools.sig.systems/site/details/255</v>
      </c>
      <c r="I1513" s="2" t="s">
        <v>134</v>
      </c>
      <c r="J1513" t="s">
        <v>41</v>
      </c>
      <c r="K1513" s="79" t="str">
        <f>VLOOKUP(Tabla3[[#This Row],[Site]],'Important Info!'!$A$1:$H$135,8,FALSE)</f>
        <v>-</v>
      </c>
      <c r="L1513" s="52" t="str">
        <f>VLOOKUP(Tabla3[[#This Row],[Site]],'Important Info!'!$A$1:$F$135,2,FALSE)</f>
        <v>3, 5</v>
      </c>
      <c r="M1513" s="52" t="str">
        <f>VLOOKUP(Tabla3[[#This Row],[Site]],'Important Info!'!$A$1:$F$135,3,FALSE)</f>
        <v>-</v>
      </c>
      <c r="N1513" s="52" t="str">
        <f>VLOOKUP(Tabla3[[#This Row],[Site]],'Important Info!'!$A$1:$F$135,4,FALSE)</f>
        <v>-</v>
      </c>
      <c r="O1513" s="52" t="str">
        <f>VLOOKUP(Tabla3[[#This Row],[Site]],'Important Info!'!$A$1:$F$135,5,FALSE)</f>
        <v>4, 10, 22</v>
      </c>
      <c r="P1513" s="52" t="str">
        <f>VLOOKUP(Tabla3[[#This Row],[Site]],'Important Info!'!$A$1:$F$135,6,FALSE)</f>
        <v>8, 15, 20</v>
      </c>
      <c r="Q1513" s="91">
        <f>VLOOKUP(Tabla3[[#This Row],[Site]],'Important Info!'!$A$1:$J$135,9,FALSE)</f>
        <v>255</v>
      </c>
    </row>
    <row r="1514" spans="1:17" x14ac:dyDescent="0.25">
      <c r="A1514" t="str">
        <f>+Tabla3[[#This Row],[Site]]&amp;Tabla3[[#This Row],[Split]]</f>
        <v>(ML) Nissan Of Benton17</v>
      </c>
      <c r="B1514">
        <v>17</v>
      </c>
      <c r="C1514">
        <v>1</v>
      </c>
      <c r="D1514" t="s">
        <v>33</v>
      </c>
      <c r="E1514" t="s">
        <v>46</v>
      </c>
      <c r="F1514" s="41" t="s">
        <v>120</v>
      </c>
      <c r="G1514" t="s">
        <v>34</v>
      </c>
      <c r="H1514" s="52" t="str">
        <f>VLOOKUP(Tabla3[[#This Row],[Site]],'Important Info!'!$A$1:$J$135,10,FALSE)</f>
        <v>https://tools.sig.systems/site/details/247</v>
      </c>
      <c r="I1514" s="2"/>
      <c r="J1514" t="s">
        <v>41</v>
      </c>
      <c r="K1514" s="79" t="str">
        <f>VLOOKUP(Tabla3[[#This Row],[Site]],'Important Info!'!$A$1:$H$135,8,FALSE)</f>
        <v>-</v>
      </c>
      <c r="L1514" s="52" t="str">
        <f>VLOOKUP(Tabla3[[#This Row],[Site]],'Important Info!'!$A$1:$F$135,2,FALSE)</f>
        <v>5, 12</v>
      </c>
      <c r="M1514" s="52" t="str">
        <f>VLOOKUP(Tabla3[[#This Row],[Site]],'Important Info!'!$A$1:$F$135,3,FALSE)</f>
        <v>-</v>
      </c>
      <c r="N1514" s="52" t="str">
        <f>VLOOKUP(Tabla3[[#This Row],[Site]],'Important Info!'!$A$1:$F$135,4,FALSE)</f>
        <v>-</v>
      </c>
      <c r="O1514" s="52" t="str">
        <f>VLOOKUP(Tabla3[[#This Row],[Site]],'Important Info!'!$A$1:$F$135,5,FALSE)</f>
        <v>4, 18</v>
      </c>
      <c r="P1514" s="52" t="str">
        <f>VLOOKUP(Tabla3[[#This Row],[Site]],'Important Info!'!$A$1:$F$135,6,FALSE)</f>
        <v>-</v>
      </c>
      <c r="Q1514" s="91">
        <f>VLOOKUP(Tabla3[[#This Row],[Site]],'Important Info!'!$A$1:$J$135,9,FALSE)</f>
        <v>247</v>
      </c>
    </row>
    <row r="1515" spans="1:17" x14ac:dyDescent="0.25">
      <c r="A1515" t="str">
        <f>+Tabla3[[#This Row],[Site]]&amp;Tabla3[[#This Row],[Split]]</f>
        <v>(PE) Hudson Toyota Nissan CDJR (NO TOURS)17</v>
      </c>
      <c r="B1515">
        <v>17</v>
      </c>
      <c r="C1515">
        <v>1</v>
      </c>
      <c r="D1515" t="s">
        <v>485</v>
      </c>
      <c r="E1515" t="s">
        <v>35</v>
      </c>
      <c r="F1515" t="s">
        <v>82</v>
      </c>
      <c r="G1515" t="s">
        <v>490</v>
      </c>
      <c r="H1515" s="52" t="str">
        <f>VLOOKUP(Tabla3[[#This Row],[Site]],'Important Info!'!$A$1:$J$135,10,FALSE)</f>
        <v>https://tools.sig.systems/site/details/156</v>
      </c>
      <c r="J1515" t="s">
        <v>41</v>
      </c>
      <c r="K1515" s="79" t="str">
        <f>VLOOKUP(Tabla3[[#This Row],[Site]],'Important Info!'!$A$1:$H$135,8,FALSE)</f>
        <v>-</v>
      </c>
      <c r="L1515" s="52">
        <f>VLOOKUP(Tabla3[[#This Row],[Site]],'Important Info!'!$A$1:$F$135,2,FALSE)</f>
        <v>5</v>
      </c>
      <c r="M1515" s="52" t="str">
        <f>VLOOKUP(Tabla3[[#This Row],[Site]],'Important Info!'!$A$1:$F$135,3,FALSE)</f>
        <v>3, 7, 18</v>
      </c>
      <c r="N1515" s="52" t="str">
        <f>VLOOKUP(Tabla3[[#This Row],[Site]],'Important Info!'!$A$1:$F$135,4,FALSE)</f>
        <v>-</v>
      </c>
      <c r="O1515" s="52">
        <f>VLOOKUP(Tabla3[[#This Row],[Site]],'Important Info!'!$A$1:$F$135,5,FALSE)</f>
        <v>84</v>
      </c>
      <c r="P1515" s="52" t="str">
        <f>VLOOKUP(Tabla3[[#This Row],[Site]],'Important Info!'!$A$1:$F$135,6,FALSE)</f>
        <v>1, 2, 3, 4, 5, 6, 7, 8</v>
      </c>
      <c r="Q1515" s="91">
        <f>VLOOKUP(Tabla3[[#This Row],[Site]],'Important Info!'!$A$1:$J$135,9,FALSE)</f>
        <v>156</v>
      </c>
    </row>
    <row r="1516" spans="1:17" x14ac:dyDescent="0.25">
      <c r="A1516" t="str">
        <f>+Tabla3[[#This Row],[Site]]&amp;Tabla3[[#This Row],[Split]]</f>
        <v>(PE) Scofield Service Center (NO TOURS)17</v>
      </c>
      <c r="B1516">
        <v>17</v>
      </c>
      <c r="C1516">
        <v>1</v>
      </c>
      <c r="D1516" t="s">
        <v>485</v>
      </c>
      <c r="E1516" t="s">
        <v>35</v>
      </c>
      <c r="F1516" t="s">
        <v>83</v>
      </c>
      <c r="G1516" t="s">
        <v>490</v>
      </c>
      <c r="H1516" s="52" t="str">
        <f>VLOOKUP(Tabla3[[#This Row],[Site]],'Important Info!'!$A$1:$J$135,10,FALSE)</f>
        <v>https://tools.sig.systems/site/details/193</v>
      </c>
      <c r="I1516" t="s">
        <v>177</v>
      </c>
      <c r="J1516" t="s">
        <v>41</v>
      </c>
      <c r="K1516" s="79" t="str">
        <f>VLOOKUP(Tabla3[[#This Row],[Site]],'Important Info!'!$A$1:$H$135,8,FALSE)</f>
        <v>-</v>
      </c>
      <c r="L1516" s="52">
        <f>VLOOKUP(Tabla3[[#This Row],[Site]],'Important Info!'!$A$1:$F$135,2,FALSE)</f>
        <v>1</v>
      </c>
      <c r="M1516" s="52" t="str">
        <f>VLOOKUP(Tabla3[[#This Row],[Site]],'Important Info!'!$A$1:$F$135,3,FALSE)</f>
        <v>-</v>
      </c>
      <c r="N1516" s="52" t="str">
        <f>VLOOKUP(Tabla3[[#This Row],[Site]],'Important Info!'!$A$1:$F$135,4,FALSE)</f>
        <v>-</v>
      </c>
      <c r="O1516" s="52">
        <f>VLOOKUP(Tabla3[[#This Row],[Site]],'Important Info!'!$A$1:$F$135,5,FALSE)</f>
        <v>9</v>
      </c>
      <c r="P1516" s="52" t="str">
        <f>VLOOKUP(Tabla3[[#This Row],[Site]],'Important Info!'!$A$1:$F$135,6,FALSE)</f>
        <v>1, 17</v>
      </c>
      <c r="Q1516" s="91">
        <f>VLOOKUP(Tabla3[[#This Row],[Site]],'Important Info!'!$A$1:$J$135,9,FALSE)</f>
        <v>193</v>
      </c>
    </row>
    <row r="1517" spans="1:17" x14ac:dyDescent="0.25">
      <c r="A1517" t="str">
        <f>+Tabla3[[#This Row],[Site]]&amp;Tabla3[[#This Row],[Split]]</f>
        <v>(RV) Toms Camperland Avondale (NO TOURS)17</v>
      </c>
      <c r="B1517">
        <v>17</v>
      </c>
      <c r="C1517">
        <v>1</v>
      </c>
      <c r="D1517" t="s">
        <v>51</v>
      </c>
      <c r="E1517" t="s">
        <v>161</v>
      </c>
      <c r="F1517" t="s">
        <v>80</v>
      </c>
      <c r="G1517" t="s">
        <v>52</v>
      </c>
      <c r="H1517" s="52" t="str">
        <f>VLOOKUP(Tabla3[[#This Row],[Site]],'Important Info!'!$A$1:$J$135,10,FALSE)</f>
        <v>https://tools.sig.systems/site/details/248</v>
      </c>
      <c r="I1517" s="2" t="s">
        <v>163</v>
      </c>
      <c r="J1517" t="s">
        <v>164</v>
      </c>
      <c r="K1517" s="79" t="str">
        <f>VLOOKUP(Tabla3[[#This Row],[Site]],'Important Info!'!$A$1:$H$135,8,FALSE)</f>
        <v>-</v>
      </c>
      <c r="L1517" s="52">
        <f>VLOOKUP(Tabla3[[#This Row],[Site]],'Important Info!'!$A$1:$F$135,2,FALSE)</f>
        <v>10</v>
      </c>
      <c r="M1517" s="52" t="str">
        <f>VLOOKUP(Tabla3[[#This Row],[Site]],'Important Info!'!$A$1:$F$135,3,FALSE)</f>
        <v>2, 7</v>
      </c>
      <c r="N1517" s="52" t="str">
        <f>VLOOKUP(Tabla3[[#This Row],[Site]],'Important Info!'!$A$1:$F$135,4,FALSE)</f>
        <v>-</v>
      </c>
      <c r="O1517" s="52" t="str">
        <f>VLOOKUP(Tabla3[[#This Row],[Site]],'Important Info!'!$A$1:$F$135,5,FALSE)</f>
        <v>-</v>
      </c>
      <c r="P1517" s="52" t="str">
        <f>VLOOKUP(Tabla3[[#This Row],[Site]],'Important Info!'!$A$1:$F$135,6,FALSE)</f>
        <v>2, 7, 8, 13, 15</v>
      </c>
      <c r="Q1517" s="91">
        <f>VLOOKUP(Tabla3[[#This Row],[Site]],'Important Info!'!$A$1:$J$135,9,FALSE)</f>
        <v>248</v>
      </c>
    </row>
    <row r="1518" spans="1:17" x14ac:dyDescent="0.25">
      <c r="A1518" t="str">
        <f>+Tabla3[[#This Row],[Site]]&amp;Tabla3[[#This Row],[Split]]</f>
        <v>(AS) Stevinson Toyota West (NO TOURS)17</v>
      </c>
      <c r="B1518">
        <v>17</v>
      </c>
      <c r="C1518">
        <v>2</v>
      </c>
      <c r="D1518" t="s">
        <v>44</v>
      </c>
      <c r="E1518" t="s">
        <v>53</v>
      </c>
      <c r="F1518" t="s">
        <v>79</v>
      </c>
      <c r="G1518" t="s">
        <v>45</v>
      </c>
      <c r="H1518" s="52" t="str">
        <f>VLOOKUP(Tabla3[[#This Row],[Site]],'Important Info!'!$A$1:$J$135,10,FALSE)</f>
        <v>https://tools.sig.systems/site/details/240</v>
      </c>
      <c r="I1518" s="2" t="s">
        <v>154</v>
      </c>
      <c r="J1518" t="s">
        <v>41</v>
      </c>
      <c r="K1518" s="79" t="str">
        <f>VLOOKUP(Tabla3[[#This Row],[Site]],'Important Info!'!$A$1:$H$135,8,FALSE)</f>
        <v>-</v>
      </c>
      <c r="L1518" s="52" t="str">
        <f>VLOOKUP(Tabla3[[#This Row],[Site]],'Important Info!'!$A$1:$F$135,2,FALSE)</f>
        <v>-</v>
      </c>
      <c r="M1518" s="52" t="str">
        <f>VLOOKUP(Tabla3[[#This Row],[Site]],'Important Info!'!$A$1:$F$135,3,FALSE)</f>
        <v>7, 18, 21</v>
      </c>
      <c r="N1518" s="52" t="str">
        <f>VLOOKUP(Tabla3[[#This Row],[Site]],'Important Info!'!$A$1:$F$135,4,FALSE)</f>
        <v>-</v>
      </c>
      <c r="O1518" s="52" t="str">
        <f>VLOOKUP(Tabla3[[#This Row],[Site]],'Important Info!'!$A$1:$F$135,5,FALSE)</f>
        <v>11, 24, 34</v>
      </c>
      <c r="P1518" s="52" t="str">
        <f>VLOOKUP(Tabla3[[#This Row],[Site]],'Important Info!'!$A$1:$F$135,6,FALSE)</f>
        <v>1, 2, 3, 12</v>
      </c>
      <c r="Q1518" s="91">
        <f>VLOOKUP(Tabla3[[#This Row],[Site]],'Important Info!'!$A$1:$J$135,9,FALSE)</f>
        <v>240</v>
      </c>
    </row>
    <row r="1519" spans="1:17" x14ac:dyDescent="0.25">
      <c r="A1519" t="str">
        <f>+Tabla3[[#This Row],[Site]]&amp;Tabla3[[#This Row],[Split]]</f>
        <v>(JE) Jim Ellis Ford Sandy Springs17</v>
      </c>
      <c r="B1519">
        <v>17</v>
      </c>
      <c r="C1519">
        <v>2</v>
      </c>
      <c r="D1519" t="s">
        <v>62</v>
      </c>
      <c r="E1519" t="s">
        <v>35</v>
      </c>
      <c r="F1519" t="s">
        <v>187</v>
      </c>
      <c r="G1519" t="s">
        <v>490</v>
      </c>
      <c r="H1519" s="52" t="str">
        <f>VLOOKUP(Tabla3[[#This Row],[Site]],'Important Info!'!$A$1:$J$135,10,FALSE)</f>
        <v>https://tools.sig.systems/site/details/142</v>
      </c>
      <c r="I1519" s="2"/>
      <c r="J1519" t="s">
        <v>41</v>
      </c>
      <c r="K1519" s="79" t="str">
        <f>VLOOKUP(Tabla3[[#This Row],[Site]],'Important Info!'!$A$1:$H$135,8,FALSE)</f>
        <v>-</v>
      </c>
      <c r="L1519" s="52" t="str">
        <f>VLOOKUP(Tabla3[[#This Row],[Site]],'Important Info!'!$A$1:$F$135,2,FALSE)</f>
        <v>1, 5</v>
      </c>
      <c r="M1519" s="52" t="str">
        <f>VLOOKUP(Tabla3[[#This Row],[Site]],'Important Info!'!$A$1:$F$135,3,FALSE)</f>
        <v>-</v>
      </c>
      <c r="N1519" s="52" t="str">
        <f>VLOOKUP(Tabla3[[#This Row],[Site]],'Important Info!'!$A$1:$F$135,4,FALSE)</f>
        <v>-</v>
      </c>
      <c r="O1519" s="52" t="str">
        <f>VLOOKUP(Tabla3[[#This Row],[Site]],'Important Info!'!$A$1:$F$135,5,FALSE)</f>
        <v>1, 5, 9, 26</v>
      </c>
      <c r="P1519" s="52" t="str">
        <f>VLOOKUP(Tabla3[[#This Row],[Site]],'Important Info!'!$A$1:$F$135,6,FALSE)</f>
        <v>3, 4, 8, 28</v>
      </c>
      <c r="Q1519" s="91">
        <f>VLOOKUP(Tabla3[[#This Row],[Site]],'Important Info!'!$A$1:$J$135,9,FALSE)</f>
        <v>142</v>
      </c>
    </row>
    <row r="1520" spans="1:17" x14ac:dyDescent="0.25">
      <c r="A1520" t="str">
        <f>+Tabla3[[#This Row],[Site]]&amp;Tabla3[[#This Row],[Split]]</f>
        <v>(KG) Big Star Ford17</v>
      </c>
      <c r="B1520">
        <v>17</v>
      </c>
      <c r="C1520">
        <v>2</v>
      </c>
      <c r="D1520" t="s">
        <v>33</v>
      </c>
      <c r="E1520" t="s">
        <v>46</v>
      </c>
      <c r="F1520" t="s">
        <v>135</v>
      </c>
      <c r="G1520" t="s">
        <v>34</v>
      </c>
      <c r="H1520" s="52" t="str">
        <f>VLOOKUP(Tabla3[[#This Row],[Site]],'Important Info!'!$A$1:$J$135,10,FALSE)</f>
        <v>https://tools.sig.systems/site/details/235</v>
      </c>
      <c r="I1520" s="43"/>
      <c r="J1520" t="s">
        <v>41</v>
      </c>
      <c r="K1520" s="79" t="str">
        <f>VLOOKUP(Tabla3[[#This Row],[Site]],'Important Info!'!$A$1:$H$135,8,FALSE)</f>
        <v>-</v>
      </c>
      <c r="L1520" s="52" t="str">
        <f>VLOOKUP(Tabla3[[#This Row],[Site]],'Important Info!'!$A$1:$F$135,2,FALSE)</f>
        <v>4, 22, 32, 33</v>
      </c>
      <c r="M1520" s="52" t="str">
        <f>VLOOKUP(Tabla3[[#This Row],[Site]],'Important Info!'!$A$1:$F$135,3,FALSE)</f>
        <v>-</v>
      </c>
      <c r="N1520" s="52" t="str">
        <f>VLOOKUP(Tabla3[[#This Row],[Site]],'Important Info!'!$A$1:$F$135,4,FALSE)</f>
        <v>-</v>
      </c>
      <c r="O1520" s="52" t="str">
        <f>VLOOKUP(Tabla3[[#This Row],[Site]],'Important Info!'!$A$1:$F$135,5,FALSE)</f>
        <v>1, 5, 12, 21</v>
      </c>
      <c r="P1520" s="52">
        <f>VLOOKUP(Tabla3[[#This Row],[Site]],'Important Info!'!$A$1:$F$135,6,FALSE)</f>
        <v>22</v>
      </c>
      <c r="Q1520" s="91">
        <f>VLOOKUP(Tabla3[[#This Row],[Site]],'Important Info!'!$A$1:$J$135,9,FALSE)</f>
        <v>235</v>
      </c>
    </row>
    <row r="1521" spans="1:17" x14ac:dyDescent="0.25">
      <c r="A1521" t="str">
        <f>+Tabla3[[#This Row],[Site]]&amp;Tabla3[[#This Row],[Split]]</f>
        <v>(KG) Texan CDJR17</v>
      </c>
      <c r="B1521">
        <v>17</v>
      </c>
      <c r="C1521">
        <v>2</v>
      </c>
      <c r="D1521" t="s">
        <v>33</v>
      </c>
      <c r="E1521" t="s">
        <v>46</v>
      </c>
      <c r="F1521" t="s">
        <v>70</v>
      </c>
      <c r="G1521" t="s">
        <v>34</v>
      </c>
      <c r="H1521" s="52" t="str">
        <f>VLOOKUP(Tabla3[[#This Row],[Site]],'Important Info!'!$A$1:$J$135,10,FALSE)</f>
        <v>https://tools.sig.systems/site/details/238</v>
      </c>
      <c r="I1521" s="43" t="s">
        <v>137</v>
      </c>
      <c r="J1521" t="s">
        <v>41</v>
      </c>
      <c r="K1521" s="79" t="str">
        <f>VLOOKUP(Tabla3[[#This Row],[Site]],'Important Info!'!$A$1:$H$135,8,FALSE)</f>
        <v>-</v>
      </c>
      <c r="L1521" s="52" t="str">
        <f>VLOOKUP(Tabla3[[#This Row],[Site]],'Important Info!'!$A$1:$F$135,2,FALSE)</f>
        <v>11, 12, 13, 14, 20, 32, 34, 36, 77</v>
      </c>
      <c r="M1521" s="52" t="str">
        <f>VLOOKUP(Tabla3[[#This Row],[Site]],'Important Info!'!$A$1:$F$135,3,FALSE)</f>
        <v>-</v>
      </c>
      <c r="N1521" s="52" t="str">
        <f>VLOOKUP(Tabla3[[#This Row],[Site]],'Important Info!'!$A$1:$F$135,4,FALSE)</f>
        <v>67, 68, 69, 70</v>
      </c>
      <c r="O1521" s="52" t="str">
        <f>VLOOKUP(Tabla3[[#This Row],[Site]],'Important Info!'!$A$1:$F$135,5,FALSE)</f>
        <v>2, 10, 14, 25, 29, 35, 38</v>
      </c>
      <c r="P1521" s="52" t="str">
        <f>VLOOKUP(Tabla3[[#This Row],[Site]],'Important Info!'!$A$1:$F$135,6,FALSE)</f>
        <v>36, 46</v>
      </c>
      <c r="Q1521" s="91">
        <f>VLOOKUP(Tabla3[[#This Row],[Site]],'Important Info!'!$A$1:$J$135,9,FALSE)</f>
        <v>238</v>
      </c>
    </row>
    <row r="1522" spans="1:17" x14ac:dyDescent="0.25">
      <c r="A1522" t="str">
        <f>+Tabla3[[#This Row],[Site]]&amp;Tabla3[[#This Row],[Split]]</f>
        <v>(ML) Columbia Honda (NO TOURS)17</v>
      </c>
      <c r="B1522">
        <v>17</v>
      </c>
      <c r="C1522">
        <v>2</v>
      </c>
      <c r="D1522" t="s">
        <v>33</v>
      </c>
      <c r="E1522" t="s">
        <v>46</v>
      </c>
      <c r="F1522" t="s">
        <v>143</v>
      </c>
      <c r="G1522" t="s">
        <v>34</v>
      </c>
      <c r="H1522" s="52" t="str">
        <f>VLOOKUP(Tabla3[[#This Row],[Site]],'Important Info!'!$A$1:$J$135,10,FALSE)</f>
        <v>https://tools.sig.systems/site/details/272</v>
      </c>
      <c r="I1522" s="2" t="s">
        <v>144</v>
      </c>
      <c r="J1522" t="s">
        <v>41</v>
      </c>
      <c r="K1522" s="79" t="str">
        <f>VLOOKUP(Tabla3[[#This Row],[Site]],'Important Info!'!$A$1:$H$135,8,FALSE)</f>
        <v>-</v>
      </c>
      <c r="L1522" s="52" t="str">
        <f>VLOOKUP(Tabla3[[#This Row],[Site]],'Important Info!'!$A$1:$F$135,2,FALSE)</f>
        <v>-</v>
      </c>
      <c r="M1522" s="52" t="str">
        <f>VLOOKUP(Tabla3[[#This Row],[Site]],'Important Info!'!$A$1:$F$135,3,FALSE)</f>
        <v>9, 19, 20</v>
      </c>
      <c r="N1522" s="52" t="str">
        <f>VLOOKUP(Tabla3[[#This Row],[Site]],'Important Info!'!$A$1:$F$135,4,FALSE)</f>
        <v>-</v>
      </c>
      <c r="O1522" s="52" t="str">
        <f>VLOOKUP(Tabla3[[#This Row],[Site]],'Important Info!'!$A$1:$F$135,5,FALSE)</f>
        <v>10, 17, 19</v>
      </c>
      <c r="P1522" s="52" t="str">
        <f>VLOOKUP(Tabla3[[#This Row],[Site]],'Important Info!'!$A$1:$F$135,6,FALSE)</f>
        <v>3, 4, 5</v>
      </c>
      <c r="Q1522" s="91">
        <f>VLOOKUP(Tabla3[[#This Row],[Site]],'Important Info!'!$A$1:$J$135,9,FALSE)</f>
        <v>272</v>
      </c>
    </row>
    <row r="1523" spans="1:17" x14ac:dyDescent="0.25">
      <c r="A1523" t="str">
        <f>+Tabla3[[#This Row],[Site]]&amp;Tabla3[[#This Row],[Split]]</f>
        <v>(RV) Toms Camperland Mesa (NO TOURS)17</v>
      </c>
      <c r="B1523">
        <v>17</v>
      </c>
      <c r="C1523">
        <v>2</v>
      </c>
      <c r="D1523" t="s">
        <v>51</v>
      </c>
      <c r="E1523" t="s">
        <v>161</v>
      </c>
      <c r="F1523" t="s">
        <v>81</v>
      </c>
      <c r="G1523" t="s">
        <v>52</v>
      </c>
      <c r="H1523" s="52" t="str">
        <f>VLOOKUP(Tabla3[[#This Row],[Site]],'Important Info!'!$A$1:$J$135,10,FALSE)</f>
        <v>https://tools.sig.systems/site/details/222</v>
      </c>
      <c r="J1523" t="s">
        <v>41</v>
      </c>
      <c r="K1523" s="79" t="str">
        <f>VLOOKUP(Tabla3[[#This Row],[Site]],'Important Info!'!$A$1:$H$135,8,FALSE)</f>
        <v>-</v>
      </c>
      <c r="L1523" s="52" t="str">
        <f>VLOOKUP(Tabla3[[#This Row],[Site]],'Important Info!'!$A$1:$F$135,2,FALSE)</f>
        <v>1, 2</v>
      </c>
      <c r="M1523" s="52" t="str">
        <f>VLOOKUP(Tabla3[[#This Row],[Site]],'Important Info!'!$A$1:$F$135,3,FALSE)</f>
        <v>-</v>
      </c>
      <c r="N1523" s="52" t="str">
        <f>VLOOKUP(Tabla3[[#This Row],[Site]],'Important Info!'!$A$1:$F$135,4,FALSE)</f>
        <v>-</v>
      </c>
      <c r="O1523" s="52" t="str">
        <f>VLOOKUP(Tabla3[[#This Row],[Site]],'Important Info!'!$A$1:$F$135,5,FALSE)</f>
        <v>-</v>
      </c>
      <c r="P1523" s="52" t="str">
        <f>VLOOKUP(Tabla3[[#This Row],[Site]],'Important Info!'!$A$1:$F$135,6,FALSE)</f>
        <v>1, 4, 6, 8, 10, 18</v>
      </c>
      <c r="Q1523" s="91">
        <f>VLOOKUP(Tabla3[[#This Row],[Site]],'Important Info!'!$A$1:$J$135,9,FALSE)</f>
        <v>222</v>
      </c>
    </row>
    <row r="1524" spans="1:17" x14ac:dyDescent="0.25">
      <c r="A1524" t="str">
        <f>+Tabla3[[#This Row],[Site]]&amp;Tabla3[[#This Row],[Split]]</f>
        <v>(AS) Bill Estes Ford (NO TOURS)17</v>
      </c>
      <c r="B1524">
        <v>17</v>
      </c>
      <c r="C1524">
        <v>3</v>
      </c>
      <c r="D1524" t="s">
        <v>62</v>
      </c>
      <c r="E1524" t="s">
        <v>35</v>
      </c>
      <c r="F1524" t="s">
        <v>178</v>
      </c>
      <c r="G1524" t="s">
        <v>490</v>
      </c>
      <c r="H1524" s="52" t="str">
        <f>VLOOKUP(Tabla3[[#This Row],[Site]],'Important Info!'!$A$1:$J$135,10,FALSE)</f>
        <v>https://tools.sig.systems/site/details/125</v>
      </c>
      <c r="J1524" t="s">
        <v>41</v>
      </c>
      <c r="K1524" s="79" t="str">
        <f>VLOOKUP(Tabla3[[#This Row],[Site]],'Important Info!'!$A$1:$H$135,8,FALSE)</f>
        <v>-</v>
      </c>
      <c r="L1524" s="52" t="str">
        <f>VLOOKUP(Tabla3[[#This Row],[Site]],'Important Info!'!$A$1:$F$135,2,FALSE)</f>
        <v>-</v>
      </c>
      <c r="M1524" s="52" t="str">
        <f>VLOOKUP(Tabla3[[#This Row],[Site]],'Important Info!'!$A$1:$F$135,3,FALSE)</f>
        <v>2, 3, 13, 16</v>
      </c>
      <c r="N1524" s="52" t="str">
        <f>VLOOKUP(Tabla3[[#This Row],[Site]],'Important Info!'!$A$1:$F$135,4,FALSE)</f>
        <v>-</v>
      </c>
      <c r="O1524" s="52" t="str">
        <f>VLOOKUP(Tabla3[[#This Row],[Site]],'Important Info!'!$A$1:$F$135,5,FALSE)</f>
        <v>1, 10, 14, 19</v>
      </c>
      <c r="P1524" s="52" t="str">
        <f>VLOOKUP(Tabla3[[#This Row],[Site]],'Important Info!'!$A$1:$F$135,6,FALSE)</f>
        <v>7, 8, 9, 10, 11, 12, 14</v>
      </c>
      <c r="Q1524" s="91">
        <f>VLOOKUP(Tabla3[[#This Row],[Site]],'Important Info!'!$A$1:$J$135,9,FALSE)</f>
        <v>125</v>
      </c>
    </row>
    <row r="1525" spans="1:17" x14ac:dyDescent="0.25">
      <c r="A1525" t="str">
        <f>+Tabla3[[#This Row],[Site]]&amp;Tabla3[[#This Row],[Split]]</f>
        <v>(AS) Park Place Mercedes Benz Arlington (NO TOURS)17</v>
      </c>
      <c r="B1525">
        <v>17</v>
      </c>
      <c r="C1525">
        <v>3</v>
      </c>
      <c r="D1525" t="s">
        <v>33</v>
      </c>
      <c r="E1525" t="s">
        <v>46</v>
      </c>
      <c r="F1525" t="s">
        <v>518</v>
      </c>
      <c r="G1525" t="s">
        <v>34</v>
      </c>
      <c r="H1525" s="52" t="str">
        <f>VLOOKUP(Tabla3[[#This Row],[Site]],'Important Info!'!$A$1:$J$135,10,FALSE)</f>
        <v>https://tools.sig.systems/site/details/169</v>
      </c>
      <c r="J1525" t="s">
        <v>41</v>
      </c>
      <c r="K1525" s="79" t="str">
        <f>VLOOKUP(Tabla3[[#This Row],[Site]],'Important Info!'!$A$1:$H$135,8,FALSE)</f>
        <v>-</v>
      </c>
      <c r="L1525" s="52" t="str">
        <f>VLOOKUP(Tabla3[[#This Row],[Site]],'Important Info!'!$A$1:$F$135,2,FALSE)</f>
        <v>1, 9, 14</v>
      </c>
      <c r="M1525" s="52" t="str">
        <f>VLOOKUP(Tabla3[[#This Row],[Site]],'Important Info!'!$A$1:$F$135,3,FALSE)</f>
        <v>-</v>
      </c>
      <c r="N1525" s="52" t="str">
        <f>VLOOKUP(Tabla3[[#This Row],[Site]],'Important Info!'!$A$1:$F$135,4,FALSE)</f>
        <v>77, 78, 79, 80</v>
      </c>
      <c r="O1525" s="52" t="str">
        <f>VLOOKUP(Tabla3[[#This Row],[Site]],'Important Info!'!$A$1:$F$135,5,FALSE)</f>
        <v>2, 10, 18, 22, 31, 40</v>
      </c>
      <c r="P1525" s="52">
        <f>VLOOKUP(Tabla3[[#This Row],[Site]],'Important Info!'!$A$1:$F$135,6,FALSE)</f>
        <v>9</v>
      </c>
      <c r="Q1525" s="91">
        <f>VLOOKUP(Tabla3[[#This Row],[Site]],'Important Info!'!$A$1:$J$135,9,FALSE)</f>
        <v>169</v>
      </c>
    </row>
    <row r="1526" spans="1:17" x14ac:dyDescent="0.25">
      <c r="A1526" t="str">
        <f>+Tabla3[[#This Row],[Site]]&amp;Tabla3[[#This Row],[Split]]</f>
        <v>(KG) Hyundai Surprise17</v>
      </c>
      <c r="B1526">
        <v>17</v>
      </c>
      <c r="C1526">
        <v>3</v>
      </c>
      <c r="D1526" t="s">
        <v>51</v>
      </c>
      <c r="E1526" t="s">
        <v>161</v>
      </c>
      <c r="F1526" t="s">
        <v>118</v>
      </c>
      <c r="G1526" t="s">
        <v>52</v>
      </c>
      <c r="H1526" s="52" t="str">
        <f>VLOOKUP(Tabla3[[#This Row],[Site]],'Important Info!'!$A$1:$J$135,10,FALSE)</f>
        <v>https://tools.sig.systems/site/details/269</v>
      </c>
      <c r="I1526" s="2"/>
      <c r="J1526" t="s">
        <v>162</v>
      </c>
      <c r="K1526" s="79" t="str">
        <f>VLOOKUP(Tabla3[[#This Row],[Site]],'Important Info!'!$A$1:$H$135,8,FALSE)</f>
        <v>-</v>
      </c>
      <c r="L1526" s="52" t="str">
        <f>VLOOKUP(Tabla3[[#This Row],[Site]],'Important Info!'!$A$1:$F$135,2,FALSE)</f>
        <v>1, 6, 7</v>
      </c>
      <c r="M1526" s="52" t="str">
        <f>VLOOKUP(Tabla3[[#This Row],[Site]],'Important Info!'!$A$1:$F$135,3,FALSE)</f>
        <v>-</v>
      </c>
      <c r="N1526" s="52" t="str">
        <f>VLOOKUP(Tabla3[[#This Row],[Site]],'Important Info!'!$A$1:$F$135,4,FALSE)</f>
        <v>-</v>
      </c>
      <c r="O1526" s="52" t="str">
        <f>VLOOKUP(Tabla3[[#This Row],[Site]],'Important Info!'!$A$1:$F$135,5,FALSE)</f>
        <v>6, 13</v>
      </c>
      <c r="P1526" s="52" t="str">
        <f>VLOOKUP(Tabla3[[#This Row],[Site]],'Important Info!'!$A$1:$F$135,6,FALSE)</f>
        <v>-</v>
      </c>
      <c r="Q1526" s="91">
        <f>VLOOKUP(Tabla3[[#This Row],[Site]],'Important Info!'!$A$1:$J$135,9,FALSE)</f>
        <v>269</v>
      </c>
    </row>
    <row r="1527" spans="1:17" x14ac:dyDescent="0.25">
      <c r="A1527" t="str">
        <f>+Tabla3[[#This Row],[Site]]&amp;Tabla3[[#This Row],[Split]]</f>
        <v>(KG) Texan GMC Buick (NO TOURS)17</v>
      </c>
      <c r="B1527">
        <v>17</v>
      </c>
      <c r="C1527">
        <v>3</v>
      </c>
      <c r="D1527" t="s">
        <v>33</v>
      </c>
      <c r="E1527" t="s">
        <v>46</v>
      </c>
      <c r="F1527" t="s">
        <v>111</v>
      </c>
      <c r="G1527" t="s">
        <v>34</v>
      </c>
      <c r="H1527" s="52" t="str">
        <f>VLOOKUP(Tabla3[[#This Row],[Site]],'Important Info!'!$A$1:$J$135,10,FALSE)</f>
        <v>https://tools.sig.systems/site/details/225</v>
      </c>
      <c r="I1527" s="43" t="s">
        <v>137</v>
      </c>
      <c r="J1527" t="s">
        <v>41</v>
      </c>
      <c r="K1527" s="79" t="str">
        <f>VLOOKUP(Tabla3[[#This Row],[Site]],'Important Info!'!$A$1:$H$135,8,FALSE)</f>
        <v>-</v>
      </c>
      <c r="L1527" s="52" t="str">
        <f>VLOOKUP(Tabla3[[#This Row],[Site]],'Important Info!'!$A$1:$F$135,2,FALSE)</f>
        <v>1, 20, 53</v>
      </c>
      <c r="M1527" s="52" t="str">
        <f>VLOOKUP(Tabla3[[#This Row],[Site]],'Important Info!'!$A$1:$F$135,3,FALSE)</f>
        <v>-</v>
      </c>
      <c r="N1527" s="52" t="str">
        <f>VLOOKUP(Tabla3[[#This Row],[Site]],'Important Info!'!$A$1:$F$135,4,FALSE)</f>
        <v>-</v>
      </c>
      <c r="O1527" s="52" t="str">
        <f>VLOOKUP(Tabla3[[#This Row],[Site]],'Important Info!'!$A$1:$F$135,5,FALSE)</f>
        <v>2, 8, 14</v>
      </c>
      <c r="P1527" s="52" t="str">
        <f>VLOOKUP(Tabla3[[#This Row],[Site]],'Important Info!'!$A$1:$F$135,6,FALSE)</f>
        <v>51, 52, 16</v>
      </c>
      <c r="Q1527" s="91">
        <f>VLOOKUP(Tabla3[[#This Row],[Site]],'Important Info!'!$A$1:$J$135,9,FALSE)</f>
        <v>225</v>
      </c>
    </row>
    <row r="1528" spans="1:17" x14ac:dyDescent="0.25">
      <c r="A1528" t="str">
        <f>+Tabla3[[#This Row],[Site]]&amp;Tabla3[[#This Row],[Split]]</f>
        <v>(ML) Joe Machens CDJR17</v>
      </c>
      <c r="B1528">
        <v>17</v>
      </c>
      <c r="C1528">
        <v>3</v>
      </c>
      <c r="D1528" t="s">
        <v>33</v>
      </c>
      <c r="E1528" t="s">
        <v>46</v>
      </c>
      <c r="F1528" t="s">
        <v>88</v>
      </c>
      <c r="G1528" t="s">
        <v>34</v>
      </c>
      <c r="H1528" s="52" t="str">
        <f>VLOOKUP(Tabla3[[#This Row],[Site]],'Important Info!'!$A$1:$J$135,10,FALSE)</f>
        <v>https://tools.sig.systems/site/details/273</v>
      </c>
      <c r="I1528" s="2" t="s">
        <v>146</v>
      </c>
      <c r="J1528" t="s">
        <v>41</v>
      </c>
      <c r="K1528" s="79" t="str">
        <f>VLOOKUP(Tabla3[[#This Row],[Site]],'Important Info!'!$A$1:$H$135,8,FALSE)</f>
        <v>-</v>
      </c>
      <c r="L1528" s="52" t="str">
        <f>VLOOKUP(Tabla3[[#This Row],[Site]],'Important Info!'!$A$1:$F$135,2,FALSE)</f>
        <v>-</v>
      </c>
      <c r="M1528" s="52">
        <f>VLOOKUP(Tabla3[[#This Row],[Site]],'Important Info!'!$A$1:$F$135,3,FALSE)</f>
        <v>3</v>
      </c>
      <c r="N1528" s="52" t="str">
        <f>VLOOKUP(Tabla3[[#This Row],[Site]],'Important Info!'!$A$1:$F$135,4,FALSE)</f>
        <v>-</v>
      </c>
      <c r="O1528" s="52" t="str">
        <f>VLOOKUP(Tabla3[[#This Row],[Site]],'Important Info!'!$A$1:$F$135,5,FALSE)</f>
        <v>-</v>
      </c>
      <c r="P1528" s="52" t="str">
        <f>VLOOKUP(Tabla3[[#This Row],[Site]],'Important Info!'!$A$1:$F$135,6,FALSE)</f>
        <v>1, 2, 3,</v>
      </c>
      <c r="Q1528" s="91">
        <f>VLOOKUP(Tabla3[[#This Row],[Site]],'Important Info!'!$A$1:$J$135,9,FALSE)</f>
        <v>273</v>
      </c>
    </row>
    <row r="1529" spans="1:17" x14ac:dyDescent="0.25">
      <c r="A1529" t="str">
        <f>+Tabla3[[#This Row],[Site]]&amp;Tabla3[[#This Row],[Split]]</f>
        <v>(PE) BMW Tenafly (NO TOURS)17</v>
      </c>
      <c r="B1529">
        <v>17</v>
      </c>
      <c r="C1529">
        <v>3</v>
      </c>
      <c r="D1529" t="s">
        <v>485</v>
      </c>
      <c r="E1529" t="s">
        <v>35</v>
      </c>
      <c r="F1529" t="s">
        <v>173</v>
      </c>
      <c r="G1529" t="s">
        <v>490</v>
      </c>
      <c r="H1529" s="52" t="str">
        <f>VLOOKUP(Tabla3[[#This Row],[Site]],'Important Info!'!$A$1:$J$135,10,FALSE)</f>
        <v>https://tools.sig.systems/site/details/155</v>
      </c>
      <c r="I1529" s="2"/>
      <c r="J1529" t="s">
        <v>41</v>
      </c>
      <c r="K1529" s="79" t="str">
        <f>VLOOKUP(Tabla3[[#This Row],[Site]],'Important Info!'!$A$1:$H$135,8,FALSE)</f>
        <v>-</v>
      </c>
      <c r="L1529" s="52">
        <f>VLOOKUP(Tabla3[[#This Row],[Site]],'Important Info!'!$A$1:$F$135,2,FALSE)</f>
        <v>24</v>
      </c>
      <c r="M1529" s="52" t="str">
        <f>VLOOKUP(Tabla3[[#This Row],[Site]],'Important Info!'!$A$1:$F$135,3,FALSE)</f>
        <v>1, 3, 4, 17, 23</v>
      </c>
      <c r="N1529" s="52" t="str">
        <f>VLOOKUP(Tabla3[[#This Row],[Site]],'Important Info!'!$A$1:$F$135,4,FALSE)</f>
        <v>-</v>
      </c>
      <c r="O1529" s="52" t="str">
        <f>VLOOKUP(Tabla3[[#This Row],[Site]],'Important Info!'!$A$1:$F$135,5,FALSE)</f>
        <v>-</v>
      </c>
      <c r="P1529" s="52">
        <f>VLOOKUP(Tabla3[[#This Row],[Site]],'Important Info!'!$A$1:$F$135,6,FALSE)</f>
        <v>1</v>
      </c>
      <c r="Q1529" s="91">
        <f>VLOOKUP(Tabla3[[#This Row],[Site]],'Important Info!'!$A$1:$J$135,9,FALSE)</f>
        <v>155</v>
      </c>
    </row>
    <row r="1530" spans="1:17" x14ac:dyDescent="0.25">
      <c r="A1530" t="str">
        <f>+Tabla3[[#This Row],[Site]]&amp;Tabla3[[#This Row],[Split]]</f>
        <v>(RV) Toms Camperland Surprise (NO TOURS)17</v>
      </c>
      <c r="B1530">
        <v>17</v>
      </c>
      <c r="C1530">
        <v>3</v>
      </c>
      <c r="D1530" t="s">
        <v>51</v>
      </c>
      <c r="E1530" t="s">
        <v>161</v>
      </c>
      <c r="F1530" t="s">
        <v>165</v>
      </c>
      <c r="G1530" t="s">
        <v>52</v>
      </c>
      <c r="H1530" s="52" t="str">
        <f>VLOOKUP(Tabla3[[#This Row],[Site]],'Important Info!'!$A$1:$J$135,10,FALSE)</f>
        <v>https://tools.sig.systems/site/details/254</v>
      </c>
      <c r="I1530" s="43"/>
      <c r="J1530" t="s">
        <v>52</v>
      </c>
      <c r="K1530" s="79" t="str">
        <f>VLOOKUP(Tabla3[[#This Row],[Site]],'Important Info!'!$A$1:$H$135,8,FALSE)</f>
        <v>-</v>
      </c>
      <c r="L1530" s="52" t="str">
        <f>VLOOKUP(Tabla3[[#This Row],[Site]],'Important Info!'!$A$1:$F$135,2,FALSE)</f>
        <v>1, 3, 4</v>
      </c>
      <c r="M1530" s="52" t="str">
        <f>VLOOKUP(Tabla3[[#This Row],[Site]],'Important Info!'!$A$1:$F$135,3,FALSE)</f>
        <v>-</v>
      </c>
      <c r="N1530" s="52" t="str">
        <f>VLOOKUP(Tabla3[[#This Row],[Site]],'Important Info!'!$A$1:$F$135,4,FALSE)</f>
        <v>-</v>
      </c>
      <c r="O1530" s="52" t="str">
        <f>VLOOKUP(Tabla3[[#This Row],[Site]],'Important Info!'!$A$1:$F$135,5,FALSE)</f>
        <v>-</v>
      </c>
      <c r="P1530" s="52" t="str">
        <f>VLOOKUP(Tabla3[[#This Row],[Site]],'Important Info!'!$A$1:$F$135,6,FALSE)</f>
        <v>1, 2, 3, 4, 15</v>
      </c>
      <c r="Q1530" s="91">
        <f>VLOOKUP(Tabla3[[#This Row],[Site]],'Important Info!'!$A$1:$J$135,9,FALSE)</f>
        <v>254</v>
      </c>
    </row>
    <row r="1531" spans="1:17" x14ac:dyDescent="0.25">
      <c r="A1531" t="str">
        <f>+Tabla3[[#This Row],[Site]]&amp;Tabla3[[#This Row],[Split]]</f>
        <v>(AS) Courtesy Hyundai/Nissan Tampa (NO TOURS)17</v>
      </c>
      <c r="B1531">
        <v>17</v>
      </c>
      <c r="C1531">
        <v>4</v>
      </c>
      <c r="D1531" t="s">
        <v>62</v>
      </c>
      <c r="E1531" t="s">
        <v>35</v>
      </c>
      <c r="F1531" t="s">
        <v>504</v>
      </c>
      <c r="G1531" t="s">
        <v>490</v>
      </c>
      <c r="H1531" s="52" t="str">
        <f>VLOOKUP(Tabla3[[#This Row],[Site]],'Important Info!'!$A$1:$J$135,10,FALSE)</f>
        <v>https://tools.sig.systems/site/details/128</v>
      </c>
      <c r="I1531" s="2"/>
      <c r="J1531" t="s">
        <v>484</v>
      </c>
      <c r="K1531" s="79" t="str">
        <f>VLOOKUP(Tabla3[[#This Row],[Site]],'Important Info!'!$A$1:$H$135,8,FALSE)</f>
        <v>-</v>
      </c>
      <c r="L1531" s="52" t="str">
        <f>VLOOKUP(Tabla3[[#This Row],[Site]],'Important Info!'!$A$1:$F$135,2,FALSE)</f>
        <v>1, 16, 25, 27, 32</v>
      </c>
      <c r="M1531" s="52" t="str">
        <f>VLOOKUP(Tabla3[[#This Row],[Site]],'Important Info!'!$A$1:$F$135,3,FALSE)</f>
        <v>-</v>
      </c>
      <c r="N1531" s="52" t="str">
        <f>VLOOKUP(Tabla3[[#This Row],[Site]],'Important Info!'!$A$1:$F$135,4,FALSE)</f>
        <v>-</v>
      </c>
      <c r="O1531" s="52" t="str">
        <f>VLOOKUP(Tabla3[[#This Row],[Site]],'Important Info!'!$A$1:$F$135,5,FALSE)</f>
        <v>4, 10, 16</v>
      </c>
      <c r="P1531" s="52" t="str">
        <f>VLOOKUP(Tabla3[[#This Row],[Site]],'Important Info!'!$A$1:$F$135,6,FALSE)</f>
        <v>24, 25, 26 &amp; Remote Lots</v>
      </c>
      <c r="Q1531" s="91">
        <f>VLOOKUP(Tabla3[[#This Row],[Site]],'Important Info!'!$A$1:$J$135,9,FALSE)</f>
        <v>128</v>
      </c>
    </row>
    <row r="1532" spans="1:17" x14ac:dyDescent="0.25">
      <c r="A1532" t="str">
        <f>+Tabla3[[#This Row],[Site]]&amp;Tabla3[[#This Row],[Split]]</f>
        <v>(AS) Park Place Volvo Sales (NO TOURS)17</v>
      </c>
      <c r="B1532">
        <v>17</v>
      </c>
      <c r="C1532">
        <v>4</v>
      </c>
      <c r="D1532" t="s">
        <v>33</v>
      </c>
      <c r="E1532" t="s">
        <v>46</v>
      </c>
      <c r="F1532" t="s">
        <v>521</v>
      </c>
      <c r="G1532" t="s">
        <v>34</v>
      </c>
      <c r="H1532" s="52" t="str">
        <f>VLOOKUP(Tabla3[[#This Row],[Site]],'Important Info!'!$A$1:$J$135,10,FALSE)</f>
        <v>https://tools.sig.systems/site/details/139</v>
      </c>
      <c r="I1532" s="65" t="s">
        <v>125</v>
      </c>
      <c r="J1532" t="s">
        <v>41</v>
      </c>
      <c r="K1532" s="79" t="str">
        <f>VLOOKUP(Tabla3[[#This Row],[Site]],'Important Info!'!$A$1:$H$135,8,FALSE)</f>
        <v>-</v>
      </c>
      <c r="L1532" s="52" t="str">
        <f>VLOOKUP(Tabla3[[#This Row],[Site]],'Important Info!'!$A$1:$F$135,2,FALSE)</f>
        <v>4, 6, 9, 11</v>
      </c>
      <c r="M1532" s="52" t="str">
        <f>VLOOKUP(Tabla3[[#This Row],[Site]],'Important Info!'!$A$1:$F$135,3,FALSE)</f>
        <v>-</v>
      </c>
      <c r="N1532" s="52" t="str">
        <f>VLOOKUP(Tabla3[[#This Row],[Site]],'Important Info!'!$A$1:$F$135,4,FALSE)</f>
        <v>-</v>
      </c>
      <c r="O1532" s="52" t="str">
        <f>VLOOKUP(Tabla3[[#This Row],[Site]],'Important Info!'!$A$1:$F$135,5,FALSE)</f>
        <v>2, 9</v>
      </c>
      <c r="P1532" s="52" t="str">
        <f>VLOOKUP(Tabla3[[#This Row],[Site]],'Important Info!'!$A$1:$F$135,6,FALSE)</f>
        <v>4, 10, 11</v>
      </c>
      <c r="Q1532" s="91">
        <f>VLOOKUP(Tabla3[[#This Row],[Site]],'Important Info!'!$A$1:$J$135,9,FALSE)</f>
        <v>139</v>
      </c>
    </row>
    <row r="1533" spans="1:17" x14ac:dyDescent="0.25">
      <c r="A1533" t="str">
        <f>+Tabla3[[#This Row],[Site]]&amp;Tabla3[[#This Row],[Split]]</f>
        <v>(DT) Denver (NO TOURS)17</v>
      </c>
      <c r="B1533">
        <v>17</v>
      </c>
      <c r="C1533">
        <v>4</v>
      </c>
      <c r="D1533" t="s">
        <v>44</v>
      </c>
      <c r="E1533" t="s">
        <v>53</v>
      </c>
      <c r="F1533" t="s">
        <v>157</v>
      </c>
      <c r="G1533" t="s">
        <v>45</v>
      </c>
      <c r="H1533" s="52" t="str">
        <f>VLOOKUP(Tabla3[[#This Row],[Site]],'Important Info!'!$A$1:$J$135,10,FALSE)</f>
        <v>https://tools.sig.systems/site/details/203</v>
      </c>
      <c r="I1533" s="43" t="s">
        <v>158</v>
      </c>
      <c r="J1533" t="s">
        <v>41</v>
      </c>
      <c r="K1533" s="79" t="str">
        <f>VLOOKUP(Tabla3[[#This Row],[Site]],'Important Info!'!$A$1:$H$135,8,FALSE)</f>
        <v>-</v>
      </c>
      <c r="L1533" s="52" t="str">
        <f>VLOOKUP(Tabla3[[#This Row],[Site]],'Important Info!'!$A$1:$F$135,2,FALSE)</f>
        <v>-</v>
      </c>
      <c r="M1533" s="52" t="str">
        <f>VLOOKUP(Tabla3[[#This Row],[Site]],'Important Info!'!$A$1:$F$135,3,FALSE)</f>
        <v>7, 8</v>
      </c>
      <c r="N1533" s="52" t="str">
        <f>VLOOKUP(Tabla3[[#This Row],[Site]],'Important Info!'!$A$1:$F$135,4,FALSE)</f>
        <v>-</v>
      </c>
      <c r="O1533" s="52" t="str">
        <f>VLOOKUP(Tabla3[[#This Row],[Site]],'Important Info!'!$A$1:$F$135,5,FALSE)</f>
        <v>-</v>
      </c>
      <c r="P1533" s="52" t="str">
        <f>VLOOKUP(Tabla3[[#This Row],[Site]],'Important Info!'!$A$1:$F$135,6,FALSE)</f>
        <v>7, 8</v>
      </c>
      <c r="Q1533" s="91">
        <f>VLOOKUP(Tabla3[[#This Row],[Site]],'Important Info!'!$A$1:$J$135,9,FALSE)</f>
        <v>203</v>
      </c>
    </row>
    <row r="1534" spans="1:17" x14ac:dyDescent="0.25">
      <c r="A1534" t="str">
        <f>+Tabla3[[#This Row],[Site]]&amp;Tabla3[[#This Row],[Split]]</f>
        <v>(KG) Big Star CDJR of Clear Lake17</v>
      </c>
      <c r="B1534">
        <v>17</v>
      </c>
      <c r="C1534">
        <v>4</v>
      </c>
      <c r="D1534" t="s">
        <v>33</v>
      </c>
      <c r="E1534" t="s">
        <v>46</v>
      </c>
      <c r="F1534" t="s">
        <v>133</v>
      </c>
      <c r="G1534" t="s">
        <v>34</v>
      </c>
      <c r="H1534" s="52" t="str">
        <f>VLOOKUP(Tabla3[[#This Row],[Site]],'Important Info!'!$A$1:$J$135,10,FALSE)</f>
        <v>https://tools.sig.systems/site/details/232</v>
      </c>
      <c r="I1534" s="43" t="s">
        <v>134</v>
      </c>
      <c r="J1534" t="s">
        <v>41</v>
      </c>
      <c r="K1534" s="79" t="str">
        <f>VLOOKUP(Tabla3[[#This Row],[Site]],'Important Info!'!$A$1:$H$135,8,FALSE)</f>
        <v>-</v>
      </c>
      <c r="L1534" s="52" t="str">
        <f>VLOOKUP(Tabla3[[#This Row],[Site]],'Important Info!'!$A$1:$F$135,2,FALSE)</f>
        <v>8, 25</v>
      </c>
      <c r="M1534" s="52" t="str">
        <f>VLOOKUP(Tabla3[[#This Row],[Site]],'Important Info!'!$A$1:$F$135,3,FALSE)</f>
        <v>-</v>
      </c>
      <c r="N1534" s="52" t="str">
        <f>VLOOKUP(Tabla3[[#This Row],[Site]],'Important Info!'!$A$1:$F$135,4,FALSE)</f>
        <v>-</v>
      </c>
      <c r="O1534" s="52" t="str">
        <f>VLOOKUP(Tabla3[[#This Row],[Site]],'Important Info!'!$A$1:$F$135,5,FALSE)</f>
        <v>7, 13, 19, 24</v>
      </c>
      <c r="P1534" s="52" t="str">
        <f>VLOOKUP(Tabla3[[#This Row],[Site]],'Important Info!'!$A$1:$F$135,6,FALSE)</f>
        <v>6, 8, 25, 31</v>
      </c>
      <c r="Q1534" s="91">
        <f>VLOOKUP(Tabla3[[#This Row],[Site]],'Important Info!'!$A$1:$J$135,9,FALSE)</f>
        <v>232</v>
      </c>
    </row>
    <row r="1535" spans="1:17" x14ac:dyDescent="0.25">
      <c r="A1535" t="str">
        <f>+Tabla3[[#This Row],[Site]]&amp;Tabla3[[#This Row],[Split]]</f>
        <v>(ML) Ford Lincoln of North Little Rock17</v>
      </c>
      <c r="B1535">
        <v>17</v>
      </c>
      <c r="C1535">
        <v>4</v>
      </c>
      <c r="D1535" t="s">
        <v>33</v>
      </c>
      <c r="E1535" t="s">
        <v>46</v>
      </c>
      <c r="F1535" t="s">
        <v>145</v>
      </c>
      <c r="G1535" t="s">
        <v>34</v>
      </c>
      <c r="H1535" s="52" t="str">
        <f>VLOOKUP(Tabla3[[#This Row],[Site]],'Important Info!'!$A$1:$J$135,10,FALSE)</f>
        <v>https://tools.sig.systems/site/details/214</v>
      </c>
      <c r="I1535" s="2" t="s">
        <v>142</v>
      </c>
      <c r="J1535" t="s">
        <v>41</v>
      </c>
      <c r="K1535" s="79" t="str">
        <f>VLOOKUP(Tabla3[[#This Row],[Site]],'Important Info!'!$A$1:$H$135,8,FALSE)</f>
        <v>-</v>
      </c>
      <c r="L1535" s="52" t="str">
        <f>VLOOKUP(Tabla3[[#This Row],[Site]],'Important Info!'!$A$1:$F$135,2,FALSE)</f>
        <v>4, 15, 18, 67, 74</v>
      </c>
      <c r="M1535" s="52">
        <f>VLOOKUP(Tabla3[[#This Row],[Site]],'Important Info!'!$A$1:$F$135,3,FALSE)</f>
        <v>13</v>
      </c>
      <c r="N1535" s="52" t="str">
        <f>VLOOKUP(Tabla3[[#This Row],[Site]],'Important Info!'!$A$1:$F$135,4,FALSE)</f>
        <v>-</v>
      </c>
      <c r="O1535" s="52" t="str">
        <f>VLOOKUP(Tabla3[[#This Row],[Site]],'Important Info!'!$A$1:$F$135,5,FALSE)</f>
        <v>4, 11, 16, 28</v>
      </c>
      <c r="P1535" s="52" t="str">
        <f>VLOOKUP(Tabla3[[#This Row],[Site]],'Important Info!'!$A$1:$F$135,6,FALSE)</f>
        <v>10, 11, 12</v>
      </c>
      <c r="Q1535" s="91">
        <f>VLOOKUP(Tabla3[[#This Row],[Site]],'Important Info!'!$A$1:$J$135,9,FALSE)</f>
        <v>214</v>
      </c>
    </row>
    <row r="1536" spans="1:17" x14ac:dyDescent="0.25">
      <c r="A1536" t="str">
        <f>+Tabla3[[#This Row],[Site]]&amp;Tabla3[[#This Row],[Split]]</f>
        <v>(ML) Joe Machens VW17</v>
      </c>
      <c r="B1536">
        <v>17</v>
      </c>
      <c r="C1536">
        <v>4</v>
      </c>
      <c r="D1536" t="s">
        <v>33</v>
      </c>
      <c r="E1536" t="s">
        <v>46</v>
      </c>
      <c r="F1536" t="s">
        <v>74</v>
      </c>
      <c r="G1536" t="s">
        <v>34</v>
      </c>
      <c r="H1536" s="52" t="str">
        <f>VLOOKUP(Tabla3[[#This Row],[Site]],'Important Info!'!$A$1:$J$135,10,FALSE)</f>
        <v>https://tools.sig.systems/site/details/274</v>
      </c>
      <c r="I1536" s="2" t="s">
        <v>146</v>
      </c>
      <c r="J1536" t="s">
        <v>41</v>
      </c>
      <c r="K1536" s="79" t="str">
        <f>VLOOKUP(Tabla3[[#This Row],[Site]],'Important Info!'!$A$1:$H$135,8,FALSE)</f>
        <v>-</v>
      </c>
      <c r="L1536" s="52" t="str">
        <f>VLOOKUP(Tabla3[[#This Row],[Site]],'Important Info!'!$A$1:$F$135,2,FALSE)</f>
        <v>-</v>
      </c>
      <c r="M1536" s="52" t="str">
        <f>VLOOKUP(Tabla3[[#This Row],[Site]],'Important Info!'!$A$1:$F$135,3,FALSE)</f>
        <v>1, 11, 18</v>
      </c>
      <c r="N1536" s="52" t="str">
        <f>VLOOKUP(Tabla3[[#This Row],[Site]],'Important Info!'!$A$1:$F$135,4,FALSE)</f>
        <v>-</v>
      </c>
      <c r="O1536" s="52">
        <f>VLOOKUP(Tabla3[[#This Row],[Site]],'Important Info!'!$A$1:$F$135,5,FALSE)</f>
        <v>17</v>
      </c>
      <c r="P1536" s="52" t="str">
        <f>VLOOKUP(Tabla3[[#This Row],[Site]],'Important Info!'!$A$1:$F$135,6,FALSE)</f>
        <v>-</v>
      </c>
      <c r="Q1536" s="91">
        <f>VLOOKUP(Tabla3[[#This Row],[Site]],'Important Info!'!$A$1:$J$135,9,FALSE)</f>
        <v>274</v>
      </c>
    </row>
    <row r="1537" spans="1:17" x14ac:dyDescent="0.25">
      <c r="A1537" t="str">
        <f>+Tabla3[[#This Row],[Site]]&amp;Tabla3[[#This Row],[Split]]</f>
        <v>(ML) Nissan of Little Rock17</v>
      </c>
      <c r="B1537">
        <v>17</v>
      </c>
      <c r="C1537">
        <v>4</v>
      </c>
      <c r="D1537" t="s">
        <v>33</v>
      </c>
      <c r="E1537" t="s">
        <v>46</v>
      </c>
      <c r="F1537" t="s">
        <v>152</v>
      </c>
      <c r="G1537" t="s">
        <v>34</v>
      </c>
      <c r="H1537" s="52" t="str">
        <f>VLOOKUP(Tabla3[[#This Row],[Site]],'Important Info!'!$A$1:$J$135,10,FALSE)</f>
        <v>https://tools.sig.systems/site/details/224</v>
      </c>
      <c r="I1537" t="s">
        <v>140</v>
      </c>
      <c r="J1537" t="s">
        <v>41</v>
      </c>
      <c r="K1537" s="79" t="str">
        <f>VLOOKUP(Tabla3[[#This Row],[Site]],'Important Info!'!$A$1:$H$135,8,FALSE)</f>
        <v>-</v>
      </c>
      <c r="L1537" s="52" t="str">
        <f>VLOOKUP(Tabla3[[#This Row],[Site]],'Important Info!'!$A$1:$F$135,2,FALSE)</f>
        <v>3, 6</v>
      </c>
      <c r="M1537" s="52" t="str">
        <f>VLOOKUP(Tabla3[[#This Row],[Site]],'Important Info!'!$A$1:$F$135,3,FALSE)</f>
        <v>-</v>
      </c>
      <c r="N1537" s="52" t="str">
        <f>VLOOKUP(Tabla3[[#This Row],[Site]],'Important Info!'!$A$1:$F$135,4,FALSE)</f>
        <v>-</v>
      </c>
      <c r="O1537" s="52" t="str">
        <f>VLOOKUP(Tabla3[[#This Row],[Site]],'Important Info!'!$A$1:$F$135,5,FALSE)</f>
        <v>1, 8, 16, 22</v>
      </c>
      <c r="P1537" s="52" t="str">
        <f>VLOOKUP(Tabla3[[#This Row],[Site]],'Important Info!'!$A$1:$F$135,6,FALSE)</f>
        <v>3, 4</v>
      </c>
      <c r="Q1537" s="91">
        <f>VLOOKUP(Tabla3[[#This Row],[Site]],'Important Info!'!$A$1:$J$135,9,FALSE)</f>
        <v>224</v>
      </c>
    </row>
    <row r="1538" spans="1:17" x14ac:dyDescent="0.25">
      <c r="A1538" t="str">
        <f>+Tabla3[[#This Row],[Site]]&amp;Tabla3[[#This Row],[Split]]</f>
        <v>(PE) BMW of Greenwich (NO TOURS)17</v>
      </c>
      <c r="B1538">
        <v>17</v>
      </c>
      <c r="C1538">
        <v>4</v>
      </c>
      <c r="D1538" t="s">
        <v>485</v>
      </c>
      <c r="E1538" t="s">
        <v>35</v>
      </c>
      <c r="F1538" t="s">
        <v>170</v>
      </c>
      <c r="G1538" t="s">
        <v>490</v>
      </c>
      <c r="H1538" s="52" t="str">
        <f>VLOOKUP(Tabla3[[#This Row],[Site]],'Important Info!'!$A$1:$J$135,10,FALSE)</f>
        <v>https://tools.sig.systems/site/details/186</v>
      </c>
      <c r="I1538" s="2" t="s">
        <v>171</v>
      </c>
      <c r="J1538" t="s">
        <v>41</v>
      </c>
      <c r="K1538" s="79" t="str">
        <f>VLOOKUP(Tabla3[[#This Row],[Site]],'Important Info!'!$A$1:$H$135,8,FALSE)</f>
        <v>-</v>
      </c>
      <c r="L1538" s="52" t="str">
        <f>VLOOKUP(Tabla3[[#This Row],[Site]],'Important Info!'!$A$1:$F$135,2,FALSE)</f>
        <v>1, 6, 15</v>
      </c>
      <c r="M1538" s="52" t="str">
        <f>VLOOKUP(Tabla3[[#This Row],[Site]],'Important Info!'!$A$1:$F$135,3,FALSE)</f>
        <v>-</v>
      </c>
      <c r="N1538" s="52" t="str">
        <f>VLOOKUP(Tabla3[[#This Row],[Site]],'Important Info!'!$A$1:$F$135,4,FALSE)</f>
        <v>-</v>
      </c>
      <c r="O1538" s="52" t="str">
        <f>VLOOKUP(Tabla3[[#This Row],[Site]],'Important Info!'!$A$1:$F$135,5,FALSE)</f>
        <v>-</v>
      </c>
      <c r="P1538" s="52">
        <f>VLOOKUP(Tabla3[[#This Row],[Site]],'Important Info!'!$A$1:$F$135,6,FALSE)</f>
        <v>12</v>
      </c>
      <c r="Q1538" s="91">
        <f>VLOOKUP(Tabla3[[#This Row],[Site]],'Important Info!'!$A$1:$J$135,9,FALSE)</f>
        <v>186</v>
      </c>
    </row>
    <row r="1539" spans="1:17" x14ac:dyDescent="0.25">
      <c r="A1539" t="str">
        <f>+Tabla3[[#This Row],[Site]]&amp;Tabla3[[#This Row],[Split]]</f>
        <v>(AS) Mercedes Benz/Porsche Dallas I,II,III (NO TOURS)17</v>
      </c>
      <c r="B1539">
        <v>17</v>
      </c>
      <c r="C1539">
        <v>5</v>
      </c>
      <c r="D1539" t="s">
        <v>33</v>
      </c>
      <c r="E1539" t="s">
        <v>46</v>
      </c>
      <c r="F1539" t="s">
        <v>509</v>
      </c>
      <c r="G1539" t="s">
        <v>34</v>
      </c>
      <c r="H1539" s="52" t="str">
        <f>VLOOKUP(Tabla3[[#This Row],[Site]],'Important Info!'!$A$1:$J$135,10,FALSE)</f>
        <v>https://tools.sig.systems/site/details/168</v>
      </c>
      <c r="I1539" s="65" t="s">
        <v>125</v>
      </c>
      <c r="J1539" t="s">
        <v>41</v>
      </c>
      <c r="K1539" s="79" t="str">
        <f>VLOOKUP(Tabla3[[#This Row],[Site]],'Important Info!'!$A$1:$H$135,8,FALSE)</f>
        <v>-</v>
      </c>
      <c r="L1539" s="52" t="str">
        <f>VLOOKUP(Tabla3[[#This Row],[Site]],'Important Info!'!$A$1:$F$135,2,FALSE)</f>
        <v>3, 4, 17, 26, 41</v>
      </c>
      <c r="M1539" s="52" t="str">
        <f>VLOOKUP(Tabla3[[#This Row],[Site]],'Important Info!'!$A$1:$F$135,3,FALSE)</f>
        <v>-</v>
      </c>
      <c r="N1539" s="52" t="str">
        <f>VLOOKUP(Tabla3[[#This Row],[Site]],'Important Info!'!$A$1:$F$135,4,FALSE)</f>
        <v>153, 154, 155, 156, 157, 158</v>
      </c>
      <c r="O1539" s="52" t="str">
        <f>VLOOKUP(Tabla3[[#This Row],[Site]],'Important Info!'!$A$1:$F$135,5,FALSE)</f>
        <v>2, 6, 10, 20, 28, 30, 36</v>
      </c>
      <c r="P1539" s="52" t="str">
        <f>VLOOKUP(Tabla3[[#This Row],[Site]],'Important Info!'!$A$1:$F$135,6,FALSE)</f>
        <v>31, 41, 159</v>
      </c>
      <c r="Q1539" s="91">
        <f>VLOOKUP(Tabla3[[#This Row],[Site]],'Important Info!'!$A$1:$J$135,9,FALSE)</f>
        <v>168</v>
      </c>
    </row>
    <row r="1540" spans="1:17" x14ac:dyDescent="0.25">
      <c r="A1540" t="str">
        <f>+Tabla3[[#This Row],[Site]]&amp;Tabla3[[#This Row],[Split]]</f>
        <v>(DT) Colorado Springs (NO TOURS)17</v>
      </c>
      <c r="B1540">
        <v>17</v>
      </c>
      <c r="C1540">
        <v>5</v>
      </c>
      <c r="D1540" t="s">
        <v>44</v>
      </c>
      <c r="E1540" t="s">
        <v>53</v>
      </c>
      <c r="F1540" t="s">
        <v>156</v>
      </c>
      <c r="G1540" t="s">
        <v>45</v>
      </c>
      <c r="H1540" s="52" t="str">
        <f>VLOOKUP(Tabla3[[#This Row],[Site]],'Important Info!'!$A$1:$J$135,10,FALSE)</f>
        <v>https://tools.sig.systems/site/details/198</v>
      </c>
      <c r="J1540" t="s">
        <v>41</v>
      </c>
      <c r="K1540" s="79" t="str">
        <f>VLOOKUP(Tabla3[[#This Row],[Site]],'Important Info!'!$A$1:$H$135,8,FALSE)</f>
        <v>-</v>
      </c>
      <c r="L1540" s="52" t="str">
        <f>VLOOKUP(Tabla3[[#This Row],[Site]],'Important Info!'!$A$1:$F$135,2,FALSE)</f>
        <v>-</v>
      </c>
      <c r="M1540" s="52" t="str">
        <f>VLOOKUP(Tabla3[[#This Row],[Site]],'Important Info!'!$A$1:$F$135,3,FALSE)</f>
        <v>1, 2, 3, 4</v>
      </c>
      <c r="N1540" s="52" t="str">
        <f>VLOOKUP(Tabla3[[#This Row],[Site]],'Important Info!'!$A$1:$F$135,4,FALSE)</f>
        <v>-</v>
      </c>
      <c r="O1540" s="52" t="str">
        <f>VLOOKUP(Tabla3[[#This Row],[Site]],'Important Info!'!$A$1:$F$135,5,FALSE)</f>
        <v>-</v>
      </c>
      <c r="P1540" s="52" t="str">
        <f>VLOOKUP(Tabla3[[#This Row],[Site]],'Important Info!'!$A$1:$F$135,6,FALSE)</f>
        <v>1, 2, 3, 11</v>
      </c>
      <c r="Q1540" s="91">
        <f>VLOOKUP(Tabla3[[#This Row],[Site]],'Important Info!'!$A$1:$J$135,9,FALSE)</f>
        <v>198</v>
      </c>
    </row>
    <row r="1541" spans="1:17" x14ac:dyDescent="0.25">
      <c r="A1541" t="str">
        <f>+Tabla3[[#This Row],[Site]]&amp;Tabla3[[#This Row],[Split]]</f>
        <v>(ML) BMW of Little Rock17</v>
      </c>
      <c r="B1541">
        <v>17</v>
      </c>
      <c r="C1541">
        <v>5</v>
      </c>
      <c r="D1541" t="s">
        <v>33</v>
      </c>
      <c r="E1541" t="s">
        <v>46</v>
      </c>
      <c r="F1541" t="s">
        <v>139</v>
      </c>
      <c r="G1541" t="s">
        <v>34</v>
      </c>
      <c r="H1541" s="52" t="str">
        <f>VLOOKUP(Tabla3[[#This Row],[Site]],'Important Info!'!$A$1:$J$135,10,FALSE)</f>
        <v>https://tools.sig.systems/site/details/217</v>
      </c>
      <c r="I1541" t="s">
        <v>140</v>
      </c>
      <c r="J1541" t="s">
        <v>41</v>
      </c>
      <c r="K1541" s="79" t="str">
        <f>VLOOKUP(Tabla3[[#This Row],[Site]],'Important Info!'!$A$1:$H$135,8,FALSE)</f>
        <v>-</v>
      </c>
      <c r="L1541" s="52" t="str">
        <f>VLOOKUP(Tabla3[[#This Row],[Site]],'Important Info!'!$A$1:$F$135,2,FALSE)</f>
        <v>-</v>
      </c>
      <c r="M1541" s="52">
        <f>VLOOKUP(Tabla3[[#This Row],[Site]],'Important Info!'!$A$1:$F$135,3,FALSE)</f>
        <v>14</v>
      </c>
      <c r="N1541" s="52" t="str">
        <f>VLOOKUP(Tabla3[[#This Row],[Site]],'Important Info!'!$A$1:$F$135,4,FALSE)</f>
        <v>-</v>
      </c>
      <c r="O1541" s="52" t="str">
        <f>VLOOKUP(Tabla3[[#This Row],[Site]],'Important Info!'!$A$1:$F$135,5,FALSE)</f>
        <v>-</v>
      </c>
      <c r="P1541" s="52" t="str">
        <f>VLOOKUP(Tabla3[[#This Row],[Site]],'Important Info!'!$A$1:$F$135,6,FALSE)</f>
        <v>5, 6, 7, 8, 9, 32</v>
      </c>
      <c r="Q1541" s="91">
        <f>VLOOKUP(Tabla3[[#This Row],[Site]],'Important Info!'!$A$1:$J$135,9,FALSE)</f>
        <v>217</v>
      </c>
    </row>
    <row r="1542" spans="1:17" x14ac:dyDescent="0.25">
      <c r="A1542" t="str">
        <f>+Tabla3[[#This Row],[Site]]&amp;Tabla3[[#This Row],[Split]]</f>
        <v>(ML) Joe Machens Toyota17</v>
      </c>
      <c r="B1542">
        <v>17</v>
      </c>
      <c r="C1542">
        <v>5</v>
      </c>
      <c r="D1542" t="s">
        <v>33</v>
      </c>
      <c r="E1542" t="s">
        <v>46</v>
      </c>
      <c r="F1542" t="s">
        <v>73</v>
      </c>
      <c r="G1542" t="s">
        <v>34</v>
      </c>
      <c r="H1542" s="52" t="str">
        <f>VLOOKUP(Tabla3[[#This Row],[Site]],'Important Info!'!$A$1:$J$135,10,FALSE)</f>
        <v>https://tools.sig.systems/site/details/275</v>
      </c>
      <c r="I1542" s="43" t="s">
        <v>146</v>
      </c>
      <c r="J1542" t="s">
        <v>41</v>
      </c>
      <c r="K1542" s="79" t="str">
        <f>VLOOKUP(Tabla3[[#This Row],[Site]],'Important Info!'!$A$1:$H$135,8,FALSE)</f>
        <v>-</v>
      </c>
      <c r="L1542" s="52" t="str">
        <f>VLOOKUP(Tabla3[[#This Row],[Site]],'Important Info!'!$A$1:$F$135,2,FALSE)</f>
        <v>-</v>
      </c>
      <c r="M1542" s="52" t="str">
        <f>VLOOKUP(Tabla3[[#This Row],[Site]],'Important Info!'!$A$1:$F$135,3,FALSE)</f>
        <v>1, 4, 6</v>
      </c>
      <c r="N1542" s="52" t="str">
        <f>VLOOKUP(Tabla3[[#This Row],[Site]],'Important Info!'!$A$1:$F$135,4,FALSE)</f>
        <v>-</v>
      </c>
      <c r="O1542" s="52" t="str">
        <f>VLOOKUP(Tabla3[[#This Row],[Site]],'Important Info!'!$A$1:$F$135,5,FALSE)</f>
        <v>4, 10</v>
      </c>
      <c r="P1542" s="52" t="str">
        <f>VLOOKUP(Tabla3[[#This Row],[Site]],'Important Info!'!$A$1:$F$135,6,FALSE)</f>
        <v>-</v>
      </c>
      <c r="Q1542" s="91">
        <f>VLOOKUP(Tabla3[[#This Row],[Site]],'Important Info!'!$A$1:$J$135,9,FALSE)</f>
        <v>275</v>
      </c>
    </row>
    <row r="1543" spans="1:17" x14ac:dyDescent="0.25">
      <c r="A1543" t="str">
        <f>+Tabla3[[#This Row],[Site]]&amp;Tabla3[[#This Row],[Split]]</f>
        <v>(ML) Toyota N Little Rock17</v>
      </c>
      <c r="B1543">
        <v>17</v>
      </c>
      <c r="C1543">
        <v>5</v>
      </c>
      <c r="D1543" t="s">
        <v>33</v>
      </c>
      <c r="E1543" t="s">
        <v>46</v>
      </c>
      <c r="F1543" t="s">
        <v>76</v>
      </c>
      <c r="G1543" t="s">
        <v>34</v>
      </c>
      <c r="H1543" s="52" t="str">
        <f>VLOOKUP(Tabla3[[#This Row],[Site]],'Important Info!'!$A$1:$J$135,10,FALSE)</f>
        <v>https://tools.sig.systems/site/details/201</v>
      </c>
      <c r="I1543" s="2" t="s">
        <v>142</v>
      </c>
      <c r="J1543" t="s">
        <v>41</v>
      </c>
      <c r="K1543" s="79" t="str">
        <f>VLOOKUP(Tabla3[[#This Row],[Site]],'Important Info!'!$A$1:$H$135,8,FALSE)</f>
        <v>-</v>
      </c>
      <c r="L1543" s="52" t="str">
        <f>VLOOKUP(Tabla3[[#This Row],[Site]],'Important Info!'!$A$1:$F$135,2,FALSE)</f>
        <v>4, 15, 18, 22, 23, 26</v>
      </c>
      <c r="M1543" s="52" t="str">
        <f>VLOOKUP(Tabla3[[#This Row],[Site]],'Important Info!'!$A$1:$F$135,3,FALSE)</f>
        <v>-</v>
      </c>
      <c r="N1543" s="52" t="str">
        <f>VLOOKUP(Tabla3[[#This Row],[Site]],'Important Info!'!$A$1:$F$135,4,FALSE)</f>
        <v>-</v>
      </c>
      <c r="O1543" s="52" t="str">
        <f>VLOOKUP(Tabla3[[#This Row],[Site]],'Important Info!'!$A$1:$F$135,5,FALSE)</f>
        <v>2, 12, 13, 18</v>
      </c>
      <c r="P1543" s="52" t="str">
        <f>VLOOKUP(Tabla3[[#This Row],[Site]],'Important Info!'!$A$1:$F$135,6,FALSE)</f>
        <v>-</v>
      </c>
      <c r="Q1543" s="91">
        <f>VLOOKUP(Tabla3[[#This Row],[Site]],'Important Info!'!$A$1:$J$135,9,FALSE)</f>
        <v>201</v>
      </c>
    </row>
    <row r="1544" spans="1:17" x14ac:dyDescent="0.25">
      <c r="A1544" t="str">
        <f>+Tabla3[[#This Row],[Site]]&amp;Tabla3[[#This Row],[Split]]</f>
        <v>(PE) JLR PDI (NO TOURS)17</v>
      </c>
      <c r="B1544">
        <v>17</v>
      </c>
      <c r="C1544">
        <v>5</v>
      </c>
      <c r="D1544" t="s">
        <v>485</v>
      </c>
      <c r="E1544" t="s">
        <v>35</v>
      </c>
      <c r="F1544" t="s">
        <v>114</v>
      </c>
      <c r="G1544" t="s">
        <v>490</v>
      </c>
      <c r="H1544" s="52" t="str">
        <f>VLOOKUP(Tabla3[[#This Row],[Site]],'Important Info!'!$A$1:$J$135,10,FALSE)</f>
        <v>https://tools.sig.systems/site/details/179</v>
      </c>
      <c r="I1544" t="s">
        <v>176</v>
      </c>
      <c r="J1544" t="s">
        <v>41</v>
      </c>
      <c r="K1544" s="79" t="str">
        <f>VLOOKUP(Tabla3[[#This Row],[Site]],'Important Info!'!$A$1:$H$135,8,FALSE)</f>
        <v>-</v>
      </c>
      <c r="L1544" s="52" t="str">
        <f>VLOOKUP(Tabla3[[#This Row],[Site]],'Important Info!'!$A$1:$F$135,2,FALSE)</f>
        <v>3, 8</v>
      </c>
      <c r="M1544" s="52" t="str">
        <f>VLOOKUP(Tabla3[[#This Row],[Site]],'Important Info!'!$A$1:$F$135,3,FALSE)</f>
        <v>-</v>
      </c>
      <c r="N1544" s="52" t="str">
        <f>VLOOKUP(Tabla3[[#This Row],[Site]],'Important Info!'!$A$1:$F$135,4,FALSE)</f>
        <v>-</v>
      </c>
      <c r="O1544" s="52" t="str">
        <f>VLOOKUP(Tabla3[[#This Row],[Site]],'Important Info!'!$A$1:$F$135,5,FALSE)</f>
        <v>-</v>
      </c>
      <c r="P1544" s="52" t="str">
        <f>VLOOKUP(Tabla3[[#This Row],[Site]],'Important Info!'!$A$1:$F$135,6,FALSE)</f>
        <v>-</v>
      </c>
      <c r="Q1544" s="91">
        <f>VLOOKUP(Tabla3[[#This Row],[Site]],'Important Info!'!$A$1:$J$135,9,FALSE)</f>
        <v>179</v>
      </c>
    </row>
    <row r="1545" spans="1:17" x14ac:dyDescent="0.25">
      <c r="A1545" t="str">
        <f>+Tabla3[[#This Row],[Site]]&amp;Tabla3[[#This Row],[Split]]</f>
        <v>(AS) Park Place Sprinter Van Center (NO TOURS)17</v>
      </c>
      <c r="B1545">
        <v>17</v>
      </c>
      <c r="C1545">
        <v>6</v>
      </c>
      <c r="D1545" t="s">
        <v>33</v>
      </c>
      <c r="E1545" t="s">
        <v>46</v>
      </c>
      <c r="F1545" t="s">
        <v>520</v>
      </c>
      <c r="G1545" t="s">
        <v>34</v>
      </c>
      <c r="H1545" s="52" t="str">
        <f>VLOOKUP(Tabla3[[#This Row],[Site]],'Important Info!'!$A$1:$J$135,10,FALSE)</f>
        <v>https://tools.sig.systems/site/details/138</v>
      </c>
      <c r="I1545" s="65" t="s">
        <v>125</v>
      </c>
      <c r="J1545" t="s">
        <v>41</v>
      </c>
      <c r="K1545" s="79" t="str">
        <f>VLOOKUP(Tabla3[[#This Row],[Site]],'Important Info!'!$A$1:$H$135,8,FALSE)</f>
        <v>-</v>
      </c>
      <c r="L1545" s="52">
        <f>VLOOKUP(Tabla3[[#This Row],[Site]],'Important Info!'!$A$1:$F$135,2,FALSE)</f>
        <v>1</v>
      </c>
      <c r="M1545" s="52" t="str">
        <f>VLOOKUP(Tabla3[[#This Row],[Site]],'Important Info!'!$A$1:$F$135,3,FALSE)</f>
        <v>-</v>
      </c>
      <c r="N1545" s="52" t="str">
        <f>VLOOKUP(Tabla3[[#This Row],[Site]],'Important Info!'!$A$1:$F$135,4,FALSE)</f>
        <v>-</v>
      </c>
      <c r="O1545" s="52" t="str">
        <f>VLOOKUP(Tabla3[[#This Row],[Site]],'Important Info!'!$A$1:$F$135,5,FALSE)</f>
        <v>-</v>
      </c>
      <c r="P1545" s="52" t="str">
        <f>VLOOKUP(Tabla3[[#This Row],[Site]],'Important Info!'!$A$1:$F$135,6,FALSE)</f>
        <v>1, 3</v>
      </c>
      <c r="Q1545" s="91">
        <f>VLOOKUP(Tabla3[[#This Row],[Site]],'Important Info!'!$A$1:$J$135,9,FALSE)</f>
        <v>138</v>
      </c>
    </row>
    <row r="1546" spans="1:17" x14ac:dyDescent="0.25">
      <c r="A1546" t="str">
        <f>+Tabla3[[#This Row],[Site]]&amp;Tabla3[[#This Row],[Split]]</f>
        <v>(AS) Stevinson Chevrolet Golden (NO TOURS)17</v>
      </c>
      <c r="B1546">
        <v>17</v>
      </c>
      <c r="C1546">
        <v>6</v>
      </c>
      <c r="D1546" t="s">
        <v>488</v>
      </c>
      <c r="E1546" t="s">
        <v>53</v>
      </c>
      <c r="F1546" t="s">
        <v>190</v>
      </c>
      <c r="G1546" t="s">
        <v>45</v>
      </c>
      <c r="H1546" s="52" t="str">
        <f>VLOOKUP(Tabla3[[#This Row],[Site]],'Important Info!'!$A$1:$J$135,10,FALSE)</f>
        <v>https://tools.sig.systems/site/details/264</v>
      </c>
      <c r="I1546" s="2" t="s">
        <v>154</v>
      </c>
      <c r="J1546" t="s">
        <v>41</v>
      </c>
      <c r="K1546" s="79" t="str">
        <f>VLOOKUP(Tabla3[[#This Row],[Site]],'Important Info!'!$A$1:$H$135,8,FALSE)</f>
        <v>-</v>
      </c>
      <c r="L1546" s="52" t="str">
        <f>VLOOKUP(Tabla3[[#This Row],[Site]],'Important Info!'!$A$1:$F$135,2,FALSE)</f>
        <v>-</v>
      </c>
      <c r="M1546" s="52" t="str">
        <f>VLOOKUP(Tabla3[[#This Row],[Site]],'Important Info!'!$A$1:$F$135,3,FALSE)</f>
        <v>1, 19</v>
      </c>
      <c r="N1546" s="52" t="str">
        <f>VLOOKUP(Tabla3[[#This Row],[Site]],'Important Info!'!$A$1:$F$135,4,FALSE)</f>
        <v>-</v>
      </c>
      <c r="O1546" s="52" t="str">
        <f>VLOOKUP(Tabla3[[#This Row],[Site]],'Important Info!'!$A$1:$F$135,5,FALSE)</f>
        <v>14, 30</v>
      </c>
      <c r="P1546" s="52" t="str">
        <f>VLOOKUP(Tabla3[[#This Row],[Site]],'Important Info!'!$A$1:$F$135,6,FALSE)</f>
        <v>14, 33, 34, 35, 36</v>
      </c>
      <c r="Q1546" s="91">
        <f>VLOOKUP(Tabla3[[#This Row],[Site]],'Important Info!'!$A$1:$J$135,9,FALSE)</f>
        <v>264</v>
      </c>
    </row>
    <row r="1547" spans="1:17" x14ac:dyDescent="0.25">
      <c r="A1547" t="str">
        <f>+Tabla3[[#This Row],[Site]]&amp;Tabla3[[#This Row],[Split]]</f>
        <v>(HUD) Honda of Southpoint17</v>
      </c>
      <c r="B1547">
        <v>17</v>
      </c>
      <c r="C1547">
        <v>6</v>
      </c>
      <c r="D1547" t="s">
        <v>62</v>
      </c>
      <c r="E1547" t="s">
        <v>35</v>
      </c>
      <c r="F1547" t="s">
        <v>65</v>
      </c>
      <c r="G1547" t="s">
        <v>490</v>
      </c>
      <c r="H1547" s="52" t="str">
        <f>VLOOKUP(Tabla3[[#This Row],[Site]],'Important Info!'!$A$1:$J$135,10,FALSE)</f>
        <v>https://tools.sig.systems/site/details/195</v>
      </c>
      <c r="I1547" s="43"/>
      <c r="J1547" t="s">
        <v>484</v>
      </c>
      <c r="K1547" s="79" t="str">
        <f>VLOOKUP(Tabla3[[#This Row],[Site]],'Important Info!'!$A$1:$H$135,8,FALSE)</f>
        <v>-</v>
      </c>
      <c r="L1547" s="52" t="str">
        <f>VLOOKUP(Tabla3[[#This Row],[Site]],'Important Info!'!$A$1:$F$135,2,FALSE)</f>
        <v>2, 12, 18</v>
      </c>
      <c r="M1547" s="52">
        <f>VLOOKUP(Tabla3[[#This Row],[Site]],'Important Info!'!$A$1:$F$135,3,FALSE)</f>
        <v>13</v>
      </c>
      <c r="N1547" s="52" t="str">
        <f>VLOOKUP(Tabla3[[#This Row],[Site]],'Important Info!'!$A$1:$F$135,4,FALSE)</f>
        <v>-</v>
      </c>
      <c r="O1547" s="52" t="str">
        <f>VLOOKUP(Tabla3[[#This Row],[Site]],'Important Info!'!$A$1:$F$135,5,FALSE)</f>
        <v>2, 15</v>
      </c>
      <c r="P1547" s="52" t="str">
        <f>VLOOKUP(Tabla3[[#This Row],[Site]],'Important Info!'!$A$1:$F$135,6,FALSE)</f>
        <v>-</v>
      </c>
      <c r="Q1547" s="91">
        <f>VLOOKUP(Tabla3[[#This Row],[Site]],'Important Info!'!$A$1:$J$135,9,FALSE)</f>
        <v>195</v>
      </c>
    </row>
    <row r="1548" spans="1:17" x14ac:dyDescent="0.25">
      <c r="A1548" t="str">
        <f>+Tabla3[[#This Row],[Site]]&amp;Tabla3[[#This Row],[Split]]</f>
        <v>(HUD) Nissan Greensboro17</v>
      </c>
      <c r="B1548">
        <v>17</v>
      </c>
      <c r="C1548">
        <v>6</v>
      </c>
      <c r="D1548" t="s">
        <v>62</v>
      </c>
      <c r="E1548" t="s">
        <v>35</v>
      </c>
      <c r="F1548" t="s">
        <v>66</v>
      </c>
      <c r="G1548" t="s">
        <v>490</v>
      </c>
      <c r="H1548" s="52" t="str">
        <f>VLOOKUP(Tabla3[[#This Row],[Site]],'Important Info!'!$A$1:$J$135,10,FALSE)</f>
        <v>https://tools.sig.systems/site/details/236</v>
      </c>
      <c r="I1548" s="2" t="s">
        <v>184</v>
      </c>
      <c r="J1548" t="s">
        <v>41</v>
      </c>
      <c r="K1548" s="79" t="str">
        <f>VLOOKUP(Tabla3[[#This Row],[Site]],'Important Info!'!$A$1:$H$135,8,FALSE)</f>
        <v>-</v>
      </c>
      <c r="L1548" s="52" t="str">
        <f>VLOOKUP(Tabla3[[#This Row],[Site]],'Important Info!'!$A$1:$F$135,2,FALSE)</f>
        <v>1, 5, 12</v>
      </c>
      <c r="M1548" s="52" t="str">
        <f>VLOOKUP(Tabla3[[#This Row],[Site]],'Important Info!'!$A$1:$F$135,3,FALSE)</f>
        <v>-</v>
      </c>
      <c r="N1548" s="52" t="str">
        <f>VLOOKUP(Tabla3[[#This Row],[Site]],'Important Info!'!$A$1:$F$135,4,FALSE)</f>
        <v>-</v>
      </c>
      <c r="O1548" s="52" t="str">
        <f>VLOOKUP(Tabla3[[#This Row],[Site]],'Important Info!'!$A$1:$F$135,5,FALSE)</f>
        <v>-</v>
      </c>
      <c r="P1548" s="52">
        <f>VLOOKUP(Tabla3[[#This Row],[Site]],'Important Info!'!$A$1:$F$135,6,FALSE)</f>
        <v>4</v>
      </c>
      <c r="Q1548" s="91">
        <f>VLOOKUP(Tabla3[[#This Row],[Site]],'Important Info!'!$A$1:$J$135,9,FALSE)</f>
        <v>236</v>
      </c>
    </row>
    <row r="1549" spans="1:17" x14ac:dyDescent="0.25">
      <c r="A1549" t="str">
        <f>+Tabla3[[#This Row],[Site]]&amp;Tabla3[[#This Row],[Split]]</f>
        <v>(ML) Joe Machens E Collision Center17</v>
      </c>
      <c r="B1549">
        <v>17</v>
      </c>
      <c r="C1549">
        <v>6</v>
      </c>
      <c r="D1549" t="s">
        <v>33</v>
      </c>
      <c r="E1549" t="s">
        <v>46</v>
      </c>
      <c r="F1549" t="s">
        <v>147</v>
      </c>
      <c r="G1549" t="s">
        <v>34</v>
      </c>
      <c r="H1549" s="52" t="str">
        <f>VLOOKUP(Tabla3[[#This Row],[Site]],'Important Info!'!$A$1:$J$135,10,FALSE)</f>
        <v>https://tools.sig.systems/site/details/277</v>
      </c>
      <c r="I1549" s="43" t="s">
        <v>146</v>
      </c>
      <c r="J1549" t="s">
        <v>41</v>
      </c>
      <c r="K1549" s="79" t="str">
        <f>VLOOKUP(Tabla3[[#This Row],[Site]],'Important Info!'!$A$1:$H$135,8,FALSE)</f>
        <v>-</v>
      </c>
      <c r="L1549" s="52">
        <f>VLOOKUP(Tabla3[[#This Row],[Site]],'Important Info!'!$A$1:$F$135,2,FALSE)</f>
        <v>1</v>
      </c>
      <c r="M1549" s="52" t="str">
        <f>VLOOKUP(Tabla3[[#This Row],[Site]],'Important Info!'!$A$1:$F$135,3,FALSE)</f>
        <v>-</v>
      </c>
      <c r="N1549" s="52" t="str">
        <f>VLOOKUP(Tabla3[[#This Row],[Site]],'Important Info!'!$A$1:$F$135,4,FALSE)</f>
        <v>-</v>
      </c>
      <c r="O1549" s="52">
        <f>VLOOKUP(Tabla3[[#This Row],[Site]],'Important Info!'!$A$1:$F$135,5,FALSE)</f>
        <v>5</v>
      </c>
      <c r="P1549" s="52" t="str">
        <f>VLOOKUP(Tabla3[[#This Row],[Site]],'Important Info!'!$A$1:$F$135,6,FALSE)</f>
        <v>1, 2, 3, 4</v>
      </c>
      <c r="Q1549" s="91">
        <f>VLOOKUP(Tabla3[[#This Row],[Site]],'Important Info!'!$A$1:$J$135,9,FALSE)</f>
        <v>277</v>
      </c>
    </row>
    <row r="1550" spans="1:17" x14ac:dyDescent="0.25">
      <c r="A1550" t="str">
        <f>+Tabla3[[#This Row],[Site]]&amp;Tabla3[[#This Row],[Split]]</f>
        <v>(ML) Joe Machens Nissan17</v>
      </c>
      <c r="B1550">
        <v>17</v>
      </c>
      <c r="C1550">
        <v>6</v>
      </c>
      <c r="D1550" t="s">
        <v>33</v>
      </c>
      <c r="E1550" s="41" t="s">
        <v>46</v>
      </c>
      <c r="F1550" s="41" t="s">
        <v>104</v>
      </c>
      <c r="G1550" t="s">
        <v>34</v>
      </c>
      <c r="H1550" s="52" t="str">
        <f>VLOOKUP(Tabla3[[#This Row],[Site]],'Important Info!'!$A$1:$J$135,10,FALSE)</f>
        <v>https://tools.sig.systems/site/details/279</v>
      </c>
      <c r="I1550" s="42" t="s">
        <v>146</v>
      </c>
      <c r="J1550" s="41" t="s">
        <v>41</v>
      </c>
      <c r="K1550" s="79" t="str">
        <f>VLOOKUP(Tabla3[[#This Row],[Site]],'Important Info!'!$A$1:$H$135,8,FALSE)</f>
        <v>-</v>
      </c>
      <c r="L1550" s="52" t="str">
        <f>VLOOKUP(Tabla3[[#This Row],[Site]],'Important Info!'!$A$1:$F$135,2,FALSE)</f>
        <v>-</v>
      </c>
      <c r="M1550" s="52" t="str">
        <f>VLOOKUP(Tabla3[[#This Row],[Site]],'Important Info!'!$A$1:$F$135,3,FALSE)</f>
        <v>1, 3, 16</v>
      </c>
      <c r="N1550" s="52" t="str">
        <f>VLOOKUP(Tabla3[[#This Row],[Site]],'Important Info!'!$A$1:$F$135,4,FALSE)</f>
        <v>-</v>
      </c>
      <c r="O1550" s="52" t="str">
        <f>VLOOKUP(Tabla3[[#This Row],[Site]],'Important Info!'!$A$1:$F$135,5,FALSE)</f>
        <v>-</v>
      </c>
      <c r="P1550" s="52" t="str">
        <f>VLOOKUP(Tabla3[[#This Row],[Site]],'Important Info!'!$A$1:$F$135,6,FALSE)</f>
        <v>-</v>
      </c>
      <c r="Q1550" s="91">
        <f>VLOOKUP(Tabla3[[#This Row],[Site]],'Important Info!'!$A$1:$J$135,9,FALSE)</f>
        <v>279</v>
      </c>
    </row>
    <row r="1551" spans="1:17" x14ac:dyDescent="0.25">
      <c r="A1551" t="str">
        <f>+Tabla3[[#This Row],[Site]]&amp;Tabla3[[#This Row],[Split]]</f>
        <v>(ML) Nissan of North Little Rock17</v>
      </c>
      <c r="B1551">
        <v>17</v>
      </c>
      <c r="C1551">
        <v>6</v>
      </c>
      <c r="D1551" t="s">
        <v>33</v>
      </c>
      <c r="E1551" t="s">
        <v>46</v>
      </c>
      <c r="F1551" t="s">
        <v>75</v>
      </c>
      <c r="G1551" t="s">
        <v>34</v>
      </c>
      <c r="H1551" s="52" t="str">
        <f>VLOOKUP(Tabla3[[#This Row],[Site]],'Important Info!'!$A$1:$J$135,10,FALSE)</f>
        <v>https://tools.sig.systems/site/details/216</v>
      </c>
      <c r="I1551" s="43" t="s">
        <v>142</v>
      </c>
      <c r="J1551" t="s">
        <v>41</v>
      </c>
      <c r="K1551" s="79" t="str">
        <f>VLOOKUP(Tabla3[[#This Row],[Site]],'Important Info!'!$A$1:$H$135,8,FALSE)</f>
        <v>-</v>
      </c>
      <c r="L1551" s="52" t="str">
        <f>VLOOKUP(Tabla3[[#This Row],[Site]],'Important Info!'!$A$1:$F$135,2,FALSE)</f>
        <v>2, 4</v>
      </c>
      <c r="M1551" s="52" t="str">
        <f>VLOOKUP(Tabla3[[#This Row],[Site]],'Important Info!'!$A$1:$F$135,3,FALSE)</f>
        <v>-</v>
      </c>
      <c r="N1551" s="52" t="str">
        <f>VLOOKUP(Tabla3[[#This Row],[Site]],'Important Info!'!$A$1:$F$135,4,FALSE)</f>
        <v>-</v>
      </c>
      <c r="O1551" s="52" t="str">
        <f>VLOOKUP(Tabla3[[#This Row],[Site]],'Important Info!'!$A$1:$F$135,5,FALSE)</f>
        <v>5, 17, 23</v>
      </c>
      <c r="P1551" s="52">
        <f>VLOOKUP(Tabla3[[#This Row],[Site]],'Important Info!'!$A$1:$F$135,6,FALSE)</f>
        <v>18</v>
      </c>
      <c r="Q1551" s="91">
        <f>VLOOKUP(Tabla3[[#This Row],[Site]],'Important Info!'!$A$1:$J$135,9,FALSE)</f>
        <v>216</v>
      </c>
    </row>
    <row r="1552" spans="1:17" x14ac:dyDescent="0.25">
      <c r="A1552" t="str">
        <f>+Tabla3[[#This Row],[Site]]&amp;Tabla3[[#This Row],[Split]]</f>
        <v>(PE) BMW of Mamaroneck (NO TOURS)17</v>
      </c>
      <c r="B1552">
        <v>17</v>
      </c>
      <c r="C1552">
        <v>6</v>
      </c>
      <c r="D1552" t="s">
        <v>485</v>
      </c>
      <c r="E1552" t="s">
        <v>35</v>
      </c>
      <c r="F1552" t="s">
        <v>172</v>
      </c>
      <c r="G1552" t="s">
        <v>490</v>
      </c>
      <c r="H1552" s="52" t="str">
        <f>VLOOKUP(Tabla3[[#This Row],[Site]],'Important Info!'!$A$1:$J$135,10,FALSE)</f>
        <v>https://tools.sig.systems/site/details/185</v>
      </c>
      <c r="I1552" s="2"/>
      <c r="J1552" t="s">
        <v>41</v>
      </c>
      <c r="K1552" s="79" t="str">
        <f>VLOOKUP(Tabla3[[#This Row],[Site]],'Important Info!'!$A$1:$H$135,8,FALSE)</f>
        <v>-</v>
      </c>
      <c r="L1552" s="52">
        <f>VLOOKUP(Tabla3[[#This Row],[Site]],'Important Info!'!$A$1:$F$135,2,FALSE)</f>
        <v>9</v>
      </c>
      <c r="M1552" s="52" t="str">
        <f>VLOOKUP(Tabla3[[#This Row],[Site]],'Important Info!'!$A$1:$F$135,3,FALSE)</f>
        <v>2, 3, 4, 5</v>
      </c>
      <c r="N1552" s="52" t="str">
        <f>VLOOKUP(Tabla3[[#This Row],[Site]],'Important Info!'!$A$1:$F$135,4,FALSE)</f>
        <v>-</v>
      </c>
      <c r="O1552" s="52" t="str">
        <f>VLOOKUP(Tabla3[[#This Row],[Site]],'Important Info!'!$A$1:$F$135,5,FALSE)</f>
        <v>-</v>
      </c>
      <c r="P1552" s="52" t="str">
        <f>VLOOKUP(Tabla3[[#This Row],[Site]],'Important Info!'!$A$1:$F$135,6,FALSE)</f>
        <v>4, 6, 7, 8</v>
      </c>
      <c r="Q1552" s="91">
        <f>VLOOKUP(Tabla3[[#This Row],[Site]],'Important Info!'!$A$1:$J$135,9,FALSE)</f>
        <v>185</v>
      </c>
    </row>
    <row r="1553" spans="1:17" x14ac:dyDescent="0.25">
      <c r="A1553" t="str">
        <f>+Tabla3[[#This Row],[Site]]&amp;Tabla3[[#This Row],[Split]]</f>
        <v>(SCH) Prep Center Delray17</v>
      </c>
      <c r="B1553">
        <v>17</v>
      </c>
      <c r="C1553">
        <v>6</v>
      </c>
      <c r="D1553" t="s">
        <v>62</v>
      </c>
      <c r="E1553" t="s">
        <v>35</v>
      </c>
      <c r="F1553" t="s">
        <v>191</v>
      </c>
      <c r="G1553" t="s">
        <v>490</v>
      </c>
      <c r="H1553" s="52" t="str">
        <f>VLOOKUP(Tabla3[[#This Row],[Site]],'Important Info!'!$A$1:$J$135,10,FALSE)</f>
        <v>https://tools.sig.systems/site/details/321</v>
      </c>
      <c r="I1553" s="2"/>
      <c r="J1553" t="s">
        <v>41</v>
      </c>
      <c r="K1553" s="79" t="str">
        <f>VLOOKUP(Tabla3[[#This Row],[Site]],'Important Info!'!$A$1:$H$135,8,FALSE)</f>
        <v>-</v>
      </c>
      <c r="L1553" s="52" t="str">
        <f>VLOOKUP(Tabla3[[#This Row],[Site]],'Important Info!'!$A$1:$F$135,2,FALSE)</f>
        <v>2,3</v>
      </c>
      <c r="M1553" s="52" t="str">
        <f>VLOOKUP(Tabla3[[#This Row],[Site]],'Important Info!'!$A$1:$F$135,3,FALSE)</f>
        <v>-</v>
      </c>
      <c r="N1553" s="52" t="str">
        <f>VLOOKUP(Tabla3[[#This Row],[Site]],'Important Info!'!$A$1:$F$135,4,FALSE)</f>
        <v>-</v>
      </c>
      <c r="O1553" s="52" t="str">
        <f>VLOOKUP(Tabla3[[#This Row],[Site]],'Important Info!'!$A$1:$F$135,5,FALSE)</f>
        <v>-</v>
      </c>
      <c r="P1553" s="52" t="str">
        <f>VLOOKUP(Tabla3[[#This Row],[Site]],'Important Info!'!$A$1:$F$135,6,FALSE)</f>
        <v>2,4,10</v>
      </c>
      <c r="Q1553" s="91">
        <f>VLOOKUP(Tabla3[[#This Row],[Site]],'Important Info!'!$A$1:$J$135,9,FALSE)</f>
        <v>321</v>
      </c>
    </row>
    <row r="1554" spans="1:17" x14ac:dyDescent="0.25">
      <c r="A1554" t="str">
        <f>+Tabla3[[#This Row],[Site]]&amp;Tabla3[[#This Row],[Split]]</f>
        <v>(AS) Courtesy CDJR of Brandon (NO TOURS)17</v>
      </c>
      <c r="B1554">
        <v>17</v>
      </c>
      <c r="C1554">
        <v>7</v>
      </c>
      <c r="D1554" t="s">
        <v>62</v>
      </c>
      <c r="E1554" t="s">
        <v>35</v>
      </c>
      <c r="F1554" t="s">
        <v>503</v>
      </c>
      <c r="G1554" t="s">
        <v>490</v>
      </c>
      <c r="H1554" s="52" t="str">
        <f>VLOOKUP(Tabla3[[#This Row],[Site]],'Important Info!'!$A$1:$J$135,10,FALSE)</f>
        <v>https://tools.sig.systems/site/details/126</v>
      </c>
      <c r="I1554" s="43" t="s">
        <v>181</v>
      </c>
      <c r="J1554" t="s">
        <v>484</v>
      </c>
      <c r="K1554" s="79" t="str">
        <f>VLOOKUP(Tabla3[[#This Row],[Site]],'Important Info!'!$A$1:$H$135,8,FALSE)</f>
        <v>-</v>
      </c>
      <c r="L1554" s="52" t="str">
        <f>VLOOKUP(Tabla3[[#This Row],[Site]],'Important Info!'!$A$1:$F$135,2,FALSE)</f>
        <v>1, 14, 15</v>
      </c>
      <c r="M1554" s="52">
        <f>VLOOKUP(Tabla3[[#This Row],[Site]],'Important Info!'!$A$1:$F$135,3,FALSE)</f>
        <v>1</v>
      </c>
      <c r="N1554" s="52" t="str">
        <f>VLOOKUP(Tabla3[[#This Row],[Site]],'Important Info!'!$A$1:$F$135,4,FALSE)</f>
        <v>-</v>
      </c>
      <c r="O1554" s="52" t="str">
        <f>VLOOKUP(Tabla3[[#This Row],[Site]],'Important Info!'!$A$1:$F$135,5,FALSE)</f>
        <v>2, 12</v>
      </c>
      <c r="P1554" s="52" t="str">
        <f>VLOOKUP(Tabla3[[#This Row],[Site]],'Important Info!'!$A$1:$F$135,6,FALSE)</f>
        <v xml:space="preserve">1, 2, 3, 4, 14, 15, 21, 25 </v>
      </c>
      <c r="Q1554" s="91">
        <f>VLOOKUP(Tabla3[[#This Row],[Site]],'Important Info!'!$A$1:$J$135,9,FALSE)</f>
        <v>126</v>
      </c>
    </row>
    <row r="1555" spans="1:17" x14ac:dyDescent="0.25">
      <c r="A1555" t="str">
        <f>+Tabla3[[#This Row],[Site]]&amp;Tabla3[[#This Row],[Split]]</f>
        <v>(AS) Park Place Mercedes Benz Ft. Worth (NO TOURS)17</v>
      </c>
      <c r="B1555">
        <v>17</v>
      </c>
      <c r="C1555">
        <v>7</v>
      </c>
      <c r="D1555" t="s">
        <v>33</v>
      </c>
      <c r="E1555" t="s">
        <v>46</v>
      </c>
      <c r="F1555" t="s">
        <v>519</v>
      </c>
      <c r="G1555" t="s">
        <v>34</v>
      </c>
      <c r="H1555" s="52" t="str">
        <f>VLOOKUP(Tabla3[[#This Row],[Site]],'Important Info!'!$A$1:$J$135,10,FALSE)</f>
        <v>https://tools.sig.systems/site/details/137</v>
      </c>
      <c r="I1555" s="43" t="s">
        <v>128</v>
      </c>
      <c r="J1555" t="s">
        <v>41</v>
      </c>
      <c r="K1555" s="79" t="s">
        <v>37</v>
      </c>
      <c r="L1555" s="52" t="str">
        <f>VLOOKUP(Tabla3[[#This Row],[Site]],'Important Info!'!$A$1:$F$135,2,FALSE)</f>
        <v>4, 18</v>
      </c>
      <c r="M1555" s="52" t="str">
        <f>VLOOKUP(Tabla3[[#This Row],[Site]],'Important Info!'!$A$1:$F$135,3,FALSE)</f>
        <v>-</v>
      </c>
      <c r="N1555" s="52" t="str">
        <f>VLOOKUP(Tabla3[[#This Row],[Site]],'Important Info!'!$A$1:$F$135,4,FALSE)</f>
        <v>54, 55</v>
      </c>
      <c r="O1555" s="52" t="str">
        <f>VLOOKUP(Tabla3[[#This Row],[Site]],'Important Info!'!$A$1:$F$135,5,FALSE)</f>
        <v>2, 18</v>
      </c>
      <c r="P1555" s="52" t="str">
        <f>VLOOKUP(Tabla3[[#This Row],[Site]],'Important Info!'!$A$1:$F$135,6,FALSE)</f>
        <v>5, 18</v>
      </c>
      <c r="Q1555" s="91">
        <f>VLOOKUP(Tabla3[[#This Row],[Site]],'Important Info!'!$A$1:$J$135,9,FALSE)</f>
        <v>137</v>
      </c>
    </row>
    <row r="1556" spans="1:17" x14ac:dyDescent="0.25">
      <c r="A1556" t="str">
        <f>+Tabla3[[#This Row],[Site]]&amp;Tabla3[[#This Row],[Split]]</f>
        <v>(ML) Honda of Little Rock17</v>
      </c>
      <c r="B1556">
        <v>17</v>
      </c>
      <c r="C1556">
        <v>7</v>
      </c>
      <c r="D1556" t="s">
        <v>33</v>
      </c>
      <c r="E1556" t="s">
        <v>46</v>
      </c>
      <c r="F1556" t="s">
        <v>71</v>
      </c>
      <c r="G1556" t="s">
        <v>34</v>
      </c>
      <c r="H1556" s="52" t="str">
        <f>VLOOKUP(Tabla3[[#This Row],[Site]],'Important Info!'!$A$1:$J$135,10,FALSE)</f>
        <v>https://tools.sig.systems/site/details/249</v>
      </c>
      <c r="I1556" s="2" t="s">
        <v>140</v>
      </c>
      <c r="J1556" t="s">
        <v>41</v>
      </c>
      <c r="K1556" s="79" t="str">
        <f>VLOOKUP(Tabla3[[#This Row],[Site]],'Important Info!'!$A$1:$H$135,8,FALSE)</f>
        <v>-</v>
      </c>
      <c r="L1556" s="52" t="str">
        <f>VLOOKUP(Tabla3[[#This Row],[Site]],'Important Info!'!$A$1:$F$135,2,FALSE)</f>
        <v>1, 4, 9, 14, 21</v>
      </c>
      <c r="M1556" s="52" t="str">
        <f>VLOOKUP(Tabla3[[#This Row],[Site]],'Important Info!'!$A$1:$F$135,3,FALSE)</f>
        <v>-</v>
      </c>
      <c r="N1556" s="52" t="str">
        <f>VLOOKUP(Tabla3[[#This Row],[Site]],'Important Info!'!$A$1:$F$135,4,FALSE)</f>
        <v>-</v>
      </c>
      <c r="O1556" s="52" t="str">
        <f>VLOOKUP(Tabla3[[#This Row],[Site]],'Important Info!'!$A$1:$F$135,5,FALSE)</f>
        <v>4, 14, 21</v>
      </c>
      <c r="P1556" s="52" t="str">
        <f>VLOOKUP(Tabla3[[#This Row],[Site]],'Important Info!'!$A$1:$F$135,6,FALSE)</f>
        <v>11, 12</v>
      </c>
      <c r="Q1556" s="91">
        <f>VLOOKUP(Tabla3[[#This Row],[Site]],'Important Info!'!$A$1:$J$135,9,FALSE)</f>
        <v>249</v>
      </c>
    </row>
    <row r="1557" spans="1:17" x14ac:dyDescent="0.25">
      <c r="A1557" t="str">
        <f>+Tabla3[[#This Row],[Site]]&amp;Tabla3[[#This Row],[Split]]</f>
        <v>(ML) Joe Machens Ford Lincoln I &amp; II17</v>
      </c>
      <c r="B1557">
        <v>17</v>
      </c>
      <c r="C1557">
        <v>7</v>
      </c>
      <c r="D1557" t="s">
        <v>33</v>
      </c>
      <c r="E1557" t="s">
        <v>46</v>
      </c>
      <c r="F1557" t="s">
        <v>148</v>
      </c>
      <c r="G1557" t="s">
        <v>34</v>
      </c>
      <c r="H1557" s="52" t="str">
        <f>VLOOKUP(Tabla3[[#This Row],[Site]],'Important Info!'!$A$1:$J$135,10,FALSE)</f>
        <v>https://tools.sig.systems/site/details/266</v>
      </c>
      <c r="I1557" s="43" t="s">
        <v>146</v>
      </c>
      <c r="J1557" t="s">
        <v>41</v>
      </c>
      <c r="K1557" s="79" t="str">
        <f>VLOOKUP(Tabla3[[#This Row],[Site]],'Important Info!'!$A$1:$H$135,8,FALSE)</f>
        <v>-</v>
      </c>
      <c r="L1557" s="52" t="str">
        <f>VLOOKUP(Tabla3[[#This Row],[Site]],'Important Info!'!$A$1:$F$135,2,FALSE)</f>
        <v>-</v>
      </c>
      <c r="M1557" s="52" t="str">
        <f>VLOOKUP(Tabla3[[#This Row],[Site]],'Important Info!'!$A$1:$F$135,3,FALSE)</f>
        <v>4, 6, 9, 13, 14, 17, 26, 27, 28, 29, 30</v>
      </c>
      <c r="N1557" s="52" t="str">
        <f>VLOOKUP(Tabla3[[#This Row],[Site]],'Important Info!'!$A$1:$F$135,4,FALSE)</f>
        <v>-</v>
      </c>
      <c r="O1557" s="52" t="str">
        <f>VLOOKUP(Tabla3[[#This Row],[Site]],'Important Info!'!$A$1:$F$135,5,FALSE)</f>
        <v>23, 40, 49</v>
      </c>
      <c r="P1557" s="52" t="str">
        <f>VLOOKUP(Tabla3[[#This Row],[Site]],'Important Info!'!$A$1:$F$135,6,FALSE)</f>
        <v>-</v>
      </c>
      <c r="Q1557" s="91">
        <f>VLOOKUP(Tabla3[[#This Row],[Site]],'Important Info!'!$A$1:$J$135,9,FALSE)</f>
        <v>266</v>
      </c>
    </row>
    <row r="1558" spans="1:17" x14ac:dyDescent="0.25">
      <c r="A1558" t="str">
        <f>+Tabla3[[#This Row],[Site]]&amp;Tabla3[[#This Row],[Split]]</f>
        <v>(ML) Joe Machens Temporary 2.017</v>
      </c>
      <c r="B1558">
        <v>17</v>
      </c>
      <c r="C1558">
        <v>7</v>
      </c>
      <c r="D1558" t="s">
        <v>33</v>
      </c>
      <c r="E1558" t="s">
        <v>46</v>
      </c>
      <c r="F1558" t="s">
        <v>105</v>
      </c>
      <c r="G1558" t="s">
        <v>34</v>
      </c>
      <c r="H1558" s="52" t="str">
        <f>VLOOKUP(Tabla3[[#This Row],[Site]],'Important Info!'!$A$1:$J$135,10,FALSE)</f>
        <v>https://tools.sig.systems/site/details/278</v>
      </c>
      <c r="I1558" s="43" t="s">
        <v>146</v>
      </c>
      <c r="J1558" t="s">
        <v>41</v>
      </c>
      <c r="K1558" s="79" t="str">
        <f>VLOOKUP(Tabla3[[#This Row],[Site]],'Important Info!'!$A$1:$H$135,8,FALSE)</f>
        <v>-</v>
      </c>
      <c r="L1558" s="52" t="str">
        <f>VLOOKUP(Tabla3[[#This Row],[Site]],'Important Info!'!$A$1:$F$135,2,FALSE)</f>
        <v>-</v>
      </c>
      <c r="M1558" s="52" t="str">
        <f>VLOOKUP(Tabla3[[#This Row],[Site]],'Important Info!'!$A$1:$F$135,3,FALSE)</f>
        <v>1, 11, 14, 15, 16</v>
      </c>
      <c r="N1558" s="52" t="str">
        <f>VLOOKUP(Tabla3[[#This Row],[Site]],'Important Info!'!$A$1:$F$135,4,FALSE)</f>
        <v>-</v>
      </c>
      <c r="O1558" s="52">
        <f>VLOOKUP(Tabla3[[#This Row],[Site]],'Important Info!'!$A$1:$F$135,5,FALSE)</f>
        <v>13</v>
      </c>
      <c r="P1558" s="52" t="str">
        <f>VLOOKUP(Tabla3[[#This Row],[Site]],'Important Info!'!$A$1:$F$135,6,FALSE)</f>
        <v>-</v>
      </c>
      <c r="Q1558" s="91">
        <f>VLOOKUP(Tabla3[[#This Row],[Site]],'Important Info!'!$A$1:$J$135,9,FALSE)</f>
        <v>278</v>
      </c>
    </row>
    <row r="1559" spans="1:17" x14ac:dyDescent="0.25">
      <c r="A1559" t="str">
        <f>+Tabla3[[#This Row],[Site]]&amp;Tabla3[[#This Row],[Split]]</f>
        <v>(AS) Courtesy Honda Palm Harbor (NO TOURS)17</v>
      </c>
      <c r="B1559">
        <v>17</v>
      </c>
      <c r="C1559">
        <v>8</v>
      </c>
      <c r="D1559" t="s">
        <v>62</v>
      </c>
      <c r="E1559" t="s">
        <v>35</v>
      </c>
      <c r="F1559" t="s">
        <v>108</v>
      </c>
      <c r="G1559" t="s">
        <v>490</v>
      </c>
      <c r="H1559" s="52" t="str">
        <f>VLOOKUP(Tabla3[[#This Row],[Site]],'Important Info!'!$A$1:$J$135,10,FALSE)</f>
        <v>https://tools.sig.systems/site/details/176</v>
      </c>
      <c r="I1559" s="2"/>
      <c r="J1559" t="s">
        <v>36</v>
      </c>
      <c r="K1559" s="79" t="str">
        <f>VLOOKUP(Tabla3[[#This Row],[Site]],'Important Info!'!$A$1:$H$135,8,FALSE)</f>
        <v>-</v>
      </c>
      <c r="L1559" s="52">
        <f>VLOOKUP(Tabla3[[#This Row],[Site]],'Important Info!'!$A$1:$F$135,2,FALSE)</f>
        <v>2</v>
      </c>
      <c r="M1559" s="52" t="str">
        <f>VLOOKUP(Tabla3[[#This Row],[Site]],'Important Info!'!$A$1:$F$135,3,FALSE)</f>
        <v>-</v>
      </c>
      <c r="N1559" s="52" t="str">
        <f>VLOOKUP(Tabla3[[#This Row],[Site]],'Important Info!'!$A$1:$F$135,4,FALSE)</f>
        <v>-</v>
      </c>
      <c r="O1559" s="52" t="str">
        <f>VLOOKUP(Tabla3[[#This Row],[Site]],'Important Info!'!$A$1:$F$135,5,FALSE)</f>
        <v>4, 8, 21</v>
      </c>
      <c r="P1559" s="52">
        <f>VLOOKUP(Tabla3[[#This Row],[Site]],'Important Info!'!$A$1:$F$135,6,FALSE)</f>
        <v>10</v>
      </c>
      <c r="Q1559" s="91">
        <f>VLOOKUP(Tabla3[[#This Row],[Site]],'Important Info!'!$A$1:$J$135,9,FALSE)</f>
        <v>176</v>
      </c>
    </row>
    <row r="1560" spans="1:17" x14ac:dyDescent="0.25">
      <c r="A1560" t="str">
        <f>+Tabla3[[#This Row],[Site]]&amp;Tabla3[[#This Row],[Split]]</f>
        <v>(AS) Nalley Lexus &amp; Remote Lot Roswell (NO TOURS)17</v>
      </c>
      <c r="B1560">
        <v>17</v>
      </c>
      <c r="C1560">
        <v>8</v>
      </c>
      <c r="D1560" t="s">
        <v>60</v>
      </c>
      <c r="E1560" t="s">
        <v>35</v>
      </c>
      <c r="F1560" t="s">
        <v>511</v>
      </c>
      <c r="G1560" t="s">
        <v>41</v>
      </c>
      <c r="H1560" s="52" t="str">
        <f>VLOOKUP(Tabla3[[#This Row],[Site]],'Important Info!'!$A$1:$J$135,10,FALSE)</f>
        <v>https://tools.sig.systems/site/details/131</v>
      </c>
      <c r="I1560" s="43" t="s">
        <v>166</v>
      </c>
      <c r="J1560" t="s">
        <v>41</v>
      </c>
      <c r="K1560" s="79" t="str">
        <f>VLOOKUP(Tabla3[[#This Row],[Site]],'Important Info!'!$A$1:$H$135,8,FALSE)</f>
        <v>Dealership 11PM to 5AM (Mon to Fri). Sunday Drop Time 1PM</v>
      </c>
      <c r="L1560" s="52" t="str">
        <f>VLOOKUP(Tabla3[[#This Row],[Site]],'Important Info!'!$A$1:$F$135,2,FALSE)</f>
        <v>6, 13</v>
      </c>
      <c r="M1560" s="52">
        <f>VLOOKUP(Tabla3[[#This Row],[Site]],'Important Info!'!$A$1:$F$135,3,FALSE)</f>
        <v>4</v>
      </c>
      <c r="N1560" s="52">
        <f>VLOOKUP(Tabla3[[#This Row],[Site]],'Important Info!'!$A$1:$F$135,4,FALSE)</f>
        <v>1</v>
      </c>
      <c r="O1560" s="52" t="str">
        <f>VLOOKUP(Tabla3[[#This Row],[Site]],'Important Info!'!$A$1:$F$135,5,FALSE)</f>
        <v>1, 8, 19</v>
      </c>
      <c r="P1560" s="52" t="str">
        <f>VLOOKUP(Tabla3[[#This Row],[Site]],'Important Info!'!$A$1:$F$135,6,FALSE)</f>
        <v>4, 20</v>
      </c>
      <c r="Q1560" s="91">
        <f>VLOOKUP(Tabla3[[#This Row],[Site]],'Important Info!'!$A$1:$J$135,9,FALSE)</f>
        <v>131</v>
      </c>
    </row>
    <row r="1561" spans="1:17" x14ac:dyDescent="0.25">
      <c r="A1561" t="str">
        <f>+Tabla3[[#This Row],[Site]]&amp;Tabla3[[#This Row],[Split]]</f>
        <v>(AS) Park Place Bodywerks Dallas (NO TOURS)17</v>
      </c>
      <c r="B1561">
        <v>17</v>
      </c>
      <c r="C1561">
        <v>8</v>
      </c>
      <c r="D1561" t="s">
        <v>33</v>
      </c>
      <c r="E1561" t="s">
        <v>46</v>
      </c>
      <c r="F1561" t="s">
        <v>514</v>
      </c>
      <c r="G1561" t="s">
        <v>34</v>
      </c>
      <c r="H1561" s="52" t="str">
        <f>VLOOKUP(Tabla3[[#This Row],[Site]],'Important Info!'!$A$1:$J$135,10,FALSE)</f>
        <v>https://tools.sig.systems/site/details/166</v>
      </c>
      <c r="I1561" s="65" t="s">
        <v>125</v>
      </c>
      <c r="J1561" t="s">
        <v>41</v>
      </c>
      <c r="K1561" s="79" t="str">
        <f>VLOOKUP(Tabla3[[#This Row],[Site]],'Important Info!'!$A$1:$H$135,8,FALSE)</f>
        <v>-</v>
      </c>
      <c r="L1561" s="52">
        <f>VLOOKUP(Tabla3[[#This Row],[Site]],'Important Info!'!$A$1:$F$135,2,FALSE)</f>
        <v>3</v>
      </c>
      <c r="M1561" s="52">
        <f>VLOOKUP(Tabla3[[#This Row],[Site]],'Important Info!'!$A$1:$F$135,3,FALSE)</f>
        <v>1</v>
      </c>
      <c r="N1561" s="52" t="str">
        <f>VLOOKUP(Tabla3[[#This Row],[Site]],'Important Info!'!$A$1:$F$135,4,FALSE)</f>
        <v>-</v>
      </c>
      <c r="O1561" s="52" t="str">
        <f>VLOOKUP(Tabla3[[#This Row],[Site]],'Important Info!'!$A$1:$F$135,5,FALSE)</f>
        <v>-</v>
      </c>
      <c r="P1561" s="52" t="str">
        <f>VLOOKUP(Tabla3[[#This Row],[Site]],'Important Info!'!$A$1:$F$135,6,FALSE)</f>
        <v>1, 2, 8</v>
      </c>
      <c r="Q1561" s="91">
        <f>VLOOKUP(Tabla3[[#This Row],[Site]],'Important Info!'!$A$1:$J$135,9,FALSE)</f>
        <v>166</v>
      </c>
    </row>
    <row r="1562" spans="1:17" x14ac:dyDescent="0.25">
      <c r="A1562" t="str">
        <f>+Tabla3[[#This Row],[Site]]&amp;Tabla3[[#This Row],[Split]]</f>
        <v>(KG) Big Star Honda17</v>
      </c>
      <c r="B1562">
        <v>17</v>
      </c>
      <c r="C1562">
        <v>8</v>
      </c>
      <c r="D1562" t="s">
        <v>33</v>
      </c>
      <c r="E1562" t="s">
        <v>46</v>
      </c>
      <c r="F1562" t="s">
        <v>136</v>
      </c>
      <c r="G1562" t="s">
        <v>34</v>
      </c>
      <c r="H1562" s="52" t="str">
        <f>VLOOKUP(Tabla3[[#This Row],[Site]],'Important Info!'!$A$1:$J$135,10,FALSE)</f>
        <v>https://tools.sig.systems/site/details/231</v>
      </c>
      <c r="J1562" t="s">
        <v>41</v>
      </c>
      <c r="K1562" s="79" t="str">
        <f>VLOOKUP(Tabla3[[#This Row],[Site]],'Important Info!'!$A$1:$H$135,8,FALSE)</f>
        <v>-</v>
      </c>
      <c r="L1562" s="52" t="str">
        <f>VLOOKUP(Tabla3[[#This Row],[Site]],'Important Info!'!$A$1:$F$135,2,FALSE)</f>
        <v>2, 17, 33</v>
      </c>
      <c r="M1562" s="52" t="str">
        <f>VLOOKUP(Tabla3[[#This Row],[Site]],'Important Info!'!$A$1:$F$135,3,FALSE)</f>
        <v>-</v>
      </c>
      <c r="N1562" s="52" t="str">
        <f>VLOOKUP(Tabla3[[#This Row],[Site]],'Important Info!'!$A$1:$F$135,4,FALSE)</f>
        <v>-</v>
      </c>
      <c r="O1562" s="52" t="str">
        <f>VLOOKUP(Tabla3[[#This Row],[Site]],'Important Info!'!$A$1:$F$135,5,FALSE)</f>
        <v>3, 11, 16, 21, 24, 31, 34</v>
      </c>
      <c r="P1562" s="52" t="str">
        <f>VLOOKUP(Tabla3[[#This Row],[Site]],'Important Info!'!$A$1:$F$135,6,FALSE)</f>
        <v xml:space="preserve">2, 3, 17, 22, 37, 41, 42 </v>
      </c>
      <c r="Q1562" s="91">
        <f>VLOOKUP(Tabla3[[#This Row],[Site]],'Important Info!'!$A$1:$J$135,9,FALSE)</f>
        <v>231</v>
      </c>
    </row>
    <row r="1563" spans="1:17" x14ac:dyDescent="0.25">
      <c r="A1563" t="str">
        <f>+Tabla3[[#This Row],[Site]]&amp;Tabla3[[#This Row],[Split]]</f>
        <v>(ML) Collision Center N Little Rock17</v>
      </c>
      <c r="B1563">
        <v>17</v>
      </c>
      <c r="C1563">
        <v>8</v>
      </c>
      <c r="D1563" t="s">
        <v>33</v>
      </c>
      <c r="E1563" t="s">
        <v>46</v>
      </c>
      <c r="F1563" t="s">
        <v>141</v>
      </c>
      <c r="G1563" t="s">
        <v>34</v>
      </c>
      <c r="H1563" s="52" t="str">
        <f>VLOOKUP(Tabla3[[#This Row],[Site]],'Important Info!'!$A$1:$J$135,10,FALSE)</f>
        <v>https://tools.sig.systems/site/details/212</v>
      </c>
      <c r="I1563" s="2" t="s">
        <v>142</v>
      </c>
      <c r="J1563" t="s">
        <v>41</v>
      </c>
      <c r="K1563" s="79" t="str">
        <f>VLOOKUP(Tabla3[[#This Row],[Site]],'Important Info!'!$A$1:$H$135,8,FALSE)</f>
        <v>-</v>
      </c>
      <c r="L1563" s="52" t="str">
        <f>VLOOKUP(Tabla3[[#This Row],[Site]],'Important Info!'!$A$1:$F$135,2,FALSE)</f>
        <v>-</v>
      </c>
      <c r="M1563" s="52" t="str">
        <f>VLOOKUP(Tabla3[[#This Row],[Site]],'Important Info!'!$A$1:$F$135,3,FALSE)</f>
        <v>-</v>
      </c>
      <c r="N1563" s="52" t="str">
        <f>VLOOKUP(Tabla3[[#This Row],[Site]],'Important Info!'!$A$1:$F$135,4,FALSE)</f>
        <v>-</v>
      </c>
      <c r="O1563" s="52" t="str">
        <f>VLOOKUP(Tabla3[[#This Row],[Site]],'Important Info!'!$A$1:$F$135,5,FALSE)</f>
        <v>-</v>
      </c>
      <c r="P1563" s="52" t="str">
        <f>VLOOKUP(Tabla3[[#This Row],[Site]],'Important Info!'!$A$1:$F$135,6,FALSE)</f>
        <v>1, 3, 7, 8</v>
      </c>
      <c r="Q1563" s="91">
        <f>VLOOKUP(Tabla3[[#This Row],[Site]],'Important Info!'!$A$1:$J$135,9,FALSE)</f>
        <v>212</v>
      </c>
    </row>
    <row r="1564" spans="1:17" x14ac:dyDescent="0.25">
      <c r="A1564" t="str">
        <f>+Tabla3[[#This Row],[Site]]&amp;Tabla3[[#This Row],[Split]]</f>
        <v>(SCH) Chevrolet North Palm17</v>
      </c>
      <c r="B1564">
        <v>17</v>
      </c>
      <c r="C1564">
        <v>8</v>
      </c>
      <c r="D1564" t="s">
        <v>62</v>
      </c>
      <c r="E1564" t="s">
        <v>35</v>
      </c>
      <c r="F1564" t="s">
        <v>101</v>
      </c>
      <c r="G1564" t="s">
        <v>490</v>
      </c>
      <c r="H1564" s="52" t="str">
        <f>VLOOKUP(Tabla3[[#This Row],[Site]],'Important Info!'!$A$1:$J$135,10,FALSE)</f>
        <v>https://tools.sig.systems/site/details/160</v>
      </c>
      <c r="I1564" s="43"/>
      <c r="J1564" t="s">
        <v>36</v>
      </c>
      <c r="K1564" s="79" t="str">
        <f>VLOOKUP(Tabla3[[#This Row],[Site]],'Important Info!'!$A$1:$H$135,8,FALSE)</f>
        <v>-</v>
      </c>
      <c r="L1564" s="52" t="str">
        <f>VLOOKUP(Tabla3[[#This Row],[Site]],'Important Info!'!$A$1:$F$135,2,FALSE)</f>
        <v xml:space="preserve">7, 10B, 11, 15 </v>
      </c>
      <c r="M1564" s="52" t="str">
        <f>VLOOKUP(Tabla3[[#This Row],[Site]],'Important Info!'!$A$1:$F$135,3,FALSE)</f>
        <v>-</v>
      </c>
      <c r="N1564" s="52" t="str">
        <f>VLOOKUP(Tabla3[[#This Row],[Site]],'Important Info!'!$A$1:$F$135,4,FALSE)</f>
        <v>-</v>
      </c>
      <c r="O1564" s="52" t="str">
        <f>VLOOKUP(Tabla3[[#This Row],[Site]],'Important Info!'!$A$1:$F$135,5,FALSE)</f>
        <v>-</v>
      </c>
      <c r="P1564" s="52" t="str">
        <f>VLOOKUP(Tabla3[[#This Row],[Site]],'Important Info!'!$A$1:$F$135,6,FALSE)</f>
        <v>1, 15, 16, 17, 18, 19, 20</v>
      </c>
      <c r="Q1564" s="91">
        <f>VLOOKUP(Tabla3[[#This Row],[Site]],'Important Info!'!$A$1:$J$135,9,FALSE)</f>
        <v>160</v>
      </c>
    </row>
    <row r="1565" spans="1:17" x14ac:dyDescent="0.25">
      <c r="A1565" t="str">
        <f>+Tabla3[[#This Row],[Site]]&amp;Tabla3[[#This Row],[Split]]</f>
        <v>(AS) Audi of North Atlanta (NO TOURS)17</v>
      </c>
      <c r="B1565">
        <v>17</v>
      </c>
      <c r="C1565">
        <v>9</v>
      </c>
      <c r="D1565" t="s">
        <v>62</v>
      </c>
      <c r="E1565" t="s">
        <v>35</v>
      </c>
      <c r="F1565" t="s">
        <v>499</v>
      </c>
      <c r="G1565" t="s">
        <v>490</v>
      </c>
      <c r="H1565" s="52" t="str">
        <f>VLOOKUP(Tabla3[[#This Row],[Site]],'Important Info!'!$A$1:$J$135,10,FALSE)</f>
        <v>https://tools.sig.systems/site/details/124</v>
      </c>
      <c r="I1565" s="2" t="s">
        <v>166</v>
      </c>
      <c r="J1565" t="s">
        <v>41</v>
      </c>
      <c r="K1565" s="79" t="str">
        <f>VLOOKUP(Tabla3[[#This Row],[Site]],'Important Info!'!$A$1:$H$135,8,FALSE)</f>
        <v>-</v>
      </c>
      <c r="L1565" s="52" t="str">
        <f>VLOOKUP(Tabla3[[#This Row],[Site]],'Important Info!'!$A$1:$F$135,2,FALSE)</f>
        <v>1, 5, 16, 54</v>
      </c>
      <c r="M1565" s="52" t="str">
        <f>VLOOKUP(Tabla3[[#This Row],[Site]],'Important Info!'!$A$1:$F$135,3,FALSE)</f>
        <v>-</v>
      </c>
      <c r="N1565" s="52" t="str">
        <f>VLOOKUP(Tabla3[[#This Row],[Site]],'Important Info!'!$A$1:$F$135,4,FALSE)</f>
        <v>-</v>
      </c>
      <c r="O1565" s="52" t="str">
        <f>VLOOKUP(Tabla3[[#This Row],[Site]],'Important Info!'!$A$1:$F$135,5,FALSE)</f>
        <v>3, 16</v>
      </c>
      <c r="P1565" s="52" t="str">
        <f>VLOOKUP(Tabla3[[#This Row],[Site]],'Important Info!'!$A$1:$F$135,6,FALSE)</f>
        <v>2, 5, 6</v>
      </c>
      <c r="Q1565" s="91">
        <f>VLOOKUP(Tabla3[[#This Row],[Site]],'Important Info!'!$A$1:$J$135,9,FALSE)</f>
        <v>124</v>
      </c>
    </row>
    <row r="1566" spans="1:17" x14ac:dyDescent="0.25">
      <c r="A1566" t="str">
        <f>+Tabla3[[#This Row],[Site]]&amp;Tabla3[[#This Row],[Split]]</f>
        <v>(AS) Park Place MB Recon Center Dallas (NO TOURS)17</v>
      </c>
      <c r="B1566">
        <v>17</v>
      </c>
      <c r="C1566">
        <v>9</v>
      </c>
      <c r="D1566" t="s">
        <v>33</v>
      </c>
      <c r="E1566" t="s">
        <v>46</v>
      </c>
      <c r="F1566" t="s">
        <v>517</v>
      </c>
      <c r="G1566" t="s">
        <v>34</v>
      </c>
      <c r="H1566" s="52" t="str">
        <f>VLOOKUP(Tabla3[[#This Row],[Site]],'Important Info!'!$A$1:$J$135,10,FALSE)</f>
        <v>https://tools.sig.systems/site/details/170</v>
      </c>
      <c r="I1566" s="65" t="s">
        <v>125</v>
      </c>
      <c r="J1566" t="s">
        <v>41</v>
      </c>
      <c r="K1566" s="79" t="str">
        <f>VLOOKUP(Tabla3[[#This Row],[Site]],'Important Info!'!$A$1:$H$135,8,FALSE)</f>
        <v>-</v>
      </c>
      <c r="L1566" s="52" t="str">
        <f>VLOOKUP(Tabla3[[#This Row],[Site]],'Important Info!'!$A$1:$F$135,2,FALSE)</f>
        <v>3, 39</v>
      </c>
      <c r="M1566" s="52" t="str">
        <f>VLOOKUP(Tabla3[[#This Row],[Site]],'Important Info!'!$A$1:$F$135,3,FALSE)</f>
        <v>-</v>
      </c>
      <c r="N1566" s="52" t="str">
        <f>VLOOKUP(Tabla3[[#This Row],[Site]],'Important Info!'!$A$1:$F$135,4,FALSE)</f>
        <v>-</v>
      </c>
      <c r="O1566" s="52" t="str">
        <f>VLOOKUP(Tabla3[[#This Row],[Site]],'Important Info!'!$A$1:$F$135,5,FALSE)</f>
        <v>4, 11</v>
      </c>
      <c r="P1566" s="52">
        <f>VLOOKUP(Tabla3[[#This Row],[Site]],'Important Info!'!$A$1:$F$135,6,FALSE)</f>
        <v>1</v>
      </c>
      <c r="Q1566" s="91">
        <f>VLOOKUP(Tabla3[[#This Row],[Site]],'Important Info!'!$A$1:$J$135,9,FALSE)</f>
        <v>170</v>
      </c>
    </row>
    <row r="1567" spans="1:17" x14ac:dyDescent="0.25">
      <c r="A1567" t="str">
        <f>+Tabla3[[#This Row],[Site]]&amp;Tabla3[[#This Row],[Split]]</f>
        <v>(AS) Stevinson Lexus of Lakewood (NO TOURS)17</v>
      </c>
      <c r="B1567">
        <v>17</v>
      </c>
      <c r="C1567">
        <v>9</v>
      </c>
      <c r="D1567" t="s">
        <v>44</v>
      </c>
      <c r="E1567" t="s">
        <v>53</v>
      </c>
      <c r="F1567" t="s">
        <v>523</v>
      </c>
      <c r="G1567" t="s">
        <v>45</v>
      </c>
      <c r="H1567" s="52" t="str">
        <f>VLOOKUP(Tabla3[[#This Row],[Site]],'Important Info!'!$A$1:$J$135,10,FALSE)</f>
        <v>https://tools.sig.systems/site/details/260</v>
      </c>
      <c r="I1567" s="43" t="s">
        <v>154</v>
      </c>
      <c r="J1567" t="s">
        <v>41</v>
      </c>
      <c r="K1567" s="79" t="str">
        <f>VLOOKUP(Tabla3[[#This Row],[Site]],'Important Info!'!$A$1:$H$135,8,FALSE)</f>
        <v>-</v>
      </c>
      <c r="L1567" s="52" t="str">
        <f>VLOOKUP(Tabla3[[#This Row],[Site]],'Important Info!'!$A$1:$F$135,2,FALSE)</f>
        <v>-</v>
      </c>
      <c r="M1567" s="52" t="str">
        <f>VLOOKUP(Tabla3[[#This Row],[Site]],'Important Info!'!$A$1:$F$135,3,FALSE)</f>
        <v>2, 10</v>
      </c>
      <c r="N1567" s="52" t="str">
        <f>VLOOKUP(Tabla3[[#This Row],[Site]],'Important Info!'!$A$1:$F$135,4,FALSE)</f>
        <v>9, 17</v>
      </c>
      <c r="O1567" s="52" t="str">
        <f>VLOOKUP(Tabla3[[#This Row],[Site]],'Important Info!'!$A$1:$F$135,5,FALSE)</f>
        <v>-</v>
      </c>
      <c r="P1567" s="52" t="str">
        <f>VLOOKUP(Tabla3[[#This Row],[Site]],'Important Info!'!$A$1:$F$135,6,FALSE)</f>
        <v>1, 2</v>
      </c>
      <c r="Q1567" s="91">
        <f>VLOOKUP(Tabla3[[#This Row],[Site]],'Important Info!'!$A$1:$J$135,9,FALSE)</f>
        <v>260</v>
      </c>
    </row>
    <row r="1568" spans="1:17" x14ac:dyDescent="0.25">
      <c r="A1568" t="str">
        <f>+Tabla3[[#This Row],[Site]]&amp;Tabla3[[#This Row],[Split]]</f>
        <v>(ML) Joe Machens Kia of Columbia17</v>
      </c>
      <c r="B1568">
        <v>17</v>
      </c>
      <c r="C1568">
        <v>9</v>
      </c>
      <c r="D1568" t="s">
        <v>33</v>
      </c>
      <c r="E1568" t="s">
        <v>46</v>
      </c>
      <c r="F1568" t="s">
        <v>149</v>
      </c>
      <c r="G1568" t="s">
        <v>34</v>
      </c>
      <c r="H1568" s="52" t="str">
        <f>VLOOKUP(Tabla3[[#This Row],[Site]],'Important Info!'!$A$1:$J$135,10,FALSE)</f>
        <v>https://tools.sig.systems/site/details/270</v>
      </c>
      <c r="I1568" s="43" t="s">
        <v>146</v>
      </c>
      <c r="J1568" t="s">
        <v>41</v>
      </c>
      <c r="K1568" s="79" t="str">
        <f>VLOOKUP(Tabla3[[#This Row],[Site]],'Important Info!'!$A$1:$H$135,8,FALSE)</f>
        <v>-</v>
      </c>
      <c r="L1568" s="52" t="str">
        <f>VLOOKUP(Tabla3[[#This Row],[Site]],'Important Info!'!$A$1:$F$135,2,FALSE)</f>
        <v>-</v>
      </c>
      <c r="M1568" s="52" t="str">
        <f>VLOOKUP(Tabla3[[#This Row],[Site]],'Important Info!'!$A$1:$F$135,3,FALSE)</f>
        <v>1, 2, 5, 6, 9, 13, 15</v>
      </c>
      <c r="N1568" s="52" t="str">
        <f>VLOOKUP(Tabla3[[#This Row],[Site]],'Important Info!'!$A$1:$F$135,4,FALSE)</f>
        <v>-</v>
      </c>
      <c r="O1568" s="52" t="str">
        <f>VLOOKUP(Tabla3[[#This Row],[Site]],'Important Info!'!$A$1:$F$135,5,FALSE)</f>
        <v>-</v>
      </c>
      <c r="P1568" s="52" t="str">
        <f>VLOOKUP(Tabla3[[#This Row],[Site]],'Important Info!'!$A$1:$F$135,6,FALSE)</f>
        <v>10, 11, 13</v>
      </c>
      <c r="Q1568" s="91">
        <f>VLOOKUP(Tabla3[[#This Row],[Site]],'Important Info!'!$A$1:$J$135,9,FALSE)</f>
        <v>270</v>
      </c>
    </row>
    <row r="1569" spans="1:17" x14ac:dyDescent="0.25">
      <c r="A1569" t="str">
        <f>+Tabla3[[#This Row],[Site]]&amp;Tabla3[[#This Row],[Split]]</f>
        <v>(SCH) Auto Body Shop Lake Park17</v>
      </c>
      <c r="B1569">
        <v>17</v>
      </c>
      <c r="C1569">
        <v>9</v>
      </c>
      <c r="D1569" t="s">
        <v>62</v>
      </c>
      <c r="E1569" t="s">
        <v>35</v>
      </c>
      <c r="F1569" t="s">
        <v>189</v>
      </c>
      <c r="G1569" t="s">
        <v>490</v>
      </c>
      <c r="H1569" s="52" t="str">
        <f>VLOOKUP(Tabla3[[#This Row],[Site]],'Important Info!'!$A$1:$J$135,10,FALSE)</f>
        <v>https://tools.sig.systems/site/details/158</v>
      </c>
      <c r="I1569" s="43"/>
      <c r="J1569" t="s">
        <v>41</v>
      </c>
      <c r="K1569" s="79" t="str">
        <f>VLOOKUP(Tabla3[[#This Row],[Site]],'Important Info!'!$A$1:$H$135,8,FALSE)</f>
        <v>-</v>
      </c>
      <c r="L1569" s="52" t="str">
        <f>VLOOKUP(Tabla3[[#This Row],[Site]],'Important Info!'!$A$1:$F$135,2,FALSE)</f>
        <v>3, 10</v>
      </c>
      <c r="M1569" s="52" t="str">
        <f>VLOOKUP(Tabla3[[#This Row],[Site]],'Important Info!'!$A$1:$F$135,3,FALSE)</f>
        <v>-</v>
      </c>
      <c r="N1569" s="52" t="str">
        <f>VLOOKUP(Tabla3[[#This Row],[Site]],'Important Info!'!$A$1:$F$135,4,FALSE)</f>
        <v>-</v>
      </c>
      <c r="O1569" s="52" t="str">
        <f>VLOOKUP(Tabla3[[#This Row],[Site]],'Important Info!'!$A$1:$F$135,5,FALSE)</f>
        <v>-</v>
      </c>
      <c r="P1569" s="52" t="str">
        <f>VLOOKUP(Tabla3[[#This Row],[Site]],'Important Info!'!$A$1:$F$135,6,FALSE)</f>
        <v>-</v>
      </c>
      <c r="Q1569" s="91">
        <f>VLOOKUP(Tabla3[[#This Row],[Site]],'Important Info!'!$A$1:$J$135,9,FALSE)</f>
        <v>158</v>
      </c>
    </row>
    <row r="1570" spans="1:17" x14ac:dyDescent="0.25">
      <c r="A1570" t="str">
        <f>+Tabla3[[#This Row],[Site]]&amp;Tabla3[[#This Row],[Split]]</f>
        <v>(SCH) Delray I &amp; II17</v>
      </c>
      <c r="B1570">
        <v>17</v>
      </c>
      <c r="C1570">
        <v>9</v>
      </c>
      <c r="D1570" t="s">
        <v>62</v>
      </c>
      <c r="E1570" t="s">
        <v>35</v>
      </c>
      <c r="F1570" t="s">
        <v>67</v>
      </c>
      <c r="G1570" t="s">
        <v>490</v>
      </c>
      <c r="H1570" s="52" t="str">
        <f>VLOOKUP(Tabla3[[#This Row],[Site]],'Important Info!'!$A$1:$J$135,10,FALSE)</f>
        <v>https://tools.sig.systems/site/details/159</v>
      </c>
      <c r="I1570" s="2"/>
      <c r="J1570" t="s">
        <v>36</v>
      </c>
      <c r="K1570" s="79" t="str">
        <f>VLOOKUP(Tabla3[[#This Row],[Site]],'Important Info!'!$A$1:$H$135,8,FALSE)</f>
        <v>-</v>
      </c>
      <c r="L1570" s="52" t="str">
        <f>VLOOKUP(Tabla3[[#This Row],[Site]],'Important Info!'!$A$1:$F$135,2,FALSE)</f>
        <v>5, 28, 31</v>
      </c>
      <c r="M1570" s="52" t="str">
        <f>VLOOKUP(Tabla3[[#This Row],[Site]],'Important Info!'!$A$1:$F$135,3,FALSE)</f>
        <v>1, 29</v>
      </c>
      <c r="N1570" s="52">
        <f>VLOOKUP(Tabla3[[#This Row],[Site]],'Important Info!'!$A$1:$F$135,4,FALSE)</f>
        <v>6</v>
      </c>
      <c r="O1570" s="52" t="str">
        <f>VLOOKUP(Tabla3[[#This Row],[Site]],'Important Info!'!$A$1:$F$135,5,FALSE)</f>
        <v>-</v>
      </c>
      <c r="P1570" s="52" t="str">
        <f>VLOOKUP(Tabla3[[#This Row],[Site]],'Important Info!'!$A$1:$F$135,6,FALSE)</f>
        <v>1, 35, 36</v>
      </c>
      <c r="Q1570" s="91">
        <f>VLOOKUP(Tabla3[[#This Row],[Site]],'Important Info!'!$A$1:$J$135,9,FALSE)</f>
        <v>159</v>
      </c>
    </row>
    <row r="1571" spans="1:17" x14ac:dyDescent="0.25">
      <c r="A1571" t="str">
        <f>+Tabla3[[#This Row],[Site]]&amp;Tabla3[[#This Row],[Split]]</f>
        <v>(WAG) Greeley Chrysler Dodge Jeep Ram (NO TOURS)17</v>
      </c>
      <c r="B1571">
        <v>17</v>
      </c>
      <c r="C1571">
        <v>9</v>
      </c>
      <c r="D1571" t="s">
        <v>44</v>
      </c>
      <c r="E1571" t="s">
        <v>53</v>
      </c>
      <c r="F1571" t="s">
        <v>497</v>
      </c>
      <c r="G1571" t="s">
        <v>45</v>
      </c>
      <c r="H1571" s="52" t="str">
        <f>VLOOKUP(Tabla3[[#This Row],[Site]],'Important Info!'!$A$1:$J$135,10,FALSE)</f>
        <v>https://tools.sig.systems/site/details/130</v>
      </c>
      <c r="I1571" s="43" t="s">
        <v>153</v>
      </c>
      <c r="J1571" t="s">
        <v>41</v>
      </c>
      <c r="K1571" s="79" t="str">
        <f>VLOOKUP(Tabla3[[#This Row],[Site]],'Important Info!'!$A$1:$H$135,8,FALSE)</f>
        <v>-</v>
      </c>
      <c r="L1571" s="52" t="str">
        <f>VLOOKUP(Tabla3[[#This Row],[Site]],'Important Info!'!$A$1:$F$135,2,FALSE)</f>
        <v>17, 23 &amp; 18</v>
      </c>
      <c r="M1571" s="52" t="str">
        <f>VLOOKUP(Tabla3[[#This Row],[Site]],'Important Info!'!$A$1:$F$135,3,FALSE)</f>
        <v>4, 5, 6, 7, 8, 51, 55</v>
      </c>
      <c r="N1571" s="52" t="str">
        <f>VLOOKUP(Tabla3[[#This Row],[Site]],'Important Info!'!$A$1:$F$135,4,FALSE)</f>
        <v>-</v>
      </c>
      <c r="O1571" s="52" t="str">
        <f>VLOOKUP(Tabla3[[#This Row],[Site]],'Important Info!'!$A$1:$F$135,5,FALSE)</f>
        <v>3, 13, 17, 49, 53, 59</v>
      </c>
      <c r="P1571" s="52" t="str">
        <f>VLOOKUP(Tabla3[[#This Row],[Site]],'Important Info!'!$A$1:$F$135,6,FALSE)</f>
        <v>8, 9, 10, 51, 62</v>
      </c>
      <c r="Q1571" s="91">
        <f>VLOOKUP(Tabla3[[#This Row],[Site]],'Important Info!'!$A$1:$J$135,9,FALSE)</f>
        <v>130</v>
      </c>
    </row>
    <row r="1572" spans="1:17" x14ac:dyDescent="0.25">
      <c r="A1572" t="str">
        <f>+Tabla3[[#This Row],[Site]]&amp;Tabla3[[#This Row],[Split]]</f>
        <v>(AS) Courtesy Kia of Brandon (NO TOURS)17</v>
      </c>
      <c r="B1572">
        <v>17</v>
      </c>
      <c r="C1572">
        <v>10</v>
      </c>
      <c r="D1572" t="s">
        <v>62</v>
      </c>
      <c r="E1572" t="s">
        <v>35</v>
      </c>
      <c r="F1572" t="s">
        <v>505</v>
      </c>
      <c r="G1572" t="s">
        <v>490</v>
      </c>
      <c r="H1572" s="52" t="str">
        <f>VLOOKUP(Tabla3[[#This Row],[Site]],'Important Info!'!$A$1:$J$135,10,FALSE)</f>
        <v>https://tools.sig.systems/site/details/121</v>
      </c>
      <c r="I1572" s="2" t="s">
        <v>181</v>
      </c>
      <c r="J1572" t="s">
        <v>484</v>
      </c>
      <c r="K1572" s="79" t="str">
        <f>VLOOKUP(Tabla3[[#This Row],[Site]],'Important Info!'!$A$1:$H$135,8,FALSE)</f>
        <v>-</v>
      </c>
      <c r="L1572" s="52" t="str">
        <f>VLOOKUP(Tabla3[[#This Row],[Site]],'Important Info!'!$A$1:$F$135,2,FALSE)</f>
        <v>-</v>
      </c>
      <c r="M1572" s="52" t="str">
        <f>VLOOKUP(Tabla3[[#This Row],[Site]],'Important Info!'!$A$1:$F$135,3,FALSE)</f>
        <v>4, 8</v>
      </c>
      <c r="N1572" s="52" t="str">
        <f>VLOOKUP(Tabla3[[#This Row],[Site]],'Important Info!'!$A$1:$F$135,4,FALSE)</f>
        <v>-</v>
      </c>
      <c r="O1572" s="52" t="str">
        <f>VLOOKUP(Tabla3[[#This Row],[Site]],'Important Info!'!$A$1:$F$135,5,FALSE)</f>
        <v>3, 11, 20, 24</v>
      </c>
      <c r="P1572" s="52" t="str">
        <f>VLOOKUP(Tabla3[[#This Row],[Site]],'Important Info!'!$A$1:$F$135,6,FALSE)</f>
        <v>2, 8</v>
      </c>
      <c r="Q1572" s="91">
        <f>VLOOKUP(Tabla3[[#This Row],[Site]],'Important Info!'!$A$1:$J$135,9,FALSE)</f>
        <v>121</v>
      </c>
    </row>
    <row r="1573" spans="1:17" x14ac:dyDescent="0.25">
      <c r="A1573" t="str">
        <f>+Tabla3[[#This Row],[Site]]&amp;Tabla3[[#This Row],[Split]]</f>
        <v>(AS) Park Place Volvo Service Center (NO TOURS)17</v>
      </c>
      <c r="B1573">
        <v>17</v>
      </c>
      <c r="C1573">
        <v>10</v>
      </c>
      <c r="D1573" t="s">
        <v>33</v>
      </c>
      <c r="E1573" t="s">
        <v>46</v>
      </c>
      <c r="F1573" t="s">
        <v>522</v>
      </c>
      <c r="G1573" t="s">
        <v>34</v>
      </c>
      <c r="H1573" s="52" t="str">
        <f>VLOOKUP(Tabla3[[#This Row],[Site]],'Important Info!'!$A$1:$J$135,10,FALSE)</f>
        <v>https://tools.sig.systems/site/details/171</v>
      </c>
      <c r="I1573" s="65" t="s">
        <v>125</v>
      </c>
      <c r="J1573" t="s">
        <v>41</v>
      </c>
      <c r="K1573" s="79" t="str">
        <f>VLOOKUP(Tabla3[[#This Row],[Site]],'Important Info!'!$A$1:$H$135,8,FALSE)</f>
        <v>-</v>
      </c>
      <c r="L1573" s="52" t="str">
        <f>VLOOKUP(Tabla3[[#This Row],[Site]],'Important Info!'!$A$1:$F$135,2,FALSE)</f>
        <v>3, 6, 9, 27, 31, 35</v>
      </c>
      <c r="M1573" s="52" t="str">
        <f>VLOOKUP(Tabla3[[#This Row],[Site]],'Important Info!'!$A$1:$F$135,3,FALSE)</f>
        <v>-</v>
      </c>
      <c r="N1573" s="52" t="str">
        <f>VLOOKUP(Tabla3[[#This Row],[Site]],'Important Info!'!$A$1:$F$135,4,FALSE)</f>
        <v>-</v>
      </c>
      <c r="O1573" s="52" t="str">
        <f>VLOOKUP(Tabla3[[#This Row],[Site]],'Important Info!'!$A$1:$F$135,5,FALSE)</f>
        <v>27, 32</v>
      </c>
      <c r="P1573" s="52" t="str">
        <f>VLOOKUP(Tabla3[[#This Row],[Site]],'Important Info!'!$A$1:$F$135,6,FALSE)</f>
        <v>-</v>
      </c>
      <c r="Q1573" s="91">
        <f>VLOOKUP(Tabla3[[#This Row],[Site]],'Important Info!'!$A$1:$J$135,9,FALSE)</f>
        <v>171</v>
      </c>
    </row>
    <row r="1574" spans="1:17" x14ac:dyDescent="0.25">
      <c r="A1574" t="str">
        <f>+Tabla3[[#This Row],[Site]]&amp;Tabla3[[#This Row],[Split]]</f>
        <v>(SCH) West Palm Beach I, II &amp; III17</v>
      </c>
      <c r="B1574">
        <v>17</v>
      </c>
      <c r="C1574">
        <v>10</v>
      </c>
      <c r="D1574" t="s">
        <v>492</v>
      </c>
      <c r="E1574" t="s">
        <v>35</v>
      </c>
      <c r="F1574" t="s">
        <v>96</v>
      </c>
      <c r="G1574" t="s">
        <v>490</v>
      </c>
      <c r="H1574" s="52" t="str">
        <f>VLOOKUP(Tabla3[[#This Row],[Site]],'Important Info!'!$A$1:$J$135,10,FALSE)</f>
        <v>https://tools.sig.systems/site/details/162</v>
      </c>
      <c r="I1574" s="2"/>
      <c r="J1574" t="s">
        <v>36</v>
      </c>
      <c r="K1574" s="79" t="str">
        <f>VLOOKUP(Tabla3[[#This Row],[Site]],'Important Info!'!$A$1:$H$135,8,FALSE)</f>
        <v>SUNDAY: Log in at 5:30 p.m. ET.</v>
      </c>
      <c r="L1574" s="52" t="str">
        <f>VLOOKUP(Tabla3[[#This Row],[Site]],'Important Info!'!$A$1:$F$135,2,FALSE)</f>
        <v>34, 62</v>
      </c>
      <c r="M1574" s="52" t="str">
        <f>VLOOKUP(Tabla3[[#This Row],[Site]],'Important Info!'!$A$1:$F$135,3,FALSE)</f>
        <v xml:space="preserve">6, 7, 11, 13, </v>
      </c>
      <c r="N1574" s="52" t="str">
        <f>VLOOKUP(Tabla3[[#This Row],[Site]],'Important Info!'!$A$1:$F$135,4,FALSE)</f>
        <v>20, 21</v>
      </c>
      <c r="O1574" s="52" t="str">
        <f>VLOOKUP(Tabla3[[#This Row],[Site]],'Important Info!'!$A$1:$F$135,5,FALSE)</f>
        <v>-</v>
      </c>
      <c r="P1574" s="52" t="str">
        <f>VLOOKUP(Tabla3[[#This Row],[Site]],'Important Info!'!$A$1:$F$135,6,FALSE)</f>
        <v>1, 2, 3, 131, 132</v>
      </c>
      <c r="Q1574" s="91">
        <f>VLOOKUP(Tabla3[[#This Row],[Site]],'Important Info!'!$A$1:$J$135,9,FALSE)</f>
        <v>162</v>
      </c>
    </row>
    <row r="1575" spans="1:17" x14ac:dyDescent="0.25">
      <c r="A1575" t="str">
        <f>+Tabla3[[#This Row],[Site]]&amp;Tabla3[[#This Row],[Split]]</f>
        <v>(AS) David McDavid Lincoln Frisco (NO TOURS)17</v>
      </c>
      <c r="B1575">
        <v>17</v>
      </c>
      <c r="C1575">
        <v>11</v>
      </c>
      <c r="D1575" t="s">
        <v>33</v>
      </c>
      <c r="E1575" t="s">
        <v>46</v>
      </c>
      <c r="F1575" t="s">
        <v>507</v>
      </c>
      <c r="G1575" t="s">
        <v>34</v>
      </c>
      <c r="H1575" s="52" t="str">
        <f>VLOOKUP(Tabla3[[#This Row],[Site]],'Important Info!'!$A$1:$J$135,10,FALSE)</f>
        <v>https://tools.sig.systems/site/details/182</v>
      </c>
      <c r="I1575" s="43"/>
      <c r="J1575" t="s">
        <v>41</v>
      </c>
      <c r="K1575" s="79" t="str">
        <f>VLOOKUP(Tabla3[[#This Row],[Site]],'Important Info!'!$A$1:$H$135,8,FALSE)</f>
        <v>-</v>
      </c>
      <c r="L1575" s="52" t="str">
        <f>VLOOKUP(Tabla3[[#This Row],[Site]],'Important Info!'!$A$1:$F$135,2,FALSE)</f>
        <v>1, 2, 11</v>
      </c>
      <c r="M1575" s="52" t="str">
        <f>VLOOKUP(Tabla3[[#This Row],[Site]],'Important Info!'!$A$1:$F$135,3,FALSE)</f>
        <v>-</v>
      </c>
      <c r="N1575" s="52" t="str">
        <f>VLOOKUP(Tabla3[[#This Row],[Site]],'Important Info!'!$A$1:$F$135,4,FALSE)</f>
        <v>-</v>
      </c>
      <c r="O1575" s="52" t="str">
        <f>VLOOKUP(Tabla3[[#This Row],[Site]],'Important Info!'!$A$1:$F$135,5,FALSE)</f>
        <v>11, 16, 20</v>
      </c>
      <c r="P1575" s="52" t="str">
        <f>VLOOKUP(Tabla3[[#This Row],[Site]],'Important Info!'!$A$1:$F$135,6,FALSE)</f>
        <v>11, 12, 13, 14</v>
      </c>
      <c r="Q1575" s="91">
        <f>VLOOKUP(Tabla3[[#This Row],[Site]],'Important Info!'!$A$1:$J$135,9,FALSE)</f>
        <v>182</v>
      </c>
    </row>
    <row r="1576" spans="1:17" x14ac:dyDescent="0.25">
      <c r="A1576" t="str">
        <f>+Tabla3[[#This Row],[Site]]&amp;Tabla3[[#This Row],[Split]]</f>
        <v>(AS) Lexus Smyrna (NO TOURS)17</v>
      </c>
      <c r="B1576">
        <v>17</v>
      </c>
      <c r="C1576">
        <v>11</v>
      </c>
      <c r="D1576" t="s">
        <v>62</v>
      </c>
      <c r="E1576" t="s">
        <v>35</v>
      </c>
      <c r="F1576" t="s">
        <v>84</v>
      </c>
      <c r="G1576" t="s">
        <v>490</v>
      </c>
      <c r="H1576" s="52" t="str">
        <f>VLOOKUP(Tabla3[[#This Row],[Site]],'Important Info!'!$A$1:$J$135,10,FALSE)</f>
        <v>https://tools.sig.systems/site/details/133</v>
      </c>
      <c r="I1576" s="2"/>
      <c r="J1576" t="s">
        <v>41</v>
      </c>
      <c r="K1576" s="79" t="str">
        <f>VLOOKUP(Tabla3[[#This Row],[Site]],'Important Info!'!$A$1:$H$135,8,FALSE)</f>
        <v>-</v>
      </c>
      <c r="L1576" s="52" t="str">
        <f>VLOOKUP(Tabla3[[#This Row],[Site]],'Important Info!'!$A$1:$F$135,2,FALSE)</f>
        <v xml:space="preserve">2, 6, 10 </v>
      </c>
      <c r="M1576" s="52" t="str">
        <f>VLOOKUP(Tabla3[[#This Row],[Site]],'Important Info!'!$A$1:$F$135,3,FALSE)</f>
        <v>-</v>
      </c>
      <c r="N1576" s="52" t="str">
        <f>VLOOKUP(Tabla3[[#This Row],[Site]],'Important Info!'!$A$1:$F$135,4,FALSE)</f>
        <v>-</v>
      </c>
      <c r="O1576" s="52" t="str">
        <f>VLOOKUP(Tabla3[[#This Row],[Site]],'Important Info!'!$A$1:$F$135,5,FALSE)</f>
        <v>3, 5, 10, 15</v>
      </c>
      <c r="P1576" s="52" t="str">
        <f>VLOOKUP(Tabla3[[#This Row],[Site]],'Important Info!'!$A$1:$F$135,6,FALSE)</f>
        <v>10, 11</v>
      </c>
      <c r="Q1576" s="91">
        <f>VLOOKUP(Tabla3[[#This Row],[Site]],'Important Info!'!$A$1:$J$135,9,FALSE)</f>
        <v>133</v>
      </c>
    </row>
    <row r="1577" spans="1:17" x14ac:dyDescent="0.25">
      <c r="A1577" t="str">
        <f>+Tabla3[[#This Row],[Site]]&amp;Tabla3[[#This Row],[Split]]</f>
        <v>(AS) Nalley BMW Collision Center (NO TOURS)17</v>
      </c>
      <c r="B1577">
        <v>17</v>
      </c>
      <c r="C1577">
        <v>11</v>
      </c>
      <c r="D1577" t="s">
        <v>62</v>
      </c>
      <c r="E1577" t="s">
        <v>35</v>
      </c>
      <c r="F1577" t="s">
        <v>510</v>
      </c>
      <c r="G1577" t="s">
        <v>490</v>
      </c>
      <c r="H1577" s="52" t="str">
        <f>VLOOKUP(Tabla3[[#This Row],[Site]],'Important Info!'!$A$1:$J$135,10,FALSE)</f>
        <v>https://tools.sig.systems/site/details/220</v>
      </c>
      <c r="I1577" s="2"/>
      <c r="J1577" t="s">
        <v>41</v>
      </c>
      <c r="K1577" s="79" t="str">
        <f>VLOOKUP(Tabla3[[#This Row],[Site]],'Important Info!'!$A$1:$H$135,8,FALSE)</f>
        <v>-</v>
      </c>
      <c r="L1577" s="52" t="str">
        <f>VLOOKUP(Tabla3[[#This Row],[Site]],'Important Info!'!$A$1:$F$135,2,FALSE)</f>
        <v>-</v>
      </c>
      <c r="M1577" s="52">
        <f>VLOOKUP(Tabla3[[#This Row],[Site]],'Important Info!'!$A$1:$F$135,3,FALSE)</f>
        <v>4</v>
      </c>
      <c r="N1577" s="52" t="str">
        <f>VLOOKUP(Tabla3[[#This Row],[Site]],'Important Info!'!$A$1:$F$135,4,FALSE)</f>
        <v>-</v>
      </c>
      <c r="O1577" s="52">
        <f>VLOOKUP(Tabla3[[#This Row],[Site]],'Important Info!'!$A$1:$F$135,5,FALSE)</f>
        <v>12</v>
      </c>
      <c r="P1577" s="52" t="str">
        <f>VLOOKUP(Tabla3[[#This Row],[Site]],'Important Info!'!$A$1:$F$135,6,FALSE)</f>
        <v>13, 15</v>
      </c>
      <c r="Q1577" s="91">
        <f>VLOOKUP(Tabla3[[#This Row],[Site]],'Important Info!'!$A$1:$J$135,9,FALSE)</f>
        <v>220</v>
      </c>
    </row>
    <row r="1578" spans="1:17" x14ac:dyDescent="0.25">
      <c r="A1578" t="str">
        <f>+Tabla3[[#This Row],[Site]]&amp;Tabla3[[#This Row],[Split]]</f>
        <v>(AS) Nalley Luxury Collision Center (NO TOURS)17</v>
      </c>
      <c r="B1578">
        <v>17</v>
      </c>
      <c r="C1578">
        <v>11</v>
      </c>
      <c r="D1578" t="s">
        <v>62</v>
      </c>
      <c r="E1578" t="s">
        <v>35</v>
      </c>
      <c r="F1578" t="s">
        <v>512</v>
      </c>
      <c r="G1578" t="s">
        <v>490</v>
      </c>
      <c r="H1578" s="52" t="str">
        <f>VLOOKUP(Tabla3[[#This Row],[Site]],'Important Info!'!$A$1:$J$135,10,FALSE)</f>
        <v>https://tools.sig.systems/site/details/263</v>
      </c>
      <c r="I1578" s="43" t="s">
        <v>166</v>
      </c>
      <c r="J1578" t="s">
        <v>41</v>
      </c>
      <c r="K1578" s="79" t="str">
        <f>VLOOKUP(Tabla3[[#This Row],[Site]],'Important Info!'!$A$1:$H$135,8,FALSE)</f>
        <v>-</v>
      </c>
      <c r="L1578" s="52" t="str">
        <f>VLOOKUP(Tabla3[[#This Row],[Site]],'Important Info!'!$A$1:$F$135,2,FALSE)</f>
        <v>6, 13</v>
      </c>
      <c r="M1578" s="52" t="str">
        <f>VLOOKUP(Tabla3[[#This Row],[Site]],'Important Info!'!$A$1:$F$135,3,FALSE)</f>
        <v>-</v>
      </c>
      <c r="N1578" s="52" t="str">
        <f>VLOOKUP(Tabla3[[#This Row],[Site]],'Important Info!'!$A$1:$F$135,4,FALSE)</f>
        <v>-</v>
      </c>
      <c r="O1578" s="52" t="str">
        <f>VLOOKUP(Tabla3[[#This Row],[Site]],'Important Info!'!$A$1:$F$135,5,FALSE)</f>
        <v>-</v>
      </c>
      <c r="P1578" s="52" t="str">
        <f>VLOOKUP(Tabla3[[#This Row],[Site]],'Important Info!'!$A$1:$F$135,6,FALSE)</f>
        <v>6, 7, 12</v>
      </c>
      <c r="Q1578" s="91">
        <f>VLOOKUP(Tabla3[[#This Row],[Site]],'Important Info!'!$A$1:$J$135,9,FALSE)</f>
        <v>263</v>
      </c>
    </row>
    <row r="1579" spans="1:17" x14ac:dyDescent="0.25">
      <c r="A1579" t="str">
        <f>+Tabla3[[#This Row],[Site]]&amp;Tabla3[[#This Row],[Split]]</f>
        <v>(DT) Albuquerque17</v>
      </c>
      <c r="B1579">
        <v>17</v>
      </c>
      <c r="C1579">
        <v>11</v>
      </c>
      <c r="D1579" t="s">
        <v>44</v>
      </c>
      <c r="E1579" t="s">
        <v>53</v>
      </c>
      <c r="F1579" t="s">
        <v>155</v>
      </c>
      <c r="G1579" t="s">
        <v>45</v>
      </c>
      <c r="H1579" s="52" t="str">
        <f>VLOOKUP(Tabla3[[#This Row],[Site]],'Important Info!'!$A$1:$J$135,10,FALSE)</f>
        <v>https://tools.sig.systems/site/details/237</v>
      </c>
      <c r="J1579" t="s">
        <v>41</v>
      </c>
      <c r="K1579" s="79" t="str">
        <f>VLOOKUP(Tabla3[[#This Row],[Site]],'Important Info!'!$A$1:$H$135,8,FALSE)</f>
        <v>-</v>
      </c>
      <c r="L1579" s="52" t="str">
        <f>VLOOKUP(Tabla3[[#This Row],[Site]],'Important Info!'!$A$1:$F$135,2,FALSE)</f>
        <v>14, 16</v>
      </c>
      <c r="M1579" s="52" t="str">
        <f>VLOOKUP(Tabla3[[#This Row],[Site]],'Important Info!'!$A$1:$F$135,3,FALSE)</f>
        <v>-</v>
      </c>
      <c r="N1579" s="52" t="str">
        <f>VLOOKUP(Tabla3[[#This Row],[Site]],'Important Info!'!$A$1:$F$135,4,FALSE)</f>
        <v>-</v>
      </c>
      <c r="O1579" s="52" t="str">
        <f>VLOOKUP(Tabla3[[#This Row],[Site]],'Important Info!'!$A$1:$F$135,5,FALSE)</f>
        <v>14, 15</v>
      </c>
      <c r="P1579" s="52" t="str">
        <f>VLOOKUP(Tabla3[[#This Row],[Site]],'Important Info!'!$A$1:$F$135,6,FALSE)</f>
        <v>12, 14, 16</v>
      </c>
      <c r="Q1579" s="91">
        <f>VLOOKUP(Tabla3[[#This Row],[Site]],'Important Info!'!$A$1:$J$135,9,FALSE)</f>
        <v>237</v>
      </c>
    </row>
    <row r="1580" spans="1:17" x14ac:dyDescent="0.25">
      <c r="A1580" t="str">
        <f>+Tabla3[[#This Row],[Site]]&amp;Tabla3[[#This Row],[Split]]</f>
        <v>(ML) Mazda VW-Lot B17</v>
      </c>
      <c r="B1580">
        <v>17</v>
      </c>
      <c r="C1580">
        <v>11</v>
      </c>
      <c r="D1580" t="s">
        <v>33</v>
      </c>
      <c r="E1580" t="s">
        <v>46</v>
      </c>
      <c r="F1580" t="s">
        <v>9</v>
      </c>
      <c r="G1580" t="s">
        <v>34</v>
      </c>
      <c r="H1580" s="52" t="str">
        <f>VLOOKUP(Tabla3[[#This Row],[Site]],'Important Info!'!$A$1:$J$135,10,FALSE)</f>
        <v>https://tools.sig.systems/site/details/205</v>
      </c>
      <c r="I1580" s="43" t="s">
        <v>142</v>
      </c>
      <c r="J1580" t="s">
        <v>41</v>
      </c>
      <c r="K1580" s="79" t="str">
        <f>VLOOKUP(Tabla3[[#This Row],[Site]],'Important Info!'!$A$1:$H$135,8,FALSE)</f>
        <v>-</v>
      </c>
      <c r="L1580" s="52" t="str">
        <f>VLOOKUP(Tabla3[[#This Row],[Site]],'Important Info!'!$A$1:$F$135,2,FALSE)</f>
        <v>9, 14, 16</v>
      </c>
      <c r="M1580" s="52">
        <f>VLOOKUP(Tabla3[[#This Row],[Site]],'Important Info!'!$A$1:$F$135,3,FALSE)</f>
        <v>1</v>
      </c>
      <c r="N1580" s="52" t="str">
        <f>VLOOKUP(Tabla3[[#This Row],[Site]],'Important Info!'!$A$1:$F$135,4,FALSE)</f>
        <v>-</v>
      </c>
      <c r="O1580" s="52">
        <f>VLOOKUP(Tabla3[[#This Row],[Site]],'Important Info!'!$A$1:$F$135,5,FALSE)</f>
        <v>4</v>
      </c>
      <c r="P1580" s="52" t="str">
        <f>VLOOKUP(Tabla3[[#This Row],[Site]],'Important Info!'!$A$1:$F$135,6,FALSE)</f>
        <v>-</v>
      </c>
      <c r="Q1580" s="91">
        <f>VLOOKUP(Tabla3[[#This Row],[Site]],'Important Info!'!$A$1:$J$135,9,FALSE)</f>
        <v>205</v>
      </c>
    </row>
    <row r="1581" spans="1:17" x14ac:dyDescent="0.25">
      <c r="A1581" t="str">
        <f>+Tabla3[[#This Row],[Site]]&amp;Tabla3[[#This Row],[Split]]</f>
        <v>(ML) Volvo Collision Corp17</v>
      </c>
      <c r="B1581">
        <v>17</v>
      </c>
      <c r="C1581">
        <v>11</v>
      </c>
      <c r="D1581" t="s">
        <v>33</v>
      </c>
      <c r="E1581" t="s">
        <v>46</v>
      </c>
      <c r="F1581" t="s">
        <v>106</v>
      </c>
      <c r="G1581" t="s">
        <v>34</v>
      </c>
      <c r="H1581" s="52" t="str">
        <f>VLOOKUP(Tabla3[[#This Row],[Site]],'Important Info!'!$A$1:$J$135,10,FALSE)</f>
        <v>https://tools.sig.systems/site/details/223</v>
      </c>
      <c r="I1581" s="2"/>
      <c r="J1581" t="s">
        <v>41</v>
      </c>
      <c r="K1581" s="79" t="str">
        <f>VLOOKUP(Tabla3[[#This Row],[Site]],'Important Info!'!$A$1:$H$135,8,FALSE)</f>
        <v>-</v>
      </c>
      <c r="L1581" s="52" t="str">
        <f>VLOOKUP(Tabla3[[#This Row],[Site]],'Important Info!'!$A$1:$F$135,2,FALSE)</f>
        <v>7, 11</v>
      </c>
      <c r="M1581" s="52">
        <f>VLOOKUP(Tabla3[[#This Row],[Site]],'Important Info!'!$A$1:$F$135,3,FALSE)</f>
        <v>4</v>
      </c>
      <c r="N1581" s="52" t="str">
        <f>VLOOKUP(Tabla3[[#This Row],[Site]],'Important Info!'!$A$1:$F$135,4,FALSE)</f>
        <v>-</v>
      </c>
      <c r="O1581" s="52">
        <f>VLOOKUP(Tabla3[[#This Row],[Site]],'Important Info!'!$A$1:$F$135,5,FALSE)</f>
        <v>18</v>
      </c>
      <c r="P1581" s="52" t="str">
        <f>VLOOKUP(Tabla3[[#This Row],[Site]],'Important Info!'!$A$1:$F$135,6,FALSE)</f>
        <v>-</v>
      </c>
      <c r="Q1581" s="91">
        <f>VLOOKUP(Tabla3[[#This Row],[Site]],'Important Info!'!$A$1:$J$135,9,FALSE)</f>
        <v>223</v>
      </c>
    </row>
    <row r="1582" spans="1:17" x14ac:dyDescent="0.25">
      <c r="A1582" t="str">
        <f>+Tabla3[[#This Row],[Site]]&amp;Tabla3[[#This Row],[Split]]</f>
        <v>(PE) Fairfield Collision (NO TOURS)17</v>
      </c>
      <c r="B1582">
        <v>17</v>
      </c>
      <c r="C1582">
        <v>11</v>
      </c>
      <c r="D1582" t="s">
        <v>485</v>
      </c>
      <c r="E1582" t="s">
        <v>35</v>
      </c>
      <c r="F1582" t="s">
        <v>63</v>
      </c>
      <c r="G1582" t="s">
        <v>490</v>
      </c>
      <c r="H1582" s="52" t="str">
        <f>VLOOKUP(Tabla3[[#This Row],[Site]],'Important Info!'!$A$1:$J$135,10,FALSE)</f>
        <v>https://tools.sig.systems/site/details/191</v>
      </c>
      <c r="J1582" t="s">
        <v>41</v>
      </c>
      <c r="K1582" s="79" t="str">
        <f>VLOOKUP(Tabla3[[#This Row],[Site]],'Important Info!'!$A$1:$H$135,8,FALSE)</f>
        <v>-</v>
      </c>
      <c r="L1582" s="52">
        <f>VLOOKUP(Tabla3[[#This Row],[Site]],'Important Info!'!$A$1:$F$135,2,FALSE)</f>
        <v>4</v>
      </c>
      <c r="M1582" s="52" t="str">
        <f>VLOOKUP(Tabla3[[#This Row],[Site]],'Important Info!'!$A$1:$F$135,3,FALSE)</f>
        <v>-</v>
      </c>
      <c r="N1582" s="52" t="str">
        <f>VLOOKUP(Tabla3[[#This Row],[Site]],'Important Info!'!$A$1:$F$135,4,FALSE)</f>
        <v>-</v>
      </c>
      <c r="O1582" s="52" t="str">
        <f>VLOOKUP(Tabla3[[#This Row],[Site]],'Important Info!'!$A$1:$F$135,5,FALSE)</f>
        <v>-</v>
      </c>
      <c r="P1582" s="52" t="str">
        <f>VLOOKUP(Tabla3[[#This Row],[Site]],'Important Info!'!$A$1:$F$135,6,FALSE)</f>
        <v>1, 2, 3, 4, 5, 6</v>
      </c>
      <c r="Q1582" s="91">
        <f>VLOOKUP(Tabla3[[#This Row],[Site]],'Important Info!'!$A$1:$J$135,9,FALSE)</f>
        <v>191</v>
      </c>
    </row>
    <row r="1583" spans="1:17" x14ac:dyDescent="0.25">
      <c r="A1583" t="str">
        <f>+Tabla3[[#This Row],[Site]]&amp;Tabla3[[#This Row],[Split]]</f>
        <v>(AS) Atwell Prep Center-Dallas (NO TOURS)17</v>
      </c>
      <c r="B1583">
        <v>17</v>
      </c>
      <c r="C1583">
        <v>12</v>
      </c>
      <c r="D1583" t="s">
        <v>33</v>
      </c>
      <c r="E1583" t="s">
        <v>46</v>
      </c>
      <c r="F1583" t="s">
        <v>498</v>
      </c>
      <c r="G1583" t="s">
        <v>34</v>
      </c>
      <c r="H1583" s="52" t="str">
        <f>VLOOKUP(Tabla3[[#This Row],[Site]],'Important Info!'!$A$1:$J$135,10,FALSE)</f>
        <v>https://tools.sig.systems/site/details/165</v>
      </c>
      <c r="I1583" s="65" t="s">
        <v>125</v>
      </c>
      <c r="J1583" t="s">
        <v>41</v>
      </c>
      <c r="K1583" s="79" t="str">
        <f>VLOOKUP(Tabla3[[#This Row],[Site]],'Important Info!'!$A$1:$H$135,8,FALSE)</f>
        <v>-</v>
      </c>
      <c r="L1583" s="52" t="str">
        <f>VLOOKUP(Tabla3[[#This Row],[Site]],'Important Info!'!$A$1:$F$135,2,FALSE)</f>
        <v>4, 6, 7</v>
      </c>
      <c r="M1583" s="52" t="str">
        <f>VLOOKUP(Tabla3[[#This Row],[Site]],'Important Info!'!$A$1:$F$135,3,FALSE)</f>
        <v>-</v>
      </c>
      <c r="N1583" s="52" t="str">
        <f>VLOOKUP(Tabla3[[#This Row],[Site]],'Important Info!'!$A$1:$F$135,4,FALSE)</f>
        <v>-</v>
      </c>
      <c r="O1583" s="52" t="str">
        <f>VLOOKUP(Tabla3[[#This Row],[Site]],'Important Info!'!$A$1:$F$135,5,FALSE)</f>
        <v>-</v>
      </c>
      <c r="P1583" s="52" t="str">
        <f>VLOOKUP(Tabla3[[#This Row],[Site]],'Important Info!'!$A$1:$F$135,6,FALSE)</f>
        <v>1, 2</v>
      </c>
      <c r="Q1583" s="91">
        <f>VLOOKUP(Tabla3[[#This Row],[Site]],'Important Info!'!$A$1:$J$135,9,FALSE)</f>
        <v>165</v>
      </c>
    </row>
    <row r="1584" spans="1:17" x14ac:dyDescent="0.25">
      <c r="A1584" t="str">
        <f>+Tabla3[[#This Row],[Site]]&amp;Tabla3[[#This Row],[Split]]</f>
        <v>(HUD) Acura of Greensboro17</v>
      </c>
      <c r="B1584">
        <v>17</v>
      </c>
      <c r="C1584">
        <v>12</v>
      </c>
      <c r="D1584" t="s">
        <v>62</v>
      </c>
      <c r="E1584" t="s">
        <v>35</v>
      </c>
      <c r="F1584" t="s">
        <v>100</v>
      </c>
      <c r="G1584" t="s">
        <v>490</v>
      </c>
      <c r="H1584" s="52" t="str">
        <f>VLOOKUP(Tabla3[[#This Row],[Site]],'Important Info!'!$A$1:$J$135,10,FALSE)</f>
        <v>https://tools.sig.systems/site/details/213</v>
      </c>
      <c r="I1584" t="s">
        <v>182</v>
      </c>
      <c r="J1584" t="s">
        <v>41</v>
      </c>
      <c r="K1584" s="79" t="str">
        <f>VLOOKUP(Tabla3[[#This Row],[Site]],'Important Info!'!$A$1:$H$135,8,FALSE)</f>
        <v>-</v>
      </c>
      <c r="L1584" s="52" t="str">
        <f>VLOOKUP(Tabla3[[#This Row],[Site]],'Important Info!'!$A$1:$F$135,2,FALSE)</f>
        <v>1, 2, 6, 7, 9</v>
      </c>
      <c r="M1584" s="52" t="str">
        <f>VLOOKUP(Tabla3[[#This Row],[Site]],'Important Info!'!$A$1:$F$135,3,FALSE)</f>
        <v>-</v>
      </c>
      <c r="N1584" s="52" t="str">
        <f>VLOOKUP(Tabla3[[#This Row],[Site]],'Important Info!'!$A$1:$F$135,4,FALSE)</f>
        <v>-</v>
      </c>
      <c r="O1584" s="52" t="str">
        <f>VLOOKUP(Tabla3[[#This Row],[Site]],'Important Info!'!$A$1:$F$135,5,FALSE)</f>
        <v>2, 5</v>
      </c>
      <c r="P1584" s="52" t="str">
        <f>VLOOKUP(Tabla3[[#This Row],[Site]],'Important Info!'!$A$1:$F$135,6,FALSE)</f>
        <v>1, 2, 6, 7, 9, 18</v>
      </c>
      <c r="Q1584" s="91">
        <f>VLOOKUP(Tabla3[[#This Row],[Site]],'Important Info!'!$A$1:$J$135,9,FALSE)</f>
        <v>213</v>
      </c>
    </row>
    <row r="1585" spans="1:17" x14ac:dyDescent="0.25">
      <c r="A1585" t="str">
        <f>+Tabla3[[#This Row],[Site]]&amp;Tabla3[[#This Row],[Split]]</f>
        <v>(KG) Kia of Phoenix (NO TOURS)17</v>
      </c>
      <c r="B1585">
        <v>17</v>
      </c>
      <c r="C1585">
        <v>12</v>
      </c>
      <c r="D1585" t="s">
        <v>51</v>
      </c>
      <c r="E1585" t="s">
        <v>161</v>
      </c>
      <c r="F1585" t="s">
        <v>94</v>
      </c>
      <c r="G1585" t="s">
        <v>52</v>
      </c>
      <c r="H1585" s="52" t="str">
        <f>VLOOKUP(Tabla3[[#This Row],[Site]],'Important Info!'!$A$1:$J$135,10,FALSE)</f>
        <v>https://tools.sig.systems/site/details/262</v>
      </c>
      <c r="J1585" t="s">
        <v>162</v>
      </c>
      <c r="K1585" s="79" t="str">
        <f>VLOOKUP(Tabla3[[#This Row],[Site]],'Important Info!'!$A$1:$H$135,8,FALSE)</f>
        <v>-</v>
      </c>
      <c r="L1585" s="52" t="str">
        <f>VLOOKUP(Tabla3[[#This Row],[Site]],'Important Info!'!$A$1:$F$135,2,FALSE)</f>
        <v>5, 8, 23</v>
      </c>
      <c r="M1585" s="52" t="str">
        <f>VLOOKUP(Tabla3[[#This Row],[Site]],'Important Info!'!$A$1:$F$135,3,FALSE)</f>
        <v>-</v>
      </c>
      <c r="N1585" s="52" t="str">
        <f>VLOOKUP(Tabla3[[#This Row],[Site]],'Important Info!'!$A$1:$F$135,4,FALSE)</f>
        <v>-</v>
      </c>
      <c r="O1585" s="52">
        <f>VLOOKUP(Tabla3[[#This Row],[Site]],'Important Info!'!$A$1:$F$135,5,FALSE)</f>
        <v>4</v>
      </c>
      <c r="P1585" s="52" t="str">
        <f>VLOOKUP(Tabla3[[#This Row],[Site]],'Important Info!'!$A$1:$F$135,6,FALSE)</f>
        <v>-</v>
      </c>
      <c r="Q1585" s="91">
        <f>VLOOKUP(Tabla3[[#This Row],[Site]],'Important Info!'!$A$1:$J$135,9,FALSE)</f>
        <v>262</v>
      </c>
    </row>
    <row r="1586" spans="1:17" x14ac:dyDescent="0.25">
      <c r="A1586" t="str">
        <f>+Tabla3[[#This Row],[Site]]&amp;Tabla3[[#This Row],[Split]]</f>
        <v>(KT) Northwest CDJR (NO TOURS)17</v>
      </c>
      <c r="B1586">
        <v>17</v>
      </c>
      <c r="C1586">
        <v>12</v>
      </c>
      <c r="D1586" t="s">
        <v>33</v>
      </c>
      <c r="E1586" t="s">
        <v>46</v>
      </c>
      <c r="F1586" t="s">
        <v>77</v>
      </c>
      <c r="G1586" t="s">
        <v>34</v>
      </c>
      <c r="H1586" s="52" t="str">
        <f>VLOOKUP(Tabla3[[#This Row],[Site]],'Important Info!'!$A$1:$J$135,10,FALSE)</f>
        <v>https://tools.sig.systems/site/details/229</v>
      </c>
      <c r="I1586" s="43"/>
      <c r="J1586" t="s">
        <v>41</v>
      </c>
      <c r="K1586" s="79" t="str">
        <f>VLOOKUP(Tabla3[[#This Row],[Site]],'Important Info!'!$A$1:$H$135,8,FALSE)</f>
        <v>-</v>
      </c>
      <c r="L1586" s="52" t="str">
        <f>VLOOKUP(Tabla3[[#This Row],[Site]],'Important Info!'!$A$1:$F$135,2,FALSE)</f>
        <v>1, 3, 11, 25</v>
      </c>
      <c r="M1586" s="52" t="str">
        <f>VLOOKUP(Tabla3[[#This Row],[Site]],'Important Info!'!$A$1:$F$135,3,FALSE)</f>
        <v>-</v>
      </c>
      <c r="N1586" s="52" t="str">
        <f>VLOOKUP(Tabla3[[#This Row],[Site]],'Important Info!'!$A$1:$F$135,4,FALSE)</f>
        <v>-</v>
      </c>
      <c r="O1586" s="52" t="str">
        <f>VLOOKUP(Tabla3[[#This Row],[Site]],'Important Info!'!$A$1:$F$135,5,FALSE)</f>
        <v>4, 12, 18</v>
      </c>
      <c r="P1586" s="52" t="str">
        <f>VLOOKUP(Tabla3[[#This Row],[Site]],'Important Info!'!$A$1:$F$135,6,FALSE)</f>
        <v>-</v>
      </c>
      <c r="Q1586" s="91">
        <f>VLOOKUP(Tabla3[[#This Row],[Site]],'Important Info!'!$A$1:$J$135,9,FALSE)</f>
        <v>229</v>
      </c>
    </row>
    <row r="1587" spans="1:17" x14ac:dyDescent="0.25">
      <c r="A1587" t="str">
        <f>+Tabla3[[#This Row],[Site]]&amp;Tabla3[[#This Row],[Split]]</f>
        <v>(LM) Luther Mazda / Mitsubishi17</v>
      </c>
      <c r="B1587">
        <v>17</v>
      </c>
      <c r="C1587">
        <v>12</v>
      </c>
      <c r="D1587" t="s">
        <v>33</v>
      </c>
      <c r="E1587" t="s">
        <v>46</v>
      </c>
      <c r="F1587" t="s">
        <v>103</v>
      </c>
      <c r="G1587" t="s">
        <v>34</v>
      </c>
      <c r="H1587" s="52" t="str">
        <f>VLOOKUP(Tabla3[[#This Row],[Site]],'Important Info!'!$A$1:$J$135,10,FALSE)</f>
        <v>https://tools.sig.systems/site/details/147</v>
      </c>
      <c r="I1587" s="43" t="s">
        <v>138</v>
      </c>
      <c r="J1587" t="s">
        <v>41</v>
      </c>
      <c r="K1587" s="79" t="str">
        <f>VLOOKUP(Tabla3[[#This Row],[Site]],'Important Info!'!$A$1:$H$135,8,FALSE)</f>
        <v>-</v>
      </c>
      <c r="L1587" s="52" t="str">
        <f>VLOOKUP(Tabla3[[#This Row],[Site]],'Important Info!'!$A$1:$F$135,2,FALSE)</f>
        <v>4, 5, 6</v>
      </c>
      <c r="M1587" s="52" t="str">
        <f>VLOOKUP(Tabla3[[#This Row],[Site]],'Important Info!'!$A$1:$F$135,3,FALSE)</f>
        <v>-</v>
      </c>
      <c r="N1587" s="52" t="str">
        <f>VLOOKUP(Tabla3[[#This Row],[Site]],'Important Info!'!$A$1:$F$135,4,FALSE)</f>
        <v>1, 2</v>
      </c>
      <c r="O1587" s="52" t="str">
        <f>VLOOKUP(Tabla3[[#This Row],[Site]],'Important Info!'!$A$1:$F$135,5,FALSE)</f>
        <v>-</v>
      </c>
      <c r="P1587" s="52" t="str">
        <f>VLOOKUP(Tabla3[[#This Row],[Site]],'Important Info!'!$A$1:$F$135,6,FALSE)</f>
        <v>13, 14, 15, 16</v>
      </c>
      <c r="Q1587" s="91">
        <f>VLOOKUP(Tabla3[[#This Row],[Site]],'Important Info!'!$A$1:$J$135,9,FALSE)</f>
        <v>147</v>
      </c>
    </row>
    <row r="1588" spans="1:17" x14ac:dyDescent="0.25">
      <c r="A1588" t="str">
        <f>+Tabla3[[#This Row],[Site]]&amp;Tabla3[[#This Row],[Split]]</f>
        <v>(MK) McKenny Salinas Honda17</v>
      </c>
      <c r="B1588">
        <v>17</v>
      </c>
      <c r="C1588">
        <v>12</v>
      </c>
      <c r="D1588" t="s">
        <v>62</v>
      </c>
      <c r="E1588" t="s">
        <v>35</v>
      </c>
      <c r="F1588" t="s">
        <v>115</v>
      </c>
      <c r="G1588" t="s">
        <v>490</v>
      </c>
      <c r="H1588" s="52" t="str">
        <f>VLOOKUP(Tabla3[[#This Row],[Site]],'Important Info!'!$A$1:$J$135,10,FALSE)</f>
        <v>https://tools.sig.systems/site/details/149</v>
      </c>
      <c r="J1588" t="s">
        <v>41</v>
      </c>
      <c r="K1588" s="79" t="str">
        <f>VLOOKUP(Tabla3[[#This Row],[Site]],'Important Info!'!$A$1:$H$135,8,FALSE)</f>
        <v>-</v>
      </c>
      <c r="L1588" s="52" t="str">
        <f>VLOOKUP(Tabla3[[#This Row],[Site]],'Important Info!'!$A$1:$F$135,2,FALSE)</f>
        <v>-</v>
      </c>
      <c r="M1588" s="52" t="str">
        <f>VLOOKUP(Tabla3[[#This Row],[Site]],'Important Info!'!$A$1:$F$135,3,FALSE)</f>
        <v>12, 16</v>
      </c>
      <c r="N1588" s="52" t="str">
        <f>VLOOKUP(Tabla3[[#This Row],[Site]],'Important Info!'!$A$1:$F$135,4,FALSE)</f>
        <v>-</v>
      </c>
      <c r="O1588" s="52" t="str">
        <f>VLOOKUP(Tabla3[[#This Row],[Site]],'Important Info!'!$A$1:$F$135,5,FALSE)</f>
        <v>-</v>
      </c>
      <c r="P1588" s="52" t="str">
        <f>VLOOKUP(Tabla3[[#This Row],[Site]],'Important Info!'!$A$1:$F$135,6,FALSE)</f>
        <v>3, 4, 5, 6, 16</v>
      </c>
      <c r="Q1588" s="91">
        <f>VLOOKUP(Tabla3[[#This Row],[Site]],'Important Info!'!$A$1:$J$135,9,FALSE)</f>
        <v>149</v>
      </c>
    </row>
    <row r="1589" spans="1:17" x14ac:dyDescent="0.25">
      <c r="A1589" t="str">
        <f>+Tabla3[[#This Row],[Site]]&amp;Tabla3[[#This Row],[Split]]</f>
        <v>(ML) Joe Machens Capital City I &amp; II (NO TOURS)17</v>
      </c>
      <c r="B1589">
        <v>17</v>
      </c>
      <c r="C1589">
        <v>12</v>
      </c>
      <c r="D1589" t="s">
        <v>33</v>
      </c>
      <c r="E1589" t="s">
        <v>46</v>
      </c>
      <c r="F1589" t="s">
        <v>72</v>
      </c>
      <c r="G1589" t="s">
        <v>34</v>
      </c>
      <c r="H1589" s="52" t="str">
        <f>VLOOKUP(Tabla3[[#This Row],[Site]],'Important Info!'!$A$1:$J$135,10,FALSE)</f>
        <v>https://tools.sig.systems/site/details/271</v>
      </c>
      <c r="I1589" s="2"/>
      <c r="J1589" t="s">
        <v>41</v>
      </c>
      <c r="K1589" s="79" t="str">
        <f>VLOOKUP(Tabla3[[#This Row],[Site]],'Important Info!'!$A$1:$H$135,8,FALSE)</f>
        <v>-</v>
      </c>
      <c r="L1589" s="52" t="str">
        <f>VLOOKUP(Tabla3[[#This Row],[Site]],'Important Info!'!$A$1:$F$135,2,FALSE)</f>
        <v>-</v>
      </c>
      <c r="M1589" s="52" t="str">
        <f>VLOOKUP(Tabla3[[#This Row],[Site]],'Important Info!'!$A$1:$F$135,3,FALSE)</f>
        <v>1, 3, 4, 20, 25, 27, 28</v>
      </c>
      <c r="N1589" s="52" t="str">
        <f>VLOOKUP(Tabla3[[#This Row],[Site]],'Important Info!'!$A$1:$F$135,4,FALSE)</f>
        <v>-</v>
      </c>
      <c r="O1589" s="52">
        <f>VLOOKUP(Tabla3[[#This Row],[Site]],'Important Info!'!$A$1:$F$135,5,FALSE)</f>
        <v>29</v>
      </c>
      <c r="P1589" s="52" t="str">
        <f>VLOOKUP(Tabla3[[#This Row],[Site]],'Important Info!'!$A$1:$F$135,6,FALSE)</f>
        <v>19, 20</v>
      </c>
      <c r="Q1589" s="91">
        <f>VLOOKUP(Tabla3[[#This Row],[Site]],'Important Info!'!$A$1:$J$135,9,FALSE)</f>
        <v>271</v>
      </c>
    </row>
    <row r="1590" spans="1:17" x14ac:dyDescent="0.25">
      <c r="A1590" t="str">
        <f>+Tabla3[[#This Row],[Site]]&amp;Tabla3[[#This Row],[Split]]</f>
        <v>(PE) Mercedes Benz &amp; Smart Bldg. of Fairfield (NO TOURS)17</v>
      </c>
      <c r="B1590">
        <v>17</v>
      </c>
      <c r="C1590">
        <v>12</v>
      </c>
      <c r="D1590" t="s">
        <v>485</v>
      </c>
      <c r="E1590" t="s">
        <v>35</v>
      </c>
      <c r="F1590" t="s">
        <v>64</v>
      </c>
      <c r="G1590" t="s">
        <v>490</v>
      </c>
      <c r="H1590" s="52" t="str">
        <f>VLOOKUP(Tabla3[[#This Row],[Site]],'Important Info!'!$A$1:$J$135,10,FALSE)</f>
        <v>https://tools.sig.systems/site/details/192</v>
      </c>
      <c r="I1590" t="s">
        <v>177</v>
      </c>
      <c r="J1590" t="s">
        <v>41</v>
      </c>
      <c r="K1590" s="79" t="str">
        <f>VLOOKUP(Tabla3[[#This Row],[Site]],'Important Info!'!$A$1:$H$135,8,FALSE)</f>
        <v>-</v>
      </c>
      <c r="L1590" s="52" t="str">
        <f>VLOOKUP(Tabla3[[#This Row],[Site]],'Important Info!'!$A$1:$F$135,2,FALSE)</f>
        <v>-</v>
      </c>
      <c r="M1590" s="52">
        <f>VLOOKUP(Tabla3[[#This Row],[Site]],'Important Info!'!$A$1:$F$135,3,FALSE)</f>
        <v>1</v>
      </c>
      <c r="N1590" s="52" t="str">
        <f>VLOOKUP(Tabla3[[#This Row],[Site]],'Important Info!'!$A$1:$F$135,4,FALSE)</f>
        <v>-</v>
      </c>
      <c r="O1590" s="52" t="str">
        <f>VLOOKUP(Tabla3[[#This Row],[Site]],'Important Info!'!$A$1:$F$135,5,FALSE)</f>
        <v>11, 13</v>
      </c>
      <c r="P1590" s="52">
        <f>VLOOKUP(Tabla3[[#This Row],[Site]],'Important Info!'!$A$1:$F$135,6,FALSE)</f>
        <v>1</v>
      </c>
      <c r="Q1590" s="91">
        <f>VLOOKUP(Tabla3[[#This Row],[Site]],'Important Info!'!$A$1:$J$135,9,FALSE)</f>
        <v>192</v>
      </c>
    </row>
    <row r="1591" spans="1:17" x14ac:dyDescent="0.25">
      <c r="A1591" t="str">
        <f>+Tabla3[[#This Row],[Site]]&amp;Tabla3[[#This Row],[Split]]</f>
        <v>(AS) David McDavid Honda I &amp; II (NO TOURS)17</v>
      </c>
      <c r="B1591">
        <v>17</v>
      </c>
      <c r="C1591">
        <v>13</v>
      </c>
      <c r="D1591" t="s">
        <v>33</v>
      </c>
      <c r="E1591" t="s">
        <v>46</v>
      </c>
      <c r="F1591" t="s">
        <v>506</v>
      </c>
      <c r="G1591" t="s">
        <v>34</v>
      </c>
      <c r="H1591" s="52" t="str">
        <f>VLOOKUP(Tabla3[[#This Row],[Site]],'Important Info!'!$A$1:$J$135,10,FALSE)</f>
        <v>https://tools.sig.systems/site/details/129</v>
      </c>
      <c r="J1591" t="s">
        <v>41</v>
      </c>
      <c r="K1591" s="79" t="str">
        <f>VLOOKUP(Tabla3[[#This Row],[Site]],'Important Info!'!$A$1:$H$135,8,FALSE)</f>
        <v>-</v>
      </c>
      <c r="L1591" s="52" t="str">
        <f>VLOOKUP(Tabla3[[#This Row],[Site]],'Important Info!'!$A$1:$F$135,2,FALSE)</f>
        <v>-</v>
      </c>
      <c r="M1591" s="52" t="str">
        <f>VLOOKUP(Tabla3[[#This Row],[Site]],'Important Info!'!$A$1:$F$135,3,FALSE)</f>
        <v>3, 19, 23, 32, 35</v>
      </c>
      <c r="N1591" s="52" t="str">
        <f>VLOOKUP(Tabla3[[#This Row],[Site]],'Important Info!'!$A$1:$F$135,4,FALSE)</f>
        <v>-</v>
      </c>
      <c r="O1591" s="52" t="str">
        <f>VLOOKUP(Tabla3[[#This Row],[Site]],'Important Info!'!$A$1:$F$135,5,FALSE)</f>
        <v>2, 6, 9, 19, 25, 30, 48</v>
      </c>
      <c r="P1591" s="52" t="str">
        <f>VLOOKUP(Tabla3[[#This Row],[Site]],'Important Info!'!$A$1:$F$135,6,FALSE)</f>
        <v>25, 26, 35, 36, 37</v>
      </c>
      <c r="Q1591" s="91">
        <f>VLOOKUP(Tabla3[[#This Row],[Site]],'Important Info!'!$A$1:$J$135,9,FALSE)</f>
        <v>129</v>
      </c>
    </row>
    <row r="1592" spans="1:17" x14ac:dyDescent="0.25">
      <c r="A1592" t="str">
        <f>+Tabla3[[#This Row],[Site]]&amp;Tabla3[[#This Row],[Split]]</f>
        <v>(AS) Mike Shaw Subaru Greeley (NO TOURS)17</v>
      </c>
      <c r="B1592">
        <v>17</v>
      </c>
      <c r="C1592">
        <v>13</v>
      </c>
      <c r="D1592" t="s">
        <v>44</v>
      </c>
      <c r="E1592" t="s">
        <v>53</v>
      </c>
      <c r="F1592" t="s">
        <v>95</v>
      </c>
      <c r="G1592" t="s">
        <v>45</v>
      </c>
      <c r="H1592" s="52" t="str">
        <f>VLOOKUP(Tabla3[[#This Row],[Site]],'Important Info!'!$A$1:$J$135,10,FALSE)</f>
        <v>https://tools.sig.systems/site/details/174</v>
      </c>
      <c r="I1592" s="43" t="s">
        <v>153</v>
      </c>
      <c r="J1592" t="s">
        <v>41</v>
      </c>
      <c r="K1592" s="79" t="str">
        <f>VLOOKUP(Tabla3[[#This Row],[Site]],'Important Info!'!$A$1:$H$135,8,FALSE)</f>
        <v>-</v>
      </c>
      <c r="L1592" s="52" t="str">
        <f>VLOOKUP(Tabla3[[#This Row],[Site]],'Important Info!'!$A$1:$F$135,2,FALSE)</f>
        <v>16, 17</v>
      </c>
      <c r="M1592" s="52">
        <f>VLOOKUP(Tabla3[[#This Row],[Site]],'Important Info!'!$A$1:$F$135,3,FALSE)</f>
        <v>10</v>
      </c>
      <c r="N1592" s="52" t="str">
        <f>VLOOKUP(Tabla3[[#This Row],[Site]],'Important Info!'!$A$1:$F$135,4,FALSE)</f>
        <v>-</v>
      </c>
      <c r="O1592" s="52" t="str">
        <f>VLOOKUP(Tabla3[[#This Row],[Site]],'Important Info!'!$A$1:$F$135,5,FALSE)</f>
        <v>1, 7</v>
      </c>
      <c r="P1592" s="52" t="str">
        <f>VLOOKUP(Tabla3[[#This Row],[Site]],'Important Info!'!$A$1:$F$135,6,FALSE)</f>
        <v>-</v>
      </c>
      <c r="Q1592" s="91">
        <f>VLOOKUP(Tabla3[[#This Row],[Site]],'Important Info!'!$A$1:$J$135,9,FALSE)</f>
        <v>174</v>
      </c>
    </row>
    <row r="1593" spans="1:17" x14ac:dyDescent="0.25">
      <c r="A1593" t="str">
        <f>+Tabla3[[#This Row],[Site]]&amp;Tabla3[[#This Row],[Split]]</f>
        <v>(AS) Park Place JLR DFW Airport (NO TOURS)17</v>
      </c>
      <c r="B1593">
        <v>17</v>
      </c>
      <c r="C1593">
        <v>13</v>
      </c>
      <c r="D1593" t="s">
        <v>33</v>
      </c>
      <c r="E1593" t="s">
        <v>46</v>
      </c>
      <c r="F1593" t="s">
        <v>516</v>
      </c>
      <c r="G1593" t="s">
        <v>34</v>
      </c>
      <c r="H1593" s="52" t="str">
        <f>VLOOKUP(Tabla3[[#This Row],[Site]],'Important Info!'!$A$1:$J$135,10,FALSE)</f>
        <v>https://tools.sig.systems/site/details/135</v>
      </c>
      <c r="J1593" t="s">
        <v>41</v>
      </c>
      <c r="K1593" s="79" t="str">
        <f>VLOOKUP(Tabla3[[#This Row],[Site]],'Important Info!'!$A$1:$H$135,8,FALSE)</f>
        <v>-</v>
      </c>
      <c r="L1593" s="52" t="str">
        <f>VLOOKUP(Tabla3[[#This Row],[Site]],'Important Info!'!$A$1:$F$135,2,FALSE)</f>
        <v>6, 7, 18</v>
      </c>
      <c r="M1593" s="52" t="str">
        <f>VLOOKUP(Tabla3[[#This Row],[Site]],'Important Info!'!$A$1:$F$135,3,FALSE)</f>
        <v>70, 79, 80</v>
      </c>
      <c r="N1593" s="52" t="str">
        <f>VLOOKUP(Tabla3[[#This Row],[Site]],'Important Info!'!$A$1:$F$135,4,FALSE)</f>
        <v>83, 84</v>
      </c>
      <c r="O1593" s="52" t="str">
        <f>VLOOKUP(Tabla3[[#This Row],[Site]],'Important Info!'!$A$1:$F$135,5,FALSE)</f>
        <v>3, 8, 14, 81</v>
      </c>
      <c r="P1593" s="52">
        <f>VLOOKUP(Tabla3[[#This Row],[Site]],'Important Info!'!$A$1:$F$135,6,FALSE)</f>
        <v>6</v>
      </c>
      <c r="Q1593" s="91">
        <f>VLOOKUP(Tabla3[[#This Row],[Site]],'Important Info!'!$A$1:$J$135,9,FALSE)</f>
        <v>135</v>
      </c>
    </row>
    <row r="1594" spans="1:17" x14ac:dyDescent="0.25">
      <c r="A1594" t="str">
        <f>+Tabla3[[#This Row],[Site]]&amp;Tabla3[[#This Row],[Split]]</f>
        <v>(HUD) BMW of Greensboro17</v>
      </c>
      <c r="B1594">
        <v>17</v>
      </c>
      <c r="C1594">
        <v>13</v>
      </c>
      <c r="D1594" t="s">
        <v>62</v>
      </c>
      <c r="E1594" t="s">
        <v>35</v>
      </c>
      <c r="F1594" t="s">
        <v>183</v>
      </c>
      <c r="G1594" t="s">
        <v>490</v>
      </c>
      <c r="H1594" s="52" t="str">
        <f>VLOOKUP(Tabla3[[#This Row],[Site]],'Important Info!'!$A$1:$J$135,10,FALSE)</f>
        <v>https://tools.sig.systems/site/details/219</v>
      </c>
      <c r="I1594" s="2" t="s">
        <v>184</v>
      </c>
      <c r="J1594" t="s">
        <v>41</v>
      </c>
      <c r="K1594" s="79" t="str">
        <f>VLOOKUP(Tabla3[[#This Row],[Site]],'Important Info!'!$A$1:$H$135,8,FALSE)</f>
        <v>-</v>
      </c>
      <c r="L1594" s="52" t="str">
        <f>VLOOKUP(Tabla3[[#This Row],[Site]],'Important Info!'!$A$1:$F$135,2,FALSE)</f>
        <v>2, 20, 21</v>
      </c>
      <c r="M1594" s="52" t="str">
        <f>VLOOKUP(Tabla3[[#This Row],[Site]],'Important Info!'!$A$1:$F$135,3,FALSE)</f>
        <v>-</v>
      </c>
      <c r="N1594" s="52" t="str">
        <f>VLOOKUP(Tabla3[[#This Row],[Site]],'Important Info!'!$A$1:$F$135,4,FALSE)</f>
        <v>-</v>
      </c>
      <c r="O1594" s="52" t="str">
        <f>VLOOKUP(Tabla3[[#This Row],[Site]],'Important Info!'!$A$1:$F$135,5,FALSE)</f>
        <v>12, 17</v>
      </c>
      <c r="P1594" s="52" t="str">
        <f>VLOOKUP(Tabla3[[#This Row],[Site]],'Important Info!'!$A$1:$F$135,6,FALSE)</f>
        <v>1, 2, 6, 20</v>
      </c>
      <c r="Q1594" s="91">
        <f>VLOOKUP(Tabla3[[#This Row],[Site]],'Important Info!'!$A$1:$J$135,9,FALSE)</f>
        <v>219</v>
      </c>
    </row>
    <row r="1595" spans="1:17" x14ac:dyDescent="0.25">
      <c r="A1595" t="str">
        <f>+Tabla3[[#This Row],[Site]]&amp;Tabla3[[#This Row],[Split]]</f>
        <v>(PE) Honda of Danbury (NO TOURS)17</v>
      </c>
      <c r="B1595">
        <v>17</v>
      </c>
      <c r="C1595">
        <v>13</v>
      </c>
      <c r="D1595" t="s">
        <v>485</v>
      </c>
      <c r="E1595" t="s">
        <v>35</v>
      </c>
      <c r="F1595" t="s">
        <v>174</v>
      </c>
      <c r="G1595" t="s">
        <v>490</v>
      </c>
      <c r="H1595" s="52" t="str">
        <f>VLOOKUP(Tabla3[[#This Row],[Site]],'Important Info!'!$A$1:$J$135,10,FALSE)</f>
        <v>https://tools.sig.systems/site/details/190</v>
      </c>
      <c r="I1595" s="2"/>
      <c r="J1595" t="s">
        <v>41</v>
      </c>
      <c r="K1595" s="79" t="str">
        <f>VLOOKUP(Tabla3[[#This Row],[Site]],'Important Info!'!$A$1:$H$135,8,FALSE)</f>
        <v>-</v>
      </c>
      <c r="L1595" s="52" t="str">
        <f>VLOOKUP(Tabla3[[#This Row],[Site]],'Important Info!'!$A$1:$F$135,2,FALSE)</f>
        <v>-</v>
      </c>
      <c r="M1595" s="52" t="str">
        <f>VLOOKUP(Tabla3[[#This Row],[Site]],'Important Info!'!$A$1:$F$135,3,FALSE)</f>
        <v>20, 9</v>
      </c>
      <c r="N1595" s="52">
        <f>VLOOKUP(Tabla3[[#This Row],[Site]],'Important Info!'!$A$1:$F$135,4,FALSE)</f>
        <v>9</v>
      </c>
      <c r="O1595" s="52" t="str">
        <f>VLOOKUP(Tabla3[[#This Row],[Site]],'Important Info!'!$A$1:$F$135,5,FALSE)</f>
        <v>-</v>
      </c>
      <c r="P1595" s="52" t="str">
        <f>VLOOKUP(Tabla3[[#This Row],[Site]],'Important Info!'!$A$1:$F$135,6,FALSE)</f>
        <v>9, 16, 17</v>
      </c>
      <c r="Q1595" s="91">
        <f>VLOOKUP(Tabla3[[#This Row],[Site]],'Important Info!'!$A$1:$J$135,9,FALSE)</f>
        <v>190</v>
      </c>
    </row>
    <row r="1596" spans="1:17" x14ac:dyDescent="0.25">
      <c r="A1596" t="str">
        <f>+Tabla3[[#This Row],[Site]]&amp;Tabla3[[#This Row],[Split]]</f>
        <v>(AS) Coggin Mercedes Benz Ft Pierce (NO TOURS)17</v>
      </c>
      <c r="B1596">
        <v>17</v>
      </c>
      <c r="C1596">
        <v>14</v>
      </c>
      <c r="D1596" t="s">
        <v>62</v>
      </c>
      <c r="E1596" t="s">
        <v>35</v>
      </c>
      <c r="F1596" t="s">
        <v>502</v>
      </c>
      <c r="G1596" t="s">
        <v>490</v>
      </c>
      <c r="H1596" s="52" t="str">
        <f>VLOOKUP(Tabla3[[#This Row],[Site]],'Important Info!'!$A$1:$J$135,10,FALSE)</f>
        <v>https://tools.sig.systems/site/details/127</v>
      </c>
      <c r="I1596" t="s">
        <v>179</v>
      </c>
      <c r="J1596" t="s">
        <v>41</v>
      </c>
      <c r="K1596" s="79" t="str">
        <f>VLOOKUP(Tabla3[[#This Row],[Site]],'Important Info!'!$A$1:$H$135,8,FALSE)</f>
        <v>-</v>
      </c>
      <c r="L1596" s="52">
        <f>VLOOKUP(Tabla3[[#This Row],[Site]],'Important Info!'!$A$1:$F$135,2,FALSE)</f>
        <v>18</v>
      </c>
      <c r="M1596" s="52" t="str">
        <f>VLOOKUP(Tabla3[[#This Row],[Site]],'Important Info!'!$A$1:$F$135,3,FALSE)</f>
        <v>1, 3</v>
      </c>
      <c r="N1596" s="52" t="str">
        <f>VLOOKUP(Tabla3[[#This Row],[Site]],'Important Info!'!$A$1:$F$135,4,FALSE)</f>
        <v>-</v>
      </c>
      <c r="O1596" s="52" t="str">
        <f>VLOOKUP(Tabla3[[#This Row],[Site]],'Important Info!'!$A$1:$F$135,5,FALSE)</f>
        <v>6, 10, 13</v>
      </c>
      <c r="P1596" s="52" t="str">
        <f>VLOOKUP(Tabla3[[#This Row],[Site]],'Important Info!'!$A$1:$F$135,6,FALSE)</f>
        <v>1, 4, 5</v>
      </c>
      <c r="Q1596" s="91">
        <f>VLOOKUP(Tabla3[[#This Row],[Site]],'Important Info!'!$A$1:$J$135,9,FALSE)</f>
        <v>127</v>
      </c>
    </row>
    <row r="1597" spans="1:17" x14ac:dyDescent="0.25">
      <c r="A1597" t="str">
        <f>+Tabla3[[#This Row],[Site]]&amp;Tabla3[[#This Row],[Split]]</f>
        <v>(AS) Lexus Grapevine I &amp; II (NO TOURS)17</v>
      </c>
      <c r="B1597">
        <v>17</v>
      </c>
      <c r="C1597">
        <v>14</v>
      </c>
      <c r="D1597" t="s">
        <v>33</v>
      </c>
      <c r="E1597" t="s">
        <v>46</v>
      </c>
      <c r="F1597" t="s">
        <v>508</v>
      </c>
      <c r="G1597" t="s">
        <v>34</v>
      </c>
      <c r="H1597" s="52" t="str">
        <f>VLOOKUP(Tabla3[[#This Row],[Site]],'Important Info!'!$A$1:$J$135,10,FALSE)</f>
        <v>https://tools.sig.systems/site/details/136</v>
      </c>
      <c r="J1597" t="s">
        <v>41</v>
      </c>
      <c r="K1597" s="79" t="str">
        <f>VLOOKUP(Tabla3[[#This Row],[Site]],'Important Info!'!$A$1:$H$135,8,FALSE)</f>
        <v>-</v>
      </c>
      <c r="L1597" s="52" t="str">
        <f>VLOOKUP(Tabla3[[#This Row],[Site]],'Important Info!'!$A$1:$F$135,2,FALSE)</f>
        <v>4, 10, 14, 18, 33</v>
      </c>
      <c r="M1597" s="52" t="str">
        <f>VLOOKUP(Tabla3[[#This Row],[Site]],'Important Info!'!$A$1:$F$135,3,FALSE)</f>
        <v>-</v>
      </c>
      <c r="N1597" s="52" t="str">
        <f>VLOOKUP(Tabla3[[#This Row],[Site]],'Important Info!'!$A$1:$F$135,4,FALSE)</f>
        <v>81, 82, 83</v>
      </c>
      <c r="O1597" s="52" t="str">
        <f>VLOOKUP(Tabla3[[#This Row],[Site]],'Important Info!'!$A$1:$F$135,5,FALSE)</f>
        <v>4, 12, 15, 20, 30</v>
      </c>
      <c r="P1597" s="52">
        <f>VLOOKUP(Tabla3[[#This Row],[Site]],'Important Info!'!$A$1:$F$135,6,FALSE)</f>
        <v>10</v>
      </c>
      <c r="Q1597" s="91">
        <f>VLOOKUP(Tabla3[[#This Row],[Site]],'Important Info!'!$A$1:$J$135,9,FALSE)</f>
        <v>136</v>
      </c>
    </row>
    <row r="1598" spans="1:17" x14ac:dyDescent="0.25">
      <c r="A1598" t="str">
        <f>+Tabla3[[#This Row],[Site]]&amp;Tabla3[[#This Row],[Split]]</f>
        <v>(AS) Plaza Lexus/Mercedes/BMW (NO TOURS)17</v>
      </c>
      <c r="B1598">
        <v>17</v>
      </c>
      <c r="C1598">
        <v>14</v>
      </c>
      <c r="D1598" t="s">
        <v>33</v>
      </c>
      <c r="E1598" t="s">
        <v>46</v>
      </c>
      <c r="F1598" t="s">
        <v>92</v>
      </c>
      <c r="G1598" t="s">
        <v>34</v>
      </c>
      <c r="H1598" s="52" t="str">
        <f>VLOOKUP(Tabla3[[#This Row],[Site]],'Important Info!'!$A$1:$J$135,10,FALSE)</f>
        <v>https://tools.sig.systems/site/details/141</v>
      </c>
      <c r="I1598" t="s">
        <v>130</v>
      </c>
      <c r="J1598" t="s">
        <v>41</v>
      </c>
      <c r="K1598" s="79" t="str">
        <f>VLOOKUP(Tabla3[[#This Row],[Site]],'Important Info!'!$A$1:$H$135,8,FALSE)</f>
        <v>-</v>
      </c>
      <c r="L1598" s="52" t="str">
        <f>VLOOKUP(Tabla3[[#This Row],[Site]],'Important Info!'!$A$1:$F$135,2,FALSE)</f>
        <v>3, 4, 18</v>
      </c>
      <c r="M1598" s="52" t="str">
        <f>VLOOKUP(Tabla3[[#This Row],[Site]],'Important Info!'!$A$1:$F$135,3,FALSE)</f>
        <v>9, 10, 12, 13, 16, 17</v>
      </c>
      <c r="N1598" s="52" t="str">
        <f>VLOOKUP(Tabla3[[#This Row],[Site]],'Important Info!'!$A$1:$F$135,4,FALSE)</f>
        <v>-</v>
      </c>
      <c r="O1598" s="52">
        <f>VLOOKUP(Tabla3[[#This Row],[Site]],'Important Info!'!$A$1:$F$135,5,FALSE)</f>
        <v>2</v>
      </c>
      <c r="P1598" s="52" t="str">
        <f>VLOOKUP(Tabla3[[#This Row],[Site]],'Important Info!'!$A$1:$F$135,6,FALSE)</f>
        <v>2, 16</v>
      </c>
      <c r="Q1598" s="91">
        <f>VLOOKUP(Tabla3[[#This Row],[Site]],'Important Info!'!$A$1:$J$135,9,FALSE)</f>
        <v>141</v>
      </c>
    </row>
    <row r="1599" spans="1:17" x14ac:dyDescent="0.25">
      <c r="A1599" t="str">
        <f>+Tabla3[[#This Row],[Site]]&amp;Tabla3[[#This Row],[Split]]</f>
        <v>(DT) El Cajon (NO TOURS)17</v>
      </c>
      <c r="B1599">
        <v>17</v>
      </c>
      <c r="C1599">
        <v>14</v>
      </c>
      <c r="D1599" t="s">
        <v>51</v>
      </c>
      <c r="E1599" t="s">
        <v>159</v>
      </c>
      <c r="F1599" t="s">
        <v>160</v>
      </c>
      <c r="G1599" t="s">
        <v>52</v>
      </c>
      <c r="H1599" s="52" t="str">
        <f>VLOOKUP(Tabla3[[#This Row],[Site]],'Important Info!'!$A$1:$J$135,10,FALSE)</f>
        <v>https://tools.sig.systems/site/details/241</v>
      </c>
      <c r="I1599" s="43"/>
      <c r="J1599" t="s">
        <v>41</v>
      </c>
      <c r="K1599" s="79" t="str">
        <f>VLOOKUP(Tabla3[[#This Row],[Site]],'Important Info!'!$A$1:$H$135,8,FALSE)</f>
        <v>-</v>
      </c>
      <c r="L1599" s="52" t="str">
        <f>VLOOKUP(Tabla3[[#This Row],[Site]],'Important Info!'!$A$1:$F$135,2,FALSE)</f>
        <v>-</v>
      </c>
      <c r="M1599" s="52">
        <f>VLOOKUP(Tabla3[[#This Row],[Site]],'Important Info!'!$A$1:$F$135,3,FALSE)</f>
        <v>3</v>
      </c>
      <c r="N1599" s="52" t="str">
        <f>VLOOKUP(Tabla3[[#This Row],[Site]],'Important Info!'!$A$1:$F$135,4,FALSE)</f>
        <v>-</v>
      </c>
      <c r="O1599" s="52" t="str">
        <f>VLOOKUP(Tabla3[[#This Row],[Site]],'Important Info!'!$A$1:$F$135,5,FALSE)</f>
        <v>-</v>
      </c>
      <c r="P1599" s="52" t="str">
        <f>VLOOKUP(Tabla3[[#This Row],[Site]],'Important Info!'!$A$1:$F$135,6,FALSE)</f>
        <v>-</v>
      </c>
      <c r="Q1599" s="91">
        <f>VLOOKUP(Tabla3[[#This Row],[Site]],'Important Info!'!$A$1:$J$135,9,FALSE)</f>
        <v>241</v>
      </c>
    </row>
    <row r="1600" spans="1:17" x14ac:dyDescent="0.25">
      <c r="A1600" t="str">
        <f>+Tabla3[[#This Row],[Site]]&amp;Tabla3[[#This Row],[Split]]</f>
        <v>(KG) Truck Center Remote Storage Lot17</v>
      </c>
      <c r="B1600">
        <v>17</v>
      </c>
      <c r="C1600">
        <v>14</v>
      </c>
      <c r="D1600" t="s">
        <v>60</v>
      </c>
      <c r="E1600" t="s">
        <v>53</v>
      </c>
      <c r="F1600" t="s">
        <v>61</v>
      </c>
      <c r="G1600" t="s">
        <v>41</v>
      </c>
      <c r="H1600" s="52" t="str">
        <f>VLOOKUP(Tabla3[[#This Row],[Site]],'Important Info!'!$A$1:$J$135,10,FALSE)</f>
        <v>https://tools.sig.systems/site/details/144</v>
      </c>
      <c r="I1600" s="2"/>
      <c r="J1600" t="s">
        <v>41</v>
      </c>
      <c r="K1600" s="79" t="str">
        <f>VLOOKUP(Tabla3[[#This Row],[Site]],'Important Info!'!$A$1:$H$135,8,FALSE)</f>
        <v>-</v>
      </c>
      <c r="L1600" s="52" t="str">
        <f>VLOOKUP(Tabla3[[#This Row],[Site]],'Important Info!'!$A$1:$F$135,2,FALSE)</f>
        <v>4, A23, A49</v>
      </c>
      <c r="M1600" s="52" t="str">
        <f>VLOOKUP(Tabla3[[#This Row],[Site]],'Important Info!'!$A$1:$F$135,3,FALSE)</f>
        <v>5, 24</v>
      </c>
      <c r="N1600" s="52" t="str">
        <f>VLOOKUP(Tabla3[[#This Row],[Site]],'Important Info!'!$A$1:$F$135,4,FALSE)</f>
        <v>-</v>
      </c>
      <c r="O1600" s="52" t="str">
        <f>VLOOKUP(Tabla3[[#This Row],[Site]],'Important Info!'!$A$1:$F$135,5,FALSE)</f>
        <v>1, 7, 11, 15, 19, 24, 25</v>
      </c>
      <c r="P1600" s="52" t="str">
        <f>VLOOKUP(Tabla3[[#This Row],[Site]],'Important Info!'!$A$1:$F$135,6,FALSE)</f>
        <v>9, 20, 24, A49</v>
      </c>
      <c r="Q1600" s="91">
        <f>VLOOKUP(Tabla3[[#This Row],[Site]],'Important Info!'!$A$1:$J$135,9,FALSE)</f>
        <v>144</v>
      </c>
    </row>
    <row r="1601" spans="1:17" x14ac:dyDescent="0.25">
      <c r="A1601" t="str">
        <f>+Tabla3[[#This Row],[Site]]&amp;Tabla3[[#This Row],[Split]]</f>
        <v>(ML) McLarty-Gray Daniels Chevrolet17</v>
      </c>
      <c r="B1601">
        <v>17</v>
      </c>
      <c r="C1601">
        <v>14</v>
      </c>
      <c r="D1601" t="s">
        <v>33</v>
      </c>
      <c r="E1601" t="s">
        <v>46</v>
      </c>
      <c r="F1601" t="s">
        <v>151</v>
      </c>
      <c r="G1601" t="s">
        <v>34</v>
      </c>
      <c r="H1601" s="52" t="str">
        <f>VLOOKUP(Tabla3[[#This Row],[Site]],'Important Info!'!$A$1:$J$135,10,FALSE)</f>
        <v>https://tools.sig.systems/site/details/150</v>
      </c>
      <c r="I1601" s="43"/>
      <c r="J1601" t="s">
        <v>41</v>
      </c>
      <c r="K1601" s="79" t="str">
        <f>VLOOKUP(Tabla3[[#This Row],[Site]],'Important Info!'!$A$1:$H$135,8,FALSE)</f>
        <v>-</v>
      </c>
      <c r="L1601" s="52" t="str">
        <f>VLOOKUP(Tabla3[[#This Row],[Site]],'Important Info!'!$A$1:$F$135,2,FALSE)</f>
        <v>3, 4, 5, 22, 24, 26, 28, 36</v>
      </c>
      <c r="M1601" s="52" t="str">
        <f>VLOOKUP(Tabla3[[#This Row],[Site]],'Important Info!'!$A$1:$F$135,3,FALSE)</f>
        <v>-</v>
      </c>
      <c r="N1601" s="52" t="str">
        <f>VLOOKUP(Tabla3[[#This Row],[Site]],'Important Info!'!$A$1:$F$135,4,FALSE)</f>
        <v>-</v>
      </c>
      <c r="O1601" s="52" t="str">
        <f>VLOOKUP(Tabla3[[#This Row],[Site]],'Important Info!'!$A$1:$F$135,5,FALSE)</f>
        <v>4, 7, 12, 26</v>
      </c>
      <c r="P1601" s="52" t="str">
        <f>VLOOKUP(Tabla3[[#This Row],[Site]],'Important Info!'!$A$1:$F$135,6,FALSE)</f>
        <v>1, 3, 5, 6, 23, 24</v>
      </c>
      <c r="Q1601" s="91">
        <f>VLOOKUP(Tabla3[[#This Row],[Site]],'Important Info!'!$A$1:$J$135,9,FALSE)</f>
        <v>150</v>
      </c>
    </row>
    <row r="1602" spans="1:17" x14ac:dyDescent="0.25">
      <c r="A1602" t="str">
        <f>+Tabla3[[#This Row],[Site]]&amp;Tabla3[[#This Row],[Split]]</f>
        <v>(AS) Coggin Honda Ft. Pierce (NO TOURS)17</v>
      </c>
      <c r="B1602">
        <v>17</v>
      </c>
      <c r="C1602">
        <v>15</v>
      </c>
      <c r="D1602" t="s">
        <v>62</v>
      </c>
      <c r="E1602" t="s">
        <v>35</v>
      </c>
      <c r="F1602" t="s">
        <v>501</v>
      </c>
      <c r="G1602" t="s">
        <v>490</v>
      </c>
      <c r="H1602" s="52" t="str">
        <f>VLOOKUP(Tabla3[[#This Row],[Site]],'Important Info!'!$A$1:$J$135,10,FALSE)</f>
        <v>https://tools.sig.systems/site/details/120</v>
      </c>
      <c r="I1602" t="s">
        <v>179</v>
      </c>
      <c r="J1602" t="s">
        <v>484</v>
      </c>
      <c r="K1602" s="79" t="str">
        <f>VLOOKUP(Tabla3[[#This Row],[Site]],'Important Info!'!$A$1:$H$135,8,FALSE)</f>
        <v>-</v>
      </c>
      <c r="L1602" s="52" t="str">
        <f>VLOOKUP(Tabla3[[#This Row],[Site]],'Important Info!'!$A$1:$F$135,2,FALSE)</f>
        <v>1, 2, 3, 4, 14</v>
      </c>
      <c r="M1602" s="52" t="str">
        <f>VLOOKUP(Tabla3[[#This Row],[Site]],'Important Info!'!$A$1:$F$135,3,FALSE)</f>
        <v>-</v>
      </c>
      <c r="N1602" s="52" t="str">
        <f>VLOOKUP(Tabla3[[#This Row],[Site]],'Important Info!'!$A$1:$F$135,4,FALSE)</f>
        <v>-</v>
      </c>
      <c r="O1602" s="52" t="str">
        <f>VLOOKUP(Tabla3[[#This Row],[Site]],'Important Info!'!$A$1:$F$135,5,FALSE)</f>
        <v>7, 11, 15</v>
      </c>
      <c r="P1602" s="52">
        <f>VLOOKUP(Tabla3[[#This Row],[Site]],'Important Info!'!$A$1:$F$135,6,FALSE)</f>
        <v>3</v>
      </c>
      <c r="Q1602" s="91">
        <f>VLOOKUP(Tabla3[[#This Row],[Site]],'Important Info!'!$A$1:$J$135,9,FALSE)</f>
        <v>120</v>
      </c>
    </row>
    <row r="1603" spans="1:17" x14ac:dyDescent="0.25">
      <c r="A1603" t="str">
        <f>+Tabla3[[#This Row],[Site]]&amp;Tabla3[[#This Row],[Split]]</f>
        <v>(AS) Lexus Plano I &amp; II (NO TOURS)17</v>
      </c>
      <c r="B1603">
        <v>17</v>
      </c>
      <c r="C1603">
        <v>15</v>
      </c>
      <c r="D1603" t="s">
        <v>33</v>
      </c>
      <c r="E1603" t="s">
        <v>46</v>
      </c>
      <c r="F1603" t="s">
        <v>524</v>
      </c>
      <c r="G1603" t="s">
        <v>34</v>
      </c>
      <c r="H1603" s="52" t="str">
        <f>VLOOKUP(Tabla3[[#This Row],[Site]],'Important Info!'!$A$1:$J$135,10,FALSE)</f>
        <v>https://tools.sig.systems/site/details/167</v>
      </c>
      <c r="I1603" s="63" t="s">
        <v>127</v>
      </c>
      <c r="J1603" t="s">
        <v>41</v>
      </c>
      <c r="K1603" s="79" t="str">
        <f>VLOOKUP(Tabla3[[#This Row],[Site]],'Important Info!'!$A$1:$H$135,8,FALSE)</f>
        <v>-</v>
      </c>
      <c r="L1603" s="52" t="str">
        <f>VLOOKUP(Tabla3[[#This Row],[Site]],'Important Info!'!$A$1:$F$135,2,FALSE)</f>
        <v>5, 9</v>
      </c>
      <c r="M1603" s="52" t="str">
        <f>VLOOKUP(Tabla3[[#This Row],[Site]],'Important Info!'!$A$1:$F$135,3,FALSE)</f>
        <v>-</v>
      </c>
      <c r="N1603" s="52" t="str">
        <f>VLOOKUP(Tabla3[[#This Row],[Site]],'Important Info!'!$A$1:$F$135,4,FALSE)</f>
        <v>101, 102, 103, 104</v>
      </c>
      <c r="O1603" s="52" t="str">
        <f>VLOOKUP(Tabla3[[#This Row],[Site]],'Important Info!'!$A$1:$F$135,5,FALSE)</f>
        <v>4, 10, 28</v>
      </c>
      <c r="P1603" s="52" t="str">
        <f>VLOOKUP(Tabla3[[#This Row],[Site]],'Important Info!'!$A$1:$F$135,6,FALSE)</f>
        <v>5, 9, 16</v>
      </c>
      <c r="Q1603" s="91">
        <f>VLOOKUP(Tabla3[[#This Row],[Site]],'Important Info!'!$A$1:$J$135,9,FALSE)</f>
        <v>167</v>
      </c>
    </row>
    <row r="1604" spans="1:17" x14ac:dyDescent="0.25">
      <c r="A1604" t="str">
        <f>+Tabla3[[#This Row],[Site]]&amp;Tabla3[[#This Row],[Split]]</f>
        <v>(AS) Plaza Audi/Infiniti (NO TOURS)17</v>
      </c>
      <c r="B1604">
        <v>17</v>
      </c>
      <c r="C1604">
        <v>15</v>
      </c>
      <c r="D1604" t="s">
        <v>33</v>
      </c>
      <c r="E1604" t="s">
        <v>46</v>
      </c>
      <c r="F1604" t="s">
        <v>91</v>
      </c>
      <c r="G1604" t="s">
        <v>34</v>
      </c>
      <c r="H1604" s="52" t="str">
        <f>VLOOKUP(Tabla3[[#This Row],[Site]],'Important Info!'!$A$1:$J$135,10,FALSE)</f>
        <v>https://tools.sig.systems/site/details/141</v>
      </c>
      <c r="I1604" t="s">
        <v>130</v>
      </c>
      <c r="J1604" t="s">
        <v>41</v>
      </c>
      <c r="K1604" s="79" t="str">
        <f>VLOOKUP(Tabla3[[#This Row],[Site]],'Important Info!'!$A$1:$H$135,8,FALSE)</f>
        <v>-</v>
      </c>
      <c r="L1604" s="52" t="str">
        <f>VLOOKUP(Tabla3[[#This Row],[Site]],'Important Info!'!$A$1:$F$135,2,FALSE)</f>
        <v>7, 25</v>
      </c>
      <c r="M1604" s="52" t="str">
        <f>VLOOKUP(Tabla3[[#This Row],[Site]],'Important Info!'!$A$1:$F$135,3,FALSE)</f>
        <v>15, 17, 18</v>
      </c>
      <c r="N1604" s="52" t="str">
        <f>VLOOKUP(Tabla3[[#This Row],[Site]],'Important Info!'!$A$1:$F$135,4,FALSE)</f>
        <v>-</v>
      </c>
      <c r="O1604" s="52" t="str">
        <f>VLOOKUP(Tabla3[[#This Row],[Site]],'Important Info!'!$A$1:$F$135,5,FALSE)</f>
        <v>1, 24</v>
      </c>
      <c r="P1604" s="52" t="str">
        <f>VLOOKUP(Tabla3[[#This Row],[Site]],'Important Info!'!$A$1:$F$135,6,FALSE)</f>
        <v>3, 15, 17</v>
      </c>
      <c r="Q1604" s="91">
        <f>VLOOKUP(Tabla3[[#This Row],[Site]],'Important Info!'!$A$1:$J$135,9,FALSE)</f>
        <v>141</v>
      </c>
    </row>
    <row r="1605" spans="1:17" x14ac:dyDescent="0.25">
      <c r="A1605" t="str">
        <f>+Tabla3[[#This Row],[Site]]&amp;Tabla3[[#This Row],[Split]]</f>
        <v>(AS) Stevinson JLR (NO TOURS)17</v>
      </c>
      <c r="B1605">
        <v>17</v>
      </c>
      <c r="C1605">
        <v>15</v>
      </c>
      <c r="D1605" t="s">
        <v>44</v>
      </c>
      <c r="E1605" t="s">
        <v>53</v>
      </c>
      <c r="F1605" t="s">
        <v>93</v>
      </c>
      <c r="G1605" t="s">
        <v>45</v>
      </c>
      <c r="H1605" s="52" t="str">
        <f>VLOOKUP(Tabla3[[#This Row],[Site]],'Important Info!'!$A$1:$J$135,10,FALSE)</f>
        <v>https://tools.sig.systems/site/details/204</v>
      </c>
      <c r="I1605" s="2"/>
      <c r="J1605" t="s">
        <v>41</v>
      </c>
      <c r="K1605" s="79" t="str">
        <f>VLOOKUP(Tabla3[[#This Row],[Site]],'Important Info!'!$A$1:$H$135,8,FALSE)</f>
        <v>-</v>
      </c>
      <c r="L1605" s="52">
        <f>VLOOKUP(Tabla3[[#This Row],[Site]],'Important Info!'!$A$1:$F$135,2,FALSE)</f>
        <v>5</v>
      </c>
      <c r="M1605" s="52">
        <f>VLOOKUP(Tabla3[[#This Row],[Site]],'Important Info!'!$A$1:$F$135,3,FALSE)</f>
        <v>4</v>
      </c>
      <c r="N1605" s="52" t="str">
        <f>VLOOKUP(Tabla3[[#This Row],[Site]],'Important Info!'!$A$1:$F$135,4,FALSE)</f>
        <v>-</v>
      </c>
      <c r="O1605" s="52">
        <f>VLOOKUP(Tabla3[[#This Row],[Site]],'Important Info!'!$A$1:$F$135,5,FALSE)</f>
        <v>3</v>
      </c>
      <c r="P1605" s="52" t="str">
        <f>VLOOKUP(Tabla3[[#This Row],[Site]],'Important Info!'!$A$1:$F$135,6,FALSE)</f>
        <v>1, 4, 15, 16</v>
      </c>
      <c r="Q1605" s="91">
        <f>VLOOKUP(Tabla3[[#This Row],[Site]],'Important Info!'!$A$1:$J$135,9,FALSE)</f>
        <v>204</v>
      </c>
    </row>
    <row r="1606" spans="1:17" x14ac:dyDescent="0.25">
      <c r="A1606" t="str">
        <f>+Tabla3[[#This Row],[Site]]&amp;Tabla3[[#This Row],[Split]]</f>
        <v>(DT) Escondido17</v>
      </c>
      <c r="B1606">
        <v>17</v>
      </c>
      <c r="C1606">
        <v>15</v>
      </c>
      <c r="D1606" t="s">
        <v>51</v>
      </c>
      <c r="E1606" t="s">
        <v>159</v>
      </c>
      <c r="F1606" t="s">
        <v>112</v>
      </c>
      <c r="G1606" t="s">
        <v>164</v>
      </c>
      <c r="H1606" s="52" t="str">
        <f>VLOOKUP(Tabla3[[#This Row],[Site]],'Important Info!'!$A$1:$J$135,10,FALSE)</f>
        <v>https://tools.sig.systems/site/details/196</v>
      </c>
      <c r="I1606" s="2"/>
      <c r="J1606" t="s">
        <v>41</v>
      </c>
      <c r="K1606" s="79" t="str">
        <f>VLOOKUP(Tabla3[[#This Row],[Site]],'Important Info!'!$A$1:$H$135,8,FALSE)</f>
        <v>Saturday Drop Time 9:00 A.M.</v>
      </c>
      <c r="L1606" s="52" t="str">
        <f>VLOOKUP(Tabla3[[#This Row],[Site]],'Important Info!'!$A$1:$F$135,2,FALSE)</f>
        <v>1, 2</v>
      </c>
      <c r="M1606" s="52" t="str">
        <f>VLOOKUP(Tabla3[[#This Row],[Site]],'Important Info!'!$A$1:$F$135,3,FALSE)</f>
        <v>-</v>
      </c>
      <c r="N1606" s="52" t="str">
        <f>VLOOKUP(Tabla3[[#This Row],[Site]],'Important Info!'!$A$1:$F$135,4,FALSE)</f>
        <v>-</v>
      </c>
      <c r="O1606" s="52" t="str">
        <f>VLOOKUP(Tabla3[[#This Row],[Site]],'Important Info!'!$A$1:$F$135,5,FALSE)</f>
        <v>-</v>
      </c>
      <c r="P1606" s="52" t="str">
        <f>VLOOKUP(Tabla3[[#This Row],[Site]],'Important Info!'!$A$1:$F$135,6,FALSE)</f>
        <v>5, 7, 8</v>
      </c>
      <c r="Q1606" s="91">
        <f>VLOOKUP(Tabla3[[#This Row],[Site]],'Important Info!'!$A$1:$J$135,9,FALSE)</f>
        <v>196</v>
      </c>
    </row>
    <row r="1607" spans="1:17" x14ac:dyDescent="0.25">
      <c r="A1607" t="str">
        <f>+Tabla3[[#This Row],[Site]]&amp;Tabla3[[#This Row],[Split]]</f>
        <v>(HUD) CDJR of Greensboro17</v>
      </c>
      <c r="B1607">
        <v>17</v>
      </c>
      <c r="C1607">
        <v>15</v>
      </c>
      <c r="D1607" t="s">
        <v>62</v>
      </c>
      <c r="E1607" t="s">
        <v>35</v>
      </c>
      <c r="F1607" t="s">
        <v>185</v>
      </c>
      <c r="G1607" t="s">
        <v>491</v>
      </c>
      <c r="H1607" s="52" t="str">
        <f>VLOOKUP(Tabla3[[#This Row],[Site]],'Important Info!'!$A$1:$J$135,10,FALSE)</f>
        <v>https://tools.sig.systems/site/details/215</v>
      </c>
      <c r="I1607" s="2" t="s">
        <v>184</v>
      </c>
      <c r="J1607" t="s">
        <v>36</v>
      </c>
      <c r="K1607" s="79" t="str">
        <f>VLOOKUP(Tabla3[[#This Row],[Site]],'Important Info!'!$A$1:$H$135,8,FALSE)</f>
        <v>-</v>
      </c>
      <c r="L1607" s="52" t="str">
        <f>VLOOKUP(Tabla3[[#This Row],[Site]],'Important Info!'!$A$1:$F$135,2,FALSE)</f>
        <v>2, 12</v>
      </c>
      <c r="M1607" s="52" t="str">
        <f>VLOOKUP(Tabla3[[#This Row],[Site]],'Important Info!'!$A$1:$F$135,3,FALSE)</f>
        <v>-</v>
      </c>
      <c r="N1607" s="52" t="str">
        <f>VLOOKUP(Tabla3[[#This Row],[Site]],'Important Info!'!$A$1:$F$135,4,FALSE)</f>
        <v>-</v>
      </c>
      <c r="O1607" s="52" t="str">
        <f>VLOOKUP(Tabla3[[#This Row],[Site]],'Important Info!'!$A$1:$F$135,5,FALSE)</f>
        <v>3, 13</v>
      </c>
      <c r="P1607" s="52" t="str">
        <f>VLOOKUP(Tabla3[[#This Row],[Site]],'Important Info!'!$A$1:$F$135,6,FALSE)</f>
        <v>1, 17</v>
      </c>
      <c r="Q1607" s="91">
        <f>VLOOKUP(Tabla3[[#This Row],[Site]],'Important Info!'!$A$1:$J$135,9,FALSE)</f>
        <v>215</v>
      </c>
    </row>
    <row r="1608" spans="1:17" x14ac:dyDescent="0.25">
      <c r="A1608" t="str">
        <f>+Tabla3[[#This Row],[Site]]&amp;Tabla3[[#This Row],[Split]]</f>
        <v>(PE) JLR Darien PDI (NO TOURS)17</v>
      </c>
      <c r="B1608">
        <v>17</v>
      </c>
      <c r="C1608">
        <v>15</v>
      </c>
      <c r="D1608" t="s">
        <v>485</v>
      </c>
      <c r="E1608" t="s">
        <v>35</v>
      </c>
      <c r="F1608" t="s">
        <v>98</v>
      </c>
      <c r="G1608" t="s">
        <v>490</v>
      </c>
      <c r="H1608" s="52" t="str">
        <f>VLOOKUP(Tabla3[[#This Row],[Site]],'Important Info!'!$A$1:$J$135,10,FALSE)</f>
        <v>https://tools.sig.systems/site/details/187</v>
      </c>
      <c r="I1608" t="s">
        <v>175</v>
      </c>
      <c r="J1608" t="s">
        <v>41</v>
      </c>
      <c r="K1608" s="79" t="str">
        <f>VLOOKUP(Tabla3[[#This Row],[Site]],'Important Info!'!$A$1:$H$135,8,FALSE)</f>
        <v>-</v>
      </c>
      <c r="L1608" s="52">
        <f>VLOOKUP(Tabla3[[#This Row],[Site]],'Important Info!'!$A$1:$F$135,2,FALSE)</f>
        <v>1</v>
      </c>
      <c r="M1608" s="52" t="str">
        <f>VLOOKUP(Tabla3[[#This Row],[Site]],'Important Info!'!$A$1:$F$135,3,FALSE)</f>
        <v>-</v>
      </c>
      <c r="N1608" s="52" t="str">
        <f>VLOOKUP(Tabla3[[#This Row],[Site]],'Important Info!'!$A$1:$F$135,4,FALSE)</f>
        <v>-</v>
      </c>
      <c r="O1608" s="52">
        <f>VLOOKUP(Tabla3[[#This Row],[Site]],'Important Info!'!$A$1:$F$135,5,FALSE)</f>
        <v>1</v>
      </c>
      <c r="P1608" s="52">
        <f>VLOOKUP(Tabla3[[#This Row],[Site]],'Important Info!'!$A$1:$F$135,6,FALSE)</f>
        <v>7</v>
      </c>
      <c r="Q1608" s="91">
        <f>VLOOKUP(Tabla3[[#This Row],[Site]],'Important Info!'!$A$1:$J$135,9,FALSE)</f>
        <v>187</v>
      </c>
    </row>
    <row r="1609" spans="1:17" x14ac:dyDescent="0.25">
      <c r="A1609" t="str">
        <f>+Tabla3[[#This Row],[Site]]&amp;Tabla3[[#This Row],[Split]]</f>
        <v>(AS) Coggin Acura Ft Pierce (NO TOURS)17</v>
      </c>
      <c r="B1609">
        <v>17</v>
      </c>
      <c r="C1609">
        <v>16</v>
      </c>
      <c r="D1609" t="s">
        <v>62</v>
      </c>
      <c r="E1609" t="s">
        <v>35</v>
      </c>
      <c r="F1609" t="s">
        <v>500</v>
      </c>
      <c r="G1609" t="s">
        <v>490</v>
      </c>
      <c r="H1609" s="52" t="str">
        <f>VLOOKUP(Tabla3[[#This Row],[Site]],'Important Info!'!$A$1:$J$135,10,FALSE)</f>
        <v>https://tools.sig.systems/site/details/118</v>
      </c>
      <c r="I1609" s="43" t="s">
        <v>179</v>
      </c>
      <c r="J1609" t="s">
        <v>41</v>
      </c>
      <c r="K1609" s="79" t="str">
        <f>VLOOKUP(Tabla3[[#This Row],[Site]],'Important Info!'!$A$1:$H$135,8,FALSE)</f>
        <v>-</v>
      </c>
      <c r="L1609" s="52" t="str">
        <f>VLOOKUP(Tabla3[[#This Row],[Site]],'Important Info!'!$A$1:$F$135,2,FALSE)</f>
        <v>-</v>
      </c>
      <c r="M1609" s="52">
        <f>VLOOKUP(Tabla3[[#This Row],[Site]],'Important Info!'!$A$1:$F$135,3,FALSE)</f>
        <v>6</v>
      </c>
      <c r="N1609" s="52" t="str">
        <f>VLOOKUP(Tabla3[[#This Row],[Site]],'Important Info!'!$A$1:$F$135,4,FALSE)</f>
        <v>-</v>
      </c>
      <c r="O1609" s="52" t="str">
        <f>VLOOKUP(Tabla3[[#This Row],[Site]],'Important Info!'!$A$1:$F$135,5,FALSE)</f>
        <v>4, 6</v>
      </c>
      <c r="P1609" s="52">
        <f>VLOOKUP(Tabla3[[#This Row],[Site]],'Important Info!'!$A$1:$F$135,6,FALSE)</f>
        <v>1</v>
      </c>
      <c r="Q1609" s="91">
        <f>VLOOKUP(Tabla3[[#This Row],[Site]],'Important Info!'!$A$1:$J$135,9,FALSE)</f>
        <v>118</v>
      </c>
    </row>
    <row r="1610" spans="1:17" x14ac:dyDescent="0.25">
      <c r="A1610" t="str">
        <f>+Tabla3[[#This Row],[Site]]&amp;Tabla3[[#This Row],[Split]]</f>
        <v>(AS) Park Place Acura (NO TOURS)17</v>
      </c>
      <c r="B1610">
        <v>17</v>
      </c>
      <c r="C1610">
        <v>16</v>
      </c>
      <c r="D1610" t="s">
        <v>33</v>
      </c>
      <c r="E1610" t="s">
        <v>46</v>
      </c>
      <c r="F1610" t="s">
        <v>513</v>
      </c>
      <c r="G1610" t="s">
        <v>34</v>
      </c>
      <c r="H1610" s="52" t="str">
        <f>VLOOKUP(Tabla3[[#This Row],[Site]],'Important Info!'!$A$1:$J$135,10,FALSE)</f>
        <v>https://tools.sig.systems/site/details/259</v>
      </c>
      <c r="I1610" s="63" t="s">
        <v>127</v>
      </c>
      <c r="J1610" t="s">
        <v>41</v>
      </c>
      <c r="K1610" s="79" t="str">
        <f>VLOOKUP(Tabla3[[#This Row],[Site]],'Important Info!'!$A$1:$H$135,8,FALSE)</f>
        <v>-</v>
      </c>
      <c r="L1610" s="52" t="str">
        <f>VLOOKUP(Tabla3[[#This Row],[Site]],'Important Info!'!$A$1:$F$135,2,FALSE)</f>
        <v>1, 2, 14, 16</v>
      </c>
      <c r="M1610" s="52" t="str">
        <f>VLOOKUP(Tabla3[[#This Row],[Site]],'Important Info!'!$A$1:$F$135,3,FALSE)</f>
        <v>-</v>
      </c>
      <c r="N1610" s="52" t="str">
        <f>VLOOKUP(Tabla3[[#This Row],[Site]],'Important Info!'!$A$1:$F$135,4,FALSE)</f>
        <v>-</v>
      </c>
      <c r="O1610" s="52" t="str">
        <f>VLOOKUP(Tabla3[[#This Row],[Site]],'Important Info!'!$A$1:$F$135,5,FALSE)</f>
        <v>1, 7, 13</v>
      </c>
      <c r="P1610" s="52" t="str">
        <f>VLOOKUP(Tabla3[[#This Row],[Site]],'Important Info!'!$A$1:$F$135,6,FALSE)</f>
        <v>-</v>
      </c>
      <c r="Q1610" s="91">
        <f>VLOOKUP(Tabla3[[#This Row],[Site]],'Important Info!'!$A$1:$J$135,9,FALSE)</f>
        <v>259</v>
      </c>
    </row>
    <row r="1611" spans="1:17" x14ac:dyDescent="0.25">
      <c r="A1611" t="str">
        <f>+Tabla3[[#This Row],[Site]]&amp;Tabla3[[#This Row],[Split]]</f>
        <v>(AS) Plano Auction (NO SPEAKERS)17</v>
      </c>
      <c r="B1611">
        <v>17</v>
      </c>
      <c r="C1611">
        <v>16</v>
      </c>
      <c r="D1611" t="s">
        <v>33</v>
      </c>
      <c r="E1611" t="s">
        <v>46</v>
      </c>
      <c r="F1611" t="s">
        <v>129</v>
      </c>
      <c r="G1611" t="s">
        <v>34</v>
      </c>
      <c r="H1611" s="52" t="str">
        <f>VLOOKUP(Tabla3[[#This Row],[Site]],'Important Info!'!$A$1:$J$135,10,FALSE)</f>
        <v>https://tools.sig.systems/site/details/140</v>
      </c>
      <c r="J1611" t="s">
        <v>41</v>
      </c>
      <c r="K1611" s="79" t="str">
        <f>VLOOKUP(Tabla3[[#This Row],[Site]],'Important Info!'!$A$1:$H$135,8,FALSE)</f>
        <v>-</v>
      </c>
      <c r="L1611" s="52" t="str">
        <f>VLOOKUP(Tabla3[[#This Row],[Site]],'Important Info!'!$A$1:$F$135,2,FALSE)</f>
        <v>-</v>
      </c>
      <c r="M1611" s="52" t="str">
        <f>VLOOKUP(Tabla3[[#This Row],[Site]],'Important Info!'!$A$1:$F$135,3,FALSE)</f>
        <v>3, 4, 19</v>
      </c>
      <c r="N1611" s="52" t="str">
        <f>VLOOKUP(Tabla3[[#This Row],[Site]],'Important Info!'!$A$1:$F$135,4,FALSE)</f>
        <v>-</v>
      </c>
      <c r="O1611" s="52" t="str">
        <f>VLOOKUP(Tabla3[[#This Row],[Site]],'Important Info!'!$A$1:$F$135,5,FALSE)</f>
        <v>5, 19</v>
      </c>
      <c r="P1611" s="52">
        <f>VLOOKUP(Tabla3[[#This Row],[Site]],'Important Info!'!$A$1:$F$135,6,FALSE)</f>
        <v>21</v>
      </c>
      <c r="Q1611" s="91">
        <f>VLOOKUP(Tabla3[[#This Row],[Site]],'Important Info!'!$A$1:$J$135,9,FALSE)</f>
        <v>140</v>
      </c>
    </row>
    <row r="1612" spans="1:17" x14ac:dyDescent="0.25">
      <c r="A1612" t="str">
        <f>+Tabla3[[#This Row],[Site]]&amp;Tabla3[[#This Row],[Split]]</f>
        <v>(DT) W Houston17</v>
      </c>
      <c r="B1612">
        <v>17</v>
      </c>
      <c r="C1612">
        <v>16</v>
      </c>
      <c r="D1612" t="s">
        <v>33</v>
      </c>
      <c r="E1612" t="s">
        <v>46</v>
      </c>
      <c r="F1612" t="s">
        <v>69</v>
      </c>
      <c r="G1612" t="s">
        <v>34</v>
      </c>
      <c r="H1612" s="52" t="str">
        <f>VLOOKUP(Tabla3[[#This Row],[Site]],'Important Info!'!$A$1:$J$135,10,FALSE)</f>
        <v>https://tools.sig.systems/site/details/197</v>
      </c>
      <c r="I1612" s="2"/>
      <c r="J1612" t="s">
        <v>41</v>
      </c>
      <c r="K1612" s="79" t="str">
        <f>VLOOKUP(Tabla3[[#This Row],[Site]],'Important Info!'!$A$1:$H$135,8,FALSE)</f>
        <v>-</v>
      </c>
      <c r="L1612" s="52">
        <f>VLOOKUP(Tabla3[[#This Row],[Site]],'Important Info!'!$A$1:$F$135,2,FALSE)</f>
        <v>7</v>
      </c>
      <c r="M1612" s="52">
        <f>VLOOKUP(Tabla3[[#This Row],[Site]],'Important Info!'!$A$1:$F$135,3,FALSE)</f>
        <v>2</v>
      </c>
      <c r="N1612" s="52" t="str">
        <f>VLOOKUP(Tabla3[[#This Row],[Site]],'Important Info!'!$A$1:$F$135,4,FALSE)</f>
        <v>-</v>
      </c>
      <c r="O1612" s="52">
        <f>VLOOKUP(Tabla3[[#This Row],[Site]],'Important Info!'!$A$1:$F$135,5,FALSE)</f>
        <v>14</v>
      </c>
      <c r="P1612" s="52" t="str">
        <f>VLOOKUP(Tabla3[[#This Row],[Site]],'Important Info!'!$A$1:$F$135,6,FALSE)</f>
        <v>2, 3, 7, 10</v>
      </c>
      <c r="Q1612" s="91">
        <f>VLOOKUP(Tabla3[[#This Row],[Site]],'Important Info!'!$A$1:$J$135,9,FALSE)</f>
        <v>197</v>
      </c>
    </row>
    <row r="1613" spans="1:17" x14ac:dyDescent="0.25">
      <c r="A1613" t="str">
        <f>+Tabla3[[#This Row],[Site]]&amp;Tabla3[[#This Row],[Split]]</f>
        <v>(DT) Wichita17</v>
      </c>
      <c r="B1613">
        <v>17</v>
      </c>
      <c r="C1613">
        <v>16</v>
      </c>
      <c r="D1613" t="s">
        <v>33</v>
      </c>
      <c r="E1613" t="s">
        <v>46</v>
      </c>
      <c r="F1613" t="s">
        <v>131</v>
      </c>
      <c r="G1613" t="s">
        <v>34</v>
      </c>
      <c r="H1613" s="52" t="str">
        <f>VLOOKUP(Tabla3[[#This Row],[Site]],'Important Info!'!$A$1:$J$135,10,FALSE)</f>
        <v>https://tools.sig.systems/site/details/257</v>
      </c>
      <c r="J1613" t="s">
        <v>41</v>
      </c>
      <c r="K1613" s="79" t="str">
        <f>VLOOKUP(Tabla3[[#This Row],[Site]],'Important Info!'!$A$1:$H$135,8,FALSE)</f>
        <v>-</v>
      </c>
      <c r="L1613" s="52" t="str">
        <f>VLOOKUP(Tabla3[[#This Row],[Site]],'Important Info!'!$A$1:$F$135,2,FALSE)</f>
        <v>-</v>
      </c>
      <c r="M1613" s="52" t="str">
        <f>VLOOKUP(Tabla3[[#This Row],[Site]],'Important Info!'!$A$1:$F$135,3,FALSE)</f>
        <v>10, 11</v>
      </c>
      <c r="N1613" s="52" t="str">
        <f>VLOOKUP(Tabla3[[#This Row],[Site]],'Important Info!'!$A$1:$F$135,4,FALSE)</f>
        <v>-</v>
      </c>
      <c r="O1613" s="52" t="str">
        <f>VLOOKUP(Tabla3[[#This Row],[Site]],'Important Info!'!$A$1:$F$135,5,FALSE)</f>
        <v>-</v>
      </c>
      <c r="P1613" s="52" t="str">
        <f>VLOOKUP(Tabla3[[#This Row],[Site]],'Important Info!'!$A$1:$F$135,6,FALSE)</f>
        <v>1, 5, 6, 10</v>
      </c>
      <c r="Q1613" s="91">
        <f>VLOOKUP(Tabla3[[#This Row],[Site]],'Important Info!'!$A$1:$J$135,9,FALSE)</f>
        <v>257</v>
      </c>
    </row>
    <row r="1614" spans="1:17" x14ac:dyDescent="0.25">
      <c r="A1614" t="str">
        <f>+Tabla3[[#This Row],[Site]]&amp;Tabla3[[#This Row],[Split]]</f>
        <v>(HUD) Honda Greensboro17</v>
      </c>
      <c r="B1614">
        <v>17</v>
      </c>
      <c r="C1614">
        <v>16</v>
      </c>
      <c r="D1614" t="s">
        <v>62</v>
      </c>
      <c r="E1614" t="s">
        <v>35</v>
      </c>
      <c r="F1614" t="s">
        <v>85</v>
      </c>
      <c r="G1614" t="s">
        <v>490</v>
      </c>
      <c r="H1614" s="52" t="str">
        <f>VLOOKUP(Tabla3[[#This Row],[Site]],'Important Info!'!$A$1:$J$135,10,FALSE)</f>
        <v>https://tools.sig.systems/site/details/230</v>
      </c>
      <c r="I1614" t="s">
        <v>186</v>
      </c>
      <c r="J1614" t="s">
        <v>41</v>
      </c>
      <c r="K1614" s="79" t="str">
        <f>VLOOKUP(Tabla3[[#This Row],[Site]],'Important Info!'!$A$1:$H$135,8,FALSE)</f>
        <v>-</v>
      </c>
      <c r="L1614" s="52" t="str">
        <f>VLOOKUP(Tabla3[[#This Row],[Site]],'Important Info!'!$A$1:$F$135,2,FALSE)</f>
        <v>1, 3,  15, 16, 22</v>
      </c>
      <c r="M1614" s="52" t="str">
        <f>VLOOKUP(Tabla3[[#This Row],[Site]],'Important Info!'!$A$1:$F$135,3,FALSE)</f>
        <v>-</v>
      </c>
      <c r="N1614" s="52" t="str">
        <f>VLOOKUP(Tabla3[[#This Row],[Site]],'Important Info!'!$A$1:$F$135,4,FALSE)</f>
        <v>-</v>
      </c>
      <c r="O1614" s="52" t="str">
        <f>VLOOKUP(Tabla3[[#This Row],[Site]],'Important Info!'!$A$1:$F$135,5,FALSE)</f>
        <v>3, 20</v>
      </c>
      <c r="P1614" s="52">
        <f>VLOOKUP(Tabla3[[#This Row],[Site]],'Important Info!'!$A$1:$F$135,6,FALSE)</f>
        <v>26</v>
      </c>
      <c r="Q1614" s="91">
        <f>VLOOKUP(Tabla3[[#This Row],[Site]],'Important Info!'!$A$1:$J$135,9,FALSE)</f>
        <v>230</v>
      </c>
    </row>
    <row r="1615" spans="1:17" x14ac:dyDescent="0.25">
      <c r="A1615" t="str">
        <f>+Tabla3[[#This Row],[Site]]&amp;Tabla3[[#This Row],[Split]]</f>
        <v>(ML) McLarty Gray-Daniels Toyota Nissan17</v>
      </c>
      <c r="B1615">
        <v>17</v>
      </c>
      <c r="C1615">
        <v>16</v>
      </c>
      <c r="D1615" t="s">
        <v>33</v>
      </c>
      <c r="E1615" t="s">
        <v>46</v>
      </c>
      <c r="F1615" t="s">
        <v>90</v>
      </c>
      <c r="G1615" t="s">
        <v>34</v>
      </c>
      <c r="H1615" s="52" t="str">
        <f>VLOOKUP(Tabla3[[#This Row],[Site]],'Important Info!'!$A$1:$J$135,10,FALSE)</f>
        <v>https://tools.sig.systems/site/details/152</v>
      </c>
      <c r="I1615" s="43" t="s">
        <v>150</v>
      </c>
      <c r="J1615" t="s">
        <v>41</v>
      </c>
      <c r="K1615" s="79" t="str">
        <f>VLOOKUP(Tabla3[[#This Row],[Site]],'Important Info!'!$A$1:$H$135,8,FALSE)</f>
        <v>-</v>
      </c>
      <c r="L1615" s="52" t="str">
        <f>VLOOKUP(Tabla3[[#This Row],[Site]],'Important Info!'!$A$1:$F$135,2,FALSE)</f>
        <v>-</v>
      </c>
      <c r="M1615" s="52" t="str">
        <f>VLOOKUP(Tabla3[[#This Row],[Site]],'Important Info!'!$A$1:$F$135,3,FALSE)</f>
        <v>8, 11, 39, 43</v>
      </c>
      <c r="N1615" s="52" t="str">
        <f>VLOOKUP(Tabla3[[#This Row],[Site]],'Important Info!'!$A$1:$F$135,4,FALSE)</f>
        <v>-</v>
      </c>
      <c r="O1615" s="52" t="str">
        <f>VLOOKUP(Tabla3[[#This Row],[Site]],'Important Info!'!$A$1:$F$135,5,FALSE)</f>
        <v>6, 11, 15, 18</v>
      </c>
      <c r="P1615" s="52" t="str">
        <f>VLOOKUP(Tabla3[[#This Row],[Site]],'Important Info!'!$A$1:$F$135,6,FALSE)</f>
        <v>7, 8, 9</v>
      </c>
      <c r="Q1615" s="91">
        <f>VLOOKUP(Tabla3[[#This Row],[Site]],'Important Info!'!$A$1:$J$135,9,FALSE)</f>
        <v>152</v>
      </c>
    </row>
    <row r="1616" spans="1:17" x14ac:dyDescent="0.25">
      <c r="A1616" t="str">
        <f>+Tabla3[[#This Row],[Site]]&amp;Tabla3[[#This Row],[Split]]</f>
        <v>(RV) Sonny's Camp N Travel Concord17</v>
      </c>
      <c r="B1616">
        <v>17</v>
      </c>
      <c r="C1616">
        <v>16</v>
      </c>
      <c r="D1616" t="s">
        <v>62</v>
      </c>
      <c r="E1616" t="s">
        <v>35</v>
      </c>
      <c r="F1616" t="s">
        <v>188</v>
      </c>
      <c r="G1616" t="s">
        <v>490</v>
      </c>
      <c r="H1616" s="52" t="str">
        <f>VLOOKUP(Tabla3[[#This Row],[Site]],'Important Info!'!$A$1:$J$135,10,FALSE)</f>
        <v>https://tools.sig.systems/site/details/183</v>
      </c>
      <c r="J1616" t="s">
        <v>41</v>
      </c>
      <c r="K1616" s="79" t="str">
        <f>VLOOKUP(Tabla3[[#This Row],[Site]],'Important Info!'!$A$1:$H$135,8,FALSE)</f>
        <v>-</v>
      </c>
      <c r="L1616" s="52">
        <f>VLOOKUP(Tabla3[[#This Row],[Site]],'Important Info!'!$A$1:$F$135,2,FALSE)</f>
        <v>1</v>
      </c>
      <c r="M1616" s="52" t="str">
        <f>VLOOKUP(Tabla3[[#This Row],[Site]],'Important Info!'!$A$1:$F$135,3,FALSE)</f>
        <v>-</v>
      </c>
      <c r="N1616" s="52" t="str">
        <f>VLOOKUP(Tabla3[[#This Row],[Site]],'Important Info!'!$A$1:$F$135,4,FALSE)</f>
        <v>-</v>
      </c>
      <c r="O1616" s="52">
        <f>VLOOKUP(Tabla3[[#This Row],[Site]],'Important Info!'!$A$1:$F$135,5,FALSE)</f>
        <v>7</v>
      </c>
      <c r="P1616" s="52" t="str">
        <f>VLOOKUP(Tabla3[[#This Row],[Site]],'Important Info!'!$A$1:$F$135,6,FALSE)</f>
        <v>6, 7, 8, 9</v>
      </c>
      <c r="Q1616" s="91">
        <f>VLOOKUP(Tabla3[[#This Row],[Site]],'Important Info!'!$A$1:$J$135,9,FALSE)</f>
        <v>183</v>
      </c>
    </row>
    <row r="1617" spans="1:17" x14ac:dyDescent="0.25">
      <c r="A1617" t="str">
        <f>+Tabla3[[#This Row],[Site]]&amp;Tabla3[[#This Row],[Split]]</f>
        <v>SIG Office17</v>
      </c>
      <c r="B1617">
        <v>17</v>
      </c>
      <c r="C1617">
        <v>16</v>
      </c>
      <c r="D1617" t="s">
        <v>60</v>
      </c>
      <c r="E1617" t="s">
        <v>35</v>
      </c>
      <c r="F1617" t="s">
        <v>169</v>
      </c>
      <c r="G1617" t="s">
        <v>41</v>
      </c>
      <c r="H1617" s="52" t="str">
        <f>VLOOKUP(Tabla3[[#This Row],[Site]],'Important Info!'!$A$1:$J$135,10,FALSE)</f>
        <v>https://tools.sig.systems/site/details/163</v>
      </c>
      <c r="J1617" t="s">
        <v>41</v>
      </c>
      <c r="K1617" s="79" t="str">
        <f>VLOOKUP(Tabla3[[#This Row],[Site]],'Important Info!'!$A$1:$H$135,8,FALSE)</f>
        <v>-</v>
      </c>
      <c r="L1617" s="52" t="str">
        <f>VLOOKUP(Tabla3[[#This Row],[Site]],'Important Info!'!$A$1:$F$135,2,FALSE)</f>
        <v>-</v>
      </c>
      <c r="M1617" s="52" t="str">
        <f>VLOOKUP(Tabla3[[#This Row],[Site]],'Important Info!'!$A$1:$F$135,3,FALSE)</f>
        <v>-</v>
      </c>
      <c r="N1617" s="52" t="str">
        <f>VLOOKUP(Tabla3[[#This Row],[Site]],'Important Info!'!$A$1:$F$135,4,FALSE)</f>
        <v>-</v>
      </c>
      <c r="O1617" s="52" t="str">
        <f>VLOOKUP(Tabla3[[#This Row],[Site]],'Important Info!'!$A$1:$F$135,5,FALSE)</f>
        <v>-</v>
      </c>
      <c r="P1617" s="52">
        <f>VLOOKUP(Tabla3[[#This Row],[Site]],'Important Info!'!$A$1:$F$135,6,FALSE)</f>
        <v>25</v>
      </c>
      <c r="Q1617" s="91">
        <f>VLOOKUP(Tabla3[[#This Row],[Site]],'Important Info!'!$A$1:$J$135,9,FALSE)</f>
        <v>163</v>
      </c>
    </row>
    <row r="1618" spans="1:17" x14ac:dyDescent="0.25">
      <c r="A1618" t="str">
        <f>+Tabla3[[#This Row],[Site]]&amp;Tabla3[[#This Row],[Split]]</f>
        <v>(AS) Stevinson Porsche of Littleton (NO TOURS)17</v>
      </c>
      <c r="B1618">
        <v>17</v>
      </c>
      <c r="C1618">
        <v>17</v>
      </c>
      <c r="D1618" t="s">
        <v>44</v>
      </c>
      <c r="E1618" t="s">
        <v>53</v>
      </c>
      <c r="F1618" t="s">
        <v>78</v>
      </c>
      <c r="G1618" t="s">
        <v>45</v>
      </c>
      <c r="H1618" s="52" t="str">
        <f>VLOOKUP(Tabla3[[#This Row],[Site]],'Important Info!'!$A$1:$J$135,10,FALSE)</f>
        <v>https://tools.sig.systems/site/details/242</v>
      </c>
      <c r="J1618" t="s">
        <v>41</v>
      </c>
      <c r="K1618" s="79" t="str">
        <f>VLOOKUP(Tabla3[[#This Row],[Site]],'Important Info!'!$A$1:$H$135,8,FALSE)</f>
        <v>-</v>
      </c>
      <c r="L1618" s="52" t="str">
        <f>VLOOKUP(Tabla3[[#This Row],[Site]],'Important Info!'!$A$1:$F$135,2,FALSE)</f>
        <v>3, 4</v>
      </c>
      <c r="M1618" s="52">
        <f>VLOOKUP(Tabla3[[#This Row],[Site]],'Important Info!'!$A$1:$F$135,3,FALSE)</f>
        <v>2</v>
      </c>
      <c r="N1618" s="52" t="str">
        <f>VLOOKUP(Tabla3[[#This Row],[Site]],'Important Info!'!$A$1:$F$135,4,FALSE)</f>
        <v>-</v>
      </c>
      <c r="O1618" s="52" t="str">
        <f>VLOOKUP(Tabla3[[#This Row],[Site]],'Important Info!'!$A$1:$F$135,5,FALSE)</f>
        <v>-</v>
      </c>
      <c r="P1618" s="52" t="str">
        <f>VLOOKUP(Tabla3[[#This Row],[Site]],'Important Info!'!$A$1:$F$135,6,FALSE)</f>
        <v>3, 4</v>
      </c>
      <c r="Q1618" s="91">
        <f>VLOOKUP(Tabla3[[#This Row],[Site]],'Important Info!'!$A$1:$J$135,9,FALSE)</f>
        <v>242</v>
      </c>
    </row>
    <row r="1619" spans="1:17" x14ac:dyDescent="0.25">
      <c r="A1619" t="str">
        <f>+Tabla3[[#This Row],[Site]]&amp;Tabla3[[#This Row],[Split]]</f>
        <v>(HUD) Paint and Body Center (NO TOURS)17</v>
      </c>
      <c r="B1619">
        <v>17</v>
      </c>
      <c r="C1619">
        <v>17</v>
      </c>
      <c r="D1619" t="s">
        <v>62</v>
      </c>
      <c r="E1619" t="s">
        <v>35</v>
      </c>
      <c r="F1619" t="s">
        <v>110</v>
      </c>
      <c r="G1619" t="s">
        <v>490</v>
      </c>
      <c r="H1619" s="52" t="str">
        <f>VLOOKUP(Tabla3[[#This Row],[Site]],'Important Info!'!$A$1:$J$135,10,FALSE)</f>
        <v>https://tools.sig.systems/site/details/256</v>
      </c>
      <c r="I1619" t="s">
        <v>184</v>
      </c>
      <c r="J1619" t="s">
        <v>41</v>
      </c>
      <c r="K1619" s="79" t="str">
        <f>VLOOKUP(Tabla3[[#This Row],[Site]],'Important Info!'!$A$1:$H$135,8,FALSE)</f>
        <v>-</v>
      </c>
      <c r="L1619" s="52" t="str">
        <f>VLOOKUP(Tabla3[[#This Row],[Site]],'Important Info!'!$A$1:$F$135,2,FALSE)</f>
        <v>-</v>
      </c>
      <c r="M1619" s="52">
        <f>VLOOKUP(Tabla3[[#This Row],[Site]],'Important Info!'!$A$1:$F$135,3,FALSE)</f>
        <v>1</v>
      </c>
      <c r="N1619" s="52" t="str">
        <f>VLOOKUP(Tabla3[[#This Row],[Site]],'Important Info!'!$A$1:$F$135,4,FALSE)</f>
        <v>-</v>
      </c>
      <c r="O1619" s="52" t="str">
        <f>VLOOKUP(Tabla3[[#This Row],[Site]],'Important Info!'!$A$1:$F$135,5,FALSE)</f>
        <v>-</v>
      </c>
      <c r="P1619" s="52" t="str">
        <f>VLOOKUP(Tabla3[[#This Row],[Site]],'Important Info!'!$A$1:$F$135,6,FALSE)</f>
        <v>-</v>
      </c>
      <c r="Q1619" s="91">
        <f>VLOOKUP(Tabla3[[#This Row],[Site]],'Important Info!'!$A$1:$J$135,9,FALSE)</f>
        <v>256</v>
      </c>
    </row>
    <row r="1620" spans="1:17" x14ac:dyDescent="0.25">
      <c r="A1620" t="str">
        <f>+Tabla3[[#This Row],[Site]]&amp;Tabla3[[#This Row],[Split]]</f>
        <v>(KG) Baytown GMC Buick - Remote Lot (NO TOURS)17</v>
      </c>
      <c r="B1620">
        <v>17</v>
      </c>
      <c r="C1620">
        <v>17</v>
      </c>
      <c r="D1620" t="s">
        <v>60</v>
      </c>
      <c r="E1620" t="s">
        <v>46</v>
      </c>
      <c r="F1620" t="s">
        <v>167</v>
      </c>
      <c r="G1620" t="s">
        <v>41</v>
      </c>
      <c r="H1620" s="52" t="str">
        <f>VLOOKUP(Tabla3[[#This Row],[Site]],'Important Info!'!$A$1:$J$135,10,FALSE)</f>
        <v>https://tools.sig.systems/site/details/311</v>
      </c>
      <c r="I1620" s="2"/>
      <c r="J1620" t="s">
        <v>41</v>
      </c>
      <c r="K1620" s="79" t="s">
        <v>168</v>
      </c>
      <c r="L1620" s="52" t="str">
        <f>VLOOKUP(Tabla3[[#This Row],[Site]],'Important Info!'!$A$1:$F$135,2,FALSE)</f>
        <v>-</v>
      </c>
      <c r="M1620" s="52" t="str">
        <f>VLOOKUP(Tabla3[[#This Row],[Site]],'Important Info!'!$A$1:$F$135,3,FALSE)</f>
        <v>7, 8</v>
      </c>
      <c r="N1620" s="52" t="str">
        <f>VLOOKUP(Tabla3[[#This Row],[Site]],'Important Info!'!$A$1:$F$135,4,FALSE)</f>
        <v>-</v>
      </c>
      <c r="O1620" s="52" t="str">
        <f>VLOOKUP(Tabla3[[#This Row],[Site]],'Important Info!'!$A$1:$F$135,5,FALSE)</f>
        <v>-</v>
      </c>
      <c r="P1620" s="52" t="str">
        <f>VLOOKUP(Tabla3[[#This Row],[Site]],'Important Info!'!$A$1:$F$135,6,FALSE)</f>
        <v>-</v>
      </c>
      <c r="Q1620" s="91">
        <f>VLOOKUP(Tabla3[[#This Row],[Site]],'Important Info!'!$A$1:$J$135,9,FALSE)</f>
        <v>311</v>
      </c>
    </row>
    <row r="1621" spans="1:17" x14ac:dyDescent="0.25">
      <c r="A1621" t="str">
        <f>+Tabla3[[#This Row],[Site]]&amp;Tabla3[[#This Row],[Split]]</f>
        <v>(KG) Baytown GMC Buick (NO TOURS)17</v>
      </c>
      <c r="B1621">
        <v>17</v>
      </c>
      <c r="C1621">
        <v>17</v>
      </c>
      <c r="D1621" t="s">
        <v>33</v>
      </c>
      <c r="E1621" t="s">
        <v>46</v>
      </c>
      <c r="F1621" t="s">
        <v>132</v>
      </c>
      <c r="G1621" t="s">
        <v>34</v>
      </c>
      <c r="H1621" s="52" t="str">
        <f>VLOOKUP(Tabla3[[#This Row],[Site]],'Important Info!'!$A$1:$J$135,10,FALSE)</f>
        <v>https://tools.sig.systems/site/details/239</v>
      </c>
      <c r="I1621" s="2"/>
      <c r="J1621" t="s">
        <v>41</v>
      </c>
      <c r="K1621" s="79" t="str">
        <f>VLOOKUP(Tabla3[[#This Row],[Site]],'Important Info!'!$A$1:$H$135,8,FALSE)</f>
        <v>-</v>
      </c>
      <c r="L1621" s="52" t="str">
        <f>VLOOKUP(Tabla3[[#This Row],[Site]],'Important Info!'!$A$1:$F$135,2,FALSE)</f>
        <v>1, 5, 7, 21, 22</v>
      </c>
      <c r="M1621" s="52" t="str">
        <f>VLOOKUP(Tabla3[[#This Row],[Site]],'Important Info!'!$A$1:$F$135,3,FALSE)</f>
        <v>-</v>
      </c>
      <c r="N1621" s="52" t="str">
        <f>VLOOKUP(Tabla3[[#This Row],[Site]],'Important Info!'!$A$1:$F$135,4,FALSE)</f>
        <v>-</v>
      </c>
      <c r="O1621" s="52" t="str">
        <f>VLOOKUP(Tabla3[[#This Row],[Site]],'Important Info!'!$A$1:$F$135,5,FALSE)</f>
        <v>2, 10, 15, 24B</v>
      </c>
      <c r="P1621" s="52" t="str">
        <f>VLOOKUP(Tabla3[[#This Row],[Site]],'Important Info!'!$A$1:$F$135,6,FALSE)</f>
        <v>21, 22</v>
      </c>
      <c r="Q1621" s="91">
        <f>VLOOKUP(Tabla3[[#This Row],[Site]],'Important Info!'!$A$1:$J$135,9,FALSE)</f>
        <v>239</v>
      </c>
    </row>
    <row r="1622" spans="1:17" x14ac:dyDescent="0.25">
      <c r="A1622" t="str">
        <f>+Tabla3[[#This Row],[Site]]&amp;Tabla3[[#This Row],[Split]]</f>
        <v>(KG) JLR LEHI (NO TOURS)17</v>
      </c>
      <c r="B1622">
        <v>17</v>
      </c>
      <c r="C1622">
        <v>17</v>
      </c>
      <c r="D1622" t="s">
        <v>44</v>
      </c>
      <c r="E1622" t="s">
        <v>53</v>
      </c>
      <c r="F1622" t="s">
        <v>8</v>
      </c>
      <c r="G1622" t="s">
        <v>45</v>
      </c>
      <c r="H1622" s="52" t="str">
        <f>VLOOKUP(Tabla3[[#This Row],[Site]],'Important Info!'!$A$1:$J$135,10,FALSE)</f>
        <v>https://tools.sig.systems/site/details/145</v>
      </c>
      <c r="I1622" s="43"/>
      <c r="J1622" t="s">
        <v>41</v>
      </c>
      <c r="K1622" s="79" t="str">
        <f>VLOOKUP(Tabla3[[#This Row],[Site]],'Important Info!'!$A$1:$H$135,8,FALSE)</f>
        <v>-</v>
      </c>
      <c r="L1622" s="52" t="str">
        <f>VLOOKUP(Tabla3[[#This Row],[Site]],'Important Info!'!$A$1:$F$135,2,FALSE)</f>
        <v>1, 11</v>
      </c>
      <c r="M1622" s="52" t="str">
        <f>VLOOKUP(Tabla3[[#This Row],[Site]],'Important Info!'!$A$1:$F$135,3,FALSE)</f>
        <v>-</v>
      </c>
      <c r="N1622" s="52" t="str">
        <f>VLOOKUP(Tabla3[[#This Row],[Site]],'Important Info!'!$A$1:$F$135,4,FALSE)</f>
        <v>-</v>
      </c>
      <c r="O1622" s="52" t="str">
        <f>VLOOKUP(Tabla3[[#This Row],[Site]],'Important Info!'!$A$1:$F$135,5,FALSE)</f>
        <v>1, 7, 11</v>
      </c>
      <c r="P1622" s="52" t="str">
        <f>VLOOKUP(Tabla3[[#This Row],[Site]],'Important Info!'!$A$1:$F$135,6,FALSE)</f>
        <v>-</v>
      </c>
      <c r="Q1622" s="91">
        <f>VLOOKUP(Tabla3[[#This Row],[Site]],'Important Info!'!$A$1:$J$135,9,FALSE)</f>
        <v>145</v>
      </c>
    </row>
    <row r="1623" spans="1:17" x14ac:dyDescent="0.25">
      <c r="A1623" t="str">
        <f>+Tabla3[[#This Row],[Site]]&amp;Tabla3[[#This Row],[Split]]</f>
        <v>(ML) McLarty Gray-Daniels Ford Lincoln17</v>
      </c>
      <c r="B1623">
        <v>17</v>
      </c>
      <c r="C1623">
        <v>17</v>
      </c>
      <c r="D1623" t="s">
        <v>33</v>
      </c>
      <c r="E1623" t="s">
        <v>46</v>
      </c>
      <c r="F1623" t="s">
        <v>89</v>
      </c>
      <c r="G1623" t="s">
        <v>34</v>
      </c>
      <c r="H1623" s="52" t="str">
        <f>VLOOKUP(Tabla3[[#This Row],[Site]],'Important Info!'!$A$1:$J$135,10,FALSE)</f>
        <v>https://tools.sig.systems/site/details/151</v>
      </c>
      <c r="I1623" s="2" t="s">
        <v>150</v>
      </c>
      <c r="J1623" t="s">
        <v>41</v>
      </c>
      <c r="K1623" s="79" t="str">
        <f>VLOOKUP(Tabla3[[#This Row],[Site]],'Important Info!'!$A$1:$H$135,8,FALSE)</f>
        <v>-</v>
      </c>
      <c r="L1623" s="52">
        <f>VLOOKUP(Tabla3[[#This Row],[Site]],'Important Info!'!$A$1:$F$135,2,FALSE)</f>
        <v>16</v>
      </c>
      <c r="M1623" s="52" t="str">
        <f>VLOOKUP(Tabla3[[#This Row],[Site]],'Important Info!'!$A$1:$F$135,3,FALSE)</f>
        <v>5, 10, 36, 38, 54, 58B</v>
      </c>
      <c r="N1623" s="52" t="str">
        <f>VLOOKUP(Tabla3[[#This Row],[Site]],'Important Info!'!$A$1:$F$135,4,FALSE)</f>
        <v>-</v>
      </c>
      <c r="O1623" s="52" t="str">
        <f>VLOOKUP(Tabla3[[#This Row],[Site]],'Important Info!'!$A$1:$F$135,5,FALSE)</f>
        <v>5, 17, 37</v>
      </c>
      <c r="P1623" s="52" t="str">
        <f>VLOOKUP(Tabla3[[#This Row],[Site]],'Important Info!'!$A$1:$F$135,6,FALSE)</f>
        <v>1, 2, 3, 4</v>
      </c>
      <c r="Q1623" s="91">
        <f>VLOOKUP(Tabla3[[#This Row],[Site]],'Important Info!'!$A$1:$J$135,9,FALSE)</f>
        <v>151</v>
      </c>
    </row>
    <row r="1624" spans="1:17" x14ac:dyDescent="0.25">
      <c r="A1624" t="str">
        <f>+Tabla3[[#This Row],[Site]]&amp;Tabla3[[#This Row],[Split]]</f>
        <v>(RML) Burleson Nissan17</v>
      </c>
      <c r="B1624">
        <v>17</v>
      </c>
      <c r="C1624">
        <v>17</v>
      </c>
      <c r="D1624" t="s">
        <v>33</v>
      </c>
      <c r="E1624" t="s">
        <v>46</v>
      </c>
      <c r="F1624" t="s">
        <v>107</v>
      </c>
      <c r="G1624" t="s">
        <v>34</v>
      </c>
      <c r="H1624" s="52" t="str">
        <f>VLOOKUP(Tabla3[[#This Row],[Site]],'Important Info!'!$A$1:$J$135,10,FALSE)</f>
        <v>https://tools.sig.systems/site/details/202</v>
      </c>
      <c r="J1624" t="s">
        <v>41</v>
      </c>
      <c r="K1624" s="79" t="str">
        <f>VLOOKUP(Tabla3[[#This Row],[Site]],'Important Info!'!$A$1:$H$135,8,FALSE)</f>
        <v>-</v>
      </c>
      <c r="L1624" s="52" t="str">
        <f>VLOOKUP(Tabla3[[#This Row],[Site]],'Important Info!'!$A$1:$F$135,2,FALSE)</f>
        <v>3, 21</v>
      </c>
      <c r="M1624" s="52" t="str">
        <f>VLOOKUP(Tabla3[[#This Row],[Site]],'Important Info!'!$A$1:$F$135,3,FALSE)</f>
        <v>-</v>
      </c>
      <c r="N1624" s="52" t="str">
        <f>VLOOKUP(Tabla3[[#This Row],[Site]],'Important Info!'!$A$1:$F$135,4,FALSE)</f>
        <v>-</v>
      </c>
      <c r="O1624" s="52" t="str">
        <f>VLOOKUP(Tabla3[[#This Row],[Site]],'Important Info!'!$A$1:$F$135,5,FALSE)</f>
        <v>2, 6, 15</v>
      </c>
      <c r="P1624" s="52" t="str">
        <f>VLOOKUP(Tabla3[[#This Row],[Site]],'Important Info!'!$A$1:$F$135,6,FALSE)</f>
        <v>-</v>
      </c>
      <c r="Q1624" s="91">
        <f>VLOOKUP(Tabla3[[#This Row],[Site]],'Important Info!'!$A$1:$J$135,9,FALSE)</f>
        <v>202</v>
      </c>
    </row>
    <row r="1625" spans="1:17" x14ac:dyDescent="0.25">
      <c r="A1625" t="str">
        <f>+Tabla3[[#This Row],[Site]]&amp;Tabla3[[#This Row],[Split]]</f>
        <v>(TC) Tavernier Creek Marina (NO TOURS)17</v>
      </c>
      <c r="B1625">
        <v>17</v>
      </c>
      <c r="C1625">
        <v>17</v>
      </c>
      <c r="D1625" t="s">
        <v>62</v>
      </c>
      <c r="E1625" t="s">
        <v>35</v>
      </c>
      <c r="F1625" t="s">
        <v>119</v>
      </c>
      <c r="G1625" t="s">
        <v>34</v>
      </c>
      <c r="H1625" s="52" t="str">
        <f>VLOOKUP(Tabla3[[#This Row],[Site]],'Important Info!'!$A$1:$J$135,10,FALSE)</f>
        <v>https://tools.sig.systems/site/details/164</v>
      </c>
      <c r="J1625" t="s">
        <v>45</v>
      </c>
      <c r="K1625" s="79" t="str">
        <f>VLOOKUP(Tabla3[[#This Row],[Site]],'Important Info!'!$A$1:$H$135,8,FALSE)</f>
        <v>-</v>
      </c>
      <c r="L1625" s="52" t="str">
        <f>VLOOKUP(Tabla3[[#This Row],[Site]],'Important Info!'!$A$1:$F$135,2,FALSE)</f>
        <v>28, 29</v>
      </c>
      <c r="M1625" s="52" t="str">
        <f>VLOOKUP(Tabla3[[#This Row],[Site]],'Important Info!'!$A$1:$F$135,3,FALSE)</f>
        <v>-</v>
      </c>
      <c r="N1625" s="52" t="str">
        <f>VLOOKUP(Tabla3[[#This Row],[Site]],'Important Info!'!$A$1:$F$135,4,FALSE)</f>
        <v>-</v>
      </c>
      <c r="O1625" s="52" t="str">
        <f>VLOOKUP(Tabla3[[#This Row],[Site]],'Important Info!'!$A$1:$F$135,5,FALSE)</f>
        <v>-</v>
      </c>
      <c r="P1625" s="52" t="str">
        <f>VLOOKUP(Tabla3[[#This Row],[Site]],'Important Info!'!$A$1:$F$135,6,FALSE)</f>
        <v>5, 28, 29</v>
      </c>
      <c r="Q1625" s="91">
        <f>VLOOKUP(Tabla3[[#This Row],[Site]],'Important Info!'!$A$1:$J$135,9,FALSE)</f>
        <v>164</v>
      </c>
    </row>
    <row r="1626" spans="1:17" x14ac:dyDescent="0.25">
      <c r="A1626" t="str">
        <f>+Tabla3[[#This Row],[Site]]&amp;Tabla3[[#This Row],[Split]]</f>
        <v>(AS) Park Place Bodywerks Ft. Worth (NO TOURS)18</v>
      </c>
      <c r="B1626">
        <v>18</v>
      </c>
      <c r="C1626">
        <v>1</v>
      </c>
      <c r="D1626" t="s">
        <v>33</v>
      </c>
      <c r="E1626" t="s">
        <v>46</v>
      </c>
      <c r="F1626" t="s">
        <v>515</v>
      </c>
      <c r="G1626" t="s">
        <v>34</v>
      </c>
      <c r="H1626" s="52" t="str">
        <f>VLOOKUP(Tabla3[[#This Row],[Site]],'Important Info!'!$A$1:$J$135,10,FALSE)</f>
        <v>https://tools.sig.systems/site/details/134</v>
      </c>
      <c r="I1626" s="65" t="s">
        <v>128</v>
      </c>
      <c r="J1626" t="s">
        <v>41</v>
      </c>
      <c r="K1626" s="79" t="str">
        <f>VLOOKUP(Tabla3[[#This Row],[Site]],'Important Info!'!$A$1:$H$135,8,FALSE)</f>
        <v>-</v>
      </c>
      <c r="L1626" s="52" t="str">
        <f>VLOOKUP(Tabla3[[#This Row],[Site]],'Important Info!'!$A$1:$F$135,2,FALSE)</f>
        <v>2, 3, RemoteLot5, RemoteLot9</v>
      </c>
      <c r="M1626" s="52" t="str">
        <f>VLOOKUP(Tabla3[[#This Row],[Site]],'Important Info!'!$A$1:$F$135,3,FALSE)</f>
        <v>-</v>
      </c>
      <c r="N1626" s="52" t="str">
        <f>VLOOKUP(Tabla3[[#This Row],[Site]],'Important Info!'!$A$1:$F$135,4,FALSE)</f>
        <v>-</v>
      </c>
      <c r="O1626" s="52" t="str">
        <f>VLOOKUP(Tabla3[[#This Row],[Site]],'Important Info!'!$A$1:$F$135,5,FALSE)</f>
        <v>1, 7, RL1, RL5, RL9</v>
      </c>
      <c r="P1626" s="52" t="str">
        <f>VLOOKUP(Tabla3[[#This Row],[Site]],'Important Info!'!$A$1:$F$135,6,FALSE)</f>
        <v>3, 4, 15</v>
      </c>
      <c r="Q1626" s="91">
        <f>VLOOKUP(Tabla3[[#This Row],[Site]],'Important Info!'!$A$1:$J$135,9,FALSE)</f>
        <v>134</v>
      </c>
    </row>
    <row r="1627" spans="1:17" x14ac:dyDescent="0.25">
      <c r="A1627" t="str">
        <f>+Tabla3[[#This Row],[Site]]&amp;Tabla3[[#This Row],[Split]]</f>
        <v>(DT) Louisville18</v>
      </c>
      <c r="B1627">
        <v>18</v>
      </c>
      <c r="C1627">
        <v>1</v>
      </c>
      <c r="D1627" t="s">
        <v>62</v>
      </c>
      <c r="E1627" t="s">
        <v>35</v>
      </c>
      <c r="F1627" t="s">
        <v>99</v>
      </c>
      <c r="G1627" t="s">
        <v>490</v>
      </c>
      <c r="H1627" s="52" t="str">
        <f>VLOOKUP(Tabla3[[#This Row],[Site]],'Important Info!'!$A$1:$J$135,10,FALSE)</f>
        <v>https://tools.sig.systems/site/details/258</v>
      </c>
      <c r="J1627" t="s">
        <v>41</v>
      </c>
      <c r="K1627" s="79" t="str">
        <f>VLOOKUP(Tabla3[[#This Row],[Site]],'Important Info!'!$A$1:$H$135,8,FALSE)</f>
        <v>-</v>
      </c>
      <c r="L1627" s="52" t="str">
        <f>VLOOKUP(Tabla3[[#This Row],[Site]],'Important Info!'!$A$1:$F$135,2,FALSE)</f>
        <v>-</v>
      </c>
      <c r="M1627" s="52">
        <f>VLOOKUP(Tabla3[[#This Row],[Site]],'Important Info!'!$A$1:$F$135,3,FALSE)</f>
        <v>3</v>
      </c>
      <c r="N1627" s="52" t="str">
        <f>VLOOKUP(Tabla3[[#This Row],[Site]],'Important Info!'!$A$1:$F$135,4,FALSE)</f>
        <v>-</v>
      </c>
      <c r="O1627" s="52" t="str">
        <f>VLOOKUP(Tabla3[[#This Row],[Site]],'Important Info!'!$A$1:$F$135,5,FALSE)</f>
        <v>-</v>
      </c>
      <c r="P1627" s="52" t="str">
        <f>VLOOKUP(Tabla3[[#This Row],[Site]],'Important Info!'!$A$1:$F$135,6,FALSE)</f>
        <v>3, 8</v>
      </c>
      <c r="Q1627" s="91">
        <f>VLOOKUP(Tabla3[[#This Row],[Site]],'Important Info!'!$A$1:$J$135,9,FALSE)</f>
        <v>258</v>
      </c>
    </row>
    <row r="1628" spans="1:17" x14ac:dyDescent="0.25">
      <c r="A1628" t="str">
        <f>+Tabla3[[#This Row],[Site]]&amp;Tabla3[[#This Row],[Split]]</f>
        <v>(KG) Clear Lake Pre-Owned18</v>
      </c>
      <c r="B1628">
        <v>18</v>
      </c>
      <c r="C1628">
        <v>1</v>
      </c>
      <c r="D1628" t="s">
        <v>33</v>
      </c>
      <c r="E1628" t="s">
        <v>46</v>
      </c>
      <c r="F1628" s="41" t="s">
        <v>87</v>
      </c>
      <c r="G1628" t="s">
        <v>34</v>
      </c>
      <c r="H1628" s="52" t="str">
        <f>VLOOKUP(Tabla3[[#This Row],[Site]],'Important Info!'!$A$1:$J$135,10,FALSE)</f>
        <v>https://tools.sig.systems/site/details/255</v>
      </c>
      <c r="I1628" s="2" t="s">
        <v>134</v>
      </c>
      <c r="J1628" t="s">
        <v>41</v>
      </c>
      <c r="K1628" s="79" t="str">
        <f>VLOOKUP(Tabla3[[#This Row],[Site]],'Important Info!'!$A$1:$H$135,8,FALSE)</f>
        <v>-</v>
      </c>
      <c r="L1628" s="52" t="str">
        <f>VLOOKUP(Tabla3[[#This Row],[Site]],'Important Info!'!$A$1:$F$135,2,FALSE)</f>
        <v>3, 5</v>
      </c>
      <c r="M1628" s="52" t="str">
        <f>VLOOKUP(Tabla3[[#This Row],[Site]],'Important Info!'!$A$1:$F$135,3,FALSE)</f>
        <v>-</v>
      </c>
      <c r="N1628" s="52" t="str">
        <f>VLOOKUP(Tabla3[[#This Row],[Site]],'Important Info!'!$A$1:$F$135,4,FALSE)</f>
        <v>-</v>
      </c>
      <c r="O1628" s="52" t="str">
        <f>VLOOKUP(Tabla3[[#This Row],[Site]],'Important Info!'!$A$1:$F$135,5,FALSE)</f>
        <v>4, 10, 22</v>
      </c>
      <c r="P1628" s="52" t="str">
        <f>VLOOKUP(Tabla3[[#This Row],[Site]],'Important Info!'!$A$1:$F$135,6,FALSE)</f>
        <v>8, 15, 20</v>
      </c>
      <c r="Q1628" s="91">
        <f>VLOOKUP(Tabla3[[#This Row],[Site]],'Important Info!'!$A$1:$J$135,9,FALSE)</f>
        <v>255</v>
      </c>
    </row>
    <row r="1629" spans="1:17" x14ac:dyDescent="0.25">
      <c r="A1629" t="str">
        <f>+Tabla3[[#This Row],[Site]]&amp;Tabla3[[#This Row],[Split]]</f>
        <v>(ML) Nissan Of Benton18</v>
      </c>
      <c r="B1629">
        <v>18</v>
      </c>
      <c r="C1629">
        <v>1</v>
      </c>
      <c r="D1629" t="s">
        <v>33</v>
      </c>
      <c r="E1629" t="s">
        <v>46</v>
      </c>
      <c r="F1629" t="s">
        <v>120</v>
      </c>
      <c r="G1629" t="s">
        <v>34</v>
      </c>
      <c r="H1629" s="52" t="str">
        <f>VLOOKUP(Tabla3[[#This Row],[Site]],'Important Info!'!$A$1:$J$135,10,FALSE)</f>
        <v>https://tools.sig.systems/site/details/247</v>
      </c>
      <c r="I1629" s="2"/>
      <c r="J1629" t="s">
        <v>41</v>
      </c>
      <c r="K1629" s="79" t="str">
        <f>VLOOKUP(Tabla3[[#This Row],[Site]],'Important Info!'!$A$1:$H$135,8,FALSE)</f>
        <v>-</v>
      </c>
      <c r="L1629" s="52" t="str">
        <f>VLOOKUP(Tabla3[[#This Row],[Site]],'Important Info!'!$A$1:$F$135,2,FALSE)</f>
        <v>5, 12</v>
      </c>
      <c r="M1629" s="52" t="str">
        <f>VLOOKUP(Tabla3[[#This Row],[Site]],'Important Info!'!$A$1:$F$135,3,FALSE)</f>
        <v>-</v>
      </c>
      <c r="N1629" s="52" t="str">
        <f>VLOOKUP(Tabla3[[#This Row],[Site]],'Important Info!'!$A$1:$F$135,4,FALSE)</f>
        <v>-</v>
      </c>
      <c r="O1629" s="52" t="str">
        <f>VLOOKUP(Tabla3[[#This Row],[Site]],'Important Info!'!$A$1:$F$135,5,FALSE)</f>
        <v>4, 18</v>
      </c>
      <c r="P1629" s="52" t="str">
        <f>VLOOKUP(Tabla3[[#This Row],[Site]],'Important Info!'!$A$1:$F$135,6,FALSE)</f>
        <v>-</v>
      </c>
      <c r="Q1629" s="91">
        <f>VLOOKUP(Tabla3[[#This Row],[Site]],'Important Info!'!$A$1:$J$135,9,FALSE)</f>
        <v>247</v>
      </c>
    </row>
    <row r="1630" spans="1:17" x14ac:dyDescent="0.25">
      <c r="A1630" t="str">
        <f>+Tabla3[[#This Row],[Site]]&amp;Tabla3[[#This Row],[Split]]</f>
        <v>(PE) Hudson Toyota Nissan CDJR (NO TOURS)18</v>
      </c>
      <c r="B1630">
        <v>18</v>
      </c>
      <c r="C1630">
        <v>1</v>
      </c>
      <c r="D1630" t="s">
        <v>485</v>
      </c>
      <c r="E1630" t="s">
        <v>35</v>
      </c>
      <c r="F1630" t="s">
        <v>82</v>
      </c>
      <c r="G1630" t="s">
        <v>490</v>
      </c>
      <c r="H1630" s="52" t="str">
        <f>VLOOKUP(Tabla3[[#This Row],[Site]],'Important Info!'!$A$1:$J$135,10,FALSE)</f>
        <v>https://tools.sig.systems/site/details/156</v>
      </c>
      <c r="J1630" t="s">
        <v>41</v>
      </c>
      <c r="K1630" s="79" t="str">
        <f>VLOOKUP(Tabla3[[#This Row],[Site]],'Important Info!'!$A$1:$H$135,8,FALSE)</f>
        <v>-</v>
      </c>
      <c r="L1630" s="52">
        <f>VLOOKUP(Tabla3[[#This Row],[Site]],'Important Info!'!$A$1:$F$135,2,FALSE)</f>
        <v>5</v>
      </c>
      <c r="M1630" s="52" t="str">
        <f>VLOOKUP(Tabla3[[#This Row],[Site]],'Important Info!'!$A$1:$F$135,3,FALSE)</f>
        <v>3, 7, 18</v>
      </c>
      <c r="N1630" s="52" t="str">
        <f>VLOOKUP(Tabla3[[#This Row],[Site]],'Important Info!'!$A$1:$F$135,4,FALSE)</f>
        <v>-</v>
      </c>
      <c r="O1630" s="52">
        <f>VLOOKUP(Tabla3[[#This Row],[Site]],'Important Info!'!$A$1:$F$135,5,FALSE)</f>
        <v>84</v>
      </c>
      <c r="P1630" s="52" t="str">
        <f>VLOOKUP(Tabla3[[#This Row],[Site]],'Important Info!'!$A$1:$F$135,6,FALSE)</f>
        <v>1, 2, 3, 4, 5, 6, 7, 8</v>
      </c>
      <c r="Q1630" s="91">
        <f>VLOOKUP(Tabla3[[#This Row],[Site]],'Important Info!'!$A$1:$J$135,9,FALSE)</f>
        <v>156</v>
      </c>
    </row>
    <row r="1631" spans="1:17" x14ac:dyDescent="0.25">
      <c r="A1631" t="str">
        <f>+Tabla3[[#This Row],[Site]]&amp;Tabla3[[#This Row],[Split]]</f>
        <v>(PE) Scofield Service Center (NO TOURS)18</v>
      </c>
      <c r="B1631">
        <v>18</v>
      </c>
      <c r="C1631">
        <v>1</v>
      </c>
      <c r="D1631" t="s">
        <v>485</v>
      </c>
      <c r="E1631" t="s">
        <v>35</v>
      </c>
      <c r="F1631" t="s">
        <v>83</v>
      </c>
      <c r="G1631" t="s">
        <v>490</v>
      </c>
      <c r="H1631" s="52" t="str">
        <f>VLOOKUP(Tabla3[[#This Row],[Site]],'Important Info!'!$A$1:$J$135,10,FALSE)</f>
        <v>https://tools.sig.systems/site/details/193</v>
      </c>
      <c r="I1631" t="s">
        <v>177</v>
      </c>
      <c r="J1631" t="s">
        <v>41</v>
      </c>
      <c r="K1631" s="79" t="str">
        <f>VLOOKUP(Tabla3[[#This Row],[Site]],'Important Info!'!$A$1:$H$135,8,FALSE)</f>
        <v>-</v>
      </c>
      <c r="L1631" s="52">
        <f>VLOOKUP(Tabla3[[#This Row],[Site]],'Important Info!'!$A$1:$F$135,2,FALSE)</f>
        <v>1</v>
      </c>
      <c r="M1631" s="52" t="str">
        <f>VLOOKUP(Tabla3[[#This Row],[Site]],'Important Info!'!$A$1:$F$135,3,FALSE)</f>
        <v>-</v>
      </c>
      <c r="N1631" s="52" t="str">
        <f>VLOOKUP(Tabla3[[#This Row],[Site]],'Important Info!'!$A$1:$F$135,4,FALSE)</f>
        <v>-</v>
      </c>
      <c r="O1631" s="52">
        <f>VLOOKUP(Tabla3[[#This Row],[Site]],'Important Info!'!$A$1:$F$135,5,FALSE)</f>
        <v>9</v>
      </c>
      <c r="P1631" s="52" t="str">
        <f>VLOOKUP(Tabla3[[#This Row],[Site]],'Important Info!'!$A$1:$F$135,6,FALSE)</f>
        <v>1, 17</v>
      </c>
      <c r="Q1631" s="91">
        <f>VLOOKUP(Tabla3[[#This Row],[Site]],'Important Info!'!$A$1:$J$135,9,FALSE)</f>
        <v>193</v>
      </c>
    </row>
    <row r="1632" spans="1:17" x14ac:dyDescent="0.25">
      <c r="A1632" t="str">
        <f>+Tabla3[[#This Row],[Site]]&amp;Tabla3[[#This Row],[Split]]</f>
        <v>(RV) Toms Camperland Avondale (NO TOURS)18</v>
      </c>
      <c r="B1632">
        <v>18</v>
      </c>
      <c r="C1632">
        <v>1</v>
      </c>
      <c r="D1632" t="s">
        <v>51</v>
      </c>
      <c r="E1632" t="s">
        <v>161</v>
      </c>
      <c r="F1632" t="s">
        <v>80</v>
      </c>
      <c r="G1632" t="s">
        <v>52</v>
      </c>
      <c r="H1632" s="52" t="str">
        <f>VLOOKUP(Tabla3[[#This Row],[Site]],'Important Info!'!$A$1:$J$135,10,FALSE)</f>
        <v>https://tools.sig.systems/site/details/248</v>
      </c>
      <c r="I1632" s="2" t="s">
        <v>163</v>
      </c>
      <c r="J1632" t="s">
        <v>164</v>
      </c>
      <c r="K1632" s="79" t="str">
        <f>VLOOKUP(Tabla3[[#This Row],[Site]],'Important Info!'!$A$1:$H$135,8,FALSE)</f>
        <v>-</v>
      </c>
      <c r="L1632" s="52">
        <f>VLOOKUP(Tabla3[[#This Row],[Site]],'Important Info!'!$A$1:$F$135,2,FALSE)</f>
        <v>10</v>
      </c>
      <c r="M1632" s="52" t="str">
        <f>VLOOKUP(Tabla3[[#This Row],[Site]],'Important Info!'!$A$1:$F$135,3,FALSE)</f>
        <v>2, 7</v>
      </c>
      <c r="N1632" s="52" t="str">
        <f>VLOOKUP(Tabla3[[#This Row],[Site]],'Important Info!'!$A$1:$F$135,4,FALSE)</f>
        <v>-</v>
      </c>
      <c r="O1632" s="52" t="str">
        <f>VLOOKUP(Tabla3[[#This Row],[Site]],'Important Info!'!$A$1:$F$135,5,FALSE)</f>
        <v>-</v>
      </c>
      <c r="P1632" s="52" t="str">
        <f>VLOOKUP(Tabla3[[#This Row],[Site]],'Important Info!'!$A$1:$F$135,6,FALSE)</f>
        <v>2, 7, 8, 13, 15</v>
      </c>
      <c r="Q1632" s="91">
        <f>VLOOKUP(Tabla3[[#This Row],[Site]],'Important Info!'!$A$1:$J$135,9,FALSE)</f>
        <v>248</v>
      </c>
    </row>
    <row r="1633" spans="1:17" x14ac:dyDescent="0.25">
      <c r="A1633" t="str">
        <f>+Tabla3[[#This Row],[Site]]&amp;Tabla3[[#This Row],[Split]]</f>
        <v>(AS) Nalley Lexus &amp; Remote Lot Roswell (NO TOURS)18</v>
      </c>
      <c r="B1633">
        <v>18</v>
      </c>
      <c r="C1633">
        <v>2</v>
      </c>
      <c r="D1633" t="s">
        <v>60</v>
      </c>
      <c r="E1633" t="s">
        <v>35</v>
      </c>
      <c r="F1633" t="s">
        <v>511</v>
      </c>
      <c r="G1633" t="s">
        <v>41</v>
      </c>
      <c r="H1633" s="52" t="str">
        <f>VLOOKUP(Tabla3[[#This Row],[Site]],'Important Info!'!$A$1:$J$135,10,FALSE)</f>
        <v>https://tools.sig.systems/site/details/131</v>
      </c>
      <c r="I1633" s="43" t="s">
        <v>166</v>
      </c>
      <c r="J1633" t="s">
        <v>41</v>
      </c>
      <c r="K1633" s="79" t="str">
        <f>VLOOKUP(Tabla3[[#This Row],[Site]],'Important Info!'!$A$1:$H$135,8,FALSE)</f>
        <v>Dealership 11PM to 5AM (Mon to Fri). Sunday Drop Time 1PM</v>
      </c>
      <c r="L1633" s="52" t="str">
        <f>VLOOKUP(Tabla3[[#This Row],[Site]],'Important Info!'!$A$1:$F$135,2,FALSE)</f>
        <v>6, 13</v>
      </c>
      <c r="M1633" s="52">
        <f>VLOOKUP(Tabla3[[#This Row],[Site]],'Important Info!'!$A$1:$F$135,3,FALSE)</f>
        <v>4</v>
      </c>
      <c r="N1633" s="52">
        <f>VLOOKUP(Tabla3[[#This Row],[Site]],'Important Info!'!$A$1:$F$135,4,FALSE)</f>
        <v>1</v>
      </c>
      <c r="O1633" s="52" t="str">
        <f>VLOOKUP(Tabla3[[#This Row],[Site]],'Important Info!'!$A$1:$F$135,5,FALSE)</f>
        <v>1, 8, 19</v>
      </c>
      <c r="P1633" s="52" t="str">
        <f>VLOOKUP(Tabla3[[#This Row],[Site]],'Important Info!'!$A$1:$F$135,6,FALSE)</f>
        <v>4, 20</v>
      </c>
      <c r="Q1633" s="91">
        <f>VLOOKUP(Tabla3[[#This Row],[Site]],'Important Info!'!$A$1:$J$135,9,FALSE)</f>
        <v>131</v>
      </c>
    </row>
    <row r="1634" spans="1:17" x14ac:dyDescent="0.25">
      <c r="A1634" t="str">
        <f>+Tabla3[[#This Row],[Site]]&amp;Tabla3[[#This Row],[Split]]</f>
        <v>(JE) Jim Ellis Ford Sandy Springs18</v>
      </c>
      <c r="B1634">
        <v>18</v>
      </c>
      <c r="C1634">
        <v>2</v>
      </c>
      <c r="D1634" t="s">
        <v>62</v>
      </c>
      <c r="E1634" t="s">
        <v>35</v>
      </c>
      <c r="F1634" t="s">
        <v>187</v>
      </c>
      <c r="G1634" t="s">
        <v>490</v>
      </c>
      <c r="H1634" s="52" t="str">
        <f>VLOOKUP(Tabla3[[#This Row],[Site]],'Important Info!'!$A$1:$J$135,10,FALSE)</f>
        <v>https://tools.sig.systems/site/details/142</v>
      </c>
      <c r="I1634" s="43"/>
      <c r="J1634" t="s">
        <v>41</v>
      </c>
      <c r="K1634" s="79" t="str">
        <f>VLOOKUP(Tabla3[[#This Row],[Site]],'Important Info!'!$A$1:$H$135,8,FALSE)</f>
        <v>-</v>
      </c>
      <c r="L1634" s="52" t="str">
        <f>VLOOKUP(Tabla3[[#This Row],[Site]],'Important Info!'!$A$1:$F$135,2,FALSE)</f>
        <v>1, 5</v>
      </c>
      <c r="M1634" s="52" t="str">
        <f>VLOOKUP(Tabla3[[#This Row],[Site]],'Important Info!'!$A$1:$F$135,3,FALSE)</f>
        <v>-</v>
      </c>
      <c r="N1634" s="52" t="str">
        <f>VLOOKUP(Tabla3[[#This Row],[Site]],'Important Info!'!$A$1:$F$135,4,FALSE)</f>
        <v>-</v>
      </c>
      <c r="O1634" s="52" t="str">
        <f>VLOOKUP(Tabla3[[#This Row],[Site]],'Important Info!'!$A$1:$F$135,5,FALSE)</f>
        <v>1, 5, 9, 26</v>
      </c>
      <c r="P1634" s="52" t="str">
        <f>VLOOKUP(Tabla3[[#This Row],[Site]],'Important Info!'!$A$1:$F$135,6,FALSE)</f>
        <v>3, 4, 8, 28</v>
      </c>
      <c r="Q1634" s="91">
        <f>VLOOKUP(Tabla3[[#This Row],[Site]],'Important Info!'!$A$1:$J$135,9,FALSE)</f>
        <v>142</v>
      </c>
    </row>
    <row r="1635" spans="1:17" x14ac:dyDescent="0.25">
      <c r="A1635" t="str">
        <f>+Tabla3[[#This Row],[Site]]&amp;Tabla3[[#This Row],[Split]]</f>
        <v>(KG) Big Star Ford18</v>
      </c>
      <c r="B1635">
        <v>18</v>
      </c>
      <c r="C1635">
        <v>2</v>
      </c>
      <c r="D1635" t="s">
        <v>33</v>
      </c>
      <c r="E1635" t="s">
        <v>46</v>
      </c>
      <c r="F1635" t="s">
        <v>135</v>
      </c>
      <c r="G1635" t="s">
        <v>34</v>
      </c>
      <c r="H1635" s="52" t="str">
        <f>VLOOKUP(Tabla3[[#This Row],[Site]],'Important Info!'!$A$1:$J$135,10,FALSE)</f>
        <v>https://tools.sig.systems/site/details/235</v>
      </c>
      <c r="I1635" s="2"/>
      <c r="J1635" t="s">
        <v>41</v>
      </c>
      <c r="K1635" s="79" t="str">
        <f>VLOOKUP(Tabla3[[#This Row],[Site]],'Important Info!'!$A$1:$H$135,8,FALSE)</f>
        <v>-</v>
      </c>
      <c r="L1635" s="52" t="str">
        <f>VLOOKUP(Tabla3[[#This Row],[Site]],'Important Info!'!$A$1:$F$135,2,FALSE)</f>
        <v>4, 22, 32, 33</v>
      </c>
      <c r="M1635" s="52" t="str">
        <f>VLOOKUP(Tabla3[[#This Row],[Site]],'Important Info!'!$A$1:$F$135,3,FALSE)</f>
        <v>-</v>
      </c>
      <c r="N1635" s="52" t="str">
        <f>VLOOKUP(Tabla3[[#This Row],[Site]],'Important Info!'!$A$1:$F$135,4,FALSE)</f>
        <v>-</v>
      </c>
      <c r="O1635" s="52" t="str">
        <f>VLOOKUP(Tabla3[[#This Row],[Site]],'Important Info!'!$A$1:$F$135,5,FALSE)</f>
        <v>1, 5, 12, 21</v>
      </c>
      <c r="P1635" s="52">
        <f>VLOOKUP(Tabla3[[#This Row],[Site]],'Important Info!'!$A$1:$F$135,6,FALSE)</f>
        <v>22</v>
      </c>
      <c r="Q1635" s="91">
        <f>VLOOKUP(Tabla3[[#This Row],[Site]],'Important Info!'!$A$1:$J$135,9,FALSE)</f>
        <v>235</v>
      </c>
    </row>
    <row r="1636" spans="1:17" x14ac:dyDescent="0.25">
      <c r="A1636" t="str">
        <f>+Tabla3[[#This Row],[Site]]&amp;Tabla3[[#This Row],[Split]]</f>
        <v>(KG) Texan CDJR18</v>
      </c>
      <c r="B1636">
        <v>18</v>
      </c>
      <c r="C1636">
        <v>2</v>
      </c>
      <c r="D1636" t="s">
        <v>33</v>
      </c>
      <c r="E1636" t="s">
        <v>46</v>
      </c>
      <c r="F1636" t="s">
        <v>70</v>
      </c>
      <c r="G1636" t="s">
        <v>34</v>
      </c>
      <c r="H1636" s="52" t="str">
        <f>VLOOKUP(Tabla3[[#This Row],[Site]],'Important Info!'!$A$1:$J$135,10,FALSE)</f>
        <v>https://tools.sig.systems/site/details/238</v>
      </c>
      <c r="I1636" s="43" t="s">
        <v>137</v>
      </c>
      <c r="J1636" t="s">
        <v>41</v>
      </c>
      <c r="K1636" s="79" t="str">
        <f>VLOOKUP(Tabla3[[#This Row],[Site]],'Important Info!'!$A$1:$H$135,8,FALSE)</f>
        <v>-</v>
      </c>
      <c r="L1636" s="52" t="str">
        <f>VLOOKUP(Tabla3[[#This Row],[Site]],'Important Info!'!$A$1:$F$135,2,FALSE)</f>
        <v>11, 12, 13, 14, 20, 32, 34, 36, 77</v>
      </c>
      <c r="M1636" s="52" t="str">
        <f>VLOOKUP(Tabla3[[#This Row],[Site]],'Important Info!'!$A$1:$F$135,3,FALSE)</f>
        <v>-</v>
      </c>
      <c r="N1636" s="52" t="str">
        <f>VLOOKUP(Tabla3[[#This Row],[Site]],'Important Info!'!$A$1:$F$135,4,FALSE)</f>
        <v>67, 68, 69, 70</v>
      </c>
      <c r="O1636" s="52" t="str">
        <f>VLOOKUP(Tabla3[[#This Row],[Site]],'Important Info!'!$A$1:$F$135,5,FALSE)</f>
        <v>2, 10, 14, 25, 29, 35, 38</v>
      </c>
      <c r="P1636" s="52" t="str">
        <f>VLOOKUP(Tabla3[[#This Row],[Site]],'Important Info!'!$A$1:$F$135,6,FALSE)</f>
        <v>36, 46</v>
      </c>
      <c r="Q1636" s="91">
        <f>VLOOKUP(Tabla3[[#This Row],[Site]],'Important Info!'!$A$1:$J$135,9,FALSE)</f>
        <v>238</v>
      </c>
    </row>
    <row r="1637" spans="1:17" x14ac:dyDescent="0.25">
      <c r="A1637" t="str">
        <f>+Tabla3[[#This Row],[Site]]&amp;Tabla3[[#This Row],[Split]]</f>
        <v>(ML) Columbia Honda (NO TOURS)18</v>
      </c>
      <c r="B1637">
        <v>18</v>
      </c>
      <c r="C1637">
        <v>2</v>
      </c>
      <c r="D1637" t="s">
        <v>33</v>
      </c>
      <c r="E1637" t="s">
        <v>46</v>
      </c>
      <c r="F1637" t="s">
        <v>143</v>
      </c>
      <c r="G1637" t="s">
        <v>34</v>
      </c>
      <c r="H1637" s="52" t="str">
        <f>VLOOKUP(Tabla3[[#This Row],[Site]],'Important Info!'!$A$1:$J$135,10,FALSE)</f>
        <v>https://tools.sig.systems/site/details/272</v>
      </c>
      <c r="I1637" s="2" t="s">
        <v>144</v>
      </c>
      <c r="J1637" t="s">
        <v>41</v>
      </c>
      <c r="K1637" s="79" t="str">
        <f>VLOOKUP(Tabla3[[#This Row],[Site]],'Important Info!'!$A$1:$H$135,8,FALSE)</f>
        <v>-</v>
      </c>
      <c r="L1637" s="52" t="str">
        <f>VLOOKUP(Tabla3[[#This Row],[Site]],'Important Info!'!$A$1:$F$135,2,FALSE)</f>
        <v>-</v>
      </c>
      <c r="M1637" s="52" t="str">
        <f>VLOOKUP(Tabla3[[#This Row],[Site]],'Important Info!'!$A$1:$F$135,3,FALSE)</f>
        <v>9, 19, 20</v>
      </c>
      <c r="N1637" s="52" t="str">
        <f>VLOOKUP(Tabla3[[#This Row],[Site]],'Important Info!'!$A$1:$F$135,4,FALSE)</f>
        <v>-</v>
      </c>
      <c r="O1637" s="52" t="str">
        <f>VLOOKUP(Tabla3[[#This Row],[Site]],'Important Info!'!$A$1:$F$135,5,FALSE)</f>
        <v>10, 17, 19</v>
      </c>
      <c r="P1637" s="52" t="str">
        <f>VLOOKUP(Tabla3[[#This Row],[Site]],'Important Info!'!$A$1:$F$135,6,FALSE)</f>
        <v>3, 4, 5</v>
      </c>
      <c r="Q1637" s="91">
        <f>VLOOKUP(Tabla3[[#This Row],[Site]],'Important Info!'!$A$1:$J$135,9,FALSE)</f>
        <v>272</v>
      </c>
    </row>
    <row r="1638" spans="1:17" x14ac:dyDescent="0.25">
      <c r="A1638" t="str">
        <f>+Tabla3[[#This Row],[Site]]&amp;Tabla3[[#This Row],[Split]]</f>
        <v>(RV) Toms Camperland Mesa (NO TOURS)18</v>
      </c>
      <c r="B1638">
        <v>18</v>
      </c>
      <c r="C1638">
        <v>2</v>
      </c>
      <c r="D1638" t="s">
        <v>51</v>
      </c>
      <c r="E1638" t="s">
        <v>161</v>
      </c>
      <c r="F1638" t="s">
        <v>81</v>
      </c>
      <c r="G1638" t="s">
        <v>52</v>
      </c>
      <c r="H1638" s="52" t="str">
        <f>VLOOKUP(Tabla3[[#This Row],[Site]],'Important Info!'!$A$1:$J$135,10,FALSE)</f>
        <v>https://tools.sig.systems/site/details/222</v>
      </c>
      <c r="J1638" t="s">
        <v>41</v>
      </c>
      <c r="K1638" s="79" t="str">
        <f>VLOOKUP(Tabla3[[#This Row],[Site]],'Important Info!'!$A$1:$H$135,8,FALSE)</f>
        <v>-</v>
      </c>
      <c r="L1638" s="52" t="str">
        <f>VLOOKUP(Tabla3[[#This Row],[Site]],'Important Info!'!$A$1:$F$135,2,FALSE)</f>
        <v>1, 2</v>
      </c>
      <c r="M1638" s="52" t="str">
        <f>VLOOKUP(Tabla3[[#This Row],[Site]],'Important Info!'!$A$1:$F$135,3,FALSE)</f>
        <v>-</v>
      </c>
      <c r="N1638" s="52" t="str">
        <f>VLOOKUP(Tabla3[[#This Row],[Site]],'Important Info!'!$A$1:$F$135,4,FALSE)</f>
        <v>-</v>
      </c>
      <c r="O1638" s="52" t="str">
        <f>VLOOKUP(Tabla3[[#This Row],[Site]],'Important Info!'!$A$1:$F$135,5,FALSE)</f>
        <v>-</v>
      </c>
      <c r="P1638" s="52" t="str">
        <f>VLOOKUP(Tabla3[[#This Row],[Site]],'Important Info!'!$A$1:$F$135,6,FALSE)</f>
        <v>1, 4, 6, 8, 10, 18</v>
      </c>
      <c r="Q1638" s="91">
        <f>VLOOKUP(Tabla3[[#This Row],[Site]],'Important Info!'!$A$1:$J$135,9,FALSE)</f>
        <v>222</v>
      </c>
    </row>
    <row r="1639" spans="1:17" x14ac:dyDescent="0.25">
      <c r="A1639" t="str">
        <f>+Tabla3[[#This Row],[Site]]&amp;Tabla3[[#This Row],[Split]]</f>
        <v>(AS) Bill Estes Ford (NO TOURS)18</v>
      </c>
      <c r="B1639">
        <v>18</v>
      </c>
      <c r="C1639">
        <v>3</v>
      </c>
      <c r="D1639" t="s">
        <v>62</v>
      </c>
      <c r="E1639" t="s">
        <v>35</v>
      </c>
      <c r="F1639" t="s">
        <v>178</v>
      </c>
      <c r="G1639" t="s">
        <v>490</v>
      </c>
      <c r="H1639" s="52" t="str">
        <f>VLOOKUP(Tabla3[[#This Row],[Site]],'Important Info!'!$A$1:$J$135,10,FALSE)</f>
        <v>https://tools.sig.systems/site/details/125</v>
      </c>
      <c r="J1639" t="s">
        <v>41</v>
      </c>
      <c r="K1639" s="79" t="str">
        <f>VLOOKUP(Tabla3[[#This Row],[Site]],'Important Info!'!$A$1:$H$135,8,FALSE)</f>
        <v>-</v>
      </c>
      <c r="L1639" s="52" t="str">
        <f>VLOOKUP(Tabla3[[#This Row],[Site]],'Important Info!'!$A$1:$F$135,2,FALSE)</f>
        <v>-</v>
      </c>
      <c r="M1639" s="52" t="str">
        <f>VLOOKUP(Tabla3[[#This Row],[Site]],'Important Info!'!$A$1:$F$135,3,FALSE)</f>
        <v>2, 3, 13, 16</v>
      </c>
      <c r="N1639" s="52" t="str">
        <f>VLOOKUP(Tabla3[[#This Row],[Site]],'Important Info!'!$A$1:$F$135,4,FALSE)</f>
        <v>-</v>
      </c>
      <c r="O1639" s="52" t="str">
        <f>VLOOKUP(Tabla3[[#This Row],[Site]],'Important Info!'!$A$1:$F$135,5,FALSE)</f>
        <v>1, 10, 14, 19</v>
      </c>
      <c r="P1639" s="52" t="str">
        <f>VLOOKUP(Tabla3[[#This Row],[Site]],'Important Info!'!$A$1:$F$135,6,FALSE)</f>
        <v>7, 8, 9, 10, 11, 12, 14</v>
      </c>
      <c r="Q1639" s="91">
        <f>VLOOKUP(Tabla3[[#This Row],[Site]],'Important Info!'!$A$1:$J$135,9,FALSE)</f>
        <v>125</v>
      </c>
    </row>
    <row r="1640" spans="1:17" x14ac:dyDescent="0.25">
      <c r="A1640" t="str">
        <f>+Tabla3[[#This Row],[Site]]&amp;Tabla3[[#This Row],[Split]]</f>
        <v>(AS) Park Place Mercedes Benz Arlington (NO TOURS)18</v>
      </c>
      <c r="B1640">
        <v>18</v>
      </c>
      <c r="C1640">
        <v>3</v>
      </c>
      <c r="D1640" t="s">
        <v>33</v>
      </c>
      <c r="E1640" t="s">
        <v>46</v>
      </c>
      <c r="F1640" t="s">
        <v>518</v>
      </c>
      <c r="G1640" t="s">
        <v>34</v>
      </c>
      <c r="H1640" s="52" t="str">
        <f>VLOOKUP(Tabla3[[#This Row],[Site]],'Important Info!'!$A$1:$J$135,10,FALSE)</f>
        <v>https://tools.sig.systems/site/details/169</v>
      </c>
      <c r="J1640" t="s">
        <v>41</v>
      </c>
      <c r="K1640" s="79" t="str">
        <f>VLOOKUP(Tabla3[[#This Row],[Site]],'Important Info!'!$A$1:$H$135,8,FALSE)</f>
        <v>-</v>
      </c>
      <c r="L1640" s="52" t="str">
        <f>VLOOKUP(Tabla3[[#This Row],[Site]],'Important Info!'!$A$1:$F$135,2,FALSE)</f>
        <v>1, 9, 14</v>
      </c>
      <c r="M1640" s="52" t="str">
        <f>VLOOKUP(Tabla3[[#This Row],[Site]],'Important Info!'!$A$1:$F$135,3,FALSE)</f>
        <v>-</v>
      </c>
      <c r="N1640" s="52" t="str">
        <f>VLOOKUP(Tabla3[[#This Row],[Site]],'Important Info!'!$A$1:$F$135,4,FALSE)</f>
        <v>77, 78, 79, 80</v>
      </c>
      <c r="O1640" s="52" t="str">
        <f>VLOOKUP(Tabla3[[#This Row],[Site]],'Important Info!'!$A$1:$F$135,5,FALSE)</f>
        <v>2, 10, 18, 22, 31, 40</v>
      </c>
      <c r="P1640" s="52">
        <f>VLOOKUP(Tabla3[[#This Row],[Site]],'Important Info!'!$A$1:$F$135,6,FALSE)</f>
        <v>9</v>
      </c>
      <c r="Q1640" s="91">
        <f>VLOOKUP(Tabla3[[#This Row],[Site]],'Important Info!'!$A$1:$J$135,9,FALSE)</f>
        <v>169</v>
      </c>
    </row>
    <row r="1641" spans="1:17" x14ac:dyDescent="0.25">
      <c r="A1641" t="str">
        <f>+Tabla3[[#This Row],[Site]]&amp;Tabla3[[#This Row],[Split]]</f>
        <v>(KG) Hyundai Surprise18</v>
      </c>
      <c r="B1641">
        <v>18</v>
      </c>
      <c r="C1641">
        <v>3</v>
      </c>
      <c r="D1641" t="s">
        <v>51</v>
      </c>
      <c r="E1641" t="s">
        <v>161</v>
      </c>
      <c r="F1641" t="s">
        <v>118</v>
      </c>
      <c r="G1641" t="s">
        <v>52</v>
      </c>
      <c r="H1641" s="52" t="str">
        <f>VLOOKUP(Tabla3[[#This Row],[Site]],'Important Info!'!$A$1:$J$135,10,FALSE)</f>
        <v>https://tools.sig.systems/site/details/269</v>
      </c>
      <c r="I1641" s="43"/>
      <c r="J1641" t="s">
        <v>162</v>
      </c>
      <c r="K1641" s="79" t="str">
        <f>VLOOKUP(Tabla3[[#This Row],[Site]],'Important Info!'!$A$1:$H$135,8,FALSE)</f>
        <v>-</v>
      </c>
      <c r="L1641" s="52" t="str">
        <f>VLOOKUP(Tabla3[[#This Row],[Site]],'Important Info!'!$A$1:$F$135,2,FALSE)</f>
        <v>1, 6, 7</v>
      </c>
      <c r="M1641" s="52" t="str">
        <f>VLOOKUP(Tabla3[[#This Row],[Site]],'Important Info!'!$A$1:$F$135,3,FALSE)</f>
        <v>-</v>
      </c>
      <c r="N1641" s="52" t="str">
        <f>VLOOKUP(Tabla3[[#This Row],[Site]],'Important Info!'!$A$1:$F$135,4,FALSE)</f>
        <v>-</v>
      </c>
      <c r="O1641" s="52" t="str">
        <f>VLOOKUP(Tabla3[[#This Row],[Site]],'Important Info!'!$A$1:$F$135,5,FALSE)</f>
        <v>6, 13</v>
      </c>
      <c r="P1641" s="52" t="str">
        <f>VLOOKUP(Tabla3[[#This Row],[Site]],'Important Info!'!$A$1:$F$135,6,FALSE)</f>
        <v>-</v>
      </c>
      <c r="Q1641" s="91">
        <f>VLOOKUP(Tabla3[[#This Row],[Site]],'Important Info!'!$A$1:$J$135,9,FALSE)</f>
        <v>269</v>
      </c>
    </row>
    <row r="1642" spans="1:17" x14ac:dyDescent="0.25">
      <c r="A1642" t="str">
        <f>+Tabla3[[#This Row],[Site]]&amp;Tabla3[[#This Row],[Split]]</f>
        <v>(KG) Texan GMC Buick (NO TOURS)18</v>
      </c>
      <c r="B1642">
        <v>18</v>
      </c>
      <c r="C1642">
        <v>3</v>
      </c>
      <c r="D1642" t="s">
        <v>33</v>
      </c>
      <c r="E1642" t="s">
        <v>46</v>
      </c>
      <c r="F1642" t="s">
        <v>111</v>
      </c>
      <c r="G1642" t="s">
        <v>34</v>
      </c>
      <c r="H1642" s="52" t="str">
        <f>VLOOKUP(Tabla3[[#This Row],[Site]],'Important Info!'!$A$1:$J$135,10,FALSE)</f>
        <v>https://tools.sig.systems/site/details/225</v>
      </c>
      <c r="I1642" s="2" t="s">
        <v>137</v>
      </c>
      <c r="J1642" t="s">
        <v>41</v>
      </c>
      <c r="K1642" s="79" t="str">
        <f>VLOOKUP(Tabla3[[#This Row],[Site]],'Important Info!'!$A$1:$H$135,8,FALSE)</f>
        <v>-</v>
      </c>
      <c r="L1642" s="52" t="str">
        <f>VLOOKUP(Tabla3[[#This Row],[Site]],'Important Info!'!$A$1:$F$135,2,FALSE)</f>
        <v>1, 20, 53</v>
      </c>
      <c r="M1642" s="52" t="str">
        <f>VLOOKUP(Tabla3[[#This Row],[Site]],'Important Info!'!$A$1:$F$135,3,FALSE)</f>
        <v>-</v>
      </c>
      <c r="N1642" s="52" t="str">
        <f>VLOOKUP(Tabla3[[#This Row],[Site]],'Important Info!'!$A$1:$F$135,4,FALSE)</f>
        <v>-</v>
      </c>
      <c r="O1642" s="52" t="str">
        <f>VLOOKUP(Tabla3[[#This Row],[Site]],'Important Info!'!$A$1:$F$135,5,FALSE)</f>
        <v>2, 8, 14</v>
      </c>
      <c r="P1642" s="52" t="str">
        <f>VLOOKUP(Tabla3[[#This Row],[Site]],'Important Info!'!$A$1:$F$135,6,FALSE)</f>
        <v>51, 52, 16</v>
      </c>
      <c r="Q1642" s="91">
        <f>VLOOKUP(Tabla3[[#This Row],[Site]],'Important Info!'!$A$1:$J$135,9,FALSE)</f>
        <v>225</v>
      </c>
    </row>
    <row r="1643" spans="1:17" x14ac:dyDescent="0.25">
      <c r="A1643" t="str">
        <f>+Tabla3[[#This Row],[Site]]&amp;Tabla3[[#This Row],[Split]]</f>
        <v>(ML) Joe Machens CDJR18</v>
      </c>
      <c r="B1643">
        <v>18</v>
      </c>
      <c r="C1643">
        <v>3</v>
      </c>
      <c r="D1643" t="s">
        <v>33</v>
      </c>
      <c r="E1643" t="s">
        <v>46</v>
      </c>
      <c r="F1643" t="s">
        <v>88</v>
      </c>
      <c r="G1643" t="s">
        <v>34</v>
      </c>
      <c r="H1643" s="52" t="str">
        <f>VLOOKUP(Tabla3[[#This Row],[Site]],'Important Info!'!$A$1:$J$135,10,FALSE)</f>
        <v>https://tools.sig.systems/site/details/273</v>
      </c>
      <c r="I1643" s="43" t="s">
        <v>146</v>
      </c>
      <c r="J1643" t="s">
        <v>41</v>
      </c>
      <c r="K1643" s="79" t="str">
        <f>VLOOKUP(Tabla3[[#This Row],[Site]],'Important Info!'!$A$1:$H$135,8,FALSE)</f>
        <v>-</v>
      </c>
      <c r="L1643" s="52" t="str">
        <f>VLOOKUP(Tabla3[[#This Row],[Site]],'Important Info!'!$A$1:$F$135,2,FALSE)</f>
        <v>-</v>
      </c>
      <c r="M1643" s="52">
        <f>VLOOKUP(Tabla3[[#This Row],[Site]],'Important Info!'!$A$1:$F$135,3,FALSE)</f>
        <v>3</v>
      </c>
      <c r="N1643" s="52" t="str">
        <f>VLOOKUP(Tabla3[[#This Row],[Site]],'Important Info!'!$A$1:$F$135,4,FALSE)</f>
        <v>-</v>
      </c>
      <c r="O1643" s="52" t="str">
        <f>VLOOKUP(Tabla3[[#This Row],[Site]],'Important Info!'!$A$1:$F$135,5,FALSE)</f>
        <v>-</v>
      </c>
      <c r="P1643" s="52" t="str">
        <f>VLOOKUP(Tabla3[[#This Row],[Site]],'Important Info!'!$A$1:$F$135,6,FALSE)</f>
        <v>1, 2, 3,</v>
      </c>
      <c r="Q1643" s="91">
        <f>VLOOKUP(Tabla3[[#This Row],[Site]],'Important Info!'!$A$1:$J$135,9,FALSE)</f>
        <v>273</v>
      </c>
    </row>
    <row r="1644" spans="1:17" x14ac:dyDescent="0.25">
      <c r="A1644" t="str">
        <f>+Tabla3[[#This Row],[Site]]&amp;Tabla3[[#This Row],[Split]]</f>
        <v>(PE) BMW Tenafly (NO TOURS)18</v>
      </c>
      <c r="B1644">
        <v>18</v>
      </c>
      <c r="C1644">
        <v>3</v>
      </c>
      <c r="D1644" t="s">
        <v>485</v>
      </c>
      <c r="E1644" t="s">
        <v>35</v>
      </c>
      <c r="F1644" t="s">
        <v>173</v>
      </c>
      <c r="G1644" t="s">
        <v>490</v>
      </c>
      <c r="H1644" s="52" t="str">
        <f>VLOOKUP(Tabla3[[#This Row],[Site]],'Important Info!'!$A$1:$J$135,10,FALSE)</f>
        <v>https://tools.sig.systems/site/details/155</v>
      </c>
      <c r="I1644" s="43"/>
      <c r="J1644" t="s">
        <v>41</v>
      </c>
      <c r="K1644" s="79" t="str">
        <f>VLOOKUP(Tabla3[[#This Row],[Site]],'Important Info!'!$A$1:$H$135,8,FALSE)</f>
        <v>-</v>
      </c>
      <c r="L1644" s="52">
        <f>VLOOKUP(Tabla3[[#This Row],[Site]],'Important Info!'!$A$1:$F$135,2,FALSE)</f>
        <v>24</v>
      </c>
      <c r="M1644" s="52" t="str">
        <f>VLOOKUP(Tabla3[[#This Row],[Site]],'Important Info!'!$A$1:$F$135,3,FALSE)</f>
        <v>1, 3, 4, 17, 23</v>
      </c>
      <c r="N1644" s="52" t="str">
        <f>VLOOKUP(Tabla3[[#This Row],[Site]],'Important Info!'!$A$1:$F$135,4,FALSE)</f>
        <v>-</v>
      </c>
      <c r="O1644" s="52" t="str">
        <f>VLOOKUP(Tabla3[[#This Row],[Site]],'Important Info!'!$A$1:$F$135,5,FALSE)</f>
        <v>-</v>
      </c>
      <c r="P1644" s="52">
        <f>VLOOKUP(Tabla3[[#This Row],[Site]],'Important Info!'!$A$1:$F$135,6,FALSE)</f>
        <v>1</v>
      </c>
      <c r="Q1644" s="91">
        <f>VLOOKUP(Tabla3[[#This Row],[Site]],'Important Info!'!$A$1:$J$135,9,FALSE)</f>
        <v>155</v>
      </c>
    </row>
    <row r="1645" spans="1:17" x14ac:dyDescent="0.25">
      <c r="A1645" t="str">
        <f>+Tabla3[[#This Row],[Site]]&amp;Tabla3[[#This Row],[Split]]</f>
        <v>(AS) Park Place Volvo Sales (NO TOURS)18</v>
      </c>
      <c r="B1645">
        <v>18</v>
      </c>
      <c r="C1645">
        <v>4</v>
      </c>
      <c r="D1645" t="s">
        <v>33</v>
      </c>
      <c r="E1645" t="s">
        <v>46</v>
      </c>
      <c r="F1645" t="s">
        <v>521</v>
      </c>
      <c r="G1645" t="s">
        <v>34</v>
      </c>
      <c r="H1645" s="52" t="str">
        <f>VLOOKUP(Tabla3[[#This Row],[Site]],'Important Info!'!$A$1:$J$135,10,FALSE)</f>
        <v>https://tools.sig.systems/site/details/139</v>
      </c>
      <c r="I1645" s="65" t="s">
        <v>125</v>
      </c>
      <c r="J1645" t="s">
        <v>41</v>
      </c>
      <c r="K1645" s="79" t="str">
        <f>VLOOKUP(Tabla3[[#This Row],[Site]],'Important Info!'!$A$1:$H$135,8,FALSE)</f>
        <v>-</v>
      </c>
      <c r="L1645" s="52" t="str">
        <f>VLOOKUP(Tabla3[[#This Row],[Site]],'Important Info!'!$A$1:$F$135,2,FALSE)</f>
        <v>4, 6, 9, 11</v>
      </c>
      <c r="M1645" s="52" t="str">
        <f>VLOOKUP(Tabla3[[#This Row],[Site]],'Important Info!'!$A$1:$F$135,3,FALSE)</f>
        <v>-</v>
      </c>
      <c r="N1645" s="52" t="str">
        <f>VLOOKUP(Tabla3[[#This Row],[Site]],'Important Info!'!$A$1:$F$135,4,FALSE)</f>
        <v>-</v>
      </c>
      <c r="O1645" s="52" t="str">
        <f>VLOOKUP(Tabla3[[#This Row],[Site]],'Important Info!'!$A$1:$F$135,5,FALSE)</f>
        <v>2, 9</v>
      </c>
      <c r="P1645" s="52" t="str">
        <f>VLOOKUP(Tabla3[[#This Row],[Site]],'Important Info!'!$A$1:$F$135,6,FALSE)</f>
        <v>4, 10, 11</v>
      </c>
      <c r="Q1645" s="91">
        <f>VLOOKUP(Tabla3[[#This Row],[Site]],'Important Info!'!$A$1:$J$135,9,FALSE)</f>
        <v>139</v>
      </c>
    </row>
    <row r="1646" spans="1:17" x14ac:dyDescent="0.25">
      <c r="A1646" t="str">
        <f>+Tabla3[[#This Row],[Site]]&amp;Tabla3[[#This Row],[Split]]</f>
        <v>(KG) Big Star CDJR of Clear Lake18</v>
      </c>
      <c r="B1646">
        <v>18</v>
      </c>
      <c r="C1646">
        <v>4</v>
      </c>
      <c r="D1646" t="s">
        <v>33</v>
      </c>
      <c r="E1646" t="s">
        <v>46</v>
      </c>
      <c r="F1646" t="s">
        <v>133</v>
      </c>
      <c r="G1646" t="s">
        <v>34</v>
      </c>
      <c r="H1646" s="52" t="str">
        <f>VLOOKUP(Tabla3[[#This Row],[Site]],'Important Info!'!$A$1:$J$135,10,FALSE)</f>
        <v>https://tools.sig.systems/site/details/232</v>
      </c>
      <c r="I1646" s="43" t="s">
        <v>134</v>
      </c>
      <c r="J1646" t="s">
        <v>41</v>
      </c>
      <c r="K1646" s="79" t="str">
        <f>VLOOKUP(Tabla3[[#This Row],[Site]],'Important Info!'!$A$1:$H$135,8,FALSE)</f>
        <v>-</v>
      </c>
      <c r="L1646" s="52" t="str">
        <f>VLOOKUP(Tabla3[[#This Row],[Site]],'Important Info!'!$A$1:$F$135,2,FALSE)</f>
        <v>8, 25</v>
      </c>
      <c r="M1646" s="52" t="str">
        <f>VLOOKUP(Tabla3[[#This Row],[Site]],'Important Info!'!$A$1:$F$135,3,FALSE)</f>
        <v>-</v>
      </c>
      <c r="N1646" s="52" t="str">
        <f>VLOOKUP(Tabla3[[#This Row],[Site]],'Important Info!'!$A$1:$F$135,4,FALSE)</f>
        <v>-</v>
      </c>
      <c r="O1646" s="52" t="str">
        <f>VLOOKUP(Tabla3[[#This Row],[Site]],'Important Info!'!$A$1:$F$135,5,FALSE)</f>
        <v>7, 13, 19, 24</v>
      </c>
      <c r="P1646" s="52" t="str">
        <f>VLOOKUP(Tabla3[[#This Row],[Site]],'Important Info!'!$A$1:$F$135,6,FALSE)</f>
        <v>6, 8, 25, 31</v>
      </c>
      <c r="Q1646" s="91">
        <f>VLOOKUP(Tabla3[[#This Row],[Site]],'Important Info!'!$A$1:$J$135,9,FALSE)</f>
        <v>232</v>
      </c>
    </row>
    <row r="1647" spans="1:17" x14ac:dyDescent="0.25">
      <c r="A1647" t="str">
        <f>+Tabla3[[#This Row],[Site]]&amp;Tabla3[[#This Row],[Split]]</f>
        <v>(LM) Luther Mazda / Mitsubishi18</v>
      </c>
      <c r="B1647">
        <v>18</v>
      </c>
      <c r="C1647">
        <v>4</v>
      </c>
      <c r="D1647" t="s">
        <v>33</v>
      </c>
      <c r="E1647" t="s">
        <v>46</v>
      </c>
      <c r="F1647" t="s">
        <v>103</v>
      </c>
      <c r="G1647" t="s">
        <v>34</v>
      </c>
      <c r="H1647" s="52" t="str">
        <f>VLOOKUP(Tabla3[[#This Row],[Site]],'Important Info!'!$A$1:$J$135,10,FALSE)</f>
        <v>https://tools.sig.systems/site/details/147</v>
      </c>
      <c r="I1647" s="2" t="s">
        <v>138</v>
      </c>
      <c r="J1647" t="s">
        <v>41</v>
      </c>
      <c r="K1647" s="79" t="str">
        <f>VLOOKUP(Tabla3[[#This Row],[Site]],'Important Info!'!$A$1:$H$135,8,FALSE)</f>
        <v>-</v>
      </c>
      <c r="L1647" s="52" t="str">
        <f>VLOOKUP(Tabla3[[#This Row],[Site]],'Important Info!'!$A$1:$F$135,2,FALSE)</f>
        <v>4, 5, 6</v>
      </c>
      <c r="M1647" s="52" t="str">
        <f>VLOOKUP(Tabla3[[#This Row],[Site]],'Important Info!'!$A$1:$F$135,3,FALSE)</f>
        <v>-</v>
      </c>
      <c r="N1647" s="52" t="str">
        <f>VLOOKUP(Tabla3[[#This Row],[Site]],'Important Info!'!$A$1:$F$135,4,FALSE)</f>
        <v>1, 2</v>
      </c>
      <c r="O1647" s="52" t="str">
        <f>VLOOKUP(Tabla3[[#This Row],[Site]],'Important Info!'!$A$1:$F$135,5,FALSE)</f>
        <v>-</v>
      </c>
      <c r="P1647" s="52" t="str">
        <f>VLOOKUP(Tabla3[[#This Row],[Site]],'Important Info!'!$A$1:$F$135,6,FALSE)</f>
        <v>13, 14, 15, 16</v>
      </c>
      <c r="Q1647" s="91">
        <f>VLOOKUP(Tabla3[[#This Row],[Site]],'Important Info!'!$A$1:$J$135,9,FALSE)</f>
        <v>147</v>
      </c>
    </row>
    <row r="1648" spans="1:17" x14ac:dyDescent="0.25">
      <c r="A1648" t="str">
        <f>+Tabla3[[#This Row],[Site]]&amp;Tabla3[[#This Row],[Split]]</f>
        <v>(ML) Ford Lincoln of North Little Rock18</v>
      </c>
      <c r="B1648">
        <v>18</v>
      </c>
      <c r="C1648">
        <v>4</v>
      </c>
      <c r="D1648" t="s">
        <v>33</v>
      </c>
      <c r="E1648" t="s">
        <v>46</v>
      </c>
      <c r="F1648" t="s">
        <v>145</v>
      </c>
      <c r="G1648" t="s">
        <v>34</v>
      </c>
      <c r="H1648" s="52" t="str">
        <f>VLOOKUP(Tabla3[[#This Row],[Site]],'Important Info!'!$A$1:$J$135,10,FALSE)</f>
        <v>https://tools.sig.systems/site/details/214</v>
      </c>
      <c r="I1648" s="43" t="s">
        <v>142</v>
      </c>
      <c r="J1648" t="s">
        <v>41</v>
      </c>
      <c r="K1648" s="79" t="str">
        <f>VLOOKUP(Tabla3[[#This Row],[Site]],'Important Info!'!$A$1:$H$135,8,FALSE)</f>
        <v>-</v>
      </c>
      <c r="L1648" s="52" t="str">
        <f>VLOOKUP(Tabla3[[#This Row],[Site]],'Important Info!'!$A$1:$F$135,2,FALSE)</f>
        <v>4, 15, 18, 67, 74</v>
      </c>
      <c r="M1648" s="52">
        <f>VLOOKUP(Tabla3[[#This Row],[Site]],'Important Info!'!$A$1:$F$135,3,FALSE)</f>
        <v>13</v>
      </c>
      <c r="N1648" s="52" t="str">
        <f>VLOOKUP(Tabla3[[#This Row],[Site]],'Important Info!'!$A$1:$F$135,4,FALSE)</f>
        <v>-</v>
      </c>
      <c r="O1648" s="52" t="str">
        <f>VLOOKUP(Tabla3[[#This Row],[Site]],'Important Info!'!$A$1:$F$135,5,FALSE)</f>
        <v>4, 11, 16, 28</v>
      </c>
      <c r="P1648" s="52" t="str">
        <f>VLOOKUP(Tabla3[[#This Row],[Site]],'Important Info!'!$A$1:$F$135,6,FALSE)</f>
        <v>10, 11, 12</v>
      </c>
      <c r="Q1648" s="91">
        <f>VLOOKUP(Tabla3[[#This Row],[Site]],'Important Info!'!$A$1:$J$135,9,FALSE)</f>
        <v>214</v>
      </c>
    </row>
    <row r="1649" spans="1:17" x14ac:dyDescent="0.25">
      <c r="A1649" t="str">
        <f>+Tabla3[[#This Row],[Site]]&amp;Tabla3[[#This Row],[Split]]</f>
        <v>(ML) Joe Machens VW18</v>
      </c>
      <c r="B1649">
        <v>18</v>
      </c>
      <c r="C1649">
        <v>4</v>
      </c>
      <c r="D1649" t="s">
        <v>33</v>
      </c>
      <c r="E1649" t="s">
        <v>46</v>
      </c>
      <c r="F1649" t="s">
        <v>74</v>
      </c>
      <c r="G1649" t="s">
        <v>34</v>
      </c>
      <c r="H1649" s="52" t="str">
        <f>VLOOKUP(Tabla3[[#This Row],[Site]],'Important Info!'!$A$1:$J$135,10,FALSE)</f>
        <v>https://tools.sig.systems/site/details/274</v>
      </c>
      <c r="I1649" s="43" t="s">
        <v>146</v>
      </c>
      <c r="J1649" t="s">
        <v>41</v>
      </c>
      <c r="K1649" s="79" t="str">
        <f>VLOOKUP(Tabla3[[#This Row],[Site]],'Important Info!'!$A$1:$H$135,8,FALSE)</f>
        <v>-</v>
      </c>
      <c r="L1649" s="52" t="str">
        <f>VLOOKUP(Tabla3[[#This Row],[Site]],'Important Info!'!$A$1:$F$135,2,FALSE)</f>
        <v>-</v>
      </c>
      <c r="M1649" s="52" t="str">
        <f>VLOOKUP(Tabla3[[#This Row],[Site]],'Important Info!'!$A$1:$F$135,3,FALSE)</f>
        <v>1, 11, 18</v>
      </c>
      <c r="N1649" s="52" t="str">
        <f>VLOOKUP(Tabla3[[#This Row],[Site]],'Important Info!'!$A$1:$F$135,4,FALSE)</f>
        <v>-</v>
      </c>
      <c r="O1649" s="52">
        <f>VLOOKUP(Tabla3[[#This Row],[Site]],'Important Info!'!$A$1:$F$135,5,FALSE)</f>
        <v>17</v>
      </c>
      <c r="P1649" s="52" t="str">
        <f>VLOOKUP(Tabla3[[#This Row],[Site]],'Important Info!'!$A$1:$F$135,6,FALSE)</f>
        <v>-</v>
      </c>
      <c r="Q1649" s="91">
        <f>VLOOKUP(Tabla3[[#This Row],[Site]],'Important Info!'!$A$1:$J$135,9,FALSE)</f>
        <v>274</v>
      </c>
    </row>
    <row r="1650" spans="1:17" x14ac:dyDescent="0.25">
      <c r="A1650" t="str">
        <f>+Tabla3[[#This Row],[Site]]&amp;Tabla3[[#This Row],[Split]]</f>
        <v>(ML) Nissan of Little Rock18</v>
      </c>
      <c r="B1650">
        <v>18</v>
      </c>
      <c r="C1650">
        <v>4</v>
      </c>
      <c r="D1650" t="s">
        <v>33</v>
      </c>
      <c r="E1650" t="s">
        <v>46</v>
      </c>
      <c r="F1650" t="s">
        <v>152</v>
      </c>
      <c r="G1650" t="s">
        <v>34</v>
      </c>
      <c r="H1650" s="52" t="str">
        <f>VLOOKUP(Tabla3[[#This Row],[Site]],'Important Info!'!$A$1:$J$135,10,FALSE)</f>
        <v>https://tools.sig.systems/site/details/224</v>
      </c>
      <c r="I1650" t="s">
        <v>140</v>
      </c>
      <c r="J1650" t="s">
        <v>41</v>
      </c>
      <c r="K1650" s="79" t="str">
        <f>VLOOKUP(Tabla3[[#This Row],[Site]],'Important Info!'!$A$1:$H$135,8,FALSE)</f>
        <v>-</v>
      </c>
      <c r="L1650" s="52" t="str">
        <f>VLOOKUP(Tabla3[[#This Row],[Site]],'Important Info!'!$A$1:$F$135,2,FALSE)</f>
        <v>3, 6</v>
      </c>
      <c r="M1650" s="52" t="str">
        <f>VLOOKUP(Tabla3[[#This Row],[Site]],'Important Info!'!$A$1:$F$135,3,FALSE)</f>
        <v>-</v>
      </c>
      <c r="N1650" s="52" t="str">
        <f>VLOOKUP(Tabla3[[#This Row],[Site]],'Important Info!'!$A$1:$F$135,4,FALSE)</f>
        <v>-</v>
      </c>
      <c r="O1650" s="52" t="str">
        <f>VLOOKUP(Tabla3[[#This Row],[Site]],'Important Info!'!$A$1:$F$135,5,FALSE)</f>
        <v>1, 8, 16, 22</v>
      </c>
      <c r="P1650" s="52" t="str">
        <f>VLOOKUP(Tabla3[[#This Row],[Site]],'Important Info!'!$A$1:$F$135,6,FALSE)</f>
        <v>3, 4</v>
      </c>
      <c r="Q1650" s="91">
        <f>VLOOKUP(Tabla3[[#This Row],[Site]],'Important Info!'!$A$1:$J$135,9,FALSE)</f>
        <v>224</v>
      </c>
    </row>
    <row r="1651" spans="1:17" x14ac:dyDescent="0.25">
      <c r="A1651" t="str">
        <f>+Tabla3[[#This Row],[Site]]&amp;Tabla3[[#This Row],[Split]]</f>
        <v>(PE) BMW of Greenwich (NO TOURS)18</v>
      </c>
      <c r="B1651">
        <v>18</v>
      </c>
      <c r="C1651">
        <v>4</v>
      </c>
      <c r="D1651" t="s">
        <v>485</v>
      </c>
      <c r="E1651" t="s">
        <v>35</v>
      </c>
      <c r="F1651" t="s">
        <v>170</v>
      </c>
      <c r="G1651" t="s">
        <v>490</v>
      </c>
      <c r="H1651" s="52" t="str">
        <f>VLOOKUP(Tabla3[[#This Row],[Site]],'Important Info!'!$A$1:$J$135,10,FALSE)</f>
        <v>https://tools.sig.systems/site/details/186</v>
      </c>
      <c r="I1651" s="2" t="s">
        <v>171</v>
      </c>
      <c r="J1651" t="s">
        <v>41</v>
      </c>
      <c r="K1651" s="79" t="str">
        <f>VLOOKUP(Tabla3[[#This Row],[Site]],'Important Info!'!$A$1:$H$135,8,FALSE)</f>
        <v>-</v>
      </c>
      <c r="L1651" s="52" t="str">
        <f>VLOOKUP(Tabla3[[#This Row],[Site]],'Important Info!'!$A$1:$F$135,2,FALSE)</f>
        <v>1, 6, 15</v>
      </c>
      <c r="M1651" s="52" t="str">
        <f>VLOOKUP(Tabla3[[#This Row],[Site]],'Important Info!'!$A$1:$F$135,3,FALSE)</f>
        <v>-</v>
      </c>
      <c r="N1651" s="52" t="str">
        <f>VLOOKUP(Tabla3[[#This Row],[Site]],'Important Info!'!$A$1:$F$135,4,FALSE)</f>
        <v>-</v>
      </c>
      <c r="O1651" s="52" t="str">
        <f>VLOOKUP(Tabla3[[#This Row],[Site]],'Important Info!'!$A$1:$F$135,5,FALSE)</f>
        <v>-</v>
      </c>
      <c r="P1651" s="52">
        <f>VLOOKUP(Tabla3[[#This Row],[Site]],'Important Info!'!$A$1:$F$135,6,FALSE)</f>
        <v>12</v>
      </c>
      <c r="Q1651" s="91">
        <f>VLOOKUP(Tabla3[[#This Row],[Site]],'Important Info!'!$A$1:$J$135,9,FALSE)</f>
        <v>186</v>
      </c>
    </row>
    <row r="1652" spans="1:17" x14ac:dyDescent="0.25">
      <c r="A1652" t="str">
        <f>+Tabla3[[#This Row],[Site]]&amp;Tabla3[[#This Row],[Split]]</f>
        <v>(AS) Mercedes Benz/Porsche Dallas I,II,III (NO TOURS)18</v>
      </c>
      <c r="B1652">
        <v>18</v>
      </c>
      <c r="C1652">
        <v>5</v>
      </c>
      <c r="D1652" t="s">
        <v>33</v>
      </c>
      <c r="E1652" t="s">
        <v>46</v>
      </c>
      <c r="F1652" t="s">
        <v>509</v>
      </c>
      <c r="G1652" t="s">
        <v>34</v>
      </c>
      <c r="H1652" s="52" t="str">
        <f>VLOOKUP(Tabla3[[#This Row],[Site]],'Important Info!'!$A$1:$J$135,10,FALSE)</f>
        <v>https://tools.sig.systems/site/details/168</v>
      </c>
      <c r="I1652" s="65" t="s">
        <v>125</v>
      </c>
      <c r="J1652" t="s">
        <v>41</v>
      </c>
      <c r="K1652" s="79" t="str">
        <f>VLOOKUP(Tabla3[[#This Row],[Site]],'Important Info!'!$A$1:$H$135,8,FALSE)</f>
        <v>-</v>
      </c>
      <c r="L1652" s="52" t="str">
        <f>VLOOKUP(Tabla3[[#This Row],[Site]],'Important Info!'!$A$1:$F$135,2,FALSE)</f>
        <v>3, 4, 17, 26, 41</v>
      </c>
      <c r="M1652" s="52" t="str">
        <f>VLOOKUP(Tabla3[[#This Row],[Site]],'Important Info!'!$A$1:$F$135,3,FALSE)</f>
        <v>-</v>
      </c>
      <c r="N1652" s="52" t="str">
        <f>VLOOKUP(Tabla3[[#This Row],[Site]],'Important Info!'!$A$1:$F$135,4,FALSE)</f>
        <v>153, 154, 155, 156, 157, 158</v>
      </c>
      <c r="O1652" s="52" t="str">
        <f>VLOOKUP(Tabla3[[#This Row],[Site]],'Important Info!'!$A$1:$F$135,5,FALSE)</f>
        <v>2, 6, 10, 20, 28, 30, 36</v>
      </c>
      <c r="P1652" s="52" t="str">
        <f>VLOOKUP(Tabla3[[#This Row],[Site]],'Important Info!'!$A$1:$F$135,6,FALSE)</f>
        <v>31, 41, 159</v>
      </c>
      <c r="Q1652" s="91">
        <f>VLOOKUP(Tabla3[[#This Row],[Site]],'Important Info!'!$A$1:$J$135,9,FALSE)</f>
        <v>168</v>
      </c>
    </row>
    <row r="1653" spans="1:17" x14ac:dyDescent="0.25">
      <c r="A1653" t="str">
        <f>+Tabla3[[#This Row],[Site]]&amp;Tabla3[[#This Row],[Split]]</f>
        <v>(DT) Colorado Springs (NO TOURS)18</v>
      </c>
      <c r="B1653">
        <v>18</v>
      </c>
      <c r="C1653">
        <v>5</v>
      </c>
      <c r="D1653" t="s">
        <v>44</v>
      </c>
      <c r="E1653" t="s">
        <v>53</v>
      </c>
      <c r="F1653" t="s">
        <v>156</v>
      </c>
      <c r="G1653" t="s">
        <v>45</v>
      </c>
      <c r="H1653" s="52" t="str">
        <f>VLOOKUP(Tabla3[[#This Row],[Site]],'Important Info!'!$A$1:$J$135,10,FALSE)</f>
        <v>https://tools.sig.systems/site/details/198</v>
      </c>
      <c r="J1653" t="s">
        <v>41</v>
      </c>
      <c r="K1653" s="79" t="str">
        <f>VLOOKUP(Tabla3[[#This Row],[Site]],'Important Info!'!$A$1:$H$135,8,FALSE)</f>
        <v>-</v>
      </c>
      <c r="L1653" s="52" t="str">
        <f>VLOOKUP(Tabla3[[#This Row],[Site]],'Important Info!'!$A$1:$F$135,2,FALSE)</f>
        <v>-</v>
      </c>
      <c r="M1653" s="52" t="str">
        <f>VLOOKUP(Tabla3[[#This Row],[Site]],'Important Info!'!$A$1:$F$135,3,FALSE)</f>
        <v>1, 2, 3, 4</v>
      </c>
      <c r="N1653" s="52" t="str">
        <f>VLOOKUP(Tabla3[[#This Row],[Site]],'Important Info!'!$A$1:$F$135,4,FALSE)</f>
        <v>-</v>
      </c>
      <c r="O1653" s="52" t="str">
        <f>VLOOKUP(Tabla3[[#This Row],[Site]],'Important Info!'!$A$1:$F$135,5,FALSE)</f>
        <v>-</v>
      </c>
      <c r="P1653" s="52" t="str">
        <f>VLOOKUP(Tabla3[[#This Row],[Site]],'Important Info!'!$A$1:$F$135,6,FALSE)</f>
        <v>1, 2, 3, 11</v>
      </c>
      <c r="Q1653" s="91">
        <f>VLOOKUP(Tabla3[[#This Row],[Site]],'Important Info!'!$A$1:$J$135,9,FALSE)</f>
        <v>198</v>
      </c>
    </row>
    <row r="1654" spans="1:17" x14ac:dyDescent="0.25">
      <c r="A1654" t="str">
        <f>+Tabla3[[#This Row],[Site]]&amp;Tabla3[[#This Row],[Split]]</f>
        <v>(ML) BMW of Little Rock18</v>
      </c>
      <c r="B1654">
        <v>18</v>
      </c>
      <c r="C1654">
        <v>5</v>
      </c>
      <c r="D1654" t="s">
        <v>33</v>
      </c>
      <c r="E1654" t="s">
        <v>46</v>
      </c>
      <c r="F1654" t="s">
        <v>139</v>
      </c>
      <c r="G1654" t="s">
        <v>34</v>
      </c>
      <c r="H1654" s="52" t="str">
        <f>VLOOKUP(Tabla3[[#This Row],[Site]],'Important Info!'!$A$1:$J$135,10,FALSE)</f>
        <v>https://tools.sig.systems/site/details/217</v>
      </c>
      <c r="I1654" t="s">
        <v>140</v>
      </c>
      <c r="J1654" t="s">
        <v>41</v>
      </c>
      <c r="K1654" s="79" t="str">
        <f>VLOOKUP(Tabla3[[#This Row],[Site]],'Important Info!'!$A$1:$H$135,8,FALSE)</f>
        <v>-</v>
      </c>
      <c r="L1654" s="52" t="str">
        <f>VLOOKUP(Tabla3[[#This Row],[Site]],'Important Info!'!$A$1:$F$135,2,FALSE)</f>
        <v>-</v>
      </c>
      <c r="M1654" s="52">
        <f>VLOOKUP(Tabla3[[#This Row],[Site]],'Important Info!'!$A$1:$F$135,3,FALSE)</f>
        <v>14</v>
      </c>
      <c r="N1654" s="52" t="str">
        <f>VLOOKUP(Tabla3[[#This Row],[Site]],'Important Info!'!$A$1:$F$135,4,FALSE)</f>
        <v>-</v>
      </c>
      <c r="O1654" s="52" t="str">
        <f>VLOOKUP(Tabla3[[#This Row],[Site]],'Important Info!'!$A$1:$F$135,5,FALSE)</f>
        <v>-</v>
      </c>
      <c r="P1654" s="52" t="str">
        <f>VLOOKUP(Tabla3[[#This Row],[Site]],'Important Info!'!$A$1:$F$135,6,FALSE)</f>
        <v>5, 6, 7, 8, 9, 32</v>
      </c>
      <c r="Q1654" s="91">
        <f>VLOOKUP(Tabla3[[#This Row],[Site]],'Important Info!'!$A$1:$J$135,9,FALSE)</f>
        <v>217</v>
      </c>
    </row>
    <row r="1655" spans="1:17" x14ac:dyDescent="0.25">
      <c r="A1655" t="str">
        <f>+Tabla3[[#This Row],[Site]]&amp;Tabla3[[#This Row],[Split]]</f>
        <v>(ML) Joe Machens Toyota18</v>
      </c>
      <c r="B1655">
        <v>18</v>
      </c>
      <c r="C1655">
        <v>5</v>
      </c>
      <c r="D1655" t="s">
        <v>33</v>
      </c>
      <c r="E1655" t="s">
        <v>46</v>
      </c>
      <c r="F1655" t="s">
        <v>73</v>
      </c>
      <c r="G1655" t="s">
        <v>34</v>
      </c>
      <c r="H1655" s="52" t="str">
        <f>VLOOKUP(Tabla3[[#This Row],[Site]],'Important Info!'!$A$1:$J$135,10,FALSE)</f>
        <v>https://tools.sig.systems/site/details/275</v>
      </c>
      <c r="I1655" s="43" t="s">
        <v>146</v>
      </c>
      <c r="J1655" t="s">
        <v>41</v>
      </c>
      <c r="K1655" s="79" t="str">
        <f>VLOOKUP(Tabla3[[#This Row],[Site]],'Important Info!'!$A$1:$H$135,8,FALSE)</f>
        <v>-</v>
      </c>
      <c r="L1655" s="52" t="str">
        <f>VLOOKUP(Tabla3[[#This Row],[Site]],'Important Info!'!$A$1:$F$135,2,FALSE)</f>
        <v>-</v>
      </c>
      <c r="M1655" s="52" t="str">
        <f>VLOOKUP(Tabla3[[#This Row],[Site]],'Important Info!'!$A$1:$F$135,3,FALSE)</f>
        <v>1, 4, 6</v>
      </c>
      <c r="N1655" s="52" t="str">
        <f>VLOOKUP(Tabla3[[#This Row],[Site]],'Important Info!'!$A$1:$F$135,4,FALSE)</f>
        <v>-</v>
      </c>
      <c r="O1655" s="52" t="str">
        <f>VLOOKUP(Tabla3[[#This Row],[Site]],'Important Info!'!$A$1:$F$135,5,FALSE)</f>
        <v>4, 10</v>
      </c>
      <c r="P1655" s="52" t="str">
        <f>VLOOKUP(Tabla3[[#This Row],[Site]],'Important Info!'!$A$1:$F$135,6,FALSE)</f>
        <v>-</v>
      </c>
      <c r="Q1655" s="91">
        <f>VLOOKUP(Tabla3[[#This Row],[Site]],'Important Info!'!$A$1:$J$135,9,FALSE)</f>
        <v>275</v>
      </c>
    </row>
    <row r="1656" spans="1:17" x14ac:dyDescent="0.25">
      <c r="A1656" t="str">
        <f>+Tabla3[[#This Row],[Site]]&amp;Tabla3[[#This Row],[Split]]</f>
        <v>(ML) Toyota N Little Rock18</v>
      </c>
      <c r="B1656">
        <v>18</v>
      </c>
      <c r="C1656">
        <v>5</v>
      </c>
      <c r="D1656" t="s">
        <v>33</v>
      </c>
      <c r="E1656" t="s">
        <v>46</v>
      </c>
      <c r="F1656" t="s">
        <v>76</v>
      </c>
      <c r="G1656" t="s">
        <v>34</v>
      </c>
      <c r="H1656" s="52" t="str">
        <f>VLOOKUP(Tabla3[[#This Row],[Site]],'Important Info!'!$A$1:$J$135,10,FALSE)</f>
        <v>https://tools.sig.systems/site/details/201</v>
      </c>
      <c r="I1656" s="2" t="s">
        <v>142</v>
      </c>
      <c r="J1656" t="s">
        <v>41</v>
      </c>
      <c r="K1656" s="79" t="str">
        <f>VLOOKUP(Tabla3[[#This Row],[Site]],'Important Info!'!$A$1:$H$135,8,FALSE)</f>
        <v>-</v>
      </c>
      <c r="L1656" s="52" t="str">
        <f>VLOOKUP(Tabla3[[#This Row],[Site]],'Important Info!'!$A$1:$F$135,2,FALSE)</f>
        <v>4, 15, 18, 22, 23, 26</v>
      </c>
      <c r="M1656" s="52" t="str">
        <f>VLOOKUP(Tabla3[[#This Row],[Site]],'Important Info!'!$A$1:$F$135,3,FALSE)</f>
        <v>-</v>
      </c>
      <c r="N1656" s="52" t="str">
        <f>VLOOKUP(Tabla3[[#This Row],[Site]],'Important Info!'!$A$1:$F$135,4,FALSE)</f>
        <v>-</v>
      </c>
      <c r="O1656" s="52" t="str">
        <f>VLOOKUP(Tabla3[[#This Row],[Site]],'Important Info!'!$A$1:$F$135,5,FALSE)</f>
        <v>2, 12, 13, 18</v>
      </c>
      <c r="P1656" s="52" t="str">
        <f>VLOOKUP(Tabla3[[#This Row],[Site]],'Important Info!'!$A$1:$F$135,6,FALSE)</f>
        <v>-</v>
      </c>
      <c r="Q1656" s="91">
        <f>VLOOKUP(Tabla3[[#This Row],[Site]],'Important Info!'!$A$1:$J$135,9,FALSE)</f>
        <v>201</v>
      </c>
    </row>
    <row r="1657" spans="1:17" x14ac:dyDescent="0.25">
      <c r="A1657" t="str">
        <f>+Tabla3[[#This Row],[Site]]&amp;Tabla3[[#This Row],[Split]]</f>
        <v>(PE) JLR PDI (NO TOURS)18</v>
      </c>
      <c r="B1657">
        <v>18</v>
      </c>
      <c r="C1657">
        <v>5</v>
      </c>
      <c r="D1657" t="s">
        <v>485</v>
      </c>
      <c r="E1657" t="s">
        <v>35</v>
      </c>
      <c r="F1657" t="s">
        <v>114</v>
      </c>
      <c r="G1657" t="s">
        <v>490</v>
      </c>
      <c r="H1657" s="52" t="str">
        <f>VLOOKUP(Tabla3[[#This Row],[Site]],'Important Info!'!$A$1:$J$135,10,FALSE)</f>
        <v>https://tools.sig.systems/site/details/179</v>
      </c>
      <c r="I1657" t="s">
        <v>176</v>
      </c>
      <c r="J1657" t="s">
        <v>41</v>
      </c>
      <c r="K1657" s="79" t="str">
        <f>VLOOKUP(Tabla3[[#This Row],[Site]],'Important Info!'!$A$1:$H$135,8,FALSE)</f>
        <v>-</v>
      </c>
      <c r="L1657" s="52" t="str">
        <f>VLOOKUP(Tabla3[[#This Row],[Site]],'Important Info!'!$A$1:$F$135,2,FALSE)</f>
        <v>3, 8</v>
      </c>
      <c r="M1657" s="52" t="str">
        <f>VLOOKUP(Tabla3[[#This Row],[Site]],'Important Info!'!$A$1:$F$135,3,FALSE)</f>
        <v>-</v>
      </c>
      <c r="N1657" s="52" t="str">
        <f>VLOOKUP(Tabla3[[#This Row],[Site]],'Important Info!'!$A$1:$F$135,4,FALSE)</f>
        <v>-</v>
      </c>
      <c r="O1657" s="52" t="str">
        <f>VLOOKUP(Tabla3[[#This Row],[Site]],'Important Info!'!$A$1:$F$135,5,FALSE)</f>
        <v>-</v>
      </c>
      <c r="P1657" s="52" t="str">
        <f>VLOOKUP(Tabla3[[#This Row],[Site]],'Important Info!'!$A$1:$F$135,6,FALSE)</f>
        <v>-</v>
      </c>
      <c r="Q1657" s="91">
        <f>VLOOKUP(Tabla3[[#This Row],[Site]],'Important Info!'!$A$1:$J$135,9,FALSE)</f>
        <v>179</v>
      </c>
    </row>
    <row r="1658" spans="1:17" x14ac:dyDescent="0.25">
      <c r="A1658" t="str">
        <f>+Tabla3[[#This Row],[Site]]&amp;Tabla3[[#This Row],[Split]]</f>
        <v>(AS) Park Place Sprinter Van Center (NO TOURS)18</v>
      </c>
      <c r="B1658">
        <v>18</v>
      </c>
      <c r="C1658">
        <v>6</v>
      </c>
      <c r="D1658" t="s">
        <v>33</v>
      </c>
      <c r="E1658" t="s">
        <v>46</v>
      </c>
      <c r="F1658" t="s">
        <v>520</v>
      </c>
      <c r="G1658" t="s">
        <v>34</v>
      </c>
      <c r="H1658" s="52" t="str">
        <f>VLOOKUP(Tabla3[[#This Row],[Site]],'Important Info!'!$A$1:$J$135,10,FALSE)</f>
        <v>https://tools.sig.systems/site/details/138</v>
      </c>
      <c r="I1658" s="65" t="s">
        <v>125</v>
      </c>
      <c r="J1658" t="s">
        <v>41</v>
      </c>
      <c r="K1658" s="79" t="str">
        <f>VLOOKUP(Tabla3[[#This Row],[Site]],'Important Info!'!$A$1:$H$135,8,FALSE)</f>
        <v>-</v>
      </c>
      <c r="L1658" s="52">
        <f>VLOOKUP(Tabla3[[#This Row],[Site]],'Important Info!'!$A$1:$F$135,2,FALSE)</f>
        <v>1</v>
      </c>
      <c r="M1658" s="52" t="str">
        <f>VLOOKUP(Tabla3[[#This Row],[Site]],'Important Info!'!$A$1:$F$135,3,FALSE)</f>
        <v>-</v>
      </c>
      <c r="N1658" s="52" t="str">
        <f>VLOOKUP(Tabla3[[#This Row],[Site]],'Important Info!'!$A$1:$F$135,4,FALSE)</f>
        <v>-</v>
      </c>
      <c r="O1658" s="52" t="str">
        <f>VLOOKUP(Tabla3[[#This Row],[Site]],'Important Info!'!$A$1:$F$135,5,FALSE)</f>
        <v>-</v>
      </c>
      <c r="P1658" s="52" t="str">
        <f>VLOOKUP(Tabla3[[#This Row],[Site]],'Important Info!'!$A$1:$F$135,6,FALSE)</f>
        <v>1, 3</v>
      </c>
      <c r="Q1658" s="91">
        <f>VLOOKUP(Tabla3[[#This Row],[Site]],'Important Info!'!$A$1:$J$135,9,FALSE)</f>
        <v>138</v>
      </c>
    </row>
    <row r="1659" spans="1:17" x14ac:dyDescent="0.25">
      <c r="A1659" t="str">
        <f>+Tabla3[[#This Row],[Site]]&amp;Tabla3[[#This Row],[Split]]</f>
        <v>(AS) Stevinson Chevrolet Golden (NO TOURS)18</v>
      </c>
      <c r="B1659">
        <v>18</v>
      </c>
      <c r="C1659">
        <v>6</v>
      </c>
      <c r="D1659" t="s">
        <v>488</v>
      </c>
      <c r="E1659" t="s">
        <v>53</v>
      </c>
      <c r="F1659" t="s">
        <v>190</v>
      </c>
      <c r="G1659" t="s">
        <v>45</v>
      </c>
      <c r="H1659" s="52" t="str">
        <f>VLOOKUP(Tabla3[[#This Row],[Site]],'Important Info!'!$A$1:$J$135,10,FALSE)</f>
        <v>https://tools.sig.systems/site/details/264</v>
      </c>
      <c r="I1659" s="43" t="s">
        <v>154</v>
      </c>
      <c r="J1659" t="s">
        <v>41</v>
      </c>
      <c r="K1659" s="79" t="str">
        <f>VLOOKUP(Tabla3[[#This Row],[Site]],'Important Info!'!$A$1:$H$135,8,FALSE)</f>
        <v>-</v>
      </c>
      <c r="L1659" s="52" t="str">
        <f>VLOOKUP(Tabla3[[#This Row],[Site]],'Important Info!'!$A$1:$F$135,2,FALSE)</f>
        <v>-</v>
      </c>
      <c r="M1659" s="52" t="str">
        <f>VLOOKUP(Tabla3[[#This Row],[Site]],'Important Info!'!$A$1:$F$135,3,FALSE)</f>
        <v>1, 19</v>
      </c>
      <c r="N1659" s="52" t="str">
        <f>VLOOKUP(Tabla3[[#This Row],[Site]],'Important Info!'!$A$1:$F$135,4,FALSE)</f>
        <v>-</v>
      </c>
      <c r="O1659" s="52" t="str">
        <f>VLOOKUP(Tabla3[[#This Row],[Site]],'Important Info!'!$A$1:$F$135,5,FALSE)</f>
        <v>14, 30</v>
      </c>
      <c r="P1659" s="52" t="str">
        <f>VLOOKUP(Tabla3[[#This Row],[Site]],'Important Info!'!$A$1:$F$135,6,FALSE)</f>
        <v>14, 33, 34, 35, 36</v>
      </c>
      <c r="Q1659" s="91">
        <f>VLOOKUP(Tabla3[[#This Row],[Site]],'Important Info!'!$A$1:$J$135,9,FALSE)</f>
        <v>264</v>
      </c>
    </row>
    <row r="1660" spans="1:17" x14ac:dyDescent="0.25">
      <c r="A1660" t="str">
        <f>+Tabla3[[#This Row],[Site]]&amp;Tabla3[[#This Row],[Split]]</f>
        <v>(AS) Stevinson Lexus of Lakewood (NO TOURS)18</v>
      </c>
      <c r="B1660">
        <v>18</v>
      </c>
      <c r="C1660">
        <v>6</v>
      </c>
      <c r="D1660" t="s">
        <v>44</v>
      </c>
      <c r="E1660" t="s">
        <v>53</v>
      </c>
      <c r="F1660" t="s">
        <v>523</v>
      </c>
      <c r="G1660" t="s">
        <v>45</v>
      </c>
      <c r="H1660" s="52" t="str">
        <f>VLOOKUP(Tabla3[[#This Row],[Site]],'Important Info!'!$A$1:$J$135,10,FALSE)</f>
        <v>https://tools.sig.systems/site/details/260</v>
      </c>
      <c r="I1660" s="2" t="s">
        <v>154</v>
      </c>
      <c r="J1660" t="s">
        <v>41</v>
      </c>
      <c r="K1660" s="79" t="str">
        <f>VLOOKUP(Tabla3[[#This Row],[Site]],'Important Info!'!$A$1:$H$135,8,FALSE)</f>
        <v>-</v>
      </c>
      <c r="L1660" s="52" t="str">
        <f>VLOOKUP(Tabla3[[#This Row],[Site]],'Important Info!'!$A$1:$F$135,2,FALSE)</f>
        <v>-</v>
      </c>
      <c r="M1660" s="52" t="str">
        <f>VLOOKUP(Tabla3[[#This Row],[Site]],'Important Info!'!$A$1:$F$135,3,FALSE)</f>
        <v>2, 10</v>
      </c>
      <c r="N1660" s="52" t="str">
        <f>VLOOKUP(Tabla3[[#This Row],[Site]],'Important Info!'!$A$1:$F$135,4,FALSE)</f>
        <v>9, 17</v>
      </c>
      <c r="O1660" s="52" t="str">
        <f>VLOOKUP(Tabla3[[#This Row],[Site]],'Important Info!'!$A$1:$F$135,5,FALSE)</f>
        <v>-</v>
      </c>
      <c r="P1660" s="52" t="str">
        <f>VLOOKUP(Tabla3[[#This Row],[Site]],'Important Info!'!$A$1:$F$135,6,FALSE)</f>
        <v>1, 2</v>
      </c>
      <c r="Q1660" s="91">
        <f>VLOOKUP(Tabla3[[#This Row],[Site]],'Important Info!'!$A$1:$J$135,9,FALSE)</f>
        <v>260</v>
      </c>
    </row>
    <row r="1661" spans="1:17" x14ac:dyDescent="0.25">
      <c r="A1661" t="str">
        <f>+Tabla3[[#This Row],[Site]]&amp;Tabla3[[#This Row],[Split]]</f>
        <v>(HUD) Honda of Southpoint18</v>
      </c>
      <c r="B1661">
        <v>18</v>
      </c>
      <c r="C1661">
        <v>6</v>
      </c>
      <c r="D1661" t="s">
        <v>62</v>
      </c>
      <c r="E1661" t="s">
        <v>35</v>
      </c>
      <c r="F1661" t="s">
        <v>65</v>
      </c>
      <c r="G1661" t="s">
        <v>490</v>
      </c>
      <c r="H1661" s="52" t="str">
        <f>VLOOKUP(Tabla3[[#This Row],[Site]],'Important Info!'!$A$1:$J$135,10,FALSE)</f>
        <v>https://tools.sig.systems/site/details/195</v>
      </c>
      <c r="I1661" s="2"/>
      <c r="J1661" t="s">
        <v>484</v>
      </c>
      <c r="K1661" s="79" t="str">
        <f>VLOOKUP(Tabla3[[#This Row],[Site]],'Important Info!'!$A$1:$H$135,8,FALSE)</f>
        <v>-</v>
      </c>
      <c r="L1661" s="52" t="str">
        <f>VLOOKUP(Tabla3[[#This Row],[Site]],'Important Info!'!$A$1:$F$135,2,FALSE)</f>
        <v>2, 12, 18</v>
      </c>
      <c r="M1661" s="52">
        <f>VLOOKUP(Tabla3[[#This Row],[Site]],'Important Info!'!$A$1:$F$135,3,FALSE)</f>
        <v>13</v>
      </c>
      <c r="N1661" s="52" t="str">
        <f>VLOOKUP(Tabla3[[#This Row],[Site]],'Important Info!'!$A$1:$F$135,4,FALSE)</f>
        <v>-</v>
      </c>
      <c r="O1661" s="52" t="str">
        <f>VLOOKUP(Tabla3[[#This Row],[Site]],'Important Info!'!$A$1:$F$135,5,FALSE)</f>
        <v>2, 15</v>
      </c>
      <c r="P1661" s="52" t="str">
        <f>VLOOKUP(Tabla3[[#This Row],[Site]],'Important Info!'!$A$1:$F$135,6,FALSE)</f>
        <v>-</v>
      </c>
      <c r="Q1661" s="91">
        <f>VLOOKUP(Tabla3[[#This Row],[Site]],'Important Info!'!$A$1:$J$135,9,FALSE)</f>
        <v>195</v>
      </c>
    </row>
    <row r="1662" spans="1:17" x14ac:dyDescent="0.25">
      <c r="A1662" t="str">
        <f>+Tabla3[[#This Row],[Site]]&amp;Tabla3[[#This Row],[Split]]</f>
        <v>(ML) Joe Machens E Collision Center18</v>
      </c>
      <c r="B1662">
        <v>18</v>
      </c>
      <c r="C1662">
        <v>6</v>
      </c>
      <c r="D1662" t="s">
        <v>33</v>
      </c>
      <c r="E1662" t="s">
        <v>46</v>
      </c>
      <c r="F1662" t="s">
        <v>147</v>
      </c>
      <c r="G1662" t="s">
        <v>34</v>
      </c>
      <c r="H1662" s="52" t="str">
        <f>VLOOKUP(Tabla3[[#This Row],[Site]],'Important Info!'!$A$1:$J$135,10,FALSE)</f>
        <v>https://tools.sig.systems/site/details/277</v>
      </c>
      <c r="I1662" s="43" t="s">
        <v>146</v>
      </c>
      <c r="J1662" t="s">
        <v>41</v>
      </c>
      <c r="K1662" s="79" t="str">
        <f>VLOOKUP(Tabla3[[#This Row],[Site]],'Important Info!'!$A$1:$H$135,8,FALSE)</f>
        <v>-</v>
      </c>
      <c r="L1662" s="52">
        <f>VLOOKUP(Tabla3[[#This Row],[Site]],'Important Info!'!$A$1:$F$135,2,FALSE)</f>
        <v>1</v>
      </c>
      <c r="M1662" s="52" t="str">
        <f>VLOOKUP(Tabla3[[#This Row],[Site]],'Important Info!'!$A$1:$F$135,3,FALSE)</f>
        <v>-</v>
      </c>
      <c r="N1662" s="52" t="str">
        <f>VLOOKUP(Tabla3[[#This Row],[Site]],'Important Info!'!$A$1:$F$135,4,FALSE)</f>
        <v>-</v>
      </c>
      <c r="O1662" s="52">
        <f>VLOOKUP(Tabla3[[#This Row],[Site]],'Important Info!'!$A$1:$F$135,5,FALSE)</f>
        <v>5</v>
      </c>
      <c r="P1662" s="52" t="str">
        <f>VLOOKUP(Tabla3[[#This Row],[Site]],'Important Info!'!$A$1:$F$135,6,FALSE)</f>
        <v>1, 2, 3, 4</v>
      </c>
      <c r="Q1662" s="91">
        <f>VLOOKUP(Tabla3[[#This Row],[Site]],'Important Info!'!$A$1:$J$135,9,FALSE)</f>
        <v>277</v>
      </c>
    </row>
    <row r="1663" spans="1:17" x14ac:dyDescent="0.25">
      <c r="A1663" t="str">
        <f>+Tabla3[[#This Row],[Site]]&amp;Tabla3[[#This Row],[Split]]</f>
        <v>(ML) Nissan of North Little Rock18</v>
      </c>
      <c r="B1663">
        <v>18</v>
      </c>
      <c r="C1663">
        <v>6</v>
      </c>
      <c r="D1663" t="s">
        <v>33</v>
      </c>
      <c r="E1663" t="s">
        <v>46</v>
      </c>
      <c r="F1663" t="s">
        <v>75</v>
      </c>
      <c r="G1663" t="s">
        <v>34</v>
      </c>
      <c r="H1663" s="52" t="str">
        <f>VLOOKUP(Tabla3[[#This Row],[Site]],'Important Info!'!$A$1:$J$135,10,FALSE)</f>
        <v>https://tools.sig.systems/site/details/216</v>
      </c>
      <c r="I1663" s="43" t="s">
        <v>142</v>
      </c>
      <c r="J1663" t="s">
        <v>41</v>
      </c>
      <c r="K1663" s="79" t="str">
        <f>VLOOKUP(Tabla3[[#This Row],[Site]],'Important Info!'!$A$1:$H$135,8,FALSE)</f>
        <v>-</v>
      </c>
      <c r="L1663" s="52" t="str">
        <f>VLOOKUP(Tabla3[[#This Row],[Site]],'Important Info!'!$A$1:$F$135,2,FALSE)</f>
        <v>2, 4</v>
      </c>
      <c r="M1663" s="52" t="str">
        <f>VLOOKUP(Tabla3[[#This Row],[Site]],'Important Info!'!$A$1:$F$135,3,FALSE)</f>
        <v>-</v>
      </c>
      <c r="N1663" s="52" t="str">
        <f>VLOOKUP(Tabla3[[#This Row],[Site]],'Important Info!'!$A$1:$F$135,4,FALSE)</f>
        <v>-</v>
      </c>
      <c r="O1663" s="52" t="str">
        <f>VLOOKUP(Tabla3[[#This Row],[Site]],'Important Info!'!$A$1:$F$135,5,FALSE)</f>
        <v>5, 17, 23</v>
      </c>
      <c r="P1663" s="52">
        <f>VLOOKUP(Tabla3[[#This Row],[Site]],'Important Info!'!$A$1:$F$135,6,FALSE)</f>
        <v>18</v>
      </c>
      <c r="Q1663" s="91">
        <f>VLOOKUP(Tabla3[[#This Row],[Site]],'Important Info!'!$A$1:$J$135,9,FALSE)</f>
        <v>216</v>
      </c>
    </row>
    <row r="1664" spans="1:17" x14ac:dyDescent="0.25">
      <c r="A1664" t="str">
        <f>+Tabla3[[#This Row],[Site]]&amp;Tabla3[[#This Row],[Split]]</f>
        <v>(PE) BMW of Mamaroneck (NO TOURS)18</v>
      </c>
      <c r="B1664">
        <v>18</v>
      </c>
      <c r="C1664">
        <v>6</v>
      </c>
      <c r="D1664" t="s">
        <v>485</v>
      </c>
      <c r="E1664" t="s">
        <v>35</v>
      </c>
      <c r="F1664" t="s">
        <v>172</v>
      </c>
      <c r="G1664" t="s">
        <v>490</v>
      </c>
      <c r="H1664" s="52" t="str">
        <f>VLOOKUP(Tabla3[[#This Row],[Site]],'Important Info!'!$A$1:$J$135,10,FALSE)</f>
        <v>https://tools.sig.systems/site/details/185</v>
      </c>
      <c r="I1664" s="2"/>
      <c r="J1664" t="s">
        <v>41</v>
      </c>
      <c r="K1664" s="79" t="str">
        <f>VLOOKUP(Tabla3[[#This Row],[Site]],'Important Info!'!$A$1:$H$135,8,FALSE)</f>
        <v>-</v>
      </c>
      <c r="L1664" s="52">
        <f>VLOOKUP(Tabla3[[#This Row],[Site]],'Important Info!'!$A$1:$F$135,2,FALSE)</f>
        <v>9</v>
      </c>
      <c r="M1664" s="52" t="str">
        <f>VLOOKUP(Tabla3[[#This Row],[Site]],'Important Info!'!$A$1:$F$135,3,FALSE)</f>
        <v>2, 3, 4, 5</v>
      </c>
      <c r="N1664" s="52" t="str">
        <f>VLOOKUP(Tabla3[[#This Row],[Site]],'Important Info!'!$A$1:$F$135,4,FALSE)</f>
        <v>-</v>
      </c>
      <c r="O1664" s="52" t="str">
        <f>VLOOKUP(Tabla3[[#This Row],[Site]],'Important Info!'!$A$1:$F$135,5,FALSE)</f>
        <v>-</v>
      </c>
      <c r="P1664" s="52" t="str">
        <f>VLOOKUP(Tabla3[[#This Row],[Site]],'Important Info!'!$A$1:$F$135,6,FALSE)</f>
        <v>4, 6, 7, 8</v>
      </c>
      <c r="Q1664" s="91">
        <f>VLOOKUP(Tabla3[[#This Row],[Site]],'Important Info!'!$A$1:$J$135,9,FALSE)</f>
        <v>185</v>
      </c>
    </row>
    <row r="1665" spans="1:17" x14ac:dyDescent="0.25">
      <c r="A1665" t="str">
        <f>+Tabla3[[#This Row],[Site]]&amp;Tabla3[[#This Row],[Split]]</f>
        <v>(SCH) Prep Center Delray18</v>
      </c>
      <c r="B1665">
        <v>18</v>
      </c>
      <c r="C1665">
        <v>6</v>
      </c>
      <c r="D1665" t="s">
        <v>62</v>
      </c>
      <c r="E1665" t="s">
        <v>35</v>
      </c>
      <c r="F1665" t="s">
        <v>191</v>
      </c>
      <c r="G1665" t="s">
        <v>490</v>
      </c>
      <c r="H1665" s="52" t="str">
        <f>VLOOKUP(Tabla3[[#This Row],[Site]],'Important Info!'!$A$1:$J$135,10,FALSE)</f>
        <v>https://tools.sig.systems/site/details/321</v>
      </c>
      <c r="I1665" s="43"/>
      <c r="J1665" t="s">
        <v>41</v>
      </c>
      <c r="K1665" s="79" t="str">
        <f>VLOOKUP(Tabla3[[#This Row],[Site]],'Important Info!'!$A$1:$H$135,8,FALSE)</f>
        <v>-</v>
      </c>
      <c r="L1665" s="52" t="str">
        <f>VLOOKUP(Tabla3[[#This Row],[Site]],'Important Info!'!$A$1:$F$135,2,FALSE)</f>
        <v>2,3</v>
      </c>
      <c r="M1665" s="52" t="str">
        <f>VLOOKUP(Tabla3[[#This Row],[Site]],'Important Info!'!$A$1:$F$135,3,FALSE)</f>
        <v>-</v>
      </c>
      <c r="N1665" s="52" t="str">
        <f>VLOOKUP(Tabla3[[#This Row],[Site]],'Important Info!'!$A$1:$F$135,4,FALSE)</f>
        <v>-</v>
      </c>
      <c r="O1665" s="52" t="str">
        <f>VLOOKUP(Tabla3[[#This Row],[Site]],'Important Info!'!$A$1:$F$135,5,FALSE)</f>
        <v>-</v>
      </c>
      <c r="P1665" s="52" t="str">
        <f>VLOOKUP(Tabla3[[#This Row],[Site]],'Important Info!'!$A$1:$F$135,6,FALSE)</f>
        <v>2,4,10</v>
      </c>
      <c r="Q1665" s="91">
        <f>VLOOKUP(Tabla3[[#This Row],[Site]],'Important Info!'!$A$1:$J$135,9,FALSE)</f>
        <v>321</v>
      </c>
    </row>
    <row r="1666" spans="1:17" x14ac:dyDescent="0.25">
      <c r="A1666" t="str">
        <f>+Tabla3[[#This Row],[Site]]&amp;Tabla3[[#This Row],[Split]]</f>
        <v>(AS) Atwell Prep Center-Dallas (NO TOURS)18</v>
      </c>
      <c r="B1666">
        <v>18</v>
      </c>
      <c r="C1666">
        <v>7</v>
      </c>
      <c r="D1666" t="s">
        <v>33</v>
      </c>
      <c r="E1666" t="s">
        <v>46</v>
      </c>
      <c r="F1666" t="s">
        <v>498</v>
      </c>
      <c r="G1666" t="s">
        <v>34</v>
      </c>
      <c r="H1666" s="52" t="str">
        <f>VLOOKUP(Tabla3[[#This Row],[Site]],'Important Info!'!$A$1:$J$135,10,FALSE)</f>
        <v>https://tools.sig.systems/site/details/165</v>
      </c>
      <c r="I1666" s="65" t="s">
        <v>125</v>
      </c>
      <c r="J1666" t="s">
        <v>41</v>
      </c>
      <c r="K1666" s="79" t="str">
        <f>VLOOKUP(Tabla3[[#This Row],[Site]],'Important Info!'!$A$1:$H$135,8,FALSE)</f>
        <v>-</v>
      </c>
      <c r="L1666" s="52" t="str">
        <f>VLOOKUP(Tabla3[[#This Row],[Site]],'Important Info!'!$A$1:$F$135,2,FALSE)</f>
        <v>4, 6, 7</v>
      </c>
      <c r="M1666" s="52" t="str">
        <f>VLOOKUP(Tabla3[[#This Row],[Site]],'Important Info!'!$A$1:$F$135,3,FALSE)</f>
        <v>-</v>
      </c>
      <c r="N1666" s="52" t="str">
        <f>VLOOKUP(Tabla3[[#This Row],[Site]],'Important Info!'!$A$1:$F$135,4,FALSE)</f>
        <v>-</v>
      </c>
      <c r="O1666" s="52" t="str">
        <f>VLOOKUP(Tabla3[[#This Row],[Site]],'Important Info!'!$A$1:$F$135,5,FALSE)</f>
        <v>-</v>
      </c>
      <c r="P1666" s="52" t="str">
        <f>VLOOKUP(Tabla3[[#This Row],[Site]],'Important Info!'!$A$1:$F$135,6,FALSE)</f>
        <v>1, 2</v>
      </c>
      <c r="Q1666" s="91">
        <f>VLOOKUP(Tabla3[[#This Row],[Site]],'Important Info!'!$A$1:$J$135,9,FALSE)</f>
        <v>165</v>
      </c>
    </row>
    <row r="1667" spans="1:17" x14ac:dyDescent="0.25">
      <c r="A1667" t="str">
        <f>+Tabla3[[#This Row],[Site]]&amp;Tabla3[[#This Row],[Split]]</f>
        <v>(AS) Courtesy CDJR of Brandon (NO TOURS)18</v>
      </c>
      <c r="B1667">
        <v>18</v>
      </c>
      <c r="C1667">
        <v>7</v>
      </c>
      <c r="D1667" t="s">
        <v>62</v>
      </c>
      <c r="E1667" t="s">
        <v>35</v>
      </c>
      <c r="F1667" t="s">
        <v>503</v>
      </c>
      <c r="G1667" t="s">
        <v>490</v>
      </c>
      <c r="H1667" s="52" t="str">
        <f>VLOOKUP(Tabla3[[#This Row],[Site]],'Important Info!'!$A$1:$J$135,10,FALSE)</f>
        <v>https://tools.sig.systems/site/details/126</v>
      </c>
      <c r="I1667" s="43" t="s">
        <v>181</v>
      </c>
      <c r="J1667" t="s">
        <v>484</v>
      </c>
      <c r="K1667" s="79" t="str">
        <f>VLOOKUP(Tabla3[[#This Row],[Site]],'Important Info!'!$A$1:$H$135,8,FALSE)</f>
        <v>-</v>
      </c>
      <c r="L1667" s="52" t="str">
        <f>VLOOKUP(Tabla3[[#This Row],[Site]],'Important Info!'!$A$1:$F$135,2,FALSE)</f>
        <v>1, 14, 15</v>
      </c>
      <c r="M1667" s="52">
        <f>VLOOKUP(Tabla3[[#This Row],[Site]],'Important Info!'!$A$1:$F$135,3,FALSE)</f>
        <v>1</v>
      </c>
      <c r="N1667" s="52" t="str">
        <f>VLOOKUP(Tabla3[[#This Row],[Site]],'Important Info!'!$A$1:$F$135,4,FALSE)</f>
        <v>-</v>
      </c>
      <c r="O1667" s="52" t="str">
        <f>VLOOKUP(Tabla3[[#This Row],[Site]],'Important Info!'!$A$1:$F$135,5,FALSE)</f>
        <v>2, 12</v>
      </c>
      <c r="P1667" s="52" t="str">
        <f>VLOOKUP(Tabla3[[#This Row],[Site]],'Important Info!'!$A$1:$F$135,6,FALSE)</f>
        <v xml:space="preserve">1, 2, 3, 4, 14, 15, 21, 25 </v>
      </c>
      <c r="Q1667" s="91">
        <f>VLOOKUP(Tabla3[[#This Row],[Site]],'Important Info!'!$A$1:$J$135,9,FALSE)</f>
        <v>126</v>
      </c>
    </row>
    <row r="1668" spans="1:17" x14ac:dyDescent="0.25">
      <c r="A1668" t="str">
        <f>+Tabla3[[#This Row],[Site]]&amp;Tabla3[[#This Row],[Split]]</f>
        <v>(AS) Park Place Mercedes Benz Ft. Worth (NO TOURS)18</v>
      </c>
      <c r="B1668">
        <v>18</v>
      </c>
      <c r="C1668">
        <v>7</v>
      </c>
      <c r="D1668" t="s">
        <v>33</v>
      </c>
      <c r="E1668" t="s">
        <v>46</v>
      </c>
      <c r="F1668" t="s">
        <v>519</v>
      </c>
      <c r="G1668" t="s">
        <v>34</v>
      </c>
      <c r="H1668" s="52" t="str">
        <f>VLOOKUP(Tabla3[[#This Row],[Site]],'Important Info!'!$A$1:$J$135,10,FALSE)</f>
        <v>https://tools.sig.systems/site/details/137</v>
      </c>
      <c r="I1668" s="2" t="s">
        <v>128</v>
      </c>
      <c r="J1668" t="s">
        <v>41</v>
      </c>
      <c r="K1668" s="79" t="s">
        <v>37</v>
      </c>
      <c r="L1668" s="52" t="str">
        <f>VLOOKUP(Tabla3[[#This Row],[Site]],'Important Info!'!$A$1:$F$135,2,FALSE)</f>
        <v>4, 18</v>
      </c>
      <c r="M1668" s="52" t="str">
        <f>VLOOKUP(Tabla3[[#This Row],[Site]],'Important Info!'!$A$1:$F$135,3,FALSE)</f>
        <v>-</v>
      </c>
      <c r="N1668" s="52" t="str">
        <f>VLOOKUP(Tabla3[[#This Row],[Site]],'Important Info!'!$A$1:$F$135,4,FALSE)</f>
        <v>54, 55</v>
      </c>
      <c r="O1668" s="52" t="str">
        <f>VLOOKUP(Tabla3[[#This Row],[Site]],'Important Info!'!$A$1:$F$135,5,FALSE)</f>
        <v>2, 18</v>
      </c>
      <c r="P1668" s="52" t="str">
        <f>VLOOKUP(Tabla3[[#This Row],[Site]],'Important Info!'!$A$1:$F$135,6,FALSE)</f>
        <v>5, 18</v>
      </c>
      <c r="Q1668" s="91">
        <f>VLOOKUP(Tabla3[[#This Row],[Site]],'Important Info!'!$A$1:$J$135,9,FALSE)</f>
        <v>137</v>
      </c>
    </row>
    <row r="1669" spans="1:17" x14ac:dyDescent="0.25">
      <c r="A1669" t="str">
        <f>+Tabla3[[#This Row],[Site]]&amp;Tabla3[[#This Row],[Split]]</f>
        <v>(AS) Stevinson Toyota West (NO TOURS)18</v>
      </c>
      <c r="B1669">
        <v>18</v>
      </c>
      <c r="C1669">
        <v>7</v>
      </c>
      <c r="D1669" t="s">
        <v>44</v>
      </c>
      <c r="E1669" t="s">
        <v>53</v>
      </c>
      <c r="F1669" t="s">
        <v>79</v>
      </c>
      <c r="G1669" t="s">
        <v>45</v>
      </c>
      <c r="H1669" s="52" t="str">
        <f>VLOOKUP(Tabla3[[#This Row],[Site]],'Important Info!'!$A$1:$J$135,10,FALSE)</f>
        <v>https://tools.sig.systems/site/details/240</v>
      </c>
      <c r="I1669" s="2" t="s">
        <v>154</v>
      </c>
      <c r="J1669" t="s">
        <v>41</v>
      </c>
      <c r="K1669" s="79" t="str">
        <f>VLOOKUP(Tabla3[[#This Row],[Site]],'Important Info!'!$A$1:$H$135,8,FALSE)</f>
        <v>-</v>
      </c>
      <c r="L1669" s="52" t="str">
        <f>VLOOKUP(Tabla3[[#This Row],[Site]],'Important Info!'!$A$1:$F$135,2,FALSE)</f>
        <v>-</v>
      </c>
      <c r="M1669" s="52" t="str">
        <f>VLOOKUP(Tabla3[[#This Row],[Site]],'Important Info!'!$A$1:$F$135,3,FALSE)</f>
        <v>7, 18, 21</v>
      </c>
      <c r="N1669" s="52" t="str">
        <f>VLOOKUP(Tabla3[[#This Row],[Site]],'Important Info!'!$A$1:$F$135,4,FALSE)</f>
        <v>-</v>
      </c>
      <c r="O1669" s="52" t="str">
        <f>VLOOKUP(Tabla3[[#This Row],[Site]],'Important Info!'!$A$1:$F$135,5,FALSE)</f>
        <v>11, 24, 34</v>
      </c>
      <c r="P1669" s="52" t="str">
        <f>VLOOKUP(Tabla3[[#This Row],[Site]],'Important Info!'!$A$1:$F$135,6,FALSE)</f>
        <v>1, 2, 3, 12</v>
      </c>
      <c r="Q1669" s="91">
        <f>VLOOKUP(Tabla3[[#This Row],[Site]],'Important Info!'!$A$1:$J$135,9,FALSE)</f>
        <v>240</v>
      </c>
    </row>
    <row r="1670" spans="1:17" x14ac:dyDescent="0.25">
      <c r="A1670" t="str">
        <f>+Tabla3[[#This Row],[Site]]&amp;Tabla3[[#This Row],[Split]]</f>
        <v>(ML) Honda of Little Rock18</v>
      </c>
      <c r="B1670">
        <v>18</v>
      </c>
      <c r="C1670">
        <v>7</v>
      </c>
      <c r="D1670" t="s">
        <v>33</v>
      </c>
      <c r="E1670" t="s">
        <v>46</v>
      </c>
      <c r="F1670" t="s">
        <v>71</v>
      </c>
      <c r="G1670" t="s">
        <v>34</v>
      </c>
      <c r="H1670" s="52" t="str">
        <f>VLOOKUP(Tabla3[[#This Row],[Site]],'Important Info!'!$A$1:$J$135,10,FALSE)</f>
        <v>https://tools.sig.systems/site/details/249</v>
      </c>
      <c r="I1670" s="43" t="s">
        <v>140</v>
      </c>
      <c r="J1670" t="s">
        <v>41</v>
      </c>
      <c r="K1670" s="79" t="str">
        <f>VLOOKUP(Tabla3[[#This Row],[Site]],'Important Info!'!$A$1:$H$135,8,FALSE)</f>
        <v>-</v>
      </c>
      <c r="L1670" s="52" t="str">
        <f>VLOOKUP(Tabla3[[#This Row],[Site]],'Important Info!'!$A$1:$F$135,2,FALSE)</f>
        <v>1, 4, 9, 14, 21</v>
      </c>
      <c r="M1670" s="52" t="str">
        <f>VLOOKUP(Tabla3[[#This Row],[Site]],'Important Info!'!$A$1:$F$135,3,FALSE)</f>
        <v>-</v>
      </c>
      <c r="N1670" s="52" t="str">
        <f>VLOOKUP(Tabla3[[#This Row],[Site]],'Important Info!'!$A$1:$F$135,4,FALSE)</f>
        <v>-</v>
      </c>
      <c r="O1670" s="52" t="str">
        <f>VLOOKUP(Tabla3[[#This Row],[Site]],'Important Info!'!$A$1:$F$135,5,FALSE)</f>
        <v>4, 14, 21</v>
      </c>
      <c r="P1670" s="52" t="str">
        <f>VLOOKUP(Tabla3[[#This Row],[Site]],'Important Info!'!$A$1:$F$135,6,FALSE)</f>
        <v>11, 12</v>
      </c>
      <c r="Q1670" s="91">
        <f>VLOOKUP(Tabla3[[#This Row],[Site]],'Important Info!'!$A$1:$J$135,9,FALSE)</f>
        <v>249</v>
      </c>
    </row>
    <row r="1671" spans="1:17" x14ac:dyDescent="0.25">
      <c r="A1671" t="str">
        <f>+Tabla3[[#This Row],[Site]]&amp;Tabla3[[#This Row],[Split]]</f>
        <v>(ML) Joe Machens Temporary 2.018</v>
      </c>
      <c r="B1671">
        <v>18</v>
      </c>
      <c r="C1671">
        <v>7</v>
      </c>
      <c r="D1671" t="s">
        <v>33</v>
      </c>
      <c r="E1671" t="s">
        <v>46</v>
      </c>
      <c r="F1671" t="s">
        <v>105</v>
      </c>
      <c r="G1671" t="s">
        <v>34</v>
      </c>
      <c r="H1671" s="52" t="str">
        <f>VLOOKUP(Tabla3[[#This Row],[Site]],'Important Info!'!$A$1:$J$135,10,FALSE)</f>
        <v>https://tools.sig.systems/site/details/278</v>
      </c>
      <c r="I1671" s="43" t="s">
        <v>146</v>
      </c>
      <c r="J1671" t="s">
        <v>41</v>
      </c>
      <c r="K1671" s="79" t="str">
        <f>VLOOKUP(Tabla3[[#This Row],[Site]],'Important Info!'!$A$1:$H$135,8,FALSE)</f>
        <v>-</v>
      </c>
      <c r="L1671" s="52" t="str">
        <f>VLOOKUP(Tabla3[[#This Row],[Site]],'Important Info!'!$A$1:$F$135,2,FALSE)</f>
        <v>-</v>
      </c>
      <c r="M1671" s="52" t="str">
        <f>VLOOKUP(Tabla3[[#This Row],[Site]],'Important Info!'!$A$1:$F$135,3,FALSE)</f>
        <v>1, 11, 14, 15, 16</v>
      </c>
      <c r="N1671" s="52" t="str">
        <f>VLOOKUP(Tabla3[[#This Row],[Site]],'Important Info!'!$A$1:$F$135,4,FALSE)</f>
        <v>-</v>
      </c>
      <c r="O1671" s="52">
        <f>VLOOKUP(Tabla3[[#This Row],[Site]],'Important Info!'!$A$1:$F$135,5,FALSE)</f>
        <v>13</v>
      </c>
      <c r="P1671" s="52" t="str">
        <f>VLOOKUP(Tabla3[[#This Row],[Site]],'Important Info!'!$A$1:$F$135,6,FALSE)</f>
        <v>-</v>
      </c>
      <c r="Q1671" s="91">
        <f>VLOOKUP(Tabla3[[#This Row],[Site]],'Important Info!'!$A$1:$J$135,9,FALSE)</f>
        <v>278</v>
      </c>
    </row>
    <row r="1672" spans="1:17" x14ac:dyDescent="0.25">
      <c r="A1672" t="str">
        <f>+Tabla3[[#This Row],[Site]]&amp;Tabla3[[#This Row],[Split]]</f>
        <v>(SCH) Auto Body Shop Lake Park18</v>
      </c>
      <c r="B1672">
        <v>18</v>
      </c>
      <c r="C1672">
        <v>7</v>
      </c>
      <c r="D1672" t="s">
        <v>62</v>
      </c>
      <c r="E1672" t="s">
        <v>35</v>
      </c>
      <c r="F1672" t="s">
        <v>189</v>
      </c>
      <c r="G1672" t="s">
        <v>490</v>
      </c>
      <c r="H1672" s="52" t="str">
        <f>VLOOKUP(Tabla3[[#This Row],[Site]],'Important Info!'!$A$1:$J$135,10,FALSE)</f>
        <v>https://tools.sig.systems/site/details/158</v>
      </c>
      <c r="I1672" s="43"/>
      <c r="J1672" t="s">
        <v>41</v>
      </c>
      <c r="K1672" s="79" t="str">
        <f>VLOOKUP(Tabla3[[#This Row],[Site]],'Important Info!'!$A$1:$H$135,8,FALSE)</f>
        <v>-</v>
      </c>
      <c r="L1672" s="52" t="str">
        <f>VLOOKUP(Tabla3[[#This Row],[Site]],'Important Info!'!$A$1:$F$135,2,FALSE)</f>
        <v>3, 10</v>
      </c>
      <c r="M1672" s="52" t="str">
        <f>VLOOKUP(Tabla3[[#This Row],[Site]],'Important Info!'!$A$1:$F$135,3,FALSE)</f>
        <v>-</v>
      </c>
      <c r="N1672" s="52" t="str">
        <f>VLOOKUP(Tabla3[[#This Row],[Site]],'Important Info!'!$A$1:$F$135,4,FALSE)</f>
        <v>-</v>
      </c>
      <c r="O1672" s="52" t="str">
        <f>VLOOKUP(Tabla3[[#This Row],[Site]],'Important Info!'!$A$1:$F$135,5,FALSE)</f>
        <v>-</v>
      </c>
      <c r="P1672" s="52" t="str">
        <f>VLOOKUP(Tabla3[[#This Row],[Site]],'Important Info!'!$A$1:$F$135,6,FALSE)</f>
        <v>-</v>
      </c>
      <c r="Q1672" s="91">
        <f>VLOOKUP(Tabla3[[#This Row],[Site]],'Important Info!'!$A$1:$J$135,9,FALSE)</f>
        <v>158</v>
      </c>
    </row>
    <row r="1673" spans="1:17" x14ac:dyDescent="0.25">
      <c r="A1673" t="str">
        <f>+Tabla3[[#This Row],[Site]]&amp;Tabla3[[#This Row],[Split]]</f>
        <v>(AS) Courtesy Honda Palm Harbor (NO TOURS)18</v>
      </c>
      <c r="B1673">
        <v>18</v>
      </c>
      <c r="C1673">
        <v>8</v>
      </c>
      <c r="D1673" t="s">
        <v>62</v>
      </c>
      <c r="E1673" t="s">
        <v>35</v>
      </c>
      <c r="F1673" t="s">
        <v>108</v>
      </c>
      <c r="G1673" t="s">
        <v>490</v>
      </c>
      <c r="H1673" s="52" t="str">
        <f>VLOOKUP(Tabla3[[#This Row],[Site]],'Important Info!'!$A$1:$J$135,10,FALSE)</f>
        <v>https://tools.sig.systems/site/details/176</v>
      </c>
      <c r="I1673" s="43"/>
      <c r="J1673" t="s">
        <v>36</v>
      </c>
      <c r="K1673" s="79" t="str">
        <f>VLOOKUP(Tabla3[[#This Row],[Site]],'Important Info!'!$A$1:$H$135,8,FALSE)</f>
        <v>-</v>
      </c>
      <c r="L1673" s="52">
        <f>VLOOKUP(Tabla3[[#This Row],[Site]],'Important Info!'!$A$1:$F$135,2,FALSE)</f>
        <v>2</v>
      </c>
      <c r="M1673" s="52" t="str">
        <f>VLOOKUP(Tabla3[[#This Row],[Site]],'Important Info!'!$A$1:$F$135,3,FALSE)</f>
        <v>-</v>
      </c>
      <c r="N1673" s="52" t="str">
        <f>VLOOKUP(Tabla3[[#This Row],[Site]],'Important Info!'!$A$1:$F$135,4,FALSE)</f>
        <v>-</v>
      </c>
      <c r="O1673" s="52" t="str">
        <f>VLOOKUP(Tabla3[[#This Row],[Site]],'Important Info!'!$A$1:$F$135,5,FALSE)</f>
        <v>4, 8, 21</v>
      </c>
      <c r="P1673" s="52">
        <f>VLOOKUP(Tabla3[[#This Row],[Site]],'Important Info!'!$A$1:$F$135,6,FALSE)</f>
        <v>10</v>
      </c>
      <c r="Q1673" s="91">
        <f>VLOOKUP(Tabla3[[#This Row],[Site]],'Important Info!'!$A$1:$J$135,9,FALSE)</f>
        <v>176</v>
      </c>
    </row>
    <row r="1674" spans="1:17" x14ac:dyDescent="0.25">
      <c r="A1674" t="str">
        <f>+Tabla3[[#This Row],[Site]]&amp;Tabla3[[#This Row],[Split]]</f>
        <v>(AS) Park Place Bodywerks Dallas (NO TOURS)18</v>
      </c>
      <c r="B1674">
        <v>18</v>
      </c>
      <c r="C1674">
        <v>8</v>
      </c>
      <c r="D1674" t="s">
        <v>33</v>
      </c>
      <c r="E1674" t="s">
        <v>46</v>
      </c>
      <c r="F1674" t="s">
        <v>514</v>
      </c>
      <c r="G1674" t="s">
        <v>34</v>
      </c>
      <c r="H1674" s="52" t="str">
        <f>VLOOKUP(Tabla3[[#This Row],[Site]],'Important Info!'!$A$1:$J$135,10,FALSE)</f>
        <v>https://tools.sig.systems/site/details/166</v>
      </c>
      <c r="I1674" s="65" t="s">
        <v>125</v>
      </c>
      <c r="J1674" t="s">
        <v>41</v>
      </c>
      <c r="K1674" s="79" t="str">
        <f>VLOOKUP(Tabla3[[#This Row],[Site]],'Important Info!'!$A$1:$H$135,8,FALSE)</f>
        <v>-</v>
      </c>
      <c r="L1674" s="52">
        <f>VLOOKUP(Tabla3[[#This Row],[Site]],'Important Info!'!$A$1:$F$135,2,FALSE)</f>
        <v>3</v>
      </c>
      <c r="M1674" s="52">
        <f>VLOOKUP(Tabla3[[#This Row],[Site]],'Important Info!'!$A$1:$F$135,3,FALSE)</f>
        <v>1</v>
      </c>
      <c r="N1674" s="52" t="str">
        <f>VLOOKUP(Tabla3[[#This Row],[Site]],'Important Info!'!$A$1:$F$135,4,FALSE)</f>
        <v>-</v>
      </c>
      <c r="O1674" s="52" t="str">
        <f>VLOOKUP(Tabla3[[#This Row],[Site]],'Important Info!'!$A$1:$F$135,5,FALSE)</f>
        <v>-</v>
      </c>
      <c r="P1674" s="52" t="str">
        <f>VLOOKUP(Tabla3[[#This Row],[Site]],'Important Info!'!$A$1:$F$135,6,FALSE)</f>
        <v>1, 2, 8</v>
      </c>
      <c r="Q1674" s="91">
        <f>VLOOKUP(Tabla3[[#This Row],[Site]],'Important Info!'!$A$1:$J$135,9,FALSE)</f>
        <v>166</v>
      </c>
    </row>
    <row r="1675" spans="1:17" x14ac:dyDescent="0.25">
      <c r="A1675" t="str">
        <f>+Tabla3[[#This Row],[Site]]&amp;Tabla3[[#This Row],[Split]]</f>
        <v>(KG) Big Star Honda18</v>
      </c>
      <c r="B1675">
        <v>18</v>
      </c>
      <c r="C1675">
        <v>8</v>
      </c>
      <c r="D1675" t="s">
        <v>33</v>
      </c>
      <c r="E1675" t="s">
        <v>46</v>
      </c>
      <c r="F1675" t="s">
        <v>136</v>
      </c>
      <c r="G1675" t="s">
        <v>34</v>
      </c>
      <c r="H1675" s="52" t="str">
        <f>VLOOKUP(Tabla3[[#This Row],[Site]],'Important Info!'!$A$1:$J$135,10,FALSE)</f>
        <v>https://tools.sig.systems/site/details/231</v>
      </c>
      <c r="J1675" t="s">
        <v>41</v>
      </c>
      <c r="K1675" s="79" t="str">
        <f>VLOOKUP(Tabla3[[#This Row],[Site]],'Important Info!'!$A$1:$H$135,8,FALSE)</f>
        <v>-</v>
      </c>
      <c r="L1675" s="52" t="str">
        <f>VLOOKUP(Tabla3[[#This Row],[Site]],'Important Info!'!$A$1:$F$135,2,FALSE)</f>
        <v>2, 17, 33</v>
      </c>
      <c r="M1675" s="52" t="str">
        <f>VLOOKUP(Tabla3[[#This Row],[Site]],'Important Info!'!$A$1:$F$135,3,FALSE)</f>
        <v>-</v>
      </c>
      <c r="N1675" s="52" t="str">
        <f>VLOOKUP(Tabla3[[#This Row],[Site]],'Important Info!'!$A$1:$F$135,4,FALSE)</f>
        <v>-</v>
      </c>
      <c r="O1675" s="52" t="str">
        <f>VLOOKUP(Tabla3[[#This Row],[Site]],'Important Info!'!$A$1:$F$135,5,FALSE)</f>
        <v>3, 11, 16, 21, 24, 31, 34</v>
      </c>
      <c r="P1675" s="52" t="str">
        <f>VLOOKUP(Tabla3[[#This Row],[Site]],'Important Info!'!$A$1:$F$135,6,FALSE)</f>
        <v xml:space="preserve">2, 3, 17, 22, 37, 41, 42 </v>
      </c>
      <c r="Q1675" s="91">
        <f>VLOOKUP(Tabla3[[#This Row],[Site]],'Important Info!'!$A$1:$J$135,9,FALSE)</f>
        <v>231</v>
      </c>
    </row>
    <row r="1676" spans="1:17" x14ac:dyDescent="0.25">
      <c r="A1676" t="str">
        <f>+Tabla3[[#This Row],[Site]]&amp;Tabla3[[#This Row],[Split]]</f>
        <v>(ML) Collision Center N Little Rock18</v>
      </c>
      <c r="B1676">
        <v>18</v>
      </c>
      <c r="C1676">
        <v>8</v>
      </c>
      <c r="D1676" t="s">
        <v>33</v>
      </c>
      <c r="E1676" t="s">
        <v>46</v>
      </c>
      <c r="F1676" t="s">
        <v>141</v>
      </c>
      <c r="G1676" t="s">
        <v>34</v>
      </c>
      <c r="H1676" s="52" t="str">
        <f>VLOOKUP(Tabla3[[#This Row],[Site]],'Important Info!'!$A$1:$J$135,10,FALSE)</f>
        <v>https://tools.sig.systems/site/details/212</v>
      </c>
      <c r="I1676" s="43" t="s">
        <v>142</v>
      </c>
      <c r="J1676" t="s">
        <v>41</v>
      </c>
      <c r="K1676" s="79" t="str">
        <f>VLOOKUP(Tabla3[[#This Row],[Site]],'Important Info!'!$A$1:$H$135,8,FALSE)</f>
        <v>-</v>
      </c>
      <c r="L1676" s="52" t="str">
        <f>VLOOKUP(Tabla3[[#This Row],[Site]],'Important Info!'!$A$1:$F$135,2,FALSE)</f>
        <v>-</v>
      </c>
      <c r="M1676" s="52" t="str">
        <f>VLOOKUP(Tabla3[[#This Row],[Site]],'Important Info!'!$A$1:$F$135,3,FALSE)</f>
        <v>-</v>
      </c>
      <c r="N1676" s="52" t="str">
        <f>VLOOKUP(Tabla3[[#This Row],[Site]],'Important Info!'!$A$1:$F$135,4,FALSE)</f>
        <v>-</v>
      </c>
      <c r="O1676" s="52" t="str">
        <f>VLOOKUP(Tabla3[[#This Row],[Site]],'Important Info!'!$A$1:$F$135,5,FALSE)</f>
        <v>-</v>
      </c>
      <c r="P1676" s="52" t="str">
        <f>VLOOKUP(Tabla3[[#This Row],[Site]],'Important Info!'!$A$1:$F$135,6,FALSE)</f>
        <v>1, 3, 7, 8</v>
      </c>
      <c r="Q1676" s="91">
        <f>VLOOKUP(Tabla3[[#This Row],[Site]],'Important Info!'!$A$1:$J$135,9,FALSE)</f>
        <v>212</v>
      </c>
    </row>
    <row r="1677" spans="1:17" x14ac:dyDescent="0.25">
      <c r="A1677" t="str">
        <f>+Tabla3[[#This Row],[Site]]&amp;Tabla3[[#This Row],[Split]]</f>
        <v>(ML) Joe Machens Nissan18</v>
      </c>
      <c r="B1677">
        <v>18</v>
      </c>
      <c r="C1677">
        <v>8</v>
      </c>
      <c r="D1677" t="s">
        <v>33</v>
      </c>
      <c r="E1677" t="s">
        <v>46</v>
      </c>
      <c r="F1677" t="s">
        <v>104</v>
      </c>
      <c r="G1677" t="s">
        <v>34</v>
      </c>
      <c r="H1677" s="52" t="str">
        <f>VLOOKUP(Tabla3[[#This Row],[Site]],'Important Info!'!$A$1:$J$135,10,FALSE)</f>
        <v>https://tools.sig.systems/site/details/279</v>
      </c>
      <c r="I1677" s="43" t="s">
        <v>146</v>
      </c>
      <c r="J1677" t="s">
        <v>41</v>
      </c>
      <c r="K1677" s="79" t="str">
        <f>VLOOKUP(Tabla3[[#This Row],[Site]],'Important Info!'!$A$1:$H$135,8,FALSE)</f>
        <v>-</v>
      </c>
      <c r="L1677" s="52" t="str">
        <f>VLOOKUP(Tabla3[[#This Row],[Site]],'Important Info!'!$A$1:$F$135,2,FALSE)</f>
        <v>-</v>
      </c>
      <c r="M1677" s="52" t="str">
        <f>VLOOKUP(Tabla3[[#This Row],[Site]],'Important Info!'!$A$1:$F$135,3,FALSE)</f>
        <v>1, 3, 16</v>
      </c>
      <c r="N1677" s="52" t="str">
        <f>VLOOKUP(Tabla3[[#This Row],[Site]],'Important Info!'!$A$1:$F$135,4,FALSE)</f>
        <v>-</v>
      </c>
      <c r="O1677" s="52" t="str">
        <f>VLOOKUP(Tabla3[[#This Row],[Site]],'Important Info!'!$A$1:$F$135,5,FALSE)</f>
        <v>-</v>
      </c>
      <c r="P1677" s="52" t="str">
        <f>VLOOKUP(Tabla3[[#This Row],[Site]],'Important Info!'!$A$1:$F$135,6,FALSE)</f>
        <v>-</v>
      </c>
      <c r="Q1677" s="91">
        <f>VLOOKUP(Tabla3[[#This Row],[Site]],'Important Info!'!$A$1:$J$135,9,FALSE)</f>
        <v>279</v>
      </c>
    </row>
    <row r="1678" spans="1:17" x14ac:dyDescent="0.25">
      <c r="A1678" t="str">
        <f>+Tabla3[[#This Row],[Site]]&amp;Tabla3[[#This Row],[Split]]</f>
        <v>(SCH) Chevrolet North Palm18</v>
      </c>
      <c r="B1678">
        <v>18</v>
      </c>
      <c r="C1678">
        <v>8</v>
      </c>
      <c r="D1678" t="s">
        <v>62</v>
      </c>
      <c r="E1678" t="s">
        <v>35</v>
      </c>
      <c r="F1678" t="s">
        <v>101</v>
      </c>
      <c r="G1678" t="s">
        <v>490</v>
      </c>
      <c r="H1678" s="52" t="str">
        <f>VLOOKUP(Tabla3[[#This Row],[Site]],'Important Info!'!$A$1:$J$135,10,FALSE)</f>
        <v>https://tools.sig.systems/site/details/160</v>
      </c>
      <c r="I1678" s="43"/>
      <c r="J1678" t="s">
        <v>36</v>
      </c>
      <c r="K1678" s="79" t="str">
        <f>VLOOKUP(Tabla3[[#This Row],[Site]],'Important Info!'!$A$1:$H$135,8,FALSE)</f>
        <v>-</v>
      </c>
      <c r="L1678" s="52" t="str">
        <f>VLOOKUP(Tabla3[[#This Row],[Site]],'Important Info!'!$A$1:$F$135,2,FALSE)</f>
        <v xml:space="preserve">7, 10B, 11, 15 </v>
      </c>
      <c r="M1678" s="52" t="str">
        <f>VLOOKUP(Tabla3[[#This Row],[Site]],'Important Info!'!$A$1:$F$135,3,FALSE)</f>
        <v>-</v>
      </c>
      <c r="N1678" s="52" t="str">
        <f>VLOOKUP(Tabla3[[#This Row],[Site]],'Important Info!'!$A$1:$F$135,4,FALSE)</f>
        <v>-</v>
      </c>
      <c r="O1678" s="52" t="str">
        <f>VLOOKUP(Tabla3[[#This Row],[Site]],'Important Info!'!$A$1:$F$135,5,FALSE)</f>
        <v>-</v>
      </c>
      <c r="P1678" s="52" t="str">
        <f>VLOOKUP(Tabla3[[#This Row],[Site]],'Important Info!'!$A$1:$F$135,6,FALSE)</f>
        <v>1, 15, 16, 17, 18, 19, 20</v>
      </c>
      <c r="Q1678" s="91">
        <f>VLOOKUP(Tabla3[[#This Row],[Site]],'Important Info!'!$A$1:$J$135,9,FALSE)</f>
        <v>160</v>
      </c>
    </row>
    <row r="1679" spans="1:17" x14ac:dyDescent="0.25">
      <c r="A1679" t="str">
        <f>+Tabla3[[#This Row],[Site]]&amp;Tabla3[[#This Row],[Split]]</f>
        <v>(AS) Park Place MB Recon Center Dallas (NO TOURS)18</v>
      </c>
      <c r="B1679">
        <v>18</v>
      </c>
      <c r="C1679">
        <v>9</v>
      </c>
      <c r="D1679" t="s">
        <v>33</v>
      </c>
      <c r="E1679" t="s">
        <v>46</v>
      </c>
      <c r="F1679" t="s">
        <v>517</v>
      </c>
      <c r="G1679" t="s">
        <v>34</v>
      </c>
      <c r="H1679" s="52" t="str">
        <f>VLOOKUP(Tabla3[[#This Row],[Site]],'Important Info!'!$A$1:$J$135,10,FALSE)</f>
        <v>https://tools.sig.systems/site/details/170</v>
      </c>
      <c r="I1679" s="65" t="s">
        <v>125</v>
      </c>
      <c r="J1679" t="s">
        <v>41</v>
      </c>
      <c r="K1679" s="79" t="str">
        <f>VLOOKUP(Tabla3[[#This Row],[Site]],'Important Info!'!$A$1:$H$135,8,FALSE)</f>
        <v>-</v>
      </c>
      <c r="L1679" s="52" t="str">
        <f>VLOOKUP(Tabla3[[#This Row],[Site]],'Important Info!'!$A$1:$F$135,2,FALSE)</f>
        <v>3, 39</v>
      </c>
      <c r="M1679" s="52" t="str">
        <f>VLOOKUP(Tabla3[[#This Row],[Site]],'Important Info!'!$A$1:$F$135,3,FALSE)</f>
        <v>-</v>
      </c>
      <c r="N1679" s="52" t="str">
        <f>VLOOKUP(Tabla3[[#This Row],[Site]],'Important Info!'!$A$1:$F$135,4,FALSE)</f>
        <v>-</v>
      </c>
      <c r="O1679" s="52" t="str">
        <f>VLOOKUP(Tabla3[[#This Row],[Site]],'Important Info!'!$A$1:$F$135,5,FALSE)</f>
        <v>4, 11</v>
      </c>
      <c r="P1679" s="52">
        <f>VLOOKUP(Tabla3[[#This Row],[Site]],'Important Info!'!$A$1:$F$135,6,FALSE)</f>
        <v>1</v>
      </c>
      <c r="Q1679" s="91">
        <f>VLOOKUP(Tabla3[[#This Row],[Site]],'Important Info!'!$A$1:$J$135,9,FALSE)</f>
        <v>170</v>
      </c>
    </row>
    <row r="1680" spans="1:17" x14ac:dyDescent="0.25">
      <c r="A1680" t="str">
        <f>+Tabla3[[#This Row],[Site]]&amp;Tabla3[[#This Row],[Split]]</f>
        <v>(ML) Joe Machens Ford Lincoln I &amp; II18</v>
      </c>
      <c r="B1680">
        <v>18</v>
      </c>
      <c r="C1680">
        <v>9</v>
      </c>
      <c r="D1680" t="s">
        <v>33</v>
      </c>
      <c r="E1680" t="s">
        <v>46</v>
      </c>
      <c r="F1680" t="s">
        <v>148</v>
      </c>
      <c r="G1680" t="s">
        <v>34</v>
      </c>
      <c r="H1680" s="52" t="str">
        <f>VLOOKUP(Tabla3[[#This Row],[Site]],'Important Info!'!$A$1:$J$135,10,FALSE)</f>
        <v>https://tools.sig.systems/site/details/266</v>
      </c>
      <c r="I1680" s="43" t="s">
        <v>146</v>
      </c>
      <c r="J1680" t="s">
        <v>41</v>
      </c>
      <c r="K1680" s="79" t="str">
        <f>VLOOKUP(Tabla3[[#This Row],[Site]],'Important Info!'!$A$1:$H$135,8,FALSE)</f>
        <v>-</v>
      </c>
      <c r="L1680" s="52" t="str">
        <f>VLOOKUP(Tabla3[[#This Row],[Site]],'Important Info!'!$A$1:$F$135,2,FALSE)</f>
        <v>-</v>
      </c>
      <c r="M1680" s="52" t="str">
        <f>VLOOKUP(Tabla3[[#This Row],[Site]],'Important Info!'!$A$1:$F$135,3,FALSE)</f>
        <v>4, 6, 9, 13, 14, 17, 26, 27, 28, 29, 30</v>
      </c>
      <c r="N1680" s="52" t="str">
        <f>VLOOKUP(Tabla3[[#This Row],[Site]],'Important Info!'!$A$1:$F$135,4,FALSE)</f>
        <v>-</v>
      </c>
      <c r="O1680" s="52" t="str">
        <f>VLOOKUP(Tabla3[[#This Row],[Site]],'Important Info!'!$A$1:$F$135,5,FALSE)</f>
        <v>23, 40, 49</v>
      </c>
      <c r="P1680" s="52" t="str">
        <f>VLOOKUP(Tabla3[[#This Row],[Site]],'Important Info!'!$A$1:$F$135,6,FALSE)</f>
        <v>-</v>
      </c>
      <c r="Q1680" s="91">
        <f>VLOOKUP(Tabla3[[#This Row],[Site]],'Important Info!'!$A$1:$J$135,9,FALSE)</f>
        <v>266</v>
      </c>
    </row>
    <row r="1681" spans="1:17" x14ac:dyDescent="0.25">
      <c r="A1681" t="str">
        <f>+Tabla3[[#This Row],[Site]]&amp;Tabla3[[#This Row],[Split]]</f>
        <v>(ML) Joe Machens Kia of Columbia18</v>
      </c>
      <c r="B1681">
        <v>18</v>
      </c>
      <c r="C1681">
        <v>9</v>
      </c>
      <c r="D1681" t="s">
        <v>33</v>
      </c>
      <c r="E1681" t="s">
        <v>46</v>
      </c>
      <c r="F1681" t="s">
        <v>149</v>
      </c>
      <c r="G1681" t="s">
        <v>34</v>
      </c>
      <c r="H1681" s="52" t="str">
        <f>VLOOKUP(Tabla3[[#This Row],[Site]],'Important Info!'!$A$1:$J$135,10,FALSE)</f>
        <v>https://tools.sig.systems/site/details/270</v>
      </c>
      <c r="I1681" s="2" t="s">
        <v>146</v>
      </c>
      <c r="J1681" t="s">
        <v>41</v>
      </c>
      <c r="K1681" s="79" t="str">
        <f>VLOOKUP(Tabla3[[#This Row],[Site]],'Important Info!'!$A$1:$H$135,8,FALSE)</f>
        <v>-</v>
      </c>
      <c r="L1681" s="52" t="str">
        <f>VLOOKUP(Tabla3[[#This Row],[Site]],'Important Info!'!$A$1:$F$135,2,FALSE)</f>
        <v>-</v>
      </c>
      <c r="M1681" s="52" t="str">
        <f>VLOOKUP(Tabla3[[#This Row],[Site]],'Important Info!'!$A$1:$F$135,3,FALSE)</f>
        <v>1, 2, 5, 6, 9, 13, 15</v>
      </c>
      <c r="N1681" s="52" t="str">
        <f>VLOOKUP(Tabla3[[#This Row],[Site]],'Important Info!'!$A$1:$F$135,4,FALSE)</f>
        <v>-</v>
      </c>
      <c r="O1681" s="52" t="str">
        <f>VLOOKUP(Tabla3[[#This Row],[Site]],'Important Info!'!$A$1:$F$135,5,FALSE)</f>
        <v>-</v>
      </c>
      <c r="P1681" s="52" t="str">
        <f>VLOOKUP(Tabla3[[#This Row],[Site]],'Important Info!'!$A$1:$F$135,6,FALSE)</f>
        <v>10, 11, 13</v>
      </c>
      <c r="Q1681" s="91">
        <f>VLOOKUP(Tabla3[[#This Row],[Site]],'Important Info!'!$A$1:$J$135,9,FALSE)</f>
        <v>270</v>
      </c>
    </row>
    <row r="1682" spans="1:17" x14ac:dyDescent="0.25">
      <c r="A1682" t="str">
        <f>+Tabla3[[#This Row],[Site]]&amp;Tabla3[[#This Row],[Split]]</f>
        <v>(SCH) Delray I &amp; II18</v>
      </c>
      <c r="B1682">
        <v>18</v>
      </c>
      <c r="C1682">
        <v>9</v>
      </c>
      <c r="D1682" t="s">
        <v>62</v>
      </c>
      <c r="E1682" t="s">
        <v>35</v>
      </c>
      <c r="F1682" t="s">
        <v>67</v>
      </c>
      <c r="G1682" t="s">
        <v>490</v>
      </c>
      <c r="H1682" s="52" t="str">
        <f>VLOOKUP(Tabla3[[#This Row],[Site]],'Important Info!'!$A$1:$J$135,10,FALSE)</f>
        <v>https://tools.sig.systems/site/details/159</v>
      </c>
      <c r="I1682" s="2"/>
      <c r="J1682" t="s">
        <v>36</v>
      </c>
      <c r="K1682" s="79" t="str">
        <f>VLOOKUP(Tabla3[[#This Row],[Site]],'Important Info!'!$A$1:$H$135,8,FALSE)</f>
        <v>-</v>
      </c>
      <c r="L1682" s="52" t="str">
        <f>VLOOKUP(Tabla3[[#This Row],[Site]],'Important Info!'!$A$1:$F$135,2,FALSE)</f>
        <v>5, 28, 31</v>
      </c>
      <c r="M1682" s="52" t="str">
        <f>VLOOKUP(Tabla3[[#This Row],[Site]],'Important Info!'!$A$1:$F$135,3,FALSE)</f>
        <v>1, 29</v>
      </c>
      <c r="N1682" s="52">
        <f>VLOOKUP(Tabla3[[#This Row],[Site]],'Important Info!'!$A$1:$F$135,4,FALSE)</f>
        <v>6</v>
      </c>
      <c r="O1682" s="52" t="str">
        <f>VLOOKUP(Tabla3[[#This Row],[Site]],'Important Info!'!$A$1:$F$135,5,FALSE)</f>
        <v>-</v>
      </c>
      <c r="P1682" s="52" t="str">
        <f>VLOOKUP(Tabla3[[#This Row],[Site]],'Important Info!'!$A$1:$F$135,6,FALSE)</f>
        <v>1, 35, 36</v>
      </c>
      <c r="Q1682" s="91">
        <f>VLOOKUP(Tabla3[[#This Row],[Site]],'Important Info!'!$A$1:$J$135,9,FALSE)</f>
        <v>159</v>
      </c>
    </row>
    <row r="1683" spans="1:17" x14ac:dyDescent="0.25">
      <c r="A1683" t="str">
        <f>+Tabla3[[#This Row],[Site]]&amp;Tabla3[[#This Row],[Split]]</f>
        <v>(WAG) Greeley Chrysler Dodge Jeep Ram (NO TOURS)18</v>
      </c>
      <c r="B1683">
        <v>18</v>
      </c>
      <c r="C1683">
        <v>9</v>
      </c>
      <c r="D1683" t="s">
        <v>44</v>
      </c>
      <c r="E1683" t="s">
        <v>53</v>
      </c>
      <c r="F1683" t="s">
        <v>497</v>
      </c>
      <c r="G1683" t="s">
        <v>45</v>
      </c>
      <c r="H1683" s="52" t="str">
        <f>VLOOKUP(Tabla3[[#This Row],[Site]],'Important Info!'!$A$1:$J$135,10,FALSE)</f>
        <v>https://tools.sig.systems/site/details/130</v>
      </c>
      <c r="I1683" s="43" t="s">
        <v>153</v>
      </c>
      <c r="J1683" t="s">
        <v>41</v>
      </c>
      <c r="K1683" s="79" t="str">
        <f>VLOOKUP(Tabla3[[#This Row],[Site]],'Important Info!'!$A$1:$H$135,8,FALSE)</f>
        <v>-</v>
      </c>
      <c r="L1683" s="52" t="str">
        <f>VLOOKUP(Tabla3[[#This Row],[Site]],'Important Info!'!$A$1:$F$135,2,FALSE)</f>
        <v>17, 23 &amp; 18</v>
      </c>
      <c r="M1683" s="52" t="str">
        <f>VLOOKUP(Tabla3[[#This Row],[Site]],'Important Info!'!$A$1:$F$135,3,FALSE)</f>
        <v>4, 5, 6, 7, 8, 51, 55</v>
      </c>
      <c r="N1683" s="52" t="str">
        <f>VLOOKUP(Tabla3[[#This Row],[Site]],'Important Info!'!$A$1:$F$135,4,FALSE)</f>
        <v>-</v>
      </c>
      <c r="O1683" s="52" t="str">
        <f>VLOOKUP(Tabla3[[#This Row],[Site]],'Important Info!'!$A$1:$F$135,5,FALSE)</f>
        <v>3, 13, 17, 49, 53, 59</v>
      </c>
      <c r="P1683" s="52" t="str">
        <f>VLOOKUP(Tabla3[[#This Row],[Site]],'Important Info!'!$A$1:$F$135,6,FALSE)</f>
        <v>8, 9, 10, 51, 62</v>
      </c>
      <c r="Q1683" s="91">
        <f>VLOOKUP(Tabla3[[#This Row],[Site]],'Important Info!'!$A$1:$J$135,9,FALSE)</f>
        <v>130</v>
      </c>
    </row>
    <row r="1684" spans="1:17" x14ac:dyDescent="0.25">
      <c r="A1684" t="str">
        <f>+Tabla3[[#This Row],[Site]]&amp;Tabla3[[#This Row],[Split]]</f>
        <v>(AS) Courtesy Kia of Brandon (NO TOURS)18</v>
      </c>
      <c r="B1684">
        <v>18</v>
      </c>
      <c r="C1684">
        <v>10</v>
      </c>
      <c r="D1684" t="s">
        <v>62</v>
      </c>
      <c r="E1684" t="s">
        <v>35</v>
      </c>
      <c r="F1684" t="s">
        <v>505</v>
      </c>
      <c r="G1684" t="s">
        <v>490</v>
      </c>
      <c r="H1684" s="52" t="str">
        <f>VLOOKUP(Tabla3[[#This Row],[Site]],'Important Info!'!$A$1:$J$135,10,FALSE)</f>
        <v>https://tools.sig.systems/site/details/121</v>
      </c>
      <c r="I1684" s="2" t="s">
        <v>181</v>
      </c>
      <c r="J1684" t="s">
        <v>484</v>
      </c>
      <c r="K1684" s="79" t="str">
        <f>VLOOKUP(Tabla3[[#This Row],[Site]],'Important Info!'!$A$1:$H$135,8,FALSE)</f>
        <v>-</v>
      </c>
      <c r="L1684" s="52" t="str">
        <f>VLOOKUP(Tabla3[[#This Row],[Site]],'Important Info!'!$A$1:$F$135,2,FALSE)</f>
        <v>-</v>
      </c>
      <c r="M1684" s="52" t="str">
        <f>VLOOKUP(Tabla3[[#This Row],[Site]],'Important Info!'!$A$1:$F$135,3,FALSE)</f>
        <v>4, 8</v>
      </c>
      <c r="N1684" s="52" t="str">
        <f>VLOOKUP(Tabla3[[#This Row],[Site]],'Important Info!'!$A$1:$F$135,4,FALSE)</f>
        <v>-</v>
      </c>
      <c r="O1684" s="52" t="str">
        <f>VLOOKUP(Tabla3[[#This Row],[Site]],'Important Info!'!$A$1:$F$135,5,FALSE)</f>
        <v>3, 11, 20, 24</v>
      </c>
      <c r="P1684" s="52" t="str">
        <f>VLOOKUP(Tabla3[[#This Row],[Site]],'Important Info!'!$A$1:$F$135,6,FALSE)</f>
        <v>2, 8</v>
      </c>
      <c r="Q1684" s="91">
        <f>VLOOKUP(Tabla3[[#This Row],[Site]],'Important Info!'!$A$1:$J$135,9,FALSE)</f>
        <v>121</v>
      </c>
    </row>
    <row r="1685" spans="1:17" x14ac:dyDescent="0.25">
      <c r="A1685" t="str">
        <f>+Tabla3[[#This Row],[Site]]&amp;Tabla3[[#This Row],[Split]]</f>
        <v>(DT) Denver (NO TOURS)18</v>
      </c>
      <c r="B1685">
        <v>18</v>
      </c>
      <c r="C1685">
        <v>10</v>
      </c>
      <c r="D1685" t="s">
        <v>44</v>
      </c>
      <c r="E1685" t="s">
        <v>53</v>
      </c>
      <c r="F1685" t="s">
        <v>157</v>
      </c>
      <c r="G1685" t="s">
        <v>45</v>
      </c>
      <c r="H1685" s="52" t="str">
        <f>VLOOKUP(Tabla3[[#This Row],[Site]],'Important Info!'!$A$1:$J$135,10,FALSE)</f>
        <v>https://tools.sig.systems/site/details/203</v>
      </c>
      <c r="I1685" s="43" t="s">
        <v>158</v>
      </c>
      <c r="J1685" t="s">
        <v>41</v>
      </c>
      <c r="K1685" s="79" t="str">
        <f>VLOOKUP(Tabla3[[#This Row],[Site]],'Important Info!'!$A$1:$H$135,8,FALSE)</f>
        <v>-</v>
      </c>
      <c r="L1685" s="52" t="str">
        <f>VLOOKUP(Tabla3[[#This Row],[Site]],'Important Info!'!$A$1:$F$135,2,FALSE)</f>
        <v>-</v>
      </c>
      <c r="M1685" s="52" t="str">
        <f>VLOOKUP(Tabla3[[#This Row],[Site]],'Important Info!'!$A$1:$F$135,3,FALSE)</f>
        <v>7, 8</v>
      </c>
      <c r="N1685" s="52" t="str">
        <f>VLOOKUP(Tabla3[[#This Row],[Site]],'Important Info!'!$A$1:$F$135,4,FALSE)</f>
        <v>-</v>
      </c>
      <c r="O1685" s="52" t="str">
        <f>VLOOKUP(Tabla3[[#This Row],[Site]],'Important Info!'!$A$1:$F$135,5,FALSE)</f>
        <v>-</v>
      </c>
      <c r="P1685" s="52" t="str">
        <f>VLOOKUP(Tabla3[[#This Row],[Site]],'Important Info!'!$A$1:$F$135,6,FALSE)</f>
        <v>7, 8</v>
      </c>
      <c r="Q1685" s="91">
        <f>VLOOKUP(Tabla3[[#This Row],[Site]],'Important Info!'!$A$1:$J$135,9,FALSE)</f>
        <v>203</v>
      </c>
    </row>
    <row r="1686" spans="1:17" x14ac:dyDescent="0.25">
      <c r="A1686" t="str">
        <f>+Tabla3[[#This Row],[Site]]&amp;Tabla3[[#This Row],[Split]]</f>
        <v>(SCH) West Palm Beach I, II &amp; III18</v>
      </c>
      <c r="B1686">
        <v>18</v>
      </c>
      <c r="C1686">
        <v>10</v>
      </c>
      <c r="D1686" t="s">
        <v>492</v>
      </c>
      <c r="E1686" t="s">
        <v>35</v>
      </c>
      <c r="F1686" t="s">
        <v>96</v>
      </c>
      <c r="G1686" t="s">
        <v>490</v>
      </c>
      <c r="H1686" s="52" t="str">
        <f>VLOOKUP(Tabla3[[#This Row],[Site]],'Important Info!'!$A$1:$J$135,10,FALSE)</f>
        <v>https://tools.sig.systems/site/details/162</v>
      </c>
      <c r="I1686" s="43"/>
      <c r="J1686" t="s">
        <v>36</v>
      </c>
      <c r="K1686" s="79" t="str">
        <f>VLOOKUP(Tabla3[[#This Row],[Site]],'Important Info!'!$A$1:$H$135,8,FALSE)</f>
        <v>SUNDAY: Log in at 5:30 p.m. ET.</v>
      </c>
      <c r="L1686" s="52" t="str">
        <f>VLOOKUP(Tabla3[[#This Row],[Site]],'Important Info!'!$A$1:$F$135,2,FALSE)</f>
        <v>34, 62</v>
      </c>
      <c r="M1686" s="52" t="str">
        <f>VLOOKUP(Tabla3[[#This Row],[Site]],'Important Info!'!$A$1:$F$135,3,FALSE)</f>
        <v xml:space="preserve">6, 7, 11, 13, </v>
      </c>
      <c r="N1686" s="52" t="str">
        <f>VLOOKUP(Tabla3[[#This Row],[Site]],'Important Info!'!$A$1:$F$135,4,FALSE)</f>
        <v>20, 21</v>
      </c>
      <c r="O1686" s="52" t="str">
        <f>VLOOKUP(Tabla3[[#This Row],[Site]],'Important Info!'!$A$1:$F$135,5,FALSE)</f>
        <v>-</v>
      </c>
      <c r="P1686" s="52" t="str">
        <f>VLOOKUP(Tabla3[[#This Row],[Site]],'Important Info!'!$A$1:$F$135,6,FALSE)</f>
        <v>1, 2, 3, 131, 132</v>
      </c>
      <c r="Q1686" s="91">
        <f>VLOOKUP(Tabla3[[#This Row],[Site]],'Important Info!'!$A$1:$J$135,9,FALSE)</f>
        <v>162</v>
      </c>
    </row>
    <row r="1687" spans="1:17" x14ac:dyDescent="0.25">
      <c r="A1687" t="str">
        <f>+Tabla3[[#This Row],[Site]]&amp;Tabla3[[#This Row],[Split]]</f>
        <v>(AS) David McDavid Lincoln Frisco (NO TOURS)18</v>
      </c>
      <c r="B1687">
        <v>18</v>
      </c>
      <c r="C1687">
        <v>11</v>
      </c>
      <c r="D1687" t="s">
        <v>33</v>
      </c>
      <c r="E1687" t="s">
        <v>46</v>
      </c>
      <c r="F1687" t="s">
        <v>507</v>
      </c>
      <c r="G1687" t="s">
        <v>34</v>
      </c>
      <c r="H1687" s="52" t="str">
        <f>VLOOKUP(Tabla3[[#This Row],[Site]],'Important Info!'!$A$1:$J$135,10,FALSE)</f>
        <v>https://tools.sig.systems/site/details/182</v>
      </c>
      <c r="I1687" s="2"/>
      <c r="J1687" t="s">
        <v>41</v>
      </c>
      <c r="K1687" s="79" t="str">
        <f>VLOOKUP(Tabla3[[#This Row],[Site]],'Important Info!'!$A$1:$H$135,8,FALSE)</f>
        <v>-</v>
      </c>
      <c r="L1687" s="52" t="str">
        <f>VLOOKUP(Tabla3[[#This Row],[Site]],'Important Info!'!$A$1:$F$135,2,FALSE)</f>
        <v>1, 2, 11</v>
      </c>
      <c r="M1687" s="52" t="str">
        <f>VLOOKUP(Tabla3[[#This Row],[Site]],'Important Info!'!$A$1:$F$135,3,FALSE)</f>
        <v>-</v>
      </c>
      <c r="N1687" s="52" t="str">
        <f>VLOOKUP(Tabla3[[#This Row],[Site]],'Important Info!'!$A$1:$F$135,4,FALSE)</f>
        <v>-</v>
      </c>
      <c r="O1687" s="52" t="str">
        <f>VLOOKUP(Tabla3[[#This Row],[Site]],'Important Info!'!$A$1:$F$135,5,FALSE)</f>
        <v>11, 16, 20</v>
      </c>
      <c r="P1687" s="52" t="str">
        <f>VLOOKUP(Tabla3[[#This Row],[Site]],'Important Info!'!$A$1:$F$135,6,FALSE)</f>
        <v>11, 12, 13, 14</v>
      </c>
      <c r="Q1687" s="91">
        <f>VLOOKUP(Tabla3[[#This Row],[Site]],'Important Info!'!$A$1:$J$135,9,FALSE)</f>
        <v>182</v>
      </c>
    </row>
    <row r="1688" spans="1:17" x14ac:dyDescent="0.25">
      <c r="A1688" t="str">
        <f>+Tabla3[[#This Row],[Site]]&amp;Tabla3[[#This Row],[Split]]</f>
        <v>(AS) Lexus Smyrna (NO TOURS)18</v>
      </c>
      <c r="B1688">
        <v>18</v>
      </c>
      <c r="C1688">
        <v>11</v>
      </c>
      <c r="D1688" t="s">
        <v>62</v>
      </c>
      <c r="E1688" t="s">
        <v>35</v>
      </c>
      <c r="F1688" t="s">
        <v>84</v>
      </c>
      <c r="G1688" t="s">
        <v>490</v>
      </c>
      <c r="H1688" s="52" t="str">
        <f>VLOOKUP(Tabla3[[#This Row],[Site]],'Important Info!'!$A$1:$J$135,10,FALSE)</f>
        <v>https://tools.sig.systems/site/details/133</v>
      </c>
      <c r="I1688" s="2"/>
      <c r="J1688" t="s">
        <v>41</v>
      </c>
      <c r="K1688" s="79" t="str">
        <f>VLOOKUP(Tabla3[[#This Row],[Site]],'Important Info!'!$A$1:$H$135,8,FALSE)</f>
        <v>-</v>
      </c>
      <c r="L1688" s="52" t="str">
        <f>VLOOKUP(Tabla3[[#This Row],[Site]],'Important Info!'!$A$1:$F$135,2,FALSE)</f>
        <v xml:space="preserve">2, 6, 10 </v>
      </c>
      <c r="M1688" s="52" t="str">
        <f>VLOOKUP(Tabla3[[#This Row],[Site]],'Important Info!'!$A$1:$F$135,3,FALSE)</f>
        <v>-</v>
      </c>
      <c r="N1688" s="52" t="str">
        <f>VLOOKUP(Tabla3[[#This Row],[Site]],'Important Info!'!$A$1:$F$135,4,FALSE)</f>
        <v>-</v>
      </c>
      <c r="O1688" s="52" t="str">
        <f>VLOOKUP(Tabla3[[#This Row],[Site]],'Important Info!'!$A$1:$F$135,5,FALSE)</f>
        <v>3, 5, 10, 15</v>
      </c>
      <c r="P1688" s="52" t="str">
        <f>VLOOKUP(Tabla3[[#This Row],[Site]],'Important Info!'!$A$1:$F$135,6,FALSE)</f>
        <v>10, 11</v>
      </c>
      <c r="Q1688" s="91">
        <f>VLOOKUP(Tabla3[[#This Row],[Site]],'Important Info!'!$A$1:$J$135,9,FALSE)</f>
        <v>133</v>
      </c>
    </row>
    <row r="1689" spans="1:17" x14ac:dyDescent="0.25">
      <c r="A1689" t="str">
        <f>+Tabla3[[#This Row],[Site]]&amp;Tabla3[[#This Row],[Split]]</f>
        <v>(AS) Nalley BMW Collision Center (NO TOURS)18</v>
      </c>
      <c r="B1689">
        <v>18</v>
      </c>
      <c r="C1689">
        <v>11</v>
      </c>
      <c r="D1689" t="s">
        <v>62</v>
      </c>
      <c r="E1689" t="s">
        <v>35</v>
      </c>
      <c r="F1689" t="s">
        <v>510</v>
      </c>
      <c r="G1689" t="s">
        <v>490</v>
      </c>
      <c r="H1689" s="52" t="str">
        <f>VLOOKUP(Tabla3[[#This Row],[Site]],'Important Info!'!$A$1:$J$135,10,FALSE)</f>
        <v>https://tools.sig.systems/site/details/220</v>
      </c>
      <c r="I1689" s="2"/>
      <c r="J1689" t="s">
        <v>41</v>
      </c>
      <c r="K1689" s="79" t="str">
        <f>VLOOKUP(Tabla3[[#This Row],[Site]],'Important Info!'!$A$1:$H$135,8,FALSE)</f>
        <v>-</v>
      </c>
      <c r="L1689" s="52" t="str">
        <f>VLOOKUP(Tabla3[[#This Row],[Site]],'Important Info!'!$A$1:$F$135,2,FALSE)</f>
        <v>-</v>
      </c>
      <c r="M1689" s="52">
        <f>VLOOKUP(Tabla3[[#This Row],[Site]],'Important Info!'!$A$1:$F$135,3,FALSE)</f>
        <v>4</v>
      </c>
      <c r="N1689" s="52" t="str">
        <f>VLOOKUP(Tabla3[[#This Row],[Site]],'Important Info!'!$A$1:$F$135,4,FALSE)</f>
        <v>-</v>
      </c>
      <c r="O1689" s="52">
        <f>VLOOKUP(Tabla3[[#This Row],[Site]],'Important Info!'!$A$1:$F$135,5,FALSE)</f>
        <v>12</v>
      </c>
      <c r="P1689" s="52" t="str">
        <f>VLOOKUP(Tabla3[[#This Row],[Site]],'Important Info!'!$A$1:$F$135,6,FALSE)</f>
        <v>13, 15</v>
      </c>
      <c r="Q1689" s="91">
        <f>VLOOKUP(Tabla3[[#This Row],[Site]],'Important Info!'!$A$1:$J$135,9,FALSE)</f>
        <v>220</v>
      </c>
    </row>
    <row r="1690" spans="1:17" x14ac:dyDescent="0.25">
      <c r="A1690" t="str">
        <f>+Tabla3[[#This Row],[Site]]&amp;Tabla3[[#This Row],[Split]]</f>
        <v>(DT) Albuquerque18</v>
      </c>
      <c r="B1690">
        <v>18</v>
      </c>
      <c r="C1690">
        <v>11</v>
      </c>
      <c r="D1690" t="s">
        <v>44</v>
      </c>
      <c r="E1690" t="s">
        <v>53</v>
      </c>
      <c r="F1690" t="s">
        <v>155</v>
      </c>
      <c r="G1690" t="s">
        <v>45</v>
      </c>
      <c r="H1690" s="52" t="str">
        <f>VLOOKUP(Tabla3[[#This Row],[Site]],'Important Info!'!$A$1:$J$135,10,FALSE)</f>
        <v>https://tools.sig.systems/site/details/237</v>
      </c>
      <c r="J1690" t="s">
        <v>41</v>
      </c>
      <c r="K1690" s="79" t="str">
        <f>VLOOKUP(Tabla3[[#This Row],[Site]],'Important Info!'!$A$1:$H$135,8,FALSE)</f>
        <v>-</v>
      </c>
      <c r="L1690" s="52" t="str">
        <f>VLOOKUP(Tabla3[[#This Row],[Site]],'Important Info!'!$A$1:$F$135,2,FALSE)</f>
        <v>14, 16</v>
      </c>
      <c r="M1690" s="52" t="str">
        <f>VLOOKUP(Tabla3[[#This Row],[Site]],'Important Info!'!$A$1:$F$135,3,FALSE)</f>
        <v>-</v>
      </c>
      <c r="N1690" s="52" t="str">
        <f>VLOOKUP(Tabla3[[#This Row],[Site]],'Important Info!'!$A$1:$F$135,4,FALSE)</f>
        <v>-</v>
      </c>
      <c r="O1690" s="52" t="str">
        <f>VLOOKUP(Tabla3[[#This Row],[Site]],'Important Info!'!$A$1:$F$135,5,FALSE)</f>
        <v>14, 15</v>
      </c>
      <c r="P1690" s="52" t="str">
        <f>VLOOKUP(Tabla3[[#This Row],[Site]],'Important Info!'!$A$1:$F$135,6,FALSE)</f>
        <v>12, 14, 16</v>
      </c>
      <c r="Q1690" s="91">
        <f>VLOOKUP(Tabla3[[#This Row],[Site]],'Important Info!'!$A$1:$J$135,9,FALSE)</f>
        <v>237</v>
      </c>
    </row>
    <row r="1691" spans="1:17" x14ac:dyDescent="0.25">
      <c r="A1691" t="str">
        <f>+Tabla3[[#This Row],[Site]]&amp;Tabla3[[#This Row],[Split]]</f>
        <v>(ML) Mazda VW-Lot B18</v>
      </c>
      <c r="B1691">
        <v>18</v>
      </c>
      <c r="C1691">
        <v>11</v>
      </c>
      <c r="D1691" t="s">
        <v>33</v>
      </c>
      <c r="E1691" t="s">
        <v>46</v>
      </c>
      <c r="F1691" t="s">
        <v>9</v>
      </c>
      <c r="G1691" t="s">
        <v>34</v>
      </c>
      <c r="H1691" s="52" t="str">
        <f>VLOOKUP(Tabla3[[#This Row],[Site]],'Important Info!'!$A$1:$J$135,10,FALSE)</f>
        <v>https://tools.sig.systems/site/details/205</v>
      </c>
      <c r="I1691" s="43" t="s">
        <v>142</v>
      </c>
      <c r="J1691" t="s">
        <v>41</v>
      </c>
      <c r="K1691" s="79" t="str">
        <f>VLOOKUP(Tabla3[[#This Row],[Site]],'Important Info!'!$A$1:$H$135,8,FALSE)</f>
        <v>-</v>
      </c>
      <c r="L1691" s="52" t="str">
        <f>VLOOKUP(Tabla3[[#This Row],[Site]],'Important Info!'!$A$1:$F$135,2,FALSE)</f>
        <v>9, 14, 16</v>
      </c>
      <c r="M1691" s="52">
        <f>VLOOKUP(Tabla3[[#This Row],[Site]],'Important Info!'!$A$1:$F$135,3,FALSE)</f>
        <v>1</v>
      </c>
      <c r="N1691" s="52" t="str">
        <f>VLOOKUP(Tabla3[[#This Row],[Site]],'Important Info!'!$A$1:$F$135,4,FALSE)</f>
        <v>-</v>
      </c>
      <c r="O1691" s="52">
        <f>VLOOKUP(Tabla3[[#This Row],[Site]],'Important Info!'!$A$1:$F$135,5,FALSE)</f>
        <v>4</v>
      </c>
      <c r="P1691" s="52" t="str">
        <f>VLOOKUP(Tabla3[[#This Row],[Site]],'Important Info!'!$A$1:$F$135,6,FALSE)</f>
        <v>-</v>
      </c>
      <c r="Q1691" s="91">
        <f>VLOOKUP(Tabla3[[#This Row],[Site]],'Important Info!'!$A$1:$J$135,9,FALSE)</f>
        <v>205</v>
      </c>
    </row>
    <row r="1692" spans="1:17" x14ac:dyDescent="0.25">
      <c r="A1692" t="str">
        <f>+Tabla3[[#This Row],[Site]]&amp;Tabla3[[#This Row],[Split]]</f>
        <v>(ML) Volvo Collision Corp18</v>
      </c>
      <c r="B1692">
        <v>18</v>
      </c>
      <c r="C1692">
        <v>11</v>
      </c>
      <c r="D1692" t="s">
        <v>33</v>
      </c>
      <c r="E1692" t="s">
        <v>46</v>
      </c>
      <c r="F1692" t="s">
        <v>106</v>
      </c>
      <c r="G1692" t="s">
        <v>34</v>
      </c>
      <c r="H1692" s="52" t="str">
        <f>VLOOKUP(Tabla3[[#This Row],[Site]],'Important Info!'!$A$1:$J$135,10,FALSE)</f>
        <v>https://tools.sig.systems/site/details/223</v>
      </c>
      <c r="I1692" s="43"/>
      <c r="J1692" t="s">
        <v>41</v>
      </c>
      <c r="K1692" s="79" t="str">
        <f>VLOOKUP(Tabla3[[#This Row],[Site]],'Important Info!'!$A$1:$H$135,8,FALSE)</f>
        <v>-</v>
      </c>
      <c r="L1692" s="52" t="str">
        <f>VLOOKUP(Tabla3[[#This Row],[Site]],'Important Info!'!$A$1:$F$135,2,FALSE)</f>
        <v>7, 11</v>
      </c>
      <c r="M1692" s="52">
        <f>VLOOKUP(Tabla3[[#This Row],[Site]],'Important Info!'!$A$1:$F$135,3,FALSE)</f>
        <v>4</v>
      </c>
      <c r="N1692" s="52" t="str">
        <f>VLOOKUP(Tabla3[[#This Row],[Site]],'Important Info!'!$A$1:$F$135,4,FALSE)</f>
        <v>-</v>
      </c>
      <c r="O1692" s="52">
        <f>VLOOKUP(Tabla3[[#This Row],[Site]],'Important Info!'!$A$1:$F$135,5,FALSE)</f>
        <v>18</v>
      </c>
      <c r="P1692" s="52" t="str">
        <f>VLOOKUP(Tabla3[[#This Row],[Site]],'Important Info!'!$A$1:$F$135,6,FALSE)</f>
        <v>-</v>
      </c>
      <c r="Q1692" s="91">
        <f>VLOOKUP(Tabla3[[#This Row],[Site]],'Important Info!'!$A$1:$J$135,9,FALSE)</f>
        <v>223</v>
      </c>
    </row>
    <row r="1693" spans="1:17" x14ac:dyDescent="0.25">
      <c r="A1693" t="str">
        <f>+Tabla3[[#This Row],[Site]]&amp;Tabla3[[#This Row],[Split]]</f>
        <v>(PE) Fairfield Collision (NO TOURS)18</v>
      </c>
      <c r="B1693">
        <v>18</v>
      </c>
      <c r="C1693">
        <v>11</v>
      </c>
      <c r="D1693" t="s">
        <v>485</v>
      </c>
      <c r="E1693" t="s">
        <v>35</v>
      </c>
      <c r="F1693" t="s">
        <v>63</v>
      </c>
      <c r="G1693" t="s">
        <v>490</v>
      </c>
      <c r="H1693" s="52" t="str">
        <f>VLOOKUP(Tabla3[[#This Row],[Site]],'Important Info!'!$A$1:$J$135,10,FALSE)</f>
        <v>https://tools.sig.systems/site/details/191</v>
      </c>
      <c r="J1693" t="s">
        <v>41</v>
      </c>
      <c r="K1693" s="79" t="str">
        <f>VLOOKUP(Tabla3[[#This Row],[Site]],'Important Info!'!$A$1:$H$135,8,FALSE)</f>
        <v>-</v>
      </c>
      <c r="L1693" s="52">
        <f>VLOOKUP(Tabla3[[#This Row],[Site]],'Important Info!'!$A$1:$F$135,2,FALSE)</f>
        <v>4</v>
      </c>
      <c r="M1693" s="52" t="str">
        <f>VLOOKUP(Tabla3[[#This Row],[Site]],'Important Info!'!$A$1:$F$135,3,FALSE)</f>
        <v>-</v>
      </c>
      <c r="N1693" s="52" t="str">
        <f>VLOOKUP(Tabla3[[#This Row],[Site]],'Important Info!'!$A$1:$F$135,4,FALSE)</f>
        <v>-</v>
      </c>
      <c r="O1693" s="52" t="str">
        <f>VLOOKUP(Tabla3[[#This Row],[Site]],'Important Info!'!$A$1:$F$135,5,FALSE)</f>
        <v>-</v>
      </c>
      <c r="P1693" s="52" t="str">
        <f>VLOOKUP(Tabla3[[#This Row],[Site]],'Important Info!'!$A$1:$F$135,6,FALSE)</f>
        <v>1, 2, 3, 4, 5, 6</v>
      </c>
      <c r="Q1693" s="91">
        <f>VLOOKUP(Tabla3[[#This Row],[Site]],'Important Info!'!$A$1:$J$135,9,FALSE)</f>
        <v>191</v>
      </c>
    </row>
    <row r="1694" spans="1:17" x14ac:dyDescent="0.25">
      <c r="A1694" t="str">
        <f>+Tabla3[[#This Row],[Site]]&amp;Tabla3[[#This Row],[Split]]</f>
        <v>(HUD) Acura of Greensboro18</v>
      </c>
      <c r="B1694">
        <v>18</v>
      </c>
      <c r="C1694">
        <v>12</v>
      </c>
      <c r="D1694" t="s">
        <v>62</v>
      </c>
      <c r="E1694" t="s">
        <v>35</v>
      </c>
      <c r="F1694" t="s">
        <v>100</v>
      </c>
      <c r="G1694" t="s">
        <v>490</v>
      </c>
      <c r="H1694" s="52" t="str">
        <f>VLOOKUP(Tabla3[[#This Row],[Site]],'Important Info!'!$A$1:$J$135,10,FALSE)</f>
        <v>https://tools.sig.systems/site/details/213</v>
      </c>
      <c r="I1694" t="s">
        <v>182</v>
      </c>
      <c r="J1694" t="s">
        <v>41</v>
      </c>
      <c r="K1694" s="79" t="str">
        <f>VLOOKUP(Tabla3[[#This Row],[Site]],'Important Info!'!$A$1:$H$135,8,FALSE)</f>
        <v>-</v>
      </c>
      <c r="L1694" s="52" t="str">
        <f>VLOOKUP(Tabla3[[#This Row],[Site]],'Important Info!'!$A$1:$F$135,2,FALSE)</f>
        <v>1, 2, 6, 7, 9</v>
      </c>
      <c r="M1694" s="52" t="str">
        <f>VLOOKUP(Tabla3[[#This Row],[Site]],'Important Info!'!$A$1:$F$135,3,FALSE)</f>
        <v>-</v>
      </c>
      <c r="N1694" s="52" t="str">
        <f>VLOOKUP(Tabla3[[#This Row],[Site]],'Important Info!'!$A$1:$F$135,4,FALSE)</f>
        <v>-</v>
      </c>
      <c r="O1694" s="52" t="str">
        <f>VLOOKUP(Tabla3[[#This Row],[Site]],'Important Info!'!$A$1:$F$135,5,FALSE)</f>
        <v>2, 5</v>
      </c>
      <c r="P1694" s="52" t="str">
        <f>VLOOKUP(Tabla3[[#This Row],[Site]],'Important Info!'!$A$1:$F$135,6,FALSE)</f>
        <v>1, 2, 6, 7, 9, 18</v>
      </c>
      <c r="Q1694" s="91">
        <f>VLOOKUP(Tabla3[[#This Row],[Site]],'Important Info!'!$A$1:$J$135,9,FALSE)</f>
        <v>213</v>
      </c>
    </row>
    <row r="1695" spans="1:17" x14ac:dyDescent="0.25">
      <c r="A1695" t="str">
        <f>+Tabla3[[#This Row],[Site]]&amp;Tabla3[[#This Row],[Split]]</f>
        <v>(KG) Kia of Phoenix (NO TOURS)18</v>
      </c>
      <c r="B1695">
        <v>18</v>
      </c>
      <c r="C1695">
        <v>12</v>
      </c>
      <c r="D1695" t="s">
        <v>51</v>
      </c>
      <c r="E1695" t="s">
        <v>161</v>
      </c>
      <c r="F1695" t="s">
        <v>94</v>
      </c>
      <c r="G1695" t="s">
        <v>52</v>
      </c>
      <c r="H1695" s="52" t="str">
        <f>VLOOKUP(Tabla3[[#This Row],[Site]],'Important Info!'!$A$1:$J$135,10,FALSE)</f>
        <v>https://tools.sig.systems/site/details/262</v>
      </c>
      <c r="J1695" t="s">
        <v>162</v>
      </c>
      <c r="K1695" s="79" t="str">
        <f>VLOOKUP(Tabla3[[#This Row],[Site]],'Important Info!'!$A$1:$H$135,8,FALSE)</f>
        <v>-</v>
      </c>
      <c r="L1695" s="52" t="str">
        <f>VLOOKUP(Tabla3[[#This Row],[Site]],'Important Info!'!$A$1:$F$135,2,FALSE)</f>
        <v>5, 8, 23</v>
      </c>
      <c r="M1695" s="52" t="str">
        <f>VLOOKUP(Tabla3[[#This Row],[Site]],'Important Info!'!$A$1:$F$135,3,FALSE)</f>
        <v>-</v>
      </c>
      <c r="N1695" s="52" t="str">
        <f>VLOOKUP(Tabla3[[#This Row],[Site]],'Important Info!'!$A$1:$F$135,4,FALSE)</f>
        <v>-</v>
      </c>
      <c r="O1695" s="52">
        <f>VLOOKUP(Tabla3[[#This Row],[Site]],'Important Info!'!$A$1:$F$135,5,FALSE)</f>
        <v>4</v>
      </c>
      <c r="P1695" s="52" t="str">
        <f>VLOOKUP(Tabla3[[#This Row],[Site]],'Important Info!'!$A$1:$F$135,6,FALSE)</f>
        <v>-</v>
      </c>
      <c r="Q1695" s="91">
        <f>VLOOKUP(Tabla3[[#This Row],[Site]],'Important Info!'!$A$1:$J$135,9,FALSE)</f>
        <v>262</v>
      </c>
    </row>
    <row r="1696" spans="1:17" x14ac:dyDescent="0.25">
      <c r="A1696" t="str">
        <f>+Tabla3[[#This Row],[Site]]&amp;Tabla3[[#This Row],[Split]]</f>
        <v>(KT) Northwest CDJR (NO TOURS)18</v>
      </c>
      <c r="B1696">
        <v>18</v>
      </c>
      <c r="C1696">
        <v>12</v>
      </c>
      <c r="D1696" t="s">
        <v>33</v>
      </c>
      <c r="E1696" t="s">
        <v>46</v>
      </c>
      <c r="F1696" t="s">
        <v>77</v>
      </c>
      <c r="G1696" t="s">
        <v>34</v>
      </c>
      <c r="H1696" s="52" t="str">
        <f>VLOOKUP(Tabla3[[#This Row],[Site]],'Important Info!'!$A$1:$J$135,10,FALSE)</f>
        <v>https://tools.sig.systems/site/details/229</v>
      </c>
      <c r="I1696" s="43"/>
      <c r="J1696" t="s">
        <v>41</v>
      </c>
      <c r="K1696" s="79" t="str">
        <f>VLOOKUP(Tabla3[[#This Row],[Site]],'Important Info!'!$A$1:$H$135,8,FALSE)</f>
        <v>-</v>
      </c>
      <c r="L1696" s="52" t="str">
        <f>VLOOKUP(Tabla3[[#This Row],[Site]],'Important Info!'!$A$1:$F$135,2,FALSE)</f>
        <v>1, 3, 11, 25</v>
      </c>
      <c r="M1696" s="52" t="str">
        <f>VLOOKUP(Tabla3[[#This Row],[Site]],'Important Info!'!$A$1:$F$135,3,FALSE)</f>
        <v>-</v>
      </c>
      <c r="N1696" s="52" t="str">
        <f>VLOOKUP(Tabla3[[#This Row],[Site]],'Important Info!'!$A$1:$F$135,4,FALSE)</f>
        <v>-</v>
      </c>
      <c r="O1696" s="52" t="str">
        <f>VLOOKUP(Tabla3[[#This Row],[Site]],'Important Info!'!$A$1:$F$135,5,FALSE)</f>
        <v>4, 12, 18</v>
      </c>
      <c r="P1696" s="52" t="str">
        <f>VLOOKUP(Tabla3[[#This Row],[Site]],'Important Info!'!$A$1:$F$135,6,FALSE)</f>
        <v>-</v>
      </c>
      <c r="Q1696" s="91">
        <f>VLOOKUP(Tabla3[[#This Row],[Site]],'Important Info!'!$A$1:$J$135,9,FALSE)</f>
        <v>229</v>
      </c>
    </row>
    <row r="1697" spans="1:17" x14ac:dyDescent="0.25">
      <c r="A1697" t="str">
        <f>+Tabla3[[#This Row],[Site]]&amp;Tabla3[[#This Row],[Split]]</f>
        <v>(MK) McKenny Salinas Honda18</v>
      </c>
      <c r="B1697">
        <v>18</v>
      </c>
      <c r="C1697">
        <v>12</v>
      </c>
      <c r="D1697" t="s">
        <v>62</v>
      </c>
      <c r="E1697" t="s">
        <v>35</v>
      </c>
      <c r="F1697" t="s">
        <v>115</v>
      </c>
      <c r="G1697" t="s">
        <v>490</v>
      </c>
      <c r="H1697" s="52" t="str">
        <f>VLOOKUP(Tabla3[[#This Row],[Site]],'Important Info!'!$A$1:$J$135,10,FALSE)</f>
        <v>https://tools.sig.systems/site/details/149</v>
      </c>
      <c r="J1697" t="s">
        <v>41</v>
      </c>
      <c r="K1697" s="79" t="str">
        <f>VLOOKUP(Tabla3[[#This Row],[Site]],'Important Info!'!$A$1:$H$135,8,FALSE)</f>
        <v>-</v>
      </c>
      <c r="L1697" s="52" t="str">
        <f>VLOOKUP(Tabla3[[#This Row],[Site]],'Important Info!'!$A$1:$F$135,2,FALSE)</f>
        <v>-</v>
      </c>
      <c r="M1697" s="52" t="str">
        <f>VLOOKUP(Tabla3[[#This Row],[Site]],'Important Info!'!$A$1:$F$135,3,FALSE)</f>
        <v>12, 16</v>
      </c>
      <c r="N1697" s="52" t="str">
        <f>VLOOKUP(Tabla3[[#This Row],[Site]],'Important Info!'!$A$1:$F$135,4,FALSE)</f>
        <v>-</v>
      </c>
      <c r="O1697" s="52" t="str">
        <f>VLOOKUP(Tabla3[[#This Row],[Site]],'Important Info!'!$A$1:$F$135,5,FALSE)</f>
        <v>-</v>
      </c>
      <c r="P1697" s="52" t="str">
        <f>VLOOKUP(Tabla3[[#This Row],[Site]],'Important Info!'!$A$1:$F$135,6,FALSE)</f>
        <v>3, 4, 5, 6, 16</v>
      </c>
      <c r="Q1697" s="91">
        <f>VLOOKUP(Tabla3[[#This Row],[Site]],'Important Info!'!$A$1:$J$135,9,FALSE)</f>
        <v>149</v>
      </c>
    </row>
    <row r="1698" spans="1:17" x14ac:dyDescent="0.25">
      <c r="A1698" t="str">
        <f>+Tabla3[[#This Row],[Site]]&amp;Tabla3[[#This Row],[Split]]</f>
        <v>(ML) Joe Machens Capital City I &amp; II (NO TOURS)18</v>
      </c>
      <c r="B1698">
        <v>18</v>
      </c>
      <c r="C1698">
        <v>12</v>
      </c>
      <c r="D1698" t="s">
        <v>33</v>
      </c>
      <c r="E1698" t="s">
        <v>46</v>
      </c>
      <c r="F1698" t="s">
        <v>72</v>
      </c>
      <c r="G1698" t="s">
        <v>34</v>
      </c>
      <c r="H1698" s="52" t="str">
        <f>VLOOKUP(Tabla3[[#This Row],[Site]],'Important Info!'!$A$1:$J$135,10,FALSE)</f>
        <v>https://tools.sig.systems/site/details/271</v>
      </c>
      <c r="I1698" s="43"/>
      <c r="J1698" t="s">
        <v>41</v>
      </c>
      <c r="K1698" s="79" t="str">
        <f>VLOOKUP(Tabla3[[#This Row],[Site]],'Important Info!'!$A$1:$H$135,8,FALSE)</f>
        <v>-</v>
      </c>
      <c r="L1698" s="52" t="str">
        <f>VLOOKUP(Tabla3[[#This Row],[Site]],'Important Info!'!$A$1:$F$135,2,FALSE)</f>
        <v>-</v>
      </c>
      <c r="M1698" s="52" t="str">
        <f>VLOOKUP(Tabla3[[#This Row],[Site]],'Important Info!'!$A$1:$F$135,3,FALSE)</f>
        <v>1, 3, 4, 20, 25, 27, 28</v>
      </c>
      <c r="N1698" s="52" t="str">
        <f>VLOOKUP(Tabla3[[#This Row],[Site]],'Important Info!'!$A$1:$F$135,4,FALSE)</f>
        <v>-</v>
      </c>
      <c r="O1698" s="52">
        <f>VLOOKUP(Tabla3[[#This Row],[Site]],'Important Info!'!$A$1:$F$135,5,FALSE)</f>
        <v>29</v>
      </c>
      <c r="P1698" s="52" t="str">
        <f>VLOOKUP(Tabla3[[#This Row],[Site]],'Important Info!'!$A$1:$F$135,6,FALSE)</f>
        <v>19, 20</v>
      </c>
      <c r="Q1698" s="91">
        <f>VLOOKUP(Tabla3[[#This Row],[Site]],'Important Info!'!$A$1:$J$135,9,FALSE)</f>
        <v>271</v>
      </c>
    </row>
    <row r="1699" spans="1:17" x14ac:dyDescent="0.25">
      <c r="A1699" t="str">
        <f>+Tabla3[[#This Row],[Site]]&amp;Tabla3[[#This Row],[Split]]</f>
        <v>(AS) Courtesy Hyundai/Nissan Tampa (NO TOURS)18</v>
      </c>
      <c r="B1699">
        <v>18</v>
      </c>
      <c r="C1699">
        <v>13</v>
      </c>
      <c r="D1699" t="s">
        <v>62</v>
      </c>
      <c r="E1699" t="s">
        <v>35</v>
      </c>
      <c r="F1699" t="s">
        <v>504</v>
      </c>
      <c r="G1699" t="s">
        <v>490</v>
      </c>
      <c r="H1699" s="52" t="str">
        <f>VLOOKUP(Tabla3[[#This Row],[Site]],'Important Info!'!$A$1:$J$135,10,FALSE)</f>
        <v>https://tools.sig.systems/site/details/128</v>
      </c>
      <c r="I1699" s="2"/>
      <c r="J1699" t="s">
        <v>484</v>
      </c>
      <c r="K1699" s="79" t="str">
        <f>VLOOKUP(Tabla3[[#This Row],[Site]],'Important Info!'!$A$1:$H$135,8,FALSE)</f>
        <v>-</v>
      </c>
      <c r="L1699" s="52" t="str">
        <f>VLOOKUP(Tabla3[[#This Row],[Site]],'Important Info!'!$A$1:$F$135,2,FALSE)</f>
        <v>1, 16, 25, 27, 32</v>
      </c>
      <c r="M1699" s="52" t="str">
        <f>VLOOKUP(Tabla3[[#This Row],[Site]],'Important Info!'!$A$1:$F$135,3,FALSE)</f>
        <v>-</v>
      </c>
      <c r="N1699" s="52" t="str">
        <f>VLOOKUP(Tabla3[[#This Row],[Site]],'Important Info!'!$A$1:$F$135,4,FALSE)</f>
        <v>-</v>
      </c>
      <c r="O1699" s="52" t="str">
        <f>VLOOKUP(Tabla3[[#This Row],[Site]],'Important Info!'!$A$1:$F$135,5,FALSE)</f>
        <v>4, 10, 16</v>
      </c>
      <c r="P1699" s="52" t="str">
        <f>VLOOKUP(Tabla3[[#This Row],[Site]],'Important Info!'!$A$1:$F$135,6,FALSE)</f>
        <v>24, 25, 26 &amp; Remote Lots</v>
      </c>
      <c r="Q1699" s="91">
        <f>VLOOKUP(Tabla3[[#This Row],[Site]],'Important Info!'!$A$1:$J$135,9,FALSE)</f>
        <v>128</v>
      </c>
    </row>
    <row r="1700" spans="1:17" x14ac:dyDescent="0.25">
      <c r="A1700" t="str">
        <f>+Tabla3[[#This Row],[Site]]&amp;Tabla3[[#This Row],[Split]]</f>
        <v>(AS) Mike Shaw Subaru Greeley (NO TOURS)18</v>
      </c>
      <c r="B1700">
        <v>18</v>
      </c>
      <c r="C1700">
        <v>13</v>
      </c>
      <c r="D1700" t="s">
        <v>44</v>
      </c>
      <c r="E1700" t="s">
        <v>53</v>
      </c>
      <c r="F1700" t="s">
        <v>95</v>
      </c>
      <c r="G1700" t="s">
        <v>45</v>
      </c>
      <c r="H1700" s="52" t="str">
        <f>VLOOKUP(Tabla3[[#This Row],[Site]],'Important Info!'!$A$1:$J$135,10,FALSE)</f>
        <v>https://tools.sig.systems/site/details/174</v>
      </c>
      <c r="I1700" s="43" t="s">
        <v>153</v>
      </c>
      <c r="J1700" t="s">
        <v>41</v>
      </c>
      <c r="K1700" s="79" t="str">
        <f>VLOOKUP(Tabla3[[#This Row],[Site]],'Important Info!'!$A$1:$H$135,8,FALSE)</f>
        <v>-</v>
      </c>
      <c r="L1700" s="52" t="str">
        <f>VLOOKUP(Tabla3[[#This Row],[Site]],'Important Info!'!$A$1:$F$135,2,FALSE)</f>
        <v>16, 17</v>
      </c>
      <c r="M1700" s="52">
        <f>VLOOKUP(Tabla3[[#This Row],[Site]],'Important Info!'!$A$1:$F$135,3,FALSE)</f>
        <v>10</v>
      </c>
      <c r="N1700" s="52" t="str">
        <f>VLOOKUP(Tabla3[[#This Row],[Site]],'Important Info!'!$A$1:$F$135,4,FALSE)</f>
        <v>-</v>
      </c>
      <c r="O1700" s="52" t="str">
        <f>VLOOKUP(Tabla3[[#This Row],[Site]],'Important Info!'!$A$1:$F$135,5,FALSE)</f>
        <v>1, 7</v>
      </c>
      <c r="P1700" s="52" t="str">
        <f>VLOOKUP(Tabla3[[#This Row],[Site]],'Important Info!'!$A$1:$F$135,6,FALSE)</f>
        <v>-</v>
      </c>
      <c r="Q1700" s="91">
        <f>VLOOKUP(Tabla3[[#This Row],[Site]],'Important Info!'!$A$1:$J$135,9,FALSE)</f>
        <v>174</v>
      </c>
    </row>
    <row r="1701" spans="1:17" x14ac:dyDescent="0.25">
      <c r="A1701" t="str">
        <f>+Tabla3[[#This Row],[Site]]&amp;Tabla3[[#This Row],[Split]]</f>
        <v>(AS) Park Place JLR DFW Airport (NO TOURS)18</v>
      </c>
      <c r="B1701">
        <v>18</v>
      </c>
      <c r="C1701">
        <v>13</v>
      </c>
      <c r="D1701" t="s">
        <v>33</v>
      </c>
      <c r="E1701" t="s">
        <v>46</v>
      </c>
      <c r="F1701" t="s">
        <v>516</v>
      </c>
      <c r="G1701" t="s">
        <v>34</v>
      </c>
      <c r="H1701" s="52" t="str">
        <f>VLOOKUP(Tabla3[[#This Row],[Site]],'Important Info!'!$A$1:$J$135,10,FALSE)</f>
        <v>https://tools.sig.systems/site/details/135</v>
      </c>
      <c r="J1701" t="s">
        <v>41</v>
      </c>
      <c r="K1701" s="79" t="str">
        <f>VLOOKUP(Tabla3[[#This Row],[Site]],'Important Info!'!$A$1:$H$135,8,FALSE)</f>
        <v>-</v>
      </c>
      <c r="L1701" s="52" t="str">
        <f>VLOOKUP(Tabla3[[#This Row],[Site]],'Important Info!'!$A$1:$F$135,2,FALSE)</f>
        <v>6, 7, 18</v>
      </c>
      <c r="M1701" s="52" t="str">
        <f>VLOOKUP(Tabla3[[#This Row],[Site]],'Important Info!'!$A$1:$F$135,3,FALSE)</f>
        <v>70, 79, 80</v>
      </c>
      <c r="N1701" s="52" t="str">
        <f>VLOOKUP(Tabla3[[#This Row],[Site]],'Important Info!'!$A$1:$F$135,4,FALSE)</f>
        <v>83, 84</v>
      </c>
      <c r="O1701" s="52" t="str">
        <f>VLOOKUP(Tabla3[[#This Row],[Site]],'Important Info!'!$A$1:$F$135,5,FALSE)</f>
        <v>3, 8, 14, 81</v>
      </c>
      <c r="P1701" s="52">
        <f>VLOOKUP(Tabla3[[#This Row],[Site]],'Important Info!'!$A$1:$F$135,6,FALSE)</f>
        <v>6</v>
      </c>
      <c r="Q1701" s="91">
        <f>VLOOKUP(Tabla3[[#This Row],[Site]],'Important Info!'!$A$1:$J$135,9,FALSE)</f>
        <v>135</v>
      </c>
    </row>
    <row r="1702" spans="1:17" x14ac:dyDescent="0.25">
      <c r="A1702" t="str">
        <f>+Tabla3[[#This Row],[Site]]&amp;Tabla3[[#This Row],[Split]]</f>
        <v>(AS) Plano Auction (NO SPEAKERS)18</v>
      </c>
      <c r="B1702">
        <v>18</v>
      </c>
      <c r="C1702">
        <v>13</v>
      </c>
      <c r="D1702" t="s">
        <v>33</v>
      </c>
      <c r="E1702" t="s">
        <v>46</v>
      </c>
      <c r="F1702" t="s">
        <v>129</v>
      </c>
      <c r="G1702" t="s">
        <v>34</v>
      </c>
      <c r="H1702" s="52" t="str">
        <f>VLOOKUP(Tabla3[[#This Row],[Site]],'Important Info!'!$A$1:$J$135,10,FALSE)</f>
        <v>https://tools.sig.systems/site/details/140</v>
      </c>
      <c r="J1702" t="s">
        <v>41</v>
      </c>
      <c r="K1702" s="79" t="str">
        <f>VLOOKUP(Tabla3[[#This Row],[Site]],'Important Info!'!$A$1:$H$135,8,FALSE)</f>
        <v>-</v>
      </c>
      <c r="L1702" s="52" t="str">
        <f>VLOOKUP(Tabla3[[#This Row],[Site]],'Important Info!'!$A$1:$F$135,2,FALSE)</f>
        <v>-</v>
      </c>
      <c r="M1702" s="52" t="str">
        <f>VLOOKUP(Tabla3[[#This Row],[Site]],'Important Info!'!$A$1:$F$135,3,FALSE)</f>
        <v>3, 4, 19</v>
      </c>
      <c r="N1702" s="52" t="str">
        <f>VLOOKUP(Tabla3[[#This Row],[Site]],'Important Info!'!$A$1:$F$135,4,FALSE)</f>
        <v>-</v>
      </c>
      <c r="O1702" s="52" t="str">
        <f>VLOOKUP(Tabla3[[#This Row],[Site]],'Important Info!'!$A$1:$F$135,5,FALSE)</f>
        <v>5, 19</v>
      </c>
      <c r="P1702" s="52">
        <f>VLOOKUP(Tabla3[[#This Row],[Site]],'Important Info!'!$A$1:$F$135,6,FALSE)</f>
        <v>21</v>
      </c>
      <c r="Q1702" s="91">
        <f>VLOOKUP(Tabla3[[#This Row],[Site]],'Important Info!'!$A$1:$J$135,9,FALSE)</f>
        <v>140</v>
      </c>
    </row>
    <row r="1703" spans="1:17" x14ac:dyDescent="0.25">
      <c r="A1703" t="str">
        <f>+Tabla3[[#This Row],[Site]]&amp;Tabla3[[#This Row],[Split]]</f>
        <v>(HUD) BMW of Greensboro18</v>
      </c>
      <c r="B1703">
        <v>18</v>
      </c>
      <c r="C1703">
        <v>13</v>
      </c>
      <c r="D1703" t="s">
        <v>62</v>
      </c>
      <c r="E1703" t="s">
        <v>35</v>
      </c>
      <c r="F1703" t="s">
        <v>183</v>
      </c>
      <c r="G1703" t="s">
        <v>490</v>
      </c>
      <c r="H1703" s="52" t="str">
        <f>VLOOKUP(Tabla3[[#This Row],[Site]],'Important Info!'!$A$1:$J$135,10,FALSE)</f>
        <v>https://tools.sig.systems/site/details/219</v>
      </c>
      <c r="I1703" s="2" t="s">
        <v>184</v>
      </c>
      <c r="J1703" t="s">
        <v>41</v>
      </c>
      <c r="K1703" s="79" t="str">
        <f>VLOOKUP(Tabla3[[#This Row],[Site]],'Important Info!'!$A$1:$H$135,8,FALSE)</f>
        <v>-</v>
      </c>
      <c r="L1703" s="52" t="str">
        <f>VLOOKUP(Tabla3[[#This Row],[Site]],'Important Info!'!$A$1:$F$135,2,FALSE)</f>
        <v>2, 20, 21</v>
      </c>
      <c r="M1703" s="52" t="str">
        <f>VLOOKUP(Tabla3[[#This Row],[Site]],'Important Info!'!$A$1:$F$135,3,FALSE)</f>
        <v>-</v>
      </c>
      <c r="N1703" s="52" t="str">
        <f>VLOOKUP(Tabla3[[#This Row],[Site]],'Important Info!'!$A$1:$F$135,4,FALSE)</f>
        <v>-</v>
      </c>
      <c r="O1703" s="52" t="str">
        <f>VLOOKUP(Tabla3[[#This Row],[Site]],'Important Info!'!$A$1:$F$135,5,FALSE)</f>
        <v>12, 17</v>
      </c>
      <c r="P1703" s="52" t="str">
        <f>VLOOKUP(Tabla3[[#This Row],[Site]],'Important Info!'!$A$1:$F$135,6,FALSE)</f>
        <v>1, 2, 6, 20</v>
      </c>
      <c r="Q1703" s="91">
        <f>VLOOKUP(Tabla3[[#This Row],[Site]],'Important Info!'!$A$1:$J$135,9,FALSE)</f>
        <v>219</v>
      </c>
    </row>
    <row r="1704" spans="1:17" x14ac:dyDescent="0.25">
      <c r="A1704" t="str">
        <f>+Tabla3[[#This Row],[Site]]&amp;Tabla3[[#This Row],[Split]]</f>
        <v>(PE) Honda of Danbury (NO TOURS)18</v>
      </c>
      <c r="B1704">
        <v>18</v>
      </c>
      <c r="C1704">
        <v>13</v>
      </c>
      <c r="D1704" t="s">
        <v>485</v>
      </c>
      <c r="E1704" t="s">
        <v>35</v>
      </c>
      <c r="F1704" t="s">
        <v>174</v>
      </c>
      <c r="G1704" t="s">
        <v>490</v>
      </c>
      <c r="H1704" s="52" t="str">
        <f>VLOOKUP(Tabla3[[#This Row],[Site]],'Important Info!'!$A$1:$J$135,10,FALSE)</f>
        <v>https://tools.sig.systems/site/details/190</v>
      </c>
      <c r="I1704" s="2"/>
      <c r="J1704" t="s">
        <v>41</v>
      </c>
      <c r="K1704" s="79" t="str">
        <f>VLOOKUP(Tabla3[[#This Row],[Site]],'Important Info!'!$A$1:$H$135,8,FALSE)</f>
        <v>-</v>
      </c>
      <c r="L1704" s="52" t="str">
        <f>VLOOKUP(Tabla3[[#This Row],[Site]],'Important Info!'!$A$1:$F$135,2,FALSE)</f>
        <v>-</v>
      </c>
      <c r="M1704" s="52" t="str">
        <f>VLOOKUP(Tabla3[[#This Row],[Site]],'Important Info!'!$A$1:$F$135,3,FALSE)</f>
        <v>20, 9</v>
      </c>
      <c r="N1704" s="52">
        <f>VLOOKUP(Tabla3[[#This Row],[Site]],'Important Info!'!$A$1:$F$135,4,FALSE)</f>
        <v>9</v>
      </c>
      <c r="O1704" s="52" t="str">
        <f>VLOOKUP(Tabla3[[#This Row],[Site]],'Important Info!'!$A$1:$F$135,5,FALSE)</f>
        <v>-</v>
      </c>
      <c r="P1704" s="52" t="str">
        <f>VLOOKUP(Tabla3[[#This Row],[Site]],'Important Info!'!$A$1:$F$135,6,FALSE)</f>
        <v>9, 16, 17</v>
      </c>
      <c r="Q1704" s="91">
        <f>VLOOKUP(Tabla3[[#This Row],[Site]],'Important Info!'!$A$1:$J$135,9,FALSE)</f>
        <v>190</v>
      </c>
    </row>
    <row r="1705" spans="1:17" x14ac:dyDescent="0.25">
      <c r="A1705" t="str">
        <f>+Tabla3[[#This Row],[Site]]&amp;Tabla3[[#This Row],[Split]]</f>
        <v>(PE) Mercedes Benz &amp; Smart Bldg. of Fairfield (NO TOURS)18</v>
      </c>
      <c r="B1705">
        <v>18</v>
      </c>
      <c r="C1705">
        <v>13</v>
      </c>
      <c r="D1705" t="s">
        <v>485</v>
      </c>
      <c r="E1705" t="s">
        <v>35</v>
      </c>
      <c r="F1705" t="s">
        <v>64</v>
      </c>
      <c r="G1705" t="s">
        <v>490</v>
      </c>
      <c r="H1705" s="52" t="str">
        <f>VLOOKUP(Tabla3[[#This Row],[Site]],'Important Info!'!$A$1:$J$135,10,FALSE)</f>
        <v>https://tools.sig.systems/site/details/192</v>
      </c>
      <c r="I1705" t="s">
        <v>177</v>
      </c>
      <c r="J1705" t="s">
        <v>41</v>
      </c>
      <c r="K1705" s="79" t="str">
        <f>VLOOKUP(Tabla3[[#This Row],[Site]],'Important Info!'!$A$1:$H$135,8,FALSE)</f>
        <v>-</v>
      </c>
      <c r="L1705" s="52" t="str">
        <f>VLOOKUP(Tabla3[[#This Row],[Site]],'Important Info!'!$A$1:$F$135,2,FALSE)</f>
        <v>-</v>
      </c>
      <c r="M1705" s="52">
        <f>VLOOKUP(Tabla3[[#This Row],[Site]],'Important Info!'!$A$1:$F$135,3,FALSE)</f>
        <v>1</v>
      </c>
      <c r="N1705" s="52" t="str">
        <f>VLOOKUP(Tabla3[[#This Row],[Site]],'Important Info!'!$A$1:$F$135,4,FALSE)</f>
        <v>-</v>
      </c>
      <c r="O1705" s="52" t="str">
        <f>VLOOKUP(Tabla3[[#This Row],[Site]],'Important Info!'!$A$1:$F$135,5,FALSE)</f>
        <v>11, 13</v>
      </c>
      <c r="P1705" s="52">
        <f>VLOOKUP(Tabla3[[#This Row],[Site]],'Important Info!'!$A$1:$F$135,6,FALSE)</f>
        <v>1</v>
      </c>
      <c r="Q1705" s="91">
        <f>VLOOKUP(Tabla3[[#This Row],[Site]],'Important Info!'!$A$1:$J$135,9,FALSE)</f>
        <v>192</v>
      </c>
    </row>
    <row r="1706" spans="1:17" x14ac:dyDescent="0.25">
      <c r="A1706" t="str">
        <f>+Tabla3[[#This Row],[Site]]&amp;Tabla3[[#This Row],[Split]]</f>
        <v>(AS) Coggin Mercedes Benz Ft Pierce (NO TOURS)18</v>
      </c>
      <c r="B1706">
        <v>18</v>
      </c>
      <c r="C1706">
        <v>14</v>
      </c>
      <c r="D1706" t="s">
        <v>62</v>
      </c>
      <c r="E1706" t="s">
        <v>35</v>
      </c>
      <c r="F1706" t="s">
        <v>502</v>
      </c>
      <c r="G1706" t="s">
        <v>490</v>
      </c>
      <c r="H1706" s="52" t="str">
        <f>VLOOKUP(Tabla3[[#This Row],[Site]],'Important Info!'!$A$1:$J$135,10,FALSE)</f>
        <v>https://tools.sig.systems/site/details/127</v>
      </c>
      <c r="I1706" t="s">
        <v>179</v>
      </c>
      <c r="J1706" t="s">
        <v>41</v>
      </c>
      <c r="K1706" s="79" t="str">
        <f>VLOOKUP(Tabla3[[#This Row],[Site]],'Important Info!'!$A$1:$H$135,8,FALSE)</f>
        <v>-</v>
      </c>
      <c r="L1706" s="52">
        <f>VLOOKUP(Tabla3[[#This Row],[Site]],'Important Info!'!$A$1:$F$135,2,FALSE)</f>
        <v>18</v>
      </c>
      <c r="M1706" s="52" t="str">
        <f>VLOOKUP(Tabla3[[#This Row],[Site]],'Important Info!'!$A$1:$F$135,3,FALSE)</f>
        <v>1, 3</v>
      </c>
      <c r="N1706" s="52" t="str">
        <f>VLOOKUP(Tabla3[[#This Row],[Site]],'Important Info!'!$A$1:$F$135,4,FALSE)</f>
        <v>-</v>
      </c>
      <c r="O1706" s="52" t="str">
        <f>VLOOKUP(Tabla3[[#This Row],[Site]],'Important Info!'!$A$1:$F$135,5,FALSE)</f>
        <v>6, 10, 13</v>
      </c>
      <c r="P1706" s="52" t="str">
        <f>VLOOKUP(Tabla3[[#This Row],[Site]],'Important Info!'!$A$1:$F$135,6,FALSE)</f>
        <v>1, 4, 5</v>
      </c>
      <c r="Q1706" s="91">
        <f>VLOOKUP(Tabla3[[#This Row],[Site]],'Important Info!'!$A$1:$J$135,9,FALSE)</f>
        <v>127</v>
      </c>
    </row>
    <row r="1707" spans="1:17" x14ac:dyDescent="0.25">
      <c r="A1707" t="str">
        <f>+Tabla3[[#This Row],[Site]]&amp;Tabla3[[#This Row],[Split]]</f>
        <v>(AS) Plaza Lexus/Mercedes/BMW (NO TOURS)18</v>
      </c>
      <c r="B1707">
        <v>18</v>
      </c>
      <c r="C1707">
        <v>14</v>
      </c>
      <c r="D1707" t="s">
        <v>33</v>
      </c>
      <c r="E1707" t="s">
        <v>46</v>
      </c>
      <c r="F1707" t="s">
        <v>92</v>
      </c>
      <c r="G1707" t="s">
        <v>34</v>
      </c>
      <c r="H1707" s="52" t="str">
        <f>VLOOKUP(Tabla3[[#This Row],[Site]],'Important Info!'!$A$1:$J$135,10,FALSE)</f>
        <v>https://tools.sig.systems/site/details/141</v>
      </c>
      <c r="I1707" t="s">
        <v>130</v>
      </c>
      <c r="J1707" t="s">
        <v>41</v>
      </c>
      <c r="K1707" s="79" t="str">
        <f>VLOOKUP(Tabla3[[#This Row],[Site]],'Important Info!'!$A$1:$H$135,8,FALSE)</f>
        <v>-</v>
      </c>
      <c r="L1707" s="52" t="str">
        <f>VLOOKUP(Tabla3[[#This Row],[Site]],'Important Info!'!$A$1:$F$135,2,FALSE)</f>
        <v>3, 4, 18</v>
      </c>
      <c r="M1707" s="52" t="str">
        <f>VLOOKUP(Tabla3[[#This Row],[Site]],'Important Info!'!$A$1:$F$135,3,FALSE)</f>
        <v>9, 10, 12, 13, 16, 17</v>
      </c>
      <c r="N1707" s="52" t="str">
        <f>VLOOKUP(Tabla3[[#This Row],[Site]],'Important Info!'!$A$1:$F$135,4,FALSE)</f>
        <v>-</v>
      </c>
      <c r="O1707" s="52">
        <f>VLOOKUP(Tabla3[[#This Row],[Site]],'Important Info!'!$A$1:$F$135,5,FALSE)</f>
        <v>2</v>
      </c>
      <c r="P1707" s="52" t="str">
        <f>VLOOKUP(Tabla3[[#This Row],[Site]],'Important Info!'!$A$1:$F$135,6,FALSE)</f>
        <v>2, 16</v>
      </c>
      <c r="Q1707" s="91">
        <f>VLOOKUP(Tabla3[[#This Row],[Site]],'Important Info!'!$A$1:$J$135,9,FALSE)</f>
        <v>141</v>
      </c>
    </row>
    <row r="1708" spans="1:17" x14ac:dyDescent="0.25">
      <c r="A1708" t="str">
        <f>+Tabla3[[#This Row],[Site]]&amp;Tabla3[[#This Row],[Split]]</f>
        <v>(DT) El Cajon (NO TOURS)18</v>
      </c>
      <c r="B1708">
        <v>18</v>
      </c>
      <c r="C1708">
        <v>14</v>
      </c>
      <c r="D1708" t="s">
        <v>51</v>
      </c>
      <c r="E1708" t="s">
        <v>159</v>
      </c>
      <c r="F1708" t="s">
        <v>160</v>
      </c>
      <c r="G1708" t="s">
        <v>52</v>
      </c>
      <c r="H1708" s="52" t="str">
        <f>VLOOKUP(Tabla3[[#This Row],[Site]],'Important Info!'!$A$1:$J$135,10,FALSE)</f>
        <v>https://tools.sig.systems/site/details/241</v>
      </c>
      <c r="I1708" s="43"/>
      <c r="J1708" t="s">
        <v>41</v>
      </c>
      <c r="K1708" s="79" t="str">
        <f>VLOOKUP(Tabla3[[#This Row],[Site]],'Important Info!'!$A$1:$H$135,8,FALSE)</f>
        <v>-</v>
      </c>
      <c r="L1708" s="52" t="str">
        <f>VLOOKUP(Tabla3[[#This Row],[Site]],'Important Info!'!$A$1:$F$135,2,FALSE)</f>
        <v>-</v>
      </c>
      <c r="M1708" s="52">
        <f>VLOOKUP(Tabla3[[#This Row],[Site]],'Important Info!'!$A$1:$F$135,3,FALSE)</f>
        <v>3</v>
      </c>
      <c r="N1708" s="52" t="str">
        <f>VLOOKUP(Tabla3[[#This Row],[Site]],'Important Info!'!$A$1:$F$135,4,FALSE)</f>
        <v>-</v>
      </c>
      <c r="O1708" s="52" t="str">
        <f>VLOOKUP(Tabla3[[#This Row],[Site]],'Important Info!'!$A$1:$F$135,5,FALSE)</f>
        <v>-</v>
      </c>
      <c r="P1708" s="52" t="str">
        <f>VLOOKUP(Tabla3[[#This Row],[Site]],'Important Info!'!$A$1:$F$135,6,FALSE)</f>
        <v>-</v>
      </c>
      <c r="Q1708" s="91">
        <f>VLOOKUP(Tabla3[[#This Row],[Site]],'Important Info!'!$A$1:$J$135,9,FALSE)</f>
        <v>241</v>
      </c>
    </row>
    <row r="1709" spans="1:17" x14ac:dyDescent="0.25">
      <c r="A1709" t="str">
        <f>+Tabla3[[#This Row],[Site]]&amp;Tabla3[[#This Row],[Split]]</f>
        <v>(HUD) Nissan Greensboro18</v>
      </c>
      <c r="B1709">
        <v>18</v>
      </c>
      <c r="C1709">
        <v>14</v>
      </c>
      <c r="D1709" t="s">
        <v>62</v>
      </c>
      <c r="E1709" t="s">
        <v>35</v>
      </c>
      <c r="F1709" t="s">
        <v>66</v>
      </c>
      <c r="G1709" t="s">
        <v>490</v>
      </c>
      <c r="H1709" s="52" t="str">
        <f>VLOOKUP(Tabla3[[#This Row],[Site]],'Important Info!'!$A$1:$J$135,10,FALSE)</f>
        <v>https://tools.sig.systems/site/details/236</v>
      </c>
      <c r="I1709" s="2" t="s">
        <v>184</v>
      </c>
      <c r="J1709" t="s">
        <v>41</v>
      </c>
      <c r="K1709" s="79" t="str">
        <f>VLOOKUP(Tabla3[[#This Row],[Site]],'Important Info!'!$A$1:$H$135,8,FALSE)</f>
        <v>-</v>
      </c>
      <c r="L1709" s="52" t="str">
        <f>VLOOKUP(Tabla3[[#This Row],[Site]],'Important Info!'!$A$1:$F$135,2,FALSE)</f>
        <v>1, 5, 12</v>
      </c>
      <c r="M1709" s="52" t="str">
        <f>VLOOKUP(Tabla3[[#This Row],[Site]],'Important Info!'!$A$1:$F$135,3,FALSE)</f>
        <v>-</v>
      </c>
      <c r="N1709" s="52" t="str">
        <f>VLOOKUP(Tabla3[[#This Row],[Site]],'Important Info!'!$A$1:$F$135,4,FALSE)</f>
        <v>-</v>
      </c>
      <c r="O1709" s="52" t="str">
        <f>VLOOKUP(Tabla3[[#This Row],[Site]],'Important Info!'!$A$1:$F$135,5,FALSE)</f>
        <v>-</v>
      </c>
      <c r="P1709" s="52">
        <f>VLOOKUP(Tabla3[[#This Row],[Site]],'Important Info!'!$A$1:$F$135,6,FALSE)</f>
        <v>4</v>
      </c>
      <c r="Q1709" s="91">
        <f>VLOOKUP(Tabla3[[#This Row],[Site]],'Important Info!'!$A$1:$J$135,9,FALSE)</f>
        <v>236</v>
      </c>
    </row>
    <row r="1710" spans="1:17" x14ac:dyDescent="0.25">
      <c r="A1710" t="str">
        <f>+Tabla3[[#This Row],[Site]]&amp;Tabla3[[#This Row],[Split]]</f>
        <v>(KG) Truck Center Remote Storage Lot18</v>
      </c>
      <c r="B1710">
        <v>18</v>
      </c>
      <c r="C1710">
        <v>14</v>
      </c>
      <c r="D1710" t="s">
        <v>60</v>
      </c>
      <c r="E1710" t="s">
        <v>53</v>
      </c>
      <c r="F1710" t="s">
        <v>61</v>
      </c>
      <c r="G1710" t="s">
        <v>41</v>
      </c>
      <c r="H1710" s="52" t="str">
        <f>VLOOKUP(Tabla3[[#This Row],[Site]],'Important Info!'!$A$1:$J$135,10,FALSE)</f>
        <v>https://tools.sig.systems/site/details/144</v>
      </c>
      <c r="I1710" s="2"/>
      <c r="J1710" t="s">
        <v>41</v>
      </c>
      <c r="K1710" s="79" t="str">
        <f>VLOOKUP(Tabla3[[#This Row],[Site]],'Important Info!'!$A$1:$H$135,8,FALSE)</f>
        <v>-</v>
      </c>
      <c r="L1710" s="52" t="str">
        <f>VLOOKUP(Tabla3[[#This Row],[Site]],'Important Info!'!$A$1:$F$135,2,FALSE)</f>
        <v>4, A23, A49</v>
      </c>
      <c r="M1710" s="52" t="str">
        <f>VLOOKUP(Tabla3[[#This Row],[Site]],'Important Info!'!$A$1:$F$135,3,FALSE)</f>
        <v>5, 24</v>
      </c>
      <c r="N1710" s="52" t="str">
        <f>VLOOKUP(Tabla3[[#This Row],[Site]],'Important Info!'!$A$1:$F$135,4,FALSE)</f>
        <v>-</v>
      </c>
      <c r="O1710" s="52" t="str">
        <f>VLOOKUP(Tabla3[[#This Row],[Site]],'Important Info!'!$A$1:$F$135,5,FALSE)</f>
        <v>1, 7, 11, 15, 19, 24, 25</v>
      </c>
      <c r="P1710" s="52" t="str">
        <f>VLOOKUP(Tabla3[[#This Row],[Site]],'Important Info!'!$A$1:$F$135,6,FALSE)</f>
        <v>9, 20, 24, A49</v>
      </c>
      <c r="Q1710" s="91">
        <f>VLOOKUP(Tabla3[[#This Row],[Site]],'Important Info!'!$A$1:$J$135,9,FALSE)</f>
        <v>144</v>
      </c>
    </row>
    <row r="1711" spans="1:17" x14ac:dyDescent="0.25">
      <c r="A1711" t="str">
        <f>+Tabla3[[#This Row],[Site]]&amp;Tabla3[[#This Row],[Split]]</f>
        <v>(ML) McLarty-Gray Daniels Chevrolet18</v>
      </c>
      <c r="B1711">
        <v>18</v>
      </c>
      <c r="C1711">
        <v>14</v>
      </c>
      <c r="D1711" t="s">
        <v>33</v>
      </c>
      <c r="E1711" t="s">
        <v>46</v>
      </c>
      <c r="F1711" t="s">
        <v>151</v>
      </c>
      <c r="G1711" t="s">
        <v>34</v>
      </c>
      <c r="H1711" s="52" t="str">
        <f>VLOOKUP(Tabla3[[#This Row],[Site]],'Important Info!'!$A$1:$J$135,10,FALSE)</f>
        <v>https://tools.sig.systems/site/details/150</v>
      </c>
      <c r="I1711" s="2"/>
      <c r="J1711" t="s">
        <v>41</v>
      </c>
      <c r="K1711" s="79" t="str">
        <f>VLOOKUP(Tabla3[[#This Row],[Site]],'Important Info!'!$A$1:$H$135,8,FALSE)</f>
        <v>-</v>
      </c>
      <c r="L1711" s="52" t="str">
        <f>VLOOKUP(Tabla3[[#This Row],[Site]],'Important Info!'!$A$1:$F$135,2,FALSE)</f>
        <v>3, 4, 5, 22, 24, 26, 28, 36</v>
      </c>
      <c r="M1711" s="52" t="str">
        <f>VLOOKUP(Tabla3[[#This Row],[Site]],'Important Info!'!$A$1:$F$135,3,FALSE)</f>
        <v>-</v>
      </c>
      <c r="N1711" s="52" t="str">
        <f>VLOOKUP(Tabla3[[#This Row],[Site]],'Important Info!'!$A$1:$F$135,4,FALSE)</f>
        <v>-</v>
      </c>
      <c r="O1711" s="52" t="str">
        <f>VLOOKUP(Tabla3[[#This Row],[Site]],'Important Info!'!$A$1:$F$135,5,FALSE)</f>
        <v>4, 7, 12, 26</v>
      </c>
      <c r="P1711" s="52" t="str">
        <f>VLOOKUP(Tabla3[[#This Row],[Site]],'Important Info!'!$A$1:$F$135,6,FALSE)</f>
        <v>1, 3, 5, 6, 23, 24</v>
      </c>
      <c r="Q1711" s="91">
        <f>VLOOKUP(Tabla3[[#This Row],[Site]],'Important Info!'!$A$1:$J$135,9,FALSE)</f>
        <v>150</v>
      </c>
    </row>
    <row r="1712" spans="1:17" x14ac:dyDescent="0.25">
      <c r="A1712" t="str">
        <f>+Tabla3[[#This Row],[Site]]&amp;Tabla3[[#This Row],[Split]]</f>
        <v>(AS) Coggin Honda Ft. Pierce (NO TOURS)18</v>
      </c>
      <c r="B1712">
        <v>18</v>
      </c>
      <c r="C1712">
        <v>15</v>
      </c>
      <c r="D1712" t="s">
        <v>62</v>
      </c>
      <c r="E1712" t="s">
        <v>35</v>
      </c>
      <c r="F1712" t="s">
        <v>501</v>
      </c>
      <c r="G1712" t="s">
        <v>490</v>
      </c>
      <c r="H1712" s="52" t="str">
        <f>VLOOKUP(Tabla3[[#This Row],[Site]],'Important Info!'!$A$1:$J$135,10,FALSE)</f>
        <v>https://tools.sig.systems/site/details/120</v>
      </c>
      <c r="I1712" t="s">
        <v>179</v>
      </c>
      <c r="J1712" t="s">
        <v>484</v>
      </c>
      <c r="K1712" s="79" t="str">
        <f>VLOOKUP(Tabla3[[#This Row],[Site]],'Important Info!'!$A$1:$H$135,8,FALSE)</f>
        <v>-</v>
      </c>
      <c r="L1712" s="52" t="str">
        <f>VLOOKUP(Tabla3[[#This Row],[Site]],'Important Info!'!$A$1:$F$135,2,FALSE)</f>
        <v>1, 2, 3, 4, 14</v>
      </c>
      <c r="M1712" s="52" t="str">
        <f>VLOOKUP(Tabla3[[#This Row],[Site]],'Important Info!'!$A$1:$F$135,3,FALSE)</f>
        <v>-</v>
      </c>
      <c r="N1712" s="52" t="str">
        <f>VLOOKUP(Tabla3[[#This Row],[Site]],'Important Info!'!$A$1:$F$135,4,FALSE)</f>
        <v>-</v>
      </c>
      <c r="O1712" s="52" t="str">
        <f>VLOOKUP(Tabla3[[#This Row],[Site]],'Important Info!'!$A$1:$F$135,5,FALSE)</f>
        <v>7, 11, 15</v>
      </c>
      <c r="P1712" s="52">
        <f>VLOOKUP(Tabla3[[#This Row],[Site]],'Important Info!'!$A$1:$F$135,6,FALSE)</f>
        <v>3</v>
      </c>
      <c r="Q1712" s="91">
        <f>VLOOKUP(Tabla3[[#This Row],[Site]],'Important Info!'!$A$1:$J$135,9,FALSE)</f>
        <v>120</v>
      </c>
    </row>
    <row r="1713" spans="1:17" x14ac:dyDescent="0.25">
      <c r="A1713" t="str">
        <f>+Tabla3[[#This Row],[Site]]&amp;Tabla3[[#This Row],[Split]]</f>
        <v>(AS) Lexus Plano I &amp; II (NO TOURS)18</v>
      </c>
      <c r="B1713">
        <v>18</v>
      </c>
      <c r="C1713">
        <v>15</v>
      </c>
      <c r="D1713" t="s">
        <v>33</v>
      </c>
      <c r="E1713" t="s">
        <v>46</v>
      </c>
      <c r="F1713" t="s">
        <v>524</v>
      </c>
      <c r="G1713" t="s">
        <v>34</v>
      </c>
      <c r="H1713" s="52" t="str">
        <f>VLOOKUP(Tabla3[[#This Row],[Site]],'Important Info!'!$A$1:$J$135,10,FALSE)</f>
        <v>https://tools.sig.systems/site/details/167</v>
      </c>
      <c r="I1713" s="63" t="s">
        <v>127</v>
      </c>
      <c r="J1713" t="s">
        <v>41</v>
      </c>
      <c r="K1713" s="79" t="str">
        <f>VLOOKUP(Tabla3[[#This Row],[Site]],'Important Info!'!$A$1:$H$135,8,FALSE)</f>
        <v>-</v>
      </c>
      <c r="L1713" s="52" t="str">
        <f>VLOOKUP(Tabla3[[#This Row],[Site]],'Important Info!'!$A$1:$F$135,2,FALSE)</f>
        <v>5, 9</v>
      </c>
      <c r="M1713" s="52" t="str">
        <f>VLOOKUP(Tabla3[[#This Row],[Site]],'Important Info!'!$A$1:$F$135,3,FALSE)</f>
        <v>-</v>
      </c>
      <c r="N1713" s="52" t="str">
        <f>VLOOKUP(Tabla3[[#This Row],[Site]],'Important Info!'!$A$1:$F$135,4,FALSE)</f>
        <v>101, 102, 103, 104</v>
      </c>
      <c r="O1713" s="52" t="str">
        <f>VLOOKUP(Tabla3[[#This Row],[Site]],'Important Info!'!$A$1:$F$135,5,FALSE)</f>
        <v>4, 10, 28</v>
      </c>
      <c r="P1713" s="52" t="str">
        <f>VLOOKUP(Tabla3[[#This Row],[Site]],'Important Info!'!$A$1:$F$135,6,FALSE)</f>
        <v>5, 9, 16</v>
      </c>
      <c r="Q1713" s="91">
        <f>VLOOKUP(Tabla3[[#This Row],[Site]],'Important Info!'!$A$1:$J$135,9,FALSE)</f>
        <v>167</v>
      </c>
    </row>
    <row r="1714" spans="1:17" x14ac:dyDescent="0.25">
      <c r="A1714" t="str">
        <f>+Tabla3[[#This Row],[Site]]&amp;Tabla3[[#This Row],[Split]]</f>
        <v>(AS) Plaza Audi/Infiniti (NO TOURS)18</v>
      </c>
      <c r="B1714">
        <v>18</v>
      </c>
      <c r="C1714">
        <v>15</v>
      </c>
      <c r="D1714" t="s">
        <v>33</v>
      </c>
      <c r="E1714" t="s">
        <v>46</v>
      </c>
      <c r="F1714" t="s">
        <v>91</v>
      </c>
      <c r="G1714" t="s">
        <v>34</v>
      </c>
      <c r="H1714" s="52" t="str">
        <f>VLOOKUP(Tabla3[[#This Row],[Site]],'Important Info!'!$A$1:$J$135,10,FALSE)</f>
        <v>https://tools.sig.systems/site/details/141</v>
      </c>
      <c r="I1714" t="s">
        <v>130</v>
      </c>
      <c r="J1714" t="s">
        <v>41</v>
      </c>
      <c r="K1714" s="79" t="str">
        <f>VLOOKUP(Tabla3[[#This Row],[Site]],'Important Info!'!$A$1:$H$135,8,FALSE)</f>
        <v>-</v>
      </c>
      <c r="L1714" s="52" t="str">
        <f>VLOOKUP(Tabla3[[#This Row],[Site]],'Important Info!'!$A$1:$F$135,2,FALSE)</f>
        <v>7, 25</v>
      </c>
      <c r="M1714" s="52" t="str">
        <f>VLOOKUP(Tabla3[[#This Row],[Site]],'Important Info!'!$A$1:$F$135,3,FALSE)</f>
        <v>15, 17, 18</v>
      </c>
      <c r="N1714" s="52" t="str">
        <f>VLOOKUP(Tabla3[[#This Row],[Site]],'Important Info!'!$A$1:$F$135,4,FALSE)</f>
        <v>-</v>
      </c>
      <c r="O1714" s="52" t="str">
        <f>VLOOKUP(Tabla3[[#This Row],[Site]],'Important Info!'!$A$1:$F$135,5,FALSE)</f>
        <v>1, 24</v>
      </c>
      <c r="P1714" s="52" t="str">
        <f>VLOOKUP(Tabla3[[#This Row],[Site]],'Important Info!'!$A$1:$F$135,6,FALSE)</f>
        <v>3, 15, 17</v>
      </c>
      <c r="Q1714" s="91">
        <f>VLOOKUP(Tabla3[[#This Row],[Site]],'Important Info!'!$A$1:$J$135,9,FALSE)</f>
        <v>141</v>
      </c>
    </row>
    <row r="1715" spans="1:17" x14ac:dyDescent="0.25">
      <c r="A1715" t="str">
        <f>+Tabla3[[#This Row],[Site]]&amp;Tabla3[[#This Row],[Split]]</f>
        <v>(AS) Stevinson JLR (NO TOURS)18</v>
      </c>
      <c r="B1715">
        <v>18</v>
      </c>
      <c r="C1715">
        <v>15</v>
      </c>
      <c r="D1715" t="s">
        <v>44</v>
      </c>
      <c r="E1715" t="s">
        <v>53</v>
      </c>
      <c r="F1715" t="s">
        <v>93</v>
      </c>
      <c r="G1715" t="s">
        <v>45</v>
      </c>
      <c r="H1715" s="52" t="str">
        <f>VLOOKUP(Tabla3[[#This Row],[Site]],'Important Info!'!$A$1:$J$135,10,FALSE)</f>
        <v>https://tools.sig.systems/site/details/204</v>
      </c>
      <c r="I1715" s="2"/>
      <c r="J1715" t="s">
        <v>41</v>
      </c>
      <c r="K1715" s="79" t="str">
        <f>VLOOKUP(Tabla3[[#This Row],[Site]],'Important Info!'!$A$1:$H$135,8,FALSE)</f>
        <v>-</v>
      </c>
      <c r="L1715" s="52">
        <f>VLOOKUP(Tabla3[[#This Row],[Site]],'Important Info!'!$A$1:$F$135,2,FALSE)</f>
        <v>5</v>
      </c>
      <c r="M1715" s="52">
        <f>VLOOKUP(Tabla3[[#This Row],[Site]],'Important Info!'!$A$1:$F$135,3,FALSE)</f>
        <v>4</v>
      </c>
      <c r="N1715" s="52" t="str">
        <f>VLOOKUP(Tabla3[[#This Row],[Site]],'Important Info!'!$A$1:$F$135,4,FALSE)</f>
        <v>-</v>
      </c>
      <c r="O1715" s="52">
        <f>VLOOKUP(Tabla3[[#This Row],[Site]],'Important Info!'!$A$1:$F$135,5,FALSE)</f>
        <v>3</v>
      </c>
      <c r="P1715" s="52" t="str">
        <f>VLOOKUP(Tabla3[[#This Row],[Site]],'Important Info!'!$A$1:$F$135,6,FALSE)</f>
        <v>1, 4, 15, 16</v>
      </c>
      <c r="Q1715" s="91">
        <f>VLOOKUP(Tabla3[[#This Row],[Site]],'Important Info!'!$A$1:$J$135,9,FALSE)</f>
        <v>204</v>
      </c>
    </row>
    <row r="1716" spans="1:17" x14ac:dyDescent="0.25">
      <c r="A1716" t="str">
        <f>+Tabla3[[#This Row],[Site]]&amp;Tabla3[[#This Row],[Split]]</f>
        <v>(DT) Escondido18</v>
      </c>
      <c r="B1716">
        <v>18</v>
      </c>
      <c r="C1716">
        <v>15</v>
      </c>
      <c r="D1716" t="s">
        <v>51</v>
      </c>
      <c r="E1716" t="s">
        <v>159</v>
      </c>
      <c r="F1716" t="s">
        <v>112</v>
      </c>
      <c r="G1716" t="s">
        <v>164</v>
      </c>
      <c r="H1716" s="52" t="str">
        <f>VLOOKUP(Tabla3[[#This Row],[Site]],'Important Info!'!$A$1:$J$135,10,FALSE)</f>
        <v>https://tools.sig.systems/site/details/196</v>
      </c>
      <c r="I1716" s="2"/>
      <c r="J1716" t="s">
        <v>41</v>
      </c>
      <c r="K1716" s="79" t="str">
        <f>VLOOKUP(Tabla3[[#This Row],[Site]],'Important Info!'!$A$1:$H$135,8,FALSE)</f>
        <v>Saturday Drop Time 9:00 A.M.</v>
      </c>
      <c r="L1716" s="52" t="str">
        <f>VLOOKUP(Tabla3[[#This Row],[Site]],'Important Info!'!$A$1:$F$135,2,FALSE)</f>
        <v>1, 2</v>
      </c>
      <c r="M1716" s="52" t="str">
        <f>VLOOKUP(Tabla3[[#This Row],[Site]],'Important Info!'!$A$1:$F$135,3,FALSE)</f>
        <v>-</v>
      </c>
      <c r="N1716" s="52" t="str">
        <f>VLOOKUP(Tabla3[[#This Row],[Site]],'Important Info!'!$A$1:$F$135,4,FALSE)</f>
        <v>-</v>
      </c>
      <c r="O1716" s="52" t="str">
        <f>VLOOKUP(Tabla3[[#This Row],[Site]],'Important Info!'!$A$1:$F$135,5,FALSE)</f>
        <v>-</v>
      </c>
      <c r="P1716" s="52" t="str">
        <f>VLOOKUP(Tabla3[[#This Row],[Site]],'Important Info!'!$A$1:$F$135,6,FALSE)</f>
        <v>5, 7, 8</v>
      </c>
      <c r="Q1716" s="91">
        <f>VLOOKUP(Tabla3[[#This Row],[Site]],'Important Info!'!$A$1:$J$135,9,FALSE)</f>
        <v>196</v>
      </c>
    </row>
    <row r="1717" spans="1:17" x14ac:dyDescent="0.25">
      <c r="A1717" t="str">
        <f>+Tabla3[[#This Row],[Site]]&amp;Tabla3[[#This Row],[Split]]</f>
        <v>(HUD) CDJR of Greensboro18</v>
      </c>
      <c r="B1717">
        <v>18</v>
      </c>
      <c r="C1717">
        <v>15</v>
      </c>
      <c r="D1717" t="s">
        <v>62</v>
      </c>
      <c r="E1717" t="s">
        <v>35</v>
      </c>
      <c r="F1717" t="s">
        <v>185</v>
      </c>
      <c r="G1717" t="s">
        <v>491</v>
      </c>
      <c r="H1717" s="52" t="str">
        <f>VLOOKUP(Tabla3[[#This Row],[Site]],'Important Info!'!$A$1:$J$135,10,FALSE)</f>
        <v>https://tools.sig.systems/site/details/215</v>
      </c>
      <c r="I1717" s="2" t="s">
        <v>184</v>
      </c>
      <c r="J1717" t="s">
        <v>36</v>
      </c>
      <c r="K1717" s="79" t="str">
        <f>VLOOKUP(Tabla3[[#This Row],[Site]],'Important Info!'!$A$1:$H$135,8,FALSE)</f>
        <v>-</v>
      </c>
      <c r="L1717" s="52" t="str">
        <f>VLOOKUP(Tabla3[[#This Row],[Site]],'Important Info!'!$A$1:$F$135,2,FALSE)</f>
        <v>2, 12</v>
      </c>
      <c r="M1717" s="52" t="str">
        <f>VLOOKUP(Tabla3[[#This Row],[Site]],'Important Info!'!$A$1:$F$135,3,FALSE)</f>
        <v>-</v>
      </c>
      <c r="N1717" s="52" t="str">
        <f>VLOOKUP(Tabla3[[#This Row],[Site]],'Important Info!'!$A$1:$F$135,4,FALSE)</f>
        <v>-</v>
      </c>
      <c r="O1717" s="52" t="str">
        <f>VLOOKUP(Tabla3[[#This Row],[Site]],'Important Info!'!$A$1:$F$135,5,FALSE)</f>
        <v>3, 13</v>
      </c>
      <c r="P1717" s="52" t="str">
        <f>VLOOKUP(Tabla3[[#This Row],[Site]],'Important Info!'!$A$1:$F$135,6,FALSE)</f>
        <v>1, 17</v>
      </c>
      <c r="Q1717" s="91">
        <f>VLOOKUP(Tabla3[[#This Row],[Site]],'Important Info!'!$A$1:$J$135,9,FALSE)</f>
        <v>215</v>
      </c>
    </row>
    <row r="1718" spans="1:17" x14ac:dyDescent="0.25">
      <c r="A1718" t="str">
        <f>+Tabla3[[#This Row],[Site]]&amp;Tabla3[[#This Row],[Split]]</f>
        <v>(PE) JLR Darien PDI (NO TOURS)18</v>
      </c>
      <c r="B1718">
        <v>18</v>
      </c>
      <c r="C1718">
        <v>15</v>
      </c>
      <c r="D1718" t="s">
        <v>485</v>
      </c>
      <c r="E1718" t="s">
        <v>35</v>
      </c>
      <c r="F1718" t="s">
        <v>98</v>
      </c>
      <c r="G1718" t="s">
        <v>490</v>
      </c>
      <c r="H1718" s="52" t="str">
        <f>VLOOKUP(Tabla3[[#This Row],[Site]],'Important Info!'!$A$1:$J$135,10,FALSE)</f>
        <v>https://tools.sig.systems/site/details/187</v>
      </c>
      <c r="I1718" t="s">
        <v>175</v>
      </c>
      <c r="J1718" t="s">
        <v>41</v>
      </c>
      <c r="K1718" s="79" t="str">
        <f>VLOOKUP(Tabla3[[#This Row],[Site]],'Important Info!'!$A$1:$H$135,8,FALSE)</f>
        <v>-</v>
      </c>
      <c r="L1718" s="52">
        <f>VLOOKUP(Tabla3[[#This Row],[Site]],'Important Info!'!$A$1:$F$135,2,FALSE)</f>
        <v>1</v>
      </c>
      <c r="M1718" s="52" t="str">
        <f>VLOOKUP(Tabla3[[#This Row],[Site]],'Important Info!'!$A$1:$F$135,3,FALSE)</f>
        <v>-</v>
      </c>
      <c r="N1718" s="52" t="str">
        <f>VLOOKUP(Tabla3[[#This Row],[Site]],'Important Info!'!$A$1:$F$135,4,FALSE)</f>
        <v>-</v>
      </c>
      <c r="O1718" s="52">
        <f>VLOOKUP(Tabla3[[#This Row],[Site]],'Important Info!'!$A$1:$F$135,5,FALSE)</f>
        <v>1</v>
      </c>
      <c r="P1718" s="52">
        <f>VLOOKUP(Tabla3[[#This Row],[Site]],'Important Info!'!$A$1:$F$135,6,FALSE)</f>
        <v>7</v>
      </c>
      <c r="Q1718" s="91">
        <f>VLOOKUP(Tabla3[[#This Row],[Site]],'Important Info!'!$A$1:$J$135,9,FALSE)</f>
        <v>187</v>
      </c>
    </row>
    <row r="1719" spans="1:17" x14ac:dyDescent="0.25">
      <c r="A1719" t="str">
        <f>+Tabla3[[#This Row],[Site]]&amp;Tabla3[[#This Row],[Split]]</f>
        <v>(AS) Coggin Acura Ft Pierce (NO TOURS)18</v>
      </c>
      <c r="B1719">
        <v>18</v>
      </c>
      <c r="C1719">
        <v>16</v>
      </c>
      <c r="D1719" t="s">
        <v>62</v>
      </c>
      <c r="E1719" t="s">
        <v>35</v>
      </c>
      <c r="F1719" t="s">
        <v>500</v>
      </c>
      <c r="G1719" t="s">
        <v>490</v>
      </c>
      <c r="H1719" s="52" t="str">
        <f>VLOOKUP(Tabla3[[#This Row],[Site]],'Important Info!'!$A$1:$J$135,10,FALSE)</f>
        <v>https://tools.sig.systems/site/details/118</v>
      </c>
      <c r="I1719" s="2" t="s">
        <v>179</v>
      </c>
      <c r="J1719" t="s">
        <v>41</v>
      </c>
      <c r="K1719" s="79" t="str">
        <f>VLOOKUP(Tabla3[[#This Row],[Site]],'Important Info!'!$A$1:$H$135,8,FALSE)</f>
        <v>-</v>
      </c>
      <c r="L1719" s="52" t="str">
        <f>VLOOKUP(Tabla3[[#This Row],[Site]],'Important Info!'!$A$1:$F$135,2,FALSE)</f>
        <v>-</v>
      </c>
      <c r="M1719" s="52">
        <f>VLOOKUP(Tabla3[[#This Row],[Site]],'Important Info!'!$A$1:$F$135,3,FALSE)</f>
        <v>6</v>
      </c>
      <c r="N1719" s="52" t="str">
        <f>VLOOKUP(Tabla3[[#This Row],[Site]],'Important Info!'!$A$1:$F$135,4,FALSE)</f>
        <v>-</v>
      </c>
      <c r="O1719" s="52" t="str">
        <f>VLOOKUP(Tabla3[[#This Row],[Site]],'Important Info!'!$A$1:$F$135,5,FALSE)</f>
        <v>4, 6</v>
      </c>
      <c r="P1719" s="52">
        <f>VLOOKUP(Tabla3[[#This Row],[Site]],'Important Info!'!$A$1:$F$135,6,FALSE)</f>
        <v>1</v>
      </c>
      <c r="Q1719" s="91">
        <f>VLOOKUP(Tabla3[[#This Row],[Site]],'Important Info!'!$A$1:$J$135,9,FALSE)</f>
        <v>118</v>
      </c>
    </row>
    <row r="1720" spans="1:17" x14ac:dyDescent="0.25">
      <c r="A1720" t="str">
        <f>+Tabla3[[#This Row],[Site]]&amp;Tabla3[[#This Row],[Split]]</f>
        <v>(AS) Park Place Acura (NO TOURS)18</v>
      </c>
      <c r="B1720">
        <v>18</v>
      </c>
      <c r="C1720">
        <v>16</v>
      </c>
      <c r="D1720" t="s">
        <v>33</v>
      </c>
      <c r="E1720" t="s">
        <v>46</v>
      </c>
      <c r="F1720" t="s">
        <v>513</v>
      </c>
      <c r="G1720" t="s">
        <v>34</v>
      </c>
      <c r="H1720" s="52" t="str">
        <f>VLOOKUP(Tabla3[[#This Row],[Site]],'Important Info!'!$A$1:$J$135,10,FALSE)</f>
        <v>https://tools.sig.systems/site/details/259</v>
      </c>
      <c r="I1720" s="63" t="s">
        <v>127</v>
      </c>
      <c r="J1720" t="s">
        <v>41</v>
      </c>
      <c r="K1720" s="79" t="str">
        <f>VLOOKUP(Tabla3[[#This Row],[Site]],'Important Info!'!$A$1:$H$135,8,FALSE)</f>
        <v>-</v>
      </c>
      <c r="L1720" s="52" t="str">
        <f>VLOOKUP(Tabla3[[#This Row],[Site]],'Important Info!'!$A$1:$F$135,2,FALSE)</f>
        <v>1, 2, 14, 16</v>
      </c>
      <c r="M1720" s="52" t="str">
        <f>VLOOKUP(Tabla3[[#This Row],[Site]],'Important Info!'!$A$1:$F$135,3,FALSE)</f>
        <v>-</v>
      </c>
      <c r="N1720" s="52" t="str">
        <f>VLOOKUP(Tabla3[[#This Row],[Site]],'Important Info!'!$A$1:$F$135,4,FALSE)</f>
        <v>-</v>
      </c>
      <c r="O1720" s="52" t="str">
        <f>VLOOKUP(Tabla3[[#This Row],[Site]],'Important Info!'!$A$1:$F$135,5,FALSE)</f>
        <v>1, 7, 13</v>
      </c>
      <c r="P1720" s="52" t="str">
        <f>VLOOKUP(Tabla3[[#This Row],[Site]],'Important Info!'!$A$1:$F$135,6,FALSE)</f>
        <v>-</v>
      </c>
      <c r="Q1720" s="91">
        <f>VLOOKUP(Tabla3[[#This Row],[Site]],'Important Info!'!$A$1:$J$135,9,FALSE)</f>
        <v>259</v>
      </c>
    </row>
    <row r="1721" spans="1:17" x14ac:dyDescent="0.25">
      <c r="A1721" t="str">
        <f>+Tabla3[[#This Row],[Site]]&amp;Tabla3[[#This Row],[Split]]</f>
        <v>(AS) Park Place Volvo Service Center (NO TOURS)18</v>
      </c>
      <c r="B1721">
        <v>18</v>
      </c>
      <c r="C1721">
        <v>16</v>
      </c>
      <c r="D1721" t="s">
        <v>33</v>
      </c>
      <c r="E1721" t="s">
        <v>46</v>
      </c>
      <c r="F1721" t="s">
        <v>522</v>
      </c>
      <c r="G1721" t="s">
        <v>34</v>
      </c>
      <c r="H1721" s="52" t="str">
        <f>VLOOKUP(Tabla3[[#This Row],[Site]],'Important Info!'!$A$1:$J$135,10,FALSE)</f>
        <v>https://tools.sig.systems/site/details/171</v>
      </c>
      <c r="I1721" s="65" t="s">
        <v>125</v>
      </c>
      <c r="J1721" t="s">
        <v>41</v>
      </c>
      <c r="K1721" s="79" t="str">
        <f>VLOOKUP(Tabla3[[#This Row],[Site]],'Important Info!'!$A$1:$H$135,8,FALSE)</f>
        <v>-</v>
      </c>
      <c r="L1721" s="52" t="str">
        <f>VLOOKUP(Tabla3[[#This Row],[Site]],'Important Info!'!$A$1:$F$135,2,FALSE)</f>
        <v>3, 6, 9, 27, 31, 35</v>
      </c>
      <c r="M1721" s="52" t="str">
        <f>VLOOKUP(Tabla3[[#This Row],[Site]],'Important Info!'!$A$1:$F$135,3,FALSE)</f>
        <v>-</v>
      </c>
      <c r="N1721" s="52" t="str">
        <f>VLOOKUP(Tabla3[[#This Row],[Site]],'Important Info!'!$A$1:$F$135,4,FALSE)</f>
        <v>-</v>
      </c>
      <c r="O1721" s="52" t="str">
        <f>VLOOKUP(Tabla3[[#This Row],[Site]],'Important Info!'!$A$1:$F$135,5,FALSE)</f>
        <v>27, 32</v>
      </c>
      <c r="P1721" s="52" t="str">
        <f>VLOOKUP(Tabla3[[#This Row],[Site]],'Important Info!'!$A$1:$F$135,6,FALSE)</f>
        <v>-</v>
      </c>
      <c r="Q1721" s="91">
        <f>VLOOKUP(Tabla3[[#This Row],[Site]],'Important Info!'!$A$1:$J$135,9,FALSE)</f>
        <v>171</v>
      </c>
    </row>
    <row r="1722" spans="1:17" x14ac:dyDescent="0.25">
      <c r="A1722" t="str">
        <f>+Tabla3[[#This Row],[Site]]&amp;Tabla3[[#This Row],[Split]]</f>
        <v>(DT) W Houston18</v>
      </c>
      <c r="B1722">
        <v>18</v>
      </c>
      <c r="C1722">
        <v>16</v>
      </c>
      <c r="D1722" t="s">
        <v>33</v>
      </c>
      <c r="E1722" t="s">
        <v>46</v>
      </c>
      <c r="F1722" t="s">
        <v>69</v>
      </c>
      <c r="G1722" t="s">
        <v>34</v>
      </c>
      <c r="H1722" s="52" t="str">
        <f>VLOOKUP(Tabla3[[#This Row],[Site]],'Important Info!'!$A$1:$J$135,10,FALSE)</f>
        <v>https://tools.sig.systems/site/details/197</v>
      </c>
      <c r="I1722" s="2"/>
      <c r="J1722" t="s">
        <v>41</v>
      </c>
      <c r="K1722" s="79" t="str">
        <f>VLOOKUP(Tabla3[[#This Row],[Site]],'Important Info!'!$A$1:$H$135,8,FALSE)</f>
        <v>-</v>
      </c>
      <c r="L1722" s="52">
        <f>VLOOKUP(Tabla3[[#This Row],[Site]],'Important Info!'!$A$1:$F$135,2,FALSE)</f>
        <v>7</v>
      </c>
      <c r="M1722" s="52">
        <f>VLOOKUP(Tabla3[[#This Row],[Site]],'Important Info!'!$A$1:$F$135,3,FALSE)</f>
        <v>2</v>
      </c>
      <c r="N1722" s="52" t="str">
        <f>VLOOKUP(Tabla3[[#This Row],[Site]],'Important Info!'!$A$1:$F$135,4,FALSE)</f>
        <v>-</v>
      </c>
      <c r="O1722" s="52">
        <f>VLOOKUP(Tabla3[[#This Row],[Site]],'Important Info!'!$A$1:$F$135,5,FALSE)</f>
        <v>14</v>
      </c>
      <c r="P1722" s="52" t="str">
        <f>VLOOKUP(Tabla3[[#This Row],[Site]],'Important Info!'!$A$1:$F$135,6,FALSE)</f>
        <v>2, 3, 7, 10</v>
      </c>
      <c r="Q1722" s="91">
        <f>VLOOKUP(Tabla3[[#This Row],[Site]],'Important Info!'!$A$1:$J$135,9,FALSE)</f>
        <v>197</v>
      </c>
    </row>
    <row r="1723" spans="1:17" x14ac:dyDescent="0.25">
      <c r="A1723" t="str">
        <f>+Tabla3[[#This Row],[Site]]&amp;Tabla3[[#This Row],[Split]]</f>
        <v>(DT) Wichita18</v>
      </c>
      <c r="B1723">
        <v>18</v>
      </c>
      <c r="C1723">
        <v>16</v>
      </c>
      <c r="D1723" t="s">
        <v>33</v>
      </c>
      <c r="E1723" t="s">
        <v>46</v>
      </c>
      <c r="F1723" t="s">
        <v>131</v>
      </c>
      <c r="G1723" t="s">
        <v>34</v>
      </c>
      <c r="H1723" s="52" t="str">
        <f>VLOOKUP(Tabla3[[#This Row],[Site]],'Important Info!'!$A$1:$J$135,10,FALSE)</f>
        <v>https://tools.sig.systems/site/details/257</v>
      </c>
      <c r="J1723" t="s">
        <v>41</v>
      </c>
      <c r="K1723" s="79" t="str">
        <f>VLOOKUP(Tabla3[[#This Row],[Site]],'Important Info!'!$A$1:$H$135,8,FALSE)</f>
        <v>-</v>
      </c>
      <c r="L1723" s="52" t="str">
        <f>VLOOKUP(Tabla3[[#This Row],[Site]],'Important Info!'!$A$1:$F$135,2,FALSE)</f>
        <v>-</v>
      </c>
      <c r="M1723" s="52" t="str">
        <f>VLOOKUP(Tabla3[[#This Row],[Site]],'Important Info!'!$A$1:$F$135,3,FALSE)</f>
        <v>10, 11</v>
      </c>
      <c r="N1723" s="52" t="str">
        <f>VLOOKUP(Tabla3[[#This Row],[Site]],'Important Info!'!$A$1:$F$135,4,FALSE)</f>
        <v>-</v>
      </c>
      <c r="O1723" s="52" t="str">
        <f>VLOOKUP(Tabla3[[#This Row],[Site]],'Important Info!'!$A$1:$F$135,5,FALSE)</f>
        <v>-</v>
      </c>
      <c r="P1723" s="52" t="str">
        <f>VLOOKUP(Tabla3[[#This Row],[Site]],'Important Info!'!$A$1:$F$135,6,FALSE)</f>
        <v>1, 5, 6, 10</v>
      </c>
      <c r="Q1723" s="91">
        <f>VLOOKUP(Tabla3[[#This Row],[Site]],'Important Info!'!$A$1:$J$135,9,FALSE)</f>
        <v>257</v>
      </c>
    </row>
    <row r="1724" spans="1:17" x14ac:dyDescent="0.25">
      <c r="A1724" t="str">
        <f>+Tabla3[[#This Row],[Site]]&amp;Tabla3[[#This Row],[Split]]</f>
        <v>(HUD) Honda Greensboro18</v>
      </c>
      <c r="B1724">
        <v>18</v>
      </c>
      <c r="C1724">
        <v>16</v>
      </c>
      <c r="D1724" t="s">
        <v>62</v>
      </c>
      <c r="E1724" t="s">
        <v>35</v>
      </c>
      <c r="F1724" t="s">
        <v>85</v>
      </c>
      <c r="G1724" t="s">
        <v>490</v>
      </c>
      <c r="H1724" s="52" t="str">
        <f>VLOOKUP(Tabla3[[#This Row],[Site]],'Important Info!'!$A$1:$J$135,10,FALSE)</f>
        <v>https://tools.sig.systems/site/details/230</v>
      </c>
      <c r="I1724" t="s">
        <v>186</v>
      </c>
      <c r="J1724" t="s">
        <v>41</v>
      </c>
      <c r="K1724" s="79" t="str">
        <f>VLOOKUP(Tabla3[[#This Row],[Site]],'Important Info!'!$A$1:$H$135,8,FALSE)</f>
        <v>-</v>
      </c>
      <c r="L1724" s="52" t="str">
        <f>VLOOKUP(Tabla3[[#This Row],[Site]],'Important Info!'!$A$1:$F$135,2,FALSE)</f>
        <v>1, 3,  15, 16, 22</v>
      </c>
      <c r="M1724" s="52" t="str">
        <f>VLOOKUP(Tabla3[[#This Row],[Site]],'Important Info!'!$A$1:$F$135,3,FALSE)</f>
        <v>-</v>
      </c>
      <c r="N1724" s="52" t="str">
        <f>VLOOKUP(Tabla3[[#This Row],[Site]],'Important Info!'!$A$1:$F$135,4,FALSE)</f>
        <v>-</v>
      </c>
      <c r="O1724" s="52" t="str">
        <f>VLOOKUP(Tabla3[[#This Row],[Site]],'Important Info!'!$A$1:$F$135,5,FALSE)</f>
        <v>3, 20</v>
      </c>
      <c r="P1724" s="52">
        <f>VLOOKUP(Tabla3[[#This Row],[Site]],'Important Info!'!$A$1:$F$135,6,FALSE)</f>
        <v>26</v>
      </c>
      <c r="Q1724" s="91">
        <f>VLOOKUP(Tabla3[[#This Row],[Site]],'Important Info!'!$A$1:$J$135,9,FALSE)</f>
        <v>230</v>
      </c>
    </row>
    <row r="1725" spans="1:17" x14ac:dyDescent="0.25">
      <c r="A1725" t="str">
        <f>+Tabla3[[#This Row],[Site]]&amp;Tabla3[[#This Row],[Split]]</f>
        <v>(ML) McLarty Gray-Daniels Toyota Nissan18</v>
      </c>
      <c r="B1725">
        <v>18</v>
      </c>
      <c r="C1725">
        <v>16</v>
      </c>
      <c r="D1725" t="s">
        <v>33</v>
      </c>
      <c r="E1725" t="s">
        <v>46</v>
      </c>
      <c r="F1725" t="s">
        <v>90</v>
      </c>
      <c r="G1725" t="s">
        <v>34</v>
      </c>
      <c r="H1725" s="52" t="str">
        <f>VLOOKUP(Tabla3[[#This Row],[Site]],'Important Info!'!$A$1:$J$135,10,FALSE)</f>
        <v>https://tools.sig.systems/site/details/152</v>
      </c>
      <c r="I1725" s="2" t="s">
        <v>150</v>
      </c>
      <c r="J1725" t="s">
        <v>41</v>
      </c>
      <c r="K1725" s="79" t="str">
        <f>VLOOKUP(Tabla3[[#This Row],[Site]],'Important Info!'!$A$1:$H$135,8,FALSE)</f>
        <v>-</v>
      </c>
      <c r="L1725" s="52" t="str">
        <f>VLOOKUP(Tabla3[[#This Row],[Site]],'Important Info!'!$A$1:$F$135,2,FALSE)</f>
        <v>-</v>
      </c>
      <c r="M1725" s="52" t="str">
        <f>VLOOKUP(Tabla3[[#This Row],[Site]],'Important Info!'!$A$1:$F$135,3,FALSE)</f>
        <v>8, 11, 39, 43</v>
      </c>
      <c r="N1725" s="52" t="str">
        <f>VLOOKUP(Tabla3[[#This Row],[Site]],'Important Info!'!$A$1:$F$135,4,FALSE)</f>
        <v>-</v>
      </c>
      <c r="O1725" s="52" t="str">
        <f>VLOOKUP(Tabla3[[#This Row],[Site]],'Important Info!'!$A$1:$F$135,5,FALSE)</f>
        <v>6, 11, 15, 18</v>
      </c>
      <c r="P1725" s="52" t="str">
        <f>VLOOKUP(Tabla3[[#This Row],[Site]],'Important Info!'!$A$1:$F$135,6,FALSE)</f>
        <v>7, 8, 9</v>
      </c>
      <c r="Q1725" s="91">
        <f>VLOOKUP(Tabla3[[#This Row],[Site]],'Important Info!'!$A$1:$J$135,9,FALSE)</f>
        <v>152</v>
      </c>
    </row>
    <row r="1726" spans="1:17" x14ac:dyDescent="0.25">
      <c r="A1726" t="str">
        <f>+Tabla3[[#This Row],[Site]]&amp;Tabla3[[#This Row],[Split]]</f>
        <v>(RV) Sonny's Camp N Travel Concord18</v>
      </c>
      <c r="B1726">
        <v>18</v>
      </c>
      <c r="C1726">
        <v>16</v>
      </c>
      <c r="D1726" t="s">
        <v>62</v>
      </c>
      <c r="E1726" t="s">
        <v>35</v>
      </c>
      <c r="F1726" t="s">
        <v>188</v>
      </c>
      <c r="G1726" t="s">
        <v>490</v>
      </c>
      <c r="H1726" s="52" t="str">
        <f>VLOOKUP(Tabla3[[#This Row],[Site]],'Important Info!'!$A$1:$J$135,10,FALSE)</f>
        <v>https://tools.sig.systems/site/details/183</v>
      </c>
      <c r="J1726" t="s">
        <v>41</v>
      </c>
      <c r="K1726" s="79" t="str">
        <f>VLOOKUP(Tabla3[[#This Row],[Site]],'Important Info!'!$A$1:$H$135,8,FALSE)</f>
        <v>-</v>
      </c>
      <c r="L1726" s="52">
        <f>VLOOKUP(Tabla3[[#This Row],[Site]],'Important Info!'!$A$1:$F$135,2,FALSE)</f>
        <v>1</v>
      </c>
      <c r="M1726" s="52" t="str">
        <f>VLOOKUP(Tabla3[[#This Row],[Site]],'Important Info!'!$A$1:$F$135,3,FALSE)</f>
        <v>-</v>
      </c>
      <c r="N1726" s="52" t="str">
        <f>VLOOKUP(Tabla3[[#This Row],[Site]],'Important Info!'!$A$1:$F$135,4,FALSE)</f>
        <v>-</v>
      </c>
      <c r="O1726" s="52">
        <f>VLOOKUP(Tabla3[[#This Row],[Site]],'Important Info!'!$A$1:$F$135,5,FALSE)</f>
        <v>7</v>
      </c>
      <c r="P1726" s="52" t="str">
        <f>VLOOKUP(Tabla3[[#This Row],[Site]],'Important Info!'!$A$1:$F$135,6,FALSE)</f>
        <v>6, 7, 8, 9</v>
      </c>
      <c r="Q1726" s="91">
        <f>VLOOKUP(Tabla3[[#This Row],[Site]],'Important Info!'!$A$1:$J$135,9,FALSE)</f>
        <v>183</v>
      </c>
    </row>
    <row r="1727" spans="1:17" x14ac:dyDescent="0.25">
      <c r="A1727" t="str">
        <f>+Tabla3[[#This Row],[Site]]&amp;Tabla3[[#This Row],[Split]]</f>
        <v>(AS) Audi of North Atlanta (NO TOURS)18</v>
      </c>
      <c r="B1727">
        <v>18</v>
      </c>
      <c r="C1727">
        <v>17</v>
      </c>
      <c r="D1727" t="s">
        <v>62</v>
      </c>
      <c r="E1727" t="s">
        <v>35</v>
      </c>
      <c r="F1727" t="s">
        <v>499</v>
      </c>
      <c r="G1727" t="s">
        <v>490</v>
      </c>
      <c r="H1727" s="52" t="str">
        <f>VLOOKUP(Tabla3[[#This Row],[Site]],'Important Info!'!$A$1:$J$135,10,FALSE)</f>
        <v>https://tools.sig.systems/site/details/124</v>
      </c>
      <c r="I1727" s="2" t="s">
        <v>166</v>
      </c>
      <c r="J1727" t="s">
        <v>41</v>
      </c>
      <c r="K1727" s="79" t="str">
        <f>VLOOKUP(Tabla3[[#This Row],[Site]],'Important Info!'!$A$1:$H$135,8,FALSE)</f>
        <v>-</v>
      </c>
      <c r="L1727" s="52" t="str">
        <f>VLOOKUP(Tabla3[[#This Row],[Site]],'Important Info!'!$A$1:$F$135,2,FALSE)</f>
        <v>1, 5, 16, 54</v>
      </c>
      <c r="M1727" s="52" t="str">
        <f>VLOOKUP(Tabla3[[#This Row],[Site]],'Important Info!'!$A$1:$F$135,3,FALSE)</f>
        <v>-</v>
      </c>
      <c r="N1727" s="52" t="str">
        <f>VLOOKUP(Tabla3[[#This Row],[Site]],'Important Info!'!$A$1:$F$135,4,FALSE)</f>
        <v>-</v>
      </c>
      <c r="O1727" s="52" t="str">
        <f>VLOOKUP(Tabla3[[#This Row],[Site]],'Important Info!'!$A$1:$F$135,5,FALSE)</f>
        <v>3, 16</v>
      </c>
      <c r="P1727" s="52" t="str">
        <f>VLOOKUP(Tabla3[[#This Row],[Site]],'Important Info!'!$A$1:$F$135,6,FALSE)</f>
        <v>2, 5, 6</v>
      </c>
      <c r="Q1727" s="91">
        <f>VLOOKUP(Tabla3[[#This Row],[Site]],'Important Info!'!$A$1:$J$135,9,FALSE)</f>
        <v>124</v>
      </c>
    </row>
    <row r="1728" spans="1:17" x14ac:dyDescent="0.25">
      <c r="A1728" t="str">
        <f>+Tabla3[[#This Row],[Site]]&amp;Tabla3[[#This Row],[Split]]</f>
        <v>(AS) Stevinson Porsche of Littleton (NO TOURS)18</v>
      </c>
      <c r="B1728">
        <v>18</v>
      </c>
      <c r="C1728">
        <v>17</v>
      </c>
      <c r="D1728" t="s">
        <v>44</v>
      </c>
      <c r="E1728" t="s">
        <v>53</v>
      </c>
      <c r="F1728" t="s">
        <v>78</v>
      </c>
      <c r="G1728" t="s">
        <v>45</v>
      </c>
      <c r="H1728" s="52" t="str">
        <f>VLOOKUP(Tabla3[[#This Row],[Site]],'Important Info!'!$A$1:$J$135,10,FALSE)</f>
        <v>https://tools.sig.systems/site/details/242</v>
      </c>
      <c r="J1728" t="s">
        <v>41</v>
      </c>
      <c r="K1728" s="79" t="str">
        <f>VLOOKUP(Tabla3[[#This Row],[Site]],'Important Info!'!$A$1:$H$135,8,FALSE)</f>
        <v>-</v>
      </c>
      <c r="L1728" s="52" t="str">
        <f>VLOOKUP(Tabla3[[#This Row],[Site]],'Important Info!'!$A$1:$F$135,2,FALSE)</f>
        <v>3, 4</v>
      </c>
      <c r="M1728" s="52">
        <f>VLOOKUP(Tabla3[[#This Row],[Site]],'Important Info!'!$A$1:$F$135,3,FALSE)</f>
        <v>2</v>
      </c>
      <c r="N1728" s="52" t="str">
        <f>VLOOKUP(Tabla3[[#This Row],[Site]],'Important Info!'!$A$1:$F$135,4,FALSE)</f>
        <v>-</v>
      </c>
      <c r="O1728" s="52" t="str">
        <f>VLOOKUP(Tabla3[[#This Row],[Site]],'Important Info!'!$A$1:$F$135,5,FALSE)</f>
        <v>-</v>
      </c>
      <c r="P1728" s="52" t="str">
        <f>VLOOKUP(Tabla3[[#This Row],[Site]],'Important Info!'!$A$1:$F$135,6,FALSE)</f>
        <v>3, 4</v>
      </c>
      <c r="Q1728" s="91">
        <f>VLOOKUP(Tabla3[[#This Row],[Site]],'Important Info!'!$A$1:$J$135,9,FALSE)</f>
        <v>242</v>
      </c>
    </row>
    <row r="1729" spans="1:17" x14ac:dyDescent="0.25">
      <c r="A1729" t="str">
        <f>+Tabla3[[#This Row],[Site]]&amp;Tabla3[[#This Row],[Split]]</f>
        <v>(HUD) Paint and Body Center (NO TOURS)18</v>
      </c>
      <c r="B1729">
        <v>18</v>
      </c>
      <c r="C1729">
        <v>17</v>
      </c>
      <c r="D1729" t="s">
        <v>62</v>
      </c>
      <c r="E1729" t="s">
        <v>35</v>
      </c>
      <c r="F1729" t="s">
        <v>110</v>
      </c>
      <c r="G1729" t="s">
        <v>490</v>
      </c>
      <c r="H1729" s="52" t="str">
        <f>VLOOKUP(Tabla3[[#This Row],[Site]],'Important Info!'!$A$1:$J$135,10,FALSE)</f>
        <v>https://tools.sig.systems/site/details/256</v>
      </c>
      <c r="I1729" t="s">
        <v>184</v>
      </c>
      <c r="J1729" t="s">
        <v>41</v>
      </c>
      <c r="K1729" s="79" t="str">
        <f>VLOOKUP(Tabla3[[#This Row],[Site]],'Important Info!'!$A$1:$H$135,8,FALSE)</f>
        <v>-</v>
      </c>
      <c r="L1729" s="52" t="str">
        <f>VLOOKUP(Tabla3[[#This Row],[Site]],'Important Info!'!$A$1:$F$135,2,FALSE)</f>
        <v>-</v>
      </c>
      <c r="M1729" s="52">
        <f>VLOOKUP(Tabla3[[#This Row],[Site]],'Important Info!'!$A$1:$F$135,3,FALSE)</f>
        <v>1</v>
      </c>
      <c r="N1729" s="52" t="str">
        <f>VLOOKUP(Tabla3[[#This Row],[Site]],'Important Info!'!$A$1:$F$135,4,FALSE)</f>
        <v>-</v>
      </c>
      <c r="O1729" s="52" t="str">
        <f>VLOOKUP(Tabla3[[#This Row],[Site]],'Important Info!'!$A$1:$F$135,5,FALSE)</f>
        <v>-</v>
      </c>
      <c r="P1729" s="52" t="str">
        <f>VLOOKUP(Tabla3[[#This Row],[Site]],'Important Info!'!$A$1:$F$135,6,FALSE)</f>
        <v>-</v>
      </c>
      <c r="Q1729" s="91">
        <f>VLOOKUP(Tabla3[[#This Row],[Site]],'Important Info!'!$A$1:$J$135,9,FALSE)</f>
        <v>256</v>
      </c>
    </row>
    <row r="1730" spans="1:17" x14ac:dyDescent="0.25">
      <c r="A1730" t="str">
        <f>+Tabla3[[#This Row],[Site]]&amp;Tabla3[[#This Row],[Split]]</f>
        <v>(KG) Baytown GMC Buick - Remote Lot (NO TOURS)18</v>
      </c>
      <c r="B1730">
        <v>18</v>
      </c>
      <c r="C1730">
        <v>17</v>
      </c>
      <c r="D1730" t="s">
        <v>60</v>
      </c>
      <c r="E1730" t="s">
        <v>46</v>
      </c>
      <c r="F1730" t="s">
        <v>167</v>
      </c>
      <c r="G1730" t="s">
        <v>41</v>
      </c>
      <c r="H1730" s="52" t="str">
        <f>VLOOKUP(Tabla3[[#This Row],[Site]],'Important Info!'!$A$1:$J$135,10,FALSE)</f>
        <v>https://tools.sig.systems/site/details/311</v>
      </c>
      <c r="J1730" t="s">
        <v>41</v>
      </c>
      <c r="K1730" s="79" t="s">
        <v>168</v>
      </c>
      <c r="L1730" s="52" t="str">
        <f>VLOOKUP(Tabla3[[#This Row],[Site]],'Important Info!'!$A$1:$F$135,2,FALSE)</f>
        <v>-</v>
      </c>
      <c r="M1730" s="52" t="str">
        <f>VLOOKUP(Tabla3[[#This Row],[Site]],'Important Info!'!$A$1:$F$135,3,FALSE)</f>
        <v>7, 8</v>
      </c>
      <c r="N1730" s="52" t="str">
        <f>VLOOKUP(Tabla3[[#This Row],[Site]],'Important Info!'!$A$1:$F$135,4,FALSE)</f>
        <v>-</v>
      </c>
      <c r="O1730" s="52" t="str">
        <f>VLOOKUP(Tabla3[[#This Row],[Site]],'Important Info!'!$A$1:$F$135,5,FALSE)</f>
        <v>-</v>
      </c>
      <c r="P1730" s="52" t="str">
        <f>VLOOKUP(Tabla3[[#This Row],[Site]],'Important Info!'!$A$1:$F$135,6,FALSE)</f>
        <v>-</v>
      </c>
      <c r="Q1730" s="91">
        <f>VLOOKUP(Tabla3[[#This Row],[Site]],'Important Info!'!$A$1:$J$135,9,FALSE)</f>
        <v>311</v>
      </c>
    </row>
    <row r="1731" spans="1:17" x14ac:dyDescent="0.25">
      <c r="A1731" t="str">
        <f>+Tabla3[[#This Row],[Site]]&amp;Tabla3[[#This Row],[Split]]</f>
        <v>(KG) Baytown GMC Buick (NO TOURS)18</v>
      </c>
      <c r="B1731">
        <v>18</v>
      </c>
      <c r="C1731">
        <v>17</v>
      </c>
      <c r="D1731" t="s">
        <v>33</v>
      </c>
      <c r="E1731" t="s">
        <v>46</v>
      </c>
      <c r="F1731" t="s">
        <v>132</v>
      </c>
      <c r="G1731" t="s">
        <v>34</v>
      </c>
      <c r="H1731" s="52" t="str">
        <f>VLOOKUP(Tabla3[[#This Row],[Site]],'Important Info!'!$A$1:$J$135,10,FALSE)</f>
        <v>https://tools.sig.systems/site/details/239</v>
      </c>
      <c r="I1731" s="43"/>
      <c r="J1731" t="s">
        <v>41</v>
      </c>
      <c r="K1731" s="79" t="str">
        <f>VLOOKUP(Tabla3[[#This Row],[Site]],'Important Info!'!$A$1:$H$135,8,FALSE)</f>
        <v>-</v>
      </c>
      <c r="L1731" s="52" t="str">
        <f>VLOOKUP(Tabla3[[#This Row],[Site]],'Important Info!'!$A$1:$F$135,2,FALSE)</f>
        <v>1, 5, 7, 21, 22</v>
      </c>
      <c r="M1731" s="52" t="str">
        <f>VLOOKUP(Tabla3[[#This Row],[Site]],'Important Info!'!$A$1:$F$135,3,FALSE)</f>
        <v>-</v>
      </c>
      <c r="N1731" s="52" t="str">
        <f>VLOOKUP(Tabla3[[#This Row],[Site]],'Important Info!'!$A$1:$F$135,4,FALSE)</f>
        <v>-</v>
      </c>
      <c r="O1731" s="52" t="str">
        <f>VLOOKUP(Tabla3[[#This Row],[Site]],'Important Info!'!$A$1:$F$135,5,FALSE)</f>
        <v>2, 10, 15, 24B</v>
      </c>
      <c r="P1731" s="52" t="str">
        <f>VLOOKUP(Tabla3[[#This Row],[Site]],'Important Info!'!$A$1:$F$135,6,FALSE)</f>
        <v>21, 22</v>
      </c>
      <c r="Q1731" s="91">
        <f>VLOOKUP(Tabla3[[#This Row],[Site]],'Important Info!'!$A$1:$J$135,9,FALSE)</f>
        <v>239</v>
      </c>
    </row>
    <row r="1732" spans="1:17" x14ac:dyDescent="0.25">
      <c r="A1732" t="str">
        <f>+Tabla3[[#This Row],[Site]]&amp;Tabla3[[#This Row],[Split]]</f>
        <v>(ML) McLarty Gray-Daniels Ford Lincoln18</v>
      </c>
      <c r="B1732">
        <v>18</v>
      </c>
      <c r="C1732">
        <v>17</v>
      </c>
      <c r="D1732" t="s">
        <v>33</v>
      </c>
      <c r="E1732" t="s">
        <v>46</v>
      </c>
      <c r="F1732" t="s">
        <v>89</v>
      </c>
      <c r="G1732" t="s">
        <v>34</v>
      </c>
      <c r="H1732" s="52" t="str">
        <f>VLOOKUP(Tabla3[[#This Row],[Site]],'Important Info!'!$A$1:$J$135,10,FALSE)</f>
        <v>https://tools.sig.systems/site/details/151</v>
      </c>
      <c r="I1732" s="2" t="s">
        <v>150</v>
      </c>
      <c r="J1732" t="s">
        <v>41</v>
      </c>
      <c r="K1732" s="79" t="str">
        <f>VLOOKUP(Tabla3[[#This Row],[Site]],'Important Info!'!$A$1:$H$135,8,FALSE)</f>
        <v>-</v>
      </c>
      <c r="L1732" s="52">
        <f>VLOOKUP(Tabla3[[#This Row],[Site]],'Important Info!'!$A$1:$F$135,2,FALSE)</f>
        <v>16</v>
      </c>
      <c r="M1732" s="52" t="str">
        <f>VLOOKUP(Tabla3[[#This Row],[Site]],'Important Info!'!$A$1:$F$135,3,FALSE)</f>
        <v>5, 10, 36, 38, 54, 58B</v>
      </c>
      <c r="N1732" s="52" t="str">
        <f>VLOOKUP(Tabla3[[#This Row],[Site]],'Important Info!'!$A$1:$F$135,4,FALSE)</f>
        <v>-</v>
      </c>
      <c r="O1732" s="52" t="str">
        <f>VLOOKUP(Tabla3[[#This Row],[Site]],'Important Info!'!$A$1:$F$135,5,FALSE)</f>
        <v>5, 17, 37</v>
      </c>
      <c r="P1732" s="52" t="str">
        <f>VLOOKUP(Tabla3[[#This Row],[Site]],'Important Info!'!$A$1:$F$135,6,FALSE)</f>
        <v>1, 2, 3, 4</v>
      </c>
      <c r="Q1732" s="91">
        <f>VLOOKUP(Tabla3[[#This Row],[Site]],'Important Info!'!$A$1:$J$135,9,FALSE)</f>
        <v>151</v>
      </c>
    </row>
    <row r="1733" spans="1:17" x14ac:dyDescent="0.25">
      <c r="A1733" t="str">
        <f>+Tabla3[[#This Row],[Site]]&amp;Tabla3[[#This Row],[Split]]</f>
        <v>(RML) Burleson Nissan18</v>
      </c>
      <c r="B1733">
        <v>18</v>
      </c>
      <c r="C1733">
        <v>17</v>
      </c>
      <c r="D1733" t="s">
        <v>33</v>
      </c>
      <c r="E1733" t="s">
        <v>46</v>
      </c>
      <c r="F1733" t="s">
        <v>107</v>
      </c>
      <c r="G1733" t="s">
        <v>34</v>
      </c>
      <c r="H1733" s="52" t="str">
        <f>VLOOKUP(Tabla3[[#This Row],[Site]],'Important Info!'!$A$1:$J$135,10,FALSE)</f>
        <v>https://tools.sig.systems/site/details/202</v>
      </c>
      <c r="J1733" t="s">
        <v>41</v>
      </c>
      <c r="K1733" s="79" t="str">
        <f>VLOOKUP(Tabla3[[#This Row],[Site]],'Important Info!'!$A$1:$H$135,8,FALSE)</f>
        <v>-</v>
      </c>
      <c r="L1733" s="52" t="str">
        <f>VLOOKUP(Tabla3[[#This Row],[Site]],'Important Info!'!$A$1:$F$135,2,FALSE)</f>
        <v>3, 21</v>
      </c>
      <c r="M1733" s="52" t="str">
        <f>VLOOKUP(Tabla3[[#This Row],[Site]],'Important Info!'!$A$1:$F$135,3,FALSE)</f>
        <v>-</v>
      </c>
      <c r="N1733" s="52" t="str">
        <f>VLOOKUP(Tabla3[[#This Row],[Site]],'Important Info!'!$A$1:$F$135,4,FALSE)</f>
        <v>-</v>
      </c>
      <c r="O1733" s="52" t="str">
        <f>VLOOKUP(Tabla3[[#This Row],[Site]],'Important Info!'!$A$1:$F$135,5,FALSE)</f>
        <v>2, 6, 15</v>
      </c>
      <c r="P1733" s="52" t="str">
        <f>VLOOKUP(Tabla3[[#This Row],[Site]],'Important Info!'!$A$1:$F$135,6,FALSE)</f>
        <v>-</v>
      </c>
      <c r="Q1733" s="91">
        <f>VLOOKUP(Tabla3[[#This Row],[Site]],'Important Info!'!$A$1:$J$135,9,FALSE)</f>
        <v>202</v>
      </c>
    </row>
    <row r="1734" spans="1:17" x14ac:dyDescent="0.25">
      <c r="A1734" t="str">
        <f>+Tabla3[[#This Row],[Site]]&amp;Tabla3[[#This Row],[Split]]</f>
        <v>(TC) Tavernier Creek Marina (NO TOURS)18</v>
      </c>
      <c r="B1734">
        <v>18</v>
      </c>
      <c r="C1734">
        <v>17</v>
      </c>
      <c r="D1734" t="s">
        <v>62</v>
      </c>
      <c r="E1734" t="s">
        <v>35</v>
      </c>
      <c r="F1734" t="s">
        <v>119</v>
      </c>
      <c r="G1734" t="s">
        <v>34</v>
      </c>
      <c r="H1734" s="52" t="str">
        <f>VLOOKUP(Tabla3[[#This Row],[Site]],'Important Info!'!$A$1:$J$135,10,FALSE)</f>
        <v>https://tools.sig.systems/site/details/164</v>
      </c>
      <c r="J1734" t="s">
        <v>45</v>
      </c>
      <c r="K1734" s="79" t="str">
        <f>VLOOKUP(Tabla3[[#This Row],[Site]],'Important Info!'!$A$1:$H$135,8,FALSE)</f>
        <v>-</v>
      </c>
      <c r="L1734" s="52" t="str">
        <f>VLOOKUP(Tabla3[[#This Row],[Site]],'Important Info!'!$A$1:$F$135,2,FALSE)</f>
        <v>28, 29</v>
      </c>
      <c r="M1734" s="52" t="str">
        <f>VLOOKUP(Tabla3[[#This Row],[Site]],'Important Info!'!$A$1:$F$135,3,FALSE)</f>
        <v>-</v>
      </c>
      <c r="N1734" s="52" t="str">
        <f>VLOOKUP(Tabla3[[#This Row],[Site]],'Important Info!'!$A$1:$F$135,4,FALSE)</f>
        <v>-</v>
      </c>
      <c r="O1734" s="52" t="str">
        <f>VLOOKUP(Tabla3[[#This Row],[Site]],'Important Info!'!$A$1:$F$135,5,FALSE)</f>
        <v>-</v>
      </c>
      <c r="P1734" s="52" t="str">
        <f>VLOOKUP(Tabla3[[#This Row],[Site]],'Important Info!'!$A$1:$F$135,6,FALSE)</f>
        <v>5, 28, 29</v>
      </c>
      <c r="Q1734" s="91">
        <f>VLOOKUP(Tabla3[[#This Row],[Site]],'Important Info!'!$A$1:$J$135,9,FALSE)</f>
        <v>164</v>
      </c>
    </row>
    <row r="1735" spans="1:17" x14ac:dyDescent="0.25">
      <c r="A1735" t="str">
        <f>+Tabla3[[#This Row],[Site]]&amp;Tabla3[[#This Row],[Split]]</f>
        <v>(AS) David McDavid Honda I &amp; II (NO TOURS)18</v>
      </c>
      <c r="B1735">
        <v>18</v>
      </c>
      <c r="C1735">
        <v>18</v>
      </c>
      <c r="D1735" t="s">
        <v>33</v>
      </c>
      <c r="E1735" t="s">
        <v>46</v>
      </c>
      <c r="F1735" t="s">
        <v>506</v>
      </c>
      <c r="G1735" t="s">
        <v>34</v>
      </c>
      <c r="H1735" s="52" t="str">
        <f>VLOOKUP(Tabla3[[#This Row],[Site]],'Important Info!'!$A$1:$J$135,10,FALSE)</f>
        <v>https://tools.sig.systems/site/details/129</v>
      </c>
      <c r="J1735" t="s">
        <v>41</v>
      </c>
      <c r="K1735" s="79" t="str">
        <f>VLOOKUP(Tabla3[[#This Row],[Site]],'Important Info!'!$A$1:$H$135,8,FALSE)</f>
        <v>-</v>
      </c>
      <c r="L1735" s="52" t="str">
        <f>VLOOKUP(Tabla3[[#This Row],[Site]],'Important Info!'!$A$1:$F$135,2,FALSE)</f>
        <v>-</v>
      </c>
      <c r="M1735" s="52" t="str">
        <f>VLOOKUP(Tabla3[[#This Row],[Site]],'Important Info!'!$A$1:$F$135,3,FALSE)</f>
        <v>3, 19, 23, 32, 35</v>
      </c>
      <c r="N1735" s="52" t="str">
        <f>VLOOKUP(Tabla3[[#This Row],[Site]],'Important Info!'!$A$1:$F$135,4,FALSE)</f>
        <v>-</v>
      </c>
      <c r="O1735" s="52" t="str">
        <f>VLOOKUP(Tabla3[[#This Row],[Site]],'Important Info!'!$A$1:$F$135,5,FALSE)</f>
        <v>2, 6, 9, 19, 25, 30, 48</v>
      </c>
      <c r="P1735" s="52" t="str">
        <f>VLOOKUP(Tabla3[[#This Row],[Site]],'Important Info!'!$A$1:$F$135,6,FALSE)</f>
        <v>25, 26, 35, 36, 37</v>
      </c>
      <c r="Q1735" s="91">
        <f>VLOOKUP(Tabla3[[#This Row],[Site]],'Important Info!'!$A$1:$J$135,9,FALSE)</f>
        <v>129</v>
      </c>
    </row>
    <row r="1736" spans="1:17" x14ac:dyDescent="0.25">
      <c r="A1736" t="str">
        <f>+Tabla3[[#This Row],[Site]]&amp;Tabla3[[#This Row],[Split]]</f>
        <v>(AS) Lexus Grapevine I &amp; II (NO TOURS)18</v>
      </c>
      <c r="B1736">
        <v>18</v>
      </c>
      <c r="C1736">
        <v>18</v>
      </c>
      <c r="D1736" t="s">
        <v>33</v>
      </c>
      <c r="E1736" t="s">
        <v>46</v>
      </c>
      <c r="F1736" t="s">
        <v>508</v>
      </c>
      <c r="G1736" t="s">
        <v>34</v>
      </c>
      <c r="H1736" s="52" t="str">
        <f>VLOOKUP(Tabla3[[#This Row],[Site]],'Important Info!'!$A$1:$J$135,10,FALSE)</f>
        <v>https://tools.sig.systems/site/details/136</v>
      </c>
      <c r="J1736" t="s">
        <v>41</v>
      </c>
      <c r="K1736" s="79" t="str">
        <f>VLOOKUP(Tabla3[[#This Row],[Site]],'Important Info!'!$A$1:$H$135,8,FALSE)</f>
        <v>-</v>
      </c>
      <c r="L1736" s="52" t="str">
        <f>VLOOKUP(Tabla3[[#This Row],[Site]],'Important Info!'!$A$1:$F$135,2,FALSE)</f>
        <v>4, 10, 14, 18, 33</v>
      </c>
      <c r="M1736" s="52" t="str">
        <f>VLOOKUP(Tabla3[[#This Row],[Site]],'Important Info!'!$A$1:$F$135,3,FALSE)</f>
        <v>-</v>
      </c>
      <c r="N1736" s="52" t="str">
        <f>VLOOKUP(Tabla3[[#This Row],[Site]],'Important Info!'!$A$1:$F$135,4,FALSE)</f>
        <v>81, 82, 83</v>
      </c>
      <c r="O1736" s="52" t="str">
        <f>VLOOKUP(Tabla3[[#This Row],[Site]],'Important Info!'!$A$1:$F$135,5,FALSE)</f>
        <v>4, 12, 15, 20, 30</v>
      </c>
      <c r="P1736" s="52">
        <f>VLOOKUP(Tabla3[[#This Row],[Site]],'Important Info!'!$A$1:$F$135,6,FALSE)</f>
        <v>10</v>
      </c>
      <c r="Q1736" s="91">
        <f>VLOOKUP(Tabla3[[#This Row],[Site]],'Important Info!'!$A$1:$J$135,9,FALSE)</f>
        <v>136</v>
      </c>
    </row>
    <row r="1737" spans="1:17" x14ac:dyDescent="0.25">
      <c r="A1737" t="str">
        <f>+Tabla3[[#This Row],[Site]]&amp;Tabla3[[#This Row],[Split]]</f>
        <v>(AS) Nalley Luxury Collision Center (NO TOURS)18</v>
      </c>
      <c r="B1737">
        <v>18</v>
      </c>
      <c r="C1737">
        <v>18</v>
      </c>
      <c r="D1737" t="s">
        <v>62</v>
      </c>
      <c r="E1737" t="s">
        <v>35</v>
      </c>
      <c r="F1737" t="s">
        <v>512</v>
      </c>
      <c r="G1737" t="s">
        <v>490</v>
      </c>
      <c r="H1737" s="52" t="str">
        <f>VLOOKUP(Tabla3[[#This Row],[Site]],'Important Info!'!$A$1:$J$135,10,FALSE)</f>
        <v>https://tools.sig.systems/site/details/263</v>
      </c>
      <c r="I1737" s="2" t="s">
        <v>166</v>
      </c>
      <c r="J1737" t="s">
        <v>41</v>
      </c>
      <c r="K1737" s="79" t="str">
        <f>VLOOKUP(Tabla3[[#This Row],[Site]],'Important Info!'!$A$1:$H$135,8,FALSE)</f>
        <v>-</v>
      </c>
      <c r="L1737" s="52" t="str">
        <f>VLOOKUP(Tabla3[[#This Row],[Site]],'Important Info!'!$A$1:$F$135,2,FALSE)</f>
        <v>6, 13</v>
      </c>
      <c r="M1737" s="52" t="str">
        <f>VLOOKUP(Tabla3[[#This Row],[Site]],'Important Info!'!$A$1:$F$135,3,FALSE)</f>
        <v>-</v>
      </c>
      <c r="N1737" s="52" t="str">
        <f>VLOOKUP(Tabla3[[#This Row],[Site]],'Important Info!'!$A$1:$F$135,4,FALSE)</f>
        <v>-</v>
      </c>
      <c r="O1737" s="52" t="str">
        <f>VLOOKUP(Tabla3[[#This Row],[Site]],'Important Info!'!$A$1:$F$135,5,FALSE)</f>
        <v>-</v>
      </c>
      <c r="P1737" s="52" t="str">
        <f>VLOOKUP(Tabla3[[#This Row],[Site]],'Important Info!'!$A$1:$F$135,6,FALSE)</f>
        <v>6, 7, 12</v>
      </c>
      <c r="Q1737" s="91">
        <f>VLOOKUP(Tabla3[[#This Row],[Site]],'Important Info!'!$A$1:$J$135,9,FALSE)</f>
        <v>263</v>
      </c>
    </row>
    <row r="1738" spans="1:17" x14ac:dyDescent="0.25">
      <c r="A1738" t="str">
        <f>+Tabla3[[#This Row],[Site]]&amp;Tabla3[[#This Row],[Split]]</f>
        <v>(DT) N. Houston18</v>
      </c>
      <c r="B1738">
        <v>18</v>
      </c>
      <c r="C1738">
        <v>18</v>
      </c>
      <c r="D1738" t="s">
        <v>33</v>
      </c>
      <c r="E1738" t="s">
        <v>46</v>
      </c>
      <c r="F1738" t="s">
        <v>68</v>
      </c>
      <c r="G1738" t="s">
        <v>34</v>
      </c>
      <c r="H1738" s="52" t="str">
        <f>VLOOKUP(Tabla3[[#This Row],[Site]],'Important Info!'!$A$1:$J$135,10,FALSE)</f>
        <v>https://tools.sig.systems/site/details/250</v>
      </c>
      <c r="I1738" s="43"/>
      <c r="J1738" t="s">
        <v>41</v>
      </c>
      <c r="K1738" s="79" t="str">
        <f>VLOOKUP(Tabla3[[#This Row],[Site]],'Important Info!'!$A$1:$H$135,8,FALSE)</f>
        <v>-</v>
      </c>
      <c r="L1738" s="52" t="str">
        <f>VLOOKUP(Tabla3[[#This Row],[Site]],'Important Info!'!$A$1:$F$135,2,FALSE)</f>
        <v>2, 10, 18</v>
      </c>
      <c r="M1738" s="52" t="str">
        <f>VLOOKUP(Tabla3[[#This Row],[Site]],'Important Info!'!$A$1:$F$135,3,FALSE)</f>
        <v>-</v>
      </c>
      <c r="N1738" s="52" t="str">
        <f>VLOOKUP(Tabla3[[#This Row],[Site]],'Important Info!'!$A$1:$F$135,4,FALSE)</f>
        <v>-</v>
      </c>
      <c r="O1738" s="52">
        <f>VLOOKUP(Tabla3[[#This Row],[Site]],'Important Info!'!$A$1:$F$135,5,FALSE)</f>
        <v>15</v>
      </c>
      <c r="P1738" s="52" t="str">
        <f>VLOOKUP(Tabla3[[#This Row],[Site]],'Important Info!'!$A$1:$F$135,6,FALSE)</f>
        <v>2, 4, 18</v>
      </c>
      <c r="Q1738" s="91">
        <f>VLOOKUP(Tabla3[[#This Row],[Site]],'Important Info!'!$A$1:$J$135,9,FALSE)</f>
        <v>250</v>
      </c>
    </row>
    <row r="1739" spans="1:17" x14ac:dyDescent="0.25">
      <c r="A1739" t="str">
        <f>+Tabla3[[#This Row],[Site]]&amp;Tabla3[[#This Row],[Split]]</f>
        <v>(KG) JLR LEHI (NO TOURS)18</v>
      </c>
      <c r="B1739">
        <v>18</v>
      </c>
      <c r="C1739">
        <v>18</v>
      </c>
      <c r="D1739" t="s">
        <v>44</v>
      </c>
      <c r="E1739" t="s">
        <v>53</v>
      </c>
      <c r="F1739" t="s">
        <v>8</v>
      </c>
      <c r="G1739" t="s">
        <v>45</v>
      </c>
      <c r="H1739" s="52" t="str">
        <f>VLOOKUP(Tabla3[[#This Row],[Site]],'Important Info!'!$A$1:$J$135,10,FALSE)</f>
        <v>https://tools.sig.systems/site/details/145</v>
      </c>
      <c r="I1739" s="2"/>
      <c r="J1739" t="s">
        <v>41</v>
      </c>
      <c r="K1739" s="79" t="str">
        <f>VLOOKUP(Tabla3[[#This Row],[Site]],'Important Info!'!$A$1:$H$135,8,FALSE)</f>
        <v>-</v>
      </c>
      <c r="L1739" s="52" t="str">
        <f>VLOOKUP(Tabla3[[#This Row],[Site]],'Important Info!'!$A$1:$F$135,2,FALSE)</f>
        <v>1, 11</v>
      </c>
      <c r="M1739" s="52" t="str">
        <f>VLOOKUP(Tabla3[[#This Row],[Site]],'Important Info!'!$A$1:$F$135,3,FALSE)</f>
        <v>-</v>
      </c>
      <c r="N1739" s="52" t="str">
        <f>VLOOKUP(Tabla3[[#This Row],[Site]],'Important Info!'!$A$1:$F$135,4,FALSE)</f>
        <v>-</v>
      </c>
      <c r="O1739" s="52" t="str">
        <f>VLOOKUP(Tabla3[[#This Row],[Site]],'Important Info!'!$A$1:$F$135,5,FALSE)</f>
        <v>1, 7, 11</v>
      </c>
      <c r="P1739" s="52" t="str">
        <f>VLOOKUP(Tabla3[[#This Row],[Site]],'Important Info!'!$A$1:$F$135,6,FALSE)</f>
        <v>-</v>
      </c>
      <c r="Q1739" s="91">
        <f>VLOOKUP(Tabla3[[#This Row],[Site]],'Important Info!'!$A$1:$J$135,9,FALSE)</f>
        <v>145</v>
      </c>
    </row>
    <row r="1740" spans="1:17" x14ac:dyDescent="0.25">
      <c r="A1740" t="str">
        <f>+Tabla3[[#This Row],[Site]]&amp;Tabla3[[#This Row],[Split]]</f>
        <v>(RV) Toms Camperland Surprise (NO TOURS)18</v>
      </c>
      <c r="B1740">
        <v>18</v>
      </c>
      <c r="C1740">
        <v>18</v>
      </c>
      <c r="D1740" t="s">
        <v>51</v>
      </c>
      <c r="E1740" t="s">
        <v>161</v>
      </c>
      <c r="F1740" t="s">
        <v>165</v>
      </c>
      <c r="G1740" t="s">
        <v>52</v>
      </c>
      <c r="H1740" s="52" t="str">
        <f>VLOOKUP(Tabla3[[#This Row],[Site]],'Important Info!'!$A$1:$J$135,10,FALSE)</f>
        <v>https://tools.sig.systems/site/details/254</v>
      </c>
      <c r="I1740" s="43"/>
      <c r="J1740" t="s">
        <v>52</v>
      </c>
      <c r="K1740" s="79" t="str">
        <f>VLOOKUP(Tabla3[[#This Row],[Site]],'Important Info!'!$A$1:$H$135,8,FALSE)</f>
        <v>-</v>
      </c>
      <c r="L1740" s="52" t="str">
        <f>VLOOKUP(Tabla3[[#This Row],[Site]],'Important Info!'!$A$1:$F$135,2,FALSE)</f>
        <v>1, 3, 4</v>
      </c>
      <c r="M1740" s="52" t="str">
        <f>VLOOKUP(Tabla3[[#This Row],[Site]],'Important Info!'!$A$1:$F$135,3,FALSE)</f>
        <v>-</v>
      </c>
      <c r="N1740" s="52" t="str">
        <f>VLOOKUP(Tabla3[[#This Row],[Site]],'Important Info!'!$A$1:$F$135,4,FALSE)</f>
        <v>-</v>
      </c>
      <c r="O1740" s="52" t="str">
        <f>VLOOKUP(Tabla3[[#This Row],[Site]],'Important Info!'!$A$1:$F$135,5,FALSE)</f>
        <v>-</v>
      </c>
      <c r="P1740" s="52" t="str">
        <f>VLOOKUP(Tabla3[[#This Row],[Site]],'Important Info!'!$A$1:$F$135,6,FALSE)</f>
        <v>1, 2, 3, 4, 15</v>
      </c>
      <c r="Q1740" s="91">
        <f>VLOOKUP(Tabla3[[#This Row],[Site]],'Important Info!'!$A$1:$J$135,9,FALSE)</f>
        <v>254</v>
      </c>
    </row>
    <row r="1741" spans="1:17" x14ac:dyDescent="0.25">
      <c r="A1741" t="str">
        <f>+Tabla3[[#This Row],[Site]]&amp;Tabla3[[#This Row],[Split]]</f>
        <v>SIG Office18</v>
      </c>
      <c r="B1741">
        <v>18</v>
      </c>
      <c r="C1741">
        <v>18</v>
      </c>
      <c r="D1741" t="s">
        <v>60</v>
      </c>
      <c r="E1741" t="s">
        <v>35</v>
      </c>
      <c r="F1741" t="s">
        <v>169</v>
      </c>
      <c r="G1741" t="s">
        <v>41</v>
      </c>
      <c r="H1741" s="52" t="str">
        <f>VLOOKUP(Tabla3[[#This Row],[Site]],'Important Info!'!$A$1:$J$135,10,FALSE)</f>
        <v>https://tools.sig.systems/site/details/163</v>
      </c>
      <c r="J1741" t="s">
        <v>41</v>
      </c>
      <c r="K1741" s="79" t="str">
        <f>VLOOKUP(Tabla3[[#This Row],[Site]],'Important Info!'!$A$1:$H$135,8,FALSE)</f>
        <v>-</v>
      </c>
      <c r="L1741" s="52" t="str">
        <f>VLOOKUP(Tabla3[[#This Row],[Site]],'Important Info!'!$A$1:$F$135,2,FALSE)</f>
        <v>-</v>
      </c>
      <c r="M1741" s="52" t="str">
        <f>VLOOKUP(Tabla3[[#This Row],[Site]],'Important Info!'!$A$1:$F$135,3,FALSE)</f>
        <v>-</v>
      </c>
      <c r="N1741" s="52" t="str">
        <f>VLOOKUP(Tabla3[[#This Row],[Site]],'Important Info!'!$A$1:$F$135,4,FALSE)</f>
        <v>-</v>
      </c>
      <c r="O1741" s="52" t="str">
        <f>VLOOKUP(Tabla3[[#This Row],[Site]],'Important Info!'!$A$1:$F$135,5,FALSE)</f>
        <v>-</v>
      </c>
      <c r="P1741" s="52">
        <f>VLOOKUP(Tabla3[[#This Row],[Site]],'Important Info!'!$A$1:$F$135,6,FALSE)</f>
        <v>25</v>
      </c>
      <c r="Q1741" s="91">
        <f>VLOOKUP(Tabla3[[#This Row],[Site]],'Important Info!'!$A$1:$J$135,9,FALSE)</f>
        <v>163</v>
      </c>
    </row>
    <row r="1742" spans="1:17" x14ac:dyDescent="0.25">
      <c r="A1742" t="str">
        <f>+Tabla3[[#This Row],[Site]]&amp;Tabla3[[#This Row],[Split]]</f>
        <v>(AS) Park Place Bodywerks Ft. Worth (NO TOURS)19</v>
      </c>
      <c r="B1742">
        <v>19</v>
      </c>
      <c r="C1742">
        <v>1</v>
      </c>
      <c r="D1742" t="s">
        <v>33</v>
      </c>
      <c r="E1742" t="s">
        <v>46</v>
      </c>
      <c r="F1742" t="s">
        <v>515</v>
      </c>
      <c r="G1742" t="s">
        <v>34</v>
      </c>
      <c r="H1742" s="52" t="str">
        <f>VLOOKUP(Tabla3[[#This Row],[Site]],'Important Info!'!$A$1:$J$135,10,FALSE)</f>
        <v>https://tools.sig.systems/site/details/134</v>
      </c>
      <c r="I1742" s="8" t="s">
        <v>128</v>
      </c>
      <c r="J1742" t="s">
        <v>41</v>
      </c>
      <c r="K1742" s="79" t="str">
        <f>VLOOKUP(Tabla3[[#This Row],[Site]],'Important Info!'!$A$1:$H$135,8,FALSE)</f>
        <v>-</v>
      </c>
      <c r="L1742" s="52" t="str">
        <f>VLOOKUP(Tabla3[[#This Row],[Site]],'Important Info!'!$A$1:$F$135,2,FALSE)</f>
        <v>2, 3, RemoteLot5, RemoteLot9</v>
      </c>
      <c r="M1742" s="52" t="str">
        <f>VLOOKUP(Tabla3[[#This Row],[Site]],'Important Info!'!$A$1:$F$135,3,FALSE)</f>
        <v>-</v>
      </c>
      <c r="N1742" s="52" t="str">
        <f>VLOOKUP(Tabla3[[#This Row],[Site]],'Important Info!'!$A$1:$F$135,4,FALSE)</f>
        <v>-</v>
      </c>
      <c r="O1742" s="52" t="str">
        <f>VLOOKUP(Tabla3[[#This Row],[Site]],'Important Info!'!$A$1:$F$135,5,FALSE)</f>
        <v>1, 7, RL1, RL5, RL9</v>
      </c>
      <c r="P1742" s="52" t="str">
        <f>VLOOKUP(Tabla3[[#This Row],[Site]],'Important Info!'!$A$1:$F$135,6,FALSE)</f>
        <v>3, 4, 15</v>
      </c>
      <c r="Q1742" s="91">
        <f>VLOOKUP(Tabla3[[#This Row],[Site]],'Important Info!'!$A$1:$J$135,9,FALSE)</f>
        <v>134</v>
      </c>
    </row>
    <row r="1743" spans="1:17" x14ac:dyDescent="0.25">
      <c r="A1743" t="str">
        <f>+Tabla3[[#This Row],[Site]]&amp;Tabla3[[#This Row],[Split]]</f>
        <v>(DT) Louisville19</v>
      </c>
      <c r="B1743">
        <v>19</v>
      </c>
      <c r="C1743">
        <v>1</v>
      </c>
      <c r="D1743" t="s">
        <v>62</v>
      </c>
      <c r="E1743" t="s">
        <v>35</v>
      </c>
      <c r="F1743" s="41" t="s">
        <v>99</v>
      </c>
      <c r="G1743" t="s">
        <v>490</v>
      </c>
      <c r="H1743" s="52" t="str">
        <f>VLOOKUP(Tabla3[[#This Row],[Site]],'Important Info!'!$A$1:$J$135,10,FALSE)</f>
        <v>https://tools.sig.systems/site/details/258</v>
      </c>
      <c r="J1743" t="s">
        <v>41</v>
      </c>
      <c r="K1743" s="79" t="str">
        <f>VLOOKUP(Tabla3[[#This Row],[Site]],'Important Info!'!$A$1:$H$135,8,FALSE)</f>
        <v>-</v>
      </c>
      <c r="L1743" s="52" t="str">
        <f>VLOOKUP(Tabla3[[#This Row],[Site]],'Important Info!'!$A$1:$F$135,2,FALSE)</f>
        <v>-</v>
      </c>
      <c r="M1743" s="52">
        <f>VLOOKUP(Tabla3[[#This Row],[Site]],'Important Info!'!$A$1:$F$135,3,FALSE)</f>
        <v>3</v>
      </c>
      <c r="N1743" s="52" t="str">
        <f>VLOOKUP(Tabla3[[#This Row],[Site]],'Important Info!'!$A$1:$F$135,4,FALSE)</f>
        <v>-</v>
      </c>
      <c r="O1743" s="52" t="str">
        <f>VLOOKUP(Tabla3[[#This Row],[Site]],'Important Info!'!$A$1:$F$135,5,FALSE)</f>
        <v>-</v>
      </c>
      <c r="P1743" s="52" t="str">
        <f>VLOOKUP(Tabla3[[#This Row],[Site]],'Important Info!'!$A$1:$F$135,6,FALSE)</f>
        <v>3, 8</v>
      </c>
      <c r="Q1743" s="91">
        <f>VLOOKUP(Tabla3[[#This Row],[Site]],'Important Info!'!$A$1:$J$135,9,FALSE)</f>
        <v>258</v>
      </c>
    </row>
    <row r="1744" spans="1:17" x14ac:dyDescent="0.25">
      <c r="A1744" t="str">
        <f>+Tabla3[[#This Row],[Site]]&amp;Tabla3[[#This Row],[Split]]</f>
        <v>(KG) Clear Lake Pre-Owned19</v>
      </c>
      <c r="B1744">
        <v>19</v>
      </c>
      <c r="C1744">
        <v>1</v>
      </c>
      <c r="D1744" t="s">
        <v>33</v>
      </c>
      <c r="E1744" t="s">
        <v>46</v>
      </c>
      <c r="F1744" t="s">
        <v>87</v>
      </c>
      <c r="G1744" t="s">
        <v>34</v>
      </c>
      <c r="H1744" s="52" t="str">
        <f>VLOOKUP(Tabla3[[#This Row],[Site]],'Important Info!'!$A$1:$J$135,10,FALSE)</f>
        <v>https://tools.sig.systems/site/details/255</v>
      </c>
      <c r="I1744" s="2" t="s">
        <v>134</v>
      </c>
      <c r="J1744" t="s">
        <v>41</v>
      </c>
      <c r="K1744" s="79" t="str">
        <f>VLOOKUP(Tabla3[[#This Row],[Site]],'Important Info!'!$A$1:$H$135,8,FALSE)</f>
        <v>-</v>
      </c>
      <c r="L1744" s="52" t="str">
        <f>VLOOKUP(Tabla3[[#This Row],[Site]],'Important Info!'!$A$1:$F$135,2,FALSE)</f>
        <v>3, 5</v>
      </c>
      <c r="M1744" s="52" t="str">
        <f>VLOOKUP(Tabla3[[#This Row],[Site]],'Important Info!'!$A$1:$F$135,3,FALSE)</f>
        <v>-</v>
      </c>
      <c r="N1744" s="52" t="str">
        <f>VLOOKUP(Tabla3[[#This Row],[Site]],'Important Info!'!$A$1:$F$135,4,FALSE)</f>
        <v>-</v>
      </c>
      <c r="O1744" s="52" t="str">
        <f>VLOOKUP(Tabla3[[#This Row],[Site]],'Important Info!'!$A$1:$F$135,5,FALSE)</f>
        <v>4, 10, 22</v>
      </c>
      <c r="P1744" s="52" t="str">
        <f>VLOOKUP(Tabla3[[#This Row],[Site]],'Important Info!'!$A$1:$F$135,6,FALSE)</f>
        <v>8, 15, 20</v>
      </c>
      <c r="Q1744" s="91">
        <f>VLOOKUP(Tabla3[[#This Row],[Site]],'Important Info!'!$A$1:$J$135,9,FALSE)</f>
        <v>255</v>
      </c>
    </row>
    <row r="1745" spans="1:17" x14ac:dyDescent="0.25">
      <c r="A1745" t="str">
        <f>+Tabla3[[#This Row],[Site]]&amp;Tabla3[[#This Row],[Split]]</f>
        <v>(ML) Nissan Of Benton19</v>
      </c>
      <c r="B1745">
        <v>19</v>
      </c>
      <c r="C1745">
        <v>1</v>
      </c>
      <c r="D1745" t="s">
        <v>33</v>
      </c>
      <c r="E1745" t="s">
        <v>46</v>
      </c>
      <c r="F1745" t="s">
        <v>120</v>
      </c>
      <c r="G1745" t="s">
        <v>34</v>
      </c>
      <c r="H1745" s="52" t="str">
        <f>VLOOKUP(Tabla3[[#This Row],[Site]],'Important Info!'!$A$1:$J$135,10,FALSE)</f>
        <v>https://tools.sig.systems/site/details/247</v>
      </c>
      <c r="I1745" s="2"/>
      <c r="J1745" t="s">
        <v>41</v>
      </c>
      <c r="K1745" s="79" t="str">
        <f>VLOOKUP(Tabla3[[#This Row],[Site]],'Important Info!'!$A$1:$H$135,8,FALSE)</f>
        <v>-</v>
      </c>
      <c r="L1745" s="52" t="str">
        <f>VLOOKUP(Tabla3[[#This Row],[Site]],'Important Info!'!$A$1:$F$135,2,FALSE)</f>
        <v>5, 12</v>
      </c>
      <c r="M1745" s="52" t="str">
        <f>VLOOKUP(Tabla3[[#This Row],[Site]],'Important Info!'!$A$1:$F$135,3,FALSE)</f>
        <v>-</v>
      </c>
      <c r="N1745" s="52" t="str">
        <f>VLOOKUP(Tabla3[[#This Row],[Site]],'Important Info!'!$A$1:$F$135,4,FALSE)</f>
        <v>-</v>
      </c>
      <c r="O1745" s="52" t="str">
        <f>VLOOKUP(Tabla3[[#This Row],[Site]],'Important Info!'!$A$1:$F$135,5,FALSE)</f>
        <v>4, 18</v>
      </c>
      <c r="P1745" s="52" t="str">
        <f>VLOOKUP(Tabla3[[#This Row],[Site]],'Important Info!'!$A$1:$F$135,6,FALSE)</f>
        <v>-</v>
      </c>
      <c r="Q1745" s="91">
        <f>VLOOKUP(Tabla3[[#This Row],[Site]],'Important Info!'!$A$1:$J$135,9,FALSE)</f>
        <v>247</v>
      </c>
    </row>
    <row r="1746" spans="1:17" x14ac:dyDescent="0.25">
      <c r="A1746" t="str">
        <f>+Tabla3[[#This Row],[Site]]&amp;Tabla3[[#This Row],[Split]]</f>
        <v>(PE) Hudson Toyota Nissan CDJR (NO TOURS)19</v>
      </c>
      <c r="B1746">
        <v>19</v>
      </c>
      <c r="C1746">
        <v>1</v>
      </c>
      <c r="D1746" t="s">
        <v>485</v>
      </c>
      <c r="E1746" t="s">
        <v>35</v>
      </c>
      <c r="F1746" t="s">
        <v>82</v>
      </c>
      <c r="G1746" t="s">
        <v>490</v>
      </c>
      <c r="H1746" s="52" t="str">
        <f>VLOOKUP(Tabla3[[#This Row],[Site]],'Important Info!'!$A$1:$J$135,10,FALSE)</f>
        <v>https://tools.sig.systems/site/details/156</v>
      </c>
      <c r="J1746" t="s">
        <v>41</v>
      </c>
      <c r="K1746" s="79" t="str">
        <f>VLOOKUP(Tabla3[[#This Row],[Site]],'Important Info!'!$A$1:$H$135,8,FALSE)</f>
        <v>-</v>
      </c>
      <c r="L1746" s="52">
        <f>VLOOKUP(Tabla3[[#This Row],[Site]],'Important Info!'!$A$1:$F$135,2,FALSE)</f>
        <v>5</v>
      </c>
      <c r="M1746" s="52" t="str">
        <f>VLOOKUP(Tabla3[[#This Row],[Site]],'Important Info!'!$A$1:$F$135,3,FALSE)</f>
        <v>3, 7, 18</v>
      </c>
      <c r="N1746" s="52" t="str">
        <f>VLOOKUP(Tabla3[[#This Row],[Site]],'Important Info!'!$A$1:$F$135,4,FALSE)</f>
        <v>-</v>
      </c>
      <c r="O1746" s="52">
        <f>VLOOKUP(Tabla3[[#This Row],[Site]],'Important Info!'!$A$1:$F$135,5,FALSE)</f>
        <v>84</v>
      </c>
      <c r="P1746" s="52" t="str">
        <f>VLOOKUP(Tabla3[[#This Row],[Site]],'Important Info!'!$A$1:$F$135,6,FALSE)</f>
        <v>1, 2, 3, 4, 5, 6, 7, 8</v>
      </c>
      <c r="Q1746" s="91">
        <f>VLOOKUP(Tabla3[[#This Row],[Site]],'Important Info!'!$A$1:$J$135,9,FALSE)</f>
        <v>156</v>
      </c>
    </row>
    <row r="1747" spans="1:17" x14ac:dyDescent="0.25">
      <c r="A1747" t="str">
        <f>+Tabla3[[#This Row],[Site]]&amp;Tabla3[[#This Row],[Split]]</f>
        <v>(PE) Scofield Service Center (NO TOURS)19</v>
      </c>
      <c r="B1747">
        <v>19</v>
      </c>
      <c r="C1747">
        <v>1</v>
      </c>
      <c r="D1747" t="s">
        <v>485</v>
      </c>
      <c r="E1747" t="s">
        <v>35</v>
      </c>
      <c r="F1747" t="s">
        <v>83</v>
      </c>
      <c r="G1747" t="s">
        <v>490</v>
      </c>
      <c r="H1747" s="52" t="str">
        <f>VLOOKUP(Tabla3[[#This Row],[Site]],'Important Info!'!$A$1:$J$135,10,FALSE)</f>
        <v>https://tools.sig.systems/site/details/193</v>
      </c>
      <c r="I1747" t="s">
        <v>177</v>
      </c>
      <c r="J1747" t="s">
        <v>41</v>
      </c>
      <c r="K1747" s="79" t="str">
        <f>VLOOKUP(Tabla3[[#This Row],[Site]],'Important Info!'!$A$1:$H$135,8,FALSE)</f>
        <v>-</v>
      </c>
      <c r="L1747" s="52">
        <f>VLOOKUP(Tabla3[[#This Row],[Site]],'Important Info!'!$A$1:$F$135,2,FALSE)</f>
        <v>1</v>
      </c>
      <c r="M1747" s="52" t="str">
        <f>VLOOKUP(Tabla3[[#This Row],[Site]],'Important Info!'!$A$1:$F$135,3,FALSE)</f>
        <v>-</v>
      </c>
      <c r="N1747" s="52" t="str">
        <f>VLOOKUP(Tabla3[[#This Row],[Site]],'Important Info!'!$A$1:$F$135,4,FALSE)</f>
        <v>-</v>
      </c>
      <c r="O1747" s="52">
        <f>VLOOKUP(Tabla3[[#This Row],[Site]],'Important Info!'!$A$1:$F$135,5,FALSE)</f>
        <v>9</v>
      </c>
      <c r="P1747" s="52" t="str">
        <f>VLOOKUP(Tabla3[[#This Row],[Site]],'Important Info!'!$A$1:$F$135,6,FALSE)</f>
        <v>1, 17</v>
      </c>
      <c r="Q1747" s="91">
        <f>VLOOKUP(Tabla3[[#This Row],[Site]],'Important Info!'!$A$1:$J$135,9,FALSE)</f>
        <v>193</v>
      </c>
    </row>
    <row r="1748" spans="1:17" x14ac:dyDescent="0.25">
      <c r="A1748" t="str">
        <f>+Tabla3[[#This Row],[Site]]&amp;Tabla3[[#This Row],[Split]]</f>
        <v>(RV) Toms Camperland Avondale (NO TOURS)19</v>
      </c>
      <c r="B1748">
        <v>19</v>
      </c>
      <c r="C1748">
        <v>1</v>
      </c>
      <c r="D1748" t="s">
        <v>51</v>
      </c>
      <c r="E1748" t="s">
        <v>161</v>
      </c>
      <c r="F1748" t="s">
        <v>80</v>
      </c>
      <c r="G1748" t="s">
        <v>52</v>
      </c>
      <c r="H1748" s="52" t="str">
        <f>VLOOKUP(Tabla3[[#This Row],[Site]],'Important Info!'!$A$1:$J$135,10,FALSE)</f>
        <v>https://tools.sig.systems/site/details/248</v>
      </c>
      <c r="I1748" s="43" t="s">
        <v>163</v>
      </c>
      <c r="J1748" t="s">
        <v>164</v>
      </c>
      <c r="K1748" s="79" t="str">
        <f>VLOOKUP(Tabla3[[#This Row],[Site]],'Important Info!'!$A$1:$H$135,8,FALSE)</f>
        <v>-</v>
      </c>
      <c r="L1748" s="52">
        <f>VLOOKUP(Tabla3[[#This Row],[Site]],'Important Info!'!$A$1:$F$135,2,FALSE)</f>
        <v>10</v>
      </c>
      <c r="M1748" s="52" t="str">
        <f>VLOOKUP(Tabla3[[#This Row],[Site]],'Important Info!'!$A$1:$F$135,3,FALSE)</f>
        <v>2, 7</v>
      </c>
      <c r="N1748" s="52" t="str">
        <f>VLOOKUP(Tabla3[[#This Row],[Site]],'Important Info!'!$A$1:$F$135,4,FALSE)</f>
        <v>-</v>
      </c>
      <c r="O1748" s="52" t="str">
        <f>VLOOKUP(Tabla3[[#This Row],[Site]],'Important Info!'!$A$1:$F$135,5,FALSE)</f>
        <v>-</v>
      </c>
      <c r="P1748" s="52" t="str">
        <f>VLOOKUP(Tabla3[[#This Row],[Site]],'Important Info!'!$A$1:$F$135,6,FALSE)</f>
        <v>2, 7, 8, 13, 15</v>
      </c>
      <c r="Q1748" s="91">
        <f>VLOOKUP(Tabla3[[#This Row],[Site]],'Important Info!'!$A$1:$J$135,9,FALSE)</f>
        <v>248</v>
      </c>
    </row>
    <row r="1749" spans="1:17" x14ac:dyDescent="0.25">
      <c r="A1749" t="str">
        <f>+Tabla3[[#This Row],[Site]]&amp;Tabla3[[#This Row],[Split]]</f>
        <v>(JE) Jim Ellis Ford Sandy Springs19</v>
      </c>
      <c r="B1749">
        <v>19</v>
      </c>
      <c r="C1749">
        <v>2</v>
      </c>
      <c r="D1749" t="s">
        <v>62</v>
      </c>
      <c r="E1749" t="s">
        <v>35</v>
      </c>
      <c r="F1749" t="s">
        <v>187</v>
      </c>
      <c r="G1749" t="s">
        <v>490</v>
      </c>
      <c r="H1749" s="52" t="str">
        <f>VLOOKUP(Tabla3[[#This Row],[Site]],'Important Info!'!$A$1:$J$135,10,FALSE)</f>
        <v>https://tools.sig.systems/site/details/142</v>
      </c>
      <c r="I1749" s="43"/>
      <c r="J1749" t="s">
        <v>41</v>
      </c>
      <c r="K1749" s="79" t="str">
        <f>VLOOKUP(Tabla3[[#This Row],[Site]],'Important Info!'!$A$1:$H$135,8,FALSE)</f>
        <v>-</v>
      </c>
      <c r="L1749" s="52" t="str">
        <f>VLOOKUP(Tabla3[[#This Row],[Site]],'Important Info!'!$A$1:$F$135,2,FALSE)</f>
        <v>1, 5</v>
      </c>
      <c r="M1749" s="52" t="str">
        <f>VLOOKUP(Tabla3[[#This Row],[Site]],'Important Info!'!$A$1:$F$135,3,FALSE)</f>
        <v>-</v>
      </c>
      <c r="N1749" s="52" t="str">
        <f>VLOOKUP(Tabla3[[#This Row],[Site]],'Important Info!'!$A$1:$F$135,4,FALSE)</f>
        <v>-</v>
      </c>
      <c r="O1749" s="52" t="str">
        <f>VLOOKUP(Tabla3[[#This Row],[Site]],'Important Info!'!$A$1:$F$135,5,FALSE)</f>
        <v>1, 5, 9, 26</v>
      </c>
      <c r="P1749" s="52" t="str">
        <f>VLOOKUP(Tabla3[[#This Row],[Site]],'Important Info!'!$A$1:$F$135,6,FALSE)</f>
        <v>3, 4, 8, 28</v>
      </c>
      <c r="Q1749" s="91">
        <f>VLOOKUP(Tabla3[[#This Row],[Site]],'Important Info!'!$A$1:$J$135,9,FALSE)</f>
        <v>142</v>
      </c>
    </row>
    <row r="1750" spans="1:17" x14ac:dyDescent="0.25">
      <c r="A1750" t="str">
        <f>+Tabla3[[#This Row],[Site]]&amp;Tabla3[[#This Row],[Split]]</f>
        <v>(KG) Big Star Ford19</v>
      </c>
      <c r="B1750">
        <v>19</v>
      </c>
      <c r="C1750">
        <v>2</v>
      </c>
      <c r="D1750" t="s">
        <v>33</v>
      </c>
      <c r="E1750" t="s">
        <v>46</v>
      </c>
      <c r="F1750" t="s">
        <v>135</v>
      </c>
      <c r="G1750" t="s">
        <v>34</v>
      </c>
      <c r="H1750" s="52" t="str">
        <f>VLOOKUP(Tabla3[[#This Row],[Site]],'Important Info!'!$A$1:$J$135,10,FALSE)</f>
        <v>https://tools.sig.systems/site/details/235</v>
      </c>
      <c r="I1750" s="43"/>
      <c r="J1750" t="s">
        <v>41</v>
      </c>
      <c r="K1750" s="79" t="str">
        <f>VLOOKUP(Tabla3[[#This Row],[Site]],'Important Info!'!$A$1:$H$135,8,FALSE)</f>
        <v>-</v>
      </c>
      <c r="L1750" s="52" t="str">
        <f>VLOOKUP(Tabla3[[#This Row],[Site]],'Important Info!'!$A$1:$F$135,2,FALSE)</f>
        <v>4, 22, 32, 33</v>
      </c>
      <c r="M1750" s="52" t="str">
        <f>VLOOKUP(Tabla3[[#This Row],[Site]],'Important Info!'!$A$1:$F$135,3,FALSE)</f>
        <v>-</v>
      </c>
      <c r="N1750" s="52" t="str">
        <f>VLOOKUP(Tabla3[[#This Row],[Site]],'Important Info!'!$A$1:$F$135,4,FALSE)</f>
        <v>-</v>
      </c>
      <c r="O1750" s="52" t="str">
        <f>VLOOKUP(Tabla3[[#This Row],[Site]],'Important Info!'!$A$1:$F$135,5,FALSE)</f>
        <v>1, 5, 12, 21</v>
      </c>
      <c r="P1750" s="52">
        <f>VLOOKUP(Tabla3[[#This Row],[Site]],'Important Info!'!$A$1:$F$135,6,FALSE)</f>
        <v>22</v>
      </c>
      <c r="Q1750" s="91">
        <f>VLOOKUP(Tabla3[[#This Row],[Site]],'Important Info!'!$A$1:$J$135,9,FALSE)</f>
        <v>235</v>
      </c>
    </row>
    <row r="1751" spans="1:17" x14ac:dyDescent="0.25">
      <c r="A1751" t="str">
        <f>+Tabla3[[#This Row],[Site]]&amp;Tabla3[[#This Row],[Split]]</f>
        <v>(KG) Texan CDJR19</v>
      </c>
      <c r="B1751">
        <v>19</v>
      </c>
      <c r="C1751">
        <v>2</v>
      </c>
      <c r="D1751" t="s">
        <v>33</v>
      </c>
      <c r="E1751" t="s">
        <v>46</v>
      </c>
      <c r="F1751" t="s">
        <v>70</v>
      </c>
      <c r="G1751" t="s">
        <v>34</v>
      </c>
      <c r="H1751" s="52" t="str">
        <f>VLOOKUP(Tabla3[[#This Row],[Site]],'Important Info!'!$A$1:$J$135,10,FALSE)</f>
        <v>https://tools.sig.systems/site/details/238</v>
      </c>
      <c r="I1751" s="2" t="s">
        <v>137</v>
      </c>
      <c r="J1751" t="s">
        <v>41</v>
      </c>
      <c r="K1751" s="79" t="str">
        <f>VLOOKUP(Tabla3[[#This Row],[Site]],'Important Info!'!$A$1:$H$135,8,FALSE)</f>
        <v>-</v>
      </c>
      <c r="L1751" s="52" t="str">
        <f>VLOOKUP(Tabla3[[#This Row],[Site]],'Important Info!'!$A$1:$F$135,2,FALSE)</f>
        <v>11, 12, 13, 14, 20, 32, 34, 36, 77</v>
      </c>
      <c r="M1751" s="52" t="str">
        <f>VLOOKUP(Tabla3[[#This Row],[Site]],'Important Info!'!$A$1:$F$135,3,FALSE)</f>
        <v>-</v>
      </c>
      <c r="N1751" s="52" t="str">
        <f>VLOOKUP(Tabla3[[#This Row],[Site]],'Important Info!'!$A$1:$F$135,4,FALSE)</f>
        <v>67, 68, 69, 70</v>
      </c>
      <c r="O1751" s="52" t="str">
        <f>VLOOKUP(Tabla3[[#This Row],[Site]],'Important Info!'!$A$1:$F$135,5,FALSE)</f>
        <v>2, 10, 14, 25, 29, 35, 38</v>
      </c>
      <c r="P1751" s="52" t="str">
        <f>VLOOKUP(Tabla3[[#This Row],[Site]],'Important Info!'!$A$1:$F$135,6,FALSE)</f>
        <v>36, 46</v>
      </c>
      <c r="Q1751" s="91">
        <f>VLOOKUP(Tabla3[[#This Row],[Site]],'Important Info!'!$A$1:$J$135,9,FALSE)</f>
        <v>238</v>
      </c>
    </row>
    <row r="1752" spans="1:17" x14ac:dyDescent="0.25">
      <c r="A1752" t="str">
        <f>+Tabla3[[#This Row],[Site]]&amp;Tabla3[[#This Row],[Split]]</f>
        <v>(RV) Toms Camperland Mesa (NO TOURS)19</v>
      </c>
      <c r="B1752">
        <v>19</v>
      </c>
      <c r="C1752">
        <v>2</v>
      </c>
      <c r="D1752" t="s">
        <v>51</v>
      </c>
      <c r="E1752" s="41" t="s">
        <v>161</v>
      </c>
      <c r="F1752" s="41" t="s">
        <v>81</v>
      </c>
      <c r="G1752" t="s">
        <v>52</v>
      </c>
      <c r="H1752" s="52" t="str">
        <f>VLOOKUP(Tabla3[[#This Row],[Site]],'Important Info!'!$A$1:$J$135,10,FALSE)</f>
        <v>https://tools.sig.systems/site/details/222</v>
      </c>
      <c r="I1752" s="41"/>
      <c r="J1752" s="41" t="s">
        <v>41</v>
      </c>
      <c r="K1752" s="79" t="str">
        <f>VLOOKUP(Tabla3[[#This Row],[Site]],'Important Info!'!$A$1:$H$135,8,FALSE)</f>
        <v>-</v>
      </c>
      <c r="L1752" s="52" t="str">
        <f>VLOOKUP(Tabla3[[#This Row],[Site]],'Important Info!'!$A$1:$F$135,2,FALSE)</f>
        <v>1, 2</v>
      </c>
      <c r="M1752" s="52" t="str">
        <f>VLOOKUP(Tabla3[[#This Row],[Site]],'Important Info!'!$A$1:$F$135,3,FALSE)</f>
        <v>-</v>
      </c>
      <c r="N1752" s="52" t="str">
        <f>VLOOKUP(Tabla3[[#This Row],[Site]],'Important Info!'!$A$1:$F$135,4,FALSE)</f>
        <v>-</v>
      </c>
      <c r="O1752" s="52" t="str">
        <f>VLOOKUP(Tabla3[[#This Row],[Site]],'Important Info!'!$A$1:$F$135,5,FALSE)</f>
        <v>-</v>
      </c>
      <c r="P1752" s="52" t="str">
        <f>VLOOKUP(Tabla3[[#This Row],[Site]],'Important Info!'!$A$1:$F$135,6,FALSE)</f>
        <v>1, 4, 6, 8, 10, 18</v>
      </c>
      <c r="Q1752" s="91">
        <f>VLOOKUP(Tabla3[[#This Row],[Site]],'Important Info!'!$A$1:$J$135,9,FALSE)</f>
        <v>222</v>
      </c>
    </row>
    <row r="1753" spans="1:17" x14ac:dyDescent="0.25">
      <c r="A1753" t="str">
        <f>+Tabla3[[#This Row],[Site]]&amp;Tabla3[[#This Row],[Split]]</f>
        <v>(AS) Bill Estes Ford (NO TOURS)19</v>
      </c>
      <c r="B1753">
        <v>19</v>
      </c>
      <c r="C1753">
        <v>3</v>
      </c>
      <c r="D1753" t="s">
        <v>62</v>
      </c>
      <c r="E1753" t="s">
        <v>35</v>
      </c>
      <c r="F1753" t="s">
        <v>178</v>
      </c>
      <c r="G1753" t="s">
        <v>490</v>
      </c>
      <c r="H1753" s="52" t="str">
        <f>VLOOKUP(Tabla3[[#This Row],[Site]],'Important Info!'!$A$1:$J$135,10,FALSE)</f>
        <v>https://tools.sig.systems/site/details/125</v>
      </c>
      <c r="J1753" t="s">
        <v>41</v>
      </c>
      <c r="K1753" s="79" t="str">
        <f>VLOOKUP(Tabla3[[#This Row],[Site]],'Important Info!'!$A$1:$H$135,8,FALSE)</f>
        <v>-</v>
      </c>
      <c r="L1753" s="52" t="str">
        <f>VLOOKUP(Tabla3[[#This Row],[Site]],'Important Info!'!$A$1:$F$135,2,FALSE)</f>
        <v>-</v>
      </c>
      <c r="M1753" s="52" t="str">
        <f>VLOOKUP(Tabla3[[#This Row],[Site]],'Important Info!'!$A$1:$F$135,3,FALSE)</f>
        <v>2, 3, 13, 16</v>
      </c>
      <c r="N1753" s="52" t="str">
        <f>VLOOKUP(Tabla3[[#This Row],[Site]],'Important Info!'!$A$1:$F$135,4,FALSE)</f>
        <v>-</v>
      </c>
      <c r="O1753" s="52" t="str">
        <f>VLOOKUP(Tabla3[[#This Row],[Site]],'Important Info!'!$A$1:$F$135,5,FALSE)</f>
        <v>1, 10, 14, 19</v>
      </c>
      <c r="P1753" s="52" t="str">
        <f>VLOOKUP(Tabla3[[#This Row],[Site]],'Important Info!'!$A$1:$F$135,6,FALSE)</f>
        <v>7, 8, 9, 10, 11, 12, 14</v>
      </c>
      <c r="Q1753" s="91">
        <f>VLOOKUP(Tabla3[[#This Row],[Site]],'Important Info!'!$A$1:$J$135,9,FALSE)</f>
        <v>125</v>
      </c>
    </row>
    <row r="1754" spans="1:17" x14ac:dyDescent="0.25">
      <c r="A1754" t="str">
        <f>+Tabla3[[#This Row],[Site]]&amp;Tabla3[[#This Row],[Split]]</f>
        <v>(AS) Park Place Mercedes Benz Arlington (NO TOURS)19</v>
      </c>
      <c r="B1754">
        <v>19</v>
      </c>
      <c r="C1754">
        <v>3</v>
      </c>
      <c r="D1754" t="s">
        <v>33</v>
      </c>
      <c r="E1754" t="s">
        <v>46</v>
      </c>
      <c r="F1754" t="s">
        <v>518</v>
      </c>
      <c r="G1754" t="s">
        <v>34</v>
      </c>
      <c r="H1754" s="52" t="str">
        <f>VLOOKUP(Tabla3[[#This Row],[Site]],'Important Info!'!$A$1:$J$135,10,FALSE)</f>
        <v>https://tools.sig.systems/site/details/169</v>
      </c>
      <c r="J1754" t="s">
        <v>41</v>
      </c>
      <c r="K1754" s="79" t="str">
        <f>VLOOKUP(Tabla3[[#This Row],[Site]],'Important Info!'!$A$1:$H$135,8,FALSE)</f>
        <v>-</v>
      </c>
      <c r="L1754" s="52" t="str">
        <f>VLOOKUP(Tabla3[[#This Row],[Site]],'Important Info!'!$A$1:$F$135,2,FALSE)</f>
        <v>1, 9, 14</v>
      </c>
      <c r="M1754" s="52" t="str">
        <f>VLOOKUP(Tabla3[[#This Row],[Site]],'Important Info!'!$A$1:$F$135,3,FALSE)</f>
        <v>-</v>
      </c>
      <c r="N1754" s="52" t="str">
        <f>VLOOKUP(Tabla3[[#This Row],[Site]],'Important Info!'!$A$1:$F$135,4,FALSE)</f>
        <v>77, 78, 79, 80</v>
      </c>
      <c r="O1754" s="52" t="str">
        <f>VLOOKUP(Tabla3[[#This Row],[Site]],'Important Info!'!$A$1:$F$135,5,FALSE)</f>
        <v>2, 10, 18, 22, 31, 40</v>
      </c>
      <c r="P1754" s="52">
        <f>VLOOKUP(Tabla3[[#This Row],[Site]],'Important Info!'!$A$1:$F$135,6,FALSE)</f>
        <v>9</v>
      </c>
      <c r="Q1754" s="91">
        <f>VLOOKUP(Tabla3[[#This Row],[Site]],'Important Info!'!$A$1:$J$135,9,FALSE)</f>
        <v>169</v>
      </c>
    </row>
    <row r="1755" spans="1:17" x14ac:dyDescent="0.25">
      <c r="A1755" t="str">
        <f>+Tabla3[[#This Row],[Site]]&amp;Tabla3[[#This Row],[Split]]</f>
        <v>(KG) Hyundai Surprise19</v>
      </c>
      <c r="B1755">
        <v>19</v>
      </c>
      <c r="C1755">
        <v>3</v>
      </c>
      <c r="D1755" t="s">
        <v>51</v>
      </c>
      <c r="E1755" t="s">
        <v>161</v>
      </c>
      <c r="F1755" t="s">
        <v>118</v>
      </c>
      <c r="G1755" t="s">
        <v>52</v>
      </c>
      <c r="H1755" s="52" t="str">
        <f>VLOOKUP(Tabla3[[#This Row],[Site]],'Important Info!'!$A$1:$J$135,10,FALSE)</f>
        <v>https://tools.sig.systems/site/details/269</v>
      </c>
      <c r="I1755" s="2"/>
      <c r="J1755" t="s">
        <v>162</v>
      </c>
      <c r="K1755" s="79" t="str">
        <f>VLOOKUP(Tabla3[[#This Row],[Site]],'Important Info!'!$A$1:$H$135,8,FALSE)</f>
        <v>-</v>
      </c>
      <c r="L1755" s="52" t="str">
        <f>VLOOKUP(Tabla3[[#This Row],[Site]],'Important Info!'!$A$1:$F$135,2,FALSE)</f>
        <v>1, 6, 7</v>
      </c>
      <c r="M1755" s="52" t="str">
        <f>VLOOKUP(Tabla3[[#This Row],[Site]],'Important Info!'!$A$1:$F$135,3,FALSE)</f>
        <v>-</v>
      </c>
      <c r="N1755" s="52" t="str">
        <f>VLOOKUP(Tabla3[[#This Row],[Site]],'Important Info!'!$A$1:$F$135,4,FALSE)</f>
        <v>-</v>
      </c>
      <c r="O1755" s="52" t="str">
        <f>VLOOKUP(Tabla3[[#This Row],[Site]],'Important Info!'!$A$1:$F$135,5,FALSE)</f>
        <v>6, 13</v>
      </c>
      <c r="P1755" s="52" t="str">
        <f>VLOOKUP(Tabla3[[#This Row],[Site]],'Important Info!'!$A$1:$F$135,6,FALSE)</f>
        <v>-</v>
      </c>
      <c r="Q1755" s="91">
        <f>VLOOKUP(Tabla3[[#This Row],[Site]],'Important Info!'!$A$1:$J$135,9,FALSE)</f>
        <v>269</v>
      </c>
    </row>
    <row r="1756" spans="1:17" x14ac:dyDescent="0.25">
      <c r="A1756" t="str">
        <f>+Tabla3[[#This Row],[Site]]&amp;Tabla3[[#This Row],[Split]]</f>
        <v>(KG) Texan GMC Buick (NO TOURS)19</v>
      </c>
      <c r="B1756">
        <v>19</v>
      </c>
      <c r="C1756">
        <v>3</v>
      </c>
      <c r="D1756" t="s">
        <v>33</v>
      </c>
      <c r="E1756" t="s">
        <v>46</v>
      </c>
      <c r="F1756" t="s">
        <v>111</v>
      </c>
      <c r="G1756" t="s">
        <v>34</v>
      </c>
      <c r="H1756" s="52" t="str">
        <f>VLOOKUP(Tabla3[[#This Row],[Site]],'Important Info!'!$A$1:$J$135,10,FALSE)</f>
        <v>https://tools.sig.systems/site/details/225</v>
      </c>
      <c r="I1756" s="2" t="s">
        <v>137</v>
      </c>
      <c r="J1756" t="s">
        <v>41</v>
      </c>
      <c r="K1756" s="79" t="str">
        <f>VLOOKUP(Tabla3[[#This Row],[Site]],'Important Info!'!$A$1:$H$135,8,FALSE)</f>
        <v>-</v>
      </c>
      <c r="L1756" s="52" t="str">
        <f>VLOOKUP(Tabla3[[#This Row],[Site]],'Important Info!'!$A$1:$F$135,2,FALSE)</f>
        <v>1, 20, 53</v>
      </c>
      <c r="M1756" s="52" t="str">
        <f>VLOOKUP(Tabla3[[#This Row],[Site]],'Important Info!'!$A$1:$F$135,3,FALSE)</f>
        <v>-</v>
      </c>
      <c r="N1756" s="52" t="str">
        <f>VLOOKUP(Tabla3[[#This Row],[Site]],'Important Info!'!$A$1:$F$135,4,FALSE)</f>
        <v>-</v>
      </c>
      <c r="O1756" s="52" t="str">
        <f>VLOOKUP(Tabla3[[#This Row],[Site]],'Important Info!'!$A$1:$F$135,5,FALSE)</f>
        <v>2, 8, 14</v>
      </c>
      <c r="P1756" s="52" t="str">
        <f>VLOOKUP(Tabla3[[#This Row],[Site]],'Important Info!'!$A$1:$F$135,6,FALSE)</f>
        <v>51, 52, 16</v>
      </c>
      <c r="Q1756" s="91">
        <f>VLOOKUP(Tabla3[[#This Row],[Site]],'Important Info!'!$A$1:$J$135,9,FALSE)</f>
        <v>225</v>
      </c>
    </row>
    <row r="1757" spans="1:17" x14ac:dyDescent="0.25">
      <c r="A1757" t="str">
        <f>+Tabla3[[#This Row],[Site]]&amp;Tabla3[[#This Row],[Split]]</f>
        <v>(LM) Luther Mazda / Mitsubishi19</v>
      </c>
      <c r="B1757">
        <v>19</v>
      </c>
      <c r="C1757">
        <v>3</v>
      </c>
      <c r="D1757" t="s">
        <v>33</v>
      </c>
      <c r="E1757" t="s">
        <v>46</v>
      </c>
      <c r="F1757" t="s">
        <v>103</v>
      </c>
      <c r="G1757" t="s">
        <v>34</v>
      </c>
      <c r="H1757" s="52" t="str">
        <f>VLOOKUP(Tabla3[[#This Row],[Site]],'Important Info!'!$A$1:$J$135,10,FALSE)</f>
        <v>https://tools.sig.systems/site/details/147</v>
      </c>
      <c r="I1757" s="43" t="s">
        <v>138</v>
      </c>
      <c r="J1757" t="s">
        <v>41</v>
      </c>
      <c r="K1757" s="79" t="str">
        <f>VLOOKUP(Tabla3[[#This Row],[Site]],'Important Info!'!$A$1:$H$135,8,FALSE)</f>
        <v>-</v>
      </c>
      <c r="L1757" s="52" t="str">
        <f>VLOOKUP(Tabla3[[#This Row],[Site]],'Important Info!'!$A$1:$F$135,2,FALSE)</f>
        <v>4, 5, 6</v>
      </c>
      <c r="M1757" s="52" t="str">
        <f>VLOOKUP(Tabla3[[#This Row],[Site]],'Important Info!'!$A$1:$F$135,3,FALSE)</f>
        <v>-</v>
      </c>
      <c r="N1757" s="52" t="str">
        <f>VLOOKUP(Tabla3[[#This Row],[Site]],'Important Info!'!$A$1:$F$135,4,FALSE)</f>
        <v>1, 2</v>
      </c>
      <c r="O1757" s="52" t="str">
        <f>VLOOKUP(Tabla3[[#This Row],[Site]],'Important Info!'!$A$1:$F$135,5,FALSE)</f>
        <v>-</v>
      </c>
      <c r="P1757" s="52" t="str">
        <f>VLOOKUP(Tabla3[[#This Row],[Site]],'Important Info!'!$A$1:$F$135,6,FALSE)</f>
        <v>13, 14, 15, 16</v>
      </c>
      <c r="Q1757" s="91">
        <f>VLOOKUP(Tabla3[[#This Row],[Site]],'Important Info!'!$A$1:$J$135,9,FALSE)</f>
        <v>147</v>
      </c>
    </row>
    <row r="1758" spans="1:17" x14ac:dyDescent="0.25">
      <c r="A1758" t="str">
        <f>+Tabla3[[#This Row],[Site]]&amp;Tabla3[[#This Row],[Split]]</f>
        <v>(ML) Columbia Honda (NO TOURS)19</v>
      </c>
      <c r="B1758">
        <v>19</v>
      </c>
      <c r="C1758">
        <v>3</v>
      </c>
      <c r="D1758" t="s">
        <v>33</v>
      </c>
      <c r="E1758" t="s">
        <v>46</v>
      </c>
      <c r="F1758" t="s">
        <v>143</v>
      </c>
      <c r="G1758" t="s">
        <v>34</v>
      </c>
      <c r="H1758" s="52" t="str">
        <f>VLOOKUP(Tabla3[[#This Row],[Site]],'Important Info!'!$A$1:$J$135,10,FALSE)</f>
        <v>https://tools.sig.systems/site/details/272</v>
      </c>
      <c r="I1758" s="43" t="s">
        <v>144</v>
      </c>
      <c r="J1758" t="s">
        <v>41</v>
      </c>
      <c r="K1758" s="79" t="str">
        <f>VLOOKUP(Tabla3[[#This Row],[Site]],'Important Info!'!$A$1:$H$135,8,FALSE)</f>
        <v>-</v>
      </c>
      <c r="L1758" s="52" t="str">
        <f>VLOOKUP(Tabla3[[#This Row],[Site]],'Important Info!'!$A$1:$F$135,2,FALSE)</f>
        <v>-</v>
      </c>
      <c r="M1758" s="52" t="str">
        <f>VLOOKUP(Tabla3[[#This Row],[Site]],'Important Info!'!$A$1:$F$135,3,FALSE)</f>
        <v>9, 19, 20</v>
      </c>
      <c r="N1758" s="52" t="str">
        <f>VLOOKUP(Tabla3[[#This Row],[Site]],'Important Info!'!$A$1:$F$135,4,FALSE)</f>
        <v>-</v>
      </c>
      <c r="O1758" s="52" t="str">
        <f>VLOOKUP(Tabla3[[#This Row],[Site]],'Important Info!'!$A$1:$F$135,5,FALSE)</f>
        <v>10, 17, 19</v>
      </c>
      <c r="P1758" s="52" t="str">
        <f>VLOOKUP(Tabla3[[#This Row],[Site]],'Important Info!'!$A$1:$F$135,6,FALSE)</f>
        <v>3, 4, 5</v>
      </c>
      <c r="Q1758" s="91">
        <f>VLOOKUP(Tabla3[[#This Row],[Site]],'Important Info!'!$A$1:$J$135,9,FALSE)</f>
        <v>272</v>
      </c>
    </row>
    <row r="1759" spans="1:17" x14ac:dyDescent="0.25">
      <c r="A1759" t="str">
        <f>+Tabla3[[#This Row],[Site]]&amp;Tabla3[[#This Row],[Split]]</f>
        <v>(ML) Joe Machens CDJR19</v>
      </c>
      <c r="B1759">
        <v>19</v>
      </c>
      <c r="C1759">
        <v>3</v>
      </c>
      <c r="D1759" t="s">
        <v>33</v>
      </c>
      <c r="E1759" t="s">
        <v>46</v>
      </c>
      <c r="F1759" t="s">
        <v>88</v>
      </c>
      <c r="G1759" t="s">
        <v>34</v>
      </c>
      <c r="H1759" s="52" t="str">
        <f>VLOOKUP(Tabla3[[#This Row],[Site]],'Important Info!'!$A$1:$J$135,10,FALSE)</f>
        <v>https://tools.sig.systems/site/details/273</v>
      </c>
      <c r="I1759" s="43" t="s">
        <v>146</v>
      </c>
      <c r="J1759" t="s">
        <v>41</v>
      </c>
      <c r="K1759" s="79" t="str">
        <f>VLOOKUP(Tabla3[[#This Row],[Site]],'Important Info!'!$A$1:$H$135,8,FALSE)</f>
        <v>-</v>
      </c>
      <c r="L1759" s="52" t="str">
        <f>VLOOKUP(Tabla3[[#This Row],[Site]],'Important Info!'!$A$1:$F$135,2,FALSE)</f>
        <v>-</v>
      </c>
      <c r="M1759" s="52">
        <f>VLOOKUP(Tabla3[[#This Row],[Site]],'Important Info!'!$A$1:$F$135,3,FALSE)</f>
        <v>3</v>
      </c>
      <c r="N1759" s="52" t="str">
        <f>VLOOKUP(Tabla3[[#This Row],[Site]],'Important Info!'!$A$1:$F$135,4,FALSE)</f>
        <v>-</v>
      </c>
      <c r="O1759" s="52" t="str">
        <f>VLOOKUP(Tabla3[[#This Row],[Site]],'Important Info!'!$A$1:$F$135,5,FALSE)</f>
        <v>-</v>
      </c>
      <c r="P1759" s="52" t="str">
        <f>VLOOKUP(Tabla3[[#This Row],[Site]],'Important Info!'!$A$1:$F$135,6,FALSE)</f>
        <v>1, 2, 3,</v>
      </c>
      <c r="Q1759" s="91">
        <f>VLOOKUP(Tabla3[[#This Row],[Site]],'Important Info!'!$A$1:$J$135,9,FALSE)</f>
        <v>273</v>
      </c>
    </row>
    <row r="1760" spans="1:17" x14ac:dyDescent="0.25">
      <c r="A1760" t="str">
        <f>+Tabla3[[#This Row],[Site]]&amp;Tabla3[[#This Row],[Split]]</f>
        <v>(PE) BMW Tenafly (NO TOURS)19</v>
      </c>
      <c r="B1760">
        <v>19</v>
      </c>
      <c r="C1760">
        <v>3</v>
      </c>
      <c r="D1760" t="s">
        <v>485</v>
      </c>
      <c r="E1760" t="s">
        <v>35</v>
      </c>
      <c r="F1760" t="s">
        <v>173</v>
      </c>
      <c r="G1760" t="s">
        <v>490</v>
      </c>
      <c r="H1760" s="52" t="str">
        <f>VLOOKUP(Tabla3[[#This Row],[Site]],'Important Info!'!$A$1:$J$135,10,FALSE)</f>
        <v>https://tools.sig.systems/site/details/155</v>
      </c>
      <c r="I1760" s="2"/>
      <c r="J1760" t="s">
        <v>41</v>
      </c>
      <c r="K1760" s="79" t="str">
        <f>VLOOKUP(Tabla3[[#This Row],[Site]],'Important Info!'!$A$1:$H$135,8,FALSE)</f>
        <v>-</v>
      </c>
      <c r="L1760" s="52">
        <f>VLOOKUP(Tabla3[[#This Row],[Site]],'Important Info!'!$A$1:$F$135,2,FALSE)</f>
        <v>24</v>
      </c>
      <c r="M1760" s="52" t="str">
        <f>VLOOKUP(Tabla3[[#This Row],[Site]],'Important Info!'!$A$1:$F$135,3,FALSE)</f>
        <v>1, 3, 4, 17, 23</v>
      </c>
      <c r="N1760" s="52" t="str">
        <f>VLOOKUP(Tabla3[[#This Row],[Site]],'Important Info!'!$A$1:$F$135,4,FALSE)</f>
        <v>-</v>
      </c>
      <c r="O1760" s="52" t="str">
        <f>VLOOKUP(Tabla3[[#This Row],[Site]],'Important Info!'!$A$1:$F$135,5,FALSE)</f>
        <v>-</v>
      </c>
      <c r="P1760" s="52">
        <f>VLOOKUP(Tabla3[[#This Row],[Site]],'Important Info!'!$A$1:$F$135,6,FALSE)</f>
        <v>1</v>
      </c>
      <c r="Q1760" s="91">
        <f>VLOOKUP(Tabla3[[#This Row],[Site]],'Important Info!'!$A$1:$J$135,9,FALSE)</f>
        <v>155</v>
      </c>
    </row>
    <row r="1761" spans="1:17" x14ac:dyDescent="0.25">
      <c r="A1761" t="str">
        <f>+Tabla3[[#This Row],[Site]]&amp;Tabla3[[#This Row],[Split]]</f>
        <v>(AS) Park Place Volvo Sales (NO TOURS)19</v>
      </c>
      <c r="B1761">
        <v>19</v>
      </c>
      <c r="C1761">
        <v>4</v>
      </c>
      <c r="D1761" t="s">
        <v>33</v>
      </c>
      <c r="E1761" t="s">
        <v>46</v>
      </c>
      <c r="F1761" t="s">
        <v>521</v>
      </c>
      <c r="G1761" t="s">
        <v>34</v>
      </c>
      <c r="H1761" s="52" t="str">
        <f>VLOOKUP(Tabla3[[#This Row],[Site]],'Important Info!'!$A$1:$J$135,10,FALSE)</f>
        <v>https://tools.sig.systems/site/details/139</v>
      </c>
      <c r="I1761" s="65" t="s">
        <v>125</v>
      </c>
      <c r="J1761" t="s">
        <v>41</v>
      </c>
      <c r="K1761" s="79" t="str">
        <f>VLOOKUP(Tabla3[[#This Row],[Site]],'Important Info!'!$A$1:$H$135,8,FALSE)</f>
        <v>-</v>
      </c>
      <c r="L1761" s="52" t="str">
        <f>VLOOKUP(Tabla3[[#This Row],[Site]],'Important Info!'!$A$1:$F$135,2,FALSE)</f>
        <v>4, 6, 9, 11</v>
      </c>
      <c r="M1761" s="52" t="str">
        <f>VLOOKUP(Tabla3[[#This Row],[Site]],'Important Info!'!$A$1:$F$135,3,FALSE)</f>
        <v>-</v>
      </c>
      <c r="N1761" s="52" t="str">
        <f>VLOOKUP(Tabla3[[#This Row],[Site]],'Important Info!'!$A$1:$F$135,4,FALSE)</f>
        <v>-</v>
      </c>
      <c r="O1761" s="52" t="str">
        <f>VLOOKUP(Tabla3[[#This Row],[Site]],'Important Info!'!$A$1:$F$135,5,FALSE)</f>
        <v>2, 9</v>
      </c>
      <c r="P1761" s="52" t="str">
        <f>VLOOKUP(Tabla3[[#This Row],[Site]],'Important Info!'!$A$1:$F$135,6,FALSE)</f>
        <v>4, 10, 11</v>
      </c>
      <c r="Q1761" s="91">
        <f>VLOOKUP(Tabla3[[#This Row],[Site]],'Important Info!'!$A$1:$J$135,9,FALSE)</f>
        <v>139</v>
      </c>
    </row>
    <row r="1762" spans="1:17" x14ac:dyDescent="0.25">
      <c r="A1762" t="str">
        <f>+Tabla3[[#This Row],[Site]]&amp;Tabla3[[#This Row],[Split]]</f>
        <v>(DT) Denver (NO TOURS)19</v>
      </c>
      <c r="B1762">
        <v>19</v>
      </c>
      <c r="C1762">
        <v>4</v>
      </c>
      <c r="D1762" t="s">
        <v>44</v>
      </c>
      <c r="E1762" t="s">
        <v>53</v>
      </c>
      <c r="F1762" t="s">
        <v>157</v>
      </c>
      <c r="G1762" t="s">
        <v>45</v>
      </c>
      <c r="H1762" s="52" t="str">
        <f>VLOOKUP(Tabla3[[#This Row],[Site]],'Important Info!'!$A$1:$J$135,10,FALSE)</f>
        <v>https://tools.sig.systems/site/details/203</v>
      </c>
      <c r="I1762" s="43" t="s">
        <v>158</v>
      </c>
      <c r="J1762" t="s">
        <v>41</v>
      </c>
      <c r="K1762" s="79" t="str">
        <f>VLOOKUP(Tabla3[[#This Row],[Site]],'Important Info!'!$A$1:$H$135,8,FALSE)</f>
        <v>-</v>
      </c>
      <c r="L1762" s="52" t="str">
        <f>VLOOKUP(Tabla3[[#This Row],[Site]],'Important Info!'!$A$1:$F$135,2,FALSE)</f>
        <v>-</v>
      </c>
      <c r="M1762" s="52" t="str">
        <f>VLOOKUP(Tabla3[[#This Row],[Site]],'Important Info!'!$A$1:$F$135,3,FALSE)</f>
        <v>7, 8</v>
      </c>
      <c r="N1762" s="52" t="str">
        <f>VLOOKUP(Tabla3[[#This Row],[Site]],'Important Info!'!$A$1:$F$135,4,FALSE)</f>
        <v>-</v>
      </c>
      <c r="O1762" s="52" t="str">
        <f>VLOOKUP(Tabla3[[#This Row],[Site]],'Important Info!'!$A$1:$F$135,5,FALSE)</f>
        <v>-</v>
      </c>
      <c r="P1762" s="52" t="str">
        <f>VLOOKUP(Tabla3[[#This Row],[Site]],'Important Info!'!$A$1:$F$135,6,FALSE)</f>
        <v>7, 8</v>
      </c>
      <c r="Q1762" s="91">
        <f>VLOOKUP(Tabla3[[#This Row],[Site]],'Important Info!'!$A$1:$J$135,9,FALSE)</f>
        <v>203</v>
      </c>
    </row>
    <row r="1763" spans="1:17" x14ac:dyDescent="0.25">
      <c r="A1763" t="str">
        <f>+Tabla3[[#This Row],[Site]]&amp;Tabla3[[#This Row],[Split]]</f>
        <v>(KG) Big Star CDJR of Clear Lake19</v>
      </c>
      <c r="B1763">
        <v>19</v>
      </c>
      <c r="C1763">
        <v>4</v>
      </c>
      <c r="D1763" t="s">
        <v>33</v>
      </c>
      <c r="E1763" t="s">
        <v>46</v>
      </c>
      <c r="F1763" t="s">
        <v>133</v>
      </c>
      <c r="G1763" t="s">
        <v>34</v>
      </c>
      <c r="H1763" s="52" t="str">
        <f>VLOOKUP(Tabla3[[#This Row],[Site]],'Important Info!'!$A$1:$J$135,10,FALSE)</f>
        <v>https://tools.sig.systems/site/details/232</v>
      </c>
      <c r="I1763" s="2" t="s">
        <v>134</v>
      </c>
      <c r="J1763" t="s">
        <v>41</v>
      </c>
      <c r="K1763" s="79" t="str">
        <f>VLOOKUP(Tabla3[[#This Row],[Site]],'Important Info!'!$A$1:$H$135,8,FALSE)</f>
        <v>-</v>
      </c>
      <c r="L1763" s="52" t="str">
        <f>VLOOKUP(Tabla3[[#This Row],[Site]],'Important Info!'!$A$1:$F$135,2,FALSE)</f>
        <v>8, 25</v>
      </c>
      <c r="M1763" s="52" t="str">
        <f>VLOOKUP(Tabla3[[#This Row],[Site]],'Important Info!'!$A$1:$F$135,3,FALSE)</f>
        <v>-</v>
      </c>
      <c r="N1763" s="52" t="str">
        <f>VLOOKUP(Tabla3[[#This Row],[Site]],'Important Info!'!$A$1:$F$135,4,FALSE)</f>
        <v>-</v>
      </c>
      <c r="O1763" s="52" t="str">
        <f>VLOOKUP(Tabla3[[#This Row],[Site]],'Important Info!'!$A$1:$F$135,5,FALSE)</f>
        <v>7, 13, 19, 24</v>
      </c>
      <c r="P1763" s="52" t="str">
        <f>VLOOKUP(Tabla3[[#This Row],[Site]],'Important Info!'!$A$1:$F$135,6,FALSE)</f>
        <v>6, 8, 25, 31</v>
      </c>
      <c r="Q1763" s="91">
        <f>VLOOKUP(Tabla3[[#This Row],[Site]],'Important Info!'!$A$1:$J$135,9,FALSE)</f>
        <v>232</v>
      </c>
    </row>
    <row r="1764" spans="1:17" x14ac:dyDescent="0.25">
      <c r="A1764" t="str">
        <f>+Tabla3[[#This Row],[Site]]&amp;Tabla3[[#This Row],[Split]]</f>
        <v>(ML) Ford Lincoln of North Little Rock19</v>
      </c>
      <c r="B1764">
        <v>19</v>
      </c>
      <c r="C1764">
        <v>4</v>
      </c>
      <c r="D1764" t="s">
        <v>33</v>
      </c>
      <c r="E1764" t="s">
        <v>46</v>
      </c>
      <c r="F1764" t="s">
        <v>145</v>
      </c>
      <c r="G1764" t="s">
        <v>34</v>
      </c>
      <c r="H1764" s="52" t="str">
        <f>VLOOKUP(Tabla3[[#This Row],[Site]],'Important Info!'!$A$1:$J$135,10,FALSE)</f>
        <v>https://tools.sig.systems/site/details/214</v>
      </c>
      <c r="I1764" s="2" t="s">
        <v>142</v>
      </c>
      <c r="J1764" t="s">
        <v>41</v>
      </c>
      <c r="K1764" s="79" t="str">
        <f>VLOOKUP(Tabla3[[#This Row],[Site]],'Important Info!'!$A$1:$H$135,8,FALSE)</f>
        <v>-</v>
      </c>
      <c r="L1764" s="52" t="str">
        <f>VLOOKUP(Tabla3[[#This Row],[Site]],'Important Info!'!$A$1:$F$135,2,FALSE)</f>
        <v>4, 15, 18, 67, 74</v>
      </c>
      <c r="M1764" s="52">
        <f>VLOOKUP(Tabla3[[#This Row],[Site]],'Important Info!'!$A$1:$F$135,3,FALSE)</f>
        <v>13</v>
      </c>
      <c r="N1764" s="52" t="str">
        <f>VLOOKUP(Tabla3[[#This Row],[Site]],'Important Info!'!$A$1:$F$135,4,FALSE)</f>
        <v>-</v>
      </c>
      <c r="O1764" s="52" t="str">
        <f>VLOOKUP(Tabla3[[#This Row],[Site]],'Important Info!'!$A$1:$F$135,5,FALSE)</f>
        <v>4, 11, 16, 28</v>
      </c>
      <c r="P1764" s="52" t="str">
        <f>VLOOKUP(Tabla3[[#This Row],[Site]],'Important Info!'!$A$1:$F$135,6,FALSE)</f>
        <v>10, 11, 12</v>
      </c>
      <c r="Q1764" s="91">
        <f>VLOOKUP(Tabla3[[#This Row],[Site]],'Important Info!'!$A$1:$J$135,9,FALSE)</f>
        <v>214</v>
      </c>
    </row>
    <row r="1765" spans="1:17" x14ac:dyDescent="0.25">
      <c r="A1765" t="str">
        <f>+Tabla3[[#This Row],[Site]]&amp;Tabla3[[#This Row],[Split]]</f>
        <v>(ML) Joe Machens VW19</v>
      </c>
      <c r="B1765">
        <v>19</v>
      </c>
      <c r="C1765">
        <v>4</v>
      </c>
      <c r="D1765" t="s">
        <v>33</v>
      </c>
      <c r="E1765" t="s">
        <v>46</v>
      </c>
      <c r="F1765" t="s">
        <v>74</v>
      </c>
      <c r="G1765" t="s">
        <v>34</v>
      </c>
      <c r="H1765" s="52" t="str">
        <f>VLOOKUP(Tabla3[[#This Row],[Site]],'Important Info!'!$A$1:$J$135,10,FALSE)</f>
        <v>https://tools.sig.systems/site/details/274</v>
      </c>
      <c r="I1765" s="43" t="s">
        <v>146</v>
      </c>
      <c r="J1765" t="s">
        <v>41</v>
      </c>
      <c r="K1765" s="79" t="str">
        <f>VLOOKUP(Tabla3[[#This Row],[Site]],'Important Info!'!$A$1:$H$135,8,FALSE)</f>
        <v>-</v>
      </c>
      <c r="L1765" s="52" t="str">
        <f>VLOOKUP(Tabla3[[#This Row],[Site]],'Important Info!'!$A$1:$F$135,2,FALSE)</f>
        <v>-</v>
      </c>
      <c r="M1765" s="52" t="str">
        <f>VLOOKUP(Tabla3[[#This Row],[Site]],'Important Info!'!$A$1:$F$135,3,FALSE)</f>
        <v>1, 11, 18</v>
      </c>
      <c r="N1765" s="52" t="str">
        <f>VLOOKUP(Tabla3[[#This Row],[Site]],'Important Info!'!$A$1:$F$135,4,FALSE)</f>
        <v>-</v>
      </c>
      <c r="O1765" s="52">
        <f>VLOOKUP(Tabla3[[#This Row],[Site]],'Important Info!'!$A$1:$F$135,5,FALSE)</f>
        <v>17</v>
      </c>
      <c r="P1765" s="52" t="str">
        <f>VLOOKUP(Tabla3[[#This Row],[Site]],'Important Info!'!$A$1:$F$135,6,FALSE)</f>
        <v>-</v>
      </c>
      <c r="Q1765" s="91">
        <f>VLOOKUP(Tabla3[[#This Row],[Site]],'Important Info!'!$A$1:$J$135,9,FALSE)</f>
        <v>274</v>
      </c>
    </row>
    <row r="1766" spans="1:17" x14ac:dyDescent="0.25">
      <c r="A1766" t="str">
        <f>+Tabla3[[#This Row],[Site]]&amp;Tabla3[[#This Row],[Split]]</f>
        <v>(ML) Nissan of Little Rock19</v>
      </c>
      <c r="B1766">
        <v>19</v>
      </c>
      <c r="C1766">
        <v>4</v>
      </c>
      <c r="D1766" t="s">
        <v>33</v>
      </c>
      <c r="E1766" t="s">
        <v>46</v>
      </c>
      <c r="F1766" t="s">
        <v>152</v>
      </c>
      <c r="G1766" t="s">
        <v>34</v>
      </c>
      <c r="H1766" s="52" t="str">
        <f>VLOOKUP(Tabla3[[#This Row],[Site]],'Important Info!'!$A$1:$J$135,10,FALSE)</f>
        <v>https://tools.sig.systems/site/details/224</v>
      </c>
      <c r="I1766" t="s">
        <v>140</v>
      </c>
      <c r="J1766" t="s">
        <v>41</v>
      </c>
      <c r="K1766" s="79" t="str">
        <f>VLOOKUP(Tabla3[[#This Row],[Site]],'Important Info!'!$A$1:$H$135,8,FALSE)</f>
        <v>-</v>
      </c>
      <c r="L1766" s="52" t="str">
        <f>VLOOKUP(Tabla3[[#This Row],[Site]],'Important Info!'!$A$1:$F$135,2,FALSE)</f>
        <v>3, 6</v>
      </c>
      <c r="M1766" s="52" t="str">
        <f>VLOOKUP(Tabla3[[#This Row],[Site]],'Important Info!'!$A$1:$F$135,3,FALSE)</f>
        <v>-</v>
      </c>
      <c r="N1766" s="52" t="str">
        <f>VLOOKUP(Tabla3[[#This Row],[Site]],'Important Info!'!$A$1:$F$135,4,FALSE)</f>
        <v>-</v>
      </c>
      <c r="O1766" s="52" t="str">
        <f>VLOOKUP(Tabla3[[#This Row],[Site]],'Important Info!'!$A$1:$F$135,5,FALSE)</f>
        <v>1, 8, 16, 22</v>
      </c>
      <c r="P1766" s="52" t="str">
        <f>VLOOKUP(Tabla3[[#This Row],[Site]],'Important Info!'!$A$1:$F$135,6,FALSE)</f>
        <v>3, 4</v>
      </c>
      <c r="Q1766" s="91">
        <f>VLOOKUP(Tabla3[[#This Row],[Site]],'Important Info!'!$A$1:$J$135,9,FALSE)</f>
        <v>224</v>
      </c>
    </row>
    <row r="1767" spans="1:17" x14ac:dyDescent="0.25">
      <c r="A1767" t="str">
        <f>+Tabla3[[#This Row],[Site]]&amp;Tabla3[[#This Row],[Split]]</f>
        <v>(PE) BMW of Greenwich (NO TOURS)19</v>
      </c>
      <c r="B1767">
        <v>19</v>
      </c>
      <c r="C1767">
        <v>4</v>
      </c>
      <c r="D1767" t="s">
        <v>485</v>
      </c>
      <c r="E1767" t="s">
        <v>35</v>
      </c>
      <c r="F1767" t="s">
        <v>170</v>
      </c>
      <c r="G1767" t="s">
        <v>490</v>
      </c>
      <c r="H1767" s="52" t="str">
        <f>VLOOKUP(Tabla3[[#This Row],[Site]],'Important Info!'!$A$1:$J$135,10,FALSE)</f>
        <v>https://tools.sig.systems/site/details/186</v>
      </c>
      <c r="I1767" s="43" t="s">
        <v>171</v>
      </c>
      <c r="J1767" t="s">
        <v>41</v>
      </c>
      <c r="K1767" s="79" t="str">
        <f>VLOOKUP(Tabla3[[#This Row],[Site]],'Important Info!'!$A$1:$H$135,8,FALSE)</f>
        <v>-</v>
      </c>
      <c r="L1767" s="52" t="str">
        <f>VLOOKUP(Tabla3[[#This Row],[Site]],'Important Info!'!$A$1:$F$135,2,FALSE)</f>
        <v>1, 6, 15</v>
      </c>
      <c r="M1767" s="52" t="str">
        <f>VLOOKUP(Tabla3[[#This Row],[Site]],'Important Info!'!$A$1:$F$135,3,FALSE)</f>
        <v>-</v>
      </c>
      <c r="N1767" s="52" t="str">
        <f>VLOOKUP(Tabla3[[#This Row],[Site]],'Important Info!'!$A$1:$F$135,4,FALSE)</f>
        <v>-</v>
      </c>
      <c r="O1767" s="52" t="str">
        <f>VLOOKUP(Tabla3[[#This Row],[Site]],'Important Info!'!$A$1:$F$135,5,FALSE)</f>
        <v>-</v>
      </c>
      <c r="P1767" s="52">
        <f>VLOOKUP(Tabla3[[#This Row],[Site]],'Important Info!'!$A$1:$F$135,6,FALSE)</f>
        <v>12</v>
      </c>
      <c r="Q1767" s="91">
        <f>VLOOKUP(Tabla3[[#This Row],[Site]],'Important Info!'!$A$1:$J$135,9,FALSE)</f>
        <v>186</v>
      </c>
    </row>
    <row r="1768" spans="1:17" x14ac:dyDescent="0.25">
      <c r="A1768" t="str">
        <f>+Tabla3[[#This Row],[Site]]&amp;Tabla3[[#This Row],[Split]]</f>
        <v>(PE) JLR Darien PDI (NO TOURS)19</v>
      </c>
      <c r="B1768">
        <v>19</v>
      </c>
      <c r="C1768">
        <v>4</v>
      </c>
      <c r="D1768" t="s">
        <v>485</v>
      </c>
      <c r="E1768" t="s">
        <v>35</v>
      </c>
      <c r="F1768" t="s">
        <v>98</v>
      </c>
      <c r="G1768" t="s">
        <v>490</v>
      </c>
      <c r="H1768" s="52" t="str">
        <f>VLOOKUP(Tabla3[[#This Row],[Site]],'Important Info!'!$A$1:$J$135,10,FALSE)</f>
        <v>https://tools.sig.systems/site/details/187</v>
      </c>
      <c r="I1768" t="s">
        <v>175</v>
      </c>
      <c r="J1768" t="s">
        <v>41</v>
      </c>
      <c r="K1768" s="79" t="str">
        <f>VLOOKUP(Tabla3[[#This Row],[Site]],'Important Info!'!$A$1:$H$135,8,FALSE)</f>
        <v>-</v>
      </c>
      <c r="L1768" s="52">
        <f>VLOOKUP(Tabla3[[#This Row],[Site]],'Important Info!'!$A$1:$F$135,2,FALSE)</f>
        <v>1</v>
      </c>
      <c r="M1768" s="52" t="str">
        <f>VLOOKUP(Tabla3[[#This Row],[Site]],'Important Info!'!$A$1:$F$135,3,FALSE)</f>
        <v>-</v>
      </c>
      <c r="N1768" s="52" t="str">
        <f>VLOOKUP(Tabla3[[#This Row],[Site]],'Important Info!'!$A$1:$F$135,4,FALSE)</f>
        <v>-</v>
      </c>
      <c r="O1768" s="52">
        <f>VLOOKUP(Tabla3[[#This Row],[Site]],'Important Info!'!$A$1:$F$135,5,FALSE)</f>
        <v>1</v>
      </c>
      <c r="P1768" s="52">
        <f>VLOOKUP(Tabla3[[#This Row],[Site]],'Important Info!'!$A$1:$F$135,6,FALSE)</f>
        <v>7</v>
      </c>
      <c r="Q1768" s="91">
        <f>VLOOKUP(Tabla3[[#This Row],[Site]],'Important Info!'!$A$1:$J$135,9,FALSE)</f>
        <v>187</v>
      </c>
    </row>
    <row r="1769" spans="1:17" x14ac:dyDescent="0.25">
      <c r="A1769" t="str">
        <f>+Tabla3[[#This Row],[Site]]&amp;Tabla3[[#This Row],[Split]]</f>
        <v>(AS) Mercedes Benz/Porsche Dallas I,II,III (NO TOURS)19</v>
      </c>
      <c r="B1769">
        <v>19</v>
      </c>
      <c r="C1769">
        <v>5</v>
      </c>
      <c r="D1769" t="s">
        <v>33</v>
      </c>
      <c r="E1769" t="s">
        <v>46</v>
      </c>
      <c r="F1769" t="s">
        <v>509</v>
      </c>
      <c r="G1769" t="s">
        <v>34</v>
      </c>
      <c r="H1769" s="52" t="str">
        <f>VLOOKUP(Tabla3[[#This Row],[Site]],'Important Info!'!$A$1:$J$135,10,FALSE)</f>
        <v>https://tools.sig.systems/site/details/168</v>
      </c>
      <c r="I1769" s="65" t="s">
        <v>125</v>
      </c>
      <c r="J1769" t="s">
        <v>41</v>
      </c>
      <c r="K1769" s="79" t="str">
        <f>VLOOKUP(Tabla3[[#This Row],[Site]],'Important Info!'!$A$1:$H$135,8,FALSE)</f>
        <v>-</v>
      </c>
      <c r="L1769" s="52" t="str">
        <f>VLOOKUP(Tabla3[[#This Row],[Site]],'Important Info!'!$A$1:$F$135,2,FALSE)</f>
        <v>3, 4, 17, 26, 41</v>
      </c>
      <c r="M1769" s="52" t="str">
        <f>VLOOKUP(Tabla3[[#This Row],[Site]],'Important Info!'!$A$1:$F$135,3,FALSE)</f>
        <v>-</v>
      </c>
      <c r="N1769" s="52" t="str">
        <f>VLOOKUP(Tabla3[[#This Row],[Site]],'Important Info!'!$A$1:$F$135,4,FALSE)</f>
        <v>153, 154, 155, 156, 157, 158</v>
      </c>
      <c r="O1769" s="52" t="str">
        <f>VLOOKUP(Tabla3[[#This Row],[Site]],'Important Info!'!$A$1:$F$135,5,FALSE)</f>
        <v>2, 6, 10, 20, 28, 30, 36</v>
      </c>
      <c r="P1769" s="52" t="str">
        <f>VLOOKUP(Tabla3[[#This Row],[Site]],'Important Info!'!$A$1:$F$135,6,FALSE)</f>
        <v>31, 41, 159</v>
      </c>
      <c r="Q1769" s="91">
        <f>VLOOKUP(Tabla3[[#This Row],[Site]],'Important Info!'!$A$1:$J$135,9,FALSE)</f>
        <v>168</v>
      </c>
    </row>
    <row r="1770" spans="1:17" x14ac:dyDescent="0.25">
      <c r="A1770" t="str">
        <f>+Tabla3[[#This Row],[Site]]&amp;Tabla3[[#This Row],[Split]]</f>
        <v>(ML) BMW of Little Rock19</v>
      </c>
      <c r="B1770">
        <v>19</v>
      </c>
      <c r="C1770">
        <v>5</v>
      </c>
      <c r="D1770" t="s">
        <v>33</v>
      </c>
      <c r="E1770" t="s">
        <v>46</v>
      </c>
      <c r="F1770" t="s">
        <v>139</v>
      </c>
      <c r="G1770" t="s">
        <v>34</v>
      </c>
      <c r="H1770" s="52" t="str">
        <f>VLOOKUP(Tabla3[[#This Row],[Site]],'Important Info!'!$A$1:$J$135,10,FALSE)</f>
        <v>https://tools.sig.systems/site/details/217</v>
      </c>
      <c r="I1770" t="s">
        <v>140</v>
      </c>
      <c r="J1770" t="s">
        <v>41</v>
      </c>
      <c r="K1770" s="79" t="str">
        <f>VLOOKUP(Tabla3[[#This Row],[Site]],'Important Info!'!$A$1:$H$135,8,FALSE)</f>
        <v>-</v>
      </c>
      <c r="L1770" s="52" t="str">
        <f>VLOOKUP(Tabla3[[#This Row],[Site]],'Important Info!'!$A$1:$F$135,2,FALSE)</f>
        <v>-</v>
      </c>
      <c r="M1770" s="52">
        <f>VLOOKUP(Tabla3[[#This Row],[Site]],'Important Info!'!$A$1:$F$135,3,FALSE)</f>
        <v>14</v>
      </c>
      <c r="N1770" s="52" t="str">
        <f>VLOOKUP(Tabla3[[#This Row],[Site]],'Important Info!'!$A$1:$F$135,4,FALSE)</f>
        <v>-</v>
      </c>
      <c r="O1770" s="52" t="str">
        <f>VLOOKUP(Tabla3[[#This Row],[Site]],'Important Info!'!$A$1:$F$135,5,FALSE)</f>
        <v>-</v>
      </c>
      <c r="P1770" s="52" t="str">
        <f>VLOOKUP(Tabla3[[#This Row],[Site]],'Important Info!'!$A$1:$F$135,6,FALSE)</f>
        <v>5, 6, 7, 8, 9, 32</v>
      </c>
      <c r="Q1770" s="91">
        <f>VLOOKUP(Tabla3[[#This Row],[Site]],'Important Info!'!$A$1:$J$135,9,FALSE)</f>
        <v>217</v>
      </c>
    </row>
    <row r="1771" spans="1:17" x14ac:dyDescent="0.25">
      <c r="A1771" t="str">
        <f>+Tabla3[[#This Row],[Site]]&amp;Tabla3[[#This Row],[Split]]</f>
        <v>(ML) Joe Machens Toyota19</v>
      </c>
      <c r="B1771">
        <v>19</v>
      </c>
      <c r="C1771">
        <v>5</v>
      </c>
      <c r="D1771" t="s">
        <v>33</v>
      </c>
      <c r="E1771" t="s">
        <v>46</v>
      </c>
      <c r="F1771" t="s">
        <v>73</v>
      </c>
      <c r="G1771" t="s">
        <v>34</v>
      </c>
      <c r="H1771" s="52" t="str">
        <f>VLOOKUP(Tabla3[[#This Row],[Site]],'Important Info!'!$A$1:$J$135,10,FALSE)</f>
        <v>https://tools.sig.systems/site/details/275</v>
      </c>
      <c r="I1771" s="43" t="s">
        <v>146</v>
      </c>
      <c r="J1771" t="s">
        <v>41</v>
      </c>
      <c r="K1771" s="79" t="str">
        <f>VLOOKUP(Tabla3[[#This Row],[Site]],'Important Info!'!$A$1:$H$135,8,FALSE)</f>
        <v>-</v>
      </c>
      <c r="L1771" s="52" t="str">
        <f>VLOOKUP(Tabla3[[#This Row],[Site]],'Important Info!'!$A$1:$F$135,2,FALSE)</f>
        <v>-</v>
      </c>
      <c r="M1771" s="52" t="str">
        <f>VLOOKUP(Tabla3[[#This Row],[Site]],'Important Info!'!$A$1:$F$135,3,FALSE)</f>
        <v>1, 4, 6</v>
      </c>
      <c r="N1771" s="52" t="str">
        <f>VLOOKUP(Tabla3[[#This Row],[Site]],'Important Info!'!$A$1:$F$135,4,FALSE)</f>
        <v>-</v>
      </c>
      <c r="O1771" s="52" t="str">
        <f>VLOOKUP(Tabla3[[#This Row],[Site]],'Important Info!'!$A$1:$F$135,5,FALSE)</f>
        <v>4, 10</v>
      </c>
      <c r="P1771" s="52" t="str">
        <f>VLOOKUP(Tabla3[[#This Row],[Site]],'Important Info!'!$A$1:$F$135,6,FALSE)</f>
        <v>-</v>
      </c>
      <c r="Q1771" s="91">
        <f>VLOOKUP(Tabla3[[#This Row],[Site]],'Important Info!'!$A$1:$J$135,9,FALSE)</f>
        <v>275</v>
      </c>
    </row>
    <row r="1772" spans="1:17" x14ac:dyDescent="0.25">
      <c r="A1772" t="str">
        <f>+Tabla3[[#This Row],[Site]]&amp;Tabla3[[#This Row],[Split]]</f>
        <v>(ML) Toyota N Little Rock19</v>
      </c>
      <c r="B1772">
        <v>19</v>
      </c>
      <c r="C1772">
        <v>5</v>
      </c>
      <c r="D1772" t="s">
        <v>33</v>
      </c>
      <c r="E1772" t="s">
        <v>46</v>
      </c>
      <c r="F1772" t="s">
        <v>76</v>
      </c>
      <c r="G1772" t="s">
        <v>34</v>
      </c>
      <c r="H1772" s="52" t="str">
        <f>VLOOKUP(Tabla3[[#This Row],[Site]],'Important Info!'!$A$1:$J$135,10,FALSE)</f>
        <v>https://tools.sig.systems/site/details/201</v>
      </c>
      <c r="I1772" s="2" t="s">
        <v>142</v>
      </c>
      <c r="J1772" t="s">
        <v>41</v>
      </c>
      <c r="K1772" s="79" t="str">
        <f>VLOOKUP(Tabla3[[#This Row],[Site]],'Important Info!'!$A$1:$H$135,8,FALSE)</f>
        <v>-</v>
      </c>
      <c r="L1772" s="52" t="str">
        <f>VLOOKUP(Tabla3[[#This Row],[Site]],'Important Info!'!$A$1:$F$135,2,FALSE)</f>
        <v>4, 15, 18, 22, 23, 26</v>
      </c>
      <c r="M1772" s="52" t="str">
        <f>VLOOKUP(Tabla3[[#This Row],[Site]],'Important Info!'!$A$1:$F$135,3,FALSE)</f>
        <v>-</v>
      </c>
      <c r="N1772" s="52" t="str">
        <f>VLOOKUP(Tabla3[[#This Row],[Site]],'Important Info!'!$A$1:$F$135,4,FALSE)</f>
        <v>-</v>
      </c>
      <c r="O1772" s="52" t="str">
        <f>VLOOKUP(Tabla3[[#This Row],[Site]],'Important Info!'!$A$1:$F$135,5,FALSE)</f>
        <v>2, 12, 13, 18</v>
      </c>
      <c r="P1772" s="52" t="str">
        <f>VLOOKUP(Tabla3[[#This Row],[Site]],'Important Info!'!$A$1:$F$135,6,FALSE)</f>
        <v>-</v>
      </c>
      <c r="Q1772" s="91">
        <f>VLOOKUP(Tabla3[[#This Row],[Site]],'Important Info!'!$A$1:$J$135,9,FALSE)</f>
        <v>201</v>
      </c>
    </row>
    <row r="1773" spans="1:17" x14ac:dyDescent="0.25">
      <c r="A1773" t="str">
        <f>+Tabla3[[#This Row],[Site]]&amp;Tabla3[[#This Row],[Split]]</f>
        <v>(PE) JLR PDI (NO TOURS)19</v>
      </c>
      <c r="B1773">
        <v>19</v>
      </c>
      <c r="C1773">
        <v>5</v>
      </c>
      <c r="D1773" t="s">
        <v>485</v>
      </c>
      <c r="E1773" t="s">
        <v>35</v>
      </c>
      <c r="F1773" t="s">
        <v>114</v>
      </c>
      <c r="G1773" t="s">
        <v>490</v>
      </c>
      <c r="H1773" s="52" t="str">
        <f>VLOOKUP(Tabla3[[#This Row],[Site]],'Important Info!'!$A$1:$J$135,10,FALSE)</f>
        <v>https://tools.sig.systems/site/details/179</v>
      </c>
      <c r="I1773" t="s">
        <v>176</v>
      </c>
      <c r="J1773" t="s">
        <v>41</v>
      </c>
      <c r="K1773" s="79" t="str">
        <f>VLOOKUP(Tabla3[[#This Row],[Site]],'Important Info!'!$A$1:$H$135,8,FALSE)</f>
        <v>-</v>
      </c>
      <c r="L1773" s="52" t="str">
        <f>VLOOKUP(Tabla3[[#This Row],[Site]],'Important Info!'!$A$1:$F$135,2,FALSE)</f>
        <v>3, 8</v>
      </c>
      <c r="M1773" s="52" t="str">
        <f>VLOOKUP(Tabla3[[#This Row],[Site]],'Important Info!'!$A$1:$F$135,3,FALSE)</f>
        <v>-</v>
      </c>
      <c r="N1773" s="52" t="str">
        <f>VLOOKUP(Tabla3[[#This Row],[Site]],'Important Info!'!$A$1:$F$135,4,FALSE)</f>
        <v>-</v>
      </c>
      <c r="O1773" s="52" t="str">
        <f>VLOOKUP(Tabla3[[#This Row],[Site]],'Important Info!'!$A$1:$F$135,5,FALSE)</f>
        <v>-</v>
      </c>
      <c r="P1773" s="52" t="str">
        <f>VLOOKUP(Tabla3[[#This Row],[Site]],'Important Info!'!$A$1:$F$135,6,FALSE)</f>
        <v>-</v>
      </c>
      <c r="Q1773" s="91">
        <f>VLOOKUP(Tabla3[[#This Row],[Site]],'Important Info!'!$A$1:$J$135,9,FALSE)</f>
        <v>179</v>
      </c>
    </row>
    <row r="1774" spans="1:17" x14ac:dyDescent="0.25">
      <c r="A1774" t="str">
        <f>+Tabla3[[#This Row],[Site]]&amp;Tabla3[[#This Row],[Split]]</f>
        <v>(AS) Park Place Sprinter Van Center (NO TOURS)19</v>
      </c>
      <c r="B1774">
        <v>19</v>
      </c>
      <c r="C1774">
        <v>6</v>
      </c>
      <c r="D1774" t="s">
        <v>33</v>
      </c>
      <c r="E1774" t="s">
        <v>46</v>
      </c>
      <c r="F1774" t="s">
        <v>520</v>
      </c>
      <c r="G1774" t="s">
        <v>34</v>
      </c>
      <c r="H1774" s="52" t="str">
        <f>VLOOKUP(Tabla3[[#This Row],[Site]],'Important Info!'!$A$1:$J$135,10,FALSE)</f>
        <v>https://tools.sig.systems/site/details/138</v>
      </c>
      <c r="I1774" s="65" t="s">
        <v>125</v>
      </c>
      <c r="J1774" t="s">
        <v>41</v>
      </c>
      <c r="K1774" s="79" t="str">
        <f>VLOOKUP(Tabla3[[#This Row],[Site]],'Important Info!'!$A$1:$H$135,8,FALSE)</f>
        <v>-</v>
      </c>
      <c r="L1774" s="52">
        <f>VLOOKUP(Tabla3[[#This Row],[Site]],'Important Info!'!$A$1:$F$135,2,FALSE)</f>
        <v>1</v>
      </c>
      <c r="M1774" s="52" t="str">
        <f>VLOOKUP(Tabla3[[#This Row],[Site]],'Important Info!'!$A$1:$F$135,3,FALSE)</f>
        <v>-</v>
      </c>
      <c r="N1774" s="52" t="str">
        <f>VLOOKUP(Tabla3[[#This Row],[Site]],'Important Info!'!$A$1:$F$135,4,FALSE)</f>
        <v>-</v>
      </c>
      <c r="O1774" s="52" t="str">
        <f>VLOOKUP(Tabla3[[#This Row],[Site]],'Important Info!'!$A$1:$F$135,5,FALSE)</f>
        <v>-</v>
      </c>
      <c r="P1774" s="52" t="str">
        <f>VLOOKUP(Tabla3[[#This Row],[Site]],'Important Info!'!$A$1:$F$135,6,FALSE)</f>
        <v>1, 3</v>
      </c>
      <c r="Q1774" s="91">
        <f>VLOOKUP(Tabla3[[#This Row],[Site]],'Important Info!'!$A$1:$J$135,9,FALSE)</f>
        <v>138</v>
      </c>
    </row>
    <row r="1775" spans="1:17" x14ac:dyDescent="0.25">
      <c r="A1775" t="str">
        <f>+Tabla3[[#This Row],[Site]]&amp;Tabla3[[#This Row],[Split]]</f>
        <v>(AS) Stevinson Chevrolet Golden (NO TOURS)19</v>
      </c>
      <c r="B1775">
        <v>19</v>
      </c>
      <c r="C1775">
        <v>6</v>
      </c>
      <c r="D1775" t="s">
        <v>488</v>
      </c>
      <c r="E1775" t="s">
        <v>53</v>
      </c>
      <c r="F1775" t="s">
        <v>190</v>
      </c>
      <c r="G1775" t="s">
        <v>45</v>
      </c>
      <c r="H1775" s="52" t="str">
        <f>VLOOKUP(Tabla3[[#This Row],[Site]],'Important Info!'!$A$1:$J$135,10,FALSE)</f>
        <v>https://tools.sig.systems/site/details/264</v>
      </c>
      <c r="I1775" s="43" t="s">
        <v>154</v>
      </c>
      <c r="J1775" t="s">
        <v>41</v>
      </c>
      <c r="K1775" s="79" t="str">
        <f>VLOOKUP(Tabla3[[#This Row],[Site]],'Important Info!'!$A$1:$H$135,8,FALSE)</f>
        <v>-</v>
      </c>
      <c r="L1775" s="52" t="str">
        <f>VLOOKUP(Tabla3[[#This Row],[Site]],'Important Info!'!$A$1:$F$135,2,FALSE)</f>
        <v>-</v>
      </c>
      <c r="M1775" s="52" t="str">
        <f>VLOOKUP(Tabla3[[#This Row],[Site]],'Important Info!'!$A$1:$F$135,3,FALSE)</f>
        <v>1, 19</v>
      </c>
      <c r="N1775" s="52" t="str">
        <f>VLOOKUP(Tabla3[[#This Row],[Site]],'Important Info!'!$A$1:$F$135,4,FALSE)</f>
        <v>-</v>
      </c>
      <c r="O1775" s="52" t="str">
        <f>VLOOKUP(Tabla3[[#This Row],[Site]],'Important Info!'!$A$1:$F$135,5,FALSE)</f>
        <v>14, 30</v>
      </c>
      <c r="P1775" s="52" t="str">
        <f>VLOOKUP(Tabla3[[#This Row],[Site]],'Important Info!'!$A$1:$F$135,6,FALSE)</f>
        <v>14, 33, 34, 35, 36</v>
      </c>
      <c r="Q1775" s="91">
        <f>VLOOKUP(Tabla3[[#This Row],[Site]],'Important Info!'!$A$1:$J$135,9,FALSE)</f>
        <v>264</v>
      </c>
    </row>
    <row r="1776" spans="1:17" x14ac:dyDescent="0.25">
      <c r="A1776" t="str">
        <f>+Tabla3[[#This Row],[Site]]&amp;Tabla3[[#This Row],[Split]]</f>
        <v>(HUD) Honda of Southpoint19</v>
      </c>
      <c r="B1776">
        <v>19</v>
      </c>
      <c r="C1776">
        <v>6</v>
      </c>
      <c r="D1776" t="s">
        <v>62</v>
      </c>
      <c r="E1776" t="s">
        <v>35</v>
      </c>
      <c r="F1776" t="s">
        <v>65</v>
      </c>
      <c r="G1776" t="s">
        <v>490</v>
      </c>
      <c r="H1776" s="52" t="str">
        <f>VLOOKUP(Tabla3[[#This Row],[Site]],'Important Info!'!$A$1:$J$135,10,FALSE)</f>
        <v>https://tools.sig.systems/site/details/195</v>
      </c>
      <c r="I1776" s="43"/>
      <c r="J1776" t="s">
        <v>484</v>
      </c>
      <c r="K1776" s="79" t="str">
        <f>VLOOKUP(Tabla3[[#This Row],[Site]],'Important Info!'!$A$1:$H$135,8,FALSE)</f>
        <v>-</v>
      </c>
      <c r="L1776" s="52" t="str">
        <f>VLOOKUP(Tabla3[[#This Row],[Site]],'Important Info!'!$A$1:$F$135,2,FALSE)</f>
        <v>2, 12, 18</v>
      </c>
      <c r="M1776" s="52">
        <f>VLOOKUP(Tabla3[[#This Row],[Site]],'Important Info!'!$A$1:$F$135,3,FALSE)</f>
        <v>13</v>
      </c>
      <c r="N1776" s="52" t="str">
        <f>VLOOKUP(Tabla3[[#This Row],[Site]],'Important Info!'!$A$1:$F$135,4,FALSE)</f>
        <v>-</v>
      </c>
      <c r="O1776" s="52" t="str">
        <f>VLOOKUP(Tabla3[[#This Row],[Site]],'Important Info!'!$A$1:$F$135,5,FALSE)</f>
        <v>2, 15</v>
      </c>
      <c r="P1776" s="52" t="str">
        <f>VLOOKUP(Tabla3[[#This Row],[Site]],'Important Info!'!$A$1:$F$135,6,FALSE)</f>
        <v>-</v>
      </c>
      <c r="Q1776" s="91">
        <f>VLOOKUP(Tabla3[[#This Row],[Site]],'Important Info!'!$A$1:$J$135,9,FALSE)</f>
        <v>195</v>
      </c>
    </row>
    <row r="1777" spans="1:17" x14ac:dyDescent="0.25">
      <c r="A1777" t="str">
        <f>+Tabla3[[#This Row],[Site]]&amp;Tabla3[[#This Row],[Split]]</f>
        <v>(ML) Joe Machens E Collision Center19</v>
      </c>
      <c r="B1777">
        <v>19</v>
      </c>
      <c r="C1777">
        <v>6</v>
      </c>
      <c r="D1777" t="s">
        <v>33</v>
      </c>
      <c r="E1777" t="s">
        <v>46</v>
      </c>
      <c r="F1777" t="s">
        <v>147</v>
      </c>
      <c r="G1777" t="s">
        <v>34</v>
      </c>
      <c r="H1777" s="52" t="str">
        <f>VLOOKUP(Tabla3[[#This Row],[Site]],'Important Info!'!$A$1:$J$135,10,FALSE)</f>
        <v>https://tools.sig.systems/site/details/277</v>
      </c>
      <c r="I1777" s="2" t="s">
        <v>146</v>
      </c>
      <c r="J1777" t="s">
        <v>41</v>
      </c>
      <c r="K1777" s="79" t="str">
        <f>VLOOKUP(Tabla3[[#This Row],[Site]],'Important Info!'!$A$1:$H$135,8,FALSE)</f>
        <v>-</v>
      </c>
      <c r="L1777" s="52">
        <f>VLOOKUP(Tabla3[[#This Row],[Site]],'Important Info!'!$A$1:$F$135,2,FALSE)</f>
        <v>1</v>
      </c>
      <c r="M1777" s="52" t="str">
        <f>VLOOKUP(Tabla3[[#This Row],[Site]],'Important Info!'!$A$1:$F$135,3,FALSE)</f>
        <v>-</v>
      </c>
      <c r="N1777" s="52" t="str">
        <f>VLOOKUP(Tabla3[[#This Row],[Site]],'Important Info!'!$A$1:$F$135,4,FALSE)</f>
        <v>-</v>
      </c>
      <c r="O1777" s="52">
        <f>VLOOKUP(Tabla3[[#This Row],[Site]],'Important Info!'!$A$1:$F$135,5,FALSE)</f>
        <v>5</v>
      </c>
      <c r="P1777" s="52" t="str">
        <f>VLOOKUP(Tabla3[[#This Row],[Site]],'Important Info!'!$A$1:$F$135,6,FALSE)</f>
        <v>1, 2, 3, 4</v>
      </c>
      <c r="Q1777" s="91">
        <f>VLOOKUP(Tabla3[[#This Row],[Site]],'Important Info!'!$A$1:$J$135,9,FALSE)</f>
        <v>277</v>
      </c>
    </row>
    <row r="1778" spans="1:17" x14ac:dyDescent="0.25">
      <c r="A1778" t="str">
        <f>+Tabla3[[#This Row],[Site]]&amp;Tabla3[[#This Row],[Split]]</f>
        <v>(ML) Nissan of North Little Rock19</v>
      </c>
      <c r="B1778">
        <v>19</v>
      </c>
      <c r="C1778">
        <v>6</v>
      </c>
      <c r="D1778" t="s">
        <v>33</v>
      </c>
      <c r="E1778" t="s">
        <v>46</v>
      </c>
      <c r="F1778" t="s">
        <v>75</v>
      </c>
      <c r="G1778" t="s">
        <v>34</v>
      </c>
      <c r="H1778" s="52" t="str">
        <f>VLOOKUP(Tabla3[[#This Row],[Site]],'Important Info!'!$A$1:$J$135,10,FALSE)</f>
        <v>https://tools.sig.systems/site/details/216</v>
      </c>
      <c r="I1778" s="2" t="s">
        <v>142</v>
      </c>
      <c r="J1778" t="s">
        <v>41</v>
      </c>
      <c r="K1778" s="79" t="str">
        <f>VLOOKUP(Tabla3[[#This Row],[Site]],'Important Info!'!$A$1:$H$135,8,FALSE)</f>
        <v>-</v>
      </c>
      <c r="L1778" s="52" t="str">
        <f>VLOOKUP(Tabla3[[#This Row],[Site]],'Important Info!'!$A$1:$F$135,2,FALSE)</f>
        <v>2, 4</v>
      </c>
      <c r="M1778" s="52" t="str">
        <f>VLOOKUP(Tabla3[[#This Row],[Site]],'Important Info!'!$A$1:$F$135,3,FALSE)</f>
        <v>-</v>
      </c>
      <c r="N1778" s="52" t="str">
        <f>VLOOKUP(Tabla3[[#This Row],[Site]],'Important Info!'!$A$1:$F$135,4,FALSE)</f>
        <v>-</v>
      </c>
      <c r="O1778" s="52" t="str">
        <f>VLOOKUP(Tabla3[[#This Row],[Site]],'Important Info!'!$A$1:$F$135,5,FALSE)</f>
        <v>5, 17, 23</v>
      </c>
      <c r="P1778" s="52">
        <f>VLOOKUP(Tabla3[[#This Row],[Site]],'Important Info!'!$A$1:$F$135,6,FALSE)</f>
        <v>18</v>
      </c>
      <c r="Q1778" s="91">
        <f>VLOOKUP(Tabla3[[#This Row],[Site]],'Important Info!'!$A$1:$J$135,9,FALSE)</f>
        <v>216</v>
      </c>
    </row>
    <row r="1779" spans="1:17" x14ac:dyDescent="0.25">
      <c r="A1779" t="str">
        <f>+Tabla3[[#This Row],[Site]]&amp;Tabla3[[#This Row],[Split]]</f>
        <v>(PE) BMW of Mamaroneck (NO TOURS)19</v>
      </c>
      <c r="B1779">
        <v>19</v>
      </c>
      <c r="C1779">
        <v>6</v>
      </c>
      <c r="D1779" t="s">
        <v>485</v>
      </c>
      <c r="E1779" t="s">
        <v>35</v>
      </c>
      <c r="F1779" t="s">
        <v>172</v>
      </c>
      <c r="G1779" t="s">
        <v>490</v>
      </c>
      <c r="H1779" s="52" t="str">
        <f>VLOOKUP(Tabla3[[#This Row],[Site]],'Important Info!'!$A$1:$J$135,10,FALSE)</f>
        <v>https://tools.sig.systems/site/details/185</v>
      </c>
      <c r="I1779" s="43"/>
      <c r="J1779" t="s">
        <v>41</v>
      </c>
      <c r="K1779" s="79" t="str">
        <f>VLOOKUP(Tabla3[[#This Row],[Site]],'Important Info!'!$A$1:$H$135,8,FALSE)</f>
        <v>-</v>
      </c>
      <c r="L1779" s="52">
        <f>VLOOKUP(Tabla3[[#This Row],[Site]],'Important Info!'!$A$1:$F$135,2,FALSE)</f>
        <v>9</v>
      </c>
      <c r="M1779" s="52" t="str">
        <f>VLOOKUP(Tabla3[[#This Row],[Site]],'Important Info!'!$A$1:$F$135,3,FALSE)</f>
        <v>2, 3, 4, 5</v>
      </c>
      <c r="N1779" s="52" t="str">
        <f>VLOOKUP(Tabla3[[#This Row],[Site]],'Important Info!'!$A$1:$F$135,4,FALSE)</f>
        <v>-</v>
      </c>
      <c r="O1779" s="52" t="str">
        <f>VLOOKUP(Tabla3[[#This Row],[Site]],'Important Info!'!$A$1:$F$135,5,FALSE)</f>
        <v>-</v>
      </c>
      <c r="P1779" s="52" t="str">
        <f>VLOOKUP(Tabla3[[#This Row],[Site]],'Important Info!'!$A$1:$F$135,6,FALSE)</f>
        <v>4, 6, 7, 8</v>
      </c>
      <c r="Q1779" s="91">
        <f>VLOOKUP(Tabla3[[#This Row],[Site]],'Important Info!'!$A$1:$J$135,9,FALSE)</f>
        <v>185</v>
      </c>
    </row>
    <row r="1780" spans="1:17" x14ac:dyDescent="0.25">
      <c r="A1780" t="str">
        <f>+Tabla3[[#This Row],[Site]]&amp;Tabla3[[#This Row],[Split]]</f>
        <v>(PE) Honda of Danbury (NO TOURS)19</v>
      </c>
      <c r="B1780">
        <v>19</v>
      </c>
      <c r="C1780">
        <v>6</v>
      </c>
      <c r="D1780" t="s">
        <v>485</v>
      </c>
      <c r="E1780" t="s">
        <v>35</v>
      </c>
      <c r="F1780" t="s">
        <v>174</v>
      </c>
      <c r="G1780" t="s">
        <v>490</v>
      </c>
      <c r="H1780" s="52" t="str">
        <f>VLOOKUP(Tabla3[[#This Row],[Site]],'Important Info!'!$A$1:$J$135,10,FALSE)</f>
        <v>https://tools.sig.systems/site/details/190</v>
      </c>
      <c r="I1780" s="43"/>
      <c r="J1780" t="s">
        <v>41</v>
      </c>
      <c r="K1780" s="79" t="str">
        <f>VLOOKUP(Tabla3[[#This Row],[Site]],'Important Info!'!$A$1:$H$135,8,FALSE)</f>
        <v>-</v>
      </c>
      <c r="L1780" s="52" t="str">
        <f>VLOOKUP(Tabla3[[#This Row],[Site]],'Important Info!'!$A$1:$F$135,2,FALSE)</f>
        <v>-</v>
      </c>
      <c r="M1780" s="52" t="str">
        <f>VLOOKUP(Tabla3[[#This Row],[Site]],'Important Info!'!$A$1:$F$135,3,FALSE)</f>
        <v>20, 9</v>
      </c>
      <c r="N1780" s="52">
        <f>VLOOKUP(Tabla3[[#This Row],[Site]],'Important Info!'!$A$1:$F$135,4,FALSE)</f>
        <v>9</v>
      </c>
      <c r="O1780" s="52" t="str">
        <f>VLOOKUP(Tabla3[[#This Row],[Site]],'Important Info!'!$A$1:$F$135,5,FALSE)</f>
        <v>-</v>
      </c>
      <c r="P1780" s="52" t="str">
        <f>VLOOKUP(Tabla3[[#This Row],[Site]],'Important Info!'!$A$1:$F$135,6,FALSE)</f>
        <v>9, 16, 17</v>
      </c>
      <c r="Q1780" s="91">
        <f>VLOOKUP(Tabla3[[#This Row],[Site]],'Important Info!'!$A$1:$J$135,9,FALSE)</f>
        <v>190</v>
      </c>
    </row>
    <row r="1781" spans="1:17" x14ac:dyDescent="0.25">
      <c r="A1781" t="str">
        <f>+Tabla3[[#This Row],[Site]]&amp;Tabla3[[#This Row],[Split]]</f>
        <v>(SCH) Prep Center Delray19</v>
      </c>
      <c r="B1781">
        <v>19</v>
      </c>
      <c r="C1781">
        <v>6</v>
      </c>
      <c r="D1781" t="s">
        <v>62</v>
      </c>
      <c r="E1781" t="s">
        <v>35</v>
      </c>
      <c r="F1781" t="s">
        <v>191</v>
      </c>
      <c r="G1781" t="s">
        <v>490</v>
      </c>
      <c r="H1781" s="52" t="str">
        <f>VLOOKUP(Tabla3[[#This Row],[Site]],'Important Info!'!$A$1:$J$135,10,FALSE)</f>
        <v>https://tools.sig.systems/site/details/321</v>
      </c>
      <c r="J1781" t="s">
        <v>41</v>
      </c>
      <c r="K1781" s="79" t="str">
        <f>VLOOKUP(Tabla3[[#This Row],[Site]],'Important Info!'!$A$1:$H$135,8,FALSE)</f>
        <v>-</v>
      </c>
      <c r="L1781" s="52" t="str">
        <f>VLOOKUP(Tabla3[[#This Row],[Site]],'Important Info!'!$A$1:$F$135,2,FALSE)</f>
        <v>2,3</v>
      </c>
      <c r="M1781" s="52" t="str">
        <f>VLOOKUP(Tabla3[[#This Row],[Site]],'Important Info!'!$A$1:$F$135,3,FALSE)</f>
        <v>-</v>
      </c>
      <c r="N1781" s="52" t="str">
        <f>VLOOKUP(Tabla3[[#This Row],[Site]],'Important Info!'!$A$1:$F$135,4,FALSE)</f>
        <v>-</v>
      </c>
      <c r="O1781" s="52" t="str">
        <f>VLOOKUP(Tabla3[[#This Row],[Site]],'Important Info!'!$A$1:$F$135,5,FALSE)</f>
        <v>-</v>
      </c>
      <c r="P1781" s="52" t="str">
        <f>VLOOKUP(Tabla3[[#This Row],[Site]],'Important Info!'!$A$1:$F$135,6,FALSE)</f>
        <v>2,4,10</v>
      </c>
      <c r="Q1781" s="91">
        <f>VLOOKUP(Tabla3[[#This Row],[Site]],'Important Info!'!$A$1:$J$135,9,FALSE)</f>
        <v>321</v>
      </c>
    </row>
    <row r="1782" spans="1:17" x14ac:dyDescent="0.25">
      <c r="A1782" t="str">
        <f>+Tabla3[[#This Row],[Site]]&amp;Tabla3[[#This Row],[Split]]</f>
        <v>(AS) Atwell Prep Center-Dallas (NO TOURS)19</v>
      </c>
      <c r="B1782">
        <v>19</v>
      </c>
      <c r="C1782">
        <v>7</v>
      </c>
      <c r="D1782" t="s">
        <v>33</v>
      </c>
      <c r="E1782" t="s">
        <v>46</v>
      </c>
      <c r="F1782" t="s">
        <v>498</v>
      </c>
      <c r="G1782" t="s">
        <v>34</v>
      </c>
      <c r="H1782" s="52" t="str">
        <f>VLOOKUP(Tabla3[[#This Row],[Site]],'Important Info!'!$A$1:$J$135,10,FALSE)</f>
        <v>https://tools.sig.systems/site/details/165</v>
      </c>
      <c r="I1782" s="65" t="s">
        <v>125</v>
      </c>
      <c r="J1782" t="s">
        <v>41</v>
      </c>
      <c r="K1782" s="79" t="str">
        <f>VLOOKUP(Tabla3[[#This Row],[Site]],'Important Info!'!$A$1:$H$135,8,FALSE)</f>
        <v>-</v>
      </c>
      <c r="L1782" s="52" t="str">
        <f>VLOOKUP(Tabla3[[#This Row],[Site]],'Important Info!'!$A$1:$F$135,2,FALSE)</f>
        <v>4, 6, 7</v>
      </c>
      <c r="M1782" s="52" t="str">
        <f>VLOOKUP(Tabla3[[#This Row],[Site]],'Important Info!'!$A$1:$F$135,3,FALSE)</f>
        <v>-</v>
      </c>
      <c r="N1782" s="52" t="str">
        <f>VLOOKUP(Tabla3[[#This Row],[Site]],'Important Info!'!$A$1:$F$135,4,FALSE)</f>
        <v>-</v>
      </c>
      <c r="O1782" s="52" t="str">
        <f>VLOOKUP(Tabla3[[#This Row],[Site]],'Important Info!'!$A$1:$F$135,5,FALSE)</f>
        <v>-</v>
      </c>
      <c r="P1782" s="52" t="str">
        <f>VLOOKUP(Tabla3[[#This Row],[Site]],'Important Info!'!$A$1:$F$135,6,FALSE)</f>
        <v>1, 2</v>
      </c>
      <c r="Q1782" s="91">
        <f>VLOOKUP(Tabla3[[#This Row],[Site]],'Important Info!'!$A$1:$J$135,9,FALSE)</f>
        <v>165</v>
      </c>
    </row>
    <row r="1783" spans="1:17" x14ac:dyDescent="0.25">
      <c r="A1783" t="str">
        <f>+Tabla3[[#This Row],[Site]]&amp;Tabla3[[#This Row],[Split]]</f>
        <v>(AS) Park Place Mercedes Benz Ft. Worth (NO TOURS)19</v>
      </c>
      <c r="B1783">
        <v>19</v>
      </c>
      <c r="C1783">
        <v>7</v>
      </c>
      <c r="D1783" t="s">
        <v>33</v>
      </c>
      <c r="E1783" t="s">
        <v>46</v>
      </c>
      <c r="F1783" t="s">
        <v>519</v>
      </c>
      <c r="G1783" t="s">
        <v>34</v>
      </c>
      <c r="H1783" s="52" t="str">
        <f>VLOOKUP(Tabla3[[#This Row],[Site]],'Important Info!'!$A$1:$J$135,10,FALSE)</f>
        <v>https://tools.sig.systems/site/details/137</v>
      </c>
      <c r="I1783" s="2" t="s">
        <v>128</v>
      </c>
      <c r="J1783" t="s">
        <v>41</v>
      </c>
      <c r="K1783" s="79" t="s">
        <v>37</v>
      </c>
      <c r="L1783" s="52" t="str">
        <f>VLOOKUP(Tabla3[[#This Row],[Site]],'Important Info!'!$A$1:$F$135,2,FALSE)</f>
        <v>4, 18</v>
      </c>
      <c r="M1783" s="52" t="str">
        <f>VLOOKUP(Tabla3[[#This Row],[Site]],'Important Info!'!$A$1:$F$135,3,FALSE)</f>
        <v>-</v>
      </c>
      <c r="N1783" s="52" t="str">
        <f>VLOOKUP(Tabla3[[#This Row],[Site]],'Important Info!'!$A$1:$F$135,4,FALSE)</f>
        <v>54, 55</v>
      </c>
      <c r="O1783" s="52" t="str">
        <f>VLOOKUP(Tabla3[[#This Row],[Site]],'Important Info!'!$A$1:$F$135,5,FALSE)</f>
        <v>2, 18</v>
      </c>
      <c r="P1783" s="52" t="str">
        <f>VLOOKUP(Tabla3[[#This Row],[Site]],'Important Info!'!$A$1:$F$135,6,FALSE)</f>
        <v>5, 18</v>
      </c>
      <c r="Q1783" s="91">
        <f>VLOOKUP(Tabla3[[#This Row],[Site]],'Important Info!'!$A$1:$J$135,9,FALSE)</f>
        <v>137</v>
      </c>
    </row>
    <row r="1784" spans="1:17" x14ac:dyDescent="0.25">
      <c r="A1784" t="str">
        <f>+Tabla3[[#This Row],[Site]]&amp;Tabla3[[#This Row],[Split]]</f>
        <v>(AS) Stevinson Toyota West (NO TOURS)19</v>
      </c>
      <c r="B1784">
        <v>19</v>
      </c>
      <c r="C1784">
        <v>7</v>
      </c>
      <c r="D1784" t="s">
        <v>44</v>
      </c>
      <c r="E1784" t="s">
        <v>53</v>
      </c>
      <c r="F1784" t="s">
        <v>79</v>
      </c>
      <c r="G1784" t="s">
        <v>45</v>
      </c>
      <c r="H1784" s="52" t="str">
        <f>VLOOKUP(Tabla3[[#This Row],[Site]],'Important Info!'!$A$1:$J$135,10,FALSE)</f>
        <v>https://tools.sig.systems/site/details/240</v>
      </c>
      <c r="I1784" s="2" t="s">
        <v>154</v>
      </c>
      <c r="J1784" t="s">
        <v>41</v>
      </c>
      <c r="K1784" s="79" t="str">
        <f>VLOOKUP(Tabla3[[#This Row],[Site]],'Important Info!'!$A$1:$H$135,8,FALSE)</f>
        <v>-</v>
      </c>
      <c r="L1784" s="52" t="str">
        <f>VLOOKUP(Tabla3[[#This Row],[Site]],'Important Info!'!$A$1:$F$135,2,FALSE)</f>
        <v>-</v>
      </c>
      <c r="M1784" s="52" t="str">
        <f>VLOOKUP(Tabla3[[#This Row],[Site]],'Important Info!'!$A$1:$F$135,3,FALSE)</f>
        <v>7, 18, 21</v>
      </c>
      <c r="N1784" s="52" t="str">
        <f>VLOOKUP(Tabla3[[#This Row],[Site]],'Important Info!'!$A$1:$F$135,4,FALSE)</f>
        <v>-</v>
      </c>
      <c r="O1784" s="52" t="str">
        <f>VLOOKUP(Tabla3[[#This Row],[Site]],'Important Info!'!$A$1:$F$135,5,FALSE)</f>
        <v>11, 24, 34</v>
      </c>
      <c r="P1784" s="52" t="str">
        <f>VLOOKUP(Tabla3[[#This Row],[Site]],'Important Info!'!$A$1:$F$135,6,FALSE)</f>
        <v>1, 2, 3, 12</v>
      </c>
      <c r="Q1784" s="91">
        <f>VLOOKUP(Tabla3[[#This Row],[Site]],'Important Info!'!$A$1:$J$135,9,FALSE)</f>
        <v>240</v>
      </c>
    </row>
    <row r="1785" spans="1:17" x14ac:dyDescent="0.25">
      <c r="A1785" t="str">
        <f>+Tabla3[[#This Row],[Site]]&amp;Tabla3[[#This Row],[Split]]</f>
        <v>(ML) Honda of Little Rock19</v>
      </c>
      <c r="B1785">
        <v>19</v>
      </c>
      <c r="C1785">
        <v>7</v>
      </c>
      <c r="D1785" t="s">
        <v>33</v>
      </c>
      <c r="E1785" t="s">
        <v>46</v>
      </c>
      <c r="F1785" t="s">
        <v>71</v>
      </c>
      <c r="G1785" t="s">
        <v>34</v>
      </c>
      <c r="H1785" s="52" t="str">
        <f>VLOOKUP(Tabla3[[#This Row],[Site]],'Important Info!'!$A$1:$J$135,10,FALSE)</f>
        <v>https://tools.sig.systems/site/details/249</v>
      </c>
      <c r="I1785" s="43" t="s">
        <v>140</v>
      </c>
      <c r="J1785" t="s">
        <v>41</v>
      </c>
      <c r="K1785" s="79" t="str">
        <f>VLOOKUP(Tabla3[[#This Row],[Site]],'Important Info!'!$A$1:$H$135,8,FALSE)</f>
        <v>-</v>
      </c>
      <c r="L1785" s="52" t="str">
        <f>VLOOKUP(Tabla3[[#This Row],[Site]],'Important Info!'!$A$1:$F$135,2,FALSE)</f>
        <v>1, 4, 9, 14, 21</v>
      </c>
      <c r="M1785" s="52" t="str">
        <f>VLOOKUP(Tabla3[[#This Row],[Site]],'Important Info!'!$A$1:$F$135,3,FALSE)</f>
        <v>-</v>
      </c>
      <c r="N1785" s="52" t="str">
        <f>VLOOKUP(Tabla3[[#This Row],[Site]],'Important Info!'!$A$1:$F$135,4,FALSE)</f>
        <v>-</v>
      </c>
      <c r="O1785" s="52" t="str">
        <f>VLOOKUP(Tabla3[[#This Row],[Site]],'Important Info!'!$A$1:$F$135,5,FALSE)</f>
        <v>4, 14, 21</v>
      </c>
      <c r="P1785" s="52" t="str">
        <f>VLOOKUP(Tabla3[[#This Row],[Site]],'Important Info!'!$A$1:$F$135,6,FALSE)</f>
        <v>11, 12</v>
      </c>
      <c r="Q1785" s="91">
        <f>VLOOKUP(Tabla3[[#This Row],[Site]],'Important Info!'!$A$1:$J$135,9,FALSE)</f>
        <v>249</v>
      </c>
    </row>
    <row r="1786" spans="1:17" x14ac:dyDescent="0.25">
      <c r="A1786" t="str">
        <f>+Tabla3[[#This Row],[Site]]&amp;Tabla3[[#This Row],[Split]]</f>
        <v>(ML) Joe Machens Temporary 2.019</v>
      </c>
      <c r="B1786">
        <v>19</v>
      </c>
      <c r="C1786">
        <v>7</v>
      </c>
      <c r="D1786" t="s">
        <v>33</v>
      </c>
      <c r="E1786" t="s">
        <v>46</v>
      </c>
      <c r="F1786" t="s">
        <v>105</v>
      </c>
      <c r="G1786" t="s">
        <v>34</v>
      </c>
      <c r="H1786" s="52" t="str">
        <f>VLOOKUP(Tabla3[[#This Row],[Site]],'Important Info!'!$A$1:$J$135,10,FALSE)</f>
        <v>https://tools.sig.systems/site/details/278</v>
      </c>
      <c r="I1786" s="2" t="s">
        <v>146</v>
      </c>
      <c r="J1786" t="s">
        <v>41</v>
      </c>
      <c r="K1786" s="79" t="str">
        <f>VLOOKUP(Tabla3[[#This Row],[Site]],'Important Info!'!$A$1:$H$135,8,FALSE)</f>
        <v>-</v>
      </c>
      <c r="L1786" s="52" t="str">
        <f>VLOOKUP(Tabla3[[#This Row],[Site]],'Important Info!'!$A$1:$F$135,2,FALSE)</f>
        <v>-</v>
      </c>
      <c r="M1786" s="52" t="str">
        <f>VLOOKUP(Tabla3[[#This Row],[Site]],'Important Info!'!$A$1:$F$135,3,FALSE)</f>
        <v>1, 11, 14, 15, 16</v>
      </c>
      <c r="N1786" s="52" t="str">
        <f>VLOOKUP(Tabla3[[#This Row],[Site]],'Important Info!'!$A$1:$F$135,4,FALSE)</f>
        <v>-</v>
      </c>
      <c r="O1786" s="52">
        <f>VLOOKUP(Tabla3[[#This Row],[Site]],'Important Info!'!$A$1:$F$135,5,FALSE)</f>
        <v>13</v>
      </c>
      <c r="P1786" s="52" t="str">
        <f>VLOOKUP(Tabla3[[#This Row],[Site]],'Important Info!'!$A$1:$F$135,6,FALSE)</f>
        <v>-</v>
      </c>
      <c r="Q1786" s="91">
        <f>VLOOKUP(Tabla3[[#This Row],[Site]],'Important Info!'!$A$1:$J$135,9,FALSE)</f>
        <v>278</v>
      </c>
    </row>
    <row r="1787" spans="1:17" x14ac:dyDescent="0.25">
      <c r="A1787" t="str">
        <f>+Tabla3[[#This Row],[Site]]&amp;Tabla3[[#This Row],[Split]]</f>
        <v>(SCH) Auto Body Shop Lake Park19</v>
      </c>
      <c r="B1787">
        <v>19</v>
      </c>
      <c r="C1787">
        <v>7</v>
      </c>
      <c r="D1787" t="s">
        <v>62</v>
      </c>
      <c r="E1787" t="s">
        <v>35</v>
      </c>
      <c r="F1787" t="s">
        <v>189</v>
      </c>
      <c r="G1787" t="s">
        <v>490</v>
      </c>
      <c r="H1787" s="52" t="str">
        <f>VLOOKUP(Tabla3[[#This Row],[Site]],'Important Info!'!$A$1:$J$135,10,FALSE)</f>
        <v>https://tools.sig.systems/site/details/158</v>
      </c>
      <c r="I1787" s="43"/>
      <c r="J1787" t="s">
        <v>41</v>
      </c>
      <c r="K1787" s="79" t="str">
        <f>VLOOKUP(Tabla3[[#This Row],[Site]],'Important Info!'!$A$1:$H$135,8,FALSE)</f>
        <v>-</v>
      </c>
      <c r="L1787" s="52" t="str">
        <f>VLOOKUP(Tabla3[[#This Row],[Site]],'Important Info!'!$A$1:$F$135,2,FALSE)</f>
        <v>3, 10</v>
      </c>
      <c r="M1787" s="52" t="str">
        <f>VLOOKUP(Tabla3[[#This Row],[Site]],'Important Info!'!$A$1:$F$135,3,FALSE)</f>
        <v>-</v>
      </c>
      <c r="N1787" s="52" t="str">
        <f>VLOOKUP(Tabla3[[#This Row],[Site]],'Important Info!'!$A$1:$F$135,4,FALSE)</f>
        <v>-</v>
      </c>
      <c r="O1787" s="52" t="str">
        <f>VLOOKUP(Tabla3[[#This Row],[Site]],'Important Info!'!$A$1:$F$135,5,FALSE)</f>
        <v>-</v>
      </c>
      <c r="P1787" s="52" t="str">
        <f>VLOOKUP(Tabla3[[#This Row],[Site]],'Important Info!'!$A$1:$F$135,6,FALSE)</f>
        <v>-</v>
      </c>
      <c r="Q1787" s="91">
        <f>VLOOKUP(Tabla3[[#This Row],[Site]],'Important Info!'!$A$1:$J$135,9,FALSE)</f>
        <v>158</v>
      </c>
    </row>
    <row r="1788" spans="1:17" x14ac:dyDescent="0.25">
      <c r="A1788" t="str">
        <f>+Tabla3[[#This Row],[Site]]&amp;Tabla3[[#This Row],[Split]]</f>
        <v>(AS) Courtesy Honda Palm Harbor (NO TOURS)19</v>
      </c>
      <c r="B1788">
        <v>19</v>
      </c>
      <c r="C1788">
        <v>8</v>
      </c>
      <c r="D1788" t="s">
        <v>62</v>
      </c>
      <c r="E1788" t="s">
        <v>35</v>
      </c>
      <c r="F1788" t="s">
        <v>108</v>
      </c>
      <c r="G1788" t="s">
        <v>490</v>
      </c>
      <c r="H1788" s="52" t="str">
        <f>VLOOKUP(Tabla3[[#This Row],[Site]],'Important Info!'!$A$1:$J$135,10,FALSE)</f>
        <v>https://tools.sig.systems/site/details/176</v>
      </c>
      <c r="I1788" s="43"/>
      <c r="J1788" t="s">
        <v>36</v>
      </c>
      <c r="K1788" s="79" t="str">
        <f>VLOOKUP(Tabla3[[#This Row],[Site]],'Important Info!'!$A$1:$H$135,8,FALSE)</f>
        <v>-</v>
      </c>
      <c r="L1788" s="52">
        <f>VLOOKUP(Tabla3[[#This Row],[Site]],'Important Info!'!$A$1:$F$135,2,FALSE)</f>
        <v>2</v>
      </c>
      <c r="M1788" s="52" t="str">
        <f>VLOOKUP(Tabla3[[#This Row],[Site]],'Important Info!'!$A$1:$F$135,3,FALSE)</f>
        <v>-</v>
      </c>
      <c r="N1788" s="52" t="str">
        <f>VLOOKUP(Tabla3[[#This Row],[Site]],'Important Info!'!$A$1:$F$135,4,FALSE)</f>
        <v>-</v>
      </c>
      <c r="O1788" s="52" t="str">
        <f>VLOOKUP(Tabla3[[#This Row],[Site]],'Important Info!'!$A$1:$F$135,5,FALSE)</f>
        <v>4, 8, 21</v>
      </c>
      <c r="P1788" s="52">
        <f>VLOOKUP(Tabla3[[#This Row],[Site]],'Important Info!'!$A$1:$F$135,6,FALSE)</f>
        <v>10</v>
      </c>
      <c r="Q1788" s="91">
        <f>VLOOKUP(Tabla3[[#This Row],[Site]],'Important Info!'!$A$1:$J$135,9,FALSE)</f>
        <v>176</v>
      </c>
    </row>
    <row r="1789" spans="1:17" x14ac:dyDescent="0.25">
      <c r="A1789" t="str">
        <f>+Tabla3[[#This Row],[Site]]&amp;Tabla3[[#This Row],[Split]]</f>
        <v>(AS) Nalley Lexus &amp; Remote Lot Roswell (NO TOURS)19</v>
      </c>
      <c r="B1789">
        <v>19</v>
      </c>
      <c r="C1789">
        <v>8</v>
      </c>
      <c r="D1789" t="s">
        <v>60</v>
      </c>
      <c r="E1789" t="s">
        <v>35</v>
      </c>
      <c r="F1789" t="s">
        <v>511</v>
      </c>
      <c r="G1789" t="s">
        <v>41</v>
      </c>
      <c r="H1789" s="52" t="str">
        <f>VLOOKUP(Tabla3[[#This Row],[Site]],'Important Info!'!$A$1:$J$135,10,FALSE)</f>
        <v>https://tools.sig.systems/site/details/131</v>
      </c>
      <c r="I1789" s="2" t="s">
        <v>166</v>
      </c>
      <c r="J1789" t="s">
        <v>41</v>
      </c>
      <c r="K1789" s="79" t="str">
        <f>VLOOKUP(Tabla3[[#This Row],[Site]],'Important Info!'!$A$1:$H$135,8,FALSE)</f>
        <v>Dealership 11PM to 5AM (Mon to Fri). Sunday Drop Time 1PM</v>
      </c>
      <c r="L1789" s="52" t="str">
        <f>VLOOKUP(Tabla3[[#This Row],[Site]],'Important Info!'!$A$1:$F$135,2,FALSE)</f>
        <v>6, 13</v>
      </c>
      <c r="M1789" s="52">
        <f>VLOOKUP(Tabla3[[#This Row],[Site]],'Important Info!'!$A$1:$F$135,3,FALSE)</f>
        <v>4</v>
      </c>
      <c r="N1789" s="52">
        <f>VLOOKUP(Tabla3[[#This Row],[Site]],'Important Info!'!$A$1:$F$135,4,FALSE)</f>
        <v>1</v>
      </c>
      <c r="O1789" s="52" t="str">
        <f>VLOOKUP(Tabla3[[#This Row],[Site]],'Important Info!'!$A$1:$F$135,5,FALSE)</f>
        <v>1, 8, 19</v>
      </c>
      <c r="P1789" s="52" t="str">
        <f>VLOOKUP(Tabla3[[#This Row],[Site]],'Important Info!'!$A$1:$F$135,6,FALSE)</f>
        <v>4, 20</v>
      </c>
      <c r="Q1789" s="91">
        <f>VLOOKUP(Tabla3[[#This Row],[Site]],'Important Info!'!$A$1:$J$135,9,FALSE)</f>
        <v>131</v>
      </c>
    </row>
    <row r="1790" spans="1:17" x14ac:dyDescent="0.25">
      <c r="A1790" t="str">
        <f>+Tabla3[[#This Row],[Site]]&amp;Tabla3[[#This Row],[Split]]</f>
        <v>(AS) Park Place Bodywerks Dallas (NO TOURS)19</v>
      </c>
      <c r="B1790">
        <v>19</v>
      </c>
      <c r="C1790">
        <v>8</v>
      </c>
      <c r="D1790" t="s">
        <v>33</v>
      </c>
      <c r="E1790" t="s">
        <v>46</v>
      </c>
      <c r="F1790" t="s">
        <v>514</v>
      </c>
      <c r="G1790" t="s">
        <v>34</v>
      </c>
      <c r="H1790" s="52" t="str">
        <f>VLOOKUP(Tabla3[[#This Row],[Site]],'Important Info!'!$A$1:$J$135,10,FALSE)</f>
        <v>https://tools.sig.systems/site/details/166</v>
      </c>
      <c r="I1790" s="65" t="s">
        <v>125</v>
      </c>
      <c r="J1790" t="s">
        <v>41</v>
      </c>
      <c r="K1790" s="79" t="str">
        <f>VLOOKUP(Tabla3[[#This Row],[Site]],'Important Info!'!$A$1:$H$135,8,FALSE)</f>
        <v>-</v>
      </c>
      <c r="L1790" s="52">
        <f>VLOOKUP(Tabla3[[#This Row],[Site]],'Important Info!'!$A$1:$F$135,2,FALSE)</f>
        <v>3</v>
      </c>
      <c r="M1790" s="52">
        <f>VLOOKUP(Tabla3[[#This Row],[Site]],'Important Info!'!$A$1:$F$135,3,FALSE)</f>
        <v>1</v>
      </c>
      <c r="N1790" s="52" t="str">
        <f>VLOOKUP(Tabla3[[#This Row],[Site]],'Important Info!'!$A$1:$F$135,4,FALSE)</f>
        <v>-</v>
      </c>
      <c r="O1790" s="52" t="str">
        <f>VLOOKUP(Tabla3[[#This Row],[Site]],'Important Info!'!$A$1:$F$135,5,FALSE)</f>
        <v>-</v>
      </c>
      <c r="P1790" s="52" t="str">
        <f>VLOOKUP(Tabla3[[#This Row],[Site]],'Important Info!'!$A$1:$F$135,6,FALSE)</f>
        <v>1, 2, 8</v>
      </c>
      <c r="Q1790" s="91">
        <f>VLOOKUP(Tabla3[[#This Row],[Site]],'Important Info!'!$A$1:$J$135,9,FALSE)</f>
        <v>166</v>
      </c>
    </row>
    <row r="1791" spans="1:17" x14ac:dyDescent="0.25">
      <c r="A1791" t="str">
        <f>+Tabla3[[#This Row],[Site]]&amp;Tabla3[[#This Row],[Split]]</f>
        <v>(KG) Big Star Honda19</v>
      </c>
      <c r="B1791">
        <v>19</v>
      </c>
      <c r="C1791">
        <v>8</v>
      </c>
      <c r="D1791" t="s">
        <v>33</v>
      </c>
      <c r="E1791" t="s">
        <v>46</v>
      </c>
      <c r="F1791" t="s">
        <v>136</v>
      </c>
      <c r="G1791" t="s">
        <v>34</v>
      </c>
      <c r="H1791" s="52" t="str">
        <f>VLOOKUP(Tabla3[[#This Row],[Site]],'Important Info!'!$A$1:$J$135,10,FALSE)</f>
        <v>https://tools.sig.systems/site/details/231</v>
      </c>
      <c r="J1791" t="s">
        <v>41</v>
      </c>
      <c r="K1791" s="79" t="str">
        <f>VLOOKUP(Tabla3[[#This Row],[Site]],'Important Info!'!$A$1:$H$135,8,FALSE)</f>
        <v>-</v>
      </c>
      <c r="L1791" s="52" t="str">
        <f>VLOOKUP(Tabla3[[#This Row],[Site]],'Important Info!'!$A$1:$F$135,2,FALSE)</f>
        <v>2, 17, 33</v>
      </c>
      <c r="M1791" s="52" t="str">
        <f>VLOOKUP(Tabla3[[#This Row],[Site]],'Important Info!'!$A$1:$F$135,3,FALSE)</f>
        <v>-</v>
      </c>
      <c r="N1791" s="52" t="str">
        <f>VLOOKUP(Tabla3[[#This Row],[Site]],'Important Info!'!$A$1:$F$135,4,FALSE)</f>
        <v>-</v>
      </c>
      <c r="O1791" s="52" t="str">
        <f>VLOOKUP(Tabla3[[#This Row],[Site]],'Important Info!'!$A$1:$F$135,5,FALSE)</f>
        <v>3, 11, 16, 21, 24, 31, 34</v>
      </c>
      <c r="P1791" s="52" t="str">
        <f>VLOOKUP(Tabla3[[#This Row],[Site]],'Important Info!'!$A$1:$F$135,6,FALSE)</f>
        <v xml:space="preserve">2, 3, 17, 22, 37, 41, 42 </v>
      </c>
      <c r="Q1791" s="91">
        <f>VLOOKUP(Tabla3[[#This Row],[Site]],'Important Info!'!$A$1:$J$135,9,FALSE)</f>
        <v>231</v>
      </c>
    </row>
    <row r="1792" spans="1:17" x14ac:dyDescent="0.25">
      <c r="A1792" t="str">
        <f>+Tabla3[[#This Row],[Site]]&amp;Tabla3[[#This Row],[Split]]</f>
        <v>(ML) Collision Center N Little Rock19</v>
      </c>
      <c r="B1792">
        <v>19</v>
      </c>
      <c r="C1792">
        <v>8</v>
      </c>
      <c r="D1792" t="s">
        <v>33</v>
      </c>
      <c r="E1792" t="s">
        <v>46</v>
      </c>
      <c r="F1792" t="s">
        <v>141</v>
      </c>
      <c r="G1792" t="s">
        <v>34</v>
      </c>
      <c r="H1792" s="52" t="str">
        <f>VLOOKUP(Tabla3[[#This Row],[Site]],'Important Info!'!$A$1:$J$135,10,FALSE)</f>
        <v>https://tools.sig.systems/site/details/212</v>
      </c>
      <c r="I1792" s="2" t="s">
        <v>142</v>
      </c>
      <c r="J1792" t="s">
        <v>41</v>
      </c>
      <c r="K1792" s="79" t="str">
        <f>VLOOKUP(Tabla3[[#This Row],[Site]],'Important Info!'!$A$1:$H$135,8,FALSE)</f>
        <v>-</v>
      </c>
      <c r="L1792" s="52" t="str">
        <f>VLOOKUP(Tabla3[[#This Row],[Site]],'Important Info!'!$A$1:$F$135,2,FALSE)</f>
        <v>-</v>
      </c>
      <c r="M1792" s="52" t="str">
        <f>VLOOKUP(Tabla3[[#This Row],[Site]],'Important Info!'!$A$1:$F$135,3,FALSE)</f>
        <v>-</v>
      </c>
      <c r="N1792" s="52" t="str">
        <f>VLOOKUP(Tabla3[[#This Row],[Site]],'Important Info!'!$A$1:$F$135,4,FALSE)</f>
        <v>-</v>
      </c>
      <c r="O1792" s="52" t="str">
        <f>VLOOKUP(Tabla3[[#This Row],[Site]],'Important Info!'!$A$1:$F$135,5,FALSE)</f>
        <v>-</v>
      </c>
      <c r="P1792" s="52" t="str">
        <f>VLOOKUP(Tabla3[[#This Row],[Site]],'Important Info!'!$A$1:$F$135,6,FALSE)</f>
        <v>1, 3, 7, 8</v>
      </c>
      <c r="Q1792" s="91">
        <f>VLOOKUP(Tabla3[[#This Row],[Site]],'Important Info!'!$A$1:$J$135,9,FALSE)</f>
        <v>212</v>
      </c>
    </row>
    <row r="1793" spans="1:17" x14ac:dyDescent="0.25">
      <c r="A1793" t="str">
        <f>+Tabla3[[#This Row],[Site]]&amp;Tabla3[[#This Row],[Split]]</f>
        <v>(ML) Joe Machens Nissan19</v>
      </c>
      <c r="B1793">
        <v>19</v>
      </c>
      <c r="C1793">
        <v>8</v>
      </c>
      <c r="D1793" t="s">
        <v>33</v>
      </c>
      <c r="E1793" t="s">
        <v>46</v>
      </c>
      <c r="F1793" t="s">
        <v>104</v>
      </c>
      <c r="G1793" t="s">
        <v>34</v>
      </c>
      <c r="H1793" s="52" t="str">
        <f>VLOOKUP(Tabla3[[#This Row],[Site]],'Important Info!'!$A$1:$J$135,10,FALSE)</f>
        <v>https://tools.sig.systems/site/details/279</v>
      </c>
      <c r="I1793" s="43" t="s">
        <v>146</v>
      </c>
      <c r="J1793" t="s">
        <v>41</v>
      </c>
      <c r="K1793" s="79" t="str">
        <f>VLOOKUP(Tabla3[[#This Row],[Site]],'Important Info!'!$A$1:$H$135,8,FALSE)</f>
        <v>-</v>
      </c>
      <c r="L1793" s="52" t="str">
        <f>VLOOKUP(Tabla3[[#This Row],[Site]],'Important Info!'!$A$1:$F$135,2,FALSE)</f>
        <v>-</v>
      </c>
      <c r="M1793" s="52" t="str">
        <f>VLOOKUP(Tabla3[[#This Row],[Site]],'Important Info!'!$A$1:$F$135,3,FALSE)</f>
        <v>1, 3, 16</v>
      </c>
      <c r="N1793" s="52" t="str">
        <f>VLOOKUP(Tabla3[[#This Row],[Site]],'Important Info!'!$A$1:$F$135,4,FALSE)</f>
        <v>-</v>
      </c>
      <c r="O1793" s="52" t="str">
        <f>VLOOKUP(Tabla3[[#This Row],[Site]],'Important Info!'!$A$1:$F$135,5,FALSE)</f>
        <v>-</v>
      </c>
      <c r="P1793" s="52" t="str">
        <f>VLOOKUP(Tabla3[[#This Row],[Site]],'Important Info!'!$A$1:$F$135,6,FALSE)</f>
        <v>-</v>
      </c>
      <c r="Q1793" s="91">
        <f>VLOOKUP(Tabla3[[#This Row],[Site]],'Important Info!'!$A$1:$J$135,9,FALSE)</f>
        <v>279</v>
      </c>
    </row>
    <row r="1794" spans="1:17" x14ac:dyDescent="0.25">
      <c r="A1794" t="str">
        <f>+Tabla3[[#This Row],[Site]]&amp;Tabla3[[#This Row],[Split]]</f>
        <v>(AS) Park Place MB Recon Center Dallas (NO TOURS)19</v>
      </c>
      <c r="B1794">
        <v>19</v>
      </c>
      <c r="C1794">
        <v>9</v>
      </c>
      <c r="D1794" t="s">
        <v>33</v>
      </c>
      <c r="E1794" t="s">
        <v>46</v>
      </c>
      <c r="F1794" t="s">
        <v>517</v>
      </c>
      <c r="G1794" t="s">
        <v>34</v>
      </c>
      <c r="H1794" s="52" t="str">
        <f>VLOOKUP(Tabla3[[#This Row],[Site]],'Important Info!'!$A$1:$J$135,10,FALSE)</f>
        <v>https://tools.sig.systems/site/details/170</v>
      </c>
      <c r="I1794" s="65" t="s">
        <v>125</v>
      </c>
      <c r="J1794" t="s">
        <v>41</v>
      </c>
      <c r="K1794" s="79" t="str">
        <f>VLOOKUP(Tabla3[[#This Row],[Site]],'Important Info!'!$A$1:$H$135,8,FALSE)</f>
        <v>-</v>
      </c>
      <c r="L1794" s="52" t="str">
        <f>VLOOKUP(Tabla3[[#This Row],[Site]],'Important Info!'!$A$1:$F$135,2,FALSE)</f>
        <v>3, 39</v>
      </c>
      <c r="M1794" s="52" t="str">
        <f>VLOOKUP(Tabla3[[#This Row],[Site]],'Important Info!'!$A$1:$F$135,3,FALSE)</f>
        <v>-</v>
      </c>
      <c r="N1794" s="52" t="str">
        <f>VLOOKUP(Tabla3[[#This Row],[Site]],'Important Info!'!$A$1:$F$135,4,FALSE)</f>
        <v>-</v>
      </c>
      <c r="O1794" s="52" t="str">
        <f>VLOOKUP(Tabla3[[#This Row],[Site]],'Important Info!'!$A$1:$F$135,5,FALSE)</f>
        <v>4, 11</v>
      </c>
      <c r="P1794" s="52">
        <f>VLOOKUP(Tabla3[[#This Row],[Site]],'Important Info!'!$A$1:$F$135,6,FALSE)</f>
        <v>1</v>
      </c>
      <c r="Q1794" s="91">
        <f>VLOOKUP(Tabla3[[#This Row],[Site]],'Important Info!'!$A$1:$J$135,9,FALSE)</f>
        <v>170</v>
      </c>
    </row>
    <row r="1795" spans="1:17" x14ac:dyDescent="0.25">
      <c r="A1795" t="str">
        <f>+Tabla3[[#This Row],[Site]]&amp;Tabla3[[#This Row],[Split]]</f>
        <v>(AS) Stevinson Lexus of Lakewood (NO TOURS)19</v>
      </c>
      <c r="B1795">
        <v>19</v>
      </c>
      <c r="C1795">
        <v>9</v>
      </c>
      <c r="D1795" t="s">
        <v>44</v>
      </c>
      <c r="E1795" t="s">
        <v>53</v>
      </c>
      <c r="F1795" t="s">
        <v>523</v>
      </c>
      <c r="G1795" t="s">
        <v>45</v>
      </c>
      <c r="H1795" s="52" t="str">
        <f>VLOOKUP(Tabla3[[#This Row],[Site]],'Important Info!'!$A$1:$J$135,10,FALSE)</f>
        <v>https://tools.sig.systems/site/details/260</v>
      </c>
      <c r="I1795" s="43" t="s">
        <v>154</v>
      </c>
      <c r="J1795" t="s">
        <v>41</v>
      </c>
      <c r="K1795" s="79" t="str">
        <f>VLOOKUP(Tabla3[[#This Row],[Site]],'Important Info!'!$A$1:$H$135,8,FALSE)</f>
        <v>-</v>
      </c>
      <c r="L1795" s="52" t="str">
        <f>VLOOKUP(Tabla3[[#This Row],[Site]],'Important Info!'!$A$1:$F$135,2,FALSE)</f>
        <v>-</v>
      </c>
      <c r="M1795" s="52" t="str">
        <f>VLOOKUP(Tabla3[[#This Row],[Site]],'Important Info!'!$A$1:$F$135,3,FALSE)</f>
        <v>2, 10</v>
      </c>
      <c r="N1795" s="52" t="str">
        <f>VLOOKUP(Tabla3[[#This Row],[Site]],'Important Info!'!$A$1:$F$135,4,FALSE)</f>
        <v>9, 17</v>
      </c>
      <c r="O1795" s="52" t="str">
        <f>VLOOKUP(Tabla3[[#This Row],[Site]],'Important Info!'!$A$1:$F$135,5,FALSE)</f>
        <v>-</v>
      </c>
      <c r="P1795" s="52" t="str">
        <f>VLOOKUP(Tabla3[[#This Row],[Site]],'Important Info!'!$A$1:$F$135,6,FALSE)</f>
        <v>1, 2</v>
      </c>
      <c r="Q1795" s="91">
        <f>VLOOKUP(Tabla3[[#This Row],[Site]],'Important Info!'!$A$1:$J$135,9,FALSE)</f>
        <v>260</v>
      </c>
    </row>
    <row r="1796" spans="1:17" x14ac:dyDescent="0.25">
      <c r="A1796" t="str">
        <f>+Tabla3[[#This Row],[Site]]&amp;Tabla3[[#This Row],[Split]]</f>
        <v>(ML) Joe Machens Ford Lincoln I &amp; II19</v>
      </c>
      <c r="B1796">
        <v>19</v>
      </c>
      <c r="C1796">
        <v>9</v>
      </c>
      <c r="D1796" t="s">
        <v>33</v>
      </c>
      <c r="E1796" t="s">
        <v>46</v>
      </c>
      <c r="F1796" t="s">
        <v>148</v>
      </c>
      <c r="G1796" t="s">
        <v>34</v>
      </c>
      <c r="H1796" s="52" t="str">
        <f>VLOOKUP(Tabla3[[#This Row],[Site]],'Important Info!'!$A$1:$J$135,10,FALSE)</f>
        <v>https://tools.sig.systems/site/details/266</v>
      </c>
      <c r="I1796" s="43" t="s">
        <v>146</v>
      </c>
      <c r="J1796" t="s">
        <v>41</v>
      </c>
      <c r="K1796" s="79" t="str">
        <f>VLOOKUP(Tabla3[[#This Row],[Site]],'Important Info!'!$A$1:$H$135,8,FALSE)</f>
        <v>-</v>
      </c>
      <c r="L1796" s="52" t="str">
        <f>VLOOKUP(Tabla3[[#This Row],[Site]],'Important Info!'!$A$1:$F$135,2,FALSE)</f>
        <v>-</v>
      </c>
      <c r="M1796" s="52" t="str">
        <f>VLOOKUP(Tabla3[[#This Row],[Site]],'Important Info!'!$A$1:$F$135,3,FALSE)</f>
        <v>4, 6, 9, 13, 14, 17, 26, 27, 28, 29, 30</v>
      </c>
      <c r="N1796" s="52" t="str">
        <f>VLOOKUP(Tabla3[[#This Row],[Site]],'Important Info!'!$A$1:$F$135,4,FALSE)</f>
        <v>-</v>
      </c>
      <c r="O1796" s="52" t="str">
        <f>VLOOKUP(Tabla3[[#This Row],[Site]],'Important Info!'!$A$1:$F$135,5,FALSE)</f>
        <v>23, 40, 49</v>
      </c>
      <c r="P1796" s="52" t="str">
        <f>VLOOKUP(Tabla3[[#This Row],[Site]],'Important Info!'!$A$1:$F$135,6,FALSE)</f>
        <v>-</v>
      </c>
      <c r="Q1796" s="91">
        <f>VLOOKUP(Tabla3[[#This Row],[Site]],'Important Info!'!$A$1:$J$135,9,FALSE)</f>
        <v>266</v>
      </c>
    </row>
    <row r="1797" spans="1:17" x14ac:dyDescent="0.25">
      <c r="A1797" t="str">
        <f>+Tabla3[[#This Row],[Site]]&amp;Tabla3[[#This Row],[Split]]</f>
        <v>(ML) Joe Machens Kia of Columbia19</v>
      </c>
      <c r="B1797">
        <v>19</v>
      </c>
      <c r="C1797">
        <v>9</v>
      </c>
      <c r="D1797" t="s">
        <v>33</v>
      </c>
      <c r="E1797" t="s">
        <v>46</v>
      </c>
      <c r="F1797" t="s">
        <v>149</v>
      </c>
      <c r="G1797" t="s">
        <v>34</v>
      </c>
      <c r="H1797" s="52" t="str">
        <f>VLOOKUP(Tabla3[[#This Row],[Site]],'Important Info!'!$A$1:$J$135,10,FALSE)</f>
        <v>https://tools.sig.systems/site/details/270</v>
      </c>
      <c r="I1797" s="2" t="s">
        <v>146</v>
      </c>
      <c r="J1797" t="s">
        <v>41</v>
      </c>
      <c r="K1797" s="79" t="str">
        <f>VLOOKUP(Tabla3[[#This Row],[Site]],'Important Info!'!$A$1:$H$135,8,FALSE)</f>
        <v>-</v>
      </c>
      <c r="L1797" s="52" t="str">
        <f>VLOOKUP(Tabla3[[#This Row],[Site]],'Important Info!'!$A$1:$F$135,2,FALSE)</f>
        <v>-</v>
      </c>
      <c r="M1797" s="52" t="str">
        <f>VLOOKUP(Tabla3[[#This Row],[Site]],'Important Info!'!$A$1:$F$135,3,FALSE)</f>
        <v>1, 2, 5, 6, 9, 13, 15</v>
      </c>
      <c r="N1797" s="52" t="str">
        <f>VLOOKUP(Tabla3[[#This Row],[Site]],'Important Info!'!$A$1:$F$135,4,FALSE)</f>
        <v>-</v>
      </c>
      <c r="O1797" s="52" t="str">
        <f>VLOOKUP(Tabla3[[#This Row],[Site]],'Important Info!'!$A$1:$F$135,5,FALSE)</f>
        <v>-</v>
      </c>
      <c r="P1797" s="52" t="str">
        <f>VLOOKUP(Tabla3[[#This Row],[Site]],'Important Info!'!$A$1:$F$135,6,FALSE)</f>
        <v>10, 11, 13</v>
      </c>
      <c r="Q1797" s="91">
        <f>VLOOKUP(Tabla3[[#This Row],[Site]],'Important Info!'!$A$1:$J$135,9,FALSE)</f>
        <v>270</v>
      </c>
    </row>
    <row r="1798" spans="1:17" x14ac:dyDescent="0.25">
      <c r="A1798" t="str">
        <f>+Tabla3[[#This Row],[Site]]&amp;Tabla3[[#This Row],[Split]]</f>
        <v>(SCH) Delray I &amp; II19</v>
      </c>
      <c r="B1798">
        <v>19</v>
      </c>
      <c r="C1798">
        <v>9</v>
      </c>
      <c r="D1798" t="s">
        <v>62</v>
      </c>
      <c r="E1798" t="s">
        <v>35</v>
      </c>
      <c r="F1798" t="s">
        <v>67</v>
      </c>
      <c r="G1798" t="s">
        <v>490</v>
      </c>
      <c r="H1798" s="52" t="str">
        <f>VLOOKUP(Tabla3[[#This Row],[Site]],'Important Info!'!$A$1:$J$135,10,FALSE)</f>
        <v>https://tools.sig.systems/site/details/159</v>
      </c>
      <c r="I1798" s="2"/>
      <c r="J1798" t="s">
        <v>36</v>
      </c>
      <c r="K1798" s="79" t="str">
        <f>VLOOKUP(Tabla3[[#This Row],[Site]],'Important Info!'!$A$1:$H$135,8,FALSE)</f>
        <v>-</v>
      </c>
      <c r="L1798" s="52" t="str">
        <f>VLOOKUP(Tabla3[[#This Row],[Site]],'Important Info!'!$A$1:$F$135,2,FALSE)</f>
        <v>5, 28, 31</v>
      </c>
      <c r="M1798" s="52" t="str">
        <f>VLOOKUP(Tabla3[[#This Row],[Site]],'Important Info!'!$A$1:$F$135,3,FALSE)</f>
        <v>1, 29</v>
      </c>
      <c r="N1798" s="52">
        <f>VLOOKUP(Tabla3[[#This Row],[Site]],'Important Info!'!$A$1:$F$135,4,FALSE)</f>
        <v>6</v>
      </c>
      <c r="O1798" s="52" t="str">
        <f>VLOOKUP(Tabla3[[#This Row],[Site]],'Important Info!'!$A$1:$F$135,5,FALSE)</f>
        <v>-</v>
      </c>
      <c r="P1798" s="52" t="str">
        <f>VLOOKUP(Tabla3[[#This Row],[Site]],'Important Info!'!$A$1:$F$135,6,FALSE)</f>
        <v>1, 35, 36</v>
      </c>
      <c r="Q1798" s="91">
        <f>VLOOKUP(Tabla3[[#This Row],[Site]],'Important Info!'!$A$1:$J$135,9,FALSE)</f>
        <v>159</v>
      </c>
    </row>
    <row r="1799" spans="1:17" x14ac:dyDescent="0.25">
      <c r="A1799" t="str">
        <f>+Tabla3[[#This Row],[Site]]&amp;Tabla3[[#This Row],[Split]]</f>
        <v>(SCH) West Palm Beach I, II &amp; III19</v>
      </c>
      <c r="B1799">
        <v>19</v>
      </c>
      <c r="C1799">
        <v>10</v>
      </c>
      <c r="D1799" t="s">
        <v>492</v>
      </c>
      <c r="E1799" t="s">
        <v>35</v>
      </c>
      <c r="F1799" t="s">
        <v>96</v>
      </c>
      <c r="G1799" t="s">
        <v>490</v>
      </c>
      <c r="H1799" s="52" t="str">
        <f>VLOOKUP(Tabla3[[#This Row],[Site]],'Important Info!'!$A$1:$J$135,10,FALSE)</f>
        <v>https://tools.sig.systems/site/details/162</v>
      </c>
      <c r="I1799" s="2"/>
      <c r="J1799" t="s">
        <v>36</v>
      </c>
      <c r="K1799" s="79" t="str">
        <f>VLOOKUP(Tabla3[[#This Row],[Site]],'Important Info!'!$A$1:$H$135,8,FALSE)</f>
        <v>SUNDAY: Log in at 5:30 p.m. ET.</v>
      </c>
      <c r="L1799" s="52" t="str">
        <f>VLOOKUP(Tabla3[[#This Row],[Site]],'Important Info!'!$A$1:$F$135,2,FALSE)</f>
        <v>34, 62</v>
      </c>
      <c r="M1799" s="52" t="str">
        <f>VLOOKUP(Tabla3[[#This Row],[Site]],'Important Info!'!$A$1:$F$135,3,FALSE)</f>
        <v xml:space="preserve">6, 7, 11, 13, </v>
      </c>
      <c r="N1799" s="52" t="str">
        <f>VLOOKUP(Tabla3[[#This Row],[Site]],'Important Info!'!$A$1:$F$135,4,FALSE)</f>
        <v>20, 21</v>
      </c>
      <c r="O1799" s="52" t="str">
        <f>VLOOKUP(Tabla3[[#This Row],[Site]],'Important Info!'!$A$1:$F$135,5,FALSE)</f>
        <v>-</v>
      </c>
      <c r="P1799" s="52" t="str">
        <f>VLOOKUP(Tabla3[[#This Row],[Site]],'Important Info!'!$A$1:$F$135,6,FALSE)</f>
        <v>1, 2, 3, 131, 132</v>
      </c>
      <c r="Q1799" s="91">
        <f>VLOOKUP(Tabla3[[#This Row],[Site]],'Important Info!'!$A$1:$J$135,9,FALSE)</f>
        <v>162</v>
      </c>
    </row>
    <row r="1800" spans="1:17" x14ac:dyDescent="0.25">
      <c r="A1800" t="str">
        <f>+Tabla3[[#This Row],[Site]]&amp;Tabla3[[#This Row],[Split]]</f>
        <v>(WAG) Greeley Chrysler Dodge Jeep Ram (NO TOURS)19</v>
      </c>
      <c r="B1800">
        <v>19</v>
      </c>
      <c r="C1800">
        <v>10</v>
      </c>
      <c r="D1800" t="s">
        <v>44</v>
      </c>
      <c r="E1800" t="s">
        <v>53</v>
      </c>
      <c r="F1800" t="s">
        <v>497</v>
      </c>
      <c r="G1800" t="s">
        <v>45</v>
      </c>
      <c r="H1800" s="52" t="str">
        <f>VLOOKUP(Tabla3[[#This Row],[Site]],'Important Info!'!$A$1:$J$135,10,FALSE)</f>
        <v>https://tools.sig.systems/site/details/130</v>
      </c>
      <c r="I1800" s="2" t="s">
        <v>153</v>
      </c>
      <c r="J1800" t="s">
        <v>41</v>
      </c>
      <c r="K1800" s="79" t="str">
        <f>VLOOKUP(Tabla3[[#This Row],[Site]],'Important Info!'!$A$1:$H$135,8,FALSE)</f>
        <v>-</v>
      </c>
      <c r="L1800" s="52" t="str">
        <f>VLOOKUP(Tabla3[[#This Row],[Site]],'Important Info!'!$A$1:$F$135,2,FALSE)</f>
        <v>17, 23 &amp; 18</v>
      </c>
      <c r="M1800" s="52" t="str">
        <f>VLOOKUP(Tabla3[[#This Row],[Site]],'Important Info!'!$A$1:$F$135,3,FALSE)</f>
        <v>4, 5, 6, 7, 8, 51, 55</v>
      </c>
      <c r="N1800" s="52" t="str">
        <f>VLOOKUP(Tabla3[[#This Row],[Site]],'Important Info!'!$A$1:$F$135,4,FALSE)</f>
        <v>-</v>
      </c>
      <c r="O1800" s="52" t="str">
        <f>VLOOKUP(Tabla3[[#This Row],[Site]],'Important Info!'!$A$1:$F$135,5,FALSE)</f>
        <v>3, 13, 17, 49, 53, 59</v>
      </c>
      <c r="P1800" s="52" t="str">
        <f>VLOOKUP(Tabla3[[#This Row],[Site]],'Important Info!'!$A$1:$F$135,6,FALSE)</f>
        <v>8, 9, 10, 51, 62</v>
      </c>
      <c r="Q1800" s="91">
        <f>VLOOKUP(Tabla3[[#This Row],[Site]],'Important Info!'!$A$1:$J$135,9,FALSE)</f>
        <v>130</v>
      </c>
    </row>
    <row r="1801" spans="1:17" x14ac:dyDescent="0.25">
      <c r="A1801" t="str">
        <f>+Tabla3[[#This Row],[Site]]&amp;Tabla3[[#This Row],[Split]]</f>
        <v>(AS) David McDavid Lincoln Frisco (NO TOURS)19</v>
      </c>
      <c r="B1801">
        <v>19</v>
      </c>
      <c r="C1801">
        <v>11</v>
      </c>
      <c r="D1801" t="s">
        <v>33</v>
      </c>
      <c r="E1801" t="s">
        <v>46</v>
      </c>
      <c r="F1801" t="s">
        <v>507</v>
      </c>
      <c r="G1801" t="s">
        <v>34</v>
      </c>
      <c r="H1801" s="52" t="str">
        <f>VLOOKUP(Tabla3[[#This Row],[Site]],'Important Info!'!$A$1:$J$135,10,FALSE)</f>
        <v>https://tools.sig.systems/site/details/182</v>
      </c>
      <c r="I1801" s="43"/>
      <c r="J1801" t="s">
        <v>41</v>
      </c>
      <c r="K1801" s="79" t="str">
        <f>VLOOKUP(Tabla3[[#This Row],[Site]],'Important Info!'!$A$1:$H$135,8,FALSE)</f>
        <v>-</v>
      </c>
      <c r="L1801" s="52" t="str">
        <f>VLOOKUP(Tabla3[[#This Row],[Site]],'Important Info!'!$A$1:$F$135,2,FALSE)</f>
        <v>1, 2, 11</v>
      </c>
      <c r="M1801" s="52" t="str">
        <f>VLOOKUP(Tabla3[[#This Row],[Site]],'Important Info!'!$A$1:$F$135,3,FALSE)</f>
        <v>-</v>
      </c>
      <c r="N1801" s="52" t="str">
        <f>VLOOKUP(Tabla3[[#This Row],[Site]],'Important Info!'!$A$1:$F$135,4,FALSE)</f>
        <v>-</v>
      </c>
      <c r="O1801" s="52" t="str">
        <f>VLOOKUP(Tabla3[[#This Row],[Site]],'Important Info!'!$A$1:$F$135,5,FALSE)</f>
        <v>11, 16, 20</v>
      </c>
      <c r="P1801" s="52" t="str">
        <f>VLOOKUP(Tabla3[[#This Row],[Site]],'Important Info!'!$A$1:$F$135,6,FALSE)</f>
        <v>11, 12, 13, 14</v>
      </c>
      <c r="Q1801" s="91">
        <f>VLOOKUP(Tabla3[[#This Row],[Site]],'Important Info!'!$A$1:$J$135,9,FALSE)</f>
        <v>182</v>
      </c>
    </row>
    <row r="1802" spans="1:17" x14ac:dyDescent="0.25">
      <c r="A1802" t="str">
        <f>+Tabla3[[#This Row],[Site]]&amp;Tabla3[[#This Row],[Split]]</f>
        <v>(AS) Lexus Smyrna (NO TOURS)19</v>
      </c>
      <c r="B1802">
        <v>19</v>
      </c>
      <c r="C1802">
        <v>11</v>
      </c>
      <c r="D1802" t="s">
        <v>62</v>
      </c>
      <c r="E1802" t="s">
        <v>35</v>
      </c>
      <c r="F1802" t="s">
        <v>84</v>
      </c>
      <c r="G1802" t="s">
        <v>490</v>
      </c>
      <c r="H1802" s="52" t="str">
        <f>VLOOKUP(Tabla3[[#This Row],[Site]],'Important Info!'!$A$1:$J$135,10,FALSE)</f>
        <v>https://tools.sig.systems/site/details/133</v>
      </c>
      <c r="I1802" s="43"/>
      <c r="J1802" t="s">
        <v>41</v>
      </c>
      <c r="K1802" s="79" t="str">
        <f>VLOOKUP(Tabla3[[#This Row],[Site]],'Important Info!'!$A$1:$H$135,8,FALSE)</f>
        <v>-</v>
      </c>
      <c r="L1802" s="52" t="str">
        <f>VLOOKUP(Tabla3[[#This Row],[Site]],'Important Info!'!$A$1:$F$135,2,FALSE)</f>
        <v xml:space="preserve">2, 6, 10 </v>
      </c>
      <c r="M1802" s="52" t="str">
        <f>VLOOKUP(Tabla3[[#This Row],[Site]],'Important Info!'!$A$1:$F$135,3,FALSE)</f>
        <v>-</v>
      </c>
      <c r="N1802" s="52" t="str">
        <f>VLOOKUP(Tabla3[[#This Row],[Site]],'Important Info!'!$A$1:$F$135,4,FALSE)</f>
        <v>-</v>
      </c>
      <c r="O1802" s="52" t="str">
        <f>VLOOKUP(Tabla3[[#This Row],[Site]],'Important Info!'!$A$1:$F$135,5,FALSE)</f>
        <v>3, 5, 10, 15</v>
      </c>
      <c r="P1802" s="52" t="str">
        <f>VLOOKUP(Tabla3[[#This Row],[Site]],'Important Info!'!$A$1:$F$135,6,FALSE)</f>
        <v>10, 11</v>
      </c>
      <c r="Q1802" s="91">
        <f>VLOOKUP(Tabla3[[#This Row],[Site]],'Important Info!'!$A$1:$J$135,9,FALSE)</f>
        <v>133</v>
      </c>
    </row>
    <row r="1803" spans="1:17" x14ac:dyDescent="0.25">
      <c r="A1803" t="str">
        <f>+Tabla3[[#This Row],[Site]]&amp;Tabla3[[#This Row],[Split]]</f>
        <v>(AS) Mike Shaw Subaru Greeley (NO TOURS)19</v>
      </c>
      <c r="B1803">
        <v>19</v>
      </c>
      <c r="C1803">
        <v>11</v>
      </c>
      <c r="D1803" t="s">
        <v>44</v>
      </c>
      <c r="E1803" t="s">
        <v>53</v>
      </c>
      <c r="F1803" t="s">
        <v>95</v>
      </c>
      <c r="G1803" t="s">
        <v>45</v>
      </c>
      <c r="H1803" s="52" t="str">
        <f>VLOOKUP(Tabla3[[#This Row],[Site]],'Important Info!'!$A$1:$J$135,10,FALSE)</f>
        <v>https://tools.sig.systems/site/details/174</v>
      </c>
      <c r="I1803" s="2" t="s">
        <v>153</v>
      </c>
      <c r="J1803" t="s">
        <v>41</v>
      </c>
      <c r="K1803" s="79" t="str">
        <f>VLOOKUP(Tabla3[[#This Row],[Site]],'Important Info!'!$A$1:$H$135,8,FALSE)</f>
        <v>-</v>
      </c>
      <c r="L1803" s="52" t="str">
        <f>VLOOKUP(Tabla3[[#This Row],[Site]],'Important Info!'!$A$1:$F$135,2,FALSE)</f>
        <v>16, 17</v>
      </c>
      <c r="M1803" s="52">
        <f>VLOOKUP(Tabla3[[#This Row],[Site]],'Important Info!'!$A$1:$F$135,3,FALSE)</f>
        <v>10</v>
      </c>
      <c r="N1803" s="52" t="str">
        <f>VLOOKUP(Tabla3[[#This Row],[Site]],'Important Info!'!$A$1:$F$135,4,FALSE)</f>
        <v>-</v>
      </c>
      <c r="O1803" s="52" t="str">
        <f>VLOOKUP(Tabla3[[#This Row],[Site]],'Important Info!'!$A$1:$F$135,5,FALSE)</f>
        <v>1, 7</v>
      </c>
      <c r="P1803" s="52" t="str">
        <f>VLOOKUP(Tabla3[[#This Row],[Site]],'Important Info!'!$A$1:$F$135,6,FALSE)</f>
        <v>-</v>
      </c>
      <c r="Q1803" s="91">
        <f>VLOOKUP(Tabla3[[#This Row],[Site]],'Important Info!'!$A$1:$J$135,9,FALSE)</f>
        <v>174</v>
      </c>
    </row>
    <row r="1804" spans="1:17" x14ac:dyDescent="0.25">
      <c r="A1804" t="str">
        <f>+Tabla3[[#This Row],[Site]]&amp;Tabla3[[#This Row],[Split]]</f>
        <v>(ML) Mazda VW-Lot B19</v>
      </c>
      <c r="B1804">
        <v>19</v>
      </c>
      <c r="C1804">
        <v>11</v>
      </c>
      <c r="D1804" t="s">
        <v>33</v>
      </c>
      <c r="E1804" t="s">
        <v>46</v>
      </c>
      <c r="F1804" t="s">
        <v>9</v>
      </c>
      <c r="G1804" t="s">
        <v>34</v>
      </c>
      <c r="H1804" s="52" t="str">
        <f>VLOOKUP(Tabla3[[#This Row],[Site]],'Important Info!'!$A$1:$J$135,10,FALSE)</f>
        <v>https://tools.sig.systems/site/details/205</v>
      </c>
      <c r="I1804" s="2" t="s">
        <v>142</v>
      </c>
      <c r="J1804" t="s">
        <v>41</v>
      </c>
      <c r="K1804" s="79" t="str">
        <f>VLOOKUP(Tabla3[[#This Row],[Site]],'Important Info!'!$A$1:$H$135,8,FALSE)</f>
        <v>-</v>
      </c>
      <c r="L1804" s="52" t="str">
        <f>VLOOKUP(Tabla3[[#This Row],[Site]],'Important Info!'!$A$1:$F$135,2,FALSE)</f>
        <v>9, 14, 16</v>
      </c>
      <c r="M1804" s="52">
        <f>VLOOKUP(Tabla3[[#This Row],[Site]],'Important Info!'!$A$1:$F$135,3,FALSE)</f>
        <v>1</v>
      </c>
      <c r="N1804" s="52" t="str">
        <f>VLOOKUP(Tabla3[[#This Row],[Site]],'Important Info!'!$A$1:$F$135,4,FALSE)</f>
        <v>-</v>
      </c>
      <c r="O1804" s="52">
        <f>VLOOKUP(Tabla3[[#This Row],[Site]],'Important Info!'!$A$1:$F$135,5,FALSE)</f>
        <v>4</v>
      </c>
      <c r="P1804" s="52" t="str">
        <f>VLOOKUP(Tabla3[[#This Row],[Site]],'Important Info!'!$A$1:$F$135,6,FALSE)</f>
        <v>-</v>
      </c>
      <c r="Q1804" s="91">
        <f>VLOOKUP(Tabla3[[#This Row],[Site]],'Important Info!'!$A$1:$J$135,9,FALSE)</f>
        <v>205</v>
      </c>
    </row>
    <row r="1805" spans="1:17" x14ac:dyDescent="0.25">
      <c r="A1805" t="str">
        <f>+Tabla3[[#This Row],[Site]]&amp;Tabla3[[#This Row],[Split]]</f>
        <v>(ML) Volvo Collision Corp19</v>
      </c>
      <c r="B1805">
        <v>19</v>
      </c>
      <c r="C1805">
        <v>11</v>
      </c>
      <c r="D1805" t="s">
        <v>33</v>
      </c>
      <c r="E1805" t="s">
        <v>46</v>
      </c>
      <c r="F1805" t="s">
        <v>106</v>
      </c>
      <c r="G1805" t="s">
        <v>34</v>
      </c>
      <c r="H1805" s="52" t="str">
        <f>VLOOKUP(Tabla3[[#This Row],[Site]],'Important Info!'!$A$1:$J$135,10,FALSE)</f>
        <v>https://tools.sig.systems/site/details/223</v>
      </c>
      <c r="I1805" s="2"/>
      <c r="J1805" t="s">
        <v>41</v>
      </c>
      <c r="K1805" s="79" t="str">
        <f>VLOOKUP(Tabla3[[#This Row],[Site]],'Important Info!'!$A$1:$H$135,8,FALSE)</f>
        <v>-</v>
      </c>
      <c r="L1805" s="52" t="str">
        <f>VLOOKUP(Tabla3[[#This Row],[Site]],'Important Info!'!$A$1:$F$135,2,FALSE)</f>
        <v>7, 11</v>
      </c>
      <c r="M1805" s="52">
        <f>VLOOKUP(Tabla3[[#This Row],[Site]],'Important Info!'!$A$1:$F$135,3,FALSE)</f>
        <v>4</v>
      </c>
      <c r="N1805" s="52" t="str">
        <f>VLOOKUP(Tabla3[[#This Row],[Site]],'Important Info!'!$A$1:$F$135,4,FALSE)</f>
        <v>-</v>
      </c>
      <c r="O1805" s="52">
        <f>VLOOKUP(Tabla3[[#This Row],[Site]],'Important Info!'!$A$1:$F$135,5,FALSE)</f>
        <v>18</v>
      </c>
      <c r="P1805" s="52" t="str">
        <f>VLOOKUP(Tabla3[[#This Row],[Site]],'Important Info!'!$A$1:$F$135,6,FALSE)</f>
        <v>-</v>
      </c>
      <c r="Q1805" s="91">
        <f>VLOOKUP(Tabla3[[#This Row],[Site]],'Important Info!'!$A$1:$J$135,9,FALSE)</f>
        <v>223</v>
      </c>
    </row>
    <row r="1806" spans="1:17" x14ac:dyDescent="0.25">
      <c r="A1806" t="str">
        <f>+Tabla3[[#This Row],[Site]]&amp;Tabla3[[#This Row],[Split]]</f>
        <v>(PE) Fairfield Collision (NO TOURS)19</v>
      </c>
      <c r="B1806">
        <v>19</v>
      </c>
      <c r="C1806">
        <v>11</v>
      </c>
      <c r="D1806" t="s">
        <v>485</v>
      </c>
      <c r="E1806" t="s">
        <v>35</v>
      </c>
      <c r="F1806" t="s">
        <v>63</v>
      </c>
      <c r="G1806" t="s">
        <v>490</v>
      </c>
      <c r="H1806" s="52" t="str">
        <f>VLOOKUP(Tabla3[[#This Row],[Site]],'Important Info!'!$A$1:$J$135,10,FALSE)</f>
        <v>https://tools.sig.systems/site/details/191</v>
      </c>
      <c r="J1806" t="s">
        <v>41</v>
      </c>
      <c r="K1806" s="79" t="str">
        <f>VLOOKUP(Tabla3[[#This Row],[Site]],'Important Info!'!$A$1:$H$135,8,FALSE)</f>
        <v>-</v>
      </c>
      <c r="L1806" s="52">
        <f>VLOOKUP(Tabla3[[#This Row],[Site]],'Important Info!'!$A$1:$F$135,2,FALSE)</f>
        <v>4</v>
      </c>
      <c r="M1806" s="52" t="str">
        <f>VLOOKUP(Tabla3[[#This Row],[Site]],'Important Info!'!$A$1:$F$135,3,FALSE)</f>
        <v>-</v>
      </c>
      <c r="N1806" s="52" t="str">
        <f>VLOOKUP(Tabla3[[#This Row],[Site]],'Important Info!'!$A$1:$F$135,4,FALSE)</f>
        <v>-</v>
      </c>
      <c r="O1806" s="52" t="str">
        <f>VLOOKUP(Tabla3[[#This Row],[Site]],'Important Info!'!$A$1:$F$135,5,FALSE)</f>
        <v>-</v>
      </c>
      <c r="P1806" s="52" t="str">
        <f>VLOOKUP(Tabla3[[#This Row],[Site]],'Important Info!'!$A$1:$F$135,6,FALSE)</f>
        <v>1, 2, 3, 4, 5, 6</v>
      </c>
      <c r="Q1806" s="91">
        <f>VLOOKUP(Tabla3[[#This Row],[Site]],'Important Info!'!$A$1:$J$135,9,FALSE)</f>
        <v>191</v>
      </c>
    </row>
    <row r="1807" spans="1:17" x14ac:dyDescent="0.25">
      <c r="A1807" t="str">
        <f>+Tabla3[[#This Row],[Site]]&amp;Tabla3[[#This Row],[Split]]</f>
        <v>(AS) Nalley BMW Collision Center (NO TOURS)19</v>
      </c>
      <c r="B1807">
        <v>19</v>
      </c>
      <c r="C1807">
        <v>12</v>
      </c>
      <c r="D1807" t="s">
        <v>62</v>
      </c>
      <c r="E1807" t="s">
        <v>35</v>
      </c>
      <c r="F1807" t="s">
        <v>510</v>
      </c>
      <c r="G1807" t="s">
        <v>490</v>
      </c>
      <c r="H1807" s="52" t="str">
        <f>VLOOKUP(Tabla3[[#This Row],[Site]],'Important Info!'!$A$1:$J$135,10,FALSE)</f>
        <v>https://tools.sig.systems/site/details/220</v>
      </c>
      <c r="I1807" s="2"/>
      <c r="J1807" t="s">
        <v>41</v>
      </c>
      <c r="K1807" s="79" t="str">
        <f>VLOOKUP(Tabla3[[#This Row],[Site]],'Important Info!'!$A$1:$H$135,8,FALSE)</f>
        <v>-</v>
      </c>
      <c r="L1807" s="52" t="str">
        <f>VLOOKUP(Tabla3[[#This Row],[Site]],'Important Info!'!$A$1:$F$135,2,FALSE)</f>
        <v>-</v>
      </c>
      <c r="M1807" s="52">
        <f>VLOOKUP(Tabla3[[#This Row],[Site]],'Important Info!'!$A$1:$F$135,3,FALSE)</f>
        <v>4</v>
      </c>
      <c r="N1807" s="52" t="str">
        <f>VLOOKUP(Tabla3[[#This Row],[Site]],'Important Info!'!$A$1:$F$135,4,FALSE)</f>
        <v>-</v>
      </c>
      <c r="O1807" s="52">
        <f>VLOOKUP(Tabla3[[#This Row],[Site]],'Important Info!'!$A$1:$F$135,5,FALSE)</f>
        <v>12</v>
      </c>
      <c r="P1807" s="52" t="str">
        <f>VLOOKUP(Tabla3[[#This Row],[Site]],'Important Info!'!$A$1:$F$135,6,FALSE)</f>
        <v>13, 15</v>
      </c>
      <c r="Q1807" s="91">
        <f>VLOOKUP(Tabla3[[#This Row],[Site]],'Important Info!'!$A$1:$J$135,9,FALSE)</f>
        <v>220</v>
      </c>
    </row>
    <row r="1808" spans="1:17" x14ac:dyDescent="0.25">
      <c r="A1808" t="str">
        <f>+Tabla3[[#This Row],[Site]]&amp;Tabla3[[#This Row],[Split]]</f>
        <v>(AS) Park Place Volvo Service Center (NO TOURS)19</v>
      </c>
      <c r="B1808">
        <v>19</v>
      </c>
      <c r="C1808">
        <v>12</v>
      </c>
      <c r="D1808" t="s">
        <v>33</v>
      </c>
      <c r="E1808" t="s">
        <v>46</v>
      </c>
      <c r="F1808" t="s">
        <v>522</v>
      </c>
      <c r="G1808" t="s">
        <v>34</v>
      </c>
      <c r="H1808" s="52" t="str">
        <f>VLOOKUP(Tabla3[[#This Row],[Site]],'Important Info!'!$A$1:$J$135,10,FALSE)</f>
        <v>https://tools.sig.systems/site/details/171</v>
      </c>
      <c r="I1808" s="65" t="s">
        <v>125</v>
      </c>
      <c r="J1808" t="s">
        <v>41</v>
      </c>
      <c r="K1808" s="79" t="str">
        <f>VLOOKUP(Tabla3[[#This Row],[Site]],'Important Info!'!$A$1:$H$135,8,FALSE)</f>
        <v>-</v>
      </c>
      <c r="L1808" s="52" t="str">
        <f>VLOOKUP(Tabla3[[#This Row],[Site]],'Important Info!'!$A$1:$F$135,2,FALSE)</f>
        <v>3, 6, 9, 27, 31, 35</v>
      </c>
      <c r="M1808" s="52" t="str">
        <f>VLOOKUP(Tabla3[[#This Row],[Site]],'Important Info!'!$A$1:$F$135,3,FALSE)</f>
        <v>-</v>
      </c>
      <c r="N1808" s="52" t="str">
        <f>VLOOKUP(Tabla3[[#This Row],[Site]],'Important Info!'!$A$1:$F$135,4,FALSE)</f>
        <v>-</v>
      </c>
      <c r="O1808" s="52" t="str">
        <f>VLOOKUP(Tabla3[[#This Row],[Site]],'Important Info!'!$A$1:$F$135,5,FALSE)</f>
        <v>27, 32</v>
      </c>
      <c r="P1808" s="52" t="str">
        <f>VLOOKUP(Tabla3[[#This Row],[Site]],'Important Info!'!$A$1:$F$135,6,FALSE)</f>
        <v>-</v>
      </c>
      <c r="Q1808" s="91">
        <f>VLOOKUP(Tabla3[[#This Row],[Site]],'Important Info!'!$A$1:$J$135,9,FALSE)</f>
        <v>171</v>
      </c>
    </row>
    <row r="1809" spans="1:17" x14ac:dyDescent="0.25">
      <c r="A1809" t="str">
        <f>+Tabla3[[#This Row],[Site]]&amp;Tabla3[[#This Row],[Split]]</f>
        <v>(HUD) Acura of Greensboro19</v>
      </c>
      <c r="B1809">
        <v>19</v>
      </c>
      <c r="C1809">
        <v>12</v>
      </c>
      <c r="D1809" t="s">
        <v>62</v>
      </c>
      <c r="E1809" t="s">
        <v>35</v>
      </c>
      <c r="F1809" t="s">
        <v>100</v>
      </c>
      <c r="G1809" t="s">
        <v>490</v>
      </c>
      <c r="H1809" s="52" t="str">
        <f>VLOOKUP(Tabla3[[#This Row],[Site]],'Important Info!'!$A$1:$J$135,10,FALSE)</f>
        <v>https://tools.sig.systems/site/details/213</v>
      </c>
      <c r="I1809" t="s">
        <v>182</v>
      </c>
      <c r="J1809" t="s">
        <v>41</v>
      </c>
      <c r="K1809" s="79" t="str">
        <f>VLOOKUP(Tabla3[[#This Row],[Site]],'Important Info!'!$A$1:$H$135,8,FALSE)</f>
        <v>-</v>
      </c>
      <c r="L1809" s="52" t="str">
        <f>VLOOKUP(Tabla3[[#This Row],[Site]],'Important Info!'!$A$1:$F$135,2,FALSE)</f>
        <v>1, 2, 6, 7, 9</v>
      </c>
      <c r="M1809" s="52" t="str">
        <f>VLOOKUP(Tabla3[[#This Row],[Site]],'Important Info!'!$A$1:$F$135,3,FALSE)</f>
        <v>-</v>
      </c>
      <c r="N1809" s="52" t="str">
        <f>VLOOKUP(Tabla3[[#This Row],[Site]],'Important Info!'!$A$1:$F$135,4,FALSE)</f>
        <v>-</v>
      </c>
      <c r="O1809" s="52" t="str">
        <f>VLOOKUP(Tabla3[[#This Row],[Site]],'Important Info!'!$A$1:$F$135,5,FALSE)</f>
        <v>2, 5</v>
      </c>
      <c r="P1809" s="52" t="str">
        <f>VLOOKUP(Tabla3[[#This Row],[Site]],'Important Info!'!$A$1:$F$135,6,FALSE)</f>
        <v>1, 2, 6, 7, 9, 18</v>
      </c>
      <c r="Q1809" s="91">
        <f>VLOOKUP(Tabla3[[#This Row],[Site]],'Important Info!'!$A$1:$J$135,9,FALSE)</f>
        <v>213</v>
      </c>
    </row>
    <row r="1810" spans="1:17" x14ac:dyDescent="0.25">
      <c r="A1810" t="str">
        <f>+Tabla3[[#This Row],[Site]]&amp;Tabla3[[#This Row],[Split]]</f>
        <v>(KG) Kia of Phoenix (NO TOURS)19</v>
      </c>
      <c r="B1810">
        <v>19</v>
      </c>
      <c r="C1810">
        <v>12</v>
      </c>
      <c r="D1810" t="s">
        <v>51</v>
      </c>
      <c r="E1810" t="s">
        <v>161</v>
      </c>
      <c r="F1810" t="s">
        <v>94</v>
      </c>
      <c r="G1810" t="s">
        <v>52</v>
      </c>
      <c r="H1810" s="52" t="str">
        <f>VLOOKUP(Tabla3[[#This Row],[Site]],'Important Info!'!$A$1:$J$135,10,FALSE)</f>
        <v>https://tools.sig.systems/site/details/262</v>
      </c>
      <c r="J1810" t="s">
        <v>162</v>
      </c>
      <c r="K1810" s="79" t="str">
        <f>VLOOKUP(Tabla3[[#This Row],[Site]],'Important Info!'!$A$1:$H$135,8,FALSE)</f>
        <v>-</v>
      </c>
      <c r="L1810" s="52" t="str">
        <f>VLOOKUP(Tabla3[[#This Row],[Site]],'Important Info!'!$A$1:$F$135,2,FALSE)</f>
        <v>5, 8, 23</v>
      </c>
      <c r="M1810" s="52" t="str">
        <f>VLOOKUP(Tabla3[[#This Row],[Site]],'Important Info!'!$A$1:$F$135,3,FALSE)</f>
        <v>-</v>
      </c>
      <c r="N1810" s="52" t="str">
        <f>VLOOKUP(Tabla3[[#This Row],[Site]],'Important Info!'!$A$1:$F$135,4,FALSE)</f>
        <v>-</v>
      </c>
      <c r="O1810" s="52">
        <f>VLOOKUP(Tabla3[[#This Row],[Site]],'Important Info!'!$A$1:$F$135,5,FALSE)</f>
        <v>4</v>
      </c>
      <c r="P1810" s="52" t="str">
        <f>VLOOKUP(Tabla3[[#This Row],[Site]],'Important Info!'!$A$1:$F$135,6,FALSE)</f>
        <v>-</v>
      </c>
      <c r="Q1810" s="91">
        <f>VLOOKUP(Tabla3[[#This Row],[Site]],'Important Info!'!$A$1:$J$135,9,FALSE)</f>
        <v>262</v>
      </c>
    </row>
    <row r="1811" spans="1:17" x14ac:dyDescent="0.25">
      <c r="A1811" t="str">
        <f>+Tabla3[[#This Row],[Site]]&amp;Tabla3[[#This Row],[Split]]</f>
        <v>(MK) McKenny Salinas Honda19</v>
      </c>
      <c r="B1811">
        <v>19</v>
      </c>
      <c r="C1811">
        <v>12</v>
      </c>
      <c r="D1811" t="s">
        <v>62</v>
      </c>
      <c r="E1811" t="s">
        <v>35</v>
      </c>
      <c r="F1811" t="s">
        <v>115</v>
      </c>
      <c r="G1811" t="s">
        <v>490</v>
      </c>
      <c r="H1811" s="52" t="str">
        <f>VLOOKUP(Tabla3[[#This Row],[Site]],'Important Info!'!$A$1:$J$135,10,FALSE)</f>
        <v>https://tools.sig.systems/site/details/149</v>
      </c>
      <c r="J1811" t="s">
        <v>41</v>
      </c>
      <c r="K1811" s="79" t="str">
        <f>VLOOKUP(Tabla3[[#This Row],[Site]],'Important Info!'!$A$1:$H$135,8,FALSE)</f>
        <v>-</v>
      </c>
      <c r="L1811" s="52" t="str">
        <f>VLOOKUP(Tabla3[[#This Row],[Site]],'Important Info!'!$A$1:$F$135,2,FALSE)</f>
        <v>-</v>
      </c>
      <c r="M1811" s="52" t="str">
        <f>VLOOKUP(Tabla3[[#This Row],[Site]],'Important Info!'!$A$1:$F$135,3,FALSE)</f>
        <v>12, 16</v>
      </c>
      <c r="N1811" s="52" t="str">
        <f>VLOOKUP(Tabla3[[#This Row],[Site]],'Important Info!'!$A$1:$F$135,4,FALSE)</f>
        <v>-</v>
      </c>
      <c r="O1811" s="52" t="str">
        <f>VLOOKUP(Tabla3[[#This Row],[Site]],'Important Info!'!$A$1:$F$135,5,FALSE)</f>
        <v>-</v>
      </c>
      <c r="P1811" s="52" t="str">
        <f>VLOOKUP(Tabla3[[#This Row],[Site]],'Important Info!'!$A$1:$F$135,6,FALSE)</f>
        <v>3, 4, 5, 6, 16</v>
      </c>
      <c r="Q1811" s="91">
        <f>VLOOKUP(Tabla3[[#This Row],[Site]],'Important Info!'!$A$1:$J$135,9,FALSE)</f>
        <v>149</v>
      </c>
    </row>
    <row r="1812" spans="1:17" x14ac:dyDescent="0.25">
      <c r="A1812" t="str">
        <f>+Tabla3[[#This Row],[Site]]&amp;Tabla3[[#This Row],[Split]]</f>
        <v>(ML) Joe Machens Capital City I &amp; II (NO TOURS)19</v>
      </c>
      <c r="B1812">
        <v>19</v>
      </c>
      <c r="C1812">
        <v>12</v>
      </c>
      <c r="D1812" t="s">
        <v>33</v>
      </c>
      <c r="E1812" t="s">
        <v>46</v>
      </c>
      <c r="F1812" t="s">
        <v>72</v>
      </c>
      <c r="G1812" t="s">
        <v>34</v>
      </c>
      <c r="H1812" s="52" t="str">
        <f>VLOOKUP(Tabla3[[#This Row],[Site]],'Important Info!'!$A$1:$J$135,10,FALSE)</f>
        <v>https://tools.sig.systems/site/details/271</v>
      </c>
      <c r="I1812" s="43"/>
      <c r="J1812" t="s">
        <v>41</v>
      </c>
      <c r="K1812" s="79" t="str">
        <f>VLOOKUP(Tabla3[[#This Row],[Site]],'Important Info!'!$A$1:$H$135,8,FALSE)</f>
        <v>-</v>
      </c>
      <c r="L1812" s="52" t="str">
        <f>VLOOKUP(Tabla3[[#This Row],[Site]],'Important Info!'!$A$1:$F$135,2,FALSE)</f>
        <v>-</v>
      </c>
      <c r="M1812" s="52" t="str">
        <f>VLOOKUP(Tabla3[[#This Row],[Site]],'Important Info!'!$A$1:$F$135,3,FALSE)</f>
        <v>1, 3, 4, 20, 25, 27, 28</v>
      </c>
      <c r="N1812" s="52" t="str">
        <f>VLOOKUP(Tabla3[[#This Row],[Site]],'Important Info!'!$A$1:$F$135,4,FALSE)</f>
        <v>-</v>
      </c>
      <c r="O1812" s="52">
        <f>VLOOKUP(Tabla3[[#This Row],[Site]],'Important Info!'!$A$1:$F$135,5,FALSE)</f>
        <v>29</v>
      </c>
      <c r="P1812" s="52" t="str">
        <f>VLOOKUP(Tabla3[[#This Row],[Site]],'Important Info!'!$A$1:$F$135,6,FALSE)</f>
        <v>19, 20</v>
      </c>
      <c r="Q1812" s="91">
        <f>VLOOKUP(Tabla3[[#This Row],[Site]],'Important Info!'!$A$1:$J$135,9,FALSE)</f>
        <v>271</v>
      </c>
    </row>
    <row r="1813" spans="1:17" x14ac:dyDescent="0.25">
      <c r="A1813" t="str">
        <f>+Tabla3[[#This Row],[Site]]&amp;Tabla3[[#This Row],[Split]]</f>
        <v>(PE) Mercedes Benz &amp; Smart Bldg. of Fairfield (NO TOURS)19</v>
      </c>
      <c r="B1813">
        <v>19</v>
      </c>
      <c r="C1813">
        <v>12</v>
      </c>
      <c r="D1813" t="s">
        <v>485</v>
      </c>
      <c r="E1813" t="s">
        <v>35</v>
      </c>
      <c r="F1813" t="s">
        <v>64</v>
      </c>
      <c r="G1813" t="s">
        <v>490</v>
      </c>
      <c r="H1813" s="52" t="str">
        <f>VLOOKUP(Tabla3[[#This Row],[Site]],'Important Info!'!$A$1:$J$135,10,FALSE)</f>
        <v>https://tools.sig.systems/site/details/192</v>
      </c>
      <c r="I1813" t="s">
        <v>177</v>
      </c>
      <c r="J1813" t="s">
        <v>41</v>
      </c>
      <c r="K1813" s="79" t="str">
        <f>VLOOKUP(Tabla3[[#This Row],[Site]],'Important Info!'!$A$1:$H$135,8,FALSE)</f>
        <v>-</v>
      </c>
      <c r="L1813" s="52" t="str">
        <f>VLOOKUP(Tabla3[[#This Row],[Site]],'Important Info!'!$A$1:$F$135,2,FALSE)</f>
        <v>-</v>
      </c>
      <c r="M1813" s="52">
        <f>VLOOKUP(Tabla3[[#This Row],[Site]],'Important Info!'!$A$1:$F$135,3,FALSE)</f>
        <v>1</v>
      </c>
      <c r="N1813" s="52" t="str">
        <f>VLOOKUP(Tabla3[[#This Row],[Site]],'Important Info!'!$A$1:$F$135,4,FALSE)</f>
        <v>-</v>
      </c>
      <c r="O1813" s="52" t="str">
        <f>VLOOKUP(Tabla3[[#This Row],[Site]],'Important Info!'!$A$1:$F$135,5,FALSE)</f>
        <v>11, 13</v>
      </c>
      <c r="P1813" s="52">
        <f>VLOOKUP(Tabla3[[#This Row],[Site]],'Important Info!'!$A$1:$F$135,6,FALSE)</f>
        <v>1</v>
      </c>
      <c r="Q1813" s="91">
        <f>VLOOKUP(Tabla3[[#This Row],[Site]],'Important Info!'!$A$1:$J$135,9,FALSE)</f>
        <v>192</v>
      </c>
    </row>
    <row r="1814" spans="1:17" x14ac:dyDescent="0.25">
      <c r="A1814" t="str">
        <f>+Tabla3[[#This Row],[Site]]&amp;Tabla3[[#This Row],[Split]]</f>
        <v>(AS) Courtesy Hyundai/Nissan Tampa (NO TOURS)19</v>
      </c>
      <c r="B1814">
        <v>19</v>
      </c>
      <c r="C1814">
        <v>13</v>
      </c>
      <c r="D1814" t="s">
        <v>62</v>
      </c>
      <c r="E1814" t="s">
        <v>35</v>
      </c>
      <c r="F1814" t="s">
        <v>504</v>
      </c>
      <c r="G1814" t="s">
        <v>490</v>
      </c>
      <c r="H1814" s="52" t="str">
        <f>VLOOKUP(Tabla3[[#This Row],[Site]],'Important Info!'!$A$1:$J$135,10,FALSE)</f>
        <v>https://tools.sig.systems/site/details/128</v>
      </c>
      <c r="I1814" s="43"/>
      <c r="J1814" t="s">
        <v>484</v>
      </c>
      <c r="K1814" s="79" t="str">
        <f>VLOOKUP(Tabla3[[#This Row],[Site]],'Important Info!'!$A$1:$H$135,8,FALSE)</f>
        <v>-</v>
      </c>
      <c r="L1814" s="52" t="str">
        <f>VLOOKUP(Tabla3[[#This Row],[Site]],'Important Info!'!$A$1:$F$135,2,FALSE)</f>
        <v>1, 16, 25, 27, 32</v>
      </c>
      <c r="M1814" s="52" t="str">
        <f>VLOOKUP(Tabla3[[#This Row],[Site]],'Important Info!'!$A$1:$F$135,3,FALSE)</f>
        <v>-</v>
      </c>
      <c r="N1814" s="52" t="str">
        <f>VLOOKUP(Tabla3[[#This Row],[Site]],'Important Info!'!$A$1:$F$135,4,FALSE)</f>
        <v>-</v>
      </c>
      <c r="O1814" s="52" t="str">
        <f>VLOOKUP(Tabla3[[#This Row],[Site]],'Important Info!'!$A$1:$F$135,5,FALSE)</f>
        <v>4, 10, 16</v>
      </c>
      <c r="P1814" s="52" t="str">
        <f>VLOOKUP(Tabla3[[#This Row],[Site]],'Important Info!'!$A$1:$F$135,6,FALSE)</f>
        <v>24, 25, 26 &amp; Remote Lots</v>
      </c>
      <c r="Q1814" s="91">
        <f>VLOOKUP(Tabla3[[#This Row],[Site]],'Important Info!'!$A$1:$J$135,9,FALSE)</f>
        <v>128</v>
      </c>
    </row>
    <row r="1815" spans="1:17" x14ac:dyDescent="0.25">
      <c r="A1815" t="str">
        <f>+Tabla3[[#This Row],[Site]]&amp;Tabla3[[#This Row],[Split]]</f>
        <v>(AS) David McDavid Honda I &amp; II (NO TOURS)19</v>
      </c>
      <c r="B1815">
        <v>19</v>
      </c>
      <c r="C1815">
        <v>13</v>
      </c>
      <c r="D1815" t="s">
        <v>33</v>
      </c>
      <c r="E1815" t="s">
        <v>46</v>
      </c>
      <c r="F1815" t="s">
        <v>506</v>
      </c>
      <c r="G1815" t="s">
        <v>34</v>
      </c>
      <c r="H1815" s="52" t="str">
        <f>VLOOKUP(Tabla3[[#This Row],[Site]],'Important Info!'!$A$1:$J$135,10,FALSE)</f>
        <v>https://tools.sig.systems/site/details/129</v>
      </c>
      <c r="J1815" t="s">
        <v>41</v>
      </c>
      <c r="K1815" s="79" t="str">
        <f>VLOOKUP(Tabla3[[#This Row],[Site]],'Important Info!'!$A$1:$H$135,8,FALSE)</f>
        <v>-</v>
      </c>
      <c r="L1815" s="52" t="str">
        <f>VLOOKUP(Tabla3[[#This Row],[Site]],'Important Info!'!$A$1:$F$135,2,FALSE)</f>
        <v>-</v>
      </c>
      <c r="M1815" s="52" t="str">
        <f>VLOOKUP(Tabla3[[#This Row],[Site]],'Important Info!'!$A$1:$F$135,3,FALSE)</f>
        <v>3, 19, 23, 32, 35</v>
      </c>
      <c r="N1815" s="52" t="str">
        <f>VLOOKUP(Tabla3[[#This Row],[Site]],'Important Info!'!$A$1:$F$135,4,FALSE)</f>
        <v>-</v>
      </c>
      <c r="O1815" s="52" t="str">
        <f>VLOOKUP(Tabla3[[#This Row],[Site]],'Important Info!'!$A$1:$F$135,5,FALSE)</f>
        <v>2, 6, 9, 19, 25, 30, 48</v>
      </c>
      <c r="P1815" s="52" t="str">
        <f>VLOOKUP(Tabla3[[#This Row],[Site]],'Important Info!'!$A$1:$F$135,6,FALSE)</f>
        <v>25, 26, 35, 36, 37</v>
      </c>
      <c r="Q1815" s="91">
        <f>VLOOKUP(Tabla3[[#This Row],[Site]],'Important Info!'!$A$1:$J$135,9,FALSE)</f>
        <v>129</v>
      </c>
    </row>
    <row r="1816" spans="1:17" x14ac:dyDescent="0.25">
      <c r="A1816" t="str">
        <f>+Tabla3[[#This Row],[Site]]&amp;Tabla3[[#This Row],[Split]]</f>
        <v>(AS) Plano Auction (NO SPEAKERS)19</v>
      </c>
      <c r="B1816">
        <v>19</v>
      </c>
      <c r="C1816">
        <v>13</v>
      </c>
      <c r="D1816" t="s">
        <v>33</v>
      </c>
      <c r="E1816" t="s">
        <v>46</v>
      </c>
      <c r="F1816" t="s">
        <v>129</v>
      </c>
      <c r="G1816" t="s">
        <v>34</v>
      </c>
      <c r="H1816" s="52" t="str">
        <f>VLOOKUP(Tabla3[[#This Row],[Site]],'Important Info!'!$A$1:$J$135,10,FALSE)</f>
        <v>https://tools.sig.systems/site/details/140</v>
      </c>
      <c r="J1816" t="s">
        <v>41</v>
      </c>
      <c r="K1816" s="79" t="str">
        <f>VLOOKUP(Tabla3[[#This Row],[Site]],'Important Info!'!$A$1:$H$135,8,FALSE)</f>
        <v>-</v>
      </c>
      <c r="L1816" s="52" t="str">
        <f>VLOOKUP(Tabla3[[#This Row],[Site]],'Important Info!'!$A$1:$F$135,2,FALSE)</f>
        <v>-</v>
      </c>
      <c r="M1816" s="52" t="str">
        <f>VLOOKUP(Tabla3[[#This Row],[Site]],'Important Info!'!$A$1:$F$135,3,FALSE)</f>
        <v>3, 4, 19</v>
      </c>
      <c r="N1816" s="52" t="str">
        <f>VLOOKUP(Tabla3[[#This Row],[Site]],'Important Info!'!$A$1:$F$135,4,FALSE)</f>
        <v>-</v>
      </c>
      <c r="O1816" s="52" t="str">
        <f>VLOOKUP(Tabla3[[#This Row],[Site]],'Important Info!'!$A$1:$F$135,5,FALSE)</f>
        <v>5, 19</v>
      </c>
      <c r="P1816" s="52">
        <f>VLOOKUP(Tabla3[[#This Row],[Site]],'Important Info!'!$A$1:$F$135,6,FALSE)</f>
        <v>21</v>
      </c>
      <c r="Q1816" s="91">
        <f>VLOOKUP(Tabla3[[#This Row],[Site]],'Important Info!'!$A$1:$J$135,9,FALSE)</f>
        <v>140</v>
      </c>
    </row>
    <row r="1817" spans="1:17" x14ac:dyDescent="0.25">
      <c r="A1817" t="str">
        <f>+Tabla3[[#This Row],[Site]]&amp;Tabla3[[#This Row],[Split]]</f>
        <v>(DT) Albuquerque19</v>
      </c>
      <c r="B1817">
        <v>19</v>
      </c>
      <c r="C1817">
        <v>13</v>
      </c>
      <c r="D1817" t="s">
        <v>44</v>
      </c>
      <c r="E1817" t="s">
        <v>53</v>
      </c>
      <c r="F1817" t="s">
        <v>155</v>
      </c>
      <c r="G1817" t="s">
        <v>45</v>
      </c>
      <c r="H1817" s="52" t="str">
        <f>VLOOKUP(Tabla3[[#This Row],[Site]],'Important Info!'!$A$1:$J$135,10,FALSE)</f>
        <v>https://tools.sig.systems/site/details/237</v>
      </c>
      <c r="J1817" t="s">
        <v>41</v>
      </c>
      <c r="K1817" s="79" t="str">
        <f>VLOOKUP(Tabla3[[#This Row],[Site]],'Important Info!'!$A$1:$H$135,8,FALSE)</f>
        <v>-</v>
      </c>
      <c r="L1817" s="52" t="str">
        <f>VLOOKUP(Tabla3[[#This Row],[Site]],'Important Info!'!$A$1:$F$135,2,FALSE)</f>
        <v>14, 16</v>
      </c>
      <c r="M1817" s="52" t="str">
        <f>VLOOKUP(Tabla3[[#This Row],[Site]],'Important Info!'!$A$1:$F$135,3,FALSE)</f>
        <v>-</v>
      </c>
      <c r="N1817" s="52" t="str">
        <f>VLOOKUP(Tabla3[[#This Row],[Site]],'Important Info!'!$A$1:$F$135,4,FALSE)</f>
        <v>-</v>
      </c>
      <c r="O1817" s="52" t="str">
        <f>VLOOKUP(Tabla3[[#This Row],[Site]],'Important Info!'!$A$1:$F$135,5,FALSE)</f>
        <v>14, 15</v>
      </c>
      <c r="P1817" s="52" t="str">
        <f>VLOOKUP(Tabla3[[#This Row],[Site]],'Important Info!'!$A$1:$F$135,6,FALSE)</f>
        <v>12, 14, 16</v>
      </c>
      <c r="Q1817" s="91">
        <f>VLOOKUP(Tabla3[[#This Row],[Site]],'Important Info!'!$A$1:$J$135,9,FALSE)</f>
        <v>237</v>
      </c>
    </row>
    <row r="1818" spans="1:17" x14ac:dyDescent="0.25">
      <c r="A1818" t="str">
        <f>+Tabla3[[#This Row],[Site]]&amp;Tabla3[[#This Row],[Split]]</f>
        <v>(HUD) BMW of Greensboro19</v>
      </c>
      <c r="B1818">
        <v>19</v>
      </c>
      <c r="C1818">
        <v>13</v>
      </c>
      <c r="D1818" t="s">
        <v>62</v>
      </c>
      <c r="E1818" t="s">
        <v>35</v>
      </c>
      <c r="F1818" t="s">
        <v>183</v>
      </c>
      <c r="G1818" t="s">
        <v>490</v>
      </c>
      <c r="H1818" s="52" t="str">
        <f>VLOOKUP(Tabla3[[#This Row],[Site]],'Important Info!'!$A$1:$J$135,10,FALSE)</f>
        <v>https://tools.sig.systems/site/details/219</v>
      </c>
      <c r="I1818" s="2" t="s">
        <v>184</v>
      </c>
      <c r="J1818" t="s">
        <v>41</v>
      </c>
      <c r="K1818" s="79" t="str">
        <f>VLOOKUP(Tabla3[[#This Row],[Site]],'Important Info!'!$A$1:$H$135,8,FALSE)</f>
        <v>-</v>
      </c>
      <c r="L1818" s="52" t="str">
        <f>VLOOKUP(Tabla3[[#This Row],[Site]],'Important Info!'!$A$1:$F$135,2,FALSE)</f>
        <v>2, 20, 21</v>
      </c>
      <c r="M1818" s="52" t="str">
        <f>VLOOKUP(Tabla3[[#This Row],[Site]],'Important Info!'!$A$1:$F$135,3,FALSE)</f>
        <v>-</v>
      </c>
      <c r="N1818" s="52" t="str">
        <f>VLOOKUP(Tabla3[[#This Row],[Site]],'Important Info!'!$A$1:$F$135,4,FALSE)</f>
        <v>-</v>
      </c>
      <c r="O1818" s="52" t="str">
        <f>VLOOKUP(Tabla3[[#This Row],[Site]],'Important Info!'!$A$1:$F$135,5,FALSE)</f>
        <v>12, 17</v>
      </c>
      <c r="P1818" s="52" t="str">
        <f>VLOOKUP(Tabla3[[#This Row],[Site]],'Important Info!'!$A$1:$F$135,6,FALSE)</f>
        <v>1, 2, 6, 20</v>
      </c>
      <c r="Q1818" s="91">
        <f>VLOOKUP(Tabla3[[#This Row],[Site]],'Important Info!'!$A$1:$J$135,9,FALSE)</f>
        <v>219</v>
      </c>
    </row>
    <row r="1819" spans="1:17" x14ac:dyDescent="0.25">
      <c r="A1819" t="str">
        <f>+Tabla3[[#This Row],[Site]]&amp;Tabla3[[#This Row],[Split]]</f>
        <v>(AS) Coggin Mercedes Benz Ft Pierce (NO TOURS)19</v>
      </c>
      <c r="B1819">
        <v>19</v>
      </c>
      <c r="C1819">
        <v>14</v>
      </c>
      <c r="D1819" t="s">
        <v>62</v>
      </c>
      <c r="E1819" t="s">
        <v>35</v>
      </c>
      <c r="F1819" t="s">
        <v>502</v>
      </c>
      <c r="G1819" t="s">
        <v>490</v>
      </c>
      <c r="H1819" s="52" t="str">
        <f>VLOOKUP(Tabla3[[#This Row],[Site]],'Important Info!'!$A$1:$J$135,10,FALSE)</f>
        <v>https://tools.sig.systems/site/details/127</v>
      </c>
      <c r="I1819" t="s">
        <v>179</v>
      </c>
      <c r="J1819" t="s">
        <v>41</v>
      </c>
      <c r="K1819" s="79" t="str">
        <f>VLOOKUP(Tabla3[[#This Row],[Site]],'Important Info!'!$A$1:$H$135,8,FALSE)</f>
        <v>-</v>
      </c>
      <c r="L1819" s="52">
        <f>VLOOKUP(Tabla3[[#This Row],[Site]],'Important Info!'!$A$1:$F$135,2,FALSE)</f>
        <v>18</v>
      </c>
      <c r="M1819" s="52" t="str">
        <f>VLOOKUP(Tabla3[[#This Row],[Site]],'Important Info!'!$A$1:$F$135,3,FALSE)</f>
        <v>1, 3</v>
      </c>
      <c r="N1819" s="52" t="str">
        <f>VLOOKUP(Tabla3[[#This Row],[Site]],'Important Info!'!$A$1:$F$135,4,FALSE)</f>
        <v>-</v>
      </c>
      <c r="O1819" s="52" t="str">
        <f>VLOOKUP(Tabla3[[#This Row],[Site]],'Important Info!'!$A$1:$F$135,5,FALSE)</f>
        <v>6, 10, 13</v>
      </c>
      <c r="P1819" s="52" t="str">
        <f>VLOOKUP(Tabla3[[#This Row],[Site]],'Important Info!'!$A$1:$F$135,6,FALSE)</f>
        <v>1, 4, 5</v>
      </c>
      <c r="Q1819" s="91">
        <f>VLOOKUP(Tabla3[[#This Row],[Site]],'Important Info!'!$A$1:$J$135,9,FALSE)</f>
        <v>127</v>
      </c>
    </row>
    <row r="1820" spans="1:17" x14ac:dyDescent="0.25">
      <c r="A1820" t="str">
        <f>+Tabla3[[#This Row],[Site]]&amp;Tabla3[[#This Row],[Split]]</f>
        <v>(AS) Plaza Lexus/Mercedes/BMW (NO TOURS)19</v>
      </c>
      <c r="B1820">
        <v>19</v>
      </c>
      <c r="C1820">
        <v>14</v>
      </c>
      <c r="D1820" t="s">
        <v>33</v>
      </c>
      <c r="E1820" t="s">
        <v>46</v>
      </c>
      <c r="F1820" t="s">
        <v>92</v>
      </c>
      <c r="G1820" t="s">
        <v>34</v>
      </c>
      <c r="H1820" s="52" t="str">
        <f>VLOOKUP(Tabla3[[#This Row],[Site]],'Important Info!'!$A$1:$J$135,10,FALSE)</f>
        <v>https://tools.sig.systems/site/details/141</v>
      </c>
      <c r="I1820" t="s">
        <v>130</v>
      </c>
      <c r="J1820" t="s">
        <v>41</v>
      </c>
      <c r="K1820" s="79" t="str">
        <f>VLOOKUP(Tabla3[[#This Row],[Site]],'Important Info!'!$A$1:$H$135,8,FALSE)</f>
        <v>-</v>
      </c>
      <c r="L1820" s="52" t="str">
        <f>VLOOKUP(Tabla3[[#This Row],[Site]],'Important Info!'!$A$1:$F$135,2,FALSE)</f>
        <v>3, 4, 18</v>
      </c>
      <c r="M1820" s="52" t="str">
        <f>VLOOKUP(Tabla3[[#This Row],[Site]],'Important Info!'!$A$1:$F$135,3,FALSE)</f>
        <v>9, 10, 12, 13, 16, 17</v>
      </c>
      <c r="N1820" s="52" t="str">
        <f>VLOOKUP(Tabla3[[#This Row],[Site]],'Important Info!'!$A$1:$F$135,4,FALSE)</f>
        <v>-</v>
      </c>
      <c r="O1820" s="52">
        <f>VLOOKUP(Tabla3[[#This Row],[Site]],'Important Info!'!$A$1:$F$135,5,FALSE)</f>
        <v>2</v>
      </c>
      <c r="P1820" s="52" t="str">
        <f>VLOOKUP(Tabla3[[#This Row],[Site]],'Important Info!'!$A$1:$F$135,6,FALSE)</f>
        <v>2, 16</v>
      </c>
      <c r="Q1820" s="91">
        <f>VLOOKUP(Tabla3[[#This Row],[Site]],'Important Info!'!$A$1:$J$135,9,FALSE)</f>
        <v>141</v>
      </c>
    </row>
    <row r="1821" spans="1:17" x14ac:dyDescent="0.25">
      <c r="A1821" t="str">
        <f>+Tabla3[[#This Row],[Site]]&amp;Tabla3[[#This Row],[Split]]</f>
        <v>(DT) El Cajon (NO TOURS)19</v>
      </c>
      <c r="B1821">
        <v>19</v>
      </c>
      <c r="C1821">
        <v>14</v>
      </c>
      <c r="D1821" t="s">
        <v>51</v>
      </c>
      <c r="E1821" t="s">
        <v>159</v>
      </c>
      <c r="F1821" t="s">
        <v>160</v>
      </c>
      <c r="G1821" t="s">
        <v>52</v>
      </c>
      <c r="H1821" s="52" t="str">
        <f>VLOOKUP(Tabla3[[#This Row],[Site]],'Important Info!'!$A$1:$J$135,10,FALSE)</f>
        <v>https://tools.sig.systems/site/details/241</v>
      </c>
      <c r="I1821" s="2"/>
      <c r="J1821" t="s">
        <v>41</v>
      </c>
      <c r="K1821" s="79" t="str">
        <f>VLOOKUP(Tabla3[[#This Row],[Site]],'Important Info!'!$A$1:$H$135,8,FALSE)</f>
        <v>-</v>
      </c>
      <c r="L1821" s="52" t="str">
        <f>VLOOKUP(Tabla3[[#This Row],[Site]],'Important Info!'!$A$1:$F$135,2,FALSE)</f>
        <v>-</v>
      </c>
      <c r="M1821" s="52">
        <f>VLOOKUP(Tabla3[[#This Row],[Site]],'Important Info!'!$A$1:$F$135,3,FALSE)</f>
        <v>3</v>
      </c>
      <c r="N1821" s="52" t="str">
        <f>VLOOKUP(Tabla3[[#This Row],[Site]],'Important Info!'!$A$1:$F$135,4,FALSE)</f>
        <v>-</v>
      </c>
      <c r="O1821" s="52" t="str">
        <f>VLOOKUP(Tabla3[[#This Row],[Site]],'Important Info!'!$A$1:$F$135,5,FALSE)</f>
        <v>-</v>
      </c>
      <c r="P1821" s="52" t="str">
        <f>VLOOKUP(Tabla3[[#This Row],[Site]],'Important Info!'!$A$1:$F$135,6,FALSE)</f>
        <v>-</v>
      </c>
      <c r="Q1821" s="91">
        <f>VLOOKUP(Tabla3[[#This Row],[Site]],'Important Info!'!$A$1:$J$135,9,FALSE)</f>
        <v>241</v>
      </c>
    </row>
    <row r="1822" spans="1:17" x14ac:dyDescent="0.25">
      <c r="A1822" t="str">
        <f>+Tabla3[[#This Row],[Site]]&amp;Tabla3[[#This Row],[Split]]</f>
        <v>(HUD) Nissan Greensboro19</v>
      </c>
      <c r="B1822">
        <v>19</v>
      </c>
      <c r="C1822">
        <v>14</v>
      </c>
      <c r="D1822" t="s">
        <v>62</v>
      </c>
      <c r="E1822" t="s">
        <v>35</v>
      </c>
      <c r="F1822" t="s">
        <v>66</v>
      </c>
      <c r="G1822" t="s">
        <v>490</v>
      </c>
      <c r="H1822" s="52" t="str">
        <f>VLOOKUP(Tabla3[[#This Row],[Site]],'Important Info!'!$A$1:$J$135,10,FALSE)</f>
        <v>https://tools.sig.systems/site/details/236</v>
      </c>
      <c r="I1822" s="2" t="s">
        <v>184</v>
      </c>
      <c r="J1822" t="s">
        <v>41</v>
      </c>
      <c r="K1822" s="79" t="str">
        <f>VLOOKUP(Tabla3[[#This Row],[Site]],'Important Info!'!$A$1:$H$135,8,FALSE)</f>
        <v>-</v>
      </c>
      <c r="L1822" s="52" t="str">
        <f>VLOOKUP(Tabla3[[#This Row],[Site]],'Important Info!'!$A$1:$F$135,2,FALSE)</f>
        <v>1, 5, 12</v>
      </c>
      <c r="M1822" s="52" t="str">
        <f>VLOOKUP(Tabla3[[#This Row],[Site]],'Important Info!'!$A$1:$F$135,3,FALSE)</f>
        <v>-</v>
      </c>
      <c r="N1822" s="52" t="str">
        <f>VLOOKUP(Tabla3[[#This Row],[Site]],'Important Info!'!$A$1:$F$135,4,FALSE)</f>
        <v>-</v>
      </c>
      <c r="O1822" s="52" t="str">
        <f>VLOOKUP(Tabla3[[#This Row],[Site]],'Important Info!'!$A$1:$F$135,5,FALSE)</f>
        <v>-</v>
      </c>
      <c r="P1822" s="52">
        <f>VLOOKUP(Tabla3[[#This Row],[Site]],'Important Info!'!$A$1:$F$135,6,FALSE)</f>
        <v>4</v>
      </c>
      <c r="Q1822" s="91">
        <f>VLOOKUP(Tabla3[[#This Row],[Site]],'Important Info!'!$A$1:$J$135,9,FALSE)</f>
        <v>236</v>
      </c>
    </row>
    <row r="1823" spans="1:17" x14ac:dyDescent="0.25">
      <c r="A1823" t="str">
        <f>+Tabla3[[#This Row],[Site]]&amp;Tabla3[[#This Row],[Split]]</f>
        <v>(KG) Truck Center Remote Storage Lot19</v>
      </c>
      <c r="B1823">
        <v>19</v>
      </c>
      <c r="C1823">
        <v>14</v>
      </c>
      <c r="D1823" t="s">
        <v>60</v>
      </c>
      <c r="E1823" t="s">
        <v>53</v>
      </c>
      <c r="F1823" t="s">
        <v>61</v>
      </c>
      <c r="G1823" t="s">
        <v>41</v>
      </c>
      <c r="H1823" s="52" t="str">
        <f>VLOOKUP(Tabla3[[#This Row],[Site]],'Important Info!'!$A$1:$J$135,10,FALSE)</f>
        <v>https://tools.sig.systems/site/details/144</v>
      </c>
      <c r="I1823" s="2"/>
      <c r="J1823" t="s">
        <v>41</v>
      </c>
      <c r="K1823" s="79" t="str">
        <f>VLOOKUP(Tabla3[[#This Row],[Site]],'Important Info!'!$A$1:$H$135,8,FALSE)</f>
        <v>-</v>
      </c>
      <c r="L1823" s="52" t="str">
        <f>VLOOKUP(Tabla3[[#This Row],[Site]],'Important Info!'!$A$1:$F$135,2,FALSE)</f>
        <v>4, A23, A49</v>
      </c>
      <c r="M1823" s="52" t="str">
        <f>VLOOKUP(Tabla3[[#This Row],[Site]],'Important Info!'!$A$1:$F$135,3,FALSE)</f>
        <v>5, 24</v>
      </c>
      <c r="N1823" s="52" t="str">
        <f>VLOOKUP(Tabla3[[#This Row],[Site]],'Important Info!'!$A$1:$F$135,4,FALSE)</f>
        <v>-</v>
      </c>
      <c r="O1823" s="52" t="str">
        <f>VLOOKUP(Tabla3[[#This Row],[Site]],'Important Info!'!$A$1:$F$135,5,FALSE)</f>
        <v>1, 7, 11, 15, 19, 24, 25</v>
      </c>
      <c r="P1823" s="52" t="str">
        <f>VLOOKUP(Tabla3[[#This Row],[Site]],'Important Info!'!$A$1:$F$135,6,FALSE)</f>
        <v>9, 20, 24, A49</v>
      </c>
      <c r="Q1823" s="91">
        <f>VLOOKUP(Tabla3[[#This Row],[Site]],'Important Info!'!$A$1:$J$135,9,FALSE)</f>
        <v>144</v>
      </c>
    </row>
    <row r="1824" spans="1:17" x14ac:dyDescent="0.25">
      <c r="A1824" t="str">
        <f>+Tabla3[[#This Row],[Site]]&amp;Tabla3[[#This Row],[Split]]</f>
        <v>(ML) McLarty-Gray Daniels Chevrolet19</v>
      </c>
      <c r="B1824">
        <v>19</v>
      </c>
      <c r="C1824">
        <v>14</v>
      </c>
      <c r="D1824" t="s">
        <v>33</v>
      </c>
      <c r="E1824" t="s">
        <v>46</v>
      </c>
      <c r="F1824" t="s">
        <v>151</v>
      </c>
      <c r="G1824" t="s">
        <v>34</v>
      </c>
      <c r="H1824" s="52" t="str">
        <f>VLOOKUP(Tabla3[[#This Row],[Site]],'Important Info!'!$A$1:$J$135,10,FALSE)</f>
        <v>https://tools.sig.systems/site/details/150</v>
      </c>
      <c r="I1824" s="2"/>
      <c r="J1824" t="s">
        <v>41</v>
      </c>
      <c r="K1824" s="79" t="str">
        <f>VLOOKUP(Tabla3[[#This Row],[Site]],'Important Info!'!$A$1:$H$135,8,FALSE)</f>
        <v>-</v>
      </c>
      <c r="L1824" s="52" t="str">
        <f>VLOOKUP(Tabla3[[#This Row],[Site]],'Important Info!'!$A$1:$F$135,2,FALSE)</f>
        <v>3, 4, 5, 22, 24, 26, 28, 36</v>
      </c>
      <c r="M1824" s="52" t="str">
        <f>VLOOKUP(Tabla3[[#This Row],[Site]],'Important Info!'!$A$1:$F$135,3,FALSE)</f>
        <v>-</v>
      </c>
      <c r="N1824" s="52" t="str">
        <f>VLOOKUP(Tabla3[[#This Row],[Site]],'Important Info!'!$A$1:$F$135,4,FALSE)</f>
        <v>-</v>
      </c>
      <c r="O1824" s="52" t="str">
        <f>VLOOKUP(Tabla3[[#This Row],[Site]],'Important Info!'!$A$1:$F$135,5,FALSE)</f>
        <v>4, 7, 12, 26</v>
      </c>
      <c r="P1824" s="52" t="str">
        <f>VLOOKUP(Tabla3[[#This Row],[Site]],'Important Info!'!$A$1:$F$135,6,FALSE)</f>
        <v>1, 3, 5, 6, 23, 24</v>
      </c>
      <c r="Q1824" s="91">
        <f>VLOOKUP(Tabla3[[#This Row],[Site]],'Important Info!'!$A$1:$J$135,9,FALSE)</f>
        <v>150</v>
      </c>
    </row>
    <row r="1825" spans="1:17" x14ac:dyDescent="0.25">
      <c r="A1825" t="str">
        <f>+Tabla3[[#This Row],[Site]]&amp;Tabla3[[#This Row],[Split]]</f>
        <v>(AS) Coggin Honda Ft. Pierce (NO TOURS)19</v>
      </c>
      <c r="B1825">
        <v>19</v>
      </c>
      <c r="C1825">
        <v>15</v>
      </c>
      <c r="D1825" t="s">
        <v>62</v>
      </c>
      <c r="E1825" t="s">
        <v>35</v>
      </c>
      <c r="F1825" t="s">
        <v>501</v>
      </c>
      <c r="G1825" t="s">
        <v>490</v>
      </c>
      <c r="H1825" s="52" t="str">
        <f>VLOOKUP(Tabla3[[#This Row],[Site]],'Important Info!'!$A$1:$J$135,10,FALSE)</f>
        <v>https://tools.sig.systems/site/details/120</v>
      </c>
      <c r="I1825" t="s">
        <v>179</v>
      </c>
      <c r="J1825" t="s">
        <v>484</v>
      </c>
      <c r="K1825" s="79" t="str">
        <f>VLOOKUP(Tabla3[[#This Row],[Site]],'Important Info!'!$A$1:$H$135,8,FALSE)</f>
        <v>-</v>
      </c>
      <c r="L1825" s="52" t="str">
        <f>VLOOKUP(Tabla3[[#This Row],[Site]],'Important Info!'!$A$1:$F$135,2,FALSE)</f>
        <v>1, 2, 3, 4, 14</v>
      </c>
      <c r="M1825" s="52" t="str">
        <f>VLOOKUP(Tabla3[[#This Row],[Site]],'Important Info!'!$A$1:$F$135,3,FALSE)</f>
        <v>-</v>
      </c>
      <c r="N1825" s="52" t="str">
        <f>VLOOKUP(Tabla3[[#This Row],[Site]],'Important Info!'!$A$1:$F$135,4,FALSE)</f>
        <v>-</v>
      </c>
      <c r="O1825" s="52" t="str">
        <f>VLOOKUP(Tabla3[[#This Row],[Site]],'Important Info!'!$A$1:$F$135,5,FALSE)</f>
        <v>7, 11, 15</v>
      </c>
      <c r="P1825" s="52">
        <f>VLOOKUP(Tabla3[[#This Row],[Site]],'Important Info!'!$A$1:$F$135,6,FALSE)</f>
        <v>3</v>
      </c>
      <c r="Q1825" s="91">
        <f>VLOOKUP(Tabla3[[#This Row],[Site]],'Important Info!'!$A$1:$J$135,9,FALSE)</f>
        <v>120</v>
      </c>
    </row>
    <row r="1826" spans="1:17" x14ac:dyDescent="0.25">
      <c r="A1826" t="str">
        <f>+Tabla3[[#This Row],[Site]]&amp;Tabla3[[#This Row],[Split]]</f>
        <v>(AS) Lexus Plano I &amp; II (NO TOURS)19</v>
      </c>
      <c r="B1826">
        <v>19</v>
      </c>
      <c r="C1826">
        <v>15</v>
      </c>
      <c r="D1826" t="s">
        <v>33</v>
      </c>
      <c r="E1826" t="s">
        <v>46</v>
      </c>
      <c r="F1826" t="s">
        <v>524</v>
      </c>
      <c r="G1826" t="s">
        <v>34</v>
      </c>
      <c r="H1826" s="52" t="str">
        <f>VLOOKUP(Tabla3[[#This Row],[Site]],'Important Info!'!$A$1:$J$135,10,FALSE)</f>
        <v>https://tools.sig.systems/site/details/167</v>
      </c>
      <c r="I1826" s="63" t="s">
        <v>127</v>
      </c>
      <c r="J1826" t="s">
        <v>41</v>
      </c>
      <c r="K1826" s="79" t="str">
        <f>VLOOKUP(Tabla3[[#This Row],[Site]],'Important Info!'!$A$1:$H$135,8,FALSE)</f>
        <v>-</v>
      </c>
      <c r="L1826" s="52" t="str">
        <f>VLOOKUP(Tabla3[[#This Row],[Site]],'Important Info!'!$A$1:$F$135,2,FALSE)</f>
        <v>5, 9</v>
      </c>
      <c r="M1826" s="52" t="str">
        <f>VLOOKUP(Tabla3[[#This Row],[Site]],'Important Info!'!$A$1:$F$135,3,FALSE)</f>
        <v>-</v>
      </c>
      <c r="N1826" s="52" t="str">
        <f>VLOOKUP(Tabla3[[#This Row],[Site]],'Important Info!'!$A$1:$F$135,4,FALSE)</f>
        <v>101, 102, 103, 104</v>
      </c>
      <c r="O1826" s="52" t="str">
        <f>VLOOKUP(Tabla3[[#This Row],[Site]],'Important Info!'!$A$1:$F$135,5,FALSE)</f>
        <v>4, 10, 28</v>
      </c>
      <c r="P1826" s="52" t="str">
        <f>VLOOKUP(Tabla3[[#This Row],[Site]],'Important Info!'!$A$1:$F$135,6,FALSE)</f>
        <v>5, 9, 16</v>
      </c>
      <c r="Q1826" s="91">
        <f>VLOOKUP(Tabla3[[#This Row],[Site]],'Important Info!'!$A$1:$J$135,9,FALSE)</f>
        <v>167</v>
      </c>
    </row>
    <row r="1827" spans="1:17" x14ac:dyDescent="0.25">
      <c r="A1827" t="str">
        <f>+Tabla3[[#This Row],[Site]]&amp;Tabla3[[#This Row],[Split]]</f>
        <v>(AS) Plaza Audi/Infiniti (NO TOURS)19</v>
      </c>
      <c r="B1827">
        <v>19</v>
      </c>
      <c r="C1827">
        <v>15</v>
      </c>
      <c r="D1827" t="s">
        <v>33</v>
      </c>
      <c r="E1827" t="s">
        <v>46</v>
      </c>
      <c r="F1827" t="s">
        <v>91</v>
      </c>
      <c r="G1827" t="s">
        <v>34</v>
      </c>
      <c r="H1827" s="52" t="str">
        <f>VLOOKUP(Tabla3[[#This Row],[Site]],'Important Info!'!$A$1:$J$135,10,FALSE)</f>
        <v>https://tools.sig.systems/site/details/141</v>
      </c>
      <c r="I1827" t="s">
        <v>130</v>
      </c>
      <c r="J1827" t="s">
        <v>41</v>
      </c>
      <c r="K1827" s="79" t="str">
        <f>VLOOKUP(Tabla3[[#This Row],[Site]],'Important Info!'!$A$1:$H$135,8,FALSE)</f>
        <v>-</v>
      </c>
      <c r="L1827" s="52" t="str">
        <f>VLOOKUP(Tabla3[[#This Row],[Site]],'Important Info!'!$A$1:$F$135,2,FALSE)</f>
        <v>7, 25</v>
      </c>
      <c r="M1827" s="52" t="str">
        <f>VLOOKUP(Tabla3[[#This Row],[Site]],'Important Info!'!$A$1:$F$135,3,FALSE)</f>
        <v>15, 17, 18</v>
      </c>
      <c r="N1827" s="52" t="str">
        <f>VLOOKUP(Tabla3[[#This Row],[Site]],'Important Info!'!$A$1:$F$135,4,FALSE)</f>
        <v>-</v>
      </c>
      <c r="O1827" s="52" t="str">
        <f>VLOOKUP(Tabla3[[#This Row],[Site]],'Important Info!'!$A$1:$F$135,5,FALSE)</f>
        <v>1, 24</v>
      </c>
      <c r="P1827" s="52" t="str">
        <f>VLOOKUP(Tabla3[[#This Row],[Site]],'Important Info!'!$A$1:$F$135,6,FALSE)</f>
        <v>3, 15, 17</v>
      </c>
      <c r="Q1827" s="91">
        <f>VLOOKUP(Tabla3[[#This Row],[Site]],'Important Info!'!$A$1:$J$135,9,FALSE)</f>
        <v>141</v>
      </c>
    </row>
    <row r="1828" spans="1:17" x14ac:dyDescent="0.25">
      <c r="A1828" t="str">
        <f>+Tabla3[[#This Row],[Site]]&amp;Tabla3[[#This Row],[Split]]</f>
        <v>(AS) Stevinson JLR (NO TOURS)19</v>
      </c>
      <c r="B1828">
        <v>19</v>
      </c>
      <c r="C1828">
        <v>15</v>
      </c>
      <c r="D1828" t="s">
        <v>44</v>
      </c>
      <c r="E1828" t="s">
        <v>53</v>
      </c>
      <c r="F1828" t="s">
        <v>93</v>
      </c>
      <c r="G1828" t="s">
        <v>45</v>
      </c>
      <c r="H1828" s="52" t="str">
        <f>VLOOKUP(Tabla3[[#This Row],[Site]],'Important Info!'!$A$1:$J$135,10,FALSE)</f>
        <v>https://tools.sig.systems/site/details/204</v>
      </c>
      <c r="I1828" s="2"/>
      <c r="J1828" t="s">
        <v>41</v>
      </c>
      <c r="K1828" s="79" t="str">
        <f>VLOOKUP(Tabla3[[#This Row],[Site]],'Important Info!'!$A$1:$H$135,8,FALSE)</f>
        <v>-</v>
      </c>
      <c r="L1828" s="52">
        <f>VLOOKUP(Tabla3[[#This Row],[Site]],'Important Info!'!$A$1:$F$135,2,FALSE)</f>
        <v>5</v>
      </c>
      <c r="M1828" s="52">
        <f>VLOOKUP(Tabla3[[#This Row],[Site]],'Important Info!'!$A$1:$F$135,3,FALSE)</f>
        <v>4</v>
      </c>
      <c r="N1828" s="52" t="str">
        <f>VLOOKUP(Tabla3[[#This Row],[Site]],'Important Info!'!$A$1:$F$135,4,FALSE)</f>
        <v>-</v>
      </c>
      <c r="O1828" s="52">
        <f>VLOOKUP(Tabla3[[#This Row],[Site]],'Important Info!'!$A$1:$F$135,5,FALSE)</f>
        <v>3</v>
      </c>
      <c r="P1828" s="52" t="str">
        <f>VLOOKUP(Tabla3[[#This Row],[Site]],'Important Info!'!$A$1:$F$135,6,FALSE)</f>
        <v>1, 4, 15, 16</v>
      </c>
      <c r="Q1828" s="91">
        <f>VLOOKUP(Tabla3[[#This Row],[Site]],'Important Info!'!$A$1:$J$135,9,FALSE)</f>
        <v>204</v>
      </c>
    </row>
    <row r="1829" spans="1:17" x14ac:dyDescent="0.25">
      <c r="A1829" t="str">
        <f>+Tabla3[[#This Row],[Site]]&amp;Tabla3[[#This Row],[Split]]</f>
        <v>(HUD) CDJR of Greensboro19</v>
      </c>
      <c r="B1829">
        <v>19</v>
      </c>
      <c r="C1829">
        <v>15</v>
      </c>
      <c r="D1829" t="s">
        <v>62</v>
      </c>
      <c r="E1829" t="s">
        <v>35</v>
      </c>
      <c r="F1829" t="s">
        <v>185</v>
      </c>
      <c r="G1829" t="s">
        <v>491</v>
      </c>
      <c r="H1829" s="52" t="str">
        <f>VLOOKUP(Tabla3[[#This Row],[Site]],'Important Info!'!$A$1:$J$135,10,FALSE)</f>
        <v>https://tools.sig.systems/site/details/215</v>
      </c>
      <c r="I1829" s="2" t="s">
        <v>184</v>
      </c>
      <c r="J1829" t="s">
        <v>36</v>
      </c>
      <c r="K1829" s="79" t="str">
        <f>VLOOKUP(Tabla3[[#This Row],[Site]],'Important Info!'!$A$1:$H$135,8,FALSE)</f>
        <v>-</v>
      </c>
      <c r="L1829" s="52" t="str">
        <f>VLOOKUP(Tabla3[[#This Row],[Site]],'Important Info!'!$A$1:$F$135,2,FALSE)</f>
        <v>2, 12</v>
      </c>
      <c r="M1829" s="52" t="str">
        <f>VLOOKUP(Tabla3[[#This Row],[Site]],'Important Info!'!$A$1:$F$135,3,FALSE)</f>
        <v>-</v>
      </c>
      <c r="N1829" s="52" t="str">
        <f>VLOOKUP(Tabla3[[#This Row],[Site]],'Important Info!'!$A$1:$F$135,4,FALSE)</f>
        <v>-</v>
      </c>
      <c r="O1829" s="52" t="str">
        <f>VLOOKUP(Tabla3[[#This Row],[Site]],'Important Info!'!$A$1:$F$135,5,FALSE)</f>
        <v>3, 13</v>
      </c>
      <c r="P1829" s="52" t="str">
        <f>VLOOKUP(Tabla3[[#This Row],[Site]],'Important Info!'!$A$1:$F$135,6,FALSE)</f>
        <v>1, 17</v>
      </c>
      <c r="Q1829" s="91">
        <f>VLOOKUP(Tabla3[[#This Row],[Site]],'Important Info!'!$A$1:$J$135,9,FALSE)</f>
        <v>215</v>
      </c>
    </row>
    <row r="1830" spans="1:17" x14ac:dyDescent="0.25">
      <c r="A1830" t="str">
        <f>+Tabla3[[#This Row],[Site]]&amp;Tabla3[[#This Row],[Split]]</f>
        <v>(AS) Coggin Acura Ft Pierce (NO TOURS)19</v>
      </c>
      <c r="B1830">
        <v>19</v>
      </c>
      <c r="C1830">
        <v>16</v>
      </c>
      <c r="D1830" t="s">
        <v>62</v>
      </c>
      <c r="E1830" t="s">
        <v>35</v>
      </c>
      <c r="F1830" t="s">
        <v>500</v>
      </c>
      <c r="G1830" t="s">
        <v>490</v>
      </c>
      <c r="H1830" s="52" t="str">
        <f>VLOOKUP(Tabla3[[#This Row],[Site]],'Important Info!'!$A$1:$J$135,10,FALSE)</f>
        <v>https://tools.sig.systems/site/details/118</v>
      </c>
      <c r="I1830" s="2" t="s">
        <v>179</v>
      </c>
      <c r="J1830" t="s">
        <v>41</v>
      </c>
      <c r="K1830" s="79" t="str">
        <f>VLOOKUP(Tabla3[[#This Row],[Site]],'Important Info!'!$A$1:$H$135,8,FALSE)</f>
        <v>-</v>
      </c>
      <c r="L1830" s="52" t="str">
        <f>VLOOKUP(Tabla3[[#This Row],[Site]],'Important Info!'!$A$1:$F$135,2,FALSE)</f>
        <v>-</v>
      </c>
      <c r="M1830" s="52">
        <f>VLOOKUP(Tabla3[[#This Row],[Site]],'Important Info!'!$A$1:$F$135,3,FALSE)</f>
        <v>6</v>
      </c>
      <c r="N1830" s="52" t="str">
        <f>VLOOKUP(Tabla3[[#This Row],[Site]],'Important Info!'!$A$1:$F$135,4,FALSE)</f>
        <v>-</v>
      </c>
      <c r="O1830" s="52" t="str">
        <f>VLOOKUP(Tabla3[[#This Row],[Site]],'Important Info!'!$A$1:$F$135,5,FALSE)</f>
        <v>4, 6</v>
      </c>
      <c r="P1830" s="52">
        <f>VLOOKUP(Tabla3[[#This Row],[Site]],'Important Info!'!$A$1:$F$135,6,FALSE)</f>
        <v>1</v>
      </c>
      <c r="Q1830" s="91">
        <f>VLOOKUP(Tabla3[[#This Row],[Site]],'Important Info!'!$A$1:$J$135,9,FALSE)</f>
        <v>118</v>
      </c>
    </row>
    <row r="1831" spans="1:17" x14ac:dyDescent="0.25">
      <c r="A1831" t="str">
        <f>+Tabla3[[#This Row],[Site]]&amp;Tabla3[[#This Row],[Split]]</f>
        <v>(AS) Park Place Acura (NO TOURS)19</v>
      </c>
      <c r="B1831">
        <v>19</v>
      </c>
      <c r="C1831">
        <v>16</v>
      </c>
      <c r="D1831" t="s">
        <v>33</v>
      </c>
      <c r="E1831" t="s">
        <v>46</v>
      </c>
      <c r="F1831" t="s">
        <v>513</v>
      </c>
      <c r="G1831" t="s">
        <v>34</v>
      </c>
      <c r="H1831" s="52" t="str">
        <f>VLOOKUP(Tabla3[[#This Row],[Site]],'Important Info!'!$A$1:$J$135,10,FALSE)</f>
        <v>https://tools.sig.systems/site/details/259</v>
      </c>
      <c r="I1831" s="63" t="s">
        <v>127</v>
      </c>
      <c r="J1831" t="s">
        <v>41</v>
      </c>
      <c r="K1831" s="79" t="str">
        <f>VLOOKUP(Tabla3[[#This Row],[Site]],'Important Info!'!$A$1:$H$135,8,FALSE)</f>
        <v>-</v>
      </c>
      <c r="L1831" s="52" t="str">
        <f>VLOOKUP(Tabla3[[#This Row],[Site]],'Important Info!'!$A$1:$F$135,2,FALSE)</f>
        <v>1, 2, 14, 16</v>
      </c>
      <c r="M1831" s="52" t="str">
        <f>VLOOKUP(Tabla3[[#This Row],[Site]],'Important Info!'!$A$1:$F$135,3,FALSE)</f>
        <v>-</v>
      </c>
      <c r="N1831" s="52" t="str">
        <f>VLOOKUP(Tabla3[[#This Row],[Site]],'Important Info!'!$A$1:$F$135,4,FALSE)</f>
        <v>-</v>
      </c>
      <c r="O1831" s="52" t="str">
        <f>VLOOKUP(Tabla3[[#This Row],[Site]],'Important Info!'!$A$1:$F$135,5,FALSE)</f>
        <v>1, 7, 13</v>
      </c>
      <c r="P1831" s="52" t="str">
        <f>VLOOKUP(Tabla3[[#This Row],[Site]],'Important Info!'!$A$1:$F$135,6,FALSE)</f>
        <v>-</v>
      </c>
      <c r="Q1831" s="91">
        <f>VLOOKUP(Tabla3[[#This Row],[Site]],'Important Info!'!$A$1:$J$135,9,FALSE)</f>
        <v>259</v>
      </c>
    </row>
    <row r="1832" spans="1:17" x14ac:dyDescent="0.25">
      <c r="A1832" t="str">
        <f>+Tabla3[[#This Row],[Site]]&amp;Tabla3[[#This Row],[Split]]</f>
        <v>(DT) Escondido19</v>
      </c>
      <c r="B1832">
        <v>19</v>
      </c>
      <c r="C1832">
        <v>16</v>
      </c>
      <c r="D1832" t="s">
        <v>51</v>
      </c>
      <c r="E1832" t="s">
        <v>159</v>
      </c>
      <c r="F1832" t="s">
        <v>112</v>
      </c>
      <c r="G1832" t="s">
        <v>164</v>
      </c>
      <c r="H1832" s="52" t="str">
        <f>VLOOKUP(Tabla3[[#This Row],[Site]],'Important Info!'!$A$1:$J$135,10,FALSE)</f>
        <v>https://tools.sig.systems/site/details/196</v>
      </c>
      <c r="I1832" s="2"/>
      <c r="J1832" t="s">
        <v>41</v>
      </c>
      <c r="K1832" s="79" t="str">
        <f>VLOOKUP(Tabla3[[#This Row],[Site]],'Important Info!'!$A$1:$H$135,8,FALSE)</f>
        <v>Saturday Drop Time 9:00 A.M.</v>
      </c>
      <c r="L1832" s="52" t="str">
        <f>VLOOKUP(Tabla3[[#This Row],[Site]],'Important Info!'!$A$1:$F$135,2,FALSE)</f>
        <v>1, 2</v>
      </c>
      <c r="M1832" s="52" t="str">
        <f>VLOOKUP(Tabla3[[#This Row],[Site]],'Important Info!'!$A$1:$F$135,3,FALSE)</f>
        <v>-</v>
      </c>
      <c r="N1832" s="52" t="str">
        <f>VLOOKUP(Tabla3[[#This Row],[Site]],'Important Info!'!$A$1:$F$135,4,FALSE)</f>
        <v>-</v>
      </c>
      <c r="O1832" s="52" t="str">
        <f>VLOOKUP(Tabla3[[#This Row],[Site]],'Important Info!'!$A$1:$F$135,5,FALSE)</f>
        <v>-</v>
      </c>
      <c r="P1832" s="52" t="str">
        <f>VLOOKUP(Tabla3[[#This Row],[Site]],'Important Info!'!$A$1:$F$135,6,FALSE)</f>
        <v>5, 7, 8</v>
      </c>
      <c r="Q1832" s="91">
        <f>VLOOKUP(Tabla3[[#This Row],[Site]],'Important Info!'!$A$1:$J$135,9,FALSE)</f>
        <v>196</v>
      </c>
    </row>
    <row r="1833" spans="1:17" x14ac:dyDescent="0.25">
      <c r="A1833" t="str">
        <f>+Tabla3[[#This Row],[Site]]&amp;Tabla3[[#This Row],[Split]]</f>
        <v>(DT) W Houston19</v>
      </c>
      <c r="B1833">
        <v>19</v>
      </c>
      <c r="C1833">
        <v>16</v>
      </c>
      <c r="D1833" t="s">
        <v>33</v>
      </c>
      <c r="E1833" t="s">
        <v>46</v>
      </c>
      <c r="F1833" t="s">
        <v>69</v>
      </c>
      <c r="G1833" t="s">
        <v>34</v>
      </c>
      <c r="H1833" s="52" t="str">
        <f>VLOOKUP(Tabla3[[#This Row],[Site]],'Important Info!'!$A$1:$J$135,10,FALSE)</f>
        <v>https://tools.sig.systems/site/details/197</v>
      </c>
      <c r="I1833" s="2"/>
      <c r="J1833" t="s">
        <v>41</v>
      </c>
      <c r="K1833" s="79" t="str">
        <f>VLOOKUP(Tabla3[[#This Row],[Site]],'Important Info!'!$A$1:$H$135,8,FALSE)</f>
        <v>-</v>
      </c>
      <c r="L1833" s="52">
        <f>VLOOKUP(Tabla3[[#This Row],[Site]],'Important Info!'!$A$1:$F$135,2,FALSE)</f>
        <v>7</v>
      </c>
      <c r="M1833" s="52">
        <f>VLOOKUP(Tabla3[[#This Row],[Site]],'Important Info!'!$A$1:$F$135,3,FALSE)</f>
        <v>2</v>
      </c>
      <c r="N1833" s="52" t="str">
        <f>VLOOKUP(Tabla3[[#This Row],[Site]],'Important Info!'!$A$1:$F$135,4,FALSE)</f>
        <v>-</v>
      </c>
      <c r="O1833" s="52">
        <f>VLOOKUP(Tabla3[[#This Row],[Site]],'Important Info!'!$A$1:$F$135,5,FALSE)</f>
        <v>14</v>
      </c>
      <c r="P1833" s="52" t="str">
        <f>VLOOKUP(Tabla3[[#This Row],[Site]],'Important Info!'!$A$1:$F$135,6,FALSE)</f>
        <v>2, 3, 7, 10</v>
      </c>
      <c r="Q1833" s="91">
        <f>VLOOKUP(Tabla3[[#This Row],[Site]],'Important Info!'!$A$1:$J$135,9,FALSE)</f>
        <v>197</v>
      </c>
    </row>
    <row r="1834" spans="1:17" x14ac:dyDescent="0.25">
      <c r="A1834" t="str">
        <f>+Tabla3[[#This Row],[Site]]&amp;Tabla3[[#This Row],[Split]]</f>
        <v>(DT) Wichita19</v>
      </c>
      <c r="B1834">
        <v>19</v>
      </c>
      <c r="C1834">
        <v>16</v>
      </c>
      <c r="D1834" t="s">
        <v>33</v>
      </c>
      <c r="E1834" t="s">
        <v>46</v>
      </c>
      <c r="F1834" t="s">
        <v>131</v>
      </c>
      <c r="G1834" t="s">
        <v>34</v>
      </c>
      <c r="H1834" s="52" t="str">
        <f>VLOOKUP(Tabla3[[#This Row],[Site]],'Important Info!'!$A$1:$J$135,10,FALSE)</f>
        <v>https://tools.sig.systems/site/details/257</v>
      </c>
      <c r="J1834" t="s">
        <v>41</v>
      </c>
      <c r="K1834" s="79" t="str">
        <f>VLOOKUP(Tabla3[[#This Row],[Site]],'Important Info!'!$A$1:$H$135,8,FALSE)</f>
        <v>-</v>
      </c>
      <c r="L1834" s="52" t="str">
        <f>VLOOKUP(Tabla3[[#This Row],[Site]],'Important Info!'!$A$1:$F$135,2,FALSE)</f>
        <v>-</v>
      </c>
      <c r="M1834" s="52" t="str">
        <f>VLOOKUP(Tabla3[[#This Row],[Site]],'Important Info!'!$A$1:$F$135,3,FALSE)</f>
        <v>10, 11</v>
      </c>
      <c r="N1834" s="52" t="str">
        <f>VLOOKUP(Tabla3[[#This Row],[Site]],'Important Info!'!$A$1:$F$135,4,FALSE)</f>
        <v>-</v>
      </c>
      <c r="O1834" s="52" t="str">
        <f>VLOOKUP(Tabla3[[#This Row],[Site]],'Important Info!'!$A$1:$F$135,5,FALSE)</f>
        <v>-</v>
      </c>
      <c r="P1834" s="52" t="str">
        <f>VLOOKUP(Tabla3[[#This Row],[Site]],'Important Info!'!$A$1:$F$135,6,FALSE)</f>
        <v>1, 5, 6, 10</v>
      </c>
      <c r="Q1834" s="91">
        <f>VLOOKUP(Tabla3[[#This Row],[Site]],'Important Info!'!$A$1:$J$135,9,FALSE)</f>
        <v>257</v>
      </c>
    </row>
    <row r="1835" spans="1:17" x14ac:dyDescent="0.25">
      <c r="A1835" t="str">
        <f>+Tabla3[[#This Row],[Site]]&amp;Tabla3[[#This Row],[Split]]</f>
        <v>(HUD) Honda Greensboro19</v>
      </c>
      <c r="B1835">
        <v>19</v>
      </c>
      <c r="C1835">
        <v>16</v>
      </c>
      <c r="D1835" t="s">
        <v>62</v>
      </c>
      <c r="E1835" t="s">
        <v>35</v>
      </c>
      <c r="F1835" t="s">
        <v>85</v>
      </c>
      <c r="G1835" t="s">
        <v>490</v>
      </c>
      <c r="H1835" s="52" t="str">
        <f>VLOOKUP(Tabla3[[#This Row],[Site]],'Important Info!'!$A$1:$J$135,10,FALSE)</f>
        <v>https://tools.sig.systems/site/details/230</v>
      </c>
      <c r="I1835" t="s">
        <v>186</v>
      </c>
      <c r="J1835" t="s">
        <v>41</v>
      </c>
      <c r="K1835" s="79" t="str">
        <f>VLOOKUP(Tabla3[[#This Row],[Site]],'Important Info!'!$A$1:$H$135,8,FALSE)</f>
        <v>-</v>
      </c>
      <c r="L1835" s="52" t="str">
        <f>VLOOKUP(Tabla3[[#This Row],[Site]],'Important Info!'!$A$1:$F$135,2,FALSE)</f>
        <v>1, 3,  15, 16, 22</v>
      </c>
      <c r="M1835" s="52" t="str">
        <f>VLOOKUP(Tabla3[[#This Row],[Site]],'Important Info!'!$A$1:$F$135,3,FALSE)</f>
        <v>-</v>
      </c>
      <c r="N1835" s="52" t="str">
        <f>VLOOKUP(Tabla3[[#This Row],[Site]],'Important Info!'!$A$1:$F$135,4,FALSE)</f>
        <v>-</v>
      </c>
      <c r="O1835" s="52" t="str">
        <f>VLOOKUP(Tabla3[[#This Row],[Site]],'Important Info!'!$A$1:$F$135,5,FALSE)</f>
        <v>3, 20</v>
      </c>
      <c r="P1835" s="52">
        <f>VLOOKUP(Tabla3[[#This Row],[Site]],'Important Info!'!$A$1:$F$135,6,FALSE)</f>
        <v>26</v>
      </c>
      <c r="Q1835" s="91">
        <f>VLOOKUP(Tabla3[[#This Row],[Site]],'Important Info!'!$A$1:$J$135,9,FALSE)</f>
        <v>230</v>
      </c>
    </row>
    <row r="1836" spans="1:17" x14ac:dyDescent="0.25">
      <c r="A1836" t="str">
        <f>+Tabla3[[#This Row],[Site]]&amp;Tabla3[[#This Row],[Split]]</f>
        <v>(ML) McLarty Gray-Daniels Toyota Nissan19</v>
      </c>
      <c r="B1836">
        <v>19</v>
      </c>
      <c r="C1836">
        <v>16</v>
      </c>
      <c r="D1836" t="s">
        <v>33</v>
      </c>
      <c r="E1836" t="s">
        <v>46</v>
      </c>
      <c r="F1836" t="s">
        <v>90</v>
      </c>
      <c r="G1836" t="s">
        <v>34</v>
      </c>
      <c r="H1836" s="52" t="str">
        <f>VLOOKUP(Tabla3[[#This Row],[Site]],'Important Info!'!$A$1:$J$135,10,FALSE)</f>
        <v>https://tools.sig.systems/site/details/152</v>
      </c>
      <c r="I1836" s="2" t="s">
        <v>150</v>
      </c>
      <c r="J1836" t="s">
        <v>41</v>
      </c>
      <c r="K1836" s="79" t="str">
        <f>VLOOKUP(Tabla3[[#This Row],[Site]],'Important Info!'!$A$1:$H$135,8,FALSE)</f>
        <v>-</v>
      </c>
      <c r="L1836" s="52" t="str">
        <f>VLOOKUP(Tabla3[[#This Row],[Site]],'Important Info!'!$A$1:$F$135,2,FALSE)</f>
        <v>-</v>
      </c>
      <c r="M1836" s="52" t="str">
        <f>VLOOKUP(Tabla3[[#This Row],[Site]],'Important Info!'!$A$1:$F$135,3,FALSE)</f>
        <v>8, 11, 39, 43</v>
      </c>
      <c r="N1836" s="52" t="str">
        <f>VLOOKUP(Tabla3[[#This Row],[Site]],'Important Info!'!$A$1:$F$135,4,FALSE)</f>
        <v>-</v>
      </c>
      <c r="O1836" s="52" t="str">
        <f>VLOOKUP(Tabla3[[#This Row],[Site]],'Important Info!'!$A$1:$F$135,5,FALSE)</f>
        <v>6, 11, 15, 18</v>
      </c>
      <c r="P1836" s="52" t="str">
        <f>VLOOKUP(Tabla3[[#This Row],[Site]],'Important Info!'!$A$1:$F$135,6,FALSE)</f>
        <v>7, 8, 9</v>
      </c>
      <c r="Q1836" s="91">
        <f>VLOOKUP(Tabla3[[#This Row],[Site]],'Important Info!'!$A$1:$J$135,9,FALSE)</f>
        <v>152</v>
      </c>
    </row>
    <row r="1837" spans="1:17" x14ac:dyDescent="0.25">
      <c r="A1837" t="str">
        <f>+Tabla3[[#This Row],[Site]]&amp;Tabla3[[#This Row],[Split]]</f>
        <v>(RV) Sonny's Camp N Travel Concord19</v>
      </c>
      <c r="B1837">
        <v>19</v>
      </c>
      <c r="C1837">
        <v>16</v>
      </c>
      <c r="D1837" t="s">
        <v>62</v>
      </c>
      <c r="E1837" t="s">
        <v>35</v>
      </c>
      <c r="F1837" t="s">
        <v>188</v>
      </c>
      <c r="G1837" t="s">
        <v>490</v>
      </c>
      <c r="H1837" s="52" t="str">
        <f>VLOOKUP(Tabla3[[#This Row],[Site]],'Important Info!'!$A$1:$J$135,10,FALSE)</f>
        <v>https://tools.sig.systems/site/details/183</v>
      </c>
      <c r="J1837" t="s">
        <v>41</v>
      </c>
      <c r="K1837" s="79" t="str">
        <f>VLOOKUP(Tabla3[[#This Row],[Site]],'Important Info!'!$A$1:$H$135,8,FALSE)</f>
        <v>-</v>
      </c>
      <c r="L1837" s="52">
        <f>VLOOKUP(Tabla3[[#This Row],[Site]],'Important Info!'!$A$1:$F$135,2,FALSE)</f>
        <v>1</v>
      </c>
      <c r="M1837" s="52" t="str">
        <f>VLOOKUP(Tabla3[[#This Row],[Site]],'Important Info!'!$A$1:$F$135,3,FALSE)</f>
        <v>-</v>
      </c>
      <c r="N1837" s="52" t="str">
        <f>VLOOKUP(Tabla3[[#This Row],[Site]],'Important Info!'!$A$1:$F$135,4,FALSE)</f>
        <v>-</v>
      </c>
      <c r="O1837" s="52">
        <f>VLOOKUP(Tabla3[[#This Row],[Site]],'Important Info!'!$A$1:$F$135,5,FALSE)</f>
        <v>7</v>
      </c>
      <c r="P1837" s="52" t="str">
        <f>VLOOKUP(Tabla3[[#This Row],[Site]],'Important Info!'!$A$1:$F$135,6,FALSE)</f>
        <v>6, 7, 8, 9</v>
      </c>
      <c r="Q1837" s="91">
        <f>VLOOKUP(Tabla3[[#This Row],[Site]],'Important Info!'!$A$1:$J$135,9,FALSE)</f>
        <v>183</v>
      </c>
    </row>
    <row r="1838" spans="1:17" x14ac:dyDescent="0.25">
      <c r="A1838" t="str">
        <f>+Tabla3[[#This Row],[Site]]&amp;Tabla3[[#This Row],[Split]]</f>
        <v>(AS) Audi of North Atlanta (NO TOURS)19</v>
      </c>
      <c r="B1838">
        <v>19</v>
      </c>
      <c r="C1838">
        <v>17</v>
      </c>
      <c r="D1838" t="s">
        <v>62</v>
      </c>
      <c r="E1838" t="s">
        <v>35</v>
      </c>
      <c r="F1838" t="s">
        <v>499</v>
      </c>
      <c r="G1838" t="s">
        <v>490</v>
      </c>
      <c r="H1838" s="52" t="str">
        <f>VLOOKUP(Tabla3[[#This Row],[Site]],'Important Info!'!$A$1:$J$135,10,FALSE)</f>
        <v>https://tools.sig.systems/site/details/124</v>
      </c>
      <c r="I1838" s="2" t="s">
        <v>166</v>
      </c>
      <c r="J1838" t="s">
        <v>41</v>
      </c>
      <c r="K1838" s="79" t="str">
        <f>VLOOKUP(Tabla3[[#This Row],[Site]],'Important Info!'!$A$1:$H$135,8,FALSE)</f>
        <v>-</v>
      </c>
      <c r="L1838" s="52" t="str">
        <f>VLOOKUP(Tabla3[[#This Row],[Site]],'Important Info!'!$A$1:$F$135,2,FALSE)</f>
        <v>1, 5, 16, 54</v>
      </c>
      <c r="M1838" s="52" t="str">
        <f>VLOOKUP(Tabla3[[#This Row],[Site]],'Important Info!'!$A$1:$F$135,3,FALSE)</f>
        <v>-</v>
      </c>
      <c r="N1838" s="52" t="str">
        <f>VLOOKUP(Tabla3[[#This Row],[Site]],'Important Info!'!$A$1:$F$135,4,FALSE)</f>
        <v>-</v>
      </c>
      <c r="O1838" s="52" t="str">
        <f>VLOOKUP(Tabla3[[#This Row],[Site]],'Important Info!'!$A$1:$F$135,5,FALSE)</f>
        <v>3, 16</v>
      </c>
      <c r="P1838" s="52" t="str">
        <f>VLOOKUP(Tabla3[[#This Row],[Site]],'Important Info!'!$A$1:$F$135,6,FALSE)</f>
        <v>2, 5, 6</v>
      </c>
      <c r="Q1838" s="91">
        <f>VLOOKUP(Tabla3[[#This Row],[Site]],'Important Info!'!$A$1:$J$135,9,FALSE)</f>
        <v>124</v>
      </c>
    </row>
    <row r="1839" spans="1:17" x14ac:dyDescent="0.25">
      <c r="A1839" t="str">
        <f>+Tabla3[[#This Row],[Site]]&amp;Tabla3[[#This Row],[Split]]</f>
        <v>(AS) Stevinson Porsche of Littleton (NO TOURS)19</v>
      </c>
      <c r="B1839">
        <v>19</v>
      </c>
      <c r="C1839">
        <v>17</v>
      </c>
      <c r="D1839" t="s">
        <v>44</v>
      </c>
      <c r="E1839" t="s">
        <v>53</v>
      </c>
      <c r="F1839" t="s">
        <v>78</v>
      </c>
      <c r="G1839" t="s">
        <v>45</v>
      </c>
      <c r="H1839" s="52" t="str">
        <f>VLOOKUP(Tabla3[[#This Row],[Site]],'Important Info!'!$A$1:$J$135,10,FALSE)</f>
        <v>https://tools.sig.systems/site/details/242</v>
      </c>
      <c r="J1839" t="s">
        <v>41</v>
      </c>
      <c r="K1839" s="79" t="str">
        <f>VLOOKUP(Tabla3[[#This Row],[Site]],'Important Info!'!$A$1:$H$135,8,FALSE)</f>
        <v>-</v>
      </c>
      <c r="L1839" s="52" t="str">
        <f>VLOOKUP(Tabla3[[#This Row],[Site]],'Important Info!'!$A$1:$F$135,2,FALSE)</f>
        <v>3, 4</v>
      </c>
      <c r="M1839" s="52">
        <f>VLOOKUP(Tabla3[[#This Row],[Site]],'Important Info!'!$A$1:$F$135,3,FALSE)</f>
        <v>2</v>
      </c>
      <c r="N1839" s="52" t="str">
        <f>VLOOKUP(Tabla3[[#This Row],[Site]],'Important Info!'!$A$1:$F$135,4,FALSE)</f>
        <v>-</v>
      </c>
      <c r="O1839" s="52" t="str">
        <f>VLOOKUP(Tabla3[[#This Row],[Site]],'Important Info!'!$A$1:$F$135,5,FALSE)</f>
        <v>-</v>
      </c>
      <c r="P1839" s="52" t="str">
        <f>VLOOKUP(Tabla3[[#This Row],[Site]],'Important Info!'!$A$1:$F$135,6,FALSE)</f>
        <v>3, 4</v>
      </c>
      <c r="Q1839" s="91">
        <f>VLOOKUP(Tabla3[[#This Row],[Site]],'Important Info!'!$A$1:$J$135,9,FALSE)</f>
        <v>242</v>
      </c>
    </row>
    <row r="1840" spans="1:17" x14ac:dyDescent="0.25">
      <c r="A1840" t="str">
        <f>+Tabla3[[#This Row],[Site]]&amp;Tabla3[[#This Row],[Split]]</f>
        <v>(HUD) Paint and Body Center (NO TOURS)19</v>
      </c>
      <c r="B1840">
        <v>19</v>
      </c>
      <c r="C1840">
        <v>17</v>
      </c>
      <c r="D1840" t="s">
        <v>62</v>
      </c>
      <c r="E1840" t="s">
        <v>35</v>
      </c>
      <c r="F1840" t="s">
        <v>110</v>
      </c>
      <c r="G1840" t="s">
        <v>490</v>
      </c>
      <c r="H1840" s="52" t="str">
        <f>VLOOKUP(Tabla3[[#This Row],[Site]],'Important Info!'!$A$1:$J$135,10,FALSE)</f>
        <v>https://tools.sig.systems/site/details/256</v>
      </c>
      <c r="I1840" t="s">
        <v>184</v>
      </c>
      <c r="J1840" t="s">
        <v>41</v>
      </c>
      <c r="K1840" s="79" t="str">
        <f>VLOOKUP(Tabla3[[#This Row],[Site]],'Important Info!'!$A$1:$H$135,8,FALSE)</f>
        <v>-</v>
      </c>
      <c r="L1840" s="52" t="str">
        <f>VLOOKUP(Tabla3[[#This Row],[Site]],'Important Info!'!$A$1:$F$135,2,FALSE)</f>
        <v>-</v>
      </c>
      <c r="M1840" s="52">
        <f>VLOOKUP(Tabla3[[#This Row],[Site]],'Important Info!'!$A$1:$F$135,3,FALSE)</f>
        <v>1</v>
      </c>
      <c r="N1840" s="52" t="str">
        <f>VLOOKUP(Tabla3[[#This Row],[Site]],'Important Info!'!$A$1:$F$135,4,FALSE)</f>
        <v>-</v>
      </c>
      <c r="O1840" s="52" t="str">
        <f>VLOOKUP(Tabla3[[#This Row],[Site]],'Important Info!'!$A$1:$F$135,5,FALSE)</f>
        <v>-</v>
      </c>
      <c r="P1840" s="52" t="str">
        <f>VLOOKUP(Tabla3[[#This Row],[Site]],'Important Info!'!$A$1:$F$135,6,FALSE)</f>
        <v>-</v>
      </c>
      <c r="Q1840" s="91">
        <f>VLOOKUP(Tabla3[[#This Row],[Site]],'Important Info!'!$A$1:$J$135,9,FALSE)</f>
        <v>256</v>
      </c>
    </row>
    <row r="1841" spans="1:17" x14ac:dyDescent="0.25">
      <c r="A1841" t="str">
        <f>+Tabla3[[#This Row],[Site]]&amp;Tabla3[[#This Row],[Split]]</f>
        <v>(KG) Baytown GMC Buick - Remote Lot (NO TOURS)19</v>
      </c>
      <c r="B1841">
        <v>19</v>
      </c>
      <c r="C1841">
        <v>17</v>
      </c>
      <c r="D1841" t="s">
        <v>60</v>
      </c>
      <c r="E1841" t="s">
        <v>46</v>
      </c>
      <c r="F1841" t="s">
        <v>167</v>
      </c>
      <c r="G1841" t="s">
        <v>41</v>
      </c>
      <c r="H1841" s="52" t="str">
        <f>VLOOKUP(Tabla3[[#This Row],[Site]],'Important Info!'!$A$1:$J$135,10,FALSE)</f>
        <v>https://tools.sig.systems/site/details/311</v>
      </c>
      <c r="I1841" s="43"/>
      <c r="J1841" t="s">
        <v>41</v>
      </c>
      <c r="K1841" s="79" t="s">
        <v>168</v>
      </c>
      <c r="L1841" s="52" t="str">
        <f>VLOOKUP(Tabla3[[#This Row],[Site]],'Important Info!'!$A$1:$F$135,2,FALSE)</f>
        <v>-</v>
      </c>
      <c r="M1841" s="52" t="str">
        <f>VLOOKUP(Tabla3[[#This Row],[Site]],'Important Info!'!$A$1:$F$135,3,FALSE)</f>
        <v>7, 8</v>
      </c>
      <c r="N1841" s="52" t="str">
        <f>VLOOKUP(Tabla3[[#This Row],[Site]],'Important Info!'!$A$1:$F$135,4,FALSE)</f>
        <v>-</v>
      </c>
      <c r="O1841" s="52" t="str">
        <f>VLOOKUP(Tabla3[[#This Row],[Site]],'Important Info!'!$A$1:$F$135,5,FALSE)</f>
        <v>-</v>
      </c>
      <c r="P1841" s="52" t="str">
        <f>VLOOKUP(Tabla3[[#This Row],[Site]],'Important Info!'!$A$1:$F$135,6,FALSE)</f>
        <v>-</v>
      </c>
      <c r="Q1841" s="91">
        <f>VLOOKUP(Tabla3[[#This Row],[Site]],'Important Info!'!$A$1:$J$135,9,FALSE)</f>
        <v>311</v>
      </c>
    </row>
    <row r="1842" spans="1:17" x14ac:dyDescent="0.25">
      <c r="A1842" t="str">
        <f>+Tabla3[[#This Row],[Site]]&amp;Tabla3[[#This Row],[Split]]</f>
        <v>(KG) Baytown GMC Buick (NO TOURS)19</v>
      </c>
      <c r="B1842">
        <v>19</v>
      </c>
      <c r="C1842">
        <v>17</v>
      </c>
      <c r="D1842" t="s">
        <v>33</v>
      </c>
      <c r="E1842" t="s">
        <v>46</v>
      </c>
      <c r="F1842" t="s">
        <v>132</v>
      </c>
      <c r="G1842" t="s">
        <v>34</v>
      </c>
      <c r="H1842" s="52" t="str">
        <f>VLOOKUP(Tabla3[[#This Row],[Site]],'Important Info!'!$A$1:$J$135,10,FALSE)</f>
        <v>https://tools.sig.systems/site/details/239</v>
      </c>
      <c r="I1842" s="43"/>
      <c r="J1842" t="s">
        <v>41</v>
      </c>
      <c r="K1842" s="79" t="str">
        <f>VLOOKUP(Tabla3[[#This Row],[Site]],'Important Info!'!$A$1:$H$135,8,FALSE)</f>
        <v>-</v>
      </c>
      <c r="L1842" s="52" t="str">
        <f>VLOOKUP(Tabla3[[#This Row],[Site]],'Important Info!'!$A$1:$F$135,2,FALSE)</f>
        <v>1, 5, 7, 21, 22</v>
      </c>
      <c r="M1842" s="52" t="str">
        <f>VLOOKUP(Tabla3[[#This Row],[Site]],'Important Info!'!$A$1:$F$135,3,FALSE)</f>
        <v>-</v>
      </c>
      <c r="N1842" s="52" t="str">
        <f>VLOOKUP(Tabla3[[#This Row],[Site]],'Important Info!'!$A$1:$F$135,4,FALSE)</f>
        <v>-</v>
      </c>
      <c r="O1842" s="52" t="str">
        <f>VLOOKUP(Tabla3[[#This Row],[Site]],'Important Info!'!$A$1:$F$135,5,FALSE)</f>
        <v>2, 10, 15, 24B</v>
      </c>
      <c r="P1842" s="52" t="str">
        <f>VLOOKUP(Tabla3[[#This Row],[Site]],'Important Info!'!$A$1:$F$135,6,FALSE)</f>
        <v>21, 22</v>
      </c>
      <c r="Q1842" s="91">
        <f>VLOOKUP(Tabla3[[#This Row],[Site]],'Important Info!'!$A$1:$J$135,9,FALSE)</f>
        <v>239</v>
      </c>
    </row>
    <row r="1843" spans="1:17" x14ac:dyDescent="0.25">
      <c r="A1843" t="str">
        <f>+Tabla3[[#This Row],[Site]]&amp;Tabla3[[#This Row],[Split]]</f>
        <v>(ML) McLarty Gray-Daniels Ford Lincoln19</v>
      </c>
      <c r="B1843">
        <v>19</v>
      </c>
      <c r="C1843">
        <v>17</v>
      </c>
      <c r="D1843" t="s">
        <v>33</v>
      </c>
      <c r="E1843" t="s">
        <v>46</v>
      </c>
      <c r="F1843" t="s">
        <v>89</v>
      </c>
      <c r="G1843" t="s">
        <v>34</v>
      </c>
      <c r="H1843" s="52" t="str">
        <f>VLOOKUP(Tabla3[[#This Row],[Site]],'Important Info!'!$A$1:$J$135,10,FALSE)</f>
        <v>https://tools.sig.systems/site/details/151</v>
      </c>
      <c r="I1843" s="43" t="s">
        <v>150</v>
      </c>
      <c r="J1843" t="s">
        <v>41</v>
      </c>
      <c r="K1843" s="79" t="str">
        <f>VLOOKUP(Tabla3[[#This Row],[Site]],'Important Info!'!$A$1:$H$135,8,FALSE)</f>
        <v>-</v>
      </c>
      <c r="L1843" s="52">
        <f>VLOOKUP(Tabla3[[#This Row],[Site]],'Important Info!'!$A$1:$F$135,2,FALSE)</f>
        <v>16</v>
      </c>
      <c r="M1843" s="52" t="str">
        <f>VLOOKUP(Tabla3[[#This Row],[Site]],'Important Info!'!$A$1:$F$135,3,FALSE)</f>
        <v>5, 10, 36, 38, 54, 58B</v>
      </c>
      <c r="N1843" s="52" t="str">
        <f>VLOOKUP(Tabla3[[#This Row],[Site]],'Important Info!'!$A$1:$F$135,4,FALSE)</f>
        <v>-</v>
      </c>
      <c r="O1843" s="52" t="str">
        <f>VLOOKUP(Tabla3[[#This Row],[Site]],'Important Info!'!$A$1:$F$135,5,FALSE)</f>
        <v>5, 17, 37</v>
      </c>
      <c r="P1843" s="52" t="str">
        <f>VLOOKUP(Tabla3[[#This Row],[Site]],'Important Info!'!$A$1:$F$135,6,FALSE)</f>
        <v>1, 2, 3, 4</v>
      </c>
      <c r="Q1843" s="91">
        <f>VLOOKUP(Tabla3[[#This Row],[Site]],'Important Info!'!$A$1:$J$135,9,FALSE)</f>
        <v>151</v>
      </c>
    </row>
    <row r="1844" spans="1:17" x14ac:dyDescent="0.25">
      <c r="A1844" t="str">
        <f>+Tabla3[[#This Row],[Site]]&amp;Tabla3[[#This Row],[Split]]</f>
        <v>(TC) Tavernier Creek Marina (NO TOURS)19</v>
      </c>
      <c r="B1844">
        <v>19</v>
      </c>
      <c r="C1844">
        <v>17</v>
      </c>
      <c r="D1844" t="s">
        <v>62</v>
      </c>
      <c r="E1844" t="s">
        <v>35</v>
      </c>
      <c r="F1844" t="s">
        <v>119</v>
      </c>
      <c r="G1844" t="s">
        <v>34</v>
      </c>
      <c r="H1844" s="52" t="str">
        <f>VLOOKUP(Tabla3[[#This Row],[Site]],'Important Info!'!$A$1:$J$135,10,FALSE)</f>
        <v>https://tools.sig.systems/site/details/164</v>
      </c>
      <c r="J1844" t="s">
        <v>45</v>
      </c>
      <c r="K1844" s="79" t="str">
        <f>VLOOKUP(Tabla3[[#This Row],[Site]],'Important Info!'!$A$1:$H$135,8,FALSE)</f>
        <v>-</v>
      </c>
      <c r="L1844" s="52" t="str">
        <f>VLOOKUP(Tabla3[[#This Row],[Site]],'Important Info!'!$A$1:$F$135,2,FALSE)</f>
        <v>28, 29</v>
      </c>
      <c r="M1844" s="52" t="str">
        <f>VLOOKUP(Tabla3[[#This Row],[Site]],'Important Info!'!$A$1:$F$135,3,FALSE)</f>
        <v>-</v>
      </c>
      <c r="N1844" s="52" t="str">
        <f>VLOOKUP(Tabla3[[#This Row],[Site]],'Important Info!'!$A$1:$F$135,4,FALSE)</f>
        <v>-</v>
      </c>
      <c r="O1844" s="52" t="str">
        <f>VLOOKUP(Tabla3[[#This Row],[Site]],'Important Info!'!$A$1:$F$135,5,FALSE)</f>
        <v>-</v>
      </c>
      <c r="P1844" s="52" t="str">
        <f>VLOOKUP(Tabla3[[#This Row],[Site]],'Important Info!'!$A$1:$F$135,6,FALSE)</f>
        <v>5, 28, 29</v>
      </c>
      <c r="Q1844" s="91">
        <f>VLOOKUP(Tabla3[[#This Row],[Site]],'Important Info!'!$A$1:$J$135,9,FALSE)</f>
        <v>164</v>
      </c>
    </row>
    <row r="1845" spans="1:17" x14ac:dyDescent="0.25">
      <c r="A1845" t="str">
        <f>+Tabla3[[#This Row],[Site]]&amp;Tabla3[[#This Row],[Split]]</f>
        <v>(AS) Courtesy Kia of Brandon (NO TOURS)19</v>
      </c>
      <c r="B1845">
        <v>19</v>
      </c>
      <c r="C1845">
        <v>18</v>
      </c>
      <c r="D1845" t="s">
        <v>62</v>
      </c>
      <c r="E1845" t="s">
        <v>35</v>
      </c>
      <c r="F1845" t="s">
        <v>505</v>
      </c>
      <c r="G1845" t="s">
        <v>490</v>
      </c>
      <c r="H1845" s="52" t="str">
        <f>VLOOKUP(Tabla3[[#This Row],[Site]],'Important Info!'!$A$1:$J$135,10,FALSE)</f>
        <v>https://tools.sig.systems/site/details/121</v>
      </c>
      <c r="I1845" s="2" t="s">
        <v>181</v>
      </c>
      <c r="J1845" t="s">
        <v>484</v>
      </c>
      <c r="K1845" s="79" t="str">
        <f>VLOOKUP(Tabla3[[#This Row],[Site]],'Important Info!'!$A$1:$H$135,8,FALSE)</f>
        <v>-</v>
      </c>
      <c r="L1845" s="52" t="str">
        <f>VLOOKUP(Tabla3[[#This Row],[Site]],'Important Info!'!$A$1:$F$135,2,FALSE)</f>
        <v>-</v>
      </c>
      <c r="M1845" s="52" t="str">
        <f>VLOOKUP(Tabla3[[#This Row],[Site]],'Important Info!'!$A$1:$F$135,3,FALSE)</f>
        <v>4, 8</v>
      </c>
      <c r="N1845" s="52" t="str">
        <f>VLOOKUP(Tabla3[[#This Row],[Site]],'Important Info!'!$A$1:$F$135,4,FALSE)</f>
        <v>-</v>
      </c>
      <c r="O1845" s="52" t="str">
        <f>VLOOKUP(Tabla3[[#This Row],[Site]],'Important Info!'!$A$1:$F$135,5,FALSE)</f>
        <v>3, 11, 20, 24</v>
      </c>
      <c r="P1845" s="52" t="str">
        <f>VLOOKUP(Tabla3[[#This Row],[Site]],'Important Info!'!$A$1:$F$135,6,FALSE)</f>
        <v>2, 8</v>
      </c>
      <c r="Q1845" s="91">
        <f>VLOOKUP(Tabla3[[#This Row],[Site]],'Important Info!'!$A$1:$J$135,9,FALSE)</f>
        <v>121</v>
      </c>
    </row>
    <row r="1846" spans="1:17" x14ac:dyDescent="0.25">
      <c r="A1846" t="str">
        <f>+Tabla3[[#This Row],[Site]]&amp;Tabla3[[#This Row],[Split]]</f>
        <v>(AS) Lexus Grapevine I &amp; II (NO TOURS)19</v>
      </c>
      <c r="B1846">
        <v>19</v>
      </c>
      <c r="C1846">
        <v>18</v>
      </c>
      <c r="D1846" t="s">
        <v>33</v>
      </c>
      <c r="E1846" t="s">
        <v>46</v>
      </c>
      <c r="F1846" t="s">
        <v>508</v>
      </c>
      <c r="G1846" t="s">
        <v>34</v>
      </c>
      <c r="H1846" s="52" t="str">
        <f>VLOOKUP(Tabla3[[#This Row],[Site]],'Important Info!'!$A$1:$J$135,10,FALSE)</f>
        <v>https://tools.sig.systems/site/details/136</v>
      </c>
      <c r="J1846" t="s">
        <v>41</v>
      </c>
      <c r="K1846" s="79" t="str">
        <f>VLOOKUP(Tabla3[[#This Row],[Site]],'Important Info!'!$A$1:$H$135,8,FALSE)</f>
        <v>-</v>
      </c>
      <c r="L1846" s="52" t="str">
        <f>VLOOKUP(Tabla3[[#This Row],[Site]],'Important Info!'!$A$1:$F$135,2,FALSE)</f>
        <v>4, 10, 14, 18, 33</v>
      </c>
      <c r="M1846" s="52" t="str">
        <f>VLOOKUP(Tabla3[[#This Row],[Site]],'Important Info!'!$A$1:$F$135,3,FALSE)</f>
        <v>-</v>
      </c>
      <c r="N1846" s="52" t="str">
        <f>VLOOKUP(Tabla3[[#This Row],[Site]],'Important Info!'!$A$1:$F$135,4,FALSE)</f>
        <v>81, 82, 83</v>
      </c>
      <c r="O1846" s="52" t="str">
        <f>VLOOKUP(Tabla3[[#This Row],[Site]],'Important Info!'!$A$1:$F$135,5,FALSE)</f>
        <v>4, 12, 15, 20, 30</v>
      </c>
      <c r="P1846" s="52">
        <f>VLOOKUP(Tabla3[[#This Row],[Site]],'Important Info!'!$A$1:$F$135,6,FALSE)</f>
        <v>10</v>
      </c>
      <c r="Q1846" s="91">
        <f>VLOOKUP(Tabla3[[#This Row],[Site]],'Important Info!'!$A$1:$J$135,9,FALSE)</f>
        <v>136</v>
      </c>
    </row>
    <row r="1847" spans="1:17" x14ac:dyDescent="0.25">
      <c r="A1847" t="str">
        <f>+Tabla3[[#This Row],[Site]]&amp;Tabla3[[#This Row],[Split]]</f>
        <v>(AS) Nalley Luxury Collision Center (NO TOURS)19</v>
      </c>
      <c r="B1847">
        <v>19</v>
      </c>
      <c r="C1847">
        <v>18</v>
      </c>
      <c r="D1847" t="s">
        <v>62</v>
      </c>
      <c r="E1847" t="s">
        <v>35</v>
      </c>
      <c r="F1847" t="s">
        <v>512</v>
      </c>
      <c r="G1847" t="s">
        <v>490</v>
      </c>
      <c r="H1847" s="52" t="str">
        <f>VLOOKUP(Tabla3[[#This Row],[Site]],'Important Info!'!$A$1:$J$135,10,FALSE)</f>
        <v>https://tools.sig.systems/site/details/263</v>
      </c>
      <c r="I1847" s="43" t="s">
        <v>166</v>
      </c>
      <c r="J1847" t="s">
        <v>41</v>
      </c>
      <c r="K1847" s="79" t="str">
        <f>VLOOKUP(Tabla3[[#This Row],[Site]],'Important Info!'!$A$1:$H$135,8,FALSE)</f>
        <v>-</v>
      </c>
      <c r="L1847" s="52" t="str">
        <f>VLOOKUP(Tabla3[[#This Row],[Site]],'Important Info!'!$A$1:$F$135,2,FALSE)</f>
        <v>6, 13</v>
      </c>
      <c r="M1847" s="52" t="str">
        <f>VLOOKUP(Tabla3[[#This Row],[Site]],'Important Info!'!$A$1:$F$135,3,FALSE)</f>
        <v>-</v>
      </c>
      <c r="N1847" s="52" t="str">
        <f>VLOOKUP(Tabla3[[#This Row],[Site]],'Important Info!'!$A$1:$F$135,4,FALSE)</f>
        <v>-</v>
      </c>
      <c r="O1847" s="52" t="str">
        <f>VLOOKUP(Tabla3[[#This Row],[Site]],'Important Info!'!$A$1:$F$135,5,FALSE)</f>
        <v>-</v>
      </c>
      <c r="P1847" s="52" t="str">
        <f>VLOOKUP(Tabla3[[#This Row],[Site]],'Important Info!'!$A$1:$F$135,6,FALSE)</f>
        <v>6, 7, 12</v>
      </c>
      <c r="Q1847" s="91">
        <f>VLOOKUP(Tabla3[[#This Row],[Site]],'Important Info!'!$A$1:$J$135,9,FALSE)</f>
        <v>263</v>
      </c>
    </row>
    <row r="1848" spans="1:17" x14ac:dyDescent="0.25">
      <c r="A1848" t="str">
        <f>+Tabla3[[#This Row],[Site]]&amp;Tabla3[[#This Row],[Split]]</f>
        <v>(DT) N. Houston19</v>
      </c>
      <c r="B1848">
        <v>19</v>
      </c>
      <c r="C1848">
        <v>18</v>
      </c>
      <c r="D1848" t="s">
        <v>33</v>
      </c>
      <c r="E1848" t="s">
        <v>46</v>
      </c>
      <c r="F1848" t="s">
        <v>68</v>
      </c>
      <c r="G1848" t="s">
        <v>34</v>
      </c>
      <c r="H1848" s="52" t="str">
        <f>VLOOKUP(Tabla3[[#This Row],[Site]],'Important Info!'!$A$1:$J$135,10,FALSE)</f>
        <v>https://tools.sig.systems/site/details/250</v>
      </c>
      <c r="I1848" s="43"/>
      <c r="J1848" t="s">
        <v>41</v>
      </c>
      <c r="K1848" s="79" t="str">
        <f>VLOOKUP(Tabla3[[#This Row],[Site]],'Important Info!'!$A$1:$H$135,8,FALSE)</f>
        <v>-</v>
      </c>
      <c r="L1848" s="52" t="str">
        <f>VLOOKUP(Tabla3[[#This Row],[Site]],'Important Info!'!$A$1:$F$135,2,FALSE)</f>
        <v>2, 10, 18</v>
      </c>
      <c r="M1848" s="52" t="str">
        <f>VLOOKUP(Tabla3[[#This Row],[Site]],'Important Info!'!$A$1:$F$135,3,FALSE)</f>
        <v>-</v>
      </c>
      <c r="N1848" s="52" t="str">
        <f>VLOOKUP(Tabla3[[#This Row],[Site]],'Important Info!'!$A$1:$F$135,4,FALSE)</f>
        <v>-</v>
      </c>
      <c r="O1848" s="52">
        <f>VLOOKUP(Tabla3[[#This Row],[Site]],'Important Info!'!$A$1:$F$135,5,FALSE)</f>
        <v>15</v>
      </c>
      <c r="P1848" s="52" t="str">
        <f>VLOOKUP(Tabla3[[#This Row],[Site]],'Important Info!'!$A$1:$F$135,6,FALSE)</f>
        <v>2, 4, 18</v>
      </c>
      <c r="Q1848" s="91">
        <f>VLOOKUP(Tabla3[[#This Row],[Site]],'Important Info!'!$A$1:$J$135,9,FALSE)</f>
        <v>250</v>
      </c>
    </row>
    <row r="1849" spans="1:17" x14ac:dyDescent="0.25">
      <c r="A1849" t="str">
        <f>+Tabla3[[#This Row],[Site]]&amp;Tabla3[[#This Row],[Split]]</f>
        <v>(KG) JLR LEHI (NO TOURS)19</v>
      </c>
      <c r="B1849">
        <v>19</v>
      </c>
      <c r="C1849">
        <v>18</v>
      </c>
      <c r="D1849" t="s">
        <v>44</v>
      </c>
      <c r="E1849" t="s">
        <v>53</v>
      </c>
      <c r="F1849" t="s">
        <v>8</v>
      </c>
      <c r="G1849" t="s">
        <v>45</v>
      </c>
      <c r="H1849" s="52" t="str">
        <f>VLOOKUP(Tabla3[[#This Row],[Site]],'Important Info!'!$A$1:$J$135,10,FALSE)</f>
        <v>https://tools.sig.systems/site/details/145</v>
      </c>
      <c r="I1849" s="2"/>
      <c r="J1849" t="s">
        <v>41</v>
      </c>
      <c r="K1849" s="79" t="str">
        <f>VLOOKUP(Tabla3[[#This Row],[Site]],'Important Info!'!$A$1:$H$135,8,FALSE)</f>
        <v>-</v>
      </c>
      <c r="L1849" s="52" t="str">
        <f>VLOOKUP(Tabla3[[#This Row],[Site]],'Important Info!'!$A$1:$F$135,2,FALSE)</f>
        <v>1, 11</v>
      </c>
      <c r="M1849" s="52" t="str">
        <f>VLOOKUP(Tabla3[[#This Row],[Site]],'Important Info!'!$A$1:$F$135,3,FALSE)</f>
        <v>-</v>
      </c>
      <c r="N1849" s="52" t="str">
        <f>VLOOKUP(Tabla3[[#This Row],[Site]],'Important Info!'!$A$1:$F$135,4,FALSE)</f>
        <v>-</v>
      </c>
      <c r="O1849" s="52" t="str">
        <f>VLOOKUP(Tabla3[[#This Row],[Site]],'Important Info!'!$A$1:$F$135,5,FALSE)</f>
        <v>1, 7, 11</v>
      </c>
      <c r="P1849" s="52" t="str">
        <f>VLOOKUP(Tabla3[[#This Row],[Site]],'Important Info!'!$A$1:$F$135,6,FALSE)</f>
        <v>-</v>
      </c>
      <c r="Q1849" s="91">
        <f>VLOOKUP(Tabla3[[#This Row],[Site]],'Important Info!'!$A$1:$J$135,9,FALSE)</f>
        <v>145</v>
      </c>
    </row>
    <row r="1850" spans="1:17" x14ac:dyDescent="0.25">
      <c r="A1850" t="str">
        <f>+Tabla3[[#This Row],[Site]]&amp;Tabla3[[#This Row],[Split]]</f>
        <v>(RML) Burleson Nissan19</v>
      </c>
      <c r="B1850">
        <v>19</v>
      </c>
      <c r="C1850">
        <v>18</v>
      </c>
      <c r="D1850" t="s">
        <v>33</v>
      </c>
      <c r="E1850" t="s">
        <v>46</v>
      </c>
      <c r="F1850" t="s">
        <v>107</v>
      </c>
      <c r="G1850" t="s">
        <v>34</v>
      </c>
      <c r="H1850" s="52" t="str">
        <f>VLOOKUP(Tabla3[[#This Row],[Site]],'Important Info!'!$A$1:$J$135,10,FALSE)</f>
        <v>https://tools.sig.systems/site/details/202</v>
      </c>
      <c r="J1850" t="s">
        <v>41</v>
      </c>
      <c r="K1850" s="79" t="str">
        <f>VLOOKUP(Tabla3[[#This Row],[Site]],'Important Info!'!$A$1:$H$135,8,FALSE)</f>
        <v>-</v>
      </c>
      <c r="L1850" s="52" t="str">
        <f>VLOOKUP(Tabla3[[#This Row],[Site]],'Important Info!'!$A$1:$F$135,2,FALSE)</f>
        <v>3, 21</v>
      </c>
      <c r="M1850" s="52" t="str">
        <f>VLOOKUP(Tabla3[[#This Row],[Site]],'Important Info!'!$A$1:$F$135,3,FALSE)</f>
        <v>-</v>
      </c>
      <c r="N1850" s="52" t="str">
        <f>VLOOKUP(Tabla3[[#This Row],[Site]],'Important Info!'!$A$1:$F$135,4,FALSE)</f>
        <v>-</v>
      </c>
      <c r="O1850" s="52" t="str">
        <f>VLOOKUP(Tabla3[[#This Row],[Site]],'Important Info!'!$A$1:$F$135,5,FALSE)</f>
        <v>2, 6, 15</v>
      </c>
      <c r="P1850" s="52" t="str">
        <f>VLOOKUP(Tabla3[[#This Row],[Site]],'Important Info!'!$A$1:$F$135,6,FALSE)</f>
        <v>-</v>
      </c>
      <c r="Q1850" s="91">
        <f>VLOOKUP(Tabla3[[#This Row],[Site]],'Important Info!'!$A$1:$J$135,9,FALSE)</f>
        <v>202</v>
      </c>
    </row>
    <row r="1851" spans="1:17" x14ac:dyDescent="0.25">
      <c r="A1851" t="str">
        <f>+Tabla3[[#This Row],[Site]]&amp;Tabla3[[#This Row],[Split]]</f>
        <v>SIG Office19</v>
      </c>
      <c r="B1851">
        <v>19</v>
      </c>
      <c r="C1851">
        <v>18</v>
      </c>
      <c r="D1851" t="s">
        <v>60</v>
      </c>
      <c r="E1851" t="s">
        <v>35</v>
      </c>
      <c r="F1851" t="s">
        <v>169</v>
      </c>
      <c r="G1851" t="s">
        <v>41</v>
      </c>
      <c r="H1851" s="52" t="str">
        <f>VLOOKUP(Tabla3[[#This Row],[Site]],'Important Info!'!$A$1:$J$135,10,FALSE)</f>
        <v>https://tools.sig.systems/site/details/163</v>
      </c>
      <c r="J1851" t="s">
        <v>41</v>
      </c>
      <c r="K1851" s="79" t="str">
        <f>VLOOKUP(Tabla3[[#This Row],[Site]],'Important Info!'!$A$1:$H$135,8,FALSE)</f>
        <v>-</v>
      </c>
      <c r="L1851" s="52" t="str">
        <f>VLOOKUP(Tabla3[[#This Row],[Site]],'Important Info!'!$A$1:$F$135,2,FALSE)</f>
        <v>-</v>
      </c>
      <c r="M1851" s="52" t="str">
        <f>VLOOKUP(Tabla3[[#This Row],[Site]],'Important Info!'!$A$1:$F$135,3,FALSE)</f>
        <v>-</v>
      </c>
      <c r="N1851" s="52" t="str">
        <f>VLOOKUP(Tabla3[[#This Row],[Site]],'Important Info!'!$A$1:$F$135,4,FALSE)</f>
        <v>-</v>
      </c>
      <c r="O1851" s="52" t="str">
        <f>VLOOKUP(Tabla3[[#This Row],[Site]],'Important Info!'!$A$1:$F$135,5,FALSE)</f>
        <v>-</v>
      </c>
      <c r="P1851" s="52">
        <f>VLOOKUP(Tabla3[[#This Row],[Site]],'Important Info!'!$A$1:$F$135,6,FALSE)</f>
        <v>25</v>
      </c>
      <c r="Q1851" s="91">
        <f>VLOOKUP(Tabla3[[#This Row],[Site]],'Important Info!'!$A$1:$J$135,9,FALSE)</f>
        <v>163</v>
      </c>
    </row>
    <row r="1852" spans="1:17" x14ac:dyDescent="0.25">
      <c r="A1852" t="str">
        <f>+Tabla3[[#This Row],[Site]]&amp;Tabla3[[#This Row],[Split]]</f>
        <v>(AS) Courtesy CDJR of Brandon (NO TOURS)19</v>
      </c>
      <c r="B1852">
        <v>19</v>
      </c>
      <c r="C1852">
        <v>19</v>
      </c>
      <c r="D1852" t="s">
        <v>62</v>
      </c>
      <c r="E1852" t="s">
        <v>35</v>
      </c>
      <c r="F1852" t="s">
        <v>503</v>
      </c>
      <c r="G1852" t="s">
        <v>490</v>
      </c>
      <c r="H1852" s="52" t="str">
        <f>VLOOKUP(Tabla3[[#This Row],[Site]],'Important Info!'!$A$1:$J$135,10,FALSE)</f>
        <v>https://tools.sig.systems/site/details/126</v>
      </c>
      <c r="I1852" s="2" t="s">
        <v>181</v>
      </c>
      <c r="J1852" t="s">
        <v>484</v>
      </c>
      <c r="K1852" s="79" t="str">
        <f>VLOOKUP(Tabla3[[#This Row],[Site]],'Important Info!'!$A$1:$H$135,8,FALSE)</f>
        <v>-</v>
      </c>
      <c r="L1852" s="52" t="str">
        <f>VLOOKUP(Tabla3[[#This Row],[Site]],'Important Info!'!$A$1:$F$135,2,FALSE)</f>
        <v>1, 14, 15</v>
      </c>
      <c r="M1852" s="52">
        <f>VLOOKUP(Tabla3[[#This Row],[Site]],'Important Info!'!$A$1:$F$135,3,FALSE)</f>
        <v>1</v>
      </c>
      <c r="N1852" s="52" t="str">
        <f>VLOOKUP(Tabla3[[#This Row],[Site]],'Important Info!'!$A$1:$F$135,4,FALSE)</f>
        <v>-</v>
      </c>
      <c r="O1852" s="52" t="str">
        <f>VLOOKUP(Tabla3[[#This Row],[Site]],'Important Info!'!$A$1:$F$135,5,FALSE)</f>
        <v>2, 12</v>
      </c>
      <c r="P1852" s="52" t="str">
        <f>VLOOKUP(Tabla3[[#This Row],[Site]],'Important Info!'!$A$1:$F$135,6,FALSE)</f>
        <v xml:space="preserve">1, 2, 3, 4, 14, 15, 21, 25 </v>
      </c>
      <c r="Q1852" s="91">
        <f>VLOOKUP(Tabla3[[#This Row],[Site]],'Important Info!'!$A$1:$J$135,9,FALSE)</f>
        <v>126</v>
      </c>
    </row>
    <row r="1853" spans="1:17" x14ac:dyDescent="0.25">
      <c r="A1853" t="str">
        <f>+Tabla3[[#This Row],[Site]]&amp;Tabla3[[#This Row],[Split]]</f>
        <v>(AS) Park Place JLR DFW Airport (NO TOURS)19</v>
      </c>
      <c r="B1853">
        <v>19</v>
      </c>
      <c r="C1853">
        <v>19</v>
      </c>
      <c r="D1853" t="s">
        <v>33</v>
      </c>
      <c r="E1853" t="s">
        <v>46</v>
      </c>
      <c r="F1853" t="s">
        <v>516</v>
      </c>
      <c r="G1853" t="s">
        <v>34</v>
      </c>
      <c r="H1853" s="52" t="str">
        <f>VLOOKUP(Tabla3[[#This Row],[Site]],'Important Info!'!$A$1:$J$135,10,FALSE)</f>
        <v>https://tools.sig.systems/site/details/135</v>
      </c>
      <c r="J1853" t="s">
        <v>41</v>
      </c>
      <c r="K1853" s="79" t="str">
        <f>VLOOKUP(Tabla3[[#This Row],[Site]],'Important Info!'!$A$1:$H$135,8,FALSE)</f>
        <v>-</v>
      </c>
      <c r="L1853" s="52" t="str">
        <f>VLOOKUP(Tabla3[[#This Row],[Site]],'Important Info!'!$A$1:$F$135,2,FALSE)</f>
        <v>6, 7, 18</v>
      </c>
      <c r="M1853" s="52" t="str">
        <f>VLOOKUP(Tabla3[[#This Row],[Site]],'Important Info!'!$A$1:$F$135,3,FALSE)</f>
        <v>70, 79, 80</v>
      </c>
      <c r="N1853" s="52" t="str">
        <f>VLOOKUP(Tabla3[[#This Row],[Site]],'Important Info!'!$A$1:$F$135,4,FALSE)</f>
        <v>83, 84</v>
      </c>
      <c r="O1853" s="52" t="str">
        <f>VLOOKUP(Tabla3[[#This Row],[Site]],'Important Info!'!$A$1:$F$135,5,FALSE)</f>
        <v>3, 8, 14, 81</v>
      </c>
      <c r="P1853" s="52">
        <f>VLOOKUP(Tabla3[[#This Row],[Site]],'Important Info!'!$A$1:$F$135,6,FALSE)</f>
        <v>6</v>
      </c>
      <c r="Q1853" s="91">
        <f>VLOOKUP(Tabla3[[#This Row],[Site]],'Important Info!'!$A$1:$J$135,9,FALSE)</f>
        <v>135</v>
      </c>
    </row>
    <row r="1854" spans="1:17" x14ac:dyDescent="0.25">
      <c r="A1854" t="str">
        <f>+Tabla3[[#This Row],[Site]]&amp;Tabla3[[#This Row],[Split]]</f>
        <v>(DT) Colorado Springs (NO TOURS)19</v>
      </c>
      <c r="B1854">
        <v>19</v>
      </c>
      <c r="C1854">
        <v>19</v>
      </c>
      <c r="D1854" t="s">
        <v>44</v>
      </c>
      <c r="E1854" t="s">
        <v>53</v>
      </c>
      <c r="F1854" t="s">
        <v>156</v>
      </c>
      <c r="G1854" t="s">
        <v>45</v>
      </c>
      <c r="H1854" s="52" t="str">
        <f>VLOOKUP(Tabla3[[#This Row],[Site]],'Important Info!'!$A$1:$J$135,10,FALSE)</f>
        <v>https://tools.sig.systems/site/details/198</v>
      </c>
      <c r="J1854" t="s">
        <v>41</v>
      </c>
      <c r="K1854" s="79" t="str">
        <f>VLOOKUP(Tabla3[[#This Row],[Site]],'Important Info!'!$A$1:$H$135,8,FALSE)</f>
        <v>-</v>
      </c>
      <c r="L1854" s="52" t="str">
        <f>VLOOKUP(Tabla3[[#This Row],[Site]],'Important Info!'!$A$1:$F$135,2,FALSE)</f>
        <v>-</v>
      </c>
      <c r="M1854" s="52" t="str">
        <f>VLOOKUP(Tabla3[[#This Row],[Site]],'Important Info!'!$A$1:$F$135,3,FALSE)</f>
        <v>1, 2, 3, 4</v>
      </c>
      <c r="N1854" s="52" t="str">
        <f>VLOOKUP(Tabla3[[#This Row],[Site]],'Important Info!'!$A$1:$F$135,4,FALSE)</f>
        <v>-</v>
      </c>
      <c r="O1854" s="52" t="str">
        <f>VLOOKUP(Tabla3[[#This Row],[Site]],'Important Info!'!$A$1:$F$135,5,FALSE)</f>
        <v>-</v>
      </c>
      <c r="P1854" s="52" t="str">
        <f>VLOOKUP(Tabla3[[#This Row],[Site]],'Important Info!'!$A$1:$F$135,6,FALSE)</f>
        <v>1, 2, 3, 11</v>
      </c>
      <c r="Q1854" s="91">
        <f>VLOOKUP(Tabla3[[#This Row],[Site]],'Important Info!'!$A$1:$J$135,9,FALSE)</f>
        <v>198</v>
      </c>
    </row>
    <row r="1855" spans="1:17" x14ac:dyDescent="0.25">
      <c r="A1855" t="str">
        <f>+Tabla3[[#This Row],[Site]]&amp;Tabla3[[#This Row],[Split]]</f>
        <v>(KT) Northwest CDJR (NO TOURS)19</v>
      </c>
      <c r="B1855">
        <v>19</v>
      </c>
      <c r="C1855">
        <v>19</v>
      </c>
      <c r="D1855" t="s">
        <v>33</v>
      </c>
      <c r="E1855" t="s">
        <v>46</v>
      </c>
      <c r="F1855" t="s">
        <v>77</v>
      </c>
      <c r="G1855" t="s">
        <v>34</v>
      </c>
      <c r="H1855" s="52" t="str">
        <f>VLOOKUP(Tabla3[[#This Row],[Site]],'Important Info!'!$A$1:$J$135,10,FALSE)</f>
        <v>https://tools.sig.systems/site/details/229</v>
      </c>
      <c r="I1855" s="2"/>
      <c r="J1855" t="s">
        <v>41</v>
      </c>
      <c r="K1855" s="79" t="str">
        <f>VLOOKUP(Tabla3[[#This Row],[Site]],'Important Info!'!$A$1:$H$135,8,FALSE)</f>
        <v>-</v>
      </c>
      <c r="L1855" s="52" t="str">
        <f>VLOOKUP(Tabla3[[#This Row],[Site]],'Important Info!'!$A$1:$F$135,2,FALSE)</f>
        <v>1, 3, 11, 25</v>
      </c>
      <c r="M1855" s="52" t="str">
        <f>VLOOKUP(Tabla3[[#This Row],[Site]],'Important Info!'!$A$1:$F$135,3,FALSE)</f>
        <v>-</v>
      </c>
      <c r="N1855" s="52" t="str">
        <f>VLOOKUP(Tabla3[[#This Row],[Site]],'Important Info!'!$A$1:$F$135,4,FALSE)</f>
        <v>-</v>
      </c>
      <c r="O1855" s="52" t="str">
        <f>VLOOKUP(Tabla3[[#This Row],[Site]],'Important Info!'!$A$1:$F$135,5,FALSE)</f>
        <v>4, 12, 18</v>
      </c>
      <c r="P1855" s="52" t="str">
        <f>VLOOKUP(Tabla3[[#This Row],[Site]],'Important Info!'!$A$1:$F$135,6,FALSE)</f>
        <v>-</v>
      </c>
      <c r="Q1855" s="91">
        <f>VLOOKUP(Tabla3[[#This Row],[Site]],'Important Info!'!$A$1:$J$135,9,FALSE)</f>
        <v>229</v>
      </c>
    </row>
    <row r="1856" spans="1:17" x14ac:dyDescent="0.25">
      <c r="A1856" t="str">
        <f>+Tabla3[[#This Row],[Site]]&amp;Tabla3[[#This Row],[Split]]</f>
        <v>(RV) Toms Camperland Surprise (NO TOURS)19</v>
      </c>
      <c r="B1856">
        <v>19</v>
      </c>
      <c r="C1856">
        <v>19</v>
      </c>
      <c r="D1856" t="s">
        <v>51</v>
      </c>
      <c r="E1856" t="s">
        <v>161</v>
      </c>
      <c r="F1856" t="s">
        <v>165</v>
      </c>
      <c r="G1856" t="s">
        <v>52</v>
      </c>
      <c r="H1856" s="52" t="str">
        <f>VLOOKUP(Tabla3[[#This Row],[Site]],'Important Info!'!$A$1:$J$135,10,FALSE)</f>
        <v>https://tools.sig.systems/site/details/254</v>
      </c>
      <c r="I1856" s="43"/>
      <c r="J1856" t="s">
        <v>52</v>
      </c>
      <c r="K1856" s="79" t="str">
        <f>VLOOKUP(Tabla3[[#This Row],[Site]],'Important Info!'!$A$1:$H$135,8,FALSE)</f>
        <v>-</v>
      </c>
      <c r="L1856" s="52" t="str">
        <f>VLOOKUP(Tabla3[[#This Row],[Site]],'Important Info!'!$A$1:$F$135,2,FALSE)</f>
        <v>1, 3, 4</v>
      </c>
      <c r="M1856" s="52" t="str">
        <f>VLOOKUP(Tabla3[[#This Row],[Site]],'Important Info!'!$A$1:$F$135,3,FALSE)</f>
        <v>-</v>
      </c>
      <c r="N1856" s="52" t="str">
        <f>VLOOKUP(Tabla3[[#This Row],[Site]],'Important Info!'!$A$1:$F$135,4,FALSE)</f>
        <v>-</v>
      </c>
      <c r="O1856" s="52" t="str">
        <f>VLOOKUP(Tabla3[[#This Row],[Site]],'Important Info!'!$A$1:$F$135,5,FALSE)</f>
        <v>-</v>
      </c>
      <c r="P1856" s="52" t="str">
        <f>VLOOKUP(Tabla3[[#This Row],[Site]],'Important Info!'!$A$1:$F$135,6,FALSE)</f>
        <v>1, 2, 3, 4, 15</v>
      </c>
      <c r="Q1856" s="91">
        <f>VLOOKUP(Tabla3[[#This Row],[Site]],'Important Info!'!$A$1:$J$135,9,FALSE)</f>
        <v>254</v>
      </c>
    </row>
    <row r="1857" spans="1:17" x14ac:dyDescent="0.25">
      <c r="A1857" t="str">
        <f>+Tabla3[[#This Row],[Site]]&amp;Tabla3[[#This Row],[Split]]</f>
        <v>(SCH) Chevrolet North Palm19</v>
      </c>
      <c r="B1857">
        <v>19</v>
      </c>
      <c r="C1857">
        <v>19</v>
      </c>
      <c r="D1857" t="s">
        <v>62</v>
      </c>
      <c r="E1857" t="s">
        <v>35</v>
      </c>
      <c r="F1857" t="s">
        <v>101</v>
      </c>
      <c r="G1857" t="s">
        <v>490</v>
      </c>
      <c r="H1857" s="52" t="str">
        <f>VLOOKUP(Tabla3[[#This Row],[Site]],'Important Info!'!$A$1:$J$135,10,FALSE)</f>
        <v>https://tools.sig.systems/site/details/160</v>
      </c>
      <c r="I1857" s="2"/>
      <c r="J1857" t="s">
        <v>36</v>
      </c>
      <c r="K1857" s="79" t="str">
        <f>VLOOKUP(Tabla3[[#This Row],[Site]],'Important Info!'!$A$1:$H$135,8,FALSE)</f>
        <v>-</v>
      </c>
      <c r="L1857" s="52" t="str">
        <f>VLOOKUP(Tabla3[[#This Row],[Site]],'Important Info!'!$A$1:$F$135,2,FALSE)</f>
        <v xml:space="preserve">7, 10B, 11, 15 </v>
      </c>
      <c r="M1857" s="52" t="str">
        <f>VLOOKUP(Tabla3[[#This Row],[Site]],'Important Info!'!$A$1:$F$135,3,FALSE)</f>
        <v>-</v>
      </c>
      <c r="N1857" s="52" t="str">
        <f>VLOOKUP(Tabla3[[#This Row],[Site]],'Important Info!'!$A$1:$F$135,4,FALSE)</f>
        <v>-</v>
      </c>
      <c r="O1857" s="52" t="str">
        <f>VLOOKUP(Tabla3[[#This Row],[Site]],'Important Info!'!$A$1:$F$135,5,FALSE)</f>
        <v>-</v>
      </c>
      <c r="P1857" s="52" t="str">
        <f>VLOOKUP(Tabla3[[#This Row],[Site]],'Important Info!'!$A$1:$F$135,6,FALSE)</f>
        <v>1, 15, 16, 17, 18, 19, 20</v>
      </c>
      <c r="Q1857" s="91">
        <f>VLOOKUP(Tabla3[[#This Row],[Site]],'Important Info!'!$A$1:$J$135,9,FALSE)</f>
        <v>160</v>
      </c>
    </row>
    <row r="1858" spans="1:17" x14ac:dyDescent="0.25">
      <c r="A1858" t="str">
        <f>+Tabla3[[#This Row],[Site]]&amp;Tabla3[[#This Row],[Split]]</f>
        <v>(AS) Park Place Bodywerks Ft. Worth (NO TOURS)20</v>
      </c>
      <c r="B1858">
        <v>20</v>
      </c>
      <c r="C1858">
        <v>1</v>
      </c>
      <c r="D1858" t="s">
        <v>33</v>
      </c>
      <c r="E1858" t="s">
        <v>46</v>
      </c>
      <c r="F1858" t="s">
        <v>515</v>
      </c>
      <c r="G1858" t="s">
        <v>34</v>
      </c>
      <c r="H1858" s="52" t="str">
        <f>VLOOKUP(Tabla3[[#This Row],[Site]],'Important Info!'!$A$1:$J$135,10,FALSE)</f>
        <v>https://tools.sig.systems/site/details/134</v>
      </c>
      <c r="I1858" s="8" t="s">
        <v>128</v>
      </c>
      <c r="J1858" t="s">
        <v>41</v>
      </c>
      <c r="K1858" s="79" t="str">
        <f>VLOOKUP(Tabla3[[#This Row],[Site]],'Important Info!'!$A$1:$H$135,8,FALSE)</f>
        <v>-</v>
      </c>
      <c r="L1858" s="52" t="str">
        <f>VLOOKUP(Tabla3[[#This Row],[Site]],'Important Info!'!$A$1:$F$135,2,FALSE)</f>
        <v>2, 3, RemoteLot5, RemoteLot9</v>
      </c>
      <c r="M1858" s="52" t="str">
        <f>VLOOKUP(Tabla3[[#This Row],[Site]],'Important Info!'!$A$1:$F$135,3,FALSE)</f>
        <v>-</v>
      </c>
      <c r="N1858" s="52" t="str">
        <f>VLOOKUP(Tabla3[[#This Row],[Site]],'Important Info!'!$A$1:$F$135,4,FALSE)</f>
        <v>-</v>
      </c>
      <c r="O1858" s="52" t="str">
        <f>VLOOKUP(Tabla3[[#This Row],[Site]],'Important Info!'!$A$1:$F$135,5,FALSE)</f>
        <v>1, 7, RL1, RL5, RL9</v>
      </c>
      <c r="P1858" s="52" t="str">
        <f>VLOOKUP(Tabla3[[#This Row],[Site]],'Important Info!'!$A$1:$F$135,6,FALSE)</f>
        <v>3, 4, 15</v>
      </c>
      <c r="Q1858" s="91">
        <f>VLOOKUP(Tabla3[[#This Row],[Site]],'Important Info!'!$A$1:$J$135,9,FALSE)</f>
        <v>134</v>
      </c>
    </row>
    <row r="1859" spans="1:17" x14ac:dyDescent="0.25">
      <c r="A1859" t="str">
        <f>+Tabla3[[#This Row],[Site]]&amp;Tabla3[[#This Row],[Split]]</f>
        <v>(DT) Louisville20</v>
      </c>
      <c r="B1859">
        <v>20</v>
      </c>
      <c r="C1859">
        <v>1</v>
      </c>
      <c r="D1859" t="s">
        <v>62</v>
      </c>
      <c r="E1859" t="s">
        <v>35</v>
      </c>
      <c r="F1859" t="s">
        <v>99</v>
      </c>
      <c r="G1859" t="s">
        <v>490</v>
      </c>
      <c r="H1859" s="52" t="str">
        <f>VLOOKUP(Tabla3[[#This Row],[Site]],'Important Info!'!$A$1:$J$135,10,FALSE)</f>
        <v>https://tools.sig.systems/site/details/258</v>
      </c>
      <c r="J1859" t="s">
        <v>41</v>
      </c>
      <c r="K1859" s="79" t="str">
        <f>VLOOKUP(Tabla3[[#This Row],[Site]],'Important Info!'!$A$1:$H$135,8,FALSE)</f>
        <v>-</v>
      </c>
      <c r="L1859" s="52" t="str">
        <f>VLOOKUP(Tabla3[[#This Row],[Site]],'Important Info!'!$A$1:$F$135,2,FALSE)</f>
        <v>-</v>
      </c>
      <c r="M1859" s="52">
        <f>VLOOKUP(Tabla3[[#This Row],[Site]],'Important Info!'!$A$1:$F$135,3,FALSE)</f>
        <v>3</v>
      </c>
      <c r="N1859" s="52" t="str">
        <f>VLOOKUP(Tabla3[[#This Row],[Site]],'Important Info!'!$A$1:$F$135,4,FALSE)</f>
        <v>-</v>
      </c>
      <c r="O1859" s="52" t="str">
        <f>VLOOKUP(Tabla3[[#This Row],[Site]],'Important Info!'!$A$1:$F$135,5,FALSE)</f>
        <v>-</v>
      </c>
      <c r="P1859" s="52" t="str">
        <f>VLOOKUP(Tabla3[[#This Row],[Site]],'Important Info!'!$A$1:$F$135,6,FALSE)</f>
        <v>3, 8</v>
      </c>
      <c r="Q1859" s="91">
        <f>VLOOKUP(Tabla3[[#This Row],[Site]],'Important Info!'!$A$1:$J$135,9,FALSE)</f>
        <v>258</v>
      </c>
    </row>
    <row r="1860" spans="1:17" x14ac:dyDescent="0.25">
      <c r="A1860" t="str">
        <f>+Tabla3[[#This Row],[Site]]&amp;Tabla3[[#This Row],[Split]]</f>
        <v>(ML) Nissan Of Benton20</v>
      </c>
      <c r="B1860">
        <v>20</v>
      </c>
      <c r="C1860">
        <v>1</v>
      </c>
      <c r="D1860" t="s">
        <v>33</v>
      </c>
      <c r="E1860" t="s">
        <v>46</v>
      </c>
      <c r="F1860" s="41" t="s">
        <v>120</v>
      </c>
      <c r="G1860" t="s">
        <v>34</v>
      </c>
      <c r="H1860" s="52" t="str">
        <f>VLOOKUP(Tabla3[[#This Row],[Site]],'Important Info!'!$A$1:$J$135,10,FALSE)</f>
        <v>https://tools.sig.systems/site/details/247</v>
      </c>
      <c r="I1860" s="43"/>
      <c r="J1860" t="s">
        <v>41</v>
      </c>
      <c r="K1860" s="79" t="str">
        <f>VLOOKUP(Tabla3[[#This Row],[Site]],'Important Info!'!$A$1:$H$135,8,FALSE)</f>
        <v>-</v>
      </c>
      <c r="L1860" s="52" t="str">
        <f>VLOOKUP(Tabla3[[#This Row],[Site]],'Important Info!'!$A$1:$F$135,2,FALSE)</f>
        <v>5, 12</v>
      </c>
      <c r="M1860" s="52" t="str">
        <f>VLOOKUP(Tabla3[[#This Row],[Site]],'Important Info!'!$A$1:$F$135,3,FALSE)</f>
        <v>-</v>
      </c>
      <c r="N1860" s="52" t="str">
        <f>VLOOKUP(Tabla3[[#This Row],[Site]],'Important Info!'!$A$1:$F$135,4,FALSE)</f>
        <v>-</v>
      </c>
      <c r="O1860" s="52" t="str">
        <f>VLOOKUP(Tabla3[[#This Row],[Site]],'Important Info!'!$A$1:$F$135,5,FALSE)</f>
        <v>4, 18</v>
      </c>
      <c r="P1860" s="52" t="str">
        <f>VLOOKUP(Tabla3[[#This Row],[Site]],'Important Info!'!$A$1:$F$135,6,FALSE)</f>
        <v>-</v>
      </c>
      <c r="Q1860" s="91">
        <f>VLOOKUP(Tabla3[[#This Row],[Site]],'Important Info!'!$A$1:$J$135,9,FALSE)</f>
        <v>247</v>
      </c>
    </row>
    <row r="1861" spans="1:17" x14ac:dyDescent="0.25">
      <c r="A1861" t="str">
        <f>+Tabla3[[#This Row],[Site]]&amp;Tabla3[[#This Row],[Split]]</f>
        <v>(PE) Hudson Toyota Nissan CDJR (NO TOURS)20</v>
      </c>
      <c r="B1861">
        <v>20</v>
      </c>
      <c r="C1861">
        <v>1</v>
      </c>
      <c r="D1861" t="s">
        <v>485</v>
      </c>
      <c r="E1861" t="s">
        <v>35</v>
      </c>
      <c r="F1861" t="s">
        <v>82</v>
      </c>
      <c r="G1861" t="s">
        <v>490</v>
      </c>
      <c r="H1861" s="52" t="str">
        <f>VLOOKUP(Tabla3[[#This Row],[Site]],'Important Info!'!$A$1:$J$135,10,FALSE)</f>
        <v>https://tools.sig.systems/site/details/156</v>
      </c>
      <c r="J1861" t="s">
        <v>41</v>
      </c>
      <c r="K1861" s="79" t="str">
        <f>VLOOKUP(Tabla3[[#This Row],[Site]],'Important Info!'!$A$1:$H$135,8,FALSE)</f>
        <v>-</v>
      </c>
      <c r="L1861" s="52">
        <f>VLOOKUP(Tabla3[[#This Row],[Site]],'Important Info!'!$A$1:$F$135,2,FALSE)</f>
        <v>5</v>
      </c>
      <c r="M1861" s="52" t="str">
        <f>VLOOKUP(Tabla3[[#This Row],[Site]],'Important Info!'!$A$1:$F$135,3,FALSE)</f>
        <v>3, 7, 18</v>
      </c>
      <c r="N1861" s="52" t="str">
        <f>VLOOKUP(Tabla3[[#This Row],[Site]],'Important Info!'!$A$1:$F$135,4,FALSE)</f>
        <v>-</v>
      </c>
      <c r="O1861" s="52">
        <f>VLOOKUP(Tabla3[[#This Row],[Site]],'Important Info!'!$A$1:$F$135,5,FALSE)</f>
        <v>84</v>
      </c>
      <c r="P1861" s="52" t="str">
        <f>VLOOKUP(Tabla3[[#This Row],[Site]],'Important Info!'!$A$1:$F$135,6,FALSE)</f>
        <v>1, 2, 3, 4, 5, 6, 7, 8</v>
      </c>
      <c r="Q1861" s="91">
        <f>VLOOKUP(Tabla3[[#This Row],[Site]],'Important Info!'!$A$1:$J$135,9,FALSE)</f>
        <v>156</v>
      </c>
    </row>
    <row r="1862" spans="1:17" x14ac:dyDescent="0.25">
      <c r="A1862" t="str">
        <f>+Tabla3[[#This Row],[Site]]&amp;Tabla3[[#This Row],[Split]]</f>
        <v>(PE) Scofield Service Center (NO TOURS)20</v>
      </c>
      <c r="B1862">
        <v>20</v>
      </c>
      <c r="C1862">
        <v>1</v>
      </c>
      <c r="D1862" t="s">
        <v>485</v>
      </c>
      <c r="E1862" t="s">
        <v>35</v>
      </c>
      <c r="F1862" t="s">
        <v>83</v>
      </c>
      <c r="G1862" t="s">
        <v>490</v>
      </c>
      <c r="H1862" s="52" t="str">
        <f>VLOOKUP(Tabla3[[#This Row],[Site]],'Important Info!'!$A$1:$J$135,10,FALSE)</f>
        <v>https://tools.sig.systems/site/details/193</v>
      </c>
      <c r="I1862" t="s">
        <v>177</v>
      </c>
      <c r="J1862" t="s">
        <v>41</v>
      </c>
      <c r="K1862" s="79" t="str">
        <f>VLOOKUP(Tabla3[[#This Row],[Site]],'Important Info!'!$A$1:$H$135,8,FALSE)</f>
        <v>-</v>
      </c>
      <c r="L1862" s="52">
        <f>VLOOKUP(Tabla3[[#This Row],[Site]],'Important Info!'!$A$1:$F$135,2,FALSE)</f>
        <v>1</v>
      </c>
      <c r="M1862" s="52" t="str">
        <f>VLOOKUP(Tabla3[[#This Row],[Site]],'Important Info!'!$A$1:$F$135,3,FALSE)</f>
        <v>-</v>
      </c>
      <c r="N1862" s="52" t="str">
        <f>VLOOKUP(Tabla3[[#This Row],[Site]],'Important Info!'!$A$1:$F$135,4,FALSE)</f>
        <v>-</v>
      </c>
      <c r="O1862" s="52">
        <f>VLOOKUP(Tabla3[[#This Row],[Site]],'Important Info!'!$A$1:$F$135,5,FALSE)</f>
        <v>9</v>
      </c>
      <c r="P1862" s="52" t="str">
        <f>VLOOKUP(Tabla3[[#This Row],[Site]],'Important Info!'!$A$1:$F$135,6,FALSE)</f>
        <v>1, 17</v>
      </c>
      <c r="Q1862" s="91">
        <f>VLOOKUP(Tabla3[[#This Row],[Site]],'Important Info!'!$A$1:$J$135,9,FALSE)</f>
        <v>193</v>
      </c>
    </row>
    <row r="1863" spans="1:17" x14ac:dyDescent="0.25">
      <c r="A1863" t="str">
        <f>+Tabla3[[#This Row],[Site]]&amp;Tabla3[[#This Row],[Split]]</f>
        <v>(RV) Toms Camperland Avondale (NO TOURS)20</v>
      </c>
      <c r="B1863">
        <v>20</v>
      </c>
      <c r="C1863">
        <v>1</v>
      </c>
      <c r="D1863" t="s">
        <v>51</v>
      </c>
      <c r="E1863" t="s">
        <v>161</v>
      </c>
      <c r="F1863" t="s">
        <v>80</v>
      </c>
      <c r="G1863" t="s">
        <v>52</v>
      </c>
      <c r="H1863" s="52" t="str">
        <f>VLOOKUP(Tabla3[[#This Row],[Site]],'Important Info!'!$A$1:$J$135,10,FALSE)</f>
        <v>https://tools.sig.systems/site/details/248</v>
      </c>
      <c r="I1863" s="43" t="s">
        <v>163</v>
      </c>
      <c r="J1863" t="s">
        <v>164</v>
      </c>
      <c r="K1863" s="79" t="str">
        <f>VLOOKUP(Tabla3[[#This Row],[Site]],'Important Info!'!$A$1:$H$135,8,FALSE)</f>
        <v>-</v>
      </c>
      <c r="L1863" s="52">
        <f>VLOOKUP(Tabla3[[#This Row],[Site]],'Important Info!'!$A$1:$F$135,2,FALSE)</f>
        <v>10</v>
      </c>
      <c r="M1863" s="52" t="str">
        <f>VLOOKUP(Tabla3[[#This Row],[Site]],'Important Info!'!$A$1:$F$135,3,FALSE)</f>
        <v>2, 7</v>
      </c>
      <c r="N1863" s="52" t="str">
        <f>VLOOKUP(Tabla3[[#This Row],[Site]],'Important Info!'!$A$1:$F$135,4,FALSE)</f>
        <v>-</v>
      </c>
      <c r="O1863" s="52" t="str">
        <f>VLOOKUP(Tabla3[[#This Row],[Site]],'Important Info!'!$A$1:$F$135,5,FALSE)</f>
        <v>-</v>
      </c>
      <c r="P1863" s="52" t="str">
        <f>VLOOKUP(Tabla3[[#This Row],[Site]],'Important Info!'!$A$1:$F$135,6,FALSE)</f>
        <v>2, 7, 8, 13, 15</v>
      </c>
      <c r="Q1863" s="91">
        <f>VLOOKUP(Tabla3[[#This Row],[Site]],'Important Info!'!$A$1:$J$135,9,FALSE)</f>
        <v>248</v>
      </c>
    </row>
    <row r="1864" spans="1:17" x14ac:dyDescent="0.25">
      <c r="A1864" t="str">
        <f>+Tabla3[[#This Row],[Site]]&amp;Tabla3[[#This Row],[Split]]</f>
        <v>(JE) Jim Ellis Ford Sandy Springs20</v>
      </c>
      <c r="B1864">
        <v>20</v>
      </c>
      <c r="C1864">
        <v>2</v>
      </c>
      <c r="D1864" t="s">
        <v>62</v>
      </c>
      <c r="E1864" t="s">
        <v>35</v>
      </c>
      <c r="F1864" t="s">
        <v>187</v>
      </c>
      <c r="G1864" t="s">
        <v>490</v>
      </c>
      <c r="H1864" s="52" t="str">
        <f>VLOOKUP(Tabla3[[#This Row],[Site]],'Important Info!'!$A$1:$J$135,10,FALSE)</f>
        <v>https://tools.sig.systems/site/details/142</v>
      </c>
      <c r="I1864" s="43"/>
      <c r="J1864" t="s">
        <v>41</v>
      </c>
      <c r="K1864" s="79" t="str">
        <f>VLOOKUP(Tabla3[[#This Row],[Site]],'Important Info!'!$A$1:$H$135,8,FALSE)</f>
        <v>-</v>
      </c>
      <c r="L1864" s="52" t="str">
        <f>VLOOKUP(Tabla3[[#This Row],[Site]],'Important Info!'!$A$1:$F$135,2,FALSE)</f>
        <v>1, 5</v>
      </c>
      <c r="M1864" s="52" t="str">
        <f>VLOOKUP(Tabla3[[#This Row],[Site]],'Important Info!'!$A$1:$F$135,3,FALSE)</f>
        <v>-</v>
      </c>
      <c r="N1864" s="52" t="str">
        <f>VLOOKUP(Tabla3[[#This Row],[Site]],'Important Info!'!$A$1:$F$135,4,FALSE)</f>
        <v>-</v>
      </c>
      <c r="O1864" s="52" t="str">
        <f>VLOOKUP(Tabla3[[#This Row],[Site]],'Important Info!'!$A$1:$F$135,5,FALSE)</f>
        <v>1, 5, 9, 26</v>
      </c>
      <c r="P1864" s="52" t="str">
        <f>VLOOKUP(Tabla3[[#This Row],[Site]],'Important Info!'!$A$1:$F$135,6,FALSE)</f>
        <v>3, 4, 8, 28</v>
      </c>
      <c r="Q1864" s="91">
        <f>VLOOKUP(Tabla3[[#This Row],[Site]],'Important Info!'!$A$1:$J$135,9,FALSE)</f>
        <v>142</v>
      </c>
    </row>
    <row r="1865" spans="1:17" x14ac:dyDescent="0.25">
      <c r="A1865" t="str">
        <f>+Tabla3[[#This Row],[Site]]&amp;Tabla3[[#This Row],[Split]]</f>
        <v>(KG) Texan CDJR20</v>
      </c>
      <c r="B1865">
        <v>20</v>
      </c>
      <c r="C1865">
        <v>2</v>
      </c>
      <c r="D1865" t="s">
        <v>33</v>
      </c>
      <c r="E1865" t="s">
        <v>46</v>
      </c>
      <c r="F1865" t="s">
        <v>70</v>
      </c>
      <c r="G1865" t="s">
        <v>34</v>
      </c>
      <c r="H1865" s="52" t="str">
        <f>VLOOKUP(Tabla3[[#This Row],[Site]],'Important Info!'!$A$1:$J$135,10,FALSE)</f>
        <v>https://tools.sig.systems/site/details/238</v>
      </c>
      <c r="I1865" s="43" t="s">
        <v>137</v>
      </c>
      <c r="J1865" t="s">
        <v>41</v>
      </c>
      <c r="K1865" s="79" t="str">
        <f>VLOOKUP(Tabla3[[#This Row],[Site]],'Important Info!'!$A$1:$H$135,8,FALSE)</f>
        <v>-</v>
      </c>
      <c r="L1865" s="52" t="str">
        <f>VLOOKUP(Tabla3[[#This Row],[Site]],'Important Info!'!$A$1:$F$135,2,FALSE)</f>
        <v>11, 12, 13, 14, 20, 32, 34, 36, 77</v>
      </c>
      <c r="M1865" s="52" t="str">
        <f>VLOOKUP(Tabla3[[#This Row],[Site]],'Important Info!'!$A$1:$F$135,3,FALSE)</f>
        <v>-</v>
      </c>
      <c r="N1865" s="52" t="str">
        <f>VLOOKUP(Tabla3[[#This Row],[Site]],'Important Info!'!$A$1:$F$135,4,FALSE)</f>
        <v>67, 68, 69, 70</v>
      </c>
      <c r="O1865" s="52" t="str">
        <f>VLOOKUP(Tabla3[[#This Row],[Site]],'Important Info!'!$A$1:$F$135,5,FALSE)</f>
        <v>2, 10, 14, 25, 29, 35, 38</v>
      </c>
      <c r="P1865" s="52" t="str">
        <f>VLOOKUP(Tabla3[[#This Row],[Site]],'Important Info!'!$A$1:$F$135,6,FALSE)</f>
        <v>36, 46</v>
      </c>
      <c r="Q1865" s="91">
        <f>VLOOKUP(Tabla3[[#This Row],[Site]],'Important Info!'!$A$1:$J$135,9,FALSE)</f>
        <v>238</v>
      </c>
    </row>
    <row r="1866" spans="1:17" x14ac:dyDescent="0.25">
      <c r="A1866" t="str">
        <f>+Tabla3[[#This Row],[Site]]&amp;Tabla3[[#This Row],[Split]]</f>
        <v>(ML) Columbia Honda (NO TOURS)20</v>
      </c>
      <c r="B1866">
        <v>20</v>
      </c>
      <c r="C1866">
        <v>2</v>
      </c>
      <c r="D1866" t="s">
        <v>33</v>
      </c>
      <c r="E1866" t="s">
        <v>46</v>
      </c>
      <c r="F1866" t="s">
        <v>143</v>
      </c>
      <c r="G1866" t="s">
        <v>34</v>
      </c>
      <c r="H1866" s="52" t="str">
        <f>VLOOKUP(Tabla3[[#This Row],[Site]],'Important Info!'!$A$1:$J$135,10,FALSE)</f>
        <v>https://tools.sig.systems/site/details/272</v>
      </c>
      <c r="I1866" s="43" t="s">
        <v>144</v>
      </c>
      <c r="J1866" t="s">
        <v>41</v>
      </c>
      <c r="K1866" s="79" t="str">
        <f>VLOOKUP(Tabla3[[#This Row],[Site]],'Important Info!'!$A$1:$H$135,8,FALSE)</f>
        <v>-</v>
      </c>
      <c r="L1866" s="52" t="str">
        <f>VLOOKUP(Tabla3[[#This Row],[Site]],'Important Info!'!$A$1:$F$135,2,FALSE)</f>
        <v>-</v>
      </c>
      <c r="M1866" s="52" t="str">
        <f>VLOOKUP(Tabla3[[#This Row],[Site]],'Important Info!'!$A$1:$F$135,3,FALSE)</f>
        <v>9, 19, 20</v>
      </c>
      <c r="N1866" s="52" t="str">
        <f>VLOOKUP(Tabla3[[#This Row],[Site]],'Important Info!'!$A$1:$F$135,4,FALSE)</f>
        <v>-</v>
      </c>
      <c r="O1866" s="52" t="str">
        <f>VLOOKUP(Tabla3[[#This Row],[Site]],'Important Info!'!$A$1:$F$135,5,FALSE)</f>
        <v>10, 17, 19</v>
      </c>
      <c r="P1866" s="52" t="str">
        <f>VLOOKUP(Tabla3[[#This Row],[Site]],'Important Info!'!$A$1:$F$135,6,FALSE)</f>
        <v>3, 4, 5</v>
      </c>
      <c r="Q1866" s="91">
        <f>VLOOKUP(Tabla3[[#This Row],[Site]],'Important Info!'!$A$1:$J$135,9,FALSE)</f>
        <v>272</v>
      </c>
    </row>
    <row r="1867" spans="1:17" x14ac:dyDescent="0.25">
      <c r="A1867" t="str">
        <f>+Tabla3[[#This Row],[Site]]&amp;Tabla3[[#This Row],[Split]]</f>
        <v>(RV) Toms Camperland Mesa (NO TOURS)20</v>
      </c>
      <c r="B1867">
        <v>20</v>
      </c>
      <c r="C1867">
        <v>2</v>
      </c>
      <c r="D1867" t="s">
        <v>51</v>
      </c>
      <c r="E1867" t="s">
        <v>161</v>
      </c>
      <c r="F1867" t="s">
        <v>81</v>
      </c>
      <c r="G1867" t="s">
        <v>52</v>
      </c>
      <c r="H1867" s="52" t="str">
        <f>VLOOKUP(Tabla3[[#This Row],[Site]],'Important Info!'!$A$1:$J$135,10,FALSE)</f>
        <v>https://tools.sig.systems/site/details/222</v>
      </c>
      <c r="J1867" t="s">
        <v>41</v>
      </c>
      <c r="K1867" s="79" t="str">
        <f>VLOOKUP(Tabla3[[#This Row],[Site]],'Important Info!'!$A$1:$H$135,8,FALSE)</f>
        <v>-</v>
      </c>
      <c r="L1867" s="52" t="str">
        <f>VLOOKUP(Tabla3[[#This Row],[Site]],'Important Info!'!$A$1:$F$135,2,FALSE)</f>
        <v>1, 2</v>
      </c>
      <c r="M1867" s="52" t="str">
        <f>VLOOKUP(Tabla3[[#This Row],[Site]],'Important Info!'!$A$1:$F$135,3,FALSE)</f>
        <v>-</v>
      </c>
      <c r="N1867" s="52" t="str">
        <f>VLOOKUP(Tabla3[[#This Row],[Site]],'Important Info!'!$A$1:$F$135,4,FALSE)</f>
        <v>-</v>
      </c>
      <c r="O1867" s="52" t="str">
        <f>VLOOKUP(Tabla3[[#This Row],[Site]],'Important Info!'!$A$1:$F$135,5,FALSE)</f>
        <v>-</v>
      </c>
      <c r="P1867" s="52" t="str">
        <f>VLOOKUP(Tabla3[[#This Row],[Site]],'Important Info!'!$A$1:$F$135,6,FALSE)</f>
        <v>1, 4, 6, 8, 10, 18</v>
      </c>
      <c r="Q1867" s="91">
        <f>VLOOKUP(Tabla3[[#This Row],[Site]],'Important Info!'!$A$1:$J$135,9,FALSE)</f>
        <v>222</v>
      </c>
    </row>
    <row r="1868" spans="1:17" x14ac:dyDescent="0.25">
      <c r="A1868" t="str">
        <f>+Tabla3[[#This Row],[Site]]&amp;Tabla3[[#This Row],[Split]]</f>
        <v>(WAG) Greeley Chrysler Dodge Jeep Ram (NO TOURS)20</v>
      </c>
      <c r="B1868">
        <v>20</v>
      </c>
      <c r="C1868">
        <v>2</v>
      </c>
      <c r="D1868" t="s">
        <v>44</v>
      </c>
      <c r="E1868" t="s">
        <v>53</v>
      </c>
      <c r="F1868" t="s">
        <v>497</v>
      </c>
      <c r="G1868" t="s">
        <v>45</v>
      </c>
      <c r="H1868" s="52" t="str">
        <f>VLOOKUP(Tabla3[[#This Row],[Site]],'Important Info!'!$A$1:$J$135,10,FALSE)</f>
        <v>https://tools.sig.systems/site/details/130</v>
      </c>
      <c r="I1868" s="2" t="s">
        <v>153</v>
      </c>
      <c r="J1868" t="s">
        <v>41</v>
      </c>
      <c r="K1868" s="79" t="str">
        <f>VLOOKUP(Tabla3[[#This Row],[Site]],'Important Info!'!$A$1:$H$135,8,FALSE)</f>
        <v>-</v>
      </c>
      <c r="L1868" s="52" t="str">
        <f>VLOOKUP(Tabla3[[#This Row],[Site]],'Important Info!'!$A$1:$F$135,2,FALSE)</f>
        <v>17, 23 &amp; 18</v>
      </c>
      <c r="M1868" s="52" t="str">
        <f>VLOOKUP(Tabla3[[#This Row],[Site]],'Important Info!'!$A$1:$F$135,3,FALSE)</f>
        <v>4, 5, 6, 7, 8, 51, 55</v>
      </c>
      <c r="N1868" s="52" t="str">
        <f>VLOOKUP(Tabla3[[#This Row],[Site]],'Important Info!'!$A$1:$F$135,4,FALSE)</f>
        <v>-</v>
      </c>
      <c r="O1868" s="52" t="str">
        <f>VLOOKUP(Tabla3[[#This Row],[Site]],'Important Info!'!$A$1:$F$135,5,FALSE)</f>
        <v>3, 13, 17, 49, 53, 59</v>
      </c>
      <c r="P1868" s="52" t="str">
        <f>VLOOKUP(Tabla3[[#This Row],[Site]],'Important Info!'!$A$1:$F$135,6,FALSE)</f>
        <v>8, 9, 10, 51, 62</v>
      </c>
      <c r="Q1868" s="91">
        <f>VLOOKUP(Tabla3[[#This Row],[Site]],'Important Info!'!$A$1:$J$135,9,FALSE)</f>
        <v>130</v>
      </c>
    </row>
    <row r="1869" spans="1:17" x14ac:dyDescent="0.25">
      <c r="A1869" t="str">
        <f>+Tabla3[[#This Row],[Site]]&amp;Tabla3[[#This Row],[Split]]</f>
        <v>(AS) Bill Estes Ford (NO TOURS)20</v>
      </c>
      <c r="B1869">
        <v>20</v>
      </c>
      <c r="C1869">
        <v>3</v>
      </c>
      <c r="D1869" t="s">
        <v>62</v>
      </c>
      <c r="E1869" t="s">
        <v>35</v>
      </c>
      <c r="F1869" t="s">
        <v>178</v>
      </c>
      <c r="G1869" t="s">
        <v>490</v>
      </c>
      <c r="H1869" s="52" t="str">
        <f>VLOOKUP(Tabla3[[#This Row],[Site]],'Important Info!'!$A$1:$J$135,10,FALSE)</f>
        <v>https://tools.sig.systems/site/details/125</v>
      </c>
      <c r="J1869" t="s">
        <v>41</v>
      </c>
      <c r="K1869" s="79" t="str">
        <f>VLOOKUP(Tabla3[[#This Row],[Site]],'Important Info!'!$A$1:$H$135,8,FALSE)</f>
        <v>-</v>
      </c>
      <c r="L1869" s="52" t="str">
        <f>VLOOKUP(Tabla3[[#This Row],[Site]],'Important Info!'!$A$1:$F$135,2,FALSE)</f>
        <v>-</v>
      </c>
      <c r="M1869" s="52" t="str">
        <f>VLOOKUP(Tabla3[[#This Row],[Site]],'Important Info!'!$A$1:$F$135,3,FALSE)</f>
        <v>2, 3, 13, 16</v>
      </c>
      <c r="N1869" s="52" t="str">
        <f>VLOOKUP(Tabla3[[#This Row],[Site]],'Important Info!'!$A$1:$F$135,4,FALSE)</f>
        <v>-</v>
      </c>
      <c r="O1869" s="52" t="str">
        <f>VLOOKUP(Tabla3[[#This Row],[Site]],'Important Info!'!$A$1:$F$135,5,FALSE)</f>
        <v>1, 10, 14, 19</v>
      </c>
      <c r="P1869" s="52" t="str">
        <f>VLOOKUP(Tabla3[[#This Row],[Site]],'Important Info!'!$A$1:$F$135,6,FALSE)</f>
        <v>7, 8, 9, 10, 11, 12, 14</v>
      </c>
      <c r="Q1869" s="91">
        <f>VLOOKUP(Tabla3[[#This Row],[Site]],'Important Info!'!$A$1:$J$135,9,FALSE)</f>
        <v>125</v>
      </c>
    </row>
    <row r="1870" spans="1:17" x14ac:dyDescent="0.25">
      <c r="A1870" t="str">
        <f>+Tabla3[[#This Row],[Site]]&amp;Tabla3[[#This Row],[Split]]</f>
        <v>(AS) Park Place Mercedes Benz Arlington (NO TOURS)20</v>
      </c>
      <c r="B1870">
        <v>20</v>
      </c>
      <c r="C1870">
        <v>3</v>
      </c>
      <c r="D1870" t="s">
        <v>33</v>
      </c>
      <c r="E1870" t="s">
        <v>46</v>
      </c>
      <c r="F1870" t="s">
        <v>518</v>
      </c>
      <c r="G1870" t="s">
        <v>34</v>
      </c>
      <c r="H1870" s="52" t="str">
        <f>VLOOKUP(Tabla3[[#This Row],[Site]],'Important Info!'!$A$1:$J$135,10,FALSE)</f>
        <v>https://tools.sig.systems/site/details/169</v>
      </c>
      <c r="J1870" t="s">
        <v>41</v>
      </c>
      <c r="K1870" s="79" t="str">
        <f>VLOOKUP(Tabla3[[#This Row],[Site]],'Important Info!'!$A$1:$H$135,8,FALSE)</f>
        <v>-</v>
      </c>
      <c r="L1870" s="52" t="str">
        <f>VLOOKUP(Tabla3[[#This Row],[Site]],'Important Info!'!$A$1:$F$135,2,FALSE)</f>
        <v>1, 9, 14</v>
      </c>
      <c r="M1870" s="52" t="str">
        <f>VLOOKUP(Tabla3[[#This Row],[Site]],'Important Info!'!$A$1:$F$135,3,FALSE)</f>
        <v>-</v>
      </c>
      <c r="N1870" s="52" t="str">
        <f>VLOOKUP(Tabla3[[#This Row],[Site]],'Important Info!'!$A$1:$F$135,4,FALSE)</f>
        <v>77, 78, 79, 80</v>
      </c>
      <c r="O1870" s="52" t="str">
        <f>VLOOKUP(Tabla3[[#This Row],[Site]],'Important Info!'!$A$1:$F$135,5,FALSE)</f>
        <v>2, 10, 18, 22, 31, 40</v>
      </c>
      <c r="P1870" s="52">
        <f>VLOOKUP(Tabla3[[#This Row],[Site]],'Important Info!'!$A$1:$F$135,6,FALSE)</f>
        <v>9</v>
      </c>
      <c r="Q1870" s="91">
        <f>VLOOKUP(Tabla3[[#This Row],[Site]],'Important Info!'!$A$1:$J$135,9,FALSE)</f>
        <v>169</v>
      </c>
    </row>
    <row r="1871" spans="1:17" x14ac:dyDescent="0.25">
      <c r="A1871" t="str">
        <f>+Tabla3[[#This Row],[Site]]&amp;Tabla3[[#This Row],[Split]]</f>
        <v>(KG) Texan GMC Buick (NO TOURS)20</v>
      </c>
      <c r="B1871">
        <v>20</v>
      </c>
      <c r="C1871">
        <v>3</v>
      </c>
      <c r="D1871" t="s">
        <v>33</v>
      </c>
      <c r="E1871" t="s">
        <v>46</v>
      </c>
      <c r="F1871" t="s">
        <v>111</v>
      </c>
      <c r="G1871" t="s">
        <v>34</v>
      </c>
      <c r="H1871" s="52" t="str">
        <f>VLOOKUP(Tabla3[[#This Row],[Site]],'Important Info!'!$A$1:$J$135,10,FALSE)</f>
        <v>https://tools.sig.systems/site/details/225</v>
      </c>
      <c r="I1871" s="43" t="s">
        <v>137</v>
      </c>
      <c r="J1871" t="s">
        <v>41</v>
      </c>
      <c r="K1871" s="79" t="str">
        <f>VLOOKUP(Tabla3[[#This Row],[Site]],'Important Info!'!$A$1:$H$135,8,FALSE)</f>
        <v>-</v>
      </c>
      <c r="L1871" s="52" t="str">
        <f>VLOOKUP(Tabla3[[#This Row],[Site]],'Important Info!'!$A$1:$F$135,2,FALSE)</f>
        <v>1, 20, 53</v>
      </c>
      <c r="M1871" s="52" t="str">
        <f>VLOOKUP(Tabla3[[#This Row],[Site]],'Important Info!'!$A$1:$F$135,3,FALSE)</f>
        <v>-</v>
      </c>
      <c r="N1871" s="52" t="str">
        <f>VLOOKUP(Tabla3[[#This Row],[Site]],'Important Info!'!$A$1:$F$135,4,FALSE)</f>
        <v>-</v>
      </c>
      <c r="O1871" s="52" t="str">
        <f>VLOOKUP(Tabla3[[#This Row],[Site]],'Important Info!'!$A$1:$F$135,5,FALSE)</f>
        <v>2, 8, 14</v>
      </c>
      <c r="P1871" s="52" t="str">
        <f>VLOOKUP(Tabla3[[#This Row],[Site]],'Important Info!'!$A$1:$F$135,6,FALSE)</f>
        <v>51, 52, 16</v>
      </c>
      <c r="Q1871" s="91">
        <f>VLOOKUP(Tabla3[[#This Row],[Site]],'Important Info!'!$A$1:$J$135,9,FALSE)</f>
        <v>225</v>
      </c>
    </row>
    <row r="1872" spans="1:17" x14ac:dyDescent="0.25">
      <c r="A1872" t="str">
        <f>+Tabla3[[#This Row],[Site]]&amp;Tabla3[[#This Row],[Split]]</f>
        <v>(LM) Luther Mazda / Mitsubishi20</v>
      </c>
      <c r="B1872">
        <v>20</v>
      </c>
      <c r="C1872">
        <v>3</v>
      </c>
      <c r="D1872" t="s">
        <v>33</v>
      </c>
      <c r="E1872" t="s">
        <v>46</v>
      </c>
      <c r="F1872" t="s">
        <v>103</v>
      </c>
      <c r="G1872" t="s">
        <v>34</v>
      </c>
      <c r="H1872" s="52" t="str">
        <f>VLOOKUP(Tabla3[[#This Row],[Site]],'Important Info!'!$A$1:$J$135,10,FALSE)</f>
        <v>https://tools.sig.systems/site/details/147</v>
      </c>
      <c r="I1872" s="2" t="s">
        <v>138</v>
      </c>
      <c r="J1872" t="s">
        <v>41</v>
      </c>
      <c r="K1872" s="79" t="str">
        <f>VLOOKUP(Tabla3[[#This Row],[Site]],'Important Info!'!$A$1:$H$135,8,FALSE)</f>
        <v>-</v>
      </c>
      <c r="L1872" s="52" t="str">
        <f>VLOOKUP(Tabla3[[#This Row],[Site]],'Important Info!'!$A$1:$F$135,2,FALSE)</f>
        <v>4, 5, 6</v>
      </c>
      <c r="M1872" s="52" t="str">
        <f>VLOOKUP(Tabla3[[#This Row],[Site]],'Important Info!'!$A$1:$F$135,3,FALSE)</f>
        <v>-</v>
      </c>
      <c r="N1872" s="52" t="str">
        <f>VLOOKUP(Tabla3[[#This Row],[Site]],'Important Info!'!$A$1:$F$135,4,FALSE)</f>
        <v>1, 2</v>
      </c>
      <c r="O1872" s="52" t="str">
        <f>VLOOKUP(Tabla3[[#This Row],[Site]],'Important Info!'!$A$1:$F$135,5,FALSE)</f>
        <v>-</v>
      </c>
      <c r="P1872" s="52" t="str">
        <f>VLOOKUP(Tabla3[[#This Row],[Site]],'Important Info!'!$A$1:$F$135,6,FALSE)</f>
        <v>13, 14, 15, 16</v>
      </c>
      <c r="Q1872" s="91">
        <f>VLOOKUP(Tabla3[[#This Row],[Site]],'Important Info!'!$A$1:$J$135,9,FALSE)</f>
        <v>147</v>
      </c>
    </row>
    <row r="1873" spans="1:17" x14ac:dyDescent="0.25">
      <c r="A1873" t="str">
        <f>+Tabla3[[#This Row],[Site]]&amp;Tabla3[[#This Row],[Split]]</f>
        <v>(ML) Joe Machens CDJR20</v>
      </c>
      <c r="B1873">
        <v>20</v>
      </c>
      <c r="C1873">
        <v>3</v>
      </c>
      <c r="D1873" t="s">
        <v>33</v>
      </c>
      <c r="E1873" t="s">
        <v>46</v>
      </c>
      <c r="F1873" t="s">
        <v>88</v>
      </c>
      <c r="G1873" t="s">
        <v>34</v>
      </c>
      <c r="H1873" s="52" t="str">
        <f>VLOOKUP(Tabla3[[#This Row],[Site]],'Important Info!'!$A$1:$J$135,10,FALSE)</f>
        <v>https://tools.sig.systems/site/details/273</v>
      </c>
      <c r="I1873" s="2" t="s">
        <v>146</v>
      </c>
      <c r="J1873" t="s">
        <v>41</v>
      </c>
      <c r="K1873" s="79" t="str">
        <f>VLOOKUP(Tabla3[[#This Row],[Site]],'Important Info!'!$A$1:$H$135,8,FALSE)</f>
        <v>-</v>
      </c>
      <c r="L1873" s="52" t="str">
        <f>VLOOKUP(Tabla3[[#This Row],[Site]],'Important Info!'!$A$1:$F$135,2,FALSE)</f>
        <v>-</v>
      </c>
      <c r="M1873" s="52">
        <f>VLOOKUP(Tabla3[[#This Row],[Site]],'Important Info!'!$A$1:$F$135,3,FALSE)</f>
        <v>3</v>
      </c>
      <c r="N1873" s="52" t="str">
        <f>VLOOKUP(Tabla3[[#This Row],[Site]],'Important Info!'!$A$1:$F$135,4,FALSE)</f>
        <v>-</v>
      </c>
      <c r="O1873" s="52" t="str">
        <f>VLOOKUP(Tabla3[[#This Row],[Site]],'Important Info!'!$A$1:$F$135,5,FALSE)</f>
        <v>-</v>
      </c>
      <c r="P1873" s="52" t="str">
        <f>VLOOKUP(Tabla3[[#This Row],[Site]],'Important Info!'!$A$1:$F$135,6,FALSE)</f>
        <v>1, 2, 3,</v>
      </c>
      <c r="Q1873" s="91">
        <f>VLOOKUP(Tabla3[[#This Row],[Site]],'Important Info!'!$A$1:$J$135,9,FALSE)</f>
        <v>273</v>
      </c>
    </row>
    <row r="1874" spans="1:17" x14ac:dyDescent="0.25">
      <c r="A1874" t="str">
        <f>+Tabla3[[#This Row],[Site]]&amp;Tabla3[[#This Row],[Split]]</f>
        <v>(PE) BMW of Greenwich (NO TOURS)20</v>
      </c>
      <c r="B1874">
        <v>20</v>
      </c>
      <c r="C1874">
        <v>3</v>
      </c>
      <c r="D1874" t="s">
        <v>485</v>
      </c>
      <c r="E1874" t="s">
        <v>35</v>
      </c>
      <c r="F1874" t="s">
        <v>170</v>
      </c>
      <c r="G1874" t="s">
        <v>490</v>
      </c>
      <c r="H1874" s="52" t="str">
        <f>VLOOKUP(Tabla3[[#This Row],[Site]],'Important Info!'!$A$1:$J$135,10,FALSE)</f>
        <v>https://tools.sig.systems/site/details/186</v>
      </c>
      <c r="I1874" s="2" t="s">
        <v>171</v>
      </c>
      <c r="J1874" t="s">
        <v>41</v>
      </c>
      <c r="K1874" s="79" t="str">
        <f>VLOOKUP(Tabla3[[#This Row],[Site]],'Important Info!'!$A$1:$H$135,8,FALSE)</f>
        <v>-</v>
      </c>
      <c r="L1874" s="52" t="str">
        <f>VLOOKUP(Tabla3[[#This Row],[Site]],'Important Info!'!$A$1:$F$135,2,FALSE)</f>
        <v>1, 6, 15</v>
      </c>
      <c r="M1874" s="52" t="str">
        <f>VLOOKUP(Tabla3[[#This Row],[Site]],'Important Info!'!$A$1:$F$135,3,FALSE)</f>
        <v>-</v>
      </c>
      <c r="N1874" s="52" t="str">
        <f>VLOOKUP(Tabla3[[#This Row],[Site]],'Important Info!'!$A$1:$F$135,4,FALSE)</f>
        <v>-</v>
      </c>
      <c r="O1874" s="52" t="str">
        <f>VLOOKUP(Tabla3[[#This Row],[Site]],'Important Info!'!$A$1:$F$135,5,FALSE)</f>
        <v>-</v>
      </c>
      <c r="P1874" s="52">
        <f>VLOOKUP(Tabla3[[#This Row],[Site]],'Important Info!'!$A$1:$F$135,6,FALSE)</f>
        <v>12</v>
      </c>
      <c r="Q1874" s="91">
        <f>VLOOKUP(Tabla3[[#This Row],[Site]],'Important Info!'!$A$1:$J$135,9,FALSE)</f>
        <v>186</v>
      </c>
    </row>
    <row r="1875" spans="1:17" x14ac:dyDescent="0.25">
      <c r="A1875" t="str">
        <f>+Tabla3[[#This Row],[Site]]&amp;Tabla3[[#This Row],[Split]]</f>
        <v>(AS) Park Place Volvo Sales (NO TOURS)20</v>
      </c>
      <c r="B1875">
        <v>20</v>
      </c>
      <c r="C1875">
        <v>4</v>
      </c>
      <c r="D1875" t="s">
        <v>33</v>
      </c>
      <c r="E1875" t="s">
        <v>46</v>
      </c>
      <c r="F1875" t="s">
        <v>521</v>
      </c>
      <c r="G1875" t="s">
        <v>34</v>
      </c>
      <c r="H1875" s="52" t="str">
        <f>VLOOKUP(Tabla3[[#This Row],[Site]],'Important Info!'!$A$1:$J$135,10,FALSE)</f>
        <v>https://tools.sig.systems/site/details/139</v>
      </c>
      <c r="I1875" s="65" t="s">
        <v>125</v>
      </c>
      <c r="J1875" t="s">
        <v>41</v>
      </c>
      <c r="K1875" s="79" t="str">
        <f>VLOOKUP(Tabla3[[#This Row],[Site]],'Important Info!'!$A$1:$H$135,8,FALSE)</f>
        <v>-</v>
      </c>
      <c r="L1875" s="52" t="str">
        <f>VLOOKUP(Tabla3[[#This Row],[Site]],'Important Info!'!$A$1:$F$135,2,FALSE)</f>
        <v>4, 6, 9, 11</v>
      </c>
      <c r="M1875" s="52" t="str">
        <f>VLOOKUP(Tabla3[[#This Row],[Site]],'Important Info!'!$A$1:$F$135,3,FALSE)</f>
        <v>-</v>
      </c>
      <c r="N1875" s="52" t="str">
        <f>VLOOKUP(Tabla3[[#This Row],[Site]],'Important Info!'!$A$1:$F$135,4,FALSE)</f>
        <v>-</v>
      </c>
      <c r="O1875" s="52" t="str">
        <f>VLOOKUP(Tabla3[[#This Row],[Site]],'Important Info!'!$A$1:$F$135,5,FALSE)</f>
        <v>2, 9</v>
      </c>
      <c r="P1875" s="52" t="str">
        <f>VLOOKUP(Tabla3[[#This Row],[Site]],'Important Info!'!$A$1:$F$135,6,FALSE)</f>
        <v>4, 10, 11</v>
      </c>
      <c r="Q1875" s="91">
        <f>VLOOKUP(Tabla3[[#This Row],[Site]],'Important Info!'!$A$1:$J$135,9,FALSE)</f>
        <v>139</v>
      </c>
    </row>
    <row r="1876" spans="1:17" x14ac:dyDescent="0.25">
      <c r="A1876" t="str">
        <f>+Tabla3[[#This Row],[Site]]&amp;Tabla3[[#This Row],[Split]]</f>
        <v>(DT) Denver (NO TOURS)20</v>
      </c>
      <c r="B1876">
        <v>20</v>
      </c>
      <c r="C1876">
        <v>4</v>
      </c>
      <c r="D1876" t="s">
        <v>44</v>
      </c>
      <c r="E1876" t="s">
        <v>53</v>
      </c>
      <c r="F1876" t="s">
        <v>157</v>
      </c>
      <c r="G1876" t="s">
        <v>45</v>
      </c>
      <c r="H1876" s="52" t="str">
        <f>VLOOKUP(Tabla3[[#This Row],[Site]],'Important Info!'!$A$1:$J$135,10,FALSE)</f>
        <v>https://tools.sig.systems/site/details/203</v>
      </c>
      <c r="I1876" s="2" t="s">
        <v>158</v>
      </c>
      <c r="J1876" t="s">
        <v>41</v>
      </c>
      <c r="K1876" s="79" t="str">
        <f>VLOOKUP(Tabla3[[#This Row],[Site]],'Important Info!'!$A$1:$H$135,8,FALSE)</f>
        <v>-</v>
      </c>
      <c r="L1876" s="52" t="str">
        <f>VLOOKUP(Tabla3[[#This Row],[Site]],'Important Info!'!$A$1:$F$135,2,FALSE)</f>
        <v>-</v>
      </c>
      <c r="M1876" s="52" t="str">
        <f>VLOOKUP(Tabla3[[#This Row],[Site]],'Important Info!'!$A$1:$F$135,3,FALSE)</f>
        <v>7, 8</v>
      </c>
      <c r="N1876" s="52" t="str">
        <f>VLOOKUP(Tabla3[[#This Row],[Site]],'Important Info!'!$A$1:$F$135,4,FALSE)</f>
        <v>-</v>
      </c>
      <c r="O1876" s="52" t="str">
        <f>VLOOKUP(Tabla3[[#This Row],[Site]],'Important Info!'!$A$1:$F$135,5,FALSE)</f>
        <v>-</v>
      </c>
      <c r="P1876" s="52" t="str">
        <f>VLOOKUP(Tabla3[[#This Row],[Site]],'Important Info!'!$A$1:$F$135,6,FALSE)</f>
        <v>7, 8</v>
      </c>
      <c r="Q1876" s="91">
        <f>VLOOKUP(Tabla3[[#This Row],[Site]],'Important Info!'!$A$1:$J$135,9,FALSE)</f>
        <v>203</v>
      </c>
    </row>
    <row r="1877" spans="1:17" x14ac:dyDescent="0.25">
      <c r="A1877" t="str">
        <f>+Tabla3[[#This Row],[Site]]&amp;Tabla3[[#This Row],[Split]]</f>
        <v>(ML) Ford Lincoln of North Little Rock20</v>
      </c>
      <c r="B1877">
        <v>20</v>
      </c>
      <c r="C1877">
        <v>4</v>
      </c>
      <c r="D1877" t="s">
        <v>33</v>
      </c>
      <c r="E1877" t="s">
        <v>46</v>
      </c>
      <c r="F1877" t="s">
        <v>145</v>
      </c>
      <c r="G1877" t="s">
        <v>34</v>
      </c>
      <c r="H1877" s="52" t="str">
        <f>VLOOKUP(Tabla3[[#This Row],[Site]],'Important Info!'!$A$1:$J$135,10,FALSE)</f>
        <v>https://tools.sig.systems/site/details/214</v>
      </c>
      <c r="I1877" s="43" t="s">
        <v>142</v>
      </c>
      <c r="J1877" t="s">
        <v>41</v>
      </c>
      <c r="K1877" s="79" t="str">
        <f>VLOOKUP(Tabla3[[#This Row],[Site]],'Important Info!'!$A$1:$H$135,8,FALSE)</f>
        <v>-</v>
      </c>
      <c r="L1877" s="52" t="str">
        <f>VLOOKUP(Tabla3[[#This Row],[Site]],'Important Info!'!$A$1:$F$135,2,FALSE)</f>
        <v>4, 15, 18, 67, 74</v>
      </c>
      <c r="M1877" s="52">
        <f>VLOOKUP(Tabla3[[#This Row],[Site]],'Important Info!'!$A$1:$F$135,3,FALSE)</f>
        <v>13</v>
      </c>
      <c r="N1877" s="52" t="str">
        <f>VLOOKUP(Tabla3[[#This Row],[Site]],'Important Info!'!$A$1:$F$135,4,FALSE)</f>
        <v>-</v>
      </c>
      <c r="O1877" s="52" t="str">
        <f>VLOOKUP(Tabla3[[#This Row],[Site]],'Important Info!'!$A$1:$F$135,5,FALSE)</f>
        <v>4, 11, 16, 28</v>
      </c>
      <c r="P1877" s="52" t="str">
        <f>VLOOKUP(Tabla3[[#This Row],[Site]],'Important Info!'!$A$1:$F$135,6,FALSE)</f>
        <v>10, 11, 12</v>
      </c>
      <c r="Q1877" s="91">
        <f>VLOOKUP(Tabla3[[#This Row],[Site]],'Important Info!'!$A$1:$J$135,9,FALSE)</f>
        <v>214</v>
      </c>
    </row>
    <row r="1878" spans="1:17" x14ac:dyDescent="0.25">
      <c r="A1878" t="str">
        <f>+Tabla3[[#This Row],[Site]]&amp;Tabla3[[#This Row],[Split]]</f>
        <v>(ML) Joe Machens VW20</v>
      </c>
      <c r="B1878">
        <v>20</v>
      </c>
      <c r="C1878">
        <v>4</v>
      </c>
      <c r="D1878" t="s">
        <v>33</v>
      </c>
      <c r="E1878" t="s">
        <v>46</v>
      </c>
      <c r="F1878" t="s">
        <v>74</v>
      </c>
      <c r="G1878" t="s">
        <v>34</v>
      </c>
      <c r="H1878" s="52" t="str">
        <f>VLOOKUP(Tabla3[[#This Row],[Site]],'Important Info!'!$A$1:$J$135,10,FALSE)</f>
        <v>https://tools.sig.systems/site/details/274</v>
      </c>
      <c r="I1878" s="43" t="s">
        <v>146</v>
      </c>
      <c r="J1878" t="s">
        <v>41</v>
      </c>
      <c r="K1878" s="79" t="str">
        <f>VLOOKUP(Tabla3[[#This Row],[Site]],'Important Info!'!$A$1:$H$135,8,FALSE)</f>
        <v>-</v>
      </c>
      <c r="L1878" s="52" t="str">
        <f>VLOOKUP(Tabla3[[#This Row],[Site]],'Important Info!'!$A$1:$F$135,2,FALSE)</f>
        <v>-</v>
      </c>
      <c r="M1878" s="52" t="str">
        <f>VLOOKUP(Tabla3[[#This Row],[Site]],'Important Info!'!$A$1:$F$135,3,FALSE)</f>
        <v>1, 11, 18</v>
      </c>
      <c r="N1878" s="52" t="str">
        <f>VLOOKUP(Tabla3[[#This Row],[Site]],'Important Info!'!$A$1:$F$135,4,FALSE)</f>
        <v>-</v>
      </c>
      <c r="O1878" s="52">
        <f>VLOOKUP(Tabla3[[#This Row],[Site]],'Important Info!'!$A$1:$F$135,5,FALSE)</f>
        <v>17</v>
      </c>
      <c r="P1878" s="52" t="str">
        <f>VLOOKUP(Tabla3[[#This Row],[Site]],'Important Info!'!$A$1:$F$135,6,FALSE)</f>
        <v>-</v>
      </c>
      <c r="Q1878" s="91">
        <f>VLOOKUP(Tabla3[[#This Row],[Site]],'Important Info!'!$A$1:$J$135,9,FALSE)</f>
        <v>274</v>
      </c>
    </row>
    <row r="1879" spans="1:17" x14ac:dyDescent="0.25">
      <c r="A1879" t="str">
        <f>+Tabla3[[#This Row],[Site]]&amp;Tabla3[[#This Row],[Split]]</f>
        <v>(ML) Nissan of Little Rock20</v>
      </c>
      <c r="B1879">
        <v>20</v>
      </c>
      <c r="C1879">
        <v>4</v>
      </c>
      <c r="D1879" t="s">
        <v>33</v>
      </c>
      <c r="E1879" t="s">
        <v>46</v>
      </c>
      <c r="F1879" t="s">
        <v>152</v>
      </c>
      <c r="G1879" t="s">
        <v>34</v>
      </c>
      <c r="H1879" s="52" t="str">
        <f>VLOOKUP(Tabla3[[#This Row],[Site]],'Important Info!'!$A$1:$J$135,10,FALSE)</f>
        <v>https://tools.sig.systems/site/details/224</v>
      </c>
      <c r="I1879" t="s">
        <v>140</v>
      </c>
      <c r="J1879" t="s">
        <v>41</v>
      </c>
      <c r="K1879" s="79" t="str">
        <f>VLOOKUP(Tabla3[[#This Row],[Site]],'Important Info!'!$A$1:$H$135,8,FALSE)</f>
        <v>-</v>
      </c>
      <c r="L1879" s="52" t="str">
        <f>VLOOKUP(Tabla3[[#This Row],[Site]],'Important Info!'!$A$1:$F$135,2,FALSE)</f>
        <v>3, 6</v>
      </c>
      <c r="M1879" s="52" t="str">
        <f>VLOOKUP(Tabla3[[#This Row],[Site]],'Important Info!'!$A$1:$F$135,3,FALSE)</f>
        <v>-</v>
      </c>
      <c r="N1879" s="52" t="str">
        <f>VLOOKUP(Tabla3[[#This Row],[Site]],'Important Info!'!$A$1:$F$135,4,FALSE)</f>
        <v>-</v>
      </c>
      <c r="O1879" s="52" t="str">
        <f>VLOOKUP(Tabla3[[#This Row],[Site]],'Important Info!'!$A$1:$F$135,5,FALSE)</f>
        <v>1, 8, 16, 22</v>
      </c>
      <c r="P1879" s="52" t="str">
        <f>VLOOKUP(Tabla3[[#This Row],[Site]],'Important Info!'!$A$1:$F$135,6,FALSE)</f>
        <v>3, 4</v>
      </c>
      <c r="Q1879" s="91">
        <f>VLOOKUP(Tabla3[[#This Row],[Site]],'Important Info!'!$A$1:$J$135,9,FALSE)</f>
        <v>224</v>
      </c>
    </row>
    <row r="1880" spans="1:17" x14ac:dyDescent="0.25">
      <c r="A1880" t="str">
        <f>+Tabla3[[#This Row],[Site]]&amp;Tabla3[[#This Row],[Split]]</f>
        <v>(SCH) Chevrolet North Palm20</v>
      </c>
      <c r="B1880">
        <v>20</v>
      </c>
      <c r="C1880">
        <v>4</v>
      </c>
      <c r="D1880" t="s">
        <v>62</v>
      </c>
      <c r="E1880" t="s">
        <v>35</v>
      </c>
      <c r="F1880" t="s">
        <v>101</v>
      </c>
      <c r="G1880" t="s">
        <v>490</v>
      </c>
      <c r="H1880" s="52" t="str">
        <f>VLOOKUP(Tabla3[[#This Row],[Site]],'Important Info!'!$A$1:$J$135,10,FALSE)</f>
        <v>https://tools.sig.systems/site/details/160</v>
      </c>
      <c r="I1880" s="2"/>
      <c r="J1880" t="s">
        <v>36</v>
      </c>
      <c r="K1880" s="79" t="str">
        <f>VLOOKUP(Tabla3[[#This Row],[Site]],'Important Info!'!$A$1:$H$135,8,FALSE)</f>
        <v>-</v>
      </c>
      <c r="L1880" s="52" t="str">
        <f>VLOOKUP(Tabla3[[#This Row],[Site]],'Important Info!'!$A$1:$F$135,2,FALSE)</f>
        <v xml:space="preserve">7, 10B, 11, 15 </v>
      </c>
      <c r="M1880" s="52" t="str">
        <f>VLOOKUP(Tabla3[[#This Row],[Site]],'Important Info!'!$A$1:$F$135,3,FALSE)</f>
        <v>-</v>
      </c>
      <c r="N1880" s="52" t="str">
        <f>VLOOKUP(Tabla3[[#This Row],[Site]],'Important Info!'!$A$1:$F$135,4,FALSE)</f>
        <v>-</v>
      </c>
      <c r="O1880" s="52" t="str">
        <f>VLOOKUP(Tabla3[[#This Row],[Site]],'Important Info!'!$A$1:$F$135,5,FALSE)</f>
        <v>-</v>
      </c>
      <c r="P1880" s="52" t="str">
        <f>VLOOKUP(Tabla3[[#This Row],[Site]],'Important Info!'!$A$1:$F$135,6,FALSE)</f>
        <v>1, 15, 16, 17, 18, 19, 20</v>
      </c>
      <c r="Q1880" s="91">
        <f>VLOOKUP(Tabla3[[#This Row],[Site]],'Important Info!'!$A$1:$J$135,9,FALSE)</f>
        <v>160</v>
      </c>
    </row>
    <row r="1881" spans="1:17" x14ac:dyDescent="0.25">
      <c r="A1881" t="str">
        <f>+Tabla3[[#This Row],[Site]]&amp;Tabla3[[#This Row],[Split]]</f>
        <v>(AS) Mercedes Benz/Porsche Dallas I,II,III (NO TOURS)20</v>
      </c>
      <c r="B1881">
        <v>20</v>
      </c>
      <c r="C1881">
        <v>5</v>
      </c>
      <c r="D1881" t="s">
        <v>33</v>
      </c>
      <c r="E1881" t="s">
        <v>46</v>
      </c>
      <c r="F1881" t="s">
        <v>509</v>
      </c>
      <c r="G1881" t="s">
        <v>34</v>
      </c>
      <c r="H1881" s="52" t="str">
        <f>VLOOKUP(Tabla3[[#This Row],[Site]],'Important Info!'!$A$1:$J$135,10,FALSE)</f>
        <v>https://tools.sig.systems/site/details/168</v>
      </c>
      <c r="I1881" s="65" t="s">
        <v>125</v>
      </c>
      <c r="J1881" t="s">
        <v>41</v>
      </c>
      <c r="K1881" s="79" t="str">
        <f>VLOOKUP(Tabla3[[#This Row],[Site]],'Important Info!'!$A$1:$H$135,8,FALSE)</f>
        <v>-</v>
      </c>
      <c r="L1881" s="52" t="str">
        <f>VLOOKUP(Tabla3[[#This Row],[Site]],'Important Info!'!$A$1:$F$135,2,FALSE)</f>
        <v>3, 4, 17, 26, 41</v>
      </c>
      <c r="M1881" s="52" t="str">
        <f>VLOOKUP(Tabla3[[#This Row],[Site]],'Important Info!'!$A$1:$F$135,3,FALSE)</f>
        <v>-</v>
      </c>
      <c r="N1881" s="52" t="str">
        <f>VLOOKUP(Tabla3[[#This Row],[Site]],'Important Info!'!$A$1:$F$135,4,FALSE)</f>
        <v>153, 154, 155, 156, 157, 158</v>
      </c>
      <c r="O1881" s="52" t="str">
        <f>VLOOKUP(Tabla3[[#This Row],[Site]],'Important Info!'!$A$1:$F$135,5,FALSE)</f>
        <v>2, 6, 10, 20, 28, 30, 36</v>
      </c>
      <c r="P1881" s="52" t="str">
        <f>VLOOKUP(Tabla3[[#This Row],[Site]],'Important Info!'!$A$1:$F$135,6,FALSE)</f>
        <v>31, 41, 159</v>
      </c>
      <c r="Q1881" s="91">
        <f>VLOOKUP(Tabla3[[#This Row],[Site]],'Important Info!'!$A$1:$J$135,9,FALSE)</f>
        <v>168</v>
      </c>
    </row>
    <row r="1882" spans="1:17" x14ac:dyDescent="0.25">
      <c r="A1882" t="str">
        <f>+Tabla3[[#This Row],[Site]]&amp;Tabla3[[#This Row],[Split]]</f>
        <v>(ML) Joe Machens Toyota20</v>
      </c>
      <c r="B1882">
        <v>20</v>
      </c>
      <c r="C1882">
        <v>5</v>
      </c>
      <c r="D1882" t="s">
        <v>33</v>
      </c>
      <c r="E1882" t="s">
        <v>46</v>
      </c>
      <c r="F1882" t="s">
        <v>73</v>
      </c>
      <c r="G1882" t="s">
        <v>34</v>
      </c>
      <c r="H1882" s="52" t="str">
        <f>VLOOKUP(Tabla3[[#This Row],[Site]],'Important Info!'!$A$1:$J$135,10,FALSE)</f>
        <v>https://tools.sig.systems/site/details/275</v>
      </c>
      <c r="I1882" s="43" t="s">
        <v>146</v>
      </c>
      <c r="J1882" t="s">
        <v>41</v>
      </c>
      <c r="K1882" s="79" t="str">
        <f>VLOOKUP(Tabla3[[#This Row],[Site]],'Important Info!'!$A$1:$H$135,8,FALSE)</f>
        <v>-</v>
      </c>
      <c r="L1882" s="52" t="str">
        <f>VLOOKUP(Tabla3[[#This Row],[Site]],'Important Info!'!$A$1:$F$135,2,FALSE)</f>
        <v>-</v>
      </c>
      <c r="M1882" s="52" t="str">
        <f>VLOOKUP(Tabla3[[#This Row],[Site]],'Important Info!'!$A$1:$F$135,3,FALSE)</f>
        <v>1, 4, 6</v>
      </c>
      <c r="N1882" s="52" t="str">
        <f>VLOOKUP(Tabla3[[#This Row],[Site]],'Important Info!'!$A$1:$F$135,4,FALSE)</f>
        <v>-</v>
      </c>
      <c r="O1882" s="52" t="str">
        <f>VLOOKUP(Tabla3[[#This Row],[Site]],'Important Info!'!$A$1:$F$135,5,FALSE)</f>
        <v>4, 10</v>
      </c>
      <c r="P1882" s="52" t="str">
        <f>VLOOKUP(Tabla3[[#This Row],[Site]],'Important Info!'!$A$1:$F$135,6,FALSE)</f>
        <v>-</v>
      </c>
      <c r="Q1882" s="91">
        <f>VLOOKUP(Tabla3[[#This Row],[Site]],'Important Info!'!$A$1:$J$135,9,FALSE)</f>
        <v>275</v>
      </c>
    </row>
    <row r="1883" spans="1:17" x14ac:dyDescent="0.25">
      <c r="A1883" t="str">
        <f>+Tabla3[[#This Row],[Site]]&amp;Tabla3[[#This Row],[Split]]</f>
        <v>(ML) Toyota N Little Rock20</v>
      </c>
      <c r="B1883">
        <v>20</v>
      </c>
      <c r="C1883">
        <v>5</v>
      </c>
      <c r="D1883" t="s">
        <v>33</v>
      </c>
      <c r="E1883" t="s">
        <v>46</v>
      </c>
      <c r="F1883" t="s">
        <v>76</v>
      </c>
      <c r="G1883" t="s">
        <v>34</v>
      </c>
      <c r="H1883" s="52" t="str">
        <f>VLOOKUP(Tabla3[[#This Row],[Site]],'Important Info!'!$A$1:$J$135,10,FALSE)</f>
        <v>https://tools.sig.systems/site/details/201</v>
      </c>
      <c r="I1883" s="2" t="s">
        <v>142</v>
      </c>
      <c r="J1883" t="s">
        <v>41</v>
      </c>
      <c r="K1883" s="79" t="str">
        <f>VLOOKUP(Tabla3[[#This Row],[Site]],'Important Info!'!$A$1:$H$135,8,FALSE)</f>
        <v>-</v>
      </c>
      <c r="L1883" s="52" t="str">
        <f>VLOOKUP(Tabla3[[#This Row],[Site]],'Important Info!'!$A$1:$F$135,2,FALSE)</f>
        <v>4, 15, 18, 22, 23, 26</v>
      </c>
      <c r="M1883" s="52" t="str">
        <f>VLOOKUP(Tabla3[[#This Row],[Site]],'Important Info!'!$A$1:$F$135,3,FALSE)</f>
        <v>-</v>
      </c>
      <c r="N1883" s="52" t="str">
        <f>VLOOKUP(Tabla3[[#This Row],[Site]],'Important Info!'!$A$1:$F$135,4,FALSE)</f>
        <v>-</v>
      </c>
      <c r="O1883" s="52" t="str">
        <f>VLOOKUP(Tabla3[[#This Row],[Site]],'Important Info!'!$A$1:$F$135,5,FALSE)</f>
        <v>2, 12, 13, 18</v>
      </c>
      <c r="P1883" s="52" t="str">
        <f>VLOOKUP(Tabla3[[#This Row],[Site]],'Important Info!'!$A$1:$F$135,6,FALSE)</f>
        <v>-</v>
      </c>
      <c r="Q1883" s="91">
        <f>VLOOKUP(Tabla3[[#This Row],[Site]],'Important Info!'!$A$1:$J$135,9,FALSE)</f>
        <v>201</v>
      </c>
    </row>
    <row r="1884" spans="1:17" x14ac:dyDescent="0.25">
      <c r="A1884" t="str">
        <f>+Tabla3[[#This Row],[Site]]&amp;Tabla3[[#This Row],[Split]]</f>
        <v>(PE) JLR PDI (NO TOURS)20</v>
      </c>
      <c r="B1884">
        <v>20</v>
      </c>
      <c r="C1884">
        <v>5</v>
      </c>
      <c r="D1884" t="s">
        <v>485</v>
      </c>
      <c r="E1884" t="s">
        <v>35</v>
      </c>
      <c r="F1884" t="s">
        <v>114</v>
      </c>
      <c r="G1884" t="s">
        <v>490</v>
      </c>
      <c r="H1884" s="52" t="str">
        <f>VLOOKUP(Tabla3[[#This Row],[Site]],'Important Info!'!$A$1:$J$135,10,FALSE)</f>
        <v>https://tools.sig.systems/site/details/179</v>
      </c>
      <c r="I1884" t="s">
        <v>176</v>
      </c>
      <c r="J1884" t="s">
        <v>41</v>
      </c>
      <c r="K1884" s="79" t="str">
        <f>VLOOKUP(Tabla3[[#This Row],[Site]],'Important Info!'!$A$1:$H$135,8,FALSE)</f>
        <v>-</v>
      </c>
      <c r="L1884" s="52" t="str">
        <f>VLOOKUP(Tabla3[[#This Row],[Site]],'Important Info!'!$A$1:$F$135,2,FALSE)</f>
        <v>3, 8</v>
      </c>
      <c r="M1884" s="52" t="str">
        <f>VLOOKUP(Tabla3[[#This Row],[Site]],'Important Info!'!$A$1:$F$135,3,FALSE)</f>
        <v>-</v>
      </c>
      <c r="N1884" s="52" t="str">
        <f>VLOOKUP(Tabla3[[#This Row],[Site]],'Important Info!'!$A$1:$F$135,4,FALSE)</f>
        <v>-</v>
      </c>
      <c r="O1884" s="52" t="str">
        <f>VLOOKUP(Tabla3[[#This Row],[Site]],'Important Info!'!$A$1:$F$135,5,FALSE)</f>
        <v>-</v>
      </c>
      <c r="P1884" s="52" t="str">
        <f>VLOOKUP(Tabla3[[#This Row],[Site]],'Important Info!'!$A$1:$F$135,6,FALSE)</f>
        <v>-</v>
      </c>
      <c r="Q1884" s="91">
        <f>VLOOKUP(Tabla3[[#This Row],[Site]],'Important Info!'!$A$1:$J$135,9,FALSE)</f>
        <v>179</v>
      </c>
    </row>
    <row r="1885" spans="1:17" x14ac:dyDescent="0.25">
      <c r="A1885" t="str">
        <f>+Tabla3[[#This Row],[Site]]&amp;Tabla3[[#This Row],[Split]]</f>
        <v>(AS) Nalley BMW Collision Center (NO TOURS)20</v>
      </c>
      <c r="B1885">
        <v>20</v>
      </c>
      <c r="C1885">
        <v>6</v>
      </c>
      <c r="D1885" t="s">
        <v>62</v>
      </c>
      <c r="E1885" t="s">
        <v>35</v>
      </c>
      <c r="F1885" t="s">
        <v>510</v>
      </c>
      <c r="G1885" t="s">
        <v>490</v>
      </c>
      <c r="H1885" s="52" t="str">
        <f>VLOOKUP(Tabla3[[#This Row],[Site]],'Important Info!'!$A$1:$J$135,10,FALSE)</f>
        <v>https://tools.sig.systems/site/details/220</v>
      </c>
      <c r="I1885" s="43"/>
      <c r="J1885" t="s">
        <v>41</v>
      </c>
      <c r="K1885" s="79" t="str">
        <f>VLOOKUP(Tabla3[[#This Row],[Site]],'Important Info!'!$A$1:$H$135,8,FALSE)</f>
        <v>-</v>
      </c>
      <c r="L1885" s="52" t="str">
        <f>VLOOKUP(Tabla3[[#This Row],[Site]],'Important Info!'!$A$1:$F$135,2,FALSE)</f>
        <v>-</v>
      </c>
      <c r="M1885" s="52">
        <f>VLOOKUP(Tabla3[[#This Row],[Site]],'Important Info!'!$A$1:$F$135,3,FALSE)</f>
        <v>4</v>
      </c>
      <c r="N1885" s="52" t="str">
        <f>VLOOKUP(Tabla3[[#This Row],[Site]],'Important Info!'!$A$1:$F$135,4,FALSE)</f>
        <v>-</v>
      </c>
      <c r="O1885" s="52">
        <f>VLOOKUP(Tabla3[[#This Row],[Site]],'Important Info!'!$A$1:$F$135,5,FALSE)</f>
        <v>12</v>
      </c>
      <c r="P1885" s="52" t="str">
        <f>VLOOKUP(Tabla3[[#This Row],[Site]],'Important Info!'!$A$1:$F$135,6,FALSE)</f>
        <v>13, 15</v>
      </c>
      <c r="Q1885" s="91">
        <f>VLOOKUP(Tabla3[[#This Row],[Site]],'Important Info!'!$A$1:$J$135,9,FALSE)</f>
        <v>220</v>
      </c>
    </row>
    <row r="1886" spans="1:17" x14ac:dyDescent="0.25">
      <c r="A1886" t="str">
        <f>+Tabla3[[#This Row],[Site]]&amp;Tabla3[[#This Row],[Split]]</f>
        <v>(AS) Park Place Sprinter Van Center (NO TOURS)20</v>
      </c>
      <c r="B1886">
        <v>20</v>
      </c>
      <c r="C1886">
        <v>6</v>
      </c>
      <c r="D1886" t="s">
        <v>33</v>
      </c>
      <c r="E1886" t="s">
        <v>46</v>
      </c>
      <c r="F1886" t="s">
        <v>520</v>
      </c>
      <c r="G1886" t="s">
        <v>34</v>
      </c>
      <c r="H1886" s="52" t="str">
        <f>VLOOKUP(Tabla3[[#This Row],[Site]],'Important Info!'!$A$1:$J$135,10,FALSE)</f>
        <v>https://tools.sig.systems/site/details/138</v>
      </c>
      <c r="I1886" s="65" t="s">
        <v>125</v>
      </c>
      <c r="J1886" t="s">
        <v>41</v>
      </c>
      <c r="K1886" s="79" t="str">
        <f>VLOOKUP(Tabla3[[#This Row],[Site]],'Important Info!'!$A$1:$H$135,8,FALSE)</f>
        <v>-</v>
      </c>
      <c r="L1886" s="52">
        <f>VLOOKUP(Tabla3[[#This Row],[Site]],'Important Info!'!$A$1:$F$135,2,FALSE)</f>
        <v>1</v>
      </c>
      <c r="M1886" s="52" t="str">
        <f>VLOOKUP(Tabla3[[#This Row],[Site]],'Important Info!'!$A$1:$F$135,3,FALSE)</f>
        <v>-</v>
      </c>
      <c r="N1886" s="52" t="str">
        <f>VLOOKUP(Tabla3[[#This Row],[Site]],'Important Info!'!$A$1:$F$135,4,FALSE)</f>
        <v>-</v>
      </c>
      <c r="O1886" s="52" t="str">
        <f>VLOOKUP(Tabla3[[#This Row],[Site]],'Important Info!'!$A$1:$F$135,5,FALSE)</f>
        <v>-</v>
      </c>
      <c r="P1886" s="52" t="str">
        <f>VLOOKUP(Tabla3[[#This Row],[Site]],'Important Info!'!$A$1:$F$135,6,FALSE)</f>
        <v>1, 3</v>
      </c>
      <c r="Q1886" s="91">
        <f>VLOOKUP(Tabla3[[#This Row],[Site]],'Important Info!'!$A$1:$J$135,9,FALSE)</f>
        <v>138</v>
      </c>
    </row>
    <row r="1887" spans="1:17" x14ac:dyDescent="0.25">
      <c r="A1887" t="str">
        <f>+Tabla3[[#This Row],[Site]]&amp;Tabla3[[#This Row],[Split]]</f>
        <v>(AS) Stevinson Chevrolet Golden (NO TOURS)20</v>
      </c>
      <c r="B1887">
        <v>20</v>
      </c>
      <c r="C1887">
        <v>6</v>
      </c>
      <c r="D1887" t="s">
        <v>488</v>
      </c>
      <c r="E1887" t="s">
        <v>53</v>
      </c>
      <c r="F1887" t="s">
        <v>190</v>
      </c>
      <c r="G1887" t="s">
        <v>45</v>
      </c>
      <c r="H1887" s="52" t="str">
        <f>VLOOKUP(Tabla3[[#This Row],[Site]],'Important Info!'!$A$1:$J$135,10,FALSE)</f>
        <v>https://tools.sig.systems/site/details/264</v>
      </c>
      <c r="I1887" s="43" t="s">
        <v>154</v>
      </c>
      <c r="J1887" t="s">
        <v>41</v>
      </c>
      <c r="K1887" s="79" t="str">
        <f>VLOOKUP(Tabla3[[#This Row],[Site]],'Important Info!'!$A$1:$H$135,8,FALSE)</f>
        <v>-</v>
      </c>
      <c r="L1887" s="52" t="str">
        <f>VLOOKUP(Tabla3[[#This Row],[Site]],'Important Info!'!$A$1:$F$135,2,FALSE)</f>
        <v>-</v>
      </c>
      <c r="M1887" s="52" t="str">
        <f>VLOOKUP(Tabla3[[#This Row],[Site]],'Important Info!'!$A$1:$F$135,3,FALSE)</f>
        <v>1, 19</v>
      </c>
      <c r="N1887" s="52" t="str">
        <f>VLOOKUP(Tabla3[[#This Row],[Site]],'Important Info!'!$A$1:$F$135,4,FALSE)</f>
        <v>-</v>
      </c>
      <c r="O1887" s="52" t="str">
        <f>VLOOKUP(Tabla3[[#This Row],[Site]],'Important Info!'!$A$1:$F$135,5,FALSE)</f>
        <v>14, 30</v>
      </c>
      <c r="P1887" s="52" t="str">
        <f>VLOOKUP(Tabla3[[#This Row],[Site]],'Important Info!'!$A$1:$F$135,6,FALSE)</f>
        <v>14, 33, 34, 35, 36</v>
      </c>
      <c r="Q1887" s="91">
        <f>VLOOKUP(Tabla3[[#This Row],[Site]],'Important Info!'!$A$1:$J$135,9,FALSE)</f>
        <v>264</v>
      </c>
    </row>
    <row r="1888" spans="1:17" x14ac:dyDescent="0.25">
      <c r="A1888" t="str">
        <f>+Tabla3[[#This Row],[Site]]&amp;Tabla3[[#This Row],[Split]]</f>
        <v>(HUD) Honda of Southpoint20</v>
      </c>
      <c r="B1888">
        <v>20</v>
      </c>
      <c r="C1888">
        <v>6</v>
      </c>
      <c r="D1888" t="s">
        <v>62</v>
      </c>
      <c r="E1888" t="s">
        <v>35</v>
      </c>
      <c r="F1888" t="s">
        <v>65</v>
      </c>
      <c r="G1888" t="s">
        <v>490</v>
      </c>
      <c r="H1888" s="52" t="str">
        <f>VLOOKUP(Tabla3[[#This Row],[Site]],'Important Info!'!$A$1:$J$135,10,FALSE)</f>
        <v>https://tools.sig.systems/site/details/195</v>
      </c>
      <c r="I1888" s="43"/>
      <c r="J1888" t="s">
        <v>484</v>
      </c>
      <c r="K1888" s="79" t="str">
        <f>VLOOKUP(Tabla3[[#This Row],[Site]],'Important Info!'!$A$1:$H$135,8,FALSE)</f>
        <v>-</v>
      </c>
      <c r="L1888" s="52" t="str">
        <f>VLOOKUP(Tabla3[[#This Row],[Site]],'Important Info!'!$A$1:$F$135,2,FALSE)</f>
        <v>2, 12, 18</v>
      </c>
      <c r="M1888" s="52">
        <f>VLOOKUP(Tabla3[[#This Row],[Site]],'Important Info!'!$A$1:$F$135,3,FALSE)</f>
        <v>13</v>
      </c>
      <c r="N1888" s="52" t="str">
        <f>VLOOKUP(Tabla3[[#This Row],[Site]],'Important Info!'!$A$1:$F$135,4,FALSE)</f>
        <v>-</v>
      </c>
      <c r="O1888" s="52" t="str">
        <f>VLOOKUP(Tabla3[[#This Row],[Site]],'Important Info!'!$A$1:$F$135,5,FALSE)</f>
        <v>2, 15</v>
      </c>
      <c r="P1888" s="52" t="str">
        <f>VLOOKUP(Tabla3[[#This Row],[Site]],'Important Info!'!$A$1:$F$135,6,FALSE)</f>
        <v>-</v>
      </c>
      <c r="Q1888" s="91">
        <f>VLOOKUP(Tabla3[[#This Row],[Site]],'Important Info!'!$A$1:$J$135,9,FALSE)</f>
        <v>195</v>
      </c>
    </row>
    <row r="1889" spans="1:17" x14ac:dyDescent="0.25">
      <c r="A1889" t="str">
        <f>+Tabla3[[#This Row],[Site]]&amp;Tabla3[[#This Row],[Split]]</f>
        <v>(ML) Joe Machens E Collision Center20</v>
      </c>
      <c r="B1889">
        <v>20</v>
      </c>
      <c r="C1889">
        <v>6</v>
      </c>
      <c r="D1889" t="s">
        <v>33</v>
      </c>
      <c r="E1889" t="s">
        <v>46</v>
      </c>
      <c r="F1889" t="s">
        <v>147</v>
      </c>
      <c r="G1889" t="s">
        <v>34</v>
      </c>
      <c r="H1889" s="52" t="str">
        <f>VLOOKUP(Tabla3[[#This Row],[Site]],'Important Info!'!$A$1:$J$135,10,FALSE)</f>
        <v>https://tools.sig.systems/site/details/277</v>
      </c>
      <c r="I1889" s="2" t="s">
        <v>146</v>
      </c>
      <c r="J1889" t="s">
        <v>41</v>
      </c>
      <c r="K1889" s="79" t="str">
        <f>VLOOKUP(Tabla3[[#This Row],[Site]],'Important Info!'!$A$1:$H$135,8,FALSE)</f>
        <v>-</v>
      </c>
      <c r="L1889" s="52">
        <f>VLOOKUP(Tabla3[[#This Row],[Site]],'Important Info!'!$A$1:$F$135,2,FALSE)</f>
        <v>1</v>
      </c>
      <c r="M1889" s="52" t="str">
        <f>VLOOKUP(Tabla3[[#This Row],[Site]],'Important Info!'!$A$1:$F$135,3,FALSE)</f>
        <v>-</v>
      </c>
      <c r="N1889" s="52" t="str">
        <f>VLOOKUP(Tabla3[[#This Row],[Site]],'Important Info!'!$A$1:$F$135,4,FALSE)</f>
        <v>-</v>
      </c>
      <c r="O1889" s="52">
        <f>VLOOKUP(Tabla3[[#This Row],[Site]],'Important Info!'!$A$1:$F$135,5,FALSE)</f>
        <v>5</v>
      </c>
      <c r="P1889" s="52" t="str">
        <f>VLOOKUP(Tabla3[[#This Row],[Site]],'Important Info!'!$A$1:$F$135,6,FALSE)</f>
        <v>1, 2, 3, 4</v>
      </c>
      <c r="Q1889" s="91">
        <f>VLOOKUP(Tabla3[[#This Row],[Site]],'Important Info!'!$A$1:$J$135,9,FALSE)</f>
        <v>277</v>
      </c>
    </row>
    <row r="1890" spans="1:17" x14ac:dyDescent="0.25">
      <c r="A1890" t="str">
        <f>+Tabla3[[#This Row],[Site]]&amp;Tabla3[[#This Row],[Split]]</f>
        <v>(ML) Nissan of North Little Rock20</v>
      </c>
      <c r="B1890">
        <v>20</v>
      </c>
      <c r="C1890">
        <v>6</v>
      </c>
      <c r="D1890" t="s">
        <v>33</v>
      </c>
      <c r="E1890" t="s">
        <v>46</v>
      </c>
      <c r="F1890" t="s">
        <v>75</v>
      </c>
      <c r="G1890" t="s">
        <v>34</v>
      </c>
      <c r="H1890" s="52" t="str">
        <f>VLOOKUP(Tabla3[[#This Row],[Site]],'Important Info!'!$A$1:$J$135,10,FALSE)</f>
        <v>https://tools.sig.systems/site/details/216</v>
      </c>
      <c r="I1890" s="43" t="s">
        <v>142</v>
      </c>
      <c r="J1890" t="s">
        <v>41</v>
      </c>
      <c r="K1890" s="79" t="str">
        <f>VLOOKUP(Tabla3[[#This Row],[Site]],'Important Info!'!$A$1:$H$135,8,FALSE)</f>
        <v>-</v>
      </c>
      <c r="L1890" s="52" t="str">
        <f>VLOOKUP(Tabla3[[#This Row],[Site]],'Important Info!'!$A$1:$F$135,2,FALSE)</f>
        <v>2, 4</v>
      </c>
      <c r="M1890" s="52" t="str">
        <f>VLOOKUP(Tabla3[[#This Row],[Site]],'Important Info!'!$A$1:$F$135,3,FALSE)</f>
        <v>-</v>
      </c>
      <c r="N1890" s="52" t="str">
        <f>VLOOKUP(Tabla3[[#This Row],[Site]],'Important Info!'!$A$1:$F$135,4,FALSE)</f>
        <v>-</v>
      </c>
      <c r="O1890" s="52" t="str">
        <f>VLOOKUP(Tabla3[[#This Row],[Site]],'Important Info!'!$A$1:$F$135,5,FALSE)</f>
        <v>5, 17, 23</v>
      </c>
      <c r="P1890" s="52">
        <f>VLOOKUP(Tabla3[[#This Row],[Site]],'Important Info!'!$A$1:$F$135,6,FALSE)</f>
        <v>18</v>
      </c>
      <c r="Q1890" s="91">
        <f>VLOOKUP(Tabla3[[#This Row],[Site]],'Important Info!'!$A$1:$J$135,9,FALSE)</f>
        <v>216</v>
      </c>
    </row>
    <row r="1891" spans="1:17" x14ac:dyDescent="0.25">
      <c r="A1891" t="str">
        <f>+Tabla3[[#This Row],[Site]]&amp;Tabla3[[#This Row],[Split]]</f>
        <v>(PE) BMW of Mamaroneck (NO TOURS)20</v>
      </c>
      <c r="B1891">
        <v>20</v>
      </c>
      <c r="C1891">
        <v>6</v>
      </c>
      <c r="D1891" t="s">
        <v>485</v>
      </c>
      <c r="E1891" t="s">
        <v>35</v>
      </c>
      <c r="F1891" t="s">
        <v>172</v>
      </c>
      <c r="G1891" t="s">
        <v>490</v>
      </c>
      <c r="H1891" s="52" t="str">
        <f>VLOOKUP(Tabla3[[#This Row],[Site]],'Important Info!'!$A$1:$J$135,10,FALSE)</f>
        <v>https://tools.sig.systems/site/details/185</v>
      </c>
      <c r="I1891" s="43"/>
      <c r="J1891" t="s">
        <v>41</v>
      </c>
      <c r="K1891" s="79" t="str">
        <f>VLOOKUP(Tabla3[[#This Row],[Site]],'Important Info!'!$A$1:$H$135,8,FALSE)</f>
        <v>-</v>
      </c>
      <c r="L1891" s="52">
        <f>VLOOKUP(Tabla3[[#This Row],[Site]],'Important Info!'!$A$1:$F$135,2,FALSE)</f>
        <v>9</v>
      </c>
      <c r="M1891" s="52" t="str">
        <f>VLOOKUP(Tabla3[[#This Row],[Site]],'Important Info!'!$A$1:$F$135,3,FALSE)</f>
        <v>2, 3, 4, 5</v>
      </c>
      <c r="N1891" s="52" t="str">
        <f>VLOOKUP(Tabla3[[#This Row],[Site]],'Important Info!'!$A$1:$F$135,4,FALSE)</f>
        <v>-</v>
      </c>
      <c r="O1891" s="52" t="str">
        <f>VLOOKUP(Tabla3[[#This Row],[Site]],'Important Info!'!$A$1:$F$135,5,FALSE)</f>
        <v>-</v>
      </c>
      <c r="P1891" s="52" t="str">
        <f>VLOOKUP(Tabla3[[#This Row],[Site]],'Important Info!'!$A$1:$F$135,6,FALSE)</f>
        <v>4, 6, 7, 8</v>
      </c>
      <c r="Q1891" s="91">
        <f>VLOOKUP(Tabla3[[#This Row],[Site]],'Important Info!'!$A$1:$J$135,9,FALSE)</f>
        <v>185</v>
      </c>
    </row>
    <row r="1892" spans="1:17" x14ac:dyDescent="0.25">
      <c r="A1892" t="str">
        <f>+Tabla3[[#This Row],[Site]]&amp;Tabla3[[#This Row],[Split]]</f>
        <v>(SCH) Prep Center Delray20</v>
      </c>
      <c r="B1892">
        <v>20</v>
      </c>
      <c r="C1892">
        <v>6</v>
      </c>
      <c r="D1892" t="s">
        <v>62</v>
      </c>
      <c r="E1892" t="s">
        <v>35</v>
      </c>
      <c r="F1892" t="s">
        <v>191</v>
      </c>
      <c r="G1892" t="s">
        <v>490</v>
      </c>
      <c r="H1892" s="52" t="str">
        <f>VLOOKUP(Tabla3[[#This Row],[Site]],'Important Info!'!$A$1:$J$135,10,FALSE)</f>
        <v>https://tools.sig.systems/site/details/321</v>
      </c>
      <c r="I1892" s="43"/>
      <c r="J1892" t="s">
        <v>41</v>
      </c>
      <c r="K1892" s="79" t="str">
        <f>VLOOKUP(Tabla3[[#This Row],[Site]],'Important Info!'!$A$1:$H$135,8,FALSE)</f>
        <v>-</v>
      </c>
      <c r="L1892" s="52" t="str">
        <f>VLOOKUP(Tabla3[[#This Row],[Site]],'Important Info!'!$A$1:$F$135,2,FALSE)</f>
        <v>2,3</v>
      </c>
      <c r="M1892" s="52" t="str">
        <f>VLOOKUP(Tabla3[[#This Row],[Site]],'Important Info!'!$A$1:$F$135,3,FALSE)</f>
        <v>-</v>
      </c>
      <c r="N1892" s="52" t="str">
        <f>VLOOKUP(Tabla3[[#This Row],[Site]],'Important Info!'!$A$1:$F$135,4,FALSE)</f>
        <v>-</v>
      </c>
      <c r="O1892" s="52" t="str">
        <f>VLOOKUP(Tabla3[[#This Row],[Site]],'Important Info!'!$A$1:$F$135,5,FALSE)</f>
        <v>-</v>
      </c>
      <c r="P1892" s="52" t="str">
        <f>VLOOKUP(Tabla3[[#This Row],[Site]],'Important Info!'!$A$1:$F$135,6,FALSE)</f>
        <v>2,4,10</v>
      </c>
      <c r="Q1892" s="91">
        <f>VLOOKUP(Tabla3[[#This Row],[Site]],'Important Info!'!$A$1:$J$135,9,FALSE)</f>
        <v>321</v>
      </c>
    </row>
    <row r="1893" spans="1:17" x14ac:dyDescent="0.25">
      <c r="A1893" t="str">
        <f>+Tabla3[[#This Row],[Site]]&amp;Tabla3[[#This Row],[Split]]</f>
        <v>(AS) Atwell Prep Center-Dallas (NO TOURS)20</v>
      </c>
      <c r="B1893">
        <v>20</v>
      </c>
      <c r="C1893">
        <v>7</v>
      </c>
      <c r="D1893" t="s">
        <v>33</v>
      </c>
      <c r="E1893" t="s">
        <v>46</v>
      </c>
      <c r="F1893" t="s">
        <v>498</v>
      </c>
      <c r="G1893" t="s">
        <v>34</v>
      </c>
      <c r="H1893" s="52" t="str">
        <f>VLOOKUP(Tabla3[[#This Row],[Site]],'Important Info!'!$A$1:$J$135,10,FALSE)</f>
        <v>https://tools.sig.systems/site/details/165</v>
      </c>
      <c r="I1893" s="65" t="s">
        <v>125</v>
      </c>
      <c r="J1893" t="s">
        <v>41</v>
      </c>
      <c r="K1893" s="79" t="str">
        <f>VLOOKUP(Tabla3[[#This Row],[Site]],'Important Info!'!$A$1:$H$135,8,FALSE)</f>
        <v>-</v>
      </c>
      <c r="L1893" s="52" t="str">
        <f>VLOOKUP(Tabla3[[#This Row],[Site]],'Important Info!'!$A$1:$F$135,2,FALSE)</f>
        <v>4, 6, 7</v>
      </c>
      <c r="M1893" s="52" t="str">
        <f>VLOOKUP(Tabla3[[#This Row],[Site]],'Important Info!'!$A$1:$F$135,3,FALSE)</f>
        <v>-</v>
      </c>
      <c r="N1893" s="52" t="str">
        <f>VLOOKUP(Tabla3[[#This Row],[Site]],'Important Info!'!$A$1:$F$135,4,FALSE)</f>
        <v>-</v>
      </c>
      <c r="O1893" s="52" t="str">
        <f>VLOOKUP(Tabla3[[#This Row],[Site]],'Important Info!'!$A$1:$F$135,5,FALSE)</f>
        <v>-</v>
      </c>
      <c r="P1893" s="52" t="str">
        <f>VLOOKUP(Tabla3[[#This Row],[Site]],'Important Info!'!$A$1:$F$135,6,FALSE)</f>
        <v>1, 2</v>
      </c>
      <c r="Q1893" s="91">
        <f>VLOOKUP(Tabla3[[#This Row],[Site]],'Important Info!'!$A$1:$J$135,9,FALSE)</f>
        <v>165</v>
      </c>
    </row>
    <row r="1894" spans="1:17" x14ac:dyDescent="0.25">
      <c r="A1894" t="str">
        <f>+Tabla3[[#This Row],[Site]]&amp;Tabla3[[#This Row],[Split]]</f>
        <v>(AS) Park Place Mercedes Benz Ft. Worth (NO TOURS)20</v>
      </c>
      <c r="B1894">
        <v>20</v>
      </c>
      <c r="C1894">
        <v>7</v>
      </c>
      <c r="D1894" t="s">
        <v>33</v>
      </c>
      <c r="E1894" t="s">
        <v>46</v>
      </c>
      <c r="F1894" t="s">
        <v>519</v>
      </c>
      <c r="G1894" t="s">
        <v>34</v>
      </c>
      <c r="H1894" s="52" t="str">
        <f>VLOOKUP(Tabla3[[#This Row],[Site]],'Important Info!'!$A$1:$J$135,10,FALSE)</f>
        <v>https://tools.sig.systems/site/details/137</v>
      </c>
      <c r="I1894" s="43" t="s">
        <v>128</v>
      </c>
      <c r="J1894" t="s">
        <v>41</v>
      </c>
      <c r="K1894" s="79" t="s">
        <v>37</v>
      </c>
      <c r="L1894" s="52" t="str">
        <f>VLOOKUP(Tabla3[[#This Row],[Site]],'Important Info!'!$A$1:$F$135,2,FALSE)</f>
        <v>4, 18</v>
      </c>
      <c r="M1894" s="52" t="str">
        <f>VLOOKUP(Tabla3[[#This Row],[Site]],'Important Info!'!$A$1:$F$135,3,FALSE)</f>
        <v>-</v>
      </c>
      <c r="N1894" s="52" t="str">
        <f>VLOOKUP(Tabla3[[#This Row],[Site]],'Important Info!'!$A$1:$F$135,4,FALSE)</f>
        <v>54, 55</v>
      </c>
      <c r="O1894" s="52" t="str">
        <f>VLOOKUP(Tabla3[[#This Row],[Site]],'Important Info!'!$A$1:$F$135,5,FALSE)</f>
        <v>2, 18</v>
      </c>
      <c r="P1894" s="52" t="str">
        <f>VLOOKUP(Tabla3[[#This Row],[Site]],'Important Info!'!$A$1:$F$135,6,FALSE)</f>
        <v>5, 18</v>
      </c>
      <c r="Q1894" s="91">
        <f>VLOOKUP(Tabla3[[#This Row],[Site]],'Important Info!'!$A$1:$J$135,9,FALSE)</f>
        <v>137</v>
      </c>
    </row>
    <row r="1895" spans="1:17" x14ac:dyDescent="0.25">
      <c r="A1895" t="str">
        <f>+Tabla3[[#This Row],[Site]]&amp;Tabla3[[#This Row],[Split]]</f>
        <v>(AS) Stevinson Toyota West (NO TOURS)20</v>
      </c>
      <c r="B1895">
        <v>20</v>
      </c>
      <c r="C1895">
        <v>7</v>
      </c>
      <c r="D1895" t="s">
        <v>44</v>
      </c>
      <c r="E1895" t="s">
        <v>53</v>
      </c>
      <c r="F1895" t="s">
        <v>79</v>
      </c>
      <c r="G1895" t="s">
        <v>45</v>
      </c>
      <c r="H1895" s="52" t="str">
        <f>VLOOKUP(Tabla3[[#This Row],[Site]],'Important Info!'!$A$1:$J$135,10,FALSE)</f>
        <v>https://tools.sig.systems/site/details/240</v>
      </c>
      <c r="I1895" s="2" t="s">
        <v>154</v>
      </c>
      <c r="J1895" t="s">
        <v>41</v>
      </c>
      <c r="K1895" s="79" t="str">
        <f>VLOOKUP(Tabla3[[#This Row],[Site]],'Important Info!'!$A$1:$H$135,8,FALSE)</f>
        <v>-</v>
      </c>
      <c r="L1895" s="52" t="str">
        <f>VLOOKUP(Tabla3[[#This Row],[Site]],'Important Info!'!$A$1:$F$135,2,FALSE)</f>
        <v>-</v>
      </c>
      <c r="M1895" s="52" t="str">
        <f>VLOOKUP(Tabla3[[#This Row],[Site]],'Important Info!'!$A$1:$F$135,3,FALSE)</f>
        <v>7, 18, 21</v>
      </c>
      <c r="N1895" s="52" t="str">
        <f>VLOOKUP(Tabla3[[#This Row],[Site]],'Important Info!'!$A$1:$F$135,4,FALSE)</f>
        <v>-</v>
      </c>
      <c r="O1895" s="52" t="str">
        <f>VLOOKUP(Tabla3[[#This Row],[Site]],'Important Info!'!$A$1:$F$135,5,FALSE)</f>
        <v>11, 24, 34</v>
      </c>
      <c r="P1895" s="52" t="str">
        <f>VLOOKUP(Tabla3[[#This Row],[Site]],'Important Info!'!$A$1:$F$135,6,FALSE)</f>
        <v>1, 2, 3, 12</v>
      </c>
      <c r="Q1895" s="91">
        <f>VLOOKUP(Tabla3[[#This Row],[Site]],'Important Info!'!$A$1:$J$135,9,FALSE)</f>
        <v>240</v>
      </c>
    </row>
    <row r="1896" spans="1:17" x14ac:dyDescent="0.25">
      <c r="A1896" t="str">
        <f>+Tabla3[[#This Row],[Site]]&amp;Tabla3[[#This Row],[Split]]</f>
        <v>(ML) Honda of Little Rock20</v>
      </c>
      <c r="B1896">
        <v>20</v>
      </c>
      <c r="C1896">
        <v>7</v>
      </c>
      <c r="D1896" t="s">
        <v>33</v>
      </c>
      <c r="E1896" t="s">
        <v>46</v>
      </c>
      <c r="F1896" t="s">
        <v>71</v>
      </c>
      <c r="G1896" t="s">
        <v>34</v>
      </c>
      <c r="H1896" s="52" t="str">
        <f>VLOOKUP(Tabla3[[#This Row],[Site]],'Important Info!'!$A$1:$J$135,10,FALSE)</f>
        <v>https://tools.sig.systems/site/details/249</v>
      </c>
      <c r="I1896" s="43" t="s">
        <v>140</v>
      </c>
      <c r="J1896" t="s">
        <v>41</v>
      </c>
      <c r="K1896" s="79" t="str">
        <f>VLOOKUP(Tabla3[[#This Row],[Site]],'Important Info!'!$A$1:$H$135,8,FALSE)</f>
        <v>-</v>
      </c>
      <c r="L1896" s="52" t="str">
        <f>VLOOKUP(Tabla3[[#This Row],[Site]],'Important Info!'!$A$1:$F$135,2,FALSE)</f>
        <v>1, 4, 9, 14, 21</v>
      </c>
      <c r="M1896" s="52" t="str">
        <f>VLOOKUP(Tabla3[[#This Row],[Site]],'Important Info!'!$A$1:$F$135,3,FALSE)</f>
        <v>-</v>
      </c>
      <c r="N1896" s="52" t="str">
        <f>VLOOKUP(Tabla3[[#This Row],[Site]],'Important Info!'!$A$1:$F$135,4,FALSE)</f>
        <v>-</v>
      </c>
      <c r="O1896" s="52" t="str">
        <f>VLOOKUP(Tabla3[[#This Row],[Site]],'Important Info!'!$A$1:$F$135,5,FALSE)</f>
        <v>4, 14, 21</v>
      </c>
      <c r="P1896" s="52" t="str">
        <f>VLOOKUP(Tabla3[[#This Row],[Site]],'Important Info!'!$A$1:$F$135,6,FALSE)</f>
        <v>11, 12</v>
      </c>
      <c r="Q1896" s="91">
        <f>VLOOKUP(Tabla3[[#This Row],[Site]],'Important Info!'!$A$1:$J$135,9,FALSE)</f>
        <v>249</v>
      </c>
    </row>
    <row r="1897" spans="1:17" x14ac:dyDescent="0.25">
      <c r="A1897" t="str">
        <f>+Tabla3[[#This Row],[Site]]&amp;Tabla3[[#This Row],[Split]]</f>
        <v>(ML) Joe Machens Temporary 2.020</v>
      </c>
      <c r="B1897">
        <v>20</v>
      </c>
      <c r="C1897">
        <v>7</v>
      </c>
      <c r="D1897" t="s">
        <v>33</v>
      </c>
      <c r="E1897" t="s">
        <v>46</v>
      </c>
      <c r="F1897" t="s">
        <v>105</v>
      </c>
      <c r="G1897" t="s">
        <v>34</v>
      </c>
      <c r="H1897" s="52" t="str">
        <f>VLOOKUP(Tabla3[[#This Row],[Site]],'Important Info!'!$A$1:$J$135,10,FALSE)</f>
        <v>https://tools.sig.systems/site/details/278</v>
      </c>
      <c r="I1897" s="43" t="s">
        <v>146</v>
      </c>
      <c r="J1897" t="s">
        <v>41</v>
      </c>
      <c r="K1897" s="79" t="str">
        <f>VLOOKUP(Tabla3[[#This Row],[Site]],'Important Info!'!$A$1:$H$135,8,FALSE)</f>
        <v>-</v>
      </c>
      <c r="L1897" s="52" t="str">
        <f>VLOOKUP(Tabla3[[#This Row],[Site]],'Important Info!'!$A$1:$F$135,2,FALSE)</f>
        <v>-</v>
      </c>
      <c r="M1897" s="52" t="str">
        <f>VLOOKUP(Tabla3[[#This Row],[Site]],'Important Info!'!$A$1:$F$135,3,FALSE)</f>
        <v>1, 11, 14, 15, 16</v>
      </c>
      <c r="N1897" s="52" t="str">
        <f>VLOOKUP(Tabla3[[#This Row],[Site]],'Important Info!'!$A$1:$F$135,4,FALSE)</f>
        <v>-</v>
      </c>
      <c r="O1897" s="52">
        <f>VLOOKUP(Tabla3[[#This Row],[Site]],'Important Info!'!$A$1:$F$135,5,FALSE)</f>
        <v>13</v>
      </c>
      <c r="P1897" s="52" t="str">
        <f>VLOOKUP(Tabla3[[#This Row],[Site]],'Important Info!'!$A$1:$F$135,6,FALSE)</f>
        <v>-</v>
      </c>
      <c r="Q1897" s="91">
        <f>VLOOKUP(Tabla3[[#This Row],[Site]],'Important Info!'!$A$1:$J$135,9,FALSE)</f>
        <v>278</v>
      </c>
    </row>
    <row r="1898" spans="1:17" x14ac:dyDescent="0.25">
      <c r="A1898" t="str">
        <f>+Tabla3[[#This Row],[Site]]&amp;Tabla3[[#This Row],[Split]]</f>
        <v>(SCH) Auto Body Shop Lake Park20</v>
      </c>
      <c r="B1898">
        <v>20</v>
      </c>
      <c r="C1898">
        <v>7</v>
      </c>
      <c r="D1898" t="s">
        <v>62</v>
      </c>
      <c r="E1898" t="s">
        <v>35</v>
      </c>
      <c r="F1898" t="s">
        <v>189</v>
      </c>
      <c r="G1898" t="s">
        <v>490</v>
      </c>
      <c r="H1898" s="52" t="str">
        <f>VLOOKUP(Tabla3[[#This Row],[Site]],'Important Info!'!$A$1:$J$135,10,FALSE)</f>
        <v>https://tools.sig.systems/site/details/158</v>
      </c>
      <c r="I1898" s="2"/>
      <c r="J1898" t="s">
        <v>41</v>
      </c>
      <c r="K1898" s="79" t="str">
        <f>VLOOKUP(Tabla3[[#This Row],[Site]],'Important Info!'!$A$1:$H$135,8,FALSE)</f>
        <v>-</v>
      </c>
      <c r="L1898" s="52" t="str">
        <f>VLOOKUP(Tabla3[[#This Row],[Site]],'Important Info!'!$A$1:$F$135,2,FALSE)</f>
        <v>3, 10</v>
      </c>
      <c r="M1898" s="52" t="str">
        <f>VLOOKUP(Tabla3[[#This Row],[Site]],'Important Info!'!$A$1:$F$135,3,FALSE)</f>
        <v>-</v>
      </c>
      <c r="N1898" s="52" t="str">
        <f>VLOOKUP(Tabla3[[#This Row],[Site]],'Important Info!'!$A$1:$F$135,4,FALSE)</f>
        <v>-</v>
      </c>
      <c r="O1898" s="52" t="str">
        <f>VLOOKUP(Tabla3[[#This Row],[Site]],'Important Info!'!$A$1:$F$135,5,FALSE)</f>
        <v>-</v>
      </c>
      <c r="P1898" s="52" t="str">
        <f>VLOOKUP(Tabla3[[#This Row],[Site]],'Important Info!'!$A$1:$F$135,6,FALSE)</f>
        <v>-</v>
      </c>
      <c r="Q1898" s="91">
        <f>VLOOKUP(Tabla3[[#This Row],[Site]],'Important Info!'!$A$1:$J$135,9,FALSE)</f>
        <v>158</v>
      </c>
    </row>
    <row r="1899" spans="1:17" x14ac:dyDescent="0.25">
      <c r="A1899" t="str">
        <f>+Tabla3[[#This Row],[Site]]&amp;Tabla3[[#This Row],[Split]]</f>
        <v>(AS) Courtesy Honda Palm Harbor (NO TOURS)20</v>
      </c>
      <c r="B1899">
        <v>20</v>
      </c>
      <c r="C1899">
        <v>8</v>
      </c>
      <c r="D1899" t="s">
        <v>62</v>
      </c>
      <c r="E1899" t="s">
        <v>35</v>
      </c>
      <c r="F1899" t="s">
        <v>108</v>
      </c>
      <c r="G1899" t="s">
        <v>490</v>
      </c>
      <c r="H1899" s="52" t="str">
        <f>VLOOKUP(Tabla3[[#This Row],[Site]],'Important Info!'!$A$1:$J$135,10,FALSE)</f>
        <v>https://tools.sig.systems/site/details/176</v>
      </c>
      <c r="I1899" s="2"/>
      <c r="J1899" t="s">
        <v>36</v>
      </c>
      <c r="K1899" s="79" t="str">
        <f>VLOOKUP(Tabla3[[#This Row],[Site]],'Important Info!'!$A$1:$H$135,8,FALSE)</f>
        <v>-</v>
      </c>
      <c r="L1899" s="52">
        <f>VLOOKUP(Tabla3[[#This Row],[Site]],'Important Info!'!$A$1:$F$135,2,FALSE)</f>
        <v>2</v>
      </c>
      <c r="M1899" s="52" t="str">
        <f>VLOOKUP(Tabla3[[#This Row],[Site]],'Important Info!'!$A$1:$F$135,3,FALSE)</f>
        <v>-</v>
      </c>
      <c r="N1899" s="52" t="str">
        <f>VLOOKUP(Tabla3[[#This Row],[Site]],'Important Info!'!$A$1:$F$135,4,FALSE)</f>
        <v>-</v>
      </c>
      <c r="O1899" s="52" t="str">
        <f>VLOOKUP(Tabla3[[#This Row],[Site]],'Important Info!'!$A$1:$F$135,5,FALSE)</f>
        <v>4, 8, 21</v>
      </c>
      <c r="P1899" s="52">
        <f>VLOOKUP(Tabla3[[#This Row],[Site]],'Important Info!'!$A$1:$F$135,6,FALSE)</f>
        <v>10</v>
      </c>
      <c r="Q1899" s="91">
        <f>VLOOKUP(Tabla3[[#This Row],[Site]],'Important Info!'!$A$1:$J$135,9,FALSE)</f>
        <v>176</v>
      </c>
    </row>
    <row r="1900" spans="1:17" x14ac:dyDescent="0.25">
      <c r="A1900" t="str">
        <f>+Tabla3[[#This Row],[Site]]&amp;Tabla3[[#This Row],[Split]]</f>
        <v>(AS) Nalley Lexus &amp; Remote Lot Roswell (NO TOURS)20</v>
      </c>
      <c r="B1900">
        <v>20</v>
      </c>
      <c r="C1900">
        <v>8</v>
      </c>
      <c r="D1900" t="s">
        <v>60</v>
      </c>
      <c r="E1900" t="s">
        <v>35</v>
      </c>
      <c r="F1900" t="s">
        <v>511</v>
      </c>
      <c r="G1900" t="s">
        <v>41</v>
      </c>
      <c r="H1900" s="52" t="str">
        <f>VLOOKUP(Tabla3[[#This Row],[Site]],'Important Info!'!$A$1:$J$135,10,FALSE)</f>
        <v>https://tools.sig.systems/site/details/131</v>
      </c>
      <c r="I1900" s="2" t="s">
        <v>166</v>
      </c>
      <c r="J1900" t="s">
        <v>41</v>
      </c>
      <c r="K1900" s="79" t="str">
        <f>VLOOKUP(Tabla3[[#This Row],[Site]],'Important Info!'!$A$1:$H$135,8,FALSE)</f>
        <v>Dealership 11PM to 5AM (Mon to Fri). Sunday Drop Time 1PM</v>
      </c>
      <c r="L1900" s="52" t="str">
        <f>VLOOKUP(Tabla3[[#This Row],[Site]],'Important Info!'!$A$1:$F$135,2,FALSE)</f>
        <v>6, 13</v>
      </c>
      <c r="M1900" s="52">
        <f>VLOOKUP(Tabla3[[#This Row],[Site]],'Important Info!'!$A$1:$F$135,3,FALSE)</f>
        <v>4</v>
      </c>
      <c r="N1900" s="52">
        <f>VLOOKUP(Tabla3[[#This Row],[Site]],'Important Info!'!$A$1:$F$135,4,FALSE)</f>
        <v>1</v>
      </c>
      <c r="O1900" s="52" t="str">
        <f>VLOOKUP(Tabla3[[#This Row],[Site]],'Important Info!'!$A$1:$F$135,5,FALSE)</f>
        <v>1, 8, 19</v>
      </c>
      <c r="P1900" s="52" t="str">
        <f>VLOOKUP(Tabla3[[#This Row],[Site]],'Important Info!'!$A$1:$F$135,6,FALSE)</f>
        <v>4, 20</v>
      </c>
      <c r="Q1900" s="91">
        <f>VLOOKUP(Tabla3[[#This Row],[Site]],'Important Info!'!$A$1:$J$135,9,FALSE)</f>
        <v>131</v>
      </c>
    </row>
    <row r="1901" spans="1:17" x14ac:dyDescent="0.25">
      <c r="A1901" t="str">
        <f>+Tabla3[[#This Row],[Site]]&amp;Tabla3[[#This Row],[Split]]</f>
        <v>(AS) Park Place Bodywerks Dallas (NO TOURS)20</v>
      </c>
      <c r="B1901">
        <v>20</v>
      </c>
      <c r="C1901">
        <v>8</v>
      </c>
      <c r="D1901" t="s">
        <v>33</v>
      </c>
      <c r="E1901" t="s">
        <v>46</v>
      </c>
      <c r="F1901" t="s">
        <v>514</v>
      </c>
      <c r="G1901" t="s">
        <v>34</v>
      </c>
      <c r="H1901" s="52" t="str">
        <f>VLOOKUP(Tabla3[[#This Row],[Site]],'Important Info!'!$A$1:$J$135,10,FALSE)</f>
        <v>https://tools.sig.systems/site/details/166</v>
      </c>
      <c r="I1901" s="65" t="s">
        <v>125</v>
      </c>
      <c r="J1901" t="s">
        <v>41</v>
      </c>
      <c r="K1901" s="79" t="str">
        <f>VLOOKUP(Tabla3[[#This Row],[Site]],'Important Info!'!$A$1:$H$135,8,FALSE)</f>
        <v>-</v>
      </c>
      <c r="L1901" s="52">
        <f>VLOOKUP(Tabla3[[#This Row],[Site]],'Important Info!'!$A$1:$F$135,2,FALSE)</f>
        <v>3</v>
      </c>
      <c r="M1901" s="52">
        <f>VLOOKUP(Tabla3[[#This Row],[Site]],'Important Info!'!$A$1:$F$135,3,FALSE)</f>
        <v>1</v>
      </c>
      <c r="N1901" s="52" t="str">
        <f>VLOOKUP(Tabla3[[#This Row],[Site]],'Important Info!'!$A$1:$F$135,4,FALSE)</f>
        <v>-</v>
      </c>
      <c r="O1901" s="52" t="str">
        <f>VLOOKUP(Tabla3[[#This Row],[Site]],'Important Info!'!$A$1:$F$135,5,FALSE)</f>
        <v>-</v>
      </c>
      <c r="P1901" s="52" t="str">
        <f>VLOOKUP(Tabla3[[#This Row],[Site]],'Important Info!'!$A$1:$F$135,6,FALSE)</f>
        <v>1, 2, 8</v>
      </c>
      <c r="Q1901" s="91">
        <f>VLOOKUP(Tabla3[[#This Row],[Site]],'Important Info!'!$A$1:$J$135,9,FALSE)</f>
        <v>166</v>
      </c>
    </row>
    <row r="1902" spans="1:17" x14ac:dyDescent="0.25">
      <c r="A1902" t="str">
        <f>+Tabla3[[#This Row],[Site]]&amp;Tabla3[[#This Row],[Split]]</f>
        <v>(KG) Big Star Honda20</v>
      </c>
      <c r="B1902">
        <v>20</v>
      </c>
      <c r="C1902">
        <v>8</v>
      </c>
      <c r="D1902" t="s">
        <v>33</v>
      </c>
      <c r="E1902" t="s">
        <v>46</v>
      </c>
      <c r="F1902" t="s">
        <v>136</v>
      </c>
      <c r="G1902" t="s">
        <v>34</v>
      </c>
      <c r="H1902" s="52" t="str">
        <f>VLOOKUP(Tabla3[[#This Row],[Site]],'Important Info!'!$A$1:$J$135,10,FALSE)</f>
        <v>https://tools.sig.systems/site/details/231</v>
      </c>
      <c r="J1902" t="s">
        <v>41</v>
      </c>
      <c r="K1902" s="79" t="str">
        <f>VLOOKUP(Tabla3[[#This Row],[Site]],'Important Info!'!$A$1:$H$135,8,FALSE)</f>
        <v>-</v>
      </c>
      <c r="L1902" s="52" t="str">
        <f>VLOOKUP(Tabla3[[#This Row],[Site]],'Important Info!'!$A$1:$F$135,2,FALSE)</f>
        <v>2, 17, 33</v>
      </c>
      <c r="M1902" s="52" t="str">
        <f>VLOOKUP(Tabla3[[#This Row],[Site]],'Important Info!'!$A$1:$F$135,3,FALSE)</f>
        <v>-</v>
      </c>
      <c r="N1902" s="52" t="str">
        <f>VLOOKUP(Tabla3[[#This Row],[Site]],'Important Info!'!$A$1:$F$135,4,FALSE)</f>
        <v>-</v>
      </c>
      <c r="O1902" s="52" t="str">
        <f>VLOOKUP(Tabla3[[#This Row],[Site]],'Important Info!'!$A$1:$F$135,5,FALSE)</f>
        <v>3, 11, 16, 21, 24, 31, 34</v>
      </c>
      <c r="P1902" s="52" t="str">
        <f>VLOOKUP(Tabla3[[#This Row],[Site]],'Important Info!'!$A$1:$F$135,6,FALSE)</f>
        <v xml:space="preserve">2, 3, 17, 22, 37, 41, 42 </v>
      </c>
      <c r="Q1902" s="91">
        <f>VLOOKUP(Tabla3[[#This Row],[Site]],'Important Info!'!$A$1:$J$135,9,FALSE)</f>
        <v>231</v>
      </c>
    </row>
    <row r="1903" spans="1:17" x14ac:dyDescent="0.25">
      <c r="A1903" t="str">
        <f>+Tabla3[[#This Row],[Site]]&amp;Tabla3[[#This Row],[Split]]</f>
        <v>(ML) Collision Center N Little Rock20</v>
      </c>
      <c r="B1903">
        <v>20</v>
      </c>
      <c r="C1903">
        <v>8</v>
      </c>
      <c r="D1903" t="s">
        <v>33</v>
      </c>
      <c r="E1903" t="s">
        <v>46</v>
      </c>
      <c r="F1903" t="s">
        <v>141</v>
      </c>
      <c r="G1903" t="s">
        <v>34</v>
      </c>
      <c r="H1903" s="52" t="str">
        <f>VLOOKUP(Tabla3[[#This Row],[Site]],'Important Info!'!$A$1:$J$135,10,FALSE)</f>
        <v>https://tools.sig.systems/site/details/212</v>
      </c>
      <c r="I1903" s="2" t="s">
        <v>142</v>
      </c>
      <c r="J1903" t="s">
        <v>41</v>
      </c>
      <c r="K1903" s="79" t="str">
        <f>VLOOKUP(Tabla3[[#This Row],[Site]],'Important Info!'!$A$1:$H$135,8,FALSE)</f>
        <v>-</v>
      </c>
      <c r="L1903" s="52" t="str">
        <f>VLOOKUP(Tabla3[[#This Row],[Site]],'Important Info!'!$A$1:$F$135,2,FALSE)</f>
        <v>-</v>
      </c>
      <c r="M1903" s="52" t="str">
        <f>VLOOKUP(Tabla3[[#This Row],[Site]],'Important Info!'!$A$1:$F$135,3,FALSE)</f>
        <v>-</v>
      </c>
      <c r="N1903" s="52" t="str">
        <f>VLOOKUP(Tabla3[[#This Row],[Site]],'Important Info!'!$A$1:$F$135,4,FALSE)</f>
        <v>-</v>
      </c>
      <c r="O1903" s="52" t="str">
        <f>VLOOKUP(Tabla3[[#This Row],[Site]],'Important Info!'!$A$1:$F$135,5,FALSE)</f>
        <v>-</v>
      </c>
      <c r="P1903" s="52" t="str">
        <f>VLOOKUP(Tabla3[[#This Row],[Site]],'Important Info!'!$A$1:$F$135,6,FALSE)</f>
        <v>1, 3, 7, 8</v>
      </c>
      <c r="Q1903" s="91">
        <f>VLOOKUP(Tabla3[[#This Row],[Site]],'Important Info!'!$A$1:$J$135,9,FALSE)</f>
        <v>212</v>
      </c>
    </row>
    <row r="1904" spans="1:17" x14ac:dyDescent="0.25">
      <c r="A1904" t="str">
        <f>+Tabla3[[#This Row],[Site]]&amp;Tabla3[[#This Row],[Split]]</f>
        <v>(ML) Joe Machens Nissan20</v>
      </c>
      <c r="B1904">
        <v>20</v>
      </c>
      <c r="C1904">
        <v>8</v>
      </c>
      <c r="D1904" t="s">
        <v>33</v>
      </c>
      <c r="E1904" t="s">
        <v>46</v>
      </c>
      <c r="F1904" t="s">
        <v>104</v>
      </c>
      <c r="G1904" t="s">
        <v>34</v>
      </c>
      <c r="H1904" s="52" t="str">
        <f>VLOOKUP(Tabla3[[#This Row],[Site]],'Important Info!'!$A$1:$J$135,10,FALSE)</f>
        <v>https://tools.sig.systems/site/details/279</v>
      </c>
      <c r="I1904" s="2" t="s">
        <v>146</v>
      </c>
      <c r="J1904" t="s">
        <v>41</v>
      </c>
      <c r="K1904" s="79" t="str">
        <f>VLOOKUP(Tabla3[[#This Row],[Site]],'Important Info!'!$A$1:$H$135,8,FALSE)</f>
        <v>-</v>
      </c>
      <c r="L1904" s="52" t="str">
        <f>VLOOKUP(Tabla3[[#This Row],[Site]],'Important Info!'!$A$1:$F$135,2,FALSE)</f>
        <v>-</v>
      </c>
      <c r="M1904" s="52" t="str">
        <f>VLOOKUP(Tabla3[[#This Row],[Site]],'Important Info!'!$A$1:$F$135,3,FALSE)</f>
        <v>1, 3, 16</v>
      </c>
      <c r="N1904" s="52" t="str">
        <f>VLOOKUP(Tabla3[[#This Row],[Site]],'Important Info!'!$A$1:$F$135,4,FALSE)</f>
        <v>-</v>
      </c>
      <c r="O1904" s="52" t="str">
        <f>VLOOKUP(Tabla3[[#This Row],[Site]],'Important Info!'!$A$1:$F$135,5,FALSE)</f>
        <v>-</v>
      </c>
      <c r="P1904" s="52" t="str">
        <f>VLOOKUP(Tabla3[[#This Row],[Site]],'Important Info!'!$A$1:$F$135,6,FALSE)</f>
        <v>-</v>
      </c>
      <c r="Q1904" s="91">
        <f>VLOOKUP(Tabla3[[#This Row],[Site]],'Important Info!'!$A$1:$J$135,9,FALSE)</f>
        <v>279</v>
      </c>
    </row>
    <row r="1905" spans="1:17" x14ac:dyDescent="0.25">
      <c r="A1905" t="str">
        <f>+Tabla3[[#This Row],[Site]]&amp;Tabla3[[#This Row],[Split]]</f>
        <v>(AS) Park Place MB Recon Center Dallas (NO TOURS)20</v>
      </c>
      <c r="B1905">
        <v>20</v>
      </c>
      <c r="C1905">
        <v>9</v>
      </c>
      <c r="D1905" t="s">
        <v>33</v>
      </c>
      <c r="E1905" t="s">
        <v>46</v>
      </c>
      <c r="F1905" t="s">
        <v>517</v>
      </c>
      <c r="G1905" t="s">
        <v>34</v>
      </c>
      <c r="H1905" s="52" t="str">
        <f>VLOOKUP(Tabla3[[#This Row],[Site]],'Important Info!'!$A$1:$J$135,10,FALSE)</f>
        <v>https://tools.sig.systems/site/details/170</v>
      </c>
      <c r="I1905" s="65" t="s">
        <v>125</v>
      </c>
      <c r="J1905" t="s">
        <v>41</v>
      </c>
      <c r="K1905" s="79" t="str">
        <f>VLOOKUP(Tabla3[[#This Row],[Site]],'Important Info!'!$A$1:$H$135,8,FALSE)</f>
        <v>-</v>
      </c>
      <c r="L1905" s="52" t="str">
        <f>VLOOKUP(Tabla3[[#This Row],[Site]],'Important Info!'!$A$1:$F$135,2,FALSE)</f>
        <v>3, 39</v>
      </c>
      <c r="M1905" s="52" t="str">
        <f>VLOOKUP(Tabla3[[#This Row],[Site]],'Important Info!'!$A$1:$F$135,3,FALSE)</f>
        <v>-</v>
      </c>
      <c r="N1905" s="52" t="str">
        <f>VLOOKUP(Tabla3[[#This Row],[Site]],'Important Info!'!$A$1:$F$135,4,FALSE)</f>
        <v>-</v>
      </c>
      <c r="O1905" s="52" t="str">
        <f>VLOOKUP(Tabla3[[#This Row],[Site]],'Important Info!'!$A$1:$F$135,5,FALSE)</f>
        <v>4, 11</v>
      </c>
      <c r="P1905" s="52">
        <f>VLOOKUP(Tabla3[[#This Row],[Site]],'Important Info!'!$A$1:$F$135,6,FALSE)</f>
        <v>1</v>
      </c>
      <c r="Q1905" s="91">
        <f>VLOOKUP(Tabla3[[#This Row],[Site]],'Important Info!'!$A$1:$J$135,9,FALSE)</f>
        <v>170</v>
      </c>
    </row>
    <row r="1906" spans="1:17" x14ac:dyDescent="0.25">
      <c r="A1906" t="str">
        <f>+Tabla3[[#This Row],[Site]]&amp;Tabla3[[#This Row],[Split]]</f>
        <v>(AS) Stevinson Lexus of Lakewood (NO TOURS)20</v>
      </c>
      <c r="B1906">
        <v>20</v>
      </c>
      <c r="C1906">
        <v>9</v>
      </c>
      <c r="D1906" t="s">
        <v>44</v>
      </c>
      <c r="E1906" t="s">
        <v>53</v>
      </c>
      <c r="F1906" t="s">
        <v>523</v>
      </c>
      <c r="G1906" t="s">
        <v>45</v>
      </c>
      <c r="H1906" s="52" t="str">
        <f>VLOOKUP(Tabla3[[#This Row],[Site]],'Important Info!'!$A$1:$J$135,10,FALSE)</f>
        <v>https://tools.sig.systems/site/details/260</v>
      </c>
      <c r="I1906" s="43" t="s">
        <v>154</v>
      </c>
      <c r="J1906" t="s">
        <v>41</v>
      </c>
      <c r="K1906" s="79" t="str">
        <f>VLOOKUP(Tabla3[[#This Row],[Site]],'Important Info!'!$A$1:$H$135,8,FALSE)</f>
        <v>-</v>
      </c>
      <c r="L1906" s="52" t="str">
        <f>VLOOKUP(Tabla3[[#This Row],[Site]],'Important Info!'!$A$1:$F$135,2,FALSE)</f>
        <v>-</v>
      </c>
      <c r="M1906" s="52" t="str">
        <f>VLOOKUP(Tabla3[[#This Row],[Site]],'Important Info!'!$A$1:$F$135,3,FALSE)</f>
        <v>2, 10</v>
      </c>
      <c r="N1906" s="52" t="str">
        <f>VLOOKUP(Tabla3[[#This Row],[Site]],'Important Info!'!$A$1:$F$135,4,FALSE)</f>
        <v>9, 17</v>
      </c>
      <c r="O1906" s="52" t="str">
        <f>VLOOKUP(Tabla3[[#This Row],[Site]],'Important Info!'!$A$1:$F$135,5,FALSE)</f>
        <v>-</v>
      </c>
      <c r="P1906" s="52" t="str">
        <f>VLOOKUP(Tabla3[[#This Row],[Site]],'Important Info!'!$A$1:$F$135,6,FALSE)</f>
        <v>1, 2</v>
      </c>
      <c r="Q1906" s="91">
        <f>VLOOKUP(Tabla3[[#This Row],[Site]],'Important Info!'!$A$1:$J$135,9,FALSE)</f>
        <v>260</v>
      </c>
    </row>
    <row r="1907" spans="1:17" x14ac:dyDescent="0.25">
      <c r="A1907" t="str">
        <f>+Tabla3[[#This Row],[Site]]&amp;Tabla3[[#This Row],[Split]]</f>
        <v>(ML) Joe Machens Ford Lincoln I &amp; II20</v>
      </c>
      <c r="B1907">
        <v>20</v>
      </c>
      <c r="C1907">
        <v>9</v>
      </c>
      <c r="D1907" t="s">
        <v>33</v>
      </c>
      <c r="E1907" t="s">
        <v>46</v>
      </c>
      <c r="F1907" t="s">
        <v>148</v>
      </c>
      <c r="G1907" t="s">
        <v>34</v>
      </c>
      <c r="H1907" s="52" t="str">
        <f>VLOOKUP(Tabla3[[#This Row],[Site]],'Important Info!'!$A$1:$J$135,10,FALSE)</f>
        <v>https://tools.sig.systems/site/details/266</v>
      </c>
      <c r="I1907" s="43" t="s">
        <v>146</v>
      </c>
      <c r="J1907" t="s">
        <v>41</v>
      </c>
      <c r="K1907" s="79" t="str">
        <f>VLOOKUP(Tabla3[[#This Row],[Site]],'Important Info!'!$A$1:$H$135,8,FALSE)</f>
        <v>-</v>
      </c>
      <c r="L1907" s="52" t="str">
        <f>VLOOKUP(Tabla3[[#This Row],[Site]],'Important Info!'!$A$1:$F$135,2,FALSE)</f>
        <v>-</v>
      </c>
      <c r="M1907" s="52" t="str">
        <f>VLOOKUP(Tabla3[[#This Row],[Site]],'Important Info!'!$A$1:$F$135,3,FALSE)</f>
        <v>4, 6, 9, 13, 14, 17, 26, 27, 28, 29, 30</v>
      </c>
      <c r="N1907" s="52" t="str">
        <f>VLOOKUP(Tabla3[[#This Row],[Site]],'Important Info!'!$A$1:$F$135,4,FALSE)</f>
        <v>-</v>
      </c>
      <c r="O1907" s="52" t="str">
        <f>VLOOKUP(Tabla3[[#This Row],[Site]],'Important Info!'!$A$1:$F$135,5,FALSE)</f>
        <v>23, 40, 49</v>
      </c>
      <c r="P1907" s="52" t="str">
        <f>VLOOKUP(Tabla3[[#This Row],[Site]],'Important Info!'!$A$1:$F$135,6,FALSE)</f>
        <v>-</v>
      </c>
      <c r="Q1907" s="91">
        <f>VLOOKUP(Tabla3[[#This Row],[Site]],'Important Info!'!$A$1:$J$135,9,FALSE)</f>
        <v>266</v>
      </c>
    </row>
    <row r="1908" spans="1:17" x14ac:dyDescent="0.25">
      <c r="A1908" t="str">
        <f>+Tabla3[[#This Row],[Site]]&amp;Tabla3[[#This Row],[Split]]</f>
        <v>(ML) Joe Machens Kia of Columbia20</v>
      </c>
      <c r="B1908">
        <v>20</v>
      </c>
      <c r="C1908">
        <v>9</v>
      </c>
      <c r="D1908" t="s">
        <v>33</v>
      </c>
      <c r="E1908" t="s">
        <v>46</v>
      </c>
      <c r="F1908" t="s">
        <v>149</v>
      </c>
      <c r="G1908" t="s">
        <v>34</v>
      </c>
      <c r="H1908" s="52" t="str">
        <f>VLOOKUP(Tabla3[[#This Row],[Site]],'Important Info!'!$A$1:$J$135,10,FALSE)</f>
        <v>https://tools.sig.systems/site/details/270</v>
      </c>
      <c r="I1908" s="43" t="s">
        <v>146</v>
      </c>
      <c r="J1908" t="s">
        <v>41</v>
      </c>
      <c r="K1908" s="79" t="str">
        <f>VLOOKUP(Tabla3[[#This Row],[Site]],'Important Info!'!$A$1:$H$135,8,FALSE)</f>
        <v>-</v>
      </c>
      <c r="L1908" s="52" t="str">
        <f>VLOOKUP(Tabla3[[#This Row],[Site]],'Important Info!'!$A$1:$F$135,2,FALSE)</f>
        <v>-</v>
      </c>
      <c r="M1908" s="52" t="str">
        <f>VLOOKUP(Tabla3[[#This Row],[Site]],'Important Info!'!$A$1:$F$135,3,FALSE)</f>
        <v>1, 2, 5, 6, 9, 13, 15</v>
      </c>
      <c r="N1908" s="52" t="str">
        <f>VLOOKUP(Tabla3[[#This Row],[Site]],'Important Info!'!$A$1:$F$135,4,FALSE)</f>
        <v>-</v>
      </c>
      <c r="O1908" s="52" t="str">
        <f>VLOOKUP(Tabla3[[#This Row],[Site]],'Important Info!'!$A$1:$F$135,5,FALSE)</f>
        <v>-</v>
      </c>
      <c r="P1908" s="52" t="str">
        <f>VLOOKUP(Tabla3[[#This Row],[Site]],'Important Info!'!$A$1:$F$135,6,FALSE)</f>
        <v>10, 11, 13</v>
      </c>
      <c r="Q1908" s="91">
        <f>VLOOKUP(Tabla3[[#This Row],[Site]],'Important Info!'!$A$1:$J$135,9,FALSE)</f>
        <v>270</v>
      </c>
    </row>
    <row r="1909" spans="1:17" x14ac:dyDescent="0.25">
      <c r="A1909" t="str">
        <f>+Tabla3[[#This Row],[Site]]&amp;Tabla3[[#This Row],[Split]]</f>
        <v>(SCH) Delray I &amp; II20</v>
      </c>
      <c r="B1909">
        <v>20</v>
      </c>
      <c r="C1909">
        <v>9</v>
      </c>
      <c r="D1909" t="s">
        <v>62</v>
      </c>
      <c r="E1909" t="s">
        <v>35</v>
      </c>
      <c r="F1909" t="s">
        <v>67</v>
      </c>
      <c r="G1909" t="s">
        <v>490</v>
      </c>
      <c r="H1909" s="52" t="str">
        <f>VLOOKUP(Tabla3[[#This Row],[Site]],'Important Info!'!$A$1:$J$135,10,FALSE)</f>
        <v>https://tools.sig.systems/site/details/159</v>
      </c>
      <c r="I1909" s="43"/>
      <c r="J1909" t="s">
        <v>36</v>
      </c>
      <c r="K1909" s="79" t="str">
        <f>VLOOKUP(Tabla3[[#This Row],[Site]],'Important Info!'!$A$1:$H$135,8,FALSE)</f>
        <v>-</v>
      </c>
      <c r="L1909" s="52" t="str">
        <f>VLOOKUP(Tabla3[[#This Row],[Site]],'Important Info!'!$A$1:$F$135,2,FALSE)</f>
        <v>5, 28, 31</v>
      </c>
      <c r="M1909" s="52" t="str">
        <f>VLOOKUP(Tabla3[[#This Row],[Site]],'Important Info!'!$A$1:$F$135,3,FALSE)</f>
        <v>1, 29</v>
      </c>
      <c r="N1909" s="52">
        <f>VLOOKUP(Tabla3[[#This Row],[Site]],'Important Info!'!$A$1:$F$135,4,FALSE)</f>
        <v>6</v>
      </c>
      <c r="O1909" s="52" t="str">
        <f>VLOOKUP(Tabla3[[#This Row],[Site]],'Important Info!'!$A$1:$F$135,5,FALSE)</f>
        <v>-</v>
      </c>
      <c r="P1909" s="52" t="str">
        <f>VLOOKUP(Tabla3[[#This Row],[Site]],'Important Info!'!$A$1:$F$135,6,FALSE)</f>
        <v>1, 35, 36</v>
      </c>
      <c r="Q1909" s="91">
        <f>VLOOKUP(Tabla3[[#This Row],[Site]],'Important Info!'!$A$1:$J$135,9,FALSE)</f>
        <v>159</v>
      </c>
    </row>
    <row r="1910" spans="1:17" x14ac:dyDescent="0.25">
      <c r="A1910" t="str">
        <f>+Tabla3[[#This Row],[Site]]&amp;Tabla3[[#This Row],[Split]]</f>
        <v>(AS) Park Place Volvo Service Center (NO TOURS)20</v>
      </c>
      <c r="B1910">
        <v>20</v>
      </c>
      <c r="C1910">
        <v>10</v>
      </c>
      <c r="D1910" t="s">
        <v>33</v>
      </c>
      <c r="E1910" t="s">
        <v>46</v>
      </c>
      <c r="F1910" t="s">
        <v>522</v>
      </c>
      <c r="G1910" t="s">
        <v>34</v>
      </c>
      <c r="H1910" s="52" t="str">
        <f>VLOOKUP(Tabla3[[#This Row],[Site]],'Important Info!'!$A$1:$J$135,10,FALSE)</f>
        <v>https://tools.sig.systems/site/details/171</v>
      </c>
      <c r="I1910" s="65" t="s">
        <v>125</v>
      </c>
      <c r="J1910" t="s">
        <v>41</v>
      </c>
      <c r="K1910" s="79" t="str">
        <f>VLOOKUP(Tabla3[[#This Row],[Site]],'Important Info!'!$A$1:$H$135,8,FALSE)</f>
        <v>-</v>
      </c>
      <c r="L1910" s="52" t="str">
        <f>VLOOKUP(Tabla3[[#This Row],[Site]],'Important Info!'!$A$1:$F$135,2,FALSE)</f>
        <v>3, 6, 9, 27, 31, 35</v>
      </c>
      <c r="M1910" s="52" t="str">
        <f>VLOOKUP(Tabla3[[#This Row],[Site]],'Important Info!'!$A$1:$F$135,3,FALSE)</f>
        <v>-</v>
      </c>
      <c r="N1910" s="52" t="str">
        <f>VLOOKUP(Tabla3[[#This Row],[Site]],'Important Info!'!$A$1:$F$135,4,FALSE)</f>
        <v>-</v>
      </c>
      <c r="O1910" s="52" t="str">
        <f>VLOOKUP(Tabla3[[#This Row],[Site]],'Important Info!'!$A$1:$F$135,5,FALSE)</f>
        <v>27, 32</v>
      </c>
      <c r="P1910" s="52" t="str">
        <f>VLOOKUP(Tabla3[[#This Row],[Site]],'Important Info!'!$A$1:$F$135,6,FALSE)</f>
        <v>-</v>
      </c>
      <c r="Q1910" s="91">
        <f>VLOOKUP(Tabla3[[#This Row],[Site]],'Important Info!'!$A$1:$J$135,9,FALSE)</f>
        <v>171</v>
      </c>
    </row>
    <row r="1911" spans="1:17" x14ac:dyDescent="0.25">
      <c r="A1911" t="str">
        <f>+Tabla3[[#This Row],[Site]]&amp;Tabla3[[#This Row],[Split]]</f>
        <v>(DT) Escondido20</v>
      </c>
      <c r="B1911">
        <v>20</v>
      </c>
      <c r="C1911">
        <v>10</v>
      </c>
      <c r="D1911" t="s">
        <v>51</v>
      </c>
      <c r="E1911" t="s">
        <v>159</v>
      </c>
      <c r="F1911" t="s">
        <v>112</v>
      </c>
      <c r="G1911" t="s">
        <v>164</v>
      </c>
      <c r="H1911" s="52" t="str">
        <f>VLOOKUP(Tabla3[[#This Row],[Site]],'Important Info!'!$A$1:$J$135,10,FALSE)</f>
        <v>https://tools.sig.systems/site/details/196</v>
      </c>
      <c r="I1911" s="2"/>
      <c r="J1911" t="s">
        <v>41</v>
      </c>
      <c r="K1911" s="79" t="str">
        <f>VLOOKUP(Tabla3[[#This Row],[Site]],'Important Info!'!$A$1:$H$135,8,FALSE)</f>
        <v>Saturday Drop Time 9:00 A.M.</v>
      </c>
      <c r="L1911" s="52" t="str">
        <f>VLOOKUP(Tabla3[[#This Row],[Site]],'Important Info!'!$A$1:$F$135,2,FALSE)</f>
        <v>1, 2</v>
      </c>
      <c r="M1911" s="52" t="str">
        <f>VLOOKUP(Tabla3[[#This Row],[Site]],'Important Info!'!$A$1:$F$135,3,FALSE)</f>
        <v>-</v>
      </c>
      <c r="N1911" s="52" t="str">
        <f>VLOOKUP(Tabla3[[#This Row],[Site]],'Important Info!'!$A$1:$F$135,4,FALSE)</f>
        <v>-</v>
      </c>
      <c r="O1911" s="52" t="str">
        <f>VLOOKUP(Tabla3[[#This Row],[Site]],'Important Info!'!$A$1:$F$135,5,FALSE)</f>
        <v>-</v>
      </c>
      <c r="P1911" s="52" t="str">
        <f>VLOOKUP(Tabla3[[#This Row],[Site]],'Important Info!'!$A$1:$F$135,6,FALSE)</f>
        <v>5, 7, 8</v>
      </c>
      <c r="Q1911" s="91">
        <f>VLOOKUP(Tabla3[[#This Row],[Site]],'Important Info!'!$A$1:$J$135,9,FALSE)</f>
        <v>196</v>
      </c>
    </row>
    <row r="1912" spans="1:17" x14ac:dyDescent="0.25">
      <c r="A1912" t="str">
        <f>+Tabla3[[#This Row],[Site]]&amp;Tabla3[[#This Row],[Split]]</f>
        <v>(SCH) West Palm Beach I, II &amp; III20</v>
      </c>
      <c r="B1912">
        <v>20</v>
      </c>
      <c r="C1912">
        <v>10</v>
      </c>
      <c r="D1912" t="s">
        <v>492</v>
      </c>
      <c r="E1912" t="s">
        <v>35</v>
      </c>
      <c r="F1912" t="s">
        <v>96</v>
      </c>
      <c r="G1912" t="s">
        <v>490</v>
      </c>
      <c r="H1912" s="52" t="str">
        <f>VLOOKUP(Tabla3[[#This Row],[Site]],'Important Info!'!$A$1:$J$135,10,FALSE)</f>
        <v>https://tools.sig.systems/site/details/162</v>
      </c>
      <c r="I1912" s="2"/>
      <c r="J1912" t="s">
        <v>36</v>
      </c>
      <c r="K1912" s="79" t="str">
        <f>VLOOKUP(Tabla3[[#This Row],[Site]],'Important Info!'!$A$1:$H$135,8,FALSE)</f>
        <v>SUNDAY: Log in at 5:30 p.m. ET.</v>
      </c>
      <c r="L1912" s="52" t="str">
        <f>VLOOKUP(Tabla3[[#This Row],[Site]],'Important Info!'!$A$1:$F$135,2,FALSE)</f>
        <v>34, 62</v>
      </c>
      <c r="M1912" s="52" t="str">
        <f>VLOOKUP(Tabla3[[#This Row],[Site]],'Important Info!'!$A$1:$F$135,3,FALSE)</f>
        <v xml:space="preserve">6, 7, 11, 13, </v>
      </c>
      <c r="N1912" s="52" t="str">
        <f>VLOOKUP(Tabla3[[#This Row],[Site]],'Important Info!'!$A$1:$F$135,4,FALSE)</f>
        <v>20, 21</v>
      </c>
      <c r="O1912" s="52" t="str">
        <f>VLOOKUP(Tabla3[[#This Row],[Site]],'Important Info!'!$A$1:$F$135,5,FALSE)</f>
        <v>-</v>
      </c>
      <c r="P1912" s="52" t="str">
        <f>VLOOKUP(Tabla3[[#This Row],[Site]],'Important Info!'!$A$1:$F$135,6,FALSE)</f>
        <v>1, 2, 3, 131, 132</v>
      </c>
      <c r="Q1912" s="91">
        <f>VLOOKUP(Tabla3[[#This Row],[Site]],'Important Info!'!$A$1:$J$135,9,FALSE)</f>
        <v>162</v>
      </c>
    </row>
    <row r="1913" spans="1:17" x14ac:dyDescent="0.25">
      <c r="A1913" t="str">
        <f>+Tabla3[[#This Row],[Site]]&amp;Tabla3[[#This Row],[Split]]</f>
        <v>(AS) David McDavid Lincoln Frisco (NO TOURS)20</v>
      </c>
      <c r="B1913">
        <v>20</v>
      </c>
      <c r="C1913">
        <v>11</v>
      </c>
      <c r="D1913" t="s">
        <v>33</v>
      </c>
      <c r="E1913" t="s">
        <v>46</v>
      </c>
      <c r="F1913" t="s">
        <v>507</v>
      </c>
      <c r="G1913" t="s">
        <v>34</v>
      </c>
      <c r="H1913" s="52" t="str">
        <f>VLOOKUP(Tabla3[[#This Row],[Site]],'Important Info!'!$A$1:$J$135,10,FALSE)</f>
        <v>https://tools.sig.systems/site/details/182</v>
      </c>
      <c r="I1913" s="43"/>
      <c r="J1913" t="s">
        <v>41</v>
      </c>
      <c r="K1913" s="79" t="str">
        <f>VLOOKUP(Tabla3[[#This Row],[Site]],'Important Info!'!$A$1:$H$135,8,FALSE)</f>
        <v>-</v>
      </c>
      <c r="L1913" s="52" t="str">
        <f>VLOOKUP(Tabla3[[#This Row],[Site]],'Important Info!'!$A$1:$F$135,2,FALSE)</f>
        <v>1, 2, 11</v>
      </c>
      <c r="M1913" s="52" t="str">
        <f>VLOOKUP(Tabla3[[#This Row],[Site]],'Important Info!'!$A$1:$F$135,3,FALSE)</f>
        <v>-</v>
      </c>
      <c r="N1913" s="52" t="str">
        <f>VLOOKUP(Tabla3[[#This Row],[Site]],'Important Info!'!$A$1:$F$135,4,FALSE)</f>
        <v>-</v>
      </c>
      <c r="O1913" s="52" t="str">
        <f>VLOOKUP(Tabla3[[#This Row],[Site]],'Important Info!'!$A$1:$F$135,5,FALSE)</f>
        <v>11, 16, 20</v>
      </c>
      <c r="P1913" s="52" t="str">
        <f>VLOOKUP(Tabla3[[#This Row],[Site]],'Important Info!'!$A$1:$F$135,6,FALSE)</f>
        <v>11, 12, 13, 14</v>
      </c>
      <c r="Q1913" s="91">
        <f>VLOOKUP(Tabla3[[#This Row],[Site]],'Important Info!'!$A$1:$J$135,9,FALSE)</f>
        <v>182</v>
      </c>
    </row>
    <row r="1914" spans="1:17" x14ac:dyDescent="0.25">
      <c r="A1914" t="str">
        <f>+Tabla3[[#This Row],[Site]]&amp;Tabla3[[#This Row],[Split]]</f>
        <v>(AS) Lexus Smyrna (NO TOURS)20</v>
      </c>
      <c r="B1914">
        <v>20</v>
      </c>
      <c r="C1914">
        <v>11</v>
      </c>
      <c r="D1914" t="s">
        <v>62</v>
      </c>
      <c r="E1914" t="s">
        <v>35</v>
      </c>
      <c r="F1914" t="s">
        <v>84</v>
      </c>
      <c r="G1914" t="s">
        <v>490</v>
      </c>
      <c r="H1914" s="52" t="str">
        <f>VLOOKUP(Tabla3[[#This Row],[Site]],'Important Info!'!$A$1:$J$135,10,FALSE)</f>
        <v>https://tools.sig.systems/site/details/133</v>
      </c>
      <c r="I1914" s="2"/>
      <c r="J1914" t="s">
        <v>41</v>
      </c>
      <c r="K1914" s="79" t="str">
        <f>VLOOKUP(Tabla3[[#This Row],[Site]],'Important Info!'!$A$1:$H$135,8,FALSE)</f>
        <v>-</v>
      </c>
      <c r="L1914" s="52" t="str">
        <f>VLOOKUP(Tabla3[[#This Row],[Site]],'Important Info!'!$A$1:$F$135,2,FALSE)</f>
        <v xml:space="preserve">2, 6, 10 </v>
      </c>
      <c r="M1914" s="52" t="str">
        <f>VLOOKUP(Tabla3[[#This Row],[Site]],'Important Info!'!$A$1:$F$135,3,FALSE)</f>
        <v>-</v>
      </c>
      <c r="N1914" s="52" t="str">
        <f>VLOOKUP(Tabla3[[#This Row],[Site]],'Important Info!'!$A$1:$F$135,4,FALSE)</f>
        <v>-</v>
      </c>
      <c r="O1914" s="52" t="str">
        <f>VLOOKUP(Tabla3[[#This Row],[Site]],'Important Info!'!$A$1:$F$135,5,FALSE)</f>
        <v>3, 5, 10, 15</v>
      </c>
      <c r="P1914" s="52" t="str">
        <f>VLOOKUP(Tabla3[[#This Row],[Site]],'Important Info!'!$A$1:$F$135,6,FALSE)</f>
        <v>10, 11</v>
      </c>
      <c r="Q1914" s="91">
        <f>VLOOKUP(Tabla3[[#This Row],[Site]],'Important Info!'!$A$1:$J$135,9,FALSE)</f>
        <v>133</v>
      </c>
    </row>
    <row r="1915" spans="1:17" x14ac:dyDescent="0.25">
      <c r="A1915" t="str">
        <f>+Tabla3[[#This Row],[Site]]&amp;Tabla3[[#This Row],[Split]]</f>
        <v>(AS) Mike Shaw Subaru Greeley (NO TOURS)20</v>
      </c>
      <c r="B1915">
        <v>20</v>
      </c>
      <c r="C1915">
        <v>11</v>
      </c>
      <c r="D1915" t="s">
        <v>44</v>
      </c>
      <c r="E1915" t="s">
        <v>53</v>
      </c>
      <c r="F1915" t="s">
        <v>95</v>
      </c>
      <c r="G1915" t="s">
        <v>45</v>
      </c>
      <c r="H1915" s="52" t="str">
        <f>VLOOKUP(Tabla3[[#This Row],[Site]],'Important Info!'!$A$1:$J$135,10,FALSE)</f>
        <v>https://tools.sig.systems/site/details/174</v>
      </c>
      <c r="I1915" s="43" t="s">
        <v>153</v>
      </c>
      <c r="J1915" t="s">
        <v>41</v>
      </c>
      <c r="K1915" s="79" t="str">
        <f>VLOOKUP(Tabla3[[#This Row],[Site]],'Important Info!'!$A$1:$H$135,8,FALSE)</f>
        <v>-</v>
      </c>
      <c r="L1915" s="52" t="str">
        <f>VLOOKUP(Tabla3[[#This Row],[Site]],'Important Info!'!$A$1:$F$135,2,FALSE)</f>
        <v>16, 17</v>
      </c>
      <c r="M1915" s="52">
        <f>VLOOKUP(Tabla3[[#This Row],[Site]],'Important Info!'!$A$1:$F$135,3,FALSE)</f>
        <v>10</v>
      </c>
      <c r="N1915" s="52" t="str">
        <f>VLOOKUP(Tabla3[[#This Row],[Site]],'Important Info!'!$A$1:$F$135,4,FALSE)</f>
        <v>-</v>
      </c>
      <c r="O1915" s="52" t="str">
        <f>VLOOKUP(Tabla3[[#This Row],[Site]],'Important Info!'!$A$1:$F$135,5,FALSE)</f>
        <v>1, 7</v>
      </c>
      <c r="P1915" s="52" t="str">
        <f>VLOOKUP(Tabla3[[#This Row],[Site]],'Important Info!'!$A$1:$F$135,6,FALSE)</f>
        <v>-</v>
      </c>
      <c r="Q1915" s="91">
        <f>VLOOKUP(Tabla3[[#This Row],[Site]],'Important Info!'!$A$1:$J$135,9,FALSE)</f>
        <v>174</v>
      </c>
    </row>
    <row r="1916" spans="1:17" x14ac:dyDescent="0.25">
      <c r="A1916" t="str">
        <f>+Tabla3[[#This Row],[Site]]&amp;Tabla3[[#This Row],[Split]]</f>
        <v>(ML) Mazda VW-Lot B20</v>
      </c>
      <c r="B1916">
        <v>20</v>
      </c>
      <c r="C1916">
        <v>11</v>
      </c>
      <c r="D1916" t="s">
        <v>33</v>
      </c>
      <c r="E1916" t="s">
        <v>46</v>
      </c>
      <c r="F1916" t="s">
        <v>9</v>
      </c>
      <c r="G1916" t="s">
        <v>34</v>
      </c>
      <c r="H1916" s="52" t="str">
        <f>VLOOKUP(Tabla3[[#This Row],[Site]],'Important Info!'!$A$1:$J$135,10,FALSE)</f>
        <v>https://tools.sig.systems/site/details/205</v>
      </c>
      <c r="I1916" s="2" t="s">
        <v>142</v>
      </c>
      <c r="J1916" t="s">
        <v>41</v>
      </c>
      <c r="K1916" s="79" t="str">
        <f>VLOOKUP(Tabla3[[#This Row],[Site]],'Important Info!'!$A$1:$H$135,8,FALSE)</f>
        <v>-</v>
      </c>
      <c r="L1916" s="52" t="str">
        <f>VLOOKUP(Tabla3[[#This Row],[Site]],'Important Info!'!$A$1:$F$135,2,FALSE)</f>
        <v>9, 14, 16</v>
      </c>
      <c r="M1916" s="52">
        <f>VLOOKUP(Tabla3[[#This Row],[Site]],'Important Info!'!$A$1:$F$135,3,FALSE)</f>
        <v>1</v>
      </c>
      <c r="N1916" s="52" t="str">
        <f>VLOOKUP(Tabla3[[#This Row],[Site]],'Important Info!'!$A$1:$F$135,4,FALSE)</f>
        <v>-</v>
      </c>
      <c r="O1916" s="52">
        <f>VLOOKUP(Tabla3[[#This Row],[Site]],'Important Info!'!$A$1:$F$135,5,FALSE)</f>
        <v>4</v>
      </c>
      <c r="P1916" s="52" t="str">
        <f>VLOOKUP(Tabla3[[#This Row],[Site]],'Important Info!'!$A$1:$F$135,6,FALSE)</f>
        <v>-</v>
      </c>
      <c r="Q1916" s="91">
        <f>VLOOKUP(Tabla3[[#This Row],[Site]],'Important Info!'!$A$1:$J$135,9,FALSE)</f>
        <v>205</v>
      </c>
    </row>
    <row r="1917" spans="1:17" x14ac:dyDescent="0.25">
      <c r="A1917" t="str">
        <f>+Tabla3[[#This Row],[Site]]&amp;Tabla3[[#This Row],[Split]]</f>
        <v>(ML) Volvo Collision Corp20</v>
      </c>
      <c r="B1917">
        <v>20</v>
      </c>
      <c r="C1917">
        <v>11</v>
      </c>
      <c r="D1917" t="s">
        <v>33</v>
      </c>
      <c r="E1917" t="s">
        <v>46</v>
      </c>
      <c r="F1917" t="s">
        <v>106</v>
      </c>
      <c r="G1917" t="s">
        <v>34</v>
      </c>
      <c r="H1917" s="52" t="str">
        <f>VLOOKUP(Tabla3[[#This Row],[Site]],'Important Info!'!$A$1:$J$135,10,FALSE)</f>
        <v>https://tools.sig.systems/site/details/223</v>
      </c>
      <c r="I1917" s="2"/>
      <c r="J1917" t="s">
        <v>41</v>
      </c>
      <c r="K1917" s="79" t="str">
        <f>VLOOKUP(Tabla3[[#This Row],[Site]],'Important Info!'!$A$1:$H$135,8,FALSE)</f>
        <v>-</v>
      </c>
      <c r="L1917" s="52" t="str">
        <f>VLOOKUP(Tabla3[[#This Row],[Site]],'Important Info!'!$A$1:$F$135,2,FALSE)</f>
        <v>7, 11</v>
      </c>
      <c r="M1917" s="52">
        <f>VLOOKUP(Tabla3[[#This Row],[Site]],'Important Info!'!$A$1:$F$135,3,FALSE)</f>
        <v>4</v>
      </c>
      <c r="N1917" s="52" t="str">
        <f>VLOOKUP(Tabla3[[#This Row],[Site]],'Important Info!'!$A$1:$F$135,4,FALSE)</f>
        <v>-</v>
      </c>
      <c r="O1917" s="52">
        <f>VLOOKUP(Tabla3[[#This Row],[Site]],'Important Info!'!$A$1:$F$135,5,FALSE)</f>
        <v>18</v>
      </c>
      <c r="P1917" s="52" t="str">
        <f>VLOOKUP(Tabla3[[#This Row],[Site]],'Important Info!'!$A$1:$F$135,6,FALSE)</f>
        <v>-</v>
      </c>
      <c r="Q1917" s="91">
        <f>VLOOKUP(Tabla3[[#This Row],[Site]],'Important Info!'!$A$1:$J$135,9,FALSE)</f>
        <v>223</v>
      </c>
    </row>
    <row r="1918" spans="1:17" x14ac:dyDescent="0.25">
      <c r="A1918" t="str">
        <f>+Tabla3[[#This Row],[Site]]&amp;Tabla3[[#This Row],[Split]]</f>
        <v>(PE) Fairfield Collision (NO TOURS)20</v>
      </c>
      <c r="B1918">
        <v>20</v>
      </c>
      <c r="C1918">
        <v>11</v>
      </c>
      <c r="D1918" t="s">
        <v>485</v>
      </c>
      <c r="E1918" t="s">
        <v>35</v>
      </c>
      <c r="F1918" t="s">
        <v>63</v>
      </c>
      <c r="G1918" t="s">
        <v>490</v>
      </c>
      <c r="H1918" s="52" t="str">
        <f>VLOOKUP(Tabla3[[#This Row],[Site]],'Important Info!'!$A$1:$J$135,10,FALSE)</f>
        <v>https://tools.sig.systems/site/details/191</v>
      </c>
      <c r="J1918" t="s">
        <v>41</v>
      </c>
      <c r="K1918" s="79" t="str">
        <f>VLOOKUP(Tabla3[[#This Row],[Site]],'Important Info!'!$A$1:$H$135,8,FALSE)</f>
        <v>-</v>
      </c>
      <c r="L1918" s="52">
        <f>VLOOKUP(Tabla3[[#This Row],[Site]],'Important Info!'!$A$1:$F$135,2,FALSE)</f>
        <v>4</v>
      </c>
      <c r="M1918" s="52" t="str">
        <f>VLOOKUP(Tabla3[[#This Row],[Site]],'Important Info!'!$A$1:$F$135,3,FALSE)</f>
        <v>-</v>
      </c>
      <c r="N1918" s="52" t="str">
        <f>VLOOKUP(Tabla3[[#This Row],[Site]],'Important Info!'!$A$1:$F$135,4,FALSE)</f>
        <v>-</v>
      </c>
      <c r="O1918" s="52" t="str">
        <f>VLOOKUP(Tabla3[[#This Row],[Site]],'Important Info!'!$A$1:$F$135,5,FALSE)</f>
        <v>-</v>
      </c>
      <c r="P1918" s="52" t="str">
        <f>VLOOKUP(Tabla3[[#This Row],[Site]],'Important Info!'!$A$1:$F$135,6,FALSE)</f>
        <v>1, 2, 3, 4, 5, 6</v>
      </c>
      <c r="Q1918" s="91">
        <f>VLOOKUP(Tabla3[[#This Row],[Site]],'Important Info!'!$A$1:$J$135,9,FALSE)</f>
        <v>191</v>
      </c>
    </row>
    <row r="1919" spans="1:17" x14ac:dyDescent="0.25">
      <c r="A1919" t="str">
        <f>+Tabla3[[#This Row],[Site]]&amp;Tabla3[[#This Row],[Split]]</f>
        <v>(AS) Coggin Honda Ft. Pierce (NO TOURS)20</v>
      </c>
      <c r="B1919">
        <v>20</v>
      </c>
      <c r="C1919">
        <v>12</v>
      </c>
      <c r="D1919" t="s">
        <v>62</v>
      </c>
      <c r="E1919" t="s">
        <v>35</v>
      </c>
      <c r="F1919" t="s">
        <v>501</v>
      </c>
      <c r="G1919" t="s">
        <v>490</v>
      </c>
      <c r="H1919" s="52" t="str">
        <f>VLOOKUP(Tabla3[[#This Row],[Site]],'Important Info!'!$A$1:$J$135,10,FALSE)</f>
        <v>https://tools.sig.systems/site/details/120</v>
      </c>
      <c r="I1919" t="s">
        <v>179</v>
      </c>
      <c r="J1919" t="s">
        <v>484</v>
      </c>
      <c r="K1919" s="79" t="str">
        <f>VLOOKUP(Tabla3[[#This Row],[Site]],'Important Info!'!$A$1:$H$135,8,FALSE)</f>
        <v>-</v>
      </c>
      <c r="L1919" s="52" t="str">
        <f>VLOOKUP(Tabla3[[#This Row],[Site]],'Important Info!'!$A$1:$F$135,2,FALSE)</f>
        <v>1, 2, 3, 4, 14</v>
      </c>
      <c r="M1919" s="52" t="str">
        <f>VLOOKUP(Tabla3[[#This Row],[Site]],'Important Info!'!$A$1:$F$135,3,FALSE)</f>
        <v>-</v>
      </c>
      <c r="N1919" s="52" t="str">
        <f>VLOOKUP(Tabla3[[#This Row],[Site]],'Important Info!'!$A$1:$F$135,4,FALSE)</f>
        <v>-</v>
      </c>
      <c r="O1919" s="52" t="str">
        <f>VLOOKUP(Tabla3[[#This Row],[Site]],'Important Info!'!$A$1:$F$135,5,FALSE)</f>
        <v>7, 11, 15</v>
      </c>
      <c r="P1919" s="52">
        <f>VLOOKUP(Tabla3[[#This Row],[Site]],'Important Info!'!$A$1:$F$135,6,FALSE)</f>
        <v>3</v>
      </c>
      <c r="Q1919" s="91">
        <f>VLOOKUP(Tabla3[[#This Row],[Site]],'Important Info!'!$A$1:$J$135,9,FALSE)</f>
        <v>120</v>
      </c>
    </row>
    <row r="1920" spans="1:17" x14ac:dyDescent="0.25">
      <c r="A1920" t="str">
        <f>+Tabla3[[#This Row],[Site]]&amp;Tabla3[[#This Row],[Split]]</f>
        <v>(HUD) Acura of Greensboro20</v>
      </c>
      <c r="B1920">
        <v>20</v>
      </c>
      <c r="C1920">
        <v>12</v>
      </c>
      <c r="D1920" t="s">
        <v>62</v>
      </c>
      <c r="E1920" t="s">
        <v>35</v>
      </c>
      <c r="F1920" t="s">
        <v>100</v>
      </c>
      <c r="G1920" t="s">
        <v>490</v>
      </c>
      <c r="H1920" s="52" t="str">
        <f>VLOOKUP(Tabla3[[#This Row],[Site]],'Important Info!'!$A$1:$J$135,10,FALSE)</f>
        <v>https://tools.sig.systems/site/details/213</v>
      </c>
      <c r="I1920" t="s">
        <v>182</v>
      </c>
      <c r="J1920" t="s">
        <v>41</v>
      </c>
      <c r="K1920" s="79" t="str">
        <f>VLOOKUP(Tabla3[[#This Row],[Site]],'Important Info!'!$A$1:$H$135,8,FALSE)</f>
        <v>-</v>
      </c>
      <c r="L1920" s="52" t="str">
        <f>VLOOKUP(Tabla3[[#This Row],[Site]],'Important Info!'!$A$1:$F$135,2,FALSE)</f>
        <v>1, 2, 6, 7, 9</v>
      </c>
      <c r="M1920" s="52" t="str">
        <f>VLOOKUP(Tabla3[[#This Row],[Site]],'Important Info!'!$A$1:$F$135,3,FALSE)</f>
        <v>-</v>
      </c>
      <c r="N1920" s="52" t="str">
        <f>VLOOKUP(Tabla3[[#This Row],[Site]],'Important Info!'!$A$1:$F$135,4,FALSE)</f>
        <v>-</v>
      </c>
      <c r="O1920" s="52" t="str">
        <f>VLOOKUP(Tabla3[[#This Row],[Site]],'Important Info!'!$A$1:$F$135,5,FALSE)</f>
        <v>2, 5</v>
      </c>
      <c r="P1920" s="52" t="str">
        <f>VLOOKUP(Tabla3[[#This Row],[Site]],'Important Info!'!$A$1:$F$135,6,FALSE)</f>
        <v>1, 2, 6, 7, 9, 18</v>
      </c>
      <c r="Q1920" s="91">
        <f>VLOOKUP(Tabla3[[#This Row],[Site]],'Important Info!'!$A$1:$J$135,9,FALSE)</f>
        <v>213</v>
      </c>
    </row>
    <row r="1921" spans="1:17" x14ac:dyDescent="0.25">
      <c r="A1921" t="str">
        <f>+Tabla3[[#This Row],[Site]]&amp;Tabla3[[#This Row],[Split]]</f>
        <v>(KG) Kia of Phoenix (NO TOURS)20</v>
      </c>
      <c r="B1921">
        <v>20</v>
      </c>
      <c r="C1921">
        <v>12</v>
      </c>
      <c r="D1921" t="s">
        <v>51</v>
      </c>
      <c r="E1921" t="s">
        <v>161</v>
      </c>
      <c r="F1921" t="s">
        <v>94</v>
      </c>
      <c r="G1921" t="s">
        <v>52</v>
      </c>
      <c r="H1921" s="52" t="str">
        <f>VLOOKUP(Tabla3[[#This Row],[Site]],'Important Info!'!$A$1:$J$135,10,FALSE)</f>
        <v>https://tools.sig.systems/site/details/262</v>
      </c>
      <c r="J1921" t="s">
        <v>162</v>
      </c>
      <c r="K1921" s="79" t="str">
        <f>VLOOKUP(Tabla3[[#This Row],[Site]],'Important Info!'!$A$1:$H$135,8,FALSE)</f>
        <v>-</v>
      </c>
      <c r="L1921" s="52" t="str">
        <f>VLOOKUP(Tabla3[[#This Row],[Site]],'Important Info!'!$A$1:$F$135,2,FALSE)</f>
        <v>5, 8, 23</v>
      </c>
      <c r="M1921" s="52" t="str">
        <f>VLOOKUP(Tabla3[[#This Row],[Site]],'Important Info!'!$A$1:$F$135,3,FALSE)</f>
        <v>-</v>
      </c>
      <c r="N1921" s="52" t="str">
        <f>VLOOKUP(Tabla3[[#This Row],[Site]],'Important Info!'!$A$1:$F$135,4,FALSE)</f>
        <v>-</v>
      </c>
      <c r="O1921" s="52">
        <f>VLOOKUP(Tabla3[[#This Row],[Site]],'Important Info!'!$A$1:$F$135,5,FALSE)</f>
        <v>4</v>
      </c>
      <c r="P1921" s="52" t="str">
        <f>VLOOKUP(Tabla3[[#This Row],[Site]],'Important Info!'!$A$1:$F$135,6,FALSE)</f>
        <v>-</v>
      </c>
      <c r="Q1921" s="91">
        <f>VLOOKUP(Tabla3[[#This Row],[Site]],'Important Info!'!$A$1:$J$135,9,FALSE)</f>
        <v>262</v>
      </c>
    </row>
    <row r="1922" spans="1:17" x14ac:dyDescent="0.25">
      <c r="A1922" t="str">
        <f>+Tabla3[[#This Row],[Site]]&amp;Tabla3[[#This Row],[Split]]</f>
        <v>(MK) McKenny Salinas Honda20</v>
      </c>
      <c r="B1922">
        <v>20</v>
      </c>
      <c r="C1922">
        <v>12</v>
      </c>
      <c r="D1922" t="s">
        <v>62</v>
      </c>
      <c r="E1922" t="s">
        <v>35</v>
      </c>
      <c r="F1922" t="s">
        <v>115</v>
      </c>
      <c r="G1922" t="s">
        <v>490</v>
      </c>
      <c r="H1922" s="52" t="str">
        <f>VLOOKUP(Tabla3[[#This Row],[Site]],'Important Info!'!$A$1:$J$135,10,FALSE)</f>
        <v>https://tools.sig.systems/site/details/149</v>
      </c>
      <c r="J1922" t="s">
        <v>41</v>
      </c>
      <c r="K1922" s="79" t="str">
        <f>VLOOKUP(Tabla3[[#This Row],[Site]],'Important Info!'!$A$1:$H$135,8,FALSE)</f>
        <v>-</v>
      </c>
      <c r="L1922" s="52" t="str">
        <f>VLOOKUP(Tabla3[[#This Row],[Site]],'Important Info!'!$A$1:$F$135,2,FALSE)</f>
        <v>-</v>
      </c>
      <c r="M1922" s="52" t="str">
        <f>VLOOKUP(Tabla3[[#This Row],[Site]],'Important Info!'!$A$1:$F$135,3,FALSE)</f>
        <v>12, 16</v>
      </c>
      <c r="N1922" s="52" t="str">
        <f>VLOOKUP(Tabla3[[#This Row],[Site]],'Important Info!'!$A$1:$F$135,4,FALSE)</f>
        <v>-</v>
      </c>
      <c r="O1922" s="52" t="str">
        <f>VLOOKUP(Tabla3[[#This Row],[Site]],'Important Info!'!$A$1:$F$135,5,FALSE)</f>
        <v>-</v>
      </c>
      <c r="P1922" s="52" t="str">
        <f>VLOOKUP(Tabla3[[#This Row],[Site]],'Important Info!'!$A$1:$F$135,6,FALSE)</f>
        <v>3, 4, 5, 6, 16</v>
      </c>
      <c r="Q1922" s="91">
        <f>VLOOKUP(Tabla3[[#This Row],[Site]],'Important Info!'!$A$1:$J$135,9,FALSE)</f>
        <v>149</v>
      </c>
    </row>
    <row r="1923" spans="1:17" x14ac:dyDescent="0.25">
      <c r="A1923" t="str">
        <f>+Tabla3[[#This Row],[Site]]&amp;Tabla3[[#This Row],[Split]]</f>
        <v>(ML) Joe Machens Capital City I &amp; II (NO TOURS)20</v>
      </c>
      <c r="B1923">
        <v>20</v>
      </c>
      <c r="C1923">
        <v>12</v>
      </c>
      <c r="D1923" t="s">
        <v>33</v>
      </c>
      <c r="E1923" t="s">
        <v>46</v>
      </c>
      <c r="F1923" t="s">
        <v>72</v>
      </c>
      <c r="G1923" t="s">
        <v>34</v>
      </c>
      <c r="H1923" s="52" t="str">
        <f>VLOOKUP(Tabla3[[#This Row],[Site]],'Important Info!'!$A$1:$J$135,10,FALSE)</f>
        <v>https://tools.sig.systems/site/details/271</v>
      </c>
      <c r="I1923" s="43"/>
      <c r="J1923" t="s">
        <v>41</v>
      </c>
      <c r="K1923" s="79" t="str">
        <f>VLOOKUP(Tabla3[[#This Row],[Site]],'Important Info!'!$A$1:$H$135,8,FALSE)</f>
        <v>-</v>
      </c>
      <c r="L1923" s="52" t="str">
        <f>VLOOKUP(Tabla3[[#This Row],[Site]],'Important Info!'!$A$1:$F$135,2,FALSE)</f>
        <v>-</v>
      </c>
      <c r="M1923" s="52" t="str">
        <f>VLOOKUP(Tabla3[[#This Row],[Site]],'Important Info!'!$A$1:$F$135,3,FALSE)</f>
        <v>1, 3, 4, 20, 25, 27, 28</v>
      </c>
      <c r="N1923" s="52" t="str">
        <f>VLOOKUP(Tabla3[[#This Row],[Site]],'Important Info!'!$A$1:$F$135,4,FALSE)</f>
        <v>-</v>
      </c>
      <c r="O1923" s="52">
        <f>VLOOKUP(Tabla3[[#This Row],[Site]],'Important Info!'!$A$1:$F$135,5,FALSE)</f>
        <v>29</v>
      </c>
      <c r="P1923" s="52" t="str">
        <f>VLOOKUP(Tabla3[[#This Row],[Site]],'Important Info!'!$A$1:$F$135,6,FALSE)</f>
        <v>19, 20</v>
      </c>
      <c r="Q1923" s="91">
        <f>VLOOKUP(Tabla3[[#This Row],[Site]],'Important Info!'!$A$1:$J$135,9,FALSE)</f>
        <v>271</v>
      </c>
    </row>
    <row r="1924" spans="1:17" x14ac:dyDescent="0.25">
      <c r="A1924" t="str">
        <f>+Tabla3[[#This Row],[Site]]&amp;Tabla3[[#This Row],[Split]]</f>
        <v>(PE) BMW Tenafly (NO TOURS)20</v>
      </c>
      <c r="B1924">
        <v>20</v>
      </c>
      <c r="C1924">
        <v>12</v>
      </c>
      <c r="D1924" t="s">
        <v>485</v>
      </c>
      <c r="E1924" t="s">
        <v>35</v>
      </c>
      <c r="F1924" t="s">
        <v>173</v>
      </c>
      <c r="G1924" t="s">
        <v>490</v>
      </c>
      <c r="H1924" s="52" t="str">
        <f>VLOOKUP(Tabla3[[#This Row],[Site]],'Important Info!'!$A$1:$J$135,10,FALSE)</f>
        <v>https://tools.sig.systems/site/details/155</v>
      </c>
      <c r="I1924" s="2"/>
      <c r="J1924" t="s">
        <v>41</v>
      </c>
      <c r="K1924" s="79" t="str">
        <f>VLOOKUP(Tabla3[[#This Row],[Site]],'Important Info!'!$A$1:$H$135,8,FALSE)</f>
        <v>-</v>
      </c>
      <c r="L1924" s="52">
        <f>VLOOKUP(Tabla3[[#This Row],[Site]],'Important Info!'!$A$1:$F$135,2,FALSE)</f>
        <v>24</v>
      </c>
      <c r="M1924" s="52" t="str">
        <f>VLOOKUP(Tabla3[[#This Row],[Site]],'Important Info!'!$A$1:$F$135,3,FALSE)</f>
        <v>1, 3, 4, 17, 23</v>
      </c>
      <c r="N1924" s="52" t="str">
        <f>VLOOKUP(Tabla3[[#This Row],[Site]],'Important Info!'!$A$1:$F$135,4,FALSE)</f>
        <v>-</v>
      </c>
      <c r="O1924" s="52" t="str">
        <f>VLOOKUP(Tabla3[[#This Row],[Site]],'Important Info!'!$A$1:$F$135,5,FALSE)</f>
        <v>-</v>
      </c>
      <c r="P1924" s="52">
        <f>VLOOKUP(Tabla3[[#This Row],[Site]],'Important Info!'!$A$1:$F$135,6,FALSE)</f>
        <v>1</v>
      </c>
      <c r="Q1924" s="91">
        <f>VLOOKUP(Tabla3[[#This Row],[Site]],'Important Info!'!$A$1:$J$135,9,FALSE)</f>
        <v>155</v>
      </c>
    </row>
    <row r="1925" spans="1:17" x14ac:dyDescent="0.25">
      <c r="A1925" t="str">
        <f>+Tabla3[[#This Row],[Site]]&amp;Tabla3[[#This Row],[Split]]</f>
        <v>(PE) Mercedes Benz &amp; Smart Bldg. of Fairfield (NO TOURS)20</v>
      </c>
      <c r="B1925">
        <v>20</v>
      </c>
      <c r="C1925">
        <v>12</v>
      </c>
      <c r="D1925" t="s">
        <v>485</v>
      </c>
      <c r="E1925" t="s">
        <v>35</v>
      </c>
      <c r="F1925" t="s">
        <v>64</v>
      </c>
      <c r="G1925" t="s">
        <v>490</v>
      </c>
      <c r="H1925" s="52" t="str">
        <f>VLOOKUP(Tabla3[[#This Row],[Site]],'Important Info!'!$A$1:$J$135,10,FALSE)</f>
        <v>https://tools.sig.systems/site/details/192</v>
      </c>
      <c r="I1925" t="s">
        <v>177</v>
      </c>
      <c r="J1925" t="s">
        <v>41</v>
      </c>
      <c r="K1925" s="79" t="str">
        <f>VLOOKUP(Tabla3[[#This Row],[Site]],'Important Info!'!$A$1:$H$135,8,FALSE)</f>
        <v>-</v>
      </c>
      <c r="L1925" s="52" t="str">
        <f>VLOOKUP(Tabla3[[#This Row],[Site]],'Important Info!'!$A$1:$F$135,2,FALSE)</f>
        <v>-</v>
      </c>
      <c r="M1925" s="52">
        <f>VLOOKUP(Tabla3[[#This Row],[Site]],'Important Info!'!$A$1:$F$135,3,FALSE)</f>
        <v>1</v>
      </c>
      <c r="N1925" s="52" t="str">
        <f>VLOOKUP(Tabla3[[#This Row],[Site]],'Important Info!'!$A$1:$F$135,4,FALSE)</f>
        <v>-</v>
      </c>
      <c r="O1925" s="52" t="str">
        <f>VLOOKUP(Tabla3[[#This Row],[Site]],'Important Info!'!$A$1:$F$135,5,FALSE)</f>
        <v>11, 13</v>
      </c>
      <c r="P1925" s="52">
        <f>VLOOKUP(Tabla3[[#This Row],[Site]],'Important Info!'!$A$1:$F$135,6,FALSE)</f>
        <v>1</v>
      </c>
      <c r="Q1925" s="91">
        <f>VLOOKUP(Tabla3[[#This Row],[Site]],'Important Info!'!$A$1:$J$135,9,FALSE)</f>
        <v>192</v>
      </c>
    </row>
    <row r="1926" spans="1:17" x14ac:dyDescent="0.25">
      <c r="A1926" t="str">
        <f>+Tabla3[[#This Row],[Site]]&amp;Tabla3[[#This Row],[Split]]</f>
        <v>(AS) Courtesy Hyundai/Nissan Tampa (NO TOURS)20</v>
      </c>
      <c r="B1926">
        <v>20</v>
      </c>
      <c r="C1926">
        <v>13</v>
      </c>
      <c r="D1926" t="s">
        <v>62</v>
      </c>
      <c r="E1926" t="s">
        <v>35</v>
      </c>
      <c r="F1926" t="s">
        <v>504</v>
      </c>
      <c r="G1926" t="s">
        <v>490</v>
      </c>
      <c r="H1926" s="52" t="str">
        <f>VLOOKUP(Tabla3[[#This Row],[Site]],'Important Info!'!$A$1:$J$135,10,FALSE)</f>
        <v>https://tools.sig.systems/site/details/128</v>
      </c>
      <c r="I1926" s="43"/>
      <c r="J1926" t="s">
        <v>484</v>
      </c>
      <c r="K1926" s="79" t="str">
        <f>VLOOKUP(Tabla3[[#This Row],[Site]],'Important Info!'!$A$1:$H$135,8,FALSE)</f>
        <v>-</v>
      </c>
      <c r="L1926" s="52" t="str">
        <f>VLOOKUP(Tabla3[[#This Row],[Site]],'Important Info!'!$A$1:$F$135,2,FALSE)</f>
        <v>1, 16, 25, 27, 32</v>
      </c>
      <c r="M1926" s="52" t="str">
        <f>VLOOKUP(Tabla3[[#This Row],[Site]],'Important Info!'!$A$1:$F$135,3,FALSE)</f>
        <v>-</v>
      </c>
      <c r="N1926" s="52" t="str">
        <f>VLOOKUP(Tabla3[[#This Row],[Site]],'Important Info!'!$A$1:$F$135,4,FALSE)</f>
        <v>-</v>
      </c>
      <c r="O1926" s="52" t="str">
        <f>VLOOKUP(Tabla3[[#This Row],[Site]],'Important Info!'!$A$1:$F$135,5,FALSE)</f>
        <v>4, 10, 16</v>
      </c>
      <c r="P1926" s="52" t="str">
        <f>VLOOKUP(Tabla3[[#This Row],[Site]],'Important Info!'!$A$1:$F$135,6,FALSE)</f>
        <v>24, 25, 26 &amp; Remote Lots</v>
      </c>
      <c r="Q1926" s="91">
        <f>VLOOKUP(Tabla3[[#This Row],[Site]],'Important Info!'!$A$1:$J$135,9,FALSE)</f>
        <v>128</v>
      </c>
    </row>
    <row r="1927" spans="1:17" x14ac:dyDescent="0.25">
      <c r="A1927" t="str">
        <f>+Tabla3[[#This Row],[Site]]&amp;Tabla3[[#This Row],[Split]]</f>
        <v>(AS) David McDavid Honda I &amp; II (NO TOURS)20</v>
      </c>
      <c r="B1927">
        <v>20</v>
      </c>
      <c r="C1927">
        <v>13</v>
      </c>
      <c r="D1927" t="s">
        <v>33</v>
      </c>
      <c r="E1927" t="s">
        <v>46</v>
      </c>
      <c r="F1927" t="s">
        <v>506</v>
      </c>
      <c r="G1927" t="s">
        <v>34</v>
      </c>
      <c r="H1927" s="52" t="str">
        <f>VLOOKUP(Tabla3[[#This Row],[Site]],'Important Info!'!$A$1:$J$135,10,FALSE)</f>
        <v>https://tools.sig.systems/site/details/129</v>
      </c>
      <c r="J1927" t="s">
        <v>41</v>
      </c>
      <c r="K1927" s="79" t="str">
        <f>VLOOKUP(Tabla3[[#This Row],[Site]],'Important Info!'!$A$1:$H$135,8,FALSE)</f>
        <v>-</v>
      </c>
      <c r="L1927" s="52" t="str">
        <f>VLOOKUP(Tabla3[[#This Row],[Site]],'Important Info!'!$A$1:$F$135,2,FALSE)</f>
        <v>-</v>
      </c>
      <c r="M1927" s="52" t="str">
        <f>VLOOKUP(Tabla3[[#This Row],[Site]],'Important Info!'!$A$1:$F$135,3,FALSE)</f>
        <v>3, 19, 23, 32, 35</v>
      </c>
      <c r="N1927" s="52" t="str">
        <f>VLOOKUP(Tabla3[[#This Row],[Site]],'Important Info!'!$A$1:$F$135,4,FALSE)</f>
        <v>-</v>
      </c>
      <c r="O1927" s="52" t="str">
        <f>VLOOKUP(Tabla3[[#This Row],[Site]],'Important Info!'!$A$1:$F$135,5,FALSE)</f>
        <v>2, 6, 9, 19, 25, 30, 48</v>
      </c>
      <c r="P1927" s="52" t="str">
        <f>VLOOKUP(Tabla3[[#This Row],[Site]],'Important Info!'!$A$1:$F$135,6,FALSE)</f>
        <v>25, 26, 35, 36, 37</v>
      </c>
      <c r="Q1927" s="91">
        <f>VLOOKUP(Tabla3[[#This Row],[Site]],'Important Info!'!$A$1:$J$135,9,FALSE)</f>
        <v>129</v>
      </c>
    </row>
    <row r="1928" spans="1:17" x14ac:dyDescent="0.25">
      <c r="A1928" t="str">
        <f>+Tabla3[[#This Row],[Site]]&amp;Tabla3[[#This Row],[Split]]</f>
        <v>(DT) Albuquerque20</v>
      </c>
      <c r="B1928">
        <v>20</v>
      </c>
      <c r="C1928">
        <v>13</v>
      </c>
      <c r="D1928" t="s">
        <v>44</v>
      </c>
      <c r="E1928" t="s">
        <v>53</v>
      </c>
      <c r="F1928" t="s">
        <v>155</v>
      </c>
      <c r="G1928" t="s">
        <v>45</v>
      </c>
      <c r="H1928" s="52" t="str">
        <f>VLOOKUP(Tabla3[[#This Row],[Site]],'Important Info!'!$A$1:$J$135,10,FALSE)</f>
        <v>https://tools.sig.systems/site/details/237</v>
      </c>
      <c r="J1928" t="s">
        <v>41</v>
      </c>
      <c r="K1928" s="79" t="str">
        <f>VLOOKUP(Tabla3[[#This Row],[Site]],'Important Info!'!$A$1:$H$135,8,FALSE)</f>
        <v>-</v>
      </c>
      <c r="L1928" s="52" t="str">
        <f>VLOOKUP(Tabla3[[#This Row],[Site]],'Important Info!'!$A$1:$F$135,2,FALSE)</f>
        <v>14, 16</v>
      </c>
      <c r="M1928" s="52" t="str">
        <f>VLOOKUP(Tabla3[[#This Row],[Site]],'Important Info!'!$A$1:$F$135,3,FALSE)</f>
        <v>-</v>
      </c>
      <c r="N1928" s="52" t="str">
        <f>VLOOKUP(Tabla3[[#This Row],[Site]],'Important Info!'!$A$1:$F$135,4,FALSE)</f>
        <v>-</v>
      </c>
      <c r="O1928" s="52" t="str">
        <f>VLOOKUP(Tabla3[[#This Row],[Site]],'Important Info!'!$A$1:$F$135,5,FALSE)</f>
        <v>14, 15</v>
      </c>
      <c r="P1928" s="52" t="str">
        <f>VLOOKUP(Tabla3[[#This Row],[Site]],'Important Info!'!$A$1:$F$135,6,FALSE)</f>
        <v>12, 14, 16</v>
      </c>
      <c r="Q1928" s="91">
        <f>VLOOKUP(Tabla3[[#This Row],[Site]],'Important Info!'!$A$1:$J$135,9,FALSE)</f>
        <v>237</v>
      </c>
    </row>
    <row r="1929" spans="1:17" x14ac:dyDescent="0.25">
      <c r="A1929" t="str">
        <f>+Tabla3[[#This Row],[Site]]&amp;Tabla3[[#This Row],[Split]]</f>
        <v>(HUD) BMW of Greensboro20</v>
      </c>
      <c r="B1929">
        <v>20</v>
      </c>
      <c r="C1929">
        <v>13</v>
      </c>
      <c r="D1929" t="s">
        <v>62</v>
      </c>
      <c r="E1929" t="s">
        <v>35</v>
      </c>
      <c r="F1929" t="s">
        <v>183</v>
      </c>
      <c r="G1929" t="s">
        <v>490</v>
      </c>
      <c r="H1929" s="52" t="str">
        <f>VLOOKUP(Tabla3[[#This Row],[Site]],'Important Info!'!$A$1:$J$135,10,FALSE)</f>
        <v>https://tools.sig.systems/site/details/219</v>
      </c>
      <c r="I1929" s="43" t="s">
        <v>184</v>
      </c>
      <c r="J1929" t="s">
        <v>41</v>
      </c>
      <c r="K1929" s="79" t="str">
        <f>VLOOKUP(Tabla3[[#This Row],[Site]],'Important Info!'!$A$1:$H$135,8,FALSE)</f>
        <v>-</v>
      </c>
      <c r="L1929" s="52" t="str">
        <f>VLOOKUP(Tabla3[[#This Row],[Site]],'Important Info!'!$A$1:$F$135,2,FALSE)</f>
        <v>2, 20, 21</v>
      </c>
      <c r="M1929" s="52" t="str">
        <f>VLOOKUP(Tabla3[[#This Row],[Site]],'Important Info!'!$A$1:$F$135,3,FALSE)</f>
        <v>-</v>
      </c>
      <c r="N1929" s="52" t="str">
        <f>VLOOKUP(Tabla3[[#This Row],[Site]],'Important Info!'!$A$1:$F$135,4,FALSE)</f>
        <v>-</v>
      </c>
      <c r="O1929" s="52" t="str">
        <f>VLOOKUP(Tabla3[[#This Row],[Site]],'Important Info!'!$A$1:$F$135,5,FALSE)</f>
        <v>12, 17</v>
      </c>
      <c r="P1929" s="52" t="str">
        <f>VLOOKUP(Tabla3[[#This Row],[Site]],'Important Info!'!$A$1:$F$135,6,FALSE)</f>
        <v>1, 2, 6, 20</v>
      </c>
      <c r="Q1929" s="91">
        <f>VLOOKUP(Tabla3[[#This Row],[Site]],'Important Info!'!$A$1:$J$135,9,FALSE)</f>
        <v>219</v>
      </c>
    </row>
    <row r="1930" spans="1:17" x14ac:dyDescent="0.25">
      <c r="A1930" t="str">
        <f>+Tabla3[[#This Row],[Site]]&amp;Tabla3[[#This Row],[Split]]</f>
        <v>(AS) Coggin Mercedes Benz Ft Pierce (NO TOURS)20</v>
      </c>
      <c r="B1930">
        <v>20</v>
      </c>
      <c r="C1930">
        <v>14</v>
      </c>
      <c r="D1930" t="s">
        <v>62</v>
      </c>
      <c r="E1930" t="s">
        <v>35</v>
      </c>
      <c r="F1930" t="s">
        <v>502</v>
      </c>
      <c r="G1930" t="s">
        <v>490</v>
      </c>
      <c r="H1930" s="52" t="str">
        <f>VLOOKUP(Tabla3[[#This Row],[Site]],'Important Info!'!$A$1:$J$135,10,FALSE)</f>
        <v>https://tools.sig.systems/site/details/127</v>
      </c>
      <c r="I1930" t="s">
        <v>179</v>
      </c>
      <c r="J1930" t="s">
        <v>41</v>
      </c>
      <c r="K1930" s="79" t="str">
        <f>VLOOKUP(Tabla3[[#This Row],[Site]],'Important Info!'!$A$1:$H$135,8,FALSE)</f>
        <v>-</v>
      </c>
      <c r="L1930" s="52">
        <f>VLOOKUP(Tabla3[[#This Row],[Site]],'Important Info!'!$A$1:$F$135,2,FALSE)</f>
        <v>18</v>
      </c>
      <c r="M1930" s="52" t="str">
        <f>VLOOKUP(Tabla3[[#This Row],[Site]],'Important Info!'!$A$1:$F$135,3,FALSE)</f>
        <v>1, 3</v>
      </c>
      <c r="N1930" s="52" t="str">
        <f>VLOOKUP(Tabla3[[#This Row],[Site]],'Important Info!'!$A$1:$F$135,4,FALSE)</f>
        <v>-</v>
      </c>
      <c r="O1930" s="52" t="str">
        <f>VLOOKUP(Tabla3[[#This Row],[Site]],'Important Info!'!$A$1:$F$135,5,FALSE)</f>
        <v>6, 10, 13</v>
      </c>
      <c r="P1930" s="52" t="str">
        <f>VLOOKUP(Tabla3[[#This Row],[Site]],'Important Info!'!$A$1:$F$135,6,FALSE)</f>
        <v>1, 4, 5</v>
      </c>
      <c r="Q1930" s="91">
        <f>VLOOKUP(Tabla3[[#This Row],[Site]],'Important Info!'!$A$1:$J$135,9,FALSE)</f>
        <v>127</v>
      </c>
    </row>
    <row r="1931" spans="1:17" x14ac:dyDescent="0.25">
      <c r="A1931" t="str">
        <f>+Tabla3[[#This Row],[Site]]&amp;Tabla3[[#This Row],[Split]]</f>
        <v>(AS) Plaza Lexus/Mercedes/BMW (NO TOURS)20</v>
      </c>
      <c r="B1931">
        <v>20</v>
      </c>
      <c r="C1931">
        <v>14</v>
      </c>
      <c r="D1931" t="s">
        <v>33</v>
      </c>
      <c r="E1931" t="s">
        <v>46</v>
      </c>
      <c r="F1931" t="s">
        <v>92</v>
      </c>
      <c r="G1931" t="s">
        <v>34</v>
      </c>
      <c r="H1931" s="52" t="str">
        <f>VLOOKUP(Tabla3[[#This Row],[Site]],'Important Info!'!$A$1:$J$135,10,FALSE)</f>
        <v>https://tools.sig.systems/site/details/141</v>
      </c>
      <c r="I1931" t="s">
        <v>130</v>
      </c>
      <c r="J1931" t="s">
        <v>41</v>
      </c>
      <c r="K1931" s="79" t="str">
        <f>VLOOKUP(Tabla3[[#This Row],[Site]],'Important Info!'!$A$1:$H$135,8,FALSE)</f>
        <v>-</v>
      </c>
      <c r="L1931" s="52" t="str">
        <f>VLOOKUP(Tabla3[[#This Row],[Site]],'Important Info!'!$A$1:$F$135,2,FALSE)</f>
        <v>3, 4, 18</v>
      </c>
      <c r="M1931" s="52" t="str">
        <f>VLOOKUP(Tabla3[[#This Row],[Site]],'Important Info!'!$A$1:$F$135,3,FALSE)</f>
        <v>9, 10, 12, 13, 16, 17</v>
      </c>
      <c r="N1931" s="52" t="str">
        <f>VLOOKUP(Tabla3[[#This Row],[Site]],'Important Info!'!$A$1:$F$135,4,FALSE)</f>
        <v>-</v>
      </c>
      <c r="O1931" s="52">
        <f>VLOOKUP(Tabla3[[#This Row],[Site]],'Important Info!'!$A$1:$F$135,5,FALSE)</f>
        <v>2</v>
      </c>
      <c r="P1931" s="52" t="str">
        <f>VLOOKUP(Tabla3[[#This Row],[Site]],'Important Info!'!$A$1:$F$135,6,FALSE)</f>
        <v>2, 16</v>
      </c>
      <c r="Q1931" s="91">
        <f>VLOOKUP(Tabla3[[#This Row],[Site]],'Important Info!'!$A$1:$J$135,9,FALSE)</f>
        <v>141</v>
      </c>
    </row>
    <row r="1932" spans="1:17" x14ac:dyDescent="0.25">
      <c r="A1932" t="str">
        <f>+Tabla3[[#This Row],[Site]]&amp;Tabla3[[#This Row],[Split]]</f>
        <v>(DT) El Cajon (NO TOURS)20</v>
      </c>
      <c r="B1932">
        <v>20</v>
      </c>
      <c r="C1932">
        <v>14</v>
      </c>
      <c r="D1932" t="s">
        <v>51</v>
      </c>
      <c r="E1932" t="s">
        <v>159</v>
      </c>
      <c r="F1932" t="s">
        <v>160</v>
      </c>
      <c r="G1932" t="s">
        <v>52</v>
      </c>
      <c r="H1932" s="52" t="str">
        <f>VLOOKUP(Tabla3[[#This Row],[Site]],'Important Info!'!$A$1:$J$135,10,FALSE)</f>
        <v>https://tools.sig.systems/site/details/241</v>
      </c>
      <c r="I1932" s="2"/>
      <c r="J1932" t="s">
        <v>41</v>
      </c>
      <c r="K1932" s="79" t="str">
        <f>VLOOKUP(Tabla3[[#This Row],[Site]],'Important Info!'!$A$1:$H$135,8,FALSE)</f>
        <v>-</v>
      </c>
      <c r="L1932" s="52" t="str">
        <f>VLOOKUP(Tabla3[[#This Row],[Site]],'Important Info!'!$A$1:$F$135,2,FALSE)</f>
        <v>-</v>
      </c>
      <c r="M1932" s="52">
        <f>VLOOKUP(Tabla3[[#This Row],[Site]],'Important Info!'!$A$1:$F$135,3,FALSE)</f>
        <v>3</v>
      </c>
      <c r="N1932" s="52" t="str">
        <f>VLOOKUP(Tabla3[[#This Row],[Site]],'Important Info!'!$A$1:$F$135,4,FALSE)</f>
        <v>-</v>
      </c>
      <c r="O1932" s="52" t="str">
        <f>VLOOKUP(Tabla3[[#This Row],[Site]],'Important Info!'!$A$1:$F$135,5,FALSE)</f>
        <v>-</v>
      </c>
      <c r="P1932" s="52" t="str">
        <f>VLOOKUP(Tabla3[[#This Row],[Site]],'Important Info!'!$A$1:$F$135,6,FALSE)</f>
        <v>-</v>
      </c>
      <c r="Q1932" s="91">
        <f>VLOOKUP(Tabla3[[#This Row],[Site]],'Important Info!'!$A$1:$J$135,9,FALSE)</f>
        <v>241</v>
      </c>
    </row>
    <row r="1933" spans="1:17" x14ac:dyDescent="0.25">
      <c r="A1933" t="str">
        <f>+Tabla3[[#This Row],[Site]]&amp;Tabla3[[#This Row],[Split]]</f>
        <v>(HUD) Nissan Greensboro20</v>
      </c>
      <c r="B1933">
        <v>20</v>
      </c>
      <c r="C1933">
        <v>14</v>
      </c>
      <c r="D1933" t="s">
        <v>62</v>
      </c>
      <c r="E1933" t="s">
        <v>35</v>
      </c>
      <c r="F1933" t="s">
        <v>66</v>
      </c>
      <c r="G1933" t="s">
        <v>490</v>
      </c>
      <c r="H1933" s="52" t="str">
        <f>VLOOKUP(Tabla3[[#This Row],[Site]],'Important Info!'!$A$1:$J$135,10,FALSE)</f>
        <v>https://tools.sig.systems/site/details/236</v>
      </c>
      <c r="I1933" s="2" t="s">
        <v>184</v>
      </c>
      <c r="J1933" t="s">
        <v>41</v>
      </c>
      <c r="K1933" s="79" t="str">
        <f>VLOOKUP(Tabla3[[#This Row],[Site]],'Important Info!'!$A$1:$H$135,8,FALSE)</f>
        <v>-</v>
      </c>
      <c r="L1933" s="52" t="str">
        <f>VLOOKUP(Tabla3[[#This Row],[Site]],'Important Info!'!$A$1:$F$135,2,FALSE)</f>
        <v>1, 5, 12</v>
      </c>
      <c r="M1933" s="52" t="str">
        <f>VLOOKUP(Tabla3[[#This Row],[Site]],'Important Info!'!$A$1:$F$135,3,FALSE)</f>
        <v>-</v>
      </c>
      <c r="N1933" s="52" t="str">
        <f>VLOOKUP(Tabla3[[#This Row],[Site]],'Important Info!'!$A$1:$F$135,4,FALSE)</f>
        <v>-</v>
      </c>
      <c r="O1933" s="52" t="str">
        <f>VLOOKUP(Tabla3[[#This Row],[Site]],'Important Info!'!$A$1:$F$135,5,FALSE)</f>
        <v>-</v>
      </c>
      <c r="P1933" s="52">
        <f>VLOOKUP(Tabla3[[#This Row],[Site]],'Important Info!'!$A$1:$F$135,6,FALSE)</f>
        <v>4</v>
      </c>
      <c r="Q1933" s="91">
        <f>VLOOKUP(Tabla3[[#This Row],[Site]],'Important Info!'!$A$1:$J$135,9,FALSE)</f>
        <v>236</v>
      </c>
    </row>
    <row r="1934" spans="1:17" x14ac:dyDescent="0.25">
      <c r="A1934" t="str">
        <f>+Tabla3[[#This Row],[Site]]&amp;Tabla3[[#This Row],[Split]]</f>
        <v>(KG) Truck Center Remote Storage Lot20</v>
      </c>
      <c r="B1934">
        <v>20</v>
      </c>
      <c r="C1934">
        <v>14</v>
      </c>
      <c r="D1934" t="s">
        <v>60</v>
      </c>
      <c r="E1934" t="s">
        <v>53</v>
      </c>
      <c r="F1934" t="s">
        <v>61</v>
      </c>
      <c r="G1934" t="s">
        <v>41</v>
      </c>
      <c r="H1934" s="52" t="str">
        <f>VLOOKUP(Tabla3[[#This Row],[Site]],'Important Info!'!$A$1:$J$135,10,FALSE)</f>
        <v>https://tools.sig.systems/site/details/144</v>
      </c>
      <c r="I1934" s="43"/>
      <c r="J1934" t="s">
        <v>41</v>
      </c>
      <c r="K1934" s="79" t="str">
        <f>VLOOKUP(Tabla3[[#This Row],[Site]],'Important Info!'!$A$1:$H$135,8,FALSE)</f>
        <v>-</v>
      </c>
      <c r="L1934" s="52" t="str">
        <f>VLOOKUP(Tabla3[[#This Row],[Site]],'Important Info!'!$A$1:$F$135,2,FALSE)</f>
        <v>4, A23, A49</v>
      </c>
      <c r="M1934" s="52" t="str">
        <f>VLOOKUP(Tabla3[[#This Row],[Site]],'Important Info!'!$A$1:$F$135,3,FALSE)</f>
        <v>5, 24</v>
      </c>
      <c r="N1934" s="52" t="str">
        <f>VLOOKUP(Tabla3[[#This Row],[Site]],'Important Info!'!$A$1:$F$135,4,FALSE)</f>
        <v>-</v>
      </c>
      <c r="O1934" s="52" t="str">
        <f>VLOOKUP(Tabla3[[#This Row],[Site]],'Important Info!'!$A$1:$F$135,5,FALSE)</f>
        <v>1, 7, 11, 15, 19, 24, 25</v>
      </c>
      <c r="P1934" s="52" t="str">
        <f>VLOOKUP(Tabla3[[#This Row],[Site]],'Important Info!'!$A$1:$F$135,6,FALSE)</f>
        <v>9, 20, 24, A49</v>
      </c>
      <c r="Q1934" s="91">
        <f>VLOOKUP(Tabla3[[#This Row],[Site]],'Important Info!'!$A$1:$J$135,9,FALSE)</f>
        <v>144</v>
      </c>
    </row>
    <row r="1935" spans="1:17" x14ac:dyDescent="0.25">
      <c r="A1935" t="str">
        <f>+Tabla3[[#This Row],[Site]]&amp;Tabla3[[#This Row],[Split]]</f>
        <v>(ML) McLarty-Gray Daniels Chevrolet20</v>
      </c>
      <c r="B1935">
        <v>20</v>
      </c>
      <c r="C1935">
        <v>14</v>
      </c>
      <c r="D1935" t="s">
        <v>33</v>
      </c>
      <c r="E1935" t="s">
        <v>46</v>
      </c>
      <c r="F1935" t="s">
        <v>151</v>
      </c>
      <c r="G1935" t="s">
        <v>34</v>
      </c>
      <c r="H1935" s="52" t="str">
        <f>VLOOKUP(Tabla3[[#This Row],[Site]],'Important Info!'!$A$1:$J$135,10,FALSE)</f>
        <v>https://tools.sig.systems/site/details/150</v>
      </c>
      <c r="I1935" s="2"/>
      <c r="J1935" t="s">
        <v>41</v>
      </c>
      <c r="K1935" s="79" t="str">
        <f>VLOOKUP(Tabla3[[#This Row],[Site]],'Important Info!'!$A$1:$H$135,8,FALSE)</f>
        <v>-</v>
      </c>
      <c r="L1935" s="52" t="str">
        <f>VLOOKUP(Tabla3[[#This Row],[Site]],'Important Info!'!$A$1:$F$135,2,FALSE)</f>
        <v>3, 4, 5, 22, 24, 26, 28, 36</v>
      </c>
      <c r="M1935" s="52" t="str">
        <f>VLOOKUP(Tabla3[[#This Row],[Site]],'Important Info!'!$A$1:$F$135,3,FALSE)</f>
        <v>-</v>
      </c>
      <c r="N1935" s="52" t="str">
        <f>VLOOKUP(Tabla3[[#This Row],[Site]],'Important Info!'!$A$1:$F$135,4,FALSE)</f>
        <v>-</v>
      </c>
      <c r="O1935" s="52" t="str">
        <f>VLOOKUP(Tabla3[[#This Row],[Site]],'Important Info!'!$A$1:$F$135,5,FALSE)</f>
        <v>4, 7, 12, 26</v>
      </c>
      <c r="P1935" s="52" t="str">
        <f>VLOOKUP(Tabla3[[#This Row],[Site]],'Important Info!'!$A$1:$F$135,6,FALSE)</f>
        <v>1, 3, 5, 6, 23, 24</v>
      </c>
      <c r="Q1935" s="91">
        <f>VLOOKUP(Tabla3[[#This Row],[Site]],'Important Info!'!$A$1:$J$135,9,FALSE)</f>
        <v>150</v>
      </c>
    </row>
    <row r="1936" spans="1:17" x14ac:dyDescent="0.25">
      <c r="A1936" t="str">
        <f>+Tabla3[[#This Row],[Site]]&amp;Tabla3[[#This Row],[Split]]</f>
        <v>(AS) Lexus Plano I &amp; II (NO TOURS)20</v>
      </c>
      <c r="B1936">
        <v>20</v>
      </c>
      <c r="C1936">
        <v>15</v>
      </c>
      <c r="D1936" t="s">
        <v>33</v>
      </c>
      <c r="E1936" t="s">
        <v>46</v>
      </c>
      <c r="F1936" t="s">
        <v>524</v>
      </c>
      <c r="G1936" t="s">
        <v>34</v>
      </c>
      <c r="H1936" s="52" t="str">
        <f>VLOOKUP(Tabla3[[#This Row],[Site]],'Important Info!'!$A$1:$J$135,10,FALSE)</f>
        <v>https://tools.sig.systems/site/details/167</v>
      </c>
      <c r="I1936" s="63" t="s">
        <v>127</v>
      </c>
      <c r="J1936" t="s">
        <v>41</v>
      </c>
      <c r="K1936" s="79" t="str">
        <f>VLOOKUP(Tabla3[[#This Row],[Site]],'Important Info!'!$A$1:$H$135,8,FALSE)</f>
        <v>-</v>
      </c>
      <c r="L1936" s="52" t="str">
        <f>VLOOKUP(Tabla3[[#This Row],[Site]],'Important Info!'!$A$1:$F$135,2,FALSE)</f>
        <v>5, 9</v>
      </c>
      <c r="M1936" s="52" t="str">
        <f>VLOOKUP(Tabla3[[#This Row],[Site]],'Important Info!'!$A$1:$F$135,3,FALSE)</f>
        <v>-</v>
      </c>
      <c r="N1936" s="52" t="str">
        <f>VLOOKUP(Tabla3[[#This Row],[Site]],'Important Info!'!$A$1:$F$135,4,FALSE)</f>
        <v>101, 102, 103, 104</v>
      </c>
      <c r="O1936" s="52" t="str">
        <f>VLOOKUP(Tabla3[[#This Row],[Site]],'Important Info!'!$A$1:$F$135,5,FALSE)</f>
        <v>4, 10, 28</v>
      </c>
      <c r="P1936" s="52" t="str">
        <f>VLOOKUP(Tabla3[[#This Row],[Site]],'Important Info!'!$A$1:$F$135,6,FALSE)</f>
        <v>5, 9, 16</v>
      </c>
      <c r="Q1936" s="91">
        <f>VLOOKUP(Tabla3[[#This Row],[Site]],'Important Info!'!$A$1:$J$135,9,FALSE)</f>
        <v>167</v>
      </c>
    </row>
    <row r="1937" spans="1:17" x14ac:dyDescent="0.25">
      <c r="A1937" t="str">
        <f>+Tabla3[[#This Row],[Site]]&amp;Tabla3[[#This Row],[Split]]</f>
        <v>(AS) Plaza Audi/Infiniti (NO TOURS)20</v>
      </c>
      <c r="B1937">
        <v>20</v>
      </c>
      <c r="C1937">
        <v>15</v>
      </c>
      <c r="D1937" t="s">
        <v>33</v>
      </c>
      <c r="E1937" t="s">
        <v>46</v>
      </c>
      <c r="F1937" t="s">
        <v>91</v>
      </c>
      <c r="G1937" t="s">
        <v>34</v>
      </c>
      <c r="H1937" s="52" t="str">
        <f>VLOOKUP(Tabla3[[#This Row],[Site]],'Important Info!'!$A$1:$J$135,10,FALSE)</f>
        <v>https://tools.sig.systems/site/details/141</v>
      </c>
      <c r="I1937" t="s">
        <v>130</v>
      </c>
      <c r="J1937" t="s">
        <v>41</v>
      </c>
      <c r="K1937" s="79" t="str">
        <f>VLOOKUP(Tabla3[[#This Row],[Site]],'Important Info!'!$A$1:$H$135,8,FALSE)</f>
        <v>-</v>
      </c>
      <c r="L1937" s="52" t="str">
        <f>VLOOKUP(Tabla3[[#This Row],[Site]],'Important Info!'!$A$1:$F$135,2,FALSE)</f>
        <v>7, 25</v>
      </c>
      <c r="M1937" s="52" t="str">
        <f>VLOOKUP(Tabla3[[#This Row],[Site]],'Important Info!'!$A$1:$F$135,3,FALSE)</f>
        <v>15, 17, 18</v>
      </c>
      <c r="N1937" s="52" t="str">
        <f>VLOOKUP(Tabla3[[#This Row],[Site]],'Important Info!'!$A$1:$F$135,4,FALSE)</f>
        <v>-</v>
      </c>
      <c r="O1937" s="52" t="str">
        <f>VLOOKUP(Tabla3[[#This Row],[Site]],'Important Info!'!$A$1:$F$135,5,FALSE)</f>
        <v>1, 24</v>
      </c>
      <c r="P1937" s="52" t="str">
        <f>VLOOKUP(Tabla3[[#This Row],[Site]],'Important Info!'!$A$1:$F$135,6,FALSE)</f>
        <v>3, 15, 17</v>
      </c>
      <c r="Q1937" s="91">
        <f>VLOOKUP(Tabla3[[#This Row],[Site]],'Important Info!'!$A$1:$J$135,9,FALSE)</f>
        <v>141</v>
      </c>
    </row>
    <row r="1938" spans="1:17" x14ac:dyDescent="0.25">
      <c r="A1938" t="str">
        <f>+Tabla3[[#This Row],[Site]]&amp;Tabla3[[#This Row],[Split]]</f>
        <v>(AS) Stevinson JLR (NO TOURS)20</v>
      </c>
      <c r="B1938">
        <v>20</v>
      </c>
      <c r="C1938">
        <v>15</v>
      </c>
      <c r="D1938" t="s">
        <v>44</v>
      </c>
      <c r="E1938" t="s">
        <v>53</v>
      </c>
      <c r="F1938" t="s">
        <v>93</v>
      </c>
      <c r="G1938" t="s">
        <v>45</v>
      </c>
      <c r="H1938" s="52" t="str">
        <f>VLOOKUP(Tabla3[[#This Row],[Site]],'Important Info!'!$A$1:$J$135,10,FALSE)</f>
        <v>https://tools.sig.systems/site/details/204</v>
      </c>
      <c r="I1938" s="2"/>
      <c r="J1938" t="s">
        <v>41</v>
      </c>
      <c r="K1938" s="79" t="str">
        <f>VLOOKUP(Tabla3[[#This Row],[Site]],'Important Info!'!$A$1:$H$135,8,FALSE)</f>
        <v>-</v>
      </c>
      <c r="L1938" s="52">
        <f>VLOOKUP(Tabla3[[#This Row],[Site]],'Important Info!'!$A$1:$F$135,2,FALSE)</f>
        <v>5</v>
      </c>
      <c r="M1938" s="52">
        <f>VLOOKUP(Tabla3[[#This Row],[Site]],'Important Info!'!$A$1:$F$135,3,FALSE)</f>
        <v>4</v>
      </c>
      <c r="N1938" s="52" t="str">
        <f>VLOOKUP(Tabla3[[#This Row],[Site]],'Important Info!'!$A$1:$F$135,4,FALSE)</f>
        <v>-</v>
      </c>
      <c r="O1938" s="52">
        <f>VLOOKUP(Tabla3[[#This Row],[Site]],'Important Info!'!$A$1:$F$135,5,FALSE)</f>
        <v>3</v>
      </c>
      <c r="P1938" s="52" t="str">
        <f>VLOOKUP(Tabla3[[#This Row],[Site]],'Important Info!'!$A$1:$F$135,6,FALSE)</f>
        <v>1, 4, 15, 16</v>
      </c>
      <c r="Q1938" s="91">
        <f>VLOOKUP(Tabla3[[#This Row],[Site]],'Important Info!'!$A$1:$J$135,9,FALSE)</f>
        <v>204</v>
      </c>
    </row>
    <row r="1939" spans="1:17" x14ac:dyDescent="0.25">
      <c r="A1939" t="str">
        <f>+Tabla3[[#This Row],[Site]]&amp;Tabla3[[#This Row],[Split]]</f>
        <v>(HUD) CDJR of Greensboro20</v>
      </c>
      <c r="B1939">
        <v>20</v>
      </c>
      <c r="C1939">
        <v>15</v>
      </c>
      <c r="D1939" t="s">
        <v>62</v>
      </c>
      <c r="E1939" t="s">
        <v>35</v>
      </c>
      <c r="F1939" t="s">
        <v>185</v>
      </c>
      <c r="G1939" t="s">
        <v>491</v>
      </c>
      <c r="H1939" s="52" t="str">
        <f>VLOOKUP(Tabla3[[#This Row],[Site]],'Important Info!'!$A$1:$J$135,10,FALSE)</f>
        <v>https://tools.sig.systems/site/details/215</v>
      </c>
      <c r="I1939" s="2" t="s">
        <v>184</v>
      </c>
      <c r="J1939" t="s">
        <v>36</v>
      </c>
      <c r="K1939" s="79" t="str">
        <f>VLOOKUP(Tabla3[[#This Row],[Site]],'Important Info!'!$A$1:$H$135,8,FALSE)</f>
        <v>-</v>
      </c>
      <c r="L1939" s="52" t="str">
        <f>VLOOKUP(Tabla3[[#This Row],[Site]],'Important Info!'!$A$1:$F$135,2,FALSE)</f>
        <v>2, 12</v>
      </c>
      <c r="M1939" s="52" t="str">
        <f>VLOOKUP(Tabla3[[#This Row],[Site]],'Important Info!'!$A$1:$F$135,3,FALSE)</f>
        <v>-</v>
      </c>
      <c r="N1939" s="52" t="str">
        <f>VLOOKUP(Tabla3[[#This Row],[Site]],'Important Info!'!$A$1:$F$135,4,FALSE)</f>
        <v>-</v>
      </c>
      <c r="O1939" s="52" t="str">
        <f>VLOOKUP(Tabla3[[#This Row],[Site]],'Important Info!'!$A$1:$F$135,5,FALSE)</f>
        <v>3, 13</v>
      </c>
      <c r="P1939" s="52" t="str">
        <f>VLOOKUP(Tabla3[[#This Row],[Site]],'Important Info!'!$A$1:$F$135,6,FALSE)</f>
        <v>1, 17</v>
      </c>
      <c r="Q1939" s="91">
        <f>VLOOKUP(Tabla3[[#This Row],[Site]],'Important Info!'!$A$1:$J$135,9,FALSE)</f>
        <v>215</v>
      </c>
    </row>
    <row r="1940" spans="1:17" x14ac:dyDescent="0.25">
      <c r="A1940" t="str">
        <f>+Tabla3[[#This Row],[Site]]&amp;Tabla3[[#This Row],[Split]]</f>
        <v>(PE) JLR Darien PDI (NO TOURS)20</v>
      </c>
      <c r="B1940">
        <v>20</v>
      </c>
      <c r="C1940">
        <v>15</v>
      </c>
      <c r="D1940" t="s">
        <v>485</v>
      </c>
      <c r="E1940" t="s">
        <v>35</v>
      </c>
      <c r="F1940" t="s">
        <v>98</v>
      </c>
      <c r="G1940" t="s">
        <v>490</v>
      </c>
      <c r="H1940" s="52" t="str">
        <f>VLOOKUP(Tabla3[[#This Row],[Site]],'Important Info!'!$A$1:$J$135,10,FALSE)</f>
        <v>https://tools.sig.systems/site/details/187</v>
      </c>
      <c r="I1940" t="s">
        <v>175</v>
      </c>
      <c r="J1940" t="s">
        <v>41</v>
      </c>
      <c r="K1940" s="79" t="str">
        <f>VLOOKUP(Tabla3[[#This Row],[Site]],'Important Info!'!$A$1:$H$135,8,FALSE)</f>
        <v>-</v>
      </c>
      <c r="L1940" s="52">
        <f>VLOOKUP(Tabla3[[#This Row],[Site]],'Important Info!'!$A$1:$F$135,2,FALSE)</f>
        <v>1</v>
      </c>
      <c r="M1940" s="52" t="str">
        <f>VLOOKUP(Tabla3[[#This Row],[Site]],'Important Info!'!$A$1:$F$135,3,FALSE)</f>
        <v>-</v>
      </c>
      <c r="N1940" s="52" t="str">
        <f>VLOOKUP(Tabla3[[#This Row],[Site]],'Important Info!'!$A$1:$F$135,4,FALSE)</f>
        <v>-</v>
      </c>
      <c r="O1940" s="52">
        <f>VLOOKUP(Tabla3[[#This Row],[Site]],'Important Info!'!$A$1:$F$135,5,FALSE)</f>
        <v>1</v>
      </c>
      <c r="P1940" s="52">
        <f>VLOOKUP(Tabla3[[#This Row],[Site]],'Important Info!'!$A$1:$F$135,6,FALSE)</f>
        <v>7</v>
      </c>
      <c r="Q1940" s="91">
        <f>VLOOKUP(Tabla3[[#This Row],[Site]],'Important Info!'!$A$1:$J$135,9,FALSE)</f>
        <v>187</v>
      </c>
    </row>
    <row r="1941" spans="1:17" x14ac:dyDescent="0.25">
      <c r="A1941" t="str">
        <f>+Tabla3[[#This Row],[Site]]&amp;Tabla3[[#This Row],[Split]]</f>
        <v>(AS) Coggin Acura Ft Pierce (NO TOURS)20</v>
      </c>
      <c r="B1941">
        <v>20</v>
      </c>
      <c r="C1941">
        <v>16</v>
      </c>
      <c r="D1941" t="s">
        <v>62</v>
      </c>
      <c r="E1941" t="s">
        <v>35</v>
      </c>
      <c r="F1941" t="s">
        <v>500</v>
      </c>
      <c r="G1941" t="s">
        <v>490</v>
      </c>
      <c r="H1941" s="52" t="str">
        <f>VLOOKUP(Tabla3[[#This Row],[Site]],'Important Info!'!$A$1:$J$135,10,FALSE)</f>
        <v>https://tools.sig.systems/site/details/118</v>
      </c>
      <c r="I1941" s="2" t="s">
        <v>179</v>
      </c>
      <c r="J1941" t="s">
        <v>41</v>
      </c>
      <c r="K1941" s="79" t="str">
        <f>VLOOKUP(Tabla3[[#This Row],[Site]],'Important Info!'!$A$1:$H$135,8,FALSE)</f>
        <v>-</v>
      </c>
      <c r="L1941" s="52" t="str">
        <f>VLOOKUP(Tabla3[[#This Row],[Site]],'Important Info!'!$A$1:$F$135,2,FALSE)</f>
        <v>-</v>
      </c>
      <c r="M1941" s="52">
        <f>VLOOKUP(Tabla3[[#This Row],[Site]],'Important Info!'!$A$1:$F$135,3,FALSE)</f>
        <v>6</v>
      </c>
      <c r="N1941" s="52" t="str">
        <f>VLOOKUP(Tabla3[[#This Row],[Site]],'Important Info!'!$A$1:$F$135,4,FALSE)</f>
        <v>-</v>
      </c>
      <c r="O1941" s="52" t="str">
        <f>VLOOKUP(Tabla3[[#This Row],[Site]],'Important Info!'!$A$1:$F$135,5,FALSE)</f>
        <v>4, 6</v>
      </c>
      <c r="P1941" s="52">
        <f>VLOOKUP(Tabla3[[#This Row],[Site]],'Important Info!'!$A$1:$F$135,6,FALSE)</f>
        <v>1</v>
      </c>
      <c r="Q1941" s="91">
        <f>VLOOKUP(Tabla3[[#This Row],[Site]],'Important Info!'!$A$1:$J$135,9,FALSE)</f>
        <v>118</v>
      </c>
    </row>
    <row r="1942" spans="1:17" x14ac:dyDescent="0.25">
      <c r="A1942" t="str">
        <f>+Tabla3[[#This Row],[Site]]&amp;Tabla3[[#This Row],[Split]]</f>
        <v>(AS) Park Place Acura (NO TOURS)20</v>
      </c>
      <c r="B1942">
        <v>20</v>
      </c>
      <c r="C1942">
        <v>16</v>
      </c>
      <c r="D1942" t="s">
        <v>33</v>
      </c>
      <c r="E1942" t="s">
        <v>46</v>
      </c>
      <c r="F1942" t="s">
        <v>513</v>
      </c>
      <c r="G1942" t="s">
        <v>34</v>
      </c>
      <c r="H1942" s="52" t="str">
        <f>VLOOKUP(Tabla3[[#This Row],[Site]],'Important Info!'!$A$1:$J$135,10,FALSE)</f>
        <v>https://tools.sig.systems/site/details/259</v>
      </c>
      <c r="I1942" s="63" t="s">
        <v>127</v>
      </c>
      <c r="J1942" t="s">
        <v>41</v>
      </c>
      <c r="K1942" s="79" t="str">
        <f>VLOOKUP(Tabla3[[#This Row],[Site]],'Important Info!'!$A$1:$H$135,8,FALSE)</f>
        <v>-</v>
      </c>
      <c r="L1942" s="52" t="str">
        <f>VLOOKUP(Tabla3[[#This Row],[Site]],'Important Info!'!$A$1:$F$135,2,FALSE)</f>
        <v>1, 2, 14, 16</v>
      </c>
      <c r="M1942" s="52" t="str">
        <f>VLOOKUP(Tabla3[[#This Row],[Site]],'Important Info!'!$A$1:$F$135,3,FALSE)</f>
        <v>-</v>
      </c>
      <c r="N1942" s="52" t="str">
        <f>VLOOKUP(Tabla3[[#This Row],[Site]],'Important Info!'!$A$1:$F$135,4,FALSE)</f>
        <v>-</v>
      </c>
      <c r="O1942" s="52" t="str">
        <f>VLOOKUP(Tabla3[[#This Row],[Site]],'Important Info!'!$A$1:$F$135,5,FALSE)</f>
        <v>1, 7, 13</v>
      </c>
      <c r="P1942" s="52" t="str">
        <f>VLOOKUP(Tabla3[[#This Row],[Site]],'Important Info!'!$A$1:$F$135,6,FALSE)</f>
        <v>-</v>
      </c>
      <c r="Q1942" s="91">
        <f>VLOOKUP(Tabla3[[#This Row],[Site]],'Important Info!'!$A$1:$J$135,9,FALSE)</f>
        <v>259</v>
      </c>
    </row>
    <row r="1943" spans="1:17" x14ac:dyDescent="0.25">
      <c r="A1943" t="str">
        <f>+Tabla3[[#This Row],[Site]]&amp;Tabla3[[#This Row],[Split]]</f>
        <v>(DT) W Houston20</v>
      </c>
      <c r="B1943">
        <v>20</v>
      </c>
      <c r="C1943">
        <v>16</v>
      </c>
      <c r="D1943" t="s">
        <v>33</v>
      </c>
      <c r="E1943" t="s">
        <v>46</v>
      </c>
      <c r="F1943" t="s">
        <v>69</v>
      </c>
      <c r="G1943" t="s">
        <v>34</v>
      </c>
      <c r="H1943" s="52" t="str">
        <f>VLOOKUP(Tabla3[[#This Row],[Site]],'Important Info!'!$A$1:$J$135,10,FALSE)</f>
        <v>https://tools.sig.systems/site/details/197</v>
      </c>
      <c r="I1943" s="43"/>
      <c r="J1943" t="s">
        <v>41</v>
      </c>
      <c r="K1943" s="79" t="str">
        <f>VLOOKUP(Tabla3[[#This Row],[Site]],'Important Info!'!$A$1:$H$135,8,FALSE)</f>
        <v>-</v>
      </c>
      <c r="L1943" s="52">
        <f>VLOOKUP(Tabla3[[#This Row],[Site]],'Important Info!'!$A$1:$F$135,2,FALSE)</f>
        <v>7</v>
      </c>
      <c r="M1943" s="52">
        <f>VLOOKUP(Tabla3[[#This Row],[Site]],'Important Info!'!$A$1:$F$135,3,FALSE)</f>
        <v>2</v>
      </c>
      <c r="N1943" s="52" t="str">
        <f>VLOOKUP(Tabla3[[#This Row],[Site]],'Important Info!'!$A$1:$F$135,4,FALSE)</f>
        <v>-</v>
      </c>
      <c r="O1943" s="52">
        <f>VLOOKUP(Tabla3[[#This Row],[Site]],'Important Info!'!$A$1:$F$135,5,FALSE)</f>
        <v>14</v>
      </c>
      <c r="P1943" s="52" t="str">
        <f>VLOOKUP(Tabla3[[#This Row],[Site]],'Important Info!'!$A$1:$F$135,6,FALSE)</f>
        <v>2, 3, 7, 10</v>
      </c>
      <c r="Q1943" s="91">
        <f>VLOOKUP(Tabla3[[#This Row],[Site]],'Important Info!'!$A$1:$J$135,9,FALSE)</f>
        <v>197</v>
      </c>
    </row>
    <row r="1944" spans="1:17" x14ac:dyDescent="0.25">
      <c r="A1944" t="str">
        <f>+Tabla3[[#This Row],[Site]]&amp;Tabla3[[#This Row],[Split]]</f>
        <v>(DT) Wichita20</v>
      </c>
      <c r="B1944">
        <v>20</v>
      </c>
      <c r="C1944">
        <v>16</v>
      </c>
      <c r="D1944" t="s">
        <v>33</v>
      </c>
      <c r="E1944" t="s">
        <v>46</v>
      </c>
      <c r="F1944" t="s">
        <v>131</v>
      </c>
      <c r="G1944" t="s">
        <v>34</v>
      </c>
      <c r="H1944" s="52" t="str">
        <f>VLOOKUP(Tabla3[[#This Row],[Site]],'Important Info!'!$A$1:$J$135,10,FALSE)</f>
        <v>https://tools.sig.systems/site/details/257</v>
      </c>
      <c r="J1944" t="s">
        <v>41</v>
      </c>
      <c r="K1944" s="79" t="str">
        <f>VLOOKUP(Tabla3[[#This Row],[Site]],'Important Info!'!$A$1:$H$135,8,FALSE)</f>
        <v>-</v>
      </c>
      <c r="L1944" s="52" t="str">
        <f>VLOOKUP(Tabla3[[#This Row],[Site]],'Important Info!'!$A$1:$F$135,2,FALSE)</f>
        <v>-</v>
      </c>
      <c r="M1944" s="52" t="str">
        <f>VLOOKUP(Tabla3[[#This Row],[Site]],'Important Info!'!$A$1:$F$135,3,FALSE)</f>
        <v>10, 11</v>
      </c>
      <c r="N1944" s="52" t="str">
        <f>VLOOKUP(Tabla3[[#This Row],[Site]],'Important Info!'!$A$1:$F$135,4,FALSE)</f>
        <v>-</v>
      </c>
      <c r="O1944" s="52" t="str">
        <f>VLOOKUP(Tabla3[[#This Row],[Site]],'Important Info!'!$A$1:$F$135,5,FALSE)</f>
        <v>-</v>
      </c>
      <c r="P1944" s="52" t="str">
        <f>VLOOKUP(Tabla3[[#This Row],[Site]],'Important Info!'!$A$1:$F$135,6,FALSE)</f>
        <v>1, 5, 6, 10</v>
      </c>
      <c r="Q1944" s="91">
        <f>VLOOKUP(Tabla3[[#This Row],[Site]],'Important Info!'!$A$1:$J$135,9,FALSE)</f>
        <v>257</v>
      </c>
    </row>
    <row r="1945" spans="1:17" x14ac:dyDescent="0.25">
      <c r="A1945" t="str">
        <f>+Tabla3[[#This Row],[Site]]&amp;Tabla3[[#This Row],[Split]]</f>
        <v>(HUD) Honda Greensboro20</v>
      </c>
      <c r="B1945">
        <v>20</v>
      </c>
      <c r="C1945">
        <v>16</v>
      </c>
      <c r="D1945" t="s">
        <v>62</v>
      </c>
      <c r="E1945" t="s">
        <v>35</v>
      </c>
      <c r="F1945" t="s">
        <v>85</v>
      </c>
      <c r="G1945" t="s">
        <v>490</v>
      </c>
      <c r="H1945" s="52" t="str">
        <f>VLOOKUP(Tabla3[[#This Row],[Site]],'Important Info!'!$A$1:$J$135,10,FALSE)</f>
        <v>https://tools.sig.systems/site/details/230</v>
      </c>
      <c r="I1945" t="s">
        <v>186</v>
      </c>
      <c r="J1945" t="s">
        <v>41</v>
      </c>
      <c r="K1945" s="79" t="str">
        <f>VLOOKUP(Tabla3[[#This Row],[Site]],'Important Info!'!$A$1:$H$135,8,FALSE)</f>
        <v>-</v>
      </c>
      <c r="L1945" s="52" t="str">
        <f>VLOOKUP(Tabla3[[#This Row],[Site]],'Important Info!'!$A$1:$F$135,2,FALSE)</f>
        <v>1, 3,  15, 16, 22</v>
      </c>
      <c r="M1945" s="52" t="str">
        <f>VLOOKUP(Tabla3[[#This Row],[Site]],'Important Info!'!$A$1:$F$135,3,FALSE)</f>
        <v>-</v>
      </c>
      <c r="N1945" s="52" t="str">
        <f>VLOOKUP(Tabla3[[#This Row],[Site]],'Important Info!'!$A$1:$F$135,4,FALSE)</f>
        <v>-</v>
      </c>
      <c r="O1945" s="52" t="str">
        <f>VLOOKUP(Tabla3[[#This Row],[Site]],'Important Info!'!$A$1:$F$135,5,FALSE)</f>
        <v>3, 20</v>
      </c>
      <c r="P1945" s="52">
        <f>VLOOKUP(Tabla3[[#This Row],[Site]],'Important Info!'!$A$1:$F$135,6,FALSE)</f>
        <v>26</v>
      </c>
      <c r="Q1945" s="91">
        <f>VLOOKUP(Tabla3[[#This Row],[Site]],'Important Info!'!$A$1:$J$135,9,FALSE)</f>
        <v>230</v>
      </c>
    </row>
    <row r="1946" spans="1:17" x14ac:dyDescent="0.25">
      <c r="A1946" t="str">
        <f>+Tabla3[[#This Row],[Site]]&amp;Tabla3[[#This Row],[Split]]</f>
        <v>(ML) McLarty Gray-Daniels Toyota Nissan20</v>
      </c>
      <c r="B1946">
        <v>20</v>
      </c>
      <c r="C1946">
        <v>16</v>
      </c>
      <c r="D1946" t="s">
        <v>33</v>
      </c>
      <c r="E1946" t="s">
        <v>46</v>
      </c>
      <c r="F1946" t="s">
        <v>90</v>
      </c>
      <c r="G1946" t="s">
        <v>34</v>
      </c>
      <c r="H1946" s="52" t="str">
        <f>VLOOKUP(Tabla3[[#This Row],[Site]],'Important Info!'!$A$1:$J$135,10,FALSE)</f>
        <v>https://tools.sig.systems/site/details/152</v>
      </c>
      <c r="I1946" s="2" t="s">
        <v>150</v>
      </c>
      <c r="J1946" t="s">
        <v>41</v>
      </c>
      <c r="K1946" s="79" t="str">
        <f>VLOOKUP(Tabla3[[#This Row],[Site]],'Important Info!'!$A$1:$H$135,8,FALSE)</f>
        <v>-</v>
      </c>
      <c r="L1946" s="52" t="str">
        <f>VLOOKUP(Tabla3[[#This Row],[Site]],'Important Info!'!$A$1:$F$135,2,FALSE)</f>
        <v>-</v>
      </c>
      <c r="M1946" s="52" t="str">
        <f>VLOOKUP(Tabla3[[#This Row],[Site]],'Important Info!'!$A$1:$F$135,3,FALSE)</f>
        <v>8, 11, 39, 43</v>
      </c>
      <c r="N1946" s="52" t="str">
        <f>VLOOKUP(Tabla3[[#This Row],[Site]],'Important Info!'!$A$1:$F$135,4,FALSE)</f>
        <v>-</v>
      </c>
      <c r="O1946" s="52" t="str">
        <f>VLOOKUP(Tabla3[[#This Row],[Site]],'Important Info!'!$A$1:$F$135,5,FALSE)</f>
        <v>6, 11, 15, 18</v>
      </c>
      <c r="P1946" s="52" t="str">
        <f>VLOOKUP(Tabla3[[#This Row],[Site]],'Important Info!'!$A$1:$F$135,6,FALSE)</f>
        <v>7, 8, 9</v>
      </c>
      <c r="Q1946" s="91">
        <f>VLOOKUP(Tabla3[[#This Row],[Site]],'Important Info!'!$A$1:$J$135,9,FALSE)</f>
        <v>152</v>
      </c>
    </row>
    <row r="1947" spans="1:17" x14ac:dyDescent="0.25">
      <c r="A1947" t="str">
        <f>+Tabla3[[#This Row],[Site]]&amp;Tabla3[[#This Row],[Split]]</f>
        <v>(RV) Sonny's Camp N Travel Concord20</v>
      </c>
      <c r="B1947">
        <v>20</v>
      </c>
      <c r="C1947">
        <v>16</v>
      </c>
      <c r="D1947" t="s">
        <v>62</v>
      </c>
      <c r="E1947" t="s">
        <v>35</v>
      </c>
      <c r="F1947" t="s">
        <v>188</v>
      </c>
      <c r="G1947" t="s">
        <v>490</v>
      </c>
      <c r="H1947" s="52" t="str">
        <f>VLOOKUP(Tabla3[[#This Row],[Site]],'Important Info!'!$A$1:$J$135,10,FALSE)</f>
        <v>https://tools.sig.systems/site/details/183</v>
      </c>
      <c r="J1947" t="s">
        <v>41</v>
      </c>
      <c r="K1947" s="79" t="str">
        <f>VLOOKUP(Tabla3[[#This Row],[Site]],'Important Info!'!$A$1:$H$135,8,FALSE)</f>
        <v>-</v>
      </c>
      <c r="L1947" s="52">
        <f>VLOOKUP(Tabla3[[#This Row],[Site]],'Important Info!'!$A$1:$F$135,2,FALSE)</f>
        <v>1</v>
      </c>
      <c r="M1947" s="52" t="str">
        <f>VLOOKUP(Tabla3[[#This Row],[Site]],'Important Info!'!$A$1:$F$135,3,FALSE)</f>
        <v>-</v>
      </c>
      <c r="N1947" s="52" t="str">
        <f>VLOOKUP(Tabla3[[#This Row],[Site]],'Important Info!'!$A$1:$F$135,4,FALSE)</f>
        <v>-</v>
      </c>
      <c r="O1947" s="52">
        <f>VLOOKUP(Tabla3[[#This Row],[Site]],'Important Info!'!$A$1:$F$135,5,FALSE)</f>
        <v>7</v>
      </c>
      <c r="P1947" s="52" t="str">
        <f>VLOOKUP(Tabla3[[#This Row],[Site]],'Important Info!'!$A$1:$F$135,6,FALSE)</f>
        <v>6, 7, 8, 9</v>
      </c>
      <c r="Q1947" s="91">
        <f>VLOOKUP(Tabla3[[#This Row],[Site]],'Important Info!'!$A$1:$J$135,9,FALSE)</f>
        <v>183</v>
      </c>
    </row>
    <row r="1948" spans="1:17" x14ac:dyDescent="0.25">
      <c r="A1948" t="str">
        <f>+Tabla3[[#This Row],[Site]]&amp;Tabla3[[#This Row],[Split]]</f>
        <v>(AS) Audi of North Atlanta (NO TOURS)20</v>
      </c>
      <c r="B1948">
        <v>20</v>
      </c>
      <c r="C1948">
        <v>17</v>
      </c>
      <c r="D1948" t="s">
        <v>62</v>
      </c>
      <c r="E1948" t="s">
        <v>35</v>
      </c>
      <c r="F1948" t="s">
        <v>499</v>
      </c>
      <c r="G1948" t="s">
        <v>490</v>
      </c>
      <c r="H1948" s="52" t="str">
        <f>VLOOKUP(Tabla3[[#This Row],[Site]],'Important Info!'!$A$1:$J$135,10,FALSE)</f>
        <v>https://tools.sig.systems/site/details/124</v>
      </c>
      <c r="I1948" s="2" t="s">
        <v>166</v>
      </c>
      <c r="J1948" t="s">
        <v>41</v>
      </c>
      <c r="K1948" s="79" t="str">
        <f>VLOOKUP(Tabla3[[#This Row],[Site]],'Important Info!'!$A$1:$H$135,8,FALSE)</f>
        <v>-</v>
      </c>
      <c r="L1948" s="52" t="str">
        <f>VLOOKUP(Tabla3[[#This Row],[Site]],'Important Info!'!$A$1:$F$135,2,FALSE)</f>
        <v>1, 5, 16, 54</v>
      </c>
      <c r="M1948" s="52" t="str">
        <f>VLOOKUP(Tabla3[[#This Row],[Site]],'Important Info!'!$A$1:$F$135,3,FALSE)</f>
        <v>-</v>
      </c>
      <c r="N1948" s="52" t="str">
        <f>VLOOKUP(Tabla3[[#This Row],[Site]],'Important Info!'!$A$1:$F$135,4,FALSE)</f>
        <v>-</v>
      </c>
      <c r="O1948" s="52" t="str">
        <f>VLOOKUP(Tabla3[[#This Row],[Site]],'Important Info!'!$A$1:$F$135,5,FALSE)</f>
        <v>3, 16</v>
      </c>
      <c r="P1948" s="52" t="str">
        <f>VLOOKUP(Tabla3[[#This Row],[Site]],'Important Info!'!$A$1:$F$135,6,FALSE)</f>
        <v>2, 5, 6</v>
      </c>
      <c r="Q1948" s="91">
        <f>VLOOKUP(Tabla3[[#This Row],[Site]],'Important Info!'!$A$1:$J$135,9,FALSE)</f>
        <v>124</v>
      </c>
    </row>
    <row r="1949" spans="1:17" x14ac:dyDescent="0.25">
      <c r="A1949" t="str">
        <f>+Tabla3[[#This Row],[Site]]&amp;Tabla3[[#This Row],[Split]]</f>
        <v>(AS) Stevinson Porsche of Littleton (NO TOURS)20</v>
      </c>
      <c r="B1949">
        <v>20</v>
      </c>
      <c r="C1949">
        <v>17</v>
      </c>
      <c r="D1949" t="s">
        <v>44</v>
      </c>
      <c r="E1949" t="s">
        <v>53</v>
      </c>
      <c r="F1949" t="s">
        <v>78</v>
      </c>
      <c r="G1949" t="s">
        <v>45</v>
      </c>
      <c r="H1949" s="52" t="str">
        <f>VLOOKUP(Tabla3[[#This Row],[Site]],'Important Info!'!$A$1:$J$135,10,FALSE)</f>
        <v>https://tools.sig.systems/site/details/242</v>
      </c>
      <c r="J1949" t="s">
        <v>41</v>
      </c>
      <c r="K1949" s="79" t="str">
        <f>VLOOKUP(Tabla3[[#This Row],[Site]],'Important Info!'!$A$1:$H$135,8,FALSE)</f>
        <v>-</v>
      </c>
      <c r="L1949" s="52" t="str">
        <f>VLOOKUP(Tabla3[[#This Row],[Site]],'Important Info!'!$A$1:$F$135,2,FALSE)</f>
        <v>3, 4</v>
      </c>
      <c r="M1949" s="52">
        <f>VLOOKUP(Tabla3[[#This Row],[Site]],'Important Info!'!$A$1:$F$135,3,FALSE)</f>
        <v>2</v>
      </c>
      <c r="N1949" s="52" t="str">
        <f>VLOOKUP(Tabla3[[#This Row],[Site]],'Important Info!'!$A$1:$F$135,4,FALSE)</f>
        <v>-</v>
      </c>
      <c r="O1949" s="52" t="str">
        <f>VLOOKUP(Tabla3[[#This Row],[Site]],'Important Info!'!$A$1:$F$135,5,FALSE)</f>
        <v>-</v>
      </c>
      <c r="P1949" s="52" t="str">
        <f>VLOOKUP(Tabla3[[#This Row],[Site]],'Important Info!'!$A$1:$F$135,6,FALSE)</f>
        <v>3, 4</v>
      </c>
      <c r="Q1949" s="91">
        <f>VLOOKUP(Tabla3[[#This Row],[Site]],'Important Info!'!$A$1:$J$135,9,FALSE)</f>
        <v>242</v>
      </c>
    </row>
    <row r="1950" spans="1:17" x14ac:dyDescent="0.25">
      <c r="A1950" t="str">
        <f>+Tabla3[[#This Row],[Site]]&amp;Tabla3[[#This Row],[Split]]</f>
        <v>(HUD) Paint and Body Center (NO TOURS)20</v>
      </c>
      <c r="B1950">
        <v>20</v>
      </c>
      <c r="C1950">
        <v>17</v>
      </c>
      <c r="D1950" t="s">
        <v>62</v>
      </c>
      <c r="E1950" t="s">
        <v>35</v>
      </c>
      <c r="F1950" t="s">
        <v>110</v>
      </c>
      <c r="G1950" t="s">
        <v>490</v>
      </c>
      <c r="H1950" s="52" t="str">
        <f>VLOOKUP(Tabla3[[#This Row],[Site]],'Important Info!'!$A$1:$J$135,10,FALSE)</f>
        <v>https://tools.sig.systems/site/details/256</v>
      </c>
      <c r="I1950" t="s">
        <v>184</v>
      </c>
      <c r="J1950" t="s">
        <v>41</v>
      </c>
      <c r="K1950" s="79" t="str">
        <f>VLOOKUP(Tabla3[[#This Row],[Site]],'Important Info!'!$A$1:$H$135,8,FALSE)</f>
        <v>-</v>
      </c>
      <c r="L1950" s="52" t="str">
        <f>VLOOKUP(Tabla3[[#This Row],[Site]],'Important Info!'!$A$1:$F$135,2,FALSE)</f>
        <v>-</v>
      </c>
      <c r="M1950" s="52">
        <f>VLOOKUP(Tabla3[[#This Row],[Site]],'Important Info!'!$A$1:$F$135,3,FALSE)</f>
        <v>1</v>
      </c>
      <c r="N1950" s="52" t="str">
        <f>VLOOKUP(Tabla3[[#This Row],[Site]],'Important Info!'!$A$1:$F$135,4,FALSE)</f>
        <v>-</v>
      </c>
      <c r="O1950" s="52" t="str">
        <f>VLOOKUP(Tabla3[[#This Row],[Site]],'Important Info!'!$A$1:$F$135,5,FALSE)</f>
        <v>-</v>
      </c>
      <c r="P1950" s="52" t="str">
        <f>VLOOKUP(Tabla3[[#This Row],[Site]],'Important Info!'!$A$1:$F$135,6,FALSE)</f>
        <v>-</v>
      </c>
      <c r="Q1950" s="91">
        <f>VLOOKUP(Tabla3[[#This Row],[Site]],'Important Info!'!$A$1:$J$135,9,FALSE)</f>
        <v>256</v>
      </c>
    </row>
    <row r="1951" spans="1:17" x14ac:dyDescent="0.25">
      <c r="A1951" t="str">
        <f>+Tabla3[[#This Row],[Site]]&amp;Tabla3[[#This Row],[Split]]</f>
        <v>(KG) Baytown GMC Buick - Remote Lot (NO TOURS)20</v>
      </c>
      <c r="B1951">
        <v>20</v>
      </c>
      <c r="C1951">
        <v>17</v>
      </c>
      <c r="D1951" t="s">
        <v>60</v>
      </c>
      <c r="E1951" t="s">
        <v>46</v>
      </c>
      <c r="F1951" t="s">
        <v>167</v>
      </c>
      <c r="G1951" t="s">
        <v>41</v>
      </c>
      <c r="H1951" s="52" t="str">
        <f>VLOOKUP(Tabla3[[#This Row],[Site]],'Important Info!'!$A$1:$J$135,10,FALSE)</f>
        <v>https://tools.sig.systems/site/details/311</v>
      </c>
      <c r="J1951" t="s">
        <v>41</v>
      </c>
      <c r="K1951" s="79" t="s">
        <v>168</v>
      </c>
      <c r="L1951" s="52" t="str">
        <f>VLOOKUP(Tabla3[[#This Row],[Site]],'Important Info!'!$A$1:$F$135,2,FALSE)</f>
        <v>-</v>
      </c>
      <c r="M1951" s="52" t="str">
        <f>VLOOKUP(Tabla3[[#This Row],[Site]],'Important Info!'!$A$1:$F$135,3,FALSE)</f>
        <v>7, 8</v>
      </c>
      <c r="N1951" s="52" t="str">
        <f>VLOOKUP(Tabla3[[#This Row],[Site]],'Important Info!'!$A$1:$F$135,4,FALSE)</f>
        <v>-</v>
      </c>
      <c r="O1951" s="52" t="str">
        <f>VLOOKUP(Tabla3[[#This Row],[Site]],'Important Info!'!$A$1:$F$135,5,FALSE)</f>
        <v>-</v>
      </c>
      <c r="P1951" s="52" t="str">
        <f>VLOOKUP(Tabla3[[#This Row],[Site]],'Important Info!'!$A$1:$F$135,6,FALSE)</f>
        <v>-</v>
      </c>
      <c r="Q1951" s="91">
        <f>VLOOKUP(Tabla3[[#This Row],[Site]],'Important Info!'!$A$1:$J$135,9,FALSE)</f>
        <v>311</v>
      </c>
    </row>
    <row r="1952" spans="1:17" x14ac:dyDescent="0.25">
      <c r="A1952" t="str">
        <f>+Tabla3[[#This Row],[Site]]&amp;Tabla3[[#This Row],[Split]]</f>
        <v>(KG) Baytown GMC Buick (NO TOURS)20</v>
      </c>
      <c r="B1952">
        <v>20</v>
      </c>
      <c r="C1952">
        <v>17</v>
      </c>
      <c r="D1952" t="s">
        <v>33</v>
      </c>
      <c r="E1952" t="s">
        <v>46</v>
      </c>
      <c r="F1952" t="s">
        <v>132</v>
      </c>
      <c r="G1952" t="s">
        <v>34</v>
      </c>
      <c r="H1952" s="52" t="str">
        <f>VLOOKUP(Tabla3[[#This Row],[Site]],'Important Info!'!$A$1:$J$135,10,FALSE)</f>
        <v>https://tools.sig.systems/site/details/239</v>
      </c>
      <c r="I1952" s="2"/>
      <c r="J1952" t="s">
        <v>41</v>
      </c>
      <c r="K1952" s="79" t="str">
        <f>VLOOKUP(Tabla3[[#This Row],[Site]],'Important Info!'!$A$1:$H$135,8,FALSE)</f>
        <v>-</v>
      </c>
      <c r="L1952" s="52" t="str">
        <f>VLOOKUP(Tabla3[[#This Row],[Site]],'Important Info!'!$A$1:$F$135,2,FALSE)</f>
        <v>1, 5, 7, 21, 22</v>
      </c>
      <c r="M1952" s="52" t="str">
        <f>VLOOKUP(Tabla3[[#This Row],[Site]],'Important Info!'!$A$1:$F$135,3,FALSE)</f>
        <v>-</v>
      </c>
      <c r="N1952" s="52" t="str">
        <f>VLOOKUP(Tabla3[[#This Row],[Site]],'Important Info!'!$A$1:$F$135,4,FALSE)</f>
        <v>-</v>
      </c>
      <c r="O1952" s="52" t="str">
        <f>VLOOKUP(Tabla3[[#This Row],[Site]],'Important Info!'!$A$1:$F$135,5,FALSE)</f>
        <v>2, 10, 15, 24B</v>
      </c>
      <c r="P1952" s="52" t="str">
        <f>VLOOKUP(Tabla3[[#This Row],[Site]],'Important Info!'!$A$1:$F$135,6,FALSE)</f>
        <v>21, 22</v>
      </c>
      <c r="Q1952" s="91">
        <f>VLOOKUP(Tabla3[[#This Row],[Site]],'Important Info!'!$A$1:$J$135,9,FALSE)</f>
        <v>239</v>
      </c>
    </row>
    <row r="1953" spans="1:17" x14ac:dyDescent="0.25">
      <c r="A1953" t="str">
        <f>+Tabla3[[#This Row],[Site]]&amp;Tabla3[[#This Row],[Split]]</f>
        <v>(ML) McLarty Gray-Daniels Ford Lincoln20</v>
      </c>
      <c r="B1953">
        <v>20</v>
      </c>
      <c r="C1953">
        <v>17</v>
      </c>
      <c r="D1953" t="s">
        <v>33</v>
      </c>
      <c r="E1953" t="s">
        <v>46</v>
      </c>
      <c r="F1953" t="s">
        <v>89</v>
      </c>
      <c r="G1953" t="s">
        <v>34</v>
      </c>
      <c r="H1953" s="52" t="str">
        <f>VLOOKUP(Tabla3[[#This Row],[Site]],'Important Info!'!$A$1:$J$135,10,FALSE)</f>
        <v>https://tools.sig.systems/site/details/151</v>
      </c>
      <c r="I1953" s="2" t="s">
        <v>150</v>
      </c>
      <c r="J1953" t="s">
        <v>41</v>
      </c>
      <c r="K1953" s="79" t="str">
        <f>VLOOKUP(Tabla3[[#This Row],[Site]],'Important Info!'!$A$1:$H$135,8,FALSE)</f>
        <v>-</v>
      </c>
      <c r="L1953" s="52">
        <f>VLOOKUP(Tabla3[[#This Row],[Site]],'Important Info!'!$A$1:$F$135,2,FALSE)</f>
        <v>16</v>
      </c>
      <c r="M1953" s="52" t="str">
        <f>VLOOKUP(Tabla3[[#This Row],[Site]],'Important Info!'!$A$1:$F$135,3,FALSE)</f>
        <v>5, 10, 36, 38, 54, 58B</v>
      </c>
      <c r="N1953" s="52" t="str">
        <f>VLOOKUP(Tabla3[[#This Row],[Site]],'Important Info!'!$A$1:$F$135,4,FALSE)</f>
        <v>-</v>
      </c>
      <c r="O1953" s="52" t="str">
        <f>VLOOKUP(Tabla3[[#This Row],[Site]],'Important Info!'!$A$1:$F$135,5,FALSE)</f>
        <v>5, 17, 37</v>
      </c>
      <c r="P1953" s="52" t="str">
        <f>VLOOKUP(Tabla3[[#This Row],[Site]],'Important Info!'!$A$1:$F$135,6,FALSE)</f>
        <v>1, 2, 3, 4</v>
      </c>
      <c r="Q1953" s="91">
        <f>VLOOKUP(Tabla3[[#This Row],[Site]],'Important Info!'!$A$1:$J$135,9,FALSE)</f>
        <v>151</v>
      </c>
    </row>
    <row r="1954" spans="1:17" x14ac:dyDescent="0.25">
      <c r="A1954" t="str">
        <f>+Tabla3[[#This Row],[Site]]&amp;Tabla3[[#This Row],[Split]]</f>
        <v>(TC) Tavernier Creek Marina (NO TOURS)20</v>
      </c>
      <c r="B1954">
        <v>20</v>
      </c>
      <c r="C1954">
        <v>17</v>
      </c>
      <c r="D1954" t="s">
        <v>62</v>
      </c>
      <c r="E1954" t="s">
        <v>35</v>
      </c>
      <c r="F1954" t="s">
        <v>119</v>
      </c>
      <c r="G1954" t="s">
        <v>34</v>
      </c>
      <c r="H1954" s="52" t="str">
        <f>VLOOKUP(Tabla3[[#This Row],[Site]],'Important Info!'!$A$1:$J$135,10,FALSE)</f>
        <v>https://tools.sig.systems/site/details/164</v>
      </c>
      <c r="J1954" t="s">
        <v>45</v>
      </c>
      <c r="K1954" s="79" t="str">
        <f>VLOOKUP(Tabla3[[#This Row],[Site]],'Important Info!'!$A$1:$H$135,8,FALSE)</f>
        <v>-</v>
      </c>
      <c r="L1954" s="52" t="str">
        <f>VLOOKUP(Tabla3[[#This Row],[Site]],'Important Info!'!$A$1:$F$135,2,FALSE)</f>
        <v>28, 29</v>
      </c>
      <c r="M1954" s="52" t="str">
        <f>VLOOKUP(Tabla3[[#This Row],[Site]],'Important Info!'!$A$1:$F$135,3,FALSE)</f>
        <v>-</v>
      </c>
      <c r="N1954" s="52" t="str">
        <f>VLOOKUP(Tabla3[[#This Row],[Site]],'Important Info!'!$A$1:$F$135,4,FALSE)</f>
        <v>-</v>
      </c>
      <c r="O1954" s="52" t="str">
        <f>VLOOKUP(Tabla3[[#This Row],[Site]],'Important Info!'!$A$1:$F$135,5,FALSE)</f>
        <v>-</v>
      </c>
      <c r="P1954" s="52" t="str">
        <f>VLOOKUP(Tabla3[[#This Row],[Site]],'Important Info!'!$A$1:$F$135,6,FALSE)</f>
        <v>5, 28, 29</v>
      </c>
      <c r="Q1954" s="91">
        <f>VLOOKUP(Tabla3[[#This Row],[Site]],'Important Info!'!$A$1:$J$135,9,FALSE)</f>
        <v>164</v>
      </c>
    </row>
    <row r="1955" spans="1:17" x14ac:dyDescent="0.25">
      <c r="A1955" t="str">
        <f>+Tabla3[[#This Row],[Site]]&amp;Tabla3[[#This Row],[Split]]</f>
        <v>(AS) Courtesy Kia of Brandon (NO TOURS)20</v>
      </c>
      <c r="B1955">
        <v>20</v>
      </c>
      <c r="C1955">
        <v>18</v>
      </c>
      <c r="D1955" t="s">
        <v>62</v>
      </c>
      <c r="E1955" t="s">
        <v>35</v>
      </c>
      <c r="F1955" t="s">
        <v>505</v>
      </c>
      <c r="G1955" t="s">
        <v>490</v>
      </c>
      <c r="H1955" s="52" t="str">
        <f>VLOOKUP(Tabla3[[#This Row],[Site]],'Important Info!'!$A$1:$J$135,10,FALSE)</f>
        <v>https://tools.sig.systems/site/details/121</v>
      </c>
      <c r="I1955" s="43" t="s">
        <v>181</v>
      </c>
      <c r="J1955" t="s">
        <v>484</v>
      </c>
      <c r="K1955" s="79" t="str">
        <f>VLOOKUP(Tabla3[[#This Row],[Site]],'Important Info!'!$A$1:$H$135,8,FALSE)</f>
        <v>-</v>
      </c>
      <c r="L1955" s="52" t="str">
        <f>VLOOKUP(Tabla3[[#This Row],[Site]],'Important Info!'!$A$1:$F$135,2,FALSE)</f>
        <v>-</v>
      </c>
      <c r="M1955" s="52" t="str">
        <f>VLOOKUP(Tabla3[[#This Row],[Site]],'Important Info!'!$A$1:$F$135,3,FALSE)</f>
        <v>4, 8</v>
      </c>
      <c r="N1955" s="52" t="str">
        <f>VLOOKUP(Tabla3[[#This Row],[Site]],'Important Info!'!$A$1:$F$135,4,FALSE)</f>
        <v>-</v>
      </c>
      <c r="O1955" s="52" t="str">
        <f>VLOOKUP(Tabla3[[#This Row],[Site]],'Important Info!'!$A$1:$F$135,5,FALSE)</f>
        <v>3, 11, 20, 24</v>
      </c>
      <c r="P1955" s="52" t="str">
        <f>VLOOKUP(Tabla3[[#This Row],[Site]],'Important Info!'!$A$1:$F$135,6,FALSE)</f>
        <v>2, 8</v>
      </c>
      <c r="Q1955" s="91">
        <f>VLOOKUP(Tabla3[[#This Row],[Site]],'Important Info!'!$A$1:$J$135,9,FALSE)</f>
        <v>121</v>
      </c>
    </row>
    <row r="1956" spans="1:17" x14ac:dyDescent="0.25">
      <c r="A1956" t="str">
        <f>+Tabla3[[#This Row],[Site]]&amp;Tabla3[[#This Row],[Split]]</f>
        <v>(AS) Lexus Grapevine I &amp; II (NO TOURS)20</v>
      </c>
      <c r="B1956">
        <v>20</v>
      </c>
      <c r="C1956">
        <v>18</v>
      </c>
      <c r="D1956" t="s">
        <v>33</v>
      </c>
      <c r="E1956" t="s">
        <v>46</v>
      </c>
      <c r="F1956" t="s">
        <v>508</v>
      </c>
      <c r="G1956" t="s">
        <v>34</v>
      </c>
      <c r="H1956" s="52" t="str">
        <f>VLOOKUP(Tabla3[[#This Row],[Site]],'Important Info!'!$A$1:$J$135,10,FALSE)</f>
        <v>https://tools.sig.systems/site/details/136</v>
      </c>
      <c r="J1956" t="s">
        <v>41</v>
      </c>
      <c r="K1956" s="79" t="str">
        <f>VLOOKUP(Tabla3[[#This Row],[Site]],'Important Info!'!$A$1:$H$135,8,FALSE)</f>
        <v>-</v>
      </c>
      <c r="L1956" s="52" t="str">
        <f>VLOOKUP(Tabla3[[#This Row],[Site]],'Important Info!'!$A$1:$F$135,2,FALSE)</f>
        <v>4, 10, 14, 18, 33</v>
      </c>
      <c r="M1956" s="52" t="str">
        <f>VLOOKUP(Tabla3[[#This Row],[Site]],'Important Info!'!$A$1:$F$135,3,FALSE)</f>
        <v>-</v>
      </c>
      <c r="N1956" s="52" t="str">
        <f>VLOOKUP(Tabla3[[#This Row],[Site]],'Important Info!'!$A$1:$F$135,4,FALSE)</f>
        <v>81, 82, 83</v>
      </c>
      <c r="O1956" s="52" t="str">
        <f>VLOOKUP(Tabla3[[#This Row],[Site]],'Important Info!'!$A$1:$F$135,5,FALSE)</f>
        <v>4, 12, 15, 20, 30</v>
      </c>
      <c r="P1956" s="52">
        <f>VLOOKUP(Tabla3[[#This Row],[Site]],'Important Info!'!$A$1:$F$135,6,FALSE)</f>
        <v>10</v>
      </c>
      <c r="Q1956" s="91">
        <f>VLOOKUP(Tabla3[[#This Row],[Site]],'Important Info!'!$A$1:$J$135,9,FALSE)</f>
        <v>136</v>
      </c>
    </row>
    <row r="1957" spans="1:17" x14ac:dyDescent="0.25">
      <c r="A1957" t="str">
        <f>+Tabla3[[#This Row],[Site]]&amp;Tabla3[[#This Row],[Split]]</f>
        <v>(AS) Nalley Luxury Collision Center (NO TOURS)20</v>
      </c>
      <c r="B1957">
        <v>20</v>
      </c>
      <c r="C1957">
        <v>18</v>
      </c>
      <c r="D1957" t="s">
        <v>62</v>
      </c>
      <c r="E1957" t="s">
        <v>35</v>
      </c>
      <c r="F1957" t="s">
        <v>512</v>
      </c>
      <c r="G1957" t="s">
        <v>490</v>
      </c>
      <c r="H1957" s="52" t="str">
        <f>VLOOKUP(Tabla3[[#This Row],[Site]],'Important Info!'!$A$1:$J$135,10,FALSE)</f>
        <v>https://tools.sig.systems/site/details/263</v>
      </c>
      <c r="I1957" s="2" t="s">
        <v>166</v>
      </c>
      <c r="J1957" t="s">
        <v>41</v>
      </c>
      <c r="K1957" s="79" t="str">
        <f>VLOOKUP(Tabla3[[#This Row],[Site]],'Important Info!'!$A$1:$H$135,8,FALSE)</f>
        <v>-</v>
      </c>
      <c r="L1957" s="52" t="str">
        <f>VLOOKUP(Tabla3[[#This Row],[Site]],'Important Info!'!$A$1:$F$135,2,FALSE)</f>
        <v>6, 13</v>
      </c>
      <c r="M1957" s="52" t="str">
        <f>VLOOKUP(Tabla3[[#This Row],[Site]],'Important Info!'!$A$1:$F$135,3,FALSE)</f>
        <v>-</v>
      </c>
      <c r="N1957" s="52" t="str">
        <f>VLOOKUP(Tabla3[[#This Row],[Site]],'Important Info!'!$A$1:$F$135,4,FALSE)</f>
        <v>-</v>
      </c>
      <c r="O1957" s="52" t="str">
        <f>VLOOKUP(Tabla3[[#This Row],[Site]],'Important Info!'!$A$1:$F$135,5,FALSE)</f>
        <v>-</v>
      </c>
      <c r="P1957" s="52" t="str">
        <f>VLOOKUP(Tabla3[[#This Row],[Site]],'Important Info!'!$A$1:$F$135,6,FALSE)</f>
        <v>6, 7, 12</v>
      </c>
      <c r="Q1957" s="91">
        <f>VLOOKUP(Tabla3[[#This Row],[Site]],'Important Info!'!$A$1:$J$135,9,FALSE)</f>
        <v>263</v>
      </c>
    </row>
    <row r="1958" spans="1:17" x14ac:dyDescent="0.25">
      <c r="A1958" t="str">
        <f>+Tabla3[[#This Row],[Site]]&amp;Tabla3[[#This Row],[Split]]</f>
        <v>(DT) N. Houston20</v>
      </c>
      <c r="B1958">
        <v>20</v>
      </c>
      <c r="C1958">
        <v>18</v>
      </c>
      <c r="D1958" t="s">
        <v>33</v>
      </c>
      <c r="E1958" t="s">
        <v>46</v>
      </c>
      <c r="F1958" t="s">
        <v>68</v>
      </c>
      <c r="G1958" t="s">
        <v>34</v>
      </c>
      <c r="H1958" s="52" t="str">
        <f>VLOOKUP(Tabla3[[#This Row],[Site]],'Important Info!'!$A$1:$J$135,10,FALSE)</f>
        <v>https://tools.sig.systems/site/details/250</v>
      </c>
      <c r="I1958" s="43"/>
      <c r="J1958" t="s">
        <v>41</v>
      </c>
      <c r="K1958" s="79" t="str">
        <f>VLOOKUP(Tabla3[[#This Row],[Site]],'Important Info!'!$A$1:$H$135,8,FALSE)</f>
        <v>-</v>
      </c>
      <c r="L1958" s="52" t="str">
        <f>VLOOKUP(Tabla3[[#This Row],[Site]],'Important Info!'!$A$1:$F$135,2,FALSE)</f>
        <v>2, 10, 18</v>
      </c>
      <c r="M1958" s="52" t="str">
        <f>VLOOKUP(Tabla3[[#This Row],[Site]],'Important Info!'!$A$1:$F$135,3,FALSE)</f>
        <v>-</v>
      </c>
      <c r="N1958" s="52" t="str">
        <f>VLOOKUP(Tabla3[[#This Row],[Site]],'Important Info!'!$A$1:$F$135,4,FALSE)</f>
        <v>-</v>
      </c>
      <c r="O1958" s="52">
        <f>VLOOKUP(Tabla3[[#This Row],[Site]],'Important Info!'!$A$1:$F$135,5,FALSE)</f>
        <v>15</v>
      </c>
      <c r="P1958" s="52" t="str">
        <f>VLOOKUP(Tabla3[[#This Row],[Site]],'Important Info!'!$A$1:$F$135,6,FALSE)</f>
        <v>2, 4, 18</v>
      </c>
      <c r="Q1958" s="91">
        <f>VLOOKUP(Tabla3[[#This Row],[Site]],'Important Info!'!$A$1:$J$135,9,FALSE)</f>
        <v>250</v>
      </c>
    </row>
    <row r="1959" spans="1:17" x14ac:dyDescent="0.25">
      <c r="A1959" t="str">
        <f>+Tabla3[[#This Row],[Site]]&amp;Tabla3[[#This Row],[Split]]</f>
        <v>(KG) JLR LEHI (NO TOURS)20</v>
      </c>
      <c r="B1959">
        <v>20</v>
      </c>
      <c r="C1959">
        <v>18</v>
      </c>
      <c r="D1959" t="s">
        <v>44</v>
      </c>
      <c r="E1959" t="s">
        <v>53</v>
      </c>
      <c r="F1959" t="s">
        <v>8</v>
      </c>
      <c r="G1959" t="s">
        <v>45</v>
      </c>
      <c r="H1959" s="52" t="str">
        <f>VLOOKUP(Tabla3[[#This Row],[Site]],'Important Info!'!$A$1:$J$135,10,FALSE)</f>
        <v>https://tools.sig.systems/site/details/145</v>
      </c>
      <c r="I1959" s="2"/>
      <c r="J1959" t="s">
        <v>41</v>
      </c>
      <c r="K1959" s="79" t="str">
        <f>VLOOKUP(Tabla3[[#This Row],[Site]],'Important Info!'!$A$1:$H$135,8,FALSE)</f>
        <v>-</v>
      </c>
      <c r="L1959" s="52" t="str">
        <f>VLOOKUP(Tabla3[[#This Row],[Site]],'Important Info!'!$A$1:$F$135,2,FALSE)</f>
        <v>1, 11</v>
      </c>
      <c r="M1959" s="52" t="str">
        <f>VLOOKUP(Tabla3[[#This Row],[Site]],'Important Info!'!$A$1:$F$135,3,FALSE)</f>
        <v>-</v>
      </c>
      <c r="N1959" s="52" t="str">
        <f>VLOOKUP(Tabla3[[#This Row],[Site]],'Important Info!'!$A$1:$F$135,4,FALSE)</f>
        <v>-</v>
      </c>
      <c r="O1959" s="52" t="str">
        <f>VLOOKUP(Tabla3[[#This Row],[Site]],'Important Info!'!$A$1:$F$135,5,FALSE)</f>
        <v>1, 7, 11</v>
      </c>
      <c r="P1959" s="52" t="str">
        <f>VLOOKUP(Tabla3[[#This Row],[Site]],'Important Info!'!$A$1:$F$135,6,FALSE)</f>
        <v>-</v>
      </c>
      <c r="Q1959" s="91">
        <f>VLOOKUP(Tabla3[[#This Row],[Site]],'Important Info!'!$A$1:$J$135,9,FALSE)</f>
        <v>145</v>
      </c>
    </row>
    <row r="1960" spans="1:17" x14ac:dyDescent="0.25">
      <c r="A1960" t="str">
        <f>+Tabla3[[#This Row],[Site]]&amp;Tabla3[[#This Row],[Split]]</f>
        <v>(ML) BMW of Little Rock20</v>
      </c>
      <c r="B1960">
        <v>20</v>
      </c>
      <c r="C1960">
        <v>18</v>
      </c>
      <c r="D1960" t="s">
        <v>33</v>
      </c>
      <c r="E1960" t="s">
        <v>46</v>
      </c>
      <c r="F1960" t="s">
        <v>139</v>
      </c>
      <c r="G1960" t="s">
        <v>34</v>
      </c>
      <c r="H1960" s="52" t="str">
        <f>VLOOKUP(Tabla3[[#This Row],[Site]],'Important Info!'!$A$1:$J$135,10,FALSE)</f>
        <v>https://tools.sig.systems/site/details/217</v>
      </c>
      <c r="I1960" t="s">
        <v>140</v>
      </c>
      <c r="J1960" t="s">
        <v>41</v>
      </c>
      <c r="K1960" s="79" t="str">
        <f>VLOOKUP(Tabla3[[#This Row],[Site]],'Important Info!'!$A$1:$H$135,8,FALSE)</f>
        <v>-</v>
      </c>
      <c r="L1960" s="52" t="str">
        <f>VLOOKUP(Tabla3[[#This Row],[Site]],'Important Info!'!$A$1:$F$135,2,FALSE)</f>
        <v>-</v>
      </c>
      <c r="M1960" s="52">
        <f>VLOOKUP(Tabla3[[#This Row],[Site]],'Important Info!'!$A$1:$F$135,3,FALSE)</f>
        <v>14</v>
      </c>
      <c r="N1960" s="52" t="str">
        <f>VLOOKUP(Tabla3[[#This Row],[Site]],'Important Info!'!$A$1:$F$135,4,FALSE)</f>
        <v>-</v>
      </c>
      <c r="O1960" s="52" t="str">
        <f>VLOOKUP(Tabla3[[#This Row],[Site]],'Important Info!'!$A$1:$F$135,5,FALSE)</f>
        <v>-</v>
      </c>
      <c r="P1960" s="52" t="str">
        <f>VLOOKUP(Tabla3[[#This Row],[Site]],'Important Info!'!$A$1:$F$135,6,FALSE)</f>
        <v>5, 6, 7, 8, 9, 32</v>
      </c>
      <c r="Q1960" s="91">
        <f>VLOOKUP(Tabla3[[#This Row],[Site]],'Important Info!'!$A$1:$J$135,9,FALSE)</f>
        <v>217</v>
      </c>
    </row>
    <row r="1961" spans="1:17" x14ac:dyDescent="0.25">
      <c r="A1961" t="str">
        <f>+Tabla3[[#This Row],[Site]]&amp;Tabla3[[#This Row],[Split]]</f>
        <v>SIG Office20</v>
      </c>
      <c r="B1961">
        <v>20</v>
      </c>
      <c r="C1961">
        <v>18</v>
      </c>
      <c r="D1961" t="s">
        <v>60</v>
      </c>
      <c r="E1961" t="s">
        <v>35</v>
      </c>
      <c r="F1961" t="s">
        <v>169</v>
      </c>
      <c r="G1961" t="s">
        <v>41</v>
      </c>
      <c r="H1961" s="52" t="str">
        <f>VLOOKUP(Tabla3[[#This Row],[Site]],'Important Info!'!$A$1:$J$135,10,FALSE)</f>
        <v>https://tools.sig.systems/site/details/163</v>
      </c>
      <c r="J1961" t="s">
        <v>41</v>
      </c>
      <c r="K1961" s="79" t="str">
        <f>VLOOKUP(Tabla3[[#This Row],[Site]],'Important Info!'!$A$1:$H$135,8,FALSE)</f>
        <v>-</v>
      </c>
      <c r="L1961" s="52" t="str">
        <f>VLOOKUP(Tabla3[[#This Row],[Site]],'Important Info!'!$A$1:$F$135,2,FALSE)</f>
        <v>-</v>
      </c>
      <c r="M1961" s="52" t="str">
        <f>VLOOKUP(Tabla3[[#This Row],[Site]],'Important Info!'!$A$1:$F$135,3,FALSE)</f>
        <v>-</v>
      </c>
      <c r="N1961" s="52" t="str">
        <f>VLOOKUP(Tabla3[[#This Row],[Site]],'Important Info!'!$A$1:$F$135,4,FALSE)</f>
        <v>-</v>
      </c>
      <c r="O1961" s="52" t="str">
        <f>VLOOKUP(Tabla3[[#This Row],[Site]],'Important Info!'!$A$1:$F$135,5,FALSE)</f>
        <v>-</v>
      </c>
      <c r="P1961" s="52">
        <f>VLOOKUP(Tabla3[[#This Row],[Site]],'Important Info!'!$A$1:$F$135,6,FALSE)</f>
        <v>25</v>
      </c>
      <c r="Q1961" s="91">
        <f>VLOOKUP(Tabla3[[#This Row],[Site]],'Important Info!'!$A$1:$J$135,9,FALSE)</f>
        <v>163</v>
      </c>
    </row>
    <row r="1962" spans="1:17" x14ac:dyDescent="0.25">
      <c r="A1962" t="str">
        <f>+Tabla3[[#This Row],[Site]]&amp;Tabla3[[#This Row],[Split]]</f>
        <v>(AS) Park Place JLR DFW Airport (NO TOURS)20</v>
      </c>
      <c r="B1962">
        <v>20</v>
      </c>
      <c r="C1962">
        <v>19</v>
      </c>
      <c r="D1962" t="s">
        <v>33</v>
      </c>
      <c r="E1962" t="s">
        <v>46</v>
      </c>
      <c r="F1962" t="s">
        <v>516</v>
      </c>
      <c r="G1962" t="s">
        <v>34</v>
      </c>
      <c r="H1962" s="52" t="str">
        <f>VLOOKUP(Tabla3[[#This Row],[Site]],'Important Info!'!$A$1:$J$135,10,FALSE)</f>
        <v>https://tools.sig.systems/site/details/135</v>
      </c>
      <c r="J1962" t="s">
        <v>41</v>
      </c>
      <c r="K1962" s="79" t="str">
        <f>VLOOKUP(Tabla3[[#This Row],[Site]],'Important Info!'!$A$1:$H$135,8,FALSE)</f>
        <v>-</v>
      </c>
      <c r="L1962" s="52" t="str">
        <f>VLOOKUP(Tabla3[[#This Row],[Site]],'Important Info!'!$A$1:$F$135,2,FALSE)</f>
        <v>6, 7, 18</v>
      </c>
      <c r="M1962" s="52" t="str">
        <f>VLOOKUP(Tabla3[[#This Row],[Site]],'Important Info!'!$A$1:$F$135,3,FALSE)</f>
        <v>70, 79, 80</v>
      </c>
      <c r="N1962" s="52" t="str">
        <f>VLOOKUP(Tabla3[[#This Row],[Site]],'Important Info!'!$A$1:$F$135,4,FALSE)</f>
        <v>83, 84</v>
      </c>
      <c r="O1962" s="52" t="str">
        <f>VLOOKUP(Tabla3[[#This Row],[Site]],'Important Info!'!$A$1:$F$135,5,FALSE)</f>
        <v>3, 8, 14, 81</v>
      </c>
      <c r="P1962" s="52">
        <f>VLOOKUP(Tabla3[[#This Row],[Site]],'Important Info!'!$A$1:$F$135,6,FALSE)</f>
        <v>6</v>
      </c>
      <c r="Q1962" s="91">
        <f>VLOOKUP(Tabla3[[#This Row],[Site]],'Important Info!'!$A$1:$J$135,9,FALSE)</f>
        <v>135</v>
      </c>
    </row>
    <row r="1963" spans="1:17" x14ac:dyDescent="0.25">
      <c r="A1963" t="str">
        <f>+Tabla3[[#This Row],[Site]]&amp;Tabla3[[#This Row],[Split]]</f>
        <v>(AS) Plano Auction (NO SPEAKERS)20</v>
      </c>
      <c r="B1963">
        <v>20</v>
      </c>
      <c r="C1963">
        <v>19</v>
      </c>
      <c r="D1963" t="s">
        <v>33</v>
      </c>
      <c r="E1963" t="s">
        <v>46</v>
      </c>
      <c r="F1963" t="s">
        <v>129</v>
      </c>
      <c r="G1963" t="s">
        <v>34</v>
      </c>
      <c r="H1963" s="52" t="str">
        <f>VLOOKUP(Tabla3[[#This Row],[Site]],'Important Info!'!$A$1:$J$135,10,FALSE)</f>
        <v>https://tools.sig.systems/site/details/140</v>
      </c>
      <c r="J1963" t="s">
        <v>41</v>
      </c>
      <c r="K1963" s="79" t="str">
        <f>VLOOKUP(Tabla3[[#This Row],[Site]],'Important Info!'!$A$1:$H$135,8,FALSE)</f>
        <v>-</v>
      </c>
      <c r="L1963" s="52" t="str">
        <f>VLOOKUP(Tabla3[[#This Row],[Site]],'Important Info!'!$A$1:$F$135,2,FALSE)</f>
        <v>-</v>
      </c>
      <c r="M1963" s="52" t="str">
        <f>VLOOKUP(Tabla3[[#This Row],[Site]],'Important Info!'!$A$1:$F$135,3,FALSE)</f>
        <v>3, 4, 19</v>
      </c>
      <c r="N1963" s="52" t="str">
        <f>VLOOKUP(Tabla3[[#This Row],[Site]],'Important Info!'!$A$1:$F$135,4,FALSE)</f>
        <v>-</v>
      </c>
      <c r="O1963" s="52" t="str">
        <f>VLOOKUP(Tabla3[[#This Row],[Site]],'Important Info!'!$A$1:$F$135,5,FALSE)</f>
        <v>5, 19</v>
      </c>
      <c r="P1963" s="52">
        <f>VLOOKUP(Tabla3[[#This Row],[Site]],'Important Info!'!$A$1:$F$135,6,FALSE)</f>
        <v>21</v>
      </c>
      <c r="Q1963" s="91">
        <f>VLOOKUP(Tabla3[[#This Row],[Site]],'Important Info!'!$A$1:$J$135,9,FALSE)</f>
        <v>140</v>
      </c>
    </row>
    <row r="1964" spans="1:17" x14ac:dyDescent="0.25">
      <c r="A1964" t="str">
        <f>+Tabla3[[#This Row],[Site]]&amp;Tabla3[[#This Row],[Split]]</f>
        <v>(DT) Colorado Springs (NO TOURS)20</v>
      </c>
      <c r="B1964">
        <v>20</v>
      </c>
      <c r="C1964">
        <v>19</v>
      </c>
      <c r="D1964" t="s">
        <v>44</v>
      </c>
      <c r="E1964" t="s">
        <v>53</v>
      </c>
      <c r="F1964" t="s">
        <v>156</v>
      </c>
      <c r="G1964" t="s">
        <v>45</v>
      </c>
      <c r="H1964" s="52" t="str">
        <f>VLOOKUP(Tabla3[[#This Row],[Site]],'Important Info!'!$A$1:$J$135,10,FALSE)</f>
        <v>https://tools.sig.systems/site/details/198</v>
      </c>
      <c r="J1964" t="s">
        <v>41</v>
      </c>
      <c r="K1964" s="79" t="str">
        <f>VLOOKUP(Tabla3[[#This Row],[Site]],'Important Info!'!$A$1:$H$135,8,FALSE)</f>
        <v>-</v>
      </c>
      <c r="L1964" s="52" t="str">
        <f>VLOOKUP(Tabla3[[#This Row],[Site]],'Important Info!'!$A$1:$F$135,2,FALSE)</f>
        <v>-</v>
      </c>
      <c r="M1964" s="52" t="str">
        <f>VLOOKUP(Tabla3[[#This Row],[Site]],'Important Info!'!$A$1:$F$135,3,FALSE)</f>
        <v>1, 2, 3, 4</v>
      </c>
      <c r="N1964" s="52" t="str">
        <f>VLOOKUP(Tabla3[[#This Row],[Site]],'Important Info!'!$A$1:$F$135,4,FALSE)</f>
        <v>-</v>
      </c>
      <c r="O1964" s="52" t="str">
        <f>VLOOKUP(Tabla3[[#This Row],[Site]],'Important Info!'!$A$1:$F$135,5,FALSE)</f>
        <v>-</v>
      </c>
      <c r="P1964" s="52" t="str">
        <f>VLOOKUP(Tabla3[[#This Row],[Site]],'Important Info!'!$A$1:$F$135,6,FALSE)</f>
        <v>1, 2, 3, 11</v>
      </c>
      <c r="Q1964" s="91">
        <f>VLOOKUP(Tabla3[[#This Row],[Site]],'Important Info!'!$A$1:$J$135,9,FALSE)</f>
        <v>198</v>
      </c>
    </row>
    <row r="1965" spans="1:17" x14ac:dyDescent="0.25">
      <c r="A1965" t="str">
        <f>+Tabla3[[#This Row],[Site]]&amp;Tabla3[[#This Row],[Split]]</f>
        <v>(KG) Clear Lake Pre-Owned20</v>
      </c>
      <c r="B1965">
        <v>20</v>
      </c>
      <c r="C1965">
        <v>19</v>
      </c>
      <c r="D1965" t="s">
        <v>33</v>
      </c>
      <c r="E1965" t="s">
        <v>46</v>
      </c>
      <c r="F1965" t="s">
        <v>87</v>
      </c>
      <c r="G1965" t="s">
        <v>34</v>
      </c>
      <c r="H1965" s="52" t="str">
        <f>VLOOKUP(Tabla3[[#This Row],[Site]],'Important Info!'!$A$1:$J$135,10,FALSE)</f>
        <v>https://tools.sig.systems/site/details/255</v>
      </c>
      <c r="I1965" s="2" t="s">
        <v>134</v>
      </c>
      <c r="J1965" t="s">
        <v>41</v>
      </c>
      <c r="K1965" s="79" t="str">
        <f>VLOOKUP(Tabla3[[#This Row],[Site]],'Important Info!'!$A$1:$H$135,8,FALSE)</f>
        <v>-</v>
      </c>
      <c r="L1965" s="52" t="str">
        <f>VLOOKUP(Tabla3[[#This Row],[Site]],'Important Info!'!$A$1:$F$135,2,FALSE)</f>
        <v>3, 5</v>
      </c>
      <c r="M1965" s="52" t="str">
        <f>VLOOKUP(Tabla3[[#This Row],[Site]],'Important Info!'!$A$1:$F$135,3,FALSE)</f>
        <v>-</v>
      </c>
      <c r="N1965" s="52" t="str">
        <f>VLOOKUP(Tabla3[[#This Row],[Site]],'Important Info!'!$A$1:$F$135,4,FALSE)</f>
        <v>-</v>
      </c>
      <c r="O1965" s="52" t="str">
        <f>VLOOKUP(Tabla3[[#This Row],[Site]],'Important Info!'!$A$1:$F$135,5,FALSE)</f>
        <v>4, 10, 22</v>
      </c>
      <c r="P1965" s="52" t="str">
        <f>VLOOKUP(Tabla3[[#This Row],[Site]],'Important Info!'!$A$1:$F$135,6,FALSE)</f>
        <v>8, 15, 20</v>
      </c>
      <c r="Q1965" s="91">
        <f>VLOOKUP(Tabla3[[#This Row],[Site]],'Important Info!'!$A$1:$J$135,9,FALSE)</f>
        <v>255</v>
      </c>
    </row>
    <row r="1966" spans="1:17" x14ac:dyDescent="0.25">
      <c r="A1966" t="str">
        <f>+Tabla3[[#This Row],[Site]]&amp;Tabla3[[#This Row],[Split]]</f>
        <v>(KT) Northwest CDJR (NO TOURS)20</v>
      </c>
      <c r="B1966">
        <v>20</v>
      </c>
      <c r="C1966">
        <v>19</v>
      </c>
      <c r="D1966" t="s">
        <v>33</v>
      </c>
      <c r="E1966" t="s">
        <v>46</v>
      </c>
      <c r="F1966" t="s">
        <v>77</v>
      </c>
      <c r="G1966" t="s">
        <v>34</v>
      </c>
      <c r="H1966" s="52" t="str">
        <f>VLOOKUP(Tabla3[[#This Row],[Site]],'Important Info!'!$A$1:$J$135,10,FALSE)</f>
        <v>https://tools.sig.systems/site/details/229</v>
      </c>
      <c r="I1966" s="2"/>
      <c r="J1966" t="s">
        <v>41</v>
      </c>
      <c r="K1966" s="79" t="str">
        <f>VLOOKUP(Tabla3[[#This Row],[Site]],'Important Info!'!$A$1:$H$135,8,FALSE)</f>
        <v>-</v>
      </c>
      <c r="L1966" s="52" t="str">
        <f>VLOOKUP(Tabla3[[#This Row],[Site]],'Important Info!'!$A$1:$F$135,2,FALSE)</f>
        <v>1, 3, 11, 25</v>
      </c>
      <c r="M1966" s="52" t="str">
        <f>VLOOKUP(Tabla3[[#This Row],[Site]],'Important Info!'!$A$1:$F$135,3,FALSE)</f>
        <v>-</v>
      </c>
      <c r="N1966" s="52" t="str">
        <f>VLOOKUP(Tabla3[[#This Row],[Site]],'Important Info!'!$A$1:$F$135,4,FALSE)</f>
        <v>-</v>
      </c>
      <c r="O1966" s="52" t="str">
        <f>VLOOKUP(Tabla3[[#This Row],[Site]],'Important Info!'!$A$1:$F$135,5,FALSE)</f>
        <v>4, 12, 18</v>
      </c>
      <c r="P1966" s="52" t="str">
        <f>VLOOKUP(Tabla3[[#This Row],[Site]],'Important Info!'!$A$1:$F$135,6,FALSE)</f>
        <v>-</v>
      </c>
      <c r="Q1966" s="91">
        <f>VLOOKUP(Tabla3[[#This Row],[Site]],'Important Info!'!$A$1:$J$135,9,FALSE)</f>
        <v>229</v>
      </c>
    </row>
    <row r="1967" spans="1:17" x14ac:dyDescent="0.25">
      <c r="A1967" t="str">
        <f>+Tabla3[[#This Row],[Site]]&amp;Tabla3[[#This Row],[Split]]</f>
        <v>(PE) Honda of Danbury (NO TOURS)20</v>
      </c>
      <c r="B1967">
        <v>20</v>
      </c>
      <c r="C1967">
        <v>19</v>
      </c>
      <c r="D1967" t="s">
        <v>485</v>
      </c>
      <c r="E1967" t="s">
        <v>35</v>
      </c>
      <c r="F1967" t="s">
        <v>174</v>
      </c>
      <c r="G1967" t="s">
        <v>490</v>
      </c>
      <c r="H1967" s="52" t="str">
        <f>VLOOKUP(Tabla3[[#This Row],[Site]],'Important Info!'!$A$1:$J$135,10,FALSE)</f>
        <v>https://tools.sig.systems/site/details/190</v>
      </c>
      <c r="I1967" s="43"/>
      <c r="J1967" t="s">
        <v>41</v>
      </c>
      <c r="K1967" s="79" t="str">
        <f>VLOOKUP(Tabla3[[#This Row],[Site]],'Important Info!'!$A$1:$H$135,8,FALSE)</f>
        <v>-</v>
      </c>
      <c r="L1967" s="52" t="str">
        <f>VLOOKUP(Tabla3[[#This Row],[Site]],'Important Info!'!$A$1:$F$135,2,FALSE)</f>
        <v>-</v>
      </c>
      <c r="M1967" s="52" t="str">
        <f>VLOOKUP(Tabla3[[#This Row],[Site]],'Important Info!'!$A$1:$F$135,3,FALSE)</f>
        <v>20, 9</v>
      </c>
      <c r="N1967" s="52">
        <f>VLOOKUP(Tabla3[[#This Row],[Site]],'Important Info!'!$A$1:$F$135,4,FALSE)</f>
        <v>9</v>
      </c>
      <c r="O1967" s="52" t="str">
        <f>VLOOKUP(Tabla3[[#This Row],[Site]],'Important Info!'!$A$1:$F$135,5,FALSE)</f>
        <v>-</v>
      </c>
      <c r="P1967" s="52" t="str">
        <f>VLOOKUP(Tabla3[[#This Row],[Site]],'Important Info!'!$A$1:$F$135,6,FALSE)</f>
        <v>9, 16, 17</v>
      </c>
      <c r="Q1967" s="91">
        <f>VLOOKUP(Tabla3[[#This Row],[Site]],'Important Info!'!$A$1:$J$135,9,FALSE)</f>
        <v>190</v>
      </c>
    </row>
    <row r="1968" spans="1:17" x14ac:dyDescent="0.25">
      <c r="A1968" t="str">
        <f>+Tabla3[[#This Row],[Site]]&amp;Tabla3[[#This Row],[Split]]</f>
        <v>(RV) Toms Camperland Surprise (NO TOURS)20</v>
      </c>
      <c r="B1968">
        <v>20</v>
      </c>
      <c r="C1968">
        <v>19</v>
      </c>
      <c r="D1968" t="s">
        <v>51</v>
      </c>
      <c r="E1968" t="s">
        <v>161</v>
      </c>
      <c r="F1968" t="s">
        <v>165</v>
      </c>
      <c r="G1968" t="s">
        <v>52</v>
      </c>
      <c r="H1968" s="52" t="str">
        <f>VLOOKUP(Tabla3[[#This Row],[Site]],'Important Info!'!$A$1:$J$135,10,FALSE)</f>
        <v>https://tools.sig.systems/site/details/254</v>
      </c>
      <c r="I1968" s="43"/>
      <c r="J1968" t="s">
        <v>52</v>
      </c>
      <c r="K1968" s="79" t="str">
        <f>VLOOKUP(Tabla3[[#This Row],[Site]],'Important Info!'!$A$1:$H$135,8,FALSE)</f>
        <v>-</v>
      </c>
      <c r="L1968" s="52" t="str">
        <f>VLOOKUP(Tabla3[[#This Row],[Site]],'Important Info!'!$A$1:$F$135,2,FALSE)</f>
        <v>1, 3, 4</v>
      </c>
      <c r="M1968" s="52" t="str">
        <f>VLOOKUP(Tabla3[[#This Row],[Site]],'Important Info!'!$A$1:$F$135,3,FALSE)</f>
        <v>-</v>
      </c>
      <c r="N1968" s="52" t="str">
        <f>VLOOKUP(Tabla3[[#This Row],[Site]],'Important Info!'!$A$1:$F$135,4,FALSE)</f>
        <v>-</v>
      </c>
      <c r="O1968" s="52" t="str">
        <f>VLOOKUP(Tabla3[[#This Row],[Site]],'Important Info!'!$A$1:$F$135,5,FALSE)</f>
        <v>-</v>
      </c>
      <c r="P1968" s="52" t="str">
        <f>VLOOKUP(Tabla3[[#This Row],[Site]],'Important Info!'!$A$1:$F$135,6,FALSE)</f>
        <v>1, 2, 3, 4, 15</v>
      </c>
      <c r="Q1968" s="91">
        <f>VLOOKUP(Tabla3[[#This Row],[Site]],'Important Info!'!$A$1:$J$135,9,FALSE)</f>
        <v>254</v>
      </c>
    </row>
    <row r="1969" spans="1:17" x14ac:dyDescent="0.25">
      <c r="A1969" t="str">
        <f>+Tabla3[[#This Row],[Site]]&amp;Tabla3[[#This Row],[Split]]</f>
        <v>(AS) Courtesy CDJR of Brandon (NO TOURS)20</v>
      </c>
      <c r="B1969">
        <v>20</v>
      </c>
      <c r="C1969">
        <v>20</v>
      </c>
      <c r="D1969" t="s">
        <v>62</v>
      </c>
      <c r="E1969" t="s">
        <v>35</v>
      </c>
      <c r="F1969" t="s">
        <v>503</v>
      </c>
      <c r="G1969" t="s">
        <v>490</v>
      </c>
      <c r="H1969" s="52" t="str">
        <f>VLOOKUP(Tabla3[[#This Row],[Site]],'Important Info!'!$A$1:$J$135,10,FALSE)</f>
        <v>https://tools.sig.systems/site/details/126</v>
      </c>
      <c r="I1969" s="2" t="s">
        <v>181</v>
      </c>
      <c r="J1969" t="s">
        <v>484</v>
      </c>
      <c r="K1969" s="79" t="str">
        <f>VLOOKUP(Tabla3[[#This Row],[Site]],'Important Info!'!$A$1:$H$135,8,FALSE)</f>
        <v>-</v>
      </c>
      <c r="L1969" s="52" t="str">
        <f>VLOOKUP(Tabla3[[#This Row],[Site]],'Important Info!'!$A$1:$F$135,2,FALSE)</f>
        <v>1, 14, 15</v>
      </c>
      <c r="M1969" s="52">
        <f>VLOOKUP(Tabla3[[#This Row],[Site]],'Important Info!'!$A$1:$F$135,3,FALSE)</f>
        <v>1</v>
      </c>
      <c r="N1969" s="52" t="str">
        <f>VLOOKUP(Tabla3[[#This Row],[Site]],'Important Info!'!$A$1:$F$135,4,FALSE)</f>
        <v>-</v>
      </c>
      <c r="O1969" s="52" t="str">
        <f>VLOOKUP(Tabla3[[#This Row],[Site]],'Important Info!'!$A$1:$F$135,5,FALSE)</f>
        <v>2, 12</v>
      </c>
      <c r="P1969" s="52" t="str">
        <f>VLOOKUP(Tabla3[[#This Row],[Site]],'Important Info!'!$A$1:$F$135,6,FALSE)</f>
        <v xml:space="preserve">1, 2, 3, 4, 14, 15, 21, 25 </v>
      </c>
      <c r="Q1969" s="91">
        <f>VLOOKUP(Tabla3[[#This Row],[Site]],'Important Info!'!$A$1:$J$135,9,FALSE)</f>
        <v>126</v>
      </c>
    </row>
    <row r="1970" spans="1:17" x14ac:dyDescent="0.25">
      <c r="A1970" t="str">
        <f>+Tabla3[[#This Row],[Site]]&amp;Tabla3[[#This Row],[Split]]</f>
        <v>(KG) Big Star CDJR of Clear Lake20</v>
      </c>
      <c r="B1970">
        <v>20</v>
      </c>
      <c r="C1970">
        <v>20</v>
      </c>
      <c r="D1970" t="s">
        <v>33</v>
      </c>
      <c r="E1970" t="s">
        <v>46</v>
      </c>
      <c r="F1970" t="s">
        <v>133</v>
      </c>
      <c r="G1970" t="s">
        <v>34</v>
      </c>
      <c r="H1970" s="52" t="str">
        <f>VLOOKUP(Tabla3[[#This Row],[Site]],'Important Info!'!$A$1:$J$135,10,FALSE)</f>
        <v>https://tools.sig.systems/site/details/232</v>
      </c>
      <c r="I1970" s="2" t="s">
        <v>134</v>
      </c>
      <c r="J1970" t="s">
        <v>41</v>
      </c>
      <c r="K1970" s="79" t="str">
        <f>VLOOKUP(Tabla3[[#This Row],[Site]],'Important Info!'!$A$1:$H$135,8,FALSE)</f>
        <v>-</v>
      </c>
      <c r="L1970" s="52" t="str">
        <f>VLOOKUP(Tabla3[[#This Row],[Site]],'Important Info!'!$A$1:$F$135,2,FALSE)</f>
        <v>8, 25</v>
      </c>
      <c r="M1970" s="52" t="str">
        <f>VLOOKUP(Tabla3[[#This Row],[Site]],'Important Info!'!$A$1:$F$135,3,FALSE)</f>
        <v>-</v>
      </c>
      <c r="N1970" s="52" t="str">
        <f>VLOOKUP(Tabla3[[#This Row],[Site]],'Important Info!'!$A$1:$F$135,4,FALSE)</f>
        <v>-</v>
      </c>
      <c r="O1970" s="52" t="str">
        <f>VLOOKUP(Tabla3[[#This Row],[Site]],'Important Info!'!$A$1:$F$135,5,FALSE)</f>
        <v>7, 13, 19, 24</v>
      </c>
      <c r="P1970" s="52" t="str">
        <f>VLOOKUP(Tabla3[[#This Row],[Site]],'Important Info!'!$A$1:$F$135,6,FALSE)</f>
        <v>6, 8, 25, 31</v>
      </c>
      <c r="Q1970" s="91">
        <f>VLOOKUP(Tabla3[[#This Row],[Site]],'Important Info!'!$A$1:$J$135,9,FALSE)</f>
        <v>232</v>
      </c>
    </row>
    <row r="1971" spans="1:17" x14ac:dyDescent="0.25">
      <c r="A1971" t="str">
        <f>+Tabla3[[#This Row],[Site]]&amp;Tabla3[[#This Row],[Split]]</f>
        <v>(KG) Big Star Ford20</v>
      </c>
      <c r="B1971">
        <v>20</v>
      </c>
      <c r="C1971">
        <v>20</v>
      </c>
      <c r="D1971" t="s">
        <v>33</v>
      </c>
      <c r="E1971" t="s">
        <v>46</v>
      </c>
      <c r="F1971" t="s">
        <v>135</v>
      </c>
      <c r="G1971" t="s">
        <v>34</v>
      </c>
      <c r="H1971" s="52" t="str">
        <f>VLOOKUP(Tabla3[[#This Row],[Site]],'Important Info!'!$A$1:$J$135,10,FALSE)</f>
        <v>https://tools.sig.systems/site/details/235</v>
      </c>
      <c r="I1971" s="2"/>
      <c r="J1971" t="s">
        <v>41</v>
      </c>
      <c r="K1971" s="79" t="str">
        <f>VLOOKUP(Tabla3[[#This Row],[Site]],'Important Info!'!$A$1:$H$135,8,FALSE)</f>
        <v>-</v>
      </c>
      <c r="L1971" s="52" t="str">
        <f>VLOOKUP(Tabla3[[#This Row],[Site]],'Important Info!'!$A$1:$F$135,2,FALSE)</f>
        <v>4, 22, 32, 33</v>
      </c>
      <c r="M1971" s="52" t="str">
        <f>VLOOKUP(Tabla3[[#This Row],[Site]],'Important Info!'!$A$1:$F$135,3,FALSE)</f>
        <v>-</v>
      </c>
      <c r="N1971" s="52" t="str">
        <f>VLOOKUP(Tabla3[[#This Row],[Site]],'Important Info!'!$A$1:$F$135,4,FALSE)</f>
        <v>-</v>
      </c>
      <c r="O1971" s="52" t="str">
        <f>VLOOKUP(Tabla3[[#This Row],[Site]],'Important Info!'!$A$1:$F$135,5,FALSE)</f>
        <v>1, 5, 12, 21</v>
      </c>
      <c r="P1971" s="52">
        <f>VLOOKUP(Tabla3[[#This Row],[Site]],'Important Info!'!$A$1:$F$135,6,FALSE)</f>
        <v>22</v>
      </c>
      <c r="Q1971" s="91">
        <f>VLOOKUP(Tabla3[[#This Row],[Site]],'Important Info!'!$A$1:$J$135,9,FALSE)</f>
        <v>235</v>
      </c>
    </row>
    <row r="1972" spans="1:17" x14ac:dyDescent="0.25">
      <c r="A1972" t="str">
        <f>+Tabla3[[#This Row],[Site]]&amp;Tabla3[[#This Row],[Split]]</f>
        <v>(KG) Hyundai Surprise20</v>
      </c>
      <c r="B1972">
        <v>20</v>
      </c>
      <c r="C1972">
        <v>20</v>
      </c>
      <c r="D1972" t="s">
        <v>51</v>
      </c>
      <c r="E1972" t="s">
        <v>161</v>
      </c>
      <c r="F1972" t="s">
        <v>118</v>
      </c>
      <c r="G1972" t="s">
        <v>52</v>
      </c>
      <c r="H1972" s="52" t="str">
        <f>VLOOKUP(Tabla3[[#This Row],[Site]],'Important Info!'!$A$1:$J$135,10,FALSE)</f>
        <v>https://tools.sig.systems/site/details/269</v>
      </c>
      <c r="I1972" s="2"/>
      <c r="J1972" t="s">
        <v>162</v>
      </c>
      <c r="K1972" s="79" t="str">
        <f>VLOOKUP(Tabla3[[#This Row],[Site]],'Important Info!'!$A$1:$H$135,8,FALSE)</f>
        <v>-</v>
      </c>
      <c r="L1972" s="52" t="str">
        <f>VLOOKUP(Tabla3[[#This Row],[Site]],'Important Info!'!$A$1:$F$135,2,FALSE)</f>
        <v>1, 6, 7</v>
      </c>
      <c r="M1972" s="52" t="str">
        <f>VLOOKUP(Tabla3[[#This Row],[Site]],'Important Info!'!$A$1:$F$135,3,FALSE)</f>
        <v>-</v>
      </c>
      <c r="N1972" s="52" t="str">
        <f>VLOOKUP(Tabla3[[#This Row],[Site]],'Important Info!'!$A$1:$F$135,4,FALSE)</f>
        <v>-</v>
      </c>
      <c r="O1972" s="52" t="str">
        <f>VLOOKUP(Tabla3[[#This Row],[Site]],'Important Info!'!$A$1:$F$135,5,FALSE)</f>
        <v>6, 13</v>
      </c>
      <c r="P1972" s="52" t="str">
        <f>VLOOKUP(Tabla3[[#This Row],[Site]],'Important Info!'!$A$1:$F$135,6,FALSE)</f>
        <v>-</v>
      </c>
      <c r="Q1972" s="91">
        <f>VLOOKUP(Tabla3[[#This Row],[Site]],'Important Info!'!$A$1:$J$135,9,FALSE)</f>
        <v>269</v>
      </c>
    </row>
    <row r="1973" spans="1:17" x14ac:dyDescent="0.25">
      <c r="A1973" t="str">
        <f>+Tabla3[[#This Row],[Site]]&amp;Tabla3[[#This Row],[Split]]</f>
        <v>(RML) Burleson Nissan20</v>
      </c>
      <c r="B1973">
        <v>20</v>
      </c>
      <c r="C1973">
        <v>20</v>
      </c>
      <c r="D1973" t="s">
        <v>33</v>
      </c>
      <c r="E1973" t="s">
        <v>46</v>
      </c>
      <c r="F1973" t="s">
        <v>107</v>
      </c>
      <c r="G1973" t="s">
        <v>34</v>
      </c>
      <c r="H1973" s="52" t="str">
        <f>VLOOKUP(Tabla3[[#This Row],[Site]],'Important Info!'!$A$1:$J$135,10,FALSE)</f>
        <v>https://tools.sig.systems/site/details/202</v>
      </c>
      <c r="J1973" t="s">
        <v>41</v>
      </c>
      <c r="K1973" s="79" t="str">
        <f>VLOOKUP(Tabla3[[#This Row],[Site]],'Important Info!'!$A$1:$H$135,8,FALSE)</f>
        <v>-</v>
      </c>
      <c r="L1973" s="52" t="str">
        <f>VLOOKUP(Tabla3[[#This Row],[Site]],'Important Info!'!$A$1:$F$135,2,FALSE)</f>
        <v>3, 21</v>
      </c>
      <c r="M1973" s="52" t="str">
        <f>VLOOKUP(Tabla3[[#This Row],[Site]],'Important Info!'!$A$1:$F$135,3,FALSE)</f>
        <v>-</v>
      </c>
      <c r="N1973" s="52" t="str">
        <f>VLOOKUP(Tabla3[[#This Row],[Site]],'Important Info!'!$A$1:$F$135,4,FALSE)</f>
        <v>-</v>
      </c>
      <c r="O1973" s="52" t="str">
        <f>VLOOKUP(Tabla3[[#This Row],[Site]],'Important Info!'!$A$1:$F$135,5,FALSE)</f>
        <v>2, 6, 15</v>
      </c>
      <c r="P1973" s="52" t="str">
        <f>VLOOKUP(Tabla3[[#This Row],[Site]],'Important Info!'!$A$1:$F$135,6,FALSE)</f>
        <v>-</v>
      </c>
      <c r="Q1973" s="91">
        <f>VLOOKUP(Tabla3[[#This Row],[Site]],'Important Info!'!$A$1:$J$135,9,FALSE)</f>
        <v>202</v>
      </c>
    </row>
    <row r="1974" spans="1:17" x14ac:dyDescent="0.25">
      <c r="A1974" t="str">
        <f>+Tabla3[[#This Row],[Site]]&amp;Tabla3[[#This Row],[Split]]</f>
        <v>(AS) Park Place Bodywerks Ft. Worth (NO TOURS)21</v>
      </c>
      <c r="B1974">
        <v>21</v>
      </c>
      <c r="C1974">
        <v>1</v>
      </c>
      <c r="D1974" t="s">
        <v>33</v>
      </c>
      <c r="E1974" t="s">
        <v>46</v>
      </c>
      <c r="F1974" t="s">
        <v>515</v>
      </c>
      <c r="G1974" t="s">
        <v>34</v>
      </c>
      <c r="H1974" s="52" t="str">
        <f>VLOOKUP(Tabla3[[#This Row],[Site]],'Important Info!'!$A$1:$J$135,10,FALSE)</f>
        <v>https://tools.sig.systems/site/details/134</v>
      </c>
      <c r="I1974" s="65" t="s">
        <v>128</v>
      </c>
      <c r="J1974" t="s">
        <v>41</v>
      </c>
      <c r="K1974" s="79" t="str">
        <f>VLOOKUP(Tabla3[[#This Row],[Site]],'Important Info!'!$A$1:$H$135,8,FALSE)</f>
        <v>-</v>
      </c>
      <c r="L1974" s="52" t="str">
        <f>VLOOKUP(Tabla3[[#This Row],[Site]],'Important Info!'!$A$1:$F$135,2,FALSE)</f>
        <v>2, 3, RemoteLot5, RemoteLot9</v>
      </c>
      <c r="M1974" s="52" t="str">
        <f>VLOOKUP(Tabla3[[#This Row],[Site]],'Important Info!'!$A$1:$F$135,3,FALSE)</f>
        <v>-</v>
      </c>
      <c r="N1974" s="52" t="str">
        <f>VLOOKUP(Tabla3[[#This Row],[Site]],'Important Info!'!$A$1:$F$135,4,FALSE)</f>
        <v>-</v>
      </c>
      <c r="O1974" s="52" t="str">
        <f>VLOOKUP(Tabla3[[#This Row],[Site]],'Important Info!'!$A$1:$F$135,5,FALSE)</f>
        <v>1, 7, RL1, RL5, RL9</v>
      </c>
      <c r="P1974" s="52" t="str">
        <f>VLOOKUP(Tabla3[[#This Row],[Site]],'Important Info!'!$A$1:$F$135,6,FALSE)</f>
        <v>3, 4, 15</v>
      </c>
      <c r="Q1974" s="91">
        <f>VLOOKUP(Tabla3[[#This Row],[Site]],'Important Info!'!$A$1:$J$135,9,FALSE)</f>
        <v>134</v>
      </c>
    </row>
    <row r="1975" spans="1:17" x14ac:dyDescent="0.25">
      <c r="A1975" t="str">
        <f>+Tabla3[[#This Row],[Site]]&amp;Tabla3[[#This Row],[Split]]</f>
        <v>(DT) Louisville21</v>
      </c>
      <c r="B1975">
        <v>21</v>
      </c>
      <c r="C1975">
        <v>1</v>
      </c>
      <c r="D1975" t="s">
        <v>62</v>
      </c>
      <c r="E1975" t="s">
        <v>35</v>
      </c>
      <c r="F1975" t="s">
        <v>99</v>
      </c>
      <c r="G1975" t="s">
        <v>490</v>
      </c>
      <c r="H1975" s="52" t="str">
        <f>VLOOKUP(Tabla3[[#This Row],[Site]],'Important Info!'!$A$1:$J$135,10,FALSE)</f>
        <v>https://tools.sig.systems/site/details/258</v>
      </c>
      <c r="J1975" t="s">
        <v>41</v>
      </c>
      <c r="K1975" s="79" t="str">
        <f>VLOOKUP(Tabla3[[#This Row],[Site]],'Important Info!'!$A$1:$H$135,8,FALSE)</f>
        <v>-</v>
      </c>
      <c r="L1975" s="52" t="str">
        <f>VLOOKUP(Tabla3[[#This Row],[Site]],'Important Info!'!$A$1:$F$135,2,FALSE)</f>
        <v>-</v>
      </c>
      <c r="M1975" s="52">
        <f>VLOOKUP(Tabla3[[#This Row],[Site]],'Important Info!'!$A$1:$F$135,3,FALSE)</f>
        <v>3</v>
      </c>
      <c r="N1975" s="52" t="str">
        <f>VLOOKUP(Tabla3[[#This Row],[Site]],'Important Info!'!$A$1:$F$135,4,FALSE)</f>
        <v>-</v>
      </c>
      <c r="O1975" s="52" t="str">
        <f>VLOOKUP(Tabla3[[#This Row],[Site]],'Important Info!'!$A$1:$F$135,5,FALSE)</f>
        <v>-</v>
      </c>
      <c r="P1975" s="52" t="str">
        <f>VLOOKUP(Tabla3[[#This Row],[Site]],'Important Info!'!$A$1:$F$135,6,FALSE)</f>
        <v>3, 8</v>
      </c>
      <c r="Q1975" s="91">
        <f>VLOOKUP(Tabla3[[#This Row],[Site]],'Important Info!'!$A$1:$J$135,9,FALSE)</f>
        <v>258</v>
      </c>
    </row>
    <row r="1976" spans="1:17" x14ac:dyDescent="0.25">
      <c r="A1976" t="str">
        <f>+Tabla3[[#This Row],[Site]]&amp;Tabla3[[#This Row],[Split]]</f>
        <v>(ML) Nissan Of Benton21</v>
      </c>
      <c r="B1976">
        <v>21</v>
      </c>
      <c r="C1976">
        <v>1</v>
      </c>
      <c r="D1976" t="s">
        <v>33</v>
      </c>
      <c r="E1976" t="s">
        <v>46</v>
      </c>
      <c r="F1976" s="41" t="s">
        <v>120</v>
      </c>
      <c r="G1976" t="s">
        <v>34</v>
      </c>
      <c r="H1976" s="52" t="str">
        <f>VLOOKUP(Tabla3[[#This Row],[Site]],'Important Info!'!$A$1:$J$135,10,FALSE)</f>
        <v>https://tools.sig.systems/site/details/247</v>
      </c>
      <c r="I1976" s="43"/>
      <c r="J1976" t="s">
        <v>41</v>
      </c>
      <c r="K1976" s="79" t="str">
        <f>VLOOKUP(Tabla3[[#This Row],[Site]],'Important Info!'!$A$1:$H$135,8,FALSE)</f>
        <v>-</v>
      </c>
      <c r="L1976" s="52" t="str">
        <f>VLOOKUP(Tabla3[[#This Row],[Site]],'Important Info!'!$A$1:$F$135,2,FALSE)</f>
        <v>5, 12</v>
      </c>
      <c r="M1976" s="52" t="str">
        <f>VLOOKUP(Tabla3[[#This Row],[Site]],'Important Info!'!$A$1:$F$135,3,FALSE)</f>
        <v>-</v>
      </c>
      <c r="N1976" s="52" t="str">
        <f>VLOOKUP(Tabla3[[#This Row],[Site]],'Important Info!'!$A$1:$F$135,4,FALSE)</f>
        <v>-</v>
      </c>
      <c r="O1976" s="52" t="str">
        <f>VLOOKUP(Tabla3[[#This Row],[Site]],'Important Info!'!$A$1:$F$135,5,FALSE)</f>
        <v>4, 18</v>
      </c>
      <c r="P1976" s="52" t="str">
        <f>VLOOKUP(Tabla3[[#This Row],[Site]],'Important Info!'!$A$1:$F$135,6,FALSE)</f>
        <v>-</v>
      </c>
      <c r="Q1976" s="91">
        <f>VLOOKUP(Tabla3[[#This Row],[Site]],'Important Info!'!$A$1:$J$135,9,FALSE)</f>
        <v>247</v>
      </c>
    </row>
    <row r="1977" spans="1:17" x14ac:dyDescent="0.25">
      <c r="A1977" t="str">
        <f>+Tabla3[[#This Row],[Site]]&amp;Tabla3[[#This Row],[Split]]</f>
        <v>(PE) Hudson Toyota Nissan CDJR (NO TOURS)21</v>
      </c>
      <c r="B1977">
        <v>21</v>
      </c>
      <c r="C1977">
        <v>1</v>
      </c>
      <c r="D1977" t="s">
        <v>485</v>
      </c>
      <c r="E1977" t="s">
        <v>35</v>
      </c>
      <c r="F1977" t="s">
        <v>82</v>
      </c>
      <c r="G1977" t="s">
        <v>490</v>
      </c>
      <c r="H1977" s="52" t="str">
        <f>VLOOKUP(Tabla3[[#This Row],[Site]],'Important Info!'!$A$1:$J$135,10,FALSE)</f>
        <v>https://tools.sig.systems/site/details/156</v>
      </c>
      <c r="J1977" t="s">
        <v>41</v>
      </c>
      <c r="K1977" s="79" t="str">
        <f>VLOOKUP(Tabla3[[#This Row],[Site]],'Important Info!'!$A$1:$H$135,8,FALSE)</f>
        <v>-</v>
      </c>
      <c r="L1977" s="52">
        <f>VLOOKUP(Tabla3[[#This Row],[Site]],'Important Info!'!$A$1:$F$135,2,FALSE)</f>
        <v>5</v>
      </c>
      <c r="M1977" s="52" t="str">
        <f>VLOOKUP(Tabla3[[#This Row],[Site]],'Important Info!'!$A$1:$F$135,3,FALSE)</f>
        <v>3, 7, 18</v>
      </c>
      <c r="N1977" s="52" t="str">
        <f>VLOOKUP(Tabla3[[#This Row],[Site]],'Important Info!'!$A$1:$F$135,4,FALSE)</f>
        <v>-</v>
      </c>
      <c r="O1977" s="52">
        <f>VLOOKUP(Tabla3[[#This Row],[Site]],'Important Info!'!$A$1:$F$135,5,FALSE)</f>
        <v>84</v>
      </c>
      <c r="P1977" s="52" t="str">
        <f>VLOOKUP(Tabla3[[#This Row],[Site]],'Important Info!'!$A$1:$F$135,6,FALSE)</f>
        <v>1, 2, 3, 4, 5, 6, 7, 8</v>
      </c>
      <c r="Q1977" s="91">
        <f>VLOOKUP(Tabla3[[#This Row],[Site]],'Important Info!'!$A$1:$J$135,9,FALSE)</f>
        <v>156</v>
      </c>
    </row>
    <row r="1978" spans="1:17" x14ac:dyDescent="0.25">
      <c r="A1978" t="str">
        <f>+Tabla3[[#This Row],[Site]]&amp;Tabla3[[#This Row],[Split]]</f>
        <v>(PE) Scofield Service Center (NO TOURS)21</v>
      </c>
      <c r="B1978">
        <v>21</v>
      </c>
      <c r="C1978">
        <v>1</v>
      </c>
      <c r="D1978" t="s">
        <v>485</v>
      </c>
      <c r="E1978" t="s">
        <v>35</v>
      </c>
      <c r="F1978" t="s">
        <v>83</v>
      </c>
      <c r="G1978" t="s">
        <v>490</v>
      </c>
      <c r="H1978" s="52" t="str">
        <f>VLOOKUP(Tabla3[[#This Row],[Site]],'Important Info!'!$A$1:$J$135,10,FALSE)</f>
        <v>https://tools.sig.systems/site/details/193</v>
      </c>
      <c r="I1978" t="s">
        <v>177</v>
      </c>
      <c r="J1978" t="s">
        <v>41</v>
      </c>
      <c r="K1978" s="79" t="str">
        <f>VLOOKUP(Tabla3[[#This Row],[Site]],'Important Info!'!$A$1:$H$135,8,FALSE)</f>
        <v>-</v>
      </c>
      <c r="L1978" s="52">
        <f>VLOOKUP(Tabla3[[#This Row],[Site]],'Important Info!'!$A$1:$F$135,2,FALSE)</f>
        <v>1</v>
      </c>
      <c r="M1978" s="52" t="str">
        <f>VLOOKUP(Tabla3[[#This Row],[Site]],'Important Info!'!$A$1:$F$135,3,FALSE)</f>
        <v>-</v>
      </c>
      <c r="N1978" s="52" t="str">
        <f>VLOOKUP(Tabla3[[#This Row],[Site]],'Important Info!'!$A$1:$F$135,4,FALSE)</f>
        <v>-</v>
      </c>
      <c r="O1978" s="52">
        <f>VLOOKUP(Tabla3[[#This Row],[Site]],'Important Info!'!$A$1:$F$135,5,FALSE)</f>
        <v>9</v>
      </c>
      <c r="P1978" s="52" t="str">
        <f>VLOOKUP(Tabla3[[#This Row],[Site]],'Important Info!'!$A$1:$F$135,6,FALSE)</f>
        <v>1, 17</v>
      </c>
      <c r="Q1978" s="91">
        <f>VLOOKUP(Tabla3[[#This Row],[Site]],'Important Info!'!$A$1:$J$135,9,FALSE)</f>
        <v>193</v>
      </c>
    </row>
    <row r="1979" spans="1:17" x14ac:dyDescent="0.25">
      <c r="A1979" t="str">
        <f>+Tabla3[[#This Row],[Site]]&amp;Tabla3[[#This Row],[Split]]</f>
        <v>(RV) Toms Camperland Avondale (NO TOURS)21</v>
      </c>
      <c r="B1979">
        <v>21</v>
      </c>
      <c r="C1979">
        <v>1</v>
      </c>
      <c r="D1979" t="s">
        <v>51</v>
      </c>
      <c r="E1979" t="s">
        <v>161</v>
      </c>
      <c r="F1979" t="s">
        <v>80</v>
      </c>
      <c r="G1979" t="s">
        <v>52</v>
      </c>
      <c r="H1979" s="52" t="str">
        <f>VLOOKUP(Tabla3[[#This Row],[Site]],'Important Info!'!$A$1:$J$135,10,FALSE)</f>
        <v>https://tools.sig.systems/site/details/248</v>
      </c>
      <c r="I1979" s="2" t="s">
        <v>163</v>
      </c>
      <c r="J1979" t="s">
        <v>164</v>
      </c>
      <c r="K1979" s="79" t="str">
        <f>VLOOKUP(Tabla3[[#This Row],[Site]],'Important Info!'!$A$1:$H$135,8,FALSE)</f>
        <v>-</v>
      </c>
      <c r="L1979" s="52">
        <f>VLOOKUP(Tabla3[[#This Row],[Site]],'Important Info!'!$A$1:$F$135,2,FALSE)</f>
        <v>10</v>
      </c>
      <c r="M1979" s="52" t="str">
        <f>VLOOKUP(Tabla3[[#This Row],[Site]],'Important Info!'!$A$1:$F$135,3,FALSE)</f>
        <v>2, 7</v>
      </c>
      <c r="N1979" s="52" t="str">
        <f>VLOOKUP(Tabla3[[#This Row],[Site]],'Important Info!'!$A$1:$F$135,4,FALSE)</f>
        <v>-</v>
      </c>
      <c r="O1979" s="52" t="str">
        <f>VLOOKUP(Tabla3[[#This Row],[Site]],'Important Info!'!$A$1:$F$135,5,FALSE)</f>
        <v>-</v>
      </c>
      <c r="P1979" s="52" t="str">
        <f>VLOOKUP(Tabla3[[#This Row],[Site]],'Important Info!'!$A$1:$F$135,6,FALSE)</f>
        <v>2, 7, 8, 13, 15</v>
      </c>
      <c r="Q1979" s="91">
        <f>VLOOKUP(Tabla3[[#This Row],[Site]],'Important Info!'!$A$1:$J$135,9,FALSE)</f>
        <v>248</v>
      </c>
    </row>
    <row r="1980" spans="1:17" x14ac:dyDescent="0.25">
      <c r="A1980" t="str">
        <f>+Tabla3[[#This Row],[Site]]&amp;Tabla3[[#This Row],[Split]]</f>
        <v>(JE) Jim Ellis Ford Sandy Springs21</v>
      </c>
      <c r="B1980">
        <v>21</v>
      </c>
      <c r="C1980">
        <v>2</v>
      </c>
      <c r="D1980" t="s">
        <v>62</v>
      </c>
      <c r="E1980" t="s">
        <v>35</v>
      </c>
      <c r="F1980" t="s">
        <v>187</v>
      </c>
      <c r="G1980" t="s">
        <v>490</v>
      </c>
      <c r="H1980" s="52" t="str">
        <f>VLOOKUP(Tabla3[[#This Row],[Site]],'Important Info!'!$A$1:$J$135,10,FALSE)</f>
        <v>https://tools.sig.systems/site/details/142</v>
      </c>
      <c r="I1980" s="2"/>
      <c r="J1980" t="s">
        <v>41</v>
      </c>
      <c r="K1980" s="79" t="str">
        <f>VLOOKUP(Tabla3[[#This Row],[Site]],'Important Info!'!$A$1:$H$135,8,FALSE)</f>
        <v>-</v>
      </c>
      <c r="L1980" s="52" t="str">
        <f>VLOOKUP(Tabla3[[#This Row],[Site]],'Important Info!'!$A$1:$F$135,2,FALSE)</f>
        <v>1, 5</v>
      </c>
      <c r="M1980" s="52" t="str">
        <f>VLOOKUP(Tabla3[[#This Row],[Site]],'Important Info!'!$A$1:$F$135,3,FALSE)</f>
        <v>-</v>
      </c>
      <c r="N1980" s="52" t="str">
        <f>VLOOKUP(Tabla3[[#This Row],[Site]],'Important Info!'!$A$1:$F$135,4,FALSE)</f>
        <v>-</v>
      </c>
      <c r="O1980" s="52" t="str">
        <f>VLOOKUP(Tabla3[[#This Row],[Site]],'Important Info!'!$A$1:$F$135,5,FALSE)</f>
        <v>1, 5, 9, 26</v>
      </c>
      <c r="P1980" s="52" t="str">
        <f>VLOOKUP(Tabla3[[#This Row],[Site]],'Important Info!'!$A$1:$F$135,6,FALSE)</f>
        <v>3, 4, 8, 28</v>
      </c>
      <c r="Q1980" s="91">
        <f>VLOOKUP(Tabla3[[#This Row],[Site]],'Important Info!'!$A$1:$J$135,9,FALSE)</f>
        <v>142</v>
      </c>
    </row>
    <row r="1981" spans="1:17" x14ac:dyDescent="0.25">
      <c r="A1981" t="str">
        <f>+Tabla3[[#This Row],[Site]]&amp;Tabla3[[#This Row],[Split]]</f>
        <v>(KG) Texan CDJR21</v>
      </c>
      <c r="B1981">
        <v>21</v>
      </c>
      <c r="C1981">
        <v>2</v>
      </c>
      <c r="D1981" t="s">
        <v>33</v>
      </c>
      <c r="E1981" t="s">
        <v>46</v>
      </c>
      <c r="F1981" t="s">
        <v>70</v>
      </c>
      <c r="G1981" t="s">
        <v>34</v>
      </c>
      <c r="H1981" s="52" t="str">
        <f>VLOOKUP(Tabla3[[#This Row],[Site]],'Important Info!'!$A$1:$J$135,10,FALSE)</f>
        <v>https://tools.sig.systems/site/details/238</v>
      </c>
      <c r="I1981" s="43" t="s">
        <v>137</v>
      </c>
      <c r="J1981" t="s">
        <v>41</v>
      </c>
      <c r="K1981" s="79" t="str">
        <f>VLOOKUP(Tabla3[[#This Row],[Site]],'Important Info!'!$A$1:$H$135,8,FALSE)</f>
        <v>-</v>
      </c>
      <c r="L1981" s="52" t="str">
        <f>VLOOKUP(Tabla3[[#This Row],[Site]],'Important Info!'!$A$1:$F$135,2,FALSE)</f>
        <v>11, 12, 13, 14, 20, 32, 34, 36, 77</v>
      </c>
      <c r="M1981" s="52" t="str">
        <f>VLOOKUP(Tabla3[[#This Row],[Site]],'Important Info!'!$A$1:$F$135,3,FALSE)</f>
        <v>-</v>
      </c>
      <c r="N1981" s="52" t="str">
        <f>VLOOKUP(Tabla3[[#This Row],[Site]],'Important Info!'!$A$1:$F$135,4,FALSE)</f>
        <v>67, 68, 69, 70</v>
      </c>
      <c r="O1981" s="52" t="str">
        <f>VLOOKUP(Tabla3[[#This Row],[Site]],'Important Info!'!$A$1:$F$135,5,FALSE)</f>
        <v>2, 10, 14, 25, 29, 35, 38</v>
      </c>
      <c r="P1981" s="52" t="str">
        <f>VLOOKUP(Tabla3[[#This Row],[Site]],'Important Info!'!$A$1:$F$135,6,FALSE)</f>
        <v>36, 46</v>
      </c>
      <c r="Q1981" s="91">
        <f>VLOOKUP(Tabla3[[#This Row],[Site]],'Important Info!'!$A$1:$J$135,9,FALSE)</f>
        <v>238</v>
      </c>
    </row>
    <row r="1982" spans="1:17" x14ac:dyDescent="0.25">
      <c r="A1982" t="str">
        <f>+Tabla3[[#This Row],[Site]]&amp;Tabla3[[#This Row],[Split]]</f>
        <v>(ML) Columbia Honda (NO TOURS)21</v>
      </c>
      <c r="B1982">
        <v>21</v>
      </c>
      <c r="C1982">
        <v>2</v>
      </c>
      <c r="D1982" t="s">
        <v>33</v>
      </c>
      <c r="E1982" t="s">
        <v>46</v>
      </c>
      <c r="F1982" t="s">
        <v>143</v>
      </c>
      <c r="G1982" t="s">
        <v>34</v>
      </c>
      <c r="H1982" s="52" t="str">
        <f>VLOOKUP(Tabla3[[#This Row],[Site]],'Important Info!'!$A$1:$J$135,10,FALSE)</f>
        <v>https://tools.sig.systems/site/details/272</v>
      </c>
      <c r="I1982" s="43" t="s">
        <v>144</v>
      </c>
      <c r="J1982" t="s">
        <v>41</v>
      </c>
      <c r="K1982" s="79" t="str">
        <f>VLOOKUP(Tabla3[[#This Row],[Site]],'Important Info!'!$A$1:$H$135,8,FALSE)</f>
        <v>-</v>
      </c>
      <c r="L1982" s="52" t="str">
        <f>VLOOKUP(Tabla3[[#This Row],[Site]],'Important Info!'!$A$1:$F$135,2,FALSE)</f>
        <v>-</v>
      </c>
      <c r="M1982" s="52" t="str">
        <f>VLOOKUP(Tabla3[[#This Row],[Site]],'Important Info!'!$A$1:$F$135,3,FALSE)</f>
        <v>9, 19, 20</v>
      </c>
      <c r="N1982" s="52" t="str">
        <f>VLOOKUP(Tabla3[[#This Row],[Site]],'Important Info!'!$A$1:$F$135,4,FALSE)</f>
        <v>-</v>
      </c>
      <c r="O1982" s="52" t="str">
        <f>VLOOKUP(Tabla3[[#This Row],[Site]],'Important Info!'!$A$1:$F$135,5,FALSE)</f>
        <v>10, 17, 19</v>
      </c>
      <c r="P1982" s="52" t="str">
        <f>VLOOKUP(Tabla3[[#This Row],[Site]],'Important Info!'!$A$1:$F$135,6,FALSE)</f>
        <v>3, 4, 5</v>
      </c>
      <c r="Q1982" s="91">
        <f>VLOOKUP(Tabla3[[#This Row],[Site]],'Important Info!'!$A$1:$J$135,9,FALSE)</f>
        <v>272</v>
      </c>
    </row>
    <row r="1983" spans="1:17" x14ac:dyDescent="0.25">
      <c r="A1983" t="str">
        <f>+Tabla3[[#This Row],[Site]]&amp;Tabla3[[#This Row],[Split]]</f>
        <v>(RV) Toms Camperland Mesa (NO TOURS)21</v>
      </c>
      <c r="B1983">
        <v>21</v>
      </c>
      <c r="C1983">
        <v>2</v>
      </c>
      <c r="D1983" t="s">
        <v>51</v>
      </c>
      <c r="E1983" t="s">
        <v>161</v>
      </c>
      <c r="F1983" t="s">
        <v>81</v>
      </c>
      <c r="G1983" t="s">
        <v>52</v>
      </c>
      <c r="H1983" s="52" t="str">
        <f>VLOOKUP(Tabla3[[#This Row],[Site]],'Important Info!'!$A$1:$J$135,10,FALSE)</f>
        <v>https://tools.sig.systems/site/details/222</v>
      </c>
      <c r="J1983" t="s">
        <v>41</v>
      </c>
      <c r="K1983" s="79" t="str">
        <f>VLOOKUP(Tabla3[[#This Row],[Site]],'Important Info!'!$A$1:$H$135,8,FALSE)</f>
        <v>-</v>
      </c>
      <c r="L1983" s="52" t="str">
        <f>VLOOKUP(Tabla3[[#This Row],[Site]],'Important Info!'!$A$1:$F$135,2,FALSE)</f>
        <v>1, 2</v>
      </c>
      <c r="M1983" s="52" t="str">
        <f>VLOOKUP(Tabla3[[#This Row],[Site]],'Important Info!'!$A$1:$F$135,3,FALSE)</f>
        <v>-</v>
      </c>
      <c r="N1983" s="52" t="str">
        <f>VLOOKUP(Tabla3[[#This Row],[Site]],'Important Info!'!$A$1:$F$135,4,FALSE)</f>
        <v>-</v>
      </c>
      <c r="O1983" s="52" t="str">
        <f>VLOOKUP(Tabla3[[#This Row],[Site]],'Important Info!'!$A$1:$F$135,5,FALSE)</f>
        <v>-</v>
      </c>
      <c r="P1983" s="52" t="str">
        <f>VLOOKUP(Tabla3[[#This Row],[Site]],'Important Info!'!$A$1:$F$135,6,FALSE)</f>
        <v>1, 4, 6, 8, 10, 18</v>
      </c>
      <c r="Q1983" s="91">
        <f>VLOOKUP(Tabla3[[#This Row],[Site]],'Important Info!'!$A$1:$J$135,9,FALSE)</f>
        <v>222</v>
      </c>
    </row>
    <row r="1984" spans="1:17" x14ac:dyDescent="0.25">
      <c r="A1984" t="str">
        <f>+Tabla3[[#This Row],[Site]]&amp;Tabla3[[#This Row],[Split]]</f>
        <v>(WAG) Greeley Chrysler Dodge Jeep Ram (NO TOURS)21</v>
      </c>
      <c r="B1984">
        <v>21</v>
      </c>
      <c r="C1984">
        <v>2</v>
      </c>
      <c r="D1984" t="s">
        <v>44</v>
      </c>
      <c r="E1984" t="s">
        <v>53</v>
      </c>
      <c r="F1984" t="s">
        <v>497</v>
      </c>
      <c r="G1984" t="s">
        <v>45</v>
      </c>
      <c r="H1984" s="52" t="str">
        <f>VLOOKUP(Tabla3[[#This Row],[Site]],'Important Info!'!$A$1:$J$135,10,FALSE)</f>
        <v>https://tools.sig.systems/site/details/130</v>
      </c>
      <c r="I1984" s="43" t="s">
        <v>153</v>
      </c>
      <c r="J1984" t="s">
        <v>41</v>
      </c>
      <c r="K1984" s="79" t="str">
        <f>VLOOKUP(Tabla3[[#This Row],[Site]],'Important Info!'!$A$1:$H$135,8,FALSE)</f>
        <v>-</v>
      </c>
      <c r="L1984" s="52" t="str">
        <f>VLOOKUP(Tabla3[[#This Row],[Site]],'Important Info!'!$A$1:$F$135,2,FALSE)</f>
        <v>17, 23 &amp; 18</v>
      </c>
      <c r="M1984" s="52" t="str">
        <f>VLOOKUP(Tabla3[[#This Row],[Site]],'Important Info!'!$A$1:$F$135,3,FALSE)</f>
        <v>4, 5, 6, 7, 8, 51, 55</v>
      </c>
      <c r="N1984" s="52" t="str">
        <f>VLOOKUP(Tabla3[[#This Row],[Site]],'Important Info!'!$A$1:$F$135,4,FALSE)</f>
        <v>-</v>
      </c>
      <c r="O1984" s="52" t="str">
        <f>VLOOKUP(Tabla3[[#This Row],[Site]],'Important Info!'!$A$1:$F$135,5,FALSE)</f>
        <v>3, 13, 17, 49, 53, 59</v>
      </c>
      <c r="P1984" s="52" t="str">
        <f>VLOOKUP(Tabla3[[#This Row],[Site]],'Important Info!'!$A$1:$F$135,6,FALSE)</f>
        <v>8, 9, 10, 51, 62</v>
      </c>
      <c r="Q1984" s="91">
        <f>VLOOKUP(Tabla3[[#This Row],[Site]],'Important Info!'!$A$1:$J$135,9,FALSE)</f>
        <v>130</v>
      </c>
    </row>
    <row r="1985" spans="1:17" x14ac:dyDescent="0.25">
      <c r="A1985" t="str">
        <f>+Tabla3[[#This Row],[Site]]&amp;Tabla3[[#This Row],[Split]]</f>
        <v>(AS) Bill Estes Ford (NO TOURS)21</v>
      </c>
      <c r="B1985">
        <v>21</v>
      </c>
      <c r="C1985">
        <v>3</v>
      </c>
      <c r="D1985" t="s">
        <v>62</v>
      </c>
      <c r="E1985" t="s">
        <v>35</v>
      </c>
      <c r="F1985" t="s">
        <v>178</v>
      </c>
      <c r="G1985" t="s">
        <v>490</v>
      </c>
      <c r="H1985" s="52" t="str">
        <f>VLOOKUP(Tabla3[[#This Row],[Site]],'Important Info!'!$A$1:$J$135,10,FALSE)</f>
        <v>https://tools.sig.systems/site/details/125</v>
      </c>
      <c r="J1985" t="s">
        <v>41</v>
      </c>
      <c r="K1985" s="79" t="str">
        <f>VLOOKUP(Tabla3[[#This Row],[Site]],'Important Info!'!$A$1:$H$135,8,FALSE)</f>
        <v>-</v>
      </c>
      <c r="L1985" s="52" t="str">
        <f>VLOOKUP(Tabla3[[#This Row],[Site]],'Important Info!'!$A$1:$F$135,2,FALSE)</f>
        <v>-</v>
      </c>
      <c r="M1985" s="52" t="str">
        <f>VLOOKUP(Tabla3[[#This Row],[Site]],'Important Info!'!$A$1:$F$135,3,FALSE)</f>
        <v>2, 3, 13, 16</v>
      </c>
      <c r="N1985" s="52" t="str">
        <f>VLOOKUP(Tabla3[[#This Row],[Site]],'Important Info!'!$A$1:$F$135,4,FALSE)</f>
        <v>-</v>
      </c>
      <c r="O1985" s="52" t="str">
        <f>VLOOKUP(Tabla3[[#This Row],[Site]],'Important Info!'!$A$1:$F$135,5,FALSE)</f>
        <v>1, 10, 14, 19</v>
      </c>
      <c r="P1985" s="52" t="str">
        <f>VLOOKUP(Tabla3[[#This Row],[Site]],'Important Info!'!$A$1:$F$135,6,FALSE)</f>
        <v>7, 8, 9, 10, 11, 12, 14</v>
      </c>
      <c r="Q1985" s="91">
        <f>VLOOKUP(Tabla3[[#This Row],[Site]],'Important Info!'!$A$1:$J$135,9,FALSE)</f>
        <v>125</v>
      </c>
    </row>
    <row r="1986" spans="1:17" x14ac:dyDescent="0.25">
      <c r="A1986" t="str">
        <f>+Tabla3[[#This Row],[Site]]&amp;Tabla3[[#This Row],[Split]]</f>
        <v>(AS) Park Place Mercedes Benz Arlington (NO TOURS)21</v>
      </c>
      <c r="B1986">
        <v>21</v>
      </c>
      <c r="C1986">
        <v>3</v>
      </c>
      <c r="D1986" t="s">
        <v>33</v>
      </c>
      <c r="E1986" t="s">
        <v>46</v>
      </c>
      <c r="F1986" t="s">
        <v>518</v>
      </c>
      <c r="G1986" t="s">
        <v>34</v>
      </c>
      <c r="H1986" s="52" t="str">
        <f>VLOOKUP(Tabla3[[#This Row],[Site]],'Important Info!'!$A$1:$J$135,10,FALSE)</f>
        <v>https://tools.sig.systems/site/details/169</v>
      </c>
      <c r="J1986" t="s">
        <v>41</v>
      </c>
      <c r="K1986" s="79" t="str">
        <f>VLOOKUP(Tabla3[[#This Row],[Site]],'Important Info!'!$A$1:$H$135,8,FALSE)</f>
        <v>-</v>
      </c>
      <c r="L1986" s="52" t="str">
        <f>VLOOKUP(Tabla3[[#This Row],[Site]],'Important Info!'!$A$1:$F$135,2,FALSE)</f>
        <v>1, 9, 14</v>
      </c>
      <c r="M1986" s="52" t="str">
        <f>VLOOKUP(Tabla3[[#This Row],[Site]],'Important Info!'!$A$1:$F$135,3,FALSE)</f>
        <v>-</v>
      </c>
      <c r="N1986" s="52" t="str">
        <f>VLOOKUP(Tabla3[[#This Row],[Site]],'Important Info!'!$A$1:$F$135,4,FALSE)</f>
        <v>77, 78, 79, 80</v>
      </c>
      <c r="O1986" s="52" t="str">
        <f>VLOOKUP(Tabla3[[#This Row],[Site]],'Important Info!'!$A$1:$F$135,5,FALSE)</f>
        <v>2, 10, 18, 22, 31, 40</v>
      </c>
      <c r="P1986" s="52">
        <f>VLOOKUP(Tabla3[[#This Row],[Site]],'Important Info!'!$A$1:$F$135,6,FALSE)</f>
        <v>9</v>
      </c>
      <c r="Q1986" s="91">
        <f>VLOOKUP(Tabla3[[#This Row],[Site]],'Important Info!'!$A$1:$J$135,9,FALSE)</f>
        <v>169</v>
      </c>
    </row>
    <row r="1987" spans="1:17" x14ac:dyDescent="0.25">
      <c r="A1987" t="str">
        <f>+Tabla3[[#This Row],[Site]]&amp;Tabla3[[#This Row],[Split]]</f>
        <v>(KG) Texan GMC Buick (NO TOURS)21</v>
      </c>
      <c r="B1987">
        <v>21</v>
      </c>
      <c r="C1987">
        <v>3</v>
      </c>
      <c r="D1987" t="s">
        <v>33</v>
      </c>
      <c r="E1987" t="s">
        <v>46</v>
      </c>
      <c r="F1987" t="s">
        <v>111</v>
      </c>
      <c r="G1987" t="s">
        <v>34</v>
      </c>
      <c r="H1987" s="52" t="str">
        <f>VLOOKUP(Tabla3[[#This Row],[Site]],'Important Info!'!$A$1:$J$135,10,FALSE)</f>
        <v>https://tools.sig.systems/site/details/225</v>
      </c>
      <c r="I1987" s="2" t="s">
        <v>137</v>
      </c>
      <c r="J1987" t="s">
        <v>41</v>
      </c>
      <c r="K1987" s="79" t="str">
        <f>VLOOKUP(Tabla3[[#This Row],[Site]],'Important Info!'!$A$1:$H$135,8,FALSE)</f>
        <v>-</v>
      </c>
      <c r="L1987" s="52" t="str">
        <f>VLOOKUP(Tabla3[[#This Row],[Site]],'Important Info!'!$A$1:$F$135,2,FALSE)</f>
        <v>1, 20, 53</v>
      </c>
      <c r="M1987" s="52" t="str">
        <f>VLOOKUP(Tabla3[[#This Row],[Site]],'Important Info!'!$A$1:$F$135,3,FALSE)</f>
        <v>-</v>
      </c>
      <c r="N1987" s="52" t="str">
        <f>VLOOKUP(Tabla3[[#This Row],[Site]],'Important Info!'!$A$1:$F$135,4,FALSE)</f>
        <v>-</v>
      </c>
      <c r="O1987" s="52" t="str">
        <f>VLOOKUP(Tabla3[[#This Row],[Site]],'Important Info!'!$A$1:$F$135,5,FALSE)</f>
        <v>2, 8, 14</v>
      </c>
      <c r="P1987" s="52" t="str">
        <f>VLOOKUP(Tabla3[[#This Row],[Site]],'Important Info!'!$A$1:$F$135,6,FALSE)</f>
        <v>51, 52, 16</v>
      </c>
      <c r="Q1987" s="91">
        <f>VLOOKUP(Tabla3[[#This Row],[Site]],'Important Info!'!$A$1:$J$135,9,FALSE)</f>
        <v>225</v>
      </c>
    </row>
    <row r="1988" spans="1:17" x14ac:dyDescent="0.25">
      <c r="A1988" t="str">
        <f>+Tabla3[[#This Row],[Site]]&amp;Tabla3[[#This Row],[Split]]</f>
        <v>(LM) Luther Mazda / Mitsubishi21</v>
      </c>
      <c r="B1988">
        <v>21</v>
      </c>
      <c r="C1988">
        <v>3</v>
      </c>
      <c r="D1988" t="s">
        <v>33</v>
      </c>
      <c r="E1988" t="s">
        <v>46</v>
      </c>
      <c r="F1988" t="s">
        <v>103</v>
      </c>
      <c r="G1988" t="s">
        <v>34</v>
      </c>
      <c r="H1988" s="52" t="str">
        <f>VLOOKUP(Tabla3[[#This Row],[Site]],'Important Info!'!$A$1:$J$135,10,FALSE)</f>
        <v>https://tools.sig.systems/site/details/147</v>
      </c>
      <c r="I1988" s="2" t="s">
        <v>138</v>
      </c>
      <c r="J1988" t="s">
        <v>41</v>
      </c>
      <c r="K1988" s="79" t="str">
        <f>VLOOKUP(Tabla3[[#This Row],[Site]],'Important Info!'!$A$1:$H$135,8,FALSE)</f>
        <v>-</v>
      </c>
      <c r="L1988" s="52" t="str">
        <f>VLOOKUP(Tabla3[[#This Row],[Site]],'Important Info!'!$A$1:$F$135,2,FALSE)</f>
        <v>4, 5, 6</v>
      </c>
      <c r="M1988" s="52" t="str">
        <f>VLOOKUP(Tabla3[[#This Row],[Site]],'Important Info!'!$A$1:$F$135,3,FALSE)</f>
        <v>-</v>
      </c>
      <c r="N1988" s="52" t="str">
        <f>VLOOKUP(Tabla3[[#This Row],[Site]],'Important Info!'!$A$1:$F$135,4,FALSE)</f>
        <v>1, 2</v>
      </c>
      <c r="O1988" s="52" t="str">
        <f>VLOOKUP(Tabla3[[#This Row],[Site]],'Important Info!'!$A$1:$F$135,5,FALSE)</f>
        <v>-</v>
      </c>
      <c r="P1988" s="52" t="str">
        <f>VLOOKUP(Tabla3[[#This Row],[Site]],'Important Info!'!$A$1:$F$135,6,FALSE)</f>
        <v>13, 14, 15, 16</v>
      </c>
      <c r="Q1988" s="91">
        <f>VLOOKUP(Tabla3[[#This Row],[Site]],'Important Info!'!$A$1:$J$135,9,FALSE)</f>
        <v>147</v>
      </c>
    </row>
    <row r="1989" spans="1:17" x14ac:dyDescent="0.25">
      <c r="A1989" t="str">
        <f>+Tabla3[[#This Row],[Site]]&amp;Tabla3[[#This Row],[Split]]</f>
        <v>(ML) Joe Machens CDJR21</v>
      </c>
      <c r="B1989">
        <v>21</v>
      </c>
      <c r="C1989">
        <v>3</v>
      </c>
      <c r="D1989" t="s">
        <v>33</v>
      </c>
      <c r="E1989" t="s">
        <v>46</v>
      </c>
      <c r="F1989" t="s">
        <v>88</v>
      </c>
      <c r="G1989" t="s">
        <v>34</v>
      </c>
      <c r="H1989" s="52" t="str">
        <f>VLOOKUP(Tabla3[[#This Row],[Site]],'Important Info!'!$A$1:$J$135,10,FALSE)</f>
        <v>https://tools.sig.systems/site/details/273</v>
      </c>
      <c r="I1989" s="2" t="s">
        <v>146</v>
      </c>
      <c r="J1989" t="s">
        <v>41</v>
      </c>
      <c r="K1989" s="79" t="str">
        <f>VLOOKUP(Tabla3[[#This Row],[Site]],'Important Info!'!$A$1:$H$135,8,FALSE)</f>
        <v>-</v>
      </c>
      <c r="L1989" s="52" t="str">
        <f>VLOOKUP(Tabla3[[#This Row],[Site]],'Important Info!'!$A$1:$F$135,2,FALSE)</f>
        <v>-</v>
      </c>
      <c r="M1989" s="52">
        <f>VLOOKUP(Tabla3[[#This Row],[Site]],'Important Info!'!$A$1:$F$135,3,FALSE)</f>
        <v>3</v>
      </c>
      <c r="N1989" s="52" t="str">
        <f>VLOOKUP(Tabla3[[#This Row],[Site]],'Important Info!'!$A$1:$F$135,4,FALSE)</f>
        <v>-</v>
      </c>
      <c r="O1989" s="52" t="str">
        <f>VLOOKUP(Tabla3[[#This Row],[Site]],'Important Info!'!$A$1:$F$135,5,FALSE)</f>
        <v>-</v>
      </c>
      <c r="P1989" s="52" t="str">
        <f>VLOOKUP(Tabla3[[#This Row],[Site]],'Important Info!'!$A$1:$F$135,6,FALSE)</f>
        <v>1, 2, 3,</v>
      </c>
      <c r="Q1989" s="91">
        <f>VLOOKUP(Tabla3[[#This Row],[Site]],'Important Info!'!$A$1:$J$135,9,FALSE)</f>
        <v>273</v>
      </c>
    </row>
    <row r="1990" spans="1:17" x14ac:dyDescent="0.25">
      <c r="A1990" t="str">
        <f>+Tabla3[[#This Row],[Site]]&amp;Tabla3[[#This Row],[Split]]</f>
        <v>(PE) BMW of Greenwich (NO TOURS)21</v>
      </c>
      <c r="B1990">
        <v>21</v>
      </c>
      <c r="C1990">
        <v>3</v>
      </c>
      <c r="D1990" t="s">
        <v>485</v>
      </c>
      <c r="E1990" t="s">
        <v>35</v>
      </c>
      <c r="F1990" t="s">
        <v>170</v>
      </c>
      <c r="G1990" t="s">
        <v>490</v>
      </c>
      <c r="H1990" s="52" t="str">
        <f>VLOOKUP(Tabla3[[#This Row],[Site]],'Important Info!'!$A$1:$J$135,10,FALSE)</f>
        <v>https://tools.sig.systems/site/details/186</v>
      </c>
      <c r="I1990" s="43" t="s">
        <v>171</v>
      </c>
      <c r="J1990" t="s">
        <v>41</v>
      </c>
      <c r="K1990" s="79" t="str">
        <f>VLOOKUP(Tabla3[[#This Row],[Site]],'Important Info!'!$A$1:$H$135,8,FALSE)</f>
        <v>-</v>
      </c>
      <c r="L1990" s="52" t="str">
        <f>VLOOKUP(Tabla3[[#This Row],[Site]],'Important Info!'!$A$1:$F$135,2,FALSE)</f>
        <v>1, 6, 15</v>
      </c>
      <c r="M1990" s="52" t="str">
        <f>VLOOKUP(Tabla3[[#This Row],[Site]],'Important Info!'!$A$1:$F$135,3,FALSE)</f>
        <v>-</v>
      </c>
      <c r="N1990" s="52" t="str">
        <f>VLOOKUP(Tabla3[[#This Row],[Site]],'Important Info!'!$A$1:$F$135,4,FALSE)</f>
        <v>-</v>
      </c>
      <c r="O1990" s="52" t="str">
        <f>VLOOKUP(Tabla3[[#This Row],[Site]],'Important Info!'!$A$1:$F$135,5,FALSE)</f>
        <v>-</v>
      </c>
      <c r="P1990" s="52">
        <f>VLOOKUP(Tabla3[[#This Row],[Site]],'Important Info!'!$A$1:$F$135,6,FALSE)</f>
        <v>12</v>
      </c>
      <c r="Q1990" s="91">
        <f>VLOOKUP(Tabla3[[#This Row],[Site]],'Important Info!'!$A$1:$J$135,9,FALSE)</f>
        <v>186</v>
      </c>
    </row>
    <row r="1991" spans="1:17" x14ac:dyDescent="0.25">
      <c r="A1991" t="str">
        <f>+Tabla3[[#This Row],[Site]]&amp;Tabla3[[#This Row],[Split]]</f>
        <v>(AS) Park Place Volvo Sales (NO TOURS)21</v>
      </c>
      <c r="B1991">
        <v>21</v>
      </c>
      <c r="C1991">
        <v>4</v>
      </c>
      <c r="D1991" t="s">
        <v>33</v>
      </c>
      <c r="E1991" t="s">
        <v>46</v>
      </c>
      <c r="F1991" t="s">
        <v>521</v>
      </c>
      <c r="G1991" t="s">
        <v>34</v>
      </c>
      <c r="H1991" s="52" t="str">
        <f>VLOOKUP(Tabla3[[#This Row],[Site]],'Important Info!'!$A$1:$J$135,10,FALSE)</f>
        <v>https://tools.sig.systems/site/details/139</v>
      </c>
      <c r="I1991" s="65" t="s">
        <v>125</v>
      </c>
      <c r="J1991" t="s">
        <v>41</v>
      </c>
      <c r="K1991" s="79" t="str">
        <f>VLOOKUP(Tabla3[[#This Row],[Site]],'Important Info!'!$A$1:$H$135,8,FALSE)</f>
        <v>-</v>
      </c>
      <c r="L1991" s="52" t="str">
        <f>VLOOKUP(Tabla3[[#This Row],[Site]],'Important Info!'!$A$1:$F$135,2,FALSE)</f>
        <v>4, 6, 9, 11</v>
      </c>
      <c r="M1991" s="52" t="str">
        <f>VLOOKUP(Tabla3[[#This Row],[Site]],'Important Info!'!$A$1:$F$135,3,FALSE)</f>
        <v>-</v>
      </c>
      <c r="N1991" s="52" t="str">
        <f>VLOOKUP(Tabla3[[#This Row],[Site]],'Important Info!'!$A$1:$F$135,4,FALSE)</f>
        <v>-</v>
      </c>
      <c r="O1991" s="52" t="str">
        <f>VLOOKUP(Tabla3[[#This Row],[Site]],'Important Info!'!$A$1:$F$135,5,FALSE)</f>
        <v>2, 9</v>
      </c>
      <c r="P1991" s="52" t="str">
        <f>VLOOKUP(Tabla3[[#This Row],[Site]],'Important Info!'!$A$1:$F$135,6,FALSE)</f>
        <v>4, 10, 11</v>
      </c>
      <c r="Q1991" s="91">
        <f>VLOOKUP(Tabla3[[#This Row],[Site]],'Important Info!'!$A$1:$J$135,9,FALSE)</f>
        <v>139</v>
      </c>
    </row>
    <row r="1992" spans="1:17" x14ac:dyDescent="0.25">
      <c r="A1992" t="str">
        <f>+Tabla3[[#This Row],[Site]]&amp;Tabla3[[#This Row],[Split]]</f>
        <v>(DT) Denver (NO TOURS)21</v>
      </c>
      <c r="B1992">
        <v>21</v>
      </c>
      <c r="C1992">
        <v>4</v>
      </c>
      <c r="D1992" t="s">
        <v>44</v>
      </c>
      <c r="E1992" t="s">
        <v>53</v>
      </c>
      <c r="F1992" t="s">
        <v>157</v>
      </c>
      <c r="G1992" t="s">
        <v>45</v>
      </c>
      <c r="H1992" s="52" t="str">
        <f>VLOOKUP(Tabla3[[#This Row],[Site]],'Important Info!'!$A$1:$J$135,10,FALSE)</f>
        <v>https://tools.sig.systems/site/details/203</v>
      </c>
      <c r="I1992" s="43" t="s">
        <v>158</v>
      </c>
      <c r="J1992" t="s">
        <v>41</v>
      </c>
      <c r="K1992" s="79" t="str">
        <f>VLOOKUP(Tabla3[[#This Row],[Site]],'Important Info!'!$A$1:$H$135,8,FALSE)</f>
        <v>-</v>
      </c>
      <c r="L1992" s="52" t="str">
        <f>VLOOKUP(Tabla3[[#This Row],[Site]],'Important Info!'!$A$1:$F$135,2,FALSE)</f>
        <v>-</v>
      </c>
      <c r="M1992" s="52" t="str">
        <f>VLOOKUP(Tabla3[[#This Row],[Site]],'Important Info!'!$A$1:$F$135,3,FALSE)</f>
        <v>7, 8</v>
      </c>
      <c r="N1992" s="52" t="str">
        <f>VLOOKUP(Tabla3[[#This Row],[Site]],'Important Info!'!$A$1:$F$135,4,FALSE)</f>
        <v>-</v>
      </c>
      <c r="O1992" s="52" t="str">
        <f>VLOOKUP(Tabla3[[#This Row],[Site]],'Important Info!'!$A$1:$F$135,5,FALSE)</f>
        <v>-</v>
      </c>
      <c r="P1992" s="52" t="str">
        <f>VLOOKUP(Tabla3[[#This Row],[Site]],'Important Info!'!$A$1:$F$135,6,FALSE)</f>
        <v>7, 8</v>
      </c>
      <c r="Q1992" s="91">
        <f>VLOOKUP(Tabla3[[#This Row],[Site]],'Important Info!'!$A$1:$J$135,9,FALSE)</f>
        <v>203</v>
      </c>
    </row>
    <row r="1993" spans="1:17" x14ac:dyDescent="0.25">
      <c r="A1993" t="str">
        <f>+Tabla3[[#This Row],[Site]]&amp;Tabla3[[#This Row],[Split]]</f>
        <v>(HUD) CDJR of Greensboro21</v>
      </c>
      <c r="B1993">
        <v>21</v>
      </c>
      <c r="C1993">
        <v>4</v>
      </c>
      <c r="D1993" t="s">
        <v>62</v>
      </c>
      <c r="E1993" t="s">
        <v>35</v>
      </c>
      <c r="F1993" t="s">
        <v>185</v>
      </c>
      <c r="G1993" t="s">
        <v>491</v>
      </c>
      <c r="H1993" s="52" t="str">
        <f>VLOOKUP(Tabla3[[#This Row],[Site]],'Important Info!'!$A$1:$J$135,10,FALSE)</f>
        <v>https://tools.sig.systems/site/details/215</v>
      </c>
      <c r="I1993" s="2" t="s">
        <v>184</v>
      </c>
      <c r="J1993" t="s">
        <v>36</v>
      </c>
      <c r="K1993" s="79" t="str">
        <f>VLOOKUP(Tabla3[[#This Row],[Site]],'Important Info!'!$A$1:$H$135,8,FALSE)</f>
        <v>-</v>
      </c>
      <c r="L1993" s="52" t="str">
        <f>VLOOKUP(Tabla3[[#This Row],[Site]],'Important Info!'!$A$1:$F$135,2,FALSE)</f>
        <v>2, 12</v>
      </c>
      <c r="M1993" s="52" t="str">
        <f>VLOOKUP(Tabla3[[#This Row],[Site]],'Important Info!'!$A$1:$F$135,3,FALSE)</f>
        <v>-</v>
      </c>
      <c r="N1993" s="52" t="str">
        <f>VLOOKUP(Tabla3[[#This Row],[Site]],'Important Info!'!$A$1:$F$135,4,FALSE)</f>
        <v>-</v>
      </c>
      <c r="O1993" s="52" t="str">
        <f>VLOOKUP(Tabla3[[#This Row],[Site]],'Important Info!'!$A$1:$F$135,5,FALSE)</f>
        <v>3, 13</v>
      </c>
      <c r="P1993" s="52" t="str">
        <f>VLOOKUP(Tabla3[[#This Row],[Site]],'Important Info!'!$A$1:$F$135,6,FALSE)</f>
        <v>1, 17</v>
      </c>
      <c r="Q1993" s="91">
        <f>VLOOKUP(Tabla3[[#This Row],[Site]],'Important Info!'!$A$1:$J$135,9,FALSE)</f>
        <v>215</v>
      </c>
    </row>
    <row r="1994" spans="1:17" x14ac:dyDescent="0.25">
      <c r="A1994" t="str">
        <f>+Tabla3[[#This Row],[Site]]&amp;Tabla3[[#This Row],[Split]]</f>
        <v>(ML) Joe Machens VW21</v>
      </c>
      <c r="B1994">
        <v>21</v>
      </c>
      <c r="C1994">
        <v>4</v>
      </c>
      <c r="D1994" t="s">
        <v>33</v>
      </c>
      <c r="E1994" t="s">
        <v>46</v>
      </c>
      <c r="F1994" t="s">
        <v>74</v>
      </c>
      <c r="G1994" t="s">
        <v>34</v>
      </c>
      <c r="H1994" s="52" t="str">
        <f>VLOOKUP(Tabla3[[#This Row],[Site]],'Important Info!'!$A$1:$J$135,10,FALSE)</f>
        <v>https://tools.sig.systems/site/details/274</v>
      </c>
      <c r="I1994" s="43" t="s">
        <v>146</v>
      </c>
      <c r="J1994" t="s">
        <v>41</v>
      </c>
      <c r="K1994" s="79" t="str">
        <f>VLOOKUP(Tabla3[[#This Row],[Site]],'Important Info!'!$A$1:$H$135,8,FALSE)</f>
        <v>-</v>
      </c>
      <c r="L1994" s="52" t="str">
        <f>VLOOKUP(Tabla3[[#This Row],[Site]],'Important Info!'!$A$1:$F$135,2,FALSE)</f>
        <v>-</v>
      </c>
      <c r="M1994" s="52" t="str">
        <f>VLOOKUP(Tabla3[[#This Row],[Site]],'Important Info!'!$A$1:$F$135,3,FALSE)</f>
        <v>1, 11, 18</v>
      </c>
      <c r="N1994" s="52" t="str">
        <f>VLOOKUP(Tabla3[[#This Row],[Site]],'Important Info!'!$A$1:$F$135,4,FALSE)</f>
        <v>-</v>
      </c>
      <c r="O1994" s="52">
        <f>VLOOKUP(Tabla3[[#This Row],[Site]],'Important Info!'!$A$1:$F$135,5,FALSE)</f>
        <v>17</v>
      </c>
      <c r="P1994" s="52" t="str">
        <f>VLOOKUP(Tabla3[[#This Row],[Site]],'Important Info!'!$A$1:$F$135,6,FALSE)</f>
        <v>-</v>
      </c>
      <c r="Q1994" s="91">
        <f>VLOOKUP(Tabla3[[#This Row],[Site]],'Important Info!'!$A$1:$J$135,9,FALSE)</f>
        <v>274</v>
      </c>
    </row>
    <row r="1995" spans="1:17" x14ac:dyDescent="0.25">
      <c r="A1995" t="str">
        <f>+Tabla3[[#This Row],[Site]]&amp;Tabla3[[#This Row],[Split]]</f>
        <v>(ML) Nissan of Little Rock21</v>
      </c>
      <c r="B1995">
        <v>21</v>
      </c>
      <c r="C1995">
        <v>4</v>
      </c>
      <c r="D1995" t="s">
        <v>33</v>
      </c>
      <c r="E1995" t="s">
        <v>46</v>
      </c>
      <c r="F1995" t="s">
        <v>152</v>
      </c>
      <c r="G1995" t="s">
        <v>34</v>
      </c>
      <c r="H1995" s="52" t="str">
        <f>VLOOKUP(Tabla3[[#This Row],[Site]],'Important Info!'!$A$1:$J$135,10,FALSE)</f>
        <v>https://tools.sig.systems/site/details/224</v>
      </c>
      <c r="I1995" t="s">
        <v>140</v>
      </c>
      <c r="J1995" t="s">
        <v>41</v>
      </c>
      <c r="K1995" s="79" t="str">
        <f>VLOOKUP(Tabla3[[#This Row],[Site]],'Important Info!'!$A$1:$H$135,8,FALSE)</f>
        <v>-</v>
      </c>
      <c r="L1995" s="52" t="str">
        <f>VLOOKUP(Tabla3[[#This Row],[Site]],'Important Info!'!$A$1:$F$135,2,FALSE)</f>
        <v>3, 6</v>
      </c>
      <c r="M1995" s="52" t="str">
        <f>VLOOKUP(Tabla3[[#This Row],[Site]],'Important Info!'!$A$1:$F$135,3,FALSE)</f>
        <v>-</v>
      </c>
      <c r="N1995" s="52" t="str">
        <f>VLOOKUP(Tabla3[[#This Row],[Site]],'Important Info!'!$A$1:$F$135,4,FALSE)</f>
        <v>-</v>
      </c>
      <c r="O1995" s="52" t="str">
        <f>VLOOKUP(Tabla3[[#This Row],[Site]],'Important Info!'!$A$1:$F$135,5,FALSE)</f>
        <v>1, 8, 16, 22</v>
      </c>
      <c r="P1995" s="52" t="str">
        <f>VLOOKUP(Tabla3[[#This Row],[Site]],'Important Info!'!$A$1:$F$135,6,FALSE)</f>
        <v>3, 4</v>
      </c>
      <c r="Q1995" s="91">
        <f>VLOOKUP(Tabla3[[#This Row],[Site]],'Important Info!'!$A$1:$J$135,9,FALSE)</f>
        <v>224</v>
      </c>
    </row>
    <row r="1996" spans="1:17" x14ac:dyDescent="0.25">
      <c r="A1996" t="str">
        <f>+Tabla3[[#This Row],[Site]]&amp;Tabla3[[#This Row],[Split]]</f>
        <v>(SCH) Chevrolet North Palm21</v>
      </c>
      <c r="B1996">
        <v>21</v>
      </c>
      <c r="C1996">
        <v>4</v>
      </c>
      <c r="D1996" t="s">
        <v>62</v>
      </c>
      <c r="E1996" t="s">
        <v>35</v>
      </c>
      <c r="F1996" t="s">
        <v>101</v>
      </c>
      <c r="G1996" t="s">
        <v>490</v>
      </c>
      <c r="H1996" s="52" t="str">
        <f>VLOOKUP(Tabla3[[#This Row],[Site]],'Important Info!'!$A$1:$J$135,10,FALSE)</f>
        <v>https://tools.sig.systems/site/details/160</v>
      </c>
      <c r="I1996" s="2"/>
      <c r="J1996" t="s">
        <v>36</v>
      </c>
      <c r="K1996" s="79" t="str">
        <f>VLOOKUP(Tabla3[[#This Row],[Site]],'Important Info!'!$A$1:$H$135,8,FALSE)</f>
        <v>-</v>
      </c>
      <c r="L1996" s="52" t="str">
        <f>VLOOKUP(Tabla3[[#This Row],[Site]],'Important Info!'!$A$1:$F$135,2,FALSE)</f>
        <v xml:space="preserve">7, 10B, 11, 15 </v>
      </c>
      <c r="M1996" s="52" t="str">
        <f>VLOOKUP(Tabla3[[#This Row],[Site]],'Important Info!'!$A$1:$F$135,3,FALSE)</f>
        <v>-</v>
      </c>
      <c r="N1996" s="52" t="str">
        <f>VLOOKUP(Tabla3[[#This Row],[Site]],'Important Info!'!$A$1:$F$135,4,FALSE)</f>
        <v>-</v>
      </c>
      <c r="O1996" s="52" t="str">
        <f>VLOOKUP(Tabla3[[#This Row],[Site]],'Important Info!'!$A$1:$F$135,5,FALSE)</f>
        <v>-</v>
      </c>
      <c r="P1996" s="52" t="str">
        <f>VLOOKUP(Tabla3[[#This Row],[Site]],'Important Info!'!$A$1:$F$135,6,FALSE)</f>
        <v>1, 15, 16, 17, 18, 19, 20</v>
      </c>
      <c r="Q1996" s="91">
        <f>VLOOKUP(Tabla3[[#This Row],[Site]],'Important Info!'!$A$1:$J$135,9,FALSE)</f>
        <v>160</v>
      </c>
    </row>
    <row r="1997" spans="1:17" x14ac:dyDescent="0.25">
      <c r="A1997" t="str">
        <f>+Tabla3[[#This Row],[Site]]&amp;Tabla3[[#This Row],[Split]]</f>
        <v>SIG Office21</v>
      </c>
      <c r="B1997">
        <v>21</v>
      </c>
      <c r="C1997">
        <v>4</v>
      </c>
      <c r="D1997" t="s">
        <v>60</v>
      </c>
      <c r="E1997" t="s">
        <v>35</v>
      </c>
      <c r="F1997" t="s">
        <v>169</v>
      </c>
      <c r="G1997" t="s">
        <v>41</v>
      </c>
      <c r="H1997" s="52" t="str">
        <f>VLOOKUP(Tabla3[[#This Row],[Site]],'Important Info!'!$A$1:$J$135,10,FALSE)</f>
        <v>https://tools.sig.systems/site/details/163</v>
      </c>
      <c r="J1997" t="s">
        <v>41</v>
      </c>
      <c r="K1997" s="79" t="str">
        <f>VLOOKUP(Tabla3[[#This Row],[Site]],'Important Info!'!$A$1:$H$135,8,FALSE)</f>
        <v>-</v>
      </c>
      <c r="L1997" s="52" t="str">
        <f>VLOOKUP(Tabla3[[#This Row],[Site]],'Important Info!'!$A$1:$F$135,2,FALSE)</f>
        <v>-</v>
      </c>
      <c r="M1997" s="52" t="str">
        <f>VLOOKUP(Tabla3[[#This Row],[Site]],'Important Info!'!$A$1:$F$135,3,FALSE)</f>
        <v>-</v>
      </c>
      <c r="N1997" s="52" t="str">
        <f>VLOOKUP(Tabla3[[#This Row],[Site]],'Important Info!'!$A$1:$F$135,4,FALSE)</f>
        <v>-</v>
      </c>
      <c r="O1997" s="52" t="str">
        <f>VLOOKUP(Tabla3[[#This Row],[Site]],'Important Info!'!$A$1:$F$135,5,FALSE)</f>
        <v>-</v>
      </c>
      <c r="P1997" s="52">
        <f>VLOOKUP(Tabla3[[#This Row],[Site]],'Important Info!'!$A$1:$F$135,6,FALSE)</f>
        <v>25</v>
      </c>
      <c r="Q1997" s="91">
        <f>VLOOKUP(Tabla3[[#This Row],[Site]],'Important Info!'!$A$1:$J$135,9,FALSE)</f>
        <v>163</v>
      </c>
    </row>
    <row r="1998" spans="1:17" x14ac:dyDescent="0.25">
      <c r="A1998" t="str">
        <f>+Tabla3[[#This Row],[Site]]&amp;Tabla3[[#This Row],[Split]]</f>
        <v>(AS) Mercedes Benz/Porsche Dallas I,II,III (NO TOURS)21</v>
      </c>
      <c r="B1998">
        <v>21</v>
      </c>
      <c r="C1998">
        <v>5</v>
      </c>
      <c r="D1998" t="s">
        <v>33</v>
      </c>
      <c r="E1998" t="s">
        <v>46</v>
      </c>
      <c r="F1998" t="s">
        <v>509</v>
      </c>
      <c r="G1998" t="s">
        <v>34</v>
      </c>
      <c r="H1998" s="52" t="str">
        <f>VLOOKUP(Tabla3[[#This Row],[Site]],'Important Info!'!$A$1:$J$135,10,FALSE)</f>
        <v>https://tools.sig.systems/site/details/168</v>
      </c>
      <c r="I1998" s="65" t="s">
        <v>125</v>
      </c>
      <c r="J1998" t="s">
        <v>41</v>
      </c>
      <c r="K1998" s="79" t="str">
        <f>VLOOKUP(Tabla3[[#This Row],[Site]],'Important Info!'!$A$1:$H$135,8,FALSE)</f>
        <v>-</v>
      </c>
      <c r="L1998" s="52" t="str">
        <f>VLOOKUP(Tabla3[[#This Row],[Site]],'Important Info!'!$A$1:$F$135,2,FALSE)</f>
        <v>3, 4, 17, 26, 41</v>
      </c>
      <c r="M1998" s="52" t="str">
        <f>VLOOKUP(Tabla3[[#This Row],[Site]],'Important Info!'!$A$1:$F$135,3,FALSE)</f>
        <v>-</v>
      </c>
      <c r="N1998" s="52" t="str">
        <f>VLOOKUP(Tabla3[[#This Row],[Site]],'Important Info!'!$A$1:$F$135,4,FALSE)</f>
        <v>153, 154, 155, 156, 157, 158</v>
      </c>
      <c r="O1998" s="52" t="str">
        <f>VLOOKUP(Tabla3[[#This Row],[Site]],'Important Info!'!$A$1:$F$135,5,FALSE)</f>
        <v>2, 6, 10, 20, 28, 30, 36</v>
      </c>
      <c r="P1998" s="52" t="str">
        <f>VLOOKUP(Tabla3[[#This Row],[Site]],'Important Info!'!$A$1:$F$135,6,FALSE)</f>
        <v>31, 41, 159</v>
      </c>
      <c r="Q1998" s="91">
        <f>VLOOKUP(Tabla3[[#This Row],[Site]],'Important Info!'!$A$1:$J$135,9,FALSE)</f>
        <v>168</v>
      </c>
    </row>
    <row r="1999" spans="1:17" x14ac:dyDescent="0.25">
      <c r="A1999" t="str">
        <f>+Tabla3[[#This Row],[Site]]&amp;Tabla3[[#This Row],[Split]]</f>
        <v>(ML) BMW of Little Rock21</v>
      </c>
      <c r="B1999">
        <v>21</v>
      </c>
      <c r="C1999">
        <v>5</v>
      </c>
      <c r="D1999" t="s">
        <v>33</v>
      </c>
      <c r="E1999" t="s">
        <v>46</v>
      </c>
      <c r="F1999" t="s">
        <v>139</v>
      </c>
      <c r="G1999" t="s">
        <v>34</v>
      </c>
      <c r="H1999" s="52" t="str">
        <f>VLOOKUP(Tabla3[[#This Row],[Site]],'Important Info!'!$A$1:$J$135,10,FALSE)</f>
        <v>https://tools.sig.systems/site/details/217</v>
      </c>
      <c r="I1999" t="s">
        <v>140</v>
      </c>
      <c r="J1999" t="s">
        <v>41</v>
      </c>
      <c r="K1999" s="79" t="str">
        <f>VLOOKUP(Tabla3[[#This Row],[Site]],'Important Info!'!$A$1:$H$135,8,FALSE)</f>
        <v>-</v>
      </c>
      <c r="L1999" s="52" t="str">
        <f>VLOOKUP(Tabla3[[#This Row],[Site]],'Important Info!'!$A$1:$F$135,2,FALSE)</f>
        <v>-</v>
      </c>
      <c r="M1999" s="52">
        <f>VLOOKUP(Tabla3[[#This Row],[Site]],'Important Info!'!$A$1:$F$135,3,FALSE)</f>
        <v>14</v>
      </c>
      <c r="N1999" s="52" t="str">
        <f>VLOOKUP(Tabla3[[#This Row],[Site]],'Important Info!'!$A$1:$F$135,4,FALSE)</f>
        <v>-</v>
      </c>
      <c r="O1999" s="52" t="str">
        <f>VLOOKUP(Tabla3[[#This Row],[Site]],'Important Info!'!$A$1:$F$135,5,FALSE)</f>
        <v>-</v>
      </c>
      <c r="P1999" s="52" t="str">
        <f>VLOOKUP(Tabla3[[#This Row],[Site]],'Important Info!'!$A$1:$F$135,6,FALSE)</f>
        <v>5, 6, 7, 8, 9, 32</v>
      </c>
      <c r="Q1999" s="91">
        <f>VLOOKUP(Tabla3[[#This Row],[Site]],'Important Info!'!$A$1:$J$135,9,FALSE)</f>
        <v>217</v>
      </c>
    </row>
    <row r="2000" spans="1:17" x14ac:dyDescent="0.25">
      <c r="A2000" t="str">
        <f>+Tabla3[[#This Row],[Site]]&amp;Tabla3[[#This Row],[Split]]</f>
        <v>(ML) Joe Machens Toyota21</v>
      </c>
      <c r="B2000">
        <v>21</v>
      </c>
      <c r="C2000">
        <v>5</v>
      </c>
      <c r="D2000" t="s">
        <v>33</v>
      </c>
      <c r="E2000" t="s">
        <v>46</v>
      </c>
      <c r="F2000" t="s">
        <v>73</v>
      </c>
      <c r="G2000" t="s">
        <v>34</v>
      </c>
      <c r="H2000" s="52" t="str">
        <f>VLOOKUP(Tabla3[[#This Row],[Site]],'Important Info!'!$A$1:$J$135,10,FALSE)</f>
        <v>https://tools.sig.systems/site/details/275</v>
      </c>
      <c r="I2000" s="43" t="s">
        <v>146</v>
      </c>
      <c r="J2000" t="s">
        <v>41</v>
      </c>
      <c r="K2000" s="79" t="str">
        <f>VLOOKUP(Tabla3[[#This Row],[Site]],'Important Info!'!$A$1:$H$135,8,FALSE)</f>
        <v>-</v>
      </c>
      <c r="L2000" s="52" t="str">
        <f>VLOOKUP(Tabla3[[#This Row],[Site]],'Important Info!'!$A$1:$F$135,2,FALSE)</f>
        <v>-</v>
      </c>
      <c r="M2000" s="52" t="str">
        <f>VLOOKUP(Tabla3[[#This Row],[Site]],'Important Info!'!$A$1:$F$135,3,FALSE)</f>
        <v>1, 4, 6</v>
      </c>
      <c r="N2000" s="52" t="str">
        <f>VLOOKUP(Tabla3[[#This Row],[Site]],'Important Info!'!$A$1:$F$135,4,FALSE)</f>
        <v>-</v>
      </c>
      <c r="O2000" s="52" t="str">
        <f>VLOOKUP(Tabla3[[#This Row],[Site]],'Important Info!'!$A$1:$F$135,5,FALSE)</f>
        <v>4, 10</v>
      </c>
      <c r="P2000" s="52" t="str">
        <f>VLOOKUP(Tabla3[[#This Row],[Site]],'Important Info!'!$A$1:$F$135,6,FALSE)</f>
        <v>-</v>
      </c>
      <c r="Q2000" s="91">
        <f>VLOOKUP(Tabla3[[#This Row],[Site]],'Important Info!'!$A$1:$J$135,9,FALSE)</f>
        <v>275</v>
      </c>
    </row>
    <row r="2001" spans="1:17" x14ac:dyDescent="0.25">
      <c r="A2001" t="str">
        <f>+Tabla3[[#This Row],[Site]]&amp;Tabla3[[#This Row],[Split]]</f>
        <v>(PE) JLR PDI (NO TOURS)21</v>
      </c>
      <c r="B2001">
        <v>21</v>
      </c>
      <c r="C2001">
        <v>5</v>
      </c>
      <c r="D2001" t="s">
        <v>485</v>
      </c>
      <c r="E2001" t="s">
        <v>35</v>
      </c>
      <c r="F2001" t="s">
        <v>114</v>
      </c>
      <c r="G2001" t="s">
        <v>490</v>
      </c>
      <c r="H2001" s="52" t="str">
        <f>VLOOKUP(Tabla3[[#This Row],[Site]],'Important Info!'!$A$1:$J$135,10,FALSE)</f>
        <v>https://tools.sig.systems/site/details/179</v>
      </c>
      <c r="I2001" t="s">
        <v>176</v>
      </c>
      <c r="J2001" t="s">
        <v>41</v>
      </c>
      <c r="K2001" s="79" t="str">
        <f>VLOOKUP(Tabla3[[#This Row],[Site]],'Important Info!'!$A$1:$H$135,8,FALSE)</f>
        <v>-</v>
      </c>
      <c r="L2001" s="52" t="str">
        <f>VLOOKUP(Tabla3[[#This Row],[Site]],'Important Info!'!$A$1:$F$135,2,FALSE)</f>
        <v>3, 8</v>
      </c>
      <c r="M2001" s="52" t="str">
        <f>VLOOKUP(Tabla3[[#This Row],[Site]],'Important Info!'!$A$1:$F$135,3,FALSE)</f>
        <v>-</v>
      </c>
      <c r="N2001" s="52" t="str">
        <f>VLOOKUP(Tabla3[[#This Row],[Site]],'Important Info!'!$A$1:$F$135,4,FALSE)</f>
        <v>-</v>
      </c>
      <c r="O2001" s="52" t="str">
        <f>VLOOKUP(Tabla3[[#This Row],[Site]],'Important Info!'!$A$1:$F$135,5,FALSE)</f>
        <v>-</v>
      </c>
      <c r="P2001" s="52" t="str">
        <f>VLOOKUP(Tabla3[[#This Row],[Site]],'Important Info!'!$A$1:$F$135,6,FALSE)</f>
        <v>-</v>
      </c>
      <c r="Q2001" s="91">
        <f>VLOOKUP(Tabla3[[#This Row],[Site]],'Important Info!'!$A$1:$J$135,9,FALSE)</f>
        <v>179</v>
      </c>
    </row>
    <row r="2002" spans="1:17" x14ac:dyDescent="0.25">
      <c r="A2002" t="str">
        <f>+Tabla3[[#This Row],[Site]]&amp;Tabla3[[#This Row],[Split]]</f>
        <v>(AS) Park Place Sprinter Van Center (NO TOURS)21</v>
      </c>
      <c r="B2002">
        <v>21</v>
      </c>
      <c r="C2002">
        <v>6</v>
      </c>
      <c r="D2002" t="s">
        <v>33</v>
      </c>
      <c r="E2002" t="s">
        <v>46</v>
      </c>
      <c r="F2002" t="s">
        <v>520</v>
      </c>
      <c r="G2002" t="s">
        <v>34</v>
      </c>
      <c r="H2002" s="52" t="str">
        <f>VLOOKUP(Tabla3[[#This Row],[Site]],'Important Info!'!$A$1:$J$135,10,FALSE)</f>
        <v>https://tools.sig.systems/site/details/138</v>
      </c>
      <c r="I2002" s="65" t="s">
        <v>125</v>
      </c>
      <c r="J2002" t="s">
        <v>41</v>
      </c>
      <c r="K2002" s="79" t="str">
        <f>VLOOKUP(Tabla3[[#This Row],[Site]],'Important Info!'!$A$1:$H$135,8,FALSE)</f>
        <v>-</v>
      </c>
      <c r="L2002" s="52">
        <f>VLOOKUP(Tabla3[[#This Row],[Site]],'Important Info!'!$A$1:$F$135,2,FALSE)</f>
        <v>1</v>
      </c>
      <c r="M2002" s="52" t="str">
        <f>VLOOKUP(Tabla3[[#This Row],[Site]],'Important Info!'!$A$1:$F$135,3,FALSE)</f>
        <v>-</v>
      </c>
      <c r="N2002" s="52" t="str">
        <f>VLOOKUP(Tabla3[[#This Row],[Site]],'Important Info!'!$A$1:$F$135,4,FALSE)</f>
        <v>-</v>
      </c>
      <c r="O2002" s="52" t="str">
        <f>VLOOKUP(Tabla3[[#This Row],[Site]],'Important Info!'!$A$1:$F$135,5,FALSE)</f>
        <v>-</v>
      </c>
      <c r="P2002" s="52" t="str">
        <f>VLOOKUP(Tabla3[[#This Row],[Site]],'Important Info!'!$A$1:$F$135,6,FALSE)</f>
        <v>1, 3</v>
      </c>
      <c r="Q2002" s="91">
        <f>VLOOKUP(Tabla3[[#This Row],[Site]],'Important Info!'!$A$1:$J$135,9,FALSE)</f>
        <v>138</v>
      </c>
    </row>
    <row r="2003" spans="1:17" x14ac:dyDescent="0.25">
      <c r="A2003" t="str">
        <f>+Tabla3[[#This Row],[Site]]&amp;Tabla3[[#This Row],[Split]]</f>
        <v>(HUD) Honda of Southpoint21</v>
      </c>
      <c r="B2003">
        <v>21</v>
      </c>
      <c r="C2003">
        <v>6</v>
      </c>
      <c r="D2003" t="s">
        <v>62</v>
      </c>
      <c r="E2003" t="s">
        <v>35</v>
      </c>
      <c r="F2003" t="s">
        <v>65</v>
      </c>
      <c r="G2003" t="s">
        <v>490</v>
      </c>
      <c r="H2003" s="52" t="str">
        <f>VLOOKUP(Tabla3[[#This Row],[Site]],'Important Info!'!$A$1:$J$135,10,FALSE)</f>
        <v>https://tools.sig.systems/site/details/195</v>
      </c>
      <c r="I2003" s="43"/>
      <c r="J2003" t="s">
        <v>484</v>
      </c>
      <c r="K2003" s="79" t="str">
        <f>VLOOKUP(Tabla3[[#This Row],[Site]],'Important Info!'!$A$1:$H$135,8,FALSE)</f>
        <v>-</v>
      </c>
      <c r="L2003" s="52" t="str">
        <f>VLOOKUP(Tabla3[[#This Row],[Site]],'Important Info!'!$A$1:$F$135,2,FALSE)</f>
        <v>2, 12, 18</v>
      </c>
      <c r="M2003" s="52">
        <f>VLOOKUP(Tabla3[[#This Row],[Site]],'Important Info!'!$A$1:$F$135,3,FALSE)</f>
        <v>13</v>
      </c>
      <c r="N2003" s="52" t="str">
        <f>VLOOKUP(Tabla3[[#This Row],[Site]],'Important Info!'!$A$1:$F$135,4,FALSE)</f>
        <v>-</v>
      </c>
      <c r="O2003" s="52" t="str">
        <f>VLOOKUP(Tabla3[[#This Row],[Site]],'Important Info!'!$A$1:$F$135,5,FALSE)</f>
        <v>2, 15</v>
      </c>
      <c r="P2003" s="52" t="str">
        <f>VLOOKUP(Tabla3[[#This Row],[Site]],'Important Info!'!$A$1:$F$135,6,FALSE)</f>
        <v>-</v>
      </c>
      <c r="Q2003" s="91">
        <f>VLOOKUP(Tabla3[[#This Row],[Site]],'Important Info!'!$A$1:$J$135,9,FALSE)</f>
        <v>195</v>
      </c>
    </row>
    <row r="2004" spans="1:17" x14ac:dyDescent="0.25">
      <c r="A2004" t="str">
        <f>+Tabla3[[#This Row],[Site]]&amp;Tabla3[[#This Row],[Split]]</f>
        <v>(HUD) Paint and Body Center (NO TOURS)21</v>
      </c>
      <c r="B2004">
        <v>21</v>
      </c>
      <c r="C2004">
        <v>6</v>
      </c>
      <c r="D2004" t="s">
        <v>62</v>
      </c>
      <c r="E2004" t="s">
        <v>35</v>
      </c>
      <c r="F2004" t="s">
        <v>110</v>
      </c>
      <c r="G2004" t="s">
        <v>490</v>
      </c>
      <c r="H2004" s="52" t="str">
        <f>VLOOKUP(Tabla3[[#This Row],[Site]],'Important Info!'!$A$1:$J$135,10,FALSE)</f>
        <v>https://tools.sig.systems/site/details/256</v>
      </c>
      <c r="I2004" t="s">
        <v>184</v>
      </c>
      <c r="J2004" t="s">
        <v>41</v>
      </c>
      <c r="K2004" s="79" t="str">
        <f>VLOOKUP(Tabla3[[#This Row],[Site]],'Important Info!'!$A$1:$H$135,8,FALSE)</f>
        <v>-</v>
      </c>
      <c r="L2004" s="52" t="str">
        <f>VLOOKUP(Tabla3[[#This Row],[Site]],'Important Info!'!$A$1:$F$135,2,FALSE)</f>
        <v>-</v>
      </c>
      <c r="M2004" s="52">
        <f>VLOOKUP(Tabla3[[#This Row],[Site]],'Important Info!'!$A$1:$F$135,3,FALSE)</f>
        <v>1</v>
      </c>
      <c r="N2004" s="52" t="str">
        <f>VLOOKUP(Tabla3[[#This Row],[Site]],'Important Info!'!$A$1:$F$135,4,FALSE)</f>
        <v>-</v>
      </c>
      <c r="O2004" s="52" t="str">
        <f>VLOOKUP(Tabla3[[#This Row],[Site]],'Important Info!'!$A$1:$F$135,5,FALSE)</f>
        <v>-</v>
      </c>
      <c r="P2004" s="52" t="str">
        <f>VLOOKUP(Tabla3[[#This Row],[Site]],'Important Info!'!$A$1:$F$135,6,FALSE)</f>
        <v>-</v>
      </c>
      <c r="Q2004" s="91">
        <f>VLOOKUP(Tabla3[[#This Row],[Site]],'Important Info!'!$A$1:$J$135,9,FALSE)</f>
        <v>256</v>
      </c>
    </row>
    <row r="2005" spans="1:17" x14ac:dyDescent="0.25">
      <c r="A2005" t="str">
        <f>+Tabla3[[#This Row],[Site]]&amp;Tabla3[[#This Row],[Split]]</f>
        <v>(KG) Big Star Ford21</v>
      </c>
      <c r="B2005">
        <v>21</v>
      </c>
      <c r="C2005">
        <v>6</v>
      </c>
      <c r="D2005" t="s">
        <v>33</v>
      </c>
      <c r="E2005" t="s">
        <v>46</v>
      </c>
      <c r="F2005" t="s">
        <v>135</v>
      </c>
      <c r="G2005" t="s">
        <v>34</v>
      </c>
      <c r="H2005" s="52" t="str">
        <f>VLOOKUP(Tabla3[[#This Row],[Site]],'Important Info!'!$A$1:$J$135,10,FALSE)</f>
        <v>https://tools.sig.systems/site/details/235</v>
      </c>
      <c r="I2005" s="43"/>
      <c r="J2005" t="s">
        <v>41</v>
      </c>
      <c r="K2005" s="79" t="str">
        <f>VLOOKUP(Tabla3[[#This Row],[Site]],'Important Info!'!$A$1:$H$135,8,FALSE)</f>
        <v>-</v>
      </c>
      <c r="L2005" s="52" t="str">
        <f>VLOOKUP(Tabla3[[#This Row],[Site]],'Important Info!'!$A$1:$F$135,2,FALSE)</f>
        <v>4, 22, 32, 33</v>
      </c>
      <c r="M2005" s="52" t="str">
        <f>VLOOKUP(Tabla3[[#This Row],[Site]],'Important Info!'!$A$1:$F$135,3,FALSE)</f>
        <v>-</v>
      </c>
      <c r="N2005" s="52" t="str">
        <f>VLOOKUP(Tabla3[[#This Row],[Site]],'Important Info!'!$A$1:$F$135,4,FALSE)</f>
        <v>-</v>
      </c>
      <c r="O2005" s="52" t="str">
        <f>VLOOKUP(Tabla3[[#This Row],[Site]],'Important Info!'!$A$1:$F$135,5,FALSE)</f>
        <v>1, 5, 12, 21</v>
      </c>
      <c r="P2005" s="52">
        <f>VLOOKUP(Tabla3[[#This Row],[Site]],'Important Info!'!$A$1:$F$135,6,FALSE)</f>
        <v>22</v>
      </c>
      <c r="Q2005" s="91">
        <f>VLOOKUP(Tabla3[[#This Row],[Site]],'Important Info!'!$A$1:$J$135,9,FALSE)</f>
        <v>235</v>
      </c>
    </row>
    <row r="2006" spans="1:17" x14ac:dyDescent="0.25">
      <c r="A2006" t="str">
        <f>+Tabla3[[#This Row],[Site]]&amp;Tabla3[[#This Row],[Split]]</f>
        <v>(ML) Joe Machens E Collision Center21</v>
      </c>
      <c r="B2006">
        <v>21</v>
      </c>
      <c r="C2006">
        <v>6</v>
      </c>
      <c r="D2006" t="s">
        <v>33</v>
      </c>
      <c r="E2006" t="s">
        <v>46</v>
      </c>
      <c r="F2006" t="s">
        <v>147</v>
      </c>
      <c r="G2006" t="s">
        <v>34</v>
      </c>
      <c r="H2006" s="52" t="str">
        <f>VLOOKUP(Tabla3[[#This Row],[Site]],'Important Info!'!$A$1:$J$135,10,FALSE)</f>
        <v>https://tools.sig.systems/site/details/277</v>
      </c>
      <c r="I2006" s="43" t="s">
        <v>146</v>
      </c>
      <c r="J2006" t="s">
        <v>41</v>
      </c>
      <c r="K2006" s="79" t="str">
        <f>VLOOKUP(Tabla3[[#This Row],[Site]],'Important Info!'!$A$1:$H$135,8,FALSE)</f>
        <v>-</v>
      </c>
      <c r="L2006" s="52">
        <f>VLOOKUP(Tabla3[[#This Row],[Site]],'Important Info!'!$A$1:$F$135,2,FALSE)</f>
        <v>1</v>
      </c>
      <c r="M2006" s="52" t="str">
        <f>VLOOKUP(Tabla3[[#This Row],[Site]],'Important Info!'!$A$1:$F$135,3,FALSE)</f>
        <v>-</v>
      </c>
      <c r="N2006" s="52" t="str">
        <f>VLOOKUP(Tabla3[[#This Row],[Site]],'Important Info!'!$A$1:$F$135,4,FALSE)</f>
        <v>-</v>
      </c>
      <c r="O2006" s="52">
        <f>VLOOKUP(Tabla3[[#This Row],[Site]],'Important Info!'!$A$1:$F$135,5,FALSE)</f>
        <v>5</v>
      </c>
      <c r="P2006" s="52" t="str">
        <f>VLOOKUP(Tabla3[[#This Row],[Site]],'Important Info!'!$A$1:$F$135,6,FALSE)</f>
        <v>1, 2, 3, 4</v>
      </c>
      <c r="Q2006" s="91">
        <f>VLOOKUP(Tabla3[[#This Row],[Site]],'Important Info!'!$A$1:$J$135,9,FALSE)</f>
        <v>277</v>
      </c>
    </row>
    <row r="2007" spans="1:17" x14ac:dyDescent="0.25">
      <c r="A2007" t="str">
        <f>+Tabla3[[#This Row],[Site]]&amp;Tabla3[[#This Row],[Split]]</f>
        <v>(PE) BMW of Mamaroneck (NO TOURS)21</v>
      </c>
      <c r="B2007">
        <v>21</v>
      </c>
      <c r="C2007">
        <v>6</v>
      </c>
      <c r="D2007" t="s">
        <v>485</v>
      </c>
      <c r="E2007" t="s">
        <v>35</v>
      </c>
      <c r="F2007" t="s">
        <v>172</v>
      </c>
      <c r="G2007" t="s">
        <v>490</v>
      </c>
      <c r="H2007" s="52" t="str">
        <f>VLOOKUP(Tabla3[[#This Row],[Site]],'Important Info!'!$A$1:$J$135,10,FALSE)</f>
        <v>https://tools.sig.systems/site/details/185</v>
      </c>
      <c r="I2007" s="2"/>
      <c r="J2007" t="s">
        <v>41</v>
      </c>
      <c r="K2007" s="79" t="str">
        <f>VLOOKUP(Tabla3[[#This Row],[Site]],'Important Info!'!$A$1:$H$135,8,FALSE)</f>
        <v>-</v>
      </c>
      <c r="L2007" s="52">
        <f>VLOOKUP(Tabla3[[#This Row],[Site]],'Important Info!'!$A$1:$F$135,2,FALSE)</f>
        <v>9</v>
      </c>
      <c r="M2007" s="52" t="str">
        <f>VLOOKUP(Tabla3[[#This Row],[Site]],'Important Info!'!$A$1:$F$135,3,FALSE)</f>
        <v>2, 3, 4, 5</v>
      </c>
      <c r="N2007" s="52" t="str">
        <f>VLOOKUP(Tabla3[[#This Row],[Site]],'Important Info!'!$A$1:$F$135,4,FALSE)</f>
        <v>-</v>
      </c>
      <c r="O2007" s="52" t="str">
        <f>VLOOKUP(Tabla3[[#This Row],[Site]],'Important Info!'!$A$1:$F$135,5,FALSE)</f>
        <v>-</v>
      </c>
      <c r="P2007" s="52" t="str">
        <f>VLOOKUP(Tabla3[[#This Row],[Site]],'Important Info!'!$A$1:$F$135,6,FALSE)</f>
        <v>4, 6, 7, 8</v>
      </c>
      <c r="Q2007" s="91">
        <f>VLOOKUP(Tabla3[[#This Row],[Site]],'Important Info!'!$A$1:$J$135,9,FALSE)</f>
        <v>185</v>
      </c>
    </row>
    <row r="2008" spans="1:17" x14ac:dyDescent="0.25">
      <c r="A2008" t="str">
        <f>+Tabla3[[#This Row],[Site]]&amp;Tabla3[[#This Row],[Split]]</f>
        <v>(RML) Burleson Nissan21</v>
      </c>
      <c r="B2008">
        <v>21</v>
      </c>
      <c r="C2008">
        <v>6</v>
      </c>
      <c r="D2008" t="s">
        <v>33</v>
      </c>
      <c r="E2008" t="s">
        <v>46</v>
      </c>
      <c r="F2008" t="s">
        <v>107</v>
      </c>
      <c r="G2008" t="s">
        <v>34</v>
      </c>
      <c r="H2008" s="52" t="str">
        <f>VLOOKUP(Tabla3[[#This Row],[Site]],'Important Info!'!$A$1:$J$135,10,FALSE)</f>
        <v>https://tools.sig.systems/site/details/202</v>
      </c>
      <c r="J2008" t="s">
        <v>41</v>
      </c>
      <c r="K2008" s="79" t="str">
        <f>VLOOKUP(Tabla3[[#This Row],[Site]],'Important Info!'!$A$1:$H$135,8,FALSE)</f>
        <v>-</v>
      </c>
      <c r="L2008" s="52" t="str">
        <f>VLOOKUP(Tabla3[[#This Row],[Site]],'Important Info!'!$A$1:$F$135,2,FALSE)</f>
        <v>3, 21</v>
      </c>
      <c r="M2008" s="52" t="str">
        <f>VLOOKUP(Tabla3[[#This Row],[Site]],'Important Info!'!$A$1:$F$135,3,FALSE)</f>
        <v>-</v>
      </c>
      <c r="N2008" s="52" t="str">
        <f>VLOOKUP(Tabla3[[#This Row],[Site]],'Important Info!'!$A$1:$F$135,4,FALSE)</f>
        <v>-</v>
      </c>
      <c r="O2008" s="52" t="str">
        <f>VLOOKUP(Tabla3[[#This Row],[Site]],'Important Info!'!$A$1:$F$135,5,FALSE)</f>
        <v>2, 6, 15</v>
      </c>
      <c r="P2008" s="52" t="str">
        <f>VLOOKUP(Tabla3[[#This Row],[Site]],'Important Info!'!$A$1:$F$135,6,FALSE)</f>
        <v>-</v>
      </c>
      <c r="Q2008" s="91">
        <f>VLOOKUP(Tabla3[[#This Row],[Site]],'Important Info!'!$A$1:$J$135,9,FALSE)</f>
        <v>202</v>
      </c>
    </row>
    <row r="2009" spans="1:17" x14ac:dyDescent="0.25">
      <c r="A2009" t="str">
        <f>+Tabla3[[#This Row],[Site]]&amp;Tabla3[[#This Row],[Split]]</f>
        <v>(SCH) Prep Center Delray21</v>
      </c>
      <c r="B2009">
        <v>21</v>
      </c>
      <c r="C2009">
        <v>6</v>
      </c>
      <c r="D2009" t="s">
        <v>62</v>
      </c>
      <c r="E2009" t="s">
        <v>35</v>
      </c>
      <c r="F2009" t="s">
        <v>191</v>
      </c>
      <c r="G2009" t="s">
        <v>490</v>
      </c>
      <c r="H2009" s="52" t="str">
        <f>VLOOKUP(Tabla3[[#This Row],[Site]],'Important Info!'!$A$1:$J$135,10,FALSE)</f>
        <v>https://tools.sig.systems/site/details/321</v>
      </c>
      <c r="I2009" s="2"/>
      <c r="J2009" t="s">
        <v>41</v>
      </c>
      <c r="K2009" s="79" t="str">
        <f>VLOOKUP(Tabla3[[#This Row],[Site]],'Important Info!'!$A$1:$H$135,8,FALSE)</f>
        <v>-</v>
      </c>
      <c r="L2009" s="52" t="str">
        <f>VLOOKUP(Tabla3[[#This Row],[Site]],'Important Info!'!$A$1:$F$135,2,FALSE)</f>
        <v>2,3</v>
      </c>
      <c r="M2009" s="52" t="str">
        <f>VLOOKUP(Tabla3[[#This Row],[Site]],'Important Info!'!$A$1:$F$135,3,FALSE)</f>
        <v>-</v>
      </c>
      <c r="N2009" s="52" t="str">
        <f>VLOOKUP(Tabla3[[#This Row],[Site]],'Important Info!'!$A$1:$F$135,4,FALSE)</f>
        <v>-</v>
      </c>
      <c r="O2009" s="52" t="str">
        <f>VLOOKUP(Tabla3[[#This Row],[Site]],'Important Info!'!$A$1:$F$135,5,FALSE)</f>
        <v>-</v>
      </c>
      <c r="P2009" s="52" t="str">
        <f>VLOOKUP(Tabla3[[#This Row],[Site]],'Important Info!'!$A$1:$F$135,6,FALSE)</f>
        <v>2,4,10</v>
      </c>
      <c r="Q2009" s="91">
        <f>VLOOKUP(Tabla3[[#This Row],[Site]],'Important Info!'!$A$1:$J$135,9,FALSE)</f>
        <v>321</v>
      </c>
    </row>
    <row r="2010" spans="1:17" x14ac:dyDescent="0.25">
      <c r="A2010" t="str">
        <f>+Tabla3[[#This Row],[Site]]&amp;Tabla3[[#This Row],[Split]]</f>
        <v>(AS) Atwell Prep Center-Dallas (NO TOURS)21</v>
      </c>
      <c r="B2010">
        <v>21</v>
      </c>
      <c r="C2010">
        <v>7</v>
      </c>
      <c r="D2010" t="s">
        <v>33</v>
      </c>
      <c r="E2010" t="s">
        <v>46</v>
      </c>
      <c r="F2010" t="s">
        <v>498</v>
      </c>
      <c r="G2010" t="s">
        <v>34</v>
      </c>
      <c r="H2010" s="52" t="str">
        <f>VLOOKUP(Tabla3[[#This Row],[Site]],'Important Info!'!$A$1:$J$135,10,FALSE)</f>
        <v>https://tools.sig.systems/site/details/165</v>
      </c>
      <c r="I2010" s="65" t="s">
        <v>125</v>
      </c>
      <c r="J2010" t="s">
        <v>41</v>
      </c>
      <c r="K2010" s="79" t="str">
        <f>VLOOKUP(Tabla3[[#This Row],[Site]],'Important Info!'!$A$1:$H$135,8,FALSE)</f>
        <v>-</v>
      </c>
      <c r="L2010" s="52" t="str">
        <f>VLOOKUP(Tabla3[[#This Row],[Site]],'Important Info!'!$A$1:$F$135,2,FALSE)</f>
        <v>4, 6, 7</v>
      </c>
      <c r="M2010" s="52" t="str">
        <f>VLOOKUP(Tabla3[[#This Row],[Site]],'Important Info!'!$A$1:$F$135,3,FALSE)</f>
        <v>-</v>
      </c>
      <c r="N2010" s="52" t="str">
        <f>VLOOKUP(Tabla3[[#This Row],[Site]],'Important Info!'!$A$1:$F$135,4,FALSE)</f>
        <v>-</v>
      </c>
      <c r="O2010" s="52" t="str">
        <f>VLOOKUP(Tabla3[[#This Row],[Site]],'Important Info!'!$A$1:$F$135,5,FALSE)</f>
        <v>-</v>
      </c>
      <c r="P2010" s="52" t="str">
        <f>VLOOKUP(Tabla3[[#This Row],[Site]],'Important Info!'!$A$1:$F$135,6,FALSE)</f>
        <v>1, 2</v>
      </c>
      <c r="Q2010" s="91">
        <f>VLOOKUP(Tabla3[[#This Row],[Site]],'Important Info!'!$A$1:$J$135,9,FALSE)</f>
        <v>165</v>
      </c>
    </row>
    <row r="2011" spans="1:17" x14ac:dyDescent="0.25">
      <c r="A2011" t="str">
        <f>+Tabla3[[#This Row],[Site]]&amp;Tabla3[[#This Row],[Split]]</f>
        <v>(AS) Courtesy Hyundai/Nissan Tampa (NO TOURS)21</v>
      </c>
      <c r="B2011">
        <v>21</v>
      </c>
      <c r="C2011">
        <v>7</v>
      </c>
      <c r="D2011" t="s">
        <v>62</v>
      </c>
      <c r="E2011" t="s">
        <v>35</v>
      </c>
      <c r="F2011" t="s">
        <v>504</v>
      </c>
      <c r="G2011" t="s">
        <v>490</v>
      </c>
      <c r="H2011" s="52" t="str">
        <f>VLOOKUP(Tabla3[[#This Row],[Site]],'Important Info!'!$A$1:$J$135,10,FALSE)</f>
        <v>https://tools.sig.systems/site/details/128</v>
      </c>
      <c r="I2011" s="2"/>
      <c r="J2011" t="s">
        <v>484</v>
      </c>
      <c r="K2011" s="79" t="str">
        <f>VLOOKUP(Tabla3[[#This Row],[Site]],'Important Info!'!$A$1:$H$135,8,FALSE)</f>
        <v>-</v>
      </c>
      <c r="L2011" s="52" t="str">
        <f>VLOOKUP(Tabla3[[#This Row],[Site]],'Important Info!'!$A$1:$F$135,2,FALSE)</f>
        <v>1, 16, 25, 27, 32</v>
      </c>
      <c r="M2011" s="52" t="str">
        <f>VLOOKUP(Tabla3[[#This Row],[Site]],'Important Info!'!$A$1:$F$135,3,FALSE)</f>
        <v>-</v>
      </c>
      <c r="N2011" s="52" t="str">
        <f>VLOOKUP(Tabla3[[#This Row],[Site]],'Important Info!'!$A$1:$F$135,4,FALSE)</f>
        <v>-</v>
      </c>
      <c r="O2011" s="52" t="str">
        <f>VLOOKUP(Tabla3[[#This Row],[Site]],'Important Info!'!$A$1:$F$135,5,FALSE)</f>
        <v>4, 10, 16</v>
      </c>
      <c r="P2011" s="52" t="str">
        <f>VLOOKUP(Tabla3[[#This Row],[Site]],'Important Info!'!$A$1:$F$135,6,FALSE)</f>
        <v>24, 25, 26 &amp; Remote Lots</v>
      </c>
      <c r="Q2011" s="91">
        <f>VLOOKUP(Tabla3[[#This Row],[Site]],'Important Info!'!$A$1:$J$135,9,FALSE)</f>
        <v>128</v>
      </c>
    </row>
    <row r="2012" spans="1:17" x14ac:dyDescent="0.25">
      <c r="A2012" t="str">
        <f>+Tabla3[[#This Row],[Site]]&amp;Tabla3[[#This Row],[Split]]</f>
        <v>(AS) Park Place Mercedes Benz Ft. Worth (NO TOURS)21</v>
      </c>
      <c r="B2012">
        <v>21</v>
      </c>
      <c r="C2012">
        <v>7</v>
      </c>
      <c r="D2012" t="s">
        <v>33</v>
      </c>
      <c r="E2012" t="s">
        <v>46</v>
      </c>
      <c r="F2012" t="s">
        <v>519</v>
      </c>
      <c r="G2012" t="s">
        <v>34</v>
      </c>
      <c r="H2012" s="52" t="str">
        <f>VLOOKUP(Tabla3[[#This Row],[Site]],'Important Info!'!$A$1:$J$135,10,FALSE)</f>
        <v>https://tools.sig.systems/site/details/137</v>
      </c>
      <c r="I2012" t="s">
        <v>128</v>
      </c>
      <c r="J2012" t="s">
        <v>41</v>
      </c>
      <c r="K2012" s="79" t="s">
        <v>37</v>
      </c>
      <c r="L2012" s="52" t="str">
        <f>VLOOKUP(Tabla3[[#This Row],[Site]],'Important Info!'!$A$1:$F$135,2,FALSE)</f>
        <v>4, 18</v>
      </c>
      <c r="M2012" s="52" t="str">
        <f>VLOOKUP(Tabla3[[#This Row],[Site]],'Important Info!'!$A$1:$F$135,3,FALSE)</f>
        <v>-</v>
      </c>
      <c r="N2012" s="52" t="str">
        <f>VLOOKUP(Tabla3[[#This Row],[Site]],'Important Info!'!$A$1:$F$135,4,FALSE)</f>
        <v>54, 55</v>
      </c>
      <c r="O2012" s="52" t="str">
        <f>VLOOKUP(Tabla3[[#This Row],[Site]],'Important Info!'!$A$1:$F$135,5,FALSE)</f>
        <v>2, 18</v>
      </c>
      <c r="P2012" s="52" t="str">
        <f>VLOOKUP(Tabla3[[#This Row],[Site]],'Important Info!'!$A$1:$F$135,6,FALSE)</f>
        <v>5, 18</v>
      </c>
      <c r="Q2012" s="91">
        <f>VLOOKUP(Tabla3[[#This Row],[Site]],'Important Info!'!$A$1:$J$135,9,FALSE)</f>
        <v>137</v>
      </c>
    </row>
    <row r="2013" spans="1:17" x14ac:dyDescent="0.25">
      <c r="A2013" t="str">
        <f>+Tabla3[[#This Row],[Site]]&amp;Tabla3[[#This Row],[Split]]</f>
        <v>(AS) Plano Auction (NO SPEAKERS)21</v>
      </c>
      <c r="B2013">
        <v>21</v>
      </c>
      <c r="C2013">
        <v>7</v>
      </c>
      <c r="D2013" t="s">
        <v>33</v>
      </c>
      <c r="E2013" t="s">
        <v>46</v>
      </c>
      <c r="F2013" t="s">
        <v>129</v>
      </c>
      <c r="G2013" t="s">
        <v>34</v>
      </c>
      <c r="H2013" s="52" t="str">
        <f>VLOOKUP(Tabla3[[#This Row],[Site]],'Important Info!'!$A$1:$J$135,10,FALSE)</f>
        <v>https://tools.sig.systems/site/details/140</v>
      </c>
      <c r="J2013" t="s">
        <v>41</v>
      </c>
      <c r="K2013" s="79" t="str">
        <f>VLOOKUP(Tabla3[[#This Row],[Site]],'Important Info!'!$A$1:$H$135,8,FALSE)</f>
        <v>-</v>
      </c>
      <c r="L2013" s="52" t="str">
        <f>VLOOKUP(Tabla3[[#This Row],[Site]],'Important Info!'!$A$1:$F$135,2,FALSE)</f>
        <v>-</v>
      </c>
      <c r="M2013" s="52" t="str">
        <f>VLOOKUP(Tabla3[[#This Row],[Site]],'Important Info!'!$A$1:$F$135,3,FALSE)</f>
        <v>3, 4, 19</v>
      </c>
      <c r="N2013" s="52" t="str">
        <f>VLOOKUP(Tabla3[[#This Row],[Site]],'Important Info!'!$A$1:$F$135,4,FALSE)</f>
        <v>-</v>
      </c>
      <c r="O2013" s="52" t="str">
        <f>VLOOKUP(Tabla3[[#This Row],[Site]],'Important Info!'!$A$1:$F$135,5,FALSE)</f>
        <v>5, 19</v>
      </c>
      <c r="P2013" s="52">
        <f>VLOOKUP(Tabla3[[#This Row],[Site]],'Important Info!'!$A$1:$F$135,6,FALSE)</f>
        <v>21</v>
      </c>
      <c r="Q2013" s="91">
        <f>VLOOKUP(Tabla3[[#This Row],[Site]],'Important Info!'!$A$1:$J$135,9,FALSE)</f>
        <v>140</v>
      </c>
    </row>
    <row r="2014" spans="1:17" x14ac:dyDescent="0.25">
      <c r="A2014" t="str">
        <f>+Tabla3[[#This Row],[Site]]&amp;Tabla3[[#This Row],[Split]]</f>
        <v>(ML) Joe Machens Temporary 2.021</v>
      </c>
      <c r="B2014">
        <v>21</v>
      </c>
      <c r="C2014">
        <v>7</v>
      </c>
      <c r="D2014" t="s">
        <v>33</v>
      </c>
      <c r="E2014" t="s">
        <v>46</v>
      </c>
      <c r="F2014" t="s">
        <v>105</v>
      </c>
      <c r="G2014" t="s">
        <v>34</v>
      </c>
      <c r="H2014" s="52" t="str">
        <f>VLOOKUP(Tabla3[[#This Row],[Site]],'Important Info!'!$A$1:$J$135,10,FALSE)</f>
        <v>https://tools.sig.systems/site/details/278</v>
      </c>
      <c r="I2014" s="43" t="s">
        <v>146</v>
      </c>
      <c r="J2014" t="s">
        <v>41</v>
      </c>
      <c r="K2014" s="79" t="str">
        <f>VLOOKUP(Tabla3[[#This Row],[Site]],'Important Info!'!$A$1:$H$135,8,FALSE)</f>
        <v>-</v>
      </c>
      <c r="L2014" s="52" t="str">
        <f>VLOOKUP(Tabla3[[#This Row],[Site]],'Important Info!'!$A$1:$F$135,2,FALSE)</f>
        <v>-</v>
      </c>
      <c r="M2014" s="52" t="str">
        <f>VLOOKUP(Tabla3[[#This Row],[Site]],'Important Info!'!$A$1:$F$135,3,FALSE)</f>
        <v>1, 11, 14, 15, 16</v>
      </c>
      <c r="N2014" s="52" t="str">
        <f>VLOOKUP(Tabla3[[#This Row],[Site]],'Important Info!'!$A$1:$F$135,4,FALSE)</f>
        <v>-</v>
      </c>
      <c r="O2014" s="52">
        <f>VLOOKUP(Tabla3[[#This Row],[Site]],'Important Info!'!$A$1:$F$135,5,FALSE)</f>
        <v>13</v>
      </c>
      <c r="P2014" s="52" t="str">
        <f>VLOOKUP(Tabla3[[#This Row],[Site]],'Important Info!'!$A$1:$F$135,6,FALSE)</f>
        <v>-</v>
      </c>
      <c r="Q2014" s="91">
        <f>VLOOKUP(Tabla3[[#This Row],[Site]],'Important Info!'!$A$1:$J$135,9,FALSE)</f>
        <v>278</v>
      </c>
    </row>
    <row r="2015" spans="1:17" x14ac:dyDescent="0.25">
      <c r="A2015" t="str">
        <f>+Tabla3[[#This Row],[Site]]&amp;Tabla3[[#This Row],[Split]]</f>
        <v>(SCH) Auto Body Shop Lake Park21</v>
      </c>
      <c r="B2015">
        <v>21</v>
      </c>
      <c r="C2015">
        <v>7</v>
      </c>
      <c r="D2015" t="s">
        <v>62</v>
      </c>
      <c r="E2015" t="s">
        <v>35</v>
      </c>
      <c r="F2015" t="s">
        <v>189</v>
      </c>
      <c r="G2015" t="s">
        <v>490</v>
      </c>
      <c r="H2015" s="52" t="str">
        <f>VLOOKUP(Tabla3[[#This Row],[Site]],'Important Info!'!$A$1:$J$135,10,FALSE)</f>
        <v>https://tools.sig.systems/site/details/158</v>
      </c>
      <c r="I2015" s="2"/>
      <c r="J2015" t="s">
        <v>41</v>
      </c>
      <c r="K2015" s="79" t="str">
        <f>VLOOKUP(Tabla3[[#This Row],[Site]],'Important Info!'!$A$1:$H$135,8,FALSE)</f>
        <v>-</v>
      </c>
      <c r="L2015" s="52" t="str">
        <f>VLOOKUP(Tabla3[[#This Row],[Site]],'Important Info!'!$A$1:$F$135,2,FALSE)</f>
        <v>3, 10</v>
      </c>
      <c r="M2015" s="52" t="str">
        <f>VLOOKUP(Tabla3[[#This Row],[Site]],'Important Info!'!$A$1:$F$135,3,FALSE)</f>
        <v>-</v>
      </c>
      <c r="N2015" s="52" t="str">
        <f>VLOOKUP(Tabla3[[#This Row],[Site]],'Important Info!'!$A$1:$F$135,4,FALSE)</f>
        <v>-</v>
      </c>
      <c r="O2015" s="52" t="str">
        <f>VLOOKUP(Tabla3[[#This Row],[Site]],'Important Info!'!$A$1:$F$135,5,FALSE)</f>
        <v>-</v>
      </c>
      <c r="P2015" s="52" t="str">
        <f>VLOOKUP(Tabla3[[#This Row],[Site]],'Important Info!'!$A$1:$F$135,6,FALSE)</f>
        <v>-</v>
      </c>
      <c r="Q2015" s="91">
        <f>VLOOKUP(Tabla3[[#This Row],[Site]],'Important Info!'!$A$1:$J$135,9,FALSE)</f>
        <v>158</v>
      </c>
    </row>
    <row r="2016" spans="1:17" x14ac:dyDescent="0.25">
      <c r="A2016" t="str">
        <f>+Tabla3[[#This Row],[Site]]&amp;Tabla3[[#This Row],[Split]]</f>
        <v>(AS) Courtesy Honda Palm Harbor (NO TOURS)21</v>
      </c>
      <c r="B2016">
        <v>21</v>
      </c>
      <c r="C2016">
        <v>8</v>
      </c>
      <c r="D2016" t="s">
        <v>62</v>
      </c>
      <c r="E2016" t="s">
        <v>35</v>
      </c>
      <c r="F2016" t="s">
        <v>108</v>
      </c>
      <c r="G2016" t="s">
        <v>490</v>
      </c>
      <c r="H2016" s="52" t="str">
        <f>VLOOKUP(Tabla3[[#This Row],[Site]],'Important Info!'!$A$1:$J$135,10,FALSE)</f>
        <v>https://tools.sig.systems/site/details/176</v>
      </c>
      <c r="I2016" s="2"/>
      <c r="J2016" t="s">
        <v>36</v>
      </c>
      <c r="K2016" s="79" t="str">
        <f>VLOOKUP(Tabla3[[#This Row],[Site]],'Important Info!'!$A$1:$H$135,8,FALSE)</f>
        <v>-</v>
      </c>
      <c r="L2016" s="52">
        <f>VLOOKUP(Tabla3[[#This Row],[Site]],'Important Info!'!$A$1:$F$135,2,FALSE)</f>
        <v>2</v>
      </c>
      <c r="M2016" s="52" t="str">
        <f>VLOOKUP(Tabla3[[#This Row],[Site]],'Important Info!'!$A$1:$F$135,3,FALSE)</f>
        <v>-</v>
      </c>
      <c r="N2016" s="52" t="str">
        <f>VLOOKUP(Tabla3[[#This Row],[Site]],'Important Info!'!$A$1:$F$135,4,FALSE)</f>
        <v>-</v>
      </c>
      <c r="O2016" s="52" t="str">
        <f>VLOOKUP(Tabla3[[#This Row],[Site]],'Important Info!'!$A$1:$F$135,5,FALSE)</f>
        <v>4, 8, 21</v>
      </c>
      <c r="P2016" s="52">
        <f>VLOOKUP(Tabla3[[#This Row],[Site]],'Important Info!'!$A$1:$F$135,6,FALSE)</f>
        <v>10</v>
      </c>
      <c r="Q2016" s="91">
        <f>VLOOKUP(Tabla3[[#This Row],[Site]],'Important Info!'!$A$1:$J$135,9,FALSE)</f>
        <v>176</v>
      </c>
    </row>
    <row r="2017" spans="1:17" x14ac:dyDescent="0.25">
      <c r="A2017" t="str">
        <f>+Tabla3[[#This Row],[Site]]&amp;Tabla3[[#This Row],[Split]]</f>
        <v>(AS) Nalley Lexus &amp; Remote Lot Roswell (NO TOURS)21</v>
      </c>
      <c r="B2017">
        <v>21</v>
      </c>
      <c r="C2017">
        <v>8</v>
      </c>
      <c r="D2017" t="s">
        <v>60</v>
      </c>
      <c r="E2017" t="s">
        <v>35</v>
      </c>
      <c r="F2017" t="s">
        <v>511</v>
      </c>
      <c r="G2017" t="s">
        <v>41</v>
      </c>
      <c r="H2017" s="52" t="str">
        <f>VLOOKUP(Tabla3[[#This Row],[Site]],'Important Info!'!$A$1:$J$135,10,FALSE)</f>
        <v>https://tools.sig.systems/site/details/131</v>
      </c>
      <c r="I2017" s="43" t="s">
        <v>166</v>
      </c>
      <c r="J2017" t="s">
        <v>41</v>
      </c>
      <c r="K2017" s="79" t="str">
        <f>VLOOKUP(Tabla3[[#This Row],[Site]],'Important Info!'!$A$1:$H$135,8,FALSE)</f>
        <v>Dealership 11PM to 5AM (Mon to Fri). Sunday Drop Time 1PM</v>
      </c>
      <c r="L2017" s="52" t="str">
        <f>VLOOKUP(Tabla3[[#This Row],[Site]],'Important Info!'!$A$1:$F$135,2,FALSE)</f>
        <v>6, 13</v>
      </c>
      <c r="M2017" s="52">
        <f>VLOOKUP(Tabla3[[#This Row],[Site]],'Important Info!'!$A$1:$F$135,3,FALSE)</f>
        <v>4</v>
      </c>
      <c r="N2017" s="52">
        <f>VLOOKUP(Tabla3[[#This Row],[Site]],'Important Info!'!$A$1:$F$135,4,FALSE)</f>
        <v>1</v>
      </c>
      <c r="O2017" s="52" t="str">
        <f>VLOOKUP(Tabla3[[#This Row],[Site]],'Important Info!'!$A$1:$F$135,5,FALSE)</f>
        <v>1, 8, 19</v>
      </c>
      <c r="P2017" s="52" t="str">
        <f>VLOOKUP(Tabla3[[#This Row],[Site]],'Important Info!'!$A$1:$F$135,6,FALSE)</f>
        <v>4, 20</v>
      </c>
      <c r="Q2017" s="91">
        <f>VLOOKUP(Tabla3[[#This Row],[Site]],'Important Info!'!$A$1:$J$135,9,FALSE)</f>
        <v>131</v>
      </c>
    </row>
    <row r="2018" spans="1:17" x14ac:dyDescent="0.25">
      <c r="A2018" t="str">
        <f>+Tabla3[[#This Row],[Site]]&amp;Tabla3[[#This Row],[Split]]</f>
        <v>(AS) Park Place Bodywerks Dallas (NO TOURS)21</v>
      </c>
      <c r="B2018">
        <v>21</v>
      </c>
      <c r="C2018">
        <v>8</v>
      </c>
      <c r="D2018" t="s">
        <v>33</v>
      </c>
      <c r="E2018" t="s">
        <v>46</v>
      </c>
      <c r="F2018" t="s">
        <v>514</v>
      </c>
      <c r="G2018" t="s">
        <v>34</v>
      </c>
      <c r="H2018" s="52" t="str">
        <f>VLOOKUP(Tabla3[[#This Row],[Site]],'Important Info!'!$A$1:$J$135,10,FALSE)</f>
        <v>https://tools.sig.systems/site/details/166</v>
      </c>
      <c r="I2018" s="65" t="s">
        <v>125</v>
      </c>
      <c r="J2018" t="s">
        <v>41</v>
      </c>
      <c r="K2018" s="79" t="str">
        <f>VLOOKUP(Tabla3[[#This Row],[Site]],'Important Info!'!$A$1:$H$135,8,FALSE)</f>
        <v>-</v>
      </c>
      <c r="L2018" s="52">
        <f>VLOOKUP(Tabla3[[#This Row],[Site]],'Important Info!'!$A$1:$F$135,2,FALSE)</f>
        <v>3</v>
      </c>
      <c r="M2018" s="52">
        <f>VLOOKUP(Tabla3[[#This Row],[Site]],'Important Info!'!$A$1:$F$135,3,FALSE)</f>
        <v>1</v>
      </c>
      <c r="N2018" s="52" t="str">
        <f>VLOOKUP(Tabla3[[#This Row],[Site]],'Important Info!'!$A$1:$F$135,4,FALSE)</f>
        <v>-</v>
      </c>
      <c r="O2018" s="52" t="str">
        <f>VLOOKUP(Tabla3[[#This Row],[Site]],'Important Info!'!$A$1:$F$135,5,FALSE)</f>
        <v>-</v>
      </c>
      <c r="P2018" s="52" t="str">
        <f>VLOOKUP(Tabla3[[#This Row],[Site]],'Important Info!'!$A$1:$F$135,6,FALSE)</f>
        <v>1, 2, 8</v>
      </c>
      <c r="Q2018" s="91">
        <f>VLOOKUP(Tabla3[[#This Row],[Site]],'Important Info!'!$A$1:$J$135,9,FALSE)</f>
        <v>166</v>
      </c>
    </row>
    <row r="2019" spans="1:17" x14ac:dyDescent="0.25">
      <c r="A2019" t="str">
        <f>+Tabla3[[#This Row],[Site]]&amp;Tabla3[[#This Row],[Split]]</f>
        <v>(KG) Big Star Honda21</v>
      </c>
      <c r="B2019">
        <v>21</v>
      </c>
      <c r="C2019">
        <v>8</v>
      </c>
      <c r="D2019" t="s">
        <v>33</v>
      </c>
      <c r="E2019" t="s">
        <v>46</v>
      </c>
      <c r="F2019" t="s">
        <v>136</v>
      </c>
      <c r="G2019" t="s">
        <v>34</v>
      </c>
      <c r="H2019" s="52" t="str">
        <f>VLOOKUP(Tabla3[[#This Row],[Site]],'Important Info!'!$A$1:$J$135,10,FALSE)</f>
        <v>https://tools.sig.systems/site/details/231</v>
      </c>
      <c r="J2019" t="s">
        <v>41</v>
      </c>
      <c r="K2019" s="79" t="str">
        <f>VLOOKUP(Tabla3[[#This Row],[Site]],'Important Info!'!$A$1:$H$135,8,FALSE)</f>
        <v>-</v>
      </c>
      <c r="L2019" s="52" t="str">
        <f>VLOOKUP(Tabla3[[#This Row],[Site]],'Important Info!'!$A$1:$F$135,2,FALSE)</f>
        <v>2, 17, 33</v>
      </c>
      <c r="M2019" s="52" t="str">
        <f>VLOOKUP(Tabla3[[#This Row],[Site]],'Important Info!'!$A$1:$F$135,3,FALSE)</f>
        <v>-</v>
      </c>
      <c r="N2019" s="52" t="str">
        <f>VLOOKUP(Tabla3[[#This Row],[Site]],'Important Info!'!$A$1:$F$135,4,FALSE)</f>
        <v>-</v>
      </c>
      <c r="O2019" s="52" t="str">
        <f>VLOOKUP(Tabla3[[#This Row],[Site]],'Important Info!'!$A$1:$F$135,5,FALSE)</f>
        <v>3, 11, 16, 21, 24, 31, 34</v>
      </c>
      <c r="P2019" s="52" t="str">
        <f>VLOOKUP(Tabla3[[#This Row],[Site]],'Important Info!'!$A$1:$F$135,6,FALSE)</f>
        <v xml:space="preserve">2, 3, 17, 22, 37, 41, 42 </v>
      </c>
      <c r="Q2019" s="91">
        <f>VLOOKUP(Tabla3[[#This Row],[Site]],'Important Info!'!$A$1:$J$135,9,FALSE)</f>
        <v>231</v>
      </c>
    </row>
    <row r="2020" spans="1:17" x14ac:dyDescent="0.25">
      <c r="A2020" t="str">
        <f>+Tabla3[[#This Row],[Site]]&amp;Tabla3[[#This Row],[Split]]</f>
        <v>(ML) Joe Machens Nissan21</v>
      </c>
      <c r="B2020">
        <v>21</v>
      </c>
      <c r="C2020">
        <v>8</v>
      </c>
      <c r="D2020" t="s">
        <v>33</v>
      </c>
      <c r="E2020" t="s">
        <v>46</v>
      </c>
      <c r="F2020" t="s">
        <v>104</v>
      </c>
      <c r="G2020" t="s">
        <v>34</v>
      </c>
      <c r="H2020" s="52" t="str">
        <f>VLOOKUP(Tabla3[[#This Row],[Site]],'Important Info!'!$A$1:$J$135,10,FALSE)</f>
        <v>https://tools.sig.systems/site/details/279</v>
      </c>
      <c r="I2020" s="43" t="s">
        <v>146</v>
      </c>
      <c r="J2020" t="s">
        <v>41</v>
      </c>
      <c r="K2020" s="79" t="str">
        <f>VLOOKUP(Tabla3[[#This Row],[Site]],'Important Info!'!$A$1:$H$135,8,FALSE)</f>
        <v>-</v>
      </c>
      <c r="L2020" s="52" t="str">
        <f>VLOOKUP(Tabla3[[#This Row],[Site]],'Important Info!'!$A$1:$F$135,2,FALSE)</f>
        <v>-</v>
      </c>
      <c r="M2020" s="52" t="str">
        <f>VLOOKUP(Tabla3[[#This Row],[Site]],'Important Info!'!$A$1:$F$135,3,FALSE)</f>
        <v>1, 3, 16</v>
      </c>
      <c r="N2020" s="52" t="str">
        <f>VLOOKUP(Tabla3[[#This Row],[Site]],'Important Info!'!$A$1:$F$135,4,FALSE)</f>
        <v>-</v>
      </c>
      <c r="O2020" s="52" t="str">
        <f>VLOOKUP(Tabla3[[#This Row],[Site]],'Important Info!'!$A$1:$F$135,5,FALSE)</f>
        <v>-</v>
      </c>
      <c r="P2020" s="52" t="str">
        <f>VLOOKUP(Tabla3[[#This Row],[Site]],'Important Info!'!$A$1:$F$135,6,FALSE)</f>
        <v>-</v>
      </c>
      <c r="Q2020" s="91">
        <f>VLOOKUP(Tabla3[[#This Row],[Site]],'Important Info!'!$A$1:$J$135,9,FALSE)</f>
        <v>279</v>
      </c>
    </row>
    <row r="2021" spans="1:17" x14ac:dyDescent="0.25">
      <c r="A2021" t="str">
        <f>+Tabla3[[#This Row],[Site]]&amp;Tabla3[[#This Row],[Split]]</f>
        <v>(AS) Park Place MB Recon Center Dallas (NO TOURS)21</v>
      </c>
      <c r="B2021">
        <v>21</v>
      </c>
      <c r="C2021">
        <v>9</v>
      </c>
      <c r="D2021" t="s">
        <v>33</v>
      </c>
      <c r="E2021" t="s">
        <v>46</v>
      </c>
      <c r="F2021" t="s">
        <v>517</v>
      </c>
      <c r="G2021" t="s">
        <v>34</v>
      </c>
      <c r="H2021" s="52" t="str">
        <f>VLOOKUP(Tabla3[[#This Row],[Site]],'Important Info!'!$A$1:$J$135,10,FALSE)</f>
        <v>https://tools.sig.systems/site/details/170</v>
      </c>
      <c r="I2021" s="65" t="s">
        <v>125</v>
      </c>
      <c r="J2021" t="s">
        <v>41</v>
      </c>
      <c r="K2021" s="79" t="str">
        <f>VLOOKUP(Tabla3[[#This Row],[Site]],'Important Info!'!$A$1:$H$135,8,FALSE)</f>
        <v>-</v>
      </c>
      <c r="L2021" s="52" t="str">
        <f>VLOOKUP(Tabla3[[#This Row],[Site]],'Important Info!'!$A$1:$F$135,2,FALSE)</f>
        <v>3, 39</v>
      </c>
      <c r="M2021" s="52" t="str">
        <f>VLOOKUP(Tabla3[[#This Row],[Site]],'Important Info!'!$A$1:$F$135,3,FALSE)</f>
        <v>-</v>
      </c>
      <c r="N2021" s="52" t="str">
        <f>VLOOKUP(Tabla3[[#This Row],[Site]],'Important Info!'!$A$1:$F$135,4,FALSE)</f>
        <v>-</v>
      </c>
      <c r="O2021" s="52" t="str">
        <f>VLOOKUP(Tabla3[[#This Row],[Site]],'Important Info!'!$A$1:$F$135,5,FALSE)</f>
        <v>4, 11</v>
      </c>
      <c r="P2021" s="52">
        <f>VLOOKUP(Tabla3[[#This Row],[Site]],'Important Info!'!$A$1:$F$135,6,FALSE)</f>
        <v>1</v>
      </c>
      <c r="Q2021" s="91">
        <f>VLOOKUP(Tabla3[[#This Row],[Site]],'Important Info!'!$A$1:$J$135,9,FALSE)</f>
        <v>170</v>
      </c>
    </row>
    <row r="2022" spans="1:17" x14ac:dyDescent="0.25">
      <c r="A2022" t="str">
        <f>+Tabla3[[#This Row],[Site]]&amp;Tabla3[[#This Row],[Split]]</f>
        <v>(ML) Joe Machens Ford Lincoln I &amp; II21</v>
      </c>
      <c r="B2022">
        <v>21</v>
      </c>
      <c r="C2022">
        <v>9</v>
      </c>
      <c r="D2022" t="s">
        <v>33</v>
      </c>
      <c r="E2022" t="s">
        <v>46</v>
      </c>
      <c r="F2022" t="s">
        <v>148</v>
      </c>
      <c r="G2022" t="s">
        <v>34</v>
      </c>
      <c r="H2022" s="52" t="str">
        <f>VLOOKUP(Tabla3[[#This Row],[Site]],'Important Info!'!$A$1:$J$135,10,FALSE)</f>
        <v>https://tools.sig.systems/site/details/266</v>
      </c>
      <c r="I2022" s="2" t="s">
        <v>146</v>
      </c>
      <c r="J2022" t="s">
        <v>41</v>
      </c>
      <c r="K2022" s="79" t="str">
        <f>VLOOKUP(Tabla3[[#This Row],[Site]],'Important Info!'!$A$1:$H$135,8,FALSE)</f>
        <v>-</v>
      </c>
      <c r="L2022" s="52" t="str">
        <f>VLOOKUP(Tabla3[[#This Row],[Site]],'Important Info!'!$A$1:$F$135,2,FALSE)</f>
        <v>-</v>
      </c>
      <c r="M2022" s="52" t="str">
        <f>VLOOKUP(Tabla3[[#This Row],[Site]],'Important Info!'!$A$1:$F$135,3,FALSE)</f>
        <v>4, 6, 9, 13, 14, 17, 26, 27, 28, 29, 30</v>
      </c>
      <c r="N2022" s="52" t="str">
        <f>VLOOKUP(Tabla3[[#This Row],[Site]],'Important Info!'!$A$1:$F$135,4,FALSE)</f>
        <v>-</v>
      </c>
      <c r="O2022" s="52" t="str">
        <f>VLOOKUP(Tabla3[[#This Row],[Site]],'Important Info!'!$A$1:$F$135,5,FALSE)</f>
        <v>23, 40, 49</v>
      </c>
      <c r="P2022" s="52" t="str">
        <f>VLOOKUP(Tabla3[[#This Row],[Site]],'Important Info!'!$A$1:$F$135,6,FALSE)</f>
        <v>-</v>
      </c>
      <c r="Q2022" s="91">
        <f>VLOOKUP(Tabla3[[#This Row],[Site]],'Important Info!'!$A$1:$J$135,9,FALSE)</f>
        <v>266</v>
      </c>
    </row>
    <row r="2023" spans="1:17" x14ac:dyDescent="0.25">
      <c r="A2023" t="str">
        <f>+Tabla3[[#This Row],[Site]]&amp;Tabla3[[#This Row],[Split]]</f>
        <v>(ML) Joe Machens Kia of Columbia21</v>
      </c>
      <c r="B2023">
        <v>21</v>
      </c>
      <c r="C2023">
        <v>9</v>
      </c>
      <c r="D2023" t="s">
        <v>33</v>
      </c>
      <c r="E2023" t="s">
        <v>46</v>
      </c>
      <c r="F2023" t="s">
        <v>149</v>
      </c>
      <c r="G2023" t="s">
        <v>34</v>
      </c>
      <c r="H2023" s="52" t="str">
        <f>VLOOKUP(Tabla3[[#This Row],[Site]],'Important Info!'!$A$1:$J$135,10,FALSE)</f>
        <v>https://tools.sig.systems/site/details/270</v>
      </c>
      <c r="I2023" s="2" t="s">
        <v>146</v>
      </c>
      <c r="J2023" t="s">
        <v>41</v>
      </c>
      <c r="K2023" s="79" t="str">
        <f>VLOOKUP(Tabla3[[#This Row],[Site]],'Important Info!'!$A$1:$H$135,8,FALSE)</f>
        <v>-</v>
      </c>
      <c r="L2023" s="52" t="str">
        <f>VLOOKUP(Tabla3[[#This Row],[Site]],'Important Info!'!$A$1:$F$135,2,FALSE)</f>
        <v>-</v>
      </c>
      <c r="M2023" s="52" t="str">
        <f>VLOOKUP(Tabla3[[#This Row],[Site]],'Important Info!'!$A$1:$F$135,3,FALSE)</f>
        <v>1, 2, 5, 6, 9, 13, 15</v>
      </c>
      <c r="N2023" s="52" t="str">
        <f>VLOOKUP(Tabla3[[#This Row],[Site]],'Important Info!'!$A$1:$F$135,4,FALSE)</f>
        <v>-</v>
      </c>
      <c r="O2023" s="52" t="str">
        <f>VLOOKUP(Tabla3[[#This Row],[Site]],'Important Info!'!$A$1:$F$135,5,FALSE)</f>
        <v>-</v>
      </c>
      <c r="P2023" s="52" t="str">
        <f>VLOOKUP(Tabla3[[#This Row],[Site]],'Important Info!'!$A$1:$F$135,6,FALSE)</f>
        <v>10, 11, 13</v>
      </c>
      <c r="Q2023" s="91">
        <f>VLOOKUP(Tabla3[[#This Row],[Site]],'Important Info!'!$A$1:$J$135,9,FALSE)</f>
        <v>270</v>
      </c>
    </row>
    <row r="2024" spans="1:17" x14ac:dyDescent="0.25">
      <c r="A2024" t="str">
        <f>+Tabla3[[#This Row],[Site]]&amp;Tabla3[[#This Row],[Split]]</f>
        <v>(SCH) Delray I &amp; II21</v>
      </c>
      <c r="B2024">
        <v>21</v>
      </c>
      <c r="C2024">
        <v>9</v>
      </c>
      <c r="D2024" t="s">
        <v>62</v>
      </c>
      <c r="E2024" t="s">
        <v>35</v>
      </c>
      <c r="F2024" t="s">
        <v>67</v>
      </c>
      <c r="G2024" t="s">
        <v>490</v>
      </c>
      <c r="H2024" s="52" t="str">
        <f>VLOOKUP(Tabla3[[#This Row],[Site]],'Important Info!'!$A$1:$J$135,10,FALSE)</f>
        <v>https://tools.sig.systems/site/details/159</v>
      </c>
      <c r="I2024" s="43"/>
      <c r="J2024" t="s">
        <v>36</v>
      </c>
      <c r="K2024" s="79" t="str">
        <f>VLOOKUP(Tabla3[[#This Row],[Site]],'Important Info!'!$A$1:$H$135,8,FALSE)</f>
        <v>-</v>
      </c>
      <c r="L2024" s="52" t="str">
        <f>VLOOKUP(Tabla3[[#This Row],[Site]],'Important Info!'!$A$1:$F$135,2,FALSE)</f>
        <v>5, 28, 31</v>
      </c>
      <c r="M2024" s="52" t="str">
        <f>VLOOKUP(Tabla3[[#This Row],[Site]],'Important Info!'!$A$1:$F$135,3,FALSE)</f>
        <v>1, 29</v>
      </c>
      <c r="N2024" s="52">
        <f>VLOOKUP(Tabla3[[#This Row],[Site]],'Important Info!'!$A$1:$F$135,4,FALSE)</f>
        <v>6</v>
      </c>
      <c r="O2024" s="52" t="str">
        <f>VLOOKUP(Tabla3[[#This Row],[Site]],'Important Info!'!$A$1:$F$135,5,FALSE)</f>
        <v>-</v>
      </c>
      <c r="P2024" s="52" t="str">
        <f>VLOOKUP(Tabla3[[#This Row],[Site]],'Important Info!'!$A$1:$F$135,6,FALSE)</f>
        <v>1, 35, 36</v>
      </c>
      <c r="Q2024" s="91">
        <f>VLOOKUP(Tabla3[[#This Row],[Site]],'Important Info!'!$A$1:$J$135,9,FALSE)</f>
        <v>159</v>
      </c>
    </row>
    <row r="2025" spans="1:17" x14ac:dyDescent="0.25">
      <c r="A2025" t="str">
        <f>+Tabla3[[#This Row],[Site]]&amp;Tabla3[[#This Row],[Split]]</f>
        <v>(AS) Park Place Volvo Service Center (NO TOURS)21</v>
      </c>
      <c r="B2025">
        <v>21</v>
      </c>
      <c r="C2025">
        <v>10</v>
      </c>
      <c r="D2025" t="s">
        <v>33</v>
      </c>
      <c r="E2025" t="s">
        <v>46</v>
      </c>
      <c r="F2025" t="s">
        <v>522</v>
      </c>
      <c r="G2025" t="s">
        <v>34</v>
      </c>
      <c r="H2025" s="52" t="str">
        <f>VLOOKUP(Tabla3[[#This Row],[Site]],'Important Info!'!$A$1:$J$135,10,FALSE)</f>
        <v>https://tools.sig.systems/site/details/171</v>
      </c>
      <c r="I2025" s="65" t="s">
        <v>125</v>
      </c>
      <c r="J2025" t="s">
        <v>41</v>
      </c>
      <c r="K2025" s="79" t="str">
        <f>VLOOKUP(Tabla3[[#This Row],[Site]],'Important Info!'!$A$1:$H$135,8,FALSE)</f>
        <v>-</v>
      </c>
      <c r="L2025" s="52" t="str">
        <f>VLOOKUP(Tabla3[[#This Row],[Site]],'Important Info!'!$A$1:$F$135,2,FALSE)</f>
        <v>3, 6, 9, 27, 31, 35</v>
      </c>
      <c r="M2025" s="52" t="str">
        <f>VLOOKUP(Tabla3[[#This Row],[Site]],'Important Info!'!$A$1:$F$135,3,FALSE)</f>
        <v>-</v>
      </c>
      <c r="N2025" s="52" t="str">
        <f>VLOOKUP(Tabla3[[#This Row],[Site]],'Important Info!'!$A$1:$F$135,4,FALSE)</f>
        <v>-</v>
      </c>
      <c r="O2025" s="52" t="str">
        <f>VLOOKUP(Tabla3[[#This Row],[Site]],'Important Info!'!$A$1:$F$135,5,FALSE)</f>
        <v>27, 32</v>
      </c>
      <c r="P2025" s="52" t="str">
        <f>VLOOKUP(Tabla3[[#This Row],[Site]],'Important Info!'!$A$1:$F$135,6,FALSE)</f>
        <v>-</v>
      </c>
      <c r="Q2025" s="91">
        <f>VLOOKUP(Tabla3[[#This Row],[Site]],'Important Info!'!$A$1:$J$135,9,FALSE)</f>
        <v>171</v>
      </c>
    </row>
    <row r="2026" spans="1:17" x14ac:dyDescent="0.25">
      <c r="A2026" t="str">
        <f>+Tabla3[[#This Row],[Site]]&amp;Tabla3[[#This Row],[Split]]</f>
        <v>(DT) Escondido21</v>
      </c>
      <c r="B2026">
        <v>21</v>
      </c>
      <c r="C2026">
        <v>10</v>
      </c>
      <c r="D2026" t="s">
        <v>51</v>
      </c>
      <c r="E2026" t="s">
        <v>159</v>
      </c>
      <c r="F2026" t="s">
        <v>112</v>
      </c>
      <c r="G2026" t="s">
        <v>164</v>
      </c>
      <c r="H2026" s="52" t="str">
        <f>VLOOKUP(Tabla3[[#This Row],[Site]],'Important Info!'!$A$1:$J$135,10,FALSE)</f>
        <v>https://tools.sig.systems/site/details/196</v>
      </c>
      <c r="I2026" s="43"/>
      <c r="J2026" t="s">
        <v>41</v>
      </c>
      <c r="K2026" s="79" t="str">
        <f>VLOOKUP(Tabla3[[#This Row],[Site]],'Important Info!'!$A$1:$H$135,8,FALSE)</f>
        <v>Saturday Drop Time 9:00 A.M.</v>
      </c>
      <c r="L2026" s="52" t="str">
        <f>VLOOKUP(Tabla3[[#This Row],[Site]],'Important Info!'!$A$1:$F$135,2,FALSE)</f>
        <v>1, 2</v>
      </c>
      <c r="M2026" s="52" t="str">
        <f>VLOOKUP(Tabla3[[#This Row],[Site]],'Important Info!'!$A$1:$F$135,3,FALSE)</f>
        <v>-</v>
      </c>
      <c r="N2026" s="52" t="str">
        <f>VLOOKUP(Tabla3[[#This Row],[Site]],'Important Info!'!$A$1:$F$135,4,FALSE)</f>
        <v>-</v>
      </c>
      <c r="O2026" s="52" t="str">
        <f>VLOOKUP(Tabla3[[#This Row],[Site]],'Important Info!'!$A$1:$F$135,5,FALSE)</f>
        <v>-</v>
      </c>
      <c r="P2026" s="52" t="str">
        <f>VLOOKUP(Tabla3[[#This Row],[Site]],'Important Info!'!$A$1:$F$135,6,FALSE)</f>
        <v>5, 7, 8</v>
      </c>
      <c r="Q2026" s="91">
        <f>VLOOKUP(Tabla3[[#This Row],[Site]],'Important Info!'!$A$1:$J$135,9,FALSE)</f>
        <v>196</v>
      </c>
    </row>
    <row r="2027" spans="1:17" x14ac:dyDescent="0.25">
      <c r="A2027" t="str">
        <f>+Tabla3[[#This Row],[Site]]&amp;Tabla3[[#This Row],[Split]]</f>
        <v>(SCH) West Palm Beach I, II &amp; III21</v>
      </c>
      <c r="B2027">
        <v>21</v>
      </c>
      <c r="C2027">
        <v>10</v>
      </c>
      <c r="D2027" t="s">
        <v>492</v>
      </c>
      <c r="E2027" t="s">
        <v>35</v>
      </c>
      <c r="F2027" t="s">
        <v>96</v>
      </c>
      <c r="G2027" t="s">
        <v>490</v>
      </c>
      <c r="H2027" s="52" t="str">
        <f>VLOOKUP(Tabla3[[#This Row],[Site]],'Important Info!'!$A$1:$J$135,10,FALSE)</f>
        <v>https://tools.sig.systems/site/details/162</v>
      </c>
      <c r="I2027" s="43"/>
      <c r="J2027" t="s">
        <v>36</v>
      </c>
      <c r="K2027" s="79" t="str">
        <f>VLOOKUP(Tabla3[[#This Row],[Site]],'Important Info!'!$A$1:$H$135,8,FALSE)</f>
        <v>SUNDAY: Log in at 5:30 p.m. ET.</v>
      </c>
      <c r="L2027" s="52" t="str">
        <f>VLOOKUP(Tabla3[[#This Row],[Site]],'Important Info!'!$A$1:$F$135,2,FALSE)</f>
        <v>34, 62</v>
      </c>
      <c r="M2027" s="52" t="str">
        <f>VLOOKUP(Tabla3[[#This Row],[Site]],'Important Info!'!$A$1:$F$135,3,FALSE)</f>
        <v xml:space="preserve">6, 7, 11, 13, </v>
      </c>
      <c r="N2027" s="52" t="str">
        <f>VLOOKUP(Tabla3[[#This Row],[Site]],'Important Info!'!$A$1:$F$135,4,FALSE)</f>
        <v>20, 21</v>
      </c>
      <c r="O2027" s="52" t="str">
        <f>VLOOKUP(Tabla3[[#This Row],[Site]],'Important Info!'!$A$1:$F$135,5,FALSE)</f>
        <v>-</v>
      </c>
      <c r="P2027" s="52" t="str">
        <f>VLOOKUP(Tabla3[[#This Row],[Site]],'Important Info!'!$A$1:$F$135,6,FALSE)</f>
        <v>1, 2, 3, 131, 132</v>
      </c>
      <c r="Q2027" s="91">
        <f>VLOOKUP(Tabla3[[#This Row],[Site]],'Important Info!'!$A$1:$J$135,9,FALSE)</f>
        <v>162</v>
      </c>
    </row>
    <row r="2028" spans="1:17" x14ac:dyDescent="0.25">
      <c r="A2028" t="str">
        <f>+Tabla3[[#This Row],[Site]]&amp;Tabla3[[#This Row],[Split]]</f>
        <v>(AS) David McDavid Lincoln Frisco (NO TOURS)21</v>
      </c>
      <c r="B2028">
        <v>21</v>
      </c>
      <c r="C2028">
        <v>11</v>
      </c>
      <c r="D2028" t="s">
        <v>33</v>
      </c>
      <c r="E2028" t="s">
        <v>46</v>
      </c>
      <c r="F2028" t="s">
        <v>507</v>
      </c>
      <c r="G2028" t="s">
        <v>34</v>
      </c>
      <c r="H2028" s="52" t="str">
        <f>VLOOKUP(Tabla3[[#This Row],[Site]],'Important Info!'!$A$1:$J$135,10,FALSE)</f>
        <v>https://tools.sig.systems/site/details/182</v>
      </c>
      <c r="I2028" s="43"/>
      <c r="J2028" t="s">
        <v>41</v>
      </c>
      <c r="K2028" s="79" t="str">
        <f>VLOOKUP(Tabla3[[#This Row],[Site]],'Important Info!'!$A$1:$H$135,8,FALSE)</f>
        <v>-</v>
      </c>
      <c r="L2028" s="52" t="str">
        <f>VLOOKUP(Tabla3[[#This Row],[Site]],'Important Info!'!$A$1:$F$135,2,FALSE)</f>
        <v>1, 2, 11</v>
      </c>
      <c r="M2028" s="52" t="str">
        <f>VLOOKUP(Tabla3[[#This Row],[Site]],'Important Info!'!$A$1:$F$135,3,FALSE)</f>
        <v>-</v>
      </c>
      <c r="N2028" s="52" t="str">
        <f>VLOOKUP(Tabla3[[#This Row],[Site]],'Important Info!'!$A$1:$F$135,4,FALSE)</f>
        <v>-</v>
      </c>
      <c r="O2028" s="52" t="str">
        <f>VLOOKUP(Tabla3[[#This Row],[Site]],'Important Info!'!$A$1:$F$135,5,FALSE)</f>
        <v>11, 16, 20</v>
      </c>
      <c r="P2028" s="52" t="str">
        <f>VLOOKUP(Tabla3[[#This Row],[Site]],'Important Info!'!$A$1:$F$135,6,FALSE)</f>
        <v>11, 12, 13, 14</v>
      </c>
      <c r="Q2028" s="91">
        <f>VLOOKUP(Tabla3[[#This Row],[Site]],'Important Info!'!$A$1:$J$135,9,FALSE)</f>
        <v>182</v>
      </c>
    </row>
    <row r="2029" spans="1:17" x14ac:dyDescent="0.25">
      <c r="A2029" t="str">
        <f>+Tabla3[[#This Row],[Site]]&amp;Tabla3[[#This Row],[Split]]</f>
        <v>(AS) Lexus Smyrna (NO TOURS)21</v>
      </c>
      <c r="B2029">
        <v>21</v>
      </c>
      <c r="C2029">
        <v>11</v>
      </c>
      <c r="D2029" t="s">
        <v>62</v>
      </c>
      <c r="E2029" t="s">
        <v>35</v>
      </c>
      <c r="F2029" t="s">
        <v>84</v>
      </c>
      <c r="G2029" t="s">
        <v>490</v>
      </c>
      <c r="H2029" s="52" t="str">
        <f>VLOOKUP(Tabla3[[#This Row],[Site]],'Important Info!'!$A$1:$J$135,10,FALSE)</f>
        <v>https://tools.sig.systems/site/details/133</v>
      </c>
      <c r="I2029" s="2"/>
      <c r="J2029" t="s">
        <v>41</v>
      </c>
      <c r="K2029" s="79" t="str">
        <f>VLOOKUP(Tabla3[[#This Row],[Site]],'Important Info!'!$A$1:$H$135,8,FALSE)</f>
        <v>-</v>
      </c>
      <c r="L2029" s="52" t="str">
        <f>VLOOKUP(Tabla3[[#This Row],[Site]],'Important Info!'!$A$1:$F$135,2,FALSE)</f>
        <v xml:space="preserve">2, 6, 10 </v>
      </c>
      <c r="M2029" s="52" t="str">
        <f>VLOOKUP(Tabla3[[#This Row],[Site]],'Important Info!'!$A$1:$F$135,3,FALSE)</f>
        <v>-</v>
      </c>
      <c r="N2029" s="52" t="str">
        <f>VLOOKUP(Tabla3[[#This Row],[Site]],'Important Info!'!$A$1:$F$135,4,FALSE)</f>
        <v>-</v>
      </c>
      <c r="O2029" s="52" t="str">
        <f>VLOOKUP(Tabla3[[#This Row],[Site]],'Important Info!'!$A$1:$F$135,5,FALSE)</f>
        <v>3, 5, 10, 15</v>
      </c>
      <c r="P2029" s="52" t="str">
        <f>VLOOKUP(Tabla3[[#This Row],[Site]],'Important Info!'!$A$1:$F$135,6,FALSE)</f>
        <v>10, 11</v>
      </c>
      <c r="Q2029" s="91">
        <f>VLOOKUP(Tabla3[[#This Row],[Site]],'Important Info!'!$A$1:$J$135,9,FALSE)</f>
        <v>133</v>
      </c>
    </row>
    <row r="2030" spans="1:17" x14ac:dyDescent="0.25">
      <c r="A2030" t="str">
        <f>+Tabla3[[#This Row],[Site]]&amp;Tabla3[[#This Row],[Split]]</f>
        <v>(AS) Nalley BMW Collision Center (NO TOURS)21</v>
      </c>
      <c r="B2030">
        <v>21</v>
      </c>
      <c r="C2030">
        <v>11</v>
      </c>
      <c r="D2030" t="s">
        <v>62</v>
      </c>
      <c r="E2030" t="s">
        <v>35</v>
      </c>
      <c r="F2030" t="s">
        <v>510</v>
      </c>
      <c r="G2030" t="s">
        <v>490</v>
      </c>
      <c r="H2030" s="52" t="str">
        <f>VLOOKUP(Tabla3[[#This Row],[Site]],'Important Info!'!$A$1:$J$135,10,FALSE)</f>
        <v>https://tools.sig.systems/site/details/220</v>
      </c>
      <c r="I2030" s="43"/>
      <c r="J2030" t="s">
        <v>41</v>
      </c>
      <c r="K2030" s="79" t="str">
        <f>VLOOKUP(Tabla3[[#This Row],[Site]],'Important Info!'!$A$1:$H$135,8,FALSE)</f>
        <v>-</v>
      </c>
      <c r="L2030" s="52" t="str">
        <f>VLOOKUP(Tabla3[[#This Row],[Site]],'Important Info!'!$A$1:$F$135,2,FALSE)</f>
        <v>-</v>
      </c>
      <c r="M2030" s="52">
        <f>VLOOKUP(Tabla3[[#This Row],[Site]],'Important Info!'!$A$1:$F$135,3,FALSE)</f>
        <v>4</v>
      </c>
      <c r="N2030" s="52" t="str">
        <f>VLOOKUP(Tabla3[[#This Row],[Site]],'Important Info!'!$A$1:$F$135,4,FALSE)</f>
        <v>-</v>
      </c>
      <c r="O2030" s="52">
        <f>VLOOKUP(Tabla3[[#This Row],[Site]],'Important Info!'!$A$1:$F$135,5,FALSE)</f>
        <v>12</v>
      </c>
      <c r="P2030" s="52" t="str">
        <f>VLOOKUP(Tabla3[[#This Row],[Site]],'Important Info!'!$A$1:$F$135,6,FALSE)</f>
        <v>13, 15</v>
      </c>
      <c r="Q2030" s="91">
        <f>VLOOKUP(Tabla3[[#This Row],[Site]],'Important Info!'!$A$1:$J$135,9,FALSE)</f>
        <v>220</v>
      </c>
    </row>
    <row r="2031" spans="1:17" x14ac:dyDescent="0.25">
      <c r="A2031" t="str">
        <f>+Tabla3[[#This Row],[Site]]&amp;Tabla3[[#This Row],[Split]]</f>
        <v>(DT) Albuquerque21</v>
      </c>
      <c r="B2031">
        <v>21</v>
      </c>
      <c r="C2031">
        <v>11</v>
      </c>
      <c r="D2031" t="s">
        <v>44</v>
      </c>
      <c r="E2031" t="s">
        <v>53</v>
      </c>
      <c r="F2031" t="s">
        <v>155</v>
      </c>
      <c r="G2031" t="s">
        <v>45</v>
      </c>
      <c r="H2031" s="52" t="str">
        <f>VLOOKUP(Tabla3[[#This Row],[Site]],'Important Info!'!$A$1:$J$135,10,FALSE)</f>
        <v>https://tools.sig.systems/site/details/237</v>
      </c>
      <c r="J2031" t="s">
        <v>41</v>
      </c>
      <c r="K2031" s="79" t="str">
        <f>VLOOKUP(Tabla3[[#This Row],[Site]],'Important Info!'!$A$1:$H$135,8,FALSE)</f>
        <v>-</v>
      </c>
      <c r="L2031" s="52" t="str">
        <f>VLOOKUP(Tabla3[[#This Row],[Site]],'Important Info!'!$A$1:$F$135,2,FALSE)</f>
        <v>14, 16</v>
      </c>
      <c r="M2031" s="52" t="str">
        <f>VLOOKUP(Tabla3[[#This Row],[Site]],'Important Info!'!$A$1:$F$135,3,FALSE)</f>
        <v>-</v>
      </c>
      <c r="N2031" s="52" t="str">
        <f>VLOOKUP(Tabla3[[#This Row],[Site]],'Important Info!'!$A$1:$F$135,4,FALSE)</f>
        <v>-</v>
      </c>
      <c r="O2031" s="52" t="str">
        <f>VLOOKUP(Tabla3[[#This Row],[Site]],'Important Info!'!$A$1:$F$135,5,FALSE)</f>
        <v>14, 15</v>
      </c>
      <c r="P2031" s="52" t="str">
        <f>VLOOKUP(Tabla3[[#This Row],[Site]],'Important Info!'!$A$1:$F$135,6,FALSE)</f>
        <v>12, 14, 16</v>
      </c>
      <c r="Q2031" s="91">
        <f>VLOOKUP(Tabla3[[#This Row],[Site]],'Important Info!'!$A$1:$J$135,9,FALSE)</f>
        <v>237</v>
      </c>
    </row>
    <row r="2032" spans="1:17" x14ac:dyDescent="0.25">
      <c r="A2032" t="str">
        <f>+Tabla3[[#This Row],[Site]]&amp;Tabla3[[#This Row],[Split]]</f>
        <v>(DT) Wichita21</v>
      </c>
      <c r="B2032">
        <v>21</v>
      </c>
      <c r="C2032">
        <v>11</v>
      </c>
      <c r="D2032" t="s">
        <v>33</v>
      </c>
      <c r="E2032" t="s">
        <v>46</v>
      </c>
      <c r="F2032" t="s">
        <v>131</v>
      </c>
      <c r="G2032" t="s">
        <v>34</v>
      </c>
      <c r="H2032" s="52" t="str">
        <f>VLOOKUP(Tabla3[[#This Row],[Site]],'Important Info!'!$A$1:$J$135,10,FALSE)</f>
        <v>https://tools.sig.systems/site/details/257</v>
      </c>
      <c r="J2032" t="s">
        <v>41</v>
      </c>
      <c r="K2032" s="79" t="str">
        <f>VLOOKUP(Tabla3[[#This Row],[Site]],'Important Info!'!$A$1:$H$135,8,FALSE)</f>
        <v>-</v>
      </c>
      <c r="L2032" s="52" t="str">
        <f>VLOOKUP(Tabla3[[#This Row],[Site]],'Important Info!'!$A$1:$F$135,2,FALSE)</f>
        <v>-</v>
      </c>
      <c r="M2032" s="52" t="str">
        <f>VLOOKUP(Tabla3[[#This Row],[Site]],'Important Info!'!$A$1:$F$135,3,FALSE)</f>
        <v>10, 11</v>
      </c>
      <c r="N2032" s="52" t="str">
        <f>VLOOKUP(Tabla3[[#This Row],[Site]],'Important Info!'!$A$1:$F$135,4,FALSE)</f>
        <v>-</v>
      </c>
      <c r="O2032" s="52" t="str">
        <f>VLOOKUP(Tabla3[[#This Row],[Site]],'Important Info!'!$A$1:$F$135,5,FALSE)</f>
        <v>-</v>
      </c>
      <c r="P2032" s="52" t="str">
        <f>VLOOKUP(Tabla3[[#This Row],[Site]],'Important Info!'!$A$1:$F$135,6,FALSE)</f>
        <v>1, 5, 6, 10</v>
      </c>
      <c r="Q2032" s="91">
        <f>VLOOKUP(Tabla3[[#This Row],[Site]],'Important Info!'!$A$1:$J$135,9,FALSE)</f>
        <v>257</v>
      </c>
    </row>
    <row r="2033" spans="1:17" x14ac:dyDescent="0.25">
      <c r="A2033" t="str">
        <f>+Tabla3[[#This Row],[Site]]&amp;Tabla3[[#This Row],[Split]]</f>
        <v>(ML) Volvo Collision Corp21</v>
      </c>
      <c r="B2033">
        <v>21</v>
      </c>
      <c r="C2033">
        <v>11</v>
      </c>
      <c r="D2033" t="s">
        <v>33</v>
      </c>
      <c r="E2033" t="s">
        <v>46</v>
      </c>
      <c r="F2033" t="s">
        <v>106</v>
      </c>
      <c r="G2033" t="s">
        <v>34</v>
      </c>
      <c r="H2033" s="52" t="str">
        <f>VLOOKUP(Tabla3[[#This Row],[Site]],'Important Info!'!$A$1:$J$135,10,FALSE)</f>
        <v>https://tools.sig.systems/site/details/223</v>
      </c>
      <c r="I2033" s="43"/>
      <c r="J2033" t="s">
        <v>41</v>
      </c>
      <c r="K2033" s="79" t="str">
        <f>VLOOKUP(Tabla3[[#This Row],[Site]],'Important Info!'!$A$1:$H$135,8,FALSE)</f>
        <v>-</v>
      </c>
      <c r="L2033" s="52" t="str">
        <f>VLOOKUP(Tabla3[[#This Row],[Site]],'Important Info!'!$A$1:$F$135,2,FALSE)</f>
        <v>7, 11</v>
      </c>
      <c r="M2033" s="52">
        <f>VLOOKUP(Tabla3[[#This Row],[Site]],'Important Info!'!$A$1:$F$135,3,FALSE)</f>
        <v>4</v>
      </c>
      <c r="N2033" s="52" t="str">
        <f>VLOOKUP(Tabla3[[#This Row],[Site]],'Important Info!'!$A$1:$F$135,4,FALSE)</f>
        <v>-</v>
      </c>
      <c r="O2033" s="52">
        <f>VLOOKUP(Tabla3[[#This Row],[Site]],'Important Info!'!$A$1:$F$135,5,FALSE)</f>
        <v>18</v>
      </c>
      <c r="P2033" s="52" t="str">
        <f>VLOOKUP(Tabla3[[#This Row],[Site]],'Important Info!'!$A$1:$F$135,6,FALSE)</f>
        <v>-</v>
      </c>
      <c r="Q2033" s="91">
        <f>VLOOKUP(Tabla3[[#This Row],[Site]],'Important Info!'!$A$1:$J$135,9,FALSE)</f>
        <v>223</v>
      </c>
    </row>
    <row r="2034" spans="1:17" x14ac:dyDescent="0.25">
      <c r="A2034" t="str">
        <f>+Tabla3[[#This Row],[Site]]&amp;Tabla3[[#This Row],[Split]]</f>
        <v>(PE) Fairfield Collision (NO TOURS)21</v>
      </c>
      <c r="B2034">
        <v>21</v>
      </c>
      <c r="C2034">
        <v>11</v>
      </c>
      <c r="D2034" t="s">
        <v>485</v>
      </c>
      <c r="E2034" t="s">
        <v>35</v>
      </c>
      <c r="F2034" t="s">
        <v>63</v>
      </c>
      <c r="G2034" t="s">
        <v>490</v>
      </c>
      <c r="H2034" s="52" t="str">
        <f>VLOOKUP(Tabla3[[#This Row],[Site]],'Important Info!'!$A$1:$J$135,10,FALSE)</f>
        <v>https://tools.sig.systems/site/details/191</v>
      </c>
      <c r="J2034" t="s">
        <v>41</v>
      </c>
      <c r="K2034" s="79" t="str">
        <f>VLOOKUP(Tabla3[[#This Row],[Site]],'Important Info!'!$A$1:$H$135,8,FALSE)</f>
        <v>-</v>
      </c>
      <c r="L2034" s="52">
        <f>VLOOKUP(Tabla3[[#This Row],[Site]],'Important Info!'!$A$1:$F$135,2,FALSE)</f>
        <v>4</v>
      </c>
      <c r="M2034" s="52" t="str">
        <f>VLOOKUP(Tabla3[[#This Row],[Site]],'Important Info!'!$A$1:$F$135,3,FALSE)</f>
        <v>-</v>
      </c>
      <c r="N2034" s="52" t="str">
        <f>VLOOKUP(Tabla3[[#This Row],[Site]],'Important Info!'!$A$1:$F$135,4,FALSE)</f>
        <v>-</v>
      </c>
      <c r="O2034" s="52" t="str">
        <f>VLOOKUP(Tabla3[[#This Row],[Site]],'Important Info!'!$A$1:$F$135,5,FALSE)</f>
        <v>-</v>
      </c>
      <c r="P2034" s="52" t="str">
        <f>VLOOKUP(Tabla3[[#This Row],[Site]],'Important Info!'!$A$1:$F$135,6,FALSE)</f>
        <v>1, 2, 3, 4, 5, 6</v>
      </c>
      <c r="Q2034" s="91">
        <f>VLOOKUP(Tabla3[[#This Row],[Site]],'Important Info!'!$A$1:$J$135,9,FALSE)</f>
        <v>191</v>
      </c>
    </row>
    <row r="2035" spans="1:17" x14ac:dyDescent="0.25">
      <c r="A2035" t="str">
        <f>+Tabla3[[#This Row],[Site]]&amp;Tabla3[[#This Row],[Split]]</f>
        <v>(AS) Stevinson Toyota West (NO TOURS)21</v>
      </c>
      <c r="B2035">
        <v>21</v>
      </c>
      <c r="C2035">
        <v>12</v>
      </c>
      <c r="D2035" t="s">
        <v>44</v>
      </c>
      <c r="E2035" t="s">
        <v>53</v>
      </c>
      <c r="F2035" t="s">
        <v>79</v>
      </c>
      <c r="G2035" t="s">
        <v>45</v>
      </c>
      <c r="H2035" s="52" t="str">
        <f>VLOOKUP(Tabla3[[#This Row],[Site]],'Important Info!'!$A$1:$J$135,10,FALSE)</f>
        <v>https://tools.sig.systems/site/details/240</v>
      </c>
      <c r="I2035" s="2" t="s">
        <v>154</v>
      </c>
      <c r="J2035" t="s">
        <v>41</v>
      </c>
      <c r="K2035" s="79" t="str">
        <f>VLOOKUP(Tabla3[[#This Row],[Site]],'Important Info!'!$A$1:$H$135,8,FALSE)</f>
        <v>-</v>
      </c>
      <c r="L2035" s="52" t="str">
        <f>VLOOKUP(Tabla3[[#This Row],[Site]],'Important Info!'!$A$1:$F$135,2,FALSE)</f>
        <v>-</v>
      </c>
      <c r="M2035" s="52" t="str">
        <f>VLOOKUP(Tabla3[[#This Row],[Site]],'Important Info!'!$A$1:$F$135,3,FALSE)</f>
        <v>7, 18, 21</v>
      </c>
      <c r="N2035" s="52" t="str">
        <f>VLOOKUP(Tabla3[[#This Row],[Site]],'Important Info!'!$A$1:$F$135,4,FALSE)</f>
        <v>-</v>
      </c>
      <c r="O2035" s="52" t="str">
        <f>VLOOKUP(Tabla3[[#This Row],[Site]],'Important Info!'!$A$1:$F$135,5,FALSE)</f>
        <v>11, 24, 34</v>
      </c>
      <c r="P2035" s="52" t="str">
        <f>VLOOKUP(Tabla3[[#This Row],[Site]],'Important Info!'!$A$1:$F$135,6,FALSE)</f>
        <v>1, 2, 3, 12</v>
      </c>
      <c r="Q2035" s="91">
        <f>VLOOKUP(Tabla3[[#This Row],[Site]],'Important Info!'!$A$1:$J$135,9,FALSE)</f>
        <v>240</v>
      </c>
    </row>
    <row r="2036" spans="1:17" x14ac:dyDescent="0.25">
      <c r="A2036" t="str">
        <f>+Tabla3[[#This Row],[Site]]&amp;Tabla3[[#This Row],[Split]]</f>
        <v>(HUD) Acura of Greensboro21</v>
      </c>
      <c r="B2036">
        <v>21</v>
      </c>
      <c r="C2036">
        <v>12</v>
      </c>
      <c r="D2036" t="s">
        <v>62</v>
      </c>
      <c r="E2036" t="s">
        <v>35</v>
      </c>
      <c r="F2036" t="s">
        <v>100</v>
      </c>
      <c r="G2036" t="s">
        <v>490</v>
      </c>
      <c r="H2036" s="52" t="str">
        <f>VLOOKUP(Tabla3[[#This Row],[Site]],'Important Info!'!$A$1:$J$135,10,FALSE)</f>
        <v>https://tools.sig.systems/site/details/213</v>
      </c>
      <c r="I2036" t="s">
        <v>182</v>
      </c>
      <c r="J2036" t="s">
        <v>41</v>
      </c>
      <c r="K2036" s="79" t="str">
        <f>VLOOKUP(Tabla3[[#This Row],[Site]],'Important Info!'!$A$1:$H$135,8,FALSE)</f>
        <v>-</v>
      </c>
      <c r="L2036" s="52" t="str">
        <f>VLOOKUP(Tabla3[[#This Row],[Site]],'Important Info!'!$A$1:$F$135,2,FALSE)</f>
        <v>1, 2, 6, 7, 9</v>
      </c>
      <c r="M2036" s="52" t="str">
        <f>VLOOKUP(Tabla3[[#This Row],[Site]],'Important Info!'!$A$1:$F$135,3,FALSE)</f>
        <v>-</v>
      </c>
      <c r="N2036" s="52" t="str">
        <f>VLOOKUP(Tabla3[[#This Row],[Site]],'Important Info!'!$A$1:$F$135,4,FALSE)</f>
        <v>-</v>
      </c>
      <c r="O2036" s="52" t="str">
        <f>VLOOKUP(Tabla3[[#This Row],[Site]],'Important Info!'!$A$1:$F$135,5,FALSE)</f>
        <v>2, 5</v>
      </c>
      <c r="P2036" s="52" t="str">
        <f>VLOOKUP(Tabla3[[#This Row],[Site]],'Important Info!'!$A$1:$F$135,6,FALSE)</f>
        <v>1, 2, 6, 7, 9, 18</v>
      </c>
      <c r="Q2036" s="91">
        <f>VLOOKUP(Tabla3[[#This Row],[Site]],'Important Info!'!$A$1:$J$135,9,FALSE)</f>
        <v>213</v>
      </c>
    </row>
    <row r="2037" spans="1:17" x14ac:dyDescent="0.25">
      <c r="A2037" t="str">
        <f>+Tabla3[[#This Row],[Site]]&amp;Tabla3[[#This Row],[Split]]</f>
        <v>(MK) McKenny Salinas Honda21</v>
      </c>
      <c r="B2037">
        <v>21</v>
      </c>
      <c r="C2037">
        <v>12</v>
      </c>
      <c r="D2037" t="s">
        <v>62</v>
      </c>
      <c r="E2037" t="s">
        <v>35</v>
      </c>
      <c r="F2037" t="s">
        <v>115</v>
      </c>
      <c r="G2037" t="s">
        <v>490</v>
      </c>
      <c r="H2037" s="52" t="str">
        <f>VLOOKUP(Tabla3[[#This Row],[Site]],'Important Info!'!$A$1:$J$135,10,FALSE)</f>
        <v>https://tools.sig.systems/site/details/149</v>
      </c>
      <c r="J2037" t="s">
        <v>41</v>
      </c>
      <c r="K2037" s="79" t="str">
        <f>VLOOKUP(Tabla3[[#This Row],[Site]],'Important Info!'!$A$1:$H$135,8,FALSE)</f>
        <v>-</v>
      </c>
      <c r="L2037" s="52" t="str">
        <f>VLOOKUP(Tabla3[[#This Row],[Site]],'Important Info!'!$A$1:$F$135,2,FALSE)</f>
        <v>-</v>
      </c>
      <c r="M2037" s="52" t="str">
        <f>VLOOKUP(Tabla3[[#This Row],[Site]],'Important Info!'!$A$1:$F$135,3,FALSE)</f>
        <v>12, 16</v>
      </c>
      <c r="N2037" s="52" t="str">
        <f>VLOOKUP(Tabla3[[#This Row],[Site]],'Important Info!'!$A$1:$F$135,4,FALSE)</f>
        <v>-</v>
      </c>
      <c r="O2037" s="52" t="str">
        <f>VLOOKUP(Tabla3[[#This Row],[Site]],'Important Info!'!$A$1:$F$135,5,FALSE)</f>
        <v>-</v>
      </c>
      <c r="P2037" s="52" t="str">
        <f>VLOOKUP(Tabla3[[#This Row],[Site]],'Important Info!'!$A$1:$F$135,6,FALSE)</f>
        <v>3, 4, 5, 6, 16</v>
      </c>
      <c r="Q2037" s="91">
        <f>VLOOKUP(Tabla3[[#This Row],[Site]],'Important Info!'!$A$1:$J$135,9,FALSE)</f>
        <v>149</v>
      </c>
    </row>
    <row r="2038" spans="1:17" x14ac:dyDescent="0.25">
      <c r="A2038" t="str">
        <f>+Tabla3[[#This Row],[Site]]&amp;Tabla3[[#This Row],[Split]]</f>
        <v>(ML) Joe Machens Capital City I &amp; II (NO TOURS)21</v>
      </c>
      <c r="B2038">
        <v>21</v>
      </c>
      <c r="C2038">
        <v>12</v>
      </c>
      <c r="D2038" t="s">
        <v>33</v>
      </c>
      <c r="E2038" t="s">
        <v>46</v>
      </c>
      <c r="F2038" t="s">
        <v>72</v>
      </c>
      <c r="G2038" t="s">
        <v>34</v>
      </c>
      <c r="H2038" s="52" t="str">
        <f>VLOOKUP(Tabla3[[#This Row],[Site]],'Important Info!'!$A$1:$J$135,10,FALSE)</f>
        <v>https://tools.sig.systems/site/details/271</v>
      </c>
      <c r="I2038" s="43"/>
      <c r="J2038" t="s">
        <v>41</v>
      </c>
      <c r="K2038" s="79" t="str">
        <f>VLOOKUP(Tabla3[[#This Row],[Site]],'Important Info!'!$A$1:$H$135,8,FALSE)</f>
        <v>-</v>
      </c>
      <c r="L2038" s="52" t="str">
        <f>VLOOKUP(Tabla3[[#This Row],[Site]],'Important Info!'!$A$1:$F$135,2,FALSE)</f>
        <v>-</v>
      </c>
      <c r="M2038" s="52" t="str">
        <f>VLOOKUP(Tabla3[[#This Row],[Site]],'Important Info!'!$A$1:$F$135,3,FALSE)</f>
        <v>1, 3, 4, 20, 25, 27, 28</v>
      </c>
      <c r="N2038" s="52" t="str">
        <f>VLOOKUP(Tabla3[[#This Row],[Site]],'Important Info!'!$A$1:$F$135,4,FALSE)</f>
        <v>-</v>
      </c>
      <c r="O2038" s="52">
        <f>VLOOKUP(Tabla3[[#This Row],[Site]],'Important Info!'!$A$1:$F$135,5,FALSE)</f>
        <v>29</v>
      </c>
      <c r="P2038" s="52" t="str">
        <f>VLOOKUP(Tabla3[[#This Row],[Site]],'Important Info!'!$A$1:$F$135,6,FALSE)</f>
        <v>19, 20</v>
      </c>
      <c r="Q2038" s="91">
        <f>VLOOKUP(Tabla3[[#This Row],[Site]],'Important Info!'!$A$1:$J$135,9,FALSE)</f>
        <v>271</v>
      </c>
    </row>
    <row r="2039" spans="1:17" x14ac:dyDescent="0.25">
      <c r="A2039" t="str">
        <f>+Tabla3[[#This Row],[Site]]&amp;Tabla3[[#This Row],[Split]]</f>
        <v>(PE) Mercedes Benz &amp; Smart Bldg. of Fairfield (NO TOURS)21</v>
      </c>
      <c r="B2039">
        <v>21</v>
      </c>
      <c r="C2039">
        <v>12</v>
      </c>
      <c r="D2039" t="s">
        <v>485</v>
      </c>
      <c r="E2039" t="s">
        <v>35</v>
      </c>
      <c r="F2039" t="s">
        <v>64</v>
      </c>
      <c r="G2039" t="s">
        <v>490</v>
      </c>
      <c r="H2039" s="52" t="str">
        <f>VLOOKUP(Tabla3[[#This Row],[Site]],'Important Info!'!$A$1:$J$135,10,FALSE)</f>
        <v>https://tools.sig.systems/site/details/192</v>
      </c>
      <c r="I2039" t="s">
        <v>177</v>
      </c>
      <c r="J2039" t="s">
        <v>41</v>
      </c>
      <c r="K2039" s="79" t="str">
        <f>VLOOKUP(Tabla3[[#This Row],[Site]],'Important Info!'!$A$1:$H$135,8,FALSE)</f>
        <v>-</v>
      </c>
      <c r="L2039" s="52" t="str">
        <f>VLOOKUP(Tabla3[[#This Row],[Site]],'Important Info!'!$A$1:$F$135,2,FALSE)</f>
        <v>-</v>
      </c>
      <c r="M2039" s="52">
        <f>VLOOKUP(Tabla3[[#This Row],[Site]],'Important Info!'!$A$1:$F$135,3,FALSE)</f>
        <v>1</v>
      </c>
      <c r="N2039" s="52" t="str">
        <f>VLOOKUP(Tabla3[[#This Row],[Site]],'Important Info!'!$A$1:$F$135,4,FALSE)</f>
        <v>-</v>
      </c>
      <c r="O2039" s="52" t="str">
        <f>VLOOKUP(Tabla3[[#This Row],[Site]],'Important Info!'!$A$1:$F$135,5,FALSE)</f>
        <v>11, 13</v>
      </c>
      <c r="P2039" s="52">
        <f>VLOOKUP(Tabla3[[#This Row],[Site]],'Important Info!'!$A$1:$F$135,6,FALSE)</f>
        <v>1</v>
      </c>
      <c r="Q2039" s="91">
        <f>VLOOKUP(Tabla3[[#This Row],[Site]],'Important Info!'!$A$1:$J$135,9,FALSE)</f>
        <v>192</v>
      </c>
    </row>
    <row r="2040" spans="1:17" x14ac:dyDescent="0.25">
      <c r="A2040" t="str">
        <f>+Tabla3[[#This Row],[Site]]&amp;Tabla3[[#This Row],[Split]]</f>
        <v>(AS) David McDavid Honda I &amp; II (NO TOURS)21</v>
      </c>
      <c r="B2040">
        <v>21</v>
      </c>
      <c r="C2040">
        <v>13</v>
      </c>
      <c r="D2040" t="s">
        <v>33</v>
      </c>
      <c r="E2040" t="s">
        <v>46</v>
      </c>
      <c r="F2040" t="s">
        <v>506</v>
      </c>
      <c r="G2040" t="s">
        <v>34</v>
      </c>
      <c r="H2040" s="52" t="str">
        <f>VLOOKUP(Tabla3[[#This Row],[Site]],'Important Info!'!$A$1:$J$135,10,FALSE)</f>
        <v>https://tools.sig.systems/site/details/129</v>
      </c>
      <c r="J2040" t="s">
        <v>41</v>
      </c>
      <c r="K2040" s="79" t="str">
        <f>VLOOKUP(Tabla3[[#This Row],[Site]],'Important Info!'!$A$1:$H$135,8,FALSE)</f>
        <v>-</v>
      </c>
      <c r="L2040" s="52" t="str">
        <f>VLOOKUP(Tabla3[[#This Row],[Site]],'Important Info!'!$A$1:$F$135,2,FALSE)</f>
        <v>-</v>
      </c>
      <c r="M2040" s="52" t="str">
        <f>VLOOKUP(Tabla3[[#This Row],[Site]],'Important Info!'!$A$1:$F$135,3,FALSE)</f>
        <v>3, 19, 23, 32, 35</v>
      </c>
      <c r="N2040" s="52" t="str">
        <f>VLOOKUP(Tabla3[[#This Row],[Site]],'Important Info!'!$A$1:$F$135,4,FALSE)</f>
        <v>-</v>
      </c>
      <c r="O2040" s="52" t="str">
        <f>VLOOKUP(Tabla3[[#This Row],[Site]],'Important Info!'!$A$1:$F$135,5,FALSE)</f>
        <v>2, 6, 9, 19, 25, 30, 48</v>
      </c>
      <c r="P2040" s="52" t="str">
        <f>VLOOKUP(Tabla3[[#This Row],[Site]],'Important Info!'!$A$1:$F$135,6,FALSE)</f>
        <v>25, 26, 35, 36, 37</v>
      </c>
      <c r="Q2040" s="91">
        <f>VLOOKUP(Tabla3[[#This Row],[Site]],'Important Info!'!$A$1:$J$135,9,FALSE)</f>
        <v>129</v>
      </c>
    </row>
    <row r="2041" spans="1:17" x14ac:dyDescent="0.25">
      <c r="A2041" t="str">
        <f>+Tabla3[[#This Row],[Site]]&amp;Tabla3[[#This Row],[Split]]</f>
        <v>(AS) Mike Shaw Subaru Greeley (NO TOURS)21</v>
      </c>
      <c r="B2041">
        <v>21</v>
      </c>
      <c r="C2041">
        <v>13</v>
      </c>
      <c r="D2041" t="s">
        <v>44</v>
      </c>
      <c r="E2041" t="s">
        <v>53</v>
      </c>
      <c r="F2041" t="s">
        <v>95</v>
      </c>
      <c r="G2041" t="s">
        <v>45</v>
      </c>
      <c r="H2041" s="52" t="str">
        <f>VLOOKUP(Tabla3[[#This Row],[Site]],'Important Info!'!$A$1:$J$135,10,FALSE)</f>
        <v>https://tools.sig.systems/site/details/174</v>
      </c>
      <c r="I2041" s="43" t="s">
        <v>153</v>
      </c>
      <c r="J2041" t="s">
        <v>41</v>
      </c>
      <c r="K2041" s="79" t="str">
        <f>VLOOKUP(Tabla3[[#This Row],[Site]],'Important Info!'!$A$1:$H$135,8,FALSE)</f>
        <v>-</v>
      </c>
      <c r="L2041" s="52" t="str">
        <f>VLOOKUP(Tabla3[[#This Row],[Site]],'Important Info!'!$A$1:$F$135,2,FALSE)</f>
        <v>16, 17</v>
      </c>
      <c r="M2041" s="52">
        <f>VLOOKUP(Tabla3[[#This Row],[Site]],'Important Info!'!$A$1:$F$135,3,FALSE)</f>
        <v>10</v>
      </c>
      <c r="N2041" s="52" t="str">
        <f>VLOOKUP(Tabla3[[#This Row],[Site]],'Important Info!'!$A$1:$F$135,4,FALSE)</f>
        <v>-</v>
      </c>
      <c r="O2041" s="52" t="str">
        <f>VLOOKUP(Tabla3[[#This Row],[Site]],'Important Info!'!$A$1:$F$135,5,FALSE)</f>
        <v>1, 7</v>
      </c>
      <c r="P2041" s="52" t="str">
        <f>VLOOKUP(Tabla3[[#This Row],[Site]],'Important Info!'!$A$1:$F$135,6,FALSE)</f>
        <v>-</v>
      </c>
      <c r="Q2041" s="91">
        <f>VLOOKUP(Tabla3[[#This Row],[Site]],'Important Info!'!$A$1:$J$135,9,FALSE)</f>
        <v>174</v>
      </c>
    </row>
    <row r="2042" spans="1:17" x14ac:dyDescent="0.25">
      <c r="A2042" t="str">
        <f>+Tabla3[[#This Row],[Site]]&amp;Tabla3[[#This Row],[Split]]</f>
        <v>(HUD) BMW of Greensboro21</v>
      </c>
      <c r="B2042">
        <v>21</v>
      </c>
      <c r="C2042">
        <v>13</v>
      </c>
      <c r="D2042" t="s">
        <v>62</v>
      </c>
      <c r="E2042" t="s">
        <v>35</v>
      </c>
      <c r="F2042" t="s">
        <v>183</v>
      </c>
      <c r="G2042" t="s">
        <v>490</v>
      </c>
      <c r="H2042" s="52" t="str">
        <f>VLOOKUP(Tabla3[[#This Row],[Site]],'Important Info!'!$A$1:$J$135,10,FALSE)</f>
        <v>https://tools.sig.systems/site/details/219</v>
      </c>
      <c r="I2042" s="2" t="s">
        <v>184</v>
      </c>
      <c r="J2042" t="s">
        <v>41</v>
      </c>
      <c r="K2042" s="79" t="str">
        <f>VLOOKUP(Tabla3[[#This Row],[Site]],'Important Info!'!$A$1:$H$135,8,FALSE)</f>
        <v>-</v>
      </c>
      <c r="L2042" s="52" t="str">
        <f>VLOOKUP(Tabla3[[#This Row],[Site]],'Important Info!'!$A$1:$F$135,2,FALSE)</f>
        <v>2, 20, 21</v>
      </c>
      <c r="M2042" s="52" t="str">
        <f>VLOOKUP(Tabla3[[#This Row],[Site]],'Important Info!'!$A$1:$F$135,3,FALSE)</f>
        <v>-</v>
      </c>
      <c r="N2042" s="52" t="str">
        <f>VLOOKUP(Tabla3[[#This Row],[Site]],'Important Info!'!$A$1:$F$135,4,FALSE)</f>
        <v>-</v>
      </c>
      <c r="O2042" s="52" t="str">
        <f>VLOOKUP(Tabla3[[#This Row],[Site]],'Important Info!'!$A$1:$F$135,5,FALSE)</f>
        <v>12, 17</v>
      </c>
      <c r="P2042" s="52" t="str">
        <f>VLOOKUP(Tabla3[[#This Row],[Site]],'Important Info!'!$A$1:$F$135,6,FALSE)</f>
        <v>1, 2, 6, 20</v>
      </c>
      <c r="Q2042" s="91">
        <f>VLOOKUP(Tabla3[[#This Row],[Site]],'Important Info!'!$A$1:$J$135,9,FALSE)</f>
        <v>219</v>
      </c>
    </row>
    <row r="2043" spans="1:17" x14ac:dyDescent="0.25">
      <c r="A2043" t="str">
        <f>+Tabla3[[#This Row],[Site]]&amp;Tabla3[[#This Row],[Split]]</f>
        <v>(PE) Honda of Danbury (NO TOURS)21</v>
      </c>
      <c r="B2043">
        <v>21</v>
      </c>
      <c r="C2043">
        <v>13</v>
      </c>
      <c r="D2043" t="s">
        <v>485</v>
      </c>
      <c r="E2043" t="s">
        <v>35</v>
      </c>
      <c r="F2043" t="s">
        <v>174</v>
      </c>
      <c r="G2043" t="s">
        <v>490</v>
      </c>
      <c r="H2043" s="52" t="str">
        <f>VLOOKUP(Tabla3[[#This Row],[Site]],'Important Info!'!$A$1:$J$135,10,FALSE)</f>
        <v>https://tools.sig.systems/site/details/190</v>
      </c>
      <c r="I2043" s="2"/>
      <c r="J2043" t="s">
        <v>41</v>
      </c>
      <c r="K2043" s="79" t="str">
        <f>VLOOKUP(Tabla3[[#This Row],[Site]],'Important Info!'!$A$1:$H$135,8,FALSE)</f>
        <v>-</v>
      </c>
      <c r="L2043" s="52" t="str">
        <f>VLOOKUP(Tabla3[[#This Row],[Site]],'Important Info!'!$A$1:$F$135,2,FALSE)</f>
        <v>-</v>
      </c>
      <c r="M2043" s="52" t="str">
        <f>VLOOKUP(Tabla3[[#This Row],[Site]],'Important Info!'!$A$1:$F$135,3,FALSE)</f>
        <v>20, 9</v>
      </c>
      <c r="N2043" s="52">
        <f>VLOOKUP(Tabla3[[#This Row],[Site]],'Important Info!'!$A$1:$F$135,4,FALSE)</f>
        <v>9</v>
      </c>
      <c r="O2043" s="52" t="str">
        <f>VLOOKUP(Tabla3[[#This Row],[Site]],'Important Info!'!$A$1:$F$135,5,FALSE)</f>
        <v>-</v>
      </c>
      <c r="P2043" s="52" t="str">
        <f>VLOOKUP(Tabla3[[#This Row],[Site]],'Important Info!'!$A$1:$F$135,6,FALSE)</f>
        <v>9, 16, 17</v>
      </c>
      <c r="Q2043" s="91">
        <f>VLOOKUP(Tabla3[[#This Row],[Site]],'Important Info!'!$A$1:$J$135,9,FALSE)</f>
        <v>190</v>
      </c>
    </row>
    <row r="2044" spans="1:17" x14ac:dyDescent="0.25">
      <c r="A2044" t="str">
        <f>+Tabla3[[#This Row],[Site]]&amp;Tabla3[[#This Row],[Split]]</f>
        <v>(AS) Coggin Mercedes Benz Ft Pierce (NO TOURS)21</v>
      </c>
      <c r="B2044">
        <v>21</v>
      </c>
      <c r="C2044">
        <v>14</v>
      </c>
      <c r="D2044" t="s">
        <v>62</v>
      </c>
      <c r="E2044" t="s">
        <v>35</v>
      </c>
      <c r="F2044" t="s">
        <v>502</v>
      </c>
      <c r="G2044" t="s">
        <v>490</v>
      </c>
      <c r="H2044" s="52" t="str">
        <f>VLOOKUP(Tabla3[[#This Row],[Site]],'Important Info!'!$A$1:$J$135,10,FALSE)</f>
        <v>https://tools.sig.systems/site/details/127</v>
      </c>
      <c r="I2044" t="s">
        <v>179</v>
      </c>
      <c r="J2044" t="s">
        <v>41</v>
      </c>
      <c r="K2044" s="79" t="str">
        <f>VLOOKUP(Tabla3[[#This Row],[Site]],'Important Info!'!$A$1:$H$135,8,FALSE)</f>
        <v>-</v>
      </c>
      <c r="L2044" s="52">
        <f>VLOOKUP(Tabla3[[#This Row],[Site]],'Important Info!'!$A$1:$F$135,2,FALSE)</f>
        <v>18</v>
      </c>
      <c r="M2044" s="52" t="str">
        <f>VLOOKUP(Tabla3[[#This Row],[Site]],'Important Info!'!$A$1:$F$135,3,FALSE)</f>
        <v>1, 3</v>
      </c>
      <c r="N2044" s="52" t="str">
        <f>VLOOKUP(Tabla3[[#This Row],[Site]],'Important Info!'!$A$1:$F$135,4,FALSE)</f>
        <v>-</v>
      </c>
      <c r="O2044" s="52" t="str">
        <f>VLOOKUP(Tabla3[[#This Row],[Site]],'Important Info!'!$A$1:$F$135,5,FALSE)</f>
        <v>6, 10, 13</v>
      </c>
      <c r="P2044" s="52" t="str">
        <f>VLOOKUP(Tabla3[[#This Row],[Site]],'Important Info!'!$A$1:$F$135,6,FALSE)</f>
        <v>1, 4, 5</v>
      </c>
      <c r="Q2044" s="91">
        <f>VLOOKUP(Tabla3[[#This Row],[Site]],'Important Info!'!$A$1:$J$135,9,FALSE)</f>
        <v>127</v>
      </c>
    </row>
    <row r="2045" spans="1:17" x14ac:dyDescent="0.25">
      <c r="A2045" t="str">
        <f>+Tabla3[[#This Row],[Site]]&amp;Tabla3[[#This Row],[Split]]</f>
        <v>(AS) Plaza Lexus/Mercedes/BMW (NO TOURS)21</v>
      </c>
      <c r="B2045">
        <v>21</v>
      </c>
      <c r="C2045">
        <v>14</v>
      </c>
      <c r="D2045" t="s">
        <v>33</v>
      </c>
      <c r="E2045" t="s">
        <v>46</v>
      </c>
      <c r="F2045" t="s">
        <v>92</v>
      </c>
      <c r="G2045" t="s">
        <v>34</v>
      </c>
      <c r="H2045" s="52" t="str">
        <f>VLOOKUP(Tabla3[[#This Row],[Site]],'Important Info!'!$A$1:$J$135,10,FALSE)</f>
        <v>https://tools.sig.systems/site/details/141</v>
      </c>
      <c r="I2045" t="s">
        <v>130</v>
      </c>
      <c r="J2045" t="s">
        <v>41</v>
      </c>
      <c r="K2045" s="79" t="str">
        <f>VLOOKUP(Tabla3[[#This Row],[Site]],'Important Info!'!$A$1:$H$135,8,FALSE)</f>
        <v>-</v>
      </c>
      <c r="L2045" s="52" t="str">
        <f>VLOOKUP(Tabla3[[#This Row],[Site]],'Important Info!'!$A$1:$F$135,2,FALSE)</f>
        <v>3, 4, 18</v>
      </c>
      <c r="M2045" s="52" t="str">
        <f>VLOOKUP(Tabla3[[#This Row],[Site]],'Important Info!'!$A$1:$F$135,3,FALSE)</f>
        <v>9, 10, 12, 13, 16, 17</v>
      </c>
      <c r="N2045" s="52" t="str">
        <f>VLOOKUP(Tabla3[[#This Row],[Site]],'Important Info!'!$A$1:$F$135,4,FALSE)</f>
        <v>-</v>
      </c>
      <c r="O2045" s="52">
        <f>VLOOKUP(Tabla3[[#This Row],[Site]],'Important Info!'!$A$1:$F$135,5,FALSE)</f>
        <v>2</v>
      </c>
      <c r="P2045" s="52" t="str">
        <f>VLOOKUP(Tabla3[[#This Row],[Site]],'Important Info!'!$A$1:$F$135,6,FALSE)</f>
        <v>2, 16</v>
      </c>
      <c r="Q2045" s="91">
        <f>VLOOKUP(Tabla3[[#This Row],[Site]],'Important Info!'!$A$1:$J$135,9,FALSE)</f>
        <v>141</v>
      </c>
    </row>
    <row r="2046" spans="1:17" x14ac:dyDescent="0.25">
      <c r="A2046" t="str">
        <f>+Tabla3[[#This Row],[Site]]&amp;Tabla3[[#This Row],[Split]]</f>
        <v>(DT) El Cajon (NO TOURS)21</v>
      </c>
      <c r="B2046">
        <v>21</v>
      </c>
      <c r="C2046">
        <v>14</v>
      </c>
      <c r="D2046" t="s">
        <v>51</v>
      </c>
      <c r="E2046" t="s">
        <v>159</v>
      </c>
      <c r="F2046" t="s">
        <v>160</v>
      </c>
      <c r="G2046" t="s">
        <v>52</v>
      </c>
      <c r="H2046" s="52" t="str">
        <f>VLOOKUP(Tabla3[[#This Row],[Site]],'Important Info!'!$A$1:$J$135,10,FALSE)</f>
        <v>https://tools.sig.systems/site/details/241</v>
      </c>
      <c r="I2046" s="2"/>
      <c r="J2046" t="s">
        <v>41</v>
      </c>
      <c r="K2046" s="79" t="str">
        <f>VLOOKUP(Tabla3[[#This Row],[Site]],'Important Info!'!$A$1:$H$135,8,FALSE)</f>
        <v>-</v>
      </c>
      <c r="L2046" s="52" t="str">
        <f>VLOOKUP(Tabla3[[#This Row],[Site]],'Important Info!'!$A$1:$F$135,2,FALSE)</f>
        <v>-</v>
      </c>
      <c r="M2046" s="52">
        <f>VLOOKUP(Tabla3[[#This Row],[Site]],'Important Info!'!$A$1:$F$135,3,FALSE)</f>
        <v>3</v>
      </c>
      <c r="N2046" s="52" t="str">
        <f>VLOOKUP(Tabla3[[#This Row],[Site]],'Important Info!'!$A$1:$F$135,4,FALSE)</f>
        <v>-</v>
      </c>
      <c r="O2046" s="52" t="str">
        <f>VLOOKUP(Tabla3[[#This Row],[Site]],'Important Info!'!$A$1:$F$135,5,FALSE)</f>
        <v>-</v>
      </c>
      <c r="P2046" s="52" t="str">
        <f>VLOOKUP(Tabla3[[#This Row],[Site]],'Important Info!'!$A$1:$F$135,6,FALSE)</f>
        <v>-</v>
      </c>
      <c r="Q2046" s="91">
        <f>VLOOKUP(Tabla3[[#This Row],[Site]],'Important Info!'!$A$1:$J$135,9,FALSE)</f>
        <v>241</v>
      </c>
    </row>
    <row r="2047" spans="1:17" x14ac:dyDescent="0.25">
      <c r="A2047" t="str">
        <f>+Tabla3[[#This Row],[Site]]&amp;Tabla3[[#This Row],[Split]]</f>
        <v>(HUD) Nissan Greensboro21</v>
      </c>
      <c r="B2047">
        <v>21</v>
      </c>
      <c r="C2047">
        <v>14</v>
      </c>
      <c r="D2047" t="s">
        <v>62</v>
      </c>
      <c r="E2047" t="s">
        <v>35</v>
      </c>
      <c r="F2047" t="s">
        <v>66</v>
      </c>
      <c r="G2047" t="s">
        <v>490</v>
      </c>
      <c r="H2047" s="52" t="str">
        <f>VLOOKUP(Tabla3[[#This Row],[Site]],'Important Info!'!$A$1:$J$135,10,FALSE)</f>
        <v>https://tools.sig.systems/site/details/236</v>
      </c>
      <c r="I2047" s="2" t="s">
        <v>184</v>
      </c>
      <c r="J2047" t="s">
        <v>41</v>
      </c>
      <c r="K2047" s="79" t="str">
        <f>VLOOKUP(Tabla3[[#This Row],[Site]],'Important Info!'!$A$1:$H$135,8,FALSE)</f>
        <v>-</v>
      </c>
      <c r="L2047" s="52" t="str">
        <f>VLOOKUP(Tabla3[[#This Row],[Site]],'Important Info!'!$A$1:$F$135,2,FALSE)</f>
        <v>1, 5, 12</v>
      </c>
      <c r="M2047" s="52" t="str">
        <f>VLOOKUP(Tabla3[[#This Row],[Site]],'Important Info!'!$A$1:$F$135,3,FALSE)</f>
        <v>-</v>
      </c>
      <c r="N2047" s="52" t="str">
        <f>VLOOKUP(Tabla3[[#This Row],[Site]],'Important Info!'!$A$1:$F$135,4,FALSE)</f>
        <v>-</v>
      </c>
      <c r="O2047" s="52" t="str">
        <f>VLOOKUP(Tabla3[[#This Row],[Site]],'Important Info!'!$A$1:$F$135,5,FALSE)</f>
        <v>-</v>
      </c>
      <c r="P2047" s="52">
        <f>VLOOKUP(Tabla3[[#This Row],[Site]],'Important Info!'!$A$1:$F$135,6,FALSE)</f>
        <v>4</v>
      </c>
      <c r="Q2047" s="91">
        <f>VLOOKUP(Tabla3[[#This Row],[Site]],'Important Info!'!$A$1:$J$135,9,FALSE)</f>
        <v>236</v>
      </c>
    </row>
    <row r="2048" spans="1:17" x14ac:dyDescent="0.25">
      <c r="A2048" t="str">
        <f>+Tabla3[[#This Row],[Site]]&amp;Tabla3[[#This Row],[Split]]</f>
        <v>(KG) Truck Center Remote Storage Lot21</v>
      </c>
      <c r="B2048">
        <v>21</v>
      </c>
      <c r="C2048">
        <v>14</v>
      </c>
      <c r="D2048" t="s">
        <v>60</v>
      </c>
      <c r="E2048" t="s">
        <v>53</v>
      </c>
      <c r="F2048" t="s">
        <v>61</v>
      </c>
      <c r="G2048" t="s">
        <v>41</v>
      </c>
      <c r="H2048" s="52" t="str">
        <f>VLOOKUP(Tabla3[[#This Row],[Site]],'Important Info!'!$A$1:$J$135,10,FALSE)</f>
        <v>https://tools.sig.systems/site/details/144</v>
      </c>
      <c r="I2048" s="2"/>
      <c r="J2048" t="s">
        <v>41</v>
      </c>
      <c r="K2048" s="79" t="str">
        <f>VLOOKUP(Tabla3[[#This Row],[Site]],'Important Info!'!$A$1:$H$135,8,FALSE)</f>
        <v>-</v>
      </c>
      <c r="L2048" s="52" t="str">
        <f>VLOOKUP(Tabla3[[#This Row],[Site]],'Important Info!'!$A$1:$F$135,2,FALSE)</f>
        <v>4, A23, A49</v>
      </c>
      <c r="M2048" s="52" t="str">
        <f>VLOOKUP(Tabla3[[#This Row],[Site]],'Important Info!'!$A$1:$F$135,3,FALSE)</f>
        <v>5, 24</v>
      </c>
      <c r="N2048" s="52" t="str">
        <f>VLOOKUP(Tabla3[[#This Row],[Site]],'Important Info!'!$A$1:$F$135,4,FALSE)</f>
        <v>-</v>
      </c>
      <c r="O2048" s="52" t="str">
        <f>VLOOKUP(Tabla3[[#This Row],[Site]],'Important Info!'!$A$1:$F$135,5,FALSE)</f>
        <v>1, 7, 11, 15, 19, 24, 25</v>
      </c>
      <c r="P2048" s="52" t="str">
        <f>VLOOKUP(Tabla3[[#This Row],[Site]],'Important Info!'!$A$1:$F$135,6,FALSE)</f>
        <v>9, 20, 24, A49</v>
      </c>
      <c r="Q2048" s="91">
        <f>VLOOKUP(Tabla3[[#This Row],[Site]],'Important Info!'!$A$1:$J$135,9,FALSE)</f>
        <v>144</v>
      </c>
    </row>
    <row r="2049" spans="1:17" x14ac:dyDescent="0.25">
      <c r="A2049" t="str">
        <f>+Tabla3[[#This Row],[Site]]&amp;Tabla3[[#This Row],[Split]]</f>
        <v>(ML) McLarty-Gray Daniels Chevrolet21</v>
      </c>
      <c r="B2049">
        <v>21</v>
      </c>
      <c r="C2049">
        <v>14</v>
      </c>
      <c r="D2049" t="s">
        <v>33</v>
      </c>
      <c r="E2049" t="s">
        <v>46</v>
      </c>
      <c r="F2049" t="s">
        <v>151</v>
      </c>
      <c r="G2049" t="s">
        <v>34</v>
      </c>
      <c r="H2049" s="52" t="str">
        <f>VLOOKUP(Tabla3[[#This Row],[Site]],'Important Info!'!$A$1:$J$135,10,FALSE)</f>
        <v>https://tools.sig.systems/site/details/150</v>
      </c>
      <c r="I2049" s="2"/>
      <c r="J2049" t="s">
        <v>41</v>
      </c>
      <c r="K2049" s="79" t="str">
        <f>VLOOKUP(Tabla3[[#This Row],[Site]],'Important Info!'!$A$1:$H$135,8,FALSE)</f>
        <v>-</v>
      </c>
      <c r="L2049" s="52" t="str">
        <f>VLOOKUP(Tabla3[[#This Row],[Site]],'Important Info!'!$A$1:$F$135,2,FALSE)</f>
        <v>3, 4, 5, 22, 24, 26, 28, 36</v>
      </c>
      <c r="M2049" s="52" t="str">
        <f>VLOOKUP(Tabla3[[#This Row],[Site]],'Important Info!'!$A$1:$F$135,3,FALSE)</f>
        <v>-</v>
      </c>
      <c r="N2049" s="52" t="str">
        <f>VLOOKUP(Tabla3[[#This Row],[Site]],'Important Info!'!$A$1:$F$135,4,FALSE)</f>
        <v>-</v>
      </c>
      <c r="O2049" s="52" t="str">
        <f>VLOOKUP(Tabla3[[#This Row],[Site]],'Important Info!'!$A$1:$F$135,5,FALSE)</f>
        <v>4, 7, 12, 26</v>
      </c>
      <c r="P2049" s="52" t="str">
        <f>VLOOKUP(Tabla3[[#This Row],[Site]],'Important Info!'!$A$1:$F$135,6,FALSE)</f>
        <v>1, 3, 5, 6, 23, 24</v>
      </c>
      <c r="Q2049" s="91">
        <f>VLOOKUP(Tabla3[[#This Row],[Site]],'Important Info!'!$A$1:$J$135,9,FALSE)</f>
        <v>150</v>
      </c>
    </row>
    <row r="2050" spans="1:17" x14ac:dyDescent="0.25">
      <c r="A2050" t="str">
        <f>+Tabla3[[#This Row],[Site]]&amp;Tabla3[[#This Row],[Split]]</f>
        <v>(AS) Coggin Honda Ft. Pierce (NO TOURS)21</v>
      </c>
      <c r="B2050">
        <v>21</v>
      </c>
      <c r="C2050">
        <v>15</v>
      </c>
      <c r="D2050" t="s">
        <v>62</v>
      </c>
      <c r="E2050" t="s">
        <v>35</v>
      </c>
      <c r="F2050" t="s">
        <v>501</v>
      </c>
      <c r="G2050" t="s">
        <v>490</v>
      </c>
      <c r="H2050" s="52" t="str">
        <f>VLOOKUP(Tabla3[[#This Row],[Site]],'Important Info!'!$A$1:$J$135,10,FALSE)</f>
        <v>https://tools.sig.systems/site/details/120</v>
      </c>
      <c r="I2050" t="s">
        <v>179</v>
      </c>
      <c r="J2050" t="s">
        <v>484</v>
      </c>
      <c r="K2050" s="79" t="str">
        <f>VLOOKUP(Tabla3[[#This Row],[Site]],'Important Info!'!$A$1:$H$135,8,FALSE)</f>
        <v>-</v>
      </c>
      <c r="L2050" s="52" t="str">
        <f>VLOOKUP(Tabla3[[#This Row],[Site]],'Important Info!'!$A$1:$F$135,2,FALSE)</f>
        <v>1, 2, 3, 4, 14</v>
      </c>
      <c r="M2050" s="52" t="str">
        <f>VLOOKUP(Tabla3[[#This Row],[Site]],'Important Info!'!$A$1:$F$135,3,FALSE)</f>
        <v>-</v>
      </c>
      <c r="N2050" s="52" t="str">
        <f>VLOOKUP(Tabla3[[#This Row],[Site]],'Important Info!'!$A$1:$F$135,4,FALSE)</f>
        <v>-</v>
      </c>
      <c r="O2050" s="52" t="str">
        <f>VLOOKUP(Tabla3[[#This Row],[Site]],'Important Info!'!$A$1:$F$135,5,FALSE)</f>
        <v>7, 11, 15</v>
      </c>
      <c r="P2050" s="52">
        <f>VLOOKUP(Tabla3[[#This Row],[Site]],'Important Info!'!$A$1:$F$135,6,FALSE)</f>
        <v>3</v>
      </c>
      <c r="Q2050" s="91">
        <f>VLOOKUP(Tabla3[[#This Row],[Site]],'Important Info!'!$A$1:$J$135,9,FALSE)</f>
        <v>120</v>
      </c>
    </row>
    <row r="2051" spans="1:17" x14ac:dyDescent="0.25">
      <c r="A2051" t="str">
        <f>+Tabla3[[#This Row],[Site]]&amp;Tabla3[[#This Row],[Split]]</f>
        <v>(AS) Lexus Plano I &amp; II (NO TOURS)21</v>
      </c>
      <c r="B2051">
        <v>21</v>
      </c>
      <c r="C2051">
        <v>15</v>
      </c>
      <c r="D2051" t="s">
        <v>33</v>
      </c>
      <c r="E2051" t="s">
        <v>46</v>
      </c>
      <c r="F2051" t="s">
        <v>524</v>
      </c>
      <c r="G2051" t="s">
        <v>34</v>
      </c>
      <c r="H2051" s="52" t="str">
        <f>VLOOKUP(Tabla3[[#This Row],[Site]],'Important Info!'!$A$1:$J$135,10,FALSE)</f>
        <v>https://tools.sig.systems/site/details/167</v>
      </c>
      <c r="I2051" s="63" t="s">
        <v>127</v>
      </c>
      <c r="J2051" t="s">
        <v>41</v>
      </c>
      <c r="K2051" s="79" t="str">
        <f>VLOOKUP(Tabla3[[#This Row],[Site]],'Important Info!'!$A$1:$H$135,8,FALSE)</f>
        <v>-</v>
      </c>
      <c r="L2051" s="52" t="str">
        <f>VLOOKUP(Tabla3[[#This Row],[Site]],'Important Info!'!$A$1:$F$135,2,FALSE)</f>
        <v>5, 9</v>
      </c>
      <c r="M2051" s="52" t="str">
        <f>VLOOKUP(Tabla3[[#This Row],[Site]],'Important Info!'!$A$1:$F$135,3,FALSE)</f>
        <v>-</v>
      </c>
      <c r="N2051" s="52" t="str">
        <f>VLOOKUP(Tabla3[[#This Row],[Site]],'Important Info!'!$A$1:$F$135,4,FALSE)</f>
        <v>101, 102, 103, 104</v>
      </c>
      <c r="O2051" s="52" t="str">
        <f>VLOOKUP(Tabla3[[#This Row],[Site]],'Important Info!'!$A$1:$F$135,5,FALSE)</f>
        <v>4, 10, 28</v>
      </c>
      <c r="P2051" s="52" t="str">
        <f>VLOOKUP(Tabla3[[#This Row],[Site]],'Important Info!'!$A$1:$F$135,6,FALSE)</f>
        <v>5, 9, 16</v>
      </c>
      <c r="Q2051" s="91">
        <f>VLOOKUP(Tabla3[[#This Row],[Site]],'Important Info!'!$A$1:$J$135,9,FALSE)</f>
        <v>167</v>
      </c>
    </row>
    <row r="2052" spans="1:17" x14ac:dyDescent="0.25">
      <c r="A2052" t="str">
        <f>+Tabla3[[#This Row],[Site]]&amp;Tabla3[[#This Row],[Split]]</f>
        <v>(AS) Plaza Audi/Infiniti (NO TOURS)21</v>
      </c>
      <c r="B2052">
        <v>21</v>
      </c>
      <c r="C2052">
        <v>15</v>
      </c>
      <c r="D2052" t="s">
        <v>33</v>
      </c>
      <c r="E2052" t="s">
        <v>46</v>
      </c>
      <c r="F2052" t="s">
        <v>91</v>
      </c>
      <c r="G2052" t="s">
        <v>34</v>
      </c>
      <c r="H2052" s="52" t="str">
        <f>VLOOKUP(Tabla3[[#This Row],[Site]],'Important Info!'!$A$1:$J$135,10,FALSE)</f>
        <v>https://tools.sig.systems/site/details/141</v>
      </c>
      <c r="I2052" t="s">
        <v>130</v>
      </c>
      <c r="J2052" t="s">
        <v>41</v>
      </c>
      <c r="K2052" s="79" t="str">
        <f>VLOOKUP(Tabla3[[#This Row],[Site]],'Important Info!'!$A$1:$H$135,8,FALSE)</f>
        <v>-</v>
      </c>
      <c r="L2052" s="52" t="str">
        <f>VLOOKUP(Tabla3[[#This Row],[Site]],'Important Info!'!$A$1:$F$135,2,FALSE)</f>
        <v>7, 25</v>
      </c>
      <c r="M2052" s="52" t="str">
        <f>VLOOKUP(Tabla3[[#This Row],[Site]],'Important Info!'!$A$1:$F$135,3,FALSE)</f>
        <v>15, 17, 18</v>
      </c>
      <c r="N2052" s="52" t="str">
        <f>VLOOKUP(Tabla3[[#This Row],[Site]],'Important Info!'!$A$1:$F$135,4,FALSE)</f>
        <v>-</v>
      </c>
      <c r="O2052" s="52" t="str">
        <f>VLOOKUP(Tabla3[[#This Row],[Site]],'Important Info!'!$A$1:$F$135,5,FALSE)</f>
        <v>1, 24</v>
      </c>
      <c r="P2052" s="52" t="str">
        <f>VLOOKUP(Tabla3[[#This Row],[Site]],'Important Info!'!$A$1:$F$135,6,FALSE)</f>
        <v>3, 15, 17</v>
      </c>
      <c r="Q2052" s="91">
        <f>VLOOKUP(Tabla3[[#This Row],[Site]],'Important Info!'!$A$1:$J$135,9,FALSE)</f>
        <v>141</v>
      </c>
    </row>
    <row r="2053" spans="1:17" x14ac:dyDescent="0.25">
      <c r="A2053" t="str">
        <f>+Tabla3[[#This Row],[Site]]&amp;Tabla3[[#This Row],[Split]]</f>
        <v>(AS) Stevinson JLR (NO TOURS)21</v>
      </c>
      <c r="B2053">
        <v>21</v>
      </c>
      <c r="C2053">
        <v>15</v>
      </c>
      <c r="D2053" t="s">
        <v>44</v>
      </c>
      <c r="E2053" t="s">
        <v>53</v>
      </c>
      <c r="F2053" t="s">
        <v>93</v>
      </c>
      <c r="G2053" t="s">
        <v>45</v>
      </c>
      <c r="H2053" s="52" t="str">
        <f>VLOOKUP(Tabla3[[#This Row],[Site]],'Important Info!'!$A$1:$J$135,10,FALSE)</f>
        <v>https://tools.sig.systems/site/details/204</v>
      </c>
      <c r="I2053" s="2"/>
      <c r="J2053" t="s">
        <v>41</v>
      </c>
      <c r="K2053" s="79" t="str">
        <f>VLOOKUP(Tabla3[[#This Row],[Site]],'Important Info!'!$A$1:$H$135,8,FALSE)</f>
        <v>-</v>
      </c>
      <c r="L2053" s="52">
        <f>VLOOKUP(Tabla3[[#This Row],[Site]],'Important Info!'!$A$1:$F$135,2,FALSE)</f>
        <v>5</v>
      </c>
      <c r="M2053" s="52">
        <f>VLOOKUP(Tabla3[[#This Row],[Site]],'Important Info!'!$A$1:$F$135,3,FALSE)</f>
        <v>4</v>
      </c>
      <c r="N2053" s="52" t="str">
        <f>VLOOKUP(Tabla3[[#This Row],[Site]],'Important Info!'!$A$1:$F$135,4,FALSE)</f>
        <v>-</v>
      </c>
      <c r="O2053" s="52">
        <f>VLOOKUP(Tabla3[[#This Row],[Site]],'Important Info!'!$A$1:$F$135,5,FALSE)</f>
        <v>3</v>
      </c>
      <c r="P2053" s="52" t="str">
        <f>VLOOKUP(Tabla3[[#This Row],[Site]],'Important Info!'!$A$1:$F$135,6,FALSE)</f>
        <v>1, 4, 15, 16</v>
      </c>
      <c r="Q2053" s="91">
        <f>VLOOKUP(Tabla3[[#This Row],[Site]],'Important Info!'!$A$1:$J$135,9,FALSE)</f>
        <v>204</v>
      </c>
    </row>
    <row r="2054" spans="1:17" x14ac:dyDescent="0.25">
      <c r="A2054" t="str">
        <f>+Tabla3[[#This Row],[Site]]&amp;Tabla3[[#This Row],[Split]]</f>
        <v>(PE) JLR Darien PDI (NO TOURS)21</v>
      </c>
      <c r="B2054">
        <v>21</v>
      </c>
      <c r="C2054">
        <v>15</v>
      </c>
      <c r="D2054" t="s">
        <v>485</v>
      </c>
      <c r="E2054" t="s">
        <v>35</v>
      </c>
      <c r="F2054" t="s">
        <v>98</v>
      </c>
      <c r="G2054" t="s">
        <v>490</v>
      </c>
      <c r="H2054" s="52" t="str">
        <f>VLOOKUP(Tabla3[[#This Row],[Site]],'Important Info!'!$A$1:$J$135,10,FALSE)</f>
        <v>https://tools.sig.systems/site/details/187</v>
      </c>
      <c r="I2054" t="s">
        <v>175</v>
      </c>
      <c r="J2054" t="s">
        <v>41</v>
      </c>
      <c r="K2054" s="79" t="str">
        <f>VLOOKUP(Tabla3[[#This Row],[Site]],'Important Info!'!$A$1:$H$135,8,FALSE)</f>
        <v>-</v>
      </c>
      <c r="L2054" s="52">
        <f>VLOOKUP(Tabla3[[#This Row],[Site]],'Important Info!'!$A$1:$F$135,2,FALSE)</f>
        <v>1</v>
      </c>
      <c r="M2054" s="52" t="str">
        <f>VLOOKUP(Tabla3[[#This Row],[Site]],'Important Info!'!$A$1:$F$135,3,FALSE)</f>
        <v>-</v>
      </c>
      <c r="N2054" s="52" t="str">
        <f>VLOOKUP(Tabla3[[#This Row],[Site]],'Important Info!'!$A$1:$F$135,4,FALSE)</f>
        <v>-</v>
      </c>
      <c r="O2054" s="52">
        <f>VLOOKUP(Tabla3[[#This Row],[Site]],'Important Info!'!$A$1:$F$135,5,FALSE)</f>
        <v>1</v>
      </c>
      <c r="P2054" s="52">
        <f>VLOOKUP(Tabla3[[#This Row],[Site]],'Important Info!'!$A$1:$F$135,6,FALSE)</f>
        <v>7</v>
      </c>
      <c r="Q2054" s="91">
        <f>VLOOKUP(Tabla3[[#This Row],[Site]],'Important Info!'!$A$1:$J$135,9,FALSE)</f>
        <v>187</v>
      </c>
    </row>
    <row r="2055" spans="1:17" x14ac:dyDescent="0.25">
      <c r="A2055" t="str">
        <f>+Tabla3[[#This Row],[Site]]&amp;Tabla3[[#This Row],[Split]]</f>
        <v>(AS) Coggin Acura Ft Pierce (NO TOURS)21</v>
      </c>
      <c r="B2055">
        <v>21</v>
      </c>
      <c r="C2055">
        <v>16</v>
      </c>
      <c r="D2055" t="s">
        <v>62</v>
      </c>
      <c r="E2055" t="s">
        <v>35</v>
      </c>
      <c r="F2055" t="s">
        <v>500</v>
      </c>
      <c r="G2055" t="s">
        <v>490</v>
      </c>
      <c r="H2055" s="52" t="str">
        <f>VLOOKUP(Tabla3[[#This Row],[Site]],'Important Info!'!$A$1:$J$135,10,FALSE)</f>
        <v>https://tools.sig.systems/site/details/118</v>
      </c>
      <c r="I2055" s="2" t="s">
        <v>179</v>
      </c>
      <c r="J2055" t="s">
        <v>41</v>
      </c>
      <c r="K2055" s="79" t="str">
        <f>VLOOKUP(Tabla3[[#This Row],[Site]],'Important Info!'!$A$1:$H$135,8,FALSE)</f>
        <v>-</v>
      </c>
      <c r="L2055" s="52" t="str">
        <f>VLOOKUP(Tabla3[[#This Row],[Site]],'Important Info!'!$A$1:$F$135,2,FALSE)</f>
        <v>-</v>
      </c>
      <c r="M2055" s="52">
        <f>VLOOKUP(Tabla3[[#This Row],[Site]],'Important Info!'!$A$1:$F$135,3,FALSE)</f>
        <v>6</v>
      </c>
      <c r="N2055" s="52" t="str">
        <f>VLOOKUP(Tabla3[[#This Row],[Site]],'Important Info!'!$A$1:$F$135,4,FALSE)</f>
        <v>-</v>
      </c>
      <c r="O2055" s="52" t="str">
        <f>VLOOKUP(Tabla3[[#This Row],[Site]],'Important Info!'!$A$1:$F$135,5,FALSE)</f>
        <v>4, 6</v>
      </c>
      <c r="P2055" s="52">
        <f>VLOOKUP(Tabla3[[#This Row],[Site]],'Important Info!'!$A$1:$F$135,6,FALSE)</f>
        <v>1</v>
      </c>
      <c r="Q2055" s="91">
        <f>VLOOKUP(Tabla3[[#This Row],[Site]],'Important Info!'!$A$1:$J$135,9,FALSE)</f>
        <v>118</v>
      </c>
    </row>
    <row r="2056" spans="1:17" x14ac:dyDescent="0.25">
      <c r="A2056" t="str">
        <f>+Tabla3[[#This Row],[Site]]&amp;Tabla3[[#This Row],[Split]]</f>
        <v>(AS) Park Place Acura (NO TOURS)21</v>
      </c>
      <c r="B2056">
        <v>21</v>
      </c>
      <c r="C2056">
        <v>16</v>
      </c>
      <c r="D2056" t="s">
        <v>33</v>
      </c>
      <c r="E2056" t="s">
        <v>46</v>
      </c>
      <c r="F2056" t="s">
        <v>513</v>
      </c>
      <c r="G2056" t="s">
        <v>34</v>
      </c>
      <c r="H2056" s="52" t="str">
        <f>VLOOKUP(Tabla3[[#This Row],[Site]],'Important Info!'!$A$1:$J$135,10,FALSE)</f>
        <v>https://tools.sig.systems/site/details/259</v>
      </c>
      <c r="I2056" s="63" t="s">
        <v>127</v>
      </c>
      <c r="J2056" t="s">
        <v>41</v>
      </c>
      <c r="K2056" s="79" t="str">
        <f>VLOOKUP(Tabla3[[#This Row],[Site]],'Important Info!'!$A$1:$H$135,8,FALSE)</f>
        <v>-</v>
      </c>
      <c r="L2056" s="52" t="str">
        <f>VLOOKUP(Tabla3[[#This Row],[Site]],'Important Info!'!$A$1:$F$135,2,FALSE)</f>
        <v>1, 2, 14, 16</v>
      </c>
      <c r="M2056" s="52" t="str">
        <f>VLOOKUP(Tabla3[[#This Row],[Site]],'Important Info!'!$A$1:$F$135,3,FALSE)</f>
        <v>-</v>
      </c>
      <c r="N2056" s="52" t="str">
        <f>VLOOKUP(Tabla3[[#This Row],[Site]],'Important Info!'!$A$1:$F$135,4,FALSE)</f>
        <v>-</v>
      </c>
      <c r="O2056" s="52" t="str">
        <f>VLOOKUP(Tabla3[[#This Row],[Site]],'Important Info!'!$A$1:$F$135,5,FALSE)</f>
        <v>1, 7, 13</v>
      </c>
      <c r="P2056" s="52" t="str">
        <f>VLOOKUP(Tabla3[[#This Row],[Site]],'Important Info!'!$A$1:$F$135,6,FALSE)</f>
        <v>-</v>
      </c>
      <c r="Q2056" s="91">
        <f>VLOOKUP(Tabla3[[#This Row],[Site]],'Important Info!'!$A$1:$J$135,9,FALSE)</f>
        <v>259</v>
      </c>
    </row>
    <row r="2057" spans="1:17" x14ac:dyDescent="0.25">
      <c r="A2057" t="str">
        <f>+Tabla3[[#This Row],[Site]]&amp;Tabla3[[#This Row],[Split]]</f>
        <v>(DT) W Houston21</v>
      </c>
      <c r="B2057">
        <v>21</v>
      </c>
      <c r="C2057">
        <v>16</v>
      </c>
      <c r="D2057" t="s">
        <v>33</v>
      </c>
      <c r="E2057" t="s">
        <v>46</v>
      </c>
      <c r="F2057" t="s">
        <v>69</v>
      </c>
      <c r="G2057" t="s">
        <v>34</v>
      </c>
      <c r="H2057" s="52" t="str">
        <f>VLOOKUP(Tabla3[[#This Row],[Site]],'Important Info!'!$A$1:$J$135,10,FALSE)</f>
        <v>https://tools.sig.systems/site/details/197</v>
      </c>
      <c r="I2057" s="2"/>
      <c r="J2057" t="s">
        <v>41</v>
      </c>
      <c r="K2057" s="79" t="str">
        <f>VLOOKUP(Tabla3[[#This Row],[Site]],'Important Info!'!$A$1:$H$135,8,FALSE)</f>
        <v>-</v>
      </c>
      <c r="L2057" s="52">
        <f>VLOOKUP(Tabla3[[#This Row],[Site]],'Important Info!'!$A$1:$F$135,2,FALSE)</f>
        <v>7</v>
      </c>
      <c r="M2057" s="52">
        <f>VLOOKUP(Tabla3[[#This Row],[Site]],'Important Info!'!$A$1:$F$135,3,FALSE)</f>
        <v>2</v>
      </c>
      <c r="N2057" s="52" t="str">
        <f>VLOOKUP(Tabla3[[#This Row],[Site]],'Important Info!'!$A$1:$F$135,4,FALSE)</f>
        <v>-</v>
      </c>
      <c r="O2057" s="52">
        <f>VLOOKUP(Tabla3[[#This Row],[Site]],'Important Info!'!$A$1:$F$135,5,FALSE)</f>
        <v>14</v>
      </c>
      <c r="P2057" s="52" t="str">
        <f>VLOOKUP(Tabla3[[#This Row],[Site]],'Important Info!'!$A$1:$F$135,6,FALSE)</f>
        <v>2, 3, 7, 10</v>
      </c>
      <c r="Q2057" s="91">
        <f>VLOOKUP(Tabla3[[#This Row],[Site]],'Important Info!'!$A$1:$J$135,9,FALSE)</f>
        <v>197</v>
      </c>
    </row>
    <row r="2058" spans="1:17" x14ac:dyDescent="0.25">
      <c r="A2058" t="str">
        <f>+Tabla3[[#This Row],[Site]]&amp;Tabla3[[#This Row],[Split]]</f>
        <v>(HUD) Honda Greensboro21</v>
      </c>
      <c r="B2058">
        <v>21</v>
      </c>
      <c r="C2058">
        <v>16</v>
      </c>
      <c r="D2058" t="s">
        <v>62</v>
      </c>
      <c r="E2058" t="s">
        <v>35</v>
      </c>
      <c r="F2058" t="s">
        <v>85</v>
      </c>
      <c r="G2058" t="s">
        <v>490</v>
      </c>
      <c r="H2058" s="52" t="str">
        <f>VLOOKUP(Tabla3[[#This Row],[Site]],'Important Info!'!$A$1:$J$135,10,FALSE)</f>
        <v>https://tools.sig.systems/site/details/230</v>
      </c>
      <c r="I2058" t="s">
        <v>186</v>
      </c>
      <c r="J2058" t="s">
        <v>41</v>
      </c>
      <c r="K2058" s="79" t="str">
        <f>VLOOKUP(Tabla3[[#This Row],[Site]],'Important Info!'!$A$1:$H$135,8,FALSE)</f>
        <v>-</v>
      </c>
      <c r="L2058" s="52" t="str">
        <f>VLOOKUP(Tabla3[[#This Row],[Site]],'Important Info!'!$A$1:$F$135,2,FALSE)</f>
        <v>1, 3,  15, 16, 22</v>
      </c>
      <c r="M2058" s="52" t="str">
        <f>VLOOKUP(Tabla3[[#This Row],[Site]],'Important Info!'!$A$1:$F$135,3,FALSE)</f>
        <v>-</v>
      </c>
      <c r="N2058" s="52" t="str">
        <f>VLOOKUP(Tabla3[[#This Row],[Site]],'Important Info!'!$A$1:$F$135,4,FALSE)</f>
        <v>-</v>
      </c>
      <c r="O2058" s="52" t="str">
        <f>VLOOKUP(Tabla3[[#This Row],[Site]],'Important Info!'!$A$1:$F$135,5,FALSE)</f>
        <v>3, 20</v>
      </c>
      <c r="P2058" s="52">
        <f>VLOOKUP(Tabla3[[#This Row],[Site]],'Important Info!'!$A$1:$F$135,6,FALSE)</f>
        <v>26</v>
      </c>
      <c r="Q2058" s="91">
        <f>VLOOKUP(Tabla3[[#This Row],[Site]],'Important Info!'!$A$1:$J$135,9,FALSE)</f>
        <v>230</v>
      </c>
    </row>
    <row r="2059" spans="1:17" x14ac:dyDescent="0.25">
      <c r="A2059" t="str">
        <f>+Tabla3[[#This Row],[Site]]&amp;Tabla3[[#This Row],[Split]]</f>
        <v>(ML) Honda of Little Rock21</v>
      </c>
      <c r="B2059">
        <v>21</v>
      </c>
      <c r="C2059">
        <v>16</v>
      </c>
      <c r="D2059" t="s">
        <v>33</v>
      </c>
      <c r="E2059" t="s">
        <v>46</v>
      </c>
      <c r="F2059" t="s">
        <v>71</v>
      </c>
      <c r="G2059" t="s">
        <v>34</v>
      </c>
      <c r="H2059" s="52" t="str">
        <f>VLOOKUP(Tabla3[[#This Row],[Site]],'Important Info!'!$A$1:$J$135,10,FALSE)</f>
        <v>https://tools.sig.systems/site/details/249</v>
      </c>
      <c r="I2059" s="2" t="s">
        <v>140</v>
      </c>
      <c r="J2059" t="s">
        <v>41</v>
      </c>
      <c r="K2059" s="79" t="str">
        <f>VLOOKUP(Tabla3[[#This Row],[Site]],'Important Info!'!$A$1:$H$135,8,FALSE)</f>
        <v>-</v>
      </c>
      <c r="L2059" s="52" t="str">
        <f>VLOOKUP(Tabla3[[#This Row],[Site]],'Important Info!'!$A$1:$F$135,2,FALSE)</f>
        <v>1, 4, 9, 14, 21</v>
      </c>
      <c r="M2059" s="52" t="str">
        <f>VLOOKUP(Tabla3[[#This Row],[Site]],'Important Info!'!$A$1:$F$135,3,FALSE)</f>
        <v>-</v>
      </c>
      <c r="N2059" s="52" t="str">
        <f>VLOOKUP(Tabla3[[#This Row],[Site]],'Important Info!'!$A$1:$F$135,4,FALSE)</f>
        <v>-</v>
      </c>
      <c r="O2059" s="52" t="str">
        <f>VLOOKUP(Tabla3[[#This Row],[Site]],'Important Info!'!$A$1:$F$135,5,FALSE)</f>
        <v>4, 14, 21</v>
      </c>
      <c r="P2059" s="52" t="str">
        <f>VLOOKUP(Tabla3[[#This Row],[Site]],'Important Info!'!$A$1:$F$135,6,FALSE)</f>
        <v>11, 12</v>
      </c>
      <c r="Q2059" s="91">
        <f>VLOOKUP(Tabla3[[#This Row],[Site]],'Important Info!'!$A$1:$J$135,9,FALSE)</f>
        <v>249</v>
      </c>
    </row>
    <row r="2060" spans="1:17" x14ac:dyDescent="0.25">
      <c r="A2060" t="str">
        <f>+Tabla3[[#This Row],[Site]]&amp;Tabla3[[#This Row],[Split]]</f>
        <v>(ML) McLarty Gray-Daniels Toyota Nissan21</v>
      </c>
      <c r="B2060">
        <v>21</v>
      </c>
      <c r="C2060">
        <v>16</v>
      </c>
      <c r="D2060" t="s">
        <v>33</v>
      </c>
      <c r="E2060" t="s">
        <v>46</v>
      </c>
      <c r="F2060" t="s">
        <v>90</v>
      </c>
      <c r="G2060" t="s">
        <v>34</v>
      </c>
      <c r="H2060" s="52" t="str">
        <f>VLOOKUP(Tabla3[[#This Row],[Site]],'Important Info!'!$A$1:$J$135,10,FALSE)</f>
        <v>https://tools.sig.systems/site/details/152</v>
      </c>
      <c r="I2060" s="2" t="s">
        <v>150</v>
      </c>
      <c r="J2060" t="s">
        <v>41</v>
      </c>
      <c r="K2060" s="79" t="str">
        <f>VLOOKUP(Tabla3[[#This Row],[Site]],'Important Info!'!$A$1:$H$135,8,FALSE)</f>
        <v>-</v>
      </c>
      <c r="L2060" s="52" t="str">
        <f>VLOOKUP(Tabla3[[#This Row],[Site]],'Important Info!'!$A$1:$F$135,2,FALSE)</f>
        <v>-</v>
      </c>
      <c r="M2060" s="52" t="str">
        <f>VLOOKUP(Tabla3[[#This Row],[Site]],'Important Info!'!$A$1:$F$135,3,FALSE)</f>
        <v>8, 11, 39, 43</v>
      </c>
      <c r="N2060" s="52" t="str">
        <f>VLOOKUP(Tabla3[[#This Row],[Site]],'Important Info!'!$A$1:$F$135,4,FALSE)</f>
        <v>-</v>
      </c>
      <c r="O2060" s="52" t="str">
        <f>VLOOKUP(Tabla3[[#This Row],[Site]],'Important Info!'!$A$1:$F$135,5,FALSE)</f>
        <v>6, 11, 15, 18</v>
      </c>
      <c r="P2060" s="52" t="str">
        <f>VLOOKUP(Tabla3[[#This Row],[Site]],'Important Info!'!$A$1:$F$135,6,FALSE)</f>
        <v>7, 8, 9</v>
      </c>
      <c r="Q2060" s="91">
        <f>VLOOKUP(Tabla3[[#This Row],[Site]],'Important Info!'!$A$1:$J$135,9,FALSE)</f>
        <v>152</v>
      </c>
    </row>
    <row r="2061" spans="1:17" x14ac:dyDescent="0.25">
      <c r="A2061" t="str">
        <f>+Tabla3[[#This Row],[Site]]&amp;Tabla3[[#This Row],[Split]]</f>
        <v>(AS) Audi of North Atlanta (NO TOURS)21</v>
      </c>
      <c r="B2061">
        <v>21</v>
      </c>
      <c r="C2061">
        <v>17</v>
      </c>
      <c r="D2061" t="s">
        <v>62</v>
      </c>
      <c r="E2061" t="s">
        <v>35</v>
      </c>
      <c r="F2061" t="s">
        <v>499</v>
      </c>
      <c r="G2061" t="s">
        <v>490</v>
      </c>
      <c r="H2061" s="52" t="str">
        <f>VLOOKUP(Tabla3[[#This Row],[Site]],'Important Info!'!$A$1:$J$135,10,FALSE)</f>
        <v>https://tools.sig.systems/site/details/124</v>
      </c>
      <c r="I2061" s="2" t="s">
        <v>166</v>
      </c>
      <c r="J2061" t="s">
        <v>41</v>
      </c>
      <c r="K2061" s="79" t="str">
        <f>VLOOKUP(Tabla3[[#This Row],[Site]],'Important Info!'!$A$1:$H$135,8,FALSE)</f>
        <v>-</v>
      </c>
      <c r="L2061" s="52" t="str">
        <f>VLOOKUP(Tabla3[[#This Row],[Site]],'Important Info!'!$A$1:$F$135,2,FALSE)</f>
        <v>1, 5, 16, 54</v>
      </c>
      <c r="M2061" s="52" t="str">
        <f>VLOOKUP(Tabla3[[#This Row],[Site]],'Important Info!'!$A$1:$F$135,3,FALSE)</f>
        <v>-</v>
      </c>
      <c r="N2061" s="52" t="str">
        <f>VLOOKUP(Tabla3[[#This Row],[Site]],'Important Info!'!$A$1:$F$135,4,FALSE)</f>
        <v>-</v>
      </c>
      <c r="O2061" s="52" t="str">
        <f>VLOOKUP(Tabla3[[#This Row],[Site]],'Important Info!'!$A$1:$F$135,5,FALSE)</f>
        <v>3, 16</v>
      </c>
      <c r="P2061" s="52" t="str">
        <f>VLOOKUP(Tabla3[[#This Row],[Site]],'Important Info!'!$A$1:$F$135,6,FALSE)</f>
        <v>2, 5, 6</v>
      </c>
      <c r="Q2061" s="91">
        <f>VLOOKUP(Tabla3[[#This Row],[Site]],'Important Info!'!$A$1:$J$135,9,FALSE)</f>
        <v>124</v>
      </c>
    </row>
    <row r="2062" spans="1:17" x14ac:dyDescent="0.25">
      <c r="A2062" t="str">
        <f>+Tabla3[[#This Row],[Site]]&amp;Tabla3[[#This Row],[Split]]</f>
        <v>(AS) Stevinson Porsche of Littleton (NO TOURS)21</v>
      </c>
      <c r="B2062">
        <v>21</v>
      </c>
      <c r="C2062">
        <v>17</v>
      </c>
      <c r="D2062" t="s">
        <v>44</v>
      </c>
      <c r="E2062" t="s">
        <v>53</v>
      </c>
      <c r="F2062" t="s">
        <v>78</v>
      </c>
      <c r="G2062" t="s">
        <v>45</v>
      </c>
      <c r="H2062" s="52" t="str">
        <f>VLOOKUP(Tabla3[[#This Row],[Site]],'Important Info!'!$A$1:$J$135,10,FALSE)</f>
        <v>https://tools.sig.systems/site/details/242</v>
      </c>
      <c r="J2062" t="s">
        <v>41</v>
      </c>
      <c r="K2062" s="79" t="str">
        <f>VLOOKUP(Tabla3[[#This Row],[Site]],'Important Info!'!$A$1:$H$135,8,FALSE)</f>
        <v>-</v>
      </c>
      <c r="L2062" s="52" t="str">
        <f>VLOOKUP(Tabla3[[#This Row],[Site]],'Important Info!'!$A$1:$F$135,2,FALSE)</f>
        <v>3, 4</v>
      </c>
      <c r="M2062" s="52">
        <f>VLOOKUP(Tabla3[[#This Row],[Site]],'Important Info!'!$A$1:$F$135,3,FALSE)</f>
        <v>2</v>
      </c>
      <c r="N2062" s="52" t="str">
        <f>VLOOKUP(Tabla3[[#This Row],[Site]],'Important Info!'!$A$1:$F$135,4,FALSE)</f>
        <v>-</v>
      </c>
      <c r="O2062" s="52" t="str">
        <f>VLOOKUP(Tabla3[[#This Row],[Site]],'Important Info!'!$A$1:$F$135,5,FALSE)</f>
        <v>-</v>
      </c>
      <c r="P2062" s="52" t="str">
        <f>VLOOKUP(Tabla3[[#This Row],[Site]],'Important Info!'!$A$1:$F$135,6,FALSE)</f>
        <v>3, 4</v>
      </c>
      <c r="Q2062" s="91">
        <f>VLOOKUP(Tabla3[[#This Row],[Site]],'Important Info!'!$A$1:$J$135,9,FALSE)</f>
        <v>242</v>
      </c>
    </row>
    <row r="2063" spans="1:17" x14ac:dyDescent="0.25">
      <c r="A2063" t="str">
        <f>+Tabla3[[#This Row],[Site]]&amp;Tabla3[[#This Row],[Split]]</f>
        <v>(KG) Baytown GMC Buick - Remote Lot (NO TOURS)21</v>
      </c>
      <c r="B2063">
        <v>21</v>
      </c>
      <c r="C2063">
        <v>17</v>
      </c>
      <c r="D2063" t="s">
        <v>60</v>
      </c>
      <c r="E2063" t="s">
        <v>46</v>
      </c>
      <c r="F2063" t="s">
        <v>167</v>
      </c>
      <c r="G2063" t="s">
        <v>41</v>
      </c>
      <c r="H2063" s="52" t="str">
        <f>VLOOKUP(Tabla3[[#This Row],[Site]],'Important Info!'!$A$1:$J$135,10,FALSE)</f>
        <v>https://tools.sig.systems/site/details/311</v>
      </c>
      <c r="I2063" s="2"/>
      <c r="J2063" t="s">
        <v>41</v>
      </c>
      <c r="K2063" s="79" t="s">
        <v>168</v>
      </c>
      <c r="L2063" s="52" t="str">
        <f>VLOOKUP(Tabla3[[#This Row],[Site]],'Important Info!'!$A$1:$F$135,2,FALSE)</f>
        <v>-</v>
      </c>
      <c r="M2063" s="52" t="str">
        <f>VLOOKUP(Tabla3[[#This Row],[Site]],'Important Info!'!$A$1:$F$135,3,FALSE)</f>
        <v>7, 8</v>
      </c>
      <c r="N2063" s="52" t="str">
        <f>VLOOKUP(Tabla3[[#This Row],[Site]],'Important Info!'!$A$1:$F$135,4,FALSE)</f>
        <v>-</v>
      </c>
      <c r="O2063" s="52" t="str">
        <f>VLOOKUP(Tabla3[[#This Row],[Site]],'Important Info!'!$A$1:$F$135,5,FALSE)</f>
        <v>-</v>
      </c>
      <c r="P2063" s="52" t="str">
        <f>VLOOKUP(Tabla3[[#This Row],[Site]],'Important Info!'!$A$1:$F$135,6,FALSE)</f>
        <v>-</v>
      </c>
      <c r="Q2063" s="91">
        <f>VLOOKUP(Tabla3[[#This Row],[Site]],'Important Info!'!$A$1:$J$135,9,FALSE)</f>
        <v>311</v>
      </c>
    </row>
    <row r="2064" spans="1:17" x14ac:dyDescent="0.25">
      <c r="A2064" t="str">
        <f>+Tabla3[[#This Row],[Site]]&amp;Tabla3[[#This Row],[Split]]</f>
        <v>(KG) Baytown GMC Buick (NO TOURS)21</v>
      </c>
      <c r="B2064">
        <v>21</v>
      </c>
      <c r="C2064">
        <v>17</v>
      </c>
      <c r="D2064" t="s">
        <v>33</v>
      </c>
      <c r="E2064" t="s">
        <v>46</v>
      </c>
      <c r="F2064" t="s">
        <v>132</v>
      </c>
      <c r="G2064" t="s">
        <v>34</v>
      </c>
      <c r="H2064" s="52" t="str">
        <f>VLOOKUP(Tabla3[[#This Row],[Site]],'Important Info!'!$A$1:$J$135,10,FALSE)</f>
        <v>https://tools.sig.systems/site/details/239</v>
      </c>
      <c r="I2064" s="2"/>
      <c r="J2064" t="s">
        <v>41</v>
      </c>
      <c r="K2064" s="79" t="str">
        <f>VLOOKUP(Tabla3[[#This Row],[Site]],'Important Info!'!$A$1:$H$135,8,FALSE)</f>
        <v>-</v>
      </c>
      <c r="L2064" s="52" t="str">
        <f>VLOOKUP(Tabla3[[#This Row],[Site]],'Important Info!'!$A$1:$F$135,2,FALSE)</f>
        <v>1, 5, 7, 21, 22</v>
      </c>
      <c r="M2064" s="52" t="str">
        <f>VLOOKUP(Tabla3[[#This Row],[Site]],'Important Info!'!$A$1:$F$135,3,FALSE)</f>
        <v>-</v>
      </c>
      <c r="N2064" s="52" t="str">
        <f>VLOOKUP(Tabla3[[#This Row],[Site]],'Important Info!'!$A$1:$F$135,4,FALSE)</f>
        <v>-</v>
      </c>
      <c r="O2064" s="52" t="str">
        <f>VLOOKUP(Tabla3[[#This Row],[Site]],'Important Info!'!$A$1:$F$135,5,FALSE)</f>
        <v>2, 10, 15, 24B</v>
      </c>
      <c r="P2064" s="52" t="str">
        <f>VLOOKUP(Tabla3[[#This Row],[Site]],'Important Info!'!$A$1:$F$135,6,FALSE)</f>
        <v>21, 22</v>
      </c>
      <c r="Q2064" s="91">
        <f>VLOOKUP(Tabla3[[#This Row],[Site]],'Important Info!'!$A$1:$J$135,9,FALSE)</f>
        <v>239</v>
      </c>
    </row>
    <row r="2065" spans="1:17" x14ac:dyDescent="0.25">
      <c r="A2065" t="str">
        <f>+Tabla3[[#This Row],[Site]]&amp;Tabla3[[#This Row],[Split]]</f>
        <v>(ML) McLarty Gray-Daniels Ford Lincoln21</v>
      </c>
      <c r="B2065">
        <v>21</v>
      </c>
      <c r="C2065">
        <v>17</v>
      </c>
      <c r="D2065" t="s">
        <v>33</v>
      </c>
      <c r="E2065" t="s">
        <v>46</v>
      </c>
      <c r="F2065" t="s">
        <v>89</v>
      </c>
      <c r="G2065" t="s">
        <v>34</v>
      </c>
      <c r="H2065" s="52" t="str">
        <f>VLOOKUP(Tabla3[[#This Row],[Site]],'Important Info!'!$A$1:$J$135,10,FALSE)</f>
        <v>https://tools.sig.systems/site/details/151</v>
      </c>
      <c r="I2065" s="2" t="s">
        <v>150</v>
      </c>
      <c r="J2065" t="s">
        <v>41</v>
      </c>
      <c r="K2065" s="79" t="str">
        <f>VLOOKUP(Tabla3[[#This Row],[Site]],'Important Info!'!$A$1:$H$135,8,FALSE)</f>
        <v>-</v>
      </c>
      <c r="L2065" s="52">
        <f>VLOOKUP(Tabla3[[#This Row],[Site]],'Important Info!'!$A$1:$F$135,2,FALSE)</f>
        <v>16</v>
      </c>
      <c r="M2065" s="52" t="str">
        <f>VLOOKUP(Tabla3[[#This Row],[Site]],'Important Info!'!$A$1:$F$135,3,FALSE)</f>
        <v>5, 10, 36, 38, 54, 58B</v>
      </c>
      <c r="N2065" s="52" t="str">
        <f>VLOOKUP(Tabla3[[#This Row],[Site]],'Important Info!'!$A$1:$F$135,4,FALSE)</f>
        <v>-</v>
      </c>
      <c r="O2065" s="52" t="str">
        <f>VLOOKUP(Tabla3[[#This Row],[Site]],'Important Info!'!$A$1:$F$135,5,FALSE)</f>
        <v>5, 17, 37</v>
      </c>
      <c r="P2065" s="52" t="str">
        <f>VLOOKUP(Tabla3[[#This Row],[Site]],'Important Info!'!$A$1:$F$135,6,FALSE)</f>
        <v>1, 2, 3, 4</v>
      </c>
      <c r="Q2065" s="91">
        <f>VLOOKUP(Tabla3[[#This Row],[Site]],'Important Info!'!$A$1:$J$135,9,FALSE)</f>
        <v>151</v>
      </c>
    </row>
    <row r="2066" spans="1:17" x14ac:dyDescent="0.25">
      <c r="A2066" t="str">
        <f>+Tabla3[[#This Row],[Site]]&amp;Tabla3[[#This Row],[Split]]</f>
        <v>(ML) Nissan of North Little Rock21</v>
      </c>
      <c r="B2066">
        <v>21</v>
      </c>
      <c r="C2066">
        <v>17</v>
      </c>
      <c r="D2066" t="s">
        <v>33</v>
      </c>
      <c r="E2066" t="s">
        <v>46</v>
      </c>
      <c r="F2066" t="s">
        <v>75</v>
      </c>
      <c r="G2066" t="s">
        <v>34</v>
      </c>
      <c r="H2066" s="52" t="str">
        <f>VLOOKUP(Tabla3[[#This Row],[Site]],'Important Info!'!$A$1:$J$135,10,FALSE)</f>
        <v>https://tools.sig.systems/site/details/216</v>
      </c>
      <c r="I2066" s="2" t="s">
        <v>142</v>
      </c>
      <c r="J2066" t="s">
        <v>41</v>
      </c>
      <c r="K2066" s="79" t="str">
        <f>VLOOKUP(Tabla3[[#This Row],[Site]],'Important Info!'!$A$1:$H$135,8,FALSE)</f>
        <v>-</v>
      </c>
      <c r="L2066" s="52" t="str">
        <f>VLOOKUP(Tabla3[[#This Row],[Site]],'Important Info!'!$A$1:$F$135,2,FALSE)</f>
        <v>2, 4</v>
      </c>
      <c r="M2066" s="52" t="str">
        <f>VLOOKUP(Tabla3[[#This Row],[Site]],'Important Info!'!$A$1:$F$135,3,FALSE)</f>
        <v>-</v>
      </c>
      <c r="N2066" s="52" t="str">
        <f>VLOOKUP(Tabla3[[#This Row],[Site]],'Important Info!'!$A$1:$F$135,4,FALSE)</f>
        <v>-</v>
      </c>
      <c r="O2066" s="52" t="str">
        <f>VLOOKUP(Tabla3[[#This Row],[Site]],'Important Info!'!$A$1:$F$135,5,FALSE)</f>
        <v>5, 17, 23</v>
      </c>
      <c r="P2066" s="52">
        <f>VLOOKUP(Tabla3[[#This Row],[Site]],'Important Info!'!$A$1:$F$135,6,FALSE)</f>
        <v>18</v>
      </c>
      <c r="Q2066" s="91">
        <f>VLOOKUP(Tabla3[[#This Row],[Site]],'Important Info!'!$A$1:$J$135,9,FALSE)</f>
        <v>216</v>
      </c>
    </row>
    <row r="2067" spans="1:17" x14ac:dyDescent="0.25">
      <c r="A2067" t="str">
        <f>+Tabla3[[#This Row],[Site]]&amp;Tabla3[[#This Row],[Split]]</f>
        <v>(AS) Courtesy Kia of Brandon (NO TOURS)21</v>
      </c>
      <c r="B2067">
        <v>21</v>
      </c>
      <c r="C2067">
        <v>18</v>
      </c>
      <c r="D2067" t="s">
        <v>62</v>
      </c>
      <c r="E2067" t="s">
        <v>35</v>
      </c>
      <c r="F2067" t="s">
        <v>505</v>
      </c>
      <c r="G2067" t="s">
        <v>490</v>
      </c>
      <c r="H2067" s="52" t="str">
        <f>VLOOKUP(Tabla3[[#This Row],[Site]],'Important Info!'!$A$1:$J$135,10,FALSE)</f>
        <v>https://tools.sig.systems/site/details/121</v>
      </c>
      <c r="I2067" s="43" t="s">
        <v>181</v>
      </c>
      <c r="J2067" t="s">
        <v>484</v>
      </c>
      <c r="K2067" s="79" t="str">
        <f>VLOOKUP(Tabla3[[#This Row],[Site]],'Important Info!'!$A$1:$H$135,8,FALSE)</f>
        <v>-</v>
      </c>
      <c r="L2067" s="52" t="str">
        <f>VLOOKUP(Tabla3[[#This Row],[Site]],'Important Info!'!$A$1:$F$135,2,FALSE)</f>
        <v>-</v>
      </c>
      <c r="M2067" s="52" t="str">
        <f>VLOOKUP(Tabla3[[#This Row],[Site]],'Important Info!'!$A$1:$F$135,3,FALSE)</f>
        <v>4, 8</v>
      </c>
      <c r="N2067" s="52" t="str">
        <f>VLOOKUP(Tabla3[[#This Row],[Site]],'Important Info!'!$A$1:$F$135,4,FALSE)</f>
        <v>-</v>
      </c>
      <c r="O2067" s="52" t="str">
        <f>VLOOKUP(Tabla3[[#This Row],[Site]],'Important Info!'!$A$1:$F$135,5,FALSE)</f>
        <v>3, 11, 20, 24</v>
      </c>
      <c r="P2067" s="52" t="str">
        <f>VLOOKUP(Tabla3[[#This Row],[Site]],'Important Info!'!$A$1:$F$135,6,FALSE)</f>
        <v>2, 8</v>
      </c>
      <c r="Q2067" s="91">
        <f>VLOOKUP(Tabla3[[#This Row],[Site]],'Important Info!'!$A$1:$J$135,9,FALSE)</f>
        <v>121</v>
      </c>
    </row>
    <row r="2068" spans="1:17" x14ac:dyDescent="0.25">
      <c r="A2068" t="str">
        <f>+Tabla3[[#This Row],[Site]]&amp;Tabla3[[#This Row],[Split]]</f>
        <v>(AS) Lexus Grapevine I &amp; II (NO TOURS)21</v>
      </c>
      <c r="B2068">
        <v>21</v>
      </c>
      <c r="C2068">
        <v>18</v>
      </c>
      <c r="D2068" t="s">
        <v>33</v>
      </c>
      <c r="E2068" t="s">
        <v>46</v>
      </c>
      <c r="F2068" t="s">
        <v>508</v>
      </c>
      <c r="G2068" t="s">
        <v>34</v>
      </c>
      <c r="H2068" s="52" t="str">
        <f>VLOOKUP(Tabla3[[#This Row],[Site]],'Important Info!'!$A$1:$J$135,10,FALSE)</f>
        <v>https://tools.sig.systems/site/details/136</v>
      </c>
      <c r="J2068" t="s">
        <v>41</v>
      </c>
      <c r="K2068" s="79" t="str">
        <f>VLOOKUP(Tabla3[[#This Row],[Site]],'Important Info!'!$A$1:$H$135,8,FALSE)</f>
        <v>-</v>
      </c>
      <c r="L2068" s="52" t="str">
        <f>VLOOKUP(Tabla3[[#This Row],[Site]],'Important Info!'!$A$1:$F$135,2,FALSE)</f>
        <v>4, 10, 14, 18, 33</v>
      </c>
      <c r="M2068" s="52" t="str">
        <f>VLOOKUP(Tabla3[[#This Row],[Site]],'Important Info!'!$A$1:$F$135,3,FALSE)</f>
        <v>-</v>
      </c>
      <c r="N2068" s="52" t="str">
        <f>VLOOKUP(Tabla3[[#This Row],[Site]],'Important Info!'!$A$1:$F$135,4,FALSE)</f>
        <v>81, 82, 83</v>
      </c>
      <c r="O2068" s="52" t="str">
        <f>VLOOKUP(Tabla3[[#This Row],[Site]],'Important Info!'!$A$1:$F$135,5,FALSE)</f>
        <v>4, 12, 15, 20, 30</v>
      </c>
      <c r="P2068" s="52">
        <f>VLOOKUP(Tabla3[[#This Row],[Site]],'Important Info!'!$A$1:$F$135,6,FALSE)</f>
        <v>10</v>
      </c>
      <c r="Q2068" s="91">
        <f>VLOOKUP(Tabla3[[#This Row],[Site]],'Important Info!'!$A$1:$J$135,9,FALSE)</f>
        <v>136</v>
      </c>
    </row>
    <row r="2069" spans="1:17" x14ac:dyDescent="0.25">
      <c r="A2069" t="str">
        <f>+Tabla3[[#This Row],[Site]]&amp;Tabla3[[#This Row],[Split]]</f>
        <v>(AS) Nalley Luxury Collision Center (NO TOURS)21</v>
      </c>
      <c r="B2069">
        <v>21</v>
      </c>
      <c r="C2069">
        <v>18</v>
      </c>
      <c r="D2069" t="s">
        <v>62</v>
      </c>
      <c r="E2069" t="s">
        <v>35</v>
      </c>
      <c r="F2069" t="s">
        <v>512</v>
      </c>
      <c r="G2069" t="s">
        <v>490</v>
      </c>
      <c r="H2069" s="52" t="str">
        <f>VLOOKUP(Tabla3[[#This Row],[Site]],'Important Info!'!$A$1:$J$135,10,FALSE)</f>
        <v>https://tools.sig.systems/site/details/263</v>
      </c>
      <c r="I2069" s="2" t="s">
        <v>166</v>
      </c>
      <c r="J2069" t="s">
        <v>41</v>
      </c>
      <c r="K2069" s="79" t="str">
        <f>VLOOKUP(Tabla3[[#This Row],[Site]],'Important Info!'!$A$1:$H$135,8,FALSE)</f>
        <v>-</v>
      </c>
      <c r="L2069" s="52" t="str">
        <f>VLOOKUP(Tabla3[[#This Row],[Site]],'Important Info!'!$A$1:$F$135,2,FALSE)</f>
        <v>6, 13</v>
      </c>
      <c r="M2069" s="52" t="str">
        <f>VLOOKUP(Tabla3[[#This Row],[Site]],'Important Info!'!$A$1:$F$135,3,FALSE)</f>
        <v>-</v>
      </c>
      <c r="N2069" s="52" t="str">
        <f>VLOOKUP(Tabla3[[#This Row],[Site]],'Important Info!'!$A$1:$F$135,4,FALSE)</f>
        <v>-</v>
      </c>
      <c r="O2069" s="52" t="str">
        <f>VLOOKUP(Tabla3[[#This Row],[Site]],'Important Info!'!$A$1:$F$135,5,FALSE)</f>
        <v>-</v>
      </c>
      <c r="P2069" s="52" t="str">
        <f>VLOOKUP(Tabla3[[#This Row],[Site]],'Important Info!'!$A$1:$F$135,6,FALSE)</f>
        <v>6, 7, 12</v>
      </c>
      <c r="Q2069" s="91">
        <f>VLOOKUP(Tabla3[[#This Row],[Site]],'Important Info!'!$A$1:$J$135,9,FALSE)</f>
        <v>263</v>
      </c>
    </row>
    <row r="2070" spans="1:17" x14ac:dyDescent="0.25">
      <c r="A2070" t="str">
        <f>+Tabla3[[#This Row],[Site]]&amp;Tabla3[[#This Row],[Split]]</f>
        <v>(KG) JLR LEHI (NO TOURS)21</v>
      </c>
      <c r="B2070">
        <v>21</v>
      </c>
      <c r="C2070">
        <v>18</v>
      </c>
      <c r="D2070" t="s">
        <v>44</v>
      </c>
      <c r="E2070" t="s">
        <v>53</v>
      </c>
      <c r="F2070" t="s">
        <v>8</v>
      </c>
      <c r="G2070" t="s">
        <v>45</v>
      </c>
      <c r="H2070" s="52" t="str">
        <f>VLOOKUP(Tabla3[[#This Row],[Site]],'Important Info!'!$A$1:$J$135,10,FALSE)</f>
        <v>https://tools.sig.systems/site/details/145</v>
      </c>
      <c r="I2070" s="2"/>
      <c r="J2070" t="s">
        <v>41</v>
      </c>
      <c r="K2070" s="79" t="str">
        <f>VLOOKUP(Tabla3[[#This Row],[Site]],'Important Info!'!$A$1:$H$135,8,FALSE)</f>
        <v>-</v>
      </c>
      <c r="L2070" s="52" t="str">
        <f>VLOOKUP(Tabla3[[#This Row],[Site]],'Important Info!'!$A$1:$F$135,2,FALSE)</f>
        <v>1, 11</v>
      </c>
      <c r="M2070" s="52" t="str">
        <f>VLOOKUP(Tabla3[[#This Row],[Site]],'Important Info!'!$A$1:$F$135,3,FALSE)</f>
        <v>-</v>
      </c>
      <c r="N2070" s="52" t="str">
        <f>VLOOKUP(Tabla3[[#This Row],[Site]],'Important Info!'!$A$1:$F$135,4,FALSE)</f>
        <v>-</v>
      </c>
      <c r="O2070" s="52" t="str">
        <f>VLOOKUP(Tabla3[[#This Row],[Site]],'Important Info!'!$A$1:$F$135,5,FALSE)</f>
        <v>1, 7, 11</v>
      </c>
      <c r="P2070" s="52" t="str">
        <f>VLOOKUP(Tabla3[[#This Row],[Site]],'Important Info!'!$A$1:$F$135,6,FALSE)</f>
        <v>-</v>
      </c>
      <c r="Q2070" s="91">
        <f>VLOOKUP(Tabla3[[#This Row],[Site]],'Important Info!'!$A$1:$J$135,9,FALSE)</f>
        <v>145</v>
      </c>
    </row>
    <row r="2071" spans="1:17" x14ac:dyDescent="0.25">
      <c r="A2071" t="str">
        <f>+Tabla3[[#This Row],[Site]]&amp;Tabla3[[#This Row],[Split]]</f>
        <v>(ML) Mazda VW-Lot B21</v>
      </c>
      <c r="B2071">
        <v>21</v>
      </c>
      <c r="C2071">
        <v>18</v>
      </c>
      <c r="D2071" t="s">
        <v>33</v>
      </c>
      <c r="E2071" t="s">
        <v>46</v>
      </c>
      <c r="F2071" t="s">
        <v>9</v>
      </c>
      <c r="G2071" t="s">
        <v>34</v>
      </c>
      <c r="H2071" s="52" t="str">
        <f>VLOOKUP(Tabla3[[#This Row],[Site]],'Important Info!'!$A$1:$J$135,10,FALSE)</f>
        <v>https://tools.sig.systems/site/details/205</v>
      </c>
      <c r="I2071" s="2" t="s">
        <v>142</v>
      </c>
      <c r="J2071" t="s">
        <v>41</v>
      </c>
      <c r="K2071" s="79" t="str">
        <f>VLOOKUP(Tabla3[[#This Row],[Site]],'Important Info!'!$A$1:$H$135,8,FALSE)</f>
        <v>-</v>
      </c>
      <c r="L2071" s="52" t="str">
        <f>VLOOKUP(Tabla3[[#This Row],[Site]],'Important Info!'!$A$1:$F$135,2,FALSE)</f>
        <v>9, 14, 16</v>
      </c>
      <c r="M2071" s="52">
        <f>VLOOKUP(Tabla3[[#This Row],[Site]],'Important Info!'!$A$1:$F$135,3,FALSE)</f>
        <v>1</v>
      </c>
      <c r="N2071" s="52" t="str">
        <f>VLOOKUP(Tabla3[[#This Row],[Site]],'Important Info!'!$A$1:$F$135,4,FALSE)</f>
        <v>-</v>
      </c>
      <c r="O2071" s="52">
        <f>VLOOKUP(Tabla3[[#This Row],[Site]],'Important Info!'!$A$1:$F$135,5,FALSE)</f>
        <v>4</v>
      </c>
      <c r="P2071" s="52" t="str">
        <f>VLOOKUP(Tabla3[[#This Row],[Site]],'Important Info!'!$A$1:$F$135,6,FALSE)</f>
        <v>-</v>
      </c>
      <c r="Q2071" s="91">
        <f>VLOOKUP(Tabla3[[#This Row],[Site]],'Important Info!'!$A$1:$J$135,9,FALSE)</f>
        <v>205</v>
      </c>
    </row>
    <row r="2072" spans="1:17" x14ac:dyDescent="0.25">
      <c r="A2072" t="str">
        <f>+Tabla3[[#This Row],[Site]]&amp;Tabla3[[#This Row],[Split]]</f>
        <v>(AS) Park Place JLR DFW Airport (NO TOURS)21</v>
      </c>
      <c r="B2072">
        <v>21</v>
      </c>
      <c r="C2072">
        <v>19</v>
      </c>
      <c r="D2072" t="s">
        <v>33</v>
      </c>
      <c r="E2072" t="s">
        <v>46</v>
      </c>
      <c r="F2072" t="s">
        <v>516</v>
      </c>
      <c r="G2072" t="s">
        <v>34</v>
      </c>
      <c r="H2072" s="52" t="str">
        <f>VLOOKUP(Tabla3[[#This Row],[Site]],'Important Info!'!$A$1:$J$135,10,FALSE)</f>
        <v>https://tools.sig.systems/site/details/135</v>
      </c>
      <c r="J2072" t="s">
        <v>41</v>
      </c>
      <c r="K2072" s="79" t="str">
        <f>VLOOKUP(Tabla3[[#This Row],[Site]],'Important Info!'!$A$1:$H$135,8,FALSE)</f>
        <v>-</v>
      </c>
      <c r="L2072" s="52" t="str">
        <f>VLOOKUP(Tabla3[[#This Row],[Site]],'Important Info!'!$A$1:$F$135,2,FALSE)</f>
        <v>6, 7, 18</v>
      </c>
      <c r="M2072" s="52" t="str">
        <f>VLOOKUP(Tabla3[[#This Row],[Site]],'Important Info!'!$A$1:$F$135,3,FALSE)</f>
        <v>70, 79, 80</v>
      </c>
      <c r="N2072" s="52" t="str">
        <f>VLOOKUP(Tabla3[[#This Row],[Site]],'Important Info!'!$A$1:$F$135,4,FALSE)</f>
        <v>83, 84</v>
      </c>
      <c r="O2072" s="52" t="str">
        <f>VLOOKUP(Tabla3[[#This Row],[Site]],'Important Info!'!$A$1:$F$135,5,FALSE)</f>
        <v>3, 8, 14, 81</v>
      </c>
      <c r="P2072" s="52">
        <f>VLOOKUP(Tabla3[[#This Row],[Site]],'Important Info!'!$A$1:$F$135,6,FALSE)</f>
        <v>6</v>
      </c>
      <c r="Q2072" s="91">
        <f>VLOOKUP(Tabla3[[#This Row],[Site]],'Important Info!'!$A$1:$J$135,9,FALSE)</f>
        <v>135</v>
      </c>
    </row>
    <row r="2073" spans="1:17" x14ac:dyDescent="0.25">
      <c r="A2073" t="str">
        <f>+Tabla3[[#This Row],[Site]]&amp;Tabla3[[#This Row],[Split]]</f>
        <v>(AS) Stevinson Chevrolet Golden (NO TOURS)21</v>
      </c>
      <c r="B2073">
        <v>21</v>
      </c>
      <c r="C2073">
        <v>19</v>
      </c>
      <c r="D2073" t="s">
        <v>488</v>
      </c>
      <c r="E2073" t="s">
        <v>53</v>
      </c>
      <c r="F2073" t="s">
        <v>190</v>
      </c>
      <c r="G2073" t="s">
        <v>45</v>
      </c>
      <c r="H2073" s="52" t="str">
        <f>VLOOKUP(Tabla3[[#This Row],[Site]],'Important Info!'!$A$1:$J$135,10,FALSE)</f>
        <v>https://tools.sig.systems/site/details/264</v>
      </c>
      <c r="I2073" s="43" t="s">
        <v>154</v>
      </c>
      <c r="J2073" t="s">
        <v>41</v>
      </c>
      <c r="K2073" s="79" t="str">
        <f>VLOOKUP(Tabla3[[#This Row],[Site]],'Important Info!'!$A$1:$H$135,8,FALSE)</f>
        <v>-</v>
      </c>
      <c r="L2073" s="52" t="str">
        <f>VLOOKUP(Tabla3[[#This Row],[Site]],'Important Info!'!$A$1:$F$135,2,FALSE)</f>
        <v>-</v>
      </c>
      <c r="M2073" s="52" t="str">
        <f>VLOOKUP(Tabla3[[#This Row],[Site]],'Important Info!'!$A$1:$F$135,3,FALSE)</f>
        <v>1, 19</v>
      </c>
      <c r="N2073" s="52" t="str">
        <f>VLOOKUP(Tabla3[[#This Row],[Site]],'Important Info!'!$A$1:$F$135,4,FALSE)</f>
        <v>-</v>
      </c>
      <c r="O2073" s="52" t="str">
        <f>VLOOKUP(Tabla3[[#This Row],[Site]],'Important Info!'!$A$1:$F$135,5,FALSE)</f>
        <v>14, 30</v>
      </c>
      <c r="P2073" s="52" t="str">
        <f>VLOOKUP(Tabla3[[#This Row],[Site]],'Important Info!'!$A$1:$F$135,6,FALSE)</f>
        <v>14, 33, 34, 35, 36</v>
      </c>
      <c r="Q2073" s="91">
        <f>VLOOKUP(Tabla3[[#This Row],[Site]],'Important Info!'!$A$1:$J$135,9,FALSE)</f>
        <v>264</v>
      </c>
    </row>
    <row r="2074" spans="1:17" x14ac:dyDescent="0.25">
      <c r="A2074" t="str">
        <f>+Tabla3[[#This Row],[Site]]&amp;Tabla3[[#This Row],[Split]]</f>
        <v>(DT) Colorado Springs (NO TOURS)21</v>
      </c>
      <c r="B2074">
        <v>21</v>
      </c>
      <c r="C2074">
        <v>19</v>
      </c>
      <c r="D2074" t="s">
        <v>44</v>
      </c>
      <c r="E2074" t="s">
        <v>53</v>
      </c>
      <c r="F2074" t="s">
        <v>156</v>
      </c>
      <c r="G2074" t="s">
        <v>45</v>
      </c>
      <c r="H2074" s="52" t="str">
        <f>VLOOKUP(Tabla3[[#This Row],[Site]],'Important Info!'!$A$1:$J$135,10,FALSE)</f>
        <v>https://tools.sig.systems/site/details/198</v>
      </c>
      <c r="J2074" t="s">
        <v>41</v>
      </c>
      <c r="K2074" s="79" t="str">
        <f>VLOOKUP(Tabla3[[#This Row],[Site]],'Important Info!'!$A$1:$H$135,8,FALSE)</f>
        <v>-</v>
      </c>
      <c r="L2074" s="52" t="str">
        <f>VLOOKUP(Tabla3[[#This Row],[Site]],'Important Info!'!$A$1:$F$135,2,FALSE)</f>
        <v>-</v>
      </c>
      <c r="M2074" s="52" t="str">
        <f>VLOOKUP(Tabla3[[#This Row],[Site]],'Important Info!'!$A$1:$F$135,3,FALSE)</f>
        <v>1, 2, 3, 4</v>
      </c>
      <c r="N2074" s="52" t="str">
        <f>VLOOKUP(Tabla3[[#This Row],[Site]],'Important Info!'!$A$1:$F$135,4,FALSE)</f>
        <v>-</v>
      </c>
      <c r="O2074" s="52" t="str">
        <f>VLOOKUP(Tabla3[[#This Row],[Site]],'Important Info!'!$A$1:$F$135,5,FALSE)</f>
        <v>-</v>
      </c>
      <c r="P2074" s="52" t="str">
        <f>VLOOKUP(Tabla3[[#This Row],[Site]],'Important Info!'!$A$1:$F$135,6,FALSE)</f>
        <v>1, 2, 3, 11</v>
      </c>
      <c r="Q2074" s="91">
        <f>VLOOKUP(Tabla3[[#This Row],[Site]],'Important Info!'!$A$1:$J$135,9,FALSE)</f>
        <v>198</v>
      </c>
    </row>
    <row r="2075" spans="1:17" x14ac:dyDescent="0.25">
      <c r="A2075" t="str">
        <f>+Tabla3[[#This Row],[Site]]&amp;Tabla3[[#This Row],[Split]]</f>
        <v>(KG) Clear Lake Pre-Owned21</v>
      </c>
      <c r="B2075">
        <v>21</v>
      </c>
      <c r="C2075">
        <v>19</v>
      </c>
      <c r="D2075" t="s">
        <v>33</v>
      </c>
      <c r="E2075" t="s">
        <v>46</v>
      </c>
      <c r="F2075" t="s">
        <v>87</v>
      </c>
      <c r="G2075" t="s">
        <v>34</v>
      </c>
      <c r="H2075" s="52" t="str">
        <f>VLOOKUP(Tabla3[[#This Row],[Site]],'Important Info!'!$A$1:$J$135,10,FALSE)</f>
        <v>https://tools.sig.systems/site/details/255</v>
      </c>
      <c r="I2075" s="43" t="s">
        <v>134</v>
      </c>
      <c r="J2075" t="s">
        <v>41</v>
      </c>
      <c r="K2075" s="79" t="str">
        <f>VLOOKUP(Tabla3[[#This Row],[Site]],'Important Info!'!$A$1:$H$135,8,FALSE)</f>
        <v>-</v>
      </c>
      <c r="L2075" s="52" t="str">
        <f>VLOOKUP(Tabla3[[#This Row],[Site]],'Important Info!'!$A$1:$F$135,2,FALSE)</f>
        <v>3, 5</v>
      </c>
      <c r="M2075" s="52" t="str">
        <f>VLOOKUP(Tabla3[[#This Row],[Site]],'Important Info!'!$A$1:$F$135,3,FALSE)</f>
        <v>-</v>
      </c>
      <c r="N2075" s="52" t="str">
        <f>VLOOKUP(Tabla3[[#This Row],[Site]],'Important Info!'!$A$1:$F$135,4,FALSE)</f>
        <v>-</v>
      </c>
      <c r="O2075" s="52" t="str">
        <f>VLOOKUP(Tabla3[[#This Row],[Site]],'Important Info!'!$A$1:$F$135,5,FALSE)</f>
        <v>4, 10, 22</v>
      </c>
      <c r="P2075" s="52" t="str">
        <f>VLOOKUP(Tabla3[[#This Row],[Site]],'Important Info!'!$A$1:$F$135,6,FALSE)</f>
        <v>8, 15, 20</v>
      </c>
      <c r="Q2075" s="91">
        <f>VLOOKUP(Tabla3[[#This Row],[Site]],'Important Info!'!$A$1:$J$135,9,FALSE)</f>
        <v>255</v>
      </c>
    </row>
    <row r="2076" spans="1:17" x14ac:dyDescent="0.25">
      <c r="A2076" t="str">
        <f>+Tabla3[[#This Row],[Site]]&amp;Tabla3[[#This Row],[Split]]</f>
        <v>(ML) Collision Center N Little Rock21</v>
      </c>
      <c r="B2076">
        <v>21</v>
      </c>
      <c r="C2076">
        <v>19</v>
      </c>
      <c r="D2076" t="s">
        <v>33</v>
      </c>
      <c r="E2076" t="s">
        <v>46</v>
      </c>
      <c r="F2076" t="s">
        <v>141</v>
      </c>
      <c r="G2076" t="s">
        <v>34</v>
      </c>
      <c r="H2076" s="52" t="str">
        <f>VLOOKUP(Tabla3[[#This Row],[Site]],'Important Info!'!$A$1:$J$135,10,FALSE)</f>
        <v>https://tools.sig.systems/site/details/212</v>
      </c>
      <c r="I2076" s="2" t="s">
        <v>142</v>
      </c>
      <c r="J2076" t="s">
        <v>41</v>
      </c>
      <c r="K2076" s="79" t="str">
        <f>VLOOKUP(Tabla3[[#This Row],[Site]],'Important Info!'!$A$1:$H$135,8,FALSE)</f>
        <v>-</v>
      </c>
      <c r="L2076" s="52" t="str">
        <f>VLOOKUP(Tabla3[[#This Row],[Site]],'Important Info!'!$A$1:$F$135,2,FALSE)</f>
        <v>-</v>
      </c>
      <c r="M2076" s="52" t="str">
        <f>VLOOKUP(Tabla3[[#This Row],[Site]],'Important Info!'!$A$1:$F$135,3,FALSE)</f>
        <v>-</v>
      </c>
      <c r="N2076" s="52" t="str">
        <f>VLOOKUP(Tabla3[[#This Row],[Site]],'Important Info!'!$A$1:$F$135,4,FALSE)</f>
        <v>-</v>
      </c>
      <c r="O2076" s="52" t="str">
        <f>VLOOKUP(Tabla3[[#This Row],[Site]],'Important Info!'!$A$1:$F$135,5,FALSE)</f>
        <v>-</v>
      </c>
      <c r="P2076" s="52" t="str">
        <f>VLOOKUP(Tabla3[[#This Row],[Site]],'Important Info!'!$A$1:$F$135,6,FALSE)</f>
        <v>1, 3, 7, 8</v>
      </c>
      <c r="Q2076" s="91">
        <f>VLOOKUP(Tabla3[[#This Row],[Site]],'Important Info!'!$A$1:$J$135,9,FALSE)</f>
        <v>212</v>
      </c>
    </row>
    <row r="2077" spans="1:17" x14ac:dyDescent="0.25">
      <c r="A2077" t="str">
        <f>+Tabla3[[#This Row],[Site]]&amp;Tabla3[[#This Row],[Split]]</f>
        <v>(RV) Toms Camperland Surprise (NO TOURS)21</v>
      </c>
      <c r="B2077">
        <v>21</v>
      </c>
      <c r="C2077">
        <v>19</v>
      </c>
      <c r="D2077" t="s">
        <v>51</v>
      </c>
      <c r="E2077" t="s">
        <v>161</v>
      </c>
      <c r="F2077" t="s">
        <v>165</v>
      </c>
      <c r="G2077" t="s">
        <v>52</v>
      </c>
      <c r="H2077" s="52" t="str">
        <f>VLOOKUP(Tabla3[[#This Row],[Site]],'Important Info!'!$A$1:$J$135,10,FALSE)</f>
        <v>https://tools.sig.systems/site/details/254</v>
      </c>
      <c r="I2077" s="43"/>
      <c r="J2077" t="s">
        <v>52</v>
      </c>
      <c r="K2077" s="79" t="str">
        <f>VLOOKUP(Tabla3[[#This Row],[Site]],'Important Info!'!$A$1:$H$135,8,FALSE)</f>
        <v>-</v>
      </c>
      <c r="L2077" s="52" t="str">
        <f>VLOOKUP(Tabla3[[#This Row],[Site]],'Important Info!'!$A$1:$F$135,2,FALSE)</f>
        <v>1, 3, 4</v>
      </c>
      <c r="M2077" s="52" t="str">
        <f>VLOOKUP(Tabla3[[#This Row],[Site]],'Important Info!'!$A$1:$F$135,3,FALSE)</f>
        <v>-</v>
      </c>
      <c r="N2077" s="52" t="str">
        <f>VLOOKUP(Tabla3[[#This Row],[Site]],'Important Info!'!$A$1:$F$135,4,FALSE)</f>
        <v>-</v>
      </c>
      <c r="O2077" s="52" t="str">
        <f>VLOOKUP(Tabla3[[#This Row],[Site]],'Important Info!'!$A$1:$F$135,5,FALSE)</f>
        <v>-</v>
      </c>
      <c r="P2077" s="52" t="str">
        <f>VLOOKUP(Tabla3[[#This Row],[Site]],'Important Info!'!$A$1:$F$135,6,FALSE)</f>
        <v>1, 2, 3, 4, 15</v>
      </c>
      <c r="Q2077" s="91">
        <f>VLOOKUP(Tabla3[[#This Row],[Site]],'Important Info!'!$A$1:$J$135,9,FALSE)</f>
        <v>254</v>
      </c>
    </row>
    <row r="2078" spans="1:17" x14ac:dyDescent="0.25">
      <c r="A2078" t="str">
        <f>+Tabla3[[#This Row],[Site]]&amp;Tabla3[[#This Row],[Split]]</f>
        <v>(AS) Courtesy CDJR of Brandon (NO TOURS)21</v>
      </c>
      <c r="B2078">
        <v>21</v>
      </c>
      <c r="C2078">
        <v>20</v>
      </c>
      <c r="D2078" t="s">
        <v>62</v>
      </c>
      <c r="E2078" t="s">
        <v>35</v>
      </c>
      <c r="F2078" t="s">
        <v>503</v>
      </c>
      <c r="G2078" t="s">
        <v>490</v>
      </c>
      <c r="H2078" s="52" t="str">
        <f>VLOOKUP(Tabla3[[#This Row],[Site]],'Important Info!'!$A$1:$J$135,10,FALSE)</f>
        <v>https://tools.sig.systems/site/details/126</v>
      </c>
      <c r="I2078" s="2" t="s">
        <v>181</v>
      </c>
      <c r="J2078" t="s">
        <v>484</v>
      </c>
      <c r="K2078" s="79" t="str">
        <f>VLOOKUP(Tabla3[[#This Row],[Site]],'Important Info!'!$A$1:$H$135,8,FALSE)</f>
        <v>-</v>
      </c>
      <c r="L2078" s="52" t="str">
        <f>VLOOKUP(Tabla3[[#This Row],[Site]],'Important Info!'!$A$1:$F$135,2,FALSE)</f>
        <v>1, 14, 15</v>
      </c>
      <c r="M2078" s="52">
        <f>VLOOKUP(Tabla3[[#This Row],[Site]],'Important Info!'!$A$1:$F$135,3,FALSE)</f>
        <v>1</v>
      </c>
      <c r="N2078" s="52" t="str">
        <f>VLOOKUP(Tabla3[[#This Row],[Site]],'Important Info!'!$A$1:$F$135,4,FALSE)</f>
        <v>-</v>
      </c>
      <c r="O2078" s="52" t="str">
        <f>VLOOKUP(Tabla3[[#This Row],[Site]],'Important Info!'!$A$1:$F$135,5,FALSE)</f>
        <v>2, 12</v>
      </c>
      <c r="P2078" s="52" t="str">
        <f>VLOOKUP(Tabla3[[#This Row],[Site]],'Important Info!'!$A$1:$F$135,6,FALSE)</f>
        <v xml:space="preserve">1, 2, 3, 4, 14, 15, 21, 25 </v>
      </c>
      <c r="Q2078" s="91">
        <f>VLOOKUP(Tabla3[[#This Row],[Site]],'Important Info!'!$A$1:$J$135,9,FALSE)</f>
        <v>126</v>
      </c>
    </row>
    <row r="2079" spans="1:17" x14ac:dyDescent="0.25">
      <c r="A2079" t="str">
        <f>+Tabla3[[#This Row],[Site]]&amp;Tabla3[[#This Row],[Split]]</f>
        <v>(KG) Big Star CDJR of Clear Lake21</v>
      </c>
      <c r="B2079">
        <v>21</v>
      </c>
      <c r="C2079">
        <v>20</v>
      </c>
      <c r="D2079" t="s">
        <v>33</v>
      </c>
      <c r="E2079" t="s">
        <v>46</v>
      </c>
      <c r="F2079" t="s">
        <v>133</v>
      </c>
      <c r="G2079" t="s">
        <v>34</v>
      </c>
      <c r="H2079" s="52" t="str">
        <f>VLOOKUP(Tabla3[[#This Row],[Site]],'Important Info!'!$A$1:$J$135,10,FALSE)</f>
        <v>https://tools.sig.systems/site/details/232</v>
      </c>
      <c r="I2079" s="2" t="s">
        <v>134</v>
      </c>
      <c r="J2079" t="s">
        <v>41</v>
      </c>
      <c r="K2079" s="79" t="str">
        <f>VLOOKUP(Tabla3[[#This Row],[Site]],'Important Info!'!$A$1:$H$135,8,FALSE)</f>
        <v>-</v>
      </c>
      <c r="L2079" s="52" t="str">
        <f>VLOOKUP(Tabla3[[#This Row],[Site]],'Important Info!'!$A$1:$F$135,2,FALSE)</f>
        <v>8, 25</v>
      </c>
      <c r="M2079" s="52" t="str">
        <f>VLOOKUP(Tabla3[[#This Row],[Site]],'Important Info!'!$A$1:$F$135,3,FALSE)</f>
        <v>-</v>
      </c>
      <c r="N2079" s="52" t="str">
        <f>VLOOKUP(Tabla3[[#This Row],[Site]],'Important Info!'!$A$1:$F$135,4,FALSE)</f>
        <v>-</v>
      </c>
      <c r="O2079" s="52" t="str">
        <f>VLOOKUP(Tabla3[[#This Row],[Site]],'Important Info!'!$A$1:$F$135,5,FALSE)</f>
        <v>7, 13, 19, 24</v>
      </c>
      <c r="P2079" s="52" t="str">
        <f>VLOOKUP(Tabla3[[#This Row],[Site]],'Important Info!'!$A$1:$F$135,6,FALSE)</f>
        <v>6, 8, 25, 31</v>
      </c>
      <c r="Q2079" s="91">
        <f>VLOOKUP(Tabla3[[#This Row],[Site]],'Important Info!'!$A$1:$J$135,9,FALSE)</f>
        <v>232</v>
      </c>
    </row>
    <row r="2080" spans="1:17" x14ac:dyDescent="0.25">
      <c r="A2080" t="str">
        <f>+Tabla3[[#This Row],[Site]]&amp;Tabla3[[#This Row],[Split]]</f>
        <v>(KG) Hyundai Surprise21</v>
      </c>
      <c r="B2080">
        <v>21</v>
      </c>
      <c r="C2080">
        <v>20</v>
      </c>
      <c r="D2080" t="s">
        <v>51</v>
      </c>
      <c r="E2080" t="s">
        <v>161</v>
      </c>
      <c r="F2080" t="s">
        <v>118</v>
      </c>
      <c r="G2080" t="s">
        <v>52</v>
      </c>
      <c r="H2080" s="52" t="str">
        <f>VLOOKUP(Tabla3[[#This Row],[Site]],'Important Info!'!$A$1:$J$135,10,FALSE)</f>
        <v>https://tools.sig.systems/site/details/269</v>
      </c>
      <c r="I2080" s="2"/>
      <c r="J2080" t="s">
        <v>162</v>
      </c>
      <c r="K2080" s="79" t="str">
        <f>VLOOKUP(Tabla3[[#This Row],[Site]],'Important Info!'!$A$1:$H$135,8,FALSE)</f>
        <v>-</v>
      </c>
      <c r="L2080" s="52" t="str">
        <f>VLOOKUP(Tabla3[[#This Row],[Site]],'Important Info!'!$A$1:$F$135,2,FALSE)</f>
        <v>1, 6, 7</v>
      </c>
      <c r="M2080" s="52" t="str">
        <f>VLOOKUP(Tabla3[[#This Row],[Site]],'Important Info!'!$A$1:$F$135,3,FALSE)</f>
        <v>-</v>
      </c>
      <c r="N2080" s="52" t="str">
        <f>VLOOKUP(Tabla3[[#This Row],[Site]],'Important Info!'!$A$1:$F$135,4,FALSE)</f>
        <v>-</v>
      </c>
      <c r="O2080" s="52" t="str">
        <f>VLOOKUP(Tabla3[[#This Row],[Site]],'Important Info!'!$A$1:$F$135,5,FALSE)</f>
        <v>6, 13</v>
      </c>
      <c r="P2080" s="52" t="str">
        <f>VLOOKUP(Tabla3[[#This Row],[Site]],'Important Info!'!$A$1:$F$135,6,FALSE)</f>
        <v>-</v>
      </c>
      <c r="Q2080" s="91">
        <f>VLOOKUP(Tabla3[[#This Row],[Site]],'Important Info!'!$A$1:$J$135,9,FALSE)</f>
        <v>269</v>
      </c>
    </row>
    <row r="2081" spans="1:17" x14ac:dyDescent="0.25">
      <c r="A2081" t="str">
        <f>+Tabla3[[#This Row],[Site]]&amp;Tabla3[[#This Row],[Split]]</f>
        <v>(ML) Ford Lincoln of North Little Rock21</v>
      </c>
      <c r="B2081">
        <v>21</v>
      </c>
      <c r="C2081">
        <v>20</v>
      </c>
      <c r="D2081" t="s">
        <v>33</v>
      </c>
      <c r="E2081" t="s">
        <v>46</v>
      </c>
      <c r="F2081" t="s">
        <v>145</v>
      </c>
      <c r="G2081" t="s">
        <v>34</v>
      </c>
      <c r="H2081" s="52" t="str">
        <f>VLOOKUP(Tabla3[[#This Row],[Site]],'Important Info!'!$A$1:$J$135,10,FALSE)</f>
        <v>https://tools.sig.systems/site/details/214</v>
      </c>
      <c r="I2081" s="2" t="s">
        <v>142</v>
      </c>
      <c r="J2081" t="s">
        <v>41</v>
      </c>
      <c r="K2081" s="79" t="str">
        <f>VLOOKUP(Tabla3[[#This Row],[Site]],'Important Info!'!$A$1:$H$135,8,FALSE)</f>
        <v>-</v>
      </c>
      <c r="L2081" s="52" t="str">
        <f>VLOOKUP(Tabla3[[#This Row],[Site]],'Important Info!'!$A$1:$F$135,2,FALSE)</f>
        <v>4, 15, 18, 67, 74</v>
      </c>
      <c r="M2081" s="52">
        <f>VLOOKUP(Tabla3[[#This Row],[Site]],'Important Info!'!$A$1:$F$135,3,FALSE)</f>
        <v>13</v>
      </c>
      <c r="N2081" s="52" t="str">
        <f>VLOOKUP(Tabla3[[#This Row],[Site]],'Important Info!'!$A$1:$F$135,4,FALSE)</f>
        <v>-</v>
      </c>
      <c r="O2081" s="52" t="str">
        <f>VLOOKUP(Tabla3[[#This Row],[Site]],'Important Info!'!$A$1:$F$135,5,FALSE)</f>
        <v>4, 11, 16, 28</v>
      </c>
      <c r="P2081" s="52" t="str">
        <f>VLOOKUP(Tabla3[[#This Row],[Site]],'Important Info!'!$A$1:$F$135,6,FALSE)</f>
        <v>10, 11, 12</v>
      </c>
      <c r="Q2081" s="91">
        <f>VLOOKUP(Tabla3[[#This Row],[Site]],'Important Info!'!$A$1:$J$135,9,FALSE)</f>
        <v>214</v>
      </c>
    </row>
    <row r="2082" spans="1:17" x14ac:dyDescent="0.25">
      <c r="A2082" t="str">
        <f>+Tabla3[[#This Row],[Site]]&amp;Tabla3[[#This Row],[Split]]</f>
        <v>(PE) BMW Tenafly (NO TOURS)21</v>
      </c>
      <c r="B2082">
        <v>21</v>
      </c>
      <c r="C2082">
        <v>20</v>
      </c>
      <c r="D2082" t="s">
        <v>485</v>
      </c>
      <c r="E2082" t="s">
        <v>35</v>
      </c>
      <c r="F2082" t="s">
        <v>173</v>
      </c>
      <c r="G2082" t="s">
        <v>490</v>
      </c>
      <c r="H2082" s="52" t="str">
        <f>VLOOKUP(Tabla3[[#This Row],[Site]],'Important Info!'!$A$1:$J$135,10,FALSE)</f>
        <v>https://tools.sig.systems/site/details/155</v>
      </c>
      <c r="I2082" s="2"/>
      <c r="J2082" t="s">
        <v>41</v>
      </c>
      <c r="K2082" s="79" t="str">
        <f>VLOOKUP(Tabla3[[#This Row],[Site]],'Important Info!'!$A$1:$H$135,8,FALSE)</f>
        <v>-</v>
      </c>
      <c r="L2082" s="52">
        <f>VLOOKUP(Tabla3[[#This Row],[Site]],'Important Info!'!$A$1:$F$135,2,FALSE)</f>
        <v>24</v>
      </c>
      <c r="M2082" s="52" t="str">
        <f>VLOOKUP(Tabla3[[#This Row],[Site]],'Important Info!'!$A$1:$F$135,3,FALSE)</f>
        <v>1, 3, 4, 17, 23</v>
      </c>
      <c r="N2082" s="52" t="str">
        <f>VLOOKUP(Tabla3[[#This Row],[Site]],'Important Info!'!$A$1:$F$135,4,FALSE)</f>
        <v>-</v>
      </c>
      <c r="O2082" s="52" t="str">
        <f>VLOOKUP(Tabla3[[#This Row],[Site]],'Important Info!'!$A$1:$F$135,5,FALSE)</f>
        <v>-</v>
      </c>
      <c r="P2082" s="52">
        <f>VLOOKUP(Tabla3[[#This Row],[Site]],'Important Info!'!$A$1:$F$135,6,FALSE)</f>
        <v>1</v>
      </c>
      <c r="Q2082" s="91">
        <f>VLOOKUP(Tabla3[[#This Row],[Site]],'Important Info!'!$A$1:$J$135,9,FALSE)</f>
        <v>155</v>
      </c>
    </row>
    <row r="2083" spans="1:17" x14ac:dyDescent="0.25">
      <c r="A2083" t="str">
        <f>+Tabla3[[#This Row],[Site]]&amp;Tabla3[[#This Row],[Split]]</f>
        <v>(AS) Stevinson Lexus of Lakewood (NO TOURS)21</v>
      </c>
      <c r="B2083">
        <v>21</v>
      </c>
      <c r="C2083">
        <v>21</v>
      </c>
      <c r="D2083" t="s">
        <v>44</v>
      </c>
      <c r="E2083" t="s">
        <v>53</v>
      </c>
      <c r="F2083" t="s">
        <v>523</v>
      </c>
      <c r="G2083" t="s">
        <v>45</v>
      </c>
      <c r="H2083" s="52" t="str">
        <f>VLOOKUP(Tabla3[[#This Row],[Site]],'Important Info!'!$A$1:$J$135,10,FALSE)</f>
        <v>https://tools.sig.systems/site/details/260</v>
      </c>
      <c r="I2083" s="2" t="s">
        <v>154</v>
      </c>
      <c r="J2083" t="s">
        <v>41</v>
      </c>
      <c r="K2083" s="79" t="str">
        <f>VLOOKUP(Tabla3[[#This Row],[Site]],'Important Info!'!$A$1:$H$135,8,FALSE)</f>
        <v>-</v>
      </c>
      <c r="L2083" s="52" t="str">
        <f>VLOOKUP(Tabla3[[#This Row],[Site]],'Important Info!'!$A$1:$F$135,2,FALSE)</f>
        <v>-</v>
      </c>
      <c r="M2083" s="52" t="str">
        <f>VLOOKUP(Tabla3[[#This Row],[Site]],'Important Info!'!$A$1:$F$135,3,FALSE)</f>
        <v>2, 10</v>
      </c>
      <c r="N2083" s="52" t="str">
        <f>VLOOKUP(Tabla3[[#This Row],[Site]],'Important Info!'!$A$1:$F$135,4,FALSE)</f>
        <v>9, 17</v>
      </c>
      <c r="O2083" s="52" t="str">
        <f>VLOOKUP(Tabla3[[#This Row],[Site]],'Important Info!'!$A$1:$F$135,5,FALSE)</f>
        <v>-</v>
      </c>
      <c r="P2083" s="52" t="str">
        <f>VLOOKUP(Tabla3[[#This Row],[Site]],'Important Info!'!$A$1:$F$135,6,FALSE)</f>
        <v>1, 2</v>
      </c>
      <c r="Q2083" s="91">
        <f>VLOOKUP(Tabla3[[#This Row],[Site]],'Important Info!'!$A$1:$J$135,9,FALSE)</f>
        <v>260</v>
      </c>
    </row>
    <row r="2084" spans="1:17" x14ac:dyDescent="0.25">
      <c r="A2084" t="str">
        <f>+Tabla3[[#This Row],[Site]]&amp;Tabla3[[#This Row],[Split]]</f>
        <v>(DT) N. Houston21</v>
      </c>
      <c r="B2084">
        <v>21</v>
      </c>
      <c r="C2084">
        <v>21</v>
      </c>
      <c r="D2084" t="s">
        <v>33</v>
      </c>
      <c r="E2084" t="s">
        <v>46</v>
      </c>
      <c r="F2084" t="s">
        <v>68</v>
      </c>
      <c r="G2084" t="s">
        <v>34</v>
      </c>
      <c r="H2084" s="52" t="str">
        <f>VLOOKUP(Tabla3[[#This Row],[Site]],'Important Info!'!$A$1:$J$135,10,FALSE)</f>
        <v>https://tools.sig.systems/site/details/250</v>
      </c>
      <c r="I2084" s="43"/>
      <c r="J2084" t="s">
        <v>41</v>
      </c>
      <c r="K2084" s="79" t="str">
        <f>VLOOKUP(Tabla3[[#This Row],[Site]],'Important Info!'!$A$1:$H$135,8,FALSE)</f>
        <v>-</v>
      </c>
      <c r="L2084" s="52" t="str">
        <f>VLOOKUP(Tabla3[[#This Row],[Site]],'Important Info!'!$A$1:$F$135,2,FALSE)</f>
        <v>2, 10, 18</v>
      </c>
      <c r="M2084" s="52" t="str">
        <f>VLOOKUP(Tabla3[[#This Row],[Site]],'Important Info!'!$A$1:$F$135,3,FALSE)</f>
        <v>-</v>
      </c>
      <c r="N2084" s="52" t="str">
        <f>VLOOKUP(Tabla3[[#This Row],[Site]],'Important Info!'!$A$1:$F$135,4,FALSE)</f>
        <v>-</v>
      </c>
      <c r="O2084" s="52">
        <f>VLOOKUP(Tabla3[[#This Row],[Site]],'Important Info!'!$A$1:$F$135,5,FALSE)</f>
        <v>15</v>
      </c>
      <c r="P2084" s="52" t="str">
        <f>VLOOKUP(Tabla3[[#This Row],[Site]],'Important Info!'!$A$1:$F$135,6,FALSE)</f>
        <v>2, 4, 18</v>
      </c>
      <c r="Q2084" s="91">
        <f>VLOOKUP(Tabla3[[#This Row],[Site]],'Important Info!'!$A$1:$J$135,9,FALSE)</f>
        <v>250</v>
      </c>
    </row>
    <row r="2085" spans="1:17" x14ac:dyDescent="0.25">
      <c r="A2085" t="str">
        <f>+Tabla3[[#This Row],[Site]]&amp;Tabla3[[#This Row],[Split]]</f>
        <v>(KG) Kia of Phoenix (NO TOURS)21</v>
      </c>
      <c r="B2085">
        <v>21</v>
      </c>
      <c r="C2085">
        <v>21</v>
      </c>
      <c r="D2085" t="s">
        <v>51</v>
      </c>
      <c r="E2085" t="s">
        <v>161</v>
      </c>
      <c r="F2085" t="s">
        <v>94</v>
      </c>
      <c r="G2085" t="s">
        <v>52</v>
      </c>
      <c r="H2085" s="52" t="str">
        <f>VLOOKUP(Tabla3[[#This Row],[Site]],'Important Info!'!$A$1:$J$135,10,FALSE)</f>
        <v>https://tools.sig.systems/site/details/262</v>
      </c>
      <c r="J2085" t="s">
        <v>162</v>
      </c>
      <c r="K2085" s="79" t="str">
        <f>VLOOKUP(Tabla3[[#This Row],[Site]],'Important Info!'!$A$1:$H$135,8,FALSE)</f>
        <v>-</v>
      </c>
      <c r="L2085" s="52" t="str">
        <f>VLOOKUP(Tabla3[[#This Row],[Site]],'Important Info!'!$A$1:$F$135,2,FALSE)</f>
        <v>5, 8, 23</v>
      </c>
      <c r="M2085" s="52" t="str">
        <f>VLOOKUP(Tabla3[[#This Row],[Site]],'Important Info!'!$A$1:$F$135,3,FALSE)</f>
        <v>-</v>
      </c>
      <c r="N2085" s="52" t="str">
        <f>VLOOKUP(Tabla3[[#This Row],[Site]],'Important Info!'!$A$1:$F$135,4,FALSE)</f>
        <v>-</v>
      </c>
      <c r="O2085" s="52">
        <f>VLOOKUP(Tabla3[[#This Row],[Site]],'Important Info!'!$A$1:$F$135,5,FALSE)</f>
        <v>4</v>
      </c>
      <c r="P2085" s="52" t="str">
        <f>VLOOKUP(Tabla3[[#This Row],[Site]],'Important Info!'!$A$1:$F$135,6,FALSE)</f>
        <v>-</v>
      </c>
      <c r="Q2085" s="91">
        <f>VLOOKUP(Tabla3[[#This Row],[Site]],'Important Info!'!$A$1:$J$135,9,FALSE)</f>
        <v>262</v>
      </c>
    </row>
    <row r="2086" spans="1:17" x14ac:dyDescent="0.25">
      <c r="A2086" t="str">
        <f>+Tabla3[[#This Row],[Site]]&amp;Tabla3[[#This Row],[Split]]</f>
        <v>(KT) Northwest CDJR (NO TOURS)21</v>
      </c>
      <c r="B2086">
        <v>21</v>
      </c>
      <c r="C2086">
        <v>21</v>
      </c>
      <c r="D2086" t="s">
        <v>33</v>
      </c>
      <c r="E2086" t="s">
        <v>46</v>
      </c>
      <c r="F2086" t="s">
        <v>77</v>
      </c>
      <c r="G2086" t="s">
        <v>34</v>
      </c>
      <c r="H2086" s="52" t="str">
        <f>VLOOKUP(Tabla3[[#This Row],[Site]],'Important Info!'!$A$1:$J$135,10,FALSE)</f>
        <v>https://tools.sig.systems/site/details/229</v>
      </c>
      <c r="I2086" s="43"/>
      <c r="J2086" t="s">
        <v>41</v>
      </c>
      <c r="K2086" s="79" t="str">
        <f>VLOOKUP(Tabla3[[#This Row],[Site]],'Important Info!'!$A$1:$H$135,8,FALSE)</f>
        <v>-</v>
      </c>
      <c r="L2086" s="52" t="str">
        <f>VLOOKUP(Tabla3[[#This Row],[Site]],'Important Info!'!$A$1:$F$135,2,FALSE)</f>
        <v>1, 3, 11, 25</v>
      </c>
      <c r="M2086" s="52" t="str">
        <f>VLOOKUP(Tabla3[[#This Row],[Site]],'Important Info!'!$A$1:$F$135,3,FALSE)</f>
        <v>-</v>
      </c>
      <c r="N2086" s="52" t="str">
        <f>VLOOKUP(Tabla3[[#This Row],[Site]],'Important Info!'!$A$1:$F$135,4,FALSE)</f>
        <v>-</v>
      </c>
      <c r="O2086" s="52" t="str">
        <f>VLOOKUP(Tabla3[[#This Row],[Site]],'Important Info!'!$A$1:$F$135,5,FALSE)</f>
        <v>4, 12, 18</v>
      </c>
      <c r="P2086" s="52" t="str">
        <f>VLOOKUP(Tabla3[[#This Row],[Site]],'Important Info!'!$A$1:$F$135,6,FALSE)</f>
        <v>-</v>
      </c>
      <c r="Q2086" s="91">
        <f>VLOOKUP(Tabla3[[#This Row],[Site]],'Important Info!'!$A$1:$J$135,9,FALSE)</f>
        <v>229</v>
      </c>
    </row>
    <row r="2087" spans="1:17" x14ac:dyDescent="0.25">
      <c r="A2087" t="str">
        <f>+Tabla3[[#This Row],[Site]]&amp;Tabla3[[#This Row],[Split]]</f>
        <v>(ML) Toyota N Little Rock21</v>
      </c>
      <c r="B2087">
        <v>21</v>
      </c>
      <c r="C2087">
        <v>21</v>
      </c>
      <c r="D2087" t="s">
        <v>33</v>
      </c>
      <c r="E2087" t="s">
        <v>46</v>
      </c>
      <c r="F2087" t="s">
        <v>76</v>
      </c>
      <c r="G2087" t="s">
        <v>34</v>
      </c>
      <c r="H2087" s="52" t="str">
        <f>VLOOKUP(Tabla3[[#This Row],[Site]],'Important Info!'!$A$1:$J$135,10,FALSE)</f>
        <v>https://tools.sig.systems/site/details/201</v>
      </c>
      <c r="I2087" s="2" t="s">
        <v>142</v>
      </c>
      <c r="J2087" t="s">
        <v>41</v>
      </c>
      <c r="K2087" s="79" t="str">
        <f>VLOOKUP(Tabla3[[#This Row],[Site]],'Important Info!'!$A$1:$H$135,8,FALSE)</f>
        <v>-</v>
      </c>
      <c r="L2087" s="52" t="str">
        <f>VLOOKUP(Tabla3[[#This Row],[Site]],'Important Info!'!$A$1:$F$135,2,FALSE)</f>
        <v>4, 15, 18, 22, 23, 26</v>
      </c>
      <c r="M2087" s="52" t="str">
        <f>VLOOKUP(Tabla3[[#This Row],[Site]],'Important Info!'!$A$1:$F$135,3,FALSE)</f>
        <v>-</v>
      </c>
      <c r="N2087" s="52" t="str">
        <f>VLOOKUP(Tabla3[[#This Row],[Site]],'Important Info!'!$A$1:$F$135,4,FALSE)</f>
        <v>-</v>
      </c>
      <c r="O2087" s="52" t="str">
        <f>VLOOKUP(Tabla3[[#This Row],[Site]],'Important Info!'!$A$1:$F$135,5,FALSE)</f>
        <v>2, 12, 13, 18</v>
      </c>
      <c r="P2087" s="52" t="str">
        <f>VLOOKUP(Tabla3[[#This Row],[Site]],'Important Info!'!$A$1:$F$135,6,FALSE)</f>
        <v>-</v>
      </c>
      <c r="Q2087" s="91">
        <f>VLOOKUP(Tabla3[[#This Row],[Site]],'Important Info!'!$A$1:$J$135,9,FALSE)</f>
        <v>201</v>
      </c>
    </row>
    <row r="2088" spans="1:17" x14ac:dyDescent="0.25">
      <c r="A2088" t="str">
        <f>+Tabla3[[#This Row],[Site]]&amp;Tabla3[[#This Row],[Split]]</f>
        <v>(RV) Sonny's Camp N Travel Concord21</v>
      </c>
      <c r="B2088">
        <v>21</v>
      </c>
      <c r="C2088">
        <v>21</v>
      </c>
      <c r="D2088" t="s">
        <v>62</v>
      </c>
      <c r="E2088" t="s">
        <v>35</v>
      </c>
      <c r="F2088" t="s">
        <v>188</v>
      </c>
      <c r="G2088" t="s">
        <v>490</v>
      </c>
      <c r="H2088" s="52" t="str">
        <f>VLOOKUP(Tabla3[[#This Row],[Site]],'Important Info!'!$A$1:$J$135,10,FALSE)</f>
        <v>https://tools.sig.systems/site/details/183</v>
      </c>
      <c r="J2088" t="s">
        <v>41</v>
      </c>
      <c r="K2088" s="79" t="str">
        <f>VLOOKUP(Tabla3[[#This Row],[Site]],'Important Info!'!$A$1:$H$135,8,FALSE)</f>
        <v>-</v>
      </c>
      <c r="L2088" s="52">
        <f>VLOOKUP(Tabla3[[#This Row],[Site]],'Important Info!'!$A$1:$F$135,2,FALSE)</f>
        <v>1</v>
      </c>
      <c r="M2088" s="52" t="str">
        <f>VLOOKUP(Tabla3[[#This Row],[Site]],'Important Info!'!$A$1:$F$135,3,FALSE)</f>
        <v>-</v>
      </c>
      <c r="N2088" s="52" t="str">
        <f>VLOOKUP(Tabla3[[#This Row],[Site]],'Important Info!'!$A$1:$F$135,4,FALSE)</f>
        <v>-</v>
      </c>
      <c r="O2088" s="52">
        <f>VLOOKUP(Tabla3[[#This Row],[Site]],'Important Info!'!$A$1:$F$135,5,FALSE)</f>
        <v>7</v>
      </c>
      <c r="P2088" s="52" t="str">
        <f>VLOOKUP(Tabla3[[#This Row],[Site]],'Important Info!'!$A$1:$F$135,6,FALSE)</f>
        <v>6, 7, 8, 9</v>
      </c>
      <c r="Q2088" s="91">
        <f>VLOOKUP(Tabla3[[#This Row],[Site]],'Important Info!'!$A$1:$J$135,9,FALSE)</f>
        <v>183</v>
      </c>
    </row>
    <row r="2089" spans="1:17" x14ac:dyDescent="0.25">
      <c r="A2089" t="str">
        <f>+Tabla3[[#This Row],[Site]]&amp;Tabla3[[#This Row],[Split]]</f>
        <v>(TC) Tavernier Creek Marina (NO TOURS)21</v>
      </c>
      <c r="B2089">
        <v>21</v>
      </c>
      <c r="C2089">
        <v>21</v>
      </c>
      <c r="D2089" t="s">
        <v>62</v>
      </c>
      <c r="E2089" t="s">
        <v>35</v>
      </c>
      <c r="F2089" t="s">
        <v>119</v>
      </c>
      <c r="G2089" t="s">
        <v>34</v>
      </c>
      <c r="H2089" s="52" t="str">
        <f>VLOOKUP(Tabla3[[#This Row],[Site]],'Important Info!'!$A$1:$J$135,10,FALSE)</f>
        <v>https://tools.sig.systems/site/details/164</v>
      </c>
      <c r="J2089" t="s">
        <v>45</v>
      </c>
      <c r="K2089" s="79" t="str">
        <f>VLOOKUP(Tabla3[[#This Row],[Site]],'Important Info!'!$A$1:$H$135,8,FALSE)</f>
        <v>-</v>
      </c>
      <c r="L2089" s="52" t="str">
        <f>VLOOKUP(Tabla3[[#This Row],[Site]],'Important Info!'!$A$1:$F$135,2,FALSE)</f>
        <v>28, 29</v>
      </c>
      <c r="M2089" s="52" t="str">
        <f>VLOOKUP(Tabla3[[#This Row],[Site]],'Important Info!'!$A$1:$F$135,3,FALSE)</f>
        <v>-</v>
      </c>
      <c r="N2089" s="52" t="str">
        <f>VLOOKUP(Tabla3[[#This Row],[Site]],'Important Info!'!$A$1:$F$135,4,FALSE)</f>
        <v>-</v>
      </c>
      <c r="O2089" s="52" t="str">
        <f>VLOOKUP(Tabla3[[#This Row],[Site]],'Important Info!'!$A$1:$F$135,5,FALSE)</f>
        <v>-</v>
      </c>
      <c r="P2089" s="52" t="str">
        <f>VLOOKUP(Tabla3[[#This Row],[Site]],'Important Info!'!$A$1:$F$135,6,FALSE)</f>
        <v>5, 28, 29</v>
      </c>
      <c r="Q2089" s="91">
        <f>VLOOKUP(Tabla3[[#This Row],[Site]],'Important Info!'!$A$1:$J$135,9,FALSE)</f>
        <v>164</v>
      </c>
    </row>
    <row r="2090" spans="1:17" x14ac:dyDescent="0.25">
      <c r="A2090" t="str">
        <f>+Tabla3[[#This Row],[Site]]&amp;Tabla3[[#This Row],[Split]]</f>
        <v>(AS) Park Place Bodywerks Ft. Worth (NO TOURS)22</v>
      </c>
      <c r="B2090">
        <v>22</v>
      </c>
      <c r="C2090">
        <v>1</v>
      </c>
      <c r="D2090" t="s">
        <v>33</v>
      </c>
      <c r="E2090" t="s">
        <v>46</v>
      </c>
      <c r="F2090" t="s">
        <v>515</v>
      </c>
      <c r="G2090" t="s">
        <v>34</v>
      </c>
      <c r="H2090" s="52" t="str">
        <f>VLOOKUP(Tabla3[[#This Row],[Site]],'Important Info!'!$A$1:$J$135,10,FALSE)</f>
        <v>https://tools.sig.systems/site/details/134</v>
      </c>
      <c r="I2090" s="65" t="s">
        <v>128</v>
      </c>
      <c r="J2090" t="s">
        <v>41</v>
      </c>
      <c r="K2090" s="79" t="str">
        <f>VLOOKUP(Tabla3[[#This Row],[Site]],'Important Info!'!$A$1:$H$135,8,FALSE)</f>
        <v>-</v>
      </c>
      <c r="L2090" s="52" t="str">
        <f>VLOOKUP(Tabla3[[#This Row],[Site]],'Important Info!'!$A$1:$F$135,2,FALSE)</f>
        <v>2, 3, RemoteLot5, RemoteLot9</v>
      </c>
      <c r="M2090" s="52" t="str">
        <f>VLOOKUP(Tabla3[[#This Row],[Site]],'Important Info!'!$A$1:$F$135,3,FALSE)</f>
        <v>-</v>
      </c>
      <c r="N2090" s="52" t="str">
        <f>VLOOKUP(Tabla3[[#This Row],[Site]],'Important Info!'!$A$1:$F$135,4,FALSE)</f>
        <v>-</v>
      </c>
      <c r="O2090" s="52" t="str">
        <f>VLOOKUP(Tabla3[[#This Row],[Site]],'Important Info!'!$A$1:$F$135,5,FALSE)</f>
        <v>1, 7, RL1, RL5, RL9</v>
      </c>
      <c r="P2090" s="52" t="str">
        <f>VLOOKUP(Tabla3[[#This Row],[Site]],'Important Info!'!$A$1:$F$135,6,FALSE)</f>
        <v>3, 4, 15</v>
      </c>
      <c r="Q2090" s="91">
        <f>VLOOKUP(Tabla3[[#This Row],[Site]],'Important Info!'!$A$1:$J$135,9,FALSE)</f>
        <v>134</v>
      </c>
    </row>
    <row r="2091" spans="1:17" x14ac:dyDescent="0.25">
      <c r="A2091" t="str">
        <f>+Tabla3[[#This Row],[Site]]&amp;Tabla3[[#This Row],[Split]]</f>
        <v>(DT) Louisville22</v>
      </c>
      <c r="B2091">
        <v>22</v>
      </c>
      <c r="C2091">
        <v>1</v>
      </c>
      <c r="D2091" t="s">
        <v>62</v>
      </c>
      <c r="E2091" t="s">
        <v>35</v>
      </c>
      <c r="F2091" s="41" t="s">
        <v>99</v>
      </c>
      <c r="G2091" t="s">
        <v>490</v>
      </c>
      <c r="H2091" s="52" t="str">
        <f>VLOOKUP(Tabla3[[#This Row],[Site]],'Important Info!'!$A$1:$J$135,10,FALSE)</f>
        <v>https://tools.sig.systems/site/details/258</v>
      </c>
      <c r="J2091" t="s">
        <v>41</v>
      </c>
      <c r="K2091" s="79" t="str">
        <f>VLOOKUP(Tabla3[[#This Row],[Site]],'Important Info!'!$A$1:$H$135,8,FALSE)</f>
        <v>-</v>
      </c>
      <c r="L2091" s="52" t="str">
        <f>VLOOKUP(Tabla3[[#This Row],[Site]],'Important Info!'!$A$1:$F$135,2,FALSE)</f>
        <v>-</v>
      </c>
      <c r="M2091" s="52">
        <f>VLOOKUP(Tabla3[[#This Row],[Site]],'Important Info!'!$A$1:$F$135,3,FALSE)</f>
        <v>3</v>
      </c>
      <c r="N2091" s="52" t="str">
        <f>VLOOKUP(Tabla3[[#This Row],[Site]],'Important Info!'!$A$1:$F$135,4,FALSE)</f>
        <v>-</v>
      </c>
      <c r="O2091" s="52" t="str">
        <f>VLOOKUP(Tabla3[[#This Row],[Site]],'Important Info!'!$A$1:$F$135,5,FALSE)</f>
        <v>-</v>
      </c>
      <c r="P2091" s="52" t="str">
        <f>VLOOKUP(Tabla3[[#This Row],[Site]],'Important Info!'!$A$1:$F$135,6,FALSE)</f>
        <v>3, 8</v>
      </c>
      <c r="Q2091" s="91">
        <f>VLOOKUP(Tabla3[[#This Row],[Site]],'Important Info!'!$A$1:$J$135,9,FALSE)</f>
        <v>258</v>
      </c>
    </row>
    <row r="2092" spans="1:17" x14ac:dyDescent="0.25">
      <c r="A2092" t="str">
        <f>+Tabla3[[#This Row],[Site]]&amp;Tabla3[[#This Row],[Split]]</f>
        <v>(ML) Nissan Of Benton22</v>
      </c>
      <c r="B2092">
        <v>22</v>
      </c>
      <c r="C2092">
        <v>1</v>
      </c>
      <c r="D2092" t="s">
        <v>33</v>
      </c>
      <c r="E2092" t="s">
        <v>46</v>
      </c>
      <c r="F2092" t="s">
        <v>120</v>
      </c>
      <c r="G2092" t="s">
        <v>34</v>
      </c>
      <c r="H2092" s="52" t="str">
        <f>VLOOKUP(Tabla3[[#This Row],[Site]],'Important Info!'!$A$1:$J$135,10,FALSE)</f>
        <v>https://tools.sig.systems/site/details/247</v>
      </c>
      <c r="I2092" s="2"/>
      <c r="J2092" t="s">
        <v>41</v>
      </c>
      <c r="K2092" s="79" t="str">
        <f>VLOOKUP(Tabla3[[#This Row],[Site]],'Important Info!'!$A$1:$H$135,8,FALSE)</f>
        <v>-</v>
      </c>
      <c r="L2092" s="52" t="str">
        <f>VLOOKUP(Tabla3[[#This Row],[Site]],'Important Info!'!$A$1:$F$135,2,FALSE)</f>
        <v>5, 12</v>
      </c>
      <c r="M2092" s="52" t="str">
        <f>VLOOKUP(Tabla3[[#This Row],[Site]],'Important Info!'!$A$1:$F$135,3,FALSE)</f>
        <v>-</v>
      </c>
      <c r="N2092" s="52" t="str">
        <f>VLOOKUP(Tabla3[[#This Row],[Site]],'Important Info!'!$A$1:$F$135,4,FALSE)</f>
        <v>-</v>
      </c>
      <c r="O2092" s="52" t="str">
        <f>VLOOKUP(Tabla3[[#This Row],[Site]],'Important Info!'!$A$1:$F$135,5,FALSE)</f>
        <v>4, 18</v>
      </c>
      <c r="P2092" s="52" t="str">
        <f>VLOOKUP(Tabla3[[#This Row],[Site]],'Important Info!'!$A$1:$F$135,6,FALSE)</f>
        <v>-</v>
      </c>
      <c r="Q2092" s="91">
        <f>VLOOKUP(Tabla3[[#This Row],[Site]],'Important Info!'!$A$1:$J$135,9,FALSE)</f>
        <v>247</v>
      </c>
    </row>
    <row r="2093" spans="1:17" x14ac:dyDescent="0.25">
      <c r="A2093" t="str">
        <f>+Tabla3[[#This Row],[Site]]&amp;Tabla3[[#This Row],[Split]]</f>
        <v>(PE) Hudson Toyota Nissan CDJR (NO TOURS)22</v>
      </c>
      <c r="B2093">
        <v>22</v>
      </c>
      <c r="C2093">
        <v>1</v>
      </c>
      <c r="D2093" t="s">
        <v>485</v>
      </c>
      <c r="E2093" t="s">
        <v>35</v>
      </c>
      <c r="F2093" t="s">
        <v>82</v>
      </c>
      <c r="G2093" t="s">
        <v>490</v>
      </c>
      <c r="H2093" s="52" t="str">
        <f>VLOOKUP(Tabla3[[#This Row],[Site]],'Important Info!'!$A$1:$J$135,10,FALSE)</f>
        <v>https://tools.sig.systems/site/details/156</v>
      </c>
      <c r="J2093" t="s">
        <v>41</v>
      </c>
      <c r="K2093" s="79" t="str">
        <f>VLOOKUP(Tabla3[[#This Row],[Site]],'Important Info!'!$A$1:$H$135,8,FALSE)</f>
        <v>-</v>
      </c>
      <c r="L2093" s="52">
        <f>VLOOKUP(Tabla3[[#This Row],[Site]],'Important Info!'!$A$1:$F$135,2,FALSE)</f>
        <v>5</v>
      </c>
      <c r="M2093" s="52" t="str">
        <f>VLOOKUP(Tabla3[[#This Row],[Site]],'Important Info!'!$A$1:$F$135,3,FALSE)</f>
        <v>3, 7, 18</v>
      </c>
      <c r="N2093" s="52" t="str">
        <f>VLOOKUP(Tabla3[[#This Row],[Site]],'Important Info!'!$A$1:$F$135,4,FALSE)</f>
        <v>-</v>
      </c>
      <c r="O2093" s="52">
        <f>VLOOKUP(Tabla3[[#This Row],[Site]],'Important Info!'!$A$1:$F$135,5,FALSE)</f>
        <v>84</v>
      </c>
      <c r="P2093" s="52" t="str">
        <f>VLOOKUP(Tabla3[[#This Row],[Site]],'Important Info!'!$A$1:$F$135,6,FALSE)</f>
        <v>1, 2, 3, 4, 5, 6, 7, 8</v>
      </c>
      <c r="Q2093" s="91">
        <f>VLOOKUP(Tabla3[[#This Row],[Site]],'Important Info!'!$A$1:$J$135,9,FALSE)</f>
        <v>156</v>
      </c>
    </row>
    <row r="2094" spans="1:17" x14ac:dyDescent="0.25">
      <c r="A2094" t="str">
        <f>+Tabla3[[#This Row],[Site]]&amp;Tabla3[[#This Row],[Split]]</f>
        <v>(PE) Scofield Service Center (NO TOURS)22</v>
      </c>
      <c r="B2094">
        <v>22</v>
      </c>
      <c r="C2094">
        <v>1</v>
      </c>
      <c r="D2094" t="s">
        <v>485</v>
      </c>
      <c r="E2094" t="s">
        <v>35</v>
      </c>
      <c r="F2094" t="s">
        <v>83</v>
      </c>
      <c r="G2094" t="s">
        <v>490</v>
      </c>
      <c r="H2094" s="52" t="str">
        <f>VLOOKUP(Tabla3[[#This Row],[Site]],'Important Info!'!$A$1:$J$135,10,FALSE)</f>
        <v>https://tools.sig.systems/site/details/193</v>
      </c>
      <c r="I2094" t="s">
        <v>177</v>
      </c>
      <c r="J2094" t="s">
        <v>41</v>
      </c>
      <c r="K2094" s="79" t="str">
        <f>VLOOKUP(Tabla3[[#This Row],[Site]],'Important Info!'!$A$1:$H$135,8,FALSE)</f>
        <v>-</v>
      </c>
      <c r="L2094" s="52">
        <f>VLOOKUP(Tabla3[[#This Row],[Site]],'Important Info!'!$A$1:$F$135,2,FALSE)</f>
        <v>1</v>
      </c>
      <c r="M2094" s="52" t="str">
        <f>VLOOKUP(Tabla3[[#This Row],[Site]],'Important Info!'!$A$1:$F$135,3,FALSE)</f>
        <v>-</v>
      </c>
      <c r="N2094" s="52" t="str">
        <f>VLOOKUP(Tabla3[[#This Row],[Site]],'Important Info!'!$A$1:$F$135,4,FALSE)</f>
        <v>-</v>
      </c>
      <c r="O2094" s="52">
        <f>VLOOKUP(Tabla3[[#This Row],[Site]],'Important Info!'!$A$1:$F$135,5,FALSE)</f>
        <v>9</v>
      </c>
      <c r="P2094" s="52" t="str">
        <f>VLOOKUP(Tabla3[[#This Row],[Site]],'Important Info!'!$A$1:$F$135,6,FALSE)</f>
        <v>1, 17</v>
      </c>
      <c r="Q2094" s="91">
        <f>VLOOKUP(Tabla3[[#This Row],[Site]],'Important Info!'!$A$1:$J$135,9,FALSE)</f>
        <v>193</v>
      </c>
    </row>
    <row r="2095" spans="1:17" x14ac:dyDescent="0.25">
      <c r="A2095" t="str">
        <f>+Tabla3[[#This Row],[Site]]&amp;Tabla3[[#This Row],[Split]]</f>
        <v>(RV) Toms Camperland Avondale (NO TOURS)22</v>
      </c>
      <c r="B2095">
        <v>22</v>
      </c>
      <c r="C2095">
        <v>1</v>
      </c>
      <c r="D2095" t="s">
        <v>51</v>
      </c>
      <c r="E2095" t="s">
        <v>161</v>
      </c>
      <c r="F2095" t="s">
        <v>80</v>
      </c>
      <c r="G2095" t="s">
        <v>52</v>
      </c>
      <c r="H2095" s="52" t="str">
        <f>VLOOKUP(Tabla3[[#This Row],[Site]],'Important Info!'!$A$1:$J$135,10,FALSE)</f>
        <v>https://tools.sig.systems/site/details/248</v>
      </c>
      <c r="I2095" s="2" t="s">
        <v>163</v>
      </c>
      <c r="J2095" t="s">
        <v>164</v>
      </c>
      <c r="K2095" s="79" t="str">
        <f>VLOOKUP(Tabla3[[#This Row],[Site]],'Important Info!'!$A$1:$H$135,8,FALSE)</f>
        <v>-</v>
      </c>
      <c r="L2095" s="52">
        <f>VLOOKUP(Tabla3[[#This Row],[Site]],'Important Info!'!$A$1:$F$135,2,FALSE)</f>
        <v>10</v>
      </c>
      <c r="M2095" s="52" t="str">
        <f>VLOOKUP(Tabla3[[#This Row],[Site]],'Important Info!'!$A$1:$F$135,3,FALSE)</f>
        <v>2, 7</v>
      </c>
      <c r="N2095" s="52" t="str">
        <f>VLOOKUP(Tabla3[[#This Row],[Site]],'Important Info!'!$A$1:$F$135,4,FALSE)</f>
        <v>-</v>
      </c>
      <c r="O2095" s="52" t="str">
        <f>VLOOKUP(Tabla3[[#This Row],[Site]],'Important Info!'!$A$1:$F$135,5,FALSE)</f>
        <v>-</v>
      </c>
      <c r="P2095" s="52" t="str">
        <f>VLOOKUP(Tabla3[[#This Row],[Site]],'Important Info!'!$A$1:$F$135,6,FALSE)</f>
        <v>2, 7, 8, 13, 15</v>
      </c>
      <c r="Q2095" s="91">
        <f>VLOOKUP(Tabla3[[#This Row],[Site]],'Important Info!'!$A$1:$J$135,9,FALSE)</f>
        <v>248</v>
      </c>
    </row>
    <row r="2096" spans="1:17" x14ac:dyDescent="0.25">
      <c r="A2096" t="str">
        <f>+Tabla3[[#This Row],[Site]]&amp;Tabla3[[#This Row],[Split]]</f>
        <v>(AS) Plano Auction (NO SPEAKERS)22</v>
      </c>
      <c r="B2096">
        <v>22</v>
      </c>
      <c r="C2096">
        <v>2</v>
      </c>
      <c r="D2096" t="s">
        <v>33</v>
      </c>
      <c r="E2096" t="s">
        <v>46</v>
      </c>
      <c r="F2096" t="s">
        <v>129</v>
      </c>
      <c r="G2096" t="s">
        <v>34</v>
      </c>
      <c r="H2096" s="52" t="str">
        <f>VLOOKUP(Tabla3[[#This Row],[Site]],'Important Info!'!$A$1:$J$135,10,FALSE)</f>
        <v>https://tools.sig.systems/site/details/140</v>
      </c>
      <c r="J2096" t="s">
        <v>41</v>
      </c>
      <c r="K2096" s="79" t="str">
        <f>VLOOKUP(Tabla3[[#This Row],[Site]],'Important Info!'!$A$1:$H$135,8,FALSE)</f>
        <v>-</v>
      </c>
      <c r="L2096" s="52" t="str">
        <f>VLOOKUP(Tabla3[[#This Row],[Site]],'Important Info!'!$A$1:$F$135,2,FALSE)</f>
        <v>-</v>
      </c>
      <c r="M2096" s="52" t="str">
        <f>VLOOKUP(Tabla3[[#This Row],[Site]],'Important Info!'!$A$1:$F$135,3,FALSE)</f>
        <v>3, 4, 19</v>
      </c>
      <c r="N2096" s="52" t="str">
        <f>VLOOKUP(Tabla3[[#This Row],[Site]],'Important Info!'!$A$1:$F$135,4,FALSE)</f>
        <v>-</v>
      </c>
      <c r="O2096" s="52" t="str">
        <f>VLOOKUP(Tabla3[[#This Row],[Site]],'Important Info!'!$A$1:$F$135,5,FALSE)</f>
        <v>5, 19</v>
      </c>
      <c r="P2096" s="52">
        <f>VLOOKUP(Tabla3[[#This Row],[Site]],'Important Info!'!$A$1:$F$135,6,FALSE)</f>
        <v>21</v>
      </c>
      <c r="Q2096" s="91">
        <f>VLOOKUP(Tabla3[[#This Row],[Site]],'Important Info!'!$A$1:$J$135,9,FALSE)</f>
        <v>140</v>
      </c>
    </row>
    <row r="2097" spans="1:17" x14ac:dyDescent="0.25">
      <c r="A2097" t="str">
        <f>+Tabla3[[#This Row],[Site]]&amp;Tabla3[[#This Row],[Split]]</f>
        <v>(JE) Jim Ellis Ford Sandy Springs22</v>
      </c>
      <c r="B2097">
        <v>22</v>
      </c>
      <c r="C2097">
        <v>2</v>
      </c>
      <c r="D2097" t="s">
        <v>62</v>
      </c>
      <c r="E2097" t="s">
        <v>35</v>
      </c>
      <c r="F2097" t="s">
        <v>187</v>
      </c>
      <c r="G2097" t="s">
        <v>490</v>
      </c>
      <c r="H2097" s="52" t="str">
        <f>VLOOKUP(Tabla3[[#This Row],[Site]],'Important Info!'!$A$1:$J$135,10,FALSE)</f>
        <v>https://tools.sig.systems/site/details/142</v>
      </c>
      <c r="I2097" s="43"/>
      <c r="J2097" t="s">
        <v>41</v>
      </c>
      <c r="K2097" s="79" t="str">
        <f>VLOOKUP(Tabla3[[#This Row],[Site]],'Important Info!'!$A$1:$H$135,8,FALSE)</f>
        <v>-</v>
      </c>
      <c r="L2097" s="52" t="str">
        <f>VLOOKUP(Tabla3[[#This Row],[Site]],'Important Info!'!$A$1:$F$135,2,FALSE)</f>
        <v>1, 5</v>
      </c>
      <c r="M2097" s="52" t="str">
        <f>VLOOKUP(Tabla3[[#This Row],[Site]],'Important Info!'!$A$1:$F$135,3,FALSE)</f>
        <v>-</v>
      </c>
      <c r="N2097" s="52" t="str">
        <f>VLOOKUP(Tabla3[[#This Row],[Site]],'Important Info!'!$A$1:$F$135,4,FALSE)</f>
        <v>-</v>
      </c>
      <c r="O2097" s="52" t="str">
        <f>VLOOKUP(Tabla3[[#This Row],[Site]],'Important Info!'!$A$1:$F$135,5,FALSE)</f>
        <v>1, 5, 9, 26</v>
      </c>
      <c r="P2097" s="52" t="str">
        <f>VLOOKUP(Tabla3[[#This Row],[Site]],'Important Info!'!$A$1:$F$135,6,FALSE)</f>
        <v>3, 4, 8, 28</v>
      </c>
      <c r="Q2097" s="91">
        <f>VLOOKUP(Tabla3[[#This Row],[Site]],'Important Info!'!$A$1:$J$135,9,FALSE)</f>
        <v>142</v>
      </c>
    </row>
    <row r="2098" spans="1:17" x14ac:dyDescent="0.25">
      <c r="A2098" t="str">
        <f>+Tabla3[[#This Row],[Site]]&amp;Tabla3[[#This Row],[Split]]</f>
        <v>(KG) Texan CDJR22</v>
      </c>
      <c r="B2098">
        <v>22</v>
      </c>
      <c r="C2098">
        <v>2</v>
      </c>
      <c r="D2098" t="s">
        <v>33</v>
      </c>
      <c r="E2098" t="s">
        <v>46</v>
      </c>
      <c r="F2098" t="s">
        <v>70</v>
      </c>
      <c r="G2098" t="s">
        <v>34</v>
      </c>
      <c r="H2098" s="52" t="str">
        <f>VLOOKUP(Tabla3[[#This Row],[Site]],'Important Info!'!$A$1:$J$135,10,FALSE)</f>
        <v>https://tools.sig.systems/site/details/238</v>
      </c>
      <c r="I2098" s="2" t="s">
        <v>137</v>
      </c>
      <c r="J2098" t="s">
        <v>41</v>
      </c>
      <c r="K2098" s="79" t="str">
        <f>VLOOKUP(Tabla3[[#This Row],[Site]],'Important Info!'!$A$1:$H$135,8,FALSE)</f>
        <v>-</v>
      </c>
      <c r="L2098" s="52" t="str">
        <f>VLOOKUP(Tabla3[[#This Row],[Site]],'Important Info!'!$A$1:$F$135,2,FALSE)</f>
        <v>11, 12, 13, 14, 20, 32, 34, 36, 77</v>
      </c>
      <c r="M2098" s="52" t="str">
        <f>VLOOKUP(Tabla3[[#This Row],[Site]],'Important Info!'!$A$1:$F$135,3,FALSE)</f>
        <v>-</v>
      </c>
      <c r="N2098" s="52" t="str">
        <f>VLOOKUP(Tabla3[[#This Row],[Site]],'Important Info!'!$A$1:$F$135,4,FALSE)</f>
        <v>67, 68, 69, 70</v>
      </c>
      <c r="O2098" s="52" t="str">
        <f>VLOOKUP(Tabla3[[#This Row],[Site]],'Important Info!'!$A$1:$F$135,5,FALSE)</f>
        <v>2, 10, 14, 25, 29, 35, 38</v>
      </c>
      <c r="P2098" s="52" t="str">
        <f>VLOOKUP(Tabla3[[#This Row],[Site]],'Important Info!'!$A$1:$F$135,6,FALSE)</f>
        <v>36, 46</v>
      </c>
      <c r="Q2098" s="91">
        <f>VLOOKUP(Tabla3[[#This Row],[Site]],'Important Info!'!$A$1:$J$135,9,FALSE)</f>
        <v>238</v>
      </c>
    </row>
    <row r="2099" spans="1:17" x14ac:dyDescent="0.25">
      <c r="A2099" t="str">
        <f>+Tabla3[[#This Row],[Site]]&amp;Tabla3[[#This Row],[Split]]</f>
        <v>(ML) Columbia Honda (NO TOURS)22</v>
      </c>
      <c r="B2099">
        <v>22</v>
      </c>
      <c r="C2099">
        <v>2</v>
      </c>
      <c r="D2099" t="s">
        <v>33</v>
      </c>
      <c r="E2099" t="s">
        <v>46</v>
      </c>
      <c r="F2099" t="s">
        <v>143</v>
      </c>
      <c r="G2099" t="s">
        <v>34</v>
      </c>
      <c r="H2099" s="52" t="str">
        <f>VLOOKUP(Tabla3[[#This Row],[Site]],'Important Info!'!$A$1:$J$135,10,FALSE)</f>
        <v>https://tools.sig.systems/site/details/272</v>
      </c>
      <c r="I2099" s="2" t="s">
        <v>144</v>
      </c>
      <c r="J2099" t="s">
        <v>41</v>
      </c>
      <c r="K2099" s="79" t="str">
        <f>VLOOKUP(Tabla3[[#This Row],[Site]],'Important Info!'!$A$1:$H$135,8,FALSE)</f>
        <v>-</v>
      </c>
      <c r="L2099" s="52" t="str">
        <f>VLOOKUP(Tabla3[[#This Row],[Site]],'Important Info!'!$A$1:$F$135,2,FALSE)</f>
        <v>-</v>
      </c>
      <c r="M2099" s="52" t="str">
        <f>VLOOKUP(Tabla3[[#This Row],[Site]],'Important Info!'!$A$1:$F$135,3,FALSE)</f>
        <v>9, 19, 20</v>
      </c>
      <c r="N2099" s="52" t="str">
        <f>VLOOKUP(Tabla3[[#This Row],[Site]],'Important Info!'!$A$1:$F$135,4,FALSE)</f>
        <v>-</v>
      </c>
      <c r="O2099" s="52" t="str">
        <f>VLOOKUP(Tabla3[[#This Row],[Site]],'Important Info!'!$A$1:$F$135,5,FALSE)</f>
        <v>10, 17, 19</v>
      </c>
      <c r="P2099" s="52" t="str">
        <f>VLOOKUP(Tabla3[[#This Row],[Site]],'Important Info!'!$A$1:$F$135,6,FALSE)</f>
        <v>3, 4, 5</v>
      </c>
      <c r="Q2099" s="91">
        <f>VLOOKUP(Tabla3[[#This Row],[Site]],'Important Info!'!$A$1:$J$135,9,FALSE)</f>
        <v>272</v>
      </c>
    </row>
    <row r="2100" spans="1:17" x14ac:dyDescent="0.25">
      <c r="A2100" t="str">
        <f>+Tabla3[[#This Row],[Site]]&amp;Tabla3[[#This Row],[Split]]</f>
        <v>(PE) BMW Tenafly (NO TOURS)22</v>
      </c>
      <c r="B2100">
        <v>22</v>
      </c>
      <c r="C2100">
        <v>2</v>
      </c>
      <c r="D2100" t="s">
        <v>485</v>
      </c>
      <c r="E2100" t="s">
        <v>35</v>
      </c>
      <c r="F2100" t="s">
        <v>173</v>
      </c>
      <c r="G2100" t="s">
        <v>490</v>
      </c>
      <c r="H2100" s="52" t="str">
        <f>VLOOKUP(Tabla3[[#This Row],[Site]],'Important Info!'!$A$1:$J$135,10,FALSE)</f>
        <v>https://tools.sig.systems/site/details/155</v>
      </c>
      <c r="I2100" s="2"/>
      <c r="J2100" t="s">
        <v>41</v>
      </c>
      <c r="K2100" s="79" t="str">
        <f>VLOOKUP(Tabla3[[#This Row],[Site]],'Important Info!'!$A$1:$H$135,8,FALSE)</f>
        <v>-</v>
      </c>
      <c r="L2100" s="52">
        <f>VLOOKUP(Tabla3[[#This Row],[Site]],'Important Info!'!$A$1:$F$135,2,FALSE)</f>
        <v>24</v>
      </c>
      <c r="M2100" s="52" t="str">
        <f>VLOOKUP(Tabla3[[#This Row],[Site]],'Important Info!'!$A$1:$F$135,3,FALSE)</f>
        <v>1, 3, 4, 17, 23</v>
      </c>
      <c r="N2100" s="52" t="str">
        <f>VLOOKUP(Tabla3[[#This Row],[Site]],'Important Info!'!$A$1:$F$135,4,FALSE)</f>
        <v>-</v>
      </c>
      <c r="O2100" s="52" t="str">
        <f>VLOOKUP(Tabla3[[#This Row],[Site]],'Important Info!'!$A$1:$F$135,5,FALSE)</f>
        <v>-</v>
      </c>
      <c r="P2100" s="52">
        <f>VLOOKUP(Tabla3[[#This Row],[Site]],'Important Info!'!$A$1:$F$135,6,FALSE)</f>
        <v>1</v>
      </c>
      <c r="Q2100" s="91">
        <f>VLOOKUP(Tabla3[[#This Row],[Site]],'Important Info!'!$A$1:$J$135,9,FALSE)</f>
        <v>155</v>
      </c>
    </row>
    <row r="2101" spans="1:17" x14ac:dyDescent="0.25">
      <c r="A2101" t="str">
        <f>+Tabla3[[#This Row],[Site]]&amp;Tabla3[[#This Row],[Split]]</f>
        <v>(RV) Toms Camperland Mesa (NO TOURS)22</v>
      </c>
      <c r="B2101">
        <v>22</v>
      </c>
      <c r="C2101">
        <v>2</v>
      </c>
      <c r="D2101" t="s">
        <v>51</v>
      </c>
      <c r="E2101" t="s">
        <v>161</v>
      </c>
      <c r="F2101" t="s">
        <v>81</v>
      </c>
      <c r="G2101" t="s">
        <v>52</v>
      </c>
      <c r="H2101" s="52" t="str">
        <f>VLOOKUP(Tabla3[[#This Row],[Site]],'Important Info!'!$A$1:$J$135,10,FALSE)</f>
        <v>https://tools.sig.systems/site/details/222</v>
      </c>
      <c r="J2101" t="s">
        <v>41</v>
      </c>
      <c r="K2101" s="79" t="str">
        <f>VLOOKUP(Tabla3[[#This Row],[Site]],'Important Info!'!$A$1:$H$135,8,FALSE)</f>
        <v>-</v>
      </c>
      <c r="L2101" s="52" t="str">
        <f>VLOOKUP(Tabla3[[#This Row],[Site]],'Important Info!'!$A$1:$F$135,2,FALSE)</f>
        <v>1, 2</v>
      </c>
      <c r="M2101" s="52" t="str">
        <f>VLOOKUP(Tabla3[[#This Row],[Site]],'Important Info!'!$A$1:$F$135,3,FALSE)</f>
        <v>-</v>
      </c>
      <c r="N2101" s="52" t="str">
        <f>VLOOKUP(Tabla3[[#This Row],[Site]],'Important Info!'!$A$1:$F$135,4,FALSE)</f>
        <v>-</v>
      </c>
      <c r="O2101" s="52" t="str">
        <f>VLOOKUP(Tabla3[[#This Row],[Site]],'Important Info!'!$A$1:$F$135,5,FALSE)</f>
        <v>-</v>
      </c>
      <c r="P2101" s="52" t="str">
        <f>VLOOKUP(Tabla3[[#This Row],[Site]],'Important Info!'!$A$1:$F$135,6,FALSE)</f>
        <v>1, 4, 6, 8, 10, 18</v>
      </c>
      <c r="Q2101" s="91">
        <f>VLOOKUP(Tabla3[[#This Row],[Site]],'Important Info!'!$A$1:$J$135,9,FALSE)</f>
        <v>222</v>
      </c>
    </row>
    <row r="2102" spans="1:17" x14ac:dyDescent="0.25">
      <c r="A2102" t="str">
        <f>+Tabla3[[#This Row],[Site]]&amp;Tabla3[[#This Row],[Split]]</f>
        <v>(AS) Bill Estes Ford (NO TOURS)22</v>
      </c>
      <c r="B2102">
        <v>22</v>
      </c>
      <c r="C2102">
        <v>3</v>
      </c>
      <c r="D2102" t="s">
        <v>62</v>
      </c>
      <c r="E2102" t="s">
        <v>35</v>
      </c>
      <c r="F2102" t="s">
        <v>178</v>
      </c>
      <c r="G2102" t="s">
        <v>490</v>
      </c>
      <c r="H2102" s="52" t="str">
        <f>VLOOKUP(Tabla3[[#This Row],[Site]],'Important Info!'!$A$1:$J$135,10,FALSE)</f>
        <v>https://tools.sig.systems/site/details/125</v>
      </c>
      <c r="J2102" t="s">
        <v>41</v>
      </c>
      <c r="K2102" s="79" t="str">
        <f>VLOOKUP(Tabla3[[#This Row],[Site]],'Important Info!'!$A$1:$H$135,8,FALSE)</f>
        <v>-</v>
      </c>
      <c r="L2102" s="52" t="str">
        <f>VLOOKUP(Tabla3[[#This Row],[Site]],'Important Info!'!$A$1:$F$135,2,FALSE)</f>
        <v>-</v>
      </c>
      <c r="M2102" s="52" t="str">
        <f>VLOOKUP(Tabla3[[#This Row],[Site]],'Important Info!'!$A$1:$F$135,3,FALSE)</f>
        <v>2, 3, 13, 16</v>
      </c>
      <c r="N2102" s="52" t="str">
        <f>VLOOKUP(Tabla3[[#This Row],[Site]],'Important Info!'!$A$1:$F$135,4,FALSE)</f>
        <v>-</v>
      </c>
      <c r="O2102" s="52" t="str">
        <f>VLOOKUP(Tabla3[[#This Row],[Site]],'Important Info!'!$A$1:$F$135,5,FALSE)</f>
        <v>1, 10, 14, 19</v>
      </c>
      <c r="P2102" s="52" t="str">
        <f>VLOOKUP(Tabla3[[#This Row],[Site]],'Important Info!'!$A$1:$F$135,6,FALSE)</f>
        <v>7, 8, 9, 10, 11, 12, 14</v>
      </c>
      <c r="Q2102" s="91">
        <f>VLOOKUP(Tabla3[[#This Row],[Site]],'Important Info!'!$A$1:$J$135,9,FALSE)</f>
        <v>125</v>
      </c>
    </row>
    <row r="2103" spans="1:17" x14ac:dyDescent="0.25">
      <c r="A2103" t="str">
        <f>+Tabla3[[#This Row],[Site]]&amp;Tabla3[[#This Row],[Split]]</f>
        <v>(AS) Park Place Mercedes Benz Arlington (NO TOURS)22</v>
      </c>
      <c r="B2103">
        <v>22</v>
      </c>
      <c r="C2103">
        <v>3</v>
      </c>
      <c r="D2103" t="s">
        <v>33</v>
      </c>
      <c r="E2103" t="s">
        <v>46</v>
      </c>
      <c r="F2103" t="s">
        <v>518</v>
      </c>
      <c r="G2103" t="s">
        <v>34</v>
      </c>
      <c r="H2103" s="52" t="str">
        <f>VLOOKUP(Tabla3[[#This Row],[Site]],'Important Info!'!$A$1:$J$135,10,FALSE)</f>
        <v>https://tools.sig.systems/site/details/169</v>
      </c>
      <c r="J2103" t="s">
        <v>41</v>
      </c>
      <c r="K2103" s="79" t="str">
        <f>VLOOKUP(Tabla3[[#This Row],[Site]],'Important Info!'!$A$1:$H$135,8,FALSE)</f>
        <v>-</v>
      </c>
      <c r="L2103" s="52" t="str">
        <f>VLOOKUP(Tabla3[[#This Row],[Site]],'Important Info!'!$A$1:$F$135,2,FALSE)</f>
        <v>1, 9, 14</v>
      </c>
      <c r="M2103" s="52" t="str">
        <f>VLOOKUP(Tabla3[[#This Row],[Site]],'Important Info!'!$A$1:$F$135,3,FALSE)</f>
        <v>-</v>
      </c>
      <c r="N2103" s="52" t="str">
        <f>VLOOKUP(Tabla3[[#This Row],[Site]],'Important Info!'!$A$1:$F$135,4,FALSE)</f>
        <v>77, 78, 79, 80</v>
      </c>
      <c r="O2103" s="52" t="str">
        <f>VLOOKUP(Tabla3[[#This Row],[Site]],'Important Info!'!$A$1:$F$135,5,FALSE)</f>
        <v>2, 10, 18, 22, 31, 40</v>
      </c>
      <c r="P2103" s="52">
        <f>VLOOKUP(Tabla3[[#This Row],[Site]],'Important Info!'!$A$1:$F$135,6,FALSE)</f>
        <v>9</v>
      </c>
      <c r="Q2103" s="91">
        <f>VLOOKUP(Tabla3[[#This Row],[Site]],'Important Info!'!$A$1:$J$135,9,FALSE)</f>
        <v>169</v>
      </c>
    </row>
    <row r="2104" spans="1:17" x14ac:dyDescent="0.25">
      <c r="A2104" t="str">
        <f>+Tabla3[[#This Row],[Site]]&amp;Tabla3[[#This Row],[Split]]</f>
        <v>(KG) Texan GMC Buick (NO TOURS)22</v>
      </c>
      <c r="B2104">
        <v>22</v>
      </c>
      <c r="C2104">
        <v>3</v>
      </c>
      <c r="D2104" t="s">
        <v>33</v>
      </c>
      <c r="E2104" t="s">
        <v>46</v>
      </c>
      <c r="F2104" t="s">
        <v>111</v>
      </c>
      <c r="G2104" t="s">
        <v>34</v>
      </c>
      <c r="H2104" s="52" t="str">
        <f>VLOOKUP(Tabla3[[#This Row],[Site]],'Important Info!'!$A$1:$J$135,10,FALSE)</f>
        <v>https://tools.sig.systems/site/details/225</v>
      </c>
      <c r="I2104" s="2" t="s">
        <v>137</v>
      </c>
      <c r="J2104" t="s">
        <v>41</v>
      </c>
      <c r="K2104" s="79" t="str">
        <f>VLOOKUP(Tabla3[[#This Row],[Site]],'Important Info!'!$A$1:$H$135,8,FALSE)</f>
        <v>-</v>
      </c>
      <c r="L2104" s="52" t="str">
        <f>VLOOKUP(Tabla3[[#This Row],[Site]],'Important Info!'!$A$1:$F$135,2,FALSE)</f>
        <v>1, 20, 53</v>
      </c>
      <c r="M2104" s="52" t="str">
        <f>VLOOKUP(Tabla3[[#This Row],[Site]],'Important Info!'!$A$1:$F$135,3,FALSE)</f>
        <v>-</v>
      </c>
      <c r="N2104" s="52" t="str">
        <f>VLOOKUP(Tabla3[[#This Row],[Site]],'Important Info!'!$A$1:$F$135,4,FALSE)</f>
        <v>-</v>
      </c>
      <c r="O2104" s="52" t="str">
        <f>VLOOKUP(Tabla3[[#This Row],[Site]],'Important Info!'!$A$1:$F$135,5,FALSE)</f>
        <v>2, 8, 14</v>
      </c>
      <c r="P2104" s="52" t="str">
        <f>VLOOKUP(Tabla3[[#This Row],[Site]],'Important Info!'!$A$1:$F$135,6,FALSE)</f>
        <v>51, 52, 16</v>
      </c>
      <c r="Q2104" s="91">
        <f>VLOOKUP(Tabla3[[#This Row],[Site]],'Important Info!'!$A$1:$J$135,9,FALSE)</f>
        <v>225</v>
      </c>
    </row>
    <row r="2105" spans="1:17" x14ac:dyDescent="0.25">
      <c r="A2105" t="str">
        <f>+Tabla3[[#This Row],[Site]]&amp;Tabla3[[#This Row],[Split]]</f>
        <v>(LM) Luther Mazda / Mitsubishi22</v>
      </c>
      <c r="B2105">
        <v>22</v>
      </c>
      <c r="C2105">
        <v>3</v>
      </c>
      <c r="D2105" t="s">
        <v>33</v>
      </c>
      <c r="E2105" t="s">
        <v>46</v>
      </c>
      <c r="F2105" t="s">
        <v>103</v>
      </c>
      <c r="G2105" t="s">
        <v>34</v>
      </c>
      <c r="H2105" s="52" t="str">
        <f>VLOOKUP(Tabla3[[#This Row],[Site]],'Important Info!'!$A$1:$J$135,10,FALSE)</f>
        <v>https://tools.sig.systems/site/details/147</v>
      </c>
      <c r="I2105" s="2" t="s">
        <v>138</v>
      </c>
      <c r="J2105" t="s">
        <v>41</v>
      </c>
      <c r="K2105" s="79" t="str">
        <f>VLOOKUP(Tabla3[[#This Row],[Site]],'Important Info!'!$A$1:$H$135,8,FALSE)</f>
        <v>-</v>
      </c>
      <c r="L2105" s="52" t="str">
        <f>VLOOKUP(Tabla3[[#This Row],[Site]],'Important Info!'!$A$1:$F$135,2,FALSE)</f>
        <v>4, 5, 6</v>
      </c>
      <c r="M2105" s="52" t="str">
        <f>VLOOKUP(Tabla3[[#This Row],[Site]],'Important Info!'!$A$1:$F$135,3,FALSE)</f>
        <v>-</v>
      </c>
      <c r="N2105" s="52" t="str">
        <f>VLOOKUP(Tabla3[[#This Row],[Site]],'Important Info!'!$A$1:$F$135,4,FALSE)</f>
        <v>1, 2</v>
      </c>
      <c r="O2105" s="52" t="str">
        <f>VLOOKUP(Tabla3[[#This Row],[Site]],'Important Info!'!$A$1:$F$135,5,FALSE)</f>
        <v>-</v>
      </c>
      <c r="P2105" s="52" t="str">
        <f>VLOOKUP(Tabla3[[#This Row],[Site]],'Important Info!'!$A$1:$F$135,6,FALSE)</f>
        <v>13, 14, 15, 16</v>
      </c>
      <c r="Q2105" s="91">
        <f>VLOOKUP(Tabla3[[#This Row],[Site]],'Important Info!'!$A$1:$J$135,9,FALSE)</f>
        <v>147</v>
      </c>
    </row>
    <row r="2106" spans="1:17" x14ac:dyDescent="0.25">
      <c r="A2106" t="str">
        <f>+Tabla3[[#This Row],[Site]]&amp;Tabla3[[#This Row],[Split]]</f>
        <v>(ML) Joe Machens CDJR22</v>
      </c>
      <c r="B2106">
        <v>22</v>
      </c>
      <c r="C2106">
        <v>3</v>
      </c>
      <c r="D2106" t="s">
        <v>33</v>
      </c>
      <c r="E2106" t="s">
        <v>46</v>
      </c>
      <c r="F2106" t="s">
        <v>88</v>
      </c>
      <c r="G2106" t="s">
        <v>34</v>
      </c>
      <c r="H2106" s="52" t="str">
        <f>VLOOKUP(Tabla3[[#This Row],[Site]],'Important Info!'!$A$1:$J$135,10,FALSE)</f>
        <v>https://tools.sig.systems/site/details/273</v>
      </c>
      <c r="I2106" s="43" t="s">
        <v>146</v>
      </c>
      <c r="J2106" t="s">
        <v>41</v>
      </c>
      <c r="K2106" s="79" t="str">
        <f>VLOOKUP(Tabla3[[#This Row],[Site]],'Important Info!'!$A$1:$H$135,8,FALSE)</f>
        <v>-</v>
      </c>
      <c r="L2106" s="52" t="str">
        <f>VLOOKUP(Tabla3[[#This Row],[Site]],'Important Info!'!$A$1:$F$135,2,FALSE)</f>
        <v>-</v>
      </c>
      <c r="M2106" s="52">
        <f>VLOOKUP(Tabla3[[#This Row],[Site]],'Important Info!'!$A$1:$F$135,3,FALSE)</f>
        <v>3</v>
      </c>
      <c r="N2106" s="52" t="str">
        <f>VLOOKUP(Tabla3[[#This Row],[Site]],'Important Info!'!$A$1:$F$135,4,FALSE)</f>
        <v>-</v>
      </c>
      <c r="O2106" s="52" t="str">
        <f>VLOOKUP(Tabla3[[#This Row],[Site]],'Important Info!'!$A$1:$F$135,5,FALSE)</f>
        <v>-</v>
      </c>
      <c r="P2106" s="52" t="str">
        <f>VLOOKUP(Tabla3[[#This Row],[Site]],'Important Info!'!$A$1:$F$135,6,FALSE)</f>
        <v>1, 2, 3,</v>
      </c>
      <c r="Q2106" s="91">
        <f>VLOOKUP(Tabla3[[#This Row],[Site]],'Important Info!'!$A$1:$J$135,9,FALSE)</f>
        <v>273</v>
      </c>
    </row>
    <row r="2107" spans="1:17" x14ac:dyDescent="0.25">
      <c r="A2107" t="str">
        <f>+Tabla3[[#This Row],[Site]]&amp;Tabla3[[#This Row],[Split]]</f>
        <v>(PE) BMW of Greenwich (NO TOURS)22</v>
      </c>
      <c r="B2107">
        <v>22</v>
      </c>
      <c r="C2107">
        <v>3</v>
      </c>
      <c r="D2107" t="s">
        <v>485</v>
      </c>
      <c r="E2107" t="s">
        <v>35</v>
      </c>
      <c r="F2107" t="s">
        <v>170</v>
      </c>
      <c r="G2107" t="s">
        <v>490</v>
      </c>
      <c r="H2107" s="52" t="str">
        <f>VLOOKUP(Tabla3[[#This Row],[Site]],'Important Info!'!$A$1:$J$135,10,FALSE)</f>
        <v>https://tools.sig.systems/site/details/186</v>
      </c>
      <c r="I2107" s="43" t="s">
        <v>171</v>
      </c>
      <c r="J2107" t="s">
        <v>41</v>
      </c>
      <c r="K2107" s="79" t="str">
        <f>VLOOKUP(Tabla3[[#This Row],[Site]],'Important Info!'!$A$1:$H$135,8,FALSE)</f>
        <v>-</v>
      </c>
      <c r="L2107" s="52" t="str">
        <f>VLOOKUP(Tabla3[[#This Row],[Site]],'Important Info!'!$A$1:$F$135,2,FALSE)</f>
        <v>1, 6, 15</v>
      </c>
      <c r="M2107" s="52" t="str">
        <f>VLOOKUP(Tabla3[[#This Row],[Site]],'Important Info!'!$A$1:$F$135,3,FALSE)</f>
        <v>-</v>
      </c>
      <c r="N2107" s="52" t="str">
        <f>VLOOKUP(Tabla3[[#This Row],[Site]],'Important Info!'!$A$1:$F$135,4,FALSE)</f>
        <v>-</v>
      </c>
      <c r="O2107" s="52" t="str">
        <f>VLOOKUP(Tabla3[[#This Row],[Site]],'Important Info!'!$A$1:$F$135,5,FALSE)</f>
        <v>-</v>
      </c>
      <c r="P2107" s="52">
        <f>VLOOKUP(Tabla3[[#This Row],[Site]],'Important Info!'!$A$1:$F$135,6,FALSE)</f>
        <v>12</v>
      </c>
      <c r="Q2107" s="91">
        <f>VLOOKUP(Tabla3[[#This Row],[Site]],'Important Info!'!$A$1:$J$135,9,FALSE)</f>
        <v>186</v>
      </c>
    </row>
    <row r="2108" spans="1:17" x14ac:dyDescent="0.25">
      <c r="A2108" t="str">
        <f>+Tabla3[[#This Row],[Site]]&amp;Tabla3[[#This Row],[Split]]</f>
        <v>(AS) Park Place Volvo Sales (NO TOURS)22</v>
      </c>
      <c r="B2108">
        <v>22</v>
      </c>
      <c r="C2108">
        <v>4</v>
      </c>
      <c r="D2108" t="s">
        <v>33</v>
      </c>
      <c r="E2108" t="s">
        <v>46</v>
      </c>
      <c r="F2108" t="s">
        <v>521</v>
      </c>
      <c r="G2108" t="s">
        <v>34</v>
      </c>
      <c r="H2108" s="52" t="str">
        <f>VLOOKUP(Tabla3[[#This Row],[Site]],'Important Info!'!$A$1:$J$135,10,FALSE)</f>
        <v>https://tools.sig.systems/site/details/139</v>
      </c>
      <c r="I2108" s="65" t="s">
        <v>125</v>
      </c>
      <c r="J2108" t="s">
        <v>41</v>
      </c>
      <c r="K2108" s="79" t="str">
        <f>VLOOKUP(Tabla3[[#This Row],[Site]],'Important Info!'!$A$1:$H$135,8,FALSE)</f>
        <v>-</v>
      </c>
      <c r="L2108" s="52" t="str">
        <f>VLOOKUP(Tabla3[[#This Row],[Site]],'Important Info!'!$A$1:$F$135,2,FALSE)</f>
        <v>4, 6, 9, 11</v>
      </c>
      <c r="M2108" s="52" t="str">
        <f>VLOOKUP(Tabla3[[#This Row],[Site]],'Important Info!'!$A$1:$F$135,3,FALSE)</f>
        <v>-</v>
      </c>
      <c r="N2108" s="52" t="str">
        <f>VLOOKUP(Tabla3[[#This Row],[Site]],'Important Info!'!$A$1:$F$135,4,FALSE)</f>
        <v>-</v>
      </c>
      <c r="O2108" s="52" t="str">
        <f>VLOOKUP(Tabla3[[#This Row],[Site]],'Important Info!'!$A$1:$F$135,5,FALSE)</f>
        <v>2, 9</v>
      </c>
      <c r="P2108" s="52" t="str">
        <f>VLOOKUP(Tabla3[[#This Row],[Site]],'Important Info!'!$A$1:$F$135,6,FALSE)</f>
        <v>4, 10, 11</v>
      </c>
      <c r="Q2108" s="91">
        <f>VLOOKUP(Tabla3[[#This Row],[Site]],'Important Info!'!$A$1:$J$135,9,FALSE)</f>
        <v>139</v>
      </c>
    </row>
    <row r="2109" spans="1:17" x14ac:dyDescent="0.25">
      <c r="A2109" t="str">
        <f>+Tabla3[[#This Row],[Site]]&amp;Tabla3[[#This Row],[Split]]</f>
        <v>(AS) Park Place Volvo Service Center (NO TOURS)22</v>
      </c>
      <c r="B2109">
        <v>22</v>
      </c>
      <c r="C2109">
        <v>4</v>
      </c>
      <c r="D2109" t="s">
        <v>33</v>
      </c>
      <c r="E2109" t="s">
        <v>46</v>
      </c>
      <c r="F2109" t="s">
        <v>522</v>
      </c>
      <c r="G2109" t="s">
        <v>34</v>
      </c>
      <c r="H2109" s="52" t="str">
        <f>VLOOKUP(Tabla3[[#This Row],[Site]],'Important Info!'!$A$1:$J$135,10,FALSE)</f>
        <v>https://tools.sig.systems/site/details/171</v>
      </c>
      <c r="I2109" s="65" t="s">
        <v>125</v>
      </c>
      <c r="J2109" t="s">
        <v>41</v>
      </c>
      <c r="K2109" s="79" t="str">
        <f>VLOOKUP(Tabla3[[#This Row],[Site]],'Important Info!'!$A$1:$H$135,8,FALSE)</f>
        <v>-</v>
      </c>
      <c r="L2109" s="52" t="str">
        <f>VLOOKUP(Tabla3[[#This Row],[Site]],'Important Info!'!$A$1:$F$135,2,FALSE)</f>
        <v>3, 6, 9, 27, 31, 35</v>
      </c>
      <c r="M2109" s="52" t="str">
        <f>VLOOKUP(Tabla3[[#This Row],[Site]],'Important Info!'!$A$1:$F$135,3,FALSE)</f>
        <v>-</v>
      </c>
      <c r="N2109" s="52" t="str">
        <f>VLOOKUP(Tabla3[[#This Row],[Site]],'Important Info!'!$A$1:$F$135,4,FALSE)</f>
        <v>-</v>
      </c>
      <c r="O2109" s="52" t="str">
        <f>VLOOKUP(Tabla3[[#This Row],[Site]],'Important Info!'!$A$1:$F$135,5,FALSE)</f>
        <v>27, 32</v>
      </c>
      <c r="P2109" s="52" t="str">
        <f>VLOOKUP(Tabla3[[#This Row],[Site]],'Important Info!'!$A$1:$F$135,6,FALSE)</f>
        <v>-</v>
      </c>
      <c r="Q2109" s="91">
        <f>VLOOKUP(Tabla3[[#This Row],[Site]],'Important Info!'!$A$1:$J$135,9,FALSE)</f>
        <v>171</v>
      </c>
    </row>
    <row r="2110" spans="1:17" x14ac:dyDescent="0.25">
      <c r="A2110" t="str">
        <f>+Tabla3[[#This Row],[Site]]&amp;Tabla3[[#This Row],[Split]]</f>
        <v>(DT) Denver (NO TOURS)22</v>
      </c>
      <c r="B2110">
        <v>22</v>
      </c>
      <c r="C2110">
        <v>4</v>
      </c>
      <c r="D2110" t="s">
        <v>44</v>
      </c>
      <c r="E2110" t="s">
        <v>53</v>
      </c>
      <c r="F2110" t="s">
        <v>157</v>
      </c>
      <c r="G2110" t="s">
        <v>45</v>
      </c>
      <c r="H2110" s="52" t="str">
        <f>VLOOKUP(Tabla3[[#This Row],[Site]],'Important Info!'!$A$1:$J$135,10,FALSE)</f>
        <v>https://tools.sig.systems/site/details/203</v>
      </c>
      <c r="I2110" s="43" t="s">
        <v>158</v>
      </c>
      <c r="J2110" t="s">
        <v>41</v>
      </c>
      <c r="K2110" s="79" t="str">
        <f>VLOOKUP(Tabla3[[#This Row],[Site]],'Important Info!'!$A$1:$H$135,8,FALSE)</f>
        <v>-</v>
      </c>
      <c r="L2110" s="52" t="str">
        <f>VLOOKUP(Tabla3[[#This Row],[Site]],'Important Info!'!$A$1:$F$135,2,FALSE)</f>
        <v>-</v>
      </c>
      <c r="M2110" s="52" t="str">
        <f>VLOOKUP(Tabla3[[#This Row],[Site]],'Important Info!'!$A$1:$F$135,3,FALSE)</f>
        <v>7, 8</v>
      </c>
      <c r="N2110" s="52" t="str">
        <f>VLOOKUP(Tabla3[[#This Row],[Site]],'Important Info!'!$A$1:$F$135,4,FALSE)</f>
        <v>-</v>
      </c>
      <c r="O2110" s="52" t="str">
        <f>VLOOKUP(Tabla3[[#This Row],[Site]],'Important Info!'!$A$1:$F$135,5,FALSE)</f>
        <v>-</v>
      </c>
      <c r="P2110" s="52" t="str">
        <f>VLOOKUP(Tabla3[[#This Row],[Site]],'Important Info!'!$A$1:$F$135,6,FALSE)</f>
        <v>7, 8</v>
      </c>
      <c r="Q2110" s="91">
        <f>VLOOKUP(Tabla3[[#This Row],[Site]],'Important Info!'!$A$1:$J$135,9,FALSE)</f>
        <v>203</v>
      </c>
    </row>
    <row r="2111" spans="1:17" x14ac:dyDescent="0.25">
      <c r="A2111" t="str">
        <f>+Tabla3[[#This Row],[Site]]&amp;Tabla3[[#This Row],[Split]]</f>
        <v>(ML) Joe Machens VW22</v>
      </c>
      <c r="B2111">
        <v>22</v>
      </c>
      <c r="C2111">
        <v>4</v>
      </c>
      <c r="D2111" t="s">
        <v>33</v>
      </c>
      <c r="E2111" t="s">
        <v>46</v>
      </c>
      <c r="F2111" t="s">
        <v>74</v>
      </c>
      <c r="G2111" t="s">
        <v>34</v>
      </c>
      <c r="H2111" s="52" t="str">
        <f>VLOOKUP(Tabla3[[#This Row],[Site]],'Important Info!'!$A$1:$J$135,10,FALSE)</f>
        <v>https://tools.sig.systems/site/details/274</v>
      </c>
      <c r="I2111" s="2" t="s">
        <v>146</v>
      </c>
      <c r="J2111" t="s">
        <v>41</v>
      </c>
      <c r="K2111" s="79" t="str">
        <f>VLOOKUP(Tabla3[[#This Row],[Site]],'Important Info!'!$A$1:$H$135,8,FALSE)</f>
        <v>-</v>
      </c>
      <c r="L2111" s="52" t="str">
        <f>VLOOKUP(Tabla3[[#This Row],[Site]],'Important Info!'!$A$1:$F$135,2,FALSE)</f>
        <v>-</v>
      </c>
      <c r="M2111" s="52" t="str">
        <f>VLOOKUP(Tabla3[[#This Row],[Site]],'Important Info!'!$A$1:$F$135,3,FALSE)</f>
        <v>1, 11, 18</v>
      </c>
      <c r="N2111" s="52" t="str">
        <f>VLOOKUP(Tabla3[[#This Row],[Site]],'Important Info!'!$A$1:$F$135,4,FALSE)</f>
        <v>-</v>
      </c>
      <c r="O2111" s="52">
        <f>VLOOKUP(Tabla3[[#This Row],[Site]],'Important Info!'!$A$1:$F$135,5,FALSE)</f>
        <v>17</v>
      </c>
      <c r="P2111" s="52" t="str">
        <f>VLOOKUP(Tabla3[[#This Row],[Site]],'Important Info!'!$A$1:$F$135,6,FALSE)</f>
        <v>-</v>
      </c>
      <c r="Q2111" s="91">
        <f>VLOOKUP(Tabla3[[#This Row],[Site]],'Important Info!'!$A$1:$J$135,9,FALSE)</f>
        <v>274</v>
      </c>
    </row>
    <row r="2112" spans="1:17" x14ac:dyDescent="0.25">
      <c r="A2112" t="str">
        <f>+Tabla3[[#This Row],[Site]]&amp;Tabla3[[#This Row],[Split]]</f>
        <v>(ML) Nissan of Little Rock22</v>
      </c>
      <c r="B2112">
        <v>22</v>
      </c>
      <c r="C2112">
        <v>4</v>
      </c>
      <c r="D2112" t="s">
        <v>33</v>
      </c>
      <c r="E2112" t="s">
        <v>46</v>
      </c>
      <c r="F2112" t="s">
        <v>152</v>
      </c>
      <c r="G2112" t="s">
        <v>34</v>
      </c>
      <c r="H2112" s="52" t="str">
        <f>VLOOKUP(Tabla3[[#This Row],[Site]],'Important Info!'!$A$1:$J$135,10,FALSE)</f>
        <v>https://tools.sig.systems/site/details/224</v>
      </c>
      <c r="I2112" t="s">
        <v>140</v>
      </c>
      <c r="J2112" t="s">
        <v>41</v>
      </c>
      <c r="K2112" s="79" t="str">
        <f>VLOOKUP(Tabla3[[#This Row],[Site]],'Important Info!'!$A$1:$H$135,8,FALSE)</f>
        <v>-</v>
      </c>
      <c r="L2112" s="52" t="str">
        <f>VLOOKUP(Tabla3[[#This Row],[Site]],'Important Info!'!$A$1:$F$135,2,FALSE)</f>
        <v>3, 6</v>
      </c>
      <c r="M2112" s="52" t="str">
        <f>VLOOKUP(Tabla3[[#This Row],[Site]],'Important Info!'!$A$1:$F$135,3,FALSE)</f>
        <v>-</v>
      </c>
      <c r="N2112" s="52" t="str">
        <f>VLOOKUP(Tabla3[[#This Row],[Site]],'Important Info!'!$A$1:$F$135,4,FALSE)</f>
        <v>-</v>
      </c>
      <c r="O2112" s="52" t="str">
        <f>VLOOKUP(Tabla3[[#This Row],[Site]],'Important Info!'!$A$1:$F$135,5,FALSE)</f>
        <v>1, 8, 16, 22</v>
      </c>
      <c r="P2112" s="52" t="str">
        <f>VLOOKUP(Tabla3[[#This Row],[Site]],'Important Info!'!$A$1:$F$135,6,FALSE)</f>
        <v>3, 4</v>
      </c>
      <c r="Q2112" s="91">
        <f>VLOOKUP(Tabla3[[#This Row],[Site]],'Important Info!'!$A$1:$J$135,9,FALSE)</f>
        <v>224</v>
      </c>
    </row>
    <row r="2113" spans="1:17" x14ac:dyDescent="0.25">
      <c r="A2113" t="str">
        <f>+Tabla3[[#This Row],[Site]]&amp;Tabla3[[#This Row],[Split]]</f>
        <v>(SCH) Chevrolet North Palm22</v>
      </c>
      <c r="B2113">
        <v>22</v>
      </c>
      <c r="C2113">
        <v>4</v>
      </c>
      <c r="D2113" t="s">
        <v>62</v>
      </c>
      <c r="E2113" t="s">
        <v>35</v>
      </c>
      <c r="F2113" t="s">
        <v>101</v>
      </c>
      <c r="G2113" t="s">
        <v>490</v>
      </c>
      <c r="H2113" s="52" t="str">
        <f>VLOOKUP(Tabla3[[#This Row],[Site]],'Important Info!'!$A$1:$J$135,10,FALSE)</f>
        <v>https://tools.sig.systems/site/details/160</v>
      </c>
      <c r="I2113" s="2"/>
      <c r="J2113" t="s">
        <v>36</v>
      </c>
      <c r="K2113" s="79" t="str">
        <f>VLOOKUP(Tabla3[[#This Row],[Site]],'Important Info!'!$A$1:$H$135,8,FALSE)</f>
        <v>-</v>
      </c>
      <c r="L2113" s="52" t="str">
        <f>VLOOKUP(Tabla3[[#This Row],[Site]],'Important Info!'!$A$1:$F$135,2,FALSE)</f>
        <v xml:space="preserve">7, 10B, 11, 15 </v>
      </c>
      <c r="M2113" s="52" t="str">
        <f>VLOOKUP(Tabla3[[#This Row],[Site]],'Important Info!'!$A$1:$F$135,3,FALSE)</f>
        <v>-</v>
      </c>
      <c r="N2113" s="52" t="str">
        <f>VLOOKUP(Tabla3[[#This Row],[Site]],'Important Info!'!$A$1:$F$135,4,FALSE)</f>
        <v>-</v>
      </c>
      <c r="O2113" s="52" t="str">
        <f>VLOOKUP(Tabla3[[#This Row],[Site]],'Important Info!'!$A$1:$F$135,5,FALSE)</f>
        <v>-</v>
      </c>
      <c r="P2113" s="52" t="str">
        <f>VLOOKUP(Tabla3[[#This Row],[Site]],'Important Info!'!$A$1:$F$135,6,FALSE)</f>
        <v>1, 15, 16, 17, 18, 19, 20</v>
      </c>
      <c r="Q2113" s="91">
        <f>VLOOKUP(Tabla3[[#This Row],[Site]],'Important Info!'!$A$1:$J$135,9,FALSE)</f>
        <v>160</v>
      </c>
    </row>
    <row r="2114" spans="1:17" x14ac:dyDescent="0.25">
      <c r="A2114" t="str">
        <f>+Tabla3[[#This Row],[Site]]&amp;Tabla3[[#This Row],[Split]]</f>
        <v>SIG Office22</v>
      </c>
      <c r="B2114">
        <v>22</v>
      </c>
      <c r="C2114">
        <v>4</v>
      </c>
      <c r="D2114" t="s">
        <v>60</v>
      </c>
      <c r="E2114" t="s">
        <v>35</v>
      </c>
      <c r="F2114" t="s">
        <v>169</v>
      </c>
      <c r="G2114" t="s">
        <v>41</v>
      </c>
      <c r="H2114" s="52" t="str">
        <f>VLOOKUP(Tabla3[[#This Row],[Site]],'Important Info!'!$A$1:$J$135,10,FALSE)</f>
        <v>https://tools.sig.systems/site/details/163</v>
      </c>
      <c r="J2114" t="s">
        <v>41</v>
      </c>
      <c r="K2114" s="79" t="str">
        <f>VLOOKUP(Tabla3[[#This Row],[Site]],'Important Info!'!$A$1:$H$135,8,FALSE)</f>
        <v>-</v>
      </c>
      <c r="L2114" s="52" t="str">
        <f>VLOOKUP(Tabla3[[#This Row],[Site]],'Important Info!'!$A$1:$F$135,2,FALSE)</f>
        <v>-</v>
      </c>
      <c r="M2114" s="52" t="str">
        <f>VLOOKUP(Tabla3[[#This Row],[Site]],'Important Info!'!$A$1:$F$135,3,FALSE)</f>
        <v>-</v>
      </c>
      <c r="N2114" s="52" t="str">
        <f>VLOOKUP(Tabla3[[#This Row],[Site]],'Important Info!'!$A$1:$F$135,4,FALSE)</f>
        <v>-</v>
      </c>
      <c r="O2114" s="52" t="str">
        <f>VLOOKUP(Tabla3[[#This Row],[Site]],'Important Info!'!$A$1:$F$135,5,FALSE)</f>
        <v>-</v>
      </c>
      <c r="P2114" s="52">
        <f>VLOOKUP(Tabla3[[#This Row],[Site]],'Important Info!'!$A$1:$F$135,6,FALSE)</f>
        <v>25</v>
      </c>
      <c r="Q2114" s="91">
        <f>VLOOKUP(Tabla3[[#This Row],[Site]],'Important Info!'!$A$1:$J$135,9,FALSE)</f>
        <v>163</v>
      </c>
    </row>
    <row r="2115" spans="1:17" x14ac:dyDescent="0.25">
      <c r="A2115" t="str">
        <f>+Tabla3[[#This Row],[Site]]&amp;Tabla3[[#This Row],[Split]]</f>
        <v>(AS) Mercedes Benz/Porsche Dallas I,II,III (NO TOURS)22</v>
      </c>
      <c r="B2115">
        <v>22</v>
      </c>
      <c r="C2115">
        <v>5</v>
      </c>
      <c r="D2115" t="s">
        <v>33</v>
      </c>
      <c r="E2115" t="s">
        <v>46</v>
      </c>
      <c r="F2115" t="s">
        <v>509</v>
      </c>
      <c r="G2115" t="s">
        <v>34</v>
      </c>
      <c r="H2115" s="52" t="str">
        <f>VLOOKUP(Tabla3[[#This Row],[Site]],'Important Info!'!$A$1:$J$135,10,FALSE)</f>
        <v>https://tools.sig.systems/site/details/168</v>
      </c>
      <c r="I2115" s="65" t="s">
        <v>125</v>
      </c>
      <c r="J2115" t="s">
        <v>41</v>
      </c>
      <c r="K2115" s="79" t="str">
        <f>VLOOKUP(Tabla3[[#This Row],[Site]],'Important Info!'!$A$1:$H$135,8,FALSE)</f>
        <v>-</v>
      </c>
      <c r="L2115" s="52" t="str">
        <f>VLOOKUP(Tabla3[[#This Row],[Site]],'Important Info!'!$A$1:$F$135,2,FALSE)</f>
        <v>3, 4, 17, 26, 41</v>
      </c>
      <c r="M2115" s="52" t="str">
        <f>VLOOKUP(Tabla3[[#This Row],[Site]],'Important Info!'!$A$1:$F$135,3,FALSE)</f>
        <v>-</v>
      </c>
      <c r="N2115" s="52" t="str">
        <f>VLOOKUP(Tabla3[[#This Row],[Site]],'Important Info!'!$A$1:$F$135,4,FALSE)</f>
        <v>153, 154, 155, 156, 157, 158</v>
      </c>
      <c r="O2115" s="52" t="str">
        <f>VLOOKUP(Tabla3[[#This Row],[Site]],'Important Info!'!$A$1:$F$135,5,FALSE)</f>
        <v>2, 6, 10, 20, 28, 30, 36</v>
      </c>
      <c r="P2115" s="52" t="str">
        <f>VLOOKUP(Tabla3[[#This Row],[Site]],'Important Info!'!$A$1:$F$135,6,FALSE)</f>
        <v>31, 41, 159</v>
      </c>
      <c r="Q2115" s="91">
        <f>VLOOKUP(Tabla3[[#This Row],[Site]],'Important Info!'!$A$1:$J$135,9,FALSE)</f>
        <v>168</v>
      </c>
    </row>
    <row r="2116" spans="1:17" x14ac:dyDescent="0.25">
      <c r="A2116" t="str">
        <f>+Tabla3[[#This Row],[Site]]&amp;Tabla3[[#This Row],[Split]]</f>
        <v>(ML) BMW of Little Rock22</v>
      </c>
      <c r="B2116">
        <v>22</v>
      </c>
      <c r="C2116">
        <v>5</v>
      </c>
      <c r="D2116" t="s">
        <v>33</v>
      </c>
      <c r="E2116" t="s">
        <v>46</v>
      </c>
      <c r="F2116" t="s">
        <v>139</v>
      </c>
      <c r="G2116" t="s">
        <v>34</v>
      </c>
      <c r="H2116" s="52" t="str">
        <f>VLOOKUP(Tabla3[[#This Row],[Site]],'Important Info!'!$A$1:$J$135,10,FALSE)</f>
        <v>https://tools.sig.systems/site/details/217</v>
      </c>
      <c r="I2116" t="s">
        <v>140</v>
      </c>
      <c r="J2116" t="s">
        <v>41</v>
      </c>
      <c r="K2116" s="79" t="str">
        <f>VLOOKUP(Tabla3[[#This Row],[Site]],'Important Info!'!$A$1:$H$135,8,FALSE)</f>
        <v>-</v>
      </c>
      <c r="L2116" s="52" t="str">
        <f>VLOOKUP(Tabla3[[#This Row],[Site]],'Important Info!'!$A$1:$F$135,2,FALSE)</f>
        <v>-</v>
      </c>
      <c r="M2116" s="52">
        <f>VLOOKUP(Tabla3[[#This Row],[Site]],'Important Info!'!$A$1:$F$135,3,FALSE)</f>
        <v>14</v>
      </c>
      <c r="N2116" s="52" t="str">
        <f>VLOOKUP(Tabla3[[#This Row],[Site]],'Important Info!'!$A$1:$F$135,4,FALSE)</f>
        <v>-</v>
      </c>
      <c r="O2116" s="52" t="str">
        <f>VLOOKUP(Tabla3[[#This Row],[Site]],'Important Info!'!$A$1:$F$135,5,FALSE)</f>
        <v>-</v>
      </c>
      <c r="P2116" s="52" t="str">
        <f>VLOOKUP(Tabla3[[#This Row],[Site]],'Important Info!'!$A$1:$F$135,6,FALSE)</f>
        <v>5, 6, 7, 8, 9, 32</v>
      </c>
      <c r="Q2116" s="91">
        <f>VLOOKUP(Tabla3[[#This Row],[Site]],'Important Info!'!$A$1:$J$135,9,FALSE)</f>
        <v>217</v>
      </c>
    </row>
    <row r="2117" spans="1:17" x14ac:dyDescent="0.25">
      <c r="A2117" t="str">
        <f>+Tabla3[[#This Row],[Site]]&amp;Tabla3[[#This Row],[Split]]</f>
        <v>(ML) Joe Machens Toyota22</v>
      </c>
      <c r="B2117">
        <v>22</v>
      </c>
      <c r="C2117">
        <v>5</v>
      </c>
      <c r="D2117" t="s">
        <v>33</v>
      </c>
      <c r="E2117" t="s">
        <v>46</v>
      </c>
      <c r="F2117" t="s">
        <v>73</v>
      </c>
      <c r="G2117" t="s">
        <v>34</v>
      </c>
      <c r="H2117" s="52" t="str">
        <f>VLOOKUP(Tabla3[[#This Row],[Site]],'Important Info!'!$A$1:$J$135,10,FALSE)</f>
        <v>https://tools.sig.systems/site/details/275</v>
      </c>
      <c r="I2117" s="43" t="s">
        <v>146</v>
      </c>
      <c r="J2117" t="s">
        <v>41</v>
      </c>
      <c r="K2117" s="79" t="str">
        <f>VLOOKUP(Tabla3[[#This Row],[Site]],'Important Info!'!$A$1:$H$135,8,FALSE)</f>
        <v>-</v>
      </c>
      <c r="L2117" s="52" t="str">
        <f>VLOOKUP(Tabla3[[#This Row],[Site]],'Important Info!'!$A$1:$F$135,2,FALSE)</f>
        <v>-</v>
      </c>
      <c r="M2117" s="52" t="str">
        <f>VLOOKUP(Tabla3[[#This Row],[Site]],'Important Info!'!$A$1:$F$135,3,FALSE)</f>
        <v>1, 4, 6</v>
      </c>
      <c r="N2117" s="52" t="str">
        <f>VLOOKUP(Tabla3[[#This Row],[Site]],'Important Info!'!$A$1:$F$135,4,FALSE)</f>
        <v>-</v>
      </c>
      <c r="O2117" s="52" t="str">
        <f>VLOOKUP(Tabla3[[#This Row],[Site]],'Important Info!'!$A$1:$F$135,5,FALSE)</f>
        <v>4, 10</v>
      </c>
      <c r="P2117" s="52" t="str">
        <f>VLOOKUP(Tabla3[[#This Row],[Site]],'Important Info!'!$A$1:$F$135,6,FALSE)</f>
        <v>-</v>
      </c>
      <c r="Q2117" s="91">
        <f>VLOOKUP(Tabla3[[#This Row],[Site]],'Important Info!'!$A$1:$J$135,9,FALSE)</f>
        <v>275</v>
      </c>
    </row>
    <row r="2118" spans="1:17" x14ac:dyDescent="0.25">
      <c r="A2118" t="str">
        <f>+Tabla3[[#This Row],[Site]]&amp;Tabla3[[#This Row],[Split]]</f>
        <v>(PE) JLR PDI (NO TOURS)22</v>
      </c>
      <c r="B2118">
        <v>22</v>
      </c>
      <c r="C2118">
        <v>5</v>
      </c>
      <c r="D2118" t="s">
        <v>485</v>
      </c>
      <c r="E2118" t="s">
        <v>35</v>
      </c>
      <c r="F2118" t="s">
        <v>114</v>
      </c>
      <c r="G2118" t="s">
        <v>490</v>
      </c>
      <c r="H2118" s="52" t="str">
        <f>VLOOKUP(Tabla3[[#This Row],[Site]],'Important Info!'!$A$1:$J$135,10,FALSE)</f>
        <v>https://tools.sig.systems/site/details/179</v>
      </c>
      <c r="I2118" t="s">
        <v>176</v>
      </c>
      <c r="J2118" t="s">
        <v>41</v>
      </c>
      <c r="K2118" s="79" t="str">
        <f>VLOOKUP(Tabla3[[#This Row],[Site]],'Important Info!'!$A$1:$H$135,8,FALSE)</f>
        <v>-</v>
      </c>
      <c r="L2118" s="52" t="str">
        <f>VLOOKUP(Tabla3[[#This Row],[Site]],'Important Info!'!$A$1:$F$135,2,FALSE)</f>
        <v>3, 8</v>
      </c>
      <c r="M2118" s="52" t="str">
        <f>VLOOKUP(Tabla3[[#This Row],[Site]],'Important Info!'!$A$1:$F$135,3,FALSE)</f>
        <v>-</v>
      </c>
      <c r="N2118" s="52" t="str">
        <f>VLOOKUP(Tabla3[[#This Row],[Site]],'Important Info!'!$A$1:$F$135,4,FALSE)</f>
        <v>-</v>
      </c>
      <c r="O2118" s="52" t="str">
        <f>VLOOKUP(Tabla3[[#This Row],[Site]],'Important Info!'!$A$1:$F$135,5,FALSE)</f>
        <v>-</v>
      </c>
      <c r="P2118" s="52" t="str">
        <f>VLOOKUP(Tabla3[[#This Row],[Site]],'Important Info!'!$A$1:$F$135,6,FALSE)</f>
        <v>-</v>
      </c>
      <c r="Q2118" s="91">
        <f>VLOOKUP(Tabla3[[#This Row],[Site]],'Important Info!'!$A$1:$J$135,9,FALSE)</f>
        <v>179</v>
      </c>
    </row>
    <row r="2119" spans="1:17" x14ac:dyDescent="0.25">
      <c r="A2119" t="str">
        <f>+Tabla3[[#This Row],[Site]]&amp;Tabla3[[#This Row],[Split]]</f>
        <v>(AS) Park Place Sprinter Van Center (NO TOURS)22</v>
      </c>
      <c r="B2119">
        <v>22</v>
      </c>
      <c r="C2119">
        <v>6</v>
      </c>
      <c r="D2119" t="s">
        <v>33</v>
      </c>
      <c r="E2119" t="s">
        <v>46</v>
      </c>
      <c r="F2119" t="s">
        <v>520</v>
      </c>
      <c r="G2119" t="s">
        <v>34</v>
      </c>
      <c r="H2119" s="52" t="str">
        <f>VLOOKUP(Tabla3[[#This Row],[Site]],'Important Info!'!$A$1:$J$135,10,FALSE)</f>
        <v>https://tools.sig.systems/site/details/138</v>
      </c>
      <c r="I2119" s="65" t="s">
        <v>125</v>
      </c>
      <c r="J2119" t="s">
        <v>41</v>
      </c>
      <c r="K2119" s="79" t="str">
        <f>VLOOKUP(Tabla3[[#This Row],[Site]],'Important Info!'!$A$1:$H$135,8,FALSE)</f>
        <v>-</v>
      </c>
      <c r="L2119" s="52">
        <f>VLOOKUP(Tabla3[[#This Row],[Site]],'Important Info!'!$A$1:$F$135,2,FALSE)</f>
        <v>1</v>
      </c>
      <c r="M2119" s="52" t="str">
        <f>VLOOKUP(Tabla3[[#This Row],[Site]],'Important Info!'!$A$1:$F$135,3,FALSE)</f>
        <v>-</v>
      </c>
      <c r="N2119" s="52" t="str">
        <f>VLOOKUP(Tabla3[[#This Row],[Site]],'Important Info!'!$A$1:$F$135,4,FALSE)</f>
        <v>-</v>
      </c>
      <c r="O2119" s="52" t="str">
        <f>VLOOKUP(Tabla3[[#This Row],[Site]],'Important Info!'!$A$1:$F$135,5,FALSE)</f>
        <v>-</v>
      </c>
      <c r="P2119" s="52" t="str">
        <f>VLOOKUP(Tabla3[[#This Row],[Site]],'Important Info!'!$A$1:$F$135,6,FALSE)</f>
        <v>1, 3</v>
      </c>
      <c r="Q2119" s="91">
        <f>VLOOKUP(Tabla3[[#This Row],[Site]],'Important Info!'!$A$1:$J$135,9,FALSE)</f>
        <v>138</v>
      </c>
    </row>
    <row r="2120" spans="1:17" x14ac:dyDescent="0.25">
      <c r="A2120" t="str">
        <f>+Tabla3[[#This Row],[Site]]&amp;Tabla3[[#This Row],[Split]]</f>
        <v>(HUD) Honda of Southpoint22</v>
      </c>
      <c r="B2120">
        <v>22</v>
      </c>
      <c r="C2120">
        <v>6</v>
      </c>
      <c r="D2120" t="s">
        <v>62</v>
      </c>
      <c r="E2120" t="s">
        <v>35</v>
      </c>
      <c r="F2120" t="s">
        <v>65</v>
      </c>
      <c r="G2120" t="s">
        <v>490</v>
      </c>
      <c r="H2120" s="52" t="str">
        <f>VLOOKUP(Tabla3[[#This Row],[Site]],'Important Info!'!$A$1:$J$135,10,FALSE)</f>
        <v>https://tools.sig.systems/site/details/195</v>
      </c>
      <c r="I2120" s="43"/>
      <c r="J2120" t="s">
        <v>484</v>
      </c>
      <c r="K2120" s="79" t="str">
        <f>VLOOKUP(Tabla3[[#This Row],[Site]],'Important Info!'!$A$1:$H$135,8,FALSE)</f>
        <v>-</v>
      </c>
      <c r="L2120" s="52" t="str">
        <f>VLOOKUP(Tabla3[[#This Row],[Site]],'Important Info!'!$A$1:$F$135,2,FALSE)</f>
        <v>2, 12, 18</v>
      </c>
      <c r="M2120" s="52">
        <f>VLOOKUP(Tabla3[[#This Row],[Site]],'Important Info!'!$A$1:$F$135,3,FALSE)</f>
        <v>13</v>
      </c>
      <c r="N2120" s="52" t="str">
        <f>VLOOKUP(Tabla3[[#This Row],[Site]],'Important Info!'!$A$1:$F$135,4,FALSE)</f>
        <v>-</v>
      </c>
      <c r="O2120" s="52" t="str">
        <f>VLOOKUP(Tabla3[[#This Row],[Site]],'Important Info!'!$A$1:$F$135,5,FALSE)</f>
        <v>2, 15</v>
      </c>
      <c r="P2120" s="52" t="str">
        <f>VLOOKUP(Tabla3[[#This Row],[Site]],'Important Info!'!$A$1:$F$135,6,FALSE)</f>
        <v>-</v>
      </c>
      <c r="Q2120" s="91">
        <f>VLOOKUP(Tabla3[[#This Row],[Site]],'Important Info!'!$A$1:$J$135,9,FALSE)</f>
        <v>195</v>
      </c>
    </row>
    <row r="2121" spans="1:17" x14ac:dyDescent="0.25">
      <c r="A2121" t="str">
        <f>+Tabla3[[#This Row],[Site]]&amp;Tabla3[[#This Row],[Split]]</f>
        <v>(KG) Truck Center Remote Storage Lot22</v>
      </c>
      <c r="B2121">
        <v>22</v>
      </c>
      <c r="C2121">
        <v>6</v>
      </c>
      <c r="D2121" t="s">
        <v>60</v>
      </c>
      <c r="E2121" t="s">
        <v>53</v>
      </c>
      <c r="F2121" t="s">
        <v>61</v>
      </c>
      <c r="G2121" t="s">
        <v>41</v>
      </c>
      <c r="H2121" s="52" t="str">
        <f>VLOOKUP(Tabla3[[#This Row],[Site]],'Important Info!'!$A$1:$J$135,10,FALSE)</f>
        <v>https://tools.sig.systems/site/details/144</v>
      </c>
      <c r="I2121" s="2"/>
      <c r="J2121" t="s">
        <v>41</v>
      </c>
      <c r="K2121" s="79" t="str">
        <f>VLOOKUP(Tabla3[[#This Row],[Site]],'Important Info!'!$A$1:$H$135,8,FALSE)</f>
        <v>-</v>
      </c>
      <c r="L2121" s="52" t="str">
        <f>VLOOKUP(Tabla3[[#This Row],[Site]],'Important Info!'!$A$1:$F$135,2,FALSE)</f>
        <v>4, A23, A49</v>
      </c>
      <c r="M2121" s="52" t="str">
        <f>VLOOKUP(Tabla3[[#This Row],[Site]],'Important Info!'!$A$1:$F$135,3,FALSE)</f>
        <v>5, 24</v>
      </c>
      <c r="N2121" s="52" t="str">
        <f>VLOOKUP(Tabla3[[#This Row],[Site]],'Important Info!'!$A$1:$F$135,4,FALSE)</f>
        <v>-</v>
      </c>
      <c r="O2121" s="52" t="str">
        <f>VLOOKUP(Tabla3[[#This Row],[Site]],'Important Info!'!$A$1:$F$135,5,FALSE)</f>
        <v>1, 7, 11, 15, 19, 24, 25</v>
      </c>
      <c r="P2121" s="52" t="str">
        <f>VLOOKUP(Tabla3[[#This Row],[Site]],'Important Info!'!$A$1:$F$135,6,FALSE)</f>
        <v>9, 20, 24, A49</v>
      </c>
      <c r="Q2121" s="91">
        <f>VLOOKUP(Tabla3[[#This Row],[Site]],'Important Info!'!$A$1:$J$135,9,FALSE)</f>
        <v>144</v>
      </c>
    </row>
    <row r="2122" spans="1:17" x14ac:dyDescent="0.25">
      <c r="A2122" t="str">
        <f>+Tabla3[[#This Row],[Site]]&amp;Tabla3[[#This Row],[Split]]</f>
        <v>(ML) Joe Machens E Collision Center22</v>
      </c>
      <c r="B2122">
        <v>22</v>
      </c>
      <c r="C2122">
        <v>6</v>
      </c>
      <c r="D2122" t="s">
        <v>33</v>
      </c>
      <c r="E2122" t="s">
        <v>46</v>
      </c>
      <c r="F2122" t="s">
        <v>147</v>
      </c>
      <c r="G2122" t="s">
        <v>34</v>
      </c>
      <c r="H2122" s="52" t="str">
        <f>VLOOKUP(Tabla3[[#This Row],[Site]],'Important Info!'!$A$1:$J$135,10,FALSE)</f>
        <v>https://tools.sig.systems/site/details/277</v>
      </c>
      <c r="I2122" s="2" t="s">
        <v>146</v>
      </c>
      <c r="J2122" t="s">
        <v>41</v>
      </c>
      <c r="K2122" s="79" t="str">
        <f>VLOOKUP(Tabla3[[#This Row],[Site]],'Important Info!'!$A$1:$H$135,8,FALSE)</f>
        <v>-</v>
      </c>
      <c r="L2122" s="52">
        <f>VLOOKUP(Tabla3[[#This Row],[Site]],'Important Info!'!$A$1:$F$135,2,FALSE)</f>
        <v>1</v>
      </c>
      <c r="M2122" s="52" t="str">
        <f>VLOOKUP(Tabla3[[#This Row],[Site]],'Important Info!'!$A$1:$F$135,3,FALSE)</f>
        <v>-</v>
      </c>
      <c r="N2122" s="52" t="str">
        <f>VLOOKUP(Tabla3[[#This Row],[Site]],'Important Info!'!$A$1:$F$135,4,FALSE)</f>
        <v>-</v>
      </c>
      <c r="O2122" s="52">
        <f>VLOOKUP(Tabla3[[#This Row],[Site]],'Important Info!'!$A$1:$F$135,5,FALSE)</f>
        <v>5</v>
      </c>
      <c r="P2122" s="52" t="str">
        <f>VLOOKUP(Tabla3[[#This Row],[Site]],'Important Info!'!$A$1:$F$135,6,FALSE)</f>
        <v>1, 2, 3, 4</v>
      </c>
      <c r="Q2122" s="91">
        <f>VLOOKUP(Tabla3[[#This Row],[Site]],'Important Info!'!$A$1:$J$135,9,FALSE)</f>
        <v>277</v>
      </c>
    </row>
    <row r="2123" spans="1:17" x14ac:dyDescent="0.25">
      <c r="A2123" t="str">
        <f>+Tabla3[[#This Row],[Site]]&amp;Tabla3[[#This Row],[Split]]</f>
        <v>(PE) BMW of Mamaroneck (NO TOURS)22</v>
      </c>
      <c r="B2123">
        <v>22</v>
      </c>
      <c r="C2123">
        <v>6</v>
      </c>
      <c r="D2123" t="s">
        <v>485</v>
      </c>
      <c r="E2123" t="s">
        <v>35</v>
      </c>
      <c r="F2123" t="s">
        <v>172</v>
      </c>
      <c r="G2123" t="s">
        <v>490</v>
      </c>
      <c r="H2123" s="52" t="str">
        <f>VLOOKUP(Tabla3[[#This Row],[Site]],'Important Info!'!$A$1:$J$135,10,FALSE)</f>
        <v>https://tools.sig.systems/site/details/185</v>
      </c>
      <c r="I2123" s="2"/>
      <c r="J2123" t="s">
        <v>41</v>
      </c>
      <c r="K2123" s="79" t="str">
        <f>VLOOKUP(Tabla3[[#This Row],[Site]],'Important Info!'!$A$1:$H$135,8,FALSE)</f>
        <v>-</v>
      </c>
      <c r="L2123" s="52">
        <f>VLOOKUP(Tabla3[[#This Row],[Site]],'Important Info!'!$A$1:$F$135,2,FALSE)</f>
        <v>9</v>
      </c>
      <c r="M2123" s="52" t="str">
        <f>VLOOKUP(Tabla3[[#This Row],[Site]],'Important Info!'!$A$1:$F$135,3,FALSE)</f>
        <v>2, 3, 4, 5</v>
      </c>
      <c r="N2123" s="52" t="str">
        <f>VLOOKUP(Tabla3[[#This Row],[Site]],'Important Info!'!$A$1:$F$135,4,FALSE)</f>
        <v>-</v>
      </c>
      <c r="O2123" s="52" t="str">
        <f>VLOOKUP(Tabla3[[#This Row],[Site]],'Important Info!'!$A$1:$F$135,5,FALSE)</f>
        <v>-</v>
      </c>
      <c r="P2123" s="52" t="str">
        <f>VLOOKUP(Tabla3[[#This Row],[Site]],'Important Info!'!$A$1:$F$135,6,FALSE)</f>
        <v>4, 6, 7, 8</v>
      </c>
      <c r="Q2123" s="91">
        <f>VLOOKUP(Tabla3[[#This Row],[Site]],'Important Info!'!$A$1:$J$135,9,FALSE)</f>
        <v>185</v>
      </c>
    </row>
    <row r="2124" spans="1:17" x14ac:dyDescent="0.25">
      <c r="A2124" t="str">
        <f>+Tabla3[[#This Row],[Site]]&amp;Tabla3[[#This Row],[Split]]</f>
        <v>(RML) Burleson Nissan22</v>
      </c>
      <c r="B2124">
        <v>22</v>
      </c>
      <c r="C2124">
        <v>6</v>
      </c>
      <c r="D2124" t="s">
        <v>33</v>
      </c>
      <c r="E2124" t="s">
        <v>46</v>
      </c>
      <c r="F2124" t="s">
        <v>107</v>
      </c>
      <c r="G2124" t="s">
        <v>34</v>
      </c>
      <c r="H2124" s="52" t="str">
        <f>VLOOKUP(Tabla3[[#This Row],[Site]],'Important Info!'!$A$1:$J$135,10,FALSE)</f>
        <v>https://tools.sig.systems/site/details/202</v>
      </c>
      <c r="J2124" t="s">
        <v>41</v>
      </c>
      <c r="K2124" s="79" t="str">
        <f>VLOOKUP(Tabla3[[#This Row],[Site]],'Important Info!'!$A$1:$H$135,8,FALSE)</f>
        <v>-</v>
      </c>
      <c r="L2124" s="52" t="str">
        <f>VLOOKUP(Tabla3[[#This Row],[Site]],'Important Info!'!$A$1:$F$135,2,FALSE)</f>
        <v>3, 21</v>
      </c>
      <c r="M2124" s="52" t="str">
        <f>VLOOKUP(Tabla3[[#This Row],[Site]],'Important Info!'!$A$1:$F$135,3,FALSE)</f>
        <v>-</v>
      </c>
      <c r="N2124" s="52" t="str">
        <f>VLOOKUP(Tabla3[[#This Row],[Site]],'Important Info!'!$A$1:$F$135,4,FALSE)</f>
        <v>-</v>
      </c>
      <c r="O2124" s="52" t="str">
        <f>VLOOKUP(Tabla3[[#This Row],[Site]],'Important Info!'!$A$1:$F$135,5,FALSE)</f>
        <v>2, 6, 15</v>
      </c>
      <c r="P2124" s="52" t="str">
        <f>VLOOKUP(Tabla3[[#This Row],[Site]],'Important Info!'!$A$1:$F$135,6,FALSE)</f>
        <v>-</v>
      </c>
      <c r="Q2124" s="91">
        <f>VLOOKUP(Tabla3[[#This Row],[Site]],'Important Info!'!$A$1:$J$135,9,FALSE)</f>
        <v>202</v>
      </c>
    </row>
    <row r="2125" spans="1:17" x14ac:dyDescent="0.25">
      <c r="A2125" t="str">
        <f>+Tabla3[[#This Row],[Site]]&amp;Tabla3[[#This Row],[Split]]</f>
        <v>(SCH) Prep Center Delray22</v>
      </c>
      <c r="B2125">
        <v>22</v>
      </c>
      <c r="C2125">
        <v>6</v>
      </c>
      <c r="D2125" t="s">
        <v>62</v>
      </c>
      <c r="E2125" t="s">
        <v>35</v>
      </c>
      <c r="F2125" t="s">
        <v>191</v>
      </c>
      <c r="G2125" t="s">
        <v>490</v>
      </c>
      <c r="H2125" s="52" t="str">
        <f>VLOOKUP(Tabla3[[#This Row],[Site]],'Important Info!'!$A$1:$J$135,10,FALSE)</f>
        <v>https://tools.sig.systems/site/details/321</v>
      </c>
      <c r="J2125" t="s">
        <v>41</v>
      </c>
      <c r="K2125" s="79" t="str">
        <f>VLOOKUP(Tabla3[[#This Row],[Site]],'Important Info!'!$A$1:$H$135,8,FALSE)</f>
        <v>-</v>
      </c>
      <c r="L2125" s="52" t="str">
        <f>VLOOKUP(Tabla3[[#This Row],[Site]],'Important Info!'!$A$1:$F$135,2,FALSE)</f>
        <v>2,3</v>
      </c>
      <c r="M2125" s="52" t="str">
        <f>VLOOKUP(Tabla3[[#This Row],[Site]],'Important Info!'!$A$1:$F$135,3,FALSE)</f>
        <v>-</v>
      </c>
      <c r="N2125" s="52" t="str">
        <f>VLOOKUP(Tabla3[[#This Row],[Site]],'Important Info!'!$A$1:$F$135,4,FALSE)</f>
        <v>-</v>
      </c>
      <c r="O2125" s="52" t="str">
        <f>VLOOKUP(Tabla3[[#This Row],[Site]],'Important Info!'!$A$1:$F$135,5,FALSE)</f>
        <v>-</v>
      </c>
      <c r="P2125" s="52" t="str">
        <f>VLOOKUP(Tabla3[[#This Row],[Site]],'Important Info!'!$A$1:$F$135,6,FALSE)</f>
        <v>2,4,10</v>
      </c>
      <c r="Q2125" s="91">
        <f>VLOOKUP(Tabla3[[#This Row],[Site]],'Important Info!'!$A$1:$J$135,9,FALSE)</f>
        <v>321</v>
      </c>
    </row>
    <row r="2126" spans="1:17" x14ac:dyDescent="0.25">
      <c r="A2126" t="str">
        <f>+Tabla3[[#This Row],[Site]]&amp;Tabla3[[#This Row],[Split]]</f>
        <v>(AS) Atwell Prep Center-Dallas (NO TOURS)22</v>
      </c>
      <c r="B2126">
        <v>22</v>
      </c>
      <c r="C2126">
        <v>7</v>
      </c>
      <c r="D2126" t="s">
        <v>33</v>
      </c>
      <c r="E2126" t="s">
        <v>46</v>
      </c>
      <c r="F2126" t="s">
        <v>498</v>
      </c>
      <c r="G2126" t="s">
        <v>34</v>
      </c>
      <c r="H2126" s="52" t="str">
        <f>VLOOKUP(Tabla3[[#This Row],[Site]],'Important Info!'!$A$1:$J$135,10,FALSE)</f>
        <v>https://tools.sig.systems/site/details/165</v>
      </c>
      <c r="I2126" s="65" t="s">
        <v>125</v>
      </c>
      <c r="J2126" t="s">
        <v>41</v>
      </c>
      <c r="K2126" s="79" t="str">
        <f>VLOOKUP(Tabla3[[#This Row],[Site]],'Important Info!'!$A$1:$H$135,8,FALSE)</f>
        <v>-</v>
      </c>
      <c r="L2126" s="52" t="str">
        <f>VLOOKUP(Tabla3[[#This Row],[Site]],'Important Info!'!$A$1:$F$135,2,FALSE)</f>
        <v>4, 6, 7</v>
      </c>
      <c r="M2126" s="52" t="str">
        <f>VLOOKUP(Tabla3[[#This Row],[Site]],'Important Info!'!$A$1:$F$135,3,FALSE)</f>
        <v>-</v>
      </c>
      <c r="N2126" s="52" t="str">
        <f>VLOOKUP(Tabla3[[#This Row],[Site]],'Important Info!'!$A$1:$F$135,4,FALSE)</f>
        <v>-</v>
      </c>
      <c r="O2126" s="52" t="str">
        <f>VLOOKUP(Tabla3[[#This Row],[Site]],'Important Info!'!$A$1:$F$135,5,FALSE)</f>
        <v>-</v>
      </c>
      <c r="P2126" s="52" t="str">
        <f>VLOOKUP(Tabla3[[#This Row],[Site]],'Important Info!'!$A$1:$F$135,6,FALSE)</f>
        <v>1, 2</v>
      </c>
      <c r="Q2126" s="91">
        <f>VLOOKUP(Tabla3[[#This Row],[Site]],'Important Info!'!$A$1:$J$135,9,FALSE)</f>
        <v>165</v>
      </c>
    </row>
    <row r="2127" spans="1:17" x14ac:dyDescent="0.25">
      <c r="A2127" t="str">
        <f>+Tabla3[[#This Row],[Site]]&amp;Tabla3[[#This Row],[Split]]</f>
        <v>(AS) Park Place Mercedes Benz Ft. Worth (NO TOURS)22</v>
      </c>
      <c r="B2127">
        <v>22</v>
      </c>
      <c r="C2127">
        <v>7</v>
      </c>
      <c r="D2127" t="s">
        <v>33</v>
      </c>
      <c r="E2127" t="s">
        <v>46</v>
      </c>
      <c r="F2127" t="s">
        <v>519</v>
      </c>
      <c r="G2127" t="s">
        <v>34</v>
      </c>
      <c r="H2127" s="52" t="str">
        <f>VLOOKUP(Tabla3[[#This Row],[Site]],'Important Info!'!$A$1:$J$135,10,FALSE)</f>
        <v>https://tools.sig.systems/site/details/137</v>
      </c>
      <c r="I2127" s="2" t="s">
        <v>128</v>
      </c>
      <c r="J2127" t="s">
        <v>41</v>
      </c>
      <c r="K2127" s="79" t="s">
        <v>37</v>
      </c>
      <c r="L2127" s="52" t="str">
        <f>VLOOKUP(Tabla3[[#This Row],[Site]],'Important Info!'!$A$1:$F$135,2,FALSE)</f>
        <v>4, 18</v>
      </c>
      <c r="M2127" s="52" t="str">
        <f>VLOOKUP(Tabla3[[#This Row],[Site]],'Important Info!'!$A$1:$F$135,3,FALSE)</f>
        <v>-</v>
      </c>
      <c r="N2127" s="52" t="str">
        <f>VLOOKUP(Tabla3[[#This Row],[Site]],'Important Info!'!$A$1:$F$135,4,FALSE)</f>
        <v>54, 55</v>
      </c>
      <c r="O2127" s="52" t="str">
        <f>VLOOKUP(Tabla3[[#This Row],[Site]],'Important Info!'!$A$1:$F$135,5,FALSE)</f>
        <v>2, 18</v>
      </c>
      <c r="P2127" s="52" t="str">
        <f>VLOOKUP(Tabla3[[#This Row],[Site]],'Important Info!'!$A$1:$F$135,6,FALSE)</f>
        <v>5, 18</v>
      </c>
      <c r="Q2127" s="91">
        <f>VLOOKUP(Tabla3[[#This Row],[Site]],'Important Info!'!$A$1:$J$135,9,FALSE)</f>
        <v>137</v>
      </c>
    </row>
    <row r="2128" spans="1:17" x14ac:dyDescent="0.25">
      <c r="A2128" t="str">
        <f>+Tabla3[[#This Row],[Site]]&amp;Tabla3[[#This Row],[Split]]</f>
        <v>(AS) Stevinson Toyota West (NO TOURS)22</v>
      </c>
      <c r="B2128">
        <v>22</v>
      </c>
      <c r="C2128">
        <v>7</v>
      </c>
      <c r="D2128" t="s">
        <v>44</v>
      </c>
      <c r="E2128" t="s">
        <v>53</v>
      </c>
      <c r="F2128" t="s">
        <v>79</v>
      </c>
      <c r="G2128" t="s">
        <v>45</v>
      </c>
      <c r="H2128" s="52" t="str">
        <f>VLOOKUP(Tabla3[[#This Row],[Site]],'Important Info!'!$A$1:$J$135,10,FALSE)</f>
        <v>https://tools.sig.systems/site/details/240</v>
      </c>
      <c r="I2128" s="43" t="s">
        <v>154</v>
      </c>
      <c r="J2128" t="s">
        <v>41</v>
      </c>
      <c r="K2128" s="79" t="str">
        <f>VLOOKUP(Tabla3[[#This Row],[Site]],'Important Info!'!$A$1:$H$135,8,FALSE)</f>
        <v>-</v>
      </c>
      <c r="L2128" s="52" t="str">
        <f>VLOOKUP(Tabla3[[#This Row],[Site]],'Important Info!'!$A$1:$F$135,2,FALSE)</f>
        <v>-</v>
      </c>
      <c r="M2128" s="52" t="str">
        <f>VLOOKUP(Tabla3[[#This Row],[Site]],'Important Info!'!$A$1:$F$135,3,FALSE)</f>
        <v>7, 18, 21</v>
      </c>
      <c r="N2128" s="52" t="str">
        <f>VLOOKUP(Tabla3[[#This Row],[Site]],'Important Info!'!$A$1:$F$135,4,FALSE)</f>
        <v>-</v>
      </c>
      <c r="O2128" s="52" t="str">
        <f>VLOOKUP(Tabla3[[#This Row],[Site]],'Important Info!'!$A$1:$F$135,5,FALSE)</f>
        <v>11, 24, 34</v>
      </c>
      <c r="P2128" s="52" t="str">
        <f>VLOOKUP(Tabla3[[#This Row],[Site]],'Important Info!'!$A$1:$F$135,6,FALSE)</f>
        <v>1, 2, 3, 12</v>
      </c>
      <c r="Q2128" s="91">
        <f>VLOOKUP(Tabla3[[#This Row],[Site]],'Important Info!'!$A$1:$J$135,9,FALSE)</f>
        <v>240</v>
      </c>
    </row>
    <row r="2129" spans="1:17" x14ac:dyDescent="0.25">
      <c r="A2129" t="str">
        <f>+Tabla3[[#This Row],[Site]]&amp;Tabla3[[#This Row],[Split]]</f>
        <v>(ML) Joe Machens Temporary 2.022</v>
      </c>
      <c r="B2129">
        <v>22</v>
      </c>
      <c r="C2129">
        <v>7</v>
      </c>
      <c r="D2129" t="s">
        <v>33</v>
      </c>
      <c r="E2129" t="s">
        <v>46</v>
      </c>
      <c r="F2129" t="s">
        <v>105</v>
      </c>
      <c r="G2129" t="s">
        <v>34</v>
      </c>
      <c r="H2129" s="52" t="str">
        <f>VLOOKUP(Tabla3[[#This Row],[Site]],'Important Info!'!$A$1:$J$135,10,FALSE)</f>
        <v>https://tools.sig.systems/site/details/278</v>
      </c>
      <c r="I2129" s="43" t="s">
        <v>146</v>
      </c>
      <c r="J2129" t="s">
        <v>41</v>
      </c>
      <c r="K2129" s="79" t="str">
        <f>VLOOKUP(Tabla3[[#This Row],[Site]],'Important Info!'!$A$1:$H$135,8,FALSE)</f>
        <v>-</v>
      </c>
      <c r="L2129" s="52" t="str">
        <f>VLOOKUP(Tabla3[[#This Row],[Site]],'Important Info!'!$A$1:$F$135,2,FALSE)</f>
        <v>-</v>
      </c>
      <c r="M2129" s="52" t="str">
        <f>VLOOKUP(Tabla3[[#This Row],[Site]],'Important Info!'!$A$1:$F$135,3,FALSE)</f>
        <v>1, 11, 14, 15, 16</v>
      </c>
      <c r="N2129" s="52" t="str">
        <f>VLOOKUP(Tabla3[[#This Row],[Site]],'Important Info!'!$A$1:$F$135,4,FALSE)</f>
        <v>-</v>
      </c>
      <c r="O2129" s="52">
        <f>VLOOKUP(Tabla3[[#This Row],[Site]],'Important Info!'!$A$1:$F$135,5,FALSE)</f>
        <v>13</v>
      </c>
      <c r="P2129" s="52" t="str">
        <f>VLOOKUP(Tabla3[[#This Row],[Site]],'Important Info!'!$A$1:$F$135,6,FALSE)</f>
        <v>-</v>
      </c>
      <c r="Q2129" s="91">
        <f>VLOOKUP(Tabla3[[#This Row],[Site]],'Important Info!'!$A$1:$J$135,9,FALSE)</f>
        <v>278</v>
      </c>
    </row>
    <row r="2130" spans="1:17" x14ac:dyDescent="0.25">
      <c r="A2130" t="str">
        <f>+Tabla3[[#This Row],[Site]]&amp;Tabla3[[#This Row],[Split]]</f>
        <v>(SCH) Auto Body Shop Lake Park22</v>
      </c>
      <c r="B2130">
        <v>22</v>
      </c>
      <c r="C2130">
        <v>7</v>
      </c>
      <c r="D2130" t="s">
        <v>62</v>
      </c>
      <c r="E2130" t="s">
        <v>35</v>
      </c>
      <c r="F2130" t="s">
        <v>189</v>
      </c>
      <c r="G2130" t="s">
        <v>490</v>
      </c>
      <c r="H2130" s="52" t="str">
        <f>VLOOKUP(Tabla3[[#This Row],[Site]],'Important Info!'!$A$1:$J$135,10,FALSE)</f>
        <v>https://tools.sig.systems/site/details/158</v>
      </c>
      <c r="I2130" s="2"/>
      <c r="J2130" t="s">
        <v>41</v>
      </c>
      <c r="K2130" s="79" t="str">
        <f>VLOOKUP(Tabla3[[#This Row],[Site]],'Important Info!'!$A$1:$H$135,8,FALSE)</f>
        <v>-</v>
      </c>
      <c r="L2130" s="52" t="str">
        <f>VLOOKUP(Tabla3[[#This Row],[Site]],'Important Info!'!$A$1:$F$135,2,FALSE)</f>
        <v>3, 10</v>
      </c>
      <c r="M2130" s="52" t="str">
        <f>VLOOKUP(Tabla3[[#This Row],[Site]],'Important Info!'!$A$1:$F$135,3,FALSE)</f>
        <v>-</v>
      </c>
      <c r="N2130" s="52" t="str">
        <f>VLOOKUP(Tabla3[[#This Row],[Site]],'Important Info!'!$A$1:$F$135,4,FALSE)</f>
        <v>-</v>
      </c>
      <c r="O2130" s="52" t="str">
        <f>VLOOKUP(Tabla3[[#This Row],[Site]],'Important Info!'!$A$1:$F$135,5,FALSE)</f>
        <v>-</v>
      </c>
      <c r="P2130" s="52" t="str">
        <f>VLOOKUP(Tabla3[[#This Row],[Site]],'Important Info!'!$A$1:$F$135,6,FALSE)</f>
        <v>-</v>
      </c>
      <c r="Q2130" s="91">
        <f>VLOOKUP(Tabla3[[#This Row],[Site]],'Important Info!'!$A$1:$J$135,9,FALSE)</f>
        <v>158</v>
      </c>
    </row>
    <row r="2131" spans="1:17" x14ac:dyDescent="0.25">
      <c r="A2131" t="str">
        <f>+Tabla3[[#This Row],[Site]]&amp;Tabla3[[#This Row],[Split]]</f>
        <v>(AS) Courtesy Honda Palm Harbor (NO TOURS)22</v>
      </c>
      <c r="B2131">
        <v>22</v>
      </c>
      <c r="C2131">
        <v>8</v>
      </c>
      <c r="D2131" t="s">
        <v>62</v>
      </c>
      <c r="E2131" t="s">
        <v>35</v>
      </c>
      <c r="F2131" t="s">
        <v>108</v>
      </c>
      <c r="G2131" t="s">
        <v>490</v>
      </c>
      <c r="H2131" s="52" t="str">
        <f>VLOOKUP(Tabla3[[#This Row],[Site]],'Important Info!'!$A$1:$J$135,10,FALSE)</f>
        <v>https://tools.sig.systems/site/details/176</v>
      </c>
      <c r="I2131" s="43"/>
      <c r="J2131" t="s">
        <v>36</v>
      </c>
      <c r="K2131" s="79" t="str">
        <f>VLOOKUP(Tabla3[[#This Row],[Site]],'Important Info!'!$A$1:$H$135,8,FALSE)</f>
        <v>-</v>
      </c>
      <c r="L2131" s="52">
        <f>VLOOKUP(Tabla3[[#This Row],[Site]],'Important Info!'!$A$1:$F$135,2,FALSE)</f>
        <v>2</v>
      </c>
      <c r="M2131" s="52" t="str">
        <f>VLOOKUP(Tabla3[[#This Row],[Site]],'Important Info!'!$A$1:$F$135,3,FALSE)</f>
        <v>-</v>
      </c>
      <c r="N2131" s="52" t="str">
        <f>VLOOKUP(Tabla3[[#This Row],[Site]],'Important Info!'!$A$1:$F$135,4,FALSE)</f>
        <v>-</v>
      </c>
      <c r="O2131" s="52" t="str">
        <f>VLOOKUP(Tabla3[[#This Row],[Site]],'Important Info!'!$A$1:$F$135,5,FALSE)</f>
        <v>4, 8, 21</v>
      </c>
      <c r="P2131" s="52">
        <f>VLOOKUP(Tabla3[[#This Row],[Site]],'Important Info!'!$A$1:$F$135,6,FALSE)</f>
        <v>10</v>
      </c>
      <c r="Q2131" s="91">
        <f>VLOOKUP(Tabla3[[#This Row],[Site]],'Important Info!'!$A$1:$J$135,9,FALSE)</f>
        <v>176</v>
      </c>
    </row>
    <row r="2132" spans="1:17" x14ac:dyDescent="0.25">
      <c r="A2132" t="str">
        <f>+Tabla3[[#This Row],[Site]]&amp;Tabla3[[#This Row],[Split]]</f>
        <v>(AS) Nalley Lexus &amp; Remote Lot Roswell (NO TOURS)22</v>
      </c>
      <c r="B2132">
        <v>22</v>
      </c>
      <c r="C2132">
        <v>8</v>
      </c>
      <c r="D2132" t="s">
        <v>60</v>
      </c>
      <c r="E2132" t="s">
        <v>35</v>
      </c>
      <c r="F2132" t="s">
        <v>511</v>
      </c>
      <c r="G2132" t="s">
        <v>41</v>
      </c>
      <c r="H2132" s="52" t="str">
        <f>VLOOKUP(Tabla3[[#This Row],[Site]],'Important Info!'!$A$1:$J$135,10,FALSE)</f>
        <v>https://tools.sig.systems/site/details/131</v>
      </c>
      <c r="I2132" s="43" t="s">
        <v>166</v>
      </c>
      <c r="J2132" t="s">
        <v>41</v>
      </c>
      <c r="K2132" s="79" t="str">
        <f>VLOOKUP(Tabla3[[#This Row],[Site]],'Important Info!'!$A$1:$H$135,8,FALSE)</f>
        <v>Dealership 11PM to 5AM (Mon to Fri). Sunday Drop Time 1PM</v>
      </c>
      <c r="L2132" s="52" t="str">
        <f>VLOOKUP(Tabla3[[#This Row],[Site]],'Important Info!'!$A$1:$F$135,2,FALSE)</f>
        <v>6, 13</v>
      </c>
      <c r="M2132" s="52">
        <f>VLOOKUP(Tabla3[[#This Row],[Site]],'Important Info!'!$A$1:$F$135,3,FALSE)</f>
        <v>4</v>
      </c>
      <c r="N2132" s="52">
        <f>VLOOKUP(Tabla3[[#This Row],[Site]],'Important Info!'!$A$1:$F$135,4,FALSE)</f>
        <v>1</v>
      </c>
      <c r="O2132" s="52" t="str">
        <f>VLOOKUP(Tabla3[[#This Row],[Site]],'Important Info!'!$A$1:$F$135,5,FALSE)</f>
        <v>1, 8, 19</v>
      </c>
      <c r="P2132" s="52" t="str">
        <f>VLOOKUP(Tabla3[[#This Row],[Site]],'Important Info!'!$A$1:$F$135,6,FALSE)</f>
        <v>4, 20</v>
      </c>
      <c r="Q2132" s="91">
        <f>VLOOKUP(Tabla3[[#This Row],[Site]],'Important Info!'!$A$1:$J$135,9,FALSE)</f>
        <v>131</v>
      </c>
    </row>
    <row r="2133" spans="1:17" x14ac:dyDescent="0.25">
      <c r="A2133" t="str">
        <f>+Tabla3[[#This Row],[Site]]&amp;Tabla3[[#This Row],[Split]]</f>
        <v>(AS) Park Place Bodywerks Dallas (NO TOURS)22</v>
      </c>
      <c r="B2133">
        <v>22</v>
      </c>
      <c r="C2133">
        <v>8</v>
      </c>
      <c r="D2133" t="s">
        <v>33</v>
      </c>
      <c r="E2133" t="s">
        <v>46</v>
      </c>
      <c r="F2133" t="s">
        <v>514</v>
      </c>
      <c r="G2133" t="s">
        <v>34</v>
      </c>
      <c r="H2133" s="52" t="str">
        <f>VLOOKUP(Tabla3[[#This Row],[Site]],'Important Info!'!$A$1:$J$135,10,FALSE)</f>
        <v>https://tools.sig.systems/site/details/166</v>
      </c>
      <c r="I2133" s="65" t="s">
        <v>125</v>
      </c>
      <c r="J2133" t="s">
        <v>41</v>
      </c>
      <c r="K2133" s="79" t="str">
        <f>VLOOKUP(Tabla3[[#This Row],[Site]],'Important Info!'!$A$1:$H$135,8,FALSE)</f>
        <v>-</v>
      </c>
      <c r="L2133" s="52">
        <f>VLOOKUP(Tabla3[[#This Row],[Site]],'Important Info!'!$A$1:$F$135,2,FALSE)</f>
        <v>3</v>
      </c>
      <c r="M2133" s="52">
        <f>VLOOKUP(Tabla3[[#This Row],[Site]],'Important Info!'!$A$1:$F$135,3,FALSE)</f>
        <v>1</v>
      </c>
      <c r="N2133" s="52" t="str">
        <f>VLOOKUP(Tabla3[[#This Row],[Site]],'Important Info!'!$A$1:$F$135,4,FALSE)</f>
        <v>-</v>
      </c>
      <c r="O2133" s="52" t="str">
        <f>VLOOKUP(Tabla3[[#This Row],[Site]],'Important Info!'!$A$1:$F$135,5,FALSE)</f>
        <v>-</v>
      </c>
      <c r="P2133" s="52" t="str">
        <f>VLOOKUP(Tabla3[[#This Row],[Site]],'Important Info!'!$A$1:$F$135,6,FALSE)</f>
        <v>1, 2, 8</v>
      </c>
      <c r="Q2133" s="91">
        <f>VLOOKUP(Tabla3[[#This Row],[Site]],'Important Info!'!$A$1:$J$135,9,FALSE)</f>
        <v>166</v>
      </c>
    </row>
    <row r="2134" spans="1:17" x14ac:dyDescent="0.25">
      <c r="A2134" t="str">
        <f>+Tabla3[[#This Row],[Site]]&amp;Tabla3[[#This Row],[Split]]</f>
        <v>(KG) Big Star Honda22</v>
      </c>
      <c r="B2134">
        <v>22</v>
      </c>
      <c r="C2134">
        <v>8</v>
      </c>
      <c r="D2134" t="s">
        <v>33</v>
      </c>
      <c r="E2134" t="s">
        <v>46</v>
      </c>
      <c r="F2134" t="s">
        <v>136</v>
      </c>
      <c r="G2134" t="s">
        <v>34</v>
      </c>
      <c r="H2134" s="52" t="str">
        <f>VLOOKUP(Tabla3[[#This Row],[Site]],'Important Info!'!$A$1:$J$135,10,FALSE)</f>
        <v>https://tools.sig.systems/site/details/231</v>
      </c>
      <c r="J2134" t="s">
        <v>41</v>
      </c>
      <c r="K2134" s="79" t="str">
        <f>VLOOKUP(Tabla3[[#This Row],[Site]],'Important Info!'!$A$1:$H$135,8,FALSE)</f>
        <v>-</v>
      </c>
      <c r="L2134" s="52" t="str">
        <f>VLOOKUP(Tabla3[[#This Row],[Site]],'Important Info!'!$A$1:$F$135,2,FALSE)</f>
        <v>2, 17, 33</v>
      </c>
      <c r="M2134" s="52" t="str">
        <f>VLOOKUP(Tabla3[[#This Row],[Site]],'Important Info!'!$A$1:$F$135,3,FALSE)</f>
        <v>-</v>
      </c>
      <c r="N2134" s="52" t="str">
        <f>VLOOKUP(Tabla3[[#This Row],[Site]],'Important Info!'!$A$1:$F$135,4,FALSE)</f>
        <v>-</v>
      </c>
      <c r="O2134" s="52" t="str">
        <f>VLOOKUP(Tabla3[[#This Row],[Site]],'Important Info!'!$A$1:$F$135,5,FALSE)</f>
        <v>3, 11, 16, 21, 24, 31, 34</v>
      </c>
      <c r="P2134" s="52" t="str">
        <f>VLOOKUP(Tabla3[[#This Row],[Site]],'Important Info!'!$A$1:$F$135,6,FALSE)</f>
        <v xml:space="preserve">2, 3, 17, 22, 37, 41, 42 </v>
      </c>
      <c r="Q2134" s="91">
        <f>VLOOKUP(Tabla3[[#This Row],[Site]],'Important Info!'!$A$1:$J$135,9,FALSE)</f>
        <v>231</v>
      </c>
    </row>
    <row r="2135" spans="1:17" x14ac:dyDescent="0.25">
      <c r="A2135" t="str">
        <f>+Tabla3[[#This Row],[Site]]&amp;Tabla3[[#This Row],[Split]]</f>
        <v>(ML) Joe Machens Nissan22</v>
      </c>
      <c r="B2135">
        <v>22</v>
      </c>
      <c r="C2135">
        <v>8</v>
      </c>
      <c r="D2135" t="s">
        <v>33</v>
      </c>
      <c r="E2135" t="s">
        <v>46</v>
      </c>
      <c r="F2135" t="s">
        <v>104</v>
      </c>
      <c r="G2135" t="s">
        <v>34</v>
      </c>
      <c r="H2135" s="52" t="str">
        <f>VLOOKUP(Tabla3[[#This Row],[Site]],'Important Info!'!$A$1:$J$135,10,FALSE)</f>
        <v>https://tools.sig.systems/site/details/279</v>
      </c>
      <c r="I2135" s="2" t="s">
        <v>146</v>
      </c>
      <c r="J2135" t="s">
        <v>41</v>
      </c>
      <c r="K2135" s="79" t="str">
        <f>VLOOKUP(Tabla3[[#This Row],[Site]],'Important Info!'!$A$1:$H$135,8,FALSE)</f>
        <v>-</v>
      </c>
      <c r="L2135" s="52" t="str">
        <f>VLOOKUP(Tabla3[[#This Row],[Site]],'Important Info!'!$A$1:$F$135,2,FALSE)</f>
        <v>-</v>
      </c>
      <c r="M2135" s="52" t="str">
        <f>VLOOKUP(Tabla3[[#This Row],[Site]],'Important Info!'!$A$1:$F$135,3,FALSE)</f>
        <v>1, 3, 16</v>
      </c>
      <c r="N2135" s="52" t="str">
        <f>VLOOKUP(Tabla3[[#This Row],[Site]],'Important Info!'!$A$1:$F$135,4,FALSE)</f>
        <v>-</v>
      </c>
      <c r="O2135" s="52" t="str">
        <f>VLOOKUP(Tabla3[[#This Row],[Site]],'Important Info!'!$A$1:$F$135,5,FALSE)</f>
        <v>-</v>
      </c>
      <c r="P2135" s="52" t="str">
        <f>VLOOKUP(Tabla3[[#This Row],[Site]],'Important Info!'!$A$1:$F$135,6,FALSE)</f>
        <v>-</v>
      </c>
      <c r="Q2135" s="91">
        <f>VLOOKUP(Tabla3[[#This Row],[Site]],'Important Info!'!$A$1:$J$135,9,FALSE)</f>
        <v>279</v>
      </c>
    </row>
    <row r="2136" spans="1:17" x14ac:dyDescent="0.25">
      <c r="A2136" t="str">
        <f>+Tabla3[[#This Row],[Site]]&amp;Tabla3[[#This Row],[Split]]</f>
        <v>(AS) Park Place MB Recon Center Dallas (NO TOURS)22</v>
      </c>
      <c r="B2136">
        <v>22</v>
      </c>
      <c r="C2136">
        <v>9</v>
      </c>
      <c r="D2136" t="s">
        <v>33</v>
      </c>
      <c r="E2136" t="s">
        <v>46</v>
      </c>
      <c r="F2136" t="s">
        <v>517</v>
      </c>
      <c r="G2136" t="s">
        <v>34</v>
      </c>
      <c r="H2136" s="52" t="str">
        <f>VLOOKUP(Tabla3[[#This Row],[Site]],'Important Info!'!$A$1:$J$135,10,FALSE)</f>
        <v>https://tools.sig.systems/site/details/170</v>
      </c>
      <c r="I2136" s="65" t="s">
        <v>125</v>
      </c>
      <c r="J2136" t="s">
        <v>41</v>
      </c>
      <c r="K2136" s="79" t="str">
        <f>VLOOKUP(Tabla3[[#This Row],[Site]],'Important Info!'!$A$1:$H$135,8,FALSE)</f>
        <v>-</v>
      </c>
      <c r="L2136" s="52" t="str">
        <f>VLOOKUP(Tabla3[[#This Row],[Site]],'Important Info!'!$A$1:$F$135,2,FALSE)</f>
        <v>3, 39</v>
      </c>
      <c r="M2136" s="52" t="str">
        <f>VLOOKUP(Tabla3[[#This Row],[Site]],'Important Info!'!$A$1:$F$135,3,FALSE)</f>
        <v>-</v>
      </c>
      <c r="N2136" s="52" t="str">
        <f>VLOOKUP(Tabla3[[#This Row],[Site]],'Important Info!'!$A$1:$F$135,4,FALSE)</f>
        <v>-</v>
      </c>
      <c r="O2136" s="52" t="str">
        <f>VLOOKUP(Tabla3[[#This Row],[Site]],'Important Info!'!$A$1:$F$135,5,FALSE)</f>
        <v>4, 11</v>
      </c>
      <c r="P2136" s="52">
        <f>VLOOKUP(Tabla3[[#This Row],[Site]],'Important Info!'!$A$1:$F$135,6,FALSE)</f>
        <v>1</v>
      </c>
      <c r="Q2136" s="91">
        <f>VLOOKUP(Tabla3[[#This Row],[Site]],'Important Info!'!$A$1:$J$135,9,FALSE)</f>
        <v>170</v>
      </c>
    </row>
    <row r="2137" spans="1:17" x14ac:dyDescent="0.25">
      <c r="A2137" t="str">
        <f>+Tabla3[[#This Row],[Site]]&amp;Tabla3[[#This Row],[Split]]</f>
        <v>(ML) Joe Machens Ford Lincoln I &amp; II22</v>
      </c>
      <c r="B2137">
        <v>22</v>
      </c>
      <c r="C2137">
        <v>9</v>
      </c>
      <c r="D2137" t="s">
        <v>33</v>
      </c>
      <c r="E2137" t="s">
        <v>46</v>
      </c>
      <c r="F2137" t="s">
        <v>148</v>
      </c>
      <c r="G2137" t="s">
        <v>34</v>
      </c>
      <c r="H2137" s="52" t="str">
        <f>VLOOKUP(Tabla3[[#This Row],[Site]],'Important Info!'!$A$1:$J$135,10,FALSE)</f>
        <v>https://tools.sig.systems/site/details/266</v>
      </c>
      <c r="I2137" s="2" t="s">
        <v>146</v>
      </c>
      <c r="J2137" t="s">
        <v>41</v>
      </c>
      <c r="K2137" s="79" t="str">
        <f>VLOOKUP(Tabla3[[#This Row],[Site]],'Important Info!'!$A$1:$H$135,8,FALSE)</f>
        <v>-</v>
      </c>
      <c r="L2137" s="52" t="str">
        <f>VLOOKUP(Tabla3[[#This Row],[Site]],'Important Info!'!$A$1:$F$135,2,FALSE)</f>
        <v>-</v>
      </c>
      <c r="M2137" s="52" t="str">
        <f>VLOOKUP(Tabla3[[#This Row],[Site]],'Important Info!'!$A$1:$F$135,3,FALSE)</f>
        <v>4, 6, 9, 13, 14, 17, 26, 27, 28, 29, 30</v>
      </c>
      <c r="N2137" s="52" t="str">
        <f>VLOOKUP(Tabla3[[#This Row],[Site]],'Important Info!'!$A$1:$F$135,4,FALSE)</f>
        <v>-</v>
      </c>
      <c r="O2137" s="52" t="str">
        <f>VLOOKUP(Tabla3[[#This Row],[Site]],'Important Info!'!$A$1:$F$135,5,FALSE)</f>
        <v>23, 40, 49</v>
      </c>
      <c r="P2137" s="52" t="str">
        <f>VLOOKUP(Tabla3[[#This Row],[Site]],'Important Info!'!$A$1:$F$135,6,FALSE)</f>
        <v>-</v>
      </c>
      <c r="Q2137" s="91">
        <f>VLOOKUP(Tabla3[[#This Row],[Site]],'Important Info!'!$A$1:$J$135,9,FALSE)</f>
        <v>266</v>
      </c>
    </row>
    <row r="2138" spans="1:17" x14ac:dyDescent="0.25">
      <c r="A2138" t="str">
        <f>+Tabla3[[#This Row],[Site]]&amp;Tabla3[[#This Row],[Split]]</f>
        <v>(ML) Joe Machens Kia of Columbia22</v>
      </c>
      <c r="B2138">
        <v>22</v>
      </c>
      <c r="C2138">
        <v>9</v>
      </c>
      <c r="D2138" t="s">
        <v>33</v>
      </c>
      <c r="E2138" t="s">
        <v>46</v>
      </c>
      <c r="F2138" t="s">
        <v>149</v>
      </c>
      <c r="G2138" t="s">
        <v>34</v>
      </c>
      <c r="H2138" s="52" t="str">
        <f>VLOOKUP(Tabla3[[#This Row],[Site]],'Important Info!'!$A$1:$J$135,10,FALSE)</f>
        <v>https://tools.sig.systems/site/details/270</v>
      </c>
      <c r="I2138" s="43" t="s">
        <v>146</v>
      </c>
      <c r="J2138" t="s">
        <v>41</v>
      </c>
      <c r="K2138" s="79" t="str">
        <f>VLOOKUP(Tabla3[[#This Row],[Site]],'Important Info!'!$A$1:$H$135,8,FALSE)</f>
        <v>-</v>
      </c>
      <c r="L2138" s="52" t="str">
        <f>VLOOKUP(Tabla3[[#This Row],[Site]],'Important Info!'!$A$1:$F$135,2,FALSE)</f>
        <v>-</v>
      </c>
      <c r="M2138" s="52" t="str">
        <f>VLOOKUP(Tabla3[[#This Row],[Site]],'Important Info!'!$A$1:$F$135,3,FALSE)</f>
        <v>1, 2, 5, 6, 9, 13, 15</v>
      </c>
      <c r="N2138" s="52" t="str">
        <f>VLOOKUP(Tabla3[[#This Row],[Site]],'Important Info!'!$A$1:$F$135,4,FALSE)</f>
        <v>-</v>
      </c>
      <c r="O2138" s="52" t="str">
        <f>VLOOKUP(Tabla3[[#This Row],[Site]],'Important Info!'!$A$1:$F$135,5,FALSE)</f>
        <v>-</v>
      </c>
      <c r="P2138" s="52" t="str">
        <f>VLOOKUP(Tabla3[[#This Row],[Site]],'Important Info!'!$A$1:$F$135,6,FALSE)</f>
        <v>10, 11, 13</v>
      </c>
      <c r="Q2138" s="91">
        <f>VLOOKUP(Tabla3[[#This Row],[Site]],'Important Info!'!$A$1:$J$135,9,FALSE)</f>
        <v>270</v>
      </c>
    </row>
    <row r="2139" spans="1:17" x14ac:dyDescent="0.25">
      <c r="A2139" t="str">
        <f>+Tabla3[[#This Row],[Site]]&amp;Tabla3[[#This Row],[Split]]</f>
        <v>(SCH) Delray I &amp; II22</v>
      </c>
      <c r="B2139">
        <v>22</v>
      </c>
      <c r="C2139">
        <v>9</v>
      </c>
      <c r="D2139" t="s">
        <v>62</v>
      </c>
      <c r="E2139" t="s">
        <v>35</v>
      </c>
      <c r="F2139" t="s">
        <v>67</v>
      </c>
      <c r="G2139" t="s">
        <v>490</v>
      </c>
      <c r="H2139" s="52" t="str">
        <f>VLOOKUP(Tabla3[[#This Row],[Site]],'Important Info!'!$A$1:$J$135,10,FALSE)</f>
        <v>https://tools.sig.systems/site/details/159</v>
      </c>
      <c r="I2139" s="2"/>
      <c r="J2139" t="s">
        <v>36</v>
      </c>
      <c r="K2139" s="79" t="str">
        <f>VLOOKUP(Tabla3[[#This Row],[Site]],'Important Info!'!$A$1:$H$135,8,FALSE)</f>
        <v>-</v>
      </c>
      <c r="L2139" s="52" t="str">
        <f>VLOOKUP(Tabla3[[#This Row],[Site]],'Important Info!'!$A$1:$F$135,2,FALSE)</f>
        <v>5, 28, 31</v>
      </c>
      <c r="M2139" s="52" t="str">
        <f>VLOOKUP(Tabla3[[#This Row],[Site]],'Important Info!'!$A$1:$F$135,3,FALSE)</f>
        <v>1, 29</v>
      </c>
      <c r="N2139" s="52">
        <f>VLOOKUP(Tabla3[[#This Row],[Site]],'Important Info!'!$A$1:$F$135,4,FALSE)</f>
        <v>6</v>
      </c>
      <c r="O2139" s="52" t="str">
        <f>VLOOKUP(Tabla3[[#This Row],[Site]],'Important Info!'!$A$1:$F$135,5,FALSE)</f>
        <v>-</v>
      </c>
      <c r="P2139" s="52" t="str">
        <f>VLOOKUP(Tabla3[[#This Row],[Site]],'Important Info!'!$A$1:$F$135,6,FALSE)</f>
        <v>1, 35, 36</v>
      </c>
      <c r="Q2139" s="91">
        <f>VLOOKUP(Tabla3[[#This Row],[Site]],'Important Info!'!$A$1:$J$135,9,FALSE)</f>
        <v>159</v>
      </c>
    </row>
    <row r="2140" spans="1:17" x14ac:dyDescent="0.25">
      <c r="A2140" t="str">
        <f>+Tabla3[[#This Row],[Site]]&amp;Tabla3[[#This Row],[Split]]</f>
        <v>(DT) N. Houston22</v>
      </c>
      <c r="B2140">
        <v>22</v>
      </c>
      <c r="C2140">
        <v>10</v>
      </c>
      <c r="D2140" t="s">
        <v>33</v>
      </c>
      <c r="E2140" t="s">
        <v>46</v>
      </c>
      <c r="F2140" t="s">
        <v>68</v>
      </c>
      <c r="G2140" t="s">
        <v>34</v>
      </c>
      <c r="H2140" s="52" t="str">
        <f>VLOOKUP(Tabla3[[#This Row],[Site]],'Important Info!'!$A$1:$J$135,10,FALSE)</f>
        <v>https://tools.sig.systems/site/details/250</v>
      </c>
      <c r="I2140" s="43"/>
      <c r="J2140" t="s">
        <v>41</v>
      </c>
      <c r="K2140" s="79" t="str">
        <f>VLOOKUP(Tabla3[[#This Row],[Site]],'Important Info!'!$A$1:$H$135,8,FALSE)</f>
        <v>-</v>
      </c>
      <c r="L2140" s="52" t="str">
        <f>VLOOKUP(Tabla3[[#This Row],[Site]],'Important Info!'!$A$1:$F$135,2,FALSE)</f>
        <v>2, 10, 18</v>
      </c>
      <c r="M2140" s="52" t="str">
        <f>VLOOKUP(Tabla3[[#This Row],[Site]],'Important Info!'!$A$1:$F$135,3,FALSE)</f>
        <v>-</v>
      </c>
      <c r="N2140" s="52" t="str">
        <f>VLOOKUP(Tabla3[[#This Row],[Site]],'Important Info!'!$A$1:$F$135,4,FALSE)</f>
        <v>-</v>
      </c>
      <c r="O2140" s="52">
        <f>VLOOKUP(Tabla3[[#This Row],[Site]],'Important Info!'!$A$1:$F$135,5,FALSE)</f>
        <v>15</v>
      </c>
      <c r="P2140" s="52" t="str">
        <f>VLOOKUP(Tabla3[[#This Row],[Site]],'Important Info!'!$A$1:$F$135,6,FALSE)</f>
        <v>2, 4, 18</v>
      </c>
      <c r="Q2140" s="91">
        <f>VLOOKUP(Tabla3[[#This Row],[Site]],'Important Info!'!$A$1:$J$135,9,FALSE)</f>
        <v>250</v>
      </c>
    </row>
    <row r="2141" spans="1:17" x14ac:dyDescent="0.25">
      <c r="A2141" t="str">
        <f>+Tabla3[[#This Row],[Site]]&amp;Tabla3[[#This Row],[Split]]</f>
        <v>(SCH) West Palm Beach I, II &amp; III22</v>
      </c>
      <c r="B2141">
        <v>22</v>
      </c>
      <c r="C2141">
        <v>10</v>
      </c>
      <c r="D2141" t="s">
        <v>492</v>
      </c>
      <c r="E2141" t="s">
        <v>35</v>
      </c>
      <c r="F2141" t="s">
        <v>96</v>
      </c>
      <c r="G2141" t="s">
        <v>490</v>
      </c>
      <c r="H2141" s="52" t="str">
        <f>VLOOKUP(Tabla3[[#This Row],[Site]],'Important Info!'!$A$1:$J$135,10,FALSE)</f>
        <v>https://tools.sig.systems/site/details/162</v>
      </c>
      <c r="I2141" s="43"/>
      <c r="J2141" t="s">
        <v>36</v>
      </c>
      <c r="K2141" s="79" t="str">
        <f>VLOOKUP(Tabla3[[#This Row],[Site]],'Important Info!'!$A$1:$H$135,8,FALSE)</f>
        <v>SUNDAY: Log in at 5:30 p.m. ET.</v>
      </c>
      <c r="L2141" s="52" t="str">
        <f>VLOOKUP(Tabla3[[#This Row],[Site]],'Important Info!'!$A$1:$F$135,2,FALSE)</f>
        <v>34, 62</v>
      </c>
      <c r="M2141" s="52" t="str">
        <f>VLOOKUP(Tabla3[[#This Row],[Site]],'Important Info!'!$A$1:$F$135,3,FALSE)</f>
        <v xml:space="preserve">6, 7, 11, 13, </v>
      </c>
      <c r="N2141" s="52" t="str">
        <f>VLOOKUP(Tabla3[[#This Row],[Site]],'Important Info!'!$A$1:$F$135,4,FALSE)</f>
        <v>20, 21</v>
      </c>
      <c r="O2141" s="52" t="str">
        <f>VLOOKUP(Tabla3[[#This Row],[Site]],'Important Info!'!$A$1:$F$135,5,FALSE)</f>
        <v>-</v>
      </c>
      <c r="P2141" s="52" t="str">
        <f>VLOOKUP(Tabla3[[#This Row],[Site]],'Important Info!'!$A$1:$F$135,6,FALSE)</f>
        <v>1, 2, 3, 131, 132</v>
      </c>
      <c r="Q2141" s="91">
        <f>VLOOKUP(Tabla3[[#This Row],[Site]],'Important Info!'!$A$1:$J$135,9,FALSE)</f>
        <v>162</v>
      </c>
    </row>
    <row r="2142" spans="1:17" x14ac:dyDescent="0.25">
      <c r="A2142" t="str">
        <f>+Tabla3[[#This Row],[Site]]&amp;Tabla3[[#This Row],[Split]]</f>
        <v>(AS) David McDavid Lincoln Frisco (NO TOURS)22</v>
      </c>
      <c r="B2142">
        <v>22</v>
      </c>
      <c r="C2142">
        <v>11</v>
      </c>
      <c r="D2142" t="s">
        <v>33</v>
      </c>
      <c r="E2142" t="s">
        <v>46</v>
      </c>
      <c r="F2142" t="s">
        <v>507</v>
      </c>
      <c r="G2142" t="s">
        <v>34</v>
      </c>
      <c r="H2142" s="52" t="str">
        <f>VLOOKUP(Tabla3[[#This Row],[Site]],'Important Info!'!$A$1:$J$135,10,FALSE)</f>
        <v>https://tools.sig.systems/site/details/182</v>
      </c>
      <c r="I2142" s="43"/>
      <c r="J2142" t="s">
        <v>41</v>
      </c>
      <c r="K2142" s="79" t="str">
        <f>VLOOKUP(Tabla3[[#This Row],[Site]],'Important Info!'!$A$1:$H$135,8,FALSE)</f>
        <v>-</v>
      </c>
      <c r="L2142" s="52" t="str">
        <f>VLOOKUP(Tabla3[[#This Row],[Site]],'Important Info!'!$A$1:$F$135,2,FALSE)</f>
        <v>1, 2, 11</v>
      </c>
      <c r="M2142" s="52" t="str">
        <f>VLOOKUP(Tabla3[[#This Row],[Site]],'Important Info!'!$A$1:$F$135,3,FALSE)</f>
        <v>-</v>
      </c>
      <c r="N2142" s="52" t="str">
        <f>VLOOKUP(Tabla3[[#This Row],[Site]],'Important Info!'!$A$1:$F$135,4,FALSE)</f>
        <v>-</v>
      </c>
      <c r="O2142" s="52" t="str">
        <f>VLOOKUP(Tabla3[[#This Row],[Site]],'Important Info!'!$A$1:$F$135,5,FALSE)</f>
        <v>11, 16, 20</v>
      </c>
      <c r="P2142" s="52" t="str">
        <f>VLOOKUP(Tabla3[[#This Row],[Site]],'Important Info!'!$A$1:$F$135,6,FALSE)</f>
        <v>11, 12, 13, 14</v>
      </c>
      <c r="Q2142" s="91">
        <f>VLOOKUP(Tabla3[[#This Row],[Site]],'Important Info!'!$A$1:$J$135,9,FALSE)</f>
        <v>182</v>
      </c>
    </row>
    <row r="2143" spans="1:17" x14ac:dyDescent="0.25">
      <c r="A2143" t="str">
        <f>+Tabla3[[#This Row],[Site]]&amp;Tabla3[[#This Row],[Split]]</f>
        <v>(AS) Lexus Smyrna (NO TOURS)22</v>
      </c>
      <c r="B2143">
        <v>22</v>
      </c>
      <c r="C2143">
        <v>11</v>
      </c>
      <c r="D2143" t="s">
        <v>62</v>
      </c>
      <c r="E2143" t="s">
        <v>35</v>
      </c>
      <c r="F2143" t="s">
        <v>84</v>
      </c>
      <c r="G2143" t="s">
        <v>490</v>
      </c>
      <c r="H2143" s="52" t="str">
        <f>VLOOKUP(Tabla3[[#This Row],[Site]],'Important Info!'!$A$1:$J$135,10,FALSE)</f>
        <v>https://tools.sig.systems/site/details/133</v>
      </c>
      <c r="I2143" s="43"/>
      <c r="J2143" t="s">
        <v>41</v>
      </c>
      <c r="K2143" s="79" t="str">
        <f>VLOOKUP(Tabla3[[#This Row],[Site]],'Important Info!'!$A$1:$H$135,8,FALSE)</f>
        <v>-</v>
      </c>
      <c r="L2143" s="52" t="str">
        <f>VLOOKUP(Tabla3[[#This Row],[Site]],'Important Info!'!$A$1:$F$135,2,FALSE)</f>
        <v xml:space="preserve">2, 6, 10 </v>
      </c>
      <c r="M2143" s="52" t="str">
        <f>VLOOKUP(Tabla3[[#This Row],[Site]],'Important Info!'!$A$1:$F$135,3,FALSE)</f>
        <v>-</v>
      </c>
      <c r="N2143" s="52" t="str">
        <f>VLOOKUP(Tabla3[[#This Row],[Site]],'Important Info!'!$A$1:$F$135,4,FALSE)</f>
        <v>-</v>
      </c>
      <c r="O2143" s="52" t="str">
        <f>VLOOKUP(Tabla3[[#This Row],[Site]],'Important Info!'!$A$1:$F$135,5,FALSE)</f>
        <v>3, 5, 10, 15</v>
      </c>
      <c r="P2143" s="52" t="str">
        <f>VLOOKUP(Tabla3[[#This Row],[Site]],'Important Info!'!$A$1:$F$135,6,FALSE)</f>
        <v>10, 11</v>
      </c>
      <c r="Q2143" s="91">
        <f>VLOOKUP(Tabla3[[#This Row],[Site]],'Important Info!'!$A$1:$J$135,9,FALSE)</f>
        <v>133</v>
      </c>
    </row>
    <row r="2144" spans="1:17" x14ac:dyDescent="0.25">
      <c r="A2144" t="str">
        <f>+Tabla3[[#This Row],[Site]]&amp;Tabla3[[#This Row],[Split]]</f>
        <v>(AS) Nalley BMW Collision Center (NO TOURS)22</v>
      </c>
      <c r="B2144">
        <v>22</v>
      </c>
      <c r="C2144">
        <v>11</v>
      </c>
      <c r="D2144" t="s">
        <v>62</v>
      </c>
      <c r="E2144" t="s">
        <v>35</v>
      </c>
      <c r="F2144" t="s">
        <v>510</v>
      </c>
      <c r="G2144" t="s">
        <v>490</v>
      </c>
      <c r="H2144" s="52" t="str">
        <f>VLOOKUP(Tabla3[[#This Row],[Site]],'Important Info!'!$A$1:$J$135,10,FALSE)</f>
        <v>https://tools.sig.systems/site/details/220</v>
      </c>
      <c r="I2144" s="2"/>
      <c r="J2144" t="s">
        <v>41</v>
      </c>
      <c r="K2144" s="79" t="str">
        <f>VLOOKUP(Tabla3[[#This Row],[Site]],'Important Info!'!$A$1:$H$135,8,FALSE)</f>
        <v>-</v>
      </c>
      <c r="L2144" s="52" t="str">
        <f>VLOOKUP(Tabla3[[#This Row],[Site]],'Important Info!'!$A$1:$F$135,2,FALSE)</f>
        <v>-</v>
      </c>
      <c r="M2144" s="52">
        <f>VLOOKUP(Tabla3[[#This Row],[Site]],'Important Info!'!$A$1:$F$135,3,FALSE)</f>
        <v>4</v>
      </c>
      <c r="N2144" s="52" t="str">
        <f>VLOOKUP(Tabla3[[#This Row],[Site]],'Important Info!'!$A$1:$F$135,4,FALSE)</f>
        <v>-</v>
      </c>
      <c r="O2144" s="52">
        <f>VLOOKUP(Tabla3[[#This Row],[Site]],'Important Info!'!$A$1:$F$135,5,FALSE)</f>
        <v>12</v>
      </c>
      <c r="P2144" s="52" t="str">
        <f>VLOOKUP(Tabla3[[#This Row],[Site]],'Important Info!'!$A$1:$F$135,6,FALSE)</f>
        <v>13, 15</v>
      </c>
      <c r="Q2144" s="91">
        <f>VLOOKUP(Tabla3[[#This Row],[Site]],'Important Info!'!$A$1:$J$135,9,FALSE)</f>
        <v>220</v>
      </c>
    </row>
    <row r="2145" spans="1:17" x14ac:dyDescent="0.25">
      <c r="A2145" t="str">
        <f>+Tabla3[[#This Row],[Site]]&amp;Tabla3[[#This Row],[Split]]</f>
        <v>(DT) Albuquerque22</v>
      </c>
      <c r="B2145">
        <v>22</v>
      </c>
      <c r="C2145">
        <v>11</v>
      </c>
      <c r="D2145" t="s">
        <v>44</v>
      </c>
      <c r="E2145" t="s">
        <v>53</v>
      </c>
      <c r="F2145" t="s">
        <v>155</v>
      </c>
      <c r="G2145" t="s">
        <v>45</v>
      </c>
      <c r="H2145" s="52" t="str">
        <f>VLOOKUP(Tabla3[[#This Row],[Site]],'Important Info!'!$A$1:$J$135,10,FALSE)</f>
        <v>https://tools.sig.systems/site/details/237</v>
      </c>
      <c r="J2145" t="s">
        <v>41</v>
      </c>
      <c r="K2145" s="79" t="str">
        <f>VLOOKUP(Tabla3[[#This Row],[Site]],'Important Info!'!$A$1:$H$135,8,FALSE)</f>
        <v>-</v>
      </c>
      <c r="L2145" s="52" t="str">
        <f>VLOOKUP(Tabla3[[#This Row],[Site]],'Important Info!'!$A$1:$F$135,2,FALSE)</f>
        <v>14, 16</v>
      </c>
      <c r="M2145" s="52" t="str">
        <f>VLOOKUP(Tabla3[[#This Row],[Site]],'Important Info!'!$A$1:$F$135,3,FALSE)</f>
        <v>-</v>
      </c>
      <c r="N2145" s="52" t="str">
        <f>VLOOKUP(Tabla3[[#This Row],[Site]],'Important Info!'!$A$1:$F$135,4,FALSE)</f>
        <v>-</v>
      </c>
      <c r="O2145" s="52" t="str">
        <f>VLOOKUP(Tabla3[[#This Row],[Site]],'Important Info!'!$A$1:$F$135,5,FALSE)</f>
        <v>14, 15</v>
      </c>
      <c r="P2145" s="52" t="str">
        <f>VLOOKUP(Tabla3[[#This Row],[Site]],'Important Info!'!$A$1:$F$135,6,FALSE)</f>
        <v>12, 14, 16</v>
      </c>
      <c r="Q2145" s="91">
        <f>VLOOKUP(Tabla3[[#This Row],[Site]],'Important Info!'!$A$1:$J$135,9,FALSE)</f>
        <v>237</v>
      </c>
    </row>
    <row r="2146" spans="1:17" x14ac:dyDescent="0.25">
      <c r="A2146" t="str">
        <f>+Tabla3[[#This Row],[Site]]&amp;Tabla3[[#This Row],[Split]]</f>
        <v>(ML) Volvo Collision Corp22</v>
      </c>
      <c r="B2146">
        <v>22</v>
      </c>
      <c r="C2146">
        <v>11</v>
      </c>
      <c r="D2146" t="s">
        <v>33</v>
      </c>
      <c r="E2146" t="s">
        <v>46</v>
      </c>
      <c r="F2146" t="s">
        <v>106</v>
      </c>
      <c r="G2146" t="s">
        <v>34</v>
      </c>
      <c r="H2146" s="52" t="str">
        <f>VLOOKUP(Tabla3[[#This Row],[Site]],'Important Info!'!$A$1:$J$135,10,FALSE)</f>
        <v>https://tools.sig.systems/site/details/223</v>
      </c>
      <c r="I2146" s="43"/>
      <c r="J2146" t="s">
        <v>41</v>
      </c>
      <c r="K2146" s="79" t="str">
        <f>VLOOKUP(Tabla3[[#This Row],[Site]],'Important Info!'!$A$1:$H$135,8,FALSE)</f>
        <v>-</v>
      </c>
      <c r="L2146" s="52" t="str">
        <f>VLOOKUP(Tabla3[[#This Row],[Site]],'Important Info!'!$A$1:$F$135,2,FALSE)</f>
        <v>7, 11</v>
      </c>
      <c r="M2146" s="52">
        <f>VLOOKUP(Tabla3[[#This Row],[Site]],'Important Info!'!$A$1:$F$135,3,FALSE)</f>
        <v>4</v>
      </c>
      <c r="N2146" s="52" t="str">
        <f>VLOOKUP(Tabla3[[#This Row],[Site]],'Important Info!'!$A$1:$F$135,4,FALSE)</f>
        <v>-</v>
      </c>
      <c r="O2146" s="52">
        <f>VLOOKUP(Tabla3[[#This Row],[Site]],'Important Info!'!$A$1:$F$135,5,FALSE)</f>
        <v>18</v>
      </c>
      <c r="P2146" s="52" t="str">
        <f>VLOOKUP(Tabla3[[#This Row],[Site]],'Important Info!'!$A$1:$F$135,6,FALSE)</f>
        <v>-</v>
      </c>
      <c r="Q2146" s="91">
        <f>VLOOKUP(Tabla3[[#This Row],[Site]],'Important Info!'!$A$1:$J$135,9,FALSE)</f>
        <v>223</v>
      </c>
    </row>
    <row r="2147" spans="1:17" x14ac:dyDescent="0.25">
      <c r="A2147" t="str">
        <f>+Tabla3[[#This Row],[Site]]&amp;Tabla3[[#This Row],[Split]]</f>
        <v>(PE) Fairfield Collision (NO TOURS)22</v>
      </c>
      <c r="B2147">
        <v>22</v>
      </c>
      <c r="C2147">
        <v>11</v>
      </c>
      <c r="D2147" t="s">
        <v>485</v>
      </c>
      <c r="E2147" t="s">
        <v>35</v>
      </c>
      <c r="F2147" t="s">
        <v>63</v>
      </c>
      <c r="G2147" t="s">
        <v>490</v>
      </c>
      <c r="H2147" s="52" t="str">
        <f>VLOOKUP(Tabla3[[#This Row],[Site]],'Important Info!'!$A$1:$J$135,10,FALSE)</f>
        <v>https://tools.sig.systems/site/details/191</v>
      </c>
      <c r="J2147" t="s">
        <v>41</v>
      </c>
      <c r="K2147" s="79" t="str">
        <f>VLOOKUP(Tabla3[[#This Row],[Site]],'Important Info!'!$A$1:$H$135,8,FALSE)</f>
        <v>-</v>
      </c>
      <c r="L2147" s="52">
        <f>VLOOKUP(Tabla3[[#This Row],[Site]],'Important Info!'!$A$1:$F$135,2,FALSE)</f>
        <v>4</v>
      </c>
      <c r="M2147" s="52" t="str">
        <f>VLOOKUP(Tabla3[[#This Row],[Site]],'Important Info!'!$A$1:$F$135,3,FALSE)</f>
        <v>-</v>
      </c>
      <c r="N2147" s="52" t="str">
        <f>VLOOKUP(Tabla3[[#This Row],[Site]],'Important Info!'!$A$1:$F$135,4,FALSE)</f>
        <v>-</v>
      </c>
      <c r="O2147" s="52" t="str">
        <f>VLOOKUP(Tabla3[[#This Row],[Site]],'Important Info!'!$A$1:$F$135,5,FALSE)</f>
        <v>-</v>
      </c>
      <c r="P2147" s="52" t="str">
        <f>VLOOKUP(Tabla3[[#This Row],[Site]],'Important Info!'!$A$1:$F$135,6,FALSE)</f>
        <v>1, 2, 3, 4, 5, 6</v>
      </c>
      <c r="Q2147" s="91">
        <f>VLOOKUP(Tabla3[[#This Row],[Site]],'Important Info!'!$A$1:$J$135,9,FALSE)</f>
        <v>191</v>
      </c>
    </row>
    <row r="2148" spans="1:17" x14ac:dyDescent="0.25">
      <c r="A2148" t="str">
        <f>+Tabla3[[#This Row],[Site]]&amp;Tabla3[[#This Row],[Split]]</f>
        <v>(AS) Audi of North Atlanta (NO TOURS)22</v>
      </c>
      <c r="B2148">
        <v>22</v>
      </c>
      <c r="C2148">
        <v>12</v>
      </c>
      <c r="D2148" t="s">
        <v>62</v>
      </c>
      <c r="E2148" t="s">
        <v>35</v>
      </c>
      <c r="F2148" t="s">
        <v>499</v>
      </c>
      <c r="G2148" t="s">
        <v>490</v>
      </c>
      <c r="H2148" s="52" t="str">
        <f>VLOOKUP(Tabla3[[#This Row],[Site]],'Important Info!'!$A$1:$J$135,10,FALSE)</f>
        <v>https://tools.sig.systems/site/details/124</v>
      </c>
      <c r="I2148" s="2" t="s">
        <v>166</v>
      </c>
      <c r="J2148" t="s">
        <v>41</v>
      </c>
      <c r="K2148" s="79" t="str">
        <f>VLOOKUP(Tabla3[[#This Row],[Site]],'Important Info!'!$A$1:$H$135,8,FALSE)</f>
        <v>-</v>
      </c>
      <c r="L2148" s="52" t="str">
        <f>VLOOKUP(Tabla3[[#This Row],[Site]],'Important Info!'!$A$1:$F$135,2,FALSE)</f>
        <v>1, 5, 16, 54</v>
      </c>
      <c r="M2148" s="52" t="str">
        <f>VLOOKUP(Tabla3[[#This Row],[Site]],'Important Info!'!$A$1:$F$135,3,FALSE)</f>
        <v>-</v>
      </c>
      <c r="N2148" s="52" t="str">
        <f>VLOOKUP(Tabla3[[#This Row],[Site]],'Important Info!'!$A$1:$F$135,4,FALSE)</f>
        <v>-</v>
      </c>
      <c r="O2148" s="52" t="str">
        <f>VLOOKUP(Tabla3[[#This Row],[Site]],'Important Info!'!$A$1:$F$135,5,FALSE)</f>
        <v>3, 16</v>
      </c>
      <c r="P2148" s="52" t="str">
        <f>VLOOKUP(Tabla3[[#This Row],[Site]],'Important Info!'!$A$1:$F$135,6,FALSE)</f>
        <v>2, 5, 6</v>
      </c>
      <c r="Q2148" s="91">
        <f>VLOOKUP(Tabla3[[#This Row],[Site]],'Important Info!'!$A$1:$J$135,9,FALSE)</f>
        <v>124</v>
      </c>
    </row>
    <row r="2149" spans="1:17" x14ac:dyDescent="0.25">
      <c r="A2149" t="str">
        <f>+Tabla3[[#This Row],[Site]]&amp;Tabla3[[#This Row],[Split]]</f>
        <v>(HUD) Acura of Greensboro22</v>
      </c>
      <c r="B2149">
        <v>22</v>
      </c>
      <c r="C2149">
        <v>12</v>
      </c>
      <c r="D2149" t="s">
        <v>62</v>
      </c>
      <c r="E2149" t="s">
        <v>35</v>
      </c>
      <c r="F2149" t="s">
        <v>100</v>
      </c>
      <c r="G2149" t="s">
        <v>490</v>
      </c>
      <c r="H2149" s="52" t="str">
        <f>VLOOKUP(Tabla3[[#This Row],[Site]],'Important Info!'!$A$1:$J$135,10,FALSE)</f>
        <v>https://tools.sig.systems/site/details/213</v>
      </c>
      <c r="I2149" t="s">
        <v>182</v>
      </c>
      <c r="J2149" t="s">
        <v>41</v>
      </c>
      <c r="K2149" s="79" t="str">
        <f>VLOOKUP(Tabla3[[#This Row],[Site]],'Important Info!'!$A$1:$H$135,8,FALSE)</f>
        <v>-</v>
      </c>
      <c r="L2149" s="52" t="str">
        <f>VLOOKUP(Tabla3[[#This Row],[Site]],'Important Info!'!$A$1:$F$135,2,FALSE)</f>
        <v>1, 2, 6, 7, 9</v>
      </c>
      <c r="M2149" s="52" t="str">
        <f>VLOOKUP(Tabla3[[#This Row],[Site]],'Important Info!'!$A$1:$F$135,3,FALSE)</f>
        <v>-</v>
      </c>
      <c r="N2149" s="52" t="str">
        <f>VLOOKUP(Tabla3[[#This Row],[Site]],'Important Info!'!$A$1:$F$135,4,FALSE)</f>
        <v>-</v>
      </c>
      <c r="O2149" s="52" t="str">
        <f>VLOOKUP(Tabla3[[#This Row],[Site]],'Important Info!'!$A$1:$F$135,5,FALSE)</f>
        <v>2, 5</v>
      </c>
      <c r="P2149" s="52" t="str">
        <f>VLOOKUP(Tabla3[[#This Row],[Site]],'Important Info!'!$A$1:$F$135,6,FALSE)</f>
        <v>1, 2, 6, 7, 9, 18</v>
      </c>
      <c r="Q2149" s="91">
        <f>VLOOKUP(Tabla3[[#This Row],[Site]],'Important Info!'!$A$1:$J$135,9,FALSE)</f>
        <v>213</v>
      </c>
    </row>
    <row r="2150" spans="1:17" x14ac:dyDescent="0.25">
      <c r="A2150" t="str">
        <f>+Tabla3[[#This Row],[Site]]&amp;Tabla3[[#This Row],[Split]]</f>
        <v>(MK) McKenny Salinas Honda22</v>
      </c>
      <c r="B2150">
        <v>22</v>
      </c>
      <c r="C2150">
        <v>12</v>
      </c>
      <c r="D2150" t="s">
        <v>62</v>
      </c>
      <c r="E2150" t="s">
        <v>35</v>
      </c>
      <c r="F2150" t="s">
        <v>115</v>
      </c>
      <c r="G2150" t="s">
        <v>490</v>
      </c>
      <c r="H2150" s="52" t="str">
        <f>VLOOKUP(Tabla3[[#This Row],[Site]],'Important Info!'!$A$1:$J$135,10,FALSE)</f>
        <v>https://tools.sig.systems/site/details/149</v>
      </c>
      <c r="J2150" t="s">
        <v>41</v>
      </c>
      <c r="K2150" s="79" t="str">
        <f>VLOOKUP(Tabla3[[#This Row],[Site]],'Important Info!'!$A$1:$H$135,8,FALSE)</f>
        <v>-</v>
      </c>
      <c r="L2150" s="52" t="str">
        <f>VLOOKUP(Tabla3[[#This Row],[Site]],'Important Info!'!$A$1:$F$135,2,FALSE)</f>
        <v>-</v>
      </c>
      <c r="M2150" s="52" t="str">
        <f>VLOOKUP(Tabla3[[#This Row],[Site]],'Important Info!'!$A$1:$F$135,3,FALSE)</f>
        <v>12, 16</v>
      </c>
      <c r="N2150" s="52" t="str">
        <f>VLOOKUP(Tabla3[[#This Row],[Site]],'Important Info!'!$A$1:$F$135,4,FALSE)</f>
        <v>-</v>
      </c>
      <c r="O2150" s="52" t="str">
        <f>VLOOKUP(Tabla3[[#This Row],[Site]],'Important Info!'!$A$1:$F$135,5,FALSE)</f>
        <v>-</v>
      </c>
      <c r="P2150" s="52" t="str">
        <f>VLOOKUP(Tabla3[[#This Row],[Site]],'Important Info!'!$A$1:$F$135,6,FALSE)</f>
        <v>3, 4, 5, 6, 16</v>
      </c>
      <c r="Q2150" s="91">
        <f>VLOOKUP(Tabla3[[#This Row],[Site]],'Important Info!'!$A$1:$J$135,9,FALSE)</f>
        <v>149</v>
      </c>
    </row>
    <row r="2151" spans="1:17" x14ac:dyDescent="0.25">
      <c r="A2151" t="str">
        <f>+Tabla3[[#This Row],[Site]]&amp;Tabla3[[#This Row],[Split]]</f>
        <v>(ML) Joe Machens Capital City I &amp; II (NO TOURS)22</v>
      </c>
      <c r="B2151">
        <v>22</v>
      </c>
      <c r="C2151">
        <v>12</v>
      </c>
      <c r="D2151" t="s">
        <v>33</v>
      </c>
      <c r="E2151" t="s">
        <v>46</v>
      </c>
      <c r="F2151" t="s">
        <v>72</v>
      </c>
      <c r="G2151" t="s">
        <v>34</v>
      </c>
      <c r="H2151" s="52" t="str">
        <f>VLOOKUP(Tabla3[[#This Row],[Site]],'Important Info!'!$A$1:$J$135,10,FALSE)</f>
        <v>https://tools.sig.systems/site/details/271</v>
      </c>
      <c r="I2151" s="43"/>
      <c r="J2151" t="s">
        <v>41</v>
      </c>
      <c r="K2151" s="79" t="str">
        <f>VLOOKUP(Tabla3[[#This Row],[Site]],'Important Info!'!$A$1:$H$135,8,FALSE)</f>
        <v>-</v>
      </c>
      <c r="L2151" s="52" t="str">
        <f>VLOOKUP(Tabla3[[#This Row],[Site]],'Important Info!'!$A$1:$F$135,2,FALSE)</f>
        <v>-</v>
      </c>
      <c r="M2151" s="52" t="str">
        <f>VLOOKUP(Tabla3[[#This Row],[Site]],'Important Info!'!$A$1:$F$135,3,FALSE)</f>
        <v>1, 3, 4, 20, 25, 27, 28</v>
      </c>
      <c r="N2151" s="52" t="str">
        <f>VLOOKUP(Tabla3[[#This Row],[Site]],'Important Info!'!$A$1:$F$135,4,FALSE)</f>
        <v>-</v>
      </c>
      <c r="O2151" s="52">
        <f>VLOOKUP(Tabla3[[#This Row],[Site]],'Important Info!'!$A$1:$F$135,5,FALSE)</f>
        <v>29</v>
      </c>
      <c r="P2151" s="52" t="str">
        <f>VLOOKUP(Tabla3[[#This Row],[Site]],'Important Info!'!$A$1:$F$135,6,FALSE)</f>
        <v>19, 20</v>
      </c>
      <c r="Q2151" s="91">
        <f>VLOOKUP(Tabla3[[#This Row],[Site]],'Important Info!'!$A$1:$J$135,9,FALSE)</f>
        <v>271</v>
      </c>
    </row>
    <row r="2152" spans="1:17" x14ac:dyDescent="0.25">
      <c r="A2152" t="str">
        <f>+Tabla3[[#This Row],[Site]]&amp;Tabla3[[#This Row],[Split]]</f>
        <v>(PE) Mercedes Benz &amp; Smart Bldg. of Fairfield (NO TOURS)22</v>
      </c>
      <c r="B2152">
        <v>22</v>
      </c>
      <c r="C2152">
        <v>12</v>
      </c>
      <c r="D2152" t="s">
        <v>485</v>
      </c>
      <c r="E2152" t="s">
        <v>35</v>
      </c>
      <c r="F2152" t="s">
        <v>64</v>
      </c>
      <c r="G2152" t="s">
        <v>490</v>
      </c>
      <c r="H2152" s="52" t="str">
        <f>VLOOKUP(Tabla3[[#This Row],[Site]],'Important Info!'!$A$1:$J$135,10,FALSE)</f>
        <v>https://tools.sig.systems/site/details/192</v>
      </c>
      <c r="I2152" t="s">
        <v>177</v>
      </c>
      <c r="J2152" t="s">
        <v>41</v>
      </c>
      <c r="K2152" s="79" t="str">
        <f>VLOOKUP(Tabla3[[#This Row],[Site]],'Important Info!'!$A$1:$H$135,8,FALSE)</f>
        <v>-</v>
      </c>
      <c r="L2152" s="52" t="str">
        <f>VLOOKUP(Tabla3[[#This Row],[Site]],'Important Info!'!$A$1:$F$135,2,FALSE)</f>
        <v>-</v>
      </c>
      <c r="M2152" s="52">
        <f>VLOOKUP(Tabla3[[#This Row],[Site]],'Important Info!'!$A$1:$F$135,3,FALSE)</f>
        <v>1</v>
      </c>
      <c r="N2152" s="52" t="str">
        <f>VLOOKUP(Tabla3[[#This Row],[Site]],'Important Info!'!$A$1:$F$135,4,FALSE)</f>
        <v>-</v>
      </c>
      <c r="O2152" s="52" t="str">
        <f>VLOOKUP(Tabla3[[#This Row],[Site]],'Important Info!'!$A$1:$F$135,5,FALSE)</f>
        <v>11, 13</v>
      </c>
      <c r="P2152" s="52">
        <f>VLOOKUP(Tabla3[[#This Row],[Site]],'Important Info!'!$A$1:$F$135,6,FALSE)</f>
        <v>1</v>
      </c>
      <c r="Q2152" s="91">
        <f>VLOOKUP(Tabla3[[#This Row],[Site]],'Important Info!'!$A$1:$J$135,9,FALSE)</f>
        <v>192</v>
      </c>
    </row>
    <row r="2153" spans="1:17" x14ac:dyDescent="0.25">
      <c r="A2153" t="str">
        <f>+Tabla3[[#This Row],[Site]]&amp;Tabla3[[#This Row],[Split]]</f>
        <v>(AS) David McDavid Honda I &amp; II (NO TOURS)22</v>
      </c>
      <c r="B2153">
        <v>22</v>
      </c>
      <c r="C2153">
        <v>13</v>
      </c>
      <c r="D2153" t="s">
        <v>33</v>
      </c>
      <c r="E2153" t="s">
        <v>46</v>
      </c>
      <c r="F2153" t="s">
        <v>506</v>
      </c>
      <c r="G2153" t="s">
        <v>34</v>
      </c>
      <c r="H2153" s="52" t="str">
        <f>VLOOKUP(Tabla3[[#This Row],[Site]],'Important Info!'!$A$1:$J$135,10,FALSE)</f>
        <v>https://tools.sig.systems/site/details/129</v>
      </c>
      <c r="J2153" t="s">
        <v>41</v>
      </c>
      <c r="K2153" s="79" t="str">
        <f>VLOOKUP(Tabla3[[#This Row],[Site]],'Important Info!'!$A$1:$H$135,8,FALSE)</f>
        <v>-</v>
      </c>
      <c r="L2153" s="52" t="str">
        <f>VLOOKUP(Tabla3[[#This Row],[Site]],'Important Info!'!$A$1:$F$135,2,FALSE)</f>
        <v>-</v>
      </c>
      <c r="M2153" s="52" t="str">
        <f>VLOOKUP(Tabla3[[#This Row],[Site]],'Important Info!'!$A$1:$F$135,3,FALSE)</f>
        <v>3, 19, 23, 32, 35</v>
      </c>
      <c r="N2153" s="52" t="str">
        <f>VLOOKUP(Tabla3[[#This Row],[Site]],'Important Info!'!$A$1:$F$135,4,FALSE)</f>
        <v>-</v>
      </c>
      <c r="O2153" s="52" t="str">
        <f>VLOOKUP(Tabla3[[#This Row],[Site]],'Important Info!'!$A$1:$F$135,5,FALSE)</f>
        <v>2, 6, 9, 19, 25, 30, 48</v>
      </c>
      <c r="P2153" s="52" t="str">
        <f>VLOOKUP(Tabla3[[#This Row],[Site]],'Important Info!'!$A$1:$F$135,6,FALSE)</f>
        <v>25, 26, 35, 36, 37</v>
      </c>
      <c r="Q2153" s="91">
        <f>VLOOKUP(Tabla3[[#This Row],[Site]],'Important Info!'!$A$1:$J$135,9,FALSE)</f>
        <v>129</v>
      </c>
    </row>
    <row r="2154" spans="1:17" x14ac:dyDescent="0.25">
      <c r="A2154" t="str">
        <f>+Tabla3[[#This Row],[Site]]&amp;Tabla3[[#This Row],[Split]]</f>
        <v>(AS) Mike Shaw Subaru Greeley (NO TOURS)22</v>
      </c>
      <c r="B2154">
        <v>22</v>
      </c>
      <c r="C2154">
        <v>13</v>
      </c>
      <c r="D2154" t="s">
        <v>44</v>
      </c>
      <c r="E2154" t="s">
        <v>53</v>
      </c>
      <c r="F2154" t="s">
        <v>95</v>
      </c>
      <c r="G2154" t="s">
        <v>45</v>
      </c>
      <c r="H2154" s="52" t="str">
        <f>VLOOKUP(Tabla3[[#This Row],[Site]],'Important Info!'!$A$1:$J$135,10,FALSE)</f>
        <v>https://tools.sig.systems/site/details/174</v>
      </c>
      <c r="I2154" s="43" t="s">
        <v>153</v>
      </c>
      <c r="J2154" t="s">
        <v>41</v>
      </c>
      <c r="K2154" s="79" t="str">
        <f>VLOOKUP(Tabla3[[#This Row],[Site]],'Important Info!'!$A$1:$H$135,8,FALSE)</f>
        <v>-</v>
      </c>
      <c r="L2154" s="52" t="str">
        <f>VLOOKUP(Tabla3[[#This Row],[Site]],'Important Info!'!$A$1:$F$135,2,FALSE)</f>
        <v>16, 17</v>
      </c>
      <c r="M2154" s="52">
        <f>VLOOKUP(Tabla3[[#This Row],[Site]],'Important Info!'!$A$1:$F$135,3,FALSE)</f>
        <v>10</v>
      </c>
      <c r="N2154" s="52" t="str">
        <f>VLOOKUP(Tabla3[[#This Row],[Site]],'Important Info!'!$A$1:$F$135,4,FALSE)</f>
        <v>-</v>
      </c>
      <c r="O2154" s="52" t="str">
        <f>VLOOKUP(Tabla3[[#This Row],[Site]],'Important Info!'!$A$1:$F$135,5,FALSE)</f>
        <v>1, 7</v>
      </c>
      <c r="P2154" s="52" t="str">
        <f>VLOOKUP(Tabla3[[#This Row],[Site]],'Important Info!'!$A$1:$F$135,6,FALSE)</f>
        <v>-</v>
      </c>
      <c r="Q2154" s="91">
        <f>VLOOKUP(Tabla3[[#This Row],[Site]],'Important Info!'!$A$1:$J$135,9,FALSE)</f>
        <v>174</v>
      </c>
    </row>
    <row r="2155" spans="1:17" x14ac:dyDescent="0.25">
      <c r="A2155" t="str">
        <f>+Tabla3[[#This Row],[Site]]&amp;Tabla3[[#This Row],[Split]]</f>
        <v>(HUD) BMW of Greensboro22</v>
      </c>
      <c r="B2155">
        <v>22</v>
      </c>
      <c r="C2155">
        <v>13</v>
      </c>
      <c r="D2155" t="s">
        <v>62</v>
      </c>
      <c r="E2155" t="s">
        <v>35</v>
      </c>
      <c r="F2155" t="s">
        <v>183</v>
      </c>
      <c r="G2155" t="s">
        <v>490</v>
      </c>
      <c r="H2155" s="52" t="str">
        <f>VLOOKUP(Tabla3[[#This Row],[Site]],'Important Info!'!$A$1:$J$135,10,FALSE)</f>
        <v>https://tools.sig.systems/site/details/219</v>
      </c>
      <c r="I2155" s="2" t="s">
        <v>184</v>
      </c>
      <c r="J2155" t="s">
        <v>41</v>
      </c>
      <c r="K2155" s="79" t="str">
        <f>VLOOKUP(Tabla3[[#This Row],[Site]],'Important Info!'!$A$1:$H$135,8,FALSE)</f>
        <v>-</v>
      </c>
      <c r="L2155" s="52" t="str">
        <f>VLOOKUP(Tabla3[[#This Row],[Site]],'Important Info!'!$A$1:$F$135,2,FALSE)</f>
        <v>2, 20, 21</v>
      </c>
      <c r="M2155" s="52" t="str">
        <f>VLOOKUP(Tabla3[[#This Row],[Site]],'Important Info!'!$A$1:$F$135,3,FALSE)</f>
        <v>-</v>
      </c>
      <c r="N2155" s="52" t="str">
        <f>VLOOKUP(Tabla3[[#This Row],[Site]],'Important Info!'!$A$1:$F$135,4,FALSE)</f>
        <v>-</v>
      </c>
      <c r="O2155" s="52" t="str">
        <f>VLOOKUP(Tabla3[[#This Row],[Site]],'Important Info!'!$A$1:$F$135,5,FALSE)</f>
        <v>12, 17</v>
      </c>
      <c r="P2155" s="52" t="str">
        <f>VLOOKUP(Tabla3[[#This Row],[Site]],'Important Info!'!$A$1:$F$135,6,FALSE)</f>
        <v>1, 2, 6, 20</v>
      </c>
      <c r="Q2155" s="91">
        <f>VLOOKUP(Tabla3[[#This Row],[Site]],'Important Info!'!$A$1:$J$135,9,FALSE)</f>
        <v>219</v>
      </c>
    </row>
    <row r="2156" spans="1:17" x14ac:dyDescent="0.25">
      <c r="A2156" t="str">
        <f>+Tabla3[[#This Row],[Site]]&amp;Tabla3[[#This Row],[Split]]</f>
        <v>(PE) Honda of Danbury (NO TOURS)22</v>
      </c>
      <c r="B2156">
        <v>22</v>
      </c>
      <c r="C2156">
        <v>13</v>
      </c>
      <c r="D2156" t="s">
        <v>485</v>
      </c>
      <c r="E2156" t="s">
        <v>35</v>
      </c>
      <c r="F2156" t="s">
        <v>174</v>
      </c>
      <c r="G2156" t="s">
        <v>490</v>
      </c>
      <c r="H2156" s="52" t="str">
        <f>VLOOKUP(Tabla3[[#This Row],[Site]],'Important Info!'!$A$1:$J$135,10,FALSE)</f>
        <v>https://tools.sig.systems/site/details/190</v>
      </c>
      <c r="I2156" s="43"/>
      <c r="J2156" t="s">
        <v>41</v>
      </c>
      <c r="K2156" s="79" t="str">
        <f>VLOOKUP(Tabla3[[#This Row],[Site]],'Important Info!'!$A$1:$H$135,8,FALSE)</f>
        <v>-</v>
      </c>
      <c r="L2156" s="52" t="str">
        <f>VLOOKUP(Tabla3[[#This Row],[Site]],'Important Info!'!$A$1:$F$135,2,FALSE)</f>
        <v>-</v>
      </c>
      <c r="M2156" s="52" t="str">
        <f>VLOOKUP(Tabla3[[#This Row],[Site]],'Important Info!'!$A$1:$F$135,3,FALSE)</f>
        <v>20, 9</v>
      </c>
      <c r="N2156" s="52">
        <f>VLOOKUP(Tabla3[[#This Row],[Site]],'Important Info!'!$A$1:$F$135,4,FALSE)</f>
        <v>9</v>
      </c>
      <c r="O2156" s="52" t="str">
        <f>VLOOKUP(Tabla3[[#This Row],[Site]],'Important Info!'!$A$1:$F$135,5,FALSE)</f>
        <v>-</v>
      </c>
      <c r="P2156" s="52" t="str">
        <f>VLOOKUP(Tabla3[[#This Row],[Site]],'Important Info!'!$A$1:$F$135,6,FALSE)</f>
        <v>9, 16, 17</v>
      </c>
      <c r="Q2156" s="91">
        <f>VLOOKUP(Tabla3[[#This Row],[Site]],'Important Info!'!$A$1:$J$135,9,FALSE)</f>
        <v>190</v>
      </c>
    </row>
    <row r="2157" spans="1:17" x14ac:dyDescent="0.25">
      <c r="A2157" t="str">
        <f>+Tabla3[[#This Row],[Site]]&amp;Tabla3[[#This Row],[Split]]</f>
        <v>(AS) Coggin Mercedes Benz Ft Pierce (NO TOURS)22</v>
      </c>
      <c r="B2157">
        <v>22</v>
      </c>
      <c r="C2157">
        <v>14</v>
      </c>
      <c r="D2157" t="s">
        <v>62</v>
      </c>
      <c r="E2157" t="s">
        <v>35</v>
      </c>
      <c r="F2157" t="s">
        <v>502</v>
      </c>
      <c r="G2157" t="s">
        <v>490</v>
      </c>
      <c r="H2157" s="52" t="str">
        <f>VLOOKUP(Tabla3[[#This Row],[Site]],'Important Info!'!$A$1:$J$135,10,FALSE)</f>
        <v>https://tools.sig.systems/site/details/127</v>
      </c>
      <c r="I2157" t="s">
        <v>179</v>
      </c>
      <c r="J2157" t="s">
        <v>41</v>
      </c>
      <c r="K2157" s="79" t="str">
        <f>VLOOKUP(Tabla3[[#This Row],[Site]],'Important Info!'!$A$1:$H$135,8,FALSE)</f>
        <v>-</v>
      </c>
      <c r="L2157" s="52">
        <f>VLOOKUP(Tabla3[[#This Row],[Site]],'Important Info!'!$A$1:$F$135,2,FALSE)</f>
        <v>18</v>
      </c>
      <c r="M2157" s="52" t="str">
        <f>VLOOKUP(Tabla3[[#This Row],[Site]],'Important Info!'!$A$1:$F$135,3,FALSE)</f>
        <v>1, 3</v>
      </c>
      <c r="N2157" s="52" t="str">
        <f>VLOOKUP(Tabla3[[#This Row],[Site]],'Important Info!'!$A$1:$F$135,4,FALSE)</f>
        <v>-</v>
      </c>
      <c r="O2157" s="52" t="str">
        <f>VLOOKUP(Tabla3[[#This Row],[Site]],'Important Info!'!$A$1:$F$135,5,FALSE)</f>
        <v>6, 10, 13</v>
      </c>
      <c r="P2157" s="52" t="str">
        <f>VLOOKUP(Tabla3[[#This Row],[Site]],'Important Info!'!$A$1:$F$135,6,FALSE)</f>
        <v>1, 4, 5</v>
      </c>
      <c r="Q2157" s="91">
        <f>VLOOKUP(Tabla3[[#This Row],[Site]],'Important Info!'!$A$1:$J$135,9,FALSE)</f>
        <v>127</v>
      </c>
    </row>
    <row r="2158" spans="1:17" x14ac:dyDescent="0.25">
      <c r="A2158" t="str">
        <f>+Tabla3[[#This Row],[Site]]&amp;Tabla3[[#This Row],[Split]]</f>
        <v>(DT) El Cajon (NO TOURS)22</v>
      </c>
      <c r="B2158">
        <v>22</v>
      </c>
      <c r="C2158">
        <v>14</v>
      </c>
      <c r="D2158" t="s">
        <v>51</v>
      </c>
      <c r="E2158" t="s">
        <v>159</v>
      </c>
      <c r="F2158" t="s">
        <v>160</v>
      </c>
      <c r="G2158" t="s">
        <v>52</v>
      </c>
      <c r="H2158" s="52" t="str">
        <f>VLOOKUP(Tabla3[[#This Row],[Site]],'Important Info!'!$A$1:$J$135,10,FALSE)</f>
        <v>https://tools.sig.systems/site/details/241</v>
      </c>
      <c r="I2158" s="43"/>
      <c r="J2158" t="s">
        <v>41</v>
      </c>
      <c r="K2158" s="79" t="str">
        <f>VLOOKUP(Tabla3[[#This Row],[Site]],'Important Info!'!$A$1:$H$135,8,FALSE)</f>
        <v>-</v>
      </c>
      <c r="L2158" s="52" t="str">
        <f>VLOOKUP(Tabla3[[#This Row],[Site]],'Important Info!'!$A$1:$F$135,2,FALSE)</f>
        <v>-</v>
      </c>
      <c r="M2158" s="52">
        <f>VLOOKUP(Tabla3[[#This Row],[Site]],'Important Info!'!$A$1:$F$135,3,FALSE)</f>
        <v>3</v>
      </c>
      <c r="N2158" s="52" t="str">
        <f>VLOOKUP(Tabla3[[#This Row],[Site]],'Important Info!'!$A$1:$F$135,4,FALSE)</f>
        <v>-</v>
      </c>
      <c r="O2158" s="52" t="str">
        <f>VLOOKUP(Tabla3[[#This Row],[Site]],'Important Info!'!$A$1:$F$135,5,FALSE)</f>
        <v>-</v>
      </c>
      <c r="P2158" s="52" t="str">
        <f>VLOOKUP(Tabla3[[#This Row],[Site]],'Important Info!'!$A$1:$F$135,6,FALSE)</f>
        <v>-</v>
      </c>
      <c r="Q2158" s="91">
        <f>VLOOKUP(Tabla3[[#This Row],[Site]],'Important Info!'!$A$1:$J$135,9,FALSE)</f>
        <v>241</v>
      </c>
    </row>
    <row r="2159" spans="1:17" x14ac:dyDescent="0.25">
      <c r="A2159" t="str">
        <f>+Tabla3[[#This Row],[Site]]&amp;Tabla3[[#This Row],[Split]]</f>
        <v>(HUD) Nissan Greensboro22</v>
      </c>
      <c r="B2159">
        <v>22</v>
      </c>
      <c r="C2159">
        <v>14</v>
      </c>
      <c r="D2159" t="s">
        <v>62</v>
      </c>
      <c r="E2159" t="s">
        <v>35</v>
      </c>
      <c r="F2159" t="s">
        <v>66</v>
      </c>
      <c r="G2159" t="s">
        <v>490</v>
      </c>
      <c r="H2159" s="52" t="str">
        <f>VLOOKUP(Tabla3[[#This Row],[Site]],'Important Info!'!$A$1:$J$135,10,FALSE)</f>
        <v>https://tools.sig.systems/site/details/236</v>
      </c>
      <c r="I2159" s="2" t="s">
        <v>184</v>
      </c>
      <c r="J2159" t="s">
        <v>41</v>
      </c>
      <c r="K2159" s="79" t="str">
        <f>VLOOKUP(Tabla3[[#This Row],[Site]],'Important Info!'!$A$1:$H$135,8,FALSE)</f>
        <v>-</v>
      </c>
      <c r="L2159" s="52" t="str">
        <f>VLOOKUP(Tabla3[[#This Row],[Site]],'Important Info!'!$A$1:$F$135,2,FALSE)</f>
        <v>1, 5, 12</v>
      </c>
      <c r="M2159" s="52" t="str">
        <f>VLOOKUP(Tabla3[[#This Row],[Site]],'Important Info!'!$A$1:$F$135,3,FALSE)</f>
        <v>-</v>
      </c>
      <c r="N2159" s="52" t="str">
        <f>VLOOKUP(Tabla3[[#This Row],[Site]],'Important Info!'!$A$1:$F$135,4,FALSE)</f>
        <v>-</v>
      </c>
      <c r="O2159" s="52" t="str">
        <f>VLOOKUP(Tabla3[[#This Row],[Site]],'Important Info!'!$A$1:$F$135,5,FALSE)</f>
        <v>-</v>
      </c>
      <c r="P2159" s="52">
        <f>VLOOKUP(Tabla3[[#This Row],[Site]],'Important Info!'!$A$1:$F$135,6,FALSE)</f>
        <v>4</v>
      </c>
      <c r="Q2159" s="91">
        <f>VLOOKUP(Tabla3[[#This Row],[Site]],'Important Info!'!$A$1:$J$135,9,FALSE)</f>
        <v>236</v>
      </c>
    </row>
    <row r="2160" spans="1:17" x14ac:dyDescent="0.25">
      <c r="A2160" t="str">
        <f>+Tabla3[[#This Row],[Site]]&amp;Tabla3[[#This Row],[Split]]</f>
        <v>(ML) McLarty-Gray Daniels Chevrolet22</v>
      </c>
      <c r="B2160">
        <v>22</v>
      </c>
      <c r="C2160">
        <v>14</v>
      </c>
      <c r="D2160" t="s">
        <v>33</v>
      </c>
      <c r="E2160" t="s">
        <v>46</v>
      </c>
      <c r="F2160" t="s">
        <v>151</v>
      </c>
      <c r="G2160" t="s">
        <v>34</v>
      </c>
      <c r="H2160" s="52" t="str">
        <f>VLOOKUP(Tabla3[[#This Row],[Site]],'Important Info!'!$A$1:$J$135,10,FALSE)</f>
        <v>https://tools.sig.systems/site/details/150</v>
      </c>
      <c r="I2160" s="43"/>
      <c r="J2160" t="s">
        <v>41</v>
      </c>
      <c r="K2160" s="79" t="str">
        <f>VLOOKUP(Tabla3[[#This Row],[Site]],'Important Info!'!$A$1:$H$135,8,FALSE)</f>
        <v>-</v>
      </c>
      <c r="L2160" s="52" t="str">
        <f>VLOOKUP(Tabla3[[#This Row],[Site]],'Important Info!'!$A$1:$F$135,2,FALSE)</f>
        <v>3, 4, 5, 22, 24, 26, 28, 36</v>
      </c>
      <c r="M2160" s="52" t="str">
        <f>VLOOKUP(Tabla3[[#This Row],[Site]],'Important Info!'!$A$1:$F$135,3,FALSE)</f>
        <v>-</v>
      </c>
      <c r="N2160" s="52" t="str">
        <f>VLOOKUP(Tabla3[[#This Row],[Site]],'Important Info!'!$A$1:$F$135,4,FALSE)</f>
        <v>-</v>
      </c>
      <c r="O2160" s="52" t="str">
        <f>VLOOKUP(Tabla3[[#This Row],[Site]],'Important Info!'!$A$1:$F$135,5,FALSE)</f>
        <v>4, 7, 12, 26</v>
      </c>
      <c r="P2160" s="52" t="str">
        <f>VLOOKUP(Tabla3[[#This Row],[Site]],'Important Info!'!$A$1:$F$135,6,FALSE)</f>
        <v>1, 3, 5, 6, 23, 24</v>
      </c>
      <c r="Q2160" s="91">
        <f>VLOOKUP(Tabla3[[#This Row],[Site]],'Important Info!'!$A$1:$J$135,9,FALSE)</f>
        <v>150</v>
      </c>
    </row>
    <row r="2161" spans="1:17" x14ac:dyDescent="0.25">
      <c r="A2161" t="str">
        <f>+Tabla3[[#This Row],[Site]]&amp;Tabla3[[#This Row],[Split]]</f>
        <v>(WAG) Greeley Chrysler Dodge Jeep Ram (NO TOURS)22</v>
      </c>
      <c r="B2161">
        <v>22</v>
      </c>
      <c r="C2161">
        <v>14</v>
      </c>
      <c r="D2161" t="s">
        <v>44</v>
      </c>
      <c r="E2161" t="s">
        <v>53</v>
      </c>
      <c r="F2161" t="s">
        <v>497</v>
      </c>
      <c r="G2161" t="s">
        <v>45</v>
      </c>
      <c r="H2161" s="52" t="str">
        <f>VLOOKUP(Tabla3[[#This Row],[Site]],'Important Info!'!$A$1:$J$135,10,FALSE)</f>
        <v>https://tools.sig.systems/site/details/130</v>
      </c>
      <c r="I2161" s="2" t="s">
        <v>153</v>
      </c>
      <c r="J2161" t="s">
        <v>41</v>
      </c>
      <c r="K2161" s="79" t="str">
        <f>VLOOKUP(Tabla3[[#This Row],[Site]],'Important Info!'!$A$1:$H$135,8,FALSE)</f>
        <v>-</v>
      </c>
      <c r="L2161" s="52" t="str">
        <f>VLOOKUP(Tabla3[[#This Row],[Site]],'Important Info!'!$A$1:$F$135,2,FALSE)</f>
        <v>17, 23 &amp; 18</v>
      </c>
      <c r="M2161" s="52" t="str">
        <f>VLOOKUP(Tabla3[[#This Row],[Site]],'Important Info!'!$A$1:$F$135,3,FALSE)</f>
        <v>4, 5, 6, 7, 8, 51, 55</v>
      </c>
      <c r="N2161" s="52" t="str">
        <f>VLOOKUP(Tabla3[[#This Row],[Site]],'Important Info!'!$A$1:$F$135,4,FALSE)</f>
        <v>-</v>
      </c>
      <c r="O2161" s="52" t="str">
        <f>VLOOKUP(Tabla3[[#This Row],[Site]],'Important Info!'!$A$1:$F$135,5,FALSE)</f>
        <v>3, 13, 17, 49, 53, 59</v>
      </c>
      <c r="P2161" s="52" t="str">
        <f>VLOOKUP(Tabla3[[#This Row],[Site]],'Important Info!'!$A$1:$F$135,6,FALSE)</f>
        <v>8, 9, 10, 51, 62</v>
      </c>
      <c r="Q2161" s="91">
        <f>VLOOKUP(Tabla3[[#This Row],[Site]],'Important Info!'!$A$1:$J$135,9,FALSE)</f>
        <v>130</v>
      </c>
    </row>
    <row r="2162" spans="1:17" x14ac:dyDescent="0.25">
      <c r="A2162" t="str">
        <f>+Tabla3[[#This Row],[Site]]&amp;Tabla3[[#This Row],[Split]]</f>
        <v>(AS) Coggin Honda Ft. Pierce (NO TOURS)22</v>
      </c>
      <c r="B2162">
        <v>22</v>
      </c>
      <c r="C2162">
        <v>15</v>
      </c>
      <c r="D2162" t="s">
        <v>62</v>
      </c>
      <c r="E2162" t="s">
        <v>35</v>
      </c>
      <c r="F2162" t="s">
        <v>501</v>
      </c>
      <c r="G2162" t="s">
        <v>490</v>
      </c>
      <c r="H2162" s="52" t="str">
        <f>VLOOKUP(Tabla3[[#This Row],[Site]],'Important Info!'!$A$1:$J$135,10,FALSE)</f>
        <v>https://tools.sig.systems/site/details/120</v>
      </c>
      <c r="I2162" t="s">
        <v>179</v>
      </c>
      <c r="J2162" t="s">
        <v>484</v>
      </c>
      <c r="K2162" s="79" t="str">
        <f>VLOOKUP(Tabla3[[#This Row],[Site]],'Important Info!'!$A$1:$H$135,8,FALSE)</f>
        <v>-</v>
      </c>
      <c r="L2162" s="52" t="str">
        <f>VLOOKUP(Tabla3[[#This Row],[Site]],'Important Info!'!$A$1:$F$135,2,FALSE)</f>
        <v>1, 2, 3, 4, 14</v>
      </c>
      <c r="M2162" s="52" t="str">
        <f>VLOOKUP(Tabla3[[#This Row],[Site]],'Important Info!'!$A$1:$F$135,3,FALSE)</f>
        <v>-</v>
      </c>
      <c r="N2162" s="52" t="str">
        <f>VLOOKUP(Tabla3[[#This Row],[Site]],'Important Info!'!$A$1:$F$135,4,FALSE)</f>
        <v>-</v>
      </c>
      <c r="O2162" s="52" t="str">
        <f>VLOOKUP(Tabla3[[#This Row],[Site]],'Important Info!'!$A$1:$F$135,5,FALSE)</f>
        <v>7, 11, 15</v>
      </c>
      <c r="P2162" s="52">
        <f>VLOOKUP(Tabla3[[#This Row],[Site]],'Important Info!'!$A$1:$F$135,6,FALSE)</f>
        <v>3</v>
      </c>
      <c r="Q2162" s="91">
        <f>VLOOKUP(Tabla3[[#This Row],[Site]],'Important Info!'!$A$1:$J$135,9,FALSE)</f>
        <v>120</v>
      </c>
    </row>
    <row r="2163" spans="1:17" x14ac:dyDescent="0.25">
      <c r="A2163" t="str">
        <f>+Tabla3[[#This Row],[Site]]&amp;Tabla3[[#This Row],[Split]]</f>
        <v>(AS) Lexus Plano I &amp; II (NO TOURS)22</v>
      </c>
      <c r="B2163">
        <v>22</v>
      </c>
      <c r="C2163">
        <v>15</v>
      </c>
      <c r="D2163" t="s">
        <v>33</v>
      </c>
      <c r="E2163" t="s">
        <v>46</v>
      </c>
      <c r="F2163" t="s">
        <v>524</v>
      </c>
      <c r="G2163" t="s">
        <v>34</v>
      </c>
      <c r="H2163" s="52" t="str">
        <f>VLOOKUP(Tabla3[[#This Row],[Site]],'Important Info!'!$A$1:$J$135,10,FALSE)</f>
        <v>https://tools.sig.systems/site/details/167</v>
      </c>
      <c r="I2163" s="63" t="s">
        <v>127</v>
      </c>
      <c r="J2163" t="s">
        <v>41</v>
      </c>
      <c r="K2163" s="79" t="str">
        <f>VLOOKUP(Tabla3[[#This Row],[Site]],'Important Info!'!$A$1:$H$135,8,FALSE)</f>
        <v>-</v>
      </c>
      <c r="L2163" s="52" t="str">
        <f>VLOOKUP(Tabla3[[#This Row],[Site]],'Important Info!'!$A$1:$F$135,2,FALSE)</f>
        <v>5, 9</v>
      </c>
      <c r="M2163" s="52" t="str">
        <f>VLOOKUP(Tabla3[[#This Row],[Site]],'Important Info!'!$A$1:$F$135,3,FALSE)</f>
        <v>-</v>
      </c>
      <c r="N2163" s="52" t="str">
        <f>VLOOKUP(Tabla3[[#This Row],[Site]],'Important Info!'!$A$1:$F$135,4,FALSE)</f>
        <v>101, 102, 103, 104</v>
      </c>
      <c r="O2163" s="52" t="str">
        <f>VLOOKUP(Tabla3[[#This Row],[Site]],'Important Info!'!$A$1:$F$135,5,FALSE)</f>
        <v>4, 10, 28</v>
      </c>
      <c r="P2163" s="52" t="str">
        <f>VLOOKUP(Tabla3[[#This Row],[Site]],'Important Info!'!$A$1:$F$135,6,FALSE)</f>
        <v>5, 9, 16</v>
      </c>
      <c r="Q2163" s="91">
        <f>VLOOKUP(Tabla3[[#This Row],[Site]],'Important Info!'!$A$1:$J$135,9,FALSE)</f>
        <v>167</v>
      </c>
    </row>
    <row r="2164" spans="1:17" x14ac:dyDescent="0.25">
      <c r="A2164" t="str">
        <f>+Tabla3[[#This Row],[Site]]&amp;Tabla3[[#This Row],[Split]]</f>
        <v>(AS) Stevinson JLR (NO TOURS)22</v>
      </c>
      <c r="B2164">
        <v>22</v>
      </c>
      <c r="C2164">
        <v>15</v>
      </c>
      <c r="D2164" t="s">
        <v>44</v>
      </c>
      <c r="E2164" t="s">
        <v>53</v>
      </c>
      <c r="F2164" t="s">
        <v>93</v>
      </c>
      <c r="G2164" t="s">
        <v>45</v>
      </c>
      <c r="H2164" s="52" t="str">
        <f>VLOOKUP(Tabla3[[#This Row],[Site]],'Important Info!'!$A$1:$J$135,10,FALSE)</f>
        <v>https://tools.sig.systems/site/details/204</v>
      </c>
      <c r="I2164" s="43"/>
      <c r="J2164" t="s">
        <v>41</v>
      </c>
      <c r="K2164" s="79" t="str">
        <f>VLOOKUP(Tabla3[[#This Row],[Site]],'Important Info!'!$A$1:$H$135,8,FALSE)</f>
        <v>-</v>
      </c>
      <c r="L2164" s="52">
        <f>VLOOKUP(Tabla3[[#This Row],[Site]],'Important Info!'!$A$1:$F$135,2,FALSE)</f>
        <v>5</v>
      </c>
      <c r="M2164" s="52">
        <f>VLOOKUP(Tabla3[[#This Row],[Site]],'Important Info!'!$A$1:$F$135,3,FALSE)</f>
        <v>4</v>
      </c>
      <c r="N2164" s="52" t="str">
        <f>VLOOKUP(Tabla3[[#This Row],[Site]],'Important Info!'!$A$1:$F$135,4,FALSE)</f>
        <v>-</v>
      </c>
      <c r="O2164" s="52">
        <f>VLOOKUP(Tabla3[[#This Row],[Site]],'Important Info!'!$A$1:$F$135,5,FALSE)</f>
        <v>3</v>
      </c>
      <c r="P2164" s="52" t="str">
        <f>VLOOKUP(Tabla3[[#This Row],[Site]],'Important Info!'!$A$1:$F$135,6,FALSE)</f>
        <v>1, 4, 15, 16</v>
      </c>
      <c r="Q2164" s="91">
        <f>VLOOKUP(Tabla3[[#This Row],[Site]],'Important Info!'!$A$1:$J$135,9,FALSE)</f>
        <v>204</v>
      </c>
    </row>
    <row r="2165" spans="1:17" x14ac:dyDescent="0.25">
      <c r="A2165" t="str">
        <f>+Tabla3[[#This Row],[Site]]&amp;Tabla3[[#This Row],[Split]]</f>
        <v>(HUD) CDJR of Greensboro22</v>
      </c>
      <c r="B2165">
        <v>22</v>
      </c>
      <c r="C2165">
        <v>15</v>
      </c>
      <c r="D2165" t="s">
        <v>62</v>
      </c>
      <c r="E2165" t="s">
        <v>35</v>
      </c>
      <c r="F2165" t="s">
        <v>185</v>
      </c>
      <c r="G2165" t="s">
        <v>491</v>
      </c>
      <c r="H2165" s="52" t="str">
        <f>VLOOKUP(Tabla3[[#This Row],[Site]],'Important Info!'!$A$1:$J$135,10,FALSE)</f>
        <v>https://tools.sig.systems/site/details/215</v>
      </c>
      <c r="I2165" s="2" t="s">
        <v>184</v>
      </c>
      <c r="J2165" t="s">
        <v>36</v>
      </c>
      <c r="K2165" s="79" t="str">
        <f>VLOOKUP(Tabla3[[#This Row],[Site]],'Important Info!'!$A$1:$H$135,8,FALSE)</f>
        <v>-</v>
      </c>
      <c r="L2165" s="52" t="str">
        <f>VLOOKUP(Tabla3[[#This Row],[Site]],'Important Info!'!$A$1:$F$135,2,FALSE)</f>
        <v>2, 12</v>
      </c>
      <c r="M2165" s="52" t="str">
        <f>VLOOKUP(Tabla3[[#This Row],[Site]],'Important Info!'!$A$1:$F$135,3,FALSE)</f>
        <v>-</v>
      </c>
      <c r="N2165" s="52" t="str">
        <f>VLOOKUP(Tabla3[[#This Row],[Site]],'Important Info!'!$A$1:$F$135,4,FALSE)</f>
        <v>-</v>
      </c>
      <c r="O2165" s="52" t="str">
        <f>VLOOKUP(Tabla3[[#This Row],[Site]],'Important Info!'!$A$1:$F$135,5,FALSE)</f>
        <v>3, 13</v>
      </c>
      <c r="P2165" s="52" t="str">
        <f>VLOOKUP(Tabla3[[#This Row],[Site]],'Important Info!'!$A$1:$F$135,6,FALSE)</f>
        <v>1, 17</v>
      </c>
      <c r="Q2165" s="91">
        <f>VLOOKUP(Tabla3[[#This Row],[Site]],'Important Info!'!$A$1:$J$135,9,FALSE)</f>
        <v>215</v>
      </c>
    </row>
    <row r="2166" spans="1:17" x14ac:dyDescent="0.25">
      <c r="A2166" t="str">
        <f>+Tabla3[[#This Row],[Site]]&amp;Tabla3[[#This Row],[Split]]</f>
        <v>(PE) JLR Darien PDI (NO TOURS)22</v>
      </c>
      <c r="B2166">
        <v>22</v>
      </c>
      <c r="C2166">
        <v>15</v>
      </c>
      <c r="D2166" t="s">
        <v>485</v>
      </c>
      <c r="E2166" t="s">
        <v>35</v>
      </c>
      <c r="F2166" t="s">
        <v>98</v>
      </c>
      <c r="G2166" t="s">
        <v>490</v>
      </c>
      <c r="H2166" s="52" t="str">
        <f>VLOOKUP(Tabla3[[#This Row],[Site]],'Important Info!'!$A$1:$J$135,10,FALSE)</f>
        <v>https://tools.sig.systems/site/details/187</v>
      </c>
      <c r="I2166" t="s">
        <v>175</v>
      </c>
      <c r="J2166" t="s">
        <v>41</v>
      </c>
      <c r="K2166" s="79" t="str">
        <f>VLOOKUP(Tabla3[[#This Row],[Site]],'Important Info!'!$A$1:$H$135,8,FALSE)</f>
        <v>-</v>
      </c>
      <c r="L2166" s="52">
        <f>VLOOKUP(Tabla3[[#This Row],[Site]],'Important Info!'!$A$1:$F$135,2,FALSE)</f>
        <v>1</v>
      </c>
      <c r="M2166" s="52" t="str">
        <f>VLOOKUP(Tabla3[[#This Row],[Site]],'Important Info!'!$A$1:$F$135,3,FALSE)</f>
        <v>-</v>
      </c>
      <c r="N2166" s="52" t="str">
        <f>VLOOKUP(Tabla3[[#This Row],[Site]],'Important Info!'!$A$1:$F$135,4,FALSE)</f>
        <v>-</v>
      </c>
      <c r="O2166" s="52">
        <f>VLOOKUP(Tabla3[[#This Row],[Site]],'Important Info!'!$A$1:$F$135,5,FALSE)</f>
        <v>1</v>
      </c>
      <c r="P2166" s="52">
        <f>VLOOKUP(Tabla3[[#This Row],[Site]],'Important Info!'!$A$1:$F$135,6,FALSE)</f>
        <v>7</v>
      </c>
      <c r="Q2166" s="91">
        <f>VLOOKUP(Tabla3[[#This Row],[Site]],'Important Info!'!$A$1:$J$135,9,FALSE)</f>
        <v>187</v>
      </c>
    </row>
    <row r="2167" spans="1:17" x14ac:dyDescent="0.25">
      <c r="A2167" t="str">
        <f>+Tabla3[[#This Row],[Site]]&amp;Tabla3[[#This Row],[Split]]</f>
        <v>(AS) Coggin Acura Ft Pierce (NO TOURS)22</v>
      </c>
      <c r="B2167">
        <v>22</v>
      </c>
      <c r="C2167">
        <v>16</v>
      </c>
      <c r="D2167" t="s">
        <v>62</v>
      </c>
      <c r="E2167" t="s">
        <v>35</v>
      </c>
      <c r="F2167" t="s">
        <v>500</v>
      </c>
      <c r="G2167" t="s">
        <v>490</v>
      </c>
      <c r="H2167" s="52" t="str">
        <f>VLOOKUP(Tabla3[[#This Row],[Site]],'Important Info!'!$A$1:$J$135,10,FALSE)</f>
        <v>https://tools.sig.systems/site/details/118</v>
      </c>
      <c r="I2167" s="2" t="s">
        <v>179</v>
      </c>
      <c r="J2167" t="s">
        <v>41</v>
      </c>
      <c r="K2167" s="79" t="str">
        <f>VLOOKUP(Tabla3[[#This Row],[Site]],'Important Info!'!$A$1:$H$135,8,FALSE)</f>
        <v>-</v>
      </c>
      <c r="L2167" s="52" t="str">
        <f>VLOOKUP(Tabla3[[#This Row],[Site]],'Important Info!'!$A$1:$F$135,2,FALSE)</f>
        <v>-</v>
      </c>
      <c r="M2167" s="52">
        <f>VLOOKUP(Tabla3[[#This Row],[Site]],'Important Info!'!$A$1:$F$135,3,FALSE)</f>
        <v>6</v>
      </c>
      <c r="N2167" s="52" t="str">
        <f>VLOOKUP(Tabla3[[#This Row],[Site]],'Important Info!'!$A$1:$F$135,4,FALSE)</f>
        <v>-</v>
      </c>
      <c r="O2167" s="52" t="str">
        <f>VLOOKUP(Tabla3[[#This Row],[Site]],'Important Info!'!$A$1:$F$135,5,FALSE)</f>
        <v>4, 6</v>
      </c>
      <c r="P2167" s="52">
        <f>VLOOKUP(Tabla3[[#This Row],[Site]],'Important Info!'!$A$1:$F$135,6,FALSE)</f>
        <v>1</v>
      </c>
      <c r="Q2167" s="91">
        <f>VLOOKUP(Tabla3[[#This Row],[Site]],'Important Info!'!$A$1:$J$135,9,FALSE)</f>
        <v>118</v>
      </c>
    </row>
    <row r="2168" spans="1:17" x14ac:dyDescent="0.25">
      <c r="A2168" t="str">
        <f>+Tabla3[[#This Row],[Site]]&amp;Tabla3[[#This Row],[Split]]</f>
        <v>(AS) Park Place Acura (NO TOURS)22</v>
      </c>
      <c r="B2168">
        <v>22</v>
      </c>
      <c r="C2168">
        <v>16</v>
      </c>
      <c r="D2168" t="s">
        <v>33</v>
      </c>
      <c r="E2168" t="s">
        <v>46</v>
      </c>
      <c r="F2168" t="s">
        <v>513</v>
      </c>
      <c r="G2168" t="s">
        <v>34</v>
      </c>
      <c r="H2168" s="52" t="str">
        <f>VLOOKUP(Tabla3[[#This Row],[Site]],'Important Info!'!$A$1:$J$135,10,FALSE)</f>
        <v>https://tools.sig.systems/site/details/259</v>
      </c>
      <c r="I2168" s="63" t="s">
        <v>127</v>
      </c>
      <c r="J2168" t="s">
        <v>41</v>
      </c>
      <c r="K2168" s="79" t="str">
        <f>VLOOKUP(Tabla3[[#This Row],[Site]],'Important Info!'!$A$1:$H$135,8,FALSE)</f>
        <v>-</v>
      </c>
      <c r="L2168" s="52" t="str">
        <f>VLOOKUP(Tabla3[[#This Row],[Site]],'Important Info!'!$A$1:$F$135,2,FALSE)</f>
        <v>1, 2, 14, 16</v>
      </c>
      <c r="M2168" s="52" t="str">
        <f>VLOOKUP(Tabla3[[#This Row],[Site]],'Important Info!'!$A$1:$F$135,3,FALSE)</f>
        <v>-</v>
      </c>
      <c r="N2168" s="52" t="str">
        <f>VLOOKUP(Tabla3[[#This Row],[Site]],'Important Info!'!$A$1:$F$135,4,FALSE)</f>
        <v>-</v>
      </c>
      <c r="O2168" s="52" t="str">
        <f>VLOOKUP(Tabla3[[#This Row],[Site]],'Important Info!'!$A$1:$F$135,5,FALSE)</f>
        <v>1, 7, 13</v>
      </c>
      <c r="P2168" s="52" t="str">
        <f>VLOOKUP(Tabla3[[#This Row],[Site]],'Important Info!'!$A$1:$F$135,6,FALSE)</f>
        <v>-</v>
      </c>
      <c r="Q2168" s="91">
        <f>VLOOKUP(Tabla3[[#This Row],[Site]],'Important Info!'!$A$1:$J$135,9,FALSE)</f>
        <v>259</v>
      </c>
    </row>
    <row r="2169" spans="1:17" x14ac:dyDescent="0.25">
      <c r="A2169" t="str">
        <f>+Tabla3[[#This Row],[Site]]&amp;Tabla3[[#This Row],[Split]]</f>
        <v>(DT) W Houston22</v>
      </c>
      <c r="B2169">
        <v>22</v>
      </c>
      <c r="C2169">
        <v>16</v>
      </c>
      <c r="D2169" t="s">
        <v>33</v>
      </c>
      <c r="E2169" t="s">
        <v>46</v>
      </c>
      <c r="F2169" t="s">
        <v>69</v>
      </c>
      <c r="G2169" t="s">
        <v>34</v>
      </c>
      <c r="H2169" s="52" t="str">
        <f>VLOOKUP(Tabla3[[#This Row],[Site]],'Important Info!'!$A$1:$J$135,10,FALSE)</f>
        <v>https://tools.sig.systems/site/details/197</v>
      </c>
      <c r="I2169" s="2"/>
      <c r="J2169" t="s">
        <v>41</v>
      </c>
      <c r="K2169" s="79" t="str">
        <f>VLOOKUP(Tabla3[[#This Row],[Site]],'Important Info!'!$A$1:$H$135,8,FALSE)</f>
        <v>-</v>
      </c>
      <c r="L2169" s="52">
        <f>VLOOKUP(Tabla3[[#This Row],[Site]],'Important Info!'!$A$1:$F$135,2,FALSE)</f>
        <v>7</v>
      </c>
      <c r="M2169" s="52">
        <f>VLOOKUP(Tabla3[[#This Row],[Site]],'Important Info!'!$A$1:$F$135,3,FALSE)</f>
        <v>2</v>
      </c>
      <c r="N2169" s="52" t="str">
        <f>VLOOKUP(Tabla3[[#This Row],[Site]],'Important Info!'!$A$1:$F$135,4,FALSE)</f>
        <v>-</v>
      </c>
      <c r="O2169" s="52">
        <f>VLOOKUP(Tabla3[[#This Row],[Site]],'Important Info!'!$A$1:$F$135,5,FALSE)</f>
        <v>14</v>
      </c>
      <c r="P2169" s="52" t="str">
        <f>VLOOKUP(Tabla3[[#This Row],[Site]],'Important Info!'!$A$1:$F$135,6,FALSE)</f>
        <v>2, 3, 7, 10</v>
      </c>
      <c r="Q2169" s="91">
        <f>VLOOKUP(Tabla3[[#This Row],[Site]],'Important Info!'!$A$1:$J$135,9,FALSE)</f>
        <v>197</v>
      </c>
    </row>
    <row r="2170" spans="1:17" x14ac:dyDescent="0.25">
      <c r="A2170" t="str">
        <f>+Tabla3[[#This Row],[Site]]&amp;Tabla3[[#This Row],[Split]]</f>
        <v>(HUD) Honda Greensboro22</v>
      </c>
      <c r="B2170">
        <v>22</v>
      </c>
      <c r="C2170">
        <v>16</v>
      </c>
      <c r="D2170" t="s">
        <v>62</v>
      </c>
      <c r="E2170" t="s">
        <v>35</v>
      </c>
      <c r="F2170" t="s">
        <v>85</v>
      </c>
      <c r="G2170" t="s">
        <v>490</v>
      </c>
      <c r="H2170" s="52" t="str">
        <f>VLOOKUP(Tabla3[[#This Row],[Site]],'Important Info!'!$A$1:$J$135,10,FALSE)</f>
        <v>https://tools.sig.systems/site/details/230</v>
      </c>
      <c r="I2170" t="s">
        <v>186</v>
      </c>
      <c r="J2170" t="s">
        <v>41</v>
      </c>
      <c r="K2170" s="79" t="str">
        <f>VLOOKUP(Tabla3[[#This Row],[Site]],'Important Info!'!$A$1:$H$135,8,FALSE)</f>
        <v>-</v>
      </c>
      <c r="L2170" s="52" t="str">
        <f>VLOOKUP(Tabla3[[#This Row],[Site]],'Important Info!'!$A$1:$F$135,2,FALSE)</f>
        <v>1, 3,  15, 16, 22</v>
      </c>
      <c r="M2170" s="52" t="str">
        <f>VLOOKUP(Tabla3[[#This Row],[Site]],'Important Info!'!$A$1:$F$135,3,FALSE)</f>
        <v>-</v>
      </c>
      <c r="N2170" s="52" t="str">
        <f>VLOOKUP(Tabla3[[#This Row],[Site]],'Important Info!'!$A$1:$F$135,4,FALSE)</f>
        <v>-</v>
      </c>
      <c r="O2170" s="52" t="str">
        <f>VLOOKUP(Tabla3[[#This Row],[Site]],'Important Info!'!$A$1:$F$135,5,FALSE)</f>
        <v>3, 20</v>
      </c>
      <c r="P2170" s="52">
        <f>VLOOKUP(Tabla3[[#This Row],[Site]],'Important Info!'!$A$1:$F$135,6,FALSE)</f>
        <v>26</v>
      </c>
      <c r="Q2170" s="91">
        <f>VLOOKUP(Tabla3[[#This Row],[Site]],'Important Info!'!$A$1:$J$135,9,FALSE)</f>
        <v>230</v>
      </c>
    </row>
    <row r="2171" spans="1:17" x14ac:dyDescent="0.25">
      <c r="A2171" t="str">
        <f>+Tabla3[[#This Row],[Site]]&amp;Tabla3[[#This Row],[Split]]</f>
        <v>(ML) Honda of Little Rock22</v>
      </c>
      <c r="B2171">
        <v>22</v>
      </c>
      <c r="C2171">
        <v>16</v>
      </c>
      <c r="D2171" t="s">
        <v>33</v>
      </c>
      <c r="E2171" t="s">
        <v>46</v>
      </c>
      <c r="F2171" t="s">
        <v>71</v>
      </c>
      <c r="G2171" t="s">
        <v>34</v>
      </c>
      <c r="H2171" s="52" t="str">
        <f>VLOOKUP(Tabla3[[#This Row],[Site]],'Important Info!'!$A$1:$J$135,10,FALSE)</f>
        <v>https://tools.sig.systems/site/details/249</v>
      </c>
      <c r="I2171" s="2" t="s">
        <v>140</v>
      </c>
      <c r="J2171" t="s">
        <v>41</v>
      </c>
      <c r="K2171" s="79" t="str">
        <f>VLOOKUP(Tabla3[[#This Row],[Site]],'Important Info!'!$A$1:$H$135,8,FALSE)</f>
        <v>-</v>
      </c>
      <c r="L2171" s="52" t="str">
        <f>VLOOKUP(Tabla3[[#This Row],[Site]],'Important Info!'!$A$1:$F$135,2,FALSE)</f>
        <v>1, 4, 9, 14, 21</v>
      </c>
      <c r="M2171" s="52" t="str">
        <f>VLOOKUP(Tabla3[[#This Row],[Site]],'Important Info!'!$A$1:$F$135,3,FALSE)</f>
        <v>-</v>
      </c>
      <c r="N2171" s="52" t="str">
        <f>VLOOKUP(Tabla3[[#This Row],[Site]],'Important Info!'!$A$1:$F$135,4,FALSE)</f>
        <v>-</v>
      </c>
      <c r="O2171" s="52" t="str">
        <f>VLOOKUP(Tabla3[[#This Row],[Site]],'Important Info!'!$A$1:$F$135,5,FALSE)</f>
        <v>4, 14, 21</v>
      </c>
      <c r="P2171" s="52" t="str">
        <f>VLOOKUP(Tabla3[[#This Row],[Site]],'Important Info!'!$A$1:$F$135,6,FALSE)</f>
        <v>11, 12</v>
      </c>
      <c r="Q2171" s="91">
        <f>VLOOKUP(Tabla3[[#This Row],[Site]],'Important Info!'!$A$1:$J$135,9,FALSE)</f>
        <v>249</v>
      </c>
    </row>
    <row r="2172" spans="1:17" x14ac:dyDescent="0.25">
      <c r="A2172" t="str">
        <f>+Tabla3[[#This Row],[Site]]&amp;Tabla3[[#This Row],[Split]]</f>
        <v>(ML) McLarty Gray-Daniels Toyota Nissan22</v>
      </c>
      <c r="B2172">
        <v>22</v>
      </c>
      <c r="C2172">
        <v>16</v>
      </c>
      <c r="D2172" t="s">
        <v>33</v>
      </c>
      <c r="E2172" t="s">
        <v>46</v>
      </c>
      <c r="F2172" t="s">
        <v>90</v>
      </c>
      <c r="G2172" t="s">
        <v>34</v>
      </c>
      <c r="H2172" s="52" t="str">
        <f>VLOOKUP(Tabla3[[#This Row],[Site]],'Important Info!'!$A$1:$J$135,10,FALSE)</f>
        <v>https://tools.sig.systems/site/details/152</v>
      </c>
      <c r="I2172" s="2" t="s">
        <v>150</v>
      </c>
      <c r="J2172" t="s">
        <v>41</v>
      </c>
      <c r="K2172" s="79" t="str">
        <f>VLOOKUP(Tabla3[[#This Row],[Site]],'Important Info!'!$A$1:$H$135,8,FALSE)</f>
        <v>-</v>
      </c>
      <c r="L2172" s="52" t="str">
        <f>VLOOKUP(Tabla3[[#This Row],[Site]],'Important Info!'!$A$1:$F$135,2,FALSE)</f>
        <v>-</v>
      </c>
      <c r="M2172" s="52" t="str">
        <f>VLOOKUP(Tabla3[[#This Row],[Site]],'Important Info!'!$A$1:$F$135,3,FALSE)</f>
        <v>8, 11, 39, 43</v>
      </c>
      <c r="N2172" s="52" t="str">
        <f>VLOOKUP(Tabla3[[#This Row],[Site]],'Important Info!'!$A$1:$F$135,4,FALSE)</f>
        <v>-</v>
      </c>
      <c r="O2172" s="52" t="str">
        <f>VLOOKUP(Tabla3[[#This Row],[Site]],'Important Info!'!$A$1:$F$135,5,FALSE)</f>
        <v>6, 11, 15, 18</v>
      </c>
      <c r="P2172" s="52" t="str">
        <f>VLOOKUP(Tabla3[[#This Row],[Site]],'Important Info!'!$A$1:$F$135,6,FALSE)</f>
        <v>7, 8, 9</v>
      </c>
      <c r="Q2172" s="91">
        <f>VLOOKUP(Tabla3[[#This Row],[Site]],'Important Info!'!$A$1:$J$135,9,FALSE)</f>
        <v>152</v>
      </c>
    </row>
    <row r="2173" spans="1:17" x14ac:dyDescent="0.25">
      <c r="A2173" t="str">
        <f>+Tabla3[[#This Row],[Site]]&amp;Tabla3[[#This Row],[Split]]</f>
        <v>(AS) Stevinson Porsche of Littleton (NO TOURS)22</v>
      </c>
      <c r="B2173">
        <v>22</v>
      </c>
      <c r="C2173">
        <v>17</v>
      </c>
      <c r="D2173" t="s">
        <v>44</v>
      </c>
      <c r="E2173" t="s">
        <v>53</v>
      </c>
      <c r="F2173" t="s">
        <v>78</v>
      </c>
      <c r="G2173" t="s">
        <v>45</v>
      </c>
      <c r="H2173" s="52" t="str">
        <f>VLOOKUP(Tabla3[[#This Row],[Site]],'Important Info!'!$A$1:$J$135,10,FALSE)</f>
        <v>https://tools.sig.systems/site/details/242</v>
      </c>
      <c r="J2173" t="s">
        <v>41</v>
      </c>
      <c r="K2173" s="79" t="str">
        <f>VLOOKUP(Tabla3[[#This Row],[Site]],'Important Info!'!$A$1:$H$135,8,FALSE)</f>
        <v>-</v>
      </c>
      <c r="L2173" s="52" t="str">
        <f>VLOOKUP(Tabla3[[#This Row],[Site]],'Important Info!'!$A$1:$F$135,2,FALSE)</f>
        <v>3, 4</v>
      </c>
      <c r="M2173" s="52">
        <f>VLOOKUP(Tabla3[[#This Row],[Site]],'Important Info!'!$A$1:$F$135,3,FALSE)</f>
        <v>2</v>
      </c>
      <c r="N2173" s="52" t="str">
        <f>VLOOKUP(Tabla3[[#This Row],[Site]],'Important Info!'!$A$1:$F$135,4,FALSE)</f>
        <v>-</v>
      </c>
      <c r="O2173" s="52" t="str">
        <f>VLOOKUP(Tabla3[[#This Row],[Site]],'Important Info!'!$A$1:$F$135,5,FALSE)</f>
        <v>-</v>
      </c>
      <c r="P2173" s="52" t="str">
        <f>VLOOKUP(Tabla3[[#This Row],[Site]],'Important Info!'!$A$1:$F$135,6,FALSE)</f>
        <v>3, 4</v>
      </c>
      <c r="Q2173" s="91">
        <f>VLOOKUP(Tabla3[[#This Row],[Site]],'Important Info!'!$A$1:$J$135,9,FALSE)</f>
        <v>242</v>
      </c>
    </row>
    <row r="2174" spans="1:17" x14ac:dyDescent="0.25">
      <c r="A2174" t="str">
        <f>+Tabla3[[#This Row],[Site]]&amp;Tabla3[[#This Row],[Split]]</f>
        <v>(HUD) Paint and Body Center (NO TOURS)22</v>
      </c>
      <c r="B2174">
        <v>22</v>
      </c>
      <c r="C2174">
        <v>17</v>
      </c>
      <c r="D2174" t="s">
        <v>62</v>
      </c>
      <c r="E2174" t="s">
        <v>35</v>
      </c>
      <c r="F2174" t="s">
        <v>110</v>
      </c>
      <c r="G2174" t="s">
        <v>490</v>
      </c>
      <c r="H2174" s="52" t="str">
        <f>VLOOKUP(Tabla3[[#This Row],[Site]],'Important Info!'!$A$1:$J$135,10,FALSE)</f>
        <v>https://tools.sig.systems/site/details/256</v>
      </c>
      <c r="I2174" t="s">
        <v>184</v>
      </c>
      <c r="J2174" t="s">
        <v>41</v>
      </c>
      <c r="K2174" s="79" t="str">
        <f>VLOOKUP(Tabla3[[#This Row],[Site]],'Important Info!'!$A$1:$H$135,8,FALSE)</f>
        <v>-</v>
      </c>
      <c r="L2174" s="52" t="str">
        <f>VLOOKUP(Tabla3[[#This Row],[Site]],'Important Info!'!$A$1:$F$135,2,FALSE)</f>
        <v>-</v>
      </c>
      <c r="M2174" s="52">
        <f>VLOOKUP(Tabla3[[#This Row],[Site]],'Important Info!'!$A$1:$F$135,3,FALSE)</f>
        <v>1</v>
      </c>
      <c r="N2174" s="52" t="str">
        <f>VLOOKUP(Tabla3[[#This Row],[Site]],'Important Info!'!$A$1:$F$135,4,FALSE)</f>
        <v>-</v>
      </c>
      <c r="O2174" s="52" t="str">
        <f>VLOOKUP(Tabla3[[#This Row],[Site]],'Important Info!'!$A$1:$F$135,5,FALSE)</f>
        <v>-</v>
      </c>
      <c r="P2174" s="52" t="str">
        <f>VLOOKUP(Tabla3[[#This Row],[Site]],'Important Info!'!$A$1:$F$135,6,FALSE)</f>
        <v>-</v>
      </c>
      <c r="Q2174" s="91">
        <f>VLOOKUP(Tabla3[[#This Row],[Site]],'Important Info!'!$A$1:$J$135,9,FALSE)</f>
        <v>256</v>
      </c>
    </row>
    <row r="2175" spans="1:17" x14ac:dyDescent="0.25">
      <c r="A2175" t="str">
        <f>+Tabla3[[#This Row],[Site]]&amp;Tabla3[[#This Row],[Split]]</f>
        <v>(KG) Baytown GMC Buick - Remote Lot (NO TOURS)22</v>
      </c>
      <c r="B2175">
        <v>22</v>
      </c>
      <c r="C2175">
        <v>17</v>
      </c>
      <c r="D2175" t="s">
        <v>60</v>
      </c>
      <c r="E2175" t="s">
        <v>46</v>
      </c>
      <c r="F2175" t="s">
        <v>167</v>
      </c>
      <c r="G2175" t="s">
        <v>41</v>
      </c>
      <c r="H2175" s="52" t="str">
        <f>VLOOKUP(Tabla3[[#This Row],[Site]],'Important Info!'!$A$1:$J$135,10,FALSE)</f>
        <v>https://tools.sig.systems/site/details/311</v>
      </c>
      <c r="I2175" s="2"/>
      <c r="J2175" t="s">
        <v>41</v>
      </c>
      <c r="K2175" s="79" t="s">
        <v>168</v>
      </c>
      <c r="L2175" s="52" t="str">
        <f>VLOOKUP(Tabla3[[#This Row],[Site]],'Important Info!'!$A$1:$F$135,2,FALSE)</f>
        <v>-</v>
      </c>
      <c r="M2175" s="52" t="str">
        <f>VLOOKUP(Tabla3[[#This Row],[Site]],'Important Info!'!$A$1:$F$135,3,FALSE)</f>
        <v>7, 8</v>
      </c>
      <c r="N2175" s="52" t="str">
        <f>VLOOKUP(Tabla3[[#This Row],[Site]],'Important Info!'!$A$1:$F$135,4,FALSE)</f>
        <v>-</v>
      </c>
      <c r="O2175" s="52" t="str">
        <f>VLOOKUP(Tabla3[[#This Row],[Site]],'Important Info!'!$A$1:$F$135,5,FALSE)</f>
        <v>-</v>
      </c>
      <c r="P2175" s="52" t="str">
        <f>VLOOKUP(Tabla3[[#This Row],[Site]],'Important Info!'!$A$1:$F$135,6,FALSE)</f>
        <v>-</v>
      </c>
      <c r="Q2175" s="91">
        <f>VLOOKUP(Tabla3[[#This Row],[Site]],'Important Info!'!$A$1:$J$135,9,FALSE)</f>
        <v>311</v>
      </c>
    </row>
    <row r="2176" spans="1:17" x14ac:dyDescent="0.25">
      <c r="A2176" t="str">
        <f>+Tabla3[[#This Row],[Site]]&amp;Tabla3[[#This Row],[Split]]</f>
        <v>(KG) Baytown GMC Buick (NO TOURS)22</v>
      </c>
      <c r="B2176">
        <v>22</v>
      </c>
      <c r="C2176">
        <v>17</v>
      </c>
      <c r="D2176" t="s">
        <v>33</v>
      </c>
      <c r="E2176" t="s">
        <v>46</v>
      </c>
      <c r="F2176" t="s">
        <v>132</v>
      </c>
      <c r="G2176" t="s">
        <v>34</v>
      </c>
      <c r="H2176" s="52" t="str">
        <f>VLOOKUP(Tabla3[[#This Row],[Site]],'Important Info!'!$A$1:$J$135,10,FALSE)</f>
        <v>https://tools.sig.systems/site/details/239</v>
      </c>
      <c r="I2176" s="2"/>
      <c r="J2176" t="s">
        <v>41</v>
      </c>
      <c r="K2176" s="79" t="str">
        <f>VLOOKUP(Tabla3[[#This Row],[Site]],'Important Info!'!$A$1:$H$135,8,FALSE)</f>
        <v>-</v>
      </c>
      <c r="L2176" s="52" t="str">
        <f>VLOOKUP(Tabla3[[#This Row],[Site]],'Important Info!'!$A$1:$F$135,2,FALSE)</f>
        <v>1, 5, 7, 21, 22</v>
      </c>
      <c r="M2176" s="52" t="str">
        <f>VLOOKUP(Tabla3[[#This Row],[Site]],'Important Info!'!$A$1:$F$135,3,FALSE)</f>
        <v>-</v>
      </c>
      <c r="N2176" s="52" t="str">
        <f>VLOOKUP(Tabla3[[#This Row],[Site]],'Important Info!'!$A$1:$F$135,4,FALSE)</f>
        <v>-</v>
      </c>
      <c r="O2176" s="52" t="str">
        <f>VLOOKUP(Tabla3[[#This Row],[Site]],'Important Info!'!$A$1:$F$135,5,FALSE)</f>
        <v>2, 10, 15, 24B</v>
      </c>
      <c r="P2176" s="52" t="str">
        <f>VLOOKUP(Tabla3[[#This Row],[Site]],'Important Info!'!$A$1:$F$135,6,FALSE)</f>
        <v>21, 22</v>
      </c>
      <c r="Q2176" s="91">
        <f>VLOOKUP(Tabla3[[#This Row],[Site]],'Important Info!'!$A$1:$J$135,9,FALSE)</f>
        <v>239</v>
      </c>
    </row>
    <row r="2177" spans="1:17" x14ac:dyDescent="0.25">
      <c r="A2177" t="str">
        <f>+Tabla3[[#This Row],[Site]]&amp;Tabla3[[#This Row],[Split]]</f>
        <v>(ML) McLarty Gray-Daniels Ford Lincoln22</v>
      </c>
      <c r="B2177">
        <v>22</v>
      </c>
      <c r="C2177">
        <v>17</v>
      </c>
      <c r="D2177" t="s">
        <v>33</v>
      </c>
      <c r="E2177" t="s">
        <v>46</v>
      </c>
      <c r="F2177" t="s">
        <v>89</v>
      </c>
      <c r="G2177" t="s">
        <v>34</v>
      </c>
      <c r="H2177" s="52" t="str">
        <f>VLOOKUP(Tabla3[[#This Row],[Site]],'Important Info!'!$A$1:$J$135,10,FALSE)</f>
        <v>https://tools.sig.systems/site/details/151</v>
      </c>
      <c r="I2177" s="2" t="s">
        <v>150</v>
      </c>
      <c r="J2177" t="s">
        <v>41</v>
      </c>
      <c r="K2177" s="79" t="str">
        <f>VLOOKUP(Tabla3[[#This Row],[Site]],'Important Info!'!$A$1:$H$135,8,FALSE)</f>
        <v>-</v>
      </c>
      <c r="L2177" s="52">
        <f>VLOOKUP(Tabla3[[#This Row],[Site]],'Important Info!'!$A$1:$F$135,2,FALSE)</f>
        <v>16</v>
      </c>
      <c r="M2177" s="52" t="str">
        <f>VLOOKUP(Tabla3[[#This Row],[Site]],'Important Info!'!$A$1:$F$135,3,FALSE)</f>
        <v>5, 10, 36, 38, 54, 58B</v>
      </c>
      <c r="N2177" s="52" t="str">
        <f>VLOOKUP(Tabla3[[#This Row],[Site]],'Important Info!'!$A$1:$F$135,4,FALSE)</f>
        <v>-</v>
      </c>
      <c r="O2177" s="52" t="str">
        <f>VLOOKUP(Tabla3[[#This Row],[Site]],'Important Info!'!$A$1:$F$135,5,FALSE)</f>
        <v>5, 17, 37</v>
      </c>
      <c r="P2177" s="52" t="str">
        <f>VLOOKUP(Tabla3[[#This Row],[Site]],'Important Info!'!$A$1:$F$135,6,FALSE)</f>
        <v>1, 2, 3, 4</v>
      </c>
      <c r="Q2177" s="91">
        <f>VLOOKUP(Tabla3[[#This Row],[Site]],'Important Info!'!$A$1:$J$135,9,FALSE)</f>
        <v>151</v>
      </c>
    </row>
    <row r="2178" spans="1:17" x14ac:dyDescent="0.25">
      <c r="A2178" t="str">
        <f>+Tabla3[[#This Row],[Site]]&amp;Tabla3[[#This Row],[Split]]</f>
        <v>(ML) Nissan of North Little Rock22</v>
      </c>
      <c r="B2178">
        <v>22</v>
      </c>
      <c r="C2178">
        <v>17</v>
      </c>
      <c r="D2178" t="s">
        <v>33</v>
      </c>
      <c r="E2178" t="s">
        <v>46</v>
      </c>
      <c r="F2178" t="s">
        <v>75</v>
      </c>
      <c r="G2178" t="s">
        <v>34</v>
      </c>
      <c r="H2178" s="52" t="str">
        <f>VLOOKUP(Tabla3[[#This Row],[Site]],'Important Info!'!$A$1:$J$135,10,FALSE)</f>
        <v>https://tools.sig.systems/site/details/216</v>
      </c>
      <c r="I2178" s="2" t="s">
        <v>142</v>
      </c>
      <c r="J2178" t="s">
        <v>41</v>
      </c>
      <c r="K2178" s="79" t="str">
        <f>VLOOKUP(Tabla3[[#This Row],[Site]],'Important Info!'!$A$1:$H$135,8,FALSE)</f>
        <v>-</v>
      </c>
      <c r="L2178" s="52" t="str">
        <f>VLOOKUP(Tabla3[[#This Row],[Site]],'Important Info!'!$A$1:$F$135,2,FALSE)</f>
        <v>2, 4</v>
      </c>
      <c r="M2178" s="52" t="str">
        <f>VLOOKUP(Tabla3[[#This Row],[Site]],'Important Info!'!$A$1:$F$135,3,FALSE)</f>
        <v>-</v>
      </c>
      <c r="N2178" s="52" t="str">
        <f>VLOOKUP(Tabla3[[#This Row],[Site]],'Important Info!'!$A$1:$F$135,4,FALSE)</f>
        <v>-</v>
      </c>
      <c r="O2178" s="52" t="str">
        <f>VLOOKUP(Tabla3[[#This Row],[Site]],'Important Info!'!$A$1:$F$135,5,FALSE)</f>
        <v>5, 17, 23</v>
      </c>
      <c r="P2178" s="52">
        <f>VLOOKUP(Tabla3[[#This Row],[Site]],'Important Info!'!$A$1:$F$135,6,FALSE)</f>
        <v>18</v>
      </c>
      <c r="Q2178" s="91">
        <f>VLOOKUP(Tabla3[[#This Row],[Site]],'Important Info!'!$A$1:$J$135,9,FALSE)</f>
        <v>216</v>
      </c>
    </row>
    <row r="2179" spans="1:17" x14ac:dyDescent="0.25">
      <c r="A2179" t="str">
        <f>+Tabla3[[#This Row],[Site]]&amp;Tabla3[[#This Row],[Split]]</f>
        <v>(AS) Courtesy Kia of Brandon (NO TOURS)22</v>
      </c>
      <c r="B2179">
        <v>22</v>
      </c>
      <c r="C2179">
        <v>18</v>
      </c>
      <c r="D2179" t="s">
        <v>62</v>
      </c>
      <c r="E2179" t="s">
        <v>35</v>
      </c>
      <c r="F2179" t="s">
        <v>505</v>
      </c>
      <c r="G2179" t="s">
        <v>490</v>
      </c>
      <c r="H2179" s="52" t="str">
        <f>VLOOKUP(Tabla3[[#This Row],[Site]],'Important Info!'!$A$1:$J$135,10,FALSE)</f>
        <v>https://tools.sig.systems/site/details/121</v>
      </c>
      <c r="I2179" s="2" t="s">
        <v>181</v>
      </c>
      <c r="J2179" t="s">
        <v>484</v>
      </c>
      <c r="K2179" s="79" t="str">
        <f>VLOOKUP(Tabla3[[#This Row],[Site]],'Important Info!'!$A$1:$H$135,8,FALSE)</f>
        <v>-</v>
      </c>
      <c r="L2179" s="52" t="str">
        <f>VLOOKUP(Tabla3[[#This Row],[Site]],'Important Info!'!$A$1:$F$135,2,FALSE)</f>
        <v>-</v>
      </c>
      <c r="M2179" s="52" t="str">
        <f>VLOOKUP(Tabla3[[#This Row],[Site]],'Important Info!'!$A$1:$F$135,3,FALSE)</f>
        <v>4, 8</v>
      </c>
      <c r="N2179" s="52" t="str">
        <f>VLOOKUP(Tabla3[[#This Row],[Site]],'Important Info!'!$A$1:$F$135,4,FALSE)</f>
        <v>-</v>
      </c>
      <c r="O2179" s="52" t="str">
        <f>VLOOKUP(Tabla3[[#This Row],[Site]],'Important Info!'!$A$1:$F$135,5,FALSE)</f>
        <v>3, 11, 20, 24</v>
      </c>
      <c r="P2179" s="52" t="str">
        <f>VLOOKUP(Tabla3[[#This Row],[Site]],'Important Info!'!$A$1:$F$135,6,FALSE)</f>
        <v>2, 8</v>
      </c>
      <c r="Q2179" s="91">
        <f>VLOOKUP(Tabla3[[#This Row],[Site]],'Important Info!'!$A$1:$J$135,9,FALSE)</f>
        <v>121</v>
      </c>
    </row>
    <row r="2180" spans="1:17" x14ac:dyDescent="0.25">
      <c r="A2180" t="str">
        <f>+Tabla3[[#This Row],[Site]]&amp;Tabla3[[#This Row],[Split]]</f>
        <v>(AS) Lexus Grapevine I &amp; II (NO TOURS)22</v>
      </c>
      <c r="B2180">
        <v>22</v>
      </c>
      <c r="C2180">
        <v>18</v>
      </c>
      <c r="D2180" t="s">
        <v>33</v>
      </c>
      <c r="E2180" t="s">
        <v>46</v>
      </c>
      <c r="F2180" t="s">
        <v>508</v>
      </c>
      <c r="G2180" t="s">
        <v>34</v>
      </c>
      <c r="H2180" s="52" t="str">
        <f>VLOOKUP(Tabla3[[#This Row],[Site]],'Important Info!'!$A$1:$J$135,10,FALSE)</f>
        <v>https://tools.sig.systems/site/details/136</v>
      </c>
      <c r="J2180" t="s">
        <v>41</v>
      </c>
      <c r="K2180" s="79" t="str">
        <f>VLOOKUP(Tabla3[[#This Row],[Site]],'Important Info!'!$A$1:$H$135,8,FALSE)</f>
        <v>-</v>
      </c>
      <c r="L2180" s="52" t="str">
        <f>VLOOKUP(Tabla3[[#This Row],[Site]],'Important Info!'!$A$1:$F$135,2,FALSE)</f>
        <v>4, 10, 14, 18, 33</v>
      </c>
      <c r="M2180" s="52" t="str">
        <f>VLOOKUP(Tabla3[[#This Row],[Site]],'Important Info!'!$A$1:$F$135,3,FALSE)</f>
        <v>-</v>
      </c>
      <c r="N2180" s="52" t="str">
        <f>VLOOKUP(Tabla3[[#This Row],[Site]],'Important Info!'!$A$1:$F$135,4,FALSE)</f>
        <v>81, 82, 83</v>
      </c>
      <c r="O2180" s="52" t="str">
        <f>VLOOKUP(Tabla3[[#This Row],[Site]],'Important Info!'!$A$1:$F$135,5,FALSE)</f>
        <v>4, 12, 15, 20, 30</v>
      </c>
      <c r="P2180" s="52">
        <f>VLOOKUP(Tabla3[[#This Row],[Site]],'Important Info!'!$A$1:$F$135,6,FALSE)</f>
        <v>10</v>
      </c>
      <c r="Q2180" s="91">
        <f>VLOOKUP(Tabla3[[#This Row],[Site]],'Important Info!'!$A$1:$J$135,9,FALSE)</f>
        <v>136</v>
      </c>
    </row>
    <row r="2181" spans="1:17" x14ac:dyDescent="0.25">
      <c r="A2181" t="str">
        <f>+Tabla3[[#This Row],[Site]]&amp;Tabla3[[#This Row],[Split]]</f>
        <v>(AS) Nalley Luxury Collision Center (NO TOURS)22</v>
      </c>
      <c r="B2181">
        <v>22</v>
      </c>
      <c r="C2181">
        <v>18</v>
      </c>
      <c r="D2181" t="s">
        <v>62</v>
      </c>
      <c r="E2181" t="s">
        <v>35</v>
      </c>
      <c r="F2181" t="s">
        <v>512</v>
      </c>
      <c r="G2181" t="s">
        <v>490</v>
      </c>
      <c r="H2181" s="52" t="str">
        <f>VLOOKUP(Tabla3[[#This Row],[Site]],'Important Info!'!$A$1:$J$135,10,FALSE)</f>
        <v>https://tools.sig.systems/site/details/263</v>
      </c>
      <c r="I2181" s="43" t="s">
        <v>166</v>
      </c>
      <c r="J2181" t="s">
        <v>41</v>
      </c>
      <c r="K2181" s="79" t="str">
        <f>VLOOKUP(Tabla3[[#This Row],[Site]],'Important Info!'!$A$1:$H$135,8,FALSE)</f>
        <v>-</v>
      </c>
      <c r="L2181" s="52" t="str">
        <f>VLOOKUP(Tabla3[[#This Row],[Site]],'Important Info!'!$A$1:$F$135,2,FALSE)</f>
        <v>6, 13</v>
      </c>
      <c r="M2181" s="52" t="str">
        <f>VLOOKUP(Tabla3[[#This Row],[Site]],'Important Info!'!$A$1:$F$135,3,FALSE)</f>
        <v>-</v>
      </c>
      <c r="N2181" s="52" t="str">
        <f>VLOOKUP(Tabla3[[#This Row],[Site]],'Important Info!'!$A$1:$F$135,4,FALSE)</f>
        <v>-</v>
      </c>
      <c r="O2181" s="52" t="str">
        <f>VLOOKUP(Tabla3[[#This Row],[Site]],'Important Info!'!$A$1:$F$135,5,FALSE)</f>
        <v>-</v>
      </c>
      <c r="P2181" s="52" t="str">
        <f>VLOOKUP(Tabla3[[#This Row],[Site]],'Important Info!'!$A$1:$F$135,6,FALSE)</f>
        <v>6, 7, 12</v>
      </c>
      <c r="Q2181" s="91">
        <f>VLOOKUP(Tabla3[[#This Row],[Site]],'Important Info!'!$A$1:$J$135,9,FALSE)</f>
        <v>263</v>
      </c>
    </row>
    <row r="2182" spans="1:17" x14ac:dyDescent="0.25">
      <c r="A2182" t="str">
        <f>+Tabla3[[#This Row],[Site]]&amp;Tabla3[[#This Row],[Split]]</f>
        <v>(KG) JLR LEHI (NO TOURS)22</v>
      </c>
      <c r="B2182">
        <v>22</v>
      </c>
      <c r="C2182">
        <v>18</v>
      </c>
      <c r="D2182" t="s">
        <v>44</v>
      </c>
      <c r="E2182" t="s">
        <v>53</v>
      </c>
      <c r="F2182" t="s">
        <v>8</v>
      </c>
      <c r="G2182" t="s">
        <v>45</v>
      </c>
      <c r="H2182" s="52" t="str">
        <f>VLOOKUP(Tabla3[[#This Row],[Site]],'Important Info!'!$A$1:$J$135,10,FALSE)</f>
        <v>https://tools.sig.systems/site/details/145</v>
      </c>
      <c r="I2182" s="2"/>
      <c r="J2182" t="s">
        <v>41</v>
      </c>
      <c r="K2182" s="79" t="str">
        <f>VLOOKUP(Tabla3[[#This Row],[Site]],'Important Info!'!$A$1:$H$135,8,FALSE)</f>
        <v>-</v>
      </c>
      <c r="L2182" s="52" t="str">
        <f>VLOOKUP(Tabla3[[#This Row],[Site]],'Important Info!'!$A$1:$F$135,2,FALSE)</f>
        <v>1, 11</v>
      </c>
      <c r="M2182" s="52" t="str">
        <f>VLOOKUP(Tabla3[[#This Row],[Site]],'Important Info!'!$A$1:$F$135,3,FALSE)</f>
        <v>-</v>
      </c>
      <c r="N2182" s="52" t="str">
        <f>VLOOKUP(Tabla3[[#This Row],[Site]],'Important Info!'!$A$1:$F$135,4,FALSE)</f>
        <v>-</v>
      </c>
      <c r="O2182" s="52" t="str">
        <f>VLOOKUP(Tabla3[[#This Row],[Site]],'Important Info!'!$A$1:$F$135,5,FALSE)</f>
        <v>1, 7, 11</v>
      </c>
      <c r="P2182" s="52" t="str">
        <f>VLOOKUP(Tabla3[[#This Row],[Site]],'Important Info!'!$A$1:$F$135,6,FALSE)</f>
        <v>-</v>
      </c>
      <c r="Q2182" s="91">
        <f>VLOOKUP(Tabla3[[#This Row],[Site]],'Important Info!'!$A$1:$J$135,9,FALSE)</f>
        <v>145</v>
      </c>
    </row>
    <row r="2183" spans="1:17" x14ac:dyDescent="0.25">
      <c r="A2183" t="str">
        <f>+Tabla3[[#This Row],[Site]]&amp;Tabla3[[#This Row],[Split]]</f>
        <v>(ML) Mazda VW-Lot B22</v>
      </c>
      <c r="B2183">
        <v>22</v>
      </c>
      <c r="C2183">
        <v>18</v>
      </c>
      <c r="D2183" t="s">
        <v>33</v>
      </c>
      <c r="E2183" t="s">
        <v>46</v>
      </c>
      <c r="F2183" t="s">
        <v>9</v>
      </c>
      <c r="G2183" t="s">
        <v>34</v>
      </c>
      <c r="H2183" s="52" t="str">
        <f>VLOOKUP(Tabla3[[#This Row],[Site]],'Important Info!'!$A$1:$J$135,10,FALSE)</f>
        <v>https://tools.sig.systems/site/details/205</v>
      </c>
      <c r="I2183" s="2" t="s">
        <v>142</v>
      </c>
      <c r="J2183" t="s">
        <v>41</v>
      </c>
      <c r="K2183" s="79" t="str">
        <f>VLOOKUP(Tabla3[[#This Row],[Site]],'Important Info!'!$A$1:$H$135,8,FALSE)</f>
        <v>-</v>
      </c>
      <c r="L2183" s="52" t="str">
        <f>VLOOKUP(Tabla3[[#This Row],[Site]],'Important Info!'!$A$1:$F$135,2,FALSE)</f>
        <v>9, 14, 16</v>
      </c>
      <c r="M2183" s="52">
        <f>VLOOKUP(Tabla3[[#This Row],[Site]],'Important Info!'!$A$1:$F$135,3,FALSE)</f>
        <v>1</v>
      </c>
      <c r="N2183" s="52" t="str">
        <f>VLOOKUP(Tabla3[[#This Row],[Site]],'Important Info!'!$A$1:$F$135,4,FALSE)</f>
        <v>-</v>
      </c>
      <c r="O2183" s="52">
        <f>VLOOKUP(Tabla3[[#This Row],[Site]],'Important Info!'!$A$1:$F$135,5,FALSE)</f>
        <v>4</v>
      </c>
      <c r="P2183" s="52" t="str">
        <f>VLOOKUP(Tabla3[[#This Row],[Site]],'Important Info!'!$A$1:$F$135,6,FALSE)</f>
        <v>-</v>
      </c>
      <c r="Q2183" s="91">
        <f>VLOOKUP(Tabla3[[#This Row],[Site]],'Important Info!'!$A$1:$J$135,9,FALSE)</f>
        <v>205</v>
      </c>
    </row>
    <row r="2184" spans="1:17" x14ac:dyDescent="0.25">
      <c r="A2184" t="str">
        <f>+Tabla3[[#This Row],[Site]]&amp;Tabla3[[#This Row],[Split]]</f>
        <v>(AS) Stevinson Chevrolet Golden (NO TOURS)22</v>
      </c>
      <c r="B2184">
        <v>22</v>
      </c>
      <c r="C2184">
        <v>19</v>
      </c>
      <c r="D2184" t="s">
        <v>488</v>
      </c>
      <c r="E2184" t="s">
        <v>53</v>
      </c>
      <c r="F2184" t="s">
        <v>190</v>
      </c>
      <c r="G2184" t="s">
        <v>45</v>
      </c>
      <c r="H2184" s="52" t="str">
        <f>VLOOKUP(Tabla3[[#This Row],[Site]],'Important Info!'!$A$1:$J$135,10,FALSE)</f>
        <v>https://tools.sig.systems/site/details/264</v>
      </c>
      <c r="I2184" s="2" t="s">
        <v>154</v>
      </c>
      <c r="J2184" t="s">
        <v>41</v>
      </c>
      <c r="K2184" s="79" t="str">
        <f>VLOOKUP(Tabla3[[#This Row],[Site]],'Important Info!'!$A$1:$H$135,8,FALSE)</f>
        <v>-</v>
      </c>
      <c r="L2184" s="52" t="str">
        <f>VLOOKUP(Tabla3[[#This Row],[Site]],'Important Info!'!$A$1:$F$135,2,FALSE)</f>
        <v>-</v>
      </c>
      <c r="M2184" s="52" t="str">
        <f>VLOOKUP(Tabla3[[#This Row],[Site]],'Important Info!'!$A$1:$F$135,3,FALSE)</f>
        <v>1, 19</v>
      </c>
      <c r="N2184" s="52" t="str">
        <f>VLOOKUP(Tabla3[[#This Row],[Site]],'Important Info!'!$A$1:$F$135,4,FALSE)</f>
        <v>-</v>
      </c>
      <c r="O2184" s="52" t="str">
        <f>VLOOKUP(Tabla3[[#This Row],[Site]],'Important Info!'!$A$1:$F$135,5,FALSE)</f>
        <v>14, 30</v>
      </c>
      <c r="P2184" s="52" t="str">
        <f>VLOOKUP(Tabla3[[#This Row],[Site]],'Important Info!'!$A$1:$F$135,6,FALSE)</f>
        <v>14, 33, 34, 35, 36</v>
      </c>
      <c r="Q2184" s="91">
        <f>VLOOKUP(Tabla3[[#This Row],[Site]],'Important Info!'!$A$1:$J$135,9,FALSE)</f>
        <v>264</v>
      </c>
    </row>
    <row r="2185" spans="1:17" x14ac:dyDescent="0.25">
      <c r="A2185" t="str">
        <f>+Tabla3[[#This Row],[Site]]&amp;Tabla3[[#This Row],[Split]]</f>
        <v>(DT) Colorado Springs (NO TOURS)22</v>
      </c>
      <c r="B2185">
        <v>22</v>
      </c>
      <c r="C2185">
        <v>19</v>
      </c>
      <c r="D2185" t="s">
        <v>44</v>
      </c>
      <c r="E2185" t="s">
        <v>53</v>
      </c>
      <c r="F2185" t="s">
        <v>156</v>
      </c>
      <c r="G2185" t="s">
        <v>45</v>
      </c>
      <c r="H2185" s="52" t="str">
        <f>VLOOKUP(Tabla3[[#This Row],[Site]],'Important Info!'!$A$1:$J$135,10,FALSE)</f>
        <v>https://tools.sig.systems/site/details/198</v>
      </c>
      <c r="J2185" t="s">
        <v>41</v>
      </c>
      <c r="K2185" s="79" t="str">
        <f>VLOOKUP(Tabla3[[#This Row],[Site]],'Important Info!'!$A$1:$H$135,8,FALSE)</f>
        <v>-</v>
      </c>
      <c r="L2185" s="52" t="str">
        <f>VLOOKUP(Tabla3[[#This Row],[Site]],'Important Info!'!$A$1:$F$135,2,FALSE)</f>
        <v>-</v>
      </c>
      <c r="M2185" s="52" t="str">
        <f>VLOOKUP(Tabla3[[#This Row],[Site]],'Important Info!'!$A$1:$F$135,3,FALSE)</f>
        <v>1, 2, 3, 4</v>
      </c>
      <c r="N2185" s="52" t="str">
        <f>VLOOKUP(Tabla3[[#This Row],[Site]],'Important Info!'!$A$1:$F$135,4,FALSE)</f>
        <v>-</v>
      </c>
      <c r="O2185" s="52" t="str">
        <f>VLOOKUP(Tabla3[[#This Row],[Site]],'Important Info!'!$A$1:$F$135,5,FALSE)</f>
        <v>-</v>
      </c>
      <c r="P2185" s="52" t="str">
        <f>VLOOKUP(Tabla3[[#This Row],[Site]],'Important Info!'!$A$1:$F$135,6,FALSE)</f>
        <v>1, 2, 3, 11</v>
      </c>
      <c r="Q2185" s="91">
        <f>VLOOKUP(Tabla3[[#This Row],[Site]],'Important Info!'!$A$1:$J$135,9,FALSE)</f>
        <v>198</v>
      </c>
    </row>
    <row r="2186" spans="1:17" x14ac:dyDescent="0.25">
      <c r="A2186" t="str">
        <f>+Tabla3[[#This Row],[Site]]&amp;Tabla3[[#This Row],[Split]]</f>
        <v>(DT) Wichita22</v>
      </c>
      <c r="B2186">
        <v>22</v>
      </c>
      <c r="C2186">
        <v>19</v>
      </c>
      <c r="D2186" t="s">
        <v>33</v>
      </c>
      <c r="E2186" t="s">
        <v>46</v>
      </c>
      <c r="F2186" t="s">
        <v>131</v>
      </c>
      <c r="G2186" t="s">
        <v>34</v>
      </c>
      <c r="H2186" s="52" t="str">
        <f>VLOOKUP(Tabla3[[#This Row],[Site]],'Important Info!'!$A$1:$J$135,10,FALSE)</f>
        <v>https://tools.sig.systems/site/details/257</v>
      </c>
      <c r="J2186" t="s">
        <v>41</v>
      </c>
      <c r="K2186" s="79" t="s">
        <v>37</v>
      </c>
      <c r="L2186" s="52" t="str">
        <f>VLOOKUP(Tabla3[[#This Row],[Site]],'Important Info!'!$A$1:$F$135,2,FALSE)</f>
        <v>-</v>
      </c>
      <c r="M2186" s="52" t="str">
        <f>VLOOKUP(Tabla3[[#This Row],[Site]],'Important Info!'!$A$1:$F$135,3,FALSE)</f>
        <v>10, 11</v>
      </c>
      <c r="N2186" s="52" t="str">
        <f>VLOOKUP(Tabla3[[#This Row],[Site]],'Important Info!'!$A$1:$F$135,4,FALSE)</f>
        <v>-</v>
      </c>
      <c r="O2186" s="52" t="str">
        <f>VLOOKUP(Tabla3[[#This Row],[Site]],'Important Info!'!$A$1:$F$135,5,FALSE)</f>
        <v>-</v>
      </c>
      <c r="P2186" s="52" t="str">
        <f>VLOOKUP(Tabla3[[#This Row],[Site]],'Important Info!'!$A$1:$F$135,6,FALSE)</f>
        <v>1, 5, 6, 10</v>
      </c>
      <c r="Q2186" s="91">
        <f>VLOOKUP(Tabla3[[#This Row],[Site]],'Important Info!'!$A$1:$J$135,9,FALSE)</f>
        <v>257</v>
      </c>
    </row>
    <row r="2187" spans="1:17" x14ac:dyDescent="0.25">
      <c r="A2187" t="str">
        <f>+Tabla3[[#This Row],[Site]]&amp;Tabla3[[#This Row],[Split]]</f>
        <v>(KG) Clear Lake Pre-Owned22</v>
      </c>
      <c r="B2187">
        <v>22</v>
      </c>
      <c r="C2187">
        <v>19</v>
      </c>
      <c r="D2187" t="s">
        <v>33</v>
      </c>
      <c r="E2187" t="s">
        <v>46</v>
      </c>
      <c r="F2187" t="s">
        <v>87</v>
      </c>
      <c r="G2187" t="s">
        <v>34</v>
      </c>
      <c r="H2187" s="52" t="str">
        <f>VLOOKUP(Tabla3[[#This Row],[Site]],'Important Info!'!$A$1:$J$135,10,FALSE)</f>
        <v>https://tools.sig.systems/site/details/255</v>
      </c>
      <c r="I2187" s="2" t="s">
        <v>134</v>
      </c>
      <c r="J2187" t="s">
        <v>41</v>
      </c>
      <c r="K2187" s="79" t="str">
        <f>VLOOKUP(Tabla3[[#This Row],[Site]],'Important Info!'!$A$1:$H$135,8,FALSE)</f>
        <v>-</v>
      </c>
      <c r="L2187" s="52" t="str">
        <f>VLOOKUP(Tabla3[[#This Row],[Site]],'Important Info!'!$A$1:$F$135,2,FALSE)</f>
        <v>3, 5</v>
      </c>
      <c r="M2187" s="52" t="str">
        <f>VLOOKUP(Tabla3[[#This Row],[Site]],'Important Info!'!$A$1:$F$135,3,FALSE)</f>
        <v>-</v>
      </c>
      <c r="N2187" s="52" t="str">
        <f>VLOOKUP(Tabla3[[#This Row],[Site]],'Important Info!'!$A$1:$F$135,4,FALSE)</f>
        <v>-</v>
      </c>
      <c r="O2187" s="52" t="str">
        <f>VLOOKUP(Tabla3[[#This Row],[Site]],'Important Info!'!$A$1:$F$135,5,FALSE)</f>
        <v>4, 10, 22</v>
      </c>
      <c r="P2187" s="52" t="str">
        <f>VLOOKUP(Tabla3[[#This Row],[Site]],'Important Info!'!$A$1:$F$135,6,FALSE)</f>
        <v>8, 15, 20</v>
      </c>
      <c r="Q2187" s="91">
        <f>VLOOKUP(Tabla3[[#This Row],[Site]],'Important Info!'!$A$1:$J$135,9,FALSE)</f>
        <v>255</v>
      </c>
    </row>
    <row r="2188" spans="1:17" x14ac:dyDescent="0.25">
      <c r="A2188" t="str">
        <f>+Tabla3[[#This Row],[Site]]&amp;Tabla3[[#This Row],[Split]]</f>
        <v>(KG) Hyundai Surprise22</v>
      </c>
      <c r="B2188">
        <v>22</v>
      </c>
      <c r="C2188">
        <v>19</v>
      </c>
      <c r="D2188" t="s">
        <v>51</v>
      </c>
      <c r="E2188" t="s">
        <v>161</v>
      </c>
      <c r="F2188" t="s">
        <v>118</v>
      </c>
      <c r="G2188" t="s">
        <v>52</v>
      </c>
      <c r="H2188" s="52" t="str">
        <f>VLOOKUP(Tabla3[[#This Row],[Site]],'Important Info!'!$A$1:$J$135,10,FALSE)</f>
        <v>https://tools.sig.systems/site/details/269</v>
      </c>
      <c r="I2188" s="2"/>
      <c r="J2188" t="s">
        <v>162</v>
      </c>
      <c r="K2188" s="79" t="str">
        <f>VLOOKUP(Tabla3[[#This Row],[Site]],'Important Info!'!$A$1:$H$135,8,FALSE)</f>
        <v>-</v>
      </c>
      <c r="L2188" s="52" t="str">
        <f>VLOOKUP(Tabla3[[#This Row],[Site]],'Important Info!'!$A$1:$F$135,2,FALSE)</f>
        <v>1, 6, 7</v>
      </c>
      <c r="M2188" s="52" t="str">
        <f>VLOOKUP(Tabla3[[#This Row],[Site]],'Important Info!'!$A$1:$F$135,3,FALSE)</f>
        <v>-</v>
      </c>
      <c r="N2188" s="52" t="str">
        <f>VLOOKUP(Tabla3[[#This Row],[Site]],'Important Info!'!$A$1:$F$135,4,FALSE)</f>
        <v>-</v>
      </c>
      <c r="O2188" s="52" t="str">
        <f>VLOOKUP(Tabla3[[#This Row],[Site]],'Important Info!'!$A$1:$F$135,5,FALSE)</f>
        <v>6, 13</v>
      </c>
      <c r="P2188" s="52" t="str">
        <f>VLOOKUP(Tabla3[[#This Row],[Site]],'Important Info!'!$A$1:$F$135,6,FALSE)</f>
        <v>-</v>
      </c>
      <c r="Q2188" s="91">
        <f>VLOOKUP(Tabla3[[#This Row],[Site]],'Important Info!'!$A$1:$J$135,9,FALSE)</f>
        <v>269</v>
      </c>
    </row>
    <row r="2189" spans="1:17" x14ac:dyDescent="0.25">
      <c r="A2189" t="str">
        <f>+Tabla3[[#This Row],[Site]]&amp;Tabla3[[#This Row],[Split]]</f>
        <v>(ML) Collision Center N Little Rock22</v>
      </c>
      <c r="B2189">
        <v>22</v>
      </c>
      <c r="C2189">
        <v>19</v>
      </c>
      <c r="D2189" t="s">
        <v>33</v>
      </c>
      <c r="E2189" t="s">
        <v>46</v>
      </c>
      <c r="F2189" t="s">
        <v>141</v>
      </c>
      <c r="G2189" t="s">
        <v>34</v>
      </c>
      <c r="H2189" s="52" t="str">
        <f>VLOOKUP(Tabla3[[#This Row],[Site]],'Important Info!'!$A$1:$J$135,10,FALSE)</f>
        <v>https://tools.sig.systems/site/details/212</v>
      </c>
      <c r="I2189" s="43" t="s">
        <v>142</v>
      </c>
      <c r="J2189" t="s">
        <v>41</v>
      </c>
      <c r="K2189" s="79" t="str">
        <f>VLOOKUP(Tabla3[[#This Row],[Site]],'Important Info!'!$A$1:$H$135,8,FALSE)</f>
        <v>-</v>
      </c>
      <c r="L2189" s="52" t="str">
        <f>VLOOKUP(Tabla3[[#This Row],[Site]],'Important Info!'!$A$1:$F$135,2,FALSE)</f>
        <v>-</v>
      </c>
      <c r="M2189" s="52" t="str">
        <f>VLOOKUP(Tabla3[[#This Row],[Site]],'Important Info!'!$A$1:$F$135,3,FALSE)</f>
        <v>-</v>
      </c>
      <c r="N2189" s="52" t="str">
        <f>VLOOKUP(Tabla3[[#This Row],[Site]],'Important Info!'!$A$1:$F$135,4,FALSE)</f>
        <v>-</v>
      </c>
      <c r="O2189" s="52" t="str">
        <f>VLOOKUP(Tabla3[[#This Row],[Site]],'Important Info!'!$A$1:$F$135,5,FALSE)</f>
        <v>-</v>
      </c>
      <c r="P2189" s="52" t="str">
        <f>VLOOKUP(Tabla3[[#This Row],[Site]],'Important Info!'!$A$1:$F$135,6,FALSE)</f>
        <v>1, 3, 7, 8</v>
      </c>
      <c r="Q2189" s="91">
        <f>VLOOKUP(Tabla3[[#This Row],[Site]],'Important Info!'!$A$1:$J$135,9,FALSE)</f>
        <v>212</v>
      </c>
    </row>
    <row r="2190" spans="1:17" x14ac:dyDescent="0.25">
      <c r="A2190" t="str">
        <f>+Tabla3[[#This Row],[Site]]&amp;Tabla3[[#This Row],[Split]]</f>
        <v>(RV) Toms Camperland Surprise (NO TOURS)22</v>
      </c>
      <c r="B2190">
        <v>22</v>
      </c>
      <c r="C2190">
        <v>19</v>
      </c>
      <c r="D2190" t="s">
        <v>51</v>
      </c>
      <c r="E2190" t="s">
        <v>161</v>
      </c>
      <c r="F2190" t="s">
        <v>165</v>
      </c>
      <c r="G2190" t="s">
        <v>52</v>
      </c>
      <c r="H2190" s="52" t="str">
        <f>VLOOKUP(Tabla3[[#This Row],[Site]],'Important Info!'!$A$1:$J$135,10,FALSE)</f>
        <v>https://tools.sig.systems/site/details/254</v>
      </c>
      <c r="I2190" s="43"/>
      <c r="J2190" t="s">
        <v>52</v>
      </c>
      <c r="K2190" s="79" t="str">
        <f>VLOOKUP(Tabla3[[#This Row],[Site]],'Important Info!'!$A$1:$H$135,8,FALSE)</f>
        <v>-</v>
      </c>
      <c r="L2190" s="52" t="str">
        <f>VLOOKUP(Tabla3[[#This Row],[Site]],'Important Info!'!$A$1:$F$135,2,FALSE)</f>
        <v>1, 3, 4</v>
      </c>
      <c r="M2190" s="52" t="str">
        <f>VLOOKUP(Tabla3[[#This Row],[Site]],'Important Info!'!$A$1:$F$135,3,FALSE)</f>
        <v>-</v>
      </c>
      <c r="N2190" s="52" t="str">
        <f>VLOOKUP(Tabla3[[#This Row],[Site]],'Important Info!'!$A$1:$F$135,4,FALSE)</f>
        <v>-</v>
      </c>
      <c r="O2190" s="52" t="str">
        <f>VLOOKUP(Tabla3[[#This Row],[Site]],'Important Info!'!$A$1:$F$135,5,FALSE)</f>
        <v>-</v>
      </c>
      <c r="P2190" s="52" t="str">
        <f>VLOOKUP(Tabla3[[#This Row],[Site]],'Important Info!'!$A$1:$F$135,6,FALSE)</f>
        <v>1, 2, 3, 4, 15</v>
      </c>
      <c r="Q2190" s="91">
        <f>VLOOKUP(Tabla3[[#This Row],[Site]],'Important Info!'!$A$1:$J$135,9,FALSE)</f>
        <v>254</v>
      </c>
    </row>
    <row r="2191" spans="1:17" x14ac:dyDescent="0.25">
      <c r="A2191" t="str">
        <f>+Tabla3[[#This Row],[Site]]&amp;Tabla3[[#This Row],[Split]]</f>
        <v>(AS) Courtesy CDJR of Brandon (NO TOURS)22</v>
      </c>
      <c r="B2191">
        <v>22</v>
      </c>
      <c r="C2191">
        <v>20</v>
      </c>
      <c r="D2191" t="s">
        <v>62</v>
      </c>
      <c r="E2191" t="s">
        <v>35</v>
      </c>
      <c r="F2191" t="s">
        <v>503</v>
      </c>
      <c r="G2191" t="s">
        <v>490</v>
      </c>
      <c r="H2191" s="52" t="str">
        <f>VLOOKUP(Tabla3[[#This Row],[Site]],'Important Info!'!$A$1:$J$135,10,FALSE)</f>
        <v>https://tools.sig.systems/site/details/126</v>
      </c>
      <c r="I2191" s="43" t="s">
        <v>181</v>
      </c>
      <c r="J2191" t="s">
        <v>484</v>
      </c>
      <c r="K2191" s="79" t="str">
        <f>VLOOKUP(Tabla3[[#This Row],[Site]],'Important Info!'!$A$1:$H$135,8,FALSE)</f>
        <v>-</v>
      </c>
      <c r="L2191" s="52" t="str">
        <f>VLOOKUP(Tabla3[[#This Row],[Site]],'Important Info!'!$A$1:$F$135,2,FALSE)</f>
        <v>1, 14, 15</v>
      </c>
      <c r="M2191" s="52">
        <f>VLOOKUP(Tabla3[[#This Row],[Site]],'Important Info!'!$A$1:$F$135,3,FALSE)</f>
        <v>1</v>
      </c>
      <c r="N2191" s="52" t="str">
        <f>VLOOKUP(Tabla3[[#This Row],[Site]],'Important Info!'!$A$1:$F$135,4,FALSE)</f>
        <v>-</v>
      </c>
      <c r="O2191" s="52" t="str">
        <f>VLOOKUP(Tabla3[[#This Row],[Site]],'Important Info!'!$A$1:$F$135,5,FALSE)</f>
        <v>2, 12</v>
      </c>
      <c r="P2191" s="52" t="str">
        <f>VLOOKUP(Tabla3[[#This Row],[Site]],'Important Info!'!$A$1:$F$135,6,FALSE)</f>
        <v xml:space="preserve">1, 2, 3, 4, 14, 15, 21, 25 </v>
      </c>
      <c r="Q2191" s="91">
        <f>VLOOKUP(Tabla3[[#This Row],[Site]],'Important Info!'!$A$1:$J$135,9,FALSE)</f>
        <v>126</v>
      </c>
    </row>
    <row r="2192" spans="1:17" x14ac:dyDescent="0.25">
      <c r="A2192" t="str">
        <f>+Tabla3[[#This Row],[Site]]&amp;Tabla3[[#This Row],[Split]]</f>
        <v>(KG) Big Star CDJR of Clear Lake22</v>
      </c>
      <c r="B2192">
        <v>22</v>
      </c>
      <c r="C2192">
        <v>20</v>
      </c>
      <c r="D2192" t="s">
        <v>33</v>
      </c>
      <c r="E2192" t="s">
        <v>46</v>
      </c>
      <c r="F2192" t="s">
        <v>133</v>
      </c>
      <c r="G2192" t="s">
        <v>34</v>
      </c>
      <c r="H2192" s="52" t="str">
        <f>VLOOKUP(Tabla3[[#This Row],[Site]],'Important Info!'!$A$1:$J$135,10,FALSE)</f>
        <v>https://tools.sig.systems/site/details/232</v>
      </c>
      <c r="I2192" s="43" t="s">
        <v>134</v>
      </c>
      <c r="J2192" t="s">
        <v>41</v>
      </c>
      <c r="K2192" s="79" t="str">
        <f>VLOOKUP(Tabla3[[#This Row],[Site]],'Important Info!'!$A$1:$H$135,8,FALSE)</f>
        <v>-</v>
      </c>
      <c r="L2192" s="52" t="str">
        <f>VLOOKUP(Tabla3[[#This Row],[Site]],'Important Info!'!$A$1:$F$135,2,FALSE)</f>
        <v>8, 25</v>
      </c>
      <c r="M2192" s="52" t="str">
        <f>VLOOKUP(Tabla3[[#This Row],[Site]],'Important Info!'!$A$1:$F$135,3,FALSE)</f>
        <v>-</v>
      </c>
      <c r="N2192" s="52" t="str">
        <f>VLOOKUP(Tabla3[[#This Row],[Site]],'Important Info!'!$A$1:$F$135,4,FALSE)</f>
        <v>-</v>
      </c>
      <c r="O2192" s="52" t="str">
        <f>VLOOKUP(Tabla3[[#This Row],[Site]],'Important Info!'!$A$1:$F$135,5,FALSE)</f>
        <v>7, 13, 19, 24</v>
      </c>
      <c r="P2192" s="52" t="str">
        <f>VLOOKUP(Tabla3[[#This Row],[Site]],'Important Info!'!$A$1:$F$135,6,FALSE)</f>
        <v>6, 8, 25, 31</v>
      </c>
      <c r="Q2192" s="91">
        <f>VLOOKUP(Tabla3[[#This Row],[Site]],'Important Info!'!$A$1:$J$135,9,FALSE)</f>
        <v>232</v>
      </c>
    </row>
    <row r="2193" spans="1:17" x14ac:dyDescent="0.25">
      <c r="A2193" t="str">
        <f>+Tabla3[[#This Row],[Site]]&amp;Tabla3[[#This Row],[Split]]</f>
        <v>(KG) Big Star Ford22</v>
      </c>
      <c r="B2193">
        <v>22</v>
      </c>
      <c r="C2193">
        <v>20</v>
      </c>
      <c r="D2193" t="s">
        <v>33</v>
      </c>
      <c r="E2193" t="s">
        <v>46</v>
      </c>
      <c r="F2193" t="s">
        <v>135</v>
      </c>
      <c r="G2193" t="s">
        <v>34</v>
      </c>
      <c r="H2193" s="52" t="str">
        <f>VLOOKUP(Tabla3[[#This Row],[Site]],'Important Info!'!$A$1:$J$135,10,FALSE)</f>
        <v>https://tools.sig.systems/site/details/235</v>
      </c>
      <c r="I2193" s="2"/>
      <c r="J2193" t="s">
        <v>41</v>
      </c>
      <c r="K2193" s="79" t="str">
        <f>VLOOKUP(Tabla3[[#This Row],[Site]],'Important Info!'!$A$1:$H$135,8,FALSE)</f>
        <v>-</v>
      </c>
      <c r="L2193" s="52" t="str">
        <f>VLOOKUP(Tabla3[[#This Row],[Site]],'Important Info!'!$A$1:$F$135,2,FALSE)</f>
        <v>4, 22, 32, 33</v>
      </c>
      <c r="M2193" s="52" t="str">
        <f>VLOOKUP(Tabla3[[#This Row],[Site]],'Important Info!'!$A$1:$F$135,3,FALSE)</f>
        <v>-</v>
      </c>
      <c r="N2193" s="52" t="str">
        <f>VLOOKUP(Tabla3[[#This Row],[Site]],'Important Info!'!$A$1:$F$135,4,FALSE)</f>
        <v>-</v>
      </c>
      <c r="O2193" s="52" t="str">
        <f>VLOOKUP(Tabla3[[#This Row],[Site]],'Important Info!'!$A$1:$F$135,5,FALSE)</f>
        <v>1, 5, 12, 21</v>
      </c>
      <c r="P2193" s="52">
        <f>VLOOKUP(Tabla3[[#This Row],[Site]],'Important Info!'!$A$1:$F$135,6,FALSE)</f>
        <v>22</v>
      </c>
      <c r="Q2193" s="91">
        <f>VLOOKUP(Tabla3[[#This Row],[Site]],'Important Info!'!$A$1:$J$135,9,FALSE)</f>
        <v>235</v>
      </c>
    </row>
    <row r="2194" spans="1:17" x14ac:dyDescent="0.25">
      <c r="A2194" t="str">
        <f>+Tabla3[[#This Row],[Site]]&amp;Tabla3[[#This Row],[Split]]</f>
        <v>(ML) Ford Lincoln of North Little Rock22</v>
      </c>
      <c r="B2194">
        <v>22</v>
      </c>
      <c r="C2194">
        <v>20</v>
      </c>
      <c r="D2194" t="s">
        <v>33</v>
      </c>
      <c r="E2194" t="s">
        <v>46</v>
      </c>
      <c r="F2194" t="s">
        <v>145</v>
      </c>
      <c r="G2194" t="s">
        <v>34</v>
      </c>
      <c r="H2194" s="52" t="str">
        <f>VLOOKUP(Tabla3[[#This Row],[Site]],'Important Info!'!$A$1:$J$135,10,FALSE)</f>
        <v>https://tools.sig.systems/site/details/214</v>
      </c>
      <c r="I2194" s="2" t="s">
        <v>142</v>
      </c>
      <c r="J2194" t="s">
        <v>41</v>
      </c>
      <c r="K2194" s="79" t="str">
        <f>VLOOKUP(Tabla3[[#This Row],[Site]],'Important Info!'!$A$1:$H$135,8,FALSE)</f>
        <v>-</v>
      </c>
      <c r="L2194" s="52" t="str">
        <f>VLOOKUP(Tabla3[[#This Row],[Site]],'Important Info!'!$A$1:$F$135,2,FALSE)</f>
        <v>4, 15, 18, 67, 74</v>
      </c>
      <c r="M2194" s="52">
        <f>VLOOKUP(Tabla3[[#This Row],[Site]],'Important Info!'!$A$1:$F$135,3,FALSE)</f>
        <v>13</v>
      </c>
      <c r="N2194" s="52" t="str">
        <f>VLOOKUP(Tabla3[[#This Row],[Site]],'Important Info!'!$A$1:$F$135,4,FALSE)</f>
        <v>-</v>
      </c>
      <c r="O2194" s="52" t="str">
        <f>VLOOKUP(Tabla3[[#This Row],[Site]],'Important Info!'!$A$1:$F$135,5,FALSE)</f>
        <v>4, 11, 16, 28</v>
      </c>
      <c r="P2194" s="52" t="str">
        <f>VLOOKUP(Tabla3[[#This Row],[Site]],'Important Info!'!$A$1:$F$135,6,FALSE)</f>
        <v>10, 11, 12</v>
      </c>
      <c r="Q2194" s="91">
        <f>VLOOKUP(Tabla3[[#This Row],[Site]],'Important Info!'!$A$1:$J$135,9,FALSE)</f>
        <v>214</v>
      </c>
    </row>
    <row r="2195" spans="1:17" x14ac:dyDescent="0.25">
      <c r="A2195" t="str">
        <f>+Tabla3[[#This Row],[Site]]&amp;Tabla3[[#This Row],[Split]]</f>
        <v>(AS) Plaza Lexus/Mercedes/BMW (NO TOURS)22</v>
      </c>
      <c r="B2195">
        <v>22</v>
      </c>
      <c r="C2195">
        <v>21</v>
      </c>
      <c r="D2195" t="s">
        <v>33</v>
      </c>
      <c r="E2195" t="s">
        <v>46</v>
      </c>
      <c r="F2195" t="s">
        <v>92</v>
      </c>
      <c r="G2195" t="s">
        <v>34</v>
      </c>
      <c r="H2195" s="52" t="str">
        <f>VLOOKUP(Tabla3[[#This Row],[Site]],'Important Info!'!$A$1:$J$135,10,FALSE)</f>
        <v>https://tools.sig.systems/site/details/141</v>
      </c>
      <c r="I2195" t="s">
        <v>130</v>
      </c>
      <c r="J2195" t="s">
        <v>41</v>
      </c>
      <c r="K2195" s="79" t="str">
        <f>VLOOKUP(Tabla3[[#This Row],[Site]],'Important Info!'!$A$1:$H$135,8,FALSE)</f>
        <v>-</v>
      </c>
      <c r="L2195" s="52" t="str">
        <f>VLOOKUP(Tabla3[[#This Row],[Site]],'Important Info!'!$A$1:$F$135,2,FALSE)</f>
        <v>3, 4, 18</v>
      </c>
      <c r="M2195" s="52" t="str">
        <f>VLOOKUP(Tabla3[[#This Row],[Site]],'Important Info!'!$A$1:$F$135,3,FALSE)</f>
        <v>9, 10, 12, 13, 16, 17</v>
      </c>
      <c r="N2195" s="52" t="str">
        <f>VLOOKUP(Tabla3[[#This Row],[Site]],'Important Info!'!$A$1:$F$135,4,FALSE)</f>
        <v>-</v>
      </c>
      <c r="O2195" s="52">
        <f>VLOOKUP(Tabla3[[#This Row],[Site]],'Important Info!'!$A$1:$F$135,5,FALSE)</f>
        <v>2</v>
      </c>
      <c r="P2195" s="52" t="str">
        <f>VLOOKUP(Tabla3[[#This Row],[Site]],'Important Info!'!$A$1:$F$135,6,FALSE)</f>
        <v>2, 16</v>
      </c>
      <c r="Q2195" s="91">
        <f>VLOOKUP(Tabla3[[#This Row],[Site]],'Important Info!'!$A$1:$J$135,9,FALSE)</f>
        <v>141</v>
      </c>
    </row>
    <row r="2196" spans="1:17" x14ac:dyDescent="0.25">
      <c r="A2196" t="str">
        <f>+Tabla3[[#This Row],[Site]]&amp;Tabla3[[#This Row],[Split]]</f>
        <v>(AS) Stevinson Lexus of Lakewood (NO TOURS)22</v>
      </c>
      <c r="B2196">
        <v>22</v>
      </c>
      <c r="C2196">
        <v>21</v>
      </c>
      <c r="D2196" t="s">
        <v>44</v>
      </c>
      <c r="E2196" t="s">
        <v>53</v>
      </c>
      <c r="F2196" t="s">
        <v>523</v>
      </c>
      <c r="G2196" t="s">
        <v>45</v>
      </c>
      <c r="H2196" s="52" t="str">
        <f>VLOOKUP(Tabla3[[#This Row],[Site]],'Important Info!'!$A$1:$J$135,10,FALSE)</f>
        <v>https://tools.sig.systems/site/details/260</v>
      </c>
      <c r="I2196" s="2" t="s">
        <v>154</v>
      </c>
      <c r="J2196" t="s">
        <v>41</v>
      </c>
      <c r="K2196" s="79" t="str">
        <f>VLOOKUP(Tabla3[[#This Row],[Site]],'Important Info!'!$A$1:$H$135,8,FALSE)</f>
        <v>-</v>
      </c>
      <c r="L2196" s="52" t="str">
        <f>VLOOKUP(Tabla3[[#This Row],[Site]],'Important Info!'!$A$1:$F$135,2,FALSE)</f>
        <v>-</v>
      </c>
      <c r="M2196" s="52" t="str">
        <f>VLOOKUP(Tabla3[[#This Row],[Site]],'Important Info!'!$A$1:$F$135,3,FALSE)</f>
        <v>2, 10</v>
      </c>
      <c r="N2196" s="52" t="str">
        <f>VLOOKUP(Tabla3[[#This Row],[Site]],'Important Info!'!$A$1:$F$135,4,FALSE)</f>
        <v>9, 17</v>
      </c>
      <c r="O2196" s="52" t="str">
        <f>VLOOKUP(Tabla3[[#This Row],[Site]],'Important Info!'!$A$1:$F$135,5,FALSE)</f>
        <v>-</v>
      </c>
      <c r="P2196" s="52" t="str">
        <f>VLOOKUP(Tabla3[[#This Row],[Site]],'Important Info!'!$A$1:$F$135,6,FALSE)</f>
        <v>1, 2</v>
      </c>
      <c r="Q2196" s="91">
        <f>VLOOKUP(Tabla3[[#This Row],[Site]],'Important Info!'!$A$1:$J$135,9,FALSE)</f>
        <v>260</v>
      </c>
    </row>
    <row r="2197" spans="1:17" x14ac:dyDescent="0.25">
      <c r="A2197" t="str">
        <f>+Tabla3[[#This Row],[Site]]&amp;Tabla3[[#This Row],[Split]]</f>
        <v>(KG) Kia of Phoenix (NO TOURS)22</v>
      </c>
      <c r="B2197">
        <v>22</v>
      </c>
      <c r="C2197">
        <v>21</v>
      </c>
      <c r="D2197" t="s">
        <v>51</v>
      </c>
      <c r="E2197" t="s">
        <v>161</v>
      </c>
      <c r="F2197" t="s">
        <v>94</v>
      </c>
      <c r="G2197" t="s">
        <v>52</v>
      </c>
      <c r="H2197" s="52" t="str">
        <f>VLOOKUP(Tabla3[[#This Row],[Site]],'Important Info!'!$A$1:$J$135,10,FALSE)</f>
        <v>https://tools.sig.systems/site/details/262</v>
      </c>
      <c r="J2197" t="s">
        <v>162</v>
      </c>
      <c r="K2197" s="79" t="str">
        <f>VLOOKUP(Tabla3[[#This Row],[Site]],'Important Info!'!$A$1:$H$135,8,FALSE)</f>
        <v>-</v>
      </c>
      <c r="L2197" s="52" t="str">
        <f>VLOOKUP(Tabla3[[#This Row],[Site]],'Important Info!'!$A$1:$F$135,2,FALSE)</f>
        <v>5, 8, 23</v>
      </c>
      <c r="M2197" s="52" t="str">
        <f>VLOOKUP(Tabla3[[#This Row],[Site]],'Important Info!'!$A$1:$F$135,3,FALSE)</f>
        <v>-</v>
      </c>
      <c r="N2197" s="52" t="str">
        <f>VLOOKUP(Tabla3[[#This Row],[Site]],'Important Info!'!$A$1:$F$135,4,FALSE)</f>
        <v>-</v>
      </c>
      <c r="O2197" s="52">
        <f>VLOOKUP(Tabla3[[#This Row],[Site]],'Important Info!'!$A$1:$F$135,5,FALSE)</f>
        <v>4</v>
      </c>
      <c r="P2197" s="52" t="str">
        <f>VLOOKUP(Tabla3[[#This Row],[Site]],'Important Info!'!$A$1:$F$135,6,FALSE)</f>
        <v>-</v>
      </c>
      <c r="Q2197" s="91">
        <f>VLOOKUP(Tabla3[[#This Row],[Site]],'Important Info!'!$A$1:$J$135,9,FALSE)</f>
        <v>262</v>
      </c>
    </row>
    <row r="2198" spans="1:17" x14ac:dyDescent="0.25">
      <c r="A2198" t="str">
        <f>+Tabla3[[#This Row],[Site]]&amp;Tabla3[[#This Row],[Split]]</f>
        <v>(KT) Northwest CDJR (NO TOURS)22</v>
      </c>
      <c r="B2198">
        <v>22</v>
      </c>
      <c r="C2198">
        <v>21</v>
      </c>
      <c r="D2198" t="s">
        <v>33</v>
      </c>
      <c r="E2198" t="s">
        <v>46</v>
      </c>
      <c r="F2198" t="s">
        <v>77</v>
      </c>
      <c r="G2198" t="s">
        <v>34</v>
      </c>
      <c r="H2198" s="52" t="str">
        <f>VLOOKUP(Tabla3[[#This Row],[Site]],'Important Info!'!$A$1:$J$135,10,FALSE)</f>
        <v>https://tools.sig.systems/site/details/229</v>
      </c>
      <c r="I2198" s="2"/>
      <c r="J2198" t="s">
        <v>41</v>
      </c>
      <c r="K2198" s="79" t="str">
        <f>VLOOKUP(Tabla3[[#This Row],[Site]],'Important Info!'!$A$1:$H$135,8,FALSE)</f>
        <v>-</v>
      </c>
      <c r="L2198" s="52" t="str">
        <f>VLOOKUP(Tabla3[[#This Row],[Site]],'Important Info!'!$A$1:$F$135,2,FALSE)</f>
        <v>1, 3, 11, 25</v>
      </c>
      <c r="M2198" s="52" t="str">
        <f>VLOOKUP(Tabla3[[#This Row],[Site]],'Important Info!'!$A$1:$F$135,3,FALSE)</f>
        <v>-</v>
      </c>
      <c r="N2198" s="52" t="str">
        <f>VLOOKUP(Tabla3[[#This Row],[Site]],'Important Info!'!$A$1:$F$135,4,FALSE)</f>
        <v>-</v>
      </c>
      <c r="O2198" s="52" t="str">
        <f>VLOOKUP(Tabla3[[#This Row],[Site]],'Important Info!'!$A$1:$F$135,5,FALSE)</f>
        <v>4, 12, 18</v>
      </c>
      <c r="P2198" s="52" t="str">
        <f>VLOOKUP(Tabla3[[#This Row],[Site]],'Important Info!'!$A$1:$F$135,6,FALSE)</f>
        <v>-</v>
      </c>
      <c r="Q2198" s="91">
        <f>VLOOKUP(Tabla3[[#This Row],[Site]],'Important Info!'!$A$1:$J$135,9,FALSE)</f>
        <v>229</v>
      </c>
    </row>
    <row r="2199" spans="1:17" x14ac:dyDescent="0.25">
      <c r="A2199" t="str">
        <f>+Tabla3[[#This Row],[Site]]&amp;Tabla3[[#This Row],[Split]]</f>
        <v>(ML) Toyota N Little Rock22</v>
      </c>
      <c r="B2199">
        <v>22</v>
      </c>
      <c r="C2199">
        <v>21</v>
      </c>
      <c r="D2199" t="s">
        <v>33</v>
      </c>
      <c r="E2199" t="s">
        <v>46</v>
      </c>
      <c r="F2199" t="s">
        <v>76</v>
      </c>
      <c r="G2199" t="s">
        <v>34</v>
      </c>
      <c r="H2199" s="52" t="str">
        <f>VLOOKUP(Tabla3[[#This Row],[Site]],'Important Info!'!$A$1:$J$135,10,FALSE)</f>
        <v>https://tools.sig.systems/site/details/201</v>
      </c>
      <c r="I2199" s="2" t="s">
        <v>142</v>
      </c>
      <c r="J2199" t="s">
        <v>41</v>
      </c>
      <c r="K2199" s="79" t="str">
        <f>VLOOKUP(Tabla3[[#This Row],[Site]],'Important Info!'!$A$1:$H$135,8,FALSE)</f>
        <v>-</v>
      </c>
      <c r="L2199" s="52" t="str">
        <f>VLOOKUP(Tabla3[[#This Row],[Site]],'Important Info!'!$A$1:$F$135,2,FALSE)</f>
        <v>4, 15, 18, 22, 23, 26</v>
      </c>
      <c r="M2199" s="52" t="str">
        <f>VLOOKUP(Tabla3[[#This Row],[Site]],'Important Info!'!$A$1:$F$135,3,FALSE)</f>
        <v>-</v>
      </c>
      <c r="N2199" s="52" t="str">
        <f>VLOOKUP(Tabla3[[#This Row],[Site]],'Important Info!'!$A$1:$F$135,4,FALSE)</f>
        <v>-</v>
      </c>
      <c r="O2199" s="52" t="str">
        <f>VLOOKUP(Tabla3[[#This Row],[Site]],'Important Info!'!$A$1:$F$135,5,FALSE)</f>
        <v>2, 12, 13, 18</v>
      </c>
      <c r="P2199" s="52" t="str">
        <f>VLOOKUP(Tabla3[[#This Row],[Site]],'Important Info!'!$A$1:$F$135,6,FALSE)</f>
        <v>-</v>
      </c>
      <c r="Q2199" s="91">
        <f>VLOOKUP(Tabla3[[#This Row],[Site]],'Important Info!'!$A$1:$J$135,9,FALSE)</f>
        <v>201</v>
      </c>
    </row>
    <row r="2200" spans="1:17" x14ac:dyDescent="0.25">
      <c r="A2200" t="str">
        <f>+Tabla3[[#This Row],[Site]]&amp;Tabla3[[#This Row],[Split]]</f>
        <v>(TC) Tavernier Creek Marina (NO TOURS)22</v>
      </c>
      <c r="B2200">
        <v>22</v>
      </c>
      <c r="C2200">
        <v>21</v>
      </c>
      <c r="D2200" t="s">
        <v>62</v>
      </c>
      <c r="E2200" t="s">
        <v>35</v>
      </c>
      <c r="F2200" t="s">
        <v>119</v>
      </c>
      <c r="G2200" t="s">
        <v>34</v>
      </c>
      <c r="H2200" s="52" t="str">
        <f>VLOOKUP(Tabla3[[#This Row],[Site]],'Important Info!'!$A$1:$J$135,10,FALSE)</f>
        <v>https://tools.sig.systems/site/details/164</v>
      </c>
      <c r="J2200" t="s">
        <v>45</v>
      </c>
      <c r="K2200" s="79" t="str">
        <f>VLOOKUP(Tabla3[[#This Row],[Site]],'Important Info!'!$A$1:$H$135,8,FALSE)</f>
        <v>-</v>
      </c>
      <c r="L2200" s="52" t="str">
        <f>VLOOKUP(Tabla3[[#This Row],[Site]],'Important Info!'!$A$1:$F$135,2,FALSE)</f>
        <v>28, 29</v>
      </c>
      <c r="M2200" s="52" t="str">
        <f>VLOOKUP(Tabla3[[#This Row],[Site]],'Important Info!'!$A$1:$F$135,3,FALSE)</f>
        <v>-</v>
      </c>
      <c r="N2200" s="52" t="str">
        <f>VLOOKUP(Tabla3[[#This Row],[Site]],'Important Info!'!$A$1:$F$135,4,FALSE)</f>
        <v>-</v>
      </c>
      <c r="O2200" s="52" t="str">
        <f>VLOOKUP(Tabla3[[#This Row],[Site]],'Important Info!'!$A$1:$F$135,5,FALSE)</f>
        <v>-</v>
      </c>
      <c r="P2200" s="52" t="str">
        <f>VLOOKUP(Tabla3[[#This Row],[Site]],'Important Info!'!$A$1:$F$135,6,FALSE)</f>
        <v>5, 28, 29</v>
      </c>
      <c r="Q2200" s="91">
        <f>VLOOKUP(Tabla3[[#This Row],[Site]],'Important Info!'!$A$1:$J$135,9,FALSE)</f>
        <v>164</v>
      </c>
    </row>
    <row r="2201" spans="1:17" x14ac:dyDescent="0.25">
      <c r="A2201" t="str">
        <f>+Tabla3[[#This Row],[Site]]&amp;Tabla3[[#This Row],[Split]]</f>
        <v>(AS) Courtesy Hyundai/Nissan Tampa (NO TOURS)22</v>
      </c>
      <c r="B2201">
        <v>22</v>
      </c>
      <c r="C2201">
        <v>22</v>
      </c>
      <c r="D2201" t="s">
        <v>62</v>
      </c>
      <c r="E2201" t="s">
        <v>35</v>
      </c>
      <c r="F2201" t="s">
        <v>504</v>
      </c>
      <c r="G2201" t="s">
        <v>490</v>
      </c>
      <c r="H2201" s="52" t="str">
        <f>VLOOKUP(Tabla3[[#This Row],[Site]],'Important Info!'!$A$1:$J$135,10,FALSE)</f>
        <v>https://tools.sig.systems/site/details/128</v>
      </c>
      <c r="I2201" s="2"/>
      <c r="J2201" t="s">
        <v>484</v>
      </c>
      <c r="K2201" s="79" t="str">
        <f>VLOOKUP(Tabla3[[#This Row],[Site]],'Important Info!'!$A$1:$H$135,8,FALSE)</f>
        <v>-</v>
      </c>
      <c r="L2201" s="52" t="str">
        <f>VLOOKUP(Tabla3[[#This Row],[Site]],'Important Info!'!$A$1:$F$135,2,FALSE)</f>
        <v>1, 16, 25, 27, 32</v>
      </c>
      <c r="M2201" s="52" t="str">
        <f>VLOOKUP(Tabla3[[#This Row],[Site]],'Important Info!'!$A$1:$F$135,3,FALSE)</f>
        <v>-</v>
      </c>
      <c r="N2201" s="52" t="str">
        <f>VLOOKUP(Tabla3[[#This Row],[Site]],'Important Info!'!$A$1:$F$135,4,FALSE)</f>
        <v>-</v>
      </c>
      <c r="O2201" s="52" t="str">
        <f>VLOOKUP(Tabla3[[#This Row],[Site]],'Important Info!'!$A$1:$F$135,5,FALSE)</f>
        <v>4, 10, 16</v>
      </c>
      <c r="P2201" s="52" t="str">
        <f>VLOOKUP(Tabla3[[#This Row],[Site]],'Important Info!'!$A$1:$F$135,6,FALSE)</f>
        <v>24, 25, 26 &amp; Remote Lots</v>
      </c>
      <c r="Q2201" s="91">
        <f>VLOOKUP(Tabla3[[#This Row],[Site]],'Important Info!'!$A$1:$J$135,9,FALSE)</f>
        <v>128</v>
      </c>
    </row>
    <row r="2202" spans="1:17" x14ac:dyDescent="0.25">
      <c r="A2202" t="str">
        <f>+Tabla3[[#This Row],[Site]]&amp;Tabla3[[#This Row],[Split]]</f>
        <v>(AS) Park Place JLR DFW Airport (NO TOURS)22</v>
      </c>
      <c r="B2202">
        <v>22</v>
      </c>
      <c r="C2202">
        <v>22</v>
      </c>
      <c r="D2202" t="s">
        <v>33</v>
      </c>
      <c r="E2202" t="s">
        <v>46</v>
      </c>
      <c r="F2202" t="s">
        <v>516</v>
      </c>
      <c r="G2202" t="s">
        <v>34</v>
      </c>
      <c r="H2202" s="52" t="str">
        <f>VLOOKUP(Tabla3[[#This Row],[Site]],'Important Info!'!$A$1:$J$135,10,FALSE)</f>
        <v>https://tools.sig.systems/site/details/135</v>
      </c>
      <c r="J2202" t="s">
        <v>41</v>
      </c>
      <c r="K2202" s="79" t="str">
        <f>VLOOKUP(Tabla3[[#This Row],[Site]],'Important Info!'!$A$1:$H$135,8,FALSE)</f>
        <v>-</v>
      </c>
      <c r="L2202" s="52" t="str">
        <f>VLOOKUP(Tabla3[[#This Row],[Site]],'Important Info!'!$A$1:$F$135,2,FALSE)</f>
        <v>6, 7, 18</v>
      </c>
      <c r="M2202" s="52" t="str">
        <f>VLOOKUP(Tabla3[[#This Row],[Site]],'Important Info!'!$A$1:$F$135,3,FALSE)</f>
        <v>70, 79, 80</v>
      </c>
      <c r="N2202" s="52" t="str">
        <f>VLOOKUP(Tabla3[[#This Row],[Site]],'Important Info!'!$A$1:$F$135,4,FALSE)</f>
        <v>83, 84</v>
      </c>
      <c r="O2202" s="52" t="str">
        <f>VLOOKUP(Tabla3[[#This Row],[Site]],'Important Info!'!$A$1:$F$135,5,FALSE)</f>
        <v>3, 8, 14, 81</v>
      </c>
      <c r="P2202" s="52">
        <f>VLOOKUP(Tabla3[[#This Row],[Site]],'Important Info!'!$A$1:$F$135,6,FALSE)</f>
        <v>6</v>
      </c>
      <c r="Q2202" s="91">
        <f>VLOOKUP(Tabla3[[#This Row],[Site]],'Important Info!'!$A$1:$J$135,9,FALSE)</f>
        <v>135</v>
      </c>
    </row>
    <row r="2203" spans="1:17" x14ac:dyDescent="0.25">
      <c r="A2203" t="str">
        <f>+Tabla3[[#This Row],[Site]]&amp;Tabla3[[#This Row],[Split]]</f>
        <v>(AS) Plaza Audi/Infiniti (NO TOURS)22</v>
      </c>
      <c r="B2203">
        <v>22</v>
      </c>
      <c r="C2203">
        <v>22</v>
      </c>
      <c r="D2203" t="s">
        <v>33</v>
      </c>
      <c r="E2203" t="s">
        <v>46</v>
      </c>
      <c r="F2203" t="s">
        <v>91</v>
      </c>
      <c r="G2203" t="s">
        <v>34</v>
      </c>
      <c r="H2203" s="52" t="str">
        <f>VLOOKUP(Tabla3[[#This Row],[Site]],'Important Info!'!$A$1:$J$135,10,FALSE)</f>
        <v>https://tools.sig.systems/site/details/141</v>
      </c>
      <c r="I2203" t="s">
        <v>130</v>
      </c>
      <c r="J2203" t="s">
        <v>41</v>
      </c>
      <c r="K2203" s="79" t="str">
        <f>VLOOKUP(Tabla3[[#This Row],[Site]],'Important Info!'!$A$1:$H$135,8,FALSE)</f>
        <v>-</v>
      </c>
      <c r="L2203" s="52" t="str">
        <f>VLOOKUP(Tabla3[[#This Row],[Site]],'Important Info!'!$A$1:$F$135,2,FALSE)</f>
        <v>7, 25</v>
      </c>
      <c r="M2203" s="52" t="str">
        <f>VLOOKUP(Tabla3[[#This Row],[Site]],'Important Info!'!$A$1:$F$135,3,FALSE)</f>
        <v>15, 17, 18</v>
      </c>
      <c r="N2203" s="52" t="str">
        <f>VLOOKUP(Tabla3[[#This Row],[Site]],'Important Info!'!$A$1:$F$135,4,FALSE)</f>
        <v>-</v>
      </c>
      <c r="O2203" s="52" t="str">
        <f>VLOOKUP(Tabla3[[#This Row],[Site]],'Important Info!'!$A$1:$F$135,5,FALSE)</f>
        <v>1, 24</v>
      </c>
      <c r="P2203" s="52" t="str">
        <f>VLOOKUP(Tabla3[[#This Row],[Site]],'Important Info!'!$A$1:$F$135,6,FALSE)</f>
        <v>3, 15, 17</v>
      </c>
      <c r="Q2203" s="91">
        <f>VLOOKUP(Tabla3[[#This Row],[Site]],'Important Info!'!$A$1:$J$135,9,FALSE)</f>
        <v>141</v>
      </c>
    </row>
    <row r="2204" spans="1:17" x14ac:dyDescent="0.25">
      <c r="A2204" t="str">
        <f>+Tabla3[[#This Row],[Site]]&amp;Tabla3[[#This Row],[Split]]</f>
        <v>(DT) Escondido22</v>
      </c>
      <c r="B2204">
        <v>22</v>
      </c>
      <c r="C2204">
        <v>22</v>
      </c>
      <c r="D2204" t="s">
        <v>51</v>
      </c>
      <c r="E2204" t="s">
        <v>159</v>
      </c>
      <c r="F2204" t="s">
        <v>112</v>
      </c>
      <c r="G2204" t="s">
        <v>164</v>
      </c>
      <c r="H2204" s="52" t="str">
        <f>VLOOKUP(Tabla3[[#This Row],[Site]],'Important Info!'!$A$1:$J$135,10,FALSE)</f>
        <v>https://tools.sig.systems/site/details/196</v>
      </c>
      <c r="I2204" s="2"/>
      <c r="J2204" t="s">
        <v>41</v>
      </c>
      <c r="K2204" s="79" t="str">
        <f>VLOOKUP(Tabla3[[#This Row],[Site]],'Important Info!'!$A$1:$H$135,8,FALSE)</f>
        <v>Saturday Drop Time 9:00 A.M.</v>
      </c>
      <c r="L2204" s="52" t="str">
        <f>VLOOKUP(Tabla3[[#This Row],[Site]],'Important Info!'!$A$1:$F$135,2,FALSE)</f>
        <v>1, 2</v>
      </c>
      <c r="M2204" s="52" t="str">
        <f>VLOOKUP(Tabla3[[#This Row],[Site]],'Important Info!'!$A$1:$F$135,3,FALSE)</f>
        <v>-</v>
      </c>
      <c r="N2204" s="52" t="str">
        <f>VLOOKUP(Tabla3[[#This Row],[Site]],'Important Info!'!$A$1:$F$135,4,FALSE)</f>
        <v>-</v>
      </c>
      <c r="O2204" s="52" t="str">
        <f>VLOOKUP(Tabla3[[#This Row],[Site]],'Important Info!'!$A$1:$F$135,5,FALSE)</f>
        <v>-</v>
      </c>
      <c r="P2204" s="52" t="str">
        <f>VLOOKUP(Tabla3[[#This Row],[Site]],'Important Info!'!$A$1:$F$135,6,FALSE)</f>
        <v>5, 7, 8</v>
      </c>
      <c r="Q2204" s="91">
        <f>VLOOKUP(Tabla3[[#This Row],[Site]],'Important Info!'!$A$1:$J$135,9,FALSE)</f>
        <v>196</v>
      </c>
    </row>
    <row r="2205" spans="1:17" x14ac:dyDescent="0.25">
      <c r="A2205" t="str">
        <f>+Tabla3[[#This Row],[Site]]&amp;Tabla3[[#This Row],[Split]]</f>
        <v>(RV) Sonny's Camp N Travel Concord22</v>
      </c>
      <c r="B2205">
        <v>22</v>
      </c>
      <c r="C2205">
        <v>22</v>
      </c>
      <c r="D2205" t="s">
        <v>62</v>
      </c>
      <c r="E2205" t="s">
        <v>35</v>
      </c>
      <c r="F2205" t="s">
        <v>188</v>
      </c>
      <c r="G2205" t="s">
        <v>490</v>
      </c>
      <c r="H2205" s="52" t="str">
        <f>VLOOKUP(Tabla3[[#This Row],[Site]],'Important Info!'!$A$1:$J$135,10,FALSE)</f>
        <v>https://tools.sig.systems/site/details/183</v>
      </c>
      <c r="J2205" t="s">
        <v>41</v>
      </c>
      <c r="K2205" s="79" t="str">
        <f>VLOOKUP(Tabla3[[#This Row],[Site]],'Important Info!'!$A$1:$H$135,8,FALSE)</f>
        <v>-</v>
      </c>
      <c r="L2205" s="52">
        <f>VLOOKUP(Tabla3[[#This Row],[Site]],'Important Info!'!$A$1:$F$135,2,FALSE)</f>
        <v>1</v>
      </c>
      <c r="M2205" s="52" t="str">
        <f>VLOOKUP(Tabla3[[#This Row],[Site]],'Important Info!'!$A$1:$F$135,3,FALSE)</f>
        <v>-</v>
      </c>
      <c r="N2205" s="52" t="str">
        <f>VLOOKUP(Tabla3[[#This Row],[Site]],'Important Info!'!$A$1:$F$135,4,FALSE)</f>
        <v>-</v>
      </c>
      <c r="O2205" s="52">
        <f>VLOOKUP(Tabla3[[#This Row],[Site]],'Important Info!'!$A$1:$F$135,5,FALSE)</f>
        <v>7</v>
      </c>
      <c r="P2205" s="52" t="str">
        <f>VLOOKUP(Tabla3[[#This Row],[Site]],'Important Info!'!$A$1:$F$135,6,FALSE)</f>
        <v>6, 7, 8, 9</v>
      </c>
      <c r="Q2205" s="91">
        <f>VLOOKUP(Tabla3[[#This Row],[Site]],'Important Info!'!$A$1:$J$135,9,FALSE)</f>
        <v>183</v>
      </c>
    </row>
    <row r="2206" spans="1:17" x14ac:dyDescent="0.25">
      <c r="A2206" t="str">
        <f>+Tabla3[[#This Row],[Site]]&amp;Tabla3[[#This Row],[Split]]</f>
        <v>(AS) Park Place Bodywerks Ft. Worth (NO TOURS)23</v>
      </c>
      <c r="B2206">
        <v>23</v>
      </c>
      <c r="C2206">
        <v>1</v>
      </c>
      <c r="D2206" t="s">
        <v>33</v>
      </c>
      <c r="E2206" t="s">
        <v>46</v>
      </c>
      <c r="F2206" t="s">
        <v>515</v>
      </c>
      <c r="G2206" t="s">
        <v>34</v>
      </c>
      <c r="H2206" s="52" t="str">
        <f>VLOOKUP(Tabla3[[#This Row],[Site]],'Important Info!'!$A$1:$J$135,10,FALSE)</f>
        <v>https://tools.sig.systems/site/details/134</v>
      </c>
      <c r="I2206" s="65" t="s">
        <v>128</v>
      </c>
      <c r="J2206" t="s">
        <v>41</v>
      </c>
      <c r="K2206" s="79" t="str">
        <f>VLOOKUP(Tabla3[[#This Row],[Site]],'Important Info!'!$A$1:$H$135,8,FALSE)</f>
        <v>-</v>
      </c>
      <c r="L2206" s="52" t="str">
        <f>VLOOKUP(Tabla3[[#This Row],[Site]],'Important Info!'!$A$1:$F$135,2,FALSE)</f>
        <v>2, 3, RemoteLot5, RemoteLot9</v>
      </c>
      <c r="M2206" s="52" t="str">
        <f>VLOOKUP(Tabla3[[#This Row],[Site]],'Important Info!'!$A$1:$F$135,3,FALSE)</f>
        <v>-</v>
      </c>
      <c r="N2206" s="52" t="str">
        <f>VLOOKUP(Tabla3[[#This Row],[Site]],'Important Info!'!$A$1:$F$135,4,FALSE)</f>
        <v>-</v>
      </c>
      <c r="O2206" s="52" t="str">
        <f>VLOOKUP(Tabla3[[#This Row],[Site]],'Important Info!'!$A$1:$F$135,5,FALSE)</f>
        <v>1, 7, RL1, RL5, RL9</v>
      </c>
      <c r="P2206" s="52" t="str">
        <f>VLOOKUP(Tabla3[[#This Row],[Site]],'Important Info!'!$A$1:$F$135,6,FALSE)</f>
        <v>3, 4, 15</v>
      </c>
      <c r="Q2206" s="91">
        <f>VLOOKUP(Tabla3[[#This Row],[Site]],'Important Info!'!$A$1:$J$135,9,FALSE)</f>
        <v>134</v>
      </c>
    </row>
    <row r="2207" spans="1:17" x14ac:dyDescent="0.25">
      <c r="A2207" t="str">
        <f>+Tabla3[[#This Row],[Site]]&amp;Tabla3[[#This Row],[Split]]</f>
        <v>(DT) Louisville23</v>
      </c>
      <c r="B2207">
        <v>23</v>
      </c>
      <c r="C2207">
        <v>1</v>
      </c>
      <c r="D2207" t="s">
        <v>62</v>
      </c>
      <c r="E2207" t="s">
        <v>35</v>
      </c>
      <c r="F2207" t="s">
        <v>99</v>
      </c>
      <c r="G2207" t="s">
        <v>490</v>
      </c>
      <c r="H2207" s="52" t="str">
        <f>VLOOKUP(Tabla3[[#This Row],[Site]],'Important Info!'!$A$1:$J$135,10,FALSE)</f>
        <v>https://tools.sig.systems/site/details/258</v>
      </c>
      <c r="J2207" t="s">
        <v>41</v>
      </c>
      <c r="K2207" s="79" t="str">
        <f>VLOOKUP(Tabla3[[#This Row],[Site]],'Important Info!'!$A$1:$H$135,8,FALSE)</f>
        <v>-</v>
      </c>
      <c r="L2207" s="52" t="str">
        <f>VLOOKUP(Tabla3[[#This Row],[Site]],'Important Info!'!$A$1:$F$135,2,FALSE)</f>
        <v>-</v>
      </c>
      <c r="M2207" s="52">
        <f>VLOOKUP(Tabla3[[#This Row],[Site]],'Important Info!'!$A$1:$F$135,3,FALSE)</f>
        <v>3</v>
      </c>
      <c r="N2207" s="52" t="str">
        <f>VLOOKUP(Tabla3[[#This Row],[Site]],'Important Info!'!$A$1:$F$135,4,FALSE)</f>
        <v>-</v>
      </c>
      <c r="O2207" s="52" t="str">
        <f>VLOOKUP(Tabla3[[#This Row],[Site]],'Important Info!'!$A$1:$F$135,5,FALSE)</f>
        <v>-</v>
      </c>
      <c r="P2207" s="52" t="str">
        <f>VLOOKUP(Tabla3[[#This Row],[Site]],'Important Info!'!$A$1:$F$135,6,FALSE)</f>
        <v>3, 8</v>
      </c>
      <c r="Q2207" s="91">
        <f>VLOOKUP(Tabla3[[#This Row],[Site]],'Important Info!'!$A$1:$J$135,9,FALSE)</f>
        <v>258</v>
      </c>
    </row>
    <row r="2208" spans="1:17" x14ac:dyDescent="0.25">
      <c r="A2208" t="str">
        <f>+Tabla3[[#This Row],[Site]]&amp;Tabla3[[#This Row],[Split]]</f>
        <v>(ML) Nissan Of Benton23</v>
      </c>
      <c r="B2208">
        <v>23</v>
      </c>
      <c r="C2208">
        <v>1</v>
      </c>
      <c r="D2208" t="s">
        <v>33</v>
      </c>
      <c r="E2208" t="s">
        <v>46</v>
      </c>
      <c r="F2208" t="s">
        <v>120</v>
      </c>
      <c r="G2208" t="s">
        <v>34</v>
      </c>
      <c r="H2208" s="52" t="str">
        <f>VLOOKUP(Tabla3[[#This Row],[Site]],'Important Info!'!$A$1:$J$135,10,FALSE)</f>
        <v>https://tools.sig.systems/site/details/247</v>
      </c>
      <c r="I2208" s="2"/>
      <c r="J2208" t="s">
        <v>41</v>
      </c>
      <c r="K2208" s="79" t="str">
        <f>VLOOKUP(Tabla3[[#This Row],[Site]],'Important Info!'!$A$1:$H$135,8,FALSE)</f>
        <v>-</v>
      </c>
      <c r="L2208" s="52" t="str">
        <f>VLOOKUP(Tabla3[[#This Row],[Site]],'Important Info!'!$A$1:$F$135,2,FALSE)</f>
        <v>5, 12</v>
      </c>
      <c r="M2208" s="52" t="str">
        <f>VLOOKUP(Tabla3[[#This Row],[Site]],'Important Info!'!$A$1:$F$135,3,FALSE)</f>
        <v>-</v>
      </c>
      <c r="N2208" s="52" t="str">
        <f>VLOOKUP(Tabla3[[#This Row],[Site]],'Important Info!'!$A$1:$F$135,4,FALSE)</f>
        <v>-</v>
      </c>
      <c r="O2208" s="52" t="str">
        <f>VLOOKUP(Tabla3[[#This Row],[Site]],'Important Info!'!$A$1:$F$135,5,FALSE)</f>
        <v>4, 18</v>
      </c>
      <c r="P2208" s="52" t="str">
        <f>VLOOKUP(Tabla3[[#This Row],[Site]],'Important Info!'!$A$1:$F$135,6,FALSE)</f>
        <v>-</v>
      </c>
      <c r="Q2208" s="91">
        <f>VLOOKUP(Tabla3[[#This Row],[Site]],'Important Info!'!$A$1:$J$135,9,FALSE)</f>
        <v>247</v>
      </c>
    </row>
    <row r="2209" spans="1:17" x14ac:dyDescent="0.25">
      <c r="A2209" t="str">
        <f>+Tabla3[[#This Row],[Site]]&amp;Tabla3[[#This Row],[Split]]</f>
        <v>(PE) Hudson Toyota Nissan CDJR (NO TOURS)23</v>
      </c>
      <c r="B2209">
        <v>23</v>
      </c>
      <c r="C2209">
        <v>1</v>
      </c>
      <c r="D2209" t="s">
        <v>485</v>
      </c>
      <c r="E2209" t="s">
        <v>35</v>
      </c>
      <c r="F2209" s="41" t="s">
        <v>82</v>
      </c>
      <c r="G2209" t="s">
        <v>490</v>
      </c>
      <c r="H2209" s="52" t="str">
        <f>VLOOKUP(Tabla3[[#This Row],[Site]],'Important Info!'!$A$1:$J$135,10,FALSE)</f>
        <v>https://tools.sig.systems/site/details/156</v>
      </c>
      <c r="J2209" t="s">
        <v>41</v>
      </c>
      <c r="K2209" s="79" t="str">
        <f>VLOOKUP(Tabla3[[#This Row],[Site]],'Important Info!'!$A$1:$H$135,8,FALSE)</f>
        <v>-</v>
      </c>
      <c r="L2209" s="52">
        <f>VLOOKUP(Tabla3[[#This Row],[Site]],'Important Info!'!$A$1:$F$135,2,FALSE)</f>
        <v>5</v>
      </c>
      <c r="M2209" s="52" t="str">
        <f>VLOOKUP(Tabla3[[#This Row],[Site]],'Important Info!'!$A$1:$F$135,3,FALSE)</f>
        <v>3, 7, 18</v>
      </c>
      <c r="N2209" s="52" t="str">
        <f>VLOOKUP(Tabla3[[#This Row],[Site]],'Important Info!'!$A$1:$F$135,4,FALSE)</f>
        <v>-</v>
      </c>
      <c r="O2209" s="52">
        <f>VLOOKUP(Tabla3[[#This Row],[Site]],'Important Info!'!$A$1:$F$135,5,FALSE)</f>
        <v>84</v>
      </c>
      <c r="P2209" s="52" t="str">
        <f>VLOOKUP(Tabla3[[#This Row],[Site]],'Important Info!'!$A$1:$F$135,6,FALSE)</f>
        <v>1, 2, 3, 4, 5, 6, 7, 8</v>
      </c>
      <c r="Q2209" s="91">
        <f>VLOOKUP(Tabla3[[#This Row],[Site]],'Important Info!'!$A$1:$J$135,9,FALSE)</f>
        <v>156</v>
      </c>
    </row>
    <row r="2210" spans="1:17" x14ac:dyDescent="0.25">
      <c r="A2210" t="str">
        <f>+Tabla3[[#This Row],[Site]]&amp;Tabla3[[#This Row],[Split]]</f>
        <v>(PE) Scofield Service Center (NO TOURS)23</v>
      </c>
      <c r="B2210">
        <v>23</v>
      </c>
      <c r="C2210">
        <v>1</v>
      </c>
      <c r="D2210" t="s">
        <v>485</v>
      </c>
      <c r="E2210" t="s">
        <v>35</v>
      </c>
      <c r="F2210" t="s">
        <v>83</v>
      </c>
      <c r="G2210" t="s">
        <v>490</v>
      </c>
      <c r="H2210" s="52" t="str">
        <f>VLOOKUP(Tabla3[[#This Row],[Site]],'Important Info!'!$A$1:$J$135,10,FALSE)</f>
        <v>https://tools.sig.systems/site/details/193</v>
      </c>
      <c r="I2210" t="s">
        <v>177</v>
      </c>
      <c r="J2210" t="s">
        <v>41</v>
      </c>
      <c r="K2210" s="79" t="str">
        <f>VLOOKUP(Tabla3[[#This Row],[Site]],'Important Info!'!$A$1:$H$135,8,FALSE)</f>
        <v>-</v>
      </c>
      <c r="L2210" s="52">
        <f>VLOOKUP(Tabla3[[#This Row],[Site]],'Important Info!'!$A$1:$F$135,2,FALSE)</f>
        <v>1</v>
      </c>
      <c r="M2210" s="52" t="str">
        <f>VLOOKUP(Tabla3[[#This Row],[Site]],'Important Info!'!$A$1:$F$135,3,FALSE)</f>
        <v>-</v>
      </c>
      <c r="N2210" s="52" t="str">
        <f>VLOOKUP(Tabla3[[#This Row],[Site]],'Important Info!'!$A$1:$F$135,4,FALSE)</f>
        <v>-</v>
      </c>
      <c r="O2210" s="52">
        <f>VLOOKUP(Tabla3[[#This Row],[Site]],'Important Info!'!$A$1:$F$135,5,FALSE)</f>
        <v>9</v>
      </c>
      <c r="P2210" s="52" t="str">
        <f>VLOOKUP(Tabla3[[#This Row],[Site]],'Important Info!'!$A$1:$F$135,6,FALSE)</f>
        <v>1, 17</v>
      </c>
      <c r="Q2210" s="91">
        <f>VLOOKUP(Tabla3[[#This Row],[Site]],'Important Info!'!$A$1:$J$135,9,FALSE)</f>
        <v>193</v>
      </c>
    </row>
    <row r="2211" spans="1:17" x14ac:dyDescent="0.25">
      <c r="A2211" t="str">
        <f>+Tabla3[[#This Row],[Site]]&amp;Tabla3[[#This Row],[Split]]</f>
        <v>(RV) Toms Camperland Avondale (NO TOURS)23</v>
      </c>
      <c r="B2211">
        <v>23</v>
      </c>
      <c r="C2211">
        <v>1</v>
      </c>
      <c r="D2211" t="s">
        <v>51</v>
      </c>
      <c r="E2211" t="s">
        <v>161</v>
      </c>
      <c r="F2211" t="s">
        <v>80</v>
      </c>
      <c r="G2211" t="s">
        <v>52</v>
      </c>
      <c r="H2211" s="52" t="str">
        <f>VLOOKUP(Tabla3[[#This Row],[Site]],'Important Info!'!$A$1:$J$135,10,FALSE)</f>
        <v>https://tools.sig.systems/site/details/248</v>
      </c>
      <c r="I2211" s="43" t="s">
        <v>163</v>
      </c>
      <c r="J2211" t="s">
        <v>164</v>
      </c>
      <c r="K2211" s="79" t="str">
        <f>VLOOKUP(Tabla3[[#This Row],[Site]],'Important Info!'!$A$1:$H$135,8,FALSE)</f>
        <v>-</v>
      </c>
      <c r="L2211" s="52">
        <f>VLOOKUP(Tabla3[[#This Row],[Site]],'Important Info!'!$A$1:$F$135,2,FALSE)</f>
        <v>10</v>
      </c>
      <c r="M2211" s="52" t="str">
        <f>VLOOKUP(Tabla3[[#This Row],[Site]],'Important Info!'!$A$1:$F$135,3,FALSE)</f>
        <v>2, 7</v>
      </c>
      <c r="N2211" s="52" t="str">
        <f>VLOOKUP(Tabla3[[#This Row],[Site]],'Important Info!'!$A$1:$F$135,4,FALSE)</f>
        <v>-</v>
      </c>
      <c r="O2211" s="52" t="str">
        <f>VLOOKUP(Tabla3[[#This Row],[Site]],'Important Info!'!$A$1:$F$135,5,FALSE)</f>
        <v>-</v>
      </c>
      <c r="P2211" s="52" t="str">
        <f>VLOOKUP(Tabla3[[#This Row],[Site]],'Important Info!'!$A$1:$F$135,6,FALSE)</f>
        <v>2, 7, 8, 13, 15</v>
      </c>
      <c r="Q2211" s="91">
        <f>VLOOKUP(Tabla3[[#This Row],[Site]],'Important Info!'!$A$1:$J$135,9,FALSE)</f>
        <v>248</v>
      </c>
    </row>
    <row r="2212" spans="1:17" x14ac:dyDescent="0.25">
      <c r="A2212" t="str">
        <f>+Tabla3[[#This Row],[Site]]&amp;Tabla3[[#This Row],[Split]]</f>
        <v>(AS) Bill Estes Ford (NO TOURS)23</v>
      </c>
      <c r="B2212">
        <v>23</v>
      </c>
      <c r="C2212">
        <v>2</v>
      </c>
      <c r="D2212" t="s">
        <v>62</v>
      </c>
      <c r="E2212" t="s">
        <v>35</v>
      </c>
      <c r="F2212" t="s">
        <v>178</v>
      </c>
      <c r="G2212" t="s">
        <v>490</v>
      </c>
      <c r="H2212" s="52" t="str">
        <f>VLOOKUP(Tabla3[[#This Row],[Site]],'Important Info!'!$A$1:$J$135,10,FALSE)</f>
        <v>https://tools.sig.systems/site/details/125</v>
      </c>
      <c r="J2212" t="s">
        <v>41</v>
      </c>
      <c r="K2212" s="79" t="str">
        <f>VLOOKUP(Tabla3[[#This Row],[Site]],'Important Info!'!$A$1:$H$135,8,FALSE)</f>
        <v>-</v>
      </c>
      <c r="L2212" s="52" t="str">
        <f>VLOOKUP(Tabla3[[#This Row],[Site]],'Important Info!'!$A$1:$F$135,2,FALSE)</f>
        <v>-</v>
      </c>
      <c r="M2212" s="52" t="str">
        <f>VLOOKUP(Tabla3[[#This Row],[Site]],'Important Info!'!$A$1:$F$135,3,FALSE)</f>
        <v>2, 3, 13, 16</v>
      </c>
      <c r="N2212" s="52" t="str">
        <f>VLOOKUP(Tabla3[[#This Row],[Site]],'Important Info!'!$A$1:$F$135,4,FALSE)</f>
        <v>-</v>
      </c>
      <c r="O2212" s="52" t="str">
        <f>VLOOKUP(Tabla3[[#This Row],[Site]],'Important Info!'!$A$1:$F$135,5,FALSE)</f>
        <v>1, 10, 14, 19</v>
      </c>
      <c r="P2212" s="52" t="str">
        <f>VLOOKUP(Tabla3[[#This Row],[Site]],'Important Info!'!$A$1:$F$135,6,FALSE)</f>
        <v>7, 8, 9, 10, 11, 12, 14</v>
      </c>
      <c r="Q2212" s="91">
        <f>VLOOKUP(Tabla3[[#This Row],[Site]],'Important Info!'!$A$1:$J$135,9,FALSE)</f>
        <v>125</v>
      </c>
    </row>
    <row r="2213" spans="1:17" x14ac:dyDescent="0.25">
      <c r="A2213" t="str">
        <f>+Tabla3[[#This Row],[Site]]&amp;Tabla3[[#This Row],[Split]]</f>
        <v>(JE) Jim Ellis Ford Sandy Springs23</v>
      </c>
      <c r="B2213">
        <v>23</v>
      </c>
      <c r="C2213">
        <v>2</v>
      </c>
      <c r="D2213" t="s">
        <v>62</v>
      </c>
      <c r="E2213" t="s">
        <v>35</v>
      </c>
      <c r="F2213" t="s">
        <v>187</v>
      </c>
      <c r="G2213" t="s">
        <v>490</v>
      </c>
      <c r="H2213" s="52" t="str">
        <f>VLOOKUP(Tabla3[[#This Row],[Site]],'Important Info!'!$A$1:$J$135,10,FALSE)</f>
        <v>https://tools.sig.systems/site/details/142</v>
      </c>
      <c r="I2213" s="43"/>
      <c r="J2213" t="s">
        <v>41</v>
      </c>
      <c r="K2213" s="79" t="str">
        <f>VLOOKUP(Tabla3[[#This Row],[Site]],'Important Info!'!$A$1:$H$135,8,FALSE)</f>
        <v>-</v>
      </c>
      <c r="L2213" s="52" t="str">
        <f>VLOOKUP(Tabla3[[#This Row],[Site]],'Important Info!'!$A$1:$F$135,2,FALSE)</f>
        <v>1, 5</v>
      </c>
      <c r="M2213" s="52" t="str">
        <f>VLOOKUP(Tabla3[[#This Row],[Site]],'Important Info!'!$A$1:$F$135,3,FALSE)</f>
        <v>-</v>
      </c>
      <c r="N2213" s="52" t="str">
        <f>VLOOKUP(Tabla3[[#This Row],[Site]],'Important Info!'!$A$1:$F$135,4,FALSE)</f>
        <v>-</v>
      </c>
      <c r="O2213" s="52" t="str">
        <f>VLOOKUP(Tabla3[[#This Row],[Site]],'Important Info!'!$A$1:$F$135,5,FALSE)</f>
        <v>1, 5, 9, 26</v>
      </c>
      <c r="P2213" s="52" t="str">
        <f>VLOOKUP(Tabla3[[#This Row],[Site]],'Important Info!'!$A$1:$F$135,6,FALSE)</f>
        <v>3, 4, 8, 28</v>
      </c>
      <c r="Q2213" s="91">
        <f>VLOOKUP(Tabla3[[#This Row],[Site]],'Important Info!'!$A$1:$J$135,9,FALSE)</f>
        <v>142</v>
      </c>
    </row>
    <row r="2214" spans="1:17" x14ac:dyDescent="0.25">
      <c r="A2214" t="str">
        <f>+Tabla3[[#This Row],[Site]]&amp;Tabla3[[#This Row],[Split]]</f>
        <v>(KG) Texan CDJR23</v>
      </c>
      <c r="B2214">
        <v>23</v>
      </c>
      <c r="C2214">
        <v>2</v>
      </c>
      <c r="D2214" t="s">
        <v>33</v>
      </c>
      <c r="E2214" t="s">
        <v>46</v>
      </c>
      <c r="F2214" t="s">
        <v>70</v>
      </c>
      <c r="G2214" t="s">
        <v>34</v>
      </c>
      <c r="H2214" s="52" t="str">
        <f>VLOOKUP(Tabla3[[#This Row],[Site]],'Important Info!'!$A$1:$J$135,10,FALSE)</f>
        <v>https://tools.sig.systems/site/details/238</v>
      </c>
      <c r="I2214" s="43" t="s">
        <v>137</v>
      </c>
      <c r="J2214" t="s">
        <v>41</v>
      </c>
      <c r="K2214" s="79" t="str">
        <f>VLOOKUP(Tabla3[[#This Row],[Site]],'Important Info!'!$A$1:$H$135,8,FALSE)</f>
        <v>-</v>
      </c>
      <c r="L2214" s="52" t="str">
        <f>VLOOKUP(Tabla3[[#This Row],[Site]],'Important Info!'!$A$1:$F$135,2,FALSE)</f>
        <v>11, 12, 13, 14, 20, 32, 34, 36, 77</v>
      </c>
      <c r="M2214" s="52" t="str">
        <f>VLOOKUP(Tabla3[[#This Row],[Site]],'Important Info!'!$A$1:$F$135,3,FALSE)</f>
        <v>-</v>
      </c>
      <c r="N2214" s="52" t="str">
        <f>VLOOKUP(Tabla3[[#This Row],[Site]],'Important Info!'!$A$1:$F$135,4,FALSE)</f>
        <v>67, 68, 69, 70</v>
      </c>
      <c r="O2214" s="52" t="str">
        <f>VLOOKUP(Tabla3[[#This Row],[Site]],'Important Info!'!$A$1:$F$135,5,FALSE)</f>
        <v>2, 10, 14, 25, 29, 35, 38</v>
      </c>
      <c r="P2214" s="52" t="str">
        <f>VLOOKUP(Tabla3[[#This Row],[Site]],'Important Info!'!$A$1:$F$135,6,FALSE)</f>
        <v>36, 46</v>
      </c>
      <c r="Q2214" s="91">
        <f>VLOOKUP(Tabla3[[#This Row],[Site]],'Important Info!'!$A$1:$J$135,9,FALSE)</f>
        <v>238</v>
      </c>
    </row>
    <row r="2215" spans="1:17" x14ac:dyDescent="0.25">
      <c r="A2215" t="str">
        <f>+Tabla3[[#This Row],[Site]]&amp;Tabla3[[#This Row],[Split]]</f>
        <v>(ML) Columbia Honda (NO TOURS)23</v>
      </c>
      <c r="B2215">
        <v>23</v>
      </c>
      <c r="C2215">
        <v>2</v>
      </c>
      <c r="D2215" t="s">
        <v>33</v>
      </c>
      <c r="E2215" t="s">
        <v>46</v>
      </c>
      <c r="F2215" t="s">
        <v>143</v>
      </c>
      <c r="G2215" t="s">
        <v>34</v>
      </c>
      <c r="H2215" s="52" t="str">
        <f>VLOOKUP(Tabla3[[#This Row],[Site]],'Important Info!'!$A$1:$J$135,10,FALSE)</f>
        <v>https://tools.sig.systems/site/details/272</v>
      </c>
      <c r="I2215" s="43" t="s">
        <v>144</v>
      </c>
      <c r="J2215" t="s">
        <v>41</v>
      </c>
      <c r="K2215" s="79" t="str">
        <f>VLOOKUP(Tabla3[[#This Row],[Site]],'Important Info!'!$A$1:$H$135,8,FALSE)</f>
        <v>-</v>
      </c>
      <c r="L2215" s="52" t="str">
        <f>VLOOKUP(Tabla3[[#This Row],[Site]],'Important Info!'!$A$1:$F$135,2,FALSE)</f>
        <v>-</v>
      </c>
      <c r="M2215" s="52" t="str">
        <f>VLOOKUP(Tabla3[[#This Row],[Site]],'Important Info!'!$A$1:$F$135,3,FALSE)</f>
        <v>9, 19, 20</v>
      </c>
      <c r="N2215" s="52" t="str">
        <f>VLOOKUP(Tabla3[[#This Row],[Site]],'Important Info!'!$A$1:$F$135,4,FALSE)</f>
        <v>-</v>
      </c>
      <c r="O2215" s="52" t="str">
        <f>VLOOKUP(Tabla3[[#This Row],[Site]],'Important Info!'!$A$1:$F$135,5,FALSE)</f>
        <v>10, 17, 19</v>
      </c>
      <c r="P2215" s="52" t="str">
        <f>VLOOKUP(Tabla3[[#This Row],[Site]],'Important Info!'!$A$1:$F$135,6,FALSE)</f>
        <v>3, 4, 5</v>
      </c>
      <c r="Q2215" s="91">
        <f>VLOOKUP(Tabla3[[#This Row],[Site]],'Important Info!'!$A$1:$J$135,9,FALSE)</f>
        <v>272</v>
      </c>
    </row>
    <row r="2216" spans="1:17" x14ac:dyDescent="0.25">
      <c r="A2216" t="str">
        <f>+Tabla3[[#This Row],[Site]]&amp;Tabla3[[#This Row],[Split]]</f>
        <v>(RV) Toms Camperland Mesa (NO TOURS)23</v>
      </c>
      <c r="B2216">
        <v>23</v>
      </c>
      <c r="C2216">
        <v>2</v>
      </c>
      <c r="D2216" t="s">
        <v>51</v>
      </c>
      <c r="E2216" t="s">
        <v>161</v>
      </c>
      <c r="F2216" t="s">
        <v>81</v>
      </c>
      <c r="G2216" t="s">
        <v>52</v>
      </c>
      <c r="H2216" s="52" t="str">
        <f>VLOOKUP(Tabla3[[#This Row],[Site]],'Important Info!'!$A$1:$J$135,10,FALSE)</f>
        <v>https://tools.sig.systems/site/details/222</v>
      </c>
      <c r="J2216" t="s">
        <v>41</v>
      </c>
      <c r="K2216" s="79" t="str">
        <f>VLOOKUP(Tabla3[[#This Row],[Site]],'Important Info!'!$A$1:$H$135,8,FALSE)</f>
        <v>-</v>
      </c>
      <c r="L2216" s="52" t="str">
        <f>VLOOKUP(Tabla3[[#This Row],[Site]],'Important Info!'!$A$1:$F$135,2,FALSE)</f>
        <v>1, 2</v>
      </c>
      <c r="M2216" s="52" t="str">
        <f>VLOOKUP(Tabla3[[#This Row],[Site]],'Important Info!'!$A$1:$F$135,3,FALSE)</f>
        <v>-</v>
      </c>
      <c r="N2216" s="52" t="str">
        <f>VLOOKUP(Tabla3[[#This Row],[Site]],'Important Info!'!$A$1:$F$135,4,FALSE)</f>
        <v>-</v>
      </c>
      <c r="O2216" s="52" t="str">
        <f>VLOOKUP(Tabla3[[#This Row],[Site]],'Important Info!'!$A$1:$F$135,5,FALSE)</f>
        <v>-</v>
      </c>
      <c r="P2216" s="52" t="str">
        <f>VLOOKUP(Tabla3[[#This Row],[Site]],'Important Info!'!$A$1:$F$135,6,FALSE)</f>
        <v>1, 4, 6, 8, 10, 18</v>
      </c>
      <c r="Q2216" s="91">
        <f>VLOOKUP(Tabla3[[#This Row],[Site]],'Important Info!'!$A$1:$J$135,9,FALSE)</f>
        <v>222</v>
      </c>
    </row>
    <row r="2217" spans="1:17" x14ac:dyDescent="0.25">
      <c r="A2217" t="str">
        <f>+Tabla3[[#This Row],[Site]]&amp;Tabla3[[#This Row],[Split]]</f>
        <v>(AS) Park Place Mercedes Benz Arlington (NO TOURS)23</v>
      </c>
      <c r="B2217">
        <v>23</v>
      </c>
      <c r="C2217">
        <v>3</v>
      </c>
      <c r="D2217" t="s">
        <v>33</v>
      </c>
      <c r="E2217" t="s">
        <v>46</v>
      </c>
      <c r="F2217" t="s">
        <v>518</v>
      </c>
      <c r="G2217" t="s">
        <v>34</v>
      </c>
      <c r="H2217" s="52" t="str">
        <f>VLOOKUP(Tabla3[[#This Row],[Site]],'Important Info!'!$A$1:$J$135,10,FALSE)</f>
        <v>https://tools.sig.systems/site/details/169</v>
      </c>
      <c r="J2217" t="s">
        <v>41</v>
      </c>
      <c r="K2217" s="79" t="str">
        <f>VLOOKUP(Tabla3[[#This Row],[Site]],'Important Info!'!$A$1:$H$135,8,FALSE)</f>
        <v>-</v>
      </c>
      <c r="L2217" s="52" t="str">
        <f>VLOOKUP(Tabla3[[#This Row],[Site]],'Important Info!'!$A$1:$F$135,2,FALSE)</f>
        <v>1, 9, 14</v>
      </c>
      <c r="M2217" s="52" t="str">
        <f>VLOOKUP(Tabla3[[#This Row],[Site]],'Important Info!'!$A$1:$F$135,3,FALSE)</f>
        <v>-</v>
      </c>
      <c r="N2217" s="52" t="str">
        <f>VLOOKUP(Tabla3[[#This Row],[Site]],'Important Info!'!$A$1:$F$135,4,FALSE)</f>
        <v>77, 78, 79, 80</v>
      </c>
      <c r="O2217" s="52" t="str">
        <f>VLOOKUP(Tabla3[[#This Row],[Site]],'Important Info!'!$A$1:$F$135,5,FALSE)</f>
        <v>2, 10, 18, 22, 31, 40</v>
      </c>
      <c r="P2217" s="52">
        <f>VLOOKUP(Tabla3[[#This Row],[Site]],'Important Info!'!$A$1:$F$135,6,FALSE)</f>
        <v>9</v>
      </c>
      <c r="Q2217" s="91">
        <f>VLOOKUP(Tabla3[[#This Row],[Site]],'Important Info!'!$A$1:$J$135,9,FALSE)</f>
        <v>169</v>
      </c>
    </row>
    <row r="2218" spans="1:17" x14ac:dyDescent="0.25">
      <c r="A2218" t="str">
        <f>+Tabla3[[#This Row],[Site]]&amp;Tabla3[[#This Row],[Split]]</f>
        <v>(KG) Texan GMC Buick (NO TOURS)23</v>
      </c>
      <c r="B2218">
        <v>23</v>
      </c>
      <c r="C2218">
        <v>3</v>
      </c>
      <c r="D2218" t="s">
        <v>33</v>
      </c>
      <c r="E2218" t="s">
        <v>46</v>
      </c>
      <c r="F2218" t="s">
        <v>111</v>
      </c>
      <c r="G2218" t="s">
        <v>34</v>
      </c>
      <c r="H2218" s="52" t="str">
        <f>VLOOKUP(Tabla3[[#This Row],[Site]],'Important Info!'!$A$1:$J$135,10,FALSE)</f>
        <v>https://tools.sig.systems/site/details/225</v>
      </c>
      <c r="I2218" s="2" t="s">
        <v>137</v>
      </c>
      <c r="J2218" t="s">
        <v>41</v>
      </c>
      <c r="K2218" s="79" t="str">
        <f>VLOOKUP(Tabla3[[#This Row],[Site]],'Important Info!'!$A$1:$H$135,8,FALSE)</f>
        <v>-</v>
      </c>
      <c r="L2218" s="52" t="str">
        <f>VLOOKUP(Tabla3[[#This Row],[Site]],'Important Info!'!$A$1:$F$135,2,FALSE)</f>
        <v>1, 20, 53</v>
      </c>
      <c r="M2218" s="52" t="str">
        <f>VLOOKUP(Tabla3[[#This Row],[Site]],'Important Info!'!$A$1:$F$135,3,FALSE)</f>
        <v>-</v>
      </c>
      <c r="N2218" s="52" t="str">
        <f>VLOOKUP(Tabla3[[#This Row],[Site]],'Important Info!'!$A$1:$F$135,4,FALSE)</f>
        <v>-</v>
      </c>
      <c r="O2218" s="52" t="str">
        <f>VLOOKUP(Tabla3[[#This Row],[Site]],'Important Info!'!$A$1:$F$135,5,FALSE)</f>
        <v>2, 8, 14</v>
      </c>
      <c r="P2218" s="52" t="str">
        <f>VLOOKUP(Tabla3[[#This Row],[Site]],'Important Info!'!$A$1:$F$135,6,FALSE)</f>
        <v>51, 52, 16</v>
      </c>
      <c r="Q2218" s="91">
        <f>VLOOKUP(Tabla3[[#This Row],[Site]],'Important Info!'!$A$1:$J$135,9,FALSE)</f>
        <v>225</v>
      </c>
    </row>
    <row r="2219" spans="1:17" x14ac:dyDescent="0.25">
      <c r="A2219" t="str">
        <f>+Tabla3[[#This Row],[Site]]&amp;Tabla3[[#This Row],[Split]]</f>
        <v>(LM) Luther Mazda / Mitsubishi23</v>
      </c>
      <c r="B2219">
        <v>23</v>
      </c>
      <c r="C2219">
        <v>3</v>
      </c>
      <c r="D2219" t="s">
        <v>33</v>
      </c>
      <c r="E2219" t="s">
        <v>46</v>
      </c>
      <c r="F2219" t="s">
        <v>103</v>
      </c>
      <c r="G2219" t="s">
        <v>34</v>
      </c>
      <c r="H2219" s="52" t="str">
        <f>VLOOKUP(Tabla3[[#This Row],[Site]],'Important Info!'!$A$1:$J$135,10,FALSE)</f>
        <v>https://tools.sig.systems/site/details/147</v>
      </c>
      <c r="I2219" s="43" t="s">
        <v>138</v>
      </c>
      <c r="J2219" t="s">
        <v>41</v>
      </c>
      <c r="K2219" s="79" t="str">
        <f>VLOOKUP(Tabla3[[#This Row],[Site]],'Important Info!'!$A$1:$H$135,8,FALSE)</f>
        <v>-</v>
      </c>
      <c r="L2219" s="52" t="str">
        <f>VLOOKUP(Tabla3[[#This Row],[Site]],'Important Info!'!$A$1:$F$135,2,FALSE)</f>
        <v>4, 5, 6</v>
      </c>
      <c r="M2219" s="52" t="str">
        <f>VLOOKUP(Tabla3[[#This Row],[Site]],'Important Info!'!$A$1:$F$135,3,FALSE)</f>
        <v>-</v>
      </c>
      <c r="N2219" s="52" t="str">
        <f>VLOOKUP(Tabla3[[#This Row],[Site]],'Important Info!'!$A$1:$F$135,4,FALSE)</f>
        <v>1, 2</v>
      </c>
      <c r="O2219" s="52" t="str">
        <f>VLOOKUP(Tabla3[[#This Row],[Site]],'Important Info!'!$A$1:$F$135,5,FALSE)</f>
        <v>-</v>
      </c>
      <c r="P2219" s="52" t="str">
        <f>VLOOKUP(Tabla3[[#This Row],[Site]],'Important Info!'!$A$1:$F$135,6,FALSE)</f>
        <v>13, 14, 15, 16</v>
      </c>
      <c r="Q2219" s="91">
        <f>VLOOKUP(Tabla3[[#This Row],[Site]],'Important Info!'!$A$1:$J$135,9,FALSE)</f>
        <v>147</v>
      </c>
    </row>
    <row r="2220" spans="1:17" x14ac:dyDescent="0.25">
      <c r="A2220" t="str">
        <f>+Tabla3[[#This Row],[Site]]&amp;Tabla3[[#This Row],[Split]]</f>
        <v>(ML) Joe Machens CDJR23</v>
      </c>
      <c r="B2220">
        <v>23</v>
      </c>
      <c r="C2220">
        <v>3</v>
      </c>
      <c r="D2220" t="s">
        <v>33</v>
      </c>
      <c r="E2220" t="s">
        <v>46</v>
      </c>
      <c r="F2220" t="s">
        <v>88</v>
      </c>
      <c r="G2220" t="s">
        <v>34</v>
      </c>
      <c r="H2220" s="52" t="str">
        <f>VLOOKUP(Tabla3[[#This Row],[Site]],'Important Info!'!$A$1:$J$135,10,FALSE)</f>
        <v>https://tools.sig.systems/site/details/273</v>
      </c>
      <c r="I2220" s="43" t="s">
        <v>146</v>
      </c>
      <c r="J2220" t="s">
        <v>41</v>
      </c>
      <c r="K2220" s="79" t="str">
        <f>VLOOKUP(Tabla3[[#This Row],[Site]],'Important Info!'!$A$1:$H$135,8,FALSE)</f>
        <v>-</v>
      </c>
      <c r="L2220" s="52" t="str">
        <f>VLOOKUP(Tabla3[[#This Row],[Site]],'Important Info!'!$A$1:$F$135,2,FALSE)</f>
        <v>-</v>
      </c>
      <c r="M2220" s="52">
        <f>VLOOKUP(Tabla3[[#This Row],[Site]],'Important Info!'!$A$1:$F$135,3,FALSE)</f>
        <v>3</v>
      </c>
      <c r="N2220" s="52" t="str">
        <f>VLOOKUP(Tabla3[[#This Row],[Site]],'Important Info!'!$A$1:$F$135,4,FALSE)</f>
        <v>-</v>
      </c>
      <c r="O2220" s="52" t="str">
        <f>VLOOKUP(Tabla3[[#This Row],[Site]],'Important Info!'!$A$1:$F$135,5,FALSE)</f>
        <v>-</v>
      </c>
      <c r="P2220" s="52" t="str">
        <f>VLOOKUP(Tabla3[[#This Row],[Site]],'Important Info!'!$A$1:$F$135,6,FALSE)</f>
        <v>1, 2, 3,</v>
      </c>
      <c r="Q2220" s="91">
        <f>VLOOKUP(Tabla3[[#This Row],[Site]],'Important Info!'!$A$1:$J$135,9,FALSE)</f>
        <v>273</v>
      </c>
    </row>
    <row r="2221" spans="1:17" x14ac:dyDescent="0.25">
      <c r="A2221" t="str">
        <f>+Tabla3[[#This Row],[Site]]&amp;Tabla3[[#This Row],[Split]]</f>
        <v>(PE) BMW of Greenwich (NO TOURS)23</v>
      </c>
      <c r="B2221">
        <v>23</v>
      </c>
      <c r="C2221">
        <v>3</v>
      </c>
      <c r="D2221" t="s">
        <v>485</v>
      </c>
      <c r="E2221" t="s">
        <v>35</v>
      </c>
      <c r="F2221" t="s">
        <v>170</v>
      </c>
      <c r="G2221" t="s">
        <v>490</v>
      </c>
      <c r="H2221" s="52" t="str">
        <f>VLOOKUP(Tabla3[[#This Row],[Site]],'Important Info!'!$A$1:$J$135,10,FALSE)</f>
        <v>https://tools.sig.systems/site/details/186</v>
      </c>
      <c r="I2221" s="2" t="s">
        <v>171</v>
      </c>
      <c r="J2221" t="s">
        <v>41</v>
      </c>
      <c r="K2221" s="79" t="str">
        <f>VLOOKUP(Tabla3[[#This Row],[Site]],'Important Info!'!$A$1:$H$135,8,FALSE)</f>
        <v>-</v>
      </c>
      <c r="L2221" s="52" t="str">
        <f>VLOOKUP(Tabla3[[#This Row],[Site]],'Important Info!'!$A$1:$F$135,2,FALSE)</f>
        <v>1, 6, 15</v>
      </c>
      <c r="M2221" s="52" t="str">
        <f>VLOOKUP(Tabla3[[#This Row],[Site]],'Important Info!'!$A$1:$F$135,3,FALSE)</f>
        <v>-</v>
      </c>
      <c r="N2221" s="52" t="str">
        <f>VLOOKUP(Tabla3[[#This Row],[Site]],'Important Info!'!$A$1:$F$135,4,FALSE)</f>
        <v>-</v>
      </c>
      <c r="O2221" s="52" t="str">
        <f>VLOOKUP(Tabla3[[#This Row],[Site]],'Important Info!'!$A$1:$F$135,5,FALSE)</f>
        <v>-</v>
      </c>
      <c r="P2221" s="52">
        <f>VLOOKUP(Tabla3[[#This Row],[Site]],'Important Info!'!$A$1:$F$135,6,FALSE)</f>
        <v>12</v>
      </c>
      <c r="Q2221" s="91">
        <f>VLOOKUP(Tabla3[[#This Row],[Site]],'Important Info!'!$A$1:$J$135,9,FALSE)</f>
        <v>186</v>
      </c>
    </row>
    <row r="2222" spans="1:17" x14ac:dyDescent="0.25">
      <c r="A2222" t="str">
        <f>+Tabla3[[#This Row],[Site]]&amp;Tabla3[[#This Row],[Split]]</f>
        <v>(AS) Park Place Volvo Sales (NO TOURS)23</v>
      </c>
      <c r="B2222">
        <v>23</v>
      </c>
      <c r="C2222">
        <v>4</v>
      </c>
      <c r="D2222" t="s">
        <v>33</v>
      </c>
      <c r="E2222" t="s">
        <v>46</v>
      </c>
      <c r="F2222" t="s">
        <v>521</v>
      </c>
      <c r="G2222" t="s">
        <v>34</v>
      </c>
      <c r="H2222" s="52" t="str">
        <f>VLOOKUP(Tabla3[[#This Row],[Site]],'Important Info!'!$A$1:$J$135,10,FALSE)</f>
        <v>https://tools.sig.systems/site/details/139</v>
      </c>
      <c r="I2222" s="65" t="s">
        <v>125</v>
      </c>
      <c r="J2222" t="s">
        <v>41</v>
      </c>
      <c r="K2222" s="79" t="str">
        <f>VLOOKUP(Tabla3[[#This Row],[Site]],'Important Info!'!$A$1:$H$135,8,FALSE)</f>
        <v>-</v>
      </c>
      <c r="L2222" s="52" t="str">
        <f>VLOOKUP(Tabla3[[#This Row],[Site]],'Important Info!'!$A$1:$F$135,2,FALSE)</f>
        <v>4, 6, 9, 11</v>
      </c>
      <c r="M2222" s="52" t="str">
        <f>VLOOKUP(Tabla3[[#This Row],[Site]],'Important Info!'!$A$1:$F$135,3,FALSE)</f>
        <v>-</v>
      </c>
      <c r="N2222" s="52" t="str">
        <f>VLOOKUP(Tabla3[[#This Row],[Site]],'Important Info!'!$A$1:$F$135,4,FALSE)</f>
        <v>-</v>
      </c>
      <c r="O2222" s="52" t="str">
        <f>VLOOKUP(Tabla3[[#This Row],[Site]],'Important Info!'!$A$1:$F$135,5,FALSE)</f>
        <v>2, 9</v>
      </c>
      <c r="P2222" s="52" t="str">
        <f>VLOOKUP(Tabla3[[#This Row],[Site]],'Important Info!'!$A$1:$F$135,6,FALSE)</f>
        <v>4, 10, 11</v>
      </c>
      <c r="Q2222" s="91">
        <f>VLOOKUP(Tabla3[[#This Row],[Site]],'Important Info!'!$A$1:$J$135,9,FALSE)</f>
        <v>139</v>
      </c>
    </row>
    <row r="2223" spans="1:17" x14ac:dyDescent="0.25">
      <c r="A2223" t="str">
        <f>+Tabla3[[#This Row],[Site]]&amp;Tabla3[[#This Row],[Split]]</f>
        <v>(AS) Park Place Volvo Service Center (NO TOURS)23</v>
      </c>
      <c r="B2223">
        <v>23</v>
      </c>
      <c r="C2223">
        <v>4</v>
      </c>
      <c r="D2223" t="s">
        <v>33</v>
      </c>
      <c r="E2223" t="s">
        <v>46</v>
      </c>
      <c r="F2223" t="s">
        <v>522</v>
      </c>
      <c r="G2223" t="s">
        <v>34</v>
      </c>
      <c r="H2223" s="52" t="str">
        <f>VLOOKUP(Tabla3[[#This Row],[Site]],'Important Info!'!$A$1:$J$135,10,FALSE)</f>
        <v>https://tools.sig.systems/site/details/171</v>
      </c>
      <c r="I2223" s="65" t="s">
        <v>125</v>
      </c>
      <c r="J2223" t="s">
        <v>41</v>
      </c>
      <c r="K2223" s="79" t="str">
        <f>VLOOKUP(Tabla3[[#This Row],[Site]],'Important Info!'!$A$1:$H$135,8,FALSE)</f>
        <v>-</v>
      </c>
      <c r="L2223" s="52" t="str">
        <f>VLOOKUP(Tabla3[[#This Row],[Site]],'Important Info!'!$A$1:$F$135,2,FALSE)</f>
        <v>3, 6, 9, 27, 31, 35</v>
      </c>
      <c r="M2223" s="52" t="str">
        <f>VLOOKUP(Tabla3[[#This Row],[Site]],'Important Info!'!$A$1:$F$135,3,FALSE)</f>
        <v>-</v>
      </c>
      <c r="N2223" s="52" t="str">
        <f>VLOOKUP(Tabla3[[#This Row],[Site]],'Important Info!'!$A$1:$F$135,4,FALSE)</f>
        <v>-</v>
      </c>
      <c r="O2223" s="52" t="str">
        <f>VLOOKUP(Tabla3[[#This Row],[Site]],'Important Info!'!$A$1:$F$135,5,FALSE)</f>
        <v>27, 32</v>
      </c>
      <c r="P2223" s="52" t="str">
        <f>VLOOKUP(Tabla3[[#This Row],[Site]],'Important Info!'!$A$1:$F$135,6,FALSE)</f>
        <v>-</v>
      </c>
      <c r="Q2223" s="91">
        <f>VLOOKUP(Tabla3[[#This Row],[Site]],'Important Info!'!$A$1:$J$135,9,FALSE)</f>
        <v>171</v>
      </c>
    </row>
    <row r="2224" spans="1:17" x14ac:dyDescent="0.25">
      <c r="A2224" t="str">
        <f>+Tabla3[[#This Row],[Site]]&amp;Tabla3[[#This Row],[Split]]</f>
        <v>(DT) Denver (NO TOURS)23</v>
      </c>
      <c r="B2224">
        <v>23</v>
      </c>
      <c r="C2224">
        <v>4</v>
      </c>
      <c r="D2224" t="s">
        <v>44</v>
      </c>
      <c r="E2224" t="s">
        <v>53</v>
      </c>
      <c r="F2224" t="s">
        <v>157</v>
      </c>
      <c r="G2224" t="s">
        <v>45</v>
      </c>
      <c r="H2224" s="52" t="str">
        <f>VLOOKUP(Tabla3[[#This Row],[Site]],'Important Info!'!$A$1:$J$135,10,FALSE)</f>
        <v>https://tools.sig.systems/site/details/203</v>
      </c>
      <c r="I2224" s="2" t="s">
        <v>158</v>
      </c>
      <c r="J2224" t="s">
        <v>41</v>
      </c>
      <c r="K2224" s="79" t="str">
        <f>VLOOKUP(Tabla3[[#This Row],[Site]],'Important Info!'!$A$1:$H$135,8,FALSE)</f>
        <v>-</v>
      </c>
      <c r="L2224" s="52" t="str">
        <f>VLOOKUP(Tabla3[[#This Row],[Site]],'Important Info!'!$A$1:$F$135,2,FALSE)</f>
        <v>-</v>
      </c>
      <c r="M2224" s="52" t="str">
        <f>VLOOKUP(Tabla3[[#This Row],[Site]],'Important Info!'!$A$1:$F$135,3,FALSE)</f>
        <v>7, 8</v>
      </c>
      <c r="N2224" s="52" t="str">
        <f>VLOOKUP(Tabla3[[#This Row],[Site]],'Important Info!'!$A$1:$F$135,4,FALSE)</f>
        <v>-</v>
      </c>
      <c r="O2224" s="52" t="str">
        <f>VLOOKUP(Tabla3[[#This Row],[Site]],'Important Info!'!$A$1:$F$135,5,FALSE)</f>
        <v>-</v>
      </c>
      <c r="P2224" s="52" t="str">
        <f>VLOOKUP(Tabla3[[#This Row],[Site]],'Important Info!'!$A$1:$F$135,6,FALSE)</f>
        <v>7, 8</v>
      </c>
      <c r="Q2224" s="91">
        <f>VLOOKUP(Tabla3[[#This Row],[Site]],'Important Info!'!$A$1:$J$135,9,FALSE)</f>
        <v>203</v>
      </c>
    </row>
    <row r="2225" spans="1:17" x14ac:dyDescent="0.25">
      <c r="A2225" t="str">
        <f>+Tabla3[[#This Row],[Site]]&amp;Tabla3[[#This Row],[Split]]</f>
        <v>(ML) Joe Machens VW23</v>
      </c>
      <c r="B2225">
        <v>23</v>
      </c>
      <c r="C2225">
        <v>4</v>
      </c>
      <c r="D2225" t="s">
        <v>33</v>
      </c>
      <c r="E2225" t="s">
        <v>46</v>
      </c>
      <c r="F2225" t="s">
        <v>74</v>
      </c>
      <c r="G2225" t="s">
        <v>34</v>
      </c>
      <c r="H2225" s="52" t="str">
        <f>VLOOKUP(Tabla3[[#This Row],[Site]],'Important Info!'!$A$1:$J$135,10,FALSE)</f>
        <v>https://tools.sig.systems/site/details/274</v>
      </c>
      <c r="I2225" s="2" t="s">
        <v>146</v>
      </c>
      <c r="J2225" t="s">
        <v>41</v>
      </c>
      <c r="K2225" s="79" t="str">
        <f>VLOOKUP(Tabla3[[#This Row],[Site]],'Important Info!'!$A$1:$H$135,8,FALSE)</f>
        <v>-</v>
      </c>
      <c r="L2225" s="52" t="str">
        <f>VLOOKUP(Tabla3[[#This Row],[Site]],'Important Info!'!$A$1:$F$135,2,FALSE)</f>
        <v>-</v>
      </c>
      <c r="M2225" s="52" t="str">
        <f>VLOOKUP(Tabla3[[#This Row],[Site]],'Important Info!'!$A$1:$F$135,3,FALSE)</f>
        <v>1, 11, 18</v>
      </c>
      <c r="N2225" s="52" t="str">
        <f>VLOOKUP(Tabla3[[#This Row],[Site]],'Important Info!'!$A$1:$F$135,4,FALSE)</f>
        <v>-</v>
      </c>
      <c r="O2225" s="52">
        <f>VLOOKUP(Tabla3[[#This Row],[Site]],'Important Info!'!$A$1:$F$135,5,FALSE)</f>
        <v>17</v>
      </c>
      <c r="P2225" s="52" t="str">
        <f>VLOOKUP(Tabla3[[#This Row],[Site]],'Important Info!'!$A$1:$F$135,6,FALSE)</f>
        <v>-</v>
      </c>
      <c r="Q2225" s="91">
        <f>VLOOKUP(Tabla3[[#This Row],[Site]],'Important Info!'!$A$1:$J$135,9,FALSE)</f>
        <v>274</v>
      </c>
    </row>
    <row r="2226" spans="1:17" x14ac:dyDescent="0.25">
      <c r="A2226" t="str">
        <f>+Tabla3[[#This Row],[Site]]&amp;Tabla3[[#This Row],[Split]]</f>
        <v>(ML) Nissan of Little Rock23</v>
      </c>
      <c r="B2226">
        <v>23</v>
      </c>
      <c r="C2226">
        <v>4</v>
      </c>
      <c r="D2226" t="s">
        <v>33</v>
      </c>
      <c r="E2226" t="s">
        <v>46</v>
      </c>
      <c r="F2226" t="s">
        <v>152</v>
      </c>
      <c r="G2226" t="s">
        <v>34</v>
      </c>
      <c r="H2226" s="52" t="str">
        <f>VLOOKUP(Tabla3[[#This Row],[Site]],'Important Info!'!$A$1:$J$135,10,FALSE)</f>
        <v>https://tools.sig.systems/site/details/224</v>
      </c>
      <c r="I2226" t="s">
        <v>140</v>
      </c>
      <c r="J2226" t="s">
        <v>41</v>
      </c>
      <c r="K2226" s="79" t="str">
        <f>VLOOKUP(Tabla3[[#This Row],[Site]],'Important Info!'!$A$1:$H$135,8,FALSE)</f>
        <v>-</v>
      </c>
      <c r="L2226" s="52" t="str">
        <f>VLOOKUP(Tabla3[[#This Row],[Site]],'Important Info!'!$A$1:$F$135,2,FALSE)</f>
        <v>3, 6</v>
      </c>
      <c r="M2226" s="52" t="str">
        <f>VLOOKUP(Tabla3[[#This Row],[Site]],'Important Info!'!$A$1:$F$135,3,FALSE)</f>
        <v>-</v>
      </c>
      <c r="N2226" s="52" t="str">
        <f>VLOOKUP(Tabla3[[#This Row],[Site]],'Important Info!'!$A$1:$F$135,4,FALSE)</f>
        <v>-</v>
      </c>
      <c r="O2226" s="52" t="str">
        <f>VLOOKUP(Tabla3[[#This Row],[Site]],'Important Info!'!$A$1:$F$135,5,FALSE)</f>
        <v>1, 8, 16, 22</v>
      </c>
      <c r="P2226" s="52" t="str">
        <f>VLOOKUP(Tabla3[[#This Row],[Site]],'Important Info!'!$A$1:$F$135,6,FALSE)</f>
        <v>3, 4</v>
      </c>
      <c r="Q2226" s="91">
        <f>VLOOKUP(Tabla3[[#This Row],[Site]],'Important Info!'!$A$1:$J$135,9,FALSE)</f>
        <v>224</v>
      </c>
    </row>
    <row r="2227" spans="1:17" x14ac:dyDescent="0.25">
      <c r="A2227" t="str">
        <f>+Tabla3[[#This Row],[Site]]&amp;Tabla3[[#This Row],[Split]]</f>
        <v>(SCH) Chevrolet North Palm23</v>
      </c>
      <c r="B2227">
        <v>23</v>
      </c>
      <c r="C2227">
        <v>4</v>
      </c>
      <c r="D2227" t="s">
        <v>62</v>
      </c>
      <c r="E2227" t="s">
        <v>35</v>
      </c>
      <c r="F2227" t="s">
        <v>101</v>
      </c>
      <c r="G2227" t="s">
        <v>490</v>
      </c>
      <c r="H2227" s="52" t="str">
        <f>VLOOKUP(Tabla3[[#This Row],[Site]],'Important Info!'!$A$1:$J$135,10,FALSE)</f>
        <v>https://tools.sig.systems/site/details/160</v>
      </c>
      <c r="I2227" s="2"/>
      <c r="J2227" t="s">
        <v>36</v>
      </c>
      <c r="K2227" s="79" t="str">
        <f>VLOOKUP(Tabla3[[#This Row],[Site]],'Important Info!'!$A$1:$H$135,8,FALSE)</f>
        <v>-</v>
      </c>
      <c r="L2227" s="52" t="str">
        <f>VLOOKUP(Tabla3[[#This Row],[Site]],'Important Info!'!$A$1:$F$135,2,FALSE)</f>
        <v xml:space="preserve">7, 10B, 11, 15 </v>
      </c>
      <c r="M2227" s="52" t="str">
        <f>VLOOKUP(Tabla3[[#This Row],[Site]],'Important Info!'!$A$1:$F$135,3,FALSE)</f>
        <v>-</v>
      </c>
      <c r="N2227" s="52" t="str">
        <f>VLOOKUP(Tabla3[[#This Row],[Site]],'Important Info!'!$A$1:$F$135,4,FALSE)</f>
        <v>-</v>
      </c>
      <c r="O2227" s="52" t="str">
        <f>VLOOKUP(Tabla3[[#This Row],[Site]],'Important Info!'!$A$1:$F$135,5,FALSE)</f>
        <v>-</v>
      </c>
      <c r="P2227" s="52" t="str">
        <f>VLOOKUP(Tabla3[[#This Row],[Site]],'Important Info!'!$A$1:$F$135,6,FALSE)</f>
        <v>1, 15, 16, 17, 18, 19, 20</v>
      </c>
      <c r="Q2227" s="91">
        <f>VLOOKUP(Tabla3[[#This Row],[Site]],'Important Info!'!$A$1:$J$135,9,FALSE)</f>
        <v>160</v>
      </c>
    </row>
    <row r="2228" spans="1:17" x14ac:dyDescent="0.25">
      <c r="A2228" t="str">
        <f>+Tabla3[[#This Row],[Site]]&amp;Tabla3[[#This Row],[Split]]</f>
        <v>(AS) Mercedes Benz/Porsche Dallas I,II,III (NO TOURS)23</v>
      </c>
      <c r="B2228">
        <v>23</v>
      </c>
      <c r="C2228">
        <v>5</v>
      </c>
      <c r="D2228" t="s">
        <v>33</v>
      </c>
      <c r="E2228" t="s">
        <v>46</v>
      </c>
      <c r="F2228" t="s">
        <v>509</v>
      </c>
      <c r="G2228" t="s">
        <v>34</v>
      </c>
      <c r="H2228" s="52" t="str">
        <f>VLOOKUP(Tabla3[[#This Row],[Site]],'Important Info!'!$A$1:$J$135,10,FALSE)</f>
        <v>https://tools.sig.systems/site/details/168</v>
      </c>
      <c r="I2228" s="65" t="s">
        <v>125</v>
      </c>
      <c r="J2228" t="s">
        <v>41</v>
      </c>
      <c r="K2228" s="79" t="str">
        <f>VLOOKUP(Tabla3[[#This Row],[Site]],'Important Info!'!$A$1:$H$135,8,FALSE)</f>
        <v>-</v>
      </c>
      <c r="L2228" s="52" t="str">
        <f>VLOOKUP(Tabla3[[#This Row],[Site]],'Important Info!'!$A$1:$F$135,2,FALSE)</f>
        <v>3, 4, 17, 26, 41</v>
      </c>
      <c r="M2228" s="52" t="str">
        <f>VLOOKUP(Tabla3[[#This Row],[Site]],'Important Info!'!$A$1:$F$135,3,FALSE)</f>
        <v>-</v>
      </c>
      <c r="N2228" s="52" t="str">
        <f>VLOOKUP(Tabla3[[#This Row],[Site]],'Important Info!'!$A$1:$F$135,4,FALSE)</f>
        <v>153, 154, 155, 156, 157, 158</v>
      </c>
      <c r="O2228" s="52" t="str">
        <f>VLOOKUP(Tabla3[[#This Row],[Site]],'Important Info!'!$A$1:$F$135,5,FALSE)</f>
        <v>2, 6, 10, 20, 28, 30, 36</v>
      </c>
      <c r="P2228" s="52" t="str">
        <f>VLOOKUP(Tabla3[[#This Row],[Site]],'Important Info!'!$A$1:$F$135,6,FALSE)</f>
        <v>31, 41, 159</v>
      </c>
      <c r="Q2228" s="91">
        <f>VLOOKUP(Tabla3[[#This Row],[Site]],'Important Info!'!$A$1:$J$135,9,FALSE)</f>
        <v>168</v>
      </c>
    </row>
    <row r="2229" spans="1:17" x14ac:dyDescent="0.25">
      <c r="A2229" t="str">
        <f>+Tabla3[[#This Row],[Site]]&amp;Tabla3[[#This Row],[Split]]</f>
        <v>(ML) BMW of Little Rock23</v>
      </c>
      <c r="B2229">
        <v>23</v>
      </c>
      <c r="C2229">
        <v>5</v>
      </c>
      <c r="D2229" t="s">
        <v>33</v>
      </c>
      <c r="E2229" t="s">
        <v>46</v>
      </c>
      <c r="F2229" t="s">
        <v>139</v>
      </c>
      <c r="G2229" t="s">
        <v>34</v>
      </c>
      <c r="H2229" s="52" t="str">
        <f>VLOOKUP(Tabla3[[#This Row],[Site]],'Important Info!'!$A$1:$J$135,10,FALSE)</f>
        <v>https://tools.sig.systems/site/details/217</v>
      </c>
      <c r="I2229" t="s">
        <v>140</v>
      </c>
      <c r="J2229" t="s">
        <v>41</v>
      </c>
      <c r="K2229" s="79" t="str">
        <f>VLOOKUP(Tabla3[[#This Row],[Site]],'Important Info!'!$A$1:$H$135,8,FALSE)</f>
        <v>-</v>
      </c>
      <c r="L2229" s="52" t="str">
        <f>VLOOKUP(Tabla3[[#This Row],[Site]],'Important Info!'!$A$1:$F$135,2,FALSE)</f>
        <v>-</v>
      </c>
      <c r="M2229" s="52">
        <f>VLOOKUP(Tabla3[[#This Row],[Site]],'Important Info!'!$A$1:$F$135,3,FALSE)</f>
        <v>14</v>
      </c>
      <c r="N2229" s="52" t="str">
        <f>VLOOKUP(Tabla3[[#This Row],[Site]],'Important Info!'!$A$1:$F$135,4,FALSE)</f>
        <v>-</v>
      </c>
      <c r="O2229" s="52" t="str">
        <f>VLOOKUP(Tabla3[[#This Row],[Site]],'Important Info!'!$A$1:$F$135,5,FALSE)</f>
        <v>-</v>
      </c>
      <c r="P2229" s="52" t="str">
        <f>VLOOKUP(Tabla3[[#This Row],[Site]],'Important Info!'!$A$1:$F$135,6,FALSE)</f>
        <v>5, 6, 7, 8, 9, 32</v>
      </c>
      <c r="Q2229" s="91">
        <f>VLOOKUP(Tabla3[[#This Row],[Site]],'Important Info!'!$A$1:$J$135,9,FALSE)</f>
        <v>217</v>
      </c>
    </row>
    <row r="2230" spans="1:17" x14ac:dyDescent="0.25">
      <c r="A2230" t="str">
        <f>+Tabla3[[#This Row],[Site]]&amp;Tabla3[[#This Row],[Split]]</f>
        <v>(ML) Joe Machens Toyota23</v>
      </c>
      <c r="B2230">
        <v>23</v>
      </c>
      <c r="C2230">
        <v>5</v>
      </c>
      <c r="D2230" t="s">
        <v>33</v>
      </c>
      <c r="E2230" t="s">
        <v>46</v>
      </c>
      <c r="F2230" t="s">
        <v>73</v>
      </c>
      <c r="G2230" t="s">
        <v>34</v>
      </c>
      <c r="H2230" s="52" t="str">
        <f>VLOOKUP(Tabla3[[#This Row],[Site]],'Important Info!'!$A$1:$J$135,10,FALSE)</f>
        <v>https://tools.sig.systems/site/details/275</v>
      </c>
      <c r="I2230" s="43" t="s">
        <v>146</v>
      </c>
      <c r="J2230" t="s">
        <v>41</v>
      </c>
      <c r="K2230" s="79" t="str">
        <f>VLOOKUP(Tabla3[[#This Row],[Site]],'Important Info!'!$A$1:$H$135,8,FALSE)</f>
        <v>-</v>
      </c>
      <c r="L2230" s="52" t="str">
        <f>VLOOKUP(Tabla3[[#This Row],[Site]],'Important Info!'!$A$1:$F$135,2,FALSE)</f>
        <v>-</v>
      </c>
      <c r="M2230" s="52" t="str">
        <f>VLOOKUP(Tabla3[[#This Row],[Site]],'Important Info!'!$A$1:$F$135,3,FALSE)</f>
        <v>1, 4, 6</v>
      </c>
      <c r="N2230" s="52" t="str">
        <f>VLOOKUP(Tabla3[[#This Row],[Site]],'Important Info!'!$A$1:$F$135,4,FALSE)</f>
        <v>-</v>
      </c>
      <c r="O2230" s="52" t="str">
        <f>VLOOKUP(Tabla3[[#This Row],[Site]],'Important Info!'!$A$1:$F$135,5,FALSE)</f>
        <v>4, 10</v>
      </c>
      <c r="P2230" s="52" t="str">
        <f>VLOOKUP(Tabla3[[#This Row],[Site]],'Important Info!'!$A$1:$F$135,6,FALSE)</f>
        <v>-</v>
      </c>
      <c r="Q2230" s="91">
        <f>VLOOKUP(Tabla3[[#This Row],[Site]],'Important Info!'!$A$1:$J$135,9,FALSE)</f>
        <v>275</v>
      </c>
    </row>
    <row r="2231" spans="1:17" x14ac:dyDescent="0.25">
      <c r="A2231" t="str">
        <f>+Tabla3[[#This Row],[Site]]&amp;Tabla3[[#This Row],[Split]]</f>
        <v>(PE) JLR PDI (NO TOURS)23</v>
      </c>
      <c r="B2231">
        <v>23</v>
      </c>
      <c r="C2231">
        <v>5</v>
      </c>
      <c r="D2231" t="s">
        <v>485</v>
      </c>
      <c r="E2231" t="s">
        <v>35</v>
      </c>
      <c r="F2231" t="s">
        <v>114</v>
      </c>
      <c r="G2231" t="s">
        <v>490</v>
      </c>
      <c r="H2231" s="52" t="str">
        <f>VLOOKUP(Tabla3[[#This Row],[Site]],'Important Info!'!$A$1:$J$135,10,FALSE)</f>
        <v>https://tools.sig.systems/site/details/179</v>
      </c>
      <c r="I2231" t="s">
        <v>176</v>
      </c>
      <c r="J2231" t="s">
        <v>41</v>
      </c>
      <c r="K2231" s="79" t="str">
        <f>VLOOKUP(Tabla3[[#This Row],[Site]],'Important Info!'!$A$1:$H$135,8,FALSE)</f>
        <v>-</v>
      </c>
      <c r="L2231" s="52" t="str">
        <f>VLOOKUP(Tabla3[[#This Row],[Site]],'Important Info!'!$A$1:$F$135,2,FALSE)</f>
        <v>3, 8</v>
      </c>
      <c r="M2231" s="52" t="str">
        <f>VLOOKUP(Tabla3[[#This Row],[Site]],'Important Info!'!$A$1:$F$135,3,FALSE)</f>
        <v>-</v>
      </c>
      <c r="N2231" s="52" t="str">
        <f>VLOOKUP(Tabla3[[#This Row],[Site]],'Important Info!'!$A$1:$F$135,4,FALSE)</f>
        <v>-</v>
      </c>
      <c r="O2231" s="52" t="str">
        <f>VLOOKUP(Tabla3[[#This Row],[Site]],'Important Info!'!$A$1:$F$135,5,FALSE)</f>
        <v>-</v>
      </c>
      <c r="P2231" s="52" t="str">
        <f>VLOOKUP(Tabla3[[#This Row],[Site]],'Important Info!'!$A$1:$F$135,6,FALSE)</f>
        <v>-</v>
      </c>
      <c r="Q2231" s="91">
        <f>VLOOKUP(Tabla3[[#This Row],[Site]],'Important Info!'!$A$1:$J$135,9,FALSE)</f>
        <v>179</v>
      </c>
    </row>
    <row r="2232" spans="1:17" x14ac:dyDescent="0.25">
      <c r="A2232" t="str">
        <f>+Tabla3[[#This Row],[Site]]&amp;Tabla3[[#This Row],[Split]]</f>
        <v>(AS) Park Place Sprinter Van Center (NO TOURS)23</v>
      </c>
      <c r="B2232">
        <v>23</v>
      </c>
      <c r="C2232">
        <v>6</v>
      </c>
      <c r="D2232" t="s">
        <v>33</v>
      </c>
      <c r="E2232" t="s">
        <v>46</v>
      </c>
      <c r="F2232" t="s">
        <v>520</v>
      </c>
      <c r="G2232" t="s">
        <v>34</v>
      </c>
      <c r="H2232" s="52" t="str">
        <f>VLOOKUP(Tabla3[[#This Row],[Site]],'Important Info!'!$A$1:$J$135,10,FALSE)</f>
        <v>https://tools.sig.systems/site/details/138</v>
      </c>
      <c r="I2232" s="65" t="s">
        <v>125</v>
      </c>
      <c r="J2232" t="s">
        <v>41</v>
      </c>
      <c r="K2232" s="79" t="str">
        <f>VLOOKUP(Tabla3[[#This Row],[Site]],'Important Info!'!$A$1:$H$135,8,FALSE)</f>
        <v>-</v>
      </c>
      <c r="L2232" s="52">
        <f>VLOOKUP(Tabla3[[#This Row],[Site]],'Important Info!'!$A$1:$F$135,2,FALSE)</f>
        <v>1</v>
      </c>
      <c r="M2232" s="52" t="str">
        <f>VLOOKUP(Tabla3[[#This Row],[Site]],'Important Info!'!$A$1:$F$135,3,FALSE)</f>
        <v>-</v>
      </c>
      <c r="N2232" s="52" t="str">
        <f>VLOOKUP(Tabla3[[#This Row],[Site]],'Important Info!'!$A$1:$F$135,4,FALSE)</f>
        <v>-</v>
      </c>
      <c r="O2232" s="52" t="str">
        <f>VLOOKUP(Tabla3[[#This Row],[Site]],'Important Info!'!$A$1:$F$135,5,FALSE)</f>
        <v>-</v>
      </c>
      <c r="P2232" s="52" t="str">
        <f>VLOOKUP(Tabla3[[#This Row],[Site]],'Important Info!'!$A$1:$F$135,6,FALSE)</f>
        <v>1, 3</v>
      </c>
      <c r="Q2232" s="91">
        <f>VLOOKUP(Tabla3[[#This Row],[Site]],'Important Info!'!$A$1:$J$135,9,FALSE)</f>
        <v>138</v>
      </c>
    </row>
    <row r="2233" spans="1:17" x14ac:dyDescent="0.25">
      <c r="A2233" t="str">
        <f>+Tabla3[[#This Row],[Site]]&amp;Tabla3[[#This Row],[Split]]</f>
        <v>(HUD) Honda of Southpoint23</v>
      </c>
      <c r="B2233">
        <v>23</v>
      </c>
      <c r="C2233">
        <v>6</v>
      </c>
      <c r="D2233" t="s">
        <v>62</v>
      </c>
      <c r="E2233" t="s">
        <v>35</v>
      </c>
      <c r="F2233" t="s">
        <v>65</v>
      </c>
      <c r="G2233" t="s">
        <v>490</v>
      </c>
      <c r="H2233" s="52" t="str">
        <f>VLOOKUP(Tabla3[[#This Row],[Site]],'Important Info!'!$A$1:$J$135,10,FALSE)</f>
        <v>https://tools.sig.systems/site/details/195</v>
      </c>
      <c r="I2233" s="43"/>
      <c r="J2233" t="s">
        <v>484</v>
      </c>
      <c r="K2233" s="79" t="str">
        <f>VLOOKUP(Tabla3[[#This Row],[Site]],'Important Info!'!$A$1:$H$135,8,FALSE)</f>
        <v>-</v>
      </c>
      <c r="L2233" s="52" t="str">
        <f>VLOOKUP(Tabla3[[#This Row],[Site]],'Important Info!'!$A$1:$F$135,2,FALSE)</f>
        <v>2, 12, 18</v>
      </c>
      <c r="M2233" s="52">
        <f>VLOOKUP(Tabla3[[#This Row],[Site]],'Important Info!'!$A$1:$F$135,3,FALSE)</f>
        <v>13</v>
      </c>
      <c r="N2233" s="52" t="str">
        <f>VLOOKUP(Tabla3[[#This Row],[Site]],'Important Info!'!$A$1:$F$135,4,FALSE)</f>
        <v>-</v>
      </c>
      <c r="O2233" s="52" t="str">
        <f>VLOOKUP(Tabla3[[#This Row],[Site]],'Important Info!'!$A$1:$F$135,5,FALSE)</f>
        <v>2, 15</v>
      </c>
      <c r="P2233" s="52" t="str">
        <f>VLOOKUP(Tabla3[[#This Row],[Site]],'Important Info!'!$A$1:$F$135,6,FALSE)</f>
        <v>-</v>
      </c>
      <c r="Q2233" s="91">
        <f>VLOOKUP(Tabla3[[#This Row],[Site]],'Important Info!'!$A$1:$J$135,9,FALSE)</f>
        <v>195</v>
      </c>
    </row>
    <row r="2234" spans="1:17" x14ac:dyDescent="0.25">
      <c r="A2234" t="str">
        <f>+Tabla3[[#This Row],[Site]]&amp;Tabla3[[#This Row],[Split]]</f>
        <v>(KG) Big Star CDJR of Clear Lake23</v>
      </c>
      <c r="B2234">
        <v>23</v>
      </c>
      <c r="C2234">
        <v>6</v>
      </c>
      <c r="D2234" t="s">
        <v>33</v>
      </c>
      <c r="E2234" t="s">
        <v>46</v>
      </c>
      <c r="F2234" t="s">
        <v>133</v>
      </c>
      <c r="G2234" t="s">
        <v>34</v>
      </c>
      <c r="H2234" s="52" t="str">
        <f>VLOOKUP(Tabla3[[#This Row],[Site]],'Important Info!'!$A$1:$J$135,10,FALSE)</f>
        <v>https://tools.sig.systems/site/details/232</v>
      </c>
      <c r="I2234" s="2" t="s">
        <v>134</v>
      </c>
      <c r="J2234" t="s">
        <v>41</v>
      </c>
      <c r="K2234" s="79" t="str">
        <f>VLOOKUP(Tabla3[[#This Row],[Site]],'Important Info!'!$A$1:$H$135,8,FALSE)</f>
        <v>-</v>
      </c>
      <c r="L2234" s="52" t="str">
        <f>VLOOKUP(Tabla3[[#This Row],[Site]],'Important Info!'!$A$1:$F$135,2,FALSE)</f>
        <v>8, 25</v>
      </c>
      <c r="M2234" s="52" t="str">
        <f>VLOOKUP(Tabla3[[#This Row],[Site]],'Important Info!'!$A$1:$F$135,3,FALSE)</f>
        <v>-</v>
      </c>
      <c r="N2234" s="52" t="str">
        <f>VLOOKUP(Tabla3[[#This Row],[Site]],'Important Info!'!$A$1:$F$135,4,FALSE)</f>
        <v>-</v>
      </c>
      <c r="O2234" s="52" t="str">
        <f>VLOOKUP(Tabla3[[#This Row],[Site]],'Important Info!'!$A$1:$F$135,5,FALSE)</f>
        <v>7, 13, 19, 24</v>
      </c>
      <c r="P2234" s="52" t="str">
        <f>VLOOKUP(Tabla3[[#This Row],[Site]],'Important Info!'!$A$1:$F$135,6,FALSE)</f>
        <v>6, 8, 25, 31</v>
      </c>
      <c r="Q2234" s="91">
        <f>VLOOKUP(Tabla3[[#This Row],[Site]],'Important Info!'!$A$1:$J$135,9,FALSE)</f>
        <v>232</v>
      </c>
    </row>
    <row r="2235" spans="1:17" x14ac:dyDescent="0.25">
      <c r="A2235" t="str">
        <f>+Tabla3[[#This Row],[Site]]&amp;Tabla3[[#This Row],[Split]]</f>
        <v>(ML) Joe Machens E Collision Center23</v>
      </c>
      <c r="B2235">
        <v>23</v>
      </c>
      <c r="C2235">
        <v>6</v>
      </c>
      <c r="D2235" t="s">
        <v>33</v>
      </c>
      <c r="E2235" t="s">
        <v>46</v>
      </c>
      <c r="F2235" t="s">
        <v>147</v>
      </c>
      <c r="G2235" t="s">
        <v>34</v>
      </c>
      <c r="H2235" s="52" t="str">
        <f>VLOOKUP(Tabla3[[#This Row],[Site]],'Important Info!'!$A$1:$J$135,10,FALSE)</f>
        <v>https://tools.sig.systems/site/details/277</v>
      </c>
      <c r="I2235" s="2" t="s">
        <v>146</v>
      </c>
      <c r="J2235" t="s">
        <v>41</v>
      </c>
      <c r="K2235" s="79" t="str">
        <f>VLOOKUP(Tabla3[[#This Row],[Site]],'Important Info!'!$A$1:$H$135,8,FALSE)</f>
        <v>-</v>
      </c>
      <c r="L2235" s="52">
        <f>VLOOKUP(Tabla3[[#This Row],[Site]],'Important Info!'!$A$1:$F$135,2,FALSE)</f>
        <v>1</v>
      </c>
      <c r="M2235" s="52" t="str">
        <f>VLOOKUP(Tabla3[[#This Row],[Site]],'Important Info!'!$A$1:$F$135,3,FALSE)</f>
        <v>-</v>
      </c>
      <c r="N2235" s="52" t="str">
        <f>VLOOKUP(Tabla3[[#This Row],[Site]],'Important Info!'!$A$1:$F$135,4,FALSE)</f>
        <v>-</v>
      </c>
      <c r="O2235" s="52">
        <f>VLOOKUP(Tabla3[[#This Row],[Site]],'Important Info!'!$A$1:$F$135,5,FALSE)</f>
        <v>5</v>
      </c>
      <c r="P2235" s="52" t="str">
        <f>VLOOKUP(Tabla3[[#This Row],[Site]],'Important Info!'!$A$1:$F$135,6,FALSE)</f>
        <v>1, 2, 3, 4</v>
      </c>
      <c r="Q2235" s="91">
        <f>VLOOKUP(Tabla3[[#This Row],[Site]],'Important Info!'!$A$1:$J$135,9,FALSE)</f>
        <v>277</v>
      </c>
    </row>
    <row r="2236" spans="1:17" x14ac:dyDescent="0.25">
      <c r="A2236" t="str">
        <f>+Tabla3[[#This Row],[Site]]&amp;Tabla3[[#This Row],[Split]]</f>
        <v>(PE) BMW of Mamaroneck (NO TOURS)23</v>
      </c>
      <c r="B2236">
        <v>23</v>
      </c>
      <c r="C2236">
        <v>6</v>
      </c>
      <c r="D2236" t="s">
        <v>485</v>
      </c>
      <c r="E2236" t="s">
        <v>35</v>
      </c>
      <c r="F2236" t="s">
        <v>172</v>
      </c>
      <c r="G2236" t="s">
        <v>490</v>
      </c>
      <c r="H2236" s="52" t="str">
        <f>VLOOKUP(Tabla3[[#This Row],[Site]],'Important Info!'!$A$1:$J$135,10,FALSE)</f>
        <v>https://tools.sig.systems/site/details/185</v>
      </c>
      <c r="I2236" s="43"/>
      <c r="J2236" t="s">
        <v>41</v>
      </c>
      <c r="K2236" s="79" t="str">
        <f>VLOOKUP(Tabla3[[#This Row],[Site]],'Important Info!'!$A$1:$H$135,8,FALSE)</f>
        <v>-</v>
      </c>
      <c r="L2236" s="52">
        <f>VLOOKUP(Tabla3[[#This Row],[Site]],'Important Info!'!$A$1:$F$135,2,FALSE)</f>
        <v>9</v>
      </c>
      <c r="M2236" s="52" t="str">
        <f>VLOOKUP(Tabla3[[#This Row],[Site]],'Important Info!'!$A$1:$F$135,3,FALSE)</f>
        <v>2, 3, 4, 5</v>
      </c>
      <c r="N2236" s="52" t="str">
        <f>VLOOKUP(Tabla3[[#This Row],[Site]],'Important Info!'!$A$1:$F$135,4,FALSE)</f>
        <v>-</v>
      </c>
      <c r="O2236" s="52" t="str">
        <f>VLOOKUP(Tabla3[[#This Row],[Site]],'Important Info!'!$A$1:$F$135,5,FALSE)</f>
        <v>-</v>
      </c>
      <c r="P2236" s="52" t="str">
        <f>VLOOKUP(Tabla3[[#This Row],[Site]],'Important Info!'!$A$1:$F$135,6,FALSE)</f>
        <v>4, 6, 7, 8</v>
      </c>
      <c r="Q2236" s="91">
        <f>VLOOKUP(Tabla3[[#This Row],[Site]],'Important Info!'!$A$1:$J$135,9,FALSE)</f>
        <v>185</v>
      </c>
    </row>
    <row r="2237" spans="1:17" x14ac:dyDescent="0.25">
      <c r="A2237" t="str">
        <f>+Tabla3[[#This Row],[Site]]&amp;Tabla3[[#This Row],[Split]]</f>
        <v>(RML) Burleson Nissan23</v>
      </c>
      <c r="B2237">
        <v>23</v>
      </c>
      <c r="C2237">
        <v>6</v>
      </c>
      <c r="D2237" t="s">
        <v>33</v>
      </c>
      <c r="E2237" t="s">
        <v>46</v>
      </c>
      <c r="F2237" t="s">
        <v>107</v>
      </c>
      <c r="G2237" t="s">
        <v>34</v>
      </c>
      <c r="H2237" s="52" t="str">
        <f>VLOOKUP(Tabla3[[#This Row],[Site]],'Important Info!'!$A$1:$J$135,10,FALSE)</f>
        <v>https://tools.sig.systems/site/details/202</v>
      </c>
      <c r="J2237" t="s">
        <v>41</v>
      </c>
      <c r="K2237" s="79" t="str">
        <f>VLOOKUP(Tabla3[[#This Row],[Site]],'Important Info!'!$A$1:$H$135,8,FALSE)</f>
        <v>-</v>
      </c>
      <c r="L2237" s="52" t="str">
        <f>VLOOKUP(Tabla3[[#This Row],[Site]],'Important Info!'!$A$1:$F$135,2,FALSE)</f>
        <v>3, 21</v>
      </c>
      <c r="M2237" s="52" t="str">
        <f>VLOOKUP(Tabla3[[#This Row],[Site]],'Important Info!'!$A$1:$F$135,3,FALSE)</f>
        <v>-</v>
      </c>
      <c r="N2237" s="52" t="str">
        <f>VLOOKUP(Tabla3[[#This Row],[Site]],'Important Info!'!$A$1:$F$135,4,FALSE)</f>
        <v>-</v>
      </c>
      <c r="O2237" s="52" t="str">
        <f>VLOOKUP(Tabla3[[#This Row],[Site]],'Important Info!'!$A$1:$F$135,5,FALSE)</f>
        <v>2, 6, 15</v>
      </c>
      <c r="P2237" s="52" t="str">
        <f>VLOOKUP(Tabla3[[#This Row],[Site]],'Important Info!'!$A$1:$F$135,6,FALSE)</f>
        <v>-</v>
      </c>
      <c r="Q2237" s="91">
        <f>VLOOKUP(Tabla3[[#This Row],[Site]],'Important Info!'!$A$1:$J$135,9,FALSE)</f>
        <v>202</v>
      </c>
    </row>
    <row r="2238" spans="1:17" x14ac:dyDescent="0.25">
      <c r="A2238" t="str">
        <f>+Tabla3[[#This Row],[Site]]&amp;Tabla3[[#This Row],[Split]]</f>
        <v>(SCH) Prep Center Delray23</v>
      </c>
      <c r="B2238">
        <v>23</v>
      </c>
      <c r="C2238">
        <v>6</v>
      </c>
      <c r="D2238" t="s">
        <v>62</v>
      </c>
      <c r="E2238" t="s">
        <v>35</v>
      </c>
      <c r="F2238" t="s">
        <v>191</v>
      </c>
      <c r="G2238" t="s">
        <v>490</v>
      </c>
      <c r="H2238" s="52" t="str">
        <f>VLOOKUP(Tabla3[[#This Row],[Site]],'Important Info!'!$A$1:$J$135,10,FALSE)</f>
        <v>https://tools.sig.systems/site/details/321</v>
      </c>
      <c r="J2238" t="s">
        <v>41</v>
      </c>
      <c r="K2238" s="79" t="str">
        <f>VLOOKUP(Tabla3[[#This Row],[Site]],'Important Info!'!$A$1:$H$135,8,FALSE)</f>
        <v>-</v>
      </c>
      <c r="L2238" s="52" t="str">
        <f>VLOOKUP(Tabla3[[#This Row],[Site]],'Important Info!'!$A$1:$F$135,2,FALSE)</f>
        <v>2,3</v>
      </c>
      <c r="M2238" s="52" t="str">
        <f>VLOOKUP(Tabla3[[#This Row],[Site]],'Important Info!'!$A$1:$F$135,3,FALSE)</f>
        <v>-</v>
      </c>
      <c r="N2238" s="52" t="str">
        <f>VLOOKUP(Tabla3[[#This Row],[Site]],'Important Info!'!$A$1:$F$135,4,FALSE)</f>
        <v>-</v>
      </c>
      <c r="O2238" s="52" t="str">
        <f>VLOOKUP(Tabla3[[#This Row],[Site]],'Important Info!'!$A$1:$F$135,5,FALSE)</f>
        <v>-</v>
      </c>
      <c r="P2238" s="52" t="str">
        <f>VLOOKUP(Tabla3[[#This Row],[Site]],'Important Info!'!$A$1:$F$135,6,FALSE)</f>
        <v>2,4,10</v>
      </c>
      <c r="Q2238" s="91">
        <f>VLOOKUP(Tabla3[[#This Row],[Site]],'Important Info!'!$A$1:$J$135,9,FALSE)</f>
        <v>321</v>
      </c>
    </row>
    <row r="2239" spans="1:17" x14ac:dyDescent="0.25">
      <c r="A2239" t="str">
        <f>+Tabla3[[#This Row],[Site]]&amp;Tabla3[[#This Row],[Split]]</f>
        <v>(AS) Atwell Prep Center-Dallas (NO TOURS)23</v>
      </c>
      <c r="B2239">
        <v>23</v>
      </c>
      <c r="C2239">
        <v>7</v>
      </c>
      <c r="D2239" t="s">
        <v>33</v>
      </c>
      <c r="E2239" t="s">
        <v>46</v>
      </c>
      <c r="F2239" t="s">
        <v>498</v>
      </c>
      <c r="G2239" t="s">
        <v>34</v>
      </c>
      <c r="H2239" s="52" t="str">
        <f>VLOOKUP(Tabla3[[#This Row],[Site]],'Important Info!'!$A$1:$J$135,10,FALSE)</f>
        <v>https://tools.sig.systems/site/details/165</v>
      </c>
      <c r="I2239" s="65" t="s">
        <v>125</v>
      </c>
      <c r="J2239" t="s">
        <v>41</v>
      </c>
      <c r="K2239" s="79" t="str">
        <f>VLOOKUP(Tabla3[[#This Row],[Site]],'Important Info!'!$A$1:$H$135,8,FALSE)</f>
        <v>-</v>
      </c>
      <c r="L2239" s="52" t="str">
        <f>VLOOKUP(Tabla3[[#This Row],[Site]],'Important Info!'!$A$1:$F$135,2,FALSE)</f>
        <v>4, 6, 7</v>
      </c>
      <c r="M2239" s="52" t="str">
        <f>VLOOKUP(Tabla3[[#This Row],[Site]],'Important Info!'!$A$1:$F$135,3,FALSE)</f>
        <v>-</v>
      </c>
      <c r="N2239" s="52" t="str">
        <f>VLOOKUP(Tabla3[[#This Row],[Site]],'Important Info!'!$A$1:$F$135,4,FALSE)</f>
        <v>-</v>
      </c>
      <c r="O2239" s="52" t="str">
        <f>VLOOKUP(Tabla3[[#This Row],[Site]],'Important Info!'!$A$1:$F$135,5,FALSE)</f>
        <v>-</v>
      </c>
      <c r="P2239" s="52" t="str">
        <f>VLOOKUP(Tabla3[[#This Row],[Site]],'Important Info!'!$A$1:$F$135,6,FALSE)</f>
        <v>1, 2</v>
      </c>
      <c r="Q2239" s="91">
        <f>VLOOKUP(Tabla3[[#This Row],[Site]],'Important Info!'!$A$1:$J$135,9,FALSE)</f>
        <v>165</v>
      </c>
    </row>
    <row r="2240" spans="1:17" x14ac:dyDescent="0.25">
      <c r="A2240" t="str">
        <f>+Tabla3[[#This Row],[Site]]&amp;Tabla3[[#This Row],[Split]]</f>
        <v>(AS) Coggin Acura Ft Pierce (NO TOURS)23</v>
      </c>
      <c r="B2240">
        <v>23</v>
      </c>
      <c r="C2240">
        <v>7</v>
      </c>
      <c r="D2240" t="s">
        <v>62</v>
      </c>
      <c r="E2240" t="s">
        <v>35</v>
      </c>
      <c r="F2240" t="s">
        <v>500</v>
      </c>
      <c r="G2240" t="s">
        <v>490</v>
      </c>
      <c r="H2240" s="52" t="str">
        <f>VLOOKUP(Tabla3[[#This Row],[Site]],'Important Info!'!$A$1:$J$135,10,FALSE)</f>
        <v>https://tools.sig.systems/site/details/118</v>
      </c>
      <c r="I2240" s="43" t="s">
        <v>179</v>
      </c>
      <c r="J2240" t="s">
        <v>41</v>
      </c>
      <c r="K2240" s="79" t="str">
        <f>VLOOKUP(Tabla3[[#This Row],[Site]],'Important Info!'!$A$1:$H$135,8,FALSE)</f>
        <v>-</v>
      </c>
      <c r="L2240" s="52" t="str">
        <f>VLOOKUP(Tabla3[[#This Row],[Site]],'Important Info!'!$A$1:$F$135,2,FALSE)</f>
        <v>-</v>
      </c>
      <c r="M2240" s="52">
        <f>VLOOKUP(Tabla3[[#This Row],[Site]],'Important Info!'!$A$1:$F$135,3,FALSE)</f>
        <v>6</v>
      </c>
      <c r="N2240" s="52" t="str">
        <f>VLOOKUP(Tabla3[[#This Row],[Site]],'Important Info!'!$A$1:$F$135,4,FALSE)</f>
        <v>-</v>
      </c>
      <c r="O2240" s="52" t="str">
        <f>VLOOKUP(Tabla3[[#This Row],[Site]],'Important Info!'!$A$1:$F$135,5,FALSE)</f>
        <v>4, 6</v>
      </c>
      <c r="P2240" s="52">
        <f>VLOOKUP(Tabla3[[#This Row],[Site]],'Important Info!'!$A$1:$F$135,6,FALSE)</f>
        <v>1</v>
      </c>
      <c r="Q2240" s="91">
        <f>VLOOKUP(Tabla3[[#This Row],[Site]],'Important Info!'!$A$1:$J$135,9,FALSE)</f>
        <v>118</v>
      </c>
    </row>
    <row r="2241" spans="1:17" x14ac:dyDescent="0.25">
      <c r="A2241" t="str">
        <f>+Tabla3[[#This Row],[Site]]&amp;Tabla3[[#This Row],[Split]]</f>
        <v>(AS) Park Place Mercedes Benz Ft. Worth (NO TOURS)23</v>
      </c>
      <c r="B2241">
        <v>23</v>
      </c>
      <c r="C2241">
        <v>7</v>
      </c>
      <c r="D2241" t="s">
        <v>33</v>
      </c>
      <c r="E2241" t="s">
        <v>46</v>
      </c>
      <c r="F2241" t="s">
        <v>519</v>
      </c>
      <c r="G2241" t="s">
        <v>34</v>
      </c>
      <c r="H2241" s="52" t="str">
        <f>VLOOKUP(Tabla3[[#This Row],[Site]],'Important Info!'!$A$1:$J$135,10,FALSE)</f>
        <v>https://tools.sig.systems/site/details/137</v>
      </c>
      <c r="I2241" s="8" t="s">
        <v>128</v>
      </c>
      <c r="J2241" t="s">
        <v>41</v>
      </c>
      <c r="K2241" s="79" t="s">
        <v>37</v>
      </c>
      <c r="L2241" s="52" t="str">
        <f>VLOOKUP(Tabla3[[#This Row],[Site]],'Important Info!'!$A$1:$F$135,2,FALSE)</f>
        <v>4, 18</v>
      </c>
      <c r="M2241" s="52" t="str">
        <f>VLOOKUP(Tabla3[[#This Row],[Site]],'Important Info!'!$A$1:$F$135,3,FALSE)</f>
        <v>-</v>
      </c>
      <c r="N2241" s="52" t="str">
        <f>VLOOKUP(Tabla3[[#This Row],[Site]],'Important Info!'!$A$1:$F$135,4,FALSE)</f>
        <v>54, 55</v>
      </c>
      <c r="O2241" s="52" t="str">
        <f>VLOOKUP(Tabla3[[#This Row],[Site]],'Important Info!'!$A$1:$F$135,5,FALSE)</f>
        <v>2, 18</v>
      </c>
      <c r="P2241" s="52" t="str">
        <f>VLOOKUP(Tabla3[[#This Row],[Site]],'Important Info!'!$A$1:$F$135,6,FALSE)</f>
        <v>5, 18</v>
      </c>
      <c r="Q2241" s="91">
        <f>VLOOKUP(Tabla3[[#This Row],[Site]],'Important Info!'!$A$1:$J$135,9,FALSE)</f>
        <v>137</v>
      </c>
    </row>
    <row r="2242" spans="1:17" x14ac:dyDescent="0.25">
      <c r="A2242" t="str">
        <f>+Tabla3[[#This Row],[Site]]&amp;Tabla3[[#This Row],[Split]]</f>
        <v>(ML) Joe Machens Temporary 2.023</v>
      </c>
      <c r="B2242">
        <v>23</v>
      </c>
      <c r="C2242">
        <v>7</v>
      </c>
      <c r="D2242" t="s">
        <v>33</v>
      </c>
      <c r="E2242" t="s">
        <v>46</v>
      </c>
      <c r="F2242" t="s">
        <v>105</v>
      </c>
      <c r="G2242" t="s">
        <v>34</v>
      </c>
      <c r="H2242" s="52" t="str">
        <f>VLOOKUP(Tabla3[[#This Row],[Site]],'Important Info!'!$A$1:$J$135,10,FALSE)</f>
        <v>https://tools.sig.systems/site/details/278</v>
      </c>
      <c r="I2242" s="43" t="s">
        <v>146</v>
      </c>
      <c r="J2242" t="s">
        <v>41</v>
      </c>
      <c r="K2242" s="79" t="str">
        <f>VLOOKUP(Tabla3[[#This Row],[Site]],'Important Info!'!$A$1:$H$135,8,FALSE)</f>
        <v>-</v>
      </c>
      <c r="L2242" s="52" t="str">
        <f>VLOOKUP(Tabla3[[#This Row],[Site]],'Important Info!'!$A$1:$F$135,2,FALSE)</f>
        <v>-</v>
      </c>
      <c r="M2242" s="52" t="str">
        <f>VLOOKUP(Tabla3[[#This Row],[Site]],'Important Info!'!$A$1:$F$135,3,FALSE)</f>
        <v>1, 11, 14, 15, 16</v>
      </c>
      <c r="N2242" s="52" t="str">
        <f>VLOOKUP(Tabla3[[#This Row],[Site]],'Important Info!'!$A$1:$F$135,4,FALSE)</f>
        <v>-</v>
      </c>
      <c r="O2242" s="52">
        <f>VLOOKUP(Tabla3[[#This Row],[Site]],'Important Info!'!$A$1:$F$135,5,FALSE)</f>
        <v>13</v>
      </c>
      <c r="P2242" s="52" t="str">
        <f>VLOOKUP(Tabla3[[#This Row],[Site]],'Important Info!'!$A$1:$F$135,6,FALSE)</f>
        <v>-</v>
      </c>
      <c r="Q2242" s="91">
        <f>VLOOKUP(Tabla3[[#This Row],[Site]],'Important Info!'!$A$1:$J$135,9,FALSE)</f>
        <v>278</v>
      </c>
    </row>
    <row r="2243" spans="1:17" x14ac:dyDescent="0.25">
      <c r="A2243" t="str">
        <f>+Tabla3[[#This Row],[Site]]&amp;Tabla3[[#This Row],[Split]]</f>
        <v>(ML) McLarty Gray-Daniels Ford Lincoln23</v>
      </c>
      <c r="B2243">
        <v>23</v>
      </c>
      <c r="C2243">
        <v>7</v>
      </c>
      <c r="D2243" t="s">
        <v>33</v>
      </c>
      <c r="E2243" t="s">
        <v>46</v>
      </c>
      <c r="F2243" t="s">
        <v>89</v>
      </c>
      <c r="G2243" t="s">
        <v>34</v>
      </c>
      <c r="H2243" s="52" t="str">
        <f>VLOOKUP(Tabla3[[#This Row],[Site]],'Important Info!'!$A$1:$J$135,10,FALSE)</f>
        <v>https://tools.sig.systems/site/details/151</v>
      </c>
      <c r="I2243" s="2" t="s">
        <v>150</v>
      </c>
      <c r="J2243" t="s">
        <v>41</v>
      </c>
      <c r="K2243" s="79" t="str">
        <f>VLOOKUP(Tabla3[[#This Row],[Site]],'Important Info!'!$A$1:$H$135,8,FALSE)</f>
        <v>-</v>
      </c>
      <c r="L2243" s="52">
        <f>VLOOKUP(Tabla3[[#This Row],[Site]],'Important Info!'!$A$1:$F$135,2,FALSE)</f>
        <v>16</v>
      </c>
      <c r="M2243" s="52" t="str">
        <f>VLOOKUP(Tabla3[[#This Row],[Site]],'Important Info!'!$A$1:$F$135,3,FALSE)</f>
        <v>5, 10, 36, 38, 54, 58B</v>
      </c>
      <c r="N2243" s="52" t="str">
        <f>VLOOKUP(Tabla3[[#This Row],[Site]],'Important Info!'!$A$1:$F$135,4,FALSE)</f>
        <v>-</v>
      </c>
      <c r="O2243" s="52" t="str">
        <f>VLOOKUP(Tabla3[[#This Row],[Site]],'Important Info!'!$A$1:$F$135,5,FALSE)</f>
        <v>5, 17, 37</v>
      </c>
      <c r="P2243" s="52" t="str">
        <f>VLOOKUP(Tabla3[[#This Row],[Site]],'Important Info!'!$A$1:$F$135,6,FALSE)</f>
        <v>1, 2, 3, 4</v>
      </c>
      <c r="Q2243" s="91">
        <f>VLOOKUP(Tabla3[[#This Row],[Site]],'Important Info!'!$A$1:$J$135,9,FALSE)</f>
        <v>151</v>
      </c>
    </row>
    <row r="2244" spans="1:17" x14ac:dyDescent="0.25">
      <c r="A2244" t="str">
        <f>+Tabla3[[#This Row],[Site]]&amp;Tabla3[[#This Row],[Split]]</f>
        <v>(SCH) Auto Body Shop Lake Park23</v>
      </c>
      <c r="B2244">
        <v>23</v>
      </c>
      <c r="C2244">
        <v>7</v>
      </c>
      <c r="D2244" t="s">
        <v>62</v>
      </c>
      <c r="E2244" t="s">
        <v>35</v>
      </c>
      <c r="F2244" t="s">
        <v>189</v>
      </c>
      <c r="G2244" t="s">
        <v>490</v>
      </c>
      <c r="H2244" s="52" t="str">
        <f>VLOOKUP(Tabla3[[#This Row],[Site]],'Important Info!'!$A$1:$J$135,10,FALSE)</f>
        <v>https://tools.sig.systems/site/details/158</v>
      </c>
      <c r="I2244" s="43"/>
      <c r="J2244" t="s">
        <v>41</v>
      </c>
      <c r="K2244" s="79" t="str">
        <f>VLOOKUP(Tabla3[[#This Row],[Site]],'Important Info!'!$A$1:$H$135,8,FALSE)</f>
        <v>-</v>
      </c>
      <c r="L2244" s="52" t="str">
        <f>VLOOKUP(Tabla3[[#This Row],[Site]],'Important Info!'!$A$1:$F$135,2,FALSE)</f>
        <v>3, 10</v>
      </c>
      <c r="M2244" s="52" t="str">
        <f>VLOOKUP(Tabla3[[#This Row],[Site]],'Important Info!'!$A$1:$F$135,3,FALSE)</f>
        <v>-</v>
      </c>
      <c r="N2244" s="52" t="str">
        <f>VLOOKUP(Tabla3[[#This Row],[Site]],'Important Info!'!$A$1:$F$135,4,FALSE)</f>
        <v>-</v>
      </c>
      <c r="O2244" s="52" t="str">
        <f>VLOOKUP(Tabla3[[#This Row],[Site]],'Important Info!'!$A$1:$F$135,5,FALSE)</f>
        <v>-</v>
      </c>
      <c r="P2244" s="52" t="str">
        <f>VLOOKUP(Tabla3[[#This Row],[Site]],'Important Info!'!$A$1:$F$135,6,FALSE)</f>
        <v>-</v>
      </c>
      <c r="Q2244" s="91">
        <f>VLOOKUP(Tabla3[[#This Row],[Site]],'Important Info!'!$A$1:$J$135,9,FALSE)</f>
        <v>158</v>
      </c>
    </row>
    <row r="2245" spans="1:17" x14ac:dyDescent="0.25">
      <c r="A2245" t="str">
        <f>+Tabla3[[#This Row],[Site]]&amp;Tabla3[[#This Row],[Split]]</f>
        <v>(AS) Courtesy Honda Palm Harbor (NO TOURS)23</v>
      </c>
      <c r="B2245">
        <v>23</v>
      </c>
      <c r="C2245">
        <v>8</v>
      </c>
      <c r="D2245" t="s">
        <v>62</v>
      </c>
      <c r="E2245" t="s">
        <v>35</v>
      </c>
      <c r="F2245" t="s">
        <v>108</v>
      </c>
      <c r="G2245" t="s">
        <v>490</v>
      </c>
      <c r="H2245" s="52" t="str">
        <f>VLOOKUP(Tabla3[[#This Row],[Site]],'Important Info!'!$A$1:$J$135,10,FALSE)</f>
        <v>https://tools.sig.systems/site/details/176</v>
      </c>
      <c r="I2245" s="2"/>
      <c r="J2245" t="s">
        <v>36</v>
      </c>
      <c r="K2245" s="79" t="str">
        <f>VLOOKUP(Tabla3[[#This Row],[Site]],'Important Info!'!$A$1:$H$135,8,FALSE)</f>
        <v>-</v>
      </c>
      <c r="L2245" s="52">
        <f>VLOOKUP(Tabla3[[#This Row],[Site]],'Important Info!'!$A$1:$F$135,2,FALSE)</f>
        <v>2</v>
      </c>
      <c r="M2245" s="52" t="str">
        <f>VLOOKUP(Tabla3[[#This Row],[Site]],'Important Info!'!$A$1:$F$135,3,FALSE)</f>
        <v>-</v>
      </c>
      <c r="N2245" s="52" t="str">
        <f>VLOOKUP(Tabla3[[#This Row],[Site]],'Important Info!'!$A$1:$F$135,4,FALSE)</f>
        <v>-</v>
      </c>
      <c r="O2245" s="52" t="str">
        <f>VLOOKUP(Tabla3[[#This Row],[Site]],'Important Info!'!$A$1:$F$135,5,FALSE)</f>
        <v>4, 8, 21</v>
      </c>
      <c r="P2245" s="52">
        <f>VLOOKUP(Tabla3[[#This Row],[Site]],'Important Info!'!$A$1:$F$135,6,FALSE)</f>
        <v>10</v>
      </c>
      <c r="Q2245" s="91">
        <f>VLOOKUP(Tabla3[[#This Row],[Site]],'Important Info!'!$A$1:$J$135,9,FALSE)</f>
        <v>176</v>
      </c>
    </row>
    <row r="2246" spans="1:17" x14ac:dyDescent="0.25">
      <c r="A2246" t="str">
        <f>+Tabla3[[#This Row],[Site]]&amp;Tabla3[[#This Row],[Split]]</f>
        <v>(AS) Nalley Lexus &amp; Remote Lot Roswell (NO TOURS)23</v>
      </c>
      <c r="B2246">
        <v>23</v>
      </c>
      <c r="C2246">
        <v>8</v>
      </c>
      <c r="D2246" t="s">
        <v>60</v>
      </c>
      <c r="E2246" t="s">
        <v>35</v>
      </c>
      <c r="F2246" t="s">
        <v>511</v>
      </c>
      <c r="G2246" t="s">
        <v>41</v>
      </c>
      <c r="H2246" s="52" t="str">
        <f>VLOOKUP(Tabla3[[#This Row],[Site]],'Important Info!'!$A$1:$J$135,10,FALSE)</f>
        <v>https://tools.sig.systems/site/details/131</v>
      </c>
      <c r="I2246" s="2" t="s">
        <v>166</v>
      </c>
      <c r="J2246" t="s">
        <v>41</v>
      </c>
      <c r="K2246" s="79" t="str">
        <f>VLOOKUP(Tabla3[[#This Row],[Site]],'Important Info!'!$A$1:$H$135,8,FALSE)</f>
        <v>Dealership 11PM to 5AM (Mon to Fri). Sunday Drop Time 1PM</v>
      </c>
      <c r="L2246" s="52" t="str">
        <f>VLOOKUP(Tabla3[[#This Row],[Site]],'Important Info!'!$A$1:$F$135,2,FALSE)</f>
        <v>6, 13</v>
      </c>
      <c r="M2246" s="52">
        <f>VLOOKUP(Tabla3[[#This Row],[Site]],'Important Info!'!$A$1:$F$135,3,FALSE)</f>
        <v>4</v>
      </c>
      <c r="N2246" s="52">
        <f>VLOOKUP(Tabla3[[#This Row],[Site]],'Important Info!'!$A$1:$F$135,4,FALSE)</f>
        <v>1</v>
      </c>
      <c r="O2246" s="52" t="str">
        <f>VLOOKUP(Tabla3[[#This Row],[Site]],'Important Info!'!$A$1:$F$135,5,FALSE)</f>
        <v>1, 8, 19</v>
      </c>
      <c r="P2246" s="52" t="str">
        <f>VLOOKUP(Tabla3[[#This Row],[Site]],'Important Info!'!$A$1:$F$135,6,FALSE)</f>
        <v>4, 20</v>
      </c>
      <c r="Q2246" s="91">
        <f>VLOOKUP(Tabla3[[#This Row],[Site]],'Important Info!'!$A$1:$J$135,9,FALSE)</f>
        <v>131</v>
      </c>
    </row>
    <row r="2247" spans="1:17" x14ac:dyDescent="0.25">
      <c r="A2247" t="str">
        <f>+Tabla3[[#This Row],[Site]]&amp;Tabla3[[#This Row],[Split]]</f>
        <v>(AS) Park Place Bodywerks Dallas (NO TOURS)23</v>
      </c>
      <c r="B2247">
        <v>23</v>
      </c>
      <c r="C2247">
        <v>8</v>
      </c>
      <c r="D2247" t="s">
        <v>33</v>
      </c>
      <c r="E2247" t="s">
        <v>46</v>
      </c>
      <c r="F2247" t="s">
        <v>514</v>
      </c>
      <c r="G2247" t="s">
        <v>34</v>
      </c>
      <c r="H2247" s="52" t="str">
        <f>VLOOKUP(Tabla3[[#This Row],[Site]],'Important Info!'!$A$1:$J$135,10,FALSE)</f>
        <v>https://tools.sig.systems/site/details/166</v>
      </c>
      <c r="I2247" s="65" t="s">
        <v>125</v>
      </c>
      <c r="J2247" t="s">
        <v>41</v>
      </c>
      <c r="K2247" s="79" t="str">
        <f>VLOOKUP(Tabla3[[#This Row],[Site]],'Important Info!'!$A$1:$H$135,8,FALSE)</f>
        <v>-</v>
      </c>
      <c r="L2247" s="52">
        <f>VLOOKUP(Tabla3[[#This Row],[Site]],'Important Info!'!$A$1:$F$135,2,FALSE)</f>
        <v>3</v>
      </c>
      <c r="M2247" s="52">
        <f>VLOOKUP(Tabla3[[#This Row],[Site]],'Important Info!'!$A$1:$F$135,3,FALSE)</f>
        <v>1</v>
      </c>
      <c r="N2247" s="52" t="str">
        <f>VLOOKUP(Tabla3[[#This Row],[Site]],'Important Info!'!$A$1:$F$135,4,FALSE)</f>
        <v>-</v>
      </c>
      <c r="O2247" s="52" t="str">
        <f>VLOOKUP(Tabla3[[#This Row],[Site]],'Important Info!'!$A$1:$F$135,5,FALSE)</f>
        <v>-</v>
      </c>
      <c r="P2247" s="52" t="str">
        <f>VLOOKUP(Tabla3[[#This Row],[Site]],'Important Info!'!$A$1:$F$135,6,FALSE)</f>
        <v>1, 2, 8</v>
      </c>
      <c r="Q2247" s="91">
        <f>VLOOKUP(Tabla3[[#This Row],[Site]],'Important Info!'!$A$1:$J$135,9,FALSE)</f>
        <v>166</v>
      </c>
    </row>
    <row r="2248" spans="1:17" x14ac:dyDescent="0.25">
      <c r="A2248" t="str">
        <f>+Tabla3[[#This Row],[Site]]&amp;Tabla3[[#This Row],[Split]]</f>
        <v>(KG) Big Star Honda23</v>
      </c>
      <c r="B2248">
        <v>23</v>
      </c>
      <c r="C2248">
        <v>8</v>
      </c>
      <c r="D2248" t="s">
        <v>33</v>
      </c>
      <c r="E2248" t="s">
        <v>46</v>
      </c>
      <c r="F2248" t="s">
        <v>136</v>
      </c>
      <c r="G2248" t="s">
        <v>34</v>
      </c>
      <c r="H2248" s="52" t="str">
        <f>VLOOKUP(Tabla3[[#This Row],[Site]],'Important Info!'!$A$1:$J$135,10,FALSE)</f>
        <v>https://tools.sig.systems/site/details/231</v>
      </c>
      <c r="J2248" t="s">
        <v>41</v>
      </c>
      <c r="K2248" s="79" t="str">
        <f>VLOOKUP(Tabla3[[#This Row],[Site]],'Important Info!'!$A$1:$H$135,8,FALSE)</f>
        <v>-</v>
      </c>
      <c r="L2248" s="52" t="str">
        <f>VLOOKUP(Tabla3[[#This Row],[Site]],'Important Info!'!$A$1:$F$135,2,FALSE)</f>
        <v>2, 17, 33</v>
      </c>
      <c r="M2248" s="52" t="str">
        <f>VLOOKUP(Tabla3[[#This Row],[Site]],'Important Info!'!$A$1:$F$135,3,FALSE)</f>
        <v>-</v>
      </c>
      <c r="N2248" s="52" t="str">
        <f>VLOOKUP(Tabla3[[#This Row],[Site]],'Important Info!'!$A$1:$F$135,4,FALSE)</f>
        <v>-</v>
      </c>
      <c r="O2248" s="52" t="str">
        <f>VLOOKUP(Tabla3[[#This Row],[Site]],'Important Info!'!$A$1:$F$135,5,FALSE)</f>
        <v>3, 11, 16, 21, 24, 31, 34</v>
      </c>
      <c r="P2248" s="52" t="str">
        <f>VLOOKUP(Tabla3[[#This Row],[Site]],'Important Info!'!$A$1:$F$135,6,FALSE)</f>
        <v xml:space="preserve">2, 3, 17, 22, 37, 41, 42 </v>
      </c>
      <c r="Q2248" s="91">
        <f>VLOOKUP(Tabla3[[#This Row],[Site]],'Important Info!'!$A$1:$J$135,9,FALSE)</f>
        <v>231</v>
      </c>
    </row>
    <row r="2249" spans="1:17" x14ac:dyDescent="0.25">
      <c r="A2249" t="str">
        <f>+Tabla3[[#This Row],[Site]]&amp;Tabla3[[#This Row],[Split]]</f>
        <v>(ML) Joe Machens Nissan23</v>
      </c>
      <c r="B2249">
        <v>23</v>
      </c>
      <c r="C2249">
        <v>8</v>
      </c>
      <c r="D2249" t="s">
        <v>33</v>
      </c>
      <c r="E2249" t="s">
        <v>46</v>
      </c>
      <c r="F2249" t="s">
        <v>104</v>
      </c>
      <c r="G2249" t="s">
        <v>34</v>
      </c>
      <c r="H2249" s="52" t="str">
        <f>VLOOKUP(Tabla3[[#This Row],[Site]],'Important Info!'!$A$1:$J$135,10,FALSE)</f>
        <v>https://tools.sig.systems/site/details/279</v>
      </c>
      <c r="I2249" s="43" t="s">
        <v>146</v>
      </c>
      <c r="J2249" t="s">
        <v>41</v>
      </c>
      <c r="K2249" s="79" t="str">
        <f>VLOOKUP(Tabla3[[#This Row],[Site]],'Important Info!'!$A$1:$H$135,8,FALSE)</f>
        <v>-</v>
      </c>
      <c r="L2249" s="52" t="str">
        <f>VLOOKUP(Tabla3[[#This Row],[Site]],'Important Info!'!$A$1:$F$135,2,FALSE)</f>
        <v>-</v>
      </c>
      <c r="M2249" s="52" t="str">
        <f>VLOOKUP(Tabla3[[#This Row],[Site]],'Important Info!'!$A$1:$F$135,3,FALSE)</f>
        <v>1, 3, 16</v>
      </c>
      <c r="N2249" s="52" t="str">
        <f>VLOOKUP(Tabla3[[#This Row],[Site]],'Important Info!'!$A$1:$F$135,4,FALSE)</f>
        <v>-</v>
      </c>
      <c r="O2249" s="52" t="str">
        <f>VLOOKUP(Tabla3[[#This Row],[Site]],'Important Info!'!$A$1:$F$135,5,FALSE)</f>
        <v>-</v>
      </c>
      <c r="P2249" s="52" t="str">
        <f>VLOOKUP(Tabla3[[#This Row],[Site]],'Important Info!'!$A$1:$F$135,6,FALSE)</f>
        <v>-</v>
      </c>
      <c r="Q2249" s="91">
        <f>VLOOKUP(Tabla3[[#This Row],[Site]],'Important Info!'!$A$1:$J$135,9,FALSE)</f>
        <v>279</v>
      </c>
    </row>
    <row r="2250" spans="1:17" x14ac:dyDescent="0.25">
      <c r="A2250" t="str">
        <f>+Tabla3[[#This Row],[Site]]&amp;Tabla3[[#This Row],[Split]]</f>
        <v>(AS) Park Place MB Recon Center Dallas (NO TOURS)23</v>
      </c>
      <c r="B2250">
        <v>23</v>
      </c>
      <c r="C2250">
        <v>9</v>
      </c>
      <c r="D2250" t="s">
        <v>33</v>
      </c>
      <c r="E2250" t="s">
        <v>46</v>
      </c>
      <c r="F2250" t="s">
        <v>517</v>
      </c>
      <c r="G2250" t="s">
        <v>34</v>
      </c>
      <c r="H2250" s="52" t="str">
        <f>VLOOKUP(Tabla3[[#This Row],[Site]],'Important Info!'!$A$1:$J$135,10,FALSE)</f>
        <v>https://tools.sig.systems/site/details/170</v>
      </c>
      <c r="I2250" s="65" t="s">
        <v>125</v>
      </c>
      <c r="J2250" t="s">
        <v>41</v>
      </c>
      <c r="K2250" s="79" t="str">
        <f>VLOOKUP(Tabla3[[#This Row],[Site]],'Important Info!'!$A$1:$H$135,8,FALSE)</f>
        <v>-</v>
      </c>
      <c r="L2250" s="52" t="str">
        <f>VLOOKUP(Tabla3[[#This Row],[Site]],'Important Info!'!$A$1:$F$135,2,FALSE)</f>
        <v>3, 39</v>
      </c>
      <c r="M2250" s="52" t="str">
        <f>VLOOKUP(Tabla3[[#This Row],[Site]],'Important Info!'!$A$1:$F$135,3,FALSE)</f>
        <v>-</v>
      </c>
      <c r="N2250" s="52" t="str">
        <f>VLOOKUP(Tabla3[[#This Row],[Site]],'Important Info!'!$A$1:$F$135,4,FALSE)</f>
        <v>-</v>
      </c>
      <c r="O2250" s="52" t="str">
        <f>VLOOKUP(Tabla3[[#This Row],[Site]],'Important Info!'!$A$1:$F$135,5,FALSE)</f>
        <v>4, 11</v>
      </c>
      <c r="P2250" s="52">
        <f>VLOOKUP(Tabla3[[#This Row],[Site]],'Important Info!'!$A$1:$F$135,6,FALSE)</f>
        <v>1</v>
      </c>
      <c r="Q2250" s="91">
        <f>VLOOKUP(Tabla3[[#This Row],[Site]],'Important Info!'!$A$1:$J$135,9,FALSE)</f>
        <v>170</v>
      </c>
    </row>
    <row r="2251" spans="1:17" x14ac:dyDescent="0.25">
      <c r="A2251" t="str">
        <f>+Tabla3[[#This Row],[Site]]&amp;Tabla3[[#This Row],[Split]]</f>
        <v>(ML) Joe Machens Ford Lincoln I &amp; II23</v>
      </c>
      <c r="B2251">
        <v>23</v>
      </c>
      <c r="C2251">
        <v>9</v>
      </c>
      <c r="D2251" t="s">
        <v>33</v>
      </c>
      <c r="E2251" t="s">
        <v>46</v>
      </c>
      <c r="F2251" t="s">
        <v>148</v>
      </c>
      <c r="G2251" t="s">
        <v>34</v>
      </c>
      <c r="H2251" s="52" t="str">
        <f>VLOOKUP(Tabla3[[#This Row],[Site]],'Important Info!'!$A$1:$J$135,10,FALSE)</f>
        <v>https://tools.sig.systems/site/details/266</v>
      </c>
      <c r="I2251" s="43" t="s">
        <v>146</v>
      </c>
      <c r="J2251" t="s">
        <v>41</v>
      </c>
      <c r="K2251" s="79" t="str">
        <f>VLOOKUP(Tabla3[[#This Row],[Site]],'Important Info!'!$A$1:$H$135,8,FALSE)</f>
        <v>-</v>
      </c>
      <c r="L2251" s="52" t="str">
        <f>VLOOKUP(Tabla3[[#This Row],[Site]],'Important Info!'!$A$1:$F$135,2,FALSE)</f>
        <v>-</v>
      </c>
      <c r="M2251" s="52" t="str">
        <f>VLOOKUP(Tabla3[[#This Row],[Site]],'Important Info!'!$A$1:$F$135,3,FALSE)</f>
        <v>4, 6, 9, 13, 14, 17, 26, 27, 28, 29, 30</v>
      </c>
      <c r="N2251" s="52" t="str">
        <f>VLOOKUP(Tabla3[[#This Row],[Site]],'Important Info!'!$A$1:$F$135,4,FALSE)</f>
        <v>-</v>
      </c>
      <c r="O2251" s="52" t="str">
        <f>VLOOKUP(Tabla3[[#This Row],[Site]],'Important Info!'!$A$1:$F$135,5,FALSE)</f>
        <v>23, 40, 49</v>
      </c>
      <c r="P2251" s="52" t="str">
        <f>VLOOKUP(Tabla3[[#This Row],[Site]],'Important Info!'!$A$1:$F$135,6,FALSE)</f>
        <v>-</v>
      </c>
      <c r="Q2251" s="91">
        <f>VLOOKUP(Tabla3[[#This Row],[Site]],'Important Info!'!$A$1:$J$135,9,FALSE)</f>
        <v>266</v>
      </c>
    </row>
    <row r="2252" spans="1:17" x14ac:dyDescent="0.25">
      <c r="A2252" t="str">
        <f>+Tabla3[[#This Row],[Site]]&amp;Tabla3[[#This Row],[Split]]</f>
        <v>(ML) Joe Machens Kia of Columbia23</v>
      </c>
      <c r="B2252">
        <v>23</v>
      </c>
      <c r="C2252">
        <v>9</v>
      </c>
      <c r="D2252" t="s">
        <v>33</v>
      </c>
      <c r="E2252" t="s">
        <v>46</v>
      </c>
      <c r="F2252" t="s">
        <v>149</v>
      </c>
      <c r="G2252" t="s">
        <v>34</v>
      </c>
      <c r="H2252" s="52" t="str">
        <f>VLOOKUP(Tabla3[[#This Row],[Site]],'Important Info!'!$A$1:$J$135,10,FALSE)</f>
        <v>https://tools.sig.systems/site/details/270</v>
      </c>
      <c r="I2252" s="43" t="s">
        <v>146</v>
      </c>
      <c r="J2252" t="s">
        <v>41</v>
      </c>
      <c r="K2252" s="79" t="str">
        <f>VLOOKUP(Tabla3[[#This Row],[Site]],'Important Info!'!$A$1:$H$135,8,FALSE)</f>
        <v>-</v>
      </c>
      <c r="L2252" s="52" t="str">
        <f>VLOOKUP(Tabla3[[#This Row],[Site]],'Important Info!'!$A$1:$F$135,2,FALSE)</f>
        <v>-</v>
      </c>
      <c r="M2252" s="52" t="str">
        <f>VLOOKUP(Tabla3[[#This Row],[Site]],'Important Info!'!$A$1:$F$135,3,FALSE)</f>
        <v>1, 2, 5, 6, 9, 13, 15</v>
      </c>
      <c r="N2252" s="52" t="str">
        <f>VLOOKUP(Tabla3[[#This Row],[Site]],'Important Info!'!$A$1:$F$135,4,FALSE)</f>
        <v>-</v>
      </c>
      <c r="O2252" s="52" t="str">
        <f>VLOOKUP(Tabla3[[#This Row],[Site]],'Important Info!'!$A$1:$F$135,5,FALSE)</f>
        <v>-</v>
      </c>
      <c r="P2252" s="52" t="str">
        <f>VLOOKUP(Tabla3[[#This Row],[Site]],'Important Info!'!$A$1:$F$135,6,FALSE)</f>
        <v>10, 11, 13</v>
      </c>
      <c r="Q2252" s="91">
        <f>VLOOKUP(Tabla3[[#This Row],[Site]],'Important Info!'!$A$1:$J$135,9,FALSE)</f>
        <v>270</v>
      </c>
    </row>
    <row r="2253" spans="1:17" x14ac:dyDescent="0.25">
      <c r="A2253" t="str">
        <f>+Tabla3[[#This Row],[Site]]&amp;Tabla3[[#This Row],[Split]]</f>
        <v>(SCH) Delray I &amp; II23</v>
      </c>
      <c r="B2253">
        <v>23</v>
      </c>
      <c r="C2253">
        <v>9</v>
      </c>
      <c r="D2253" t="s">
        <v>62</v>
      </c>
      <c r="E2253" t="s">
        <v>35</v>
      </c>
      <c r="F2253" t="s">
        <v>67</v>
      </c>
      <c r="G2253" t="s">
        <v>490</v>
      </c>
      <c r="H2253" s="52" t="str">
        <f>VLOOKUP(Tabla3[[#This Row],[Site]],'Important Info!'!$A$1:$J$135,10,FALSE)</f>
        <v>https://tools.sig.systems/site/details/159</v>
      </c>
      <c r="I2253" s="43"/>
      <c r="J2253" t="s">
        <v>36</v>
      </c>
      <c r="K2253" s="79" t="str">
        <f>VLOOKUP(Tabla3[[#This Row],[Site]],'Important Info!'!$A$1:$H$135,8,FALSE)</f>
        <v>-</v>
      </c>
      <c r="L2253" s="52" t="str">
        <f>VLOOKUP(Tabla3[[#This Row],[Site]],'Important Info!'!$A$1:$F$135,2,FALSE)</f>
        <v>5, 28, 31</v>
      </c>
      <c r="M2253" s="52" t="str">
        <f>VLOOKUP(Tabla3[[#This Row],[Site]],'Important Info!'!$A$1:$F$135,3,FALSE)</f>
        <v>1, 29</v>
      </c>
      <c r="N2253" s="52">
        <f>VLOOKUP(Tabla3[[#This Row],[Site]],'Important Info!'!$A$1:$F$135,4,FALSE)</f>
        <v>6</v>
      </c>
      <c r="O2253" s="52" t="str">
        <f>VLOOKUP(Tabla3[[#This Row],[Site]],'Important Info!'!$A$1:$F$135,5,FALSE)</f>
        <v>-</v>
      </c>
      <c r="P2253" s="52" t="str">
        <f>VLOOKUP(Tabla3[[#This Row],[Site]],'Important Info!'!$A$1:$F$135,6,FALSE)</f>
        <v>1, 35, 36</v>
      </c>
      <c r="Q2253" s="91">
        <f>VLOOKUP(Tabla3[[#This Row],[Site]],'Important Info!'!$A$1:$J$135,9,FALSE)</f>
        <v>159</v>
      </c>
    </row>
    <row r="2254" spans="1:17" x14ac:dyDescent="0.25">
      <c r="A2254" t="str">
        <f>+Tabla3[[#This Row],[Site]]&amp;Tabla3[[#This Row],[Split]]</f>
        <v>(DT) W Houston23</v>
      </c>
      <c r="B2254">
        <v>23</v>
      </c>
      <c r="C2254">
        <v>10</v>
      </c>
      <c r="D2254" t="s">
        <v>33</v>
      </c>
      <c r="E2254" t="s">
        <v>46</v>
      </c>
      <c r="F2254" t="s">
        <v>69</v>
      </c>
      <c r="G2254" t="s">
        <v>34</v>
      </c>
      <c r="H2254" s="52" t="str">
        <f>VLOOKUP(Tabla3[[#This Row],[Site]],'Important Info!'!$A$1:$J$135,10,FALSE)</f>
        <v>https://tools.sig.systems/site/details/197</v>
      </c>
      <c r="I2254" s="43"/>
      <c r="J2254" t="s">
        <v>41</v>
      </c>
      <c r="K2254" s="79" t="str">
        <f>VLOOKUP(Tabla3[[#This Row],[Site]],'Important Info!'!$A$1:$H$135,8,FALSE)</f>
        <v>-</v>
      </c>
      <c r="L2254" s="52">
        <f>VLOOKUP(Tabla3[[#This Row],[Site]],'Important Info!'!$A$1:$F$135,2,FALSE)</f>
        <v>7</v>
      </c>
      <c r="M2254" s="52">
        <f>VLOOKUP(Tabla3[[#This Row],[Site]],'Important Info!'!$A$1:$F$135,3,FALSE)</f>
        <v>2</v>
      </c>
      <c r="N2254" s="52" t="str">
        <f>VLOOKUP(Tabla3[[#This Row],[Site]],'Important Info!'!$A$1:$F$135,4,FALSE)</f>
        <v>-</v>
      </c>
      <c r="O2254" s="52">
        <f>VLOOKUP(Tabla3[[#This Row],[Site]],'Important Info!'!$A$1:$F$135,5,FALSE)</f>
        <v>14</v>
      </c>
      <c r="P2254" s="52" t="str">
        <f>VLOOKUP(Tabla3[[#This Row],[Site]],'Important Info!'!$A$1:$F$135,6,FALSE)</f>
        <v>2, 3, 7, 10</v>
      </c>
      <c r="Q2254" s="91">
        <f>VLOOKUP(Tabla3[[#This Row],[Site]],'Important Info!'!$A$1:$J$135,9,FALSE)</f>
        <v>197</v>
      </c>
    </row>
    <row r="2255" spans="1:17" x14ac:dyDescent="0.25">
      <c r="A2255" t="str">
        <f>+Tabla3[[#This Row],[Site]]&amp;Tabla3[[#This Row],[Split]]</f>
        <v>(SCH) West Palm Beach I, II &amp; III23</v>
      </c>
      <c r="B2255">
        <v>23</v>
      </c>
      <c r="C2255">
        <v>10</v>
      </c>
      <c r="D2255" t="s">
        <v>492</v>
      </c>
      <c r="E2255" t="s">
        <v>35</v>
      </c>
      <c r="F2255" t="s">
        <v>96</v>
      </c>
      <c r="G2255" t="s">
        <v>490</v>
      </c>
      <c r="H2255" s="52" t="str">
        <f>VLOOKUP(Tabla3[[#This Row],[Site]],'Important Info!'!$A$1:$J$135,10,FALSE)</f>
        <v>https://tools.sig.systems/site/details/162</v>
      </c>
      <c r="I2255" s="2"/>
      <c r="J2255" t="s">
        <v>36</v>
      </c>
      <c r="K2255" s="79" t="str">
        <f>VLOOKUP(Tabla3[[#This Row],[Site]],'Important Info!'!$A$1:$H$135,8,FALSE)</f>
        <v>SUNDAY: Log in at 5:30 p.m. ET.</v>
      </c>
      <c r="L2255" s="52" t="str">
        <f>VLOOKUP(Tabla3[[#This Row],[Site]],'Important Info!'!$A$1:$F$135,2,FALSE)</f>
        <v>34, 62</v>
      </c>
      <c r="M2255" s="52" t="str">
        <f>VLOOKUP(Tabla3[[#This Row],[Site]],'Important Info!'!$A$1:$F$135,3,FALSE)</f>
        <v xml:space="preserve">6, 7, 11, 13, </v>
      </c>
      <c r="N2255" s="52" t="str">
        <f>VLOOKUP(Tabla3[[#This Row],[Site]],'Important Info!'!$A$1:$F$135,4,FALSE)</f>
        <v>20, 21</v>
      </c>
      <c r="O2255" s="52" t="str">
        <f>VLOOKUP(Tabla3[[#This Row],[Site]],'Important Info!'!$A$1:$F$135,5,FALSE)</f>
        <v>-</v>
      </c>
      <c r="P2255" s="52" t="str">
        <f>VLOOKUP(Tabla3[[#This Row],[Site]],'Important Info!'!$A$1:$F$135,6,FALSE)</f>
        <v>1, 2, 3, 131, 132</v>
      </c>
      <c r="Q2255" s="91">
        <f>VLOOKUP(Tabla3[[#This Row],[Site]],'Important Info!'!$A$1:$J$135,9,FALSE)</f>
        <v>162</v>
      </c>
    </row>
    <row r="2256" spans="1:17" x14ac:dyDescent="0.25">
      <c r="A2256" t="str">
        <f>+Tabla3[[#This Row],[Site]]&amp;Tabla3[[#This Row],[Split]]</f>
        <v>SIG Office23</v>
      </c>
      <c r="B2256">
        <v>23</v>
      </c>
      <c r="C2256">
        <v>10</v>
      </c>
      <c r="D2256" t="s">
        <v>60</v>
      </c>
      <c r="E2256" t="s">
        <v>35</v>
      </c>
      <c r="F2256" t="s">
        <v>169</v>
      </c>
      <c r="G2256" t="s">
        <v>41</v>
      </c>
      <c r="H2256" s="52" t="str">
        <f>VLOOKUP(Tabla3[[#This Row],[Site]],'Important Info!'!$A$1:$J$135,10,FALSE)</f>
        <v>https://tools.sig.systems/site/details/163</v>
      </c>
      <c r="J2256" t="s">
        <v>41</v>
      </c>
      <c r="K2256" s="79" t="str">
        <f>VLOOKUP(Tabla3[[#This Row],[Site]],'Important Info!'!$A$1:$H$135,8,FALSE)</f>
        <v>-</v>
      </c>
      <c r="L2256" s="52" t="str">
        <f>VLOOKUP(Tabla3[[#This Row],[Site]],'Important Info!'!$A$1:$F$135,2,FALSE)</f>
        <v>-</v>
      </c>
      <c r="M2256" s="52" t="str">
        <f>VLOOKUP(Tabla3[[#This Row],[Site]],'Important Info!'!$A$1:$F$135,3,FALSE)</f>
        <v>-</v>
      </c>
      <c r="N2256" s="52" t="str">
        <f>VLOOKUP(Tabla3[[#This Row],[Site]],'Important Info!'!$A$1:$F$135,4,FALSE)</f>
        <v>-</v>
      </c>
      <c r="O2256" s="52" t="str">
        <f>VLOOKUP(Tabla3[[#This Row],[Site]],'Important Info!'!$A$1:$F$135,5,FALSE)</f>
        <v>-</v>
      </c>
      <c r="P2256" s="52">
        <f>VLOOKUP(Tabla3[[#This Row],[Site]],'Important Info!'!$A$1:$F$135,6,FALSE)</f>
        <v>25</v>
      </c>
      <c r="Q2256" s="91">
        <f>VLOOKUP(Tabla3[[#This Row],[Site]],'Important Info!'!$A$1:$J$135,9,FALSE)</f>
        <v>163</v>
      </c>
    </row>
    <row r="2257" spans="1:17" x14ac:dyDescent="0.25">
      <c r="A2257" t="str">
        <f>+Tabla3[[#This Row],[Site]]&amp;Tabla3[[#This Row],[Split]]</f>
        <v>(AS) David McDavid Lincoln Frisco (NO TOURS)23</v>
      </c>
      <c r="B2257">
        <v>23</v>
      </c>
      <c r="C2257">
        <v>11</v>
      </c>
      <c r="D2257" t="s">
        <v>33</v>
      </c>
      <c r="E2257" t="s">
        <v>46</v>
      </c>
      <c r="F2257" t="s">
        <v>507</v>
      </c>
      <c r="G2257" t="s">
        <v>34</v>
      </c>
      <c r="H2257" s="52" t="str">
        <f>VLOOKUP(Tabla3[[#This Row],[Site]],'Important Info!'!$A$1:$J$135,10,FALSE)</f>
        <v>https://tools.sig.systems/site/details/182</v>
      </c>
      <c r="I2257" s="43"/>
      <c r="J2257" t="s">
        <v>41</v>
      </c>
      <c r="K2257" s="79" t="str">
        <f>VLOOKUP(Tabla3[[#This Row],[Site]],'Important Info!'!$A$1:$H$135,8,FALSE)</f>
        <v>-</v>
      </c>
      <c r="L2257" s="52" t="str">
        <f>VLOOKUP(Tabla3[[#This Row],[Site]],'Important Info!'!$A$1:$F$135,2,FALSE)</f>
        <v>1, 2, 11</v>
      </c>
      <c r="M2257" s="52" t="str">
        <f>VLOOKUP(Tabla3[[#This Row],[Site]],'Important Info!'!$A$1:$F$135,3,FALSE)</f>
        <v>-</v>
      </c>
      <c r="N2257" s="52" t="str">
        <f>VLOOKUP(Tabla3[[#This Row],[Site]],'Important Info!'!$A$1:$F$135,4,FALSE)</f>
        <v>-</v>
      </c>
      <c r="O2257" s="52" t="str">
        <f>VLOOKUP(Tabla3[[#This Row],[Site]],'Important Info!'!$A$1:$F$135,5,FALSE)</f>
        <v>11, 16, 20</v>
      </c>
      <c r="P2257" s="52" t="str">
        <f>VLOOKUP(Tabla3[[#This Row],[Site]],'Important Info!'!$A$1:$F$135,6,FALSE)</f>
        <v>11, 12, 13, 14</v>
      </c>
      <c r="Q2257" s="91">
        <f>VLOOKUP(Tabla3[[#This Row],[Site]],'Important Info!'!$A$1:$J$135,9,FALSE)</f>
        <v>182</v>
      </c>
    </row>
    <row r="2258" spans="1:17" x14ac:dyDescent="0.25">
      <c r="A2258" t="str">
        <f>+Tabla3[[#This Row],[Site]]&amp;Tabla3[[#This Row],[Split]]</f>
        <v>(AS) Nalley BMW Collision Center (NO TOURS)23</v>
      </c>
      <c r="B2258">
        <v>23</v>
      </c>
      <c r="C2258">
        <v>11</v>
      </c>
      <c r="D2258" t="s">
        <v>62</v>
      </c>
      <c r="E2258" t="s">
        <v>35</v>
      </c>
      <c r="F2258" t="s">
        <v>510</v>
      </c>
      <c r="G2258" t="s">
        <v>490</v>
      </c>
      <c r="H2258" s="52" t="str">
        <f>VLOOKUP(Tabla3[[#This Row],[Site]],'Important Info!'!$A$1:$J$135,10,FALSE)</f>
        <v>https://tools.sig.systems/site/details/220</v>
      </c>
      <c r="I2258" s="2"/>
      <c r="J2258" t="s">
        <v>41</v>
      </c>
      <c r="K2258" s="79" t="str">
        <f>VLOOKUP(Tabla3[[#This Row],[Site]],'Important Info!'!$A$1:$H$135,8,FALSE)</f>
        <v>-</v>
      </c>
      <c r="L2258" s="52" t="str">
        <f>VLOOKUP(Tabla3[[#This Row],[Site]],'Important Info!'!$A$1:$F$135,2,FALSE)</f>
        <v>-</v>
      </c>
      <c r="M2258" s="52">
        <f>VLOOKUP(Tabla3[[#This Row],[Site]],'Important Info!'!$A$1:$F$135,3,FALSE)</f>
        <v>4</v>
      </c>
      <c r="N2258" s="52" t="str">
        <f>VLOOKUP(Tabla3[[#This Row],[Site]],'Important Info!'!$A$1:$F$135,4,FALSE)</f>
        <v>-</v>
      </c>
      <c r="O2258" s="52">
        <f>VLOOKUP(Tabla3[[#This Row],[Site]],'Important Info!'!$A$1:$F$135,5,FALSE)</f>
        <v>12</v>
      </c>
      <c r="P2258" s="52" t="str">
        <f>VLOOKUP(Tabla3[[#This Row],[Site]],'Important Info!'!$A$1:$F$135,6,FALSE)</f>
        <v>13, 15</v>
      </c>
      <c r="Q2258" s="91">
        <f>VLOOKUP(Tabla3[[#This Row],[Site]],'Important Info!'!$A$1:$J$135,9,FALSE)</f>
        <v>220</v>
      </c>
    </row>
    <row r="2259" spans="1:17" x14ac:dyDescent="0.25">
      <c r="A2259" t="str">
        <f>+Tabla3[[#This Row],[Site]]&amp;Tabla3[[#This Row],[Split]]</f>
        <v>(DT) Albuquerque23</v>
      </c>
      <c r="B2259">
        <v>23</v>
      </c>
      <c r="C2259">
        <v>11</v>
      </c>
      <c r="D2259" t="s">
        <v>44</v>
      </c>
      <c r="E2259" t="s">
        <v>53</v>
      </c>
      <c r="F2259" t="s">
        <v>155</v>
      </c>
      <c r="G2259" t="s">
        <v>45</v>
      </c>
      <c r="H2259" s="52" t="str">
        <f>VLOOKUP(Tabla3[[#This Row],[Site]],'Important Info!'!$A$1:$J$135,10,FALSE)</f>
        <v>https://tools.sig.systems/site/details/237</v>
      </c>
      <c r="J2259" t="s">
        <v>41</v>
      </c>
      <c r="K2259" s="79" t="str">
        <f>VLOOKUP(Tabla3[[#This Row],[Site]],'Important Info!'!$A$1:$H$135,8,FALSE)</f>
        <v>-</v>
      </c>
      <c r="L2259" s="52" t="str">
        <f>VLOOKUP(Tabla3[[#This Row],[Site]],'Important Info!'!$A$1:$F$135,2,FALSE)</f>
        <v>14, 16</v>
      </c>
      <c r="M2259" s="52" t="str">
        <f>VLOOKUP(Tabla3[[#This Row],[Site]],'Important Info!'!$A$1:$F$135,3,FALSE)</f>
        <v>-</v>
      </c>
      <c r="N2259" s="52" t="str">
        <f>VLOOKUP(Tabla3[[#This Row],[Site]],'Important Info!'!$A$1:$F$135,4,FALSE)</f>
        <v>-</v>
      </c>
      <c r="O2259" s="52" t="str">
        <f>VLOOKUP(Tabla3[[#This Row],[Site]],'Important Info!'!$A$1:$F$135,5,FALSE)</f>
        <v>14, 15</v>
      </c>
      <c r="P2259" s="52" t="str">
        <f>VLOOKUP(Tabla3[[#This Row],[Site]],'Important Info!'!$A$1:$F$135,6,FALSE)</f>
        <v>12, 14, 16</v>
      </c>
      <c r="Q2259" s="91">
        <f>VLOOKUP(Tabla3[[#This Row],[Site]],'Important Info!'!$A$1:$J$135,9,FALSE)</f>
        <v>237</v>
      </c>
    </row>
    <row r="2260" spans="1:17" x14ac:dyDescent="0.25">
      <c r="A2260" t="str">
        <f>+Tabla3[[#This Row],[Site]]&amp;Tabla3[[#This Row],[Split]]</f>
        <v>(ML) McLarty-Gray Daniels Chevrolet23</v>
      </c>
      <c r="B2260">
        <v>23</v>
      </c>
      <c r="C2260">
        <v>11</v>
      </c>
      <c r="D2260" t="s">
        <v>33</v>
      </c>
      <c r="E2260" t="s">
        <v>46</v>
      </c>
      <c r="F2260" t="s">
        <v>151</v>
      </c>
      <c r="G2260" t="s">
        <v>34</v>
      </c>
      <c r="H2260" s="52" t="str">
        <f>VLOOKUP(Tabla3[[#This Row],[Site]],'Important Info!'!$A$1:$J$135,10,FALSE)</f>
        <v>https://tools.sig.systems/site/details/150</v>
      </c>
      <c r="I2260" s="2"/>
      <c r="J2260" t="s">
        <v>41</v>
      </c>
      <c r="K2260" s="79" t="str">
        <f>VLOOKUP(Tabla3[[#This Row],[Site]],'Important Info!'!$A$1:$H$135,8,FALSE)</f>
        <v>-</v>
      </c>
      <c r="L2260" s="52" t="str">
        <f>VLOOKUP(Tabla3[[#This Row],[Site]],'Important Info!'!$A$1:$F$135,2,FALSE)</f>
        <v>3, 4, 5, 22, 24, 26, 28, 36</v>
      </c>
      <c r="M2260" s="52" t="str">
        <f>VLOOKUP(Tabla3[[#This Row],[Site]],'Important Info!'!$A$1:$F$135,3,FALSE)</f>
        <v>-</v>
      </c>
      <c r="N2260" s="52" t="str">
        <f>VLOOKUP(Tabla3[[#This Row],[Site]],'Important Info!'!$A$1:$F$135,4,FALSE)</f>
        <v>-</v>
      </c>
      <c r="O2260" s="52" t="str">
        <f>VLOOKUP(Tabla3[[#This Row],[Site]],'Important Info!'!$A$1:$F$135,5,FALSE)</f>
        <v>4, 7, 12, 26</v>
      </c>
      <c r="P2260" s="52" t="str">
        <f>VLOOKUP(Tabla3[[#This Row],[Site]],'Important Info!'!$A$1:$F$135,6,FALSE)</f>
        <v>1, 3, 5, 6, 23, 24</v>
      </c>
      <c r="Q2260" s="91">
        <f>VLOOKUP(Tabla3[[#This Row],[Site]],'Important Info!'!$A$1:$J$135,9,FALSE)</f>
        <v>150</v>
      </c>
    </row>
    <row r="2261" spans="1:17" x14ac:dyDescent="0.25">
      <c r="A2261" t="str">
        <f>+Tabla3[[#This Row],[Site]]&amp;Tabla3[[#This Row],[Split]]</f>
        <v>(ML) Volvo Collision Corp23</v>
      </c>
      <c r="B2261">
        <v>23</v>
      </c>
      <c r="C2261">
        <v>11</v>
      </c>
      <c r="D2261" t="s">
        <v>33</v>
      </c>
      <c r="E2261" t="s">
        <v>46</v>
      </c>
      <c r="F2261" t="s">
        <v>106</v>
      </c>
      <c r="G2261" t="s">
        <v>34</v>
      </c>
      <c r="H2261" s="52" t="str">
        <f>VLOOKUP(Tabla3[[#This Row],[Site]],'Important Info!'!$A$1:$J$135,10,FALSE)</f>
        <v>https://tools.sig.systems/site/details/223</v>
      </c>
      <c r="I2261" s="43"/>
      <c r="J2261" t="s">
        <v>41</v>
      </c>
      <c r="K2261" s="79" t="str">
        <f>VLOOKUP(Tabla3[[#This Row],[Site]],'Important Info!'!$A$1:$H$135,8,FALSE)</f>
        <v>-</v>
      </c>
      <c r="L2261" s="52" t="str">
        <f>VLOOKUP(Tabla3[[#This Row],[Site]],'Important Info!'!$A$1:$F$135,2,FALSE)</f>
        <v>7, 11</v>
      </c>
      <c r="M2261" s="52">
        <f>VLOOKUP(Tabla3[[#This Row],[Site]],'Important Info!'!$A$1:$F$135,3,FALSE)</f>
        <v>4</v>
      </c>
      <c r="N2261" s="52" t="str">
        <f>VLOOKUP(Tabla3[[#This Row],[Site]],'Important Info!'!$A$1:$F$135,4,FALSE)</f>
        <v>-</v>
      </c>
      <c r="O2261" s="52">
        <f>VLOOKUP(Tabla3[[#This Row],[Site]],'Important Info!'!$A$1:$F$135,5,FALSE)</f>
        <v>18</v>
      </c>
      <c r="P2261" s="52" t="str">
        <f>VLOOKUP(Tabla3[[#This Row],[Site]],'Important Info!'!$A$1:$F$135,6,FALSE)</f>
        <v>-</v>
      </c>
      <c r="Q2261" s="91">
        <f>VLOOKUP(Tabla3[[#This Row],[Site]],'Important Info!'!$A$1:$J$135,9,FALSE)</f>
        <v>223</v>
      </c>
    </row>
    <row r="2262" spans="1:17" x14ac:dyDescent="0.25">
      <c r="A2262" t="str">
        <f>+Tabla3[[#This Row],[Site]]&amp;Tabla3[[#This Row],[Split]]</f>
        <v>(PE) Fairfield Collision (NO TOURS)23</v>
      </c>
      <c r="B2262">
        <v>23</v>
      </c>
      <c r="C2262">
        <v>11</v>
      </c>
      <c r="D2262" t="s">
        <v>485</v>
      </c>
      <c r="E2262" t="s">
        <v>35</v>
      </c>
      <c r="F2262" t="s">
        <v>63</v>
      </c>
      <c r="G2262" t="s">
        <v>490</v>
      </c>
      <c r="H2262" s="52" t="str">
        <f>VLOOKUP(Tabla3[[#This Row],[Site]],'Important Info!'!$A$1:$J$135,10,FALSE)</f>
        <v>https://tools.sig.systems/site/details/191</v>
      </c>
      <c r="J2262" t="s">
        <v>41</v>
      </c>
      <c r="K2262" s="79" t="str">
        <f>VLOOKUP(Tabla3[[#This Row],[Site]],'Important Info!'!$A$1:$H$135,8,FALSE)</f>
        <v>-</v>
      </c>
      <c r="L2262" s="52">
        <f>VLOOKUP(Tabla3[[#This Row],[Site]],'Important Info!'!$A$1:$F$135,2,FALSE)</f>
        <v>4</v>
      </c>
      <c r="M2262" s="52" t="str">
        <f>VLOOKUP(Tabla3[[#This Row],[Site]],'Important Info!'!$A$1:$F$135,3,FALSE)</f>
        <v>-</v>
      </c>
      <c r="N2262" s="52" t="str">
        <f>VLOOKUP(Tabla3[[#This Row],[Site]],'Important Info!'!$A$1:$F$135,4,FALSE)</f>
        <v>-</v>
      </c>
      <c r="O2262" s="52" t="str">
        <f>VLOOKUP(Tabla3[[#This Row],[Site]],'Important Info!'!$A$1:$F$135,5,FALSE)</f>
        <v>-</v>
      </c>
      <c r="P2262" s="52" t="str">
        <f>VLOOKUP(Tabla3[[#This Row],[Site]],'Important Info!'!$A$1:$F$135,6,FALSE)</f>
        <v>1, 2, 3, 4, 5, 6</v>
      </c>
      <c r="Q2262" s="91">
        <f>VLOOKUP(Tabla3[[#This Row],[Site]],'Important Info!'!$A$1:$J$135,9,FALSE)</f>
        <v>191</v>
      </c>
    </row>
    <row r="2263" spans="1:17" x14ac:dyDescent="0.25">
      <c r="A2263" t="str">
        <f>+Tabla3[[#This Row],[Site]]&amp;Tabla3[[#This Row],[Split]]</f>
        <v>(AS) Mike Shaw Subaru Greeley (NO TOURS)23</v>
      </c>
      <c r="B2263">
        <v>23</v>
      </c>
      <c r="C2263">
        <v>12</v>
      </c>
      <c r="D2263" t="s">
        <v>44</v>
      </c>
      <c r="E2263" t="s">
        <v>53</v>
      </c>
      <c r="F2263" t="s">
        <v>95</v>
      </c>
      <c r="G2263" t="s">
        <v>45</v>
      </c>
      <c r="H2263" s="52" t="str">
        <f>VLOOKUP(Tabla3[[#This Row],[Site]],'Important Info!'!$A$1:$J$135,10,FALSE)</f>
        <v>https://tools.sig.systems/site/details/174</v>
      </c>
      <c r="I2263" s="2" t="s">
        <v>153</v>
      </c>
      <c r="J2263" t="s">
        <v>41</v>
      </c>
      <c r="K2263" s="79" t="str">
        <f>VLOOKUP(Tabla3[[#This Row],[Site]],'Important Info!'!$A$1:$H$135,8,FALSE)</f>
        <v>-</v>
      </c>
      <c r="L2263" s="52" t="str">
        <f>VLOOKUP(Tabla3[[#This Row],[Site]],'Important Info!'!$A$1:$F$135,2,FALSE)</f>
        <v>16, 17</v>
      </c>
      <c r="M2263" s="52">
        <f>VLOOKUP(Tabla3[[#This Row],[Site]],'Important Info!'!$A$1:$F$135,3,FALSE)</f>
        <v>10</v>
      </c>
      <c r="N2263" s="52" t="str">
        <f>VLOOKUP(Tabla3[[#This Row],[Site]],'Important Info!'!$A$1:$F$135,4,FALSE)</f>
        <v>-</v>
      </c>
      <c r="O2263" s="52" t="str">
        <f>VLOOKUP(Tabla3[[#This Row],[Site]],'Important Info!'!$A$1:$F$135,5,FALSE)</f>
        <v>1, 7</v>
      </c>
      <c r="P2263" s="52" t="str">
        <f>VLOOKUP(Tabla3[[#This Row],[Site]],'Important Info!'!$A$1:$F$135,6,FALSE)</f>
        <v>-</v>
      </c>
      <c r="Q2263" s="91">
        <f>VLOOKUP(Tabla3[[#This Row],[Site]],'Important Info!'!$A$1:$J$135,9,FALSE)</f>
        <v>174</v>
      </c>
    </row>
    <row r="2264" spans="1:17" x14ac:dyDescent="0.25">
      <c r="A2264" t="str">
        <f>+Tabla3[[#This Row],[Site]]&amp;Tabla3[[#This Row],[Split]]</f>
        <v>(HUD) Acura of Greensboro23</v>
      </c>
      <c r="B2264">
        <v>23</v>
      </c>
      <c r="C2264">
        <v>12</v>
      </c>
      <c r="D2264" t="s">
        <v>62</v>
      </c>
      <c r="E2264" t="s">
        <v>35</v>
      </c>
      <c r="F2264" t="s">
        <v>100</v>
      </c>
      <c r="G2264" t="s">
        <v>490</v>
      </c>
      <c r="H2264" s="52" t="str">
        <f>VLOOKUP(Tabla3[[#This Row],[Site]],'Important Info!'!$A$1:$J$135,10,FALSE)</f>
        <v>https://tools.sig.systems/site/details/213</v>
      </c>
      <c r="I2264" t="s">
        <v>182</v>
      </c>
      <c r="J2264" t="s">
        <v>41</v>
      </c>
      <c r="K2264" s="79" t="str">
        <f>VLOOKUP(Tabla3[[#This Row],[Site]],'Important Info!'!$A$1:$H$135,8,FALSE)</f>
        <v>-</v>
      </c>
      <c r="L2264" s="52" t="str">
        <f>VLOOKUP(Tabla3[[#This Row],[Site]],'Important Info!'!$A$1:$F$135,2,FALSE)</f>
        <v>1, 2, 6, 7, 9</v>
      </c>
      <c r="M2264" s="52" t="str">
        <f>VLOOKUP(Tabla3[[#This Row],[Site]],'Important Info!'!$A$1:$F$135,3,FALSE)</f>
        <v>-</v>
      </c>
      <c r="N2264" s="52" t="str">
        <f>VLOOKUP(Tabla3[[#This Row],[Site]],'Important Info!'!$A$1:$F$135,4,FALSE)</f>
        <v>-</v>
      </c>
      <c r="O2264" s="52" t="str">
        <f>VLOOKUP(Tabla3[[#This Row],[Site]],'Important Info!'!$A$1:$F$135,5,FALSE)</f>
        <v>2, 5</v>
      </c>
      <c r="P2264" s="52" t="str">
        <f>VLOOKUP(Tabla3[[#This Row],[Site]],'Important Info!'!$A$1:$F$135,6,FALSE)</f>
        <v>1, 2, 6, 7, 9, 18</v>
      </c>
      <c r="Q2264" s="91">
        <f>VLOOKUP(Tabla3[[#This Row],[Site]],'Important Info!'!$A$1:$J$135,9,FALSE)</f>
        <v>213</v>
      </c>
    </row>
    <row r="2265" spans="1:17" x14ac:dyDescent="0.25">
      <c r="A2265" t="str">
        <f>+Tabla3[[#This Row],[Site]]&amp;Tabla3[[#This Row],[Split]]</f>
        <v>(MK) McKenny Salinas Honda23</v>
      </c>
      <c r="B2265">
        <v>23</v>
      </c>
      <c r="C2265">
        <v>12</v>
      </c>
      <c r="D2265" t="s">
        <v>62</v>
      </c>
      <c r="E2265" t="s">
        <v>35</v>
      </c>
      <c r="F2265" t="s">
        <v>115</v>
      </c>
      <c r="G2265" t="s">
        <v>490</v>
      </c>
      <c r="H2265" s="52" t="str">
        <f>VLOOKUP(Tabla3[[#This Row],[Site]],'Important Info!'!$A$1:$J$135,10,FALSE)</f>
        <v>https://tools.sig.systems/site/details/149</v>
      </c>
      <c r="J2265" t="s">
        <v>41</v>
      </c>
      <c r="K2265" s="79" t="str">
        <f>VLOOKUP(Tabla3[[#This Row],[Site]],'Important Info!'!$A$1:$H$135,8,FALSE)</f>
        <v>-</v>
      </c>
      <c r="L2265" s="52" t="str">
        <f>VLOOKUP(Tabla3[[#This Row],[Site]],'Important Info!'!$A$1:$F$135,2,FALSE)</f>
        <v>-</v>
      </c>
      <c r="M2265" s="52" t="str">
        <f>VLOOKUP(Tabla3[[#This Row],[Site]],'Important Info!'!$A$1:$F$135,3,FALSE)</f>
        <v>12, 16</v>
      </c>
      <c r="N2265" s="52" t="str">
        <f>VLOOKUP(Tabla3[[#This Row],[Site]],'Important Info!'!$A$1:$F$135,4,FALSE)</f>
        <v>-</v>
      </c>
      <c r="O2265" s="52" t="str">
        <f>VLOOKUP(Tabla3[[#This Row],[Site]],'Important Info!'!$A$1:$F$135,5,FALSE)</f>
        <v>-</v>
      </c>
      <c r="P2265" s="52" t="str">
        <f>VLOOKUP(Tabla3[[#This Row],[Site]],'Important Info!'!$A$1:$F$135,6,FALSE)</f>
        <v>3, 4, 5, 6, 16</v>
      </c>
      <c r="Q2265" s="91">
        <f>VLOOKUP(Tabla3[[#This Row],[Site]],'Important Info!'!$A$1:$J$135,9,FALSE)</f>
        <v>149</v>
      </c>
    </row>
    <row r="2266" spans="1:17" x14ac:dyDescent="0.25">
      <c r="A2266" t="str">
        <f>+Tabla3[[#This Row],[Site]]&amp;Tabla3[[#This Row],[Split]]</f>
        <v>(ML) Joe Machens Capital City I &amp; II (NO TOURS)23</v>
      </c>
      <c r="B2266">
        <v>23</v>
      </c>
      <c r="C2266">
        <v>12</v>
      </c>
      <c r="D2266" t="s">
        <v>33</v>
      </c>
      <c r="E2266" t="s">
        <v>46</v>
      </c>
      <c r="F2266" t="s">
        <v>72</v>
      </c>
      <c r="G2266" t="s">
        <v>34</v>
      </c>
      <c r="H2266" s="52" t="str">
        <f>VLOOKUP(Tabla3[[#This Row],[Site]],'Important Info!'!$A$1:$J$135,10,FALSE)</f>
        <v>https://tools.sig.systems/site/details/271</v>
      </c>
      <c r="I2266" s="43"/>
      <c r="J2266" t="s">
        <v>41</v>
      </c>
      <c r="K2266" s="79" t="str">
        <f>VLOOKUP(Tabla3[[#This Row],[Site]],'Important Info!'!$A$1:$H$135,8,FALSE)</f>
        <v>-</v>
      </c>
      <c r="L2266" s="52" t="str">
        <f>VLOOKUP(Tabla3[[#This Row],[Site]],'Important Info!'!$A$1:$F$135,2,FALSE)</f>
        <v>-</v>
      </c>
      <c r="M2266" s="52" t="str">
        <f>VLOOKUP(Tabla3[[#This Row],[Site]],'Important Info!'!$A$1:$F$135,3,FALSE)</f>
        <v>1, 3, 4, 20, 25, 27, 28</v>
      </c>
      <c r="N2266" s="52" t="str">
        <f>VLOOKUP(Tabla3[[#This Row],[Site]],'Important Info!'!$A$1:$F$135,4,FALSE)</f>
        <v>-</v>
      </c>
      <c r="O2266" s="52">
        <f>VLOOKUP(Tabla3[[#This Row],[Site]],'Important Info!'!$A$1:$F$135,5,FALSE)</f>
        <v>29</v>
      </c>
      <c r="P2266" s="52" t="str">
        <f>VLOOKUP(Tabla3[[#This Row],[Site]],'Important Info!'!$A$1:$F$135,6,FALSE)</f>
        <v>19, 20</v>
      </c>
      <c r="Q2266" s="91">
        <f>VLOOKUP(Tabla3[[#This Row],[Site]],'Important Info!'!$A$1:$J$135,9,FALSE)</f>
        <v>271</v>
      </c>
    </row>
    <row r="2267" spans="1:17" x14ac:dyDescent="0.25">
      <c r="A2267" t="str">
        <f>+Tabla3[[#This Row],[Site]]&amp;Tabla3[[#This Row],[Split]]</f>
        <v>(PE) Mercedes Benz &amp; Smart Bldg. of Fairfield (NO TOURS)23</v>
      </c>
      <c r="B2267">
        <v>23</v>
      </c>
      <c r="C2267">
        <v>12</v>
      </c>
      <c r="D2267" t="s">
        <v>485</v>
      </c>
      <c r="E2267" t="s">
        <v>35</v>
      </c>
      <c r="F2267" t="s">
        <v>64</v>
      </c>
      <c r="G2267" t="s">
        <v>490</v>
      </c>
      <c r="H2267" s="52" t="str">
        <f>VLOOKUP(Tabla3[[#This Row],[Site]],'Important Info!'!$A$1:$J$135,10,FALSE)</f>
        <v>https://tools.sig.systems/site/details/192</v>
      </c>
      <c r="I2267" t="s">
        <v>177</v>
      </c>
      <c r="J2267" t="s">
        <v>41</v>
      </c>
      <c r="K2267" s="79" t="str">
        <f>VLOOKUP(Tabla3[[#This Row],[Site]],'Important Info!'!$A$1:$H$135,8,FALSE)</f>
        <v>-</v>
      </c>
      <c r="L2267" s="52" t="str">
        <f>VLOOKUP(Tabla3[[#This Row],[Site]],'Important Info!'!$A$1:$F$135,2,FALSE)</f>
        <v>-</v>
      </c>
      <c r="M2267" s="52">
        <f>VLOOKUP(Tabla3[[#This Row],[Site]],'Important Info!'!$A$1:$F$135,3,FALSE)</f>
        <v>1</v>
      </c>
      <c r="N2267" s="52" t="str">
        <f>VLOOKUP(Tabla3[[#This Row],[Site]],'Important Info!'!$A$1:$F$135,4,FALSE)</f>
        <v>-</v>
      </c>
      <c r="O2267" s="52" t="str">
        <f>VLOOKUP(Tabla3[[#This Row],[Site]],'Important Info!'!$A$1:$F$135,5,FALSE)</f>
        <v>11, 13</v>
      </c>
      <c r="P2267" s="52">
        <f>VLOOKUP(Tabla3[[#This Row],[Site]],'Important Info!'!$A$1:$F$135,6,FALSE)</f>
        <v>1</v>
      </c>
      <c r="Q2267" s="91">
        <f>VLOOKUP(Tabla3[[#This Row],[Site]],'Important Info!'!$A$1:$J$135,9,FALSE)</f>
        <v>192</v>
      </c>
    </row>
    <row r="2268" spans="1:17" x14ac:dyDescent="0.25">
      <c r="A2268" t="str">
        <f>+Tabla3[[#This Row],[Site]]&amp;Tabla3[[#This Row],[Split]]</f>
        <v>(AS) David McDavid Honda I &amp; II (NO TOURS)23</v>
      </c>
      <c r="B2268">
        <v>23</v>
      </c>
      <c r="C2268">
        <v>13</v>
      </c>
      <c r="D2268" t="s">
        <v>33</v>
      </c>
      <c r="E2268" t="s">
        <v>46</v>
      </c>
      <c r="F2268" t="s">
        <v>506</v>
      </c>
      <c r="G2268" t="s">
        <v>34</v>
      </c>
      <c r="H2268" s="52" t="str">
        <f>VLOOKUP(Tabla3[[#This Row],[Site]],'Important Info!'!$A$1:$J$135,10,FALSE)</f>
        <v>https://tools.sig.systems/site/details/129</v>
      </c>
      <c r="J2268" t="s">
        <v>41</v>
      </c>
      <c r="K2268" s="79" t="str">
        <f>VLOOKUP(Tabla3[[#This Row],[Site]],'Important Info!'!$A$1:$H$135,8,FALSE)</f>
        <v>-</v>
      </c>
      <c r="L2268" s="52" t="str">
        <f>VLOOKUP(Tabla3[[#This Row],[Site]],'Important Info!'!$A$1:$F$135,2,FALSE)</f>
        <v>-</v>
      </c>
      <c r="M2268" s="52" t="str">
        <f>VLOOKUP(Tabla3[[#This Row],[Site]],'Important Info!'!$A$1:$F$135,3,FALSE)</f>
        <v>3, 19, 23, 32, 35</v>
      </c>
      <c r="N2268" s="52" t="str">
        <f>VLOOKUP(Tabla3[[#This Row],[Site]],'Important Info!'!$A$1:$F$135,4,FALSE)</f>
        <v>-</v>
      </c>
      <c r="O2268" s="52" t="str">
        <f>VLOOKUP(Tabla3[[#This Row],[Site]],'Important Info!'!$A$1:$F$135,5,FALSE)</f>
        <v>2, 6, 9, 19, 25, 30, 48</v>
      </c>
      <c r="P2268" s="52" t="str">
        <f>VLOOKUP(Tabla3[[#This Row],[Site]],'Important Info!'!$A$1:$F$135,6,FALSE)</f>
        <v>25, 26, 35, 36, 37</v>
      </c>
      <c r="Q2268" s="91">
        <f>VLOOKUP(Tabla3[[#This Row],[Site]],'Important Info!'!$A$1:$J$135,9,FALSE)</f>
        <v>129</v>
      </c>
    </row>
    <row r="2269" spans="1:17" x14ac:dyDescent="0.25">
      <c r="A2269" t="str">
        <f>+Tabla3[[#This Row],[Site]]&amp;Tabla3[[#This Row],[Split]]</f>
        <v>(AS) Plano Auction (NO SPEAKERS)23</v>
      </c>
      <c r="B2269">
        <v>23</v>
      </c>
      <c r="C2269">
        <v>13</v>
      </c>
      <c r="D2269" t="s">
        <v>33</v>
      </c>
      <c r="E2269" t="s">
        <v>46</v>
      </c>
      <c r="F2269" t="s">
        <v>129</v>
      </c>
      <c r="G2269" t="s">
        <v>34</v>
      </c>
      <c r="H2269" s="52" t="str">
        <f>VLOOKUP(Tabla3[[#This Row],[Site]],'Important Info!'!$A$1:$J$135,10,FALSE)</f>
        <v>https://tools.sig.systems/site/details/140</v>
      </c>
      <c r="J2269" t="s">
        <v>41</v>
      </c>
      <c r="K2269" s="79" t="str">
        <f>VLOOKUP(Tabla3[[#This Row],[Site]],'Important Info!'!$A$1:$H$135,8,FALSE)</f>
        <v>-</v>
      </c>
      <c r="L2269" s="52" t="str">
        <f>VLOOKUP(Tabla3[[#This Row],[Site]],'Important Info!'!$A$1:$F$135,2,FALSE)</f>
        <v>-</v>
      </c>
      <c r="M2269" s="52" t="str">
        <f>VLOOKUP(Tabla3[[#This Row],[Site]],'Important Info!'!$A$1:$F$135,3,FALSE)</f>
        <v>3, 4, 19</v>
      </c>
      <c r="N2269" s="52" t="str">
        <f>VLOOKUP(Tabla3[[#This Row],[Site]],'Important Info!'!$A$1:$F$135,4,FALSE)</f>
        <v>-</v>
      </c>
      <c r="O2269" s="52" t="str">
        <f>VLOOKUP(Tabla3[[#This Row],[Site]],'Important Info!'!$A$1:$F$135,5,FALSE)</f>
        <v>5, 19</v>
      </c>
      <c r="P2269" s="52">
        <f>VLOOKUP(Tabla3[[#This Row],[Site]],'Important Info!'!$A$1:$F$135,6,FALSE)</f>
        <v>21</v>
      </c>
      <c r="Q2269" s="91">
        <f>VLOOKUP(Tabla3[[#This Row],[Site]],'Important Info!'!$A$1:$J$135,9,FALSE)</f>
        <v>140</v>
      </c>
    </row>
    <row r="2270" spans="1:17" x14ac:dyDescent="0.25">
      <c r="A2270" t="str">
        <f>+Tabla3[[#This Row],[Site]]&amp;Tabla3[[#This Row],[Split]]</f>
        <v>(HUD) BMW of Greensboro23</v>
      </c>
      <c r="B2270">
        <v>23</v>
      </c>
      <c r="C2270">
        <v>13</v>
      </c>
      <c r="D2270" t="s">
        <v>62</v>
      </c>
      <c r="E2270" t="s">
        <v>35</v>
      </c>
      <c r="F2270" t="s">
        <v>183</v>
      </c>
      <c r="G2270" t="s">
        <v>490</v>
      </c>
      <c r="H2270" s="52" t="str">
        <f>VLOOKUP(Tabla3[[#This Row],[Site]],'Important Info!'!$A$1:$J$135,10,FALSE)</f>
        <v>https://tools.sig.systems/site/details/219</v>
      </c>
      <c r="I2270" s="43" t="s">
        <v>184</v>
      </c>
      <c r="J2270" t="s">
        <v>41</v>
      </c>
      <c r="K2270" s="79" t="str">
        <f>VLOOKUP(Tabla3[[#This Row],[Site]],'Important Info!'!$A$1:$H$135,8,FALSE)</f>
        <v>-</v>
      </c>
      <c r="L2270" s="52" t="str">
        <f>VLOOKUP(Tabla3[[#This Row],[Site]],'Important Info!'!$A$1:$F$135,2,FALSE)</f>
        <v>2, 20, 21</v>
      </c>
      <c r="M2270" s="52" t="str">
        <f>VLOOKUP(Tabla3[[#This Row],[Site]],'Important Info!'!$A$1:$F$135,3,FALSE)</f>
        <v>-</v>
      </c>
      <c r="N2270" s="52" t="str">
        <f>VLOOKUP(Tabla3[[#This Row],[Site]],'Important Info!'!$A$1:$F$135,4,FALSE)</f>
        <v>-</v>
      </c>
      <c r="O2270" s="52" t="str">
        <f>VLOOKUP(Tabla3[[#This Row],[Site]],'Important Info!'!$A$1:$F$135,5,FALSE)</f>
        <v>12, 17</v>
      </c>
      <c r="P2270" s="52" t="str">
        <f>VLOOKUP(Tabla3[[#This Row],[Site]],'Important Info!'!$A$1:$F$135,6,FALSE)</f>
        <v>1, 2, 6, 20</v>
      </c>
      <c r="Q2270" s="91">
        <f>VLOOKUP(Tabla3[[#This Row],[Site]],'Important Info!'!$A$1:$J$135,9,FALSE)</f>
        <v>219</v>
      </c>
    </row>
    <row r="2271" spans="1:17" x14ac:dyDescent="0.25">
      <c r="A2271" t="str">
        <f>+Tabla3[[#This Row],[Site]]&amp;Tabla3[[#This Row],[Split]]</f>
        <v>(PE) Honda of Danbury (NO TOURS)23</v>
      </c>
      <c r="B2271">
        <v>23</v>
      </c>
      <c r="C2271">
        <v>13</v>
      </c>
      <c r="D2271" t="s">
        <v>485</v>
      </c>
      <c r="E2271" t="s">
        <v>35</v>
      </c>
      <c r="F2271" t="s">
        <v>174</v>
      </c>
      <c r="G2271" t="s">
        <v>490</v>
      </c>
      <c r="H2271" s="52" t="str">
        <f>VLOOKUP(Tabla3[[#This Row],[Site]],'Important Info!'!$A$1:$J$135,10,FALSE)</f>
        <v>https://tools.sig.systems/site/details/190</v>
      </c>
      <c r="I2271" s="2"/>
      <c r="J2271" t="s">
        <v>41</v>
      </c>
      <c r="K2271" s="79" t="str">
        <f>VLOOKUP(Tabla3[[#This Row],[Site]],'Important Info!'!$A$1:$H$135,8,FALSE)</f>
        <v>-</v>
      </c>
      <c r="L2271" s="52" t="str">
        <f>VLOOKUP(Tabla3[[#This Row],[Site]],'Important Info!'!$A$1:$F$135,2,FALSE)</f>
        <v>-</v>
      </c>
      <c r="M2271" s="52" t="str">
        <f>VLOOKUP(Tabla3[[#This Row],[Site]],'Important Info!'!$A$1:$F$135,3,FALSE)</f>
        <v>20, 9</v>
      </c>
      <c r="N2271" s="52">
        <f>VLOOKUP(Tabla3[[#This Row],[Site]],'Important Info!'!$A$1:$F$135,4,FALSE)</f>
        <v>9</v>
      </c>
      <c r="O2271" s="52" t="str">
        <f>VLOOKUP(Tabla3[[#This Row],[Site]],'Important Info!'!$A$1:$F$135,5,FALSE)</f>
        <v>-</v>
      </c>
      <c r="P2271" s="52" t="str">
        <f>VLOOKUP(Tabla3[[#This Row],[Site]],'Important Info!'!$A$1:$F$135,6,FALSE)</f>
        <v>9, 16, 17</v>
      </c>
      <c r="Q2271" s="91">
        <f>VLOOKUP(Tabla3[[#This Row],[Site]],'Important Info!'!$A$1:$J$135,9,FALSE)</f>
        <v>190</v>
      </c>
    </row>
    <row r="2272" spans="1:17" x14ac:dyDescent="0.25">
      <c r="A2272" t="str">
        <f>+Tabla3[[#This Row],[Site]]&amp;Tabla3[[#This Row],[Split]]</f>
        <v>(AS) Coggin Mercedes Benz Ft Pierce (NO TOURS)23</v>
      </c>
      <c r="B2272">
        <v>23</v>
      </c>
      <c r="C2272">
        <v>14</v>
      </c>
      <c r="D2272" t="s">
        <v>62</v>
      </c>
      <c r="E2272" t="s">
        <v>35</v>
      </c>
      <c r="F2272" t="s">
        <v>502</v>
      </c>
      <c r="G2272" t="s">
        <v>490</v>
      </c>
      <c r="H2272" s="52" t="str">
        <f>VLOOKUP(Tabla3[[#This Row],[Site]],'Important Info!'!$A$1:$J$135,10,FALSE)</f>
        <v>https://tools.sig.systems/site/details/127</v>
      </c>
      <c r="I2272" t="s">
        <v>179</v>
      </c>
      <c r="J2272" t="s">
        <v>41</v>
      </c>
      <c r="K2272" s="79" t="str">
        <f>VLOOKUP(Tabla3[[#This Row],[Site]],'Important Info!'!$A$1:$H$135,8,FALSE)</f>
        <v>-</v>
      </c>
      <c r="L2272" s="52">
        <f>VLOOKUP(Tabla3[[#This Row],[Site]],'Important Info!'!$A$1:$F$135,2,FALSE)</f>
        <v>18</v>
      </c>
      <c r="M2272" s="52" t="str">
        <f>VLOOKUP(Tabla3[[#This Row],[Site]],'Important Info!'!$A$1:$F$135,3,FALSE)</f>
        <v>1, 3</v>
      </c>
      <c r="N2272" s="52" t="str">
        <f>VLOOKUP(Tabla3[[#This Row],[Site]],'Important Info!'!$A$1:$F$135,4,FALSE)</f>
        <v>-</v>
      </c>
      <c r="O2272" s="52" t="str">
        <f>VLOOKUP(Tabla3[[#This Row],[Site]],'Important Info!'!$A$1:$F$135,5,FALSE)</f>
        <v>6, 10, 13</v>
      </c>
      <c r="P2272" s="52" t="str">
        <f>VLOOKUP(Tabla3[[#This Row],[Site]],'Important Info!'!$A$1:$F$135,6,FALSE)</f>
        <v>1, 4, 5</v>
      </c>
      <c r="Q2272" s="91">
        <f>VLOOKUP(Tabla3[[#This Row],[Site]],'Important Info!'!$A$1:$J$135,9,FALSE)</f>
        <v>127</v>
      </c>
    </row>
    <row r="2273" spans="1:17" x14ac:dyDescent="0.25">
      <c r="A2273" t="str">
        <f>+Tabla3[[#This Row],[Site]]&amp;Tabla3[[#This Row],[Split]]</f>
        <v>(DT) El Cajon (NO TOURS)23</v>
      </c>
      <c r="B2273">
        <v>23</v>
      </c>
      <c r="C2273">
        <v>14</v>
      </c>
      <c r="D2273" t="s">
        <v>51</v>
      </c>
      <c r="E2273" t="s">
        <v>159</v>
      </c>
      <c r="F2273" t="s">
        <v>160</v>
      </c>
      <c r="G2273" t="s">
        <v>52</v>
      </c>
      <c r="H2273" s="52" t="str">
        <f>VLOOKUP(Tabla3[[#This Row],[Site]],'Important Info!'!$A$1:$J$135,10,FALSE)</f>
        <v>https://tools.sig.systems/site/details/241</v>
      </c>
      <c r="I2273" s="43"/>
      <c r="J2273" t="s">
        <v>41</v>
      </c>
      <c r="K2273" s="79" t="str">
        <f>VLOOKUP(Tabla3[[#This Row],[Site]],'Important Info!'!$A$1:$H$135,8,FALSE)</f>
        <v>-</v>
      </c>
      <c r="L2273" s="52" t="str">
        <f>VLOOKUP(Tabla3[[#This Row],[Site]],'Important Info!'!$A$1:$F$135,2,FALSE)</f>
        <v>-</v>
      </c>
      <c r="M2273" s="52">
        <f>VLOOKUP(Tabla3[[#This Row],[Site]],'Important Info!'!$A$1:$F$135,3,FALSE)</f>
        <v>3</v>
      </c>
      <c r="N2273" s="52" t="str">
        <f>VLOOKUP(Tabla3[[#This Row],[Site]],'Important Info!'!$A$1:$F$135,4,FALSE)</f>
        <v>-</v>
      </c>
      <c r="O2273" s="52" t="str">
        <f>VLOOKUP(Tabla3[[#This Row],[Site]],'Important Info!'!$A$1:$F$135,5,FALSE)</f>
        <v>-</v>
      </c>
      <c r="P2273" s="52" t="str">
        <f>VLOOKUP(Tabla3[[#This Row],[Site]],'Important Info!'!$A$1:$F$135,6,FALSE)</f>
        <v>-</v>
      </c>
      <c r="Q2273" s="91">
        <f>VLOOKUP(Tabla3[[#This Row],[Site]],'Important Info!'!$A$1:$J$135,9,FALSE)</f>
        <v>241</v>
      </c>
    </row>
    <row r="2274" spans="1:17" x14ac:dyDescent="0.25">
      <c r="A2274" t="str">
        <f>+Tabla3[[#This Row],[Site]]&amp;Tabla3[[#This Row],[Split]]</f>
        <v>(HUD) Nissan Greensboro23</v>
      </c>
      <c r="B2274">
        <v>23</v>
      </c>
      <c r="C2274">
        <v>14</v>
      </c>
      <c r="D2274" t="s">
        <v>62</v>
      </c>
      <c r="E2274" t="s">
        <v>35</v>
      </c>
      <c r="F2274" t="s">
        <v>66</v>
      </c>
      <c r="G2274" t="s">
        <v>490</v>
      </c>
      <c r="H2274" s="52" t="str">
        <f>VLOOKUP(Tabla3[[#This Row],[Site]],'Important Info!'!$A$1:$J$135,10,FALSE)</f>
        <v>https://tools.sig.systems/site/details/236</v>
      </c>
      <c r="I2274" s="43" t="s">
        <v>184</v>
      </c>
      <c r="J2274" t="s">
        <v>41</v>
      </c>
      <c r="K2274" s="79" t="str">
        <f>VLOOKUP(Tabla3[[#This Row],[Site]],'Important Info!'!$A$1:$H$135,8,FALSE)</f>
        <v>-</v>
      </c>
      <c r="L2274" s="52" t="str">
        <f>VLOOKUP(Tabla3[[#This Row],[Site]],'Important Info!'!$A$1:$F$135,2,FALSE)</f>
        <v>1, 5, 12</v>
      </c>
      <c r="M2274" s="52" t="str">
        <f>VLOOKUP(Tabla3[[#This Row],[Site]],'Important Info!'!$A$1:$F$135,3,FALSE)</f>
        <v>-</v>
      </c>
      <c r="N2274" s="52" t="str">
        <f>VLOOKUP(Tabla3[[#This Row],[Site]],'Important Info!'!$A$1:$F$135,4,FALSE)</f>
        <v>-</v>
      </c>
      <c r="O2274" s="52" t="str">
        <f>VLOOKUP(Tabla3[[#This Row],[Site]],'Important Info!'!$A$1:$F$135,5,FALSE)</f>
        <v>-</v>
      </c>
      <c r="P2274" s="52">
        <f>VLOOKUP(Tabla3[[#This Row],[Site]],'Important Info!'!$A$1:$F$135,6,FALSE)</f>
        <v>4</v>
      </c>
      <c r="Q2274" s="91">
        <f>VLOOKUP(Tabla3[[#This Row],[Site]],'Important Info!'!$A$1:$J$135,9,FALSE)</f>
        <v>236</v>
      </c>
    </row>
    <row r="2275" spans="1:17" x14ac:dyDescent="0.25">
      <c r="A2275" t="str">
        <f>+Tabla3[[#This Row],[Site]]&amp;Tabla3[[#This Row],[Split]]</f>
        <v>(KG) Truck Center Remote Storage Lot23</v>
      </c>
      <c r="B2275">
        <v>23</v>
      </c>
      <c r="C2275">
        <v>14</v>
      </c>
      <c r="D2275" t="s">
        <v>60</v>
      </c>
      <c r="E2275" t="s">
        <v>53</v>
      </c>
      <c r="F2275" t="s">
        <v>61</v>
      </c>
      <c r="G2275" t="s">
        <v>41</v>
      </c>
      <c r="H2275" s="52" t="str">
        <f>VLOOKUP(Tabla3[[#This Row],[Site]],'Important Info!'!$A$1:$J$135,10,FALSE)</f>
        <v>https://tools.sig.systems/site/details/144</v>
      </c>
      <c r="I2275" s="2"/>
      <c r="J2275" t="s">
        <v>41</v>
      </c>
      <c r="K2275" s="79" t="str">
        <f>VLOOKUP(Tabla3[[#This Row],[Site]],'Important Info!'!$A$1:$H$135,8,FALSE)</f>
        <v>-</v>
      </c>
      <c r="L2275" s="52" t="str">
        <f>VLOOKUP(Tabla3[[#This Row],[Site]],'Important Info!'!$A$1:$F$135,2,FALSE)</f>
        <v>4, A23, A49</v>
      </c>
      <c r="M2275" s="52" t="str">
        <f>VLOOKUP(Tabla3[[#This Row],[Site]],'Important Info!'!$A$1:$F$135,3,FALSE)</f>
        <v>5, 24</v>
      </c>
      <c r="N2275" s="52" t="str">
        <f>VLOOKUP(Tabla3[[#This Row],[Site]],'Important Info!'!$A$1:$F$135,4,FALSE)</f>
        <v>-</v>
      </c>
      <c r="O2275" s="52" t="str">
        <f>VLOOKUP(Tabla3[[#This Row],[Site]],'Important Info!'!$A$1:$F$135,5,FALSE)</f>
        <v>1, 7, 11, 15, 19, 24, 25</v>
      </c>
      <c r="P2275" s="52" t="str">
        <f>VLOOKUP(Tabla3[[#This Row],[Site]],'Important Info!'!$A$1:$F$135,6,FALSE)</f>
        <v>9, 20, 24, A49</v>
      </c>
      <c r="Q2275" s="91">
        <f>VLOOKUP(Tabla3[[#This Row],[Site]],'Important Info!'!$A$1:$J$135,9,FALSE)</f>
        <v>144</v>
      </c>
    </row>
    <row r="2276" spans="1:17" x14ac:dyDescent="0.25">
      <c r="A2276" t="str">
        <f>+Tabla3[[#This Row],[Site]]&amp;Tabla3[[#This Row],[Split]]</f>
        <v>(WAG) Greeley Chrysler Dodge Jeep Ram (NO TOURS)23</v>
      </c>
      <c r="B2276">
        <v>23</v>
      </c>
      <c r="C2276">
        <v>14</v>
      </c>
      <c r="D2276" t="s">
        <v>44</v>
      </c>
      <c r="E2276" t="s">
        <v>53</v>
      </c>
      <c r="F2276" t="s">
        <v>497</v>
      </c>
      <c r="G2276" t="s">
        <v>45</v>
      </c>
      <c r="H2276" s="52" t="str">
        <f>VLOOKUP(Tabla3[[#This Row],[Site]],'Important Info!'!$A$1:$J$135,10,FALSE)</f>
        <v>https://tools.sig.systems/site/details/130</v>
      </c>
      <c r="I2276" s="43" t="s">
        <v>153</v>
      </c>
      <c r="J2276" t="s">
        <v>41</v>
      </c>
      <c r="K2276" s="79" t="str">
        <f>VLOOKUP(Tabla3[[#This Row],[Site]],'Important Info!'!$A$1:$H$135,8,FALSE)</f>
        <v>-</v>
      </c>
      <c r="L2276" s="52" t="str">
        <f>VLOOKUP(Tabla3[[#This Row],[Site]],'Important Info!'!$A$1:$F$135,2,FALSE)</f>
        <v>17, 23 &amp; 18</v>
      </c>
      <c r="M2276" s="52" t="str">
        <f>VLOOKUP(Tabla3[[#This Row],[Site]],'Important Info!'!$A$1:$F$135,3,FALSE)</f>
        <v>4, 5, 6, 7, 8, 51, 55</v>
      </c>
      <c r="N2276" s="52" t="str">
        <f>VLOOKUP(Tabla3[[#This Row],[Site]],'Important Info!'!$A$1:$F$135,4,FALSE)</f>
        <v>-</v>
      </c>
      <c r="O2276" s="52" t="str">
        <f>VLOOKUP(Tabla3[[#This Row],[Site]],'Important Info!'!$A$1:$F$135,5,FALSE)</f>
        <v>3, 13, 17, 49, 53, 59</v>
      </c>
      <c r="P2276" s="52" t="str">
        <f>VLOOKUP(Tabla3[[#This Row],[Site]],'Important Info!'!$A$1:$F$135,6,FALSE)</f>
        <v>8, 9, 10, 51, 62</v>
      </c>
      <c r="Q2276" s="91">
        <f>VLOOKUP(Tabla3[[#This Row],[Site]],'Important Info!'!$A$1:$J$135,9,FALSE)</f>
        <v>130</v>
      </c>
    </row>
    <row r="2277" spans="1:17" x14ac:dyDescent="0.25">
      <c r="A2277" t="str">
        <f>+Tabla3[[#This Row],[Site]]&amp;Tabla3[[#This Row],[Split]]</f>
        <v>(AS) Coggin Honda Ft. Pierce (NO TOURS)23</v>
      </c>
      <c r="B2277">
        <v>23</v>
      </c>
      <c r="C2277">
        <v>15</v>
      </c>
      <c r="D2277" t="s">
        <v>62</v>
      </c>
      <c r="E2277" t="s">
        <v>35</v>
      </c>
      <c r="F2277" t="s">
        <v>501</v>
      </c>
      <c r="G2277" t="s">
        <v>490</v>
      </c>
      <c r="H2277" s="52" t="str">
        <f>VLOOKUP(Tabla3[[#This Row],[Site]],'Important Info!'!$A$1:$J$135,10,FALSE)</f>
        <v>https://tools.sig.systems/site/details/120</v>
      </c>
      <c r="I2277" t="s">
        <v>179</v>
      </c>
      <c r="J2277" t="s">
        <v>484</v>
      </c>
      <c r="K2277" s="79" t="str">
        <f>VLOOKUP(Tabla3[[#This Row],[Site]],'Important Info!'!$A$1:$H$135,8,FALSE)</f>
        <v>-</v>
      </c>
      <c r="L2277" s="52" t="str">
        <f>VLOOKUP(Tabla3[[#This Row],[Site]],'Important Info!'!$A$1:$F$135,2,FALSE)</f>
        <v>1, 2, 3, 4, 14</v>
      </c>
      <c r="M2277" s="52" t="str">
        <f>VLOOKUP(Tabla3[[#This Row],[Site]],'Important Info!'!$A$1:$F$135,3,FALSE)</f>
        <v>-</v>
      </c>
      <c r="N2277" s="52" t="str">
        <f>VLOOKUP(Tabla3[[#This Row],[Site]],'Important Info!'!$A$1:$F$135,4,FALSE)</f>
        <v>-</v>
      </c>
      <c r="O2277" s="52" t="str">
        <f>VLOOKUP(Tabla3[[#This Row],[Site]],'Important Info!'!$A$1:$F$135,5,FALSE)</f>
        <v>7, 11, 15</v>
      </c>
      <c r="P2277" s="52">
        <f>VLOOKUP(Tabla3[[#This Row],[Site]],'Important Info!'!$A$1:$F$135,6,FALSE)</f>
        <v>3</v>
      </c>
      <c r="Q2277" s="91">
        <f>VLOOKUP(Tabla3[[#This Row],[Site]],'Important Info!'!$A$1:$J$135,9,FALSE)</f>
        <v>120</v>
      </c>
    </row>
    <row r="2278" spans="1:17" x14ac:dyDescent="0.25">
      <c r="A2278" t="str">
        <f>+Tabla3[[#This Row],[Site]]&amp;Tabla3[[#This Row],[Split]]</f>
        <v>(AS) Lexus Plano I &amp; II (NO TOURS)23</v>
      </c>
      <c r="B2278">
        <v>23</v>
      </c>
      <c r="C2278">
        <v>15</v>
      </c>
      <c r="D2278" t="s">
        <v>33</v>
      </c>
      <c r="E2278" t="s">
        <v>46</v>
      </c>
      <c r="F2278" t="s">
        <v>524</v>
      </c>
      <c r="G2278" t="s">
        <v>34</v>
      </c>
      <c r="H2278" s="52" t="str">
        <f>VLOOKUP(Tabla3[[#This Row],[Site]],'Important Info!'!$A$1:$J$135,10,FALSE)</f>
        <v>https://tools.sig.systems/site/details/167</v>
      </c>
      <c r="I2278" s="63" t="s">
        <v>127</v>
      </c>
      <c r="J2278" t="s">
        <v>41</v>
      </c>
      <c r="K2278" s="79" t="str">
        <f>VLOOKUP(Tabla3[[#This Row],[Site]],'Important Info!'!$A$1:$H$135,8,FALSE)</f>
        <v>-</v>
      </c>
      <c r="L2278" s="52" t="str">
        <f>VLOOKUP(Tabla3[[#This Row],[Site]],'Important Info!'!$A$1:$F$135,2,FALSE)</f>
        <v>5, 9</v>
      </c>
      <c r="M2278" s="52" t="str">
        <f>VLOOKUP(Tabla3[[#This Row],[Site]],'Important Info!'!$A$1:$F$135,3,FALSE)</f>
        <v>-</v>
      </c>
      <c r="N2278" s="52" t="str">
        <f>VLOOKUP(Tabla3[[#This Row],[Site]],'Important Info!'!$A$1:$F$135,4,FALSE)</f>
        <v>101, 102, 103, 104</v>
      </c>
      <c r="O2278" s="52" t="str">
        <f>VLOOKUP(Tabla3[[#This Row],[Site]],'Important Info!'!$A$1:$F$135,5,FALSE)</f>
        <v>4, 10, 28</v>
      </c>
      <c r="P2278" s="52" t="str">
        <f>VLOOKUP(Tabla3[[#This Row],[Site]],'Important Info!'!$A$1:$F$135,6,FALSE)</f>
        <v>5, 9, 16</v>
      </c>
      <c r="Q2278" s="91">
        <f>VLOOKUP(Tabla3[[#This Row],[Site]],'Important Info!'!$A$1:$J$135,9,FALSE)</f>
        <v>167</v>
      </c>
    </row>
    <row r="2279" spans="1:17" x14ac:dyDescent="0.25">
      <c r="A2279" t="str">
        <f>+Tabla3[[#This Row],[Site]]&amp;Tabla3[[#This Row],[Split]]</f>
        <v>(AS) Stevinson JLR (NO TOURS)23</v>
      </c>
      <c r="B2279">
        <v>23</v>
      </c>
      <c r="C2279">
        <v>15</v>
      </c>
      <c r="D2279" t="s">
        <v>44</v>
      </c>
      <c r="E2279" t="s">
        <v>53</v>
      </c>
      <c r="F2279" t="s">
        <v>93</v>
      </c>
      <c r="G2279" t="s">
        <v>45</v>
      </c>
      <c r="H2279" s="52" t="str">
        <f>VLOOKUP(Tabla3[[#This Row],[Site]],'Important Info!'!$A$1:$J$135,10,FALSE)</f>
        <v>https://tools.sig.systems/site/details/204</v>
      </c>
      <c r="I2279" s="2"/>
      <c r="J2279" t="s">
        <v>41</v>
      </c>
      <c r="K2279" s="79" t="str">
        <f>VLOOKUP(Tabla3[[#This Row],[Site]],'Important Info!'!$A$1:$H$135,8,FALSE)</f>
        <v>-</v>
      </c>
      <c r="L2279" s="52">
        <f>VLOOKUP(Tabla3[[#This Row],[Site]],'Important Info!'!$A$1:$F$135,2,FALSE)</f>
        <v>5</v>
      </c>
      <c r="M2279" s="52">
        <f>VLOOKUP(Tabla3[[#This Row],[Site]],'Important Info!'!$A$1:$F$135,3,FALSE)</f>
        <v>4</v>
      </c>
      <c r="N2279" s="52" t="str">
        <f>VLOOKUP(Tabla3[[#This Row],[Site]],'Important Info!'!$A$1:$F$135,4,FALSE)</f>
        <v>-</v>
      </c>
      <c r="O2279" s="52">
        <f>VLOOKUP(Tabla3[[#This Row],[Site]],'Important Info!'!$A$1:$F$135,5,FALSE)</f>
        <v>3</v>
      </c>
      <c r="P2279" s="52" t="str">
        <f>VLOOKUP(Tabla3[[#This Row],[Site]],'Important Info!'!$A$1:$F$135,6,FALSE)</f>
        <v>1, 4, 15, 16</v>
      </c>
      <c r="Q2279" s="91">
        <f>VLOOKUP(Tabla3[[#This Row],[Site]],'Important Info!'!$A$1:$J$135,9,FALSE)</f>
        <v>204</v>
      </c>
    </row>
    <row r="2280" spans="1:17" x14ac:dyDescent="0.25">
      <c r="A2280" t="str">
        <f>+Tabla3[[#This Row],[Site]]&amp;Tabla3[[#This Row],[Split]]</f>
        <v>(HUD) CDJR of Greensboro23</v>
      </c>
      <c r="B2280">
        <v>23</v>
      </c>
      <c r="C2280">
        <v>15</v>
      </c>
      <c r="D2280" t="s">
        <v>62</v>
      </c>
      <c r="E2280" t="s">
        <v>35</v>
      </c>
      <c r="F2280" t="s">
        <v>185</v>
      </c>
      <c r="G2280" t="s">
        <v>491</v>
      </c>
      <c r="H2280" s="52" t="str">
        <f>VLOOKUP(Tabla3[[#This Row],[Site]],'Important Info!'!$A$1:$J$135,10,FALSE)</f>
        <v>https://tools.sig.systems/site/details/215</v>
      </c>
      <c r="I2280" s="2" t="s">
        <v>184</v>
      </c>
      <c r="J2280" t="s">
        <v>36</v>
      </c>
      <c r="K2280" s="79" t="str">
        <f>VLOOKUP(Tabla3[[#This Row],[Site]],'Important Info!'!$A$1:$H$135,8,FALSE)</f>
        <v>-</v>
      </c>
      <c r="L2280" s="52" t="str">
        <f>VLOOKUP(Tabla3[[#This Row],[Site]],'Important Info!'!$A$1:$F$135,2,FALSE)</f>
        <v>2, 12</v>
      </c>
      <c r="M2280" s="52" t="str">
        <f>VLOOKUP(Tabla3[[#This Row],[Site]],'Important Info!'!$A$1:$F$135,3,FALSE)</f>
        <v>-</v>
      </c>
      <c r="N2280" s="52" t="str">
        <f>VLOOKUP(Tabla3[[#This Row],[Site]],'Important Info!'!$A$1:$F$135,4,FALSE)</f>
        <v>-</v>
      </c>
      <c r="O2280" s="52" t="str">
        <f>VLOOKUP(Tabla3[[#This Row],[Site]],'Important Info!'!$A$1:$F$135,5,FALSE)</f>
        <v>3, 13</v>
      </c>
      <c r="P2280" s="52" t="str">
        <f>VLOOKUP(Tabla3[[#This Row],[Site]],'Important Info!'!$A$1:$F$135,6,FALSE)</f>
        <v>1, 17</v>
      </c>
      <c r="Q2280" s="91">
        <f>VLOOKUP(Tabla3[[#This Row],[Site]],'Important Info!'!$A$1:$J$135,9,FALSE)</f>
        <v>215</v>
      </c>
    </row>
    <row r="2281" spans="1:17" x14ac:dyDescent="0.25">
      <c r="A2281" t="str">
        <f>+Tabla3[[#This Row],[Site]]&amp;Tabla3[[#This Row],[Split]]</f>
        <v>(PE) JLR Darien PDI (NO TOURS)23</v>
      </c>
      <c r="B2281">
        <v>23</v>
      </c>
      <c r="C2281">
        <v>15</v>
      </c>
      <c r="D2281" t="s">
        <v>485</v>
      </c>
      <c r="E2281" t="s">
        <v>35</v>
      </c>
      <c r="F2281" t="s">
        <v>98</v>
      </c>
      <c r="G2281" t="s">
        <v>490</v>
      </c>
      <c r="H2281" s="52" t="str">
        <f>VLOOKUP(Tabla3[[#This Row],[Site]],'Important Info!'!$A$1:$J$135,10,FALSE)</f>
        <v>https://tools.sig.systems/site/details/187</v>
      </c>
      <c r="I2281" t="s">
        <v>175</v>
      </c>
      <c r="J2281" t="s">
        <v>41</v>
      </c>
      <c r="K2281" s="79" t="str">
        <f>VLOOKUP(Tabla3[[#This Row],[Site]],'Important Info!'!$A$1:$H$135,8,FALSE)</f>
        <v>-</v>
      </c>
      <c r="L2281" s="52">
        <f>VLOOKUP(Tabla3[[#This Row],[Site]],'Important Info!'!$A$1:$F$135,2,FALSE)</f>
        <v>1</v>
      </c>
      <c r="M2281" s="52" t="str">
        <f>VLOOKUP(Tabla3[[#This Row],[Site]],'Important Info!'!$A$1:$F$135,3,FALSE)</f>
        <v>-</v>
      </c>
      <c r="N2281" s="52" t="str">
        <f>VLOOKUP(Tabla3[[#This Row],[Site]],'Important Info!'!$A$1:$F$135,4,FALSE)</f>
        <v>-</v>
      </c>
      <c r="O2281" s="52">
        <f>VLOOKUP(Tabla3[[#This Row],[Site]],'Important Info!'!$A$1:$F$135,5,FALSE)</f>
        <v>1</v>
      </c>
      <c r="P2281" s="52">
        <f>VLOOKUP(Tabla3[[#This Row],[Site]],'Important Info!'!$A$1:$F$135,6,FALSE)</f>
        <v>7</v>
      </c>
      <c r="Q2281" s="91">
        <f>VLOOKUP(Tabla3[[#This Row],[Site]],'Important Info!'!$A$1:$J$135,9,FALSE)</f>
        <v>187</v>
      </c>
    </row>
    <row r="2282" spans="1:17" x14ac:dyDescent="0.25">
      <c r="A2282" t="str">
        <f>+Tabla3[[#This Row],[Site]]&amp;Tabla3[[#This Row],[Split]]</f>
        <v>(AS) Park Place Acura (NO TOURS)23</v>
      </c>
      <c r="B2282">
        <v>23</v>
      </c>
      <c r="C2282">
        <v>16</v>
      </c>
      <c r="D2282" t="s">
        <v>33</v>
      </c>
      <c r="E2282" t="s">
        <v>46</v>
      </c>
      <c r="F2282" t="s">
        <v>513</v>
      </c>
      <c r="G2282" t="s">
        <v>34</v>
      </c>
      <c r="H2282" s="52" t="str">
        <f>VLOOKUP(Tabla3[[#This Row],[Site]],'Important Info!'!$A$1:$J$135,10,FALSE)</f>
        <v>https://tools.sig.systems/site/details/259</v>
      </c>
      <c r="I2282" s="63" t="s">
        <v>127</v>
      </c>
      <c r="J2282" t="s">
        <v>41</v>
      </c>
      <c r="K2282" s="79" t="str">
        <f>VLOOKUP(Tabla3[[#This Row],[Site]],'Important Info!'!$A$1:$H$135,8,FALSE)</f>
        <v>-</v>
      </c>
      <c r="L2282" s="52" t="str">
        <f>VLOOKUP(Tabla3[[#This Row],[Site]],'Important Info!'!$A$1:$F$135,2,FALSE)</f>
        <v>1, 2, 14, 16</v>
      </c>
      <c r="M2282" s="52" t="str">
        <f>VLOOKUP(Tabla3[[#This Row],[Site]],'Important Info!'!$A$1:$F$135,3,FALSE)</f>
        <v>-</v>
      </c>
      <c r="N2282" s="52" t="str">
        <f>VLOOKUP(Tabla3[[#This Row],[Site]],'Important Info!'!$A$1:$F$135,4,FALSE)</f>
        <v>-</v>
      </c>
      <c r="O2282" s="52" t="str">
        <f>VLOOKUP(Tabla3[[#This Row],[Site]],'Important Info!'!$A$1:$F$135,5,FALSE)</f>
        <v>1, 7, 13</v>
      </c>
      <c r="P2282" s="52" t="str">
        <f>VLOOKUP(Tabla3[[#This Row],[Site]],'Important Info!'!$A$1:$F$135,6,FALSE)</f>
        <v>-</v>
      </c>
      <c r="Q2282" s="91">
        <f>VLOOKUP(Tabla3[[#This Row],[Site]],'Important Info!'!$A$1:$J$135,9,FALSE)</f>
        <v>259</v>
      </c>
    </row>
    <row r="2283" spans="1:17" x14ac:dyDescent="0.25">
      <c r="A2283" t="str">
        <f>+Tabla3[[#This Row],[Site]]&amp;Tabla3[[#This Row],[Split]]</f>
        <v>(DT) Wichita23</v>
      </c>
      <c r="B2283">
        <v>23</v>
      </c>
      <c r="C2283">
        <v>16</v>
      </c>
      <c r="D2283" t="s">
        <v>33</v>
      </c>
      <c r="E2283" t="s">
        <v>46</v>
      </c>
      <c r="F2283" t="s">
        <v>131</v>
      </c>
      <c r="G2283" t="s">
        <v>34</v>
      </c>
      <c r="H2283" s="52" t="str">
        <f>VLOOKUP(Tabla3[[#This Row],[Site]],'Important Info!'!$A$1:$J$135,10,FALSE)</f>
        <v>https://tools.sig.systems/site/details/257</v>
      </c>
      <c r="J2283" t="s">
        <v>41</v>
      </c>
      <c r="K2283" s="79" t="str">
        <f>VLOOKUP(Tabla3[[#This Row],[Site]],'Important Info!'!$A$1:$H$135,8,FALSE)</f>
        <v>-</v>
      </c>
      <c r="L2283" s="52" t="str">
        <f>VLOOKUP(Tabla3[[#This Row],[Site]],'Important Info!'!$A$1:$F$135,2,FALSE)</f>
        <v>-</v>
      </c>
      <c r="M2283" s="52" t="str">
        <f>VLOOKUP(Tabla3[[#This Row],[Site]],'Important Info!'!$A$1:$F$135,3,FALSE)</f>
        <v>10, 11</v>
      </c>
      <c r="N2283" s="52" t="str">
        <f>VLOOKUP(Tabla3[[#This Row],[Site]],'Important Info!'!$A$1:$F$135,4,FALSE)</f>
        <v>-</v>
      </c>
      <c r="O2283" s="52" t="str">
        <f>VLOOKUP(Tabla3[[#This Row],[Site]],'Important Info!'!$A$1:$F$135,5,FALSE)</f>
        <v>-</v>
      </c>
      <c r="P2283" s="52" t="str">
        <f>VLOOKUP(Tabla3[[#This Row],[Site]],'Important Info!'!$A$1:$F$135,6,FALSE)</f>
        <v>1, 5, 6, 10</v>
      </c>
      <c r="Q2283" s="91">
        <f>VLOOKUP(Tabla3[[#This Row],[Site]],'Important Info!'!$A$1:$J$135,9,FALSE)</f>
        <v>257</v>
      </c>
    </row>
    <row r="2284" spans="1:17" x14ac:dyDescent="0.25">
      <c r="A2284" t="str">
        <f>+Tabla3[[#This Row],[Site]]&amp;Tabla3[[#This Row],[Split]]</f>
        <v>(HUD) Honda Greensboro23</v>
      </c>
      <c r="B2284">
        <v>23</v>
      </c>
      <c r="C2284">
        <v>16</v>
      </c>
      <c r="D2284" t="s">
        <v>62</v>
      </c>
      <c r="E2284" t="s">
        <v>35</v>
      </c>
      <c r="F2284" t="s">
        <v>85</v>
      </c>
      <c r="G2284" t="s">
        <v>490</v>
      </c>
      <c r="H2284" s="52" t="str">
        <f>VLOOKUP(Tabla3[[#This Row],[Site]],'Important Info!'!$A$1:$J$135,10,FALSE)</f>
        <v>https://tools.sig.systems/site/details/230</v>
      </c>
      <c r="I2284" t="s">
        <v>186</v>
      </c>
      <c r="J2284" t="s">
        <v>41</v>
      </c>
      <c r="K2284" s="79" t="str">
        <f>VLOOKUP(Tabla3[[#This Row],[Site]],'Important Info!'!$A$1:$H$135,8,FALSE)</f>
        <v>-</v>
      </c>
      <c r="L2284" s="52" t="str">
        <f>VLOOKUP(Tabla3[[#This Row],[Site]],'Important Info!'!$A$1:$F$135,2,FALSE)</f>
        <v>1, 3,  15, 16, 22</v>
      </c>
      <c r="M2284" s="52" t="str">
        <f>VLOOKUP(Tabla3[[#This Row],[Site]],'Important Info!'!$A$1:$F$135,3,FALSE)</f>
        <v>-</v>
      </c>
      <c r="N2284" s="52" t="str">
        <f>VLOOKUP(Tabla3[[#This Row],[Site]],'Important Info!'!$A$1:$F$135,4,FALSE)</f>
        <v>-</v>
      </c>
      <c r="O2284" s="52" t="str">
        <f>VLOOKUP(Tabla3[[#This Row],[Site]],'Important Info!'!$A$1:$F$135,5,FALSE)</f>
        <v>3, 20</v>
      </c>
      <c r="P2284" s="52">
        <f>VLOOKUP(Tabla3[[#This Row],[Site]],'Important Info!'!$A$1:$F$135,6,FALSE)</f>
        <v>26</v>
      </c>
      <c r="Q2284" s="91">
        <f>VLOOKUP(Tabla3[[#This Row],[Site]],'Important Info!'!$A$1:$J$135,9,FALSE)</f>
        <v>230</v>
      </c>
    </row>
    <row r="2285" spans="1:17" x14ac:dyDescent="0.25">
      <c r="A2285" t="str">
        <f>+Tabla3[[#This Row],[Site]]&amp;Tabla3[[#This Row],[Split]]</f>
        <v>(ML) Honda of Little Rock23</v>
      </c>
      <c r="B2285">
        <v>23</v>
      </c>
      <c r="C2285">
        <v>16</v>
      </c>
      <c r="D2285" t="s">
        <v>33</v>
      </c>
      <c r="E2285" t="s">
        <v>46</v>
      </c>
      <c r="F2285" t="s">
        <v>71</v>
      </c>
      <c r="G2285" t="s">
        <v>34</v>
      </c>
      <c r="H2285" s="52" t="str">
        <f>VLOOKUP(Tabla3[[#This Row],[Site]],'Important Info!'!$A$1:$J$135,10,FALSE)</f>
        <v>https://tools.sig.systems/site/details/249</v>
      </c>
      <c r="I2285" s="2" t="s">
        <v>140</v>
      </c>
      <c r="J2285" t="s">
        <v>41</v>
      </c>
      <c r="K2285" s="79" t="str">
        <f>VLOOKUP(Tabla3[[#This Row],[Site]],'Important Info!'!$A$1:$H$135,8,FALSE)</f>
        <v>-</v>
      </c>
      <c r="L2285" s="52" t="str">
        <f>VLOOKUP(Tabla3[[#This Row],[Site]],'Important Info!'!$A$1:$F$135,2,FALSE)</f>
        <v>1, 4, 9, 14, 21</v>
      </c>
      <c r="M2285" s="52" t="str">
        <f>VLOOKUP(Tabla3[[#This Row],[Site]],'Important Info!'!$A$1:$F$135,3,FALSE)</f>
        <v>-</v>
      </c>
      <c r="N2285" s="52" t="str">
        <f>VLOOKUP(Tabla3[[#This Row],[Site]],'Important Info!'!$A$1:$F$135,4,FALSE)</f>
        <v>-</v>
      </c>
      <c r="O2285" s="52" t="str">
        <f>VLOOKUP(Tabla3[[#This Row],[Site]],'Important Info!'!$A$1:$F$135,5,FALSE)</f>
        <v>4, 14, 21</v>
      </c>
      <c r="P2285" s="52" t="str">
        <f>VLOOKUP(Tabla3[[#This Row],[Site]],'Important Info!'!$A$1:$F$135,6,FALSE)</f>
        <v>11, 12</v>
      </c>
      <c r="Q2285" s="91">
        <f>VLOOKUP(Tabla3[[#This Row],[Site]],'Important Info!'!$A$1:$J$135,9,FALSE)</f>
        <v>249</v>
      </c>
    </row>
    <row r="2286" spans="1:17" x14ac:dyDescent="0.25">
      <c r="A2286" t="str">
        <f>+Tabla3[[#This Row],[Site]]&amp;Tabla3[[#This Row],[Split]]</f>
        <v>(ML) McLarty Gray-Daniels Toyota Nissan23</v>
      </c>
      <c r="B2286">
        <v>23</v>
      </c>
      <c r="C2286">
        <v>16</v>
      </c>
      <c r="D2286" t="s">
        <v>33</v>
      </c>
      <c r="E2286" t="s">
        <v>46</v>
      </c>
      <c r="F2286" t="s">
        <v>90</v>
      </c>
      <c r="G2286" t="s">
        <v>34</v>
      </c>
      <c r="H2286" s="52" t="str">
        <f>VLOOKUP(Tabla3[[#This Row],[Site]],'Important Info!'!$A$1:$J$135,10,FALSE)</f>
        <v>https://tools.sig.systems/site/details/152</v>
      </c>
      <c r="I2286" s="2" t="s">
        <v>150</v>
      </c>
      <c r="J2286" t="s">
        <v>41</v>
      </c>
      <c r="K2286" s="79" t="str">
        <f>VLOOKUP(Tabla3[[#This Row],[Site]],'Important Info!'!$A$1:$H$135,8,FALSE)</f>
        <v>-</v>
      </c>
      <c r="L2286" s="52" t="str">
        <f>VLOOKUP(Tabla3[[#This Row],[Site]],'Important Info!'!$A$1:$F$135,2,FALSE)</f>
        <v>-</v>
      </c>
      <c r="M2286" s="52" t="str">
        <f>VLOOKUP(Tabla3[[#This Row],[Site]],'Important Info!'!$A$1:$F$135,3,FALSE)</f>
        <v>8, 11, 39, 43</v>
      </c>
      <c r="N2286" s="52" t="str">
        <f>VLOOKUP(Tabla3[[#This Row],[Site]],'Important Info!'!$A$1:$F$135,4,FALSE)</f>
        <v>-</v>
      </c>
      <c r="O2286" s="52" t="str">
        <f>VLOOKUP(Tabla3[[#This Row],[Site]],'Important Info!'!$A$1:$F$135,5,FALSE)</f>
        <v>6, 11, 15, 18</v>
      </c>
      <c r="P2286" s="52" t="str">
        <f>VLOOKUP(Tabla3[[#This Row],[Site]],'Important Info!'!$A$1:$F$135,6,FALSE)</f>
        <v>7, 8, 9</v>
      </c>
      <c r="Q2286" s="91">
        <f>VLOOKUP(Tabla3[[#This Row],[Site]],'Important Info!'!$A$1:$J$135,9,FALSE)</f>
        <v>152</v>
      </c>
    </row>
    <row r="2287" spans="1:17" x14ac:dyDescent="0.25">
      <c r="A2287" t="str">
        <f>+Tabla3[[#This Row],[Site]]&amp;Tabla3[[#This Row],[Split]]</f>
        <v>(AS) Audi of North Atlanta (NO TOURS)23</v>
      </c>
      <c r="B2287">
        <v>23</v>
      </c>
      <c r="C2287">
        <v>17</v>
      </c>
      <c r="D2287" t="s">
        <v>62</v>
      </c>
      <c r="E2287" t="s">
        <v>35</v>
      </c>
      <c r="F2287" t="s">
        <v>499</v>
      </c>
      <c r="G2287" t="s">
        <v>490</v>
      </c>
      <c r="H2287" s="52" t="str">
        <f>VLOOKUP(Tabla3[[#This Row],[Site]],'Important Info!'!$A$1:$J$135,10,FALSE)</f>
        <v>https://tools.sig.systems/site/details/124</v>
      </c>
      <c r="I2287" s="2" t="s">
        <v>166</v>
      </c>
      <c r="J2287" t="s">
        <v>41</v>
      </c>
      <c r="K2287" s="79" t="str">
        <f>VLOOKUP(Tabla3[[#This Row],[Site]],'Important Info!'!$A$1:$H$135,8,FALSE)</f>
        <v>-</v>
      </c>
      <c r="L2287" s="52" t="str">
        <f>VLOOKUP(Tabla3[[#This Row],[Site]],'Important Info!'!$A$1:$F$135,2,FALSE)</f>
        <v>1, 5, 16, 54</v>
      </c>
      <c r="M2287" s="52" t="str">
        <f>VLOOKUP(Tabla3[[#This Row],[Site]],'Important Info!'!$A$1:$F$135,3,FALSE)</f>
        <v>-</v>
      </c>
      <c r="N2287" s="52" t="str">
        <f>VLOOKUP(Tabla3[[#This Row],[Site]],'Important Info!'!$A$1:$F$135,4,FALSE)</f>
        <v>-</v>
      </c>
      <c r="O2287" s="52" t="str">
        <f>VLOOKUP(Tabla3[[#This Row],[Site]],'Important Info!'!$A$1:$F$135,5,FALSE)</f>
        <v>3, 16</v>
      </c>
      <c r="P2287" s="52" t="str">
        <f>VLOOKUP(Tabla3[[#This Row],[Site]],'Important Info!'!$A$1:$F$135,6,FALSE)</f>
        <v>2, 5, 6</v>
      </c>
      <c r="Q2287" s="91">
        <f>VLOOKUP(Tabla3[[#This Row],[Site]],'Important Info!'!$A$1:$J$135,9,FALSE)</f>
        <v>124</v>
      </c>
    </row>
    <row r="2288" spans="1:17" x14ac:dyDescent="0.25">
      <c r="A2288" t="str">
        <f>+Tabla3[[#This Row],[Site]]&amp;Tabla3[[#This Row],[Split]]</f>
        <v>(AS) Stevinson Porsche of Littleton (NO TOURS)23</v>
      </c>
      <c r="B2288">
        <v>23</v>
      </c>
      <c r="C2288">
        <v>17</v>
      </c>
      <c r="D2288" t="s">
        <v>44</v>
      </c>
      <c r="E2288" t="s">
        <v>53</v>
      </c>
      <c r="F2288" t="s">
        <v>78</v>
      </c>
      <c r="G2288" t="s">
        <v>45</v>
      </c>
      <c r="H2288" s="52" t="str">
        <f>VLOOKUP(Tabla3[[#This Row],[Site]],'Important Info!'!$A$1:$J$135,10,FALSE)</f>
        <v>https://tools.sig.systems/site/details/242</v>
      </c>
      <c r="J2288" t="s">
        <v>41</v>
      </c>
      <c r="K2288" s="79" t="str">
        <f>VLOOKUP(Tabla3[[#This Row],[Site]],'Important Info!'!$A$1:$H$135,8,FALSE)</f>
        <v>-</v>
      </c>
      <c r="L2288" s="52" t="str">
        <f>VLOOKUP(Tabla3[[#This Row],[Site]],'Important Info!'!$A$1:$F$135,2,FALSE)</f>
        <v>3, 4</v>
      </c>
      <c r="M2288" s="52">
        <f>VLOOKUP(Tabla3[[#This Row],[Site]],'Important Info!'!$A$1:$F$135,3,FALSE)</f>
        <v>2</v>
      </c>
      <c r="N2288" s="52" t="str">
        <f>VLOOKUP(Tabla3[[#This Row],[Site]],'Important Info!'!$A$1:$F$135,4,FALSE)</f>
        <v>-</v>
      </c>
      <c r="O2288" s="52" t="str">
        <f>VLOOKUP(Tabla3[[#This Row],[Site]],'Important Info!'!$A$1:$F$135,5,FALSE)</f>
        <v>-</v>
      </c>
      <c r="P2288" s="52" t="str">
        <f>VLOOKUP(Tabla3[[#This Row],[Site]],'Important Info!'!$A$1:$F$135,6,FALSE)</f>
        <v>3, 4</v>
      </c>
      <c r="Q2288" s="91">
        <f>VLOOKUP(Tabla3[[#This Row],[Site]],'Important Info!'!$A$1:$J$135,9,FALSE)</f>
        <v>242</v>
      </c>
    </row>
    <row r="2289" spans="1:17" x14ac:dyDescent="0.25">
      <c r="A2289" t="str">
        <f>+Tabla3[[#This Row],[Site]]&amp;Tabla3[[#This Row],[Split]]</f>
        <v>(HUD) Paint and Body Center (NO TOURS)23</v>
      </c>
      <c r="B2289">
        <v>23</v>
      </c>
      <c r="C2289">
        <v>17</v>
      </c>
      <c r="D2289" t="s">
        <v>62</v>
      </c>
      <c r="E2289" t="s">
        <v>35</v>
      </c>
      <c r="F2289" t="s">
        <v>110</v>
      </c>
      <c r="G2289" t="s">
        <v>490</v>
      </c>
      <c r="H2289" s="52" t="str">
        <f>VLOOKUP(Tabla3[[#This Row],[Site]],'Important Info!'!$A$1:$J$135,10,FALSE)</f>
        <v>https://tools.sig.systems/site/details/256</v>
      </c>
      <c r="I2289" t="s">
        <v>184</v>
      </c>
      <c r="J2289" t="s">
        <v>41</v>
      </c>
      <c r="K2289" s="79" t="str">
        <f>VLOOKUP(Tabla3[[#This Row],[Site]],'Important Info!'!$A$1:$H$135,8,FALSE)</f>
        <v>-</v>
      </c>
      <c r="L2289" s="52" t="str">
        <f>VLOOKUP(Tabla3[[#This Row],[Site]],'Important Info!'!$A$1:$F$135,2,FALSE)</f>
        <v>-</v>
      </c>
      <c r="M2289" s="52">
        <f>VLOOKUP(Tabla3[[#This Row],[Site]],'Important Info!'!$A$1:$F$135,3,FALSE)</f>
        <v>1</v>
      </c>
      <c r="N2289" s="52" t="str">
        <f>VLOOKUP(Tabla3[[#This Row],[Site]],'Important Info!'!$A$1:$F$135,4,FALSE)</f>
        <v>-</v>
      </c>
      <c r="O2289" s="52" t="str">
        <f>VLOOKUP(Tabla3[[#This Row],[Site]],'Important Info!'!$A$1:$F$135,5,FALSE)</f>
        <v>-</v>
      </c>
      <c r="P2289" s="52" t="str">
        <f>VLOOKUP(Tabla3[[#This Row],[Site]],'Important Info!'!$A$1:$F$135,6,FALSE)</f>
        <v>-</v>
      </c>
      <c r="Q2289" s="91">
        <f>VLOOKUP(Tabla3[[#This Row],[Site]],'Important Info!'!$A$1:$J$135,9,FALSE)</f>
        <v>256</v>
      </c>
    </row>
    <row r="2290" spans="1:17" x14ac:dyDescent="0.25">
      <c r="A2290" t="str">
        <f>+Tabla3[[#This Row],[Site]]&amp;Tabla3[[#This Row],[Split]]</f>
        <v>(KG) Baytown GMC Buick - Remote Lot (NO TOURS)23</v>
      </c>
      <c r="B2290">
        <v>23</v>
      </c>
      <c r="C2290">
        <v>17</v>
      </c>
      <c r="D2290" t="s">
        <v>60</v>
      </c>
      <c r="E2290" t="s">
        <v>46</v>
      </c>
      <c r="F2290" t="s">
        <v>167</v>
      </c>
      <c r="G2290" t="s">
        <v>41</v>
      </c>
      <c r="H2290" s="52" t="str">
        <f>VLOOKUP(Tabla3[[#This Row],[Site]],'Important Info!'!$A$1:$J$135,10,FALSE)</f>
        <v>https://tools.sig.systems/site/details/311</v>
      </c>
      <c r="I2290" s="2"/>
      <c r="J2290" t="s">
        <v>41</v>
      </c>
      <c r="K2290" s="79" t="s">
        <v>168</v>
      </c>
      <c r="L2290" s="52" t="str">
        <f>VLOOKUP(Tabla3[[#This Row],[Site]],'Important Info!'!$A$1:$F$135,2,FALSE)</f>
        <v>-</v>
      </c>
      <c r="M2290" s="52" t="str">
        <f>VLOOKUP(Tabla3[[#This Row],[Site]],'Important Info!'!$A$1:$F$135,3,FALSE)</f>
        <v>7, 8</v>
      </c>
      <c r="N2290" s="52" t="str">
        <f>VLOOKUP(Tabla3[[#This Row],[Site]],'Important Info!'!$A$1:$F$135,4,FALSE)</f>
        <v>-</v>
      </c>
      <c r="O2290" s="52" t="str">
        <f>VLOOKUP(Tabla3[[#This Row],[Site]],'Important Info!'!$A$1:$F$135,5,FALSE)</f>
        <v>-</v>
      </c>
      <c r="P2290" s="52" t="str">
        <f>VLOOKUP(Tabla3[[#This Row],[Site]],'Important Info!'!$A$1:$F$135,6,FALSE)</f>
        <v>-</v>
      </c>
      <c r="Q2290" s="91">
        <f>VLOOKUP(Tabla3[[#This Row],[Site]],'Important Info!'!$A$1:$J$135,9,FALSE)</f>
        <v>311</v>
      </c>
    </row>
    <row r="2291" spans="1:17" x14ac:dyDescent="0.25">
      <c r="A2291" t="str">
        <f>+Tabla3[[#This Row],[Site]]&amp;Tabla3[[#This Row],[Split]]</f>
        <v>(KG) Baytown GMC Buick (NO TOURS)23</v>
      </c>
      <c r="B2291">
        <v>23</v>
      </c>
      <c r="C2291">
        <v>17</v>
      </c>
      <c r="D2291" t="s">
        <v>33</v>
      </c>
      <c r="E2291" t="s">
        <v>46</v>
      </c>
      <c r="F2291" t="s">
        <v>132</v>
      </c>
      <c r="G2291" t="s">
        <v>34</v>
      </c>
      <c r="H2291" s="52" t="str">
        <f>VLOOKUP(Tabla3[[#This Row],[Site]],'Important Info!'!$A$1:$J$135,10,FALSE)</f>
        <v>https://tools.sig.systems/site/details/239</v>
      </c>
      <c r="I2291" s="2"/>
      <c r="J2291" t="s">
        <v>41</v>
      </c>
      <c r="K2291" s="79" t="str">
        <f>VLOOKUP(Tabla3[[#This Row],[Site]],'Important Info!'!$A$1:$H$135,8,FALSE)</f>
        <v>-</v>
      </c>
      <c r="L2291" s="52" t="str">
        <f>VLOOKUP(Tabla3[[#This Row],[Site]],'Important Info!'!$A$1:$F$135,2,FALSE)</f>
        <v>1, 5, 7, 21, 22</v>
      </c>
      <c r="M2291" s="52" t="str">
        <f>VLOOKUP(Tabla3[[#This Row],[Site]],'Important Info!'!$A$1:$F$135,3,FALSE)</f>
        <v>-</v>
      </c>
      <c r="N2291" s="52" t="str">
        <f>VLOOKUP(Tabla3[[#This Row],[Site]],'Important Info!'!$A$1:$F$135,4,FALSE)</f>
        <v>-</v>
      </c>
      <c r="O2291" s="52" t="str">
        <f>VLOOKUP(Tabla3[[#This Row],[Site]],'Important Info!'!$A$1:$F$135,5,FALSE)</f>
        <v>2, 10, 15, 24B</v>
      </c>
      <c r="P2291" s="52" t="str">
        <f>VLOOKUP(Tabla3[[#This Row],[Site]],'Important Info!'!$A$1:$F$135,6,FALSE)</f>
        <v>21, 22</v>
      </c>
      <c r="Q2291" s="91">
        <f>VLOOKUP(Tabla3[[#This Row],[Site]],'Important Info!'!$A$1:$J$135,9,FALSE)</f>
        <v>239</v>
      </c>
    </row>
    <row r="2292" spans="1:17" x14ac:dyDescent="0.25">
      <c r="A2292" t="str">
        <f>+Tabla3[[#This Row],[Site]]&amp;Tabla3[[#This Row],[Split]]</f>
        <v>(ML) Nissan of North Little Rock23</v>
      </c>
      <c r="B2292">
        <v>23</v>
      </c>
      <c r="C2292">
        <v>17</v>
      </c>
      <c r="D2292" t="s">
        <v>33</v>
      </c>
      <c r="E2292" t="s">
        <v>46</v>
      </c>
      <c r="F2292" t="s">
        <v>75</v>
      </c>
      <c r="G2292" t="s">
        <v>34</v>
      </c>
      <c r="H2292" s="52" t="str">
        <f>VLOOKUP(Tabla3[[#This Row],[Site]],'Important Info!'!$A$1:$J$135,10,FALSE)</f>
        <v>https://tools.sig.systems/site/details/216</v>
      </c>
      <c r="I2292" s="2" t="s">
        <v>142</v>
      </c>
      <c r="J2292" t="s">
        <v>41</v>
      </c>
      <c r="K2292" s="79" t="str">
        <f>VLOOKUP(Tabla3[[#This Row],[Site]],'Important Info!'!$A$1:$H$135,8,FALSE)</f>
        <v>-</v>
      </c>
      <c r="L2292" s="52" t="str">
        <f>VLOOKUP(Tabla3[[#This Row],[Site]],'Important Info!'!$A$1:$F$135,2,FALSE)</f>
        <v>2, 4</v>
      </c>
      <c r="M2292" s="52" t="str">
        <f>VLOOKUP(Tabla3[[#This Row],[Site]],'Important Info!'!$A$1:$F$135,3,FALSE)</f>
        <v>-</v>
      </c>
      <c r="N2292" s="52" t="str">
        <f>VLOOKUP(Tabla3[[#This Row],[Site]],'Important Info!'!$A$1:$F$135,4,FALSE)</f>
        <v>-</v>
      </c>
      <c r="O2292" s="52" t="str">
        <f>VLOOKUP(Tabla3[[#This Row],[Site]],'Important Info!'!$A$1:$F$135,5,FALSE)</f>
        <v>5, 17, 23</v>
      </c>
      <c r="P2292" s="52">
        <f>VLOOKUP(Tabla3[[#This Row],[Site]],'Important Info!'!$A$1:$F$135,6,FALSE)</f>
        <v>18</v>
      </c>
      <c r="Q2292" s="91">
        <f>VLOOKUP(Tabla3[[#This Row],[Site]],'Important Info!'!$A$1:$J$135,9,FALSE)</f>
        <v>216</v>
      </c>
    </row>
    <row r="2293" spans="1:17" x14ac:dyDescent="0.25">
      <c r="A2293" t="str">
        <f>+Tabla3[[#This Row],[Site]]&amp;Tabla3[[#This Row],[Split]]</f>
        <v>(AS) Courtesy Kia of Brandon (NO TOURS)23</v>
      </c>
      <c r="B2293">
        <v>23</v>
      </c>
      <c r="C2293">
        <v>18</v>
      </c>
      <c r="D2293" t="s">
        <v>62</v>
      </c>
      <c r="E2293" t="s">
        <v>35</v>
      </c>
      <c r="F2293" t="s">
        <v>505</v>
      </c>
      <c r="G2293" t="s">
        <v>490</v>
      </c>
      <c r="H2293" s="52" t="str">
        <f>VLOOKUP(Tabla3[[#This Row],[Site]],'Important Info!'!$A$1:$J$135,10,FALSE)</f>
        <v>https://tools.sig.systems/site/details/121</v>
      </c>
      <c r="I2293" s="2" t="s">
        <v>181</v>
      </c>
      <c r="J2293" t="s">
        <v>484</v>
      </c>
      <c r="K2293" s="79" t="str">
        <f>VLOOKUP(Tabla3[[#This Row],[Site]],'Important Info!'!$A$1:$H$135,8,FALSE)</f>
        <v>-</v>
      </c>
      <c r="L2293" s="52" t="str">
        <f>VLOOKUP(Tabla3[[#This Row],[Site]],'Important Info!'!$A$1:$F$135,2,FALSE)</f>
        <v>-</v>
      </c>
      <c r="M2293" s="52" t="str">
        <f>VLOOKUP(Tabla3[[#This Row],[Site]],'Important Info!'!$A$1:$F$135,3,FALSE)</f>
        <v>4, 8</v>
      </c>
      <c r="N2293" s="52" t="str">
        <f>VLOOKUP(Tabla3[[#This Row],[Site]],'Important Info!'!$A$1:$F$135,4,FALSE)</f>
        <v>-</v>
      </c>
      <c r="O2293" s="52" t="str">
        <f>VLOOKUP(Tabla3[[#This Row],[Site]],'Important Info!'!$A$1:$F$135,5,FALSE)</f>
        <v>3, 11, 20, 24</v>
      </c>
      <c r="P2293" s="52" t="str">
        <f>VLOOKUP(Tabla3[[#This Row],[Site]],'Important Info!'!$A$1:$F$135,6,FALSE)</f>
        <v>2, 8</v>
      </c>
      <c r="Q2293" s="91">
        <f>VLOOKUP(Tabla3[[#This Row],[Site]],'Important Info!'!$A$1:$J$135,9,FALSE)</f>
        <v>121</v>
      </c>
    </row>
    <row r="2294" spans="1:17" x14ac:dyDescent="0.25">
      <c r="A2294" t="str">
        <f>+Tabla3[[#This Row],[Site]]&amp;Tabla3[[#This Row],[Split]]</f>
        <v>(AS) Nalley Luxury Collision Center (NO TOURS)23</v>
      </c>
      <c r="B2294">
        <v>23</v>
      </c>
      <c r="C2294">
        <v>18</v>
      </c>
      <c r="D2294" t="s">
        <v>62</v>
      </c>
      <c r="E2294" t="s">
        <v>35</v>
      </c>
      <c r="F2294" t="s">
        <v>512</v>
      </c>
      <c r="G2294" t="s">
        <v>490</v>
      </c>
      <c r="H2294" s="52" t="str">
        <f>VLOOKUP(Tabla3[[#This Row],[Site]],'Important Info!'!$A$1:$J$135,10,FALSE)</f>
        <v>https://tools.sig.systems/site/details/263</v>
      </c>
      <c r="I2294" s="2" t="s">
        <v>166</v>
      </c>
      <c r="J2294" t="s">
        <v>41</v>
      </c>
      <c r="K2294" s="79" t="str">
        <f>VLOOKUP(Tabla3[[#This Row],[Site]],'Important Info!'!$A$1:$H$135,8,FALSE)</f>
        <v>-</v>
      </c>
      <c r="L2294" s="52" t="str">
        <f>VLOOKUP(Tabla3[[#This Row],[Site]],'Important Info!'!$A$1:$F$135,2,FALSE)</f>
        <v>6, 13</v>
      </c>
      <c r="M2294" s="52" t="str">
        <f>VLOOKUP(Tabla3[[#This Row],[Site]],'Important Info!'!$A$1:$F$135,3,FALSE)</f>
        <v>-</v>
      </c>
      <c r="N2294" s="52" t="str">
        <f>VLOOKUP(Tabla3[[#This Row],[Site]],'Important Info!'!$A$1:$F$135,4,FALSE)</f>
        <v>-</v>
      </c>
      <c r="O2294" s="52" t="str">
        <f>VLOOKUP(Tabla3[[#This Row],[Site]],'Important Info!'!$A$1:$F$135,5,FALSE)</f>
        <v>-</v>
      </c>
      <c r="P2294" s="52" t="str">
        <f>VLOOKUP(Tabla3[[#This Row],[Site]],'Important Info!'!$A$1:$F$135,6,FALSE)</f>
        <v>6, 7, 12</v>
      </c>
      <c r="Q2294" s="91">
        <f>VLOOKUP(Tabla3[[#This Row],[Site]],'Important Info!'!$A$1:$J$135,9,FALSE)</f>
        <v>263</v>
      </c>
    </row>
    <row r="2295" spans="1:17" x14ac:dyDescent="0.25">
      <c r="A2295" t="str">
        <f>+Tabla3[[#This Row],[Site]]&amp;Tabla3[[#This Row],[Split]]</f>
        <v>(DT) N. Houston23</v>
      </c>
      <c r="B2295">
        <v>23</v>
      </c>
      <c r="C2295">
        <v>18</v>
      </c>
      <c r="D2295" t="s">
        <v>33</v>
      </c>
      <c r="E2295" t="s">
        <v>46</v>
      </c>
      <c r="F2295" t="s">
        <v>68</v>
      </c>
      <c r="G2295" t="s">
        <v>34</v>
      </c>
      <c r="H2295" s="52" t="str">
        <f>VLOOKUP(Tabla3[[#This Row],[Site]],'Important Info!'!$A$1:$J$135,10,FALSE)</f>
        <v>https://tools.sig.systems/site/details/250</v>
      </c>
      <c r="I2295" s="43"/>
      <c r="J2295" t="s">
        <v>41</v>
      </c>
      <c r="K2295" s="79" t="str">
        <f>VLOOKUP(Tabla3[[#This Row],[Site]],'Important Info!'!$A$1:$H$135,8,FALSE)</f>
        <v>-</v>
      </c>
      <c r="L2295" s="52" t="str">
        <f>VLOOKUP(Tabla3[[#This Row],[Site]],'Important Info!'!$A$1:$F$135,2,FALSE)</f>
        <v>2, 10, 18</v>
      </c>
      <c r="M2295" s="52" t="str">
        <f>VLOOKUP(Tabla3[[#This Row],[Site]],'Important Info!'!$A$1:$F$135,3,FALSE)</f>
        <v>-</v>
      </c>
      <c r="N2295" s="52" t="str">
        <f>VLOOKUP(Tabla3[[#This Row],[Site]],'Important Info!'!$A$1:$F$135,4,FALSE)</f>
        <v>-</v>
      </c>
      <c r="O2295" s="52">
        <f>VLOOKUP(Tabla3[[#This Row],[Site]],'Important Info!'!$A$1:$F$135,5,FALSE)</f>
        <v>15</v>
      </c>
      <c r="P2295" s="52" t="str">
        <f>VLOOKUP(Tabla3[[#This Row],[Site]],'Important Info!'!$A$1:$F$135,6,FALSE)</f>
        <v>2, 4, 18</v>
      </c>
      <c r="Q2295" s="91">
        <f>VLOOKUP(Tabla3[[#This Row],[Site]],'Important Info!'!$A$1:$J$135,9,FALSE)</f>
        <v>250</v>
      </c>
    </row>
    <row r="2296" spans="1:17" x14ac:dyDescent="0.25">
      <c r="A2296" t="str">
        <f>+Tabla3[[#This Row],[Site]]&amp;Tabla3[[#This Row],[Split]]</f>
        <v>(KG) JLR LEHI (NO TOURS)23</v>
      </c>
      <c r="B2296">
        <v>23</v>
      </c>
      <c r="C2296">
        <v>18</v>
      </c>
      <c r="D2296" t="s">
        <v>44</v>
      </c>
      <c r="E2296" t="s">
        <v>53</v>
      </c>
      <c r="F2296" t="s">
        <v>8</v>
      </c>
      <c r="G2296" t="s">
        <v>45</v>
      </c>
      <c r="H2296" s="52" t="str">
        <f>VLOOKUP(Tabla3[[#This Row],[Site]],'Important Info!'!$A$1:$J$135,10,FALSE)</f>
        <v>https://tools.sig.systems/site/details/145</v>
      </c>
      <c r="I2296" s="43"/>
      <c r="J2296" t="s">
        <v>41</v>
      </c>
      <c r="K2296" s="79" t="str">
        <f>VLOOKUP(Tabla3[[#This Row],[Site]],'Important Info!'!$A$1:$H$135,8,FALSE)</f>
        <v>-</v>
      </c>
      <c r="L2296" s="52" t="str">
        <f>VLOOKUP(Tabla3[[#This Row],[Site]],'Important Info!'!$A$1:$F$135,2,FALSE)</f>
        <v>1, 11</v>
      </c>
      <c r="M2296" s="52" t="str">
        <f>VLOOKUP(Tabla3[[#This Row],[Site]],'Important Info!'!$A$1:$F$135,3,FALSE)</f>
        <v>-</v>
      </c>
      <c r="N2296" s="52" t="str">
        <f>VLOOKUP(Tabla3[[#This Row],[Site]],'Important Info!'!$A$1:$F$135,4,FALSE)</f>
        <v>-</v>
      </c>
      <c r="O2296" s="52" t="str">
        <f>VLOOKUP(Tabla3[[#This Row],[Site]],'Important Info!'!$A$1:$F$135,5,FALSE)</f>
        <v>1, 7, 11</v>
      </c>
      <c r="P2296" s="52" t="str">
        <f>VLOOKUP(Tabla3[[#This Row],[Site]],'Important Info!'!$A$1:$F$135,6,FALSE)</f>
        <v>-</v>
      </c>
      <c r="Q2296" s="91">
        <f>VLOOKUP(Tabla3[[#This Row],[Site]],'Important Info!'!$A$1:$J$135,9,FALSE)</f>
        <v>145</v>
      </c>
    </row>
    <row r="2297" spans="1:17" x14ac:dyDescent="0.25">
      <c r="A2297" t="str">
        <f>+Tabla3[[#This Row],[Site]]&amp;Tabla3[[#This Row],[Split]]</f>
        <v>(ML) Mazda VW-Lot B23</v>
      </c>
      <c r="B2297">
        <v>23</v>
      </c>
      <c r="C2297">
        <v>18</v>
      </c>
      <c r="D2297" t="s">
        <v>33</v>
      </c>
      <c r="E2297" t="s">
        <v>46</v>
      </c>
      <c r="F2297" t="s">
        <v>9</v>
      </c>
      <c r="G2297" t="s">
        <v>34</v>
      </c>
      <c r="H2297" s="52" t="str">
        <f>VLOOKUP(Tabla3[[#This Row],[Site]],'Important Info!'!$A$1:$J$135,10,FALSE)</f>
        <v>https://tools.sig.systems/site/details/205</v>
      </c>
      <c r="I2297" s="2" t="s">
        <v>142</v>
      </c>
      <c r="J2297" t="s">
        <v>41</v>
      </c>
      <c r="K2297" s="79" t="str">
        <f>VLOOKUP(Tabla3[[#This Row],[Site]],'Important Info!'!$A$1:$H$135,8,FALSE)</f>
        <v>-</v>
      </c>
      <c r="L2297" s="52" t="str">
        <f>VLOOKUP(Tabla3[[#This Row],[Site]],'Important Info!'!$A$1:$F$135,2,FALSE)</f>
        <v>9, 14, 16</v>
      </c>
      <c r="M2297" s="52">
        <f>VLOOKUP(Tabla3[[#This Row],[Site]],'Important Info!'!$A$1:$F$135,3,FALSE)</f>
        <v>1</v>
      </c>
      <c r="N2297" s="52" t="str">
        <f>VLOOKUP(Tabla3[[#This Row],[Site]],'Important Info!'!$A$1:$F$135,4,FALSE)</f>
        <v>-</v>
      </c>
      <c r="O2297" s="52">
        <f>VLOOKUP(Tabla3[[#This Row],[Site]],'Important Info!'!$A$1:$F$135,5,FALSE)</f>
        <v>4</v>
      </c>
      <c r="P2297" s="52" t="str">
        <f>VLOOKUP(Tabla3[[#This Row],[Site]],'Important Info!'!$A$1:$F$135,6,FALSE)</f>
        <v>-</v>
      </c>
      <c r="Q2297" s="91">
        <f>VLOOKUP(Tabla3[[#This Row],[Site]],'Important Info!'!$A$1:$J$135,9,FALSE)</f>
        <v>205</v>
      </c>
    </row>
    <row r="2298" spans="1:17" x14ac:dyDescent="0.25">
      <c r="A2298" t="str">
        <f>+Tabla3[[#This Row],[Site]]&amp;Tabla3[[#This Row],[Split]]</f>
        <v>(AS) Stevinson Chevrolet Golden (NO TOURS)23</v>
      </c>
      <c r="B2298">
        <v>23</v>
      </c>
      <c r="C2298">
        <v>19</v>
      </c>
      <c r="D2298" t="s">
        <v>488</v>
      </c>
      <c r="E2298" t="s">
        <v>53</v>
      </c>
      <c r="F2298" t="s">
        <v>190</v>
      </c>
      <c r="G2298" t="s">
        <v>45</v>
      </c>
      <c r="H2298" s="52" t="str">
        <f>VLOOKUP(Tabla3[[#This Row],[Site]],'Important Info!'!$A$1:$J$135,10,FALSE)</f>
        <v>https://tools.sig.systems/site/details/264</v>
      </c>
      <c r="I2298" s="2" t="s">
        <v>154</v>
      </c>
      <c r="J2298" t="s">
        <v>41</v>
      </c>
      <c r="K2298" s="79" t="str">
        <f>VLOOKUP(Tabla3[[#This Row],[Site]],'Important Info!'!$A$1:$H$135,8,FALSE)</f>
        <v>-</v>
      </c>
      <c r="L2298" s="52" t="str">
        <f>VLOOKUP(Tabla3[[#This Row],[Site]],'Important Info!'!$A$1:$F$135,2,FALSE)</f>
        <v>-</v>
      </c>
      <c r="M2298" s="52" t="str">
        <f>VLOOKUP(Tabla3[[#This Row],[Site]],'Important Info!'!$A$1:$F$135,3,FALSE)</f>
        <v>1, 19</v>
      </c>
      <c r="N2298" s="52" t="str">
        <f>VLOOKUP(Tabla3[[#This Row],[Site]],'Important Info!'!$A$1:$F$135,4,FALSE)</f>
        <v>-</v>
      </c>
      <c r="O2298" s="52" t="str">
        <f>VLOOKUP(Tabla3[[#This Row],[Site]],'Important Info!'!$A$1:$F$135,5,FALSE)</f>
        <v>14, 30</v>
      </c>
      <c r="P2298" s="52" t="str">
        <f>VLOOKUP(Tabla3[[#This Row],[Site]],'Important Info!'!$A$1:$F$135,6,FALSE)</f>
        <v>14, 33, 34, 35, 36</v>
      </c>
      <c r="Q2298" s="91">
        <f>VLOOKUP(Tabla3[[#This Row],[Site]],'Important Info!'!$A$1:$J$135,9,FALSE)</f>
        <v>264</v>
      </c>
    </row>
    <row r="2299" spans="1:17" x14ac:dyDescent="0.25">
      <c r="A2299" t="str">
        <f>+Tabla3[[#This Row],[Site]]&amp;Tabla3[[#This Row],[Split]]</f>
        <v>(DT) Colorado Springs (NO TOURS)23</v>
      </c>
      <c r="B2299">
        <v>23</v>
      </c>
      <c r="C2299">
        <v>19</v>
      </c>
      <c r="D2299" t="s">
        <v>44</v>
      </c>
      <c r="E2299" t="s">
        <v>53</v>
      </c>
      <c r="F2299" t="s">
        <v>156</v>
      </c>
      <c r="G2299" t="s">
        <v>45</v>
      </c>
      <c r="H2299" s="52" t="str">
        <f>VLOOKUP(Tabla3[[#This Row],[Site]],'Important Info!'!$A$1:$J$135,10,FALSE)</f>
        <v>https://tools.sig.systems/site/details/198</v>
      </c>
      <c r="J2299" t="s">
        <v>41</v>
      </c>
      <c r="K2299" s="79" t="str">
        <f>VLOOKUP(Tabla3[[#This Row],[Site]],'Important Info!'!$A$1:$H$135,8,FALSE)</f>
        <v>-</v>
      </c>
      <c r="L2299" s="52" t="str">
        <f>VLOOKUP(Tabla3[[#This Row],[Site]],'Important Info!'!$A$1:$F$135,2,FALSE)</f>
        <v>-</v>
      </c>
      <c r="M2299" s="52" t="str">
        <f>VLOOKUP(Tabla3[[#This Row],[Site]],'Important Info!'!$A$1:$F$135,3,FALSE)</f>
        <v>1, 2, 3, 4</v>
      </c>
      <c r="N2299" s="52" t="str">
        <f>VLOOKUP(Tabla3[[#This Row],[Site]],'Important Info!'!$A$1:$F$135,4,FALSE)</f>
        <v>-</v>
      </c>
      <c r="O2299" s="52" t="str">
        <f>VLOOKUP(Tabla3[[#This Row],[Site]],'Important Info!'!$A$1:$F$135,5,FALSE)</f>
        <v>-</v>
      </c>
      <c r="P2299" s="52" t="str">
        <f>VLOOKUP(Tabla3[[#This Row],[Site]],'Important Info!'!$A$1:$F$135,6,FALSE)</f>
        <v>1, 2, 3, 11</v>
      </c>
      <c r="Q2299" s="91">
        <f>VLOOKUP(Tabla3[[#This Row],[Site]],'Important Info!'!$A$1:$J$135,9,FALSE)</f>
        <v>198</v>
      </c>
    </row>
    <row r="2300" spans="1:17" x14ac:dyDescent="0.25">
      <c r="A2300" t="str">
        <f>+Tabla3[[#This Row],[Site]]&amp;Tabla3[[#This Row],[Split]]</f>
        <v>(KG) Clear Lake Pre-Owned23</v>
      </c>
      <c r="B2300">
        <v>23</v>
      </c>
      <c r="C2300">
        <v>19</v>
      </c>
      <c r="D2300" t="s">
        <v>33</v>
      </c>
      <c r="E2300" t="s">
        <v>46</v>
      </c>
      <c r="F2300" t="s">
        <v>87</v>
      </c>
      <c r="G2300" t="s">
        <v>34</v>
      </c>
      <c r="H2300" s="52" t="str">
        <f>VLOOKUP(Tabla3[[#This Row],[Site]],'Important Info!'!$A$1:$J$135,10,FALSE)</f>
        <v>https://tools.sig.systems/site/details/255</v>
      </c>
      <c r="I2300" s="2" t="s">
        <v>134</v>
      </c>
      <c r="J2300" t="s">
        <v>41</v>
      </c>
      <c r="K2300" s="79" t="str">
        <f>VLOOKUP(Tabla3[[#This Row],[Site]],'Important Info!'!$A$1:$H$135,8,FALSE)</f>
        <v>-</v>
      </c>
      <c r="L2300" s="52" t="str">
        <f>VLOOKUP(Tabla3[[#This Row],[Site]],'Important Info!'!$A$1:$F$135,2,FALSE)</f>
        <v>3, 5</v>
      </c>
      <c r="M2300" s="52" t="str">
        <f>VLOOKUP(Tabla3[[#This Row],[Site]],'Important Info!'!$A$1:$F$135,3,FALSE)</f>
        <v>-</v>
      </c>
      <c r="N2300" s="52" t="str">
        <f>VLOOKUP(Tabla3[[#This Row],[Site]],'Important Info!'!$A$1:$F$135,4,FALSE)</f>
        <v>-</v>
      </c>
      <c r="O2300" s="52" t="str">
        <f>VLOOKUP(Tabla3[[#This Row],[Site]],'Important Info!'!$A$1:$F$135,5,FALSE)</f>
        <v>4, 10, 22</v>
      </c>
      <c r="P2300" s="52" t="str">
        <f>VLOOKUP(Tabla3[[#This Row],[Site]],'Important Info!'!$A$1:$F$135,6,FALSE)</f>
        <v>8, 15, 20</v>
      </c>
      <c r="Q2300" s="91">
        <f>VLOOKUP(Tabla3[[#This Row],[Site]],'Important Info!'!$A$1:$J$135,9,FALSE)</f>
        <v>255</v>
      </c>
    </row>
    <row r="2301" spans="1:17" x14ac:dyDescent="0.25">
      <c r="A2301" t="str">
        <f>+Tabla3[[#This Row],[Site]]&amp;Tabla3[[#This Row],[Split]]</f>
        <v>(ML) Collision Center N Little Rock23</v>
      </c>
      <c r="B2301">
        <v>23</v>
      </c>
      <c r="C2301">
        <v>19</v>
      </c>
      <c r="D2301" t="s">
        <v>33</v>
      </c>
      <c r="E2301" t="s">
        <v>46</v>
      </c>
      <c r="F2301" t="s">
        <v>141</v>
      </c>
      <c r="G2301" t="s">
        <v>34</v>
      </c>
      <c r="H2301" s="52" t="str">
        <f>VLOOKUP(Tabla3[[#This Row],[Site]],'Important Info!'!$A$1:$J$135,10,FALSE)</f>
        <v>https://tools.sig.systems/site/details/212</v>
      </c>
      <c r="I2301" s="43" t="s">
        <v>142</v>
      </c>
      <c r="J2301" t="s">
        <v>41</v>
      </c>
      <c r="K2301" s="79" t="str">
        <f>VLOOKUP(Tabla3[[#This Row],[Site]],'Important Info!'!$A$1:$H$135,8,FALSE)</f>
        <v>-</v>
      </c>
      <c r="L2301" s="52" t="str">
        <f>VLOOKUP(Tabla3[[#This Row],[Site]],'Important Info!'!$A$1:$F$135,2,FALSE)</f>
        <v>-</v>
      </c>
      <c r="M2301" s="52" t="str">
        <f>VLOOKUP(Tabla3[[#This Row],[Site]],'Important Info!'!$A$1:$F$135,3,FALSE)</f>
        <v>-</v>
      </c>
      <c r="N2301" s="52" t="str">
        <f>VLOOKUP(Tabla3[[#This Row],[Site]],'Important Info!'!$A$1:$F$135,4,FALSE)</f>
        <v>-</v>
      </c>
      <c r="O2301" s="52" t="str">
        <f>VLOOKUP(Tabla3[[#This Row],[Site]],'Important Info!'!$A$1:$F$135,5,FALSE)</f>
        <v>-</v>
      </c>
      <c r="P2301" s="52" t="str">
        <f>VLOOKUP(Tabla3[[#This Row],[Site]],'Important Info!'!$A$1:$F$135,6,FALSE)</f>
        <v>1, 3, 7, 8</v>
      </c>
      <c r="Q2301" s="91">
        <f>VLOOKUP(Tabla3[[#This Row],[Site]],'Important Info!'!$A$1:$J$135,9,FALSE)</f>
        <v>212</v>
      </c>
    </row>
    <row r="2302" spans="1:17" x14ac:dyDescent="0.25">
      <c r="A2302" t="str">
        <f>+Tabla3[[#This Row],[Site]]&amp;Tabla3[[#This Row],[Split]]</f>
        <v>(ML) Ford Lincoln of North Little Rock23</v>
      </c>
      <c r="B2302">
        <v>23</v>
      </c>
      <c r="C2302">
        <v>19</v>
      </c>
      <c r="D2302" t="s">
        <v>33</v>
      </c>
      <c r="E2302" t="s">
        <v>46</v>
      </c>
      <c r="F2302" t="s">
        <v>145</v>
      </c>
      <c r="G2302" t="s">
        <v>34</v>
      </c>
      <c r="H2302" s="52" t="str">
        <f>VLOOKUP(Tabla3[[#This Row],[Site]],'Important Info!'!$A$1:$J$135,10,FALSE)</f>
        <v>https://tools.sig.systems/site/details/214</v>
      </c>
      <c r="I2302" s="2" t="s">
        <v>142</v>
      </c>
      <c r="J2302" t="s">
        <v>41</v>
      </c>
      <c r="K2302" s="79" t="str">
        <f>VLOOKUP(Tabla3[[#This Row],[Site]],'Important Info!'!$A$1:$H$135,8,FALSE)</f>
        <v>-</v>
      </c>
      <c r="L2302" s="52" t="str">
        <f>VLOOKUP(Tabla3[[#This Row],[Site]],'Important Info!'!$A$1:$F$135,2,FALSE)</f>
        <v>4, 15, 18, 67, 74</v>
      </c>
      <c r="M2302" s="52">
        <f>VLOOKUP(Tabla3[[#This Row],[Site]],'Important Info!'!$A$1:$F$135,3,FALSE)</f>
        <v>13</v>
      </c>
      <c r="N2302" s="52" t="str">
        <f>VLOOKUP(Tabla3[[#This Row],[Site]],'Important Info!'!$A$1:$F$135,4,FALSE)</f>
        <v>-</v>
      </c>
      <c r="O2302" s="52" t="str">
        <f>VLOOKUP(Tabla3[[#This Row],[Site]],'Important Info!'!$A$1:$F$135,5,FALSE)</f>
        <v>4, 11, 16, 28</v>
      </c>
      <c r="P2302" s="52" t="str">
        <f>VLOOKUP(Tabla3[[#This Row],[Site]],'Important Info!'!$A$1:$F$135,6,FALSE)</f>
        <v>10, 11, 12</v>
      </c>
      <c r="Q2302" s="91">
        <f>VLOOKUP(Tabla3[[#This Row],[Site]],'Important Info!'!$A$1:$J$135,9,FALSE)</f>
        <v>214</v>
      </c>
    </row>
    <row r="2303" spans="1:17" x14ac:dyDescent="0.25">
      <c r="A2303" t="str">
        <f>+Tabla3[[#This Row],[Site]]&amp;Tabla3[[#This Row],[Split]]</f>
        <v>(RV) Toms Camperland Surprise (NO TOURS)23</v>
      </c>
      <c r="B2303">
        <v>23</v>
      </c>
      <c r="C2303">
        <v>19</v>
      </c>
      <c r="D2303" t="s">
        <v>51</v>
      </c>
      <c r="E2303" t="s">
        <v>161</v>
      </c>
      <c r="F2303" t="s">
        <v>165</v>
      </c>
      <c r="G2303" t="s">
        <v>52</v>
      </c>
      <c r="H2303" s="52" t="str">
        <f>VLOOKUP(Tabla3[[#This Row],[Site]],'Important Info!'!$A$1:$J$135,10,FALSE)</f>
        <v>https://tools.sig.systems/site/details/254</v>
      </c>
      <c r="I2303" s="43"/>
      <c r="J2303" t="s">
        <v>52</v>
      </c>
      <c r="K2303" s="79" t="str">
        <f>VLOOKUP(Tabla3[[#This Row],[Site]],'Important Info!'!$A$1:$H$135,8,FALSE)</f>
        <v>-</v>
      </c>
      <c r="L2303" s="52" t="str">
        <f>VLOOKUP(Tabla3[[#This Row],[Site]],'Important Info!'!$A$1:$F$135,2,FALSE)</f>
        <v>1, 3, 4</v>
      </c>
      <c r="M2303" s="52" t="str">
        <f>VLOOKUP(Tabla3[[#This Row],[Site]],'Important Info!'!$A$1:$F$135,3,FALSE)</f>
        <v>-</v>
      </c>
      <c r="N2303" s="52" t="str">
        <f>VLOOKUP(Tabla3[[#This Row],[Site]],'Important Info!'!$A$1:$F$135,4,FALSE)</f>
        <v>-</v>
      </c>
      <c r="O2303" s="52" t="str">
        <f>VLOOKUP(Tabla3[[#This Row],[Site]],'Important Info!'!$A$1:$F$135,5,FALSE)</f>
        <v>-</v>
      </c>
      <c r="P2303" s="52" t="str">
        <f>VLOOKUP(Tabla3[[#This Row],[Site]],'Important Info!'!$A$1:$F$135,6,FALSE)</f>
        <v>1, 2, 3, 4, 15</v>
      </c>
      <c r="Q2303" s="91">
        <f>VLOOKUP(Tabla3[[#This Row],[Site]],'Important Info!'!$A$1:$J$135,9,FALSE)</f>
        <v>254</v>
      </c>
    </row>
    <row r="2304" spans="1:17" x14ac:dyDescent="0.25">
      <c r="A2304" t="str">
        <f>+Tabla3[[#This Row],[Site]]&amp;Tabla3[[#This Row],[Split]]</f>
        <v>(AS) Courtesy CDJR of Brandon (NO TOURS)23</v>
      </c>
      <c r="B2304">
        <v>23</v>
      </c>
      <c r="C2304">
        <v>20</v>
      </c>
      <c r="D2304" t="s">
        <v>62</v>
      </c>
      <c r="E2304" t="s">
        <v>35</v>
      </c>
      <c r="F2304" t="s">
        <v>503</v>
      </c>
      <c r="G2304" t="s">
        <v>490</v>
      </c>
      <c r="H2304" s="52" t="str">
        <f>VLOOKUP(Tabla3[[#This Row],[Site]],'Important Info!'!$A$1:$J$135,10,FALSE)</f>
        <v>https://tools.sig.systems/site/details/126</v>
      </c>
      <c r="I2304" s="43" t="s">
        <v>181</v>
      </c>
      <c r="J2304" t="s">
        <v>484</v>
      </c>
      <c r="K2304" s="79" t="str">
        <f>VLOOKUP(Tabla3[[#This Row],[Site]],'Important Info!'!$A$1:$H$135,8,FALSE)</f>
        <v>-</v>
      </c>
      <c r="L2304" s="52" t="str">
        <f>VLOOKUP(Tabla3[[#This Row],[Site]],'Important Info!'!$A$1:$F$135,2,FALSE)</f>
        <v>1, 14, 15</v>
      </c>
      <c r="M2304" s="52">
        <f>VLOOKUP(Tabla3[[#This Row],[Site]],'Important Info!'!$A$1:$F$135,3,FALSE)</f>
        <v>1</v>
      </c>
      <c r="N2304" s="52" t="str">
        <f>VLOOKUP(Tabla3[[#This Row],[Site]],'Important Info!'!$A$1:$F$135,4,FALSE)</f>
        <v>-</v>
      </c>
      <c r="O2304" s="52" t="str">
        <f>VLOOKUP(Tabla3[[#This Row],[Site]],'Important Info!'!$A$1:$F$135,5,FALSE)</f>
        <v>2, 12</v>
      </c>
      <c r="P2304" s="52" t="str">
        <f>VLOOKUP(Tabla3[[#This Row],[Site]],'Important Info!'!$A$1:$F$135,6,FALSE)</f>
        <v xml:space="preserve">1, 2, 3, 4, 14, 15, 21, 25 </v>
      </c>
      <c r="Q2304" s="91">
        <f>VLOOKUP(Tabla3[[#This Row],[Site]],'Important Info!'!$A$1:$J$135,9,FALSE)</f>
        <v>126</v>
      </c>
    </row>
    <row r="2305" spans="1:17" x14ac:dyDescent="0.25">
      <c r="A2305" t="str">
        <f>+Tabla3[[#This Row],[Site]]&amp;Tabla3[[#This Row],[Split]]</f>
        <v>(AS) Stevinson Toyota West (NO TOURS)23</v>
      </c>
      <c r="B2305">
        <v>23</v>
      </c>
      <c r="C2305">
        <v>20</v>
      </c>
      <c r="D2305" t="s">
        <v>44</v>
      </c>
      <c r="E2305" t="s">
        <v>53</v>
      </c>
      <c r="F2305" t="s">
        <v>79</v>
      </c>
      <c r="G2305" t="s">
        <v>45</v>
      </c>
      <c r="H2305" s="52" t="str">
        <f>VLOOKUP(Tabla3[[#This Row],[Site]],'Important Info!'!$A$1:$J$135,10,FALSE)</f>
        <v>https://tools.sig.systems/site/details/240</v>
      </c>
      <c r="I2305" s="43" t="s">
        <v>154</v>
      </c>
      <c r="J2305" t="s">
        <v>41</v>
      </c>
      <c r="K2305" s="79" t="str">
        <f>VLOOKUP(Tabla3[[#This Row],[Site]],'Important Info!'!$A$1:$H$135,8,FALSE)</f>
        <v>-</v>
      </c>
      <c r="L2305" s="52" t="str">
        <f>VLOOKUP(Tabla3[[#This Row],[Site]],'Important Info!'!$A$1:$F$135,2,FALSE)</f>
        <v>-</v>
      </c>
      <c r="M2305" s="52" t="str">
        <f>VLOOKUP(Tabla3[[#This Row],[Site]],'Important Info!'!$A$1:$F$135,3,FALSE)</f>
        <v>7, 18, 21</v>
      </c>
      <c r="N2305" s="52" t="str">
        <f>VLOOKUP(Tabla3[[#This Row],[Site]],'Important Info!'!$A$1:$F$135,4,FALSE)</f>
        <v>-</v>
      </c>
      <c r="O2305" s="52" t="str">
        <f>VLOOKUP(Tabla3[[#This Row],[Site]],'Important Info!'!$A$1:$F$135,5,FALSE)</f>
        <v>11, 24, 34</v>
      </c>
      <c r="P2305" s="52" t="str">
        <f>VLOOKUP(Tabla3[[#This Row],[Site]],'Important Info!'!$A$1:$F$135,6,FALSE)</f>
        <v>1, 2, 3, 12</v>
      </c>
      <c r="Q2305" s="91">
        <f>VLOOKUP(Tabla3[[#This Row],[Site]],'Important Info!'!$A$1:$J$135,9,FALSE)</f>
        <v>240</v>
      </c>
    </row>
    <row r="2306" spans="1:17" x14ac:dyDescent="0.25">
      <c r="A2306" t="str">
        <f>+Tabla3[[#This Row],[Site]]&amp;Tabla3[[#This Row],[Split]]</f>
        <v>(KG) Big Star Ford23</v>
      </c>
      <c r="B2306">
        <v>23</v>
      </c>
      <c r="C2306">
        <v>20</v>
      </c>
      <c r="D2306" t="s">
        <v>33</v>
      </c>
      <c r="E2306" t="s">
        <v>46</v>
      </c>
      <c r="F2306" t="s">
        <v>135</v>
      </c>
      <c r="G2306" t="s">
        <v>34</v>
      </c>
      <c r="H2306" s="52" t="str">
        <f>VLOOKUP(Tabla3[[#This Row],[Site]],'Important Info!'!$A$1:$J$135,10,FALSE)</f>
        <v>https://tools.sig.systems/site/details/235</v>
      </c>
      <c r="I2306" s="2"/>
      <c r="J2306" t="s">
        <v>41</v>
      </c>
      <c r="K2306" s="79" t="str">
        <f>VLOOKUP(Tabla3[[#This Row],[Site]],'Important Info!'!$A$1:$H$135,8,FALSE)</f>
        <v>-</v>
      </c>
      <c r="L2306" s="52" t="str">
        <f>VLOOKUP(Tabla3[[#This Row],[Site]],'Important Info!'!$A$1:$F$135,2,FALSE)</f>
        <v>4, 22, 32, 33</v>
      </c>
      <c r="M2306" s="52" t="str">
        <f>VLOOKUP(Tabla3[[#This Row],[Site]],'Important Info!'!$A$1:$F$135,3,FALSE)</f>
        <v>-</v>
      </c>
      <c r="N2306" s="52" t="str">
        <f>VLOOKUP(Tabla3[[#This Row],[Site]],'Important Info!'!$A$1:$F$135,4,FALSE)</f>
        <v>-</v>
      </c>
      <c r="O2306" s="52" t="str">
        <f>VLOOKUP(Tabla3[[#This Row],[Site]],'Important Info!'!$A$1:$F$135,5,FALSE)</f>
        <v>1, 5, 12, 21</v>
      </c>
      <c r="P2306" s="52">
        <f>VLOOKUP(Tabla3[[#This Row],[Site]],'Important Info!'!$A$1:$F$135,6,FALSE)</f>
        <v>22</v>
      </c>
      <c r="Q2306" s="91">
        <f>VLOOKUP(Tabla3[[#This Row],[Site]],'Important Info!'!$A$1:$J$135,9,FALSE)</f>
        <v>235</v>
      </c>
    </row>
    <row r="2307" spans="1:17" x14ac:dyDescent="0.25">
      <c r="A2307" t="str">
        <f>+Tabla3[[#This Row],[Site]]&amp;Tabla3[[#This Row],[Split]]</f>
        <v>(PE) BMW Tenafly (NO TOURS)23</v>
      </c>
      <c r="B2307">
        <v>23</v>
      </c>
      <c r="C2307">
        <v>20</v>
      </c>
      <c r="D2307" t="s">
        <v>485</v>
      </c>
      <c r="E2307" t="s">
        <v>35</v>
      </c>
      <c r="F2307" t="s">
        <v>173</v>
      </c>
      <c r="G2307" t="s">
        <v>490</v>
      </c>
      <c r="H2307" s="52" t="str">
        <f>VLOOKUP(Tabla3[[#This Row],[Site]],'Important Info!'!$A$1:$J$135,10,FALSE)</f>
        <v>https://tools.sig.systems/site/details/155</v>
      </c>
      <c r="I2307" s="43"/>
      <c r="J2307" t="s">
        <v>41</v>
      </c>
      <c r="K2307" s="79" t="str">
        <f>VLOOKUP(Tabla3[[#This Row],[Site]],'Important Info!'!$A$1:$H$135,8,FALSE)</f>
        <v>-</v>
      </c>
      <c r="L2307" s="52">
        <f>VLOOKUP(Tabla3[[#This Row],[Site]],'Important Info!'!$A$1:$F$135,2,FALSE)</f>
        <v>24</v>
      </c>
      <c r="M2307" s="52" t="str">
        <f>VLOOKUP(Tabla3[[#This Row],[Site]],'Important Info!'!$A$1:$F$135,3,FALSE)</f>
        <v>1, 3, 4, 17, 23</v>
      </c>
      <c r="N2307" s="52" t="str">
        <f>VLOOKUP(Tabla3[[#This Row],[Site]],'Important Info!'!$A$1:$F$135,4,FALSE)</f>
        <v>-</v>
      </c>
      <c r="O2307" s="52" t="str">
        <f>VLOOKUP(Tabla3[[#This Row],[Site]],'Important Info!'!$A$1:$F$135,5,FALSE)</f>
        <v>-</v>
      </c>
      <c r="P2307" s="52">
        <f>VLOOKUP(Tabla3[[#This Row],[Site]],'Important Info!'!$A$1:$F$135,6,FALSE)</f>
        <v>1</v>
      </c>
      <c r="Q2307" s="91">
        <f>VLOOKUP(Tabla3[[#This Row],[Site]],'Important Info!'!$A$1:$J$135,9,FALSE)</f>
        <v>155</v>
      </c>
    </row>
    <row r="2308" spans="1:17" x14ac:dyDescent="0.25">
      <c r="A2308" t="str">
        <f>+Tabla3[[#This Row],[Site]]&amp;Tabla3[[#This Row],[Split]]</f>
        <v>(AS) Plaza Lexus/Mercedes/BMW (NO TOURS)23</v>
      </c>
      <c r="B2308">
        <v>23</v>
      </c>
      <c r="C2308">
        <v>21</v>
      </c>
      <c r="D2308" t="s">
        <v>33</v>
      </c>
      <c r="E2308" t="s">
        <v>46</v>
      </c>
      <c r="F2308" t="s">
        <v>92</v>
      </c>
      <c r="G2308" t="s">
        <v>34</v>
      </c>
      <c r="H2308" s="52" t="str">
        <f>VLOOKUP(Tabla3[[#This Row],[Site]],'Important Info!'!$A$1:$J$135,10,FALSE)</f>
        <v>https://tools.sig.systems/site/details/141</v>
      </c>
      <c r="I2308" t="s">
        <v>130</v>
      </c>
      <c r="J2308" t="s">
        <v>41</v>
      </c>
      <c r="K2308" s="79" t="str">
        <f>VLOOKUP(Tabla3[[#This Row],[Site]],'Important Info!'!$A$1:$H$135,8,FALSE)</f>
        <v>-</v>
      </c>
      <c r="L2308" s="52" t="str">
        <f>VLOOKUP(Tabla3[[#This Row],[Site]],'Important Info!'!$A$1:$F$135,2,FALSE)</f>
        <v>3, 4, 18</v>
      </c>
      <c r="M2308" s="52" t="str">
        <f>VLOOKUP(Tabla3[[#This Row],[Site]],'Important Info!'!$A$1:$F$135,3,FALSE)</f>
        <v>9, 10, 12, 13, 16, 17</v>
      </c>
      <c r="N2308" s="52" t="str">
        <f>VLOOKUP(Tabla3[[#This Row],[Site]],'Important Info!'!$A$1:$F$135,4,FALSE)</f>
        <v>-</v>
      </c>
      <c r="O2308" s="52">
        <f>VLOOKUP(Tabla3[[#This Row],[Site]],'Important Info!'!$A$1:$F$135,5,FALSE)</f>
        <v>2</v>
      </c>
      <c r="P2308" s="52" t="str">
        <f>VLOOKUP(Tabla3[[#This Row],[Site]],'Important Info!'!$A$1:$F$135,6,FALSE)</f>
        <v>2, 16</v>
      </c>
      <c r="Q2308" s="91">
        <f>VLOOKUP(Tabla3[[#This Row],[Site]],'Important Info!'!$A$1:$J$135,9,FALSE)</f>
        <v>141</v>
      </c>
    </row>
    <row r="2309" spans="1:17" x14ac:dyDescent="0.25">
      <c r="A2309" t="str">
        <f>+Tabla3[[#This Row],[Site]]&amp;Tabla3[[#This Row],[Split]]</f>
        <v>(AS) Stevinson Lexus of Lakewood (NO TOURS)23</v>
      </c>
      <c r="B2309">
        <v>23</v>
      </c>
      <c r="C2309">
        <v>21</v>
      </c>
      <c r="D2309" t="s">
        <v>44</v>
      </c>
      <c r="E2309" t="s">
        <v>53</v>
      </c>
      <c r="F2309" t="s">
        <v>523</v>
      </c>
      <c r="G2309" t="s">
        <v>45</v>
      </c>
      <c r="H2309" s="52" t="str">
        <f>VLOOKUP(Tabla3[[#This Row],[Site]],'Important Info!'!$A$1:$J$135,10,FALSE)</f>
        <v>https://tools.sig.systems/site/details/260</v>
      </c>
      <c r="I2309" s="2" t="s">
        <v>154</v>
      </c>
      <c r="J2309" t="s">
        <v>41</v>
      </c>
      <c r="K2309" s="79" t="str">
        <f>VLOOKUP(Tabla3[[#This Row],[Site]],'Important Info!'!$A$1:$H$135,8,FALSE)</f>
        <v>-</v>
      </c>
      <c r="L2309" s="52" t="str">
        <f>VLOOKUP(Tabla3[[#This Row],[Site]],'Important Info!'!$A$1:$F$135,2,FALSE)</f>
        <v>-</v>
      </c>
      <c r="M2309" s="52" t="str">
        <f>VLOOKUP(Tabla3[[#This Row],[Site]],'Important Info!'!$A$1:$F$135,3,FALSE)</f>
        <v>2, 10</v>
      </c>
      <c r="N2309" s="52" t="str">
        <f>VLOOKUP(Tabla3[[#This Row],[Site]],'Important Info!'!$A$1:$F$135,4,FALSE)</f>
        <v>9, 17</v>
      </c>
      <c r="O2309" s="52" t="str">
        <f>VLOOKUP(Tabla3[[#This Row],[Site]],'Important Info!'!$A$1:$F$135,5,FALSE)</f>
        <v>-</v>
      </c>
      <c r="P2309" s="52" t="str">
        <f>VLOOKUP(Tabla3[[#This Row],[Site]],'Important Info!'!$A$1:$F$135,6,FALSE)</f>
        <v>1, 2</v>
      </c>
      <c r="Q2309" s="91">
        <f>VLOOKUP(Tabla3[[#This Row],[Site]],'Important Info!'!$A$1:$J$135,9,FALSE)</f>
        <v>260</v>
      </c>
    </row>
    <row r="2310" spans="1:17" x14ac:dyDescent="0.25">
      <c r="A2310" t="str">
        <f>+Tabla3[[#This Row],[Site]]&amp;Tabla3[[#This Row],[Split]]</f>
        <v>(KG) Kia of Phoenix (NO TOURS)23</v>
      </c>
      <c r="B2310">
        <v>23</v>
      </c>
      <c r="C2310">
        <v>21</v>
      </c>
      <c r="D2310" t="s">
        <v>51</v>
      </c>
      <c r="E2310" t="s">
        <v>161</v>
      </c>
      <c r="F2310" t="s">
        <v>94</v>
      </c>
      <c r="G2310" t="s">
        <v>52</v>
      </c>
      <c r="H2310" s="52" t="str">
        <f>VLOOKUP(Tabla3[[#This Row],[Site]],'Important Info!'!$A$1:$J$135,10,FALSE)</f>
        <v>https://tools.sig.systems/site/details/262</v>
      </c>
      <c r="J2310" t="s">
        <v>162</v>
      </c>
      <c r="K2310" s="79" t="str">
        <f>VLOOKUP(Tabla3[[#This Row],[Site]],'Important Info!'!$A$1:$H$135,8,FALSE)</f>
        <v>-</v>
      </c>
      <c r="L2310" s="52" t="str">
        <f>VLOOKUP(Tabla3[[#This Row],[Site]],'Important Info!'!$A$1:$F$135,2,FALSE)</f>
        <v>5, 8, 23</v>
      </c>
      <c r="M2310" s="52" t="str">
        <f>VLOOKUP(Tabla3[[#This Row],[Site]],'Important Info!'!$A$1:$F$135,3,FALSE)</f>
        <v>-</v>
      </c>
      <c r="N2310" s="52" t="str">
        <f>VLOOKUP(Tabla3[[#This Row],[Site]],'Important Info!'!$A$1:$F$135,4,FALSE)</f>
        <v>-</v>
      </c>
      <c r="O2310" s="52">
        <f>VLOOKUP(Tabla3[[#This Row],[Site]],'Important Info!'!$A$1:$F$135,5,FALSE)</f>
        <v>4</v>
      </c>
      <c r="P2310" s="52" t="str">
        <f>VLOOKUP(Tabla3[[#This Row],[Site]],'Important Info!'!$A$1:$F$135,6,FALSE)</f>
        <v>-</v>
      </c>
      <c r="Q2310" s="91">
        <f>VLOOKUP(Tabla3[[#This Row],[Site]],'Important Info!'!$A$1:$J$135,9,FALSE)</f>
        <v>262</v>
      </c>
    </row>
    <row r="2311" spans="1:17" x14ac:dyDescent="0.25">
      <c r="A2311" t="str">
        <f>+Tabla3[[#This Row],[Site]]&amp;Tabla3[[#This Row],[Split]]</f>
        <v>(ML) Toyota N Little Rock23</v>
      </c>
      <c r="B2311">
        <v>23</v>
      </c>
      <c r="C2311">
        <v>21</v>
      </c>
      <c r="D2311" t="s">
        <v>33</v>
      </c>
      <c r="E2311" t="s">
        <v>46</v>
      </c>
      <c r="F2311" t="s">
        <v>76</v>
      </c>
      <c r="G2311" t="s">
        <v>34</v>
      </c>
      <c r="H2311" s="52" t="str">
        <f>VLOOKUP(Tabla3[[#This Row],[Site]],'Important Info!'!$A$1:$J$135,10,FALSE)</f>
        <v>https://tools.sig.systems/site/details/201</v>
      </c>
      <c r="I2311" s="2" t="s">
        <v>142</v>
      </c>
      <c r="J2311" t="s">
        <v>41</v>
      </c>
      <c r="K2311" s="79" t="str">
        <f>VLOOKUP(Tabla3[[#This Row],[Site]],'Important Info!'!$A$1:$H$135,8,FALSE)</f>
        <v>-</v>
      </c>
      <c r="L2311" s="52" t="str">
        <f>VLOOKUP(Tabla3[[#This Row],[Site]],'Important Info!'!$A$1:$F$135,2,FALSE)</f>
        <v>4, 15, 18, 22, 23, 26</v>
      </c>
      <c r="M2311" s="52" t="str">
        <f>VLOOKUP(Tabla3[[#This Row],[Site]],'Important Info!'!$A$1:$F$135,3,FALSE)</f>
        <v>-</v>
      </c>
      <c r="N2311" s="52" t="str">
        <f>VLOOKUP(Tabla3[[#This Row],[Site]],'Important Info!'!$A$1:$F$135,4,FALSE)</f>
        <v>-</v>
      </c>
      <c r="O2311" s="52" t="str">
        <f>VLOOKUP(Tabla3[[#This Row],[Site]],'Important Info!'!$A$1:$F$135,5,FALSE)</f>
        <v>2, 12, 13, 18</v>
      </c>
      <c r="P2311" s="52" t="str">
        <f>VLOOKUP(Tabla3[[#This Row],[Site]],'Important Info!'!$A$1:$F$135,6,FALSE)</f>
        <v>-</v>
      </c>
      <c r="Q2311" s="91">
        <f>VLOOKUP(Tabla3[[#This Row],[Site]],'Important Info!'!$A$1:$J$135,9,FALSE)</f>
        <v>201</v>
      </c>
    </row>
    <row r="2312" spans="1:17" x14ac:dyDescent="0.25">
      <c r="A2312" t="str">
        <f>+Tabla3[[#This Row],[Site]]&amp;Tabla3[[#This Row],[Split]]</f>
        <v>(TC) Tavernier Creek Marina (NO TOURS)23</v>
      </c>
      <c r="B2312">
        <v>23</v>
      </c>
      <c r="C2312">
        <v>21</v>
      </c>
      <c r="D2312" t="s">
        <v>62</v>
      </c>
      <c r="E2312" t="s">
        <v>35</v>
      </c>
      <c r="F2312" t="s">
        <v>119</v>
      </c>
      <c r="G2312" t="s">
        <v>34</v>
      </c>
      <c r="H2312" s="52" t="str">
        <f>VLOOKUP(Tabla3[[#This Row],[Site]],'Important Info!'!$A$1:$J$135,10,FALSE)</f>
        <v>https://tools.sig.systems/site/details/164</v>
      </c>
      <c r="J2312" t="s">
        <v>45</v>
      </c>
      <c r="K2312" s="79" t="str">
        <f>VLOOKUP(Tabla3[[#This Row],[Site]],'Important Info!'!$A$1:$H$135,8,FALSE)</f>
        <v>-</v>
      </c>
      <c r="L2312" s="52" t="str">
        <f>VLOOKUP(Tabla3[[#This Row],[Site]],'Important Info!'!$A$1:$F$135,2,FALSE)</f>
        <v>28, 29</v>
      </c>
      <c r="M2312" s="52" t="str">
        <f>VLOOKUP(Tabla3[[#This Row],[Site]],'Important Info!'!$A$1:$F$135,3,FALSE)</f>
        <v>-</v>
      </c>
      <c r="N2312" s="52" t="str">
        <f>VLOOKUP(Tabla3[[#This Row],[Site]],'Important Info!'!$A$1:$F$135,4,FALSE)</f>
        <v>-</v>
      </c>
      <c r="O2312" s="52" t="str">
        <f>VLOOKUP(Tabla3[[#This Row],[Site]],'Important Info!'!$A$1:$F$135,5,FALSE)</f>
        <v>-</v>
      </c>
      <c r="P2312" s="52" t="str">
        <f>VLOOKUP(Tabla3[[#This Row],[Site]],'Important Info!'!$A$1:$F$135,6,FALSE)</f>
        <v>5, 28, 29</v>
      </c>
      <c r="Q2312" s="91">
        <f>VLOOKUP(Tabla3[[#This Row],[Site]],'Important Info!'!$A$1:$J$135,9,FALSE)</f>
        <v>164</v>
      </c>
    </row>
    <row r="2313" spans="1:17" x14ac:dyDescent="0.25">
      <c r="A2313" t="str">
        <f>+Tabla3[[#This Row],[Site]]&amp;Tabla3[[#This Row],[Split]]</f>
        <v>(AS) Courtesy Hyundai/Nissan Tampa (NO TOURS)23</v>
      </c>
      <c r="B2313">
        <v>23</v>
      </c>
      <c r="C2313">
        <v>22</v>
      </c>
      <c r="D2313" t="s">
        <v>62</v>
      </c>
      <c r="E2313" t="s">
        <v>35</v>
      </c>
      <c r="F2313" t="s">
        <v>504</v>
      </c>
      <c r="G2313" t="s">
        <v>490</v>
      </c>
      <c r="H2313" s="52" t="str">
        <f>VLOOKUP(Tabla3[[#This Row],[Site]],'Important Info!'!$A$1:$J$135,10,FALSE)</f>
        <v>https://tools.sig.systems/site/details/128</v>
      </c>
      <c r="I2313" s="43"/>
      <c r="J2313" t="s">
        <v>484</v>
      </c>
      <c r="K2313" s="79" t="str">
        <f>VLOOKUP(Tabla3[[#This Row],[Site]],'Important Info!'!$A$1:$H$135,8,FALSE)</f>
        <v>-</v>
      </c>
      <c r="L2313" s="52" t="str">
        <f>VLOOKUP(Tabla3[[#This Row],[Site]],'Important Info!'!$A$1:$F$135,2,FALSE)</f>
        <v>1, 16, 25, 27, 32</v>
      </c>
      <c r="M2313" s="52" t="str">
        <f>VLOOKUP(Tabla3[[#This Row],[Site]],'Important Info!'!$A$1:$F$135,3,FALSE)</f>
        <v>-</v>
      </c>
      <c r="N2313" s="52" t="str">
        <f>VLOOKUP(Tabla3[[#This Row],[Site]],'Important Info!'!$A$1:$F$135,4,FALSE)</f>
        <v>-</v>
      </c>
      <c r="O2313" s="52" t="str">
        <f>VLOOKUP(Tabla3[[#This Row],[Site]],'Important Info!'!$A$1:$F$135,5,FALSE)</f>
        <v>4, 10, 16</v>
      </c>
      <c r="P2313" s="52" t="str">
        <f>VLOOKUP(Tabla3[[#This Row],[Site]],'Important Info!'!$A$1:$F$135,6,FALSE)</f>
        <v>24, 25, 26 &amp; Remote Lots</v>
      </c>
      <c r="Q2313" s="91">
        <f>VLOOKUP(Tabla3[[#This Row],[Site]],'Important Info!'!$A$1:$J$135,9,FALSE)</f>
        <v>128</v>
      </c>
    </row>
    <row r="2314" spans="1:17" x14ac:dyDescent="0.25">
      <c r="A2314" t="str">
        <f>+Tabla3[[#This Row],[Site]]&amp;Tabla3[[#This Row],[Split]]</f>
        <v>(AS) Park Place JLR DFW Airport (NO TOURS)23</v>
      </c>
      <c r="B2314">
        <v>23</v>
      </c>
      <c r="C2314">
        <v>22</v>
      </c>
      <c r="D2314" t="s">
        <v>33</v>
      </c>
      <c r="E2314" t="s">
        <v>46</v>
      </c>
      <c r="F2314" t="s">
        <v>516</v>
      </c>
      <c r="G2314" t="s">
        <v>34</v>
      </c>
      <c r="H2314" s="52" t="str">
        <f>VLOOKUP(Tabla3[[#This Row],[Site]],'Important Info!'!$A$1:$J$135,10,FALSE)</f>
        <v>https://tools.sig.systems/site/details/135</v>
      </c>
      <c r="J2314" t="s">
        <v>41</v>
      </c>
      <c r="K2314" s="79" t="str">
        <f>VLOOKUP(Tabla3[[#This Row],[Site]],'Important Info!'!$A$1:$H$135,8,FALSE)</f>
        <v>-</v>
      </c>
      <c r="L2314" s="52" t="str">
        <f>VLOOKUP(Tabla3[[#This Row],[Site]],'Important Info!'!$A$1:$F$135,2,FALSE)</f>
        <v>6, 7, 18</v>
      </c>
      <c r="M2314" s="52" t="str">
        <f>VLOOKUP(Tabla3[[#This Row],[Site]],'Important Info!'!$A$1:$F$135,3,FALSE)</f>
        <v>70, 79, 80</v>
      </c>
      <c r="N2314" s="52" t="str">
        <f>VLOOKUP(Tabla3[[#This Row],[Site]],'Important Info!'!$A$1:$F$135,4,FALSE)</f>
        <v>83, 84</v>
      </c>
      <c r="O2314" s="52" t="str">
        <f>VLOOKUP(Tabla3[[#This Row],[Site]],'Important Info!'!$A$1:$F$135,5,FALSE)</f>
        <v>3, 8, 14, 81</v>
      </c>
      <c r="P2314" s="52">
        <f>VLOOKUP(Tabla3[[#This Row],[Site]],'Important Info!'!$A$1:$F$135,6,FALSE)</f>
        <v>6</v>
      </c>
      <c r="Q2314" s="91">
        <f>VLOOKUP(Tabla3[[#This Row],[Site]],'Important Info!'!$A$1:$J$135,9,FALSE)</f>
        <v>135</v>
      </c>
    </row>
    <row r="2315" spans="1:17" x14ac:dyDescent="0.25">
      <c r="A2315" t="str">
        <f>+Tabla3[[#This Row],[Site]]&amp;Tabla3[[#This Row],[Split]]</f>
        <v>(AS) Plaza Audi/Infiniti (NO TOURS)23</v>
      </c>
      <c r="B2315">
        <v>23</v>
      </c>
      <c r="C2315">
        <v>22</v>
      </c>
      <c r="D2315" t="s">
        <v>33</v>
      </c>
      <c r="E2315" t="s">
        <v>46</v>
      </c>
      <c r="F2315" t="s">
        <v>91</v>
      </c>
      <c r="G2315" t="s">
        <v>34</v>
      </c>
      <c r="H2315" s="52" t="str">
        <f>VLOOKUP(Tabla3[[#This Row],[Site]],'Important Info!'!$A$1:$J$135,10,FALSE)</f>
        <v>https://tools.sig.systems/site/details/141</v>
      </c>
      <c r="I2315" t="s">
        <v>130</v>
      </c>
      <c r="J2315" t="s">
        <v>41</v>
      </c>
      <c r="K2315" s="79" t="str">
        <f>VLOOKUP(Tabla3[[#This Row],[Site]],'Important Info!'!$A$1:$H$135,8,FALSE)</f>
        <v>-</v>
      </c>
      <c r="L2315" s="52" t="str">
        <f>VLOOKUP(Tabla3[[#This Row],[Site]],'Important Info!'!$A$1:$F$135,2,FALSE)</f>
        <v>7, 25</v>
      </c>
      <c r="M2315" s="52" t="str">
        <f>VLOOKUP(Tabla3[[#This Row],[Site]],'Important Info!'!$A$1:$F$135,3,FALSE)</f>
        <v>15, 17, 18</v>
      </c>
      <c r="N2315" s="52" t="str">
        <f>VLOOKUP(Tabla3[[#This Row],[Site]],'Important Info!'!$A$1:$F$135,4,FALSE)</f>
        <v>-</v>
      </c>
      <c r="O2315" s="52" t="str">
        <f>VLOOKUP(Tabla3[[#This Row],[Site]],'Important Info!'!$A$1:$F$135,5,FALSE)</f>
        <v>1, 24</v>
      </c>
      <c r="P2315" s="52" t="str">
        <f>VLOOKUP(Tabla3[[#This Row],[Site]],'Important Info!'!$A$1:$F$135,6,FALSE)</f>
        <v>3, 15, 17</v>
      </c>
      <c r="Q2315" s="91">
        <f>VLOOKUP(Tabla3[[#This Row],[Site]],'Important Info!'!$A$1:$J$135,9,FALSE)</f>
        <v>141</v>
      </c>
    </row>
    <row r="2316" spans="1:17" x14ac:dyDescent="0.25">
      <c r="A2316" t="str">
        <f>+Tabla3[[#This Row],[Site]]&amp;Tabla3[[#This Row],[Split]]</f>
        <v>(DT) Escondido23</v>
      </c>
      <c r="B2316">
        <v>23</v>
      </c>
      <c r="C2316">
        <v>22</v>
      </c>
      <c r="D2316" t="s">
        <v>51</v>
      </c>
      <c r="E2316" t="s">
        <v>159</v>
      </c>
      <c r="F2316" t="s">
        <v>112</v>
      </c>
      <c r="G2316" t="s">
        <v>164</v>
      </c>
      <c r="H2316" s="52" t="str">
        <f>VLOOKUP(Tabla3[[#This Row],[Site]],'Important Info!'!$A$1:$J$135,10,FALSE)</f>
        <v>https://tools.sig.systems/site/details/196</v>
      </c>
      <c r="I2316" s="43"/>
      <c r="J2316" t="s">
        <v>41</v>
      </c>
      <c r="K2316" s="79" t="str">
        <f>VLOOKUP(Tabla3[[#This Row],[Site]],'Important Info!'!$A$1:$H$135,8,FALSE)</f>
        <v>Saturday Drop Time 9:00 A.M.</v>
      </c>
      <c r="L2316" s="52" t="str">
        <f>VLOOKUP(Tabla3[[#This Row],[Site]],'Important Info!'!$A$1:$F$135,2,FALSE)</f>
        <v>1, 2</v>
      </c>
      <c r="M2316" s="52" t="str">
        <f>VLOOKUP(Tabla3[[#This Row],[Site]],'Important Info!'!$A$1:$F$135,3,FALSE)</f>
        <v>-</v>
      </c>
      <c r="N2316" s="52" t="str">
        <f>VLOOKUP(Tabla3[[#This Row],[Site]],'Important Info!'!$A$1:$F$135,4,FALSE)</f>
        <v>-</v>
      </c>
      <c r="O2316" s="52" t="str">
        <f>VLOOKUP(Tabla3[[#This Row],[Site]],'Important Info!'!$A$1:$F$135,5,FALSE)</f>
        <v>-</v>
      </c>
      <c r="P2316" s="52" t="str">
        <f>VLOOKUP(Tabla3[[#This Row],[Site]],'Important Info!'!$A$1:$F$135,6,FALSE)</f>
        <v>5, 7, 8</v>
      </c>
      <c r="Q2316" s="91">
        <f>VLOOKUP(Tabla3[[#This Row],[Site]],'Important Info!'!$A$1:$J$135,9,FALSE)</f>
        <v>196</v>
      </c>
    </row>
    <row r="2317" spans="1:17" x14ac:dyDescent="0.25">
      <c r="A2317" t="str">
        <f>+Tabla3[[#This Row],[Site]]&amp;Tabla3[[#This Row],[Split]]</f>
        <v>(RV) Sonny's Camp N Travel Concord23</v>
      </c>
      <c r="B2317">
        <v>23</v>
      </c>
      <c r="C2317">
        <v>22</v>
      </c>
      <c r="D2317" t="s">
        <v>62</v>
      </c>
      <c r="E2317" t="s">
        <v>35</v>
      </c>
      <c r="F2317" t="s">
        <v>188</v>
      </c>
      <c r="G2317" t="s">
        <v>490</v>
      </c>
      <c r="H2317" s="52" t="str">
        <f>VLOOKUP(Tabla3[[#This Row],[Site]],'Important Info!'!$A$1:$J$135,10,FALSE)</f>
        <v>https://tools.sig.systems/site/details/183</v>
      </c>
      <c r="J2317" t="s">
        <v>41</v>
      </c>
      <c r="K2317" s="79" t="str">
        <f>VLOOKUP(Tabla3[[#This Row],[Site]],'Important Info!'!$A$1:$H$135,8,FALSE)</f>
        <v>-</v>
      </c>
      <c r="L2317" s="52">
        <f>VLOOKUP(Tabla3[[#This Row],[Site]],'Important Info!'!$A$1:$F$135,2,FALSE)</f>
        <v>1</v>
      </c>
      <c r="M2317" s="52" t="str">
        <f>VLOOKUP(Tabla3[[#This Row],[Site]],'Important Info!'!$A$1:$F$135,3,FALSE)</f>
        <v>-</v>
      </c>
      <c r="N2317" s="52" t="str">
        <f>VLOOKUP(Tabla3[[#This Row],[Site]],'Important Info!'!$A$1:$F$135,4,FALSE)</f>
        <v>-</v>
      </c>
      <c r="O2317" s="52">
        <f>VLOOKUP(Tabla3[[#This Row],[Site]],'Important Info!'!$A$1:$F$135,5,FALSE)</f>
        <v>7</v>
      </c>
      <c r="P2317" s="52" t="str">
        <f>VLOOKUP(Tabla3[[#This Row],[Site]],'Important Info!'!$A$1:$F$135,6,FALSE)</f>
        <v>6, 7, 8, 9</v>
      </c>
      <c r="Q2317" s="91">
        <f>VLOOKUP(Tabla3[[#This Row],[Site]],'Important Info!'!$A$1:$J$135,9,FALSE)</f>
        <v>183</v>
      </c>
    </row>
    <row r="2318" spans="1:17" x14ac:dyDescent="0.25">
      <c r="A2318" t="str">
        <f>+Tabla3[[#This Row],[Site]]&amp;Tabla3[[#This Row],[Split]]</f>
        <v>(AS) Lexus Grapevine I &amp; II (NO TOURS)23</v>
      </c>
      <c r="B2318">
        <v>23</v>
      </c>
      <c r="C2318">
        <v>23</v>
      </c>
      <c r="D2318" t="s">
        <v>33</v>
      </c>
      <c r="E2318" t="s">
        <v>46</v>
      </c>
      <c r="F2318" t="s">
        <v>508</v>
      </c>
      <c r="G2318" t="s">
        <v>34</v>
      </c>
      <c r="H2318" s="52" t="str">
        <f>VLOOKUP(Tabla3[[#This Row],[Site]],'Important Info!'!$A$1:$J$135,10,FALSE)</f>
        <v>https://tools.sig.systems/site/details/136</v>
      </c>
      <c r="J2318" t="s">
        <v>41</v>
      </c>
      <c r="K2318" s="79" t="str">
        <f>VLOOKUP(Tabla3[[#This Row],[Site]],'Important Info!'!$A$1:$H$135,8,FALSE)</f>
        <v>-</v>
      </c>
      <c r="L2318" s="52" t="str">
        <f>VLOOKUP(Tabla3[[#This Row],[Site]],'Important Info!'!$A$1:$F$135,2,FALSE)</f>
        <v>4, 10, 14, 18, 33</v>
      </c>
      <c r="M2318" s="52" t="str">
        <f>VLOOKUP(Tabla3[[#This Row],[Site]],'Important Info!'!$A$1:$F$135,3,FALSE)</f>
        <v>-</v>
      </c>
      <c r="N2318" s="52" t="str">
        <f>VLOOKUP(Tabla3[[#This Row],[Site]],'Important Info!'!$A$1:$F$135,4,FALSE)</f>
        <v>81, 82, 83</v>
      </c>
      <c r="O2318" s="52" t="str">
        <f>VLOOKUP(Tabla3[[#This Row],[Site]],'Important Info!'!$A$1:$F$135,5,FALSE)</f>
        <v>4, 12, 15, 20, 30</v>
      </c>
      <c r="P2318" s="52">
        <f>VLOOKUP(Tabla3[[#This Row],[Site]],'Important Info!'!$A$1:$F$135,6,FALSE)</f>
        <v>10</v>
      </c>
      <c r="Q2318" s="91">
        <f>VLOOKUP(Tabla3[[#This Row],[Site]],'Important Info!'!$A$1:$J$135,9,FALSE)</f>
        <v>136</v>
      </c>
    </row>
    <row r="2319" spans="1:17" x14ac:dyDescent="0.25">
      <c r="A2319" t="str">
        <f>+Tabla3[[#This Row],[Site]]&amp;Tabla3[[#This Row],[Split]]</f>
        <v>(AS) Lexus Smyrna (NO TOURS)23</v>
      </c>
      <c r="B2319">
        <v>23</v>
      </c>
      <c r="C2319">
        <v>23</v>
      </c>
      <c r="D2319" t="s">
        <v>62</v>
      </c>
      <c r="E2319" t="s">
        <v>35</v>
      </c>
      <c r="F2319" t="s">
        <v>84</v>
      </c>
      <c r="G2319" t="s">
        <v>490</v>
      </c>
      <c r="H2319" s="52" t="str">
        <f>VLOOKUP(Tabla3[[#This Row],[Site]],'Important Info!'!$A$1:$J$135,10,FALSE)</f>
        <v>https://tools.sig.systems/site/details/133</v>
      </c>
      <c r="I2319" s="2"/>
      <c r="J2319" t="s">
        <v>41</v>
      </c>
      <c r="K2319" s="79" t="str">
        <f>VLOOKUP(Tabla3[[#This Row],[Site]],'Important Info!'!$A$1:$H$135,8,FALSE)</f>
        <v>-</v>
      </c>
      <c r="L2319" s="52" t="str">
        <f>VLOOKUP(Tabla3[[#This Row],[Site]],'Important Info!'!$A$1:$F$135,2,FALSE)</f>
        <v xml:space="preserve">2, 6, 10 </v>
      </c>
      <c r="M2319" s="52" t="str">
        <f>VLOOKUP(Tabla3[[#This Row],[Site]],'Important Info!'!$A$1:$F$135,3,FALSE)</f>
        <v>-</v>
      </c>
      <c r="N2319" s="52" t="str">
        <f>VLOOKUP(Tabla3[[#This Row],[Site]],'Important Info!'!$A$1:$F$135,4,FALSE)</f>
        <v>-</v>
      </c>
      <c r="O2319" s="52" t="str">
        <f>VLOOKUP(Tabla3[[#This Row],[Site]],'Important Info!'!$A$1:$F$135,5,FALSE)</f>
        <v>3, 5, 10, 15</v>
      </c>
      <c r="P2319" s="52" t="str">
        <f>VLOOKUP(Tabla3[[#This Row],[Site]],'Important Info!'!$A$1:$F$135,6,FALSE)</f>
        <v>10, 11</v>
      </c>
      <c r="Q2319" s="91">
        <f>VLOOKUP(Tabla3[[#This Row],[Site]],'Important Info!'!$A$1:$J$135,9,FALSE)</f>
        <v>133</v>
      </c>
    </row>
    <row r="2320" spans="1:17" x14ac:dyDescent="0.25">
      <c r="A2320" t="str">
        <f>+Tabla3[[#This Row],[Site]]&amp;Tabla3[[#This Row],[Split]]</f>
        <v>(KG) Hyundai Surprise23</v>
      </c>
      <c r="B2320">
        <v>23</v>
      </c>
      <c r="C2320">
        <v>23</v>
      </c>
      <c r="D2320" t="s">
        <v>51</v>
      </c>
      <c r="E2320" t="s">
        <v>161</v>
      </c>
      <c r="F2320" t="s">
        <v>118</v>
      </c>
      <c r="G2320" t="s">
        <v>52</v>
      </c>
      <c r="H2320" s="52" t="str">
        <f>VLOOKUP(Tabla3[[#This Row],[Site]],'Important Info!'!$A$1:$J$135,10,FALSE)</f>
        <v>https://tools.sig.systems/site/details/269</v>
      </c>
      <c r="I2320" s="2"/>
      <c r="J2320" t="s">
        <v>162</v>
      </c>
      <c r="K2320" s="79" t="str">
        <f>VLOOKUP(Tabla3[[#This Row],[Site]],'Important Info!'!$A$1:$H$135,8,FALSE)</f>
        <v>-</v>
      </c>
      <c r="L2320" s="52" t="str">
        <f>VLOOKUP(Tabla3[[#This Row],[Site]],'Important Info!'!$A$1:$F$135,2,FALSE)</f>
        <v>1, 6, 7</v>
      </c>
      <c r="M2320" s="52" t="str">
        <f>VLOOKUP(Tabla3[[#This Row],[Site]],'Important Info!'!$A$1:$F$135,3,FALSE)</f>
        <v>-</v>
      </c>
      <c r="N2320" s="52" t="str">
        <f>VLOOKUP(Tabla3[[#This Row],[Site]],'Important Info!'!$A$1:$F$135,4,FALSE)</f>
        <v>-</v>
      </c>
      <c r="O2320" s="52" t="str">
        <f>VLOOKUP(Tabla3[[#This Row],[Site]],'Important Info!'!$A$1:$F$135,5,FALSE)</f>
        <v>6, 13</v>
      </c>
      <c r="P2320" s="52" t="str">
        <f>VLOOKUP(Tabla3[[#This Row],[Site]],'Important Info!'!$A$1:$F$135,6,FALSE)</f>
        <v>-</v>
      </c>
      <c r="Q2320" s="91">
        <f>VLOOKUP(Tabla3[[#This Row],[Site]],'Important Info!'!$A$1:$J$135,9,FALSE)</f>
        <v>269</v>
      </c>
    </row>
    <row r="2321" spans="1:17" x14ac:dyDescent="0.25">
      <c r="A2321" t="str">
        <f>+Tabla3[[#This Row],[Site]]&amp;Tabla3[[#This Row],[Split]]</f>
        <v>(KT) Northwest CDJR (NO TOURS)23</v>
      </c>
      <c r="B2321">
        <v>23</v>
      </c>
      <c r="C2321">
        <v>23</v>
      </c>
      <c r="D2321" t="s">
        <v>33</v>
      </c>
      <c r="E2321" t="s">
        <v>46</v>
      </c>
      <c r="F2321" t="s">
        <v>77</v>
      </c>
      <c r="G2321" t="s">
        <v>34</v>
      </c>
      <c r="H2321" s="52" t="str">
        <f>VLOOKUP(Tabla3[[#This Row],[Site]],'Important Info!'!$A$1:$J$135,10,FALSE)</f>
        <v>https://tools.sig.systems/site/details/229</v>
      </c>
      <c r="I2321" s="2"/>
      <c r="J2321" t="s">
        <v>41</v>
      </c>
      <c r="K2321" s="79" t="str">
        <f>VLOOKUP(Tabla3[[#This Row],[Site]],'Important Info!'!$A$1:$H$135,8,FALSE)</f>
        <v>-</v>
      </c>
      <c r="L2321" s="52" t="str">
        <f>VLOOKUP(Tabla3[[#This Row],[Site]],'Important Info!'!$A$1:$F$135,2,FALSE)</f>
        <v>1, 3, 11, 25</v>
      </c>
      <c r="M2321" s="52" t="str">
        <f>VLOOKUP(Tabla3[[#This Row],[Site]],'Important Info!'!$A$1:$F$135,3,FALSE)</f>
        <v>-</v>
      </c>
      <c r="N2321" s="52" t="str">
        <f>VLOOKUP(Tabla3[[#This Row],[Site]],'Important Info!'!$A$1:$F$135,4,FALSE)</f>
        <v>-</v>
      </c>
      <c r="O2321" s="52" t="str">
        <f>VLOOKUP(Tabla3[[#This Row],[Site]],'Important Info!'!$A$1:$F$135,5,FALSE)</f>
        <v>4, 12, 18</v>
      </c>
      <c r="P2321" s="52" t="str">
        <f>VLOOKUP(Tabla3[[#This Row],[Site]],'Important Info!'!$A$1:$F$135,6,FALSE)</f>
        <v>-</v>
      </c>
      <c r="Q2321" s="91">
        <f>VLOOKUP(Tabla3[[#This Row],[Site]],'Important Info!'!$A$1:$J$135,9,FALSE)</f>
        <v>229</v>
      </c>
    </row>
    <row r="2322" spans="1:17" x14ac:dyDescent="0.25">
      <c r="A2322" t="str">
        <f>+Tabla3[[#This Row],[Site]]&amp;Tabla3[[#This Row],[Split]]</f>
        <v>(AS) Park Place Bodywerks Ft. Worth (NO TOURS)24</v>
      </c>
      <c r="B2322">
        <v>24</v>
      </c>
      <c r="C2322">
        <v>1</v>
      </c>
      <c r="D2322" t="s">
        <v>33</v>
      </c>
      <c r="E2322" t="s">
        <v>46</v>
      </c>
      <c r="F2322" t="s">
        <v>515</v>
      </c>
      <c r="G2322" t="s">
        <v>34</v>
      </c>
      <c r="H2322" s="52" t="str">
        <f>VLOOKUP(Tabla3[[#This Row],[Site]],'Important Info!'!$A$1:$J$135,10,FALSE)</f>
        <v>https://tools.sig.systems/site/details/134</v>
      </c>
      <c r="I2322" s="65" t="s">
        <v>128</v>
      </c>
      <c r="J2322" t="s">
        <v>41</v>
      </c>
      <c r="K2322" s="79" t="str">
        <f>VLOOKUP(Tabla3[[#This Row],[Site]],'Important Info!'!$A$1:$H$135,8,FALSE)</f>
        <v>-</v>
      </c>
      <c r="L2322" s="52" t="str">
        <f>VLOOKUP(Tabla3[[#This Row],[Site]],'Important Info!'!$A$1:$F$135,2,FALSE)</f>
        <v>2, 3, RemoteLot5, RemoteLot9</v>
      </c>
      <c r="M2322" s="52" t="str">
        <f>VLOOKUP(Tabla3[[#This Row],[Site]],'Important Info!'!$A$1:$F$135,3,FALSE)</f>
        <v>-</v>
      </c>
      <c r="N2322" s="52" t="str">
        <f>VLOOKUP(Tabla3[[#This Row],[Site]],'Important Info!'!$A$1:$F$135,4,FALSE)</f>
        <v>-</v>
      </c>
      <c r="O2322" s="52" t="str">
        <f>VLOOKUP(Tabla3[[#This Row],[Site]],'Important Info!'!$A$1:$F$135,5,FALSE)</f>
        <v>1, 7, RL1, RL5, RL9</v>
      </c>
      <c r="P2322" s="52" t="str">
        <f>VLOOKUP(Tabla3[[#This Row],[Site]],'Important Info!'!$A$1:$F$135,6,FALSE)</f>
        <v>3, 4, 15</v>
      </c>
      <c r="Q2322" s="91">
        <f>VLOOKUP(Tabla3[[#This Row],[Site]],'Important Info!'!$A$1:$J$135,9,FALSE)</f>
        <v>134</v>
      </c>
    </row>
    <row r="2323" spans="1:17" x14ac:dyDescent="0.25">
      <c r="A2323" t="str">
        <f>+Tabla3[[#This Row],[Site]]&amp;Tabla3[[#This Row],[Split]]</f>
        <v>(DT) Louisville24</v>
      </c>
      <c r="B2323">
        <v>24</v>
      </c>
      <c r="C2323">
        <v>1</v>
      </c>
      <c r="D2323" t="s">
        <v>62</v>
      </c>
      <c r="E2323" t="s">
        <v>35</v>
      </c>
      <c r="F2323" t="s">
        <v>99</v>
      </c>
      <c r="G2323" t="s">
        <v>490</v>
      </c>
      <c r="H2323" s="52" t="str">
        <f>VLOOKUP(Tabla3[[#This Row],[Site]],'Important Info!'!$A$1:$J$135,10,FALSE)</f>
        <v>https://tools.sig.systems/site/details/258</v>
      </c>
      <c r="J2323" t="s">
        <v>41</v>
      </c>
      <c r="K2323" s="79" t="str">
        <f>VLOOKUP(Tabla3[[#This Row],[Site]],'Important Info!'!$A$1:$H$135,8,FALSE)</f>
        <v>-</v>
      </c>
      <c r="L2323" s="52" t="str">
        <f>VLOOKUP(Tabla3[[#This Row],[Site]],'Important Info!'!$A$1:$F$135,2,FALSE)</f>
        <v>-</v>
      </c>
      <c r="M2323" s="52">
        <f>VLOOKUP(Tabla3[[#This Row],[Site]],'Important Info!'!$A$1:$F$135,3,FALSE)</f>
        <v>3</v>
      </c>
      <c r="N2323" s="52" t="str">
        <f>VLOOKUP(Tabla3[[#This Row],[Site]],'Important Info!'!$A$1:$F$135,4,FALSE)</f>
        <v>-</v>
      </c>
      <c r="O2323" s="52" t="str">
        <f>VLOOKUP(Tabla3[[#This Row],[Site]],'Important Info!'!$A$1:$F$135,5,FALSE)</f>
        <v>-</v>
      </c>
      <c r="P2323" s="52" t="str">
        <f>VLOOKUP(Tabla3[[#This Row],[Site]],'Important Info!'!$A$1:$F$135,6,FALSE)</f>
        <v>3, 8</v>
      </c>
      <c r="Q2323" s="91">
        <f>VLOOKUP(Tabla3[[#This Row],[Site]],'Important Info!'!$A$1:$J$135,9,FALSE)</f>
        <v>258</v>
      </c>
    </row>
    <row r="2324" spans="1:17" x14ac:dyDescent="0.25">
      <c r="A2324" t="str">
        <f>+Tabla3[[#This Row],[Site]]&amp;Tabla3[[#This Row],[Split]]</f>
        <v>(ML) McLarty-Gray Daniels Chevrolet24</v>
      </c>
      <c r="B2324">
        <v>24</v>
      </c>
      <c r="C2324">
        <v>1</v>
      </c>
      <c r="D2324" t="s">
        <v>33</v>
      </c>
      <c r="E2324" t="s">
        <v>46</v>
      </c>
      <c r="F2324" t="s">
        <v>151</v>
      </c>
      <c r="G2324" t="s">
        <v>34</v>
      </c>
      <c r="H2324" s="52" t="str">
        <f>VLOOKUP(Tabla3[[#This Row],[Site]],'Important Info!'!$A$1:$J$135,10,FALSE)</f>
        <v>https://tools.sig.systems/site/details/150</v>
      </c>
      <c r="I2324" s="43"/>
      <c r="J2324" t="s">
        <v>41</v>
      </c>
      <c r="K2324" s="79" t="str">
        <f>VLOOKUP(Tabla3[[#This Row],[Site]],'Important Info!'!$A$1:$H$135,8,FALSE)</f>
        <v>-</v>
      </c>
      <c r="L2324" s="52" t="str">
        <f>VLOOKUP(Tabla3[[#This Row],[Site]],'Important Info!'!$A$1:$F$135,2,FALSE)</f>
        <v>3, 4, 5, 22, 24, 26, 28, 36</v>
      </c>
      <c r="M2324" s="52" t="str">
        <f>VLOOKUP(Tabla3[[#This Row],[Site]],'Important Info!'!$A$1:$F$135,3,FALSE)</f>
        <v>-</v>
      </c>
      <c r="N2324" s="52" t="str">
        <f>VLOOKUP(Tabla3[[#This Row],[Site]],'Important Info!'!$A$1:$F$135,4,FALSE)</f>
        <v>-</v>
      </c>
      <c r="O2324" s="52" t="str">
        <f>VLOOKUP(Tabla3[[#This Row],[Site]],'Important Info!'!$A$1:$F$135,5,FALSE)</f>
        <v>4, 7, 12, 26</v>
      </c>
      <c r="P2324" s="52" t="str">
        <f>VLOOKUP(Tabla3[[#This Row],[Site]],'Important Info!'!$A$1:$F$135,6,FALSE)</f>
        <v>1, 3, 5, 6, 23, 24</v>
      </c>
      <c r="Q2324" s="91">
        <f>VLOOKUP(Tabla3[[#This Row],[Site]],'Important Info!'!$A$1:$J$135,9,FALSE)</f>
        <v>150</v>
      </c>
    </row>
    <row r="2325" spans="1:17" x14ac:dyDescent="0.25">
      <c r="A2325" t="str">
        <f>+Tabla3[[#This Row],[Site]]&amp;Tabla3[[#This Row],[Split]]</f>
        <v>(ML) Nissan Of Benton24</v>
      </c>
      <c r="B2325">
        <v>24</v>
      </c>
      <c r="C2325">
        <v>1</v>
      </c>
      <c r="D2325" t="s">
        <v>33</v>
      </c>
      <c r="E2325" t="s">
        <v>46</v>
      </c>
      <c r="F2325" t="s">
        <v>120</v>
      </c>
      <c r="G2325" t="s">
        <v>34</v>
      </c>
      <c r="H2325" s="52" t="str">
        <f>VLOOKUP(Tabla3[[#This Row],[Site]],'Important Info!'!$A$1:$J$135,10,FALSE)</f>
        <v>https://tools.sig.systems/site/details/247</v>
      </c>
      <c r="I2325" s="2"/>
      <c r="J2325" t="s">
        <v>41</v>
      </c>
      <c r="K2325" s="79" t="str">
        <f>VLOOKUP(Tabla3[[#This Row],[Site]],'Important Info!'!$A$1:$H$135,8,FALSE)</f>
        <v>-</v>
      </c>
      <c r="L2325" s="52" t="str">
        <f>VLOOKUP(Tabla3[[#This Row],[Site]],'Important Info!'!$A$1:$F$135,2,FALSE)</f>
        <v>5, 12</v>
      </c>
      <c r="M2325" s="52" t="str">
        <f>VLOOKUP(Tabla3[[#This Row],[Site]],'Important Info!'!$A$1:$F$135,3,FALSE)</f>
        <v>-</v>
      </c>
      <c r="N2325" s="52" t="str">
        <f>VLOOKUP(Tabla3[[#This Row],[Site]],'Important Info!'!$A$1:$F$135,4,FALSE)</f>
        <v>-</v>
      </c>
      <c r="O2325" s="52" t="str">
        <f>VLOOKUP(Tabla3[[#This Row],[Site]],'Important Info!'!$A$1:$F$135,5,FALSE)</f>
        <v>4, 18</v>
      </c>
      <c r="P2325" s="52" t="str">
        <f>VLOOKUP(Tabla3[[#This Row],[Site]],'Important Info!'!$A$1:$F$135,6,FALSE)</f>
        <v>-</v>
      </c>
      <c r="Q2325" s="91">
        <f>VLOOKUP(Tabla3[[#This Row],[Site]],'Important Info!'!$A$1:$J$135,9,FALSE)</f>
        <v>247</v>
      </c>
    </row>
    <row r="2326" spans="1:17" x14ac:dyDescent="0.25">
      <c r="A2326" t="str">
        <f>+Tabla3[[#This Row],[Site]]&amp;Tabla3[[#This Row],[Split]]</f>
        <v>(PE) Scofield Service Center (NO TOURS)24</v>
      </c>
      <c r="B2326">
        <v>24</v>
      </c>
      <c r="C2326">
        <v>1</v>
      </c>
      <c r="D2326" t="s">
        <v>485</v>
      </c>
      <c r="E2326" t="s">
        <v>35</v>
      </c>
      <c r="F2326" t="s">
        <v>83</v>
      </c>
      <c r="G2326" t="s">
        <v>490</v>
      </c>
      <c r="H2326" s="52" t="str">
        <f>VLOOKUP(Tabla3[[#This Row],[Site]],'Important Info!'!$A$1:$J$135,10,FALSE)</f>
        <v>https://tools.sig.systems/site/details/193</v>
      </c>
      <c r="I2326" t="s">
        <v>177</v>
      </c>
      <c r="J2326" t="s">
        <v>41</v>
      </c>
      <c r="K2326" s="79" t="str">
        <f>VLOOKUP(Tabla3[[#This Row],[Site]],'Important Info!'!$A$1:$H$135,8,FALSE)</f>
        <v>-</v>
      </c>
      <c r="L2326" s="52">
        <f>VLOOKUP(Tabla3[[#This Row],[Site]],'Important Info!'!$A$1:$F$135,2,FALSE)</f>
        <v>1</v>
      </c>
      <c r="M2326" s="52" t="str">
        <f>VLOOKUP(Tabla3[[#This Row],[Site]],'Important Info!'!$A$1:$F$135,3,FALSE)</f>
        <v>-</v>
      </c>
      <c r="N2326" s="52" t="str">
        <f>VLOOKUP(Tabla3[[#This Row],[Site]],'Important Info!'!$A$1:$F$135,4,FALSE)</f>
        <v>-</v>
      </c>
      <c r="O2326" s="52">
        <f>VLOOKUP(Tabla3[[#This Row],[Site]],'Important Info!'!$A$1:$F$135,5,FALSE)</f>
        <v>9</v>
      </c>
      <c r="P2326" s="52" t="str">
        <f>VLOOKUP(Tabla3[[#This Row],[Site]],'Important Info!'!$A$1:$F$135,6,FALSE)</f>
        <v>1, 17</v>
      </c>
      <c r="Q2326" s="91">
        <f>VLOOKUP(Tabla3[[#This Row],[Site]],'Important Info!'!$A$1:$J$135,9,FALSE)</f>
        <v>193</v>
      </c>
    </row>
    <row r="2327" spans="1:17" x14ac:dyDescent="0.25">
      <c r="A2327" t="str">
        <f>+Tabla3[[#This Row],[Site]]&amp;Tabla3[[#This Row],[Split]]</f>
        <v>(RV) Toms Camperland Avondale (NO TOURS)24</v>
      </c>
      <c r="B2327">
        <v>24</v>
      </c>
      <c r="C2327">
        <v>1</v>
      </c>
      <c r="D2327" t="s">
        <v>51</v>
      </c>
      <c r="E2327" t="s">
        <v>161</v>
      </c>
      <c r="F2327" t="s">
        <v>80</v>
      </c>
      <c r="G2327" t="s">
        <v>52</v>
      </c>
      <c r="H2327" s="52" t="str">
        <f>VLOOKUP(Tabla3[[#This Row],[Site]],'Important Info!'!$A$1:$J$135,10,FALSE)</f>
        <v>https://tools.sig.systems/site/details/248</v>
      </c>
      <c r="I2327" s="43" t="s">
        <v>163</v>
      </c>
      <c r="J2327" t="s">
        <v>164</v>
      </c>
      <c r="K2327" s="79" t="str">
        <f>VLOOKUP(Tabla3[[#This Row],[Site]],'Important Info!'!$A$1:$H$135,8,FALSE)</f>
        <v>-</v>
      </c>
      <c r="L2327" s="52">
        <f>VLOOKUP(Tabla3[[#This Row],[Site]],'Important Info!'!$A$1:$F$135,2,FALSE)</f>
        <v>10</v>
      </c>
      <c r="M2327" s="52" t="str">
        <f>VLOOKUP(Tabla3[[#This Row],[Site]],'Important Info!'!$A$1:$F$135,3,FALSE)</f>
        <v>2, 7</v>
      </c>
      <c r="N2327" s="52" t="str">
        <f>VLOOKUP(Tabla3[[#This Row],[Site]],'Important Info!'!$A$1:$F$135,4,FALSE)</f>
        <v>-</v>
      </c>
      <c r="O2327" s="52" t="str">
        <f>VLOOKUP(Tabla3[[#This Row],[Site]],'Important Info!'!$A$1:$F$135,5,FALSE)</f>
        <v>-</v>
      </c>
      <c r="P2327" s="52" t="str">
        <f>VLOOKUP(Tabla3[[#This Row],[Site]],'Important Info!'!$A$1:$F$135,6,FALSE)</f>
        <v>2, 7, 8, 13, 15</v>
      </c>
      <c r="Q2327" s="91">
        <f>VLOOKUP(Tabla3[[#This Row],[Site]],'Important Info!'!$A$1:$J$135,9,FALSE)</f>
        <v>248</v>
      </c>
    </row>
    <row r="2328" spans="1:17" x14ac:dyDescent="0.25">
      <c r="A2328" t="str">
        <f>+Tabla3[[#This Row],[Site]]&amp;Tabla3[[#This Row],[Split]]</f>
        <v>(JE) Jim Ellis Ford Sandy Springs24</v>
      </c>
      <c r="B2328">
        <v>24</v>
      </c>
      <c r="C2328">
        <v>2</v>
      </c>
      <c r="D2328" t="s">
        <v>62</v>
      </c>
      <c r="E2328" t="s">
        <v>35</v>
      </c>
      <c r="F2328" s="41" t="s">
        <v>187</v>
      </c>
      <c r="G2328" t="s">
        <v>490</v>
      </c>
      <c r="H2328" s="52" t="str">
        <f>VLOOKUP(Tabla3[[#This Row],[Site]],'Important Info!'!$A$1:$J$135,10,FALSE)</f>
        <v>https://tools.sig.systems/site/details/142</v>
      </c>
      <c r="I2328" s="43"/>
      <c r="J2328" t="s">
        <v>41</v>
      </c>
      <c r="K2328" s="79" t="str">
        <f>VLOOKUP(Tabla3[[#This Row],[Site]],'Important Info!'!$A$1:$H$135,8,FALSE)</f>
        <v>-</v>
      </c>
      <c r="L2328" s="52" t="str">
        <f>VLOOKUP(Tabla3[[#This Row],[Site]],'Important Info!'!$A$1:$F$135,2,FALSE)</f>
        <v>1, 5</v>
      </c>
      <c r="M2328" s="52" t="str">
        <f>VLOOKUP(Tabla3[[#This Row],[Site]],'Important Info!'!$A$1:$F$135,3,FALSE)</f>
        <v>-</v>
      </c>
      <c r="N2328" s="52" t="str">
        <f>VLOOKUP(Tabla3[[#This Row],[Site]],'Important Info!'!$A$1:$F$135,4,FALSE)</f>
        <v>-</v>
      </c>
      <c r="O2328" s="52" t="str">
        <f>VLOOKUP(Tabla3[[#This Row],[Site]],'Important Info!'!$A$1:$F$135,5,FALSE)</f>
        <v>1, 5, 9, 26</v>
      </c>
      <c r="P2328" s="52" t="str">
        <f>VLOOKUP(Tabla3[[#This Row],[Site]],'Important Info!'!$A$1:$F$135,6,FALSE)</f>
        <v>3, 4, 8, 28</v>
      </c>
      <c r="Q2328" s="91">
        <f>VLOOKUP(Tabla3[[#This Row],[Site]],'Important Info!'!$A$1:$J$135,9,FALSE)</f>
        <v>142</v>
      </c>
    </row>
    <row r="2329" spans="1:17" x14ac:dyDescent="0.25">
      <c r="A2329" t="str">
        <f>+Tabla3[[#This Row],[Site]]&amp;Tabla3[[#This Row],[Split]]</f>
        <v>(KG) Texan CDJR24</v>
      </c>
      <c r="B2329">
        <v>24</v>
      </c>
      <c r="C2329">
        <v>2</v>
      </c>
      <c r="D2329" t="s">
        <v>33</v>
      </c>
      <c r="E2329" t="s">
        <v>46</v>
      </c>
      <c r="F2329" t="s">
        <v>70</v>
      </c>
      <c r="G2329" t="s">
        <v>34</v>
      </c>
      <c r="H2329" s="52" t="str">
        <f>VLOOKUP(Tabla3[[#This Row],[Site]],'Important Info!'!$A$1:$J$135,10,FALSE)</f>
        <v>https://tools.sig.systems/site/details/238</v>
      </c>
      <c r="I2329" s="2" t="s">
        <v>137</v>
      </c>
      <c r="J2329" t="s">
        <v>41</v>
      </c>
      <c r="K2329" s="79" t="str">
        <f>VLOOKUP(Tabla3[[#This Row],[Site]],'Important Info!'!$A$1:$H$135,8,FALSE)</f>
        <v>-</v>
      </c>
      <c r="L2329" s="52" t="str">
        <f>VLOOKUP(Tabla3[[#This Row],[Site]],'Important Info!'!$A$1:$F$135,2,FALSE)</f>
        <v>11, 12, 13, 14, 20, 32, 34, 36, 77</v>
      </c>
      <c r="M2329" s="52" t="str">
        <f>VLOOKUP(Tabla3[[#This Row],[Site]],'Important Info!'!$A$1:$F$135,3,FALSE)</f>
        <v>-</v>
      </c>
      <c r="N2329" s="52" t="str">
        <f>VLOOKUP(Tabla3[[#This Row],[Site]],'Important Info!'!$A$1:$F$135,4,FALSE)</f>
        <v>67, 68, 69, 70</v>
      </c>
      <c r="O2329" s="52" t="str">
        <f>VLOOKUP(Tabla3[[#This Row],[Site]],'Important Info!'!$A$1:$F$135,5,FALSE)</f>
        <v>2, 10, 14, 25, 29, 35, 38</v>
      </c>
      <c r="P2329" s="52" t="str">
        <f>VLOOKUP(Tabla3[[#This Row],[Site]],'Important Info!'!$A$1:$F$135,6,FALSE)</f>
        <v>36, 46</v>
      </c>
      <c r="Q2329" s="91">
        <f>VLOOKUP(Tabla3[[#This Row],[Site]],'Important Info!'!$A$1:$J$135,9,FALSE)</f>
        <v>238</v>
      </c>
    </row>
    <row r="2330" spans="1:17" x14ac:dyDescent="0.25">
      <c r="A2330" t="str">
        <f>+Tabla3[[#This Row],[Site]]&amp;Tabla3[[#This Row],[Split]]</f>
        <v>(ML) Columbia Honda (NO TOURS)24</v>
      </c>
      <c r="B2330">
        <v>24</v>
      </c>
      <c r="C2330">
        <v>2</v>
      </c>
      <c r="D2330" t="s">
        <v>33</v>
      </c>
      <c r="E2330" t="s">
        <v>46</v>
      </c>
      <c r="F2330" t="s">
        <v>143</v>
      </c>
      <c r="G2330" t="s">
        <v>34</v>
      </c>
      <c r="H2330" s="52" t="str">
        <f>VLOOKUP(Tabla3[[#This Row],[Site]],'Important Info!'!$A$1:$J$135,10,FALSE)</f>
        <v>https://tools.sig.systems/site/details/272</v>
      </c>
      <c r="I2330" s="2" t="s">
        <v>144</v>
      </c>
      <c r="J2330" t="s">
        <v>41</v>
      </c>
      <c r="K2330" s="79" t="str">
        <f>VLOOKUP(Tabla3[[#This Row],[Site]],'Important Info!'!$A$1:$H$135,8,FALSE)</f>
        <v>-</v>
      </c>
      <c r="L2330" s="52" t="str">
        <f>VLOOKUP(Tabla3[[#This Row],[Site]],'Important Info!'!$A$1:$F$135,2,FALSE)</f>
        <v>-</v>
      </c>
      <c r="M2330" s="52" t="str">
        <f>VLOOKUP(Tabla3[[#This Row],[Site]],'Important Info!'!$A$1:$F$135,3,FALSE)</f>
        <v>9, 19, 20</v>
      </c>
      <c r="N2330" s="52" t="str">
        <f>VLOOKUP(Tabla3[[#This Row],[Site]],'Important Info!'!$A$1:$F$135,4,FALSE)</f>
        <v>-</v>
      </c>
      <c r="O2330" s="52" t="str">
        <f>VLOOKUP(Tabla3[[#This Row],[Site]],'Important Info!'!$A$1:$F$135,5,FALSE)</f>
        <v>10, 17, 19</v>
      </c>
      <c r="P2330" s="52" t="str">
        <f>VLOOKUP(Tabla3[[#This Row],[Site]],'Important Info!'!$A$1:$F$135,6,FALSE)</f>
        <v>3, 4, 5</v>
      </c>
      <c r="Q2330" s="91">
        <f>VLOOKUP(Tabla3[[#This Row],[Site]],'Important Info!'!$A$1:$J$135,9,FALSE)</f>
        <v>272</v>
      </c>
    </row>
    <row r="2331" spans="1:17" x14ac:dyDescent="0.25">
      <c r="A2331" t="str">
        <f>+Tabla3[[#This Row],[Site]]&amp;Tabla3[[#This Row],[Split]]</f>
        <v>(ML) McLarty Gray-Daniels Ford Lincoln24</v>
      </c>
      <c r="B2331">
        <v>24</v>
      </c>
      <c r="C2331">
        <v>2</v>
      </c>
      <c r="D2331" t="s">
        <v>33</v>
      </c>
      <c r="E2331" t="s">
        <v>46</v>
      </c>
      <c r="F2331" t="s">
        <v>89</v>
      </c>
      <c r="G2331" t="s">
        <v>34</v>
      </c>
      <c r="H2331" s="52" t="str">
        <f>VLOOKUP(Tabla3[[#This Row],[Site]],'Important Info!'!$A$1:$J$135,10,FALSE)</f>
        <v>https://tools.sig.systems/site/details/151</v>
      </c>
      <c r="I2331" s="2" t="s">
        <v>150</v>
      </c>
      <c r="J2331" t="s">
        <v>41</v>
      </c>
      <c r="K2331" s="79" t="str">
        <f>VLOOKUP(Tabla3[[#This Row],[Site]],'Important Info!'!$A$1:$H$135,8,FALSE)</f>
        <v>-</v>
      </c>
      <c r="L2331" s="52">
        <f>VLOOKUP(Tabla3[[#This Row],[Site]],'Important Info!'!$A$1:$F$135,2,FALSE)</f>
        <v>16</v>
      </c>
      <c r="M2331" s="52" t="str">
        <f>VLOOKUP(Tabla3[[#This Row],[Site]],'Important Info!'!$A$1:$F$135,3,FALSE)</f>
        <v>5, 10, 36, 38, 54, 58B</v>
      </c>
      <c r="N2331" s="52" t="str">
        <f>VLOOKUP(Tabla3[[#This Row],[Site]],'Important Info!'!$A$1:$F$135,4,FALSE)</f>
        <v>-</v>
      </c>
      <c r="O2331" s="52" t="str">
        <f>VLOOKUP(Tabla3[[#This Row],[Site]],'Important Info!'!$A$1:$F$135,5,FALSE)</f>
        <v>5, 17, 37</v>
      </c>
      <c r="P2331" s="52" t="str">
        <f>VLOOKUP(Tabla3[[#This Row],[Site]],'Important Info!'!$A$1:$F$135,6,FALSE)</f>
        <v>1, 2, 3, 4</v>
      </c>
      <c r="Q2331" s="91">
        <f>VLOOKUP(Tabla3[[#This Row],[Site]],'Important Info!'!$A$1:$J$135,9,FALSE)</f>
        <v>151</v>
      </c>
    </row>
    <row r="2332" spans="1:17" x14ac:dyDescent="0.25">
      <c r="A2332" t="str">
        <f>+Tabla3[[#This Row],[Site]]&amp;Tabla3[[#This Row],[Split]]</f>
        <v>(AS) Park Place Mercedes Benz Arlington (NO TOURS)24</v>
      </c>
      <c r="B2332">
        <v>24</v>
      </c>
      <c r="C2332">
        <v>3</v>
      </c>
      <c r="D2332" t="s">
        <v>33</v>
      </c>
      <c r="E2332" t="s">
        <v>46</v>
      </c>
      <c r="F2332" t="s">
        <v>518</v>
      </c>
      <c r="G2332" t="s">
        <v>34</v>
      </c>
      <c r="H2332" s="52" t="str">
        <f>VLOOKUP(Tabla3[[#This Row],[Site]],'Important Info!'!$A$1:$J$135,10,FALSE)</f>
        <v>https://tools.sig.systems/site/details/169</v>
      </c>
      <c r="J2332" t="s">
        <v>41</v>
      </c>
      <c r="K2332" s="79" t="str">
        <f>VLOOKUP(Tabla3[[#This Row],[Site]],'Important Info!'!$A$1:$H$135,8,FALSE)</f>
        <v>-</v>
      </c>
      <c r="L2332" s="52" t="str">
        <f>VLOOKUP(Tabla3[[#This Row],[Site]],'Important Info!'!$A$1:$F$135,2,FALSE)</f>
        <v>1, 9, 14</v>
      </c>
      <c r="M2332" s="52" t="str">
        <f>VLOOKUP(Tabla3[[#This Row],[Site]],'Important Info!'!$A$1:$F$135,3,FALSE)</f>
        <v>-</v>
      </c>
      <c r="N2332" s="52" t="str">
        <f>VLOOKUP(Tabla3[[#This Row],[Site]],'Important Info!'!$A$1:$F$135,4,FALSE)</f>
        <v>77, 78, 79, 80</v>
      </c>
      <c r="O2332" s="52" t="str">
        <f>VLOOKUP(Tabla3[[#This Row],[Site]],'Important Info!'!$A$1:$F$135,5,FALSE)</f>
        <v>2, 10, 18, 22, 31, 40</v>
      </c>
      <c r="P2332" s="52">
        <f>VLOOKUP(Tabla3[[#This Row],[Site]],'Important Info!'!$A$1:$F$135,6,FALSE)</f>
        <v>9</v>
      </c>
      <c r="Q2332" s="91">
        <f>VLOOKUP(Tabla3[[#This Row],[Site]],'Important Info!'!$A$1:$J$135,9,FALSE)</f>
        <v>169</v>
      </c>
    </row>
    <row r="2333" spans="1:17" x14ac:dyDescent="0.25">
      <c r="A2333" t="str">
        <f>+Tabla3[[#This Row],[Site]]&amp;Tabla3[[#This Row],[Split]]</f>
        <v>(KG) Texan GMC Buick (NO TOURS)24</v>
      </c>
      <c r="B2333">
        <v>24</v>
      </c>
      <c r="C2333">
        <v>3</v>
      </c>
      <c r="D2333" t="s">
        <v>33</v>
      </c>
      <c r="E2333" t="s">
        <v>46</v>
      </c>
      <c r="F2333" t="s">
        <v>111</v>
      </c>
      <c r="G2333" t="s">
        <v>34</v>
      </c>
      <c r="H2333" s="52" t="str">
        <f>VLOOKUP(Tabla3[[#This Row],[Site]],'Important Info!'!$A$1:$J$135,10,FALSE)</f>
        <v>https://tools.sig.systems/site/details/225</v>
      </c>
      <c r="I2333" s="43" t="s">
        <v>137</v>
      </c>
      <c r="J2333" t="s">
        <v>41</v>
      </c>
      <c r="K2333" s="79" t="str">
        <f>VLOOKUP(Tabla3[[#This Row],[Site]],'Important Info!'!$A$1:$H$135,8,FALSE)</f>
        <v>-</v>
      </c>
      <c r="L2333" s="52" t="str">
        <f>VLOOKUP(Tabla3[[#This Row],[Site]],'Important Info!'!$A$1:$F$135,2,FALSE)</f>
        <v>1, 20, 53</v>
      </c>
      <c r="M2333" s="52" t="str">
        <f>VLOOKUP(Tabla3[[#This Row],[Site]],'Important Info!'!$A$1:$F$135,3,FALSE)</f>
        <v>-</v>
      </c>
      <c r="N2333" s="52" t="str">
        <f>VLOOKUP(Tabla3[[#This Row],[Site]],'Important Info!'!$A$1:$F$135,4,FALSE)</f>
        <v>-</v>
      </c>
      <c r="O2333" s="52" t="str">
        <f>VLOOKUP(Tabla3[[#This Row],[Site]],'Important Info!'!$A$1:$F$135,5,FALSE)</f>
        <v>2, 8, 14</v>
      </c>
      <c r="P2333" s="52" t="str">
        <f>VLOOKUP(Tabla3[[#This Row],[Site]],'Important Info!'!$A$1:$F$135,6,FALSE)</f>
        <v>51, 52, 16</v>
      </c>
      <c r="Q2333" s="91">
        <f>VLOOKUP(Tabla3[[#This Row],[Site]],'Important Info!'!$A$1:$J$135,9,FALSE)</f>
        <v>225</v>
      </c>
    </row>
    <row r="2334" spans="1:17" x14ac:dyDescent="0.25">
      <c r="A2334" t="str">
        <f>+Tabla3[[#This Row],[Site]]&amp;Tabla3[[#This Row],[Split]]</f>
        <v>(LM) Luther Mazda / Mitsubishi24</v>
      </c>
      <c r="B2334">
        <v>24</v>
      </c>
      <c r="C2334">
        <v>3</v>
      </c>
      <c r="D2334" t="s">
        <v>33</v>
      </c>
      <c r="E2334" t="s">
        <v>46</v>
      </c>
      <c r="F2334" t="s">
        <v>103</v>
      </c>
      <c r="G2334" t="s">
        <v>34</v>
      </c>
      <c r="H2334" s="52" t="str">
        <f>VLOOKUP(Tabla3[[#This Row],[Site]],'Important Info!'!$A$1:$J$135,10,FALSE)</f>
        <v>https://tools.sig.systems/site/details/147</v>
      </c>
      <c r="I2334" s="2" t="s">
        <v>138</v>
      </c>
      <c r="J2334" t="s">
        <v>41</v>
      </c>
      <c r="K2334" s="79" t="str">
        <f>VLOOKUP(Tabla3[[#This Row],[Site]],'Important Info!'!$A$1:$H$135,8,FALSE)</f>
        <v>-</v>
      </c>
      <c r="L2334" s="52" t="str">
        <f>VLOOKUP(Tabla3[[#This Row],[Site]],'Important Info!'!$A$1:$F$135,2,FALSE)</f>
        <v>4, 5, 6</v>
      </c>
      <c r="M2334" s="52" t="str">
        <f>VLOOKUP(Tabla3[[#This Row],[Site]],'Important Info!'!$A$1:$F$135,3,FALSE)</f>
        <v>-</v>
      </c>
      <c r="N2334" s="52" t="str">
        <f>VLOOKUP(Tabla3[[#This Row],[Site]],'Important Info!'!$A$1:$F$135,4,FALSE)</f>
        <v>1, 2</v>
      </c>
      <c r="O2334" s="52" t="str">
        <f>VLOOKUP(Tabla3[[#This Row],[Site]],'Important Info!'!$A$1:$F$135,5,FALSE)</f>
        <v>-</v>
      </c>
      <c r="P2334" s="52" t="str">
        <f>VLOOKUP(Tabla3[[#This Row],[Site]],'Important Info!'!$A$1:$F$135,6,FALSE)</f>
        <v>13, 14, 15, 16</v>
      </c>
      <c r="Q2334" s="91">
        <f>VLOOKUP(Tabla3[[#This Row],[Site]],'Important Info!'!$A$1:$J$135,9,FALSE)</f>
        <v>147</v>
      </c>
    </row>
    <row r="2335" spans="1:17" x14ac:dyDescent="0.25">
      <c r="A2335" t="str">
        <f>+Tabla3[[#This Row],[Site]]&amp;Tabla3[[#This Row],[Split]]</f>
        <v>(ML) Joe Machens CDJR24</v>
      </c>
      <c r="B2335">
        <v>24</v>
      </c>
      <c r="C2335">
        <v>3</v>
      </c>
      <c r="D2335" t="s">
        <v>33</v>
      </c>
      <c r="E2335" t="s">
        <v>46</v>
      </c>
      <c r="F2335" t="s">
        <v>88</v>
      </c>
      <c r="G2335" t="s">
        <v>34</v>
      </c>
      <c r="H2335" s="52" t="str">
        <f>VLOOKUP(Tabla3[[#This Row],[Site]],'Important Info!'!$A$1:$J$135,10,FALSE)</f>
        <v>https://tools.sig.systems/site/details/273</v>
      </c>
      <c r="I2335" s="2" t="s">
        <v>146</v>
      </c>
      <c r="J2335" t="s">
        <v>41</v>
      </c>
      <c r="K2335" s="79" t="str">
        <f>VLOOKUP(Tabla3[[#This Row],[Site]],'Important Info!'!$A$1:$H$135,8,FALSE)</f>
        <v>-</v>
      </c>
      <c r="L2335" s="52" t="str">
        <f>VLOOKUP(Tabla3[[#This Row],[Site]],'Important Info!'!$A$1:$F$135,2,FALSE)</f>
        <v>-</v>
      </c>
      <c r="M2335" s="52">
        <f>VLOOKUP(Tabla3[[#This Row],[Site]],'Important Info!'!$A$1:$F$135,3,FALSE)</f>
        <v>3</v>
      </c>
      <c r="N2335" s="52" t="str">
        <f>VLOOKUP(Tabla3[[#This Row],[Site]],'Important Info!'!$A$1:$F$135,4,FALSE)</f>
        <v>-</v>
      </c>
      <c r="O2335" s="52" t="str">
        <f>VLOOKUP(Tabla3[[#This Row],[Site]],'Important Info!'!$A$1:$F$135,5,FALSE)</f>
        <v>-</v>
      </c>
      <c r="P2335" s="52" t="str">
        <f>VLOOKUP(Tabla3[[#This Row],[Site]],'Important Info!'!$A$1:$F$135,6,FALSE)</f>
        <v>1, 2, 3,</v>
      </c>
      <c r="Q2335" s="91">
        <f>VLOOKUP(Tabla3[[#This Row],[Site]],'Important Info!'!$A$1:$J$135,9,FALSE)</f>
        <v>273</v>
      </c>
    </row>
    <row r="2336" spans="1:17" x14ac:dyDescent="0.25">
      <c r="A2336" t="str">
        <f>+Tabla3[[#This Row],[Site]]&amp;Tabla3[[#This Row],[Split]]</f>
        <v>(PE) BMW of Greenwich (NO TOURS)24</v>
      </c>
      <c r="B2336">
        <v>24</v>
      </c>
      <c r="C2336">
        <v>3</v>
      </c>
      <c r="D2336" t="s">
        <v>485</v>
      </c>
      <c r="E2336" t="s">
        <v>35</v>
      </c>
      <c r="F2336" t="s">
        <v>170</v>
      </c>
      <c r="G2336" t="s">
        <v>490</v>
      </c>
      <c r="H2336" s="52" t="str">
        <f>VLOOKUP(Tabla3[[#This Row],[Site]],'Important Info!'!$A$1:$J$135,10,FALSE)</f>
        <v>https://tools.sig.systems/site/details/186</v>
      </c>
      <c r="I2336" s="43" t="s">
        <v>171</v>
      </c>
      <c r="J2336" t="s">
        <v>41</v>
      </c>
      <c r="K2336" s="79" t="str">
        <f>VLOOKUP(Tabla3[[#This Row],[Site]],'Important Info!'!$A$1:$H$135,8,FALSE)</f>
        <v>-</v>
      </c>
      <c r="L2336" s="52" t="str">
        <f>VLOOKUP(Tabla3[[#This Row],[Site]],'Important Info!'!$A$1:$F$135,2,FALSE)</f>
        <v>1, 6, 15</v>
      </c>
      <c r="M2336" s="52" t="str">
        <f>VLOOKUP(Tabla3[[#This Row],[Site]],'Important Info!'!$A$1:$F$135,3,FALSE)</f>
        <v>-</v>
      </c>
      <c r="N2336" s="52" t="str">
        <f>VLOOKUP(Tabla3[[#This Row],[Site]],'Important Info!'!$A$1:$F$135,4,FALSE)</f>
        <v>-</v>
      </c>
      <c r="O2336" s="52" t="str">
        <f>VLOOKUP(Tabla3[[#This Row],[Site]],'Important Info!'!$A$1:$F$135,5,FALSE)</f>
        <v>-</v>
      </c>
      <c r="P2336" s="52">
        <f>VLOOKUP(Tabla3[[#This Row],[Site]],'Important Info!'!$A$1:$F$135,6,FALSE)</f>
        <v>12</v>
      </c>
      <c r="Q2336" s="91">
        <f>VLOOKUP(Tabla3[[#This Row],[Site]],'Important Info!'!$A$1:$J$135,9,FALSE)</f>
        <v>186</v>
      </c>
    </row>
    <row r="2337" spans="1:17" x14ac:dyDescent="0.25">
      <c r="A2337" t="str">
        <f>+Tabla3[[#This Row],[Site]]&amp;Tabla3[[#This Row],[Split]]</f>
        <v>(AS) Park Place Volvo Sales (NO TOURS)24</v>
      </c>
      <c r="B2337">
        <v>24</v>
      </c>
      <c r="C2337">
        <v>4</v>
      </c>
      <c r="D2337" t="s">
        <v>33</v>
      </c>
      <c r="E2337" t="s">
        <v>46</v>
      </c>
      <c r="F2337" t="s">
        <v>521</v>
      </c>
      <c r="G2337" t="s">
        <v>34</v>
      </c>
      <c r="H2337" s="52" t="str">
        <f>VLOOKUP(Tabla3[[#This Row],[Site]],'Important Info!'!$A$1:$J$135,10,FALSE)</f>
        <v>https://tools.sig.systems/site/details/139</v>
      </c>
      <c r="I2337" s="65" t="s">
        <v>125</v>
      </c>
      <c r="J2337" t="s">
        <v>41</v>
      </c>
      <c r="K2337" s="79" t="str">
        <f>VLOOKUP(Tabla3[[#This Row],[Site]],'Important Info!'!$A$1:$H$135,8,FALSE)</f>
        <v>-</v>
      </c>
      <c r="L2337" s="52" t="str">
        <f>VLOOKUP(Tabla3[[#This Row],[Site]],'Important Info!'!$A$1:$F$135,2,FALSE)</f>
        <v>4, 6, 9, 11</v>
      </c>
      <c r="M2337" s="52" t="str">
        <f>VLOOKUP(Tabla3[[#This Row],[Site]],'Important Info!'!$A$1:$F$135,3,FALSE)</f>
        <v>-</v>
      </c>
      <c r="N2337" s="52" t="str">
        <f>VLOOKUP(Tabla3[[#This Row],[Site]],'Important Info!'!$A$1:$F$135,4,FALSE)</f>
        <v>-</v>
      </c>
      <c r="O2337" s="52" t="str">
        <f>VLOOKUP(Tabla3[[#This Row],[Site]],'Important Info!'!$A$1:$F$135,5,FALSE)</f>
        <v>2, 9</v>
      </c>
      <c r="P2337" s="52" t="str">
        <f>VLOOKUP(Tabla3[[#This Row],[Site]],'Important Info!'!$A$1:$F$135,6,FALSE)</f>
        <v>4, 10, 11</v>
      </c>
      <c r="Q2337" s="91">
        <f>VLOOKUP(Tabla3[[#This Row],[Site]],'Important Info!'!$A$1:$J$135,9,FALSE)</f>
        <v>139</v>
      </c>
    </row>
    <row r="2338" spans="1:17" x14ac:dyDescent="0.25">
      <c r="A2338" t="str">
        <f>+Tabla3[[#This Row],[Site]]&amp;Tabla3[[#This Row],[Split]]</f>
        <v>(DT) Denver (NO TOURS)24</v>
      </c>
      <c r="B2338">
        <v>24</v>
      </c>
      <c r="C2338">
        <v>4</v>
      </c>
      <c r="D2338" t="s">
        <v>44</v>
      </c>
      <c r="E2338" t="s">
        <v>53</v>
      </c>
      <c r="F2338" t="s">
        <v>157</v>
      </c>
      <c r="G2338" t="s">
        <v>45</v>
      </c>
      <c r="H2338" s="52" t="str">
        <f>VLOOKUP(Tabla3[[#This Row],[Site]],'Important Info!'!$A$1:$J$135,10,FALSE)</f>
        <v>https://tools.sig.systems/site/details/203</v>
      </c>
      <c r="I2338" s="2" t="s">
        <v>158</v>
      </c>
      <c r="J2338" t="s">
        <v>41</v>
      </c>
      <c r="K2338" s="79" t="str">
        <f>VLOOKUP(Tabla3[[#This Row],[Site]],'Important Info!'!$A$1:$H$135,8,FALSE)</f>
        <v>-</v>
      </c>
      <c r="L2338" s="52" t="str">
        <f>VLOOKUP(Tabla3[[#This Row],[Site]],'Important Info!'!$A$1:$F$135,2,FALSE)</f>
        <v>-</v>
      </c>
      <c r="M2338" s="52" t="str">
        <f>VLOOKUP(Tabla3[[#This Row],[Site]],'Important Info!'!$A$1:$F$135,3,FALSE)</f>
        <v>7, 8</v>
      </c>
      <c r="N2338" s="52" t="str">
        <f>VLOOKUP(Tabla3[[#This Row],[Site]],'Important Info!'!$A$1:$F$135,4,FALSE)</f>
        <v>-</v>
      </c>
      <c r="O2338" s="52" t="str">
        <f>VLOOKUP(Tabla3[[#This Row],[Site]],'Important Info!'!$A$1:$F$135,5,FALSE)</f>
        <v>-</v>
      </c>
      <c r="P2338" s="52" t="str">
        <f>VLOOKUP(Tabla3[[#This Row],[Site]],'Important Info!'!$A$1:$F$135,6,FALSE)</f>
        <v>7, 8</v>
      </c>
      <c r="Q2338" s="91">
        <f>VLOOKUP(Tabla3[[#This Row],[Site]],'Important Info!'!$A$1:$J$135,9,FALSE)</f>
        <v>203</v>
      </c>
    </row>
    <row r="2339" spans="1:17" x14ac:dyDescent="0.25">
      <c r="A2339" t="str">
        <f>+Tabla3[[#This Row],[Site]]&amp;Tabla3[[#This Row],[Split]]</f>
        <v>(ML) Joe Machens Nissan24</v>
      </c>
      <c r="B2339">
        <v>24</v>
      </c>
      <c r="C2339">
        <v>4</v>
      </c>
      <c r="D2339" t="s">
        <v>33</v>
      </c>
      <c r="E2339" t="s">
        <v>46</v>
      </c>
      <c r="F2339" t="s">
        <v>104</v>
      </c>
      <c r="G2339" t="s">
        <v>34</v>
      </c>
      <c r="H2339" s="52" t="str">
        <f>VLOOKUP(Tabla3[[#This Row],[Site]],'Important Info!'!$A$1:$J$135,10,FALSE)</f>
        <v>https://tools.sig.systems/site/details/279</v>
      </c>
      <c r="I2339" s="2" t="s">
        <v>146</v>
      </c>
      <c r="J2339" t="s">
        <v>41</v>
      </c>
      <c r="K2339" s="79" t="str">
        <f>VLOOKUP(Tabla3[[#This Row],[Site]],'Important Info!'!$A$1:$H$135,8,FALSE)</f>
        <v>-</v>
      </c>
      <c r="L2339" s="52" t="str">
        <f>VLOOKUP(Tabla3[[#This Row],[Site]],'Important Info!'!$A$1:$F$135,2,FALSE)</f>
        <v>-</v>
      </c>
      <c r="M2339" s="52" t="str">
        <f>VLOOKUP(Tabla3[[#This Row],[Site]],'Important Info!'!$A$1:$F$135,3,FALSE)</f>
        <v>1, 3, 16</v>
      </c>
      <c r="N2339" s="52" t="str">
        <f>VLOOKUP(Tabla3[[#This Row],[Site]],'Important Info!'!$A$1:$F$135,4,FALSE)</f>
        <v>-</v>
      </c>
      <c r="O2339" s="52" t="str">
        <f>VLOOKUP(Tabla3[[#This Row],[Site]],'Important Info!'!$A$1:$F$135,5,FALSE)</f>
        <v>-</v>
      </c>
      <c r="P2339" s="52" t="str">
        <f>VLOOKUP(Tabla3[[#This Row],[Site]],'Important Info!'!$A$1:$F$135,6,FALSE)</f>
        <v>-</v>
      </c>
      <c r="Q2339" s="91">
        <f>VLOOKUP(Tabla3[[#This Row],[Site]],'Important Info!'!$A$1:$J$135,9,FALSE)</f>
        <v>279</v>
      </c>
    </row>
    <row r="2340" spans="1:17" x14ac:dyDescent="0.25">
      <c r="A2340" t="str">
        <f>+Tabla3[[#This Row],[Site]]&amp;Tabla3[[#This Row],[Split]]</f>
        <v>(ML) Joe Machens VW24</v>
      </c>
      <c r="B2340">
        <v>24</v>
      </c>
      <c r="C2340">
        <v>4</v>
      </c>
      <c r="D2340" t="s">
        <v>33</v>
      </c>
      <c r="E2340" t="s">
        <v>46</v>
      </c>
      <c r="F2340" t="s">
        <v>74</v>
      </c>
      <c r="G2340" t="s">
        <v>34</v>
      </c>
      <c r="H2340" s="52" t="str">
        <f>VLOOKUP(Tabla3[[#This Row],[Site]],'Important Info!'!$A$1:$J$135,10,FALSE)</f>
        <v>https://tools.sig.systems/site/details/274</v>
      </c>
      <c r="I2340" s="2" t="s">
        <v>146</v>
      </c>
      <c r="J2340" t="s">
        <v>41</v>
      </c>
      <c r="K2340" s="79" t="str">
        <f>VLOOKUP(Tabla3[[#This Row],[Site]],'Important Info!'!$A$1:$H$135,8,FALSE)</f>
        <v>-</v>
      </c>
      <c r="L2340" s="52" t="str">
        <f>VLOOKUP(Tabla3[[#This Row],[Site]],'Important Info!'!$A$1:$F$135,2,FALSE)</f>
        <v>-</v>
      </c>
      <c r="M2340" s="52" t="str">
        <f>VLOOKUP(Tabla3[[#This Row],[Site]],'Important Info!'!$A$1:$F$135,3,FALSE)</f>
        <v>1, 11, 18</v>
      </c>
      <c r="N2340" s="52" t="str">
        <f>VLOOKUP(Tabla3[[#This Row],[Site]],'Important Info!'!$A$1:$F$135,4,FALSE)</f>
        <v>-</v>
      </c>
      <c r="O2340" s="52">
        <f>VLOOKUP(Tabla3[[#This Row],[Site]],'Important Info!'!$A$1:$F$135,5,FALSE)</f>
        <v>17</v>
      </c>
      <c r="P2340" s="52" t="str">
        <f>VLOOKUP(Tabla3[[#This Row],[Site]],'Important Info!'!$A$1:$F$135,6,FALSE)</f>
        <v>-</v>
      </c>
      <c r="Q2340" s="91">
        <f>VLOOKUP(Tabla3[[#This Row],[Site]],'Important Info!'!$A$1:$J$135,9,FALSE)</f>
        <v>274</v>
      </c>
    </row>
    <row r="2341" spans="1:17" x14ac:dyDescent="0.25">
      <c r="A2341" t="str">
        <f>+Tabla3[[#This Row],[Site]]&amp;Tabla3[[#This Row],[Split]]</f>
        <v>(ML) Nissan of Little Rock24</v>
      </c>
      <c r="B2341">
        <v>24</v>
      </c>
      <c r="C2341">
        <v>4</v>
      </c>
      <c r="D2341" t="s">
        <v>33</v>
      </c>
      <c r="E2341" t="s">
        <v>46</v>
      </c>
      <c r="F2341" t="s">
        <v>152</v>
      </c>
      <c r="G2341" t="s">
        <v>34</v>
      </c>
      <c r="H2341" s="52" t="str">
        <f>VLOOKUP(Tabla3[[#This Row],[Site]],'Important Info!'!$A$1:$J$135,10,FALSE)</f>
        <v>https://tools.sig.systems/site/details/224</v>
      </c>
      <c r="I2341" t="s">
        <v>140</v>
      </c>
      <c r="J2341" t="s">
        <v>41</v>
      </c>
      <c r="K2341" s="79" t="str">
        <f>VLOOKUP(Tabla3[[#This Row],[Site]],'Important Info!'!$A$1:$H$135,8,FALSE)</f>
        <v>-</v>
      </c>
      <c r="L2341" s="52" t="str">
        <f>VLOOKUP(Tabla3[[#This Row],[Site]],'Important Info!'!$A$1:$F$135,2,FALSE)</f>
        <v>3, 6</v>
      </c>
      <c r="M2341" s="52" t="str">
        <f>VLOOKUP(Tabla3[[#This Row],[Site]],'Important Info!'!$A$1:$F$135,3,FALSE)</f>
        <v>-</v>
      </c>
      <c r="N2341" s="52" t="str">
        <f>VLOOKUP(Tabla3[[#This Row],[Site]],'Important Info!'!$A$1:$F$135,4,FALSE)</f>
        <v>-</v>
      </c>
      <c r="O2341" s="52" t="str">
        <f>VLOOKUP(Tabla3[[#This Row],[Site]],'Important Info!'!$A$1:$F$135,5,FALSE)</f>
        <v>1, 8, 16, 22</v>
      </c>
      <c r="P2341" s="52" t="str">
        <f>VLOOKUP(Tabla3[[#This Row],[Site]],'Important Info!'!$A$1:$F$135,6,FALSE)</f>
        <v>3, 4</v>
      </c>
      <c r="Q2341" s="91">
        <f>VLOOKUP(Tabla3[[#This Row],[Site]],'Important Info!'!$A$1:$J$135,9,FALSE)</f>
        <v>224</v>
      </c>
    </row>
    <row r="2342" spans="1:17" x14ac:dyDescent="0.25">
      <c r="A2342" t="str">
        <f>+Tabla3[[#This Row],[Site]]&amp;Tabla3[[#This Row],[Split]]</f>
        <v>(SCH) Chevrolet North Palm24</v>
      </c>
      <c r="B2342">
        <v>24</v>
      </c>
      <c r="C2342">
        <v>4</v>
      </c>
      <c r="D2342" t="s">
        <v>62</v>
      </c>
      <c r="E2342" t="s">
        <v>35</v>
      </c>
      <c r="F2342" t="s">
        <v>101</v>
      </c>
      <c r="G2342" t="s">
        <v>490</v>
      </c>
      <c r="H2342" s="52" t="str">
        <f>VLOOKUP(Tabla3[[#This Row],[Site]],'Important Info!'!$A$1:$J$135,10,FALSE)</f>
        <v>https://tools.sig.systems/site/details/160</v>
      </c>
      <c r="I2342" s="43"/>
      <c r="J2342" t="s">
        <v>36</v>
      </c>
      <c r="K2342" s="79" t="str">
        <f>VLOOKUP(Tabla3[[#This Row],[Site]],'Important Info!'!$A$1:$H$135,8,FALSE)</f>
        <v>-</v>
      </c>
      <c r="L2342" s="52" t="str">
        <f>VLOOKUP(Tabla3[[#This Row],[Site]],'Important Info!'!$A$1:$F$135,2,FALSE)</f>
        <v xml:space="preserve">7, 10B, 11, 15 </v>
      </c>
      <c r="M2342" s="52" t="str">
        <f>VLOOKUP(Tabla3[[#This Row],[Site]],'Important Info!'!$A$1:$F$135,3,FALSE)</f>
        <v>-</v>
      </c>
      <c r="N2342" s="52" t="str">
        <f>VLOOKUP(Tabla3[[#This Row],[Site]],'Important Info!'!$A$1:$F$135,4,FALSE)</f>
        <v>-</v>
      </c>
      <c r="O2342" s="52" t="str">
        <f>VLOOKUP(Tabla3[[#This Row],[Site]],'Important Info!'!$A$1:$F$135,5,FALSE)</f>
        <v>-</v>
      </c>
      <c r="P2342" s="52" t="str">
        <f>VLOOKUP(Tabla3[[#This Row],[Site]],'Important Info!'!$A$1:$F$135,6,FALSE)</f>
        <v>1, 15, 16, 17, 18, 19, 20</v>
      </c>
      <c r="Q2342" s="91">
        <f>VLOOKUP(Tabla3[[#This Row],[Site]],'Important Info!'!$A$1:$J$135,9,FALSE)</f>
        <v>160</v>
      </c>
    </row>
    <row r="2343" spans="1:17" x14ac:dyDescent="0.25">
      <c r="A2343" t="str">
        <f>+Tabla3[[#This Row],[Site]]&amp;Tabla3[[#This Row],[Split]]</f>
        <v>(AS) Mercedes Benz/Porsche Dallas I,II,III (NO TOURS)24</v>
      </c>
      <c r="B2343">
        <v>24</v>
      </c>
      <c r="C2343">
        <v>5</v>
      </c>
      <c r="D2343" t="s">
        <v>33</v>
      </c>
      <c r="E2343" t="s">
        <v>46</v>
      </c>
      <c r="F2343" t="s">
        <v>509</v>
      </c>
      <c r="G2343" t="s">
        <v>34</v>
      </c>
      <c r="H2343" s="52" t="str">
        <f>VLOOKUP(Tabla3[[#This Row],[Site]],'Important Info!'!$A$1:$J$135,10,FALSE)</f>
        <v>https://tools.sig.systems/site/details/168</v>
      </c>
      <c r="I2343" s="65" t="s">
        <v>125</v>
      </c>
      <c r="J2343" t="s">
        <v>41</v>
      </c>
      <c r="K2343" s="79" t="str">
        <f>VLOOKUP(Tabla3[[#This Row],[Site]],'Important Info!'!$A$1:$H$135,8,FALSE)</f>
        <v>-</v>
      </c>
      <c r="L2343" s="52" t="str">
        <f>VLOOKUP(Tabla3[[#This Row],[Site]],'Important Info!'!$A$1:$F$135,2,FALSE)</f>
        <v>3, 4, 17, 26, 41</v>
      </c>
      <c r="M2343" s="52" t="str">
        <f>VLOOKUP(Tabla3[[#This Row],[Site]],'Important Info!'!$A$1:$F$135,3,FALSE)</f>
        <v>-</v>
      </c>
      <c r="N2343" s="52" t="str">
        <f>VLOOKUP(Tabla3[[#This Row],[Site]],'Important Info!'!$A$1:$F$135,4,FALSE)</f>
        <v>153, 154, 155, 156, 157, 158</v>
      </c>
      <c r="O2343" s="52" t="str">
        <f>VLOOKUP(Tabla3[[#This Row],[Site]],'Important Info!'!$A$1:$F$135,5,FALSE)</f>
        <v>2, 6, 10, 20, 28, 30, 36</v>
      </c>
      <c r="P2343" s="52" t="str">
        <f>VLOOKUP(Tabla3[[#This Row],[Site]],'Important Info!'!$A$1:$F$135,6,FALSE)</f>
        <v>31, 41, 159</v>
      </c>
      <c r="Q2343" s="91">
        <f>VLOOKUP(Tabla3[[#This Row],[Site]],'Important Info!'!$A$1:$J$135,9,FALSE)</f>
        <v>168</v>
      </c>
    </row>
    <row r="2344" spans="1:17" x14ac:dyDescent="0.25">
      <c r="A2344" t="str">
        <f>+Tabla3[[#This Row],[Site]]&amp;Tabla3[[#This Row],[Split]]</f>
        <v>(ML) BMW of Little Rock24</v>
      </c>
      <c r="B2344">
        <v>24</v>
      </c>
      <c r="C2344">
        <v>5</v>
      </c>
      <c r="D2344" t="s">
        <v>33</v>
      </c>
      <c r="E2344" t="s">
        <v>46</v>
      </c>
      <c r="F2344" t="s">
        <v>139</v>
      </c>
      <c r="G2344" t="s">
        <v>34</v>
      </c>
      <c r="H2344" s="52" t="str">
        <f>VLOOKUP(Tabla3[[#This Row],[Site]],'Important Info!'!$A$1:$J$135,10,FALSE)</f>
        <v>https://tools.sig.systems/site/details/217</v>
      </c>
      <c r="I2344" t="s">
        <v>140</v>
      </c>
      <c r="J2344" t="s">
        <v>41</v>
      </c>
      <c r="K2344" s="79" t="str">
        <f>VLOOKUP(Tabla3[[#This Row],[Site]],'Important Info!'!$A$1:$H$135,8,FALSE)</f>
        <v>-</v>
      </c>
      <c r="L2344" s="52" t="str">
        <f>VLOOKUP(Tabla3[[#This Row],[Site]],'Important Info!'!$A$1:$F$135,2,FALSE)</f>
        <v>-</v>
      </c>
      <c r="M2344" s="52">
        <f>VLOOKUP(Tabla3[[#This Row],[Site]],'Important Info!'!$A$1:$F$135,3,FALSE)</f>
        <v>14</v>
      </c>
      <c r="N2344" s="52" t="str">
        <f>VLOOKUP(Tabla3[[#This Row],[Site]],'Important Info!'!$A$1:$F$135,4,FALSE)</f>
        <v>-</v>
      </c>
      <c r="O2344" s="52" t="str">
        <f>VLOOKUP(Tabla3[[#This Row],[Site]],'Important Info!'!$A$1:$F$135,5,FALSE)</f>
        <v>-</v>
      </c>
      <c r="P2344" s="52" t="str">
        <f>VLOOKUP(Tabla3[[#This Row],[Site]],'Important Info!'!$A$1:$F$135,6,FALSE)</f>
        <v>5, 6, 7, 8, 9, 32</v>
      </c>
      <c r="Q2344" s="91">
        <f>VLOOKUP(Tabla3[[#This Row],[Site]],'Important Info!'!$A$1:$J$135,9,FALSE)</f>
        <v>217</v>
      </c>
    </row>
    <row r="2345" spans="1:17" x14ac:dyDescent="0.25">
      <c r="A2345" t="str">
        <f>+Tabla3[[#This Row],[Site]]&amp;Tabla3[[#This Row],[Split]]</f>
        <v>(ML) Joe Machens Toyota24</v>
      </c>
      <c r="B2345">
        <v>24</v>
      </c>
      <c r="C2345">
        <v>5</v>
      </c>
      <c r="D2345" t="s">
        <v>33</v>
      </c>
      <c r="E2345" t="s">
        <v>46</v>
      </c>
      <c r="F2345" t="s">
        <v>73</v>
      </c>
      <c r="G2345" t="s">
        <v>34</v>
      </c>
      <c r="H2345" s="52" t="str">
        <f>VLOOKUP(Tabla3[[#This Row],[Site]],'Important Info!'!$A$1:$J$135,10,FALSE)</f>
        <v>https://tools.sig.systems/site/details/275</v>
      </c>
      <c r="I2345" s="43" t="s">
        <v>146</v>
      </c>
      <c r="J2345" t="s">
        <v>41</v>
      </c>
      <c r="K2345" s="79" t="str">
        <f>VLOOKUP(Tabla3[[#This Row],[Site]],'Important Info!'!$A$1:$H$135,8,FALSE)</f>
        <v>-</v>
      </c>
      <c r="L2345" s="52" t="str">
        <f>VLOOKUP(Tabla3[[#This Row],[Site]],'Important Info!'!$A$1:$F$135,2,FALSE)</f>
        <v>-</v>
      </c>
      <c r="M2345" s="52" t="str">
        <f>VLOOKUP(Tabla3[[#This Row],[Site]],'Important Info!'!$A$1:$F$135,3,FALSE)</f>
        <v>1, 4, 6</v>
      </c>
      <c r="N2345" s="52" t="str">
        <f>VLOOKUP(Tabla3[[#This Row],[Site]],'Important Info!'!$A$1:$F$135,4,FALSE)</f>
        <v>-</v>
      </c>
      <c r="O2345" s="52" t="str">
        <f>VLOOKUP(Tabla3[[#This Row],[Site]],'Important Info!'!$A$1:$F$135,5,FALSE)</f>
        <v>4, 10</v>
      </c>
      <c r="P2345" s="52" t="str">
        <f>VLOOKUP(Tabla3[[#This Row],[Site]],'Important Info!'!$A$1:$F$135,6,FALSE)</f>
        <v>-</v>
      </c>
      <c r="Q2345" s="91">
        <f>VLOOKUP(Tabla3[[#This Row],[Site]],'Important Info!'!$A$1:$J$135,9,FALSE)</f>
        <v>275</v>
      </c>
    </row>
    <row r="2346" spans="1:17" x14ac:dyDescent="0.25">
      <c r="A2346" t="str">
        <f>+Tabla3[[#This Row],[Site]]&amp;Tabla3[[#This Row],[Split]]</f>
        <v>(PE) JLR PDI (NO TOURS)24</v>
      </c>
      <c r="B2346">
        <v>24</v>
      </c>
      <c r="C2346">
        <v>5</v>
      </c>
      <c r="D2346" t="s">
        <v>485</v>
      </c>
      <c r="E2346" t="s">
        <v>35</v>
      </c>
      <c r="F2346" t="s">
        <v>114</v>
      </c>
      <c r="G2346" t="s">
        <v>490</v>
      </c>
      <c r="H2346" s="52" t="str">
        <f>VLOOKUP(Tabla3[[#This Row],[Site]],'Important Info!'!$A$1:$J$135,10,FALSE)</f>
        <v>https://tools.sig.systems/site/details/179</v>
      </c>
      <c r="I2346" t="s">
        <v>176</v>
      </c>
      <c r="J2346" t="s">
        <v>41</v>
      </c>
      <c r="K2346" s="79" t="str">
        <f>VLOOKUP(Tabla3[[#This Row],[Site]],'Important Info!'!$A$1:$H$135,8,FALSE)</f>
        <v>-</v>
      </c>
      <c r="L2346" s="52" t="str">
        <f>VLOOKUP(Tabla3[[#This Row],[Site]],'Important Info!'!$A$1:$F$135,2,FALSE)</f>
        <v>3, 8</v>
      </c>
      <c r="M2346" s="52" t="str">
        <f>VLOOKUP(Tabla3[[#This Row],[Site]],'Important Info!'!$A$1:$F$135,3,FALSE)</f>
        <v>-</v>
      </c>
      <c r="N2346" s="52" t="str">
        <f>VLOOKUP(Tabla3[[#This Row],[Site]],'Important Info!'!$A$1:$F$135,4,FALSE)</f>
        <v>-</v>
      </c>
      <c r="O2346" s="52" t="str">
        <f>VLOOKUP(Tabla3[[#This Row],[Site]],'Important Info!'!$A$1:$F$135,5,FALSE)</f>
        <v>-</v>
      </c>
      <c r="P2346" s="52" t="str">
        <f>VLOOKUP(Tabla3[[#This Row],[Site]],'Important Info!'!$A$1:$F$135,6,FALSE)</f>
        <v>-</v>
      </c>
      <c r="Q2346" s="91">
        <f>VLOOKUP(Tabla3[[#This Row],[Site]],'Important Info!'!$A$1:$J$135,9,FALSE)</f>
        <v>179</v>
      </c>
    </row>
    <row r="2347" spans="1:17" x14ac:dyDescent="0.25">
      <c r="A2347" t="str">
        <f>+Tabla3[[#This Row],[Site]]&amp;Tabla3[[#This Row],[Split]]</f>
        <v>(AS) Park Place Sprinter Van Center (NO TOURS)24</v>
      </c>
      <c r="B2347">
        <v>24</v>
      </c>
      <c r="C2347">
        <v>6</v>
      </c>
      <c r="D2347" t="s">
        <v>33</v>
      </c>
      <c r="E2347" t="s">
        <v>46</v>
      </c>
      <c r="F2347" t="s">
        <v>520</v>
      </c>
      <c r="G2347" t="s">
        <v>34</v>
      </c>
      <c r="H2347" s="52" t="str">
        <f>VLOOKUP(Tabla3[[#This Row],[Site]],'Important Info!'!$A$1:$J$135,10,FALSE)</f>
        <v>https://tools.sig.systems/site/details/138</v>
      </c>
      <c r="I2347" s="65" t="s">
        <v>125</v>
      </c>
      <c r="J2347" t="s">
        <v>41</v>
      </c>
      <c r="K2347" s="79" t="str">
        <f>VLOOKUP(Tabla3[[#This Row],[Site]],'Important Info!'!$A$1:$H$135,8,FALSE)</f>
        <v>-</v>
      </c>
      <c r="L2347" s="52">
        <f>VLOOKUP(Tabla3[[#This Row],[Site]],'Important Info!'!$A$1:$F$135,2,FALSE)</f>
        <v>1</v>
      </c>
      <c r="M2347" s="52" t="str">
        <f>VLOOKUP(Tabla3[[#This Row],[Site]],'Important Info!'!$A$1:$F$135,3,FALSE)</f>
        <v>-</v>
      </c>
      <c r="N2347" s="52" t="str">
        <f>VLOOKUP(Tabla3[[#This Row],[Site]],'Important Info!'!$A$1:$F$135,4,FALSE)</f>
        <v>-</v>
      </c>
      <c r="O2347" s="52" t="str">
        <f>VLOOKUP(Tabla3[[#This Row],[Site]],'Important Info!'!$A$1:$F$135,5,FALSE)</f>
        <v>-</v>
      </c>
      <c r="P2347" s="52" t="str">
        <f>VLOOKUP(Tabla3[[#This Row],[Site]],'Important Info!'!$A$1:$F$135,6,FALSE)</f>
        <v>1, 3</v>
      </c>
      <c r="Q2347" s="91">
        <f>VLOOKUP(Tabla3[[#This Row],[Site]],'Important Info!'!$A$1:$J$135,9,FALSE)</f>
        <v>138</v>
      </c>
    </row>
    <row r="2348" spans="1:17" x14ac:dyDescent="0.25">
      <c r="A2348" t="str">
        <f>+Tabla3[[#This Row],[Site]]&amp;Tabla3[[#This Row],[Split]]</f>
        <v>(HUD) Honda of Southpoint24</v>
      </c>
      <c r="B2348">
        <v>24</v>
      </c>
      <c r="C2348">
        <v>6</v>
      </c>
      <c r="D2348" t="s">
        <v>62</v>
      </c>
      <c r="E2348" t="s">
        <v>35</v>
      </c>
      <c r="F2348" t="s">
        <v>65</v>
      </c>
      <c r="G2348" t="s">
        <v>490</v>
      </c>
      <c r="H2348" s="52" t="str">
        <f>VLOOKUP(Tabla3[[#This Row],[Site]],'Important Info!'!$A$1:$J$135,10,FALSE)</f>
        <v>https://tools.sig.systems/site/details/195</v>
      </c>
      <c r="I2348" s="43"/>
      <c r="J2348" t="s">
        <v>484</v>
      </c>
      <c r="K2348" s="79" t="str">
        <f>VLOOKUP(Tabla3[[#This Row],[Site]],'Important Info!'!$A$1:$H$135,8,FALSE)</f>
        <v>-</v>
      </c>
      <c r="L2348" s="52" t="str">
        <f>VLOOKUP(Tabla3[[#This Row],[Site]],'Important Info!'!$A$1:$F$135,2,FALSE)</f>
        <v>2, 12, 18</v>
      </c>
      <c r="M2348" s="52">
        <f>VLOOKUP(Tabla3[[#This Row],[Site]],'Important Info!'!$A$1:$F$135,3,FALSE)</f>
        <v>13</v>
      </c>
      <c r="N2348" s="52" t="str">
        <f>VLOOKUP(Tabla3[[#This Row],[Site]],'Important Info!'!$A$1:$F$135,4,FALSE)</f>
        <v>-</v>
      </c>
      <c r="O2348" s="52" t="str">
        <f>VLOOKUP(Tabla3[[#This Row],[Site]],'Important Info!'!$A$1:$F$135,5,FALSE)</f>
        <v>2, 15</v>
      </c>
      <c r="P2348" s="52" t="str">
        <f>VLOOKUP(Tabla3[[#This Row],[Site]],'Important Info!'!$A$1:$F$135,6,FALSE)</f>
        <v>-</v>
      </c>
      <c r="Q2348" s="91">
        <f>VLOOKUP(Tabla3[[#This Row],[Site]],'Important Info!'!$A$1:$J$135,9,FALSE)</f>
        <v>195</v>
      </c>
    </row>
    <row r="2349" spans="1:17" x14ac:dyDescent="0.25">
      <c r="A2349" t="str">
        <f>+Tabla3[[#This Row],[Site]]&amp;Tabla3[[#This Row],[Split]]</f>
        <v>(ML) Honda of Little Rock24</v>
      </c>
      <c r="B2349">
        <v>24</v>
      </c>
      <c r="C2349">
        <v>6</v>
      </c>
      <c r="D2349" t="s">
        <v>33</v>
      </c>
      <c r="E2349" t="s">
        <v>46</v>
      </c>
      <c r="F2349" t="s">
        <v>71</v>
      </c>
      <c r="G2349" t="s">
        <v>34</v>
      </c>
      <c r="H2349" s="52" t="str">
        <f>VLOOKUP(Tabla3[[#This Row],[Site]],'Important Info!'!$A$1:$J$135,10,FALSE)</f>
        <v>https://tools.sig.systems/site/details/249</v>
      </c>
      <c r="I2349" s="2" t="s">
        <v>140</v>
      </c>
      <c r="J2349" t="s">
        <v>41</v>
      </c>
      <c r="K2349" s="79" t="str">
        <f>VLOOKUP(Tabla3[[#This Row],[Site]],'Important Info!'!$A$1:$H$135,8,FALSE)</f>
        <v>-</v>
      </c>
      <c r="L2349" s="52" t="str">
        <f>VLOOKUP(Tabla3[[#This Row],[Site]],'Important Info!'!$A$1:$F$135,2,FALSE)</f>
        <v>1, 4, 9, 14, 21</v>
      </c>
      <c r="M2349" s="52" t="str">
        <f>VLOOKUP(Tabla3[[#This Row],[Site]],'Important Info!'!$A$1:$F$135,3,FALSE)</f>
        <v>-</v>
      </c>
      <c r="N2349" s="52" t="str">
        <f>VLOOKUP(Tabla3[[#This Row],[Site]],'Important Info!'!$A$1:$F$135,4,FALSE)</f>
        <v>-</v>
      </c>
      <c r="O2349" s="52" t="str">
        <f>VLOOKUP(Tabla3[[#This Row],[Site]],'Important Info!'!$A$1:$F$135,5,FALSE)</f>
        <v>4, 14, 21</v>
      </c>
      <c r="P2349" s="52" t="str">
        <f>VLOOKUP(Tabla3[[#This Row],[Site]],'Important Info!'!$A$1:$F$135,6,FALSE)</f>
        <v>11, 12</v>
      </c>
      <c r="Q2349" s="91">
        <f>VLOOKUP(Tabla3[[#This Row],[Site]],'Important Info!'!$A$1:$J$135,9,FALSE)</f>
        <v>249</v>
      </c>
    </row>
    <row r="2350" spans="1:17" x14ac:dyDescent="0.25">
      <c r="A2350" t="str">
        <f>+Tabla3[[#This Row],[Site]]&amp;Tabla3[[#This Row],[Split]]</f>
        <v>(ML) Joe Machens E Collision Center24</v>
      </c>
      <c r="B2350">
        <v>24</v>
      </c>
      <c r="C2350">
        <v>6</v>
      </c>
      <c r="D2350" t="s">
        <v>33</v>
      </c>
      <c r="E2350" t="s">
        <v>46</v>
      </c>
      <c r="F2350" t="s">
        <v>147</v>
      </c>
      <c r="G2350" t="s">
        <v>34</v>
      </c>
      <c r="H2350" s="52" t="str">
        <f>VLOOKUP(Tabla3[[#This Row],[Site]],'Important Info!'!$A$1:$J$135,10,FALSE)</f>
        <v>https://tools.sig.systems/site/details/277</v>
      </c>
      <c r="I2350" s="43" t="s">
        <v>146</v>
      </c>
      <c r="J2350" t="s">
        <v>41</v>
      </c>
      <c r="K2350" s="79" t="str">
        <f>VLOOKUP(Tabla3[[#This Row],[Site]],'Important Info!'!$A$1:$H$135,8,FALSE)</f>
        <v>-</v>
      </c>
      <c r="L2350" s="52">
        <f>VLOOKUP(Tabla3[[#This Row],[Site]],'Important Info!'!$A$1:$F$135,2,FALSE)</f>
        <v>1</v>
      </c>
      <c r="M2350" s="52" t="str">
        <f>VLOOKUP(Tabla3[[#This Row],[Site]],'Important Info!'!$A$1:$F$135,3,FALSE)</f>
        <v>-</v>
      </c>
      <c r="N2350" s="52" t="str">
        <f>VLOOKUP(Tabla3[[#This Row],[Site]],'Important Info!'!$A$1:$F$135,4,FALSE)</f>
        <v>-</v>
      </c>
      <c r="O2350" s="52">
        <f>VLOOKUP(Tabla3[[#This Row],[Site]],'Important Info!'!$A$1:$F$135,5,FALSE)</f>
        <v>5</v>
      </c>
      <c r="P2350" s="52" t="str">
        <f>VLOOKUP(Tabla3[[#This Row],[Site]],'Important Info!'!$A$1:$F$135,6,FALSE)</f>
        <v>1, 2, 3, 4</v>
      </c>
      <c r="Q2350" s="91">
        <f>VLOOKUP(Tabla3[[#This Row],[Site]],'Important Info!'!$A$1:$J$135,9,FALSE)</f>
        <v>277</v>
      </c>
    </row>
    <row r="2351" spans="1:17" x14ac:dyDescent="0.25">
      <c r="A2351" t="str">
        <f>+Tabla3[[#This Row],[Site]]&amp;Tabla3[[#This Row],[Split]]</f>
        <v>(PE) BMW of Mamaroneck (NO TOURS)24</v>
      </c>
      <c r="B2351">
        <v>24</v>
      </c>
      <c r="C2351">
        <v>6</v>
      </c>
      <c r="D2351" t="s">
        <v>485</v>
      </c>
      <c r="E2351" t="s">
        <v>35</v>
      </c>
      <c r="F2351" t="s">
        <v>172</v>
      </c>
      <c r="G2351" t="s">
        <v>490</v>
      </c>
      <c r="H2351" s="52" t="str">
        <f>VLOOKUP(Tabla3[[#This Row],[Site]],'Important Info!'!$A$1:$J$135,10,FALSE)</f>
        <v>https://tools.sig.systems/site/details/185</v>
      </c>
      <c r="I2351" s="43"/>
      <c r="J2351" t="s">
        <v>41</v>
      </c>
      <c r="K2351" s="79" t="str">
        <f>VLOOKUP(Tabla3[[#This Row],[Site]],'Important Info!'!$A$1:$H$135,8,FALSE)</f>
        <v>-</v>
      </c>
      <c r="L2351" s="52">
        <f>VLOOKUP(Tabla3[[#This Row],[Site]],'Important Info!'!$A$1:$F$135,2,FALSE)</f>
        <v>9</v>
      </c>
      <c r="M2351" s="52" t="str">
        <f>VLOOKUP(Tabla3[[#This Row],[Site]],'Important Info!'!$A$1:$F$135,3,FALSE)</f>
        <v>2, 3, 4, 5</v>
      </c>
      <c r="N2351" s="52" t="str">
        <f>VLOOKUP(Tabla3[[#This Row],[Site]],'Important Info!'!$A$1:$F$135,4,FALSE)</f>
        <v>-</v>
      </c>
      <c r="O2351" s="52" t="str">
        <f>VLOOKUP(Tabla3[[#This Row],[Site]],'Important Info!'!$A$1:$F$135,5,FALSE)</f>
        <v>-</v>
      </c>
      <c r="P2351" s="52" t="str">
        <f>VLOOKUP(Tabla3[[#This Row],[Site]],'Important Info!'!$A$1:$F$135,6,FALSE)</f>
        <v>4, 6, 7, 8</v>
      </c>
      <c r="Q2351" s="91">
        <f>VLOOKUP(Tabla3[[#This Row],[Site]],'Important Info!'!$A$1:$J$135,9,FALSE)</f>
        <v>185</v>
      </c>
    </row>
    <row r="2352" spans="1:17" x14ac:dyDescent="0.25">
      <c r="A2352" t="str">
        <f>+Tabla3[[#This Row],[Site]]&amp;Tabla3[[#This Row],[Split]]</f>
        <v>(RML) Burleson Nissan24</v>
      </c>
      <c r="B2352">
        <v>24</v>
      </c>
      <c r="C2352">
        <v>6</v>
      </c>
      <c r="D2352" t="s">
        <v>33</v>
      </c>
      <c r="E2352" t="s">
        <v>46</v>
      </c>
      <c r="F2352" t="s">
        <v>107</v>
      </c>
      <c r="G2352" t="s">
        <v>34</v>
      </c>
      <c r="H2352" s="52" t="str">
        <f>VLOOKUP(Tabla3[[#This Row],[Site]],'Important Info!'!$A$1:$J$135,10,FALSE)</f>
        <v>https://tools.sig.systems/site/details/202</v>
      </c>
      <c r="J2352" t="s">
        <v>41</v>
      </c>
      <c r="K2352" s="79" t="str">
        <f>VLOOKUP(Tabla3[[#This Row],[Site]],'Important Info!'!$A$1:$H$135,8,FALSE)</f>
        <v>-</v>
      </c>
      <c r="L2352" s="52" t="str">
        <f>VLOOKUP(Tabla3[[#This Row],[Site]],'Important Info!'!$A$1:$F$135,2,FALSE)</f>
        <v>3, 21</v>
      </c>
      <c r="M2352" s="52" t="str">
        <f>VLOOKUP(Tabla3[[#This Row],[Site]],'Important Info!'!$A$1:$F$135,3,FALSE)</f>
        <v>-</v>
      </c>
      <c r="N2352" s="52" t="str">
        <f>VLOOKUP(Tabla3[[#This Row],[Site]],'Important Info!'!$A$1:$F$135,4,FALSE)</f>
        <v>-</v>
      </c>
      <c r="O2352" s="52" t="str">
        <f>VLOOKUP(Tabla3[[#This Row],[Site]],'Important Info!'!$A$1:$F$135,5,FALSE)</f>
        <v>2, 6, 15</v>
      </c>
      <c r="P2352" s="52" t="str">
        <f>VLOOKUP(Tabla3[[#This Row],[Site]],'Important Info!'!$A$1:$F$135,6,FALSE)</f>
        <v>-</v>
      </c>
      <c r="Q2352" s="91">
        <f>VLOOKUP(Tabla3[[#This Row],[Site]],'Important Info!'!$A$1:$J$135,9,FALSE)</f>
        <v>202</v>
      </c>
    </row>
    <row r="2353" spans="1:17" x14ac:dyDescent="0.25">
      <c r="A2353" t="str">
        <f>+Tabla3[[#This Row],[Site]]&amp;Tabla3[[#This Row],[Split]]</f>
        <v>(SCH) Prep Center Delray24</v>
      </c>
      <c r="B2353">
        <v>24</v>
      </c>
      <c r="C2353">
        <v>6</v>
      </c>
      <c r="D2353" t="s">
        <v>62</v>
      </c>
      <c r="E2353" t="s">
        <v>35</v>
      </c>
      <c r="F2353" t="s">
        <v>191</v>
      </c>
      <c r="G2353" t="s">
        <v>490</v>
      </c>
      <c r="H2353" s="52" t="str">
        <f>VLOOKUP(Tabla3[[#This Row],[Site]],'Important Info!'!$A$1:$J$135,10,FALSE)</f>
        <v>https://tools.sig.systems/site/details/321</v>
      </c>
      <c r="I2353" s="2"/>
      <c r="J2353" t="s">
        <v>41</v>
      </c>
      <c r="K2353" s="79" t="str">
        <f>VLOOKUP(Tabla3[[#This Row],[Site]],'Important Info!'!$A$1:$H$135,8,FALSE)</f>
        <v>-</v>
      </c>
      <c r="L2353" s="52" t="str">
        <f>VLOOKUP(Tabla3[[#This Row],[Site]],'Important Info!'!$A$1:$F$135,2,FALSE)</f>
        <v>2,3</v>
      </c>
      <c r="M2353" s="52" t="str">
        <f>VLOOKUP(Tabla3[[#This Row],[Site]],'Important Info!'!$A$1:$F$135,3,FALSE)</f>
        <v>-</v>
      </c>
      <c r="N2353" s="52" t="str">
        <f>VLOOKUP(Tabla3[[#This Row],[Site]],'Important Info!'!$A$1:$F$135,4,FALSE)</f>
        <v>-</v>
      </c>
      <c r="O2353" s="52" t="str">
        <f>VLOOKUP(Tabla3[[#This Row],[Site]],'Important Info!'!$A$1:$F$135,5,FALSE)</f>
        <v>-</v>
      </c>
      <c r="P2353" s="52" t="str">
        <f>VLOOKUP(Tabla3[[#This Row],[Site]],'Important Info!'!$A$1:$F$135,6,FALSE)</f>
        <v>2,4,10</v>
      </c>
      <c r="Q2353" s="91">
        <f>VLOOKUP(Tabla3[[#This Row],[Site]],'Important Info!'!$A$1:$J$135,9,FALSE)</f>
        <v>321</v>
      </c>
    </row>
    <row r="2354" spans="1:17" x14ac:dyDescent="0.25">
      <c r="A2354" t="str">
        <f>+Tabla3[[#This Row],[Site]]&amp;Tabla3[[#This Row],[Split]]</f>
        <v>(AS) Atwell Prep Center-Dallas (NO TOURS)24</v>
      </c>
      <c r="B2354">
        <v>24</v>
      </c>
      <c r="C2354">
        <v>7</v>
      </c>
      <c r="D2354" t="s">
        <v>33</v>
      </c>
      <c r="E2354" t="s">
        <v>46</v>
      </c>
      <c r="F2354" t="s">
        <v>498</v>
      </c>
      <c r="G2354" t="s">
        <v>34</v>
      </c>
      <c r="H2354" s="52" t="str">
        <f>VLOOKUP(Tabla3[[#This Row],[Site]],'Important Info!'!$A$1:$J$135,10,FALSE)</f>
        <v>https://tools.sig.systems/site/details/165</v>
      </c>
      <c r="I2354" s="65" t="s">
        <v>125</v>
      </c>
      <c r="J2354" t="s">
        <v>41</v>
      </c>
      <c r="K2354" s="79" t="str">
        <f>VLOOKUP(Tabla3[[#This Row],[Site]],'Important Info!'!$A$1:$H$135,8,FALSE)</f>
        <v>-</v>
      </c>
      <c r="L2354" s="52" t="str">
        <f>VLOOKUP(Tabla3[[#This Row],[Site]],'Important Info!'!$A$1:$F$135,2,FALSE)</f>
        <v>4, 6, 7</v>
      </c>
      <c r="M2354" s="52" t="str">
        <f>VLOOKUP(Tabla3[[#This Row],[Site]],'Important Info!'!$A$1:$F$135,3,FALSE)</f>
        <v>-</v>
      </c>
      <c r="N2354" s="52" t="str">
        <f>VLOOKUP(Tabla3[[#This Row],[Site]],'Important Info!'!$A$1:$F$135,4,FALSE)</f>
        <v>-</v>
      </c>
      <c r="O2354" s="52" t="str">
        <f>VLOOKUP(Tabla3[[#This Row],[Site]],'Important Info!'!$A$1:$F$135,5,FALSE)</f>
        <v>-</v>
      </c>
      <c r="P2354" s="52" t="str">
        <f>VLOOKUP(Tabla3[[#This Row],[Site]],'Important Info!'!$A$1:$F$135,6,FALSE)</f>
        <v>1, 2</v>
      </c>
      <c r="Q2354" s="91">
        <f>VLOOKUP(Tabla3[[#This Row],[Site]],'Important Info!'!$A$1:$J$135,9,FALSE)</f>
        <v>165</v>
      </c>
    </row>
    <row r="2355" spans="1:17" x14ac:dyDescent="0.25">
      <c r="A2355" t="str">
        <f>+Tabla3[[#This Row],[Site]]&amp;Tabla3[[#This Row],[Split]]</f>
        <v>(AS) Park Place Mercedes Benz Ft. Worth (NO TOURS)24</v>
      </c>
      <c r="B2355">
        <v>24</v>
      </c>
      <c r="C2355">
        <v>7</v>
      </c>
      <c r="D2355" t="s">
        <v>33</v>
      </c>
      <c r="E2355" t="s">
        <v>46</v>
      </c>
      <c r="F2355" t="s">
        <v>519</v>
      </c>
      <c r="G2355" t="s">
        <v>34</v>
      </c>
      <c r="H2355" s="52" t="str">
        <f>VLOOKUP(Tabla3[[#This Row],[Site]],'Important Info!'!$A$1:$J$135,10,FALSE)</f>
        <v>https://tools.sig.systems/site/details/137</v>
      </c>
      <c r="I2355" s="8" t="s">
        <v>128</v>
      </c>
      <c r="J2355" t="s">
        <v>41</v>
      </c>
      <c r="K2355" s="79" t="s">
        <v>37</v>
      </c>
      <c r="L2355" s="52" t="str">
        <f>VLOOKUP(Tabla3[[#This Row],[Site]],'Important Info!'!$A$1:$F$135,2,FALSE)</f>
        <v>4, 18</v>
      </c>
      <c r="M2355" s="52" t="str">
        <f>VLOOKUP(Tabla3[[#This Row],[Site]],'Important Info!'!$A$1:$F$135,3,FALSE)</f>
        <v>-</v>
      </c>
      <c r="N2355" s="52" t="str">
        <f>VLOOKUP(Tabla3[[#This Row],[Site]],'Important Info!'!$A$1:$F$135,4,FALSE)</f>
        <v>54, 55</v>
      </c>
      <c r="O2355" s="52" t="str">
        <f>VLOOKUP(Tabla3[[#This Row],[Site]],'Important Info!'!$A$1:$F$135,5,FALSE)</f>
        <v>2, 18</v>
      </c>
      <c r="P2355" s="52" t="str">
        <f>VLOOKUP(Tabla3[[#This Row],[Site]],'Important Info!'!$A$1:$F$135,6,FALSE)</f>
        <v>5, 18</v>
      </c>
      <c r="Q2355" s="91">
        <f>VLOOKUP(Tabla3[[#This Row],[Site]],'Important Info!'!$A$1:$J$135,9,FALSE)</f>
        <v>137</v>
      </c>
    </row>
    <row r="2356" spans="1:17" x14ac:dyDescent="0.25">
      <c r="A2356" t="str">
        <f>+Tabla3[[#This Row],[Site]]&amp;Tabla3[[#This Row],[Split]]</f>
        <v>(ML) Ford Lincoln of North Little Rock24</v>
      </c>
      <c r="B2356">
        <v>24</v>
      </c>
      <c r="C2356">
        <v>7</v>
      </c>
      <c r="D2356" t="s">
        <v>33</v>
      </c>
      <c r="E2356" t="s">
        <v>46</v>
      </c>
      <c r="F2356" t="s">
        <v>145</v>
      </c>
      <c r="G2356" t="s">
        <v>34</v>
      </c>
      <c r="H2356" s="52" t="str">
        <f>VLOOKUP(Tabla3[[#This Row],[Site]],'Important Info!'!$A$1:$J$135,10,FALSE)</f>
        <v>https://tools.sig.systems/site/details/214</v>
      </c>
      <c r="I2356" s="43" t="s">
        <v>142</v>
      </c>
      <c r="J2356" t="s">
        <v>41</v>
      </c>
      <c r="K2356" s="79" t="str">
        <f>VLOOKUP(Tabla3[[#This Row],[Site]],'Important Info!'!$A$1:$H$135,8,FALSE)</f>
        <v>-</v>
      </c>
      <c r="L2356" s="52" t="str">
        <f>VLOOKUP(Tabla3[[#This Row],[Site]],'Important Info!'!$A$1:$F$135,2,FALSE)</f>
        <v>4, 15, 18, 67, 74</v>
      </c>
      <c r="M2356" s="52">
        <f>VLOOKUP(Tabla3[[#This Row],[Site]],'Important Info!'!$A$1:$F$135,3,FALSE)</f>
        <v>13</v>
      </c>
      <c r="N2356" s="52" t="str">
        <f>VLOOKUP(Tabla3[[#This Row],[Site]],'Important Info!'!$A$1:$F$135,4,FALSE)</f>
        <v>-</v>
      </c>
      <c r="O2356" s="52" t="str">
        <f>VLOOKUP(Tabla3[[#This Row],[Site]],'Important Info!'!$A$1:$F$135,5,FALSE)</f>
        <v>4, 11, 16, 28</v>
      </c>
      <c r="P2356" s="52" t="str">
        <f>VLOOKUP(Tabla3[[#This Row],[Site]],'Important Info!'!$A$1:$F$135,6,FALSE)</f>
        <v>10, 11, 12</v>
      </c>
      <c r="Q2356" s="91">
        <f>VLOOKUP(Tabla3[[#This Row],[Site]],'Important Info!'!$A$1:$J$135,9,FALSE)</f>
        <v>214</v>
      </c>
    </row>
    <row r="2357" spans="1:17" x14ac:dyDescent="0.25">
      <c r="A2357" t="str">
        <f>+Tabla3[[#This Row],[Site]]&amp;Tabla3[[#This Row],[Split]]</f>
        <v>(ML) Joe Machens Temporary 2.024</v>
      </c>
      <c r="B2357">
        <v>24</v>
      </c>
      <c r="C2357">
        <v>7</v>
      </c>
      <c r="D2357" t="s">
        <v>33</v>
      </c>
      <c r="E2357" t="s">
        <v>46</v>
      </c>
      <c r="F2357" t="s">
        <v>105</v>
      </c>
      <c r="G2357" t="s">
        <v>34</v>
      </c>
      <c r="H2357" s="52" t="str">
        <f>VLOOKUP(Tabla3[[#This Row],[Site]],'Important Info!'!$A$1:$J$135,10,FALSE)</f>
        <v>https://tools.sig.systems/site/details/278</v>
      </c>
      <c r="I2357" s="43" t="s">
        <v>146</v>
      </c>
      <c r="J2357" t="s">
        <v>41</v>
      </c>
      <c r="K2357" s="79" t="str">
        <f>VLOOKUP(Tabla3[[#This Row],[Site]],'Important Info!'!$A$1:$H$135,8,FALSE)</f>
        <v>-</v>
      </c>
      <c r="L2357" s="52" t="str">
        <f>VLOOKUP(Tabla3[[#This Row],[Site]],'Important Info!'!$A$1:$F$135,2,FALSE)</f>
        <v>-</v>
      </c>
      <c r="M2357" s="52" t="str">
        <f>VLOOKUP(Tabla3[[#This Row],[Site]],'Important Info!'!$A$1:$F$135,3,FALSE)</f>
        <v>1, 11, 14, 15, 16</v>
      </c>
      <c r="N2357" s="52" t="str">
        <f>VLOOKUP(Tabla3[[#This Row],[Site]],'Important Info!'!$A$1:$F$135,4,FALSE)</f>
        <v>-</v>
      </c>
      <c r="O2357" s="52">
        <f>VLOOKUP(Tabla3[[#This Row],[Site]],'Important Info!'!$A$1:$F$135,5,FALSE)</f>
        <v>13</v>
      </c>
      <c r="P2357" s="52" t="str">
        <f>VLOOKUP(Tabla3[[#This Row],[Site]],'Important Info!'!$A$1:$F$135,6,FALSE)</f>
        <v>-</v>
      </c>
      <c r="Q2357" s="91">
        <f>VLOOKUP(Tabla3[[#This Row],[Site]],'Important Info!'!$A$1:$J$135,9,FALSE)</f>
        <v>278</v>
      </c>
    </row>
    <row r="2358" spans="1:17" x14ac:dyDescent="0.25">
      <c r="A2358" t="str">
        <f>+Tabla3[[#This Row],[Site]]&amp;Tabla3[[#This Row],[Split]]</f>
        <v>(SCH) Auto Body Shop Lake Park24</v>
      </c>
      <c r="B2358">
        <v>24</v>
      </c>
      <c r="C2358">
        <v>7</v>
      </c>
      <c r="D2358" t="s">
        <v>62</v>
      </c>
      <c r="E2358" t="s">
        <v>35</v>
      </c>
      <c r="F2358" t="s">
        <v>189</v>
      </c>
      <c r="G2358" t="s">
        <v>490</v>
      </c>
      <c r="H2358" s="52" t="str">
        <f>VLOOKUP(Tabla3[[#This Row],[Site]],'Important Info!'!$A$1:$J$135,10,FALSE)</f>
        <v>https://tools.sig.systems/site/details/158</v>
      </c>
      <c r="I2358" s="2"/>
      <c r="J2358" t="s">
        <v>41</v>
      </c>
      <c r="K2358" s="79" t="str">
        <f>VLOOKUP(Tabla3[[#This Row],[Site]],'Important Info!'!$A$1:$H$135,8,FALSE)</f>
        <v>-</v>
      </c>
      <c r="L2358" s="52" t="str">
        <f>VLOOKUP(Tabla3[[#This Row],[Site]],'Important Info!'!$A$1:$F$135,2,FALSE)</f>
        <v>3, 10</v>
      </c>
      <c r="M2358" s="52" t="str">
        <f>VLOOKUP(Tabla3[[#This Row],[Site]],'Important Info!'!$A$1:$F$135,3,FALSE)</f>
        <v>-</v>
      </c>
      <c r="N2358" s="52" t="str">
        <f>VLOOKUP(Tabla3[[#This Row],[Site]],'Important Info!'!$A$1:$F$135,4,FALSE)</f>
        <v>-</v>
      </c>
      <c r="O2358" s="52" t="str">
        <f>VLOOKUP(Tabla3[[#This Row],[Site]],'Important Info!'!$A$1:$F$135,5,FALSE)</f>
        <v>-</v>
      </c>
      <c r="P2358" s="52" t="str">
        <f>VLOOKUP(Tabla3[[#This Row],[Site]],'Important Info!'!$A$1:$F$135,6,FALSE)</f>
        <v>-</v>
      </c>
      <c r="Q2358" s="91">
        <f>VLOOKUP(Tabla3[[#This Row],[Site]],'Important Info!'!$A$1:$J$135,9,FALSE)</f>
        <v>158</v>
      </c>
    </row>
    <row r="2359" spans="1:17" x14ac:dyDescent="0.25">
      <c r="A2359" t="str">
        <f>+Tabla3[[#This Row],[Site]]&amp;Tabla3[[#This Row],[Split]]</f>
        <v>(AS) Courtesy Honda Palm Harbor (NO TOURS)24</v>
      </c>
      <c r="B2359">
        <v>24</v>
      </c>
      <c r="C2359">
        <v>8</v>
      </c>
      <c r="D2359" t="s">
        <v>62</v>
      </c>
      <c r="E2359" t="s">
        <v>35</v>
      </c>
      <c r="F2359" t="s">
        <v>108</v>
      </c>
      <c r="G2359" t="s">
        <v>490</v>
      </c>
      <c r="H2359" s="52" t="str">
        <f>VLOOKUP(Tabla3[[#This Row],[Site]],'Important Info!'!$A$1:$J$135,10,FALSE)</f>
        <v>https://tools.sig.systems/site/details/176</v>
      </c>
      <c r="I2359" s="43"/>
      <c r="J2359" t="s">
        <v>36</v>
      </c>
      <c r="K2359" s="79" t="str">
        <f>VLOOKUP(Tabla3[[#This Row],[Site]],'Important Info!'!$A$1:$H$135,8,FALSE)</f>
        <v>-</v>
      </c>
      <c r="L2359" s="52">
        <f>VLOOKUP(Tabla3[[#This Row],[Site]],'Important Info!'!$A$1:$F$135,2,FALSE)</f>
        <v>2</v>
      </c>
      <c r="M2359" s="52" t="str">
        <f>VLOOKUP(Tabla3[[#This Row],[Site]],'Important Info!'!$A$1:$F$135,3,FALSE)</f>
        <v>-</v>
      </c>
      <c r="N2359" s="52" t="str">
        <f>VLOOKUP(Tabla3[[#This Row],[Site]],'Important Info!'!$A$1:$F$135,4,FALSE)</f>
        <v>-</v>
      </c>
      <c r="O2359" s="52" t="str">
        <f>VLOOKUP(Tabla3[[#This Row],[Site]],'Important Info!'!$A$1:$F$135,5,FALSE)</f>
        <v>4, 8, 21</v>
      </c>
      <c r="P2359" s="52">
        <f>VLOOKUP(Tabla3[[#This Row],[Site]],'Important Info!'!$A$1:$F$135,6,FALSE)</f>
        <v>10</v>
      </c>
      <c r="Q2359" s="91">
        <f>VLOOKUP(Tabla3[[#This Row],[Site]],'Important Info!'!$A$1:$J$135,9,FALSE)</f>
        <v>176</v>
      </c>
    </row>
    <row r="2360" spans="1:17" x14ac:dyDescent="0.25">
      <c r="A2360" t="str">
        <f>+Tabla3[[#This Row],[Site]]&amp;Tabla3[[#This Row],[Split]]</f>
        <v>(AS) Nalley Lexus &amp; Remote Lot Roswell (NO TOURS)24</v>
      </c>
      <c r="B2360">
        <v>24</v>
      </c>
      <c r="C2360">
        <v>8</v>
      </c>
      <c r="D2360" t="s">
        <v>60</v>
      </c>
      <c r="E2360" t="s">
        <v>35</v>
      </c>
      <c r="F2360" t="s">
        <v>511</v>
      </c>
      <c r="G2360" t="s">
        <v>41</v>
      </c>
      <c r="H2360" s="52" t="str">
        <f>VLOOKUP(Tabla3[[#This Row],[Site]],'Important Info!'!$A$1:$J$135,10,FALSE)</f>
        <v>https://tools.sig.systems/site/details/131</v>
      </c>
      <c r="I2360" s="2" t="s">
        <v>166</v>
      </c>
      <c r="J2360" t="s">
        <v>41</v>
      </c>
      <c r="K2360" s="79" t="str">
        <f>VLOOKUP(Tabla3[[#This Row],[Site]],'Important Info!'!$A$1:$H$135,8,FALSE)</f>
        <v>Dealership 11PM to 5AM (Mon to Fri). Sunday Drop Time 1PM</v>
      </c>
      <c r="L2360" s="52" t="str">
        <f>VLOOKUP(Tabla3[[#This Row],[Site]],'Important Info!'!$A$1:$F$135,2,FALSE)</f>
        <v>6, 13</v>
      </c>
      <c r="M2360" s="52">
        <f>VLOOKUP(Tabla3[[#This Row],[Site]],'Important Info!'!$A$1:$F$135,3,FALSE)</f>
        <v>4</v>
      </c>
      <c r="N2360" s="52">
        <f>VLOOKUP(Tabla3[[#This Row],[Site]],'Important Info!'!$A$1:$F$135,4,FALSE)</f>
        <v>1</v>
      </c>
      <c r="O2360" s="52" t="str">
        <f>VLOOKUP(Tabla3[[#This Row],[Site]],'Important Info!'!$A$1:$F$135,5,FALSE)</f>
        <v>1, 8, 19</v>
      </c>
      <c r="P2360" s="52" t="str">
        <f>VLOOKUP(Tabla3[[#This Row],[Site]],'Important Info!'!$A$1:$F$135,6,FALSE)</f>
        <v>4, 20</v>
      </c>
      <c r="Q2360" s="91">
        <f>VLOOKUP(Tabla3[[#This Row],[Site]],'Important Info!'!$A$1:$J$135,9,FALSE)</f>
        <v>131</v>
      </c>
    </row>
    <row r="2361" spans="1:17" x14ac:dyDescent="0.25">
      <c r="A2361" t="str">
        <f>+Tabla3[[#This Row],[Site]]&amp;Tabla3[[#This Row],[Split]]</f>
        <v>(AS) Park Place Bodywerks Dallas (NO TOURS)24</v>
      </c>
      <c r="B2361">
        <v>24</v>
      </c>
      <c r="C2361">
        <v>8</v>
      </c>
      <c r="D2361" t="s">
        <v>33</v>
      </c>
      <c r="E2361" t="s">
        <v>46</v>
      </c>
      <c r="F2361" t="s">
        <v>514</v>
      </c>
      <c r="G2361" t="s">
        <v>34</v>
      </c>
      <c r="H2361" s="52" t="str">
        <f>VLOOKUP(Tabla3[[#This Row],[Site]],'Important Info!'!$A$1:$J$135,10,FALSE)</f>
        <v>https://tools.sig.systems/site/details/166</v>
      </c>
      <c r="I2361" s="65" t="s">
        <v>125</v>
      </c>
      <c r="J2361" t="s">
        <v>41</v>
      </c>
      <c r="K2361" s="79" t="str">
        <f>VLOOKUP(Tabla3[[#This Row],[Site]],'Important Info!'!$A$1:$H$135,8,FALSE)</f>
        <v>-</v>
      </c>
      <c r="L2361" s="52">
        <f>VLOOKUP(Tabla3[[#This Row],[Site]],'Important Info!'!$A$1:$F$135,2,FALSE)</f>
        <v>3</v>
      </c>
      <c r="M2361" s="52">
        <f>VLOOKUP(Tabla3[[#This Row],[Site]],'Important Info!'!$A$1:$F$135,3,FALSE)</f>
        <v>1</v>
      </c>
      <c r="N2361" s="52" t="str">
        <f>VLOOKUP(Tabla3[[#This Row],[Site]],'Important Info!'!$A$1:$F$135,4,FALSE)</f>
        <v>-</v>
      </c>
      <c r="O2361" s="52" t="str">
        <f>VLOOKUP(Tabla3[[#This Row],[Site]],'Important Info!'!$A$1:$F$135,5,FALSE)</f>
        <v>-</v>
      </c>
      <c r="P2361" s="52" t="str">
        <f>VLOOKUP(Tabla3[[#This Row],[Site]],'Important Info!'!$A$1:$F$135,6,FALSE)</f>
        <v>1, 2, 8</v>
      </c>
      <c r="Q2361" s="91">
        <f>VLOOKUP(Tabla3[[#This Row],[Site]],'Important Info!'!$A$1:$J$135,9,FALSE)</f>
        <v>166</v>
      </c>
    </row>
    <row r="2362" spans="1:17" x14ac:dyDescent="0.25">
      <c r="A2362" t="str">
        <f>+Tabla3[[#This Row],[Site]]&amp;Tabla3[[#This Row],[Split]]</f>
        <v>(KG) Big Star Honda24</v>
      </c>
      <c r="B2362">
        <v>24</v>
      </c>
      <c r="C2362">
        <v>8</v>
      </c>
      <c r="D2362" t="s">
        <v>33</v>
      </c>
      <c r="E2362" t="s">
        <v>46</v>
      </c>
      <c r="F2362" t="s">
        <v>136</v>
      </c>
      <c r="G2362" t="s">
        <v>34</v>
      </c>
      <c r="H2362" s="52" t="str">
        <f>VLOOKUP(Tabla3[[#This Row],[Site]],'Important Info!'!$A$1:$J$135,10,FALSE)</f>
        <v>https://tools.sig.systems/site/details/231</v>
      </c>
      <c r="J2362" t="s">
        <v>41</v>
      </c>
      <c r="K2362" s="79" t="str">
        <f>VLOOKUP(Tabla3[[#This Row],[Site]],'Important Info!'!$A$1:$H$135,8,FALSE)</f>
        <v>-</v>
      </c>
      <c r="L2362" s="52" t="str">
        <f>VLOOKUP(Tabla3[[#This Row],[Site]],'Important Info!'!$A$1:$F$135,2,FALSE)</f>
        <v>2, 17, 33</v>
      </c>
      <c r="M2362" s="52" t="str">
        <f>VLOOKUP(Tabla3[[#This Row],[Site]],'Important Info!'!$A$1:$F$135,3,FALSE)</f>
        <v>-</v>
      </c>
      <c r="N2362" s="52" t="str">
        <f>VLOOKUP(Tabla3[[#This Row],[Site]],'Important Info!'!$A$1:$F$135,4,FALSE)</f>
        <v>-</v>
      </c>
      <c r="O2362" s="52" t="str">
        <f>VLOOKUP(Tabla3[[#This Row],[Site]],'Important Info!'!$A$1:$F$135,5,FALSE)</f>
        <v>3, 11, 16, 21, 24, 31, 34</v>
      </c>
      <c r="P2362" s="52" t="str">
        <f>VLOOKUP(Tabla3[[#This Row],[Site]],'Important Info!'!$A$1:$F$135,6,FALSE)</f>
        <v xml:space="preserve">2, 3, 17, 22, 37, 41, 42 </v>
      </c>
      <c r="Q2362" s="91">
        <f>VLOOKUP(Tabla3[[#This Row],[Site]],'Important Info!'!$A$1:$J$135,9,FALSE)</f>
        <v>231</v>
      </c>
    </row>
    <row r="2363" spans="1:17" x14ac:dyDescent="0.25">
      <c r="A2363" t="str">
        <f>+Tabla3[[#This Row],[Site]]&amp;Tabla3[[#This Row],[Split]]</f>
        <v>(AS) Park Place MB Recon Center Dallas (NO TOURS)24</v>
      </c>
      <c r="B2363">
        <v>24</v>
      </c>
      <c r="C2363">
        <v>9</v>
      </c>
      <c r="D2363" t="s">
        <v>33</v>
      </c>
      <c r="E2363" t="s">
        <v>46</v>
      </c>
      <c r="F2363" t="s">
        <v>517</v>
      </c>
      <c r="G2363" t="s">
        <v>34</v>
      </c>
      <c r="H2363" s="52" t="str">
        <f>VLOOKUP(Tabla3[[#This Row],[Site]],'Important Info!'!$A$1:$J$135,10,FALSE)</f>
        <v>https://tools.sig.systems/site/details/170</v>
      </c>
      <c r="I2363" s="65" t="s">
        <v>125</v>
      </c>
      <c r="J2363" t="s">
        <v>41</v>
      </c>
      <c r="K2363" s="79" t="str">
        <f>VLOOKUP(Tabla3[[#This Row],[Site]],'Important Info!'!$A$1:$H$135,8,FALSE)</f>
        <v>-</v>
      </c>
      <c r="L2363" s="52" t="str">
        <f>VLOOKUP(Tabla3[[#This Row],[Site]],'Important Info!'!$A$1:$F$135,2,FALSE)</f>
        <v>3, 39</v>
      </c>
      <c r="M2363" s="52" t="str">
        <f>VLOOKUP(Tabla3[[#This Row],[Site]],'Important Info!'!$A$1:$F$135,3,FALSE)</f>
        <v>-</v>
      </c>
      <c r="N2363" s="52" t="str">
        <f>VLOOKUP(Tabla3[[#This Row],[Site]],'Important Info!'!$A$1:$F$135,4,FALSE)</f>
        <v>-</v>
      </c>
      <c r="O2363" s="52" t="str">
        <f>VLOOKUP(Tabla3[[#This Row],[Site]],'Important Info!'!$A$1:$F$135,5,FALSE)</f>
        <v>4, 11</v>
      </c>
      <c r="P2363" s="52">
        <f>VLOOKUP(Tabla3[[#This Row],[Site]],'Important Info!'!$A$1:$F$135,6,FALSE)</f>
        <v>1</v>
      </c>
      <c r="Q2363" s="91">
        <f>VLOOKUP(Tabla3[[#This Row],[Site]],'Important Info!'!$A$1:$J$135,9,FALSE)</f>
        <v>170</v>
      </c>
    </row>
    <row r="2364" spans="1:17" x14ac:dyDescent="0.25">
      <c r="A2364" t="str">
        <f>+Tabla3[[#This Row],[Site]]&amp;Tabla3[[#This Row],[Split]]</f>
        <v>(ML) Joe Machens Ford Lincoln I &amp; II24</v>
      </c>
      <c r="B2364">
        <v>24</v>
      </c>
      <c r="C2364">
        <v>9</v>
      </c>
      <c r="D2364" t="s">
        <v>33</v>
      </c>
      <c r="E2364" t="s">
        <v>46</v>
      </c>
      <c r="F2364" t="s">
        <v>148</v>
      </c>
      <c r="G2364" t="s">
        <v>34</v>
      </c>
      <c r="H2364" s="52" t="str">
        <f>VLOOKUP(Tabla3[[#This Row],[Site]],'Important Info!'!$A$1:$J$135,10,FALSE)</f>
        <v>https://tools.sig.systems/site/details/266</v>
      </c>
      <c r="I2364" s="43" t="s">
        <v>146</v>
      </c>
      <c r="J2364" t="s">
        <v>41</v>
      </c>
      <c r="K2364" s="79" t="str">
        <f>VLOOKUP(Tabla3[[#This Row],[Site]],'Important Info!'!$A$1:$H$135,8,FALSE)</f>
        <v>-</v>
      </c>
      <c r="L2364" s="52" t="str">
        <f>VLOOKUP(Tabla3[[#This Row],[Site]],'Important Info!'!$A$1:$F$135,2,FALSE)</f>
        <v>-</v>
      </c>
      <c r="M2364" s="52" t="str">
        <f>VLOOKUP(Tabla3[[#This Row],[Site]],'Important Info!'!$A$1:$F$135,3,FALSE)</f>
        <v>4, 6, 9, 13, 14, 17, 26, 27, 28, 29, 30</v>
      </c>
      <c r="N2364" s="52" t="str">
        <f>VLOOKUP(Tabla3[[#This Row],[Site]],'Important Info!'!$A$1:$F$135,4,FALSE)</f>
        <v>-</v>
      </c>
      <c r="O2364" s="52" t="str">
        <f>VLOOKUP(Tabla3[[#This Row],[Site]],'Important Info!'!$A$1:$F$135,5,FALSE)</f>
        <v>23, 40, 49</v>
      </c>
      <c r="P2364" s="52" t="str">
        <f>VLOOKUP(Tabla3[[#This Row],[Site]],'Important Info!'!$A$1:$F$135,6,FALSE)</f>
        <v>-</v>
      </c>
      <c r="Q2364" s="91">
        <f>VLOOKUP(Tabla3[[#This Row],[Site]],'Important Info!'!$A$1:$J$135,9,FALSE)</f>
        <v>266</v>
      </c>
    </row>
    <row r="2365" spans="1:17" x14ac:dyDescent="0.25">
      <c r="A2365" t="str">
        <f>+Tabla3[[#This Row],[Site]]&amp;Tabla3[[#This Row],[Split]]</f>
        <v>(ML) Joe Machens Kia of Columbia24</v>
      </c>
      <c r="B2365">
        <v>24</v>
      </c>
      <c r="C2365">
        <v>9</v>
      </c>
      <c r="D2365" t="s">
        <v>33</v>
      </c>
      <c r="E2365" t="s">
        <v>46</v>
      </c>
      <c r="F2365" t="s">
        <v>149</v>
      </c>
      <c r="G2365" t="s">
        <v>34</v>
      </c>
      <c r="H2365" s="52" t="str">
        <f>VLOOKUP(Tabla3[[#This Row],[Site]],'Important Info!'!$A$1:$J$135,10,FALSE)</f>
        <v>https://tools.sig.systems/site/details/270</v>
      </c>
      <c r="I2365" s="43" t="s">
        <v>146</v>
      </c>
      <c r="J2365" t="s">
        <v>41</v>
      </c>
      <c r="K2365" s="79" t="str">
        <f>VLOOKUP(Tabla3[[#This Row],[Site]],'Important Info!'!$A$1:$H$135,8,FALSE)</f>
        <v>-</v>
      </c>
      <c r="L2365" s="52" t="str">
        <f>VLOOKUP(Tabla3[[#This Row],[Site]],'Important Info!'!$A$1:$F$135,2,FALSE)</f>
        <v>-</v>
      </c>
      <c r="M2365" s="52" t="str">
        <f>VLOOKUP(Tabla3[[#This Row],[Site]],'Important Info!'!$A$1:$F$135,3,FALSE)</f>
        <v>1, 2, 5, 6, 9, 13, 15</v>
      </c>
      <c r="N2365" s="52" t="str">
        <f>VLOOKUP(Tabla3[[#This Row],[Site]],'Important Info!'!$A$1:$F$135,4,FALSE)</f>
        <v>-</v>
      </c>
      <c r="O2365" s="52" t="str">
        <f>VLOOKUP(Tabla3[[#This Row],[Site]],'Important Info!'!$A$1:$F$135,5,FALSE)</f>
        <v>-</v>
      </c>
      <c r="P2365" s="52" t="str">
        <f>VLOOKUP(Tabla3[[#This Row],[Site]],'Important Info!'!$A$1:$F$135,6,FALSE)</f>
        <v>10, 11, 13</v>
      </c>
      <c r="Q2365" s="91">
        <f>VLOOKUP(Tabla3[[#This Row],[Site]],'Important Info!'!$A$1:$J$135,9,FALSE)</f>
        <v>270</v>
      </c>
    </row>
    <row r="2366" spans="1:17" x14ac:dyDescent="0.25">
      <c r="A2366" t="str">
        <f>+Tabla3[[#This Row],[Site]]&amp;Tabla3[[#This Row],[Split]]</f>
        <v>(SCH) Delray I &amp; II24</v>
      </c>
      <c r="B2366">
        <v>24</v>
      </c>
      <c r="C2366">
        <v>9</v>
      </c>
      <c r="D2366" t="s">
        <v>62</v>
      </c>
      <c r="E2366" t="s">
        <v>35</v>
      </c>
      <c r="F2366" t="s">
        <v>67</v>
      </c>
      <c r="G2366" t="s">
        <v>490</v>
      </c>
      <c r="H2366" s="52" t="str">
        <f>VLOOKUP(Tabla3[[#This Row],[Site]],'Important Info!'!$A$1:$J$135,10,FALSE)</f>
        <v>https://tools.sig.systems/site/details/159</v>
      </c>
      <c r="I2366" s="43"/>
      <c r="J2366" t="s">
        <v>36</v>
      </c>
      <c r="K2366" s="79" t="str">
        <f>VLOOKUP(Tabla3[[#This Row],[Site]],'Important Info!'!$A$1:$H$135,8,FALSE)</f>
        <v>-</v>
      </c>
      <c r="L2366" s="52" t="str">
        <f>VLOOKUP(Tabla3[[#This Row],[Site]],'Important Info!'!$A$1:$F$135,2,FALSE)</f>
        <v>5, 28, 31</v>
      </c>
      <c r="M2366" s="52" t="str">
        <f>VLOOKUP(Tabla3[[#This Row],[Site]],'Important Info!'!$A$1:$F$135,3,FALSE)</f>
        <v>1, 29</v>
      </c>
      <c r="N2366" s="52">
        <f>VLOOKUP(Tabla3[[#This Row],[Site]],'Important Info!'!$A$1:$F$135,4,FALSE)</f>
        <v>6</v>
      </c>
      <c r="O2366" s="52" t="str">
        <f>VLOOKUP(Tabla3[[#This Row],[Site]],'Important Info!'!$A$1:$F$135,5,FALSE)</f>
        <v>-</v>
      </c>
      <c r="P2366" s="52" t="str">
        <f>VLOOKUP(Tabla3[[#This Row],[Site]],'Important Info!'!$A$1:$F$135,6,FALSE)</f>
        <v>1, 35, 36</v>
      </c>
      <c r="Q2366" s="91">
        <f>VLOOKUP(Tabla3[[#This Row],[Site]],'Important Info!'!$A$1:$J$135,9,FALSE)</f>
        <v>159</v>
      </c>
    </row>
    <row r="2367" spans="1:17" x14ac:dyDescent="0.25">
      <c r="A2367" t="str">
        <f>+Tabla3[[#This Row],[Site]]&amp;Tabla3[[#This Row],[Split]]</f>
        <v>(SCH) West Palm Beach I, II &amp; III24</v>
      </c>
      <c r="B2367">
        <v>24</v>
      </c>
      <c r="C2367">
        <v>10</v>
      </c>
      <c r="D2367" t="s">
        <v>492</v>
      </c>
      <c r="E2367" t="s">
        <v>35</v>
      </c>
      <c r="F2367" t="s">
        <v>96</v>
      </c>
      <c r="G2367" t="s">
        <v>490</v>
      </c>
      <c r="H2367" s="52" t="str">
        <f>VLOOKUP(Tabla3[[#This Row],[Site]],'Important Info!'!$A$1:$J$135,10,FALSE)</f>
        <v>https://tools.sig.systems/site/details/162</v>
      </c>
      <c r="I2367" s="2"/>
      <c r="J2367" t="s">
        <v>36</v>
      </c>
      <c r="K2367" s="79" t="str">
        <f>VLOOKUP(Tabla3[[#This Row],[Site]],'Important Info!'!$A$1:$H$135,8,FALSE)</f>
        <v>SUNDAY: Log in at 5:30 p.m. ET.</v>
      </c>
      <c r="L2367" s="52" t="str">
        <f>VLOOKUP(Tabla3[[#This Row],[Site]],'Important Info!'!$A$1:$F$135,2,FALSE)</f>
        <v>34, 62</v>
      </c>
      <c r="M2367" s="52" t="str">
        <f>VLOOKUP(Tabla3[[#This Row],[Site]],'Important Info!'!$A$1:$F$135,3,FALSE)</f>
        <v xml:space="preserve">6, 7, 11, 13, </v>
      </c>
      <c r="N2367" s="52" t="str">
        <f>VLOOKUP(Tabla3[[#This Row],[Site]],'Important Info!'!$A$1:$F$135,4,FALSE)</f>
        <v>20, 21</v>
      </c>
      <c r="O2367" s="52" t="str">
        <f>VLOOKUP(Tabla3[[#This Row],[Site]],'Important Info!'!$A$1:$F$135,5,FALSE)</f>
        <v>-</v>
      </c>
      <c r="P2367" s="52" t="str">
        <f>VLOOKUP(Tabla3[[#This Row],[Site]],'Important Info!'!$A$1:$F$135,6,FALSE)</f>
        <v>1, 2, 3, 131, 132</v>
      </c>
      <c r="Q2367" s="91">
        <f>VLOOKUP(Tabla3[[#This Row],[Site]],'Important Info!'!$A$1:$J$135,9,FALSE)</f>
        <v>162</v>
      </c>
    </row>
    <row r="2368" spans="1:17" x14ac:dyDescent="0.25">
      <c r="A2368" t="str">
        <f>+Tabla3[[#This Row],[Site]]&amp;Tabla3[[#This Row],[Split]]</f>
        <v>SIG Office24</v>
      </c>
      <c r="B2368">
        <v>24</v>
      </c>
      <c r="C2368">
        <v>10</v>
      </c>
      <c r="D2368" t="s">
        <v>60</v>
      </c>
      <c r="E2368" t="s">
        <v>35</v>
      </c>
      <c r="F2368" t="s">
        <v>169</v>
      </c>
      <c r="G2368" t="s">
        <v>41</v>
      </c>
      <c r="H2368" s="52" t="str">
        <f>VLOOKUP(Tabla3[[#This Row],[Site]],'Important Info!'!$A$1:$J$135,10,FALSE)</f>
        <v>https://tools.sig.systems/site/details/163</v>
      </c>
      <c r="J2368" t="s">
        <v>41</v>
      </c>
      <c r="K2368" s="79" t="str">
        <f>VLOOKUP(Tabla3[[#This Row],[Site]],'Important Info!'!$A$1:$H$135,8,FALSE)</f>
        <v>-</v>
      </c>
      <c r="L2368" s="52" t="str">
        <f>VLOOKUP(Tabla3[[#This Row],[Site]],'Important Info!'!$A$1:$F$135,2,FALSE)</f>
        <v>-</v>
      </c>
      <c r="M2368" s="52" t="str">
        <f>VLOOKUP(Tabla3[[#This Row],[Site]],'Important Info!'!$A$1:$F$135,3,FALSE)</f>
        <v>-</v>
      </c>
      <c r="N2368" s="52" t="str">
        <f>VLOOKUP(Tabla3[[#This Row],[Site]],'Important Info!'!$A$1:$F$135,4,FALSE)</f>
        <v>-</v>
      </c>
      <c r="O2368" s="52" t="str">
        <f>VLOOKUP(Tabla3[[#This Row],[Site]],'Important Info!'!$A$1:$F$135,5,FALSE)</f>
        <v>-</v>
      </c>
      <c r="P2368" s="52">
        <f>VLOOKUP(Tabla3[[#This Row],[Site]],'Important Info!'!$A$1:$F$135,6,FALSE)</f>
        <v>25</v>
      </c>
      <c r="Q2368" s="91">
        <f>VLOOKUP(Tabla3[[#This Row],[Site]],'Important Info!'!$A$1:$J$135,9,FALSE)</f>
        <v>163</v>
      </c>
    </row>
    <row r="2369" spans="1:17" x14ac:dyDescent="0.25">
      <c r="A2369" t="str">
        <f>+Tabla3[[#This Row],[Site]]&amp;Tabla3[[#This Row],[Split]]</f>
        <v>(AS) David McDavid Lincoln Frisco (NO TOURS)24</v>
      </c>
      <c r="B2369">
        <v>24</v>
      </c>
      <c r="C2369">
        <v>11</v>
      </c>
      <c r="D2369" t="s">
        <v>33</v>
      </c>
      <c r="E2369" t="s">
        <v>46</v>
      </c>
      <c r="F2369" t="s">
        <v>507</v>
      </c>
      <c r="G2369" t="s">
        <v>34</v>
      </c>
      <c r="H2369" s="52" t="str">
        <f>VLOOKUP(Tabla3[[#This Row],[Site]],'Important Info!'!$A$1:$J$135,10,FALSE)</f>
        <v>https://tools.sig.systems/site/details/182</v>
      </c>
      <c r="I2369" s="2"/>
      <c r="J2369" t="s">
        <v>41</v>
      </c>
      <c r="K2369" s="79" t="str">
        <f>VLOOKUP(Tabla3[[#This Row],[Site]],'Important Info!'!$A$1:$H$135,8,FALSE)</f>
        <v>-</v>
      </c>
      <c r="L2369" s="52" t="str">
        <f>VLOOKUP(Tabla3[[#This Row],[Site]],'Important Info!'!$A$1:$F$135,2,FALSE)</f>
        <v>1, 2, 11</v>
      </c>
      <c r="M2369" s="52" t="str">
        <f>VLOOKUP(Tabla3[[#This Row],[Site]],'Important Info!'!$A$1:$F$135,3,FALSE)</f>
        <v>-</v>
      </c>
      <c r="N2369" s="52" t="str">
        <f>VLOOKUP(Tabla3[[#This Row],[Site]],'Important Info!'!$A$1:$F$135,4,FALSE)</f>
        <v>-</v>
      </c>
      <c r="O2369" s="52" t="str">
        <f>VLOOKUP(Tabla3[[#This Row],[Site]],'Important Info!'!$A$1:$F$135,5,FALSE)</f>
        <v>11, 16, 20</v>
      </c>
      <c r="P2369" s="52" t="str">
        <f>VLOOKUP(Tabla3[[#This Row],[Site]],'Important Info!'!$A$1:$F$135,6,FALSE)</f>
        <v>11, 12, 13, 14</v>
      </c>
      <c r="Q2369" s="91">
        <f>VLOOKUP(Tabla3[[#This Row],[Site]],'Important Info!'!$A$1:$J$135,9,FALSE)</f>
        <v>182</v>
      </c>
    </row>
    <row r="2370" spans="1:17" x14ac:dyDescent="0.25">
      <c r="A2370" t="str">
        <f>+Tabla3[[#This Row],[Site]]&amp;Tabla3[[#This Row],[Split]]</f>
        <v>(AS) Nalley BMW Collision Center (NO TOURS)24</v>
      </c>
      <c r="B2370">
        <v>24</v>
      </c>
      <c r="C2370">
        <v>11</v>
      </c>
      <c r="D2370" t="s">
        <v>62</v>
      </c>
      <c r="E2370" t="s">
        <v>35</v>
      </c>
      <c r="F2370" t="s">
        <v>510</v>
      </c>
      <c r="G2370" t="s">
        <v>490</v>
      </c>
      <c r="H2370" s="52" t="str">
        <f>VLOOKUP(Tabla3[[#This Row],[Site]],'Important Info!'!$A$1:$J$135,10,FALSE)</f>
        <v>https://tools.sig.systems/site/details/220</v>
      </c>
      <c r="I2370" s="43"/>
      <c r="J2370" t="s">
        <v>41</v>
      </c>
      <c r="K2370" s="79" t="str">
        <f>VLOOKUP(Tabla3[[#This Row],[Site]],'Important Info!'!$A$1:$H$135,8,FALSE)</f>
        <v>-</v>
      </c>
      <c r="L2370" s="52" t="str">
        <f>VLOOKUP(Tabla3[[#This Row],[Site]],'Important Info!'!$A$1:$F$135,2,FALSE)</f>
        <v>-</v>
      </c>
      <c r="M2370" s="52">
        <f>VLOOKUP(Tabla3[[#This Row],[Site]],'Important Info!'!$A$1:$F$135,3,FALSE)</f>
        <v>4</v>
      </c>
      <c r="N2370" s="52" t="str">
        <f>VLOOKUP(Tabla3[[#This Row],[Site]],'Important Info!'!$A$1:$F$135,4,FALSE)</f>
        <v>-</v>
      </c>
      <c r="O2370" s="52">
        <f>VLOOKUP(Tabla3[[#This Row],[Site]],'Important Info!'!$A$1:$F$135,5,FALSE)</f>
        <v>12</v>
      </c>
      <c r="P2370" s="52" t="str">
        <f>VLOOKUP(Tabla3[[#This Row],[Site]],'Important Info!'!$A$1:$F$135,6,FALSE)</f>
        <v>13, 15</v>
      </c>
      <c r="Q2370" s="91">
        <f>VLOOKUP(Tabla3[[#This Row],[Site]],'Important Info!'!$A$1:$J$135,9,FALSE)</f>
        <v>220</v>
      </c>
    </row>
    <row r="2371" spans="1:17" x14ac:dyDescent="0.25">
      <c r="A2371" t="str">
        <f>+Tabla3[[#This Row],[Site]]&amp;Tabla3[[#This Row],[Split]]</f>
        <v>(DT) Albuquerque24</v>
      </c>
      <c r="B2371">
        <v>24</v>
      </c>
      <c r="C2371">
        <v>11</v>
      </c>
      <c r="D2371" t="s">
        <v>44</v>
      </c>
      <c r="E2371" t="s">
        <v>53</v>
      </c>
      <c r="F2371" t="s">
        <v>155</v>
      </c>
      <c r="G2371" t="s">
        <v>45</v>
      </c>
      <c r="H2371" s="52" t="str">
        <f>VLOOKUP(Tabla3[[#This Row],[Site]],'Important Info!'!$A$1:$J$135,10,FALSE)</f>
        <v>https://tools.sig.systems/site/details/237</v>
      </c>
      <c r="J2371" t="s">
        <v>41</v>
      </c>
      <c r="K2371" s="79" t="str">
        <f>VLOOKUP(Tabla3[[#This Row],[Site]],'Important Info!'!$A$1:$H$135,8,FALSE)</f>
        <v>-</v>
      </c>
      <c r="L2371" s="52" t="str">
        <f>VLOOKUP(Tabla3[[#This Row],[Site]],'Important Info!'!$A$1:$F$135,2,FALSE)</f>
        <v>14, 16</v>
      </c>
      <c r="M2371" s="52" t="str">
        <f>VLOOKUP(Tabla3[[#This Row],[Site]],'Important Info!'!$A$1:$F$135,3,FALSE)</f>
        <v>-</v>
      </c>
      <c r="N2371" s="52" t="str">
        <f>VLOOKUP(Tabla3[[#This Row],[Site]],'Important Info!'!$A$1:$F$135,4,FALSE)</f>
        <v>-</v>
      </c>
      <c r="O2371" s="52" t="str">
        <f>VLOOKUP(Tabla3[[#This Row],[Site]],'Important Info!'!$A$1:$F$135,5,FALSE)</f>
        <v>14, 15</v>
      </c>
      <c r="P2371" s="52" t="str">
        <f>VLOOKUP(Tabla3[[#This Row],[Site]],'Important Info!'!$A$1:$F$135,6,FALSE)</f>
        <v>12, 14, 16</v>
      </c>
      <c r="Q2371" s="91">
        <f>VLOOKUP(Tabla3[[#This Row],[Site]],'Important Info!'!$A$1:$J$135,9,FALSE)</f>
        <v>237</v>
      </c>
    </row>
    <row r="2372" spans="1:17" x14ac:dyDescent="0.25">
      <c r="A2372" t="str">
        <f>+Tabla3[[#This Row],[Site]]&amp;Tabla3[[#This Row],[Split]]</f>
        <v>(HUD) BMW of Greensboro24</v>
      </c>
      <c r="B2372">
        <v>24</v>
      </c>
      <c r="C2372">
        <v>11</v>
      </c>
      <c r="D2372" t="s">
        <v>62</v>
      </c>
      <c r="E2372" t="s">
        <v>35</v>
      </c>
      <c r="F2372" t="s">
        <v>183</v>
      </c>
      <c r="G2372" t="s">
        <v>490</v>
      </c>
      <c r="H2372" s="52" t="str">
        <f>VLOOKUP(Tabla3[[#This Row],[Site]],'Important Info!'!$A$1:$J$135,10,FALSE)</f>
        <v>https://tools.sig.systems/site/details/219</v>
      </c>
      <c r="I2372" s="2" t="s">
        <v>184</v>
      </c>
      <c r="J2372" t="s">
        <v>41</v>
      </c>
      <c r="K2372" s="79" t="str">
        <f>VLOOKUP(Tabla3[[#This Row],[Site]],'Important Info!'!$A$1:$H$135,8,FALSE)</f>
        <v>-</v>
      </c>
      <c r="L2372" s="52" t="str">
        <f>VLOOKUP(Tabla3[[#This Row],[Site]],'Important Info!'!$A$1:$F$135,2,FALSE)</f>
        <v>2, 20, 21</v>
      </c>
      <c r="M2372" s="52" t="str">
        <f>VLOOKUP(Tabla3[[#This Row],[Site]],'Important Info!'!$A$1:$F$135,3,FALSE)</f>
        <v>-</v>
      </c>
      <c r="N2372" s="52" t="str">
        <f>VLOOKUP(Tabla3[[#This Row],[Site]],'Important Info!'!$A$1:$F$135,4,FALSE)</f>
        <v>-</v>
      </c>
      <c r="O2372" s="52" t="str">
        <f>VLOOKUP(Tabla3[[#This Row],[Site]],'Important Info!'!$A$1:$F$135,5,FALSE)</f>
        <v>12, 17</v>
      </c>
      <c r="P2372" s="52" t="str">
        <f>VLOOKUP(Tabla3[[#This Row],[Site]],'Important Info!'!$A$1:$F$135,6,FALSE)</f>
        <v>1, 2, 6, 20</v>
      </c>
      <c r="Q2372" s="91">
        <f>VLOOKUP(Tabla3[[#This Row],[Site]],'Important Info!'!$A$1:$J$135,9,FALSE)</f>
        <v>219</v>
      </c>
    </row>
    <row r="2373" spans="1:17" x14ac:dyDescent="0.25">
      <c r="A2373" t="str">
        <f>+Tabla3[[#This Row],[Site]]&amp;Tabla3[[#This Row],[Split]]</f>
        <v>(ML) Volvo Collision Corp24</v>
      </c>
      <c r="B2373">
        <v>24</v>
      </c>
      <c r="C2373">
        <v>11</v>
      </c>
      <c r="D2373" t="s">
        <v>33</v>
      </c>
      <c r="E2373" t="s">
        <v>46</v>
      </c>
      <c r="F2373" t="s">
        <v>106</v>
      </c>
      <c r="G2373" t="s">
        <v>34</v>
      </c>
      <c r="H2373" s="52" t="str">
        <f>VLOOKUP(Tabla3[[#This Row],[Site]],'Important Info!'!$A$1:$J$135,10,FALSE)</f>
        <v>https://tools.sig.systems/site/details/223</v>
      </c>
      <c r="I2373" s="43"/>
      <c r="J2373" t="s">
        <v>41</v>
      </c>
      <c r="K2373" s="79" t="str">
        <f>VLOOKUP(Tabla3[[#This Row],[Site]],'Important Info!'!$A$1:$H$135,8,FALSE)</f>
        <v>-</v>
      </c>
      <c r="L2373" s="52" t="str">
        <f>VLOOKUP(Tabla3[[#This Row],[Site]],'Important Info!'!$A$1:$F$135,2,FALSE)</f>
        <v>7, 11</v>
      </c>
      <c r="M2373" s="52">
        <f>VLOOKUP(Tabla3[[#This Row],[Site]],'Important Info!'!$A$1:$F$135,3,FALSE)</f>
        <v>4</v>
      </c>
      <c r="N2373" s="52" t="str">
        <f>VLOOKUP(Tabla3[[#This Row],[Site]],'Important Info!'!$A$1:$F$135,4,FALSE)</f>
        <v>-</v>
      </c>
      <c r="O2373" s="52">
        <f>VLOOKUP(Tabla3[[#This Row],[Site]],'Important Info!'!$A$1:$F$135,5,FALSE)</f>
        <v>18</v>
      </c>
      <c r="P2373" s="52" t="str">
        <f>VLOOKUP(Tabla3[[#This Row],[Site]],'Important Info!'!$A$1:$F$135,6,FALSE)</f>
        <v>-</v>
      </c>
      <c r="Q2373" s="91">
        <f>VLOOKUP(Tabla3[[#This Row],[Site]],'Important Info!'!$A$1:$J$135,9,FALSE)</f>
        <v>223</v>
      </c>
    </row>
    <row r="2374" spans="1:17" x14ac:dyDescent="0.25">
      <c r="A2374" t="str">
        <f>+Tabla3[[#This Row],[Site]]&amp;Tabla3[[#This Row],[Split]]</f>
        <v>(PE) Fairfield Collision (NO TOURS)24</v>
      </c>
      <c r="B2374">
        <v>24</v>
      </c>
      <c r="C2374">
        <v>11</v>
      </c>
      <c r="D2374" t="s">
        <v>485</v>
      </c>
      <c r="E2374" t="s">
        <v>35</v>
      </c>
      <c r="F2374" t="s">
        <v>63</v>
      </c>
      <c r="G2374" t="s">
        <v>490</v>
      </c>
      <c r="H2374" s="52" t="str">
        <f>VLOOKUP(Tabla3[[#This Row],[Site]],'Important Info!'!$A$1:$J$135,10,FALSE)</f>
        <v>https://tools.sig.systems/site/details/191</v>
      </c>
      <c r="J2374" t="s">
        <v>41</v>
      </c>
      <c r="K2374" s="79" t="str">
        <f>VLOOKUP(Tabla3[[#This Row],[Site]],'Important Info!'!$A$1:$H$135,8,FALSE)</f>
        <v>-</v>
      </c>
      <c r="L2374" s="52">
        <f>VLOOKUP(Tabla3[[#This Row],[Site]],'Important Info!'!$A$1:$F$135,2,FALSE)</f>
        <v>4</v>
      </c>
      <c r="M2374" s="52" t="str">
        <f>VLOOKUP(Tabla3[[#This Row],[Site]],'Important Info!'!$A$1:$F$135,3,FALSE)</f>
        <v>-</v>
      </c>
      <c r="N2374" s="52" t="str">
        <f>VLOOKUP(Tabla3[[#This Row],[Site]],'Important Info!'!$A$1:$F$135,4,FALSE)</f>
        <v>-</v>
      </c>
      <c r="O2374" s="52" t="str">
        <f>VLOOKUP(Tabla3[[#This Row],[Site]],'Important Info!'!$A$1:$F$135,5,FALSE)</f>
        <v>-</v>
      </c>
      <c r="P2374" s="52" t="str">
        <f>VLOOKUP(Tabla3[[#This Row],[Site]],'Important Info!'!$A$1:$F$135,6,FALSE)</f>
        <v>1, 2, 3, 4, 5, 6</v>
      </c>
      <c r="Q2374" s="91">
        <f>VLOOKUP(Tabla3[[#This Row],[Site]],'Important Info!'!$A$1:$J$135,9,FALSE)</f>
        <v>191</v>
      </c>
    </row>
    <row r="2375" spans="1:17" x14ac:dyDescent="0.25">
      <c r="A2375" t="str">
        <f>+Tabla3[[#This Row],[Site]]&amp;Tabla3[[#This Row],[Split]]</f>
        <v>(HUD) Acura of Greensboro24</v>
      </c>
      <c r="B2375">
        <v>24</v>
      </c>
      <c r="C2375">
        <v>12</v>
      </c>
      <c r="D2375" t="s">
        <v>62</v>
      </c>
      <c r="E2375" t="s">
        <v>35</v>
      </c>
      <c r="F2375" t="s">
        <v>100</v>
      </c>
      <c r="G2375" t="s">
        <v>490</v>
      </c>
      <c r="H2375" s="52" t="str">
        <f>VLOOKUP(Tabla3[[#This Row],[Site]],'Important Info!'!$A$1:$J$135,10,FALSE)</f>
        <v>https://tools.sig.systems/site/details/213</v>
      </c>
      <c r="I2375" t="s">
        <v>182</v>
      </c>
      <c r="J2375" t="s">
        <v>41</v>
      </c>
      <c r="K2375" s="79" t="str">
        <f>VLOOKUP(Tabla3[[#This Row],[Site]],'Important Info!'!$A$1:$H$135,8,FALSE)</f>
        <v>-</v>
      </c>
      <c r="L2375" s="52" t="str">
        <f>VLOOKUP(Tabla3[[#This Row],[Site]],'Important Info!'!$A$1:$F$135,2,FALSE)</f>
        <v>1, 2, 6, 7, 9</v>
      </c>
      <c r="M2375" s="52" t="str">
        <f>VLOOKUP(Tabla3[[#This Row],[Site]],'Important Info!'!$A$1:$F$135,3,FALSE)</f>
        <v>-</v>
      </c>
      <c r="N2375" s="52" t="str">
        <f>VLOOKUP(Tabla3[[#This Row],[Site]],'Important Info!'!$A$1:$F$135,4,FALSE)</f>
        <v>-</v>
      </c>
      <c r="O2375" s="52" t="str">
        <f>VLOOKUP(Tabla3[[#This Row],[Site]],'Important Info!'!$A$1:$F$135,5,FALSE)</f>
        <v>2, 5</v>
      </c>
      <c r="P2375" s="52" t="str">
        <f>VLOOKUP(Tabla3[[#This Row],[Site]],'Important Info!'!$A$1:$F$135,6,FALSE)</f>
        <v>1, 2, 6, 7, 9, 18</v>
      </c>
      <c r="Q2375" s="91">
        <f>VLOOKUP(Tabla3[[#This Row],[Site]],'Important Info!'!$A$1:$J$135,9,FALSE)</f>
        <v>213</v>
      </c>
    </row>
    <row r="2376" spans="1:17" x14ac:dyDescent="0.25">
      <c r="A2376" t="str">
        <f>+Tabla3[[#This Row],[Site]]&amp;Tabla3[[#This Row],[Split]]</f>
        <v>(MK) McKenny Salinas Honda24</v>
      </c>
      <c r="B2376">
        <v>24</v>
      </c>
      <c r="C2376">
        <v>12</v>
      </c>
      <c r="D2376" t="s">
        <v>62</v>
      </c>
      <c r="E2376" t="s">
        <v>35</v>
      </c>
      <c r="F2376" t="s">
        <v>115</v>
      </c>
      <c r="G2376" t="s">
        <v>490</v>
      </c>
      <c r="H2376" s="52" t="str">
        <f>VLOOKUP(Tabla3[[#This Row],[Site]],'Important Info!'!$A$1:$J$135,10,FALSE)</f>
        <v>https://tools.sig.systems/site/details/149</v>
      </c>
      <c r="J2376" t="s">
        <v>41</v>
      </c>
      <c r="K2376" s="79" t="str">
        <f>VLOOKUP(Tabla3[[#This Row],[Site]],'Important Info!'!$A$1:$H$135,8,FALSE)</f>
        <v>-</v>
      </c>
      <c r="L2376" s="52" t="str">
        <f>VLOOKUP(Tabla3[[#This Row],[Site]],'Important Info!'!$A$1:$F$135,2,FALSE)</f>
        <v>-</v>
      </c>
      <c r="M2376" s="52" t="str">
        <f>VLOOKUP(Tabla3[[#This Row],[Site]],'Important Info!'!$A$1:$F$135,3,FALSE)</f>
        <v>12, 16</v>
      </c>
      <c r="N2376" s="52" t="str">
        <f>VLOOKUP(Tabla3[[#This Row],[Site]],'Important Info!'!$A$1:$F$135,4,FALSE)</f>
        <v>-</v>
      </c>
      <c r="O2376" s="52" t="str">
        <f>VLOOKUP(Tabla3[[#This Row],[Site]],'Important Info!'!$A$1:$F$135,5,FALSE)</f>
        <v>-</v>
      </c>
      <c r="P2376" s="52" t="str">
        <f>VLOOKUP(Tabla3[[#This Row],[Site]],'Important Info!'!$A$1:$F$135,6,FALSE)</f>
        <v>3, 4, 5, 6, 16</v>
      </c>
      <c r="Q2376" s="91">
        <f>VLOOKUP(Tabla3[[#This Row],[Site]],'Important Info!'!$A$1:$J$135,9,FALSE)</f>
        <v>149</v>
      </c>
    </row>
    <row r="2377" spans="1:17" x14ac:dyDescent="0.25">
      <c r="A2377" t="str">
        <f>+Tabla3[[#This Row],[Site]]&amp;Tabla3[[#This Row],[Split]]</f>
        <v>(ML) Joe Machens Capital City I &amp; II (NO TOURS)24</v>
      </c>
      <c r="B2377">
        <v>24</v>
      </c>
      <c r="C2377">
        <v>12</v>
      </c>
      <c r="D2377" t="s">
        <v>33</v>
      </c>
      <c r="E2377" t="s">
        <v>46</v>
      </c>
      <c r="F2377" t="s">
        <v>72</v>
      </c>
      <c r="G2377" t="s">
        <v>34</v>
      </c>
      <c r="H2377" s="52" t="str">
        <f>VLOOKUP(Tabla3[[#This Row],[Site]],'Important Info!'!$A$1:$J$135,10,FALSE)</f>
        <v>https://tools.sig.systems/site/details/271</v>
      </c>
      <c r="I2377" s="43"/>
      <c r="J2377" t="s">
        <v>41</v>
      </c>
      <c r="K2377" s="79" t="str">
        <f>VLOOKUP(Tabla3[[#This Row],[Site]],'Important Info!'!$A$1:$H$135,8,FALSE)</f>
        <v>-</v>
      </c>
      <c r="L2377" s="52" t="str">
        <f>VLOOKUP(Tabla3[[#This Row],[Site]],'Important Info!'!$A$1:$F$135,2,FALSE)</f>
        <v>-</v>
      </c>
      <c r="M2377" s="52" t="str">
        <f>VLOOKUP(Tabla3[[#This Row],[Site]],'Important Info!'!$A$1:$F$135,3,FALSE)</f>
        <v>1, 3, 4, 20, 25, 27, 28</v>
      </c>
      <c r="N2377" s="52" t="str">
        <f>VLOOKUP(Tabla3[[#This Row],[Site]],'Important Info!'!$A$1:$F$135,4,FALSE)</f>
        <v>-</v>
      </c>
      <c r="O2377" s="52">
        <f>VLOOKUP(Tabla3[[#This Row],[Site]],'Important Info!'!$A$1:$F$135,5,FALSE)</f>
        <v>29</v>
      </c>
      <c r="P2377" s="52" t="str">
        <f>VLOOKUP(Tabla3[[#This Row],[Site]],'Important Info!'!$A$1:$F$135,6,FALSE)</f>
        <v>19, 20</v>
      </c>
      <c r="Q2377" s="91">
        <f>VLOOKUP(Tabla3[[#This Row],[Site]],'Important Info!'!$A$1:$J$135,9,FALSE)</f>
        <v>271</v>
      </c>
    </row>
    <row r="2378" spans="1:17" x14ac:dyDescent="0.25">
      <c r="A2378" t="str">
        <f>+Tabla3[[#This Row],[Site]]&amp;Tabla3[[#This Row],[Split]]</f>
        <v>(PE) JLR Darien PDI (NO TOURS)24</v>
      </c>
      <c r="B2378">
        <v>24</v>
      </c>
      <c r="C2378">
        <v>12</v>
      </c>
      <c r="D2378" t="s">
        <v>485</v>
      </c>
      <c r="E2378" t="s">
        <v>35</v>
      </c>
      <c r="F2378" t="s">
        <v>98</v>
      </c>
      <c r="G2378" t="s">
        <v>490</v>
      </c>
      <c r="H2378" s="52" t="str">
        <f>VLOOKUP(Tabla3[[#This Row],[Site]],'Important Info!'!$A$1:$J$135,10,FALSE)</f>
        <v>https://tools.sig.systems/site/details/187</v>
      </c>
      <c r="I2378" t="s">
        <v>175</v>
      </c>
      <c r="J2378" t="s">
        <v>41</v>
      </c>
      <c r="K2378" s="79" t="str">
        <f>VLOOKUP(Tabla3[[#This Row],[Site]],'Important Info!'!$A$1:$H$135,8,FALSE)</f>
        <v>-</v>
      </c>
      <c r="L2378" s="52">
        <f>VLOOKUP(Tabla3[[#This Row],[Site]],'Important Info!'!$A$1:$F$135,2,FALSE)</f>
        <v>1</v>
      </c>
      <c r="M2378" s="52" t="str">
        <f>VLOOKUP(Tabla3[[#This Row],[Site]],'Important Info!'!$A$1:$F$135,3,FALSE)</f>
        <v>-</v>
      </c>
      <c r="N2378" s="52" t="str">
        <f>VLOOKUP(Tabla3[[#This Row],[Site]],'Important Info!'!$A$1:$F$135,4,FALSE)</f>
        <v>-</v>
      </c>
      <c r="O2378" s="52">
        <f>VLOOKUP(Tabla3[[#This Row],[Site]],'Important Info!'!$A$1:$F$135,5,FALSE)</f>
        <v>1</v>
      </c>
      <c r="P2378" s="52">
        <f>VLOOKUP(Tabla3[[#This Row],[Site]],'Important Info!'!$A$1:$F$135,6,FALSE)</f>
        <v>7</v>
      </c>
      <c r="Q2378" s="91">
        <f>VLOOKUP(Tabla3[[#This Row],[Site]],'Important Info!'!$A$1:$J$135,9,FALSE)</f>
        <v>187</v>
      </c>
    </row>
    <row r="2379" spans="1:17" x14ac:dyDescent="0.25">
      <c r="A2379" t="str">
        <f>+Tabla3[[#This Row],[Site]]&amp;Tabla3[[#This Row],[Split]]</f>
        <v>(PE) Mercedes Benz &amp; Smart Bldg. of Fairfield (NO TOURS)24</v>
      </c>
      <c r="B2379">
        <v>24</v>
      </c>
      <c r="C2379">
        <v>12</v>
      </c>
      <c r="D2379" t="s">
        <v>485</v>
      </c>
      <c r="E2379" t="s">
        <v>35</v>
      </c>
      <c r="F2379" t="s">
        <v>64</v>
      </c>
      <c r="G2379" t="s">
        <v>490</v>
      </c>
      <c r="H2379" s="52" t="str">
        <f>VLOOKUP(Tabla3[[#This Row],[Site]],'Important Info!'!$A$1:$J$135,10,FALSE)</f>
        <v>https://tools.sig.systems/site/details/192</v>
      </c>
      <c r="I2379" t="s">
        <v>177</v>
      </c>
      <c r="J2379" t="s">
        <v>41</v>
      </c>
      <c r="K2379" s="79" t="str">
        <f>VLOOKUP(Tabla3[[#This Row],[Site]],'Important Info!'!$A$1:$H$135,8,FALSE)</f>
        <v>-</v>
      </c>
      <c r="L2379" s="52" t="str">
        <f>VLOOKUP(Tabla3[[#This Row],[Site]],'Important Info!'!$A$1:$F$135,2,FALSE)</f>
        <v>-</v>
      </c>
      <c r="M2379" s="52">
        <f>VLOOKUP(Tabla3[[#This Row],[Site]],'Important Info!'!$A$1:$F$135,3,FALSE)</f>
        <v>1</v>
      </c>
      <c r="N2379" s="52" t="str">
        <f>VLOOKUP(Tabla3[[#This Row],[Site]],'Important Info!'!$A$1:$F$135,4,FALSE)</f>
        <v>-</v>
      </c>
      <c r="O2379" s="52" t="str">
        <f>VLOOKUP(Tabla3[[#This Row],[Site]],'Important Info!'!$A$1:$F$135,5,FALSE)</f>
        <v>11, 13</v>
      </c>
      <c r="P2379" s="52">
        <f>VLOOKUP(Tabla3[[#This Row],[Site]],'Important Info!'!$A$1:$F$135,6,FALSE)</f>
        <v>1</v>
      </c>
      <c r="Q2379" s="91">
        <f>VLOOKUP(Tabla3[[#This Row],[Site]],'Important Info!'!$A$1:$J$135,9,FALSE)</f>
        <v>192</v>
      </c>
    </row>
    <row r="2380" spans="1:17" x14ac:dyDescent="0.25">
      <c r="A2380" t="str">
        <f>+Tabla3[[#This Row],[Site]]&amp;Tabla3[[#This Row],[Split]]</f>
        <v>(RV) Sonny's Camp N Travel Concord24</v>
      </c>
      <c r="B2380">
        <v>24</v>
      </c>
      <c r="C2380">
        <v>12</v>
      </c>
      <c r="D2380" t="s">
        <v>62</v>
      </c>
      <c r="E2380" t="s">
        <v>35</v>
      </c>
      <c r="F2380" t="s">
        <v>188</v>
      </c>
      <c r="G2380" t="s">
        <v>490</v>
      </c>
      <c r="H2380" s="52" t="str">
        <f>VLOOKUP(Tabla3[[#This Row],[Site]],'Important Info!'!$A$1:$J$135,10,FALSE)</f>
        <v>https://tools.sig.systems/site/details/183</v>
      </c>
      <c r="J2380" t="s">
        <v>41</v>
      </c>
      <c r="K2380" s="79" t="str">
        <f>VLOOKUP(Tabla3[[#This Row],[Site]],'Important Info!'!$A$1:$H$135,8,FALSE)</f>
        <v>-</v>
      </c>
      <c r="L2380" s="52">
        <f>VLOOKUP(Tabla3[[#This Row],[Site]],'Important Info!'!$A$1:$F$135,2,FALSE)</f>
        <v>1</v>
      </c>
      <c r="M2380" s="52" t="str">
        <f>VLOOKUP(Tabla3[[#This Row],[Site]],'Important Info!'!$A$1:$F$135,3,FALSE)</f>
        <v>-</v>
      </c>
      <c r="N2380" s="52" t="str">
        <f>VLOOKUP(Tabla3[[#This Row],[Site]],'Important Info!'!$A$1:$F$135,4,FALSE)</f>
        <v>-</v>
      </c>
      <c r="O2380" s="52">
        <f>VLOOKUP(Tabla3[[#This Row],[Site]],'Important Info!'!$A$1:$F$135,5,FALSE)</f>
        <v>7</v>
      </c>
      <c r="P2380" s="52" t="str">
        <f>VLOOKUP(Tabla3[[#This Row],[Site]],'Important Info!'!$A$1:$F$135,6,FALSE)</f>
        <v>6, 7, 8, 9</v>
      </c>
      <c r="Q2380" s="91">
        <f>VLOOKUP(Tabla3[[#This Row],[Site]],'Important Info!'!$A$1:$J$135,9,FALSE)</f>
        <v>183</v>
      </c>
    </row>
    <row r="2381" spans="1:17" x14ac:dyDescent="0.25">
      <c r="A2381" t="str">
        <f>+Tabla3[[#This Row],[Site]]&amp;Tabla3[[#This Row],[Split]]</f>
        <v>(AS) David McDavid Honda I &amp; II (NO TOURS)24</v>
      </c>
      <c r="B2381">
        <v>24</v>
      </c>
      <c r="C2381">
        <v>13</v>
      </c>
      <c r="D2381" t="s">
        <v>33</v>
      </c>
      <c r="E2381" t="s">
        <v>46</v>
      </c>
      <c r="F2381" t="s">
        <v>506</v>
      </c>
      <c r="G2381" t="s">
        <v>34</v>
      </c>
      <c r="H2381" s="52" t="str">
        <f>VLOOKUP(Tabla3[[#This Row],[Site]],'Important Info!'!$A$1:$J$135,10,FALSE)</f>
        <v>https://tools.sig.systems/site/details/129</v>
      </c>
      <c r="J2381" t="s">
        <v>41</v>
      </c>
      <c r="K2381" s="79" t="str">
        <f>VLOOKUP(Tabla3[[#This Row],[Site]],'Important Info!'!$A$1:$H$135,8,FALSE)</f>
        <v>-</v>
      </c>
      <c r="L2381" s="52" t="str">
        <f>VLOOKUP(Tabla3[[#This Row],[Site]],'Important Info!'!$A$1:$F$135,2,FALSE)</f>
        <v>-</v>
      </c>
      <c r="M2381" s="52" t="str">
        <f>VLOOKUP(Tabla3[[#This Row],[Site]],'Important Info!'!$A$1:$F$135,3,FALSE)</f>
        <v>3, 19, 23, 32, 35</v>
      </c>
      <c r="N2381" s="52" t="str">
        <f>VLOOKUP(Tabla3[[#This Row],[Site]],'Important Info!'!$A$1:$F$135,4,FALSE)</f>
        <v>-</v>
      </c>
      <c r="O2381" s="52" t="str">
        <f>VLOOKUP(Tabla3[[#This Row],[Site]],'Important Info!'!$A$1:$F$135,5,FALSE)</f>
        <v>2, 6, 9, 19, 25, 30, 48</v>
      </c>
      <c r="P2381" s="52" t="str">
        <f>VLOOKUP(Tabla3[[#This Row],[Site]],'Important Info!'!$A$1:$F$135,6,FALSE)</f>
        <v>25, 26, 35, 36, 37</v>
      </c>
      <c r="Q2381" s="91">
        <f>VLOOKUP(Tabla3[[#This Row],[Site]],'Important Info!'!$A$1:$J$135,9,FALSE)</f>
        <v>129</v>
      </c>
    </row>
    <row r="2382" spans="1:17" x14ac:dyDescent="0.25">
      <c r="A2382" t="str">
        <f>+Tabla3[[#This Row],[Site]]&amp;Tabla3[[#This Row],[Split]]</f>
        <v>(AS) Mike Shaw Subaru Greeley (NO TOURS)24</v>
      </c>
      <c r="B2382">
        <v>24</v>
      </c>
      <c r="C2382">
        <v>13</v>
      </c>
      <c r="D2382" t="s">
        <v>44</v>
      </c>
      <c r="E2382" t="s">
        <v>53</v>
      </c>
      <c r="F2382" t="s">
        <v>95</v>
      </c>
      <c r="G2382" t="s">
        <v>45</v>
      </c>
      <c r="H2382" s="52" t="str">
        <f>VLOOKUP(Tabla3[[#This Row],[Site]],'Important Info!'!$A$1:$J$135,10,FALSE)</f>
        <v>https://tools.sig.systems/site/details/174</v>
      </c>
      <c r="I2382" s="2" t="s">
        <v>153</v>
      </c>
      <c r="J2382" t="s">
        <v>41</v>
      </c>
      <c r="K2382" s="79" t="str">
        <f>VLOOKUP(Tabla3[[#This Row],[Site]],'Important Info!'!$A$1:$H$135,8,FALSE)</f>
        <v>-</v>
      </c>
      <c r="L2382" s="52" t="str">
        <f>VLOOKUP(Tabla3[[#This Row],[Site]],'Important Info!'!$A$1:$F$135,2,FALSE)</f>
        <v>16, 17</v>
      </c>
      <c r="M2382" s="52">
        <f>VLOOKUP(Tabla3[[#This Row],[Site]],'Important Info!'!$A$1:$F$135,3,FALSE)</f>
        <v>10</v>
      </c>
      <c r="N2382" s="52" t="str">
        <f>VLOOKUP(Tabla3[[#This Row],[Site]],'Important Info!'!$A$1:$F$135,4,FALSE)</f>
        <v>-</v>
      </c>
      <c r="O2382" s="52" t="str">
        <f>VLOOKUP(Tabla3[[#This Row],[Site]],'Important Info!'!$A$1:$F$135,5,FALSE)</f>
        <v>1, 7</v>
      </c>
      <c r="P2382" s="52" t="str">
        <f>VLOOKUP(Tabla3[[#This Row],[Site]],'Important Info!'!$A$1:$F$135,6,FALSE)</f>
        <v>-</v>
      </c>
      <c r="Q2382" s="91">
        <f>VLOOKUP(Tabla3[[#This Row],[Site]],'Important Info!'!$A$1:$J$135,9,FALSE)</f>
        <v>174</v>
      </c>
    </row>
    <row r="2383" spans="1:17" x14ac:dyDescent="0.25">
      <c r="A2383" t="str">
        <f>+Tabla3[[#This Row],[Site]]&amp;Tabla3[[#This Row],[Split]]</f>
        <v>(AS) Plano Auction (NO SPEAKERS)24</v>
      </c>
      <c r="B2383">
        <v>24</v>
      </c>
      <c r="C2383">
        <v>13</v>
      </c>
      <c r="D2383" t="s">
        <v>33</v>
      </c>
      <c r="E2383" t="s">
        <v>46</v>
      </c>
      <c r="F2383" t="s">
        <v>129</v>
      </c>
      <c r="G2383" t="s">
        <v>34</v>
      </c>
      <c r="H2383" s="52" t="str">
        <f>VLOOKUP(Tabla3[[#This Row],[Site]],'Important Info!'!$A$1:$J$135,10,FALSE)</f>
        <v>https://tools.sig.systems/site/details/140</v>
      </c>
      <c r="J2383" t="s">
        <v>41</v>
      </c>
      <c r="K2383" s="79" t="str">
        <f>VLOOKUP(Tabla3[[#This Row],[Site]],'Important Info!'!$A$1:$H$135,8,FALSE)</f>
        <v>-</v>
      </c>
      <c r="L2383" s="52" t="str">
        <f>VLOOKUP(Tabla3[[#This Row],[Site]],'Important Info!'!$A$1:$F$135,2,FALSE)</f>
        <v>-</v>
      </c>
      <c r="M2383" s="52" t="str">
        <f>VLOOKUP(Tabla3[[#This Row],[Site]],'Important Info!'!$A$1:$F$135,3,FALSE)</f>
        <v>3, 4, 19</v>
      </c>
      <c r="N2383" s="52" t="str">
        <f>VLOOKUP(Tabla3[[#This Row],[Site]],'Important Info!'!$A$1:$F$135,4,FALSE)</f>
        <v>-</v>
      </c>
      <c r="O2383" s="52" t="str">
        <f>VLOOKUP(Tabla3[[#This Row],[Site]],'Important Info!'!$A$1:$F$135,5,FALSE)</f>
        <v>5, 19</v>
      </c>
      <c r="P2383" s="52">
        <f>VLOOKUP(Tabla3[[#This Row],[Site]],'Important Info!'!$A$1:$F$135,6,FALSE)</f>
        <v>21</v>
      </c>
      <c r="Q2383" s="91">
        <f>VLOOKUP(Tabla3[[#This Row],[Site]],'Important Info!'!$A$1:$J$135,9,FALSE)</f>
        <v>140</v>
      </c>
    </row>
    <row r="2384" spans="1:17" x14ac:dyDescent="0.25">
      <c r="A2384" t="str">
        <f>+Tabla3[[#This Row],[Site]]&amp;Tabla3[[#This Row],[Split]]</f>
        <v>(PE) Honda of Danbury (NO TOURS)24</v>
      </c>
      <c r="B2384">
        <v>24</v>
      </c>
      <c r="C2384">
        <v>13</v>
      </c>
      <c r="D2384" t="s">
        <v>485</v>
      </c>
      <c r="E2384" t="s">
        <v>35</v>
      </c>
      <c r="F2384" t="s">
        <v>174</v>
      </c>
      <c r="G2384" t="s">
        <v>490</v>
      </c>
      <c r="H2384" s="52" t="str">
        <f>VLOOKUP(Tabla3[[#This Row],[Site]],'Important Info!'!$A$1:$J$135,10,FALSE)</f>
        <v>https://tools.sig.systems/site/details/190</v>
      </c>
      <c r="I2384" s="43"/>
      <c r="J2384" t="s">
        <v>41</v>
      </c>
      <c r="K2384" s="79" t="str">
        <f>VLOOKUP(Tabla3[[#This Row],[Site]],'Important Info!'!$A$1:$H$135,8,FALSE)</f>
        <v>-</v>
      </c>
      <c r="L2384" s="52" t="str">
        <f>VLOOKUP(Tabla3[[#This Row],[Site]],'Important Info!'!$A$1:$F$135,2,FALSE)</f>
        <v>-</v>
      </c>
      <c r="M2384" s="52" t="str">
        <f>VLOOKUP(Tabla3[[#This Row],[Site]],'Important Info!'!$A$1:$F$135,3,FALSE)</f>
        <v>20, 9</v>
      </c>
      <c r="N2384" s="52">
        <f>VLOOKUP(Tabla3[[#This Row],[Site]],'Important Info!'!$A$1:$F$135,4,FALSE)</f>
        <v>9</v>
      </c>
      <c r="O2384" s="52" t="str">
        <f>VLOOKUP(Tabla3[[#This Row],[Site]],'Important Info!'!$A$1:$F$135,5,FALSE)</f>
        <v>-</v>
      </c>
      <c r="P2384" s="52" t="str">
        <f>VLOOKUP(Tabla3[[#This Row],[Site]],'Important Info!'!$A$1:$F$135,6,FALSE)</f>
        <v>9, 16, 17</v>
      </c>
      <c r="Q2384" s="91">
        <f>VLOOKUP(Tabla3[[#This Row],[Site]],'Important Info!'!$A$1:$J$135,9,FALSE)</f>
        <v>190</v>
      </c>
    </row>
    <row r="2385" spans="1:17" x14ac:dyDescent="0.25">
      <c r="A2385" t="str">
        <f>+Tabla3[[#This Row],[Site]]&amp;Tabla3[[#This Row],[Split]]</f>
        <v>(AS) Coggin Mercedes Benz Ft Pierce (NO TOURS)24</v>
      </c>
      <c r="B2385">
        <v>24</v>
      </c>
      <c r="C2385">
        <v>14</v>
      </c>
      <c r="D2385" t="s">
        <v>62</v>
      </c>
      <c r="E2385" t="s">
        <v>35</v>
      </c>
      <c r="F2385" t="s">
        <v>502</v>
      </c>
      <c r="G2385" t="s">
        <v>490</v>
      </c>
      <c r="H2385" s="52" t="str">
        <f>VLOOKUP(Tabla3[[#This Row],[Site]],'Important Info!'!$A$1:$J$135,10,FALSE)</f>
        <v>https://tools.sig.systems/site/details/127</v>
      </c>
      <c r="I2385" t="s">
        <v>179</v>
      </c>
      <c r="J2385" t="s">
        <v>41</v>
      </c>
      <c r="K2385" s="79" t="str">
        <f>VLOOKUP(Tabla3[[#This Row],[Site]],'Important Info!'!$A$1:$H$135,8,FALSE)</f>
        <v>-</v>
      </c>
      <c r="L2385" s="52">
        <f>VLOOKUP(Tabla3[[#This Row],[Site]],'Important Info!'!$A$1:$F$135,2,FALSE)</f>
        <v>18</v>
      </c>
      <c r="M2385" s="52" t="str">
        <f>VLOOKUP(Tabla3[[#This Row],[Site]],'Important Info!'!$A$1:$F$135,3,FALSE)</f>
        <v>1, 3</v>
      </c>
      <c r="N2385" s="52" t="str">
        <f>VLOOKUP(Tabla3[[#This Row],[Site]],'Important Info!'!$A$1:$F$135,4,FALSE)</f>
        <v>-</v>
      </c>
      <c r="O2385" s="52" t="str">
        <f>VLOOKUP(Tabla3[[#This Row],[Site]],'Important Info!'!$A$1:$F$135,5,FALSE)</f>
        <v>6, 10, 13</v>
      </c>
      <c r="P2385" s="52" t="str">
        <f>VLOOKUP(Tabla3[[#This Row],[Site]],'Important Info!'!$A$1:$F$135,6,FALSE)</f>
        <v>1, 4, 5</v>
      </c>
      <c r="Q2385" s="91">
        <f>VLOOKUP(Tabla3[[#This Row],[Site]],'Important Info!'!$A$1:$J$135,9,FALSE)</f>
        <v>127</v>
      </c>
    </row>
    <row r="2386" spans="1:17" x14ac:dyDescent="0.25">
      <c r="A2386" t="str">
        <f>+Tabla3[[#This Row],[Site]]&amp;Tabla3[[#This Row],[Split]]</f>
        <v>(DT) El Cajon (NO TOURS)24</v>
      </c>
      <c r="B2386">
        <v>24</v>
      </c>
      <c r="C2386">
        <v>14</v>
      </c>
      <c r="D2386" t="s">
        <v>51</v>
      </c>
      <c r="E2386" t="s">
        <v>159</v>
      </c>
      <c r="F2386" t="s">
        <v>160</v>
      </c>
      <c r="G2386" t="s">
        <v>52</v>
      </c>
      <c r="H2386" s="52" t="str">
        <f>VLOOKUP(Tabla3[[#This Row],[Site]],'Important Info!'!$A$1:$J$135,10,FALSE)</f>
        <v>https://tools.sig.systems/site/details/241</v>
      </c>
      <c r="I2386" s="2"/>
      <c r="J2386" t="s">
        <v>41</v>
      </c>
      <c r="K2386" s="79" t="str">
        <f>VLOOKUP(Tabla3[[#This Row],[Site]],'Important Info!'!$A$1:$H$135,8,FALSE)</f>
        <v>-</v>
      </c>
      <c r="L2386" s="52" t="str">
        <f>VLOOKUP(Tabla3[[#This Row],[Site]],'Important Info!'!$A$1:$F$135,2,FALSE)</f>
        <v>-</v>
      </c>
      <c r="M2386" s="52">
        <f>VLOOKUP(Tabla3[[#This Row],[Site]],'Important Info!'!$A$1:$F$135,3,FALSE)</f>
        <v>3</v>
      </c>
      <c r="N2386" s="52" t="str">
        <f>VLOOKUP(Tabla3[[#This Row],[Site]],'Important Info!'!$A$1:$F$135,4,FALSE)</f>
        <v>-</v>
      </c>
      <c r="O2386" s="52" t="str">
        <f>VLOOKUP(Tabla3[[#This Row],[Site]],'Important Info!'!$A$1:$F$135,5,FALSE)</f>
        <v>-</v>
      </c>
      <c r="P2386" s="52" t="str">
        <f>VLOOKUP(Tabla3[[#This Row],[Site]],'Important Info!'!$A$1:$F$135,6,FALSE)</f>
        <v>-</v>
      </c>
      <c r="Q2386" s="91">
        <f>VLOOKUP(Tabla3[[#This Row],[Site]],'Important Info!'!$A$1:$J$135,9,FALSE)</f>
        <v>241</v>
      </c>
    </row>
    <row r="2387" spans="1:17" x14ac:dyDescent="0.25">
      <c r="A2387" t="str">
        <f>+Tabla3[[#This Row],[Site]]&amp;Tabla3[[#This Row],[Split]]</f>
        <v>(HUD) Nissan Greensboro24</v>
      </c>
      <c r="B2387">
        <v>24</v>
      </c>
      <c r="C2387">
        <v>14</v>
      </c>
      <c r="D2387" t="s">
        <v>62</v>
      </c>
      <c r="E2387" t="s">
        <v>35</v>
      </c>
      <c r="F2387" t="s">
        <v>66</v>
      </c>
      <c r="G2387" t="s">
        <v>490</v>
      </c>
      <c r="H2387" s="52" t="str">
        <f>VLOOKUP(Tabla3[[#This Row],[Site]],'Important Info!'!$A$1:$J$135,10,FALSE)</f>
        <v>https://tools.sig.systems/site/details/236</v>
      </c>
      <c r="I2387" s="2" t="s">
        <v>184</v>
      </c>
      <c r="J2387" t="s">
        <v>41</v>
      </c>
      <c r="K2387" s="79" t="str">
        <f>VLOOKUP(Tabla3[[#This Row],[Site]],'Important Info!'!$A$1:$H$135,8,FALSE)</f>
        <v>-</v>
      </c>
      <c r="L2387" s="52" t="str">
        <f>VLOOKUP(Tabla3[[#This Row],[Site]],'Important Info!'!$A$1:$F$135,2,FALSE)</f>
        <v>1, 5, 12</v>
      </c>
      <c r="M2387" s="52" t="str">
        <f>VLOOKUP(Tabla3[[#This Row],[Site]],'Important Info!'!$A$1:$F$135,3,FALSE)</f>
        <v>-</v>
      </c>
      <c r="N2387" s="52" t="str">
        <f>VLOOKUP(Tabla3[[#This Row],[Site]],'Important Info!'!$A$1:$F$135,4,FALSE)</f>
        <v>-</v>
      </c>
      <c r="O2387" s="52" t="str">
        <f>VLOOKUP(Tabla3[[#This Row],[Site]],'Important Info!'!$A$1:$F$135,5,FALSE)</f>
        <v>-</v>
      </c>
      <c r="P2387" s="52">
        <f>VLOOKUP(Tabla3[[#This Row],[Site]],'Important Info!'!$A$1:$F$135,6,FALSE)</f>
        <v>4</v>
      </c>
      <c r="Q2387" s="91">
        <f>VLOOKUP(Tabla3[[#This Row],[Site]],'Important Info!'!$A$1:$J$135,9,FALSE)</f>
        <v>236</v>
      </c>
    </row>
    <row r="2388" spans="1:17" x14ac:dyDescent="0.25">
      <c r="A2388" t="str">
        <f>+Tabla3[[#This Row],[Site]]&amp;Tabla3[[#This Row],[Split]]</f>
        <v>(KG) Truck Center Remote Storage Lot24</v>
      </c>
      <c r="B2388">
        <v>24</v>
      </c>
      <c r="C2388">
        <v>14</v>
      </c>
      <c r="D2388" t="s">
        <v>60</v>
      </c>
      <c r="E2388" t="s">
        <v>53</v>
      </c>
      <c r="F2388" t="s">
        <v>61</v>
      </c>
      <c r="G2388" t="s">
        <v>41</v>
      </c>
      <c r="H2388" s="52" t="str">
        <f>VLOOKUP(Tabla3[[#This Row],[Site]],'Important Info!'!$A$1:$J$135,10,FALSE)</f>
        <v>https://tools.sig.systems/site/details/144</v>
      </c>
      <c r="I2388" s="43"/>
      <c r="J2388" t="s">
        <v>41</v>
      </c>
      <c r="K2388" s="79" t="str">
        <f>VLOOKUP(Tabla3[[#This Row],[Site]],'Important Info!'!$A$1:$H$135,8,FALSE)</f>
        <v>-</v>
      </c>
      <c r="L2388" s="52" t="str">
        <f>VLOOKUP(Tabla3[[#This Row],[Site]],'Important Info!'!$A$1:$F$135,2,FALSE)</f>
        <v>4, A23, A49</v>
      </c>
      <c r="M2388" s="52" t="str">
        <f>VLOOKUP(Tabla3[[#This Row],[Site]],'Important Info!'!$A$1:$F$135,3,FALSE)</f>
        <v>5, 24</v>
      </c>
      <c r="N2388" s="52" t="str">
        <f>VLOOKUP(Tabla3[[#This Row],[Site]],'Important Info!'!$A$1:$F$135,4,FALSE)</f>
        <v>-</v>
      </c>
      <c r="O2388" s="52" t="str">
        <f>VLOOKUP(Tabla3[[#This Row],[Site]],'Important Info!'!$A$1:$F$135,5,FALSE)</f>
        <v>1, 7, 11, 15, 19, 24, 25</v>
      </c>
      <c r="P2388" s="52" t="str">
        <f>VLOOKUP(Tabla3[[#This Row],[Site]],'Important Info!'!$A$1:$F$135,6,FALSE)</f>
        <v>9, 20, 24, A49</v>
      </c>
      <c r="Q2388" s="91">
        <f>VLOOKUP(Tabla3[[#This Row],[Site]],'Important Info!'!$A$1:$J$135,9,FALSE)</f>
        <v>144</v>
      </c>
    </row>
    <row r="2389" spans="1:17" x14ac:dyDescent="0.25">
      <c r="A2389" t="str">
        <f>+Tabla3[[#This Row],[Site]]&amp;Tabla3[[#This Row],[Split]]</f>
        <v>(WAG) Greeley Chrysler Dodge Jeep Ram (NO TOURS)24</v>
      </c>
      <c r="B2389">
        <v>24</v>
      </c>
      <c r="C2389">
        <v>14</v>
      </c>
      <c r="D2389" t="s">
        <v>44</v>
      </c>
      <c r="E2389" t="s">
        <v>53</v>
      </c>
      <c r="F2389" t="s">
        <v>497</v>
      </c>
      <c r="G2389" t="s">
        <v>45</v>
      </c>
      <c r="H2389" s="52" t="str">
        <f>VLOOKUP(Tabla3[[#This Row],[Site]],'Important Info!'!$A$1:$J$135,10,FALSE)</f>
        <v>https://tools.sig.systems/site/details/130</v>
      </c>
      <c r="I2389" s="43" t="s">
        <v>153</v>
      </c>
      <c r="J2389" t="s">
        <v>41</v>
      </c>
      <c r="K2389" s="79" t="str">
        <f>VLOOKUP(Tabla3[[#This Row],[Site]],'Important Info!'!$A$1:$H$135,8,FALSE)</f>
        <v>-</v>
      </c>
      <c r="L2389" s="52" t="str">
        <f>VLOOKUP(Tabla3[[#This Row],[Site]],'Important Info!'!$A$1:$F$135,2,FALSE)</f>
        <v>17, 23 &amp; 18</v>
      </c>
      <c r="M2389" s="52" t="str">
        <f>VLOOKUP(Tabla3[[#This Row],[Site]],'Important Info!'!$A$1:$F$135,3,FALSE)</f>
        <v>4, 5, 6, 7, 8, 51, 55</v>
      </c>
      <c r="N2389" s="52" t="str">
        <f>VLOOKUP(Tabla3[[#This Row],[Site]],'Important Info!'!$A$1:$F$135,4,FALSE)</f>
        <v>-</v>
      </c>
      <c r="O2389" s="52" t="str">
        <f>VLOOKUP(Tabla3[[#This Row],[Site]],'Important Info!'!$A$1:$F$135,5,FALSE)</f>
        <v>3, 13, 17, 49, 53, 59</v>
      </c>
      <c r="P2389" s="52" t="str">
        <f>VLOOKUP(Tabla3[[#This Row],[Site]],'Important Info!'!$A$1:$F$135,6,FALSE)</f>
        <v>8, 9, 10, 51, 62</v>
      </c>
      <c r="Q2389" s="91">
        <f>VLOOKUP(Tabla3[[#This Row],[Site]],'Important Info!'!$A$1:$J$135,9,FALSE)</f>
        <v>130</v>
      </c>
    </row>
    <row r="2390" spans="1:17" x14ac:dyDescent="0.25">
      <c r="A2390" t="str">
        <f>+Tabla3[[#This Row],[Site]]&amp;Tabla3[[#This Row],[Split]]</f>
        <v>(AS) Coggin Honda Ft. Pierce (NO TOURS)24</v>
      </c>
      <c r="B2390">
        <v>24</v>
      </c>
      <c r="C2390">
        <v>15</v>
      </c>
      <c r="D2390" t="s">
        <v>62</v>
      </c>
      <c r="E2390" t="s">
        <v>35</v>
      </c>
      <c r="F2390" t="s">
        <v>501</v>
      </c>
      <c r="G2390" t="s">
        <v>490</v>
      </c>
      <c r="H2390" s="52" t="str">
        <f>VLOOKUP(Tabla3[[#This Row],[Site]],'Important Info!'!$A$1:$J$135,10,FALSE)</f>
        <v>https://tools.sig.systems/site/details/120</v>
      </c>
      <c r="I2390" t="s">
        <v>179</v>
      </c>
      <c r="J2390" t="s">
        <v>484</v>
      </c>
      <c r="K2390" s="79" t="str">
        <f>VLOOKUP(Tabla3[[#This Row],[Site]],'Important Info!'!$A$1:$H$135,8,FALSE)</f>
        <v>-</v>
      </c>
      <c r="L2390" s="52" t="str">
        <f>VLOOKUP(Tabla3[[#This Row],[Site]],'Important Info!'!$A$1:$F$135,2,FALSE)</f>
        <v>1, 2, 3, 4, 14</v>
      </c>
      <c r="M2390" s="52" t="str">
        <f>VLOOKUP(Tabla3[[#This Row],[Site]],'Important Info!'!$A$1:$F$135,3,FALSE)</f>
        <v>-</v>
      </c>
      <c r="N2390" s="52" t="str">
        <f>VLOOKUP(Tabla3[[#This Row],[Site]],'Important Info!'!$A$1:$F$135,4,FALSE)</f>
        <v>-</v>
      </c>
      <c r="O2390" s="52" t="str">
        <f>VLOOKUP(Tabla3[[#This Row],[Site]],'Important Info!'!$A$1:$F$135,5,FALSE)</f>
        <v>7, 11, 15</v>
      </c>
      <c r="P2390" s="52">
        <f>VLOOKUP(Tabla3[[#This Row],[Site]],'Important Info!'!$A$1:$F$135,6,FALSE)</f>
        <v>3</v>
      </c>
      <c r="Q2390" s="91">
        <f>VLOOKUP(Tabla3[[#This Row],[Site]],'Important Info!'!$A$1:$J$135,9,FALSE)</f>
        <v>120</v>
      </c>
    </row>
    <row r="2391" spans="1:17" x14ac:dyDescent="0.25">
      <c r="A2391" t="str">
        <f>+Tabla3[[#This Row],[Site]]&amp;Tabla3[[#This Row],[Split]]</f>
        <v>(AS) Lexus Plano I &amp; II (NO TOURS)24</v>
      </c>
      <c r="B2391">
        <v>24</v>
      </c>
      <c r="C2391">
        <v>15</v>
      </c>
      <c r="D2391" t="s">
        <v>33</v>
      </c>
      <c r="E2391" t="s">
        <v>46</v>
      </c>
      <c r="F2391" t="s">
        <v>524</v>
      </c>
      <c r="G2391" t="s">
        <v>34</v>
      </c>
      <c r="H2391" s="52" t="str">
        <f>VLOOKUP(Tabla3[[#This Row],[Site]],'Important Info!'!$A$1:$J$135,10,FALSE)</f>
        <v>https://tools.sig.systems/site/details/167</v>
      </c>
      <c r="I2391" s="63" t="s">
        <v>127</v>
      </c>
      <c r="J2391" t="s">
        <v>41</v>
      </c>
      <c r="K2391" s="79" t="str">
        <f>VLOOKUP(Tabla3[[#This Row],[Site]],'Important Info!'!$A$1:$H$135,8,FALSE)</f>
        <v>-</v>
      </c>
      <c r="L2391" s="52" t="str">
        <f>VLOOKUP(Tabla3[[#This Row],[Site]],'Important Info!'!$A$1:$F$135,2,FALSE)</f>
        <v>5, 9</v>
      </c>
      <c r="M2391" s="52" t="str">
        <f>VLOOKUP(Tabla3[[#This Row],[Site]],'Important Info!'!$A$1:$F$135,3,FALSE)</f>
        <v>-</v>
      </c>
      <c r="N2391" s="52" t="str">
        <f>VLOOKUP(Tabla3[[#This Row],[Site]],'Important Info!'!$A$1:$F$135,4,FALSE)</f>
        <v>101, 102, 103, 104</v>
      </c>
      <c r="O2391" s="52" t="str">
        <f>VLOOKUP(Tabla3[[#This Row],[Site]],'Important Info!'!$A$1:$F$135,5,FALSE)</f>
        <v>4, 10, 28</v>
      </c>
      <c r="P2391" s="52" t="str">
        <f>VLOOKUP(Tabla3[[#This Row],[Site]],'Important Info!'!$A$1:$F$135,6,FALSE)</f>
        <v>5, 9, 16</v>
      </c>
      <c r="Q2391" s="91">
        <f>VLOOKUP(Tabla3[[#This Row],[Site]],'Important Info!'!$A$1:$J$135,9,FALSE)</f>
        <v>167</v>
      </c>
    </row>
    <row r="2392" spans="1:17" x14ac:dyDescent="0.25">
      <c r="A2392" t="str">
        <f>+Tabla3[[#This Row],[Site]]&amp;Tabla3[[#This Row],[Split]]</f>
        <v>(AS) Stevinson JLR (NO TOURS)24</v>
      </c>
      <c r="B2392">
        <v>24</v>
      </c>
      <c r="C2392">
        <v>15</v>
      </c>
      <c r="D2392" t="s">
        <v>44</v>
      </c>
      <c r="E2392" t="s">
        <v>53</v>
      </c>
      <c r="F2392" t="s">
        <v>93</v>
      </c>
      <c r="G2392" t="s">
        <v>45</v>
      </c>
      <c r="H2392" s="52" t="str">
        <f>VLOOKUP(Tabla3[[#This Row],[Site]],'Important Info!'!$A$1:$J$135,10,FALSE)</f>
        <v>https://tools.sig.systems/site/details/204</v>
      </c>
      <c r="I2392" s="2"/>
      <c r="J2392" t="s">
        <v>41</v>
      </c>
      <c r="K2392" s="79" t="str">
        <f>VLOOKUP(Tabla3[[#This Row],[Site]],'Important Info!'!$A$1:$H$135,8,FALSE)</f>
        <v>-</v>
      </c>
      <c r="L2392" s="52">
        <f>VLOOKUP(Tabla3[[#This Row],[Site]],'Important Info!'!$A$1:$F$135,2,FALSE)</f>
        <v>5</v>
      </c>
      <c r="M2392" s="52">
        <f>VLOOKUP(Tabla3[[#This Row],[Site]],'Important Info!'!$A$1:$F$135,3,FALSE)</f>
        <v>4</v>
      </c>
      <c r="N2392" s="52" t="str">
        <f>VLOOKUP(Tabla3[[#This Row],[Site]],'Important Info!'!$A$1:$F$135,4,FALSE)</f>
        <v>-</v>
      </c>
      <c r="O2392" s="52">
        <f>VLOOKUP(Tabla3[[#This Row],[Site]],'Important Info!'!$A$1:$F$135,5,FALSE)</f>
        <v>3</v>
      </c>
      <c r="P2392" s="52" t="str">
        <f>VLOOKUP(Tabla3[[#This Row],[Site]],'Important Info!'!$A$1:$F$135,6,FALSE)</f>
        <v>1, 4, 15, 16</v>
      </c>
      <c r="Q2392" s="91">
        <f>VLOOKUP(Tabla3[[#This Row],[Site]],'Important Info!'!$A$1:$J$135,9,FALSE)</f>
        <v>204</v>
      </c>
    </row>
    <row r="2393" spans="1:17" x14ac:dyDescent="0.25">
      <c r="A2393" t="str">
        <f>+Tabla3[[#This Row],[Site]]&amp;Tabla3[[#This Row],[Split]]</f>
        <v>(HUD) CDJR of Greensboro24</v>
      </c>
      <c r="B2393">
        <v>24</v>
      </c>
      <c r="C2393">
        <v>15</v>
      </c>
      <c r="D2393" t="s">
        <v>62</v>
      </c>
      <c r="E2393" t="s">
        <v>35</v>
      </c>
      <c r="F2393" t="s">
        <v>185</v>
      </c>
      <c r="G2393" t="s">
        <v>491</v>
      </c>
      <c r="H2393" s="52" t="str">
        <f>VLOOKUP(Tabla3[[#This Row],[Site]],'Important Info!'!$A$1:$J$135,10,FALSE)</f>
        <v>https://tools.sig.systems/site/details/215</v>
      </c>
      <c r="I2393" s="2" t="s">
        <v>184</v>
      </c>
      <c r="J2393" t="s">
        <v>36</v>
      </c>
      <c r="K2393" s="79" t="str">
        <f>VLOOKUP(Tabla3[[#This Row],[Site]],'Important Info!'!$A$1:$H$135,8,FALSE)</f>
        <v>-</v>
      </c>
      <c r="L2393" s="52" t="str">
        <f>VLOOKUP(Tabla3[[#This Row],[Site]],'Important Info!'!$A$1:$F$135,2,FALSE)</f>
        <v>2, 12</v>
      </c>
      <c r="M2393" s="52" t="str">
        <f>VLOOKUP(Tabla3[[#This Row],[Site]],'Important Info!'!$A$1:$F$135,3,FALSE)</f>
        <v>-</v>
      </c>
      <c r="N2393" s="52" t="str">
        <f>VLOOKUP(Tabla3[[#This Row],[Site]],'Important Info!'!$A$1:$F$135,4,FALSE)</f>
        <v>-</v>
      </c>
      <c r="O2393" s="52" t="str">
        <f>VLOOKUP(Tabla3[[#This Row],[Site]],'Important Info!'!$A$1:$F$135,5,FALSE)</f>
        <v>3, 13</v>
      </c>
      <c r="P2393" s="52" t="str">
        <f>VLOOKUP(Tabla3[[#This Row],[Site]],'Important Info!'!$A$1:$F$135,6,FALSE)</f>
        <v>1, 17</v>
      </c>
      <c r="Q2393" s="91">
        <f>VLOOKUP(Tabla3[[#This Row],[Site]],'Important Info!'!$A$1:$J$135,9,FALSE)</f>
        <v>215</v>
      </c>
    </row>
    <row r="2394" spans="1:17" x14ac:dyDescent="0.25">
      <c r="A2394" t="str">
        <f>+Tabla3[[#This Row],[Site]]&amp;Tabla3[[#This Row],[Split]]</f>
        <v>(AS) Coggin Acura Ft Pierce (NO TOURS)24</v>
      </c>
      <c r="B2394">
        <v>24</v>
      </c>
      <c r="C2394">
        <v>16</v>
      </c>
      <c r="D2394" t="s">
        <v>62</v>
      </c>
      <c r="E2394" t="s">
        <v>35</v>
      </c>
      <c r="F2394" t="s">
        <v>500</v>
      </c>
      <c r="G2394" t="s">
        <v>490</v>
      </c>
      <c r="H2394" s="52" t="str">
        <f>VLOOKUP(Tabla3[[#This Row],[Site]],'Important Info!'!$A$1:$J$135,10,FALSE)</f>
        <v>https://tools.sig.systems/site/details/118</v>
      </c>
      <c r="I2394" s="2" t="s">
        <v>179</v>
      </c>
      <c r="J2394" t="s">
        <v>41</v>
      </c>
      <c r="K2394" s="79" t="str">
        <f>VLOOKUP(Tabla3[[#This Row],[Site]],'Important Info!'!$A$1:$H$135,8,FALSE)</f>
        <v>-</v>
      </c>
      <c r="L2394" s="52" t="str">
        <f>VLOOKUP(Tabla3[[#This Row],[Site]],'Important Info!'!$A$1:$F$135,2,FALSE)</f>
        <v>-</v>
      </c>
      <c r="M2394" s="52">
        <f>VLOOKUP(Tabla3[[#This Row],[Site]],'Important Info!'!$A$1:$F$135,3,FALSE)</f>
        <v>6</v>
      </c>
      <c r="N2394" s="52" t="str">
        <f>VLOOKUP(Tabla3[[#This Row],[Site]],'Important Info!'!$A$1:$F$135,4,FALSE)</f>
        <v>-</v>
      </c>
      <c r="O2394" s="52" t="str">
        <f>VLOOKUP(Tabla3[[#This Row],[Site]],'Important Info!'!$A$1:$F$135,5,FALSE)</f>
        <v>4, 6</v>
      </c>
      <c r="P2394" s="52">
        <f>VLOOKUP(Tabla3[[#This Row],[Site]],'Important Info!'!$A$1:$F$135,6,FALSE)</f>
        <v>1</v>
      </c>
      <c r="Q2394" s="91">
        <f>VLOOKUP(Tabla3[[#This Row],[Site]],'Important Info!'!$A$1:$J$135,9,FALSE)</f>
        <v>118</v>
      </c>
    </row>
    <row r="2395" spans="1:17" x14ac:dyDescent="0.25">
      <c r="A2395" t="str">
        <f>+Tabla3[[#This Row],[Site]]&amp;Tabla3[[#This Row],[Split]]</f>
        <v>(AS) Park Place Acura (NO TOURS)24</v>
      </c>
      <c r="B2395">
        <v>24</v>
      </c>
      <c r="C2395">
        <v>16</v>
      </c>
      <c r="D2395" t="s">
        <v>33</v>
      </c>
      <c r="E2395" t="s">
        <v>46</v>
      </c>
      <c r="F2395" t="s">
        <v>513</v>
      </c>
      <c r="G2395" t="s">
        <v>34</v>
      </c>
      <c r="H2395" s="52" t="str">
        <f>VLOOKUP(Tabla3[[#This Row],[Site]],'Important Info!'!$A$1:$J$135,10,FALSE)</f>
        <v>https://tools.sig.systems/site/details/259</v>
      </c>
      <c r="I2395" s="63" t="s">
        <v>127</v>
      </c>
      <c r="J2395" t="s">
        <v>41</v>
      </c>
      <c r="K2395" s="79" t="str">
        <f>VLOOKUP(Tabla3[[#This Row],[Site]],'Important Info!'!$A$1:$H$135,8,FALSE)</f>
        <v>-</v>
      </c>
      <c r="L2395" s="52" t="str">
        <f>VLOOKUP(Tabla3[[#This Row],[Site]],'Important Info!'!$A$1:$F$135,2,FALSE)</f>
        <v>1, 2, 14, 16</v>
      </c>
      <c r="M2395" s="52" t="str">
        <f>VLOOKUP(Tabla3[[#This Row],[Site]],'Important Info!'!$A$1:$F$135,3,FALSE)</f>
        <v>-</v>
      </c>
      <c r="N2395" s="52" t="str">
        <f>VLOOKUP(Tabla3[[#This Row],[Site]],'Important Info!'!$A$1:$F$135,4,FALSE)</f>
        <v>-</v>
      </c>
      <c r="O2395" s="52" t="str">
        <f>VLOOKUP(Tabla3[[#This Row],[Site]],'Important Info!'!$A$1:$F$135,5,FALSE)</f>
        <v>1, 7, 13</v>
      </c>
      <c r="P2395" s="52" t="str">
        <f>VLOOKUP(Tabla3[[#This Row],[Site]],'Important Info!'!$A$1:$F$135,6,FALSE)</f>
        <v>-</v>
      </c>
      <c r="Q2395" s="91">
        <f>VLOOKUP(Tabla3[[#This Row],[Site]],'Important Info!'!$A$1:$J$135,9,FALSE)</f>
        <v>259</v>
      </c>
    </row>
    <row r="2396" spans="1:17" x14ac:dyDescent="0.25">
      <c r="A2396" t="str">
        <f>+Tabla3[[#This Row],[Site]]&amp;Tabla3[[#This Row],[Split]]</f>
        <v>(DT) W Houston24</v>
      </c>
      <c r="B2396">
        <v>24</v>
      </c>
      <c r="C2396">
        <v>16</v>
      </c>
      <c r="D2396" t="s">
        <v>33</v>
      </c>
      <c r="E2396" t="s">
        <v>46</v>
      </c>
      <c r="F2396" t="s">
        <v>69</v>
      </c>
      <c r="G2396" t="s">
        <v>34</v>
      </c>
      <c r="H2396" s="52" t="str">
        <f>VLOOKUP(Tabla3[[#This Row],[Site]],'Important Info!'!$A$1:$J$135,10,FALSE)</f>
        <v>https://tools.sig.systems/site/details/197</v>
      </c>
      <c r="I2396" s="2"/>
      <c r="J2396" t="s">
        <v>41</v>
      </c>
      <c r="K2396" s="79" t="str">
        <f>VLOOKUP(Tabla3[[#This Row],[Site]],'Important Info!'!$A$1:$H$135,8,FALSE)</f>
        <v>-</v>
      </c>
      <c r="L2396" s="52">
        <f>VLOOKUP(Tabla3[[#This Row],[Site]],'Important Info!'!$A$1:$F$135,2,FALSE)</f>
        <v>7</v>
      </c>
      <c r="M2396" s="52">
        <f>VLOOKUP(Tabla3[[#This Row],[Site]],'Important Info!'!$A$1:$F$135,3,FALSE)</f>
        <v>2</v>
      </c>
      <c r="N2396" s="52" t="str">
        <f>VLOOKUP(Tabla3[[#This Row],[Site]],'Important Info!'!$A$1:$F$135,4,FALSE)</f>
        <v>-</v>
      </c>
      <c r="O2396" s="52">
        <f>VLOOKUP(Tabla3[[#This Row],[Site]],'Important Info!'!$A$1:$F$135,5,FALSE)</f>
        <v>14</v>
      </c>
      <c r="P2396" s="52" t="str">
        <f>VLOOKUP(Tabla3[[#This Row],[Site]],'Important Info!'!$A$1:$F$135,6,FALSE)</f>
        <v>2, 3, 7, 10</v>
      </c>
      <c r="Q2396" s="91">
        <f>VLOOKUP(Tabla3[[#This Row],[Site]],'Important Info!'!$A$1:$J$135,9,FALSE)</f>
        <v>197</v>
      </c>
    </row>
    <row r="2397" spans="1:17" x14ac:dyDescent="0.25">
      <c r="A2397" t="str">
        <f>+Tabla3[[#This Row],[Site]]&amp;Tabla3[[#This Row],[Split]]</f>
        <v>(HUD) Honda Greensboro24</v>
      </c>
      <c r="B2397">
        <v>24</v>
      </c>
      <c r="C2397">
        <v>16</v>
      </c>
      <c r="D2397" t="s">
        <v>62</v>
      </c>
      <c r="E2397" t="s">
        <v>35</v>
      </c>
      <c r="F2397" t="s">
        <v>85</v>
      </c>
      <c r="G2397" t="s">
        <v>490</v>
      </c>
      <c r="H2397" s="52" t="str">
        <f>VLOOKUP(Tabla3[[#This Row],[Site]],'Important Info!'!$A$1:$J$135,10,FALSE)</f>
        <v>https://tools.sig.systems/site/details/230</v>
      </c>
      <c r="I2397" t="s">
        <v>186</v>
      </c>
      <c r="J2397" t="s">
        <v>41</v>
      </c>
      <c r="K2397" s="79" t="str">
        <f>VLOOKUP(Tabla3[[#This Row],[Site]],'Important Info!'!$A$1:$H$135,8,FALSE)</f>
        <v>-</v>
      </c>
      <c r="L2397" s="52" t="str">
        <f>VLOOKUP(Tabla3[[#This Row],[Site]],'Important Info!'!$A$1:$F$135,2,FALSE)</f>
        <v>1, 3,  15, 16, 22</v>
      </c>
      <c r="M2397" s="52" t="str">
        <f>VLOOKUP(Tabla3[[#This Row],[Site]],'Important Info!'!$A$1:$F$135,3,FALSE)</f>
        <v>-</v>
      </c>
      <c r="N2397" s="52" t="str">
        <f>VLOOKUP(Tabla3[[#This Row],[Site]],'Important Info!'!$A$1:$F$135,4,FALSE)</f>
        <v>-</v>
      </c>
      <c r="O2397" s="52" t="str">
        <f>VLOOKUP(Tabla3[[#This Row],[Site]],'Important Info!'!$A$1:$F$135,5,FALSE)</f>
        <v>3, 20</v>
      </c>
      <c r="P2397" s="52">
        <f>VLOOKUP(Tabla3[[#This Row],[Site]],'Important Info!'!$A$1:$F$135,6,FALSE)</f>
        <v>26</v>
      </c>
      <c r="Q2397" s="91">
        <f>VLOOKUP(Tabla3[[#This Row],[Site]],'Important Info!'!$A$1:$J$135,9,FALSE)</f>
        <v>230</v>
      </c>
    </row>
    <row r="2398" spans="1:17" x14ac:dyDescent="0.25">
      <c r="A2398" t="str">
        <f>+Tabla3[[#This Row],[Site]]&amp;Tabla3[[#This Row],[Split]]</f>
        <v>(ML) McLarty Gray-Daniels Toyota Nissan24</v>
      </c>
      <c r="B2398">
        <v>24</v>
      </c>
      <c r="C2398">
        <v>16</v>
      </c>
      <c r="D2398" t="s">
        <v>33</v>
      </c>
      <c r="E2398" t="s">
        <v>46</v>
      </c>
      <c r="F2398" t="s">
        <v>90</v>
      </c>
      <c r="G2398" t="s">
        <v>34</v>
      </c>
      <c r="H2398" s="52" t="str">
        <f>VLOOKUP(Tabla3[[#This Row],[Site]],'Important Info!'!$A$1:$J$135,10,FALSE)</f>
        <v>https://tools.sig.systems/site/details/152</v>
      </c>
      <c r="I2398" s="2" t="s">
        <v>150</v>
      </c>
      <c r="J2398" t="s">
        <v>41</v>
      </c>
      <c r="K2398" s="79" t="str">
        <f>VLOOKUP(Tabla3[[#This Row],[Site]],'Important Info!'!$A$1:$H$135,8,FALSE)</f>
        <v>-</v>
      </c>
      <c r="L2398" s="52" t="str">
        <f>VLOOKUP(Tabla3[[#This Row],[Site]],'Important Info!'!$A$1:$F$135,2,FALSE)</f>
        <v>-</v>
      </c>
      <c r="M2398" s="52" t="str">
        <f>VLOOKUP(Tabla3[[#This Row],[Site]],'Important Info!'!$A$1:$F$135,3,FALSE)</f>
        <v>8, 11, 39, 43</v>
      </c>
      <c r="N2398" s="52" t="str">
        <f>VLOOKUP(Tabla3[[#This Row],[Site]],'Important Info!'!$A$1:$F$135,4,FALSE)</f>
        <v>-</v>
      </c>
      <c r="O2398" s="52" t="str">
        <f>VLOOKUP(Tabla3[[#This Row],[Site]],'Important Info!'!$A$1:$F$135,5,FALSE)</f>
        <v>6, 11, 15, 18</v>
      </c>
      <c r="P2398" s="52" t="str">
        <f>VLOOKUP(Tabla3[[#This Row],[Site]],'Important Info!'!$A$1:$F$135,6,FALSE)</f>
        <v>7, 8, 9</v>
      </c>
      <c r="Q2398" s="91">
        <f>VLOOKUP(Tabla3[[#This Row],[Site]],'Important Info!'!$A$1:$J$135,9,FALSE)</f>
        <v>152</v>
      </c>
    </row>
    <row r="2399" spans="1:17" x14ac:dyDescent="0.25">
      <c r="A2399" t="str">
        <f>+Tabla3[[#This Row],[Site]]&amp;Tabla3[[#This Row],[Split]]</f>
        <v>(AS) Audi of North Atlanta (NO TOURS)24</v>
      </c>
      <c r="B2399">
        <v>24</v>
      </c>
      <c r="C2399">
        <v>17</v>
      </c>
      <c r="D2399" t="s">
        <v>62</v>
      </c>
      <c r="E2399" t="s">
        <v>35</v>
      </c>
      <c r="F2399" t="s">
        <v>499</v>
      </c>
      <c r="G2399" t="s">
        <v>490</v>
      </c>
      <c r="H2399" s="52" t="str">
        <f>VLOOKUP(Tabla3[[#This Row],[Site]],'Important Info!'!$A$1:$J$135,10,FALSE)</f>
        <v>https://tools.sig.systems/site/details/124</v>
      </c>
      <c r="I2399" s="2" t="s">
        <v>166</v>
      </c>
      <c r="J2399" t="s">
        <v>41</v>
      </c>
      <c r="K2399" s="79" t="str">
        <f>VLOOKUP(Tabla3[[#This Row],[Site]],'Important Info!'!$A$1:$H$135,8,FALSE)</f>
        <v>-</v>
      </c>
      <c r="L2399" s="52" t="str">
        <f>VLOOKUP(Tabla3[[#This Row],[Site]],'Important Info!'!$A$1:$F$135,2,FALSE)</f>
        <v>1, 5, 16, 54</v>
      </c>
      <c r="M2399" s="52" t="str">
        <f>VLOOKUP(Tabla3[[#This Row],[Site]],'Important Info!'!$A$1:$F$135,3,FALSE)</f>
        <v>-</v>
      </c>
      <c r="N2399" s="52" t="str">
        <f>VLOOKUP(Tabla3[[#This Row],[Site]],'Important Info!'!$A$1:$F$135,4,FALSE)</f>
        <v>-</v>
      </c>
      <c r="O2399" s="52" t="str">
        <f>VLOOKUP(Tabla3[[#This Row],[Site]],'Important Info!'!$A$1:$F$135,5,FALSE)</f>
        <v>3, 16</v>
      </c>
      <c r="P2399" s="52" t="str">
        <f>VLOOKUP(Tabla3[[#This Row],[Site]],'Important Info!'!$A$1:$F$135,6,FALSE)</f>
        <v>2, 5, 6</v>
      </c>
      <c r="Q2399" s="91">
        <f>VLOOKUP(Tabla3[[#This Row],[Site]],'Important Info!'!$A$1:$J$135,9,FALSE)</f>
        <v>124</v>
      </c>
    </row>
    <row r="2400" spans="1:17" x14ac:dyDescent="0.25">
      <c r="A2400" t="str">
        <f>+Tabla3[[#This Row],[Site]]&amp;Tabla3[[#This Row],[Split]]</f>
        <v>(AS) Stevinson Porsche of Littleton (NO TOURS)24</v>
      </c>
      <c r="B2400">
        <v>24</v>
      </c>
      <c r="C2400">
        <v>17</v>
      </c>
      <c r="D2400" t="s">
        <v>44</v>
      </c>
      <c r="E2400" t="s">
        <v>53</v>
      </c>
      <c r="F2400" t="s">
        <v>78</v>
      </c>
      <c r="G2400" t="s">
        <v>45</v>
      </c>
      <c r="H2400" s="52" t="str">
        <f>VLOOKUP(Tabla3[[#This Row],[Site]],'Important Info!'!$A$1:$J$135,10,FALSE)</f>
        <v>https://tools.sig.systems/site/details/242</v>
      </c>
      <c r="J2400" t="s">
        <v>41</v>
      </c>
      <c r="K2400" s="79" t="str">
        <f>VLOOKUP(Tabla3[[#This Row],[Site]],'Important Info!'!$A$1:$H$135,8,FALSE)</f>
        <v>-</v>
      </c>
      <c r="L2400" s="52" t="str">
        <f>VLOOKUP(Tabla3[[#This Row],[Site]],'Important Info!'!$A$1:$F$135,2,FALSE)</f>
        <v>3, 4</v>
      </c>
      <c r="M2400" s="52">
        <f>VLOOKUP(Tabla3[[#This Row],[Site]],'Important Info!'!$A$1:$F$135,3,FALSE)</f>
        <v>2</v>
      </c>
      <c r="N2400" s="52" t="str">
        <f>VLOOKUP(Tabla3[[#This Row],[Site]],'Important Info!'!$A$1:$F$135,4,FALSE)</f>
        <v>-</v>
      </c>
      <c r="O2400" s="52" t="str">
        <f>VLOOKUP(Tabla3[[#This Row],[Site]],'Important Info!'!$A$1:$F$135,5,FALSE)</f>
        <v>-</v>
      </c>
      <c r="P2400" s="52" t="str">
        <f>VLOOKUP(Tabla3[[#This Row],[Site]],'Important Info!'!$A$1:$F$135,6,FALSE)</f>
        <v>3, 4</v>
      </c>
      <c r="Q2400" s="91">
        <f>VLOOKUP(Tabla3[[#This Row],[Site]],'Important Info!'!$A$1:$J$135,9,FALSE)</f>
        <v>242</v>
      </c>
    </row>
    <row r="2401" spans="1:17" x14ac:dyDescent="0.25">
      <c r="A2401" t="str">
        <f>+Tabla3[[#This Row],[Site]]&amp;Tabla3[[#This Row],[Split]]</f>
        <v>(HUD) Paint and Body Center (NO TOURS)24</v>
      </c>
      <c r="B2401">
        <v>24</v>
      </c>
      <c r="C2401">
        <v>17</v>
      </c>
      <c r="D2401" t="s">
        <v>62</v>
      </c>
      <c r="E2401" t="s">
        <v>35</v>
      </c>
      <c r="F2401" t="s">
        <v>110</v>
      </c>
      <c r="G2401" t="s">
        <v>490</v>
      </c>
      <c r="H2401" s="52" t="str">
        <f>VLOOKUP(Tabla3[[#This Row],[Site]],'Important Info!'!$A$1:$J$135,10,FALSE)</f>
        <v>https://tools.sig.systems/site/details/256</v>
      </c>
      <c r="I2401" t="s">
        <v>184</v>
      </c>
      <c r="J2401" t="s">
        <v>41</v>
      </c>
      <c r="K2401" s="79" t="str">
        <f>VLOOKUP(Tabla3[[#This Row],[Site]],'Important Info!'!$A$1:$H$135,8,FALSE)</f>
        <v>-</v>
      </c>
      <c r="L2401" s="52" t="str">
        <f>VLOOKUP(Tabla3[[#This Row],[Site]],'Important Info!'!$A$1:$F$135,2,FALSE)</f>
        <v>-</v>
      </c>
      <c r="M2401" s="52">
        <f>VLOOKUP(Tabla3[[#This Row],[Site]],'Important Info!'!$A$1:$F$135,3,FALSE)</f>
        <v>1</v>
      </c>
      <c r="N2401" s="52" t="str">
        <f>VLOOKUP(Tabla3[[#This Row],[Site]],'Important Info!'!$A$1:$F$135,4,FALSE)</f>
        <v>-</v>
      </c>
      <c r="O2401" s="52" t="str">
        <f>VLOOKUP(Tabla3[[#This Row],[Site]],'Important Info!'!$A$1:$F$135,5,FALSE)</f>
        <v>-</v>
      </c>
      <c r="P2401" s="52" t="str">
        <f>VLOOKUP(Tabla3[[#This Row],[Site]],'Important Info!'!$A$1:$F$135,6,FALSE)</f>
        <v>-</v>
      </c>
      <c r="Q2401" s="91">
        <f>VLOOKUP(Tabla3[[#This Row],[Site]],'Important Info!'!$A$1:$J$135,9,FALSE)</f>
        <v>256</v>
      </c>
    </row>
    <row r="2402" spans="1:17" x14ac:dyDescent="0.25">
      <c r="A2402" t="str">
        <f>+Tabla3[[#This Row],[Site]]&amp;Tabla3[[#This Row],[Split]]</f>
        <v>(KG) Baytown GMC Buick - Remote Lot (NO TOURS)24</v>
      </c>
      <c r="B2402">
        <v>24</v>
      </c>
      <c r="C2402">
        <v>17</v>
      </c>
      <c r="D2402" t="s">
        <v>60</v>
      </c>
      <c r="E2402" t="s">
        <v>46</v>
      </c>
      <c r="F2402" t="s">
        <v>167</v>
      </c>
      <c r="G2402" t="s">
        <v>41</v>
      </c>
      <c r="H2402" s="52" t="str">
        <f>VLOOKUP(Tabla3[[#This Row],[Site]],'Important Info!'!$A$1:$J$135,10,FALSE)</f>
        <v>https://tools.sig.systems/site/details/311</v>
      </c>
      <c r="I2402" s="43"/>
      <c r="J2402" t="s">
        <v>41</v>
      </c>
      <c r="K2402" s="79" t="s">
        <v>168</v>
      </c>
      <c r="L2402" s="52" t="str">
        <f>VLOOKUP(Tabla3[[#This Row],[Site]],'Important Info!'!$A$1:$F$135,2,FALSE)</f>
        <v>-</v>
      </c>
      <c r="M2402" s="52" t="str">
        <f>VLOOKUP(Tabla3[[#This Row],[Site]],'Important Info!'!$A$1:$F$135,3,FALSE)</f>
        <v>7, 8</v>
      </c>
      <c r="N2402" s="52" t="str">
        <f>VLOOKUP(Tabla3[[#This Row],[Site]],'Important Info!'!$A$1:$F$135,4,FALSE)</f>
        <v>-</v>
      </c>
      <c r="O2402" s="52" t="str">
        <f>VLOOKUP(Tabla3[[#This Row],[Site]],'Important Info!'!$A$1:$F$135,5,FALSE)</f>
        <v>-</v>
      </c>
      <c r="P2402" s="52" t="str">
        <f>VLOOKUP(Tabla3[[#This Row],[Site]],'Important Info!'!$A$1:$F$135,6,FALSE)</f>
        <v>-</v>
      </c>
      <c r="Q2402" s="91">
        <f>VLOOKUP(Tabla3[[#This Row],[Site]],'Important Info!'!$A$1:$J$135,9,FALSE)</f>
        <v>311</v>
      </c>
    </row>
    <row r="2403" spans="1:17" x14ac:dyDescent="0.25">
      <c r="A2403" t="str">
        <f>+Tabla3[[#This Row],[Site]]&amp;Tabla3[[#This Row],[Split]]</f>
        <v>(KG) Baytown GMC Buick (NO TOURS)24</v>
      </c>
      <c r="B2403">
        <v>24</v>
      </c>
      <c r="C2403">
        <v>17</v>
      </c>
      <c r="D2403" t="s">
        <v>33</v>
      </c>
      <c r="E2403" t="s">
        <v>46</v>
      </c>
      <c r="F2403" t="s">
        <v>132</v>
      </c>
      <c r="G2403" t="s">
        <v>34</v>
      </c>
      <c r="H2403" s="52" t="str">
        <f>VLOOKUP(Tabla3[[#This Row],[Site]],'Important Info!'!$A$1:$J$135,10,FALSE)</f>
        <v>https://tools.sig.systems/site/details/239</v>
      </c>
      <c r="I2403" s="2"/>
      <c r="J2403" t="s">
        <v>41</v>
      </c>
      <c r="K2403" s="79" t="str">
        <f>VLOOKUP(Tabla3[[#This Row],[Site]],'Important Info!'!$A$1:$H$135,8,FALSE)</f>
        <v>-</v>
      </c>
      <c r="L2403" s="52" t="str">
        <f>VLOOKUP(Tabla3[[#This Row],[Site]],'Important Info!'!$A$1:$F$135,2,FALSE)</f>
        <v>1, 5, 7, 21, 22</v>
      </c>
      <c r="M2403" s="52" t="str">
        <f>VLOOKUP(Tabla3[[#This Row],[Site]],'Important Info!'!$A$1:$F$135,3,FALSE)</f>
        <v>-</v>
      </c>
      <c r="N2403" s="52" t="str">
        <f>VLOOKUP(Tabla3[[#This Row],[Site]],'Important Info!'!$A$1:$F$135,4,FALSE)</f>
        <v>-</v>
      </c>
      <c r="O2403" s="52" t="str">
        <f>VLOOKUP(Tabla3[[#This Row],[Site]],'Important Info!'!$A$1:$F$135,5,FALSE)</f>
        <v>2, 10, 15, 24B</v>
      </c>
      <c r="P2403" s="52" t="str">
        <f>VLOOKUP(Tabla3[[#This Row],[Site]],'Important Info!'!$A$1:$F$135,6,FALSE)</f>
        <v>21, 22</v>
      </c>
      <c r="Q2403" s="91">
        <f>VLOOKUP(Tabla3[[#This Row],[Site]],'Important Info!'!$A$1:$J$135,9,FALSE)</f>
        <v>239</v>
      </c>
    </row>
    <row r="2404" spans="1:17" x14ac:dyDescent="0.25">
      <c r="A2404" t="str">
        <f>+Tabla3[[#This Row],[Site]]&amp;Tabla3[[#This Row],[Split]]</f>
        <v>(ML) Nissan of North Little Rock24</v>
      </c>
      <c r="B2404">
        <v>24</v>
      </c>
      <c r="C2404">
        <v>17</v>
      </c>
      <c r="D2404" t="s">
        <v>33</v>
      </c>
      <c r="E2404" t="s">
        <v>46</v>
      </c>
      <c r="F2404" t="s">
        <v>75</v>
      </c>
      <c r="G2404" t="s">
        <v>34</v>
      </c>
      <c r="H2404" s="52" t="str">
        <f>VLOOKUP(Tabla3[[#This Row],[Site]],'Important Info!'!$A$1:$J$135,10,FALSE)</f>
        <v>https://tools.sig.systems/site/details/216</v>
      </c>
      <c r="I2404" s="2" t="s">
        <v>142</v>
      </c>
      <c r="J2404" t="s">
        <v>41</v>
      </c>
      <c r="K2404" s="79" t="str">
        <f>VLOOKUP(Tabla3[[#This Row],[Site]],'Important Info!'!$A$1:$H$135,8,FALSE)</f>
        <v>-</v>
      </c>
      <c r="L2404" s="52" t="str">
        <f>VLOOKUP(Tabla3[[#This Row],[Site]],'Important Info!'!$A$1:$F$135,2,FALSE)</f>
        <v>2, 4</v>
      </c>
      <c r="M2404" s="52" t="str">
        <f>VLOOKUP(Tabla3[[#This Row],[Site]],'Important Info!'!$A$1:$F$135,3,FALSE)</f>
        <v>-</v>
      </c>
      <c r="N2404" s="52" t="str">
        <f>VLOOKUP(Tabla3[[#This Row],[Site]],'Important Info!'!$A$1:$F$135,4,FALSE)</f>
        <v>-</v>
      </c>
      <c r="O2404" s="52" t="str">
        <f>VLOOKUP(Tabla3[[#This Row],[Site]],'Important Info!'!$A$1:$F$135,5,FALSE)</f>
        <v>5, 17, 23</v>
      </c>
      <c r="P2404" s="52">
        <f>VLOOKUP(Tabla3[[#This Row],[Site]],'Important Info!'!$A$1:$F$135,6,FALSE)</f>
        <v>18</v>
      </c>
      <c r="Q2404" s="91">
        <f>VLOOKUP(Tabla3[[#This Row],[Site]],'Important Info!'!$A$1:$J$135,9,FALSE)</f>
        <v>216</v>
      </c>
    </row>
    <row r="2405" spans="1:17" x14ac:dyDescent="0.25">
      <c r="A2405" t="str">
        <f>+Tabla3[[#This Row],[Site]]&amp;Tabla3[[#This Row],[Split]]</f>
        <v>(AS) Courtesy Kia of Brandon (NO TOURS)24</v>
      </c>
      <c r="B2405">
        <v>24</v>
      </c>
      <c r="C2405">
        <v>18</v>
      </c>
      <c r="D2405" t="s">
        <v>62</v>
      </c>
      <c r="E2405" t="s">
        <v>35</v>
      </c>
      <c r="F2405" t="s">
        <v>505</v>
      </c>
      <c r="G2405" t="s">
        <v>490</v>
      </c>
      <c r="H2405" s="52" t="str">
        <f>VLOOKUP(Tabla3[[#This Row],[Site]],'Important Info!'!$A$1:$J$135,10,FALSE)</f>
        <v>https://tools.sig.systems/site/details/121</v>
      </c>
      <c r="I2405" s="2" t="s">
        <v>181</v>
      </c>
      <c r="J2405" t="s">
        <v>484</v>
      </c>
      <c r="K2405" s="79" t="str">
        <f>VLOOKUP(Tabla3[[#This Row],[Site]],'Important Info!'!$A$1:$H$135,8,FALSE)</f>
        <v>-</v>
      </c>
      <c r="L2405" s="52" t="str">
        <f>VLOOKUP(Tabla3[[#This Row],[Site]],'Important Info!'!$A$1:$F$135,2,FALSE)</f>
        <v>-</v>
      </c>
      <c r="M2405" s="52" t="str">
        <f>VLOOKUP(Tabla3[[#This Row],[Site]],'Important Info!'!$A$1:$F$135,3,FALSE)</f>
        <v>4, 8</v>
      </c>
      <c r="N2405" s="52" t="str">
        <f>VLOOKUP(Tabla3[[#This Row],[Site]],'Important Info!'!$A$1:$F$135,4,FALSE)</f>
        <v>-</v>
      </c>
      <c r="O2405" s="52" t="str">
        <f>VLOOKUP(Tabla3[[#This Row],[Site]],'Important Info!'!$A$1:$F$135,5,FALSE)</f>
        <v>3, 11, 20, 24</v>
      </c>
      <c r="P2405" s="52" t="str">
        <f>VLOOKUP(Tabla3[[#This Row],[Site]],'Important Info!'!$A$1:$F$135,6,FALSE)</f>
        <v>2, 8</v>
      </c>
      <c r="Q2405" s="91">
        <f>VLOOKUP(Tabla3[[#This Row],[Site]],'Important Info!'!$A$1:$J$135,9,FALSE)</f>
        <v>121</v>
      </c>
    </row>
    <row r="2406" spans="1:17" x14ac:dyDescent="0.25">
      <c r="A2406" t="str">
        <f>+Tabla3[[#This Row],[Site]]&amp;Tabla3[[#This Row],[Split]]</f>
        <v>(AS) Nalley Luxury Collision Center (NO TOURS)24</v>
      </c>
      <c r="B2406">
        <v>24</v>
      </c>
      <c r="C2406">
        <v>18</v>
      </c>
      <c r="D2406" t="s">
        <v>62</v>
      </c>
      <c r="E2406" t="s">
        <v>35</v>
      </c>
      <c r="F2406" s="41" t="s">
        <v>512</v>
      </c>
      <c r="G2406" t="s">
        <v>490</v>
      </c>
      <c r="H2406" s="52" t="str">
        <f>VLOOKUP(Tabla3[[#This Row],[Site]],'Important Info!'!$A$1:$J$135,10,FALSE)</f>
        <v>https://tools.sig.systems/site/details/263</v>
      </c>
      <c r="I2406" s="42" t="s">
        <v>166</v>
      </c>
      <c r="J2406" s="41" t="s">
        <v>41</v>
      </c>
      <c r="K2406" s="79" t="str">
        <f>VLOOKUP(Tabla3[[#This Row],[Site]],'Important Info!'!$A$1:$H$135,8,FALSE)</f>
        <v>-</v>
      </c>
      <c r="L2406" s="52" t="str">
        <f>VLOOKUP(Tabla3[[#This Row],[Site]],'Important Info!'!$A$1:$F$135,2,FALSE)</f>
        <v>6, 13</v>
      </c>
      <c r="M2406" s="52" t="str">
        <f>VLOOKUP(Tabla3[[#This Row],[Site]],'Important Info!'!$A$1:$F$135,3,FALSE)</f>
        <v>-</v>
      </c>
      <c r="N2406" s="52" t="str">
        <f>VLOOKUP(Tabla3[[#This Row],[Site]],'Important Info!'!$A$1:$F$135,4,FALSE)</f>
        <v>-</v>
      </c>
      <c r="O2406" s="52" t="str">
        <f>VLOOKUP(Tabla3[[#This Row],[Site]],'Important Info!'!$A$1:$F$135,5,FALSE)</f>
        <v>-</v>
      </c>
      <c r="P2406" s="52" t="str">
        <f>VLOOKUP(Tabla3[[#This Row],[Site]],'Important Info!'!$A$1:$F$135,6,FALSE)</f>
        <v>6, 7, 12</v>
      </c>
      <c r="Q2406" s="91">
        <f>VLOOKUP(Tabla3[[#This Row],[Site]],'Important Info!'!$A$1:$J$135,9,FALSE)</f>
        <v>263</v>
      </c>
    </row>
    <row r="2407" spans="1:17" x14ac:dyDescent="0.25">
      <c r="A2407" t="str">
        <f>+Tabla3[[#This Row],[Site]]&amp;Tabla3[[#This Row],[Split]]</f>
        <v>(DT) N. Houston24</v>
      </c>
      <c r="B2407">
        <v>24</v>
      </c>
      <c r="C2407">
        <v>18</v>
      </c>
      <c r="D2407" t="s">
        <v>33</v>
      </c>
      <c r="E2407" t="s">
        <v>46</v>
      </c>
      <c r="F2407" t="s">
        <v>68</v>
      </c>
      <c r="G2407" t="s">
        <v>34</v>
      </c>
      <c r="H2407" s="52" t="str">
        <f>VLOOKUP(Tabla3[[#This Row],[Site]],'Important Info!'!$A$1:$J$135,10,FALSE)</f>
        <v>https://tools.sig.systems/site/details/250</v>
      </c>
      <c r="I2407" s="43"/>
      <c r="J2407" t="s">
        <v>41</v>
      </c>
      <c r="K2407" s="79" t="str">
        <f>VLOOKUP(Tabla3[[#This Row],[Site]],'Important Info!'!$A$1:$H$135,8,FALSE)</f>
        <v>-</v>
      </c>
      <c r="L2407" s="52" t="str">
        <f>VLOOKUP(Tabla3[[#This Row],[Site]],'Important Info!'!$A$1:$F$135,2,FALSE)</f>
        <v>2, 10, 18</v>
      </c>
      <c r="M2407" s="52" t="str">
        <f>VLOOKUP(Tabla3[[#This Row],[Site]],'Important Info!'!$A$1:$F$135,3,FALSE)</f>
        <v>-</v>
      </c>
      <c r="N2407" s="52" t="str">
        <f>VLOOKUP(Tabla3[[#This Row],[Site]],'Important Info!'!$A$1:$F$135,4,FALSE)</f>
        <v>-</v>
      </c>
      <c r="O2407" s="52">
        <f>VLOOKUP(Tabla3[[#This Row],[Site]],'Important Info!'!$A$1:$F$135,5,FALSE)</f>
        <v>15</v>
      </c>
      <c r="P2407" s="52" t="str">
        <f>VLOOKUP(Tabla3[[#This Row],[Site]],'Important Info!'!$A$1:$F$135,6,FALSE)</f>
        <v>2, 4, 18</v>
      </c>
      <c r="Q2407" s="91">
        <f>VLOOKUP(Tabla3[[#This Row],[Site]],'Important Info!'!$A$1:$J$135,9,FALSE)</f>
        <v>250</v>
      </c>
    </row>
    <row r="2408" spans="1:17" x14ac:dyDescent="0.25">
      <c r="A2408" t="str">
        <f>+Tabla3[[#This Row],[Site]]&amp;Tabla3[[#This Row],[Split]]</f>
        <v>(KG) JLR LEHI (NO TOURS)24</v>
      </c>
      <c r="B2408">
        <v>24</v>
      </c>
      <c r="C2408">
        <v>18</v>
      </c>
      <c r="D2408" t="s">
        <v>44</v>
      </c>
      <c r="E2408" t="s">
        <v>53</v>
      </c>
      <c r="F2408" t="s">
        <v>8</v>
      </c>
      <c r="G2408" t="s">
        <v>45</v>
      </c>
      <c r="H2408" s="52" t="str">
        <f>VLOOKUP(Tabla3[[#This Row],[Site]],'Important Info!'!$A$1:$J$135,10,FALSE)</f>
        <v>https://tools.sig.systems/site/details/145</v>
      </c>
      <c r="I2408" s="2"/>
      <c r="J2408" t="s">
        <v>41</v>
      </c>
      <c r="K2408" s="79" t="str">
        <f>VLOOKUP(Tabla3[[#This Row],[Site]],'Important Info!'!$A$1:$H$135,8,FALSE)</f>
        <v>-</v>
      </c>
      <c r="L2408" s="52" t="str">
        <f>VLOOKUP(Tabla3[[#This Row],[Site]],'Important Info!'!$A$1:$F$135,2,FALSE)</f>
        <v>1, 11</v>
      </c>
      <c r="M2408" s="52" t="str">
        <f>VLOOKUP(Tabla3[[#This Row],[Site]],'Important Info!'!$A$1:$F$135,3,FALSE)</f>
        <v>-</v>
      </c>
      <c r="N2408" s="52" t="str">
        <f>VLOOKUP(Tabla3[[#This Row],[Site]],'Important Info!'!$A$1:$F$135,4,FALSE)</f>
        <v>-</v>
      </c>
      <c r="O2408" s="52" t="str">
        <f>VLOOKUP(Tabla3[[#This Row],[Site]],'Important Info!'!$A$1:$F$135,5,FALSE)</f>
        <v>1, 7, 11</v>
      </c>
      <c r="P2408" s="52" t="str">
        <f>VLOOKUP(Tabla3[[#This Row],[Site]],'Important Info!'!$A$1:$F$135,6,FALSE)</f>
        <v>-</v>
      </c>
      <c r="Q2408" s="91">
        <f>VLOOKUP(Tabla3[[#This Row],[Site]],'Important Info!'!$A$1:$J$135,9,FALSE)</f>
        <v>145</v>
      </c>
    </row>
    <row r="2409" spans="1:17" x14ac:dyDescent="0.25">
      <c r="A2409" t="str">
        <f>+Tabla3[[#This Row],[Site]]&amp;Tabla3[[#This Row],[Split]]</f>
        <v>(ML) Mazda VW-Lot B24</v>
      </c>
      <c r="B2409">
        <v>24</v>
      </c>
      <c r="C2409">
        <v>18</v>
      </c>
      <c r="D2409" t="s">
        <v>33</v>
      </c>
      <c r="E2409" t="s">
        <v>46</v>
      </c>
      <c r="F2409" t="s">
        <v>9</v>
      </c>
      <c r="G2409" t="s">
        <v>34</v>
      </c>
      <c r="H2409" s="52" t="str">
        <f>VLOOKUP(Tabla3[[#This Row],[Site]],'Important Info!'!$A$1:$J$135,10,FALSE)</f>
        <v>https://tools.sig.systems/site/details/205</v>
      </c>
      <c r="I2409" s="2" t="s">
        <v>142</v>
      </c>
      <c r="J2409" t="s">
        <v>41</v>
      </c>
      <c r="K2409" s="79" t="str">
        <f>VLOOKUP(Tabla3[[#This Row],[Site]],'Important Info!'!$A$1:$H$135,8,FALSE)</f>
        <v>-</v>
      </c>
      <c r="L2409" s="52" t="str">
        <f>VLOOKUP(Tabla3[[#This Row],[Site]],'Important Info!'!$A$1:$F$135,2,FALSE)</f>
        <v>9, 14, 16</v>
      </c>
      <c r="M2409" s="52">
        <f>VLOOKUP(Tabla3[[#This Row],[Site]],'Important Info!'!$A$1:$F$135,3,FALSE)</f>
        <v>1</v>
      </c>
      <c r="N2409" s="52" t="str">
        <f>VLOOKUP(Tabla3[[#This Row],[Site]],'Important Info!'!$A$1:$F$135,4,FALSE)</f>
        <v>-</v>
      </c>
      <c r="O2409" s="52">
        <f>VLOOKUP(Tabla3[[#This Row],[Site]],'Important Info!'!$A$1:$F$135,5,FALSE)</f>
        <v>4</v>
      </c>
      <c r="P2409" s="52" t="str">
        <f>VLOOKUP(Tabla3[[#This Row],[Site]],'Important Info!'!$A$1:$F$135,6,FALSE)</f>
        <v>-</v>
      </c>
      <c r="Q2409" s="91">
        <f>VLOOKUP(Tabla3[[#This Row],[Site]],'Important Info!'!$A$1:$J$135,9,FALSE)</f>
        <v>205</v>
      </c>
    </row>
    <row r="2410" spans="1:17" x14ac:dyDescent="0.25">
      <c r="A2410" t="str">
        <f>+Tabla3[[#This Row],[Site]]&amp;Tabla3[[#This Row],[Split]]</f>
        <v>(AS) Stevinson Chevrolet Golden (NO TOURS)24</v>
      </c>
      <c r="B2410">
        <v>24</v>
      </c>
      <c r="C2410">
        <v>19</v>
      </c>
      <c r="D2410" t="s">
        <v>488</v>
      </c>
      <c r="E2410" t="s">
        <v>53</v>
      </c>
      <c r="F2410" t="s">
        <v>190</v>
      </c>
      <c r="G2410" t="s">
        <v>45</v>
      </c>
      <c r="H2410" s="52" t="str">
        <f>VLOOKUP(Tabla3[[#This Row],[Site]],'Important Info!'!$A$1:$J$135,10,FALSE)</f>
        <v>https://tools.sig.systems/site/details/264</v>
      </c>
      <c r="I2410" s="43" t="s">
        <v>154</v>
      </c>
      <c r="J2410" t="s">
        <v>41</v>
      </c>
      <c r="K2410" s="79" t="str">
        <f>VLOOKUP(Tabla3[[#This Row],[Site]],'Important Info!'!$A$1:$H$135,8,FALSE)</f>
        <v>-</v>
      </c>
      <c r="L2410" s="52" t="str">
        <f>VLOOKUP(Tabla3[[#This Row],[Site]],'Important Info!'!$A$1:$F$135,2,FALSE)</f>
        <v>-</v>
      </c>
      <c r="M2410" s="52" t="str">
        <f>VLOOKUP(Tabla3[[#This Row],[Site]],'Important Info!'!$A$1:$F$135,3,FALSE)</f>
        <v>1, 19</v>
      </c>
      <c r="N2410" s="52" t="str">
        <f>VLOOKUP(Tabla3[[#This Row],[Site]],'Important Info!'!$A$1:$F$135,4,FALSE)</f>
        <v>-</v>
      </c>
      <c r="O2410" s="52" t="str">
        <f>VLOOKUP(Tabla3[[#This Row],[Site]],'Important Info!'!$A$1:$F$135,5,FALSE)</f>
        <v>14, 30</v>
      </c>
      <c r="P2410" s="52" t="str">
        <f>VLOOKUP(Tabla3[[#This Row],[Site]],'Important Info!'!$A$1:$F$135,6,FALSE)</f>
        <v>14, 33, 34, 35, 36</v>
      </c>
      <c r="Q2410" s="91">
        <f>VLOOKUP(Tabla3[[#This Row],[Site]],'Important Info!'!$A$1:$J$135,9,FALSE)</f>
        <v>264</v>
      </c>
    </row>
    <row r="2411" spans="1:17" x14ac:dyDescent="0.25">
      <c r="A2411" t="str">
        <f>+Tabla3[[#This Row],[Site]]&amp;Tabla3[[#This Row],[Split]]</f>
        <v>(DT) Colorado Springs (NO TOURS)24</v>
      </c>
      <c r="B2411">
        <v>24</v>
      </c>
      <c r="C2411">
        <v>19</v>
      </c>
      <c r="D2411" t="s">
        <v>44</v>
      </c>
      <c r="E2411" t="s">
        <v>53</v>
      </c>
      <c r="F2411" t="s">
        <v>156</v>
      </c>
      <c r="G2411" t="s">
        <v>45</v>
      </c>
      <c r="H2411" s="52" t="str">
        <f>VLOOKUP(Tabla3[[#This Row],[Site]],'Important Info!'!$A$1:$J$135,10,FALSE)</f>
        <v>https://tools.sig.systems/site/details/198</v>
      </c>
      <c r="J2411" t="s">
        <v>41</v>
      </c>
      <c r="K2411" s="79" t="str">
        <f>VLOOKUP(Tabla3[[#This Row],[Site]],'Important Info!'!$A$1:$H$135,8,FALSE)</f>
        <v>-</v>
      </c>
      <c r="L2411" s="52" t="str">
        <f>VLOOKUP(Tabla3[[#This Row],[Site]],'Important Info!'!$A$1:$F$135,2,FALSE)</f>
        <v>-</v>
      </c>
      <c r="M2411" s="52" t="str">
        <f>VLOOKUP(Tabla3[[#This Row],[Site]],'Important Info!'!$A$1:$F$135,3,FALSE)</f>
        <v>1, 2, 3, 4</v>
      </c>
      <c r="N2411" s="52" t="str">
        <f>VLOOKUP(Tabla3[[#This Row],[Site]],'Important Info!'!$A$1:$F$135,4,FALSE)</f>
        <v>-</v>
      </c>
      <c r="O2411" s="52" t="str">
        <f>VLOOKUP(Tabla3[[#This Row],[Site]],'Important Info!'!$A$1:$F$135,5,FALSE)</f>
        <v>-</v>
      </c>
      <c r="P2411" s="52" t="str">
        <f>VLOOKUP(Tabla3[[#This Row],[Site]],'Important Info!'!$A$1:$F$135,6,FALSE)</f>
        <v>1, 2, 3, 11</v>
      </c>
      <c r="Q2411" s="91">
        <f>VLOOKUP(Tabla3[[#This Row],[Site]],'Important Info!'!$A$1:$J$135,9,FALSE)</f>
        <v>198</v>
      </c>
    </row>
    <row r="2412" spans="1:17" x14ac:dyDescent="0.25">
      <c r="A2412" t="str">
        <f>+Tabla3[[#This Row],[Site]]&amp;Tabla3[[#This Row],[Split]]</f>
        <v>(KG) Big Star Ford24</v>
      </c>
      <c r="B2412">
        <v>24</v>
      </c>
      <c r="C2412">
        <v>19</v>
      </c>
      <c r="D2412" t="s">
        <v>33</v>
      </c>
      <c r="E2412" t="s">
        <v>46</v>
      </c>
      <c r="F2412" t="s">
        <v>135</v>
      </c>
      <c r="G2412" t="s">
        <v>34</v>
      </c>
      <c r="H2412" s="52" t="str">
        <f>VLOOKUP(Tabla3[[#This Row],[Site]],'Important Info!'!$A$1:$J$135,10,FALSE)</f>
        <v>https://tools.sig.systems/site/details/235</v>
      </c>
      <c r="I2412" s="2"/>
      <c r="J2412" t="s">
        <v>41</v>
      </c>
      <c r="K2412" s="79" t="str">
        <f>VLOOKUP(Tabla3[[#This Row],[Site]],'Important Info!'!$A$1:$H$135,8,FALSE)</f>
        <v>-</v>
      </c>
      <c r="L2412" s="52" t="str">
        <f>VLOOKUP(Tabla3[[#This Row],[Site]],'Important Info!'!$A$1:$F$135,2,FALSE)</f>
        <v>4, 22, 32, 33</v>
      </c>
      <c r="M2412" s="52" t="str">
        <f>VLOOKUP(Tabla3[[#This Row],[Site]],'Important Info!'!$A$1:$F$135,3,FALSE)</f>
        <v>-</v>
      </c>
      <c r="N2412" s="52" t="str">
        <f>VLOOKUP(Tabla3[[#This Row],[Site]],'Important Info!'!$A$1:$F$135,4,FALSE)</f>
        <v>-</v>
      </c>
      <c r="O2412" s="52" t="str">
        <f>VLOOKUP(Tabla3[[#This Row],[Site]],'Important Info!'!$A$1:$F$135,5,FALSE)</f>
        <v>1, 5, 12, 21</v>
      </c>
      <c r="P2412" s="52">
        <f>VLOOKUP(Tabla3[[#This Row],[Site]],'Important Info!'!$A$1:$F$135,6,FALSE)</f>
        <v>22</v>
      </c>
      <c r="Q2412" s="91">
        <f>VLOOKUP(Tabla3[[#This Row],[Site]],'Important Info!'!$A$1:$J$135,9,FALSE)</f>
        <v>235</v>
      </c>
    </row>
    <row r="2413" spans="1:17" x14ac:dyDescent="0.25">
      <c r="A2413" t="str">
        <f>+Tabla3[[#This Row],[Site]]&amp;Tabla3[[#This Row],[Split]]</f>
        <v>(KG) Clear Lake Pre-Owned24</v>
      </c>
      <c r="B2413">
        <v>24</v>
      </c>
      <c r="C2413">
        <v>19</v>
      </c>
      <c r="D2413" t="s">
        <v>33</v>
      </c>
      <c r="E2413" t="s">
        <v>46</v>
      </c>
      <c r="F2413" t="s">
        <v>87</v>
      </c>
      <c r="G2413" t="s">
        <v>34</v>
      </c>
      <c r="H2413" s="52" t="str">
        <f>VLOOKUP(Tabla3[[#This Row],[Site]],'Important Info!'!$A$1:$J$135,10,FALSE)</f>
        <v>https://tools.sig.systems/site/details/255</v>
      </c>
      <c r="I2413" s="43" t="s">
        <v>134</v>
      </c>
      <c r="J2413" t="s">
        <v>41</v>
      </c>
      <c r="K2413" s="79" t="str">
        <f>VLOOKUP(Tabla3[[#This Row],[Site]],'Important Info!'!$A$1:$H$135,8,FALSE)</f>
        <v>-</v>
      </c>
      <c r="L2413" s="52" t="str">
        <f>VLOOKUP(Tabla3[[#This Row],[Site]],'Important Info!'!$A$1:$F$135,2,FALSE)</f>
        <v>3, 5</v>
      </c>
      <c r="M2413" s="52" t="str">
        <f>VLOOKUP(Tabla3[[#This Row],[Site]],'Important Info!'!$A$1:$F$135,3,FALSE)</f>
        <v>-</v>
      </c>
      <c r="N2413" s="52" t="str">
        <f>VLOOKUP(Tabla3[[#This Row],[Site]],'Important Info!'!$A$1:$F$135,4,FALSE)</f>
        <v>-</v>
      </c>
      <c r="O2413" s="52" t="str">
        <f>VLOOKUP(Tabla3[[#This Row],[Site]],'Important Info!'!$A$1:$F$135,5,FALSE)</f>
        <v>4, 10, 22</v>
      </c>
      <c r="P2413" s="52" t="str">
        <f>VLOOKUP(Tabla3[[#This Row],[Site]],'Important Info!'!$A$1:$F$135,6,FALSE)</f>
        <v>8, 15, 20</v>
      </c>
      <c r="Q2413" s="91">
        <f>VLOOKUP(Tabla3[[#This Row],[Site]],'Important Info!'!$A$1:$J$135,9,FALSE)</f>
        <v>255</v>
      </c>
    </row>
    <row r="2414" spans="1:17" x14ac:dyDescent="0.25">
      <c r="A2414" t="str">
        <f>+Tabla3[[#This Row],[Site]]&amp;Tabla3[[#This Row],[Split]]</f>
        <v>(ML) Collision Center N Little Rock24</v>
      </c>
      <c r="B2414">
        <v>24</v>
      </c>
      <c r="C2414">
        <v>19</v>
      </c>
      <c r="D2414" t="s">
        <v>33</v>
      </c>
      <c r="E2414" t="s">
        <v>46</v>
      </c>
      <c r="F2414" t="s">
        <v>141</v>
      </c>
      <c r="G2414" t="s">
        <v>34</v>
      </c>
      <c r="H2414" s="52" t="str">
        <f>VLOOKUP(Tabla3[[#This Row],[Site]],'Important Info!'!$A$1:$J$135,10,FALSE)</f>
        <v>https://tools.sig.systems/site/details/212</v>
      </c>
      <c r="I2414" s="2" t="s">
        <v>142</v>
      </c>
      <c r="J2414" t="s">
        <v>41</v>
      </c>
      <c r="K2414" s="79" t="str">
        <f>VLOOKUP(Tabla3[[#This Row],[Site]],'Important Info!'!$A$1:$H$135,8,FALSE)</f>
        <v>-</v>
      </c>
      <c r="L2414" s="52" t="str">
        <f>VLOOKUP(Tabla3[[#This Row],[Site]],'Important Info!'!$A$1:$F$135,2,FALSE)</f>
        <v>-</v>
      </c>
      <c r="M2414" s="52" t="str">
        <f>VLOOKUP(Tabla3[[#This Row],[Site]],'Important Info!'!$A$1:$F$135,3,FALSE)</f>
        <v>-</v>
      </c>
      <c r="N2414" s="52" t="str">
        <f>VLOOKUP(Tabla3[[#This Row],[Site]],'Important Info!'!$A$1:$F$135,4,FALSE)</f>
        <v>-</v>
      </c>
      <c r="O2414" s="52" t="str">
        <f>VLOOKUP(Tabla3[[#This Row],[Site]],'Important Info!'!$A$1:$F$135,5,FALSE)</f>
        <v>-</v>
      </c>
      <c r="P2414" s="52" t="str">
        <f>VLOOKUP(Tabla3[[#This Row],[Site]],'Important Info!'!$A$1:$F$135,6,FALSE)</f>
        <v>1, 3, 7, 8</v>
      </c>
      <c r="Q2414" s="91">
        <f>VLOOKUP(Tabla3[[#This Row],[Site]],'Important Info!'!$A$1:$J$135,9,FALSE)</f>
        <v>212</v>
      </c>
    </row>
    <row r="2415" spans="1:17" x14ac:dyDescent="0.25">
      <c r="A2415" t="str">
        <f>+Tabla3[[#This Row],[Site]]&amp;Tabla3[[#This Row],[Split]]</f>
        <v>(RV) Toms Camperland Surprise (NO TOURS)24</v>
      </c>
      <c r="B2415">
        <v>24</v>
      </c>
      <c r="C2415">
        <v>19</v>
      </c>
      <c r="D2415" t="s">
        <v>51</v>
      </c>
      <c r="E2415" t="s">
        <v>161</v>
      </c>
      <c r="F2415" t="s">
        <v>165</v>
      </c>
      <c r="G2415" t="s">
        <v>52</v>
      </c>
      <c r="H2415" s="52" t="str">
        <f>VLOOKUP(Tabla3[[#This Row],[Site]],'Important Info!'!$A$1:$J$135,10,FALSE)</f>
        <v>https://tools.sig.systems/site/details/254</v>
      </c>
      <c r="I2415" s="43"/>
      <c r="J2415" t="s">
        <v>52</v>
      </c>
      <c r="K2415" s="79" t="str">
        <f>VLOOKUP(Tabla3[[#This Row],[Site]],'Important Info!'!$A$1:$H$135,8,FALSE)</f>
        <v>-</v>
      </c>
      <c r="L2415" s="52" t="str">
        <f>VLOOKUP(Tabla3[[#This Row],[Site]],'Important Info!'!$A$1:$F$135,2,FALSE)</f>
        <v>1, 3, 4</v>
      </c>
      <c r="M2415" s="52" t="str">
        <f>VLOOKUP(Tabla3[[#This Row],[Site]],'Important Info!'!$A$1:$F$135,3,FALSE)</f>
        <v>-</v>
      </c>
      <c r="N2415" s="52" t="str">
        <f>VLOOKUP(Tabla3[[#This Row],[Site]],'Important Info!'!$A$1:$F$135,4,FALSE)</f>
        <v>-</v>
      </c>
      <c r="O2415" s="52" t="str">
        <f>VLOOKUP(Tabla3[[#This Row],[Site]],'Important Info!'!$A$1:$F$135,5,FALSE)</f>
        <v>-</v>
      </c>
      <c r="P2415" s="52" t="str">
        <f>VLOOKUP(Tabla3[[#This Row],[Site]],'Important Info!'!$A$1:$F$135,6,FALSE)</f>
        <v>1, 2, 3, 4, 15</v>
      </c>
      <c r="Q2415" s="91">
        <f>VLOOKUP(Tabla3[[#This Row],[Site]],'Important Info!'!$A$1:$J$135,9,FALSE)</f>
        <v>254</v>
      </c>
    </row>
    <row r="2416" spans="1:17" x14ac:dyDescent="0.25">
      <c r="A2416" t="str">
        <f>+Tabla3[[#This Row],[Site]]&amp;Tabla3[[#This Row],[Split]]</f>
        <v>(AS) Courtesy CDJR of Brandon (NO TOURS)24</v>
      </c>
      <c r="B2416">
        <v>24</v>
      </c>
      <c r="C2416">
        <v>20</v>
      </c>
      <c r="D2416" t="s">
        <v>62</v>
      </c>
      <c r="E2416" t="s">
        <v>35</v>
      </c>
      <c r="F2416" t="s">
        <v>503</v>
      </c>
      <c r="G2416" t="s">
        <v>490</v>
      </c>
      <c r="H2416" s="52" t="str">
        <f>VLOOKUP(Tabla3[[#This Row],[Site]],'Important Info!'!$A$1:$J$135,10,FALSE)</f>
        <v>https://tools.sig.systems/site/details/126</v>
      </c>
      <c r="I2416" s="2" t="s">
        <v>181</v>
      </c>
      <c r="J2416" t="s">
        <v>484</v>
      </c>
      <c r="K2416" s="79" t="str">
        <f>VLOOKUP(Tabla3[[#This Row],[Site]],'Important Info!'!$A$1:$H$135,8,FALSE)</f>
        <v>-</v>
      </c>
      <c r="L2416" s="52" t="str">
        <f>VLOOKUP(Tabla3[[#This Row],[Site]],'Important Info!'!$A$1:$F$135,2,FALSE)</f>
        <v>1, 14, 15</v>
      </c>
      <c r="M2416" s="52">
        <f>VLOOKUP(Tabla3[[#This Row],[Site]],'Important Info!'!$A$1:$F$135,3,FALSE)</f>
        <v>1</v>
      </c>
      <c r="N2416" s="52" t="str">
        <f>VLOOKUP(Tabla3[[#This Row],[Site]],'Important Info!'!$A$1:$F$135,4,FALSE)</f>
        <v>-</v>
      </c>
      <c r="O2416" s="52" t="str">
        <f>VLOOKUP(Tabla3[[#This Row],[Site]],'Important Info!'!$A$1:$F$135,5,FALSE)</f>
        <v>2, 12</v>
      </c>
      <c r="P2416" s="52" t="str">
        <f>VLOOKUP(Tabla3[[#This Row],[Site]],'Important Info!'!$A$1:$F$135,6,FALSE)</f>
        <v xml:space="preserve">1, 2, 3, 4, 14, 15, 21, 25 </v>
      </c>
      <c r="Q2416" s="91">
        <f>VLOOKUP(Tabla3[[#This Row],[Site]],'Important Info!'!$A$1:$J$135,9,FALSE)</f>
        <v>126</v>
      </c>
    </row>
    <row r="2417" spans="1:17" x14ac:dyDescent="0.25">
      <c r="A2417" t="str">
        <f>+Tabla3[[#This Row],[Site]]&amp;Tabla3[[#This Row],[Split]]</f>
        <v>(AS) Stevinson Toyota West (NO TOURS)24</v>
      </c>
      <c r="B2417">
        <v>24</v>
      </c>
      <c r="C2417">
        <v>20</v>
      </c>
      <c r="D2417" t="s">
        <v>44</v>
      </c>
      <c r="E2417" t="s">
        <v>53</v>
      </c>
      <c r="F2417" t="s">
        <v>79</v>
      </c>
      <c r="G2417" t="s">
        <v>45</v>
      </c>
      <c r="H2417" s="52" t="str">
        <f>VLOOKUP(Tabla3[[#This Row],[Site]],'Important Info!'!$A$1:$J$135,10,FALSE)</f>
        <v>https://tools.sig.systems/site/details/240</v>
      </c>
      <c r="I2417" s="2" t="s">
        <v>154</v>
      </c>
      <c r="J2417" t="s">
        <v>41</v>
      </c>
      <c r="K2417" s="79" t="str">
        <f>VLOOKUP(Tabla3[[#This Row],[Site]],'Important Info!'!$A$1:$H$135,8,FALSE)</f>
        <v>-</v>
      </c>
      <c r="L2417" s="52" t="str">
        <f>VLOOKUP(Tabla3[[#This Row],[Site]],'Important Info!'!$A$1:$F$135,2,FALSE)</f>
        <v>-</v>
      </c>
      <c r="M2417" s="52" t="str">
        <f>VLOOKUP(Tabla3[[#This Row],[Site]],'Important Info!'!$A$1:$F$135,3,FALSE)</f>
        <v>7, 18, 21</v>
      </c>
      <c r="N2417" s="52" t="str">
        <f>VLOOKUP(Tabla3[[#This Row],[Site]],'Important Info!'!$A$1:$F$135,4,FALSE)</f>
        <v>-</v>
      </c>
      <c r="O2417" s="52" t="str">
        <f>VLOOKUP(Tabla3[[#This Row],[Site]],'Important Info!'!$A$1:$F$135,5,FALSE)</f>
        <v>11, 24, 34</v>
      </c>
      <c r="P2417" s="52" t="str">
        <f>VLOOKUP(Tabla3[[#This Row],[Site]],'Important Info!'!$A$1:$F$135,6,FALSE)</f>
        <v>1, 2, 3, 12</v>
      </c>
      <c r="Q2417" s="91">
        <f>VLOOKUP(Tabla3[[#This Row],[Site]],'Important Info!'!$A$1:$J$135,9,FALSE)</f>
        <v>240</v>
      </c>
    </row>
    <row r="2418" spans="1:17" x14ac:dyDescent="0.25">
      <c r="A2418" t="str">
        <f>+Tabla3[[#This Row],[Site]]&amp;Tabla3[[#This Row],[Split]]</f>
        <v>(KG) Big Star CDJR of Clear Lake24</v>
      </c>
      <c r="B2418">
        <v>24</v>
      </c>
      <c r="C2418">
        <v>20</v>
      </c>
      <c r="D2418" t="s">
        <v>33</v>
      </c>
      <c r="E2418" t="s">
        <v>46</v>
      </c>
      <c r="F2418" t="s">
        <v>133</v>
      </c>
      <c r="G2418" t="s">
        <v>34</v>
      </c>
      <c r="H2418" s="52" t="str">
        <f>VLOOKUP(Tabla3[[#This Row],[Site]],'Important Info!'!$A$1:$J$135,10,FALSE)</f>
        <v>https://tools.sig.systems/site/details/232</v>
      </c>
      <c r="I2418" s="2" t="s">
        <v>134</v>
      </c>
      <c r="J2418" t="s">
        <v>41</v>
      </c>
      <c r="K2418" s="79" t="str">
        <f>VLOOKUP(Tabla3[[#This Row],[Site]],'Important Info!'!$A$1:$H$135,8,FALSE)</f>
        <v>-</v>
      </c>
      <c r="L2418" s="52" t="str">
        <f>VLOOKUP(Tabla3[[#This Row],[Site]],'Important Info!'!$A$1:$F$135,2,FALSE)</f>
        <v>8, 25</v>
      </c>
      <c r="M2418" s="52" t="str">
        <f>VLOOKUP(Tabla3[[#This Row],[Site]],'Important Info!'!$A$1:$F$135,3,FALSE)</f>
        <v>-</v>
      </c>
      <c r="N2418" s="52" t="str">
        <f>VLOOKUP(Tabla3[[#This Row],[Site]],'Important Info!'!$A$1:$F$135,4,FALSE)</f>
        <v>-</v>
      </c>
      <c r="O2418" s="52" t="str">
        <f>VLOOKUP(Tabla3[[#This Row],[Site]],'Important Info!'!$A$1:$F$135,5,FALSE)</f>
        <v>7, 13, 19, 24</v>
      </c>
      <c r="P2418" s="52" t="str">
        <f>VLOOKUP(Tabla3[[#This Row],[Site]],'Important Info!'!$A$1:$F$135,6,FALSE)</f>
        <v>6, 8, 25, 31</v>
      </c>
      <c r="Q2418" s="91">
        <f>VLOOKUP(Tabla3[[#This Row],[Site]],'Important Info!'!$A$1:$J$135,9,FALSE)</f>
        <v>232</v>
      </c>
    </row>
    <row r="2419" spans="1:17" x14ac:dyDescent="0.25">
      <c r="A2419" t="str">
        <f>+Tabla3[[#This Row],[Site]]&amp;Tabla3[[#This Row],[Split]]</f>
        <v>(PE) BMW Tenafly (NO TOURS)24</v>
      </c>
      <c r="B2419">
        <v>24</v>
      </c>
      <c r="C2419">
        <v>20</v>
      </c>
      <c r="D2419" t="s">
        <v>485</v>
      </c>
      <c r="E2419" t="s">
        <v>35</v>
      </c>
      <c r="F2419" t="s">
        <v>173</v>
      </c>
      <c r="G2419" t="s">
        <v>490</v>
      </c>
      <c r="H2419" s="52" t="str">
        <f>VLOOKUP(Tabla3[[#This Row],[Site]],'Important Info!'!$A$1:$J$135,10,FALSE)</f>
        <v>https://tools.sig.systems/site/details/155</v>
      </c>
      <c r="I2419" s="2"/>
      <c r="J2419" t="s">
        <v>41</v>
      </c>
      <c r="K2419" s="79" t="str">
        <f>VLOOKUP(Tabla3[[#This Row],[Site]],'Important Info!'!$A$1:$H$135,8,FALSE)</f>
        <v>-</v>
      </c>
      <c r="L2419" s="52">
        <f>VLOOKUP(Tabla3[[#This Row],[Site]],'Important Info!'!$A$1:$F$135,2,FALSE)</f>
        <v>24</v>
      </c>
      <c r="M2419" s="52" t="str">
        <f>VLOOKUP(Tabla3[[#This Row],[Site]],'Important Info!'!$A$1:$F$135,3,FALSE)</f>
        <v>1, 3, 4, 17, 23</v>
      </c>
      <c r="N2419" s="52" t="str">
        <f>VLOOKUP(Tabla3[[#This Row],[Site]],'Important Info!'!$A$1:$F$135,4,FALSE)</f>
        <v>-</v>
      </c>
      <c r="O2419" s="52" t="str">
        <f>VLOOKUP(Tabla3[[#This Row],[Site]],'Important Info!'!$A$1:$F$135,5,FALSE)</f>
        <v>-</v>
      </c>
      <c r="P2419" s="52">
        <f>VLOOKUP(Tabla3[[#This Row],[Site]],'Important Info!'!$A$1:$F$135,6,FALSE)</f>
        <v>1</v>
      </c>
      <c r="Q2419" s="91">
        <f>VLOOKUP(Tabla3[[#This Row],[Site]],'Important Info!'!$A$1:$J$135,9,FALSE)</f>
        <v>155</v>
      </c>
    </row>
    <row r="2420" spans="1:17" x14ac:dyDescent="0.25">
      <c r="A2420" t="str">
        <f>+Tabla3[[#This Row],[Site]]&amp;Tabla3[[#This Row],[Split]]</f>
        <v>(AS) Plaza Lexus/Mercedes/BMW (NO TOURS)24</v>
      </c>
      <c r="B2420">
        <v>24</v>
      </c>
      <c r="C2420">
        <v>21</v>
      </c>
      <c r="D2420" t="s">
        <v>33</v>
      </c>
      <c r="E2420" t="s">
        <v>46</v>
      </c>
      <c r="F2420" t="s">
        <v>92</v>
      </c>
      <c r="G2420" t="s">
        <v>34</v>
      </c>
      <c r="H2420" s="52" t="str">
        <f>VLOOKUP(Tabla3[[#This Row],[Site]],'Important Info!'!$A$1:$J$135,10,FALSE)</f>
        <v>https://tools.sig.systems/site/details/141</v>
      </c>
      <c r="I2420" t="s">
        <v>130</v>
      </c>
      <c r="J2420" t="s">
        <v>41</v>
      </c>
      <c r="K2420" s="79" t="str">
        <f>VLOOKUP(Tabla3[[#This Row],[Site]],'Important Info!'!$A$1:$H$135,8,FALSE)</f>
        <v>-</v>
      </c>
      <c r="L2420" s="52" t="str">
        <f>VLOOKUP(Tabla3[[#This Row],[Site]],'Important Info!'!$A$1:$F$135,2,FALSE)</f>
        <v>3, 4, 18</v>
      </c>
      <c r="M2420" s="52" t="str">
        <f>VLOOKUP(Tabla3[[#This Row],[Site]],'Important Info!'!$A$1:$F$135,3,FALSE)</f>
        <v>9, 10, 12, 13, 16, 17</v>
      </c>
      <c r="N2420" s="52" t="str">
        <f>VLOOKUP(Tabla3[[#This Row],[Site]],'Important Info!'!$A$1:$F$135,4,FALSE)</f>
        <v>-</v>
      </c>
      <c r="O2420" s="52">
        <f>VLOOKUP(Tabla3[[#This Row],[Site]],'Important Info!'!$A$1:$F$135,5,FALSE)</f>
        <v>2</v>
      </c>
      <c r="P2420" s="52" t="str">
        <f>VLOOKUP(Tabla3[[#This Row],[Site]],'Important Info!'!$A$1:$F$135,6,FALSE)</f>
        <v>2, 16</v>
      </c>
      <c r="Q2420" s="91">
        <f>VLOOKUP(Tabla3[[#This Row],[Site]],'Important Info!'!$A$1:$J$135,9,FALSE)</f>
        <v>141</v>
      </c>
    </row>
    <row r="2421" spans="1:17" x14ac:dyDescent="0.25">
      <c r="A2421" t="str">
        <f>+Tabla3[[#This Row],[Site]]&amp;Tabla3[[#This Row],[Split]]</f>
        <v>(AS) Stevinson Lexus of Lakewood (NO TOURS)24</v>
      </c>
      <c r="B2421">
        <v>24</v>
      </c>
      <c r="C2421">
        <v>21</v>
      </c>
      <c r="D2421" t="s">
        <v>44</v>
      </c>
      <c r="E2421" t="s">
        <v>53</v>
      </c>
      <c r="F2421" t="s">
        <v>523</v>
      </c>
      <c r="G2421" t="s">
        <v>45</v>
      </c>
      <c r="H2421" s="52" t="str">
        <f>VLOOKUP(Tabla3[[#This Row],[Site]],'Important Info!'!$A$1:$J$135,10,FALSE)</f>
        <v>https://tools.sig.systems/site/details/260</v>
      </c>
      <c r="I2421" s="2" t="s">
        <v>154</v>
      </c>
      <c r="J2421" t="s">
        <v>41</v>
      </c>
      <c r="K2421" s="79" t="str">
        <f>VLOOKUP(Tabla3[[#This Row],[Site]],'Important Info!'!$A$1:$H$135,8,FALSE)</f>
        <v>-</v>
      </c>
      <c r="L2421" s="52" t="str">
        <f>VLOOKUP(Tabla3[[#This Row],[Site]],'Important Info!'!$A$1:$F$135,2,FALSE)</f>
        <v>-</v>
      </c>
      <c r="M2421" s="52" t="str">
        <f>VLOOKUP(Tabla3[[#This Row],[Site]],'Important Info!'!$A$1:$F$135,3,FALSE)</f>
        <v>2, 10</v>
      </c>
      <c r="N2421" s="52" t="str">
        <f>VLOOKUP(Tabla3[[#This Row],[Site]],'Important Info!'!$A$1:$F$135,4,FALSE)</f>
        <v>9, 17</v>
      </c>
      <c r="O2421" s="52" t="str">
        <f>VLOOKUP(Tabla3[[#This Row],[Site]],'Important Info!'!$A$1:$F$135,5,FALSE)</f>
        <v>-</v>
      </c>
      <c r="P2421" s="52" t="str">
        <f>VLOOKUP(Tabla3[[#This Row],[Site]],'Important Info!'!$A$1:$F$135,6,FALSE)</f>
        <v>1, 2</v>
      </c>
      <c r="Q2421" s="91">
        <f>VLOOKUP(Tabla3[[#This Row],[Site]],'Important Info!'!$A$1:$J$135,9,FALSE)</f>
        <v>260</v>
      </c>
    </row>
    <row r="2422" spans="1:17" x14ac:dyDescent="0.25">
      <c r="A2422" t="str">
        <f>+Tabla3[[#This Row],[Site]]&amp;Tabla3[[#This Row],[Split]]</f>
        <v>(KG) Kia of Phoenix (NO TOURS)24</v>
      </c>
      <c r="B2422">
        <v>24</v>
      </c>
      <c r="C2422">
        <v>21</v>
      </c>
      <c r="D2422" t="s">
        <v>51</v>
      </c>
      <c r="E2422" t="s">
        <v>161</v>
      </c>
      <c r="F2422" t="s">
        <v>94</v>
      </c>
      <c r="G2422" t="s">
        <v>52</v>
      </c>
      <c r="H2422" s="52" t="str">
        <f>VLOOKUP(Tabla3[[#This Row],[Site]],'Important Info!'!$A$1:$J$135,10,FALSE)</f>
        <v>https://tools.sig.systems/site/details/262</v>
      </c>
      <c r="J2422" t="s">
        <v>162</v>
      </c>
      <c r="K2422" s="79" t="str">
        <f>VLOOKUP(Tabla3[[#This Row],[Site]],'Important Info!'!$A$1:$H$135,8,FALSE)</f>
        <v>-</v>
      </c>
      <c r="L2422" s="52" t="str">
        <f>VLOOKUP(Tabla3[[#This Row],[Site]],'Important Info!'!$A$1:$F$135,2,FALSE)</f>
        <v>5, 8, 23</v>
      </c>
      <c r="M2422" s="52" t="str">
        <f>VLOOKUP(Tabla3[[#This Row],[Site]],'Important Info!'!$A$1:$F$135,3,FALSE)</f>
        <v>-</v>
      </c>
      <c r="N2422" s="52" t="str">
        <f>VLOOKUP(Tabla3[[#This Row],[Site]],'Important Info!'!$A$1:$F$135,4,FALSE)</f>
        <v>-</v>
      </c>
      <c r="O2422" s="52">
        <f>VLOOKUP(Tabla3[[#This Row],[Site]],'Important Info!'!$A$1:$F$135,5,FALSE)</f>
        <v>4</v>
      </c>
      <c r="P2422" s="52" t="str">
        <f>VLOOKUP(Tabla3[[#This Row],[Site]],'Important Info!'!$A$1:$F$135,6,FALSE)</f>
        <v>-</v>
      </c>
      <c r="Q2422" s="91">
        <f>VLOOKUP(Tabla3[[#This Row],[Site]],'Important Info!'!$A$1:$J$135,9,FALSE)</f>
        <v>262</v>
      </c>
    </row>
    <row r="2423" spans="1:17" x14ac:dyDescent="0.25">
      <c r="A2423" t="str">
        <f>+Tabla3[[#This Row],[Site]]&amp;Tabla3[[#This Row],[Split]]</f>
        <v>(ML) Toyota N Little Rock24</v>
      </c>
      <c r="B2423">
        <v>24</v>
      </c>
      <c r="C2423">
        <v>21</v>
      </c>
      <c r="D2423" t="s">
        <v>33</v>
      </c>
      <c r="E2423" t="s">
        <v>46</v>
      </c>
      <c r="F2423" t="s">
        <v>76</v>
      </c>
      <c r="G2423" t="s">
        <v>34</v>
      </c>
      <c r="H2423" s="52" t="str">
        <f>VLOOKUP(Tabla3[[#This Row],[Site]],'Important Info!'!$A$1:$J$135,10,FALSE)</f>
        <v>https://tools.sig.systems/site/details/201</v>
      </c>
      <c r="I2423" s="43" t="s">
        <v>142</v>
      </c>
      <c r="J2423" t="s">
        <v>41</v>
      </c>
      <c r="K2423" s="79" t="str">
        <f>VLOOKUP(Tabla3[[#This Row],[Site]],'Important Info!'!$A$1:$H$135,8,FALSE)</f>
        <v>-</v>
      </c>
      <c r="L2423" s="52" t="str">
        <f>VLOOKUP(Tabla3[[#This Row],[Site]],'Important Info!'!$A$1:$F$135,2,FALSE)</f>
        <v>4, 15, 18, 22, 23, 26</v>
      </c>
      <c r="M2423" s="52" t="str">
        <f>VLOOKUP(Tabla3[[#This Row],[Site]],'Important Info!'!$A$1:$F$135,3,FALSE)</f>
        <v>-</v>
      </c>
      <c r="N2423" s="52" t="str">
        <f>VLOOKUP(Tabla3[[#This Row],[Site]],'Important Info!'!$A$1:$F$135,4,FALSE)</f>
        <v>-</v>
      </c>
      <c r="O2423" s="52" t="str">
        <f>VLOOKUP(Tabla3[[#This Row],[Site]],'Important Info!'!$A$1:$F$135,5,FALSE)</f>
        <v>2, 12, 13, 18</v>
      </c>
      <c r="P2423" s="52" t="str">
        <f>VLOOKUP(Tabla3[[#This Row],[Site]],'Important Info!'!$A$1:$F$135,6,FALSE)</f>
        <v>-</v>
      </c>
      <c r="Q2423" s="91">
        <f>VLOOKUP(Tabla3[[#This Row],[Site]],'Important Info!'!$A$1:$J$135,9,FALSE)</f>
        <v>201</v>
      </c>
    </row>
    <row r="2424" spans="1:17" x14ac:dyDescent="0.25">
      <c r="A2424" t="str">
        <f>+Tabla3[[#This Row],[Site]]&amp;Tabla3[[#This Row],[Split]]</f>
        <v>(TC) Tavernier Creek Marina (NO TOURS)24</v>
      </c>
      <c r="B2424">
        <v>24</v>
      </c>
      <c r="C2424">
        <v>21</v>
      </c>
      <c r="D2424" t="s">
        <v>62</v>
      </c>
      <c r="E2424" t="s">
        <v>35</v>
      </c>
      <c r="F2424" t="s">
        <v>119</v>
      </c>
      <c r="G2424" t="s">
        <v>34</v>
      </c>
      <c r="H2424" s="52" t="str">
        <f>VLOOKUP(Tabla3[[#This Row],[Site]],'Important Info!'!$A$1:$J$135,10,FALSE)</f>
        <v>https://tools.sig.systems/site/details/164</v>
      </c>
      <c r="J2424" t="s">
        <v>45</v>
      </c>
      <c r="K2424" s="79" t="str">
        <f>VLOOKUP(Tabla3[[#This Row],[Site]],'Important Info!'!$A$1:$H$135,8,FALSE)</f>
        <v>-</v>
      </c>
      <c r="L2424" s="52" t="str">
        <f>VLOOKUP(Tabla3[[#This Row],[Site]],'Important Info!'!$A$1:$F$135,2,FALSE)</f>
        <v>28, 29</v>
      </c>
      <c r="M2424" s="52" t="str">
        <f>VLOOKUP(Tabla3[[#This Row],[Site]],'Important Info!'!$A$1:$F$135,3,FALSE)</f>
        <v>-</v>
      </c>
      <c r="N2424" s="52" t="str">
        <f>VLOOKUP(Tabla3[[#This Row],[Site]],'Important Info!'!$A$1:$F$135,4,FALSE)</f>
        <v>-</v>
      </c>
      <c r="O2424" s="52" t="str">
        <f>VLOOKUP(Tabla3[[#This Row],[Site]],'Important Info!'!$A$1:$F$135,5,FALSE)</f>
        <v>-</v>
      </c>
      <c r="P2424" s="52" t="str">
        <f>VLOOKUP(Tabla3[[#This Row],[Site]],'Important Info!'!$A$1:$F$135,6,FALSE)</f>
        <v>5, 28, 29</v>
      </c>
      <c r="Q2424" s="91">
        <f>VLOOKUP(Tabla3[[#This Row],[Site]],'Important Info!'!$A$1:$J$135,9,FALSE)</f>
        <v>164</v>
      </c>
    </row>
    <row r="2425" spans="1:17" x14ac:dyDescent="0.25">
      <c r="A2425" t="str">
        <f>+Tabla3[[#This Row],[Site]]&amp;Tabla3[[#This Row],[Split]]</f>
        <v>(AS) Courtesy Hyundai/Nissan Tampa (NO TOURS)24</v>
      </c>
      <c r="B2425">
        <v>24</v>
      </c>
      <c r="C2425">
        <v>22</v>
      </c>
      <c r="D2425" t="s">
        <v>62</v>
      </c>
      <c r="E2425" t="s">
        <v>35</v>
      </c>
      <c r="F2425" t="s">
        <v>504</v>
      </c>
      <c r="G2425" t="s">
        <v>490</v>
      </c>
      <c r="H2425" s="52" t="str">
        <f>VLOOKUP(Tabla3[[#This Row],[Site]],'Important Info!'!$A$1:$J$135,10,FALSE)</f>
        <v>https://tools.sig.systems/site/details/128</v>
      </c>
      <c r="I2425" s="2"/>
      <c r="J2425" t="s">
        <v>484</v>
      </c>
      <c r="K2425" s="79" t="str">
        <f>VLOOKUP(Tabla3[[#This Row],[Site]],'Important Info!'!$A$1:$H$135,8,FALSE)</f>
        <v>-</v>
      </c>
      <c r="L2425" s="52" t="str">
        <f>VLOOKUP(Tabla3[[#This Row],[Site]],'Important Info!'!$A$1:$F$135,2,FALSE)</f>
        <v>1, 16, 25, 27, 32</v>
      </c>
      <c r="M2425" s="52" t="str">
        <f>VLOOKUP(Tabla3[[#This Row],[Site]],'Important Info!'!$A$1:$F$135,3,FALSE)</f>
        <v>-</v>
      </c>
      <c r="N2425" s="52" t="str">
        <f>VLOOKUP(Tabla3[[#This Row],[Site]],'Important Info!'!$A$1:$F$135,4,FALSE)</f>
        <v>-</v>
      </c>
      <c r="O2425" s="52" t="str">
        <f>VLOOKUP(Tabla3[[#This Row],[Site]],'Important Info!'!$A$1:$F$135,5,FALSE)</f>
        <v>4, 10, 16</v>
      </c>
      <c r="P2425" s="52" t="str">
        <f>VLOOKUP(Tabla3[[#This Row],[Site]],'Important Info!'!$A$1:$F$135,6,FALSE)</f>
        <v>24, 25, 26 &amp; Remote Lots</v>
      </c>
      <c r="Q2425" s="91">
        <f>VLOOKUP(Tabla3[[#This Row],[Site]],'Important Info!'!$A$1:$J$135,9,FALSE)</f>
        <v>128</v>
      </c>
    </row>
    <row r="2426" spans="1:17" x14ac:dyDescent="0.25">
      <c r="A2426" t="str">
        <f>+Tabla3[[#This Row],[Site]]&amp;Tabla3[[#This Row],[Split]]</f>
        <v>(AS) Park Place JLR DFW Airport (NO TOURS)24</v>
      </c>
      <c r="B2426">
        <v>24</v>
      </c>
      <c r="C2426">
        <v>22</v>
      </c>
      <c r="D2426" t="s">
        <v>33</v>
      </c>
      <c r="E2426" t="s">
        <v>46</v>
      </c>
      <c r="F2426" t="s">
        <v>516</v>
      </c>
      <c r="G2426" t="s">
        <v>34</v>
      </c>
      <c r="H2426" s="52" t="str">
        <f>VLOOKUP(Tabla3[[#This Row],[Site]],'Important Info!'!$A$1:$J$135,10,FALSE)</f>
        <v>https://tools.sig.systems/site/details/135</v>
      </c>
      <c r="J2426" t="s">
        <v>41</v>
      </c>
      <c r="K2426" s="79" t="str">
        <f>VLOOKUP(Tabla3[[#This Row],[Site]],'Important Info!'!$A$1:$H$135,8,FALSE)</f>
        <v>-</v>
      </c>
      <c r="L2426" s="52" t="str">
        <f>VLOOKUP(Tabla3[[#This Row],[Site]],'Important Info!'!$A$1:$F$135,2,FALSE)</f>
        <v>6, 7, 18</v>
      </c>
      <c r="M2426" s="52" t="str">
        <f>VLOOKUP(Tabla3[[#This Row],[Site]],'Important Info!'!$A$1:$F$135,3,FALSE)</f>
        <v>70, 79, 80</v>
      </c>
      <c r="N2426" s="52" t="str">
        <f>VLOOKUP(Tabla3[[#This Row],[Site]],'Important Info!'!$A$1:$F$135,4,FALSE)</f>
        <v>83, 84</v>
      </c>
      <c r="O2426" s="52" t="str">
        <f>VLOOKUP(Tabla3[[#This Row],[Site]],'Important Info!'!$A$1:$F$135,5,FALSE)</f>
        <v>3, 8, 14, 81</v>
      </c>
      <c r="P2426" s="52">
        <f>VLOOKUP(Tabla3[[#This Row],[Site]],'Important Info!'!$A$1:$F$135,6,FALSE)</f>
        <v>6</v>
      </c>
      <c r="Q2426" s="91">
        <f>VLOOKUP(Tabla3[[#This Row],[Site]],'Important Info!'!$A$1:$J$135,9,FALSE)</f>
        <v>135</v>
      </c>
    </row>
    <row r="2427" spans="1:17" x14ac:dyDescent="0.25">
      <c r="A2427" t="str">
        <f>+Tabla3[[#This Row],[Site]]&amp;Tabla3[[#This Row],[Split]]</f>
        <v>(AS) Plaza Audi/Infiniti (NO TOURS)24</v>
      </c>
      <c r="B2427">
        <v>24</v>
      </c>
      <c r="C2427">
        <v>22</v>
      </c>
      <c r="D2427" t="s">
        <v>33</v>
      </c>
      <c r="E2427" t="s">
        <v>46</v>
      </c>
      <c r="F2427" t="s">
        <v>91</v>
      </c>
      <c r="G2427" t="s">
        <v>34</v>
      </c>
      <c r="H2427" s="52" t="str">
        <f>VLOOKUP(Tabla3[[#This Row],[Site]],'Important Info!'!$A$1:$J$135,10,FALSE)</f>
        <v>https://tools.sig.systems/site/details/141</v>
      </c>
      <c r="I2427" t="s">
        <v>130</v>
      </c>
      <c r="J2427" t="s">
        <v>41</v>
      </c>
      <c r="K2427" s="79" t="str">
        <f>VLOOKUP(Tabla3[[#This Row],[Site]],'Important Info!'!$A$1:$H$135,8,FALSE)</f>
        <v>-</v>
      </c>
      <c r="L2427" s="52" t="str">
        <f>VLOOKUP(Tabla3[[#This Row],[Site]],'Important Info!'!$A$1:$F$135,2,FALSE)</f>
        <v>7, 25</v>
      </c>
      <c r="M2427" s="52" t="str">
        <f>VLOOKUP(Tabla3[[#This Row],[Site]],'Important Info!'!$A$1:$F$135,3,FALSE)</f>
        <v>15, 17, 18</v>
      </c>
      <c r="N2427" s="52" t="str">
        <f>VLOOKUP(Tabla3[[#This Row],[Site]],'Important Info!'!$A$1:$F$135,4,FALSE)</f>
        <v>-</v>
      </c>
      <c r="O2427" s="52" t="str">
        <f>VLOOKUP(Tabla3[[#This Row],[Site]],'Important Info!'!$A$1:$F$135,5,FALSE)</f>
        <v>1, 24</v>
      </c>
      <c r="P2427" s="52" t="str">
        <f>VLOOKUP(Tabla3[[#This Row],[Site]],'Important Info!'!$A$1:$F$135,6,FALSE)</f>
        <v>3, 15, 17</v>
      </c>
      <c r="Q2427" s="91">
        <f>VLOOKUP(Tabla3[[#This Row],[Site]],'Important Info!'!$A$1:$J$135,9,FALSE)</f>
        <v>141</v>
      </c>
    </row>
    <row r="2428" spans="1:17" x14ac:dyDescent="0.25">
      <c r="A2428" t="str">
        <f>+Tabla3[[#This Row],[Site]]&amp;Tabla3[[#This Row],[Split]]</f>
        <v>(DT) Escondido24</v>
      </c>
      <c r="B2428">
        <v>24</v>
      </c>
      <c r="C2428">
        <v>22</v>
      </c>
      <c r="D2428" t="s">
        <v>51</v>
      </c>
      <c r="E2428" t="s">
        <v>159</v>
      </c>
      <c r="F2428" t="s">
        <v>112</v>
      </c>
      <c r="G2428" t="s">
        <v>164</v>
      </c>
      <c r="H2428" s="52" t="str">
        <f>VLOOKUP(Tabla3[[#This Row],[Site]],'Important Info!'!$A$1:$J$135,10,FALSE)</f>
        <v>https://tools.sig.systems/site/details/196</v>
      </c>
      <c r="I2428" s="2"/>
      <c r="J2428" t="s">
        <v>41</v>
      </c>
      <c r="K2428" s="79" t="str">
        <f>VLOOKUP(Tabla3[[#This Row],[Site]],'Important Info!'!$A$1:$H$135,8,FALSE)</f>
        <v>Saturday Drop Time 9:00 A.M.</v>
      </c>
      <c r="L2428" s="52" t="str">
        <f>VLOOKUP(Tabla3[[#This Row],[Site]],'Important Info!'!$A$1:$F$135,2,FALSE)</f>
        <v>1, 2</v>
      </c>
      <c r="M2428" s="52" t="str">
        <f>VLOOKUP(Tabla3[[#This Row],[Site]],'Important Info!'!$A$1:$F$135,3,FALSE)</f>
        <v>-</v>
      </c>
      <c r="N2428" s="52" t="str">
        <f>VLOOKUP(Tabla3[[#This Row],[Site]],'Important Info!'!$A$1:$F$135,4,FALSE)</f>
        <v>-</v>
      </c>
      <c r="O2428" s="52" t="str">
        <f>VLOOKUP(Tabla3[[#This Row],[Site]],'Important Info!'!$A$1:$F$135,5,FALSE)</f>
        <v>-</v>
      </c>
      <c r="P2428" s="52" t="str">
        <f>VLOOKUP(Tabla3[[#This Row],[Site]],'Important Info!'!$A$1:$F$135,6,FALSE)</f>
        <v>5, 7, 8</v>
      </c>
      <c r="Q2428" s="91">
        <f>VLOOKUP(Tabla3[[#This Row],[Site]],'Important Info!'!$A$1:$J$135,9,FALSE)</f>
        <v>196</v>
      </c>
    </row>
    <row r="2429" spans="1:17" x14ac:dyDescent="0.25">
      <c r="A2429" t="str">
        <f>+Tabla3[[#This Row],[Site]]&amp;Tabla3[[#This Row],[Split]]</f>
        <v>(AS) Lexus Grapevine I &amp; II (NO TOURS)24</v>
      </c>
      <c r="B2429">
        <v>24</v>
      </c>
      <c r="C2429">
        <v>23</v>
      </c>
      <c r="D2429" t="s">
        <v>33</v>
      </c>
      <c r="E2429" t="s">
        <v>46</v>
      </c>
      <c r="F2429" t="s">
        <v>508</v>
      </c>
      <c r="G2429" t="s">
        <v>34</v>
      </c>
      <c r="H2429" s="52" t="str">
        <f>VLOOKUP(Tabla3[[#This Row],[Site]],'Important Info!'!$A$1:$J$135,10,FALSE)</f>
        <v>https://tools.sig.systems/site/details/136</v>
      </c>
      <c r="J2429" t="s">
        <v>41</v>
      </c>
      <c r="K2429" s="79" t="str">
        <f>VLOOKUP(Tabla3[[#This Row],[Site]],'Important Info!'!$A$1:$H$135,8,FALSE)</f>
        <v>-</v>
      </c>
      <c r="L2429" s="52" t="str">
        <f>VLOOKUP(Tabla3[[#This Row],[Site]],'Important Info!'!$A$1:$F$135,2,FALSE)</f>
        <v>4, 10, 14, 18, 33</v>
      </c>
      <c r="M2429" s="52" t="str">
        <f>VLOOKUP(Tabla3[[#This Row],[Site]],'Important Info!'!$A$1:$F$135,3,FALSE)</f>
        <v>-</v>
      </c>
      <c r="N2429" s="52" t="str">
        <f>VLOOKUP(Tabla3[[#This Row],[Site]],'Important Info!'!$A$1:$F$135,4,FALSE)</f>
        <v>81, 82, 83</v>
      </c>
      <c r="O2429" s="52" t="str">
        <f>VLOOKUP(Tabla3[[#This Row],[Site]],'Important Info!'!$A$1:$F$135,5,FALSE)</f>
        <v>4, 12, 15, 20, 30</v>
      </c>
      <c r="P2429" s="52">
        <f>VLOOKUP(Tabla3[[#This Row],[Site]],'Important Info!'!$A$1:$F$135,6,FALSE)</f>
        <v>10</v>
      </c>
      <c r="Q2429" s="91">
        <f>VLOOKUP(Tabla3[[#This Row],[Site]],'Important Info!'!$A$1:$J$135,9,FALSE)</f>
        <v>136</v>
      </c>
    </row>
    <row r="2430" spans="1:17" x14ac:dyDescent="0.25">
      <c r="A2430" t="str">
        <f>+Tabla3[[#This Row],[Site]]&amp;Tabla3[[#This Row],[Split]]</f>
        <v>(AS) Lexus Smyrna (NO TOURS)24</v>
      </c>
      <c r="B2430">
        <v>24</v>
      </c>
      <c r="C2430">
        <v>23</v>
      </c>
      <c r="D2430" t="s">
        <v>62</v>
      </c>
      <c r="E2430" t="s">
        <v>35</v>
      </c>
      <c r="F2430" t="s">
        <v>84</v>
      </c>
      <c r="G2430" t="s">
        <v>490</v>
      </c>
      <c r="H2430" s="52" t="str">
        <f>VLOOKUP(Tabla3[[#This Row],[Site]],'Important Info!'!$A$1:$J$135,10,FALSE)</f>
        <v>https://tools.sig.systems/site/details/133</v>
      </c>
      <c r="I2430" s="2"/>
      <c r="J2430" t="s">
        <v>41</v>
      </c>
      <c r="K2430" s="79" t="str">
        <f>VLOOKUP(Tabla3[[#This Row],[Site]],'Important Info!'!$A$1:$H$135,8,FALSE)</f>
        <v>-</v>
      </c>
      <c r="L2430" s="52" t="str">
        <f>VLOOKUP(Tabla3[[#This Row],[Site]],'Important Info!'!$A$1:$F$135,2,FALSE)</f>
        <v xml:space="preserve">2, 6, 10 </v>
      </c>
      <c r="M2430" s="52" t="str">
        <f>VLOOKUP(Tabla3[[#This Row],[Site]],'Important Info!'!$A$1:$F$135,3,FALSE)</f>
        <v>-</v>
      </c>
      <c r="N2430" s="52" t="str">
        <f>VLOOKUP(Tabla3[[#This Row],[Site]],'Important Info!'!$A$1:$F$135,4,FALSE)</f>
        <v>-</v>
      </c>
      <c r="O2430" s="52" t="str">
        <f>VLOOKUP(Tabla3[[#This Row],[Site]],'Important Info!'!$A$1:$F$135,5,FALSE)</f>
        <v>3, 5, 10, 15</v>
      </c>
      <c r="P2430" s="52" t="str">
        <f>VLOOKUP(Tabla3[[#This Row],[Site]],'Important Info!'!$A$1:$F$135,6,FALSE)</f>
        <v>10, 11</v>
      </c>
      <c r="Q2430" s="91">
        <f>VLOOKUP(Tabla3[[#This Row],[Site]],'Important Info!'!$A$1:$J$135,9,FALSE)</f>
        <v>133</v>
      </c>
    </row>
    <row r="2431" spans="1:17" x14ac:dyDescent="0.25">
      <c r="A2431" t="str">
        <f>+Tabla3[[#This Row],[Site]]&amp;Tabla3[[#This Row],[Split]]</f>
        <v>(KG) Hyundai Surprise24</v>
      </c>
      <c r="B2431">
        <v>24</v>
      </c>
      <c r="C2431">
        <v>23</v>
      </c>
      <c r="D2431" t="s">
        <v>51</v>
      </c>
      <c r="E2431" t="s">
        <v>161</v>
      </c>
      <c r="F2431" t="s">
        <v>118</v>
      </c>
      <c r="G2431" t="s">
        <v>52</v>
      </c>
      <c r="H2431" s="52" t="str">
        <f>VLOOKUP(Tabla3[[#This Row],[Site]],'Important Info!'!$A$1:$J$135,10,FALSE)</f>
        <v>https://tools.sig.systems/site/details/269</v>
      </c>
      <c r="I2431" s="2"/>
      <c r="J2431" t="s">
        <v>162</v>
      </c>
      <c r="K2431" s="79" t="str">
        <f>VLOOKUP(Tabla3[[#This Row],[Site]],'Important Info!'!$A$1:$H$135,8,FALSE)</f>
        <v>-</v>
      </c>
      <c r="L2431" s="52" t="str">
        <f>VLOOKUP(Tabla3[[#This Row],[Site]],'Important Info!'!$A$1:$F$135,2,FALSE)</f>
        <v>1, 6, 7</v>
      </c>
      <c r="M2431" s="52" t="str">
        <f>VLOOKUP(Tabla3[[#This Row],[Site]],'Important Info!'!$A$1:$F$135,3,FALSE)</f>
        <v>-</v>
      </c>
      <c r="N2431" s="52" t="str">
        <f>VLOOKUP(Tabla3[[#This Row],[Site]],'Important Info!'!$A$1:$F$135,4,FALSE)</f>
        <v>-</v>
      </c>
      <c r="O2431" s="52" t="str">
        <f>VLOOKUP(Tabla3[[#This Row],[Site]],'Important Info!'!$A$1:$F$135,5,FALSE)</f>
        <v>6, 13</v>
      </c>
      <c r="P2431" s="52" t="str">
        <f>VLOOKUP(Tabla3[[#This Row],[Site]],'Important Info!'!$A$1:$F$135,6,FALSE)</f>
        <v>-</v>
      </c>
      <c r="Q2431" s="91">
        <f>VLOOKUP(Tabla3[[#This Row],[Site]],'Important Info!'!$A$1:$J$135,9,FALSE)</f>
        <v>269</v>
      </c>
    </row>
    <row r="2432" spans="1:17" x14ac:dyDescent="0.25">
      <c r="A2432" t="str">
        <f>+Tabla3[[#This Row],[Site]]&amp;Tabla3[[#This Row],[Split]]</f>
        <v>(KT) Northwest CDJR (NO TOURS)24</v>
      </c>
      <c r="B2432">
        <v>24</v>
      </c>
      <c r="C2432">
        <v>23</v>
      </c>
      <c r="D2432" t="s">
        <v>33</v>
      </c>
      <c r="E2432" t="s">
        <v>46</v>
      </c>
      <c r="F2432" t="s">
        <v>77</v>
      </c>
      <c r="G2432" t="s">
        <v>34</v>
      </c>
      <c r="H2432" s="52" t="str">
        <f>VLOOKUP(Tabla3[[#This Row],[Site]],'Important Info!'!$A$1:$J$135,10,FALSE)</f>
        <v>https://tools.sig.systems/site/details/229</v>
      </c>
      <c r="I2432" s="43"/>
      <c r="J2432" t="s">
        <v>41</v>
      </c>
      <c r="K2432" s="79" t="str">
        <f>VLOOKUP(Tabla3[[#This Row],[Site]],'Important Info!'!$A$1:$H$135,8,FALSE)</f>
        <v>-</v>
      </c>
      <c r="L2432" s="52" t="str">
        <f>VLOOKUP(Tabla3[[#This Row],[Site]],'Important Info!'!$A$1:$F$135,2,FALSE)</f>
        <v>1, 3, 11, 25</v>
      </c>
      <c r="M2432" s="52" t="str">
        <f>VLOOKUP(Tabla3[[#This Row],[Site]],'Important Info!'!$A$1:$F$135,3,FALSE)</f>
        <v>-</v>
      </c>
      <c r="N2432" s="52" t="str">
        <f>VLOOKUP(Tabla3[[#This Row],[Site]],'Important Info!'!$A$1:$F$135,4,FALSE)</f>
        <v>-</v>
      </c>
      <c r="O2432" s="52" t="str">
        <f>VLOOKUP(Tabla3[[#This Row],[Site]],'Important Info!'!$A$1:$F$135,5,FALSE)</f>
        <v>4, 12, 18</v>
      </c>
      <c r="P2432" s="52" t="str">
        <f>VLOOKUP(Tabla3[[#This Row],[Site]],'Important Info!'!$A$1:$F$135,6,FALSE)</f>
        <v>-</v>
      </c>
      <c r="Q2432" s="91">
        <f>VLOOKUP(Tabla3[[#This Row],[Site]],'Important Info!'!$A$1:$J$135,9,FALSE)</f>
        <v>229</v>
      </c>
    </row>
    <row r="2433" spans="1:17" x14ac:dyDescent="0.25">
      <c r="A2433" t="str">
        <f>+Tabla3[[#This Row],[Site]]&amp;Tabla3[[#This Row],[Split]]</f>
        <v>(AS) Bill Estes Ford (NO TOURS)24</v>
      </c>
      <c r="B2433">
        <v>24</v>
      </c>
      <c r="C2433">
        <v>24</v>
      </c>
      <c r="D2433" t="s">
        <v>62</v>
      </c>
      <c r="E2433" t="s">
        <v>35</v>
      </c>
      <c r="F2433" t="s">
        <v>178</v>
      </c>
      <c r="G2433" t="s">
        <v>490</v>
      </c>
      <c r="H2433" s="52" t="str">
        <f>VLOOKUP(Tabla3[[#This Row],[Site]],'Important Info!'!$A$1:$J$135,10,FALSE)</f>
        <v>https://tools.sig.systems/site/details/125</v>
      </c>
      <c r="J2433" t="s">
        <v>41</v>
      </c>
      <c r="K2433" s="79" t="str">
        <f>VLOOKUP(Tabla3[[#This Row],[Site]],'Important Info!'!$A$1:$H$135,8,FALSE)</f>
        <v>-</v>
      </c>
      <c r="L2433" s="52" t="str">
        <f>VLOOKUP(Tabla3[[#This Row],[Site]],'Important Info!'!$A$1:$F$135,2,FALSE)</f>
        <v>-</v>
      </c>
      <c r="M2433" s="52" t="str">
        <f>VLOOKUP(Tabla3[[#This Row],[Site]],'Important Info!'!$A$1:$F$135,3,FALSE)</f>
        <v>2, 3, 13, 16</v>
      </c>
      <c r="N2433" s="52" t="str">
        <f>VLOOKUP(Tabla3[[#This Row],[Site]],'Important Info!'!$A$1:$F$135,4,FALSE)</f>
        <v>-</v>
      </c>
      <c r="O2433" s="52" t="str">
        <f>VLOOKUP(Tabla3[[#This Row],[Site]],'Important Info!'!$A$1:$F$135,5,FALSE)</f>
        <v>1, 10, 14, 19</v>
      </c>
      <c r="P2433" s="52" t="str">
        <f>VLOOKUP(Tabla3[[#This Row],[Site]],'Important Info!'!$A$1:$F$135,6,FALSE)</f>
        <v>7, 8, 9, 10, 11, 12, 14</v>
      </c>
      <c r="Q2433" s="91">
        <f>VLOOKUP(Tabla3[[#This Row],[Site]],'Important Info!'!$A$1:$J$135,9,FALSE)</f>
        <v>125</v>
      </c>
    </row>
    <row r="2434" spans="1:17" x14ac:dyDescent="0.25">
      <c r="A2434" t="str">
        <f>+Tabla3[[#This Row],[Site]]&amp;Tabla3[[#This Row],[Split]]</f>
        <v>(AS) Park Place Volvo Service Center (NO TOURS)24</v>
      </c>
      <c r="B2434">
        <v>24</v>
      </c>
      <c r="C2434">
        <v>24</v>
      </c>
      <c r="D2434" t="s">
        <v>33</v>
      </c>
      <c r="E2434" t="s">
        <v>46</v>
      </c>
      <c r="F2434" t="s">
        <v>522</v>
      </c>
      <c r="G2434" t="s">
        <v>34</v>
      </c>
      <c r="H2434" s="52" t="str">
        <f>VLOOKUP(Tabla3[[#This Row],[Site]],'Important Info!'!$A$1:$J$135,10,FALSE)</f>
        <v>https://tools.sig.systems/site/details/171</v>
      </c>
      <c r="I2434" s="65" t="s">
        <v>125</v>
      </c>
      <c r="J2434" t="s">
        <v>41</v>
      </c>
      <c r="K2434" s="79" t="str">
        <f>VLOOKUP(Tabla3[[#This Row],[Site]],'Important Info!'!$A$1:$H$135,8,FALSE)</f>
        <v>-</v>
      </c>
      <c r="L2434" s="52" t="str">
        <f>VLOOKUP(Tabla3[[#This Row],[Site]],'Important Info!'!$A$1:$F$135,2,FALSE)</f>
        <v>3, 6, 9, 27, 31, 35</v>
      </c>
      <c r="M2434" s="52" t="str">
        <f>VLOOKUP(Tabla3[[#This Row],[Site]],'Important Info!'!$A$1:$F$135,3,FALSE)</f>
        <v>-</v>
      </c>
      <c r="N2434" s="52" t="str">
        <f>VLOOKUP(Tabla3[[#This Row],[Site]],'Important Info!'!$A$1:$F$135,4,FALSE)</f>
        <v>-</v>
      </c>
      <c r="O2434" s="52" t="str">
        <f>VLOOKUP(Tabla3[[#This Row],[Site]],'Important Info!'!$A$1:$F$135,5,FALSE)</f>
        <v>27, 32</v>
      </c>
      <c r="P2434" s="52" t="str">
        <f>VLOOKUP(Tabla3[[#This Row],[Site]],'Important Info!'!$A$1:$F$135,6,FALSE)</f>
        <v>-</v>
      </c>
      <c r="Q2434" s="91">
        <f>VLOOKUP(Tabla3[[#This Row],[Site]],'Important Info!'!$A$1:$J$135,9,FALSE)</f>
        <v>171</v>
      </c>
    </row>
    <row r="2435" spans="1:17" x14ac:dyDescent="0.25">
      <c r="A2435" t="str">
        <f>+Tabla3[[#This Row],[Site]]&amp;Tabla3[[#This Row],[Split]]</f>
        <v>(DT) Wichita24</v>
      </c>
      <c r="B2435">
        <v>24</v>
      </c>
      <c r="C2435">
        <v>24</v>
      </c>
      <c r="D2435" t="s">
        <v>33</v>
      </c>
      <c r="E2435" t="s">
        <v>46</v>
      </c>
      <c r="F2435" t="s">
        <v>131</v>
      </c>
      <c r="G2435" t="s">
        <v>34</v>
      </c>
      <c r="H2435" s="52" t="str">
        <f>VLOOKUP(Tabla3[[#This Row],[Site]],'Important Info!'!$A$1:$J$135,10,FALSE)</f>
        <v>https://tools.sig.systems/site/details/257</v>
      </c>
      <c r="J2435" t="s">
        <v>41</v>
      </c>
      <c r="K2435" s="79" t="str">
        <f>VLOOKUP(Tabla3[[#This Row],[Site]],'Important Info!'!$A$1:$H$135,8,FALSE)</f>
        <v>-</v>
      </c>
      <c r="L2435" s="52" t="str">
        <f>VLOOKUP(Tabla3[[#This Row],[Site]],'Important Info!'!$A$1:$F$135,2,FALSE)</f>
        <v>-</v>
      </c>
      <c r="M2435" s="52" t="str">
        <f>VLOOKUP(Tabla3[[#This Row],[Site]],'Important Info!'!$A$1:$F$135,3,FALSE)</f>
        <v>10, 11</v>
      </c>
      <c r="N2435" s="52" t="str">
        <f>VLOOKUP(Tabla3[[#This Row],[Site]],'Important Info!'!$A$1:$F$135,4,FALSE)</f>
        <v>-</v>
      </c>
      <c r="O2435" s="52" t="str">
        <f>VLOOKUP(Tabla3[[#This Row],[Site]],'Important Info!'!$A$1:$F$135,5,FALSE)</f>
        <v>-</v>
      </c>
      <c r="P2435" s="52" t="str">
        <f>VLOOKUP(Tabla3[[#This Row],[Site]],'Important Info!'!$A$1:$F$135,6,FALSE)</f>
        <v>1, 5, 6, 10</v>
      </c>
      <c r="Q2435" s="91">
        <f>VLOOKUP(Tabla3[[#This Row],[Site]],'Important Info!'!$A$1:$J$135,9,FALSE)</f>
        <v>257</v>
      </c>
    </row>
    <row r="2436" spans="1:17" x14ac:dyDescent="0.25">
      <c r="A2436" t="str">
        <f>+Tabla3[[#This Row],[Site]]&amp;Tabla3[[#This Row],[Split]]</f>
        <v>(PE) Hudson Toyota Nissan CDJR (NO TOURS)24</v>
      </c>
      <c r="B2436">
        <v>24</v>
      </c>
      <c r="C2436">
        <v>24</v>
      </c>
      <c r="D2436" t="s">
        <v>485</v>
      </c>
      <c r="E2436" t="s">
        <v>35</v>
      </c>
      <c r="F2436" t="s">
        <v>82</v>
      </c>
      <c r="G2436" t="s">
        <v>490</v>
      </c>
      <c r="H2436" s="52" t="str">
        <f>VLOOKUP(Tabla3[[#This Row],[Site]],'Important Info!'!$A$1:$J$135,10,FALSE)</f>
        <v>https://tools.sig.systems/site/details/156</v>
      </c>
      <c r="J2436" t="s">
        <v>41</v>
      </c>
      <c r="K2436" s="79" t="str">
        <f>VLOOKUP(Tabla3[[#This Row],[Site]],'Important Info!'!$A$1:$H$135,8,FALSE)</f>
        <v>-</v>
      </c>
      <c r="L2436" s="52">
        <f>VLOOKUP(Tabla3[[#This Row],[Site]],'Important Info!'!$A$1:$F$135,2,FALSE)</f>
        <v>5</v>
      </c>
      <c r="M2436" s="52" t="str">
        <f>VLOOKUP(Tabla3[[#This Row],[Site]],'Important Info!'!$A$1:$F$135,3,FALSE)</f>
        <v>3, 7, 18</v>
      </c>
      <c r="N2436" s="52" t="str">
        <f>VLOOKUP(Tabla3[[#This Row],[Site]],'Important Info!'!$A$1:$F$135,4,FALSE)</f>
        <v>-</v>
      </c>
      <c r="O2436" s="52">
        <f>VLOOKUP(Tabla3[[#This Row],[Site]],'Important Info!'!$A$1:$F$135,5,FALSE)</f>
        <v>84</v>
      </c>
      <c r="P2436" s="52" t="str">
        <f>VLOOKUP(Tabla3[[#This Row],[Site]],'Important Info!'!$A$1:$F$135,6,FALSE)</f>
        <v>1, 2, 3, 4, 5, 6, 7, 8</v>
      </c>
      <c r="Q2436" s="91">
        <f>VLOOKUP(Tabla3[[#This Row],[Site]],'Important Info!'!$A$1:$J$135,9,FALSE)</f>
        <v>156</v>
      </c>
    </row>
    <row r="2437" spans="1:17" x14ac:dyDescent="0.25">
      <c r="A2437" t="str">
        <f>+Tabla3[[#This Row],[Site]]&amp;Tabla3[[#This Row],[Split]]</f>
        <v>(RV) Toms Camperland Mesa (NO TOURS)24</v>
      </c>
      <c r="B2437">
        <v>24</v>
      </c>
      <c r="C2437">
        <v>24</v>
      </c>
      <c r="D2437" t="s">
        <v>51</v>
      </c>
      <c r="E2437" t="s">
        <v>161</v>
      </c>
      <c r="F2437" t="s">
        <v>81</v>
      </c>
      <c r="G2437" t="s">
        <v>52</v>
      </c>
      <c r="H2437" s="52" t="str">
        <f>VLOOKUP(Tabla3[[#This Row],[Site]],'Important Info!'!$A$1:$J$135,10,FALSE)</f>
        <v>https://tools.sig.systems/site/details/222</v>
      </c>
      <c r="J2437" t="s">
        <v>41</v>
      </c>
      <c r="K2437" s="79" t="str">
        <f>VLOOKUP(Tabla3[[#This Row],[Site]],'Important Info!'!$A$1:$H$135,8,FALSE)</f>
        <v>-</v>
      </c>
      <c r="L2437" s="52" t="str">
        <f>VLOOKUP(Tabla3[[#This Row],[Site]],'Important Info!'!$A$1:$F$135,2,FALSE)</f>
        <v>1, 2</v>
      </c>
      <c r="M2437" s="52" t="str">
        <f>VLOOKUP(Tabla3[[#This Row],[Site]],'Important Info!'!$A$1:$F$135,3,FALSE)</f>
        <v>-</v>
      </c>
      <c r="N2437" s="52" t="str">
        <f>VLOOKUP(Tabla3[[#This Row],[Site]],'Important Info!'!$A$1:$F$135,4,FALSE)</f>
        <v>-</v>
      </c>
      <c r="O2437" s="52" t="str">
        <f>VLOOKUP(Tabla3[[#This Row],[Site]],'Important Info!'!$A$1:$F$135,5,FALSE)</f>
        <v>-</v>
      </c>
      <c r="P2437" s="52" t="str">
        <f>VLOOKUP(Tabla3[[#This Row],[Site]],'Important Info!'!$A$1:$F$135,6,FALSE)</f>
        <v>1, 4, 6, 8, 10, 18</v>
      </c>
      <c r="Q2437" s="91">
        <f>VLOOKUP(Tabla3[[#This Row],[Site]],'Important Info!'!$A$1:$J$135,9,FALSE)</f>
        <v>222</v>
      </c>
    </row>
    <row r="2438" spans="1:17" x14ac:dyDescent="0.25">
      <c r="A2438" t="str">
        <f>+Tabla3[[#This Row],[Site]]&amp;Tabla3[[#This Row],[Split]]</f>
        <v>(AS) Park Place Acura (NO TOURS)25</v>
      </c>
      <c r="B2438">
        <v>25</v>
      </c>
      <c r="C2438">
        <v>1</v>
      </c>
      <c r="D2438" t="s">
        <v>33</v>
      </c>
      <c r="E2438" t="s">
        <v>46</v>
      </c>
      <c r="F2438" t="s">
        <v>513</v>
      </c>
      <c r="G2438" t="s">
        <v>34</v>
      </c>
      <c r="H2438" s="52" t="str">
        <f>VLOOKUP(Tabla3[[#This Row],[Site]],'Important Info!'!$A$1:$J$135,10,FALSE)</f>
        <v>https://tools.sig.systems/site/details/259</v>
      </c>
      <c r="I2438" s="63" t="s">
        <v>127</v>
      </c>
      <c r="J2438" t="s">
        <v>41</v>
      </c>
      <c r="K2438" s="79" t="str">
        <f>VLOOKUP(Tabla3[[#This Row],[Site]],'Important Info!'!$A$1:$H$135,8,FALSE)</f>
        <v>-</v>
      </c>
      <c r="L2438" s="52" t="str">
        <f>VLOOKUP(Tabla3[[#This Row],[Site]],'Important Info!'!$A$1:$F$135,2,FALSE)</f>
        <v>1, 2, 14, 16</v>
      </c>
      <c r="M2438" s="52" t="str">
        <f>VLOOKUP(Tabla3[[#This Row],[Site]],'Important Info!'!$A$1:$F$135,3,FALSE)</f>
        <v>-</v>
      </c>
      <c r="N2438" s="52" t="str">
        <f>VLOOKUP(Tabla3[[#This Row],[Site]],'Important Info!'!$A$1:$F$135,4,FALSE)</f>
        <v>-</v>
      </c>
      <c r="O2438" s="52" t="str">
        <f>VLOOKUP(Tabla3[[#This Row],[Site]],'Important Info!'!$A$1:$F$135,5,FALSE)</f>
        <v>1, 7, 13</v>
      </c>
      <c r="P2438" s="52" t="str">
        <f>VLOOKUP(Tabla3[[#This Row],[Site]],'Important Info!'!$A$1:$F$135,6,FALSE)</f>
        <v>-</v>
      </c>
      <c r="Q2438" s="91">
        <f>VLOOKUP(Tabla3[[#This Row],[Site]],'Important Info!'!$A$1:$J$135,9,FALSE)</f>
        <v>259</v>
      </c>
    </row>
    <row r="2439" spans="1:17" x14ac:dyDescent="0.25">
      <c r="A2439" t="str">
        <f>+Tabla3[[#This Row],[Site]]&amp;Tabla3[[#This Row],[Split]]</f>
        <v>(AS) Park Place Bodywerks Ft. Worth (NO TOURS)25</v>
      </c>
      <c r="B2439">
        <v>25</v>
      </c>
      <c r="C2439">
        <v>1</v>
      </c>
      <c r="D2439" t="s">
        <v>33</v>
      </c>
      <c r="E2439" t="s">
        <v>46</v>
      </c>
      <c r="F2439" t="s">
        <v>515</v>
      </c>
      <c r="G2439" t="s">
        <v>34</v>
      </c>
      <c r="H2439" s="52" t="str">
        <f>VLOOKUP(Tabla3[[#This Row],[Site]],'Important Info!'!$A$1:$J$135,10,FALSE)</f>
        <v>https://tools.sig.systems/site/details/134</v>
      </c>
      <c r="I2439" s="65" t="s">
        <v>128</v>
      </c>
      <c r="J2439" t="s">
        <v>41</v>
      </c>
      <c r="K2439" s="79" t="str">
        <f>VLOOKUP(Tabla3[[#This Row],[Site]],'Important Info!'!$A$1:$H$135,8,FALSE)</f>
        <v>-</v>
      </c>
      <c r="L2439" s="52" t="str">
        <f>VLOOKUP(Tabla3[[#This Row],[Site]],'Important Info!'!$A$1:$F$135,2,FALSE)</f>
        <v>2, 3, RemoteLot5, RemoteLot9</v>
      </c>
      <c r="M2439" s="52" t="str">
        <f>VLOOKUP(Tabla3[[#This Row],[Site]],'Important Info!'!$A$1:$F$135,3,FALSE)</f>
        <v>-</v>
      </c>
      <c r="N2439" s="52" t="str">
        <f>VLOOKUP(Tabla3[[#This Row],[Site]],'Important Info!'!$A$1:$F$135,4,FALSE)</f>
        <v>-</v>
      </c>
      <c r="O2439" s="52" t="str">
        <f>VLOOKUP(Tabla3[[#This Row],[Site]],'Important Info!'!$A$1:$F$135,5,FALSE)</f>
        <v>1, 7, RL1, RL5, RL9</v>
      </c>
      <c r="P2439" s="52" t="str">
        <f>VLOOKUP(Tabla3[[#This Row],[Site]],'Important Info!'!$A$1:$F$135,6,FALSE)</f>
        <v>3, 4, 15</v>
      </c>
      <c r="Q2439" s="91">
        <f>VLOOKUP(Tabla3[[#This Row],[Site]],'Important Info!'!$A$1:$J$135,9,FALSE)</f>
        <v>134</v>
      </c>
    </row>
    <row r="2440" spans="1:17" x14ac:dyDescent="0.25">
      <c r="A2440" t="str">
        <f>+Tabla3[[#This Row],[Site]]&amp;Tabla3[[#This Row],[Split]]</f>
        <v>(DT) Louisville25</v>
      </c>
      <c r="B2440">
        <v>25</v>
      </c>
      <c r="C2440">
        <v>1</v>
      </c>
      <c r="D2440" t="s">
        <v>62</v>
      </c>
      <c r="E2440" t="s">
        <v>35</v>
      </c>
      <c r="F2440" t="s">
        <v>99</v>
      </c>
      <c r="G2440" t="s">
        <v>490</v>
      </c>
      <c r="H2440" s="52" t="str">
        <f>VLOOKUP(Tabla3[[#This Row],[Site]],'Important Info!'!$A$1:$J$135,10,FALSE)</f>
        <v>https://tools.sig.systems/site/details/258</v>
      </c>
      <c r="J2440" t="s">
        <v>41</v>
      </c>
      <c r="K2440" s="79" t="str">
        <f>VLOOKUP(Tabla3[[#This Row],[Site]],'Important Info!'!$A$1:$H$135,8,FALSE)</f>
        <v>-</v>
      </c>
      <c r="L2440" s="52" t="str">
        <f>VLOOKUP(Tabla3[[#This Row],[Site]],'Important Info!'!$A$1:$F$135,2,FALSE)</f>
        <v>-</v>
      </c>
      <c r="M2440" s="52">
        <f>VLOOKUP(Tabla3[[#This Row],[Site]],'Important Info!'!$A$1:$F$135,3,FALSE)</f>
        <v>3</v>
      </c>
      <c r="N2440" s="52" t="str">
        <f>VLOOKUP(Tabla3[[#This Row],[Site]],'Important Info!'!$A$1:$F$135,4,FALSE)</f>
        <v>-</v>
      </c>
      <c r="O2440" s="52" t="str">
        <f>VLOOKUP(Tabla3[[#This Row],[Site]],'Important Info!'!$A$1:$F$135,5,FALSE)</f>
        <v>-</v>
      </c>
      <c r="P2440" s="52" t="str">
        <f>VLOOKUP(Tabla3[[#This Row],[Site]],'Important Info!'!$A$1:$F$135,6,FALSE)</f>
        <v>3, 8</v>
      </c>
      <c r="Q2440" s="91">
        <f>VLOOKUP(Tabla3[[#This Row],[Site]],'Important Info!'!$A$1:$J$135,9,FALSE)</f>
        <v>258</v>
      </c>
    </row>
    <row r="2441" spans="1:17" x14ac:dyDescent="0.25">
      <c r="A2441" t="str">
        <f>+Tabla3[[#This Row],[Site]]&amp;Tabla3[[#This Row],[Split]]</f>
        <v>(ML) Nissan Of Benton25</v>
      </c>
      <c r="B2441">
        <v>25</v>
      </c>
      <c r="C2441">
        <v>1</v>
      </c>
      <c r="D2441" t="s">
        <v>33</v>
      </c>
      <c r="E2441" t="s">
        <v>46</v>
      </c>
      <c r="F2441" t="s">
        <v>120</v>
      </c>
      <c r="G2441" t="s">
        <v>34</v>
      </c>
      <c r="H2441" s="52" t="str">
        <f>VLOOKUP(Tabla3[[#This Row],[Site]],'Important Info!'!$A$1:$J$135,10,FALSE)</f>
        <v>https://tools.sig.systems/site/details/247</v>
      </c>
      <c r="I2441" s="43"/>
      <c r="J2441" t="s">
        <v>41</v>
      </c>
      <c r="K2441" s="79" t="str">
        <f>VLOOKUP(Tabla3[[#This Row],[Site]],'Important Info!'!$A$1:$H$135,8,FALSE)</f>
        <v>-</v>
      </c>
      <c r="L2441" s="52" t="str">
        <f>VLOOKUP(Tabla3[[#This Row],[Site]],'Important Info!'!$A$1:$F$135,2,FALSE)</f>
        <v>5, 12</v>
      </c>
      <c r="M2441" s="52" t="str">
        <f>VLOOKUP(Tabla3[[#This Row],[Site]],'Important Info!'!$A$1:$F$135,3,FALSE)</f>
        <v>-</v>
      </c>
      <c r="N2441" s="52" t="str">
        <f>VLOOKUP(Tabla3[[#This Row],[Site]],'Important Info!'!$A$1:$F$135,4,FALSE)</f>
        <v>-</v>
      </c>
      <c r="O2441" s="52" t="str">
        <f>VLOOKUP(Tabla3[[#This Row],[Site]],'Important Info!'!$A$1:$F$135,5,FALSE)</f>
        <v>4, 18</v>
      </c>
      <c r="P2441" s="52" t="str">
        <f>VLOOKUP(Tabla3[[#This Row],[Site]],'Important Info!'!$A$1:$F$135,6,FALSE)</f>
        <v>-</v>
      </c>
      <c r="Q2441" s="91">
        <f>VLOOKUP(Tabla3[[#This Row],[Site]],'Important Info!'!$A$1:$J$135,9,FALSE)</f>
        <v>247</v>
      </c>
    </row>
    <row r="2442" spans="1:17" x14ac:dyDescent="0.25">
      <c r="A2442" t="str">
        <f>+Tabla3[[#This Row],[Site]]&amp;Tabla3[[#This Row],[Split]]</f>
        <v>(PE) Scofield Service Center (NO TOURS)25</v>
      </c>
      <c r="B2442">
        <v>25</v>
      </c>
      <c r="C2442">
        <v>1</v>
      </c>
      <c r="D2442" t="s">
        <v>485</v>
      </c>
      <c r="E2442" t="s">
        <v>35</v>
      </c>
      <c r="F2442" t="s">
        <v>83</v>
      </c>
      <c r="G2442" t="s">
        <v>490</v>
      </c>
      <c r="H2442" s="52" t="str">
        <f>VLOOKUP(Tabla3[[#This Row],[Site]],'Important Info!'!$A$1:$J$135,10,FALSE)</f>
        <v>https://tools.sig.systems/site/details/193</v>
      </c>
      <c r="I2442" t="s">
        <v>177</v>
      </c>
      <c r="J2442" t="s">
        <v>41</v>
      </c>
      <c r="K2442" s="79" t="str">
        <f>VLOOKUP(Tabla3[[#This Row],[Site]],'Important Info!'!$A$1:$H$135,8,FALSE)</f>
        <v>-</v>
      </c>
      <c r="L2442" s="52">
        <f>VLOOKUP(Tabla3[[#This Row],[Site]],'Important Info!'!$A$1:$F$135,2,FALSE)</f>
        <v>1</v>
      </c>
      <c r="M2442" s="52" t="str">
        <f>VLOOKUP(Tabla3[[#This Row],[Site]],'Important Info!'!$A$1:$F$135,3,FALSE)</f>
        <v>-</v>
      </c>
      <c r="N2442" s="52" t="str">
        <f>VLOOKUP(Tabla3[[#This Row],[Site]],'Important Info!'!$A$1:$F$135,4,FALSE)</f>
        <v>-</v>
      </c>
      <c r="O2442" s="52">
        <f>VLOOKUP(Tabla3[[#This Row],[Site]],'Important Info!'!$A$1:$F$135,5,FALSE)</f>
        <v>9</v>
      </c>
      <c r="P2442" s="52" t="str">
        <f>VLOOKUP(Tabla3[[#This Row],[Site]],'Important Info!'!$A$1:$F$135,6,FALSE)</f>
        <v>1, 17</v>
      </c>
      <c r="Q2442" s="91">
        <f>VLOOKUP(Tabla3[[#This Row],[Site]],'Important Info!'!$A$1:$J$135,9,FALSE)</f>
        <v>193</v>
      </c>
    </row>
    <row r="2443" spans="1:17" x14ac:dyDescent="0.25">
      <c r="A2443" t="str">
        <f>+Tabla3[[#This Row],[Site]]&amp;Tabla3[[#This Row],[Split]]</f>
        <v>(RV) Toms Camperland Avondale (NO TOURS)25</v>
      </c>
      <c r="B2443">
        <v>25</v>
      </c>
      <c r="C2443">
        <v>1</v>
      </c>
      <c r="D2443" t="s">
        <v>51</v>
      </c>
      <c r="E2443" t="s">
        <v>161</v>
      </c>
      <c r="F2443" t="s">
        <v>80</v>
      </c>
      <c r="G2443" t="s">
        <v>52</v>
      </c>
      <c r="H2443" s="52" t="str">
        <f>VLOOKUP(Tabla3[[#This Row],[Site]],'Important Info!'!$A$1:$J$135,10,FALSE)</f>
        <v>https://tools.sig.systems/site/details/248</v>
      </c>
      <c r="I2443" s="43" t="s">
        <v>163</v>
      </c>
      <c r="J2443" t="s">
        <v>164</v>
      </c>
      <c r="K2443" s="79" t="str">
        <f>VLOOKUP(Tabla3[[#This Row],[Site]],'Important Info!'!$A$1:$H$135,8,FALSE)</f>
        <v>-</v>
      </c>
      <c r="L2443" s="52">
        <f>VLOOKUP(Tabla3[[#This Row],[Site]],'Important Info!'!$A$1:$F$135,2,FALSE)</f>
        <v>10</v>
      </c>
      <c r="M2443" s="52" t="str">
        <f>VLOOKUP(Tabla3[[#This Row],[Site]],'Important Info!'!$A$1:$F$135,3,FALSE)</f>
        <v>2, 7</v>
      </c>
      <c r="N2443" s="52" t="str">
        <f>VLOOKUP(Tabla3[[#This Row],[Site]],'Important Info!'!$A$1:$F$135,4,FALSE)</f>
        <v>-</v>
      </c>
      <c r="O2443" s="52" t="str">
        <f>VLOOKUP(Tabla3[[#This Row],[Site]],'Important Info!'!$A$1:$F$135,5,FALSE)</f>
        <v>-</v>
      </c>
      <c r="P2443" s="52" t="str">
        <f>VLOOKUP(Tabla3[[#This Row],[Site]],'Important Info!'!$A$1:$F$135,6,FALSE)</f>
        <v>2, 7, 8, 13, 15</v>
      </c>
      <c r="Q2443" s="91">
        <f>VLOOKUP(Tabla3[[#This Row],[Site]],'Important Info!'!$A$1:$J$135,9,FALSE)</f>
        <v>248</v>
      </c>
    </row>
    <row r="2444" spans="1:17" x14ac:dyDescent="0.25">
      <c r="A2444" t="str">
        <f>+Tabla3[[#This Row],[Site]]&amp;Tabla3[[#This Row],[Split]]</f>
        <v>(JE) Jim Ellis Ford Sandy Springs25</v>
      </c>
      <c r="B2444">
        <v>25</v>
      </c>
      <c r="C2444">
        <v>2</v>
      </c>
      <c r="D2444" t="s">
        <v>62</v>
      </c>
      <c r="E2444" t="s">
        <v>35</v>
      </c>
      <c r="F2444" s="41" t="s">
        <v>187</v>
      </c>
      <c r="G2444" t="s">
        <v>490</v>
      </c>
      <c r="H2444" s="52" t="str">
        <f>VLOOKUP(Tabla3[[#This Row],[Site]],'Important Info!'!$A$1:$J$135,10,FALSE)</f>
        <v>https://tools.sig.systems/site/details/142</v>
      </c>
      <c r="I2444" s="2"/>
      <c r="J2444" t="s">
        <v>41</v>
      </c>
      <c r="K2444" s="79" t="str">
        <f>VLOOKUP(Tabla3[[#This Row],[Site]],'Important Info!'!$A$1:$H$135,8,FALSE)</f>
        <v>-</v>
      </c>
      <c r="L2444" s="52" t="str">
        <f>VLOOKUP(Tabla3[[#This Row],[Site]],'Important Info!'!$A$1:$F$135,2,FALSE)</f>
        <v>1, 5</v>
      </c>
      <c r="M2444" s="52" t="str">
        <f>VLOOKUP(Tabla3[[#This Row],[Site]],'Important Info!'!$A$1:$F$135,3,FALSE)</f>
        <v>-</v>
      </c>
      <c r="N2444" s="52" t="str">
        <f>VLOOKUP(Tabla3[[#This Row],[Site]],'Important Info!'!$A$1:$F$135,4,FALSE)</f>
        <v>-</v>
      </c>
      <c r="O2444" s="52" t="str">
        <f>VLOOKUP(Tabla3[[#This Row],[Site]],'Important Info!'!$A$1:$F$135,5,FALSE)</f>
        <v>1, 5, 9, 26</v>
      </c>
      <c r="P2444" s="52" t="str">
        <f>VLOOKUP(Tabla3[[#This Row],[Site]],'Important Info!'!$A$1:$F$135,6,FALSE)</f>
        <v>3, 4, 8, 28</v>
      </c>
      <c r="Q2444" s="91">
        <f>VLOOKUP(Tabla3[[#This Row],[Site]],'Important Info!'!$A$1:$J$135,9,FALSE)</f>
        <v>142</v>
      </c>
    </row>
    <row r="2445" spans="1:17" x14ac:dyDescent="0.25">
      <c r="A2445" t="str">
        <f>+Tabla3[[#This Row],[Site]]&amp;Tabla3[[#This Row],[Split]]</f>
        <v>(KG) Texan CDJR25</v>
      </c>
      <c r="B2445">
        <v>25</v>
      </c>
      <c r="C2445">
        <v>2</v>
      </c>
      <c r="D2445" t="s">
        <v>33</v>
      </c>
      <c r="E2445" t="s">
        <v>46</v>
      </c>
      <c r="F2445" t="s">
        <v>70</v>
      </c>
      <c r="G2445" t="s">
        <v>34</v>
      </c>
      <c r="H2445" s="52" t="str">
        <f>VLOOKUP(Tabla3[[#This Row],[Site]],'Important Info!'!$A$1:$J$135,10,FALSE)</f>
        <v>https://tools.sig.systems/site/details/238</v>
      </c>
      <c r="I2445" s="2" t="s">
        <v>137</v>
      </c>
      <c r="J2445" t="s">
        <v>41</v>
      </c>
      <c r="K2445" s="79" t="str">
        <f>VLOOKUP(Tabla3[[#This Row],[Site]],'Important Info!'!$A$1:$H$135,8,FALSE)</f>
        <v>-</v>
      </c>
      <c r="L2445" s="52" t="str">
        <f>VLOOKUP(Tabla3[[#This Row],[Site]],'Important Info!'!$A$1:$F$135,2,FALSE)</f>
        <v>11, 12, 13, 14, 20, 32, 34, 36, 77</v>
      </c>
      <c r="M2445" s="52" t="str">
        <f>VLOOKUP(Tabla3[[#This Row],[Site]],'Important Info!'!$A$1:$F$135,3,FALSE)</f>
        <v>-</v>
      </c>
      <c r="N2445" s="52" t="str">
        <f>VLOOKUP(Tabla3[[#This Row],[Site]],'Important Info!'!$A$1:$F$135,4,FALSE)</f>
        <v>67, 68, 69, 70</v>
      </c>
      <c r="O2445" s="52" t="str">
        <f>VLOOKUP(Tabla3[[#This Row],[Site]],'Important Info!'!$A$1:$F$135,5,FALSE)</f>
        <v>2, 10, 14, 25, 29, 35, 38</v>
      </c>
      <c r="P2445" s="52" t="str">
        <f>VLOOKUP(Tabla3[[#This Row],[Site]],'Important Info!'!$A$1:$F$135,6,FALSE)</f>
        <v>36, 46</v>
      </c>
      <c r="Q2445" s="91">
        <f>VLOOKUP(Tabla3[[#This Row],[Site]],'Important Info!'!$A$1:$J$135,9,FALSE)</f>
        <v>238</v>
      </c>
    </row>
    <row r="2446" spans="1:17" x14ac:dyDescent="0.25">
      <c r="A2446" t="str">
        <f>+Tabla3[[#This Row],[Site]]&amp;Tabla3[[#This Row],[Split]]</f>
        <v>(ML) Columbia Honda (NO TOURS)25</v>
      </c>
      <c r="B2446">
        <v>25</v>
      </c>
      <c r="C2446">
        <v>2</v>
      </c>
      <c r="D2446" t="s">
        <v>33</v>
      </c>
      <c r="E2446" t="s">
        <v>46</v>
      </c>
      <c r="F2446" t="s">
        <v>143</v>
      </c>
      <c r="G2446" t="s">
        <v>34</v>
      </c>
      <c r="H2446" s="52" t="str">
        <f>VLOOKUP(Tabla3[[#This Row],[Site]],'Important Info!'!$A$1:$J$135,10,FALSE)</f>
        <v>https://tools.sig.systems/site/details/272</v>
      </c>
      <c r="I2446" s="2" t="s">
        <v>144</v>
      </c>
      <c r="J2446" t="s">
        <v>41</v>
      </c>
      <c r="K2446" s="79" t="str">
        <f>VLOOKUP(Tabla3[[#This Row],[Site]],'Important Info!'!$A$1:$H$135,8,FALSE)</f>
        <v>-</v>
      </c>
      <c r="L2446" s="52" t="str">
        <f>VLOOKUP(Tabla3[[#This Row],[Site]],'Important Info!'!$A$1:$F$135,2,FALSE)</f>
        <v>-</v>
      </c>
      <c r="M2446" s="52" t="str">
        <f>VLOOKUP(Tabla3[[#This Row],[Site]],'Important Info!'!$A$1:$F$135,3,FALSE)</f>
        <v>9, 19, 20</v>
      </c>
      <c r="N2446" s="52" t="str">
        <f>VLOOKUP(Tabla3[[#This Row],[Site]],'Important Info!'!$A$1:$F$135,4,FALSE)</f>
        <v>-</v>
      </c>
      <c r="O2446" s="52" t="str">
        <f>VLOOKUP(Tabla3[[#This Row],[Site]],'Important Info!'!$A$1:$F$135,5,FALSE)</f>
        <v>10, 17, 19</v>
      </c>
      <c r="P2446" s="52" t="str">
        <f>VLOOKUP(Tabla3[[#This Row],[Site]],'Important Info!'!$A$1:$F$135,6,FALSE)</f>
        <v>3, 4, 5</v>
      </c>
      <c r="Q2446" s="91">
        <f>VLOOKUP(Tabla3[[#This Row],[Site]],'Important Info!'!$A$1:$J$135,9,FALSE)</f>
        <v>272</v>
      </c>
    </row>
    <row r="2447" spans="1:17" x14ac:dyDescent="0.25">
      <c r="A2447" t="str">
        <f>+Tabla3[[#This Row],[Site]]&amp;Tabla3[[#This Row],[Split]]</f>
        <v>(ML) McLarty Gray-Daniels Ford Lincoln25</v>
      </c>
      <c r="B2447">
        <v>25</v>
      </c>
      <c r="C2447">
        <v>2</v>
      </c>
      <c r="D2447" t="s">
        <v>33</v>
      </c>
      <c r="E2447" t="s">
        <v>46</v>
      </c>
      <c r="F2447" t="s">
        <v>89</v>
      </c>
      <c r="G2447" t="s">
        <v>34</v>
      </c>
      <c r="H2447" s="52" t="str">
        <f>VLOOKUP(Tabla3[[#This Row],[Site]],'Important Info!'!$A$1:$J$135,10,FALSE)</f>
        <v>https://tools.sig.systems/site/details/151</v>
      </c>
      <c r="I2447" s="2" t="s">
        <v>150</v>
      </c>
      <c r="J2447" t="s">
        <v>41</v>
      </c>
      <c r="K2447" s="79" t="str">
        <f>VLOOKUP(Tabla3[[#This Row],[Site]],'Important Info!'!$A$1:$H$135,8,FALSE)</f>
        <v>-</v>
      </c>
      <c r="L2447" s="52">
        <f>VLOOKUP(Tabla3[[#This Row],[Site]],'Important Info!'!$A$1:$F$135,2,FALSE)</f>
        <v>16</v>
      </c>
      <c r="M2447" s="52" t="str">
        <f>VLOOKUP(Tabla3[[#This Row],[Site]],'Important Info!'!$A$1:$F$135,3,FALSE)</f>
        <v>5, 10, 36, 38, 54, 58B</v>
      </c>
      <c r="N2447" s="52" t="str">
        <f>VLOOKUP(Tabla3[[#This Row],[Site]],'Important Info!'!$A$1:$F$135,4,FALSE)</f>
        <v>-</v>
      </c>
      <c r="O2447" s="52" t="str">
        <f>VLOOKUP(Tabla3[[#This Row],[Site]],'Important Info!'!$A$1:$F$135,5,FALSE)</f>
        <v>5, 17, 37</v>
      </c>
      <c r="P2447" s="52" t="str">
        <f>VLOOKUP(Tabla3[[#This Row],[Site]],'Important Info!'!$A$1:$F$135,6,FALSE)</f>
        <v>1, 2, 3, 4</v>
      </c>
      <c r="Q2447" s="91">
        <f>VLOOKUP(Tabla3[[#This Row],[Site]],'Important Info!'!$A$1:$J$135,9,FALSE)</f>
        <v>151</v>
      </c>
    </row>
    <row r="2448" spans="1:17" x14ac:dyDescent="0.25">
      <c r="A2448" t="str">
        <f>+Tabla3[[#This Row],[Site]]&amp;Tabla3[[#This Row],[Split]]</f>
        <v>(AS) Park Place Mercedes Benz Arlington (NO TOURS)25</v>
      </c>
      <c r="B2448">
        <v>25</v>
      </c>
      <c r="C2448">
        <v>3</v>
      </c>
      <c r="D2448" t="s">
        <v>33</v>
      </c>
      <c r="E2448" t="s">
        <v>46</v>
      </c>
      <c r="F2448" t="s">
        <v>518</v>
      </c>
      <c r="G2448" t="s">
        <v>34</v>
      </c>
      <c r="H2448" s="52" t="str">
        <f>VLOOKUP(Tabla3[[#This Row],[Site]],'Important Info!'!$A$1:$J$135,10,FALSE)</f>
        <v>https://tools.sig.systems/site/details/169</v>
      </c>
      <c r="J2448" t="s">
        <v>41</v>
      </c>
      <c r="K2448" s="79" t="str">
        <f>VLOOKUP(Tabla3[[#This Row],[Site]],'Important Info!'!$A$1:$H$135,8,FALSE)</f>
        <v>-</v>
      </c>
      <c r="L2448" s="52" t="str">
        <f>VLOOKUP(Tabla3[[#This Row],[Site]],'Important Info!'!$A$1:$F$135,2,FALSE)</f>
        <v>1, 9, 14</v>
      </c>
      <c r="M2448" s="52" t="str">
        <f>VLOOKUP(Tabla3[[#This Row],[Site]],'Important Info!'!$A$1:$F$135,3,FALSE)</f>
        <v>-</v>
      </c>
      <c r="N2448" s="52" t="str">
        <f>VLOOKUP(Tabla3[[#This Row],[Site]],'Important Info!'!$A$1:$F$135,4,FALSE)</f>
        <v>77, 78, 79, 80</v>
      </c>
      <c r="O2448" s="52" t="str">
        <f>VLOOKUP(Tabla3[[#This Row],[Site]],'Important Info!'!$A$1:$F$135,5,FALSE)</f>
        <v>2, 10, 18, 22, 31, 40</v>
      </c>
      <c r="P2448" s="52">
        <f>VLOOKUP(Tabla3[[#This Row],[Site]],'Important Info!'!$A$1:$F$135,6,FALSE)</f>
        <v>9</v>
      </c>
      <c r="Q2448" s="91">
        <f>VLOOKUP(Tabla3[[#This Row],[Site]],'Important Info!'!$A$1:$J$135,9,FALSE)</f>
        <v>169</v>
      </c>
    </row>
    <row r="2449" spans="1:17" x14ac:dyDescent="0.25">
      <c r="A2449" t="str">
        <f>+Tabla3[[#This Row],[Site]]&amp;Tabla3[[#This Row],[Split]]</f>
        <v>(KG) Texan GMC Buick (NO TOURS)25</v>
      </c>
      <c r="B2449">
        <v>25</v>
      </c>
      <c r="C2449">
        <v>3</v>
      </c>
      <c r="D2449" t="s">
        <v>33</v>
      </c>
      <c r="E2449" t="s">
        <v>46</v>
      </c>
      <c r="F2449" t="s">
        <v>111</v>
      </c>
      <c r="G2449" t="s">
        <v>34</v>
      </c>
      <c r="H2449" s="52" t="str">
        <f>VLOOKUP(Tabla3[[#This Row],[Site]],'Important Info!'!$A$1:$J$135,10,FALSE)</f>
        <v>https://tools.sig.systems/site/details/225</v>
      </c>
      <c r="I2449" s="43" t="s">
        <v>137</v>
      </c>
      <c r="J2449" t="s">
        <v>41</v>
      </c>
      <c r="K2449" s="79" t="str">
        <f>VLOOKUP(Tabla3[[#This Row],[Site]],'Important Info!'!$A$1:$H$135,8,FALSE)</f>
        <v>-</v>
      </c>
      <c r="L2449" s="52" t="str">
        <f>VLOOKUP(Tabla3[[#This Row],[Site]],'Important Info!'!$A$1:$F$135,2,FALSE)</f>
        <v>1, 20, 53</v>
      </c>
      <c r="M2449" s="52" t="str">
        <f>VLOOKUP(Tabla3[[#This Row],[Site]],'Important Info!'!$A$1:$F$135,3,FALSE)</f>
        <v>-</v>
      </c>
      <c r="N2449" s="52" t="str">
        <f>VLOOKUP(Tabla3[[#This Row],[Site]],'Important Info!'!$A$1:$F$135,4,FALSE)</f>
        <v>-</v>
      </c>
      <c r="O2449" s="52" t="str">
        <f>VLOOKUP(Tabla3[[#This Row],[Site]],'Important Info!'!$A$1:$F$135,5,FALSE)</f>
        <v>2, 8, 14</v>
      </c>
      <c r="P2449" s="52" t="str">
        <f>VLOOKUP(Tabla3[[#This Row],[Site]],'Important Info!'!$A$1:$F$135,6,FALSE)</f>
        <v>51, 52, 16</v>
      </c>
      <c r="Q2449" s="91">
        <f>VLOOKUP(Tabla3[[#This Row],[Site]],'Important Info!'!$A$1:$J$135,9,FALSE)</f>
        <v>225</v>
      </c>
    </row>
    <row r="2450" spans="1:17" x14ac:dyDescent="0.25">
      <c r="A2450" t="str">
        <f>+Tabla3[[#This Row],[Site]]&amp;Tabla3[[#This Row],[Split]]</f>
        <v>(LM) Luther Mazda / Mitsubishi25</v>
      </c>
      <c r="B2450">
        <v>25</v>
      </c>
      <c r="C2450">
        <v>3</v>
      </c>
      <c r="D2450" t="s">
        <v>33</v>
      </c>
      <c r="E2450" t="s">
        <v>46</v>
      </c>
      <c r="F2450" t="s">
        <v>103</v>
      </c>
      <c r="G2450" t="s">
        <v>34</v>
      </c>
      <c r="H2450" s="52" t="str">
        <f>VLOOKUP(Tabla3[[#This Row],[Site]],'Important Info!'!$A$1:$J$135,10,FALSE)</f>
        <v>https://tools.sig.systems/site/details/147</v>
      </c>
      <c r="I2450" s="2" t="s">
        <v>138</v>
      </c>
      <c r="J2450" t="s">
        <v>41</v>
      </c>
      <c r="K2450" s="79" t="str">
        <f>VLOOKUP(Tabla3[[#This Row],[Site]],'Important Info!'!$A$1:$H$135,8,FALSE)</f>
        <v>-</v>
      </c>
      <c r="L2450" s="52" t="str">
        <f>VLOOKUP(Tabla3[[#This Row],[Site]],'Important Info!'!$A$1:$F$135,2,FALSE)</f>
        <v>4, 5, 6</v>
      </c>
      <c r="M2450" s="52" t="str">
        <f>VLOOKUP(Tabla3[[#This Row],[Site]],'Important Info!'!$A$1:$F$135,3,FALSE)</f>
        <v>-</v>
      </c>
      <c r="N2450" s="52" t="str">
        <f>VLOOKUP(Tabla3[[#This Row],[Site]],'Important Info!'!$A$1:$F$135,4,FALSE)</f>
        <v>1, 2</v>
      </c>
      <c r="O2450" s="52" t="str">
        <f>VLOOKUP(Tabla3[[#This Row],[Site]],'Important Info!'!$A$1:$F$135,5,FALSE)</f>
        <v>-</v>
      </c>
      <c r="P2450" s="52" t="str">
        <f>VLOOKUP(Tabla3[[#This Row],[Site]],'Important Info!'!$A$1:$F$135,6,FALSE)</f>
        <v>13, 14, 15, 16</v>
      </c>
      <c r="Q2450" s="91">
        <f>VLOOKUP(Tabla3[[#This Row],[Site]],'Important Info!'!$A$1:$J$135,9,FALSE)</f>
        <v>147</v>
      </c>
    </row>
    <row r="2451" spans="1:17" x14ac:dyDescent="0.25">
      <c r="A2451" t="str">
        <f>+Tabla3[[#This Row],[Site]]&amp;Tabla3[[#This Row],[Split]]</f>
        <v>(ML) Joe Machens CDJR25</v>
      </c>
      <c r="B2451">
        <v>25</v>
      </c>
      <c r="C2451">
        <v>3</v>
      </c>
      <c r="D2451" t="s">
        <v>33</v>
      </c>
      <c r="E2451" t="s">
        <v>46</v>
      </c>
      <c r="F2451" t="s">
        <v>88</v>
      </c>
      <c r="G2451" t="s">
        <v>34</v>
      </c>
      <c r="H2451" s="52" t="str">
        <f>VLOOKUP(Tabla3[[#This Row],[Site]],'Important Info!'!$A$1:$J$135,10,FALSE)</f>
        <v>https://tools.sig.systems/site/details/273</v>
      </c>
      <c r="I2451" s="2" t="s">
        <v>146</v>
      </c>
      <c r="J2451" t="s">
        <v>41</v>
      </c>
      <c r="K2451" s="79" t="str">
        <f>VLOOKUP(Tabla3[[#This Row],[Site]],'Important Info!'!$A$1:$H$135,8,FALSE)</f>
        <v>-</v>
      </c>
      <c r="L2451" s="52" t="str">
        <f>VLOOKUP(Tabla3[[#This Row],[Site]],'Important Info!'!$A$1:$F$135,2,FALSE)</f>
        <v>-</v>
      </c>
      <c r="M2451" s="52">
        <f>VLOOKUP(Tabla3[[#This Row],[Site]],'Important Info!'!$A$1:$F$135,3,FALSE)</f>
        <v>3</v>
      </c>
      <c r="N2451" s="52" t="str">
        <f>VLOOKUP(Tabla3[[#This Row],[Site]],'Important Info!'!$A$1:$F$135,4,FALSE)</f>
        <v>-</v>
      </c>
      <c r="O2451" s="52" t="str">
        <f>VLOOKUP(Tabla3[[#This Row],[Site]],'Important Info!'!$A$1:$F$135,5,FALSE)</f>
        <v>-</v>
      </c>
      <c r="P2451" s="52" t="str">
        <f>VLOOKUP(Tabla3[[#This Row],[Site]],'Important Info!'!$A$1:$F$135,6,FALSE)</f>
        <v>1, 2, 3,</v>
      </c>
      <c r="Q2451" s="91">
        <f>VLOOKUP(Tabla3[[#This Row],[Site]],'Important Info!'!$A$1:$J$135,9,FALSE)</f>
        <v>273</v>
      </c>
    </row>
    <row r="2452" spans="1:17" x14ac:dyDescent="0.25">
      <c r="A2452" t="str">
        <f>+Tabla3[[#This Row],[Site]]&amp;Tabla3[[#This Row],[Split]]</f>
        <v>(PE) BMW of Greenwich (NO TOURS)25</v>
      </c>
      <c r="B2452">
        <v>25</v>
      </c>
      <c r="C2452">
        <v>3</v>
      </c>
      <c r="D2452" t="s">
        <v>485</v>
      </c>
      <c r="E2452" t="s">
        <v>35</v>
      </c>
      <c r="F2452" t="s">
        <v>170</v>
      </c>
      <c r="G2452" t="s">
        <v>490</v>
      </c>
      <c r="H2452" s="52" t="str">
        <f>VLOOKUP(Tabla3[[#This Row],[Site]],'Important Info!'!$A$1:$J$135,10,FALSE)</f>
        <v>https://tools.sig.systems/site/details/186</v>
      </c>
      <c r="I2452" s="2" t="s">
        <v>171</v>
      </c>
      <c r="J2452" t="s">
        <v>41</v>
      </c>
      <c r="K2452" s="79" t="str">
        <f>VLOOKUP(Tabla3[[#This Row],[Site]],'Important Info!'!$A$1:$H$135,8,FALSE)</f>
        <v>-</v>
      </c>
      <c r="L2452" s="52" t="str">
        <f>VLOOKUP(Tabla3[[#This Row],[Site]],'Important Info!'!$A$1:$F$135,2,FALSE)</f>
        <v>1, 6, 15</v>
      </c>
      <c r="M2452" s="52" t="str">
        <f>VLOOKUP(Tabla3[[#This Row],[Site]],'Important Info!'!$A$1:$F$135,3,FALSE)</f>
        <v>-</v>
      </c>
      <c r="N2452" s="52" t="str">
        <f>VLOOKUP(Tabla3[[#This Row],[Site]],'Important Info!'!$A$1:$F$135,4,FALSE)</f>
        <v>-</v>
      </c>
      <c r="O2452" s="52" t="str">
        <f>VLOOKUP(Tabla3[[#This Row],[Site]],'Important Info!'!$A$1:$F$135,5,FALSE)</f>
        <v>-</v>
      </c>
      <c r="P2452" s="52">
        <f>VLOOKUP(Tabla3[[#This Row],[Site]],'Important Info!'!$A$1:$F$135,6,FALSE)</f>
        <v>12</v>
      </c>
      <c r="Q2452" s="91">
        <f>VLOOKUP(Tabla3[[#This Row],[Site]],'Important Info!'!$A$1:$J$135,9,FALSE)</f>
        <v>186</v>
      </c>
    </row>
    <row r="2453" spans="1:17" x14ac:dyDescent="0.25">
      <c r="A2453" t="str">
        <f>+Tabla3[[#This Row],[Site]]&amp;Tabla3[[#This Row],[Split]]</f>
        <v>(AS) Park Place Volvo Sales (NO TOURS)25</v>
      </c>
      <c r="B2453">
        <v>25</v>
      </c>
      <c r="C2453">
        <v>4</v>
      </c>
      <c r="D2453" t="s">
        <v>33</v>
      </c>
      <c r="E2453" t="s">
        <v>46</v>
      </c>
      <c r="F2453" t="s">
        <v>521</v>
      </c>
      <c r="G2453" t="s">
        <v>34</v>
      </c>
      <c r="H2453" s="52" t="str">
        <f>VLOOKUP(Tabla3[[#This Row],[Site]],'Important Info!'!$A$1:$J$135,10,FALSE)</f>
        <v>https://tools.sig.systems/site/details/139</v>
      </c>
      <c r="I2453" s="65" t="s">
        <v>125</v>
      </c>
      <c r="J2453" t="s">
        <v>41</v>
      </c>
      <c r="K2453" s="79" t="str">
        <f>VLOOKUP(Tabla3[[#This Row],[Site]],'Important Info!'!$A$1:$H$135,8,FALSE)</f>
        <v>-</v>
      </c>
      <c r="L2453" s="52" t="str">
        <f>VLOOKUP(Tabla3[[#This Row],[Site]],'Important Info!'!$A$1:$F$135,2,FALSE)</f>
        <v>4, 6, 9, 11</v>
      </c>
      <c r="M2453" s="52" t="str">
        <f>VLOOKUP(Tabla3[[#This Row],[Site]],'Important Info!'!$A$1:$F$135,3,FALSE)</f>
        <v>-</v>
      </c>
      <c r="N2453" s="52" t="str">
        <f>VLOOKUP(Tabla3[[#This Row],[Site]],'Important Info!'!$A$1:$F$135,4,FALSE)</f>
        <v>-</v>
      </c>
      <c r="O2453" s="52" t="str">
        <f>VLOOKUP(Tabla3[[#This Row],[Site]],'Important Info!'!$A$1:$F$135,5,FALSE)</f>
        <v>2, 9</v>
      </c>
      <c r="P2453" s="52" t="str">
        <f>VLOOKUP(Tabla3[[#This Row],[Site]],'Important Info!'!$A$1:$F$135,6,FALSE)</f>
        <v>4, 10, 11</v>
      </c>
      <c r="Q2453" s="91">
        <f>VLOOKUP(Tabla3[[#This Row],[Site]],'Important Info!'!$A$1:$J$135,9,FALSE)</f>
        <v>139</v>
      </c>
    </row>
    <row r="2454" spans="1:17" x14ac:dyDescent="0.25">
      <c r="A2454" t="str">
        <f>+Tabla3[[#This Row],[Site]]&amp;Tabla3[[#This Row],[Split]]</f>
        <v>(DT) Denver (NO TOURS)25</v>
      </c>
      <c r="B2454">
        <v>25</v>
      </c>
      <c r="C2454">
        <v>4</v>
      </c>
      <c r="D2454" t="s">
        <v>44</v>
      </c>
      <c r="E2454" t="s">
        <v>53</v>
      </c>
      <c r="F2454" t="s">
        <v>157</v>
      </c>
      <c r="G2454" t="s">
        <v>45</v>
      </c>
      <c r="H2454" s="52" t="str">
        <f>VLOOKUP(Tabla3[[#This Row],[Site]],'Important Info!'!$A$1:$J$135,10,FALSE)</f>
        <v>https://tools.sig.systems/site/details/203</v>
      </c>
      <c r="I2454" s="2" t="s">
        <v>158</v>
      </c>
      <c r="J2454" t="s">
        <v>41</v>
      </c>
      <c r="K2454" s="79" t="str">
        <f>VLOOKUP(Tabla3[[#This Row],[Site]],'Important Info!'!$A$1:$H$135,8,FALSE)</f>
        <v>-</v>
      </c>
      <c r="L2454" s="52" t="str">
        <f>VLOOKUP(Tabla3[[#This Row],[Site]],'Important Info!'!$A$1:$F$135,2,FALSE)</f>
        <v>-</v>
      </c>
      <c r="M2454" s="52" t="str">
        <f>VLOOKUP(Tabla3[[#This Row],[Site]],'Important Info!'!$A$1:$F$135,3,FALSE)</f>
        <v>7, 8</v>
      </c>
      <c r="N2454" s="52" t="str">
        <f>VLOOKUP(Tabla3[[#This Row],[Site]],'Important Info!'!$A$1:$F$135,4,FALSE)</f>
        <v>-</v>
      </c>
      <c r="O2454" s="52" t="str">
        <f>VLOOKUP(Tabla3[[#This Row],[Site]],'Important Info!'!$A$1:$F$135,5,FALSE)</f>
        <v>-</v>
      </c>
      <c r="P2454" s="52" t="str">
        <f>VLOOKUP(Tabla3[[#This Row],[Site]],'Important Info!'!$A$1:$F$135,6,FALSE)</f>
        <v>7, 8</v>
      </c>
      <c r="Q2454" s="91">
        <f>VLOOKUP(Tabla3[[#This Row],[Site]],'Important Info!'!$A$1:$J$135,9,FALSE)</f>
        <v>203</v>
      </c>
    </row>
    <row r="2455" spans="1:17" x14ac:dyDescent="0.25">
      <c r="A2455" t="str">
        <f>+Tabla3[[#This Row],[Site]]&amp;Tabla3[[#This Row],[Split]]</f>
        <v>(ML) Joe Machens VW25</v>
      </c>
      <c r="B2455">
        <v>25</v>
      </c>
      <c r="C2455">
        <v>4</v>
      </c>
      <c r="D2455" t="s">
        <v>33</v>
      </c>
      <c r="E2455" t="s">
        <v>46</v>
      </c>
      <c r="F2455" t="s">
        <v>74</v>
      </c>
      <c r="G2455" t="s">
        <v>34</v>
      </c>
      <c r="H2455" s="52" t="str">
        <f>VLOOKUP(Tabla3[[#This Row],[Site]],'Important Info!'!$A$1:$J$135,10,FALSE)</f>
        <v>https://tools.sig.systems/site/details/274</v>
      </c>
      <c r="I2455" s="43" t="s">
        <v>146</v>
      </c>
      <c r="J2455" t="s">
        <v>41</v>
      </c>
      <c r="K2455" s="79" t="str">
        <f>VLOOKUP(Tabla3[[#This Row],[Site]],'Important Info!'!$A$1:$H$135,8,FALSE)</f>
        <v>-</v>
      </c>
      <c r="L2455" s="52" t="str">
        <f>VLOOKUP(Tabla3[[#This Row],[Site]],'Important Info!'!$A$1:$F$135,2,FALSE)</f>
        <v>-</v>
      </c>
      <c r="M2455" s="52" t="str">
        <f>VLOOKUP(Tabla3[[#This Row],[Site]],'Important Info!'!$A$1:$F$135,3,FALSE)</f>
        <v>1, 11, 18</v>
      </c>
      <c r="N2455" s="52" t="str">
        <f>VLOOKUP(Tabla3[[#This Row],[Site]],'Important Info!'!$A$1:$F$135,4,FALSE)</f>
        <v>-</v>
      </c>
      <c r="O2455" s="52">
        <f>VLOOKUP(Tabla3[[#This Row],[Site]],'Important Info!'!$A$1:$F$135,5,FALSE)</f>
        <v>17</v>
      </c>
      <c r="P2455" s="52" t="str">
        <f>VLOOKUP(Tabla3[[#This Row],[Site]],'Important Info!'!$A$1:$F$135,6,FALSE)</f>
        <v>-</v>
      </c>
      <c r="Q2455" s="91">
        <f>VLOOKUP(Tabla3[[#This Row],[Site]],'Important Info!'!$A$1:$J$135,9,FALSE)</f>
        <v>274</v>
      </c>
    </row>
    <row r="2456" spans="1:17" x14ac:dyDescent="0.25">
      <c r="A2456" t="str">
        <f>+Tabla3[[#This Row],[Site]]&amp;Tabla3[[#This Row],[Split]]</f>
        <v>(PE) Honda of Danbury (NO TOURS)25</v>
      </c>
      <c r="B2456">
        <v>25</v>
      </c>
      <c r="C2456">
        <v>4</v>
      </c>
      <c r="D2456" t="s">
        <v>485</v>
      </c>
      <c r="E2456" t="s">
        <v>35</v>
      </c>
      <c r="F2456" t="s">
        <v>174</v>
      </c>
      <c r="G2456" t="s">
        <v>490</v>
      </c>
      <c r="H2456" s="52" t="str">
        <f>VLOOKUP(Tabla3[[#This Row],[Site]],'Important Info!'!$A$1:$J$135,10,FALSE)</f>
        <v>https://tools.sig.systems/site/details/190</v>
      </c>
      <c r="I2456" s="2"/>
      <c r="J2456" t="s">
        <v>41</v>
      </c>
      <c r="K2456" s="79" t="str">
        <f>VLOOKUP(Tabla3[[#This Row],[Site]],'Important Info!'!$A$1:$H$135,8,FALSE)</f>
        <v>-</v>
      </c>
      <c r="L2456" s="52" t="str">
        <f>VLOOKUP(Tabla3[[#This Row],[Site]],'Important Info!'!$A$1:$F$135,2,FALSE)</f>
        <v>-</v>
      </c>
      <c r="M2456" s="52" t="str">
        <f>VLOOKUP(Tabla3[[#This Row],[Site]],'Important Info!'!$A$1:$F$135,3,FALSE)</f>
        <v>20, 9</v>
      </c>
      <c r="N2456" s="52">
        <f>VLOOKUP(Tabla3[[#This Row],[Site]],'Important Info!'!$A$1:$F$135,4,FALSE)</f>
        <v>9</v>
      </c>
      <c r="O2456" s="52" t="str">
        <f>VLOOKUP(Tabla3[[#This Row],[Site]],'Important Info!'!$A$1:$F$135,5,FALSE)</f>
        <v>-</v>
      </c>
      <c r="P2456" s="52" t="str">
        <f>VLOOKUP(Tabla3[[#This Row],[Site]],'Important Info!'!$A$1:$F$135,6,FALSE)</f>
        <v>9, 16, 17</v>
      </c>
      <c r="Q2456" s="91">
        <f>VLOOKUP(Tabla3[[#This Row],[Site]],'Important Info!'!$A$1:$J$135,9,FALSE)</f>
        <v>190</v>
      </c>
    </row>
    <row r="2457" spans="1:17" x14ac:dyDescent="0.25">
      <c r="A2457" t="str">
        <f>+Tabla3[[#This Row],[Site]]&amp;Tabla3[[#This Row],[Split]]</f>
        <v>(SCH) Chevrolet North Palm25</v>
      </c>
      <c r="B2457">
        <v>25</v>
      </c>
      <c r="C2457">
        <v>4</v>
      </c>
      <c r="D2457" t="s">
        <v>62</v>
      </c>
      <c r="E2457" t="s">
        <v>35</v>
      </c>
      <c r="F2457" t="s">
        <v>101</v>
      </c>
      <c r="G2457" t="s">
        <v>490</v>
      </c>
      <c r="H2457" s="52" t="str">
        <f>VLOOKUP(Tabla3[[#This Row],[Site]],'Important Info!'!$A$1:$J$135,10,FALSE)</f>
        <v>https://tools.sig.systems/site/details/160</v>
      </c>
      <c r="I2457" s="2"/>
      <c r="J2457" t="s">
        <v>36</v>
      </c>
      <c r="K2457" s="79" t="str">
        <f>VLOOKUP(Tabla3[[#This Row],[Site]],'Important Info!'!$A$1:$H$135,8,FALSE)</f>
        <v>-</v>
      </c>
      <c r="L2457" s="52" t="str">
        <f>VLOOKUP(Tabla3[[#This Row],[Site]],'Important Info!'!$A$1:$F$135,2,FALSE)</f>
        <v xml:space="preserve">7, 10B, 11, 15 </v>
      </c>
      <c r="M2457" s="52" t="str">
        <f>VLOOKUP(Tabla3[[#This Row],[Site]],'Important Info!'!$A$1:$F$135,3,FALSE)</f>
        <v>-</v>
      </c>
      <c r="N2457" s="52" t="str">
        <f>VLOOKUP(Tabla3[[#This Row],[Site]],'Important Info!'!$A$1:$F$135,4,FALSE)</f>
        <v>-</v>
      </c>
      <c r="O2457" s="52" t="str">
        <f>VLOOKUP(Tabla3[[#This Row],[Site]],'Important Info!'!$A$1:$F$135,5,FALSE)</f>
        <v>-</v>
      </c>
      <c r="P2457" s="52" t="str">
        <f>VLOOKUP(Tabla3[[#This Row],[Site]],'Important Info!'!$A$1:$F$135,6,FALSE)</f>
        <v>1, 15, 16, 17, 18, 19, 20</v>
      </c>
      <c r="Q2457" s="91">
        <f>VLOOKUP(Tabla3[[#This Row],[Site]],'Important Info!'!$A$1:$J$135,9,FALSE)</f>
        <v>160</v>
      </c>
    </row>
    <row r="2458" spans="1:17" x14ac:dyDescent="0.25">
      <c r="A2458" t="str">
        <f>+Tabla3[[#This Row],[Site]]&amp;Tabla3[[#This Row],[Split]]</f>
        <v>(AS) Mercedes Benz/Porsche Dallas I,II,III (NO TOURS)25</v>
      </c>
      <c r="B2458">
        <v>25</v>
      </c>
      <c r="C2458">
        <v>5</v>
      </c>
      <c r="D2458" t="s">
        <v>33</v>
      </c>
      <c r="E2458" t="s">
        <v>46</v>
      </c>
      <c r="F2458" t="s">
        <v>509</v>
      </c>
      <c r="G2458" t="s">
        <v>34</v>
      </c>
      <c r="H2458" s="52" t="str">
        <f>VLOOKUP(Tabla3[[#This Row],[Site]],'Important Info!'!$A$1:$J$135,10,FALSE)</f>
        <v>https://tools.sig.systems/site/details/168</v>
      </c>
      <c r="I2458" s="65" t="s">
        <v>125</v>
      </c>
      <c r="J2458" t="s">
        <v>41</v>
      </c>
      <c r="K2458" s="79" t="str">
        <f>VLOOKUP(Tabla3[[#This Row],[Site]],'Important Info!'!$A$1:$H$135,8,FALSE)</f>
        <v>-</v>
      </c>
      <c r="L2458" s="52" t="str">
        <f>VLOOKUP(Tabla3[[#This Row],[Site]],'Important Info!'!$A$1:$F$135,2,FALSE)</f>
        <v>3, 4, 17, 26, 41</v>
      </c>
      <c r="M2458" s="52" t="str">
        <f>VLOOKUP(Tabla3[[#This Row],[Site]],'Important Info!'!$A$1:$F$135,3,FALSE)</f>
        <v>-</v>
      </c>
      <c r="N2458" s="52" t="str">
        <f>VLOOKUP(Tabla3[[#This Row],[Site]],'Important Info!'!$A$1:$F$135,4,FALSE)</f>
        <v>153, 154, 155, 156, 157, 158</v>
      </c>
      <c r="O2458" s="52" t="str">
        <f>VLOOKUP(Tabla3[[#This Row],[Site]],'Important Info!'!$A$1:$F$135,5,FALSE)</f>
        <v>2, 6, 10, 20, 28, 30, 36</v>
      </c>
      <c r="P2458" s="52" t="str">
        <f>VLOOKUP(Tabla3[[#This Row],[Site]],'Important Info!'!$A$1:$F$135,6,FALSE)</f>
        <v>31, 41, 159</v>
      </c>
      <c r="Q2458" s="91">
        <f>VLOOKUP(Tabla3[[#This Row],[Site]],'Important Info!'!$A$1:$J$135,9,FALSE)</f>
        <v>168</v>
      </c>
    </row>
    <row r="2459" spans="1:17" x14ac:dyDescent="0.25">
      <c r="A2459" t="str">
        <f>+Tabla3[[#This Row],[Site]]&amp;Tabla3[[#This Row],[Split]]</f>
        <v>(ML) Joe Machens Toyota25</v>
      </c>
      <c r="B2459">
        <v>25</v>
      </c>
      <c r="C2459">
        <v>5</v>
      </c>
      <c r="D2459" t="s">
        <v>33</v>
      </c>
      <c r="E2459" t="s">
        <v>46</v>
      </c>
      <c r="F2459" t="s">
        <v>73</v>
      </c>
      <c r="G2459" t="s">
        <v>34</v>
      </c>
      <c r="H2459" s="52" t="str">
        <f>VLOOKUP(Tabla3[[#This Row],[Site]],'Important Info!'!$A$1:$J$135,10,FALSE)</f>
        <v>https://tools.sig.systems/site/details/275</v>
      </c>
      <c r="I2459" s="43" t="s">
        <v>146</v>
      </c>
      <c r="J2459" t="s">
        <v>41</v>
      </c>
      <c r="K2459" s="79" t="str">
        <f>VLOOKUP(Tabla3[[#This Row],[Site]],'Important Info!'!$A$1:$H$135,8,FALSE)</f>
        <v>-</v>
      </c>
      <c r="L2459" s="52" t="str">
        <f>VLOOKUP(Tabla3[[#This Row],[Site]],'Important Info!'!$A$1:$F$135,2,FALSE)</f>
        <v>-</v>
      </c>
      <c r="M2459" s="52" t="str">
        <f>VLOOKUP(Tabla3[[#This Row],[Site]],'Important Info!'!$A$1:$F$135,3,FALSE)</f>
        <v>1, 4, 6</v>
      </c>
      <c r="N2459" s="52" t="str">
        <f>VLOOKUP(Tabla3[[#This Row],[Site]],'Important Info!'!$A$1:$F$135,4,FALSE)</f>
        <v>-</v>
      </c>
      <c r="O2459" s="52" t="str">
        <f>VLOOKUP(Tabla3[[#This Row],[Site]],'Important Info!'!$A$1:$F$135,5,FALSE)</f>
        <v>4, 10</v>
      </c>
      <c r="P2459" s="52" t="str">
        <f>VLOOKUP(Tabla3[[#This Row],[Site]],'Important Info!'!$A$1:$F$135,6,FALSE)</f>
        <v>-</v>
      </c>
      <c r="Q2459" s="91">
        <f>VLOOKUP(Tabla3[[#This Row],[Site]],'Important Info!'!$A$1:$J$135,9,FALSE)</f>
        <v>275</v>
      </c>
    </row>
    <row r="2460" spans="1:17" x14ac:dyDescent="0.25">
      <c r="A2460" t="str">
        <f>+Tabla3[[#This Row],[Site]]&amp;Tabla3[[#This Row],[Split]]</f>
        <v>(PE) JLR PDI (NO TOURS)25</v>
      </c>
      <c r="B2460">
        <v>25</v>
      </c>
      <c r="C2460">
        <v>5</v>
      </c>
      <c r="D2460" t="s">
        <v>485</v>
      </c>
      <c r="E2460" t="s">
        <v>35</v>
      </c>
      <c r="F2460" t="s">
        <v>114</v>
      </c>
      <c r="G2460" t="s">
        <v>490</v>
      </c>
      <c r="H2460" s="52" t="str">
        <f>VLOOKUP(Tabla3[[#This Row],[Site]],'Important Info!'!$A$1:$J$135,10,FALSE)</f>
        <v>https://tools.sig.systems/site/details/179</v>
      </c>
      <c r="I2460" t="s">
        <v>176</v>
      </c>
      <c r="J2460" t="s">
        <v>41</v>
      </c>
      <c r="K2460" s="79" t="str">
        <f>VLOOKUP(Tabla3[[#This Row],[Site]],'Important Info!'!$A$1:$H$135,8,FALSE)</f>
        <v>-</v>
      </c>
      <c r="L2460" s="52" t="str">
        <f>VLOOKUP(Tabla3[[#This Row],[Site]],'Important Info!'!$A$1:$F$135,2,FALSE)</f>
        <v>3, 8</v>
      </c>
      <c r="M2460" s="52" t="str">
        <f>VLOOKUP(Tabla3[[#This Row],[Site]],'Important Info!'!$A$1:$F$135,3,FALSE)</f>
        <v>-</v>
      </c>
      <c r="N2460" s="52" t="str">
        <f>VLOOKUP(Tabla3[[#This Row],[Site]],'Important Info!'!$A$1:$F$135,4,FALSE)</f>
        <v>-</v>
      </c>
      <c r="O2460" s="52" t="str">
        <f>VLOOKUP(Tabla3[[#This Row],[Site]],'Important Info!'!$A$1:$F$135,5,FALSE)</f>
        <v>-</v>
      </c>
      <c r="P2460" s="52" t="str">
        <f>VLOOKUP(Tabla3[[#This Row],[Site]],'Important Info!'!$A$1:$F$135,6,FALSE)</f>
        <v>-</v>
      </c>
      <c r="Q2460" s="91">
        <f>VLOOKUP(Tabla3[[#This Row],[Site]],'Important Info!'!$A$1:$J$135,9,FALSE)</f>
        <v>179</v>
      </c>
    </row>
    <row r="2461" spans="1:17" x14ac:dyDescent="0.25">
      <c r="A2461" t="str">
        <f>+Tabla3[[#This Row],[Site]]&amp;Tabla3[[#This Row],[Split]]</f>
        <v>(AS) Park Place Sprinter Van Center (NO TOURS)25</v>
      </c>
      <c r="B2461">
        <v>25</v>
      </c>
      <c r="C2461">
        <v>6</v>
      </c>
      <c r="D2461" t="s">
        <v>33</v>
      </c>
      <c r="E2461" t="s">
        <v>46</v>
      </c>
      <c r="F2461" t="s">
        <v>520</v>
      </c>
      <c r="G2461" t="s">
        <v>34</v>
      </c>
      <c r="H2461" s="52" t="str">
        <f>VLOOKUP(Tabla3[[#This Row],[Site]],'Important Info!'!$A$1:$J$135,10,FALSE)</f>
        <v>https://tools.sig.systems/site/details/138</v>
      </c>
      <c r="I2461" s="65" t="s">
        <v>125</v>
      </c>
      <c r="J2461" t="s">
        <v>41</v>
      </c>
      <c r="K2461" s="79" t="str">
        <f>VLOOKUP(Tabla3[[#This Row],[Site]],'Important Info!'!$A$1:$H$135,8,FALSE)</f>
        <v>-</v>
      </c>
      <c r="L2461" s="52">
        <f>VLOOKUP(Tabla3[[#This Row],[Site]],'Important Info!'!$A$1:$F$135,2,FALSE)</f>
        <v>1</v>
      </c>
      <c r="M2461" s="52" t="str">
        <f>VLOOKUP(Tabla3[[#This Row],[Site]],'Important Info!'!$A$1:$F$135,3,FALSE)</f>
        <v>-</v>
      </c>
      <c r="N2461" s="52" t="str">
        <f>VLOOKUP(Tabla3[[#This Row],[Site]],'Important Info!'!$A$1:$F$135,4,FALSE)</f>
        <v>-</v>
      </c>
      <c r="O2461" s="52" t="str">
        <f>VLOOKUP(Tabla3[[#This Row],[Site]],'Important Info!'!$A$1:$F$135,5,FALSE)</f>
        <v>-</v>
      </c>
      <c r="P2461" s="52" t="str">
        <f>VLOOKUP(Tabla3[[#This Row],[Site]],'Important Info!'!$A$1:$F$135,6,FALSE)</f>
        <v>1, 3</v>
      </c>
      <c r="Q2461" s="91">
        <f>VLOOKUP(Tabla3[[#This Row],[Site]],'Important Info!'!$A$1:$J$135,9,FALSE)</f>
        <v>138</v>
      </c>
    </row>
    <row r="2462" spans="1:17" x14ac:dyDescent="0.25">
      <c r="A2462" t="str">
        <f>+Tabla3[[#This Row],[Site]]&amp;Tabla3[[#This Row],[Split]]</f>
        <v>(HUD) Honda of Southpoint25</v>
      </c>
      <c r="B2462">
        <v>25</v>
      </c>
      <c r="C2462">
        <v>6</v>
      </c>
      <c r="D2462" t="s">
        <v>62</v>
      </c>
      <c r="E2462" t="s">
        <v>35</v>
      </c>
      <c r="F2462" t="s">
        <v>65</v>
      </c>
      <c r="G2462" t="s">
        <v>490</v>
      </c>
      <c r="H2462" s="52" t="str">
        <f>VLOOKUP(Tabla3[[#This Row],[Site]],'Important Info!'!$A$1:$J$135,10,FALSE)</f>
        <v>https://tools.sig.systems/site/details/195</v>
      </c>
      <c r="I2462" s="43"/>
      <c r="J2462" t="s">
        <v>484</v>
      </c>
      <c r="K2462" s="79" t="str">
        <f>VLOOKUP(Tabla3[[#This Row],[Site]],'Important Info!'!$A$1:$H$135,8,FALSE)</f>
        <v>-</v>
      </c>
      <c r="L2462" s="52" t="str">
        <f>VLOOKUP(Tabla3[[#This Row],[Site]],'Important Info!'!$A$1:$F$135,2,FALSE)</f>
        <v>2, 12, 18</v>
      </c>
      <c r="M2462" s="52">
        <f>VLOOKUP(Tabla3[[#This Row],[Site]],'Important Info!'!$A$1:$F$135,3,FALSE)</f>
        <v>13</v>
      </c>
      <c r="N2462" s="52" t="str">
        <f>VLOOKUP(Tabla3[[#This Row],[Site]],'Important Info!'!$A$1:$F$135,4,FALSE)</f>
        <v>-</v>
      </c>
      <c r="O2462" s="52" t="str">
        <f>VLOOKUP(Tabla3[[#This Row],[Site]],'Important Info!'!$A$1:$F$135,5,FALSE)</f>
        <v>2, 15</v>
      </c>
      <c r="P2462" s="52" t="str">
        <f>VLOOKUP(Tabla3[[#This Row],[Site]],'Important Info!'!$A$1:$F$135,6,FALSE)</f>
        <v>-</v>
      </c>
      <c r="Q2462" s="91">
        <f>VLOOKUP(Tabla3[[#This Row],[Site]],'Important Info!'!$A$1:$J$135,9,FALSE)</f>
        <v>195</v>
      </c>
    </row>
    <row r="2463" spans="1:17" x14ac:dyDescent="0.25">
      <c r="A2463" t="str">
        <f>+Tabla3[[#This Row],[Site]]&amp;Tabla3[[#This Row],[Split]]</f>
        <v>(KG) Big Star CDJR of Clear Lake25</v>
      </c>
      <c r="B2463">
        <v>25</v>
      </c>
      <c r="C2463">
        <v>6</v>
      </c>
      <c r="D2463" t="s">
        <v>33</v>
      </c>
      <c r="E2463" t="s">
        <v>46</v>
      </c>
      <c r="F2463" t="s">
        <v>133</v>
      </c>
      <c r="G2463" t="s">
        <v>34</v>
      </c>
      <c r="H2463" s="52" t="str">
        <f>VLOOKUP(Tabla3[[#This Row],[Site]],'Important Info!'!$A$1:$J$135,10,FALSE)</f>
        <v>https://tools.sig.systems/site/details/232</v>
      </c>
      <c r="I2463" s="2" t="s">
        <v>134</v>
      </c>
      <c r="J2463" t="s">
        <v>41</v>
      </c>
      <c r="K2463" s="79" t="str">
        <f>VLOOKUP(Tabla3[[#This Row],[Site]],'Important Info!'!$A$1:$H$135,8,FALSE)</f>
        <v>-</v>
      </c>
      <c r="L2463" s="52" t="str">
        <f>VLOOKUP(Tabla3[[#This Row],[Site]],'Important Info!'!$A$1:$F$135,2,FALSE)</f>
        <v>8, 25</v>
      </c>
      <c r="M2463" s="52" t="str">
        <f>VLOOKUP(Tabla3[[#This Row],[Site]],'Important Info!'!$A$1:$F$135,3,FALSE)</f>
        <v>-</v>
      </c>
      <c r="N2463" s="52" t="str">
        <f>VLOOKUP(Tabla3[[#This Row],[Site]],'Important Info!'!$A$1:$F$135,4,FALSE)</f>
        <v>-</v>
      </c>
      <c r="O2463" s="52" t="str">
        <f>VLOOKUP(Tabla3[[#This Row],[Site]],'Important Info!'!$A$1:$F$135,5,FALSE)</f>
        <v>7, 13, 19, 24</v>
      </c>
      <c r="P2463" s="52" t="str">
        <f>VLOOKUP(Tabla3[[#This Row],[Site]],'Important Info!'!$A$1:$F$135,6,FALSE)</f>
        <v>6, 8, 25, 31</v>
      </c>
      <c r="Q2463" s="91">
        <f>VLOOKUP(Tabla3[[#This Row],[Site]],'Important Info!'!$A$1:$J$135,9,FALSE)</f>
        <v>232</v>
      </c>
    </row>
    <row r="2464" spans="1:17" x14ac:dyDescent="0.25">
      <c r="A2464" t="str">
        <f>+Tabla3[[#This Row],[Site]]&amp;Tabla3[[#This Row],[Split]]</f>
        <v>(ML) Joe Machens E Collision Center25</v>
      </c>
      <c r="B2464">
        <v>25</v>
      </c>
      <c r="C2464">
        <v>6</v>
      </c>
      <c r="D2464" t="s">
        <v>33</v>
      </c>
      <c r="E2464" t="s">
        <v>46</v>
      </c>
      <c r="F2464" t="s">
        <v>147</v>
      </c>
      <c r="G2464" t="s">
        <v>34</v>
      </c>
      <c r="H2464" s="52" t="str">
        <f>VLOOKUP(Tabla3[[#This Row],[Site]],'Important Info!'!$A$1:$J$135,10,FALSE)</f>
        <v>https://tools.sig.systems/site/details/277</v>
      </c>
      <c r="I2464" s="43" t="s">
        <v>146</v>
      </c>
      <c r="J2464" t="s">
        <v>41</v>
      </c>
      <c r="K2464" s="79" t="str">
        <f>VLOOKUP(Tabla3[[#This Row],[Site]],'Important Info!'!$A$1:$H$135,8,FALSE)</f>
        <v>-</v>
      </c>
      <c r="L2464" s="52">
        <f>VLOOKUP(Tabla3[[#This Row],[Site]],'Important Info!'!$A$1:$F$135,2,FALSE)</f>
        <v>1</v>
      </c>
      <c r="M2464" s="52" t="str">
        <f>VLOOKUP(Tabla3[[#This Row],[Site]],'Important Info!'!$A$1:$F$135,3,FALSE)</f>
        <v>-</v>
      </c>
      <c r="N2464" s="52" t="str">
        <f>VLOOKUP(Tabla3[[#This Row],[Site]],'Important Info!'!$A$1:$F$135,4,FALSE)</f>
        <v>-</v>
      </c>
      <c r="O2464" s="52">
        <f>VLOOKUP(Tabla3[[#This Row],[Site]],'Important Info!'!$A$1:$F$135,5,FALSE)</f>
        <v>5</v>
      </c>
      <c r="P2464" s="52" t="str">
        <f>VLOOKUP(Tabla3[[#This Row],[Site]],'Important Info!'!$A$1:$F$135,6,FALSE)</f>
        <v>1, 2, 3, 4</v>
      </c>
      <c r="Q2464" s="91">
        <f>VLOOKUP(Tabla3[[#This Row],[Site]],'Important Info!'!$A$1:$J$135,9,FALSE)</f>
        <v>277</v>
      </c>
    </row>
    <row r="2465" spans="1:17" x14ac:dyDescent="0.25">
      <c r="A2465" t="str">
        <f>+Tabla3[[#This Row],[Site]]&amp;Tabla3[[#This Row],[Split]]</f>
        <v>(RML) Burleson Nissan25</v>
      </c>
      <c r="B2465">
        <v>25</v>
      </c>
      <c r="C2465">
        <v>6</v>
      </c>
      <c r="D2465" t="s">
        <v>33</v>
      </c>
      <c r="E2465" t="s">
        <v>46</v>
      </c>
      <c r="F2465" t="s">
        <v>107</v>
      </c>
      <c r="G2465" t="s">
        <v>34</v>
      </c>
      <c r="H2465" s="52" t="str">
        <f>VLOOKUP(Tabla3[[#This Row],[Site]],'Important Info!'!$A$1:$J$135,10,FALSE)</f>
        <v>https://tools.sig.systems/site/details/202</v>
      </c>
      <c r="J2465" t="s">
        <v>41</v>
      </c>
      <c r="K2465" s="79" t="str">
        <f>VLOOKUP(Tabla3[[#This Row],[Site]],'Important Info!'!$A$1:$H$135,8,FALSE)</f>
        <v>-</v>
      </c>
      <c r="L2465" s="52" t="str">
        <f>VLOOKUP(Tabla3[[#This Row],[Site]],'Important Info!'!$A$1:$F$135,2,FALSE)</f>
        <v>3, 21</v>
      </c>
      <c r="M2465" s="52" t="str">
        <f>VLOOKUP(Tabla3[[#This Row],[Site]],'Important Info!'!$A$1:$F$135,3,FALSE)</f>
        <v>-</v>
      </c>
      <c r="N2465" s="52" t="str">
        <f>VLOOKUP(Tabla3[[#This Row],[Site]],'Important Info!'!$A$1:$F$135,4,FALSE)</f>
        <v>-</v>
      </c>
      <c r="O2465" s="52" t="str">
        <f>VLOOKUP(Tabla3[[#This Row],[Site]],'Important Info!'!$A$1:$F$135,5,FALSE)</f>
        <v>2, 6, 15</v>
      </c>
      <c r="P2465" s="52" t="str">
        <f>VLOOKUP(Tabla3[[#This Row],[Site]],'Important Info!'!$A$1:$F$135,6,FALSE)</f>
        <v>-</v>
      </c>
      <c r="Q2465" s="91">
        <f>VLOOKUP(Tabla3[[#This Row],[Site]],'Important Info!'!$A$1:$J$135,9,FALSE)</f>
        <v>202</v>
      </c>
    </row>
    <row r="2466" spans="1:17" x14ac:dyDescent="0.25">
      <c r="A2466" t="str">
        <f>+Tabla3[[#This Row],[Site]]&amp;Tabla3[[#This Row],[Split]]</f>
        <v>(SCH) Prep Center Delray25</v>
      </c>
      <c r="B2466">
        <v>25</v>
      </c>
      <c r="C2466">
        <v>6</v>
      </c>
      <c r="D2466" t="s">
        <v>62</v>
      </c>
      <c r="E2466" t="s">
        <v>35</v>
      </c>
      <c r="F2466" t="s">
        <v>191</v>
      </c>
      <c r="G2466" t="s">
        <v>490</v>
      </c>
      <c r="H2466" s="52" t="str">
        <f>VLOOKUP(Tabla3[[#This Row],[Site]],'Important Info!'!$A$1:$J$135,10,FALSE)</f>
        <v>https://tools.sig.systems/site/details/321</v>
      </c>
      <c r="I2466" s="2"/>
      <c r="J2466" t="s">
        <v>41</v>
      </c>
      <c r="K2466" s="79" t="str">
        <f>VLOOKUP(Tabla3[[#This Row],[Site]],'Important Info!'!$A$1:$H$135,8,FALSE)</f>
        <v>-</v>
      </c>
      <c r="L2466" s="52" t="str">
        <f>VLOOKUP(Tabla3[[#This Row],[Site]],'Important Info!'!$A$1:$F$135,2,FALSE)</f>
        <v>2,3</v>
      </c>
      <c r="M2466" s="52" t="str">
        <f>VLOOKUP(Tabla3[[#This Row],[Site]],'Important Info!'!$A$1:$F$135,3,FALSE)</f>
        <v>-</v>
      </c>
      <c r="N2466" s="52" t="str">
        <f>VLOOKUP(Tabla3[[#This Row],[Site]],'Important Info!'!$A$1:$F$135,4,FALSE)</f>
        <v>-</v>
      </c>
      <c r="O2466" s="52" t="str">
        <f>VLOOKUP(Tabla3[[#This Row],[Site]],'Important Info!'!$A$1:$F$135,5,FALSE)</f>
        <v>-</v>
      </c>
      <c r="P2466" s="52" t="str">
        <f>VLOOKUP(Tabla3[[#This Row],[Site]],'Important Info!'!$A$1:$F$135,6,FALSE)</f>
        <v>2,4,10</v>
      </c>
      <c r="Q2466" s="91">
        <f>VLOOKUP(Tabla3[[#This Row],[Site]],'Important Info!'!$A$1:$J$135,9,FALSE)</f>
        <v>321</v>
      </c>
    </row>
    <row r="2467" spans="1:17" x14ac:dyDescent="0.25">
      <c r="A2467" t="str">
        <f>+Tabla3[[#This Row],[Site]]&amp;Tabla3[[#This Row],[Split]]</f>
        <v>(AS) Atwell Prep Center-Dallas (NO TOURS)25</v>
      </c>
      <c r="B2467">
        <v>25</v>
      </c>
      <c r="C2467">
        <v>7</v>
      </c>
      <c r="D2467" t="s">
        <v>33</v>
      </c>
      <c r="E2467" t="s">
        <v>46</v>
      </c>
      <c r="F2467" t="s">
        <v>498</v>
      </c>
      <c r="G2467" t="s">
        <v>34</v>
      </c>
      <c r="H2467" s="52" t="str">
        <f>VLOOKUP(Tabla3[[#This Row],[Site]],'Important Info!'!$A$1:$J$135,10,FALSE)</f>
        <v>https://tools.sig.systems/site/details/165</v>
      </c>
      <c r="I2467" s="65" t="s">
        <v>125</v>
      </c>
      <c r="J2467" t="s">
        <v>41</v>
      </c>
      <c r="K2467" s="79" t="str">
        <f>VLOOKUP(Tabla3[[#This Row],[Site]],'Important Info!'!$A$1:$H$135,8,FALSE)</f>
        <v>-</v>
      </c>
      <c r="L2467" s="52" t="str">
        <f>VLOOKUP(Tabla3[[#This Row],[Site]],'Important Info!'!$A$1:$F$135,2,FALSE)</f>
        <v>4, 6, 7</v>
      </c>
      <c r="M2467" s="52" t="str">
        <f>VLOOKUP(Tabla3[[#This Row],[Site]],'Important Info!'!$A$1:$F$135,3,FALSE)</f>
        <v>-</v>
      </c>
      <c r="N2467" s="52" t="str">
        <f>VLOOKUP(Tabla3[[#This Row],[Site]],'Important Info!'!$A$1:$F$135,4,FALSE)</f>
        <v>-</v>
      </c>
      <c r="O2467" s="52" t="str">
        <f>VLOOKUP(Tabla3[[#This Row],[Site]],'Important Info!'!$A$1:$F$135,5,FALSE)</f>
        <v>-</v>
      </c>
      <c r="P2467" s="52" t="str">
        <f>VLOOKUP(Tabla3[[#This Row],[Site]],'Important Info!'!$A$1:$F$135,6,FALSE)</f>
        <v>1, 2</v>
      </c>
      <c r="Q2467" s="91">
        <f>VLOOKUP(Tabla3[[#This Row],[Site]],'Important Info!'!$A$1:$J$135,9,FALSE)</f>
        <v>165</v>
      </c>
    </row>
    <row r="2468" spans="1:17" x14ac:dyDescent="0.25">
      <c r="A2468" t="str">
        <f>+Tabla3[[#This Row],[Site]]&amp;Tabla3[[#This Row],[Split]]</f>
        <v>(AS) Park Place Mercedes Benz Ft. Worth (NO TOURS)25</v>
      </c>
      <c r="B2468">
        <v>25</v>
      </c>
      <c r="C2468">
        <v>7</v>
      </c>
      <c r="D2468" t="s">
        <v>33</v>
      </c>
      <c r="E2468" t="s">
        <v>46</v>
      </c>
      <c r="F2468" t="s">
        <v>519</v>
      </c>
      <c r="G2468" t="s">
        <v>34</v>
      </c>
      <c r="H2468" s="52" t="str">
        <f>VLOOKUP(Tabla3[[#This Row],[Site]],'Important Info!'!$A$1:$J$135,10,FALSE)</f>
        <v>https://tools.sig.systems/site/details/137</v>
      </c>
      <c r="I2468" t="s">
        <v>128</v>
      </c>
      <c r="J2468" t="s">
        <v>41</v>
      </c>
      <c r="K2468" s="79" t="s">
        <v>37</v>
      </c>
      <c r="L2468" s="52" t="str">
        <f>VLOOKUP(Tabla3[[#This Row],[Site]],'Important Info!'!$A$1:$F$135,2,FALSE)</f>
        <v>4, 18</v>
      </c>
      <c r="M2468" s="52" t="str">
        <f>VLOOKUP(Tabla3[[#This Row],[Site]],'Important Info!'!$A$1:$F$135,3,FALSE)</f>
        <v>-</v>
      </c>
      <c r="N2468" s="52" t="str">
        <f>VLOOKUP(Tabla3[[#This Row],[Site]],'Important Info!'!$A$1:$F$135,4,FALSE)</f>
        <v>54, 55</v>
      </c>
      <c r="O2468" s="52" t="str">
        <f>VLOOKUP(Tabla3[[#This Row],[Site]],'Important Info!'!$A$1:$F$135,5,FALSE)</f>
        <v>2, 18</v>
      </c>
      <c r="P2468" s="52" t="str">
        <f>VLOOKUP(Tabla3[[#This Row],[Site]],'Important Info!'!$A$1:$F$135,6,FALSE)</f>
        <v>5, 18</v>
      </c>
      <c r="Q2468" s="91">
        <f>VLOOKUP(Tabla3[[#This Row],[Site]],'Important Info!'!$A$1:$J$135,9,FALSE)</f>
        <v>137</v>
      </c>
    </row>
    <row r="2469" spans="1:17" x14ac:dyDescent="0.25">
      <c r="A2469" t="str">
        <f>+Tabla3[[#This Row],[Site]]&amp;Tabla3[[#This Row],[Split]]</f>
        <v>(ML) Ford Lincoln of North Little Rock25</v>
      </c>
      <c r="B2469">
        <v>25</v>
      </c>
      <c r="C2469">
        <v>7</v>
      </c>
      <c r="D2469" t="s">
        <v>33</v>
      </c>
      <c r="E2469" t="s">
        <v>46</v>
      </c>
      <c r="F2469" t="s">
        <v>145</v>
      </c>
      <c r="G2469" t="s">
        <v>34</v>
      </c>
      <c r="H2469" s="52" t="str">
        <f>VLOOKUP(Tabla3[[#This Row],[Site]],'Important Info!'!$A$1:$J$135,10,FALSE)</f>
        <v>https://tools.sig.systems/site/details/214</v>
      </c>
      <c r="I2469" s="43" t="s">
        <v>142</v>
      </c>
      <c r="J2469" t="s">
        <v>41</v>
      </c>
      <c r="K2469" s="79" t="str">
        <f>VLOOKUP(Tabla3[[#This Row],[Site]],'Important Info!'!$A$1:$H$135,8,FALSE)</f>
        <v>-</v>
      </c>
      <c r="L2469" s="52" t="str">
        <f>VLOOKUP(Tabla3[[#This Row],[Site]],'Important Info!'!$A$1:$F$135,2,FALSE)</f>
        <v>4, 15, 18, 67, 74</v>
      </c>
      <c r="M2469" s="52">
        <f>VLOOKUP(Tabla3[[#This Row],[Site]],'Important Info!'!$A$1:$F$135,3,FALSE)</f>
        <v>13</v>
      </c>
      <c r="N2469" s="52" t="str">
        <f>VLOOKUP(Tabla3[[#This Row],[Site]],'Important Info!'!$A$1:$F$135,4,FALSE)</f>
        <v>-</v>
      </c>
      <c r="O2469" s="52" t="str">
        <f>VLOOKUP(Tabla3[[#This Row],[Site]],'Important Info!'!$A$1:$F$135,5,FALSE)</f>
        <v>4, 11, 16, 28</v>
      </c>
      <c r="P2469" s="52" t="str">
        <f>VLOOKUP(Tabla3[[#This Row],[Site]],'Important Info!'!$A$1:$F$135,6,FALSE)</f>
        <v>10, 11, 12</v>
      </c>
      <c r="Q2469" s="91">
        <f>VLOOKUP(Tabla3[[#This Row],[Site]],'Important Info!'!$A$1:$J$135,9,FALSE)</f>
        <v>214</v>
      </c>
    </row>
    <row r="2470" spans="1:17" x14ac:dyDescent="0.25">
      <c r="A2470" t="str">
        <f>+Tabla3[[#This Row],[Site]]&amp;Tabla3[[#This Row],[Split]]</f>
        <v>(ML) Joe Machens Temporary 2.025</v>
      </c>
      <c r="B2470">
        <v>25</v>
      </c>
      <c r="C2470">
        <v>7</v>
      </c>
      <c r="D2470" t="s">
        <v>33</v>
      </c>
      <c r="E2470" t="s">
        <v>46</v>
      </c>
      <c r="F2470" t="s">
        <v>105</v>
      </c>
      <c r="G2470" t="s">
        <v>34</v>
      </c>
      <c r="H2470" s="52" t="str">
        <f>VLOOKUP(Tabla3[[#This Row],[Site]],'Important Info!'!$A$1:$J$135,10,FALSE)</f>
        <v>https://tools.sig.systems/site/details/278</v>
      </c>
      <c r="I2470" s="43" t="s">
        <v>146</v>
      </c>
      <c r="J2470" t="s">
        <v>41</v>
      </c>
      <c r="K2470" s="79" t="str">
        <f>VLOOKUP(Tabla3[[#This Row],[Site]],'Important Info!'!$A$1:$H$135,8,FALSE)</f>
        <v>-</v>
      </c>
      <c r="L2470" s="52" t="str">
        <f>VLOOKUP(Tabla3[[#This Row],[Site]],'Important Info!'!$A$1:$F$135,2,FALSE)</f>
        <v>-</v>
      </c>
      <c r="M2470" s="52" t="str">
        <f>VLOOKUP(Tabla3[[#This Row],[Site]],'Important Info!'!$A$1:$F$135,3,FALSE)</f>
        <v>1, 11, 14, 15, 16</v>
      </c>
      <c r="N2470" s="52" t="str">
        <f>VLOOKUP(Tabla3[[#This Row],[Site]],'Important Info!'!$A$1:$F$135,4,FALSE)</f>
        <v>-</v>
      </c>
      <c r="O2470" s="52">
        <f>VLOOKUP(Tabla3[[#This Row],[Site]],'Important Info!'!$A$1:$F$135,5,FALSE)</f>
        <v>13</v>
      </c>
      <c r="P2470" s="52" t="str">
        <f>VLOOKUP(Tabla3[[#This Row],[Site]],'Important Info!'!$A$1:$F$135,6,FALSE)</f>
        <v>-</v>
      </c>
      <c r="Q2470" s="91">
        <f>VLOOKUP(Tabla3[[#This Row],[Site]],'Important Info!'!$A$1:$J$135,9,FALSE)</f>
        <v>278</v>
      </c>
    </row>
    <row r="2471" spans="1:17" x14ac:dyDescent="0.25">
      <c r="A2471" t="str">
        <f>+Tabla3[[#This Row],[Site]]&amp;Tabla3[[#This Row],[Split]]</f>
        <v>(SCH) Auto Body Shop Lake Park25</v>
      </c>
      <c r="B2471">
        <v>25</v>
      </c>
      <c r="C2471">
        <v>7</v>
      </c>
      <c r="D2471" t="s">
        <v>62</v>
      </c>
      <c r="E2471" t="s">
        <v>35</v>
      </c>
      <c r="F2471" t="s">
        <v>189</v>
      </c>
      <c r="G2471" t="s">
        <v>490</v>
      </c>
      <c r="H2471" s="52" t="str">
        <f>VLOOKUP(Tabla3[[#This Row],[Site]],'Important Info!'!$A$1:$J$135,10,FALSE)</f>
        <v>https://tools.sig.systems/site/details/158</v>
      </c>
      <c r="I2471" s="2"/>
      <c r="J2471" t="s">
        <v>41</v>
      </c>
      <c r="K2471" s="79" t="str">
        <f>VLOOKUP(Tabla3[[#This Row],[Site]],'Important Info!'!$A$1:$H$135,8,FALSE)</f>
        <v>-</v>
      </c>
      <c r="L2471" s="52" t="str">
        <f>VLOOKUP(Tabla3[[#This Row],[Site]],'Important Info!'!$A$1:$F$135,2,FALSE)</f>
        <v>3, 10</v>
      </c>
      <c r="M2471" s="52" t="str">
        <f>VLOOKUP(Tabla3[[#This Row],[Site]],'Important Info!'!$A$1:$F$135,3,FALSE)</f>
        <v>-</v>
      </c>
      <c r="N2471" s="52" t="str">
        <f>VLOOKUP(Tabla3[[#This Row],[Site]],'Important Info!'!$A$1:$F$135,4,FALSE)</f>
        <v>-</v>
      </c>
      <c r="O2471" s="52" t="str">
        <f>VLOOKUP(Tabla3[[#This Row],[Site]],'Important Info!'!$A$1:$F$135,5,FALSE)</f>
        <v>-</v>
      </c>
      <c r="P2471" s="52" t="str">
        <f>VLOOKUP(Tabla3[[#This Row],[Site]],'Important Info!'!$A$1:$F$135,6,FALSE)</f>
        <v>-</v>
      </c>
      <c r="Q2471" s="91">
        <f>VLOOKUP(Tabla3[[#This Row],[Site]],'Important Info!'!$A$1:$J$135,9,FALSE)</f>
        <v>158</v>
      </c>
    </row>
    <row r="2472" spans="1:17" x14ac:dyDescent="0.25">
      <c r="A2472" t="str">
        <f>+Tabla3[[#This Row],[Site]]&amp;Tabla3[[#This Row],[Split]]</f>
        <v>(AS) Courtesy Honda Palm Harbor (NO TOURS)25</v>
      </c>
      <c r="B2472">
        <v>25</v>
      </c>
      <c r="C2472">
        <v>8</v>
      </c>
      <c r="D2472" t="s">
        <v>62</v>
      </c>
      <c r="E2472" t="s">
        <v>35</v>
      </c>
      <c r="F2472" t="s">
        <v>108</v>
      </c>
      <c r="G2472" t="s">
        <v>490</v>
      </c>
      <c r="H2472" s="52" t="str">
        <f>VLOOKUP(Tabla3[[#This Row],[Site]],'Important Info!'!$A$1:$J$135,10,FALSE)</f>
        <v>https://tools.sig.systems/site/details/176</v>
      </c>
      <c r="I2472" s="2"/>
      <c r="J2472" t="s">
        <v>36</v>
      </c>
      <c r="K2472" s="79" t="str">
        <f>VLOOKUP(Tabla3[[#This Row],[Site]],'Important Info!'!$A$1:$H$135,8,FALSE)</f>
        <v>-</v>
      </c>
      <c r="L2472" s="52">
        <f>VLOOKUP(Tabla3[[#This Row],[Site]],'Important Info!'!$A$1:$F$135,2,FALSE)</f>
        <v>2</v>
      </c>
      <c r="M2472" s="52" t="str">
        <f>VLOOKUP(Tabla3[[#This Row],[Site]],'Important Info!'!$A$1:$F$135,3,FALSE)</f>
        <v>-</v>
      </c>
      <c r="N2472" s="52" t="str">
        <f>VLOOKUP(Tabla3[[#This Row],[Site]],'Important Info!'!$A$1:$F$135,4,FALSE)</f>
        <v>-</v>
      </c>
      <c r="O2472" s="52" t="str">
        <f>VLOOKUP(Tabla3[[#This Row],[Site]],'Important Info!'!$A$1:$F$135,5,FALSE)</f>
        <v>4, 8, 21</v>
      </c>
      <c r="P2472" s="52">
        <f>VLOOKUP(Tabla3[[#This Row],[Site]],'Important Info!'!$A$1:$F$135,6,FALSE)</f>
        <v>10</v>
      </c>
      <c r="Q2472" s="91">
        <f>VLOOKUP(Tabla3[[#This Row],[Site]],'Important Info!'!$A$1:$J$135,9,FALSE)</f>
        <v>176</v>
      </c>
    </row>
    <row r="2473" spans="1:17" x14ac:dyDescent="0.25">
      <c r="A2473" t="str">
        <f>+Tabla3[[#This Row],[Site]]&amp;Tabla3[[#This Row],[Split]]</f>
        <v>(AS) Nalley Lexus &amp; Remote Lot Roswell (NO TOURS)25</v>
      </c>
      <c r="B2473">
        <v>25</v>
      </c>
      <c r="C2473">
        <v>8</v>
      </c>
      <c r="D2473" t="s">
        <v>60</v>
      </c>
      <c r="E2473" t="s">
        <v>35</v>
      </c>
      <c r="F2473" t="s">
        <v>511</v>
      </c>
      <c r="G2473" t="s">
        <v>41</v>
      </c>
      <c r="H2473" s="52" t="str">
        <f>VLOOKUP(Tabla3[[#This Row],[Site]],'Important Info!'!$A$1:$J$135,10,FALSE)</f>
        <v>https://tools.sig.systems/site/details/131</v>
      </c>
      <c r="I2473" s="2" t="s">
        <v>166</v>
      </c>
      <c r="J2473" t="s">
        <v>41</v>
      </c>
      <c r="K2473" s="79" t="str">
        <f>VLOOKUP(Tabla3[[#This Row],[Site]],'Important Info!'!$A$1:$H$135,8,FALSE)</f>
        <v>Dealership 11PM to 5AM (Mon to Fri). Sunday Drop Time 1PM</v>
      </c>
      <c r="L2473" s="52" t="str">
        <f>VLOOKUP(Tabla3[[#This Row],[Site]],'Important Info!'!$A$1:$F$135,2,FALSE)</f>
        <v>6, 13</v>
      </c>
      <c r="M2473" s="52">
        <f>VLOOKUP(Tabla3[[#This Row],[Site]],'Important Info!'!$A$1:$F$135,3,FALSE)</f>
        <v>4</v>
      </c>
      <c r="N2473" s="52">
        <f>VLOOKUP(Tabla3[[#This Row],[Site]],'Important Info!'!$A$1:$F$135,4,FALSE)</f>
        <v>1</v>
      </c>
      <c r="O2473" s="52" t="str">
        <f>VLOOKUP(Tabla3[[#This Row],[Site]],'Important Info!'!$A$1:$F$135,5,FALSE)</f>
        <v>1, 8, 19</v>
      </c>
      <c r="P2473" s="52" t="str">
        <f>VLOOKUP(Tabla3[[#This Row],[Site]],'Important Info!'!$A$1:$F$135,6,FALSE)</f>
        <v>4, 20</v>
      </c>
      <c r="Q2473" s="91">
        <f>VLOOKUP(Tabla3[[#This Row],[Site]],'Important Info!'!$A$1:$J$135,9,FALSE)</f>
        <v>131</v>
      </c>
    </row>
    <row r="2474" spans="1:17" x14ac:dyDescent="0.25">
      <c r="A2474" t="str">
        <f>+Tabla3[[#This Row],[Site]]&amp;Tabla3[[#This Row],[Split]]</f>
        <v>(AS) Park Place Bodywerks Dallas (NO TOURS)25</v>
      </c>
      <c r="B2474">
        <v>25</v>
      </c>
      <c r="C2474">
        <v>8</v>
      </c>
      <c r="D2474" t="s">
        <v>33</v>
      </c>
      <c r="E2474" t="s">
        <v>46</v>
      </c>
      <c r="F2474" t="s">
        <v>514</v>
      </c>
      <c r="G2474" t="s">
        <v>34</v>
      </c>
      <c r="H2474" s="52" t="str">
        <f>VLOOKUP(Tabla3[[#This Row],[Site]],'Important Info!'!$A$1:$J$135,10,FALSE)</f>
        <v>https://tools.sig.systems/site/details/166</v>
      </c>
      <c r="I2474" s="65" t="s">
        <v>125</v>
      </c>
      <c r="J2474" t="s">
        <v>41</v>
      </c>
      <c r="K2474" s="79" t="str">
        <f>VLOOKUP(Tabla3[[#This Row],[Site]],'Important Info!'!$A$1:$H$135,8,FALSE)</f>
        <v>-</v>
      </c>
      <c r="L2474" s="52">
        <f>VLOOKUP(Tabla3[[#This Row],[Site]],'Important Info!'!$A$1:$F$135,2,FALSE)</f>
        <v>3</v>
      </c>
      <c r="M2474" s="52">
        <f>VLOOKUP(Tabla3[[#This Row],[Site]],'Important Info!'!$A$1:$F$135,3,FALSE)</f>
        <v>1</v>
      </c>
      <c r="N2474" s="52" t="str">
        <f>VLOOKUP(Tabla3[[#This Row],[Site]],'Important Info!'!$A$1:$F$135,4,FALSE)</f>
        <v>-</v>
      </c>
      <c r="O2474" s="52" t="str">
        <f>VLOOKUP(Tabla3[[#This Row],[Site]],'Important Info!'!$A$1:$F$135,5,FALSE)</f>
        <v>-</v>
      </c>
      <c r="P2474" s="52" t="str">
        <f>VLOOKUP(Tabla3[[#This Row],[Site]],'Important Info!'!$A$1:$F$135,6,FALSE)</f>
        <v>1, 2, 8</v>
      </c>
      <c r="Q2474" s="91">
        <f>VLOOKUP(Tabla3[[#This Row],[Site]],'Important Info!'!$A$1:$J$135,9,FALSE)</f>
        <v>166</v>
      </c>
    </row>
    <row r="2475" spans="1:17" x14ac:dyDescent="0.25">
      <c r="A2475" t="str">
        <f>+Tabla3[[#This Row],[Site]]&amp;Tabla3[[#This Row],[Split]]</f>
        <v>(ML) Joe Machens Nissan25</v>
      </c>
      <c r="B2475">
        <v>25</v>
      </c>
      <c r="C2475">
        <v>8</v>
      </c>
      <c r="D2475" t="s">
        <v>33</v>
      </c>
      <c r="E2475" t="s">
        <v>46</v>
      </c>
      <c r="F2475" t="s">
        <v>104</v>
      </c>
      <c r="G2475" t="s">
        <v>34</v>
      </c>
      <c r="H2475" s="52" t="str">
        <f>VLOOKUP(Tabla3[[#This Row],[Site]],'Important Info!'!$A$1:$J$135,10,FALSE)</f>
        <v>https://tools.sig.systems/site/details/279</v>
      </c>
      <c r="I2475" s="43" t="s">
        <v>146</v>
      </c>
      <c r="J2475" t="s">
        <v>41</v>
      </c>
      <c r="K2475" s="79" t="str">
        <f>VLOOKUP(Tabla3[[#This Row],[Site]],'Important Info!'!$A$1:$H$135,8,FALSE)</f>
        <v>-</v>
      </c>
      <c r="L2475" s="52" t="str">
        <f>VLOOKUP(Tabla3[[#This Row],[Site]],'Important Info!'!$A$1:$F$135,2,FALSE)</f>
        <v>-</v>
      </c>
      <c r="M2475" s="52" t="str">
        <f>VLOOKUP(Tabla3[[#This Row],[Site]],'Important Info!'!$A$1:$F$135,3,FALSE)</f>
        <v>1, 3, 16</v>
      </c>
      <c r="N2475" s="52" t="str">
        <f>VLOOKUP(Tabla3[[#This Row],[Site]],'Important Info!'!$A$1:$F$135,4,FALSE)</f>
        <v>-</v>
      </c>
      <c r="O2475" s="52" t="str">
        <f>VLOOKUP(Tabla3[[#This Row],[Site]],'Important Info!'!$A$1:$F$135,5,FALSE)</f>
        <v>-</v>
      </c>
      <c r="P2475" s="52" t="str">
        <f>VLOOKUP(Tabla3[[#This Row],[Site]],'Important Info!'!$A$1:$F$135,6,FALSE)</f>
        <v>-</v>
      </c>
      <c r="Q2475" s="91">
        <f>VLOOKUP(Tabla3[[#This Row],[Site]],'Important Info!'!$A$1:$J$135,9,FALSE)</f>
        <v>279</v>
      </c>
    </row>
    <row r="2476" spans="1:17" x14ac:dyDescent="0.25">
      <c r="A2476" t="str">
        <f>+Tabla3[[#This Row],[Site]]&amp;Tabla3[[#This Row],[Split]]</f>
        <v>(AS) Park Place MB Recon Center Dallas (NO TOURS)25</v>
      </c>
      <c r="B2476">
        <v>25</v>
      </c>
      <c r="C2476">
        <v>9</v>
      </c>
      <c r="D2476" t="s">
        <v>33</v>
      </c>
      <c r="E2476" t="s">
        <v>46</v>
      </c>
      <c r="F2476" t="s">
        <v>517</v>
      </c>
      <c r="G2476" t="s">
        <v>34</v>
      </c>
      <c r="H2476" s="52" t="str">
        <f>VLOOKUP(Tabla3[[#This Row],[Site]],'Important Info!'!$A$1:$J$135,10,FALSE)</f>
        <v>https://tools.sig.systems/site/details/170</v>
      </c>
      <c r="I2476" s="65" t="s">
        <v>125</v>
      </c>
      <c r="J2476" t="s">
        <v>41</v>
      </c>
      <c r="K2476" s="79" t="str">
        <f>VLOOKUP(Tabla3[[#This Row],[Site]],'Important Info!'!$A$1:$H$135,8,FALSE)</f>
        <v>-</v>
      </c>
      <c r="L2476" s="52" t="str">
        <f>VLOOKUP(Tabla3[[#This Row],[Site]],'Important Info!'!$A$1:$F$135,2,FALSE)</f>
        <v>3, 39</v>
      </c>
      <c r="M2476" s="52" t="str">
        <f>VLOOKUP(Tabla3[[#This Row],[Site]],'Important Info!'!$A$1:$F$135,3,FALSE)</f>
        <v>-</v>
      </c>
      <c r="N2476" s="52" t="str">
        <f>VLOOKUP(Tabla3[[#This Row],[Site]],'Important Info!'!$A$1:$F$135,4,FALSE)</f>
        <v>-</v>
      </c>
      <c r="O2476" s="52" t="str">
        <f>VLOOKUP(Tabla3[[#This Row],[Site]],'Important Info!'!$A$1:$F$135,5,FALSE)</f>
        <v>4, 11</v>
      </c>
      <c r="P2476" s="52">
        <f>VLOOKUP(Tabla3[[#This Row],[Site]],'Important Info!'!$A$1:$F$135,6,FALSE)</f>
        <v>1</v>
      </c>
      <c r="Q2476" s="91">
        <f>VLOOKUP(Tabla3[[#This Row],[Site]],'Important Info!'!$A$1:$J$135,9,FALSE)</f>
        <v>170</v>
      </c>
    </row>
    <row r="2477" spans="1:17" x14ac:dyDescent="0.25">
      <c r="A2477" t="str">
        <f>+Tabla3[[#This Row],[Site]]&amp;Tabla3[[#This Row],[Split]]</f>
        <v>(ML) Joe Machens Kia of Columbia25</v>
      </c>
      <c r="B2477">
        <v>25</v>
      </c>
      <c r="C2477">
        <v>9</v>
      </c>
      <c r="D2477" t="s">
        <v>33</v>
      </c>
      <c r="E2477" t="s">
        <v>46</v>
      </c>
      <c r="F2477" t="s">
        <v>149</v>
      </c>
      <c r="G2477" t="s">
        <v>34</v>
      </c>
      <c r="H2477" s="52" t="str">
        <f>VLOOKUP(Tabla3[[#This Row],[Site]],'Important Info!'!$A$1:$J$135,10,FALSE)</f>
        <v>https://tools.sig.systems/site/details/270</v>
      </c>
      <c r="I2477" s="2" t="s">
        <v>146</v>
      </c>
      <c r="J2477" t="s">
        <v>41</v>
      </c>
      <c r="K2477" s="79" t="str">
        <f>VLOOKUP(Tabla3[[#This Row],[Site]],'Important Info!'!$A$1:$H$135,8,FALSE)</f>
        <v>-</v>
      </c>
      <c r="L2477" s="52" t="str">
        <f>VLOOKUP(Tabla3[[#This Row],[Site]],'Important Info!'!$A$1:$F$135,2,FALSE)</f>
        <v>-</v>
      </c>
      <c r="M2477" s="52" t="str">
        <f>VLOOKUP(Tabla3[[#This Row],[Site]],'Important Info!'!$A$1:$F$135,3,FALSE)</f>
        <v>1, 2, 5, 6, 9, 13, 15</v>
      </c>
      <c r="N2477" s="52" t="str">
        <f>VLOOKUP(Tabla3[[#This Row],[Site]],'Important Info!'!$A$1:$F$135,4,FALSE)</f>
        <v>-</v>
      </c>
      <c r="O2477" s="52" t="str">
        <f>VLOOKUP(Tabla3[[#This Row],[Site]],'Important Info!'!$A$1:$F$135,5,FALSE)</f>
        <v>-</v>
      </c>
      <c r="P2477" s="52" t="str">
        <f>VLOOKUP(Tabla3[[#This Row],[Site]],'Important Info!'!$A$1:$F$135,6,FALSE)</f>
        <v>10, 11, 13</v>
      </c>
      <c r="Q2477" s="91">
        <f>VLOOKUP(Tabla3[[#This Row],[Site]],'Important Info!'!$A$1:$J$135,9,FALSE)</f>
        <v>270</v>
      </c>
    </row>
    <row r="2478" spans="1:17" x14ac:dyDescent="0.25">
      <c r="A2478" t="str">
        <f>+Tabla3[[#This Row],[Site]]&amp;Tabla3[[#This Row],[Split]]</f>
        <v>(SCH) Delray I &amp; II25</v>
      </c>
      <c r="B2478">
        <v>25</v>
      </c>
      <c r="C2478">
        <v>9</v>
      </c>
      <c r="D2478" t="s">
        <v>62</v>
      </c>
      <c r="E2478" t="s">
        <v>35</v>
      </c>
      <c r="F2478" t="s">
        <v>67</v>
      </c>
      <c r="G2478" t="s">
        <v>490</v>
      </c>
      <c r="H2478" s="52" t="str">
        <f>VLOOKUP(Tabla3[[#This Row],[Site]],'Important Info!'!$A$1:$J$135,10,FALSE)</f>
        <v>https://tools.sig.systems/site/details/159</v>
      </c>
      <c r="I2478" s="43"/>
      <c r="J2478" t="s">
        <v>36</v>
      </c>
      <c r="K2478" s="79" t="str">
        <f>VLOOKUP(Tabla3[[#This Row],[Site]],'Important Info!'!$A$1:$H$135,8,FALSE)</f>
        <v>-</v>
      </c>
      <c r="L2478" s="52" t="str">
        <f>VLOOKUP(Tabla3[[#This Row],[Site]],'Important Info!'!$A$1:$F$135,2,FALSE)</f>
        <v>5, 28, 31</v>
      </c>
      <c r="M2478" s="52" t="str">
        <f>VLOOKUP(Tabla3[[#This Row],[Site]],'Important Info!'!$A$1:$F$135,3,FALSE)</f>
        <v>1, 29</v>
      </c>
      <c r="N2478" s="52">
        <f>VLOOKUP(Tabla3[[#This Row],[Site]],'Important Info!'!$A$1:$F$135,4,FALSE)</f>
        <v>6</v>
      </c>
      <c r="O2478" s="52" t="str">
        <f>VLOOKUP(Tabla3[[#This Row],[Site]],'Important Info!'!$A$1:$F$135,5,FALSE)</f>
        <v>-</v>
      </c>
      <c r="P2478" s="52" t="str">
        <f>VLOOKUP(Tabla3[[#This Row],[Site]],'Important Info!'!$A$1:$F$135,6,FALSE)</f>
        <v>1, 35, 36</v>
      </c>
      <c r="Q2478" s="91">
        <f>VLOOKUP(Tabla3[[#This Row],[Site]],'Important Info!'!$A$1:$J$135,9,FALSE)</f>
        <v>159</v>
      </c>
    </row>
    <row r="2479" spans="1:17" x14ac:dyDescent="0.25">
      <c r="A2479" t="str">
        <f>+Tabla3[[#This Row],[Site]]&amp;Tabla3[[#This Row],[Split]]</f>
        <v>(WAG) Greeley Chrysler Dodge Jeep Ram (NO TOURS)25</v>
      </c>
      <c r="B2479">
        <v>25</v>
      </c>
      <c r="C2479">
        <v>9</v>
      </c>
      <c r="D2479" t="s">
        <v>44</v>
      </c>
      <c r="E2479" t="s">
        <v>53</v>
      </c>
      <c r="F2479" t="s">
        <v>497</v>
      </c>
      <c r="G2479" t="s">
        <v>45</v>
      </c>
      <c r="H2479" s="52" t="str">
        <f>VLOOKUP(Tabla3[[#This Row],[Site]],'Important Info!'!$A$1:$J$135,10,FALSE)</f>
        <v>https://tools.sig.systems/site/details/130</v>
      </c>
      <c r="I2479" s="43" t="s">
        <v>153</v>
      </c>
      <c r="J2479" t="s">
        <v>41</v>
      </c>
      <c r="K2479" s="79" t="str">
        <f>VLOOKUP(Tabla3[[#This Row],[Site]],'Important Info!'!$A$1:$H$135,8,FALSE)</f>
        <v>-</v>
      </c>
      <c r="L2479" s="52" t="str">
        <f>VLOOKUP(Tabla3[[#This Row],[Site]],'Important Info!'!$A$1:$F$135,2,FALSE)</f>
        <v>17, 23 &amp; 18</v>
      </c>
      <c r="M2479" s="52" t="str">
        <f>VLOOKUP(Tabla3[[#This Row],[Site]],'Important Info!'!$A$1:$F$135,3,FALSE)</f>
        <v>4, 5, 6, 7, 8, 51, 55</v>
      </c>
      <c r="N2479" s="52" t="str">
        <f>VLOOKUP(Tabla3[[#This Row],[Site]],'Important Info!'!$A$1:$F$135,4,FALSE)</f>
        <v>-</v>
      </c>
      <c r="O2479" s="52" t="str">
        <f>VLOOKUP(Tabla3[[#This Row],[Site]],'Important Info!'!$A$1:$F$135,5,FALSE)</f>
        <v>3, 13, 17, 49, 53, 59</v>
      </c>
      <c r="P2479" s="52" t="str">
        <f>VLOOKUP(Tabla3[[#This Row],[Site]],'Important Info!'!$A$1:$F$135,6,FALSE)</f>
        <v>8, 9, 10, 51, 62</v>
      </c>
      <c r="Q2479" s="91">
        <f>VLOOKUP(Tabla3[[#This Row],[Site]],'Important Info!'!$A$1:$J$135,9,FALSE)</f>
        <v>130</v>
      </c>
    </row>
    <row r="2480" spans="1:17" x14ac:dyDescent="0.25">
      <c r="A2480" t="str">
        <f>+Tabla3[[#This Row],[Site]]&amp;Tabla3[[#This Row],[Split]]</f>
        <v>(DT) Colorado Springs (NO TOURS)25</v>
      </c>
      <c r="B2480">
        <v>25</v>
      </c>
      <c r="C2480">
        <v>10</v>
      </c>
      <c r="D2480" t="s">
        <v>44</v>
      </c>
      <c r="E2480" t="s">
        <v>53</v>
      </c>
      <c r="F2480" t="s">
        <v>156</v>
      </c>
      <c r="G2480" t="s">
        <v>45</v>
      </c>
      <c r="H2480" s="52" t="str">
        <f>VLOOKUP(Tabla3[[#This Row],[Site]],'Important Info!'!$A$1:$J$135,10,FALSE)</f>
        <v>https://tools.sig.systems/site/details/198</v>
      </c>
      <c r="J2480" t="s">
        <v>41</v>
      </c>
      <c r="K2480" s="79" t="str">
        <f>VLOOKUP(Tabla3[[#This Row],[Site]],'Important Info!'!$A$1:$H$135,8,FALSE)</f>
        <v>-</v>
      </c>
      <c r="L2480" s="52" t="str">
        <f>VLOOKUP(Tabla3[[#This Row],[Site]],'Important Info!'!$A$1:$F$135,2,FALSE)</f>
        <v>-</v>
      </c>
      <c r="M2480" s="52" t="str">
        <f>VLOOKUP(Tabla3[[#This Row],[Site]],'Important Info!'!$A$1:$F$135,3,FALSE)</f>
        <v>1, 2, 3, 4</v>
      </c>
      <c r="N2480" s="52" t="str">
        <f>VLOOKUP(Tabla3[[#This Row],[Site]],'Important Info!'!$A$1:$F$135,4,FALSE)</f>
        <v>-</v>
      </c>
      <c r="O2480" s="52" t="str">
        <f>VLOOKUP(Tabla3[[#This Row],[Site]],'Important Info!'!$A$1:$F$135,5,FALSE)</f>
        <v>-</v>
      </c>
      <c r="P2480" s="52" t="str">
        <f>VLOOKUP(Tabla3[[#This Row],[Site]],'Important Info!'!$A$1:$F$135,6,FALSE)</f>
        <v>1, 2, 3, 11</v>
      </c>
      <c r="Q2480" s="91">
        <f>VLOOKUP(Tabla3[[#This Row],[Site]],'Important Info!'!$A$1:$J$135,9,FALSE)</f>
        <v>198</v>
      </c>
    </row>
    <row r="2481" spans="1:17" x14ac:dyDescent="0.25">
      <c r="A2481" t="str">
        <f>+Tabla3[[#This Row],[Site]]&amp;Tabla3[[#This Row],[Split]]</f>
        <v>(SCH) West Palm Beach I, II &amp; III25</v>
      </c>
      <c r="B2481">
        <v>25</v>
      </c>
      <c r="C2481">
        <v>10</v>
      </c>
      <c r="D2481" t="s">
        <v>492</v>
      </c>
      <c r="E2481" t="s">
        <v>35</v>
      </c>
      <c r="F2481" t="s">
        <v>96</v>
      </c>
      <c r="G2481" t="s">
        <v>490</v>
      </c>
      <c r="H2481" s="52" t="str">
        <f>VLOOKUP(Tabla3[[#This Row],[Site]],'Important Info!'!$A$1:$J$135,10,FALSE)</f>
        <v>https://tools.sig.systems/site/details/162</v>
      </c>
      <c r="I2481" s="2"/>
      <c r="J2481" t="s">
        <v>36</v>
      </c>
      <c r="K2481" s="79" t="str">
        <f>VLOOKUP(Tabla3[[#This Row],[Site]],'Important Info!'!$A$1:$H$135,8,FALSE)</f>
        <v>SUNDAY: Log in at 5:30 p.m. ET.</v>
      </c>
      <c r="L2481" s="52" t="str">
        <f>VLOOKUP(Tabla3[[#This Row],[Site]],'Important Info!'!$A$1:$F$135,2,FALSE)</f>
        <v>34, 62</v>
      </c>
      <c r="M2481" s="52" t="str">
        <f>VLOOKUP(Tabla3[[#This Row],[Site]],'Important Info!'!$A$1:$F$135,3,FALSE)</f>
        <v xml:space="preserve">6, 7, 11, 13, </v>
      </c>
      <c r="N2481" s="52" t="str">
        <f>VLOOKUP(Tabla3[[#This Row],[Site]],'Important Info!'!$A$1:$F$135,4,FALSE)</f>
        <v>20, 21</v>
      </c>
      <c r="O2481" s="52" t="str">
        <f>VLOOKUP(Tabla3[[#This Row],[Site]],'Important Info!'!$A$1:$F$135,5,FALSE)</f>
        <v>-</v>
      </c>
      <c r="P2481" s="52" t="str">
        <f>VLOOKUP(Tabla3[[#This Row],[Site]],'Important Info!'!$A$1:$F$135,6,FALSE)</f>
        <v>1, 2, 3, 131, 132</v>
      </c>
      <c r="Q2481" s="91">
        <f>VLOOKUP(Tabla3[[#This Row],[Site]],'Important Info!'!$A$1:$J$135,9,FALSE)</f>
        <v>162</v>
      </c>
    </row>
    <row r="2482" spans="1:17" x14ac:dyDescent="0.25">
      <c r="A2482" t="str">
        <f>+Tabla3[[#This Row],[Site]]&amp;Tabla3[[#This Row],[Split]]</f>
        <v>(AS) David McDavid Lincoln Frisco (NO TOURS)25</v>
      </c>
      <c r="B2482">
        <v>25</v>
      </c>
      <c r="C2482">
        <v>11</v>
      </c>
      <c r="D2482" t="s">
        <v>33</v>
      </c>
      <c r="E2482" t="s">
        <v>46</v>
      </c>
      <c r="F2482" t="s">
        <v>507</v>
      </c>
      <c r="G2482" t="s">
        <v>34</v>
      </c>
      <c r="H2482" s="52" t="str">
        <f>VLOOKUP(Tabla3[[#This Row],[Site]],'Important Info!'!$A$1:$J$135,10,FALSE)</f>
        <v>https://tools.sig.systems/site/details/182</v>
      </c>
      <c r="I2482" s="43"/>
      <c r="J2482" t="s">
        <v>41</v>
      </c>
      <c r="K2482" s="79" t="str">
        <f>VLOOKUP(Tabla3[[#This Row],[Site]],'Important Info!'!$A$1:$H$135,8,FALSE)</f>
        <v>-</v>
      </c>
      <c r="L2482" s="52" t="str">
        <f>VLOOKUP(Tabla3[[#This Row],[Site]],'Important Info!'!$A$1:$F$135,2,FALSE)</f>
        <v>1, 2, 11</v>
      </c>
      <c r="M2482" s="52" t="str">
        <f>VLOOKUP(Tabla3[[#This Row],[Site]],'Important Info!'!$A$1:$F$135,3,FALSE)</f>
        <v>-</v>
      </c>
      <c r="N2482" s="52" t="str">
        <f>VLOOKUP(Tabla3[[#This Row],[Site]],'Important Info!'!$A$1:$F$135,4,FALSE)</f>
        <v>-</v>
      </c>
      <c r="O2482" s="52" t="str">
        <f>VLOOKUP(Tabla3[[#This Row],[Site]],'Important Info!'!$A$1:$F$135,5,FALSE)</f>
        <v>11, 16, 20</v>
      </c>
      <c r="P2482" s="52" t="str">
        <f>VLOOKUP(Tabla3[[#This Row],[Site]],'Important Info!'!$A$1:$F$135,6,FALSE)</f>
        <v>11, 12, 13, 14</v>
      </c>
      <c r="Q2482" s="91">
        <f>VLOOKUP(Tabla3[[#This Row],[Site]],'Important Info!'!$A$1:$J$135,9,FALSE)</f>
        <v>182</v>
      </c>
    </row>
    <row r="2483" spans="1:17" x14ac:dyDescent="0.25">
      <c r="A2483" t="str">
        <f>+Tabla3[[#This Row],[Site]]&amp;Tabla3[[#This Row],[Split]]</f>
        <v>(AS) Nalley BMW Collision Center (NO TOURS)25</v>
      </c>
      <c r="B2483">
        <v>25</v>
      </c>
      <c r="C2483">
        <v>11</v>
      </c>
      <c r="D2483" t="s">
        <v>62</v>
      </c>
      <c r="E2483" t="s">
        <v>35</v>
      </c>
      <c r="F2483" t="s">
        <v>510</v>
      </c>
      <c r="G2483" t="s">
        <v>490</v>
      </c>
      <c r="H2483" s="52" t="str">
        <f>VLOOKUP(Tabla3[[#This Row],[Site]],'Important Info!'!$A$1:$J$135,10,FALSE)</f>
        <v>https://tools.sig.systems/site/details/220</v>
      </c>
      <c r="I2483" s="43"/>
      <c r="J2483" t="s">
        <v>41</v>
      </c>
      <c r="K2483" s="79" t="str">
        <f>VLOOKUP(Tabla3[[#This Row],[Site]],'Important Info!'!$A$1:$H$135,8,FALSE)</f>
        <v>-</v>
      </c>
      <c r="L2483" s="52" t="str">
        <f>VLOOKUP(Tabla3[[#This Row],[Site]],'Important Info!'!$A$1:$F$135,2,FALSE)</f>
        <v>-</v>
      </c>
      <c r="M2483" s="52">
        <f>VLOOKUP(Tabla3[[#This Row],[Site]],'Important Info!'!$A$1:$F$135,3,FALSE)</f>
        <v>4</v>
      </c>
      <c r="N2483" s="52" t="str">
        <f>VLOOKUP(Tabla3[[#This Row],[Site]],'Important Info!'!$A$1:$F$135,4,FALSE)</f>
        <v>-</v>
      </c>
      <c r="O2483" s="52">
        <f>VLOOKUP(Tabla3[[#This Row],[Site]],'Important Info!'!$A$1:$F$135,5,FALSE)</f>
        <v>12</v>
      </c>
      <c r="P2483" s="52" t="str">
        <f>VLOOKUP(Tabla3[[#This Row],[Site]],'Important Info!'!$A$1:$F$135,6,FALSE)</f>
        <v>13, 15</v>
      </c>
      <c r="Q2483" s="91">
        <f>VLOOKUP(Tabla3[[#This Row],[Site]],'Important Info!'!$A$1:$J$135,9,FALSE)</f>
        <v>220</v>
      </c>
    </row>
    <row r="2484" spans="1:17" x14ac:dyDescent="0.25">
      <c r="A2484" t="str">
        <f>+Tabla3[[#This Row],[Site]]&amp;Tabla3[[#This Row],[Split]]</f>
        <v>(DT) Albuquerque25</v>
      </c>
      <c r="B2484">
        <v>25</v>
      </c>
      <c r="C2484">
        <v>11</v>
      </c>
      <c r="D2484" t="s">
        <v>44</v>
      </c>
      <c r="E2484" t="s">
        <v>53</v>
      </c>
      <c r="F2484" t="s">
        <v>155</v>
      </c>
      <c r="G2484" t="s">
        <v>45</v>
      </c>
      <c r="H2484" s="52" t="str">
        <f>VLOOKUP(Tabla3[[#This Row],[Site]],'Important Info!'!$A$1:$J$135,10,FALSE)</f>
        <v>https://tools.sig.systems/site/details/237</v>
      </c>
      <c r="J2484" t="s">
        <v>41</v>
      </c>
      <c r="K2484" s="79" t="str">
        <f>VLOOKUP(Tabla3[[#This Row],[Site]],'Important Info!'!$A$1:$H$135,8,FALSE)</f>
        <v>-</v>
      </c>
      <c r="L2484" s="52" t="str">
        <f>VLOOKUP(Tabla3[[#This Row],[Site]],'Important Info!'!$A$1:$F$135,2,FALSE)</f>
        <v>14, 16</v>
      </c>
      <c r="M2484" s="52" t="str">
        <f>VLOOKUP(Tabla3[[#This Row],[Site]],'Important Info!'!$A$1:$F$135,3,FALSE)</f>
        <v>-</v>
      </c>
      <c r="N2484" s="52" t="str">
        <f>VLOOKUP(Tabla3[[#This Row],[Site]],'Important Info!'!$A$1:$F$135,4,FALSE)</f>
        <v>-</v>
      </c>
      <c r="O2484" s="52" t="str">
        <f>VLOOKUP(Tabla3[[#This Row],[Site]],'Important Info!'!$A$1:$F$135,5,FALSE)</f>
        <v>14, 15</v>
      </c>
      <c r="P2484" s="52" t="str">
        <f>VLOOKUP(Tabla3[[#This Row],[Site]],'Important Info!'!$A$1:$F$135,6,FALSE)</f>
        <v>12, 14, 16</v>
      </c>
      <c r="Q2484" s="91">
        <f>VLOOKUP(Tabla3[[#This Row],[Site]],'Important Info!'!$A$1:$J$135,9,FALSE)</f>
        <v>237</v>
      </c>
    </row>
    <row r="2485" spans="1:17" x14ac:dyDescent="0.25">
      <c r="A2485" t="str">
        <f>+Tabla3[[#This Row],[Site]]&amp;Tabla3[[#This Row],[Split]]</f>
        <v>(ML) Volvo Collision Corp25</v>
      </c>
      <c r="B2485">
        <v>25</v>
      </c>
      <c r="C2485">
        <v>11</v>
      </c>
      <c r="D2485" t="s">
        <v>33</v>
      </c>
      <c r="E2485" t="s">
        <v>46</v>
      </c>
      <c r="F2485" t="s">
        <v>106</v>
      </c>
      <c r="G2485" t="s">
        <v>34</v>
      </c>
      <c r="H2485" s="52" t="str">
        <f>VLOOKUP(Tabla3[[#This Row],[Site]],'Important Info!'!$A$1:$J$135,10,FALSE)</f>
        <v>https://tools.sig.systems/site/details/223</v>
      </c>
      <c r="I2485" s="43"/>
      <c r="J2485" t="s">
        <v>41</v>
      </c>
      <c r="K2485" s="79" t="str">
        <f>VLOOKUP(Tabla3[[#This Row],[Site]],'Important Info!'!$A$1:$H$135,8,FALSE)</f>
        <v>-</v>
      </c>
      <c r="L2485" s="52" t="str">
        <f>VLOOKUP(Tabla3[[#This Row],[Site]],'Important Info!'!$A$1:$F$135,2,FALSE)</f>
        <v>7, 11</v>
      </c>
      <c r="M2485" s="52">
        <f>VLOOKUP(Tabla3[[#This Row],[Site]],'Important Info!'!$A$1:$F$135,3,FALSE)</f>
        <v>4</v>
      </c>
      <c r="N2485" s="52" t="str">
        <f>VLOOKUP(Tabla3[[#This Row],[Site]],'Important Info!'!$A$1:$F$135,4,FALSE)</f>
        <v>-</v>
      </c>
      <c r="O2485" s="52">
        <f>VLOOKUP(Tabla3[[#This Row],[Site]],'Important Info!'!$A$1:$F$135,5,FALSE)</f>
        <v>18</v>
      </c>
      <c r="P2485" s="52" t="str">
        <f>VLOOKUP(Tabla3[[#This Row],[Site]],'Important Info!'!$A$1:$F$135,6,FALSE)</f>
        <v>-</v>
      </c>
      <c r="Q2485" s="91">
        <f>VLOOKUP(Tabla3[[#This Row],[Site]],'Important Info!'!$A$1:$J$135,9,FALSE)</f>
        <v>223</v>
      </c>
    </row>
    <row r="2486" spans="1:17" x14ac:dyDescent="0.25">
      <c r="A2486" t="str">
        <f>+Tabla3[[#This Row],[Site]]&amp;Tabla3[[#This Row],[Split]]</f>
        <v>(PE) Fairfield Collision (NO TOURS)25</v>
      </c>
      <c r="B2486">
        <v>25</v>
      </c>
      <c r="C2486">
        <v>11</v>
      </c>
      <c r="D2486" t="s">
        <v>485</v>
      </c>
      <c r="E2486" t="s">
        <v>35</v>
      </c>
      <c r="F2486" t="s">
        <v>63</v>
      </c>
      <c r="G2486" t="s">
        <v>490</v>
      </c>
      <c r="H2486" s="52" t="str">
        <f>VLOOKUP(Tabla3[[#This Row],[Site]],'Important Info!'!$A$1:$J$135,10,FALSE)</f>
        <v>https://tools.sig.systems/site/details/191</v>
      </c>
      <c r="J2486" t="s">
        <v>41</v>
      </c>
      <c r="K2486" s="79" t="str">
        <f>VLOOKUP(Tabla3[[#This Row],[Site]],'Important Info!'!$A$1:$H$135,8,FALSE)</f>
        <v>-</v>
      </c>
      <c r="L2486" s="52">
        <f>VLOOKUP(Tabla3[[#This Row],[Site]],'Important Info!'!$A$1:$F$135,2,FALSE)</f>
        <v>4</v>
      </c>
      <c r="M2486" s="52" t="str">
        <f>VLOOKUP(Tabla3[[#This Row],[Site]],'Important Info!'!$A$1:$F$135,3,FALSE)</f>
        <v>-</v>
      </c>
      <c r="N2486" s="52" t="str">
        <f>VLOOKUP(Tabla3[[#This Row],[Site]],'Important Info!'!$A$1:$F$135,4,FALSE)</f>
        <v>-</v>
      </c>
      <c r="O2486" s="52" t="str">
        <f>VLOOKUP(Tabla3[[#This Row],[Site]],'Important Info!'!$A$1:$F$135,5,FALSE)</f>
        <v>-</v>
      </c>
      <c r="P2486" s="52" t="str">
        <f>VLOOKUP(Tabla3[[#This Row],[Site]],'Important Info!'!$A$1:$F$135,6,FALSE)</f>
        <v>1, 2, 3, 4, 5, 6</v>
      </c>
      <c r="Q2486" s="91">
        <f>VLOOKUP(Tabla3[[#This Row],[Site]],'Important Info!'!$A$1:$J$135,9,FALSE)</f>
        <v>191</v>
      </c>
    </row>
    <row r="2487" spans="1:17" x14ac:dyDescent="0.25">
      <c r="A2487" t="str">
        <f>+Tabla3[[#This Row],[Site]]&amp;Tabla3[[#This Row],[Split]]</f>
        <v>(RV) Sonny's Camp N Travel Concord25</v>
      </c>
      <c r="B2487">
        <v>25</v>
      </c>
      <c r="C2487">
        <v>11</v>
      </c>
      <c r="D2487" t="s">
        <v>62</v>
      </c>
      <c r="E2487" t="s">
        <v>35</v>
      </c>
      <c r="F2487" t="s">
        <v>188</v>
      </c>
      <c r="G2487" t="s">
        <v>490</v>
      </c>
      <c r="H2487" s="52" t="str">
        <f>VLOOKUP(Tabla3[[#This Row],[Site]],'Important Info!'!$A$1:$J$135,10,FALSE)</f>
        <v>https://tools.sig.systems/site/details/183</v>
      </c>
      <c r="J2487" t="s">
        <v>41</v>
      </c>
      <c r="K2487" s="79" t="str">
        <f>VLOOKUP(Tabla3[[#This Row],[Site]],'Important Info!'!$A$1:$H$135,8,FALSE)</f>
        <v>-</v>
      </c>
      <c r="L2487" s="52">
        <f>VLOOKUP(Tabla3[[#This Row],[Site]],'Important Info!'!$A$1:$F$135,2,FALSE)</f>
        <v>1</v>
      </c>
      <c r="M2487" s="52" t="str">
        <f>VLOOKUP(Tabla3[[#This Row],[Site]],'Important Info!'!$A$1:$F$135,3,FALSE)</f>
        <v>-</v>
      </c>
      <c r="N2487" s="52" t="str">
        <f>VLOOKUP(Tabla3[[#This Row],[Site]],'Important Info!'!$A$1:$F$135,4,FALSE)</f>
        <v>-</v>
      </c>
      <c r="O2487" s="52">
        <f>VLOOKUP(Tabla3[[#This Row],[Site]],'Important Info!'!$A$1:$F$135,5,FALSE)</f>
        <v>7</v>
      </c>
      <c r="P2487" s="52" t="str">
        <f>VLOOKUP(Tabla3[[#This Row],[Site]],'Important Info!'!$A$1:$F$135,6,FALSE)</f>
        <v>6, 7, 8, 9</v>
      </c>
      <c r="Q2487" s="91">
        <f>VLOOKUP(Tabla3[[#This Row],[Site]],'Important Info!'!$A$1:$J$135,9,FALSE)</f>
        <v>183</v>
      </c>
    </row>
    <row r="2488" spans="1:17" x14ac:dyDescent="0.25">
      <c r="A2488" t="str">
        <f>+Tabla3[[#This Row],[Site]]&amp;Tabla3[[#This Row],[Split]]</f>
        <v>(AS) Stevinson JLR (NO TOURS)25</v>
      </c>
      <c r="B2488">
        <v>25</v>
      </c>
      <c r="C2488">
        <v>12</v>
      </c>
      <c r="D2488" t="s">
        <v>44</v>
      </c>
      <c r="E2488" t="s">
        <v>53</v>
      </c>
      <c r="F2488" t="s">
        <v>93</v>
      </c>
      <c r="G2488" t="s">
        <v>45</v>
      </c>
      <c r="H2488" s="52" t="str">
        <f>VLOOKUP(Tabla3[[#This Row],[Site]],'Important Info!'!$A$1:$J$135,10,FALSE)</f>
        <v>https://tools.sig.systems/site/details/204</v>
      </c>
      <c r="I2488" s="2"/>
      <c r="J2488" t="s">
        <v>41</v>
      </c>
      <c r="K2488" s="79" t="str">
        <f>VLOOKUP(Tabla3[[#This Row],[Site]],'Important Info!'!$A$1:$H$135,8,FALSE)</f>
        <v>-</v>
      </c>
      <c r="L2488" s="52">
        <f>VLOOKUP(Tabla3[[#This Row],[Site]],'Important Info!'!$A$1:$F$135,2,FALSE)</f>
        <v>5</v>
      </c>
      <c r="M2488" s="52">
        <f>VLOOKUP(Tabla3[[#This Row],[Site]],'Important Info!'!$A$1:$F$135,3,FALSE)</f>
        <v>4</v>
      </c>
      <c r="N2488" s="52" t="str">
        <f>VLOOKUP(Tabla3[[#This Row],[Site]],'Important Info!'!$A$1:$F$135,4,FALSE)</f>
        <v>-</v>
      </c>
      <c r="O2488" s="52">
        <f>VLOOKUP(Tabla3[[#This Row],[Site]],'Important Info!'!$A$1:$F$135,5,FALSE)</f>
        <v>3</v>
      </c>
      <c r="P2488" s="52" t="str">
        <f>VLOOKUP(Tabla3[[#This Row],[Site]],'Important Info!'!$A$1:$F$135,6,FALSE)</f>
        <v>1, 4, 15, 16</v>
      </c>
      <c r="Q2488" s="91">
        <f>VLOOKUP(Tabla3[[#This Row],[Site]],'Important Info!'!$A$1:$J$135,9,FALSE)</f>
        <v>204</v>
      </c>
    </row>
    <row r="2489" spans="1:17" x14ac:dyDescent="0.25">
      <c r="A2489" t="str">
        <f>+Tabla3[[#This Row],[Site]]&amp;Tabla3[[#This Row],[Split]]</f>
        <v>(HUD) Acura of Greensboro25</v>
      </c>
      <c r="B2489">
        <v>25</v>
      </c>
      <c r="C2489">
        <v>12</v>
      </c>
      <c r="D2489" t="s">
        <v>62</v>
      </c>
      <c r="E2489" t="s">
        <v>35</v>
      </c>
      <c r="F2489" t="s">
        <v>100</v>
      </c>
      <c r="G2489" t="s">
        <v>490</v>
      </c>
      <c r="H2489" s="52" t="str">
        <f>VLOOKUP(Tabla3[[#This Row],[Site]],'Important Info!'!$A$1:$J$135,10,FALSE)</f>
        <v>https://tools.sig.systems/site/details/213</v>
      </c>
      <c r="I2489" t="s">
        <v>182</v>
      </c>
      <c r="J2489" t="s">
        <v>41</v>
      </c>
      <c r="K2489" s="79" t="str">
        <f>VLOOKUP(Tabla3[[#This Row],[Site]],'Important Info!'!$A$1:$H$135,8,FALSE)</f>
        <v>-</v>
      </c>
      <c r="L2489" s="52" t="str">
        <f>VLOOKUP(Tabla3[[#This Row],[Site]],'Important Info!'!$A$1:$F$135,2,FALSE)</f>
        <v>1, 2, 6, 7, 9</v>
      </c>
      <c r="M2489" s="52" t="str">
        <f>VLOOKUP(Tabla3[[#This Row],[Site]],'Important Info!'!$A$1:$F$135,3,FALSE)</f>
        <v>-</v>
      </c>
      <c r="N2489" s="52" t="str">
        <f>VLOOKUP(Tabla3[[#This Row],[Site]],'Important Info!'!$A$1:$F$135,4,FALSE)</f>
        <v>-</v>
      </c>
      <c r="O2489" s="52" t="str">
        <f>VLOOKUP(Tabla3[[#This Row],[Site]],'Important Info!'!$A$1:$F$135,5,FALSE)</f>
        <v>2, 5</v>
      </c>
      <c r="P2489" s="52" t="str">
        <f>VLOOKUP(Tabla3[[#This Row],[Site]],'Important Info!'!$A$1:$F$135,6,FALSE)</f>
        <v>1, 2, 6, 7, 9, 18</v>
      </c>
      <c r="Q2489" s="91">
        <f>VLOOKUP(Tabla3[[#This Row],[Site]],'Important Info!'!$A$1:$J$135,9,FALSE)</f>
        <v>213</v>
      </c>
    </row>
    <row r="2490" spans="1:17" x14ac:dyDescent="0.25">
      <c r="A2490" t="str">
        <f>+Tabla3[[#This Row],[Site]]&amp;Tabla3[[#This Row],[Split]]</f>
        <v>(MK) McKenny Salinas Honda25</v>
      </c>
      <c r="B2490">
        <v>25</v>
      </c>
      <c r="C2490">
        <v>12</v>
      </c>
      <c r="D2490" t="s">
        <v>62</v>
      </c>
      <c r="E2490" t="s">
        <v>35</v>
      </c>
      <c r="F2490" t="s">
        <v>115</v>
      </c>
      <c r="G2490" t="s">
        <v>490</v>
      </c>
      <c r="H2490" s="52" t="str">
        <f>VLOOKUP(Tabla3[[#This Row],[Site]],'Important Info!'!$A$1:$J$135,10,FALSE)</f>
        <v>https://tools.sig.systems/site/details/149</v>
      </c>
      <c r="J2490" t="s">
        <v>41</v>
      </c>
      <c r="K2490" s="79" t="str">
        <f>VLOOKUP(Tabla3[[#This Row],[Site]],'Important Info!'!$A$1:$H$135,8,FALSE)</f>
        <v>-</v>
      </c>
      <c r="L2490" s="52" t="str">
        <f>VLOOKUP(Tabla3[[#This Row],[Site]],'Important Info!'!$A$1:$F$135,2,FALSE)</f>
        <v>-</v>
      </c>
      <c r="M2490" s="52" t="str">
        <f>VLOOKUP(Tabla3[[#This Row],[Site]],'Important Info!'!$A$1:$F$135,3,FALSE)</f>
        <v>12, 16</v>
      </c>
      <c r="N2490" s="52" t="str">
        <f>VLOOKUP(Tabla3[[#This Row],[Site]],'Important Info!'!$A$1:$F$135,4,FALSE)</f>
        <v>-</v>
      </c>
      <c r="O2490" s="52" t="str">
        <f>VLOOKUP(Tabla3[[#This Row],[Site]],'Important Info!'!$A$1:$F$135,5,FALSE)</f>
        <v>-</v>
      </c>
      <c r="P2490" s="52" t="str">
        <f>VLOOKUP(Tabla3[[#This Row],[Site]],'Important Info!'!$A$1:$F$135,6,FALSE)</f>
        <v>3, 4, 5, 6, 16</v>
      </c>
      <c r="Q2490" s="91">
        <f>VLOOKUP(Tabla3[[#This Row],[Site]],'Important Info!'!$A$1:$J$135,9,FALSE)</f>
        <v>149</v>
      </c>
    </row>
    <row r="2491" spans="1:17" x14ac:dyDescent="0.25">
      <c r="A2491" t="str">
        <f>+Tabla3[[#This Row],[Site]]&amp;Tabla3[[#This Row],[Split]]</f>
        <v>(ML) Joe Machens Capital City I &amp; II (NO TOURS)25</v>
      </c>
      <c r="B2491">
        <v>25</v>
      </c>
      <c r="C2491">
        <v>12</v>
      </c>
      <c r="D2491" t="s">
        <v>33</v>
      </c>
      <c r="E2491" t="s">
        <v>46</v>
      </c>
      <c r="F2491" t="s">
        <v>72</v>
      </c>
      <c r="G2491" t="s">
        <v>34</v>
      </c>
      <c r="H2491" s="52" t="str">
        <f>VLOOKUP(Tabla3[[#This Row],[Site]],'Important Info!'!$A$1:$J$135,10,FALSE)</f>
        <v>https://tools.sig.systems/site/details/271</v>
      </c>
      <c r="I2491" s="43"/>
      <c r="J2491" t="s">
        <v>41</v>
      </c>
      <c r="K2491" s="79" t="str">
        <f>VLOOKUP(Tabla3[[#This Row],[Site]],'Important Info!'!$A$1:$H$135,8,FALSE)</f>
        <v>-</v>
      </c>
      <c r="L2491" s="52" t="str">
        <f>VLOOKUP(Tabla3[[#This Row],[Site]],'Important Info!'!$A$1:$F$135,2,FALSE)</f>
        <v>-</v>
      </c>
      <c r="M2491" s="52" t="str">
        <f>VLOOKUP(Tabla3[[#This Row],[Site]],'Important Info!'!$A$1:$F$135,3,FALSE)</f>
        <v>1, 3, 4, 20, 25, 27, 28</v>
      </c>
      <c r="N2491" s="52" t="str">
        <f>VLOOKUP(Tabla3[[#This Row],[Site]],'Important Info!'!$A$1:$F$135,4,FALSE)</f>
        <v>-</v>
      </c>
      <c r="O2491" s="52">
        <f>VLOOKUP(Tabla3[[#This Row],[Site]],'Important Info!'!$A$1:$F$135,5,FALSE)</f>
        <v>29</v>
      </c>
      <c r="P2491" s="52" t="str">
        <f>VLOOKUP(Tabla3[[#This Row],[Site]],'Important Info!'!$A$1:$F$135,6,FALSE)</f>
        <v>19, 20</v>
      </c>
      <c r="Q2491" s="91">
        <f>VLOOKUP(Tabla3[[#This Row],[Site]],'Important Info!'!$A$1:$J$135,9,FALSE)</f>
        <v>271</v>
      </c>
    </row>
    <row r="2492" spans="1:17" x14ac:dyDescent="0.25">
      <c r="A2492" t="str">
        <f>+Tabla3[[#This Row],[Site]]&amp;Tabla3[[#This Row],[Split]]</f>
        <v>(PE) Mercedes Benz &amp; Smart Bldg. of Fairfield (NO TOURS)25</v>
      </c>
      <c r="B2492">
        <v>25</v>
      </c>
      <c r="C2492">
        <v>12</v>
      </c>
      <c r="D2492" t="s">
        <v>485</v>
      </c>
      <c r="E2492" t="s">
        <v>35</v>
      </c>
      <c r="F2492" t="s">
        <v>64</v>
      </c>
      <c r="G2492" t="s">
        <v>490</v>
      </c>
      <c r="H2492" s="52" t="str">
        <f>VLOOKUP(Tabla3[[#This Row],[Site]],'Important Info!'!$A$1:$J$135,10,FALSE)</f>
        <v>https://tools.sig.systems/site/details/192</v>
      </c>
      <c r="I2492" t="s">
        <v>177</v>
      </c>
      <c r="J2492" t="s">
        <v>41</v>
      </c>
      <c r="K2492" s="79" t="str">
        <f>VLOOKUP(Tabla3[[#This Row],[Site]],'Important Info!'!$A$1:$H$135,8,FALSE)</f>
        <v>-</v>
      </c>
      <c r="L2492" s="52" t="str">
        <f>VLOOKUP(Tabla3[[#This Row],[Site]],'Important Info!'!$A$1:$F$135,2,FALSE)</f>
        <v>-</v>
      </c>
      <c r="M2492" s="52">
        <f>VLOOKUP(Tabla3[[#This Row],[Site]],'Important Info!'!$A$1:$F$135,3,FALSE)</f>
        <v>1</v>
      </c>
      <c r="N2492" s="52" t="str">
        <f>VLOOKUP(Tabla3[[#This Row],[Site]],'Important Info!'!$A$1:$F$135,4,FALSE)</f>
        <v>-</v>
      </c>
      <c r="O2492" s="52" t="str">
        <f>VLOOKUP(Tabla3[[#This Row],[Site]],'Important Info!'!$A$1:$F$135,5,FALSE)</f>
        <v>11, 13</v>
      </c>
      <c r="P2492" s="52">
        <f>VLOOKUP(Tabla3[[#This Row],[Site]],'Important Info!'!$A$1:$F$135,6,FALSE)</f>
        <v>1</v>
      </c>
      <c r="Q2492" s="91">
        <f>VLOOKUP(Tabla3[[#This Row],[Site]],'Important Info!'!$A$1:$J$135,9,FALSE)</f>
        <v>192</v>
      </c>
    </row>
    <row r="2493" spans="1:17" x14ac:dyDescent="0.25">
      <c r="A2493" t="str">
        <f>+Tabla3[[#This Row],[Site]]&amp;Tabla3[[#This Row],[Split]]</f>
        <v>(AS) David McDavid Honda I &amp; II (NO TOURS)25</v>
      </c>
      <c r="B2493">
        <v>25</v>
      </c>
      <c r="C2493">
        <v>13</v>
      </c>
      <c r="D2493" t="s">
        <v>33</v>
      </c>
      <c r="E2493" t="s">
        <v>46</v>
      </c>
      <c r="F2493" t="s">
        <v>506</v>
      </c>
      <c r="G2493" t="s">
        <v>34</v>
      </c>
      <c r="H2493" s="52" t="str">
        <f>VLOOKUP(Tabla3[[#This Row],[Site]],'Important Info!'!$A$1:$J$135,10,FALSE)</f>
        <v>https://tools.sig.systems/site/details/129</v>
      </c>
      <c r="J2493" t="s">
        <v>41</v>
      </c>
      <c r="K2493" s="79" t="str">
        <f>VLOOKUP(Tabla3[[#This Row],[Site]],'Important Info!'!$A$1:$H$135,8,FALSE)</f>
        <v>-</v>
      </c>
      <c r="L2493" s="52" t="str">
        <f>VLOOKUP(Tabla3[[#This Row],[Site]],'Important Info!'!$A$1:$F$135,2,FALSE)</f>
        <v>-</v>
      </c>
      <c r="M2493" s="52" t="str">
        <f>VLOOKUP(Tabla3[[#This Row],[Site]],'Important Info!'!$A$1:$F$135,3,FALSE)</f>
        <v>3, 19, 23, 32, 35</v>
      </c>
      <c r="N2493" s="52" t="str">
        <f>VLOOKUP(Tabla3[[#This Row],[Site]],'Important Info!'!$A$1:$F$135,4,FALSE)</f>
        <v>-</v>
      </c>
      <c r="O2493" s="52" t="str">
        <f>VLOOKUP(Tabla3[[#This Row],[Site]],'Important Info!'!$A$1:$F$135,5,FALSE)</f>
        <v>2, 6, 9, 19, 25, 30, 48</v>
      </c>
      <c r="P2493" s="52" t="str">
        <f>VLOOKUP(Tabla3[[#This Row],[Site]],'Important Info!'!$A$1:$F$135,6,FALSE)</f>
        <v>25, 26, 35, 36, 37</v>
      </c>
      <c r="Q2493" s="91">
        <f>VLOOKUP(Tabla3[[#This Row],[Site]],'Important Info!'!$A$1:$J$135,9,FALSE)</f>
        <v>129</v>
      </c>
    </row>
    <row r="2494" spans="1:17" x14ac:dyDescent="0.25">
      <c r="A2494" t="str">
        <f>+Tabla3[[#This Row],[Site]]&amp;Tabla3[[#This Row],[Split]]</f>
        <v>(AS) Mike Shaw Subaru Greeley (NO TOURS)25</v>
      </c>
      <c r="B2494">
        <v>25</v>
      </c>
      <c r="C2494">
        <v>13</v>
      </c>
      <c r="D2494" t="s">
        <v>44</v>
      </c>
      <c r="E2494" t="s">
        <v>53</v>
      </c>
      <c r="F2494" t="s">
        <v>95</v>
      </c>
      <c r="G2494" t="s">
        <v>45</v>
      </c>
      <c r="H2494" s="52" t="str">
        <f>VLOOKUP(Tabla3[[#This Row],[Site]],'Important Info!'!$A$1:$J$135,10,FALSE)</f>
        <v>https://tools.sig.systems/site/details/174</v>
      </c>
      <c r="I2494" s="2" t="s">
        <v>153</v>
      </c>
      <c r="J2494" t="s">
        <v>41</v>
      </c>
      <c r="K2494" s="79" t="str">
        <f>VLOOKUP(Tabla3[[#This Row],[Site]],'Important Info!'!$A$1:$H$135,8,FALSE)</f>
        <v>-</v>
      </c>
      <c r="L2494" s="52" t="str">
        <f>VLOOKUP(Tabla3[[#This Row],[Site]],'Important Info!'!$A$1:$F$135,2,FALSE)</f>
        <v>16, 17</v>
      </c>
      <c r="M2494" s="52">
        <f>VLOOKUP(Tabla3[[#This Row],[Site]],'Important Info!'!$A$1:$F$135,3,FALSE)</f>
        <v>10</v>
      </c>
      <c r="N2494" s="52" t="str">
        <f>VLOOKUP(Tabla3[[#This Row],[Site]],'Important Info!'!$A$1:$F$135,4,FALSE)</f>
        <v>-</v>
      </c>
      <c r="O2494" s="52" t="str">
        <f>VLOOKUP(Tabla3[[#This Row],[Site]],'Important Info!'!$A$1:$F$135,5,FALSE)</f>
        <v>1, 7</v>
      </c>
      <c r="P2494" s="52" t="str">
        <f>VLOOKUP(Tabla3[[#This Row],[Site]],'Important Info!'!$A$1:$F$135,6,FALSE)</f>
        <v>-</v>
      </c>
      <c r="Q2494" s="91">
        <f>VLOOKUP(Tabla3[[#This Row],[Site]],'Important Info!'!$A$1:$J$135,9,FALSE)</f>
        <v>174</v>
      </c>
    </row>
    <row r="2495" spans="1:17" x14ac:dyDescent="0.25">
      <c r="A2495" t="str">
        <f>+Tabla3[[#This Row],[Site]]&amp;Tabla3[[#This Row],[Split]]</f>
        <v>(AS) Plano Auction (NO SPEAKERS)25</v>
      </c>
      <c r="B2495">
        <v>25</v>
      </c>
      <c r="C2495">
        <v>13</v>
      </c>
      <c r="D2495" t="s">
        <v>33</v>
      </c>
      <c r="E2495" t="s">
        <v>46</v>
      </c>
      <c r="F2495" t="s">
        <v>129</v>
      </c>
      <c r="G2495" t="s">
        <v>34</v>
      </c>
      <c r="H2495" s="52" t="str">
        <f>VLOOKUP(Tabla3[[#This Row],[Site]],'Important Info!'!$A$1:$J$135,10,FALSE)</f>
        <v>https://tools.sig.systems/site/details/140</v>
      </c>
      <c r="J2495" t="s">
        <v>41</v>
      </c>
      <c r="K2495" s="79" t="str">
        <f>VLOOKUP(Tabla3[[#This Row],[Site]],'Important Info!'!$A$1:$H$135,8,FALSE)</f>
        <v>-</v>
      </c>
      <c r="L2495" s="52" t="str">
        <f>VLOOKUP(Tabla3[[#This Row],[Site]],'Important Info!'!$A$1:$F$135,2,FALSE)</f>
        <v>-</v>
      </c>
      <c r="M2495" s="52" t="str">
        <f>VLOOKUP(Tabla3[[#This Row],[Site]],'Important Info!'!$A$1:$F$135,3,FALSE)</f>
        <v>3, 4, 19</v>
      </c>
      <c r="N2495" s="52" t="str">
        <f>VLOOKUP(Tabla3[[#This Row],[Site]],'Important Info!'!$A$1:$F$135,4,FALSE)</f>
        <v>-</v>
      </c>
      <c r="O2495" s="52" t="str">
        <f>VLOOKUP(Tabla3[[#This Row],[Site]],'Important Info!'!$A$1:$F$135,5,FALSE)</f>
        <v>5, 19</v>
      </c>
      <c r="P2495" s="52">
        <f>VLOOKUP(Tabla3[[#This Row],[Site]],'Important Info!'!$A$1:$F$135,6,FALSE)</f>
        <v>21</v>
      </c>
      <c r="Q2495" s="91">
        <f>VLOOKUP(Tabla3[[#This Row],[Site]],'Important Info!'!$A$1:$J$135,9,FALSE)</f>
        <v>140</v>
      </c>
    </row>
    <row r="2496" spans="1:17" x14ac:dyDescent="0.25">
      <c r="A2496" t="str">
        <f>+Tabla3[[#This Row],[Site]]&amp;Tabla3[[#This Row],[Split]]</f>
        <v>(HUD) BMW of Greensboro25</v>
      </c>
      <c r="B2496">
        <v>25</v>
      </c>
      <c r="C2496">
        <v>13</v>
      </c>
      <c r="D2496" t="s">
        <v>62</v>
      </c>
      <c r="E2496" t="s">
        <v>35</v>
      </c>
      <c r="F2496" t="s">
        <v>183</v>
      </c>
      <c r="G2496" t="s">
        <v>490</v>
      </c>
      <c r="H2496" s="52" t="str">
        <f>VLOOKUP(Tabla3[[#This Row],[Site]],'Important Info!'!$A$1:$J$135,10,FALSE)</f>
        <v>https://tools.sig.systems/site/details/219</v>
      </c>
      <c r="I2496" s="43" t="s">
        <v>184</v>
      </c>
      <c r="J2496" t="s">
        <v>41</v>
      </c>
      <c r="K2496" s="79" t="str">
        <f>VLOOKUP(Tabla3[[#This Row],[Site]],'Important Info!'!$A$1:$H$135,8,FALSE)</f>
        <v>-</v>
      </c>
      <c r="L2496" s="52" t="str">
        <f>VLOOKUP(Tabla3[[#This Row],[Site]],'Important Info!'!$A$1:$F$135,2,FALSE)</f>
        <v>2, 20, 21</v>
      </c>
      <c r="M2496" s="52" t="str">
        <f>VLOOKUP(Tabla3[[#This Row],[Site]],'Important Info!'!$A$1:$F$135,3,FALSE)</f>
        <v>-</v>
      </c>
      <c r="N2496" s="52" t="str">
        <f>VLOOKUP(Tabla3[[#This Row],[Site]],'Important Info!'!$A$1:$F$135,4,FALSE)</f>
        <v>-</v>
      </c>
      <c r="O2496" s="52" t="str">
        <f>VLOOKUP(Tabla3[[#This Row],[Site]],'Important Info!'!$A$1:$F$135,5,FALSE)</f>
        <v>12, 17</v>
      </c>
      <c r="P2496" s="52" t="str">
        <f>VLOOKUP(Tabla3[[#This Row],[Site]],'Important Info!'!$A$1:$F$135,6,FALSE)</f>
        <v>1, 2, 6, 20</v>
      </c>
      <c r="Q2496" s="91">
        <f>VLOOKUP(Tabla3[[#This Row],[Site]],'Important Info!'!$A$1:$J$135,9,FALSE)</f>
        <v>219</v>
      </c>
    </row>
    <row r="2497" spans="1:17" x14ac:dyDescent="0.25">
      <c r="A2497" t="str">
        <f>+Tabla3[[#This Row],[Site]]&amp;Tabla3[[#This Row],[Split]]</f>
        <v>(AS) Coggin Mercedes Benz Ft Pierce (NO TOURS)25</v>
      </c>
      <c r="B2497">
        <v>25</v>
      </c>
      <c r="C2497">
        <v>14</v>
      </c>
      <c r="D2497" t="s">
        <v>62</v>
      </c>
      <c r="E2497" t="s">
        <v>35</v>
      </c>
      <c r="F2497" t="s">
        <v>502</v>
      </c>
      <c r="G2497" t="s">
        <v>490</v>
      </c>
      <c r="H2497" s="52" t="str">
        <f>VLOOKUP(Tabla3[[#This Row],[Site]],'Important Info!'!$A$1:$J$135,10,FALSE)</f>
        <v>https://tools.sig.systems/site/details/127</v>
      </c>
      <c r="I2497" t="s">
        <v>179</v>
      </c>
      <c r="J2497" t="s">
        <v>41</v>
      </c>
      <c r="K2497" s="79" t="str">
        <f>VLOOKUP(Tabla3[[#This Row],[Site]],'Important Info!'!$A$1:$H$135,8,FALSE)</f>
        <v>-</v>
      </c>
      <c r="L2497" s="52">
        <f>VLOOKUP(Tabla3[[#This Row],[Site]],'Important Info!'!$A$1:$F$135,2,FALSE)</f>
        <v>18</v>
      </c>
      <c r="M2497" s="52" t="str">
        <f>VLOOKUP(Tabla3[[#This Row],[Site]],'Important Info!'!$A$1:$F$135,3,FALSE)</f>
        <v>1, 3</v>
      </c>
      <c r="N2497" s="52" t="str">
        <f>VLOOKUP(Tabla3[[#This Row],[Site]],'Important Info!'!$A$1:$F$135,4,FALSE)</f>
        <v>-</v>
      </c>
      <c r="O2497" s="52" t="str">
        <f>VLOOKUP(Tabla3[[#This Row],[Site]],'Important Info!'!$A$1:$F$135,5,FALSE)</f>
        <v>6, 10, 13</v>
      </c>
      <c r="P2497" s="52" t="str">
        <f>VLOOKUP(Tabla3[[#This Row],[Site]],'Important Info!'!$A$1:$F$135,6,FALSE)</f>
        <v>1, 4, 5</v>
      </c>
      <c r="Q2497" s="91">
        <f>VLOOKUP(Tabla3[[#This Row],[Site]],'Important Info!'!$A$1:$J$135,9,FALSE)</f>
        <v>127</v>
      </c>
    </row>
    <row r="2498" spans="1:17" x14ac:dyDescent="0.25">
      <c r="A2498" t="str">
        <f>+Tabla3[[#This Row],[Site]]&amp;Tabla3[[#This Row],[Split]]</f>
        <v>(DT) El Cajon (NO TOURS)25</v>
      </c>
      <c r="B2498">
        <v>25</v>
      </c>
      <c r="C2498">
        <v>14</v>
      </c>
      <c r="D2498" t="s">
        <v>51</v>
      </c>
      <c r="E2498" t="s">
        <v>159</v>
      </c>
      <c r="F2498" t="s">
        <v>160</v>
      </c>
      <c r="G2498" t="s">
        <v>52</v>
      </c>
      <c r="H2498" s="52" t="str">
        <f>VLOOKUP(Tabla3[[#This Row],[Site]],'Important Info!'!$A$1:$J$135,10,FALSE)</f>
        <v>https://tools.sig.systems/site/details/241</v>
      </c>
      <c r="I2498" s="2"/>
      <c r="J2498" t="s">
        <v>41</v>
      </c>
      <c r="K2498" s="79" t="str">
        <f>VLOOKUP(Tabla3[[#This Row],[Site]],'Important Info!'!$A$1:$H$135,8,FALSE)</f>
        <v>-</v>
      </c>
      <c r="L2498" s="52" t="str">
        <f>VLOOKUP(Tabla3[[#This Row],[Site]],'Important Info!'!$A$1:$F$135,2,FALSE)</f>
        <v>-</v>
      </c>
      <c r="M2498" s="52">
        <f>VLOOKUP(Tabla3[[#This Row],[Site]],'Important Info!'!$A$1:$F$135,3,FALSE)</f>
        <v>3</v>
      </c>
      <c r="N2498" s="52" t="str">
        <f>VLOOKUP(Tabla3[[#This Row],[Site]],'Important Info!'!$A$1:$F$135,4,FALSE)</f>
        <v>-</v>
      </c>
      <c r="O2498" s="52" t="str">
        <f>VLOOKUP(Tabla3[[#This Row],[Site]],'Important Info!'!$A$1:$F$135,5,FALSE)</f>
        <v>-</v>
      </c>
      <c r="P2498" s="52" t="str">
        <f>VLOOKUP(Tabla3[[#This Row],[Site]],'Important Info!'!$A$1:$F$135,6,FALSE)</f>
        <v>-</v>
      </c>
      <c r="Q2498" s="91">
        <f>VLOOKUP(Tabla3[[#This Row],[Site]],'Important Info!'!$A$1:$J$135,9,FALSE)</f>
        <v>241</v>
      </c>
    </row>
    <row r="2499" spans="1:17" x14ac:dyDescent="0.25">
      <c r="A2499" t="str">
        <f>+Tabla3[[#This Row],[Site]]&amp;Tabla3[[#This Row],[Split]]</f>
        <v>(HUD) Nissan Greensboro25</v>
      </c>
      <c r="B2499">
        <v>25</v>
      </c>
      <c r="C2499">
        <v>14</v>
      </c>
      <c r="D2499" t="s">
        <v>62</v>
      </c>
      <c r="E2499" t="s">
        <v>35</v>
      </c>
      <c r="F2499" t="s">
        <v>66</v>
      </c>
      <c r="G2499" t="s">
        <v>490</v>
      </c>
      <c r="H2499" s="52" t="str">
        <f>VLOOKUP(Tabla3[[#This Row],[Site]],'Important Info!'!$A$1:$J$135,10,FALSE)</f>
        <v>https://tools.sig.systems/site/details/236</v>
      </c>
      <c r="I2499" s="2" t="s">
        <v>184</v>
      </c>
      <c r="J2499" t="s">
        <v>41</v>
      </c>
      <c r="K2499" s="79" t="str">
        <f>VLOOKUP(Tabla3[[#This Row],[Site]],'Important Info!'!$A$1:$H$135,8,FALSE)</f>
        <v>-</v>
      </c>
      <c r="L2499" s="52" t="str">
        <f>VLOOKUP(Tabla3[[#This Row],[Site]],'Important Info!'!$A$1:$F$135,2,FALSE)</f>
        <v>1, 5, 12</v>
      </c>
      <c r="M2499" s="52" t="str">
        <f>VLOOKUP(Tabla3[[#This Row],[Site]],'Important Info!'!$A$1:$F$135,3,FALSE)</f>
        <v>-</v>
      </c>
      <c r="N2499" s="52" t="str">
        <f>VLOOKUP(Tabla3[[#This Row],[Site]],'Important Info!'!$A$1:$F$135,4,FALSE)</f>
        <v>-</v>
      </c>
      <c r="O2499" s="52" t="str">
        <f>VLOOKUP(Tabla3[[#This Row],[Site]],'Important Info!'!$A$1:$F$135,5,FALSE)</f>
        <v>-</v>
      </c>
      <c r="P2499" s="52">
        <f>VLOOKUP(Tabla3[[#This Row],[Site]],'Important Info!'!$A$1:$F$135,6,FALSE)</f>
        <v>4</v>
      </c>
      <c r="Q2499" s="91">
        <f>VLOOKUP(Tabla3[[#This Row],[Site]],'Important Info!'!$A$1:$J$135,9,FALSE)</f>
        <v>236</v>
      </c>
    </row>
    <row r="2500" spans="1:17" x14ac:dyDescent="0.25">
      <c r="A2500" t="str">
        <f>+Tabla3[[#This Row],[Site]]&amp;Tabla3[[#This Row],[Split]]</f>
        <v>(KG) Truck Center Remote Storage Lot25</v>
      </c>
      <c r="B2500">
        <v>25</v>
      </c>
      <c r="C2500">
        <v>14</v>
      </c>
      <c r="D2500" t="s">
        <v>60</v>
      </c>
      <c r="E2500" t="s">
        <v>53</v>
      </c>
      <c r="F2500" t="s">
        <v>61</v>
      </c>
      <c r="G2500" t="s">
        <v>41</v>
      </c>
      <c r="H2500" s="52" t="str">
        <f>VLOOKUP(Tabla3[[#This Row],[Site]],'Important Info!'!$A$1:$J$135,10,FALSE)</f>
        <v>https://tools.sig.systems/site/details/144</v>
      </c>
      <c r="I2500" s="2"/>
      <c r="J2500" t="s">
        <v>41</v>
      </c>
      <c r="K2500" s="79" t="str">
        <f>VLOOKUP(Tabla3[[#This Row],[Site]],'Important Info!'!$A$1:$H$135,8,FALSE)</f>
        <v>-</v>
      </c>
      <c r="L2500" s="52" t="str">
        <f>VLOOKUP(Tabla3[[#This Row],[Site]],'Important Info!'!$A$1:$F$135,2,FALSE)</f>
        <v>4, A23, A49</v>
      </c>
      <c r="M2500" s="52" t="str">
        <f>VLOOKUP(Tabla3[[#This Row],[Site]],'Important Info!'!$A$1:$F$135,3,FALSE)</f>
        <v>5, 24</v>
      </c>
      <c r="N2500" s="52" t="str">
        <f>VLOOKUP(Tabla3[[#This Row],[Site]],'Important Info!'!$A$1:$F$135,4,FALSE)</f>
        <v>-</v>
      </c>
      <c r="O2500" s="52" t="str">
        <f>VLOOKUP(Tabla3[[#This Row],[Site]],'Important Info!'!$A$1:$F$135,5,FALSE)</f>
        <v>1, 7, 11, 15, 19, 24, 25</v>
      </c>
      <c r="P2500" s="52" t="str">
        <f>VLOOKUP(Tabla3[[#This Row],[Site]],'Important Info!'!$A$1:$F$135,6,FALSE)</f>
        <v>9, 20, 24, A49</v>
      </c>
      <c r="Q2500" s="91">
        <f>VLOOKUP(Tabla3[[#This Row],[Site]],'Important Info!'!$A$1:$J$135,9,FALSE)</f>
        <v>144</v>
      </c>
    </row>
    <row r="2501" spans="1:17" x14ac:dyDescent="0.25">
      <c r="A2501" t="str">
        <f>+Tabla3[[#This Row],[Site]]&amp;Tabla3[[#This Row],[Split]]</f>
        <v>(ML) McLarty-Gray Daniels Chevrolet25</v>
      </c>
      <c r="B2501">
        <v>25</v>
      </c>
      <c r="C2501">
        <v>14</v>
      </c>
      <c r="D2501" t="s">
        <v>33</v>
      </c>
      <c r="E2501" t="s">
        <v>46</v>
      </c>
      <c r="F2501" t="s">
        <v>151</v>
      </c>
      <c r="G2501" t="s">
        <v>34</v>
      </c>
      <c r="H2501" s="52" t="str">
        <f>VLOOKUP(Tabla3[[#This Row],[Site]],'Important Info!'!$A$1:$J$135,10,FALSE)</f>
        <v>https://tools.sig.systems/site/details/150</v>
      </c>
      <c r="I2501" s="43"/>
      <c r="J2501" t="s">
        <v>41</v>
      </c>
      <c r="K2501" s="79" t="str">
        <f>VLOOKUP(Tabla3[[#This Row],[Site]],'Important Info!'!$A$1:$H$135,8,FALSE)</f>
        <v>-</v>
      </c>
      <c r="L2501" s="52" t="str">
        <f>VLOOKUP(Tabla3[[#This Row],[Site]],'Important Info!'!$A$1:$F$135,2,FALSE)</f>
        <v>3, 4, 5, 22, 24, 26, 28, 36</v>
      </c>
      <c r="M2501" s="52" t="str">
        <f>VLOOKUP(Tabla3[[#This Row],[Site]],'Important Info!'!$A$1:$F$135,3,FALSE)</f>
        <v>-</v>
      </c>
      <c r="N2501" s="52" t="str">
        <f>VLOOKUP(Tabla3[[#This Row],[Site]],'Important Info!'!$A$1:$F$135,4,FALSE)</f>
        <v>-</v>
      </c>
      <c r="O2501" s="52" t="str">
        <f>VLOOKUP(Tabla3[[#This Row],[Site]],'Important Info!'!$A$1:$F$135,5,FALSE)</f>
        <v>4, 7, 12, 26</v>
      </c>
      <c r="P2501" s="52" t="str">
        <f>VLOOKUP(Tabla3[[#This Row],[Site]],'Important Info!'!$A$1:$F$135,6,FALSE)</f>
        <v>1, 3, 5, 6, 23, 24</v>
      </c>
      <c r="Q2501" s="91">
        <f>VLOOKUP(Tabla3[[#This Row],[Site]],'Important Info!'!$A$1:$J$135,9,FALSE)</f>
        <v>150</v>
      </c>
    </row>
    <row r="2502" spans="1:17" x14ac:dyDescent="0.25">
      <c r="A2502" t="str">
        <f>+Tabla3[[#This Row],[Site]]&amp;Tabla3[[#This Row],[Split]]</f>
        <v>(AS) Coggin Honda Ft. Pierce (NO TOURS)25</v>
      </c>
      <c r="B2502">
        <v>25</v>
      </c>
      <c r="C2502">
        <v>15</v>
      </c>
      <c r="D2502" t="s">
        <v>62</v>
      </c>
      <c r="E2502" t="s">
        <v>35</v>
      </c>
      <c r="F2502" t="s">
        <v>501</v>
      </c>
      <c r="G2502" t="s">
        <v>490</v>
      </c>
      <c r="H2502" s="52" t="str">
        <f>VLOOKUP(Tabla3[[#This Row],[Site]],'Important Info!'!$A$1:$J$135,10,FALSE)</f>
        <v>https://tools.sig.systems/site/details/120</v>
      </c>
      <c r="I2502" t="s">
        <v>179</v>
      </c>
      <c r="J2502" t="s">
        <v>484</v>
      </c>
      <c r="K2502" s="79" t="str">
        <f>VLOOKUP(Tabla3[[#This Row],[Site]],'Important Info!'!$A$1:$H$135,8,FALSE)</f>
        <v>-</v>
      </c>
      <c r="L2502" s="52" t="str">
        <f>VLOOKUP(Tabla3[[#This Row],[Site]],'Important Info!'!$A$1:$F$135,2,FALSE)</f>
        <v>1, 2, 3, 4, 14</v>
      </c>
      <c r="M2502" s="52" t="str">
        <f>VLOOKUP(Tabla3[[#This Row],[Site]],'Important Info!'!$A$1:$F$135,3,FALSE)</f>
        <v>-</v>
      </c>
      <c r="N2502" s="52" t="str">
        <f>VLOOKUP(Tabla3[[#This Row],[Site]],'Important Info!'!$A$1:$F$135,4,FALSE)</f>
        <v>-</v>
      </c>
      <c r="O2502" s="52" t="str">
        <f>VLOOKUP(Tabla3[[#This Row],[Site]],'Important Info!'!$A$1:$F$135,5,FALSE)</f>
        <v>7, 11, 15</v>
      </c>
      <c r="P2502" s="52">
        <f>VLOOKUP(Tabla3[[#This Row],[Site]],'Important Info!'!$A$1:$F$135,6,FALSE)</f>
        <v>3</v>
      </c>
      <c r="Q2502" s="91">
        <f>VLOOKUP(Tabla3[[#This Row],[Site]],'Important Info!'!$A$1:$J$135,9,FALSE)</f>
        <v>120</v>
      </c>
    </row>
    <row r="2503" spans="1:17" x14ac:dyDescent="0.25">
      <c r="A2503" t="str">
        <f>+Tabla3[[#This Row],[Site]]&amp;Tabla3[[#This Row],[Split]]</f>
        <v>(AS) Lexus Plano I &amp; II (NO TOURS)25</v>
      </c>
      <c r="B2503">
        <v>25</v>
      </c>
      <c r="C2503">
        <v>15</v>
      </c>
      <c r="D2503" t="s">
        <v>33</v>
      </c>
      <c r="E2503" t="s">
        <v>46</v>
      </c>
      <c r="F2503" t="s">
        <v>524</v>
      </c>
      <c r="G2503" t="s">
        <v>34</v>
      </c>
      <c r="H2503" s="52" t="str">
        <f>VLOOKUP(Tabla3[[#This Row],[Site]],'Important Info!'!$A$1:$J$135,10,FALSE)</f>
        <v>https://tools.sig.systems/site/details/167</v>
      </c>
      <c r="I2503" s="63" t="s">
        <v>127</v>
      </c>
      <c r="J2503" t="s">
        <v>41</v>
      </c>
      <c r="K2503" s="79" t="str">
        <f>VLOOKUP(Tabla3[[#This Row],[Site]],'Important Info!'!$A$1:$H$135,8,FALSE)</f>
        <v>-</v>
      </c>
      <c r="L2503" s="52" t="str">
        <f>VLOOKUP(Tabla3[[#This Row],[Site]],'Important Info!'!$A$1:$F$135,2,FALSE)</f>
        <v>5, 9</v>
      </c>
      <c r="M2503" s="52" t="str">
        <f>VLOOKUP(Tabla3[[#This Row],[Site]],'Important Info!'!$A$1:$F$135,3,FALSE)</f>
        <v>-</v>
      </c>
      <c r="N2503" s="52" t="str">
        <f>VLOOKUP(Tabla3[[#This Row],[Site]],'Important Info!'!$A$1:$F$135,4,FALSE)</f>
        <v>101, 102, 103, 104</v>
      </c>
      <c r="O2503" s="52" t="str">
        <f>VLOOKUP(Tabla3[[#This Row],[Site]],'Important Info!'!$A$1:$F$135,5,FALSE)</f>
        <v>4, 10, 28</v>
      </c>
      <c r="P2503" s="52" t="str">
        <f>VLOOKUP(Tabla3[[#This Row],[Site]],'Important Info!'!$A$1:$F$135,6,FALSE)</f>
        <v>5, 9, 16</v>
      </c>
      <c r="Q2503" s="91">
        <f>VLOOKUP(Tabla3[[#This Row],[Site]],'Important Info!'!$A$1:$J$135,9,FALSE)</f>
        <v>167</v>
      </c>
    </row>
    <row r="2504" spans="1:17" x14ac:dyDescent="0.25">
      <c r="A2504" t="str">
        <f>+Tabla3[[#This Row],[Site]]&amp;Tabla3[[#This Row],[Split]]</f>
        <v>(HUD) CDJR of Greensboro25</v>
      </c>
      <c r="B2504">
        <v>25</v>
      </c>
      <c r="C2504">
        <v>15</v>
      </c>
      <c r="D2504" t="s">
        <v>62</v>
      </c>
      <c r="E2504" t="s">
        <v>35</v>
      </c>
      <c r="F2504" t="s">
        <v>185</v>
      </c>
      <c r="G2504" t="s">
        <v>491</v>
      </c>
      <c r="H2504" s="52" t="str">
        <f>VLOOKUP(Tabla3[[#This Row],[Site]],'Important Info!'!$A$1:$J$135,10,FALSE)</f>
        <v>https://tools.sig.systems/site/details/215</v>
      </c>
      <c r="I2504" s="2" t="s">
        <v>184</v>
      </c>
      <c r="J2504" t="s">
        <v>36</v>
      </c>
      <c r="K2504" s="79" t="str">
        <f>VLOOKUP(Tabla3[[#This Row],[Site]],'Important Info!'!$A$1:$H$135,8,FALSE)</f>
        <v>-</v>
      </c>
      <c r="L2504" s="52" t="str">
        <f>VLOOKUP(Tabla3[[#This Row],[Site]],'Important Info!'!$A$1:$F$135,2,FALSE)</f>
        <v>2, 12</v>
      </c>
      <c r="M2504" s="52" t="str">
        <f>VLOOKUP(Tabla3[[#This Row],[Site]],'Important Info!'!$A$1:$F$135,3,FALSE)</f>
        <v>-</v>
      </c>
      <c r="N2504" s="52" t="str">
        <f>VLOOKUP(Tabla3[[#This Row],[Site]],'Important Info!'!$A$1:$F$135,4,FALSE)</f>
        <v>-</v>
      </c>
      <c r="O2504" s="52" t="str">
        <f>VLOOKUP(Tabla3[[#This Row],[Site]],'Important Info!'!$A$1:$F$135,5,FALSE)</f>
        <v>3, 13</v>
      </c>
      <c r="P2504" s="52" t="str">
        <f>VLOOKUP(Tabla3[[#This Row],[Site]],'Important Info!'!$A$1:$F$135,6,FALSE)</f>
        <v>1, 17</v>
      </c>
      <c r="Q2504" s="91">
        <f>VLOOKUP(Tabla3[[#This Row],[Site]],'Important Info!'!$A$1:$J$135,9,FALSE)</f>
        <v>215</v>
      </c>
    </row>
    <row r="2505" spans="1:17" x14ac:dyDescent="0.25">
      <c r="A2505" t="str">
        <f>+Tabla3[[#This Row],[Site]]&amp;Tabla3[[#This Row],[Split]]</f>
        <v>(PE) JLR Darien PDI (NO TOURS)25</v>
      </c>
      <c r="B2505">
        <v>25</v>
      </c>
      <c r="C2505">
        <v>15</v>
      </c>
      <c r="D2505" t="s">
        <v>485</v>
      </c>
      <c r="E2505" t="s">
        <v>35</v>
      </c>
      <c r="F2505" t="s">
        <v>98</v>
      </c>
      <c r="G2505" t="s">
        <v>490</v>
      </c>
      <c r="H2505" s="52" t="str">
        <f>VLOOKUP(Tabla3[[#This Row],[Site]],'Important Info!'!$A$1:$J$135,10,FALSE)</f>
        <v>https://tools.sig.systems/site/details/187</v>
      </c>
      <c r="I2505" t="s">
        <v>175</v>
      </c>
      <c r="J2505" t="s">
        <v>41</v>
      </c>
      <c r="K2505" s="79" t="str">
        <f>VLOOKUP(Tabla3[[#This Row],[Site]],'Important Info!'!$A$1:$H$135,8,FALSE)</f>
        <v>-</v>
      </c>
      <c r="L2505" s="52">
        <f>VLOOKUP(Tabla3[[#This Row],[Site]],'Important Info!'!$A$1:$F$135,2,FALSE)</f>
        <v>1</v>
      </c>
      <c r="M2505" s="52" t="str">
        <f>VLOOKUP(Tabla3[[#This Row],[Site]],'Important Info!'!$A$1:$F$135,3,FALSE)</f>
        <v>-</v>
      </c>
      <c r="N2505" s="52" t="str">
        <f>VLOOKUP(Tabla3[[#This Row],[Site]],'Important Info!'!$A$1:$F$135,4,FALSE)</f>
        <v>-</v>
      </c>
      <c r="O2505" s="52">
        <f>VLOOKUP(Tabla3[[#This Row],[Site]],'Important Info!'!$A$1:$F$135,5,FALSE)</f>
        <v>1</v>
      </c>
      <c r="P2505" s="52">
        <f>VLOOKUP(Tabla3[[#This Row],[Site]],'Important Info!'!$A$1:$F$135,6,FALSE)</f>
        <v>7</v>
      </c>
      <c r="Q2505" s="91">
        <f>VLOOKUP(Tabla3[[#This Row],[Site]],'Important Info!'!$A$1:$J$135,9,FALSE)</f>
        <v>187</v>
      </c>
    </row>
    <row r="2506" spans="1:17" x14ac:dyDescent="0.25">
      <c r="A2506" t="str">
        <f>+Tabla3[[#This Row],[Site]]&amp;Tabla3[[#This Row],[Split]]</f>
        <v>(AS) Coggin Acura Ft Pierce (NO TOURS)25</v>
      </c>
      <c r="B2506">
        <v>25</v>
      </c>
      <c r="C2506">
        <v>16</v>
      </c>
      <c r="D2506" t="s">
        <v>62</v>
      </c>
      <c r="E2506" t="s">
        <v>35</v>
      </c>
      <c r="F2506" t="s">
        <v>500</v>
      </c>
      <c r="G2506" t="s">
        <v>490</v>
      </c>
      <c r="H2506" s="52" t="str">
        <f>VLOOKUP(Tabla3[[#This Row],[Site]],'Important Info!'!$A$1:$J$135,10,FALSE)</f>
        <v>https://tools.sig.systems/site/details/118</v>
      </c>
      <c r="I2506" s="2" t="s">
        <v>179</v>
      </c>
      <c r="J2506" t="s">
        <v>41</v>
      </c>
      <c r="K2506" s="79" t="str">
        <f>VLOOKUP(Tabla3[[#This Row],[Site]],'Important Info!'!$A$1:$H$135,8,FALSE)</f>
        <v>-</v>
      </c>
      <c r="L2506" s="52" t="str">
        <f>VLOOKUP(Tabla3[[#This Row],[Site]],'Important Info!'!$A$1:$F$135,2,FALSE)</f>
        <v>-</v>
      </c>
      <c r="M2506" s="52">
        <f>VLOOKUP(Tabla3[[#This Row],[Site]],'Important Info!'!$A$1:$F$135,3,FALSE)</f>
        <v>6</v>
      </c>
      <c r="N2506" s="52" t="str">
        <f>VLOOKUP(Tabla3[[#This Row],[Site]],'Important Info!'!$A$1:$F$135,4,FALSE)</f>
        <v>-</v>
      </c>
      <c r="O2506" s="52" t="str">
        <f>VLOOKUP(Tabla3[[#This Row],[Site]],'Important Info!'!$A$1:$F$135,5,FALSE)</f>
        <v>4, 6</v>
      </c>
      <c r="P2506" s="52">
        <f>VLOOKUP(Tabla3[[#This Row],[Site]],'Important Info!'!$A$1:$F$135,6,FALSE)</f>
        <v>1</v>
      </c>
      <c r="Q2506" s="91">
        <f>VLOOKUP(Tabla3[[#This Row],[Site]],'Important Info!'!$A$1:$J$135,9,FALSE)</f>
        <v>118</v>
      </c>
    </row>
    <row r="2507" spans="1:17" x14ac:dyDescent="0.25">
      <c r="A2507" t="str">
        <f>+Tabla3[[#This Row],[Site]]&amp;Tabla3[[#This Row],[Split]]</f>
        <v>(DT) W Houston25</v>
      </c>
      <c r="B2507">
        <v>25</v>
      </c>
      <c r="C2507">
        <v>16</v>
      </c>
      <c r="D2507" t="s">
        <v>33</v>
      </c>
      <c r="E2507" t="s">
        <v>46</v>
      </c>
      <c r="F2507" t="s">
        <v>69</v>
      </c>
      <c r="G2507" t="s">
        <v>34</v>
      </c>
      <c r="H2507" s="52" t="str">
        <f>VLOOKUP(Tabla3[[#This Row],[Site]],'Important Info!'!$A$1:$J$135,10,FALSE)</f>
        <v>https://tools.sig.systems/site/details/197</v>
      </c>
      <c r="I2507" s="43"/>
      <c r="J2507" t="s">
        <v>41</v>
      </c>
      <c r="K2507" s="79" t="str">
        <f>VLOOKUP(Tabla3[[#This Row],[Site]],'Important Info!'!$A$1:$H$135,8,FALSE)</f>
        <v>-</v>
      </c>
      <c r="L2507" s="52">
        <f>VLOOKUP(Tabla3[[#This Row],[Site]],'Important Info!'!$A$1:$F$135,2,FALSE)</f>
        <v>7</v>
      </c>
      <c r="M2507" s="52">
        <f>VLOOKUP(Tabla3[[#This Row],[Site]],'Important Info!'!$A$1:$F$135,3,FALSE)</f>
        <v>2</v>
      </c>
      <c r="N2507" s="52" t="str">
        <f>VLOOKUP(Tabla3[[#This Row],[Site]],'Important Info!'!$A$1:$F$135,4,FALSE)</f>
        <v>-</v>
      </c>
      <c r="O2507" s="52">
        <f>VLOOKUP(Tabla3[[#This Row],[Site]],'Important Info!'!$A$1:$F$135,5,FALSE)</f>
        <v>14</v>
      </c>
      <c r="P2507" s="52" t="str">
        <f>VLOOKUP(Tabla3[[#This Row],[Site]],'Important Info!'!$A$1:$F$135,6,FALSE)</f>
        <v>2, 3, 7, 10</v>
      </c>
      <c r="Q2507" s="91">
        <f>VLOOKUP(Tabla3[[#This Row],[Site]],'Important Info!'!$A$1:$J$135,9,FALSE)</f>
        <v>197</v>
      </c>
    </row>
    <row r="2508" spans="1:17" x14ac:dyDescent="0.25">
      <c r="A2508" t="str">
        <f>+Tabla3[[#This Row],[Site]]&amp;Tabla3[[#This Row],[Split]]</f>
        <v>(HUD) Honda Greensboro25</v>
      </c>
      <c r="B2508">
        <v>25</v>
      </c>
      <c r="C2508">
        <v>16</v>
      </c>
      <c r="D2508" t="s">
        <v>62</v>
      </c>
      <c r="E2508" t="s">
        <v>35</v>
      </c>
      <c r="F2508" t="s">
        <v>85</v>
      </c>
      <c r="G2508" t="s">
        <v>490</v>
      </c>
      <c r="H2508" s="52" t="str">
        <f>VLOOKUP(Tabla3[[#This Row],[Site]],'Important Info!'!$A$1:$J$135,10,FALSE)</f>
        <v>https://tools.sig.systems/site/details/230</v>
      </c>
      <c r="I2508" t="s">
        <v>186</v>
      </c>
      <c r="J2508" t="s">
        <v>41</v>
      </c>
      <c r="K2508" s="79" t="str">
        <f>VLOOKUP(Tabla3[[#This Row],[Site]],'Important Info!'!$A$1:$H$135,8,FALSE)</f>
        <v>-</v>
      </c>
      <c r="L2508" s="52" t="str">
        <f>VLOOKUP(Tabla3[[#This Row],[Site]],'Important Info!'!$A$1:$F$135,2,FALSE)</f>
        <v>1, 3,  15, 16, 22</v>
      </c>
      <c r="M2508" s="52" t="str">
        <f>VLOOKUP(Tabla3[[#This Row],[Site]],'Important Info!'!$A$1:$F$135,3,FALSE)</f>
        <v>-</v>
      </c>
      <c r="N2508" s="52" t="str">
        <f>VLOOKUP(Tabla3[[#This Row],[Site]],'Important Info!'!$A$1:$F$135,4,FALSE)</f>
        <v>-</v>
      </c>
      <c r="O2508" s="52" t="str">
        <f>VLOOKUP(Tabla3[[#This Row],[Site]],'Important Info!'!$A$1:$F$135,5,FALSE)</f>
        <v>3, 20</v>
      </c>
      <c r="P2508" s="52">
        <f>VLOOKUP(Tabla3[[#This Row],[Site]],'Important Info!'!$A$1:$F$135,6,FALSE)</f>
        <v>26</v>
      </c>
      <c r="Q2508" s="91">
        <f>VLOOKUP(Tabla3[[#This Row],[Site]],'Important Info!'!$A$1:$J$135,9,FALSE)</f>
        <v>230</v>
      </c>
    </row>
    <row r="2509" spans="1:17" x14ac:dyDescent="0.25">
      <c r="A2509" t="str">
        <f>+Tabla3[[#This Row],[Site]]&amp;Tabla3[[#This Row],[Split]]</f>
        <v>(ML) Honda of Little Rock25</v>
      </c>
      <c r="B2509">
        <v>25</v>
      </c>
      <c r="C2509">
        <v>16</v>
      </c>
      <c r="D2509" t="s">
        <v>33</v>
      </c>
      <c r="E2509" t="s">
        <v>46</v>
      </c>
      <c r="F2509" t="s">
        <v>71</v>
      </c>
      <c r="G2509" t="s">
        <v>34</v>
      </c>
      <c r="H2509" s="52" t="str">
        <f>VLOOKUP(Tabla3[[#This Row],[Site]],'Important Info!'!$A$1:$J$135,10,FALSE)</f>
        <v>https://tools.sig.systems/site/details/249</v>
      </c>
      <c r="I2509" s="2" t="s">
        <v>140</v>
      </c>
      <c r="J2509" t="s">
        <v>41</v>
      </c>
      <c r="K2509" s="79" t="str">
        <f>VLOOKUP(Tabla3[[#This Row],[Site]],'Important Info!'!$A$1:$H$135,8,FALSE)</f>
        <v>-</v>
      </c>
      <c r="L2509" s="52" t="str">
        <f>VLOOKUP(Tabla3[[#This Row],[Site]],'Important Info!'!$A$1:$F$135,2,FALSE)</f>
        <v>1, 4, 9, 14, 21</v>
      </c>
      <c r="M2509" s="52" t="str">
        <f>VLOOKUP(Tabla3[[#This Row],[Site]],'Important Info!'!$A$1:$F$135,3,FALSE)</f>
        <v>-</v>
      </c>
      <c r="N2509" s="52" t="str">
        <f>VLOOKUP(Tabla3[[#This Row],[Site]],'Important Info!'!$A$1:$F$135,4,FALSE)</f>
        <v>-</v>
      </c>
      <c r="O2509" s="52" t="str">
        <f>VLOOKUP(Tabla3[[#This Row],[Site]],'Important Info!'!$A$1:$F$135,5,FALSE)</f>
        <v>4, 14, 21</v>
      </c>
      <c r="P2509" s="52" t="str">
        <f>VLOOKUP(Tabla3[[#This Row],[Site]],'Important Info!'!$A$1:$F$135,6,FALSE)</f>
        <v>11, 12</v>
      </c>
      <c r="Q2509" s="91">
        <f>VLOOKUP(Tabla3[[#This Row],[Site]],'Important Info!'!$A$1:$J$135,9,FALSE)</f>
        <v>249</v>
      </c>
    </row>
    <row r="2510" spans="1:17" x14ac:dyDescent="0.25">
      <c r="A2510" t="str">
        <f>+Tabla3[[#This Row],[Site]]&amp;Tabla3[[#This Row],[Split]]</f>
        <v>(ML) McLarty Gray-Daniels Toyota Nissan25</v>
      </c>
      <c r="B2510">
        <v>25</v>
      </c>
      <c r="C2510">
        <v>16</v>
      </c>
      <c r="D2510" t="s">
        <v>33</v>
      </c>
      <c r="E2510" t="s">
        <v>46</v>
      </c>
      <c r="F2510" t="s">
        <v>90</v>
      </c>
      <c r="G2510" t="s">
        <v>34</v>
      </c>
      <c r="H2510" s="52" t="str">
        <f>VLOOKUP(Tabla3[[#This Row],[Site]],'Important Info!'!$A$1:$J$135,10,FALSE)</f>
        <v>https://tools.sig.systems/site/details/152</v>
      </c>
      <c r="I2510" s="2" t="s">
        <v>150</v>
      </c>
      <c r="J2510" t="s">
        <v>41</v>
      </c>
      <c r="K2510" s="79" t="str">
        <f>VLOOKUP(Tabla3[[#This Row],[Site]],'Important Info!'!$A$1:$H$135,8,FALSE)</f>
        <v>-</v>
      </c>
      <c r="L2510" s="52" t="str">
        <f>VLOOKUP(Tabla3[[#This Row],[Site]],'Important Info!'!$A$1:$F$135,2,FALSE)</f>
        <v>-</v>
      </c>
      <c r="M2510" s="52" t="str">
        <f>VLOOKUP(Tabla3[[#This Row],[Site]],'Important Info!'!$A$1:$F$135,3,FALSE)</f>
        <v>8, 11, 39, 43</v>
      </c>
      <c r="N2510" s="52" t="str">
        <f>VLOOKUP(Tabla3[[#This Row],[Site]],'Important Info!'!$A$1:$F$135,4,FALSE)</f>
        <v>-</v>
      </c>
      <c r="O2510" s="52" t="str">
        <f>VLOOKUP(Tabla3[[#This Row],[Site]],'Important Info!'!$A$1:$F$135,5,FALSE)</f>
        <v>6, 11, 15, 18</v>
      </c>
      <c r="P2510" s="52" t="str">
        <f>VLOOKUP(Tabla3[[#This Row],[Site]],'Important Info!'!$A$1:$F$135,6,FALSE)</f>
        <v>7, 8, 9</v>
      </c>
      <c r="Q2510" s="91">
        <f>VLOOKUP(Tabla3[[#This Row],[Site]],'Important Info!'!$A$1:$J$135,9,FALSE)</f>
        <v>152</v>
      </c>
    </row>
    <row r="2511" spans="1:17" x14ac:dyDescent="0.25">
      <c r="A2511" t="str">
        <f>+Tabla3[[#This Row],[Site]]&amp;Tabla3[[#This Row],[Split]]</f>
        <v>(AS) Audi of North Atlanta (NO TOURS)25</v>
      </c>
      <c r="B2511">
        <v>25</v>
      </c>
      <c r="C2511">
        <v>17</v>
      </c>
      <c r="D2511" t="s">
        <v>62</v>
      </c>
      <c r="E2511" t="s">
        <v>35</v>
      </c>
      <c r="F2511" t="s">
        <v>499</v>
      </c>
      <c r="G2511" t="s">
        <v>490</v>
      </c>
      <c r="H2511" s="52" t="str">
        <f>VLOOKUP(Tabla3[[#This Row],[Site]],'Important Info!'!$A$1:$J$135,10,FALSE)</f>
        <v>https://tools.sig.systems/site/details/124</v>
      </c>
      <c r="I2511" s="43" t="s">
        <v>166</v>
      </c>
      <c r="J2511" t="s">
        <v>41</v>
      </c>
      <c r="K2511" s="79" t="str">
        <f>VLOOKUP(Tabla3[[#This Row],[Site]],'Important Info!'!$A$1:$H$135,8,FALSE)</f>
        <v>-</v>
      </c>
      <c r="L2511" s="52" t="str">
        <f>VLOOKUP(Tabla3[[#This Row],[Site]],'Important Info!'!$A$1:$F$135,2,FALSE)</f>
        <v>1, 5, 16, 54</v>
      </c>
      <c r="M2511" s="52" t="str">
        <f>VLOOKUP(Tabla3[[#This Row],[Site]],'Important Info!'!$A$1:$F$135,3,FALSE)</f>
        <v>-</v>
      </c>
      <c r="N2511" s="52" t="str">
        <f>VLOOKUP(Tabla3[[#This Row],[Site]],'Important Info!'!$A$1:$F$135,4,FALSE)</f>
        <v>-</v>
      </c>
      <c r="O2511" s="52" t="str">
        <f>VLOOKUP(Tabla3[[#This Row],[Site]],'Important Info!'!$A$1:$F$135,5,FALSE)</f>
        <v>3, 16</v>
      </c>
      <c r="P2511" s="52" t="str">
        <f>VLOOKUP(Tabla3[[#This Row],[Site]],'Important Info!'!$A$1:$F$135,6,FALSE)</f>
        <v>2, 5, 6</v>
      </c>
      <c r="Q2511" s="91">
        <f>VLOOKUP(Tabla3[[#This Row],[Site]],'Important Info!'!$A$1:$J$135,9,FALSE)</f>
        <v>124</v>
      </c>
    </row>
    <row r="2512" spans="1:17" x14ac:dyDescent="0.25">
      <c r="A2512" t="str">
        <f>+Tabla3[[#This Row],[Site]]&amp;Tabla3[[#This Row],[Split]]</f>
        <v>(HUD) Paint and Body Center (NO TOURS)25</v>
      </c>
      <c r="B2512">
        <v>25</v>
      </c>
      <c r="C2512">
        <v>17</v>
      </c>
      <c r="D2512" t="s">
        <v>62</v>
      </c>
      <c r="E2512" t="s">
        <v>35</v>
      </c>
      <c r="F2512" t="s">
        <v>110</v>
      </c>
      <c r="G2512" t="s">
        <v>490</v>
      </c>
      <c r="H2512" s="52" t="str">
        <f>VLOOKUP(Tabla3[[#This Row],[Site]],'Important Info!'!$A$1:$J$135,10,FALSE)</f>
        <v>https://tools.sig.systems/site/details/256</v>
      </c>
      <c r="I2512" t="s">
        <v>184</v>
      </c>
      <c r="J2512" t="s">
        <v>41</v>
      </c>
      <c r="K2512" s="79" t="str">
        <f>VLOOKUP(Tabla3[[#This Row],[Site]],'Important Info!'!$A$1:$H$135,8,FALSE)</f>
        <v>-</v>
      </c>
      <c r="L2512" s="52" t="str">
        <f>VLOOKUP(Tabla3[[#This Row],[Site]],'Important Info!'!$A$1:$F$135,2,FALSE)</f>
        <v>-</v>
      </c>
      <c r="M2512" s="52">
        <f>VLOOKUP(Tabla3[[#This Row],[Site]],'Important Info!'!$A$1:$F$135,3,FALSE)</f>
        <v>1</v>
      </c>
      <c r="N2512" s="52" t="str">
        <f>VLOOKUP(Tabla3[[#This Row],[Site]],'Important Info!'!$A$1:$F$135,4,FALSE)</f>
        <v>-</v>
      </c>
      <c r="O2512" s="52" t="str">
        <f>VLOOKUP(Tabla3[[#This Row],[Site]],'Important Info!'!$A$1:$F$135,5,FALSE)</f>
        <v>-</v>
      </c>
      <c r="P2512" s="52" t="str">
        <f>VLOOKUP(Tabla3[[#This Row],[Site]],'Important Info!'!$A$1:$F$135,6,FALSE)</f>
        <v>-</v>
      </c>
      <c r="Q2512" s="91">
        <f>VLOOKUP(Tabla3[[#This Row],[Site]],'Important Info!'!$A$1:$J$135,9,FALSE)</f>
        <v>256</v>
      </c>
    </row>
    <row r="2513" spans="1:17" x14ac:dyDescent="0.25">
      <c r="A2513" t="str">
        <f>+Tabla3[[#This Row],[Site]]&amp;Tabla3[[#This Row],[Split]]</f>
        <v>(KG) Baytown GMC Buick - Remote Lot (NO TOURS)25</v>
      </c>
      <c r="B2513">
        <v>25</v>
      </c>
      <c r="C2513">
        <v>17</v>
      </c>
      <c r="D2513" t="s">
        <v>60</v>
      </c>
      <c r="E2513" t="s">
        <v>46</v>
      </c>
      <c r="F2513" t="s">
        <v>167</v>
      </c>
      <c r="G2513" t="s">
        <v>41</v>
      </c>
      <c r="H2513" s="52" t="str">
        <f>VLOOKUP(Tabla3[[#This Row],[Site]],'Important Info!'!$A$1:$J$135,10,FALSE)</f>
        <v>https://tools.sig.systems/site/details/311</v>
      </c>
      <c r="I2513" s="2"/>
      <c r="J2513" t="s">
        <v>41</v>
      </c>
      <c r="K2513" s="79" t="s">
        <v>168</v>
      </c>
      <c r="L2513" s="52" t="str">
        <f>VLOOKUP(Tabla3[[#This Row],[Site]],'Important Info!'!$A$1:$F$135,2,FALSE)</f>
        <v>-</v>
      </c>
      <c r="M2513" s="52" t="str">
        <f>VLOOKUP(Tabla3[[#This Row],[Site]],'Important Info!'!$A$1:$F$135,3,FALSE)</f>
        <v>7, 8</v>
      </c>
      <c r="N2513" s="52" t="str">
        <f>VLOOKUP(Tabla3[[#This Row],[Site]],'Important Info!'!$A$1:$F$135,4,FALSE)</f>
        <v>-</v>
      </c>
      <c r="O2513" s="52" t="str">
        <f>VLOOKUP(Tabla3[[#This Row],[Site]],'Important Info!'!$A$1:$F$135,5,FALSE)</f>
        <v>-</v>
      </c>
      <c r="P2513" s="52" t="str">
        <f>VLOOKUP(Tabla3[[#This Row],[Site]],'Important Info!'!$A$1:$F$135,6,FALSE)</f>
        <v>-</v>
      </c>
      <c r="Q2513" s="91">
        <f>VLOOKUP(Tabla3[[#This Row],[Site]],'Important Info!'!$A$1:$J$135,9,FALSE)</f>
        <v>311</v>
      </c>
    </row>
    <row r="2514" spans="1:17" x14ac:dyDescent="0.25">
      <c r="A2514" t="str">
        <f>+Tabla3[[#This Row],[Site]]&amp;Tabla3[[#This Row],[Split]]</f>
        <v>(KG) Baytown GMC Buick (NO TOURS)25</v>
      </c>
      <c r="B2514">
        <v>25</v>
      </c>
      <c r="C2514">
        <v>17</v>
      </c>
      <c r="D2514" t="s">
        <v>33</v>
      </c>
      <c r="E2514" t="s">
        <v>46</v>
      </c>
      <c r="F2514" t="s">
        <v>132</v>
      </c>
      <c r="G2514" t="s">
        <v>34</v>
      </c>
      <c r="H2514" s="52" t="str">
        <f>VLOOKUP(Tabla3[[#This Row],[Site]],'Important Info!'!$A$1:$J$135,10,FALSE)</f>
        <v>https://tools.sig.systems/site/details/239</v>
      </c>
      <c r="I2514" s="43"/>
      <c r="J2514" t="s">
        <v>41</v>
      </c>
      <c r="K2514" s="79" t="str">
        <f>VLOOKUP(Tabla3[[#This Row],[Site]],'Important Info!'!$A$1:$H$135,8,FALSE)</f>
        <v>-</v>
      </c>
      <c r="L2514" s="52" t="str">
        <f>VLOOKUP(Tabla3[[#This Row],[Site]],'Important Info!'!$A$1:$F$135,2,FALSE)</f>
        <v>1, 5, 7, 21, 22</v>
      </c>
      <c r="M2514" s="52" t="str">
        <f>VLOOKUP(Tabla3[[#This Row],[Site]],'Important Info!'!$A$1:$F$135,3,FALSE)</f>
        <v>-</v>
      </c>
      <c r="N2514" s="52" t="str">
        <f>VLOOKUP(Tabla3[[#This Row],[Site]],'Important Info!'!$A$1:$F$135,4,FALSE)</f>
        <v>-</v>
      </c>
      <c r="O2514" s="52" t="str">
        <f>VLOOKUP(Tabla3[[#This Row],[Site]],'Important Info!'!$A$1:$F$135,5,FALSE)</f>
        <v>2, 10, 15, 24B</v>
      </c>
      <c r="P2514" s="52" t="str">
        <f>VLOOKUP(Tabla3[[#This Row],[Site]],'Important Info!'!$A$1:$F$135,6,FALSE)</f>
        <v>21, 22</v>
      </c>
      <c r="Q2514" s="91">
        <f>VLOOKUP(Tabla3[[#This Row],[Site]],'Important Info!'!$A$1:$J$135,9,FALSE)</f>
        <v>239</v>
      </c>
    </row>
    <row r="2515" spans="1:17" x14ac:dyDescent="0.25">
      <c r="A2515" t="str">
        <f>+Tabla3[[#This Row],[Site]]&amp;Tabla3[[#This Row],[Split]]</f>
        <v>(ML) Nissan of Little Rock25</v>
      </c>
      <c r="B2515">
        <v>25</v>
      </c>
      <c r="C2515">
        <v>17</v>
      </c>
      <c r="D2515" t="s">
        <v>33</v>
      </c>
      <c r="E2515" t="s">
        <v>46</v>
      </c>
      <c r="F2515" t="s">
        <v>152</v>
      </c>
      <c r="G2515" t="s">
        <v>34</v>
      </c>
      <c r="H2515" s="52" t="str">
        <f>VLOOKUP(Tabla3[[#This Row],[Site]],'Important Info!'!$A$1:$J$135,10,FALSE)</f>
        <v>https://tools.sig.systems/site/details/224</v>
      </c>
      <c r="I2515" t="s">
        <v>140</v>
      </c>
      <c r="J2515" t="s">
        <v>41</v>
      </c>
      <c r="K2515" s="79" t="str">
        <f>VLOOKUP(Tabla3[[#This Row],[Site]],'Important Info!'!$A$1:$H$135,8,FALSE)</f>
        <v>-</v>
      </c>
      <c r="L2515" s="52" t="str">
        <f>VLOOKUP(Tabla3[[#This Row],[Site]],'Important Info!'!$A$1:$F$135,2,FALSE)</f>
        <v>3, 6</v>
      </c>
      <c r="M2515" s="52" t="str">
        <f>VLOOKUP(Tabla3[[#This Row],[Site]],'Important Info!'!$A$1:$F$135,3,FALSE)</f>
        <v>-</v>
      </c>
      <c r="N2515" s="52" t="str">
        <f>VLOOKUP(Tabla3[[#This Row],[Site]],'Important Info!'!$A$1:$F$135,4,FALSE)</f>
        <v>-</v>
      </c>
      <c r="O2515" s="52" t="str">
        <f>VLOOKUP(Tabla3[[#This Row],[Site]],'Important Info!'!$A$1:$F$135,5,FALSE)</f>
        <v>1, 8, 16, 22</v>
      </c>
      <c r="P2515" s="52" t="str">
        <f>VLOOKUP(Tabla3[[#This Row],[Site]],'Important Info!'!$A$1:$F$135,6,FALSE)</f>
        <v>3, 4</v>
      </c>
      <c r="Q2515" s="91">
        <f>VLOOKUP(Tabla3[[#This Row],[Site]],'Important Info!'!$A$1:$J$135,9,FALSE)</f>
        <v>224</v>
      </c>
    </row>
    <row r="2516" spans="1:17" x14ac:dyDescent="0.25">
      <c r="A2516" t="str">
        <f>+Tabla3[[#This Row],[Site]]&amp;Tabla3[[#This Row],[Split]]</f>
        <v>(ML) Nissan of North Little Rock25</v>
      </c>
      <c r="B2516">
        <v>25</v>
      </c>
      <c r="C2516">
        <v>17</v>
      </c>
      <c r="D2516" t="s">
        <v>33</v>
      </c>
      <c r="E2516" t="s">
        <v>46</v>
      </c>
      <c r="F2516" t="s">
        <v>75</v>
      </c>
      <c r="G2516" t="s">
        <v>34</v>
      </c>
      <c r="H2516" s="52" t="str">
        <f>VLOOKUP(Tabla3[[#This Row],[Site]],'Important Info!'!$A$1:$J$135,10,FALSE)</f>
        <v>https://tools.sig.systems/site/details/216</v>
      </c>
      <c r="I2516" s="2" t="s">
        <v>142</v>
      </c>
      <c r="J2516" t="s">
        <v>41</v>
      </c>
      <c r="K2516" s="79" t="str">
        <f>VLOOKUP(Tabla3[[#This Row],[Site]],'Important Info!'!$A$1:$H$135,8,FALSE)</f>
        <v>-</v>
      </c>
      <c r="L2516" s="52" t="str">
        <f>VLOOKUP(Tabla3[[#This Row],[Site]],'Important Info!'!$A$1:$F$135,2,FALSE)</f>
        <v>2, 4</v>
      </c>
      <c r="M2516" s="52" t="str">
        <f>VLOOKUP(Tabla3[[#This Row],[Site]],'Important Info!'!$A$1:$F$135,3,FALSE)</f>
        <v>-</v>
      </c>
      <c r="N2516" s="52" t="str">
        <f>VLOOKUP(Tabla3[[#This Row],[Site]],'Important Info!'!$A$1:$F$135,4,FALSE)</f>
        <v>-</v>
      </c>
      <c r="O2516" s="52" t="str">
        <f>VLOOKUP(Tabla3[[#This Row],[Site]],'Important Info!'!$A$1:$F$135,5,FALSE)</f>
        <v>5, 17, 23</v>
      </c>
      <c r="P2516" s="52">
        <f>VLOOKUP(Tabla3[[#This Row],[Site]],'Important Info!'!$A$1:$F$135,6,FALSE)</f>
        <v>18</v>
      </c>
      <c r="Q2516" s="91">
        <f>VLOOKUP(Tabla3[[#This Row],[Site]],'Important Info!'!$A$1:$J$135,9,FALSE)</f>
        <v>216</v>
      </c>
    </row>
    <row r="2517" spans="1:17" x14ac:dyDescent="0.25">
      <c r="A2517" t="str">
        <f>+Tabla3[[#This Row],[Site]]&amp;Tabla3[[#This Row],[Split]]</f>
        <v>(AS) Courtesy Kia of Brandon (NO TOURS)25</v>
      </c>
      <c r="B2517">
        <v>25</v>
      </c>
      <c r="C2517">
        <v>18</v>
      </c>
      <c r="D2517" t="s">
        <v>62</v>
      </c>
      <c r="E2517" t="s">
        <v>35</v>
      </c>
      <c r="F2517" t="s">
        <v>505</v>
      </c>
      <c r="G2517" t="s">
        <v>490</v>
      </c>
      <c r="H2517" s="52" t="str">
        <f>VLOOKUP(Tabla3[[#This Row],[Site]],'Important Info!'!$A$1:$J$135,10,FALSE)</f>
        <v>https://tools.sig.systems/site/details/121</v>
      </c>
      <c r="I2517" s="2" t="s">
        <v>181</v>
      </c>
      <c r="J2517" t="s">
        <v>484</v>
      </c>
      <c r="K2517" s="79" t="str">
        <f>VLOOKUP(Tabla3[[#This Row],[Site]],'Important Info!'!$A$1:$H$135,8,FALSE)</f>
        <v>-</v>
      </c>
      <c r="L2517" s="52" t="str">
        <f>VLOOKUP(Tabla3[[#This Row],[Site]],'Important Info!'!$A$1:$F$135,2,FALSE)</f>
        <v>-</v>
      </c>
      <c r="M2517" s="52" t="str">
        <f>VLOOKUP(Tabla3[[#This Row],[Site]],'Important Info!'!$A$1:$F$135,3,FALSE)</f>
        <v>4, 8</v>
      </c>
      <c r="N2517" s="52" t="str">
        <f>VLOOKUP(Tabla3[[#This Row],[Site]],'Important Info!'!$A$1:$F$135,4,FALSE)</f>
        <v>-</v>
      </c>
      <c r="O2517" s="52" t="str">
        <f>VLOOKUP(Tabla3[[#This Row],[Site]],'Important Info!'!$A$1:$F$135,5,FALSE)</f>
        <v>3, 11, 20, 24</v>
      </c>
      <c r="P2517" s="52" t="str">
        <f>VLOOKUP(Tabla3[[#This Row],[Site]],'Important Info!'!$A$1:$F$135,6,FALSE)</f>
        <v>2, 8</v>
      </c>
      <c r="Q2517" s="91">
        <f>VLOOKUP(Tabla3[[#This Row],[Site]],'Important Info!'!$A$1:$J$135,9,FALSE)</f>
        <v>121</v>
      </c>
    </row>
    <row r="2518" spans="1:17" x14ac:dyDescent="0.25">
      <c r="A2518" t="str">
        <f>+Tabla3[[#This Row],[Site]]&amp;Tabla3[[#This Row],[Split]]</f>
        <v>(AS) Nalley Luxury Collision Center (NO TOURS)25</v>
      </c>
      <c r="B2518">
        <v>25</v>
      </c>
      <c r="C2518">
        <v>18</v>
      </c>
      <c r="D2518" t="s">
        <v>62</v>
      </c>
      <c r="E2518" t="s">
        <v>35</v>
      </c>
      <c r="F2518" t="s">
        <v>512</v>
      </c>
      <c r="G2518" t="s">
        <v>490</v>
      </c>
      <c r="H2518" s="52" t="str">
        <f>VLOOKUP(Tabla3[[#This Row],[Site]],'Important Info!'!$A$1:$J$135,10,FALSE)</f>
        <v>https://tools.sig.systems/site/details/263</v>
      </c>
      <c r="I2518" s="2" t="s">
        <v>166</v>
      </c>
      <c r="J2518" t="s">
        <v>41</v>
      </c>
      <c r="K2518" s="79" t="str">
        <f>VLOOKUP(Tabla3[[#This Row],[Site]],'Important Info!'!$A$1:$H$135,8,FALSE)</f>
        <v>-</v>
      </c>
      <c r="L2518" s="52" t="str">
        <f>VLOOKUP(Tabla3[[#This Row],[Site]],'Important Info!'!$A$1:$F$135,2,FALSE)</f>
        <v>6, 13</v>
      </c>
      <c r="M2518" s="52" t="str">
        <f>VLOOKUP(Tabla3[[#This Row],[Site]],'Important Info!'!$A$1:$F$135,3,FALSE)</f>
        <v>-</v>
      </c>
      <c r="N2518" s="52" t="str">
        <f>VLOOKUP(Tabla3[[#This Row],[Site]],'Important Info!'!$A$1:$F$135,4,FALSE)</f>
        <v>-</v>
      </c>
      <c r="O2518" s="52" t="str">
        <f>VLOOKUP(Tabla3[[#This Row],[Site]],'Important Info!'!$A$1:$F$135,5,FALSE)</f>
        <v>-</v>
      </c>
      <c r="P2518" s="52" t="str">
        <f>VLOOKUP(Tabla3[[#This Row],[Site]],'Important Info!'!$A$1:$F$135,6,FALSE)</f>
        <v>6, 7, 12</v>
      </c>
      <c r="Q2518" s="91">
        <f>VLOOKUP(Tabla3[[#This Row],[Site]],'Important Info!'!$A$1:$J$135,9,FALSE)</f>
        <v>263</v>
      </c>
    </row>
    <row r="2519" spans="1:17" x14ac:dyDescent="0.25">
      <c r="A2519" t="str">
        <f>+Tabla3[[#This Row],[Site]]&amp;Tabla3[[#This Row],[Split]]</f>
        <v>(DT) N. Houston25</v>
      </c>
      <c r="B2519">
        <v>25</v>
      </c>
      <c r="C2519">
        <v>18</v>
      </c>
      <c r="D2519" t="s">
        <v>33</v>
      </c>
      <c r="E2519" t="s">
        <v>46</v>
      </c>
      <c r="F2519" t="s">
        <v>68</v>
      </c>
      <c r="G2519" t="s">
        <v>34</v>
      </c>
      <c r="H2519" s="52" t="str">
        <f>VLOOKUP(Tabla3[[#This Row],[Site]],'Important Info!'!$A$1:$J$135,10,FALSE)</f>
        <v>https://tools.sig.systems/site/details/250</v>
      </c>
      <c r="I2519" s="43"/>
      <c r="J2519" t="s">
        <v>41</v>
      </c>
      <c r="K2519" s="79" t="str">
        <f>VLOOKUP(Tabla3[[#This Row],[Site]],'Important Info!'!$A$1:$H$135,8,FALSE)</f>
        <v>-</v>
      </c>
      <c r="L2519" s="52" t="str">
        <f>VLOOKUP(Tabla3[[#This Row],[Site]],'Important Info!'!$A$1:$F$135,2,FALSE)</f>
        <v>2, 10, 18</v>
      </c>
      <c r="M2519" s="52" t="str">
        <f>VLOOKUP(Tabla3[[#This Row],[Site]],'Important Info!'!$A$1:$F$135,3,FALSE)</f>
        <v>-</v>
      </c>
      <c r="N2519" s="52" t="str">
        <f>VLOOKUP(Tabla3[[#This Row],[Site]],'Important Info!'!$A$1:$F$135,4,FALSE)</f>
        <v>-</v>
      </c>
      <c r="O2519" s="52">
        <f>VLOOKUP(Tabla3[[#This Row],[Site]],'Important Info!'!$A$1:$F$135,5,FALSE)</f>
        <v>15</v>
      </c>
      <c r="P2519" s="52" t="str">
        <f>VLOOKUP(Tabla3[[#This Row],[Site]],'Important Info!'!$A$1:$F$135,6,FALSE)</f>
        <v>2, 4, 18</v>
      </c>
      <c r="Q2519" s="91">
        <f>VLOOKUP(Tabla3[[#This Row],[Site]],'Important Info!'!$A$1:$J$135,9,FALSE)</f>
        <v>250</v>
      </c>
    </row>
    <row r="2520" spans="1:17" x14ac:dyDescent="0.25">
      <c r="A2520" t="str">
        <f>+Tabla3[[#This Row],[Site]]&amp;Tabla3[[#This Row],[Split]]</f>
        <v>(KG) JLR LEHI (NO TOURS)25</v>
      </c>
      <c r="B2520">
        <v>25</v>
      </c>
      <c r="C2520">
        <v>18</v>
      </c>
      <c r="D2520" t="s">
        <v>44</v>
      </c>
      <c r="E2520" t="s">
        <v>53</v>
      </c>
      <c r="F2520" t="s">
        <v>8</v>
      </c>
      <c r="G2520" t="s">
        <v>45</v>
      </c>
      <c r="H2520" s="52" t="str">
        <f>VLOOKUP(Tabla3[[#This Row],[Site]],'Important Info!'!$A$1:$J$135,10,FALSE)</f>
        <v>https://tools.sig.systems/site/details/145</v>
      </c>
      <c r="I2520" s="2"/>
      <c r="J2520" t="s">
        <v>41</v>
      </c>
      <c r="K2520" s="79" t="str">
        <f>VLOOKUP(Tabla3[[#This Row],[Site]],'Important Info!'!$A$1:$H$135,8,FALSE)</f>
        <v>-</v>
      </c>
      <c r="L2520" s="52" t="str">
        <f>VLOOKUP(Tabla3[[#This Row],[Site]],'Important Info!'!$A$1:$F$135,2,FALSE)</f>
        <v>1, 11</v>
      </c>
      <c r="M2520" s="52" t="str">
        <f>VLOOKUP(Tabla3[[#This Row],[Site]],'Important Info!'!$A$1:$F$135,3,FALSE)</f>
        <v>-</v>
      </c>
      <c r="N2520" s="52" t="str">
        <f>VLOOKUP(Tabla3[[#This Row],[Site]],'Important Info!'!$A$1:$F$135,4,FALSE)</f>
        <v>-</v>
      </c>
      <c r="O2520" s="52" t="str">
        <f>VLOOKUP(Tabla3[[#This Row],[Site]],'Important Info!'!$A$1:$F$135,5,FALSE)</f>
        <v>1, 7, 11</v>
      </c>
      <c r="P2520" s="52" t="str">
        <f>VLOOKUP(Tabla3[[#This Row],[Site]],'Important Info!'!$A$1:$F$135,6,FALSE)</f>
        <v>-</v>
      </c>
      <c r="Q2520" s="91">
        <f>VLOOKUP(Tabla3[[#This Row],[Site]],'Important Info!'!$A$1:$J$135,9,FALSE)</f>
        <v>145</v>
      </c>
    </row>
    <row r="2521" spans="1:17" x14ac:dyDescent="0.25">
      <c r="A2521" t="str">
        <f>+Tabla3[[#This Row],[Site]]&amp;Tabla3[[#This Row],[Split]]</f>
        <v>(ML) BMW of Little Rock25</v>
      </c>
      <c r="B2521">
        <v>25</v>
      </c>
      <c r="C2521">
        <v>18</v>
      </c>
      <c r="D2521" t="s">
        <v>33</v>
      </c>
      <c r="E2521" t="s">
        <v>46</v>
      </c>
      <c r="F2521" t="s">
        <v>139</v>
      </c>
      <c r="G2521" t="s">
        <v>34</v>
      </c>
      <c r="H2521" s="52" t="str">
        <f>VLOOKUP(Tabla3[[#This Row],[Site]],'Important Info!'!$A$1:$J$135,10,FALSE)</f>
        <v>https://tools.sig.systems/site/details/217</v>
      </c>
      <c r="I2521" t="s">
        <v>140</v>
      </c>
      <c r="J2521" t="s">
        <v>41</v>
      </c>
      <c r="K2521" s="79" t="str">
        <f>VLOOKUP(Tabla3[[#This Row],[Site]],'Important Info!'!$A$1:$H$135,8,FALSE)</f>
        <v>-</v>
      </c>
      <c r="L2521" s="52" t="str">
        <f>VLOOKUP(Tabla3[[#This Row],[Site]],'Important Info!'!$A$1:$F$135,2,FALSE)</f>
        <v>-</v>
      </c>
      <c r="M2521" s="52">
        <f>VLOOKUP(Tabla3[[#This Row],[Site]],'Important Info!'!$A$1:$F$135,3,FALSE)</f>
        <v>14</v>
      </c>
      <c r="N2521" s="52" t="str">
        <f>VLOOKUP(Tabla3[[#This Row],[Site]],'Important Info!'!$A$1:$F$135,4,FALSE)</f>
        <v>-</v>
      </c>
      <c r="O2521" s="52" t="str">
        <f>VLOOKUP(Tabla3[[#This Row],[Site]],'Important Info!'!$A$1:$F$135,5,FALSE)</f>
        <v>-</v>
      </c>
      <c r="P2521" s="52" t="str">
        <f>VLOOKUP(Tabla3[[#This Row],[Site]],'Important Info!'!$A$1:$F$135,6,FALSE)</f>
        <v>5, 6, 7, 8, 9, 32</v>
      </c>
      <c r="Q2521" s="91">
        <f>VLOOKUP(Tabla3[[#This Row],[Site]],'Important Info!'!$A$1:$J$135,9,FALSE)</f>
        <v>217</v>
      </c>
    </row>
    <row r="2522" spans="1:17" x14ac:dyDescent="0.25">
      <c r="A2522" t="str">
        <f>+Tabla3[[#This Row],[Site]]&amp;Tabla3[[#This Row],[Split]]</f>
        <v>(ML) Mazda VW-Lot B25</v>
      </c>
      <c r="B2522">
        <v>25</v>
      </c>
      <c r="C2522">
        <v>18</v>
      </c>
      <c r="D2522" t="s">
        <v>33</v>
      </c>
      <c r="E2522" t="s">
        <v>46</v>
      </c>
      <c r="F2522" t="s">
        <v>9</v>
      </c>
      <c r="G2522" t="s">
        <v>34</v>
      </c>
      <c r="H2522" s="52" t="str">
        <f>VLOOKUP(Tabla3[[#This Row],[Site]],'Important Info!'!$A$1:$J$135,10,FALSE)</f>
        <v>https://tools.sig.systems/site/details/205</v>
      </c>
      <c r="I2522" s="2" t="s">
        <v>142</v>
      </c>
      <c r="J2522" t="s">
        <v>41</v>
      </c>
      <c r="K2522" s="79" t="str">
        <f>VLOOKUP(Tabla3[[#This Row],[Site]],'Important Info!'!$A$1:$H$135,8,FALSE)</f>
        <v>-</v>
      </c>
      <c r="L2522" s="52" t="str">
        <f>VLOOKUP(Tabla3[[#This Row],[Site]],'Important Info!'!$A$1:$F$135,2,FALSE)</f>
        <v>9, 14, 16</v>
      </c>
      <c r="M2522" s="52">
        <f>VLOOKUP(Tabla3[[#This Row],[Site]],'Important Info!'!$A$1:$F$135,3,FALSE)</f>
        <v>1</v>
      </c>
      <c r="N2522" s="52" t="str">
        <f>VLOOKUP(Tabla3[[#This Row],[Site]],'Important Info!'!$A$1:$F$135,4,FALSE)</f>
        <v>-</v>
      </c>
      <c r="O2522" s="52">
        <f>VLOOKUP(Tabla3[[#This Row],[Site]],'Important Info!'!$A$1:$F$135,5,FALSE)</f>
        <v>4</v>
      </c>
      <c r="P2522" s="52" t="str">
        <f>VLOOKUP(Tabla3[[#This Row],[Site]],'Important Info!'!$A$1:$F$135,6,FALSE)</f>
        <v>-</v>
      </c>
      <c r="Q2522" s="91">
        <f>VLOOKUP(Tabla3[[#This Row],[Site]],'Important Info!'!$A$1:$J$135,9,FALSE)</f>
        <v>205</v>
      </c>
    </row>
    <row r="2523" spans="1:17" x14ac:dyDescent="0.25">
      <c r="A2523" t="str">
        <f>+Tabla3[[#This Row],[Site]]&amp;Tabla3[[#This Row],[Split]]</f>
        <v>(AS) Lexus Smyrna (NO TOURS)25</v>
      </c>
      <c r="B2523">
        <v>25</v>
      </c>
      <c r="C2523">
        <v>19</v>
      </c>
      <c r="D2523" t="s">
        <v>62</v>
      </c>
      <c r="E2523" t="s">
        <v>35</v>
      </c>
      <c r="F2523" t="s">
        <v>84</v>
      </c>
      <c r="G2523" t="s">
        <v>490</v>
      </c>
      <c r="H2523" s="52" t="str">
        <f>VLOOKUP(Tabla3[[#This Row],[Site]],'Important Info!'!$A$1:$J$135,10,FALSE)</f>
        <v>https://tools.sig.systems/site/details/133</v>
      </c>
      <c r="I2523" s="2"/>
      <c r="J2523" t="s">
        <v>41</v>
      </c>
      <c r="K2523" s="79" t="str">
        <f>VLOOKUP(Tabla3[[#This Row],[Site]],'Important Info!'!$A$1:$H$135,8,FALSE)</f>
        <v>-</v>
      </c>
      <c r="L2523" s="52" t="str">
        <f>VLOOKUP(Tabla3[[#This Row],[Site]],'Important Info!'!$A$1:$F$135,2,FALSE)</f>
        <v xml:space="preserve">2, 6, 10 </v>
      </c>
      <c r="M2523" s="52" t="str">
        <f>VLOOKUP(Tabla3[[#This Row],[Site]],'Important Info!'!$A$1:$F$135,3,FALSE)</f>
        <v>-</v>
      </c>
      <c r="N2523" s="52" t="str">
        <f>VLOOKUP(Tabla3[[#This Row],[Site]],'Important Info!'!$A$1:$F$135,4,FALSE)</f>
        <v>-</v>
      </c>
      <c r="O2523" s="52" t="str">
        <f>VLOOKUP(Tabla3[[#This Row],[Site]],'Important Info!'!$A$1:$F$135,5,FALSE)</f>
        <v>3, 5, 10, 15</v>
      </c>
      <c r="P2523" s="52" t="str">
        <f>VLOOKUP(Tabla3[[#This Row],[Site]],'Important Info!'!$A$1:$F$135,6,FALSE)</f>
        <v>10, 11</v>
      </c>
      <c r="Q2523" s="91">
        <f>VLOOKUP(Tabla3[[#This Row],[Site]],'Important Info!'!$A$1:$J$135,9,FALSE)</f>
        <v>133</v>
      </c>
    </row>
    <row r="2524" spans="1:17" x14ac:dyDescent="0.25">
      <c r="A2524" t="str">
        <f>+Tabla3[[#This Row],[Site]]&amp;Tabla3[[#This Row],[Split]]</f>
        <v>(AS) Stevinson Chevrolet Golden (NO TOURS)25</v>
      </c>
      <c r="B2524">
        <v>25</v>
      </c>
      <c r="C2524">
        <v>19</v>
      </c>
      <c r="D2524" t="s">
        <v>488</v>
      </c>
      <c r="E2524" t="s">
        <v>53</v>
      </c>
      <c r="F2524" t="s">
        <v>190</v>
      </c>
      <c r="G2524" t="s">
        <v>45</v>
      </c>
      <c r="H2524" s="52" t="str">
        <f>VLOOKUP(Tabla3[[#This Row],[Site]],'Important Info!'!$A$1:$J$135,10,FALSE)</f>
        <v>https://tools.sig.systems/site/details/264</v>
      </c>
      <c r="I2524" s="43" t="s">
        <v>154</v>
      </c>
      <c r="J2524" t="s">
        <v>41</v>
      </c>
      <c r="K2524" s="79" t="str">
        <f>VLOOKUP(Tabla3[[#This Row],[Site]],'Important Info!'!$A$1:$H$135,8,FALSE)</f>
        <v>-</v>
      </c>
      <c r="L2524" s="52" t="str">
        <f>VLOOKUP(Tabla3[[#This Row],[Site]],'Important Info!'!$A$1:$F$135,2,FALSE)</f>
        <v>-</v>
      </c>
      <c r="M2524" s="52" t="str">
        <f>VLOOKUP(Tabla3[[#This Row],[Site]],'Important Info!'!$A$1:$F$135,3,FALSE)</f>
        <v>1, 19</v>
      </c>
      <c r="N2524" s="52" t="str">
        <f>VLOOKUP(Tabla3[[#This Row],[Site]],'Important Info!'!$A$1:$F$135,4,FALSE)</f>
        <v>-</v>
      </c>
      <c r="O2524" s="52" t="str">
        <f>VLOOKUP(Tabla3[[#This Row],[Site]],'Important Info!'!$A$1:$F$135,5,FALSE)</f>
        <v>14, 30</v>
      </c>
      <c r="P2524" s="52" t="str">
        <f>VLOOKUP(Tabla3[[#This Row],[Site]],'Important Info!'!$A$1:$F$135,6,FALSE)</f>
        <v>14, 33, 34, 35, 36</v>
      </c>
      <c r="Q2524" s="91">
        <f>VLOOKUP(Tabla3[[#This Row],[Site]],'Important Info!'!$A$1:$J$135,9,FALSE)</f>
        <v>264</v>
      </c>
    </row>
    <row r="2525" spans="1:17" x14ac:dyDescent="0.25">
      <c r="A2525" t="str">
        <f>+Tabla3[[#This Row],[Site]]&amp;Tabla3[[#This Row],[Split]]</f>
        <v>(KG) Clear Lake Pre-Owned25</v>
      </c>
      <c r="B2525">
        <v>25</v>
      </c>
      <c r="C2525">
        <v>19</v>
      </c>
      <c r="D2525" t="s">
        <v>33</v>
      </c>
      <c r="E2525" t="s">
        <v>46</v>
      </c>
      <c r="F2525" t="s">
        <v>87</v>
      </c>
      <c r="G2525" t="s">
        <v>34</v>
      </c>
      <c r="H2525" s="52" t="str">
        <f>VLOOKUP(Tabla3[[#This Row],[Site]],'Important Info!'!$A$1:$J$135,10,FALSE)</f>
        <v>https://tools.sig.systems/site/details/255</v>
      </c>
      <c r="I2525" s="2" t="s">
        <v>134</v>
      </c>
      <c r="J2525" t="s">
        <v>41</v>
      </c>
      <c r="K2525" s="79" t="str">
        <f>VLOOKUP(Tabla3[[#This Row],[Site]],'Important Info!'!$A$1:$H$135,8,FALSE)</f>
        <v>-</v>
      </c>
      <c r="L2525" s="52" t="str">
        <f>VLOOKUP(Tabla3[[#This Row],[Site]],'Important Info!'!$A$1:$F$135,2,FALSE)</f>
        <v>3, 5</v>
      </c>
      <c r="M2525" s="52" t="str">
        <f>VLOOKUP(Tabla3[[#This Row],[Site]],'Important Info!'!$A$1:$F$135,3,FALSE)</f>
        <v>-</v>
      </c>
      <c r="N2525" s="52" t="str">
        <f>VLOOKUP(Tabla3[[#This Row],[Site]],'Important Info!'!$A$1:$F$135,4,FALSE)</f>
        <v>-</v>
      </c>
      <c r="O2525" s="52" t="str">
        <f>VLOOKUP(Tabla3[[#This Row],[Site]],'Important Info!'!$A$1:$F$135,5,FALSE)</f>
        <v>4, 10, 22</v>
      </c>
      <c r="P2525" s="52" t="str">
        <f>VLOOKUP(Tabla3[[#This Row],[Site]],'Important Info!'!$A$1:$F$135,6,FALSE)</f>
        <v>8, 15, 20</v>
      </c>
      <c r="Q2525" s="91">
        <f>VLOOKUP(Tabla3[[#This Row],[Site]],'Important Info!'!$A$1:$J$135,9,FALSE)</f>
        <v>255</v>
      </c>
    </row>
    <row r="2526" spans="1:17" x14ac:dyDescent="0.25">
      <c r="A2526" t="str">
        <f>+Tabla3[[#This Row],[Site]]&amp;Tabla3[[#This Row],[Split]]</f>
        <v>(ML) Collision Center N Little Rock25</v>
      </c>
      <c r="B2526">
        <v>25</v>
      </c>
      <c r="C2526">
        <v>19</v>
      </c>
      <c r="D2526" t="s">
        <v>33</v>
      </c>
      <c r="E2526" t="s">
        <v>46</v>
      </c>
      <c r="F2526" t="s">
        <v>141</v>
      </c>
      <c r="G2526" t="s">
        <v>34</v>
      </c>
      <c r="H2526" s="52" t="str">
        <f>VLOOKUP(Tabla3[[#This Row],[Site]],'Important Info!'!$A$1:$J$135,10,FALSE)</f>
        <v>https://tools.sig.systems/site/details/212</v>
      </c>
      <c r="I2526" s="2" t="s">
        <v>142</v>
      </c>
      <c r="J2526" t="s">
        <v>41</v>
      </c>
      <c r="K2526" s="79" t="str">
        <f>VLOOKUP(Tabla3[[#This Row],[Site]],'Important Info!'!$A$1:$H$135,8,FALSE)</f>
        <v>-</v>
      </c>
      <c r="L2526" s="52" t="str">
        <f>VLOOKUP(Tabla3[[#This Row],[Site]],'Important Info!'!$A$1:$F$135,2,FALSE)</f>
        <v>-</v>
      </c>
      <c r="M2526" s="52" t="str">
        <f>VLOOKUP(Tabla3[[#This Row],[Site]],'Important Info!'!$A$1:$F$135,3,FALSE)</f>
        <v>-</v>
      </c>
      <c r="N2526" s="52" t="str">
        <f>VLOOKUP(Tabla3[[#This Row],[Site]],'Important Info!'!$A$1:$F$135,4,FALSE)</f>
        <v>-</v>
      </c>
      <c r="O2526" s="52" t="str">
        <f>VLOOKUP(Tabla3[[#This Row],[Site]],'Important Info!'!$A$1:$F$135,5,FALSE)</f>
        <v>-</v>
      </c>
      <c r="P2526" s="52" t="str">
        <f>VLOOKUP(Tabla3[[#This Row],[Site]],'Important Info!'!$A$1:$F$135,6,FALSE)</f>
        <v>1, 3, 7, 8</v>
      </c>
      <c r="Q2526" s="91">
        <f>VLOOKUP(Tabla3[[#This Row],[Site]],'Important Info!'!$A$1:$J$135,9,FALSE)</f>
        <v>212</v>
      </c>
    </row>
    <row r="2527" spans="1:17" x14ac:dyDescent="0.25">
      <c r="A2527" t="str">
        <f>+Tabla3[[#This Row],[Site]]&amp;Tabla3[[#This Row],[Split]]</f>
        <v>(RV) Toms Camperland Surprise (NO TOURS)25</v>
      </c>
      <c r="B2527">
        <v>25</v>
      </c>
      <c r="C2527">
        <v>19</v>
      </c>
      <c r="D2527" t="s">
        <v>51</v>
      </c>
      <c r="E2527" t="s">
        <v>161</v>
      </c>
      <c r="F2527" t="s">
        <v>165</v>
      </c>
      <c r="G2527" t="s">
        <v>52</v>
      </c>
      <c r="H2527" s="52" t="str">
        <f>VLOOKUP(Tabla3[[#This Row],[Site]],'Important Info!'!$A$1:$J$135,10,FALSE)</f>
        <v>https://tools.sig.systems/site/details/254</v>
      </c>
      <c r="I2527" s="43"/>
      <c r="J2527" t="s">
        <v>52</v>
      </c>
      <c r="K2527" s="79" t="str">
        <f>VLOOKUP(Tabla3[[#This Row],[Site]],'Important Info!'!$A$1:$H$135,8,FALSE)</f>
        <v>-</v>
      </c>
      <c r="L2527" s="52" t="str">
        <f>VLOOKUP(Tabla3[[#This Row],[Site]],'Important Info!'!$A$1:$F$135,2,FALSE)</f>
        <v>1, 3, 4</v>
      </c>
      <c r="M2527" s="52" t="str">
        <f>VLOOKUP(Tabla3[[#This Row],[Site]],'Important Info!'!$A$1:$F$135,3,FALSE)</f>
        <v>-</v>
      </c>
      <c r="N2527" s="52" t="str">
        <f>VLOOKUP(Tabla3[[#This Row],[Site]],'Important Info!'!$A$1:$F$135,4,FALSE)</f>
        <v>-</v>
      </c>
      <c r="O2527" s="52" t="str">
        <f>VLOOKUP(Tabla3[[#This Row],[Site]],'Important Info!'!$A$1:$F$135,5,FALSE)</f>
        <v>-</v>
      </c>
      <c r="P2527" s="52" t="str">
        <f>VLOOKUP(Tabla3[[#This Row],[Site]],'Important Info!'!$A$1:$F$135,6,FALSE)</f>
        <v>1, 2, 3, 4, 15</v>
      </c>
      <c r="Q2527" s="91">
        <f>VLOOKUP(Tabla3[[#This Row],[Site]],'Important Info!'!$A$1:$J$135,9,FALSE)</f>
        <v>254</v>
      </c>
    </row>
    <row r="2528" spans="1:17" x14ac:dyDescent="0.25">
      <c r="A2528" t="str">
        <f>+Tabla3[[#This Row],[Site]]&amp;Tabla3[[#This Row],[Split]]</f>
        <v>(AS) Courtesy CDJR of Brandon (NO TOURS)25</v>
      </c>
      <c r="B2528">
        <v>25</v>
      </c>
      <c r="C2528">
        <v>20</v>
      </c>
      <c r="D2528" t="s">
        <v>62</v>
      </c>
      <c r="E2528" t="s">
        <v>35</v>
      </c>
      <c r="F2528" t="s">
        <v>503</v>
      </c>
      <c r="G2528" t="s">
        <v>490</v>
      </c>
      <c r="H2528" s="52" t="str">
        <f>VLOOKUP(Tabla3[[#This Row],[Site]],'Important Info!'!$A$1:$J$135,10,FALSE)</f>
        <v>https://tools.sig.systems/site/details/126</v>
      </c>
      <c r="I2528" s="2" t="s">
        <v>181</v>
      </c>
      <c r="J2528" t="s">
        <v>484</v>
      </c>
      <c r="K2528" s="79" t="str">
        <f>VLOOKUP(Tabla3[[#This Row],[Site]],'Important Info!'!$A$1:$H$135,8,FALSE)</f>
        <v>-</v>
      </c>
      <c r="L2528" s="52" t="str">
        <f>VLOOKUP(Tabla3[[#This Row],[Site]],'Important Info!'!$A$1:$F$135,2,FALSE)</f>
        <v>1, 14, 15</v>
      </c>
      <c r="M2528" s="52">
        <f>VLOOKUP(Tabla3[[#This Row],[Site]],'Important Info!'!$A$1:$F$135,3,FALSE)</f>
        <v>1</v>
      </c>
      <c r="N2528" s="52" t="str">
        <f>VLOOKUP(Tabla3[[#This Row],[Site]],'Important Info!'!$A$1:$F$135,4,FALSE)</f>
        <v>-</v>
      </c>
      <c r="O2528" s="52" t="str">
        <f>VLOOKUP(Tabla3[[#This Row],[Site]],'Important Info!'!$A$1:$F$135,5,FALSE)</f>
        <v>2, 12</v>
      </c>
      <c r="P2528" s="52" t="str">
        <f>VLOOKUP(Tabla3[[#This Row],[Site]],'Important Info!'!$A$1:$F$135,6,FALSE)</f>
        <v xml:space="preserve">1, 2, 3, 4, 14, 15, 21, 25 </v>
      </c>
      <c r="Q2528" s="91">
        <f>VLOOKUP(Tabla3[[#This Row],[Site]],'Important Info!'!$A$1:$J$135,9,FALSE)</f>
        <v>126</v>
      </c>
    </row>
    <row r="2529" spans="1:17" x14ac:dyDescent="0.25">
      <c r="A2529" t="str">
        <f>+Tabla3[[#This Row],[Site]]&amp;Tabla3[[#This Row],[Split]]</f>
        <v>(AS) Stevinson Toyota West (NO TOURS)25</v>
      </c>
      <c r="B2529">
        <v>25</v>
      </c>
      <c r="C2529">
        <v>20</v>
      </c>
      <c r="D2529" t="s">
        <v>44</v>
      </c>
      <c r="E2529" t="s">
        <v>53</v>
      </c>
      <c r="F2529" t="s">
        <v>79</v>
      </c>
      <c r="G2529" t="s">
        <v>45</v>
      </c>
      <c r="H2529" s="52" t="str">
        <f>VLOOKUP(Tabla3[[#This Row],[Site]],'Important Info!'!$A$1:$J$135,10,FALSE)</f>
        <v>https://tools.sig.systems/site/details/240</v>
      </c>
      <c r="I2529" s="2" t="s">
        <v>154</v>
      </c>
      <c r="J2529" t="s">
        <v>41</v>
      </c>
      <c r="K2529" s="79" t="str">
        <f>VLOOKUP(Tabla3[[#This Row],[Site]],'Important Info!'!$A$1:$H$135,8,FALSE)</f>
        <v>-</v>
      </c>
      <c r="L2529" s="52" t="str">
        <f>VLOOKUP(Tabla3[[#This Row],[Site]],'Important Info!'!$A$1:$F$135,2,FALSE)</f>
        <v>-</v>
      </c>
      <c r="M2529" s="52" t="str">
        <f>VLOOKUP(Tabla3[[#This Row],[Site]],'Important Info!'!$A$1:$F$135,3,FALSE)</f>
        <v>7, 18, 21</v>
      </c>
      <c r="N2529" s="52" t="str">
        <f>VLOOKUP(Tabla3[[#This Row],[Site]],'Important Info!'!$A$1:$F$135,4,FALSE)</f>
        <v>-</v>
      </c>
      <c r="O2529" s="52" t="str">
        <f>VLOOKUP(Tabla3[[#This Row],[Site]],'Important Info!'!$A$1:$F$135,5,FALSE)</f>
        <v>11, 24, 34</v>
      </c>
      <c r="P2529" s="52" t="str">
        <f>VLOOKUP(Tabla3[[#This Row],[Site]],'Important Info!'!$A$1:$F$135,6,FALSE)</f>
        <v>1, 2, 3, 12</v>
      </c>
      <c r="Q2529" s="91">
        <f>VLOOKUP(Tabla3[[#This Row],[Site]],'Important Info!'!$A$1:$J$135,9,FALSE)</f>
        <v>240</v>
      </c>
    </row>
    <row r="2530" spans="1:17" x14ac:dyDescent="0.25">
      <c r="A2530" t="str">
        <f>+Tabla3[[#This Row],[Site]]&amp;Tabla3[[#This Row],[Split]]</f>
        <v>(KG) Big Star Ford25</v>
      </c>
      <c r="B2530">
        <v>25</v>
      </c>
      <c r="C2530">
        <v>20</v>
      </c>
      <c r="D2530" t="s">
        <v>33</v>
      </c>
      <c r="E2530" t="s">
        <v>46</v>
      </c>
      <c r="F2530" t="s">
        <v>135</v>
      </c>
      <c r="G2530" t="s">
        <v>34</v>
      </c>
      <c r="H2530" s="52" t="str">
        <f>VLOOKUP(Tabla3[[#This Row],[Site]],'Important Info!'!$A$1:$J$135,10,FALSE)</f>
        <v>https://tools.sig.systems/site/details/235</v>
      </c>
      <c r="I2530" s="2"/>
      <c r="J2530" t="s">
        <v>41</v>
      </c>
      <c r="K2530" s="79" t="str">
        <f>VLOOKUP(Tabla3[[#This Row],[Site]],'Important Info!'!$A$1:$H$135,8,FALSE)</f>
        <v>-</v>
      </c>
      <c r="L2530" s="52" t="str">
        <f>VLOOKUP(Tabla3[[#This Row],[Site]],'Important Info!'!$A$1:$F$135,2,FALSE)</f>
        <v>4, 22, 32, 33</v>
      </c>
      <c r="M2530" s="52" t="str">
        <f>VLOOKUP(Tabla3[[#This Row],[Site]],'Important Info!'!$A$1:$F$135,3,FALSE)</f>
        <v>-</v>
      </c>
      <c r="N2530" s="52" t="str">
        <f>VLOOKUP(Tabla3[[#This Row],[Site]],'Important Info!'!$A$1:$F$135,4,FALSE)</f>
        <v>-</v>
      </c>
      <c r="O2530" s="52" t="str">
        <f>VLOOKUP(Tabla3[[#This Row],[Site]],'Important Info!'!$A$1:$F$135,5,FALSE)</f>
        <v>1, 5, 12, 21</v>
      </c>
      <c r="P2530" s="52">
        <f>VLOOKUP(Tabla3[[#This Row],[Site]],'Important Info!'!$A$1:$F$135,6,FALSE)</f>
        <v>22</v>
      </c>
      <c r="Q2530" s="91">
        <f>VLOOKUP(Tabla3[[#This Row],[Site]],'Important Info!'!$A$1:$J$135,9,FALSE)</f>
        <v>235</v>
      </c>
    </row>
    <row r="2531" spans="1:17" x14ac:dyDescent="0.25">
      <c r="A2531" t="str">
        <f>+Tabla3[[#This Row],[Site]]&amp;Tabla3[[#This Row],[Split]]</f>
        <v>(PE) BMW Tenafly (NO TOURS)25</v>
      </c>
      <c r="B2531">
        <v>25</v>
      </c>
      <c r="C2531">
        <v>20</v>
      </c>
      <c r="D2531" t="s">
        <v>485</v>
      </c>
      <c r="E2531" t="s">
        <v>35</v>
      </c>
      <c r="F2531" t="s">
        <v>173</v>
      </c>
      <c r="G2531" t="s">
        <v>490</v>
      </c>
      <c r="H2531" s="52" t="str">
        <f>VLOOKUP(Tabla3[[#This Row],[Site]],'Important Info!'!$A$1:$J$135,10,FALSE)</f>
        <v>https://tools.sig.systems/site/details/155</v>
      </c>
      <c r="I2531" s="2"/>
      <c r="J2531" t="s">
        <v>41</v>
      </c>
      <c r="K2531" s="79" t="str">
        <f>VLOOKUP(Tabla3[[#This Row],[Site]],'Important Info!'!$A$1:$H$135,8,FALSE)</f>
        <v>-</v>
      </c>
      <c r="L2531" s="52">
        <f>VLOOKUP(Tabla3[[#This Row],[Site]],'Important Info!'!$A$1:$F$135,2,FALSE)</f>
        <v>24</v>
      </c>
      <c r="M2531" s="52" t="str">
        <f>VLOOKUP(Tabla3[[#This Row],[Site]],'Important Info!'!$A$1:$F$135,3,FALSE)</f>
        <v>1, 3, 4, 17, 23</v>
      </c>
      <c r="N2531" s="52" t="str">
        <f>VLOOKUP(Tabla3[[#This Row],[Site]],'Important Info!'!$A$1:$F$135,4,FALSE)</f>
        <v>-</v>
      </c>
      <c r="O2531" s="52" t="str">
        <f>VLOOKUP(Tabla3[[#This Row],[Site]],'Important Info!'!$A$1:$F$135,5,FALSE)</f>
        <v>-</v>
      </c>
      <c r="P2531" s="52">
        <f>VLOOKUP(Tabla3[[#This Row],[Site]],'Important Info!'!$A$1:$F$135,6,FALSE)</f>
        <v>1</v>
      </c>
      <c r="Q2531" s="91">
        <f>VLOOKUP(Tabla3[[#This Row],[Site]],'Important Info!'!$A$1:$J$135,9,FALSE)</f>
        <v>155</v>
      </c>
    </row>
    <row r="2532" spans="1:17" x14ac:dyDescent="0.25">
      <c r="A2532" t="str">
        <f>+Tabla3[[#This Row],[Site]]&amp;Tabla3[[#This Row],[Split]]</f>
        <v>(AS) Plaza Lexus/Mercedes/BMW (NO TOURS)25</v>
      </c>
      <c r="B2532">
        <v>25</v>
      </c>
      <c r="C2532">
        <v>21</v>
      </c>
      <c r="D2532" t="s">
        <v>33</v>
      </c>
      <c r="E2532" t="s">
        <v>46</v>
      </c>
      <c r="F2532" t="s">
        <v>92</v>
      </c>
      <c r="G2532" t="s">
        <v>34</v>
      </c>
      <c r="H2532" s="52" t="str">
        <f>VLOOKUP(Tabla3[[#This Row],[Site]],'Important Info!'!$A$1:$J$135,10,FALSE)</f>
        <v>https://tools.sig.systems/site/details/141</v>
      </c>
      <c r="I2532" t="s">
        <v>130</v>
      </c>
      <c r="J2532" t="s">
        <v>41</v>
      </c>
      <c r="K2532" s="79" t="str">
        <f>VLOOKUP(Tabla3[[#This Row],[Site]],'Important Info!'!$A$1:$H$135,8,FALSE)</f>
        <v>-</v>
      </c>
      <c r="L2532" s="52" t="str">
        <f>VLOOKUP(Tabla3[[#This Row],[Site]],'Important Info!'!$A$1:$F$135,2,FALSE)</f>
        <v>3, 4, 18</v>
      </c>
      <c r="M2532" s="52" t="str">
        <f>VLOOKUP(Tabla3[[#This Row],[Site]],'Important Info!'!$A$1:$F$135,3,FALSE)</f>
        <v>9, 10, 12, 13, 16, 17</v>
      </c>
      <c r="N2532" s="52" t="str">
        <f>VLOOKUP(Tabla3[[#This Row],[Site]],'Important Info!'!$A$1:$F$135,4,FALSE)</f>
        <v>-</v>
      </c>
      <c r="O2532" s="52">
        <f>VLOOKUP(Tabla3[[#This Row],[Site]],'Important Info!'!$A$1:$F$135,5,FALSE)</f>
        <v>2</v>
      </c>
      <c r="P2532" s="52" t="str">
        <f>VLOOKUP(Tabla3[[#This Row],[Site]],'Important Info!'!$A$1:$F$135,6,FALSE)</f>
        <v>2, 16</v>
      </c>
      <c r="Q2532" s="91">
        <f>VLOOKUP(Tabla3[[#This Row],[Site]],'Important Info!'!$A$1:$J$135,9,FALSE)</f>
        <v>141</v>
      </c>
    </row>
    <row r="2533" spans="1:17" x14ac:dyDescent="0.25">
      <c r="A2533" t="str">
        <f>+Tabla3[[#This Row],[Site]]&amp;Tabla3[[#This Row],[Split]]</f>
        <v>(AS) Stevinson Lexus of Lakewood (NO TOURS)25</v>
      </c>
      <c r="B2533">
        <v>25</v>
      </c>
      <c r="C2533">
        <v>21</v>
      </c>
      <c r="D2533" t="s">
        <v>44</v>
      </c>
      <c r="E2533" t="s">
        <v>53</v>
      </c>
      <c r="F2533" t="s">
        <v>523</v>
      </c>
      <c r="G2533" t="s">
        <v>45</v>
      </c>
      <c r="H2533" s="52" t="str">
        <f>VLOOKUP(Tabla3[[#This Row],[Site]],'Important Info!'!$A$1:$J$135,10,FALSE)</f>
        <v>https://tools.sig.systems/site/details/260</v>
      </c>
      <c r="I2533" s="43" t="s">
        <v>154</v>
      </c>
      <c r="J2533" t="s">
        <v>41</v>
      </c>
      <c r="K2533" s="79" t="str">
        <f>VLOOKUP(Tabla3[[#This Row],[Site]],'Important Info!'!$A$1:$H$135,8,FALSE)</f>
        <v>-</v>
      </c>
      <c r="L2533" s="52" t="str">
        <f>VLOOKUP(Tabla3[[#This Row],[Site]],'Important Info!'!$A$1:$F$135,2,FALSE)</f>
        <v>-</v>
      </c>
      <c r="M2533" s="52" t="str">
        <f>VLOOKUP(Tabla3[[#This Row],[Site]],'Important Info!'!$A$1:$F$135,3,FALSE)</f>
        <v>2, 10</v>
      </c>
      <c r="N2533" s="52" t="str">
        <f>VLOOKUP(Tabla3[[#This Row],[Site]],'Important Info!'!$A$1:$F$135,4,FALSE)</f>
        <v>9, 17</v>
      </c>
      <c r="O2533" s="52" t="str">
        <f>VLOOKUP(Tabla3[[#This Row],[Site]],'Important Info!'!$A$1:$F$135,5,FALSE)</f>
        <v>-</v>
      </c>
      <c r="P2533" s="52" t="str">
        <f>VLOOKUP(Tabla3[[#This Row],[Site]],'Important Info!'!$A$1:$F$135,6,FALSE)</f>
        <v>1, 2</v>
      </c>
      <c r="Q2533" s="91">
        <f>VLOOKUP(Tabla3[[#This Row],[Site]],'Important Info!'!$A$1:$J$135,9,FALSE)</f>
        <v>260</v>
      </c>
    </row>
    <row r="2534" spans="1:17" x14ac:dyDescent="0.25">
      <c r="A2534" t="str">
        <f>+Tabla3[[#This Row],[Site]]&amp;Tabla3[[#This Row],[Split]]</f>
        <v>(KG) Kia of Phoenix (NO TOURS)25</v>
      </c>
      <c r="B2534">
        <v>25</v>
      </c>
      <c r="C2534">
        <v>21</v>
      </c>
      <c r="D2534" t="s">
        <v>51</v>
      </c>
      <c r="E2534" t="s">
        <v>161</v>
      </c>
      <c r="F2534" t="s">
        <v>94</v>
      </c>
      <c r="G2534" t="s">
        <v>52</v>
      </c>
      <c r="H2534" s="52" t="str">
        <f>VLOOKUP(Tabla3[[#This Row],[Site]],'Important Info!'!$A$1:$J$135,10,FALSE)</f>
        <v>https://tools.sig.systems/site/details/262</v>
      </c>
      <c r="J2534" t="s">
        <v>162</v>
      </c>
      <c r="K2534" s="79" t="str">
        <f>VLOOKUP(Tabla3[[#This Row],[Site]],'Important Info!'!$A$1:$H$135,8,FALSE)</f>
        <v>-</v>
      </c>
      <c r="L2534" s="52" t="str">
        <f>VLOOKUP(Tabla3[[#This Row],[Site]],'Important Info!'!$A$1:$F$135,2,FALSE)</f>
        <v>5, 8, 23</v>
      </c>
      <c r="M2534" s="52" t="str">
        <f>VLOOKUP(Tabla3[[#This Row],[Site]],'Important Info!'!$A$1:$F$135,3,FALSE)</f>
        <v>-</v>
      </c>
      <c r="N2534" s="52" t="str">
        <f>VLOOKUP(Tabla3[[#This Row],[Site]],'Important Info!'!$A$1:$F$135,4,FALSE)</f>
        <v>-</v>
      </c>
      <c r="O2534" s="52">
        <f>VLOOKUP(Tabla3[[#This Row],[Site]],'Important Info!'!$A$1:$F$135,5,FALSE)</f>
        <v>4</v>
      </c>
      <c r="P2534" s="52" t="str">
        <f>VLOOKUP(Tabla3[[#This Row],[Site]],'Important Info!'!$A$1:$F$135,6,FALSE)</f>
        <v>-</v>
      </c>
      <c r="Q2534" s="91">
        <f>VLOOKUP(Tabla3[[#This Row],[Site]],'Important Info!'!$A$1:$J$135,9,FALSE)</f>
        <v>262</v>
      </c>
    </row>
    <row r="2535" spans="1:17" x14ac:dyDescent="0.25">
      <c r="A2535" t="str">
        <f>+Tabla3[[#This Row],[Site]]&amp;Tabla3[[#This Row],[Split]]</f>
        <v>(ML) Toyota N Little Rock25</v>
      </c>
      <c r="B2535">
        <v>25</v>
      </c>
      <c r="C2535">
        <v>21</v>
      </c>
      <c r="D2535" t="s">
        <v>33</v>
      </c>
      <c r="E2535" t="s">
        <v>46</v>
      </c>
      <c r="F2535" t="s">
        <v>76</v>
      </c>
      <c r="G2535" t="s">
        <v>34</v>
      </c>
      <c r="H2535" s="52" t="str">
        <f>VLOOKUP(Tabla3[[#This Row],[Site]],'Important Info!'!$A$1:$J$135,10,FALSE)</f>
        <v>https://tools.sig.systems/site/details/201</v>
      </c>
      <c r="I2535" s="2" t="s">
        <v>142</v>
      </c>
      <c r="J2535" t="s">
        <v>41</v>
      </c>
      <c r="K2535" s="79" t="str">
        <f>VLOOKUP(Tabla3[[#This Row],[Site]],'Important Info!'!$A$1:$H$135,8,FALSE)</f>
        <v>-</v>
      </c>
      <c r="L2535" s="52" t="str">
        <f>VLOOKUP(Tabla3[[#This Row],[Site]],'Important Info!'!$A$1:$F$135,2,FALSE)</f>
        <v>4, 15, 18, 22, 23, 26</v>
      </c>
      <c r="M2535" s="52" t="str">
        <f>VLOOKUP(Tabla3[[#This Row],[Site]],'Important Info!'!$A$1:$F$135,3,FALSE)</f>
        <v>-</v>
      </c>
      <c r="N2535" s="52" t="str">
        <f>VLOOKUP(Tabla3[[#This Row],[Site]],'Important Info!'!$A$1:$F$135,4,FALSE)</f>
        <v>-</v>
      </c>
      <c r="O2535" s="52" t="str">
        <f>VLOOKUP(Tabla3[[#This Row],[Site]],'Important Info!'!$A$1:$F$135,5,FALSE)</f>
        <v>2, 12, 13, 18</v>
      </c>
      <c r="P2535" s="52" t="str">
        <f>VLOOKUP(Tabla3[[#This Row],[Site]],'Important Info!'!$A$1:$F$135,6,FALSE)</f>
        <v>-</v>
      </c>
      <c r="Q2535" s="91">
        <f>VLOOKUP(Tabla3[[#This Row],[Site]],'Important Info!'!$A$1:$J$135,9,FALSE)</f>
        <v>201</v>
      </c>
    </row>
    <row r="2536" spans="1:17" x14ac:dyDescent="0.25">
      <c r="A2536" t="str">
        <f>+Tabla3[[#This Row],[Site]]&amp;Tabla3[[#This Row],[Split]]</f>
        <v>(TC) Tavernier Creek Marina (NO TOURS)25</v>
      </c>
      <c r="B2536">
        <v>25</v>
      </c>
      <c r="C2536">
        <v>21</v>
      </c>
      <c r="D2536" t="s">
        <v>62</v>
      </c>
      <c r="E2536" t="s">
        <v>35</v>
      </c>
      <c r="F2536" t="s">
        <v>119</v>
      </c>
      <c r="G2536" t="s">
        <v>34</v>
      </c>
      <c r="H2536" s="52" t="str">
        <f>VLOOKUP(Tabla3[[#This Row],[Site]],'Important Info!'!$A$1:$J$135,10,FALSE)</f>
        <v>https://tools.sig.systems/site/details/164</v>
      </c>
      <c r="J2536" t="s">
        <v>45</v>
      </c>
      <c r="K2536" s="79" t="str">
        <f>VLOOKUP(Tabla3[[#This Row],[Site]],'Important Info!'!$A$1:$H$135,8,FALSE)</f>
        <v>-</v>
      </c>
      <c r="L2536" s="52" t="str">
        <f>VLOOKUP(Tabla3[[#This Row],[Site]],'Important Info!'!$A$1:$F$135,2,FALSE)</f>
        <v>28, 29</v>
      </c>
      <c r="M2536" s="52" t="str">
        <f>VLOOKUP(Tabla3[[#This Row],[Site]],'Important Info!'!$A$1:$F$135,3,FALSE)</f>
        <v>-</v>
      </c>
      <c r="N2536" s="52" t="str">
        <f>VLOOKUP(Tabla3[[#This Row],[Site]],'Important Info!'!$A$1:$F$135,4,FALSE)</f>
        <v>-</v>
      </c>
      <c r="O2536" s="52" t="str">
        <f>VLOOKUP(Tabla3[[#This Row],[Site]],'Important Info!'!$A$1:$F$135,5,FALSE)</f>
        <v>-</v>
      </c>
      <c r="P2536" s="52" t="str">
        <f>VLOOKUP(Tabla3[[#This Row],[Site]],'Important Info!'!$A$1:$F$135,6,FALSE)</f>
        <v>5, 28, 29</v>
      </c>
      <c r="Q2536" s="91">
        <f>VLOOKUP(Tabla3[[#This Row],[Site]],'Important Info!'!$A$1:$J$135,9,FALSE)</f>
        <v>164</v>
      </c>
    </row>
    <row r="2537" spans="1:17" x14ac:dyDescent="0.25">
      <c r="A2537" t="str">
        <f>+Tabla3[[#This Row],[Site]]&amp;Tabla3[[#This Row],[Split]]</f>
        <v>(AS) Courtesy Hyundai/Nissan Tampa (NO TOURS)25</v>
      </c>
      <c r="B2537">
        <v>25</v>
      </c>
      <c r="C2537">
        <v>22</v>
      </c>
      <c r="D2537" t="s">
        <v>62</v>
      </c>
      <c r="E2537" t="s">
        <v>35</v>
      </c>
      <c r="F2537" t="s">
        <v>504</v>
      </c>
      <c r="G2537" t="s">
        <v>490</v>
      </c>
      <c r="H2537" s="52" t="str">
        <f>VLOOKUP(Tabla3[[#This Row],[Site]],'Important Info!'!$A$1:$J$135,10,FALSE)</f>
        <v>https://tools.sig.systems/site/details/128</v>
      </c>
      <c r="I2537" s="43"/>
      <c r="J2537" t="s">
        <v>484</v>
      </c>
      <c r="K2537" s="79" t="str">
        <f>VLOOKUP(Tabla3[[#This Row],[Site]],'Important Info!'!$A$1:$H$135,8,FALSE)</f>
        <v>-</v>
      </c>
      <c r="L2537" s="52" t="str">
        <f>VLOOKUP(Tabla3[[#This Row],[Site]],'Important Info!'!$A$1:$F$135,2,FALSE)</f>
        <v>1, 16, 25, 27, 32</v>
      </c>
      <c r="M2537" s="52" t="str">
        <f>VLOOKUP(Tabla3[[#This Row],[Site]],'Important Info!'!$A$1:$F$135,3,FALSE)</f>
        <v>-</v>
      </c>
      <c r="N2537" s="52" t="str">
        <f>VLOOKUP(Tabla3[[#This Row],[Site]],'Important Info!'!$A$1:$F$135,4,FALSE)</f>
        <v>-</v>
      </c>
      <c r="O2537" s="52" t="str">
        <f>VLOOKUP(Tabla3[[#This Row],[Site]],'Important Info!'!$A$1:$F$135,5,FALSE)</f>
        <v>4, 10, 16</v>
      </c>
      <c r="P2537" s="52" t="str">
        <f>VLOOKUP(Tabla3[[#This Row],[Site]],'Important Info!'!$A$1:$F$135,6,FALSE)</f>
        <v>24, 25, 26 &amp; Remote Lots</v>
      </c>
      <c r="Q2537" s="91">
        <f>VLOOKUP(Tabla3[[#This Row],[Site]],'Important Info!'!$A$1:$J$135,9,FALSE)</f>
        <v>128</v>
      </c>
    </row>
    <row r="2538" spans="1:17" x14ac:dyDescent="0.25">
      <c r="A2538" t="str">
        <f>+Tabla3[[#This Row],[Site]]&amp;Tabla3[[#This Row],[Split]]</f>
        <v>(AS) Park Place JLR DFW Airport (NO TOURS)25</v>
      </c>
      <c r="B2538">
        <v>25</v>
      </c>
      <c r="C2538">
        <v>22</v>
      </c>
      <c r="D2538" t="s">
        <v>33</v>
      </c>
      <c r="E2538" t="s">
        <v>46</v>
      </c>
      <c r="F2538" t="s">
        <v>516</v>
      </c>
      <c r="G2538" t="s">
        <v>34</v>
      </c>
      <c r="H2538" s="52" t="str">
        <f>VLOOKUP(Tabla3[[#This Row],[Site]],'Important Info!'!$A$1:$J$135,10,FALSE)</f>
        <v>https://tools.sig.systems/site/details/135</v>
      </c>
      <c r="J2538" t="s">
        <v>41</v>
      </c>
      <c r="K2538" s="79" t="str">
        <f>VLOOKUP(Tabla3[[#This Row],[Site]],'Important Info!'!$A$1:$H$135,8,FALSE)</f>
        <v>-</v>
      </c>
      <c r="L2538" s="52" t="str">
        <f>VLOOKUP(Tabla3[[#This Row],[Site]],'Important Info!'!$A$1:$F$135,2,FALSE)</f>
        <v>6, 7, 18</v>
      </c>
      <c r="M2538" s="52" t="str">
        <f>VLOOKUP(Tabla3[[#This Row],[Site]],'Important Info!'!$A$1:$F$135,3,FALSE)</f>
        <v>70, 79, 80</v>
      </c>
      <c r="N2538" s="52" t="str">
        <f>VLOOKUP(Tabla3[[#This Row],[Site]],'Important Info!'!$A$1:$F$135,4,FALSE)</f>
        <v>83, 84</v>
      </c>
      <c r="O2538" s="52" t="str">
        <f>VLOOKUP(Tabla3[[#This Row],[Site]],'Important Info!'!$A$1:$F$135,5,FALSE)</f>
        <v>3, 8, 14, 81</v>
      </c>
      <c r="P2538" s="52">
        <f>VLOOKUP(Tabla3[[#This Row],[Site]],'Important Info!'!$A$1:$F$135,6,FALSE)</f>
        <v>6</v>
      </c>
      <c r="Q2538" s="91">
        <f>VLOOKUP(Tabla3[[#This Row],[Site]],'Important Info!'!$A$1:$J$135,9,FALSE)</f>
        <v>135</v>
      </c>
    </row>
    <row r="2539" spans="1:17" x14ac:dyDescent="0.25">
      <c r="A2539" t="str">
        <f>+Tabla3[[#This Row],[Site]]&amp;Tabla3[[#This Row],[Split]]</f>
        <v>(AS) Plaza Audi/Infiniti (NO TOURS)25</v>
      </c>
      <c r="B2539">
        <v>25</v>
      </c>
      <c r="C2539">
        <v>22</v>
      </c>
      <c r="D2539" t="s">
        <v>33</v>
      </c>
      <c r="E2539" t="s">
        <v>46</v>
      </c>
      <c r="F2539" t="s">
        <v>91</v>
      </c>
      <c r="G2539" t="s">
        <v>34</v>
      </c>
      <c r="H2539" s="52" t="str">
        <f>VLOOKUP(Tabla3[[#This Row],[Site]],'Important Info!'!$A$1:$J$135,10,FALSE)</f>
        <v>https://tools.sig.systems/site/details/141</v>
      </c>
      <c r="I2539" t="s">
        <v>130</v>
      </c>
      <c r="J2539" t="s">
        <v>41</v>
      </c>
      <c r="K2539" s="79" t="str">
        <f>VLOOKUP(Tabla3[[#This Row],[Site]],'Important Info!'!$A$1:$H$135,8,FALSE)</f>
        <v>-</v>
      </c>
      <c r="L2539" s="52" t="str">
        <f>VLOOKUP(Tabla3[[#This Row],[Site]],'Important Info!'!$A$1:$F$135,2,FALSE)</f>
        <v>7, 25</v>
      </c>
      <c r="M2539" s="52" t="str">
        <f>VLOOKUP(Tabla3[[#This Row],[Site]],'Important Info!'!$A$1:$F$135,3,FALSE)</f>
        <v>15, 17, 18</v>
      </c>
      <c r="N2539" s="52" t="str">
        <f>VLOOKUP(Tabla3[[#This Row],[Site]],'Important Info!'!$A$1:$F$135,4,FALSE)</f>
        <v>-</v>
      </c>
      <c r="O2539" s="52" t="str">
        <f>VLOOKUP(Tabla3[[#This Row],[Site]],'Important Info!'!$A$1:$F$135,5,FALSE)</f>
        <v>1, 24</v>
      </c>
      <c r="P2539" s="52" t="str">
        <f>VLOOKUP(Tabla3[[#This Row],[Site]],'Important Info!'!$A$1:$F$135,6,FALSE)</f>
        <v>3, 15, 17</v>
      </c>
      <c r="Q2539" s="91">
        <f>VLOOKUP(Tabla3[[#This Row],[Site]],'Important Info!'!$A$1:$J$135,9,FALSE)</f>
        <v>141</v>
      </c>
    </row>
    <row r="2540" spans="1:17" x14ac:dyDescent="0.25">
      <c r="A2540" t="str">
        <f>+Tabla3[[#This Row],[Site]]&amp;Tabla3[[#This Row],[Split]]</f>
        <v>(DT) Escondido25</v>
      </c>
      <c r="B2540">
        <v>25</v>
      </c>
      <c r="C2540">
        <v>22</v>
      </c>
      <c r="D2540" t="s">
        <v>51</v>
      </c>
      <c r="E2540" t="s">
        <v>159</v>
      </c>
      <c r="F2540" t="s">
        <v>112</v>
      </c>
      <c r="G2540" t="s">
        <v>164</v>
      </c>
      <c r="H2540" s="52" t="str">
        <f>VLOOKUP(Tabla3[[#This Row],[Site]],'Important Info!'!$A$1:$J$135,10,FALSE)</f>
        <v>https://tools.sig.systems/site/details/196</v>
      </c>
      <c r="I2540" s="2"/>
      <c r="J2540" t="s">
        <v>41</v>
      </c>
      <c r="K2540" s="79" t="str">
        <f>VLOOKUP(Tabla3[[#This Row],[Site]],'Important Info!'!$A$1:$H$135,8,FALSE)</f>
        <v>Saturday Drop Time 9:00 A.M.</v>
      </c>
      <c r="L2540" s="52" t="str">
        <f>VLOOKUP(Tabla3[[#This Row],[Site]],'Important Info!'!$A$1:$F$135,2,FALSE)</f>
        <v>1, 2</v>
      </c>
      <c r="M2540" s="52" t="str">
        <f>VLOOKUP(Tabla3[[#This Row],[Site]],'Important Info!'!$A$1:$F$135,3,FALSE)</f>
        <v>-</v>
      </c>
      <c r="N2540" s="52" t="str">
        <f>VLOOKUP(Tabla3[[#This Row],[Site]],'Important Info!'!$A$1:$F$135,4,FALSE)</f>
        <v>-</v>
      </c>
      <c r="O2540" s="52" t="str">
        <f>VLOOKUP(Tabla3[[#This Row],[Site]],'Important Info!'!$A$1:$F$135,5,FALSE)</f>
        <v>-</v>
      </c>
      <c r="P2540" s="52" t="str">
        <f>VLOOKUP(Tabla3[[#This Row],[Site]],'Important Info!'!$A$1:$F$135,6,FALSE)</f>
        <v>5, 7, 8</v>
      </c>
      <c r="Q2540" s="91">
        <f>VLOOKUP(Tabla3[[#This Row],[Site]],'Important Info!'!$A$1:$J$135,9,FALSE)</f>
        <v>196</v>
      </c>
    </row>
    <row r="2541" spans="1:17" x14ac:dyDescent="0.25">
      <c r="A2541" t="str">
        <f>+Tabla3[[#This Row],[Site]]&amp;Tabla3[[#This Row],[Split]]</f>
        <v>(AS) Lexus Grapevine I &amp; II (NO TOURS)25</v>
      </c>
      <c r="B2541">
        <v>25</v>
      </c>
      <c r="C2541">
        <v>23</v>
      </c>
      <c r="D2541" t="s">
        <v>33</v>
      </c>
      <c r="E2541" t="s">
        <v>46</v>
      </c>
      <c r="F2541" t="s">
        <v>508</v>
      </c>
      <c r="G2541" t="s">
        <v>34</v>
      </c>
      <c r="H2541" s="52" t="str">
        <f>VLOOKUP(Tabla3[[#This Row],[Site]],'Important Info!'!$A$1:$J$135,10,FALSE)</f>
        <v>https://tools.sig.systems/site/details/136</v>
      </c>
      <c r="J2541" t="s">
        <v>41</v>
      </c>
      <c r="K2541" s="79" t="str">
        <f>VLOOKUP(Tabla3[[#This Row],[Site]],'Important Info!'!$A$1:$H$135,8,FALSE)</f>
        <v>-</v>
      </c>
      <c r="L2541" s="52" t="str">
        <f>VLOOKUP(Tabla3[[#This Row],[Site]],'Important Info!'!$A$1:$F$135,2,FALSE)</f>
        <v>4, 10, 14, 18, 33</v>
      </c>
      <c r="M2541" s="52" t="str">
        <f>VLOOKUP(Tabla3[[#This Row],[Site]],'Important Info!'!$A$1:$F$135,3,FALSE)</f>
        <v>-</v>
      </c>
      <c r="N2541" s="52" t="str">
        <f>VLOOKUP(Tabla3[[#This Row],[Site]],'Important Info!'!$A$1:$F$135,4,FALSE)</f>
        <v>81, 82, 83</v>
      </c>
      <c r="O2541" s="52" t="str">
        <f>VLOOKUP(Tabla3[[#This Row],[Site]],'Important Info!'!$A$1:$F$135,5,FALSE)</f>
        <v>4, 12, 15, 20, 30</v>
      </c>
      <c r="P2541" s="52">
        <f>VLOOKUP(Tabla3[[#This Row],[Site]],'Important Info!'!$A$1:$F$135,6,FALSE)</f>
        <v>10</v>
      </c>
      <c r="Q2541" s="91">
        <f>VLOOKUP(Tabla3[[#This Row],[Site]],'Important Info!'!$A$1:$J$135,9,FALSE)</f>
        <v>136</v>
      </c>
    </row>
    <row r="2542" spans="1:17" x14ac:dyDescent="0.25">
      <c r="A2542" t="str">
        <f>+Tabla3[[#This Row],[Site]]&amp;Tabla3[[#This Row],[Split]]</f>
        <v>(AS) Park Place Volvo Service Center (NO TOURS)25</v>
      </c>
      <c r="B2542">
        <v>25</v>
      </c>
      <c r="C2542">
        <v>23</v>
      </c>
      <c r="D2542" t="s">
        <v>33</v>
      </c>
      <c r="E2542" t="s">
        <v>46</v>
      </c>
      <c r="F2542" t="s">
        <v>522</v>
      </c>
      <c r="G2542" t="s">
        <v>34</v>
      </c>
      <c r="H2542" s="52" t="str">
        <f>VLOOKUP(Tabla3[[#This Row],[Site]],'Important Info!'!$A$1:$J$135,10,FALSE)</f>
        <v>https://tools.sig.systems/site/details/171</v>
      </c>
      <c r="I2542" s="65" t="s">
        <v>125</v>
      </c>
      <c r="J2542" t="s">
        <v>41</v>
      </c>
      <c r="K2542" s="79" t="str">
        <f>VLOOKUP(Tabla3[[#This Row],[Site]],'Important Info!'!$A$1:$H$135,8,FALSE)</f>
        <v>-</v>
      </c>
      <c r="L2542" s="52" t="str">
        <f>VLOOKUP(Tabla3[[#This Row],[Site]],'Important Info!'!$A$1:$F$135,2,FALSE)</f>
        <v>3, 6, 9, 27, 31, 35</v>
      </c>
      <c r="M2542" s="52" t="str">
        <f>VLOOKUP(Tabla3[[#This Row],[Site]],'Important Info!'!$A$1:$F$135,3,FALSE)</f>
        <v>-</v>
      </c>
      <c r="N2542" s="52" t="str">
        <f>VLOOKUP(Tabla3[[#This Row],[Site]],'Important Info!'!$A$1:$F$135,4,FALSE)</f>
        <v>-</v>
      </c>
      <c r="O2542" s="52" t="str">
        <f>VLOOKUP(Tabla3[[#This Row],[Site]],'Important Info!'!$A$1:$F$135,5,FALSE)</f>
        <v>27, 32</v>
      </c>
      <c r="P2542" s="52" t="str">
        <f>VLOOKUP(Tabla3[[#This Row],[Site]],'Important Info!'!$A$1:$F$135,6,FALSE)</f>
        <v>-</v>
      </c>
      <c r="Q2542" s="91">
        <f>VLOOKUP(Tabla3[[#This Row],[Site]],'Important Info!'!$A$1:$J$135,9,FALSE)</f>
        <v>171</v>
      </c>
    </row>
    <row r="2543" spans="1:17" x14ac:dyDescent="0.25">
      <c r="A2543" t="str">
        <f>+Tabla3[[#This Row],[Site]]&amp;Tabla3[[#This Row],[Split]]</f>
        <v>(KG) Hyundai Surprise25</v>
      </c>
      <c r="B2543">
        <v>25</v>
      </c>
      <c r="C2543">
        <v>23</v>
      </c>
      <c r="D2543" t="s">
        <v>51</v>
      </c>
      <c r="E2543" t="s">
        <v>161</v>
      </c>
      <c r="F2543" t="s">
        <v>118</v>
      </c>
      <c r="G2543" t="s">
        <v>52</v>
      </c>
      <c r="H2543" s="52" t="str">
        <f>VLOOKUP(Tabla3[[#This Row],[Site]],'Important Info!'!$A$1:$J$135,10,FALSE)</f>
        <v>https://tools.sig.systems/site/details/269</v>
      </c>
      <c r="I2543" s="43"/>
      <c r="J2543" t="s">
        <v>162</v>
      </c>
      <c r="K2543" s="79" t="str">
        <f>VLOOKUP(Tabla3[[#This Row],[Site]],'Important Info!'!$A$1:$H$135,8,FALSE)</f>
        <v>-</v>
      </c>
      <c r="L2543" s="52" t="str">
        <f>VLOOKUP(Tabla3[[#This Row],[Site]],'Important Info!'!$A$1:$F$135,2,FALSE)</f>
        <v>1, 6, 7</v>
      </c>
      <c r="M2543" s="52" t="str">
        <f>VLOOKUP(Tabla3[[#This Row],[Site]],'Important Info!'!$A$1:$F$135,3,FALSE)</f>
        <v>-</v>
      </c>
      <c r="N2543" s="52" t="str">
        <f>VLOOKUP(Tabla3[[#This Row],[Site]],'Important Info!'!$A$1:$F$135,4,FALSE)</f>
        <v>-</v>
      </c>
      <c r="O2543" s="52" t="str">
        <f>VLOOKUP(Tabla3[[#This Row],[Site]],'Important Info!'!$A$1:$F$135,5,FALSE)</f>
        <v>6, 13</v>
      </c>
      <c r="P2543" s="52" t="str">
        <f>VLOOKUP(Tabla3[[#This Row],[Site]],'Important Info!'!$A$1:$F$135,6,FALSE)</f>
        <v>-</v>
      </c>
      <c r="Q2543" s="91">
        <f>VLOOKUP(Tabla3[[#This Row],[Site]],'Important Info!'!$A$1:$J$135,9,FALSE)</f>
        <v>269</v>
      </c>
    </row>
    <row r="2544" spans="1:17" x14ac:dyDescent="0.25">
      <c r="A2544" t="str">
        <f>+Tabla3[[#This Row],[Site]]&amp;Tabla3[[#This Row],[Split]]</f>
        <v>(KT) Northwest CDJR (NO TOURS)25</v>
      </c>
      <c r="B2544">
        <v>25</v>
      </c>
      <c r="C2544">
        <v>23</v>
      </c>
      <c r="D2544" t="s">
        <v>33</v>
      </c>
      <c r="E2544" t="s">
        <v>46</v>
      </c>
      <c r="F2544" t="s">
        <v>77</v>
      </c>
      <c r="G2544" t="s">
        <v>34</v>
      </c>
      <c r="H2544" s="52" t="str">
        <f>VLOOKUP(Tabla3[[#This Row],[Site]],'Important Info!'!$A$1:$J$135,10,FALSE)</f>
        <v>https://tools.sig.systems/site/details/229</v>
      </c>
      <c r="I2544" s="2"/>
      <c r="J2544" t="s">
        <v>41</v>
      </c>
      <c r="K2544" s="79" t="str">
        <f>VLOOKUP(Tabla3[[#This Row],[Site]],'Important Info!'!$A$1:$H$135,8,FALSE)</f>
        <v>-</v>
      </c>
      <c r="L2544" s="52" t="str">
        <f>VLOOKUP(Tabla3[[#This Row],[Site]],'Important Info!'!$A$1:$F$135,2,FALSE)</f>
        <v>1, 3, 11, 25</v>
      </c>
      <c r="M2544" s="52" t="str">
        <f>VLOOKUP(Tabla3[[#This Row],[Site]],'Important Info!'!$A$1:$F$135,3,FALSE)</f>
        <v>-</v>
      </c>
      <c r="N2544" s="52" t="str">
        <f>VLOOKUP(Tabla3[[#This Row],[Site]],'Important Info!'!$A$1:$F$135,4,FALSE)</f>
        <v>-</v>
      </c>
      <c r="O2544" s="52" t="str">
        <f>VLOOKUP(Tabla3[[#This Row],[Site]],'Important Info!'!$A$1:$F$135,5,FALSE)</f>
        <v>4, 12, 18</v>
      </c>
      <c r="P2544" s="52" t="str">
        <f>VLOOKUP(Tabla3[[#This Row],[Site]],'Important Info!'!$A$1:$F$135,6,FALSE)</f>
        <v>-</v>
      </c>
      <c r="Q2544" s="91">
        <f>VLOOKUP(Tabla3[[#This Row],[Site]],'Important Info!'!$A$1:$J$135,9,FALSE)</f>
        <v>229</v>
      </c>
    </row>
    <row r="2545" spans="1:17" x14ac:dyDescent="0.25">
      <c r="A2545" t="str">
        <f>+Tabla3[[#This Row],[Site]]&amp;Tabla3[[#This Row],[Split]]</f>
        <v>(AS) Bill Estes Ford (NO TOURS)25</v>
      </c>
      <c r="B2545">
        <v>25</v>
      </c>
      <c r="C2545">
        <v>24</v>
      </c>
      <c r="D2545" t="s">
        <v>62</v>
      </c>
      <c r="E2545" t="s">
        <v>35</v>
      </c>
      <c r="F2545" t="s">
        <v>178</v>
      </c>
      <c r="G2545" t="s">
        <v>490</v>
      </c>
      <c r="H2545" s="52" t="str">
        <f>VLOOKUP(Tabla3[[#This Row],[Site]],'Important Info!'!$A$1:$J$135,10,FALSE)</f>
        <v>https://tools.sig.systems/site/details/125</v>
      </c>
      <c r="J2545" t="s">
        <v>41</v>
      </c>
      <c r="K2545" s="79" t="str">
        <f>VLOOKUP(Tabla3[[#This Row],[Site]],'Important Info!'!$A$1:$H$135,8,FALSE)</f>
        <v>-</v>
      </c>
      <c r="L2545" s="52" t="str">
        <f>VLOOKUP(Tabla3[[#This Row],[Site]],'Important Info!'!$A$1:$F$135,2,FALSE)</f>
        <v>-</v>
      </c>
      <c r="M2545" s="52" t="str">
        <f>VLOOKUP(Tabla3[[#This Row],[Site]],'Important Info!'!$A$1:$F$135,3,FALSE)</f>
        <v>2, 3, 13, 16</v>
      </c>
      <c r="N2545" s="52" t="str">
        <f>VLOOKUP(Tabla3[[#This Row],[Site]],'Important Info!'!$A$1:$F$135,4,FALSE)</f>
        <v>-</v>
      </c>
      <c r="O2545" s="52" t="str">
        <f>VLOOKUP(Tabla3[[#This Row],[Site]],'Important Info!'!$A$1:$F$135,5,FALSE)</f>
        <v>1, 10, 14, 19</v>
      </c>
      <c r="P2545" s="52" t="str">
        <f>VLOOKUP(Tabla3[[#This Row],[Site]],'Important Info!'!$A$1:$F$135,6,FALSE)</f>
        <v>7, 8, 9, 10, 11, 12, 14</v>
      </c>
      <c r="Q2545" s="91">
        <f>VLOOKUP(Tabla3[[#This Row],[Site]],'Important Info!'!$A$1:$J$135,9,FALSE)</f>
        <v>125</v>
      </c>
    </row>
    <row r="2546" spans="1:17" x14ac:dyDescent="0.25">
      <c r="A2546" t="str">
        <f>+Tabla3[[#This Row],[Site]]&amp;Tabla3[[#This Row],[Split]]</f>
        <v>(AS) Stevinson Porsche of Littleton (NO TOURS)25</v>
      </c>
      <c r="B2546">
        <v>25</v>
      </c>
      <c r="C2546">
        <v>24</v>
      </c>
      <c r="D2546" t="s">
        <v>44</v>
      </c>
      <c r="E2546" t="s">
        <v>53</v>
      </c>
      <c r="F2546" t="s">
        <v>78</v>
      </c>
      <c r="G2546" t="s">
        <v>45</v>
      </c>
      <c r="H2546" s="52" t="str">
        <f>VLOOKUP(Tabla3[[#This Row],[Site]],'Important Info!'!$A$1:$J$135,10,FALSE)</f>
        <v>https://tools.sig.systems/site/details/242</v>
      </c>
      <c r="J2546" t="s">
        <v>41</v>
      </c>
      <c r="K2546" s="79" t="str">
        <f>VLOOKUP(Tabla3[[#This Row],[Site]],'Important Info!'!$A$1:$H$135,8,FALSE)</f>
        <v>-</v>
      </c>
      <c r="L2546" s="52" t="str">
        <f>VLOOKUP(Tabla3[[#This Row],[Site]],'Important Info!'!$A$1:$F$135,2,FALSE)</f>
        <v>3, 4</v>
      </c>
      <c r="M2546" s="52">
        <f>VLOOKUP(Tabla3[[#This Row],[Site]],'Important Info!'!$A$1:$F$135,3,FALSE)</f>
        <v>2</v>
      </c>
      <c r="N2546" s="52" t="str">
        <f>VLOOKUP(Tabla3[[#This Row],[Site]],'Important Info!'!$A$1:$F$135,4,FALSE)</f>
        <v>-</v>
      </c>
      <c r="O2546" s="52" t="str">
        <f>VLOOKUP(Tabla3[[#This Row],[Site]],'Important Info!'!$A$1:$F$135,5,FALSE)</f>
        <v>-</v>
      </c>
      <c r="P2546" s="52" t="str">
        <f>VLOOKUP(Tabla3[[#This Row],[Site]],'Important Info!'!$A$1:$F$135,6,FALSE)</f>
        <v>3, 4</v>
      </c>
      <c r="Q2546" s="91">
        <f>VLOOKUP(Tabla3[[#This Row],[Site]],'Important Info!'!$A$1:$J$135,9,FALSE)</f>
        <v>242</v>
      </c>
    </row>
    <row r="2547" spans="1:17" x14ac:dyDescent="0.25">
      <c r="A2547" t="str">
        <f>+Tabla3[[#This Row],[Site]]&amp;Tabla3[[#This Row],[Split]]</f>
        <v>(DT) Wichita25</v>
      </c>
      <c r="B2547">
        <v>25</v>
      </c>
      <c r="C2547">
        <v>24</v>
      </c>
      <c r="D2547" t="s">
        <v>33</v>
      </c>
      <c r="E2547" t="s">
        <v>46</v>
      </c>
      <c r="F2547" t="s">
        <v>131</v>
      </c>
      <c r="G2547" t="s">
        <v>34</v>
      </c>
      <c r="H2547" s="52" t="str">
        <f>VLOOKUP(Tabla3[[#This Row],[Site]],'Important Info!'!$A$1:$J$135,10,FALSE)</f>
        <v>https://tools.sig.systems/site/details/257</v>
      </c>
      <c r="J2547" t="s">
        <v>41</v>
      </c>
      <c r="K2547" s="79" t="str">
        <f>VLOOKUP(Tabla3[[#This Row],[Site]],'Important Info!'!$A$1:$H$135,8,FALSE)</f>
        <v>-</v>
      </c>
      <c r="L2547" s="52" t="str">
        <f>VLOOKUP(Tabla3[[#This Row],[Site]],'Important Info!'!$A$1:$F$135,2,FALSE)</f>
        <v>-</v>
      </c>
      <c r="M2547" s="52" t="str">
        <f>VLOOKUP(Tabla3[[#This Row],[Site]],'Important Info!'!$A$1:$F$135,3,FALSE)</f>
        <v>10, 11</v>
      </c>
      <c r="N2547" s="52" t="str">
        <f>VLOOKUP(Tabla3[[#This Row],[Site]],'Important Info!'!$A$1:$F$135,4,FALSE)</f>
        <v>-</v>
      </c>
      <c r="O2547" s="52" t="str">
        <f>VLOOKUP(Tabla3[[#This Row],[Site]],'Important Info!'!$A$1:$F$135,5,FALSE)</f>
        <v>-</v>
      </c>
      <c r="P2547" s="52" t="str">
        <f>VLOOKUP(Tabla3[[#This Row],[Site]],'Important Info!'!$A$1:$F$135,6,FALSE)</f>
        <v>1, 5, 6, 10</v>
      </c>
      <c r="Q2547" s="91">
        <f>VLOOKUP(Tabla3[[#This Row],[Site]],'Important Info!'!$A$1:$J$135,9,FALSE)</f>
        <v>257</v>
      </c>
    </row>
    <row r="2548" spans="1:17" x14ac:dyDescent="0.25">
      <c r="A2548" t="str">
        <f>+Tabla3[[#This Row],[Site]]&amp;Tabla3[[#This Row],[Split]]</f>
        <v>(PE) Hudson Toyota Nissan CDJR (NO TOURS)25</v>
      </c>
      <c r="B2548">
        <v>25</v>
      </c>
      <c r="C2548">
        <v>24</v>
      </c>
      <c r="D2548" t="s">
        <v>485</v>
      </c>
      <c r="E2548" t="s">
        <v>35</v>
      </c>
      <c r="F2548" t="s">
        <v>82</v>
      </c>
      <c r="G2548" t="s">
        <v>490</v>
      </c>
      <c r="H2548" s="52" t="str">
        <f>VLOOKUP(Tabla3[[#This Row],[Site]],'Important Info!'!$A$1:$J$135,10,FALSE)</f>
        <v>https://tools.sig.systems/site/details/156</v>
      </c>
      <c r="J2548" t="s">
        <v>41</v>
      </c>
      <c r="K2548" s="79" t="str">
        <f>VLOOKUP(Tabla3[[#This Row],[Site]],'Important Info!'!$A$1:$H$135,8,FALSE)</f>
        <v>-</v>
      </c>
      <c r="L2548" s="52">
        <f>VLOOKUP(Tabla3[[#This Row],[Site]],'Important Info!'!$A$1:$F$135,2,FALSE)</f>
        <v>5</v>
      </c>
      <c r="M2548" s="52" t="str">
        <f>VLOOKUP(Tabla3[[#This Row],[Site]],'Important Info!'!$A$1:$F$135,3,FALSE)</f>
        <v>3, 7, 18</v>
      </c>
      <c r="N2548" s="52" t="str">
        <f>VLOOKUP(Tabla3[[#This Row],[Site]],'Important Info!'!$A$1:$F$135,4,FALSE)</f>
        <v>-</v>
      </c>
      <c r="O2548" s="52">
        <f>VLOOKUP(Tabla3[[#This Row],[Site]],'Important Info!'!$A$1:$F$135,5,FALSE)</f>
        <v>84</v>
      </c>
      <c r="P2548" s="52" t="str">
        <f>VLOOKUP(Tabla3[[#This Row],[Site]],'Important Info!'!$A$1:$F$135,6,FALSE)</f>
        <v>1, 2, 3, 4, 5, 6, 7, 8</v>
      </c>
      <c r="Q2548" s="91">
        <f>VLOOKUP(Tabla3[[#This Row],[Site]],'Important Info!'!$A$1:$J$135,9,FALSE)</f>
        <v>156</v>
      </c>
    </row>
    <row r="2549" spans="1:17" x14ac:dyDescent="0.25">
      <c r="A2549" t="str">
        <f>+Tabla3[[#This Row],[Site]]&amp;Tabla3[[#This Row],[Split]]</f>
        <v>SIG Office25</v>
      </c>
      <c r="B2549">
        <v>25</v>
      </c>
      <c r="C2549">
        <v>24</v>
      </c>
      <c r="D2549" t="s">
        <v>60</v>
      </c>
      <c r="E2549" t="s">
        <v>35</v>
      </c>
      <c r="F2549" t="s">
        <v>169</v>
      </c>
      <c r="G2549" t="s">
        <v>41</v>
      </c>
      <c r="H2549" s="52" t="str">
        <f>VLOOKUP(Tabla3[[#This Row],[Site]],'Important Info!'!$A$1:$J$135,10,FALSE)</f>
        <v>https://tools.sig.systems/site/details/163</v>
      </c>
      <c r="J2549" t="s">
        <v>41</v>
      </c>
      <c r="K2549" s="79" t="str">
        <f>VLOOKUP(Tabla3[[#This Row],[Site]],'Important Info!'!$A$1:$H$135,8,FALSE)</f>
        <v>-</v>
      </c>
      <c r="L2549" s="52" t="str">
        <f>VLOOKUP(Tabla3[[#This Row],[Site]],'Important Info!'!$A$1:$F$135,2,FALSE)</f>
        <v>-</v>
      </c>
      <c r="M2549" s="52" t="str">
        <f>VLOOKUP(Tabla3[[#This Row],[Site]],'Important Info!'!$A$1:$F$135,3,FALSE)</f>
        <v>-</v>
      </c>
      <c r="N2549" s="52" t="str">
        <f>VLOOKUP(Tabla3[[#This Row],[Site]],'Important Info!'!$A$1:$F$135,4,FALSE)</f>
        <v>-</v>
      </c>
      <c r="O2549" s="52" t="str">
        <f>VLOOKUP(Tabla3[[#This Row],[Site]],'Important Info!'!$A$1:$F$135,5,FALSE)</f>
        <v>-</v>
      </c>
      <c r="P2549" s="52">
        <f>VLOOKUP(Tabla3[[#This Row],[Site]],'Important Info!'!$A$1:$F$135,6,FALSE)</f>
        <v>25</v>
      </c>
      <c r="Q2549" s="91">
        <f>VLOOKUP(Tabla3[[#This Row],[Site]],'Important Info!'!$A$1:$J$135,9,FALSE)</f>
        <v>163</v>
      </c>
    </row>
    <row r="2550" spans="1:17" x14ac:dyDescent="0.25">
      <c r="A2550" t="str">
        <f>+Tabla3[[#This Row],[Site]]&amp;Tabla3[[#This Row],[Split]]</f>
        <v>(KG) Big Star Honda25</v>
      </c>
      <c r="B2550">
        <v>25</v>
      </c>
      <c r="C2550">
        <v>25</v>
      </c>
      <c r="D2550" t="s">
        <v>33</v>
      </c>
      <c r="E2550" t="s">
        <v>46</v>
      </c>
      <c r="F2550" t="s">
        <v>136</v>
      </c>
      <c r="G2550" t="s">
        <v>34</v>
      </c>
      <c r="H2550" s="52" t="str">
        <f>VLOOKUP(Tabla3[[#This Row],[Site]],'Important Info!'!$A$1:$J$135,10,FALSE)</f>
        <v>https://tools.sig.systems/site/details/231</v>
      </c>
      <c r="J2550" t="s">
        <v>41</v>
      </c>
      <c r="K2550" s="79" t="str">
        <f>VLOOKUP(Tabla3[[#This Row],[Site]],'Important Info!'!$A$1:$H$135,8,FALSE)</f>
        <v>-</v>
      </c>
      <c r="L2550" s="52" t="str">
        <f>VLOOKUP(Tabla3[[#This Row],[Site]],'Important Info!'!$A$1:$F$135,2,FALSE)</f>
        <v>2, 17, 33</v>
      </c>
      <c r="M2550" s="52" t="str">
        <f>VLOOKUP(Tabla3[[#This Row],[Site]],'Important Info!'!$A$1:$F$135,3,FALSE)</f>
        <v>-</v>
      </c>
      <c r="N2550" s="52" t="str">
        <f>VLOOKUP(Tabla3[[#This Row],[Site]],'Important Info!'!$A$1:$F$135,4,FALSE)</f>
        <v>-</v>
      </c>
      <c r="O2550" s="52" t="str">
        <f>VLOOKUP(Tabla3[[#This Row],[Site]],'Important Info!'!$A$1:$F$135,5,FALSE)</f>
        <v>3, 11, 16, 21, 24, 31, 34</v>
      </c>
      <c r="P2550" s="52" t="str">
        <f>VLOOKUP(Tabla3[[#This Row],[Site]],'Important Info!'!$A$1:$F$135,6,FALSE)</f>
        <v xml:space="preserve">2, 3, 17, 22, 37, 41, 42 </v>
      </c>
      <c r="Q2550" s="91">
        <f>VLOOKUP(Tabla3[[#This Row],[Site]],'Important Info!'!$A$1:$J$135,9,FALSE)</f>
        <v>231</v>
      </c>
    </row>
    <row r="2551" spans="1:17" x14ac:dyDescent="0.25">
      <c r="A2551" t="str">
        <f>+Tabla3[[#This Row],[Site]]&amp;Tabla3[[#This Row],[Split]]</f>
        <v>(ML) Joe Machens Ford Lincoln I &amp; II25</v>
      </c>
      <c r="B2551">
        <v>25</v>
      </c>
      <c r="C2551">
        <v>25</v>
      </c>
      <c r="D2551" t="s">
        <v>33</v>
      </c>
      <c r="E2551" t="s">
        <v>46</v>
      </c>
      <c r="F2551" t="s">
        <v>148</v>
      </c>
      <c r="G2551" t="s">
        <v>34</v>
      </c>
      <c r="H2551" s="52" t="str">
        <f>VLOOKUP(Tabla3[[#This Row],[Site]],'Important Info!'!$A$1:$J$135,10,FALSE)</f>
        <v>https://tools.sig.systems/site/details/266</v>
      </c>
      <c r="I2551" s="43" t="s">
        <v>146</v>
      </c>
      <c r="J2551" t="s">
        <v>41</v>
      </c>
      <c r="K2551" s="79" t="str">
        <f>VLOOKUP(Tabla3[[#This Row],[Site]],'Important Info!'!$A$1:$H$135,8,FALSE)</f>
        <v>-</v>
      </c>
      <c r="L2551" s="52" t="str">
        <f>VLOOKUP(Tabla3[[#This Row],[Site]],'Important Info!'!$A$1:$F$135,2,FALSE)</f>
        <v>-</v>
      </c>
      <c r="M2551" s="52" t="str">
        <f>VLOOKUP(Tabla3[[#This Row],[Site]],'Important Info!'!$A$1:$F$135,3,FALSE)</f>
        <v>4, 6, 9, 13, 14, 17, 26, 27, 28, 29, 30</v>
      </c>
      <c r="N2551" s="52" t="str">
        <f>VLOOKUP(Tabla3[[#This Row],[Site]],'Important Info!'!$A$1:$F$135,4,FALSE)</f>
        <v>-</v>
      </c>
      <c r="O2551" s="52" t="str">
        <f>VLOOKUP(Tabla3[[#This Row],[Site]],'Important Info!'!$A$1:$F$135,5,FALSE)</f>
        <v>23, 40, 49</v>
      </c>
      <c r="P2551" s="52" t="str">
        <f>VLOOKUP(Tabla3[[#This Row],[Site]],'Important Info!'!$A$1:$F$135,6,FALSE)</f>
        <v>-</v>
      </c>
      <c r="Q2551" s="91">
        <f>VLOOKUP(Tabla3[[#This Row],[Site]],'Important Info!'!$A$1:$J$135,9,FALSE)</f>
        <v>266</v>
      </c>
    </row>
    <row r="2552" spans="1:17" x14ac:dyDescent="0.25">
      <c r="A2552" t="str">
        <f>+Tabla3[[#This Row],[Site]]&amp;Tabla3[[#This Row],[Split]]</f>
        <v>(PE) BMW of Mamaroneck (NO TOURS)25</v>
      </c>
      <c r="B2552">
        <v>25</v>
      </c>
      <c r="C2552">
        <v>25</v>
      </c>
      <c r="D2552" t="s">
        <v>485</v>
      </c>
      <c r="E2552" t="s">
        <v>35</v>
      </c>
      <c r="F2552" t="s">
        <v>172</v>
      </c>
      <c r="G2552" t="s">
        <v>490</v>
      </c>
      <c r="H2552" s="52" t="str">
        <f>VLOOKUP(Tabla3[[#This Row],[Site]],'Important Info!'!$A$1:$J$135,10,FALSE)</f>
        <v>https://tools.sig.systems/site/details/185</v>
      </c>
      <c r="I2552" s="43"/>
      <c r="J2552" t="s">
        <v>41</v>
      </c>
      <c r="K2552" s="79" t="str">
        <f>VLOOKUP(Tabla3[[#This Row],[Site]],'Important Info!'!$A$1:$H$135,8,FALSE)</f>
        <v>-</v>
      </c>
      <c r="L2552" s="52">
        <f>VLOOKUP(Tabla3[[#This Row],[Site]],'Important Info!'!$A$1:$F$135,2,FALSE)</f>
        <v>9</v>
      </c>
      <c r="M2552" s="52" t="str">
        <f>VLOOKUP(Tabla3[[#This Row],[Site]],'Important Info!'!$A$1:$F$135,3,FALSE)</f>
        <v>2, 3, 4, 5</v>
      </c>
      <c r="N2552" s="52" t="str">
        <f>VLOOKUP(Tabla3[[#This Row],[Site]],'Important Info!'!$A$1:$F$135,4,FALSE)</f>
        <v>-</v>
      </c>
      <c r="O2552" s="52" t="str">
        <f>VLOOKUP(Tabla3[[#This Row],[Site]],'Important Info!'!$A$1:$F$135,5,FALSE)</f>
        <v>-</v>
      </c>
      <c r="P2552" s="52" t="str">
        <f>VLOOKUP(Tabla3[[#This Row],[Site]],'Important Info!'!$A$1:$F$135,6,FALSE)</f>
        <v>4, 6, 7, 8</v>
      </c>
      <c r="Q2552" s="91">
        <f>VLOOKUP(Tabla3[[#This Row],[Site]],'Important Info!'!$A$1:$J$135,9,FALSE)</f>
        <v>185</v>
      </c>
    </row>
    <row r="2553" spans="1:17" x14ac:dyDescent="0.25">
      <c r="A2553" t="str">
        <f>+Tabla3[[#This Row],[Site]]&amp;Tabla3[[#This Row],[Split]]</f>
        <v>(RV) Toms Camperland Mesa (NO TOURS)25</v>
      </c>
      <c r="B2553">
        <v>25</v>
      </c>
      <c r="C2553">
        <v>25</v>
      </c>
      <c r="D2553" t="s">
        <v>51</v>
      </c>
      <c r="E2553" t="s">
        <v>161</v>
      </c>
      <c r="F2553" t="s">
        <v>81</v>
      </c>
      <c r="G2553" t="s">
        <v>52</v>
      </c>
      <c r="H2553" s="52" t="str">
        <f>VLOOKUP(Tabla3[[#This Row],[Site]],'Important Info!'!$A$1:$J$135,10,FALSE)</f>
        <v>https://tools.sig.systems/site/details/222</v>
      </c>
      <c r="J2553" t="s">
        <v>41</v>
      </c>
      <c r="K2553" s="79" t="str">
        <f>VLOOKUP(Tabla3[[#This Row],[Site]],'Important Info!'!$A$1:$H$135,8,FALSE)</f>
        <v>-</v>
      </c>
      <c r="L2553" s="52" t="str">
        <f>VLOOKUP(Tabla3[[#This Row],[Site]],'Important Info!'!$A$1:$F$135,2,FALSE)</f>
        <v>1, 2</v>
      </c>
      <c r="M2553" s="52" t="str">
        <f>VLOOKUP(Tabla3[[#This Row],[Site]],'Important Info!'!$A$1:$F$135,3,FALSE)</f>
        <v>-</v>
      </c>
      <c r="N2553" s="52" t="str">
        <f>VLOOKUP(Tabla3[[#This Row],[Site]],'Important Info!'!$A$1:$F$135,4,FALSE)</f>
        <v>-</v>
      </c>
      <c r="O2553" s="52" t="str">
        <f>VLOOKUP(Tabla3[[#This Row],[Site]],'Important Info!'!$A$1:$F$135,5,FALSE)</f>
        <v>-</v>
      </c>
      <c r="P2553" s="52" t="str">
        <f>VLOOKUP(Tabla3[[#This Row],[Site]],'Important Info!'!$A$1:$F$135,6,FALSE)</f>
        <v>1, 4, 6, 8, 10, 18</v>
      </c>
      <c r="Q2553" s="91">
        <f>VLOOKUP(Tabla3[[#This Row],[Site]],'Important Info!'!$A$1:$J$135,9,FALSE)</f>
        <v>222</v>
      </c>
    </row>
    <row r="2554" spans="1:17" x14ac:dyDescent="0.25">
      <c r="A2554" t="str">
        <f>+Tabla3[[#This Row],[Site]]&amp;Tabla3[[#This Row],[Split]]</f>
        <v>(AS) Park Place Bodywerks Ft. Worth (NO TOURS)26</v>
      </c>
      <c r="B2554">
        <v>26</v>
      </c>
      <c r="C2554">
        <v>1</v>
      </c>
      <c r="D2554" t="s">
        <v>33</v>
      </c>
      <c r="E2554" t="s">
        <v>46</v>
      </c>
      <c r="F2554" t="s">
        <v>515</v>
      </c>
      <c r="G2554" t="s">
        <v>34</v>
      </c>
      <c r="H2554" s="52" t="str">
        <f>VLOOKUP(Tabla3[[#This Row],[Site]],'Important Info!'!$A$1:$J$135,10,FALSE)</f>
        <v>https://tools.sig.systems/site/details/134</v>
      </c>
      <c r="I2554" s="65" t="s">
        <v>128</v>
      </c>
      <c r="J2554" t="s">
        <v>41</v>
      </c>
      <c r="K2554" s="79" t="str">
        <f>VLOOKUP(Tabla3[[#This Row],[Site]],'Important Info!'!$A$1:$H$135,8,FALSE)</f>
        <v>-</v>
      </c>
      <c r="L2554" s="52" t="str">
        <f>VLOOKUP(Tabla3[[#This Row],[Site]],'Important Info!'!$A$1:$F$135,2,FALSE)</f>
        <v>2, 3, RemoteLot5, RemoteLot9</v>
      </c>
      <c r="M2554" s="52" t="str">
        <f>VLOOKUP(Tabla3[[#This Row],[Site]],'Important Info!'!$A$1:$F$135,3,FALSE)</f>
        <v>-</v>
      </c>
      <c r="N2554" s="52" t="str">
        <f>VLOOKUP(Tabla3[[#This Row],[Site]],'Important Info!'!$A$1:$F$135,4,FALSE)</f>
        <v>-</v>
      </c>
      <c r="O2554" s="52" t="str">
        <f>VLOOKUP(Tabla3[[#This Row],[Site]],'Important Info!'!$A$1:$F$135,5,FALSE)</f>
        <v>1, 7, RL1, RL5, RL9</v>
      </c>
      <c r="P2554" s="52" t="str">
        <f>VLOOKUP(Tabla3[[#This Row],[Site]],'Important Info!'!$A$1:$F$135,6,FALSE)</f>
        <v>3, 4, 15</v>
      </c>
      <c r="Q2554" s="91">
        <f>VLOOKUP(Tabla3[[#This Row],[Site]],'Important Info!'!$A$1:$J$135,9,FALSE)</f>
        <v>134</v>
      </c>
    </row>
    <row r="2555" spans="1:17" x14ac:dyDescent="0.25">
      <c r="A2555" t="str">
        <f>+Tabla3[[#This Row],[Site]]&amp;Tabla3[[#This Row],[Split]]</f>
        <v>(DT) Louisville26</v>
      </c>
      <c r="B2555">
        <v>26</v>
      </c>
      <c r="C2555">
        <v>1</v>
      </c>
      <c r="D2555" t="s">
        <v>62</v>
      </c>
      <c r="E2555" t="s">
        <v>35</v>
      </c>
      <c r="F2555" t="s">
        <v>99</v>
      </c>
      <c r="G2555" t="s">
        <v>490</v>
      </c>
      <c r="H2555" s="52" t="str">
        <f>VLOOKUP(Tabla3[[#This Row],[Site]],'Important Info!'!$A$1:$J$135,10,FALSE)</f>
        <v>https://tools.sig.systems/site/details/258</v>
      </c>
      <c r="J2555" t="s">
        <v>41</v>
      </c>
      <c r="K2555" s="79" t="str">
        <f>VLOOKUP(Tabla3[[#This Row],[Site]],'Important Info!'!$A$1:$H$135,8,FALSE)</f>
        <v>-</v>
      </c>
      <c r="L2555" s="52" t="str">
        <f>VLOOKUP(Tabla3[[#This Row],[Site]],'Important Info!'!$A$1:$F$135,2,FALSE)</f>
        <v>-</v>
      </c>
      <c r="M2555" s="52">
        <f>VLOOKUP(Tabla3[[#This Row],[Site]],'Important Info!'!$A$1:$F$135,3,FALSE)</f>
        <v>3</v>
      </c>
      <c r="N2555" s="52" t="str">
        <f>VLOOKUP(Tabla3[[#This Row],[Site]],'Important Info!'!$A$1:$F$135,4,FALSE)</f>
        <v>-</v>
      </c>
      <c r="O2555" s="52" t="str">
        <f>VLOOKUP(Tabla3[[#This Row],[Site]],'Important Info!'!$A$1:$F$135,5,FALSE)</f>
        <v>-</v>
      </c>
      <c r="P2555" s="52" t="str">
        <f>VLOOKUP(Tabla3[[#This Row],[Site]],'Important Info!'!$A$1:$F$135,6,FALSE)</f>
        <v>3, 8</v>
      </c>
      <c r="Q2555" s="91">
        <f>VLOOKUP(Tabla3[[#This Row],[Site]],'Important Info!'!$A$1:$J$135,9,FALSE)</f>
        <v>258</v>
      </c>
    </row>
    <row r="2556" spans="1:17" x14ac:dyDescent="0.25">
      <c r="A2556" t="str">
        <f>+Tabla3[[#This Row],[Site]]&amp;Tabla3[[#This Row],[Split]]</f>
        <v>(ML) Nissan Of Benton26</v>
      </c>
      <c r="B2556">
        <v>26</v>
      </c>
      <c r="C2556">
        <v>1</v>
      </c>
      <c r="D2556" t="s">
        <v>33</v>
      </c>
      <c r="E2556" t="s">
        <v>46</v>
      </c>
      <c r="F2556" t="s">
        <v>120</v>
      </c>
      <c r="G2556" t="s">
        <v>34</v>
      </c>
      <c r="H2556" s="52" t="str">
        <f>VLOOKUP(Tabla3[[#This Row],[Site]],'Important Info!'!$A$1:$J$135,10,FALSE)</f>
        <v>https://tools.sig.systems/site/details/247</v>
      </c>
      <c r="I2556" s="43"/>
      <c r="J2556" t="s">
        <v>41</v>
      </c>
      <c r="K2556" s="79" t="str">
        <f>VLOOKUP(Tabla3[[#This Row],[Site]],'Important Info!'!$A$1:$H$135,8,FALSE)</f>
        <v>-</v>
      </c>
      <c r="L2556" s="52" t="str">
        <f>VLOOKUP(Tabla3[[#This Row],[Site]],'Important Info!'!$A$1:$F$135,2,FALSE)</f>
        <v>5, 12</v>
      </c>
      <c r="M2556" s="52" t="str">
        <f>VLOOKUP(Tabla3[[#This Row],[Site]],'Important Info!'!$A$1:$F$135,3,FALSE)</f>
        <v>-</v>
      </c>
      <c r="N2556" s="52" t="str">
        <f>VLOOKUP(Tabla3[[#This Row],[Site]],'Important Info!'!$A$1:$F$135,4,FALSE)</f>
        <v>-</v>
      </c>
      <c r="O2556" s="52" t="str">
        <f>VLOOKUP(Tabla3[[#This Row],[Site]],'Important Info!'!$A$1:$F$135,5,FALSE)</f>
        <v>4, 18</v>
      </c>
      <c r="P2556" s="52" t="str">
        <f>VLOOKUP(Tabla3[[#This Row],[Site]],'Important Info!'!$A$1:$F$135,6,FALSE)</f>
        <v>-</v>
      </c>
      <c r="Q2556" s="91">
        <f>VLOOKUP(Tabla3[[#This Row],[Site]],'Important Info!'!$A$1:$J$135,9,FALSE)</f>
        <v>247</v>
      </c>
    </row>
    <row r="2557" spans="1:17" x14ac:dyDescent="0.25">
      <c r="A2557" t="str">
        <f>+Tabla3[[#This Row],[Site]]&amp;Tabla3[[#This Row],[Split]]</f>
        <v>(PE) Scofield Service Center (NO TOURS)26</v>
      </c>
      <c r="B2557">
        <v>26</v>
      </c>
      <c r="C2557">
        <v>1</v>
      </c>
      <c r="D2557" t="s">
        <v>485</v>
      </c>
      <c r="E2557" t="s">
        <v>35</v>
      </c>
      <c r="F2557" t="s">
        <v>83</v>
      </c>
      <c r="G2557" t="s">
        <v>490</v>
      </c>
      <c r="H2557" s="52" t="str">
        <f>VLOOKUP(Tabla3[[#This Row],[Site]],'Important Info!'!$A$1:$J$135,10,FALSE)</f>
        <v>https://tools.sig.systems/site/details/193</v>
      </c>
      <c r="I2557" t="s">
        <v>177</v>
      </c>
      <c r="J2557" t="s">
        <v>41</v>
      </c>
      <c r="K2557" s="79" t="str">
        <f>VLOOKUP(Tabla3[[#This Row],[Site]],'Important Info!'!$A$1:$H$135,8,FALSE)</f>
        <v>-</v>
      </c>
      <c r="L2557" s="52">
        <f>VLOOKUP(Tabla3[[#This Row],[Site]],'Important Info!'!$A$1:$F$135,2,FALSE)</f>
        <v>1</v>
      </c>
      <c r="M2557" s="52" t="str">
        <f>VLOOKUP(Tabla3[[#This Row],[Site]],'Important Info!'!$A$1:$F$135,3,FALSE)</f>
        <v>-</v>
      </c>
      <c r="N2557" s="52" t="str">
        <f>VLOOKUP(Tabla3[[#This Row],[Site]],'Important Info!'!$A$1:$F$135,4,FALSE)</f>
        <v>-</v>
      </c>
      <c r="O2557" s="52">
        <f>VLOOKUP(Tabla3[[#This Row],[Site]],'Important Info!'!$A$1:$F$135,5,FALSE)</f>
        <v>9</v>
      </c>
      <c r="P2557" s="52" t="str">
        <f>VLOOKUP(Tabla3[[#This Row],[Site]],'Important Info!'!$A$1:$F$135,6,FALSE)</f>
        <v>1, 17</v>
      </c>
      <c r="Q2557" s="91">
        <f>VLOOKUP(Tabla3[[#This Row],[Site]],'Important Info!'!$A$1:$J$135,9,FALSE)</f>
        <v>193</v>
      </c>
    </row>
    <row r="2558" spans="1:17" x14ac:dyDescent="0.25">
      <c r="A2558" t="str">
        <f>+Tabla3[[#This Row],[Site]]&amp;Tabla3[[#This Row],[Split]]</f>
        <v>(RV) Toms Camperland Avondale (NO TOURS)26</v>
      </c>
      <c r="B2558">
        <v>26</v>
      </c>
      <c r="C2558">
        <v>1</v>
      </c>
      <c r="D2558" t="s">
        <v>51</v>
      </c>
      <c r="E2558" t="s">
        <v>161</v>
      </c>
      <c r="F2558" t="s">
        <v>80</v>
      </c>
      <c r="G2558" t="s">
        <v>52</v>
      </c>
      <c r="H2558" s="52" t="str">
        <f>VLOOKUP(Tabla3[[#This Row],[Site]],'Important Info!'!$A$1:$J$135,10,FALSE)</f>
        <v>https://tools.sig.systems/site/details/248</v>
      </c>
      <c r="I2558" s="2" t="s">
        <v>163</v>
      </c>
      <c r="J2558" t="s">
        <v>164</v>
      </c>
      <c r="K2558" s="79" t="str">
        <f>VLOOKUP(Tabla3[[#This Row],[Site]],'Important Info!'!$A$1:$H$135,8,FALSE)</f>
        <v>-</v>
      </c>
      <c r="L2558" s="52">
        <f>VLOOKUP(Tabla3[[#This Row],[Site]],'Important Info!'!$A$1:$F$135,2,FALSE)</f>
        <v>10</v>
      </c>
      <c r="M2558" s="52" t="str">
        <f>VLOOKUP(Tabla3[[#This Row],[Site]],'Important Info!'!$A$1:$F$135,3,FALSE)</f>
        <v>2, 7</v>
      </c>
      <c r="N2558" s="52" t="str">
        <f>VLOOKUP(Tabla3[[#This Row],[Site]],'Important Info!'!$A$1:$F$135,4,FALSE)</f>
        <v>-</v>
      </c>
      <c r="O2558" s="52" t="str">
        <f>VLOOKUP(Tabla3[[#This Row],[Site]],'Important Info!'!$A$1:$F$135,5,FALSE)</f>
        <v>-</v>
      </c>
      <c r="P2558" s="52" t="str">
        <f>VLOOKUP(Tabla3[[#This Row],[Site]],'Important Info!'!$A$1:$F$135,6,FALSE)</f>
        <v>2, 7, 8, 13, 15</v>
      </c>
      <c r="Q2558" s="91">
        <f>VLOOKUP(Tabla3[[#This Row],[Site]],'Important Info!'!$A$1:$J$135,9,FALSE)</f>
        <v>248</v>
      </c>
    </row>
    <row r="2559" spans="1:17" x14ac:dyDescent="0.25">
      <c r="A2559" t="str">
        <f>+Tabla3[[#This Row],[Site]]&amp;Tabla3[[#This Row],[Split]]</f>
        <v>(HUD) CDJR of Greensboro26</v>
      </c>
      <c r="B2559">
        <v>26</v>
      </c>
      <c r="C2559">
        <v>2</v>
      </c>
      <c r="D2559" t="s">
        <v>62</v>
      </c>
      <c r="E2559" t="s">
        <v>35</v>
      </c>
      <c r="F2559" t="s">
        <v>185</v>
      </c>
      <c r="G2559" t="s">
        <v>491</v>
      </c>
      <c r="H2559" s="52" t="str">
        <f>VLOOKUP(Tabla3[[#This Row],[Site]],'Important Info!'!$A$1:$J$135,10,FALSE)</f>
        <v>https://tools.sig.systems/site/details/215</v>
      </c>
      <c r="I2559" s="2" t="s">
        <v>184</v>
      </c>
      <c r="J2559" t="s">
        <v>36</v>
      </c>
      <c r="K2559" s="79" t="str">
        <f>VLOOKUP(Tabla3[[#This Row],[Site]],'Important Info!'!$A$1:$H$135,8,FALSE)</f>
        <v>-</v>
      </c>
      <c r="L2559" s="52" t="str">
        <f>VLOOKUP(Tabla3[[#This Row],[Site]],'Important Info!'!$A$1:$F$135,2,FALSE)</f>
        <v>2, 12</v>
      </c>
      <c r="M2559" s="52" t="str">
        <f>VLOOKUP(Tabla3[[#This Row],[Site]],'Important Info!'!$A$1:$F$135,3,FALSE)</f>
        <v>-</v>
      </c>
      <c r="N2559" s="52" t="str">
        <f>VLOOKUP(Tabla3[[#This Row],[Site]],'Important Info!'!$A$1:$F$135,4,FALSE)</f>
        <v>-</v>
      </c>
      <c r="O2559" s="52" t="str">
        <f>VLOOKUP(Tabla3[[#This Row],[Site]],'Important Info!'!$A$1:$F$135,5,FALSE)</f>
        <v>3, 13</v>
      </c>
      <c r="P2559" s="52" t="str">
        <f>VLOOKUP(Tabla3[[#This Row],[Site]],'Important Info!'!$A$1:$F$135,6,FALSE)</f>
        <v>1, 17</v>
      </c>
      <c r="Q2559" s="91">
        <f>VLOOKUP(Tabla3[[#This Row],[Site]],'Important Info!'!$A$1:$J$135,9,FALSE)</f>
        <v>215</v>
      </c>
    </row>
    <row r="2560" spans="1:17" x14ac:dyDescent="0.25">
      <c r="A2560" t="str">
        <f>+Tabla3[[#This Row],[Site]]&amp;Tabla3[[#This Row],[Split]]</f>
        <v>(JE) Jim Ellis Ford Sandy Springs26</v>
      </c>
      <c r="B2560">
        <v>26</v>
      </c>
      <c r="C2560">
        <v>2</v>
      </c>
      <c r="D2560" t="s">
        <v>62</v>
      </c>
      <c r="E2560" t="s">
        <v>35</v>
      </c>
      <c r="F2560" t="s">
        <v>187</v>
      </c>
      <c r="G2560" t="s">
        <v>490</v>
      </c>
      <c r="H2560" s="52" t="str">
        <f>VLOOKUP(Tabla3[[#This Row],[Site]],'Important Info!'!$A$1:$J$135,10,FALSE)</f>
        <v>https://tools.sig.systems/site/details/142</v>
      </c>
      <c r="I2560" s="43"/>
      <c r="J2560" t="s">
        <v>41</v>
      </c>
      <c r="K2560" s="79" t="str">
        <f>VLOOKUP(Tabla3[[#This Row],[Site]],'Important Info!'!$A$1:$H$135,8,FALSE)</f>
        <v>-</v>
      </c>
      <c r="L2560" s="52" t="str">
        <f>VLOOKUP(Tabla3[[#This Row],[Site]],'Important Info!'!$A$1:$F$135,2,FALSE)</f>
        <v>1, 5</v>
      </c>
      <c r="M2560" s="52" t="str">
        <f>VLOOKUP(Tabla3[[#This Row],[Site]],'Important Info!'!$A$1:$F$135,3,FALSE)</f>
        <v>-</v>
      </c>
      <c r="N2560" s="52" t="str">
        <f>VLOOKUP(Tabla3[[#This Row],[Site]],'Important Info!'!$A$1:$F$135,4,FALSE)</f>
        <v>-</v>
      </c>
      <c r="O2560" s="52" t="str">
        <f>VLOOKUP(Tabla3[[#This Row],[Site]],'Important Info!'!$A$1:$F$135,5,FALSE)</f>
        <v>1, 5, 9, 26</v>
      </c>
      <c r="P2560" s="52" t="str">
        <f>VLOOKUP(Tabla3[[#This Row],[Site]],'Important Info!'!$A$1:$F$135,6,FALSE)</f>
        <v>3, 4, 8, 28</v>
      </c>
      <c r="Q2560" s="91">
        <f>VLOOKUP(Tabla3[[#This Row],[Site]],'Important Info!'!$A$1:$J$135,9,FALSE)</f>
        <v>142</v>
      </c>
    </row>
    <row r="2561" spans="1:17" x14ac:dyDescent="0.25">
      <c r="A2561" t="str">
        <f>+Tabla3[[#This Row],[Site]]&amp;Tabla3[[#This Row],[Split]]</f>
        <v>(KG) Texan CDJR26</v>
      </c>
      <c r="B2561">
        <v>26</v>
      </c>
      <c r="C2561">
        <v>2</v>
      </c>
      <c r="D2561" t="s">
        <v>33</v>
      </c>
      <c r="E2561" t="s">
        <v>46</v>
      </c>
      <c r="F2561" s="41" t="s">
        <v>70</v>
      </c>
      <c r="G2561" t="s">
        <v>34</v>
      </c>
      <c r="H2561" s="52" t="str">
        <f>VLOOKUP(Tabla3[[#This Row],[Site]],'Important Info!'!$A$1:$J$135,10,FALSE)</f>
        <v>https://tools.sig.systems/site/details/238</v>
      </c>
      <c r="I2561" s="43" t="s">
        <v>137</v>
      </c>
      <c r="J2561" t="s">
        <v>41</v>
      </c>
      <c r="K2561" s="79" t="str">
        <f>VLOOKUP(Tabla3[[#This Row],[Site]],'Important Info!'!$A$1:$H$135,8,FALSE)</f>
        <v>-</v>
      </c>
      <c r="L2561" s="52" t="str">
        <f>VLOOKUP(Tabla3[[#This Row],[Site]],'Important Info!'!$A$1:$F$135,2,FALSE)</f>
        <v>11, 12, 13, 14, 20, 32, 34, 36, 77</v>
      </c>
      <c r="M2561" s="52" t="str">
        <f>VLOOKUP(Tabla3[[#This Row],[Site]],'Important Info!'!$A$1:$F$135,3,FALSE)</f>
        <v>-</v>
      </c>
      <c r="N2561" s="52" t="str">
        <f>VLOOKUP(Tabla3[[#This Row],[Site]],'Important Info!'!$A$1:$F$135,4,FALSE)</f>
        <v>67, 68, 69, 70</v>
      </c>
      <c r="O2561" s="52" t="str">
        <f>VLOOKUP(Tabla3[[#This Row],[Site]],'Important Info!'!$A$1:$F$135,5,FALSE)</f>
        <v>2, 10, 14, 25, 29, 35, 38</v>
      </c>
      <c r="P2561" s="52" t="str">
        <f>VLOOKUP(Tabla3[[#This Row],[Site]],'Important Info!'!$A$1:$F$135,6,FALSE)</f>
        <v>36, 46</v>
      </c>
      <c r="Q2561" s="91">
        <f>VLOOKUP(Tabla3[[#This Row],[Site]],'Important Info!'!$A$1:$J$135,9,FALSE)</f>
        <v>238</v>
      </c>
    </row>
    <row r="2562" spans="1:17" x14ac:dyDescent="0.25">
      <c r="A2562" t="str">
        <f>+Tabla3[[#This Row],[Site]]&amp;Tabla3[[#This Row],[Split]]</f>
        <v>(ML) Columbia Honda (NO TOURS)26</v>
      </c>
      <c r="B2562">
        <v>26</v>
      </c>
      <c r="C2562">
        <v>2</v>
      </c>
      <c r="D2562" t="s">
        <v>33</v>
      </c>
      <c r="E2562" t="s">
        <v>46</v>
      </c>
      <c r="F2562" t="s">
        <v>143</v>
      </c>
      <c r="G2562" t="s">
        <v>34</v>
      </c>
      <c r="H2562" s="52" t="str">
        <f>VLOOKUP(Tabla3[[#This Row],[Site]],'Important Info!'!$A$1:$J$135,10,FALSE)</f>
        <v>https://tools.sig.systems/site/details/272</v>
      </c>
      <c r="I2562" s="43" t="s">
        <v>144</v>
      </c>
      <c r="J2562" t="s">
        <v>41</v>
      </c>
      <c r="K2562" s="79" t="str">
        <f>VLOOKUP(Tabla3[[#This Row],[Site]],'Important Info!'!$A$1:$H$135,8,FALSE)</f>
        <v>-</v>
      </c>
      <c r="L2562" s="52" t="str">
        <f>VLOOKUP(Tabla3[[#This Row],[Site]],'Important Info!'!$A$1:$F$135,2,FALSE)</f>
        <v>-</v>
      </c>
      <c r="M2562" s="52" t="str">
        <f>VLOOKUP(Tabla3[[#This Row],[Site]],'Important Info!'!$A$1:$F$135,3,FALSE)</f>
        <v>9, 19, 20</v>
      </c>
      <c r="N2562" s="52" t="str">
        <f>VLOOKUP(Tabla3[[#This Row],[Site]],'Important Info!'!$A$1:$F$135,4,FALSE)</f>
        <v>-</v>
      </c>
      <c r="O2562" s="52" t="str">
        <f>VLOOKUP(Tabla3[[#This Row],[Site]],'Important Info!'!$A$1:$F$135,5,FALSE)</f>
        <v>10, 17, 19</v>
      </c>
      <c r="P2562" s="52" t="str">
        <f>VLOOKUP(Tabla3[[#This Row],[Site]],'Important Info!'!$A$1:$F$135,6,FALSE)</f>
        <v>3, 4, 5</v>
      </c>
      <c r="Q2562" s="91">
        <f>VLOOKUP(Tabla3[[#This Row],[Site]],'Important Info!'!$A$1:$J$135,9,FALSE)</f>
        <v>272</v>
      </c>
    </row>
    <row r="2563" spans="1:17" x14ac:dyDescent="0.25">
      <c r="A2563" t="str">
        <f>+Tabla3[[#This Row],[Site]]&amp;Tabla3[[#This Row],[Split]]</f>
        <v>(AS) Park Place Mercedes Benz Arlington (NO TOURS)26</v>
      </c>
      <c r="B2563">
        <v>26</v>
      </c>
      <c r="C2563">
        <v>3</v>
      </c>
      <c r="D2563" t="s">
        <v>33</v>
      </c>
      <c r="E2563" t="s">
        <v>46</v>
      </c>
      <c r="F2563" t="s">
        <v>518</v>
      </c>
      <c r="G2563" t="s">
        <v>34</v>
      </c>
      <c r="H2563" s="52" t="str">
        <f>VLOOKUP(Tabla3[[#This Row],[Site]],'Important Info!'!$A$1:$J$135,10,FALSE)</f>
        <v>https://tools.sig.systems/site/details/169</v>
      </c>
      <c r="J2563" t="s">
        <v>41</v>
      </c>
      <c r="K2563" s="79" t="str">
        <f>VLOOKUP(Tabla3[[#This Row],[Site]],'Important Info!'!$A$1:$H$135,8,FALSE)</f>
        <v>-</v>
      </c>
      <c r="L2563" s="52" t="str">
        <f>VLOOKUP(Tabla3[[#This Row],[Site]],'Important Info!'!$A$1:$F$135,2,FALSE)</f>
        <v>1, 9, 14</v>
      </c>
      <c r="M2563" s="52" t="str">
        <f>VLOOKUP(Tabla3[[#This Row],[Site]],'Important Info!'!$A$1:$F$135,3,FALSE)</f>
        <v>-</v>
      </c>
      <c r="N2563" s="52" t="str">
        <f>VLOOKUP(Tabla3[[#This Row],[Site]],'Important Info!'!$A$1:$F$135,4,FALSE)</f>
        <v>77, 78, 79, 80</v>
      </c>
      <c r="O2563" s="52" t="str">
        <f>VLOOKUP(Tabla3[[#This Row],[Site]],'Important Info!'!$A$1:$F$135,5,FALSE)</f>
        <v>2, 10, 18, 22, 31, 40</v>
      </c>
      <c r="P2563" s="52">
        <f>VLOOKUP(Tabla3[[#This Row],[Site]],'Important Info!'!$A$1:$F$135,6,FALSE)</f>
        <v>9</v>
      </c>
      <c r="Q2563" s="91">
        <f>VLOOKUP(Tabla3[[#This Row],[Site]],'Important Info!'!$A$1:$J$135,9,FALSE)</f>
        <v>169</v>
      </c>
    </row>
    <row r="2564" spans="1:17" x14ac:dyDescent="0.25">
      <c r="A2564" t="str">
        <f>+Tabla3[[#This Row],[Site]]&amp;Tabla3[[#This Row],[Split]]</f>
        <v>(KG) Texan GMC Buick (NO TOURS)26</v>
      </c>
      <c r="B2564">
        <v>26</v>
      </c>
      <c r="C2564">
        <v>3</v>
      </c>
      <c r="D2564" t="s">
        <v>33</v>
      </c>
      <c r="E2564" t="s">
        <v>46</v>
      </c>
      <c r="F2564" t="s">
        <v>111</v>
      </c>
      <c r="G2564" t="s">
        <v>34</v>
      </c>
      <c r="H2564" s="52" t="str">
        <f>VLOOKUP(Tabla3[[#This Row],[Site]],'Important Info!'!$A$1:$J$135,10,FALSE)</f>
        <v>https://tools.sig.systems/site/details/225</v>
      </c>
      <c r="I2564" s="43" t="s">
        <v>137</v>
      </c>
      <c r="J2564" t="s">
        <v>41</v>
      </c>
      <c r="K2564" s="79" t="str">
        <f>VLOOKUP(Tabla3[[#This Row],[Site]],'Important Info!'!$A$1:$H$135,8,FALSE)</f>
        <v>-</v>
      </c>
      <c r="L2564" s="52" t="str">
        <f>VLOOKUP(Tabla3[[#This Row],[Site]],'Important Info!'!$A$1:$F$135,2,FALSE)</f>
        <v>1, 20, 53</v>
      </c>
      <c r="M2564" s="52" t="str">
        <f>VLOOKUP(Tabla3[[#This Row],[Site]],'Important Info!'!$A$1:$F$135,3,FALSE)</f>
        <v>-</v>
      </c>
      <c r="N2564" s="52" t="str">
        <f>VLOOKUP(Tabla3[[#This Row],[Site]],'Important Info!'!$A$1:$F$135,4,FALSE)</f>
        <v>-</v>
      </c>
      <c r="O2564" s="52" t="str">
        <f>VLOOKUP(Tabla3[[#This Row],[Site]],'Important Info!'!$A$1:$F$135,5,FALSE)</f>
        <v>2, 8, 14</v>
      </c>
      <c r="P2564" s="52" t="str">
        <f>VLOOKUP(Tabla3[[#This Row],[Site]],'Important Info!'!$A$1:$F$135,6,FALSE)</f>
        <v>51, 52, 16</v>
      </c>
      <c r="Q2564" s="91">
        <f>VLOOKUP(Tabla3[[#This Row],[Site]],'Important Info!'!$A$1:$J$135,9,FALSE)</f>
        <v>225</v>
      </c>
    </row>
    <row r="2565" spans="1:17" x14ac:dyDescent="0.25">
      <c r="A2565" t="str">
        <f>+Tabla3[[#This Row],[Site]]&amp;Tabla3[[#This Row],[Split]]</f>
        <v>(LM) Luther Mazda / Mitsubishi26</v>
      </c>
      <c r="B2565">
        <v>26</v>
      </c>
      <c r="C2565">
        <v>3</v>
      </c>
      <c r="D2565" t="s">
        <v>33</v>
      </c>
      <c r="E2565" t="s">
        <v>46</v>
      </c>
      <c r="F2565" t="s">
        <v>103</v>
      </c>
      <c r="G2565" t="s">
        <v>34</v>
      </c>
      <c r="H2565" s="52" t="str">
        <f>VLOOKUP(Tabla3[[#This Row],[Site]],'Important Info!'!$A$1:$J$135,10,FALSE)</f>
        <v>https://tools.sig.systems/site/details/147</v>
      </c>
      <c r="I2565" s="2" t="s">
        <v>138</v>
      </c>
      <c r="J2565" t="s">
        <v>41</v>
      </c>
      <c r="K2565" s="79" t="str">
        <f>VLOOKUP(Tabla3[[#This Row],[Site]],'Important Info!'!$A$1:$H$135,8,FALSE)</f>
        <v>-</v>
      </c>
      <c r="L2565" s="52" t="str">
        <f>VLOOKUP(Tabla3[[#This Row],[Site]],'Important Info!'!$A$1:$F$135,2,FALSE)</f>
        <v>4, 5, 6</v>
      </c>
      <c r="M2565" s="52" t="str">
        <f>VLOOKUP(Tabla3[[#This Row],[Site]],'Important Info!'!$A$1:$F$135,3,FALSE)</f>
        <v>-</v>
      </c>
      <c r="N2565" s="52" t="str">
        <f>VLOOKUP(Tabla3[[#This Row],[Site]],'Important Info!'!$A$1:$F$135,4,FALSE)</f>
        <v>1, 2</v>
      </c>
      <c r="O2565" s="52" t="str">
        <f>VLOOKUP(Tabla3[[#This Row],[Site]],'Important Info!'!$A$1:$F$135,5,FALSE)</f>
        <v>-</v>
      </c>
      <c r="P2565" s="52" t="str">
        <f>VLOOKUP(Tabla3[[#This Row],[Site]],'Important Info!'!$A$1:$F$135,6,FALSE)</f>
        <v>13, 14, 15, 16</v>
      </c>
      <c r="Q2565" s="91">
        <f>VLOOKUP(Tabla3[[#This Row],[Site]],'Important Info!'!$A$1:$J$135,9,FALSE)</f>
        <v>147</v>
      </c>
    </row>
    <row r="2566" spans="1:17" x14ac:dyDescent="0.25">
      <c r="A2566" t="str">
        <f>+Tabla3[[#This Row],[Site]]&amp;Tabla3[[#This Row],[Split]]</f>
        <v>(ML) Joe Machens CDJR26</v>
      </c>
      <c r="B2566">
        <v>26</v>
      </c>
      <c r="C2566">
        <v>3</v>
      </c>
      <c r="D2566" t="s">
        <v>33</v>
      </c>
      <c r="E2566" t="s">
        <v>46</v>
      </c>
      <c r="F2566" t="s">
        <v>88</v>
      </c>
      <c r="G2566" t="s">
        <v>34</v>
      </c>
      <c r="H2566" s="52" t="str">
        <f>VLOOKUP(Tabla3[[#This Row],[Site]],'Important Info!'!$A$1:$J$135,10,FALSE)</f>
        <v>https://tools.sig.systems/site/details/273</v>
      </c>
      <c r="I2566" s="2" t="s">
        <v>146</v>
      </c>
      <c r="J2566" t="s">
        <v>41</v>
      </c>
      <c r="K2566" s="79" t="str">
        <f>VLOOKUP(Tabla3[[#This Row],[Site]],'Important Info!'!$A$1:$H$135,8,FALSE)</f>
        <v>-</v>
      </c>
      <c r="L2566" s="52" t="str">
        <f>VLOOKUP(Tabla3[[#This Row],[Site]],'Important Info!'!$A$1:$F$135,2,FALSE)</f>
        <v>-</v>
      </c>
      <c r="M2566" s="52">
        <f>VLOOKUP(Tabla3[[#This Row],[Site]],'Important Info!'!$A$1:$F$135,3,FALSE)</f>
        <v>3</v>
      </c>
      <c r="N2566" s="52" t="str">
        <f>VLOOKUP(Tabla3[[#This Row],[Site]],'Important Info!'!$A$1:$F$135,4,FALSE)</f>
        <v>-</v>
      </c>
      <c r="O2566" s="52" t="str">
        <f>VLOOKUP(Tabla3[[#This Row],[Site]],'Important Info!'!$A$1:$F$135,5,FALSE)</f>
        <v>-</v>
      </c>
      <c r="P2566" s="52" t="str">
        <f>VLOOKUP(Tabla3[[#This Row],[Site]],'Important Info!'!$A$1:$F$135,6,FALSE)</f>
        <v>1, 2, 3,</v>
      </c>
      <c r="Q2566" s="91">
        <f>VLOOKUP(Tabla3[[#This Row],[Site]],'Important Info!'!$A$1:$J$135,9,FALSE)</f>
        <v>273</v>
      </c>
    </row>
    <row r="2567" spans="1:17" x14ac:dyDescent="0.25">
      <c r="A2567" t="str">
        <f>+Tabla3[[#This Row],[Site]]&amp;Tabla3[[#This Row],[Split]]</f>
        <v>(PE) BMW of Greenwich (NO TOURS)26</v>
      </c>
      <c r="B2567">
        <v>26</v>
      </c>
      <c r="C2567">
        <v>3</v>
      </c>
      <c r="D2567" t="s">
        <v>485</v>
      </c>
      <c r="E2567" t="s">
        <v>35</v>
      </c>
      <c r="F2567" t="s">
        <v>170</v>
      </c>
      <c r="G2567" t="s">
        <v>490</v>
      </c>
      <c r="H2567" s="52" t="str">
        <f>VLOOKUP(Tabla3[[#This Row],[Site]],'Important Info!'!$A$1:$J$135,10,FALSE)</f>
        <v>https://tools.sig.systems/site/details/186</v>
      </c>
      <c r="I2567" s="43" t="s">
        <v>171</v>
      </c>
      <c r="J2567" t="s">
        <v>41</v>
      </c>
      <c r="K2567" s="79" t="str">
        <f>VLOOKUP(Tabla3[[#This Row],[Site]],'Important Info!'!$A$1:$H$135,8,FALSE)</f>
        <v>-</v>
      </c>
      <c r="L2567" s="52" t="str">
        <f>VLOOKUP(Tabla3[[#This Row],[Site]],'Important Info!'!$A$1:$F$135,2,FALSE)</f>
        <v>1, 6, 15</v>
      </c>
      <c r="M2567" s="52" t="str">
        <f>VLOOKUP(Tabla3[[#This Row],[Site]],'Important Info!'!$A$1:$F$135,3,FALSE)</f>
        <v>-</v>
      </c>
      <c r="N2567" s="52" t="str">
        <f>VLOOKUP(Tabla3[[#This Row],[Site]],'Important Info!'!$A$1:$F$135,4,FALSE)</f>
        <v>-</v>
      </c>
      <c r="O2567" s="52" t="str">
        <f>VLOOKUP(Tabla3[[#This Row],[Site]],'Important Info!'!$A$1:$F$135,5,FALSE)</f>
        <v>-</v>
      </c>
      <c r="P2567" s="52">
        <f>VLOOKUP(Tabla3[[#This Row],[Site]],'Important Info!'!$A$1:$F$135,6,FALSE)</f>
        <v>12</v>
      </c>
      <c r="Q2567" s="91">
        <f>VLOOKUP(Tabla3[[#This Row],[Site]],'Important Info!'!$A$1:$J$135,9,FALSE)</f>
        <v>186</v>
      </c>
    </row>
    <row r="2568" spans="1:17" x14ac:dyDescent="0.25">
      <c r="A2568" t="str">
        <f>+Tabla3[[#This Row],[Site]]&amp;Tabla3[[#This Row],[Split]]</f>
        <v>(AS) Park Place Volvo Sales (NO TOURS)26</v>
      </c>
      <c r="B2568">
        <v>26</v>
      </c>
      <c r="C2568">
        <v>4</v>
      </c>
      <c r="D2568" t="s">
        <v>33</v>
      </c>
      <c r="E2568" t="s">
        <v>46</v>
      </c>
      <c r="F2568" t="s">
        <v>521</v>
      </c>
      <c r="G2568" t="s">
        <v>34</v>
      </c>
      <c r="H2568" s="52" t="str">
        <f>VLOOKUP(Tabla3[[#This Row],[Site]],'Important Info!'!$A$1:$J$135,10,FALSE)</f>
        <v>https://tools.sig.systems/site/details/139</v>
      </c>
      <c r="I2568" s="65" t="s">
        <v>125</v>
      </c>
      <c r="J2568" t="s">
        <v>41</v>
      </c>
      <c r="K2568" s="79" t="str">
        <f>VLOOKUP(Tabla3[[#This Row],[Site]],'Important Info!'!$A$1:$H$135,8,FALSE)</f>
        <v>-</v>
      </c>
      <c r="L2568" s="52" t="str">
        <f>VLOOKUP(Tabla3[[#This Row],[Site]],'Important Info!'!$A$1:$F$135,2,FALSE)</f>
        <v>4, 6, 9, 11</v>
      </c>
      <c r="M2568" s="52" t="str">
        <f>VLOOKUP(Tabla3[[#This Row],[Site]],'Important Info!'!$A$1:$F$135,3,FALSE)</f>
        <v>-</v>
      </c>
      <c r="N2568" s="52" t="str">
        <f>VLOOKUP(Tabla3[[#This Row],[Site]],'Important Info!'!$A$1:$F$135,4,FALSE)</f>
        <v>-</v>
      </c>
      <c r="O2568" s="52" t="str">
        <f>VLOOKUP(Tabla3[[#This Row],[Site]],'Important Info!'!$A$1:$F$135,5,FALSE)</f>
        <v>2, 9</v>
      </c>
      <c r="P2568" s="52" t="str">
        <f>VLOOKUP(Tabla3[[#This Row],[Site]],'Important Info!'!$A$1:$F$135,6,FALSE)</f>
        <v>4, 10, 11</v>
      </c>
      <c r="Q2568" s="91">
        <f>VLOOKUP(Tabla3[[#This Row],[Site]],'Important Info!'!$A$1:$J$135,9,FALSE)</f>
        <v>139</v>
      </c>
    </row>
    <row r="2569" spans="1:17" x14ac:dyDescent="0.25">
      <c r="A2569" t="str">
        <f>+Tabla3[[#This Row],[Site]]&amp;Tabla3[[#This Row],[Split]]</f>
        <v>(AS) Park Place Volvo Service Center (NO TOURS)26</v>
      </c>
      <c r="B2569">
        <v>26</v>
      </c>
      <c r="C2569">
        <v>4</v>
      </c>
      <c r="D2569" t="s">
        <v>33</v>
      </c>
      <c r="E2569" t="s">
        <v>46</v>
      </c>
      <c r="F2569" t="s">
        <v>522</v>
      </c>
      <c r="G2569" t="s">
        <v>34</v>
      </c>
      <c r="H2569" s="52" t="str">
        <f>VLOOKUP(Tabla3[[#This Row],[Site]],'Important Info!'!$A$1:$J$135,10,FALSE)</f>
        <v>https://tools.sig.systems/site/details/171</v>
      </c>
      <c r="I2569" s="65" t="s">
        <v>125</v>
      </c>
      <c r="J2569" t="s">
        <v>41</v>
      </c>
      <c r="K2569" s="79" t="str">
        <f>VLOOKUP(Tabla3[[#This Row],[Site]],'Important Info!'!$A$1:$H$135,8,FALSE)</f>
        <v>-</v>
      </c>
      <c r="L2569" s="52" t="str">
        <f>VLOOKUP(Tabla3[[#This Row],[Site]],'Important Info!'!$A$1:$F$135,2,FALSE)</f>
        <v>3, 6, 9, 27, 31, 35</v>
      </c>
      <c r="M2569" s="52" t="str">
        <f>VLOOKUP(Tabla3[[#This Row],[Site]],'Important Info!'!$A$1:$F$135,3,FALSE)</f>
        <v>-</v>
      </c>
      <c r="N2569" s="52" t="str">
        <f>VLOOKUP(Tabla3[[#This Row],[Site]],'Important Info!'!$A$1:$F$135,4,FALSE)</f>
        <v>-</v>
      </c>
      <c r="O2569" s="52" t="str">
        <f>VLOOKUP(Tabla3[[#This Row],[Site]],'Important Info!'!$A$1:$F$135,5,FALSE)</f>
        <v>27, 32</v>
      </c>
      <c r="P2569" s="52" t="str">
        <f>VLOOKUP(Tabla3[[#This Row],[Site]],'Important Info!'!$A$1:$F$135,6,FALSE)</f>
        <v>-</v>
      </c>
      <c r="Q2569" s="91">
        <f>VLOOKUP(Tabla3[[#This Row],[Site]],'Important Info!'!$A$1:$J$135,9,FALSE)</f>
        <v>171</v>
      </c>
    </row>
    <row r="2570" spans="1:17" x14ac:dyDescent="0.25">
      <c r="A2570" t="str">
        <f>+Tabla3[[#This Row],[Site]]&amp;Tabla3[[#This Row],[Split]]</f>
        <v>(DT) Denver (NO TOURS)26</v>
      </c>
      <c r="B2570">
        <v>26</v>
      </c>
      <c r="C2570">
        <v>4</v>
      </c>
      <c r="D2570" t="s">
        <v>44</v>
      </c>
      <c r="E2570" t="s">
        <v>53</v>
      </c>
      <c r="F2570" t="s">
        <v>157</v>
      </c>
      <c r="G2570" t="s">
        <v>45</v>
      </c>
      <c r="H2570" s="52" t="str">
        <f>VLOOKUP(Tabla3[[#This Row],[Site]],'Important Info!'!$A$1:$J$135,10,FALSE)</f>
        <v>https://tools.sig.systems/site/details/203</v>
      </c>
      <c r="I2570" s="43" t="s">
        <v>158</v>
      </c>
      <c r="J2570" t="s">
        <v>41</v>
      </c>
      <c r="K2570" s="79" t="str">
        <f>VLOOKUP(Tabla3[[#This Row],[Site]],'Important Info!'!$A$1:$H$135,8,FALSE)</f>
        <v>-</v>
      </c>
      <c r="L2570" s="52" t="str">
        <f>VLOOKUP(Tabla3[[#This Row],[Site]],'Important Info!'!$A$1:$F$135,2,FALSE)</f>
        <v>-</v>
      </c>
      <c r="M2570" s="52" t="str">
        <f>VLOOKUP(Tabla3[[#This Row],[Site]],'Important Info!'!$A$1:$F$135,3,FALSE)</f>
        <v>7, 8</v>
      </c>
      <c r="N2570" s="52" t="str">
        <f>VLOOKUP(Tabla3[[#This Row],[Site]],'Important Info!'!$A$1:$F$135,4,FALSE)</f>
        <v>-</v>
      </c>
      <c r="O2570" s="52" t="str">
        <f>VLOOKUP(Tabla3[[#This Row],[Site]],'Important Info!'!$A$1:$F$135,5,FALSE)</f>
        <v>-</v>
      </c>
      <c r="P2570" s="52" t="str">
        <f>VLOOKUP(Tabla3[[#This Row],[Site]],'Important Info!'!$A$1:$F$135,6,FALSE)</f>
        <v>7, 8</v>
      </c>
      <c r="Q2570" s="91">
        <f>VLOOKUP(Tabla3[[#This Row],[Site]],'Important Info!'!$A$1:$J$135,9,FALSE)</f>
        <v>203</v>
      </c>
    </row>
    <row r="2571" spans="1:17" x14ac:dyDescent="0.25">
      <c r="A2571" t="str">
        <f>+Tabla3[[#This Row],[Site]]&amp;Tabla3[[#This Row],[Split]]</f>
        <v>(ML) Joe Machens VW26</v>
      </c>
      <c r="B2571">
        <v>26</v>
      </c>
      <c r="C2571">
        <v>4</v>
      </c>
      <c r="D2571" t="s">
        <v>33</v>
      </c>
      <c r="E2571" t="s">
        <v>46</v>
      </c>
      <c r="F2571" t="s">
        <v>74</v>
      </c>
      <c r="G2571" t="s">
        <v>34</v>
      </c>
      <c r="H2571" s="52" t="str">
        <f>VLOOKUP(Tabla3[[#This Row],[Site]],'Important Info!'!$A$1:$J$135,10,FALSE)</f>
        <v>https://tools.sig.systems/site/details/274</v>
      </c>
      <c r="I2571" s="2" t="s">
        <v>146</v>
      </c>
      <c r="J2571" t="s">
        <v>41</v>
      </c>
      <c r="K2571" s="79" t="str">
        <f>VLOOKUP(Tabla3[[#This Row],[Site]],'Important Info!'!$A$1:$H$135,8,FALSE)</f>
        <v>-</v>
      </c>
      <c r="L2571" s="52" t="str">
        <f>VLOOKUP(Tabla3[[#This Row],[Site]],'Important Info!'!$A$1:$F$135,2,FALSE)</f>
        <v>-</v>
      </c>
      <c r="M2571" s="52" t="str">
        <f>VLOOKUP(Tabla3[[#This Row],[Site]],'Important Info!'!$A$1:$F$135,3,FALSE)</f>
        <v>1, 11, 18</v>
      </c>
      <c r="N2571" s="52" t="str">
        <f>VLOOKUP(Tabla3[[#This Row],[Site]],'Important Info!'!$A$1:$F$135,4,FALSE)</f>
        <v>-</v>
      </c>
      <c r="O2571" s="52">
        <f>VLOOKUP(Tabla3[[#This Row],[Site]],'Important Info!'!$A$1:$F$135,5,FALSE)</f>
        <v>17</v>
      </c>
      <c r="P2571" s="52" t="str">
        <f>VLOOKUP(Tabla3[[#This Row],[Site]],'Important Info!'!$A$1:$F$135,6,FALSE)</f>
        <v>-</v>
      </c>
      <c r="Q2571" s="91">
        <f>VLOOKUP(Tabla3[[#This Row],[Site]],'Important Info!'!$A$1:$J$135,9,FALSE)</f>
        <v>274</v>
      </c>
    </row>
    <row r="2572" spans="1:17" x14ac:dyDescent="0.25">
      <c r="A2572" t="str">
        <f>+Tabla3[[#This Row],[Site]]&amp;Tabla3[[#This Row],[Split]]</f>
        <v>(SCH) Chevrolet North Palm26</v>
      </c>
      <c r="B2572">
        <v>26</v>
      </c>
      <c r="C2572">
        <v>4</v>
      </c>
      <c r="D2572" t="s">
        <v>62</v>
      </c>
      <c r="E2572" t="s">
        <v>35</v>
      </c>
      <c r="F2572" t="s">
        <v>101</v>
      </c>
      <c r="G2572" t="s">
        <v>490</v>
      </c>
      <c r="H2572" s="52" t="str">
        <f>VLOOKUP(Tabla3[[#This Row],[Site]],'Important Info!'!$A$1:$J$135,10,FALSE)</f>
        <v>https://tools.sig.systems/site/details/160</v>
      </c>
      <c r="I2572" s="43"/>
      <c r="J2572" t="s">
        <v>36</v>
      </c>
      <c r="K2572" s="79" t="str">
        <f>VLOOKUP(Tabla3[[#This Row],[Site]],'Important Info!'!$A$1:$H$135,8,FALSE)</f>
        <v>-</v>
      </c>
      <c r="L2572" s="52" t="str">
        <f>VLOOKUP(Tabla3[[#This Row],[Site]],'Important Info!'!$A$1:$F$135,2,FALSE)</f>
        <v xml:space="preserve">7, 10B, 11, 15 </v>
      </c>
      <c r="M2572" s="52" t="str">
        <f>VLOOKUP(Tabla3[[#This Row],[Site]],'Important Info!'!$A$1:$F$135,3,FALSE)</f>
        <v>-</v>
      </c>
      <c r="N2572" s="52" t="str">
        <f>VLOOKUP(Tabla3[[#This Row],[Site]],'Important Info!'!$A$1:$F$135,4,FALSE)</f>
        <v>-</v>
      </c>
      <c r="O2572" s="52" t="str">
        <f>VLOOKUP(Tabla3[[#This Row],[Site]],'Important Info!'!$A$1:$F$135,5,FALSE)</f>
        <v>-</v>
      </c>
      <c r="P2572" s="52" t="str">
        <f>VLOOKUP(Tabla3[[#This Row],[Site]],'Important Info!'!$A$1:$F$135,6,FALSE)</f>
        <v>1, 15, 16, 17, 18, 19, 20</v>
      </c>
      <c r="Q2572" s="91">
        <f>VLOOKUP(Tabla3[[#This Row],[Site]],'Important Info!'!$A$1:$J$135,9,FALSE)</f>
        <v>160</v>
      </c>
    </row>
    <row r="2573" spans="1:17" x14ac:dyDescent="0.25">
      <c r="A2573" t="str">
        <f>+Tabla3[[#This Row],[Site]]&amp;Tabla3[[#This Row],[Split]]</f>
        <v>(AS) Mercedes Benz/Porsche Dallas I,II,III (NO TOURS)26</v>
      </c>
      <c r="B2573">
        <v>26</v>
      </c>
      <c r="C2573">
        <v>5</v>
      </c>
      <c r="D2573" t="s">
        <v>33</v>
      </c>
      <c r="E2573" t="s">
        <v>46</v>
      </c>
      <c r="F2573" t="s">
        <v>509</v>
      </c>
      <c r="G2573" t="s">
        <v>34</v>
      </c>
      <c r="H2573" s="52" t="str">
        <f>VLOOKUP(Tabla3[[#This Row],[Site]],'Important Info!'!$A$1:$J$135,10,FALSE)</f>
        <v>https://tools.sig.systems/site/details/168</v>
      </c>
      <c r="I2573" s="65" t="s">
        <v>125</v>
      </c>
      <c r="J2573" t="s">
        <v>41</v>
      </c>
      <c r="K2573" s="79" t="str">
        <f>VLOOKUP(Tabla3[[#This Row],[Site]],'Important Info!'!$A$1:$H$135,8,FALSE)</f>
        <v>-</v>
      </c>
      <c r="L2573" s="52" t="str">
        <f>VLOOKUP(Tabla3[[#This Row],[Site]],'Important Info!'!$A$1:$F$135,2,FALSE)</f>
        <v>3, 4, 17, 26, 41</v>
      </c>
      <c r="M2573" s="52" t="str">
        <f>VLOOKUP(Tabla3[[#This Row],[Site]],'Important Info!'!$A$1:$F$135,3,FALSE)</f>
        <v>-</v>
      </c>
      <c r="N2573" s="52" t="str">
        <f>VLOOKUP(Tabla3[[#This Row],[Site]],'Important Info!'!$A$1:$F$135,4,FALSE)</f>
        <v>153, 154, 155, 156, 157, 158</v>
      </c>
      <c r="O2573" s="52" t="str">
        <f>VLOOKUP(Tabla3[[#This Row],[Site]],'Important Info!'!$A$1:$F$135,5,FALSE)</f>
        <v>2, 6, 10, 20, 28, 30, 36</v>
      </c>
      <c r="P2573" s="52" t="str">
        <f>VLOOKUP(Tabla3[[#This Row],[Site]],'Important Info!'!$A$1:$F$135,6,FALSE)</f>
        <v>31, 41, 159</v>
      </c>
      <c r="Q2573" s="91">
        <f>VLOOKUP(Tabla3[[#This Row],[Site]],'Important Info!'!$A$1:$J$135,9,FALSE)</f>
        <v>168</v>
      </c>
    </row>
    <row r="2574" spans="1:17" x14ac:dyDescent="0.25">
      <c r="A2574" t="str">
        <f>+Tabla3[[#This Row],[Site]]&amp;Tabla3[[#This Row],[Split]]</f>
        <v>(ML) Joe Machens Toyota26</v>
      </c>
      <c r="B2574">
        <v>26</v>
      </c>
      <c r="C2574">
        <v>5</v>
      </c>
      <c r="D2574" t="s">
        <v>33</v>
      </c>
      <c r="E2574" t="s">
        <v>46</v>
      </c>
      <c r="F2574" t="s">
        <v>73</v>
      </c>
      <c r="G2574" t="s">
        <v>34</v>
      </c>
      <c r="H2574" s="52" t="str">
        <f>VLOOKUP(Tabla3[[#This Row],[Site]],'Important Info!'!$A$1:$J$135,10,FALSE)</f>
        <v>https://tools.sig.systems/site/details/275</v>
      </c>
      <c r="I2574" s="43" t="s">
        <v>146</v>
      </c>
      <c r="J2574" t="s">
        <v>41</v>
      </c>
      <c r="K2574" s="79" t="str">
        <f>VLOOKUP(Tabla3[[#This Row],[Site]],'Important Info!'!$A$1:$H$135,8,FALSE)</f>
        <v>-</v>
      </c>
      <c r="L2574" s="52" t="str">
        <f>VLOOKUP(Tabla3[[#This Row],[Site]],'Important Info!'!$A$1:$F$135,2,FALSE)</f>
        <v>-</v>
      </c>
      <c r="M2574" s="52" t="str">
        <f>VLOOKUP(Tabla3[[#This Row],[Site]],'Important Info!'!$A$1:$F$135,3,FALSE)</f>
        <v>1, 4, 6</v>
      </c>
      <c r="N2574" s="52" t="str">
        <f>VLOOKUP(Tabla3[[#This Row],[Site]],'Important Info!'!$A$1:$F$135,4,FALSE)</f>
        <v>-</v>
      </c>
      <c r="O2574" s="52" t="str">
        <f>VLOOKUP(Tabla3[[#This Row],[Site]],'Important Info!'!$A$1:$F$135,5,FALSE)</f>
        <v>4, 10</v>
      </c>
      <c r="P2574" s="52" t="str">
        <f>VLOOKUP(Tabla3[[#This Row],[Site]],'Important Info!'!$A$1:$F$135,6,FALSE)</f>
        <v>-</v>
      </c>
      <c r="Q2574" s="91">
        <f>VLOOKUP(Tabla3[[#This Row],[Site]],'Important Info!'!$A$1:$J$135,9,FALSE)</f>
        <v>275</v>
      </c>
    </row>
    <row r="2575" spans="1:17" x14ac:dyDescent="0.25">
      <c r="A2575" t="str">
        <f>+Tabla3[[#This Row],[Site]]&amp;Tabla3[[#This Row],[Split]]</f>
        <v>(PE) JLR PDI (NO TOURS)26</v>
      </c>
      <c r="B2575">
        <v>26</v>
      </c>
      <c r="C2575">
        <v>5</v>
      </c>
      <c r="D2575" t="s">
        <v>485</v>
      </c>
      <c r="E2575" t="s">
        <v>35</v>
      </c>
      <c r="F2575" t="s">
        <v>114</v>
      </c>
      <c r="G2575" t="s">
        <v>490</v>
      </c>
      <c r="H2575" s="52" t="str">
        <f>VLOOKUP(Tabla3[[#This Row],[Site]],'Important Info!'!$A$1:$J$135,10,FALSE)</f>
        <v>https://tools.sig.systems/site/details/179</v>
      </c>
      <c r="I2575" t="s">
        <v>176</v>
      </c>
      <c r="J2575" t="s">
        <v>41</v>
      </c>
      <c r="K2575" s="79" t="str">
        <f>VLOOKUP(Tabla3[[#This Row],[Site]],'Important Info!'!$A$1:$H$135,8,FALSE)</f>
        <v>-</v>
      </c>
      <c r="L2575" s="52" t="str">
        <f>VLOOKUP(Tabla3[[#This Row],[Site]],'Important Info!'!$A$1:$F$135,2,FALSE)</f>
        <v>3, 8</v>
      </c>
      <c r="M2575" s="52" t="str">
        <f>VLOOKUP(Tabla3[[#This Row],[Site]],'Important Info!'!$A$1:$F$135,3,FALSE)</f>
        <v>-</v>
      </c>
      <c r="N2575" s="52" t="str">
        <f>VLOOKUP(Tabla3[[#This Row],[Site]],'Important Info!'!$A$1:$F$135,4,FALSE)</f>
        <v>-</v>
      </c>
      <c r="O2575" s="52" t="str">
        <f>VLOOKUP(Tabla3[[#This Row],[Site]],'Important Info!'!$A$1:$F$135,5,FALSE)</f>
        <v>-</v>
      </c>
      <c r="P2575" s="52" t="str">
        <f>VLOOKUP(Tabla3[[#This Row],[Site]],'Important Info!'!$A$1:$F$135,6,FALSE)</f>
        <v>-</v>
      </c>
      <c r="Q2575" s="91">
        <f>VLOOKUP(Tabla3[[#This Row],[Site]],'Important Info!'!$A$1:$J$135,9,FALSE)</f>
        <v>179</v>
      </c>
    </row>
    <row r="2576" spans="1:17" x14ac:dyDescent="0.25">
      <c r="A2576" t="str">
        <f>+Tabla3[[#This Row],[Site]]&amp;Tabla3[[#This Row],[Split]]</f>
        <v>(AS) Park Place Sprinter Van Center (NO TOURS)26</v>
      </c>
      <c r="B2576">
        <v>26</v>
      </c>
      <c r="C2576">
        <v>6</v>
      </c>
      <c r="D2576" t="s">
        <v>33</v>
      </c>
      <c r="E2576" t="s">
        <v>46</v>
      </c>
      <c r="F2576" t="s">
        <v>520</v>
      </c>
      <c r="G2576" t="s">
        <v>34</v>
      </c>
      <c r="H2576" s="52" t="str">
        <f>VLOOKUP(Tabla3[[#This Row],[Site]],'Important Info!'!$A$1:$J$135,10,FALSE)</f>
        <v>https://tools.sig.systems/site/details/138</v>
      </c>
      <c r="I2576" s="65" t="s">
        <v>125</v>
      </c>
      <c r="J2576" t="s">
        <v>41</v>
      </c>
      <c r="K2576" s="79" t="str">
        <f>VLOOKUP(Tabla3[[#This Row],[Site]],'Important Info!'!$A$1:$H$135,8,FALSE)</f>
        <v>-</v>
      </c>
      <c r="L2576" s="52">
        <f>VLOOKUP(Tabla3[[#This Row],[Site]],'Important Info!'!$A$1:$F$135,2,FALSE)</f>
        <v>1</v>
      </c>
      <c r="M2576" s="52" t="str">
        <f>VLOOKUP(Tabla3[[#This Row],[Site]],'Important Info!'!$A$1:$F$135,3,FALSE)</f>
        <v>-</v>
      </c>
      <c r="N2576" s="52" t="str">
        <f>VLOOKUP(Tabla3[[#This Row],[Site]],'Important Info!'!$A$1:$F$135,4,FALSE)</f>
        <v>-</v>
      </c>
      <c r="O2576" s="52" t="str">
        <f>VLOOKUP(Tabla3[[#This Row],[Site]],'Important Info!'!$A$1:$F$135,5,FALSE)</f>
        <v>-</v>
      </c>
      <c r="P2576" s="52" t="str">
        <f>VLOOKUP(Tabla3[[#This Row],[Site]],'Important Info!'!$A$1:$F$135,6,FALSE)</f>
        <v>1, 3</v>
      </c>
      <c r="Q2576" s="91">
        <f>VLOOKUP(Tabla3[[#This Row],[Site]],'Important Info!'!$A$1:$J$135,9,FALSE)</f>
        <v>138</v>
      </c>
    </row>
    <row r="2577" spans="1:17" x14ac:dyDescent="0.25">
      <c r="A2577" t="str">
        <f>+Tabla3[[#This Row],[Site]]&amp;Tabla3[[#This Row],[Split]]</f>
        <v>(HUD) Honda of Southpoint26</v>
      </c>
      <c r="B2577">
        <v>26</v>
      </c>
      <c r="C2577">
        <v>6</v>
      </c>
      <c r="D2577" t="s">
        <v>62</v>
      </c>
      <c r="E2577" t="s">
        <v>35</v>
      </c>
      <c r="F2577" t="s">
        <v>65</v>
      </c>
      <c r="G2577" t="s">
        <v>490</v>
      </c>
      <c r="H2577" s="52" t="str">
        <f>VLOOKUP(Tabla3[[#This Row],[Site]],'Important Info!'!$A$1:$J$135,10,FALSE)</f>
        <v>https://tools.sig.systems/site/details/195</v>
      </c>
      <c r="I2577" s="43"/>
      <c r="J2577" t="s">
        <v>484</v>
      </c>
      <c r="K2577" s="79" t="str">
        <f>VLOOKUP(Tabla3[[#This Row],[Site]],'Important Info!'!$A$1:$H$135,8,FALSE)</f>
        <v>-</v>
      </c>
      <c r="L2577" s="52" t="str">
        <f>VLOOKUP(Tabla3[[#This Row],[Site]],'Important Info!'!$A$1:$F$135,2,FALSE)</f>
        <v>2, 12, 18</v>
      </c>
      <c r="M2577" s="52">
        <f>VLOOKUP(Tabla3[[#This Row],[Site]],'Important Info!'!$A$1:$F$135,3,FALSE)</f>
        <v>13</v>
      </c>
      <c r="N2577" s="52" t="str">
        <f>VLOOKUP(Tabla3[[#This Row],[Site]],'Important Info!'!$A$1:$F$135,4,FALSE)</f>
        <v>-</v>
      </c>
      <c r="O2577" s="52" t="str">
        <f>VLOOKUP(Tabla3[[#This Row],[Site]],'Important Info!'!$A$1:$F$135,5,FALSE)</f>
        <v>2, 15</v>
      </c>
      <c r="P2577" s="52" t="str">
        <f>VLOOKUP(Tabla3[[#This Row],[Site]],'Important Info!'!$A$1:$F$135,6,FALSE)</f>
        <v>-</v>
      </c>
      <c r="Q2577" s="91">
        <f>VLOOKUP(Tabla3[[#This Row],[Site]],'Important Info!'!$A$1:$J$135,9,FALSE)</f>
        <v>195</v>
      </c>
    </row>
    <row r="2578" spans="1:17" x14ac:dyDescent="0.25">
      <c r="A2578" t="str">
        <f>+Tabla3[[#This Row],[Site]]&amp;Tabla3[[#This Row],[Split]]</f>
        <v>(KG) Big Star CDJR of Clear Lake26</v>
      </c>
      <c r="B2578">
        <v>26</v>
      </c>
      <c r="C2578">
        <v>6</v>
      </c>
      <c r="D2578" t="s">
        <v>33</v>
      </c>
      <c r="E2578" t="s">
        <v>46</v>
      </c>
      <c r="F2578" t="s">
        <v>133</v>
      </c>
      <c r="G2578" t="s">
        <v>34</v>
      </c>
      <c r="H2578" s="52" t="str">
        <f>VLOOKUP(Tabla3[[#This Row],[Site]],'Important Info!'!$A$1:$J$135,10,FALSE)</f>
        <v>https://tools.sig.systems/site/details/232</v>
      </c>
      <c r="I2578" s="43" t="s">
        <v>134</v>
      </c>
      <c r="J2578" t="s">
        <v>41</v>
      </c>
      <c r="K2578" s="79" t="str">
        <f>VLOOKUP(Tabla3[[#This Row],[Site]],'Important Info!'!$A$1:$H$135,8,FALSE)</f>
        <v>-</v>
      </c>
      <c r="L2578" s="52" t="str">
        <f>VLOOKUP(Tabla3[[#This Row],[Site]],'Important Info!'!$A$1:$F$135,2,FALSE)</f>
        <v>8, 25</v>
      </c>
      <c r="M2578" s="52" t="str">
        <f>VLOOKUP(Tabla3[[#This Row],[Site]],'Important Info!'!$A$1:$F$135,3,FALSE)</f>
        <v>-</v>
      </c>
      <c r="N2578" s="52" t="str">
        <f>VLOOKUP(Tabla3[[#This Row],[Site]],'Important Info!'!$A$1:$F$135,4,FALSE)</f>
        <v>-</v>
      </c>
      <c r="O2578" s="52" t="str">
        <f>VLOOKUP(Tabla3[[#This Row],[Site]],'Important Info!'!$A$1:$F$135,5,FALSE)</f>
        <v>7, 13, 19, 24</v>
      </c>
      <c r="P2578" s="52" t="str">
        <f>VLOOKUP(Tabla3[[#This Row],[Site]],'Important Info!'!$A$1:$F$135,6,FALSE)</f>
        <v>6, 8, 25, 31</v>
      </c>
      <c r="Q2578" s="91">
        <f>VLOOKUP(Tabla3[[#This Row],[Site]],'Important Info!'!$A$1:$J$135,9,FALSE)</f>
        <v>232</v>
      </c>
    </row>
    <row r="2579" spans="1:17" x14ac:dyDescent="0.25">
      <c r="A2579" t="str">
        <f>+Tabla3[[#This Row],[Site]]&amp;Tabla3[[#This Row],[Split]]</f>
        <v>(ML) Joe Machens E Collision Center26</v>
      </c>
      <c r="B2579">
        <v>26</v>
      </c>
      <c r="C2579">
        <v>6</v>
      </c>
      <c r="D2579" t="s">
        <v>33</v>
      </c>
      <c r="E2579" t="s">
        <v>46</v>
      </c>
      <c r="F2579" t="s">
        <v>147</v>
      </c>
      <c r="G2579" t="s">
        <v>34</v>
      </c>
      <c r="H2579" s="52" t="str">
        <f>VLOOKUP(Tabla3[[#This Row],[Site]],'Important Info!'!$A$1:$J$135,10,FALSE)</f>
        <v>https://tools.sig.systems/site/details/277</v>
      </c>
      <c r="I2579" s="2" t="s">
        <v>146</v>
      </c>
      <c r="J2579" t="s">
        <v>41</v>
      </c>
      <c r="K2579" s="79" t="str">
        <f>VLOOKUP(Tabla3[[#This Row],[Site]],'Important Info!'!$A$1:$H$135,8,FALSE)</f>
        <v>-</v>
      </c>
      <c r="L2579" s="52">
        <f>VLOOKUP(Tabla3[[#This Row],[Site]],'Important Info!'!$A$1:$F$135,2,FALSE)</f>
        <v>1</v>
      </c>
      <c r="M2579" s="52" t="str">
        <f>VLOOKUP(Tabla3[[#This Row],[Site]],'Important Info!'!$A$1:$F$135,3,FALSE)</f>
        <v>-</v>
      </c>
      <c r="N2579" s="52" t="str">
        <f>VLOOKUP(Tabla3[[#This Row],[Site]],'Important Info!'!$A$1:$F$135,4,FALSE)</f>
        <v>-</v>
      </c>
      <c r="O2579" s="52">
        <f>VLOOKUP(Tabla3[[#This Row],[Site]],'Important Info!'!$A$1:$F$135,5,FALSE)</f>
        <v>5</v>
      </c>
      <c r="P2579" s="52" t="str">
        <f>VLOOKUP(Tabla3[[#This Row],[Site]],'Important Info!'!$A$1:$F$135,6,FALSE)</f>
        <v>1, 2, 3, 4</v>
      </c>
      <c r="Q2579" s="91">
        <f>VLOOKUP(Tabla3[[#This Row],[Site]],'Important Info!'!$A$1:$J$135,9,FALSE)</f>
        <v>277</v>
      </c>
    </row>
    <row r="2580" spans="1:17" x14ac:dyDescent="0.25">
      <c r="A2580" t="str">
        <f>+Tabla3[[#This Row],[Site]]&amp;Tabla3[[#This Row],[Split]]</f>
        <v>(RML) Burleson Nissan26</v>
      </c>
      <c r="B2580">
        <v>26</v>
      </c>
      <c r="C2580">
        <v>6</v>
      </c>
      <c r="D2580" t="s">
        <v>33</v>
      </c>
      <c r="E2580" t="s">
        <v>46</v>
      </c>
      <c r="F2580" t="s">
        <v>107</v>
      </c>
      <c r="G2580" t="s">
        <v>34</v>
      </c>
      <c r="H2580" s="52" t="str">
        <f>VLOOKUP(Tabla3[[#This Row],[Site]],'Important Info!'!$A$1:$J$135,10,FALSE)</f>
        <v>https://tools.sig.systems/site/details/202</v>
      </c>
      <c r="J2580" t="s">
        <v>41</v>
      </c>
      <c r="K2580" s="79" t="str">
        <f>VLOOKUP(Tabla3[[#This Row],[Site]],'Important Info!'!$A$1:$H$135,8,FALSE)</f>
        <v>-</v>
      </c>
      <c r="L2580" s="52" t="str">
        <f>VLOOKUP(Tabla3[[#This Row],[Site]],'Important Info!'!$A$1:$F$135,2,FALSE)</f>
        <v>3, 21</v>
      </c>
      <c r="M2580" s="52" t="str">
        <f>VLOOKUP(Tabla3[[#This Row],[Site]],'Important Info!'!$A$1:$F$135,3,FALSE)</f>
        <v>-</v>
      </c>
      <c r="N2580" s="52" t="str">
        <f>VLOOKUP(Tabla3[[#This Row],[Site]],'Important Info!'!$A$1:$F$135,4,FALSE)</f>
        <v>-</v>
      </c>
      <c r="O2580" s="52" t="str">
        <f>VLOOKUP(Tabla3[[#This Row],[Site]],'Important Info!'!$A$1:$F$135,5,FALSE)</f>
        <v>2, 6, 15</v>
      </c>
      <c r="P2580" s="52" t="str">
        <f>VLOOKUP(Tabla3[[#This Row],[Site]],'Important Info!'!$A$1:$F$135,6,FALSE)</f>
        <v>-</v>
      </c>
      <c r="Q2580" s="91">
        <f>VLOOKUP(Tabla3[[#This Row],[Site]],'Important Info!'!$A$1:$J$135,9,FALSE)</f>
        <v>202</v>
      </c>
    </row>
    <row r="2581" spans="1:17" x14ac:dyDescent="0.25">
      <c r="A2581" t="str">
        <f>+Tabla3[[#This Row],[Site]]&amp;Tabla3[[#This Row],[Split]]</f>
        <v>(SCH) Prep Center Delray26</v>
      </c>
      <c r="B2581">
        <v>26</v>
      </c>
      <c r="C2581">
        <v>6</v>
      </c>
      <c r="D2581" t="s">
        <v>62</v>
      </c>
      <c r="E2581" t="s">
        <v>35</v>
      </c>
      <c r="F2581" t="s">
        <v>191</v>
      </c>
      <c r="G2581" t="s">
        <v>490</v>
      </c>
      <c r="H2581" s="52" t="str">
        <f>VLOOKUP(Tabla3[[#This Row],[Site]],'Important Info!'!$A$1:$J$135,10,FALSE)</f>
        <v>https://tools.sig.systems/site/details/321</v>
      </c>
      <c r="I2581" s="2"/>
      <c r="J2581" t="s">
        <v>41</v>
      </c>
      <c r="K2581" s="79" t="str">
        <f>VLOOKUP(Tabla3[[#This Row],[Site]],'Important Info!'!$A$1:$H$135,8,FALSE)</f>
        <v>-</v>
      </c>
      <c r="L2581" s="52" t="str">
        <f>VLOOKUP(Tabla3[[#This Row],[Site]],'Important Info!'!$A$1:$F$135,2,FALSE)</f>
        <v>2,3</v>
      </c>
      <c r="M2581" s="52" t="str">
        <f>VLOOKUP(Tabla3[[#This Row],[Site]],'Important Info!'!$A$1:$F$135,3,FALSE)</f>
        <v>-</v>
      </c>
      <c r="N2581" s="52" t="str">
        <f>VLOOKUP(Tabla3[[#This Row],[Site]],'Important Info!'!$A$1:$F$135,4,FALSE)</f>
        <v>-</v>
      </c>
      <c r="O2581" s="52" t="str">
        <f>VLOOKUP(Tabla3[[#This Row],[Site]],'Important Info!'!$A$1:$F$135,5,FALSE)</f>
        <v>-</v>
      </c>
      <c r="P2581" s="52" t="str">
        <f>VLOOKUP(Tabla3[[#This Row],[Site]],'Important Info!'!$A$1:$F$135,6,FALSE)</f>
        <v>2,4,10</v>
      </c>
      <c r="Q2581" s="91">
        <f>VLOOKUP(Tabla3[[#This Row],[Site]],'Important Info!'!$A$1:$J$135,9,FALSE)</f>
        <v>321</v>
      </c>
    </row>
    <row r="2582" spans="1:17" x14ac:dyDescent="0.25">
      <c r="A2582" t="str">
        <f>+Tabla3[[#This Row],[Site]]&amp;Tabla3[[#This Row],[Split]]</f>
        <v>(AS) Atwell Prep Center-Dallas (NO TOURS)26</v>
      </c>
      <c r="B2582">
        <v>26</v>
      </c>
      <c r="C2582">
        <v>7</v>
      </c>
      <c r="D2582" t="s">
        <v>33</v>
      </c>
      <c r="E2582" t="s">
        <v>46</v>
      </c>
      <c r="F2582" t="s">
        <v>498</v>
      </c>
      <c r="G2582" t="s">
        <v>34</v>
      </c>
      <c r="H2582" s="52" t="str">
        <f>VLOOKUP(Tabla3[[#This Row],[Site]],'Important Info!'!$A$1:$J$135,10,FALSE)</f>
        <v>https://tools.sig.systems/site/details/165</v>
      </c>
      <c r="I2582" s="65" t="s">
        <v>125</v>
      </c>
      <c r="J2582" t="s">
        <v>41</v>
      </c>
      <c r="K2582" s="79" t="str">
        <f>VLOOKUP(Tabla3[[#This Row],[Site]],'Important Info!'!$A$1:$H$135,8,FALSE)</f>
        <v>-</v>
      </c>
      <c r="L2582" s="52" t="str">
        <f>VLOOKUP(Tabla3[[#This Row],[Site]],'Important Info!'!$A$1:$F$135,2,FALSE)</f>
        <v>4, 6, 7</v>
      </c>
      <c r="M2582" s="52" t="str">
        <f>VLOOKUP(Tabla3[[#This Row],[Site]],'Important Info!'!$A$1:$F$135,3,FALSE)</f>
        <v>-</v>
      </c>
      <c r="N2582" s="52" t="str">
        <f>VLOOKUP(Tabla3[[#This Row],[Site]],'Important Info!'!$A$1:$F$135,4,FALSE)</f>
        <v>-</v>
      </c>
      <c r="O2582" s="52" t="str">
        <f>VLOOKUP(Tabla3[[#This Row],[Site]],'Important Info!'!$A$1:$F$135,5,FALSE)</f>
        <v>-</v>
      </c>
      <c r="P2582" s="52" t="str">
        <f>VLOOKUP(Tabla3[[#This Row],[Site]],'Important Info!'!$A$1:$F$135,6,FALSE)</f>
        <v>1, 2</v>
      </c>
      <c r="Q2582" s="91">
        <f>VLOOKUP(Tabla3[[#This Row],[Site]],'Important Info!'!$A$1:$J$135,9,FALSE)</f>
        <v>165</v>
      </c>
    </row>
    <row r="2583" spans="1:17" x14ac:dyDescent="0.25">
      <c r="A2583" t="str">
        <f>+Tabla3[[#This Row],[Site]]&amp;Tabla3[[#This Row],[Split]]</f>
        <v>(AS) Park Place Mercedes Benz Ft. Worth (NO TOURS)26</v>
      </c>
      <c r="B2583">
        <v>26</v>
      </c>
      <c r="C2583">
        <v>7</v>
      </c>
      <c r="D2583" t="s">
        <v>33</v>
      </c>
      <c r="E2583" t="s">
        <v>46</v>
      </c>
      <c r="F2583" t="s">
        <v>519</v>
      </c>
      <c r="G2583" t="s">
        <v>34</v>
      </c>
      <c r="H2583" s="52" t="str">
        <f>VLOOKUP(Tabla3[[#This Row],[Site]],'Important Info!'!$A$1:$J$135,10,FALSE)</f>
        <v>https://tools.sig.systems/site/details/137</v>
      </c>
      <c r="I2583" t="s">
        <v>128</v>
      </c>
      <c r="J2583" t="s">
        <v>41</v>
      </c>
      <c r="K2583" s="79" t="s">
        <v>37</v>
      </c>
      <c r="L2583" s="52" t="str">
        <f>VLOOKUP(Tabla3[[#This Row],[Site]],'Important Info!'!$A$1:$F$135,2,FALSE)</f>
        <v>4, 18</v>
      </c>
      <c r="M2583" s="52" t="str">
        <f>VLOOKUP(Tabla3[[#This Row],[Site]],'Important Info!'!$A$1:$F$135,3,FALSE)</f>
        <v>-</v>
      </c>
      <c r="N2583" s="52" t="str">
        <f>VLOOKUP(Tabla3[[#This Row],[Site]],'Important Info!'!$A$1:$F$135,4,FALSE)</f>
        <v>54, 55</v>
      </c>
      <c r="O2583" s="52" t="str">
        <f>VLOOKUP(Tabla3[[#This Row],[Site]],'Important Info!'!$A$1:$F$135,5,FALSE)</f>
        <v>2, 18</v>
      </c>
      <c r="P2583" s="52" t="str">
        <f>VLOOKUP(Tabla3[[#This Row],[Site]],'Important Info!'!$A$1:$F$135,6,FALSE)</f>
        <v>5, 18</v>
      </c>
      <c r="Q2583" s="91">
        <f>VLOOKUP(Tabla3[[#This Row],[Site]],'Important Info!'!$A$1:$J$135,9,FALSE)</f>
        <v>137</v>
      </c>
    </row>
    <row r="2584" spans="1:17" x14ac:dyDescent="0.25">
      <c r="A2584" t="str">
        <f>+Tabla3[[#This Row],[Site]]&amp;Tabla3[[#This Row],[Split]]</f>
        <v>(ML) Ford Lincoln of North Little Rock26</v>
      </c>
      <c r="B2584">
        <v>26</v>
      </c>
      <c r="C2584">
        <v>7</v>
      </c>
      <c r="D2584" t="s">
        <v>33</v>
      </c>
      <c r="E2584" t="s">
        <v>46</v>
      </c>
      <c r="F2584" t="s">
        <v>145</v>
      </c>
      <c r="G2584" t="s">
        <v>34</v>
      </c>
      <c r="H2584" s="52" t="str">
        <f>VLOOKUP(Tabla3[[#This Row],[Site]],'Important Info!'!$A$1:$J$135,10,FALSE)</f>
        <v>https://tools.sig.systems/site/details/214</v>
      </c>
      <c r="I2584" s="43" t="s">
        <v>142</v>
      </c>
      <c r="J2584" t="s">
        <v>41</v>
      </c>
      <c r="K2584" s="79" t="str">
        <f>VLOOKUP(Tabla3[[#This Row],[Site]],'Important Info!'!$A$1:$H$135,8,FALSE)</f>
        <v>-</v>
      </c>
      <c r="L2584" s="52" t="str">
        <f>VLOOKUP(Tabla3[[#This Row],[Site]],'Important Info!'!$A$1:$F$135,2,FALSE)</f>
        <v>4, 15, 18, 67, 74</v>
      </c>
      <c r="M2584" s="52">
        <f>VLOOKUP(Tabla3[[#This Row],[Site]],'Important Info!'!$A$1:$F$135,3,FALSE)</f>
        <v>13</v>
      </c>
      <c r="N2584" s="52" t="str">
        <f>VLOOKUP(Tabla3[[#This Row],[Site]],'Important Info!'!$A$1:$F$135,4,FALSE)</f>
        <v>-</v>
      </c>
      <c r="O2584" s="52" t="str">
        <f>VLOOKUP(Tabla3[[#This Row],[Site]],'Important Info!'!$A$1:$F$135,5,FALSE)</f>
        <v>4, 11, 16, 28</v>
      </c>
      <c r="P2584" s="52" t="str">
        <f>VLOOKUP(Tabla3[[#This Row],[Site]],'Important Info!'!$A$1:$F$135,6,FALSE)</f>
        <v>10, 11, 12</v>
      </c>
      <c r="Q2584" s="91">
        <f>VLOOKUP(Tabla3[[#This Row],[Site]],'Important Info!'!$A$1:$J$135,9,FALSE)</f>
        <v>214</v>
      </c>
    </row>
    <row r="2585" spans="1:17" x14ac:dyDescent="0.25">
      <c r="A2585" t="str">
        <f>+Tabla3[[#This Row],[Site]]&amp;Tabla3[[#This Row],[Split]]</f>
        <v>(ML) Joe Machens Temporary 2.026</v>
      </c>
      <c r="B2585">
        <v>26</v>
      </c>
      <c r="C2585">
        <v>7</v>
      </c>
      <c r="D2585" t="s">
        <v>33</v>
      </c>
      <c r="E2585" t="s">
        <v>46</v>
      </c>
      <c r="F2585" t="s">
        <v>105</v>
      </c>
      <c r="G2585" t="s">
        <v>34</v>
      </c>
      <c r="H2585" s="52" t="str">
        <f>VLOOKUP(Tabla3[[#This Row],[Site]],'Important Info!'!$A$1:$J$135,10,FALSE)</f>
        <v>https://tools.sig.systems/site/details/278</v>
      </c>
      <c r="I2585" s="43" t="s">
        <v>146</v>
      </c>
      <c r="J2585" t="s">
        <v>41</v>
      </c>
      <c r="K2585" s="79" t="str">
        <f>VLOOKUP(Tabla3[[#This Row],[Site]],'Important Info!'!$A$1:$H$135,8,FALSE)</f>
        <v>-</v>
      </c>
      <c r="L2585" s="52" t="str">
        <f>VLOOKUP(Tabla3[[#This Row],[Site]],'Important Info!'!$A$1:$F$135,2,FALSE)</f>
        <v>-</v>
      </c>
      <c r="M2585" s="52" t="str">
        <f>VLOOKUP(Tabla3[[#This Row],[Site]],'Important Info!'!$A$1:$F$135,3,FALSE)</f>
        <v>1, 11, 14, 15, 16</v>
      </c>
      <c r="N2585" s="52" t="str">
        <f>VLOOKUP(Tabla3[[#This Row],[Site]],'Important Info!'!$A$1:$F$135,4,FALSE)</f>
        <v>-</v>
      </c>
      <c r="O2585" s="52">
        <f>VLOOKUP(Tabla3[[#This Row],[Site]],'Important Info!'!$A$1:$F$135,5,FALSE)</f>
        <v>13</v>
      </c>
      <c r="P2585" s="52" t="str">
        <f>VLOOKUP(Tabla3[[#This Row],[Site]],'Important Info!'!$A$1:$F$135,6,FALSE)</f>
        <v>-</v>
      </c>
      <c r="Q2585" s="91">
        <f>VLOOKUP(Tabla3[[#This Row],[Site]],'Important Info!'!$A$1:$J$135,9,FALSE)</f>
        <v>278</v>
      </c>
    </row>
    <row r="2586" spans="1:17" x14ac:dyDescent="0.25">
      <c r="A2586" t="str">
        <f>+Tabla3[[#This Row],[Site]]&amp;Tabla3[[#This Row],[Split]]</f>
        <v>(SCH) Auto Body Shop Lake Park26</v>
      </c>
      <c r="B2586">
        <v>26</v>
      </c>
      <c r="C2586">
        <v>7</v>
      </c>
      <c r="D2586" t="s">
        <v>62</v>
      </c>
      <c r="E2586" t="s">
        <v>35</v>
      </c>
      <c r="F2586" t="s">
        <v>189</v>
      </c>
      <c r="G2586" t="s">
        <v>490</v>
      </c>
      <c r="H2586" s="52" t="str">
        <f>VLOOKUP(Tabla3[[#This Row],[Site]],'Important Info!'!$A$1:$J$135,10,FALSE)</f>
        <v>https://tools.sig.systems/site/details/158</v>
      </c>
      <c r="I2586" s="2"/>
      <c r="J2586" t="s">
        <v>41</v>
      </c>
      <c r="K2586" s="79" t="str">
        <f>VLOOKUP(Tabla3[[#This Row],[Site]],'Important Info!'!$A$1:$H$135,8,FALSE)</f>
        <v>-</v>
      </c>
      <c r="L2586" s="52" t="str">
        <f>VLOOKUP(Tabla3[[#This Row],[Site]],'Important Info!'!$A$1:$F$135,2,FALSE)</f>
        <v>3, 10</v>
      </c>
      <c r="M2586" s="52" t="str">
        <f>VLOOKUP(Tabla3[[#This Row],[Site]],'Important Info!'!$A$1:$F$135,3,FALSE)</f>
        <v>-</v>
      </c>
      <c r="N2586" s="52" t="str">
        <f>VLOOKUP(Tabla3[[#This Row],[Site]],'Important Info!'!$A$1:$F$135,4,FALSE)</f>
        <v>-</v>
      </c>
      <c r="O2586" s="52" t="str">
        <f>VLOOKUP(Tabla3[[#This Row],[Site]],'Important Info!'!$A$1:$F$135,5,FALSE)</f>
        <v>-</v>
      </c>
      <c r="P2586" s="52" t="str">
        <f>VLOOKUP(Tabla3[[#This Row],[Site]],'Important Info!'!$A$1:$F$135,6,FALSE)</f>
        <v>-</v>
      </c>
      <c r="Q2586" s="91">
        <f>VLOOKUP(Tabla3[[#This Row],[Site]],'Important Info!'!$A$1:$J$135,9,FALSE)</f>
        <v>158</v>
      </c>
    </row>
    <row r="2587" spans="1:17" x14ac:dyDescent="0.25">
      <c r="A2587" t="str">
        <f>+Tabla3[[#This Row],[Site]]&amp;Tabla3[[#This Row],[Split]]</f>
        <v>(AS) Courtesy Honda Palm Harbor (NO TOURS)26</v>
      </c>
      <c r="B2587">
        <v>26</v>
      </c>
      <c r="C2587">
        <v>8</v>
      </c>
      <c r="D2587" t="s">
        <v>62</v>
      </c>
      <c r="E2587" t="s">
        <v>35</v>
      </c>
      <c r="F2587" t="s">
        <v>108</v>
      </c>
      <c r="G2587" t="s">
        <v>490</v>
      </c>
      <c r="H2587" s="52" t="str">
        <f>VLOOKUP(Tabla3[[#This Row],[Site]],'Important Info!'!$A$1:$J$135,10,FALSE)</f>
        <v>https://tools.sig.systems/site/details/176</v>
      </c>
      <c r="I2587" s="2"/>
      <c r="J2587" t="s">
        <v>36</v>
      </c>
      <c r="K2587" s="79" t="str">
        <f>VLOOKUP(Tabla3[[#This Row],[Site]],'Important Info!'!$A$1:$H$135,8,FALSE)</f>
        <v>-</v>
      </c>
      <c r="L2587" s="52">
        <f>VLOOKUP(Tabla3[[#This Row],[Site]],'Important Info!'!$A$1:$F$135,2,FALSE)</f>
        <v>2</v>
      </c>
      <c r="M2587" s="52" t="str">
        <f>VLOOKUP(Tabla3[[#This Row],[Site]],'Important Info!'!$A$1:$F$135,3,FALSE)</f>
        <v>-</v>
      </c>
      <c r="N2587" s="52" t="str">
        <f>VLOOKUP(Tabla3[[#This Row],[Site]],'Important Info!'!$A$1:$F$135,4,FALSE)</f>
        <v>-</v>
      </c>
      <c r="O2587" s="52" t="str">
        <f>VLOOKUP(Tabla3[[#This Row],[Site]],'Important Info!'!$A$1:$F$135,5,FALSE)</f>
        <v>4, 8, 21</v>
      </c>
      <c r="P2587" s="52">
        <f>VLOOKUP(Tabla3[[#This Row],[Site]],'Important Info!'!$A$1:$F$135,6,FALSE)</f>
        <v>10</v>
      </c>
      <c r="Q2587" s="91">
        <f>VLOOKUP(Tabla3[[#This Row],[Site]],'Important Info!'!$A$1:$J$135,9,FALSE)</f>
        <v>176</v>
      </c>
    </row>
    <row r="2588" spans="1:17" x14ac:dyDescent="0.25">
      <c r="A2588" t="str">
        <f>+Tabla3[[#This Row],[Site]]&amp;Tabla3[[#This Row],[Split]]</f>
        <v>(AS) Nalley Lexus &amp; Remote Lot Roswell (NO TOURS)26</v>
      </c>
      <c r="B2588">
        <v>26</v>
      </c>
      <c r="C2588">
        <v>8</v>
      </c>
      <c r="D2588" t="s">
        <v>60</v>
      </c>
      <c r="E2588" t="s">
        <v>35</v>
      </c>
      <c r="F2588" t="s">
        <v>511</v>
      </c>
      <c r="G2588" t="s">
        <v>41</v>
      </c>
      <c r="H2588" s="52" t="str">
        <f>VLOOKUP(Tabla3[[#This Row],[Site]],'Important Info!'!$A$1:$J$135,10,FALSE)</f>
        <v>https://tools.sig.systems/site/details/131</v>
      </c>
      <c r="I2588" s="2" t="s">
        <v>166</v>
      </c>
      <c r="J2588" t="s">
        <v>41</v>
      </c>
      <c r="K2588" s="79" t="str">
        <f>VLOOKUP(Tabla3[[#This Row],[Site]],'Important Info!'!$A$1:$H$135,8,FALSE)</f>
        <v>Dealership 11PM to 5AM (Mon to Fri). Sunday Drop Time 1PM</v>
      </c>
      <c r="L2588" s="52" t="str">
        <f>VLOOKUP(Tabla3[[#This Row],[Site]],'Important Info!'!$A$1:$F$135,2,FALSE)</f>
        <v>6, 13</v>
      </c>
      <c r="M2588" s="52">
        <f>VLOOKUP(Tabla3[[#This Row],[Site]],'Important Info!'!$A$1:$F$135,3,FALSE)</f>
        <v>4</v>
      </c>
      <c r="N2588" s="52">
        <f>VLOOKUP(Tabla3[[#This Row],[Site]],'Important Info!'!$A$1:$F$135,4,FALSE)</f>
        <v>1</v>
      </c>
      <c r="O2588" s="52" t="str">
        <f>VLOOKUP(Tabla3[[#This Row],[Site]],'Important Info!'!$A$1:$F$135,5,FALSE)</f>
        <v>1, 8, 19</v>
      </c>
      <c r="P2588" s="52" t="str">
        <f>VLOOKUP(Tabla3[[#This Row],[Site]],'Important Info!'!$A$1:$F$135,6,FALSE)</f>
        <v>4, 20</v>
      </c>
      <c r="Q2588" s="91">
        <f>VLOOKUP(Tabla3[[#This Row],[Site]],'Important Info!'!$A$1:$J$135,9,FALSE)</f>
        <v>131</v>
      </c>
    </row>
    <row r="2589" spans="1:17" x14ac:dyDescent="0.25">
      <c r="A2589" t="str">
        <f>+Tabla3[[#This Row],[Site]]&amp;Tabla3[[#This Row],[Split]]</f>
        <v>(AS) Park Place Bodywerks Dallas (NO TOURS)26</v>
      </c>
      <c r="B2589">
        <v>26</v>
      </c>
      <c r="C2589">
        <v>8</v>
      </c>
      <c r="D2589" t="s">
        <v>33</v>
      </c>
      <c r="E2589" t="s">
        <v>46</v>
      </c>
      <c r="F2589" t="s">
        <v>514</v>
      </c>
      <c r="G2589" t="s">
        <v>34</v>
      </c>
      <c r="H2589" s="52" t="str">
        <f>VLOOKUP(Tabla3[[#This Row],[Site]],'Important Info!'!$A$1:$J$135,10,FALSE)</f>
        <v>https://tools.sig.systems/site/details/166</v>
      </c>
      <c r="I2589" s="65" t="s">
        <v>125</v>
      </c>
      <c r="J2589" t="s">
        <v>41</v>
      </c>
      <c r="K2589" s="79" t="str">
        <f>VLOOKUP(Tabla3[[#This Row],[Site]],'Important Info!'!$A$1:$H$135,8,FALSE)</f>
        <v>-</v>
      </c>
      <c r="L2589" s="52">
        <f>VLOOKUP(Tabla3[[#This Row],[Site]],'Important Info!'!$A$1:$F$135,2,FALSE)</f>
        <v>3</v>
      </c>
      <c r="M2589" s="52">
        <f>VLOOKUP(Tabla3[[#This Row],[Site]],'Important Info!'!$A$1:$F$135,3,FALSE)</f>
        <v>1</v>
      </c>
      <c r="N2589" s="52" t="str">
        <f>VLOOKUP(Tabla3[[#This Row],[Site]],'Important Info!'!$A$1:$F$135,4,FALSE)</f>
        <v>-</v>
      </c>
      <c r="O2589" s="52" t="str">
        <f>VLOOKUP(Tabla3[[#This Row],[Site]],'Important Info!'!$A$1:$F$135,5,FALSE)</f>
        <v>-</v>
      </c>
      <c r="P2589" s="52" t="str">
        <f>VLOOKUP(Tabla3[[#This Row],[Site]],'Important Info!'!$A$1:$F$135,6,FALSE)</f>
        <v>1, 2, 8</v>
      </c>
      <c r="Q2589" s="91">
        <f>VLOOKUP(Tabla3[[#This Row],[Site]],'Important Info!'!$A$1:$J$135,9,FALSE)</f>
        <v>166</v>
      </c>
    </row>
    <row r="2590" spans="1:17" x14ac:dyDescent="0.25">
      <c r="A2590" t="str">
        <f>+Tabla3[[#This Row],[Site]]&amp;Tabla3[[#This Row],[Split]]</f>
        <v>(ML) Joe Machens Nissan26</v>
      </c>
      <c r="B2590">
        <v>26</v>
      </c>
      <c r="C2590">
        <v>8</v>
      </c>
      <c r="D2590" t="s">
        <v>33</v>
      </c>
      <c r="E2590" t="s">
        <v>46</v>
      </c>
      <c r="F2590" t="s">
        <v>104</v>
      </c>
      <c r="G2590" t="s">
        <v>34</v>
      </c>
      <c r="H2590" s="52" t="str">
        <f>VLOOKUP(Tabla3[[#This Row],[Site]],'Important Info!'!$A$1:$J$135,10,FALSE)</f>
        <v>https://tools.sig.systems/site/details/279</v>
      </c>
      <c r="I2590" s="43" t="s">
        <v>146</v>
      </c>
      <c r="J2590" t="s">
        <v>41</v>
      </c>
      <c r="K2590" s="79" t="str">
        <f>VLOOKUP(Tabla3[[#This Row],[Site]],'Important Info!'!$A$1:$H$135,8,FALSE)</f>
        <v>-</v>
      </c>
      <c r="L2590" s="52" t="str">
        <f>VLOOKUP(Tabla3[[#This Row],[Site]],'Important Info!'!$A$1:$F$135,2,FALSE)</f>
        <v>-</v>
      </c>
      <c r="M2590" s="52" t="str">
        <f>VLOOKUP(Tabla3[[#This Row],[Site]],'Important Info!'!$A$1:$F$135,3,FALSE)</f>
        <v>1, 3, 16</v>
      </c>
      <c r="N2590" s="52" t="str">
        <f>VLOOKUP(Tabla3[[#This Row],[Site]],'Important Info!'!$A$1:$F$135,4,FALSE)</f>
        <v>-</v>
      </c>
      <c r="O2590" s="52" t="str">
        <f>VLOOKUP(Tabla3[[#This Row],[Site]],'Important Info!'!$A$1:$F$135,5,FALSE)</f>
        <v>-</v>
      </c>
      <c r="P2590" s="52" t="str">
        <f>VLOOKUP(Tabla3[[#This Row],[Site]],'Important Info!'!$A$1:$F$135,6,FALSE)</f>
        <v>-</v>
      </c>
      <c r="Q2590" s="91">
        <f>VLOOKUP(Tabla3[[#This Row],[Site]],'Important Info!'!$A$1:$J$135,9,FALSE)</f>
        <v>279</v>
      </c>
    </row>
    <row r="2591" spans="1:17" x14ac:dyDescent="0.25">
      <c r="A2591" t="str">
        <f>+Tabla3[[#This Row],[Site]]&amp;Tabla3[[#This Row],[Split]]</f>
        <v>(AS) Park Place MB Recon Center Dallas (NO TOURS)26</v>
      </c>
      <c r="B2591">
        <v>26</v>
      </c>
      <c r="C2591">
        <v>9</v>
      </c>
      <c r="D2591" t="s">
        <v>33</v>
      </c>
      <c r="E2591" t="s">
        <v>46</v>
      </c>
      <c r="F2591" t="s">
        <v>517</v>
      </c>
      <c r="G2591" t="s">
        <v>34</v>
      </c>
      <c r="H2591" s="52" t="str">
        <f>VLOOKUP(Tabla3[[#This Row],[Site]],'Important Info!'!$A$1:$J$135,10,FALSE)</f>
        <v>https://tools.sig.systems/site/details/170</v>
      </c>
      <c r="I2591" s="65" t="s">
        <v>125</v>
      </c>
      <c r="J2591" t="s">
        <v>41</v>
      </c>
      <c r="K2591" s="79" t="str">
        <f>VLOOKUP(Tabla3[[#This Row],[Site]],'Important Info!'!$A$1:$H$135,8,FALSE)</f>
        <v>-</v>
      </c>
      <c r="L2591" s="52" t="str">
        <f>VLOOKUP(Tabla3[[#This Row],[Site]],'Important Info!'!$A$1:$F$135,2,FALSE)</f>
        <v>3, 39</v>
      </c>
      <c r="M2591" s="52" t="str">
        <f>VLOOKUP(Tabla3[[#This Row],[Site]],'Important Info!'!$A$1:$F$135,3,FALSE)</f>
        <v>-</v>
      </c>
      <c r="N2591" s="52" t="str">
        <f>VLOOKUP(Tabla3[[#This Row],[Site]],'Important Info!'!$A$1:$F$135,4,FALSE)</f>
        <v>-</v>
      </c>
      <c r="O2591" s="52" t="str">
        <f>VLOOKUP(Tabla3[[#This Row],[Site]],'Important Info!'!$A$1:$F$135,5,FALSE)</f>
        <v>4, 11</v>
      </c>
      <c r="P2591" s="52">
        <f>VLOOKUP(Tabla3[[#This Row],[Site]],'Important Info!'!$A$1:$F$135,6,FALSE)</f>
        <v>1</v>
      </c>
      <c r="Q2591" s="91">
        <f>VLOOKUP(Tabla3[[#This Row],[Site]],'Important Info!'!$A$1:$J$135,9,FALSE)</f>
        <v>170</v>
      </c>
    </row>
    <row r="2592" spans="1:17" x14ac:dyDescent="0.25">
      <c r="A2592" t="str">
        <f>+Tabla3[[#This Row],[Site]]&amp;Tabla3[[#This Row],[Split]]</f>
        <v>(ML) Joe Machens Kia of Columbia26</v>
      </c>
      <c r="B2592">
        <v>26</v>
      </c>
      <c r="C2592">
        <v>9</v>
      </c>
      <c r="D2592" t="s">
        <v>33</v>
      </c>
      <c r="E2592" t="s">
        <v>46</v>
      </c>
      <c r="F2592" t="s">
        <v>149</v>
      </c>
      <c r="G2592" t="s">
        <v>34</v>
      </c>
      <c r="H2592" s="52" t="str">
        <f>VLOOKUP(Tabla3[[#This Row],[Site]],'Important Info!'!$A$1:$J$135,10,FALSE)</f>
        <v>https://tools.sig.systems/site/details/270</v>
      </c>
      <c r="I2592" s="2" t="s">
        <v>146</v>
      </c>
      <c r="J2592" t="s">
        <v>41</v>
      </c>
      <c r="K2592" s="79" t="str">
        <f>VLOOKUP(Tabla3[[#This Row],[Site]],'Important Info!'!$A$1:$H$135,8,FALSE)</f>
        <v>-</v>
      </c>
      <c r="L2592" s="52" t="str">
        <f>VLOOKUP(Tabla3[[#This Row],[Site]],'Important Info!'!$A$1:$F$135,2,FALSE)</f>
        <v>-</v>
      </c>
      <c r="M2592" s="52" t="str">
        <f>VLOOKUP(Tabla3[[#This Row],[Site]],'Important Info!'!$A$1:$F$135,3,FALSE)</f>
        <v>1, 2, 5, 6, 9, 13, 15</v>
      </c>
      <c r="N2592" s="52" t="str">
        <f>VLOOKUP(Tabla3[[#This Row],[Site]],'Important Info!'!$A$1:$F$135,4,FALSE)</f>
        <v>-</v>
      </c>
      <c r="O2592" s="52" t="str">
        <f>VLOOKUP(Tabla3[[#This Row],[Site]],'Important Info!'!$A$1:$F$135,5,FALSE)</f>
        <v>-</v>
      </c>
      <c r="P2592" s="52" t="str">
        <f>VLOOKUP(Tabla3[[#This Row],[Site]],'Important Info!'!$A$1:$F$135,6,FALSE)</f>
        <v>10, 11, 13</v>
      </c>
      <c r="Q2592" s="91">
        <f>VLOOKUP(Tabla3[[#This Row],[Site]],'Important Info!'!$A$1:$J$135,9,FALSE)</f>
        <v>270</v>
      </c>
    </row>
    <row r="2593" spans="1:17" x14ac:dyDescent="0.25">
      <c r="A2593" t="str">
        <f>+Tabla3[[#This Row],[Site]]&amp;Tabla3[[#This Row],[Split]]</f>
        <v>(SCH) Delray I &amp; II26</v>
      </c>
      <c r="B2593">
        <v>26</v>
      </c>
      <c r="C2593">
        <v>9</v>
      </c>
      <c r="D2593" t="s">
        <v>62</v>
      </c>
      <c r="E2593" t="s">
        <v>35</v>
      </c>
      <c r="F2593" t="s">
        <v>67</v>
      </c>
      <c r="G2593" t="s">
        <v>490</v>
      </c>
      <c r="H2593" s="52" t="str">
        <f>VLOOKUP(Tabla3[[#This Row],[Site]],'Important Info!'!$A$1:$J$135,10,FALSE)</f>
        <v>https://tools.sig.systems/site/details/159</v>
      </c>
      <c r="I2593" s="43"/>
      <c r="J2593" t="s">
        <v>36</v>
      </c>
      <c r="K2593" s="79" t="str">
        <f>VLOOKUP(Tabla3[[#This Row],[Site]],'Important Info!'!$A$1:$H$135,8,FALSE)</f>
        <v>-</v>
      </c>
      <c r="L2593" s="52" t="str">
        <f>VLOOKUP(Tabla3[[#This Row],[Site]],'Important Info!'!$A$1:$F$135,2,FALSE)</f>
        <v>5, 28, 31</v>
      </c>
      <c r="M2593" s="52" t="str">
        <f>VLOOKUP(Tabla3[[#This Row],[Site]],'Important Info!'!$A$1:$F$135,3,FALSE)</f>
        <v>1, 29</v>
      </c>
      <c r="N2593" s="52">
        <f>VLOOKUP(Tabla3[[#This Row],[Site]],'Important Info!'!$A$1:$F$135,4,FALSE)</f>
        <v>6</v>
      </c>
      <c r="O2593" s="52" t="str">
        <f>VLOOKUP(Tabla3[[#This Row],[Site]],'Important Info!'!$A$1:$F$135,5,FALSE)</f>
        <v>-</v>
      </c>
      <c r="P2593" s="52" t="str">
        <f>VLOOKUP(Tabla3[[#This Row],[Site]],'Important Info!'!$A$1:$F$135,6,FALSE)</f>
        <v>1, 35, 36</v>
      </c>
      <c r="Q2593" s="91">
        <f>VLOOKUP(Tabla3[[#This Row],[Site]],'Important Info!'!$A$1:$J$135,9,FALSE)</f>
        <v>159</v>
      </c>
    </row>
    <row r="2594" spans="1:17" x14ac:dyDescent="0.25">
      <c r="A2594" t="str">
        <f>+Tabla3[[#This Row],[Site]]&amp;Tabla3[[#This Row],[Split]]</f>
        <v>(WAG) Greeley Chrysler Dodge Jeep Ram (NO TOURS)26</v>
      </c>
      <c r="B2594">
        <v>26</v>
      </c>
      <c r="C2594">
        <v>9</v>
      </c>
      <c r="D2594" t="s">
        <v>44</v>
      </c>
      <c r="E2594" t="s">
        <v>53</v>
      </c>
      <c r="F2594" t="s">
        <v>497</v>
      </c>
      <c r="G2594" t="s">
        <v>45</v>
      </c>
      <c r="H2594" s="52" t="str">
        <f>VLOOKUP(Tabla3[[#This Row],[Site]],'Important Info!'!$A$1:$J$135,10,FALSE)</f>
        <v>https://tools.sig.systems/site/details/130</v>
      </c>
      <c r="I2594" s="2" t="s">
        <v>153</v>
      </c>
      <c r="J2594" t="s">
        <v>41</v>
      </c>
      <c r="K2594" s="79" t="str">
        <f>VLOOKUP(Tabla3[[#This Row],[Site]],'Important Info!'!$A$1:$H$135,8,FALSE)</f>
        <v>-</v>
      </c>
      <c r="L2594" s="52" t="str">
        <f>VLOOKUP(Tabla3[[#This Row],[Site]],'Important Info!'!$A$1:$F$135,2,FALSE)</f>
        <v>17, 23 &amp; 18</v>
      </c>
      <c r="M2594" s="52" t="str">
        <f>VLOOKUP(Tabla3[[#This Row],[Site]],'Important Info!'!$A$1:$F$135,3,FALSE)</f>
        <v>4, 5, 6, 7, 8, 51, 55</v>
      </c>
      <c r="N2594" s="52" t="str">
        <f>VLOOKUP(Tabla3[[#This Row],[Site]],'Important Info!'!$A$1:$F$135,4,FALSE)</f>
        <v>-</v>
      </c>
      <c r="O2594" s="52" t="str">
        <f>VLOOKUP(Tabla3[[#This Row],[Site]],'Important Info!'!$A$1:$F$135,5,FALSE)</f>
        <v>3, 13, 17, 49, 53, 59</v>
      </c>
      <c r="P2594" s="52" t="str">
        <f>VLOOKUP(Tabla3[[#This Row],[Site]],'Important Info!'!$A$1:$F$135,6,FALSE)</f>
        <v>8, 9, 10, 51, 62</v>
      </c>
      <c r="Q2594" s="91">
        <f>VLOOKUP(Tabla3[[#This Row],[Site]],'Important Info!'!$A$1:$J$135,9,FALSE)</f>
        <v>130</v>
      </c>
    </row>
    <row r="2595" spans="1:17" x14ac:dyDescent="0.25">
      <c r="A2595" t="str">
        <f>+Tabla3[[#This Row],[Site]]&amp;Tabla3[[#This Row],[Split]]</f>
        <v>(SCH) West Palm Beach I, II &amp; III26</v>
      </c>
      <c r="B2595">
        <v>26</v>
      </c>
      <c r="C2595">
        <v>10</v>
      </c>
      <c r="D2595" t="s">
        <v>492</v>
      </c>
      <c r="E2595" t="s">
        <v>35</v>
      </c>
      <c r="F2595" t="s">
        <v>96</v>
      </c>
      <c r="G2595" t="s">
        <v>490</v>
      </c>
      <c r="H2595" s="52" t="str">
        <f>VLOOKUP(Tabla3[[#This Row],[Site]],'Important Info!'!$A$1:$J$135,10,FALSE)</f>
        <v>https://tools.sig.systems/site/details/162</v>
      </c>
      <c r="I2595" s="2"/>
      <c r="J2595" t="s">
        <v>36</v>
      </c>
      <c r="K2595" s="79" t="str">
        <f>VLOOKUP(Tabla3[[#This Row],[Site]],'Important Info!'!$A$1:$H$135,8,FALSE)</f>
        <v>SUNDAY: Log in at 5:30 p.m. ET.</v>
      </c>
      <c r="L2595" s="52" t="str">
        <f>VLOOKUP(Tabla3[[#This Row],[Site]],'Important Info!'!$A$1:$F$135,2,FALSE)</f>
        <v>34, 62</v>
      </c>
      <c r="M2595" s="52" t="str">
        <f>VLOOKUP(Tabla3[[#This Row],[Site]],'Important Info!'!$A$1:$F$135,3,FALSE)</f>
        <v xml:space="preserve">6, 7, 11, 13, </v>
      </c>
      <c r="N2595" s="52" t="str">
        <f>VLOOKUP(Tabla3[[#This Row],[Site]],'Important Info!'!$A$1:$F$135,4,FALSE)</f>
        <v>20, 21</v>
      </c>
      <c r="O2595" s="52" t="str">
        <f>VLOOKUP(Tabla3[[#This Row],[Site]],'Important Info!'!$A$1:$F$135,5,FALSE)</f>
        <v>-</v>
      </c>
      <c r="P2595" s="52" t="str">
        <f>VLOOKUP(Tabla3[[#This Row],[Site]],'Important Info!'!$A$1:$F$135,6,FALSE)</f>
        <v>1, 2, 3, 131, 132</v>
      </c>
      <c r="Q2595" s="91">
        <f>VLOOKUP(Tabla3[[#This Row],[Site]],'Important Info!'!$A$1:$J$135,9,FALSE)</f>
        <v>162</v>
      </c>
    </row>
    <row r="2596" spans="1:17" x14ac:dyDescent="0.25">
      <c r="A2596" t="str">
        <f>+Tabla3[[#This Row],[Site]]&amp;Tabla3[[#This Row],[Split]]</f>
        <v>(AS) David McDavid Lincoln Frisco (NO TOURS)26</v>
      </c>
      <c r="B2596">
        <v>26</v>
      </c>
      <c r="C2596">
        <v>11</v>
      </c>
      <c r="D2596" t="s">
        <v>33</v>
      </c>
      <c r="E2596" t="s">
        <v>46</v>
      </c>
      <c r="F2596" t="s">
        <v>507</v>
      </c>
      <c r="G2596" t="s">
        <v>34</v>
      </c>
      <c r="H2596" s="52" t="str">
        <f>VLOOKUP(Tabla3[[#This Row],[Site]],'Important Info!'!$A$1:$J$135,10,FALSE)</f>
        <v>https://tools.sig.systems/site/details/182</v>
      </c>
      <c r="I2596" s="43"/>
      <c r="J2596" t="s">
        <v>41</v>
      </c>
      <c r="K2596" s="79" t="str">
        <f>VLOOKUP(Tabla3[[#This Row],[Site]],'Important Info!'!$A$1:$H$135,8,FALSE)</f>
        <v>-</v>
      </c>
      <c r="L2596" s="52" t="str">
        <f>VLOOKUP(Tabla3[[#This Row],[Site]],'Important Info!'!$A$1:$F$135,2,FALSE)</f>
        <v>1, 2, 11</v>
      </c>
      <c r="M2596" s="52" t="str">
        <f>VLOOKUP(Tabla3[[#This Row],[Site]],'Important Info!'!$A$1:$F$135,3,FALSE)</f>
        <v>-</v>
      </c>
      <c r="N2596" s="52" t="str">
        <f>VLOOKUP(Tabla3[[#This Row],[Site]],'Important Info!'!$A$1:$F$135,4,FALSE)</f>
        <v>-</v>
      </c>
      <c r="O2596" s="52" t="str">
        <f>VLOOKUP(Tabla3[[#This Row],[Site]],'Important Info!'!$A$1:$F$135,5,FALSE)</f>
        <v>11, 16, 20</v>
      </c>
      <c r="P2596" s="52" t="str">
        <f>VLOOKUP(Tabla3[[#This Row],[Site]],'Important Info!'!$A$1:$F$135,6,FALSE)</f>
        <v>11, 12, 13, 14</v>
      </c>
      <c r="Q2596" s="91">
        <f>VLOOKUP(Tabla3[[#This Row],[Site]],'Important Info!'!$A$1:$J$135,9,FALSE)</f>
        <v>182</v>
      </c>
    </row>
    <row r="2597" spans="1:17" x14ac:dyDescent="0.25">
      <c r="A2597" t="str">
        <f>+Tabla3[[#This Row],[Site]]&amp;Tabla3[[#This Row],[Split]]</f>
        <v>(AS) Nalley BMW Collision Center (NO TOURS)26</v>
      </c>
      <c r="B2597">
        <v>26</v>
      </c>
      <c r="C2597">
        <v>11</v>
      </c>
      <c r="D2597" t="s">
        <v>62</v>
      </c>
      <c r="E2597" t="s">
        <v>35</v>
      </c>
      <c r="F2597" t="s">
        <v>510</v>
      </c>
      <c r="G2597" t="s">
        <v>490</v>
      </c>
      <c r="H2597" s="52" t="str">
        <f>VLOOKUP(Tabla3[[#This Row],[Site]],'Important Info!'!$A$1:$J$135,10,FALSE)</f>
        <v>https://tools.sig.systems/site/details/220</v>
      </c>
      <c r="I2597" s="43"/>
      <c r="J2597" t="s">
        <v>41</v>
      </c>
      <c r="K2597" s="79" t="str">
        <f>VLOOKUP(Tabla3[[#This Row],[Site]],'Important Info!'!$A$1:$H$135,8,FALSE)</f>
        <v>-</v>
      </c>
      <c r="L2597" s="52" t="str">
        <f>VLOOKUP(Tabla3[[#This Row],[Site]],'Important Info!'!$A$1:$F$135,2,FALSE)</f>
        <v>-</v>
      </c>
      <c r="M2597" s="52">
        <f>VLOOKUP(Tabla3[[#This Row],[Site]],'Important Info!'!$A$1:$F$135,3,FALSE)</f>
        <v>4</v>
      </c>
      <c r="N2597" s="52" t="str">
        <f>VLOOKUP(Tabla3[[#This Row],[Site]],'Important Info!'!$A$1:$F$135,4,FALSE)</f>
        <v>-</v>
      </c>
      <c r="O2597" s="52">
        <f>VLOOKUP(Tabla3[[#This Row],[Site]],'Important Info!'!$A$1:$F$135,5,FALSE)</f>
        <v>12</v>
      </c>
      <c r="P2597" s="52" t="str">
        <f>VLOOKUP(Tabla3[[#This Row],[Site]],'Important Info!'!$A$1:$F$135,6,FALSE)</f>
        <v>13, 15</v>
      </c>
      <c r="Q2597" s="91">
        <f>VLOOKUP(Tabla3[[#This Row],[Site]],'Important Info!'!$A$1:$J$135,9,FALSE)</f>
        <v>220</v>
      </c>
    </row>
    <row r="2598" spans="1:17" x14ac:dyDescent="0.25">
      <c r="A2598" t="str">
        <f>+Tabla3[[#This Row],[Site]]&amp;Tabla3[[#This Row],[Split]]</f>
        <v>(AS) Plano Auction (NO SPEAKERS)26</v>
      </c>
      <c r="B2598">
        <v>26</v>
      </c>
      <c r="C2598">
        <v>11</v>
      </c>
      <c r="D2598" t="s">
        <v>33</v>
      </c>
      <c r="E2598" t="s">
        <v>46</v>
      </c>
      <c r="F2598" t="s">
        <v>129</v>
      </c>
      <c r="G2598" t="s">
        <v>34</v>
      </c>
      <c r="H2598" s="52" t="str">
        <f>VLOOKUP(Tabla3[[#This Row],[Site]],'Important Info!'!$A$1:$J$135,10,FALSE)</f>
        <v>https://tools.sig.systems/site/details/140</v>
      </c>
      <c r="J2598" t="s">
        <v>41</v>
      </c>
      <c r="K2598" s="79" t="str">
        <f>VLOOKUP(Tabla3[[#This Row],[Site]],'Important Info!'!$A$1:$H$135,8,FALSE)</f>
        <v>-</v>
      </c>
      <c r="L2598" s="52" t="str">
        <f>VLOOKUP(Tabla3[[#This Row],[Site]],'Important Info!'!$A$1:$F$135,2,FALSE)</f>
        <v>-</v>
      </c>
      <c r="M2598" s="52" t="str">
        <f>VLOOKUP(Tabla3[[#This Row],[Site]],'Important Info!'!$A$1:$F$135,3,FALSE)</f>
        <v>3, 4, 19</v>
      </c>
      <c r="N2598" s="52" t="str">
        <f>VLOOKUP(Tabla3[[#This Row],[Site]],'Important Info!'!$A$1:$F$135,4,FALSE)</f>
        <v>-</v>
      </c>
      <c r="O2598" s="52" t="str">
        <f>VLOOKUP(Tabla3[[#This Row],[Site]],'Important Info!'!$A$1:$F$135,5,FALSE)</f>
        <v>5, 19</v>
      </c>
      <c r="P2598" s="52">
        <f>VLOOKUP(Tabla3[[#This Row],[Site]],'Important Info!'!$A$1:$F$135,6,FALSE)</f>
        <v>21</v>
      </c>
      <c r="Q2598" s="91">
        <f>VLOOKUP(Tabla3[[#This Row],[Site]],'Important Info!'!$A$1:$J$135,9,FALSE)</f>
        <v>140</v>
      </c>
    </row>
    <row r="2599" spans="1:17" x14ac:dyDescent="0.25">
      <c r="A2599" t="str">
        <f>+Tabla3[[#This Row],[Site]]&amp;Tabla3[[#This Row],[Split]]</f>
        <v>(DT) Albuquerque26</v>
      </c>
      <c r="B2599">
        <v>26</v>
      </c>
      <c r="C2599">
        <v>11</v>
      </c>
      <c r="D2599" t="s">
        <v>44</v>
      </c>
      <c r="E2599" t="s">
        <v>53</v>
      </c>
      <c r="F2599" t="s">
        <v>155</v>
      </c>
      <c r="G2599" t="s">
        <v>45</v>
      </c>
      <c r="H2599" s="52" t="str">
        <f>VLOOKUP(Tabla3[[#This Row],[Site]],'Important Info!'!$A$1:$J$135,10,FALSE)</f>
        <v>https://tools.sig.systems/site/details/237</v>
      </c>
      <c r="J2599" t="s">
        <v>41</v>
      </c>
      <c r="K2599" s="79" t="str">
        <f>VLOOKUP(Tabla3[[#This Row],[Site]],'Important Info!'!$A$1:$H$135,8,FALSE)</f>
        <v>-</v>
      </c>
      <c r="L2599" s="52" t="str">
        <f>VLOOKUP(Tabla3[[#This Row],[Site]],'Important Info!'!$A$1:$F$135,2,FALSE)</f>
        <v>14, 16</v>
      </c>
      <c r="M2599" s="52" t="str">
        <f>VLOOKUP(Tabla3[[#This Row],[Site]],'Important Info!'!$A$1:$F$135,3,FALSE)</f>
        <v>-</v>
      </c>
      <c r="N2599" s="52" t="str">
        <f>VLOOKUP(Tabla3[[#This Row],[Site]],'Important Info!'!$A$1:$F$135,4,FALSE)</f>
        <v>-</v>
      </c>
      <c r="O2599" s="52" t="str">
        <f>VLOOKUP(Tabla3[[#This Row],[Site]],'Important Info!'!$A$1:$F$135,5,FALSE)</f>
        <v>14, 15</v>
      </c>
      <c r="P2599" s="52" t="str">
        <f>VLOOKUP(Tabla3[[#This Row],[Site]],'Important Info!'!$A$1:$F$135,6,FALSE)</f>
        <v>12, 14, 16</v>
      </c>
      <c r="Q2599" s="91">
        <f>VLOOKUP(Tabla3[[#This Row],[Site]],'Important Info!'!$A$1:$J$135,9,FALSE)</f>
        <v>237</v>
      </c>
    </row>
    <row r="2600" spans="1:17" x14ac:dyDescent="0.25">
      <c r="A2600" t="str">
        <f>+Tabla3[[#This Row],[Site]]&amp;Tabla3[[#This Row],[Split]]</f>
        <v>(ML) Volvo Collision Corp26</v>
      </c>
      <c r="B2600">
        <v>26</v>
      </c>
      <c r="C2600">
        <v>11</v>
      </c>
      <c r="D2600" t="s">
        <v>33</v>
      </c>
      <c r="E2600" t="s">
        <v>46</v>
      </c>
      <c r="F2600" t="s">
        <v>106</v>
      </c>
      <c r="G2600" t="s">
        <v>34</v>
      </c>
      <c r="H2600" s="52" t="str">
        <f>VLOOKUP(Tabla3[[#This Row],[Site]],'Important Info!'!$A$1:$J$135,10,FALSE)</f>
        <v>https://tools.sig.systems/site/details/223</v>
      </c>
      <c r="I2600" s="43"/>
      <c r="J2600" t="s">
        <v>41</v>
      </c>
      <c r="K2600" s="79" t="str">
        <f>VLOOKUP(Tabla3[[#This Row],[Site]],'Important Info!'!$A$1:$H$135,8,FALSE)</f>
        <v>-</v>
      </c>
      <c r="L2600" s="52" t="str">
        <f>VLOOKUP(Tabla3[[#This Row],[Site]],'Important Info!'!$A$1:$F$135,2,FALSE)</f>
        <v>7, 11</v>
      </c>
      <c r="M2600" s="52">
        <f>VLOOKUP(Tabla3[[#This Row],[Site]],'Important Info!'!$A$1:$F$135,3,FALSE)</f>
        <v>4</v>
      </c>
      <c r="N2600" s="52" t="str">
        <f>VLOOKUP(Tabla3[[#This Row],[Site]],'Important Info!'!$A$1:$F$135,4,FALSE)</f>
        <v>-</v>
      </c>
      <c r="O2600" s="52">
        <f>VLOOKUP(Tabla3[[#This Row],[Site]],'Important Info!'!$A$1:$F$135,5,FALSE)</f>
        <v>18</v>
      </c>
      <c r="P2600" s="52" t="str">
        <f>VLOOKUP(Tabla3[[#This Row],[Site]],'Important Info!'!$A$1:$F$135,6,FALSE)</f>
        <v>-</v>
      </c>
      <c r="Q2600" s="91">
        <f>VLOOKUP(Tabla3[[#This Row],[Site]],'Important Info!'!$A$1:$J$135,9,FALSE)</f>
        <v>223</v>
      </c>
    </row>
    <row r="2601" spans="1:17" x14ac:dyDescent="0.25">
      <c r="A2601" t="str">
        <f>+Tabla3[[#This Row],[Site]]&amp;Tabla3[[#This Row],[Split]]</f>
        <v>(PE) Fairfield Collision (NO TOURS)26</v>
      </c>
      <c r="B2601">
        <v>26</v>
      </c>
      <c r="C2601">
        <v>11</v>
      </c>
      <c r="D2601" t="s">
        <v>485</v>
      </c>
      <c r="E2601" t="s">
        <v>35</v>
      </c>
      <c r="F2601" t="s">
        <v>63</v>
      </c>
      <c r="G2601" t="s">
        <v>490</v>
      </c>
      <c r="H2601" s="52" t="str">
        <f>VLOOKUP(Tabla3[[#This Row],[Site]],'Important Info!'!$A$1:$J$135,10,FALSE)</f>
        <v>https://tools.sig.systems/site/details/191</v>
      </c>
      <c r="J2601" t="s">
        <v>41</v>
      </c>
      <c r="K2601" s="79" t="str">
        <f>VLOOKUP(Tabla3[[#This Row],[Site]],'Important Info!'!$A$1:$H$135,8,FALSE)</f>
        <v>-</v>
      </c>
      <c r="L2601" s="52">
        <f>VLOOKUP(Tabla3[[#This Row],[Site]],'Important Info!'!$A$1:$F$135,2,FALSE)</f>
        <v>4</v>
      </c>
      <c r="M2601" s="52" t="str">
        <f>VLOOKUP(Tabla3[[#This Row],[Site]],'Important Info!'!$A$1:$F$135,3,FALSE)</f>
        <v>-</v>
      </c>
      <c r="N2601" s="52" t="str">
        <f>VLOOKUP(Tabla3[[#This Row],[Site]],'Important Info!'!$A$1:$F$135,4,FALSE)</f>
        <v>-</v>
      </c>
      <c r="O2601" s="52" t="str">
        <f>VLOOKUP(Tabla3[[#This Row],[Site]],'Important Info!'!$A$1:$F$135,5,FALSE)</f>
        <v>-</v>
      </c>
      <c r="P2601" s="52" t="str">
        <f>VLOOKUP(Tabla3[[#This Row],[Site]],'Important Info!'!$A$1:$F$135,6,FALSE)</f>
        <v>1, 2, 3, 4, 5, 6</v>
      </c>
      <c r="Q2601" s="91">
        <f>VLOOKUP(Tabla3[[#This Row],[Site]],'Important Info!'!$A$1:$J$135,9,FALSE)</f>
        <v>191</v>
      </c>
    </row>
    <row r="2602" spans="1:17" x14ac:dyDescent="0.25">
      <c r="A2602" t="str">
        <f>+Tabla3[[#This Row],[Site]]&amp;Tabla3[[#This Row],[Split]]</f>
        <v>(HUD) Acura of Greensboro26</v>
      </c>
      <c r="B2602">
        <v>26</v>
      </c>
      <c r="C2602">
        <v>12</v>
      </c>
      <c r="D2602" t="s">
        <v>62</v>
      </c>
      <c r="E2602" t="s">
        <v>35</v>
      </c>
      <c r="F2602" t="s">
        <v>100</v>
      </c>
      <c r="G2602" t="s">
        <v>490</v>
      </c>
      <c r="H2602" s="52" t="str">
        <f>VLOOKUP(Tabla3[[#This Row],[Site]],'Important Info!'!$A$1:$J$135,10,FALSE)</f>
        <v>https://tools.sig.systems/site/details/213</v>
      </c>
      <c r="I2602" t="s">
        <v>182</v>
      </c>
      <c r="J2602" t="s">
        <v>41</v>
      </c>
      <c r="K2602" s="79" t="str">
        <f>VLOOKUP(Tabla3[[#This Row],[Site]],'Important Info!'!$A$1:$H$135,8,FALSE)</f>
        <v>-</v>
      </c>
      <c r="L2602" s="52" t="str">
        <f>VLOOKUP(Tabla3[[#This Row],[Site]],'Important Info!'!$A$1:$F$135,2,FALSE)</f>
        <v>1, 2, 6, 7, 9</v>
      </c>
      <c r="M2602" s="52" t="str">
        <f>VLOOKUP(Tabla3[[#This Row],[Site]],'Important Info!'!$A$1:$F$135,3,FALSE)</f>
        <v>-</v>
      </c>
      <c r="N2602" s="52" t="str">
        <f>VLOOKUP(Tabla3[[#This Row],[Site]],'Important Info!'!$A$1:$F$135,4,FALSE)</f>
        <v>-</v>
      </c>
      <c r="O2602" s="52" t="str">
        <f>VLOOKUP(Tabla3[[#This Row],[Site]],'Important Info!'!$A$1:$F$135,5,FALSE)</f>
        <v>2, 5</v>
      </c>
      <c r="P2602" s="52" t="str">
        <f>VLOOKUP(Tabla3[[#This Row],[Site]],'Important Info!'!$A$1:$F$135,6,FALSE)</f>
        <v>1, 2, 6, 7, 9, 18</v>
      </c>
      <c r="Q2602" s="91">
        <f>VLOOKUP(Tabla3[[#This Row],[Site]],'Important Info!'!$A$1:$J$135,9,FALSE)</f>
        <v>213</v>
      </c>
    </row>
    <row r="2603" spans="1:17" x14ac:dyDescent="0.25">
      <c r="A2603" t="str">
        <f>+Tabla3[[#This Row],[Site]]&amp;Tabla3[[#This Row],[Split]]</f>
        <v>(MK) McKenny Salinas Honda26</v>
      </c>
      <c r="B2603">
        <v>26</v>
      </c>
      <c r="C2603">
        <v>12</v>
      </c>
      <c r="D2603" t="s">
        <v>62</v>
      </c>
      <c r="E2603" t="s">
        <v>35</v>
      </c>
      <c r="F2603" t="s">
        <v>115</v>
      </c>
      <c r="G2603" t="s">
        <v>490</v>
      </c>
      <c r="H2603" s="52" t="str">
        <f>VLOOKUP(Tabla3[[#This Row],[Site]],'Important Info!'!$A$1:$J$135,10,FALSE)</f>
        <v>https://tools.sig.systems/site/details/149</v>
      </c>
      <c r="J2603" t="s">
        <v>41</v>
      </c>
      <c r="K2603" s="79" t="str">
        <f>VLOOKUP(Tabla3[[#This Row],[Site]],'Important Info!'!$A$1:$H$135,8,FALSE)</f>
        <v>-</v>
      </c>
      <c r="L2603" s="52" t="str">
        <f>VLOOKUP(Tabla3[[#This Row],[Site]],'Important Info!'!$A$1:$F$135,2,FALSE)</f>
        <v>-</v>
      </c>
      <c r="M2603" s="52" t="str">
        <f>VLOOKUP(Tabla3[[#This Row],[Site]],'Important Info!'!$A$1:$F$135,3,FALSE)</f>
        <v>12, 16</v>
      </c>
      <c r="N2603" s="52" t="str">
        <f>VLOOKUP(Tabla3[[#This Row],[Site]],'Important Info!'!$A$1:$F$135,4,FALSE)</f>
        <v>-</v>
      </c>
      <c r="O2603" s="52" t="str">
        <f>VLOOKUP(Tabla3[[#This Row],[Site]],'Important Info!'!$A$1:$F$135,5,FALSE)</f>
        <v>-</v>
      </c>
      <c r="P2603" s="52" t="str">
        <f>VLOOKUP(Tabla3[[#This Row],[Site]],'Important Info!'!$A$1:$F$135,6,FALSE)</f>
        <v>3, 4, 5, 6, 16</v>
      </c>
      <c r="Q2603" s="91">
        <f>VLOOKUP(Tabla3[[#This Row],[Site]],'Important Info!'!$A$1:$J$135,9,FALSE)</f>
        <v>149</v>
      </c>
    </row>
    <row r="2604" spans="1:17" x14ac:dyDescent="0.25">
      <c r="A2604" t="str">
        <f>+Tabla3[[#This Row],[Site]]&amp;Tabla3[[#This Row],[Split]]</f>
        <v>(ML) Joe Machens Capital City I &amp; II (NO TOURS)26</v>
      </c>
      <c r="B2604">
        <v>26</v>
      </c>
      <c r="C2604">
        <v>12</v>
      </c>
      <c r="D2604" t="s">
        <v>33</v>
      </c>
      <c r="E2604" t="s">
        <v>46</v>
      </c>
      <c r="F2604" t="s">
        <v>72</v>
      </c>
      <c r="G2604" t="s">
        <v>34</v>
      </c>
      <c r="H2604" s="52" t="str">
        <f>VLOOKUP(Tabla3[[#This Row],[Site]],'Important Info!'!$A$1:$J$135,10,FALSE)</f>
        <v>https://tools.sig.systems/site/details/271</v>
      </c>
      <c r="I2604" s="43"/>
      <c r="J2604" t="s">
        <v>41</v>
      </c>
      <c r="K2604" s="79" t="str">
        <f>VLOOKUP(Tabla3[[#This Row],[Site]],'Important Info!'!$A$1:$H$135,8,FALSE)</f>
        <v>-</v>
      </c>
      <c r="L2604" s="52" t="str">
        <f>VLOOKUP(Tabla3[[#This Row],[Site]],'Important Info!'!$A$1:$F$135,2,FALSE)</f>
        <v>-</v>
      </c>
      <c r="M2604" s="52" t="str">
        <f>VLOOKUP(Tabla3[[#This Row],[Site]],'Important Info!'!$A$1:$F$135,3,FALSE)</f>
        <v>1, 3, 4, 20, 25, 27, 28</v>
      </c>
      <c r="N2604" s="52" t="str">
        <f>VLOOKUP(Tabla3[[#This Row],[Site]],'Important Info!'!$A$1:$F$135,4,FALSE)</f>
        <v>-</v>
      </c>
      <c r="O2604" s="52">
        <f>VLOOKUP(Tabla3[[#This Row],[Site]],'Important Info!'!$A$1:$F$135,5,FALSE)</f>
        <v>29</v>
      </c>
      <c r="P2604" s="52" t="str">
        <f>VLOOKUP(Tabla3[[#This Row],[Site]],'Important Info!'!$A$1:$F$135,6,FALSE)</f>
        <v>19, 20</v>
      </c>
      <c r="Q2604" s="91">
        <f>VLOOKUP(Tabla3[[#This Row],[Site]],'Important Info!'!$A$1:$J$135,9,FALSE)</f>
        <v>271</v>
      </c>
    </row>
    <row r="2605" spans="1:17" x14ac:dyDescent="0.25">
      <c r="A2605" t="str">
        <f>+Tabla3[[#This Row],[Site]]&amp;Tabla3[[#This Row],[Split]]</f>
        <v>(PE) Mercedes Benz &amp; Smart Bldg. of Fairfield (NO TOURS)26</v>
      </c>
      <c r="B2605">
        <v>26</v>
      </c>
      <c r="C2605">
        <v>12</v>
      </c>
      <c r="D2605" t="s">
        <v>485</v>
      </c>
      <c r="E2605" t="s">
        <v>35</v>
      </c>
      <c r="F2605" t="s">
        <v>64</v>
      </c>
      <c r="G2605" t="s">
        <v>490</v>
      </c>
      <c r="H2605" s="52" t="str">
        <f>VLOOKUP(Tabla3[[#This Row],[Site]],'Important Info!'!$A$1:$J$135,10,FALSE)</f>
        <v>https://tools.sig.systems/site/details/192</v>
      </c>
      <c r="I2605" t="s">
        <v>177</v>
      </c>
      <c r="J2605" t="s">
        <v>41</v>
      </c>
      <c r="K2605" s="79" t="str">
        <f>VLOOKUP(Tabla3[[#This Row],[Site]],'Important Info!'!$A$1:$H$135,8,FALSE)</f>
        <v>-</v>
      </c>
      <c r="L2605" s="52" t="str">
        <f>VLOOKUP(Tabla3[[#This Row],[Site]],'Important Info!'!$A$1:$F$135,2,FALSE)</f>
        <v>-</v>
      </c>
      <c r="M2605" s="52">
        <f>VLOOKUP(Tabla3[[#This Row],[Site]],'Important Info!'!$A$1:$F$135,3,FALSE)</f>
        <v>1</v>
      </c>
      <c r="N2605" s="52" t="str">
        <f>VLOOKUP(Tabla3[[#This Row],[Site]],'Important Info!'!$A$1:$F$135,4,FALSE)</f>
        <v>-</v>
      </c>
      <c r="O2605" s="52" t="str">
        <f>VLOOKUP(Tabla3[[#This Row],[Site]],'Important Info!'!$A$1:$F$135,5,FALSE)</f>
        <v>11, 13</v>
      </c>
      <c r="P2605" s="52">
        <f>VLOOKUP(Tabla3[[#This Row],[Site]],'Important Info!'!$A$1:$F$135,6,FALSE)</f>
        <v>1</v>
      </c>
      <c r="Q2605" s="91">
        <f>VLOOKUP(Tabla3[[#This Row],[Site]],'Important Info!'!$A$1:$J$135,9,FALSE)</f>
        <v>192</v>
      </c>
    </row>
    <row r="2606" spans="1:17" x14ac:dyDescent="0.25">
      <c r="A2606" t="str">
        <f>+Tabla3[[#This Row],[Site]]&amp;Tabla3[[#This Row],[Split]]</f>
        <v>(AS) David McDavid Honda I &amp; II (NO TOURS)26</v>
      </c>
      <c r="B2606">
        <v>26</v>
      </c>
      <c r="C2606">
        <v>13</v>
      </c>
      <c r="D2606" t="s">
        <v>33</v>
      </c>
      <c r="E2606" t="s">
        <v>46</v>
      </c>
      <c r="F2606" t="s">
        <v>506</v>
      </c>
      <c r="G2606" t="s">
        <v>34</v>
      </c>
      <c r="H2606" s="52" t="str">
        <f>VLOOKUP(Tabla3[[#This Row],[Site]],'Important Info!'!$A$1:$J$135,10,FALSE)</f>
        <v>https://tools.sig.systems/site/details/129</v>
      </c>
      <c r="J2606" t="s">
        <v>41</v>
      </c>
      <c r="K2606" s="79" t="str">
        <f>VLOOKUP(Tabla3[[#This Row],[Site]],'Important Info!'!$A$1:$H$135,8,FALSE)</f>
        <v>-</v>
      </c>
      <c r="L2606" s="52" t="str">
        <f>VLOOKUP(Tabla3[[#This Row],[Site]],'Important Info!'!$A$1:$F$135,2,FALSE)</f>
        <v>-</v>
      </c>
      <c r="M2606" s="52" t="str">
        <f>VLOOKUP(Tabla3[[#This Row],[Site]],'Important Info!'!$A$1:$F$135,3,FALSE)</f>
        <v>3, 19, 23, 32, 35</v>
      </c>
      <c r="N2606" s="52" t="str">
        <f>VLOOKUP(Tabla3[[#This Row],[Site]],'Important Info!'!$A$1:$F$135,4,FALSE)</f>
        <v>-</v>
      </c>
      <c r="O2606" s="52" t="str">
        <f>VLOOKUP(Tabla3[[#This Row],[Site]],'Important Info!'!$A$1:$F$135,5,FALSE)</f>
        <v>2, 6, 9, 19, 25, 30, 48</v>
      </c>
      <c r="P2606" s="52" t="str">
        <f>VLOOKUP(Tabla3[[#This Row],[Site]],'Important Info!'!$A$1:$F$135,6,FALSE)</f>
        <v>25, 26, 35, 36, 37</v>
      </c>
      <c r="Q2606" s="91">
        <f>VLOOKUP(Tabla3[[#This Row],[Site]],'Important Info!'!$A$1:$J$135,9,FALSE)</f>
        <v>129</v>
      </c>
    </row>
    <row r="2607" spans="1:17" x14ac:dyDescent="0.25">
      <c r="A2607" t="str">
        <f>+Tabla3[[#This Row],[Site]]&amp;Tabla3[[#This Row],[Split]]</f>
        <v>(AS) Mike Shaw Subaru Greeley (NO TOURS)26</v>
      </c>
      <c r="B2607">
        <v>26</v>
      </c>
      <c r="C2607">
        <v>13</v>
      </c>
      <c r="D2607" t="s">
        <v>44</v>
      </c>
      <c r="E2607" s="41" t="s">
        <v>53</v>
      </c>
      <c r="F2607" s="41" t="s">
        <v>95</v>
      </c>
      <c r="G2607" t="s">
        <v>45</v>
      </c>
      <c r="H2607" s="52" t="str">
        <f>VLOOKUP(Tabla3[[#This Row],[Site]],'Important Info!'!$A$1:$J$135,10,FALSE)</f>
        <v>https://tools.sig.systems/site/details/174</v>
      </c>
      <c r="I2607" s="42" t="s">
        <v>153</v>
      </c>
      <c r="J2607" s="41" t="s">
        <v>41</v>
      </c>
      <c r="K2607" s="79" t="str">
        <f>VLOOKUP(Tabla3[[#This Row],[Site]],'Important Info!'!$A$1:$H$135,8,FALSE)</f>
        <v>-</v>
      </c>
      <c r="L2607" s="52" t="str">
        <f>VLOOKUP(Tabla3[[#This Row],[Site]],'Important Info!'!$A$1:$F$135,2,FALSE)</f>
        <v>16, 17</v>
      </c>
      <c r="M2607" s="52">
        <f>VLOOKUP(Tabla3[[#This Row],[Site]],'Important Info!'!$A$1:$F$135,3,FALSE)</f>
        <v>10</v>
      </c>
      <c r="N2607" s="52" t="str">
        <f>VLOOKUP(Tabla3[[#This Row],[Site]],'Important Info!'!$A$1:$F$135,4,FALSE)</f>
        <v>-</v>
      </c>
      <c r="O2607" s="52" t="str">
        <f>VLOOKUP(Tabla3[[#This Row],[Site]],'Important Info!'!$A$1:$F$135,5,FALSE)</f>
        <v>1, 7</v>
      </c>
      <c r="P2607" s="52" t="str">
        <f>VLOOKUP(Tabla3[[#This Row],[Site]],'Important Info!'!$A$1:$F$135,6,FALSE)</f>
        <v>-</v>
      </c>
      <c r="Q2607" s="91">
        <f>VLOOKUP(Tabla3[[#This Row],[Site]],'Important Info!'!$A$1:$J$135,9,FALSE)</f>
        <v>174</v>
      </c>
    </row>
    <row r="2608" spans="1:17" x14ac:dyDescent="0.25">
      <c r="A2608" t="str">
        <f>+Tabla3[[#This Row],[Site]]&amp;Tabla3[[#This Row],[Split]]</f>
        <v>(HUD) BMW of Greensboro26</v>
      </c>
      <c r="B2608">
        <v>26</v>
      </c>
      <c r="C2608">
        <v>13</v>
      </c>
      <c r="D2608" t="s">
        <v>62</v>
      </c>
      <c r="E2608" t="s">
        <v>35</v>
      </c>
      <c r="F2608" t="s">
        <v>183</v>
      </c>
      <c r="G2608" t="s">
        <v>490</v>
      </c>
      <c r="H2608" s="52" t="str">
        <f>VLOOKUP(Tabla3[[#This Row],[Site]],'Important Info!'!$A$1:$J$135,10,FALSE)</f>
        <v>https://tools.sig.systems/site/details/219</v>
      </c>
      <c r="I2608" s="43" t="s">
        <v>184</v>
      </c>
      <c r="J2608" t="s">
        <v>41</v>
      </c>
      <c r="K2608" s="79" t="str">
        <f>VLOOKUP(Tabla3[[#This Row],[Site]],'Important Info!'!$A$1:$H$135,8,FALSE)</f>
        <v>-</v>
      </c>
      <c r="L2608" s="52" t="str">
        <f>VLOOKUP(Tabla3[[#This Row],[Site]],'Important Info!'!$A$1:$F$135,2,FALSE)</f>
        <v>2, 20, 21</v>
      </c>
      <c r="M2608" s="52" t="str">
        <f>VLOOKUP(Tabla3[[#This Row],[Site]],'Important Info!'!$A$1:$F$135,3,FALSE)</f>
        <v>-</v>
      </c>
      <c r="N2608" s="52" t="str">
        <f>VLOOKUP(Tabla3[[#This Row],[Site]],'Important Info!'!$A$1:$F$135,4,FALSE)</f>
        <v>-</v>
      </c>
      <c r="O2608" s="52" t="str">
        <f>VLOOKUP(Tabla3[[#This Row],[Site]],'Important Info!'!$A$1:$F$135,5,FALSE)</f>
        <v>12, 17</v>
      </c>
      <c r="P2608" s="52" t="str">
        <f>VLOOKUP(Tabla3[[#This Row],[Site]],'Important Info!'!$A$1:$F$135,6,FALSE)</f>
        <v>1, 2, 6, 20</v>
      </c>
      <c r="Q2608" s="91">
        <f>VLOOKUP(Tabla3[[#This Row],[Site]],'Important Info!'!$A$1:$J$135,9,FALSE)</f>
        <v>219</v>
      </c>
    </row>
    <row r="2609" spans="1:17" x14ac:dyDescent="0.25">
      <c r="A2609" t="str">
        <f>+Tabla3[[#This Row],[Site]]&amp;Tabla3[[#This Row],[Split]]</f>
        <v>(AS) Coggin Mercedes Benz Ft Pierce (NO TOURS)26</v>
      </c>
      <c r="B2609">
        <v>26</v>
      </c>
      <c r="C2609">
        <v>14</v>
      </c>
      <c r="D2609" t="s">
        <v>62</v>
      </c>
      <c r="E2609" t="s">
        <v>35</v>
      </c>
      <c r="F2609" t="s">
        <v>502</v>
      </c>
      <c r="G2609" t="s">
        <v>490</v>
      </c>
      <c r="H2609" s="52" t="str">
        <f>VLOOKUP(Tabla3[[#This Row],[Site]],'Important Info!'!$A$1:$J$135,10,FALSE)</f>
        <v>https://tools.sig.systems/site/details/127</v>
      </c>
      <c r="I2609" t="s">
        <v>179</v>
      </c>
      <c r="J2609" t="s">
        <v>41</v>
      </c>
      <c r="K2609" s="79" t="str">
        <f>VLOOKUP(Tabla3[[#This Row],[Site]],'Important Info!'!$A$1:$H$135,8,FALSE)</f>
        <v>-</v>
      </c>
      <c r="L2609" s="52">
        <f>VLOOKUP(Tabla3[[#This Row],[Site]],'Important Info!'!$A$1:$F$135,2,FALSE)</f>
        <v>18</v>
      </c>
      <c r="M2609" s="52" t="str">
        <f>VLOOKUP(Tabla3[[#This Row],[Site]],'Important Info!'!$A$1:$F$135,3,FALSE)</f>
        <v>1, 3</v>
      </c>
      <c r="N2609" s="52" t="str">
        <f>VLOOKUP(Tabla3[[#This Row],[Site]],'Important Info!'!$A$1:$F$135,4,FALSE)</f>
        <v>-</v>
      </c>
      <c r="O2609" s="52" t="str">
        <f>VLOOKUP(Tabla3[[#This Row],[Site]],'Important Info!'!$A$1:$F$135,5,FALSE)</f>
        <v>6, 10, 13</v>
      </c>
      <c r="P2609" s="52" t="str">
        <f>VLOOKUP(Tabla3[[#This Row],[Site]],'Important Info!'!$A$1:$F$135,6,FALSE)</f>
        <v>1, 4, 5</v>
      </c>
      <c r="Q2609" s="91">
        <f>VLOOKUP(Tabla3[[#This Row],[Site]],'Important Info!'!$A$1:$J$135,9,FALSE)</f>
        <v>127</v>
      </c>
    </row>
    <row r="2610" spans="1:17" x14ac:dyDescent="0.25">
      <c r="A2610" t="str">
        <f>+Tabla3[[#This Row],[Site]]&amp;Tabla3[[#This Row],[Split]]</f>
        <v>(DT) El Cajon (NO TOURS)26</v>
      </c>
      <c r="B2610">
        <v>26</v>
      </c>
      <c r="C2610">
        <v>14</v>
      </c>
      <c r="D2610" t="s">
        <v>51</v>
      </c>
      <c r="E2610" t="s">
        <v>159</v>
      </c>
      <c r="F2610" t="s">
        <v>160</v>
      </c>
      <c r="G2610" t="s">
        <v>52</v>
      </c>
      <c r="H2610" s="52" t="str">
        <f>VLOOKUP(Tabla3[[#This Row],[Site]],'Important Info!'!$A$1:$J$135,10,FALSE)</f>
        <v>https://tools.sig.systems/site/details/241</v>
      </c>
      <c r="I2610" s="43"/>
      <c r="J2610" t="s">
        <v>41</v>
      </c>
      <c r="K2610" s="79" t="str">
        <f>VLOOKUP(Tabla3[[#This Row],[Site]],'Important Info!'!$A$1:$H$135,8,FALSE)</f>
        <v>-</v>
      </c>
      <c r="L2610" s="52" t="str">
        <f>VLOOKUP(Tabla3[[#This Row],[Site]],'Important Info!'!$A$1:$F$135,2,FALSE)</f>
        <v>-</v>
      </c>
      <c r="M2610" s="52">
        <f>VLOOKUP(Tabla3[[#This Row],[Site]],'Important Info!'!$A$1:$F$135,3,FALSE)</f>
        <v>3</v>
      </c>
      <c r="N2610" s="52" t="str">
        <f>VLOOKUP(Tabla3[[#This Row],[Site]],'Important Info!'!$A$1:$F$135,4,FALSE)</f>
        <v>-</v>
      </c>
      <c r="O2610" s="52" t="str">
        <f>VLOOKUP(Tabla3[[#This Row],[Site]],'Important Info!'!$A$1:$F$135,5,FALSE)</f>
        <v>-</v>
      </c>
      <c r="P2610" s="52" t="str">
        <f>VLOOKUP(Tabla3[[#This Row],[Site]],'Important Info!'!$A$1:$F$135,6,FALSE)</f>
        <v>-</v>
      </c>
      <c r="Q2610" s="91">
        <f>VLOOKUP(Tabla3[[#This Row],[Site]],'Important Info!'!$A$1:$J$135,9,FALSE)</f>
        <v>241</v>
      </c>
    </row>
    <row r="2611" spans="1:17" x14ac:dyDescent="0.25">
      <c r="A2611" t="str">
        <f>+Tabla3[[#This Row],[Site]]&amp;Tabla3[[#This Row],[Split]]</f>
        <v>(HUD) Nissan Greensboro26</v>
      </c>
      <c r="B2611">
        <v>26</v>
      </c>
      <c r="C2611">
        <v>14</v>
      </c>
      <c r="D2611" t="s">
        <v>62</v>
      </c>
      <c r="E2611" t="s">
        <v>35</v>
      </c>
      <c r="F2611" t="s">
        <v>66</v>
      </c>
      <c r="G2611" t="s">
        <v>490</v>
      </c>
      <c r="H2611" s="52" t="str">
        <f>VLOOKUP(Tabla3[[#This Row],[Site]],'Important Info!'!$A$1:$J$135,10,FALSE)</f>
        <v>https://tools.sig.systems/site/details/236</v>
      </c>
      <c r="I2611" s="2" t="s">
        <v>184</v>
      </c>
      <c r="J2611" t="s">
        <v>41</v>
      </c>
      <c r="K2611" s="79" t="str">
        <f>VLOOKUP(Tabla3[[#This Row],[Site]],'Important Info!'!$A$1:$H$135,8,FALSE)</f>
        <v>-</v>
      </c>
      <c r="L2611" s="52" t="str">
        <f>VLOOKUP(Tabla3[[#This Row],[Site]],'Important Info!'!$A$1:$F$135,2,FALSE)</f>
        <v>1, 5, 12</v>
      </c>
      <c r="M2611" s="52" t="str">
        <f>VLOOKUP(Tabla3[[#This Row],[Site]],'Important Info!'!$A$1:$F$135,3,FALSE)</f>
        <v>-</v>
      </c>
      <c r="N2611" s="52" t="str">
        <f>VLOOKUP(Tabla3[[#This Row],[Site]],'Important Info!'!$A$1:$F$135,4,FALSE)</f>
        <v>-</v>
      </c>
      <c r="O2611" s="52" t="str">
        <f>VLOOKUP(Tabla3[[#This Row],[Site]],'Important Info!'!$A$1:$F$135,5,FALSE)</f>
        <v>-</v>
      </c>
      <c r="P2611" s="52">
        <f>VLOOKUP(Tabla3[[#This Row],[Site]],'Important Info!'!$A$1:$F$135,6,FALSE)</f>
        <v>4</v>
      </c>
      <c r="Q2611" s="91">
        <f>VLOOKUP(Tabla3[[#This Row],[Site]],'Important Info!'!$A$1:$J$135,9,FALSE)</f>
        <v>236</v>
      </c>
    </row>
    <row r="2612" spans="1:17" x14ac:dyDescent="0.25">
      <c r="A2612" t="str">
        <f>+Tabla3[[#This Row],[Site]]&amp;Tabla3[[#This Row],[Split]]</f>
        <v>(KG) Truck Center Remote Storage Lot26</v>
      </c>
      <c r="B2612">
        <v>26</v>
      </c>
      <c r="C2612">
        <v>14</v>
      </c>
      <c r="D2612" t="s">
        <v>60</v>
      </c>
      <c r="E2612" t="s">
        <v>53</v>
      </c>
      <c r="F2612" t="s">
        <v>61</v>
      </c>
      <c r="G2612" t="s">
        <v>41</v>
      </c>
      <c r="H2612" s="52" t="str">
        <f>VLOOKUP(Tabla3[[#This Row],[Site]],'Important Info!'!$A$1:$J$135,10,FALSE)</f>
        <v>https://tools.sig.systems/site/details/144</v>
      </c>
      <c r="I2612" s="2"/>
      <c r="J2612" t="s">
        <v>41</v>
      </c>
      <c r="K2612" s="79" t="str">
        <f>VLOOKUP(Tabla3[[#This Row],[Site]],'Important Info!'!$A$1:$H$135,8,FALSE)</f>
        <v>-</v>
      </c>
      <c r="L2612" s="52" t="str">
        <f>VLOOKUP(Tabla3[[#This Row],[Site]],'Important Info!'!$A$1:$F$135,2,FALSE)</f>
        <v>4, A23, A49</v>
      </c>
      <c r="M2612" s="52" t="str">
        <f>VLOOKUP(Tabla3[[#This Row],[Site]],'Important Info!'!$A$1:$F$135,3,FALSE)</f>
        <v>5, 24</v>
      </c>
      <c r="N2612" s="52" t="str">
        <f>VLOOKUP(Tabla3[[#This Row],[Site]],'Important Info!'!$A$1:$F$135,4,FALSE)</f>
        <v>-</v>
      </c>
      <c r="O2612" s="52" t="str">
        <f>VLOOKUP(Tabla3[[#This Row],[Site]],'Important Info!'!$A$1:$F$135,5,FALSE)</f>
        <v>1, 7, 11, 15, 19, 24, 25</v>
      </c>
      <c r="P2612" s="52" t="str">
        <f>VLOOKUP(Tabla3[[#This Row],[Site]],'Important Info!'!$A$1:$F$135,6,FALSE)</f>
        <v>9, 20, 24, A49</v>
      </c>
      <c r="Q2612" s="91">
        <f>VLOOKUP(Tabla3[[#This Row],[Site]],'Important Info!'!$A$1:$J$135,9,FALSE)</f>
        <v>144</v>
      </c>
    </row>
    <row r="2613" spans="1:17" x14ac:dyDescent="0.25">
      <c r="A2613" t="str">
        <f>+Tabla3[[#This Row],[Site]]&amp;Tabla3[[#This Row],[Split]]</f>
        <v>(ML) McLarty-Gray Daniels Chevrolet26</v>
      </c>
      <c r="B2613">
        <v>26</v>
      </c>
      <c r="C2613">
        <v>14</v>
      </c>
      <c r="D2613" t="s">
        <v>33</v>
      </c>
      <c r="E2613" t="s">
        <v>46</v>
      </c>
      <c r="F2613" t="s">
        <v>151</v>
      </c>
      <c r="G2613" t="s">
        <v>34</v>
      </c>
      <c r="H2613" s="52" t="str">
        <f>VLOOKUP(Tabla3[[#This Row],[Site]],'Important Info!'!$A$1:$J$135,10,FALSE)</f>
        <v>https://tools.sig.systems/site/details/150</v>
      </c>
      <c r="I2613" s="2"/>
      <c r="J2613" t="s">
        <v>41</v>
      </c>
      <c r="K2613" s="79" t="str">
        <f>VLOOKUP(Tabla3[[#This Row],[Site]],'Important Info!'!$A$1:$H$135,8,FALSE)</f>
        <v>-</v>
      </c>
      <c r="L2613" s="52" t="str">
        <f>VLOOKUP(Tabla3[[#This Row],[Site]],'Important Info!'!$A$1:$F$135,2,FALSE)</f>
        <v>3, 4, 5, 22, 24, 26, 28, 36</v>
      </c>
      <c r="M2613" s="52" t="str">
        <f>VLOOKUP(Tabla3[[#This Row],[Site]],'Important Info!'!$A$1:$F$135,3,FALSE)</f>
        <v>-</v>
      </c>
      <c r="N2613" s="52" t="str">
        <f>VLOOKUP(Tabla3[[#This Row],[Site]],'Important Info!'!$A$1:$F$135,4,FALSE)</f>
        <v>-</v>
      </c>
      <c r="O2613" s="52" t="str">
        <f>VLOOKUP(Tabla3[[#This Row],[Site]],'Important Info!'!$A$1:$F$135,5,FALSE)</f>
        <v>4, 7, 12, 26</v>
      </c>
      <c r="P2613" s="52" t="str">
        <f>VLOOKUP(Tabla3[[#This Row],[Site]],'Important Info!'!$A$1:$F$135,6,FALSE)</f>
        <v>1, 3, 5, 6, 23, 24</v>
      </c>
      <c r="Q2613" s="91">
        <f>VLOOKUP(Tabla3[[#This Row],[Site]],'Important Info!'!$A$1:$J$135,9,FALSE)</f>
        <v>150</v>
      </c>
    </row>
    <row r="2614" spans="1:17" x14ac:dyDescent="0.25">
      <c r="A2614" t="str">
        <f>+Tabla3[[#This Row],[Site]]&amp;Tabla3[[#This Row],[Split]]</f>
        <v>(AS) Coggin Honda Ft. Pierce (NO TOURS)26</v>
      </c>
      <c r="B2614">
        <v>26</v>
      </c>
      <c r="C2614">
        <v>15</v>
      </c>
      <c r="D2614" t="s">
        <v>62</v>
      </c>
      <c r="E2614" t="s">
        <v>35</v>
      </c>
      <c r="F2614" t="s">
        <v>501</v>
      </c>
      <c r="G2614" t="s">
        <v>490</v>
      </c>
      <c r="H2614" s="52" t="str">
        <f>VLOOKUP(Tabla3[[#This Row],[Site]],'Important Info!'!$A$1:$J$135,10,FALSE)</f>
        <v>https://tools.sig.systems/site/details/120</v>
      </c>
      <c r="I2614" t="s">
        <v>179</v>
      </c>
      <c r="J2614" t="s">
        <v>484</v>
      </c>
      <c r="K2614" s="79" t="str">
        <f>VLOOKUP(Tabla3[[#This Row],[Site]],'Important Info!'!$A$1:$H$135,8,FALSE)</f>
        <v>-</v>
      </c>
      <c r="L2614" s="52" t="str">
        <f>VLOOKUP(Tabla3[[#This Row],[Site]],'Important Info!'!$A$1:$F$135,2,FALSE)</f>
        <v>1, 2, 3, 4, 14</v>
      </c>
      <c r="M2614" s="52" t="str">
        <f>VLOOKUP(Tabla3[[#This Row],[Site]],'Important Info!'!$A$1:$F$135,3,FALSE)</f>
        <v>-</v>
      </c>
      <c r="N2614" s="52" t="str">
        <f>VLOOKUP(Tabla3[[#This Row],[Site]],'Important Info!'!$A$1:$F$135,4,FALSE)</f>
        <v>-</v>
      </c>
      <c r="O2614" s="52" t="str">
        <f>VLOOKUP(Tabla3[[#This Row],[Site]],'Important Info!'!$A$1:$F$135,5,FALSE)</f>
        <v>7, 11, 15</v>
      </c>
      <c r="P2614" s="52">
        <f>VLOOKUP(Tabla3[[#This Row],[Site]],'Important Info!'!$A$1:$F$135,6,FALSE)</f>
        <v>3</v>
      </c>
      <c r="Q2614" s="91">
        <f>VLOOKUP(Tabla3[[#This Row],[Site]],'Important Info!'!$A$1:$J$135,9,FALSE)</f>
        <v>120</v>
      </c>
    </row>
    <row r="2615" spans="1:17" x14ac:dyDescent="0.25">
      <c r="A2615" t="str">
        <f>+Tabla3[[#This Row],[Site]]&amp;Tabla3[[#This Row],[Split]]</f>
        <v>(AS) Lexus Plano I &amp; II (NO TOURS)26</v>
      </c>
      <c r="B2615">
        <v>26</v>
      </c>
      <c r="C2615">
        <v>15</v>
      </c>
      <c r="D2615" t="s">
        <v>33</v>
      </c>
      <c r="E2615" t="s">
        <v>46</v>
      </c>
      <c r="F2615" t="s">
        <v>524</v>
      </c>
      <c r="G2615" t="s">
        <v>34</v>
      </c>
      <c r="H2615" s="52" t="str">
        <f>VLOOKUP(Tabla3[[#This Row],[Site]],'Important Info!'!$A$1:$J$135,10,FALSE)</f>
        <v>https://tools.sig.systems/site/details/167</v>
      </c>
      <c r="I2615" s="63" t="s">
        <v>127</v>
      </c>
      <c r="J2615" t="s">
        <v>41</v>
      </c>
      <c r="K2615" s="79" t="str">
        <f>VLOOKUP(Tabla3[[#This Row],[Site]],'Important Info!'!$A$1:$H$135,8,FALSE)</f>
        <v>-</v>
      </c>
      <c r="L2615" s="52" t="str">
        <f>VLOOKUP(Tabla3[[#This Row],[Site]],'Important Info!'!$A$1:$F$135,2,FALSE)</f>
        <v>5, 9</v>
      </c>
      <c r="M2615" s="52" t="str">
        <f>VLOOKUP(Tabla3[[#This Row],[Site]],'Important Info!'!$A$1:$F$135,3,FALSE)</f>
        <v>-</v>
      </c>
      <c r="N2615" s="52" t="str">
        <f>VLOOKUP(Tabla3[[#This Row],[Site]],'Important Info!'!$A$1:$F$135,4,FALSE)</f>
        <v>101, 102, 103, 104</v>
      </c>
      <c r="O2615" s="52" t="str">
        <f>VLOOKUP(Tabla3[[#This Row],[Site]],'Important Info!'!$A$1:$F$135,5,FALSE)</f>
        <v>4, 10, 28</v>
      </c>
      <c r="P2615" s="52" t="str">
        <f>VLOOKUP(Tabla3[[#This Row],[Site]],'Important Info!'!$A$1:$F$135,6,FALSE)</f>
        <v>5, 9, 16</v>
      </c>
      <c r="Q2615" s="91">
        <f>VLOOKUP(Tabla3[[#This Row],[Site]],'Important Info!'!$A$1:$J$135,9,FALSE)</f>
        <v>167</v>
      </c>
    </row>
    <row r="2616" spans="1:17" x14ac:dyDescent="0.25">
      <c r="A2616" t="str">
        <f>+Tabla3[[#This Row],[Site]]&amp;Tabla3[[#This Row],[Split]]</f>
        <v>(AS) Stevinson JLR (NO TOURS)26</v>
      </c>
      <c r="B2616">
        <v>26</v>
      </c>
      <c r="C2616">
        <v>15</v>
      </c>
      <c r="D2616" t="s">
        <v>44</v>
      </c>
      <c r="E2616" t="s">
        <v>53</v>
      </c>
      <c r="F2616" t="s">
        <v>93</v>
      </c>
      <c r="G2616" t="s">
        <v>45</v>
      </c>
      <c r="H2616" s="52" t="str">
        <f>VLOOKUP(Tabla3[[#This Row],[Site]],'Important Info!'!$A$1:$J$135,10,FALSE)</f>
        <v>https://tools.sig.systems/site/details/204</v>
      </c>
      <c r="I2616" s="2"/>
      <c r="J2616" t="s">
        <v>41</v>
      </c>
      <c r="K2616" s="79" t="str">
        <f>VLOOKUP(Tabla3[[#This Row],[Site]],'Important Info!'!$A$1:$H$135,8,FALSE)</f>
        <v>-</v>
      </c>
      <c r="L2616" s="52">
        <f>VLOOKUP(Tabla3[[#This Row],[Site]],'Important Info!'!$A$1:$F$135,2,FALSE)</f>
        <v>5</v>
      </c>
      <c r="M2616" s="52">
        <f>VLOOKUP(Tabla3[[#This Row],[Site]],'Important Info!'!$A$1:$F$135,3,FALSE)</f>
        <v>4</v>
      </c>
      <c r="N2616" s="52" t="str">
        <f>VLOOKUP(Tabla3[[#This Row],[Site]],'Important Info!'!$A$1:$F$135,4,FALSE)</f>
        <v>-</v>
      </c>
      <c r="O2616" s="52">
        <f>VLOOKUP(Tabla3[[#This Row],[Site]],'Important Info!'!$A$1:$F$135,5,FALSE)</f>
        <v>3</v>
      </c>
      <c r="P2616" s="52" t="str">
        <f>VLOOKUP(Tabla3[[#This Row],[Site]],'Important Info!'!$A$1:$F$135,6,FALSE)</f>
        <v>1, 4, 15, 16</v>
      </c>
      <c r="Q2616" s="91">
        <f>VLOOKUP(Tabla3[[#This Row],[Site]],'Important Info!'!$A$1:$J$135,9,FALSE)</f>
        <v>204</v>
      </c>
    </row>
    <row r="2617" spans="1:17" x14ac:dyDescent="0.25">
      <c r="A2617" t="str">
        <f>+Tabla3[[#This Row],[Site]]&amp;Tabla3[[#This Row],[Split]]</f>
        <v>(PE) JLR Darien PDI (NO TOURS)26</v>
      </c>
      <c r="B2617">
        <v>26</v>
      </c>
      <c r="C2617">
        <v>15</v>
      </c>
      <c r="D2617" t="s">
        <v>485</v>
      </c>
      <c r="E2617" t="s">
        <v>35</v>
      </c>
      <c r="F2617" t="s">
        <v>98</v>
      </c>
      <c r="G2617" t="s">
        <v>490</v>
      </c>
      <c r="H2617" s="52" t="str">
        <f>VLOOKUP(Tabla3[[#This Row],[Site]],'Important Info!'!$A$1:$J$135,10,FALSE)</f>
        <v>https://tools.sig.systems/site/details/187</v>
      </c>
      <c r="I2617" t="s">
        <v>175</v>
      </c>
      <c r="J2617" t="s">
        <v>41</v>
      </c>
      <c r="K2617" s="79" t="str">
        <f>VLOOKUP(Tabla3[[#This Row],[Site]],'Important Info!'!$A$1:$H$135,8,FALSE)</f>
        <v>-</v>
      </c>
      <c r="L2617" s="52">
        <f>VLOOKUP(Tabla3[[#This Row],[Site]],'Important Info!'!$A$1:$F$135,2,FALSE)</f>
        <v>1</v>
      </c>
      <c r="M2617" s="52" t="str">
        <f>VLOOKUP(Tabla3[[#This Row],[Site]],'Important Info!'!$A$1:$F$135,3,FALSE)</f>
        <v>-</v>
      </c>
      <c r="N2617" s="52" t="str">
        <f>VLOOKUP(Tabla3[[#This Row],[Site]],'Important Info!'!$A$1:$F$135,4,FALSE)</f>
        <v>-</v>
      </c>
      <c r="O2617" s="52">
        <f>VLOOKUP(Tabla3[[#This Row],[Site]],'Important Info!'!$A$1:$F$135,5,FALSE)</f>
        <v>1</v>
      </c>
      <c r="P2617" s="52">
        <f>VLOOKUP(Tabla3[[#This Row],[Site]],'Important Info!'!$A$1:$F$135,6,FALSE)</f>
        <v>7</v>
      </c>
      <c r="Q2617" s="91">
        <f>VLOOKUP(Tabla3[[#This Row],[Site]],'Important Info!'!$A$1:$J$135,9,FALSE)</f>
        <v>187</v>
      </c>
    </row>
    <row r="2618" spans="1:17" x14ac:dyDescent="0.25">
      <c r="A2618" t="str">
        <f>+Tabla3[[#This Row],[Site]]&amp;Tabla3[[#This Row],[Split]]</f>
        <v>(AS) Coggin Acura Ft Pierce (NO TOURS)26</v>
      </c>
      <c r="B2618">
        <v>26</v>
      </c>
      <c r="C2618">
        <v>16</v>
      </c>
      <c r="D2618" t="s">
        <v>62</v>
      </c>
      <c r="E2618" t="s">
        <v>35</v>
      </c>
      <c r="F2618" t="s">
        <v>500</v>
      </c>
      <c r="G2618" t="s">
        <v>490</v>
      </c>
      <c r="H2618" s="52" t="str">
        <f>VLOOKUP(Tabla3[[#This Row],[Site]],'Important Info!'!$A$1:$J$135,10,FALSE)</f>
        <v>https://tools.sig.systems/site/details/118</v>
      </c>
      <c r="I2618" s="43" t="s">
        <v>179</v>
      </c>
      <c r="J2618" t="s">
        <v>41</v>
      </c>
      <c r="K2618" s="79" t="str">
        <f>VLOOKUP(Tabla3[[#This Row],[Site]],'Important Info!'!$A$1:$H$135,8,FALSE)</f>
        <v>-</v>
      </c>
      <c r="L2618" s="52" t="str">
        <f>VLOOKUP(Tabla3[[#This Row],[Site]],'Important Info!'!$A$1:$F$135,2,FALSE)</f>
        <v>-</v>
      </c>
      <c r="M2618" s="52">
        <f>VLOOKUP(Tabla3[[#This Row],[Site]],'Important Info!'!$A$1:$F$135,3,FALSE)</f>
        <v>6</v>
      </c>
      <c r="N2618" s="52" t="str">
        <f>VLOOKUP(Tabla3[[#This Row],[Site]],'Important Info!'!$A$1:$F$135,4,FALSE)</f>
        <v>-</v>
      </c>
      <c r="O2618" s="52" t="str">
        <f>VLOOKUP(Tabla3[[#This Row],[Site]],'Important Info!'!$A$1:$F$135,5,FALSE)</f>
        <v>4, 6</v>
      </c>
      <c r="P2618" s="52">
        <f>VLOOKUP(Tabla3[[#This Row],[Site]],'Important Info!'!$A$1:$F$135,6,FALSE)</f>
        <v>1</v>
      </c>
      <c r="Q2618" s="91">
        <f>VLOOKUP(Tabla3[[#This Row],[Site]],'Important Info!'!$A$1:$J$135,9,FALSE)</f>
        <v>118</v>
      </c>
    </row>
    <row r="2619" spans="1:17" x14ac:dyDescent="0.25">
      <c r="A2619" t="str">
        <f>+Tabla3[[#This Row],[Site]]&amp;Tabla3[[#This Row],[Split]]</f>
        <v>(AS) Park Place Acura (NO TOURS)26</v>
      </c>
      <c r="B2619">
        <v>26</v>
      </c>
      <c r="C2619">
        <v>16</v>
      </c>
      <c r="D2619" t="s">
        <v>33</v>
      </c>
      <c r="E2619" t="s">
        <v>46</v>
      </c>
      <c r="F2619" t="s">
        <v>513</v>
      </c>
      <c r="G2619" t="s">
        <v>34</v>
      </c>
      <c r="H2619" s="52" t="str">
        <f>VLOOKUP(Tabla3[[#This Row],[Site]],'Important Info!'!$A$1:$J$135,10,FALSE)</f>
        <v>https://tools.sig.systems/site/details/259</v>
      </c>
      <c r="I2619" s="63" t="s">
        <v>127</v>
      </c>
      <c r="J2619" t="s">
        <v>41</v>
      </c>
      <c r="K2619" s="79" t="str">
        <f>VLOOKUP(Tabla3[[#This Row],[Site]],'Important Info!'!$A$1:$H$135,8,FALSE)</f>
        <v>-</v>
      </c>
      <c r="L2619" s="52" t="str">
        <f>VLOOKUP(Tabla3[[#This Row],[Site]],'Important Info!'!$A$1:$F$135,2,FALSE)</f>
        <v>1, 2, 14, 16</v>
      </c>
      <c r="M2619" s="52" t="str">
        <f>VLOOKUP(Tabla3[[#This Row],[Site]],'Important Info!'!$A$1:$F$135,3,FALSE)</f>
        <v>-</v>
      </c>
      <c r="N2619" s="52" t="str">
        <f>VLOOKUP(Tabla3[[#This Row],[Site]],'Important Info!'!$A$1:$F$135,4,FALSE)</f>
        <v>-</v>
      </c>
      <c r="O2619" s="52" t="str">
        <f>VLOOKUP(Tabla3[[#This Row],[Site]],'Important Info!'!$A$1:$F$135,5,FALSE)</f>
        <v>1, 7, 13</v>
      </c>
      <c r="P2619" s="52" t="str">
        <f>VLOOKUP(Tabla3[[#This Row],[Site]],'Important Info!'!$A$1:$F$135,6,FALSE)</f>
        <v>-</v>
      </c>
      <c r="Q2619" s="91">
        <f>VLOOKUP(Tabla3[[#This Row],[Site]],'Important Info!'!$A$1:$J$135,9,FALSE)</f>
        <v>259</v>
      </c>
    </row>
    <row r="2620" spans="1:17" x14ac:dyDescent="0.25">
      <c r="A2620" t="str">
        <f>+Tabla3[[#This Row],[Site]]&amp;Tabla3[[#This Row],[Split]]</f>
        <v>(HUD) Honda Greensboro26</v>
      </c>
      <c r="B2620">
        <v>26</v>
      </c>
      <c r="C2620">
        <v>16</v>
      </c>
      <c r="D2620" t="s">
        <v>62</v>
      </c>
      <c r="E2620" t="s">
        <v>35</v>
      </c>
      <c r="F2620" t="s">
        <v>85</v>
      </c>
      <c r="G2620" t="s">
        <v>490</v>
      </c>
      <c r="H2620" s="52" t="str">
        <f>VLOOKUP(Tabla3[[#This Row],[Site]],'Important Info!'!$A$1:$J$135,10,FALSE)</f>
        <v>https://tools.sig.systems/site/details/230</v>
      </c>
      <c r="I2620" t="s">
        <v>186</v>
      </c>
      <c r="J2620" t="s">
        <v>41</v>
      </c>
      <c r="K2620" s="79" t="str">
        <f>VLOOKUP(Tabla3[[#This Row],[Site]],'Important Info!'!$A$1:$H$135,8,FALSE)</f>
        <v>-</v>
      </c>
      <c r="L2620" s="52" t="str">
        <f>VLOOKUP(Tabla3[[#This Row],[Site]],'Important Info!'!$A$1:$F$135,2,FALSE)</f>
        <v>1, 3,  15, 16, 22</v>
      </c>
      <c r="M2620" s="52" t="str">
        <f>VLOOKUP(Tabla3[[#This Row],[Site]],'Important Info!'!$A$1:$F$135,3,FALSE)</f>
        <v>-</v>
      </c>
      <c r="N2620" s="52" t="str">
        <f>VLOOKUP(Tabla3[[#This Row],[Site]],'Important Info!'!$A$1:$F$135,4,FALSE)</f>
        <v>-</v>
      </c>
      <c r="O2620" s="52" t="str">
        <f>VLOOKUP(Tabla3[[#This Row],[Site]],'Important Info!'!$A$1:$F$135,5,FALSE)</f>
        <v>3, 20</v>
      </c>
      <c r="P2620" s="52">
        <f>VLOOKUP(Tabla3[[#This Row],[Site]],'Important Info!'!$A$1:$F$135,6,FALSE)</f>
        <v>26</v>
      </c>
      <c r="Q2620" s="91">
        <f>VLOOKUP(Tabla3[[#This Row],[Site]],'Important Info!'!$A$1:$J$135,9,FALSE)</f>
        <v>230</v>
      </c>
    </row>
    <row r="2621" spans="1:17" x14ac:dyDescent="0.25">
      <c r="A2621" t="str">
        <f>+Tabla3[[#This Row],[Site]]&amp;Tabla3[[#This Row],[Split]]</f>
        <v>(ML) Honda of Little Rock26</v>
      </c>
      <c r="B2621">
        <v>26</v>
      </c>
      <c r="C2621">
        <v>16</v>
      </c>
      <c r="D2621" t="s">
        <v>33</v>
      </c>
      <c r="E2621" t="s">
        <v>46</v>
      </c>
      <c r="F2621" t="s">
        <v>71</v>
      </c>
      <c r="G2621" t="s">
        <v>34</v>
      </c>
      <c r="H2621" s="52" t="str">
        <f>VLOOKUP(Tabla3[[#This Row],[Site]],'Important Info!'!$A$1:$J$135,10,FALSE)</f>
        <v>https://tools.sig.systems/site/details/249</v>
      </c>
      <c r="I2621" s="2" t="s">
        <v>140</v>
      </c>
      <c r="J2621" t="s">
        <v>41</v>
      </c>
      <c r="K2621" s="79" t="str">
        <f>VLOOKUP(Tabla3[[#This Row],[Site]],'Important Info!'!$A$1:$H$135,8,FALSE)</f>
        <v>-</v>
      </c>
      <c r="L2621" s="52" t="str">
        <f>VLOOKUP(Tabla3[[#This Row],[Site]],'Important Info!'!$A$1:$F$135,2,FALSE)</f>
        <v>1, 4, 9, 14, 21</v>
      </c>
      <c r="M2621" s="52" t="str">
        <f>VLOOKUP(Tabla3[[#This Row],[Site]],'Important Info!'!$A$1:$F$135,3,FALSE)</f>
        <v>-</v>
      </c>
      <c r="N2621" s="52" t="str">
        <f>VLOOKUP(Tabla3[[#This Row],[Site]],'Important Info!'!$A$1:$F$135,4,FALSE)</f>
        <v>-</v>
      </c>
      <c r="O2621" s="52" t="str">
        <f>VLOOKUP(Tabla3[[#This Row],[Site]],'Important Info!'!$A$1:$F$135,5,FALSE)</f>
        <v>4, 14, 21</v>
      </c>
      <c r="P2621" s="52" t="str">
        <f>VLOOKUP(Tabla3[[#This Row],[Site]],'Important Info!'!$A$1:$F$135,6,FALSE)</f>
        <v>11, 12</v>
      </c>
      <c r="Q2621" s="91">
        <f>VLOOKUP(Tabla3[[#This Row],[Site]],'Important Info!'!$A$1:$J$135,9,FALSE)</f>
        <v>249</v>
      </c>
    </row>
    <row r="2622" spans="1:17" x14ac:dyDescent="0.25">
      <c r="A2622" t="str">
        <f>+Tabla3[[#This Row],[Site]]&amp;Tabla3[[#This Row],[Split]]</f>
        <v>(ML) McLarty Gray-Daniels Toyota Nissan26</v>
      </c>
      <c r="B2622">
        <v>26</v>
      </c>
      <c r="C2622">
        <v>16</v>
      </c>
      <c r="D2622" t="s">
        <v>33</v>
      </c>
      <c r="E2622" t="s">
        <v>46</v>
      </c>
      <c r="F2622" t="s">
        <v>90</v>
      </c>
      <c r="G2622" t="s">
        <v>34</v>
      </c>
      <c r="H2622" s="52" t="str">
        <f>VLOOKUP(Tabla3[[#This Row],[Site]],'Important Info!'!$A$1:$J$135,10,FALSE)</f>
        <v>https://tools.sig.systems/site/details/152</v>
      </c>
      <c r="I2622" s="43" t="s">
        <v>150</v>
      </c>
      <c r="J2622" t="s">
        <v>41</v>
      </c>
      <c r="K2622" s="79" t="str">
        <f>VLOOKUP(Tabla3[[#This Row],[Site]],'Important Info!'!$A$1:$H$135,8,FALSE)</f>
        <v>-</v>
      </c>
      <c r="L2622" s="52" t="str">
        <f>VLOOKUP(Tabla3[[#This Row],[Site]],'Important Info!'!$A$1:$F$135,2,FALSE)</f>
        <v>-</v>
      </c>
      <c r="M2622" s="52" t="str">
        <f>VLOOKUP(Tabla3[[#This Row],[Site]],'Important Info!'!$A$1:$F$135,3,FALSE)</f>
        <v>8, 11, 39, 43</v>
      </c>
      <c r="N2622" s="52" t="str">
        <f>VLOOKUP(Tabla3[[#This Row],[Site]],'Important Info!'!$A$1:$F$135,4,FALSE)</f>
        <v>-</v>
      </c>
      <c r="O2622" s="52" t="str">
        <f>VLOOKUP(Tabla3[[#This Row],[Site]],'Important Info!'!$A$1:$F$135,5,FALSE)</f>
        <v>6, 11, 15, 18</v>
      </c>
      <c r="P2622" s="52" t="str">
        <f>VLOOKUP(Tabla3[[#This Row],[Site]],'Important Info!'!$A$1:$F$135,6,FALSE)</f>
        <v>7, 8, 9</v>
      </c>
      <c r="Q2622" s="91">
        <f>VLOOKUP(Tabla3[[#This Row],[Site]],'Important Info!'!$A$1:$J$135,9,FALSE)</f>
        <v>152</v>
      </c>
    </row>
    <row r="2623" spans="1:17" x14ac:dyDescent="0.25">
      <c r="A2623" t="str">
        <f>+Tabla3[[#This Row],[Site]]&amp;Tabla3[[#This Row],[Split]]</f>
        <v>(AS) Audi of North Atlanta (NO TOURS)26</v>
      </c>
      <c r="B2623">
        <v>26</v>
      </c>
      <c r="C2623">
        <v>17</v>
      </c>
      <c r="D2623" t="s">
        <v>62</v>
      </c>
      <c r="E2623" t="s">
        <v>35</v>
      </c>
      <c r="F2623" t="s">
        <v>499</v>
      </c>
      <c r="G2623" t="s">
        <v>490</v>
      </c>
      <c r="H2623" s="52" t="str">
        <f>VLOOKUP(Tabla3[[#This Row],[Site]],'Important Info!'!$A$1:$J$135,10,FALSE)</f>
        <v>https://tools.sig.systems/site/details/124</v>
      </c>
      <c r="I2623" s="43" t="s">
        <v>166</v>
      </c>
      <c r="J2623" t="s">
        <v>41</v>
      </c>
      <c r="K2623" s="79" t="str">
        <f>VLOOKUP(Tabla3[[#This Row],[Site]],'Important Info!'!$A$1:$H$135,8,FALSE)</f>
        <v>-</v>
      </c>
      <c r="L2623" s="52" t="str">
        <f>VLOOKUP(Tabla3[[#This Row],[Site]],'Important Info!'!$A$1:$F$135,2,FALSE)</f>
        <v>1, 5, 16, 54</v>
      </c>
      <c r="M2623" s="52" t="str">
        <f>VLOOKUP(Tabla3[[#This Row],[Site]],'Important Info!'!$A$1:$F$135,3,FALSE)</f>
        <v>-</v>
      </c>
      <c r="N2623" s="52" t="str">
        <f>VLOOKUP(Tabla3[[#This Row],[Site]],'Important Info!'!$A$1:$F$135,4,FALSE)</f>
        <v>-</v>
      </c>
      <c r="O2623" s="52" t="str">
        <f>VLOOKUP(Tabla3[[#This Row],[Site]],'Important Info!'!$A$1:$F$135,5,FALSE)</f>
        <v>3, 16</v>
      </c>
      <c r="P2623" s="52" t="str">
        <f>VLOOKUP(Tabla3[[#This Row],[Site]],'Important Info!'!$A$1:$F$135,6,FALSE)</f>
        <v>2, 5, 6</v>
      </c>
      <c r="Q2623" s="91">
        <f>VLOOKUP(Tabla3[[#This Row],[Site]],'Important Info!'!$A$1:$J$135,9,FALSE)</f>
        <v>124</v>
      </c>
    </row>
    <row r="2624" spans="1:17" x14ac:dyDescent="0.25">
      <c r="A2624" t="str">
        <f>+Tabla3[[#This Row],[Site]]&amp;Tabla3[[#This Row],[Split]]</f>
        <v>(HUD) Paint and Body Center (NO TOURS)26</v>
      </c>
      <c r="B2624">
        <v>26</v>
      </c>
      <c r="C2624">
        <v>17</v>
      </c>
      <c r="D2624" t="s">
        <v>62</v>
      </c>
      <c r="E2624" t="s">
        <v>35</v>
      </c>
      <c r="F2624" t="s">
        <v>110</v>
      </c>
      <c r="G2624" t="s">
        <v>490</v>
      </c>
      <c r="H2624" s="52" t="str">
        <f>VLOOKUP(Tabla3[[#This Row],[Site]],'Important Info!'!$A$1:$J$135,10,FALSE)</f>
        <v>https://tools.sig.systems/site/details/256</v>
      </c>
      <c r="I2624" t="s">
        <v>184</v>
      </c>
      <c r="J2624" t="s">
        <v>41</v>
      </c>
      <c r="K2624" s="79" t="str">
        <f>VLOOKUP(Tabla3[[#This Row],[Site]],'Important Info!'!$A$1:$H$135,8,FALSE)</f>
        <v>-</v>
      </c>
      <c r="L2624" s="52" t="str">
        <f>VLOOKUP(Tabla3[[#This Row],[Site]],'Important Info!'!$A$1:$F$135,2,FALSE)</f>
        <v>-</v>
      </c>
      <c r="M2624" s="52">
        <f>VLOOKUP(Tabla3[[#This Row],[Site]],'Important Info!'!$A$1:$F$135,3,FALSE)</f>
        <v>1</v>
      </c>
      <c r="N2624" s="52" t="str">
        <f>VLOOKUP(Tabla3[[#This Row],[Site]],'Important Info!'!$A$1:$F$135,4,FALSE)</f>
        <v>-</v>
      </c>
      <c r="O2624" s="52" t="str">
        <f>VLOOKUP(Tabla3[[#This Row],[Site]],'Important Info!'!$A$1:$F$135,5,FALSE)</f>
        <v>-</v>
      </c>
      <c r="P2624" s="52" t="str">
        <f>VLOOKUP(Tabla3[[#This Row],[Site]],'Important Info!'!$A$1:$F$135,6,FALSE)</f>
        <v>-</v>
      </c>
      <c r="Q2624" s="91">
        <f>VLOOKUP(Tabla3[[#This Row],[Site]],'Important Info!'!$A$1:$J$135,9,FALSE)</f>
        <v>256</v>
      </c>
    </row>
    <row r="2625" spans="1:17" x14ac:dyDescent="0.25">
      <c r="A2625" t="str">
        <f>+Tabla3[[#This Row],[Site]]&amp;Tabla3[[#This Row],[Split]]</f>
        <v>(ML) McLarty Gray-Daniels Ford Lincoln26</v>
      </c>
      <c r="B2625">
        <v>26</v>
      </c>
      <c r="C2625">
        <v>17</v>
      </c>
      <c r="D2625" t="s">
        <v>33</v>
      </c>
      <c r="E2625" t="s">
        <v>46</v>
      </c>
      <c r="F2625" t="s">
        <v>89</v>
      </c>
      <c r="G2625" t="s">
        <v>34</v>
      </c>
      <c r="H2625" s="52" t="str">
        <f>VLOOKUP(Tabla3[[#This Row],[Site]],'Important Info!'!$A$1:$J$135,10,FALSE)</f>
        <v>https://tools.sig.systems/site/details/151</v>
      </c>
      <c r="I2625" s="2" t="s">
        <v>150</v>
      </c>
      <c r="J2625" t="s">
        <v>41</v>
      </c>
      <c r="K2625" s="79" t="str">
        <f>VLOOKUP(Tabla3[[#This Row],[Site]],'Important Info!'!$A$1:$H$135,8,FALSE)</f>
        <v>-</v>
      </c>
      <c r="L2625" s="52">
        <f>VLOOKUP(Tabla3[[#This Row],[Site]],'Important Info!'!$A$1:$F$135,2,FALSE)</f>
        <v>16</v>
      </c>
      <c r="M2625" s="52" t="str">
        <f>VLOOKUP(Tabla3[[#This Row],[Site]],'Important Info!'!$A$1:$F$135,3,FALSE)</f>
        <v>5, 10, 36, 38, 54, 58B</v>
      </c>
      <c r="N2625" s="52" t="str">
        <f>VLOOKUP(Tabla3[[#This Row],[Site]],'Important Info!'!$A$1:$F$135,4,FALSE)</f>
        <v>-</v>
      </c>
      <c r="O2625" s="52" t="str">
        <f>VLOOKUP(Tabla3[[#This Row],[Site]],'Important Info!'!$A$1:$F$135,5,FALSE)</f>
        <v>5, 17, 37</v>
      </c>
      <c r="P2625" s="52" t="str">
        <f>VLOOKUP(Tabla3[[#This Row],[Site]],'Important Info!'!$A$1:$F$135,6,FALSE)</f>
        <v>1, 2, 3, 4</v>
      </c>
      <c r="Q2625" s="91">
        <f>VLOOKUP(Tabla3[[#This Row],[Site]],'Important Info!'!$A$1:$J$135,9,FALSE)</f>
        <v>151</v>
      </c>
    </row>
    <row r="2626" spans="1:17" x14ac:dyDescent="0.25">
      <c r="A2626" t="str">
        <f>+Tabla3[[#This Row],[Site]]&amp;Tabla3[[#This Row],[Split]]</f>
        <v>(ML) Nissan of Little Rock26</v>
      </c>
      <c r="B2626">
        <v>26</v>
      </c>
      <c r="C2626">
        <v>17</v>
      </c>
      <c r="D2626" t="s">
        <v>33</v>
      </c>
      <c r="E2626" t="s">
        <v>46</v>
      </c>
      <c r="F2626" t="s">
        <v>152</v>
      </c>
      <c r="G2626" t="s">
        <v>34</v>
      </c>
      <c r="H2626" s="52" t="str">
        <f>VLOOKUP(Tabla3[[#This Row],[Site]],'Important Info!'!$A$1:$J$135,10,FALSE)</f>
        <v>https://tools.sig.systems/site/details/224</v>
      </c>
      <c r="I2626" t="s">
        <v>140</v>
      </c>
      <c r="J2626" t="s">
        <v>41</v>
      </c>
      <c r="K2626" s="79" t="str">
        <f>VLOOKUP(Tabla3[[#This Row],[Site]],'Important Info!'!$A$1:$H$135,8,FALSE)</f>
        <v>-</v>
      </c>
      <c r="L2626" s="52" t="str">
        <f>VLOOKUP(Tabla3[[#This Row],[Site]],'Important Info!'!$A$1:$F$135,2,FALSE)</f>
        <v>3, 6</v>
      </c>
      <c r="M2626" s="52" t="str">
        <f>VLOOKUP(Tabla3[[#This Row],[Site]],'Important Info!'!$A$1:$F$135,3,FALSE)</f>
        <v>-</v>
      </c>
      <c r="N2626" s="52" t="str">
        <f>VLOOKUP(Tabla3[[#This Row],[Site]],'Important Info!'!$A$1:$F$135,4,FALSE)</f>
        <v>-</v>
      </c>
      <c r="O2626" s="52" t="str">
        <f>VLOOKUP(Tabla3[[#This Row],[Site]],'Important Info!'!$A$1:$F$135,5,FALSE)</f>
        <v>1, 8, 16, 22</v>
      </c>
      <c r="P2626" s="52" t="str">
        <f>VLOOKUP(Tabla3[[#This Row],[Site]],'Important Info!'!$A$1:$F$135,6,FALSE)</f>
        <v>3, 4</v>
      </c>
      <c r="Q2626" s="91">
        <f>VLOOKUP(Tabla3[[#This Row],[Site]],'Important Info!'!$A$1:$J$135,9,FALSE)</f>
        <v>224</v>
      </c>
    </row>
    <row r="2627" spans="1:17" x14ac:dyDescent="0.25">
      <c r="A2627" t="str">
        <f>+Tabla3[[#This Row],[Site]]&amp;Tabla3[[#This Row],[Split]]</f>
        <v>(ML) Nissan of North Little Rock26</v>
      </c>
      <c r="B2627">
        <v>26</v>
      </c>
      <c r="C2627">
        <v>17</v>
      </c>
      <c r="D2627" t="s">
        <v>33</v>
      </c>
      <c r="E2627" t="s">
        <v>46</v>
      </c>
      <c r="F2627" t="s">
        <v>75</v>
      </c>
      <c r="G2627" t="s">
        <v>34</v>
      </c>
      <c r="H2627" s="52" t="str">
        <f>VLOOKUP(Tabla3[[#This Row],[Site]],'Important Info!'!$A$1:$J$135,10,FALSE)</f>
        <v>https://tools.sig.systems/site/details/216</v>
      </c>
      <c r="I2627" s="43" t="s">
        <v>142</v>
      </c>
      <c r="J2627" t="s">
        <v>41</v>
      </c>
      <c r="K2627" s="79" t="str">
        <f>VLOOKUP(Tabla3[[#This Row],[Site]],'Important Info!'!$A$1:$H$135,8,FALSE)</f>
        <v>-</v>
      </c>
      <c r="L2627" s="52" t="str">
        <f>VLOOKUP(Tabla3[[#This Row],[Site]],'Important Info!'!$A$1:$F$135,2,FALSE)</f>
        <v>2, 4</v>
      </c>
      <c r="M2627" s="52" t="str">
        <f>VLOOKUP(Tabla3[[#This Row],[Site]],'Important Info!'!$A$1:$F$135,3,FALSE)</f>
        <v>-</v>
      </c>
      <c r="N2627" s="52" t="str">
        <f>VLOOKUP(Tabla3[[#This Row],[Site]],'Important Info!'!$A$1:$F$135,4,FALSE)</f>
        <v>-</v>
      </c>
      <c r="O2627" s="52" t="str">
        <f>VLOOKUP(Tabla3[[#This Row],[Site]],'Important Info!'!$A$1:$F$135,5,FALSE)</f>
        <v>5, 17, 23</v>
      </c>
      <c r="P2627" s="52">
        <f>VLOOKUP(Tabla3[[#This Row],[Site]],'Important Info!'!$A$1:$F$135,6,FALSE)</f>
        <v>18</v>
      </c>
      <c r="Q2627" s="91">
        <f>VLOOKUP(Tabla3[[#This Row],[Site]],'Important Info!'!$A$1:$J$135,9,FALSE)</f>
        <v>216</v>
      </c>
    </row>
    <row r="2628" spans="1:17" x14ac:dyDescent="0.25">
      <c r="A2628" t="str">
        <f>+Tabla3[[#This Row],[Site]]&amp;Tabla3[[#This Row],[Split]]</f>
        <v>(AS) Courtesy Kia of Brandon (NO TOURS)26</v>
      </c>
      <c r="B2628">
        <v>26</v>
      </c>
      <c r="C2628">
        <v>18</v>
      </c>
      <c r="D2628" t="s">
        <v>62</v>
      </c>
      <c r="E2628" t="s">
        <v>35</v>
      </c>
      <c r="F2628" t="s">
        <v>505</v>
      </c>
      <c r="G2628" t="s">
        <v>490</v>
      </c>
      <c r="H2628" s="52" t="str">
        <f>VLOOKUP(Tabla3[[#This Row],[Site]],'Important Info!'!$A$1:$J$135,10,FALSE)</f>
        <v>https://tools.sig.systems/site/details/121</v>
      </c>
      <c r="I2628" s="2" t="s">
        <v>181</v>
      </c>
      <c r="J2628" t="s">
        <v>484</v>
      </c>
      <c r="K2628" s="79" t="str">
        <f>VLOOKUP(Tabla3[[#This Row],[Site]],'Important Info!'!$A$1:$H$135,8,FALSE)</f>
        <v>-</v>
      </c>
      <c r="L2628" s="52" t="str">
        <f>VLOOKUP(Tabla3[[#This Row],[Site]],'Important Info!'!$A$1:$F$135,2,FALSE)</f>
        <v>-</v>
      </c>
      <c r="M2628" s="52" t="str">
        <f>VLOOKUP(Tabla3[[#This Row],[Site]],'Important Info!'!$A$1:$F$135,3,FALSE)</f>
        <v>4, 8</v>
      </c>
      <c r="N2628" s="52" t="str">
        <f>VLOOKUP(Tabla3[[#This Row],[Site]],'Important Info!'!$A$1:$F$135,4,FALSE)</f>
        <v>-</v>
      </c>
      <c r="O2628" s="52" t="str">
        <f>VLOOKUP(Tabla3[[#This Row],[Site]],'Important Info!'!$A$1:$F$135,5,FALSE)</f>
        <v>3, 11, 20, 24</v>
      </c>
      <c r="P2628" s="52" t="str">
        <f>VLOOKUP(Tabla3[[#This Row],[Site]],'Important Info!'!$A$1:$F$135,6,FALSE)</f>
        <v>2, 8</v>
      </c>
      <c r="Q2628" s="91">
        <f>VLOOKUP(Tabla3[[#This Row],[Site]],'Important Info!'!$A$1:$J$135,9,FALSE)</f>
        <v>121</v>
      </c>
    </row>
    <row r="2629" spans="1:17" x14ac:dyDescent="0.25">
      <c r="A2629" t="str">
        <f>+Tabla3[[#This Row],[Site]]&amp;Tabla3[[#This Row],[Split]]</f>
        <v>(AS) Nalley Luxury Collision Center (NO TOURS)26</v>
      </c>
      <c r="B2629">
        <v>26</v>
      </c>
      <c r="C2629">
        <v>18</v>
      </c>
      <c r="D2629" t="s">
        <v>62</v>
      </c>
      <c r="E2629" t="s">
        <v>35</v>
      </c>
      <c r="F2629" t="s">
        <v>512</v>
      </c>
      <c r="G2629" t="s">
        <v>490</v>
      </c>
      <c r="H2629" s="52" t="str">
        <f>VLOOKUP(Tabla3[[#This Row],[Site]],'Important Info!'!$A$1:$J$135,10,FALSE)</f>
        <v>https://tools.sig.systems/site/details/263</v>
      </c>
      <c r="I2629" s="2" t="s">
        <v>166</v>
      </c>
      <c r="J2629" t="s">
        <v>41</v>
      </c>
      <c r="K2629" s="79" t="str">
        <f>VLOOKUP(Tabla3[[#This Row],[Site]],'Important Info!'!$A$1:$H$135,8,FALSE)</f>
        <v>-</v>
      </c>
      <c r="L2629" s="52" t="str">
        <f>VLOOKUP(Tabla3[[#This Row],[Site]],'Important Info!'!$A$1:$F$135,2,FALSE)</f>
        <v>6, 13</v>
      </c>
      <c r="M2629" s="52" t="str">
        <f>VLOOKUP(Tabla3[[#This Row],[Site]],'Important Info!'!$A$1:$F$135,3,FALSE)</f>
        <v>-</v>
      </c>
      <c r="N2629" s="52" t="str">
        <f>VLOOKUP(Tabla3[[#This Row],[Site]],'Important Info!'!$A$1:$F$135,4,FALSE)</f>
        <v>-</v>
      </c>
      <c r="O2629" s="52" t="str">
        <f>VLOOKUP(Tabla3[[#This Row],[Site]],'Important Info!'!$A$1:$F$135,5,FALSE)</f>
        <v>-</v>
      </c>
      <c r="P2629" s="52" t="str">
        <f>VLOOKUP(Tabla3[[#This Row],[Site]],'Important Info!'!$A$1:$F$135,6,FALSE)</f>
        <v>6, 7, 12</v>
      </c>
      <c r="Q2629" s="91">
        <f>VLOOKUP(Tabla3[[#This Row],[Site]],'Important Info!'!$A$1:$J$135,9,FALSE)</f>
        <v>263</v>
      </c>
    </row>
    <row r="2630" spans="1:17" x14ac:dyDescent="0.25">
      <c r="A2630" t="str">
        <f>+Tabla3[[#This Row],[Site]]&amp;Tabla3[[#This Row],[Split]]</f>
        <v>(DT) N. Houston26</v>
      </c>
      <c r="B2630">
        <v>26</v>
      </c>
      <c r="C2630">
        <v>18</v>
      </c>
      <c r="D2630" t="s">
        <v>33</v>
      </c>
      <c r="E2630" t="s">
        <v>46</v>
      </c>
      <c r="F2630" t="s">
        <v>68</v>
      </c>
      <c r="G2630" t="s">
        <v>34</v>
      </c>
      <c r="H2630" s="52" t="str">
        <f>VLOOKUP(Tabla3[[#This Row],[Site]],'Important Info!'!$A$1:$J$135,10,FALSE)</f>
        <v>https://tools.sig.systems/site/details/250</v>
      </c>
      <c r="I2630" s="43"/>
      <c r="J2630" t="s">
        <v>41</v>
      </c>
      <c r="K2630" s="79" t="str">
        <f>VLOOKUP(Tabla3[[#This Row],[Site]],'Important Info!'!$A$1:$H$135,8,FALSE)</f>
        <v>-</v>
      </c>
      <c r="L2630" s="52" t="str">
        <f>VLOOKUP(Tabla3[[#This Row],[Site]],'Important Info!'!$A$1:$F$135,2,FALSE)</f>
        <v>2, 10, 18</v>
      </c>
      <c r="M2630" s="52" t="str">
        <f>VLOOKUP(Tabla3[[#This Row],[Site]],'Important Info!'!$A$1:$F$135,3,FALSE)</f>
        <v>-</v>
      </c>
      <c r="N2630" s="52" t="str">
        <f>VLOOKUP(Tabla3[[#This Row],[Site]],'Important Info!'!$A$1:$F$135,4,FALSE)</f>
        <v>-</v>
      </c>
      <c r="O2630" s="52">
        <f>VLOOKUP(Tabla3[[#This Row],[Site]],'Important Info!'!$A$1:$F$135,5,FALSE)</f>
        <v>15</v>
      </c>
      <c r="P2630" s="52" t="str">
        <f>VLOOKUP(Tabla3[[#This Row],[Site]],'Important Info!'!$A$1:$F$135,6,FALSE)</f>
        <v>2, 4, 18</v>
      </c>
      <c r="Q2630" s="91">
        <f>VLOOKUP(Tabla3[[#This Row],[Site]],'Important Info!'!$A$1:$J$135,9,FALSE)</f>
        <v>250</v>
      </c>
    </row>
    <row r="2631" spans="1:17" x14ac:dyDescent="0.25">
      <c r="A2631" t="str">
        <f>+Tabla3[[#This Row],[Site]]&amp;Tabla3[[#This Row],[Split]]</f>
        <v>(KG) JLR LEHI (NO TOURS)26</v>
      </c>
      <c r="B2631">
        <v>26</v>
      </c>
      <c r="C2631">
        <v>18</v>
      </c>
      <c r="D2631" t="s">
        <v>44</v>
      </c>
      <c r="E2631" t="s">
        <v>53</v>
      </c>
      <c r="F2631" t="s">
        <v>8</v>
      </c>
      <c r="G2631" t="s">
        <v>45</v>
      </c>
      <c r="H2631" s="52" t="str">
        <f>VLOOKUP(Tabla3[[#This Row],[Site]],'Important Info!'!$A$1:$J$135,10,FALSE)</f>
        <v>https://tools.sig.systems/site/details/145</v>
      </c>
      <c r="I2631" s="43"/>
      <c r="J2631" t="s">
        <v>41</v>
      </c>
      <c r="K2631" s="79" t="str">
        <f>VLOOKUP(Tabla3[[#This Row],[Site]],'Important Info!'!$A$1:$H$135,8,FALSE)</f>
        <v>-</v>
      </c>
      <c r="L2631" s="52" t="str">
        <f>VLOOKUP(Tabla3[[#This Row],[Site]],'Important Info!'!$A$1:$F$135,2,FALSE)</f>
        <v>1, 11</v>
      </c>
      <c r="M2631" s="52" t="str">
        <f>VLOOKUP(Tabla3[[#This Row],[Site]],'Important Info!'!$A$1:$F$135,3,FALSE)</f>
        <v>-</v>
      </c>
      <c r="N2631" s="52" t="str">
        <f>VLOOKUP(Tabla3[[#This Row],[Site]],'Important Info!'!$A$1:$F$135,4,FALSE)</f>
        <v>-</v>
      </c>
      <c r="O2631" s="52" t="str">
        <f>VLOOKUP(Tabla3[[#This Row],[Site]],'Important Info!'!$A$1:$F$135,5,FALSE)</f>
        <v>1, 7, 11</v>
      </c>
      <c r="P2631" s="52" t="str">
        <f>VLOOKUP(Tabla3[[#This Row],[Site]],'Important Info!'!$A$1:$F$135,6,FALSE)</f>
        <v>-</v>
      </c>
      <c r="Q2631" s="91">
        <f>VLOOKUP(Tabla3[[#This Row],[Site]],'Important Info!'!$A$1:$J$135,9,FALSE)</f>
        <v>145</v>
      </c>
    </row>
    <row r="2632" spans="1:17" x14ac:dyDescent="0.25">
      <c r="A2632" t="str">
        <f>+Tabla3[[#This Row],[Site]]&amp;Tabla3[[#This Row],[Split]]</f>
        <v>(ML) BMW of Little Rock26</v>
      </c>
      <c r="B2632">
        <v>26</v>
      </c>
      <c r="C2632">
        <v>18</v>
      </c>
      <c r="D2632" t="s">
        <v>33</v>
      </c>
      <c r="E2632" t="s">
        <v>46</v>
      </c>
      <c r="F2632" t="s">
        <v>139</v>
      </c>
      <c r="G2632" t="s">
        <v>34</v>
      </c>
      <c r="H2632" s="52" t="str">
        <f>VLOOKUP(Tabla3[[#This Row],[Site]],'Important Info!'!$A$1:$J$135,10,FALSE)</f>
        <v>https://tools.sig.systems/site/details/217</v>
      </c>
      <c r="I2632" t="s">
        <v>140</v>
      </c>
      <c r="J2632" t="s">
        <v>41</v>
      </c>
      <c r="K2632" s="79" t="str">
        <f>VLOOKUP(Tabla3[[#This Row],[Site]],'Important Info!'!$A$1:$H$135,8,FALSE)</f>
        <v>-</v>
      </c>
      <c r="L2632" s="52" t="str">
        <f>VLOOKUP(Tabla3[[#This Row],[Site]],'Important Info!'!$A$1:$F$135,2,FALSE)</f>
        <v>-</v>
      </c>
      <c r="M2632" s="52">
        <f>VLOOKUP(Tabla3[[#This Row],[Site]],'Important Info!'!$A$1:$F$135,3,FALSE)</f>
        <v>14</v>
      </c>
      <c r="N2632" s="52" t="str">
        <f>VLOOKUP(Tabla3[[#This Row],[Site]],'Important Info!'!$A$1:$F$135,4,FALSE)</f>
        <v>-</v>
      </c>
      <c r="O2632" s="52" t="str">
        <f>VLOOKUP(Tabla3[[#This Row],[Site]],'Important Info!'!$A$1:$F$135,5,FALSE)</f>
        <v>-</v>
      </c>
      <c r="P2632" s="52" t="str">
        <f>VLOOKUP(Tabla3[[#This Row],[Site]],'Important Info!'!$A$1:$F$135,6,FALSE)</f>
        <v>5, 6, 7, 8, 9, 32</v>
      </c>
      <c r="Q2632" s="91">
        <f>VLOOKUP(Tabla3[[#This Row],[Site]],'Important Info!'!$A$1:$J$135,9,FALSE)</f>
        <v>217</v>
      </c>
    </row>
    <row r="2633" spans="1:17" x14ac:dyDescent="0.25">
      <c r="A2633" t="str">
        <f>+Tabla3[[#This Row],[Site]]&amp;Tabla3[[#This Row],[Split]]</f>
        <v>(PE) BMW of Mamaroneck (NO TOURS)26</v>
      </c>
      <c r="B2633">
        <v>26</v>
      </c>
      <c r="C2633">
        <v>18</v>
      </c>
      <c r="D2633" t="s">
        <v>485</v>
      </c>
      <c r="E2633" t="s">
        <v>35</v>
      </c>
      <c r="F2633" t="s">
        <v>172</v>
      </c>
      <c r="G2633" t="s">
        <v>490</v>
      </c>
      <c r="H2633" s="52" t="str">
        <f>VLOOKUP(Tabla3[[#This Row],[Site]],'Important Info!'!$A$1:$J$135,10,FALSE)</f>
        <v>https://tools.sig.systems/site/details/185</v>
      </c>
      <c r="I2633" s="43"/>
      <c r="J2633" t="s">
        <v>41</v>
      </c>
      <c r="K2633" s="79" t="str">
        <f>VLOOKUP(Tabla3[[#This Row],[Site]],'Important Info!'!$A$1:$H$135,8,FALSE)</f>
        <v>-</v>
      </c>
      <c r="L2633" s="52">
        <f>VLOOKUP(Tabla3[[#This Row],[Site]],'Important Info!'!$A$1:$F$135,2,FALSE)</f>
        <v>9</v>
      </c>
      <c r="M2633" s="52" t="str">
        <f>VLOOKUP(Tabla3[[#This Row],[Site]],'Important Info!'!$A$1:$F$135,3,FALSE)</f>
        <v>2, 3, 4, 5</v>
      </c>
      <c r="N2633" s="52" t="str">
        <f>VLOOKUP(Tabla3[[#This Row],[Site]],'Important Info!'!$A$1:$F$135,4,FALSE)</f>
        <v>-</v>
      </c>
      <c r="O2633" s="52" t="str">
        <f>VLOOKUP(Tabla3[[#This Row],[Site]],'Important Info!'!$A$1:$F$135,5,FALSE)</f>
        <v>-</v>
      </c>
      <c r="P2633" s="52" t="str">
        <f>VLOOKUP(Tabla3[[#This Row],[Site]],'Important Info!'!$A$1:$F$135,6,FALSE)</f>
        <v>4, 6, 7, 8</v>
      </c>
      <c r="Q2633" s="91">
        <f>VLOOKUP(Tabla3[[#This Row],[Site]],'Important Info!'!$A$1:$J$135,9,FALSE)</f>
        <v>185</v>
      </c>
    </row>
    <row r="2634" spans="1:17" x14ac:dyDescent="0.25">
      <c r="A2634" t="str">
        <f>+Tabla3[[#This Row],[Site]]&amp;Tabla3[[#This Row],[Split]]</f>
        <v>(AS) Stevinson Chevrolet Golden (NO TOURS)26</v>
      </c>
      <c r="B2634">
        <v>26</v>
      </c>
      <c r="C2634">
        <v>19</v>
      </c>
      <c r="D2634" t="s">
        <v>488</v>
      </c>
      <c r="E2634" t="s">
        <v>53</v>
      </c>
      <c r="F2634" t="s">
        <v>190</v>
      </c>
      <c r="G2634" t="s">
        <v>45</v>
      </c>
      <c r="H2634" s="52" t="str">
        <f>VLOOKUP(Tabla3[[#This Row],[Site]],'Important Info!'!$A$1:$J$135,10,FALSE)</f>
        <v>https://tools.sig.systems/site/details/264</v>
      </c>
      <c r="I2634" s="2" t="s">
        <v>154</v>
      </c>
      <c r="J2634" t="s">
        <v>41</v>
      </c>
      <c r="K2634" s="79" t="str">
        <f>VLOOKUP(Tabla3[[#This Row],[Site]],'Important Info!'!$A$1:$H$135,8,FALSE)</f>
        <v>-</v>
      </c>
      <c r="L2634" s="52" t="str">
        <f>VLOOKUP(Tabla3[[#This Row],[Site]],'Important Info!'!$A$1:$F$135,2,FALSE)</f>
        <v>-</v>
      </c>
      <c r="M2634" s="52" t="str">
        <f>VLOOKUP(Tabla3[[#This Row],[Site]],'Important Info!'!$A$1:$F$135,3,FALSE)</f>
        <v>1, 19</v>
      </c>
      <c r="N2634" s="52" t="str">
        <f>VLOOKUP(Tabla3[[#This Row],[Site]],'Important Info!'!$A$1:$F$135,4,FALSE)</f>
        <v>-</v>
      </c>
      <c r="O2634" s="52" t="str">
        <f>VLOOKUP(Tabla3[[#This Row],[Site]],'Important Info!'!$A$1:$F$135,5,FALSE)</f>
        <v>14, 30</v>
      </c>
      <c r="P2634" s="52" t="str">
        <f>VLOOKUP(Tabla3[[#This Row],[Site]],'Important Info!'!$A$1:$F$135,6,FALSE)</f>
        <v>14, 33, 34, 35, 36</v>
      </c>
      <c r="Q2634" s="91">
        <f>VLOOKUP(Tabla3[[#This Row],[Site]],'Important Info!'!$A$1:$J$135,9,FALSE)</f>
        <v>264</v>
      </c>
    </row>
    <row r="2635" spans="1:17" x14ac:dyDescent="0.25">
      <c r="A2635" t="str">
        <f>+Tabla3[[#This Row],[Site]]&amp;Tabla3[[#This Row],[Split]]</f>
        <v>(DT) Colorado Springs (NO TOURS)26</v>
      </c>
      <c r="B2635">
        <v>26</v>
      </c>
      <c r="C2635">
        <v>19</v>
      </c>
      <c r="D2635" t="s">
        <v>44</v>
      </c>
      <c r="E2635" t="s">
        <v>53</v>
      </c>
      <c r="F2635" t="s">
        <v>156</v>
      </c>
      <c r="G2635" t="s">
        <v>45</v>
      </c>
      <c r="H2635" s="52" t="str">
        <f>VLOOKUP(Tabla3[[#This Row],[Site]],'Important Info!'!$A$1:$J$135,10,FALSE)</f>
        <v>https://tools.sig.systems/site/details/198</v>
      </c>
      <c r="J2635" t="s">
        <v>41</v>
      </c>
      <c r="K2635" s="79" t="str">
        <f>VLOOKUP(Tabla3[[#This Row],[Site]],'Important Info!'!$A$1:$H$135,8,FALSE)</f>
        <v>-</v>
      </c>
      <c r="L2635" s="52" t="str">
        <f>VLOOKUP(Tabla3[[#This Row],[Site]],'Important Info!'!$A$1:$F$135,2,FALSE)</f>
        <v>-</v>
      </c>
      <c r="M2635" s="52" t="str">
        <f>VLOOKUP(Tabla3[[#This Row],[Site]],'Important Info!'!$A$1:$F$135,3,FALSE)</f>
        <v>1, 2, 3, 4</v>
      </c>
      <c r="N2635" s="52" t="str">
        <f>VLOOKUP(Tabla3[[#This Row],[Site]],'Important Info!'!$A$1:$F$135,4,FALSE)</f>
        <v>-</v>
      </c>
      <c r="O2635" s="52" t="str">
        <f>VLOOKUP(Tabla3[[#This Row],[Site]],'Important Info!'!$A$1:$F$135,5,FALSE)</f>
        <v>-</v>
      </c>
      <c r="P2635" s="52" t="str">
        <f>VLOOKUP(Tabla3[[#This Row],[Site]],'Important Info!'!$A$1:$F$135,6,FALSE)</f>
        <v>1, 2, 3, 11</v>
      </c>
      <c r="Q2635" s="91">
        <f>VLOOKUP(Tabla3[[#This Row],[Site]],'Important Info!'!$A$1:$J$135,9,FALSE)</f>
        <v>198</v>
      </c>
    </row>
    <row r="2636" spans="1:17" x14ac:dyDescent="0.25">
      <c r="A2636" t="str">
        <f>+Tabla3[[#This Row],[Site]]&amp;Tabla3[[#This Row],[Split]]</f>
        <v>(KG) Clear Lake Pre-Owned26</v>
      </c>
      <c r="B2636">
        <v>26</v>
      </c>
      <c r="C2636">
        <v>19</v>
      </c>
      <c r="D2636" t="s">
        <v>33</v>
      </c>
      <c r="E2636" t="s">
        <v>46</v>
      </c>
      <c r="F2636" t="s">
        <v>87</v>
      </c>
      <c r="G2636" t="s">
        <v>34</v>
      </c>
      <c r="H2636" s="52" t="str">
        <f>VLOOKUP(Tabla3[[#This Row],[Site]],'Important Info!'!$A$1:$J$135,10,FALSE)</f>
        <v>https://tools.sig.systems/site/details/255</v>
      </c>
      <c r="I2636" s="2" t="s">
        <v>134</v>
      </c>
      <c r="J2636" t="s">
        <v>41</v>
      </c>
      <c r="K2636" s="79" t="str">
        <f>VLOOKUP(Tabla3[[#This Row],[Site]],'Important Info!'!$A$1:$H$135,8,FALSE)</f>
        <v>-</v>
      </c>
      <c r="L2636" s="52" t="str">
        <f>VLOOKUP(Tabla3[[#This Row],[Site]],'Important Info!'!$A$1:$F$135,2,FALSE)</f>
        <v>3, 5</v>
      </c>
      <c r="M2636" s="52" t="str">
        <f>VLOOKUP(Tabla3[[#This Row],[Site]],'Important Info!'!$A$1:$F$135,3,FALSE)</f>
        <v>-</v>
      </c>
      <c r="N2636" s="52" t="str">
        <f>VLOOKUP(Tabla3[[#This Row],[Site]],'Important Info!'!$A$1:$F$135,4,FALSE)</f>
        <v>-</v>
      </c>
      <c r="O2636" s="52" t="str">
        <f>VLOOKUP(Tabla3[[#This Row],[Site]],'Important Info!'!$A$1:$F$135,5,FALSE)</f>
        <v>4, 10, 22</v>
      </c>
      <c r="P2636" s="52" t="str">
        <f>VLOOKUP(Tabla3[[#This Row],[Site]],'Important Info!'!$A$1:$F$135,6,FALSE)</f>
        <v>8, 15, 20</v>
      </c>
      <c r="Q2636" s="91">
        <f>VLOOKUP(Tabla3[[#This Row],[Site]],'Important Info!'!$A$1:$J$135,9,FALSE)</f>
        <v>255</v>
      </c>
    </row>
    <row r="2637" spans="1:17" x14ac:dyDescent="0.25">
      <c r="A2637" t="str">
        <f>+Tabla3[[#This Row],[Site]]&amp;Tabla3[[#This Row],[Split]]</f>
        <v>(PE) Honda of Danbury (NO TOURS)26</v>
      </c>
      <c r="B2637">
        <v>26</v>
      </c>
      <c r="C2637">
        <v>19</v>
      </c>
      <c r="D2637" t="s">
        <v>485</v>
      </c>
      <c r="E2637" t="s">
        <v>35</v>
      </c>
      <c r="F2637" t="s">
        <v>174</v>
      </c>
      <c r="G2637" t="s">
        <v>490</v>
      </c>
      <c r="H2637" s="52" t="str">
        <f>VLOOKUP(Tabla3[[#This Row],[Site]],'Important Info!'!$A$1:$J$135,10,FALSE)</f>
        <v>https://tools.sig.systems/site/details/190</v>
      </c>
      <c r="I2637" s="2"/>
      <c r="J2637" t="s">
        <v>41</v>
      </c>
      <c r="K2637" s="79" t="str">
        <f>VLOOKUP(Tabla3[[#This Row],[Site]],'Important Info!'!$A$1:$H$135,8,FALSE)</f>
        <v>-</v>
      </c>
      <c r="L2637" s="52" t="str">
        <f>VLOOKUP(Tabla3[[#This Row],[Site]],'Important Info!'!$A$1:$F$135,2,FALSE)</f>
        <v>-</v>
      </c>
      <c r="M2637" s="52" t="str">
        <f>VLOOKUP(Tabla3[[#This Row],[Site]],'Important Info!'!$A$1:$F$135,3,FALSE)</f>
        <v>20, 9</v>
      </c>
      <c r="N2637" s="52">
        <f>VLOOKUP(Tabla3[[#This Row],[Site]],'Important Info!'!$A$1:$F$135,4,FALSE)</f>
        <v>9</v>
      </c>
      <c r="O2637" s="52" t="str">
        <f>VLOOKUP(Tabla3[[#This Row],[Site]],'Important Info!'!$A$1:$F$135,5,FALSE)</f>
        <v>-</v>
      </c>
      <c r="P2637" s="52" t="str">
        <f>VLOOKUP(Tabla3[[#This Row],[Site]],'Important Info!'!$A$1:$F$135,6,FALSE)</f>
        <v>9, 16, 17</v>
      </c>
      <c r="Q2637" s="91">
        <f>VLOOKUP(Tabla3[[#This Row],[Site]],'Important Info!'!$A$1:$J$135,9,FALSE)</f>
        <v>190</v>
      </c>
    </row>
    <row r="2638" spans="1:17" x14ac:dyDescent="0.25">
      <c r="A2638" t="str">
        <f>+Tabla3[[#This Row],[Site]]&amp;Tabla3[[#This Row],[Split]]</f>
        <v>(RV) Toms Camperland Surprise (NO TOURS)26</v>
      </c>
      <c r="B2638">
        <v>26</v>
      </c>
      <c r="C2638">
        <v>19</v>
      </c>
      <c r="D2638" t="s">
        <v>51</v>
      </c>
      <c r="E2638" t="s">
        <v>161</v>
      </c>
      <c r="F2638" t="s">
        <v>165</v>
      </c>
      <c r="G2638" t="s">
        <v>52</v>
      </c>
      <c r="H2638" s="52" t="str">
        <f>VLOOKUP(Tabla3[[#This Row],[Site]],'Important Info!'!$A$1:$J$135,10,FALSE)</f>
        <v>https://tools.sig.systems/site/details/254</v>
      </c>
      <c r="I2638" s="43"/>
      <c r="J2638" t="s">
        <v>52</v>
      </c>
      <c r="K2638" s="79" t="str">
        <f>VLOOKUP(Tabla3[[#This Row],[Site]],'Important Info!'!$A$1:$H$135,8,FALSE)</f>
        <v>-</v>
      </c>
      <c r="L2638" s="52" t="str">
        <f>VLOOKUP(Tabla3[[#This Row],[Site]],'Important Info!'!$A$1:$F$135,2,FALSE)</f>
        <v>1, 3, 4</v>
      </c>
      <c r="M2638" s="52" t="str">
        <f>VLOOKUP(Tabla3[[#This Row],[Site]],'Important Info!'!$A$1:$F$135,3,FALSE)</f>
        <v>-</v>
      </c>
      <c r="N2638" s="52" t="str">
        <f>VLOOKUP(Tabla3[[#This Row],[Site]],'Important Info!'!$A$1:$F$135,4,FALSE)</f>
        <v>-</v>
      </c>
      <c r="O2638" s="52" t="str">
        <f>VLOOKUP(Tabla3[[#This Row],[Site]],'Important Info!'!$A$1:$F$135,5,FALSE)</f>
        <v>-</v>
      </c>
      <c r="P2638" s="52" t="str">
        <f>VLOOKUP(Tabla3[[#This Row],[Site]],'Important Info!'!$A$1:$F$135,6,FALSE)</f>
        <v>1, 2, 3, 4, 15</v>
      </c>
      <c r="Q2638" s="91">
        <f>VLOOKUP(Tabla3[[#This Row],[Site]],'Important Info!'!$A$1:$J$135,9,FALSE)</f>
        <v>254</v>
      </c>
    </row>
    <row r="2639" spans="1:17" x14ac:dyDescent="0.25">
      <c r="A2639" t="str">
        <f>+Tabla3[[#This Row],[Site]]&amp;Tabla3[[#This Row],[Split]]</f>
        <v>(AS) Courtesy CDJR of Brandon (NO TOURS)26</v>
      </c>
      <c r="B2639">
        <v>26</v>
      </c>
      <c r="C2639">
        <v>20</v>
      </c>
      <c r="D2639" t="s">
        <v>62</v>
      </c>
      <c r="E2639" t="s">
        <v>35</v>
      </c>
      <c r="F2639" t="s">
        <v>503</v>
      </c>
      <c r="G2639" t="s">
        <v>490</v>
      </c>
      <c r="H2639" s="52" t="str">
        <f>VLOOKUP(Tabla3[[#This Row],[Site]],'Important Info!'!$A$1:$J$135,10,FALSE)</f>
        <v>https://tools.sig.systems/site/details/126</v>
      </c>
      <c r="I2639" s="2" t="s">
        <v>181</v>
      </c>
      <c r="J2639" t="s">
        <v>484</v>
      </c>
      <c r="K2639" s="79" t="str">
        <f>VLOOKUP(Tabla3[[#This Row],[Site]],'Important Info!'!$A$1:$H$135,8,FALSE)</f>
        <v>-</v>
      </c>
      <c r="L2639" s="52" t="str">
        <f>VLOOKUP(Tabla3[[#This Row],[Site]],'Important Info!'!$A$1:$F$135,2,FALSE)</f>
        <v>1, 14, 15</v>
      </c>
      <c r="M2639" s="52">
        <f>VLOOKUP(Tabla3[[#This Row],[Site]],'Important Info!'!$A$1:$F$135,3,FALSE)</f>
        <v>1</v>
      </c>
      <c r="N2639" s="52" t="str">
        <f>VLOOKUP(Tabla3[[#This Row],[Site]],'Important Info!'!$A$1:$F$135,4,FALSE)</f>
        <v>-</v>
      </c>
      <c r="O2639" s="52" t="str">
        <f>VLOOKUP(Tabla3[[#This Row],[Site]],'Important Info!'!$A$1:$F$135,5,FALSE)</f>
        <v>2, 12</v>
      </c>
      <c r="P2639" s="52" t="str">
        <f>VLOOKUP(Tabla3[[#This Row],[Site]],'Important Info!'!$A$1:$F$135,6,FALSE)</f>
        <v xml:space="preserve">1, 2, 3, 4, 14, 15, 21, 25 </v>
      </c>
      <c r="Q2639" s="91">
        <f>VLOOKUP(Tabla3[[#This Row],[Site]],'Important Info!'!$A$1:$J$135,9,FALSE)</f>
        <v>126</v>
      </c>
    </row>
    <row r="2640" spans="1:17" x14ac:dyDescent="0.25">
      <c r="A2640" t="str">
        <f>+Tabla3[[#This Row],[Site]]&amp;Tabla3[[#This Row],[Split]]</f>
        <v>(AS) Stevinson Toyota West (NO TOURS)26</v>
      </c>
      <c r="B2640">
        <v>26</v>
      </c>
      <c r="C2640">
        <v>20</v>
      </c>
      <c r="D2640" t="s">
        <v>44</v>
      </c>
      <c r="E2640" t="s">
        <v>53</v>
      </c>
      <c r="F2640" t="s">
        <v>79</v>
      </c>
      <c r="G2640" t="s">
        <v>45</v>
      </c>
      <c r="H2640" s="52" t="str">
        <f>VLOOKUP(Tabla3[[#This Row],[Site]],'Important Info!'!$A$1:$J$135,10,FALSE)</f>
        <v>https://tools.sig.systems/site/details/240</v>
      </c>
      <c r="I2640" s="2" t="s">
        <v>154</v>
      </c>
      <c r="J2640" t="s">
        <v>41</v>
      </c>
      <c r="K2640" s="79" t="str">
        <f>VLOOKUP(Tabla3[[#This Row],[Site]],'Important Info!'!$A$1:$H$135,8,FALSE)</f>
        <v>-</v>
      </c>
      <c r="L2640" s="52" t="str">
        <f>VLOOKUP(Tabla3[[#This Row],[Site]],'Important Info!'!$A$1:$F$135,2,FALSE)</f>
        <v>-</v>
      </c>
      <c r="M2640" s="52" t="str">
        <f>VLOOKUP(Tabla3[[#This Row],[Site]],'Important Info!'!$A$1:$F$135,3,FALSE)</f>
        <v>7, 18, 21</v>
      </c>
      <c r="N2640" s="52" t="str">
        <f>VLOOKUP(Tabla3[[#This Row],[Site]],'Important Info!'!$A$1:$F$135,4,FALSE)</f>
        <v>-</v>
      </c>
      <c r="O2640" s="52" t="str">
        <f>VLOOKUP(Tabla3[[#This Row],[Site]],'Important Info!'!$A$1:$F$135,5,FALSE)</f>
        <v>11, 24, 34</v>
      </c>
      <c r="P2640" s="52" t="str">
        <f>VLOOKUP(Tabla3[[#This Row],[Site]],'Important Info!'!$A$1:$F$135,6,FALSE)</f>
        <v>1, 2, 3, 12</v>
      </c>
      <c r="Q2640" s="91">
        <f>VLOOKUP(Tabla3[[#This Row],[Site]],'Important Info!'!$A$1:$J$135,9,FALSE)</f>
        <v>240</v>
      </c>
    </row>
    <row r="2641" spans="1:17" x14ac:dyDescent="0.25">
      <c r="A2641" t="str">
        <f>+Tabla3[[#This Row],[Site]]&amp;Tabla3[[#This Row],[Split]]</f>
        <v>(KG) Big Star Ford26</v>
      </c>
      <c r="B2641">
        <v>26</v>
      </c>
      <c r="C2641">
        <v>20</v>
      </c>
      <c r="D2641" t="s">
        <v>33</v>
      </c>
      <c r="E2641" t="s">
        <v>46</v>
      </c>
      <c r="F2641" t="s">
        <v>135</v>
      </c>
      <c r="G2641" t="s">
        <v>34</v>
      </c>
      <c r="H2641" s="52" t="str">
        <f>VLOOKUP(Tabla3[[#This Row],[Site]],'Important Info!'!$A$1:$J$135,10,FALSE)</f>
        <v>https://tools.sig.systems/site/details/235</v>
      </c>
      <c r="I2641" s="43"/>
      <c r="J2641" t="s">
        <v>41</v>
      </c>
      <c r="K2641" s="79" t="str">
        <f>VLOOKUP(Tabla3[[#This Row],[Site]],'Important Info!'!$A$1:$H$135,8,FALSE)</f>
        <v>-</v>
      </c>
      <c r="L2641" s="52" t="str">
        <f>VLOOKUP(Tabla3[[#This Row],[Site]],'Important Info!'!$A$1:$F$135,2,FALSE)</f>
        <v>4, 22, 32, 33</v>
      </c>
      <c r="M2641" s="52" t="str">
        <f>VLOOKUP(Tabla3[[#This Row],[Site]],'Important Info!'!$A$1:$F$135,3,FALSE)</f>
        <v>-</v>
      </c>
      <c r="N2641" s="52" t="str">
        <f>VLOOKUP(Tabla3[[#This Row],[Site]],'Important Info!'!$A$1:$F$135,4,FALSE)</f>
        <v>-</v>
      </c>
      <c r="O2641" s="52" t="str">
        <f>VLOOKUP(Tabla3[[#This Row],[Site]],'Important Info!'!$A$1:$F$135,5,FALSE)</f>
        <v>1, 5, 12, 21</v>
      </c>
      <c r="P2641" s="52">
        <f>VLOOKUP(Tabla3[[#This Row],[Site]],'Important Info!'!$A$1:$F$135,6,FALSE)</f>
        <v>22</v>
      </c>
      <c r="Q2641" s="91">
        <f>VLOOKUP(Tabla3[[#This Row],[Site]],'Important Info!'!$A$1:$J$135,9,FALSE)</f>
        <v>235</v>
      </c>
    </row>
    <row r="2642" spans="1:17" x14ac:dyDescent="0.25">
      <c r="A2642" t="str">
        <f>+Tabla3[[#This Row],[Site]]&amp;Tabla3[[#This Row],[Split]]</f>
        <v>(AS) Plaza Lexus/Mercedes/BMW (NO TOURS)26</v>
      </c>
      <c r="B2642">
        <v>26</v>
      </c>
      <c r="C2642">
        <v>21</v>
      </c>
      <c r="D2642" t="s">
        <v>33</v>
      </c>
      <c r="E2642" t="s">
        <v>46</v>
      </c>
      <c r="F2642" t="s">
        <v>92</v>
      </c>
      <c r="G2642" t="s">
        <v>34</v>
      </c>
      <c r="H2642" s="52" t="str">
        <f>VLOOKUP(Tabla3[[#This Row],[Site]],'Important Info!'!$A$1:$J$135,10,FALSE)</f>
        <v>https://tools.sig.systems/site/details/141</v>
      </c>
      <c r="I2642" t="s">
        <v>130</v>
      </c>
      <c r="J2642" t="s">
        <v>41</v>
      </c>
      <c r="K2642" s="79" t="str">
        <f>VLOOKUP(Tabla3[[#This Row],[Site]],'Important Info!'!$A$1:$H$135,8,FALSE)</f>
        <v>-</v>
      </c>
      <c r="L2642" s="52" t="str">
        <f>VLOOKUP(Tabla3[[#This Row],[Site]],'Important Info!'!$A$1:$F$135,2,FALSE)</f>
        <v>3, 4, 18</v>
      </c>
      <c r="M2642" s="52" t="str">
        <f>VLOOKUP(Tabla3[[#This Row],[Site]],'Important Info!'!$A$1:$F$135,3,FALSE)</f>
        <v>9, 10, 12, 13, 16, 17</v>
      </c>
      <c r="N2642" s="52" t="str">
        <f>VLOOKUP(Tabla3[[#This Row],[Site]],'Important Info!'!$A$1:$F$135,4,FALSE)</f>
        <v>-</v>
      </c>
      <c r="O2642" s="52">
        <f>VLOOKUP(Tabla3[[#This Row],[Site]],'Important Info!'!$A$1:$F$135,5,FALSE)</f>
        <v>2</v>
      </c>
      <c r="P2642" s="52" t="str">
        <f>VLOOKUP(Tabla3[[#This Row],[Site]],'Important Info!'!$A$1:$F$135,6,FALSE)</f>
        <v>2, 16</v>
      </c>
      <c r="Q2642" s="91">
        <f>VLOOKUP(Tabla3[[#This Row],[Site]],'Important Info!'!$A$1:$J$135,9,FALSE)</f>
        <v>141</v>
      </c>
    </row>
    <row r="2643" spans="1:17" x14ac:dyDescent="0.25">
      <c r="A2643" t="str">
        <f>+Tabla3[[#This Row],[Site]]&amp;Tabla3[[#This Row],[Split]]</f>
        <v>(AS) Stevinson Lexus of Lakewood (NO TOURS)26</v>
      </c>
      <c r="B2643">
        <v>26</v>
      </c>
      <c r="C2643">
        <v>21</v>
      </c>
      <c r="D2643" t="s">
        <v>44</v>
      </c>
      <c r="E2643" t="s">
        <v>53</v>
      </c>
      <c r="F2643" t="s">
        <v>523</v>
      </c>
      <c r="G2643" t="s">
        <v>45</v>
      </c>
      <c r="H2643" s="52" t="str">
        <f>VLOOKUP(Tabla3[[#This Row],[Site]],'Important Info!'!$A$1:$J$135,10,FALSE)</f>
        <v>https://tools.sig.systems/site/details/260</v>
      </c>
      <c r="I2643" s="43" t="s">
        <v>154</v>
      </c>
      <c r="J2643" t="s">
        <v>41</v>
      </c>
      <c r="K2643" s="79" t="str">
        <f>VLOOKUP(Tabla3[[#This Row],[Site]],'Important Info!'!$A$1:$H$135,8,FALSE)</f>
        <v>-</v>
      </c>
      <c r="L2643" s="52" t="str">
        <f>VLOOKUP(Tabla3[[#This Row],[Site]],'Important Info!'!$A$1:$F$135,2,FALSE)</f>
        <v>-</v>
      </c>
      <c r="M2643" s="52" t="str">
        <f>VLOOKUP(Tabla3[[#This Row],[Site]],'Important Info!'!$A$1:$F$135,3,FALSE)</f>
        <v>2, 10</v>
      </c>
      <c r="N2643" s="52" t="str">
        <f>VLOOKUP(Tabla3[[#This Row],[Site]],'Important Info!'!$A$1:$F$135,4,FALSE)</f>
        <v>9, 17</v>
      </c>
      <c r="O2643" s="52" t="str">
        <f>VLOOKUP(Tabla3[[#This Row],[Site]],'Important Info!'!$A$1:$F$135,5,FALSE)</f>
        <v>-</v>
      </c>
      <c r="P2643" s="52" t="str">
        <f>VLOOKUP(Tabla3[[#This Row],[Site]],'Important Info!'!$A$1:$F$135,6,FALSE)</f>
        <v>1, 2</v>
      </c>
      <c r="Q2643" s="91">
        <f>VLOOKUP(Tabla3[[#This Row],[Site]],'Important Info!'!$A$1:$J$135,9,FALSE)</f>
        <v>260</v>
      </c>
    </row>
    <row r="2644" spans="1:17" x14ac:dyDescent="0.25">
      <c r="A2644" t="str">
        <f>+Tabla3[[#This Row],[Site]]&amp;Tabla3[[#This Row],[Split]]</f>
        <v>(KG) Kia of Phoenix (NO TOURS)26</v>
      </c>
      <c r="B2644">
        <v>26</v>
      </c>
      <c r="C2644">
        <v>21</v>
      </c>
      <c r="D2644" t="s">
        <v>51</v>
      </c>
      <c r="E2644" t="s">
        <v>161</v>
      </c>
      <c r="F2644" t="s">
        <v>94</v>
      </c>
      <c r="G2644" t="s">
        <v>52</v>
      </c>
      <c r="H2644" s="52" t="str">
        <f>VLOOKUP(Tabla3[[#This Row],[Site]],'Important Info!'!$A$1:$J$135,10,FALSE)</f>
        <v>https://tools.sig.systems/site/details/262</v>
      </c>
      <c r="J2644" t="s">
        <v>162</v>
      </c>
      <c r="K2644" s="79" t="str">
        <f>VLOOKUP(Tabla3[[#This Row],[Site]],'Important Info!'!$A$1:$H$135,8,FALSE)</f>
        <v>-</v>
      </c>
      <c r="L2644" s="52" t="str">
        <f>VLOOKUP(Tabla3[[#This Row],[Site]],'Important Info!'!$A$1:$F$135,2,FALSE)</f>
        <v>5, 8, 23</v>
      </c>
      <c r="M2644" s="52" t="str">
        <f>VLOOKUP(Tabla3[[#This Row],[Site]],'Important Info!'!$A$1:$F$135,3,FALSE)</f>
        <v>-</v>
      </c>
      <c r="N2644" s="52" t="str">
        <f>VLOOKUP(Tabla3[[#This Row],[Site]],'Important Info!'!$A$1:$F$135,4,FALSE)</f>
        <v>-</v>
      </c>
      <c r="O2644" s="52">
        <f>VLOOKUP(Tabla3[[#This Row],[Site]],'Important Info!'!$A$1:$F$135,5,FALSE)</f>
        <v>4</v>
      </c>
      <c r="P2644" s="52" t="str">
        <f>VLOOKUP(Tabla3[[#This Row],[Site]],'Important Info!'!$A$1:$F$135,6,FALSE)</f>
        <v>-</v>
      </c>
      <c r="Q2644" s="91">
        <f>VLOOKUP(Tabla3[[#This Row],[Site]],'Important Info!'!$A$1:$J$135,9,FALSE)</f>
        <v>262</v>
      </c>
    </row>
    <row r="2645" spans="1:17" x14ac:dyDescent="0.25">
      <c r="A2645" t="str">
        <f>+Tabla3[[#This Row],[Site]]&amp;Tabla3[[#This Row],[Split]]</f>
        <v>(ML) Toyota N Little Rock26</v>
      </c>
      <c r="B2645">
        <v>26</v>
      </c>
      <c r="C2645">
        <v>21</v>
      </c>
      <c r="D2645" t="s">
        <v>33</v>
      </c>
      <c r="E2645" t="s">
        <v>46</v>
      </c>
      <c r="F2645" t="s">
        <v>76</v>
      </c>
      <c r="G2645" t="s">
        <v>34</v>
      </c>
      <c r="H2645" s="52" t="str">
        <f>VLOOKUP(Tabla3[[#This Row],[Site]],'Important Info!'!$A$1:$J$135,10,FALSE)</f>
        <v>https://tools.sig.systems/site/details/201</v>
      </c>
      <c r="I2645" s="43" t="s">
        <v>142</v>
      </c>
      <c r="J2645" t="s">
        <v>41</v>
      </c>
      <c r="K2645" s="79" t="str">
        <f>VLOOKUP(Tabla3[[#This Row],[Site]],'Important Info!'!$A$1:$H$135,8,FALSE)</f>
        <v>-</v>
      </c>
      <c r="L2645" s="52" t="str">
        <f>VLOOKUP(Tabla3[[#This Row],[Site]],'Important Info!'!$A$1:$F$135,2,FALSE)</f>
        <v>4, 15, 18, 22, 23, 26</v>
      </c>
      <c r="M2645" s="52" t="str">
        <f>VLOOKUP(Tabla3[[#This Row],[Site]],'Important Info!'!$A$1:$F$135,3,FALSE)</f>
        <v>-</v>
      </c>
      <c r="N2645" s="52" t="str">
        <f>VLOOKUP(Tabla3[[#This Row],[Site]],'Important Info!'!$A$1:$F$135,4,FALSE)</f>
        <v>-</v>
      </c>
      <c r="O2645" s="52" t="str">
        <f>VLOOKUP(Tabla3[[#This Row],[Site]],'Important Info!'!$A$1:$F$135,5,FALSE)</f>
        <v>2, 12, 13, 18</v>
      </c>
      <c r="P2645" s="52" t="str">
        <f>VLOOKUP(Tabla3[[#This Row],[Site]],'Important Info!'!$A$1:$F$135,6,FALSE)</f>
        <v>-</v>
      </c>
      <c r="Q2645" s="91">
        <f>VLOOKUP(Tabla3[[#This Row],[Site]],'Important Info!'!$A$1:$J$135,9,FALSE)</f>
        <v>201</v>
      </c>
    </row>
    <row r="2646" spans="1:17" x14ac:dyDescent="0.25">
      <c r="A2646" t="str">
        <f>+Tabla3[[#This Row],[Site]]&amp;Tabla3[[#This Row],[Split]]</f>
        <v>(TC) Tavernier Creek Marina (NO TOURS)26</v>
      </c>
      <c r="B2646">
        <v>26</v>
      </c>
      <c r="C2646">
        <v>21</v>
      </c>
      <c r="D2646" t="s">
        <v>62</v>
      </c>
      <c r="E2646" t="s">
        <v>35</v>
      </c>
      <c r="F2646" t="s">
        <v>119</v>
      </c>
      <c r="G2646" t="s">
        <v>34</v>
      </c>
      <c r="H2646" s="52" t="str">
        <f>VLOOKUP(Tabla3[[#This Row],[Site]],'Important Info!'!$A$1:$J$135,10,FALSE)</f>
        <v>https://tools.sig.systems/site/details/164</v>
      </c>
      <c r="J2646" t="s">
        <v>45</v>
      </c>
      <c r="K2646" s="79" t="str">
        <f>VLOOKUP(Tabla3[[#This Row],[Site]],'Important Info!'!$A$1:$H$135,8,FALSE)</f>
        <v>-</v>
      </c>
      <c r="L2646" s="52" t="str">
        <f>VLOOKUP(Tabla3[[#This Row],[Site]],'Important Info!'!$A$1:$F$135,2,FALSE)</f>
        <v>28, 29</v>
      </c>
      <c r="M2646" s="52" t="str">
        <f>VLOOKUP(Tabla3[[#This Row],[Site]],'Important Info!'!$A$1:$F$135,3,FALSE)</f>
        <v>-</v>
      </c>
      <c r="N2646" s="52" t="str">
        <f>VLOOKUP(Tabla3[[#This Row],[Site]],'Important Info!'!$A$1:$F$135,4,FALSE)</f>
        <v>-</v>
      </c>
      <c r="O2646" s="52" t="str">
        <f>VLOOKUP(Tabla3[[#This Row],[Site]],'Important Info!'!$A$1:$F$135,5,FALSE)</f>
        <v>-</v>
      </c>
      <c r="P2646" s="52" t="str">
        <f>VLOOKUP(Tabla3[[#This Row],[Site]],'Important Info!'!$A$1:$F$135,6,FALSE)</f>
        <v>5, 28, 29</v>
      </c>
      <c r="Q2646" s="91">
        <f>VLOOKUP(Tabla3[[#This Row],[Site]],'Important Info!'!$A$1:$J$135,9,FALSE)</f>
        <v>164</v>
      </c>
    </row>
    <row r="2647" spans="1:17" x14ac:dyDescent="0.25">
      <c r="A2647" t="str">
        <f>+Tabla3[[#This Row],[Site]]&amp;Tabla3[[#This Row],[Split]]</f>
        <v>(AS) Courtesy Hyundai/Nissan Tampa (NO TOURS)26</v>
      </c>
      <c r="B2647">
        <v>26</v>
      </c>
      <c r="C2647">
        <v>22</v>
      </c>
      <c r="D2647" t="s">
        <v>62</v>
      </c>
      <c r="E2647" t="s">
        <v>35</v>
      </c>
      <c r="F2647" t="s">
        <v>504</v>
      </c>
      <c r="G2647" t="s">
        <v>490</v>
      </c>
      <c r="H2647" s="52" t="str">
        <f>VLOOKUP(Tabla3[[#This Row],[Site]],'Important Info!'!$A$1:$J$135,10,FALSE)</f>
        <v>https://tools.sig.systems/site/details/128</v>
      </c>
      <c r="I2647" s="2"/>
      <c r="J2647" t="s">
        <v>484</v>
      </c>
      <c r="K2647" s="79" t="str">
        <f>VLOOKUP(Tabla3[[#This Row],[Site]],'Important Info!'!$A$1:$H$135,8,FALSE)</f>
        <v>-</v>
      </c>
      <c r="L2647" s="52" t="str">
        <f>VLOOKUP(Tabla3[[#This Row],[Site]],'Important Info!'!$A$1:$F$135,2,FALSE)</f>
        <v>1, 16, 25, 27, 32</v>
      </c>
      <c r="M2647" s="52" t="str">
        <f>VLOOKUP(Tabla3[[#This Row],[Site]],'Important Info!'!$A$1:$F$135,3,FALSE)</f>
        <v>-</v>
      </c>
      <c r="N2647" s="52" t="str">
        <f>VLOOKUP(Tabla3[[#This Row],[Site]],'Important Info!'!$A$1:$F$135,4,FALSE)</f>
        <v>-</v>
      </c>
      <c r="O2647" s="52" t="str">
        <f>VLOOKUP(Tabla3[[#This Row],[Site]],'Important Info!'!$A$1:$F$135,5,FALSE)</f>
        <v>4, 10, 16</v>
      </c>
      <c r="P2647" s="52" t="str">
        <f>VLOOKUP(Tabla3[[#This Row],[Site]],'Important Info!'!$A$1:$F$135,6,FALSE)</f>
        <v>24, 25, 26 &amp; Remote Lots</v>
      </c>
      <c r="Q2647" s="91">
        <f>VLOOKUP(Tabla3[[#This Row],[Site]],'Important Info!'!$A$1:$J$135,9,FALSE)</f>
        <v>128</v>
      </c>
    </row>
    <row r="2648" spans="1:17" x14ac:dyDescent="0.25">
      <c r="A2648" t="str">
        <f>+Tabla3[[#This Row],[Site]]&amp;Tabla3[[#This Row],[Split]]</f>
        <v>(AS) Park Place JLR DFW Airport (NO TOURS)26</v>
      </c>
      <c r="B2648">
        <v>26</v>
      </c>
      <c r="C2648">
        <v>22</v>
      </c>
      <c r="D2648" t="s">
        <v>33</v>
      </c>
      <c r="E2648" t="s">
        <v>46</v>
      </c>
      <c r="F2648" t="s">
        <v>516</v>
      </c>
      <c r="G2648" t="s">
        <v>34</v>
      </c>
      <c r="H2648" s="52" t="str">
        <f>VLOOKUP(Tabla3[[#This Row],[Site]],'Important Info!'!$A$1:$J$135,10,FALSE)</f>
        <v>https://tools.sig.systems/site/details/135</v>
      </c>
      <c r="J2648" t="s">
        <v>41</v>
      </c>
      <c r="K2648" s="79" t="str">
        <f>VLOOKUP(Tabla3[[#This Row],[Site]],'Important Info!'!$A$1:$H$135,8,FALSE)</f>
        <v>-</v>
      </c>
      <c r="L2648" s="52" t="str">
        <f>VLOOKUP(Tabla3[[#This Row],[Site]],'Important Info!'!$A$1:$F$135,2,FALSE)</f>
        <v>6, 7, 18</v>
      </c>
      <c r="M2648" s="52" t="str">
        <f>VLOOKUP(Tabla3[[#This Row],[Site]],'Important Info!'!$A$1:$F$135,3,FALSE)</f>
        <v>70, 79, 80</v>
      </c>
      <c r="N2648" s="52" t="str">
        <f>VLOOKUP(Tabla3[[#This Row],[Site]],'Important Info!'!$A$1:$F$135,4,FALSE)</f>
        <v>83, 84</v>
      </c>
      <c r="O2648" s="52" t="str">
        <f>VLOOKUP(Tabla3[[#This Row],[Site]],'Important Info!'!$A$1:$F$135,5,FALSE)</f>
        <v>3, 8, 14, 81</v>
      </c>
      <c r="P2648" s="52">
        <f>VLOOKUP(Tabla3[[#This Row],[Site]],'Important Info!'!$A$1:$F$135,6,FALSE)</f>
        <v>6</v>
      </c>
      <c r="Q2648" s="91">
        <f>VLOOKUP(Tabla3[[#This Row],[Site]],'Important Info!'!$A$1:$J$135,9,FALSE)</f>
        <v>135</v>
      </c>
    </row>
    <row r="2649" spans="1:17" x14ac:dyDescent="0.25">
      <c r="A2649" t="str">
        <f>+Tabla3[[#This Row],[Site]]&amp;Tabla3[[#This Row],[Split]]</f>
        <v>(AS) Plaza Audi/Infiniti (NO TOURS)26</v>
      </c>
      <c r="B2649">
        <v>26</v>
      </c>
      <c r="C2649">
        <v>22</v>
      </c>
      <c r="D2649" t="s">
        <v>33</v>
      </c>
      <c r="E2649" t="s">
        <v>46</v>
      </c>
      <c r="F2649" t="s">
        <v>91</v>
      </c>
      <c r="G2649" t="s">
        <v>34</v>
      </c>
      <c r="H2649" s="52" t="str">
        <f>VLOOKUP(Tabla3[[#This Row],[Site]],'Important Info!'!$A$1:$J$135,10,FALSE)</f>
        <v>https://tools.sig.systems/site/details/141</v>
      </c>
      <c r="I2649" t="s">
        <v>130</v>
      </c>
      <c r="J2649" t="s">
        <v>41</v>
      </c>
      <c r="K2649" s="79" t="str">
        <f>VLOOKUP(Tabla3[[#This Row],[Site]],'Important Info!'!$A$1:$H$135,8,FALSE)</f>
        <v>-</v>
      </c>
      <c r="L2649" s="52" t="str">
        <f>VLOOKUP(Tabla3[[#This Row],[Site]],'Important Info!'!$A$1:$F$135,2,FALSE)</f>
        <v>7, 25</v>
      </c>
      <c r="M2649" s="52" t="str">
        <f>VLOOKUP(Tabla3[[#This Row],[Site]],'Important Info!'!$A$1:$F$135,3,FALSE)</f>
        <v>15, 17, 18</v>
      </c>
      <c r="N2649" s="52" t="str">
        <f>VLOOKUP(Tabla3[[#This Row],[Site]],'Important Info!'!$A$1:$F$135,4,FALSE)</f>
        <v>-</v>
      </c>
      <c r="O2649" s="52" t="str">
        <f>VLOOKUP(Tabla3[[#This Row],[Site]],'Important Info!'!$A$1:$F$135,5,FALSE)</f>
        <v>1, 24</v>
      </c>
      <c r="P2649" s="52" t="str">
        <f>VLOOKUP(Tabla3[[#This Row],[Site]],'Important Info!'!$A$1:$F$135,6,FALSE)</f>
        <v>3, 15, 17</v>
      </c>
      <c r="Q2649" s="91">
        <f>VLOOKUP(Tabla3[[#This Row],[Site]],'Important Info!'!$A$1:$J$135,9,FALSE)</f>
        <v>141</v>
      </c>
    </row>
    <row r="2650" spans="1:17" x14ac:dyDescent="0.25">
      <c r="A2650" t="str">
        <f>+Tabla3[[#This Row],[Site]]&amp;Tabla3[[#This Row],[Split]]</f>
        <v>(DT) Escondido26</v>
      </c>
      <c r="B2650">
        <v>26</v>
      </c>
      <c r="C2650">
        <v>22</v>
      </c>
      <c r="D2650" t="s">
        <v>51</v>
      </c>
      <c r="E2650" t="s">
        <v>159</v>
      </c>
      <c r="F2650" t="s">
        <v>112</v>
      </c>
      <c r="G2650" t="s">
        <v>164</v>
      </c>
      <c r="H2650" s="52" t="str">
        <f>VLOOKUP(Tabla3[[#This Row],[Site]],'Important Info!'!$A$1:$J$135,10,FALSE)</f>
        <v>https://tools.sig.systems/site/details/196</v>
      </c>
      <c r="I2650" s="2"/>
      <c r="J2650" t="s">
        <v>41</v>
      </c>
      <c r="K2650" s="79" t="str">
        <f>VLOOKUP(Tabla3[[#This Row],[Site]],'Important Info!'!$A$1:$H$135,8,FALSE)</f>
        <v>Saturday Drop Time 9:00 A.M.</v>
      </c>
      <c r="L2650" s="52" t="str">
        <f>VLOOKUP(Tabla3[[#This Row],[Site]],'Important Info!'!$A$1:$F$135,2,FALSE)</f>
        <v>1, 2</v>
      </c>
      <c r="M2650" s="52" t="str">
        <f>VLOOKUP(Tabla3[[#This Row],[Site]],'Important Info!'!$A$1:$F$135,3,FALSE)</f>
        <v>-</v>
      </c>
      <c r="N2650" s="52" t="str">
        <f>VLOOKUP(Tabla3[[#This Row],[Site]],'Important Info!'!$A$1:$F$135,4,FALSE)</f>
        <v>-</v>
      </c>
      <c r="O2650" s="52" t="str">
        <f>VLOOKUP(Tabla3[[#This Row],[Site]],'Important Info!'!$A$1:$F$135,5,FALSE)</f>
        <v>-</v>
      </c>
      <c r="P2650" s="52" t="str">
        <f>VLOOKUP(Tabla3[[#This Row],[Site]],'Important Info!'!$A$1:$F$135,6,FALSE)</f>
        <v>5, 7, 8</v>
      </c>
      <c r="Q2650" s="91">
        <f>VLOOKUP(Tabla3[[#This Row],[Site]],'Important Info!'!$A$1:$J$135,9,FALSE)</f>
        <v>196</v>
      </c>
    </row>
    <row r="2651" spans="1:17" x14ac:dyDescent="0.25">
      <c r="A2651" t="str">
        <f>+Tabla3[[#This Row],[Site]]&amp;Tabla3[[#This Row],[Split]]</f>
        <v>(RV) Sonny's Camp N Travel Concord26</v>
      </c>
      <c r="B2651">
        <v>26</v>
      </c>
      <c r="C2651">
        <v>22</v>
      </c>
      <c r="D2651" t="s">
        <v>62</v>
      </c>
      <c r="E2651" t="s">
        <v>35</v>
      </c>
      <c r="F2651" t="s">
        <v>188</v>
      </c>
      <c r="G2651" t="s">
        <v>490</v>
      </c>
      <c r="H2651" s="52" t="str">
        <f>VLOOKUP(Tabla3[[#This Row],[Site]],'Important Info!'!$A$1:$J$135,10,FALSE)</f>
        <v>https://tools.sig.systems/site/details/183</v>
      </c>
      <c r="J2651" t="s">
        <v>41</v>
      </c>
      <c r="K2651" s="79" t="str">
        <f>VLOOKUP(Tabla3[[#This Row],[Site]],'Important Info!'!$A$1:$H$135,8,FALSE)</f>
        <v>-</v>
      </c>
      <c r="L2651" s="52">
        <f>VLOOKUP(Tabla3[[#This Row],[Site]],'Important Info!'!$A$1:$F$135,2,FALSE)</f>
        <v>1</v>
      </c>
      <c r="M2651" s="52" t="str">
        <f>VLOOKUP(Tabla3[[#This Row],[Site]],'Important Info!'!$A$1:$F$135,3,FALSE)</f>
        <v>-</v>
      </c>
      <c r="N2651" s="52" t="str">
        <f>VLOOKUP(Tabla3[[#This Row],[Site]],'Important Info!'!$A$1:$F$135,4,FALSE)</f>
        <v>-</v>
      </c>
      <c r="O2651" s="52">
        <f>VLOOKUP(Tabla3[[#This Row],[Site]],'Important Info!'!$A$1:$F$135,5,FALSE)</f>
        <v>7</v>
      </c>
      <c r="P2651" s="52" t="str">
        <f>VLOOKUP(Tabla3[[#This Row],[Site]],'Important Info!'!$A$1:$F$135,6,FALSE)</f>
        <v>6, 7, 8, 9</v>
      </c>
      <c r="Q2651" s="91">
        <f>VLOOKUP(Tabla3[[#This Row],[Site]],'Important Info!'!$A$1:$J$135,9,FALSE)</f>
        <v>183</v>
      </c>
    </row>
    <row r="2652" spans="1:17" x14ac:dyDescent="0.25">
      <c r="A2652" t="str">
        <f>+Tabla3[[#This Row],[Site]]&amp;Tabla3[[#This Row],[Split]]</f>
        <v>(AS) Lexus Grapevine I &amp; II (NO TOURS)26</v>
      </c>
      <c r="B2652">
        <v>26</v>
      </c>
      <c r="C2652">
        <v>23</v>
      </c>
      <c r="D2652" t="s">
        <v>33</v>
      </c>
      <c r="E2652" t="s">
        <v>46</v>
      </c>
      <c r="F2652" t="s">
        <v>508</v>
      </c>
      <c r="G2652" t="s">
        <v>34</v>
      </c>
      <c r="H2652" s="52" t="str">
        <f>VLOOKUP(Tabla3[[#This Row],[Site]],'Important Info!'!$A$1:$J$135,10,FALSE)</f>
        <v>https://tools.sig.systems/site/details/136</v>
      </c>
      <c r="J2652" t="s">
        <v>41</v>
      </c>
      <c r="K2652" s="79" t="str">
        <f>VLOOKUP(Tabla3[[#This Row],[Site]],'Important Info!'!$A$1:$H$135,8,FALSE)</f>
        <v>-</v>
      </c>
      <c r="L2652" s="52" t="str">
        <f>VLOOKUP(Tabla3[[#This Row],[Site]],'Important Info!'!$A$1:$F$135,2,FALSE)</f>
        <v>4, 10, 14, 18, 33</v>
      </c>
      <c r="M2652" s="52" t="str">
        <f>VLOOKUP(Tabla3[[#This Row],[Site]],'Important Info!'!$A$1:$F$135,3,FALSE)</f>
        <v>-</v>
      </c>
      <c r="N2652" s="52" t="str">
        <f>VLOOKUP(Tabla3[[#This Row],[Site]],'Important Info!'!$A$1:$F$135,4,FALSE)</f>
        <v>81, 82, 83</v>
      </c>
      <c r="O2652" s="52" t="str">
        <f>VLOOKUP(Tabla3[[#This Row],[Site]],'Important Info!'!$A$1:$F$135,5,FALSE)</f>
        <v>4, 12, 15, 20, 30</v>
      </c>
      <c r="P2652" s="52">
        <f>VLOOKUP(Tabla3[[#This Row],[Site]],'Important Info!'!$A$1:$F$135,6,FALSE)</f>
        <v>10</v>
      </c>
      <c r="Q2652" s="91">
        <f>VLOOKUP(Tabla3[[#This Row],[Site]],'Important Info!'!$A$1:$J$135,9,FALSE)</f>
        <v>136</v>
      </c>
    </row>
    <row r="2653" spans="1:17" x14ac:dyDescent="0.25">
      <c r="A2653" t="str">
        <f>+Tabla3[[#This Row],[Site]]&amp;Tabla3[[#This Row],[Split]]</f>
        <v>(AS) Lexus Smyrna (NO TOURS)26</v>
      </c>
      <c r="B2653">
        <v>26</v>
      </c>
      <c r="C2653">
        <v>23</v>
      </c>
      <c r="D2653" t="s">
        <v>62</v>
      </c>
      <c r="E2653" t="s">
        <v>35</v>
      </c>
      <c r="F2653" t="s">
        <v>84</v>
      </c>
      <c r="G2653" t="s">
        <v>490</v>
      </c>
      <c r="H2653" s="52" t="str">
        <f>VLOOKUP(Tabla3[[#This Row],[Site]],'Important Info!'!$A$1:$J$135,10,FALSE)</f>
        <v>https://tools.sig.systems/site/details/133</v>
      </c>
      <c r="I2653" s="2"/>
      <c r="J2653" t="s">
        <v>41</v>
      </c>
      <c r="K2653" s="79" t="str">
        <f>VLOOKUP(Tabla3[[#This Row],[Site]],'Important Info!'!$A$1:$H$135,8,FALSE)</f>
        <v>-</v>
      </c>
      <c r="L2653" s="52" t="str">
        <f>VLOOKUP(Tabla3[[#This Row],[Site]],'Important Info!'!$A$1:$F$135,2,FALSE)</f>
        <v xml:space="preserve">2, 6, 10 </v>
      </c>
      <c r="M2653" s="52" t="str">
        <f>VLOOKUP(Tabla3[[#This Row],[Site]],'Important Info!'!$A$1:$F$135,3,FALSE)</f>
        <v>-</v>
      </c>
      <c r="N2653" s="52" t="str">
        <f>VLOOKUP(Tabla3[[#This Row],[Site]],'Important Info!'!$A$1:$F$135,4,FALSE)</f>
        <v>-</v>
      </c>
      <c r="O2653" s="52" t="str">
        <f>VLOOKUP(Tabla3[[#This Row],[Site]],'Important Info!'!$A$1:$F$135,5,FALSE)</f>
        <v>3, 5, 10, 15</v>
      </c>
      <c r="P2653" s="52" t="str">
        <f>VLOOKUP(Tabla3[[#This Row],[Site]],'Important Info!'!$A$1:$F$135,6,FALSE)</f>
        <v>10, 11</v>
      </c>
      <c r="Q2653" s="91">
        <f>VLOOKUP(Tabla3[[#This Row],[Site]],'Important Info!'!$A$1:$J$135,9,FALSE)</f>
        <v>133</v>
      </c>
    </row>
    <row r="2654" spans="1:17" x14ac:dyDescent="0.25">
      <c r="A2654" t="str">
        <f>+Tabla3[[#This Row],[Site]]&amp;Tabla3[[#This Row],[Split]]</f>
        <v>(KG) Hyundai Surprise26</v>
      </c>
      <c r="B2654">
        <v>26</v>
      </c>
      <c r="C2654">
        <v>23</v>
      </c>
      <c r="D2654" t="s">
        <v>51</v>
      </c>
      <c r="E2654" t="s">
        <v>161</v>
      </c>
      <c r="F2654" t="s">
        <v>118</v>
      </c>
      <c r="G2654" t="s">
        <v>52</v>
      </c>
      <c r="H2654" s="52" t="str">
        <f>VLOOKUP(Tabla3[[#This Row],[Site]],'Important Info!'!$A$1:$J$135,10,FALSE)</f>
        <v>https://tools.sig.systems/site/details/269</v>
      </c>
      <c r="I2654" s="43"/>
      <c r="J2654" t="s">
        <v>162</v>
      </c>
      <c r="K2654" s="79" t="str">
        <f>VLOOKUP(Tabla3[[#This Row],[Site]],'Important Info!'!$A$1:$H$135,8,FALSE)</f>
        <v>-</v>
      </c>
      <c r="L2654" s="52" t="str">
        <f>VLOOKUP(Tabla3[[#This Row],[Site]],'Important Info!'!$A$1:$F$135,2,FALSE)</f>
        <v>1, 6, 7</v>
      </c>
      <c r="M2654" s="52" t="str">
        <f>VLOOKUP(Tabla3[[#This Row],[Site]],'Important Info!'!$A$1:$F$135,3,FALSE)</f>
        <v>-</v>
      </c>
      <c r="N2654" s="52" t="str">
        <f>VLOOKUP(Tabla3[[#This Row],[Site]],'Important Info!'!$A$1:$F$135,4,FALSE)</f>
        <v>-</v>
      </c>
      <c r="O2654" s="52" t="str">
        <f>VLOOKUP(Tabla3[[#This Row],[Site]],'Important Info!'!$A$1:$F$135,5,FALSE)</f>
        <v>6, 13</v>
      </c>
      <c r="P2654" s="52" t="str">
        <f>VLOOKUP(Tabla3[[#This Row],[Site]],'Important Info!'!$A$1:$F$135,6,FALSE)</f>
        <v>-</v>
      </c>
      <c r="Q2654" s="91">
        <f>VLOOKUP(Tabla3[[#This Row],[Site]],'Important Info!'!$A$1:$J$135,9,FALSE)</f>
        <v>269</v>
      </c>
    </row>
    <row r="2655" spans="1:17" x14ac:dyDescent="0.25">
      <c r="A2655" t="str">
        <f>+Tabla3[[#This Row],[Site]]&amp;Tabla3[[#This Row],[Split]]</f>
        <v>(AS) Bill Estes Ford (NO TOURS)26</v>
      </c>
      <c r="B2655">
        <v>26</v>
      </c>
      <c r="C2655">
        <v>24</v>
      </c>
      <c r="D2655" t="s">
        <v>62</v>
      </c>
      <c r="E2655" t="s">
        <v>35</v>
      </c>
      <c r="F2655" t="s">
        <v>178</v>
      </c>
      <c r="G2655" t="s">
        <v>490</v>
      </c>
      <c r="H2655" s="52" t="str">
        <f>VLOOKUP(Tabla3[[#This Row],[Site]],'Important Info!'!$A$1:$J$135,10,FALSE)</f>
        <v>https://tools.sig.systems/site/details/125</v>
      </c>
      <c r="J2655" t="s">
        <v>41</v>
      </c>
      <c r="K2655" s="79" t="str">
        <f>VLOOKUP(Tabla3[[#This Row],[Site]],'Important Info!'!$A$1:$H$135,8,FALSE)</f>
        <v>-</v>
      </c>
      <c r="L2655" s="52" t="str">
        <f>VLOOKUP(Tabla3[[#This Row],[Site]],'Important Info!'!$A$1:$F$135,2,FALSE)</f>
        <v>-</v>
      </c>
      <c r="M2655" s="52" t="str">
        <f>VLOOKUP(Tabla3[[#This Row],[Site]],'Important Info!'!$A$1:$F$135,3,FALSE)</f>
        <v>2, 3, 13, 16</v>
      </c>
      <c r="N2655" s="52" t="str">
        <f>VLOOKUP(Tabla3[[#This Row],[Site]],'Important Info!'!$A$1:$F$135,4,FALSE)</f>
        <v>-</v>
      </c>
      <c r="O2655" s="52" t="str">
        <f>VLOOKUP(Tabla3[[#This Row],[Site]],'Important Info!'!$A$1:$F$135,5,FALSE)</f>
        <v>1, 10, 14, 19</v>
      </c>
      <c r="P2655" s="52" t="str">
        <f>VLOOKUP(Tabla3[[#This Row],[Site]],'Important Info!'!$A$1:$F$135,6,FALSE)</f>
        <v>7, 8, 9, 10, 11, 12, 14</v>
      </c>
      <c r="Q2655" s="91">
        <f>VLOOKUP(Tabla3[[#This Row],[Site]],'Important Info!'!$A$1:$J$135,9,FALSE)</f>
        <v>125</v>
      </c>
    </row>
    <row r="2656" spans="1:17" x14ac:dyDescent="0.25">
      <c r="A2656" t="str">
        <f>+Tabla3[[#This Row],[Site]]&amp;Tabla3[[#This Row],[Split]]</f>
        <v>(DT) Wichita26</v>
      </c>
      <c r="B2656">
        <v>26</v>
      </c>
      <c r="C2656">
        <v>24</v>
      </c>
      <c r="D2656" t="s">
        <v>33</v>
      </c>
      <c r="E2656" t="s">
        <v>46</v>
      </c>
      <c r="F2656" t="s">
        <v>131</v>
      </c>
      <c r="G2656" t="s">
        <v>34</v>
      </c>
      <c r="H2656" s="52" t="str">
        <f>VLOOKUP(Tabla3[[#This Row],[Site]],'Important Info!'!$A$1:$J$135,10,FALSE)</f>
        <v>https://tools.sig.systems/site/details/257</v>
      </c>
      <c r="J2656" t="s">
        <v>41</v>
      </c>
      <c r="K2656" s="79" t="str">
        <f>VLOOKUP(Tabla3[[#This Row],[Site]],'Important Info!'!$A$1:$H$135,8,FALSE)</f>
        <v>-</v>
      </c>
      <c r="L2656" s="52" t="str">
        <f>VLOOKUP(Tabla3[[#This Row],[Site]],'Important Info!'!$A$1:$F$135,2,FALSE)</f>
        <v>-</v>
      </c>
      <c r="M2656" s="52" t="str">
        <f>VLOOKUP(Tabla3[[#This Row],[Site]],'Important Info!'!$A$1:$F$135,3,FALSE)</f>
        <v>10, 11</v>
      </c>
      <c r="N2656" s="52" t="str">
        <f>VLOOKUP(Tabla3[[#This Row],[Site]],'Important Info!'!$A$1:$F$135,4,FALSE)</f>
        <v>-</v>
      </c>
      <c r="O2656" s="52" t="str">
        <f>VLOOKUP(Tabla3[[#This Row],[Site]],'Important Info!'!$A$1:$F$135,5,FALSE)</f>
        <v>-</v>
      </c>
      <c r="P2656" s="52" t="str">
        <f>VLOOKUP(Tabla3[[#This Row],[Site]],'Important Info!'!$A$1:$F$135,6,FALSE)</f>
        <v>1, 5, 6, 10</v>
      </c>
      <c r="Q2656" s="91">
        <f>VLOOKUP(Tabla3[[#This Row],[Site]],'Important Info!'!$A$1:$J$135,9,FALSE)</f>
        <v>257</v>
      </c>
    </row>
    <row r="2657" spans="1:17" x14ac:dyDescent="0.25">
      <c r="A2657" t="str">
        <f>+Tabla3[[#This Row],[Site]]&amp;Tabla3[[#This Row],[Split]]</f>
        <v>(PE) Hudson Toyota Nissan CDJR (NO TOURS)26</v>
      </c>
      <c r="B2657">
        <v>26</v>
      </c>
      <c r="C2657">
        <v>24</v>
      </c>
      <c r="D2657" t="s">
        <v>485</v>
      </c>
      <c r="E2657" t="s">
        <v>35</v>
      </c>
      <c r="F2657" t="s">
        <v>82</v>
      </c>
      <c r="G2657" t="s">
        <v>490</v>
      </c>
      <c r="H2657" s="52" t="str">
        <f>VLOOKUP(Tabla3[[#This Row],[Site]],'Important Info!'!$A$1:$J$135,10,FALSE)</f>
        <v>https://tools.sig.systems/site/details/156</v>
      </c>
      <c r="J2657" t="s">
        <v>41</v>
      </c>
      <c r="K2657" s="79" t="str">
        <f>VLOOKUP(Tabla3[[#This Row],[Site]],'Important Info!'!$A$1:$H$135,8,FALSE)</f>
        <v>-</v>
      </c>
      <c r="L2657" s="52">
        <f>VLOOKUP(Tabla3[[#This Row],[Site]],'Important Info!'!$A$1:$F$135,2,FALSE)</f>
        <v>5</v>
      </c>
      <c r="M2657" s="52" t="str">
        <f>VLOOKUP(Tabla3[[#This Row],[Site]],'Important Info!'!$A$1:$F$135,3,FALSE)</f>
        <v>3, 7, 18</v>
      </c>
      <c r="N2657" s="52" t="str">
        <f>VLOOKUP(Tabla3[[#This Row],[Site]],'Important Info!'!$A$1:$F$135,4,FALSE)</f>
        <v>-</v>
      </c>
      <c r="O2657" s="52">
        <f>VLOOKUP(Tabla3[[#This Row],[Site]],'Important Info!'!$A$1:$F$135,5,FALSE)</f>
        <v>84</v>
      </c>
      <c r="P2657" s="52" t="str">
        <f>VLOOKUP(Tabla3[[#This Row],[Site]],'Important Info!'!$A$1:$F$135,6,FALSE)</f>
        <v>1, 2, 3, 4, 5, 6, 7, 8</v>
      </c>
      <c r="Q2657" s="91">
        <f>VLOOKUP(Tabla3[[#This Row],[Site]],'Important Info!'!$A$1:$J$135,9,FALSE)</f>
        <v>156</v>
      </c>
    </row>
    <row r="2658" spans="1:17" x14ac:dyDescent="0.25">
      <c r="A2658" t="str">
        <f>+Tabla3[[#This Row],[Site]]&amp;Tabla3[[#This Row],[Split]]</f>
        <v>(RV) Toms Camperland Mesa (NO TOURS)26</v>
      </c>
      <c r="B2658">
        <v>26</v>
      </c>
      <c r="C2658">
        <v>24</v>
      </c>
      <c r="D2658" t="s">
        <v>51</v>
      </c>
      <c r="E2658" t="s">
        <v>161</v>
      </c>
      <c r="F2658" t="s">
        <v>81</v>
      </c>
      <c r="G2658" t="s">
        <v>52</v>
      </c>
      <c r="H2658" s="52" t="str">
        <f>VLOOKUP(Tabla3[[#This Row],[Site]],'Important Info!'!$A$1:$J$135,10,FALSE)</f>
        <v>https://tools.sig.systems/site/details/222</v>
      </c>
      <c r="J2658" t="s">
        <v>41</v>
      </c>
      <c r="K2658" s="79" t="str">
        <f>VLOOKUP(Tabla3[[#This Row],[Site]],'Important Info!'!$A$1:$H$135,8,FALSE)</f>
        <v>-</v>
      </c>
      <c r="L2658" s="52" t="str">
        <f>VLOOKUP(Tabla3[[#This Row],[Site]],'Important Info!'!$A$1:$F$135,2,FALSE)</f>
        <v>1, 2</v>
      </c>
      <c r="M2658" s="52" t="str">
        <f>VLOOKUP(Tabla3[[#This Row],[Site]],'Important Info!'!$A$1:$F$135,3,FALSE)</f>
        <v>-</v>
      </c>
      <c r="N2658" s="52" t="str">
        <f>VLOOKUP(Tabla3[[#This Row],[Site]],'Important Info!'!$A$1:$F$135,4,FALSE)</f>
        <v>-</v>
      </c>
      <c r="O2658" s="52" t="str">
        <f>VLOOKUP(Tabla3[[#This Row],[Site]],'Important Info!'!$A$1:$F$135,5,FALSE)</f>
        <v>-</v>
      </c>
      <c r="P2658" s="52" t="str">
        <f>VLOOKUP(Tabla3[[#This Row],[Site]],'Important Info!'!$A$1:$F$135,6,FALSE)</f>
        <v>1, 4, 6, 8, 10, 18</v>
      </c>
      <c r="Q2658" s="91">
        <f>VLOOKUP(Tabla3[[#This Row],[Site]],'Important Info!'!$A$1:$J$135,9,FALSE)</f>
        <v>222</v>
      </c>
    </row>
    <row r="2659" spans="1:17" x14ac:dyDescent="0.25">
      <c r="A2659" t="str">
        <f>+Tabla3[[#This Row],[Site]]&amp;Tabla3[[#This Row],[Split]]</f>
        <v>SIG Office26</v>
      </c>
      <c r="B2659">
        <v>26</v>
      </c>
      <c r="C2659">
        <v>24</v>
      </c>
      <c r="D2659" t="s">
        <v>60</v>
      </c>
      <c r="E2659" t="s">
        <v>35</v>
      </c>
      <c r="F2659" t="s">
        <v>169</v>
      </c>
      <c r="G2659" t="s">
        <v>41</v>
      </c>
      <c r="H2659" s="52" t="str">
        <f>VLOOKUP(Tabla3[[#This Row],[Site]],'Important Info!'!$A$1:$J$135,10,FALSE)</f>
        <v>https://tools.sig.systems/site/details/163</v>
      </c>
      <c r="J2659" t="s">
        <v>41</v>
      </c>
      <c r="K2659" s="79" t="str">
        <f>VLOOKUP(Tabla3[[#This Row],[Site]],'Important Info!'!$A$1:$H$135,8,FALSE)</f>
        <v>-</v>
      </c>
      <c r="L2659" s="52" t="str">
        <f>VLOOKUP(Tabla3[[#This Row],[Site]],'Important Info!'!$A$1:$F$135,2,FALSE)</f>
        <v>-</v>
      </c>
      <c r="M2659" s="52" t="str">
        <f>VLOOKUP(Tabla3[[#This Row],[Site]],'Important Info!'!$A$1:$F$135,3,FALSE)</f>
        <v>-</v>
      </c>
      <c r="N2659" s="52" t="str">
        <f>VLOOKUP(Tabla3[[#This Row],[Site]],'Important Info!'!$A$1:$F$135,4,FALSE)</f>
        <v>-</v>
      </c>
      <c r="O2659" s="52" t="str">
        <f>VLOOKUP(Tabla3[[#This Row],[Site]],'Important Info!'!$A$1:$F$135,5,FALSE)</f>
        <v>-</v>
      </c>
      <c r="P2659" s="52">
        <f>VLOOKUP(Tabla3[[#This Row],[Site]],'Important Info!'!$A$1:$F$135,6,FALSE)</f>
        <v>25</v>
      </c>
      <c r="Q2659" s="91">
        <f>VLOOKUP(Tabla3[[#This Row],[Site]],'Important Info!'!$A$1:$J$135,9,FALSE)</f>
        <v>163</v>
      </c>
    </row>
    <row r="2660" spans="1:17" x14ac:dyDescent="0.25">
      <c r="A2660" t="str">
        <f>+Tabla3[[#This Row],[Site]]&amp;Tabla3[[#This Row],[Split]]</f>
        <v>(KG) Big Star Honda26</v>
      </c>
      <c r="B2660">
        <v>26</v>
      </c>
      <c r="C2660">
        <v>25</v>
      </c>
      <c r="D2660" t="s">
        <v>33</v>
      </c>
      <c r="E2660" t="s">
        <v>46</v>
      </c>
      <c r="F2660" t="s">
        <v>136</v>
      </c>
      <c r="G2660" t="s">
        <v>34</v>
      </c>
      <c r="H2660" s="52" t="str">
        <f>VLOOKUP(Tabla3[[#This Row],[Site]],'Important Info!'!$A$1:$J$135,10,FALSE)</f>
        <v>https://tools.sig.systems/site/details/231</v>
      </c>
      <c r="J2660" t="s">
        <v>41</v>
      </c>
      <c r="K2660" s="79" t="str">
        <f>VLOOKUP(Tabla3[[#This Row],[Site]],'Important Info!'!$A$1:$H$135,8,FALSE)</f>
        <v>-</v>
      </c>
      <c r="L2660" s="52" t="str">
        <f>VLOOKUP(Tabla3[[#This Row],[Site]],'Important Info!'!$A$1:$F$135,2,FALSE)</f>
        <v>2, 17, 33</v>
      </c>
      <c r="M2660" s="52" t="str">
        <f>VLOOKUP(Tabla3[[#This Row],[Site]],'Important Info!'!$A$1:$F$135,3,FALSE)</f>
        <v>-</v>
      </c>
      <c r="N2660" s="52" t="str">
        <f>VLOOKUP(Tabla3[[#This Row],[Site]],'Important Info!'!$A$1:$F$135,4,FALSE)</f>
        <v>-</v>
      </c>
      <c r="O2660" s="52" t="str">
        <f>VLOOKUP(Tabla3[[#This Row],[Site]],'Important Info!'!$A$1:$F$135,5,FALSE)</f>
        <v>3, 11, 16, 21, 24, 31, 34</v>
      </c>
      <c r="P2660" s="52" t="str">
        <f>VLOOKUP(Tabla3[[#This Row],[Site]],'Important Info!'!$A$1:$F$135,6,FALSE)</f>
        <v xml:space="preserve">2, 3, 17, 22, 37, 41, 42 </v>
      </c>
      <c r="Q2660" s="91">
        <f>VLOOKUP(Tabla3[[#This Row],[Site]],'Important Info!'!$A$1:$J$135,9,FALSE)</f>
        <v>231</v>
      </c>
    </row>
    <row r="2661" spans="1:17" x14ac:dyDescent="0.25">
      <c r="A2661" t="str">
        <f>+Tabla3[[#This Row],[Site]]&amp;Tabla3[[#This Row],[Split]]</f>
        <v>(ML) Joe Machens Ford Lincoln I &amp; II26</v>
      </c>
      <c r="B2661">
        <v>26</v>
      </c>
      <c r="C2661">
        <v>25</v>
      </c>
      <c r="D2661" t="s">
        <v>33</v>
      </c>
      <c r="E2661" t="s">
        <v>46</v>
      </c>
      <c r="F2661" t="s">
        <v>148</v>
      </c>
      <c r="G2661" t="s">
        <v>34</v>
      </c>
      <c r="H2661" s="52" t="str">
        <f>VLOOKUP(Tabla3[[#This Row],[Site]],'Important Info!'!$A$1:$J$135,10,FALSE)</f>
        <v>https://tools.sig.systems/site/details/266</v>
      </c>
      <c r="I2661" s="43" t="s">
        <v>146</v>
      </c>
      <c r="J2661" t="s">
        <v>41</v>
      </c>
      <c r="K2661" s="79" t="str">
        <f>VLOOKUP(Tabla3[[#This Row],[Site]],'Important Info!'!$A$1:$H$135,8,FALSE)</f>
        <v>-</v>
      </c>
      <c r="L2661" s="52" t="str">
        <f>VLOOKUP(Tabla3[[#This Row],[Site]],'Important Info!'!$A$1:$F$135,2,FALSE)</f>
        <v>-</v>
      </c>
      <c r="M2661" s="52" t="str">
        <f>VLOOKUP(Tabla3[[#This Row],[Site]],'Important Info!'!$A$1:$F$135,3,FALSE)</f>
        <v>4, 6, 9, 13, 14, 17, 26, 27, 28, 29, 30</v>
      </c>
      <c r="N2661" s="52" t="str">
        <f>VLOOKUP(Tabla3[[#This Row],[Site]],'Important Info!'!$A$1:$F$135,4,FALSE)</f>
        <v>-</v>
      </c>
      <c r="O2661" s="52" t="str">
        <f>VLOOKUP(Tabla3[[#This Row],[Site]],'Important Info!'!$A$1:$F$135,5,FALSE)</f>
        <v>23, 40, 49</v>
      </c>
      <c r="P2661" s="52" t="str">
        <f>VLOOKUP(Tabla3[[#This Row],[Site]],'Important Info!'!$A$1:$F$135,6,FALSE)</f>
        <v>-</v>
      </c>
      <c r="Q2661" s="91">
        <f>VLOOKUP(Tabla3[[#This Row],[Site]],'Important Info!'!$A$1:$J$135,9,FALSE)</f>
        <v>266</v>
      </c>
    </row>
    <row r="2662" spans="1:17" x14ac:dyDescent="0.25">
      <c r="A2662" t="str">
        <f>+Tabla3[[#This Row],[Site]]&amp;Tabla3[[#This Row],[Split]]</f>
        <v>(ML) Mazda VW-Lot B26</v>
      </c>
      <c r="B2662">
        <v>26</v>
      </c>
      <c r="C2662">
        <v>25</v>
      </c>
      <c r="D2662" t="s">
        <v>33</v>
      </c>
      <c r="E2662" t="s">
        <v>46</v>
      </c>
      <c r="F2662" t="s">
        <v>9</v>
      </c>
      <c r="G2662" t="s">
        <v>34</v>
      </c>
      <c r="H2662" s="52" t="str">
        <f>VLOOKUP(Tabla3[[#This Row],[Site]],'Important Info!'!$A$1:$J$135,10,FALSE)</f>
        <v>https://tools.sig.systems/site/details/205</v>
      </c>
      <c r="I2662" s="2" t="s">
        <v>142</v>
      </c>
      <c r="J2662" t="s">
        <v>41</v>
      </c>
      <c r="K2662" s="79" t="str">
        <f>VLOOKUP(Tabla3[[#This Row],[Site]],'Important Info!'!$A$1:$H$135,8,FALSE)</f>
        <v>-</v>
      </c>
      <c r="L2662" s="52" t="str">
        <f>VLOOKUP(Tabla3[[#This Row],[Site]],'Important Info!'!$A$1:$F$135,2,FALSE)</f>
        <v>9, 14, 16</v>
      </c>
      <c r="M2662" s="52">
        <f>VLOOKUP(Tabla3[[#This Row],[Site]],'Important Info!'!$A$1:$F$135,3,FALSE)</f>
        <v>1</v>
      </c>
      <c r="N2662" s="52" t="str">
        <f>VLOOKUP(Tabla3[[#This Row],[Site]],'Important Info!'!$A$1:$F$135,4,FALSE)</f>
        <v>-</v>
      </c>
      <c r="O2662" s="52">
        <f>VLOOKUP(Tabla3[[#This Row],[Site]],'Important Info!'!$A$1:$F$135,5,FALSE)</f>
        <v>4</v>
      </c>
      <c r="P2662" s="52" t="str">
        <f>VLOOKUP(Tabla3[[#This Row],[Site]],'Important Info!'!$A$1:$F$135,6,FALSE)</f>
        <v>-</v>
      </c>
      <c r="Q2662" s="91">
        <f>VLOOKUP(Tabla3[[#This Row],[Site]],'Important Info!'!$A$1:$J$135,9,FALSE)</f>
        <v>205</v>
      </c>
    </row>
    <row r="2663" spans="1:17" x14ac:dyDescent="0.25">
      <c r="A2663" t="str">
        <f>+Tabla3[[#This Row],[Site]]&amp;Tabla3[[#This Row],[Split]]</f>
        <v>(AS) Stevinson Porsche of Littleton (NO TOURS)26</v>
      </c>
      <c r="B2663">
        <v>26</v>
      </c>
      <c r="C2663">
        <v>26</v>
      </c>
      <c r="D2663" t="s">
        <v>44</v>
      </c>
      <c r="E2663" t="s">
        <v>53</v>
      </c>
      <c r="F2663" t="s">
        <v>78</v>
      </c>
      <c r="G2663" t="s">
        <v>45</v>
      </c>
      <c r="H2663" s="52" t="str">
        <f>VLOOKUP(Tabla3[[#This Row],[Site]],'Important Info!'!$A$1:$J$135,10,FALSE)</f>
        <v>https://tools.sig.systems/site/details/242</v>
      </c>
      <c r="J2663" t="s">
        <v>41</v>
      </c>
      <c r="K2663" s="79" t="str">
        <f>VLOOKUP(Tabla3[[#This Row],[Site]],'Important Info!'!$A$1:$H$135,8,FALSE)</f>
        <v>-</v>
      </c>
      <c r="L2663" s="52" t="str">
        <f>VLOOKUP(Tabla3[[#This Row],[Site]],'Important Info!'!$A$1:$F$135,2,FALSE)</f>
        <v>3, 4</v>
      </c>
      <c r="M2663" s="52">
        <f>VLOOKUP(Tabla3[[#This Row],[Site]],'Important Info!'!$A$1:$F$135,3,FALSE)</f>
        <v>2</v>
      </c>
      <c r="N2663" s="52" t="str">
        <f>VLOOKUP(Tabla3[[#This Row],[Site]],'Important Info!'!$A$1:$F$135,4,FALSE)</f>
        <v>-</v>
      </c>
      <c r="O2663" s="52" t="str">
        <f>VLOOKUP(Tabla3[[#This Row],[Site]],'Important Info!'!$A$1:$F$135,5,FALSE)</f>
        <v>-</v>
      </c>
      <c r="P2663" s="52" t="str">
        <f>VLOOKUP(Tabla3[[#This Row],[Site]],'Important Info!'!$A$1:$F$135,6,FALSE)</f>
        <v>3, 4</v>
      </c>
      <c r="Q2663" s="91">
        <f>VLOOKUP(Tabla3[[#This Row],[Site]],'Important Info!'!$A$1:$J$135,9,FALSE)</f>
        <v>242</v>
      </c>
    </row>
    <row r="2664" spans="1:17" x14ac:dyDescent="0.25">
      <c r="A2664" t="str">
        <f>+Tabla3[[#This Row],[Site]]&amp;Tabla3[[#This Row],[Split]]</f>
        <v>(DT) W Houston26</v>
      </c>
      <c r="B2664">
        <v>26</v>
      </c>
      <c r="C2664">
        <v>26</v>
      </c>
      <c r="D2664" t="s">
        <v>33</v>
      </c>
      <c r="E2664" t="s">
        <v>46</v>
      </c>
      <c r="F2664" t="s">
        <v>69</v>
      </c>
      <c r="G2664" t="s">
        <v>34</v>
      </c>
      <c r="H2664" s="52" t="str">
        <f>VLOOKUP(Tabla3[[#This Row],[Site]],'Important Info!'!$A$1:$J$135,10,FALSE)</f>
        <v>https://tools.sig.systems/site/details/197</v>
      </c>
      <c r="I2664" s="43"/>
      <c r="J2664" t="s">
        <v>41</v>
      </c>
      <c r="K2664" s="79" t="str">
        <f>VLOOKUP(Tabla3[[#This Row],[Site]],'Important Info!'!$A$1:$H$135,8,FALSE)</f>
        <v>-</v>
      </c>
      <c r="L2664" s="52">
        <f>VLOOKUP(Tabla3[[#This Row],[Site]],'Important Info!'!$A$1:$F$135,2,FALSE)</f>
        <v>7</v>
      </c>
      <c r="M2664" s="52">
        <f>VLOOKUP(Tabla3[[#This Row],[Site]],'Important Info!'!$A$1:$F$135,3,FALSE)</f>
        <v>2</v>
      </c>
      <c r="N2664" s="52" t="str">
        <f>VLOOKUP(Tabla3[[#This Row],[Site]],'Important Info!'!$A$1:$F$135,4,FALSE)</f>
        <v>-</v>
      </c>
      <c r="O2664" s="52">
        <f>VLOOKUP(Tabla3[[#This Row],[Site]],'Important Info!'!$A$1:$F$135,5,FALSE)</f>
        <v>14</v>
      </c>
      <c r="P2664" s="52" t="str">
        <f>VLOOKUP(Tabla3[[#This Row],[Site]],'Important Info!'!$A$1:$F$135,6,FALSE)</f>
        <v>2, 3, 7, 10</v>
      </c>
      <c r="Q2664" s="91">
        <f>VLOOKUP(Tabla3[[#This Row],[Site]],'Important Info!'!$A$1:$J$135,9,FALSE)</f>
        <v>197</v>
      </c>
    </row>
    <row r="2665" spans="1:17" x14ac:dyDescent="0.25">
      <c r="A2665" t="str">
        <f>+Tabla3[[#This Row],[Site]]&amp;Tabla3[[#This Row],[Split]]</f>
        <v>(KG) Baytown GMC Buick - Remote Lot (NO TOURS)26</v>
      </c>
      <c r="B2665">
        <v>26</v>
      </c>
      <c r="C2665">
        <v>26</v>
      </c>
      <c r="D2665" t="s">
        <v>60</v>
      </c>
      <c r="E2665" t="s">
        <v>46</v>
      </c>
      <c r="F2665" t="s">
        <v>167</v>
      </c>
      <c r="G2665" t="s">
        <v>41</v>
      </c>
      <c r="H2665" s="52" t="str">
        <f>VLOOKUP(Tabla3[[#This Row],[Site]],'Important Info!'!$A$1:$J$135,10,FALSE)</f>
        <v>https://tools.sig.systems/site/details/311</v>
      </c>
      <c r="I2665" s="43"/>
      <c r="J2665" t="s">
        <v>41</v>
      </c>
      <c r="K2665" s="79" t="s">
        <v>168</v>
      </c>
      <c r="L2665" s="52" t="str">
        <f>VLOOKUP(Tabla3[[#This Row],[Site]],'Important Info!'!$A$1:$F$135,2,FALSE)</f>
        <v>-</v>
      </c>
      <c r="M2665" s="52" t="str">
        <f>VLOOKUP(Tabla3[[#This Row],[Site]],'Important Info!'!$A$1:$F$135,3,FALSE)</f>
        <v>7, 8</v>
      </c>
      <c r="N2665" s="52" t="str">
        <f>VLOOKUP(Tabla3[[#This Row],[Site]],'Important Info!'!$A$1:$F$135,4,FALSE)</f>
        <v>-</v>
      </c>
      <c r="O2665" s="52" t="str">
        <f>VLOOKUP(Tabla3[[#This Row],[Site]],'Important Info!'!$A$1:$F$135,5,FALSE)</f>
        <v>-</v>
      </c>
      <c r="P2665" s="52" t="str">
        <f>VLOOKUP(Tabla3[[#This Row],[Site]],'Important Info!'!$A$1:$F$135,6,FALSE)</f>
        <v>-</v>
      </c>
      <c r="Q2665" s="91">
        <f>VLOOKUP(Tabla3[[#This Row],[Site]],'Important Info!'!$A$1:$J$135,9,FALSE)</f>
        <v>311</v>
      </c>
    </row>
    <row r="2666" spans="1:17" x14ac:dyDescent="0.25">
      <c r="A2666" t="str">
        <f>+Tabla3[[#This Row],[Site]]&amp;Tabla3[[#This Row],[Split]]</f>
        <v>(KG) Baytown GMC Buick (NO TOURS)26</v>
      </c>
      <c r="B2666">
        <v>26</v>
      </c>
      <c r="C2666">
        <v>26</v>
      </c>
      <c r="D2666" t="s">
        <v>33</v>
      </c>
      <c r="E2666" t="s">
        <v>46</v>
      </c>
      <c r="F2666" t="s">
        <v>132</v>
      </c>
      <c r="G2666" t="s">
        <v>34</v>
      </c>
      <c r="H2666" s="52" t="str">
        <f>VLOOKUP(Tabla3[[#This Row],[Site]],'Important Info!'!$A$1:$J$135,10,FALSE)</f>
        <v>https://tools.sig.systems/site/details/239</v>
      </c>
      <c r="I2666" s="2"/>
      <c r="J2666" t="s">
        <v>41</v>
      </c>
      <c r="K2666" s="79" t="str">
        <f>VLOOKUP(Tabla3[[#This Row],[Site]],'Important Info!'!$A$1:$H$135,8,FALSE)</f>
        <v>-</v>
      </c>
      <c r="L2666" s="52" t="str">
        <f>VLOOKUP(Tabla3[[#This Row],[Site]],'Important Info!'!$A$1:$F$135,2,FALSE)</f>
        <v>1, 5, 7, 21, 22</v>
      </c>
      <c r="M2666" s="52" t="str">
        <f>VLOOKUP(Tabla3[[#This Row],[Site]],'Important Info!'!$A$1:$F$135,3,FALSE)</f>
        <v>-</v>
      </c>
      <c r="N2666" s="52" t="str">
        <f>VLOOKUP(Tabla3[[#This Row],[Site]],'Important Info!'!$A$1:$F$135,4,FALSE)</f>
        <v>-</v>
      </c>
      <c r="O2666" s="52" t="str">
        <f>VLOOKUP(Tabla3[[#This Row],[Site]],'Important Info!'!$A$1:$F$135,5,FALSE)</f>
        <v>2, 10, 15, 24B</v>
      </c>
      <c r="P2666" s="52" t="str">
        <f>VLOOKUP(Tabla3[[#This Row],[Site]],'Important Info!'!$A$1:$F$135,6,FALSE)</f>
        <v>21, 22</v>
      </c>
      <c r="Q2666" s="91">
        <f>VLOOKUP(Tabla3[[#This Row],[Site]],'Important Info!'!$A$1:$J$135,9,FALSE)</f>
        <v>239</v>
      </c>
    </row>
    <row r="2667" spans="1:17" x14ac:dyDescent="0.25">
      <c r="A2667" t="str">
        <f>+Tabla3[[#This Row],[Site]]&amp;Tabla3[[#This Row],[Split]]</f>
        <v>(KT) Northwest CDJR (NO TOURS)26</v>
      </c>
      <c r="B2667">
        <v>26</v>
      </c>
      <c r="C2667">
        <v>26</v>
      </c>
      <c r="D2667" t="s">
        <v>33</v>
      </c>
      <c r="E2667" t="s">
        <v>46</v>
      </c>
      <c r="F2667" t="s">
        <v>77</v>
      </c>
      <c r="G2667" t="s">
        <v>34</v>
      </c>
      <c r="H2667" s="52" t="str">
        <f>VLOOKUP(Tabla3[[#This Row],[Site]],'Important Info!'!$A$1:$J$135,10,FALSE)</f>
        <v>https://tools.sig.systems/site/details/229</v>
      </c>
      <c r="I2667" s="43"/>
      <c r="J2667" t="s">
        <v>41</v>
      </c>
      <c r="K2667" s="79" t="str">
        <f>VLOOKUP(Tabla3[[#This Row],[Site]],'Important Info!'!$A$1:$H$135,8,FALSE)</f>
        <v>-</v>
      </c>
      <c r="L2667" s="52" t="str">
        <f>VLOOKUP(Tabla3[[#This Row],[Site]],'Important Info!'!$A$1:$F$135,2,FALSE)</f>
        <v>1, 3, 11, 25</v>
      </c>
      <c r="M2667" s="52" t="str">
        <f>VLOOKUP(Tabla3[[#This Row],[Site]],'Important Info!'!$A$1:$F$135,3,FALSE)</f>
        <v>-</v>
      </c>
      <c r="N2667" s="52" t="str">
        <f>VLOOKUP(Tabla3[[#This Row],[Site]],'Important Info!'!$A$1:$F$135,4,FALSE)</f>
        <v>-</v>
      </c>
      <c r="O2667" s="52" t="str">
        <f>VLOOKUP(Tabla3[[#This Row],[Site]],'Important Info!'!$A$1:$F$135,5,FALSE)</f>
        <v>4, 12, 18</v>
      </c>
      <c r="P2667" s="52" t="str">
        <f>VLOOKUP(Tabla3[[#This Row],[Site]],'Important Info!'!$A$1:$F$135,6,FALSE)</f>
        <v>-</v>
      </c>
      <c r="Q2667" s="91">
        <f>VLOOKUP(Tabla3[[#This Row],[Site]],'Important Info!'!$A$1:$J$135,9,FALSE)</f>
        <v>229</v>
      </c>
    </row>
    <row r="2668" spans="1:17" x14ac:dyDescent="0.25">
      <c r="A2668" t="str">
        <f>+Tabla3[[#This Row],[Site]]&amp;Tabla3[[#This Row],[Split]]</f>
        <v>(ML) Collision Center N Little Rock26</v>
      </c>
      <c r="B2668">
        <v>26</v>
      </c>
      <c r="C2668">
        <v>26</v>
      </c>
      <c r="D2668" t="s">
        <v>33</v>
      </c>
      <c r="E2668" t="s">
        <v>46</v>
      </c>
      <c r="F2668" t="s">
        <v>141</v>
      </c>
      <c r="G2668" t="s">
        <v>34</v>
      </c>
      <c r="H2668" s="52" t="str">
        <f>VLOOKUP(Tabla3[[#This Row],[Site]],'Important Info!'!$A$1:$J$135,10,FALSE)</f>
        <v>https://tools.sig.systems/site/details/212</v>
      </c>
      <c r="I2668" s="2" t="s">
        <v>142</v>
      </c>
      <c r="J2668" t="s">
        <v>41</v>
      </c>
      <c r="K2668" s="79" t="str">
        <f>VLOOKUP(Tabla3[[#This Row],[Site]],'Important Info!'!$A$1:$H$135,8,FALSE)</f>
        <v>-</v>
      </c>
      <c r="L2668" s="52" t="str">
        <f>VLOOKUP(Tabla3[[#This Row],[Site]],'Important Info!'!$A$1:$F$135,2,FALSE)</f>
        <v>-</v>
      </c>
      <c r="M2668" s="52" t="str">
        <f>VLOOKUP(Tabla3[[#This Row],[Site]],'Important Info!'!$A$1:$F$135,3,FALSE)</f>
        <v>-</v>
      </c>
      <c r="N2668" s="52" t="str">
        <f>VLOOKUP(Tabla3[[#This Row],[Site]],'Important Info!'!$A$1:$F$135,4,FALSE)</f>
        <v>-</v>
      </c>
      <c r="O2668" s="52" t="str">
        <f>VLOOKUP(Tabla3[[#This Row],[Site]],'Important Info!'!$A$1:$F$135,5,FALSE)</f>
        <v>-</v>
      </c>
      <c r="P2668" s="52" t="str">
        <f>VLOOKUP(Tabla3[[#This Row],[Site]],'Important Info!'!$A$1:$F$135,6,FALSE)</f>
        <v>1, 3, 7, 8</v>
      </c>
      <c r="Q2668" s="91">
        <f>VLOOKUP(Tabla3[[#This Row],[Site]],'Important Info!'!$A$1:$J$135,9,FALSE)</f>
        <v>212</v>
      </c>
    </row>
    <row r="2669" spans="1:17" x14ac:dyDescent="0.25">
      <c r="A2669" t="str">
        <f>+Tabla3[[#This Row],[Site]]&amp;Tabla3[[#This Row],[Split]]</f>
        <v>(PE) BMW Tenafly (NO TOURS)26</v>
      </c>
      <c r="B2669">
        <v>26</v>
      </c>
      <c r="C2669">
        <v>26</v>
      </c>
      <c r="D2669" t="s">
        <v>485</v>
      </c>
      <c r="E2669" t="s">
        <v>35</v>
      </c>
      <c r="F2669" t="s">
        <v>173</v>
      </c>
      <c r="G2669" t="s">
        <v>490</v>
      </c>
      <c r="H2669" s="52" t="str">
        <f>VLOOKUP(Tabla3[[#This Row],[Site]],'Important Info!'!$A$1:$J$135,10,FALSE)</f>
        <v>https://tools.sig.systems/site/details/155</v>
      </c>
      <c r="I2669" s="43"/>
      <c r="J2669" t="s">
        <v>41</v>
      </c>
      <c r="K2669" s="79" t="str">
        <f>VLOOKUP(Tabla3[[#This Row],[Site]],'Important Info!'!$A$1:$H$135,8,FALSE)</f>
        <v>-</v>
      </c>
      <c r="L2669" s="52">
        <f>VLOOKUP(Tabla3[[#This Row],[Site]],'Important Info!'!$A$1:$F$135,2,FALSE)</f>
        <v>24</v>
      </c>
      <c r="M2669" s="52" t="str">
        <f>VLOOKUP(Tabla3[[#This Row],[Site]],'Important Info!'!$A$1:$F$135,3,FALSE)</f>
        <v>1, 3, 4, 17, 23</v>
      </c>
      <c r="N2669" s="52" t="str">
        <f>VLOOKUP(Tabla3[[#This Row],[Site]],'Important Info!'!$A$1:$F$135,4,FALSE)</f>
        <v>-</v>
      </c>
      <c r="O2669" s="52" t="str">
        <f>VLOOKUP(Tabla3[[#This Row],[Site]],'Important Info!'!$A$1:$F$135,5,FALSE)</f>
        <v>-</v>
      </c>
      <c r="P2669" s="52">
        <f>VLOOKUP(Tabla3[[#This Row],[Site]],'Important Info!'!$A$1:$F$135,6,FALSE)</f>
        <v>1</v>
      </c>
      <c r="Q2669" s="91">
        <f>VLOOKUP(Tabla3[[#This Row],[Site]],'Important Info!'!$A$1:$J$135,9,FALSE)</f>
        <v>155</v>
      </c>
    </row>
    <row r="2670" spans="1:17" x14ac:dyDescent="0.25">
      <c r="A2670" t="str">
        <f>+Tabla3[[#This Row],[Site]]&amp;Tabla3[[#This Row],[Split]]</f>
        <v>(AS) Coggin Honda Ft. Pierce (NO TOURS)27</v>
      </c>
      <c r="B2670">
        <v>27</v>
      </c>
      <c r="C2670">
        <v>1</v>
      </c>
      <c r="D2670" t="s">
        <v>62</v>
      </c>
      <c r="E2670" t="s">
        <v>35</v>
      </c>
      <c r="F2670" t="s">
        <v>501</v>
      </c>
      <c r="G2670" t="s">
        <v>490</v>
      </c>
      <c r="H2670" s="52" t="str">
        <f>VLOOKUP(Tabla3[[#This Row],[Site]],'Important Info!'!$A$1:$J$135,10,FALSE)</f>
        <v>https://tools.sig.systems/site/details/120</v>
      </c>
      <c r="I2670" t="s">
        <v>179</v>
      </c>
      <c r="J2670" t="s">
        <v>484</v>
      </c>
      <c r="K2670" s="79" t="str">
        <f>VLOOKUP(Tabla3[[#This Row],[Site]],'Important Info!'!$A$1:$H$135,8,FALSE)</f>
        <v>-</v>
      </c>
      <c r="L2670" s="52" t="str">
        <f>VLOOKUP(Tabla3[[#This Row],[Site]],'Important Info!'!$A$1:$F$135,2,FALSE)</f>
        <v>1, 2, 3, 4, 14</v>
      </c>
      <c r="M2670" s="52" t="str">
        <f>VLOOKUP(Tabla3[[#This Row],[Site]],'Important Info!'!$A$1:$F$135,3,FALSE)</f>
        <v>-</v>
      </c>
      <c r="N2670" s="52" t="str">
        <f>VLOOKUP(Tabla3[[#This Row],[Site]],'Important Info!'!$A$1:$F$135,4,FALSE)</f>
        <v>-</v>
      </c>
      <c r="O2670" s="52" t="str">
        <f>VLOOKUP(Tabla3[[#This Row],[Site]],'Important Info!'!$A$1:$F$135,5,FALSE)</f>
        <v>7, 11, 15</v>
      </c>
      <c r="P2670" s="52">
        <f>VLOOKUP(Tabla3[[#This Row],[Site]],'Important Info!'!$A$1:$F$135,6,FALSE)</f>
        <v>3</v>
      </c>
      <c r="Q2670" s="91">
        <f>VLOOKUP(Tabla3[[#This Row],[Site]],'Important Info!'!$A$1:$J$135,9,FALSE)</f>
        <v>120</v>
      </c>
    </row>
    <row r="2671" spans="1:17" x14ac:dyDescent="0.25">
      <c r="A2671" t="str">
        <f>+Tabla3[[#This Row],[Site]]&amp;Tabla3[[#This Row],[Split]]</f>
        <v>(AS) Park Place Bodywerks Ft. Worth (NO TOURS)27</v>
      </c>
      <c r="B2671">
        <v>27</v>
      </c>
      <c r="C2671">
        <v>1</v>
      </c>
      <c r="D2671" t="s">
        <v>33</v>
      </c>
      <c r="E2671" t="s">
        <v>46</v>
      </c>
      <c r="F2671" t="s">
        <v>515</v>
      </c>
      <c r="G2671" t="s">
        <v>34</v>
      </c>
      <c r="H2671" s="52" t="str">
        <f>VLOOKUP(Tabla3[[#This Row],[Site]],'Important Info!'!$A$1:$J$135,10,FALSE)</f>
        <v>https://tools.sig.systems/site/details/134</v>
      </c>
      <c r="I2671" s="65" t="s">
        <v>128</v>
      </c>
      <c r="J2671" t="s">
        <v>41</v>
      </c>
      <c r="K2671" s="79" t="str">
        <f>VLOOKUP(Tabla3[[#This Row],[Site]],'Important Info!'!$A$1:$H$135,8,FALSE)</f>
        <v>-</v>
      </c>
      <c r="L2671" s="52" t="str">
        <f>VLOOKUP(Tabla3[[#This Row],[Site]],'Important Info!'!$A$1:$F$135,2,FALSE)</f>
        <v>2, 3, RemoteLot5, RemoteLot9</v>
      </c>
      <c r="M2671" s="52" t="str">
        <f>VLOOKUP(Tabla3[[#This Row],[Site]],'Important Info!'!$A$1:$F$135,3,FALSE)</f>
        <v>-</v>
      </c>
      <c r="N2671" s="52" t="str">
        <f>VLOOKUP(Tabla3[[#This Row],[Site]],'Important Info!'!$A$1:$F$135,4,FALSE)</f>
        <v>-</v>
      </c>
      <c r="O2671" s="52" t="str">
        <f>VLOOKUP(Tabla3[[#This Row],[Site]],'Important Info!'!$A$1:$F$135,5,FALSE)</f>
        <v>1, 7, RL1, RL5, RL9</v>
      </c>
      <c r="P2671" s="52" t="str">
        <f>VLOOKUP(Tabla3[[#This Row],[Site]],'Important Info!'!$A$1:$F$135,6,FALSE)</f>
        <v>3, 4, 15</v>
      </c>
      <c r="Q2671" s="91">
        <f>VLOOKUP(Tabla3[[#This Row],[Site]],'Important Info!'!$A$1:$J$135,9,FALSE)</f>
        <v>134</v>
      </c>
    </row>
    <row r="2672" spans="1:17" x14ac:dyDescent="0.25">
      <c r="A2672" t="str">
        <f>+Tabla3[[#This Row],[Site]]&amp;Tabla3[[#This Row],[Split]]</f>
        <v>(ML) Nissan Of Benton27</v>
      </c>
      <c r="B2672">
        <v>27</v>
      </c>
      <c r="C2672">
        <v>1</v>
      </c>
      <c r="D2672" t="s">
        <v>33</v>
      </c>
      <c r="E2672" t="s">
        <v>46</v>
      </c>
      <c r="F2672" t="s">
        <v>120</v>
      </c>
      <c r="G2672" t="s">
        <v>34</v>
      </c>
      <c r="H2672" s="52" t="str">
        <f>VLOOKUP(Tabla3[[#This Row],[Site]],'Important Info!'!$A$1:$J$135,10,FALSE)</f>
        <v>https://tools.sig.systems/site/details/247</v>
      </c>
      <c r="I2672" s="2"/>
      <c r="J2672" t="s">
        <v>41</v>
      </c>
      <c r="K2672" s="79" t="str">
        <f>VLOOKUP(Tabla3[[#This Row],[Site]],'Important Info!'!$A$1:$H$135,8,FALSE)</f>
        <v>-</v>
      </c>
      <c r="L2672" s="52" t="str">
        <f>VLOOKUP(Tabla3[[#This Row],[Site]],'Important Info!'!$A$1:$F$135,2,FALSE)</f>
        <v>5, 12</v>
      </c>
      <c r="M2672" s="52" t="str">
        <f>VLOOKUP(Tabla3[[#This Row],[Site]],'Important Info!'!$A$1:$F$135,3,FALSE)</f>
        <v>-</v>
      </c>
      <c r="N2672" s="52" t="str">
        <f>VLOOKUP(Tabla3[[#This Row],[Site]],'Important Info!'!$A$1:$F$135,4,FALSE)</f>
        <v>-</v>
      </c>
      <c r="O2672" s="52" t="str">
        <f>VLOOKUP(Tabla3[[#This Row],[Site]],'Important Info!'!$A$1:$F$135,5,FALSE)</f>
        <v>4, 18</v>
      </c>
      <c r="P2672" s="52" t="str">
        <f>VLOOKUP(Tabla3[[#This Row],[Site]],'Important Info!'!$A$1:$F$135,6,FALSE)</f>
        <v>-</v>
      </c>
      <c r="Q2672" s="91">
        <f>VLOOKUP(Tabla3[[#This Row],[Site]],'Important Info!'!$A$1:$J$135,9,FALSE)</f>
        <v>247</v>
      </c>
    </row>
    <row r="2673" spans="1:17" x14ac:dyDescent="0.25">
      <c r="A2673" t="str">
        <f>+Tabla3[[#This Row],[Site]]&amp;Tabla3[[#This Row],[Split]]</f>
        <v>(PE) Scofield Service Center (NO TOURS)27</v>
      </c>
      <c r="B2673">
        <v>27</v>
      </c>
      <c r="C2673">
        <v>1</v>
      </c>
      <c r="D2673" t="s">
        <v>485</v>
      </c>
      <c r="E2673" t="s">
        <v>35</v>
      </c>
      <c r="F2673" t="s">
        <v>83</v>
      </c>
      <c r="G2673" t="s">
        <v>490</v>
      </c>
      <c r="H2673" s="52" t="str">
        <f>VLOOKUP(Tabla3[[#This Row],[Site]],'Important Info!'!$A$1:$J$135,10,FALSE)</f>
        <v>https://tools.sig.systems/site/details/193</v>
      </c>
      <c r="I2673" t="s">
        <v>177</v>
      </c>
      <c r="J2673" t="s">
        <v>41</v>
      </c>
      <c r="K2673" s="79" t="str">
        <f>VLOOKUP(Tabla3[[#This Row],[Site]],'Important Info!'!$A$1:$H$135,8,FALSE)</f>
        <v>-</v>
      </c>
      <c r="L2673" s="52">
        <f>VLOOKUP(Tabla3[[#This Row],[Site]],'Important Info!'!$A$1:$F$135,2,FALSE)</f>
        <v>1</v>
      </c>
      <c r="M2673" s="52" t="str">
        <f>VLOOKUP(Tabla3[[#This Row],[Site]],'Important Info!'!$A$1:$F$135,3,FALSE)</f>
        <v>-</v>
      </c>
      <c r="N2673" s="52" t="str">
        <f>VLOOKUP(Tabla3[[#This Row],[Site]],'Important Info!'!$A$1:$F$135,4,FALSE)</f>
        <v>-</v>
      </c>
      <c r="O2673" s="52">
        <f>VLOOKUP(Tabla3[[#This Row],[Site]],'Important Info!'!$A$1:$F$135,5,FALSE)</f>
        <v>9</v>
      </c>
      <c r="P2673" s="52" t="str">
        <f>VLOOKUP(Tabla3[[#This Row],[Site]],'Important Info!'!$A$1:$F$135,6,FALSE)</f>
        <v>1, 17</v>
      </c>
      <c r="Q2673" s="91">
        <f>VLOOKUP(Tabla3[[#This Row],[Site]],'Important Info!'!$A$1:$J$135,9,FALSE)</f>
        <v>193</v>
      </c>
    </row>
    <row r="2674" spans="1:17" x14ac:dyDescent="0.25">
      <c r="A2674" t="str">
        <f>+Tabla3[[#This Row],[Site]]&amp;Tabla3[[#This Row],[Split]]</f>
        <v>(RV) Toms Camperland Avondale (NO TOURS)27</v>
      </c>
      <c r="B2674">
        <v>27</v>
      </c>
      <c r="C2674">
        <v>1</v>
      </c>
      <c r="D2674" t="s">
        <v>51</v>
      </c>
      <c r="E2674" t="s">
        <v>161</v>
      </c>
      <c r="F2674" t="s">
        <v>80</v>
      </c>
      <c r="G2674" t="s">
        <v>52</v>
      </c>
      <c r="H2674" s="52" t="str">
        <f>VLOOKUP(Tabla3[[#This Row],[Site]],'Important Info!'!$A$1:$J$135,10,FALSE)</f>
        <v>https://tools.sig.systems/site/details/248</v>
      </c>
      <c r="I2674" s="2" t="s">
        <v>163</v>
      </c>
      <c r="J2674" t="s">
        <v>164</v>
      </c>
      <c r="K2674" s="79" t="str">
        <f>VLOOKUP(Tabla3[[#This Row],[Site]],'Important Info!'!$A$1:$H$135,8,FALSE)</f>
        <v>-</v>
      </c>
      <c r="L2674" s="52">
        <f>VLOOKUP(Tabla3[[#This Row],[Site]],'Important Info!'!$A$1:$F$135,2,FALSE)</f>
        <v>10</v>
      </c>
      <c r="M2674" s="52" t="str">
        <f>VLOOKUP(Tabla3[[#This Row],[Site]],'Important Info!'!$A$1:$F$135,3,FALSE)</f>
        <v>2, 7</v>
      </c>
      <c r="N2674" s="52" t="str">
        <f>VLOOKUP(Tabla3[[#This Row],[Site]],'Important Info!'!$A$1:$F$135,4,FALSE)</f>
        <v>-</v>
      </c>
      <c r="O2674" s="52" t="str">
        <f>VLOOKUP(Tabla3[[#This Row],[Site]],'Important Info!'!$A$1:$F$135,5,FALSE)</f>
        <v>-</v>
      </c>
      <c r="P2674" s="52" t="str">
        <f>VLOOKUP(Tabla3[[#This Row],[Site]],'Important Info!'!$A$1:$F$135,6,FALSE)</f>
        <v>2, 7, 8, 13, 15</v>
      </c>
      <c r="Q2674" s="91">
        <f>VLOOKUP(Tabla3[[#This Row],[Site]],'Important Info!'!$A$1:$J$135,9,FALSE)</f>
        <v>248</v>
      </c>
    </row>
    <row r="2675" spans="1:17" x14ac:dyDescent="0.25">
      <c r="A2675" t="str">
        <f>+Tabla3[[#This Row],[Site]]&amp;Tabla3[[#This Row],[Split]]</f>
        <v>(JE) Jim Ellis Ford Sandy Springs27</v>
      </c>
      <c r="B2675">
        <v>27</v>
      </c>
      <c r="C2675">
        <v>2</v>
      </c>
      <c r="D2675" t="s">
        <v>62</v>
      </c>
      <c r="E2675" t="s">
        <v>35</v>
      </c>
      <c r="F2675" t="s">
        <v>187</v>
      </c>
      <c r="G2675" t="s">
        <v>490</v>
      </c>
      <c r="H2675" s="52" t="str">
        <f>VLOOKUP(Tabla3[[#This Row],[Site]],'Important Info!'!$A$1:$J$135,10,FALSE)</f>
        <v>https://tools.sig.systems/site/details/142</v>
      </c>
      <c r="I2675" s="2"/>
      <c r="J2675" t="s">
        <v>41</v>
      </c>
      <c r="K2675" s="79" t="str">
        <f>VLOOKUP(Tabla3[[#This Row],[Site]],'Important Info!'!$A$1:$H$135,8,FALSE)</f>
        <v>-</v>
      </c>
      <c r="L2675" s="52" t="str">
        <f>VLOOKUP(Tabla3[[#This Row],[Site]],'Important Info!'!$A$1:$F$135,2,FALSE)</f>
        <v>1, 5</v>
      </c>
      <c r="M2675" s="52" t="str">
        <f>VLOOKUP(Tabla3[[#This Row],[Site]],'Important Info!'!$A$1:$F$135,3,FALSE)</f>
        <v>-</v>
      </c>
      <c r="N2675" s="52" t="str">
        <f>VLOOKUP(Tabla3[[#This Row],[Site]],'Important Info!'!$A$1:$F$135,4,FALSE)</f>
        <v>-</v>
      </c>
      <c r="O2675" s="52" t="str">
        <f>VLOOKUP(Tabla3[[#This Row],[Site]],'Important Info!'!$A$1:$F$135,5,FALSE)</f>
        <v>1, 5, 9, 26</v>
      </c>
      <c r="P2675" s="52" t="str">
        <f>VLOOKUP(Tabla3[[#This Row],[Site]],'Important Info!'!$A$1:$F$135,6,FALSE)</f>
        <v>3, 4, 8, 28</v>
      </c>
      <c r="Q2675" s="91">
        <f>VLOOKUP(Tabla3[[#This Row],[Site]],'Important Info!'!$A$1:$J$135,9,FALSE)</f>
        <v>142</v>
      </c>
    </row>
    <row r="2676" spans="1:17" x14ac:dyDescent="0.25">
      <c r="A2676" t="str">
        <f>+Tabla3[[#This Row],[Site]]&amp;Tabla3[[#This Row],[Split]]</f>
        <v>(KG) Big Star CDJR of Clear Lake27</v>
      </c>
      <c r="B2676">
        <v>27</v>
      </c>
      <c r="C2676">
        <v>2</v>
      </c>
      <c r="D2676" t="s">
        <v>33</v>
      </c>
      <c r="E2676" t="s">
        <v>46</v>
      </c>
      <c r="F2676" t="s">
        <v>133</v>
      </c>
      <c r="G2676" t="s">
        <v>34</v>
      </c>
      <c r="H2676" s="52" t="str">
        <f>VLOOKUP(Tabla3[[#This Row],[Site]],'Important Info!'!$A$1:$J$135,10,FALSE)</f>
        <v>https://tools.sig.systems/site/details/232</v>
      </c>
      <c r="I2676" s="2" t="s">
        <v>134</v>
      </c>
      <c r="J2676" t="s">
        <v>41</v>
      </c>
      <c r="K2676" s="79" t="str">
        <f>VLOOKUP(Tabla3[[#This Row],[Site]],'Important Info!'!$A$1:$H$135,8,FALSE)</f>
        <v>-</v>
      </c>
      <c r="L2676" s="52" t="str">
        <f>VLOOKUP(Tabla3[[#This Row],[Site]],'Important Info!'!$A$1:$F$135,2,FALSE)</f>
        <v>8, 25</v>
      </c>
      <c r="M2676" s="52" t="str">
        <f>VLOOKUP(Tabla3[[#This Row],[Site]],'Important Info!'!$A$1:$F$135,3,FALSE)</f>
        <v>-</v>
      </c>
      <c r="N2676" s="52" t="str">
        <f>VLOOKUP(Tabla3[[#This Row],[Site]],'Important Info!'!$A$1:$F$135,4,FALSE)</f>
        <v>-</v>
      </c>
      <c r="O2676" s="52" t="str">
        <f>VLOOKUP(Tabla3[[#This Row],[Site]],'Important Info!'!$A$1:$F$135,5,FALSE)</f>
        <v>7, 13, 19, 24</v>
      </c>
      <c r="P2676" s="52" t="str">
        <f>VLOOKUP(Tabla3[[#This Row],[Site]],'Important Info!'!$A$1:$F$135,6,FALSE)</f>
        <v>6, 8, 25, 31</v>
      </c>
      <c r="Q2676" s="91">
        <f>VLOOKUP(Tabla3[[#This Row],[Site]],'Important Info!'!$A$1:$J$135,9,FALSE)</f>
        <v>232</v>
      </c>
    </row>
    <row r="2677" spans="1:17" x14ac:dyDescent="0.25">
      <c r="A2677" t="str">
        <f>+Tabla3[[#This Row],[Site]]&amp;Tabla3[[#This Row],[Split]]</f>
        <v>(KG) Texan CDJR27</v>
      </c>
      <c r="B2677">
        <v>27</v>
      </c>
      <c r="C2677">
        <v>2</v>
      </c>
      <c r="D2677" t="s">
        <v>33</v>
      </c>
      <c r="E2677" t="s">
        <v>46</v>
      </c>
      <c r="F2677" t="s">
        <v>70</v>
      </c>
      <c r="G2677" t="s">
        <v>34</v>
      </c>
      <c r="H2677" s="52" t="str">
        <f>VLOOKUP(Tabla3[[#This Row],[Site]],'Important Info!'!$A$1:$J$135,10,FALSE)</f>
        <v>https://tools.sig.systems/site/details/238</v>
      </c>
      <c r="I2677" s="43" t="s">
        <v>137</v>
      </c>
      <c r="J2677" t="s">
        <v>41</v>
      </c>
      <c r="K2677" s="79" t="str">
        <f>VLOOKUP(Tabla3[[#This Row],[Site]],'Important Info!'!$A$1:$H$135,8,FALSE)</f>
        <v>-</v>
      </c>
      <c r="L2677" s="52" t="str">
        <f>VLOOKUP(Tabla3[[#This Row],[Site]],'Important Info!'!$A$1:$F$135,2,FALSE)</f>
        <v>11, 12, 13, 14, 20, 32, 34, 36, 77</v>
      </c>
      <c r="M2677" s="52" t="str">
        <f>VLOOKUP(Tabla3[[#This Row],[Site]],'Important Info!'!$A$1:$F$135,3,FALSE)</f>
        <v>-</v>
      </c>
      <c r="N2677" s="52" t="str">
        <f>VLOOKUP(Tabla3[[#This Row],[Site]],'Important Info!'!$A$1:$F$135,4,FALSE)</f>
        <v>67, 68, 69, 70</v>
      </c>
      <c r="O2677" s="52" t="str">
        <f>VLOOKUP(Tabla3[[#This Row],[Site]],'Important Info!'!$A$1:$F$135,5,FALSE)</f>
        <v>2, 10, 14, 25, 29, 35, 38</v>
      </c>
      <c r="P2677" s="52" t="str">
        <f>VLOOKUP(Tabla3[[#This Row],[Site]],'Important Info!'!$A$1:$F$135,6,FALSE)</f>
        <v>36, 46</v>
      </c>
      <c r="Q2677" s="91">
        <f>VLOOKUP(Tabla3[[#This Row],[Site]],'Important Info!'!$A$1:$J$135,9,FALSE)</f>
        <v>238</v>
      </c>
    </row>
    <row r="2678" spans="1:17" x14ac:dyDescent="0.25">
      <c r="A2678" t="str">
        <f>+Tabla3[[#This Row],[Site]]&amp;Tabla3[[#This Row],[Split]]</f>
        <v>(ML) Columbia Honda (NO TOURS)27</v>
      </c>
      <c r="B2678">
        <v>27</v>
      </c>
      <c r="C2678">
        <v>2</v>
      </c>
      <c r="D2678" t="s">
        <v>33</v>
      </c>
      <c r="E2678" t="s">
        <v>46</v>
      </c>
      <c r="F2678" t="s">
        <v>143</v>
      </c>
      <c r="G2678" t="s">
        <v>34</v>
      </c>
      <c r="H2678" s="52" t="str">
        <f>VLOOKUP(Tabla3[[#This Row],[Site]],'Important Info!'!$A$1:$J$135,10,FALSE)</f>
        <v>https://tools.sig.systems/site/details/272</v>
      </c>
      <c r="I2678" s="2" t="s">
        <v>144</v>
      </c>
      <c r="J2678" t="s">
        <v>41</v>
      </c>
      <c r="K2678" s="79" t="str">
        <f>VLOOKUP(Tabla3[[#This Row],[Site]],'Important Info!'!$A$1:$H$135,8,FALSE)</f>
        <v>-</v>
      </c>
      <c r="L2678" s="52" t="str">
        <f>VLOOKUP(Tabla3[[#This Row],[Site]],'Important Info!'!$A$1:$F$135,2,FALSE)</f>
        <v>-</v>
      </c>
      <c r="M2678" s="52" t="str">
        <f>VLOOKUP(Tabla3[[#This Row],[Site]],'Important Info!'!$A$1:$F$135,3,FALSE)</f>
        <v>9, 19, 20</v>
      </c>
      <c r="N2678" s="52" t="str">
        <f>VLOOKUP(Tabla3[[#This Row],[Site]],'Important Info!'!$A$1:$F$135,4,FALSE)</f>
        <v>-</v>
      </c>
      <c r="O2678" s="52" t="str">
        <f>VLOOKUP(Tabla3[[#This Row],[Site]],'Important Info!'!$A$1:$F$135,5,FALSE)</f>
        <v>10, 17, 19</v>
      </c>
      <c r="P2678" s="52" t="str">
        <f>VLOOKUP(Tabla3[[#This Row],[Site]],'Important Info!'!$A$1:$F$135,6,FALSE)</f>
        <v>3, 4, 5</v>
      </c>
      <c r="Q2678" s="91">
        <f>VLOOKUP(Tabla3[[#This Row],[Site]],'Important Info!'!$A$1:$J$135,9,FALSE)</f>
        <v>272</v>
      </c>
    </row>
    <row r="2679" spans="1:17" x14ac:dyDescent="0.25">
      <c r="A2679" t="str">
        <f>+Tabla3[[#This Row],[Site]]&amp;Tabla3[[#This Row],[Split]]</f>
        <v>(AS) Park Place Mercedes Benz Arlington (NO TOURS)27</v>
      </c>
      <c r="B2679">
        <v>27</v>
      </c>
      <c r="C2679">
        <v>3</v>
      </c>
      <c r="D2679" t="s">
        <v>33</v>
      </c>
      <c r="E2679" t="s">
        <v>46</v>
      </c>
      <c r="F2679" t="s">
        <v>518</v>
      </c>
      <c r="G2679" t="s">
        <v>34</v>
      </c>
      <c r="H2679" s="52" t="str">
        <f>VLOOKUP(Tabla3[[#This Row],[Site]],'Important Info!'!$A$1:$J$135,10,FALSE)</f>
        <v>https://tools.sig.systems/site/details/169</v>
      </c>
      <c r="J2679" t="s">
        <v>41</v>
      </c>
      <c r="K2679" s="79" t="str">
        <f>VLOOKUP(Tabla3[[#This Row],[Site]],'Important Info!'!$A$1:$H$135,8,FALSE)</f>
        <v>-</v>
      </c>
      <c r="L2679" s="52" t="str">
        <f>VLOOKUP(Tabla3[[#This Row],[Site]],'Important Info!'!$A$1:$F$135,2,FALSE)</f>
        <v>1, 9, 14</v>
      </c>
      <c r="M2679" s="52" t="str">
        <f>VLOOKUP(Tabla3[[#This Row],[Site]],'Important Info!'!$A$1:$F$135,3,FALSE)</f>
        <v>-</v>
      </c>
      <c r="N2679" s="52" t="str">
        <f>VLOOKUP(Tabla3[[#This Row],[Site]],'Important Info!'!$A$1:$F$135,4,FALSE)</f>
        <v>77, 78, 79, 80</v>
      </c>
      <c r="O2679" s="52" t="str">
        <f>VLOOKUP(Tabla3[[#This Row],[Site]],'Important Info!'!$A$1:$F$135,5,FALSE)</f>
        <v>2, 10, 18, 22, 31, 40</v>
      </c>
      <c r="P2679" s="52">
        <f>VLOOKUP(Tabla3[[#This Row],[Site]],'Important Info!'!$A$1:$F$135,6,FALSE)</f>
        <v>9</v>
      </c>
      <c r="Q2679" s="91">
        <f>VLOOKUP(Tabla3[[#This Row],[Site]],'Important Info!'!$A$1:$J$135,9,FALSE)</f>
        <v>169</v>
      </c>
    </row>
    <row r="2680" spans="1:17" x14ac:dyDescent="0.25">
      <c r="A2680" t="str">
        <f>+Tabla3[[#This Row],[Site]]&amp;Tabla3[[#This Row],[Split]]</f>
        <v>(KG) Texan GMC Buick (NO TOURS)27</v>
      </c>
      <c r="B2680">
        <v>27</v>
      </c>
      <c r="C2680">
        <v>3</v>
      </c>
      <c r="D2680" t="s">
        <v>33</v>
      </c>
      <c r="E2680" t="s">
        <v>46</v>
      </c>
      <c r="F2680" t="s">
        <v>111</v>
      </c>
      <c r="G2680" t="s">
        <v>34</v>
      </c>
      <c r="H2680" s="52" t="str">
        <f>VLOOKUP(Tabla3[[#This Row],[Site]],'Important Info!'!$A$1:$J$135,10,FALSE)</f>
        <v>https://tools.sig.systems/site/details/225</v>
      </c>
      <c r="I2680" s="43" t="s">
        <v>137</v>
      </c>
      <c r="J2680" t="s">
        <v>41</v>
      </c>
      <c r="K2680" s="79" t="str">
        <f>VLOOKUP(Tabla3[[#This Row],[Site]],'Important Info!'!$A$1:$H$135,8,FALSE)</f>
        <v>-</v>
      </c>
      <c r="L2680" s="52" t="str">
        <f>VLOOKUP(Tabla3[[#This Row],[Site]],'Important Info!'!$A$1:$F$135,2,FALSE)</f>
        <v>1, 20, 53</v>
      </c>
      <c r="M2680" s="52" t="str">
        <f>VLOOKUP(Tabla3[[#This Row],[Site]],'Important Info!'!$A$1:$F$135,3,FALSE)</f>
        <v>-</v>
      </c>
      <c r="N2680" s="52" t="str">
        <f>VLOOKUP(Tabla3[[#This Row],[Site]],'Important Info!'!$A$1:$F$135,4,FALSE)</f>
        <v>-</v>
      </c>
      <c r="O2680" s="52" t="str">
        <f>VLOOKUP(Tabla3[[#This Row],[Site]],'Important Info!'!$A$1:$F$135,5,FALSE)</f>
        <v>2, 8, 14</v>
      </c>
      <c r="P2680" s="52" t="str">
        <f>VLOOKUP(Tabla3[[#This Row],[Site]],'Important Info!'!$A$1:$F$135,6,FALSE)</f>
        <v>51, 52, 16</v>
      </c>
      <c r="Q2680" s="91">
        <f>VLOOKUP(Tabla3[[#This Row],[Site]],'Important Info!'!$A$1:$J$135,9,FALSE)</f>
        <v>225</v>
      </c>
    </row>
    <row r="2681" spans="1:17" x14ac:dyDescent="0.25">
      <c r="A2681" t="str">
        <f>+Tabla3[[#This Row],[Site]]&amp;Tabla3[[#This Row],[Split]]</f>
        <v>(LM) Luther Mazda / Mitsubishi27</v>
      </c>
      <c r="B2681">
        <v>27</v>
      </c>
      <c r="C2681">
        <v>3</v>
      </c>
      <c r="D2681" t="s">
        <v>33</v>
      </c>
      <c r="E2681" t="s">
        <v>46</v>
      </c>
      <c r="F2681" s="41" t="s">
        <v>103</v>
      </c>
      <c r="G2681" t="s">
        <v>34</v>
      </c>
      <c r="H2681" s="52" t="str">
        <f>VLOOKUP(Tabla3[[#This Row],[Site]],'Important Info!'!$A$1:$J$135,10,FALSE)</f>
        <v>https://tools.sig.systems/site/details/147</v>
      </c>
      <c r="I2681" s="2" t="s">
        <v>138</v>
      </c>
      <c r="J2681" t="s">
        <v>41</v>
      </c>
      <c r="K2681" s="79" t="str">
        <f>VLOOKUP(Tabla3[[#This Row],[Site]],'Important Info!'!$A$1:$H$135,8,FALSE)</f>
        <v>-</v>
      </c>
      <c r="L2681" s="52" t="str">
        <f>VLOOKUP(Tabla3[[#This Row],[Site]],'Important Info!'!$A$1:$F$135,2,FALSE)</f>
        <v>4, 5, 6</v>
      </c>
      <c r="M2681" s="52" t="str">
        <f>VLOOKUP(Tabla3[[#This Row],[Site]],'Important Info!'!$A$1:$F$135,3,FALSE)</f>
        <v>-</v>
      </c>
      <c r="N2681" s="52" t="str">
        <f>VLOOKUP(Tabla3[[#This Row],[Site]],'Important Info!'!$A$1:$F$135,4,FALSE)</f>
        <v>1, 2</v>
      </c>
      <c r="O2681" s="52" t="str">
        <f>VLOOKUP(Tabla3[[#This Row],[Site]],'Important Info!'!$A$1:$F$135,5,FALSE)</f>
        <v>-</v>
      </c>
      <c r="P2681" s="52" t="str">
        <f>VLOOKUP(Tabla3[[#This Row],[Site]],'Important Info!'!$A$1:$F$135,6,FALSE)</f>
        <v>13, 14, 15, 16</v>
      </c>
      <c r="Q2681" s="91">
        <f>VLOOKUP(Tabla3[[#This Row],[Site]],'Important Info!'!$A$1:$J$135,9,FALSE)</f>
        <v>147</v>
      </c>
    </row>
    <row r="2682" spans="1:17" x14ac:dyDescent="0.25">
      <c r="A2682" t="str">
        <f>+Tabla3[[#This Row],[Site]]&amp;Tabla3[[#This Row],[Split]]</f>
        <v>(ML) Joe Machens CDJR27</v>
      </c>
      <c r="B2682">
        <v>27</v>
      </c>
      <c r="C2682">
        <v>3</v>
      </c>
      <c r="D2682" t="s">
        <v>33</v>
      </c>
      <c r="E2682" t="s">
        <v>46</v>
      </c>
      <c r="F2682" t="s">
        <v>88</v>
      </c>
      <c r="G2682" t="s">
        <v>34</v>
      </c>
      <c r="H2682" s="52" t="str">
        <f>VLOOKUP(Tabla3[[#This Row],[Site]],'Important Info!'!$A$1:$J$135,10,FALSE)</f>
        <v>https://tools.sig.systems/site/details/273</v>
      </c>
      <c r="I2682" s="2" t="s">
        <v>146</v>
      </c>
      <c r="J2682" t="s">
        <v>41</v>
      </c>
      <c r="K2682" s="79" t="str">
        <f>VLOOKUP(Tabla3[[#This Row],[Site]],'Important Info!'!$A$1:$H$135,8,FALSE)</f>
        <v>-</v>
      </c>
      <c r="L2682" s="52" t="str">
        <f>VLOOKUP(Tabla3[[#This Row],[Site]],'Important Info!'!$A$1:$F$135,2,FALSE)</f>
        <v>-</v>
      </c>
      <c r="M2682" s="52">
        <f>VLOOKUP(Tabla3[[#This Row],[Site]],'Important Info!'!$A$1:$F$135,3,FALSE)</f>
        <v>3</v>
      </c>
      <c r="N2682" s="52" t="str">
        <f>VLOOKUP(Tabla3[[#This Row],[Site]],'Important Info!'!$A$1:$F$135,4,FALSE)</f>
        <v>-</v>
      </c>
      <c r="O2682" s="52" t="str">
        <f>VLOOKUP(Tabla3[[#This Row],[Site]],'Important Info!'!$A$1:$F$135,5,FALSE)</f>
        <v>-</v>
      </c>
      <c r="P2682" s="52" t="str">
        <f>VLOOKUP(Tabla3[[#This Row],[Site]],'Important Info!'!$A$1:$F$135,6,FALSE)</f>
        <v>1, 2, 3,</v>
      </c>
      <c r="Q2682" s="91">
        <f>VLOOKUP(Tabla3[[#This Row],[Site]],'Important Info!'!$A$1:$J$135,9,FALSE)</f>
        <v>273</v>
      </c>
    </row>
    <row r="2683" spans="1:17" x14ac:dyDescent="0.25">
      <c r="A2683" t="str">
        <f>+Tabla3[[#This Row],[Site]]&amp;Tabla3[[#This Row],[Split]]</f>
        <v>(AS) Mike Shaw Subaru Greeley (NO TOURS)27</v>
      </c>
      <c r="B2683">
        <v>27</v>
      </c>
      <c r="C2683">
        <v>4</v>
      </c>
      <c r="D2683" t="s">
        <v>44</v>
      </c>
      <c r="E2683" t="s">
        <v>53</v>
      </c>
      <c r="F2683" t="s">
        <v>95</v>
      </c>
      <c r="G2683" t="s">
        <v>45</v>
      </c>
      <c r="H2683" s="52" t="str">
        <f>VLOOKUP(Tabla3[[#This Row],[Site]],'Important Info!'!$A$1:$J$135,10,FALSE)</f>
        <v>https://tools.sig.systems/site/details/174</v>
      </c>
      <c r="I2683" s="43" t="s">
        <v>153</v>
      </c>
      <c r="J2683" t="s">
        <v>41</v>
      </c>
      <c r="K2683" s="79" t="str">
        <f>VLOOKUP(Tabla3[[#This Row],[Site]],'Important Info!'!$A$1:$H$135,8,FALSE)</f>
        <v>-</v>
      </c>
      <c r="L2683" s="52" t="str">
        <f>VLOOKUP(Tabla3[[#This Row],[Site]],'Important Info!'!$A$1:$F$135,2,FALSE)</f>
        <v>16, 17</v>
      </c>
      <c r="M2683" s="52">
        <f>VLOOKUP(Tabla3[[#This Row],[Site]],'Important Info!'!$A$1:$F$135,3,FALSE)</f>
        <v>10</v>
      </c>
      <c r="N2683" s="52" t="str">
        <f>VLOOKUP(Tabla3[[#This Row],[Site]],'Important Info!'!$A$1:$F$135,4,FALSE)</f>
        <v>-</v>
      </c>
      <c r="O2683" s="52" t="str">
        <f>VLOOKUP(Tabla3[[#This Row],[Site]],'Important Info!'!$A$1:$F$135,5,FALSE)</f>
        <v>1, 7</v>
      </c>
      <c r="P2683" s="52" t="str">
        <f>VLOOKUP(Tabla3[[#This Row],[Site]],'Important Info!'!$A$1:$F$135,6,FALSE)</f>
        <v>-</v>
      </c>
      <c r="Q2683" s="91">
        <f>VLOOKUP(Tabla3[[#This Row],[Site]],'Important Info!'!$A$1:$J$135,9,FALSE)</f>
        <v>174</v>
      </c>
    </row>
    <row r="2684" spans="1:17" x14ac:dyDescent="0.25">
      <c r="A2684" t="str">
        <f>+Tabla3[[#This Row],[Site]]&amp;Tabla3[[#This Row],[Split]]</f>
        <v>(AS) Park Place Volvo Sales (NO TOURS)27</v>
      </c>
      <c r="B2684">
        <v>27</v>
      </c>
      <c r="C2684">
        <v>4</v>
      </c>
      <c r="D2684" t="s">
        <v>33</v>
      </c>
      <c r="E2684" t="s">
        <v>46</v>
      </c>
      <c r="F2684" t="s">
        <v>521</v>
      </c>
      <c r="G2684" t="s">
        <v>34</v>
      </c>
      <c r="H2684" s="52" t="str">
        <f>VLOOKUP(Tabla3[[#This Row],[Site]],'Important Info!'!$A$1:$J$135,10,FALSE)</f>
        <v>https://tools.sig.systems/site/details/139</v>
      </c>
      <c r="I2684" s="65" t="s">
        <v>125</v>
      </c>
      <c r="J2684" t="s">
        <v>41</v>
      </c>
      <c r="K2684" s="79" t="str">
        <f>VLOOKUP(Tabla3[[#This Row],[Site]],'Important Info!'!$A$1:$H$135,8,FALSE)</f>
        <v>-</v>
      </c>
      <c r="L2684" s="52" t="str">
        <f>VLOOKUP(Tabla3[[#This Row],[Site]],'Important Info!'!$A$1:$F$135,2,FALSE)</f>
        <v>4, 6, 9, 11</v>
      </c>
      <c r="M2684" s="52" t="str">
        <f>VLOOKUP(Tabla3[[#This Row],[Site]],'Important Info!'!$A$1:$F$135,3,FALSE)</f>
        <v>-</v>
      </c>
      <c r="N2684" s="52" t="str">
        <f>VLOOKUP(Tabla3[[#This Row],[Site]],'Important Info!'!$A$1:$F$135,4,FALSE)</f>
        <v>-</v>
      </c>
      <c r="O2684" s="52" t="str">
        <f>VLOOKUP(Tabla3[[#This Row],[Site]],'Important Info!'!$A$1:$F$135,5,FALSE)</f>
        <v>2, 9</v>
      </c>
      <c r="P2684" s="52" t="str">
        <f>VLOOKUP(Tabla3[[#This Row],[Site]],'Important Info!'!$A$1:$F$135,6,FALSE)</f>
        <v>4, 10, 11</v>
      </c>
      <c r="Q2684" s="91">
        <f>VLOOKUP(Tabla3[[#This Row],[Site]],'Important Info!'!$A$1:$J$135,9,FALSE)</f>
        <v>139</v>
      </c>
    </row>
    <row r="2685" spans="1:17" x14ac:dyDescent="0.25">
      <c r="A2685" t="str">
        <f>+Tabla3[[#This Row],[Site]]&amp;Tabla3[[#This Row],[Split]]</f>
        <v>(DT) Denver (NO TOURS)27</v>
      </c>
      <c r="B2685">
        <v>27</v>
      </c>
      <c r="C2685">
        <v>4</v>
      </c>
      <c r="D2685" t="s">
        <v>44</v>
      </c>
      <c r="E2685" t="s">
        <v>53</v>
      </c>
      <c r="F2685" t="s">
        <v>157</v>
      </c>
      <c r="G2685" t="s">
        <v>45</v>
      </c>
      <c r="H2685" s="52" t="str">
        <f>VLOOKUP(Tabla3[[#This Row],[Site]],'Important Info!'!$A$1:$J$135,10,FALSE)</f>
        <v>https://tools.sig.systems/site/details/203</v>
      </c>
      <c r="I2685" s="2" t="s">
        <v>158</v>
      </c>
      <c r="J2685" t="s">
        <v>41</v>
      </c>
      <c r="K2685" s="79" t="str">
        <f>VLOOKUP(Tabla3[[#This Row],[Site]],'Important Info!'!$A$1:$H$135,8,FALSE)</f>
        <v>-</v>
      </c>
      <c r="L2685" s="52" t="str">
        <f>VLOOKUP(Tabla3[[#This Row],[Site]],'Important Info!'!$A$1:$F$135,2,FALSE)</f>
        <v>-</v>
      </c>
      <c r="M2685" s="52" t="str">
        <f>VLOOKUP(Tabla3[[#This Row],[Site]],'Important Info!'!$A$1:$F$135,3,FALSE)</f>
        <v>7, 8</v>
      </c>
      <c r="N2685" s="52" t="str">
        <f>VLOOKUP(Tabla3[[#This Row],[Site]],'Important Info!'!$A$1:$F$135,4,FALSE)</f>
        <v>-</v>
      </c>
      <c r="O2685" s="52" t="str">
        <f>VLOOKUP(Tabla3[[#This Row],[Site]],'Important Info!'!$A$1:$F$135,5,FALSE)</f>
        <v>-</v>
      </c>
      <c r="P2685" s="52" t="str">
        <f>VLOOKUP(Tabla3[[#This Row],[Site]],'Important Info!'!$A$1:$F$135,6,FALSE)</f>
        <v>7, 8</v>
      </c>
      <c r="Q2685" s="91">
        <f>VLOOKUP(Tabla3[[#This Row],[Site]],'Important Info!'!$A$1:$J$135,9,FALSE)</f>
        <v>203</v>
      </c>
    </row>
    <row r="2686" spans="1:17" x14ac:dyDescent="0.25">
      <c r="A2686" t="str">
        <f>+Tabla3[[#This Row],[Site]]&amp;Tabla3[[#This Row],[Split]]</f>
        <v>(ML) Joe Machens VW27</v>
      </c>
      <c r="B2686">
        <v>27</v>
      </c>
      <c r="C2686">
        <v>4</v>
      </c>
      <c r="D2686" t="s">
        <v>33</v>
      </c>
      <c r="E2686" t="s">
        <v>46</v>
      </c>
      <c r="F2686" t="s">
        <v>74</v>
      </c>
      <c r="G2686" t="s">
        <v>34</v>
      </c>
      <c r="H2686" s="52" t="str">
        <f>VLOOKUP(Tabla3[[#This Row],[Site]],'Important Info!'!$A$1:$J$135,10,FALSE)</f>
        <v>https://tools.sig.systems/site/details/274</v>
      </c>
      <c r="I2686" s="2" t="s">
        <v>146</v>
      </c>
      <c r="J2686" t="s">
        <v>41</v>
      </c>
      <c r="K2686" s="79" t="str">
        <f>VLOOKUP(Tabla3[[#This Row],[Site]],'Important Info!'!$A$1:$H$135,8,FALSE)</f>
        <v>-</v>
      </c>
      <c r="L2686" s="52" t="str">
        <f>VLOOKUP(Tabla3[[#This Row],[Site]],'Important Info!'!$A$1:$F$135,2,FALSE)</f>
        <v>-</v>
      </c>
      <c r="M2686" s="52" t="str">
        <f>VLOOKUP(Tabla3[[#This Row],[Site]],'Important Info!'!$A$1:$F$135,3,FALSE)</f>
        <v>1, 11, 18</v>
      </c>
      <c r="N2686" s="52" t="str">
        <f>VLOOKUP(Tabla3[[#This Row],[Site]],'Important Info!'!$A$1:$F$135,4,FALSE)</f>
        <v>-</v>
      </c>
      <c r="O2686" s="52">
        <f>VLOOKUP(Tabla3[[#This Row],[Site]],'Important Info!'!$A$1:$F$135,5,FALSE)</f>
        <v>17</v>
      </c>
      <c r="P2686" s="52" t="str">
        <f>VLOOKUP(Tabla3[[#This Row],[Site]],'Important Info!'!$A$1:$F$135,6,FALSE)</f>
        <v>-</v>
      </c>
      <c r="Q2686" s="91">
        <f>VLOOKUP(Tabla3[[#This Row],[Site]],'Important Info!'!$A$1:$J$135,9,FALSE)</f>
        <v>274</v>
      </c>
    </row>
    <row r="2687" spans="1:17" x14ac:dyDescent="0.25">
      <c r="A2687" t="str">
        <f>+Tabla3[[#This Row],[Site]]&amp;Tabla3[[#This Row],[Split]]</f>
        <v>(SCH) Chevrolet North Palm27</v>
      </c>
      <c r="B2687">
        <v>27</v>
      </c>
      <c r="C2687">
        <v>4</v>
      </c>
      <c r="D2687" t="s">
        <v>62</v>
      </c>
      <c r="E2687" t="s">
        <v>35</v>
      </c>
      <c r="F2687" t="s">
        <v>101</v>
      </c>
      <c r="G2687" t="s">
        <v>490</v>
      </c>
      <c r="H2687" s="52" t="str">
        <f>VLOOKUP(Tabla3[[#This Row],[Site]],'Important Info!'!$A$1:$J$135,10,FALSE)</f>
        <v>https://tools.sig.systems/site/details/160</v>
      </c>
      <c r="I2687" s="43"/>
      <c r="J2687" t="s">
        <v>36</v>
      </c>
      <c r="K2687" s="79" t="str">
        <f>VLOOKUP(Tabla3[[#This Row],[Site]],'Important Info!'!$A$1:$H$135,8,FALSE)</f>
        <v>-</v>
      </c>
      <c r="L2687" s="52" t="str">
        <f>VLOOKUP(Tabla3[[#This Row],[Site]],'Important Info!'!$A$1:$F$135,2,FALSE)</f>
        <v xml:space="preserve">7, 10B, 11, 15 </v>
      </c>
      <c r="M2687" s="52" t="str">
        <f>VLOOKUP(Tabla3[[#This Row],[Site]],'Important Info!'!$A$1:$F$135,3,FALSE)</f>
        <v>-</v>
      </c>
      <c r="N2687" s="52" t="str">
        <f>VLOOKUP(Tabla3[[#This Row],[Site]],'Important Info!'!$A$1:$F$135,4,FALSE)</f>
        <v>-</v>
      </c>
      <c r="O2687" s="52" t="str">
        <f>VLOOKUP(Tabla3[[#This Row],[Site]],'Important Info!'!$A$1:$F$135,5,FALSE)</f>
        <v>-</v>
      </c>
      <c r="P2687" s="52" t="str">
        <f>VLOOKUP(Tabla3[[#This Row],[Site]],'Important Info!'!$A$1:$F$135,6,FALSE)</f>
        <v>1, 15, 16, 17, 18, 19, 20</v>
      </c>
      <c r="Q2687" s="91">
        <f>VLOOKUP(Tabla3[[#This Row],[Site]],'Important Info!'!$A$1:$J$135,9,FALSE)</f>
        <v>160</v>
      </c>
    </row>
    <row r="2688" spans="1:17" x14ac:dyDescent="0.25">
      <c r="A2688" t="str">
        <f>+Tabla3[[#This Row],[Site]]&amp;Tabla3[[#This Row],[Split]]</f>
        <v>(AS) Mercedes Benz/Porsche Dallas I,II,III (NO TOURS)27</v>
      </c>
      <c r="B2688">
        <v>27</v>
      </c>
      <c r="C2688">
        <v>5</v>
      </c>
      <c r="D2688" t="s">
        <v>33</v>
      </c>
      <c r="E2688" t="s">
        <v>46</v>
      </c>
      <c r="F2688" t="s">
        <v>509</v>
      </c>
      <c r="G2688" t="s">
        <v>34</v>
      </c>
      <c r="H2688" s="52" t="str">
        <f>VLOOKUP(Tabla3[[#This Row],[Site]],'Important Info!'!$A$1:$J$135,10,FALSE)</f>
        <v>https://tools.sig.systems/site/details/168</v>
      </c>
      <c r="I2688" s="65" t="s">
        <v>125</v>
      </c>
      <c r="J2688" t="s">
        <v>41</v>
      </c>
      <c r="K2688" s="79" t="str">
        <f>VLOOKUP(Tabla3[[#This Row],[Site]],'Important Info!'!$A$1:$H$135,8,FALSE)</f>
        <v>-</v>
      </c>
      <c r="L2688" s="52" t="str">
        <f>VLOOKUP(Tabla3[[#This Row],[Site]],'Important Info!'!$A$1:$F$135,2,FALSE)</f>
        <v>3, 4, 17, 26, 41</v>
      </c>
      <c r="M2688" s="52" t="str">
        <f>VLOOKUP(Tabla3[[#This Row],[Site]],'Important Info!'!$A$1:$F$135,3,FALSE)</f>
        <v>-</v>
      </c>
      <c r="N2688" s="52" t="str">
        <f>VLOOKUP(Tabla3[[#This Row],[Site]],'Important Info!'!$A$1:$F$135,4,FALSE)</f>
        <v>153, 154, 155, 156, 157, 158</v>
      </c>
      <c r="O2688" s="52" t="str">
        <f>VLOOKUP(Tabla3[[#This Row],[Site]],'Important Info!'!$A$1:$F$135,5,FALSE)</f>
        <v>2, 6, 10, 20, 28, 30, 36</v>
      </c>
      <c r="P2688" s="52" t="str">
        <f>VLOOKUP(Tabla3[[#This Row],[Site]],'Important Info!'!$A$1:$F$135,6,FALSE)</f>
        <v>31, 41, 159</v>
      </c>
      <c r="Q2688" s="91">
        <f>VLOOKUP(Tabla3[[#This Row],[Site]],'Important Info!'!$A$1:$J$135,9,FALSE)</f>
        <v>168</v>
      </c>
    </row>
    <row r="2689" spans="1:17" x14ac:dyDescent="0.25">
      <c r="A2689" t="str">
        <f>+Tabla3[[#This Row],[Site]]&amp;Tabla3[[#This Row],[Split]]</f>
        <v>(ML) Joe Machens Toyota27</v>
      </c>
      <c r="B2689">
        <v>27</v>
      </c>
      <c r="C2689">
        <v>5</v>
      </c>
      <c r="D2689" t="s">
        <v>33</v>
      </c>
      <c r="E2689" t="s">
        <v>46</v>
      </c>
      <c r="F2689" t="s">
        <v>73</v>
      </c>
      <c r="G2689" t="s">
        <v>34</v>
      </c>
      <c r="H2689" s="52" t="str">
        <f>VLOOKUP(Tabla3[[#This Row],[Site]],'Important Info!'!$A$1:$J$135,10,FALSE)</f>
        <v>https://tools.sig.systems/site/details/275</v>
      </c>
      <c r="I2689" s="43" t="s">
        <v>146</v>
      </c>
      <c r="J2689" t="s">
        <v>41</v>
      </c>
      <c r="K2689" s="79" t="str">
        <f>VLOOKUP(Tabla3[[#This Row],[Site]],'Important Info!'!$A$1:$H$135,8,FALSE)</f>
        <v>-</v>
      </c>
      <c r="L2689" s="52" t="str">
        <f>VLOOKUP(Tabla3[[#This Row],[Site]],'Important Info!'!$A$1:$F$135,2,FALSE)</f>
        <v>-</v>
      </c>
      <c r="M2689" s="52" t="str">
        <f>VLOOKUP(Tabla3[[#This Row],[Site]],'Important Info!'!$A$1:$F$135,3,FALSE)</f>
        <v>1, 4, 6</v>
      </c>
      <c r="N2689" s="52" t="str">
        <f>VLOOKUP(Tabla3[[#This Row],[Site]],'Important Info!'!$A$1:$F$135,4,FALSE)</f>
        <v>-</v>
      </c>
      <c r="O2689" s="52" t="str">
        <f>VLOOKUP(Tabla3[[#This Row],[Site]],'Important Info!'!$A$1:$F$135,5,FALSE)</f>
        <v>4, 10</v>
      </c>
      <c r="P2689" s="52" t="str">
        <f>VLOOKUP(Tabla3[[#This Row],[Site]],'Important Info!'!$A$1:$F$135,6,FALSE)</f>
        <v>-</v>
      </c>
      <c r="Q2689" s="91">
        <f>VLOOKUP(Tabla3[[#This Row],[Site]],'Important Info!'!$A$1:$J$135,9,FALSE)</f>
        <v>275</v>
      </c>
    </row>
    <row r="2690" spans="1:17" x14ac:dyDescent="0.25">
      <c r="A2690" t="str">
        <f>+Tabla3[[#This Row],[Site]]&amp;Tabla3[[#This Row],[Split]]</f>
        <v>(PE) JLR PDI (NO TOURS)27</v>
      </c>
      <c r="B2690">
        <v>27</v>
      </c>
      <c r="C2690">
        <v>5</v>
      </c>
      <c r="D2690" t="s">
        <v>485</v>
      </c>
      <c r="E2690" t="s">
        <v>35</v>
      </c>
      <c r="F2690" t="s">
        <v>114</v>
      </c>
      <c r="G2690" t="s">
        <v>490</v>
      </c>
      <c r="H2690" s="52" t="str">
        <f>VLOOKUP(Tabla3[[#This Row],[Site]],'Important Info!'!$A$1:$J$135,10,FALSE)</f>
        <v>https://tools.sig.systems/site/details/179</v>
      </c>
      <c r="I2690" t="s">
        <v>176</v>
      </c>
      <c r="J2690" t="s">
        <v>41</v>
      </c>
      <c r="K2690" s="79" t="str">
        <f>VLOOKUP(Tabla3[[#This Row],[Site]],'Important Info!'!$A$1:$H$135,8,FALSE)</f>
        <v>-</v>
      </c>
      <c r="L2690" s="52" t="str">
        <f>VLOOKUP(Tabla3[[#This Row],[Site]],'Important Info!'!$A$1:$F$135,2,FALSE)</f>
        <v>3, 8</v>
      </c>
      <c r="M2690" s="52" t="str">
        <f>VLOOKUP(Tabla3[[#This Row],[Site]],'Important Info!'!$A$1:$F$135,3,FALSE)</f>
        <v>-</v>
      </c>
      <c r="N2690" s="52" t="str">
        <f>VLOOKUP(Tabla3[[#This Row],[Site]],'Important Info!'!$A$1:$F$135,4,FALSE)</f>
        <v>-</v>
      </c>
      <c r="O2690" s="52" t="str">
        <f>VLOOKUP(Tabla3[[#This Row],[Site]],'Important Info!'!$A$1:$F$135,5,FALSE)</f>
        <v>-</v>
      </c>
      <c r="P2690" s="52" t="str">
        <f>VLOOKUP(Tabla3[[#This Row],[Site]],'Important Info!'!$A$1:$F$135,6,FALSE)</f>
        <v>-</v>
      </c>
      <c r="Q2690" s="91">
        <f>VLOOKUP(Tabla3[[#This Row],[Site]],'Important Info!'!$A$1:$J$135,9,FALSE)</f>
        <v>179</v>
      </c>
    </row>
    <row r="2691" spans="1:17" x14ac:dyDescent="0.25">
      <c r="A2691" t="str">
        <f>+Tabla3[[#This Row],[Site]]&amp;Tabla3[[#This Row],[Split]]</f>
        <v>(AS) Park Place Sprinter Van Center (NO TOURS)27</v>
      </c>
      <c r="B2691">
        <v>27</v>
      </c>
      <c r="C2691">
        <v>6</v>
      </c>
      <c r="D2691" t="s">
        <v>33</v>
      </c>
      <c r="E2691" t="s">
        <v>46</v>
      </c>
      <c r="F2691" t="s">
        <v>520</v>
      </c>
      <c r="G2691" t="s">
        <v>34</v>
      </c>
      <c r="H2691" s="52" t="str">
        <f>VLOOKUP(Tabla3[[#This Row],[Site]],'Important Info!'!$A$1:$J$135,10,FALSE)</f>
        <v>https://tools.sig.systems/site/details/138</v>
      </c>
      <c r="I2691" s="65" t="s">
        <v>125</v>
      </c>
      <c r="J2691" t="s">
        <v>41</v>
      </c>
      <c r="K2691" s="79" t="str">
        <f>VLOOKUP(Tabla3[[#This Row],[Site]],'Important Info!'!$A$1:$H$135,8,FALSE)</f>
        <v>-</v>
      </c>
      <c r="L2691" s="52">
        <f>VLOOKUP(Tabla3[[#This Row],[Site]],'Important Info!'!$A$1:$F$135,2,FALSE)</f>
        <v>1</v>
      </c>
      <c r="M2691" s="52" t="str">
        <f>VLOOKUP(Tabla3[[#This Row],[Site]],'Important Info!'!$A$1:$F$135,3,FALSE)</f>
        <v>-</v>
      </c>
      <c r="N2691" s="52" t="str">
        <f>VLOOKUP(Tabla3[[#This Row],[Site]],'Important Info!'!$A$1:$F$135,4,FALSE)</f>
        <v>-</v>
      </c>
      <c r="O2691" s="52" t="str">
        <f>VLOOKUP(Tabla3[[#This Row],[Site]],'Important Info!'!$A$1:$F$135,5,FALSE)</f>
        <v>-</v>
      </c>
      <c r="P2691" s="52" t="str">
        <f>VLOOKUP(Tabla3[[#This Row],[Site]],'Important Info!'!$A$1:$F$135,6,FALSE)</f>
        <v>1, 3</v>
      </c>
      <c r="Q2691" s="91">
        <f>VLOOKUP(Tabla3[[#This Row],[Site]],'Important Info!'!$A$1:$J$135,9,FALSE)</f>
        <v>138</v>
      </c>
    </row>
    <row r="2692" spans="1:17" x14ac:dyDescent="0.25">
      <c r="A2692" t="str">
        <f>+Tabla3[[#This Row],[Site]]&amp;Tabla3[[#This Row],[Split]]</f>
        <v>(AS) Park Place Volvo Service Center (NO TOURS)27</v>
      </c>
      <c r="B2692">
        <v>27</v>
      </c>
      <c r="C2692">
        <v>6</v>
      </c>
      <c r="D2692" t="s">
        <v>33</v>
      </c>
      <c r="E2692" t="s">
        <v>46</v>
      </c>
      <c r="F2692" t="s">
        <v>522</v>
      </c>
      <c r="G2692" t="s">
        <v>34</v>
      </c>
      <c r="H2692" s="52" t="str">
        <f>VLOOKUP(Tabla3[[#This Row],[Site]],'Important Info!'!$A$1:$J$135,10,FALSE)</f>
        <v>https://tools.sig.systems/site/details/171</v>
      </c>
      <c r="I2692" s="65" t="s">
        <v>125</v>
      </c>
      <c r="J2692" t="s">
        <v>41</v>
      </c>
      <c r="K2692" s="79" t="str">
        <f>VLOOKUP(Tabla3[[#This Row],[Site]],'Important Info!'!$A$1:$H$135,8,FALSE)</f>
        <v>-</v>
      </c>
      <c r="L2692" s="52" t="str">
        <f>VLOOKUP(Tabla3[[#This Row],[Site]],'Important Info!'!$A$1:$F$135,2,FALSE)</f>
        <v>3, 6, 9, 27, 31, 35</v>
      </c>
      <c r="M2692" s="52" t="str">
        <f>VLOOKUP(Tabla3[[#This Row],[Site]],'Important Info!'!$A$1:$F$135,3,FALSE)</f>
        <v>-</v>
      </c>
      <c r="N2692" s="52" t="str">
        <f>VLOOKUP(Tabla3[[#This Row],[Site]],'Important Info!'!$A$1:$F$135,4,FALSE)</f>
        <v>-</v>
      </c>
      <c r="O2692" s="52" t="str">
        <f>VLOOKUP(Tabla3[[#This Row],[Site]],'Important Info!'!$A$1:$F$135,5,FALSE)</f>
        <v>27, 32</v>
      </c>
      <c r="P2692" s="52" t="str">
        <f>VLOOKUP(Tabla3[[#This Row],[Site]],'Important Info!'!$A$1:$F$135,6,FALSE)</f>
        <v>-</v>
      </c>
      <c r="Q2692" s="91">
        <f>VLOOKUP(Tabla3[[#This Row],[Site]],'Important Info!'!$A$1:$J$135,9,FALSE)</f>
        <v>171</v>
      </c>
    </row>
    <row r="2693" spans="1:17" x14ac:dyDescent="0.25">
      <c r="A2693" t="str">
        <f>+Tabla3[[#This Row],[Site]]&amp;Tabla3[[#This Row],[Split]]</f>
        <v>(HUD) Honda of Southpoint27</v>
      </c>
      <c r="B2693">
        <v>27</v>
      </c>
      <c r="C2693">
        <v>6</v>
      </c>
      <c r="D2693" t="s">
        <v>62</v>
      </c>
      <c r="E2693" t="s">
        <v>35</v>
      </c>
      <c r="F2693" t="s">
        <v>65</v>
      </c>
      <c r="G2693" t="s">
        <v>490</v>
      </c>
      <c r="H2693" s="52" t="str">
        <f>VLOOKUP(Tabla3[[#This Row],[Site]],'Important Info!'!$A$1:$J$135,10,FALSE)</f>
        <v>https://tools.sig.systems/site/details/195</v>
      </c>
      <c r="I2693" s="43"/>
      <c r="J2693" t="s">
        <v>484</v>
      </c>
      <c r="K2693" s="79" t="str">
        <f>VLOOKUP(Tabla3[[#This Row],[Site]],'Important Info!'!$A$1:$H$135,8,FALSE)</f>
        <v>-</v>
      </c>
      <c r="L2693" s="52" t="str">
        <f>VLOOKUP(Tabla3[[#This Row],[Site]],'Important Info!'!$A$1:$F$135,2,FALSE)</f>
        <v>2, 12, 18</v>
      </c>
      <c r="M2693" s="52">
        <f>VLOOKUP(Tabla3[[#This Row],[Site]],'Important Info!'!$A$1:$F$135,3,FALSE)</f>
        <v>13</v>
      </c>
      <c r="N2693" s="52" t="str">
        <f>VLOOKUP(Tabla3[[#This Row],[Site]],'Important Info!'!$A$1:$F$135,4,FALSE)</f>
        <v>-</v>
      </c>
      <c r="O2693" s="52" t="str">
        <f>VLOOKUP(Tabla3[[#This Row],[Site]],'Important Info!'!$A$1:$F$135,5,FALSE)</f>
        <v>2, 15</v>
      </c>
      <c r="P2693" s="52" t="str">
        <f>VLOOKUP(Tabla3[[#This Row],[Site]],'Important Info!'!$A$1:$F$135,6,FALSE)</f>
        <v>-</v>
      </c>
      <c r="Q2693" s="91">
        <f>VLOOKUP(Tabla3[[#This Row],[Site]],'Important Info!'!$A$1:$J$135,9,FALSE)</f>
        <v>195</v>
      </c>
    </row>
    <row r="2694" spans="1:17" x14ac:dyDescent="0.25">
      <c r="A2694" t="str">
        <f>+Tabla3[[#This Row],[Site]]&amp;Tabla3[[#This Row],[Split]]</f>
        <v>(ML) Joe Machens E Collision Center27</v>
      </c>
      <c r="B2694">
        <v>27</v>
      </c>
      <c r="C2694">
        <v>6</v>
      </c>
      <c r="D2694" t="s">
        <v>33</v>
      </c>
      <c r="E2694" t="s">
        <v>46</v>
      </c>
      <c r="F2694" t="s">
        <v>147</v>
      </c>
      <c r="G2694" t="s">
        <v>34</v>
      </c>
      <c r="H2694" s="52" t="str">
        <f>VLOOKUP(Tabla3[[#This Row],[Site]],'Important Info!'!$A$1:$J$135,10,FALSE)</f>
        <v>https://tools.sig.systems/site/details/277</v>
      </c>
      <c r="I2694" s="2" t="s">
        <v>146</v>
      </c>
      <c r="J2694" t="s">
        <v>41</v>
      </c>
      <c r="K2694" s="79" t="str">
        <f>VLOOKUP(Tabla3[[#This Row],[Site]],'Important Info!'!$A$1:$H$135,8,FALSE)</f>
        <v>-</v>
      </c>
      <c r="L2694" s="52">
        <f>VLOOKUP(Tabla3[[#This Row],[Site]],'Important Info!'!$A$1:$F$135,2,FALSE)</f>
        <v>1</v>
      </c>
      <c r="M2694" s="52" t="str">
        <f>VLOOKUP(Tabla3[[#This Row],[Site]],'Important Info!'!$A$1:$F$135,3,FALSE)</f>
        <v>-</v>
      </c>
      <c r="N2694" s="52" t="str">
        <f>VLOOKUP(Tabla3[[#This Row],[Site]],'Important Info!'!$A$1:$F$135,4,FALSE)</f>
        <v>-</v>
      </c>
      <c r="O2694" s="52">
        <f>VLOOKUP(Tabla3[[#This Row],[Site]],'Important Info!'!$A$1:$F$135,5,FALSE)</f>
        <v>5</v>
      </c>
      <c r="P2694" s="52" t="str">
        <f>VLOOKUP(Tabla3[[#This Row],[Site]],'Important Info!'!$A$1:$F$135,6,FALSE)</f>
        <v>1, 2, 3, 4</v>
      </c>
      <c r="Q2694" s="91">
        <f>VLOOKUP(Tabla3[[#This Row],[Site]],'Important Info!'!$A$1:$J$135,9,FALSE)</f>
        <v>277</v>
      </c>
    </row>
    <row r="2695" spans="1:17" x14ac:dyDescent="0.25">
      <c r="A2695" t="str">
        <f>+Tabla3[[#This Row],[Site]]&amp;Tabla3[[#This Row],[Split]]</f>
        <v>(RML) Burleson Nissan27</v>
      </c>
      <c r="B2695">
        <v>27</v>
      </c>
      <c r="C2695">
        <v>6</v>
      </c>
      <c r="D2695" t="s">
        <v>33</v>
      </c>
      <c r="E2695" t="s">
        <v>46</v>
      </c>
      <c r="F2695" t="s">
        <v>107</v>
      </c>
      <c r="G2695" t="s">
        <v>34</v>
      </c>
      <c r="H2695" s="52" t="str">
        <f>VLOOKUP(Tabla3[[#This Row],[Site]],'Important Info!'!$A$1:$J$135,10,FALSE)</f>
        <v>https://tools.sig.systems/site/details/202</v>
      </c>
      <c r="J2695" t="s">
        <v>41</v>
      </c>
      <c r="K2695" s="79" t="str">
        <f>VLOOKUP(Tabla3[[#This Row],[Site]],'Important Info!'!$A$1:$H$135,8,FALSE)</f>
        <v>-</v>
      </c>
      <c r="L2695" s="52" t="str">
        <f>VLOOKUP(Tabla3[[#This Row],[Site]],'Important Info!'!$A$1:$F$135,2,FALSE)</f>
        <v>3, 21</v>
      </c>
      <c r="M2695" s="52" t="str">
        <f>VLOOKUP(Tabla3[[#This Row],[Site]],'Important Info!'!$A$1:$F$135,3,FALSE)</f>
        <v>-</v>
      </c>
      <c r="N2695" s="52" t="str">
        <f>VLOOKUP(Tabla3[[#This Row],[Site]],'Important Info!'!$A$1:$F$135,4,FALSE)</f>
        <v>-</v>
      </c>
      <c r="O2695" s="52" t="str">
        <f>VLOOKUP(Tabla3[[#This Row],[Site]],'Important Info!'!$A$1:$F$135,5,FALSE)</f>
        <v>2, 6, 15</v>
      </c>
      <c r="P2695" s="52" t="str">
        <f>VLOOKUP(Tabla3[[#This Row],[Site]],'Important Info!'!$A$1:$F$135,6,FALSE)</f>
        <v>-</v>
      </c>
      <c r="Q2695" s="91">
        <f>VLOOKUP(Tabla3[[#This Row],[Site]],'Important Info!'!$A$1:$J$135,9,FALSE)</f>
        <v>202</v>
      </c>
    </row>
    <row r="2696" spans="1:17" x14ac:dyDescent="0.25">
      <c r="A2696" t="str">
        <f>+Tabla3[[#This Row],[Site]]&amp;Tabla3[[#This Row],[Split]]</f>
        <v>(SCH) Prep Center Delray27</v>
      </c>
      <c r="B2696">
        <v>27</v>
      </c>
      <c r="C2696">
        <v>6</v>
      </c>
      <c r="D2696" t="s">
        <v>62</v>
      </c>
      <c r="E2696" t="s">
        <v>35</v>
      </c>
      <c r="F2696" t="s">
        <v>191</v>
      </c>
      <c r="G2696" t="s">
        <v>490</v>
      </c>
      <c r="H2696" s="52" t="str">
        <f>VLOOKUP(Tabla3[[#This Row],[Site]],'Important Info!'!$A$1:$J$135,10,FALSE)</f>
        <v>https://tools.sig.systems/site/details/321</v>
      </c>
      <c r="I2696" s="2"/>
      <c r="J2696" t="s">
        <v>41</v>
      </c>
      <c r="K2696" s="79" t="str">
        <f>VLOOKUP(Tabla3[[#This Row],[Site]],'Important Info!'!$A$1:$H$135,8,FALSE)</f>
        <v>-</v>
      </c>
      <c r="L2696" s="52" t="str">
        <f>VLOOKUP(Tabla3[[#This Row],[Site]],'Important Info!'!$A$1:$F$135,2,FALSE)</f>
        <v>2,3</v>
      </c>
      <c r="M2696" s="52" t="str">
        <f>VLOOKUP(Tabla3[[#This Row],[Site]],'Important Info!'!$A$1:$F$135,3,FALSE)</f>
        <v>-</v>
      </c>
      <c r="N2696" s="52" t="str">
        <f>VLOOKUP(Tabla3[[#This Row],[Site]],'Important Info!'!$A$1:$F$135,4,FALSE)</f>
        <v>-</v>
      </c>
      <c r="O2696" s="52" t="str">
        <f>VLOOKUP(Tabla3[[#This Row],[Site]],'Important Info!'!$A$1:$F$135,5,FALSE)</f>
        <v>-</v>
      </c>
      <c r="P2696" s="52" t="str">
        <f>VLOOKUP(Tabla3[[#This Row],[Site]],'Important Info!'!$A$1:$F$135,6,FALSE)</f>
        <v>2,4,10</v>
      </c>
      <c r="Q2696" s="91">
        <f>VLOOKUP(Tabla3[[#This Row],[Site]],'Important Info!'!$A$1:$J$135,9,FALSE)</f>
        <v>321</v>
      </c>
    </row>
    <row r="2697" spans="1:17" x14ac:dyDescent="0.25">
      <c r="A2697" t="str">
        <f>+Tabla3[[#This Row],[Site]]&amp;Tabla3[[#This Row],[Split]]</f>
        <v>(AS) Atwell Prep Center-Dallas (NO TOURS)27</v>
      </c>
      <c r="B2697">
        <v>27</v>
      </c>
      <c r="C2697">
        <v>7</v>
      </c>
      <c r="D2697" t="s">
        <v>33</v>
      </c>
      <c r="E2697" t="s">
        <v>46</v>
      </c>
      <c r="F2697" t="s">
        <v>498</v>
      </c>
      <c r="G2697" t="s">
        <v>34</v>
      </c>
      <c r="H2697" s="52" t="str">
        <f>VLOOKUP(Tabla3[[#This Row],[Site]],'Important Info!'!$A$1:$J$135,10,FALSE)</f>
        <v>https://tools.sig.systems/site/details/165</v>
      </c>
      <c r="I2697" s="65" t="s">
        <v>125</v>
      </c>
      <c r="J2697" t="s">
        <v>41</v>
      </c>
      <c r="K2697" s="79" t="str">
        <f>VLOOKUP(Tabla3[[#This Row],[Site]],'Important Info!'!$A$1:$H$135,8,FALSE)</f>
        <v>-</v>
      </c>
      <c r="L2697" s="52" t="str">
        <f>VLOOKUP(Tabla3[[#This Row],[Site]],'Important Info!'!$A$1:$F$135,2,FALSE)</f>
        <v>4, 6, 7</v>
      </c>
      <c r="M2697" s="52" t="str">
        <f>VLOOKUP(Tabla3[[#This Row],[Site]],'Important Info!'!$A$1:$F$135,3,FALSE)</f>
        <v>-</v>
      </c>
      <c r="N2697" s="52" t="str">
        <f>VLOOKUP(Tabla3[[#This Row],[Site]],'Important Info!'!$A$1:$F$135,4,FALSE)</f>
        <v>-</v>
      </c>
      <c r="O2697" s="52" t="str">
        <f>VLOOKUP(Tabla3[[#This Row],[Site]],'Important Info!'!$A$1:$F$135,5,FALSE)</f>
        <v>-</v>
      </c>
      <c r="P2697" s="52" t="str">
        <f>VLOOKUP(Tabla3[[#This Row],[Site]],'Important Info!'!$A$1:$F$135,6,FALSE)</f>
        <v>1, 2</v>
      </c>
      <c r="Q2697" s="91">
        <f>VLOOKUP(Tabla3[[#This Row],[Site]],'Important Info!'!$A$1:$J$135,9,FALSE)</f>
        <v>165</v>
      </c>
    </row>
    <row r="2698" spans="1:17" x14ac:dyDescent="0.25">
      <c r="A2698" t="str">
        <f>+Tabla3[[#This Row],[Site]]&amp;Tabla3[[#This Row],[Split]]</f>
        <v>(AS) Park Place Mercedes Benz Ft. Worth (NO TOURS)27</v>
      </c>
      <c r="B2698">
        <v>27</v>
      </c>
      <c r="C2698">
        <v>7</v>
      </c>
      <c r="D2698" t="s">
        <v>33</v>
      </c>
      <c r="E2698" t="s">
        <v>46</v>
      </c>
      <c r="F2698" t="s">
        <v>519</v>
      </c>
      <c r="G2698" t="s">
        <v>34</v>
      </c>
      <c r="H2698" s="52" t="str">
        <f>VLOOKUP(Tabla3[[#This Row],[Site]],'Important Info!'!$A$1:$J$135,10,FALSE)</f>
        <v>https://tools.sig.systems/site/details/137</v>
      </c>
      <c r="I2698" s="2" t="s">
        <v>128</v>
      </c>
      <c r="J2698" t="s">
        <v>41</v>
      </c>
      <c r="K2698" s="79" t="s">
        <v>37</v>
      </c>
      <c r="L2698" s="52" t="str">
        <f>VLOOKUP(Tabla3[[#This Row],[Site]],'Important Info!'!$A$1:$F$135,2,FALSE)</f>
        <v>4, 18</v>
      </c>
      <c r="M2698" s="52" t="str">
        <f>VLOOKUP(Tabla3[[#This Row],[Site]],'Important Info!'!$A$1:$F$135,3,FALSE)</f>
        <v>-</v>
      </c>
      <c r="N2698" s="52" t="str">
        <f>VLOOKUP(Tabla3[[#This Row],[Site]],'Important Info!'!$A$1:$F$135,4,FALSE)</f>
        <v>54, 55</v>
      </c>
      <c r="O2698" s="52" t="str">
        <f>VLOOKUP(Tabla3[[#This Row],[Site]],'Important Info!'!$A$1:$F$135,5,FALSE)</f>
        <v>2, 18</v>
      </c>
      <c r="P2698" s="52" t="str">
        <f>VLOOKUP(Tabla3[[#This Row],[Site]],'Important Info!'!$A$1:$F$135,6,FALSE)</f>
        <v>5, 18</v>
      </c>
      <c r="Q2698" s="91">
        <f>VLOOKUP(Tabla3[[#This Row],[Site]],'Important Info!'!$A$1:$J$135,9,FALSE)</f>
        <v>137</v>
      </c>
    </row>
    <row r="2699" spans="1:17" x14ac:dyDescent="0.25">
      <c r="A2699" t="str">
        <f>+Tabla3[[#This Row],[Site]]&amp;Tabla3[[#This Row],[Split]]</f>
        <v>(HUD) Honda Greensboro27</v>
      </c>
      <c r="B2699">
        <v>27</v>
      </c>
      <c r="C2699">
        <v>7</v>
      </c>
      <c r="D2699" t="s">
        <v>62</v>
      </c>
      <c r="E2699" t="s">
        <v>35</v>
      </c>
      <c r="F2699" t="s">
        <v>85</v>
      </c>
      <c r="G2699" t="s">
        <v>490</v>
      </c>
      <c r="H2699" s="52" t="str">
        <f>VLOOKUP(Tabla3[[#This Row],[Site]],'Important Info!'!$A$1:$J$135,10,FALSE)</f>
        <v>https://tools.sig.systems/site/details/230</v>
      </c>
      <c r="I2699" t="s">
        <v>186</v>
      </c>
      <c r="J2699" t="s">
        <v>41</v>
      </c>
      <c r="K2699" s="79" t="str">
        <f>VLOOKUP(Tabla3[[#This Row],[Site]],'Important Info!'!$A$1:$H$135,8,FALSE)</f>
        <v>-</v>
      </c>
      <c r="L2699" s="52" t="str">
        <f>VLOOKUP(Tabla3[[#This Row],[Site]],'Important Info!'!$A$1:$F$135,2,FALSE)</f>
        <v>1, 3,  15, 16, 22</v>
      </c>
      <c r="M2699" s="52" t="str">
        <f>VLOOKUP(Tabla3[[#This Row],[Site]],'Important Info!'!$A$1:$F$135,3,FALSE)</f>
        <v>-</v>
      </c>
      <c r="N2699" s="52" t="str">
        <f>VLOOKUP(Tabla3[[#This Row],[Site]],'Important Info!'!$A$1:$F$135,4,FALSE)</f>
        <v>-</v>
      </c>
      <c r="O2699" s="52" t="str">
        <f>VLOOKUP(Tabla3[[#This Row],[Site]],'Important Info!'!$A$1:$F$135,5,FALSE)</f>
        <v>3, 20</v>
      </c>
      <c r="P2699" s="52">
        <f>VLOOKUP(Tabla3[[#This Row],[Site]],'Important Info!'!$A$1:$F$135,6,FALSE)</f>
        <v>26</v>
      </c>
      <c r="Q2699" s="91">
        <f>VLOOKUP(Tabla3[[#This Row],[Site]],'Important Info!'!$A$1:$J$135,9,FALSE)</f>
        <v>230</v>
      </c>
    </row>
    <row r="2700" spans="1:17" x14ac:dyDescent="0.25">
      <c r="A2700" t="str">
        <f>+Tabla3[[#This Row],[Site]]&amp;Tabla3[[#This Row],[Split]]</f>
        <v>(ML) Joe Machens Temporary 2.027</v>
      </c>
      <c r="B2700">
        <v>27</v>
      </c>
      <c r="C2700">
        <v>7</v>
      </c>
      <c r="D2700" t="s">
        <v>33</v>
      </c>
      <c r="E2700" t="s">
        <v>46</v>
      </c>
      <c r="F2700" t="s">
        <v>105</v>
      </c>
      <c r="G2700" t="s">
        <v>34</v>
      </c>
      <c r="H2700" s="52" t="str">
        <f>VLOOKUP(Tabla3[[#This Row],[Site]],'Important Info!'!$A$1:$J$135,10,FALSE)</f>
        <v>https://tools.sig.systems/site/details/278</v>
      </c>
      <c r="I2700" s="43" t="s">
        <v>146</v>
      </c>
      <c r="J2700" t="s">
        <v>41</v>
      </c>
      <c r="K2700" s="79" t="str">
        <f>VLOOKUP(Tabla3[[#This Row],[Site]],'Important Info!'!$A$1:$H$135,8,FALSE)</f>
        <v>-</v>
      </c>
      <c r="L2700" s="52" t="str">
        <f>VLOOKUP(Tabla3[[#This Row],[Site]],'Important Info!'!$A$1:$F$135,2,FALSE)</f>
        <v>-</v>
      </c>
      <c r="M2700" s="52" t="str">
        <f>VLOOKUP(Tabla3[[#This Row],[Site]],'Important Info!'!$A$1:$F$135,3,FALSE)</f>
        <v>1, 11, 14, 15, 16</v>
      </c>
      <c r="N2700" s="52" t="str">
        <f>VLOOKUP(Tabla3[[#This Row],[Site]],'Important Info!'!$A$1:$F$135,4,FALSE)</f>
        <v>-</v>
      </c>
      <c r="O2700" s="52">
        <f>VLOOKUP(Tabla3[[#This Row],[Site]],'Important Info!'!$A$1:$F$135,5,FALSE)</f>
        <v>13</v>
      </c>
      <c r="P2700" s="52" t="str">
        <f>VLOOKUP(Tabla3[[#This Row],[Site]],'Important Info!'!$A$1:$F$135,6,FALSE)</f>
        <v>-</v>
      </c>
      <c r="Q2700" s="91">
        <f>VLOOKUP(Tabla3[[#This Row],[Site]],'Important Info!'!$A$1:$J$135,9,FALSE)</f>
        <v>278</v>
      </c>
    </row>
    <row r="2701" spans="1:17" x14ac:dyDescent="0.25">
      <c r="A2701" t="str">
        <f>+Tabla3[[#This Row],[Site]]&amp;Tabla3[[#This Row],[Split]]</f>
        <v>(SCH) Auto Body Shop Lake Park27</v>
      </c>
      <c r="B2701">
        <v>27</v>
      </c>
      <c r="C2701">
        <v>7</v>
      </c>
      <c r="D2701" t="s">
        <v>62</v>
      </c>
      <c r="E2701" t="s">
        <v>35</v>
      </c>
      <c r="F2701" t="s">
        <v>189</v>
      </c>
      <c r="G2701" t="s">
        <v>490</v>
      </c>
      <c r="H2701" s="52" t="str">
        <f>VLOOKUP(Tabla3[[#This Row],[Site]],'Important Info!'!$A$1:$J$135,10,FALSE)</f>
        <v>https://tools.sig.systems/site/details/158</v>
      </c>
      <c r="I2701" s="43"/>
      <c r="J2701" t="s">
        <v>41</v>
      </c>
      <c r="K2701" s="79" t="str">
        <f>VLOOKUP(Tabla3[[#This Row],[Site]],'Important Info!'!$A$1:$H$135,8,FALSE)</f>
        <v>-</v>
      </c>
      <c r="L2701" s="52" t="str">
        <f>VLOOKUP(Tabla3[[#This Row],[Site]],'Important Info!'!$A$1:$F$135,2,FALSE)</f>
        <v>3, 10</v>
      </c>
      <c r="M2701" s="52" t="str">
        <f>VLOOKUP(Tabla3[[#This Row],[Site]],'Important Info!'!$A$1:$F$135,3,FALSE)</f>
        <v>-</v>
      </c>
      <c r="N2701" s="52" t="str">
        <f>VLOOKUP(Tabla3[[#This Row],[Site]],'Important Info!'!$A$1:$F$135,4,FALSE)</f>
        <v>-</v>
      </c>
      <c r="O2701" s="52" t="str">
        <f>VLOOKUP(Tabla3[[#This Row],[Site]],'Important Info!'!$A$1:$F$135,5,FALSE)</f>
        <v>-</v>
      </c>
      <c r="P2701" s="52" t="str">
        <f>VLOOKUP(Tabla3[[#This Row],[Site]],'Important Info!'!$A$1:$F$135,6,FALSE)</f>
        <v>-</v>
      </c>
      <c r="Q2701" s="91">
        <f>VLOOKUP(Tabla3[[#This Row],[Site]],'Important Info!'!$A$1:$J$135,9,FALSE)</f>
        <v>158</v>
      </c>
    </row>
    <row r="2702" spans="1:17" x14ac:dyDescent="0.25">
      <c r="A2702" t="str">
        <f>+Tabla3[[#This Row],[Site]]&amp;Tabla3[[#This Row],[Split]]</f>
        <v>(AS) Courtesy Honda Palm Harbor (NO TOURS)27</v>
      </c>
      <c r="B2702">
        <v>27</v>
      </c>
      <c r="C2702">
        <v>8</v>
      </c>
      <c r="D2702" t="s">
        <v>62</v>
      </c>
      <c r="E2702" t="s">
        <v>35</v>
      </c>
      <c r="F2702" t="s">
        <v>108</v>
      </c>
      <c r="G2702" t="s">
        <v>490</v>
      </c>
      <c r="H2702" s="52" t="str">
        <f>VLOOKUP(Tabla3[[#This Row],[Site]],'Important Info!'!$A$1:$J$135,10,FALSE)</f>
        <v>https://tools.sig.systems/site/details/176</v>
      </c>
      <c r="I2702" s="2"/>
      <c r="J2702" t="s">
        <v>36</v>
      </c>
      <c r="K2702" s="79" t="str">
        <f>VLOOKUP(Tabla3[[#This Row],[Site]],'Important Info!'!$A$1:$H$135,8,FALSE)</f>
        <v>-</v>
      </c>
      <c r="L2702" s="52">
        <f>VLOOKUP(Tabla3[[#This Row],[Site]],'Important Info!'!$A$1:$F$135,2,FALSE)</f>
        <v>2</v>
      </c>
      <c r="M2702" s="52" t="str">
        <f>VLOOKUP(Tabla3[[#This Row],[Site]],'Important Info!'!$A$1:$F$135,3,FALSE)</f>
        <v>-</v>
      </c>
      <c r="N2702" s="52" t="str">
        <f>VLOOKUP(Tabla3[[#This Row],[Site]],'Important Info!'!$A$1:$F$135,4,FALSE)</f>
        <v>-</v>
      </c>
      <c r="O2702" s="52" t="str">
        <f>VLOOKUP(Tabla3[[#This Row],[Site]],'Important Info!'!$A$1:$F$135,5,FALSE)</f>
        <v>4, 8, 21</v>
      </c>
      <c r="P2702" s="52">
        <f>VLOOKUP(Tabla3[[#This Row],[Site]],'Important Info!'!$A$1:$F$135,6,FALSE)</f>
        <v>10</v>
      </c>
      <c r="Q2702" s="91">
        <f>VLOOKUP(Tabla3[[#This Row],[Site]],'Important Info!'!$A$1:$J$135,9,FALSE)</f>
        <v>176</v>
      </c>
    </row>
    <row r="2703" spans="1:17" x14ac:dyDescent="0.25">
      <c r="A2703" t="str">
        <f>+Tabla3[[#This Row],[Site]]&amp;Tabla3[[#This Row],[Split]]</f>
        <v>(AS) Nalley Lexus &amp; Remote Lot Roswell (NO TOURS)27</v>
      </c>
      <c r="B2703">
        <v>27</v>
      </c>
      <c r="C2703">
        <v>8</v>
      </c>
      <c r="D2703" t="s">
        <v>60</v>
      </c>
      <c r="E2703" t="s">
        <v>35</v>
      </c>
      <c r="F2703" t="s">
        <v>511</v>
      </c>
      <c r="G2703" t="s">
        <v>41</v>
      </c>
      <c r="H2703" s="52" t="str">
        <f>VLOOKUP(Tabla3[[#This Row],[Site]],'Important Info!'!$A$1:$J$135,10,FALSE)</f>
        <v>https://tools.sig.systems/site/details/131</v>
      </c>
      <c r="I2703" s="2" t="s">
        <v>166</v>
      </c>
      <c r="J2703" t="s">
        <v>41</v>
      </c>
      <c r="K2703" s="79" t="str">
        <f>VLOOKUP(Tabla3[[#This Row],[Site]],'Important Info!'!$A$1:$H$135,8,FALSE)</f>
        <v>Dealership 11PM to 5AM (Mon to Fri). Sunday Drop Time 1PM</v>
      </c>
      <c r="L2703" s="52" t="str">
        <f>VLOOKUP(Tabla3[[#This Row],[Site]],'Important Info!'!$A$1:$F$135,2,FALSE)</f>
        <v>6, 13</v>
      </c>
      <c r="M2703" s="52">
        <f>VLOOKUP(Tabla3[[#This Row],[Site]],'Important Info!'!$A$1:$F$135,3,FALSE)</f>
        <v>4</v>
      </c>
      <c r="N2703" s="52">
        <f>VLOOKUP(Tabla3[[#This Row],[Site]],'Important Info!'!$A$1:$F$135,4,FALSE)</f>
        <v>1</v>
      </c>
      <c r="O2703" s="52" t="str">
        <f>VLOOKUP(Tabla3[[#This Row],[Site]],'Important Info!'!$A$1:$F$135,5,FALSE)</f>
        <v>1, 8, 19</v>
      </c>
      <c r="P2703" s="52" t="str">
        <f>VLOOKUP(Tabla3[[#This Row],[Site]],'Important Info!'!$A$1:$F$135,6,FALSE)</f>
        <v>4, 20</v>
      </c>
      <c r="Q2703" s="91">
        <f>VLOOKUP(Tabla3[[#This Row],[Site]],'Important Info!'!$A$1:$J$135,9,FALSE)</f>
        <v>131</v>
      </c>
    </row>
    <row r="2704" spans="1:17" x14ac:dyDescent="0.25">
      <c r="A2704" t="str">
        <f>+Tabla3[[#This Row],[Site]]&amp;Tabla3[[#This Row],[Split]]</f>
        <v>(AS) Park Place Bodywerks Dallas (NO TOURS)27</v>
      </c>
      <c r="B2704">
        <v>27</v>
      </c>
      <c r="C2704">
        <v>8</v>
      </c>
      <c r="D2704" t="s">
        <v>33</v>
      </c>
      <c r="E2704" t="s">
        <v>46</v>
      </c>
      <c r="F2704" t="s">
        <v>514</v>
      </c>
      <c r="G2704" t="s">
        <v>34</v>
      </c>
      <c r="H2704" s="52" t="str">
        <f>VLOOKUP(Tabla3[[#This Row],[Site]],'Important Info!'!$A$1:$J$135,10,FALSE)</f>
        <v>https://tools.sig.systems/site/details/166</v>
      </c>
      <c r="I2704" s="65" t="s">
        <v>125</v>
      </c>
      <c r="J2704" t="s">
        <v>41</v>
      </c>
      <c r="K2704" s="79" t="str">
        <f>VLOOKUP(Tabla3[[#This Row],[Site]],'Important Info!'!$A$1:$H$135,8,FALSE)</f>
        <v>-</v>
      </c>
      <c r="L2704" s="52">
        <f>VLOOKUP(Tabla3[[#This Row],[Site]],'Important Info!'!$A$1:$F$135,2,FALSE)</f>
        <v>3</v>
      </c>
      <c r="M2704" s="52">
        <f>VLOOKUP(Tabla3[[#This Row],[Site]],'Important Info!'!$A$1:$F$135,3,FALSE)</f>
        <v>1</v>
      </c>
      <c r="N2704" s="52" t="str">
        <f>VLOOKUP(Tabla3[[#This Row],[Site]],'Important Info!'!$A$1:$F$135,4,FALSE)</f>
        <v>-</v>
      </c>
      <c r="O2704" s="52" t="str">
        <f>VLOOKUP(Tabla3[[#This Row],[Site]],'Important Info!'!$A$1:$F$135,5,FALSE)</f>
        <v>-</v>
      </c>
      <c r="P2704" s="52" t="str">
        <f>VLOOKUP(Tabla3[[#This Row],[Site]],'Important Info!'!$A$1:$F$135,6,FALSE)</f>
        <v>1, 2, 8</v>
      </c>
      <c r="Q2704" s="91">
        <f>VLOOKUP(Tabla3[[#This Row],[Site]],'Important Info!'!$A$1:$J$135,9,FALSE)</f>
        <v>166</v>
      </c>
    </row>
    <row r="2705" spans="1:17" x14ac:dyDescent="0.25">
      <c r="A2705" t="str">
        <f>+Tabla3[[#This Row],[Site]]&amp;Tabla3[[#This Row],[Split]]</f>
        <v>(ML) Joe Machens Nissan27</v>
      </c>
      <c r="B2705">
        <v>27</v>
      </c>
      <c r="C2705">
        <v>8</v>
      </c>
      <c r="D2705" t="s">
        <v>33</v>
      </c>
      <c r="E2705" t="s">
        <v>46</v>
      </c>
      <c r="F2705" t="s">
        <v>104</v>
      </c>
      <c r="G2705" t="s">
        <v>34</v>
      </c>
      <c r="H2705" s="52" t="str">
        <f>VLOOKUP(Tabla3[[#This Row],[Site]],'Important Info!'!$A$1:$J$135,10,FALSE)</f>
        <v>https://tools.sig.systems/site/details/279</v>
      </c>
      <c r="I2705" s="43" t="s">
        <v>146</v>
      </c>
      <c r="J2705" t="s">
        <v>41</v>
      </c>
      <c r="K2705" s="79" t="str">
        <f>VLOOKUP(Tabla3[[#This Row],[Site]],'Important Info!'!$A$1:$H$135,8,FALSE)</f>
        <v>-</v>
      </c>
      <c r="L2705" s="52" t="str">
        <f>VLOOKUP(Tabla3[[#This Row],[Site]],'Important Info!'!$A$1:$F$135,2,FALSE)</f>
        <v>-</v>
      </c>
      <c r="M2705" s="52" t="str">
        <f>VLOOKUP(Tabla3[[#This Row],[Site]],'Important Info!'!$A$1:$F$135,3,FALSE)</f>
        <v>1, 3, 16</v>
      </c>
      <c r="N2705" s="52" t="str">
        <f>VLOOKUP(Tabla3[[#This Row],[Site]],'Important Info!'!$A$1:$F$135,4,FALSE)</f>
        <v>-</v>
      </c>
      <c r="O2705" s="52" t="str">
        <f>VLOOKUP(Tabla3[[#This Row],[Site]],'Important Info!'!$A$1:$F$135,5,FALSE)</f>
        <v>-</v>
      </c>
      <c r="P2705" s="52" t="str">
        <f>VLOOKUP(Tabla3[[#This Row],[Site]],'Important Info!'!$A$1:$F$135,6,FALSE)</f>
        <v>-</v>
      </c>
      <c r="Q2705" s="91">
        <f>VLOOKUP(Tabla3[[#This Row],[Site]],'Important Info!'!$A$1:$J$135,9,FALSE)</f>
        <v>279</v>
      </c>
    </row>
    <row r="2706" spans="1:17" x14ac:dyDescent="0.25">
      <c r="A2706" t="str">
        <f>+Tabla3[[#This Row],[Site]]&amp;Tabla3[[#This Row],[Split]]</f>
        <v>(AS) Park Place MB Recon Center Dallas (NO TOURS)27</v>
      </c>
      <c r="B2706">
        <v>27</v>
      </c>
      <c r="C2706">
        <v>9</v>
      </c>
      <c r="D2706" t="s">
        <v>33</v>
      </c>
      <c r="E2706" t="s">
        <v>46</v>
      </c>
      <c r="F2706" t="s">
        <v>517</v>
      </c>
      <c r="G2706" t="s">
        <v>34</v>
      </c>
      <c r="H2706" s="52" t="str">
        <f>VLOOKUP(Tabla3[[#This Row],[Site]],'Important Info!'!$A$1:$J$135,10,FALSE)</f>
        <v>https://tools.sig.systems/site/details/170</v>
      </c>
      <c r="I2706" s="65" t="s">
        <v>125</v>
      </c>
      <c r="J2706" t="s">
        <v>41</v>
      </c>
      <c r="K2706" s="79" t="str">
        <f>VLOOKUP(Tabla3[[#This Row],[Site]],'Important Info!'!$A$1:$H$135,8,FALSE)</f>
        <v>-</v>
      </c>
      <c r="L2706" s="52" t="str">
        <f>VLOOKUP(Tabla3[[#This Row],[Site]],'Important Info!'!$A$1:$F$135,2,FALSE)</f>
        <v>3, 39</v>
      </c>
      <c r="M2706" s="52" t="str">
        <f>VLOOKUP(Tabla3[[#This Row],[Site]],'Important Info!'!$A$1:$F$135,3,FALSE)</f>
        <v>-</v>
      </c>
      <c r="N2706" s="52" t="str">
        <f>VLOOKUP(Tabla3[[#This Row],[Site]],'Important Info!'!$A$1:$F$135,4,FALSE)</f>
        <v>-</v>
      </c>
      <c r="O2706" s="52" t="str">
        <f>VLOOKUP(Tabla3[[#This Row],[Site]],'Important Info!'!$A$1:$F$135,5,FALSE)</f>
        <v>4, 11</v>
      </c>
      <c r="P2706" s="52">
        <f>VLOOKUP(Tabla3[[#This Row],[Site]],'Important Info!'!$A$1:$F$135,6,FALSE)</f>
        <v>1</v>
      </c>
      <c r="Q2706" s="91">
        <f>VLOOKUP(Tabla3[[#This Row],[Site]],'Important Info!'!$A$1:$J$135,9,FALSE)</f>
        <v>170</v>
      </c>
    </row>
    <row r="2707" spans="1:17" x14ac:dyDescent="0.25">
      <c r="A2707" t="str">
        <f>+Tabla3[[#This Row],[Site]]&amp;Tabla3[[#This Row],[Split]]</f>
        <v>(ML) Joe Machens Kia of Columbia27</v>
      </c>
      <c r="B2707">
        <v>27</v>
      </c>
      <c r="C2707">
        <v>9</v>
      </c>
      <c r="D2707" t="s">
        <v>33</v>
      </c>
      <c r="E2707" t="s">
        <v>46</v>
      </c>
      <c r="F2707" t="s">
        <v>149</v>
      </c>
      <c r="G2707" t="s">
        <v>34</v>
      </c>
      <c r="H2707" s="52" t="str">
        <f>VLOOKUP(Tabla3[[#This Row],[Site]],'Important Info!'!$A$1:$J$135,10,FALSE)</f>
        <v>https://tools.sig.systems/site/details/270</v>
      </c>
      <c r="I2707" s="2" t="s">
        <v>146</v>
      </c>
      <c r="J2707" t="s">
        <v>41</v>
      </c>
      <c r="K2707" s="79" t="str">
        <f>VLOOKUP(Tabla3[[#This Row],[Site]],'Important Info!'!$A$1:$H$135,8,FALSE)</f>
        <v>-</v>
      </c>
      <c r="L2707" s="52" t="str">
        <f>VLOOKUP(Tabla3[[#This Row],[Site]],'Important Info!'!$A$1:$F$135,2,FALSE)</f>
        <v>-</v>
      </c>
      <c r="M2707" s="52" t="str">
        <f>VLOOKUP(Tabla3[[#This Row],[Site]],'Important Info!'!$A$1:$F$135,3,FALSE)</f>
        <v>1, 2, 5, 6, 9, 13, 15</v>
      </c>
      <c r="N2707" s="52" t="str">
        <f>VLOOKUP(Tabla3[[#This Row],[Site]],'Important Info!'!$A$1:$F$135,4,FALSE)</f>
        <v>-</v>
      </c>
      <c r="O2707" s="52" t="str">
        <f>VLOOKUP(Tabla3[[#This Row],[Site]],'Important Info!'!$A$1:$F$135,5,FALSE)</f>
        <v>-</v>
      </c>
      <c r="P2707" s="52" t="str">
        <f>VLOOKUP(Tabla3[[#This Row],[Site]],'Important Info!'!$A$1:$F$135,6,FALSE)</f>
        <v>10, 11, 13</v>
      </c>
      <c r="Q2707" s="91">
        <f>VLOOKUP(Tabla3[[#This Row],[Site]],'Important Info!'!$A$1:$J$135,9,FALSE)</f>
        <v>270</v>
      </c>
    </row>
    <row r="2708" spans="1:17" x14ac:dyDescent="0.25">
      <c r="A2708" t="str">
        <f>+Tabla3[[#This Row],[Site]]&amp;Tabla3[[#This Row],[Split]]</f>
        <v>(SCH) Delray I &amp; II27</v>
      </c>
      <c r="B2708">
        <v>27</v>
      </c>
      <c r="C2708">
        <v>9</v>
      </c>
      <c r="D2708" t="s">
        <v>62</v>
      </c>
      <c r="E2708" t="s">
        <v>35</v>
      </c>
      <c r="F2708" t="s">
        <v>67</v>
      </c>
      <c r="G2708" t="s">
        <v>490</v>
      </c>
      <c r="H2708" s="52" t="str">
        <f>VLOOKUP(Tabla3[[#This Row],[Site]],'Important Info!'!$A$1:$J$135,10,FALSE)</f>
        <v>https://tools.sig.systems/site/details/159</v>
      </c>
      <c r="I2708" s="43"/>
      <c r="J2708" t="s">
        <v>36</v>
      </c>
      <c r="K2708" s="79" t="str">
        <f>VLOOKUP(Tabla3[[#This Row],[Site]],'Important Info!'!$A$1:$H$135,8,FALSE)</f>
        <v>-</v>
      </c>
      <c r="L2708" s="52" t="str">
        <f>VLOOKUP(Tabla3[[#This Row],[Site]],'Important Info!'!$A$1:$F$135,2,FALSE)</f>
        <v>5, 28, 31</v>
      </c>
      <c r="M2708" s="52" t="str">
        <f>VLOOKUP(Tabla3[[#This Row],[Site]],'Important Info!'!$A$1:$F$135,3,FALSE)</f>
        <v>1, 29</v>
      </c>
      <c r="N2708" s="52">
        <f>VLOOKUP(Tabla3[[#This Row],[Site]],'Important Info!'!$A$1:$F$135,4,FALSE)</f>
        <v>6</v>
      </c>
      <c r="O2708" s="52" t="str">
        <f>VLOOKUP(Tabla3[[#This Row],[Site]],'Important Info!'!$A$1:$F$135,5,FALSE)</f>
        <v>-</v>
      </c>
      <c r="P2708" s="52" t="str">
        <f>VLOOKUP(Tabla3[[#This Row],[Site]],'Important Info!'!$A$1:$F$135,6,FALSE)</f>
        <v>1, 35, 36</v>
      </c>
      <c r="Q2708" s="91">
        <f>VLOOKUP(Tabla3[[#This Row],[Site]],'Important Info!'!$A$1:$J$135,9,FALSE)</f>
        <v>159</v>
      </c>
    </row>
    <row r="2709" spans="1:17" x14ac:dyDescent="0.25">
      <c r="A2709" t="str">
        <f>+Tabla3[[#This Row],[Site]]&amp;Tabla3[[#This Row],[Split]]</f>
        <v>(WAG) Greeley Chrysler Dodge Jeep Ram (NO TOURS)27</v>
      </c>
      <c r="B2709">
        <v>27</v>
      </c>
      <c r="C2709">
        <v>9</v>
      </c>
      <c r="D2709" t="s">
        <v>44</v>
      </c>
      <c r="E2709" t="s">
        <v>53</v>
      </c>
      <c r="F2709" t="s">
        <v>497</v>
      </c>
      <c r="G2709" t="s">
        <v>45</v>
      </c>
      <c r="H2709" s="52" t="str">
        <f>VLOOKUP(Tabla3[[#This Row],[Site]],'Important Info!'!$A$1:$J$135,10,FALSE)</f>
        <v>https://tools.sig.systems/site/details/130</v>
      </c>
      <c r="I2709" s="2" t="s">
        <v>153</v>
      </c>
      <c r="J2709" t="s">
        <v>41</v>
      </c>
      <c r="K2709" s="79" t="str">
        <f>VLOOKUP(Tabla3[[#This Row],[Site]],'Important Info!'!$A$1:$H$135,8,FALSE)</f>
        <v>-</v>
      </c>
      <c r="L2709" s="52" t="str">
        <f>VLOOKUP(Tabla3[[#This Row],[Site]],'Important Info!'!$A$1:$F$135,2,FALSE)</f>
        <v>17, 23 &amp; 18</v>
      </c>
      <c r="M2709" s="52" t="str">
        <f>VLOOKUP(Tabla3[[#This Row],[Site]],'Important Info!'!$A$1:$F$135,3,FALSE)</f>
        <v>4, 5, 6, 7, 8, 51, 55</v>
      </c>
      <c r="N2709" s="52" t="str">
        <f>VLOOKUP(Tabla3[[#This Row],[Site]],'Important Info!'!$A$1:$F$135,4,FALSE)</f>
        <v>-</v>
      </c>
      <c r="O2709" s="52" t="str">
        <f>VLOOKUP(Tabla3[[#This Row],[Site]],'Important Info!'!$A$1:$F$135,5,FALSE)</f>
        <v>3, 13, 17, 49, 53, 59</v>
      </c>
      <c r="P2709" s="52" t="str">
        <f>VLOOKUP(Tabla3[[#This Row],[Site]],'Important Info!'!$A$1:$F$135,6,FALSE)</f>
        <v>8, 9, 10, 51, 62</v>
      </c>
      <c r="Q2709" s="91">
        <f>VLOOKUP(Tabla3[[#This Row],[Site]],'Important Info!'!$A$1:$J$135,9,FALSE)</f>
        <v>130</v>
      </c>
    </row>
    <row r="2710" spans="1:17" x14ac:dyDescent="0.25">
      <c r="A2710" t="str">
        <f>+Tabla3[[#This Row],[Site]]&amp;Tabla3[[#This Row],[Split]]</f>
        <v>(SCH) West Palm Beach I, II &amp; III27</v>
      </c>
      <c r="B2710">
        <v>27</v>
      </c>
      <c r="C2710">
        <v>10</v>
      </c>
      <c r="D2710" t="s">
        <v>492</v>
      </c>
      <c r="E2710" t="s">
        <v>35</v>
      </c>
      <c r="F2710" t="s">
        <v>96</v>
      </c>
      <c r="G2710" t="s">
        <v>490</v>
      </c>
      <c r="H2710" s="52" t="str">
        <f>VLOOKUP(Tabla3[[#This Row],[Site]],'Important Info!'!$A$1:$J$135,10,FALSE)</f>
        <v>https://tools.sig.systems/site/details/162</v>
      </c>
      <c r="I2710" s="2"/>
      <c r="J2710" t="s">
        <v>36</v>
      </c>
      <c r="K2710" s="79" t="str">
        <f>VLOOKUP(Tabla3[[#This Row],[Site]],'Important Info!'!$A$1:$H$135,8,FALSE)</f>
        <v>SUNDAY: Log in at 5:30 p.m. ET.</v>
      </c>
      <c r="L2710" s="52" t="str">
        <f>VLOOKUP(Tabla3[[#This Row],[Site]],'Important Info!'!$A$1:$F$135,2,FALSE)</f>
        <v>34, 62</v>
      </c>
      <c r="M2710" s="52" t="str">
        <f>VLOOKUP(Tabla3[[#This Row],[Site]],'Important Info!'!$A$1:$F$135,3,FALSE)</f>
        <v xml:space="preserve">6, 7, 11, 13, </v>
      </c>
      <c r="N2710" s="52" t="str">
        <f>VLOOKUP(Tabla3[[#This Row],[Site]],'Important Info!'!$A$1:$F$135,4,FALSE)</f>
        <v>20, 21</v>
      </c>
      <c r="O2710" s="52" t="str">
        <f>VLOOKUP(Tabla3[[#This Row],[Site]],'Important Info!'!$A$1:$F$135,5,FALSE)</f>
        <v>-</v>
      </c>
      <c r="P2710" s="52" t="str">
        <f>VLOOKUP(Tabla3[[#This Row],[Site]],'Important Info!'!$A$1:$F$135,6,FALSE)</f>
        <v>1, 2, 3, 131, 132</v>
      </c>
      <c r="Q2710" s="91">
        <f>VLOOKUP(Tabla3[[#This Row],[Site]],'Important Info!'!$A$1:$J$135,9,FALSE)</f>
        <v>162</v>
      </c>
    </row>
    <row r="2711" spans="1:17" x14ac:dyDescent="0.25">
      <c r="A2711" t="str">
        <f>+Tabla3[[#This Row],[Site]]&amp;Tabla3[[#This Row],[Split]]</f>
        <v>(AS) David McDavid Lincoln Frisco (NO TOURS)27</v>
      </c>
      <c r="B2711">
        <v>27</v>
      </c>
      <c r="C2711">
        <v>11</v>
      </c>
      <c r="D2711" t="s">
        <v>33</v>
      </c>
      <c r="E2711" t="s">
        <v>46</v>
      </c>
      <c r="F2711" t="s">
        <v>507</v>
      </c>
      <c r="G2711" t="s">
        <v>34</v>
      </c>
      <c r="H2711" s="52" t="str">
        <f>VLOOKUP(Tabla3[[#This Row],[Site]],'Important Info!'!$A$1:$J$135,10,FALSE)</f>
        <v>https://tools.sig.systems/site/details/182</v>
      </c>
      <c r="I2711" s="43"/>
      <c r="J2711" t="s">
        <v>41</v>
      </c>
      <c r="K2711" s="79" t="str">
        <f>VLOOKUP(Tabla3[[#This Row],[Site]],'Important Info!'!$A$1:$H$135,8,FALSE)</f>
        <v>-</v>
      </c>
      <c r="L2711" s="52" t="str">
        <f>VLOOKUP(Tabla3[[#This Row],[Site]],'Important Info!'!$A$1:$F$135,2,FALSE)</f>
        <v>1, 2, 11</v>
      </c>
      <c r="M2711" s="52" t="str">
        <f>VLOOKUP(Tabla3[[#This Row],[Site]],'Important Info!'!$A$1:$F$135,3,FALSE)</f>
        <v>-</v>
      </c>
      <c r="N2711" s="52" t="str">
        <f>VLOOKUP(Tabla3[[#This Row],[Site]],'Important Info!'!$A$1:$F$135,4,FALSE)</f>
        <v>-</v>
      </c>
      <c r="O2711" s="52" t="str">
        <f>VLOOKUP(Tabla3[[#This Row],[Site]],'Important Info!'!$A$1:$F$135,5,FALSE)</f>
        <v>11, 16, 20</v>
      </c>
      <c r="P2711" s="52" t="str">
        <f>VLOOKUP(Tabla3[[#This Row],[Site]],'Important Info!'!$A$1:$F$135,6,FALSE)</f>
        <v>11, 12, 13, 14</v>
      </c>
      <c r="Q2711" s="91">
        <f>VLOOKUP(Tabla3[[#This Row],[Site]],'Important Info!'!$A$1:$J$135,9,FALSE)</f>
        <v>182</v>
      </c>
    </row>
    <row r="2712" spans="1:17" x14ac:dyDescent="0.25">
      <c r="A2712" t="str">
        <f>+Tabla3[[#This Row],[Site]]&amp;Tabla3[[#This Row],[Split]]</f>
        <v>(AS) Nalley BMW Collision Center (NO TOURS)27</v>
      </c>
      <c r="B2712">
        <v>27</v>
      </c>
      <c r="C2712">
        <v>11</v>
      </c>
      <c r="D2712" t="s">
        <v>62</v>
      </c>
      <c r="E2712" t="s">
        <v>35</v>
      </c>
      <c r="F2712" t="s">
        <v>510</v>
      </c>
      <c r="G2712" t="s">
        <v>490</v>
      </c>
      <c r="H2712" s="52" t="str">
        <f>VLOOKUP(Tabla3[[#This Row],[Site]],'Important Info!'!$A$1:$J$135,10,FALSE)</f>
        <v>https://tools.sig.systems/site/details/220</v>
      </c>
      <c r="I2712" s="43"/>
      <c r="J2712" t="s">
        <v>41</v>
      </c>
      <c r="K2712" s="79" t="str">
        <f>VLOOKUP(Tabla3[[#This Row],[Site]],'Important Info!'!$A$1:$H$135,8,FALSE)</f>
        <v>-</v>
      </c>
      <c r="L2712" s="52" t="str">
        <f>VLOOKUP(Tabla3[[#This Row],[Site]],'Important Info!'!$A$1:$F$135,2,FALSE)</f>
        <v>-</v>
      </c>
      <c r="M2712" s="52">
        <f>VLOOKUP(Tabla3[[#This Row],[Site]],'Important Info!'!$A$1:$F$135,3,FALSE)</f>
        <v>4</v>
      </c>
      <c r="N2712" s="52" t="str">
        <f>VLOOKUP(Tabla3[[#This Row],[Site]],'Important Info!'!$A$1:$F$135,4,FALSE)</f>
        <v>-</v>
      </c>
      <c r="O2712" s="52">
        <f>VLOOKUP(Tabla3[[#This Row],[Site]],'Important Info!'!$A$1:$F$135,5,FALSE)</f>
        <v>12</v>
      </c>
      <c r="P2712" s="52" t="str">
        <f>VLOOKUP(Tabla3[[#This Row],[Site]],'Important Info!'!$A$1:$F$135,6,FALSE)</f>
        <v>13, 15</v>
      </c>
      <c r="Q2712" s="91">
        <f>VLOOKUP(Tabla3[[#This Row],[Site]],'Important Info!'!$A$1:$J$135,9,FALSE)</f>
        <v>220</v>
      </c>
    </row>
    <row r="2713" spans="1:17" x14ac:dyDescent="0.25">
      <c r="A2713" t="str">
        <f>+Tabla3[[#This Row],[Site]]&amp;Tabla3[[#This Row],[Split]]</f>
        <v>(DT) Albuquerque27</v>
      </c>
      <c r="B2713">
        <v>27</v>
      </c>
      <c r="C2713">
        <v>11</v>
      </c>
      <c r="D2713" t="s">
        <v>44</v>
      </c>
      <c r="E2713" t="s">
        <v>53</v>
      </c>
      <c r="F2713" t="s">
        <v>155</v>
      </c>
      <c r="G2713" t="s">
        <v>45</v>
      </c>
      <c r="H2713" s="52" t="str">
        <f>VLOOKUP(Tabla3[[#This Row],[Site]],'Important Info!'!$A$1:$J$135,10,FALSE)</f>
        <v>https://tools.sig.systems/site/details/237</v>
      </c>
      <c r="J2713" t="s">
        <v>41</v>
      </c>
      <c r="K2713" s="79" t="str">
        <f>VLOOKUP(Tabla3[[#This Row],[Site]],'Important Info!'!$A$1:$H$135,8,FALSE)</f>
        <v>-</v>
      </c>
      <c r="L2713" s="52" t="str">
        <f>VLOOKUP(Tabla3[[#This Row],[Site]],'Important Info!'!$A$1:$F$135,2,FALSE)</f>
        <v>14, 16</v>
      </c>
      <c r="M2713" s="52" t="str">
        <f>VLOOKUP(Tabla3[[#This Row],[Site]],'Important Info!'!$A$1:$F$135,3,FALSE)</f>
        <v>-</v>
      </c>
      <c r="N2713" s="52" t="str">
        <f>VLOOKUP(Tabla3[[#This Row],[Site]],'Important Info!'!$A$1:$F$135,4,FALSE)</f>
        <v>-</v>
      </c>
      <c r="O2713" s="52" t="str">
        <f>VLOOKUP(Tabla3[[#This Row],[Site]],'Important Info!'!$A$1:$F$135,5,FALSE)</f>
        <v>14, 15</v>
      </c>
      <c r="P2713" s="52" t="str">
        <f>VLOOKUP(Tabla3[[#This Row],[Site]],'Important Info!'!$A$1:$F$135,6,FALSE)</f>
        <v>12, 14, 16</v>
      </c>
      <c r="Q2713" s="91">
        <f>VLOOKUP(Tabla3[[#This Row],[Site]],'Important Info!'!$A$1:$J$135,9,FALSE)</f>
        <v>237</v>
      </c>
    </row>
    <row r="2714" spans="1:17" x14ac:dyDescent="0.25">
      <c r="A2714" t="str">
        <f>+Tabla3[[#This Row],[Site]]&amp;Tabla3[[#This Row],[Split]]</f>
        <v>(KT) Northwest CDJR (NO TOURS)27</v>
      </c>
      <c r="B2714">
        <v>27</v>
      </c>
      <c r="C2714">
        <v>11</v>
      </c>
      <c r="D2714" t="s">
        <v>33</v>
      </c>
      <c r="E2714" t="s">
        <v>46</v>
      </c>
      <c r="F2714" t="s">
        <v>77</v>
      </c>
      <c r="G2714" t="s">
        <v>34</v>
      </c>
      <c r="H2714" s="52" t="str">
        <f>VLOOKUP(Tabla3[[#This Row],[Site]],'Important Info!'!$A$1:$J$135,10,FALSE)</f>
        <v>https://tools.sig.systems/site/details/229</v>
      </c>
      <c r="I2714" s="2"/>
      <c r="J2714" t="s">
        <v>41</v>
      </c>
      <c r="K2714" s="79" t="str">
        <f>VLOOKUP(Tabla3[[#This Row],[Site]],'Important Info!'!$A$1:$H$135,8,FALSE)</f>
        <v>-</v>
      </c>
      <c r="L2714" s="52" t="str">
        <f>VLOOKUP(Tabla3[[#This Row],[Site]],'Important Info!'!$A$1:$F$135,2,FALSE)</f>
        <v>1, 3, 11, 25</v>
      </c>
      <c r="M2714" s="52" t="str">
        <f>VLOOKUP(Tabla3[[#This Row],[Site]],'Important Info!'!$A$1:$F$135,3,FALSE)</f>
        <v>-</v>
      </c>
      <c r="N2714" s="52" t="str">
        <f>VLOOKUP(Tabla3[[#This Row],[Site]],'Important Info!'!$A$1:$F$135,4,FALSE)</f>
        <v>-</v>
      </c>
      <c r="O2714" s="52" t="str">
        <f>VLOOKUP(Tabla3[[#This Row],[Site]],'Important Info!'!$A$1:$F$135,5,FALSE)</f>
        <v>4, 12, 18</v>
      </c>
      <c r="P2714" s="52" t="str">
        <f>VLOOKUP(Tabla3[[#This Row],[Site]],'Important Info!'!$A$1:$F$135,6,FALSE)</f>
        <v>-</v>
      </c>
      <c r="Q2714" s="91">
        <f>VLOOKUP(Tabla3[[#This Row],[Site]],'Important Info!'!$A$1:$J$135,9,FALSE)</f>
        <v>229</v>
      </c>
    </row>
    <row r="2715" spans="1:17" x14ac:dyDescent="0.25">
      <c r="A2715" t="str">
        <f>+Tabla3[[#This Row],[Site]]&amp;Tabla3[[#This Row],[Split]]</f>
        <v>(ML) Volvo Collision Corp27</v>
      </c>
      <c r="B2715">
        <v>27</v>
      </c>
      <c r="C2715">
        <v>11</v>
      </c>
      <c r="D2715" t="s">
        <v>33</v>
      </c>
      <c r="E2715" t="s">
        <v>46</v>
      </c>
      <c r="F2715" t="s">
        <v>106</v>
      </c>
      <c r="G2715" t="s">
        <v>34</v>
      </c>
      <c r="H2715" s="52" t="str">
        <f>VLOOKUP(Tabla3[[#This Row],[Site]],'Important Info!'!$A$1:$J$135,10,FALSE)</f>
        <v>https://tools.sig.systems/site/details/223</v>
      </c>
      <c r="I2715" s="43"/>
      <c r="J2715" t="s">
        <v>41</v>
      </c>
      <c r="K2715" s="79" t="str">
        <f>VLOOKUP(Tabla3[[#This Row],[Site]],'Important Info!'!$A$1:$H$135,8,FALSE)</f>
        <v>-</v>
      </c>
      <c r="L2715" s="52" t="str">
        <f>VLOOKUP(Tabla3[[#This Row],[Site]],'Important Info!'!$A$1:$F$135,2,FALSE)</f>
        <v>7, 11</v>
      </c>
      <c r="M2715" s="52">
        <f>VLOOKUP(Tabla3[[#This Row],[Site]],'Important Info!'!$A$1:$F$135,3,FALSE)</f>
        <v>4</v>
      </c>
      <c r="N2715" s="52" t="str">
        <f>VLOOKUP(Tabla3[[#This Row],[Site]],'Important Info!'!$A$1:$F$135,4,FALSE)</f>
        <v>-</v>
      </c>
      <c r="O2715" s="52">
        <f>VLOOKUP(Tabla3[[#This Row],[Site]],'Important Info!'!$A$1:$F$135,5,FALSE)</f>
        <v>18</v>
      </c>
      <c r="P2715" s="52" t="str">
        <f>VLOOKUP(Tabla3[[#This Row],[Site]],'Important Info!'!$A$1:$F$135,6,FALSE)</f>
        <v>-</v>
      </c>
      <c r="Q2715" s="91">
        <f>VLOOKUP(Tabla3[[#This Row],[Site]],'Important Info!'!$A$1:$J$135,9,FALSE)</f>
        <v>223</v>
      </c>
    </row>
    <row r="2716" spans="1:17" x14ac:dyDescent="0.25">
      <c r="A2716" t="str">
        <f>+Tabla3[[#This Row],[Site]]&amp;Tabla3[[#This Row],[Split]]</f>
        <v>(PE) Fairfield Collision (NO TOURS)27</v>
      </c>
      <c r="B2716">
        <v>27</v>
      </c>
      <c r="C2716">
        <v>11</v>
      </c>
      <c r="D2716" t="s">
        <v>485</v>
      </c>
      <c r="E2716" t="s">
        <v>35</v>
      </c>
      <c r="F2716" t="s">
        <v>63</v>
      </c>
      <c r="G2716" t="s">
        <v>490</v>
      </c>
      <c r="H2716" s="52" t="str">
        <f>VLOOKUP(Tabla3[[#This Row],[Site]],'Important Info!'!$A$1:$J$135,10,FALSE)</f>
        <v>https://tools.sig.systems/site/details/191</v>
      </c>
      <c r="J2716" t="s">
        <v>41</v>
      </c>
      <c r="K2716" s="79" t="str">
        <f>VLOOKUP(Tabla3[[#This Row],[Site]],'Important Info!'!$A$1:$H$135,8,FALSE)</f>
        <v>-</v>
      </c>
      <c r="L2716" s="52">
        <f>VLOOKUP(Tabla3[[#This Row],[Site]],'Important Info!'!$A$1:$F$135,2,FALSE)</f>
        <v>4</v>
      </c>
      <c r="M2716" s="52" t="str">
        <f>VLOOKUP(Tabla3[[#This Row],[Site]],'Important Info!'!$A$1:$F$135,3,FALSE)</f>
        <v>-</v>
      </c>
      <c r="N2716" s="52" t="str">
        <f>VLOOKUP(Tabla3[[#This Row],[Site]],'Important Info!'!$A$1:$F$135,4,FALSE)</f>
        <v>-</v>
      </c>
      <c r="O2716" s="52" t="str">
        <f>VLOOKUP(Tabla3[[#This Row],[Site]],'Important Info!'!$A$1:$F$135,5,FALSE)</f>
        <v>-</v>
      </c>
      <c r="P2716" s="52" t="str">
        <f>VLOOKUP(Tabla3[[#This Row],[Site]],'Important Info!'!$A$1:$F$135,6,FALSE)</f>
        <v>1, 2, 3, 4, 5, 6</v>
      </c>
      <c r="Q2716" s="91">
        <f>VLOOKUP(Tabla3[[#This Row],[Site]],'Important Info!'!$A$1:$J$135,9,FALSE)</f>
        <v>191</v>
      </c>
    </row>
    <row r="2717" spans="1:17" x14ac:dyDescent="0.25">
      <c r="A2717" t="str">
        <f>+Tabla3[[#This Row],[Site]]&amp;Tabla3[[#This Row],[Split]]</f>
        <v>(HUD) Acura of Greensboro27</v>
      </c>
      <c r="B2717">
        <v>27</v>
      </c>
      <c r="C2717">
        <v>12</v>
      </c>
      <c r="D2717" t="s">
        <v>62</v>
      </c>
      <c r="E2717" t="s">
        <v>35</v>
      </c>
      <c r="F2717" t="s">
        <v>100</v>
      </c>
      <c r="G2717" t="s">
        <v>490</v>
      </c>
      <c r="H2717" s="52" t="str">
        <f>VLOOKUP(Tabla3[[#This Row],[Site]],'Important Info!'!$A$1:$J$135,10,FALSE)</f>
        <v>https://tools.sig.systems/site/details/213</v>
      </c>
      <c r="I2717" t="s">
        <v>182</v>
      </c>
      <c r="J2717" t="s">
        <v>41</v>
      </c>
      <c r="K2717" s="79" t="str">
        <f>VLOOKUP(Tabla3[[#This Row],[Site]],'Important Info!'!$A$1:$H$135,8,FALSE)</f>
        <v>-</v>
      </c>
      <c r="L2717" s="52" t="str">
        <f>VLOOKUP(Tabla3[[#This Row],[Site]],'Important Info!'!$A$1:$F$135,2,FALSE)</f>
        <v>1, 2, 6, 7, 9</v>
      </c>
      <c r="M2717" s="52" t="str">
        <f>VLOOKUP(Tabla3[[#This Row],[Site]],'Important Info!'!$A$1:$F$135,3,FALSE)</f>
        <v>-</v>
      </c>
      <c r="N2717" s="52" t="str">
        <f>VLOOKUP(Tabla3[[#This Row],[Site]],'Important Info!'!$A$1:$F$135,4,FALSE)</f>
        <v>-</v>
      </c>
      <c r="O2717" s="52" t="str">
        <f>VLOOKUP(Tabla3[[#This Row],[Site]],'Important Info!'!$A$1:$F$135,5,FALSE)</f>
        <v>2, 5</v>
      </c>
      <c r="P2717" s="52" t="str">
        <f>VLOOKUP(Tabla3[[#This Row],[Site]],'Important Info!'!$A$1:$F$135,6,FALSE)</f>
        <v>1, 2, 6, 7, 9, 18</v>
      </c>
      <c r="Q2717" s="91">
        <f>VLOOKUP(Tabla3[[#This Row],[Site]],'Important Info!'!$A$1:$J$135,9,FALSE)</f>
        <v>213</v>
      </c>
    </row>
    <row r="2718" spans="1:17" x14ac:dyDescent="0.25">
      <c r="A2718" t="str">
        <f>+Tabla3[[#This Row],[Site]]&amp;Tabla3[[#This Row],[Split]]</f>
        <v>(KG) Big Star Honda27</v>
      </c>
      <c r="B2718">
        <v>27</v>
      </c>
      <c r="C2718">
        <v>12</v>
      </c>
      <c r="D2718" t="s">
        <v>33</v>
      </c>
      <c r="E2718" t="s">
        <v>46</v>
      </c>
      <c r="F2718" t="s">
        <v>136</v>
      </c>
      <c r="G2718" t="s">
        <v>34</v>
      </c>
      <c r="H2718" s="52" t="str">
        <f>VLOOKUP(Tabla3[[#This Row],[Site]],'Important Info!'!$A$1:$J$135,10,FALSE)</f>
        <v>https://tools.sig.systems/site/details/231</v>
      </c>
      <c r="J2718" t="s">
        <v>41</v>
      </c>
      <c r="K2718" s="79" t="str">
        <f>VLOOKUP(Tabla3[[#This Row],[Site]],'Important Info!'!$A$1:$H$135,8,FALSE)</f>
        <v>-</v>
      </c>
      <c r="L2718" s="52" t="str">
        <f>VLOOKUP(Tabla3[[#This Row],[Site]],'Important Info!'!$A$1:$F$135,2,FALSE)</f>
        <v>2, 17, 33</v>
      </c>
      <c r="M2718" s="52" t="str">
        <f>VLOOKUP(Tabla3[[#This Row],[Site]],'Important Info!'!$A$1:$F$135,3,FALSE)</f>
        <v>-</v>
      </c>
      <c r="N2718" s="52" t="str">
        <f>VLOOKUP(Tabla3[[#This Row],[Site]],'Important Info!'!$A$1:$F$135,4,FALSE)</f>
        <v>-</v>
      </c>
      <c r="O2718" s="52" t="str">
        <f>VLOOKUP(Tabla3[[#This Row],[Site]],'Important Info!'!$A$1:$F$135,5,FALSE)</f>
        <v>3, 11, 16, 21, 24, 31, 34</v>
      </c>
      <c r="P2718" s="52" t="str">
        <f>VLOOKUP(Tabla3[[#This Row],[Site]],'Important Info!'!$A$1:$F$135,6,FALSE)</f>
        <v xml:space="preserve">2, 3, 17, 22, 37, 41, 42 </v>
      </c>
      <c r="Q2718" s="91">
        <f>VLOOKUP(Tabla3[[#This Row],[Site]],'Important Info!'!$A$1:$J$135,9,FALSE)</f>
        <v>231</v>
      </c>
    </row>
    <row r="2719" spans="1:17" x14ac:dyDescent="0.25">
      <c r="A2719" t="str">
        <f>+Tabla3[[#This Row],[Site]]&amp;Tabla3[[#This Row],[Split]]</f>
        <v>(MK) McKenny Salinas Honda27</v>
      </c>
      <c r="B2719">
        <v>27</v>
      </c>
      <c r="C2719">
        <v>12</v>
      </c>
      <c r="D2719" t="s">
        <v>62</v>
      </c>
      <c r="E2719" t="s">
        <v>35</v>
      </c>
      <c r="F2719" t="s">
        <v>115</v>
      </c>
      <c r="G2719" t="s">
        <v>490</v>
      </c>
      <c r="H2719" s="52" t="str">
        <f>VLOOKUP(Tabla3[[#This Row],[Site]],'Important Info!'!$A$1:$J$135,10,FALSE)</f>
        <v>https://tools.sig.systems/site/details/149</v>
      </c>
      <c r="J2719" t="s">
        <v>41</v>
      </c>
      <c r="K2719" s="79" t="str">
        <f>VLOOKUP(Tabla3[[#This Row],[Site]],'Important Info!'!$A$1:$H$135,8,FALSE)</f>
        <v>-</v>
      </c>
      <c r="L2719" s="52" t="str">
        <f>VLOOKUP(Tabla3[[#This Row],[Site]],'Important Info!'!$A$1:$F$135,2,FALSE)</f>
        <v>-</v>
      </c>
      <c r="M2719" s="52" t="str">
        <f>VLOOKUP(Tabla3[[#This Row],[Site]],'Important Info!'!$A$1:$F$135,3,FALSE)</f>
        <v>12, 16</v>
      </c>
      <c r="N2719" s="52" t="str">
        <f>VLOOKUP(Tabla3[[#This Row],[Site]],'Important Info!'!$A$1:$F$135,4,FALSE)</f>
        <v>-</v>
      </c>
      <c r="O2719" s="52" t="str">
        <f>VLOOKUP(Tabla3[[#This Row],[Site]],'Important Info!'!$A$1:$F$135,5,FALSE)</f>
        <v>-</v>
      </c>
      <c r="P2719" s="52" t="str">
        <f>VLOOKUP(Tabla3[[#This Row],[Site]],'Important Info!'!$A$1:$F$135,6,FALSE)</f>
        <v>3, 4, 5, 6, 16</v>
      </c>
      <c r="Q2719" s="91">
        <f>VLOOKUP(Tabla3[[#This Row],[Site]],'Important Info!'!$A$1:$J$135,9,FALSE)</f>
        <v>149</v>
      </c>
    </row>
    <row r="2720" spans="1:17" x14ac:dyDescent="0.25">
      <c r="A2720" t="str">
        <f>+Tabla3[[#This Row],[Site]]&amp;Tabla3[[#This Row],[Split]]</f>
        <v>(PE) Honda of Danbury (NO TOURS)27</v>
      </c>
      <c r="B2720">
        <v>27</v>
      </c>
      <c r="C2720">
        <v>12</v>
      </c>
      <c r="D2720" t="s">
        <v>485</v>
      </c>
      <c r="E2720" t="s">
        <v>35</v>
      </c>
      <c r="F2720" t="s">
        <v>174</v>
      </c>
      <c r="G2720" t="s">
        <v>490</v>
      </c>
      <c r="H2720" s="52" t="str">
        <f>VLOOKUP(Tabla3[[#This Row],[Site]],'Important Info!'!$A$1:$J$135,10,FALSE)</f>
        <v>https://tools.sig.systems/site/details/190</v>
      </c>
      <c r="I2720" s="2"/>
      <c r="J2720" t="s">
        <v>41</v>
      </c>
      <c r="K2720" s="79" t="str">
        <f>VLOOKUP(Tabla3[[#This Row],[Site]],'Important Info!'!$A$1:$H$135,8,FALSE)</f>
        <v>-</v>
      </c>
      <c r="L2720" s="52" t="str">
        <f>VLOOKUP(Tabla3[[#This Row],[Site]],'Important Info!'!$A$1:$F$135,2,FALSE)</f>
        <v>-</v>
      </c>
      <c r="M2720" s="52" t="str">
        <f>VLOOKUP(Tabla3[[#This Row],[Site]],'Important Info!'!$A$1:$F$135,3,FALSE)</f>
        <v>20, 9</v>
      </c>
      <c r="N2720" s="52">
        <f>VLOOKUP(Tabla3[[#This Row],[Site]],'Important Info!'!$A$1:$F$135,4,FALSE)</f>
        <v>9</v>
      </c>
      <c r="O2720" s="52" t="str">
        <f>VLOOKUP(Tabla3[[#This Row],[Site]],'Important Info!'!$A$1:$F$135,5,FALSE)</f>
        <v>-</v>
      </c>
      <c r="P2720" s="52" t="str">
        <f>VLOOKUP(Tabla3[[#This Row],[Site]],'Important Info!'!$A$1:$F$135,6,FALSE)</f>
        <v>9, 16, 17</v>
      </c>
      <c r="Q2720" s="91">
        <f>VLOOKUP(Tabla3[[#This Row],[Site]],'Important Info!'!$A$1:$J$135,9,FALSE)</f>
        <v>190</v>
      </c>
    </row>
    <row r="2721" spans="1:17" x14ac:dyDescent="0.25">
      <c r="A2721" t="str">
        <f>+Tabla3[[#This Row],[Site]]&amp;Tabla3[[#This Row],[Split]]</f>
        <v>(PE) Mercedes Benz &amp; Smart Bldg. of Fairfield (NO TOURS)27</v>
      </c>
      <c r="B2721">
        <v>27</v>
      </c>
      <c r="C2721">
        <v>12</v>
      </c>
      <c r="D2721" t="s">
        <v>485</v>
      </c>
      <c r="E2721" t="s">
        <v>35</v>
      </c>
      <c r="F2721" t="s">
        <v>64</v>
      </c>
      <c r="G2721" t="s">
        <v>490</v>
      </c>
      <c r="H2721" s="52" t="str">
        <f>VLOOKUP(Tabla3[[#This Row],[Site]],'Important Info!'!$A$1:$J$135,10,FALSE)</f>
        <v>https://tools.sig.systems/site/details/192</v>
      </c>
      <c r="I2721" t="s">
        <v>177</v>
      </c>
      <c r="J2721" t="s">
        <v>41</v>
      </c>
      <c r="K2721" s="79" t="str">
        <f>VLOOKUP(Tabla3[[#This Row],[Site]],'Important Info!'!$A$1:$H$135,8,FALSE)</f>
        <v>-</v>
      </c>
      <c r="L2721" s="52" t="str">
        <f>VLOOKUP(Tabla3[[#This Row],[Site]],'Important Info!'!$A$1:$F$135,2,FALSE)</f>
        <v>-</v>
      </c>
      <c r="M2721" s="52">
        <f>VLOOKUP(Tabla3[[#This Row],[Site]],'Important Info!'!$A$1:$F$135,3,FALSE)</f>
        <v>1</v>
      </c>
      <c r="N2721" s="52" t="str">
        <f>VLOOKUP(Tabla3[[#This Row],[Site]],'Important Info!'!$A$1:$F$135,4,FALSE)</f>
        <v>-</v>
      </c>
      <c r="O2721" s="52" t="str">
        <f>VLOOKUP(Tabla3[[#This Row],[Site]],'Important Info!'!$A$1:$F$135,5,FALSE)</f>
        <v>11, 13</v>
      </c>
      <c r="P2721" s="52">
        <f>VLOOKUP(Tabla3[[#This Row],[Site]],'Important Info!'!$A$1:$F$135,6,FALSE)</f>
        <v>1</v>
      </c>
      <c r="Q2721" s="91">
        <f>VLOOKUP(Tabla3[[#This Row],[Site]],'Important Info!'!$A$1:$J$135,9,FALSE)</f>
        <v>192</v>
      </c>
    </row>
    <row r="2722" spans="1:17" x14ac:dyDescent="0.25">
      <c r="A2722" t="str">
        <f>+Tabla3[[#This Row],[Site]]&amp;Tabla3[[#This Row],[Split]]</f>
        <v>(AS) David McDavid Honda I &amp; II (NO TOURS)27</v>
      </c>
      <c r="B2722">
        <v>27</v>
      </c>
      <c r="C2722">
        <v>13</v>
      </c>
      <c r="D2722" t="s">
        <v>33</v>
      </c>
      <c r="E2722" t="s">
        <v>46</v>
      </c>
      <c r="F2722" t="s">
        <v>506</v>
      </c>
      <c r="G2722" t="s">
        <v>34</v>
      </c>
      <c r="H2722" s="52" t="str">
        <f>VLOOKUP(Tabla3[[#This Row],[Site]],'Important Info!'!$A$1:$J$135,10,FALSE)</f>
        <v>https://tools.sig.systems/site/details/129</v>
      </c>
      <c r="J2722" t="s">
        <v>41</v>
      </c>
      <c r="K2722" s="79" t="str">
        <f>VLOOKUP(Tabla3[[#This Row],[Site]],'Important Info!'!$A$1:$H$135,8,FALSE)</f>
        <v>-</v>
      </c>
      <c r="L2722" s="52" t="str">
        <f>VLOOKUP(Tabla3[[#This Row],[Site]],'Important Info!'!$A$1:$F$135,2,FALSE)</f>
        <v>-</v>
      </c>
      <c r="M2722" s="52" t="str">
        <f>VLOOKUP(Tabla3[[#This Row],[Site]],'Important Info!'!$A$1:$F$135,3,FALSE)</f>
        <v>3, 19, 23, 32, 35</v>
      </c>
      <c r="N2722" s="52" t="str">
        <f>VLOOKUP(Tabla3[[#This Row],[Site]],'Important Info!'!$A$1:$F$135,4,FALSE)</f>
        <v>-</v>
      </c>
      <c r="O2722" s="52" t="str">
        <f>VLOOKUP(Tabla3[[#This Row],[Site]],'Important Info!'!$A$1:$F$135,5,FALSE)</f>
        <v>2, 6, 9, 19, 25, 30, 48</v>
      </c>
      <c r="P2722" s="52" t="str">
        <f>VLOOKUP(Tabla3[[#This Row],[Site]],'Important Info!'!$A$1:$F$135,6,FALSE)</f>
        <v>25, 26, 35, 36, 37</v>
      </c>
      <c r="Q2722" s="91">
        <f>VLOOKUP(Tabla3[[#This Row],[Site]],'Important Info!'!$A$1:$J$135,9,FALSE)</f>
        <v>129</v>
      </c>
    </row>
    <row r="2723" spans="1:17" x14ac:dyDescent="0.25">
      <c r="A2723" t="str">
        <f>+Tabla3[[#This Row],[Site]]&amp;Tabla3[[#This Row],[Split]]</f>
        <v>(AS) Plano Auction (NO SPEAKERS)27</v>
      </c>
      <c r="B2723">
        <v>27</v>
      </c>
      <c r="C2723">
        <v>13</v>
      </c>
      <c r="D2723" t="s">
        <v>33</v>
      </c>
      <c r="E2723" t="s">
        <v>46</v>
      </c>
      <c r="F2723" t="s">
        <v>129</v>
      </c>
      <c r="G2723" t="s">
        <v>34</v>
      </c>
      <c r="H2723" s="52" t="str">
        <f>VLOOKUP(Tabla3[[#This Row],[Site]],'Important Info!'!$A$1:$J$135,10,FALSE)</f>
        <v>https://tools.sig.systems/site/details/140</v>
      </c>
      <c r="J2723" t="s">
        <v>41</v>
      </c>
      <c r="K2723" s="79" t="str">
        <f>VLOOKUP(Tabla3[[#This Row],[Site]],'Important Info!'!$A$1:$H$135,8,FALSE)</f>
        <v>-</v>
      </c>
      <c r="L2723" s="52" t="str">
        <f>VLOOKUP(Tabla3[[#This Row],[Site]],'Important Info!'!$A$1:$F$135,2,FALSE)</f>
        <v>-</v>
      </c>
      <c r="M2723" s="52" t="str">
        <f>VLOOKUP(Tabla3[[#This Row],[Site]],'Important Info!'!$A$1:$F$135,3,FALSE)</f>
        <v>3, 4, 19</v>
      </c>
      <c r="N2723" s="52" t="str">
        <f>VLOOKUP(Tabla3[[#This Row],[Site]],'Important Info!'!$A$1:$F$135,4,FALSE)</f>
        <v>-</v>
      </c>
      <c r="O2723" s="52" t="str">
        <f>VLOOKUP(Tabla3[[#This Row],[Site]],'Important Info!'!$A$1:$F$135,5,FALSE)</f>
        <v>5, 19</v>
      </c>
      <c r="P2723" s="52">
        <f>VLOOKUP(Tabla3[[#This Row],[Site]],'Important Info!'!$A$1:$F$135,6,FALSE)</f>
        <v>21</v>
      </c>
      <c r="Q2723" s="91">
        <f>VLOOKUP(Tabla3[[#This Row],[Site]],'Important Info!'!$A$1:$J$135,9,FALSE)</f>
        <v>140</v>
      </c>
    </row>
    <row r="2724" spans="1:17" x14ac:dyDescent="0.25">
      <c r="A2724" t="str">
        <f>+Tabla3[[#This Row],[Site]]&amp;Tabla3[[#This Row],[Split]]</f>
        <v>(HUD) BMW of Greensboro27</v>
      </c>
      <c r="B2724">
        <v>27</v>
      </c>
      <c r="C2724">
        <v>13</v>
      </c>
      <c r="D2724" t="s">
        <v>62</v>
      </c>
      <c r="E2724" t="s">
        <v>35</v>
      </c>
      <c r="F2724" t="s">
        <v>183</v>
      </c>
      <c r="G2724" t="s">
        <v>490</v>
      </c>
      <c r="H2724" s="52" t="str">
        <f>VLOOKUP(Tabla3[[#This Row],[Site]],'Important Info!'!$A$1:$J$135,10,FALSE)</f>
        <v>https://tools.sig.systems/site/details/219</v>
      </c>
      <c r="I2724" s="43" t="s">
        <v>184</v>
      </c>
      <c r="J2724" t="s">
        <v>41</v>
      </c>
      <c r="K2724" s="79" t="str">
        <f>VLOOKUP(Tabla3[[#This Row],[Site]],'Important Info!'!$A$1:$H$135,8,FALSE)</f>
        <v>-</v>
      </c>
      <c r="L2724" s="52" t="str">
        <f>VLOOKUP(Tabla3[[#This Row],[Site]],'Important Info!'!$A$1:$F$135,2,FALSE)</f>
        <v>2, 20, 21</v>
      </c>
      <c r="M2724" s="52" t="str">
        <f>VLOOKUP(Tabla3[[#This Row],[Site]],'Important Info!'!$A$1:$F$135,3,FALSE)</f>
        <v>-</v>
      </c>
      <c r="N2724" s="52" t="str">
        <f>VLOOKUP(Tabla3[[#This Row],[Site]],'Important Info!'!$A$1:$F$135,4,FALSE)</f>
        <v>-</v>
      </c>
      <c r="O2724" s="52" t="str">
        <f>VLOOKUP(Tabla3[[#This Row],[Site]],'Important Info!'!$A$1:$F$135,5,FALSE)</f>
        <v>12, 17</v>
      </c>
      <c r="P2724" s="52" t="str">
        <f>VLOOKUP(Tabla3[[#This Row],[Site]],'Important Info!'!$A$1:$F$135,6,FALSE)</f>
        <v>1, 2, 6, 20</v>
      </c>
      <c r="Q2724" s="91">
        <f>VLOOKUP(Tabla3[[#This Row],[Site]],'Important Info!'!$A$1:$J$135,9,FALSE)</f>
        <v>219</v>
      </c>
    </row>
    <row r="2725" spans="1:17" x14ac:dyDescent="0.25">
      <c r="A2725" t="str">
        <f>+Tabla3[[#This Row],[Site]]&amp;Tabla3[[#This Row],[Split]]</f>
        <v>(AS) Coggin Mercedes Benz Ft Pierce (NO TOURS)27</v>
      </c>
      <c r="B2725">
        <v>27</v>
      </c>
      <c r="C2725">
        <v>14</v>
      </c>
      <c r="D2725" t="s">
        <v>62</v>
      </c>
      <c r="E2725" t="s">
        <v>35</v>
      </c>
      <c r="F2725" t="s">
        <v>502</v>
      </c>
      <c r="G2725" t="s">
        <v>490</v>
      </c>
      <c r="H2725" s="52" t="str">
        <f>VLOOKUP(Tabla3[[#This Row],[Site]],'Important Info!'!$A$1:$J$135,10,FALSE)</f>
        <v>https://tools.sig.systems/site/details/127</v>
      </c>
      <c r="I2725" t="s">
        <v>179</v>
      </c>
      <c r="J2725" t="s">
        <v>41</v>
      </c>
      <c r="K2725" s="79" t="str">
        <f>VLOOKUP(Tabla3[[#This Row],[Site]],'Important Info!'!$A$1:$H$135,8,FALSE)</f>
        <v>-</v>
      </c>
      <c r="L2725" s="52">
        <f>VLOOKUP(Tabla3[[#This Row],[Site]],'Important Info!'!$A$1:$F$135,2,FALSE)</f>
        <v>18</v>
      </c>
      <c r="M2725" s="52" t="str">
        <f>VLOOKUP(Tabla3[[#This Row],[Site]],'Important Info!'!$A$1:$F$135,3,FALSE)</f>
        <v>1, 3</v>
      </c>
      <c r="N2725" s="52" t="str">
        <f>VLOOKUP(Tabla3[[#This Row],[Site]],'Important Info!'!$A$1:$F$135,4,FALSE)</f>
        <v>-</v>
      </c>
      <c r="O2725" s="52" t="str">
        <f>VLOOKUP(Tabla3[[#This Row],[Site]],'Important Info!'!$A$1:$F$135,5,FALSE)</f>
        <v>6, 10, 13</v>
      </c>
      <c r="P2725" s="52" t="str">
        <f>VLOOKUP(Tabla3[[#This Row],[Site]],'Important Info!'!$A$1:$F$135,6,FALSE)</f>
        <v>1, 4, 5</v>
      </c>
      <c r="Q2725" s="91">
        <f>VLOOKUP(Tabla3[[#This Row],[Site]],'Important Info!'!$A$1:$J$135,9,FALSE)</f>
        <v>127</v>
      </c>
    </row>
    <row r="2726" spans="1:17" x14ac:dyDescent="0.25">
      <c r="A2726" t="str">
        <f>+Tabla3[[#This Row],[Site]]&amp;Tabla3[[#This Row],[Split]]</f>
        <v>(DT) El Cajon (NO TOURS)27</v>
      </c>
      <c r="B2726">
        <v>27</v>
      </c>
      <c r="C2726">
        <v>14</v>
      </c>
      <c r="D2726" t="s">
        <v>51</v>
      </c>
      <c r="E2726" t="s">
        <v>159</v>
      </c>
      <c r="F2726" t="s">
        <v>160</v>
      </c>
      <c r="G2726" t="s">
        <v>52</v>
      </c>
      <c r="H2726" s="52" t="str">
        <f>VLOOKUP(Tabla3[[#This Row],[Site]],'Important Info!'!$A$1:$J$135,10,FALSE)</f>
        <v>https://tools.sig.systems/site/details/241</v>
      </c>
      <c r="I2726" s="2"/>
      <c r="J2726" t="s">
        <v>41</v>
      </c>
      <c r="K2726" s="79" t="str">
        <f>VLOOKUP(Tabla3[[#This Row],[Site]],'Important Info!'!$A$1:$H$135,8,FALSE)</f>
        <v>-</v>
      </c>
      <c r="L2726" s="52" t="str">
        <f>VLOOKUP(Tabla3[[#This Row],[Site]],'Important Info!'!$A$1:$F$135,2,FALSE)</f>
        <v>-</v>
      </c>
      <c r="M2726" s="52">
        <f>VLOOKUP(Tabla3[[#This Row],[Site]],'Important Info!'!$A$1:$F$135,3,FALSE)</f>
        <v>3</v>
      </c>
      <c r="N2726" s="52" t="str">
        <f>VLOOKUP(Tabla3[[#This Row],[Site]],'Important Info!'!$A$1:$F$135,4,FALSE)</f>
        <v>-</v>
      </c>
      <c r="O2726" s="52" t="str">
        <f>VLOOKUP(Tabla3[[#This Row],[Site]],'Important Info!'!$A$1:$F$135,5,FALSE)</f>
        <v>-</v>
      </c>
      <c r="P2726" s="52" t="str">
        <f>VLOOKUP(Tabla3[[#This Row],[Site]],'Important Info!'!$A$1:$F$135,6,FALSE)</f>
        <v>-</v>
      </c>
      <c r="Q2726" s="91">
        <f>VLOOKUP(Tabla3[[#This Row],[Site]],'Important Info!'!$A$1:$J$135,9,FALSE)</f>
        <v>241</v>
      </c>
    </row>
    <row r="2727" spans="1:17" x14ac:dyDescent="0.25">
      <c r="A2727" t="str">
        <f>+Tabla3[[#This Row],[Site]]&amp;Tabla3[[#This Row],[Split]]</f>
        <v>(HUD) Nissan Greensboro27</v>
      </c>
      <c r="B2727">
        <v>27</v>
      </c>
      <c r="C2727">
        <v>14</v>
      </c>
      <c r="D2727" t="s">
        <v>62</v>
      </c>
      <c r="E2727" t="s">
        <v>35</v>
      </c>
      <c r="F2727" t="s">
        <v>66</v>
      </c>
      <c r="G2727" t="s">
        <v>490</v>
      </c>
      <c r="H2727" s="52" t="str">
        <f>VLOOKUP(Tabla3[[#This Row],[Site]],'Important Info!'!$A$1:$J$135,10,FALSE)</f>
        <v>https://tools.sig.systems/site/details/236</v>
      </c>
      <c r="I2727" s="43" t="s">
        <v>184</v>
      </c>
      <c r="J2727" t="s">
        <v>41</v>
      </c>
      <c r="K2727" s="79" t="str">
        <f>VLOOKUP(Tabla3[[#This Row],[Site]],'Important Info!'!$A$1:$H$135,8,FALSE)</f>
        <v>-</v>
      </c>
      <c r="L2727" s="52" t="str">
        <f>VLOOKUP(Tabla3[[#This Row],[Site]],'Important Info!'!$A$1:$F$135,2,FALSE)</f>
        <v>1, 5, 12</v>
      </c>
      <c r="M2727" s="52" t="str">
        <f>VLOOKUP(Tabla3[[#This Row],[Site]],'Important Info!'!$A$1:$F$135,3,FALSE)</f>
        <v>-</v>
      </c>
      <c r="N2727" s="52" t="str">
        <f>VLOOKUP(Tabla3[[#This Row],[Site]],'Important Info!'!$A$1:$F$135,4,FALSE)</f>
        <v>-</v>
      </c>
      <c r="O2727" s="52" t="str">
        <f>VLOOKUP(Tabla3[[#This Row],[Site]],'Important Info!'!$A$1:$F$135,5,FALSE)</f>
        <v>-</v>
      </c>
      <c r="P2727" s="52">
        <f>VLOOKUP(Tabla3[[#This Row],[Site]],'Important Info!'!$A$1:$F$135,6,FALSE)</f>
        <v>4</v>
      </c>
      <c r="Q2727" s="91">
        <f>VLOOKUP(Tabla3[[#This Row],[Site]],'Important Info!'!$A$1:$J$135,9,FALSE)</f>
        <v>236</v>
      </c>
    </row>
    <row r="2728" spans="1:17" x14ac:dyDescent="0.25">
      <c r="A2728" t="str">
        <f>+Tabla3[[#This Row],[Site]]&amp;Tabla3[[#This Row],[Split]]</f>
        <v>(KG) Truck Center Remote Storage Lot27</v>
      </c>
      <c r="B2728">
        <v>27</v>
      </c>
      <c r="C2728">
        <v>14</v>
      </c>
      <c r="D2728" t="s">
        <v>60</v>
      </c>
      <c r="E2728" t="s">
        <v>53</v>
      </c>
      <c r="F2728" t="s">
        <v>61</v>
      </c>
      <c r="G2728" t="s">
        <v>41</v>
      </c>
      <c r="H2728" s="52" t="str">
        <f>VLOOKUP(Tabla3[[#This Row],[Site]],'Important Info!'!$A$1:$J$135,10,FALSE)</f>
        <v>https://tools.sig.systems/site/details/144</v>
      </c>
      <c r="I2728" s="2"/>
      <c r="J2728" t="s">
        <v>41</v>
      </c>
      <c r="K2728" s="79" t="str">
        <f>VLOOKUP(Tabla3[[#This Row],[Site]],'Important Info!'!$A$1:$H$135,8,FALSE)</f>
        <v>-</v>
      </c>
      <c r="L2728" s="52" t="str">
        <f>VLOOKUP(Tabla3[[#This Row],[Site]],'Important Info!'!$A$1:$F$135,2,FALSE)</f>
        <v>4, A23, A49</v>
      </c>
      <c r="M2728" s="52" t="str">
        <f>VLOOKUP(Tabla3[[#This Row],[Site]],'Important Info!'!$A$1:$F$135,3,FALSE)</f>
        <v>5, 24</v>
      </c>
      <c r="N2728" s="52" t="str">
        <f>VLOOKUP(Tabla3[[#This Row],[Site]],'Important Info!'!$A$1:$F$135,4,FALSE)</f>
        <v>-</v>
      </c>
      <c r="O2728" s="52" t="str">
        <f>VLOOKUP(Tabla3[[#This Row],[Site]],'Important Info!'!$A$1:$F$135,5,FALSE)</f>
        <v>1, 7, 11, 15, 19, 24, 25</v>
      </c>
      <c r="P2728" s="52" t="str">
        <f>VLOOKUP(Tabla3[[#This Row],[Site]],'Important Info!'!$A$1:$F$135,6,FALSE)</f>
        <v>9, 20, 24, A49</v>
      </c>
      <c r="Q2728" s="91">
        <f>VLOOKUP(Tabla3[[#This Row],[Site]],'Important Info!'!$A$1:$J$135,9,FALSE)</f>
        <v>144</v>
      </c>
    </row>
    <row r="2729" spans="1:17" x14ac:dyDescent="0.25">
      <c r="A2729" t="str">
        <f>+Tabla3[[#This Row],[Site]]&amp;Tabla3[[#This Row],[Split]]</f>
        <v>(ML) McLarty-Gray Daniels Chevrolet27</v>
      </c>
      <c r="B2729">
        <v>27</v>
      </c>
      <c r="C2729">
        <v>14</v>
      </c>
      <c r="D2729" t="s">
        <v>33</v>
      </c>
      <c r="E2729" t="s">
        <v>46</v>
      </c>
      <c r="F2729" t="s">
        <v>151</v>
      </c>
      <c r="G2729" t="s">
        <v>34</v>
      </c>
      <c r="H2729" s="52" t="str">
        <f>VLOOKUP(Tabla3[[#This Row],[Site]],'Important Info!'!$A$1:$J$135,10,FALSE)</f>
        <v>https://tools.sig.systems/site/details/150</v>
      </c>
      <c r="I2729" s="43"/>
      <c r="J2729" t="s">
        <v>41</v>
      </c>
      <c r="K2729" s="79" t="str">
        <f>VLOOKUP(Tabla3[[#This Row],[Site]],'Important Info!'!$A$1:$H$135,8,FALSE)</f>
        <v>-</v>
      </c>
      <c r="L2729" s="52" t="str">
        <f>VLOOKUP(Tabla3[[#This Row],[Site]],'Important Info!'!$A$1:$F$135,2,FALSE)</f>
        <v>3, 4, 5, 22, 24, 26, 28, 36</v>
      </c>
      <c r="M2729" s="52" t="str">
        <f>VLOOKUP(Tabla3[[#This Row],[Site]],'Important Info!'!$A$1:$F$135,3,FALSE)</f>
        <v>-</v>
      </c>
      <c r="N2729" s="52" t="str">
        <f>VLOOKUP(Tabla3[[#This Row],[Site]],'Important Info!'!$A$1:$F$135,4,FALSE)</f>
        <v>-</v>
      </c>
      <c r="O2729" s="52" t="str">
        <f>VLOOKUP(Tabla3[[#This Row],[Site]],'Important Info!'!$A$1:$F$135,5,FALSE)</f>
        <v>4, 7, 12, 26</v>
      </c>
      <c r="P2729" s="52" t="str">
        <f>VLOOKUP(Tabla3[[#This Row],[Site]],'Important Info!'!$A$1:$F$135,6,FALSE)</f>
        <v>1, 3, 5, 6, 23, 24</v>
      </c>
      <c r="Q2729" s="91">
        <f>VLOOKUP(Tabla3[[#This Row],[Site]],'Important Info!'!$A$1:$J$135,9,FALSE)</f>
        <v>150</v>
      </c>
    </row>
    <row r="2730" spans="1:17" x14ac:dyDescent="0.25">
      <c r="A2730" t="str">
        <f>+Tabla3[[#This Row],[Site]]&amp;Tabla3[[#This Row],[Split]]</f>
        <v>(AS) Lexus Plano I &amp; II (NO TOURS)27</v>
      </c>
      <c r="B2730">
        <v>27</v>
      </c>
      <c r="C2730">
        <v>15</v>
      </c>
      <c r="D2730" t="s">
        <v>33</v>
      </c>
      <c r="E2730" t="s">
        <v>46</v>
      </c>
      <c r="F2730" t="s">
        <v>524</v>
      </c>
      <c r="G2730" t="s">
        <v>34</v>
      </c>
      <c r="H2730" s="52" t="str">
        <f>VLOOKUP(Tabla3[[#This Row],[Site]],'Important Info!'!$A$1:$J$135,10,FALSE)</f>
        <v>https://tools.sig.systems/site/details/167</v>
      </c>
      <c r="I2730" s="63" t="s">
        <v>127</v>
      </c>
      <c r="J2730" t="s">
        <v>41</v>
      </c>
      <c r="K2730" s="79" t="str">
        <f>VLOOKUP(Tabla3[[#This Row],[Site]],'Important Info!'!$A$1:$H$135,8,FALSE)</f>
        <v>-</v>
      </c>
      <c r="L2730" s="52" t="str">
        <f>VLOOKUP(Tabla3[[#This Row],[Site]],'Important Info!'!$A$1:$F$135,2,FALSE)</f>
        <v>5, 9</v>
      </c>
      <c r="M2730" s="52" t="str">
        <f>VLOOKUP(Tabla3[[#This Row],[Site]],'Important Info!'!$A$1:$F$135,3,FALSE)</f>
        <v>-</v>
      </c>
      <c r="N2730" s="52" t="str">
        <f>VLOOKUP(Tabla3[[#This Row],[Site]],'Important Info!'!$A$1:$F$135,4,FALSE)</f>
        <v>101, 102, 103, 104</v>
      </c>
      <c r="O2730" s="52" t="str">
        <f>VLOOKUP(Tabla3[[#This Row],[Site]],'Important Info!'!$A$1:$F$135,5,FALSE)</f>
        <v>4, 10, 28</v>
      </c>
      <c r="P2730" s="52" t="str">
        <f>VLOOKUP(Tabla3[[#This Row],[Site]],'Important Info!'!$A$1:$F$135,6,FALSE)</f>
        <v>5, 9, 16</v>
      </c>
      <c r="Q2730" s="91">
        <f>VLOOKUP(Tabla3[[#This Row],[Site]],'Important Info!'!$A$1:$J$135,9,FALSE)</f>
        <v>167</v>
      </c>
    </row>
    <row r="2731" spans="1:17" x14ac:dyDescent="0.25">
      <c r="A2731" t="str">
        <f>+Tabla3[[#This Row],[Site]]&amp;Tabla3[[#This Row],[Split]]</f>
        <v>(AS) Stevinson JLR (NO TOURS)27</v>
      </c>
      <c r="B2731">
        <v>27</v>
      </c>
      <c r="C2731">
        <v>15</v>
      </c>
      <c r="D2731" t="s">
        <v>44</v>
      </c>
      <c r="E2731" t="s">
        <v>53</v>
      </c>
      <c r="F2731" t="s">
        <v>93</v>
      </c>
      <c r="G2731" t="s">
        <v>45</v>
      </c>
      <c r="H2731" s="52" t="str">
        <f>VLOOKUP(Tabla3[[#This Row],[Site]],'Important Info!'!$A$1:$J$135,10,FALSE)</f>
        <v>https://tools.sig.systems/site/details/204</v>
      </c>
      <c r="I2731" s="43"/>
      <c r="J2731" t="s">
        <v>41</v>
      </c>
      <c r="K2731" s="79" t="str">
        <f>VLOOKUP(Tabla3[[#This Row],[Site]],'Important Info!'!$A$1:$H$135,8,FALSE)</f>
        <v>-</v>
      </c>
      <c r="L2731" s="52">
        <f>VLOOKUP(Tabla3[[#This Row],[Site]],'Important Info!'!$A$1:$F$135,2,FALSE)</f>
        <v>5</v>
      </c>
      <c r="M2731" s="52">
        <f>VLOOKUP(Tabla3[[#This Row],[Site]],'Important Info!'!$A$1:$F$135,3,FALSE)</f>
        <v>4</v>
      </c>
      <c r="N2731" s="52" t="str">
        <f>VLOOKUP(Tabla3[[#This Row],[Site]],'Important Info!'!$A$1:$F$135,4,FALSE)</f>
        <v>-</v>
      </c>
      <c r="O2731" s="52">
        <f>VLOOKUP(Tabla3[[#This Row],[Site]],'Important Info!'!$A$1:$F$135,5,FALSE)</f>
        <v>3</v>
      </c>
      <c r="P2731" s="52" t="str">
        <f>VLOOKUP(Tabla3[[#This Row],[Site]],'Important Info!'!$A$1:$F$135,6,FALSE)</f>
        <v>1, 4, 15, 16</v>
      </c>
      <c r="Q2731" s="91">
        <f>VLOOKUP(Tabla3[[#This Row],[Site]],'Important Info!'!$A$1:$J$135,9,FALSE)</f>
        <v>204</v>
      </c>
    </row>
    <row r="2732" spans="1:17" x14ac:dyDescent="0.25">
      <c r="A2732" t="str">
        <f>+Tabla3[[#This Row],[Site]]&amp;Tabla3[[#This Row],[Split]]</f>
        <v>(HUD) CDJR of Greensboro27</v>
      </c>
      <c r="B2732">
        <v>27</v>
      </c>
      <c r="C2732">
        <v>15</v>
      </c>
      <c r="D2732" t="s">
        <v>62</v>
      </c>
      <c r="E2732" t="s">
        <v>35</v>
      </c>
      <c r="F2732" t="s">
        <v>185</v>
      </c>
      <c r="G2732" t="s">
        <v>491</v>
      </c>
      <c r="H2732" s="52" t="str">
        <f>VLOOKUP(Tabla3[[#This Row],[Site]],'Important Info!'!$A$1:$J$135,10,FALSE)</f>
        <v>https://tools.sig.systems/site/details/215</v>
      </c>
      <c r="I2732" s="2" t="s">
        <v>184</v>
      </c>
      <c r="J2732" t="s">
        <v>36</v>
      </c>
      <c r="K2732" s="79" t="str">
        <f>VLOOKUP(Tabla3[[#This Row],[Site]],'Important Info!'!$A$1:$H$135,8,FALSE)</f>
        <v>-</v>
      </c>
      <c r="L2732" s="52" t="str">
        <f>VLOOKUP(Tabla3[[#This Row],[Site]],'Important Info!'!$A$1:$F$135,2,FALSE)</f>
        <v>2, 12</v>
      </c>
      <c r="M2732" s="52" t="str">
        <f>VLOOKUP(Tabla3[[#This Row],[Site]],'Important Info!'!$A$1:$F$135,3,FALSE)</f>
        <v>-</v>
      </c>
      <c r="N2732" s="52" t="str">
        <f>VLOOKUP(Tabla3[[#This Row],[Site]],'Important Info!'!$A$1:$F$135,4,FALSE)</f>
        <v>-</v>
      </c>
      <c r="O2732" s="52" t="str">
        <f>VLOOKUP(Tabla3[[#This Row],[Site]],'Important Info!'!$A$1:$F$135,5,FALSE)</f>
        <v>3, 13</v>
      </c>
      <c r="P2732" s="52" t="str">
        <f>VLOOKUP(Tabla3[[#This Row],[Site]],'Important Info!'!$A$1:$F$135,6,FALSE)</f>
        <v>1, 17</v>
      </c>
      <c r="Q2732" s="91">
        <f>VLOOKUP(Tabla3[[#This Row],[Site]],'Important Info!'!$A$1:$J$135,9,FALSE)</f>
        <v>215</v>
      </c>
    </row>
    <row r="2733" spans="1:17" x14ac:dyDescent="0.25">
      <c r="A2733" t="str">
        <f>+Tabla3[[#This Row],[Site]]&amp;Tabla3[[#This Row],[Split]]</f>
        <v>(AS) Coggin Acura Ft Pierce (NO TOURS)27</v>
      </c>
      <c r="B2733">
        <v>27</v>
      </c>
      <c r="C2733">
        <v>16</v>
      </c>
      <c r="D2733" t="s">
        <v>62</v>
      </c>
      <c r="E2733" t="s">
        <v>35</v>
      </c>
      <c r="F2733" t="s">
        <v>500</v>
      </c>
      <c r="G2733" t="s">
        <v>490</v>
      </c>
      <c r="H2733" s="52" t="str">
        <f>VLOOKUP(Tabla3[[#This Row],[Site]],'Important Info!'!$A$1:$J$135,10,FALSE)</f>
        <v>https://tools.sig.systems/site/details/118</v>
      </c>
      <c r="I2733" s="2" t="s">
        <v>179</v>
      </c>
      <c r="J2733" t="s">
        <v>41</v>
      </c>
      <c r="K2733" s="79" t="str">
        <f>VLOOKUP(Tabla3[[#This Row],[Site]],'Important Info!'!$A$1:$H$135,8,FALSE)</f>
        <v>-</v>
      </c>
      <c r="L2733" s="52" t="str">
        <f>VLOOKUP(Tabla3[[#This Row],[Site]],'Important Info!'!$A$1:$F$135,2,FALSE)</f>
        <v>-</v>
      </c>
      <c r="M2733" s="52">
        <f>VLOOKUP(Tabla3[[#This Row],[Site]],'Important Info!'!$A$1:$F$135,3,FALSE)</f>
        <v>6</v>
      </c>
      <c r="N2733" s="52" t="str">
        <f>VLOOKUP(Tabla3[[#This Row],[Site]],'Important Info!'!$A$1:$F$135,4,FALSE)</f>
        <v>-</v>
      </c>
      <c r="O2733" s="52" t="str">
        <f>VLOOKUP(Tabla3[[#This Row],[Site]],'Important Info!'!$A$1:$F$135,5,FALSE)</f>
        <v>4, 6</v>
      </c>
      <c r="P2733" s="52">
        <f>VLOOKUP(Tabla3[[#This Row],[Site]],'Important Info!'!$A$1:$F$135,6,FALSE)</f>
        <v>1</v>
      </c>
      <c r="Q2733" s="91">
        <f>VLOOKUP(Tabla3[[#This Row],[Site]],'Important Info!'!$A$1:$J$135,9,FALSE)</f>
        <v>118</v>
      </c>
    </row>
    <row r="2734" spans="1:17" x14ac:dyDescent="0.25">
      <c r="A2734" t="str">
        <f>+Tabla3[[#This Row],[Site]]&amp;Tabla3[[#This Row],[Split]]</f>
        <v>(AS) Park Place Acura (NO TOURS)27</v>
      </c>
      <c r="B2734">
        <v>27</v>
      </c>
      <c r="C2734">
        <v>16</v>
      </c>
      <c r="D2734" t="s">
        <v>33</v>
      </c>
      <c r="E2734" t="s">
        <v>46</v>
      </c>
      <c r="F2734" t="s">
        <v>513</v>
      </c>
      <c r="G2734" t="s">
        <v>34</v>
      </c>
      <c r="H2734" s="52" t="str">
        <f>VLOOKUP(Tabla3[[#This Row],[Site]],'Important Info!'!$A$1:$J$135,10,FALSE)</f>
        <v>https://tools.sig.systems/site/details/259</v>
      </c>
      <c r="I2734" s="63" t="s">
        <v>127</v>
      </c>
      <c r="J2734" t="s">
        <v>41</v>
      </c>
      <c r="K2734" s="79" t="str">
        <f>VLOOKUP(Tabla3[[#This Row],[Site]],'Important Info!'!$A$1:$H$135,8,FALSE)</f>
        <v>-</v>
      </c>
      <c r="L2734" s="52" t="str">
        <f>VLOOKUP(Tabla3[[#This Row],[Site]],'Important Info!'!$A$1:$F$135,2,FALSE)</f>
        <v>1, 2, 14, 16</v>
      </c>
      <c r="M2734" s="52" t="str">
        <f>VLOOKUP(Tabla3[[#This Row],[Site]],'Important Info!'!$A$1:$F$135,3,FALSE)</f>
        <v>-</v>
      </c>
      <c r="N2734" s="52" t="str">
        <f>VLOOKUP(Tabla3[[#This Row],[Site]],'Important Info!'!$A$1:$F$135,4,FALSE)</f>
        <v>-</v>
      </c>
      <c r="O2734" s="52" t="str">
        <f>VLOOKUP(Tabla3[[#This Row],[Site]],'Important Info!'!$A$1:$F$135,5,FALSE)</f>
        <v>1, 7, 13</v>
      </c>
      <c r="P2734" s="52" t="str">
        <f>VLOOKUP(Tabla3[[#This Row],[Site]],'Important Info!'!$A$1:$F$135,6,FALSE)</f>
        <v>-</v>
      </c>
      <c r="Q2734" s="91">
        <f>VLOOKUP(Tabla3[[#This Row],[Site]],'Important Info!'!$A$1:$J$135,9,FALSE)</f>
        <v>259</v>
      </c>
    </row>
    <row r="2735" spans="1:17" x14ac:dyDescent="0.25">
      <c r="A2735" t="str">
        <f>+Tabla3[[#This Row],[Site]]&amp;Tabla3[[#This Row],[Split]]</f>
        <v>(ML) Honda of Little Rock27</v>
      </c>
      <c r="B2735">
        <v>27</v>
      </c>
      <c r="C2735">
        <v>16</v>
      </c>
      <c r="D2735" t="s">
        <v>33</v>
      </c>
      <c r="E2735" t="s">
        <v>46</v>
      </c>
      <c r="F2735" t="s">
        <v>71</v>
      </c>
      <c r="G2735" t="s">
        <v>34</v>
      </c>
      <c r="H2735" s="52" t="str">
        <f>VLOOKUP(Tabla3[[#This Row],[Site]],'Important Info!'!$A$1:$J$135,10,FALSE)</f>
        <v>https://tools.sig.systems/site/details/249</v>
      </c>
      <c r="I2735" s="2" t="s">
        <v>140</v>
      </c>
      <c r="J2735" t="s">
        <v>41</v>
      </c>
      <c r="K2735" s="79" t="str">
        <f>VLOOKUP(Tabla3[[#This Row],[Site]],'Important Info!'!$A$1:$H$135,8,FALSE)</f>
        <v>-</v>
      </c>
      <c r="L2735" s="52" t="str">
        <f>VLOOKUP(Tabla3[[#This Row],[Site]],'Important Info!'!$A$1:$F$135,2,FALSE)</f>
        <v>1, 4, 9, 14, 21</v>
      </c>
      <c r="M2735" s="52" t="str">
        <f>VLOOKUP(Tabla3[[#This Row],[Site]],'Important Info!'!$A$1:$F$135,3,FALSE)</f>
        <v>-</v>
      </c>
      <c r="N2735" s="52" t="str">
        <f>VLOOKUP(Tabla3[[#This Row],[Site]],'Important Info!'!$A$1:$F$135,4,FALSE)</f>
        <v>-</v>
      </c>
      <c r="O2735" s="52" t="str">
        <f>VLOOKUP(Tabla3[[#This Row],[Site]],'Important Info!'!$A$1:$F$135,5,FALSE)</f>
        <v>4, 14, 21</v>
      </c>
      <c r="P2735" s="52" t="str">
        <f>VLOOKUP(Tabla3[[#This Row],[Site]],'Important Info!'!$A$1:$F$135,6,FALSE)</f>
        <v>11, 12</v>
      </c>
      <c r="Q2735" s="91">
        <f>VLOOKUP(Tabla3[[#This Row],[Site]],'Important Info!'!$A$1:$J$135,9,FALSE)</f>
        <v>249</v>
      </c>
    </row>
    <row r="2736" spans="1:17" x14ac:dyDescent="0.25">
      <c r="A2736" t="str">
        <f>+Tabla3[[#This Row],[Site]]&amp;Tabla3[[#This Row],[Split]]</f>
        <v>(ML) McLarty Gray-Daniels Toyota Nissan27</v>
      </c>
      <c r="B2736">
        <v>27</v>
      </c>
      <c r="C2736">
        <v>16</v>
      </c>
      <c r="D2736" t="s">
        <v>33</v>
      </c>
      <c r="E2736" t="s">
        <v>46</v>
      </c>
      <c r="F2736" t="s">
        <v>90</v>
      </c>
      <c r="G2736" t="s">
        <v>34</v>
      </c>
      <c r="H2736" s="52" t="str">
        <f>VLOOKUP(Tabla3[[#This Row],[Site]],'Important Info!'!$A$1:$J$135,10,FALSE)</f>
        <v>https://tools.sig.systems/site/details/152</v>
      </c>
      <c r="I2736" s="2" t="s">
        <v>150</v>
      </c>
      <c r="J2736" t="s">
        <v>41</v>
      </c>
      <c r="K2736" s="79" t="str">
        <f>VLOOKUP(Tabla3[[#This Row],[Site]],'Important Info!'!$A$1:$H$135,8,FALSE)</f>
        <v>-</v>
      </c>
      <c r="L2736" s="52" t="str">
        <f>VLOOKUP(Tabla3[[#This Row],[Site]],'Important Info!'!$A$1:$F$135,2,FALSE)</f>
        <v>-</v>
      </c>
      <c r="M2736" s="52" t="str">
        <f>VLOOKUP(Tabla3[[#This Row],[Site]],'Important Info!'!$A$1:$F$135,3,FALSE)</f>
        <v>8, 11, 39, 43</v>
      </c>
      <c r="N2736" s="52" t="str">
        <f>VLOOKUP(Tabla3[[#This Row],[Site]],'Important Info!'!$A$1:$F$135,4,FALSE)</f>
        <v>-</v>
      </c>
      <c r="O2736" s="52" t="str">
        <f>VLOOKUP(Tabla3[[#This Row],[Site]],'Important Info!'!$A$1:$F$135,5,FALSE)</f>
        <v>6, 11, 15, 18</v>
      </c>
      <c r="P2736" s="52" t="str">
        <f>VLOOKUP(Tabla3[[#This Row],[Site]],'Important Info!'!$A$1:$F$135,6,FALSE)</f>
        <v>7, 8, 9</v>
      </c>
      <c r="Q2736" s="91">
        <f>VLOOKUP(Tabla3[[#This Row],[Site]],'Important Info!'!$A$1:$J$135,9,FALSE)</f>
        <v>152</v>
      </c>
    </row>
    <row r="2737" spans="1:17" x14ac:dyDescent="0.25">
      <c r="A2737" t="str">
        <f>+Tabla3[[#This Row],[Site]]&amp;Tabla3[[#This Row],[Split]]</f>
        <v>(AS) Audi of North Atlanta (NO TOURS)27</v>
      </c>
      <c r="B2737">
        <v>27</v>
      </c>
      <c r="C2737">
        <v>17</v>
      </c>
      <c r="D2737" t="s">
        <v>62</v>
      </c>
      <c r="E2737" t="s">
        <v>35</v>
      </c>
      <c r="F2737" t="s">
        <v>499</v>
      </c>
      <c r="G2737" t="s">
        <v>490</v>
      </c>
      <c r="H2737" s="52" t="str">
        <f>VLOOKUP(Tabla3[[#This Row],[Site]],'Important Info!'!$A$1:$J$135,10,FALSE)</f>
        <v>https://tools.sig.systems/site/details/124</v>
      </c>
      <c r="I2737" s="2" t="s">
        <v>166</v>
      </c>
      <c r="J2737" t="s">
        <v>41</v>
      </c>
      <c r="K2737" s="79" t="str">
        <f>VLOOKUP(Tabla3[[#This Row],[Site]],'Important Info!'!$A$1:$H$135,8,FALSE)</f>
        <v>-</v>
      </c>
      <c r="L2737" s="52" t="str">
        <f>VLOOKUP(Tabla3[[#This Row],[Site]],'Important Info!'!$A$1:$F$135,2,FALSE)</f>
        <v>1, 5, 16, 54</v>
      </c>
      <c r="M2737" s="52" t="str">
        <f>VLOOKUP(Tabla3[[#This Row],[Site]],'Important Info!'!$A$1:$F$135,3,FALSE)</f>
        <v>-</v>
      </c>
      <c r="N2737" s="52" t="str">
        <f>VLOOKUP(Tabla3[[#This Row],[Site]],'Important Info!'!$A$1:$F$135,4,FALSE)</f>
        <v>-</v>
      </c>
      <c r="O2737" s="52" t="str">
        <f>VLOOKUP(Tabla3[[#This Row],[Site]],'Important Info!'!$A$1:$F$135,5,FALSE)</f>
        <v>3, 16</v>
      </c>
      <c r="P2737" s="52" t="str">
        <f>VLOOKUP(Tabla3[[#This Row],[Site]],'Important Info!'!$A$1:$F$135,6,FALSE)</f>
        <v>2, 5, 6</v>
      </c>
      <c r="Q2737" s="91">
        <f>VLOOKUP(Tabla3[[#This Row],[Site]],'Important Info!'!$A$1:$J$135,9,FALSE)</f>
        <v>124</v>
      </c>
    </row>
    <row r="2738" spans="1:17" x14ac:dyDescent="0.25">
      <c r="A2738" t="str">
        <f>+Tabla3[[#This Row],[Site]]&amp;Tabla3[[#This Row],[Split]]</f>
        <v>(HUD) Paint and Body Center (NO TOURS)27</v>
      </c>
      <c r="B2738">
        <v>27</v>
      </c>
      <c r="C2738">
        <v>17</v>
      </c>
      <c r="D2738" t="s">
        <v>62</v>
      </c>
      <c r="E2738" t="s">
        <v>35</v>
      </c>
      <c r="F2738" t="s">
        <v>110</v>
      </c>
      <c r="G2738" t="s">
        <v>490</v>
      </c>
      <c r="H2738" s="52" t="str">
        <f>VLOOKUP(Tabla3[[#This Row],[Site]],'Important Info!'!$A$1:$J$135,10,FALSE)</f>
        <v>https://tools.sig.systems/site/details/256</v>
      </c>
      <c r="I2738" t="s">
        <v>184</v>
      </c>
      <c r="J2738" t="s">
        <v>41</v>
      </c>
      <c r="K2738" s="79" t="str">
        <f>VLOOKUP(Tabla3[[#This Row],[Site]],'Important Info!'!$A$1:$H$135,8,FALSE)</f>
        <v>-</v>
      </c>
      <c r="L2738" s="52" t="str">
        <f>VLOOKUP(Tabla3[[#This Row],[Site]],'Important Info!'!$A$1:$F$135,2,FALSE)</f>
        <v>-</v>
      </c>
      <c r="M2738" s="52">
        <f>VLOOKUP(Tabla3[[#This Row],[Site]],'Important Info!'!$A$1:$F$135,3,FALSE)</f>
        <v>1</v>
      </c>
      <c r="N2738" s="52" t="str">
        <f>VLOOKUP(Tabla3[[#This Row],[Site]],'Important Info!'!$A$1:$F$135,4,FALSE)</f>
        <v>-</v>
      </c>
      <c r="O2738" s="52" t="str">
        <f>VLOOKUP(Tabla3[[#This Row],[Site]],'Important Info!'!$A$1:$F$135,5,FALSE)</f>
        <v>-</v>
      </c>
      <c r="P2738" s="52" t="str">
        <f>VLOOKUP(Tabla3[[#This Row],[Site]],'Important Info!'!$A$1:$F$135,6,FALSE)</f>
        <v>-</v>
      </c>
      <c r="Q2738" s="91">
        <f>VLOOKUP(Tabla3[[#This Row],[Site]],'Important Info!'!$A$1:$J$135,9,FALSE)</f>
        <v>256</v>
      </c>
    </row>
    <row r="2739" spans="1:17" x14ac:dyDescent="0.25">
      <c r="A2739" t="str">
        <f>+Tabla3[[#This Row],[Site]]&amp;Tabla3[[#This Row],[Split]]</f>
        <v>(ML) McLarty Gray-Daniels Ford Lincoln27</v>
      </c>
      <c r="B2739">
        <v>27</v>
      </c>
      <c r="C2739">
        <v>17</v>
      </c>
      <c r="D2739" t="s">
        <v>33</v>
      </c>
      <c r="E2739" t="s">
        <v>46</v>
      </c>
      <c r="F2739" t="s">
        <v>89</v>
      </c>
      <c r="G2739" t="s">
        <v>34</v>
      </c>
      <c r="H2739" s="52" t="str">
        <f>VLOOKUP(Tabla3[[#This Row],[Site]],'Important Info!'!$A$1:$J$135,10,FALSE)</f>
        <v>https://tools.sig.systems/site/details/151</v>
      </c>
      <c r="I2739" s="43" t="s">
        <v>150</v>
      </c>
      <c r="J2739" t="s">
        <v>41</v>
      </c>
      <c r="K2739" s="79" t="str">
        <f>VLOOKUP(Tabla3[[#This Row],[Site]],'Important Info!'!$A$1:$H$135,8,FALSE)</f>
        <v>-</v>
      </c>
      <c r="L2739" s="52">
        <f>VLOOKUP(Tabla3[[#This Row],[Site]],'Important Info!'!$A$1:$F$135,2,FALSE)</f>
        <v>16</v>
      </c>
      <c r="M2739" s="52" t="str">
        <f>VLOOKUP(Tabla3[[#This Row],[Site]],'Important Info!'!$A$1:$F$135,3,FALSE)</f>
        <v>5, 10, 36, 38, 54, 58B</v>
      </c>
      <c r="N2739" s="52" t="str">
        <f>VLOOKUP(Tabla3[[#This Row],[Site]],'Important Info!'!$A$1:$F$135,4,FALSE)</f>
        <v>-</v>
      </c>
      <c r="O2739" s="52" t="str">
        <f>VLOOKUP(Tabla3[[#This Row],[Site]],'Important Info!'!$A$1:$F$135,5,FALSE)</f>
        <v>5, 17, 37</v>
      </c>
      <c r="P2739" s="52" t="str">
        <f>VLOOKUP(Tabla3[[#This Row],[Site]],'Important Info!'!$A$1:$F$135,6,FALSE)</f>
        <v>1, 2, 3, 4</v>
      </c>
      <c r="Q2739" s="91">
        <f>VLOOKUP(Tabla3[[#This Row],[Site]],'Important Info!'!$A$1:$J$135,9,FALSE)</f>
        <v>151</v>
      </c>
    </row>
    <row r="2740" spans="1:17" x14ac:dyDescent="0.25">
      <c r="A2740" t="str">
        <f>+Tabla3[[#This Row],[Site]]&amp;Tabla3[[#This Row],[Split]]</f>
        <v>(ML) Nissan of Little Rock27</v>
      </c>
      <c r="B2740">
        <v>27</v>
      </c>
      <c r="C2740">
        <v>17</v>
      </c>
      <c r="D2740" t="s">
        <v>33</v>
      </c>
      <c r="E2740" t="s">
        <v>46</v>
      </c>
      <c r="F2740" t="s">
        <v>152</v>
      </c>
      <c r="G2740" t="s">
        <v>34</v>
      </c>
      <c r="H2740" s="52" t="str">
        <f>VLOOKUP(Tabla3[[#This Row],[Site]],'Important Info!'!$A$1:$J$135,10,FALSE)</f>
        <v>https://tools.sig.systems/site/details/224</v>
      </c>
      <c r="I2740" t="s">
        <v>140</v>
      </c>
      <c r="J2740" t="s">
        <v>41</v>
      </c>
      <c r="K2740" s="79" t="str">
        <f>VLOOKUP(Tabla3[[#This Row],[Site]],'Important Info!'!$A$1:$H$135,8,FALSE)</f>
        <v>-</v>
      </c>
      <c r="L2740" s="52" t="str">
        <f>VLOOKUP(Tabla3[[#This Row],[Site]],'Important Info!'!$A$1:$F$135,2,FALSE)</f>
        <v>3, 6</v>
      </c>
      <c r="M2740" s="52" t="str">
        <f>VLOOKUP(Tabla3[[#This Row],[Site]],'Important Info!'!$A$1:$F$135,3,FALSE)</f>
        <v>-</v>
      </c>
      <c r="N2740" s="52" t="str">
        <f>VLOOKUP(Tabla3[[#This Row],[Site]],'Important Info!'!$A$1:$F$135,4,FALSE)</f>
        <v>-</v>
      </c>
      <c r="O2740" s="52" t="str">
        <f>VLOOKUP(Tabla3[[#This Row],[Site]],'Important Info!'!$A$1:$F$135,5,FALSE)</f>
        <v>1, 8, 16, 22</v>
      </c>
      <c r="P2740" s="52" t="str">
        <f>VLOOKUP(Tabla3[[#This Row],[Site]],'Important Info!'!$A$1:$F$135,6,FALSE)</f>
        <v>3, 4</v>
      </c>
      <c r="Q2740" s="91">
        <f>VLOOKUP(Tabla3[[#This Row],[Site]],'Important Info!'!$A$1:$J$135,9,FALSE)</f>
        <v>224</v>
      </c>
    </row>
    <row r="2741" spans="1:17" x14ac:dyDescent="0.25">
      <c r="A2741" t="str">
        <f>+Tabla3[[#This Row],[Site]]&amp;Tabla3[[#This Row],[Split]]</f>
        <v>(ML) Nissan of North Little Rock27</v>
      </c>
      <c r="B2741">
        <v>27</v>
      </c>
      <c r="C2741">
        <v>17</v>
      </c>
      <c r="D2741" t="s">
        <v>33</v>
      </c>
      <c r="E2741" t="s">
        <v>46</v>
      </c>
      <c r="F2741" t="s">
        <v>75</v>
      </c>
      <c r="G2741" t="s">
        <v>34</v>
      </c>
      <c r="H2741" s="52" t="str">
        <f>VLOOKUP(Tabla3[[#This Row],[Site]],'Important Info!'!$A$1:$J$135,10,FALSE)</f>
        <v>https://tools.sig.systems/site/details/216</v>
      </c>
      <c r="I2741" s="43" t="s">
        <v>142</v>
      </c>
      <c r="J2741" t="s">
        <v>41</v>
      </c>
      <c r="K2741" s="79" t="str">
        <f>VLOOKUP(Tabla3[[#This Row],[Site]],'Important Info!'!$A$1:$H$135,8,FALSE)</f>
        <v>-</v>
      </c>
      <c r="L2741" s="52" t="str">
        <f>VLOOKUP(Tabla3[[#This Row],[Site]],'Important Info!'!$A$1:$F$135,2,FALSE)</f>
        <v>2, 4</v>
      </c>
      <c r="M2741" s="52" t="str">
        <f>VLOOKUP(Tabla3[[#This Row],[Site]],'Important Info!'!$A$1:$F$135,3,FALSE)</f>
        <v>-</v>
      </c>
      <c r="N2741" s="52" t="str">
        <f>VLOOKUP(Tabla3[[#This Row],[Site]],'Important Info!'!$A$1:$F$135,4,FALSE)</f>
        <v>-</v>
      </c>
      <c r="O2741" s="52" t="str">
        <f>VLOOKUP(Tabla3[[#This Row],[Site]],'Important Info!'!$A$1:$F$135,5,FALSE)</f>
        <v>5, 17, 23</v>
      </c>
      <c r="P2741" s="52">
        <f>VLOOKUP(Tabla3[[#This Row],[Site]],'Important Info!'!$A$1:$F$135,6,FALSE)</f>
        <v>18</v>
      </c>
      <c r="Q2741" s="91">
        <f>VLOOKUP(Tabla3[[#This Row],[Site]],'Important Info!'!$A$1:$J$135,9,FALSE)</f>
        <v>216</v>
      </c>
    </row>
    <row r="2742" spans="1:17" x14ac:dyDescent="0.25">
      <c r="A2742" t="str">
        <f>+Tabla3[[#This Row],[Site]]&amp;Tabla3[[#This Row],[Split]]</f>
        <v>(AS) Courtesy Kia of Brandon (NO TOURS)27</v>
      </c>
      <c r="B2742">
        <v>27</v>
      </c>
      <c r="C2742">
        <v>18</v>
      </c>
      <c r="D2742" t="s">
        <v>62</v>
      </c>
      <c r="E2742" t="s">
        <v>35</v>
      </c>
      <c r="F2742" t="s">
        <v>505</v>
      </c>
      <c r="G2742" t="s">
        <v>490</v>
      </c>
      <c r="H2742" s="52" t="str">
        <f>VLOOKUP(Tabla3[[#This Row],[Site]],'Important Info!'!$A$1:$J$135,10,FALSE)</f>
        <v>https://tools.sig.systems/site/details/121</v>
      </c>
      <c r="I2742" s="2" t="s">
        <v>181</v>
      </c>
      <c r="J2742" t="s">
        <v>484</v>
      </c>
      <c r="K2742" s="79" t="str">
        <f>VLOOKUP(Tabla3[[#This Row],[Site]],'Important Info!'!$A$1:$H$135,8,FALSE)</f>
        <v>-</v>
      </c>
      <c r="L2742" s="52" t="str">
        <f>VLOOKUP(Tabla3[[#This Row],[Site]],'Important Info!'!$A$1:$F$135,2,FALSE)</f>
        <v>-</v>
      </c>
      <c r="M2742" s="52" t="str">
        <f>VLOOKUP(Tabla3[[#This Row],[Site]],'Important Info!'!$A$1:$F$135,3,FALSE)</f>
        <v>4, 8</v>
      </c>
      <c r="N2742" s="52" t="str">
        <f>VLOOKUP(Tabla3[[#This Row],[Site]],'Important Info!'!$A$1:$F$135,4,FALSE)</f>
        <v>-</v>
      </c>
      <c r="O2742" s="52" t="str">
        <f>VLOOKUP(Tabla3[[#This Row],[Site]],'Important Info!'!$A$1:$F$135,5,FALSE)</f>
        <v>3, 11, 20, 24</v>
      </c>
      <c r="P2742" s="52" t="str">
        <f>VLOOKUP(Tabla3[[#This Row],[Site]],'Important Info!'!$A$1:$F$135,6,FALSE)</f>
        <v>2, 8</v>
      </c>
      <c r="Q2742" s="91">
        <f>VLOOKUP(Tabla3[[#This Row],[Site]],'Important Info!'!$A$1:$J$135,9,FALSE)</f>
        <v>121</v>
      </c>
    </row>
    <row r="2743" spans="1:17" x14ac:dyDescent="0.25">
      <c r="A2743" t="str">
        <f>+Tabla3[[#This Row],[Site]]&amp;Tabla3[[#This Row],[Split]]</f>
        <v>(AS) Nalley Luxury Collision Center (NO TOURS)27</v>
      </c>
      <c r="B2743">
        <v>27</v>
      </c>
      <c r="C2743">
        <v>18</v>
      </c>
      <c r="D2743" t="s">
        <v>62</v>
      </c>
      <c r="E2743" t="s">
        <v>35</v>
      </c>
      <c r="F2743" t="s">
        <v>512</v>
      </c>
      <c r="G2743" t="s">
        <v>490</v>
      </c>
      <c r="H2743" s="52" t="str">
        <f>VLOOKUP(Tabla3[[#This Row],[Site]],'Important Info!'!$A$1:$J$135,10,FALSE)</f>
        <v>https://tools.sig.systems/site/details/263</v>
      </c>
      <c r="I2743" s="43" t="s">
        <v>166</v>
      </c>
      <c r="J2743" t="s">
        <v>41</v>
      </c>
      <c r="K2743" s="79" t="str">
        <f>VLOOKUP(Tabla3[[#This Row],[Site]],'Important Info!'!$A$1:$H$135,8,FALSE)</f>
        <v>-</v>
      </c>
      <c r="L2743" s="52" t="str">
        <f>VLOOKUP(Tabla3[[#This Row],[Site]],'Important Info!'!$A$1:$F$135,2,FALSE)</f>
        <v>6, 13</v>
      </c>
      <c r="M2743" s="52" t="str">
        <f>VLOOKUP(Tabla3[[#This Row],[Site]],'Important Info!'!$A$1:$F$135,3,FALSE)</f>
        <v>-</v>
      </c>
      <c r="N2743" s="52" t="str">
        <f>VLOOKUP(Tabla3[[#This Row],[Site]],'Important Info!'!$A$1:$F$135,4,FALSE)</f>
        <v>-</v>
      </c>
      <c r="O2743" s="52" t="str">
        <f>VLOOKUP(Tabla3[[#This Row],[Site]],'Important Info!'!$A$1:$F$135,5,FALSE)</f>
        <v>-</v>
      </c>
      <c r="P2743" s="52" t="str">
        <f>VLOOKUP(Tabla3[[#This Row],[Site]],'Important Info!'!$A$1:$F$135,6,FALSE)</f>
        <v>6, 7, 12</v>
      </c>
      <c r="Q2743" s="91">
        <f>VLOOKUP(Tabla3[[#This Row],[Site]],'Important Info!'!$A$1:$J$135,9,FALSE)</f>
        <v>263</v>
      </c>
    </row>
    <row r="2744" spans="1:17" x14ac:dyDescent="0.25">
      <c r="A2744" t="str">
        <f>+Tabla3[[#This Row],[Site]]&amp;Tabla3[[#This Row],[Split]]</f>
        <v>(DT) N. Houston27</v>
      </c>
      <c r="B2744">
        <v>27</v>
      </c>
      <c r="C2744">
        <v>18</v>
      </c>
      <c r="D2744" t="s">
        <v>33</v>
      </c>
      <c r="E2744" t="s">
        <v>46</v>
      </c>
      <c r="F2744" t="s">
        <v>68</v>
      </c>
      <c r="G2744" t="s">
        <v>34</v>
      </c>
      <c r="H2744" s="52" t="str">
        <f>VLOOKUP(Tabla3[[#This Row],[Site]],'Important Info!'!$A$1:$J$135,10,FALSE)</f>
        <v>https://tools.sig.systems/site/details/250</v>
      </c>
      <c r="I2744" s="43"/>
      <c r="J2744" t="s">
        <v>41</v>
      </c>
      <c r="K2744" s="79" t="str">
        <f>VLOOKUP(Tabla3[[#This Row],[Site]],'Important Info!'!$A$1:$H$135,8,FALSE)</f>
        <v>-</v>
      </c>
      <c r="L2744" s="52" t="str">
        <f>VLOOKUP(Tabla3[[#This Row],[Site]],'Important Info!'!$A$1:$F$135,2,FALSE)</f>
        <v>2, 10, 18</v>
      </c>
      <c r="M2744" s="52" t="str">
        <f>VLOOKUP(Tabla3[[#This Row],[Site]],'Important Info!'!$A$1:$F$135,3,FALSE)</f>
        <v>-</v>
      </c>
      <c r="N2744" s="52" t="str">
        <f>VLOOKUP(Tabla3[[#This Row],[Site]],'Important Info!'!$A$1:$F$135,4,FALSE)</f>
        <v>-</v>
      </c>
      <c r="O2744" s="52">
        <f>VLOOKUP(Tabla3[[#This Row],[Site]],'Important Info!'!$A$1:$F$135,5,FALSE)</f>
        <v>15</v>
      </c>
      <c r="P2744" s="52" t="str">
        <f>VLOOKUP(Tabla3[[#This Row],[Site]],'Important Info!'!$A$1:$F$135,6,FALSE)</f>
        <v>2, 4, 18</v>
      </c>
      <c r="Q2744" s="91">
        <f>VLOOKUP(Tabla3[[#This Row],[Site]],'Important Info!'!$A$1:$J$135,9,FALSE)</f>
        <v>250</v>
      </c>
    </row>
    <row r="2745" spans="1:17" x14ac:dyDescent="0.25">
      <c r="A2745" t="str">
        <f>+Tabla3[[#This Row],[Site]]&amp;Tabla3[[#This Row],[Split]]</f>
        <v>(KG) JLR LEHI (NO TOURS)27</v>
      </c>
      <c r="B2745">
        <v>27</v>
      </c>
      <c r="C2745">
        <v>18</v>
      </c>
      <c r="D2745" t="s">
        <v>44</v>
      </c>
      <c r="E2745" t="s">
        <v>53</v>
      </c>
      <c r="F2745" t="s">
        <v>8</v>
      </c>
      <c r="G2745" t="s">
        <v>45</v>
      </c>
      <c r="H2745" s="52" t="str">
        <f>VLOOKUP(Tabla3[[#This Row],[Site]],'Important Info!'!$A$1:$J$135,10,FALSE)</f>
        <v>https://tools.sig.systems/site/details/145</v>
      </c>
      <c r="I2745" s="2"/>
      <c r="J2745" t="s">
        <v>41</v>
      </c>
      <c r="K2745" s="79" t="str">
        <f>VLOOKUP(Tabla3[[#This Row],[Site]],'Important Info!'!$A$1:$H$135,8,FALSE)</f>
        <v>-</v>
      </c>
      <c r="L2745" s="52" t="str">
        <f>VLOOKUP(Tabla3[[#This Row],[Site]],'Important Info!'!$A$1:$F$135,2,FALSE)</f>
        <v>1, 11</v>
      </c>
      <c r="M2745" s="52" t="str">
        <f>VLOOKUP(Tabla3[[#This Row],[Site]],'Important Info!'!$A$1:$F$135,3,FALSE)</f>
        <v>-</v>
      </c>
      <c r="N2745" s="52" t="str">
        <f>VLOOKUP(Tabla3[[#This Row],[Site]],'Important Info!'!$A$1:$F$135,4,FALSE)</f>
        <v>-</v>
      </c>
      <c r="O2745" s="52" t="str">
        <f>VLOOKUP(Tabla3[[#This Row],[Site]],'Important Info!'!$A$1:$F$135,5,FALSE)</f>
        <v>1, 7, 11</v>
      </c>
      <c r="P2745" s="52" t="str">
        <f>VLOOKUP(Tabla3[[#This Row],[Site]],'Important Info!'!$A$1:$F$135,6,FALSE)</f>
        <v>-</v>
      </c>
      <c r="Q2745" s="91">
        <f>VLOOKUP(Tabla3[[#This Row],[Site]],'Important Info!'!$A$1:$J$135,9,FALSE)</f>
        <v>145</v>
      </c>
    </row>
    <row r="2746" spans="1:17" x14ac:dyDescent="0.25">
      <c r="A2746" t="str">
        <f>+Tabla3[[#This Row],[Site]]&amp;Tabla3[[#This Row],[Split]]</f>
        <v>(ML) BMW of Little Rock27</v>
      </c>
      <c r="B2746">
        <v>27</v>
      </c>
      <c r="C2746">
        <v>18</v>
      </c>
      <c r="D2746" t="s">
        <v>33</v>
      </c>
      <c r="E2746" t="s">
        <v>46</v>
      </c>
      <c r="F2746" t="s">
        <v>139</v>
      </c>
      <c r="G2746" t="s">
        <v>34</v>
      </c>
      <c r="H2746" s="52" t="str">
        <f>VLOOKUP(Tabla3[[#This Row],[Site]],'Important Info!'!$A$1:$J$135,10,FALSE)</f>
        <v>https://tools.sig.systems/site/details/217</v>
      </c>
      <c r="I2746" t="s">
        <v>140</v>
      </c>
      <c r="J2746" t="s">
        <v>41</v>
      </c>
      <c r="K2746" s="79" t="str">
        <f>VLOOKUP(Tabla3[[#This Row],[Site]],'Important Info!'!$A$1:$H$135,8,FALSE)</f>
        <v>-</v>
      </c>
      <c r="L2746" s="52" t="str">
        <f>VLOOKUP(Tabla3[[#This Row],[Site]],'Important Info!'!$A$1:$F$135,2,FALSE)</f>
        <v>-</v>
      </c>
      <c r="M2746" s="52">
        <f>VLOOKUP(Tabla3[[#This Row],[Site]],'Important Info!'!$A$1:$F$135,3,FALSE)</f>
        <v>14</v>
      </c>
      <c r="N2746" s="52" t="str">
        <f>VLOOKUP(Tabla3[[#This Row],[Site]],'Important Info!'!$A$1:$F$135,4,FALSE)</f>
        <v>-</v>
      </c>
      <c r="O2746" s="52" t="str">
        <f>VLOOKUP(Tabla3[[#This Row],[Site]],'Important Info!'!$A$1:$F$135,5,FALSE)</f>
        <v>-</v>
      </c>
      <c r="P2746" s="52" t="str">
        <f>VLOOKUP(Tabla3[[#This Row],[Site]],'Important Info!'!$A$1:$F$135,6,FALSE)</f>
        <v>5, 6, 7, 8, 9, 32</v>
      </c>
      <c r="Q2746" s="91">
        <f>VLOOKUP(Tabla3[[#This Row],[Site]],'Important Info!'!$A$1:$J$135,9,FALSE)</f>
        <v>217</v>
      </c>
    </row>
    <row r="2747" spans="1:17" x14ac:dyDescent="0.25">
      <c r="A2747" t="str">
        <f>+Tabla3[[#This Row],[Site]]&amp;Tabla3[[#This Row],[Split]]</f>
        <v>(PE) BMW of Greenwich (NO TOURS)27</v>
      </c>
      <c r="B2747">
        <v>27</v>
      </c>
      <c r="C2747">
        <v>18</v>
      </c>
      <c r="D2747" t="s">
        <v>485</v>
      </c>
      <c r="E2747" t="s">
        <v>35</v>
      </c>
      <c r="F2747" t="s">
        <v>170</v>
      </c>
      <c r="G2747" t="s">
        <v>490</v>
      </c>
      <c r="H2747" s="52" t="str">
        <f>VLOOKUP(Tabla3[[#This Row],[Site]],'Important Info!'!$A$1:$J$135,10,FALSE)</f>
        <v>https://tools.sig.systems/site/details/186</v>
      </c>
      <c r="I2747" s="43" t="s">
        <v>171</v>
      </c>
      <c r="J2747" t="s">
        <v>41</v>
      </c>
      <c r="K2747" s="79" t="str">
        <f>VLOOKUP(Tabla3[[#This Row],[Site]],'Important Info!'!$A$1:$H$135,8,FALSE)</f>
        <v>-</v>
      </c>
      <c r="L2747" s="52" t="str">
        <f>VLOOKUP(Tabla3[[#This Row],[Site]],'Important Info!'!$A$1:$F$135,2,FALSE)</f>
        <v>1, 6, 15</v>
      </c>
      <c r="M2747" s="52" t="str">
        <f>VLOOKUP(Tabla3[[#This Row],[Site]],'Important Info!'!$A$1:$F$135,3,FALSE)</f>
        <v>-</v>
      </c>
      <c r="N2747" s="52" t="str">
        <f>VLOOKUP(Tabla3[[#This Row],[Site]],'Important Info!'!$A$1:$F$135,4,FALSE)</f>
        <v>-</v>
      </c>
      <c r="O2747" s="52" t="str">
        <f>VLOOKUP(Tabla3[[#This Row],[Site]],'Important Info!'!$A$1:$F$135,5,FALSE)</f>
        <v>-</v>
      </c>
      <c r="P2747" s="52">
        <f>VLOOKUP(Tabla3[[#This Row],[Site]],'Important Info!'!$A$1:$F$135,6,FALSE)</f>
        <v>12</v>
      </c>
      <c r="Q2747" s="91">
        <f>VLOOKUP(Tabla3[[#This Row],[Site]],'Important Info!'!$A$1:$J$135,9,FALSE)</f>
        <v>186</v>
      </c>
    </row>
    <row r="2748" spans="1:17" x14ac:dyDescent="0.25">
      <c r="A2748" t="str">
        <f>+Tabla3[[#This Row],[Site]]&amp;Tabla3[[#This Row],[Split]]</f>
        <v>(AS) Plaza Audi/Infiniti (NO TOURS)27</v>
      </c>
      <c r="B2748">
        <v>27</v>
      </c>
      <c r="C2748">
        <v>19</v>
      </c>
      <c r="D2748" t="s">
        <v>33</v>
      </c>
      <c r="E2748" t="s">
        <v>46</v>
      </c>
      <c r="F2748" t="s">
        <v>91</v>
      </c>
      <c r="G2748" t="s">
        <v>34</v>
      </c>
      <c r="H2748" s="52" t="str">
        <f>VLOOKUP(Tabla3[[#This Row],[Site]],'Important Info!'!$A$1:$J$135,10,FALSE)</f>
        <v>https://tools.sig.systems/site/details/141</v>
      </c>
      <c r="I2748" t="s">
        <v>130</v>
      </c>
      <c r="J2748" t="s">
        <v>41</v>
      </c>
      <c r="K2748" s="79" t="str">
        <f>VLOOKUP(Tabla3[[#This Row],[Site]],'Important Info!'!$A$1:$H$135,8,FALSE)</f>
        <v>-</v>
      </c>
      <c r="L2748" s="52" t="str">
        <f>VLOOKUP(Tabla3[[#This Row],[Site]],'Important Info!'!$A$1:$F$135,2,FALSE)</f>
        <v>7, 25</v>
      </c>
      <c r="M2748" s="52" t="str">
        <f>VLOOKUP(Tabla3[[#This Row],[Site]],'Important Info!'!$A$1:$F$135,3,FALSE)</f>
        <v>15, 17, 18</v>
      </c>
      <c r="N2748" s="52" t="str">
        <f>VLOOKUP(Tabla3[[#This Row],[Site]],'Important Info!'!$A$1:$F$135,4,FALSE)</f>
        <v>-</v>
      </c>
      <c r="O2748" s="52" t="str">
        <f>VLOOKUP(Tabla3[[#This Row],[Site]],'Important Info!'!$A$1:$F$135,5,FALSE)</f>
        <v>1, 24</v>
      </c>
      <c r="P2748" s="52" t="str">
        <f>VLOOKUP(Tabla3[[#This Row],[Site]],'Important Info!'!$A$1:$F$135,6,FALSE)</f>
        <v>3, 15, 17</v>
      </c>
      <c r="Q2748" s="91">
        <f>VLOOKUP(Tabla3[[#This Row],[Site]],'Important Info!'!$A$1:$J$135,9,FALSE)</f>
        <v>141</v>
      </c>
    </row>
    <row r="2749" spans="1:17" x14ac:dyDescent="0.25">
      <c r="A2749" t="str">
        <f>+Tabla3[[#This Row],[Site]]&amp;Tabla3[[#This Row],[Split]]</f>
        <v>(AS) Stevinson Chevrolet Golden (NO TOURS)27</v>
      </c>
      <c r="B2749">
        <v>27</v>
      </c>
      <c r="C2749">
        <v>19</v>
      </c>
      <c r="D2749" t="s">
        <v>488</v>
      </c>
      <c r="E2749" t="s">
        <v>53</v>
      </c>
      <c r="F2749" t="s">
        <v>190</v>
      </c>
      <c r="G2749" t="s">
        <v>45</v>
      </c>
      <c r="H2749" s="52" t="str">
        <f>VLOOKUP(Tabla3[[#This Row],[Site]],'Important Info!'!$A$1:$J$135,10,FALSE)</f>
        <v>https://tools.sig.systems/site/details/264</v>
      </c>
      <c r="I2749" s="2" t="s">
        <v>154</v>
      </c>
      <c r="J2749" t="s">
        <v>41</v>
      </c>
      <c r="K2749" s="79" t="str">
        <f>VLOOKUP(Tabla3[[#This Row],[Site]],'Important Info!'!$A$1:$H$135,8,FALSE)</f>
        <v>-</v>
      </c>
      <c r="L2749" s="52" t="str">
        <f>VLOOKUP(Tabla3[[#This Row],[Site]],'Important Info!'!$A$1:$F$135,2,FALSE)</f>
        <v>-</v>
      </c>
      <c r="M2749" s="52" t="str">
        <f>VLOOKUP(Tabla3[[#This Row],[Site]],'Important Info!'!$A$1:$F$135,3,FALSE)</f>
        <v>1, 19</v>
      </c>
      <c r="N2749" s="52" t="str">
        <f>VLOOKUP(Tabla3[[#This Row],[Site]],'Important Info!'!$A$1:$F$135,4,FALSE)</f>
        <v>-</v>
      </c>
      <c r="O2749" s="52" t="str">
        <f>VLOOKUP(Tabla3[[#This Row],[Site]],'Important Info!'!$A$1:$F$135,5,FALSE)</f>
        <v>14, 30</v>
      </c>
      <c r="P2749" s="52" t="str">
        <f>VLOOKUP(Tabla3[[#This Row],[Site]],'Important Info!'!$A$1:$F$135,6,FALSE)</f>
        <v>14, 33, 34, 35, 36</v>
      </c>
      <c r="Q2749" s="91">
        <f>VLOOKUP(Tabla3[[#This Row],[Site]],'Important Info!'!$A$1:$J$135,9,FALSE)</f>
        <v>264</v>
      </c>
    </row>
    <row r="2750" spans="1:17" x14ac:dyDescent="0.25">
      <c r="A2750" t="str">
        <f>+Tabla3[[#This Row],[Site]]&amp;Tabla3[[#This Row],[Split]]</f>
        <v>(DT) Colorado Springs (NO TOURS)27</v>
      </c>
      <c r="B2750">
        <v>27</v>
      </c>
      <c r="C2750">
        <v>19</v>
      </c>
      <c r="D2750" t="s">
        <v>44</v>
      </c>
      <c r="E2750" t="s">
        <v>53</v>
      </c>
      <c r="F2750" t="s">
        <v>156</v>
      </c>
      <c r="G2750" t="s">
        <v>45</v>
      </c>
      <c r="H2750" s="52" t="str">
        <f>VLOOKUP(Tabla3[[#This Row],[Site]],'Important Info!'!$A$1:$J$135,10,FALSE)</f>
        <v>https://tools.sig.systems/site/details/198</v>
      </c>
      <c r="J2750" t="s">
        <v>41</v>
      </c>
      <c r="K2750" s="79" t="str">
        <f>VLOOKUP(Tabla3[[#This Row],[Site]],'Important Info!'!$A$1:$H$135,8,FALSE)</f>
        <v>-</v>
      </c>
      <c r="L2750" s="52" t="str">
        <f>VLOOKUP(Tabla3[[#This Row],[Site]],'Important Info!'!$A$1:$F$135,2,FALSE)</f>
        <v>-</v>
      </c>
      <c r="M2750" s="52" t="str">
        <f>VLOOKUP(Tabla3[[#This Row],[Site]],'Important Info!'!$A$1:$F$135,3,FALSE)</f>
        <v>1, 2, 3, 4</v>
      </c>
      <c r="N2750" s="52" t="str">
        <f>VLOOKUP(Tabla3[[#This Row],[Site]],'Important Info!'!$A$1:$F$135,4,FALSE)</f>
        <v>-</v>
      </c>
      <c r="O2750" s="52" t="str">
        <f>VLOOKUP(Tabla3[[#This Row],[Site]],'Important Info!'!$A$1:$F$135,5,FALSE)</f>
        <v>-</v>
      </c>
      <c r="P2750" s="52" t="str">
        <f>VLOOKUP(Tabla3[[#This Row],[Site]],'Important Info!'!$A$1:$F$135,6,FALSE)</f>
        <v>1, 2, 3, 11</v>
      </c>
      <c r="Q2750" s="91">
        <f>VLOOKUP(Tabla3[[#This Row],[Site]],'Important Info!'!$A$1:$J$135,9,FALSE)</f>
        <v>198</v>
      </c>
    </row>
    <row r="2751" spans="1:17" x14ac:dyDescent="0.25">
      <c r="A2751" t="str">
        <f>+Tabla3[[#This Row],[Site]]&amp;Tabla3[[#This Row],[Split]]</f>
        <v>(KG) Clear Lake Pre-Owned27</v>
      </c>
      <c r="B2751">
        <v>27</v>
      </c>
      <c r="C2751">
        <v>19</v>
      </c>
      <c r="D2751" t="s">
        <v>33</v>
      </c>
      <c r="E2751" t="s">
        <v>46</v>
      </c>
      <c r="F2751" t="s">
        <v>87</v>
      </c>
      <c r="G2751" t="s">
        <v>34</v>
      </c>
      <c r="H2751" s="52" t="str">
        <f>VLOOKUP(Tabla3[[#This Row],[Site]],'Important Info!'!$A$1:$J$135,10,FALSE)</f>
        <v>https://tools.sig.systems/site/details/255</v>
      </c>
      <c r="I2751" s="2" t="s">
        <v>134</v>
      </c>
      <c r="J2751" t="s">
        <v>41</v>
      </c>
      <c r="K2751" s="79" t="str">
        <f>VLOOKUP(Tabla3[[#This Row],[Site]],'Important Info!'!$A$1:$H$135,8,FALSE)</f>
        <v>-</v>
      </c>
      <c r="L2751" s="52" t="str">
        <f>VLOOKUP(Tabla3[[#This Row],[Site]],'Important Info!'!$A$1:$F$135,2,FALSE)</f>
        <v>3, 5</v>
      </c>
      <c r="M2751" s="52" t="str">
        <f>VLOOKUP(Tabla3[[#This Row],[Site]],'Important Info!'!$A$1:$F$135,3,FALSE)</f>
        <v>-</v>
      </c>
      <c r="N2751" s="52" t="str">
        <f>VLOOKUP(Tabla3[[#This Row],[Site]],'Important Info!'!$A$1:$F$135,4,FALSE)</f>
        <v>-</v>
      </c>
      <c r="O2751" s="52" t="str">
        <f>VLOOKUP(Tabla3[[#This Row],[Site]],'Important Info!'!$A$1:$F$135,5,FALSE)</f>
        <v>4, 10, 22</v>
      </c>
      <c r="P2751" s="52" t="str">
        <f>VLOOKUP(Tabla3[[#This Row],[Site]],'Important Info!'!$A$1:$F$135,6,FALSE)</f>
        <v>8, 15, 20</v>
      </c>
      <c r="Q2751" s="91">
        <f>VLOOKUP(Tabla3[[#This Row],[Site]],'Important Info!'!$A$1:$J$135,9,FALSE)</f>
        <v>255</v>
      </c>
    </row>
    <row r="2752" spans="1:17" x14ac:dyDescent="0.25">
      <c r="A2752" t="str">
        <f>+Tabla3[[#This Row],[Site]]&amp;Tabla3[[#This Row],[Split]]</f>
        <v>(RV) Toms Camperland Surprise (NO TOURS)27</v>
      </c>
      <c r="B2752">
        <v>27</v>
      </c>
      <c r="C2752">
        <v>19</v>
      </c>
      <c r="D2752" t="s">
        <v>51</v>
      </c>
      <c r="E2752" t="s">
        <v>161</v>
      </c>
      <c r="F2752" t="s">
        <v>165</v>
      </c>
      <c r="G2752" t="s">
        <v>52</v>
      </c>
      <c r="H2752" s="52" t="str">
        <f>VLOOKUP(Tabla3[[#This Row],[Site]],'Important Info!'!$A$1:$J$135,10,FALSE)</f>
        <v>https://tools.sig.systems/site/details/254</v>
      </c>
      <c r="I2752" s="43"/>
      <c r="J2752" t="s">
        <v>52</v>
      </c>
      <c r="K2752" s="79" t="str">
        <f>VLOOKUP(Tabla3[[#This Row],[Site]],'Important Info!'!$A$1:$H$135,8,FALSE)</f>
        <v>-</v>
      </c>
      <c r="L2752" s="52" t="str">
        <f>VLOOKUP(Tabla3[[#This Row],[Site]],'Important Info!'!$A$1:$F$135,2,FALSE)</f>
        <v>1, 3, 4</v>
      </c>
      <c r="M2752" s="52" t="str">
        <f>VLOOKUP(Tabla3[[#This Row],[Site]],'Important Info!'!$A$1:$F$135,3,FALSE)</f>
        <v>-</v>
      </c>
      <c r="N2752" s="52" t="str">
        <f>VLOOKUP(Tabla3[[#This Row],[Site]],'Important Info!'!$A$1:$F$135,4,FALSE)</f>
        <v>-</v>
      </c>
      <c r="O2752" s="52" t="str">
        <f>VLOOKUP(Tabla3[[#This Row],[Site]],'Important Info!'!$A$1:$F$135,5,FALSE)</f>
        <v>-</v>
      </c>
      <c r="P2752" s="52" t="str">
        <f>VLOOKUP(Tabla3[[#This Row],[Site]],'Important Info!'!$A$1:$F$135,6,FALSE)</f>
        <v>1, 2, 3, 4, 15</v>
      </c>
      <c r="Q2752" s="91">
        <f>VLOOKUP(Tabla3[[#This Row],[Site]],'Important Info!'!$A$1:$J$135,9,FALSE)</f>
        <v>254</v>
      </c>
    </row>
    <row r="2753" spans="1:17" x14ac:dyDescent="0.25">
      <c r="A2753" t="str">
        <f>+Tabla3[[#This Row],[Site]]&amp;Tabla3[[#This Row],[Split]]</f>
        <v>(AS) Courtesy CDJR of Brandon (NO TOURS)27</v>
      </c>
      <c r="B2753">
        <v>27</v>
      </c>
      <c r="C2753">
        <v>20</v>
      </c>
      <c r="D2753" t="s">
        <v>62</v>
      </c>
      <c r="E2753" t="s">
        <v>35</v>
      </c>
      <c r="F2753" t="s">
        <v>503</v>
      </c>
      <c r="G2753" t="s">
        <v>490</v>
      </c>
      <c r="H2753" s="52" t="str">
        <f>VLOOKUP(Tabla3[[#This Row],[Site]],'Important Info!'!$A$1:$J$135,10,FALSE)</f>
        <v>https://tools.sig.systems/site/details/126</v>
      </c>
      <c r="I2753" s="2" t="s">
        <v>181</v>
      </c>
      <c r="J2753" t="s">
        <v>484</v>
      </c>
      <c r="K2753" s="79" t="str">
        <f>VLOOKUP(Tabla3[[#This Row],[Site]],'Important Info!'!$A$1:$H$135,8,FALSE)</f>
        <v>-</v>
      </c>
      <c r="L2753" s="52" t="str">
        <f>VLOOKUP(Tabla3[[#This Row],[Site]],'Important Info!'!$A$1:$F$135,2,FALSE)</f>
        <v>1, 14, 15</v>
      </c>
      <c r="M2753" s="52">
        <f>VLOOKUP(Tabla3[[#This Row],[Site]],'Important Info!'!$A$1:$F$135,3,FALSE)</f>
        <v>1</v>
      </c>
      <c r="N2753" s="52" t="str">
        <f>VLOOKUP(Tabla3[[#This Row],[Site]],'Important Info!'!$A$1:$F$135,4,FALSE)</f>
        <v>-</v>
      </c>
      <c r="O2753" s="52" t="str">
        <f>VLOOKUP(Tabla3[[#This Row],[Site]],'Important Info!'!$A$1:$F$135,5,FALSE)</f>
        <v>2, 12</v>
      </c>
      <c r="P2753" s="52" t="str">
        <f>VLOOKUP(Tabla3[[#This Row],[Site]],'Important Info!'!$A$1:$F$135,6,FALSE)</f>
        <v xml:space="preserve">1, 2, 3, 4, 14, 15, 21, 25 </v>
      </c>
      <c r="Q2753" s="91">
        <f>VLOOKUP(Tabla3[[#This Row],[Site]],'Important Info!'!$A$1:$J$135,9,FALSE)</f>
        <v>126</v>
      </c>
    </row>
    <row r="2754" spans="1:17" x14ac:dyDescent="0.25">
      <c r="A2754" t="str">
        <f>+Tabla3[[#This Row],[Site]]&amp;Tabla3[[#This Row],[Split]]</f>
        <v>(KG) Big Star Ford27</v>
      </c>
      <c r="B2754">
        <v>27</v>
      </c>
      <c r="C2754">
        <v>20</v>
      </c>
      <c r="D2754" t="s">
        <v>33</v>
      </c>
      <c r="E2754" t="s">
        <v>46</v>
      </c>
      <c r="F2754" t="s">
        <v>135</v>
      </c>
      <c r="G2754" t="s">
        <v>34</v>
      </c>
      <c r="H2754" s="52" t="str">
        <f>VLOOKUP(Tabla3[[#This Row],[Site]],'Important Info!'!$A$1:$J$135,10,FALSE)</f>
        <v>https://tools.sig.systems/site/details/235</v>
      </c>
      <c r="I2754" s="43"/>
      <c r="J2754" t="s">
        <v>41</v>
      </c>
      <c r="K2754" s="79" t="str">
        <f>VLOOKUP(Tabla3[[#This Row],[Site]],'Important Info!'!$A$1:$H$135,8,FALSE)</f>
        <v>-</v>
      </c>
      <c r="L2754" s="52" t="str">
        <f>VLOOKUP(Tabla3[[#This Row],[Site]],'Important Info!'!$A$1:$F$135,2,FALSE)</f>
        <v>4, 22, 32, 33</v>
      </c>
      <c r="M2754" s="52" t="str">
        <f>VLOOKUP(Tabla3[[#This Row],[Site]],'Important Info!'!$A$1:$F$135,3,FALSE)</f>
        <v>-</v>
      </c>
      <c r="N2754" s="52" t="str">
        <f>VLOOKUP(Tabla3[[#This Row],[Site]],'Important Info!'!$A$1:$F$135,4,FALSE)</f>
        <v>-</v>
      </c>
      <c r="O2754" s="52" t="str">
        <f>VLOOKUP(Tabla3[[#This Row],[Site]],'Important Info!'!$A$1:$F$135,5,FALSE)</f>
        <v>1, 5, 12, 21</v>
      </c>
      <c r="P2754" s="52">
        <f>VLOOKUP(Tabla3[[#This Row],[Site]],'Important Info!'!$A$1:$F$135,6,FALSE)</f>
        <v>22</v>
      </c>
      <c r="Q2754" s="91">
        <f>VLOOKUP(Tabla3[[#This Row],[Site]],'Important Info!'!$A$1:$J$135,9,FALSE)</f>
        <v>235</v>
      </c>
    </row>
    <row r="2755" spans="1:17" x14ac:dyDescent="0.25">
      <c r="A2755" t="str">
        <f>+Tabla3[[#This Row],[Site]]&amp;Tabla3[[#This Row],[Split]]</f>
        <v>(ML) Ford Lincoln of North Little Rock27</v>
      </c>
      <c r="B2755">
        <v>27</v>
      </c>
      <c r="C2755">
        <v>20</v>
      </c>
      <c r="D2755" t="s">
        <v>33</v>
      </c>
      <c r="E2755" t="s">
        <v>46</v>
      </c>
      <c r="F2755" t="s">
        <v>145</v>
      </c>
      <c r="G2755" t="s">
        <v>34</v>
      </c>
      <c r="H2755" s="52" t="str">
        <f>VLOOKUP(Tabla3[[#This Row],[Site]],'Important Info!'!$A$1:$J$135,10,FALSE)</f>
        <v>https://tools.sig.systems/site/details/214</v>
      </c>
      <c r="I2755" s="43" t="s">
        <v>142</v>
      </c>
      <c r="J2755" t="s">
        <v>41</v>
      </c>
      <c r="K2755" s="79" t="str">
        <f>VLOOKUP(Tabla3[[#This Row],[Site]],'Important Info!'!$A$1:$H$135,8,FALSE)</f>
        <v>-</v>
      </c>
      <c r="L2755" s="52" t="str">
        <f>VLOOKUP(Tabla3[[#This Row],[Site]],'Important Info!'!$A$1:$F$135,2,FALSE)</f>
        <v>4, 15, 18, 67, 74</v>
      </c>
      <c r="M2755" s="52">
        <f>VLOOKUP(Tabla3[[#This Row],[Site]],'Important Info!'!$A$1:$F$135,3,FALSE)</f>
        <v>13</v>
      </c>
      <c r="N2755" s="52" t="str">
        <f>VLOOKUP(Tabla3[[#This Row],[Site]],'Important Info!'!$A$1:$F$135,4,FALSE)</f>
        <v>-</v>
      </c>
      <c r="O2755" s="52" t="str">
        <f>VLOOKUP(Tabla3[[#This Row],[Site]],'Important Info!'!$A$1:$F$135,5,FALSE)</f>
        <v>4, 11, 16, 28</v>
      </c>
      <c r="P2755" s="52" t="str">
        <f>VLOOKUP(Tabla3[[#This Row],[Site]],'Important Info!'!$A$1:$F$135,6,FALSE)</f>
        <v>10, 11, 12</v>
      </c>
      <c r="Q2755" s="91">
        <f>VLOOKUP(Tabla3[[#This Row],[Site]],'Important Info!'!$A$1:$J$135,9,FALSE)</f>
        <v>214</v>
      </c>
    </row>
    <row r="2756" spans="1:17" x14ac:dyDescent="0.25">
      <c r="A2756" t="str">
        <f>+Tabla3[[#This Row],[Site]]&amp;Tabla3[[#This Row],[Split]]</f>
        <v>(AS) Plaza Lexus/Mercedes/BMW (NO TOURS)27</v>
      </c>
      <c r="B2756">
        <v>27</v>
      </c>
      <c r="C2756">
        <v>21</v>
      </c>
      <c r="D2756" t="s">
        <v>33</v>
      </c>
      <c r="E2756" t="s">
        <v>46</v>
      </c>
      <c r="F2756" t="s">
        <v>92</v>
      </c>
      <c r="G2756" t="s">
        <v>34</v>
      </c>
      <c r="H2756" s="52" t="str">
        <f>VLOOKUP(Tabla3[[#This Row],[Site]],'Important Info!'!$A$1:$J$135,10,FALSE)</f>
        <v>https://tools.sig.systems/site/details/141</v>
      </c>
      <c r="I2756" t="s">
        <v>130</v>
      </c>
      <c r="J2756" t="s">
        <v>41</v>
      </c>
      <c r="K2756" s="79" t="str">
        <f>VLOOKUP(Tabla3[[#This Row],[Site]],'Important Info!'!$A$1:$H$135,8,FALSE)</f>
        <v>-</v>
      </c>
      <c r="L2756" s="52" t="str">
        <f>VLOOKUP(Tabla3[[#This Row],[Site]],'Important Info!'!$A$1:$F$135,2,FALSE)</f>
        <v>3, 4, 18</v>
      </c>
      <c r="M2756" s="52" t="str">
        <f>VLOOKUP(Tabla3[[#This Row],[Site]],'Important Info!'!$A$1:$F$135,3,FALSE)</f>
        <v>9, 10, 12, 13, 16, 17</v>
      </c>
      <c r="N2756" s="52" t="str">
        <f>VLOOKUP(Tabla3[[#This Row],[Site]],'Important Info!'!$A$1:$F$135,4,FALSE)</f>
        <v>-</v>
      </c>
      <c r="O2756" s="52">
        <f>VLOOKUP(Tabla3[[#This Row],[Site]],'Important Info!'!$A$1:$F$135,5,FALSE)</f>
        <v>2</v>
      </c>
      <c r="P2756" s="52" t="str">
        <f>VLOOKUP(Tabla3[[#This Row],[Site]],'Important Info!'!$A$1:$F$135,6,FALSE)</f>
        <v>2, 16</v>
      </c>
      <c r="Q2756" s="91">
        <f>VLOOKUP(Tabla3[[#This Row],[Site]],'Important Info!'!$A$1:$J$135,9,FALSE)</f>
        <v>141</v>
      </c>
    </row>
    <row r="2757" spans="1:17" x14ac:dyDescent="0.25">
      <c r="A2757" t="str">
        <f>+Tabla3[[#This Row],[Site]]&amp;Tabla3[[#This Row],[Split]]</f>
        <v>(AS) Stevinson Lexus of Lakewood (NO TOURS)27</v>
      </c>
      <c r="B2757">
        <v>27</v>
      </c>
      <c r="C2757">
        <v>21</v>
      </c>
      <c r="D2757" t="s">
        <v>44</v>
      </c>
      <c r="E2757" t="s">
        <v>53</v>
      </c>
      <c r="F2757" t="s">
        <v>523</v>
      </c>
      <c r="G2757" t="s">
        <v>45</v>
      </c>
      <c r="H2757" s="52" t="str">
        <f>VLOOKUP(Tabla3[[#This Row],[Site]],'Important Info!'!$A$1:$J$135,10,FALSE)</f>
        <v>https://tools.sig.systems/site/details/260</v>
      </c>
      <c r="I2757" s="43" t="s">
        <v>154</v>
      </c>
      <c r="J2757" t="s">
        <v>41</v>
      </c>
      <c r="K2757" s="79" t="str">
        <f>VLOOKUP(Tabla3[[#This Row],[Site]],'Important Info!'!$A$1:$H$135,8,FALSE)</f>
        <v>-</v>
      </c>
      <c r="L2757" s="52" t="str">
        <f>VLOOKUP(Tabla3[[#This Row],[Site]],'Important Info!'!$A$1:$F$135,2,FALSE)</f>
        <v>-</v>
      </c>
      <c r="M2757" s="52" t="str">
        <f>VLOOKUP(Tabla3[[#This Row],[Site]],'Important Info!'!$A$1:$F$135,3,FALSE)</f>
        <v>2, 10</v>
      </c>
      <c r="N2757" s="52" t="str">
        <f>VLOOKUP(Tabla3[[#This Row],[Site]],'Important Info!'!$A$1:$F$135,4,FALSE)</f>
        <v>9, 17</v>
      </c>
      <c r="O2757" s="52" t="str">
        <f>VLOOKUP(Tabla3[[#This Row],[Site]],'Important Info!'!$A$1:$F$135,5,FALSE)</f>
        <v>-</v>
      </c>
      <c r="P2757" s="52" t="str">
        <f>VLOOKUP(Tabla3[[#This Row],[Site]],'Important Info!'!$A$1:$F$135,6,FALSE)</f>
        <v>1, 2</v>
      </c>
      <c r="Q2757" s="91">
        <f>VLOOKUP(Tabla3[[#This Row],[Site]],'Important Info!'!$A$1:$J$135,9,FALSE)</f>
        <v>260</v>
      </c>
    </row>
    <row r="2758" spans="1:17" x14ac:dyDescent="0.25">
      <c r="A2758" t="str">
        <f>+Tabla3[[#This Row],[Site]]&amp;Tabla3[[#This Row],[Split]]</f>
        <v>(KG) Kia of Phoenix (NO TOURS)27</v>
      </c>
      <c r="B2758">
        <v>27</v>
      </c>
      <c r="C2758">
        <v>21</v>
      </c>
      <c r="D2758" t="s">
        <v>51</v>
      </c>
      <c r="E2758" t="s">
        <v>161</v>
      </c>
      <c r="F2758" t="s">
        <v>94</v>
      </c>
      <c r="G2758" t="s">
        <v>52</v>
      </c>
      <c r="H2758" s="52" t="str">
        <f>VLOOKUP(Tabla3[[#This Row],[Site]],'Important Info!'!$A$1:$J$135,10,FALSE)</f>
        <v>https://tools.sig.systems/site/details/262</v>
      </c>
      <c r="J2758" t="s">
        <v>162</v>
      </c>
      <c r="K2758" s="79" t="str">
        <f>VLOOKUP(Tabla3[[#This Row],[Site]],'Important Info!'!$A$1:$H$135,8,FALSE)</f>
        <v>-</v>
      </c>
      <c r="L2758" s="52" t="str">
        <f>VLOOKUP(Tabla3[[#This Row],[Site]],'Important Info!'!$A$1:$F$135,2,FALSE)</f>
        <v>5, 8, 23</v>
      </c>
      <c r="M2758" s="52" t="str">
        <f>VLOOKUP(Tabla3[[#This Row],[Site]],'Important Info!'!$A$1:$F$135,3,FALSE)</f>
        <v>-</v>
      </c>
      <c r="N2758" s="52" t="str">
        <f>VLOOKUP(Tabla3[[#This Row],[Site]],'Important Info!'!$A$1:$F$135,4,FALSE)</f>
        <v>-</v>
      </c>
      <c r="O2758" s="52">
        <f>VLOOKUP(Tabla3[[#This Row],[Site]],'Important Info!'!$A$1:$F$135,5,FALSE)</f>
        <v>4</v>
      </c>
      <c r="P2758" s="52" t="str">
        <f>VLOOKUP(Tabla3[[#This Row],[Site]],'Important Info!'!$A$1:$F$135,6,FALSE)</f>
        <v>-</v>
      </c>
      <c r="Q2758" s="91">
        <f>VLOOKUP(Tabla3[[#This Row],[Site]],'Important Info!'!$A$1:$J$135,9,FALSE)</f>
        <v>262</v>
      </c>
    </row>
    <row r="2759" spans="1:17" x14ac:dyDescent="0.25">
      <c r="A2759" t="str">
        <f>+Tabla3[[#This Row],[Site]]&amp;Tabla3[[#This Row],[Split]]</f>
        <v>(ML) Toyota N Little Rock27</v>
      </c>
      <c r="B2759">
        <v>27</v>
      </c>
      <c r="C2759">
        <v>21</v>
      </c>
      <c r="D2759" t="s">
        <v>33</v>
      </c>
      <c r="E2759" t="s">
        <v>46</v>
      </c>
      <c r="F2759" t="s">
        <v>76</v>
      </c>
      <c r="G2759" t="s">
        <v>34</v>
      </c>
      <c r="H2759" s="52" t="str">
        <f>VLOOKUP(Tabla3[[#This Row],[Site]],'Important Info!'!$A$1:$J$135,10,FALSE)</f>
        <v>https://tools.sig.systems/site/details/201</v>
      </c>
      <c r="I2759" s="43" t="s">
        <v>142</v>
      </c>
      <c r="J2759" t="s">
        <v>41</v>
      </c>
      <c r="K2759" s="79" t="str">
        <f>VLOOKUP(Tabla3[[#This Row],[Site]],'Important Info!'!$A$1:$H$135,8,FALSE)</f>
        <v>-</v>
      </c>
      <c r="L2759" s="52" t="str">
        <f>VLOOKUP(Tabla3[[#This Row],[Site]],'Important Info!'!$A$1:$F$135,2,FALSE)</f>
        <v>4, 15, 18, 22, 23, 26</v>
      </c>
      <c r="M2759" s="52" t="str">
        <f>VLOOKUP(Tabla3[[#This Row],[Site]],'Important Info!'!$A$1:$F$135,3,FALSE)</f>
        <v>-</v>
      </c>
      <c r="N2759" s="52" t="str">
        <f>VLOOKUP(Tabla3[[#This Row],[Site]],'Important Info!'!$A$1:$F$135,4,FALSE)</f>
        <v>-</v>
      </c>
      <c r="O2759" s="52" t="str">
        <f>VLOOKUP(Tabla3[[#This Row],[Site]],'Important Info!'!$A$1:$F$135,5,FALSE)</f>
        <v>2, 12, 13, 18</v>
      </c>
      <c r="P2759" s="52" t="str">
        <f>VLOOKUP(Tabla3[[#This Row],[Site]],'Important Info!'!$A$1:$F$135,6,FALSE)</f>
        <v>-</v>
      </c>
      <c r="Q2759" s="91">
        <f>VLOOKUP(Tabla3[[#This Row],[Site]],'Important Info!'!$A$1:$J$135,9,FALSE)</f>
        <v>201</v>
      </c>
    </row>
    <row r="2760" spans="1:17" x14ac:dyDescent="0.25">
      <c r="A2760" t="str">
        <f>+Tabla3[[#This Row],[Site]]&amp;Tabla3[[#This Row],[Split]]</f>
        <v>(TC) Tavernier Creek Marina (NO TOURS)27</v>
      </c>
      <c r="B2760">
        <v>27</v>
      </c>
      <c r="C2760">
        <v>21</v>
      </c>
      <c r="D2760" t="s">
        <v>62</v>
      </c>
      <c r="E2760" t="s">
        <v>35</v>
      </c>
      <c r="F2760" t="s">
        <v>119</v>
      </c>
      <c r="G2760" t="s">
        <v>34</v>
      </c>
      <c r="H2760" s="52" t="str">
        <f>VLOOKUP(Tabla3[[#This Row],[Site]],'Important Info!'!$A$1:$J$135,10,FALSE)</f>
        <v>https://tools.sig.systems/site/details/164</v>
      </c>
      <c r="J2760" t="s">
        <v>45</v>
      </c>
      <c r="K2760" s="79" t="str">
        <f>VLOOKUP(Tabla3[[#This Row],[Site]],'Important Info!'!$A$1:$H$135,8,FALSE)</f>
        <v>-</v>
      </c>
      <c r="L2760" s="52" t="str">
        <f>VLOOKUP(Tabla3[[#This Row],[Site]],'Important Info!'!$A$1:$F$135,2,FALSE)</f>
        <v>28, 29</v>
      </c>
      <c r="M2760" s="52" t="str">
        <f>VLOOKUP(Tabla3[[#This Row],[Site]],'Important Info!'!$A$1:$F$135,3,FALSE)</f>
        <v>-</v>
      </c>
      <c r="N2760" s="52" t="str">
        <f>VLOOKUP(Tabla3[[#This Row],[Site]],'Important Info!'!$A$1:$F$135,4,FALSE)</f>
        <v>-</v>
      </c>
      <c r="O2760" s="52" t="str">
        <f>VLOOKUP(Tabla3[[#This Row],[Site]],'Important Info!'!$A$1:$F$135,5,FALSE)</f>
        <v>-</v>
      </c>
      <c r="P2760" s="52" t="str">
        <f>VLOOKUP(Tabla3[[#This Row],[Site]],'Important Info!'!$A$1:$F$135,6,FALSE)</f>
        <v>5, 28, 29</v>
      </c>
      <c r="Q2760" s="91">
        <f>VLOOKUP(Tabla3[[#This Row],[Site]],'Important Info!'!$A$1:$J$135,9,FALSE)</f>
        <v>164</v>
      </c>
    </row>
    <row r="2761" spans="1:17" x14ac:dyDescent="0.25">
      <c r="A2761" t="str">
        <f>+Tabla3[[#This Row],[Site]]&amp;Tabla3[[#This Row],[Split]]</f>
        <v>(AS) Courtesy Hyundai/Nissan Tampa (NO TOURS)27</v>
      </c>
      <c r="B2761">
        <v>27</v>
      </c>
      <c r="C2761">
        <v>22</v>
      </c>
      <c r="D2761" t="s">
        <v>62</v>
      </c>
      <c r="E2761" t="s">
        <v>35</v>
      </c>
      <c r="F2761" t="s">
        <v>504</v>
      </c>
      <c r="G2761" t="s">
        <v>490</v>
      </c>
      <c r="H2761" s="52" t="str">
        <f>VLOOKUP(Tabla3[[#This Row],[Site]],'Important Info!'!$A$1:$J$135,10,FALSE)</f>
        <v>https://tools.sig.systems/site/details/128</v>
      </c>
      <c r="I2761" s="2"/>
      <c r="J2761" t="s">
        <v>484</v>
      </c>
      <c r="K2761" s="79" t="str">
        <f>VLOOKUP(Tabla3[[#This Row],[Site]],'Important Info!'!$A$1:$H$135,8,FALSE)</f>
        <v>-</v>
      </c>
      <c r="L2761" s="52" t="str">
        <f>VLOOKUP(Tabla3[[#This Row],[Site]],'Important Info!'!$A$1:$F$135,2,FALSE)</f>
        <v>1, 16, 25, 27, 32</v>
      </c>
      <c r="M2761" s="52" t="str">
        <f>VLOOKUP(Tabla3[[#This Row],[Site]],'Important Info!'!$A$1:$F$135,3,FALSE)</f>
        <v>-</v>
      </c>
      <c r="N2761" s="52" t="str">
        <f>VLOOKUP(Tabla3[[#This Row],[Site]],'Important Info!'!$A$1:$F$135,4,FALSE)</f>
        <v>-</v>
      </c>
      <c r="O2761" s="52" t="str">
        <f>VLOOKUP(Tabla3[[#This Row],[Site]],'Important Info!'!$A$1:$F$135,5,FALSE)</f>
        <v>4, 10, 16</v>
      </c>
      <c r="P2761" s="52" t="str">
        <f>VLOOKUP(Tabla3[[#This Row],[Site]],'Important Info!'!$A$1:$F$135,6,FALSE)</f>
        <v>24, 25, 26 &amp; Remote Lots</v>
      </c>
      <c r="Q2761" s="91">
        <f>VLOOKUP(Tabla3[[#This Row],[Site]],'Important Info!'!$A$1:$J$135,9,FALSE)</f>
        <v>128</v>
      </c>
    </row>
    <row r="2762" spans="1:17" x14ac:dyDescent="0.25">
      <c r="A2762" t="str">
        <f>+Tabla3[[#This Row],[Site]]&amp;Tabla3[[#This Row],[Split]]</f>
        <v>(AS) Park Place JLR DFW Airport (NO TOURS)27</v>
      </c>
      <c r="B2762">
        <v>27</v>
      </c>
      <c r="C2762">
        <v>22</v>
      </c>
      <c r="D2762" t="s">
        <v>33</v>
      </c>
      <c r="E2762" t="s">
        <v>46</v>
      </c>
      <c r="F2762" t="s">
        <v>516</v>
      </c>
      <c r="G2762" t="s">
        <v>34</v>
      </c>
      <c r="H2762" s="52" t="str">
        <f>VLOOKUP(Tabla3[[#This Row],[Site]],'Important Info!'!$A$1:$J$135,10,FALSE)</f>
        <v>https://tools.sig.systems/site/details/135</v>
      </c>
      <c r="J2762" t="s">
        <v>41</v>
      </c>
      <c r="K2762" s="79" t="str">
        <f>VLOOKUP(Tabla3[[#This Row],[Site]],'Important Info!'!$A$1:$H$135,8,FALSE)</f>
        <v>-</v>
      </c>
      <c r="L2762" s="52" t="str">
        <f>VLOOKUP(Tabla3[[#This Row],[Site]],'Important Info!'!$A$1:$F$135,2,FALSE)</f>
        <v>6, 7, 18</v>
      </c>
      <c r="M2762" s="52" t="str">
        <f>VLOOKUP(Tabla3[[#This Row],[Site]],'Important Info!'!$A$1:$F$135,3,FALSE)</f>
        <v>70, 79, 80</v>
      </c>
      <c r="N2762" s="52" t="str">
        <f>VLOOKUP(Tabla3[[#This Row],[Site]],'Important Info!'!$A$1:$F$135,4,FALSE)</f>
        <v>83, 84</v>
      </c>
      <c r="O2762" s="52" t="str">
        <f>VLOOKUP(Tabla3[[#This Row],[Site]],'Important Info!'!$A$1:$F$135,5,FALSE)</f>
        <v>3, 8, 14, 81</v>
      </c>
      <c r="P2762" s="52">
        <f>VLOOKUP(Tabla3[[#This Row],[Site]],'Important Info!'!$A$1:$F$135,6,FALSE)</f>
        <v>6</v>
      </c>
      <c r="Q2762" s="91">
        <f>VLOOKUP(Tabla3[[#This Row],[Site]],'Important Info!'!$A$1:$J$135,9,FALSE)</f>
        <v>135</v>
      </c>
    </row>
    <row r="2763" spans="1:17" x14ac:dyDescent="0.25">
      <c r="A2763" t="str">
        <f>+Tabla3[[#This Row],[Site]]&amp;Tabla3[[#This Row],[Split]]</f>
        <v>(DT) Escondido27</v>
      </c>
      <c r="B2763">
        <v>27</v>
      </c>
      <c r="C2763">
        <v>22</v>
      </c>
      <c r="D2763" t="s">
        <v>51</v>
      </c>
      <c r="E2763" t="s">
        <v>159</v>
      </c>
      <c r="F2763" t="s">
        <v>112</v>
      </c>
      <c r="G2763" t="s">
        <v>164</v>
      </c>
      <c r="H2763" s="52" t="str">
        <f>VLOOKUP(Tabla3[[#This Row],[Site]],'Important Info!'!$A$1:$J$135,10,FALSE)</f>
        <v>https://tools.sig.systems/site/details/196</v>
      </c>
      <c r="I2763" s="2"/>
      <c r="J2763" t="s">
        <v>41</v>
      </c>
      <c r="K2763" s="79" t="str">
        <f>VLOOKUP(Tabla3[[#This Row],[Site]],'Important Info!'!$A$1:$H$135,8,FALSE)</f>
        <v>Saturday Drop Time 9:00 A.M.</v>
      </c>
      <c r="L2763" s="52" t="str">
        <f>VLOOKUP(Tabla3[[#This Row],[Site]],'Important Info!'!$A$1:$F$135,2,FALSE)</f>
        <v>1, 2</v>
      </c>
      <c r="M2763" s="52" t="str">
        <f>VLOOKUP(Tabla3[[#This Row],[Site]],'Important Info!'!$A$1:$F$135,3,FALSE)</f>
        <v>-</v>
      </c>
      <c r="N2763" s="52" t="str">
        <f>VLOOKUP(Tabla3[[#This Row],[Site]],'Important Info!'!$A$1:$F$135,4,FALSE)</f>
        <v>-</v>
      </c>
      <c r="O2763" s="52" t="str">
        <f>VLOOKUP(Tabla3[[#This Row],[Site]],'Important Info!'!$A$1:$F$135,5,FALSE)</f>
        <v>-</v>
      </c>
      <c r="P2763" s="52" t="str">
        <f>VLOOKUP(Tabla3[[#This Row],[Site]],'Important Info!'!$A$1:$F$135,6,FALSE)</f>
        <v>5, 7, 8</v>
      </c>
      <c r="Q2763" s="91">
        <f>VLOOKUP(Tabla3[[#This Row],[Site]],'Important Info!'!$A$1:$J$135,9,FALSE)</f>
        <v>196</v>
      </c>
    </row>
    <row r="2764" spans="1:17" x14ac:dyDescent="0.25">
      <c r="A2764" t="str">
        <f>+Tabla3[[#This Row],[Site]]&amp;Tabla3[[#This Row],[Split]]</f>
        <v>(RV) Sonny's Camp N Travel Concord27</v>
      </c>
      <c r="B2764">
        <v>27</v>
      </c>
      <c r="C2764">
        <v>22</v>
      </c>
      <c r="D2764" t="s">
        <v>62</v>
      </c>
      <c r="E2764" t="s">
        <v>35</v>
      </c>
      <c r="F2764" t="s">
        <v>188</v>
      </c>
      <c r="G2764" t="s">
        <v>490</v>
      </c>
      <c r="H2764" s="52" t="str">
        <f>VLOOKUP(Tabla3[[#This Row],[Site]],'Important Info!'!$A$1:$J$135,10,FALSE)</f>
        <v>https://tools.sig.systems/site/details/183</v>
      </c>
      <c r="J2764" t="s">
        <v>41</v>
      </c>
      <c r="K2764" s="79" t="str">
        <f>VLOOKUP(Tabla3[[#This Row],[Site]],'Important Info!'!$A$1:$H$135,8,FALSE)</f>
        <v>-</v>
      </c>
      <c r="L2764" s="52">
        <f>VLOOKUP(Tabla3[[#This Row],[Site]],'Important Info!'!$A$1:$F$135,2,FALSE)</f>
        <v>1</v>
      </c>
      <c r="M2764" s="52" t="str">
        <f>VLOOKUP(Tabla3[[#This Row],[Site]],'Important Info!'!$A$1:$F$135,3,FALSE)</f>
        <v>-</v>
      </c>
      <c r="N2764" s="52" t="str">
        <f>VLOOKUP(Tabla3[[#This Row],[Site]],'Important Info!'!$A$1:$F$135,4,FALSE)</f>
        <v>-</v>
      </c>
      <c r="O2764" s="52">
        <f>VLOOKUP(Tabla3[[#This Row],[Site]],'Important Info!'!$A$1:$F$135,5,FALSE)</f>
        <v>7</v>
      </c>
      <c r="P2764" s="52" t="str">
        <f>VLOOKUP(Tabla3[[#This Row],[Site]],'Important Info!'!$A$1:$F$135,6,FALSE)</f>
        <v>6, 7, 8, 9</v>
      </c>
      <c r="Q2764" s="91">
        <f>VLOOKUP(Tabla3[[#This Row],[Site]],'Important Info!'!$A$1:$J$135,9,FALSE)</f>
        <v>183</v>
      </c>
    </row>
    <row r="2765" spans="1:17" x14ac:dyDescent="0.25">
      <c r="A2765" t="str">
        <f>+Tabla3[[#This Row],[Site]]&amp;Tabla3[[#This Row],[Split]]</f>
        <v>(AS) Lexus Grapevine I &amp; II (NO TOURS)27</v>
      </c>
      <c r="B2765">
        <v>27</v>
      </c>
      <c r="C2765">
        <v>23</v>
      </c>
      <c r="D2765" t="s">
        <v>33</v>
      </c>
      <c r="E2765" t="s">
        <v>46</v>
      </c>
      <c r="F2765" t="s">
        <v>508</v>
      </c>
      <c r="G2765" t="s">
        <v>34</v>
      </c>
      <c r="H2765" s="52" t="str">
        <f>VLOOKUP(Tabla3[[#This Row],[Site]],'Important Info!'!$A$1:$J$135,10,FALSE)</f>
        <v>https://tools.sig.systems/site/details/136</v>
      </c>
      <c r="J2765" t="s">
        <v>41</v>
      </c>
      <c r="K2765" s="79" t="str">
        <f>VLOOKUP(Tabla3[[#This Row],[Site]],'Important Info!'!$A$1:$H$135,8,FALSE)</f>
        <v>-</v>
      </c>
      <c r="L2765" s="52" t="str">
        <f>VLOOKUP(Tabla3[[#This Row],[Site]],'Important Info!'!$A$1:$F$135,2,FALSE)</f>
        <v>4, 10, 14, 18, 33</v>
      </c>
      <c r="M2765" s="52" t="str">
        <f>VLOOKUP(Tabla3[[#This Row],[Site]],'Important Info!'!$A$1:$F$135,3,FALSE)</f>
        <v>-</v>
      </c>
      <c r="N2765" s="52" t="str">
        <f>VLOOKUP(Tabla3[[#This Row],[Site]],'Important Info!'!$A$1:$F$135,4,FALSE)</f>
        <v>81, 82, 83</v>
      </c>
      <c r="O2765" s="52" t="str">
        <f>VLOOKUP(Tabla3[[#This Row],[Site]],'Important Info!'!$A$1:$F$135,5,FALSE)</f>
        <v>4, 12, 15, 20, 30</v>
      </c>
      <c r="P2765" s="52">
        <f>VLOOKUP(Tabla3[[#This Row],[Site]],'Important Info!'!$A$1:$F$135,6,FALSE)</f>
        <v>10</v>
      </c>
      <c r="Q2765" s="91">
        <f>VLOOKUP(Tabla3[[#This Row],[Site]],'Important Info!'!$A$1:$J$135,9,FALSE)</f>
        <v>136</v>
      </c>
    </row>
    <row r="2766" spans="1:17" x14ac:dyDescent="0.25">
      <c r="A2766" t="str">
        <f>+Tabla3[[#This Row],[Site]]&amp;Tabla3[[#This Row],[Split]]</f>
        <v>(AS) Lexus Smyrna (NO TOURS)27</v>
      </c>
      <c r="B2766">
        <v>27</v>
      </c>
      <c r="C2766">
        <v>23</v>
      </c>
      <c r="D2766" t="s">
        <v>62</v>
      </c>
      <c r="E2766" t="s">
        <v>35</v>
      </c>
      <c r="F2766" t="s">
        <v>84</v>
      </c>
      <c r="G2766" t="s">
        <v>490</v>
      </c>
      <c r="H2766" s="52" t="str">
        <f>VLOOKUP(Tabla3[[#This Row],[Site]],'Important Info!'!$A$1:$J$135,10,FALSE)</f>
        <v>https://tools.sig.systems/site/details/133</v>
      </c>
      <c r="I2766" s="2"/>
      <c r="J2766" t="s">
        <v>41</v>
      </c>
      <c r="K2766" s="79" t="str">
        <f>VLOOKUP(Tabla3[[#This Row],[Site]],'Important Info!'!$A$1:$H$135,8,FALSE)</f>
        <v>-</v>
      </c>
      <c r="L2766" s="52" t="str">
        <f>VLOOKUP(Tabla3[[#This Row],[Site]],'Important Info!'!$A$1:$F$135,2,FALSE)</f>
        <v xml:space="preserve">2, 6, 10 </v>
      </c>
      <c r="M2766" s="52" t="str">
        <f>VLOOKUP(Tabla3[[#This Row],[Site]],'Important Info!'!$A$1:$F$135,3,FALSE)</f>
        <v>-</v>
      </c>
      <c r="N2766" s="52" t="str">
        <f>VLOOKUP(Tabla3[[#This Row],[Site]],'Important Info!'!$A$1:$F$135,4,FALSE)</f>
        <v>-</v>
      </c>
      <c r="O2766" s="52" t="str">
        <f>VLOOKUP(Tabla3[[#This Row],[Site]],'Important Info!'!$A$1:$F$135,5,FALSE)</f>
        <v>3, 5, 10, 15</v>
      </c>
      <c r="P2766" s="52" t="str">
        <f>VLOOKUP(Tabla3[[#This Row],[Site]],'Important Info!'!$A$1:$F$135,6,FALSE)</f>
        <v>10, 11</v>
      </c>
      <c r="Q2766" s="91">
        <f>VLOOKUP(Tabla3[[#This Row],[Site]],'Important Info!'!$A$1:$J$135,9,FALSE)</f>
        <v>133</v>
      </c>
    </row>
    <row r="2767" spans="1:17" x14ac:dyDescent="0.25">
      <c r="A2767" t="str">
        <f>+Tabla3[[#This Row],[Site]]&amp;Tabla3[[#This Row],[Split]]</f>
        <v>(KG) Hyundai Surprise27</v>
      </c>
      <c r="B2767">
        <v>27</v>
      </c>
      <c r="C2767">
        <v>23</v>
      </c>
      <c r="D2767" t="s">
        <v>51</v>
      </c>
      <c r="E2767" t="s">
        <v>161</v>
      </c>
      <c r="F2767" t="s">
        <v>118</v>
      </c>
      <c r="G2767" t="s">
        <v>52</v>
      </c>
      <c r="H2767" s="52" t="str">
        <f>VLOOKUP(Tabla3[[#This Row],[Site]],'Important Info!'!$A$1:$J$135,10,FALSE)</f>
        <v>https://tools.sig.systems/site/details/269</v>
      </c>
      <c r="I2767" s="43"/>
      <c r="J2767" t="s">
        <v>162</v>
      </c>
      <c r="K2767" s="79" t="str">
        <f>VLOOKUP(Tabla3[[#This Row],[Site]],'Important Info!'!$A$1:$H$135,8,FALSE)</f>
        <v>-</v>
      </c>
      <c r="L2767" s="52" t="str">
        <f>VLOOKUP(Tabla3[[#This Row],[Site]],'Important Info!'!$A$1:$F$135,2,FALSE)</f>
        <v>1, 6, 7</v>
      </c>
      <c r="M2767" s="52" t="str">
        <f>VLOOKUP(Tabla3[[#This Row],[Site]],'Important Info!'!$A$1:$F$135,3,FALSE)</f>
        <v>-</v>
      </c>
      <c r="N2767" s="52" t="str">
        <f>VLOOKUP(Tabla3[[#This Row],[Site]],'Important Info!'!$A$1:$F$135,4,FALSE)</f>
        <v>-</v>
      </c>
      <c r="O2767" s="52" t="str">
        <f>VLOOKUP(Tabla3[[#This Row],[Site]],'Important Info!'!$A$1:$F$135,5,FALSE)</f>
        <v>6, 13</v>
      </c>
      <c r="P2767" s="52" t="str">
        <f>VLOOKUP(Tabla3[[#This Row],[Site]],'Important Info!'!$A$1:$F$135,6,FALSE)</f>
        <v>-</v>
      </c>
      <c r="Q2767" s="91">
        <f>VLOOKUP(Tabla3[[#This Row],[Site]],'Important Info!'!$A$1:$J$135,9,FALSE)</f>
        <v>269</v>
      </c>
    </row>
    <row r="2768" spans="1:17" x14ac:dyDescent="0.25">
      <c r="A2768" t="str">
        <f>+Tabla3[[#This Row],[Site]]&amp;Tabla3[[#This Row],[Split]]</f>
        <v>(AS) Bill Estes Ford (NO TOURS)27</v>
      </c>
      <c r="B2768">
        <v>27</v>
      </c>
      <c r="C2768">
        <v>24</v>
      </c>
      <c r="D2768" t="s">
        <v>62</v>
      </c>
      <c r="E2768" t="s">
        <v>35</v>
      </c>
      <c r="F2768" t="s">
        <v>178</v>
      </c>
      <c r="G2768" t="s">
        <v>490</v>
      </c>
      <c r="H2768" s="52" t="str">
        <f>VLOOKUP(Tabla3[[#This Row],[Site]],'Important Info!'!$A$1:$J$135,10,FALSE)</f>
        <v>https://tools.sig.systems/site/details/125</v>
      </c>
      <c r="J2768" t="s">
        <v>41</v>
      </c>
      <c r="K2768" s="79" t="str">
        <f>VLOOKUP(Tabla3[[#This Row],[Site]],'Important Info!'!$A$1:$H$135,8,FALSE)</f>
        <v>-</v>
      </c>
      <c r="L2768" s="52" t="str">
        <f>VLOOKUP(Tabla3[[#This Row],[Site]],'Important Info!'!$A$1:$F$135,2,FALSE)</f>
        <v>-</v>
      </c>
      <c r="M2768" s="52" t="str">
        <f>VLOOKUP(Tabla3[[#This Row],[Site]],'Important Info!'!$A$1:$F$135,3,FALSE)</f>
        <v>2, 3, 13, 16</v>
      </c>
      <c r="N2768" s="52" t="str">
        <f>VLOOKUP(Tabla3[[#This Row],[Site]],'Important Info!'!$A$1:$F$135,4,FALSE)</f>
        <v>-</v>
      </c>
      <c r="O2768" s="52" t="str">
        <f>VLOOKUP(Tabla3[[#This Row],[Site]],'Important Info!'!$A$1:$F$135,5,FALSE)</f>
        <v>1, 10, 14, 19</v>
      </c>
      <c r="P2768" s="52" t="str">
        <f>VLOOKUP(Tabla3[[#This Row],[Site]],'Important Info!'!$A$1:$F$135,6,FALSE)</f>
        <v>7, 8, 9, 10, 11, 12, 14</v>
      </c>
      <c r="Q2768" s="91">
        <f>VLOOKUP(Tabla3[[#This Row],[Site]],'Important Info!'!$A$1:$J$135,9,FALSE)</f>
        <v>125</v>
      </c>
    </row>
    <row r="2769" spans="1:17" x14ac:dyDescent="0.25">
      <c r="A2769" t="str">
        <f>+Tabla3[[#This Row],[Site]]&amp;Tabla3[[#This Row],[Split]]</f>
        <v>(DT) Wichita27</v>
      </c>
      <c r="B2769">
        <v>27</v>
      </c>
      <c r="C2769">
        <v>24</v>
      </c>
      <c r="D2769" t="s">
        <v>33</v>
      </c>
      <c r="E2769" t="s">
        <v>46</v>
      </c>
      <c r="F2769" t="s">
        <v>131</v>
      </c>
      <c r="G2769" t="s">
        <v>34</v>
      </c>
      <c r="H2769" s="52" t="str">
        <f>VLOOKUP(Tabla3[[#This Row],[Site]],'Important Info!'!$A$1:$J$135,10,FALSE)</f>
        <v>https://tools.sig.systems/site/details/257</v>
      </c>
      <c r="J2769" t="s">
        <v>41</v>
      </c>
      <c r="K2769" s="79" t="str">
        <f>VLOOKUP(Tabla3[[#This Row],[Site]],'Important Info!'!$A$1:$H$135,8,FALSE)</f>
        <v>-</v>
      </c>
      <c r="L2769" s="52" t="str">
        <f>VLOOKUP(Tabla3[[#This Row],[Site]],'Important Info!'!$A$1:$F$135,2,FALSE)</f>
        <v>-</v>
      </c>
      <c r="M2769" s="52" t="str">
        <f>VLOOKUP(Tabla3[[#This Row],[Site]],'Important Info!'!$A$1:$F$135,3,FALSE)</f>
        <v>10, 11</v>
      </c>
      <c r="N2769" s="52" t="str">
        <f>VLOOKUP(Tabla3[[#This Row],[Site]],'Important Info!'!$A$1:$F$135,4,FALSE)</f>
        <v>-</v>
      </c>
      <c r="O2769" s="52" t="str">
        <f>VLOOKUP(Tabla3[[#This Row],[Site]],'Important Info!'!$A$1:$F$135,5,FALSE)</f>
        <v>-</v>
      </c>
      <c r="P2769" s="52" t="str">
        <f>VLOOKUP(Tabla3[[#This Row],[Site]],'Important Info!'!$A$1:$F$135,6,FALSE)</f>
        <v>1, 5, 6, 10</v>
      </c>
      <c r="Q2769" s="91">
        <f>VLOOKUP(Tabla3[[#This Row],[Site]],'Important Info!'!$A$1:$J$135,9,FALSE)</f>
        <v>257</v>
      </c>
    </row>
    <row r="2770" spans="1:17" x14ac:dyDescent="0.25">
      <c r="A2770" t="str">
        <f>+Tabla3[[#This Row],[Site]]&amp;Tabla3[[#This Row],[Split]]</f>
        <v>(PE) Hudson Toyota Nissan CDJR (NO TOURS)27</v>
      </c>
      <c r="B2770">
        <v>27</v>
      </c>
      <c r="C2770">
        <v>24</v>
      </c>
      <c r="D2770" t="s">
        <v>485</v>
      </c>
      <c r="E2770" t="s">
        <v>35</v>
      </c>
      <c r="F2770" t="s">
        <v>82</v>
      </c>
      <c r="G2770" t="s">
        <v>490</v>
      </c>
      <c r="H2770" s="52" t="str">
        <f>VLOOKUP(Tabla3[[#This Row],[Site]],'Important Info!'!$A$1:$J$135,10,FALSE)</f>
        <v>https://tools.sig.systems/site/details/156</v>
      </c>
      <c r="J2770" t="s">
        <v>41</v>
      </c>
      <c r="K2770" s="79" t="str">
        <f>VLOOKUP(Tabla3[[#This Row],[Site]],'Important Info!'!$A$1:$H$135,8,FALSE)</f>
        <v>-</v>
      </c>
      <c r="L2770" s="52">
        <f>VLOOKUP(Tabla3[[#This Row],[Site]],'Important Info!'!$A$1:$F$135,2,FALSE)</f>
        <v>5</v>
      </c>
      <c r="M2770" s="52" t="str">
        <f>VLOOKUP(Tabla3[[#This Row],[Site]],'Important Info!'!$A$1:$F$135,3,FALSE)</f>
        <v>3, 7, 18</v>
      </c>
      <c r="N2770" s="52" t="str">
        <f>VLOOKUP(Tabla3[[#This Row],[Site]],'Important Info!'!$A$1:$F$135,4,FALSE)</f>
        <v>-</v>
      </c>
      <c r="O2770" s="52">
        <f>VLOOKUP(Tabla3[[#This Row],[Site]],'Important Info!'!$A$1:$F$135,5,FALSE)</f>
        <v>84</v>
      </c>
      <c r="P2770" s="52" t="str">
        <f>VLOOKUP(Tabla3[[#This Row],[Site]],'Important Info!'!$A$1:$F$135,6,FALSE)</f>
        <v>1, 2, 3, 4, 5, 6, 7, 8</v>
      </c>
      <c r="Q2770" s="91">
        <f>VLOOKUP(Tabla3[[#This Row],[Site]],'Important Info!'!$A$1:$J$135,9,FALSE)</f>
        <v>156</v>
      </c>
    </row>
    <row r="2771" spans="1:17" x14ac:dyDescent="0.25">
      <c r="A2771" t="str">
        <f>+Tabla3[[#This Row],[Site]]&amp;Tabla3[[#This Row],[Split]]</f>
        <v>(RV) Toms Camperland Mesa (NO TOURS)27</v>
      </c>
      <c r="B2771">
        <v>27</v>
      </c>
      <c r="C2771">
        <v>24</v>
      </c>
      <c r="D2771" t="s">
        <v>51</v>
      </c>
      <c r="E2771" t="s">
        <v>161</v>
      </c>
      <c r="F2771" t="s">
        <v>81</v>
      </c>
      <c r="G2771" t="s">
        <v>52</v>
      </c>
      <c r="H2771" s="52" t="str">
        <f>VLOOKUP(Tabla3[[#This Row],[Site]],'Important Info!'!$A$1:$J$135,10,FALSE)</f>
        <v>https://tools.sig.systems/site/details/222</v>
      </c>
      <c r="J2771" t="s">
        <v>41</v>
      </c>
      <c r="K2771" s="79" t="str">
        <f>VLOOKUP(Tabla3[[#This Row],[Site]],'Important Info!'!$A$1:$H$135,8,FALSE)</f>
        <v>-</v>
      </c>
      <c r="L2771" s="52" t="str">
        <f>VLOOKUP(Tabla3[[#This Row],[Site]],'Important Info!'!$A$1:$F$135,2,FALSE)</f>
        <v>1, 2</v>
      </c>
      <c r="M2771" s="52" t="str">
        <f>VLOOKUP(Tabla3[[#This Row],[Site]],'Important Info!'!$A$1:$F$135,3,FALSE)</f>
        <v>-</v>
      </c>
      <c r="N2771" s="52" t="str">
        <f>VLOOKUP(Tabla3[[#This Row],[Site]],'Important Info!'!$A$1:$F$135,4,FALSE)</f>
        <v>-</v>
      </c>
      <c r="O2771" s="52" t="str">
        <f>VLOOKUP(Tabla3[[#This Row],[Site]],'Important Info!'!$A$1:$F$135,5,FALSE)</f>
        <v>-</v>
      </c>
      <c r="P2771" s="52" t="str">
        <f>VLOOKUP(Tabla3[[#This Row],[Site]],'Important Info!'!$A$1:$F$135,6,FALSE)</f>
        <v>1, 4, 6, 8, 10, 18</v>
      </c>
      <c r="Q2771" s="91">
        <f>VLOOKUP(Tabla3[[#This Row],[Site]],'Important Info!'!$A$1:$J$135,9,FALSE)</f>
        <v>222</v>
      </c>
    </row>
    <row r="2772" spans="1:17" x14ac:dyDescent="0.25">
      <c r="A2772" t="str">
        <f>+Tabla3[[#This Row],[Site]]&amp;Tabla3[[#This Row],[Split]]</f>
        <v>SIG Office27</v>
      </c>
      <c r="B2772">
        <v>27</v>
      </c>
      <c r="C2772">
        <v>24</v>
      </c>
      <c r="D2772" t="s">
        <v>60</v>
      </c>
      <c r="E2772" t="s">
        <v>35</v>
      </c>
      <c r="F2772" t="s">
        <v>169</v>
      </c>
      <c r="G2772" t="s">
        <v>41</v>
      </c>
      <c r="H2772" s="52" t="str">
        <f>VLOOKUP(Tabla3[[#This Row],[Site]],'Important Info!'!$A$1:$J$135,10,FALSE)</f>
        <v>https://tools.sig.systems/site/details/163</v>
      </c>
      <c r="J2772" t="s">
        <v>41</v>
      </c>
      <c r="K2772" s="79" t="str">
        <f>VLOOKUP(Tabla3[[#This Row],[Site]],'Important Info!'!$A$1:$H$135,8,FALSE)</f>
        <v>-</v>
      </c>
      <c r="L2772" s="52" t="str">
        <f>VLOOKUP(Tabla3[[#This Row],[Site]],'Important Info!'!$A$1:$F$135,2,FALSE)</f>
        <v>-</v>
      </c>
      <c r="M2772" s="52" t="str">
        <f>VLOOKUP(Tabla3[[#This Row],[Site]],'Important Info!'!$A$1:$F$135,3,FALSE)</f>
        <v>-</v>
      </c>
      <c r="N2772" s="52" t="str">
        <f>VLOOKUP(Tabla3[[#This Row],[Site]],'Important Info!'!$A$1:$F$135,4,FALSE)</f>
        <v>-</v>
      </c>
      <c r="O2772" s="52" t="str">
        <f>VLOOKUP(Tabla3[[#This Row],[Site]],'Important Info!'!$A$1:$F$135,5,FALSE)</f>
        <v>-</v>
      </c>
      <c r="P2772" s="52">
        <f>VLOOKUP(Tabla3[[#This Row],[Site]],'Important Info!'!$A$1:$F$135,6,FALSE)</f>
        <v>25</v>
      </c>
      <c r="Q2772" s="91">
        <f>VLOOKUP(Tabla3[[#This Row],[Site]],'Important Info!'!$A$1:$J$135,9,FALSE)</f>
        <v>163</v>
      </c>
    </row>
    <row r="2773" spans="1:17" x14ac:dyDescent="0.25">
      <c r="A2773" t="str">
        <f>+Tabla3[[#This Row],[Site]]&amp;Tabla3[[#This Row],[Split]]</f>
        <v>(ML) Joe Machens Ford Lincoln I &amp; II27</v>
      </c>
      <c r="B2773">
        <v>27</v>
      </c>
      <c r="C2773">
        <v>25</v>
      </c>
      <c r="D2773" t="s">
        <v>33</v>
      </c>
      <c r="E2773" t="s">
        <v>46</v>
      </c>
      <c r="F2773" t="s">
        <v>148</v>
      </c>
      <c r="G2773" t="s">
        <v>34</v>
      </c>
      <c r="H2773" s="52" t="str">
        <f>VLOOKUP(Tabla3[[#This Row],[Site]],'Important Info!'!$A$1:$J$135,10,FALSE)</f>
        <v>https://tools.sig.systems/site/details/266</v>
      </c>
      <c r="I2773" s="43" t="s">
        <v>146</v>
      </c>
      <c r="J2773" t="s">
        <v>41</v>
      </c>
      <c r="K2773" s="79" t="str">
        <f>VLOOKUP(Tabla3[[#This Row],[Site]],'Important Info!'!$A$1:$H$135,8,FALSE)</f>
        <v>-</v>
      </c>
      <c r="L2773" s="52" t="str">
        <f>VLOOKUP(Tabla3[[#This Row],[Site]],'Important Info!'!$A$1:$F$135,2,FALSE)</f>
        <v>-</v>
      </c>
      <c r="M2773" s="52" t="str">
        <f>VLOOKUP(Tabla3[[#This Row],[Site]],'Important Info!'!$A$1:$F$135,3,FALSE)</f>
        <v>4, 6, 9, 13, 14, 17, 26, 27, 28, 29, 30</v>
      </c>
      <c r="N2773" s="52" t="str">
        <f>VLOOKUP(Tabla3[[#This Row],[Site]],'Important Info!'!$A$1:$F$135,4,FALSE)</f>
        <v>-</v>
      </c>
      <c r="O2773" s="52" t="str">
        <f>VLOOKUP(Tabla3[[#This Row],[Site]],'Important Info!'!$A$1:$F$135,5,FALSE)</f>
        <v>23, 40, 49</v>
      </c>
      <c r="P2773" s="52" t="str">
        <f>VLOOKUP(Tabla3[[#This Row],[Site]],'Important Info!'!$A$1:$F$135,6,FALSE)</f>
        <v>-</v>
      </c>
      <c r="Q2773" s="91">
        <f>VLOOKUP(Tabla3[[#This Row],[Site]],'Important Info!'!$A$1:$J$135,9,FALSE)</f>
        <v>266</v>
      </c>
    </row>
    <row r="2774" spans="1:17" x14ac:dyDescent="0.25">
      <c r="A2774" t="str">
        <f>+Tabla3[[#This Row],[Site]]&amp;Tabla3[[#This Row],[Split]]</f>
        <v>(ML) Mazda VW-Lot B27</v>
      </c>
      <c r="B2774">
        <v>27</v>
      </c>
      <c r="C2774">
        <v>25</v>
      </c>
      <c r="D2774" t="s">
        <v>33</v>
      </c>
      <c r="E2774" t="s">
        <v>46</v>
      </c>
      <c r="F2774" t="s">
        <v>9</v>
      </c>
      <c r="G2774" t="s">
        <v>34</v>
      </c>
      <c r="H2774" s="52" t="str">
        <f>VLOOKUP(Tabla3[[#This Row],[Site]],'Important Info!'!$A$1:$J$135,10,FALSE)</f>
        <v>https://tools.sig.systems/site/details/205</v>
      </c>
      <c r="I2774" s="43" t="s">
        <v>142</v>
      </c>
      <c r="J2774" t="s">
        <v>41</v>
      </c>
      <c r="K2774" s="79" t="str">
        <f>VLOOKUP(Tabla3[[#This Row],[Site]],'Important Info!'!$A$1:$H$135,8,FALSE)</f>
        <v>-</v>
      </c>
      <c r="L2774" s="52" t="str">
        <f>VLOOKUP(Tabla3[[#This Row],[Site]],'Important Info!'!$A$1:$F$135,2,FALSE)</f>
        <v>9, 14, 16</v>
      </c>
      <c r="M2774" s="52">
        <f>VLOOKUP(Tabla3[[#This Row],[Site]],'Important Info!'!$A$1:$F$135,3,FALSE)</f>
        <v>1</v>
      </c>
      <c r="N2774" s="52" t="str">
        <f>VLOOKUP(Tabla3[[#This Row],[Site]],'Important Info!'!$A$1:$F$135,4,FALSE)</f>
        <v>-</v>
      </c>
      <c r="O2774" s="52">
        <f>VLOOKUP(Tabla3[[#This Row],[Site]],'Important Info!'!$A$1:$F$135,5,FALSE)</f>
        <v>4</v>
      </c>
      <c r="P2774" s="52" t="str">
        <f>VLOOKUP(Tabla3[[#This Row],[Site]],'Important Info!'!$A$1:$F$135,6,FALSE)</f>
        <v>-</v>
      </c>
      <c r="Q2774" s="91">
        <f>VLOOKUP(Tabla3[[#This Row],[Site]],'Important Info!'!$A$1:$J$135,9,FALSE)</f>
        <v>205</v>
      </c>
    </row>
    <row r="2775" spans="1:17" x14ac:dyDescent="0.25">
      <c r="A2775" t="str">
        <f>+Tabla3[[#This Row],[Site]]&amp;Tabla3[[#This Row],[Split]]</f>
        <v>(PE) BMW of Mamaroneck (NO TOURS)27</v>
      </c>
      <c r="B2775">
        <v>27</v>
      </c>
      <c r="C2775">
        <v>25</v>
      </c>
      <c r="D2775" t="s">
        <v>485</v>
      </c>
      <c r="E2775" t="s">
        <v>35</v>
      </c>
      <c r="F2775" t="s">
        <v>172</v>
      </c>
      <c r="G2775" t="s">
        <v>490</v>
      </c>
      <c r="H2775" s="52" t="str">
        <f>VLOOKUP(Tabla3[[#This Row],[Site]],'Important Info!'!$A$1:$J$135,10,FALSE)</f>
        <v>https://tools.sig.systems/site/details/185</v>
      </c>
      <c r="I2775" s="43"/>
      <c r="J2775" t="s">
        <v>41</v>
      </c>
      <c r="K2775" s="79" t="str">
        <f>VLOOKUP(Tabla3[[#This Row],[Site]],'Important Info!'!$A$1:$H$135,8,FALSE)</f>
        <v>-</v>
      </c>
      <c r="L2775" s="52">
        <f>VLOOKUP(Tabla3[[#This Row],[Site]],'Important Info!'!$A$1:$F$135,2,FALSE)</f>
        <v>9</v>
      </c>
      <c r="M2775" s="52" t="str">
        <f>VLOOKUP(Tabla3[[#This Row],[Site]],'Important Info!'!$A$1:$F$135,3,FALSE)</f>
        <v>2, 3, 4, 5</v>
      </c>
      <c r="N2775" s="52" t="str">
        <f>VLOOKUP(Tabla3[[#This Row],[Site]],'Important Info!'!$A$1:$F$135,4,FALSE)</f>
        <v>-</v>
      </c>
      <c r="O2775" s="52" t="str">
        <f>VLOOKUP(Tabla3[[#This Row],[Site]],'Important Info!'!$A$1:$F$135,5,FALSE)</f>
        <v>-</v>
      </c>
      <c r="P2775" s="52" t="str">
        <f>VLOOKUP(Tabla3[[#This Row],[Site]],'Important Info!'!$A$1:$F$135,6,FALSE)</f>
        <v>4, 6, 7, 8</v>
      </c>
      <c r="Q2775" s="91">
        <f>VLOOKUP(Tabla3[[#This Row],[Site]],'Important Info!'!$A$1:$J$135,9,FALSE)</f>
        <v>185</v>
      </c>
    </row>
    <row r="2776" spans="1:17" x14ac:dyDescent="0.25">
      <c r="A2776" t="str">
        <f>+Tabla3[[#This Row],[Site]]&amp;Tabla3[[#This Row],[Split]]</f>
        <v>(AS) Stevinson Porsche of Littleton (NO TOURS)27</v>
      </c>
      <c r="B2776">
        <v>27</v>
      </c>
      <c r="C2776">
        <v>26</v>
      </c>
      <c r="D2776" t="s">
        <v>44</v>
      </c>
      <c r="E2776" t="s">
        <v>53</v>
      </c>
      <c r="F2776" t="s">
        <v>78</v>
      </c>
      <c r="G2776" t="s">
        <v>45</v>
      </c>
      <c r="H2776" s="52" t="str">
        <f>VLOOKUP(Tabla3[[#This Row],[Site]],'Important Info!'!$A$1:$J$135,10,FALSE)</f>
        <v>https://tools.sig.systems/site/details/242</v>
      </c>
      <c r="J2776" t="s">
        <v>41</v>
      </c>
      <c r="K2776" s="79" t="str">
        <f>VLOOKUP(Tabla3[[#This Row],[Site]],'Important Info!'!$A$1:$H$135,8,FALSE)</f>
        <v>-</v>
      </c>
      <c r="L2776" s="52" t="str">
        <f>VLOOKUP(Tabla3[[#This Row],[Site]],'Important Info!'!$A$1:$F$135,2,FALSE)</f>
        <v>3, 4</v>
      </c>
      <c r="M2776" s="52">
        <f>VLOOKUP(Tabla3[[#This Row],[Site]],'Important Info!'!$A$1:$F$135,3,FALSE)</f>
        <v>2</v>
      </c>
      <c r="N2776" s="52" t="str">
        <f>VLOOKUP(Tabla3[[#This Row],[Site]],'Important Info!'!$A$1:$F$135,4,FALSE)</f>
        <v>-</v>
      </c>
      <c r="O2776" s="52" t="str">
        <f>VLOOKUP(Tabla3[[#This Row],[Site]],'Important Info!'!$A$1:$F$135,5,FALSE)</f>
        <v>-</v>
      </c>
      <c r="P2776" s="52" t="str">
        <f>VLOOKUP(Tabla3[[#This Row],[Site]],'Important Info!'!$A$1:$F$135,6,FALSE)</f>
        <v>3, 4</v>
      </c>
      <c r="Q2776" s="91">
        <f>VLOOKUP(Tabla3[[#This Row],[Site]],'Important Info!'!$A$1:$J$135,9,FALSE)</f>
        <v>242</v>
      </c>
    </row>
    <row r="2777" spans="1:17" x14ac:dyDescent="0.25">
      <c r="A2777" t="str">
        <f>+Tabla3[[#This Row],[Site]]&amp;Tabla3[[#This Row],[Split]]</f>
        <v>(DT) W Houston27</v>
      </c>
      <c r="B2777">
        <v>27</v>
      </c>
      <c r="C2777">
        <v>26</v>
      </c>
      <c r="D2777" t="s">
        <v>33</v>
      </c>
      <c r="E2777" t="s">
        <v>46</v>
      </c>
      <c r="F2777" t="s">
        <v>69</v>
      </c>
      <c r="G2777" t="s">
        <v>34</v>
      </c>
      <c r="H2777" s="52" t="str">
        <f>VLOOKUP(Tabla3[[#This Row],[Site]],'Important Info!'!$A$1:$J$135,10,FALSE)</f>
        <v>https://tools.sig.systems/site/details/197</v>
      </c>
      <c r="I2777" s="2"/>
      <c r="J2777" t="s">
        <v>41</v>
      </c>
      <c r="K2777" s="79" t="str">
        <f>VLOOKUP(Tabla3[[#This Row],[Site]],'Important Info!'!$A$1:$H$135,8,FALSE)</f>
        <v>-</v>
      </c>
      <c r="L2777" s="52">
        <f>VLOOKUP(Tabla3[[#This Row],[Site]],'Important Info!'!$A$1:$F$135,2,FALSE)</f>
        <v>7</v>
      </c>
      <c r="M2777" s="52">
        <f>VLOOKUP(Tabla3[[#This Row],[Site]],'Important Info!'!$A$1:$F$135,3,FALSE)</f>
        <v>2</v>
      </c>
      <c r="N2777" s="52" t="str">
        <f>VLOOKUP(Tabla3[[#This Row],[Site]],'Important Info!'!$A$1:$F$135,4,FALSE)</f>
        <v>-</v>
      </c>
      <c r="O2777" s="52">
        <f>VLOOKUP(Tabla3[[#This Row],[Site]],'Important Info!'!$A$1:$F$135,5,FALSE)</f>
        <v>14</v>
      </c>
      <c r="P2777" s="52" t="str">
        <f>VLOOKUP(Tabla3[[#This Row],[Site]],'Important Info!'!$A$1:$F$135,6,FALSE)</f>
        <v>2, 3, 7, 10</v>
      </c>
      <c r="Q2777" s="91">
        <f>VLOOKUP(Tabla3[[#This Row],[Site]],'Important Info!'!$A$1:$J$135,9,FALSE)</f>
        <v>197</v>
      </c>
    </row>
    <row r="2778" spans="1:17" x14ac:dyDescent="0.25">
      <c r="A2778" t="str">
        <f>+Tabla3[[#This Row],[Site]]&amp;Tabla3[[#This Row],[Split]]</f>
        <v>(KG) Baytown GMC Buick - Remote Lot (NO TOURS)27</v>
      </c>
      <c r="B2778">
        <v>27</v>
      </c>
      <c r="C2778">
        <v>26</v>
      </c>
      <c r="D2778" t="s">
        <v>60</v>
      </c>
      <c r="E2778" t="s">
        <v>46</v>
      </c>
      <c r="F2778" t="s">
        <v>167</v>
      </c>
      <c r="G2778" t="s">
        <v>41</v>
      </c>
      <c r="H2778" s="52" t="str">
        <f>VLOOKUP(Tabla3[[#This Row],[Site]],'Important Info!'!$A$1:$J$135,10,FALSE)</f>
        <v>https://tools.sig.systems/site/details/311</v>
      </c>
      <c r="I2778" s="43"/>
      <c r="J2778" t="s">
        <v>41</v>
      </c>
      <c r="K2778" s="79" t="s">
        <v>168</v>
      </c>
      <c r="L2778" s="52" t="str">
        <f>VLOOKUP(Tabla3[[#This Row],[Site]],'Important Info!'!$A$1:$F$135,2,FALSE)</f>
        <v>-</v>
      </c>
      <c r="M2778" s="52" t="str">
        <f>VLOOKUP(Tabla3[[#This Row],[Site]],'Important Info!'!$A$1:$F$135,3,FALSE)</f>
        <v>7, 8</v>
      </c>
      <c r="N2778" s="52" t="str">
        <f>VLOOKUP(Tabla3[[#This Row],[Site]],'Important Info!'!$A$1:$F$135,4,FALSE)</f>
        <v>-</v>
      </c>
      <c r="O2778" s="52" t="str">
        <f>VLOOKUP(Tabla3[[#This Row],[Site]],'Important Info!'!$A$1:$F$135,5,FALSE)</f>
        <v>-</v>
      </c>
      <c r="P2778" s="52" t="str">
        <f>VLOOKUP(Tabla3[[#This Row],[Site]],'Important Info!'!$A$1:$F$135,6,FALSE)</f>
        <v>-</v>
      </c>
      <c r="Q2778" s="91">
        <f>VLOOKUP(Tabla3[[#This Row],[Site]],'Important Info!'!$A$1:$J$135,9,FALSE)</f>
        <v>311</v>
      </c>
    </row>
    <row r="2779" spans="1:17" x14ac:dyDescent="0.25">
      <c r="A2779" t="str">
        <f>+Tabla3[[#This Row],[Site]]&amp;Tabla3[[#This Row],[Split]]</f>
        <v>(KG) Baytown GMC Buick (NO TOURS)27</v>
      </c>
      <c r="B2779">
        <v>27</v>
      </c>
      <c r="C2779">
        <v>26</v>
      </c>
      <c r="D2779" t="s">
        <v>33</v>
      </c>
      <c r="E2779" t="s">
        <v>46</v>
      </c>
      <c r="F2779" t="s">
        <v>132</v>
      </c>
      <c r="G2779" t="s">
        <v>34</v>
      </c>
      <c r="H2779" s="52" t="str">
        <f>VLOOKUP(Tabla3[[#This Row],[Site]],'Important Info!'!$A$1:$J$135,10,FALSE)</f>
        <v>https://tools.sig.systems/site/details/239</v>
      </c>
      <c r="I2779" s="43"/>
      <c r="J2779" t="s">
        <v>41</v>
      </c>
      <c r="K2779" s="79" t="str">
        <f>VLOOKUP(Tabla3[[#This Row],[Site]],'Important Info!'!$A$1:$H$135,8,FALSE)</f>
        <v>-</v>
      </c>
      <c r="L2779" s="52" t="str">
        <f>VLOOKUP(Tabla3[[#This Row],[Site]],'Important Info!'!$A$1:$F$135,2,FALSE)</f>
        <v>1, 5, 7, 21, 22</v>
      </c>
      <c r="M2779" s="52" t="str">
        <f>VLOOKUP(Tabla3[[#This Row],[Site]],'Important Info!'!$A$1:$F$135,3,FALSE)</f>
        <v>-</v>
      </c>
      <c r="N2779" s="52" t="str">
        <f>VLOOKUP(Tabla3[[#This Row],[Site]],'Important Info!'!$A$1:$F$135,4,FALSE)</f>
        <v>-</v>
      </c>
      <c r="O2779" s="52" t="str">
        <f>VLOOKUP(Tabla3[[#This Row],[Site]],'Important Info!'!$A$1:$F$135,5,FALSE)</f>
        <v>2, 10, 15, 24B</v>
      </c>
      <c r="P2779" s="52" t="str">
        <f>VLOOKUP(Tabla3[[#This Row],[Site]],'Important Info!'!$A$1:$F$135,6,FALSE)</f>
        <v>21, 22</v>
      </c>
      <c r="Q2779" s="91">
        <f>VLOOKUP(Tabla3[[#This Row],[Site]],'Important Info!'!$A$1:$J$135,9,FALSE)</f>
        <v>239</v>
      </c>
    </row>
    <row r="2780" spans="1:17" x14ac:dyDescent="0.25">
      <c r="A2780" t="str">
        <f>+Tabla3[[#This Row],[Site]]&amp;Tabla3[[#This Row],[Split]]</f>
        <v>(ML) Collision Center N Little Rock27</v>
      </c>
      <c r="B2780">
        <v>27</v>
      </c>
      <c r="C2780">
        <v>26</v>
      </c>
      <c r="D2780" t="s">
        <v>33</v>
      </c>
      <c r="E2780" t="s">
        <v>46</v>
      </c>
      <c r="F2780" t="s">
        <v>141</v>
      </c>
      <c r="G2780" t="s">
        <v>34</v>
      </c>
      <c r="H2780" s="52" t="str">
        <f>VLOOKUP(Tabla3[[#This Row],[Site]],'Important Info!'!$A$1:$J$135,10,FALSE)</f>
        <v>https://tools.sig.systems/site/details/212</v>
      </c>
      <c r="I2780" s="2" t="s">
        <v>142</v>
      </c>
      <c r="J2780" t="s">
        <v>41</v>
      </c>
      <c r="K2780" s="79" t="str">
        <f>VLOOKUP(Tabla3[[#This Row],[Site]],'Important Info!'!$A$1:$H$135,8,FALSE)</f>
        <v>-</v>
      </c>
      <c r="L2780" s="52" t="str">
        <f>VLOOKUP(Tabla3[[#This Row],[Site]],'Important Info!'!$A$1:$F$135,2,FALSE)</f>
        <v>-</v>
      </c>
      <c r="M2780" s="52" t="str">
        <f>VLOOKUP(Tabla3[[#This Row],[Site]],'Important Info!'!$A$1:$F$135,3,FALSE)</f>
        <v>-</v>
      </c>
      <c r="N2780" s="52" t="str">
        <f>VLOOKUP(Tabla3[[#This Row],[Site]],'Important Info!'!$A$1:$F$135,4,FALSE)</f>
        <v>-</v>
      </c>
      <c r="O2780" s="52" t="str">
        <f>VLOOKUP(Tabla3[[#This Row],[Site]],'Important Info!'!$A$1:$F$135,5,FALSE)</f>
        <v>-</v>
      </c>
      <c r="P2780" s="52" t="str">
        <f>VLOOKUP(Tabla3[[#This Row],[Site]],'Important Info!'!$A$1:$F$135,6,FALSE)</f>
        <v>1, 3, 7, 8</v>
      </c>
      <c r="Q2780" s="91">
        <f>VLOOKUP(Tabla3[[#This Row],[Site]],'Important Info!'!$A$1:$J$135,9,FALSE)</f>
        <v>212</v>
      </c>
    </row>
    <row r="2781" spans="1:17" x14ac:dyDescent="0.25">
      <c r="A2781" t="str">
        <f>+Tabla3[[#This Row],[Site]]&amp;Tabla3[[#This Row],[Split]]</f>
        <v>(PE) BMW Tenafly (NO TOURS)27</v>
      </c>
      <c r="B2781">
        <v>27</v>
      </c>
      <c r="C2781">
        <v>26</v>
      </c>
      <c r="D2781" t="s">
        <v>485</v>
      </c>
      <c r="E2781" t="s">
        <v>35</v>
      </c>
      <c r="F2781" t="s">
        <v>173</v>
      </c>
      <c r="G2781" t="s">
        <v>490</v>
      </c>
      <c r="H2781" s="52" t="str">
        <f>VLOOKUP(Tabla3[[#This Row],[Site]],'Important Info!'!$A$1:$J$135,10,FALSE)</f>
        <v>https://tools.sig.systems/site/details/155</v>
      </c>
      <c r="I2781" s="2"/>
      <c r="J2781" t="s">
        <v>41</v>
      </c>
      <c r="K2781" s="79" t="str">
        <f>VLOOKUP(Tabla3[[#This Row],[Site]],'Important Info!'!$A$1:$H$135,8,FALSE)</f>
        <v>-</v>
      </c>
      <c r="L2781" s="52">
        <f>VLOOKUP(Tabla3[[#This Row],[Site]],'Important Info!'!$A$1:$F$135,2,FALSE)</f>
        <v>24</v>
      </c>
      <c r="M2781" s="52" t="str">
        <f>VLOOKUP(Tabla3[[#This Row],[Site]],'Important Info!'!$A$1:$F$135,3,FALSE)</f>
        <v>1, 3, 4, 17, 23</v>
      </c>
      <c r="N2781" s="52" t="str">
        <f>VLOOKUP(Tabla3[[#This Row],[Site]],'Important Info!'!$A$1:$F$135,4,FALSE)</f>
        <v>-</v>
      </c>
      <c r="O2781" s="52" t="str">
        <f>VLOOKUP(Tabla3[[#This Row],[Site]],'Important Info!'!$A$1:$F$135,5,FALSE)</f>
        <v>-</v>
      </c>
      <c r="P2781" s="52">
        <f>VLOOKUP(Tabla3[[#This Row],[Site]],'Important Info!'!$A$1:$F$135,6,FALSE)</f>
        <v>1</v>
      </c>
      <c r="Q2781" s="91">
        <f>VLOOKUP(Tabla3[[#This Row],[Site]],'Important Info!'!$A$1:$J$135,9,FALSE)</f>
        <v>155</v>
      </c>
    </row>
    <row r="2782" spans="1:17" x14ac:dyDescent="0.25">
      <c r="A2782" t="str">
        <f>+Tabla3[[#This Row],[Site]]&amp;Tabla3[[#This Row],[Split]]</f>
        <v>(AS) Stevinson Toyota West (NO TOURS)27</v>
      </c>
      <c r="B2782">
        <v>27</v>
      </c>
      <c r="C2782">
        <v>27</v>
      </c>
      <c r="D2782" t="s">
        <v>44</v>
      </c>
      <c r="E2782" t="s">
        <v>53</v>
      </c>
      <c r="F2782" t="s">
        <v>79</v>
      </c>
      <c r="G2782" t="s">
        <v>45</v>
      </c>
      <c r="H2782" s="52" t="str">
        <f>VLOOKUP(Tabla3[[#This Row],[Site]],'Important Info!'!$A$1:$J$135,10,FALSE)</f>
        <v>https://tools.sig.systems/site/details/240</v>
      </c>
      <c r="I2782" s="2" t="s">
        <v>154</v>
      </c>
      <c r="J2782" t="s">
        <v>41</v>
      </c>
      <c r="K2782" s="79" t="str">
        <f>VLOOKUP(Tabla3[[#This Row],[Site]],'Important Info!'!$A$1:$H$135,8,FALSE)</f>
        <v>-</v>
      </c>
      <c r="L2782" s="52" t="str">
        <f>VLOOKUP(Tabla3[[#This Row],[Site]],'Important Info!'!$A$1:$F$135,2,FALSE)</f>
        <v>-</v>
      </c>
      <c r="M2782" s="52" t="str">
        <f>VLOOKUP(Tabla3[[#This Row],[Site]],'Important Info!'!$A$1:$F$135,3,FALSE)</f>
        <v>7, 18, 21</v>
      </c>
      <c r="N2782" s="52" t="str">
        <f>VLOOKUP(Tabla3[[#This Row],[Site]],'Important Info!'!$A$1:$F$135,4,FALSE)</f>
        <v>-</v>
      </c>
      <c r="O2782" s="52" t="str">
        <f>VLOOKUP(Tabla3[[#This Row],[Site]],'Important Info!'!$A$1:$F$135,5,FALSE)</f>
        <v>11, 24, 34</v>
      </c>
      <c r="P2782" s="52" t="str">
        <f>VLOOKUP(Tabla3[[#This Row],[Site]],'Important Info!'!$A$1:$F$135,6,FALSE)</f>
        <v>1, 2, 3, 12</v>
      </c>
      <c r="Q2782" s="91">
        <f>VLOOKUP(Tabla3[[#This Row],[Site]],'Important Info!'!$A$1:$J$135,9,FALSE)</f>
        <v>240</v>
      </c>
    </row>
    <row r="2783" spans="1:17" x14ac:dyDescent="0.25">
      <c r="A2783" t="str">
        <f>+Tabla3[[#This Row],[Site]]&amp;Tabla3[[#This Row],[Split]]</f>
        <v>(DT) Louisville27</v>
      </c>
      <c r="B2783">
        <v>27</v>
      </c>
      <c r="C2783">
        <v>27</v>
      </c>
      <c r="D2783" t="s">
        <v>62</v>
      </c>
      <c r="E2783" t="s">
        <v>35</v>
      </c>
      <c r="F2783" t="s">
        <v>99</v>
      </c>
      <c r="G2783" t="s">
        <v>490</v>
      </c>
      <c r="H2783" s="52" t="str">
        <f>VLOOKUP(Tabla3[[#This Row],[Site]],'Important Info!'!$A$1:$J$135,10,FALSE)</f>
        <v>https://tools.sig.systems/site/details/258</v>
      </c>
      <c r="J2783" t="s">
        <v>41</v>
      </c>
      <c r="K2783" s="79" t="str">
        <f>VLOOKUP(Tabla3[[#This Row],[Site]],'Important Info!'!$A$1:$H$135,8,FALSE)</f>
        <v>-</v>
      </c>
      <c r="L2783" s="52" t="str">
        <f>VLOOKUP(Tabla3[[#This Row],[Site]],'Important Info!'!$A$1:$F$135,2,FALSE)</f>
        <v>-</v>
      </c>
      <c r="M2783" s="52">
        <f>VLOOKUP(Tabla3[[#This Row],[Site]],'Important Info!'!$A$1:$F$135,3,FALSE)</f>
        <v>3</v>
      </c>
      <c r="N2783" s="52" t="str">
        <f>VLOOKUP(Tabla3[[#This Row],[Site]],'Important Info!'!$A$1:$F$135,4,FALSE)</f>
        <v>-</v>
      </c>
      <c r="O2783" s="52" t="str">
        <f>VLOOKUP(Tabla3[[#This Row],[Site]],'Important Info!'!$A$1:$F$135,5,FALSE)</f>
        <v>-</v>
      </c>
      <c r="P2783" s="52" t="str">
        <f>VLOOKUP(Tabla3[[#This Row],[Site]],'Important Info!'!$A$1:$F$135,6,FALSE)</f>
        <v>3, 8</v>
      </c>
      <c r="Q2783" s="91">
        <f>VLOOKUP(Tabla3[[#This Row],[Site]],'Important Info!'!$A$1:$J$135,9,FALSE)</f>
        <v>258</v>
      </c>
    </row>
    <row r="2784" spans="1:17" x14ac:dyDescent="0.25">
      <c r="A2784" t="str">
        <f>+Tabla3[[#This Row],[Site]]&amp;Tabla3[[#This Row],[Split]]</f>
        <v>(ML) Joe Machens Capital City I &amp; II (NO TOURS)27</v>
      </c>
      <c r="B2784">
        <v>27</v>
      </c>
      <c r="C2784">
        <v>27</v>
      </c>
      <c r="D2784" t="s">
        <v>33</v>
      </c>
      <c r="E2784" t="s">
        <v>46</v>
      </c>
      <c r="F2784" t="s">
        <v>72</v>
      </c>
      <c r="G2784" t="s">
        <v>34</v>
      </c>
      <c r="H2784" s="52" t="str">
        <f>VLOOKUP(Tabla3[[#This Row],[Site]],'Important Info!'!$A$1:$J$135,10,FALSE)</f>
        <v>https://tools.sig.systems/site/details/271</v>
      </c>
      <c r="I2784" s="43"/>
      <c r="J2784" t="s">
        <v>41</v>
      </c>
      <c r="K2784" s="79" t="str">
        <f>VLOOKUP(Tabla3[[#This Row],[Site]],'Important Info!'!$A$1:$H$135,8,FALSE)</f>
        <v>-</v>
      </c>
      <c r="L2784" s="52" t="str">
        <f>VLOOKUP(Tabla3[[#This Row],[Site]],'Important Info!'!$A$1:$F$135,2,FALSE)</f>
        <v>-</v>
      </c>
      <c r="M2784" s="52" t="str">
        <f>VLOOKUP(Tabla3[[#This Row],[Site]],'Important Info!'!$A$1:$F$135,3,FALSE)</f>
        <v>1, 3, 4, 20, 25, 27, 28</v>
      </c>
      <c r="N2784" s="52" t="str">
        <f>VLOOKUP(Tabla3[[#This Row],[Site]],'Important Info!'!$A$1:$F$135,4,FALSE)</f>
        <v>-</v>
      </c>
      <c r="O2784" s="52">
        <f>VLOOKUP(Tabla3[[#This Row],[Site]],'Important Info!'!$A$1:$F$135,5,FALSE)</f>
        <v>29</v>
      </c>
      <c r="P2784" s="52" t="str">
        <f>VLOOKUP(Tabla3[[#This Row],[Site]],'Important Info!'!$A$1:$F$135,6,FALSE)</f>
        <v>19, 20</v>
      </c>
      <c r="Q2784" s="91">
        <f>VLOOKUP(Tabla3[[#This Row],[Site]],'Important Info!'!$A$1:$J$135,9,FALSE)</f>
        <v>271</v>
      </c>
    </row>
    <row r="2785" spans="1:17" x14ac:dyDescent="0.25">
      <c r="A2785" t="str">
        <f>+Tabla3[[#This Row],[Site]]&amp;Tabla3[[#This Row],[Split]]</f>
        <v>(PE) JLR Darien PDI (NO TOURS)27</v>
      </c>
      <c r="B2785">
        <v>27</v>
      </c>
      <c r="C2785">
        <v>27</v>
      </c>
      <c r="D2785" t="s">
        <v>485</v>
      </c>
      <c r="E2785" t="s">
        <v>35</v>
      </c>
      <c r="F2785" t="s">
        <v>98</v>
      </c>
      <c r="G2785" t="s">
        <v>490</v>
      </c>
      <c r="H2785" s="52" t="str">
        <f>VLOOKUP(Tabla3[[#This Row],[Site]],'Important Info!'!$A$1:$J$135,10,FALSE)</f>
        <v>https://tools.sig.systems/site/details/187</v>
      </c>
      <c r="I2785" t="s">
        <v>175</v>
      </c>
      <c r="J2785" t="s">
        <v>41</v>
      </c>
      <c r="K2785" s="79" t="str">
        <f>VLOOKUP(Tabla3[[#This Row],[Site]],'Important Info!'!$A$1:$H$135,8,FALSE)</f>
        <v>-</v>
      </c>
      <c r="L2785" s="52">
        <f>VLOOKUP(Tabla3[[#This Row],[Site]],'Important Info!'!$A$1:$F$135,2,FALSE)</f>
        <v>1</v>
      </c>
      <c r="M2785" s="52" t="str">
        <f>VLOOKUP(Tabla3[[#This Row],[Site]],'Important Info!'!$A$1:$F$135,3,FALSE)</f>
        <v>-</v>
      </c>
      <c r="N2785" s="52" t="str">
        <f>VLOOKUP(Tabla3[[#This Row],[Site]],'Important Info!'!$A$1:$F$135,4,FALSE)</f>
        <v>-</v>
      </c>
      <c r="O2785" s="52">
        <f>VLOOKUP(Tabla3[[#This Row],[Site]],'Important Info!'!$A$1:$F$135,5,FALSE)</f>
        <v>1</v>
      </c>
      <c r="P2785" s="52">
        <f>VLOOKUP(Tabla3[[#This Row],[Site]],'Important Info!'!$A$1:$F$135,6,FALSE)</f>
        <v>7</v>
      </c>
      <c r="Q2785" s="91">
        <f>VLOOKUP(Tabla3[[#This Row],[Site]],'Important Info!'!$A$1:$J$135,9,FALSE)</f>
        <v>187</v>
      </c>
    </row>
    <row r="2786" spans="1:17" x14ac:dyDescent="0.25">
      <c r="A2786" t="str">
        <f>+Tabla3[[#This Row],[Site]]&amp;Tabla3[[#This Row],[Split]]</f>
        <v>(AS) Park Place Bodywerks Ft. Worth (NO TOURS)28</v>
      </c>
      <c r="B2786">
        <v>28</v>
      </c>
      <c r="C2786">
        <v>1</v>
      </c>
      <c r="D2786" t="s">
        <v>33</v>
      </c>
      <c r="E2786" t="s">
        <v>46</v>
      </c>
      <c r="F2786" t="s">
        <v>515</v>
      </c>
      <c r="G2786" t="s">
        <v>34</v>
      </c>
      <c r="H2786" s="52" t="str">
        <f>VLOOKUP(Tabla3[[#This Row],[Site]],'Important Info!'!$A$1:$J$135,10,FALSE)</f>
        <v>https://tools.sig.systems/site/details/134</v>
      </c>
      <c r="I2786" s="8" t="s">
        <v>128</v>
      </c>
      <c r="J2786" t="s">
        <v>41</v>
      </c>
      <c r="K2786" s="79" t="str">
        <f>VLOOKUP(Tabla3[[#This Row],[Site]],'Important Info!'!$A$1:$H$135,8,FALSE)</f>
        <v>-</v>
      </c>
      <c r="L2786" s="52" t="str">
        <f>VLOOKUP(Tabla3[[#This Row],[Site]],'Important Info!'!$A$1:$F$135,2,FALSE)</f>
        <v>2, 3, RemoteLot5, RemoteLot9</v>
      </c>
      <c r="M2786" s="52" t="str">
        <f>VLOOKUP(Tabla3[[#This Row],[Site]],'Important Info!'!$A$1:$F$135,3,FALSE)</f>
        <v>-</v>
      </c>
      <c r="N2786" s="52" t="str">
        <f>VLOOKUP(Tabla3[[#This Row],[Site]],'Important Info!'!$A$1:$F$135,4,FALSE)</f>
        <v>-</v>
      </c>
      <c r="O2786" s="52" t="str">
        <f>VLOOKUP(Tabla3[[#This Row],[Site]],'Important Info!'!$A$1:$F$135,5,FALSE)</f>
        <v>1, 7, RL1, RL5, RL9</v>
      </c>
      <c r="P2786" s="52" t="str">
        <f>VLOOKUP(Tabla3[[#This Row],[Site]],'Important Info!'!$A$1:$F$135,6,FALSE)</f>
        <v>3, 4, 15</v>
      </c>
      <c r="Q2786" s="91">
        <f>VLOOKUP(Tabla3[[#This Row],[Site]],'Important Info!'!$A$1:$J$135,9,FALSE)</f>
        <v>134</v>
      </c>
    </row>
    <row r="2787" spans="1:17" x14ac:dyDescent="0.25">
      <c r="A2787" t="str">
        <f>+Tabla3[[#This Row],[Site]]&amp;Tabla3[[#This Row],[Split]]</f>
        <v>(AS) Park Place Volvo Service Center (NO TOURS)28</v>
      </c>
      <c r="B2787">
        <v>28</v>
      </c>
      <c r="C2787">
        <v>1</v>
      </c>
      <c r="D2787" t="s">
        <v>33</v>
      </c>
      <c r="E2787" t="s">
        <v>46</v>
      </c>
      <c r="F2787" t="s">
        <v>522</v>
      </c>
      <c r="G2787" t="s">
        <v>34</v>
      </c>
      <c r="H2787" s="52" t="str">
        <f>VLOOKUP(Tabla3[[#This Row],[Site]],'Important Info!'!$A$1:$J$135,10,FALSE)</f>
        <v>https://tools.sig.systems/site/details/171</v>
      </c>
      <c r="I2787" s="65" t="s">
        <v>125</v>
      </c>
      <c r="J2787" t="s">
        <v>41</v>
      </c>
      <c r="K2787" s="79" t="str">
        <f>VLOOKUP(Tabla3[[#This Row],[Site]],'Important Info!'!$A$1:$H$135,8,FALSE)</f>
        <v>-</v>
      </c>
      <c r="L2787" s="52" t="str">
        <f>VLOOKUP(Tabla3[[#This Row],[Site]],'Important Info!'!$A$1:$F$135,2,FALSE)</f>
        <v>3, 6, 9, 27, 31, 35</v>
      </c>
      <c r="M2787" s="52" t="str">
        <f>VLOOKUP(Tabla3[[#This Row],[Site]],'Important Info!'!$A$1:$F$135,3,FALSE)</f>
        <v>-</v>
      </c>
      <c r="N2787" s="52" t="str">
        <f>VLOOKUP(Tabla3[[#This Row],[Site]],'Important Info!'!$A$1:$F$135,4,FALSE)</f>
        <v>-</v>
      </c>
      <c r="O2787" s="52" t="str">
        <f>VLOOKUP(Tabla3[[#This Row],[Site]],'Important Info!'!$A$1:$F$135,5,FALSE)</f>
        <v>27, 32</v>
      </c>
      <c r="P2787" s="52" t="str">
        <f>VLOOKUP(Tabla3[[#This Row],[Site]],'Important Info!'!$A$1:$F$135,6,FALSE)</f>
        <v>-</v>
      </c>
      <c r="Q2787" s="91">
        <f>VLOOKUP(Tabla3[[#This Row],[Site]],'Important Info!'!$A$1:$J$135,9,FALSE)</f>
        <v>171</v>
      </c>
    </row>
    <row r="2788" spans="1:17" x14ac:dyDescent="0.25">
      <c r="A2788" t="str">
        <f>+Tabla3[[#This Row],[Site]]&amp;Tabla3[[#This Row],[Split]]</f>
        <v>(ML) Nissan Of Benton28</v>
      </c>
      <c r="B2788">
        <v>28</v>
      </c>
      <c r="C2788">
        <v>1</v>
      </c>
      <c r="D2788" t="s">
        <v>33</v>
      </c>
      <c r="E2788" t="s">
        <v>46</v>
      </c>
      <c r="F2788" t="s">
        <v>120</v>
      </c>
      <c r="G2788" t="s">
        <v>34</v>
      </c>
      <c r="H2788" s="52" t="str">
        <f>VLOOKUP(Tabla3[[#This Row],[Site]],'Important Info!'!$A$1:$J$135,10,FALSE)</f>
        <v>https://tools.sig.systems/site/details/247</v>
      </c>
      <c r="I2788" s="2"/>
      <c r="J2788" t="s">
        <v>41</v>
      </c>
      <c r="K2788" s="79" t="str">
        <f>VLOOKUP(Tabla3[[#This Row],[Site]],'Important Info!'!$A$1:$H$135,8,FALSE)</f>
        <v>-</v>
      </c>
      <c r="L2788" s="52" t="str">
        <f>VLOOKUP(Tabla3[[#This Row],[Site]],'Important Info!'!$A$1:$F$135,2,FALSE)</f>
        <v>5, 12</v>
      </c>
      <c r="M2788" s="52" t="str">
        <f>VLOOKUP(Tabla3[[#This Row],[Site]],'Important Info!'!$A$1:$F$135,3,FALSE)</f>
        <v>-</v>
      </c>
      <c r="N2788" s="52" t="str">
        <f>VLOOKUP(Tabla3[[#This Row],[Site]],'Important Info!'!$A$1:$F$135,4,FALSE)</f>
        <v>-</v>
      </c>
      <c r="O2788" s="52" t="str">
        <f>VLOOKUP(Tabla3[[#This Row],[Site]],'Important Info!'!$A$1:$F$135,5,FALSE)</f>
        <v>4, 18</v>
      </c>
      <c r="P2788" s="52" t="str">
        <f>VLOOKUP(Tabla3[[#This Row],[Site]],'Important Info!'!$A$1:$F$135,6,FALSE)</f>
        <v>-</v>
      </c>
      <c r="Q2788" s="91">
        <f>VLOOKUP(Tabla3[[#This Row],[Site]],'Important Info!'!$A$1:$J$135,9,FALSE)</f>
        <v>247</v>
      </c>
    </row>
    <row r="2789" spans="1:17" x14ac:dyDescent="0.25">
      <c r="A2789" t="str">
        <f>+Tabla3[[#This Row],[Site]]&amp;Tabla3[[#This Row],[Split]]</f>
        <v>(PE) Scofield Service Center (NO TOURS)28</v>
      </c>
      <c r="B2789">
        <v>28</v>
      </c>
      <c r="C2789">
        <v>1</v>
      </c>
      <c r="D2789" t="s">
        <v>485</v>
      </c>
      <c r="E2789" t="s">
        <v>35</v>
      </c>
      <c r="F2789" t="s">
        <v>83</v>
      </c>
      <c r="G2789" t="s">
        <v>490</v>
      </c>
      <c r="H2789" s="52" t="str">
        <f>VLOOKUP(Tabla3[[#This Row],[Site]],'Important Info!'!$A$1:$J$135,10,FALSE)</f>
        <v>https://tools.sig.systems/site/details/193</v>
      </c>
      <c r="I2789" t="s">
        <v>177</v>
      </c>
      <c r="J2789" t="s">
        <v>41</v>
      </c>
      <c r="K2789" s="79" t="str">
        <f>VLOOKUP(Tabla3[[#This Row],[Site]],'Important Info!'!$A$1:$H$135,8,FALSE)</f>
        <v>-</v>
      </c>
      <c r="L2789" s="52">
        <f>VLOOKUP(Tabla3[[#This Row],[Site]],'Important Info!'!$A$1:$F$135,2,FALSE)</f>
        <v>1</v>
      </c>
      <c r="M2789" s="52" t="str">
        <f>VLOOKUP(Tabla3[[#This Row],[Site]],'Important Info!'!$A$1:$F$135,3,FALSE)</f>
        <v>-</v>
      </c>
      <c r="N2789" s="52" t="str">
        <f>VLOOKUP(Tabla3[[#This Row],[Site]],'Important Info!'!$A$1:$F$135,4,FALSE)</f>
        <v>-</v>
      </c>
      <c r="O2789" s="52">
        <f>VLOOKUP(Tabla3[[#This Row],[Site]],'Important Info!'!$A$1:$F$135,5,FALSE)</f>
        <v>9</v>
      </c>
      <c r="P2789" s="52" t="str">
        <f>VLOOKUP(Tabla3[[#This Row],[Site]],'Important Info!'!$A$1:$F$135,6,FALSE)</f>
        <v>1, 17</v>
      </c>
      <c r="Q2789" s="91">
        <f>VLOOKUP(Tabla3[[#This Row],[Site]],'Important Info!'!$A$1:$J$135,9,FALSE)</f>
        <v>193</v>
      </c>
    </row>
    <row r="2790" spans="1:17" x14ac:dyDescent="0.25">
      <c r="A2790" t="str">
        <f>+Tabla3[[#This Row],[Site]]&amp;Tabla3[[#This Row],[Split]]</f>
        <v>(RV) Toms Camperland Avondale (NO TOURS)28</v>
      </c>
      <c r="B2790">
        <v>28</v>
      </c>
      <c r="C2790">
        <v>1</v>
      </c>
      <c r="D2790" t="s">
        <v>51</v>
      </c>
      <c r="E2790" t="s">
        <v>161</v>
      </c>
      <c r="F2790" t="s">
        <v>80</v>
      </c>
      <c r="G2790" t="s">
        <v>52</v>
      </c>
      <c r="H2790" s="52" t="str">
        <f>VLOOKUP(Tabla3[[#This Row],[Site]],'Important Info!'!$A$1:$J$135,10,FALSE)</f>
        <v>https://tools.sig.systems/site/details/248</v>
      </c>
      <c r="I2790" s="43" t="s">
        <v>163</v>
      </c>
      <c r="J2790" t="s">
        <v>164</v>
      </c>
      <c r="K2790" s="79" t="str">
        <f>VLOOKUP(Tabla3[[#This Row],[Site]],'Important Info!'!$A$1:$H$135,8,FALSE)</f>
        <v>-</v>
      </c>
      <c r="L2790" s="52">
        <f>VLOOKUP(Tabla3[[#This Row],[Site]],'Important Info!'!$A$1:$F$135,2,FALSE)</f>
        <v>10</v>
      </c>
      <c r="M2790" s="52" t="str">
        <f>VLOOKUP(Tabla3[[#This Row],[Site]],'Important Info!'!$A$1:$F$135,3,FALSE)</f>
        <v>2, 7</v>
      </c>
      <c r="N2790" s="52" t="str">
        <f>VLOOKUP(Tabla3[[#This Row],[Site]],'Important Info!'!$A$1:$F$135,4,FALSE)</f>
        <v>-</v>
      </c>
      <c r="O2790" s="52" t="str">
        <f>VLOOKUP(Tabla3[[#This Row],[Site]],'Important Info!'!$A$1:$F$135,5,FALSE)</f>
        <v>-</v>
      </c>
      <c r="P2790" s="52" t="str">
        <f>VLOOKUP(Tabla3[[#This Row],[Site]],'Important Info!'!$A$1:$F$135,6,FALSE)</f>
        <v>2, 7, 8, 13, 15</v>
      </c>
      <c r="Q2790" s="91">
        <f>VLOOKUP(Tabla3[[#This Row],[Site]],'Important Info!'!$A$1:$J$135,9,FALSE)</f>
        <v>248</v>
      </c>
    </row>
    <row r="2791" spans="1:17" x14ac:dyDescent="0.25">
      <c r="A2791" t="str">
        <f>+Tabla3[[#This Row],[Site]]&amp;Tabla3[[#This Row],[Split]]</f>
        <v>(AS) Lexus Smyrna (NO TOURS)28</v>
      </c>
      <c r="B2791">
        <v>28</v>
      </c>
      <c r="C2791">
        <v>2</v>
      </c>
      <c r="D2791" t="s">
        <v>62</v>
      </c>
      <c r="E2791" t="s">
        <v>35</v>
      </c>
      <c r="F2791" t="s">
        <v>84</v>
      </c>
      <c r="G2791" t="s">
        <v>490</v>
      </c>
      <c r="H2791" s="52" t="str">
        <f>VLOOKUP(Tabla3[[#This Row],[Site]],'Important Info!'!$A$1:$J$135,10,FALSE)</f>
        <v>https://tools.sig.systems/site/details/133</v>
      </c>
      <c r="I2791" s="2"/>
      <c r="J2791" t="s">
        <v>41</v>
      </c>
      <c r="K2791" s="79" t="str">
        <f>VLOOKUP(Tabla3[[#This Row],[Site]],'Important Info!'!$A$1:$H$135,8,FALSE)</f>
        <v>-</v>
      </c>
      <c r="L2791" s="52" t="str">
        <f>VLOOKUP(Tabla3[[#This Row],[Site]],'Important Info!'!$A$1:$F$135,2,FALSE)</f>
        <v xml:space="preserve">2, 6, 10 </v>
      </c>
      <c r="M2791" s="52" t="str">
        <f>VLOOKUP(Tabla3[[#This Row],[Site]],'Important Info!'!$A$1:$F$135,3,FALSE)</f>
        <v>-</v>
      </c>
      <c r="N2791" s="52" t="str">
        <f>VLOOKUP(Tabla3[[#This Row],[Site]],'Important Info!'!$A$1:$F$135,4,FALSE)</f>
        <v>-</v>
      </c>
      <c r="O2791" s="52" t="str">
        <f>VLOOKUP(Tabla3[[#This Row],[Site]],'Important Info!'!$A$1:$F$135,5,FALSE)</f>
        <v>3, 5, 10, 15</v>
      </c>
      <c r="P2791" s="52" t="str">
        <f>VLOOKUP(Tabla3[[#This Row],[Site]],'Important Info!'!$A$1:$F$135,6,FALSE)</f>
        <v>10, 11</v>
      </c>
      <c r="Q2791" s="91">
        <f>VLOOKUP(Tabla3[[#This Row],[Site]],'Important Info!'!$A$1:$J$135,9,FALSE)</f>
        <v>133</v>
      </c>
    </row>
    <row r="2792" spans="1:17" x14ac:dyDescent="0.25">
      <c r="A2792" t="str">
        <f>+Tabla3[[#This Row],[Site]]&amp;Tabla3[[#This Row],[Split]]</f>
        <v>(KG) Texan CDJR28</v>
      </c>
      <c r="B2792">
        <v>28</v>
      </c>
      <c r="C2792">
        <v>2</v>
      </c>
      <c r="D2792" t="s">
        <v>33</v>
      </c>
      <c r="E2792" t="s">
        <v>46</v>
      </c>
      <c r="F2792" t="s">
        <v>70</v>
      </c>
      <c r="G2792" t="s">
        <v>34</v>
      </c>
      <c r="H2792" s="52" t="str">
        <f>VLOOKUP(Tabla3[[#This Row],[Site]],'Important Info!'!$A$1:$J$135,10,FALSE)</f>
        <v>https://tools.sig.systems/site/details/238</v>
      </c>
      <c r="I2792" s="2" t="s">
        <v>137</v>
      </c>
      <c r="J2792" t="s">
        <v>41</v>
      </c>
      <c r="K2792" s="79" t="str">
        <f>VLOOKUP(Tabla3[[#This Row],[Site]],'Important Info!'!$A$1:$H$135,8,FALSE)</f>
        <v>-</v>
      </c>
      <c r="L2792" s="52" t="str">
        <f>VLOOKUP(Tabla3[[#This Row],[Site]],'Important Info!'!$A$1:$F$135,2,FALSE)</f>
        <v>11, 12, 13, 14, 20, 32, 34, 36, 77</v>
      </c>
      <c r="M2792" s="52" t="str">
        <f>VLOOKUP(Tabla3[[#This Row],[Site]],'Important Info!'!$A$1:$F$135,3,FALSE)</f>
        <v>-</v>
      </c>
      <c r="N2792" s="52" t="str">
        <f>VLOOKUP(Tabla3[[#This Row],[Site]],'Important Info!'!$A$1:$F$135,4,FALSE)</f>
        <v>67, 68, 69, 70</v>
      </c>
      <c r="O2792" s="52" t="str">
        <f>VLOOKUP(Tabla3[[#This Row],[Site]],'Important Info!'!$A$1:$F$135,5,FALSE)</f>
        <v>2, 10, 14, 25, 29, 35, 38</v>
      </c>
      <c r="P2792" s="52" t="str">
        <f>VLOOKUP(Tabla3[[#This Row],[Site]],'Important Info!'!$A$1:$F$135,6,FALSE)</f>
        <v>36, 46</v>
      </c>
      <c r="Q2792" s="91">
        <f>VLOOKUP(Tabla3[[#This Row],[Site]],'Important Info!'!$A$1:$J$135,9,FALSE)</f>
        <v>238</v>
      </c>
    </row>
    <row r="2793" spans="1:17" x14ac:dyDescent="0.25">
      <c r="A2793" t="str">
        <f>+Tabla3[[#This Row],[Site]]&amp;Tabla3[[#This Row],[Split]]</f>
        <v>(ML) Columbia Honda (NO TOURS)28</v>
      </c>
      <c r="B2793">
        <v>28</v>
      </c>
      <c r="C2793">
        <v>2</v>
      </c>
      <c r="D2793" t="s">
        <v>33</v>
      </c>
      <c r="E2793" t="s">
        <v>46</v>
      </c>
      <c r="F2793" t="s">
        <v>143</v>
      </c>
      <c r="G2793" t="s">
        <v>34</v>
      </c>
      <c r="H2793" s="52" t="str">
        <f>VLOOKUP(Tabla3[[#This Row],[Site]],'Important Info!'!$A$1:$J$135,10,FALSE)</f>
        <v>https://tools.sig.systems/site/details/272</v>
      </c>
      <c r="I2793" s="2" t="s">
        <v>144</v>
      </c>
      <c r="J2793" t="s">
        <v>41</v>
      </c>
      <c r="K2793" s="79" t="str">
        <f>VLOOKUP(Tabla3[[#This Row],[Site]],'Important Info!'!$A$1:$H$135,8,FALSE)</f>
        <v>-</v>
      </c>
      <c r="L2793" s="52" t="str">
        <f>VLOOKUP(Tabla3[[#This Row],[Site]],'Important Info!'!$A$1:$F$135,2,FALSE)</f>
        <v>-</v>
      </c>
      <c r="M2793" s="52" t="str">
        <f>VLOOKUP(Tabla3[[#This Row],[Site]],'Important Info!'!$A$1:$F$135,3,FALSE)</f>
        <v>9, 19, 20</v>
      </c>
      <c r="N2793" s="52" t="str">
        <f>VLOOKUP(Tabla3[[#This Row],[Site]],'Important Info!'!$A$1:$F$135,4,FALSE)</f>
        <v>-</v>
      </c>
      <c r="O2793" s="52" t="str">
        <f>VLOOKUP(Tabla3[[#This Row],[Site]],'Important Info!'!$A$1:$F$135,5,FALSE)</f>
        <v>10, 17, 19</v>
      </c>
      <c r="P2793" s="52" t="str">
        <f>VLOOKUP(Tabla3[[#This Row],[Site]],'Important Info!'!$A$1:$F$135,6,FALSE)</f>
        <v>3, 4, 5</v>
      </c>
      <c r="Q2793" s="91">
        <f>VLOOKUP(Tabla3[[#This Row],[Site]],'Important Info!'!$A$1:$J$135,9,FALSE)</f>
        <v>272</v>
      </c>
    </row>
    <row r="2794" spans="1:17" x14ac:dyDescent="0.25">
      <c r="A2794" t="str">
        <f>+Tabla3[[#This Row],[Site]]&amp;Tabla3[[#This Row],[Split]]</f>
        <v>(KG) Texan GMC Buick (NO TOURS)28</v>
      </c>
      <c r="B2794">
        <v>28</v>
      </c>
      <c r="C2794">
        <v>3</v>
      </c>
      <c r="D2794" t="s">
        <v>33</v>
      </c>
      <c r="E2794" t="s">
        <v>46</v>
      </c>
      <c r="F2794" t="s">
        <v>111</v>
      </c>
      <c r="G2794" t="s">
        <v>34</v>
      </c>
      <c r="H2794" s="52" t="str">
        <f>VLOOKUP(Tabla3[[#This Row],[Site]],'Important Info!'!$A$1:$J$135,10,FALSE)</f>
        <v>https://tools.sig.systems/site/details/225</v>
      </c>
      <c r="I2794" s="43" t="s">
        <v>137</v>
      </c>
      <c r="J2794" t="s">
        <v>41</v>
      </c>
      <c r="K2794" s="79" t="str">
        <f>VLOOKUP(Tabla3[[#This Row],[Site]],'Important Info!'!$A$1:$H$135,8,FALSE)</f>
        <v>-</v>
      </c>
      <c r="L2794" s="52" t="str">
        <f>VLOOKUP(Tabla3[[#This Row],[Site]],'Important Info!'!$A$1:$F$135,2,FALSE)</f>
        <v>1, 20, 53</v>
      </c>
      <c r="M2794" s="52" t="str">
        <f>VLOOKUP(Tabla3[[#This Row],[Site]],'Important Info!'!$A$1:$F$135,3,FALSE)</f>
        <v>-</v>
      </c>
      <c r="N2794" s="52" t="str">
        <f>VLOOKUP(Tabla3[[#This Row],[Site]],'Important Info!'!$A$1:$F$135,4,FALSE)</f>
        <v>-</v>
      </c>
      <c r="O2794" s="52" t="str">
        <f>VLOOKUP(Tabla3[[#This Row],[Site]],'Important Info!'!$A$1:$F$135,5,FALSE)</f>
        <v>2, 8, 14</v>
      </c>
      <c r="P2794" s="52" t="str">
        <f>VLOOKUP(Tabla3[[#This Row],[Site]],'Important Info!'!$A$1:$F$135,6,FALSE)</f>
        <v>51, 52, 16</v>
      </c>
      <c r="Q2794" s="91">
        <f>VLOOKUP(Tabla3[[#This Row],[Site]],'Important Info!'!$A$1:$J$135,9,FALSE)</f>
        <v>225</v>
      </c>
    </row>
    <row r="2795" spans="1:17" x14ac:dyDescent="0.25">
      <c r="A2795" t="str">
        <f>+Tabla3[[#This Row],[Site]]&amp;Tabla3[[#This Row],[Split]]</f>
        <v>(LM) Luther Mazda / Mitsubishi28</v>
      </c>
      <c r="B2795">
        <v>28</v>
      </c>
      <c r="C2795">
        <v>3</v>
      </c>
      <c r="D2795" t="s">
        <v>33</v>
      </c>
      <c r="E2795" t="s">
        <v>46</v>
      </c>
      <c r="F2795" t="s">
        <v>103</v>
      </c>
      <c r="G2795" t="s">
        <v>34</v>
      </c>
      <c r="H2795" s="52" t="str">
        <f>VLOOKUP(Tabla3[[#This Row],[Site]],'Important Info!'!$A$1:$J$135,10,FALSE)</f>
        <v>https://tools.sig.systems/site/details/147</v>
      </c>
      <c r="I2795" s="2" t="s">
        <v>138</v>
      </c>
      <c r="J2795" t="s">
        <v>41</v>
      </c>
      <c r="K2795" s="79" t="str">
        <f>VLOOKUP(Tabla3[[#This Row],[Site]],'Important Info!'!$A$1:$H$135,8,FALSE)</f>
        <v>-</v>
      </c>
      <c r="L2795" s="52" t="str">
        <f>VLOOKUP(Tabla3[[#This Row],[Site]],'Important Info!'!$A$1:$F$135,2,FALSE)</f>
        <v>4, 5, 6</v>
      </c>
      <c r="M2795" s="52" t="str">
        <f>VLOOKUP(Tabla3[[#This Row],[Site]],'Important Info!'!$A$1:$F$135,3,FALSE)</f>
        <v>-</v>
      </c>
      <c r="N2795" s="52" t="str">
        <f>VLOOKUP(Tabla3[[#This Row],[Site]],'Important Info!'!$A$1:$F$135,4,FALSE)</f>
        <v>1, 2</v>
      </c>
      <c r="O2795" s="52" t="str">
        <f>VLOOKUP(Tabla3[[#This Row],[Site]],'Important Info!'!$A$1:$F$135,5,FALSE)</f>
        <v>-</v>
      </c>
      <c r="P2795" s="52" t="str">
        <f>VLOOKUP(Tabla3[[#This Row],[Site]],'Important Info!'!$A$1:$F$135,6,FALSE)</f>
        <v>13, 14, 15, 16</v>
      </c>
      <c r="Q2795" s="91">
        <f>VLOOKUP(Tabla3[[#This Row],[Site]],'Important Info!'!$A$1:$J$135,9,FALSE)</f>
        <v>147</v>
      </c>
    </row>
    <row r="2796" spans="1:17" x14ac:dyDescent="0.25">
      <c r="A2796" t="str">
        <f>+Tabla3[[#This Row],[Site]]&amp;Tabla3[[#This Row],[Split]]</f>
        <v>(ML) Joe Machens CDJR28</v>
      </c>
      <c r="B2796">
        <v>28</v>
      </c>
      <c r="C2796">
        <v>3</v>
      </c>
      <c r="D2796" t="s">
        <v>33</v>
      </c>
      <c r="E2796" t="s">
        <v>46</v>
      </c>
      <c r="F2796" t="s">
        <v>88</v>
      </c>
      <c r="G2796" t="s">
        <v>34</v>
      </c>
      <c r="H2796" s="52" t="str">
        <f>VLOOKUP(Tabla3[[#This Row],[Site]],'Important Info!'!$A$1:$J$135,10,FALSE)</f>
        <v>https://tools.sig.systems/site/details/273</v>
      </c>
      <c r="I2796" s="2" t="s">
        <v>146</v>
      </c>
      <c r="J2796" t="s">
        <v>41</v>
      </c>
      <c r="K2796" s="79" t="str">
        <f>VLOOKUP(Tabla3[[#This Row],[Site]],'Important Info!'!$A$1:$H$135,8,FALSE)</f>
        <v>-</v>
      </c>
      <c r="L2796" s="52" t="str">
        <f>VLOOKUP(Tabla3[[#This Row],[Site]],'Important Info!'!$A$1:$F$135,2,FALSE)</f>
        <v>-</v>
      </c>
      <c r="M2796" s="52">
        <f>VLOOKUP(Tabla3[[#This Row],[Site]],'Important Info!'!$A$1:$F$135,3,FALSE)</f>
        <v>3</v>
      </c>
      <c r="N2796" s="52" t="str">
        <f>VLOOKUP(Tabla3[[#This Row],[Site]],'Important Info!'!$A$1:$F$135,4,FALSE)</f>
        <v>-</v>
      </c>
      <c r="O2796" s="52" t="str">
        <f>VLOOKUP(Tabla3[[#This Row],[Site]],'Important Info!'!$A$1:$F$135,5,FALSE)</f>
        <v>-</v>
      </c>
      <c r="P2796" s="52" t="str">
        <f>VLOOKUP(Tabla3[[#This Row],[Site]],'Important Info!'!$A$1:$F$135,6,FALSE)</f>
        <v>1, 2, 3,</v>
      </c>
      <c r="Q2796" s="91">
        <f>VLOOKUP(Tabla3[[#This Row],[Site]],'Important Info!'!$A$1:$J$135,9,FALSE)</f>
        <v>273</v>
      </c>
    </row>
    <row r="2797" spans="1:17" x14ac:dyDescent="0.25">
      <c r="A2797" t="str">
        <f>+Tabla3[[#This Row],[Site]]&amp;Tabla3[[#This Row],[Split]]</f>
        <v>(PE) BMW of Greenwich (NO TOURS)28</v>
      </c>
      <c r="B2797">
        <v>28</v>
      </c>
      <c r="C2797">
        <v>3</v>
      </c>
      <c r="D2797" t="s">
        <v>485</v>
      </c>
      <c r="E2797" t="s">
        <v>35</v>
      </c>
      <c r="F2797" t="s">
        <v>170</v>
      </c>
      <c r="G2797" t="s">
        <v>490</v>
      </c>
      <c r="H2797" s="52" t="str">
        <f>VLOOKUP(Tabla3[[#This Row],[Site]],'Important Info!'!$A$1:$J$135,10,FALSE)</f>
        <v>https://tools.sig.systems/site/details/186</v>
      </c>
      <c r="I2797" s="43" t="s">
        <v>171</v>
      </c>
      <c r="J2797" t="s">
        <v>41</v>
      </c>
      <c r="K2797" s="79" t="str">
        <f>VLOOKUP(Tabla3[[#This Row],[Site]],'Important Info!'!$A$1:$H$135,8,FALSE)</f>
        <v>-</v>
      </c>
      <c r="L2797" s="52" t="str">
        <f>VLOOKUP(Tabla3[[#This Row],[Site]],'Important Info!'!$A$1:$F$135,2,FALSE)</f>
        <v>1, 6, 15</v>
      </c>
      <c r="M2797" s="52" t="str">
        <f>VLOOKUP(Tabla3[[#This Row],[Site]],'Important Info!'!$A$1:$F$135,3,FALSE)</f>
        <v>-</v>
      </c>
      <c r="N2797" s="52" t="str">
        <f>VLOOKUP(Tabla3[[#This Row],[Site]],'Important Info!'!$A$1:$F$135,4,FALSE)</f>
        <v>-</v>
      </c>
      <c r="O2797" s="52" t="str">
        <f>VLOOKUP(Tabla3[[#This Row],[Site]],'Important Info!'!$A$1:$F$135,5,FALSE)</f>
        <v>-</v>
      </c>
      <c r="P2797" s="52">
        <f>VLOOKUP(Tabla3[[#This Row],[Site]],'Important Info!'!$A$1:$F$135,6,FALSE)</f>
        <v>12</v>
      </c>
      <c r="Q2797" s="91">
        <f>VLOOKUP(Tabla3[[#This Row],[Site]],'Important Info!'!$A$1:$J$135,9,FALSE)</f>
        <v>186</v>
      </c>
    </row>
    <row r="2798" spans="1:17" x14ac:dyDescent="0.25">
      <c r="A2798" t="str">
        <f>+Tabla3[[#This Row],[Site]]&amp;Tabla3[[#This Row],[Split]]</f>
        <v>(PE) Honda of Danbury (NO TOURS)28</v>
      </c>
      <c r="B2798">
        <v>28</v>
      </c>
      <c r="C2798">
        <v>3</v>
      </c>
      <c r="D2798" t="s">
        <v>485</v>
      </c>
      <c r="E2798" t="s">
        <v>35</v>
      </c>
      <c r="F2798" t="s">
        <v>174</v>
      </c>
      <c r="G2798" t="s">
        <v>490</v>
      </c>
      <c r="H2798" s="52" t="str">
        <f>VLOOKUP(Tabla3[[#This Row],[Site]],'Important Info!'!$A$1:$J$135,10,FALSE)</f>
        <v>https://tools.sig.systems/site/details/190</v>
      </c>
      <c r="I2798" s="2"/>
      <c r="J2798" t="s">
        <v>41</v>
      </c>
      <c r="K2798" s="79" t="str">
        <f>VLOOKUP(Tabla3[[#This Row],[Site]],'Important Info!'!$A$1:$H$135,8,FALSE)</f>
        <v>-</v>
      </c>
      <c r="L2798" s="52" t="str">
        <f>VLOOKUP(Tabla3[[#This Row],[Site]],'Important Info!'!$A$1:$F$135,2,FALSE)</f>
        <v>-</v>
      </c>
      <c r="M2798" s="52" t="str">
        <f>VLOOKUP(Tabla3[[#This Row],[Site]],'Important Info!'!$A$1:$F$135,3,FALSE)</f>
        <v>20, 9</v>
      </c>
      <c r="N2798" s="52">
        <f>VLOOKUP(Tabla3[[#This Row],[Site]],'Important Info!'!$A$1:$F$135,4,FALSE)</f>
        <v>9</v>
      </c>
      <c r="O2798" s="52" t="str">
        <f>VLOOKUP(Tabla3[[#This Row],[Site]],'Important Info!'!$A$1:$F$135,5,FALSE)</f>
        <v>-</v>
      </c>
      <c r="P2798" s="52" t="str">
        <f>VLOOKUP(Tabla3[[#This Row],[Site]],'Important Info!'!$A$1:$F$135,6,FALSE)</f>
        <v>9, 16, 17</v>
      </c>
      <c r="Q2798" s="91">
        <f>VLOOKUP(Tabla3[[#This Row],[Site]],'Important Info!'!$A$1:$J$135,9,FALSE)</f>
        <v>190</v>
      </c>
    </row>
    <row r="2799" spans="1:17" x14ac:dyDescent="0.25">
      <c r="A2799" t="str">
        <f>+Tabla3[[#This Row],[Site]]&amp;Tabla3[[#This Row],[Split]]</f>
        <v>(AS) Park Place Volvo Sales (NO TOURS)28</v>
      </c>
      <c r="B2799">
        <v>28</v>
      </c>
      <c r="C2799">
        <v>4</v>
      </c>
      <c r="D2799" t="s">
        <v>33</v>
      </c>
      <c r="E2799" t="s">
        <v>46</v>
      </c>
      <c r="F2799" t="s">
        <v>521</v>
      </c>
      <c r="G2799" t="s">
        <v>34</v>
      </c>
      <c r="H2799" s="52" t="str">
        <f>VLOOKUP(Tabla3[[#This Row],[Site]],'Important Info!'!$A$1:$J$135,10,FALSE)</f>
        <v>https://tools.sig.systems/site/details/139</v>
      </c>
      <c r="I2799" s="65" t="s">
        <v>125</v>
      </c>
      <c r="J2799" t="s">
        <v>41</v>
      </c>
      <c r="K2799" s="79" t="str">
        <f>VLOOKUP(Tabla3[[#This Row],[Site]],'Important Info!'!$A$1:$H$135,8,FALSE)</f>
        <v>-</v>
      </c>
      <c r="L2799" s="52" t="str">
        <f>VLOOKUP(Tabla3[[#This Row],[Site]],'Important Info!'!$A$1:$F$135,2,FALSE)</f>
        <v>4, 6, 9, 11</v>
      </c>
      <c r="M2799" s="52" t="str">
        <f>VLOOKUP(Tabla3[[#This Row],[Site]],'Important Info!'!$A$1:$F$135,3,FALSE)</f>
        <v>-</v>
      </c>
      <c r="N2799" s="52" t="str">
        <f>VLOOKUP(Tabla3[[#This Row],[Site]],'Important Info!'!$A$1:$F$135,4,FALSE)</f>
        <v>-</v>
      </c>
      <c r="O2799" s="52" t="str">
        <f>VLOOKUP(Tabla3[[#This Row],[Site]],'Important Info!'!$A$1:$F$135,5,FALSE)</f>
        <v>2, 9</v>
      </c>
      <c r="P2799" s="52" t="str">
        <f>VLOOKUP(Tabla3[[#This Row],[Site]],'Important Info!'!$A$1:$F$135,6,FALSE)</f>
        <v>4, 10, 11</v>
      </c>
      <c r="Q2799" s="91">
        <f>VLOOKUP(Tabla3[[#This Row],[Site]],'Important Info!'!$A$1:$J$135,9,FALSE)</f>
        <v>139</v>
      </c>
    </row>
    <row r="2800" spans="1:17" x14ac:dyDescent="0.25">
      <c r="A2800" t="str">
        <f>+Tabla3[[#This Row],[Site]]&amp;Tabla3[[#This Row],[Split]]</f>
        <v>(HUD) Nissan Greensboro28</v>
      </c>
      <c r="B2800">
        <v>28</v>
      </c>
      <c r="C2800">
        <v>4</v>
      </c>
      <c r="D2800" t="s">
        <v>62</v>
      </c>
      <c r="E2800" t="s">
        <v>35</v>
      </c>
      <c r="F2800" s="41" t="s">
        <v>66</v>
      </c>
      <c r="G2800" t="s">
        <v>490</v>
      </c>
      <c r="H2800" s="52" t="str">
        <f>VLOOKUP(Tabla3[[#This Row],[Site]],'Important Info!'!$A$1:$J$135,10,FALSE)</f>
        <v>https://tools.sig.systems/site/details/236</v>
      </c>
      <c r="I2800" s="43" t="s">
        <v>184</v>
      </c>
      <c r="J2800" t="s">
        <v>41</v>
      </c>
      <c r="K2800" s="79" t="str">
        <f>VLOOKUP(Tabla3[[#This Row],[Site]],'Important Info!'!$A$1:$H$135,8,FALSE)</f>
        <v>-</v>
      </c>
      <c r="L2800" s="52" t="str">
        <f>VLOOKUP(Tabla3[[#This Row],[Site]],'Important Info!'!$A$1:$F$135,2,FALSE)</f>
        <v>1, 5, 12</v>
      </c>
      <c r="M2800" s="52" t="str">
        <f>VLOOKUP(Tabla3[[#This Row],[Site]],'Important Info!'!$A$1:$F$135,3,FALSE)</f>
        <v>-</v>
      </c>
      <c r="N2800" s="52" t="str">
        <f>VLOOKUP(Tabla3[[#This Row],[Site]],'Important Info!'!$A$1:$F$135,4,FALSE)</f>
        <v>-</v>
      </c>
      <c r="O2800" s="52" t="str">
        <f>VLOOKUP(Tabla3[[#This Row],[Site]],'Important Info!'!$A$1:$F$135,5,FALSE)</f>
        <v>-</v>
      </c>
      <c r="P2800" s="52">
        <f>VLOOKUP(Tabla3[[#This Row],[Site]],'Important Info!'!$A$1:$F$135,6,FALSE)</f>
        <v>4</v>
      </c>
      <c r="Q2800" s="91">
        <f>VLOOKUP(Tabla3[[#This Row],[Site]],'Important Info!'!$A$1:$J$135,9,FALSE)</f>
        <v>236</v>
      </c>
    </row>
    <row r="2801" spans="1:17" x14ac:dyDescent="0.25">
      <c r="A2801" t="str">
        <f>+Tabla3[[#This Row],[Site]]&amp;Tabla3[[#This Row],[Split]]</f>
        <v>(ML) Joe Machens VW28</v>
      </c>
      <c r="B2801">
        <v>28</v>
      </c>
      <c r="C2801">
        <v>4</v>
      </c>
      <c r="D2801" t="s">
        <v>33</v>
      </c>
      <c r="E2801" t="s">
        <v>46</v>
      </c>
      <c r="F2801" t="s">
        <v>74</v>
      </c>
      <c r="G2801" t="s">
        <v>34</v>
      </c>
      <c r="H2801" s="52" t="str">
        <f>VLOOKUP(Tabla3[[#This Row],[Site]],'Important Info!'!$A$1:$J$135,10,FALSE)</f>
        <v>https://tools.sig.systems/site/details/274</v>
      </c>
      <c r="I2801" s="2" t="s">
        <v>146</v>
      </c>
      <c r="J2801" t="s">
        <v>41</v>
      </c>
      <c r="K2801" s="79" t="str">
        <f>VLOOKUP(Tabla3[[#This Row],[Site]],'Important Info!'!$A$1:$H$135,8,FALSE)</f>
        <v>-</v>
      </c>
      <c r="L2801" s="52" t="str">
        <f>VLOOKUP(Tabla3[[#This Row],[Site]],'Important Info!'!$A$1:$F$135,2,FALSE)</f>
        <v>-</v>
      </c>
      <c r="M2801" s="52" t="str">
        <f>VLOOKUP(Tabla3[[#This Row],[Site]],'Important Info!'!$A$1:$F$135,3,FALSE)</f>
        <v>1, 11, 18</v>
      </c>
      <c r="N2801" s="52" t="str">
        <f>VLOOKUP(Tabla3[[#This Row],[Site]],'Important Info!'!$A$1:$F$135,4,FALSE)</f>
        <v>-</v>
      </c>
      <c r="O2801" s="52">
        <f>VLOOKUP(Tabla3[[#This Row],[Site]],'Important Info!'!$A$1:$F$135,5,FALSE)</f>
        <v>17</v>
      </c>
      <c r="P2801" s="52" t="str">
        <f>VLOOKUP(Tabla3[[#This Row],[Site]],'Important Info!'!$A$1:$F$135,6,FALSE)</f>
        <v>-</v>
      </c>
      <c r="Q2801" s="91">
        <f>VLOOKUP(Tabla3[[#This Row],[Site]],'Important Info!'!$A$1:$J$135,9,FALSE)</f>
        <v>274</v>
      </c>
    </row>
    <row r="2802" spans="1:17" x14ac:dyDescent="0.25">
      <c r="A2802" t="str">
        <f>+Tabla3[[#This Row],[Site]]&amp;Tabla3[[#This Row],[Split]]</f>
        <v>(SCH) Chevrolet North Palm28</v>
      </c>
      <c r="B2802">
        <v>28</v>
      </c>
      <c r="C2802">
        <v>4</v>
      </c>
      <c r="D2802" t="s">
        <v>62</v>
      </c>
      <c r="E2802" t="s">
        <v>35</v>
      </c>
      <c r="F2802" t="s">
        <v>101</v>
      </c>
      <c r="G2802" t="s">
        <v>490</v>
      </c>
      <c r="H2802" s="52" t="str">
        <f>VLOOKUP(Tabla3[[#This Row],[Site]],'Important Info!'!$A$1:$J$135,10,FALSE)</f>
        <v>https://tools.sig.systems/site/details/160</v>
      </c>
      <c r="I2802" s="2"/>
      <c r="J2802" t="s">
        <v>36</v>
      </c>
      <c r="K2802" s="79" t="str">
        <f>VLOOKUP(Tabla3[[#This Row],[Site]],'Important Info!'!$A$1:$H$135,8,FALSE)</f>
        <v>-</v>
      </c>
      <c r="L2802" s="52" t="str">
        <f>VLOOKUP(Tabla3[[#This Row],[Site]],'Important Info!'!$A$1:$F$135,2,FALSE)</f>
        <v xml:space="preserve">7, 10B, 11, 15 </v>
      </c>
      <c r="M2802" s="52" t="str">
        <f>VLOOKUP(Tabla3[[#This Row],[Site]],'Important Info!'!$A$1:$F$135,3,FALSE)</f>
        <v>-</v>
      </c>
      <c r="N2802" s="52" t="str">
        <f>VLOOKUP(Tabla3[[#This Row],[Site]],'Important Info!'!$A$1:$F$135,4,FALSE)</f>
        <v>-</v>
      </c>
      <c r="O2802" s="52" t="str">
        <f>VLOOKUP(Tabla3[[#This Row],[Site]],'Important Info!'!$A$1:$F$135,5,FALSE)</f>
        <v>-</v>
      </c>
      <c r="P2802" s="52" t="str">
        <f>VLOOKUP(Tabla3[[#This Row],[Site]],'Important Info!'!$A$1:$F$135,6,FALSE)</f>
        <v>1, 15, 16, 17, 18, 19, 20</v>
      </c>
      <c r="Q2802" s="91">
        <f>VLOOKUP(Tabla3[[#This Row],[Site]],'Important Info!'!$A$1:$J$135,9,FALSE)</f>
        <v>160</v>
      </c>
    </row>
    <row r="2803" spans="1:17" x14ac:dyDescent="0.25">
      <c r="A2803" t="str">
        <f>+Tabla3[[#This Row],[Site]]&amp;Tabla3[[#This Row],[Split]]</f>
        <v>(AS) Mercedes Benz/Porsche Dallas I,II,III (NO TOURS)28</v>
      </c>
      <c r="B2803">
        <v>28</v>
      </c>
      <c r="C2803">
        <v>5</v>
      </c>
      <c r="D2803" t="s">
        <v>33</v>
      </c>
      <c r="E2803" t="s">
        <v>46</v>
      </c>
      <c r="F2803" t="s">
        <v>509</v>
      </c>
      <c r="G2803" t="s">
        <v>34</v>
      </c>
      <c r="H2803" s="52" t="str">
        <f>VLOOKUP(Tabla3[[#This Row],[Site]],'Important Info!'!$A$1:$J$135,10,FALSE)</f>
        <v>https://tools.sig.systems/site/details/168</v>
      </c>
      <c r="I2803" s="65" t="s">
        <v>125</v>
      </c>
      <c r="J2803" t="s">
        <v>41</v>
      </c>
      <c r="K2803" s="79" t="str">
        <f>VLOOKUP(Tabla3[[#This Row],[Site]],'Important Info!'!$A$1:$H$135,8,FALSE)</f>
        <v>-</v>
      </c>
      <c r="L2803" s="52" t="str">
        <f>VLOOKUP(Tabla3[[#This Row],[Site]],'Important Info!'!$A$1:$F$135,2,FALSE)</f>
        <v>3, 4, 17, 26, 41</v>
      </c>
      <c r="M2803" s="52" t="str">
        <f>VLOOKUP(Tabla3[[#This Row],[Site]],'Important Info!'!$A$1:$F$135,3,FALSE)</f>
        <v>-</v>
      </c>
      <c r="N2803" s="52" t="str">
        <f>VLOOKUP(Tabla3[[#This Row],[Site]],'Important Info!'!$A$1:$F$135,4,FALSE)</f>
        <v>153, 154, 155, 156, 157, 158</v>
      </c>
      <c r="O2803" s="52" t="str">
        <f>VLOOKUP(Tabla3[[#This Row],[Site]],'Important Info!'!$A$1:$F$135,5,FALSE)</f>
        <v>2, 6, 10, 20, 28, 30, 36</v>
      </c>
      <c r="P2803" s="52" t="str">
        <f>VLOOKUP(Tabla3[[#This Row],[Site]],'Important Info!'!$A$1:$F$135,6,FALSE)</f>
        <v>31, 41, 159</v>
      </c>
      <c r="Q2803" s="91">
        <f>VLOOKUP(Tabla3[[#This Row],[Site]],'Important Info!'!$A$1:$J$135,9,FALSE)</f>
        <v>168</v>
      </c>
    </row>
    <row r="2804" spans="1:17" x14ac:dyDescent="0.25">
      <c r="A2804" t="str">
        <f>+Tabla3[[#This Row],[Site]]&amp;Tabla3[[#This Row],[Split]]</f>
        <v>(ML) Joe Machens Toyota28</v>
      </c>
      <c r="B2804">
        <v>28</v>
      </c>
      <c r="C2804">
        <v>5</v>
      </c>
      <c r="D2804" t="s">
        <v>33</v>
      </c>
      <c r="E2804" t="s">
        <v>46</v>
      </c>
      <c r="F2804" t="s">
        <v>73</v>
      </c>
      <c r="G2804" t="s">
        <v>34</v>
      </c>
      <c r="H2804" s="52" t="str">
        <f>VLOOKUP(Tabla3[[#This Row],[Site]],'Important Info!'!$A$1:$J$135,10,FALSE)</f>
        <v>https://tools.sig.systems/site/details/275</v>
      </c>
      <c r="I2804" s="43" t="s">
        <v>146</v>
      </c>
      <c r="J2804" t="s">
        <v>41</v>
      </c>
      <c r="K2804" s="79" t="str">
        <f>VLOOKUP(Tabla3[[#This Row],[Site]],'Important Info!'!$A$1:$H$135,8,FALSE)</f>
        <v>-</v>
      </c>
      <c r="L2804" s="52" t="str">
        <f>VLOOKUP(Tabla3[[#This Row],[Site]],'Important Info!'!$A$1:$F$135,2,FALSE)</f>
        <v>-</v>
      </c>
      <c r="M2804" s="52" t="str">
        <f>VLOOKUP(Tabla3[[#This Row],[Site]],'Important Info!'!$A$1:$F$135,3,FALSE)</f>
        <v>1, 4, 6</v>
      </c>
      <c r="N2804" s="52" t="str">
        <f>VLOOKUP(Tabla3[[#This Row],[Site]],'Important Info!'!$A$1:$F$135,4,FALSE)</f>
        <v>-</v>
      </c>
      <c r="O2804" s="52" t="str">
        <f>VLOOKUP(Tabla3[[#This Row],[Site]],'Important Info!'!$A$1:$F$135,5,FALSE)</f>
        <v>4, 10</v>
      </c>
      <c r="P2804" s="52" t="str">
        <f>VLOOKUP(Tabla3[[#This Row],[Site]],'Important Info!'!$A$1:$F$135,6,FALSE)</f>
        <v>-</v>
      </c>
      <c r="Q2804" s="91">
        <f>VLOOKUP(Tabla3[[#This Row],[Site]],'Important Info!'!$A$1:$J$135,9,FALSE)</f>
        <v>275</v>
      </c>
    </row>
    <row r="2805" spans="1:17" x14ac:dyDescent="0.25">
      <c r="A2805" t="str">
        <f>+Tabla3[[#This Row],[Site]]&amp;Tabla3[[#This Row],[Split]]</f>
        <v>(PE) JLR PDI (NO TOURS)28</v>
      </c>
      <c r="B2805">
        <v>28</v>
      </c>
      <c r="C2805">
        <v>5</v>
      </c>
      <c r="D2805" t="s">
        <v>485</v>
      </c>
      <c r="E2805" t="s">
        <v>35</v>
      </c>
      <c r="F2805" t="s">
        <v>114</v>
      </c>
      <c r="G2805" t="s">
        <v>490</v>
      </c>
      <c r="H2805" s="52" t="str">
        <f>VLOOKUP(Tabla3[[#This Row],[Site]],'Important Info!'!$A$1:$J$135,10,FALSE)</f>
        <v>https://tools.sig.systems/site/details/179</v>
      </c>
      <c r="I2805" t="s">
        <v>176</v>
      </c>
      <c r="J2805" t="s">
        <v>41</v>
      </c>
      <c r="K2805" s="79" t="str">
        <f>VLOOKUP(Tabla3[[#This Row],[Site]],'Important Info!'!$A$1:$H$135,8,FALSE)</f>
        <v>-</v>
      </c>
      <c r="L2805" s="52" t="str">
        <f>VLOOKUP(Tabla3[[#This Row],[Site]],'Important Info!'!$A$1:$F$135,2,FALSE)</f>
        <v>3, 8</v>
      </c>
      <c r="M2805" s="52" t="str">
        <f>VLOOKUP(Tabla3[[#This Row],[Site]],'Important Info!'!$A$1:$F$135,3,FALSE)</f>
        <v>-</v>
      </c>
      <c r="N2805" s="52" t="str">
        <f>VLOOKUP(Tabla3[[#This Row],[Site]],'Important Info!'!$A$1:$F$135,4,FALSE)</f>
        <v>-</v>
      </c>
      <c r="O2805" s="52" t="str">
        <f>VLOOKUP(Tabla3[[#This Row],[Site]],'Important Info!'!$A$1:$F$135,5,FALSE)</f>
        <v>-</v>
      </c>
      <c r="P2805" s="52" t="str">
        <f>VLOOKUP(Tabla3[[#This Row],[Site]],'Important Info!'!$A$1:$F$135,6,FALSE)</f>
        <v>-</v>
      </c>
      <c r="Q2805" s="91">
        <f>VLOOKUP(Tabla3[[#This Row],[Site]],'Important Info!'!$A$1:$J$135,9,FALSE)</f>
        <v>179</v>
      </c>
    </row>
    <row r="2806" spans="1:17" x14ac:dyDescent="0.25">
      <c r="A2806" t="str">
        <f>+Tabla3[[#This Row],[Site]]&amp;Tabla3[[#This Row],[Split]]</f>
        <v>(AS) Park Place Sprinter Van Center (NO TOURS)28</v>
      </c>
      <c r="B2806">
        <v>28</v>
      </c>
      <c r="C2806">
        <v>6</v>
      </c>
      <c r="D2806" t="s">
        <v>33</v>
      </c>
      <c r="E2806" t="s">
        <v>46</v>
      </c>
      <c r="F2806" t="s">
        <v>520</v>
      </c>
      <c r="G2806" t="s">
        <v>34</v>
      </c>
      <c r="H2806" s="52" t="str">
        <f>VLOOKUP(Tabla3[[#This Row],[Site]],'Important Info!'!$A$1:$J$135,10,FALSE)</f>
        <v>https://tools.sig.systems/site/details/138</v>
      </c>
      <c r="I2806" s="65" t="s">
        <v>125</v>
      </c>
      <c r="J2806" t="s">
        <v>41</v>
      </c>
      <c r="K2806" s="79" t="str">
        <f>VLOOKUP(Tabla3[[#This Row],[Site]],'Important Info!'!$A$1:$H$135,8,FALSE)</f>
        <v>-</v>
      </c>
      <c r="L2806" s="52">
        <f>VLOOKUP(Tabla3[[#This Row],[Site]],'Important Info!'!$A$1:$F$135,2,FALSE)</f>
        <v>1</v>
      </c>
      <c r="M2806" s="52" t="str">
        <f>VLOOKUP(Tabla3[[#This Row],[Site]],'Important Info!'!$A$1:$F$135,3,FALSE)</f>
        <v>-</v>
      </c>
      <c r="N2806" s="52" t="str">
        <f>VLOOKUP(Tabla3[[#This Row],[Site]],'Important Info!'!$A$1:$F$135,4,FALSE)</f>
        <v>-</v>
      </c>
      <c r="O2806" s="52" t="str">
        <f>VLOOKUP(Tabla3[[#This Row],[Site]],'Important Info!'!$A$1:$F$135,5,FALSE)</f>
        <v>-</v>
      </c>
      <c r="P2806" s="52" t="str">
        <f>VLOOKUP(Tabla3[[#This Row],[Site]],'Important Info!'!$A$1:$F$135,6,FALSE)</f>
        <v>1, 3</v>
      </c>
      <c r="Q2806" s="91">
        <f>VLOOKUP(Tabla3[[#This Row],[Site]],'Important Info!'!$A$1:$J$135,9,FALSE)</f>
        <v>138</v>
      </c>
    </row>
    <row r="2807" spans="1:17" x14ac:dyDescent="0.25">
      <c r="A2807" t="str">
        <f>+Tabla3[[#This Row],[Site]]&amp;Tabla3[[#This Row],[Split]]</f>
        <v>(HUD) Honda of Southpoint28</v>
      </c>
      <c r="B2807">
        <v>28</v>
      </c>
      <c r="C2807">
        <v>6</v>
      </c>
      <c r="D2807" t="s">
        <v>62</v>
      </c>
      <c r="E2807" t="s">
        <v>35</v>
      </c>
      <c r="F2807" t="s">
        <v>65</v>
      </c>
      <c r="G2807" t="s">
        <v>490</v>
      </c>
      <c r="H2807" s="52" t="str">
        <f>VLOOKUP(Tabla3[[#This Row],[Site]],'Important Info!'!$A$1:$J$135,10,FALSE)</f>
        <v>https://tools.sig.systems/site/details/195</v>
      </c>
      <c r="I2807" s="43"/>
      <c r="J2807" t="s">
        <v>484</v>
      </c>
      <c r="K2807" s="79" t="str">
        <f>VLOOKUP(Tabla3[[#This Row],[Site]],'Important Info!'!$A$1:$H$135,8,FALSE)</f>
        <v>-</v>
      </c>
      <c r="L2807" s="52" t="str">
        <f>VLOOKUP(Tabla3[[#This Row],[Site]],'Important Info!'!$A$1:$F$135,2,FALSE)</f>
        <v>2, 12, 18</v>
      </c>
      <c r="M2807" s="52">
        <f>VLOOKUP(Tabla3[[#This Row],[Site]],'Important Info!'!$A$1:$F$135,3,FALSE)</f>
        <v>13</v>
      </c>
      <c r="N2807" s="52" t="str">
        <f>VLOOKUP(Tabla3[[#This Row],[Site]],'Important Info!'!$A$1:$F$135,4,FALSE)</f>
        <v>-</v>
      </c>
      <c r="O2807" s="52" t="str">
        <f>VLOOKUP(Tabla3[[#This Row],[Site]],'Important Info!'!$A$1:$F$135,5,FALSE)</f>
        <v>2, 15</v>
      </c>
      <c r="P2807" s="52" t="str">
        <f>VLOOKUP(Tabla3[[#This Row],[Site]],'Important Info!'!$A$1:$F$135,6,FALSE)</f>
        <v>-</v>
      </c>
      <c r="Q2807" s="91">
        <f>VLOOKUP(Tabla3[[#This Row],[Site]],'Important Info!'!$A$1:$J$135,9,FALSE)</f>
        <v>195</v>
      </c>
    </row>
    <row r="2808" spans="1:17" x14ac:dyDescent="0.25">
      <c r="A2808" t="str">
        <f>+Tabla3[[#This Row],[Site]]&amp;Tabla3[[#This Row],[Split]]</f>
        <v>(KG) Big Star Honda28</v>
      </c>
      <c r="B2808">
        <v>28</v>
      </c>
      <c r="C2808">
        <v>6</v>
      </c>
      <c r="D2808" t="s">
        <v>33</v>
      </c>
      <c r="E2808" t="s">
        <v>46</v>
      </c>
      <c r="F2808" t="s">
        <v>136</v>
      </c>
      <c r="G2808" t="s">
        <v>34</v>
      </c>
      <c r="H2808" s="52" t="str">
        <f>VLOOKUP(Tabla3[[#This Row],[Site]],'Important Info!'!$A$1:$J$135,10,FALSE)</f>
        <v>https://tools.sig.systems/site/details/231</v>
      </c>
      <c r="J2808" t="s">
        <v>41</v>
      </c>
      <c r="K2808" s="79" t="str">
        <f>VLOOKUP(Tabla3[[#This Row],[Site]],'Important Info!'!$A$1:$H$135,8,FALSE)</f>
        <v>-</v>
      </c>
      <c r="L2808" s="52" t="str">
        <f>VLOOKUP(Tabla3[[#This Row],[Site]],'Important Info!'!$A$1:$F$135,2,FALSE)</f>
        <v>2, 17, 33</v>
      </c>
      <c r="M2808" s="52" t="str">
        <f>VLOOKUP(Tabla3[[#This Row],[Site]],'Important Info!'!$A$1:$F$135,3,FALSE)</f>
        <v>-</v>
      </c>
      <c r="N2808" s="52" t="str">
        <f>VLOOKUP(Tabla3[[#This Row],[Site]],'Important Info!'!$A$1:$F$135,4,FALSE)</f>
        <v>-</v>
      </c>
      <c r="O2808" s="52" t="str">
        <f>VLOOKUP(Tabla3[[#This Row],[Site]],'Important Info!'!$A$1:$F$135,5,FALSE)</f>
        <v>3, 11, 16, 21, 24, 31, 34</v>
      </c>
      <c r="P2808" s="52" t="str">
        <f>VLOOKUP(Tabla3[[#This Row],[Site]],'Important Info!'!$A$1:$F$135,6,FALSE)</f>
        <v xml:space="preserve">2, 3, 17, 22, 37, 41, 42 </v>
      </c>
      <c r="Q2808" s="91">
        <f>VLOOKUP(Tabla3[[#This Row],[Site]],'Important Info!'!$A$1:$J$135,9,FALSE)</f>
        <v>231</v>
      </c>
    </row>
    <row r="2809" spans="1:17" x14ac:dyDescent="0.25">
      <c r="A2809" t="str">
        <f>+Tabla3[[#This Row],[Site]]&amp;Tabla3[[#This Row],[Split]]</f>
        <v>(ML) Joe Machens E Collision Center28</v>
      </c>
      <c r="B2809">
        <v>28</v>
      </c>
      <c r="C2809">
        <v>6</v>
      </c>
      <c r="D2809" t="s">
        <v>33</v>
      </c>
      <c r="E2809" t="s">
        <v>46</v>
      </c>
      <c r="F2809" t="s">
        <v>147</v>
      </c>
      <c r="G2809" t="s">
        <v>34</v>
      </c>
      <c r="H2809" s="52" t="str">
        <f>VLOOKUP(Tabla3[[#This Row],[Site]],'Important Info!'!$A$1:$J$135,10,FALSE)</f>
        <v>https://tools.sig.systems/site/details/277</v>
      </c>
      <c r="I2809" s="2" t="s">
        <v>146</v>
      </c>
      <c r="J2809" t="s">
        <v>41</v>
      </c>
      <c r="K2809" s="79" t="str">
        <f>VLOOKUP(Tabla3[[#This Row],[Site]],'Important Info!'!$A$1:$H$135,8,FALSE)</f>
        <v>-</v>
      </c>
      <c r="L2809" s="52">
        <f>VLOOKUP(Tabla3[[#This Row],[Site]],'Important Info!'!$A$1:$F$135,2,FALSE)</f>
        <v>1</v>
      </c>
      <c r="M2809" s="52" t="str">
        <f>VLOOKUP(Tabla3[[#This Row],[Site]],'Important Info!'!$A$1:$F$135,3,FALSE)</f>
        <v>-</v>
      </c>
      <c r="N2809" s="52" t="str">
        <f>VLOOKUP(Tabla3[[#This Row],[Site]],'Important Info!'!$A$1:$F$135,4,FALSE)</f>
        <v>-</v>
      </c>
      <c r="O2809" s="52">
        <f>VLOOKUP(Tabla3[[#This Row],[Site]],'Important Info!'!$A$1:$F$135,5,FALSE)</f>
        <v>5</v>
      </c>
      <c r="P2809" s="52" t="str">
        <f>VLOOKUP(Tabla3[[#This Row],[Site]],'Important Info!'!$A$1:$F$135,6,FALSE)</f>
        <v>1, 2, 3, 4</v>
      </c>
      <c r="Q2809" s="91">
        <f>VLOOKUP(Tabla3[[#This Row],[Site]],'Important Info!'!$A$1:$J$135,9,FALSE)</f>
        <v>277</v>
      </c>
    </row>
    <row r="2810" spans="1:17" x14ac:dyDescent="0.25">
      <c r="A2810" t="str">
        <f>+Tabla3[[#This Row],[Site]]&amp;Tabla3[[#This Row],[Split]]</f>
        <v>(SCH) Prep Center Delray28</v>
      </c>
      <c r="B2810">
        <v>28</v>
      </c>
      <c r="C2810">
        <v>6</v>
      </c>
      <c r="D2810" t="s">
        <v>62</v>
      </c>
      <c r="E2810" t="s">
        <v>35</v>
      </c>
      <c r="F2810" t="s">
        <v>191</v>
      </c>
      <c r="G2810" t="s">
        <v>490</v>
      </c>
      <c r="H2810" s="52" t="str">
        <f>VLOOKUP(Tabla3[[#This Row],[Site]],'Important Info!'!$A$1:$J$135,10,FALSE)</f>
        <v>https://tools.sig.systems/site/details/321</v>
      </c>
      <c r="I2810" s="2"/>
      <c r="J2810" t="s">
        <v>41</v>
      </c>
      <c r="K2810" s="79" t="str">
        <f>VLOOKUP(Tabla3[[#This Row],[Site]],'Important Info!'!$A$1:$H$135,8,FALSE)</f>
        <v>-</v>
      </c>
      <c r="L2810" s="52" t="str">
        <f>VLOOKUP(Tabla3[[#This Row],[Site]],'Important Info!'!$A$1:$F$135,2,FALSE)</f>
        <v>2,3</v>
      </c>
      <c r="M2810" s="52" t="str">
        <f>VLOOKUP(Tabla3[[#This Row],[Site]],'Important Info!'!$A$1:$F$135,3,FALSE)</f>
        <v>-</v>
      </c>
      <c r="N2810" s="52" t="str">
        <f>VLOOKUP(Tabla3[[#This Row],[Site]],'Important Info!'!$A$1:$F$135,4,FALSE)</f>
        <v>-</v>
      </c>
      <c r="O2810" s="52" t="str">
        <f>VLOOKUP(Tabla3[[#This Row],[Site]],'Important Info!'!$A$1:$F$135,5,FALSE)</f>
        <v>-</v>
      </c>
      <c r="P2810" s="52" t="str">
        <f>VLOOKUP(Tabla3[[#This Row],[Site]],'Important Info!'!$A$1:$F$135,6,FALSE)</f>
        <v>2,4,10</v>
      </c>
      <c r="Q2810" s="91">
        <f>VLOOKUP(Tabla3[[#This Row],[Site]],'Important Info!'!$A$1:$J$135,9,FALSE)</f>
        <v>321</v>
      </c>
    </row>
    <row r="2811" spans="1:17" x14ac:dyDescent="0.25">
      <c r="A2811" t="str">
        <f>+Tabla3[[#This Row],[Site]]&amp;Tabla3[[#This Row],[Split]]</f>
        <v>(AS) Atwell Prep Center-Dallas (NO TOURS)28</v>
      </c>
      <c r="B2811">
        <v>28</v>
      </c>
      <c r="C2811">
        <v>7</v>
      </c>
      <c r="D2811" t="s">
        <v>33</v>
      </c>
      <c r="E2811" t="s">
        <v>46</v>
      </c>
      <c r="F2811" t="s">
        <v>498</v>
      </c>
      <c r="G2811" t="s">
        <v>34</v>
      </c>
      <c r="H2811" s="52" t="str">
        <f>VLOOKUP(Tabla3[[#This Row],[Site]],'Important Info!'!$A$1:$J$135,10,FALSE)</f>
        <v>https://tools.sig.systems/site/details/165</v>
      </c>
      <c r="I2811" s="65" t="s">
        <v>125</v>
      </c>
      <c r="J2811" t="s">
        <v>41</v>
      </c>
      <c r="K2811" s="79" t="str">
        <f>VLOOKUP(Tabla3[[#This Row],[Site]],'Important Info!'!$A$1:$H$135,8,FALSE)</f>
        <v>-</v>
      </c>
      <c r="L2811" s="52" t="str">
        <f>VLOOKUP(Tabla3[[#This Row],[Site]],'Important Info!'!$A$1:$F$135,2,FALSE)</f>
        <v>4, 6, 7</v>
      </c>
      <c r="M2811" s="52" t="str">
        <f>VLOOKUP(Tabla3[[#This Row],[Site]],'Important Info!'!$A$1:$F$135,3,FALSE)</f>
        <v>-</v>
      </c>
      <c r="N2811" s="52" t="str">
        <f>VLOOKUP(Tabla3[[#This Row],[Site]],'Important Info!'!$A$1:$F$135,4,FALSE)</f>
        <v>-</v>
      </c>
      <c r="O2811" s="52" t="str">
        <f>VLOOKUP(Tabla3[[#This Row],[Site]],'Important Info!'!$A$1:$F$135,5,FALSE)</f>
        <v>-</v>
      </c>
      <c r="P2811" s="52" t="str">
        <f>VLOOKUP(Tabla3[[#This Row],[Site]],'Important Info!'!$A$1:$F$135,6,FALSE)</f>
        <v>1, 2</v>
      </c>
      <c r="Q2811" s="91">
        <f>VLOOKUP(Tabla3[[#This Row],[Site]],'Important Info!'!$A$1:$J$135,9,FALSE)</f>
        <v>165</v>
      </c>
    </row>
    <row r="2812" spans="1:17" x14ac:dyDescent="0.25">
      <c r="A2812" t="str">
        <f>+Tabla3[[#This Row],[Site]]&amp;Tabla3[[#This Row],[Split]]</f>
        <v>(AS) Mike Shaw Subaru Greeley (NO TOURS)28</v>
      </c>
      <c r="B2812">
        <v>28</v>
      </c>
      <c r="C2812">
        <v>7</v>
      </c>
      <c r="D2812" t="s">
        <v>44</v>
      </c>
      <c r="E2812" t="s">
        <v>53</v>
      </c>
      <c r="F2812" t="s">
        <v>95</v>
      </c>
      <c r="G2812" t="s">
        <v>45</v>
      </c>
      <c r="H2812" s="52" t="str">
        <f>VLOOKUP(Tabla3[[#This Row],[Site]],'Important Info!'!$A$1:$J$135,10,FALSE)</f>
        <v>https://tools.sig.systems/site/details/174</v>
      </c>
      <c r="I2812" s="2" t="s">
        <v>153</v>
      </c>
      <c r="J2812" t="s">
        <v>41</v>
      </c>
      <c r="K2812" s="79" t="str">
        <f>VLOOKUP(Tabla3[[#This Row],[Site]],'Important Info!'!$A$1:$H$135,8,FALSE)</f>
        <v>-</v>
      </c>
      <c r="L2812" s="52" t="str">
        <f>VLOOKUP(Tabla3[[#This Row],[Site]],'Important Info!'!$A$1:$F$135,2,FALSE)</f>
        <v>16, 17</v>
      </c>
      <c r="M2812" s="52">
        <f>VLOOKUP(Tabla3[[#This Row],[Site]],'Important Info!'!$A$1:$F$135,3,FALSE)</f>
        <v>10</v>
      </c>
      <c r="N2812" s="52" t="str">
        <f>VLOOKUP(Tabla3[[#This Row],[Site]],'Important Info!'!$A$1:$F$135,4,FALSE)</f>
        <v>-</v>
      </c>
      <c r="O2812" s="52" t="str">
        <f>VLOOKUP(Tabla3[[#This Row],[Site]],'Important Info!'!$A$1:$F$135,5,FALSE)</f>
        <v>1, 7</v>
      </c>
      <c r="P2812" s="52" t="str">
        <f>VLOOKUP(Tabla3[[#This Row],[Site]],'Important Info!'!$A$1:$F$135,6,FALSE)</f>
        <v>-</v>
      </c>
      <c r="Q2812" s="91">
        <f>VLOOKUP(Tabla3[[#This Row],[Site]],'Important Info!'!$A$1:$J$135,9,FALSE)</f>
        <v>174</v>
      </c>
    </row>
    <row r="2813" spans="1:17" x14ac:dyDescent="0.25">
      <c r="A2813" t="str">
        <f>+Tabla3[[#This Row],[Site]]&amp;Tabla3[[#This Row],[Split]]</f>
        <v>(AS) Park Place Mercedes Benz Ft. Worth (NO TOURS)28</v>
      </c>
      <c r="B2813">
        <v>28</v>
      </c>
      <c r="C2813">
        <v>7</v>
      </c>
      <c r="D2813" t="s">
        <v>33</v>
      </c>
      <c r="E2813" t="s">
        <v>46</v>
      </c>
      <c r="F2813" t="s">
        <v>519</v>
      </c>
      <c r="G2813" t="s">
        <v>34</v>
      </c>
      <c r="H2813" s="52" t="str">
        <f>VLOOKUP(Tabla3[[#This Row],[Site]],'Important Info!'!$A$1:$J$135,10,FALSE)</f>
        <v>https://tools.sig.systems/site/details/137</v>
      </c>
      <c r="I2813" t="s">
        <v>128</v>
      </c>
      <c r="J2813" t="s">
        <v>41</v>
      </c>
      <c r="K2813" s="79" t="s">
        <v>37</v>
      </c>
      <c r="L2813" s="52" t="str">
        <f>VLOOKUP(Tabla3[[#This Row],[Site]],'Important Info!'!$A$1:$F$135,2,FALSE)</f>
        <v>4, 18</v>
      </c>
      <c r="M2813" s="52" t="str">
        <f>VLOOKUP(Tabla3[[#This Row],[Site]],'Important Info!'!$A$1:$F$135,3,FALSE)</f>
        <v>-</v>
      </c>
      <c r="N2813" s="52" t="str">
        <f>VLOOKUP(Tabla3[[#This Row],[Site]],'Important Info!'!$A$1:$F$135,4,FALSE)</f>
        <v>54, 55</v>
      </c>
      <c r="O2813" s="52" t="str">
        <f>VLOOKUP(Tabla3[[#This Row],[Site]],'Important Info!'!$A$1:$F$135,5,FALSE)</f>
        <v>2, 18</v>
      </c>
      <c r="P2813" s="52" t="str">
        <f>VLOOKUP(Tabla3[[#This Row],[Site]],'Important Info!'!$A$1:$F$135,6,FALSE)</f>
        <v>5, 18</v>
      </c>
      <c r="Q2813" s="91">
        <f>VLOOKUP(Tabla3[[#This Row],[Site]],'Important Info!'!$A$1:$J$135,9,FALSE)</f>
        <v>137</v>
      </c>
    </row>
    <row r="2814" spans="1:17" x14ac:dyDescent="0.25">
      <c r="A2814" t="str">
        <f>+Tabla3[[#This Row],[Site]]&amp;Tabla3[[#This Row],[Split]]</f>
        <v>(ML) Joe Machens Temporary 2.028</v>
      </c>
      <c r="B2814">
        <v>28</v>
      </c>
      <c r="C2814">
        <v>7</v>
      </c>
      <c r="D2814" t="s">
        <v>33</v>
      </c>
      <c r="E2814" t="s">
        <v>46</v>
      </c>
      <c r="F2814" t="s">
        <v>105</v>
      </c>
      <c r="G2814" t="s">
        <v>34</v>
      </c>
      <c r="H2814" s="52" t="str">
        <f>VLOOKUP(Tabla3[[#This Row],[Site]],'Important Info!'!$A$1:$J$135,10,FALSE)</f>
        <v>https://tools.sig.systems/site/details/278</v>
      </c>
      <c r="I2814" s="43" t="s">
        <v>146</v>
      </c>
      <c r="J2814" t="s">
        <v>41</v>
      </c>
      <c r="K2814" s="79" t="str">
        <f>VLOOKUP(Tabla3[[#This Row],[Site]],'Important Info!'!$A$1:$H$135,8,FALSE)</f>
        <v>-</v>
      </c>
      <c r="L2814" s="52" t="str">
        <f>VLOOKUP(Tabla3[[#This Row],[Site]],'Important Info!'!$A$1:$F$135,2,FALSE)</f>
        <v>-</v>
      </c>
      <c r="M2814" s="52" t="str">
        <f>VLOOKUP(Tabla3[[#This Row],[Site]],'Important Info!'!$A$1:$F$135,3,FALSE)</f>
        <v>1, 11, 14, 15, 16</v>
      </c>
      <c r="N2814" s="52" t="str">
        <f>VLOOKUP(Tabla3[[#This Row],[Site]],'Important Info!'!$A$1:$F$135,4,FALSE)</f>
        <v>-</v>
      </c>
      <c r="O2814" s="52">
        <f>VLOOKUP(Tabla3[[#This Row],[Site]],'Important Info!'!$A$1:$F$135,5,FALSE)</f>
        <v>13</v>
      </c>
      <c r="P2814" s="52" t="str">
        <f>VLOOKUP(Tabla3[[#This Row],[Site]],'Important Info!'!$A$1:$F$135,6,FALSE)</f>
        <v>-</v>
      </c>
      <c r="Q2814" s="91">
        <f>VLOOKUP(Tabla3[[#This Row],[Site]],'Important Info!'!$A$1:$J$135,9,FALSE)</f>
        <v>278</v>
      </c>
    </row>
    <row r="2815" spans="1:17" x14ac:dyDescent="0.25">
      <c r="A2815" t="str">
        <f>+Tabla3[[#This Row],[Site]]&amp;Tabla3[[#This Row],[Split]]</f>
        <v>(SCH) Auto Body Shop Lake Park28</v>
      </c>
      <c r="B2815">
        <v>28</v>
      </c>
      <c r="C2815">
        <v>7</v>
      </c>
      <c r="D2815" t="s">
        <v>62</v>
      </c>
      <c r="E2815" t="s">
        <v>35</v>
      </c>
      <c r="F2815" t="s">
        <v>189</v>
      </c>
      <c r="G2815" t="s">
        <v>490</v>
      </c>
      <c r="H2815" s="52" t="str">
        <f>VLOOKUP(Tabla3[[#This Row],[Site]],'Important Info!'!$A$1:$J$135,10,FALSE)</f>
        <v>https://tools.sig.systems/site/details/158</v>
      </c>
      <c r="I2815" s="2"/>
      <c r="J2815" t="s">
        <v>41</v>
      </c>
      <c r="K2815" s="79" t="str">
        <f>VLOOKUP(Tabla3[[#This Row],[Site]],'Important Info!'!$A$1:$H$135,8,FALSE)</f>
        <v>-</v>
      </c>
      <c r="L2815" s="52" t="str">
        <f>VLOOKUP(Tabla3[[#This Row],[Site]],'Important Info!'!$A$1:$F$135,2,FALSE)</f>
        <v>3, 10</v>
      </c>
      <c r="M2815" s="52" t="str">
        <f>VLOOKUP(Tabla3[[#This Row],[Site]],'Important Info!'!$A$1:$F$135,3,FALSE)</f>
        <v>-</v>
      </c>
      <c r="N2815" s="52" t="str">
        <f>VLOOKUP(Tabla3[[#This Row],[Site]],'Important Info!'!$A$1:$F$135,4,FALSE)</f>
        <v>-</v>
      </c>
      <c r="O2815" s="52" t="str">
        <f>VLOOKUP(Tabla3[[#This Row],[Site]],'Important Info!'!$A$1:$F$135,5,FALSE)</f>
        <v>-</v>
      </c>
      <c r="P2815" s="52" t="str">
        <f>VLOOKUP(Tabla3[[#This Row],[Site]],'Important Info!'!$A$1:$F$135,6,FALSE)</f>
        <v>-</v>
      </c>
      <c r="Q2815" s="91">
        <f>VLOOKUP(Tabla3[[#This Row],[Site]],'Important Info!'!$A$1:$J$135,9,FALSE)</f>
        <v>158</v>
      </c>
    </row>
    <row r="2816" spans="1:17" x14ac:dyDescent="0.25">
      <c r="A2816" t="str">
        <f>+Tabla3[[#This Row],[Site]]&amp;Tabla3[[#This Row],[Split]]</f>
        <v>(AS) Courtesy Honda Palm Harbor (NO TOURS)28</v>
      </c>
      <c r="B2816">
        <v>28</v>
      </c>
      <c r="C2816">
        <v>8</v>
      </c>
      <c r="D2816" t="s">
        <v>62</v>
      </c>
      <c r="E2816" t="s">
        <v>35</v>
      </c>
      <c r="F2816" t="s">
        <v>108</v>
      </c>
      <c r="G2816" t="s">
        <v>490</v>
      </c>
      <c r="H2816" s="52" t="str">
        <f>VLOOKUP(Tabla3[[#This Row],[Site]],'Important Info!'!$A$1:$J$135,10,FALSE)</f>
        <v>https://tools.sig.systems/site/details/176</v>
      </c>
      <c r="I2816" s="2"/>
      <c r="J2816" t="s">
        <v>36</v>
      </c>
      <c r="K2816" s="79" t="str">
        <f>VLOOKUP(Tabla3[[#This Row],[Site]],'Important Info!'!$A$1:$H$135,8,FALSE)</f>
        <v>-</v>
      </c>
      <c r="L2816" s="52">
        <f>VLOOKUP(Tabla3[[#This Row],[Site]],'Important Info!'!$A$1:$F$135,2,FALSE)</f>
        <v>2</v>
      </c>
      <c r="M2816" s="52" t="str">
        <f>VLOOKUP(Tabla3[[#This Row],[Site]],'Important Info!'!$A$1:$F$135,3,FALSE)</f>
        <v>-</v>
      </c>
      <c r="N2816" s="52" t="str">
        <f>VLOOKUP(Tabla3[[#This Row],[Site]],'Important Info!'!$A$1:$F$135,4,FALSE)</f>
        <v>-</v>
      </c>
      <c r="O2816" s="52" t="str">
        <f>VLOOKUP(Tabla3[[#This Row],[Site]],'Important Info!'!$A$1:$F$135,5,FALSE)</f>
        <v>4, 8, 21</v>
      </c>
      <c r="P2816" s="52">
        <f>VLOOKUP(Tabla3[[#This Row],[Site]],'Important Info!'!$A$1:$F$135,6,FALSE)</f>
        <v>10</v>
      </c>
      <c r="Q2816" s="91">
        <f>VLOOKUP(Tabla3[[#This Row],[Site]],'Important Info!'!$A$1:$J$135,9,FALSE)</f>
        <v>176</v>
      </c>
    </row>
    <row r="2817" spans="1:17" x14ac:dyDescent="0.25">
      <c r="A2817" t="str">
        <f>+Tabla3[[#This Row],[Site]]&amp;Tabla3[[#This Row],[Split]]</f>
        <v>(AS) Nalley Lexus &amp; Remote Lot Roswell (NO TOURS)28</v>
      </c>
      <c r="B2817">
        <v>28</v>
      </c>
      <c r="C2817">
        <v>8</v>
      </c>
      <c r="D2817" t="s">
        <v>60</v>
      </c>
      <c r="E2817" t="s">
        <v>35</v>
      </c>
      <c r="F2817" t="s">
        <v>511</v>
      </c>
      <c r="G2817" t="s">
        <v>41</v>
      </c>
      <c r="H2817" s="52" t="str">
        <f>VLOOKUP(Tabla3[[#This Row],[Site]],'Important Info!'!$A$1:$J$135,10,FALSE)</f>
        <v>https://tools.sig.systems/site/details/131</v>
      </c>
      <c r="I2817" s="2" t="s">
        <v>166</v>
      </c>
      <c r="J2817" t="s">
        <v>41</v>
      </c>
      <c r="K2817" s="79" t="str">
        <f>VLOOKUP(Tabla3[[#This Row],[Site]],'Important Info!'!$A$1:$H$135,8,FALSE)</f>
        <v>Dealership 11PM to 5AM (Mon to Fri). Sunday Drop Time 1PM</v>
      </c>
      <c r="L2817" s="52" t="str">
        <f>VLOOKUP(Tabla3[[#This Row],[Site]],'Important Info!'!$A$1:$F$135,2,FALSE)</f>
        <v>6, 13</v>
      </c>
      <c r="M2817" s="52">
        <f>VLOOKUP(Tabla3[[#This Row],[Site]],'Important Info!'!$A$1:$F$135,3,FALSE)</f>
        <v>4</v>
      </c>
      <c r="N2817" s="52">
        <f>VLOOKUP(Tabla3[[#This Row],[Site]],'Important Info!'!$A$1:$F$135,4,FALSE)</f>
        <v>1</v>
      </c>
      <c r="O2817" s="52" t="str">
        <f>VLOOKUP(Tabla3[[#This Row],[Site]],'Important Info!'!$A$1:$F$135,5,FALSE)</f>
        <v>1, 8, 19</v>
      </c>
      <c r="P2817" s="52" t="str">
        <f>VLOOKUP(Tabla3[[#This Row],[Site]],'Important Info!'!$A$1:$F$135,6,FALSE)</f>
        <v>4, 20</v>
      </c>
      <c r="Q2817" s="91">
        <f>VLOOKUP(Tabla3[[#This Row],[Site]],'Important Info!'!$A$1:$J$135,9,FALSE)</f>
        <v>131</v>
      </c>
    </row>
    <row r="2818" spans="1:17" x14ac:dyDescent="0.25">
      <c r="A2818" t="str">
        <f>+Tabla3[[#This Row],[Site]]&amp;Tabla3[[#This Row],[Split]]</f>
        <v>(AS) Park Place Bodywerks Dallas (NO TOURS)28</v>
      </c>
      <c r="B2818">
        <v>28</v>
      </c>
      <c r="C2818">
        <v>8</v>
      </c>
      <c r="D2818" t="s">
        <v>33</v>
      </c>
      <c r="E2818" t="s">
        <v>46</v>
      </c>
      <c r="F2818" t="s">
        <v>514</v>
      </c>
      <c r="G2818" t="s">
        <v>34</v>
      </c>
      <c r="H2818" s="52" t="str">
        <f>VLOOKUP(Tabla3[[#This Row],[Site]],'Important Info!'!$A$1:$J$135,10,FALSE)</f>
        <v>https://tools.sig.systems/site/details/166</v>
      </c>
      <c r="I2818" s="65" t="s">
        <v>125</v>
      </c>
      <c r="J2818" t="s">
        <v>41</v>
      </c>
      <c r="K2818" s="79" t="str">
        <f>VLOOKUP(Tabla3[[#This Row],[Site]],'Important Info!'!$A$1:$H$135,8,FALSE)</f>
        <v>-</v>
      </c>
      <c r="L2818" s="52">
        <f>VLOOKUP(Tabla3[[#This Row],[Site]],'Important Info!'!$A$1:$F$135,2,FALSE)</f>
        <v>3</v>
      </c>
      <c r="M2818" s="52">
        <f>VLOOKUP(Tabla3[[#This Row],[Site]],'Important Info!'!$A$1:$F$135,3,FALSE)</f>
        <v>1</v>
      </c>
      <c r="N2818" s="52" t="str">
        <f>VLOOKUP(Tabla3[[#This Row],[Site]],'Important Info!'!$A$1:$F$135,4,FALSE)</f>
        <v>-</v>
      </c>
      <c r="O2818" s="52" t="str">
        <f>VLOOKUP(Tabla3[[#This Row],[Site]],'Important Info!'!$A$1:$F$135,5,FALSE)</f>
        <v>-</v>
      </c>
      <c r="P2818" s="52" t="str">
        <f>VLOOKUP(Tabla3[[#This Row],[Site]],'Important Info!'!$A$1:$F$135,6,FALSE)</f>
        <v>1, 2, 8</v>
      </c>
      <c r="Q2818" s="91">
        <f>VLOOKUP(Tabla3[[#This Row],[Site]],'Important Info!'!$A$1:$J$135,9,FALSE)</f>
        <v>166</v>
      </c>
    </row>
    <row r="2819" spans="1:17" x14ac:dyDescent="0.25">
      <c r="A2819" t="str">
        <f>+Tabla3[[#This Row],[Site]]&amp;Tabla3[[#This Row],[Split]]</f>
        <v>(ML) Joe Machens Nissan28</v>
      </c>
      <c r="B2819">
        <v>28</v>
      </c>
      <c r="C2819">
        <v>8</v>
      </c>
      <c r="D2819" t="s">
        <v>33</v>
      </c>
      <c r="E2819" t="s">
        <v>46</v>
      </c>
      <c r="F2819" t="s">
        <v>104</v>
      </c>
      <c r="G2819" t="s">
        <v>34</v>
      </c>
      <c r="H2819" s="52" t="str">
        <f>VLOOKUP(Tabla3[[#This Row],[Site]],'Important Info!'!$A$1:$J$135,10,FALSE)</f>
        <v>https://tools.sig.systems/site/details/279</v>
      </c>
      <c r="I2819" s="43" t="s">
        <v>146</v>
      </c>
      <c r="J2819" t="s">
        <v>41</v>
      </c>
      <c r="K2819" s="79" t="str">
        <f>VLOOKUP(Tabla3[[#This Row],[Site]],'Important Info!'!$A$1:$H$135,8,FALSE)</f>
        <v>-</v>
      </c>
      <c r="L2819" s="52" t="str">
        <f>VLOOKUP(Tabla3[[#This Row],[Site]],'Important Info!'!$A$1:$F$135,2,FALSE)</f>
        <v>-</v>
      </c>
      <c r="M2819" s="52" t="str">
        <f>VLOOKUP(Tabla3[[#This Row],[Site]],'Important Info!'!$A$1:$F$135,3,FALSE)</f>
        <v>1, 3, 16</v>
      </c>
      <c r="N2819" s="52" t="str">
        <f>VLOOKUP(Tabla3[[#This Row],[Site]],'Important Info!'!$A$1:$F$135,4,FALSE)</f>
        <v>-</v>
      </c>
      <c r="O2819" s="52" t="str">
        <f>VLOOKUP(Tabla3[[#This Row],[Site]],'Important Info!'!$A$1:$F$135,5,FALSE)</f>
        <v>-</v>
      </c>
      <c r="P2819" s="52" t="str">
        <f>VLOOKUP(Tabla3[[#This Row],[Site]],'Important Info!'!$A$1:$F$135,6,FALSE)</f>
        <v>-</v>
      </c>
      <c r="Q2819" s="91">
        <f>VLOOKUP(Tabla3[[#This Row],[Site]],'Important Info!'!$A$1:$J$135,9,FALSE)</f>
        <v>279</v>
      </c>
    </row>
    <row r="2820" spans="1:17" x14ac:dyDescent="0.25">
      <c r="A2820" t="str">
        <f>+Tabla3[[#This Row],[Site]]&amp;Tabla3[[#This Row],[Split]]</f>
        <v>(AS) Park Place MB Recon Center Dallas (NO TOURS)28</v>
      </c>
      <c r="B2820">
        <v>28</v>
      </c>
      <c r="C2820">
        <v>9</v>
      </c>
      <c r="D2820" t="s">
        <v>33</v>
      </c>
      <c r="E2820" t="s">
        <v>46</v>
      </c>
      <c r="F2820" t="s">
        <v>517</v>
      </c>
      <c r="G2820" t="s">
        <v>34</v>
      </c>
      <c r="H2820" s="52" t="str">
        <f>VLOOKUP(Tabla3[[#This Row],[Site]],'Important Info!'!$A$1:$J$135,10,FALSE)</f>
        <v>https://tools.sig.systems/site/details/170</v>
      </c>
      <c r="I2820" s="65" t="s">
        <v>125</v>
      </c>
      <c r="J2820" t="s">
        <v>41</v>
      </c>
      <c r="K2820" s="79" t="str">
        <f>VLOOKUP(Tabla3[[#This Row],[Site]],'Important Info!'!$A$1:$H$135,8,FALSE)</f>
        <v>-</v>
      </c>
      <c r="L2820" s="52" t="str">
        <f>VLOOKUP(Tabla3[[#This Row],[Site]],'Important Info!'!$A$1:$F$135,2,FALSE)</f>
        <v>3, 39</v>
      </c>
      <c r="M2820" s="52" t="str">
        <f>VLOOKUP(Tabla3[[#This Row],[Site]],'Important Info!'!$A$1:$F$135,3,FALSE)</f>
        <v>-</v>
      </c>
      <c r="N2820" s="52" t="str">
        <f>VLOOKUP(Tabla3[[#This Row],[Site]],'Important Info!'!$A$1:$F$135,4,FALSE)</f>
        <v>-</v>
      </c>
      <c r="O2820" s="52" t="str">
        <f>VLOOKUP(Tabla3[[#This Row],[Site]],'Important Info!'!$A$1:$F$135,5,FALSE)</f>
        <v>4, 11</v>
      </c>
      <c r="P2820" s="52">
        <f>VLOOKUP(Tabla3[[#This Row],[Site]],'Important Info!'!$A$1:$F$135,6,FALSE)</f>
        <v>1</v>
      </c>
      <c r="Q2820" s="91">
        <f>VLOOKUP(Tabla3[[#This Row],[Site]],'Important Info!'!$A$1:$J$135,9,FALSE)</f>
        <v>170</v>
      </c>
    </row>
    <row r="2821" spans="1:17" x14ac:dyDescent="0.25">
      <c r="A2821" t="str">
        <f>+Tabla3[[#This Row],[Site]]&amp;Tabla3[[#This Row],[Split]]</f>
        <v>(ML) Joe Machens Kia of Columbia28</v>
      </c>
      <c r="B2821">
        <v>28</v>
      </c>
      <c r="C2821">
        <v>9</v>
      </c>
      <c r="D2821" t="s">
        <v>33</v>
      </c>
      <c r="E2821" t="s">
        <v>46</v>
      </c>
      <c r="F2821" t="s">
        <v>149</v>
      </c>
      <c r="G2821" t="s">
        <v>34</v>
      </c>
      <c r="H2821" s="52" t="str">
        <f>VLOOKUP(Tabla3[[#This Row],[Site]],'Important Info!'!$A$1:$J$135,10,FALSE)</f>
        <v>https://tools.sig.systems/site/details/270</v>
      </c>
      <c r="I2821" s="43" t="s">
        <v>146</v>
      </c>
      <c r="J2821" t="s">
        <v>41</v>
      </c>
      <c r="K2821" s="79" t="str">
        <f>VLOOKUP(Tabla3[[#This Row],[Site]],'Important Info!'!$A$1:$H$135,8,FALSE)</f>
        <v>-</v>
      </c>
      <c r="L2821" s="52" t="str">
        <f>VLOOKUP(Tabla3[[#This Row],[Site]],'Important Info!'!$A$1:$F$135,2,FALSE)</f>
        <v>-</v>
      </c>
      <c r="M2821" s="52" t="str">
        <f>VLOOKUP(Tabla3[[#This Row],[Site]],'Important Info!'!$A$1:$F$135,3,FALSE)</f>
        <v>1, 2, 5, 6, 9, 13, 15</v>
      </c>
      <c r="N2821" s="52" t="str">
        <f>VLOOKUP(Tabla3[[#This Row],[Site]],'Important Info!'!$A$1:$F$135,4,FALSE)</f>
        <v>-</v>
      </c>
      <c r="O2821" s="52" t="str">
        <f>VLOOKUP(Tabla3[[#This Row],[Site]],'Important Info!'!$A$1:$F$135,5,FALSE)</f>
        <v>-</v>
      </c>
      <c r="P2821" s="52" t="str">
        <f>VLOOKUP(Tabla3[[#This Row],[Site]],'Important Info!'!$A$1:$F$135,6,FALSE)</f>
        <v>10, 11, 13</v>
      </c>
      <c r="Q2821" s="91">
        <f>VLOOKUP(Tabla3[[#This Row],[Site]],'Important Info!'!$A$1:$J$135,9,FALSE)</f>
        <v>270</v>
      </c>
    </row>
    <row r="2822" spans="1:17" x14ac:dyDescent="0.25">
      <c r="A2822" t="str">
        <f>+Tabla3[[#This Row],[Site]]&amp;Tabla3[[#This Row],[Split]]</f>
        <v>(SCH) Delray I &amp; II28</v>
      </c>
      <c r="B2822">
        <v>28</v>
      </c>
      <c r="C2822">
        <v>9</v>
      </c>
      <c r="D2822" t="s">
        <v>62</v>
      </c>
      <c r="E2822" t="s">
        <v>35</v>
      </c>
      <c r="F2822" t="s">
        <v>67</v>
      </c>
      <c r="G2822" t="s">
        <v>490</v>
      </c>
      <c r="H2822" s="52" t="str">
        <f>VLOOKUP(Tabla3[[#This Row],[Site]],'Important Info!'!$A$1:$J$135,10,FALSE)</f>
        <v>https://tools.sig.systems/site/details/159</v>
      </c>
      <c r="I2822" s="43"/>
      <c r="J2822" t="s">
        <v>36</v>
      </c>
      <c r="K2822" s="79" t="str">
        <f>VLOOKUP(Tabla3[[#This Row],[Site]],'Important Info!'!$A$1:$H$135,8,FALSE)</f>
        <v>-</v>
      </c>
      <c r="L2822" s="52" t="str">
        <f>VLOOKUP(Tabla3[[#This Row],[Site]],'Important Info!'!$A$1:$F$135,2,FALSE)</f>
        <v>5, 28, 31</v>
      </c>
      <c r="M2822" s="52" t="str">
        <f>VLOOKUP(Tabla3[[#This Row],[Site]],'Important Info!'!$A$1:$F$135,3,FALSE)</f>
        <v>1, 29</v>
      </c>
      <c r="N2822" s="52">
        <f>VLOOKUP(Tabla3[[#This Row],[Site]],'Important Info!'!$A$1:$F$135,4,FALSE)</f>
        <v>6</v>
      </c>
      <c r="O2822" s="52" t="str">
        <f>VLOOKUP(Tabla3[[#This Row],[Site]],'Important Info!'!$A$1:$F$135,5,FALSE)</f>
        <v>-</v>
      </c>
      <c r="P2822" s="52" t="str">
        <f>VLOOKUP(Tabla3[[#This Row],[Site]],'Important Info!'!$A$1:$F$135,6,FALSE)</f>
        <v>1, 35, 36</v>
      </c>
      <c r="Q2822" s="91">
        <f>VLOOKUP(Tabla3[[#This Row],[Site]],'Important Info!'!$A$1:$J$135,9,FALSE)</f>
        <v>159</v>
      </c>
    </row>
    <row r="2823" spans="1:17" x14ac:dyDescent="0.25">
      <c r="A2823" t="str">
        <f>+Tabla3[[#This Row],[Site]]&amp;Tabla3[[#This Row],[Split]]</f>
        <v>(WAG) Greeley Chrysler Dodge Jeep Ram (NO TOURS)28</v>
      </c>
      <c r="B2823">
        <v>28</v>
      </c>
      <c r="C2823">
        <v>9</v>
      </c>
      <c r="D2823" t="s">
        <v>44</v>
      </c>
      <c r="E2823" t="s">
        <v>53</v>
      </c>
      <c r="F2823" t="s">
        <v>497</v>
      </c>
      <c r="G2823" t="s">
        <v>45</v>
      </c>
      <c r="H2823" s="52" t="str">
        <f>VLOOKUP(Tabla3[[#This Row],[Site]],'Important Info!'!$A$1:$J$135,10,FALSE)</f>
        <v>https://tools.sig.systems/site/details/130</v>
      </c>
      <c r="I2823" s="2" t="s">
        <v>153</v>
      </c>
      <c r="J2823" t="s">
        <v>41</v>
      </c>
      <c r="K2823" s="79" t="str">
        <f>VLOOKUP(Tabla3[[#This Row],[Site]],'Important Info!'!$A$1:$H$135,8,FALSE)</f>
        <v>-</v>
      </c>
      <c r="L2823" s="52" t="str">
        <f>VLOOKUP(Tabla3[[#This Row],[Site]],'Important Info!'!$A$1:$F$135,2,FALSE)</f>
        <v>17, 23 &amp; 18</v>
      </c>
      <c r="M2823" s="52" t="str">
        <f>VLOOKUP(Tabla3[[#This Row],[Site]],'Important Info!'!$A$1:$F$135,3,FALSE)</f>
        <v>4, 5, 6, 7, 8, 51, 55</v>
      </c>
      <c r="N2823" s="52" t="str">
        <f>VLOOKUP(Tabla3[[#This Row],[Site]],'Important Info!'!$A$1:$F$135,4,FALSE)</f>
        <v>-</v>
      </c>
      <c r="O2823" s="52" t="str">
        <f>VLOOKUP(Tabla3[[#This Row],[Site]],'Important Info!'!$A$1:$F$135,5,FALSE)</f>
        <v>3, 13, 17, 49, 53, 59</v>
      </c>
      <c r="P2823" s="52" t="str">
        <f>VLOOKUP(Tabla3[[#This Row],[Site]],'Important Info!'!$A$1:$F$135,6,FALSE)</f>
        <v>8, 9, 10, 51, 62</v>
      </c>
      <c r="Q2823" s="91">
        <f>VLOOKUP(Tabla3[[#This Row],[Site]],'Important Info!'!$A$1:$J$135,9,FALSE)</f>
        <v>130</v>
      </c>
    </row>
    <row r="2824" spans="1:17" x14ac:dyDescent="0.25">
      <c r="A2824" t="str">
        <f>+Tabla3[[#This Row],[Site]]&amp;Tabla3[[#This Row],[Split]]</f>
        <v>(SCH) West Palm Beach I, II &amp; III28</v>
      </c>
      <c r="B2824">
        <v>28</v>
      </c>
      <c r="C2824">
        <v>10</v>
      </c>
      <c r="D2824" t="s">
        <v>492</v>
      </c>
      <c r="E2824" t="s">
        <v>35</v>
      </c>
      <c r="F2824" t="s">
        <v>96</v>
      </c>
      <c r="G2824" t="s">
        <v>490</v>
      </c>
      <c r="H2824" s="52" t="str">
        <f>VLOOKUP(Tabla3[[#This Row],[Site]],'Important Info!'!$A$1:$J$135,10,FALSE)</f>
        <v>https://tools.sig.systems/site/details/162</v>
      </c>
      <c r="I2824" s="2"/>
      <c r="J2824" t="s">
        <v>36</v>
      </c>
      <c r="K2824" s="79" t="str">
        <f>VLOOKUP(Tabla3[[#This Row],[Site]],'Important Info!'!$A$1:$H$135,8,FALSE)</f>
        <v>SUNDAY: Log in at 5:30 p.m. ET.</v>
      </c>
      <c r="L2824" s="52" t="str">
        <f>VLOOKUP(Tabla3[[#This Row],[Site]],'Important Info!'!$A$1:$F$135,2,FALSE)</f>
        <v>34, 62</v>
      </c>
      <c r="M2824" s="52" t="str">
        <f>VLOOKUP(Tabla3[[#This Row],[Site]],'Important Info!'!$A$1:$F$135,3,FALSE)</f>
        <v xml:space="preserve">6, 7, 11, 13, </v>
      </c>
      <c r="N2824" s="52" t="str">
        <f>VLOOKUP(Tabla3[[#This Row],[Site]],'Important Info!'!$A$1:$F$135,4,FALSE)</f>
        <v>20, 21</v>
      </c>
      <c r="O2824" s="52" t="str">
        <f>VLOOKUP(Tabla3[[#This Row],[Site]],'Important Info!'!$A$1:$F$135,5,FALSE)</f>
        <v>-</v>
      </c>
      <c r="P2824" s="52" t="str">
        <f>VLOOKUP(Tabla3[[#This Row],[Site]],'Important Info!'!$A$1:$F$135,6,FALSE)</f>
        <v>1, 2, 3, 131, 132</v>
      </c>
      <c r="Q2824" s="91">
        <f>VLOOKUP(Tabla3[[#This Row],[Site]],'Important Info!'!$A$1:$J$135,9,FALSE)</f>
        <v>162</v>
      </c>
    </row>
    <row r="2825" spans="1:17" x14ac:dyDescent="0.25">
      <c r="A2825" t="str">
        <f>+Tabla3[[#This Row],[Site]]&amp;Tabla3[[#This Row],[Split]]</f>
        <v>(AS) Coggin Honda Ft. Pierce (NO TOURS)28</v>
      </c>
      <c r="B2825">
        <v>28</v>
      </c>
      <c r="C2825">
        <v>11</v>
      </c>
      <c r="D2825" t="s">
        <v>62</v>
      </c>
      <c r="E2825" t="s">
        <v>35</v>
      </c>
      <c r="F2825" t="s">
        <v>501</v>
      </c>
      <c r="G2825" t="s">
        <v>490</v>
      </c>
      <c r="H2825" s="52" t="str">
        <f>VLOOKUP(Tabla3[[#This Row],[Site]],'Important Info!'!$A$1:$J$135,10,FALSE)</f>
        <v>https://tools.sig.systems/site/details/120</v>
      </c>
      <c r="I2825" t="s">
        <v>179</v>
      </c>
      <c r="J2825" t="s">
        <v>484</v>
      </c>
      <c r="K2825" s="79" t="str">
        <f>VLOOKUP(Tabla3[[#This Row],[Site]],'Important Info!'!$A$1:$H$135,8,FALSE)</f>
        <v>-</v>
      </c>
      <c r="L2825" s="52" t="str">
        <f>VLOOKUP(Tabla3[[#This Row],[Site]],'Important Info!'!$A$1:$F$135,2,FALSE)</f>
        <v>1, 2, 3, 4, 14</v>
      </c>
      <c r="M2825" s="52" t="str">
        <f>VLOOKUP(Tabla3[[#This Row],[Site]],'Important Info!'!$A$1:$F$135,3,FALSE)</f>
        <v>-</v>
      </c>
      <c r="N2825" s="52" t="str">
        <f>VLOOKUP(Tabla3[[#This Row],[Site]],'Important Info!'!$A$1:$F$135,4,FALSE)</f>
        <v>-</v>
      </c>
      <c r="O2825" s="52" t="str">
        <f>VLOOKUP(Tabla3[[#This Row],[Site]],'Important Info!'!$A$1:$F$135,5,FALSE)</f>
        <v>7, 11, 15</v>
      </c>
      <c r="P2825" s="52">
        <f>VLOOKUP(Tabla3[[#This Row],[Site]],'Important Info!'!$A$1:$F$135,6,FALSE)</f>
        <v>3</v>
      </c>
      <c r="Q2825" s="91">
        <f>VLOOKUP(Tabla3[[#This Row],[Site]],'Important Info!'!$A$1:$J$135,9,FALSE)</f>
        <v>120</v>
      </c>
    </row>
    <row r="2826" spans="1:17" x14ac:dyDescent="0.25">
      <c r="A2826" t="str">
        <f>+Tabla3[[#This Row],[Site]]&amp;Tabla3[[#This Row],[Split]]</f>
        <v>(AS) David McDavid Lincoln Frisco (NO TOURS)28</v>
      </c>
      <c r="B2826">
        <v>28</v>
      </c>
      <c r="C2826">
        <v>11</v>
      </c>
      <c r="D2826" t="s">
        <v>33</v>
      </c>
      <c r="E2826" t="s">
        <v>46</v>
      </c>
      <c r="F2826" t="s">
        <v>507</v>
      </c>
      <c r="G2826" t="s">
        <v>34</v>
      </c>
      <c r="H2826" s="52" t="str">
        <f>VLOOKUP(Tabla3[[#This Row],[Site]],'Important Info!'!$A$1:$J$135,10,FALSE)</f>
        <v>https://tools.sig.systems/site/details/182</v>
      </c>
      <c r="I2826" s="43"/>
      <c r="J2826" t="s">
        <v>41</v>
      </c>
      <c r="K2826" s="79" t="str">
        <f>VLOOKUP(Tabla3[[#This Row],[Site]],'Important Info!'!$A$1:$H$135,8,FALSE)</f>
        <v>-</v>
      </c>
      <c r="L2826" s="52" t="str">
        <f>VLOOKUP(Tabla3[[#This Row],[Site]],'Important Info!'!$A$1:$F$135,2,FALSE)</f>
        <v>1, 2, 11</v>
      </c>
      <c r="M2826" s="52" t="str">
        <f>VLOOKUP(Tabla3[[#This Row],[Site]],'Important Info!'!$A$1:$F$135,3,FALSE)</f>
        <v>-</v>
      </c>
      <c r="N2826" s="52" t="str">
        <f>VLOOKUP(Tabla3[[#This Row],[Site]],'Important Info!'!$A$1:$F$135,4,FALSE)</f>
        <v>-</v>
      </c>
      <c r="O2826" s="52" t="str">
        <f>VLOOKUP(Tabla3[[#This Row],[Site]],'Important Info!'!$A$1:$F$135,5,FALSE)</f>
        <v>11, 16, 20</v>
      </c>
      <c r="P2826" s="52" t="str">
        <f>VLOOKUP(Tabla3[[#This Row],[Site]],'Important Info!'!$A$1:$F$135,6,FALSE)</f>
        <v>11, 12, 13, 14</v>
      </c>
      <c r="Q2826" s="91">
        <f>VLOOKUP(Tabla3[[#This Row],[Site]],'Important Info!'!$A$1:$J$135,9,FALSE)</f>
        <v>182</v>
      </c>
    </row>
    <row r="2827" spans="1:17" x14ac:dyDescent="0.25">
      <c r="A2827" t="str">
        <f>+Tabla3[[#This Row],[Site]]&amp;Tabla3[[#This Row],[Split]]</f>
        <v>(AS) Nalley BMW Collision Center (NO TOURS)28</v>
      </c>
      <c r="B2827">
        <v>28</v>
      </c>
      <c r="C2827">
        <v>11</v>
      </c>
      <c r="D2827" t="s">
        <v>62</v>
      </c>
      <c r="E2827" t="s">
        <v>35</v>
      </c>
      <c r="F2827" t="s">
        <v>510</v>
      </c>
      <c r="G2827" t="s">
        <v>490</v>
      </c>
      <c r="H2827" s="52" t="str">
        <f>VLOOKUP(Tabla3[[#This Row],[Site]],'Important Info!'!$A$1:$J$135,10,FALSE)</f>
        <v>https://tools.sig.systems/site/details/220</v>
      </c>
      <c r="I2827" s="43"/>
      <c r="J2827" t="s">
        <v>41</v>
      </c>
      <c r="K2827" s="79" t="str">
        <f>VLOOKUP(Tabla3[[#This Row],[Site]],'Important Info!'!$A$1:$H$135,8,FALSE)</f>
        <v>-</v>
      </c>
      <c r="L2827" s="52" t="str">
        <f>VLOOKUP(Tabla3[[#This Row],[Site]],'Important Info!'!$A$1:$F$135,2,FALSE)</f>
        <v>-</v>
      </c>
      <c r="M2827" s="52">
        <f>VLOOKUP(Tabla3[[#This Row],[Site]],'Important Info!'!$A$1:$F$135,3,FALSE)</f>
        <v>4</v>
      </c>
      <c r="N2827" s="52" t="str">
        <f>VLOOKUP(Tabla3[[#This Row],[Site]],'Important Info!'!$A$1:$F$135,4,FALSE)</f>
        <v>-</v>
      </c>
      <c r="O2827" s="52">
        <f>VLOOKUP(Tabla3[[#This Row],[Site]],'Important Info!'!$A$1:$F$135,5,FALSE)</f>
        <v>12</v>
      </c>
      <c r="P2827" s="52" t="str">
        <f>VLOOKUP(Tabla3[[#This Row],[Site]],'Important Info!'!$A$1:$F$135,6,FALSE)</f>
        <v>13, 15</v>
      </c>
      <c r="Q2827" s="91">
        <f>VLOOKUP(Tabla3[[#This Row],[Site]],'Important Info!'!$A$1:$J$135,9,FALSE)</f>
        <v>220</v>
      </c>
    </row>
    <row r="2828" spans="1:17" x14ac:dyDescent="0.25">
      <c r="A2828" t="str">
        <f>+Tabla3[[#This Row],[Site]]&amp;Tabla3[[#This Row],[Split]]</f>
        <v>(DT) Albuquerque28</v>
      </c>
      <c r="B2828">
        <v>28</v>
      </c>
      <c r="C2828">
        <v>11</v>
      </c>
      <c r="D2828" t="s">
        <v>44</v>
      </c>
      <c r="E2828" t="s">
        <v>53</v>
      </c>
      <c r="F2828" t="s">
        <v>155</v>
      </c>
      <c r="G2828" t="s">
        <v>45</v>
      </c>
      <c r="H2828" s="52" t="str">
        <f>VLOOKUP(Tabla3[[#This Row],[Site]],'Important Info!'!$A$1:$J$135,10,FALSE)</f>
        <v>https://tools.sig.systems/site/details/237</v>
      </c>
      <c r="J2828" t="s">
        <v>41</v>
      </c>
      <c r="K2828" s="79" t="str">
        <f>VLOOKUP(Tabla3[[#This Row],[Site]],'Important Info!'!$A$1:$H$135,8,FALSE)</f>
        <v>-</v>
      </c>
      <c r="L2828" s="52" t="str">
        <f>VLOOKUP(Tabla3[[#This Row],[Site]],'Important Info!'!$A$1:$F$135,2,FALSE)</f>
        <v>14, 16</v>
      </c>
      <c r="M2828" s="52" t="str">
        <f>VLOOKUP(Tabla3[[#This Row],[Site]],'Important Info!'!$A$1:$F$135,3,FALSE)</f>
        <v>-</v>
      </c>
      <c r="N2828" s="52" t="str">
        <f>VLOOKUP(Tabla3[[#This Row],[Site]],'Important Info!'!$A$1:$F$135,4,FALSE)</f>
        <v>-</v>
      </c>
      <c r="O2828" s="52" t="str">
        <f>VLOOKUP(Tabla3[[#This Row],[Site]],'Important Info!'!$A$1:$F$135,5,FALSE)</f>
        <v>14, 15</v>
      </c>
      <c r="P2828" s="52" t="str">
        <f>VLOOKUP(Tabla3[[#This Row],[Site]],'Important Info!'!$A$1:$F$135,6,FALSE)</f>
        <v>12, 14, 16</v>
      </c>
      <c r="Q2828" s="91">
        <f>VLOOKUP(Tabla3[[#This Row],[Site]],'Important Info!'!$A$1:$J$135,9,FALSE)</f>
        <v>237</v>
      </c>
    </row>
    <row r="2829" spans="1:17" x14ac:dyDescent="0.25">
      <c r="A2829" t="str">
        <f>+Tabla3[[#This Row],[Site]]&amp;Tabla3[[#This Row],[Split]]</f>
        <v>(ML) Volvo Collision Corp28</v>
      </c>
      <c r="B2829">
        <v>28</v>
      </c>
      <c r="C2829">
        <v>11</v>
      </c>
      <c r="D2829" t="s">
        <v>33</v>
      </c>
      <c r="E2829" t="s">
        <v>46</v>
      </c>
      <c r="F2829" t="s">
        <v>106</v>
      </c>
      <c r="G2829" t="s">
        <v>34</v>
      </c>
      <c r="H2829" s="52" t="str">
        <f>VLOOKUP(Tabla3[[#This Row],[Site]],'Important Info!'!$A$1:$J$135,10,FALSE)</f>
        <v>https://tools.sig.systems/site/details/223</v>
      </c>
      <c r="I2829" s="2"/>
      <c r="J2829" t="s">
        <v>41</v>
      </c>
      <c r="K2829" s="79" t="str">
        <f>VLOOKUP(Tabla3[[#This Row],[Site]],'Important Info!'!$A$1:$H$135,8,FALSE)</f>
        <v>-</v>
      </c>
      <c r="L2829" s="52" t="str">
        <f>VLOOKUP(Tabla3[[#This Row],[Site]],'Important Info!'!$A$1:$F$135,2,FALSE)</f>
        <v>7, 11</v>
      </c>
      <c r="M2829" s="52">
        <f>VLOOKUP(Tabla3[[#This Row],[Site]],'Important Info!'!$A$1:$F$135,3,FALSE)</f>
        <v>4</v>
      </c>
      <c r="N2829" s="52" t="str">
        <f>VLOOKUP(Tabla3[[#This Row],[Site]],'Important Info!'!$A$1:$F$135,4,FALSE)</f>
        <v>-</v>
      </c>
      <c r="O2829" s="52">
        <f>VLOOKUP(Tabla3[[#This Row],[Site]],'Important Info!'!$A$1:$F$135,5,FALSE)</f>
        <v>18</v>
      </c>
      <c r="P2829" s="52" t="str">
        <f>VLOOKUP(Tabla3[[#This Row],[Site]],'Important Info!'!$A$1:$F$135,6,FALSE)</f>
        <v>-</v>
      </c>
      <c r="Q2829" s="91">
        <f>VLOOKUP(Tabla3[[#This Row],[Site]],'Important Info!'!$A$1:$J$135,9,FALSE)</f>
        <v>223</v>
      </c>
    </row>
    <row r="2830" spans="1:17" x14ac:dyDescent="0.25">
      <c r="A2830" t="str">
        <f>+Tabla3[[#This Row],[Site]]&amp;Tabla3[[#This Row],[Split]]</f>
        <v>(PE) Fairfield Collision (NO TOURS)28</v>
      </c>
      <c r="B2830">
        <v>28</v>
      </c>
      <c r="C2830">
        <v>11</v>
      </c>
      <c r="D2830" t="s">
        <v>485</v>
      </c>
      <c r="E2830" t="s">
        <v>35</v>
      </c>
      <c r="F2830" t="s">
        <v>63</v>
      </c>
      <c r="G2830" t="s">
        <v>490</v>
      </c>
      <c r="H2830" s="52" t="str">
        <f>VLOOKUP(Tabla3[[#This Row],[Site]],'Important Info!'!$A$1:$J$135,10,FALSE)</f>
        <v>https://tools.sig.systems/site/details/191</v>
      </c>
      <c r="J2830" t="s">
        <v>41</v>
      </c>
      <c r="K2830" s="79" t="str">
        <f>VLOOKUP(Tabla3[[#This Row],[Site]],'Important Info!'!$A$1:$H$135,8,FALSE)</f>
        <v>-</v>
      </c>
      <c r="L2830" s="52">
        <f>VLOOKUP(Tabla3[[#This Row],[Site]],'Important Info!'!$A$1:$F$135,2,FALSE)</f>
        <v>4</v>
      </c>
      <c r="M2830" s="52" t="str">
        <f>VLOOKUP(Tabla3[[#This Row],[Site]],'Important Info!'!$A$1:$F$135,3,FALSE)</f>
        <v>-</v>
      </c>
      <c r="N2830" s="52" t="str">
        <f>VLOOKUP(Tabla3[[#This Row],[Site]],'Important Info!'!$A$1:$F$135,4,FALSE)</f>
        <v>-</v>
      </c>
      <c r="O2830" s="52" t="str">
        <f>VLOOKUP(Tabla3[[#This Row],[Site]],'Important Info!'!$A$1:$F$135,5,FALSE)</f>
        <v>-</v>
      </c>
      <c r="P2830" s="52" t="str">
        <f>VLOOKUP(Tabla3[[#This Row],[Site]],'Important Info!'!$A$1:$F$135,6,FALSE)</f>
        <v>1, 2, 3, 4, 5, 6</v>
      </c>
      <c r="Q2830" s="91">
        <f>VLOOKUP(Tabla3[[#This Row],[Site]],'Important Info!'!$A$1:$J$135,9,FALSE)</f>
        <v>191</v>
      </c>
    </row>
    <row r="2831" spans="1:17" x14ac:dyDescent="0.25">
      <c r="A2831" t="str">
        <f>+Tabla3[[#This Row],[Site]]&amp;Tabla3[[#This Row],[Split]]</f>
        <v>(HUD) Acura of Greensboro28</v>
      </c>
      <c r="B2831">
        <v>28</v>
      </c>
      <c r="C2831">
        <v>12</v>
      </c>
      <c r="D2831" t="s">
        <v>62</v>
      </c>
      <c r="E2831" t="s">
        <v>35</v>
      </c>
      <c r="F2831" t="s">
        <v>100</v>
      </c>
      <c r="G2831" t="s">
        <v>490</v>
      </c>
      <c r="H2831" s="52" t="str">
        <f>VLOOKUP(Tabla3[[#This Row],[Site]],'Important Info!'!$A$1:$J$135,10,FALSE)</f>
        <v>https://tools.sig.systems/site/details/213</v>
      </c>
      <c r="I2831" t="s">
        <v>182</v>
      </c>
      <c r="J2831" t="s">
        <v>41</v>
      </c>
      <c r="K2831" s="79" t="str">
        <f>VLOOKUP(Tabla3[[#This Row],[Site]],'Important Info!'!$A$1:$H$135,8,FALSE)</f>
        <v>-</v>
      </c>
      <c r="L2831" s="52" t="str">
        <f>VLOOKUP(Tabla3[[#This Row],[Site]],'Important Info!'!$A$1:$F$135,2,FALSE)</f>
        <v>1, 2, 6, 7, 9</v>
      </c>
      <c r="M2831" s="52" t="str">
        <f>VLOOKUP(Tabla3[[#This Row],[Site]],'Important Info!'!$A$1:$F$135,3,FALSE)</f>
        <v>-</v>
      </c>
      <c r="N2831" s="52" t="str">
        <f>VLOOKUP(Tabla3[[#This Row],[Site]],'Important Info!'!$A$1:$F$135,4,FALSE)</f>
        <v>-</v>
      </c>
      <c r="O2831" s="52" t="str">
        <f>VLOOKUP(Tabla3[[#This Row],[Site]],'Important Info!'!$A$1:$F$135,5,FALSE)</f>
        <v>2, 5</v>
      </c>
      <c r="P2831" s="52" t="str">
        <f>VLOOKUP(Tabla3[[#This Row],[Site]],'Important Info!'!$A$1:$F$135,6,FALSE)</f>
        <v>1, 2, 6, 7, 9, 18</v>
      </c>
      <c r="Q2831" s="91">
        <f>VLOOKUP(Tabla3[[#This Row],[Site]],'Important Info!'!$A$1:$J$135,9,FALSE)</f>
        <v>213</v>
      </c>
    </row>
    <row r="2832" spans="1:17" x14ac:dyDescent="0.25">
      <c r="A2832" t="str">
        <f>+Tabla3[[#This Row],[Site]]&amp;Tabla3[[#This Row],[Split]]</f>
        <v>(KG) Big Star CDJR of Clear Lake28</v>
      </c>
      <c r="B2832">
        <v>28</v>
      </c>
      <c r="C2832">
        <v>12</v>
      </c>
      <c r="D2832" t="s">
        <v>33</v>
      </c>
      <c r="E2832" t="s">
        <v>46</v>
      </c>
      <c r="F2832" t="s">
        <v>133</v>
      </c>
      <c r="G2832" t="s">
        <v>34</v>
      </c>
      <c r="H2832" s="52" t="str">
        <f>VLOOKUP(Tabla3[[#This Row],[Site]],'Important Info!'!$A$1:$J$135,10,FALSE)</f>
        <v>https://tools.sig.systems/site/details/232</v>
      </c>
      <c r="I2832" s="2" t="s">
        <v>134</v>
      </c>
      <c r="J2832" t="s">
        <v>41</v>
      </c>
      <c r="K2832" s="79" t="str">
        <f>VLOOKUP(Tabla3[[#This Row],[Site]],'Important Info!'!$A$1:$H$135,8,FALSE)</f>
        <v>-</v>
      </c>
      <c r="L2832" s="52" t="str">
        <f>VLOOKUP(Tabla3[[#This Row],[Site]],'Important Info!'!$A$1:$F$135,2,FALSE)</f>
        <v>8, 25</v>
      </c>
      <c r="M2832" s="52" t="str">
        <f>VLOOKUP(Tabla3[[#This Row],[Site]],'Important Info!'!$A$1:$F$135,3,FALSE)</f>
        <v>-</v>
      </c>
      <c r="N2832" s="52" t="str">
        <f>VLOOKUP(Tabla3[[#This Row],[Site]],'Important Info!'!$A$1:$F$135,4,FALSE)</f>
        <v>-</v>
      </c>
      <c r="O2832" s="52" t="str">
        <f>VLOOKUP(Tabla3[[#This Row],[Site]],'Important Info!'!$A$1:$F$135,5,FALSE)</f>
        <v>7, 13, 19, 24</v>
      </c>
      <c r="P2832" s="52" t="str">
        <f>VLOOKUP(Tabla3[[#This Row],[Site]],'Important Info!'!$A$1:$F$135,6,FALSE)</f>
        <v>6, 8, 25, 31</v>
      </c>
      <c r="Q2832" s="91">
        <f>VLOOKUP(Tabla3[[#This Row],[Site]],'Important Info!'!$A$1:$J$135,9,FALSE)</f>
        <v>232</v>
      </c>
    </row>
    <row r="2833" spans="1:17" x14ac:dyDescent="0.25">
      <c r="A2833" t="str">
        <f>+Tabla3[[#This Row],[Site]]&amp;Tabla3[[#This Row],[Split]]</f>
        <v>(KG) Big Star Ford28</v>
      </c>
      <c r="B2833">
        <v>28</v>
      </c>
      <c r="C2833">
        <v>12</v>
      </c>
      <c r="D2833" t="s">
        <v>33</v>
      </c>
      <c r="E2833" t="s">
        <v>46</v>
      </c>
      <c r="F2833" t="s">
        <v>135</v>
      </c>
      <c r="G2833" t="s">
        <v>34</v>
      </c>
      <c r="H2833" s="52" t="str">
        <f>VLOOKUP(Tabla3[[#This Row],[Site]],'Important Info!'!$A$1:$J$135,10,FALSE)</f>
        <v>https://tools.sig.systems/site/details/235</v>
      </c>
      <c r="I2833" s="43"/>
      <c r="J2833" t="s">
        <v>41</v>
      </c>
      <c r="K2833" s="79" t="str">
        <f>VLOOKUP(Tabla3[[#This Row],[Site]],'Important Info!'!$A$1:$H$135,8,FALSE)</f>
        <v>-</v>
      </c>
      <c r="L2833" s="52" t="str">
        <f>VLOOKUP(Tabla3[[#This Row],[Site]],'Important Info!'!$A$1:$F$135,2,FALSE)</f>
        <v>4, 22, 32, 33</v>
      </c>
      <c r="M2833" s="52" t="str">
        <f>VLOOKUP(Tabla3[[#This Row],[Site]],'Important Info!'!$A$1:$F$135,3,FALSE)</f>
        <v>-</v>
      </c>
      <c r="N2833" s="52" t="str">
        <f>VLOOKUP(Tabla3[[#This Row],[Site]],'Important Info!'!$A$1:$F$135,4,FALSE)</f>
        <v>-</v>
      </c>
      <c r="O2833" s="52" t="str">
        <f>VLOOKUP(Tabla3[[#This Row],[Site]],'Important Info!'!$A$1:$F$135,5,FALSE)</f>
        <v>1, 5, 12, 21</v>
      </c>
      <c r="P2833" s="52">
        <f>VLOOKUP(Tabla3[[#This Row],[Site]],'Important Info!'!$A$1:$F$135,6,FALSE)</f>
        <v>22</v>
      </c>
      <c r="Q2833" s="91">
        <f>VLOOKUP(Tabla3[[#This Row],[Site]],'Important Info!'!$A$1:$J$135,9,FALSE)</f>
        <v>235</v>
      </c>
    </row>
    <row r="2834" spans="1:17" x14ac:dyDescent="0.25">
      <c r="A2834" t="str">
        <f>+Tabla3[[#This Row],[Site]]&amp;Tabla3[[#This Row],[Split]]</f>
        <v>(MK) McKenny Salinas Honda28</v>
      </c>
      <c r="B2834">
        <v>28</v>
      </c>
      <c r="C2834">
        <v>12</v>
      </c>
      <c r="D2834" t="s">
        <v>62</v>
      </c>
      <c r="E2834" t="s">
        <v>35</v>
      </c>
      <c r="F2834" t="s">
        <v>115</v>
      </c>
      <c r="G2834" t="s">
        <v>490</v>
      </c>
      <c r="H2834" s="52" t="str">
        <f>VLOOKUP(Tabla3[[#This Row],[Site]],'Important Info!'!$A$1:$J$135,10,FALSE)</f>
        <v>https://tools.sig.systems/site/details/149</v>
      </c>
      <c r="J2834" t="s">
        <v>41</v>
      </c>
      <c r="K2834" s="79" t="str">
        <f>VLOOKUP(Tabla3[[#This Row],[Site]],'Important Info!'!$A$1:$H$135,8,FALSE)</f>
        <v>-</v>
      </c>
      <c r="L2834" s="52" t="str">
        <f>VLOOKUP(Tabla3[[#This Row],[Site]],'Important Info!'!$A$1:$F$135,2,FALSE)</f>
        <v>-</v>
      </c>
      <c r="M2834" s="52" t="str">
        <f>VLOOKUP(Tabla3[[#This Row],[Site]],'Important Info!'!$A$1:$F$135,3,FALSE)</f>
        <v>12, 16</v>
      </c>
      <c r="N2834" s="52" t="str">
        <f>VLOOKUP(Tabla3[[#This Row],[Site]],'Important Info!'!$A$1:$F$135,4,FALSE)</f>
        <v>-</v>
      </c>
      <c r="O2834" s="52" t="str">
        <f>VLOOKUP(Tabla3[[#This Row],[Site]],'Important Info!'!$A$1:$F$135,5,FALSE)</f>
        <v>-</v>
      </c>
      <c r="P2834" s="52" t="str">
        <f>VLOOKUP(Tabla3[[#This Row],[Site]],'Important Info!'!$A$1:$F$135,6,FALSE)</f>
        <v>3, 4, 5, 6, 16</v>
      </c>
      <c r="Q2834" s="91">
        <f>VLOOKUP(Tabla3[[#This Row],[Site]],'Important Info!'!$A$1:$J$135,9,FALSE)</f>
        <v>149</v>
      </c>
    </row>
    <row r="2835" spans="1:17" x14ac:dyDescent="0.25">
      <c r="A2835" t="str">
        <f>+Tabla3[[#This Row],[Site]]&amp;Tabla3[[#This Row],[Split]]</f>
        <v>(PE) Mercedes Benz &amp; Smart Bldg. of Fairfield (NO TOURS)28</v>
      </c>
      <c r="B2835">
        <v>28</v>
      </c>
      <c r="C2835">
        <v>12</v>
      </c>
      <c r="D2835" t="s">
        <v>485</v>
      </c>
      <c r="E2835" t="s">
        <v>35</v>
      </c>
      <c r="F2835" t="s">
        <v>64</v>
      </c>
      <c r="G2835" t="s">
        <v>490</v>
      </c>
      <c r="H2835" s="52" t="str">
        <f>VLOOKUP(Tabla3[[#This Row],[Site]],'Important Info!'!$A$1:$J$135,10,FALSE)</f>
        <v>https://tools.sig.systems/site/details/192</v>
      </c>
      <c r="I2835" t="s">
        <v>177</v>
      </c>
      <c r="J2835" t="s">
        <v>41</v>
      </c>
      <c r="K2835" s="79" t="str">
        <f>VLOOKUP(Tabla3[[#This Row],[Site]],'Important Info!'!$A$1:$H$135,8,FALSE)</f>
        <v>-</v>
      </c>
      <c r="L2835" s="52" t="str">
        <f>VLOOKUP(Tabla3[[#This Row],[Site]],'Important Info!'!$A$1:$F$135,2,FALSE)</f>
        <v>-</v>
      </c>
      <c r="M2835" s="52">
        <f>VLOOKUP(Tabla3[[#This Row],[Site]],'Important Info!'!$A$1:$F$135,3,FALSE)</f>
        <v>1</v>
      </c>
      <c r="N2835" s="52" t="str">
        <f>VLOOKUP(Tabla3[[#This Row],[Site]],'Important Info!'!$A$1:$F$135,4,FALSE)</f>
        <v>-</v>
      </c>
      <c r="O2835" s="52" t="str">
        <f>VLOOKUP(Tabla3[[#This Row],[Site]],'Important Info!'!$A$1:$F$135,5,FALSE)</f>
        <v>11, 13</v>
      </c>
      <c r="P2835" s="52">
        <f>VLOOKUP(Tabla3[[#This Row],[Site]],'Important Info!'!$A$1:$F$135,6,FALSE)</f>
        <v>1</v>
      </c>
      <c r="Q2835" s="91">
        <f>VLOOKUP(Tabla3[[#This Row],[Site]],'Important Info!'!$A$1:$J$135,9,FALSE)</f>
        <v>192</v>
      </c>
    </row>
    <row r="2836" spans="1:17" x14ac:dyDescent="0.25">
      <c r="A2836" t="str">
        <f>+Tabla3[[#This Row],[Site]]&amp;Tabla3[[#This Row],[Split]]</f>
        <v>(AS) David McDavid Honda I &amp; II (NO TOURS)28</v>
      </c>
      <c r="B2836">
        <v>28</v>
      </c>
      <c r="C2836">
        <v>13</v>
      </c>
      <c r="D2836" t="s">
        <v>33</v>
      </c>
      <c r="E2836" t="s">
        <v>46</v>
      </c>
      <c r="F2836" t="s">
        <v>506</v>
      </c>
      <c r="G2836" t="s">
        <v>34</v>
      </c>
      <c r="H2836" s="52" t="str">
        <f>VLOOKUP(Tabla3[[#This Row],[Site]],'Important Info!'!$A$1:$J$135,10,FALSE)</f>
        <v>https://tools.sig.systems/site/details/129</v>
      </c>
      <c r="J2836" t="s">
        <v>41</v>
      </c>
      <c r="K2836" s="79" t="str">
        <f>VLOOKUP(Tabla3[[#This Row],[Site]],'Important Info!'!$A$1:$H$135,8,FALSE)</f>
        <v>-</v>
      </c>
      <c r="L2836" s="52" t="str">
        <f>VLOOKUP(Tabla3[[#This Row],[Site]],'Important Info!'!$A$1:$F$135,2,FALSE)</f>
        <v>-</v>
      </c>
      <c r="M2836" s="52" t="str">
        <f>VLOOKUP(Tabla3[[#This Row],[Site]],'Important Info!'!$A$1:$F$135,3,FALSE)</f>
        <v>3, 19, 23, 32, 35</v>
      </c>
      <c r="N2836" s="52" t="str">
        <f>VLOOKUP(Tabla3[[#This Row],[Site]],'Important Info!'!$A$1:$F$135,4,FALSE)</f>
        <v>-</v>
      </c>
      <c r="O2836" s="52" t="str">
        <f>VLOOKUP(Tabla3[[#This Row],[Site]],'Important Info!'!$A$1:$F$135,5,FALSE)</f>
        <v>2, 6, 9, 19, 25, 30, 48</v>
      </c>
      <c r="P2836" s="52" t="str">
        <f>VLOOKUP(Tabla3[[#This Row],[Site]],'Important Info!'!$A$1:$F$135,6,FALSE)</f>
        <v>25, 26, 35, 36, 37</v>
      </c>
      <c r="Q2836" s="91">
        <f>VLOOKUP(Tabla3[[#This Row],[Site]],'Important Info!'!$A$1:$J$135,9,FALSE)</f>
        <v>129</v>
      </c>
    </row>
    <row r="2837" spans="1:17" x14ac:dyDescent="0.25">
      <c r="A2837" t="str">
        <f>+Tabla3[[#This Row],[Site]]&amp;Tabla3[[#This Row],[Split]]</f>
        <v>(AS) Plano Auction (NO SPEAKERS)28</v>
      </c>
      <c r="B2837">
        <v>28</v>
      </c>
      <c r="C2837">
        <v>13</v>
      </c>
      <c r="D2837" t="s">
        <v>33</v>
      </c>
      <c r="E2837" t="s">
        <v>46</v>
      </c>
      <c r="F2837" t="s">
        <v>129</v>
      </c>
      <c r="G2837" t="s">
        <v>34</v>
      </c>
      <c r="H2837" s="52" t="str">
        <f>VLOOKUP(Tabla3[[#This Row],[Site]],'Important Info!'!$A$1:$J$135,10,FALSE)</f>
        <v>https://tools.sig.systems/site/details/140</v>
      </c>
      <c r="J2837" t="s">
        <v>41</v>
      </c>
      <c r="K2837" s="79" t="str">
        <f>VLOOKUP(Tabla3[[#This Row],[Site]],'Important Info!'!$A$1:$H$135,8,FALSE)</f>
        <v>-</v>
      </c>
      <c r="L2837" s="52" t="str">
        <f>VLOOKUP(Tabla3[[#This Row],[Site]],'Important Info!'!$A$1:$F$135,2,FALSE)</f>
        <v>-</v>
      </c>
      <c r="M2837" s="52" t="str">
        <f>VLOOKUP(Tabla3[[#This Row],[Site]],'Important Info!'!$A$1:$F$135,3,FALSE)</f>
        <v>3, 4, 19</v>
      </c>
      <c r="N2837" s="52" t="str">
        <f>VLOOKUP(Tabla3[[#This Row],[Site]],'Important Info!'!$A$1:$F$135,4,FALSE)</f>
        <v>-</v>
      </c>
      <c r="O2837" s="52" t="str">
        <f>VLOOKUP(Tabla3[[#This Row],[Site]],'Important Info!'!$A$1:$F$135,5,FALSE)</f>
        <v>5, 19</v>
      </c>
      <c r="P2837" s="52">
        <f>VLOOKUP(Tabla3[[#This Row],[Site]],'Important Info!'!$A$1:$F$135,6,FALSE)</f>
        <v>21</v>
      </c>
      <c r="Q2837" s="91">
        <f>VLOOKUP(Tabla3[[#This Row],[Site]],'Important Info!'!$A$1:$J$135,9,FALSE)</f>
        <v>140</v>
      </c>
    </row>
    <row r="2838" spans="1:17" x14ac:dyDescent="0.25">
      <c r="A2838" t="str">
        <f>+Tabla3[[#This Row],[Site]]&amp;Tabla3[[#This Row],[Split]]</f>
        <v>(HUD) BMW of Greensboro28</v>
      </c>
      <c r="B2838">
        <v>28</v>
      </c>
      <c r="C2838">
        <v>13</v>
      </c>
      <c r="D2838" t="s">
        <v>62</v>
      </c>
      <c r="E2838" t="s">
        <v>35</v>
      </c>
      <c r="F2838" t="s">
        <v>183</v>
      </c>
      <c r="G2838" t="s">
        <v>490</v>
      </c>
      <c r="H2838" s="52" t="str">
        <f>VLOOKUP(Tabla3[[#This Row],[Site]],'Important Info!'!$A$1:$J$135,10,FALSE)</f>
        <v>https://tools.sig.systems/site/details/219</v>
      </c>
      <c r="I2838" s="43" t="s">
        <v>184</v>
      </c>
      <c r="J2838" t="s">
        <v>41</v>
      </c>
      <c r="K2838" s="79" t="str">
        <f>VLOOKUP(Tabla3[[#This Row],[Site]],'Important Info!'!$A$1:$H$135,8,FALSE)</f>
        <v>-</v>
      </c>
      <c r="L2838" s="52" t="str">
        <f>VLOOKUP(Tabla3[[#This Row],[Site]],'Important Info!'!$A$1:$F$135,2,FALSE)</f>
        <v>2, 20, 21</v>
      </c>
      <c r="M2838" s="52" t="str">
        <f>VLOOKUP(Tabla3[[#This Row],[Site]],'Important Info!'!$A$1:$F$135,3,FALSE)</f>
        <v>-</v>
      </c>
      <c r="N2838" s="52" t="str">
        <f>VLOOKUP(Tabla3[[#This Row],[Site]],'Important Info!'!$A$1:$F$135,4,FALSE)</f>
        <v>-</v>
      </c>
      <c r="O2838" s="52" t="str">
        <f>VLOOKUP(Tabla3[[#This Row],[Site]],'Important Info!'!$A$1:$F$135,5,FALSE)</f>
        <v>12, 17</v>
      </c>
      <c r="P2838" s="52" t="str">
        <f>VLOOKUP(Tabla3[[#This Row],[Site]],'Important Info!'!$A$1:$F$135,6,FALSE)</f>
        <v>1, 2, 6, 20</v>
      </c>
      <c r="Q2838" s="91">
        <f>VLOOKUP(Tabla3[[#This Row],[Site]],'Important Info!'!$A$1:$J$135,9,FALSE)</f>
        <v>219</v>
      </c>
    </row>
    <row r="2839" spans="1:17" x14ac:dyDescent="0.25">
      <c r="A2839" t="str">
        <f>+Tabla3[[#This Row],[Site]]&amp;Tabla3[[#This Row],[Split]]</f>
        <v>(AS) Coggin Mercedes Benz Ft Pierce (NO TOURS)28</v>
      </c>
      <c r="B2839">
        <v>28</v>
      </c>
      <c r="C2839">
        <v>14</v>
      </c>
      <c r="D2839" t="s">
        <v>62</v>
      </c>
      <c r="E2839" t="s">
        <v>35</v>
      </c>
      <c r="F2839" t="s">
        <v>502</v>
      </c>
      <c r="G2839" t="s">
        <v>490</v>
      </c>
      <c r="H2839" s="52" t="str">
        <f>VLOOKUP(Tabla3[[#This Row],[Site]],'Important Info!'!$A$1:$J$135,10,FALSE)</f>
        <v>https://tools.sig.systems/site/details/127</v>
      </c>
      <c r="I2839" t="s">
        <v>179</v>
      </c>
      <c r="J2839" t="s">
        <v>41</v>
      </c>
      <c r="K2839" s="79" t="str">
        <f>VLOOKUP(Tabla3[[#This Row],[Site]],'Important Info!'!$A$1:$H$135,8,FALSE)</f>
        <v>-</v>
      </c>
      <c r="L2839" s="52">
        <f>VLOOKUP(Tabla3[[#This Row],[Site]],'Important Info!'!$A$1:$F$135,2,FALSE)</f>
        <v>18</v>
      </c>
      <c r="M2839" s="52" t="str">
        <f>VLOOKUP(Tabla3[[#This Row],[Site]],'Important Info!'!$A$1:$F$135,3,FALSE)</f>
        <v>1, 3</v>
      </c>
      <c r="N2839" s="52" t="str">
        <f>VLOOKUP(Tabla3[[#This Row],[Site]],'Important Info!'!$A$1:$F$135,4,FALSE)</f>
        <v>-</v>
      </c>
      <c r="O2839" s="52" t="str">
        <f>VLOOKUP(Tabla3[[#This Row],[Site]],'Important Info!'!$A$1:$F$135,5,FALSE)</f>
        <v>6, 10, 13</v>
      </c>
      <c r="P2839" s="52" t="str">
        <f>VLOOKUP(Tabla3[[#This Row],[Site]],'Important Info!'!$A$1:$F$135,6,FALSE)</f>
        <v>1, 4, 5</v>
      </c>
      <c r="Q2839" s="91">
        <f>VLOOKUP(Tabla3[[#This Row],[Site]],'Important Info!'!$A$1:$J$135,9,FALSE)</f>
        <v>127</v>
      </c>
    </row>
    <row r="2840" spans="1:17" x14ac:dyDescent="0.25">
      <c r="A2840" t="str">
        <f>+Tabla3[[#This Row],[Site]]&amp;Tabla3[[#This Row],[Split]]</f>
        <v>(DT) El Cajon (NO TOURS)28</v>
      </c>
      <c r="B2840">
        <v>28</v>
      </c>
      <c r="C2840">
        <v>14</v>
      </c>
      <c r="D2840" t="s">
        <v>51</v>
      </c>
      <c r="E2840" t="s">
        <v>159</v>
      </c>
      <c r="F2840" t="s">
        <v>160</v>
      </c>
      <c r="G2840" t="s">
        <v>52</v>
      </c>
      <c r="H2840" s="52" t="str">
        <f>VLOOKUP(Tabla3[[#This Row],[Site]],'Important Info!'!$A$1:$J$135,10,FALSE)</f>
        <v>https://tools.sig.systems/site/details/241</v>
      </c>
      <c r="I2840" s="43"/>
      <c r="J2840" t="s">
        <v>41</v>
      </c>
      <c r="K2840" s="79" t="str">
        <f>VLOOKUP(Tabla3[[#This Row],[Site]],'Important Info!'!$A$1:$H$135,8,FALSE)</f>
        <v>-</v>
      </c>
      <c r="L2840" s="52" t="str">
        <f>VLOOKUP(Tabla3[[#This Row],[Site]],'Important Info!'!$A$1:$F$135,2,FALSE)</f>
        <v>-</v>
      </c>
      <c r="M2840" s="52">
        <f>VLOOKUP(Tabla3[[#This Row],[Site]],'Important Info!'!$A$1:$F$135,3,FALSE)</f>
        <v>3</v>
      </c>
      <c r="N2840" s="52" t="str">
        <f>VLOOKUP(Tabla3[[#This Row],[Site]],'Important Info!'!$A$1:$F$135,4,FALSE)</f>
        <v>-</v>
      </c>
      <c r="O2840" s="52" t="str">
        <f>VLOOKUP(Tabla3[[#This Row],[Site]],'Important Info!'!$A$1:$F$135,5,FALSE)</f>
        <v>-</v>
      </c>
      <c r="P2840" s="52" t="str">
        <f>VLOOKUP(Tabla3[[#This Row],[Site]],'Important Info!'!$A$1:$F$135,6,FALSE)</f>
        <v>-</v>
      </c>
      <c r="Q2840" s="91">
        <f>VLOOKUP(Tabla3[[#This Row],[Site]],'Important Info!'!$A$1:$J$135,9,FALSE)</f>
        <v>241</v>
      </c>
    </row>
    <row r="2841" spans="1:17" x14ac:dyDescent="0.25">
      <c r="A2841" t="str">
        <f>+Tabla3[[#This Row],[Site]]&amp;Tabla3[[#This Row],[Split]]</f>
        <v>(KG) Truck Center Remote Storage Lot28</v>
      </c>
      <c r="B2841">
        <v>28</v>
      </c>
      <c r="C2841">
        <v>14</v>
      </c>
      <c r="D2841" t="s">
        <v>60</v>
      </c>
      <c r="E2841" t="s">
        <v>53</v>
      </c>
      <c r="F2841" t="s">
        <v>61</v>
      </c>
      <c r="G2841" t="s">
        <v>41</v>
      </c>
      <c r="H2841" s="52" t="str">
        <f>VLOOKUP(Tabla3[[#This Row],[Site]],'Important Info!'!$A$1:$J$135,10,FALSE)</f>
        <v>https://tools.sig.systems/site/details/144</v>
      </c>
      <c r="I2841" s="2"/>
      <c r="J2841" t="s">
        <v>41</v>
      </c>
      <c r="K2841" s="79" t="str">
        <f>VLOOKUP(Tabla3[[#This Row],[Site]],'Important Info!'!$A$1:$H$135,8,FALSE)</f>
        <v>-</v>
      </c>
      <c r="L2841" s="52" t="str">
        <f>VLOOKUP(Tabla3[[#This Row],[Site]],'Important Info!'!$A$1:$F$135,2,FALSE)</f>
        <v>4, A23, A49</v>
      </c>
      <c r="M2841" s="52" t="str">
        <f>VLOOKUP(Tabla3[[#This Row],[Site]],'Important Info!'!$A$1:$F$135,3,FALSE)</f>
        <v>5, 24</v>
      </c>
      <c r="N2841" s="52" t="str">
        <f>VLOOKUP(Tabla3[[#This Row],[Site]],'Important Info!'!$A$1:$F$135,4,FALSE)</f>
        <v>-</v>
      </c>
      <c r="O2841" s="52" t="str">
        <f>VLOOKUP(Tabla3[[#This Row],[Site]],'Important Info!'!$A$1:$F$135,5,FALSE)</f>
        <v>1, 7, 11, 15, 19, 24, 25</v>
      </c>
      <c r="P2841" s="52" t="str">
        <f>VLOOKUP(Tabla3[[#This Row],[Site]],'Important Info!'!$A$1:$F$135,6,FALSE)</f>
        <v>9, 20, 24, A49</v>
      </c>
      <c r="Q2841" s="91">
        <f>VLOOKUP(Tabla3[[#This Row],[Site]],'Important Info!'!$A$1:$J$135,9,FALSE)</f>
        <v>144</v>
      </c>
    </row>
    <row r="2842" spans="1:17" x14ac:dyDescent="0.25">
      <c r="A2842" t="str">
        <f>+Tabla3[[#This Row],[Site]]&amp;Tabla3[[#This Row],[Split]]</f>
        <v>(ML) McLarty-Gray Daniels Chevrolet28</v>
      </c>
      <c r="B2842">
        <v>28</v>
      </c>
      <c r="C2842">
        <v>14</v>
      </c>
      <c r="D2842" t="s">
        <v>33</v>
      </c>
      <c r="E2842" t="s">
        <v>46</v>
      </c>
      <c r="F2842" t="s">
        <v>151</v>
      </c>
      <c r="G2842" t="s">
        <v>34</v>
      </c>
      <c r="H2842" s="52" t="str">
        <f>VLOOKUP(Tabla3[[#This Row],[Site]],'Important Info!'!$A$1:$J$135,10,FALSE)</f>
        <v>https://tools.sig.systems/site/details/150</v>
      </c>
      <c r="I2842" s="43"/>
      <c r="J2842" t="s">
        <v>41</v>
      </c>
      <c r="K2842" s="79" t="str">
        <f>VLOOKUP(Tabla3[[#This Row],[Site]],'Important Info!'!$A$1:$H$135,8,FALSE)</f>
        <v>-</v>
      </c>
      <c r="L2842" s="52" t="str">
        <f>VLOOKUP(Tabla3[[#This Row],[Site]],'Important Info!'!$A$1:$F$135,2,FALSE)</f>
        <v>3, 4, 5, 22, 24, 26, 28, 36</v>
      </c>
      <c r="M2842" s="52" t="str">
        <f>VLOOKUP(Tabla3[[#This Row],[Site]],'Important Info!'!$A$1:$F$135,3,FALSE)</f>
        <v>-</v>
      </c>
      <c r="N2842" s="52" t="str">
        <f>VLOOKUP(Tabla3[[#This Row],[Site]],'Important Info!'!$A$1:$F$135,4,FALSE)</f>
        <v>-</v>
      </c>
      <c r="O2842" s="52" t="str">
        <f>VLOOKUP(Tabla3[[#This Row],[Site]],'Important Info!'!$A$1:$F$135,5,FALSE)</f>
        <v>4, 7, 12, 26</v>
      </c>
      <c r="P2842" s="52" t="str">
        <f>VLOOKUP(Tabla3[[#This Row],[Site]],'Important Info!'!$A$1:$F$135,6,FALSE)</f>
        <v>1, 3, 5, 6, 23, 24</v>
      </c>
      <c r="Q2842" s="91">
        <f>VLOOKUP(Tabla3[[#This Row],[Site]],'Important Info!'!$A$1:$J$135,9,FALSE)</f>
        <v>150</v>
      </c>
    </row>
    <row r="2843" spans="1:17" x14ac:dyDescent="0.25">
      <c r="A2843" t="str">
        <f>+Tabla3[[#This Row],[Site]]&amp;Tabla3[[#This Row],[Split]]</f>
        <v>(AS) Lexus Plano I &amp; II (NO TOURS)28</v>
      </c>
      <c r="B2843">
        <v>28</v>
      </c>
      <c r="C2843">
        <v>15</v>
      </c>
      <c r="D2843" t="s">
        <v>33</v>
      </c>
      <c r="E2843" t="s">
        <v>46</v>
      </c>
      <c r="F2843" t="s">
        <v>524</v>
      </c>
      <c r="G2843" t="s">
        <v>34</v>
      </c>
      <c r="H2843" s="52" t="str">
        <f>VLOOKUP(Tabla3[[#This Row],[Site]],'Important Info!'!$A$1:$J$135,10,FALSE)</f>
        <v>https://tools.sig.systems/site/details/167</v>
      </c>
      <c r="I2843" s="63" t="s">
        <v>127</v>
      </c>
      <c r="J2843" t="s">
        <v>41</v>
      </c>
      <c r="K2843" s="79" t="str">
        <f>VLOOKUP(Tabla3[[#This Row],[Site]],'Important Info!'!$A$1:$H$135,8,FALSE)</f>
        <v>-</v>
      </c>
      <c r="L2843" s="52" t="str">
        <f>VLOOKUP(Tabla3[[#This Row],[Site]],'Important Info!'!$A$1:$F$135,2,FALSE)</f>
        <v>5, 9</v>
      </c>
      <c r="M2843" s="52" t="str">
        <f>VLOOKUP(Tabla3[[#This Row],[Site]],'Important Info!'!$A$1:$F$135,3,FALSE)</f>
        <v>-</v>
      </c>
      <c r="N2843" s="52" t="str">
        <f>VLOOKUP(Tabla3[[#This Row],[Site]],'Important Info!'!$A$1:$F$135,4,FALSE)</f>
        <v>101, 102, 103, 104</v>
      </c>
      <c r="O2843" s="52" t="str">
        <f>VLOOKUP(Tabla3[[#This Row],[Site]],'Important Info!'!$A$1:$F$135,5,FALSE)</f>
        <v>4, 10, 28</v>
      </c>
      <c r="P2843" s="52" t="str">
        <f>VLOOKUP(Tabla3[[#This Row],[Site]],'Important Info!'!$A$1:$F$135,6,FALSE)</f>
        <v>5, 9, 16</v>
      </c>
      <c r="Q2843" s="91">
        <f>VLOOKUP(Tabla3[[#This Row],[Site]],'Important Info!'!$A$1:$J$135,9,FALSE)</f>
        <v>167</v>
      </c>
    </row>
    <row r="2844" spans="1:17" x14ac:dyDescent="0.25">
      <c r="A2844" t="str">
        <f>+Tabla3[[#This Row],[Site]]&amp;Tabla3[[#This Row],[Split]]</f>
        <v>(AS) Stevinson JLR (NO TOURS)28</v>
      </c>
      <c r="B2844">
        <v>28</v>
      </c>
      <c r="C2844">
        <v>15</v>
      </c>
      <c r="D2844" t="s">
        <v>44</v>
      </c>
      <c r="E2844" t="s">
        <v>53</v>
      </c>
      <c r="F2844" t="s">
        <v>93</v>
      </c>
      <c r="G2844" t="s">
        <v>45</v>
      </c>
      <c r="H2844" s="52" t="str">
        <f>VLOOKUP(Tabla3[[#This Row],[Site]],'Important Info!'!$A$1:$J$135,10,FALSE)</f>
        <v>https://tools.sig.systems/site/details/204</v>
      </c>
      <c r="I2844" s="43"/>
      <c r="J2844" t="s">
        <v>41</v>
      </c>
      <c r="K2844" s="79" t="str">
        <f>VLOOKUP(Tabla3[[#This Row],[Site]],'Important Info!'!$A$1:$H$135,8,FALSE)</f>
        <v>-</v>
      </c>
      <c r="L2844" s="52">
        <f>VLOOKUP(Tabla3[[#This Row],[Site]],'Important Info!'!$A$1:$F$135,2,FALSE)</f>
        <v>5</v>
      </c>
      <c r="M2844" s="52">
        <f>VLOOKUP(Tabla3[[#This Row],[Site]],'Important Info!'!$A$1:$F$135,3,FALSE)</f>
        <v>4</v>
      </c>
      <c r="N2844" s="52" t="str">
        <f>VLOOKUP(Tabla3[[#This Row],[Site]],'Important Info!'!$A$1:$F$135,4,FALSE)</f>
        <v>-</v>
      </c>
      <c r="O2844" s="52">
        <f>VLOOKUP(Tabla3[[#This Row],[Site]],'Important Info!'!$A$1:$F$135,5,FALSE)</f>
        <v>3</v>
      </c>
      <c r="P2844" s="52" t="str">
        <f>VLOOKUP(Tabla3[[#This Row],[Site]],'Important Info!'!$A$1:$F$135,6,FALSE)</f>
        <v>1, 4, 15, 16</v>
      </c>
      <c r="Q2844" s="91">
        <f>VLOOKUP(Tabla3[[#This Row],[Site]],'Important Info!'!$A$1:$J$135,9,FALSE)</f>
        <v>204</v>
      </c>
    </row>
    <row r="2845" spans="1:17" x14ac:dyDescent="0.25">
      <c r="A2845" t="str">
        <f>+Tabla3[[#This Row],[Site]]&amp;Tabla3[[#This Row],[Split]]</f>
        <v>(HUD) CDJR of Greensboro28</v>
      </c>
      <c r="B2845">
        <v>28</v>
      </c>
      <c r="C2845">
        <v>15</v>
      </c>
      <c r="D2845" t="s">
        <v>62</v>
      </c>
      <c r="E2845" t="s">
        <v>35</v>
      </c>
      <c r="F2845" t="s">
        <v>185</v>
      </c>
      <c r="G2845" t="s">
        <v>491</v>
      </c>
      <c r="H2845" s="52" t="str">
        <f>VLOOKUP(Tabla3[[#This Row],[Site]],'Important Info!'!$A$1:$J$135,10,FALSE)</f>
        <v>https://tools.sig.systems/site/details/215</v>
      </c>
      <c r="I2845" s="2" t="s">
        <v>184</v>
      </c>
      <c r="J2845" t="s">
        <v>36</v>
      </c>
      <c r="K2845" s="79" t="str">
        <f>VLOOKUP(Tabla3[[#This Row],[Site]],'Important Info!'!$A$1:$H$135,8,FALSE)</f>
        <v>-</v>
      </c>
      <c r="L2845" s="52" t="str">
        <f>VLOOKUP(Tabla3[[#This Row],[Site]],'Important Info!'!$A$1:$F$135,2,FALSE)</f>
        <v>2, 12</v>
      </c>
      <c r="M2845" s="52" t="str">
        <f>VLOOKUP(Tabla3[[#This Row],[Site]],'Important Info!'!$A$1:$F$135,3,FALSE)</f>
        <v>-</v>
      </c>
      <c r="N2845" s="52" t="str">
        <f>VLOOKUP(Tabla3[[#This Row],[Site]],'Important Info!'!$A$1:$F$135,4,FALSE)</f>
        <v>-</v>
      </c>
      <c r="O2845" s="52" t="str">
        <f>VLOOKUP(Tabla3[[#This Row],[Site]],'Important Info!'!$A$1:$F$135,5,FALSE)</f>
        <v>3, 13</v>
      </c>
      <c r="P2845" s="52" t="str">
        <f>VLOOKUP(Tabla3[[#This Row],[Site]],'Important Info!'!$A$1:$F$135,6,FALSE)</f>
        <v>1, 17</v>
      </c>
      <c r="Q2845" s="91">
        <f>VLOOKUP(Tabla3[[#This Row],[Site]],'Important Info!'!$A$1:$J$135,9,FALSE)</f>
        <v>215</v>
      </c>
    </row>
    <row r="2846" spans="1:17" x14ac:dyDescent="0.25">
      <c r="A2846" t="str">
        <f>+Tabla3[[#This Row],[Site]]&amp;Tabla3[[#This Row],[Split]]</f>
        <v>(AS) Coggin Acura Ft Pierce (NO TOURS)28</v>
      </c>
      <c r="B2846">
        <v>28</v>
      </c>
      <c r="C2846">
        <v>16</v>
      </c>
      <c r="D2846" t="s">
        <v>62</v>
      </c>
      <c r="E2846" t="s">
        <v>35</v>
      </c>
      <c r="F2846" t="s">
        <v>500</v>
      </c>
      <c r="G2846" t="s">
        <v>490</v>
      </c>
      <c r="H2846" s="52" t="str">
        <f>VLOOKUP(Tabla3[[#This Row],[Site]],'Important Info!'!$A$1:$J$135,10,FALSE)</f>
        <v>https://tools.sig.systems/site/details/118</v>
      </c>
      <c r="I2846" s="2" t="s">
        <v>179</v>
      </c>
      <c r="J2846" t="s">
        <v>41</v>
      </c>
      <c r="K2846" s="79" t="str">
        <f>VLOOKUP(Tabla3[[#This Row],[Site]],'Important Info!'!$A$1:$H$135,8,FALSE)</f>
        <v>-</v>
      </c>
      <c r="L2846" s="52" t="str">
        <f>VLOOKUP(Tabla3[[#This Row],[Site]],'Important Info!'!$A$1:$F$135,2,FALSE)</f>
        <v>-</v>
      </c>
      <c r="M2846" s="52">
        <f>VLOOKUP(Tabla3[[#This Row],[Site]],'Important Info!'!$A$1:$F$135,3,FALSE)</f>
        <v>6</v>
      </c>
      <c r="N2846" s="52" t="str">
        <f>VLOOKUP(Tabla3[[#This Row],[Site]],'Important Info!'!$A$1:$F$135,4,FALSE)</f>
        <v>-</v>
      </c>
      <c r="O2846" s="52" t="str">
        <f>VLOOKUP(Tabla3[[#This Row],[Site]],'Important Info!'!$A$1:$F$135,5,FALSE)</f>
        <v>4, 6</v>
      </c>
      <c r="P2846" s="52">
        <f>VLOOKUP(Tabla3[[#This Row],[Site]],'Important Info!'!$A$1:$F$135,6,FALSE)</f>
        <v>1</v>
      </c>
      <c r="Q2846" s="91">
        <f>VLOOKUP(Tabla3[[#This Row],[Site]],'Important Info!'!$A$1:$J$135,9,FALSE)</f>
        <v>118</v>
      </c>
    </row>
    <row r="2847" spans="1:17" x14ac:dyDescent="0.25">
      <c r="A2847" t="str">
        <f>+Tabla3[[#This Row],[Site]]&amp;Tabla3[[#This Row],[Split]]</f>
        <v>(HUD) Honda Greensboro28</v>
      </c>
      <c r="B2847">
        <v>28</v>
      </c>
      <c r="C2847">
        <v>16</v>
      </c>
      <c r="D2847" t="s">
        <v>62</v>
      </c>
      <c r="E2847" t="s">
        <v>35</v>
      </c>
      <c r="F2847" t="s">
        <v>85</v>
      </c>
      <c r="G2847" t="s">
        <v>490</v>
      </c>
      <c r="H2847" s="52" t="str">
        <f>VLOOKUP(Tabla3[[#This Row],[Site]],'Important Info!'!$A$1:$J$135,10,FALSE)</f>
        <v>https://tools.sig.systems/site/details/230</v>
      </c>
      <c r="I2847" t="s">
        <v>186</v>
      </c>
      <c r="J2847" t="s">
        <v>41</v>
      </c>
      <c r="K2847" s="79" t="str">
        <f>VLOOKUP(Tabla3[[#This Row],[Site]],'Important Info!'!$A$1:$H$135,8,FALSE)</f>
        <v>-</v>
      </c>
      <c r="L2847" s="52" t="str">
        <f>VLOOKUP(Tabla3[[#This Row],[Site]],'Important Info!'!$A$1:$F$135,2,FALSE)</f>
        <v>1, 3,  15, 16, 22</v>
      </c>
      <c r="M2847" s="52" t="str">
        <f>VLOOKUP(Tabla3[[#This Row],[Site]],'Important Info!'!$A$1:$F$135,3,FALSE)</f>
        <v>-</v>
      </c>
      <c r="N2847" s="52" t="str">
        <f>VLOOKUP(Tabla3[[#This Row],[Site]],'Important Info!'!$A$1:$F$135,4,FALSE)</f>
        <v>-</v>
      </c>
      <c r="O2847" s="52" t="str">
        <f>VLOOKUP(Tabla3[[#This Row],[Site]],'Important Info!'!$A$1:$F$135,5,FALSE)</f>
        <v>3, 20</v>
      </c>
      <c r="P2847" s="52">
        <f>VLOOKUP(Tabla3[[#This Row],[Site]],'Important Info!'!$A$1:$F$135,6,FALSE)</f>
        <v>26</v>
      </c>
      <c r="Q2847" s="91">
        <f>VLOOKUP(Tabla3[[#This Row],[Site]],'Important Info!'!$A$1:$J$135,9,FALSE)</f>
        <v>230</v>
      </c>
    </row>
    <row r="2848" spans="1:17" x14ac:dyDescent="0.25">
      <c r="A2848" t="str">
        <f>+Tabla3[[#This Row],[Site]]&amp;Tabla3[[#This Row],[Split]]</f>
        <v>(ML) Honda of Little Rock28</v>
      </c>
      <c r="B2848">
        <v>28</v>
      </c>
      <c r="C2848">
        <v>16</v>
      </c>
      <c r="D2848" t="s">
        <v>33</v>
      </c>
      <c r="E2848" t="s">
        <v>46</v>
      </c>
      <c r="F2848" t="s">
        <v>71</v>
      </c>
      <c r="G2848" t="s">
        <v>34</v>
      </c>
      <c r="H2848" s="52" t="str">
        <f>VLOOKUP(Tabla3[[#This Row],[Site]],'Important Info!'!$A$1:$J$135,10,FALSE)</f>
        <v>https://tools.sig.systems/site/details/249</v>
      </c>
      <c r="I2848" s="2" t="s">
        <v>140</v>
      </c>
      <c r="J2848" t="s">
        <v>41</v>
      </c>
      <c r="K2848" s="79" t="str">
        <f>VLOOKUP(Tabla3[[#This Row],[Site]],'Important Info!'!$A$1:$H$135,8,FALSE)</f>
        <v>-</v>
      </c>
      <c r="L2848" s="52" t="str">
        <f>VLOOKUP(Tabla3[[#This Row],[Site]],'Important Info!'!$A$1:$F$135,2,FALSE)</f>
        <v>1, 4, 9, 14, 21</v>
      </c>
      <c r="M2848" s="52" t="str">
        <f>VLOOKUP(Tabla3[[#This Row],[Site]],'Important Info!'!$A$1:$F$135,3,FALSE)</f>
        <v>-</v>
      </c>
      <c r="N2848" s="52" t="str">
        <f>VLOOKUP(Tabla3[[#This Row],[Site]],'Important Info!'!$A$1:$F$135,4,FALSE)</f>
        <v>-</v>
      </c>
      <c r="O2848" s="52" t="str">
        <f>VLOOKUP(Tabla3[[#This Row],[Site]],'Important Info!'!$A$1:$F$135,5,FALSE)</f>
        <v>4, 14, 21</v>
      </c>
      <c r="P2848" s="52" t="str">
        <f>VLOOKUP(Tabla3[[#This Row],[Site]],'Important Info!'!$A$1:$F$135,6,FALSE)</f>
        <v>11, 12</v>
      </c>
      <c r="Q2848" s="91">
        <f>VLOOKUP(Tabla3[[#This Row],[Site]],'Important Info!'!$A$1:$J$135,9,FALSE)</f>
        <v>249</v>
      </c>
    </row>
    <row r="2849" spans="1:17" x14ac:dyDescent="0.25">
      <c r="A2849" t="str">
        <f>+Tabla3[[#This Row],[Site]]&amp;Tabla3[[#This Row],[Split]]</f>
        <v>(ML) McLarty Gray-Daniels Toyota Nissan28</v>
      </c>
      <c r="B2849">
        <v>28</v>
      </c>
      <c r="C2849">
        <v>16</v>
      </c>
      <c r="D2849" t="s">
        <v>33</v>
      </c>
      <c r="E2849" t="s">
        <v>46</v>
      </c>
      <c r="F2849" t="s">
        <v>90</v>
      </c>
      <c r="G2849" t="s">
        <v>34</v>
      </c>
      <c r="H2849" s="52" t="str">
        <f>VLOOKUP(Tabla3[[#This Row],[Site]],'Important Info!'!$A$1:$J$135,10,FALSE)</f>
        <v>https://tools.sig.systems/site/details/152</v>
      </c>
      <c r="I2849" s="2" t="s">
        <v>150</v>
      </c>
      <c r="J2849" t="s">
        <v>41</v>
      </c>
      <c r="K2849" s="79" t="str">
        <f>VLOOKUP(Tabla3[[#This Row],[Site]],'Important Info!'!$A$1:$H$135,8,FALSE)</f>
        <v>-</v>
      </c>
      <c r="L2849" s="52" t="str">
        <f>VLOOKUP(Tabla3[[#This Row],[Site]],'Important Info!'!$A$1:$F$135,2,FALSE)</f>
        <v>-</v>
      </c>
      <c r="M2849" s="52" t="str">
        <f>VLOOKUP(Tabla3[[#This Row],[Site]],'Important Info!'!$A$1:$F$135,3,FALSE)</f>
        <v>8, 11, 39, 43</v>
      </c>
      <c r="N2849" s="52" t="str">
        <f>VLOOKUP(Tabla3[[#This Row],[Site]],'Important Info!'!$A$1:$F$135,4,FALSE)</f>
        <v>-</v>
      </c>
      <c r="O2849" s="52" t="str">
        <f>VLOOKUP(Tabla3[[#This Row],[Site]],'Important Info!'!$A$1:$F$135,5,FALSE)</f>
        <v>6, 11, 15, 18</v>
      </c>
      <c r="P2849" s="52" t="str">
        <f>VLOOKUP(Tabla3[[#This Row],[Site]],'Important Info!'!$A$1:$F$135,6,FALSE)</f>
        <v>7, 8, 9</v>
      </c>
      <c r="Q2849" s="91">
        <f>VLOOKUP(Tabla3[[#This Row],[Site]],'Important Info!'!$A$1:$J$135,9,FALSE)</f>
        <v>152</v>
      </c>
    </row>
    <row r="2850" spans="1:17" x14ac:dyDescent="0.25">
      <c r="A2850" t="str">
        <f>+Tabla3[[#This Row],[Site]]&amp;Tabla3[[#This Row],[Split]]</f>
        <v>(AS) Audi of North Atlanta (NO TOURS)28</v>
      </c>
      <c r="B2850">
        <v>28</v>
      </c>
      <c r="C2850">
        <v>17</v>
      </c>
      <c r="D2850" t="s">
        <v>62</v>
      </c>
      <c r="E2850" t="s">
        <v>35</v>
      </c>
      <c r="F2850" t="s">
        <v>499</v>
      </c>
      <c r="G2850" t="s">
        <v>490</v>
      </c>
      <c r="H2850" s="52" t="str">
        <f>VLOOKUP(Tabla3[[#This Row],[Site]],'Important Info!'!$A$1:$J$135,10,FALSE)</f>
        <v>https://tools.sig.systems/site/details/124</v>
      </c>
      <c r="I2850" s="43" t="s">
        <v>166</v>
      </c>
      <c r="J2850" t="s">
        <v>41</v>
      </c>
      <c r="K2850" s="79" t="str">
        <f>VLOOKUP(Tabla3[[#This Row],[Site]],'Important Info!'!$A$1:$H$135,8,FALSE)</f>
        <v>-</v>
      </c>
      <c r="L2850" s="52" t="str">
        <f>VLOOKUP(Tabla3[[#This Row],[Site]],'Important Info!'!$A$1:$F$135,2,FALSE)</f>
        <v>1, 5, 16, 54</v>
      </c>
      <c r="M2850" s="52" t="str">
        <f>VLOOKUP(Tabla3[[#This Row],[Site]],'Important Info!'!$A$1:$F$135,3,FALSE)</f>
        <v>-</v>
      </c>
      <c r="N2850" s="52" t="str">
        <f>VLOOKUP(Tabla3[[#This Row],[Site]],'Important Info!'!$A$1:$F$135,4,FALSE)</f>
        <v>-</v>
      </c>
      <c r="O2850" s="52" t="str">
        <f>VLOOKUP(Tabla3[[#This Row],[Site]],'Important Info!'!$A$1:$F$135,5,FALSE)</f>
        <v>3, 16</v>
      </c>
      <c r="P2850" s="52" t="str">
        <f>VLOOKUP(Tabla3[[#This Row],[Site]],'Important Info!'!$A$1:$F$135,6,FALSE)</f>
        <v>2, 5, 6</v>
      </c>
      <c r="Q2850" s="91">
        <f>VLOOKUP(Tabla3[[#This Row],[Site]],'Important Info!'!$A$1:$J$135,9,FALSE)</f>
        <v>124</v>
      </c>
    </row>
    <row r="2851" spans="1:17" x14ac:dyDescent="0.25">
      <c r="A2851" t="str">
        <f>+Tabla3[[#This Row],[Site]]&amp;Tabla3[[#This Row],[Split]]</f>
        <v>(ML) McLarty Gray-Daniels Ford Lincoln28</v>
      </c>
      <c r="B2851">
        <v>28</v>
      </c>
      <c r="C2851">
        <v>17</v>
      </c>
      <c r="D2851" t="s">
        <v>33</v>
      </c>
      <c r="E2851" t="s">
        <v>46</v>
      </c>
      <c r="F2851" t="s">
        <v>89</v>
      </c>
      <c r="G2851" t="s">
        <v>34</v>
      </c>
      <c r="H2851" s="52" t="str">
        <f>VLOOKUP(Tabla3[[#This Row],[Site]],'Important Info!'!$A$1:$J$135,10,FALSE)</f>
        <v>https://tools.sig.systems/site/details/151</v>
      </c>
      <c r="I2851" s="43" t="s">
        <v>150</v>
      </c>
      <c r="J2851" t="s">
        <v>41</v>
      </c>
      <c r="K2851" s="79" t="str">
        <f>VLOOKUP(Tabla3[[#This Row],[Site]],'Important Info!'!$A$1:$H$135,8,FALSE)</f>
        <v>-</v>
      </c>
      <c r="L2851" s="52">
        <f>VLOOKUP(Tabla3[[#This Row],[Site]],'Important Info!'!$A$1:$F$135,2,FALSE)</f>
        <v>16</v>
      </c>
      <c r="M2851" s="52" t="str">
        <f>VLOOKUP(Tabla3[[#This Row],[Site]],'Important Info!'!$A$1:$F$135,3,FALSE)</f>
        <v>5, 10, 36, 38, 54, 58B</v>
      </c>
      <c r="N2851" s="52" t="str">
        <f>VLOOKUP(Tabla3[[#This Row],[Site]],'Important Info!'!$A$1:$F$135,4,FALSE)</f>
        <v>-</v>
      </c>
      <c r="O2851" s="52" t="str">
        <f>VLOOKUP(Tabla3[[#This Row],[Site]],'Important Info!'!$A$1:$F$135,5,FALSE)</f>
        <v>5, 17, 37</v>
      </c>
      <c r="P2851" s="52" t="str">
        <f>VLOOKUP(Tabla3[[#This Row],[Site]],'Important Info!'!$A$1:$F$135,6,FALSE)</f>
        <v>1, 2, 3, 4</v>
      </c>
      <c r="Q2851" s="91">
        <f>VLOOKUP(Tabla3[[#This Row],[Site]],'Important Info!'!$A$1:$J$135,9,FALSE)</f>
        <v>151</v>
      </c>
    </row>
    <row r="2852" spans="1:17" x14ac:dyDescent="0.25">
      <c r="A2852" t="str">
        <f>+Tabla3[[#This Row],[Site]]&amp;Tabla3[[#This Row],[Split]]</f>
        <v>(ML) Nissan of Little Rock28</v>
      </c>
      <c r="B2852">
        <v>28</v>
      </c>
      <c r="C2852">
        <v>17</v>
      </c>
      <c r="D2852" t="s">
        <v>33</v>
      </c>
      <c r="E2852" t="s">
        <v>46</v>
      </c>
      <c r="F2852" t="s">
        <v>152</v>
      </c>
      <c r="G2852" t="s">
        <v>34</v>
      </c>
      <c r="H2852" s="52" t="str">
        <f>VLOOKUP(Tabla3[[#This Row],[Site]],'Important Info!'!$A$1:$J$135,10,FALSE)</f>
        <v>https://tools.sig.systems/site/details/224</v>
      </c>
      <c r="I2852" t="s">
        <v>140</v>
      </c>
      <c r="J2852" t="s">
        <v>41</v>
      </c>
      <c r="K2852" s="79" t="str">
        <f>VLOOKUP(Tabla3[[#This Row],[Site]],'Important Info!'!$A$1:$H$135,8,FALSE)</f>
        <v>-</v>
      </c>
      <c r="L2852" s="52" t="str">
        <f>VLOOKUP(Tabla3[[#This Row],[Site]],'Important Info!'!$A$1:$F$135,2,FALSE)</f>
        <v>3, 6</v>
      </c>
      <c r="M2852" s="52" t="str">
        <f>VLOOKUP(Tabla3[[#This Row],[Site]],'Important Info!'!$A$1:$F$135,3,FALSE)</f>
        <v>-</v>
      </c>
      <c r="N2852" s="52" t="str">
        <f>VLOOKUP(Tabla3[[#This Row],[Site]],'Important Info!'!$A$1:$F$135,4,FALSE)</f>
        <v>-</v>
      </c>
      <c r="O2852" s="52" t="str">
        <f>VLOOKUP(Tabla3[[#This Row],[Site]],'Important Info!'!$A$1:$F$135,5,FALSE)</f>
        <v>1, 8, 16, 22</v>
      </c>
      <c r="P2852" s="52" t="str">
        <f>VLOOKUP(Tabla3[[#This Row],[Site]],'Important Info!'!$A$1:$F$135,6,FALSE)</f>
        <v>3, 4</v>
      </c>
      <c r="Q2852" s="91">
        <f>VLOOKUP(Tabla3[[#This Row],[Site]],'Important Info!'!$A$1:$J$135,9,FALSE)</f>
        <v>224</v>
      </c>
    </row>
    <row r="2853" spans="1:17" x14ac:dyDescent="0.25">
      <c r="A2853" t="str">
        <f>+Tabla3[[#This Row],[Site]]&amp;Tabla3[[#This Row],[Split]]</f>
        <v>(ML) Nissan of North Little Rock28</v>
      </c>
      <c r="B2853">
        <v>28</v>
      </c>
      <c r="C2853">
        <v>17</v>
      </c>
      <c r="D2853" t="s">
        <v>33</v>
      </c>
      <c r="E2853" t="s">
        <v>46</v>
      </c>
      <c r="F2853" t="s">
        <v>75</v>
      </c>
      <c r="G2853" t="s">
        <v>34</v>
      </c>
      <c r="H2853" s="52" t="str">
        <f>VLOOKUP(Tabla3[[#This Row],[Site]],'Important Info!'!$A$1:$J$135,10,FALSE)</f>
        <v>https://tools.sig.systems/site/details/216</v>
      </c>
      <c r="I2853" s="2" t="s">
        <v>142</v>
      </c>
      <c r="J2853" t="s">
        <v>41</v>
      </c>
      <c r="K2853" s="79" t="str">
        <f>VLOOKUP(Tabla3[[#This Row],[Site]],'Important Info!'!$A$1:$H$135,8,FALSE)</f>
        <v>-</v>
      </c>
      <c r="L2853" s="52" t="str">
        <f>VLOOKUP(Tabla3[[#This Row],[Site]],'Important Info!'!$A$1:$F$135,2,FALSE)</f>
        <v>2, 4</v>
      </c>
      <c r="M2853" s="52" t="str">
        <f>VLOOKUP(Tabla3[[#This Row],[Site]],'Important Info!'!$A$1:$F$135,3,FALSE)</f>
        <v>-</v>
      </c>
      <c r="N2853" s="52" t="str">
        <f>VLOOKUP(Tabla3[[#This Row],[Site]],'Important Info!'!$A$1:$F$135,4,FALSE)</f>
        <v>-</v>
      </c>
      <c r="O2853" s="52" t="str">
        <f>VLOOKUP(Tabla3[[#This Row],[Site]],'Important Info!'!$A$1:$F$135,5,FALSE)</f>
        <v>5, 17, 23</v>
      </c>
      <c r="P2853" s="52">
        <f>VLOOKUP(Tabla3[[#This Row],[Site]],'Important Info!'!$A$1:$F$135,6,FALSE)</f>
        <v>18</v>
      </c>
      <c r="Q2853" s="91">
        <f>VLOOKUP(Tabla3[[#This Row],[Site]],'Important Info!'!$A$1:$J$135,9,FALSE)</f>
        <v>216</v>
      </c>
    </row>
    <row r="2854" spans="1:17" x14ac:dyDescent="0.25">
      <c r="A2854" t="str">
        <f>+Tabla3[[#This Row],[Site]]&amp;Tabla3[[#This Row],[Split]]</f>
        <v>(AS) Courtesy Kia of Brandon (NO TOURS)28</v>
      </c>
      <c r="B2854">
        <v>28</v>
      </c>
      <c r="C2854">
        <v>18</v>
      </c>
      <c r="D2854" t="s">
        <v>62</v>
      </c>
      <c r="E2854" t="s">
        <v>35</v>
      </c>
      <c r="F2854" t="s">
        <v>505</v>
      </c>
      <c r="G2854" t="s">
        <v>490</v>
      </c>
      <c r="H2854" s="52" t="str">
        <f>VLOOKUP(Tabla3[[#This Row],[Site]],'Important Info!'!$A$1:$J$135,10,FALSE)</f>
        <v>https://tools.sig.systems/site/details/121</v>
      </c>
      <c r="I2854" s="43" t="s">
        <v>181</v>
      </c>
      <c r="J2854" t="s">
        <v>484</v>
      </c>
      <c r="K2854" s="79" t="str">
        <f>VLOOKUP(Tabla3[[#This Row],[Site]],'Important Info!'!$A$1:$H$135,8,FALSE)</f>
        <v>-</v>
      </c>
      <c r="L2854" s="52" t="str">
        <f>VLOOKUP(Tabla3[[#This Row],[Site]],'Important Info!'!$A$1:$F$135,2,FALSE)</f>
        <v>-</v>
      </c>
      <c r="M2854" s="52" t="str">
        <f>VLOOKUP(Tabla3[[#This Row],[Site]],'Important Info!'!$A$1:$F$135,3,FALSE)</f>
        <v>4, 8</v>
      </c>
      <c r="N2854" s="52" t="str">
        <f>VLOOKUP(Tabla3[[#This Row],[Site]],'Important Info!'!$A$1:$F$135,4,FALSE)</f>
        <v>-</v>
      </c>
      <c r="O2854" s="52" t="str">
        <f>VLOOKUP(Tabla3[[#This Row],[Site]],'Important Info!'!$A$1:$F$135,5,FALSE)</f>
        <v>3, 11, 20, 24</v>
      </c>
      <c r="P2854" s="52" t="str">
        <f>VLOOKUP(Tabla3[[#This Row],[Site]],'Important Info!'!$A$1:$F$135,6,FALSE)</f>
        <v>2, 8</v>
      </c>
      <c r="Q2854" s="91">
        <f>VLOOKUP(Tabla3[[#This Row],[Site]],'Important Info!'!$A$1:$J$135,9,FALSE)</f>
        <v>121</v>
      </c>
    </row>
    <row r="2855" spans="1:17" x14ac:dyDescent="0.25">
      <c r="A2855" t="str">
        <f>+Tabla3[[#This Row],[Site]]&amp;Tabla3[[#This Row],[Split]]</f>
        <v>(AS) Nalley Luxury Collision Center (NO TOURS)28</v>
      </c>
      <c r="B2855">
        <v>28</v>
      </c>
      <c r="C2855">
        <v>18</v>
      </c>
      <c r="D2855" t="s">
        <v>62</v>
      </c>
      <c r="E2855" t="s">
        <v>35</v>
      </c>
      <c r="F2855" t="s">
        <v>512</v>
      </c>
      <c r="G2855" t="s">
        <v>490</v>
      </c>
      <c r="H2855" s="52" t="str">
        <f>VLOOKUP(Tabla3[[#This Row],[Site]],'Important Info!'!$A$1:$J$135,10,FALSE)</f>
        <v>https://tools.sig.systems/site/details/263</v>
      </c>
      <c r="I2855" s="2" t="s">
        <v>166</v>
      </c>
      <c r="J2855" t="s">
        <v>41</v>
      </c>
      <c r="K2855" s="79" t="str">
        <f>VLOOKUP(Tabla3[[#This Row],[Site]],'Important Info!'!$A$1:$H$135,8,FALSE)</f>
        <v>-</v>
      </c>
      <c r="L2855" s="52" t="str">
        <f>VLOOKUP(Tabla3[[#This Row],[Site]],'Important Info!'!$A$1:$F$135,2,FALSE)</f>
        <v>6, 13</v>
      </c>
      <c r="M2855" s="52" t="str">
        <f>VLOOKUP(Tabla3[[#This Row],[Site]],'Important Info!'!$A$1:$F$135,3,FALSE)</f>
        <v>-</v>
      </c>
      <c r="N2855" s="52" t="str">
        <f>VLOOKUP(Tabla3[[#This Row],[Site]],'Important Info!'!$A$1:$F$135,4,FALSE)</f>
        <v>-</v>
      </c>
      <c r="O2855" s="52" t="str">
        <f>VLOOKUP(Tabla3[[#This Row],[Site]],'Important Info!'!$A$1:$F$135,5,FALSE)</f>
        <v>-</v>
      </c>
      <c r="P2855" s="52" t="str">
        <f>VLOOKUP(Tabla3[[#This Row],[Site]],'Important Info!'!$A$1:$F$135,6,FALSE)</f>
        <v>6, 7, 12</v>
      </c>
      <c r="Q2855" s="91">
        <f>VLOOKUP(Tabla3[[#This Row],[Site]],'Important Info!'!$A$1:$J$135,9,FALSE)</f>
        <v>263</v>
      </c>
    </row>
    <row r="2856" spans="1:17" x14ac:dyDescent="0.25">
      <c r="A2856" t="str">
        <f>+Tabla3[[#This Row],[Site]]&amp;Tabla3[[#This Row],[Split]]</f>
        <v>(DT) N. Houston28</v>
      </c>
      <c r="B2856">
        <v>28</v>
      </c>
      <c r="C2856">
        <v>18</v>
      </c>
      <c r="D2856" t="s">
        <v>33</v>
      </c>
      <c r="E2856" t="s">
        <v>46</v>
      </c>
      <c r="F2856" t="s">
        <v>68</v>
      </c>
      <c r="G2856" t="s">
        <v>34</v>
      </c>
      <c r="H2856" s="52" t="str">
        <f>VLOOKUP(Tabla3[[#This Row],[Site]],'Important Info!'!$A$1:$J$135,10,FALSE)</f>
        <v>https://tools.sig.systems/site/details/250</v>
      </c>
      <c r="I2856" s="43"/>
      <c r="J2856" t="s">
        <v>41</v>
      </c>
      <c r="K2856" s="79" t="str">
        <f>VLOOKUP(Tabla3[[#This Row],[Site]],'Important Info!'!$A$1:$H$135,8,FALSE)</f>
        <v>-</v>
      </c>
      <c r="L2856" s="52" t="str">
        <f>VLOOKUP(Tabla3[[#This Row],[Site]],'Important Info!'!$A$1:$F$135,2,FALSE)</f>
        <v>2, 10, 18</v>
      </c>
      <c r="M2856" s="52" t="str">
        <f>VLOOKUP(Tabla3[[#This Row],[Site]],'Important Info!'!$A$1:$F$135,3,FALSE)</f>
        <v>-</v>
      </c>
      <c r="N2856" s="52" t="str">
        <f>VLOOKUP(Tabla3[[#This Row],[Site]],'Important Info!'!$A$1:$F$135,4,FALSE)</f>
        <v>-</v>
      </c>
      <c r="O2856" s="52">
        <f>VLOOKUP(Tabla3[[#This Row],[Site]],'Important Info!'!$A$1:$F$135,5,FALSE)</f>
        <v>15</v>
      </c>
      <c r="P2856" s="52" t="str">
        <f>VLOOKUP(Tabla3[[#This Row],[Site]],'Important Info!'!$A$1:$F$135,6,FALSE)</f>
        <v>2, 4, 18</v>
      </c>
      <c r="Q2856" s="91">
        <f>VLOOKUP(Tabla3[[#This Row],[Site]],'Important Info!'!$A$1:$J$135,9,FALSE)</f>
        <v>250</v>
      </c>
    </row>
    <row r="2857" spans="1:17" x14ac:dyDescent="0.25">
      <c r="A2857" t="str">
        <f>+Tabla3[[#This Row],[Site]]&amp;Tabla3[[#This Row],[Split]]</f>
        <v>(KG) JLR LEHI (NO TOURS)28</v>
      </c>
      <c r="B2857">
        <v>28</v>
      </c>
      <c r="C2857">
        <v>18</v>
      </c>
      <c r="D2857" t="s">
        <v>44</v>
      </c>
      <c r="E2857" t="s">
        <v>53</v>
      </c>
      <c r="F2857" t="s">
        <v>8</v>
      </c>
      <c r="G2857" t="s">
        <v>45</v>
      </c>
      <c r="H2857" s="52" t="str">
        <f>VLOOKUP(Tabla3[[#This Row],[Site]],'Important Info!'!$A$1:$J$135,10,FALSE)</f>
        <v>https://tools.sig.systems/site/details/145</v>
      </c>
      <c r="I2857" s="2"/>
      <c r="J2857" t="s">
        <v>41</v>
      </c>
      <c r="K2857" s="79" t="str">
        <f>VLOOKUP(Tabla3[[#This Row],[Site]],'Important Info!'!$A$1:$H$135,8,FALSE)</f>
        <v>-</v>
      </c>
      <c r="L2857" s="52" t="str">
        <f>VLOOKUP(Tabla3[[#This Row],[Site]],'Important Info!'!$A$1:$F$135,2,FALSE)</f>
        <v>1, 11</v>
      </c>
      <c r="M2857" s="52" t="str">
        <f>VLOOKUP(Tabla3[[#This Row],[Site]],'Important Info!'!$A$1:$F$135,3,FALSE)</f>
        <v>-</v>
      </c>
      <c r="N2857" s="52" t="str">
        <f>VLOOKUP(Tabla3[[#This Row],[Site]],'Important Info!'!$A$1:$F$135,4,FALSE)</f>
        <v>-</v>
      </c>
      <c r="O2857" s="52" t="str">
        <f>VLOOKUP(Tabla3[[#This Row],[Site]],'Important Info!'!$A$1:$F$135,5,FALSE)</f>
        <v>1, 7, 11</v>
      </c>
      <c r="P2857" s="52" t="str">
        <f>VLOOKUP(Tabla3[[#This Row],[Site]],'Important Info!'!$A$1:$F$135,6,FALSE)</f>
        <v>-</v>
      </c>
      <c r="Q2857" s="91">
        <f>VLOOKUP(Tabla3[[#This Row],[Site]],'Important Info!'!$A$1:$J$135,9,FALSE)</f>
        <v>145</v>
      </c>
    </row>
    <row r="2858" spans="1:17" x14ac:dyDescent="0.25">
      <c r="A2858" t="str">
        <f>+Tabla3[[#This Row],[Site]]&amp;Tabla3[[#This Row],[Split]]</f>
        <v>(ML) BMW of Little Rock28</v>
      </c>
      <c r="B2858">
        <v>28</v>
      </c>
      <c r="C2858">
        <v>18</v>
      </c>
      <c r="D2858" t="s">
        <v>33</v>
      </c>
      <c r="E2858" t="s">
        <v>46</v>
      </c>
      <c r="F2858" t="s">
        <v>139</v>
      </c>
      <c r="G2858" t="s">
        <v>34</v>
      </c>
      <c r="H2858" s="52" t="str">
        <f>VLOOKUP(Tabla3[[#This Row],[Site]],'Important Info!'!$A$1:$J$135,10,FALSE)</f>
        <v>https://tools.sig.systems/site/details/217</v>
      </c>
      <c r="I2858" t="s">
        <v>140</v>
      </c>
      <c r="J2858" t="s">
        <v>41</v>
      </c>
      <c r="K2858" s="79" t="str">
        <f>VLOOKUP(Tabla3[[#This Row],[Site]],'Important Info!'!$A$1:$H$135,8,FALSE)</f>
        <v>-</v>
      </c>
      <c r="L2858" s="52" t="str">
        <f>VLOOKUP(Tabla3[[#This Row],[Site]],'Important Info!'!$A$1:$F$135,2,FALSE)</f>
        <v>-</v>
      </c>
      <c r="M2858" s="52">
        <f>VLOOKUP(Tabla3[[#This Row],[Site]],'Important Info!'!$A$1:$F$135,3,FALSE)</f>
        <v>14</v>
      </c>
      <c r="N2858" s="52" t="str">
        <f>VLOOKUP(Tabla3[[#This Row],[Site]],'Important Info!'!$A$1:$F$135,4,FALSE)</f>
        <v>-</v>
      </c>
      <c r="O2858" s="52" t="str">
        <f>VLOOKUP(Tabla3[[#This Row],[Site]],'Important Info!'!$A$1:$F$135,5,FALSE)</f>
        <v>-</v>
      </c>
      <c r="P2858" s="52" t="str">
        <f>VLOOKUP(Tabla3[[#This Row],[Site]],'Important Info!'!$A$1:$F$135,6,FALSE)</f>
        <v>5, 6, 7, 8, 9, 32</v>
      </c>
      <c r="Q2858" s="91">
        <f>VLOOKUP(Tabla3[[#This Row],[Site]],'Important Info!'!$A$1:$J$135,9,FALSE)</f>
        <v>217</v>
      </c>
    </row>
    <row r="2859" spans="1:17" x14ac:dyDescent="0.25">
      <c r="A2859" t="str">
        <f>+Tabla3[[#This Row],[Site]]&amp;Tabla3[[#This Row],[Split]]</f>
        <v>(AS) Park Place Acura (NO TOURS)28</v>
      </c>
      <c r="B2859">
        <v>28</v>
      </c>
      <c r="C2859">
        <v>19</v>
      </c>
      <c r="D2859" t="s">
        <v>33</v>
      </c>
      <c r="E2859" t="s">
        <v>46</v>
      </c>
      <c r="F2859" t="s">
        <v>513</v>
      </c>
      <c r="G2859" t="s">
        <v>34</v>
      </c>
      <c r="H2859" s="52" t="str">
        <f>VLOOKUP(Tabla3[[#This Row],[Site]],'Important Info!'!$A$1:$J$135,10,FALSE)</f>
        <v>https://tools.sig.systems/site/details/259</v>
      </c>
      <c r="I2859" s="63" t="s">
        <v>127</v>
      </c>
      <c r="J2859" t="s">
        <v>41</v>
      </c>
      <c r="K2859" s="79" t="str">
        <f>VLOOKUP(Tabla3[[#This Row],[Site]],'Important Info!'!$A$1:$H$135,8,FALSE)</f>
        <v>-</v>
      </c>
      <c r="L2859" s="52" t="str">
        <f>VLOOKUP(Tabla3[[#This Row],[Site]],'Important Info!'!$A$1:$F$135,2,FALSE)</f>
        <v>1, 2, 14, 16</v>
      </c>
      <c r="M2859" s="52" t="str">
        <f>VLOOKUP(Tabla3[[#This Row],[Site]],'Important Info!'!$A$1:$F$135,3,FALSE)</f>
        <v>-</v>
      </c>
      <c r="N2859" s="52" t="str">
        <f>VLOOKUP(Tabla3[[#This Row],[Site]],'Important Info!'!$A$1:$F$135,4,FALSE)</f>
        <v>-</v>
      </c>
      <c r="O2859" s="52" t="str">
        <f>VLOOKUP(Tabla3[[#This Row],[Site]],'Important Info!'!$A$1:$F$135,5,FALSE)</f>
        <v>1, 7, 13</v>
      </c>
      <c r="P2859" s="52" t="str">
        <f>VLOOKUP(Tabla3[[#This Row],[Site]],'Important Info!'!$A$1:$F$135,6,FALSE)</f>
        <v>-</v>
      </c>
      <c r="Q2859" s="91">
        <f>VLOOKUP(Tabla3[[#This Row],[Site]],'Important Info!'!$A$1:$J$135,9,FALSE)</f>
        <v>259</v>
      </c>
    </row>
    <row r="2860" spans="1:17" x14ac:dyDescent="0.25">
      <c r="A2860" t="str">
        <f>+Tabla3[[#This Row],[Site]]&amp;Tabla3[[#This Row],[Split]]</f>
        <v>(AS) Stevinson Chevrolet Golden (NO TOURS)28</v>
      </c>
      <c r="B2860">
        <v>28</v>
      </c>
      <c r="C2860">
        <v>19</v>
      </c>
      <c r="D2860" t="s">
        <v>488</v>
      </c>
      <c r="E2860" t="s">
        <v>53</v>
      </c>
      <c r="F2860" t="s">
        <v>190</v>
      </c>
      <c r="G2860" t="s">
        <v>45</v>
      </c>
      <c r="H2860" s="52" t="str">
        <f>VLOOKUP(Tabla3[[#This Row],[Site]],'Important Info!'!$A$1:$J$135,10,FALSE)</f>
        <v>https://tools.sig.systems/site/details/264</v>
      </c>
      <c r="I2860" s="43" t="s">
        <v>154</v>
      </c>
      <c r="J2860" t="s">
        <v>41</v>
      </c>
      <c r="K2860" s="79" t="str">
        <f>VLOOKUP(Tabla3[[#This Row],[Site]],'Important Info!'!$A$1:$H$135,8,FALSE)</f>
        <v>-</v>
      </c>
      <c r="L2860" s="52" t="str">
        <f>VLOOKUP(Tabla3[[#This Row],[Site]],'Important Info!'!$A$1:$F$135,2,FALSE)</f>
        <v>-</v>
      </c>
      <c r="M2860" s="52" t="str">
        <f>VLOOKUP(Tabla3[[#This Row],[Site]],'Important Info!'!$A$1:$F$135,3,FALSE)</f>
        <v>1, 19</v>
      </c>
      <c r="N2860" s="52" t="str">
        <f>VLOOKUP(Tabla3[[#This Row],[Site]],'Important Info!'!$A$1:$F$135,4,FALSE)</f>
        <v>-</v>
      </c>
      <c r="O2860" s="52" t="str">
        <f>VLOOKUP(Tabla3[[#This Row],[Site]],'Important Info!'!$A$1:$F$135,5,FALSE)</f>
        <v>14, 30</v>
      </c>
      <c r="P2860" s="52" t="str">
        <f>VLOOKUP(Tabla3[[#This Row],[Site]],'Important Info!'!$A$1:$F$135,6,FALSE)</f>
        <v>14, 33, 34, 35, 36</v>
      </c>
      <c r="Q2860" s="91">
        <f>VLOOKUP(Tabla3[[#This Row],[Site]],'Important Info!'!$A$1:$J$135,9,FALSE)</f>
        <v>264</v>
      </c>
    </row>
    <row r="2861" spans="1:17" x14ac:dyDescent="0.25">
      <c r="A2861" t="str">
        <f>+Tabla3[[#This Row],[Site]]&amp;Tabla3[[#This Row],[Split]]</f>
        <v>(DT) Colorado Springs (NO TOURS)28</v>
      </c>
      <c r="B2861">
        <v>28</v>
      </c>
      <c r="C2861">
        <v>19</v>
      </c>
      <c r="D2861" t="s">
        <v>44</v>
      </c>
      <c r="E2861" t="s">
        <v>53</v>
      </c>
      <c r="F2861" t="s">
        <v>156</v>
      </c>
      <c r="G2861" t="s">
        <v>45</v>
      </c>
      <c r="H2861" s="52" t="str">
        <f>VLOOKUP(Tabla3[[#This Row],[Site]],'Important Info!'!$A$1:$J$135,10,FALSE)</f>
        <v>https://tools.sig.systems/site/details/198</v>
      </c>
      <c r="J2861" t="s">
        <v>41</v>
      </c>
      <c r="K2861" s="79" t="str">
        <f>VLOOKUP(Tabla3[[#This Row],[Site]],'Important Info!'!$A$1:$H$135,8,FALSE)</f>
        <v>-</v>
      </c>
      <c r="L2861" s="52" t="str">
        <f>VLOOKUP(Tabla3[[#This Row],[Site]],'Important Info!'!$A$1:$F$135,2,FALSE)</f>
        <v>-</v>
      </c>
      <c r="M2861" s="52" t="str">
        <f>VLOOKUP(Tabla3[[#This Row],[Site]],'Important Info!'!$A$1:$F$135,3,FALSE)</f>
        <v>1, 2, 3, 4</v>
      </c>
      <c r="N2861" s="52" t="str">
        <f>VLOOKUP(Tabla3[[#This Row],[Site]],'Important Info!'!$A$1:$F$135,4,FALSE)</f>
        <v>-</v>
      </c>
      <c r="O2861" s="52" t="str">
        <f>VLOOKUP(Tabla3[[#This Row],[Site]],'Important Info!'!$A$1:$F$135,5,FALSE)</f>
        <v>-</v>
      </c>
      <c r="P2861" s="52" t="str">
        <f>VLOOKUP(Tabla3[[#This Row],[Site]],'Important Info!'!$A$1:$F$135,6,FALSE)</f>
        <v>1, 2, 3, 11</v>
      </c>
      <c r="Q2861" s="91">
        <f>VLOOKUP(Tabla3[[#This Row],[Site]],'Important Info!'!$A$1:$J$135,9,FALSE)</f>
        <v>198</v>
      </c>
    </row>
    <row r="2862" spans="1:17" x14ac:dyDescent="0.25">
      <c r="A2862" t="str">
        <f>+Tabla3[[#This Row],[Site]]&amp;Tabla3[[#This Row],[Split]]</f>
        <v>(KG) Clear Lake Pre-Owned28</v>
      </c>
      <c r="B2862">
        <v>28</v>
      </c>
      <c r="C2862">
        <v>19</v>
      </c>
      <c r="D2862" t="s">
        <v>33</v>
      </c>
      <c r="E2862" t="s">
        <v>46</v>
      </c>
      <c r="F2862" t="s">
        <v>87</v>
      </c>
      <c r="G2862" t="s">
        <v>34</v>
      </c>
      <c r="H2862" s="52" t="str">
        <f>VLOOKUP(Tabla3[[#This Row],[Site]],'Important Info!'!$A$1:$J$135,10,FALSE)</f>
        <v>https://tools.sig.systems/site/details/255</v>
      </c>
      <c r="I2862" s="2" t="s">
        <v>134</v>
      </c>
      <c r="J2862" t="s">
        <v>41</v>
      </c>
      <c r="K2862" s="79" t="str">
        <f>VLOOKUP(Tabla3[[#This Row],[Site]],'Important Info!'!$A$1:$H$135,8,FALSE)</f>
        <v>-</v>
      </c>
      <c r="L2862" s="52" t="str">
        <f>VLOOKUP(Tabla3[[#This Row],[Site]],'Important Info!'!$A$1:$F$135,2,FALSE)</f>
        <v>3, 5</v>
      </c>
      <c r="M2862" s="52" t="str">
        <f>VLOOKUP(Tabla3[[#This Row],[Site]],'Important Info!'!$A$1:$F$135,3,FALSE)</f>
        <v>-</v>
      </c>
      <c r="N2862" s="52" t="str">
        <f>VLOOKUP(Tabla3[[#This Row],[Site]],'Important Info!'!$A$1:$F$135,4,FALSE)</f>
        <v>-</v>
      </c>
      <c r="O2862" s="52" t="str">
        <f>VLOOKUP(Tabla3[[#This Row],[Site]],'Important Info!'!$A$1:$F$135,5,FALSE)</f>
        <v>4, 10, 22</v>
      </c>
      <c r="P2862" s="52" t="str">
        <f>VLOOKUP(Tabla3[[#This Row],[Site]],'Important Info!'!$A$1:$F$135,6,FALSE)</f>
        <v>8, 15, 20</v>
      </c>
      <c r="Q2862" s="91">
        <f>VLOOKUP(Tabla3[[#This Row],[Site]],'Important Info!'!$A$1:$J$135,9,FALSE)</f>
        <v>255</v>
      </c>
    </row>
    <row r="2863" spans="1:17" x14ac:dyDescent="0.25">
      <c r="A2863" t="str">
        <f>+Tabla3[[#This Row],[Site]]&amp;Tabla3[[#This Row],[Split]]</f>
        <v>(RV) Toms Camperland Surprise (NO TOURS)28</v>
      </c>
      <c r="B2863">
        <v>28</v>
      </c>
      <c r="C2863">
        <v>19</v>
      </c>
      <c r="D2863" t="s">
        <v>51</v>
      </c>
      <c r="E2863" t="s">
        <v>161</v>
      </c>
      <c r="F2863" t="s">
        <v>165</v>
      </c>
      <c r="G2863" t="s">
        <v>52</v>
      </c>
      <c r="H2863" s="52" t="str">
        <f>VLOOKUP(Tabla3[[#This Row],[Site]],'Important Info!'!$A$1:$J$135,10,FALSE)</f>
        <v>https://tools.sig.systems/site/details/254</v>
      </c>
      <c r="I2863" s="43"/>
      <c r="J2863" t="s">
        <v>52</v>
      </c>
      <c r="K2863" s="79" t="str">
        <f>VLOOKUP(Tabla3[[#This Row],[Site]],'Important Info!'!$A$1:$H$135,8,FALSE)</f>
        <v>-</v>
      </c>
      <c r="L2863" s="52" t="str">
        <f>VLOOKUP(Tabla3[[#This Row],[Site]],'Important Info!'!$A$1:$F$135,2,FALSE)</f>
        <v>1, 3, 4</v>
      </c>
      <c r="M2863" s="52" t="str">
        <f>VLOOKUP(Tabla3[[#This Row],[Site]],'Important Info!'!$A$1:$F$135,3,FALSE)</f>
        <v>-</v>
      </c>
      <c r="N2863" s="52" t="str">
        <f>VLOOKUP(Tabla3[[#This Row],[Site]],'Important Info!'!$A$1:$F$135,4,FALSE)</f>
        <v>-</v>
      </c>
      <c r="O2863" s="52" t="str">
        <f>VLOOKUP(Tabla3[[#This Row],[Site]],'Important Info!'!$A$1:$F$135,5,FALSE)</f>
        <v>-</v>
      </c>
      <c r="P2863" s="52" t="str">
        <f>VLOOKUP(Tabla3[[#This Row],[Site]],'Important Info!'!$A$1:$F$135,6,FALSE)</f>
        <v>1, 2, 3, 4, 15</v>
      </c>
      <c r="Q2863" s="91">
        <f>VLOOKUP(Tabla3[[#This Row],[Site]],'Important Info!'!$A$1:$J$135,9,FALSE)</f>
        <v>254</v>
      </c>
    </row>
    <row r="2864" spans="1:17" x14ac:dyDescent="0.25">
      <c r="A2864" t="str">
        <f>+Tabla3[[#This Row],[Site]]&amp;Tabla3[[#This Row],[Split]]</f>
        <v>(AS) Courtesy CDJR of Brandon (NO TOURS)28</v>
      </c>
      <c r="B2864">
        <v>28</v>
      </c>
      <c r="C2864">
        <v>20</v>
      </c>
      <c r="D2864" t="s">
        <v>62</v>
      </c>
      <c r="E2864" t="s">
        <v>35</v>
      </c>
      <c r="F2864" t="s">
        <v>503</v>
      </c>
      <c r="G2864" t="s">
        <v>490</v>
      </c>
      <c r="H2864" s="52" t="str">
        <f>VLOOKUP(Tabla3[[#This Row],[Site]],'Important Info!'!$A$1:$J$135,10,FALSE)</f>
        <v>https://tools.sig.systems/site/details/126</v>
      </c>
      <c r="I2864" s="2" t="s">
        <v>181</v>
      </c>
      <c r="J2864" t="s">
        <v>484</v>
      </c>
      <c r="K2864" s="79" t="str">
        <f>VLOOKUP(Tabla3[[#This Row],[Site]],'Important Info!'!$A$1:$H$135,8,FALSE)</f>
        <v>-</v>
      </c>
      <c r="L2864" s="52" t="str">
        <f>VLOOKUP(Tabla3[[#This Row],[Site]],'Important Info!'!$A$1:$F$135,2,FALSE)</f>
        <v>1, 14, 15</v>
      </c>
      <c r="M2864" s="52">
        <f>VLOOKUP(Tabla3[[#This Row],[Site]],'Important Info!'!$A$1:$F$135,3,FALSE)</f>
        <v>1</v>
      </c>
      <c r="N2864" s="52" t="str">
        <f>VLOOKUP(Tabla3[[#This Row],[Site]],'Important Info!'!$A$1:$F$135,4,FALSE)</f>
        <v>-</v>
      </c>
      <c r="O2864" s="52" t="str">
        <f>VLOOKUP(Tabla3[[#This Row],[Site]],'Important Info!'!$A$1:$F$135,5,FALSE)</f>
        <v>2, 12</v>
      </c>
      <c r="P2864" s="52" t="str">
        <f>VLOOKUP(Tabla3[[#This Row],[Site]],'Important Info!'!$A$1:$F$135,6,FALSE)</f>
        <v xml:space="preserve">1, 2, 3, 4, 14, 15, 21, 25 </v>
      </c>
      <c r="Q2864" s="91">
        <f>VLOOKUP(Tabla3[[#This Row],[Site]],'Important Info!'!$A$1:$J$135,9,FALSE)</f>
        <v>126</v>
      </c>
    </row>
    <row r="2865" spans="1:17" x14ac:dyDescent="0.25">
      <c r="A2865" t="str">
        <f>+Tabla3[[#This Row],[Site]]&amp;Tabla3[[#This Row],[Split]]</f>
        <v>(AS) Stevinson Toyota West (NO TOURS)28</v>
      </c>
      <c r="B2865">
        <v>28</v>
      </c>
      <c r="C2865">
        <v>20</v>
      </c>
      <c r="D2865" t="s">
        <v>44</v>
      </c>
      <c r="E2865" t="s">
        <v>53</v>
      </c>
      <c r="F2865" t="s">
        <v>79</v>
      </c>
      <c r="G2865" t="s">
        <v>45</v>
      </c>
      <c r="H2865" s="52" t="str">
        <f>VLOOKUP(Tabla3[[#This Row],[Site]],'Important Info!'!$A$1:$J$135,10,FALSE)</f>
        <v>https://tools.sig.systems/site/details/240</v>
      </c>
      <c r="I2865" s="43" t="s">
        <v>154</v>
      </c>
      <c r="J2865" t="s">
        <v>41</v>
      </c>
      <c r="K2865" s="79" t="str">
        <f>VLOOKUP(Tabla3[[#This Row],[Site]],'Important Info!'!$A$1:$H$135,8,FALSE)</f>
        <v>-</v>
      </c>
      <c r="L2865" s="52" t="str">
        <f>VLOOKUP(Tabla3[[#This Row],[Site]],'Important Info!'!$A$1:$F$135,2,FALSE)</f>
        <v>-</v>
      </c>
      <c r="M2865" s="52" t="str">
        <f>VLOOKUP(Tabla3[[#This Row],[Site]],'Important Info!'!$A$1:$F$135,3,FALSE)</f>
        <v>7, 18, 21</v>
      </c>
      <c r="N2865" s="52" t="str">
        <f>VLOOKUP(Tabla3[[#This Row],[Site]],'Important Info!'!$A$1:$F$135,4,FALSE)</f>
        <v>-</v>
      </c>
      <c r="O2865" s="52" t="str">
        <f>VLOOKUP(Tabla3[[#This Row],[Site]],'Important Info!'!$A$1:$F$135,5,FALSE)</f>
        <v>11, 24, 34</v>
      </c>
      <c r="P2865" s="52" t="str">
        <f>VLOOKUP(Tabla3[[#This Row],[Site]],'Important Info!'!$A$1:$F$135,6,FALSE)</f>
        <v>1, 2, 3, 12</v>
      </c>
      <c r="Q2865" s="91">
        <f>VLOOKUP(Tabla3[[#This Row],[Site]],'Important Info!'!$A$1:$J$135,9,FALSE)</f>
        <v>240</v>
      </c>
    </row>
    <row r="2866" spans="1:17" x14ac:dyDescent="0.25">
      <c r="A2866" t="str">
        <f>+Tabla3[[#This Row],[Site]]&amp;Tabla3[[#This Row],[Split]]</f>
        <v>(ML) Ford Lincoln of North Little Rock28</v>
      </c>
      <c r="B2866">
        <v>28</v>
      </c>
      <c r="C2866">
        <v>20</v>
      </c>
      <c r="D2866" t="s">
        <v>33</v>
      </c>
      <c r="E2866" t="s">
        <v>46</v>
      </c>
      <c r="F2866" t="s">
        <v>145</v>
      </c>
      <c r="G2866" t="s">
        <v>34</v>
      </c>
      <c r="H2866" s="52" t="str">
        <f>VLOOKUP(Tabla3[[#This Row],[Site]],'Important Info!'!$A$1:$J$135,10,FALSE)</f>
        <v>https://tools.sig.systems/site/details/214</v>
      </c>
      <c r="I2866" s="43" t="s">
        <v>142</v>
      </c>
      <c r="J2866" t="s">
        <v>41</v>
      </c>
      <c r="K2866" s="79" t="str">
        <f>VLOOKUP(Tabla3[[#This Row],[Site]],'Important Info!'!$A$1:$H$135,8,FALSE)</f>
        <v>-</v>
      </c>
      <c r="L2866" s="52" t="str">
        <f>VLOOKUP(Tabla3[[#This Row],[Site]],'Important Info!'!$A$1:$F$135,2,FALSE)</f>
        <v>4, 15, 18, 67, 74</v>
      </c>
      <c r="M2866" s="52">
        <f>VLOOKUP(Tabla3[[#This Row],[Site]],'Important Info!'!$A$1:$F$135,3,FALSE)</f>
        <v>13</v>
      </c>
      <c r="N2866" s="52" t="str">
        <f>VLOOKUP(Tabla3[[#This Row],[Site]],'Important Info!'!$A$1:$F$135,4,FALSE)</f>
        <v>-</v>
      </c>
      <c r="O2866" s="52" t="str">
        <f>VLOOKUP(Tabla3[[#This Row],[Site]],'Important Info!'!$A$1:$F$135,5,FALSE)</f>
        <v>4, 11, 16, 28</v>
      </c>
      <c r="P2866" s="52" t="str">
        <f>VLOOKUP(Tabla3[[#This Row],[Site]],'Important Info!'!$A$1:$F$135,6,FALSE)</f>
        <v>10, 11, 12</v>
      </c>
      <c r="Q2866" s="91">
        <f>VLOOKUP(Tabla3[[#This Row],[Site]],'Important Info!'!$A$1:$J$135,9,FALSE)</f>
        <v>214</v>
      </c>
    </row>
    <row r="2867" spans="1:17" x14ac:dyDescent="0.25">
      <c r="A2867" t="str">
        <f>+Tabla3[[#This Row],[Site]]&amp;Tabla3[[#This Row],[Split]]</f>
        <v>(AS) Plaza Lexus/Mercedes/BMW (NO TOURS)28</v>
      </c>
      <c r="B2867">
        <v>28</v>
      </c>
      <c r="C2867">
        <v>21</v>
      </c>
      <c r="D2867" t="s">
        <v>33</v>
      </c>
      <c r="E2867" t="s">
        <v>46</v>
      </c>
      <c r="F2867" t="s">
        <v>92</v>
      </c>
      <c r="G2867" t="s">
        <v>34</v>
      </c>
      <c r="H2867" s="52" t="str">
        <f>VLOOKUP(Tabla3[[#This Row],[Site]],'Important Info!'!$A$1:$J$135,10,FALSE)</f>
        <v>https://tools.sig.systems/site/details/141</v>
      </c>
      <c r="I2867" t="s">
        <v>130</v>
      </c>
      <c r="J2867" t="s">
        <v>41</v>
      </c>
      <c r="K2867" s="79" t="str">
        <f>VLOOKUP(Tabla3[[#This Row],[Site]],'Important Info!'!$A$1:$H$135,8,FALSE)</f>
        <v>-</v>
      </c>
      <c r="L2867" s="52" t="str">
        <f>VLOOKUP(Tabla3[[#This Row],[Site]],'Important Info!'!$A$1:$F$135,2,FALSE)</f>
        <v>3, 4, 18</v>
      </c>
      <c r="M2867" s="52" t="str">
        <f>VLOOKUP(Tabla3[[#This Row],[Site]],'Important Info!'!$A$1:$F$135,3,FALSE)</f>
        <v>9, 10, 12, 13, 16, 17</v>
      </c>
      <c r="N2867" s="52" t="str">
        <f>VLOOKUP(Tabla3[[#This Row],[Site]],'Important Info!'!$A$1:$F$135,4,FALSE)</f>
        <v>-</v>
      </c>
      <c r="O2867" s="52">
        <f>VLOOKUP(Tabla3[[#This Row],[Site]],'Important Info!'!$A$1:$F$135,5,FALSE)</f>
        <v>2</v>
      </c>
      <c r="P2867" s="52" t="str">
        <f>VLOOKUP(Tabla3[[#This Row],[Site]],'Important Info!'!$A$1:$F$135,6,FALSE)</f>
        <v>2, 16</v>
      </c>
      <c r="Q2867" s="91">
        <f>VLOOKUP(Tabla3[[#This Row],[Site]],'Important Info!'!$A$1:$J$135,9,FALSE)</f>
        <v>141</v>
      </c>
    </row>
    <row r="2868" spans="1:17" x14ac:dyDescent="0.25">
      <c r="A2868" t="str">
        <f>+Tabla3[[#This Row],[Site]]&amp;Tabla3[[#This Row],[Split]]</f>
        <v>(AS) Stevinson Lexus of Lakewood (NO TOURS)28</v>
      </c>
      <c r="B2868">
        <v>28</v>
      </c>
      <c r="C2868">
        <v>21</v>
      </c>
      <c r="D2868" t="s">
        <v>44</v>
      </c>
      <c r="E2868" t="s">
        <v>53</v>
      </c>
      <c r="F2868" t="s">
        <v>523</v>
      </c>
      <c r="G2868" t="s">
        <v>45</v>
      </c>
      <c r="H2868" s="52" t="str">
        <f>VLOOKUP(Tabla3[[#This Row],[Site]],'Important Info!'!$A$1:$J$135,10,FALSE)</f>
        <v>https://tools.sig.systems/site/details/260</v>
      </c>
      <c r="I2868" s="43" t="s">
        <v>154</v>
      </c>
      <c r="J2868" t="s">
        <v>41</v>
      </c>
      <c r="K2868" s="79" t="str">
        <f>VLOOKUP(Tabla3[[#This Row],[Site]],'Important Info!'!$A$1:$H$135,8,FALSE)</f>
        <v>-</v>
      </c>
      <c r="L2868" s="52" t="str">
        <f>VLOOKUP(Tabla3[[#This Row],[Site]],'Important Info!'!$A$1:$F$135,2,FALSE)</f>
        <v>-</v>
      </c>
      <c r="M2868" s="52" t="str">
        <f>VLOOKUP(Tabla3[[#This Row],[Site]],'Important Info!'!$A$1:$F$135,3,FALSE)</f>
        <v>2, 10</v>
      </c>
      <c r="N2868" s="52" t="str">
        <f>VLOOKUP(Tabla3[[#This Row],[Site]],'Important Info!'!$A$1:$F$135,4,FALSE)</f>
        <v>9, 17</v>
      </c>
      <c r="O2868" s="52" t="str">
        <f>VLOOKUP(Tabla3[[#This Row],[Site]],'Important Info!'!$A$1:$F$135,5,FALSE)</f>
        <v>-</v>
      </c>
      <c r="P2868" s="52" t="str">
        <f>VLOOKUP(Tabla3[[#This Row],[Site]],'Important Info!'!$A$1:$F$135,6,FALSE)</f>
        <v>1, 2</v>
      </c>
      <c r="Q2868" s="91">
        <f>VLOOKUP(Tabla3[[#This Row],[Site]],'Important Info!'!$A$1:$J$135,9,FALSE)</f>
        <v>260</v>
      </c>
    </row>
    <row r="2869" spans="1:17" x14ac:dyDescent="0.25">
      <c r="A2869" t="str">
        <f>+Tabla3[[#This Row],[Site]]&amp;Tabla3[[#This Row],[Split]]</f>
        <v>(KG) Kia of Phoenix (NO TOURS)28</v>
      </c>
      <c r="B2869">
        <v>28</v>
      </c>
      <c r="C2869">
        <v>21</v>
      </c>
      <c r="D2869" t="s">
        <v>51</v>
      </c>
      <c r="E2869" t="s">
        <v>161</v>
      </c>
      <c r="F2869" t="s">
        <v>94</v>
      </c>
      <c r="G2869" t="s">
        <v>52</v>
      </c>
      <c r="H2869" s="52" t="str">
        <f>VLOOKUP(Tabla3[[#This Row],[Site]],'Important Info!'!$A$1:$J$135,10,FALSE)</f>
        <v>https://tools.sig.systems/site/details/262</v>
      </c>
      <c r="J2869" t="s">
        <v>162</v>
      </c>
      <c r="K2869" s="79" t="str">
        <f>VLOOKUP(Tabla3[[#This Row],[Site]],'Important Info!'!$A$1:$H$135,8,FALSE)</f>
        <v>-</v>
      </c>
      <c r="L2869" s="52" t="str">
        <f>VLOOKUP(Tabla3[[#This Row],[Site]],'Important Info!'!$A$1:$F$135,2,FALSE)</f>
        <v>5, 8, 23</v>
      </c>
      <c r="M2869" s="52" t="str">
        <f>VLOOKUP(Tabla3[[#This Row],[Site]],'Important Info!'!$A$1:$F$135,3,FALSE)</f>
        <v>-</v>
      </c>
      <c r="N2869" s="52" t="str">
        <f>VLOOKUP(Tabla3[[#This Row],[Site]],'Important Info!'!$A$1:$F$135,4,FALSE)</f>
        <v>-</v>
      </c>
      <c r="O2869" s="52">
        <f>VLOOKUP(Tabla3[[#This Row],[Site]],'Important Info!'!$A$1:$F$135,5,FALSE)</f>
        <v>4</v>
      </c>
      <c r="P2869" s="52" t="str">
        <f>VLOOKUP(Tabla3[[#This Row],[Site]],'Important Info!'!$A$1:$F$135,6,FALSE)</f>
        <v>-</v>
      </c>
      <c r="Q2869" s="91">
        <f>VLOOKUP(Tabla3[[#This Row],[Site]],'Important Info!'!$A$1:$J$135,9,FALSE)</f>
        <v>262</v>
      </c>
    </row>
    <row r="2870" spans="1:17" x14ac:dyDescent="0.25">
      <c r="A2870" t="str">
        <f>+Tabla3[[#This Row],[Site]]&amp;Tabla3[[#This Row],[Split]]</f>
        <v>(ML) Toyota N Little Rock28</v>
      </c>
      <c r="B2870">
        <v>28</v>
      </c>
      <c r="C2870">
        <v>21</v>
      </c>
      <c r="D2870" t="s">
        <v>33</v>
      </c>
      <c r="E2870" t="s">
        <v>46</v>
      </c>
      <c r="F2870" t="s">
        <v>76</v>
      </c>
      <c r="G2870" t="s">
        <v>34</v>
      </c>
      <c r="H2870" s="52" t="str">
        <f>VLOOKUP(Tabla3[[#This Row],[Site]],'Important Info!'!$A$1:$J$135,10,FALSE)</f>
        <v>https://tools.sig.systems/site/details/201</v>
      </c>
      <c r="I2870" s="43" t="s">
        <v>142</v>
      </c>
      <c r="J2870" t="s">
        <v>41</v>
      </c>
      <c r="K2870" s="79" t="str">
        <f>VLOOKUP(Tabla3[[#This Row],[Site]],'Important Info!'!$A$1:$H$135,8,FALSE)</f>
        <v>-</v>
      </c>
      <c r="L2870" s="52" t="str">
        <f>VLOOKUP(Tabla3[[#This Row],[Site]],'Important Info!'!$A$1:$F$135,2,FALSE)</f>
        <v>4, 15, 18, 22, 23, 26</v>
      </c>
      <c r="M2870" s="52" t="str">
        <f>VLOOKUP(Tabla3[[#This Row],[Site]],'Important Info!'!$A$1:$F$135,3,FALSE)</f>
        <v>-</v>
      </c>
      <c r="N2870" s="52" t="str">
        <f>VLOOKUP(Tabla3[[#This Row],[Site]],'Important Info!'!$A$1:$F$135,4,FALSE)</f>
        <v>-</v>
      </c>
      <c r="O2870" s="52" t="str">
        <f>VLOOKUP(Tabla3[[#This Row],[Site]],'Important Info!'!$A$1:$F$135,5,FALSE)</f>
        <v>2, 12, 13, 18</v>
      </c>
      <c r="P2870" s="52" t="str">
        <f>VLOOKUP(Tabla3[[#This Row],[Site]],'Important Info!'!$A$1:$F$135,6,FALSE)</f>
        <v>-</v>
      </c>
      <c r="Q2870" s="91">
        <f>VLOOKUP(Tabla3[[#This Row],[Site]],'Important Info!'!$A$1:$J$135,9,FALSE)</f>
        <v>201</v>
      </c>
    </row>
    <row r="2871" spans="1:17" x14ac:dyDescent="0.25">
      <c r="A2871" t="str">
        <f>+Tabla3[[#This Row],[Site]]&amp;Tabla3[[#This Row],[Split]]</f>
        <v>(TC) Tavernier Creek Marina (NO TOURS)28</v>
      </c>
      <c r="B2871">
        <v>28</v>
      </c>
      <c r="C2871">
        <v>21</v>
      </c>
      <c r="D2871" t="s">
        <v>62</v>
      </c>
      <c r="E2871" t="s">
        <v>35</v>
      </c>
      <c r="F2871" t="s">
        <v>119</v>
      </c>
      <c r="G2871" t="s">
        <v>34</v>
      </c>
      <c r="H2871" s="52" t="str">
        <f>VLOOKUP(Tabla3[[#This Row],[Site]],'Important Info!'!$A$1:$J$135,10,FALSE)</f>
        <v>https://tools.sig.systems/site/details/164</v>
      </c>
      <c r="J2871" t="s">
        <v>45</v>
      </c>
      <c r="K2871" s="79" t="str">
        <f>VLOOKUP(Tabla3[[#This Row],[Site]],'Important Info!'!$A$1:$H$135,8,FALSE)</f>
        <v>-</v>
      </c>
      <c r="L2871" s="52" t="str">
        <f>VLOOKUP(Tabla3[[#This Row],[Site]],'Important Info!'!$A$1:$F$135,2,FALSE)</f>
        <v>28, 29</v>
      </c>
      <c r="M2871" s="52" t="str">
        <f>VLOOKUP(Tabla3[[#This Row],[Site]],'Important Info!'!$A$1:$F$135,3,FALSE)</f>
        <v>-</v>
      </c>
      <c r="N2871" s="52" t="str">
        <f>VLOOKUP(Tabla3[[#This Row],[Site]],'Important Info!'!$A$1:$F$135,4,FALSE)</f>
        <v>-</v>
      </c>
      <c r="O2871" s="52" t="str">
        <f>VLOOKUP(Tabla3[[#This Row],[Site]],'Important Info!'!$A$1:$F$135,5,FALSE)</f>
        <v>-</v>
      </c>
      <c r="P2871" s="52" t="str">
        <f>VLOOKUP(Tabla3[[#This Row],[Site]],'Important Info!'!$A$1:$F$135,6,FALSE)</f>
        <v>5, 28, 29</v>
      </c>
      <c r="Q2871" s="91">
        <f>VLOOKUP(Tabla3[[#This Row],[Site]],'Important Info!'!$A$1:$J$135,9,FALSE)</f>
        <v>164</v>
      </c>
    </row>
    <row r="2872" spans="1:17" x14ac:dyDescent="0.25">
      <c r="A2872" t="str">
        <f>+Tabla3[[#This Row],[Site]]&amp;Tabla3[[#This Row],[Split]]</f>
        <v>(AS) Courtesy Hyundai/Nissan Tampa (NO TOURS)28</v>
      </c>
      <c r="B2872">
        <v>28</v>
      </c>
      <c r="C2872">
        <v>22</v>
      </c>
      <c r="D2872" t="s">
        <v>62</v>
      </c>
      <c r="E2872" t="s">
        <v>35</v>
      </c>
      <c r="F2872" t="s">
        <v>504</v>
      </c>
      <c r="G2872" t="s">
        <v>490</v>
      </c>
      <c r="H2872" s="52" t="str">
        <f>VLOOKUP(Tabla3[[#This Row],[Site]],'Important Info!'!$A$1:$J$135,10,FALSE)</f>
        <v>https://tools.sig.systems/site/details/128</v>
      </c>
      <c r="I2872" s="43"/>
      <c r="J2872" t="s">
        <v>484</v>
      </c>
      <c r="K2872" s="79" t="str">
        <f>VLOOKUP(Tabla3[[#This Row],[Site]],'Important Info!'!$A$1:$H$135,8,FALSE)</f>
        <v>-</v>
      </c>
      <c r="L2872" s="52" t="str">
        <f>VLOOKUP(Tabla3[[#This Row],[Site]],'Important Info!'!$A$1:$F$135,2,FALSE)</f>
        <v>1, 16, 25, 27, 32</v>
      </c>
      <c r="M2872" s="52" t="str">
        <f>VLOOKUP(Tabla3[[#This Row],[Site]],'Important Info!'!$A$1:$F$135,3,FALSE)</f>
        <v>-</v>
      </c>
      <c r="N2872" s="52" t="str">
        <f>VLOOKUP(Tabla3[[#This Row],[Site]],'Important Info!'!$A$1:$F$135,4,FALSE)</f>
        <v>-</v>
      </c>
      <c r="O2872" s="52" t="str">
        <f>VLOOKUP(Tabla3[[#This Row],[Site]],'Important Info!'!$A$1:$F$135,5,FALSE)</f>
        <v>4, 10, 16</v>
      </c>
      <c r="P2872" s="52" t="str">
        <f>VLOOKUP(Tabla3[[#This Row],[Site]],'Important Info!'!$A$1:$F$135,6,FALSE)</f>
        <v>24, 25, 26 &amp; Remote Lots</v>
      </c>
      <c r="Q2872" s="91">
        <f>VLOOKUP(Tabla3[[#This Row],[Site]],'Important Info!'!$A$1:$J$135,9,FALSE)</f>
        <v>128</v>
      </c>
    </row>
    <row r="2873" spans="1:17" x14ac:dyDescent="0.25">
      <c r="A2873" t="str">
        <f>+Tabla3[[#This Row],[Site]]&amp;Tabla3[[#This Row],[Split]]</f>
        <v>(AS) Plaza Audi/Infiniti (NO TOURS)28</v>
      </c>
      <c r="B2873">
        <v>28</v>
      </c>
      <c r="C2873">
        <v>22</v>
      </c>
      <c r="D2873" t="s">
        <v>33</v>
      </c>
      <c r="E2873" t="s">
        <v>46</v>
      </c>
      <c r="F2873" t="s">
        <v>91</v>
      </c>
      <c r="G2873" t="s">
        <v>34</v>
      </c>
      <c r="H2873" s="52" t="str">
        <f>VLOOKUP(Tabla3[[#This Row],[Site]],'Important Info!'!$A$1:$J$135,10,FALSE)</f>
        <v>https://tools.sig.systems/site/details/141</v>
      </c>
      <c r="I2873" t="s">
        <v>130</v>
      </c>
      <c r="J2873" t="s">
        <v>41</v>
      </c>
      <c r="K2873" s="79" t="str">
        <f>VLOOKUP(Tabla3[[#This Row],[Site]],'Important Info!'!$A$1:$H$135,8,FALSE)</f>
        <v>-</v>
      </c>
      <c r="L2873" s="52" t="str">
        <f>VLOOKUP(Tabla3[[#This Row],[Site]],'Important Info!'!$A$1:$F$135,2,FALSE)</f>
        <v>7, 25</v>
      </c>
      <c r="M2873" s="52" t="str">
        <f>VLOOKUP(Tabla3[[#This Row],[Site]],'Important Info!'!$A$1:$F$135,3,FALSE)</f>
        <v>15, 17, 18</v>
      </c>
      <c r="N2873" s="52" t="str">
        <f>VLOOKUP(Tabla3[[#This Row],[Site]],'Important Info!'!$A$1:$F$135,4,FALSE)</f>
        <v>-</v>
      </c>
      <c r="O2873" s="52" t="str">
        <f>VLOOKUP(Tabla3[[#This Row],[Site]],'Important Info!'!$A$1:$F$135,5,FALSE)</f>
        <v>1, 24</v>
      </c>
      <c r="P2873" s="52" t="str">
        <f>VLOOKUP(Tabla3[[#This Row],[Site]],'Important Info!'!$A$1:$F$135,6,FALSE)</f>
        <v>3, 15, 17</v>
      </c>
      <c r="Q2873" s="91">
        <f>VLOOKUP(Tabla3[[#This Row],[Site]],'Important Info!'!$A$1:$J$135,9,FALSE)</f>
        <v>141</v>
      </c>
    </row>
    <row r="2874" spans="1:17" x14ac:dyDescent="0.25">
      <c r="A2874" t="str">
        <f>+Tabla3[[#This Row],[Site]]&amp;Tabla3[[#This Row],[Split]]</f>
        <v>(DT) Escondido28</v>
      </c>
      <c r="B2874">
        <v>28</v>
      </c>
      <c r="C2874">
        <v>22</v>
      </c>
      <c r="D2874" t="s">
        <v>51</v>
      </c>
      <c r="E2874" t="s">
        <v>159</v>
      </c>
      <c r="F2874" t="s">
        <v>112</v>
      </c>
      <c r="G2874" t="s">
        <v>164</v>
      </c>
      <c r="H2874" s="52" t="str">
        <f>VLOOKUP(Tabla3[[#This Row],[Site]],'Important Info!'!$A$1:$J$135,10,FALSE)</f>
        <v>https://tools.sig.systems/site/details/196</v>
      </c>
      <c r="I2874" s="43"/>
      <c r="J2874" t="s">
        <v>41</v>
      </c>
      <c r="K2874" s="79" t="str">
        <f>VLOOKUP(Tabla3[[#This Row],[Site]],'Important Info!'!$A$1:$H$135,8,FALSE)</f>
        <v>Saturday Drop Time 9:00 A.M.</v>
      </c>
      <c r="L2874" s="52" t="str">
        <f>VLOOKUP(Tabla3[[#This Row],[Site]],'Important Info!'!$A$1:$F$135,2,FALSE)</f>
        <v>1, 2</v>
      </c>
      <c r="M2874" s="52" t="str">
        <f>VLOOKUP(Tabla3[[#This Row],[Site]],'Important Info!'!$A$1:$F$135,3,FALSE)</f>
        <v>-</v>
      </c>
      <c r="N2874" s="52" t="str">
        <f>VLOOKUP(Tabla3[[#This Row],[Site]],'Important Info!'!$A$1:$F$135,4,FALSE)</f>
        <v>-</v>
      </c>
      <c r="O2874" s="52" t="str">
        <f>VLOOKUP(Tabla3[[#This Row],[Site]],'Important Info!'!$A$1:$F$135,5,FALSE)</f>
        <v>-</v>
      </c>
      <c r="P2874" s="52" t="str">
        <f>VLOOKUP(Tabla3[[#This Row],[Site]],'Important Info!'!$A$1:$F$135,6,FALSE)</f>
        <v>5, 7, 8</v>
      </c>
      <c r="Q2874" s="91">
        <f>VLOOKUP(Tabla3[[#This Row],[Site]],'Important Info!'!$A$1:$J$135,9,FALSE)</f>
        <v>196</v>
      </c>
    </row>
    <row r="2875" spans="1:17" x14ac:dyDescent="0.25">
      <c r="A2875" t="str">
        <f>+Tabla3[[#This Row],[Site]]&amp;Tabla3[[#This Row],[Split]]</f>
        <v>(RV) Sonny's Camp N Travel Concord28</v>
      </c>
      <c r="B2875">
        <v>28</v>
      </c>
      <c r="C2875">
        <v>22</v>
      </c>
      <c r="D2875" t="s">
        <v>62</v>
      </c>
      <c r="E2875" t="s">
        <v>35</v>
      </c>
      <c r="F2875" t="s">
        <v>188</v>
      </c>
      <c r="G2875" t="s">
        <v>490</v>
      </c>
      <c r="H2875" s="52" t="str">
        <f>VLOOKUP(Tabla3[[#This Row],[Site]],'Important Info!'!$A$1:$J$135,10,FALSE)</f>
        <v>https://tools.sig.systems/site/details/183</v>
      </c>
      <c r="J2875" t="s">
        <v>41</v>
      </c>
      <c r="K2875" s="79" t="str">
        <f>VLOOKUP(Tabla3[[#This Row],[Site]],'Important Info!'!$A$1:$H$135,8,FALSE)</f>
        <v>-</v>
      </c>
      <c r="L2875" s="52">
        <f>VLOOKUP(Tabla3[[#This Row],[Site]],'Important Info!'!$A$1:$F$135,2,FALSE)</f>
        <v>1</v>
      </c>
      <c r="M2875" s="52" t="str">
        <f>VLOOKUP(Tabla3[[#This Row],[Site]],'Important Info!'!$A$1:$F$135,3,FALSE)</f>
        <v>-</v>
      </c>
      <c r="N2875" s="52" t="str">
        <f>VLOOKUP(Tabla3[[#This Row],[Site]],'Important Info!'!$A$1:$F$135,4,FALSE)</f>
        <v>-</v>
      </c>
      <c r="O2875" s="52">
        <f>VLOOKUP(Tabla3[[#This Row],[Site]],'Important Info!'!$A$1:$F$135,5,FALSE)</f>
        <v>7</v>
      </c>
      <c r="P2875" s="52" t="str">
        <f>VLOOKUP(Tabla3[[#This Row],[Site]],'Important Info!'!$A$1:$F$135,6,FALSE)</f>
        <v>6, 7, 8, 9</v>
      </c>
      <c r="Q2875" s="91">
        <f>VLOOKUP(Tabla3[[#This Row],[Site]],'Important Info!'!$A$1:$J$135,9,FALSE)</f>
        <v>183</v>
      </c>
    </row>
    <row r="2876" spans="1:17" x14ac:dyDescent="0.25">
      <c r="A2876" t="str">
        <f>+Tabla3[[#This Row],[Site]]&amp;Tabla3[[#This Row],[Split]]</f>
        <v>(AS) Lexus Grapevine I &amp; II (NO TOURS)28</v>
      </c>
      <c r="B2876">
        <v>28</v>
      </c>
      <c r="C2876">
        <v>23</v>
      </c>
      <c r="D2876" t="s">
        <v>33</v>
      </c>
      <c r="E2876" t="s">
        <v>46</v>
      </c>
      <c r="F2876" t="s">
        <v>508</v>
      </c>
      <c r="G2876" t="s">
        <v>34</v>
      </c>
      <c r="H2876" s="52" t="str">
        <f>VLOOKUP(Tabla3[[#This Row],[Site]],'Important Info!'!$A$1:$J$135,10,FALSE)</f>
        <v>https://tools.sig.systems/site/details/136</v>
      </c>
      <c r="J2876" t="s">
        <v>41</v>
      </c>
      <c r="K2876" s="79" t="str">
        <f>VLOOKUP(Tabla3[[#This Row],[Site]],'Important Info!'!$A$1:$H$135,8,FALSE)</f>
        <v>-</v>
      </c>
      <c r="L2876" s="52" t="str">
        <f>VLOOKUP(Tabla3[[#This Row],[Site]],'Important Info!'!$A$1:$F$135,2,FALSE)</f>
        <v>4, 10, 14, 18, 33</v>
      </c>
      <c r="M2876" s="52" t="str">
        <f>VLOOKUP(Tabla3[[#This Row],[Site]],'Important Info!'!$A$1:$F$135,3,FALSE)</f>
        <v>-</v>
      </c>
      <c r="N2876" s="52" t="str">
        <f>VLOOKUP(Tabla3[[#This Row],[Site]],'Important Info!'!$A$1:$F$135,4,FALSE)</f>
        <v>81, 82, 83</v>
      </c>
      <c r="O2876" s="52" t="str">
        <f>VLOOKUP(Tabla3[[#This Row],[Site]],'Important Info!'!$A$1:$F$135,5,FALSE)</f>
        <v>4, 12, 15, 20, 30</v>
      </c>
      <c r="P2876" s="52">
        <f>VLOOKUP(Tabla3[[#This Row],[Site]],'Important Info!'!$A$1:$F$135,6,FALSE)</f>
        <v>10</v>
      </c>
      <c r="Q2876" s="91">
        <f>VLOOKUP(Tabla3[[#This Row],[Site]],'Important Info!'!$A$1:$J$135,9,FALSE)</f>
        <v>136</v>
      </c>
    </row>
    <row r="2877" spans="1:17" x14ac:dyDescent="0.25">
      <c r="A2877" t="str">
        <f>+Tabla3[[#This Row],[Site]]&amp;Tabla3[[#This Row],[Split]]</f>
        <v>(KG) Hyundai Surprise28</v>
      </c>
      <c r="B2877">
        <v>28</v>
      </c>
      <c r="C2877">
        <v>23</v>
      </c>
      <c r="D2877" t="s">
        <v>51</v>
      </c>
      <c r="E2877" t="s">
        <v>161</v>
      </c>
      <c r="F2877" t="s">
        <v>118</v>
      </c>
      <c r="G2877" t="s">
        <v>52</v>
      </c>
      <c r="H2877" s="52" t="str">
        <f>VLOOKUP(Tabla3[[#This Row],[Site]],'Important Info!'!$A$1:$J$135,10,FALSE)</f>
        <v>https://tools.sig.systems/site/details/269</v>
      </c>
      <c r="I2877" s="43"/>
      <c r="J2877" t="s">
        <v>162</v>
      </c>
      <c r="K2877" s="79" t="str">
        <f>VLOOKUP(Tabla3[[#This Row],[Site]],'Important Info!'!$A$1:$H$135,8,FALSE)</f>
        <v>-</v>
      </c>
      <c r="L2877" s="52" t="str">
        <f>VLOOKUP(Tabla3[[#This Row],[Site]],'Important Info!'!$A$1:$F$135,2,FALSE)</f>
        <v>1, 6, 7</v>
      </c>
      <c r="M2877" s="52" t="str">
        <f>VLOOKUP(Tabla3[[#This Row],[Site]],'Important Info!'!$A$1:$F$135,3,FALSE)</f>
        <v>-</v>
      </c>
      <c r="N2877" s="52" t="str">
        <f>VLOOKUP(Tabla3[[#This Row],[Site]],'Important Info!'!$A$1:$F$135,4,FALSE)</f>
        <v>-</v>
      </c>
      <c r="O2877" s="52" t="str">
        <f>VLOOKUP(Tabla3[[#This Row],[Site]],'Important Info!'!$A$1:$F$135,5,FALSE)</f>
        <v>6, 13</v>
      </c>
      <c r="P2877" s="52" t="str">
        <f>VLOOKUP(Tabla3[[#This Row],[Site]],'Important Info!'!$A$1:$F$135,6,FALSE)</f>
        <v>-</v>
      </c>
      <c r="Q2877" s="91">
        <f>VLOOKUP(Tabla3[[#This Row],[Site]],'Important Info!'!$A$1:$J$135,9,FALSE)</f>
        <v>269</v>
      </c>
    </row>
    <row r="2878" spans="1:17" x14ac:dyDescent="0.25">
      <c r="A2878" t="str">
        <f>+Tabla3[[#This Row],[Site]]&amp;Tabla3[[#This Row],[Split]]</f>
        <v>(KT) Northwest CDJR (NO TOURS)28</v>
      </c>
      <c r="B2878">
        <v>28</v>
      </c>
      <c r="C2878">
        <v>23</v>
      </c>
      <c r="D2878" t="s">
        <v>33</v>
      </c>
      <c r="E2878" t="s">
        <v>46</v>
      </c>
      <c r="F2878" t="s">
        <v>77</v>
      </c>
      <c r="G2878" t="s">
        <v>34</v>
      </c>
      <c r="H2878" s="52" t="str">
        <f>VLOOKUP(Tabla3[[#This Row],[Site]],'Important Info!'!$A$1:$J$135,10,FALSE)</f>
        <v>https://tools.sig.systems/site/details/229</v>
      </c>
      <c r="I2878" s="2"/>
      <c r="J2878" t="s">
        <v>41</v>
      </c>
      <c r="K2878" s="79" t="str">
        <f>VLOOKUP(Tabla3[[#This Row],[Site]],'Important Info!'!$A$1:$H$135,8,FALSE)</f>
        <v>-</v>
      </c>
      <c r="L2878" s="52" t="str">
        <f>VLOOKUP(Tabla3[[#This Row],[Site]],'Important Info!'!$A$1:$F$135,2,FALSE)</f>
        <v>1, 3, 11, 25</v>
      </c>
      <c r="M2878" s="52" t="str">
        <f>VLOOKUP(Tabla3[[#This Row],[Site]],'Important Info!'!$A$1:$F$135,3,FALSE)</f>
        <v>-</v>
      </c>
      <c r="N2878" s="52" t="str">
        <f>VLOOKUP(Tabla3[[#This Row],[Site]],'Important Info!'!$A$1:$F$135,4,FALSE)</f>
        <v>-</v>
      </c>
      <c r="O2878" s="52" t="str">
        <f>VLOOKUP(Tabla3[[#This Row],[Site]],'Important Info!'!$A$1:$F$135,5,FALSE)</f>
        <v>4, 12, 18</v>
      </c>
      <c r="P2878" s="52" t="str">
        <f>VLOOKUP(Tabla3[[#This Row],[Site]],'Important Info!'!$A$1:$F$135,6,FALSE)</f>
        <v>-</v>
      </c>
      <c r="Q2878" s="91">
        <f>VLOOKUP(Tabla3[[#This Row],[Site]],'Important Info!'!$A$1:$J$135,9,FALSE)</f>
        <v>229</v>
      </c>
    </row>
    <row r="2879" spans="1:17" x14ac:dyDescent="0.25">
      <c r="A2879" t="str">
        <f>+Tabla3[[#This Row],[Site]]&amp;Tabla3[[#This Row],[Split]]</f>
        <v>(AS) Bill Estes Ford (NO TOURS)28</v>
      </c>
      <c r="B2879">
        <v>28</v>
      </c>
      <c r="C2879">
        <v>24</v>
      </c>
      <c r="D2879" t="s">
        <v>62</v>
      </c>
      <c r="E2879" t="s">
        <v>35</v>
      </c>
      <c r="F2879" t="s">
        <v>178</v>
      </c>
      <c r="G2879" t="s">
        <v>490</v>
      </c>
      <c r="H2879" s="52" t="str">
        <f>VLOOKUP(Tabla3[[#This Row],[Site]],'Important Info!'!$A$1:$J$135,10,FALSE)</f>
        <v>https://tools.sig.systems/site/details/125</v>
      </c>
      <c r="J2879" t="s">
        <v>41</v>
      </c>
      <c r="K2879" s="79" t="str">
        <f>VLOOKUP(Tabla3[[#This Row],[Site]],'Important Info!'!$A$1:$H$135,8,FALSE)</f>
        <v>-</v>
      </c>
      <c r="L2879" s="52" t="str">
        <f>VLOOKUP(Tabla3[[#This Row],[Site]],'Important Info!'!$A$1:$F$135,2,FALSE)</f>
        <v>-</v>
      </c>
      <c r="M2879" s="52" t="str">
        <f>VLOOKUP(Tabla3[[#This Row],[Site]],'Important Info!'!$A$1:$F$135,3,FALSE)</f>
        <v>2, 3, 13, 16</v>
      </c>
      <c r="N2879" s="52" t="str">
        <f>VLOOKUP(Tabla3[[#This Row],[Site]],'Important Info!'!$A$1:$F$135,4,FALSE)</f>
        <v>-</v>
      </c>
      <c r="O2879" s="52" t="str">
        <f>VLOOKUP(Tabla3[[#This Row],[Site]],'Important Info!'!$A$1:$F$135,5,FALSE)</f>
        <v>1, 10, 14, 19</v>
      </c>
      <c r="P2879" s="52" t="str">
        <f>VLOOKUP(Tabla3[[#This Row],[Site]],'Important Info!'!$A$1:$F$135,6,FALSE)</f>
        <v>7, 8, 9, 10, 11, 12, 14</v>
      </c>
      <c r="Q2879" s="91">
        <f>VLOOKUP(Tabla3[[#This Row],[Site]],'Important Info!'!$A$1:$J$135,9,FALSE)</f>
        <v>125</v>
      </c>
    </row>
    <row r="2880" spans="1:17" x14ac:dyDescent="0.25">
      <c r="A2880" t="str">
        <f>+Tabla3[[#This Row],[Site]]&amp;Tabla3[[#This Row],[Split]]</f>
        <v>(DT) Wichita28</v>
      </c>
      <c r="B2880">
        <v>28</v>
      </c>
      <c r="C2880">
        <v>24</v>
      </c>
      <c r="D2880" t="s">
        <v>33</v>
      </c>
      <c r="E2880" t="s">
        <v>46</v>
      </c>
      <c r="F2880" t="s">
        <v>131</v>
      </c>
      <c r="G2880" t="s">
        <v>34</v>
      </c>
      <c r="H2880" s="52" t="str">
        <f>VLOOKUP(Tabla3[[#This Row],[Site]],'Important Info!'!$A$1:$J$135,10,FALSE)</f>
        <v>https://tools.sig.systems/site/details/257</v>
      </c>
      <c r="J2880" t="s">
        <v>41</v>
      </c>
      <c r="K2880" s="79" t="str">
        <f>VLOOKUP(Tabla3[[#This Row],[Site]],'Important Info!'!$A$1:$H$135,8,FALSE)</f>
        <v>-</v>
      </c>
      <c r="L2880" s="52" t="str">
        <f>VLOOKUP(Tabla3[[#This Row],[Site]],'Important Info!'!$A$1:$F$135,2,FALSE)</f>
        <v>-</v>
      </c>
      <c r="M2880" s="52" t="str">
        <f>VLOOKUP(Tabla3[[#This Row],[Site]],'Important Info!'!$A$1:$F$135,3,FALSE)</f>
        <v>10, 11</v>
      </c>
      <c r="N2880" s="52" t="str">
        <f>VLOOKUP(Tabla3[[#This Row],[Site]],'Important Info!'!$A$1:$F$135,4,FALSE)</f>
        <v>-</v>
      </c>
      <c r="O2880" s="52" t="str">
        <f>VLOOKUP(Tabla3[[#This Row],[Site]],'Important Info!'!$A$1:$F$135,5,FALSE)</f>
        <v>-</v>
      </c>
      <c r="P2880" s="52" t="str">
        <f>VLOOKUP(Tabla3[[#This Row],[Site]],'Important Info!'!$A$1:$F$135,6,FALSE)</f>
        <v>1, 5, 6, 10</v>
      </c>
      <c r="Q2880" s="91">
        <f>VLOOKUP(Tabla3[[#This Row],[Site]],'Important Info!'!$A$1:$J$135,9,FALSE)</f>
        <v>257</v>
      </c>
    </row>
    <row r="2881" spans="1:17" x14ac:dyDescent="0.25">
      <c r="A2881" t="str">
        <f>+Tabla3[[#This Row],[Site]]&amp;Tabla3[[#This Row],[Split]]</f>
        <v>(PE) Hudson Toyota Nissan CDJR (NO TOURS)28</v>
      </c>
      <c r="B2881">
        <v>28</v>
      </c>
      <c r="C2881">
        <v>24</v>
      </c>
      <c r="D2881" t="s">
        <v>485</v>
      </c>
      <c r="E2881" t="s">
        <v>35</v>
      </c>
      <c r="F2881" t="s">
        <v>82</v>
      </c>
      <c r="G2881" t="s">
        <v>490</v>
      </c>
      <c r="H2881" s="52" t="str">
        <f>VLOOKUP(Tabla3[[#This Row],[Site]],'Important Info!'!$A$1:$J$135,10,FALSE)</f>
        <v>https://tools.sig.systems/site/details/156</v>
      </c>
      <c r="J2881" t="s">
        <v>41</v>
      </c>
      <c r="K2881" s="79" t="str">
        <f>VLOOKUP(Tabla3[[#This Row],[Site]],'Important Info!'!$A$1:$H$135,8,FALSE)</f>
        <v>-</v>
      </c>
      <c r="L2881" s="52">
        <f>VLOOKUP(Tabla3[[#This Row],[Site]],'Important Info!'!$A$1:$F$135,2,FALSE)</f>
        <v>5</v>
      </c>
      <c r="M2881" s="52" t="str">
        <f>VLOOKUP(Tabla3[[#This Row],[Site]],'Important Info!'!$A$1:$F$135,3,FALSE)</f>
        <v>3, 7, 18</v>
      </c>
      <c r="N2881" s="52" t="str">
        <f>VLOOKUP(Tabla3[[#This Row],[Site]],'Important Info!'!$A$1:$F$135,4,FALSE)</f>
        <v>-</v>
      </c>
      <c r="O2881" s="52">
        <f>VLOOKUP(Tabla3[[#This Row],[Site]],'Important Info!'!$A$1:$F$135,5,FALSE)</f>
        <v>84</v>
      </c>
      <c r="P2881" s="52" t="str">
        <f>VLOOKUP(Tabla3[[#This Row],[Site]],'Important Info!'!$A$1:$F$135,6,FALSE)</f>
        <v>1, 2, 3, 4, 5, 6, 7, 8</v>
      </c>
      <c r="Q2881" s="91">
        <f>VLOOKUP(Tabla3[[#This Row],[Site]],'Important Info!'!$A$1:$J$135,9,FALSE)</f>
        <v>156</v>
      </c>
    </row>
    <row r="2882" spans="1:17" x14ac:dyDescent="0.25">
      <c r="A2882" t="str">
        <f>+Tabla3[[#This Row],[Site]]&amp;Tabla3[[#This Row],[Split]]</f>
        <v>(RV) Toms Camperland Mesa (NO TOURS)28</v>
      </c>
      <c r="B2882">
        <v>28</v>
      </c>
      <c r="C2882">
        <v>24</v>
      </c>
      <c r="D2882" t="s">
        <v>51</v>
      </c>
      <c r="E2882" t="s">
        <v>161</v>
      </c>
      <c r="F2882" t="s">
        <v>81</v>
      </c>
      <c r="G2882" t="s">
        <v>52</v>
      </c>
      <c r="H2882" s="52" t="str">
        <f>VLOOKUP(Tabla3[[#This Row],[Site]],'Important Info!'!$A$1:$J$135,10,FALSE)</f>
        <v>https://tools.sig.systems/site/details/222</v>
      </c>
      <c r="J2882" t="s">
        <v>41</v>
      </c>
      <c r="K2882" s="79" t="str">
        <f>VLOOKUP(Tabla3[[#This Row],[Site]],'Important Info!'!$A$1:$H$135,8,FALSE)</f>
        <v>-</v>
      </c>
      <c r="L2882" s="52" t="str">
        <f>VLOOKUP(Tabla3[[#This Row],[Site]],'Important Info!'!$A$1:$F$135,2,FALSE)</f>
        <v>1, 2</v>
      </c>
      <c r="M2882" s="52" t="str">
        <f>VLOOKUP(Tabla3[[#This Row],[Site]],'Important Info!'!$A$1:$F$135,3,FALSE)</f>
        <v>-</v>
      </c>
      <c r="N2882" s="52" t="str">
        <f>VLOOKUP(Tabla3[[#This Row],[Site]],'Important Info!'!$A$1:$F$135,4,FALSE)</f>
        <v>-</v>
      </c>
      <c r="O2882" s="52" t="str">
        <f>VLOOKUP(Tabla3[[#This Row],[Site]],'Important Info!'!$A$1:$F$135,5,FALSE)</f>
        <v>-</v>
      </c>
      <c r="P2882" s="52" t="str">
        <f>VLOOKUP(Tabla3[[#This Row],[Site]],'Important Info!'!$A$1:$F$135,6,FALSE)</f>
        <v>1, 4, 6, 8, 10, 18</v>
      </c>
      <c r="Q2882" s="91">
        <f>VLOOKUP(Tabla3[[#This Row],[Site]],'Important Info!'!$A$1:$J$135,9,FALSE)</f>
        <v>222</v>
      </c>
    </row>
    <row r="2883" spans="1:17" x14ac:dyDescent="0.25">
      <c r="A2883" t="str">
        <f>+Tabla3[[#This Row],[Site]]&amp;Tabla3[[#This Row],[Split]]</f>
        <v>SIG Office28</v>
      </c>
      <c r="B2883">
        <v>28</v>
      </c>
      <c r="C2883">
        <v>24</v>
      </c>
      <c r="D2883" t="s">
        <v>60</v>
      </c>
      <c r="E2883" t="s">
        <v>35</v>
      </c>
      <c r="F2883" t="s">
        <v>169</v>
      </c>
      <c r="G2883" t="s">
        <v>41</v>
      </c>
      <c r="H2883" s="52" t="str">
        <f>VLOOKUP(Tabla3[[#This Row],[Site]],'Important Info!'!$A$1:$J$135,10,FALSE)</f>
        <v>https://tools.sig.systems/site/details/163</v>
      </c>
      <c r="J2883" t="s">
        <v>41</v>
      </c>
      <c r="K2883" s="79" t="str">
        <f>VLOOKUP(Tabla3[[#This Row],[Site]],'Important Info!'!$A$1:$H$135,8,FALSE)</f>
        <v>-</v>
      </c>
      <c r="L2883" s="52" t="str">
        <f>VLOOKUP(Tabla3[[#This Row],[Site]],'Important Info!'!$A$1:$F$135,2,FALSE)</f>
        <v>-</v>
      </c>
      <c r="M2883" s="52" t="str">
        <f>VLOOKUP(Tabla3[[#This Row],[Site]],'Important Info!'!$A$1:$F$135,3,FALSE)</f>
        <v>-</v>
      </c>
      <c r="N2883" s="52" t="str">
        <f>VLOOKUP(Tabla3[[#This Row],[Site]],'Important Info!'!$A$1:$F$135,4,FALSE)</f>
        <v>-</v>
      </c>
      <c r="O2883" s="52" t="str">
        <f>VLOOKUP(Tabla3[[#This Row],[Site]],'Important Info!'!$A$1:$F$135,5,FALSE)</f>
        <v>-</v>
      </c>
      <c r="P2883" s="52">
        <f>VLOOKUP(Tabla3[[#This Row],[Site]],'Important Info!'!$A$1:$F$135,6,FALSE)</f>
        <v>25</v>
      </c>
      <c r="Q2883" s="91">
        <f>VLOOKUP(Tabla3[[#This Row],[Site]],'Important Info!'!$A$1:$J$135,9,FALSE)</f>
        <v>163</v>
      </c>
    </row>
    <row r="2884" spans="1:17" x14ac:dyDescent="0.25">
      <c r="A2884" t="str">
        <f>+Tabla3[[#This Row],[Site]]&amp;Tabla3[[#This Row],[Split]]</f>
        <v>(ML) Joe Machens Ford Lincoln I &amp; II28</v>
      </c>
      <c r="B2884">
        <v>28</v>
      </c>
      <c r="C2884">
        <v>25</v>
      </c>
      <c r="D2884" t="s">
        <v>33</v>
      </c>
      <c r="E2884" t="s">
        <v>46</v>
      </c>
      <c r="F2884" t="s">
        <v>148</v>
      </c>
      <c r="G2884" t="s">
        <v>34</v>
      </c>
      <c r="H2884" s="52" t="str">
        <f>VLOOKUP(Tabla3[[#This Row],[Site]],'Important Info!'!$A$1:$J$135,10,FALSE)</f>
        <v>https://tools.sig.systems/site/details/266</v>
      </c>
      <c r="I2884" s="2" t="s">
        <v>146</v>
      </c>
      <c r="J2884" t="s">
        <v>41</v>
      </c>
      <c r="K2884" s="79" t="str">
        <f>VLOOKUP(Tabla3[[#This Row],[Site]],'Important Info!'!$A$1:$H$135,8,FALSE)</f>
        <v>-</v>
      </c>
      <c r="L2884" s="52" t="str">
        <f>VLOOKUP(Tabla3[[#This Row],[Site]],'Important Info!'!$A$1:$F$135,2,FALSE)</f>
        <v>-</v>
      </c>
      <c r="M2884" s="52" t="str">
        <f>VLOOKUP(Tabla3[[#This Row],[Site]],'Important Info!'!$A$1:$F$135,3,FALSE)</f>
        <v>4, 6, 9, 13, 14, 17, 26, 27, 28, 29, 30</v>
      </c>
      <c r="N2884" s="52" t="str">
        <f>VLOOKUP(Tabla3[[#This Row],[Site]],'Important Info!'!$A$1:$F$135,4,FALSE)</f>
        <v>-</v>
      </c>
      <c r="O2884" s="52" t="str">
        <f>VLOOKUP(Tabla3[[#This Row],[Site]],'Important Info!'!$A$1:$F$135,5,FALSE)</f>
        <v>23, 40, 49</v>
      </c>
      <c r="P2884" s="52" t="str">
        <f>VLOOKUP(Tabla3[[#This Row],[Site]],'Important Info!'!$A$1:$F$135,6,FALSE)</f>
        <v>-</v>
      </c>
      <c r="Q2884" s="91">
        <f>VLOOKUP(Tabla3[[#This Row],[Site]],'Important Info!'!$A$1:$J$135,9,FALSE)</f>
        <v>266</v>
      </c>
    </row>
    <row r="2885" spans="1:17" x14ac:dyDescent="0.25">
      <c r="A2885" t="str">
        <f>+Tabla3[[#This Row],[Site]]&amp;Tabla3[[#This Row],[Split]]</f>
        <v>(ML) Mazda VW-Lot B28</v>
      </c>
      <c r="B2885">
        <v>28</v>
      </c>
      <c r="C2885">
        <v>25</v>
      </c>
      <c r="D2885" t="s">
        <v>33</v>
      </c>
      <c r="E2885" t="s">
        <v>46</v>
      </c>
      <c r="F2885" t="s">
        <v>9</v>
      </c>
      <c r="G2885" t="s">
        <v>34</v>
      </c>
      <c r="H2885" s="52" t="str">
        <f>VLOOKUP(Tabla3[[#This Row],[Site]],'Important Info!'!$A$1:$J$135,10,FALSE)</f>
        <v>https://tools.sig.systems/site/details/205</v>
      </c>
      <c r="I2885" s="2" t="s">
        <v>142</v>
      </c>
      <c r="J2885" t="s">
        <v>41</v>
      </c>
      <c r="K2885" s="79" t="str">
        <f>VLOOKUP(Tabla3[[#This Row],[Site]],'Important Info!'!$A$1:$H$135,8,FALSE)</f>
        <v>-</v>
      </c>
      <c r="L2885" s="52" t="str">
        <f>VLOOKUP(Tabla3[[#This Row],[Site]],'Important Info!'!$A$1:$F$135,2,FALSE)</f>
        <v>9, 14, 16</v>
      </c>
      <c r="M2885" s="52">
        <f>VLOOKUP(Tabla3[[#This Row],[Site]],'Important Info!'!$A$1:$F$135,3,FALSE)</f>
        <v>1</v>
      </c>
      <c r="N2885" s="52" t="str">
        <f>VLOOKUP(Tabla3[[#This Row],[Site]],'Important Info!'!$A$1:$F$135,4,FALSE)</f>
        <v>-</v>
      </c>
      <c r="O2885" s="52">
        <f>VLOOKUP(Tabla3[[#This Row],[Site]],'Important Info!'!$A$1:$F$135,5,FALSE)</f>
        <v>4</v>
      </c>
      <c r="P2885" s="52" t="str">
        <f>VLOOKUP(Tabla3[[#This Row],[Site]],'Important Info!'!$A$1:$F$135,6,FALSE)</f>
        <v>-</v>
      </c>
      <c r="Q2885" s="91">
        <f>VLOOKUP(Tabla3[[#This Row],[Site]],'Important Info!'!$A$1:$J$135,9,FALSE)</f>
        <v>205</v>
      </c>
    </row>
    <row r="2886" spans="1:17" x14ac:dyDescent="0.25">
      <c r="A2886" t="str">
        <f>+Tabla3[[#This Row],[Site]]&amp;Tabla3[[#This Row],[Split]]</f>
        <v>(PE) BMW of Mamaroneck (NO TOURS)28</v>
      </c>
      <c r="B2886">
        <v>28</v>
      </c>
      <c r="C2886">
        <v>25</v>
      </c>
      <c r="D2886" t="s">
        <v>485</v>
      </c>
      <c r="E2886" t="s">
        <v>35</v>
      </c>
      <c r="F2886" t="s">
        <v>172</v>
      </c>
      <c r="G2886" t="s">
        <v>490</v>
      </c>
      <c r="H2886" s="52" t="str">
        <f>VLOOKUP(Tabla3[[#This Row],[Site]],'Important Info!'!$A$1:$J$135,10,FALSE)</f>
        <v>https://tools.sig.systems/site/details/185</v>
      </c>
      <c r="I2886" s="43"/>
      <c r="J2886" t="s">
        <v>41</v>
      </c>
      <c r="K2886" s="79" t="str">
        <f>VLOOKUP(Tabla3[[#This Row],[Site]],'Important Info!'!$A$1:$H$135,8,FALSE)</f>
        <v>-</v>
      </c>
      <c r="L2886" s="52">
        <f>VLOOKUP(Tabla3[[#This Row],[Site]],'Important Info!'!$A$1:$F$135,2,FALSE)</f>
        <v>9</v>
      </c>
      <c r="M2886" s="52" t="str">
        <f>VLOOKUP(Tabla3[[#This Row],[Site]],'Important Info!'!$A$1:$F$135,3,FALSE)</f>
        <v>2, 3, 4, 5</v>
      </c>
      <c r="N2886" s="52" t="str">
        <f>VLOOKUP(Tabla3[[#This Row],[Site]],'Important Info!'!$A$1:$F$135,4,FALSE)</f>
        <v>-</v>
      </c>
      <c r="O2886" s="52" t="str">
        <f>VLOOKUP(Tabla3[[#This Row],[Site]],'Important Info!'!$A$1:$F$135,5,FALSE)</f>
        <v>-</v>
      </c>
      <c r="P2886" s="52" t="str">
        <f>VLOOKUP(Tabla3[[#This Row],[Site]],'Important Info!'!$A$1:$F$135,6,FALSE)</f>
        <v>4, 6, 7, 8</v>
      </c>
      <c r="Q2886" s="91">
        <f>VLOOKUP(Tabla3[[#This Row],[Site]],'Important Info!'!$A$1:$J$135,9,FALSE)</f>
        <v>185</v>
      </c>
    </row>
    <row r="2887" spans="1:17" x14ac:dyDescent="0.25">
      <c r="A2887" t="str">
        <f>+Tabla3[[#This Row],[Site]]&amp;Tabla3[[#This Row],[Split]]</f>
        <v>(AS) Stevinson Porsche of Littleton (NO TOURS)28</v>
      </c>
      <c r="B2887">
        <v>28</v>
      </c>
      <c r="C2887">
        <v>26</v>
      </c>
      <c r="D2887" t="s">
        <v>44</v>
      </c>
      <c r="E2887" t="s">
        <v>53</v>
      </c>
      <c r="F2887" t="s">
        <v>78</v>
      </c>
      <c r="G2887" t="s">
        <v>45</v>
      </c>
      <c r="H2887" s="52" t="str">
        <f>VLOOKUP(Tabla3[[#This Row],[Site]],'Important Info!'!$A$1:$J$135,10,FALSE)</f>
        <v>https://tools.sig.systems/site/details/242</v>
      </c>
      <c r="J2887" t="s">
        <v>41</v>
      </c>
      <c r="K2887" s="79" t="str">
        <f>VLOOKUP(Tabla3[[#This Row],[Site]],'Important Info!'!$A$1:$H$135,8,FALSE)</f>
        <v>-</v>
      </c>
      <c r="L2887" s="52" t="str">
        <f>VLOOKUP(Tabla3[[#This Row],[Site]],'Important Info!'!$A$1:$F$135,2,FALSE)</f>
        <v>3, 4</v>
      </c>
      <c r="M2887" s="52">
        <f>VLOOKUP(Tabla3[[#This Row],[Site]],'Important Info!'!$A$1:$F$135,3,FALSE)</f>
        <v>2</v>
      </c>
      <c r="N2887" s="52" t="str">
        <f>VLOOKUP(Tabla3[[#This Row],[Site]],'Important Info!'!$A$1:$F$135,4,FALSE)</f>
        <v>-</v>
      </c>
      <c r="O2887" s="52" t="str">
        <f>VLOOKUP(Tabla3[[#This Row],[Site]],'Important Info!'!$A$1:$F$135,5,FALSE)</f>
        <v>-</v>
      </c>
      <c r="P2887" s="52" t="str">
        <f>VLOOKUP(Tabla3[[#This Row],[Site]],'Important Info!'!$A$1:$F$135,6,FALSE)</f>
        <v>3, 4</v>
      </c>
      <c r="Q2887" s="91">
        <f>VLOOKUP(Tabla3[[#This Row],[Site]],'Important Info!'!$A$1:$J$135,9,FALSE)</f>
        <v>242</v>
      </c>
    </row>
    <row r="2888" spans="1:17" x14ac:dyDescent="0.25">
      <c r="A2888" t="str">
        <f>+Tabla3[[#This Row],[Site]]&amp;Tabla3[[#This Row],[Split]]</f>
        <v>(DT) W Houston28</v>
      </c>
      <c r="B2888">
        <v>28</v>
      </c>
      <c r="C2888">
        <v>26</v>
      </c>
      <c r="D2888" t="s">
        <v>33</v>
      </c>
      <c r="E2888" t="s">
        <v>46</v>
      </c>
      <c r="F2888" t="s">
        <v>69</v>
      </c>
      <c r="G2888" t="s">
        <v>34</v>
      </c>
      <c r="H2888" s="52" t="str">
        <f>VLOOKUP(Tabla3[[#This Row],[Site]],'Important Info!'!$A$1:$J$135,10,FALSE)</f>
        <v>https://tools.sig.systems/site/details/197</v>
      </c>
      <c r="I2888" s="43"/>
      <c r="J2888" t="s">
        <v>41</v>
      </c>
      <c r="K2888" s="79" t="str">
        <f>VLOOKUP(Tabla3[[#This Row],[Site]],'Important Info!'!$A$1:$H$135,8,FALSE)</f>
        <v>-</v>
      </c>
      <c r="L2888" s="52">
        <f>VLOOKUP(Tabla3[[#This Row],[Site]],'Important Info!'!$A$1:$F$135,2,FALSE)</f>
        <v>7</v>
      </c>
      <c r="M2888" s="52">
        <f>VLOOKUP(Tabla3[[#This Row],[Site]],'Important Info!'!$A$1:$F$135,3,FALSE)</f>
        <v>2</v>
      </c>
      <c r="N2888" s="52" t="str">
        <f>VLOOKUP(Tabla3[[#This Row],[Site]],'Important Info!'!$A$1:$F$135,4,FALSE)</f>
        <v>-</v>
      </c>
      <c r="O2888" s="52">
        <f>VLOOKUP(Tabla3[[#This Row],[Site]],'Important Info!'!$A$1:$F$135,5,FALSE)</f>
        <v>14</v>
      </c>
      <c r="P2888" s="52" t="str">
        <f>VLOOKUP(Tabla3[[#This Row],[Site]],'Important Info!'!$A$1:$F$135,6,FALSE)</f>
        <v>2, 3, 7, 10</v>
      </c>
      <c r="Q2888" s="91">
        <f>VLOOKUP(Tabla3[[#This Row],[Site]],'Important Info!'!$A$1:$J$135,9,FALSE)</f>
        <v>197</v>
      </c>
    </row>
    <row r="2889" spans="1:17" x14ac:dyDescent="0.25">
      <c r="A2889" t="str">
        <f>+Tabla3[[#This Row],[Site]]&amp;Tabla3[[#This Row],[Split]]</f>
        <v>(KG) Baytown GMC Buick - Remote Lot (NO TOURS)28</v>
      </c>
      <c r="B2889">
        <v>28</v>
      </c>
      <c r="C2889">
        <v>26</v>
      </c>
      <c r="D2889" t="s">
        <v>60</v>
      </c>
      <c r="E2889" t="s">
        <v>46</v>
      </c>
      <c r="F2889" t="s">
        <v>167</v>
      </c>
      <c r="G2889" t="s">
        <v>41</v>
      </c>
      <c r="H2889" s="52" t="str">
        <f>VLOOKUP(Tabla3[[#This Row],[Site]],'Important Info!'!$A$1:$J$135,10,FALSE)</f>
        <v>https://tools.sig.systems/site/details/311</v>
      </c>
      <c r="I2889" s="2"/>
      <c r="J2889" t="s">
        <v>41</v>
      </c>
      <c r="K2889" s="79" t="s">
        <v>168</v>
      </c>
      <c r="L2889" s="52" t="str">
        <f>VLOOKUP(Tabla3[[#This Row],[Site]],'Important Info!'!$A$1:$F$135,2,FALSE)</f>
        <v>-</v>
      </c>
      <c r="M2889" s="52" t="str">
        <f>VLOOKUP(Tabla3[[#This Row],[Site]],'Important Info!'!$A$1:$F$135,3,FALSE)</f>
        <v>7, 8</v>
      </c>
      <c r="N2889" s="52" t="str">
        <f>VLOOKUP(Tabla3[[#This Row],[Site]],'Important Info!'!$A$1:$F$135,4,FALSE)</f>
        <v>-</v>
      </c>
      <c r="O2889" s="52" t="str">
        <f>VLOOKUP(Tabla3[[#This Row],[Site]],'Important Info!'!$A$1:$F$135,5,FALSE)</f>
        <v>-</v>
      </c>
      <c r="P2889" s="52" t="str">
        <f>VLOOKUP(Tabla3[[#This Row],[Site]],'Important Info!'!$A$1:$F$135,6,FALSE)</f>
        <v>-</v>
      </c>
      <c r="Q2889" s="91">
        <f>VLOOKUP(Tabla3[[#This Row],[Site]],'Important Info!'!$A$1:$J$135,9,FALSE)</f>
        <v>311</v>
      </c>
    </row>
    <row r="2890" spans="1:17" x14ac:dyDescent="0.25">
      <c r="A2890" t="str">
        <f>+Tabla3[[#This Row],[Site]]&amp;Tabla3[[#This Row],[Split]]</f>
        <v>(KG) Baytown GMC Buick (NO TOURS)28</v>
      </c>
      <c r="B2890">
        <v>28</v>
      </c>
      <c r="C2890">
        <v>26</v>
      </c>
      <c r="D2890" t="s">
        <v>33</v>
      </c>
      <c r="E2890" t="s">
        <v>46</v>
      </c>
      <c r="F2890" t="s">
        <v>132</v>
      </c>
      <c r="G2890" t="s">
        <v>34</v>
      </c>
      <c r="H2890" s="52" t="str">
        <f>VLOOKUP(Tabla3[[#This Row],[Site]],'Important Info!'!$A$1:$J$135,10,FALSE)</f>
        <v>https://tools.sig.systems/site/details/239</v>
      </c>
      <c r="I2890" s="2"/>
      <c r="J2890" t="s">
        <v>41</v>
      </c>
      <c r="K2890" s="79" t="str">
        <f>VLOOKUP(Tabla3[[#This Row],[Site]],'Important Info!'!$A$1:$H$135,8,FALSE)</f>
        <v>-</v>
      </c>
      <c r="L2890" s="52" t="str">
        <f>VLOOKUP(Tabla3[[#This Row],[Site]],'Important Info!'!$A$1:$F$135,2,FALSE)</f>
        <v>1, 5, 7, 21, 22</v>
      </c>
      <c r="M2890" s="52" t="str">
        <f>VLOOKUP(Tabla3[[#This Row],[Site]],'Important Info!'!$A$1:$F$135,3,FALSE)</f>
        <v>-</v>
      </c>
      <c r="N2890" s="52" t="str">
        <f>VLOOKUP(Tabla3[[#This Row],[Site]],'Important Info!'!$A$1:$F$135,4,FALSE)</f>
        <v>-</v>
      </c>
      <c r="O2890" s="52" t="str">
        <f>VLOOKUP(Tabla3[[#This Row],[Site]],'Important Info!'!$A$1:$F$135,5,FALSE)</f>
        <v>2, 10, 15, 24B</v>
      </c>
      <c r="P2890" s="52" t="str">
        <f>VLOOKUP(Tabla3[[#This Row],[Site]],'Important Info!'!$A$1:$F$135,6,FALSE)</f>
        <v>21, 22</v>
      </c>
      <c r="Q2890" s="91">
        <f>VLOOKUP(Tabla3[[#This Row],[Site]],'Important Info!'!$A$1:$J$135,9,FALSE)</f>
        <v>239</v>
      </c>
    </row>
    <row r="2891" spans="1:17" x14ac:dyDescent="0.25">
      <c r="A2891" t="str">
        <f>+Tabla3[[#This Row],[Site]]&amp;Tabla3[[#This Row],[Split]]</f>
        <v>(ML) Collision Center N Little Rock28</v>
      </c>
      <c r="B2891">
        <v>28</v>
      </c>
      <c r="C2891">
        <v>26</v>
      </c>
      <c r="D2891" t="s">
        <v>33</v>
      </c>
      <c r="E2891" t="s">
        <v>46</v>
      </c>
      <c r="F2891" t="s">
        <v>141</v>
      </c>
      <c r="G2891" t="s">
        <v>34</v>
      </c>
      <c r="H2891" s="52" t="str">
        <f>VLOOKUP(Tabla3[[#This Row],[Site]],'Important Info!'!$A$1:$J$135,10,FALSE)</f>
        <v>https://tools.sig.systems/site/details/212</v>
      </c>
      <c r="I2891" s="43" t="s">
        <v>142</v>
      </c>
      <c r="J2891" t="s">
        <v>41</v>
      </c>
      <c r="K2891" s="79" t="str">
        <f>VLOOKUP(Tabla3[[#This Row],[Site]],'Important Info!'!$A$1:$H$135,8,FALSE)</f>
        <v>-</v>
      </c>
      <c r="L2891" s="52" t="str">
        <f>VLOOKUP(Tabla3[[#This Row],[Site]],'Important Info!'!$A$1:$F$135,2,FALSE)</f>
        <v>-</v>
      </c>
      <c r="M2891" s="52" t="str">
        <f>VLOOKUP(Tabla3[[#This Row],[Site]],'Important Info!'!$A$1:$F$135,3,FALSE)</f>
        <v>-</v>
      </c>
      <c r="N2891" s="52" t="str">
        <f>VLOOKUP(Tabla3[[#This Row],[Site]],'Important Info!'!$A$1:$F$135,4,FALSE)</f>
        <v>-</v>
      </c>
      <c r="O2891" s="52" t="str">
        <f>VLOOKUP(Tabla3[[#This Row],[Site]],'Important Info!'!$A$1:$F$135,5,FALSE)</f>
        <v>-</v>
      </c>
      <c r="P2891" s="52" t="str">
        <f>VLOOKUP(Tabla3[[#This Row],[Site]],'Important Info!'!$A$1:$F$135,6,FALSE)</f>
        <v>1, 3, 7, 8</v>
      </c>
      <c r="Q2891" s="91">
        <f>VLOOKUP(Tabla3[[#This Row],[Site]],'Important Info!'!$A$1:$J$135,9,FALSE)</f>
        <v>212</v>
      </c>
    </row>
    <row r="2892" spans="1:17" x14ac:dyDescent="0.25">
      <c r="A2892" t="str">
        <f>+Tabla3[[#This Row],[Site]]&amp;Tabla3[[#This Row],[Split]]</f>
        <v>(PE) BMW Tenafly (NO TOURS)28</v>
      </c>
      <c r="B2892">
        <v>28</v>
      </c>
      <c r="C2892">
        <v>26</v>
      </c>
      <c r="D2892" t="s">
        <v>485</v>
      </c>
      <c r="E2892" t="s">
        <v>35</v>
      </c>
      <c r="F2892" t="s">
        <v>173</v>
      </c>
      <c r="G2892" t="s">
        <v>490</v>
      </c>
      <c r="H2892" s="52" t="str">
        <f>VLOOKUP(Tabla3[[#This Row],[Site]],'Important Info!'!$A$1:$J$135,10,FALSE)</f>
        <v>https://tools.sig.systems/site/details/155</v>
      </c>
      <c r="I2892" s="43"/>
      <c r="J2892" t="s">
        <v>41</v>
      </c>
      <c r="K2892" s="79" t="str">
        <f>VLOOKUP(Tabla3[[#This Row],[Site]],'Important Info!'!$A$1:$H$135,8,FALSE)</f>
        <v>-</v>
      </c>
      <c r="L2892" s="52">
        <f>VLOOKUP(Tabla3[[#This Row],[Site]],'Important Info!'!$A$1:$F$135,2,FALSE)</f>
        <v>24</v>
      </c>
      <c r="M2892" s="52" t="str">
        <f>VLOOKUP(Tabla3[[#This Row],[Site]],'Important Info!'!$A$1:$F$135,3,FALSE)</f>
        <v>1, 3, 4, 17, 23</v>
      </c>
      <c r="N2892" s="52" t="str">
        <f>VLOOKUP(Tabla3[[#This Row],[Site]],'Important Info!'!$A$1:$F$135,4,FALSE)</f>
        <v>-</v>
      </c>
      <c r="O2892" s="52" t="str">
        <f>VLOOKUP(Tabla3[[#This Row],[Site]],'Important Info!'!$A$1:$F$135,5,FALSE)</f>
        <v>-</v>
      </c>
      <c r="P2892" s="52">
        <f>VLOOKUP(Tabla3[[#This Row],[Site]],'Important Info!'!$A$1:$F$135,6,FALSE)</f>
        <v>1</v>
      </c>
      <c r="Q2892" s="91">
        <f>VLOOKUP(Tabla3[[#This Row],[Site]],'Important Info!'!$A$1:$J$135,9,FALSE)</f>
        <v>155</v>
      </c>
    </row>
    <row r="2893" spans="1:17" x14ac:dyDescent="0.25">
      <c r="A2893" t="str">
        <f>+Tabla3[[#This Row],[Site]]&amp;Tabla3[[#This Row],[Split]]</f>
        <v>(AS) Park Place JLR DFW Airport (NO TOURS)28</v>
      </c>
      <c r="B2893">
        <v>28</v>
      </c>
      <c r="C2893">
        <v>27</v>
      </c>
      <c r="D2893" t="s">
        <v>33</v>
      </c>
      <c r="E2893" t="s">
        <v>46</v>
      </c>
      <c r="F2893" t="s">
        <v>516</v>
      </c>
      <c r="G2893" t="s">
        <v>34</v>
      </c>
      <c r="H2893" s="52" t="str">
        <f>VLOOKUP(Tabla3[[#This Row],[Site]],'Important Info!'!$A$1:$J$135,10,FALSE)</f>
        <v>https://tools.sig.systems/site/details/135</v>
      </c>
      <c r="J2893" t="s">
        <v>41</v>
      </c>
      <c r="K2893" s="79" t="str">
        <f>VLOOKUP(Tabla3[[#This Row],[Site]],'Important Info!'!$A$1:$H$135,8,FALSE)</f>
        <v>-</v>
      </c>
      <c r="L2893" s="52" t="str">
        <f>VLOOKUP(Tabla3[[#This Row],[Site]],'Important Info!'!$A$1:$F$135,2,FALSE)</f>
        <v>6, 7, 18</v>
      </c>
      <c r="M2893" s="52" t="str">
        <f>VLOOKUP(Tabla3[[#This Row],[Site]],'Important Info!'!$A$1:$F$135,3,FALSE)</f>
        <v>70, 79, 80</v>
      </c>
      <c r="N2893" s="52" t="str">
        <f>VLOOKUP(Tabla3[[#This Row],[Site]],'Important Info!'!$A$1:$F$135,4,FALSE)</f>
        <v>83, 84</v>
      </c>
      <c r="O2893" s="52" t="str">
        <f>VLOOKUP(Tabla3[[#This Row],[Site]],'Important Info!'!$A$1:$F$135,5,FALSE)</f>
        <v>3, 8, 14, 81</v>
      </c>
      <c r="P2893" s="52">
        <f>VLOOKUP(Tabla3[[#This Row],[Site]],'Important Info!'!$A$1:$F$135,6,FALSE)</f>
        <v>6</v>
      </c>
      <c r="Q2893" s="91">
        <f>VLOOKUP(Tabla3[[#This Row],[Site]],'Important Info!'!$A$1:$J$135,9,FALSE)</f>
        <v>135</v>
      </c>
    </row>
    <row r="2894" spans="1:17" x14ac:dyDescent="0.25">
      <c r="A2894" t="str">
        <f>+Tabla3[[#This Row],[Site]]&amp;Tabla3[[#This Row],[Split]]</f>
        <v>(DT) Louisville28</v>
      </c>
      <c r="B2894">
        <v>28</v>
      </c>
      <c r="C2894">
        <v>27</v>
      </c>
      <c r="D2894" t="s">
        <v>62</v>
      </c>
      <c r="E2894" t="s">
        <v>35</v>
      </c>
      <c r="F2894" t="s">
        <v>99</v>
      </c>
      <c r="G2894" t="s">
        <v>490</v>
      </c>
      <c r="H2894" s="52" t="str">
        <f>VLOOKUP(Tabla3[[#This Row],[Site]],'Important Info!'!$A$1:$J$135,10,FALSE)</f>
        <v>https://tools.sig.systems/site/details/258</v>
      </c>
      <c r="J2894" t="s">
        <v>41</v>
      </c>
      <c r="K2894" s="79" t="str">
        <f>VLOOKUP(Tabla3[[#This Row],[Site]],'Important Info!'!$A$1:$H$135,8,FALSE)</f>
        <v>-</v>
      </c>
      <c r="L2894" s="52" t="str">
        <f>VLOOKUP(Tabla3[[#This Row],[Site]],'Important Info!'!$A$1:$F$135,2,FALSE)</f>
        <v>-</v>
      </c>
      <c r="M2894" s="52">
        <f>VLOOKUP(Tabla3[[#This Row],[Site]],'Important Info!'!$A$1:$F$135,3,FALSE)</f>
        <v>3</v>
      </c>
      <c r="N2894" s="52" t="str">
        <f>VLOOKUP(Tabla3[[#This Row],[Site]],'Important Info!'!$A$1:$F$135,4,FALSE)</f>
        <v>-</v>
      </c>
      <c r="O2894" s="52" t="str">
        <f>VLOOKUP(Tabla3[[#This Row],[Site]],'Important Info!'!$A$1:$F$135,5,FALSE)</f>
        <v>-</v>
      </c>
      <c r="P2894" s="52" t="str">
        <f>VLOOKUP(Tabla3[[#This Row],[Site]],'Important Info!'!$A$1:$F$135,6,FALSE)</f>
        <v>3, 8</v>
      </c>
      <c r="Q2894" s="91">
        <f>VLOOKUP(Tabla3[[#This Row],[Site]],'Important Info!'!$A$1:$J$135,9,FALSE)</f>
        <v>258</v>
      </c>
    </row>
    <row r="2895" spans="1:17" x14ac:dyDescent="0.25">
      <c r="A2895" t="str">
        <f>+Tabla3[[#This Row],[Site]]&amp;Tabla3[[#This Row],[Split]]</f>
        <v>(ML) Joe Machens Capital City I &amp; II (NO TOURS)28</v>
      </c>
      <c r="B2895">
        <v>28</v>
      </c>
      <c r="C2895">
        <v>27</v>
      </c>
      <c r="D2895" t="s">
        <v>33</v>
      </c>
      <c r="E2895" t="s">
        <v>46</v>
      </c>
      <c r="F2895" t="s">
        <v>72</v>
      </c>
      <c r="G2895" t="s">
        <v>34</v>
      </c>
      <c r="H2895" s="52" t="str">
        <f>VLOOKUP(Tabla3[[#This Row],[Site]],'Important Info!'!$A$1:$J$135,10,FALSE)</f>
        <v>https://tools.sig.systems/site/details/271</v>
      </c>
      <c r="I2895" s="2"/>
      <c r="J2895" t="s">
        <v>41</v>
      </c>
      <c r="K2895" s="79" t="str">
        <f>VLOOKUP(Tabla3[[#This Row],[Site]],'Important Info!'!$A$1:$H$135,8,FALSE)</f>
        <v>-</v>
      </c>
      <c r="L2895" s="52" t="str">
        <f>VLOOKUP(Tabla3[[#This Row],[Site]],'Important Info!'!$A$1:$F$135,2,FALSE)</f>
        <v>-</v>
      </c>
      <c r="M2895" s="52" t="str">
        <f>VLOOKUP(Tabla3[[#This Row],[Site]],'Important Info!'!$A$1:$F$135,3,FALSE)</f>
        <v>1, 3, 4, 20, 25, 27, 28</v>
      </c>
      <c r="N2895" s="52" t="str">
        <f>VLOOKUP(Tabla3[[#This Row],[Site]],'Important Info!'!$A$1:$F$135,4,FALSE)</f>
        <v>-</v>
      </c>
      <c r="O2895" s="52">
        <f>VLOOKUP(Tabla3[[#This Row],[Site]],'Important Info!'!$A$1:$F$135,5,FALSE)</f>
        <v>29</v>
      </c>
      <c r="P2895" s="52" t="str">
        <f>VLOOKUP(Tabla3[[#This Row],[Site]],'Important Info!'!$A$1:$F$135,6,FALSE)</f>
        <v>19, 20</v>
      </c>
      <c r="Q2895" s="91">
        <f>VLOOKUP(Tabla3[[#This Row],[Site]],'Important Info!'!$A$1:$J$135,9,FALSE)</f>
        <v>271</v>
      </c>
    </row>
    <row r="2896" spans="1:17" x14ac:dyDescent="0.25">
      <c r="A2896" t="str">
        <f>+Tabla3[[#This Row],[Site]]&amp;Tabla3[[#This Row],[Split]]</f>
        <v>(PE) JLR Darien PDI (NO TOURS)28</v>
      </c>
      <c r="B2896">
        <v>28</v>
      </c>
      <c r="C2896">
        <v>27</v>
      </c>
      <c r="D2896" t="s">
        <v>485</v>
      </c>
      <c r="E2896" t="s">
        <v>35</v>
      </c>
      <c r="F2896" t="s">
        <v>98</v>
      </c>
      <c r="G2896" t="s">
        <v>490</v>
      </c>
      <c r="H2896" s="52" t="str">
        <f>VLOOKUP(Tabla3[[#This Row],[Site]],'Important Info!'!$A$1:$J$135,10,FALSE)</f>
        <v>https://tools.sig.systems/site/details/187</v>
      </c>
      <c r="I2896" t="s">
        <v>175</v>
      </c>
      <c r="J2896" t="s">
        <v>41</v>
      </c>
      <c r="K2896" s="79" t="str">
        <f>VLOOKUP(Tabla3[[#This Row],[Site]],'Important Info!'!$A$1:$H$135,8,FALSE)</f>
        <v>-</v>
      </c>
      <c r="L2896" s="52">
        <f>VLOOKUP(Tabla3[[#This Row],[Site]],'Important Info!'!$A$1:$F$135,2,FALSE)</f>
        <v>1</v>
      </c>
      <c r="M2896" s="52" t="str">
        <f>VLOOKUP(Tabla3[[#This Row],[Site]],'Important Info!'!$A$1:$F$135,3,FALSE)</f>
        <v>-</v>
      </c>
      <c r="N2896" s="52" t="str">
        <f>VLOOKUP(Tabla3[[#This Row],[Site]],'Important Info!'!$A$1:$F$135,4,FALSE)</f>
        <v>-</v>
      </c>
      <c r="O2896" s="52">
        <f>VLOOKUP(Tabla3[[#This Row],[Site]],'Important Info!'!$A$1:$F$135,5,FALSE)</f>
        <v>1</v>
      </c>
      <c r="P2896" s="52">
        <f>VLOOKUP(Tabla3[[#This Row],[Site]],'Important Info!'!$A$1:$F$135,6,FALSE)</f>
        <v>7</v>
      </c>
      <c r="Q2896" s="91">
        <f>VLOOKUP(Tabla3[[#This Row],[Site]],'Important Info!'!$A$1:$J$135,9,FALSE)</f>
        <v>187</v>
      </c>
    </row>
    <row r="2897" spans="1:17" x14ac:dyDescent="0.25">
      <c r="A2897" t="str">
        <f>+Tabla3[[#This Row],[Site]]&amp;Tabla3[[#This Row],[Split]]</f>
        <v>(AS) Park Place Mercedes Benz Arlington (NO TOURS)28</v>
      </c>
      <c r="B2897">
        <v>28</v>
      </c>
      <c r="C2897">
        <v>28</v>
      </c>
      <c r="D2897" t="s">
        <v>33</v>
      </c>
      <c r="E2897" t="s">
        <v>46</v>
      </c>
      <c r="F2897" t="s">
        <v>518</v>
      </c>
      <c r="G2897" t="s">
        <v>34</v>
      </c>
      <c r="H2897" s="52" t="str">
        <f>VLOOKUP(Tabla3[[#This Row],[Site]],'Important Info!'!$A$1:$J$135,10,FALSE)</f>
        <v>https://tools.sig.systems/site/details/169</v>
      </c>
      <c r="J2897" t="s">
        <v>41</v>
      </c>
      <c r="K2897" s="79" t="str">
        <f>VLOOKUP(Tabla3[[#This Row],[Site]],'Important Info!'!$A$1:$H$135,8,FALSE)</f>
        <v>-</v>
      </c>
      <c r="L2897" s="52" t="str">
        <f>VLOOKUP(Tabla3[[#This Row],[Site]],'Important Info!'!$A$1:$F$135,2,FALSE)</f>
        <v>1, 9, 14</v>
      </c>
      <c r="M2897" s="52" t="str">
        <f>VLOOKUP(Tabla3[[#This Row],[Site]],'Important Info!'!$A$1:$F$135,3,FALSE)</f>
        <v>-</v>
      </c>
      <c r="N2897" s="52" t="str">
        <f>VLOOKUP(Tabla3[[#This Row],[Site]],'Important Info!'!$A$1:$F$135,4,FALSE)</f>
        <v>77, 78, 79, 80</v>
      </c>
      <c r="O2897" s="52" t="str">
        <f>VLOOKUP(Tabla3[[#This Row],[Site]],'Important Info!'!$A$1:$F$135,5,FALSE)</f>
        <v>2, 10, 18, 22, 31, 40</v>
      </c>
      <c r="P2897" s="52">
        <f>VLOOKUP(Tabla3[[#This Row],[Site]],'Important Info!'!$A$1:$F$135,6,FALSE)</f>
        <v>9</v>
      </c>
      <c r="Q2897" s="91">
        <f>VLOOKUP(Tabla3[[#This Row],[Site]],'Important Info!'!$A$1:$J$135,9,FALSE)</f>
        <v>169</v>
      </c>
    </row>
    <row r="2898" spans="1:17" x14ac:dyDescent="0.25">
      <c r="A2898" t="str">
        <f>+Tabla3[[#This Row],[Site]]&amp;Tabla3[[#This Row],[Split]]</f>
        <v>(DT) Denver (NO TOURS)28</v>
      </c>
      <c r="B2898">
        <v>28</v>
      </c>
      <c r="C2898">
        <v>28</v>
      </c>
      <c r="D2898" t="s">
        <v>44</v>
      </c>
      <c r="E2898" t="s">
        <v>53</v>
      </c>
      <c r="F2898" t="s">
        <v>157</v>
      </c>
      <c r="G2898" t="s">
        <v>45</v>
      </c>
      <c r="H2898" s="52" t="str">
        <f>VLOOKUP(Tabla3[[#This Row],[Site]],'Important Info!'!$A$1:$J$135,10,FALSE)</f>
        <v>https://tools.sig.systems/site/details/203</v>
      </c>
      <c r="I2898" s="2" t="s">
        <v>158</v>
      </c>
      <c r="J2898" t="s">
        <v>41</v>
      </c>
      <c r="K2898" s="79" t="str">
        <f>VLOOKUP(Tabla3[[#This Row],[Site]],'Important Info!'!$A$1:$H$135,8,FALSE)</f>
        <v>-</v>
      </c>
      <c r="L2898" s="52" t="str">
        <f>VLOOKUP(Tabla3[[#This Row],[Site]],'Important Info!'!$A$1:$F$135,2,FALSE)</f>
        <v>-</v>
      </c>
      <c r="M2898" s="52" t="str">
        <f>VLOOKUP(Tabla3[[#This Row],[Site]],'Important Info!'!$A$1:$F$135,3,FALSE)</f>
        <v>7, 8</v>
      </c>
      <c r="N2898" s="52" t="str">
        <f>VLOOKUP(Tabla3[[#This Row],[Site]],'Important Info!'!$A$1:$F$135,4,FALSE)</f>
        <v>-</v>
      </c>
      <c r="O2898" s="52" t="str">
        <f>VLOOKUP(Tabla3[[#This Row],[Site]],'Important Info!'!$A$1:$F$135,5,FALSE)</f>
        <v>-</v>
      </c>
      <c r="P2898" s="52" t="str">
        <f>VLOOKUP(Tabla3[[#This Row],[Site]],'Important Info!'!$A$1:$F$135,6,FALSE)</f>
        <v>7, 8</v>
      </c>
      <c r="Q2898" s="91">
        <f>VLOOKUP(Tabla3[[#This Row],[Site]],'Important Info!'!$A$1:$J$135,9,FALSE)</f>
        <v>203</v>
      </c>
    </row>
    <row r="2899" spans="1:17" x14ac:dyDescent="0.25">
      <c r="A2899" t="str">
        <f>+Tabla3[[#This Row],[Site]]&amp;Tabla3[[#This Row],[Split]]</f>
        <v>(HUD) Paint and Body Center (NO TOURS)28</v>
      </c>
      <c r="B2899">
        <v>28</v>
      </c>
      <c r="C2899">
        <v>28</v>
      </c>
      <c r="D2899" t="s">
        <v>62</v>
      </c>
      <c r="E2899" t="s">
        <v>35</v>
      </c>
      <c r="F2899" t="s">
        <v>110</v>
      </c>
      <c r="G2899" t="s">
        <v>490</v>
      </c>
      <c r="H2899" s="52" t="str">
        <f>VLOOKUP(Tabla3[[#This Row],[Site]],'Important Info!'!$A$1:$J$135,10,FALSE)</f>
        <v>https://tools.sig.systems/site/details/256</v>
      </c>
      <c r="I2899" t="s">
        <v>184</v>
      </c>
      <c r="J2899" t="s">
        <v>41</v>
      </c>
      <c r="K2899" s="79" t="str">
        <f>VLOOKUP(Tabla3[[#This Row],[Site]],'Important Info!'!$A$1:$H$135,8,FALSE)</f>
        <v>-</v>
      </c>
      <c r="L2899" s="52" t="str">
        <f>VLOOKUP(Tabla3[[#This Row],[Site]],'Important Info!'!$A$1:$F$135,2,FALSE)</f>
        <v>-</v>
      </c>
      <c r="M2899" s="52">
        <f>VLOOKUP(Tabla3[[#This Row],[Site]],'Important Info!'!$A$1:$F$135,3,FALSE)</f>
        <v>1</v>
      </c>
      <c r="N2899" s="52" t="str">
        <f>VLOOKUP(Tabla3[[#This Row],[Site]],'Important Info!'!$A$1:$F$135,4,FALSE)</f>
        <v>-</v>
      </c>
      <c r="O2899" s="52" t="str">
        <f>VLOOKUP(Tabla3[[#This Row],[Site]],'Important Info!'!$A$1:$F$135,5,FALSE)</f>
        <v>-</v>
      </c>
      <c r="P2899" s="52" t="str">
        <f>VLOOKUP(Tabla3[[#This Row],[Site]],'Important Info!'!$A$1:$F$135,6,FALSE)</f>
        <v>-</v>
      </c>
      <c r="Q2899" s="91">
        <f>VLOOKUP(Tabla3[[#This Row],[Site]],'Important Info!'!$A$1:$J$135,9,FALSE)</f>
        <v>256</v>
      </c>
    </row>
    <row r="2900" spans="1:17" x14ac:dyDescent="0.25">
      <c r="A2900" t="str">
        <f>+Tabla3[[#This Row],[Site]]&amp;Tabla3[[#This Row],[Split]]</f>
        <v>(JE) Jim Ellis Ford Sandy Springs28</v>
      </c>
      <c r="B2900">
        <v>28</v>
      </c>
      <c r="C2900">
        <v>28</v>
      </c>
      <c r="D2900" t="s">
        <v>62</v>
      </c>
      <c r="E2900" t="s">
        <v>35</v>
      </c>
      <c r="F2900" t="s">
        <v>187</v>
      </c>
      <c r="G2900" t="s">
        <v>490</v>
      </c>
      <c r="H2900" s="52" t="str">
        <f>VLOOKUP(Tabla3[[#This Row],[Site]],'Important Info!'!$A$1:$J$135,10,FALSE)</f>
        <v>https://tools.sig.systems/site/details/142</v>
      </c>
      <c r="I2900" s="2"/>
      <c r="J2900" t="s">
        <v>41</v>
      </c>
      <c r="K2900" s="79" t="str">
        <f>VLOOKUP(Tabla3[[#This Row],[Site]],'Important Info!'!$A$1:$H$135,8,FALSE)</f>
        <v>-</v>
      </c>
      <c r="L2900" s="52" t="str">
        <f>VLOOKUP(Tabla3[[#This Row],[Site]],'Important Info!'!$A$1:$F$135,2,FALSE)</f>
        <v>1, 5</v>
      </c>
      <c r="M2900" s="52" t="str">
        <f>VLOOKUP(Tabla3[[#This Row],[Site]],'Important Info!'!$A$1:$F$135,3,FALSE)</f>
        <v>-</v>
      </c>
      <c r="N2900" s="52" t="str">
        <f>VLOOKUP(Tabla3[[#This Row],[Site]],'Important Info!'!$A$1:$F$135,4,FALSE)</f>
        <v>-</v>
      </c>
      <c r="O2900" s="52" t="str">
        <f>VLOOKUP(Tabla3[[#This Row],[Site]],'Important Info!'!$A$1:$F$135,5,FALSE)</f>
        <v>1, 5, 9, 26</v>
      </c>
      <c r="P2900" s="52" t="str">
        <f>VLOOKUP(Tabla3[[#This Row],[Site]],'Important Info!'!$A$1:$F$135,6,FALSE)</f>
        <v>3, 4, 8, 28</v>
      </c>
      <c r="Q2900" s="91">
        <f>VLOOKUP(Tabla3[[#This Row],[Site]],'Important Info!'!$A$1:$J$135,9,FALSE)</f>
        <v>142</v>
      </c>
    </row>
    <row r="2901" spans="1:17" x14ac:dyDescent="0.25">
      <c r="A2901" t="str">
        <f>+Tabla3[[#This Row],[Site]]&amp;Tabla3[[#This Row],[Split]]</f>
        <v>(RML) Burleson Nissan28</v>
      </c>
      <c r="B2901">
        <v>28</v>
      </c>
      <c r="C2901">
        <v>28</v>
      </c>
      <c r="D2901" t="s">
        <v>33</v>
      </c>
      <c r="E2901" t="s">
        <v>46</v>
      </c>
      <c r="F2901" t="s">
        <v>107</v>
      </c>
      <c r="G2901" t="s">
        <v>34</v>
      </c>
      <c r="H2901" s="52" t="str">
        <f>VLOOKUP(Tabla3[[#This Row],[Site]],'Important Info!'!$A$1:$J$135,10,FALSE)</f>
        <v>https://tools.sig.systems/site/details/202</v>
      </c>
      <c r="J2901" t="s">
        <v>41</v>
      </c>
      <c r="K2901" s="79" t="str">
        <f>VLOOKUP(Tabla3[[#This Row],[Site]],'Important Info!'!$A$1:$H$135,8,FALSE)</f>
        <v>-</v>
      </c>
      <c r="L2901" s="52" t="str">
        <f>VLOOKUP(Tabla3[[#This Row],[Site]],'Important Info!'!$A$1:$F$135,2,FALSE)</f>
        <v>3, 21</v>
      </c>
      <c r="M2901" s="52" t="str">
        <f>VLOOKUP(Tabla3[[#This Row],[Site]],'Important Info!'!$A$1:$F$135,3,FALSE)</f>
        <v>-</v>
      </c>
      <c r="N2901" s="52" t="str">
        <f>VLOOKUP(Tabla3[[#This Row],[Site]],'Important Info!'!$A$1:$F$135,4,FALSE)</f>
        <v>-</v>
      </c>
      <c r="O2901" s="52" t="str">
        <f>VLOOKUP(Tabla3[[#This Row],[Site]],'Important Info!'!$A$1:$F$135,5,FALSE)</f>
        <v>2, 6, 15</v>
      </c>
      <c r="P2901" s="52" t="str">
        <f>VLOOKUP(Tabla3[[#This Row],[Site]],'Important Info!'!$A$1:$F$135,6,FALSE)</f>
        <v>-</v>
      </c>
      <c r="Q2901" s="91">
        <f>VLOOKUP(Tabla3[[#This Row],[Site]],'Important Info!'!$A$1:$J$135,9,FALSE)</f>
        <v>202</v>
      </c>
    </row>
    <row r="2902" spans="1:17" x14ac:dyDescent="0.25">
      <c r="A2902" t="str">
        <f>+Tabla3[[#This Row],[Site]]&amp;Tabla3[[#This Row],[Split]]</f>
        <v>(AS) Park Place Bodywerks Ft. Worth (NO TOURS)29</v>
      </c>
      <c r="B2902">
        <v>29</v>
      </c>
      <c r="C2902">
        <v>1</v>
      </c>
      <c r="D2902" t="s">
        <v>33</v>
      </c>
      <c r="E2902" t="s">
        <v>46</v>
      </c>
      <c r="F2902" t="s">
        <v>515</v>
      </c>
      <c r="G2902" t="s">
        <v>34</v>
      </c>
      <c r="H2902" s="52" t="str">
        <f>VLOOKUP(Tabla3[[#This Row],[Site]],'Important Info!'!$A$1:$J$135,10,FALSE)</f>
        <v>https://tools.sig.systems/site/details/134</v>
      </c>
      <c r="I2902" s="8" t="s">
        <v>128</v>
      </c>
      <c r="J2902" t="s">
        <v>41</v>
      </c>
      <c r="K2902" s="79" t="str">
        <f>VLOOKUP(Tabla3[[#This Row],[Site]],'Important Info!'!$A$1:$H$135,8,FALSE)</f>
        <v>-</v>
      </c>
      <c r="L2902" s="52" t="str">
        <f>VLOOKUP(Tabla3[[#This Row],[Site]],'Important Info!'!$A$1:$F$135,2,FALSE)</f>
        <v>2, 3, RemoteLot5, RemoteLot9</v>
      </c>
      <c r="M2902" s="52" t="str">
        <f>VLOOKUP(Tabla3[[#This Row],[Site]],'Important Info!'!$A$1:$F$135,3,FALSE)</f>
        <v>-</v>
      </c>
      <c r="N2902" s="52" t="str">
        <f>VLOOKUP(Tabla3[[#This Row],[Site]],'Important Info!'!$A$1:$F$135,4,FALSE)</f>
        <v>-</v>
      </c>
      <c r="O2902" s="52" t="str">
        <f>VLOOKUP(Tabla3[[#This Row],[Site]],'Important Info!'!$A$1:$F$135,5,FALSE)</f>
        <v>1, 7, RL1, RL5, RL9</v>
      </c>
      <c r="P2902" s="52" t="str">
        <f>VLOOKUP(Tabla3[[#This Row],[Site]],'Important Info!'!$A$1:$F$135,6,FALSE)</f>
        <v>3, 4, 15</v>
      </c>
      <c r="Q2902" s="91">
        <f>VLOOKUP(Tabla3[[#This Row],[Site]],'Important Info!'!$A$1:$J$135,9,FALSE)</f>
        <v>134</v>
      </c>
    </row>
    <row r="2903" spans="1:17" x14ac:dyDescent="0.25">
      <c r="A2903" t="str">
        <f>+Tabla3[[#This Row],[Site]]&amp;Tabla3[[#This Row],[Split]]</f>
        <v>(AS) Park Place Volvo Service Center (NO TOURS)29</v>
      </c>
      <c r="B2903">
        <v>29</v>
      </c>
      <c r="C2903">
        <v>1</v>
      </c>
      <c r="D2903" t="s">
        <v>33</v>
      </c>
      <c r="E2903" t="s">
        <v>46</v>
      </c>
      <c r="F2903" t="s">
        <v>522</v>
      </c>
      <c r="G2903" t="s">
        <v>34</v>
      </c>
      <c r="H2903" s="52" t="str">
        <f>VLOOKUP(Tabla3[[#This Row],[Site]],'Important Info!'!$A$1:$J$135,10,FALSE)</f>
        <v>https://tools.sig.systems/site/details/171</v>
      </c>
      <c r="I2903" s="65" t="s">
        <v>125</v>
      </c>
      <c r="J2903" t="s">
        <v>41</v>
      </c>
      <c r="K2903" s="79" t="str">
        <f>VLOOKUP(Tabla3[[#This Row],[Site]],'Important Info!'!$A$1:$H$135,8,FALSE)</f>
        <v>-</v>
      </c>
      <c r="L2903" s="52" t="str">
        <f>VLOOKUP(Tabla3[[#This Row],[Site]],'Important Info!'!$A$1:$F$135,2,FALSE)</f>
        <v>3, 6, 9, 27, 31, 35</v>
      </c>
      <c r="M2903" s="52" t="str">
        <f>VLOOKUP(Tabla3[[#This Row],[Site]],'Important Info!'!$A$1:$F$135,3,FALSE)</f>
        <v>-</v>
      </c>
      <c r="N2903" s="52" t="str">
        <f>VLOOKUP(Tabla3[[#This Row],[Site]],'Important Info!'!$A$1:$F$135,4,FALSE)</f>
        <v>-</v>
      </c>
      <c r="O2903" s="52" t="str">
        <f>VLOOKUP(Tabla3[[#This Row],[Site]],'Important Info!'!$A$1:$F$135,5,FALSE)</f>
        <v>27, 32</v>
      </c>
      <c r="P2903" s="52" t="str">
        <f>VLOOKUP(Tabla3[[#This Row],[Site]],'Important Info!'!$A$1:$F$135,6,FALSE)</f>
        <v>-</v>
      </c>
      <c r="Q2903" s="91">
        <f>VLOOKUP(Tabla3[[#This Row],[Site]],'Important Info!'!$A$1:$J$135,9,FALSE)</f>
        <v>171</v>
      </c>
    </row>
    <row r="2904" spans="1:17" x14ac:dyDescent="0.25">
      <c r="A2904" t="str">
        <f>+Tabla3[[#This Row],[Site]]&amp;Tabla3[[#This Row],[Split]]</f>
        <v>(ML) Nissan Of Benton29</v>
      </c>
      <c r="B2904">
        <v>29</v>
      </c>
      <c r="C2904">
        <v>1</v>
      </c>
      <c r="D2904" t="s">
        <v>33</v>
      </c>
      <c r="E2904" t="s">
        <v>46</v>
      </c>
      <c r="F2904" t="s">
        <v>120</v>
      </c>
      <c r="G2904" t="s">
        <v>34</v>
      </c>
      <c r="H2904" s="52" t="str">
        <f>VLOOKUP(Tabla3[[#This Row],[Site]],'Important Info!'!$A$1:$J$135,10,FALSE)</f>
        <v>https://tools.sig.systems/site/details/247</v>
      </c>
      <c r="I2904" s="43"/>
      <c r="J2904" t="s">
        <v>41</v>
      </c>
      <c r="K2904" s="79" t="str">
        <f>VLOOKUP(Tabla3[[#This Row],[Site]],'Important Info!'!$A$1:$H$135,8,FALSE)</f>
        <v>-</v>
      </c>
      <c r="L2904" s="52" t="str">
        <f>VLOOKUP(Tabla3[[#This Row],[Site]],'Important Info!'!$A$1:$F$135,2,FALSE)</f>
        <v>5, 12</v>
      </c>
      <c r="M2904" s="52" t="str">
        <f>VLOOKUP(Tabla3[[#This Row],[Site]],'Important Info!'!$A$1:$F$135,3,FALSE)</f>
        <v>-</v>
      </c>
      <c r="N2904" s="52" t="str">
        <f>VLOOKUP(Tabla3[[#This Row],[Site]],'Important Info!'!$A$1:$F$135,4,FALSE)</f>
        <v>-</v>
      </c>
      <c r="O2904" s="52" t="str">
        <f>VLOOKUP(Tabla3[[#This Row],[Site]],'Important Info!'!$A$1:$F$135,5,FALSE)</f>
        <v>4, 18</v>
      </c>
      <c r="P2904" s="52" t="str">
        <f>VLOOKUP(Tabla3[[#This Row],[Site]],'Important Info!'!$A$1:$F$135,6,FALSE)</f>
        <v>-</v>
      </c>
      <c r="Q2904" s="91">
        <f>VLOOKUP(Tabla3[[#This Row],[Site]],'Important Info!'!$A$1:$J$135,9,FALSE)</f>
        <v>247</v>
      </c>
    </row>
    <row r="2905" spans="1:17" x14ac:dyDescent="0.25">
      <c r="A2905" t="str">
        <f>+Tabla3[[#This Row],[Site]]&amp;Tabla3[[#This Row],[Split]]</f>
        <v>(PE) Scofield Service Center (NO TOURS)29</v>
      </c>
      <c r="B2905">
        <v>29</v>
      </c>
      <c r="C2905">
        <v>1</v>
      </c>
      <c r="D2905" t="s">
        <v>485</v>
      </c>
      <c r="E2905" t="s">
        <v>35</v>
      </c>
      <c r="F2905" t="s">
        <v>83</v>
      </c>
      <c r="G2905" t="s">
        <v>490</v>
      </c>
      <c r="H2905" s="52" t="str">
        <f>VLOOKUP(Tabla3[[#This Row],[Site]],'Important Info!'!$A$1:$J$135,10,FALSE)</f>
        <v>https://tools.sig.systems/site/details/193</v>
      </c>
      <c r="I2905" t="s">
        <v>177</v>
      </c>
      <c r="J2905" t="s">
        <v>41</v>
      </c>
      <c r="K2905" s="79" t="str">
        <f>VLOOKUP(Tabla3[[#This Row],[Site]],'Important Info!'!$A$1:$H$135,8,FALSE)</f>
        <v>-</v>
      </c>
      <c r="L2905" s="52">
        <f>VLOOKUP(Tabla3[[#This Row],[Site]],'Important Info!'!$A$1:$F$135,2,FALSE)</f>
        <v>1</v>
      </c>
      <c r="M2905" s="52" t="str">
        <f>VLOOKUP(Tabla3[[#This Row],[Site]],'Important Info!'!$A$1:$F$135,3,FALSE)</f>
        <v>-</v>
      </c>
      <c r="N2905" s="52" t="str">
        <f>VLOOKUP(Tabla3[[#This Row],[Site]],'Important Info!'!$A$1:$F$135,4,FALSE)</f>
        <v>-</v>
      </c>
      <c r="O2905" s="52">
        <f>VLOOKUP(Tabla3[[#This Row],[Site]],'Important Info!'!$A$1:$F$135,5,FALSE)</f>
        <v>9</v>
      </c>
      <c r="P2905" s="52" t="str">
        <f>VLOOKUP(Tabla3[[#This Row],[Site]],'Important Info!'!$A$1:$F$135,6,FALSE)</f>
        <v>1, 17</v>
      </c>
      <c r="Q2905" s="91">
        <f>VLOOKUP(Tabla3[[#This Row],[Site]],'Important Info!'!$A$1:$J$135,9,FALSE)</f>
        <v>193</v>
      </c>
    </row>
    <row r="2906" spans="1:17" x14ac:dyDescent="0.25">
      <c r="A2906" t="str">
        <f>+Tabla3[[#This Row],[Site]]&amp;Tabla3[[#This Row],[Split]]</f>
        <v>(RV) Toms Camperland Avondale (NO TOURS)29</v>
      </c>
      <c r="B2906">
        <v>29</v>
      </c>
      <c r="C2906">
        <v>1</v>
      </c>
      <c r="D2906" t="s">
        <v>51</v>
      </c>
      <c r="E2906" t="s">
        <v>161</v>
      </c>
      <c r="F2906" t="s">
        <v>80</v>
      </c>
      <c r="G2906" t="s">
        <v>52</v>
      </c>
      <c r="H2906" s="52" t="str">
        <f>VLOOKUP(Tabla3[[#This Row],[Site]],'Important Info!'!$A$1:$J$135,10,FALSE)</f>
        <v>https://tools.sig.systems/site/details/248</v>
      </c>
      <c r="I2906" s="2" t="s">
        <v>163</v>
      </c>
      <c r="J2906" t="s">
        <v>164</v>
      </c>
      <c r="K2906" s="79" t="str">
        <f>VLOOKUP(Tabla3[[#This Row],[Site]],'Important Info!'!$A$1:$H$135,8,FALSE)</f>
        <v>-</v>
      </c>
      <c r="L2906" s="52">
        <f>VLOOKUP(Tabla3[[#This Row],[Site]],'Important Info!'!$A$1:$F$135,2,FALSE)</f>
        <v>10</v>
      </c>
      <c r="M2906" s="52" t="str">
        <f>VLOOKUP(Tabla3[[#This Row],[Site]],'Important Info!'!$A$1:$F$135,3,FALSE)</f>
        <v>2, 7</v>
      </c>
      <c r="N2906" s="52" t="str">
        <f>VLOOKUP(Tabla3[[#This Row],[Site]],'Important Info!'!$A$1:$F$135,4,FALSE)</f>
        <v>-</v>
      </c>
      <c r="O2906" s="52" t="str">
        <f>VLOOKUP(Tabla3[[#This Row],[Site]],'Important Info!'!$A$1:$F$135,5,FALSE)</f>
        <v>-</v>
      </c>
      <c r="P2906" s="52" t="str">
        <f>VLOOKUP(Tabla3[[#This Row],[Site]],'Important Info!'!$A$1:$F$135,6,FALSE)</f>
        <v>2, 7, 8, 13, 15</v>
      </c>
      <c r="Q2906" s="91">
        <f>VLOOKUP(Tabla3[[#This Row],[Site]],'Important Info!'!$A$1:$J$135,9,FALSE)</f>
        <v>248</v>
      </c>
    </row>
    <row r="2907" spans="1:17" x14ac:dyDescent="0.25">
      <c r="A2907" t="str">
        <f>+Tabla3[[#This Row],[Site]]&amp;Tabla3[[#This Row],[Split]]</f>
        <v>(HUD) CDJR of Greensboro29</v>
      </c>
      <c r="B2907">
        <v>29</v>
      </c>
      <c r="C2907">
        <v>2</v>
      </c>
      <c r="D2907" t="s">
        <v>62</v>
      </c>
      <c r="E2907" t="s">
        <v>35</v>
      </c>
      <c r="F2907" t="s">
        <v>185</v>
      </c>
      <c r="G2907" t="s">
        <v>491</v>
      </c>
      <c r="H2907" s="52" t="str">
        <f>VLOOKUP(Tabla3[[#This Row],[Site]],'Important Info!'!$A$1:$J$135,10,FALSE)</f>
        <v>https://tools.sig.systems/site/details/215</v>
      </c>
      <c r="I2907" s="2" t="s">
        <v>184</v>
      </c>
      <c r="J2907" t="s">
        <v>36</v>
      </c>
      <c r="K2907" s="79" t="str">
        <f>VLOOKUP(Tabla3[[#This Row],[Site]],'Important Info!'!$A$1:$H$135,8,FALSE)</f>
        <v>-</v>
      </c>
      <c r="L2907" s="52" t="str">
        <f>VLOOKUP(Tabla3[[#This Row],[Site]],'Important Info!'!$A$1:$F$135,2,FALSE)</f>
        <v>2, 12</v>
      </c>
      <c r="M2907" s="52" t="str">
        <f>VLOOKUP(Tabla3[[#This Row],[Site]],'Important Info!'!$A$1:$F$135,3,FALSE)</f>
        <v>-</v>
      </c>
      <c r="N2907" s="52" t="str">
        <f>VLOOKUP(Tabla3[[#This Row],[Site]],'Important Info!'!$A$1:$F$135,4,FALSE)</f>
        <v>-</v>
      </c>
      <c r="O2907" s="52" t="str">
        <f>VLOOKUP(Tabla3[[#This Row],[Site]],'Important Info!'!$A$1:$F$135,5,FALSE)</f>
        <v>3, 13</v>
      </c>
      <c r="P2907" s="52" t="str">
        <f>VLOOKUP(Tabla3[[#This Row],[Site]],'Important Info!'!$A$1:$F$135,6,FALSE)</f>
        <v>1, 17</v>
      </c>
      <c r="Q2907" s="91">
        <f>VLOOKUP(Tabla3[[#This Row],[Site]],'Important Info!'!$A$1:$J$135,9,FALSE)</f>
        <v>215</v>
      </c>
    </row>
    <row r="2908" spans="1:17" x14ac:dyDescent="0.25">
      <c r="A2908" t="str">
        <f>+Tabla3[[#This Row],[Site]]&amp;Tabla3[[#This Row],[Split]]</f>
        <v>(KG) Texan CDJR29</v>
      </c>
      <c r="B2908">
        <v>29</v>
      </c>
      <c r="C2908">
        <v>2</v>
      </c>
      <c r="D2908" t="s">
        <v>33</v>
      </c>
      <c r="E2908" t="s">
        <v>46</v>
      </c>
      <c r="F2908" t="s">
        <v>70</v>
      </c>
      <c r="G2908" t="s">
        <v>34</v>
      </c>
      <c r="H2908" s="52" t="str">
        <f>VLOOKUP(Tabla3[[#This Row],[Site]],'Important Info!'!$A$1:$J$135,10,FALSE)</f>
        <v>https://tools.sig.systems/site/details/238</v>
      </c>
      <c r="I2908" s="2" t="s">
        <v>137</v>
      </c>
      <c r="J2908" t="s">
        <v>41</v>
      </c>
      <c r="K2908" s="79" t="str">
        <f>VLOOKUP(Tabla3[[#This Row],[Site]],'Important Info!'!$A$1:$H$135,8,FALSE)</f>
        <v>-</v>
      </c>
      <c r="L2908" s="52" t="str">
        <f>VLOOKUP(Tabla3[[#This Row],[Site]],'Important Info!'!$A$1:$F$135,2,FALSE)</f>
        <v>11, 12, 13, 14, 20, 32, 34, 36, 77</v>
      </c>
      <c r="M2908" s="52" t="str">
        <f>VLOOKUP(Tabla3[[#This Row],[Site]],'Important Info!'!$A$1:$F$135,3,FALSE)</f>
        <v>-</v>
      </c>
      <c r="N2908" s="52" t="str">
        <f>VLOOKUP(Tabla3[[#This Row],[Site]],'Important Info!'!$A$1:$F$135,4,FALSE)</f>
        <v>67, 68, 69, 70</v>
      </c>
      <c r="O2908" s="52" t="str">
        <f>VLOOKUP(Tabla3[[#This Row],[Site]],'Important Info!'!$A$1:$F$135,5,FALSE)</f>
        <v>2, 10, 14, 25, 29, 35, 38</v>
      </c>
      <c r="P2908" s="52" t="str">
        <f>VLOOKUP(Tabla3[[#This Row],[Site]],'Important Info!'!$A$1:$F$135,6,FALSE)</f>
        <v>36, 46</v>
      </c>
      <c r="Q2908" s="91">
        <f>VLOOKUP(Tabla3[[#This Row],[Site]],'Important Info!'!$A$1:$J$135,9,FALSE)</f>
        <v>238</v>
      </c>
    </row>
    <row r="2909" spans="1:17" x14ac:dyDescent="0.25">
      <c r="A2909" t="str">
        <f>+Tabla3[[#This Row],[Site]]&amp;Tabla3[[#This Row],[Split]]</f>
        <v>(ML) Columbia Honda (NO TOURS)29</v>
      </c>
      <c r="B2909">
        <v>29</v>
      </c>
      <c r="C2909">
        <v>2</v>
      </c>
      <c r="D2909" t="s">
        <v>33</v>
      </c>
      <c r="E2909" t="s">
        <v>46</v>
      </c>
      <c r="F2909" t="s">
        <v>143</v>
      </c>
      <c r="G2909" t="s">
        <v>34</v>
      </c>
      <c r="H2909" s="52" t="str">
        <f>VLOOKUP(Tabla3[[#This Row],[Site]],'Important Info!'!$A$1:$J$135,10,FALSE)</f>
        <v>https://tools.sig.systems/site/details/272</v>
      </c>
      <c r="I2909" s="2" t="s">
        <v>144</v>
      </c>
      <c r="J2909" t="s">
        <v>41</v>
      </c>
      <c r="K2909" s="79" t="str">
        <f>VLOOKUP(Tabla3[[#This Row],[Site]],'Important Info!'!$A$1:$H$135,8,FALSE)</f>
        <v>-</v>
      </c>
      <c r="L2909" s="52" t="str">
        <f>VLOOKUP(Tabla3[[#This Row],[Site]],'Important Info!'!$A$1:$F$135,2,FALSE)</f>
        <v>-</v>
      </c>
      <c r="M2909" s="52" t="str">
        <f>VLOOKUP(Tabla3[[#This Row],[Site]],'Important Info!'!$A$1:$F$135,3,FALSE)</f>
        <v>9, 19, 20</v>
      </c>
      <c r="N2909" s="52" t="str">
        <f>VLOOKUP(Tabla3[[#This Row],[Site]],'Important Info!'!$A$1:$F$135,4,FALSE)</f>
        <v>-</v>
      </c>
      <c r="O2909" s="52" t="str">
        <f>VLOOKUP(Tabla3[[#This Row],[Site]],'Important Info!'!$A$1:$F$135,5,FALSE)</f>
        <v>10, 17, 19</v>
      </c>
      <c r="P2909" s="52" t="str">
        <f>VLOOKUP(Tabla3[[#This Row],[Site]],'Important Info!'!$A$1:$F$135,6,FALSE)</f>
        <v>3, 4, 5</v>
      </c>
      <c r="Q2909" s="91">
        <f>VLOOKUP(Tabla3[[#This Row],[Site]],'Important Info!'!$A$1:$J$135,9,FALSE)</f>
        <v>272</v>
      </c>
    </row>
    <row r="2910" spans="1:17" x14ac:dyDescent="0.25">
      <c r="A2910" t="str">
        <f>+Tabla3[[#This Row],[Site]]&amp;Tabla3[[#This Row],[Split]]</f>
        <v>(KG) Texan GMC Buick (NO TOURS)29</v>
      </c>
      <c r="B2910">
        <v>29</v>
      </c>
      <c r="C2910">
        <v>3</v>
      </c>
      <c r="D2910" t="s">
        <v>33</v>
      </c>
      <c r="E2910" t="s">
        <v>46</v>
      </c>
      <c r="F2910" t="s">
        <v>111</v>
      </c>
      <c r="G2910" t="s">
        <v>34</v>
      </c>
      <c r="H2910" s="52" t="str">
        <f>VLOOKUP(Tabla3[[#This Row],[Site]],'Important Info!'!$A$1:$J$135,10,FALSE)</f>
        <v>https://tools.sig.systems/site/details/225</v>
      </c>
      <c r="I2910" s="43" t="s">
        <v>137</v>
      </c>
      <c r="J2910" t="s">
        <v>41</v>
      </c>
      <c r="K2910" s="79" t="str">
        <f>VLOOKUP(Tabla3[[#This Row],[Site]],'Important Info!'!$A$1:$H$135,8,FALSE)</f>
        <v>-</v>
      </c>
      <c r="L2910" s="52" t="str">
        <f>VLOOKUP(Tabla3[[#This Row],[Site]],'Important Info!'!$A$1:$F$135,2,FALSE)</f>
        <v>1, 20, 53</v>
      </c>
      <c r="M2910" s="52" t="str">
        <f>VLOOKUP(Tabla3[[#This Row],[Site]],'Important Info!'!$A$1:$F$135,3,FALSE)</f>
        <v>-</v>
      </c>
      <c r="N2910" s="52" t="str">
        <f>VLOOKUP(Tabla3[[#This Row],[Site]],'Important Info!'!$A$1:$F$135,4,FALSE)</f>
        <v>-</v>
      </c>
      <c r="O2910" s="52" t="str">
        <f>VLOOKUP(Tabla3[[#This Row],[Site]],'Important Info!'!$A$1:$F$135,5,FALSE)</f>
        <v>2, 8, 14</v>
      </c>
      <c r="P2910" s="52" t="str">
        <f>VLOOKUP(Tabla3[[#This Row],[Site]],'Important Info!'!$A$1:$F$135,6,FALSE)</f>
        <v>51, 52, 16</v>
      </c>
      <c r="Q2910" s="91">
        <f>VLOOKUP(Tabla3[[#This Row],[Site]],'Important Info!'!$A$1:$J$135,9,FALSE)</f>
        <v>225</v>
      </c>
    </row>
    <row r="2911" spans="1:17" x14ac:dyDescent="0.25">
      <c r="A2911" t="str">
        <f>+Tabla3[[#This Row],[Site]]&amp;Tabla3[[#This Row],[Split]]</f>
        <v>(LM) Luther Mazda / Mitsubishi29</v>
      </c>
      <c r="B2911">
        <v>29</v>
      </c>
      <c r="C2911">
        <v>3</v>
      </c>
      <c r="D2911" t="s">
        <v>33</v>
      </c>
      <c r="E2911" t="s">
        <v>46</v>
      </c>
      <c r="F2911" t="s">
        <v>103</v>
      </c>
      <c r="G2911" t="s">
        <v>34</v>
      </c>
      <c r="H2911" s="52" t="str">
        <f>VLOOKUP(Tabla3[[#This Row],[Site]],'Important Info!'!$A$1:$J$135,10,FALSE)</f>
        <v>https://tools.sig.systems/site/details/147</v>
      </c>
      <c r="I2911" s="43" t="s">
        <v>138</v>
      </c>
      <c r="J2911" t="s">
        <v>41</v>
      </c>
      <c r="K2911" s="79" t="str">
        <f>VLOOKUP(Tabla3[[#This Row],[Site]],'Important Info!'!$A$1:$H$135,8,FALSE)</f>
        <v>-</v>
      </c>
      <c r="L2911" s="52" t="str">
        <f>VLOOKUP(Tabla3[[#This Row],[Site]],'Important Info!'!$A$1:$F$135,2,FALSE)</f>
        <v>4, 5, 6</v>
      </c>
      <c r="M2911" s="52" t="str">
        <f>VLOOKUP(Tabla3[[#This Row],[Site]],'Important Info!'!$A$1:$F$135,3,FALSE)</f>
        <v>-</v>
      </c>
      <c r="N2911" s="52" t="str">
        <f>VLOOKUP(Tabla3[[#This Row],[Site]],'Important Info!'!$A$1:$F$135,4,FALSE)</f>
        <v>1, 2</v>
      </c>
      <c r="O2911" s="52" t="str">
        <f>VLOOKUP(Tabla3[[#This Row],[Site]],'Important Info!'!$A$1:$F$135,5,FALSE)</f>
        <v>-</v>
      </c>
      <c r="P2911" s="52" t="str">
        <f>VLOOKUP(Tabla3[[#This Row],[Site]],'Important Info!'!$A$1:$F$135,6,FALSE)</f>
        <v>13, 14, 15, 16</v>
      </c>
      <c r="Q2911" s="91">
        <f>VLOOKUP(Tabla3[[#This Row],[Site]],'Important Info!'!$A$1:$J$135,9,FALSE)</f>
        <v>147</v>
      </c>
    </row>
    <row r="2912" spans="1:17" x14ac:dyDescent="0.25">
      <c r="A2912" t="str">
        <f>+Tabla3[[#This Row],[Site]]&amp;Tabla3[[#This Row],[Split]]</f>
        <v>(ML) Joe Machens CDJR29</v>
      </c>
      <c r="B2912">
        <v>29</v>
      </c>
      <c r="C2912">
        <v>3</v>
      </c>
      <c r="D2912" t="s">
        <v>33</v>
      </c>
      <c r="E2912" t="s">
        <v>46</v>
      </c>
      <c r="F2912" t="s">
        <v>88</v>
      </c>
      <c r="G2912" t="s">
        <v>34</v>
      </c>
      <c r="H2912" s="52" t="str">
        <f>VLOOKUP(Tabla3[[#This Row],[Site]],'Important Info!'!$A$1:$J$135,10,FALSE)</f>
        <v>https://tools.sig.systems/site/details/273</v>
      </c>
      <c r="I2912" s="43" t="s">
        <v>146</v>
      </c>
      <c r="J2912" t="s">
        <v>41</v>
      </c>
      <c r="K2912" s="79" t="str">
        <f>VLOOKUP(Tabla3[[#This Row],[Site]],'Important Info!'!$A$1:$H$135,8,FALSE)</f>
        <v>-</v>
      </c>
      <c r="L2912" s="52" t="str">
        <f>VLOOKUP(Tabla3[[#This Row],[Site]],'Important Info!'!$A$1:$F$135,2,FALSE)</f>
        <v>-</v>
      </c>
      <c r="M2912" s="52">
        <f>VLOOKUP(Tabla3[[#This Row],[Site]],'Important Info!'!$A$1:$F$135,3,FALSE)</f>
        <v>3</v>
      </c>
      <c r="N2912" s="52" t="str">
        <f>VLOOKUP(Tabla3[[#This Row],[Site]],'Important Info!'!$A$1:$F$135,4,FALSE)</f>
        <v>-</v>
      </c>
      <c r="O2912" s="52" t="str">
        <f>VLOOKUP(Tabla3[[#This Row],[Site]],'Important Info!'!$A$1:$F$135,5,FALSE)</f>
        <v>-</v>
      </c>
      <c r="P2912" s="52" t="str">
        <f>VLOOKUP(Tabla3[[#This Row],[Site]],'Important Info!'!$A$1:$F$135,6,FALSE)</f>
        <v>1, 2, 3,</v>
      </c>
      <c r="Q2912" s="91">
        <f>VLOOKUP(Tabla3[[#This Row],[Site]],'Important Info!'!$A$1:$J$135,9,FALSE)</f>
        <v>273</v>
      </c>
    </row>
    <row r="2913" spans="1:17" x14ac:dyDescent="0.25">
      <c r="A2913" t="str">
        <f>+Tabla3[[#This Row],[Site]]&amp;Tabla3[[#This Row],[Split]]</f>
        <v>(PE) BMW of Greenwich (NO TOURS)29</v>
      </c>
      <c r="B2913">
        <v>29</v>
      </c>
      <c r="C2913">
        <v>3</v>
      </c>
      <c r="D2913" t="s">
        <v>485</v>
      </c>
      <c r="E2913" t="s">
        <v>35</v>
      </c>
      <c r="F2913" t="s">
        <v>170</v>
      </c>
      <c r="G2913" t="s">
        <v>490</v>
      </c>
      <c r="H2913" s="52" t="str">
        <f>VLOOKUP(Tabla3[[#This Row],[Site]],'Important Info!'!$A$1:$J$135,10,FALSE)</f>
        <v>https://tools.sig.systems/site/details/186</v>
      </c>
      <c r="I2913" s="43" t="s">
        <v>171</v>
      </c>
      <c r="J2913" t="s">
        <v>41</v>
      </c>
      <c r="K2913" s="79" t="str">
        <f>VLOOKUP(Tabla3[[#This Row],[Site]],'Important Info!'!$A$1:$H$135,8,FALSE)</f>
        <v>-</v>
      </c>
      <c r="L2913" s="52" t="str">
        <f>VLOOKUP(Tabla3[[#This Row],[Site]],'Important Info!'!$A$1:$F$135,2,FALSE)</f>
        <v>1, 6, 15</v>
      </c>
      <c r="M2913" s="52" t="str">
        <f>VLOOKUP(Tabla3[[#This Row],[Site]],'Important Info!'!$A$1:$F$135,3,FALSE)</f>
        <v>-</v>
      </c>
      <c r="N2913" s="52" t="str">
        <f>VLOOKUP(Tabla3[[#This Row],[Site]],'Important Info!'!$A$1:$F$135,4,FALSE)</f>
        <v>-</v>
      </c>
      <c r="O2913" s="52" t="str">
        <f>VLOOKUP(Tabla3[[#This Row],[Site]],'Important Info!'!$A$1:$F$135,5,FALSE)</f>
        <v>-</v>
      </c>
      <c r="P2913" s="52">
        <f>VLOOKUP(Tabla3[[#This Row],[Site]],'Important Info!'!$A$1:$F$135,6,FALSE)</f>
        <v>12</v>
      </c>
      <c r="Q2913" s="91">
        <f>VLOOKUP(Tabla3[[#This Row],[Site]],'Important Info!'!$A$1:$J$135,9,FALSE)</f>
        <v>186</v>
      </c>
    </row>
    <row r="2914" spans="1:17" x14ac:dyDescent="0.25">
      <c r="A2914" t="str">
        <f>+Tabla3[[#This Row],[Site]]&amp;Tabla3[[#This Row],[Split]]</f>
        <v>(AS) Park Place Volvo Sales (NO TOURS)29</v>
      </c>
      <c r="B2914">
        <v>29</v>
      </c>
      <c r="C2914">
        <v>4</v>
      </c>
      <c r="D2914" t="s">
        <v>33</v>
      </c>
      <c r="E2914" t="s">
        <v>46</v>
      </c>
      <c r="F2914" t="s">
        <v>521</v>
      </c>
      <c r="G2914" t="s">
        <v>34</v>
      </c>
      <c r="H2914" s="52" t="str">
        <f>VLOOKUP(Tabla3[[#This Row],[Site]],'Important Info!'!$A$1:$J$135,10,FALSE)</f>
        <v>https://tools.sig.systems/site/details/139</v>
      </c>
      <c r="I2914" s="65" t="s">
        <v>125</v>
      </c>
      <c r="J2914" t="s">
        <v>41</v>
      </c>
      <c r="K2914" s="79" t="str">
        <f>VLOOKUP(Tabla3[[#This Row],[Site]],'Important Info!'!$A$1:$H$135,8,FALSE)</f>
        <v>-</v>
      </c>
      <c r="L2914" s="52" t="str">
        <f>VLOOKUP(Tabla3[[#This Row],[Site]],'Important Info!'!$A$1:$F$135,2,FALSE)</f>
        <v>4, 6, 9, 11</v>
      </c>
      <c r="M2914" s="52" t="str">
        <f>VLOOKUP(Tabla3[[#This Row],[Site]],'Important Info!'!$A$1:$F$135,3,FALSE)</f>
        <v>-</v>
      </c>
      <c r="N2914" s="52" t="str">
        <f>VLOOKUP(Tabla3[[#This Row],[Site]],'Important Info!'!$A$1:$F$135,4,FALSE)</f>
        <v>-</v>
      </c>
      <c r="O2914" s="52" t="str">
        <f>VLOOKUP(Tabla3[[#This Row],[Site]],'Important Info!'!$A$1:$F$135,5,FALSE)</f>
        <v>2, 9</v>
      </c>
      <c r="P2914" s="52" t="str">
        <f>VLOOKUP(Tabla3[[#This Row],[Site]],'Important Info!'!$A$1:$F$135,6,FALSE)</f>
        <v>4, 10, 11</v>
      </c>
      <c r="Q2914" s="91">
        <f>VLOOKUP(Tabla3[[#This Row],[Site]],'Important Info!'!$A$1:$J$135,9,FALSE)</f>
        <v>139</v>
      </c>
    </row>
    <row r="2915" spans="1:17" x14ac:dyDescent="0.25">
      <c r="A2915" t="str">
        <f>+Tabla3[[#This Row],[Site]]&amp;Tabla3[[#This Row],[Split]]</f>
        <v>(KG) Kia of Phoenix (NO TOURS)29</v>
      </c>
      <c r="B2915">
        <v>29</v>
      </c>
      <c r="C2915">
        <v>4</v>
      </c>
      <c r="D2915" t="s">
        <v>51</v>
      </c>
      <c r="E2915" t="s">
        <v>161</v>
      </c>
      <c r="F2915" t="s">
        <v>94</v>
      </c>
      <c r="G2915" t="s">
        <v>52</v>
      </c>
      <c r="H2915" s="52" t="str">
        <f>VLOOKUP(Tabla3[[#This Row],[Site]],'Important Info!'!$A$1:$J$135,10,FALSE)</f>
        <v>https://tools.sig.systems/site/details/262</v>
      </c>
      <c r="J2915" t="s">
        <v>162</v>
      </c>
      <c r="K2915" s="79" t="str">
        <f>VLOOKUP(Tabla3[[#This Row],[Site]],'Important Info!'!$A$1:$H$135,8,FALSE)</f>
        <v>-</v>
      </c>
      <c r="L2915" s="52" t="str">
        <f>VLOOKUP(Tabla3[[#This Row],[Site]],'Important Info!'!$A$1:$F$135,2,FALSE)</f>
        <v>5, 8, 23</v>
      </c>
      <c r="M2915" s="52" t="str">
        <f>VLOOKUP(Tabla3[[#This Row],[Site]],'Important Info!'!$A$1:$F$135,3,FALSE)</f>
        <v>-</v>
      </c>
      <c r="N2915" s="52" t="str">
        <f>VLOOKUP(Tabla3[[#This Row],[Site]],'Important Info!'!$A$1:$F$135,4,FALSE)</f>
        <v>-</v>
      </c>
      <c r="O2915" s="52">
        <f>VLOOKUP(Tabla3[[#This Row],[Site]],'Important Info!'!$A$1:$F$135,5,FALSE)</f>
        <v>4</v>
      </c>
      <c r="P2915" s="52" t="str">
        <f>VLOOKUP(Tabla3[[#This Row],[Site]],'Important Info!'!$A$1:$F$135,6,FALSE)</f>
        <v>-</v>
      </c>
      <c r="Q2915" s="91">
        <f>VLOOKUP(Tabla3[[#This Row],[Site]],'Important Info!'!$A$1:$J$135,9,FALSE)</f>
        <v>262</v>
      </c>
    </row>
    <row r="2916" spans="1:17" x14ac:dyDescent="0.25">
      <c r="A2916" t="str">
        <f>+Tabla3[[#This Row],[Site]]&amp;Tabla3[[#This Row],[Split]]</f>
        <v>(ML) Joe Machens VW29</v>
      </c>
      <c r="B2916">
        <v>29</v>
      </c>
      <c r="C2916">
        <v>4</v>
      </c>
      <c r="D2916" t="s">
        <v>33</v>
      </c>
      <c r="E2916" t="s">
        <v>46</v>
      </c>
      <c r="F2916" s="41" t="s">
        <v>74</v>
      </c>
      <c r="G2916" t="s">
        <v>34</v>
      </c>
      <c r="H2916" s="52" t="str">
        <f>VLOOKUP(Tabla3[[#This Row],[Site]],'Important Info!'!$A$1:$J$135,10,FALSE)</f>
        <v>https://tools.sig.systems/site/details/274</v>
      </c>
      <c r="I2916" s="2" t="s">
        <v>146</v>
      </c>
      <c r="J2916" t="s">
        <v>41</v>
      </c>
      <c r="K2916" s="79" t="str">
        <f>VLOOKUP(Tabla3[[#This Row],[Site]],'Important Info!'!$A$1:$H$135,8,FALSE)</f>
        <v>-</v>
      </c>
      <c r="L2916" s="52" t="str">
        <f>VLOOKUP(Tabla3[[#This Row],[Site]],'Important Info!'!$A$1:$F$135,2,FALSE)</f>
        <v>-</v>
      </c>
      <c r="M2916" s="52" t="str">
        <f>VLOOKUP(Tabla3[[#This Row],[Site]],'Important Info!'!$A$1:$F$135,3,FALSE)</f>
        <v>1, 11, 18</v>
      </c>
      <c r="N2916" s="52" t="str">
        <f>VLOOKUP(Tabla3[[#This Row],[Site]],'Important Info!'!$A$1:$F$135,4,FALSE)</f>
        <v>-</v>
      </c>
      <c r="O2916" s="52">
        <f>VLOOKUP(Tabla3[[#This Row],[Site]],'Important Info!'!$A$1:$F$135,5,FALSE)</f>
        <v>17</v>
      </c>
      <c r="P2916" s="52" t="str">
        <f>VLOOKUP(Tabla3[[#This Row],[Site]],'Important Info!'!$A$1:$F$135,6,FALSE)</f>
        <v>-</v>
      </c>
      <c r="Q2916" s="91">
        <f>VLOOKUP(Tabla3[[#This Row],[Site]],'Important Info!'!$A$1:$J$135,9,FALSE)</f>
        <v>274</v>
      </c>
    </row>
    <row r="2917" spans="1:17" x14ac:dyDescent="0.25">
      <c r="A2917" t="str">
        <f>+Tabla3[[#This Row],[Site]]&amp;Tabla3[[#This Row],[Split]]</f>
        <v>(SCH) Chevrolet North Palm29</v>
      </c>
      <c r="B2917">
        <v>29</v>
      </c>
      <c r="C2917">
        <v>4</v>
      </c>
      <c r="D2917" t="s">
        <v>62</v>
      </c>
      <c r="E2917" t="s">
        <v>35</v>
      </c>
      <c r="F2917" t="s">
        <v>101</v>
      </c>
      <c r="G2917" t="s">
        <v>490</v>
      </c>
      <c r="H2917" s="52" t="str">
        <f>VLOOKUP(Tabla3[[#This Row],[Site]],'Important Info!'!$A$1:$J$135,10,FALSE)</f>
        <v>https://tools.sig.systems/site/details/160</v>
      </c>
      <c r="I2917" s="43"/>
      <c r="J2917" t="s">
        <v>36</v>
      </c>
      <c r="K2917" s="79" t="str">
        <f>VLOOKUP(Tabla3[[#This Row],[Site]],'Important Info!'!$A$1:$H$135,8,FALSE)</f>
        <v>-</v>
      </c>
      <c r="L2917" s="52" t="str">
        <f>VLOOKUP(Tabla3[[#This Row],[Site]],'Important Info!'!$A$1:$F$135,2,FALSE)</f>
        <v xml:space="preserve">7, 10B, 11, 15 </v>
      </c>
      <c r="M2917" s="52" t="str">
        <f>VLOOKUP(Tabla3[[#This Row],[Site]],'Important Info!'!$A$1:$F$135,3,FALSE)</f>
        <v>-</v>
      </c>
      <c r="N2917" s="52" t="str">
        <f>VLOOKUP(Tabla3[[#This Row],[Site]],'Important Info!'!$A$1:$F$135,4,FALSE)</f>
        <v>-</v>
      </c>
      <c r="O2917" s="52" t="str">
        <f>VLOOKUP(Tabla3[[#This Row],[Site]],'Important Info!'!$A$1:$F$135,5,FALSE)</f>
        <v>-</v>
      </c>
      <c r="P2917" s="52" t="str">
        <f>VLOOKUP(Tabla3[[#This Row],[Site]],'Important Info!'!$A$1:$F$135,6,FALSE)</f>
        <v>1, 15, 16, 17, 18, 19, 20</v>
      </c>
      <c r="Q2917" s="91">
        <f>VLOOKUP(Tabla3[[#This Row],[Site]],'Important Info!'!$A$1:$J$135,9,FALSE)</f>
        <v>160</v>
      </c>
    </row>
    <row r="2918" spans="1:17" x14ac:dyDescent="0.25">
      <c r="A2918" t="str">
        <f>+Tabla3[[#This Row],[Site]]&amp;Tabla3[[#This Row],[Split]]</f>
        <v>(AS) Mercedes Benz/Porsche Dallas I,II,III (NO TOURS)29</v>
      </c>
      <c r="B2918">
        <v>29</v>
      </c>
      <c r="C2918">
        <v>5</v>
      </c>
      <c r="D2918" t="s">
        <v>33</v>
      </c>
      <c r="E2918" t="s">
        <v>46</v>
      </c>
      <c r="F2918" t="s">
        <v>509</v>
      </c>
      <c r="G2918" t="s">
        <v>34</v>
      </c>
      <c r="H2918" s="52" t="str">
        <f>VLOOKUP(Tabla3[[#This Row],[Site]],'Important Info!'!$A$1:$J$135,10,FALSE)</f>
        <v>https://tools.sig.systems/site/details/168</v>
      </c>
      <c r="I2918" s="65" t="s">
        <v>125</v>
      </c>
      <c r="J2918" t="s">
        <v>41</v>
      </c>
      <c r="K2918" s="79" t="str">
        <f>VLOOKUP(Tabla3[[#This Row],[Site]],'Important Info!'!$A$1:$H$135,8,FALSE)</f>
        <v>-</v>
      </c>
      <c r="L2918" s="52" t="str">
        <f>VLOOKUP(Tabla3[[#This Row],[Site]],'Important Info!'!$A$1:$F$135,2,FALSE)</f>
        <v>3, 4, 17, 26, 41</v>
      </c>
      <c r="M2918" s="52" t="str">
        <f>VLOOKUP(Tabla3[[#This Row],[Site]],'Important Info!'!$A$1:$F$135,3,FALSE)</f>
        <v>-</v>
      </c>
      <c r="N2918" s="52" t="str">
        <f>VLOOKUP(Tabla3[[#This Row],[Site]],'Important Info!'!$A$1:$F$135,4,FALSE)</f>
        <v>153, 154, 155, 156, 157, 158</v>
      </c>
      <c r="O2918" s="52" t="str">
        <f>VLOOKUP(Tabla3[[#This Row],[Site]],'Important Info!'!$A$1:$F$135,5,FALSE)</f>
        <v>2, 6, 10, 20, 28, 30, 36</v>
      </c>
      <c r="P2918" s="52" t="str">
        <f>VLOOKUP(Tabla3[[#This Row],[Site]],'Important Info!'!$A$1:$F$135,6,FALSE)</f>
        <v>31, 41, 159</v>
      </c>
      <c r="Q2918" s="91">
        <f>VLOOKUP(Tabla3[[#This Row],[Site]],'Important Info!'!$A$1:$J$135,9,FALSE)</f>
        <v>168</v>
      </c>
    </row>
    <row r="2919" spans="1:17" x14ac:dyDescent="0.25">
      <c r="A2919" t="str">
        <f>+Tabla3[[#This Row],[Site]]&amp;Tabla3[[#This Row],[Split]]</f>
        <v>(ML) Joe Machens Toyota29</v>
      </c>
      <c r="B2919">
        <v>29</v>
      </c>
      <c r="C2919">
        <v>5</v>
      </c>
      <c r="D2919" t="s">
        <v>33</v>
      </c>
      <c r="E2919" t="s">
        <v>46</v>
      </c>
      <c r="F2919" t="s">
        <v>73</v>
      </c>
      <c r="G2919" t="s">
        <v>34</v>
      </c>
      <c r="H2919" s="52" t="str">
        <f>VLOOKUP(Tabla3[[#This Row],[Site]],'Important Info!'!$A$1:$J$135,10,FALSE)</f>
        <v>https://tools.sig.systems/site/details/275</v>
      </c>
      <c r="I2919" s="43" t="s">
        <v>146</v>
      </c>
      <c r="J2919" t="s">
        <v>41</v>
      </c>
      <c r="K2919" s="79" t="str">
        <f>VLOOKUP(Tabla3[[#This Row],[Site]],'Important Info!'!$A$1:$H$135,8,FALSE)</f>
        <v>-</v>
      </c>
      <c r="L2919" s="52" t="str">
        <f>VLOOKUP(Tabla3[[#This Row],[Site]],'Important Info!'!$A$1:$F$135,2,FALSE)</f>
        <v>-</v>
      </c>
      <c r="M2919" s="52" t="str">
        <f>VLOOKUP(Tabla3[[#This Row],[Site]],'Important Info!'!$A$1:$F$135,3,FALSE)</f>
        <v>1, 4, 6</v>
      </c>
      <c r="N2919" s="52" t="str">
        <f>VLOOKUP(Tabla3[[#This Row],[Site]],'Important Info!'!$A$1:$F$135,4,FALSE)</f>
        <v>-</v>
      </c>
      <c r="O2919" s="52" t="str">
        <f>VLOOKUP(Tabla3[[#This Row],[Site]],'Important Info!'!$A$1:$F$135,5,FALSE)</f>
        <v>4, 10</v>
      </c>
      <c r="P2919" s="52" t="str">
        <f>VLOOKUP(Tabla3[[#This Row],[Site]],'Important Info!'!$A$1:$F$135,6,FALSE)</f>
        <v>-</v>
      </c>
      <c r="Q2919" s="91">
        <f>VLOOKUP(Tabla3[[#This Row],[Site]],'Important Info!'!$A$1:$J$135,9,FALSE)</f>
        <v>275</v>
      </c>
    </row>
    <row r="2920" spans="1:17" x14ac:dyDescent="0.25">
      <c r="A2920" t="str">
        <f>+Tabla3[[#This Row],[Site]]&amp;Tabla3[[#This Row],[Split]]</f>
        <v>(AS) Lexus Smyrna (NO TOURS)29</v>
      </c>
      <c r="B2920">
        <v>29</v>
      </c>
      <c r="C2920">
        <v>6</v>
      </c>
      <c r="D2920" t="s">
        <v>62</v>
      </c>
      <c r="E2920" t="s">
        <v>35</v>
      </c>
      <c r="F2920" t="s">
        <v>84</v>
      </c>
      <c r="G2920" t="s">
        <v>490</v>
      </c>
      <c r="H2920" s="52" t="str">
        <f>VLOOKUP(Tabla3[[#This Row],[Site]],'Important Info!'!$A$1:$J$135,10,FALSE)</f>
        <v>https://tools.sig.systems/site/details/133</v>
      </c>
      <c r="I2920" s="2"/>
      <c r="J2920" t="s">
        <v>41</v>
      </c>
      <c r="K2920" s="79" t="str">
        <f>VLOOKUP(Tabla3[[#This Row],[Site]],'Important Info!'!$A$1:$H$135,8,FALSE)</f>
        <v>-</v>
      </c>
      <c r="L2920" s="52" t="str">
        <f>VLOOKUP(Tabla3[[#This Row],[Site]],'Important Info!'!$A$1:$F$135,2,FALSE)</f>
        <v xml:space="preserve">2, 6, 10 </v>
      </c>
      <c r="M2920" s="52" t="str">
        <f>VLOOKUP(Tabla3[[#This Row],[Site]],'Important Info!'!$A$1:$F$135,3,FALSE)</f>
        <v>-</v>
      </c>
      <c r="N2920" s="52" t="str">
        <f>VLOOKUP(Tabla3[[#This Row],[Site]],'Important Info!'!$A$1:$F$135,4,FALSE)</f>
        <v>-</v>
      </c>
      <c r="O2920" s="52" t="str">
        <f>VLOOKUP(Tabla3[[#This Row],[Site]],'Important Info!'!$A$1:$F$135,5,FALSE)</f>
        <v>3, 5, 10, 15</v>
      </c>
      <c r="P2920" s="52" t="str">
        <f>VLOOKUP(Tabla3[[#This Row],[Site]],'Important Info!'!$A$1:$F$135,6,FALSE)</f>
        <v>10, 11</v>
      </c>
      <c r="Q2920" s="91">
        <f>VLOOKUP(Tabla3[[#This Row],[Site]],'Important Info!'!$A$1:$J$135,9,FALSE)</f>
        <v>133</v>
      </c>
    </row>
    <row r="2921" spans="1:17" x14ac:dyDescent="0.25">
      <c r="A2921" t="str">
        <f>+Tabla3[[#This Row],[Site]]&amp;Tabla3[[#This Row],[Split]]</f>
        <v>(AS) Park Place Sprinter Van Center (NO TOURS)29</v>
      </c>
      <c r="B2921">
        <v>29</v>
      </c>
      <c r="C2921">
        <v>6</v>
      </c>
      <c r="D2921" t="s">
        <v>33</v>
      </c>
      <c r="E2921" t="s">
        <v>46</v>
      </c>
      <c r="F2921" t="s">
        <v>520</v>
      </c>
      <c r="G2921" t="s">
        <v>34</v>
      </c>
      <c r="H2921" s="52" t="str">
        <f>VLOOKUP(Tabla3[[#This Row],[Site]],'Important Info!'!$A$1:$J$135,10,FALSE)</f>
        <v>https://tools.sig.systems/site/details/138</v>
      </c>
      <c r="I2921" s="65" t="s">
        <v>125</v>
      </c>
      <c r="J2921" t="s">
        <v>41</v>
      </c>
      <c r="K2921" s="79" t="str">
        <f>VLOOKUP(Tabla3[[#This Row],[Site]],'Important Info!'!$A$1:$H$135,8,FALSE)</f>
        <v>-</v>
      </c>
      <c r="L2921" s="52">
        <f>VLOOKUP(Tabla3[[#This Row],[Site]],'Important Info!'!$A$1:$F$135,2,FALSE)</f>
        <v>1</v>
      </c>
      <c r="M2921" s="52" t="str">
        <f>VLOOKUP(Tabla3[[#This Row],[Site]],'Important Info!'!$A$1:$F$135,3,FALSE)</f>
        <v>-</v>
      </c>
      <c r="N2921" s="52" t="str">
        <f>VLOOKUP(Tabla3[[#This Row],[Site]],'Important Info!'!$A$1:$F$135,4,FALSE)</f>
        <v>-</v>
      </c>
      <c r="O2921" s="52" t="str">
        <f>VLOOKUP(Tabla3[[#This Row],[Site]],'Important Info!'!$A$1:$F$135,5,FALSE)</f>
        <v>-</v>
      </c>
      <c r="P2921" s="52" t="str">
        <f>VLOOKUP(Tabla3[[#This Row],[Site]],'Important Info!'!$A$1:$F$135,6,FALSE)</f>
        <v>1, 3</v>
      </c>
      <c r="Q2921" s="91">
        <f>VLOOKUP(Tabla3[[#This Row],[Site]],'Important Info!'!$A$1:$J$135,9,FALSE)</f>
        <v>138</v>
      </c>
    </row>
    <row r="2922" spans="1:17" x14ac:dyDescent="0.25">
      <c r="A2922" t="str">
        <f>+Tabla3[[#This Row],[Site]]&amp;Tabla3[[#This Row],[Split]]</f>
        <v>(HUD) Honda of Southpoint29</v>
      </c>
      <c r="B2922">
        <v>29</v>
      </c>
      <c r="C2922">
        <v>6</v>
      </c>
      <c r="D2922" t="s">
        <v>62</v>
      </c>
      <c r="E2922" t="s">
        <v>35</v>
      </c>
      <c r="F2922" t="s">
        <v>65</v>
      </c>
      <c r="G2922" t="s">
        <v>490</v>
      </c>
      <c r="H2922" s="52" t="str">
        <f>VLOOKUP(Tabla3[[#This Row],[Site]],'Important Info!'!$A$1:$J$135,10,FALSE)</f>
        <v>https://tools.sig.systems/site/details/195</v>
      </c>
      <c r="I2922" s="43"/>
      <c r="J2922" t="s">
        <v>484</v>
      </c>
      <c r="K2922" s="79" t="str">
        <f>VLOOKUP(Tabla3[[#This Row],[Site]],'Important Info!'!$A$1:$H$135,8,FALSE)</f>
        <v>-</v>
      </c>
      <c r="L2922" s="52" t="str">
        <f>VLOOKUP(Tabla3[[#This Row],[Site]],'Important Info!'!$A$1:$F$135,2,FALSE)</f>
        <v>2, 12, 18</v>
      </c>
      <c r="M2922" s="52">
        <f>VLOOKUP(Tabla3[[#This Row],[Site]],'Important Info!'!$A$1:$F$135,3,FALSE)</f>
        <v>13</v>
      </c>
      <c r="N2922" s="52" t="str">
        <f>VLOOKUP(Tabla3[[#This Row],[Site]],'Important Info!'!$A$1:$F$135,4,FALSE)</f>
        <v>-</v>
      </c>
      <c r="O2922" s="52" t="str">
        <f>VLOOKUP(Tabla3[[#This Row],[Site]],'Important Info!'!$A$1:$F$135,5,FALSE)</f>
        <v>2, 15</v>
      </c>
      <c r="P2922" s="52" t="str">
        <f>VLOOKUP(Tabla3[[#This Row],[Site]],'Important Info!'!$A$1:$F$135,6,FALSE)</f>
        <v>-</v>
      </c>
      <c r="Q2922" s="91">
        <f>VLOOKUP(Tabla3[[#This Row],[Site]],'Important Info!'!$A$1:$J$135,9,FALSE)</f>
        <v>195</v>
      </c>
    </row>
    <row r="2923" spans="1:17" x14ac:dyDescent="0.25">
      <c r="A2923" t="str">
        <f>+Tabla3[[#This Row],[Site]]&amp;Tabla3[[#This Row],[Split]]</f>
        <v>(ML) Joe Machens E Collision Center29</v>
      </c>
      <c r="B2923">
        <v>29</v>
      </c>
      <c r="C2923">
        <v>6</v>
      </c>
      <c r="D2923" t="s">
        <v>33</v>
      </c>
      <c r="E2923" t="s">
        <v>46</v>
      </c>
      <c r="F2923" t="s">
        <v>147</v>
      </c>
      <c r="G2923" t="s">
        <v>34</v>
      </c>
      <c r="H2923" s="52" t="str">
        <f>VLOOKUP(Tabla3[[#This Row],[Site]],'Important Info!'!$A$1:$J$135,10,FALSE)</f>
        <v>https://tools.sig.systems/site/details/277</v>
      </c>
      <c r="I2923" s="2" t="s">
        <v>146</v>
      </c>
      <c r="J2923" t="s">
        <v>41</v>
      </c>
      <c r="K2923" s="79" t="str">
        <f>VLOOKUP(Tabla3[[#This Row],[Site]],'Important Info!'!$A$1:$H$135,8,FALSE)</f>
        <v>-</v>
      </c>
      <c r="L2923" s="52">
        <f>VLOOKUP(Tabla3[[#This Row],[Site]],'Important Info!'!$A$1:$F$135,2,FALSE)</f>
        <v>1</v>
      </c>
      <c r="M2923" s="52" t="str">
        <f>VLOOKUP(Tabla3[[#This Row],[Site]],'Important Info!'!$A$1:$F$135,3,FALSE)</f>
        <v>-</v>
      </c>
      <c r="N2923" s="52" t="str">
        <f>VLOOKUP(Tabla3[[#This Row],[Site]],'Important Info!'!$A$1:$F$135,4,FALSE)</f>
        <v>-</v>
      </c>
      <c r="O2923" s="52">
        <f>VLOOKUP(Tabla3[[#This Row],[Site]],'Important Info!'!$A$1:$F$135,5,FALSE)</f>
        <v>5</v>
      </c>
      <c r="P2923" s="52" t="str">
        <f>VLOOKUP(Tabla3[[#This Row],[Site]],'Important Info!'!$A$1:$F$135,6,FALSE)</f>
        <v>1, 2, 3, 4</v>
      </c>
      <c r="Q2923" s="91">
        <f>VLOOKUP(Tabla3[[#This Row],[Site]],'Important Info!'!$A$1:$J$135,9,FALSE)</f>
        <v>277</v>
      </c>
    </row>
    <row r="2924" spans="1:17" x14ac:dyDescent="0.25">
      <c r="A2924" t="str">
        <f>+Tabla3[[#This Row],[Site]]&amp;Tabla3[[#This Row],[Split]]</f>
        <v>(SCH) Prep Center Delray29</v>
      </c>
      <c r="B2924">
        <v>29</v>
      </c>
      <c r="C2924">
        <v>6</v>
      </c>
      <c r="D2924" t="s">
        <v>62</v>
      </c>
      <c r="E2924" t="s">
        <v>35</v>
      </c>
      <c r="F2924" t="s">
        <v>191</v>
      </c>
      <c r="G2924" t="s">
        <v>490</v>
      </c>
      <c r="H2924" s="52" t="str">
        <f>VLOOKUP(Tabla3[[#This Row],[Site]],'Important Info!'!$A$1:$J$135,10,FALSE)</f>
        <v>https://tools.sig.systems/site/details/321</v>
      </c>
      <c r="I2924" s="2"/>
      <c r="J2924" t="s">
        <v>41</v>
      </c>
      <c r="K2924" s="79" t="str">
        <f>VLOOKUP(Tabla3[[#This Row],[Site]],'Important Info!'!$A$1:$H$135,8,FALSE)</f>
        <v>-</v>
      </c>
      <c r="L2924" s="52" t="str">
        <f>VLOOKUP(Tabla3[[#This Row],[Site]],'Important Info!'!$A$1:$F$135,2,FALSE)</f>
        <v>2,3</v>
      </c>
      <c r="M2924" s="52" t="str">
        <f>VLOOKUP(Tabla3[[#This Row],[Site]],'Important Info!'!$A$1:$F$135,3,FALSE)</f>
        <v>-</v>
      </c>
      <c r="N2924" s="52" t="str">
        <f>VLOOKUP(Tabla3[[#This Row],[Site]],'Important Info!'!$A$1:$F$135,4,FALSE)</f>
        <v>-</v>
      </c>
      <c r="O2924" s="52" t="str">
        <f>VLOOKUP(Tabla3[[#This Row],[Site]],'Important Info!'!$A$1:$F$135,5,FALSE)</f>
        <v>-</v>
      </c>
      <c r="P2924" s="52" t="str">
        <f>VLOOKUP(Tabla3[[#This Row],[Site]],'Important Info!'!$A$1:$F$135,6,FALSE)</f>
        <v>2,4,10</v>
      </c>
      <c r="Q2924" s="91">
        <f>VLOOKUP(Tabla3[[#This Row],[Site]],'Important Info!'!$A$1:$J$135,9,FALSE)</f>
        <v>321</v>
      </c>
    </row>
    <row r="2925" spans="1:17" x14ac:dyDescent="0.25">
      <c r="A2925" t="str">
        <f>+Tabla3[[#This Row],[Site]]&amp;Tabla3[[#This Row],[Split]]</f>
        <v>(AS) Atwell Prep Center-Dallas (NO TOURS)29</v>
      </c>
      <c r="B2925">
        <v>29</v>
      </c>
      <c r="C2925">
        <v>7</v>
      </c>
      <c r="D2925" t="s">
        <v>33</v>
      </c>
      <c r="E2925" t="s">
        <v>46</v>
      </c>
      <c r="F2925" t="s">
        <v>498</v>
      </c>
      <c r="G2925" t="s">
        <v>34</v>
      </c>
      <c r="H2925" s="52" t="str">
        <f>VLOOKUP(Tabla3[[#This Row],[Site]],'Important Info!'!$A$1:$J$135,10,FALSE)</f>
        <v>https://tools.sig.systems/site/details/165</v>
      </c>
      <c r="I2925" s="65" t="s">
        <v>125</v>
      </c>
      <c r="J2925" t="s">
        <v>41</v>
      </c>
      <c r="K2925" s="79" t="str">
        <f>VLOOKUP(Tabla3[[#This Row],[Site]],'Important Info!'!$A$1:$H$135,8,FALSE)</f>
        <v>-</v>
      </c>
      <c r="L2925" s="52" t="str">
        <f>VLOOKUP(Tabla3[[#This Row],[Site]],'Important Info!'!$A$1:$F$135,2,FALSE)</f>
        <v>4, 6, 7</v>
      </c>
      <c r="M2925" s="52" t="str">
        <f>VLOOKUP(Tabla3[[#This Row],[Site]],'Important Info!'!$A$1:$F$135,3,FALSE)</f>
        <v>-</v>
      </c>
      <c r="N2925" s="52" t="str">
        <f>VLOOKUP(Tabla3[[#This Row],[Site]],'Important Info!'!$A$1:$F$135,4,FALSE)</f>
        <v>-</v>
      </c>
      <c r="O2925" s="52" t="str">
        <f>VLOOKUP(Tabla3[[#This Row],[Site]],'Important Info!'!$A$1:$F$135,5,FALSE)</f>
        <v>-</v>
      </c>
      <c r="P2925" s="52" t="str">
        <f>VLOOKUP(Tabla3[[#This Row],[Site]],'Important Info!'!$A$1:$F$135,6,FALSE)</f>
        <v>1, 2</v>
      </c>
      <c r="Q2925" s="91">
        <f>VLOOKUP(Tabla3[[#This Row],[Site]],'Important Info!'!$A$1:$J$135,9,FALSE)</f>
        <v>165</v>
      </c>
    </row>
    <row r="2926" spans="1:17" x14ac:dyDescent="0.25">
      <c r="A2926" t="str">
        <f>+Tabla3[[#This Row],[Site]]&amp;Tabla3[[#This Row],[Split]]</f>
        <v>(AS) Park Place Mercedes Benz Ft. Worth (NO TOURS)29</v>
      </c>
      <c r="B2926">
        <v>29</v>
      </c>
      <c r="C2926">
        <v>7</v>
      </c>
      <c r="D2926" t="s">
        <v>33</v>
      </c>
      <c r="E2926" t="s">
        <v>46</v>
      </c>
      <c r="F2926" t="s">
        <v>519</v>
      </c>
      <c r="G2926" t="s">
        <v>34</v>
      </c>
      <c r="H2926" s="52" t="str">
        <f>VLOOKUP(Tabla3[[#This Row],[Site]],'Important Info!'!$A$1:$J$135,10,FALSE)</f>
        <v>https://tools.sig.systems/site/details/137</v>
      </c>
      <c r="I2926" t="s">
        <v>128</v>
      </c>
      <c r="J2926" t="s">
        <v>41</v>
      </c>
      <c r="K2926" s="79" t="s">
        <v>37</v>
      </c>
      <c r="L2926" s="52" t="str">
        <f>VLOOKUP(Tabla3[[#This Row],[Site]],'Important Info!'!$A$1:$F$135,2,FALSE)</f>
        <v>4, 18</v>
      </c>
      <c r="M2926" s="52" t="str">
        <f>VLOOKUP(Tabla3[[#This Row],[Site]],'Important Info!'!$A$1:$F$135,3,FALSE)</f>
        <v>-</v>
      </c>
      <c r="N2926" s="52" t="str">
        <f>VLOOKUP(Tabla3[[#This Row],[Site]],'Important Info!'!$A$1:$F$135,4,FALSE)</f>
        <v>54, 55</v>
      </c>
      <c r="O2926" s="52" t="str">
        <f>VLOOKUP(Tabla3[[#This Row],[Site]],'Important Info!'!$A$1:$F$135,5,FALSE)</f>
        <v>2, 18</v>
      </c>
      <c r="P2926" s="52" t="str">
        <f>VLOOKUP(Tabla3[[#This Row],[Site]],'Important Info!'!$A$1:$F$135,6,FALSE)</f>
        <v>5, 18</v>
      </c>
      <c r="Q2926" s="91">
        <f>VLOOKUP(Tabla3[[#This Row],[Site]],'Important Info!'!$A$1:$J$135,9,FALSE)</f>
        <v>137</v>
      </c>
    </row>
    <row r="2927" spans="1:17" x14ac:dyDescent="0.25">
      <c r="A2927" t="str">
        <f>+Tabla3[[#This Row],[Site]]&amp;Tabla3[[#This Row],[Split]]</f>
        <v>(HUD) Nissan Greensboro29</v>
      </c>
      <c r="B2927">
        <v>29</v>
      </c>
      <c r="C2927">
        <v>7</v>
      </c>
      <c r="D2927" t="s">
        <v>62</v>
      </c>
      <c r="E2927" t="s">
        <v>35</v>
      </c>
      <c r="F2927" t="s">
        <v>66</v>
      </c>
      <c r="G2927" t="s">
        <v>490</v>
      </c>
      <c r="H2927" s="52" t="str">
        <f>VLOOKUP(Tabla3[[#This Row],[Site]],'Important Info!'!$A$1:$J$135,10,FALSE)</f>
        <v>https://tools.sig.systems/site/details/236</v>
      </c>
      <c r="I2927" s="43" t="s">
        <v>184</v>
      </c>
      <c r="J2927" t="s">
        <v>41</v>
      </c>
      <c r="K2927" s="79" t="str">
        <f>VLOOKUP(Tabla3[[#This Row],[Site]],'Important Info!'!$A$1:$H$135,8,FALSE)</f>
        <v>-</v>
      </c>
      <c r="L2927" s="52" t="str">
        <f>VLOOKUP(Tabla3[[#This Row],[Site]],'Important Info!'!$A$1:$F$135,2,FALSE)</f>
        <v>1, 5, 12</v>
      </c>
      <c r="M2927" s="52" t="str">
        <f>VLOOKUP(Tabla3[[#This Row],[Site]],'Important Info!'!$A$1:$F$135,3,FALSE)</f>
        <v>-</v>
      </c>
      <c r="N2927" s="52" t="str">
        <f>VLOOKUP(Tabla3[[#This Row],[Site]],'Important Info!'!$A$1:$F$135,4,FALSE)</f>
        <v>-</v>
      </c>
      <c r="O2927" s="52" t="str">
        <f>VLOOKUP(Tabla3[[#This Row],[Site]],'Important Info!'!$A$1:$F$135,5,FALSE)</f>
        <v>-</v>
      </c>
      <c r="P2927" s="52">
        <f>VLOOKUP(Tabla3[[#This Row],[Site]],'Important Info!'!$A$1:$F$135,6,FALSE)</f>
        <v>4</v>
      </c>
      <c r="Q2927" s="91">
        <f>VLOOKUP(Tabla3[[#This Row],[Site]],'Important Info!'!$A$1:$J$135,9,FALSE)</f>
        <v>236</v>
      </c>
    </row>
    <row r="2928" spans="1:17" x14ac:dyDescent="0.25">
      <c r="A2928" t="str">
        <f>+Tabla3[[#This Row],[Site]]&amp;Tabla3[[#This Row],[Split]]</f>
        <v>(ML) Joe Machens Temporary 2.029</v>
      </c>
      <c r="B2928">
        <v>29</v>
      </c>
      <c r="C2928">
        <v>7</v>
      </c>
      <c r="D2928" t="s">
        <v>33</v>
      </c>
      <c r="E2928" t="s">
        <v>46</v>
      </c>
      <c r="F2928" t="s">
        <v>105</v>
      </c>
      <c r="G2928" t="s">
        <v>34</v>
      </c>
      <c r="H2928" s="52" t="str">
        <f>VLOOKUP(Tabla3[[#This Row],[Site]],'Important Info!'!$A$1:$J$135,10,FALSE)</f>
        <v>https://tools.sig.systems/site/details/278</v>
      </c>
      <c r="I2928" s="43" t="s">
        <v>146</v>
      </c>
      <c r="J2928" t="s">
        <v>41</v>
      </c>
      <c r="K2928" s="79" t="str">
        <f>VLOOKUP(Tabla3[[#This Row],[Site]],'Important Info!'!$A$1:$H$135,8,FALSE)</f>
        <v>-</v>
      </c>
      <c r="L2928" s="52" t="str">
        <f>VLOOKUP(Tabla3[[#This Row],[Site]],'Important Info!'!$A$1:$F$135,2,FALSE)</f>
        <v>-</v>
      </c>
      <c r="M2928" s="52" t="str">
        <f>VLOOKUP(Tabla3[[#This Row],[Site]],'Important Info!'!$A$1:$F$135,3,FALSE)</f>
        <v>1, 11, 14, 15, 16</v>
      </c>
      <c r="N2928" s="52" t="str">
        <f>VLOOKUP(Tabla3[[#This Row],[Site]],'Important Info!'!$A$1:$F$135,4,FALSE)</f>
        <v>-</v>
      </c>
      <c r="O2928" s="52">
        <f>VLOOKUP(Tabla3[[#This Row],[Site]],'Important Info!'!$A$1:$F$135,5,FALSE)</f>
        <v>13</v>
      </c>
      <c r="P2928" s="52" t="str">
        <f>VLOOKUP(Tabla3[[#This Row],[Site]],'Important Info!'!$A$1:$F$135,6,FALSE)</f>
        <v>-</v>
      </c>
      <c r="Q2928" s="91">
        <f>VLOOKUP(Tabla3[[#This Row],[Site]],'Important Info!'!$A$1:$J$135,9,FALSE)</f>
        <v>278</v>
      </c>
    </row>
    <row r="2929" spans="1:17" x14ac:dyDescent="0.25">
      <c r="A2929" t="str">
        <f>+Tabla3[[#This Row],[Site]]&amp;Tabla3[[#This Row],[Split]]</f>
        <v>(SCH) Auto Body Shop Lake Park29</v>
      </c>
      <c r="B2929">
        <v>29</v>
      </c>
      <c r="C2929">
        <v>7</v>
      </c>
      <c r="D2929" t="s">
        <v>62</v>
      </c>
      <c r="E2929" t="s">
        <v>35</v>
      </c>
      <c r="F2929" t="s">
        <v>189</v>
      </c>
      <c r="G2929" t="s">
        <v>490</v>
      </c>
      <c r="H2929" s="52" t="str">
        <f>VLOOKUP(Tabla3[[#This Row],[Site]],'Important Info!'!$A$1:$J$135,10,FALSE)</f>
        <v>https://tools.sig.systems/site/details/158</v>
      </c>
      <c r="I2929" s="43"/>
      <c r="J2929" t="s">
        <v>41</v>
      </c>
      <c r="K2929" s="79" t="str">
        <f>VLOOKUP(Tabla3[[#This Row],[Site]],'Important Info!'!$A$1:$H$135,8,FALSE)</f>
        <v>-</v>
      </c>
      <c r="L2929" s="52" t="str">
        <f>VLOOKUP(Tabla3[[#This Row],[Site]],'Important Info!'!$A$1:$F$135,2,FALSE)</f>
        <v>3, 10</v>
      </c>
      <c r="M2929" s="52" t="str">
        <f>VLOOKUP(Tabla3[[#This Row],[Site]],'Important Info!'!$A$1:$F$135,3,FALSE)</f>
        <v>-</v>
      </c>
      <c r="N2929" s="52" t="str">
        <f>VLOOKUP(Tabla3[[#This Row],[Site]],'Important Info!'!$A$1:$F$135,4,FALSE)</f>
        <v>-</v>
      </c>
      <c r="O2929" s="52" t="str">
        <f>VLOOKUP(Tabla3[[#This Row],[Site]],'Important Info!'!$A$1:$F$135,5,FALSE)</f>
        <v>-</v>
      </c>
      <c r="P2929" s="52" t="str">
        <f>VLOOKUP(Tabla3[[#This Row],[Site]],'Important Info!'!$A$1:$F$135,6,FALSE)</f>
        <v>-</v>
      </c>
      <c r="Q2929" s="91">
        <f>VLOOKUP(Tabla3[[#This Row],[Site]],'Important Info!'!$A$1:$J$135,9,FALSE)</f>
        <v>158</v>
      </c>
    </row>
    <row r="2930" spans="1:17" x14ac:dyDescent="0.25">
      <c r="A2930" t="str">
        <f>+Tabla3[[#This Row],[Site]]&amp;Tabla3[[#This Row],[Split]]</f>
        <v>(AS) Courtesy Honda Palm Harbor (NO TOURS)29</v>
      </c>
      <c r="B2930">
        <v>29</v>
      </c>
      <c r="C2930">
        <v>8</v>
      </c>
      <c r="D2930" t="s">
        <v>62</v>
      </c>
      <c r="E2930" t="s">
        <v>35</v>
      </c>
      <c r="F2930" t="s">
        <v>108</v>
      </c>
      <c r="G2930" t="s">
        <v>490</v>
      </c>
      <c r="H2930" s="52" t="str">
        <f>VLOOKUP(Tabla3[[#This Row],[Site]],'Important Info!'!$A$1:$J$135,10,FALSE)</f>
        <v>https://tools.sig.systems/site/details/176</v>
      </c>
      <c r="I2930" s="2"/>
      <c r="J2930" t="s">
        <v>36</v>
      </c>
      <c r="K2930" s="79" t="str">
        <f>VLOOKUP(Tabla3[[#This Row],[Site]],'Important Info!'!$A$1:$H$135,8,FALSE)</f>
        <v>-</v>
      </c>
      <c r="L2930" s="52">
        <f>VLOOKUP(Tabla3[[#This Row],[Site]],'Important Info!'!$A$1:$F$135,2,FALSE)</f>
        <v>2</v>
      </c>
      <c r="M2930" s="52" t="str">
        <f>VLOOKUP(Tabla3[[#This Row],[Site]],'Important Info!'!$A$1:$F$135,3,FALSE)</f>
        <v>-</v>
      </c>
      <c r="N2930" s="52" t="str">
        <f>VLOOKUP(Tabla3[[#This Row],[Site]],'Important Info!'!$A$1:$F$135,4,FALSE)</f>
        <v>-</v>
      </c>
      <c r="O2930" s="52" t="str">
        <f>VLOOKUP(Tabla3[[#This Row],[Site]],'Important Info!'!$A$1:$F$135,5,FALSE)</f>
        <v>4, 8, 21</v>
      </c>
      <c r="P2930" s="52">
        <f>VLOOKUP(Tabla3[[#This Row],[Site]],'Important Info!'!$A$1:$F$135,6,FALSE)</f>
        <v>10</v>
      </c>
      <c r="Q2930" s="91">
        <f>VLOOKUP(Tabla3[[#This Row],[Site]],'Important Info!'!$A$1:$J$135,9,FALSE)</f>
        <v>176</v>
      </c>
    </row>
    <row r="2931" spans="1:17" x14ac:dyDescent="0.25">
      <c r="A2931" t="str">
        <f>+Tabla3[[#This Row],[Site]]&amp;Tabla3[[#This Row],[Split]]</f>
        <v>(AS) Nalley Lexus &amp; Remote Lot Roswell (NO TOURS)29</v>
      </c>
      <c r="B2931">
        <v>29</v>
      </c>
      <c r="C2931">
        <v>8</v>
      </c>
      <c r="D2931" t="s">
        <v>60</v>
      </c>
      <c r="E2931" t="s">
        <v>35</v>
      </c>
      <c r="F2931" t="s">
        <v>511</v>
      </c>
      <c r="G2931" t="s">
        <v>41</v>
      </c>
      <c r="H2931" s="52" t="str">
        <f>VLOOKUP(Tabla3[[#This Row],[Site]],'Important Info!'!$A$1:$J$135,10,FALSE)</f>
        <v>https://tools.sig.systems/site/details/131</v>
      </c>
      <c r="I2931" s="2" t="s">
        <v>166</v>
      </c>
      <c r="J2931" t="s">
        <v>41</v>
      </c>
      <c r="K2931" s="79" t="str">
        <f>VLOOKUP(Tabla3[[#This Row],[Site]],'Important Info!'!$A$1:$H$135,8,FALSE)</f>
        <v>Dealership 11PM to 5AM (Mon to Fri). Sunday Drop Time 1PM</v>
      </c>
      <c r="L2931" s="52" t="str">
        <f>VLOOKUP(Tabla3[[#This Row],[Site]],'Important Info!'!$A$1:$F$135,2,FALSE)</f>
        <v>6, 13</v>
      </c>
      <c r="M2931" s="52">
        <f>VLOOKUP(Tabla3[[#This Row],[Site]],'Important Info!'!$A$1:$F$135,3,FALSE)</f>
        <v>4</v>
      </c>
      <c r="N2931" s="52">
        <f>VLOOKUP(Tabla3[[#This Row],[Site]],'Important Info!'!$A$1:$F$135,4,FALSE)</f>
        <v>1</v>
      </c>
      <c r="O2931" s="52" t="str">
        <f>VLOOKUP(Tabla3[[#This Row],[Site]],'Important Info!'!$A$1:$F$135,5,FALSE)</f>
        <v>1, 8, 19</v>
      </c>
      <c r="P2931" s="52" t="str">
        <f>VLOOKUP(Tabla3[[#This Row],[Site]],'Important Info!'!$A$1:$F$135,6,FALSE)</f>
        <v>4, 20</v>
      </c>
      <c r="Q2931" s="91">
        <f>VLOOKUP(Tabla3[[#This Row],[Site]],'Important Info!'!$A$1:$J$135,9,FALSE)</f>
        <v>131</v>
      </c>
    </row>
    <row r="2932" spans="1:17" x14ac:dyDescent="0.25">
      <c r="A2932" t="str">
        <f>+Tabla3[[#This Row],[Site]]&amp;Tabla3[[#This Row],[Split]]</f>
        <v>(AS) Park Place Bodywerks Dallas (NO TOURS)29</v>
      </c>
      <c r="B2932">
        <v>29</v>
      </c>
      <c r="C2932">
        <v>8</v>
      </c>
      <c r="D2932" t="s">
        <v>33</v>
      </c>
      <c r="E2932" t="s">
        <v>46</v>
      </c>
      <c r="F2932" t="s">
        <v>514</v>
      </c>
      <c r="G2932" t="s">
        <v>34</v>
      </c>
      <c r="H2932" s="52" t="str">
        <f>VLOOKUP(Tabla3[[#This Row],[Site]],'Important Info!'!$A$1:$J$135,10,FALSE)</f>
        <v>https://tools.sig.systems/site/details/166</v>
      </c>
      <c r="I2932" s="65" t="s">
        <v>125</v>
      </c>
      <c r="J2932" t="s">
        <v>41</v>
      </c>
      <c r="K2932" s="79" t="str">
        <f>VLOOKUP(Tabla3[[#This Row],[Site]],'Important Info!'!$A$1:$H$135,8,FALSE)</f>
        <v>-</v>
      </c>
      <c r="L2932" s="52">
        <f>VLOOKUP(Tabla3[[#This Row],[Site]],'Important Info!'!$A$1:$F$135,2,FALSE)</f>
        <v>3</v>
      </c>
      <c r="M2932" s="52">
        <f>VLOOKUP(Tabla3[[#This Row],[Site]],'Important Info!'!$A$1:$F$135,3,FALSE)</f>
        <v>1</v>
      </c>
      <c r="N2932" s="52" t="str">
        <f>VLOOKUP(Tabla3[[#This Row],[Site]],'Important Info!'!$A$1:$F$135,4,FALSE)</f>
        <v>-</v>
      </c>
      <c r="O2932" s="52" t="str">
        <f>VLOOKUP(Tabla3[[#This Row],[Site]],'Important Info!'!$A$1:$F$135,5,FALSE)</f>
        <v>-</v>
      </c>
      <c r="P2932" s="52" t="str">
        <f>VLOOKUP(Tabla3[[#This Row],[Site]],'Important Info!'!$A$1:$F$135,6,FALSE)</f>
        <v>1, 2, 8</v>
      </c>
      <c r="Q2932" s="91">
        <f>VLOOKUP(Tabla3[[#This Row],[Site]],'Important Info!'!$A$1:$J$135,9,FALSE)</f>
        <v>166</v>
      </c>
    </row>
    <row r="2933" spans="1:17" x14ac:dyDescent="0.25">
      <c r="A2933" t="str">
        <f>+Tabla3[[#This Row],[Site]]&amp;Tabla3[[#This Row],[Split]]</f>
        <v>(ML) Joe Machens Nissan29</v>
      </c>
      <c r="B2933">
        <v>29</v>
      </c>
      <c r="C2933">
        <v>8</v>
      </c>
      <c r="D2933" t="s">
        <v>33</v>
      </c>
      <c r="E2933" t="s">
        <v>46</v>
      </c>
      <c r="F2933" t="s">
        <v>104</v>
      </c>
      <c r="G2933" t="s">
        <v>34</v>
      </c>
      <c r="H2933" s="52" t="str">
        <f>VLOOKUP(Tabla3[[#This Row],[Site]],'Important Info!'!$A$1:$J$135,10,FALSE)</f>
        <v>https://tools.sig.systems/site/details/279</v>
      </c>
      <c r="I2933" s="43" t="s">
        <v>146</v>
      </c>
      <c r="J2933" t="s">
        <v>41</v>
      </c>
      <c r="K2933" s="79" t="str">
        <f>VLOOKUP(Tabla3[[#This Row],[Site]],'Important Info!'!$A$1:$H$135,8,FALSE)</f>
        <v>-</v>
      </c>
      <c r="L2933" s="52" t="str">
        <f>VLOOKUP(Tabla3[[#This Row],[Site]],'Important Info!'!$A$1:$F$135,2,FALSE)</f>
        <v>-</v>
      </c>
      <c r="M2933" s="52" t="str">
        <f>VLOOKUP(Tabla3[[#This Row],[Site]],'Important Info!'!$A$1:$F$135,3,FALSE)</f>
        <v>1, 3, 16</v>
      </c>
      <c r="N2933" s="52" t="str">
        <f>VLOOKUP(Tabla3[[#This Row],[Site]],'Important Info!'!$A$1:$F$135,4,FALSE)</f>
        <v>-</v>
      </c>
      <c r="O2933" s="52" t="str">
        <f>VLOOKUP(Tabla3[[#This Row],[Site]],'Important Info!'!$A$1:$F$135,5,FALSE)</f>
        <v>-</v>
      </c>
      <c r="P2933" s="52" t="str">
        <f>VLOOKUP(Tabla3[[#This Row],[Site]],'Important Info!'!$A$1:$F$135,6,FALSE)</f>
        <v>-</v>
      </c>
      <c r="Q2933" s="91">
        <f>VLOOKUP(Tabla3[[#This Row],[Site]],'Important Info!'!$A$1:$J$135,9,FALSE)</f>
        <v>279</v>
      </c>
    </row>
    <row r="2934" spans="1:17" x14ac:dyDescent="0.25">
      <c r="A2934" t="str">
        <f>+Tabla3[[#This Row],[Site]]&amp;Tabla3[[#This Row],[Split]]</f>
        <v>(AS) Park Place Acura (NO TOURS)29</v>
      </c>
      <c r="B2934">
        <v>29</v>
      </c>
      <c r="C2934">
        <v>9</v>
      </c>
      <c r="D2934" t="s">
        <v>33</v>
      </c>
      <c r="E2934" t="s">
        <v>46</v>
      </c>
      <c r="F2934" t="s">
        <v>513</v>
      </c>
      <c r="G2934" t="s">
        <v>34</v>
      </c>
      <c r="H2934" s="52" t="str">
        <f>VLOOKUP(Tabla3[[#This Row],[Site]],'Important Info!'!$A$1:$J$135,10,FALSE)</f>
        <v>https://tools.sig.systems/site/details/259</v>
      </c>
      <c r="I2934" s="63" t="s">
        <v>127</v>
      </c>
      <c r="J2934" t="s">
        <v>41</v>
      </c>
      <c r="K2934" s="79" t="str">
        <f>VLOOKUP(Tabla3[[#This Row],[Site]],'Important Info!'!$A$1:$H$135,8,FALSE)</f>
        <v>-</v>
      </c>
      <c r="L2934" s="52" t="str">
        <f>VLOOKUP(Tabla3[[#This Row],[Site]],'Important Info!'!$A$1:$F$135,2,FALSE)</f>
        <v>1, 2, 14, 16</v>
      </c>
      <c r="M2934" s="52" t="str">
        <f>VLOOKUP(Tabla3[[#This Row],[Site]],'Important Info!'!$A$1:$F$135,3,FALSE)</f>
        <v>-</v>
      </c>
      <c r="N2934" s="52" t="str">
        <f>VLOOKUP(Tabla3[[#This Row],[Site]],'Important Info!'!$A$1:$F$135,4,FALSE)</f>
        <v>-</v>
      </c>
      <c r="O2934" s="52" t="str">
        <f>VLOOKUP(Tabla3[[#This Row],[Site]],'Important Info!'!$A$1:$F$135,5,FALSE)</f>
        <v>1, 7, 13</v>
      </c>
      <c r="P2934" s="52" t="str">
        <f>VLOOKUP(Tabla3[[#This Row],[Site]],'Important Info!'!$A$1:$F$135,6,FALSE)</f>
        <v>-</v>
      </c>
      <c r="Q2934" s="91">
        <f>VLOOKUP(Tabla3[[#This Row],[Site]],'Important Info!'!$A$1:$J$135,9,FALSE)</f>
        <v>259</v>
      </c>
    </row>
    <row r="2935" spans="1:17" x14ac:dyDescent="0.25">
      <c r="A2935" t="str">
        <f>+Tabla3[[#This Row],[Site]]&amp;Tabla3[[#This Row],[Split]]</f>
        <v>(AS) Park Place MB Recon Center Dallas (NO TOURS)29</v>
      </c>
      <c r="B2935">
        <v>29</v>
      </c>
      <c r="C2935">
        <v>9</v>
      </c>
      <c r="D2935" t="s">
        <v>33</v>
      </c>
      <c r="E2935" t="s">
        <v>46</v>
      </c>
      <c r="F2935" t="s">
        <v>517</v>
      </c>
      <c r="G2935" t="s">
        <v>34</v>
      </c>
      <c r="H2935" s="52" t="str">
        <f>VLOOKUP(Tabla3[[#This Row],[Site]],'Important Info!'!$A$1:$J$135,10,FALSE)</f>
        <v>https://tools.sig.systems/site/details/170</v>
      </c>
      <c r="I2935" s="65" t="s">
        <v>125</v>
      </c>
      <c r="J2935" t="s">
        <v>41</v>
      </c>
      <c r="K2935" s="79" t="str">
        <f>VLOOKUP(Tabla3[[#This Row],[Site]],'Important Info!'!$A$1:$H$135,8,FALSE)</f>
        <v>-</v>
      </c>
      <c r="L2935" s="52" t="str">
        <f>VLOOKUP(Tabla3[[#This Row],[Site]],'Important Info!'!$A$1:$F$135,2,FALSE)</f>
        <v>3, 39</v>
      </c>
      <c r="M2935" s="52" t="str">
        <f>VLOOKUP(Tabla3[[#This Row],[Site]],'Important Info!'!$A$1:$F$135,3,FALSE)</f>
        <v>-</v>
      </c>
      <c r="N2935" s="52" t="str">
        <f>VLOOKUP(Tabla3[[#This Row],[Site]],'Important Info!'!$A$1:$F$135,4,FALSE)</f>
        <v>-</v>
      </c>
      <c r="O2935" s="52" t="str">
        <f>VLOOKUP(Tabla3[[#This Row],[Site]],'Important Info!'!$A$1:$F$135,5,FALSE)</f>
        <v>4, 11</v>
      </c>
      <c r="P2935" s="52">
        <f>VLOOKUP(Tabla3[[#This Row],[Site]],'Important Info!'!$A$1:$F$135,6,FALSE)</f>
        <v>1</v>
      </c>
      <c r="Q2935" s="91">
        <f>VLOOKUP(Tabla3[[#This Row],[Site]],'Important Info!'!$A$1:$J$135,9,FALSE)</f>
        <v>170</v>
      </c>
    </row>
    <row r="2936" spans="1:17" x14ac:dyDescent="0.25">
      <c r="A2936" t="str">
        <f>+Tabla3[[#This Row],[Site]]&amp;Tabla3[[#This Row],[Split]]</f>
        <v>(ML) Joe Machens Kia of Columbia29</v>
      </c>
      <c r="B2936">
        <v>29</v>
      </c>
      <c r="C2936">
        <v>9</v>
      </c>
      <c r="D2936" t="s">
        <v>33</v>
      </c>
      <c r="E2936" t="s">
        <v>46</v>
      </c>
      <c r="F2936" t="s">
        <v>149</v>
      </c>
      <c r="G2936" t="s">
        <v>34</v>
      </c>
      <c r="H2936" s="52" t="str">
        <f>VLOOKUP(Tabla3[[#This Row],[Site]],'Important Info!'!$A$1:$J$135,10,FALSE)</f>
        <v>https://tools.sig.systems/site/details/270</v>
      </c>
      <c r="I2936" s="2" t="s">
        <v>146</v>
      </c>
      <c r="J2936" t="s">
        <v>41</v>
      </c>
      <c r="K2936" s="79" t="str">
        <f>VLOOKUP(Tabla3[[#This Row],[Site]],'Important Info!'!$A$1:$H$135,8,FALSE)</f>
        <v>-</v>
      </c>
      <c r="L2936" s="52" t="str">
        <f>VLOOKUP(Tabla3[[#This Row],[Site]],'Important Info!'!$A$1:$F$135,2,FALSE)</f>
        <v>-</v>
      </c>
      <c r="M2936" s="52" t="str">
        <f>VLOOKUP(Tabla3[[#This Row],[Site]],'Important Info!'!$A$1:$F$135,3,FALSE)</f>
        <v>1, 2, 5, 6, 9, 13, 15</v>
      </c>
      <c r="N2936" s="52" t="str">
        <f>VLOOKUP(Tabla3[[#This Row],[Site]],'Important Info!'!$A$1:$F$135,4,FALSE)</f>
        <v>-</v>
      </c>
      <c r="O2936" s="52" t="str">
        <f>VLOOKUP(Tabla3[[#This Row],[Site]],'Important Info!'!$A$1:$F$135,5,FALSE)</f>
        <v>-</v>
      </c>
      <c r="P2936" s="52" t="str">
        <f>VLOOKUP(Tabla3[[#This Row],[Site]],'Important Info!'!$A$1:$F$135,6,FALSE)</f>
        <v>10, 11, 13</v>
      </c>
      <c r="Q2936" s="91">
        <f>VLOOKUP(Tabla3[[#This Row],[Site]],'Important Info!'!$A$1:$J$135,9,FALSE)</f>
        <v>270</v>
      </c>
    </row>
    <row r="2937" spans="1:17" x14ac:dyDescent="0.25">
      <c r="A2937" t="str">
        <f>+Tabla3[[#This Row],[Site]]&amp;Tabla3[[#This Row],[Split]]</f>
        <v>(SCH) Delray I &amp; II29</v>
      </c>
      <c r="B2937">
        <v>29</v>
      </c>
      <c r="C2937">
        <v>9</v>
      </c>
      <c r="D2937" t="s">
        <v>62</v>
      </c>
      <c r="E2937" t="s">
        <v>35</v>
      </c>
      <c r="F2937" t="s">
        <v>67</v>
      </c>
      <c r="G2937" t="s">
        <v>490</v>
      </c>
      <c r="H2937" s="52" t="str">
        <f>VLOOKUP(Tabla3[[#This Row],[Site]],'Important Info!'!$A$1:$J$135,10,FALSE)</f>
        <v>https://tools.sig.systems/site/details/159</v>
      </c>
      <c r="I2937" s="43"/>
      <c r="J2937" t="s">
        <v>36</v>
      </c>
      <c r="K2937" s="79" t="str">
        <f>VLOOKUP(Tabla3[[#This Row],[Site]],'Important Info!'!$A$1:$H$135,8,FALSE)</f>
        <v>-</v>
      </c>
      <c r="L2937" s="52" t="str">
        <f>VLOOKUP(Tabla3[[#This Row],[Site]],'Important Info!'!$A$1:$F$135,2,FALSE)</f>
        <v>5, 28, 31</v>
      </c>
      <c r="M2937" s="52" t="str">
        <f>VLOOKUP(Tabla3[[#This Row],[Site]],'Important Info!'!$A$1:$F$135,3,FALSE)</f>
        <v>1, 29</v>
      </c>
      <c r="N2937" s="52">
        <f>VLOOKUP(Tabla3[[#This Row],[Site]],'Important Info!'!$A$1:$F$135,4,FALSE)</f>
        <v>6</v>
      </c>
      <c r="O2937" s="52" t="str">
        <f>VLOOKUP(Tabla3[[#This Row],[Site]],'Important Info!'!$A$1:$F$135,5,FALSE)</f>
        <v>-</v>
      </c>
      <c r="P2937" s="52" t="str">
        <f>VLOOKUP(Tabla3[[#This Row],[Site]],'Important Info!'!$A$1:$F$135,6,FALSE)</f>
        <v>1, 35, 36</v>
      </c>
      <c r="Q2937" s="91">
        <f>VLOOKUP(Tabla3[[#This Row],[Site]],'Important Info!'!$A$1:$J$135,9,FALSE)</f>
        <v>159</v>
      </c>
    </row>
    <row r="2938" spans="1:17" x14ac:dyDescent="0.25">
      <c r="A2938" t="str">
        <f>+Tabla3[[#This Row],[Site]]&amp;Tabla3[[#This Row],[Split]]</f>
        <v>(SCH) West Palm Beach I, II &amp; III29</v>
      </c>
      <c r="B2938">
        <v>29</v>
      </c>
      <c r="C2938">
        <v>10</v>
      </c>
      <c r="D2938" t="s">
        <v>492</v>
      </c>
      <c r="E2938" t="s">
        <v>35</v>
      </c>
      <c r="F2938" t="s">
        <v>96</v>
      </c>
      <c r="G2938" t="s">
        <v>490</v>
      </c>
      <c r="H2938" s="52" t="str">
        <f>VLOOKUP(Tabla3[[#This Row],[Site]],'Important Info!'!$A$1:$J$135,10,FALSE)</f>
        <v>https://tools.sig.systems/site/details/162</v>
      </c>
      <c r="I2938" s="43"/>
      <c r="J2938" t="s">
        <v>36</v>
      </c>
      <c r="K2938" s="79" t="str">
        <f>VLOOKUP(Tabla3[[#This Row],[Site]],'Important Info!'!$A$1:$H$135,8,FALSE)</f>
        <v>SUNDAY: Log in at 5:30 p.m. ET.</v>
      </c>
      <c r="L2938" s="52" t="str">
        <f>VLOOKUP(Tabla3[[#This Row],[Site]],'Important Info!'!$A$1:$F$135,2,FALSE)</f>
        <v>34, 62</v>
      </c>
      <c r="M2938" s="52" t="str">
        <f>VLOOKUP(Tabla3[[#This Row],[Site]],'Important Info!'!$A$1:$F$135,3,FALSE)</f>
        <v xml:space="preserve">6, 7, 11, 13, </v>
      </c>
      <c r="N2938" s="52" t="str">
        <f>VLOOKUP(Tabla3[[#This Row],[Site]],'Important Info!'!$A$1:$F$135,4,FALSE)</f>
        <v>20, 21</v>
      </c>
      <c r="O2938" s="52" t="str">
        <f>VLOOKUP(Tabla3[[#This Row],[Site]],'Important Info!'!$A$1:$F$135,5,FALSE)</f>
        <v>-</v>
      </c>
      <c r="P2938" s="52" t="str">
        <f>VLOOKUP(Tabla3[[#This Row],[Site]],'Important Info!'!$A$1:$F$135,6,FALSE)</f>
        <v>1, 2, 3, 131, 132</v>
      </c>
      <c r="Q2938" s="91">
        <f>VLOOKUP(Tabla3[[#This Row],[Site]],'Important Info!'!$A$1:$J$135,9,FALSE)</f>
        <v>162</v>
      </c>
    </row>
    <row r="2939" spans="1:17" x14ac:dyDescent="0.25">
      <c r="A2939" t="str">
        <f>+Tabla3[[#This Row],[Site]]&amp;Tabla3[[#This Row],[Split]]</f>
        <v>(AS) David McDavid Lincoln Frisco (NO TOURS)29</v>
      </c>
      <c r="B2939">
        <v>29</v>
      </c>
      <c r="C2939">
        <v>11</v>
      </c>
      <c r="D2939" t="s">
        <v>33</v>
      </c>
      <c r="E2939" t="s">
        <v>46</v>
      </c>
      <c r="F2939" t="s">
        <v>507</v>
      </c>
      <c r="G2939" t="s">
        <v>34</v>
      </c>
      <c r="H2939" s="52" t="str">
        <f>VLOOKUP(Tabla3[[#This Row],[Site]],'Important Info!'!$A$1:$J$135,10,FALSE)</f>
        <v>https://tools.sig.systems/site/details/182</v>
      </c>
      <c r="I2939" s="43"/>
      <c r="J2939" t="s">
        <v>41</v>
      </c>
      <c r="K2939" s="79" t="str">
        <f>VLOOKUP(Tabla3[[#This Row],[Site]],'Important Info!'!$A$1:$H$135,8,FALSE)</f>
        <v>-</v>
      </c>
      <c r="L2939" s="52" t="str">
        <f>VLOOKUP(Tabla3[[#This Row],[Site]],'Important Info!'!$A$1:$F$135,2,FALSE)</f>
        <v>1, 2, 11</v>
      </c>
      <c r="M2939" s="52" t="str">
        <f>VLOOKUP(Tabla3[[#This Row],[Site]],'Important Info!'!$A$1:$F$135,3,FALSE)</f>
        <v>-</v>
      </c>
      <c r="N2939" s="52" t="str">
        <f>VLOOKUP(Tabla3[[#This Row],[Site]],'Important Info!'!$A$1:$F$135,4,FALSE)</f>
        <v>-</v>
      </c>
      <c r="O2939" s="52" t="str">
        <f>VLOOKUP(Tabla3[[#This Row],[Site]],'Important Info!'!$A$1:$F$135,5,FALSE)</f>
        <v>11, 16, 20</v>
      </c>
      <c r="P2939" s="52" t="str">
        <f>VLOOKUP(Tabla3[[#This Row],[Site]],'Important Info!'!$A$1:$F$135,6,FALSE)</f>
        <v>11, 12, 13, 14</v>
      </c>
      <c r="Q2939" s="91">
        <f>VLOOKUP(Tabla3[[#This Row],[Site]],'Important Info!'!$A$1:$J$135,9,FALSE)</f>
        <v>182</v>
      </c>
    </row>
    <row r="2940" spans="1:17" x14ac:dyDescent="0.25">
      <c r="A2940" t="str">
        <f>+Tabla3[[#This Row],[Site]]&amp;Tabla3[[#This Row],[Split]]</f>
        <v>(AS) Nalley BMW Collision Center (NO TOURS)29</v>
      </c>
      <c r="B2940">
        <v>29</v>
      </c>
      <c r="C2940">
        <v>11</v>
      </c>
      <c r="D2940" t="s">
        <v>62</v>
      </c>
      <c r="E2940" t="s">
        <v>35</v>
      </c>
      <c r="F2940" t="s">
        <v>510</v>
      </c>
      <c r="G2940" t="s">
        <v>490</v>
      </c>
      <c r="H2940" s="52" t="str">
        <f>VLOOKUP(Tabla3[[#This Row],[Site]],'Important Info!'!$A$1:$J$135,10,FALSE)</f>
        <v>https://tools.sig.systems/site/details/220</v>
      </c>
      <c r="I2940" s="43"/>
      <c r="J2940" t="s">
        <v>41</v>
      </c>
      <c r="K2940" s="79" t="str">
        <f>VLOOKUP(Tabla3[[#This Row],[Site]],'Important Info!'!$A$1:$H$135,8,FALSE)</f>
        <v>-</v>
      </c>
      <c r="L2940" s="52" t="str">
        <f>VLOOKUP(Tabla3[[#This Row],[Site]],'Important Info!'!$A$1:$F$135,2,FALSE)</f>
        <v>-</v>
      </c>
      <c r="M2940" s="52">
        <f>VLOOKUP(Tabla3[[#This Row],[Site]],'Important Info!'!$A$1:$F$135,3,FALSE)</f>
        <v>4</v>
      </c>
      <c r="N2940" s="52" t="str">
        <f>VLOOKUP(Tabla3[[#This Row],[Site]],'Important Info!'!$A$1:$F$135,4,FALSE)</f>
        <v>-</v>
      </c>
      <c r="O2940" s="52">
        <f>VLOOKUP(Tabla3[[#This Row],[Site]],'Important Info!'!$A$1:$F$135,5,FALSE)</f>
        <v>12</v>
      </c>
      <c r="P2940" s="52" t="str">
        <f>VLOOKUP(Tabla3[[#This Row],[Site]],'Important Info!'!$A$1:$F$135,6,FALSE)</f>
        <v>13, 15</v>
      </c>
      <c r="Q2940" s="91">
        <f>VLOOKUP(Tabla3[[#This Row],[Site]],'Important Info!'!$A$1:$J$135,9,FALSE)</f>
        <v>220</v>
      </c>
    </row>
    <row r="2941" spans="1:17" x14ac:dyDescent="0.25">
      <c r="A2941" t="str">
        <f>+Tabla3[[#This Row],[Site]]&amp;Tabla3[[#This Row],[Split]]</f>
        <v>(ML) Volvo Collision Corp29</v>
      </c>
      <c r="B2941">
        <v>29</v>
      </c>
      <c r="C2941">
        <v>11</v>
      </c>
      <c r="D2941" t="s">
        <v>33</v>
      </c>
      <c r="E2941" t="s">
        <v>46</v>
      </c>
      <c r="F2941" t="s">
        <v>106</v>
      </c>
      <c r="G2941" t="s">
        <v>34</v>
      </c>
      <c r="H2941" s="52" t="str">
        <f>VLOOKUP(Tabla3[[#This Row],[Site]],'Important Info!'!$A$1:$J$135,10,FALSE)</f>
        <v>https://tools.sig.systems/site/details/223</v>
      </c>
      <c r="I2941" s="43"/>
      <c r="J2941" t="s">
        <v>41</v>
      </c>
      <c r="K2941" s="79" t="str">
        <f>VLOOKUP(Tabla3[[#This Row],[Site]],'Important Info!'!$A$1:$H$135,8,FALSE)</f>
        <v>-</v>
      </c>
      <c r="L2941" s="52" t="str">
        <f>VLOOKUP(Tabla3[[#This Row],[Site]],'Important Info!'!$A$1:$F$135,2,FALSE)</f>
        <v>7, 11</v>
      </c>
      <c r="M2941" s="52">
        <f>VLOOKUP(Tabla3[[#This Row],[Site]],'Important Info!'!$A$1:$F$135,3,FALSE)</f>
        <v>4</v>
      </c>
      <c r="N2941" s="52" t="str">
        <f>VLOOKUP(Tabla3[[#This Row],[Site]],'Important Info!'!$A$1:$F$135,4,FALSE)</f>
        <v>-</v>
      </c>
      <c r="O2941" s="52">
        <f>VLOOKUP(Tabla3[[#This Row],[Site]],'Important Info!'!$A$1:$F$135,5,FALSE)</f>
        <v>18</v>
      </c>
      <c r="P2941" s="52" t="str">
        <f>VLOOKUP(Tabla3[[#This Row],[Site]],'Important Info!'!$A$1:$F$135,6,FALSE)</f>
        <v>-</v>
      </c>
      <c r="Q2941" s="91">
        <f>VLOOKUP(Tabla3[[#This Row],[Site]],'Important Info!'!$A$1:$J$135,9,FALSE)</f>
        <v>223</v>
      </c>
    </row>
    <row r="2942" spans="1:17" x14ac:dyDescent="0.25">
      <c r="A2942" t="str">
        <f>+Tabla3[[#This Row],[Site]]&amp;Tabla3[[#This Row],[Split]]</f>
        <v>(PE) Fairfield Collision (NO TOURS)29</v>
      </c>
      <c r="B2942">
        <v>29</v>
      </c>
      <c r="C2942">
        <v>11</v>
      </c>
      <c r="D2942" t="s">
        <v>485</v>
      </c>
      <c r="E2942" t="s">
        <v>35</v>
      </c>
      <c r="F2942" t="s">
        <v>63</v>
      </c>
      <c r="G2942" t="s">
        <v>490</v>
      </c>
      <c r="H2942" s="52" t="str">
        <f>VLOOKUP(Tabla3[[#This Row],[Site]],'Important Info!'!$A$1:$J$135,10,FALSE)</f>
        <v>https://tools.sig.systems/site/details/191</v>
      </c>
      <c r="J2942" t="s">
        <v>41</v>
      </c>
      <c r="K2942" s="79" t="str">
        <f>VLOOKUP(Tabla3[[#This Row],[Site]],'Important Info!'!$A$1:$H$135,8,FALSE)</f>
        <v>-</v>
      </c>
      <c r="L2942" s="52">
        <f>VLOOKUP(Tabla3[[#This Row],[Site]],'Important Info!'!$A$1:$F$135,2,FALSE)</f>
        <v>4</v>
      </c>
      <c r="M2942" s="52" t="str">
        <f>VLOOKUP(Tabla3[[#This Row],[Site]],'Important Info!'!$A$1:$F$135,3,FALSE)</f>
        <v>-</v>
      </c>
      <c r="N2942" s="52" t="str">
        <f>VLOOKUP(Tabla3[[#This Row],[Site]],'Important Info!'!$A$1:$F$135,4,FALSE)</f>
        <v>-</v>
      </c>
      <c r="O2942" s="52" t="str">
        <f>VLOOKUP(Tabla3[[#This Row],[Site]],'Important Info!'!$A$1:$F$135,5,FALSE)</f>
        <v>-</v>
      </c>
      <c r="P2942" s="52" t="str">
        <f>VLOOKUP(Tabla3[[#This Row],[Site]],'Important Info!'!$A$1:$F$135,6,FALSE)</f>
        <v>1, 2, 3, 4, 5, 6</v>
      </c>
      <c r="Q2942" s="91">
        <f>VLOOKUP(Tabla3[[#This Row],[Site]],'Important Info!'!$A$1:$J$135,9,FALSE)</f>
        <v>191</v>
      </c>
    </row>
    <row r="2943" spans="1:17" x14ac:dyDescent="0.25">
      <c r="A2943" t="str">
        <f>+Tabla3[[#This Row],[Site]]&amp;Tabla3[[#This Row],[Split]]</f>
        <v>(PE) JLR PDI (NO TOURS)29</v>
      </c>
      <c r="B2943">
        <v>29</v>
      </c>
      <c r="C2943">
        <v>11</v>
      </c>
      <c r="D2943" t="s">
        <v>485</v>
      </c>
      <c r="E2943" t="s">
        <v>35</v>
      </c>
      <c r="F2943" t="s">
        <v>114</v>
      </c>
      <c r="G2943" t="s">
        <v>490</v>
      </c>
      <c r="H2943" s="52" t="str">
        <f>VLOOKUP(Tabla3[[#This Row],[Site]],'Important Info!'!$A$1:$J$135,10,FALSE)</f>
        <v>https://tools.sig.systems/site/details/179</v>
      </c>
      <c r="I2943" t="s">
        <v>176</v>
      </c>
      <c r="J2943" t="s">
        <v>41</v>
      </c>
      <c r="K2943" s="79" t="str">
        <f>VLOOKUP(Tabla3[[#This Row],[Site]],'Important Info!'!$A$1:$H$135,8,FALSE)</f>
        <v>-</v>
      </c>
      <c r="L2943" s="52" t="str">
        <f>VLOOKUP(Tabla3[[#This Row],[Site]],'Important Info!'!$A$1:$F$135,2,FALSE)</f>
        <v>3, 8</v>
      </c>
      <c r="M2943" s="52" t="str">
        <f>VLOOKUP(Tabla3[[#This Row],[Site]],'Important Info!'!$A$1:$F$135,3,FALSE)</f>
        <v>-</v>
      </c>
      <c r="N2943" s="52" t="str">
        <f>VLOOKUP(Tabla3[[#This Row],[Site]],'Important Info!'!$A$1:$F$135,4,FALSE)</f>
        <v>-</v>
      </c>
      <c r="O2943" s="52" t="str">
        <f>VLOOKUP(Tabla3[[#This Row],[Site]],'Important Info!'!$A$1:$F$135,5,FALSE)</f>
        <v>-</v>
      </c>
      <c r="P2943" s="52" t="str">
        <f>VLOOKUP(Tabla3[[#This Row],[Site]],'Important Info!'!$A$1:$F$135,6,FALSE)</f>
        <v>-</v>
      </c>
      <c r="Q2943" s="91">
        <f>VLOOKUP(Tabla3[[#This Row],[Site]],'Important Info!'!$A$1:$J$135,9,FALSE)</f>
        <v>179</v>
      </c>
    </row>
    <row r="2944" spans="1:17" x14ac:dyDescent="0.25">
      <c r="A2944" t="str">
        <f>+Tabla3[[#This Row],[Site]]&amp;Tabla3[[#This Row],[Split]]</f>
        <v>(AS) Courtesy CDJR of Brandon (NO TOURS)29</v>
      </c>
      <c r="B2944">
        <v>29</v>
      </c>
      <c r="C2944">
        <v>12</v>
      </c>
      <c r="D2944" t="s">
        <v>62</v>
      </c>
      <c r="E2944" t="s">
        <v>35</v>
      </c>
      <c r="F2944" t="s">
        <v>503</v>
      </c>
      <c r="G2944" t="s">
        <v>490</v>
      </c>
      <c r="H2944" s="52" t="str">
        <f>VLOOKUP(Tabla3[[#This Row],[Site]],'Important Info!'!$A$1:$J$135,10,FALSE)</f>
        <v>https://tools.sig.systems/site/details/126</v>
      </c>
      <c r="I2944" s="2" t="s">
        <v>181</v>
      </c>
      <c r="J2944" t="s">
        <v>484</v>
      </c>
      <c r="K2944" s="79" t="str">
        <f>VLOOKUP(Tabla3[[#This Row],[Site]],'Important Info!'!$A$1:$H$135,8,FALSE)</f>
        <v>-</v>
      </c>
      <c r="L2944" s="52" t="str">
        <f>VLOOKUP(Tabla3[[#This Row],[Site]],'Important Info!'!$A$1:$F$135,2,FALSE)</f>
        <v>1, 14, 15</v>
      </c>
      <c r="M2944" s="52">
        <f>VLOOKUP(Tabla3[[#This Row],[Site]],'Important Info!'!$A$1:$F$135,3,FALSE)</f>
        <v>1</v>
      </c>
      <c r="N2944" s="52" t="str">
        <f>VLOOKUP(Tabla3[[#This Row],[Site]],'Important Info!'!$A$1:$F$135,4,FALSE)</f>
        <v>-</v>
      </c>
      <c r="O2944" s="52" t="str">
        <f>VLOOKUP(Tabla3[[#This Row],[Site]],'Important Info!'!$A$1:$F$135,5,FALSE)</f>
        <v>2, 12</v>
      </c>
      <c r="P2944" s="52" t="str">
        <f>VLOOKUP(Tabla3[[#This Row],[Site]],'Important Info!'!$A$1:$F$135,6,FALSE)</f>
        <v xml:space="preserve">1, 2, 3, 4, 14, 15, 21, 25 </v>
      </c>
      <c r="Q2944" s="91">
        <f>VLOOKUP(Tabla3[[#This Row],[Site]],'Important Info!'!$A$1:$J$135,9,FALSE)</f>
        <v>126</v>
      </c>
    </row>
    <row r="2945" spans="1:17" x14ac:dyDescent="0.25">
      <c r="A2945" t="str">
        <f>+Tabla3[[#This Row],[Site]]&amp;Tabla3[[#This Row],[Split]]</f>
        <v>(HUD) Acura of Greensboro29</v>
      </c>
      <c r="B2945">
        <v>29</v>
      </c>
      <c r="C2945">
        <v>12</v>
      </c>
      <c r="D2945" t="s">
        <v>62</v>
      </c>
      <c r="E2945" t="s">
        <v>35</v>
      </c>
      <c r="F2945" t="s">
        <v>100</v>
      </c>
      <c r="G2945" t="s">
        <v>490</v>
      </c>
      <c r="H2945" s="52" t="str">
        <f>VLOOKUP(Tabla3[[#This Row],[Site]],'Important Info!'!$A$1:$J$135,10,FALSE)</f>
        <v>https://tools.sig.systems/site/details/213</v>
      </c>
      <c r="I2945" t="s">
        <v>182</v>
      </c>
      <c r="J2945" t="s">
        <v>41</v>
      </c>
      <c r="K2945" s="79" t="str">
        <f>VLOOKUP(Tabla3[[#This Row],[Site]],'Important Info!'!$A$1:$H$135,8,FALSE)</f>
        <v>-</v>
      </c>
      <c r="L2945" s="52" t="str">
        <f>VLOOKUP(Tabla3[[#This Row],[Site]],'Important Info!'!$A$1:$F$135,2,FALSE)</f>
        <v>1, 2, 6, 7, 9</v>
      </c>
      <c r="M2945" s="52" t="str">
        <f>VLOOKUP(Tabla3[[#This Row],[Site]],'Important Info!'!$A$1:$F$135,3,FALSE)</f>
        <v>-</v>
      </c>
      <c r="N2945" s="52" t="str">
        <f>VLOOKUP(Tabla3[[#This Row],[Site]],'Important Info!'!$A$1:$F$135,4,FALSE)</f>
        <v>-</v>
      </c>
      <c r="O2945" s="52" t="str">
        <f>VLOOKUP(Tabla3[[#This Row],[Site]],'Important Info!'!$A$1:$F$135,5,FALSE)</f>
        <v>2, 5</v>
      </c>
      <c r="P2945" s="52" t="str">
        <f>VLOOKUP(Tabla3[[#This Row],[Site]],'Important Info!'!$A$1:$F$135,6,FALSE)</f>
        <v>1, 2, 6, 7, 9, 18</v>
      </c>
      <c r="Q2945" s="91">
        <f>VLOOKUP(Tabla3[[#This Row],[Site]],'Important Info!'!$A$1:$J$135,9,FALSE)</f>
        <v>213</v>
      </c>
    </row>
    <row r="2946" spans="1:17" x14ac:dyDescent="0.25">
      <c r="A2946" t="str">
        <f>+Tabla3[[#This Row],[Site]]&amp;Tabla3[[#This Row],[Split]]</f>
        <v>(KG) Big Star CDJR of Clear Lake29</v>
      </c>
      <c r="B2946">
        <v>29</v>
      </c>
      <c r="C2946">
        <v>12</v>
      </c>
      <c r="D2946" t="s">
        <v>33</v>
      </c>
      <c r="E2946" t="s">
        <v>46</v>
      </c>
      <c r="F2946" t="s">
        <v>133</v>
      </c>
      <c r="G2946" t="s">
        <v>34</v>
      </c>
      <c r="H2946" s="52" t="str">
        <f>VLOOKUP(Tabla3[[#This Row],[Site]],'Important Info!'!$A$1:$J$135,10,FALSE)</f>
        <v>https://tools.sig.systems/site/details/232</v>
      </c>
      <c r="I2946" s="43" t="s">
        <v>134</v>
      </c>
      <c r="J2946" t="s">
        <v>41</v>
      </c>
      <c r="K2946" s="79" t="str">
        <f>VLOOKUP(Tabla3[[#This Row],[Site]],'Important Info!'!$A$1:$H$135,8,FALSE)</f>
        <v>-</v>
      </c>
      <c r="L2946" s="52" t="str">
        <f>VLOOKUP(Tabla3[[#This Row],[Site]],'Important Info!'!$A$1:$F$135,2,FALSE)</f>
        <v>8, 25</v>
      </c>
      <c r="M2946" s="52" t="str">
        <f>VLOOKUP(Tabla3[[#This Row],[Site]],'Important Info!'!$A$1:$F$135,3,FALSE)</f>
        <v>-</v>
      </c>
      <c r="N2946" s="52" t="str">
        <f>VLOOKUP(Tabla3[[#This Row],[Site]],'Important Info!'!$A$1:$F$135,4,FALSE)</f>
        <v>-</v>
      </c>
      <c r="O2946" s="52" t="str">
        <f>VLOOKUP(Tabla3[[#This Row],[Site]],'Important Info!'!$A$1:$F$135,5,FALSE)</f>
        <v>7, 13, 19, 24</v>
      </c>
      <c r="P2946" s="52" t="str">
        <f>VLOOKUP(Tabla3[[#This Row],[Site]],'Important Info!'!$A$1:$F$135,6,FALSE)</f>
        <v>6, 8, 25, 31</v>
      </c>
      <c r="Q2946" s="91">
        <f>VLOOKUP(Tabla3[[#This Row],[Site]],'Important Info!'!$A$1:$J$135,9,FALSE)</f>
        <v>232</v>
      </c>
    </row>
    <row r="2947" spans="1:17" x14ac:dyDescent="0.25">
      <c r="A2947" t="str">
        <f>+Tabla3[[#This Row],[Site]]&amp;Tabla3[[#This Row],[Split]]</f>
        <v>(MK) McKenny Salinas Honda29</v>
      </c>
      <c r="B2947">
        <v>29</v>
      </c>
      <c r="C2947">
        <v>12</v>
      </c>
      <c r="D2947" t="s">
        <v>62</v>
      </c>
      <c r="E2947" t="s">
        <v>35</v>
      </c>
      <c r="F2947" t="s">
        <v>115</v>
      </c>
      <c r="G2947" t="s">
        <v>490</v>
      </c>
      <c r="H2947" s="52" t="str">
        <f>VLOOKUP(Tabla3[[#This Row],[Site]],'Important Info!'!$A$1:$J$135,10,FALSE)</f>
        <v>https://tools.sig.systems/site/details/149</v>
      </c>
      <c r="J2947" t="s">
        <v>41</v>
      </c>
      <c r="K2947" s="79" t="str">
        <f>VLOOKUP(Tabla3[[#This Row],[Site]],'Important Info!'!$A$1:$H$135,8,FALSE)</f>
        <v>-</v>
      </c>
      <c r="L2947" s="52" t="str">
        <f>VLOOKUP(Tabla3[[#This Row],[Site]],'Important Info!'!$A$1:$F$135,2,FALSE)</f>
        <v>-</v>
      </c>
      <c r="M2947" s="52" t="str">
        <f>VLOOKUP(Tabla3[[#This Row],[Site]],'Important Info!'!$A$1:$F$135,3,FALSE)</f>
        <v>12, 16</v>
      </c>
      <c r="N2947" s="52" t="str">
        <f>VLOOKUP(Tabla3[[#This Row],[Site]],'Important Info!'!$A$1:$F$135,4,FALSE)</f>
        <v>-</v>
      </c>
      <c r="O2947" s="52" t="str">
        <f>VLOOKUP(Tabla3[[#This Row],[Site]],'Important Info!'!$A$1:$F$135,5,FALSE)</f>
        <v>-</v>
      </c>
      <c r="P2947" s="52" t="str">
        <f>VLOOKUP(Tabla3[[#This Row],[Site]],'Important Info!'!$A$1:$F$135,6,FALSE)</f>
        <v>3, 4, 5, 6, 16</v>
      </c>
      <c r="Q2947" s="91">
        <f>VLOOKUP(Tabla3[[#This Row],[Site]],'Important Info!'!$A$1:$J$135,9,FALSE)</f>
        <v>149</v>
      </c>
    </row>
    <row r="2948" spans="1:17" x14ac:dyDescent="0.25">
      <c r="A2948" t="str">
        <f>+Tabla3[[#This Row],[Site]]&amp;Tabla3[[#This Row],[Split]]</f>
        <v>(PE) Mercedes Benz &amp; Smart Bldg. of Fairfield (NO TOURS)29</v>
      </c>
      <c r="B2948">
        <v>29</v>
      </c>
      <c r="C2948">
        <v>12</v>
      </c>
      <c r="D2948" t="s">
        <v>485</v>
      </c>
      <c r="E2948" t="s">
        <v>35</v>
      </c>
      <c r="F2948" t="s">
        <v>64</v>
      </c>
      <c r="G2948" t="s">
        <v>490</v>
      </c>
      <c r="H2948" s="52" t="str">
        <f>VLOOKUP(Tabla3[[#This Row],[Site]],'Important Info!'!$A$1:$J$135,10,FALSE)</f>
        <v>https://tools.sig.systems/site/details/192</v>
      </c>
      <c r="I2948" t="s">
        <v>177</v>
      </c>
      <c r="J2948" t="s">
        <v>41</v>
      </c>
      <c r="K2948" s="79" t="str">
        <f>VLOOKUP(Tabla3[[#This Row],[Site]],'Important Info!'!$A$1:$H$135,8,FALSE)</f>
        <v>-</v>
      </c>
      <c r="L2948" s="52" t="str">
        <f>VLOOKUP(Tabla3[[#This Row],[Site]],'Important Info!'!$A$1:$F$135,2,FALSE)</f>
        <v>-</v>
      </c>
      <c r="M2948" s="52">
        <f>VLOOKUP(Tabla3[[#This Row],[Site]],'Important Info!'!$A$1:$F$135,3,FALSE)</f>
        <v>1</v>
      </c>
      <c r="N2948" s="52" t="str">
        <f>VLOOKUP(Tabla3[[#This Row],[Site]],'Important Info!'!$A$1:$F$135,4,FALSE)</f>
        <v>-</v>
      </c>
      <c r="O2948" s="52" t="str">
        <f>VLOOKUP(Tabla3[[#This Row],[Site]],'Important Info!'!$A$1:$F$135,5,FALSE)</f>
        <v>11, 13</v>
      </c>
      <c r="P2948" s="52">
        <f>VLOOKUP(Tabla3[[#This Row],[Site]],'Important Info!'!$A$1:$F$135,6,FALSE)</f>
        <v>1</v>
      </c>
      <c r="Q2948" s="91">
        <f>VLOOKUP(Tabla3[[#This Row],[Site]],'Important Info!'!$A$1:$J$135,9,FALSE)</f>
        <v>192</v>
      </c>
    </row>
    <row r="2949" spans="1:17" x14ac:dyDescent="0.25">
      <c r="A2949" t="str">
        <f>+Tabla3[[#This Row],[Site]]&amp;Tabla3[[#This Row],[Split]]</f>
        <v>(AS) David McDavid Honda I &amp; II (NO TOURS)29</v>
      </c>
      <c r="B2949">
        <v>29</v>
      </c>
      <c r="C2949">
        <v>13</v>
      </c>
      <c r="D2949" t="s">
        <v>33</v>
      </c>
      <c r="E2949" t="s">
        <v>46</v>
      </c>
      <c r="F2949" t="s">
        <v>506</v>
      </c>
      <c r="G2949" t="s">
        <v>34</v>
      </c>
      <c r="H2949" s="52" t="str">
        <f>VLOOKUP(Tabla3[[#This Row],[Site]],'Important Info!'!$A$1:$J$135,10,FALSE)</f>
        <v>https://tools.sig.systems/site/details/129</v>
      </c>
      <c r="J2949" t="s">
        <v>41</v>
      </c>
      <c r="K2949" s="79" t="str">
        <f>VLOOKUP(Tabla3[[#This Row],[Site]],'Important Info!'!$A$1:$H$135,8,FALSE)</f>
        <v>-</v>
      </c>
      <c r="L2949" s="52" t="str">
        <f>VLOOKUP(Tabla3[[#This Row],[Site]],'Important Info!'!$A$1:$F$135,2,FALSE)</f>
        <v>-</v>
      </c>
      <c r="M2949" s="52" t="str">
        <f>VLOOKUP(Tabla3[[#This Row],[Site]],'Important Info!'!$A$1:$F$135,3,FALSE)</f>
        <v>3, 19, 23, 32, 35</v>
      </c>
      <c r="N2949" s="52" t="str">
        <f>VLOOKUP(Tabla3[[#This Row],[Site]],'Important Info!'!$A$1:$F$135,4,FALSE)</f>
        <v>-</v>
      </c>
      <c r="O2949" s="52" t="str">
        <f>VLOOKUP(Tabla3[[#This Row],[Site]],'Important Info!'!$A$1:$F$135,5,FALSE)</f>
        <v>2, 6, 9, 19, 25, 30, 48</v>
      </c>
      <c r="P2949" s="52" t="str">
        <f>VLOOKUP(Tabla3[[#This Row],[Site]],'Important Info!'!$A$1:$F$135,6,FALSE)</f>
        <v>25, 26, 35, 36, 37</v>
      </c>
      <c r="Q2949" s="91">
        <f>VLOOKUP(Tabla3[[#This Row],[Site]],'Important Info!'!$A$1:$J$135,9,FALSE)</f>
        <v>129</v>
      </c>
    </row>
    <row r="2950" spans="1:17" x14ac:dyDescent="0.25">
      <c r="A2950" t="str">
        <f>+Tabla3[[#This Row],[Site]]&amp;Tabla3[[#This Row],[Split]]</f>
        <v>(AS) Plano Auction (NO SPEAKERS)29</v>
      </c>
      <c r="B2950">
        <v>29</v>
      </c>
      <c r="C2950">
        <v>13</v>
      </c>
      <c r="D2950" t="s">
        <v>33</v>
      </c>
      <c r="E2950" t="s">
        <v>46</v>
      </c>
      <c r="F2950" t="s">
        <v>129</v>
      </c>
      <c r="G2950" t="s">
        <v>34</v>
      </c>
      <c r="H2950" s="52" t="str">
        <f>VLOOKUP(Tabla3[[#This Row],[Site]],'Important Info!'!$A$1:$J$135,10,FALSE)</f>
        <v>https://tools.sig.systems/site/details/140</v>
      </c>
      <c r="J2950" t="s">
        <v>41</v>
      </c>
      <c r="K2950" s="79" t="str">
        <f>VLOOKUP(Tabla3[[#This Row],[Site]],'Important Info!'!$A$1:$H$135,8,FALSE)</f>
        <v>-</v>
      </c>
      <c r="L2950" s="52" t="str">
        <f>VLOOKUP(Tabla3[[#This Row],[Site]],'Important Info!'!$A$1:$F$135,2,FALSE)</f>
        <v>-</v>
      </c>
      <c r="M2950" s="52" t="str">
        <f>VLOOKUP(Tabla3[[#This Row],[Site]],'Important Info!'!$A$1:$F$135,3,FALSE)</f>
        <v>3, 4, 19</v>
      </c>
      <c r="N2950" s="52" t="str">
        <f>VLOOKUP(Tabla3[[#This Row],[Site]],'Important Info!'!$A$1:$F$135,4,FALSE)</f>
        <v>-</v>
      </c>
      <c r="O2950" s="52" t="str">
        <f>VLOOKUP(Tabla3[[#This Row],[Site]],'Important Info!'!$A$1:$F$135,5,FALSE)</f>
        <v>5, 19</v>
      </c>
      <c r="P2950" s="52">
        <f>VLOOKUP(Tabla3[[#This Row],[Site]],'Important Info!'!$A$1:$F$135,6,FALSE)</f>
        <v>21</v>
      </c>
      <c r="Q2950" s="91">
        <f>VLOOKUP(Tabla3[[#This Row],[Site]],'Important Info!'!$A$1:$J$135,9,FALSE)</f>
        <v>140</v>
      </c>
    </row>
    <row r="2951" spans="1:17" x14ac:dyDescent="0.25">
      <c r="A2951" t="str">
        <f>+Tabla3[[#This Row],[Site]]&amp;Tabla3[[#This Row],[Split]]</f>
        <v>(HUD) BMW of Greensboro29</v>
      </c>
      <c r="B2951">
        <v>29</v>
      </c>
      <c r="C2951">
        <v>13</v>
      </c>
      <c r="D2951" t="s">
        <v>62</v>
      </c>
      <c r="E2951" t="s">
        <v>35</v>
      </c>
      <c r="F2951" t="s">
        <v>183</v>
      </c>
      <c r="G2951" t="s">
        <v>490</v>
      </c>
      <c r="H2951" s="52" t="str">
        <f>VLOOKUP(Tabla3[[#This Row],[Site]],'Important Info!'!$A$1:$J$135,10,FALSE)</f>
        <v>https://tools.sig.systems/site/details/219</v>
      </c>
      <c r="I2951" s="43" t="s">
        <v>184</v>
      </c>
      <c r="J2951" t="s">
        <v>41</v>
      </c>
      <c r="K2951" s="79" t="str">
        <f>VLOOKUP(Tabla3[[#This Row],[Site]],'Important Info!'!$A$1:$H$135,8,FALSE)</f>
        <v>-</v>
      </c>
      <c r="L2951" s="52" t="str">
        <f>VLOOKUP(Tabla3[[#This Row],[Site]],'Important Info!'!$A$1:$F$135,2,FALSE)</f>
        <v>2, 20, 21</v>
      </c>
      <c r="M2951" s="52" t="str">
        <f>VLOOKUP(Tabla3[[#This Row],[Site]],'Important Info!'!$A$1:$F$135,3,FALSE)</f>
        <v>-</v>
      </c>
      <c r="N2951" s="52" t="str">
        <f>VLOOKUP(Tabla3[[#This Row],[Site]],'Important Info!'!$A$1:$F$135,4,FALSE)</f>
        <v>-</v>
      </c>
      <c r="O2951" s="52" t="str">
        <f>VLOOKUP(Tabla3[[#This Row],[Site]],'Important Info!'!$A$1:$F$135,5,FALSE)</f>
        <v>12, 17</v>
      </c>
      <c r="P2951" s="52" t="str">
        <f>VLOOKUP(Tabla3[[#This Row],[Site]],'Important Info!'!$A$1:$F$135,6,FALSE)</f>
        <v>1, 2, 6, 20</v>
      </c>
      <c r="Q2951" s="91">
        <f>VLOOKUP(Tabla3[[#This Row],[Site]],'Important Info!'!$A$1:$J$135,9,FALSE)</f>
        <v>219</v>
      </c>
    </row>
    <row r="2952" spans="1:17" x14ac:dyDescent="0.25">
      <c r="A2952" t="str">
        <f>+Tabla3[[#This Row],[Site]]&amp;Tabla3[[#This Row],[Split]]</f>
        <v>(AS) Coggin Mercedes Benz Ft Pierce (NO TOURS)29</v>
      </c>
      <c r="B2952">
        <v>29</v>
      </c>
      <c r="C2952">
        <v>14</v>
      </c>
      <c r="D2952" t="s">
        <v>62</v>
      </c>
      <c r="E2952" t="s">
        <v>35</v>
      </c>
      <c r="F2952" t="s">
        <v>502</v>
      </c>
      <c r="G2952" t="s">
        <v>490</v>
      </c>
      <c r="H2952" s="52" t="str">
        <f>VLOOKUP(Tabla3[[#This Row],[Site]],'Important Info!'!$A$1:$J$135,10,FALSE)</f>
        <v>https://tools.sig.systems/site/details/127</v>
      </c>
      <c r="I2952" t="s">
        <v>179</v>
      </c>
      <c r="J2952" t="s">
        <v>41</v>
      </c>
      <c r="K2952" s="79" t="str">
        <f>VLOOKUP(Tabla3[[#This Row],[Site]],'Important Info!'!$A$1:$H$135,8,FALSE)</f>
        <v>-</v>
      </c>
      <c r="L2952" s="52">
        <f>VLOOKUP(Tabla3[[#This Row],[Site]],'Important Info!'!$A$1:$F$135,2,FALSE)</f>
        <v>18</v>
      </c>
      <c r="M2952" s="52" t="str">
        <f>VLOOKUP(Tabla3[[#This Row],[Site]],'Important Info!'!$A$1:$F$135,3,FALSE)</f>
        <v>1, 3</v>
      </c>
      <c r="N2952" s="52" t="str">
        <f>VLOOKUP(Tabla3[[#This Row],[Site]],'Important Info!'!$A$1:$F$135,4,FALSE)</f>
        <v>-</v>
      </c>
      <c r="O2952" s="52" t="str">
        <f>VLOOKUP(Tabla3[[#This Row],[Site]],'Important Info!'!$A$1:$F$135,5,FALSE)</f>
        <v>6, 10, 13</v>
      </c>
      <c r="P2952" s="52" t="str">
        <f>VLOOKUP(Tabla3[[#This Row],[Site]],'Important Info!'!$A$1:$F$135,6,FALSE)</f>
        <v>1, 4, 5</v>
      </c>
      <c r="Q2952" s="91">
        <f>VLOOKUP(Tabla3[[#This Row],[Site]],'Important Info!'!$A$1:$J$135,9,FALSE)</f>
        <v>127</v>
      </c>
    </row>
    <row r="2953" spans="1:17" x14ac:dyDescent="0.25">
      <c r="A2953" t="str">
        <f>+Tabla3[[#This Row],[Site]]&amp;Tabla3[[#This Row],[Split]]</f>
        <v>(DT) El Cajon (NO TOURS)29</v>
      </c>
      <c r="B2953">
        <v>29</v>
      </c>
      <c r="C2953">
        <v>14</v>
      </c>
      <c r="D2953" t="s">
        <v>51</v>
      </c>
      <c r="E2953" t="s">
        <v>159</v>
      </c>
      <c r="F2953" t="s">
        <v>160</v>
      </c>
      <c r="G2953" t="s">
        <v>52</v>
      </c>
      <c r="H2953" s="52" t="str">
        <f>VLOOKUP(Tabla3[[#This Row],[Site]],'Important Info!'!$A$1:$J$135,10,FALSE)</f>
        <v>https://tools.sig.systems/site/details/241</v>
      </c>
      <c r="I2953" s="2"/>
      <c r="J2953" t="s">
        <v>41</v>
      </c>
      <c r="K2953" s="79" t="str">
        <f>VLOOKUP(Tabla3[[#This Row],[Site]],'Important Info!'!$A$1:$H$135,8,FALSE)</f>
        <v>-</v>
      </c>
      <c r="L2953" s="52" t="str">
        <f>VLOOKUP(Tabla3[[#This Row],[Site]],'Important Info!'!$A$1:$F$135,2,FALSE)</f>
        <v>-</v>
      </c>
      <c r="M2953" s="52">
        <f>VLOOKUP(Tabla3[[#This Row],[Site]],'Important Info!'!$A$1:$F$135,3,FALSE)</f>
        <v>3</v>
      </c>
      <c r="N2953" s="52" t="str">
        <f>VLOOKUP(Tabla3[[#This Row],[Site]],'Important Info!'!$A$1:$F$135,4,FALSE)</f>
        <v>-</v>
      </c>
      <c r="O2953" s="52" t="str">
        <f>VLOOKUP(Tabla3[[#This Row],[Site]],'Important Info!'!$A$1:$F$135,5,FALSE)</f>
        <v>-</v>
      </c>
      <c r="P2953" s="52" t="str">
        <f>VLOOKUP(Tabla3[[#This Row],[Site]],'Important Info!'!$A$1:$F$135,6,FALSE)</f>
        <v>-</v>
      </c>
      <c r="Q2953" s="91">
        <f>VLOOKUP(Tabla3[[#This Row],[Site]],'Important Info!'!$A$1:$J$135,9,FALSE)</f>
        <v>241</v>
      </c>
    </row>
    <row r="2954" spans="1:17" x14ac:dyDescent="0.25">
      <c r="A2954" t="str">
        <f>+Tabla3[[#This Row],[Site]]&amp;Tabla3[[#This Row],[Split]]</f>
        <v>(KG) Truck Center Remote Storage Lot29</v>
      </c>
      <c r="B2954">
        <v>29</v>
      </c>
      <c r="C2954">
        <v>14</v>
      </c>
      <c r="D2954" t="s">
        <v>60</v>
      </c>
      <c r="E2954" t="s">
        <v>53</v>
      </c>
      <c r="F2954" t="s">
        <v>61</v>
      </c>
      <c r="G2954" t="s">
        <v>41</v>
      </c>
      <c r="H2954" s="52" t="str">
        <f>VLOOKUP(Tabla3[[#This Row],[Site]],'Important Info!'!$A$1:$J$135,10,FALSE)</f>
        <v>https://tools.sig.systems/site/details/144</v>
      </c>
      <c r="I2954" s="43"/>
      <c r="J2954" t="s">
        <v>41</v>
      </c>
      <c r="K2954" s="79" t="str">
        <f>VLOOKUP(Tabla3[[#This Row],[Site]],'Important Info!'!$A$1:$H$135,8,FALSE)</f>
        <v>-</v>
      </c>
      <c r="L2954" s="52" t="str">
        <f>VLOOKUP(Tabla3[[#This Row],[Site]],'Important Info!'!$A$1:$F$135,2,FALSE)</f>
        <v>4, A23, A49</v>
      </c>
      <c r="M2954" s="52" t="str">
        <f>VLOOKUP(Tabla3[[#This Row],[Site]],'Important Info!'!$A$1:$F$135,3,FALSE)</f>
        <v>5, 24</v>
      </c>
      <c r="N2954" s="52" t="str">
        <f>VLOOKUP(Tabla3[[#This Row],[Site]],'Important Info!'!$A$1:$F$135,4,FALSE)</f>
        <v>-</v>
      </c>
      <c r="O2954" s="52" t="str">
        <f>VLOOKUP(Tabla3[[#This Row],[Site]],'Important Info!'!$A$1:$F$135,5,FALSE)</f>
        <v>1, 7, 11, 15, 19, 24, 25</v>
      </c>
      <c r="P2954" s="52" t="str">
        <f>VLOOKUP(Tabla3[[#This Row],[Site]],'Important Info!'!$A$1:$F$135,6,FALSE)</f>
        <v>9, 20, 24, A49</v>
      </c>
      <c r="Q2954" s="91">
        <f>VLOOKUP(Tabla3[[#This Row],[Site]],'Important Info!'!$A$1:$J$135,9,FALSE)</f>
        <v>144</v>
      </c>
    </row>
    <row r="2955" spans="1:17" x14ac:dyDescent="0.25">
      <c r="A2955" t="str">
        <f>+Tabla3[[#This Row],[Site]]&amp;Tabla3[[#This Row],[Split]]</f>
        <v>(ML) McLarty-Gray Daniels Chevrolet29</v>
      </c>
      <c r="B2955">
        <v>29</v>
      </c>
      <c r="C2955">
        <v>14</v>
      </c>
      <c r="D2955" t="s">
        <v>33</v>
      </c>
      <c r="E2955" t="s">
        <v>46</v>
      </c>
      <c r="F2955" t="s">
        <v>151</v>
      </c>
      <c r="G2955" t="s">
        <v>34</v>
      </c>
      <c r="H2955" s="52" t="str">
        <f>VLOOKUP(Tabla3[[#This Row],[Site]],'Important Info!'!$A$1:$J$135,10,FALSE)</f>
        <v>https://tools.sig.systems/site/details/150</v>
      </c>
      <c r="I2955" s="2"/>
      <c r="J2955" t="s">
        <v>41</v>
      </c>
      <c r="K2955" s="79" t="str">
        <f>VLOOKUP(Tabla3[[#This Row],[Site]],'Important Info!'!$A$1:$H$135,8,FALSE)</f>
        <v>-</v>
      </c>
      <c r="L2955" s="52" t="str">
        <f>VLOOKUP(Tabla3[[#This Row],[Site]],'Important Info!'!$A$1:$F$135,2,FALSE)</f>
        <v>3, 4, 5, 22, 24, 26, 28, 36</v>
      </c>
      <c r="M2955" s="52" t="str">
        <f>VLOOKUP(Tabla3[[#This Row],[Site]],'Important Info!'!$A$1:$F$135,3,FALSE)</f>
        <v>-</v>
      </c>
      <c r="N2955" s="52" t="str">
        <f>VLOOKUP(Tabla3[[#This Row],[Site]],'Important Info!'!$A$1:$F$135,4,FALSE)</f>
        <v>-</v>
      </c>
      <c r="O2955" s="52" t="str">
        <f>VLOOKUP(Tabla3[[#This Row],[Site]],'Important Info!'!$A$1:$F$135,5,FALSE)</f>
        <v>4, 7, 12, 26</v>
      </c>
      <c r="P2955" s="52" t="str">
        <f>VLOOKUP(Tabla3[[#This Row],[Site]],'Important Info!'!$A$1:$F$135,6,FALSE)</f>
        <v>1, 3, 5, 6, 23, 24</v>
      </c>
      <c r="Q2955" s="91">
        <f>VLOOKUP(Tabla3[[#This Row],[Site]],'Important Info!'!$A$1:$J$135,9,FALSE)</f>
        <v>150</v>
      </c>
    </row>
    <row r="2956" spans="1:17" x14ac:dyDescent="0.25">
      <c r="A2956" t="str">
        <f>+Tabla3[[#This Row],[Site]]&amp;Tabla3[[#This Row],[Split]]</f>
        <v>(AS) Coggin Honda Ft. Pierce (NO TOURS)29</v>
      </c>
      <c r="B2956">
        <v>29</v>
      </c>
      <c r="C2956">
        <v>15</v>
      </c>
      <c r="D2956" t="s">
        <v>62</v>
      </c>
      <c r="E2956" t="s">
        <v>35</v>
      </c>
      <c r="F2956" t="s">
        <v>501</v>
      </c>
      <c r="G2956" t="s">
        <v>490</v>
      </c>
      <c r="H2956" s="52" t="str">
        <f>VLOOKUP(Tabla3[[#This Row],[Site]],'Important Info!'!$A$1:$J$135,10,FALSE)</f>
        <v>https://tools.sig.systems/site/details/120</v>
      </c>
      <c r="I2956" t="s">
        <v>179</v>
      </c>
      <c r="J2956" t="s">
        <v>484</v>
      </c>
      <c r="K2956" s="79" t="str">
        <f>VLOOKUP(Tabla3[[#This Row],[Site]],'Important Info!'!$A$1:$H$135,8,FALSE)</f>
        <v>-</v>
      </c>
      <c r="L2956" s="52" t="str">
        <f>VLOOKUP(Tabla3[[#This Row],[Site]],'Important Info!'!$A$1:$F$135,2,FALSE)</f>
        <v>1, 2, 3, 4, 14</v>
      </c>
      <c r="M2956" s="52" t="str">
        <f>VLOOKUP(Tabla3[[#This Row],[Site]],'Important Info!'!$A$1:$F$135,3,FALSE)</f>
        <v>-</v>
      </c>
      <c r="N2956" s="52" t="str">
        <f>VLOOKUP(Tabla3[[#This Row],[Site]],'Important Info!'!$A$1:$F$135,4,FALSE)</f>
        <v>-</v>
      </c>
      <c r="O2956" s="52" t="str">
        <f>VLOOKUP(Tabla3[[#This Row],[Site]],'Important Info!'!$A$1:$F$135,5,FALSE)</f>
        <v>7, 11, 15</v>
      </c>
      <c r="P2956" s="52">
        <f>VLOOKUP(Tabla3[[#This Row],[Site]],'Important Info!'!$A$1:$F$135,6,FALSE)</f>
        <v>3</v>
      </c>
      <c r="Q2956" s="91">
        <f>VLOOKUP(Tabla3[[#This Row],[Site]],'Important Info!'!$A$1:$J$135,9,FALSE)</f>
        <v>120</v>
      </c>
    </row>
    <row r="2957" spans="1:17" x14ac:dyDescent="0.25">
      <c r="A2957" t="str">
        <f>+Tabla3[[#This Row],[Site]]&amp;Tabla3[[#This Row],[Split]]</f>
        <v>(AS) Lexus Plano I &amp; II (NO TOURS)29</v>
      </c>
      <c r="B2957">
        <v>29</v>
      </c>
      <c r="C2957">
        <v>15</v>
      </c>
      <c r="D2957" t="s">
        <v>33</v>
      </c>
      <c r="E2957" t="s">
        <v>46</v>
      </c>
      <c r="F2957" t="s">
        <v>524</v>
      </c>
      <c r="G2957" t="s">
        <v>34</v>
      </c>
      <c r="H2957" s="52" t="str">
        <f>VLOOKUP(Tabla3[[#This Row],[Site]],'Important Info!'!$A$1:$J$135,10,FALSE)</f>
        <v>https://tools.sig.systems/site/details/167</v>
      </c>
      <c r="I2957" s="63" t="s">
        <v>127</v>
      </c>
      <c r="J2957" t="s">
        <v>41</v>
      </c>
      <c r="K2957" s="79" t="str">
        <f>VLOOKUP(Tabla3[[#This Row],[Site]],'Important Info!'!$A$1:$H$135,8,FALSE)</f>
        <v>-</v>
      </c>
      <c r="L2957" s="52" t="str">
        <f>VLOOKUP(Tabla3[[#This Row],[Site]],'Important Info!'!$A$1:$F$135,2,FALSE)</f>
        <v>5, 9</v>
      </c>
      <c r="M2957" s="52" t="str">
        <f>VLOOKUP(Tabla3[[#This Row],[Site]],'Important Info!'!$A$1:$F$135,3,FALSE)</f>
        <v>-</v>
      </c>
      <c r="N2957" s="52" t="str">
        <f>VLOOKUP(Tabla3[[#This Row],[Site]],'Important Info!'!$A$1:$F$135,4,FALSE)</f>
        <v>101, 102, 103, 104</v>
      </c>
      <c r="O2957" s="52" t="str">
        <f>VLOOKUP(Tabla3[[#This Row],[Site]],'Important Info!'!$A$1:$F$135,5,FALSE)</f>
        <v>4, 10, 28</v>
      </c>
      <c r="P2957" s="52" t="str">
        <f>VLOOKUP(Tabla3[[#This Row],[Site]],'Important Info!'!$A$1:$F$135,6,FALSE)</f>
        <v>5, 9, 16</v>
      </c>
      <c r="Q2957" s="91">
        <f>VLOOKUP(Tabla3[[#This Row],[Site]],'Important Info!'!$A$1:$J$135,9,FALSE)</f>
        <v>167</v>
      </c>
    </row>
    <row r="2958" spans="1:17" x14ac:dyDescent="0.25">
      <c r="A2958" t="str">
        <f>+Tabla3[[#This Row],[Site]]&amp;Tabla3[[#This Row],[Split]]</f>
        <v>(AS) Stevinson JLR (NO TOURS)29</v>
      </c>
      <c r="B2958">
        <v>29</v>
      </c>
      <c r="C2958">
        <v>15</v>
      </c>
      <c r="D2958" t="s">
        <v>44</v>
      </c>
      <c r="E2958" t="s">
        <v>53</v>
      </c>
      <c r="F2958" t="s">
        <v>93</v>
      </c>
      <c r="G2958" t="s">
        <v>45</v>
      </c>
      <c r="H2958" s="52" t="str">
        <f>VLOOKUP(Tabla3[[#This Row],[Site]],'Important Info!'!$A$1:$J$135,10,FALSE)</f>
        <v>https://tools.sig.systems/site/details/204</v>
      </c>
      <c r="I2958" s="43"/>
      <c r="J2958" t="s">
        <v>41</v>
      </c>
      <c r="K2958" s="79" t="str">
        <f>VLOOKUP(Tabla3[[#This Row],[Site]],'Important Info!'!$A$1:$H$135,8,FALSE)</f>
        <v>-</v>
      </c>
      <c r="L2958" s="52">
        <f>VLOOKUP(Tabla3[[#This Row],[Site]],'Important Info!'!$A$1:$F$135,2,FALSE)</f>
        <v>5</v>
      </c>
      <c r="M2958" s="52">
        <f>VLOOKUP(Tabla3[[#This Row],[Site]],'Important Info!'!$A$1:$F$135,3,FALSE)</f>
        <v>4</v>
      </c>
      <c r="N2958" s="52" t="str">
        <f>VLOOKUP(Tabla3[[#This Row],[Site]],'Important Info!'!$A$1:$F$135,4,FALSE)</f>
        <v>-</v>
      </c>
      <c r="O2958" s="52">
        <f>VLOOKUP(Tabla3[[#This Row],[Site]],'Important Info!'!$A$1:$F$135,5,FALSE)</f>
        <v>3</v>
      </c>
      <c r="P2958" s="52" t="str">
        <f>VLOOKUP(Tabla3[[#This Row],[Site]],'Important Info!'!$A$1:$F$135,6,FALSE)</f>
        <v>1, 4, 15, 16</v>
      </c>
      <c r="Q2958" s="91">
        <f>VLOOKUP(Tabla3[[#This Row],[Site]],'Important Info!'!$A$1:$J$135,9,FALSE)</f>
        <v>204</v>
      </c>
    </row>
    <row r="2959" spans="1:17" x14ac:dyDescent="0.25">
      <c r="A2959" t="str">
        <f>+Tabla3[[#This Row],[Site]]&amp;Tabla3[[#This Row],[Split]]</f>
        <v>(AS) Coggin Acura Ft Pierce (NO TOURS)29</v>
      </c>
      <c r="B2959">
        <v>29</v>
      </c>
      <c r="C2959">
        <v>16</v>
      </c>
      <c r="D2959" t="s">
        <v>62</v>
      </c>
      <c r="E2959" t="s">
        <v>35</v>
      </c>
      <c r="F2959" t="s">
        <v>500</v>
      </c>
      <c r="G2959" t="s">
        <v>490</v>
      </c>
      <c r="H2959" s="52" t="str">
        <f>VLOOKUP(Tabla3[[#This Row],[Site]],'Important Info!'!$A$1:$J$135,10,FALSE)</f>
        <v>https://tools.sig.systems/site/details/118</v>
      </c>
      <c r="I2959" s="2" t="s">
        <v>179</v>
      </c>
      <c r="J2959" t="s">
        <v>41</v>
      </c>
      <c r="K2959" s="79" t="str">
        <f>VLOOKUP(Tabla3[[#This Row],[Site]],'Important Info!'!$A$1:$H$135,8,FALSE)</f>
        <v>-</v>
      </c>
      <c r="L2959" s="52" t="str">
        <f>VLOOKUP(Tabla3[[#This Row],[Site]],'Important Info!'!$A$1:$F$135,2,FALSE)</f>
        <v>-</v>
      </c>
      <c r="M2959" s="52">
        <f>VLOOKUP(Tabla3[[#This Row],[Site]],'Important Info!'!$A$1:$F$135,3,FALSE)</f>
        <v>6</v>
      </c>
      <c r="N2959" s="52" t="str">
        <f>VLOOKUP(Tabla3[[#This Row],[Site]],'Important Info!'!$A$1:$F$135,4,FALSE)</f>
        <v>-</v>
      </c>
      <c r="O2959" s="52" t="str">
        <f>VLOOKUP(Tabla3[[#This Row],[Site]],'Important Info!'!$A$1:$F$135,5,FALSE)</f>
        <v>4, 6</v>
      </c>
      <c r="P2959" s="52">
        <f>VLOOKUP(Tabla3[[#This Row],[Site]],'Important Info!'!$A$1:$F$135,6,FALSE)</f>
        <v>1</v>
      </c>
      <c r="Q2959" s="91">
        <f>VLOOKUP(Tabla3[[#This Row],[Site]],'Important Info!'!$A$1:$J$135,9,FALSE)</f>
        <v>118</v>
      </c>
    </row>
    <row r="2960" spans="1:17" x14ac:dyDescent="0.25">
      <c r="A2960" t="str">
        <f>+Tabla3[[#This Row],[Site]]&amp;Tabla3[[#This Row],[Split]]</f>
        <v>(HUD) Honda Greensboro29</v>
      </c>
      <c r="B2960">
        <v>29</v>
      </c>
      <c r="C2960">
        <v>16</v>
      </c>
      <c r="D2960" t="s">
        <v>62</v>
      </c>
      <c r="E2960" t="s">
        <v>35</v>
      </c>
      <c r="F2960" t="s">
        <v>85</v>
      </c>
      <c r="G2960" t="s">
        <v>490</v>
      </c>
      <c r="H2960" s="52" t="str">
        <f>VLOOKUP(Tabla3[[#This Row],[Site]],'Important Info!'!$A$1:$J$135,10,FALSE)</f>
        <v>https://tools.sig.systems/site/details/230</v>
      </c>
      <c r="I2960" t="s">
        <v>186</v>
      </c>
      <c r="J2960" t="s">
        <v>41</v>
      </c>
      <c r="K2960" s="79" t="str">
        <f>VLOOKUP(Tabla3[[#This Row],[Site]],'Important Info!'!$A$1:$H$135,8,FALSE)</f>
        <v>-</v>
      </c>
      <c r="L2960" s="52" t="str">
        <f>VLOOKUP(Tabla3[[#This Row],[Site]],'Important Info!'!$A$1:$F$135,2,FALSE)</f>
        <v>1, 3,  15, 16, 22</v>
      </c>
      <c r="M2960" s="52" t="str">
        <f>VLOOKUP(Tabla3[[#This Row],[Site]],'Important Info!'!$A$1:$F$135,3,FALSE)</f>
        <v>-</v>
      </c>
      <c r="N2960" s="52" t="str">
        <f>VLOOKUP(Tabla3[[#This Row],[Site]],'Important Info!'!$A$1:$F$135,4,FALSE)</f>
        <v>-</v>
      </c>
      <c r="O2960" s="52" t="str">
        <f>VLOOKUP(Tabla3[[#This Row],[Site]],'Important Info!'!$A$1:$F$135,5,FALSE)</f>
        <v>3, 20</v>
      </c>
      <c r="P2960" s="52">
        <f>VLOOKUP(Tabla3[[#This Row],[Site]],'Important Info!'!$A$1:$F$135,6,FALSE)</f>
        <v>26</v>
      </c>
      <c r="Q2960" s="91">
        <f>VLOOKUP(Tabla3[[#This Row],[Site]],'Important Info!'!$A$1:$J$135,9,FALSE)</f>
        <v>230</v>
      </c>
    </row>
    <row r="2961" spans="1:17" x14ac:dyDescent="0.25">
      <c r="A2961" t="str">
        <f>+Tabla3[[#This Row],[Site]]&amp;Tabla3[[#This Row],[Split]]</f>
        <v>(ML) Honda of Little Rock29</v>
      </c>
      <c r="B2961">
        <v>29</v>
      </c>
      <c r="C2961">
        <v>16</v>
      </c>
      <c r="D2961" t="s">
        <v>33</v>
      </c>
      <c r="E2961" t="s">
        <v>46</v>
      </c>
      <c r="F2961" t="s">
        <v>71</v>
      </c>
      <c r="G2961" t="s">
        <v>34</v>
      </c>
      <c r="H2961" s="52" t="str">
        <f>VLOOKUP(Tabla3[[#This Row],[Site]],'Important Info!'!$A$1:$J$135,10,FALSE)</f>
        <v>https://tools.sig.systems/site/details/249</v>
      </c>
      <c r="I2961" s="43" t="s">
        <v>140</v>
      </c>
      <c r="J2961" t="s">
        <v>41</v>
      </c>
      <c r="K2961" s="79" t="str">
        <f>VLOOKUP(Tabla3[[#This Row],[Site]],'Important Info!'!$A$1:$H$135,8,FALSE)</f>
        <v>-</v>
      </c>
      <c r="L2961" s="52" t="str">
        <f>VLOOKUP(Tabla3[[#This Row],[Site]],'Important Info!'!$A$1:$F$135,2,FALSE)</f>
        <v>1, 4, 9, 14, 21</v>
      </c>
      <c r="M2961" s="52" t="str">
        <f>VLOOKUP(Tabla3[[#This Row],[Site]],'Important Info!'!$A$1:$F$135,3,FALSE)</f>
        <v>-</v>
      </c>
      <c r="N2961" s="52" t="str">
        <f>VLOOKUP(Tabla3[[#This Row],[Site]],'Important Info!'!$A$1:$F$135,4,FALSE)</f>
        <v>-</v>
      </c>
      <c r="O2961" s="52" t="str">
        <f>VLOOKUP(Tabla3[[#This Row],[Site]],'Important Info!'!$A$1:$F$135,5,FALSE)</f>
        <v>4, 14, 21</v>
      </c>
      <c r="P2961" s="52" t="str">
        <f>VLOOKUP(Tabla3[[#This Row],[Site]],'Important Info!'!$A$1:$F$135,6,FALSE)</f>
        <v>11, 12</v>
      </c>
      <c r="Q2961" s="91">
        <f>VLOOKUP(Tabla3[[#This Row],[Site]],'Important Info!'!$A$1:$J$135,9,FALSE)</f>
        <v>249</v>
      </c>
    </row>
    <row r="2962" spans="1:17" x14ac:dyDescent="0.25">
      <c r="A2962" t="str">
        <f>+Tabla3[[#This Row],[Site]]&amp;Tabla3[[#This Row],[Split]]</f>
        <v>(ML) McLarty Gray-Daniels Toyota Nissan29</v>
      </c>
      <c r="B2962">
        <v>29</v>
      </c>
      <c r="C2962">
        <v>16</v>
      </c>
      <c r="D2962" t="s">
        <v>33</v>
      </c>
      <c r="E2962" t="s">
        <v>46</v>
      </c>
      <c r="F2962" t="s">
        <v>90</v>
      </c>
      <c r="G2962" t="s">
        <v>34</v>
      </c>
      <c r="H2962" s="52" t="str">
        <f>VLOOKUP(Tabla3[[#This Row],[Site]],'Important Info!'!$A$1:$J$135,10,FALSE)</f>
        <v>https://tools.sig.systems/site/details/152</v>
      </c>
      <c r="I2962" s="2" t="s">
        <v>150</v>
      </c>
      <c r="J2962" t="s">
        <v>41</v>
      </c>
      <c r="K2962" s="79" t="str">
        <f>VLOOKUP(Tabla3[[#This Row],[Site]],'Important Info!'!$A$1:$H$135,8,FALSE)</f>
        <v>-</v>
      </c>
      <c r="L2962" s="52" t="str">
        <f>VLOOKUP(Tabla3[[#This Row],[Site]],'Important Info!'!$A$1:$F$135,2,FALSE)</f>
        <v>-</v>
      </c>
      <c r="M2962" s="52" t="str">
        <f>VLOOKUP(Tabla3[[#This Row],[Site]],'Important Info!'!$A$1:$F$135,3,FALSE)</f>
        <v>8, 11, 39, 43</v>
      </c>
      <c r="N2962" s="52" t="str">
        <f>VLOOKUP(Tabla3[[#This Row],[Site]],'Important Info!'!$A$1:$F$135,4,FALSE)</f>
        <v>-</v>
      </c>
      <c r="O2962" s="52" t="str">
        <f>VLOOKUP(Tabla3[[#This Row],[Site]],'Important Info!'!$A$1:$F$135,5,FALSE)</f>
        <v>6, 11, 15, 18</v>
      </c>
      <c r="P2962" s="52" t="str">
        <f>VLOOKUP(Tabla3[[#This Row],[Site]],'Important Info!'!$A$1:$F$135,6,FALSE)</f>
        <v>7, 8, 9</v>
      </c>
      <c r="Q2962" s="91">
        <f>VLOOKUP(Tabla3[[#This Row],[Site]],'Important Info!'!$A$1:$J$135,9,FALSE)</f>
        <v>152</v>
      </c>
    </row>
    <row r="2963" spans="1:17" x14ac:dyDescent="0.25">
      <c r="A2963" t="str">
        <f>+Tabla3[[#This Row],[Site]]&amp;Tabla3[[#This Row],[Split]]</f>
        <v>(AS) Audi of North Atlanta (NO TOURS)29</v>
      </c>
      <c r="B2963">
        <v>29</v>
      </c>
      <c r="C2963">
        <v>17</v>
      </c>
      <c r="D2963" t="s">
        <v>62</v>
      </c>
      <c r="E2963" t="s">
        <v>35</v>
      </c>
      <c r="F2963" t="s">
        <v>499</v>
      </c>
      <c r="G2963" t="s">
        <v>490</v>
      </c>
      <c r="H2963" s="52" t="str">
        <f>VLOOKUP(Tabla3[[#This Row],[Site]],'Important Info!'!$A$1:$J$135,10,FALSE)</f>
        <v>https://tools.sig.systems/site/details/124</v>
      </c>
      <c r="I2963" s="2" t="s">
        <v>166</v>
      </c>
      <c r="J2963" t="s">
        <v>41</v>
      </c>
      <c r="K2963" s="79" t="str">
        <f>VLOOKUP(Tabla3[[#This Row],[Site]],'Important Info!'!$A$1:$H$135,8,FALSE)</f>
        <v>-</v>
      </c>
      <c r="L2963" s="52" t="str">
        <f>VLOOKUP(Tabla3[[#This Row],[Site]],'Important Info!'!$A$1:$F$135,2,FALSE)</f>
        <v>1, 5, 16, 54</v>
      </c>
      <c r="M2963" s="52" t="str">
        <f>VLOOKUP(Tabla3[[#This Row],[Site]],'Important Info!'!$A$1:$F$135,3,FALSE)</f>
        <v>-</v>
      </c>
      <c r="N2963" s="52" t="str">
        <f>VLOOKUP(Tabla3[[#This Row],[Site]],'Important Info!'!$A$1:$F$135,4,FALSE)</f>
        <v>-</v>
      </c>
      <c r="O2963" s="52" t="str">
        <f>VLOOKUP(Tabla3[[#This Row],[Site]],'Important Info!'!$A$1:$F$135,5,FALSE)</f>
        <v>3, 16</v>
      </c>
      <c r="P2963" s="52" t="str">
        <f>VLOOKUP(Tabla3[[#This Row],[Site]],'Important Info!'!$A$1:$F$135,6,FALSE)</f>
        <v>2, 5, 6</v>
      </c>
      <c r="Q2963" s="91">
        <f>VLOOKUP(Tabla3[[#This Row],[Site]],'Important Info!'!$A$1:$J$135,9,FALSE)</f>
        <v>124</v>
      </c>
    </row>
    <row r="2964" spans="1:17" x14ac:dyDescent="0.25">
      <c r="A2964" t="str">
        <f>+Tabla3[[#This Row],[Site]]&amp;Tabla3[[#This Row],[Split]]</f>
        <v>(HUD) Paint and Body Center (NO TOURS)29</v>
      </c>
      <c r="B2964">
        <v>29</v>
      </c>
      <c r="C2964">
        <v>17</v>
      </c>
      <c r="D2964" t="s">
        <v>62</v>
      </c>
      <c r="E2964" t="s">
        <v>35</v>
      </c>
      <c r="F2964" t="s">
        <v>110</v>
      </c>
      <c r="G2964" t="s">
        <v>490</v>
      </c>
      <c r="H2964" s="52" t="str">
        <f>VLOOKUP(Tabla3[[#This Row],[Site]],'Important Info!'!$A$1:$J$135,10,FALSE)</f>
        <v>https://tools.sig.systems/site/details/256</v>
      </c>
      <c r="I2964" t="s">
        <v>184</v>
      </c>
      <c r="J2964" t="s">
        <v>41</v>
      </c>
      <c r="K2964" s="79" t="str">
        <f>VLOOKUP(Tabla3[[#This Row],[Site]],'Important Info!'!$A$1:$H$135,8,FALSE)</f>
        <v>-</v>
      </c>
      <c r="L2964" s="52" t="str">
        <f>VLOOKUP(Tabla3[[#This Row],[Site]],'Important Info!'!$A$1:$F$135,2,FALSE)</f>
        <v>-</v>
      </c>
      <c r="M2964" s="52">
        <f>VLOOKUP(Tabla3[[#This Row],[Site]],'Important Info!'!$A$1:$F$135,3,FALSE)</f>
        <v>1</v>
      </c>
      <c r="N2964" s="52" t="str">
        <f>VLOOKUP(Tabla3[[#This Row],[Site]],'Important Info!'!$A$1:$F$135,4,FALSE)</f>
        <v>-</v>
      </c>
      <c r="O2964" s="52" t="str">
        <f>VLOOKUP(Tabla3[[#This Row],[Site]],'Important Info!'!$A$1:$F$135,5,FALSE)</f>
        <v>-</v>
      </c>
      <c r="P2964" s="52" t="str">
        <f>VLOOKUP(Tabla3[[#This Row],[Site]],'Important Info!'!$A$1:$F$135,6,FALSE)</f>
        <v>-</v>
      </c>
      <c r="Q2964" s="91">
        <f>VLOOKUP(Tabla3[[#This Row],[Site]],'Important Info!'!$A$1:$J$135,9,FALSE)</f>
        <v>256</v>
      </c>
    </row>
    <row r="2965" spans="1:17" x14ac:dyDescent="0.25">
      <c r="A2965" t="str">
        <f>+Tabla3[[#This Row],[Site]]&amp;Tabla3[[#This Row],[Split]]</f>
        <v>(ML) McLarty Gray-Daniels Ford Lincoln29</v>
      </c>
      <c r="B2965">
        <v>29</v>
      </c>
      <c r="C2965">
        <v>17</v>
      </c>
      <c r="D2965" t="s">
        <v>33</v>
      </c>
      <c r="E2965" t="s">
        <v>46</v>
      </c>
      <c r="F2965" t="s">
        <v>89</v>
      </c>
      <c r="G2965" t="s">
        <v>34</v>
      </c>
      <c r="H2965" s="52" t="str">
        <f>VLOOKUP(Tabla3[[#This Row],[Site]],'Important Info!'!$A$1:$J$135,10,FALSE)</f>
        <v>https://tools.sig.systems/site/details/151</v>
      </c>
      <c r="I2965" s="43" t="s">
        <v>150</v>
      </c>
      <c r="J2965" t="s">
        <v>41</v>
      </c>
      <c r="K2965" s="79" t="str">
        <f>VLOOKUP(Tabla3[[#This Row],[Site]],'Important Info!'!$A$1:$H$135,8,FALSE)</f>
        <v>-</v>
      </c>
      <c r="L2965" s="52">
        <f>VLOOKUP(Tabla3[[#This Row],[Site]],'Important Info!'!$A$1:$F$135,2,FALSE)</f>
        <v>16</v>
      </c>
      <c r="M2965" s="52" t="str">
        <f>VLOOKUP(Tabla3[[#This Row],[Site]],'Important Info!'!$A$1:$F$135,3,FALSE)</f>
        <v>5, 10, 36, 38, 54, 58B</v>
      </c>
      <c r="N2965" s="52" t="str">
        <f>VLOOKUP(Tabla3[[#This Row],[Site]],'Important Info!'!$A$1:$F$135,4,FALSE)</f>
        <v>-</v>
      </c>
      <c r="O2965" s="52" t="str">
        <f>VLOOKUP(Tabla3[[#This Row],[Site]],'Important Info!'!$A$1:$F$135,5,FALSE)</f>
        <v>5, 17, 37</v>
      </c>
      <c r="P2965" s="52" t="str">
        <f>VLOOKUP(Tabla3[[#This Row],[Site]],'Important Info!'!$A$1:$F$135,6,FALSE)</f>
        <v>1, 2, 3, 4</v>
      </c>
      <c r="Q2965" s="91">
        <f>VLOOKUP(Tabla3[[#This Row],[Site]],'Important Info!'!$A$1:$J$135,9,FALSE)</f>
        <v>151</v>
      </c>
    </row>
    <row r="2966" spans="1:17" x14ac:dyDescent="0.25">
      <c r="A2966" t="str">
        <f>+Tabla3[[#This Row],[Site]]&amp;Tabla3[[#This Row],[Split]]</f>
        <v>(ML) Nissan of Little Rock29</v>
      </c>
      <c r="B2966">
        <v>29</v>
      </c>
      <c r="C2966">
        <v>17</v>
      </c>
      <c r="D2966" t="s">
        <v>33</v>
      </c>
      <c r="E2966" t="s">
        <v>46</v>
      </c>
      <c r="F2966" t="s">
        <v>152</v>
      </c>
      <c r="G2966" t="s">
        <v>34</v>
      </c>
      <c r="H2966" s="52" t="str">
        <f>VLOOKUP(Tabla3[[#This Row],[Site]],'Important Info!'!$A$1:$J$135,10,FALSE)</f>
        <v>https://tools.sig.systems/site/details/224</v>
      </c>
      <c r="I2966" t="s">
        <v>140</v>
      </c>
      <c r="J2966" t="s">
        <v>41</v>
      </c>
      <c r="K2966" s="79" t="str">
        <f>VLOOKUP(Tabla3[[#This Row],[Site]],'Important Info!'!$A$1:$H$135,8,FALSE)</f>
        <v>-</v>
      </c>
      <c r="L2966" s="52" t="str">
        <f>VLOOKUP(Tabla3[[#This Row],[Site]],'Important Info!'!$A$1:$F$135,2,FALSE)</f>
        <v>3, 6</v>
      </c>
      <c r="M2966" s="52" t="str">
        <f>VLOOKUP(Tabla3[[#This Row],[Site]],'Important Info!'!$A$1:$F$135,3,FALSE)</f>
        <v>-</v>
      </c>
      <c r="N2966" s="52" t="str">
        <f>VLOOKUP(Tabla3[[#This Row],[Site]],'Important Info!'!$A$1:$F$135,4,FALSE)</f>
        <v>-</v>
      </c>
      <c r="O2966" s="52" t="str">
        <f>VLOOKUP(Tabla3[[#This Row],[Site]],'Important Info!'!$A$1:$F$135,5,FALSE)</f>
        <v>1, 8, 16, 22</v>
      </c>
      <c r="P2966" s="52" t="str">
        <f>VLOOKUP(Tabla3[[#This Row],[Site]],'Important Info!'!$A$1:$F$135,6,FALSE)</f>
        <v>3, 4</v>
      </c>
      <c r="Q2966" s="91">
        <f>VLOOKUP(Tabla3[[#This Row],[Site]],'Important Info!'!$A$1:$J$135,9,FALSE)</f>
        <v>224</v>
      </c>
    </row>
    <row r="2967" spans="1:17" x14ac:dyDescent="0.25">
      <c r="A2967" t="str">
        <f>+Tabla3[[#This Row],[Site]]&amp;Tabla3[[#This Row],[Split]]</f>
        <v>(ML) Nissan of North Little Rock29</v>
      </c>
      <c r="B2967">
        <v>29</v>
      </c>
      <c r="C2967">
        <v>17</v>
      </c>
      <c r="D2967" t="s">
        <v>33</v>
      </c>
      <c r="E2967" t="s">
        <v>46</v>
      </c>
      <c r="F2967" t="s">
        <v>75</v>
      </c>
      <c r="G2967" t="s">
        <v>34</v>
      </c>
      <c r="H2967" s="52" t="str">
        <f>VLOOKUP(Tabla3[[#This Row],[Site]],'Important Info!'!$A$1:$J$135,10,FALSE)</f>
        <v>https://tools.sig.systems/site/details/216</v>
      </c>
      <c r="I2967" s="43" t="s">
        <v>142</v>
      </c>
      <c r="J2967" t="s">
        <v>41</v>
      </c>
      <c r="K2967" s="79" t="str">
        <f>VLOOKUP(Tabla3[[#This Row],[Site]],'Important Info!'!$A$1:$H$135,8,FALSE)</f>
        <v>-</v>
      </c>
      <c r="L2967" s="52" t="str">
        <f>VLOOKUP(Tabla3[[#This Row],[Site]],'Important Info!'!$A$1:$F$135,2,FALSE)</f>
        <v>2, 4</v>
      </c>
      <c r="M2967" s="52" t="str">
        <f>VLOOKUP(Tabla3[[#This Row],[Site]],'Important Info!'!$A$1:$F$135,3,FALSE)</f>
        <v>-</v>
      </c>
      <c r="N2967" s="52" t="str">
        <f>VLOOKUP(Tabla3[[#This Row],[Site]],'Important Info!'!$A$1:$F$135,4,FALSE)</f>
        <v>-</v>
      </c>
      <c r="O2967" s="52" t="str">
        <f>VLOOKUP(Tabla3[[#This Row],[Site]],'Important Info!'!$A$1:$F$135,5,FALSE)</f>
        <v>5, 17, 23</v>
      </c>
      <c r="P2967" s="52">
        <f>VLOOKUP(Tabla3[[#This Row],[Site]],'Important Info!'!$A$1:$F$135,6,FALSE)</f>
        <v>18</v>
      </c>
      <c r="Q2967" s="91">
        <f>VLOOKUP(Tabla3[[#This Row],[Site]],'Important Info!'!$A$1:$J$135,9,FALSE)</f>
        <v>216</v>
      </c>
    </row>
    <row r="2968" spans="1:17" x14ac:dyDescent="0.25">
      <c r="A2968" t="str">
        <f>+Tabla3[[#This Row],[Site]]&amp;Tabla3[[#This Row],[Split]]</f>
        <v>(AS) Courtesy Kia of Brandon (NO TOURS)29</v>
      </c>
      <c r="B2968">
        <v>29</v>
      </c>
      <c r="C2968">
        <v>18</v>
      </c>
      <c r="D2968" t="s">
        <v>62</v>
      </c>
      <c r="E2968" t="s">
        <v>35</v>
      </c>
      <c r="F2968" t="s">
        <v>505</v>
      </c>
      <c r="G2968" t="s">
        <v>490</v>
      </c>
      <c r="H2968" s="52" t="str">
        <f>VLOOKUP(Tabla3[[#This Row],[Site]],'Important Info!'!$A$1:$J$135,10,FALSE)</f>
        <v>https://tools.sig.systems/site/details/121</v>
      </c>
      <c r="I2968" s="2" t="s">
        <v>181</v>
      </c>
      <c r="J2968" t="s">
        <v>484</v>
      </c>
      <c r="K2968" s="79" t="str">
        <f>VLOOKUP(Tabla3[[#This Row],[Site]],'Important Info!'!$A$1:$H$135,8,FALSE)</f>
        <v>-</v>
      </c>
      <c r="L2968" s="52" t="str">
        <f>VLOOKUP(Tabla3[[#This Row],[Site]],'Important Info!'!$A$1:$F$135,2,FALSE)</f>
        <v>-</v>
      </c>
      <c r="M2968" s="52" t="str">
        <f>VLOOKUP(Tabla3[[#This Row],[Site]],'Important Info!'!$A$1:$F$135,3,FALSE)</f>
        <v>4, 8</v>
      </c>
      <c r="N2968" s="52" t="str">
        <f>VLOOKUP(Tabla3[[#This Row],[Site]],'Important Info!'!$A$1:$F$135,4,FALSE)</f>
        <v>-</v>
      </c>
      <c r="O2968" s="52" t="str">
        <f>VLOOKUP(Tabla3[[#This Row],[Site]],'Important Info!'!$A$1:$F$135,5,FALSE)</f>
        <v>3, 11, 20, 24</v>
      </c>
      <c r="P2968" s="52" t="str">
        <f>VLOOKUP(Tabla3[[#This Row],[Site]],'Important Info!'!$A$1:$F$135,6,FALSE)</f>
        <v>2, 8</v>
      </c>
      <c r="Q2968" s="91">
        <f>VLOOKUP(Tabla3[[#This Row],[Site]],'Important Info!'!$A$1:$J$135,9,FALSE)</f>
        <v>121</v>
      </c>
    </row>
    <row r="2969" spans="1:17" x14ac:dyDescent="0.25">
      <c r="A2969" t="str">
        <f>+Tabla3[[#This Row],[Site]]&amp;Tabla3[[#This Row],[Split]]</f>
        <v>(AS) Nalley Luxury Collision Center (NO TOURS)29</v>
      </c>
      <c r="B2969">
        <v>29</v>
      </c>
      <c r="C2969">
        <v>18</v>
      </c>
      <c r="D2969" t="s">
        <v>62</v>
      </c>
      <c r="E2969" t="s">
        <v>35</v>
      </c>
      <c r="F2969" t="s">
        <v>512</v>
      </c>
      <c r="G2969" t="s">
        <v>490</v>
      </c>
      <c r="H2969" s="52" t="str">
        <f>VLOOKUP(Tabla3[[#This Row],[Site]],'Important Info!'!$A$1:$J$135,10,FALSE)</f>
        <v>https://tools.sig.systems/site/details/263</v>
      </c>
      <c r="I2969" s="43" t="s">
        <v>166</v>
      </c>
      <c r="J2969" t="s">
        <v>41</v>
      </c>
      <c r="K2969" s="79" t="str">
        <f>VLOOKUP(Tabla3[[#This Row],[Site]],'Important Info!'!$A$1:$H$135,8,FALSE)</f>
        <v>-</v>
      </c>
      <c r="L2969" s="52" t="str">
        <f>VLOOKUP(Tabla3[[#This Row],[Site]],'Important Info!'!$A$1:$F$135,2,FALSE)</f>
        <v>6, 13</v>
      </c>
      <c r="M2969" s="52" t="str">
        <f>VLOOKUP(Tabla3[[#This Row],[Site]],'Important Info!'!$A$1:$F$135,3,FALSE)</f>
        <v>-</v>
      </c>
      <c r="N2969" s="52" t="str">
        <f>VLOOKUP(Tabla3[[#This Row],[Site]],'Important Info!'!$A$1:$F$135,4,FALSE)</f>
        <v>-</v>
      </c>
      <c r="O2969" s="52" t="str">
        <f>VLOOKUP(Tabla3[[#This Row],[Site]],'Important Info!'!$A$1:$F$135,5,FALSE)</f>
        <v>-</v>
      </c>
      <c r="P2969" s="52" t="str">
        <f>VLOOKUP(Tabla3[[#This Row],[Site]],'Important Info!'!$A$1:$F$135,6,FALSE)</f>
        <v>6, 7, 12</v>
      </c>
      <c r="Q2969" s="91">
        <f>VLOOKUP(Tabla3[[#This Row],[Site]],'Important Info!'!$A$1:$J$135,9,FALSE)</f>
        <v>263</v>
      </c>
    </row>
    <row r="2970" spans="1:17" x14ac:dyDescent="0.25">
      <c r="A2970" t="str">
        <f>+Tabla3[[#This Row],[Site]]&amp;Tabla3[[#This Row],[Split]]</f>
        <v>(DT) N. Houston29</v>
      </c>
      <c r="B2970">
        <v>29</v>
      </c>
      <c r="C2970">
        <v>18</v>
      </c>
      <c r="D2970" t="s">
        <v>33</v>
      </c>
      <c r="E2970" t="s">
        <v>46</v>
      </c>
      <c r="F2970" t="s">
        <v>68</v>
      </c>
      <c r="G2970" t="s">
        <v>34</v>
      </c>
      <c r="H2970" s="52" t="str">
        <f>VLOOKUP(Tabla3[[#This Row],[Site]],'Important Info!'!$A$1:$J$135,10,FALSE)</f>
        <v>https://tools.sig.systems/site/details/250</v>
      </c>
      <c r="I2970" s="43"/>
      <c r="J2970" t="s">
        <v>41</v>
      </c>
      <c r="K2970" s="79" t="str">
        <f>VLOOKUP(Tabla3[[#This Row],[Site]],'Important Info!'!$A$1:$H$135,8,FALSE)</f>
        <v>-</v>
      </c>
      <c r="L2970" s="52" t="str">
        <f>VLOOKUP(Tabla3[[#This Row],[Site]],'Important Info!'!$A$1:$F$135,2,FALSE)</f>
        <v>2, 10, 18</v>
      </c>
      <c r="M2970" s="52" t="str">
        <f>VLOOKUP(Tabla3[[#This Row],[Site]],'Important Info!'!$A$1:$F$135,3,FALSE)</f>
        <v>-</v>
      </c>
      <c r="N2970" s="52" t="str">
        <f>VLOOKUP(Tabla3[[#This Row],[Site]],'Important Info!'!$A$1:$F$135,4,FALSE)</f>
        <v>-</v>
      </c>
      <c r="O2970" s="52">
        <f>VLOOKUP(Tabla3[[#This Row],[Site]],'Important Info!'!$A$1:$F$135,5,FALSE)</f>
        <v>15</v>
      </c>
      <c r="P2970" s="52" t="str">
        <f>VLOOKUP(Tabla3[[#This Row],[Site]],'Important Info!'!$A$1:$F$135,6,FALSE)</f>
        <v>2, 4, 18</v>
      </c>
      <c r="Q2970" s="91">
        <f>VLOOKUP(Tabla3[[#This Row],[Site]],'Important Info!'!$A$1:$J$135,9,FALSE)</f>
        <v>250</v>
      </c>
    </row>
    <row r="2971" spans="1:17" x14ac:dyDescent="0.25">
      <c r="A2971" t="str">
        <f>+Tabla3[[#This Row],[Site]]&amp;Tabla3[[#This Row],[Split]]</f>
        <v>(KG) JLR LEHI (NO TOURS)29</v>
      </c>
      <c r="B2971">
        <v>29</v>
      </c>
      <c r="C2971">
        <v>18</v>
      </c>
      <c r="D2971" t="s">
        <v>44</v>
      </c>
      <c r="E2971" t="s">
        <v>53</v>
      </c>
      <c r="F2971" t="s">
        <v>8</v>
      </c>
      <c r="G2971" t="s">
        <v>45</v>
      </c>
      <c r="H2971" s="52" t="str">
        <f>VLOOKUP(Tabla3[[#This Row],[Site]],'Important Info!'!$A$1:$J$135,10,FALSE)</f>
        <v>https://tools.sig.systems/site/details/145</v>
      </c>
      <c r="I2971" s="43"/>
      <c r="J2971" t="s">
        <v>41</v>
      </c>
      <c r="K2971" s="79" t="str">
        <f>VLOOKUP(Tabla3[[#This Row],[Site]],'Important Info!'!$A$1:$H$135,8,FALSE)</f>
        <v>-</v>
      </c>
      <c r="L2971" s="52" t="str">
        <f>VLOOKUP(Tabla3[[#This Row],[Site]],'Important Info!'!$A$1:$F$135,2,FALSE)</f>
        <v>1, 11</v>
      </c>
      <c r="M2971" s="52" t="str">
        <f>VLOOKUP(Tabla3[[#This Row],[Site]],'Important Info!'!$A$1:$F$135,3,FALSE)</f>
        <v>-</v>
      </c>
      <c r="N2971" s="52" t="str">
        <f>VLOOKUP(Tabla3[[#This Row],[Site]],'Important Info!'!$A$1:$F$135,4,FALSE)</f>
        <v>-</v>
      </c>
      <c r="O2971" s="52" t="str">
        <f>VLOOKUP(Tabla3[[#This Row],[Site]],'Important Info!'!$A$1:$F$135,5,FALSE)</f>
        <v>1, 7, 11</v>
      </c>
      <c r="P2971" s="52" t="str">
        <f>VLOOKUP(Tabla3[[#This Row],[Site]],'Important Info!'!$A$1:$F$135,6,FALSE)</f>
        <v>-</v>
      </c>
      <c r="Q2971" s="91">
        <f>VLOOKUP(Tabla3[[#This Row],[Site]],'Important Info!'!$A$1:$J$135,9,FALSE)</f>
        <v>145</v>
      </c>
    </row>
    <row r="2972" spans="1:17" x14ac:dyDescent="0.25">
      <c r="A2972" t="str">
        <f>+Tabla3[[#This Row],[Site]]&amp;Tabla3[[#This Row],[Split]]</f>
        <v>(ML) BMW of Little Rock29</v>
      </c>
      <c r="B2972">
        <v>29</v>
      </c>
      <c r="C2972">
        <v>18</v>
      </c>
      <c r="D2972" t="s">
        <v>33</v>
      </c>
      <c r="E2972" t="s">
        <v>46</v>
      </c>
      <c r="F2972" t="s">
        <v>139</v>
      </c>
      <c r="G2972" t="s">
        <v>34</v>
      </c>
      <c r="H2972" s="52" t="str">
        <f>VLOOKUP(Tabla3[[#This Row],[Site]],'Important Info!'!$A$1:$J$135,10,FALSE)</f>
        <v>https://tools.sig.systems/site/details/217</v>
      </c>
      <c r="I2972" t="s">
        <v>140</v>
      </c>
      <c r="J2972" t="s">
        <v>41</v>
      </c>
      <c r="K2972" s="79" t="str">
        <f>VLOOKUP(Tabla3[[#This Row],[Site]],'Important Info!'!$A$1:$H$135,8,FALSE)</f>
        <v>-</v>
      </c>
      <c r="L2972" s="52" t="str">
        <f>VLOOKUP(Tabla3[[#This Row],[Site]],'Important Info!'!$A$1:$F$135,2,FALSE)</f>
        <v>-</v>
      </c>
      <c r="M2972" s="52">
        <f>VLOOKUP(Tabla3[[#This Row],[Site]],'Important Info!'!$A$1:$F$135,3,FALSE)</f>
        <v>14</v>
      </c>
      <c r="N2972" s="52" t="str">
        <f>VLOOKUP(Tabla3[[#This Row],[Site]],'Important Info!'!$A$1:$F$135,4,FALSE)</f>
        <v>-</v>
      </c>
      <c r="O2972" s="52" t="str">
        <f>VLOOKUP(Tabla3[[#This Row],[Site]],'Important Info!'!$A$1:$F$135,5,FALSE)</f>
        <v>-</v>
      </c>
      <c r="P2972" s="52" t="str">
        <f>VLOOKUP(Tabla3[[#This Row],[Site]],'Important Info!'!$A$1:$F$135,6,FALSE)</f>
        <v>5, 6, 7, 8, 9, 32</v>
      </c>
      <c r="Q2972" s="91">
        <f>VLOOKUP(Tabla3[[#This Row],[Site]],'Important Info!'!$A$1:$J$135,9,FALSE)</f>
        <v>217</v>
      </c>
    </row>
    <row r="2973" spans="1:17" x14ac:dyDescent="0.25">
      <c r="A2973" t="str">
        <f>+Tabla3[[#This Row],[Site]]&amp;Tabla3[[#This Row],[Split]]</f>
        <v>(AS) Stevinson Chevrolet Golden (NO TOURS)29</v>
      </c>
      <c r="B2973">
        <v>29</v>
      </c>
      <c r="C2973">
        <v>19</v>
      </c>
      <c r="D2973" t="s">
        <v>488</v>
      </c>
      <c r="E2973" t="s">
        <v>53</v>
      </c>
      <c r="F2973" t="s">
        <v>190</v>
      </c>
      <c r="G2973" t="s">
        <v>45</v>
      </c>
      <c r="H2973" s="52" t="str">
        <f>VLOOKUP(Tabla3[[#This Row],[Site]],'Important Info!'!$A$1:$J$135,10,FALSE)</f>
        <v>https://tools.sig.systems/site/details/264</v>
      </c>
      <c r="I2973" s="2" t="s">
        <v>154</v>
      </c>
      <c r="J2973" t="s">
        <v>41</v>
      </c>
      <c r="K2973" s="79" t="str">
        <f>VLOOKUP(Tabla3[[#This Row],[Site]],'Important Info!'!$A$1:$H$135,8,FALSE)</f>
        <v>-</v>
      </c>
      <c r="L2973" s="52" t="str">
        <f>VLOOKUP(Tabla3[[#This Row],[Site]],'Important Info!'!$A$1:$F$135,2,FALSE)</f>
        <v>-</v>
      </c>
      <c r="M2973" s="52" t="str">
        <f>VLOOKUP(Tabla3[[#This Row],[Site]],'Important Info!'!$A$1:$F$135,3,FALSE)</f>
        <v>1, 19</v>
      </c>
      <c r="N2973" s="52" t="str">
        <f>VLOOKUP(Tabla3[[#This Row],[Site]],'Important Info!'!$A$1:$F$135,4,FALSE)</f>
        <v>-</v>
      </c>
      <c r="O2973" s="52" t="str">
        <f>VLOOKUP(Tabla3[[#This Row],[Site]],'Important Info!'!$A$1:$F$135,5,FALSE)</f>
        <v>14, 30</v>
      </c>
      <c r="P2973" s="52" t="str">
        <f>VLOOKUP(Tabla3[[#This Row],[Site]],'Important Info!'!$A$1:$F$135,6,FALSE)</f>
        <v>14, 33, 34, 35, 36</v>
      </c>
      <c r="Q2973" s="91">
        <f>VLOOKUP(Tabla3[[#This Row],[Site]],'Important Info!'!$A$1:$J$135,9,FALSE)</f>
        <v>264</v>
      </c>
    </row>
    <row r="2974" spans="1:17" x14ac:dyDescent="0.25">
      <c r="A2974" t="str">
        <f>+Tabla3[[#This Row],[Site]]&amp;Tabla3[[#This Row],[Split]]</f>
        <v>(DT) Colorado Springs (NO TOURS)29</v>
      </c>
      <c r="B2974">
        <v>29</v>
      </c>
      <c r="C2974">
        <v>19</v>
      </c>
      <c r="D2974" t="s">
        <v>44</v>
      </c>
      <c r="E2974" t="s">
        <v>53</v>
      </c>
      <c r="F2974" t="s">
        <v>156</v>
      </c>
      <c r="G2974" t="s">
        <v>45</v>
      </c>
      <c r="H2974" s="52" t="str">
        <f>VLOOKUP(Tabla3[[#This Row],[Site]],'Important Info!'!$A$1:$J$135,10,FALSE)</f>
        <v>https://tools.sig.systems/site/details/198</v>
      </c>
      <c r="J2974" t="s">
        <v>41</v>
      </c>
      <c r="K2974" s="79" t="str">
        <f>VLOOKUP(Tabla3[[#This Row],[Site]],'Important Info!'!$A$1:$H$135,8,FALSE)</f>
        <v>-</v>
      </c>
      <c r="L2974" s="52" t="str">
        <f>VLOOKUP(Tabla3[[#This Row],[Site]],'Important Info!'!$A$1:$F$135,2,FALSE)</f>
        <v>-</v>
      </c>
      <c r="M2974" s="52" t="str">
        <f>VLOOKUP(Tabla3[[#This Row],[Site]],'Important Info!'!$A$1:$F$135,3,FALSE)</f>
        <v>1, 2, 3, 4</v>
      </c>
      <c r="N2974" s="52" t="str">
        <f>VLOOKUP(Tabla3[[#This Row],[Site]],'Important Info!'!$A$1:$F$135,4,FALSE)</f>
        <v>-</v>
      </c>
      <c r="O2974" s="52" t="str">
        <f>VLOOKUP(Tabla3[[#This Row],[Site]],'Important Info!'!$A$1:$F$135,5,FALSE)</f>
        <v>-</v>
      </c>
      <c r="P2974" s="52" t="str">
        <f>VLOOKUP(Tabla3[[#This Row],[Site]],'Important Info!'!$A$1:$F$135,6,FALSE)</f>
        <v>1, 2, 3, 11</v>
      </c>
      <c r="Q2974" s="91">
        <f>VLOOKUP(Tabla3[[#This Row],[Site]],'Important Info!'!$A$1:$J$135,9,FALSE)</f>
        <v>198</v>
      </c>
    </row>
    <row r="2975" spans="1:17" x14ac:dyDescent="0.25">
      <c r="A2975" t="str">
        <f>+Tabla3[[#This Row],[Site]]&amp;Tabla3[[#This Row],[Split]]</f>
        <v>(KG) Clear Lake Pre-Owned29</v>
      </c>
      <c r="B2975">
        <v>29</v>
      </c>
      <c r="C2975">
        <v>19</v>
      </c>
      <c r="D2975" t="s">
        <v>33</v>
      </c>
      <c r="E2975" t="s">
        <v>46</v>
      </c>
      <c r="F2975" t="s">
        <v>87</v>
      </c>
      <c r="G2975" t="s">
        <v>34</v>
      </c>
      <c r="H2975" s="52" t="str">
        <f>VLOOKUP(Tabla3[[#This Row],[Site]],'Important Info!'!$A$1:$J$135,10,FALSE)</f>
        <v>https://tools.sig.systems/site/details/255</v>
      </c>
      <c r="I2975" s="2" t="s">
        <v>134</v>
      </c>
      <c r="J2975" t="s">
        <v>41</v>
      </c>
      <c r="K2975" s="79" t="str">
        <f>VLOOKUP(Tabla3[[#This Row],[Site]],'Important Info!'!$A$1:$H$135,8,FALSE)</f>
        <v>-</v>
      </c>
      <c r="L2975" s="52" t="str">
        <f>VLOOKUP(Tabla3[[#This Row],[Site]],'Important Info!'!$A$1:$F$135,2,FALSE)</f>
        <v>3, 5</v>
      </c>
      <c r="M2975" s="52" t="str">
        <f>VLOOKUP(Tabla3[[#This Row],[Site]],'Important Info!'!$A$1:$F$135,3,FALSE)</f>
        <v>-</v>
      </c>
      <c r="N2975" s="52" t="str">
        <f>VLOOKUP(Tabla3[[#This Row],[Site]],'Important Info!'!$A$1:$F$135,4,FALSE)</f>
        <v>-</v>
      </c>
      <c r="O2975" s="52" t="str">
        <f>VLOOKUP(Tabla3[[#This Row],[Site]],'Important Info!'!$A$1:$F$135,5,FALSE)</f>
        <v>4, 10, 22</v>
      </c>
      <c r="P2975" s="52" t="str">
        <f>VLOOKUP(Tabla3[[#This Row],[Site]],'Important Info!'!$A$1:$F$135,6,FALSE)</f>
        <v>8, 15, 20</v>
      </c>
      <c r="Q2975" s="91">
        <f>VLOOKUP(Tabla3[[#This Row],[Site]],'Important Info!'!$A$1:$J$135,9,FALSE)</f>
        <v>255</v>
      </c>
    </row>
    <row r="2976" spans="1:17" x14ac:dyDescent="0.25">
      <c r="A2976" t="str">
        <f>+Tabla3[[#This Row],[Site]]&amp;Tabla3[[#This Row],[Split]]</f>
        <v>(ML) Mazda VW-Lot B29</v>
      </c>
      <c r="B2976">
        <v>29</v>
      </c>
      <c r="C2976">
        <v>19</v>
      </c>
      <c r="D2976" t="s">
        <v>33</v>
      </c>
      <c r="E2976" t="s">
        <v>46</v>
      </c>
      <c r="F2976" t="s">
        <v>9</v>
      </c>
      <c r="G2976" t="s">
        <v>34</v>
      </c>
      <c r="H2976" s="52" t="str">
        <f>VLOOKUP(Tabla3[[#This Row],[Site]],'Important Info!'!$A$1:$J$135,10,FALSE)</f>
        <v>https://tools.sig.systems/site/details/205</v>
      </c>
      <c r="I2976" s="2" t="s">
        <v>142</v>
      </c>
      <c r="J2976" t="s">
        <v>41</v>
      </c>
      <c r="K2976" s="79" t="str">
        <f>VLOOKUP(Tabla3[[#This Row],[Site]],'Important Info!'!$A$1:$H$135,8,FALSE)</f>
        <v>-</v>
      </c>
      <c r="L2976" s="52" t="str">
        <f>VLOOKUP(Tabla3[[#This Row],[Site]],'Important Info!'!$A$1:$F$135,2,FALSE)</f>
        <v>9, 14, 16</v>
      </c>
      <c r="M2976" s="52">
        <f>VLOOKUP(Tabla3[[#This Row],[Site]],'Important Info!'!$A$1:$F$135,3,FALSE)</f>
        <v>1</v>
      </c>
      <c r="N2976" s="52" t="str">
        <f>VLOOKUP(Tabla3[[#This Row],[Site]],'Important Info!'!$A$1:$F$135,4,FALSE)</f>
        <v>-</v>
      </c>
      <c r="O2976" s="52">
        <f>VLOOKUP(Tabla3[[#This Row],[Site]],'Important Info!'!$A$1:$F$135,5,FALSE)</f>
        <v>4</v>
      </c>
      <c r="P2976" s="52" t="str">
        <f>VLOOKUP(Tabla3[[#This Row],[Site]],'Important Info!'!$A$1:$F$135,6,FALSE)</f>
        <v>-</v>
      </c>
      <c r="Q2976" s="91">
        <f>VLOOKUP(Tabla3[[#This Row],[Site]],'Important Info!'!$A$1:$J$135,9,FALSE)</f>
        <v>205</v>
      </c>
    </row>
    <row r="2977" spans="1:17" x14ac:dyDescent="0.25">
      <c r="A2977" t="str">
        <f>+Tabla3[[#This Row],[Site]]&amp;Tabla3[[#This Row],[Split]]</f>
        <v>(RV) Toms Camperland Surprise (NO TOURS)29</v>
      </c>
      <c r="B2977">
        <v>29</v>
      </c>
      <c r="C2977">
        <v>19</v>
      </c>
      <c r="D2977" t="s">
        <v>51</v>
      </c>
      <c r="E2977" t="s">
        <v>161</v>
      </c>
      <c r="F2977" t="s">
        <v>165</v>
      </c>
      <c r="G2977" t="s">
        <v>52</v>
      </c>
      <c r="H2977" s="52" t="str">
        <f>VLOOKUP(Tabla3[[#This Row],[Site]],'Important Info!'!$A$1:$J$135,10,FALSE)</f>
        <v>https://tools.sig.systems/site/details/254</v>
      </c>
      <c r="I2977" s="43"/>
      <c r="J2977" t="s">
        <v>52</v>
      </c>
      <c r="K2977" s="79" t="str">
        <f>VLOOKUP(Tabla3[[#This Row],[Site]],'Important Info!'!$A$1:$H$135,8,FALSE)</f>
        <v>-</v>
      </c>
      <c r="L2977" s="52" t="str">
        <f>VLOOKUP(Tabla3[[#This Row],[Site]],'Important Info!'!$A$1:$F$135,2,FALSE)</f>
        <v>1, 3, 4</v>
      </c>
      <c r="M2977" s="52" t="str">
        <f>VLOOKUP(Tabla3[[#This Row],[Site]],'Important Info!'!$A$1:$F$135,3,FALSE)</f>
        <v>-</v>
      </c>
      <c r="N2977" s="52" t="str">
        <f>VLOOKUP(Tabla3[[#This Row],[Site]],'Important Info!'!$A$1:$F$135,4,FALSE)</f>
        <v>-</v>
      </c>
      <c r="O2977" s="52" t="str">
        <f>VLOOKUP(Tabla3[[#This Row],[Site]],'Important Info!'!$A$1:$F$135,5,FALSE)</f>
        <v>-</v>
      </c>
      <c r="P2977" s="52" t="str">
        <f>VLOOKUP(Tabla3[[#This Row],[Site]],'Important Info!'!$A$1:$F$135,6,FALSE)</f>
        <v>1, 2, 3, 4, 15</v>
      </c>
      <c r="Q2977" s="91">
        <f>VLOOKUP(Tabla3[[#This Row],[Site]],'Important Info!'!$A$1:$J$135,9,FALSE)</f>
        <v>254</v>
      </c>
    </row>
    <row r="2978" spans="1:17" x14ac:dyDescent="0.25">
      <c r="A2978" t="str">
        <f>+Tabla3[[#This Row],[Site]]&amp;Tabla3[[#This Row],[Split]]</f>
        <v>(AS) Stevinson Toyota West (NO TOURS)29</v>
      </c>
      <c r="B2978">
        <v>29</v>
      </c>
      <c r="C2978">
        <v>20</v>
      </c>
      <c r="D2978" t="s">
        <v>44</v>
      </c>
      <c r="E2978" t="s">
        <v>53</v>
      </c>
      <c r="F2978" t="s">
        <v>79</v>
      </c>
      <c r="G2978" t="s">
        <v>45</v>
      </c>
      <c r="H2978" s="52" t="str">
        <f>VLOOKUP(Tabla3[[#This Row],[Site]],'Important Info!'!$A$1:$J$135,10,FALSE)</f>
        <v>https://tools.sig.systems/site/details/240</v>
      </c>
      <c r="I2978" s="2" t="s">
        <v>154</v>
      </c>
      <c r="J2978" t="s">
        <v>41</v>
      </c>
      <c r="K2978" s="79" t="str">
        <f>VLOOKUP(Tabla3[[#This Row],[Site]],'Important Info!'!$A$1:$H$135,8,FALSE)</f>
        <v>-</v>
      </c>
      <c r="L2978" s="52" t="str">
        <f>VLOOKUP(Tabla3[[#This Row],[Site]],'Important Info!'!$A$1:$F$135,2,FALSE)</f>
        <v>-</v>
      </c>
      <c r="M2978" s="52" t="str">
        <f>VLOOKUP(Tabla3[[#This Row],[Site]],'Important Info!'!$A$1:$F$135,3,FALSE)</f>
        <v>7, 18, 21</v>
      </c>
      <c r="N2978" s="52" t="str">
        <f>VLOOKUP(Tabla3[[#This Row],[Site]],'Important Info!'!$A$1:$F$135,4,FALSE)</f>
        <v>-</v>
      </c>
      <c r="O2978" s="52" t="str">
        <f>VLOOKUP(Tabla3[[#This Row],[Site]],'Important Info!'!$A$1:$F$135,5,FALSE)</f>
        <v>11, 24, 34</v>
      </c>
      <c r="P2978" s="52" t="str">
        <f>VLOOKUP(Tabla3[[#This Row],[Site]],'Important Info!'!$A$1:$F$135,6,FALSE)</f>
        <v>1, 2, 3, 12</v>
      </c>
      <c r="Q2978" s="91">
        <f>VLOOKUP(Tabla3[[#This Row],[Site]],'Important Info!'!$A$1:$J$135,9,FALSE)</f>
        <v>240</v>
      </c>
    </row>
    <row r="2979" spans="1:17" x14ac:dyDescent="0.25">
      <c r="A2979" t="str">
        <f>+Tabla3[[#This Row],[Site]]&amp;Tabla3[[#This Row],[Split]]</f>
        <v>(KG) Big Star Ford29</v>
      </c>
      <c r="B2979">
        <v>29</v>
      </c>
      <c r="C2979">
        <v>20</v>
      </c>
      <c r="D2979" t="s">
        <v>33</v>
      </c>
      <c r="E2979" t="s">
        <v>46</v>
      </c>
      <c r="F2979" t="s">
        <v>135</v>
      </c>
      <c r="G2979" t="s">
        <v>34</v>
      </c>
      <c r="H2979" s="52" t="str">
        <f>VLOOKUP(Tabla3[[#This Row],[Site]],'Important Info!'!$A$1:$J$135,10,FALSE)</f>
        <v>https://tools.sig.systems/site/details/235</v>
      </c>
      <c r="I2979" s="43"/>
      <c r="J2979" t="s">
        <v>41</v>
      </c>
      <c r="K2979" s="79" t="str">
        <f>VLOOKUP(Tabla3[[#This Row],[Site]],'Important Info!'!$A$1:$H$135,8,FALSE)</f>
        <v>-</v>
      </c>
      <c r="L2979" s="52" t="str">
        <f>VLOOKUP(Tabla3[[#This Row],[Site]],'Important Info!'!$A$1:$F$135,2,FALSE)</f>
        <v>4, 22, 32, 33</v>
      </c>
      <c r="M2979" s="52" t="str">
        <f>VLOOKUP(Tabla3[[#This Row],[Site]],'Important Info!'!$A$1:$F$135,3,FALSE)</f>
        <v>-</v>
      </c>
      <c r="N2979" s="52" t="str">
        <f>VLOOKUP(Tabla3[[#This Row],[Site]],'Important Info!'!$A$1:$F$135,4,FALSE)</f>
        <v>-</v>
      </c>
      <c r="O2979" s="52" t="str">
        <f>VLOOKUP(Tabla3[[#This Row],[Site]],'Important Info!'!$A$1:$F$135,5,FALSE)</f>
        <v>1, 5, 12, 21</v>
      </c>
      <c r="P2979" s="52">
        <f>VLOOKUP(Tabla3[[#This Row],[Site]],'Important Info!'!$A$1:$F$135,6,FALSE)</f>
        <v>22</v>
      </c>
      <c r="Q2979" s="91">
        <f>VLOOKUP(Tabla3[[#This Row],[Site]],'Important Info!'!$A$1:$J$135,9,FALSE)</f>
        <v>235</v>
      </c>
    </row>
    <row r="2980" spans="1:17" x14ac:dyDescent="0.25">
      <c r="A2980" t="str">
        <f>+Tabla3[[#This Row],[Site]]&amp;Tabla3[[#This Row],[Split]]</f>
        <v>(ML) Ford Lincoln of North Little Rock29</v>
      </c>
      <c r="B2980">
        <v>29</v>
      </c>
      <c r="C2980">
        <v>20</v>
      </c>
      <c r="D2980" t="s">
        <v>33</v>
      </c>
      <c r="E2980" t="s">
        <v>46</v>
      </c>
      <c r="F2980" t="s">
        <v>145</v>
      </c>
      <c r="G2980" t="s">
        <v>34</v>
      </c>
      <c r="H2980" s="52" t="str">
        <f>VLOOKUP(Tabla3[[#This Row],[Site]],'Important Info!'!$A$1:$J$135,10,FALSE)</f>
        <v>https://tools.sig.systems/site/details/214</v>
      </c>
      <c r="I2980" s="43" t="s">
        <v>142</v>
      </c>
      <c r="J2980" t="s">
        <v>41</v>
      </c>
      <c r="K2980" s="79" t="str">
        <f>VLOOKUP(Tabla3[[#This Row],[Site]],'Important Info!'!$A$1:$H$135,8,FALSE)</f>
        <v>-</v>
      </c>
      <c r="L2980" s="52" t="str">
        <f>VLOOKUP(Tabla3[[#This Row],[Site]],'Important Info!'!$A$1:$F$135,2,FALSE)</f>
        <v>4, 15, 18, 67, 74</v>
      </c>
      <c r="M2980" s="52">
        <f>VLOOKUP(Tabla3[[#This Row],[Site]],'Important Info!'!$A$1:$F$135,3,FALSE)</f>
        <v>13</v>
      </c>
      <c r="N2980" s="52" t="str">
        <f>VLOOKUP(Tabla3[[#This Row],[Site]],'Important Info!'!$A$1:$F$135,4,FALSE)</f>
        <v>-</v>
      </c>
      <c r="O2980" s="52" t="str">
        <f>VLOOKUP(Tabla3[[#This Row],[Site]],'Important Info!'!$A$1:$F$135,5,FALSE)</f>
        <v>4, 11, 16, 28</v>
      </c>
      <c r="P2980" s="52" t="str">
        <f>VLOOKUP(Tabla3[[#This Row],[Site]],'Important Info!'!$A$1:$F$135,6,FALSE)</f>
        <v>10, 11, 12</v>
      </c>
      <c r="Q2980" s="91">
        <f>VLOOKUP(Tabla3[[#This Row],[Site]],'Important Info!'!$A$1:$J$135,9,FALSE)</f>
        <v>214</v>
      </c>
    </row>
    <row r="2981" spans="1:17" x14ac:dyDescent="0.25">
      <c r="A2981" t="str">
        <f>+Tabla3[[#This Row],[Site]]&amp;Tabla3[[#This Row],[Split]]</f>
        <v>(AS) Plaza Lexus/Mercedes/BMW (NO TOURS)29</v>
      </c>
      <c r="B2981">
        <v>29</v>
      </c>
      <c r="C2981">
        <v>21</v>
      </c>
      <c r="D2981" t="s">
        <v>33</v>
      </c>
      <c r="E2981" t="s">
        <v>46</v>
      </c>
      <c r="F2981" t="s">
        <v>92</v>
      </c>
      <c r="G2981" t="s">
        <v>34</v>
      </c>
      <c r="H2981" s="52" t="str">
        <f>VLOOKUP(Tabla3[[#This Row],[Site]],'Important Info!'!$A$1:$J$135,10,FALSE)</f>
        <v>https://tools.sig.systems/site/details/141</v>
      </c>
      <c r="I2981" t="s">
        <v>130</v>
      </c>
      <c r="J2981" t="s">
        <v>41</v>
      </c>
      <c r="K2981" s="79" t="str">
        <f>VLOOKUP(Tabla3[[#This Row],[Site]],'Important Info!'!$A$1:$H$135,8,FALSE)</f>
        <v>-</v>
      </c>
      <c r="L2981" s="52" t="str">
        <f>VLOOKUP(Tabla3[[#This Row],[Site]],'Important Info!'!$A$1:$F$135,2,FALSE)</f>
        <v>3, 4, 18</v>
      </c>
      <c r="M2981" s="52" t="str">
        <f>VLOOKUP(Tabla3[[#This Row],[Site]],'Important Info!'!$A$1:$F$135,3,FALSE)</f>
        <v>9, 10, 12, 13, 16, 17</v>
      </c>
      <c r="N2981" s="52" t="str">
        <f>VLOOKUP(Tabla3[[#This Row],[Site]],'Important Info!'!$A$1:$F$135,4,FALSE)</f>
        <v>-</v>
      </c>
      <c r="O2981" s="52">
        <f>VLOOKUP(Tabla3[[#This Row],[Site]],'Important Info!'!$A$1:$F$135,5,FALSE)</f>
        <v>2</v>
      </c>
      <c r="P2981" s="52" t="str">
        <f>VLOOKUP(Tabla3[[#This Row],[Site]],'Important Info!'!$A$1:$F$135,6,FALSE)</f>
        <v>2, 16</v>
      </c>
      <c r="Q2981" s="91">
        <f>VLOOKUP(Tabla3[[#This Row],[Site]],'Important Info!'!$A$1:$J$135,9,FALSE)</f>
        <v>141</v>
      </c>
    </row>
    <row r="2982" spans="1:17" x14ac:dyDescent="0.25">
      <c r="A2982" t="str">
        <f>+Tabla3[[#This Row],[Site]]&amp;Tabla3[[#This Row],[Split]]</f>
        <v>(AS) Stevinson Lexus of Lakewood (NO TOURS)29</v>
      </c>
      <c r="B2982">
        <v>29</v>
      </c>
      <c r="C2982">
        <v>21</v>
      </c>
      <c r="D2982" t="s">
        <v>44</v>
      </c>
      <c r="E2982" t="s">
        <v>53</v>
      </c>
      <c r="F2982" t="s">
        <v>523</v>
      </c>
      <c r="G2982" t="s">
        <v>45</v>
      </c>
      <c r="H2982" s="52" t="str">
        <f>VLOOKUP(Tabla3[[#This Row],[Site]],'Important Info!'!$A$1:$J$135,10,FALSE)</f>
        <v>https://tools.sig.systems/site/details/260</v>
      </c>
      <c r="I2982" s="43" t="s">
        <v>154</v>
      </c>
      <c r="J2982" t="s">
        <v>41</v>
      </c>
      <c r="K2982" s="79" t="str">
        <f>VLOOKUP(Tabla3[[#This Row],[Site]],'Important Info!'!$A$1:$H$135,8,FALSE)</f>
        <v>-</v>
      </c>
      <c r="L2982" s="52" t="str">
        <f>VLOOKUP(Tabla3[[#This Row],[Site]],'Important Info!'!$A$1:$F$135,2,FALSE)</f>
        <v>-</v>
      </c>
      <c r="M2982" s="52" t="str">
        <f>VLOOKUP(Tabla3[[#This Row],[Site]],'Important Info!'!$A$1:$F$135,3,FALSE)</f>
        <v>2, 10</v>
      </c>
      <c r="N2982" s="52" t="str">
        <f>VLOOKUP(Tabla3[[#This Row],[Site]],'Important Info!'!$A$1:$F$135,4,FALSE)</f>
        <v>9, 17</v>
      </c>
      <c r="O2982" s="52" t="str">
        <f>VLOOKUP(Tabla3[[#This Row],[Site]],'Important Info!'!$A$1:$F$135,5,FALSE)</f>
        <v>-</v>
      </c>
      <c r="P2982" s="52" t="str">
        <f>VLOOKUP(Tabla3[[#This Row],[Site]],'Important Info!'!$A$1:$F$135,6,FALSE)</f>
        <v>1, 2</v>
      </c>
      <c r="Q2982" s="91">
        <f>VLOOKUP(Tabla3[[#This Row],[Site]],'Important Info!'!$A$1:$J$135,9,FALSE)</f>
        <v>260</v>
      </c>
    </row>
    <row r="2983" spans="1:17" x14ac:dyDescent="0.25">
      <c r="A2983" t="str">
        <f>+Tabla3[[#This Row],[Site]]&amp;Tabla3[[#This Row],[Split]]</f>
        <v>(ML) Toyota N Little Rock29</v>
      </c>
      <c r="B2983">
        <v>29</v>
      </c>
      <c r="C2983">
        <v>21</v>
      </c>
      <c r="D2983" t="s">
        <v>33</v>
      </c>
      <c r="E2983" t="s">
        <v>46</v>
      </c>
      <c r="F2983" t="s">
        <v>76</v>
      </c>
      <c r="G2983" t="s">
        <v>34</v>
      </c>
      <c r="H2983" s="52" t="str">
        <f>VLOOKUP(Tabla3[[#This Row],[Site]],'Important Info!'!$A$1:$J$135,10,FALSE)</f>
        <v>https://tools.sig.systems/site/details/201</v>
      </c>
      <c r="I2983" s="43" t="s">
        <v>142</v>
      </c>
      <c r="J2983" t="s">
        <v>41</v>
      </c>
      <c r="K2983" s="79" t="str">
        <f>VLOOKUP(Tabla3[[#This Row],[Site]],'Important Info!'!$A$1:$H$135,8,FALSE)</f>
        <v>-</v>
      </c>
      <c r="L2983" s="52" t="str">
        <f>VLOOKUP(Tabla3[[#This Row],[Site]],'Important Info!'!$A$1:$F$135,2,FALSE)</f>
        <v>4, 15, 18, 22, 23, 26</v>
      </c>
      <c r="M2983" s="52" t="str">
        <f>VLOOKUP(Tabla3[[#This Row],[Site]],'Important Info!'!$A$1:$F$135,3,FALSE)</f>
        <v>-</v>
      </c>
      <c r="N2983" s="52" t="str">
        <f>VLOOKUP(Tabla3[[#This Row],[Site]],'Important Info!'!$A$1:$F$135,4,FALSE)</f>
        <v>-</v>
      </c>
      <c r="O2983" s="52" t="str">
        <f>VLOOKUP(Tabla3[[#This Row],[Site]],'Important Info!'!$A$1:$F$135,5,FALSE)</f>
        <v>2, 12, 13, 18</v>
      </c>
      <c r="P2983" s="52" t="str">
        <f>VLOOKUP(Tabla3[[#This Row],[Site]],'Important Info!'!$A$1:$F$135,6,FALSE)</f>
        <v>-</v>
      </c>
      <c r="Q2983" s="91">
        <f>VLOOKUP(Tabla3[[#This Row],[Site]],'Important Info!'!$A$1:$J$135,9,FALSE)</f>
        <v>201</v>
      </c>
    </row>
    <row r="2984" spans="1:17" x14ac:dyDescent="0.25">
      <c r="A2984" t="str">
        <f>+Tabla3[[#This Row],[Site]]&amp;Tabla3[[#This Row],[Split]]</f>
        <v>(TC) Tavernier Creek Marina (NO TOURS)29</v>
      </c>
      <c r="B2984">
        <v>29</v>
      </c>
      <c r="C2984">
        <v>21</v>
      </c>
      <c r="D2984" t="s">
        <v>62</v>
      </c>
      <c r="E2984" t="s">
        <v>35</v>
      </c>
      <c r="F2984" t="s">
        <v>119</v>
      </c>
      <c r="G2984" t="s">
        <v>34</v>
      </c>
      <c r="H2984" s="52" t="str">
        <f>VLOOKUP(Tabla3[[#This Row],[Site]],'Important Info!'!$A$1:$J$135,10,FALSE)</f>
        <v>https://tools.sig.systems/site/details/164</v>
      </c>
      <c r="J2984" t="s">
        <v>45</v>
      </c>
      <c r="K2984" s="79" t="str">
        <f>VLOOKUP(Tabla3[[#This Row],[Site]],'Important Info!'!$A$1:$H$135,8,FALSE)</f>
        <v>-</v>
      </c>
      <c r="L2984" s="52" t="str">
        <f>VLOOKUP(Tabla3[[#This Row],[Site]],'Important Info!'!$A$1:$F$135,2,FALSE)</f>
        <v>28, 29</v>
      </c>
      <c r="M2984" s="52" t="str">
        <f>VLOOKUP(Tabla3[[#This Row],[Site]],'Important Info!'!$A$1:$F$135,3,FALSE)</f>
        <v>-</v>
      </c>
      <c r="N2984" s="52" t="str">
        <f>VLOOKUP(Tabla3[[#This Row],[Site]],'Important Info!'!$A$1:$F$135,4,FALSE)</f>
        <v>-</v>
      </c>
      <c r="O2984" s="52" t="str">
        <f>VLOOKUP(Tabla3[[#This Row],[Site]],'Important Info!'!$A$1:$F$135,5,FALSE)</f>
        <v>-</v>
      </c>
      <c r="P2984" s="52" t="str">
        <f>VLOOKUP(Tabla3[[#This Row],[Site]],'Important Info!'!$A$1:$F$135,6,FALSE)</f>
        <v>5, 28, 29</v>
      </c>
      <c r="Q2984" s="91">
        <f>VLOOKUP(Tabla3[[#This Row],[Site]],'Important Info!'!$A$1:$J$135,9,FALSE)</f>
        <v>164</v>
      </c>
    </row>
    <row r="2985" spans="1:17" x14ac:dyDescent="0.25">
      <c r="A2985" t="str">
        <f>+Tabla3[[#This Row],[Site]]&amp;Tabla3[[#This Row],[Split]]</f>
        <v>(AS) Courtesy Hyundai/Nissan Tampa (NO TOURS)29</v>
      </c>
      <c r="B2985">
        <v>29</v>
      </c>
      <c r="C2985">
        <v>22</v>
      </c>
      <c r="D2985" t="s">
        <v>62</v>
      </c>
      <c r="E2985" t="s">
        <v>35</v>
      </c>
      <c r="F2985" t="s">
        <v>504</v>
      </c>
      <c r="G2985" t="s">
        <v>490</v>
      </c>
      <c r="H2985" s="52" t="str">
        <f>VLOOKUP(Tabla3[[#This Row],[Site]],'Important Info!'!$A$1:$J$135,10,FALSE)</f>
        <v>https://tools.sig.systems/site/details/128</v>
      </c>
      <c r="I2985" s="43"/>
      <c r="J2985" t="s">
        <v>484</v>
      </c>
      <c r="K2985" s="79" t="str">
        <f>VLOOKUP(Tabla3[[#This Row],[Site]],'Important Info!'!$A$1:$H$135,8,FALSE)</f>
        <v>-</v>
      </c>
      <c r="L2985" s="52" t="str">
        <f>VLOOKUP(Tabla3[[#This Row],[Site]],'Important Info!'!$A$1:$F$135,2,FALSE)</f>
        <v>1, 16, 25, 27, 32</v>
      </c>
      <c r="M2985" s="52" t="str">
        <f>VLOOKUP(Tabla3[[#This Row],[Site]],'Important Info!'!$A$1:$F$135,3,FALSE)</f>
        <v>-</v>
      </c>
      <c r="N2985" s="52" t="str">
        <f>VLOOKUP(Tabla3[[#This Row],[Site]],'Important Info!'!$A$1:$F$135,4,FALSE)</f>
        <v>-</v>
      </c>
      <c r="O2985" s="52" t="str">
        <f>VLOOKUP(Tabla3[[#This Row],[Site]],'Important Info!'!$A$1:$F$135,5,FALSE)</f>
        <v>4, 10, 16</v>
      </c>
      <c r="P2985" s="52" t="str">
        <f>VLOOKUP(Tabla3[[#This Row],[Site]],'Important Info!'!$A$1:$F$135,6,FALSE)</f>
        <v>24, 25, 26 &amp; Remote Lots</v>
      </c>
      <c r="Q2985" s="91">
        <f>VLOOKUP(Tabla3[[#This Row],[Site]],'Important Info!'!$A$1:$J$135,9,FALSE)</f>
        <v>128</v>
      </c>
    </row>
    <row r="2986" spans="1:17" x14ac:dyDescent="0.25">
      <c r="A2986" t="str">
        <f>+Tabla3[[#This Row],[Site]]&amp;Tabla3[[#This Row],[Split]]</f>
        <v>(AS) Plaza Audi/Infiniti (NO TOURS)29</v>
      </c>
      <c r="B2986">
        <v>29</v>
      </c>
      <c r="C2986">
        <v>22</v>
      </c>
      <c r="D2986" t="s">
        <v>33</v>
      </c>
      <c r="E2986" t="s">
        <v>46</v>
      </c>
      <c r="F2986" t="s">
        <v>91</v>
      </c>
      <c r="G2986" t="s">
        <v>34</v>
      </c>
      <c r="H2986" s="52" t="str">
        <f>VLOOKUP(Tabla3[[#This Row],[Site]],'Important Info!'!$A$1:$J$135,10,FALSE)</f>
        <v>https://tools.sig.systems/site/details/141</v>
      </c>
      <c r="I2986" t="s">
        <v>130</v>
      </c>
      <c r="J2986" t="s">
        <v>41</v>
      </c>
      <c r="K2986" s="79" t="str">
        <f>VLOOKUP(Tabla3[[#This Row],[Site]],'Important Info!'!$A$1:$H$135,8,FALSE)</f>
        <v>-</v>
      </c>
      <c r="L2986" s="52" t="str">
        <f>VLOOKUP(Tabla3[[#This Row],[Site]],'Important Info!'!$A$1:$F$135,2,FALSE)</f>
        <v>7, 25</v>
      </c>
      <c r="M2986" s="52" t="str">
        <f>VLOOKUP(Tabla3[[#This Row],[Site]],'Important Info!'!$A$1:$F$135,3,FALSE)</f>
        <v>15, 17, 18</v>
      </c>
      <c r="N2986" s="52" t="str">
        <f>VLOOKUP(Tabla3[[#This Row],[Site]],'Important Info!'!$A$1:$F$135,4,FALSE)</f>
        <v>-</v>
      </c>
      <c r="O2986" s="52" t="str">
        <f>VLOOKUP(Tabla3[[#This Row],[Site]],'Important Info!'!$A$1:$F$135,5,FALSE)</f>
        <v>1, 24</v>
      </c>
      <c r="P2986" s="52" t="str">
        <f>VLOOKUP(Tabla3[[#This Row],[Site]],'Important Info!'!$A$1:$F$135,6,FALSE)</f>
        <v>3, 15, 17</v>
      </c>
      <c r="Q2986" s="91">
        <f>VLOOKUP(Tabla3[[#This Row],[Site]],'Important Info!'!$A$1:$J$135,9,FALSE)</f>
        <v>141</v>
      </c>
    </row>
    <row r="2987" spans="1:17" x14ac:dyDescent="0.25">
      <c r="A2987" t="str">
        <f>+Tabla3[[#This Row],[Site]]&amp;Tabla3[[#This Row],[Split]]</f>
        <v>(DT) Escondido29</v>
      </c>
      <c r="B2987">
        <v>29</v>
      </c>
      <c r="C2987">
        <v>22</v>
      </c>
      <c r="D2987" t="s">
        <v>51</v>
      </c>
      <c r="E2987" t="s">
        <v>159</v>
      </c>
      <c r="F2987" t="s">
        <v>112</v>
      </c>
      <c r="G2987" t="s">
        <v>164</v>
      </c>
      <c r="H2987" s="52" t="str">
        <f>VLOOKUP(Tabla3[[#This Row],[Site]],'Important Info!'!$A$1:$J$135,10,FALSE)</f>
        <v>https://tools.sig.systems/site/details/196</v>
      </c>
      <c r="I2987" s="2"/>
      <c r="J2987" t="s">
        <v>41</v>
      </c>
      <c r="K2987" s="79" t="str">
        <f>VLOOKUP(Tabla3[[#This Row],[Site]],'Important Info!'!$A$1:$H$135,8,FALSE)</f>
        <v>Saturday Drop Time 9:00 A.M.</v>
      </c>
      <c r="L2987" s="52" t="str">
        <f>VLOOKUP(Tabla3[[#This Row],[Site]],'Important Info!'!$A$1:$F$135,2,FALSE)</f>
        <v>1, 2</v>
      </c>
      <c r="M2987" s="52" t="str">
        <f>VLOOKUP(Tabla3[[#This Row],[Site]],'Important Info!'!$A$1:$F$135,3,FALSE)</f>
        <v>-</v>
      </c>
      <c r="N2987" s="52" t="str">
        <f>VLOOKUP(Tabla3[[#This Row],[Site]],'Important Info!'!$A$1:$F$135,4,FALSE)</f>
        <v>-</v>
      </c>
      <c r="O2987" s="52" t="str">
        <f>VLOOKUP(Tabla3[[#This Row],[Site]],'Important Info!'!$A$1:$F$135,5,FALSE)</f>
        <v>-</v>
      </c>
      <c r="P2987" s="52" t="str">
        <f>VLOOKUP(Tabla3[[#This Row],[Site]],'Important Info!'!$A$1:$F$135,6,FALSE)</f>
        <v>5, 7, 8</v>
      </c>
      <c r="Q2987" s="91">
        <f>VLOOKUP(Tabla3[[#This Row],[Site]],'Important Info!'!$A$1:$J$135,9,FALSE)</f>
        <v>196</v>
      </c>
    </row>
    <row r="2988" spans="1:17" x14ac:dyDescent="0.25">
      <c r="A2988" t="str">
        <f>+Tabla3[[#This Row],[Site]]&amp;Tabla3[[#This Row],[Split]]</f>
        <v>(RV) Sonny's Camp N Travel Concord29</v>
      </c>
      <c r="B2988">
        <v>29</v>
      </c>
      <c r="C2988">
        <v>22</v>
      </c>
      <c r="D2988" t="s">
        <v>62</v>
      </c>
      <c r="E2988" t="s">
        <v>35</v>
      </c>
      <c r="F2988" t="s">
        <v>188</v>
      </c>
      <c r="G2988" t="s">
        <v>490</v>
      </c>
      <c r="H2988" s="52" t="str">
        <f>VLOOKUP(Tabla3[[#This Row],[Site]],'Important Info!'!$A$1:$J$135,10,FALSE)</f>
        <v>https://tools.sig.systems/site/details/183</v>
      </c>
      <c r="J2988" t="s">
        <v>41</v>
      </c>
      <c r="K2988" s="79" t="str">
        <f>VLOOKUP(Tabla3[[#This Row],[Site]],'Important Info!'!$A$1:$H$135,8,FALSE)</f>
        <v>-</v>
      </c>
      <c r="L2988" s="52">
        <f>VLOOKUP(Tabla3[[#This Row],[Site]],'Important Info!'!$A$1:$F$135,2,FALSE)</f>
        <v>1</v>
      </c>
      <c r="M2988" s="52" t="str">
        <f>VLOOKUP(Tabla3[[#This Row],[Site]],'Important Info!'!$A$1:$F$135,3,FALSE)</f>
        <v>-</v>
      </c>
      <c r="N2988" s="52" t="str">
        <f>VLOOKUP(Tabla3[[#This Row],[Site]],'Important Info!'!$A$1:$F$135,4,FALSE)</f>
        <v>-</v>
      </c>
      <c r="O2988" s="52">
        <f>VLOOKUP(Tabla3[[#This Row],[Site]],'Important Info!'!$A$1:$F$135,5,FALSE)</f>
        <v>7</v>
      </c>
      <c r="P2988" s="52" t="str">
        <f>VLOOKUP(Tabla3[[#This Row],[Site]],'Important Info!'!$A$1:$F$135,6,FALSE)</f>
        <v>6, 7, 8, 9</v>
      </c>
      <c r="Q2988" s="91">
        <f>VLOOKUP(Tabla3[[#This Row],[Site]],'Important Info!'!$A$1:$J$135,9,FALSE)</f>
        <v>183</v>
      </c>
    </row>
    <row r="2989" spans="1:17" x14ac:dyDescent="0.25">
      <c r="A2989" t="str">
        <f>+Tabla3[[#This Row],[Site]]&amp;Tabla3[[#This Row],[Split]]</f>
        <v>(AS) Lexus Grapevine I &amp; II (NO TOURS)29</v>
      </c>
      <c r="B2989">
        <v>29</v>
      </c>
      <c r="C2989">
        <v>23</v>
      </c>
      <c r="D2989" t="s">
        <v>33</v>
      </c>
      <c r="E2989" t="s">
        <v>46</v>
      </c>
      <c r="F2989" t="s">
        <v>508</v>
      </c>
      <c r="G2989" t="s">
        <v>34</v>
      </c>
      <c r="H2989" s="52" t="str">
        <f>VLOOKUP(Tabla3[[#This Row],[Site]],'Important Info!'!$A$1:$J$135,10,FALSE)</f>
        <v>https://tools.sig.systems/site/details/136</v>
      </c>
      <c r="J2989" t="s">
        <v>41</v>
      </c>
      <c r="K2989" s="79" t="str">
        <f>VLOOKUP(Tabla3[[#This Row],[Site]],'Important Info!'!$A$1:$H$135,8,FALSE)</f>
        <v>-</v>
      </c>
      <c r="L2989" s="52" t="str">
        <f>VLOOKUP(Tabla3[[#This Row],[Site]],'Important Info!'!$A$1:$F$135,2,FALSE)</f>
        <v>4, 10, 14, 18, 33</v>
      </c>
      <c r="M2989" s="52" t="str">
        <f>VLOOKUP(Tabla3[[#This Row],[Site]],'Important Info!'!$A$1:$F$135,3,FALSE)</f>
        <v>-</v>
      </c>
      <c r="N2989" s="52" t="str">
        <f>VLOOKUP(Tabla3[[#This Row],[Site]],'Important Info!'!$A$1:$F$135,4,FALSE)</f>
        <v>81, 82, 83</v>
      </c>
      <c r="O2989" s="52" t="str">
        <f>VLOOKUP(Tabla3[[#This Row],[Site]],'Important Info!'!$A$1:$F$135,5,FALSE)</f>
        <v>4, 12, 15, 20, 30</v>
      </c>
      <c r="P2989" s="52">
        <f>VLOOKUP(Tabla3[[#This Row],[Site]],'Important Info!'!$A$1:$F$135,6,FALSE)</f>
        <v>10</v>
      </c>
      <c r="Q2989" s="91">
        <f>VLOOKUP(Tabla3[[#This Row],[Site]],'Important Info!'!$A$1:$J$135,9,FALSE)</f>
        <v>136</v>
      </c>
    </row>
    <row r="2990" spans="1:17" x14ac:dyDescent="0.25">
      <c r="A2990" t="str">
        <f>+Tabla3[[#This Row],[Site]]&amp;Tabla3[[#This Row],[Split]]</f>
        <v>(KG) Hyundai Surprise29</v>
      </c>
      <c r="B2990">
        <v>29</v>
      </c>
      <c r="C2990">
        <v>23</v>
      </c>
      <c r="D2990" t="s">
        <v>51</v>
      </c>
      <c r="E2990" t="s">
        <v>161</v>
      </c>
      <c r="F2990" t="s">
        <v>118</v>
      </c>
      <c r="G2990" t="s">
        <v>52</v>
      </c>
      <c r="H2990" s="52" t="str">
        <f>VLOOKUP(Tabla3[[#This Row],[Site]],'Important Info!'!$A$1:$J$135,10,FALSE)</f>
        <v>https://tools.sig.systems/site/details/269</v>
      </c>
      <c r="I2990" s="43"/>
      <c r="J2990" t="s">
        <v>162</v>
      </c>
      <c r="K2990" s="79" t="str">
        <f>VLOOKUP(Tabla3[[#This Row],[Site]],'Important Info!'!$A$1:$H$135,8,FALSE)</f>
        <v>-</v>
      </c>
      <c r="L2990" s="52" t="str">
        <f>VLOOKUP(Tabla3[[#This Row],[Site]],'Important Info!'!$A$1:$F$135,2,FALSE)</f>
        <v>1, 6, 7</v>
      </c>
      <c r="M2990" s="52" t="str">
        <f>VLOOKUP(Tabla3[[#This Row],[Site]],'Important Info!'!$A$1:$F$135,3,FALSE)</f>
        <v>-</v>
      </c>
      <c r="N2990" s="52" t="str">
        <f>VLOOKUP(Tabla3[[#This Row],[Site]],'Important Info!'!$A$1:$F$135,4,FALSE)</f>
        <v>-</v>
      </c>
      <c r="O2990" s="52" t="str">
        <f>VLOOKUP(Tabla3[[#This Row],[Site]],'Important Info!'!$A$1:$F$135,5,FALSE)</f>
        <v>6, 13</v>
      </c>
      <c r="P2990" s="52" t="str">
        <f>VLOOKUP(Tabla3[[#This Row],[Site]],'Important Info!'!$A$1:$F$135,6,FALSE)</f>
        <v>-</v>
      </c>
      <c r="Q2990" s="91">
        <f>VLOOKUP(Tabla3[[#This Row],[Site]],'Important Info!'!$A$1:$J$135,9,FALSE)</f>
        <v>269</v>
      </c>
    </row>
    <row r="2991" spans="1:17" x14ac:dyDescent="0.25">
      <c r="A2991" t="str">
        <f>+Tabla3[[#This Row],[Site]]&amp;Tabla3[[#This Row],[Split]]</f>
        <v>(KT) Northwest CDJR (NO TOURS)29</v>
      </c>
      <c r="B2991">
        <v>29</v>
      </c>
      <c r="C2991">
        <v>23</v>
      </c>
      <c r="D2991" t="s">
        <v>33</v>
      </c>
      <c r="E2991" t="s">
        <v>46</v>
      </c>
      <c r="F2991" t="s">
        <v>77</v>
      </c>
      <c r="G2991" t="s">
        <v>34</v>
      </c>
      <c r="H2991" s="52" t="str">
        <f>VLOOKUP(Tabla3[[#This Row],[Site]],'Important Info!'!$A$1:$J$135,10,FALSE)</f>
        <v>https://tools.sig.systems/site/details/229</v>
      </c>
      <c r="I2991" s="2"/>
      <c r="J2991" t="s">
        <v>41</v>
      </c>
      <c r="K2991" s="79" t="str">
        <f>VLOOKUP(Tabla3[[#This Row],[Site]],'Important Info!'!$A$1:$H$135,8,FALSE)</f>
        <v>-</v>
      </c>
      <c r="L2991" s="52" t="str">
        <f>VLOOKUP(Tabla3[[#This Row],[Site]],'Important Info!'!$A$1:$F$135,2,FALSE)</f>
        <v>1, 3, 11, 25</v>
      </c>
      <c r="M2991" s="52" t="str">
        <f>VLOOKUP(Tabla3[[#This Row],[Site]],'Important Info!'!$A$1:$F$135,3,FALSE)</f>
        <v>-</v>
      </c>
      <c r="N2991" s="52" t="str">
        <f>VLOOKUP(Tabla3[[#This Row],[Site]],'Important Info!'!$A$1:$F$135,4,FALSE)</f>
        <v>-</v>
      </c>
      <c r="O2991" s="52" t="str">
        <f>VLOOKUP(Tabla3[[#This Row],[Site]],'Important Info!'!$A$1:$F$135,5,FALSE)</f>
        <v>4, 12, 18</v>
      </c>
      <c r="P2991" s="52" t="str">
        <f>VLOOKUP(Tabla3[[#This Row],[Site]],'Important Info!'!$A$1:$F$135,6,FALSE)</f>
        <v>-</v>
      </c>
      <c r="Q2991" s="91">
        <f>VLOOKUP(Tabla3[[#This Row],[Site]],'Important Info!'!$A$1:$J$135,9,FALSE)</f>
        <v>229</v>
      </c>
    </row>
    <row r="2992" spans="1:17" x14ac:dyDescent="0.25">
      <c r="A2992" t="str">
        <f>+Tabla3[[#This Row],[Site]]&amp;Tabla3[[#This Row],[Split]]</f>
        <v>(AS) Bill Estes Ford (NO TOURS)29</v>
      </c>
      <c r="B2992">
        <v>29</v>
      </c>
      <c r="C2992">
        <v>24</v>
      </c>
      <c r="D2992" t="s">
        <v>62</v>
      </c>
      <c r="E2992" t="s">
        <v>35</v>
      </c>
      <c r="F2992" t="s">
        <v>178</v>
      </c>
      <c r="G2992" t="s">
        <v>490</v>
      </c>
      <c r="H2992" s="52" t="str">
        <f>VLOOKUP(Tabla3[[#This Row],[Site]],'Important Info!'!$A$1:$J$135,10,FALSE)</f>
        <v>https://tools.sig.systems/site/details/125</v>
      </c>
      <c r="J2992" t="s">
        <v>41</v>
      </c>
      <c r="K2992" s="79" t="str">
        <f>VLOOKUP(Tabla3[[#This Row],[Site]],'Important Info!'!$A$1:$H$135,8,FALSE)</f>
        <v>-</v>
      </c>
      <c r="L2992" s="52" t="str">
        <f>VLOOKUP(Tabla3[[#This Row],[Site]],'Important Info!'!$A$1:$F$135,2,FALSE)</f>
        <v>-</v>
      </c>
      <c r="M2992" s="52" t="str">
        <f>VLOOKUP(Tabla3[[#This Row],[Site]],'Important Info!'!$A$1:$F$135,3,FALSE)</f>
        <v>2, 3, 13, 16</v>
      </c>
      <c r="N2992" s="52" t="str">
        <f>VLOOKUP(Tabla3[[#This Row],[Site]],'Important Info!'!$A$1:$F$135,4,FALSE)</f>
        <v>-</v>
      </c>
      <c r="O2992" s="52" t="str">
        <f>VLOOKUP(Tabla3[[#This Row],[Site]],'Important Info!'!$A$1:$F$135,5,FALSE)</f>
        <v>1, 10, 14, 19</v>
      </c>
      <c r="P2992" s="52" t="str">
        <f>VLOOKUP(Tabla3[[#This Row],[Site]],'Important Info!'!$A$1:$F$135,6,FALSE)</f>
        <v>7, 8, 9, 10, 11, 12, 14</v>
      </c>
      <c r="Q2992" s="91">
        <f>VLOOKUP(Tabla3[[#This Row],[Site]],'Important Info!'!$A$1:$J$135,9,FALSE)</f>
        <v>125</v>
      </c>
    </row>
    <row r="2993" spans="1:17" x14ac:dyDescent="0.25">
      <c r="A2993" t="str">
        <f>+Tabla3[[#This Row],[Site]]&amp;Tabla3[[#This Row],[Split]]</f>
        <v>(DT) Wichita29</v>
      </c>
      <c r="B2993">
        <v>29</v>
      </c>
      <c r="C2993">
        <v>24</v>
      </c>
      <c r="D2993" t="s">
        <v>33</v>
      </c>
      <c r="E2993" t="s">
        <v>46</v>
      </c>
      <c r="F2993" t="s">
        <v>131</v>
      </c>
      <c r="G2993" t="s">
        <v>34</v>
      </c>
      <c r="H2993" s="52" t="str">
        <f>VLOOKUP(Tabla3[[#This Row],[Site]],'Important Info!'!$A$1:$J$135,10,FALSE)</f>
        <v>https://tools.sig.systems/site/details/257</v>
      </c>
      <c r="J2993" t="s">
        <v>41</v>
      </c>
      <c r="K2993" s="79" t="str">
        <f>VLOOKUP(Tabla3[[#This Row],[Site]],'Important Info!'!$A$1:$H$135,8,FALSE)</f>
        <v>-</v>
      </c>
      <c r="L2993" s="52" t="str">
        <f>VLOOKUP(Tabla3[[#This Row],[Site]],'Important Info!'!$A$1:$F$135,2,FALSE)</f>
        <v>-</v>
      </c>
      <c r="M2993" s="52" t="str">
        <f>VLOOKUP(Tabla3[[#This Row],[Site]],'Important Info!'!$A$1:$F$135,3,FALSE)</f>
        <v>10, 11</v>
      </c>
      <c r="N2993" s="52" t="str">
        <f>VLOOKUP(Tabla3[[#This Row],[Site]],'Important Info!'!$A$1:$F$135,4,FALSE)</f>
        <v>-</v>
      </c>
      <c r="O2993" s="52" t="str">
        <f>VLOOKUP(Tabla3[[#This Row],[Site]],'Important Info!'!$A$1:$F$135,5,FALSE)</f>
        <v>-</v>
      </c>
      <c r="P2993" s="52" t="str">
        <f>VLOOKUP(Tabla3[[#This Row],[Site]],'Important Info!'!$A$1:$F$135,6,FALSE)</f>
        <v>1, 5, 6, 10</v>
      </c>
      <c r="Q2993" s="91">
        <f>VLOOKUP(Tabla3[[#This Row],[Site]],'Important Info!'!$A$1:$J$135,9,FALSE)</f>
        <v>257</v>
      </c>
    </row>
    <row r="2994" spans="1:17" x14ac:dyDescent="0.25">
      <c r="A2994" t="str">
        <f>+Tabla3[[#This Row],[Site]]&amp;Tabla3[[#This Row],[Split]]</f>
        <v>(PE) Hudson Toyota Nissan CDJR (NO TOURS)29</v>
      </c>
      <c r="B2994">
        <v>29</v>
      </c>
      <c r="C2994">
        <v>24</v>
      </c>
      <c r="D2994" t="s">
        <v>485</v>
      </c>
      <c r="E2994" t="s">
        <v>35</v>
      </c>
      <c r="F2994" t="s">
        <v>82</v>
      </c>
      <c r="G2994" t="s">
        <v>490</v>
      </c>
      <c r="H2994" s="52" t="str">
        <f>VLOOKUP(Tabla3[[#This Row],[Site]],'Important Info!'!$A$1:$J$135,10,FALSE)</f>
        <v>https://tools.sig.systems/site/details/156</v>
      </c>
      <c r="J2994" t="s">
        <v>41</v>
      </c>
      <c r="K2994" s="79" t="str">
        <f>VLOOKUP(Tabla3[[#This Row],[Site]],'Important Info!'!$A$1:$H$135,8,FALSE)</f>
        <v>-</v>
      </c>
      <c r="L2994" s="52">
        <f>VLOOKUP(Tabla3[[#This Row],[Site]],'Important Info!'!$A$1:$F$135,2,FALSE)</f>
        <v>5</v>
      </c>
      <c r="M2994" s="52" t="str">
        <f>VLOOKUP(Tabla3[[#This Row],[Site]],'Important Info!'!$A$1:$F$135,3,FALSE)</f>
        <v>3, 7, 18</v>
      </c>
      <c r="N2994" s="52" t="str">
        <f>VLOOKUP(Tabla3[[#This Row],[Site]],'Important Info!'!$A$1:$F$135,4,FALSE)</f>
        <v>-</v>
      </c>
      <c r="O2994" s="52">
        <f>VLOOKUP(Tabla3[[#This Row],[Site]],'Important Info!'!$A$1:$F$135,5,FALSE)</f>
        <v>84</v>
      </c>
      <c r="P2994" s="52" t="str">
        <f>VLOOKUP(Tabla3[[#This Row],[Site]],'Important Info!'!$A$1:$F$135,6,FALSE)</f>
        <v>1, 2, 3, 4, 5, 6, 7, 8</v>
      </c>
      <c r="Q2994" s="91">
        <f>VLOOKUP(Tabla3[[#This Row],[Site]],'Important Info!'!$A$1:$J$135,9,FALSE)</f>
        <v>156</v>
      </c>
    </row>
    <row r="2995" spans="1:17" x14ac:dyDescent="0.25">
      <c r="A2995" t="str">
        <f>+Tabla3[[#This Row],[Site]]&amp;Tabla3[[#This Row],[Split]]</f>
        <v>(RV) Toms Camperland Mesa (NO TOURS)29</v>
      </c>
      <c r="B2995">
        <v>29</v>
      </c>
      <c r="C2995">
        <v>24</v>
      </c>
      <c r="D2995" t="s">
        <v>51</v>
      </c>
      <c r="E2995" t="s">
        <v>161</v>
      </c>
      <c r="F2995" t="s">
        <v>81</v>
      </c>
      <c r="G2995" t="s">
        <v>52</v>
      </c>
      <c r="H2995" s="52" t="str">
        <f>VLOOKUP(Tabla3[[#This Row],[Site]],'Important Info!'!$A$1:$J$135,10,FALSE)</f>
        <v>https://tools.sig.systems/site/details/222</v>
      </c>
      <c r="J2995" t="s">
        <v>41</v>
      </c>
      <c r="K2995" s="79" t="str">
        <f>VLOOKUP(Tabla3[[#This Row],[Site]],'Important Info!'!$A$1:$H$135,8,FALSE)</f>
        <v>-</v>
      </c>
      <c r="L2995" s="52" t="str">
        <f>VLOOKUP(Tabla3[[#This Row],[Site]],'Important Info!'!$A$1:$F$135,2,FALSE)</f>
        <v>1, 2</v>
      </c>
      <c r="M2995" s="52" t="str">
        <f>VLOOKUP(Tabla3[[#This Row],[Site]],'Important Info!'!$A$1:$F$135,3,FALSE)</f>
        <v>-</v>
      </c>
      <c r="N2995" s="52" t="str">
        <f>VLOOKUP(Tabla3[[#This Row],[Site]],'Important Info!'!$A$1:$F$135,4,FALSE)</f>
        <v>-</v>
      </c>
      <c r="O2995" s="52" t="str">
        <f>VLOOKUP(Tabla3[[#This Row],[Site]],'Important Info!'!$A$1:$F$135,5,FALSE)</f>
        <v>-</v>
      </c>
      <c r="P2995" s="52" t="str">
        <f>VLOOKUP(Tabla3[[#This Row],[Site]],'Important Info!'!$A$1:$F$135,6,FALSE)</f>
        <v>1, 4, 6, 8, 10, 18</v>
      </c>
      <c r="Q2995" s="91">
        <f>VLOOKUP(Tabla3[[#This Row],[Site]],'Important Info!'!$A$1:$J$135,9,FALSE)</f>
        <v>222</v>
      </c>
    </row>
    <row r="2996" spans="1:17" x14ac:dyDescent="0.25">
      <c r="A2996" t="str">
        <f>+Tabla3[[#This Row],[Site]]&amp;Tabla3[[#This Row],[Split]]</f>
        <v>SIG Office29</v>
      </c>
      <c r="B2996">
        <v>29</v>
      </c>
      <c r="C2996">
        <v>24</v>
      </c>
      <c r="D2996" t="s">
        <v>60</v>
      </c>
      <c r="E2996" t="s">
        <v>35</v>
      </c>
      <c r="F2996" t="s">
        <v>169</v>
      </c>
      <c r="G2996" t="s">
        <v>41</v>
      </c>
      <c r="H2996" s="52" t="str">
        <f>VLOOKUP(Tabla3[[#This Row],[Site]],'Important Info!'!$A$1:$J$135,10,FALSE)</f>
        <v>https://tools.sig.systems/site/details/163</v>
      </c>
      <c r="J2996" t="s">
        <v>41</v>
      </c>
      <c r="K2996" s="79" t="str">
        <f>VLOOKUP(Tabla3[[#This Row],[Site]],'Important Info!'!$A$1:$H$135,8,FALSE)</f>
        <v>-</v>
      </c>
      <c r="L2996" s="52" t="str">
        <f>VLOOKUP(Tabla3[[#This Row],[Site]],'Important Info!'!$A$1:$F$135,2,FALSE)</f>
        <v>-</v>
      </c>
      <c r="M2996" s="52" t="str">
        <f>VLOOKUP(Tabla3[[#This Row],[Site]],'Important Info!'!$A$1:$F$135,3,FALSE)</f>
        <v>-</v>
      </c>
      <c r="N2996" s="52" t="str">
        <f>VLOOKUP(Tabla3[[#This Row],[Site]],'Important Info!'!$A$1:$F$135,4,FALSE)</f>
        <v>-</v>
      </c>
      <c r="O2996" s="52" t="str">
        <f>VLOOKUP(Tabla3[[#This Row],[Site]],'Important Info!'!$A$1:$F$135,5,FALSE)</f>
        <v>-</v>
      </c>
      <c r="P2996" s="52">
        <f>VLOOKUP(Tabla3[[#This Row],[Site]],'Important Info!'!$A$1:$F$135,6,FALSE)</f>
        <v>25</v>
      </c>
      <c r="Q2996" s="91">
        <f>VLOOKUP(Tabla3[[#This Row],[Site]],'Important Info!'!$A$1:$J$135,9,FALSE)</f>
        <v>163</v>
      </c>
    </row>
    <row r="2997" spans="1:17" x14ac:dyDescent="0.25">
      <c r="A2997" t="str">
        <f>+Tabla3[[#This Row],[Site]]&amp;Tabla3[[#This Row],[Split]]</f>
        <v>(KG) Big Star Honda29</v>
      </c>
      <c r="B2997">
        <v>29</v>
      </c>
      <c r="C2997">
        <v>25</v>
      </c>
      <c r="D2997" t="s">
        <v>33</v>
      </c>
      <c r="E2997" t="s">
        <v>46</v>
      </c>
      <c r="F2997" t="s">
        <v>136</v>
      </c>
      <c r="G2997" t="s">
        <v>34</v>
      </c>
      <c r="H2997" s="52" t="str">
        <f>VLOOKUP(Tabla3[[#This Row],[Site]],'Important Info!'!$A$1:$J$135,10,FALSE)</f>
        <v>https://tools.sig.systems/site/details/231</v>
      </c>
      <c r="J2997" t="s">
        <v>41</v>
      </c>
      <c r="K2997" s="79" t="str">
        <f>VLOOKUP(Tabla3[[#This Row],[Site]],'Important Info!'!$A$1:$H$135,8,FALSE)</f>
        <v>-</v>
      </c>
      <c r="L2997" s="52" t="str">
        <f>VLOOKUP(Tabla3[[#This Row],[Site]],'Important Info!'!$A$1:$F$135,2,FALSE)</f>
        <v>2, 17, 33</v>
      </c>
      <c r="M2997" s="52" t="str">
        <f>VLOOKUP(Tabla3[[#This Row],[Site]],'Important Info!'!$A$1:$F$135,3,FALSE)</f>
        <v>-</v>
      </c>
      <c r="N2997" s="52" t="str">
        <f>VLOOKUP(Tabla3[[#This Row],[Site]],'Important Info!'!$A$1:$F$135,4,FALSE)</f>
        <v>-</v>
      </c>
      <c r="O2997" s="52" t="str">
        <f>VLOOKUP(Tabla3[[#This Row],[Site]],'Important Info!'!$A$1:$F$135,5,FALSE)</f>
        <v>3, 11, 16, 21, 24, 31, 34</v>
      </c>
      <c r="P2997" s="52" t="str">
        <f>VLOOKUP(Tabla3[[#This Row],[Site]],'Important Info!'!$A$1:$F$135,6,FALSE)</f>
        <v xml:space="preserve">2, 3, 17, 22, 37, 41, 42 </v>
      </c>
      <c r="Q2997" s="91">
        <f>VLOOKUP(Tabla3[[#This Row],[Site]],'Important Info!'!$A$1:$J$135,9,FALSE)</f>
        <v>231</v>
      </c>
    </row>
    <row r="2998" spans="1:17" x14ac:dyDescent="0.25">
      <c r="A2998" t="str">
        <f>+Tabla3[[#This Row],[Site]]&amp;Tabla3[[#This Row],[Split]]</f>
        <v>(ML) Joe Machens Ford Lincoln I &amp; II29</v>
      </c>
      <c r="B2998">
        <v>29</v>
      </c>
      <c r="C2998">
        <v>25</v>
      </c>
      <c r="D2998" t="s">
        <v>33</v>
      </c>
      <c r="E2998" t="s">
        <v>46</v>
      </c>
      <c r="F2998" t="s">
        <v>148</v>
      </c>
      <c r="G2998" t="s">
        <v>34</v>
      </c>
      <c r="H2998" s="52" t="str">
        <f>VLOOKUP(Tabla3[[#This Row],[Site]],'Important Info!'!$A$1:$J$135,10,FALSE)</f>
        <v>https://tools.sig.systems/site/details/266</v>
      </c>
      <c r="I2998" s="2" t="s">
        <v>146</v>
      </c>
      <c r="J2998" t="s">
        <v>41</v>
      </c>
      <c r="K2998" s="79" t="str">
        <f>VLOOKUP(Tabla3[[#This Row],[Site]],'Important Info!'!$A$1:$H$135,8,FALSE)</f>
        <v>-</v>
      </c>
      <c r="L2998" s="52" t="str">
        <f>VLOOKUP(Tabla3[[#This Row],[Site]],'Important Info!'!$A$1:$F$135,2,FALSE)</f>
        <v>-</v>
      </c>
      <c r="M2998" s="52" t="str">
        <f>VLOOKUP(Tabla3[[#This Row],[Site]],'Important Info!'!$A$1:$F$135,3,FALSE)</f>
        <v>4, 6, 9, 13, 14, 17, 26, 27, 28, 29, 30</v>
      </c>
      <c r="N2998" s="52" t="str">
        <f>VLOOKUP(Tabla3[[#This Row],[Site]],'Important Info!'!$A$1:$F$135,4,FALSE)</f>
        <v>-</v>
      </c>
      <c r="O2998" s="52" t="str">
        <f>VLOOKUP(Tabla3[[#This Row],[Site]],'Important Info!'!$A$1:$F$135,5,FALSE)</f>
        <v>23, 40, 49</v>
      </c>
      <c r="P2998" s="52" t="str">
        <f>VLOOKUP(Tabla3[[#This Row],[Site]],'Important Info!'!$A$1:$F$135,6,FALSE)</f>
        <v>-</v>
      </c>
      <c r="Q2998" s="91">
        <f>VLOOKUP(Tabla3[[#This Row],[Site]],'Important Info!'!$A$1:$J$135,9,FALSE)</f>
        <v>266</v>
      </c>
    </row>
    <row r="2999" spans="1:17" x14ac:dyDescent="0.25">
      <c r="A2999" t="str">
        <f>+Tabla3[[#This Row],[Site]]&amp;Tabla3[[#This Row],[Split]]</f>
        <v>(PE) BMW of Mamaroneck (NO TOURS)29</v>
      </c>
      <c r="B2999">
        <v>29</v>
      </c>
      <c r="C2999">
        <v>25</v>
      </c>
      <c r="D2999" t="s">
        <v>485</v>
      </c>
      <c r="E2999" t="s">
        <v>35</v>
      </c>
      <c r="F2999" t="s">
        <v>172</v>
      </c>
      <c r="G2999" t="s">
        <v>490</v>
      </c>
      <c r="H2999" s="52" t="str">
        <f>VLOOKUP(Tabla3[[#This Row],[Site]],'Important Info!'!$A$1:$J$135,10,FALSE)</f>
        <v>https://tools.sig.systems/site/details/185</v>
      </c>
      <c r="I2999" s="43"/>
      <c r="J2999" t="s">
        <v>41</v>
      </c>
      <c r="K2999" s="79" t="str">
        <f>VLOOKUP(Tabla3[[#This Row],[Site]],'Important Info!'!$A$1:$H$135,8,FALSE)</f>
        <v>-</v>
      </c>
      <c r="L2999" s="52">
        <f>VLOOKUP(Tabla3[[#This Row],[Site]],'Important Info!'!$A$1:$F$135,2,FALSE)</f>
        <v>9</v>
      </c>
      <c r="M2999" s="52" t="str">
        <f>VLOOKUP(Tabla3[[#This Row],[Site]],'Important Info!'!$A$1:$F$135,3,FALSE)</f>
        <v>2, 3, 4, 5</v>
      </c>
      <c r="N2999" s="52" t="str">
        <f>VLOOKUP(Tabla3[[#This Row],[Site]],'Important Info!'!$A$1:$F$135,4,FALSE)</f>
        <v>-</v>
      </c>
      <c r="O2999" s="52" t="str">
        <f>VLOOKUP(Tabla3[[#This Row],[Site]],'Important Info!'!$A$1:$F$135,5,FALSE)</f>
        <v>-</v>
      </c>
      <c r="P2999" s="52" t="str">
        <f>VLOOKUP(Tabla3[[#This Row],[Site]],'Important Info!'!$A$1:$F$135,6,FALSE)</f>
        <v>4, 6, 7, 8</v>
      </c>
      <c r="Q2999" s="91">
        <f>VLOOKUP(Tabla3[[#This Row],[Site]],'Important Info!'!$A$1:$J$135,9,FALSE)</f>
        <v>185</v>
      </c>
    </row>
    <row r="3000" spans="1:17" x14ac:dyDescent="0.25">
      <c r="A3000" t="str">
        <f>+Tabla3[[#This Row],[Site]]&amp;Tabla3[[#This Row],[Split]]</f>
        <v>(AS) Stevinson Porsche of Littleton (NO TOURS)29</v>
      </c>
      <c r="B3000">
        <v>29</v>
      </c>
      <c r="C3000">
        <v>26</v>
      </c>
      <c r="D3000" t="s">
        <v>44</v>
      </c>
      <c r="E3000" t="s">
        <v>53</v>
      </c>
      <c r="F3000" t="s">
        <v>78</v>
      </c>
      <c r="G3000" t="s">
        <v>45</v>
      </c>
      <c r="H3000" s="52" t="str">
        <f>VLOOKUP(Tabla3[[#This Row],[Site]],'Important Info!'!$A$1:$J$135,10,FALSE)</f>
        <v>https://tools.sig.systems/site/details/242</v>
      </c>
      <c r="J3000" t="s">
        <v>41</v>
      </c>
      <c r="K3000" s="79" t="str">
        <f>VLOOKUP(Tabla3[[#This Row],[Site]],'Important Info!'!$A$1:$H$135,8,FALSE)</f>
        <v>-</v>
      </c>
      <c r="L3000" s="52" t="str">
        <f>VLOOKUP(Tabla3[[#This Row],[Site]],'Important Info!'!$A$1:$F$135,2,FALSE)</f>
        <v>3, 4</v>
      </c>
      <c r="M3000" s="52">
        <f>VLOOKUP(Tabla3[[#This Row],[Site]],'Important Info!'!$A$1:$F$135,3,FALSE)</f>
        <v>2</v>
      </c>
      <c r="N3000" s="52" t="str">
        <f>VLOOKUP(Tabla3[[#This Row],[Site]],'Important Info!'!$A$1:$F$135,4,FALSE)</f>
        <v>-</v>
      </c>
      <c r="O3000" s="52" t="str">
        <f>VLOOKUP(Tabla3[[#This Row],[Site]],'Important Info!'!$A$1:$F$135,5,FALSE)</f>
        <v>-</v>
      </c>
      <c r="P3000" s="52" t="str">
        <f>VLOOKUP(Tabla3[[#This Row],[Site]],'Important Info!'!$A$1:$F$135,6,FALSE)</f>
        <v>3, 4</v>
      </c>
      <c r="Q3000" s="91">
        <f>VLOOKUP(Tabla3[[#This Row],[Site]],'Important Info!'!$A$1:$J$135,9,FALSE)</f>
        <v>242</v>
      </c>
    </row>
    <row r="3001" spans="1:17" x14ac:dyDescent="0.25">
      <c r="A3001" t="str">
        <f>+Tabla3[[#This Row],[Site]]&amp;Tabla3[[#This Row],[Split]]</f>
        <v>(DT) W Houston29</v>
      </c>
      <c r="B3001">
        <v>29</v>
      </c>
      <c r="C3001">
        <v>26</v>
      </c>
      <c r="D3001" t="s">
        <v>33</v>
      </c>
      <c r="E3001" t="s">
        <v>46</v>
      </c>
      <c r="F3001" t="s">
        <v>69</v>
      </c>
      <c r="G3001" t="s">
        <v>34</v>
      </c>
      <c r="H3001" s="52" t="str">
        <f>VLOOKUP(Tabla3[[#This Row],[Site]],'Important Info!'!$A$1:$J$135,10,FALSE)</f>
        <v>https://tools.sig.systems/site/details/197</v>
      </c>
      <c r="I3001" s="2"/>
      <c r="J3001" t="s">
        <v>41</v>
      </c>
      <c r="K3001" s="79" t="str">
        <f>VLOOKUP(Tabla3[[#This Row],[Site]],'Important Info!'!$A$1:$H$135,8,FALSE)</f>
        <v>-</v>
      </c>
      <c r="L3001" s="52">
        <f>VLOOKUP(Tabla3[[#This Row],[Site]],'Important Info!'!$A$1:$F$135,2,FALSE)</f>
        <v>7</v>
      </c>
      <c r="M3001" s="52">
        <f>VLOOKUP(Tabla3[[#This Row],[Site]],'Important Info!'!$A$1:$F$135,3,FALSE)</f>
        <v>2</v>
      </c>
      <c r="N3001" s="52" t="str">
        <f>VLOOKUP(Tabla3[[#This Row],[Site]],'Important Info!'!$A$1:$F$135,4,FALSE)</f>
        <v>-</v>
      </c>
      <c r="O3001" s="52">
        <f>VLOOKUP(Tabla3[[#This Row],[Site]],'Important Info!'!$A$1:$F$135,5,FALSE)</f>
        <v>14</v>
      </c>
      <c r="P3001" s="52" t="str">
        <f>VLOOKUP(Tabla3[[#This Row],[Site]],'Important Info!'!$A$1:$F$135,6,FALSE)</f>
        <v>2, 3, 7, 10</v>
      </c>
      <c r="Q3001" s="91">
        <f>VLOOKUP(Tabla3[[#This Row],[Site]],'Important Info!'!$A$1:$J$135,9,FALSE)</f>
        <v>197</v>
      </c>
    </row>
    <row r="3002" spans="1:17" x14ac:dyDescent="0.25">
      <c r="A3002" t="str">
        <f>+Tabla3[[#This Row],[Site]]&amp;Tabla3[[#This Row],[Split]]</f>
        <v>(KG) Baytown GMC Buick - Remote Lot (NO TOURS)29</v>
      </c>
      <c r="B3002">
        <v>29</v>
      </c>
      <c r="C3002">
        <v>26</v>
      </c>
      <c r="D3002" t="s">
        <v>60</v>
      </c>
      <c r="E3002" t="s">
        <v>46</v>
      </c>
      <c r="F3002" t="s">
        <v>167</v>
      </c>
      <c r="G3002" t="s">
        <v>41</v>
      </c>
      <c r="H3002" s="52" t="str">
        <f>VLOOKUP(Tabla3[[#This Row],[Site]],'Important Info!'!$A$1:$J$135,10,FALSE)</f>
        <v>https://tools.sig.systems/site/details/311</v>
      </c>
      <c r="J3002" t="s">
        <v>41</v>
      </c>
      <c r="K3002" s="79" t="s">
        <v>168</v>
      </c>
      <c r="L3002" s="52" t="str">
        <f>VLOOKUP(Tabla3[[#This Row],[Site]],'Important Info!'!$A$1:$F$135,2,FALSE)</f>
        <v>-</v>
      </c>
      <c r="M3002" s="52" t="str">
        <f>VLOOKUP(Tabla3[[#This Row],[Site]],'Important Info!'!$A$1:$F$135,3,FALSE)</f>
        <v>7, 8</v>
      </c>
      <c r="N3002" s="52" t="str">
        <f>VLOOKUP(Tabla3[[#This Row],[Site]],'Important Info!'!$A$1:$F$135,4,FALSE)</f>
        <v>-</v>
      </c>
      <c r="O3002" s="52" t="str">
        <f>VLOOKUP(Tabla3[[#This Row],[Site]],'Important Info!'!$A$1:$F$135,5,FALSE)</f>
        <v>-</v>
      </c>
      <c r="P3002" s="52" t="str">
        <f>VLOOKUP(Tabla3[[#This Row],[Site]],'Important Info!'!$A$1:$F$135,6,FALSE)</f>
        <v>-</v>
      </c>
      <c r="Q3002" s="91">
        <f>VLOOKUP(Tabla3[[#This Row],[Site]],'Important Info!'!$A$1:$J$135,9,FALSE)</f>
        <v>311</v>
      </c>
    </row>
    <row r="3003" spans="1:17" x14ac:dyDescent="0.25">
      <c r="A3003" t="str">
        <f>+Tabla3[[#This Row],[Site]]&amp;Tabla3[[#This Row],[Split]]</f>
        <v>(KG) Baytown GMC Buick (NO TOURS)29</v>
      </c>
      <c r="B3003">
        <v>29</v>
      </c>
      <c r="C3003">
        <v>26</v>
      </c>
      <c r="D3003" t="s">
        <v>33</v>
      </c>
      <c r="E3003" t="s">
        <v>46</v>
      </c>
      <c r="F3003" t="s">
        <v>132</v>
      </c>
      <c r="G3003" t="s">
        <v>34</v>
      </c>
      <c r="H3003" s="52" t="str">
        <f>VLOOKUP(Tabla3[[#This Row],[Site]],'Important Info!'!$A$1:$J$135,10,FALSE)</f>
        <v>https://tools.sig.systems/site/details/239</v>
      </c>
      <c r="I3003" s="43"/>
      <c r="J3003" t="s">
        <v>41</v>
      </c>
      <c r="K3003" s="79" t="str">
        <f>VLOOKUP(Tabla3[[#This Row],[Site]],'Important Info!'!$A$1:$H$135,8,FALSE)</f>
        <v>-</v>
      </c>
      <c r="L3003" s="52" t="str">
        <f>VLOOKUP(Tabla3[[#This Row],[Site]],'Important Info!'!$A$1:$F$135,2,FALSE)</f>
        <v>1, 5, 7, 21, 22</v>
      </c>
      <c r="M3003" s="52" t="str">
        <f>VLOOKUP(Tabla3[[#This Row],[Site]],'Important Info!'!$A$1:$F$135,3,FALSE)</f>
        <v>-</v>
      </c>
      <c r="N3003" s="52" t="str">
        <f>VLOOKUP(Tabla3[[#This Row],[Site]],'Important Info!'!$A$1:$F$135,4,FALSE)</f>
        <v>-</v>
      </c>
      <c r="O3003" s="52" t="str">
        <f>VLOOKUP(Tabla3[[#This Row],[Site]],'Important Info!'!$A$1:$F$135,5,FALSE)</f>
        <v>2, 10, 15, 24B</v>
      </c>
      <c r="P3003" s="52" t="str">
        <f>VLOOKUP(Tabla3[[#This Row],[Site]],'Important Info!'!$A$1:$F$135,6,FALSE)</f>
        <v>21, 22</v>
      </c>
      <c r="Q3003" s="91">
        <f>VLOOKUP(Tabla3[[#This Row],[Site]],'Important Info!'!$A$1:$J$135,9,FALSE)</f>
        <v>239</v>
      </c>
    </row>
    <row r="3004" spans="1:17" x14ac:dyDescent="0.25">
      <c r="A3004" t="str">
        <f>+Tabla3[[#This Row],[Site]]&amp;Tabla3[[#This Row],[Split]]</f>
        <v>(ML) Collision Center N Little Rock29</v>
      </c>
      <c r="B3004">
        <v>29</v>
      </c>
      <c r="C3004">
        <v>26</v>
      </c>
      <c r="D3004" t="s">
        <v>33</v>
      </c>
      <c r="E3004" t="s">
        <v>46</v>
      </c>
      <c r="F3004" t="s">
        <v>141</v>
      </c>
      <c r="G3004" t="s">
        <v>34</v>
      </c>
      <c r="H3004" s="52" t="str">
        <f>VLOOKUP(Tabla3[[#This Row],[Site]],'Important Info!'!$A$1:$J$135,10,FALSE)</f>
        <v>https://tools.sig.systems/site/details/212</v>
      </c>
      <c r="I3004" s="2" t="s">
        <v>142</v>
      </c>
      <c r="J3004" t="s">
        <v>41</v>
      </c>
      <c r="K3004" s="79" t="str">
        <f>VLOOKUP(Tabla3[[#This Row],[Site]],'Important Info!'!$A$1:$H$135,8,FALSE)</f>
        <v>-</v>
      </c>
      <c r="L3004" s="52" t="str">
        <f>VLOOKUP(Tabla3[[#This Row],[Site]],'Important Info!'!$A$1:$F$135,2,FALSE)</f>
        <v>-</v>
      </c>
      <c r="M3004" s="52" t="str">
        <f>VLOOKUP(Tabla3[[#This Row],[Site]],'Important Info!'!$A$1:$F$135,3,FALSE)</f>
        <v>-</v>
      </c>
      <c r="N3004" s="52" t="str">
        <f>VLOOKUP(Tabla3[[#This Row],[Site]],'Important Info!'!$A$1:$F$135,4,FALSE)</f>
        <v>-</v>
      </c>
      <c r="O3004" s="52" t="str">
        <f>VLOOKUP(Tabla3[[#This Row],[Site]],'Important Info!'!$A$1:$F$135,5,FALSE)</f>
        <v>-</v>
      </c>
      <c r="P3004" s="52" t="str">
        <f>VLOOKUP(Tabla3[[#This Row],[Site]],'Important Info!'!$A$1:$F$135,6,FALSE)</f>
        <v>1, 3, 7, 8</v>
      </c>
      <c r="Q3004" s="91">
        <f>VLOOKUP(Tabla3[[#This Row],[Site]],'Important Info!'!$A$1:$J$135,9,FALSE)</f>
        <v>212</v>
      </c>
    </row>
    <row r="3005" spans="1:17" x14ac:dyDescent="0.25">
      <c r="A3005" t="str">
        <f>+Tabla3[[#This Row],[Site]]&amp;Tabla3[[#This Row],[Split]]</f>
        <v>(PE) BMW Tenafly (NO TOURS)29</v>
      </c>
      <c r="B3005">
        <v>29</v>
      </c>
      <c r="C3005">
        <v>26</v>
      </c>
      <c r="D3005" t="s">
        <v>485</v>
      </c>
      <c r="E3005" t="s">
        <v>35</v>
      </c>
      <c r="F3005" t="s">
        <v>173</v>
      </c>
      <c r="G3005" t="s">
        <v>490</v>
      </c>
      <c r="H3005" s="52" t="str">
        <f>VLOOKUP(Tabla3[[#This Row],[Site]],'Important Info!'!$A$1:$J$135,10,FALSE)</f>
        <v>https://tools.sig.systems/site/details/155</v>
      </c>
      <c r="I3005" s="2"/>
      <c r="J3005" t="s">
        <v>41</v>
      </c>
      <c r="K3005" s="79" t="str">
        <f>VLOOKUP(Tabla3[[#This Row],[Site]],'Important Info!'!$A$1:$H$135,8,FALSE)</f>
        <v>-</v>
      </c>
      <c r="L3005" s="52">
        <f>VLOOKUP(Tabla3[[#This Row],[Site]],'Important Info!'!$A$1:$F$135,2,FALSE)</f>
        <v>24</v>
      </c>
      <c r="M3005" s="52" t="str">
        <f>VLOOKUP(Tabla3[[#This Row],[Site]],'Important Info!'!$A$1:$F$135,3,FALSE)</f>
        <v>1, 3, 4, 17, 23</v>
      </c>
      <c r="N3005" s="52" t="str">
        <f>VLOOKUP(Tabla3[[#This Row],[Site]],'Important Info!'!$A$1:$F$135,4,FALSE)</f>
        <v>-</v>
      </c>
      <c r="O3005" s="52" t="str">
        <f>VLOOKUP(Tabla3[[#This Row],[Site]],'Important Info!'!$A$1:$F$135,5,FALSE)</f>
        <v>-</v>
      </c>
      <c r="P3005" s="52">
        <f>VLOOKUP(Tabla3[[#This Row],[Site]],'Important Info!'!$A$1:$F$135,6,FALSE)</f>
        <v>1</v>
      </c>
      <c r="Q3005" s="91">
        <f>VLOOKUP(Tabla3[[#This Row],[Site]],'Important Info!'!$A$1:$J$135,9,FALSE)</f>
        <v>155</v>
      </c>
    </row>
    <row r="3006" spans="1:17" x14ac:dyDescent="0.25">
      <c r="A3006" t="str">
        <f>+Tabla3[[#This Row],[Site]]&amp;Tabla3[[#This Row],[Split]]</f>
        <v>(DT) Louisville29</v>
      </c>
      <c r="B3006">
        <v>29</v>
      </c>
      <c r="C3006">
        <v>27</v>
      </c>
      <c r="D3006" t="s">
        <v>62</v>
      </c>
      <c r="E3006" t="s">
        <v>35</v>
      </c>
      <c r="F3006" t="s">
        <v>99</v>
      </c>
      <c r="G3006" t="s">
        <v>490</v>
      </c>
      <c r="H3006" s="52" t="str">
        <f>VLOOKUP(Tabla3[[#This Row],[Site]],'Important Info!'!$A$1:$J$135,10,FALSE)</f>
        <v>https://tools.sig.systems/site/details/258</v>
      </c>
      <c r="J3006" t="s">
        <v>41</v>
      </c>
      <c r="K3006" s="79" t="str">
        <f>VLOOKUP(Tabla3[[#This Row],[Site]],'Important Info!'!$A$1:$H$135,8,FALSE)</f>
        <v>-</v>
      </c>
      <c r="L3006" s="52" t="str">
        <f>VLOOKUP(Tabla3[[#This Row],[Site]],'Important Info!'!$A$1:$F$135,2,FALSE)</f>
        <v>-</v>
      </c>
      <c r="M3006" s="52">
        <f>VLOOKUP(Tabla3[[#This Row],[Site]],'Important Info!'!$A$1:$F$135,3,FALSE)</f>
        <v>3</v>
      </c>
      <c r="N3006" s="52" t="str">
        <f>VLOOKUP(Tabla3[[#This Row],[Site]],'Important Info!'!$A$1:$F$135,4,FALSE)</f>
        <v>-</v>
      </c>
      <c r="O3006" s="52" t="str">
        <f>VLOOKUP(Tabla3[[#This Row],[Site]],'Important Info!'!$A$1:$F$135,5,FALSE)</f>
        <v>-</v>
      </c>
      <c r="P3006" s="52" t="str">
        <f>VLOOKUP(Tabla3[[#This Row],[Site]],'Important Info!'!$A$1:$F$135,6,FALSE)</f>
        <v>3, 8</v>
      </c>
      <c r="Q3006" s="91">
        <f>VLOOKUP(Tabla3[[#This Row],[Site]],'Important Info!'!$A$1:$J$135,9,FALSE)</f>
        <v>258</v>
      </c>
    </row>
    <row r="3007" spans="1:17" x14ac:dyDescent="0.25">
      <c r="A3007" t="str">
        <f>+Tabla3[[#This Row],[Site]]&amp;Tabla3[[#This Row],[Split]]</f>
        <v>(ML) Joe Machens Capital City I &amp; II (NO TOURS)29</v>
      </c>
      <c r="B3007">
        <v>29</v>
      </c>
      <c r="C3007">
        <v>27</v>
      </c>
      <c r="D3007" t="s">
        <v>33</v>
      </c>
      <c r="E3007" t="s">
        <v>46</v>
      </c>
      <c r="F3007" t="s">
        <v>72</v>
      </c>
      <c r="G3007" t="s">
        <v>34</v>
      </c>
      <c r="H3007" s="52" t="str">
        <f>VLOOKUP(Tabla3[[#This Row],[Site]],'Important Info!'!$A$1:$J$135,10,FALSE)</f>
        <v>https://tools.sig.systems/site/details/271</v>
      </c>
      <c r="I3007" s="43"/>
      <c r="J3007" t="s">
        <v>41</v>
      </c>
      <c r="K3007" s="79" t="str">
        <f>VLOOKUP(Tabla3[[#This Row],[Site]],'Important Info!'!$A$1:$H$135,8,FALSE)</f>
        <v>-</v>
      </c>
      <c r="L3007" s="52" t="str">
        <f>VLOOKUP(Tabla3[[#This Row],[Site]],'Important Info!'!$A$1:$F$135,2,FALSE)</f>
        <v>-</v>
      </c>
      <c r="M3007" s="52" t="str">
        <f>VLOOKUP(Tabla3[[#This Row],[Site]],'Important Info!'!$A$1:$F$135,3,FALSE)</f>
        <v>1, 3, 4, 20, 25, 27, 28</v>
      </c>
      <c r="N3007" s="52" t="str">
        <f>VLOOKUP(Tabla3[[#This Row],[Site]],'Important Info!'!$A$1:$F$135,4,FALSE)</f>
        <v>-</v>
      </c>
      <c r="O3007" s="52">
        <f>VLOOKUP(Tabla3[[#This Row],[Site]],'Important Info!'!$A$1:$F$135,5,FALSE)</f>
        <v>29</v>
      </c>
      <c r="P3007" s="52" t="str">
        <f>VLOOKUP(Tabla3[[#This Row],[Site]],'Important Info!'!$A$1:$F$135,6,FALSE)</f>
        <v>19, 20</v>
      </c>
      <c r="Q3007" s="91">
        <f>VLOOKUP(Tabla3[[#This Row],[Site]],'Important Info!'!$A$1:$J$135,9,FALSE)</f>
        <v>271</v>
      </c>
    </row>
    <row r="3008" spans="1:17" x14ac:dyDescent="0.25">
      <c r="A3008" t="str">
        <f>+Tabla3[[#This Row],[Site]]&amp;Tabla3[[#This Row],[Split]]</f>
        <v>(PE) JLR Darien PDI (NO TOURS)29</v>
      </c>
      <c r="B3008">
        <v>29</v>
      </c>
      <c r="C3008">
        <v>27</v>
      </c>
      <c r="D3008" t="s">
        <v>485</v>
      </c>
      <c r="E3008" t="s">
        <v>35</v>
      </c>
      <c r="F3008" t="s">
        <v>98</v>
      </c>
      <c r="G3008" t="s">
        <v>490</v>
      </c>
      <c r="H3008" s="52" t="str">
        <f>VLOOKUP(Tabla3[[#This Row],[Site]],'Important Info!'!$A$1:$J$135,10,FALSE)</f>
        <v>https://tools.sig.systems/site/details/187</v>
      </c>
      <c r="I3008" t="s">
        <v>175</v>
      </c>
      <c r="J3008" t="s">
        <v>41</v>
      </c>
      <c r="K3008" s="79" t="str">
        <f>VLOOKUP(Tabla3[[#This Row],[Site]],'Important Info!'!$A$1:$H$135,8,FALSE)</f>
        <v>-</v>
      </c>
      <c r="L3008" s="52">
        <f>VLOOKUP(Tabla3[[#This Row],[Site]],'Important Info!'!$A$1:$F$135,2,FALSE)</f>
        <v>1</v>
      </c>
      <c r="M3008" s="52" t="str">
        <f>VLOOKUP(Tabla3[[#This Row],[Site]],'Important Info!'!$A$1:$F$135,3,FALSE)</f>
        <v>-</v>
      </c>
      <c r="N3008" s="52" t="str">
        <f>VLOOKUP(Tabla3[[#This Row],[Site]],'Important Info!'!$A$1:$F$135,4,FALSE)</f>
        <v>-</v>
      </c>
      <c r="O3008" s="52">
        <f>VLOOKUP(Tabla3[[#This Row],[Site]],'Important Info!'!$A$1:$F$135,5,FALSE)</f>
        <v>1</v>
      </c>
      <c r="P3008" s="52">
        <f>VLOOKUP(Tabla3[[#This Row],[Site]],'Important Info!'!$A$1:$F$135,6,FALSE)</f>
        <v>7</v>
      </c>
      <c r="Q3008" s="91">
        <f>VLOOKUP(Tabla3[[#This Row],[Site]],'Important Info!'!$A$1:$J$135,9,FALSE)</f>
        <v>187</v>
      </c>
    </row>
    <row r="3009" spans="1:17" x14ac:dyDescent="0.25">
      <c r="A3009" t="str">
        <f>+Tabla3[[#This Row],[Site]]&amp;Tabla3[[#This Row],[Split]]</f>
        <v>(WAG) Greeley Chrysler Dodge Jeep Ram (NO TOURS)29</v>
      </c>
      <c r="B3009">
        <v>29</v>
      </c>
      <c r="C3009">
        <v>27</v>
      </c>
      <c r="D3009" t="s">
        <v>44</v>
      </c>
      <c r="E3009" t="s">
        <v>53</v>
      </c>
      <c r="F3009" t="s">
        <v>497</v>
      </c>
      <c r="G3009" t="s">
        <v>45</v>
      </c>
      <c r="H3009" s="52" t="str">
        <f>VLOOKUP(Tabla3[[#This Row],[Site]],'Important Info!'!$A$1:$J$135,10,FALSE)</f>
        <v>https://tools.sig.systems/site/details/130</v>
      </c>
      <c r="I3009" s="2" t="s">
        <v>153</v>
      </c>
      <c r="J3009" t="s">
        <v>41</v>
      </c>
      <c r="K3009" s="79" t="str">
        <f>VLOOKUP(Tabla3[[#This Row],[Site]],'Important Info!'!$A$1:$H$135,8,FALSE)</f>
        <v>-</v>
      </c>
      <c r="L3009" s="52" t="str">
        <f>VLOOKUP(Tabla3[[#This Row],[Site]],'Important Info!'!$A$1:$F$135,2,FALSE)</f>
        <v>17, 23 &amp; 18</v>
      </c>
      <c r="M3009" s="52" t="str">
        <f>VLOOKUP(Tabla3[[#This Row],[Site]],'Important Info!'!$A$1:$F$135,3,FALSE)</f>
        <v>4, 5, 6, 7, 8, 51, 55</v>
      </c>
      <c r="N3009" s="52" t="str">
        <f>VLOOKUP(Tabla3[[#This Row],[Site]],'Important Info!'!$A$1:$F$135,4,FALSE)</f>
        <v>-</v>
      </c>
      <c r="O3009" s="52" t="str">
        <f>VLOOKUP(Tabla3[[#This Row],[Site]],'Important Info!'!$A$1:$F$135,5,FALSE)</f>
        <v>3, 13, 17, 49, 53, 59</v>
      </c>
      <c r="P3009" s="52" t="str">
        <f>VLOOKUP(Tabla3[[#This Row],[Site]],'Important Info!'!$A$1:$F$135,6,FALSE)</f>
        <v>8, 9, 10, 51, 62</v>
      </c>
      <c r="Q3009" s="91">
        <f>VLOOKUP(Tabla3[[#This Row],[Site]],'Important Info!'!$A$1:$J$135,9,FALSE)</f>
        <v>130</v>
      </c>
    </row>
    <row r="3010" spans="1:17" x14ac:dyDescent="0.25">
      <c r="A3010" t="str">
        <f>+Tabla3[[#This Row],[Site]]&amp;Tabla3[[#This Row],[Split]]</f>
        <v>(AS) Park Place Mercedes Benz Arlington (NO TOURS)29</v>
      </c>
      <c r="B3010">
        <v>29</v>
      </c>
      <c r="C3010">
        <v>28</v>
      </c>
      <c r="D3010" t="s">
        <v>33</v>
      </c>
      <c r="E3010" t="s">
        <v>46</v>
      </c>
      <c r="F3010" t="s">
        <v>518</v>
      </c>
      <c r="G3010" t="s">
        <v>34</v>
      </c>
      <c r="H3010" s="52" t="str">
        <f>VLOOKUP(Tabla3[[#This Row],[Site]],'Important Info!'!$A$1:$J$135,10,FALSE)</f>
        <v>https://tools.sig.systems/site/details/169</v>
      </c>
      <c r="J3010" t="s">
        <v>41</v>
      </c>
      <c r="K3010" s="79" t="str">
        <f>VLOOKUP(Tabla3[[#This Row],[Site]],'Important Info!'!$A$1:$H$135,8,FALSE)</f>
        <v>-</v>
      </c>
      <c r="L3010" s="52" t="str">
        <f>VLOOKUP(Tabla3[[#This Row],[Site]],'Important Info!'!$A$1:$F$135,2,FALSE)</f>
        <v>1, 9, 14</v>
      </c>
      <c r="M3010" s="52" t="str">
        <f>VLOOKUP(Tabla3[[#This Row],[Site]],'Important Info!'!$A$1:$F$135,3,FALSE)</f>
        <v>-</v>
      </c>
      <c r="N3010" s="52" t="str">
        <f>VLOOKUP(Tabla3[[#This Row],[Site]],'Important Info!'!$A$1:$F$135,4,FALSE)</f>
        <v>77, 78, 79, 80</v>
      </c>
      <c r="O3010" s="52" t="str">
        <f>VLOOKUP(Tabla3[[#This Row],[Site]],'Important Info!'!$A$1:$F$135,5,FALSE)</f>
        <v>2, 10, 18, 22, 31, 40</v>
      </c>
      <c r="P3010" s="52">
        <f>VLOOKUP(Tabla3[[#This Row],[Site]],'Important Info!'!$A$1:$F$135,6,FALSE)</f>
        <v>9</v>
      </c>
      <c r="Q3010" s="91">
        <f>VLOOKUP(Tabla3[[#This Row],[Site]],'Important Info!'!$A$1:$J$135,9,FALSE)</f>
        <v>169</v>
      </c>
    </row>
    <row r="3011" spans="1:17" x14ac:dyDescent="0.25">
      <c r="A3011" t="str">
        <f>+Tabla3[[#This Row],[Site]]&amp;Tabla3[[#This Row],[Split]]</f>
        <v>(DT) Denver (NO TOURS)29</v>
      </c>
      <c r="B3011">
        <v>29</v>
      </c>
      <c r="C3011">
        <v>28</v>
      </c>
      <c r="D3011" t="s">
        <v>44</v>
      </c>
      <c r="E3011" t="s">
        <v>53</v>
      </c>
      <c r="F3011" t="s">
        <v>157</v>
      </c>
      <c r="G3011" t="s">
        <v>45</v>
      </c>
      <c r="H3011" s="52" t="str">
        <f>VLOOKUP(Tabla3[[#This Row],[Site]],'Important Info!'!$A$1:$J$135,10,FALSE)</f>
        <v>https://tools.sig.systems/site/details/203</v>
      </c>
      <c r="I3011" s="43" t="s">
        <v>158</v>
      </c>
      <c r="J3011" t="s">
        <v>41</v>
      </c>
      <c r="K3011" s="79" t="str">
        <f>VLOOKUP(Tabla3[[#This Row],[Site]],'Important Info!'!$A$1:$H$135,8,FALSE)</f>
        <v>-</v>
      </c>
      <c r="L3011" s="52" t="str">
        <f>VLOOKUP(Tabla3[[#This Row],[Site]],'Important Info!'!$A$1:$F$135,2,FALSE)</f>
        <v>-</v>
      </c>
      <c r="M3011" s="52" t="str">
        <f>VLOOKUP(Tabla3[[#This Row],[Site]],'Important Info!'!$A$1:$F$135,3,FALSE)</f>
        <v>7, 8</v>
      </c>
      <c r="N3011" s="52" t="str">
        <f>VLOOKUP(Tabla3[[#This Row],[Site]],'Important Info!'!$A$1:$F$135,4,FALSE)</f>
        <v>-</v>
      </c>
      <c r="O3011" s="52" t="str">
        <f>VLOOKUP(Tabla3[[#This Row],[Site]],'Important Info!'!$A$1:$F$135,5,FALSE)</f>
        <v>-</v>
      </c>
      <c r="P3011" s="52" t="str">
        <f>VLOOKUP(Tabla3[[#This Row],[Site]],'Important Info!'!$A$1:$F$135,6,FALSE)</f>
        <v>7, 8</v>
      </c>
      <c r="Q3011" s="91">
        <f>VLOOKUP(Tabla3[[#This Row],[Site]],'Important Info!'!$A$1:$J$135,9,FALSE)</f>
        <v>203</v>
      </c>
    </row>
    <row r="3012" spans="1:17" x14ac:dyDescent="0.25">
      <c r="A3012" t="str">
        <f>+Tabla3[[#This Row],[Site]]&amp;Tabla3[[#This Row],[Split]]</f>
        <v>(JE) Jim Ellis Ford Sandy Springs29</v>
      </c>
      <c r="B3012">
        <v>29</v>
      </c>
      <c r="C3012">
        <v>28</v>
      </c>
      <c r="D3012" t="s">
        <v>62</v>
      </c>
      <c r="E3012" t="s">
        <v>35</v>
      </c>
      <c r="F3012" t="s">
        <v>187</v>
      </c>
      <c r="G3012" t="s">
        <v>490</v>
      </c>
      <c r="H3012" s="52" t="str">
        <f>VLOOKUP(Tabla3[[#This Row],[Site]],'Important Info!'!$A$1:$J$135,10,FALSE)</f>
        <v>https://tools.sig.systems/site/details/142</v>
      </c>
      <c r="I3012" s="43"/>
      <c r="J3012" t="s">
        <v>41</v>
      </c>
      <c r="K3012" s="79" t="str">
        <f>VLOOKUP(Tabla3[[#This Row],[Site]],'Important Info!'!$A$1:$H$135,8,FALSE)</f>
        <v>-</v>
      </c>
      <c r="L3012" s="52" t="str">
        <f>VLOOKUP(Tabla3[[#This Row],[Site]],'Important Info!'!$A$1:$F$135,2,FALSE)</f>
        <v>1, 5</v>
      </c>
      <c r="M3012" s="52" t="str">
        <f>VLOOKUP(Tabla3[[#This Row],[Site]],'Important Info!'!$A$1:$F$135,3,FALSE)</f>
        <v>-</v>
      </c>
      <c r="N3012" s="52" t="str">
        <f>VLOOKUP(Tabla3[[#This Row],[Site]],'Important Info!'!$A$1:$F$135,4,FALSE)</f>
        <v>-</v>
      </c>
      <c r="O3012" s="52" t="str">
        <f>VLOOKUP(Tabla3[[#This Row],[Site]],'Important Info!'!$A$1:$F$135,5,FALSE)</f>
        <v>1, 5, 9, 26</v>
      </c>
      <c r="P3012" s="52" t="str">
        <f>VLOOKUP(Tabla3[[#This Row],[Site]],'Important Info!'!$A$1:$F$135,6,FALSE)</f>
        <v>3, 4, 8, 28</v>
      </c>
      <c r="Q3012" s="91">
        <f>VLOOKUP(Tabla3[[#This Row],[Site]],'Important Info!'!$A$1:$J$135,9,FALSE)</f>
        <v>142</v>
      </c>
    </row>
    <row r="3013" spans="1:17" x14ac:dyDescent="0.25">
      <c r="A3013" t="str">
        <f>+Tabla3[[#This Row],[Site]]&amp;Tabla3[[#This Row],[Split]]</f>
        <v>(RML) Burleson Nissan29</v>
      </c>
      <c r="B3013">
        <v>29</v>
      </c>
      <c r="C3013">
        <v>28</v>
      </c>
      <c r="D3013" t="s">
        <v>33</v>
      </c>
      <c r="E3013" t="s">
        <v>46</v>
      </c>
      <c r="F3013" t="s">
        <v>107</v>
      </c>
      <c r="G3013" t="s">
        <v>34</v>
      </c>
      <c r="H3013" s="52" t="str">
        <f>VLOOKUP(Tabla3[[#This Row],[Site]],'Important Info!'!$A$1:$J$135,10,FALSE)</f>
        <v>https://tools.sig.systems/site/details/202</v>
      </c>
      <c r="J3013" t="s">
        <v>41</v>
      </c>
      <c r="K3013" s="79" t="str">
        <f>VLOOKUP(Tabla3[[#This Row],[Site]],'Important Info!'!$A$1:$H$135,8,FALSE)</f>
        <v>-</v>
      </c>
      <c r="L3013" s="52" t="str">
        <f>VLOOKUP(Tabla3[[#This Row],[Site]],'Important Info!'!$A$1:$F$135,2,FALSE)</f>
        <v>3, 21</v>
      </c>
      <c r="M3013" s="52" t="str">
        <f>VLOOKUP(Tabla3[[#This Row],[Site]],'Important Info!'!$A$1:$F$135,3,FALSE)</f>
        <v>-</v>
      </c>
      <c r="N3013" s="52" t="str">
        <f>VLOOKUP(Tabla3[[#This Row],[Site]],'Important Info!'!$A$1:$F$135,4,FALSE)</f>
        <v>-</v>
      </c>
      <c r="O3013" s="52" t="str">
        <f>VLOOKUP(Tabla3[[#This Row],[Site]],'Important Info!'!$A$1:$F$135,5,FALSE)</f>
        <v>2, 6, 15</v>
      </c>
      <c r="P3013" s="52" t="str">
        <f>VLOOKUP(Tabla3[[#This Row],[Site]],'Important Info!'!$A$1:$F$135,6,FALSE)</f>
        <v>-</v>
      </c>
      <c r="Q3013" s="91">
        <f>VLOOKUP(Tabla3[[#This Row],[Site]],'Important Info!'!$A$1:$J$135,9,FALSE)</f>
        <v>202</v>
      </c>
    </row>
    <row r="3014" spans="1:17" x14ac:dyDescent="0.25">
      <c r="A3014" t="str">
        <f>+Tabla3[[#This Row],[Site]]&amp;Tabla3[[#This Row],[Split]]</f>
        <v>(AS) Mike Shaw Subaru Greeley (NO TOURS)29</v>
      </c>
      <c r="B3014">
        <v>29</v>
      </c>
      <c r="C3014">
        <v>29</v>
      </c>
      <c r="D3014" t="s">
        <v>44</v>
      </c>
      <c r="E3014" t="s">
        <v>53</v>
      </c>
      <c r="F3014" t="s">
        <v>95</v>
      </c>
      <c r="G3014" t="s">
        <v>45</v>
      </c>
      <c r="H3014" s="52" t="str">
        <f>VLOOKUP(Tabla3[[#This Row],[Site]],'Important Info!'!$A$1:$J$135,10,FALSE)</f>
        <v>https://tools.sig.systems/site/details/174</v>
      </c>
      <c r="I3014" s="2" t="s">
        <v>153</v>
      </c>
      <c r="J3014" t="s">
        <v>41</v>
      </c>
      <c r="K3014" s="79" t="str">
        <f>VLOOKUP(Tabla3[[#This Row],[Site]],'Important Info!'!$A$1:$H$135,8,FALSE)</f>
        <v>-</v>
      </c>
      <c r="L3014" s="52" t="str">
        <f>VLOOKUP(Tabla3[[#This Row],[Site]],'Important Info!'!$A$1:$F$135,2,FALSE)</f>
        <v>16, 17</v>
      </c>
      <c r="M3014" s="52">
        <f>VLOOKUP(Tabla3[[#This Row],[Site]],'Important Info!'!$A$1:$F$135,3,FALSE)</f>
        <v>10</v>
      </c>
      <c r="N3014" s="52" t="str">
        <f>VLOOKUP(Tabla3[[#This Row],[Site]],'Important Info!'!$A$1:$F$135,4,FALSE)</f>
        <v>-</v>
      </c>
      <c r="O3014" s="52" t="str">
        <f>VLOOKUP(Tabla3[[#This Row],[Site]],'Important Info!'!$A$1:$F$135,5,FALSE)</f>
        <v>1, 7</v>
      </c>
      <c r="P3014" s="52" t="str">
        <f>VLOOKUP(Tabla3[[#This Row],[Site]],'Important Info!'!$A$1:$F$135,6,FALSE)</f>
        <v>-</v>
      </c>
      <c r="Q3014" s="91">
        <f>VLOOKUP(Tabla3[[#This Row],[Site]],'Important Info!'!$A$1:$J$135,9,FALSE)</f>
        <v>174</v>
      </c>
    </row>
    <row r="3015" spans="1:17" x14ac:dyDescent="0.25">
      <c r="A3015" t="str">
        <f>+Tabla3[[#This Row],[Site]]&amp;Tabla3[[#This Row],[Split]]</f>
        <v>(AS) Park Place JLR DFW Airport (NO TOURS)29</v>
      </c>
      <c r="B3015">
        <v>29</v>
      </c>
      <c r="C3015">
        <v>29</v>
      </c>
      <c r="D3015" t="s">
        <v>33</v>
      </c>
      <c r="E3015" t="s">
        <v>46</v>
      </c>
      <c r="F3015" t="s">
        <v>516</v>
      </c>
      <c r="G3015" t="s">
        <v>34</v>
      </c>
      <c r="H3015" s="52" t="str">
        <f>VLOOKUP(Tabla3[[#This Row],[Site]],'Important Info!'!$A$1:$J$135,10,FALSE)</f>
        <v>https://tools.sig.systems/site/details/135</v>
      </c>
      <c r="J3015" t="s">
        <v>41</v>
      </c>
      <c r="K3015" s="79" t="str">
        <f>VLOOKUP(Tabla3[[#This Row],[Site]],'Important Info!'!$A$1:$H$135,8,FALSE)</f>
        <v>-</v>
      </c>
      <c r="L3015" s="52" t="str">
        <f>VLOOKUP(Tabla3[[#This Row],[Site]],'Important Info!'!$A$1:$F$135,2,FALSE)</f>
        <v>6, 7, 18</v>
      </c>
      <c r="M3015" s="52" t="str">
        <f>VLOOKUP(Tabla3[[#This Row],[Site]],'Important Info!'!$A$1:$F$135,3,FALSE)</f>
        <v>70, 79, 80</v>
      </c>
      <c r="N3015" s="52" t="str">
        <f>VLOOKUP(Tabla3[[#This Row],[Site]],'Important Info!'!$A$1:$F$135,4,FALSE)</f>
        <v>83, 84</v>
      </c>
      <c r="O3015" s="52" t="str">
        <f>VLOOKUP(Tabla3[[#This Row],[Site]],'Important Info!'!$A$1:$F$135,5,FALSE)</f>
        <v>3, 8, 14, 81</v>
      </c>
      <c r="P3015" s="52">
        <f>VLOOKUP(Tabla3[[#This Row],[Site]],'Important Info!'!$A$1:$F$135,6,FALSE)</f>
        <v>6</v>
      </c>
      <c r="Q3015" s="91">
        <f>VLOOKUP(Tabla3[[#This Row],[Site]],'Important Info!'!$A$1:$J$135,9,FALSE)</f>
        <v>135</v>
      </c>
    </row>
    <row r="3016" spans="1:17" x14ac:dyDescent="0.25">
      <c r="A3016" t="str">
        <f>+Tabla3[[#This Row],[Site]]&amp;Tabla3[[#This Row],[Split]]</f>
        <v>(DT) Albuquerque29</v>
      </c>
      <c r="B3016">
        <v>29</v>
      </c>
      <c r="C3016">
        <v>29</v>
      </c>
      <c r="D3016" t="s">
        <v>44</v>
      </c>
      <c r="E3016" t="s">
        <v>53</v>
      </c>
      <c r="F3016" t="s">
        <v>155</v>
      </c>
      <c r="G3016" t="s">
        <v>45</v>
      </c>
      <c r="H3016" s="52" t="str">
        <f>VLOOKUP(Tabla3[[#This Row],[Site]],'Important Info!'!$A$1:$J$135,10,FALSE)</f>
        <v>https://tools.sig.systems/site/details/237</v>
      </c>
      <c r="J3016" t="s">
        <v>41</v>
      </c>
      <c r="K3016" s="79" t="str">
        <f>VLOOKUP(Tabla3[[#This Row],[Site]],'Important Info!'!$A$1:$H$135,8,FALSE)</f>
        <v>-</v>
      </c>
      <c r="L3016" s="52" t="str">
        <f>VLOOKUP(Tabla3[[#This Row],[Site]],'Important Info!'!$A$1:$F$135,2,FALSE)</f>
        <v>14, 16</v>
      </c>
      <c r="M3016" s="52" t="str">
        <f>VLOOKUP(Tabla3[[#This Row],[Site]],'Important Info!'!$A$1:$F$135,3,FALSE)</f>
        <v>-</v>
      </c>
      <c r="N3016" s="52" t="str">
        <f>VLOOKUP(Tabla3[[#This Row],[Site]],'Important Info!'!$A$1:$F$135,4,FALSE)</f>
        <v>-</v>
      </c>
      <c r="O3016" s="52" t="str">
        <f>VLOOKUP(Tabla3[[#This Row],[Site]],'Important Info!'!$A$1:$F$135,5,FALSE)</f>
        <v>14, 15</v>
      </c>
      <c r="P3016" s="52" t="str">
        <f>VLOOKUP(Tabla3[[#This Row],[Site]],'Important Info!'!$A$1:$F$135,6,FALSE)</f>
        <v>12, 14, 16</v>
      </c>
      <c r="Q3016" s="91">
        <f>VLOOKUP(Tabla3[[#This Row],[Site]],'Important Info!'!$A$1:$J$135,9,FALSE)</f>
        <v>237</v>
      </c>
    </row>
    <row r="3017" spans="1:17" x14ac:dyDescent="0.25">
      <c r="A3017" t="str">
        <f>+Tabla3[[#This Row],[Site]]&amp;Tabla3[[#This Row],[Split]]</f>
        <v>(PE) Honda of Danbury (NO TOURS)29</v>
      </c>
      <c r="B3017">
        <v>29</v>
      </c>
      <c r="C3017">
        <v>29</v>
      </c>
      <c r="D3017" t="s">
        <v>485</v>
      </c>
      <c r="E3017" t="s">
        <v>35</v>
      </c>
      <c r="F3017" t="s">
        <v>174</v>
      </c>
      <c r="G3017" t="s">
        <v>490</v>
      </c>
      <c r="H3017" s="52" t="str">
        <f>VLOOKUP(Tabla3[[#This Row],[Site]],'Important Info!'!$A$1:$J$135,10,FALSE)</f>
        <v>https://tools.sig.systems/site/details/190</v>
      </c>
      <c r="I3017" s="2"/>
      <c r="J3017" t="s">
        <v>41</v>
      </c>
      <c r="K3017" s="79" t="str">
        <f>VLOOKUP(Tabla3[[#This Row],[Site]],'Important Info!'!$A$1:$H$135,8,FALSE)</f>
        <v>-</v>
      </c>
      <c r="L3017" s="52" t="str">
        <f>VLOOKUP(Tabla3[[#This Row],[Site]],'Important Info!'!$A$1:$F$135,2,FALSE)</f>
        <v>-</v>
      </c>
      <c r="M3017" s="52" t="str">
        <f>VLOOKUP(Tabla3[[#This Row],[Site]],'Important Info!'!$A$1:$F$135,3,FALSE)</f>
        <v>20, 9</v>
      </c>
      <c r="N3017" s="52">
        <f>VLOOKUP(Tabla3[[#This Row],[Site]],'Important Info!'!$A$1:$F$135,4,FALSE)</f>
        <v>9</v>
      </c>
      <c r="O3017" s="52" t="str">
        <f>VLOOKUP(Tabla3[[#This Row],[Site]],'Important Info!'!$A$1:$F$135,5,FALSE)</f>
        <v>-</v>
      </c>
      <c r="P3017" s="52" t="str">
        <f>VLOOKUP(Tabla3[[#This Row],[Site]],'Important Info!'!$A$1:$F$135,6,FALSE)</f>
        <v>9, 16, 17</v>
      </c>
      <c r="Q3017" s="91">
        <f>VLOOKUP(Tabla3[[#This Row],[Site]],'Important Info!'!$A$1:$J$135,9,FALSE)</f>
        <v>190</v>
      </c>
    </row>
    <row r="3018" spans="1:17" x14ac:dyDescent="0.25">
      <c r="A3018" t="str">
        <f>+Tabla3[[#This Row],[Site]]&amp;Tabla3[[#This Row],[Split]]</f>
        <v>(AS) Park Place Bodywerks Ft. Worth (NO TOURS)30</v>
      </c>
      <c r="B3018">
        <v>30</v>
      </c>
      <c r="C3018">
        <v>1</v>
      </c>
      <c r="D3018" t="s">
        <v>33</v>
      </c>
      <c r="E3018" t="s">
        <v>46</v>
      </c>
      <c r="F3018" t="s">
        <v>515</v>
      </c>
      <c r="G3018" t="s">
        <v>34</v>
      </c>
      <c r="H3018" s="52" t="str">
        <f>VLOOKUP(Tabla3[[#This Row],[Site]],'Important Info!'!$A$1:$J$135,10,FALSE)</f>
        <v>https://tools.sig.systems/site/details/134</v>
      </c>
      <c r="I3018" s="65" t="s">
        <v>128</v>
      </c>
      <c r="J3018" t="s">
        <v>41</v>
      </c>
      <c r="K3018" s="79" t="str">
        <f>VLOOKUP(Tabla3[[#This Row],[Site]],'Important Info!'!$A$1:$H$135,8,FALSE)</f>
        <v>-</v>
      </c>
      <c r="L3018" s="52" t="str">
        <f>VLOOKUP(Tabla3[[#This Row],[Site]],'Important Info!'!$A$1:$F$135,2,FALSE)</f>
        <v>2, 3, RemoteLot5, RemoteLot9</v>
      </c>
      <c r="M3018" s="52" t="str">
        <f>VLOOKUP(Tabla3[[#This Row],[Site]],'Important Info!'!$A$1:$F$135,3,FALSE)</f>
        <v>-</v>
      </c>
      <c r="N3018" s="52" t="str">
        <f>VLOOKUP(Tabla3[[#This Row],[Site]],'Important Info!'!$A$1:$F$135,4,FALSE)</f>
        <v>-</v>
      </c>
      <c r="O3018" s="52" t="str">
        <f>VLOOKUP(Tabla3[[#This Row],[Site]],'Important Info!'!$A$1:$F$135,5,FALSE)</f>
        <v>1, 7, RL1, RL5, RL9</v>
      </c>
      <c r="P3018" s="52" t="str">
        <f>VLOOKUP(Tabla3[[#This Row],[Site]],'Important Info!'!$A$1:$F$135,6,FALSE)</f>
        <v>3, 4, 15</v>
      </c>
      <c r="Q3018" s="91">
        <f>VLOOKUP(Tabla3[[#This Row],[Site]],'Important Info!'!$A$1:$J$135,9,FALSE)</f>
        <v>134</v>
      </c>
    </row>
    <row r="3019" spans="1:17" x14ac:dyDescent="0.25">
      <c r="A3019" t="str">
        <f>+Tabla3[[#This Row],[Site]]&amp;Tabla3[[#This Row],[Split]]</f>
        <v>(ML) Nissan Of Benton30</v>
      </c>
      <c r="B3019">
        <v>30</v>
      </c>
      <c r="C3019">
        <v>1</v>
      </c>
      <c r="D3019" t="s">
        <v>33</v>
      </c>
      <c r="E3019" t="s">
        <v>46</v>
      </c>
      <c r="F3019" t="s">
        <v>120</v>
      </c>
      <c r="G3019" t="s">
        <v>34</v>
      </c>
      <c r="H3019" s="52" t="str">
        <f>VLOOKUP(Tabla3[[#This Row],[Site]],'Important Info!'!$A$1:$J$135,10,FALSE)</f>
        <v>https://tools.sig.systems/site/details/247</v>
      </c>
      <c r="I3019" s="2"/>
      <c r="J3019" t="s">
        <v>41</v>
      </c>
      <c r="K3019" s="79" t="str">
        <f>VLOOKUP(Tabla3[[#This Row],[Site]],'Important Info!'!$A$1:$H$135,8,FALSE)</f>
        <v>-</v>
      </c>
      <c r="L3019" s="52" t="str">
        <f>VLOOKUP(Tabla3[[#This Row],[Site]],'Important Info!'!$A$1:$F$135,2,FALSE)</f>
        <v>5, 12</v>
      </c>
      <c r="M3019" s="52" t="str">
        <f>VLOOKUP(Tabla3[[#This Row],[Site]],'Important Info!'!$A$1:$F$135,3,FALSE)</f>
        <v>-</v>
      </c>
      <c r="N3019" s="52" t="str">
        <f>VLOOKUP(Tabla3[[#This Row],[Site]],'Important Info!'!$A$1:$F$135,4,FALSE)</f>
        <v>-</v>
      </c>
      <c r="O3019" s="52" t="str">
        <f>VLOOKUP(Tabla3[[#This Row],[Site]],'Important Info!'!$A$1:$F$135,5,FALSE)</f>
        <v>4, 18</v>
      </c>
      <c r="P3019" s="52" t="str">
        <f>VLOOKUP(Tabla3[[#This Row],[Site]],'Important Info!'!$A$1:$F$135,6,FALSE)</f>
        <v>-</v>
      </c>
      <c r="Q3019" s="91">
        <f>VLOOKUP(Tabla3[[#This Row],[Site]],'Important Info!'!$A$1:$J$135,9,FALSE)</f>
        <v>247</v>
      </c>
    </row>
    <row r="3020" spans="1:17" x14ac:dyDescent="0.25">
      <c r="A3020" t="str">
        <f>+Tabla3[[#This Row],[Site]]&amp;Tabla3[[#This Row],[Split]]</f>
        <v>(PE) Scofield Service Center (NO TOURS)30</v>
      </c>
      <c r="B3020">
        <v>30</v>
      </c>
      <c r="C3020">
        <v>1</v>
      </c>
      <c r="D3020" t="s">
        <v>485</v>
      </c>
      <c r="E3020" t="s">
        <v>35</v>
      </c>
      <c r="F3020" t="s">
        <v>83</v>
      </c>
      <c r="G3020" t="s">
        <v>490</v>
      </c>
      <c r="H3020" s="52" t="str">
        <f>VLOOKUP(Tabla3[[#This Row],[Site]],'Important Info!'!$A$1:$J$135,10,FALSE)</f>
        <v>https://tools.sig.systems/site/details/193</v>
      </c>
      <c r="I3020" t="s">
        <v>177</v>
      </c>
      <c r="J3020" t="s">
        <v>41</v>
      </c>
      <c r="K3020" s="79" t="str">
        <f>VLOOKUP(Tabla3[[#This Row],[Site]],'Important Info!'!$A$1:$H$135,8,FALSE)</f>
        <v>-</v>
      </c>
      <c r="L3020" s="52">
        <f>VLOOKUP(Tabla3[[#This Row],[Site]],'Important Info!'!$A$1:$F$135,2,FALSE)</f>
        <v>1</v>
      </c>
      <c r="M3020" s="52" t="str">
        <f>VLOOKUP(Tabla3[[#This Row],[Site]],'Important Info!'!$A$1:$F$135,3,FALSE)</f>
        <v>-</v>
      </c>
      <c r="N3020" s="52" t="str">
        <f>VLOOKUP(Tabla3[[#This Row],[Site]],'Important Info!'!$A$1:$F$135,4,FALSE)</f>
        <v>-</v>
      </c>
      <c r="O3020" s="52">
        <f>VLOOKUP(Tabla3[[#This Row],[Site]],'Important Info!'!$A$1:$F$135,5,FALSE)</f>
        <v>9</v>
      </c>
      <c r="P3020" s="52" t="str">
        <f>VLOOKUP(Tabla3[[#This Row],[Site]],'Important Info!'!$A$1:$F$135,6,FALSE)</f>
        <v>1, 17</v>
      </c>
      <c r="Q3020" s="91">
        <f>VLOOKUP(Tabla3[[#This Row],[Site]],'Important Info!'!$A$1:$J$135,9,FALSE)</f>
        <v>193</v>
      </c>
    </row>
    <row r="3021" spans="1:17" x14ac:dyDescent="0.25">
      <c r="A3021" t="str">
        <f>+Tabla3[[#This Row],[Site]]&amp;Tabla3[[#This Row],[Split]]</f>
        <v>(RV) Toms Camperland Avondale (NO TOURS)30</v>
      </c>
      <c r="B3021">
        <v>30</v>
      </c>
      <c r="C3021">
        <v>1</v>
      </c>
      <c r="D3021" t="s">
        <v>51</v>
      </c>
      <c r="E3021" t="s">
        <v>161</v>
      </c>
      <c r="F3021" t="s">
        <v>80</v>
      </c>
      <c r="G3021" t="s">
        <v>52</v>
      </c>
      <c r="H3021" s="52" t="str">
        <f>VLOOKUP(Tabla3[[#This Row],[Site]],'Important Info!'!$A$1:$J$135,10,FALSE)</f>
        <v>https://tools.sig.systems/site/details/248</v>
      </c>
      <c r="I3021" s="2" t="s">
        <v>163</v>
      </c>
      <c r="J3021" t="s">
        <v>164</v>
      </c>
      <c r="K3021" s="79" t="str">
        <f>VLOOKUP(Tabla3[[#This Row],[Site]],'Important Info!'!$A$1:$H$135,8,FALSE)</f>
        <v>-</v>
      </c>
      <c r="L3021" s="52">
        <f>VLOOKUP(Tabla3[[#This Row],[Site]],'Important Info!'!$A$1:$F$135,2,FALSE)</f>
        <v>10</v>
      </c>
      <c r="M3021" s="52" t="str">
        <f>VLOOKUP(Tabla3[[#This Row],[Site]],'Important Info!'!$A$1:$F$135,3,FALSE)</f>
        <v>2, 7</v>
      </c>
      <c r="N3021" s="52" t="str">
        <f>VLOOKUP(Tabla3[[#This Row],[Site]],'Important Info!'!$A$1:$F$135,4,FALSE)</f>
        <v>-</v>
      </c>
      <c r="O3021" s="52" t="str">
        <f>VLOOKUP(Tabla3[[#This Row],[Site]],'Important Info!'!$A$1:$F$135,5,FALSE)</f>
        <v>-</v>
      </c>
      <c r="P3021" s="52" t="str">
        <f>VLOOKUP(Tabla3[[#This Row],[Site]],'Important Info!'!$A$1:$F$135,6,FALSE)</f>
        <v>2, 7, 8, 13, 15</v>
      </c>
      <c r="Q3021" s="91">
        <f>VLOOKUP(Tabla3[[#This Row],[Site]],'Important Info!'!$A$1:$J$135,9,FALSE)</f>
        <v>248</v>
      </c>
    </row>
    <row r="3022" spans="1:17" x14ac:dyDescent="0.25">
      <c r="A3022" t="str">
        <f>+Tabla3[[#This Row],[Site]]&amp;Tabla3[[#This Row],[Split]]</f>
        <v>(AS) Stevinson Toyota West (NO TOURS)30</v>
      </c>
      <c r="B3022">
        <v>30</v>
      </c>
      <c r="C3022">
        <v>2</v>
      </c>
      <c r="D3022" t="s">
        <v>44</v>
      </c>
      <c r="E3022" t="s">
        <v>53</v>
      </c>
      <c r="F3022" t="s">
        <v>79</v>
      </c>
      <c r="G3022" t="s">
        <v>45</v>
      </c>
      <c r="H3022" s="52" t="str">
        <f>VLOOKUP(Tabla3[[#This Row],[Site]],'Important Info!'!$A$1:$J$135,10,FALSE)</f>
        <v>https://tools.sig.systems/site/details/240</v>
      </c>
      <c r="I3022" s="43" t="s">
        <v>154</v>
      </c>
      <c r="J3022" t="s">
        <v>41</v>
      </c>
      <c r="K3022" s="79" t="str">
        <f>VLOOKUP(Tabla3[[#This Row],[Site]],'Important Info!'!$A$1:$H$135,8,FALSE)</f>
        <v>-</v>
      </c>
      <c r="L3022" s="52" t="str">
        <f>VLOOKUP(Tabla3[[#This Row],[Site]],'Important Info!'!$A$1:$F$135,2,FALSE)</f>
        <v>-</v>
      </c>
      <c r="M3022" s="52" t="str">
        <f>VLOOKUP(Tabla3[[#This Row],[Site]],'Important Info!'!$A$1:$F$135,3,FALSE)</f>
        <v>7, 18, 21</v>
      </c>
      <c r="N3022" s="52" t="str">
        <f>VLOOKUP(Tabla3[[#This Row],[Site]],'Important Info!'!$A$1:$F$135,4,FALSE)</f>
        <v>-</v>
      </c>
      <c r="O3022" s="52" t="str">
        <f>VLOOKUP(Tabla3[[#This Row],[Site]],'Important Info!'!$A$1:$F$135,5,FALSE)</f>
        <v>11, 24, 34</v>
      </c>
      <c r="P3022" s="52" t="str">
        <f>VLOOKUP(Tabla3[[#This Row],[Site]],'Important Info!'!$A$1:$F$135,6,FALSE)</f>
        <v>1, 2, 3, 12</v>
      </c>
      <c r="Q3022" s="91">
        <f>VLOOKUP(Tabla3[[#This Row],[Site]],'Important Info!'!$A$1:$J$135,9,FALSE)</f>
        <v>240</v>
      </c>
    </row>
    <row r="3023" spans="1:17" x14ac:dyDescent="0.25">
      <c r="A3023" t="str">
        <f>+Tabla3[[#This Row],[Site]]&amp;Tabla3[[#This Row],[Split]]</f>
        <v>(KG) Texan CDJR30</v>
      </c>
      <c r="B3023">
        <v>30</v>
      </c>
      <c r="C3023">
        <v>2</v>
      </c>
      <c r="D3023" t="s">
        <v>33</v>
      </c>
      <c r="E3023" t="s">
        <v>46</v>
      </c>
      <c r="F3023" t="s">
        <v>70</v>
      </c>
      <c r="G3023" t="s">
        <v>34</v>
      </c>
      <c r="H3023" s="52" t="str">
        <f>VLOOKUP(Tabla3[[#This Row],[Site]],'Important Info!'!$A$1:$J$135,10,FALSE)</f>
        <v>https://tools.sig.systems/site/details/238</v>
      </c>
      <c r="I3023" s="2" t="s">
        <v>137</v>
      </c>
      <c r="J3023" t="s">
        <v>41</v>
      </c>
      <c r="K3023" s="79" t="str">
        <f>VLOOKUP(Tabla3[[#This Row],[Site]],'Important Info!'!$A$1:$H$135,8,FALSE)</f>
        <v>-</v>
      </c>
      <c r="L3023" s="52" t="str">
        <f>VLOOKUP(Tabla3[[#This Row],[Site]],'Important Info!'!$A$1:$F$135,2,FALSE)</f>
        <v>11, 12, 13, 14, 20, 32, 34, 36, 77</v>
      </c>
      <c r="M3023" s="52" t="str">
        <f>VLOOKUP(Tabla3[[#This Row],[Site]],'Important Info!'!$A$1:$F$135,3,FALSE)</f>
        <v>-</v>
      </c>
      <c r="N3023" s="52" t="str">
        <f>VLOOKUP(Tabla3[[#This Row],[Site]],'Important Info!'!$A$1:$F$135,4,FALSE)</f>
        <v>67, 68, 69, 70</v>
      </c>
      <c r="O3023" s="52" t="str">
        <f>VLOOKUP(Tabla3[[#This Row],[Site]],'Important Info!'!$A$1:$F$135,5,FALSE)</f>
        <v>2, 10, 14, 25, 29, 35, 38</v>
      </c>
      <c r="P3023" s="52" t="str">
        <f>VLOOKUP(Tabla3[[#This Row],[Site]],'Important Info!'!$A$1:$F$135,6,FALSE)</f>
        <v>36, 46</v>
      </c>
      <c r="Q3023" s="91">
        <f>VLOOKUP(Tabla3[[#This Row],[Site]],'Important Info!'!$A$1:$J$135,9,FALSE)</f>
        <v>238</v>
      </c>
    </row>
    <row r="3024" spans="1:17" x14ac:dyDescent="0.25">
      <c r="A3024" t="str">
        <f>+Tabla3[[#This Row],[Site]]&amp;Tabla3[[#This Row],[Split]]</f>
        <v>(ML) Columbia Honda (NO TOURS)30</v>
      </c>
      <c r="B3024">
        <v>30</v>
      </c>
      <c r="C3024">
        <v>2</v>
      </c>
      <c r="D3024" t="s">
        <v>33</v>
      </c>
      <c r="E3024" t="s">
        <v>46</v>
      </c>
      <c r="F3024" t="s">
        <v>143</v>
      </c>
      <c r="G3024" t="s">
        <v>34</v>
      </c>
      <c r="H3024" s="52" t="str">
        <f>VLOOKUP(Tabla3[[#This Row],[Site]],'Important Info!'!$A$1:$J$135,10,FALSE)</f>
        <v>https://tools.sig.systems/site/details/272</v>
      </c>
      <c r="I3024" s="2" t="s">
        <v>144</v>
      </c>
      <c r="J3024" t="s">
        <v>41</v>
      </c>
      <c r="K3024" s="79" t="str">
        <f>VLOOKUP(Tabla3[[#This Row],[Site]],'Important Info!'!$A$1:$H$135,8,FALSE)</f>
        <v>-</v>
      </c>
      <c r="L3024" s="52" t="str">
        <f>VLOOKUP(Tabla3[[#This Row],[Site]],'Important Info!'!$A$1:$F$135,2,FALSE)</f>
        <v>-</v>
      </c>
      <c r="M3024" s="52" t="str">
        <f>VLOOKUP(Tabla3[[#This Row],[Site]],'Important Info!'!$A$1:$F$135,3,FALSE)</f>
        <v>9, 19, 20</v>
      </c>
      <c r="N3024" s="52" t="str">
        <f>VLOOKUP(Tabla3[[#This Row],[Site]],'Important Info!'!$A$1:$F$135,4,FALSE)</f>
        <v>-</v>
      </c>
      <c r="O3024" s="52" t="str">
        <f>VLOOKUP(Tabla3[[#This Row],[Site]],'Important Info!'!$A$1:$F$135,5,FALSE)</f>
        <v>10, 17, 19</v>
      </c>
      <c r="P3024" s="52" t="str">
        <f>VLOOKUP(Tabla3[[#This Row],[Site]],'Important Info!'!$A$1:$F$135,6,FALSE)</f>
        <v>3, 4, 5</v>
      </c>
      <c r="Q3024" s="91">
        <f>VLOOKUP(Tabla3[[#This Row],[Site]],'Important Info!'!$A$1:$J$135,9,FALSE)</f>
        <v>272</v>
      </c>
    </row>
    <row r="3025" spans="1:17" x14ac:dyDescent="0.25">
      <c r="A3025" t="str">
        <f>+Tabla3[[#This Row],[Site]]&amp;Tabla3[[#This Row],[Split]]</f>
        <v>(KG) Kia of Phoenix (NO TOURS)30</v>
      </c>
      <c r="B3025">
        <v>30</v>
      </c>
      <c r="C3025">
        <v>3</v>
      </c>
      <c r="D3025" t="s">
        <v>51</v>
      </c>
      <c r="E3025" t="s">
        <v>161</v>
      </c>
      <c r="F3025" t="s">
        <v>94</v>
      </c>
      <c r="G3025" t="s">
        <v>52</v>
      </c>
      <c r="H3025" s="52" t="str">
        <f>VLOOKUP(Tabla3[[#This Row],[Site]],'Important Info!'!$A$1:$J$135,10,FALSE)</f>
        <v>https://tools.sig.systems/site/details/262</v>
      </c>
      <c r="J3025" t="s">
        <v>162</v>
      </c>
      <c r="K3025" s="79" t="str">
        <f>VLOOKUP(Tabla3[[#This Row],[Site]],'Important Info!'!$A$1:$H$135,8,FALSE)</f>
        <v>-</v>
      </c>
      <c r="L3025" s="52" t="str">
        <f>VLOOKUP(Tabla3[[#This Row],[Site]],'Important Info!'!$A$1:$F$135,2,FALSE)</f>
        <v>5, 8, 23</v>
      </c>
      <c r="M3025" s="52" t="str">
        <f>VLOOKUP(Tabla3[[#This Row],[Site]],'Important Info!'!$A$1:$F$135,3,FALSE)</f>
        <v>-</v>
      </c>
      <c r="N3025" s="52" t="str">
        <f>VLOOKUP(Tabla3[[#This Row],[Site]],'Important Info!'!$A$1:$F$135,4,FALSE)</f>
        <v>-</v>
      </c>
      <c r="O3025" s="52">
        <f>VLOOKUP(Tabla3[[#This Row],[Site]],'Important Info!'!$A$1:$F$135,5,FALSE)</f>
        <v>4</v>
      </c>
      <c r="P3025" s="52" t="str">
        <f>VLOOKUP(Tabla3[[#This Row],[Site]],'Important Info!'!$A$1:$F$135,6,FALSE)</f>
        <v>-</v>
      </c>
      <c r="Q3025" s="91">
        <f>VLOOKUP(Tabla3[[#This Row],[Site]],'Important Info!'!$A$1:$J$135,9,FALSE)</f>
        <v>262</v>
      </c>
    </row>
    <row r="3026" spans="1:17" x14ac:dyDescent="0.25">
      <c r="A3026" t="str">
        <f>+Tabla3[[#This Row],[Site]]&amp;Tabla3[[#This Row],[Split]]</f>
        <v>(KG) Texan GMC Buick (NO TOURS)30</v>
      </c>
      <c r="B3026">
        <v>30</v>
      </c>
      <c r="C3026">
        <v>3</v>
      </c>
      <c r="D3026" t="s">
        <v>33</v>
      </c>
      <c r="E3026" t="s">
        <v>46</v>
      </c>
      <c r="F3026" t="s">
        <v>111</v>
      </c>
      <c r="G3026" t="s">
        <v>34</v>
      </c>
      <c r="H3026" s="52" t="str">
        <f>VLOOKUP(Tabla3[[#This Row],[Site]],'Important Info!'!$A$1:$J$135,10,FALSE)</f>
        <v>https://tools.sig.systems/site/details/225</v>
      </c>
      <c r="I3026" s="43" t="s">
        <v>137</v>
      </c>
      <c r="J3026" t="s">
        <v>41</v>
      </c>
      <c r="K3026" s="79" t="str">
        <f>VLOOKUP(Tabla3[[#This Row],[Site]],'Important Info!'!$A$1:$H$135,8,FALSE)</f>
        <v>-</v>
      </c>
      <c r="L3026" s="52" t="str">
        <f>VLOOKUP(Tabla3[[#This Row],[Site]],'Important Info!'!$A$1:$F$135,2,FALSE)</f>
        <v>1, 20, 53</v>
      </c>
      <c r="M3026" s="52" t="str">
        <f>VLOOKUP(Tabla3[[#This Row],[Site]],'Important Info!'!$A$1:$F$135,3,FALSE)</f>
        <v>-</v>
      </c>
      <c r="N3026" s="52" t="str">
        <f>VLOOKUP(Tabla3[[#This Row],[Site]],'Important Info!'!$A$1:$F$135,4,FALSE)</f>
        <v>-</v>
      </c>
      <c r="O3026" s="52" t="str">
        <f>VLOOKUP(Tabla3[[#This Row],[Site]],'Important Info!'!$A$1:$F$135,5,FALSE)</f>
        <v>2, 8, 14</v>
      </c>
      <c r="P3026" s="52" t="str">
        <f>VLOOKUP(Tabla3[[#This Row],[Site]],'Important Info!'!$A$1:$F$135,6,FALSE)</f>
        <v>51, 52, 16</v>
      </c>
      <c r="Q3026" s="91">
        <f>VLOOKUP(Tabla3[[#This Row],[Site]],'Important Info!'!$A$1:$J$135,9,FALSE)</f>
        <v>225</v>
      </c>
    </row>
    <row r="3027" spans="1:17" x14ac:dyDescent="0.25">
      <c r="A3027" t="str">
        <f>+Tabla3[[#This Row],[Site]]&amp;Tabla3[[#This Row],[Split]]</f>
        <v>(LM) Luther Mazda / Mitsubishi30</v>
      </c>
      <c r="B3027">
        <v>30</v>
      </c>
      <c r="C3027">
        <v>3</v>
      </c>
      <c r="D3027" t="s">
        <v>33</v>
      </c>
      <c r="E3027" t="s">
        <v>46</v>
      </c>
      <c r="F3027" t="s">
        <v>103</v>
      </c>
      <c r="G3027" t="s">
        <v>34</v>
      </c>
      <c r="H3027" s="52" t="str">
        <f>VLOOKUP(Tabla3[[#This Row],[Site]],'Important Info!'!$A$1:$J$135,10,FALSE)</f>
        <v>https://tools.sig.systems/site/details/147</v>
      </c>
      <c r="I3027" s="2" t="s">
        <v>138</v>
      </c>
      <c r="J3027" t="s">
        <v>41</v>
      </c>
      <c r="K3027" s="79" t="str">
        <f>VLOOKUP(Tabla3[[#This Row],[Site]],'Important Info!'!$A$1:$H$135,8,FALSE)</f>
        <v>-</v>
      </c>
      <c r="L3027" s="52" t="str">
        <f>VLOOKUP(Tabla3[[#This Row],[Site]],'Important Info!'!$A$1:$F$135,2,FALSE)</f>
        <v>4, 5, 6</v>
      </c>
      <c r="M3027" s="52" t="str">
        <f>VLOOKUP(Tabla3[[#This Row],[Site]],'Important Info!'!$A$1:$F$135,3,FALSE)</f>
        <v>-</v>
      </c>
      <c r="N3027" s="52" t="str">
        <f>VLOOKUP(Tabla3[[#This Row],[Site]],'Important Info!'!$A$1:$F$135,4,FALSE)</f>
        <v>1, 2</v>
      </c>
      <c r="O3027" s="52" t="str">
        <f>VLOOKUP(Tabla3[[#This Row],[Site]],'Important Info!'!$A$1:$F$135,5,FALSE)</f>
        <v>-</v>
      </c>
      <c r="P3027" s="52" t="str">
        <f>VLOOKUP(Tabla3[[#This Row],[Site]],'Important Info!'!$A$1:$F$135,6,FALSE)</f>
        <v>13, 14, 15, 16</v>
      </c>
      <c r="Q3027" s="91">
        <f>VLOOKUP(Tabla3[[#This Row],[Site]],'Important Info!'!$A$1:$J$135,9,FALSE)</f>
        <v>147</v>
      </c>
    </row>
    <row r="3028" spans="1:17" x14ac:dyDescent="0.25">
      <c r="A3028" t="str">
        <f>+Tabla3[[#This Row],[Site]]&amp;Tabla3[[#This Row],[Split]]</f>
        <v>(ML) Joe Machens CDJR30</v>
      </c>
      <c r="B3028">
        <v>30</v>
      </c>
      <c r="C3028">
        <v>3</v>
      </c>
      <c r="D3028" t="s">
        <v>33</v>
      </c>
      <c r="E3028" t="s">
        <v>46</v>
      </c>
      <c r="F3028" t="s">
        <v>88</v>
      </c>
      <c r="G3028" t="s">
        <v>34</v>
      </c>
      <c r="H3028" s="52" t="str">
        <f>VLOOKUP(Tabla3[[#This Row],[Site]],'Important Info!'!$A$1:$J$135,10,FALSE)</f>
        <v>https://tools.sig.systems/site/details/273</v>
      </c>
      <c r="I3028" s="43" t="s">
        <v>146</v>
      </c>
      <c r="J3028" t="s">
        <v>41</v>
      </c>
      <c r="K3028" s="79" t="str">
        <f>VLOOKUP(Tabla3[[#This Row],[Site]],'Important Info!'!$A$1:$H$135,8,FALSE)</f>
        <v>-</v>
      </c>
      <c r="L3028" s="52" t="str">
        <f>VLOOKUP(Tabla3[[#This Row],[Site]],'Important Info!'!$A$1:$F$135,2,FALSE)</f>
        <v>-</v>
      </c>
      <c r="M3028" s="52">
        <f>VLOOKUP(Tabla3[[#This Row],[Site]],'Important Info!'!$A$1:$F$135,3,FALSE)</f>
        <v>3</v>
      </c>
      <c r="N3028" s="52" t="str">
        <f>VLOOKUP(Tabla3[[#This Row],[Site]],'Important Info!'!$A$1:$F$135,4,FALSE)</f>
        <v>-</v>
      </c>
      <c r="O3028" s="52" t="str">
        <f>VLOOKUP(Tabla3[[#This Row],[Site]],'Important Info!'!$A$1:$F$135,5,FALSE)</f>
        <v>-</v>
      </c>
      <c r="P3028" s="52" t="str">
        <f>VLOOKUP(Tabla3[[#This Row],[Site]],'Important Info!'!$A$1:$F$135,6,FALSE)</f>
        <v>1, 2, 3,</v>
      </c>
      <c r="Q3028" s="91">
        <f>VLOOKUP(Tabla3[[#This Row],[Site]],'Important Info!'!$A$1:$J$135,9,FALSE)</f>
        <v>273</v>
      </c>
    </row>
    <row r="3029" spans="1:17" x14ac:dyDescent="0.25">
      <c r="A3029" t="str">
        <f>+Tabla3[[#This Row],[Site]]&amp;Tabla3[[#This Row],[Split]]</f>
        <v>(PE) BMW of Greenwich (NO TOURS)30</v>
      </c>
      <c r="B3029">
        <v>30</v>
      </c>
      <c r="C3029">
        <v>3</v>
      </c>
      <c r="D3029" t="s">
        <v>485</v>
      </c>
      <c r="E3029" t="s">
        <v>35</v>
      </c>
      <c r="F3029" t="s">
        <v>170</v>
      </c>
      <c r="G3029" t="s">
        <v>490</v>
      </c>
      <c r="H3029" s="52" t="str">
        <f>VLOOKUP(Tabla3[[#This Row],[Site]],'Important Info!'!$A$1:$J$135,10,FALSE)</f>
        <v>https://tools.sig.systems/site/details/186</v>
      </c>
      <c r="I3029" s="2" t="s">
        <v>171</v>
      </c>
      <c r="J3029" t="s">
        <v>41</v>
      </c>
      <c r="K3029" s="79" t="str">
        <f>VLOOKUP(Tabla3[[#This Row],[Site]],'Important Info!'!$A$1:$H$135,8,FALSE)</f>
        <v>-</v>
      </c>
      <c r="L3029" s="52" t="str">
        <f>VLOOKUP(Tabla3[[#This Row],[Site]],'Important Info!'!$A$1:$F$135,2,FALSE)</f>
        <v>1, 6, 15</v>
      </c>
      <c r="M3029" s="52" t="str">
        <f>VLOOKUP(Tabla3[[#This Row],[Site]],'Important Info!'!$A$1:$F$135,3,FALSE)</f>
        <v>-</v>
      </c>
      <c r="N3029" s="52" t="str">
        <f>VLOOKUP(Tabla3[[#This Row],[Site]],'Important Info!'!$A$1:$F$135,4,FALSE)</f>
        <v>-</v>
      </c>
      <c r="O3029" s="52" t="str">
        <f>VLOOKUP(Tabla3[[#This Row],[Site]],'Important Info!'!$A$1:$F$135,5,FALSE)</f>
        <v>-</v>
      </c>
      <c r="P3029" s="52">
        <f>VLOOKUP(Tabla3[[#This Row],[Site]],'Important Info!'!$A$1:$F$135,6,FALSE)</f>
        <v>12</v>
      </c>
      <c r="Q3029" s="91">
        <f>VLOOKUP(Tabla3[[#This Row],[Site]],'Important Info!'!$A$1:$J$135,9,FALSE)</f>
        <v>186</v>
      </c>
    </row>
    <row r="3030" spans="1:17" x14ac:dyDescent="0.25">
      <c r="A3030" t="str">
        <f>+Tabla3[[#This Row],[Site]]&amp;Tabla3[[#This Row],[Split]]</f>
        <v>(ML) Joe Machens VW30</v>
      </c>
      <c r="B3030">
        <v>30</v>
      </c>
      <c r="C3030">
        <v>4</v>
      </c>
      <c r="D3030" t="s">
        <v>33</v>
      </c>
      <c r="E3030" t="s">
        <v>46</v>
      </c>
      <c r="F3030" t="s">
        <v>74</v>
      </c>
      <c r="G3030" t="s">
        <v>34</v>
      </c>
      <c r="H3030" s="52" t="str">
        <f>VLOOKUP(Tabla3[[#This Row],[Site]],'Important Info!'!$A$1:$J$135,10,FALSE)</f>
        <v>https://tools.sig.systems/site/details/274</v>
      </c>
      <c r="I3030" s="43" t="s">
        <v>146</v>
      </c>
      <c r="J3030" t="s">
        <v>41</v>
      </c>
      <c r="K3030" s="79" t="str">
        <f>VLOOKUP(Tabla3[[#This Row],[Site]],'Important Info!'!$A$1:$H$135,8,FALSE)</f>
        <v>-</v>
      </c>
      <c r="L3030" s="52" t="str">
        <f>VLOOKUP(Tabla3[[#This Row],[Site]],'Important Info!'!$A$1:$F$135,2,FALSE)</f>
        <v>-</v>
      </c>
      <c r="M3030" s="52" t="str">
        <f>VLOOKUP(Tabla3[[#This Row],[Site]],'Important Info!'!$A$1:$F$135,3,FALSE)</f>
        <v>1, 11, 18</v>
      </c>
      <c r="N3030" s="52" t="str">
        <f>VLOOKUP(Tabla3[[#This Row],[Site]],'Important Info!'!$A$1:$F$135,4,FALSE)</f>
        <v>-</v>
      </c>
      <c r="O3030" s="52">
        <f>VLOOKUP(Tabla3[[#This Row],[Site]],'Important Info!'!$A$1:$F$135,5,FALSE)</f>
        <v>17</v>
      </c>
      <c r="P3030" s="52" t="str">
        <f>VLOOKUP(Tabla3[[#This Row],[Site]],'Important Info!'!$A$1:$F$135,6,FALSE)</f>
        <v>-</v>
      </c>
      <c r="Q3030" s="91">
        <f>VLOOKUP(Tabla3[[#This Row],[Site]],'Important Info!'!$A$1:$J$135,9,FALSE)</f>
        <v>274</v>
      </c>
    </row>
    <row r="3031" spans="1:17" x14ac:dyDescent="0.25">
      <c r="A3031" t="str">
        <f>+Tabla3[[#This Row],[Site]]&amp;Tabla3[[#This Row],[Split]]</f>
        <v>(ML) Mazda VW-Lot B30</v>
      </c>
      <c r="B3031">
        <v>30</v>
      </c>
      <c r="C3031">
        <v>4</v>
      </c>
      <c r="D3031" t="s">
        <v>33</v>
      </c>
      <c r="E3031" t="s">
        <v>46</v>
      </c>
      <c r="F3031" t="s">
        <v>9</v>
      </c>
      <c r="G3031" t="s">
        <v>34</v>
      </c>
      <c r="H3031" s="52" t="str">
        <f>VLOOKUP(Tabla3[[#This Row],[Site]],'Important Info!'!$A$1:$J$135,10,FALSE)</f>
        <v>https://tools.sig.systems/site/details/205</v>
      </c>
      <c r="I3031" s="2" t="s">
        <v>142</v>
      </c>
      <c r="J3031" t="s">
        <v>41</v>
      </c>
      <c r="K3031" s="79" t="str">
        <f>VLOOKUP(Tabla3[[#This Row],[Site]],'Important Info!'!$A$1:$H$135,8,FALSE)</f>
        <v>-</v>
      </c>
      <c r="L3031" s="52" t="str">
        <f>VLOOKUP(Tabla3[[#This Row],[Site]],'Important Info!'!$A$1:$F$135,2,FALSE)</f>
        <v>9, 14, 16</v>
      </c>
      <c r="M3031" s="52">
        <f>VLOOKUP(Tabla3[[#This Row],[Site]],'Important Info!'!$A$1:$F$135,3,FALSE)</f>
        <v>1</v>
      </c>
      <c r="N3031" s="52" t="str">
        <f>VLOOKUP(Tabla3[[#This Row],[Site]],'Important Info!'!$A$1:$F$135,4,FALSE)</f>
        <v>-</v>
      </c>
      <c r="O3031" s="52">
        <f>VLOOKUP(Tabla3[[#This Row],[Site]],'Important Info!'!$A$1:$F$135,5,FALSE)</f>
        <v>4</v>
      </c>
      <c r="P3031" s="52" t="str">
        <f>VLOOKUP(Tabla3[[#This Row],[Site]],'Important Info!'!$A$1:$F$135,6,FALSE)</f>
        <v>-</v>
      </c>
      <c r="Q3031" s="91">
        <f>VLOOKUP(Tabla3[[#This Row],[Site]],'Important Info!'!$A$1:$J$135,9,FALSE)</f>
        <v>205</v>
      </c>
    </row>
    <row r="3032" spans="1:17" x14ac:dyDescent="0.25">
      <c r="A3032" t="str">
        <f>+Tabla3[[#This Row],[Site]]&amp;Tabla3[[#This Row],[Split]]</f>
        <v>(SCH) Chevrolet North Palm30</v>
      </c>
      <c r="B3032">
        <v>30</v>
      </c>
      <c r="C3032">
        <v>4</v>
      </c>
      <c r="D3032" t="s">
        <v>62</v>
      </c>
      <c r="E3032" t="s">
        <v>35</v>
      </c>
      <c r="F3032" t="s">
        <v>101</v>
      </c>
      <c r="G3032" t="s">
        <v>490</v>
      </c>
      <c r="H3032" s="52" t="str">
        <f>VLOOKUP(Tabla3[[#This Row],[Site]],'Important Info!'!$A$1:$J$135,10,FALSE)</f>
        <v>https://tools.sig.systems/site/details/160</v>
      </c>
      <c r="I3032" s="43"/>
      <c r="J3032" t="s">
        <v>36</v>
      </c>
      <c r="K3032" s="79" t="str">
        <f>VLOOKUP(Tabla3[[#This Row],[Site]],'Important Info!'!$A$1:$H$135,8,FALSE)</f>
        <v>-</v>
      </c>
      <c r="L3032" s="52" t="str">
        <f>VLOOKUP(Tabla3[[#This Row],[Site]],'Important Info!'!$A$1:$F$135,2,FALSE)</f>
        <v xml:space="preserve">7, 10B, 11, 15 </v>
      </c>
      <c r="M3032" s="52" t="str">
        <f>VLOOKUP(Tabla3[[#This Row],[Site]],'Important Info!'!$A$1:$F$135,3,FALSE)</f>
        <v>-</v>
      </c>
      <c r="N3032" s="52" t="str">
        <f>VLOOKUP(Tabla3[[#This Row],[Site]],'Important Info!'!$A$1:$F$135,4,FALSE)</f>
        <v>-</v>
      </c>
      <c r="O3032" s="52" t="str">
        <f>VLOOKUP(Tabla3[[#This Row],[Site]],'Important Info!'!$A$1:$F$135,5,FALSE)</f>
        <v>-</v>
      </c>
      <c r="P3032" s="52" t="str">
        <f>VLOOKUP(Tabla3[[#This Row],[Site]],'Important Info!'!$A$1:$F$135,6,FALSE)</f>
        <v>1, 15, 16, 17, 18, 19, 20</v>
      </c>
      <c r="Q3032" s="91">
        <f>VLOOKUP(Tabla3[[#This Row],[Site]],'Important Info!'!$A$1:$J$135,9,FALSE)</f>
        <v>160</v>
      </c>
    </row>
    <row r="3033" spans="1:17" x14ac:dyDescent="0.25">
      <c r="A3033" t="str">
        <f>+Tabla3[[#This Row],[Site]]&amp;Tabla3[[#This Row],[Split]]</f>
        <v>(AS) Mercedes Benz/Porsche Dallas I,II,III (NO TOURS)30</v>
      </c>
      <c r="B3033">
        <v>30</v>
      </c>
      <c r="C3033">
        <v>5</v>
      </c>
      <c r="D3033" t="s">
        <v>33</v>
      </c>
      <c r="E3033" t="s">
        <v>46</v>
      </c>
      <c r="F3033" t="s">
        <v>509</v>
      </c>
      <c r="G3033" t="s">
        <v>34</v>
      </c>
      <c r="H3033" s="52" t="str">
        <f>VLOOKUP(Tabla3[[#This Row],[Site]],'Important Info!'!$A$1:$J$135,10,FALSE)</f>
        <v>https://tools.sig.systems/site/details/168</v>
      </c>
      <c r="I3033" s="65" t="s">
        <v>125</v>
      </c>
      <c r="J3033" t="s">
        <v>41</v>
      </c>
      <c r="K3033" s="79" t="str">
        <f>VLOOKUP(Tabla3[[#This Row],[Site]],'Important Info!'!$A$1:$H$135,8,FALSE)</f>
        <v>-</v>
      </c>
      <c r="L3033" s="52" t="str">
        <f>VLOOKUP(Tabla3[[#This Row],[Site]],'Important Info!'!$A$1:$F$135,2,FALSE)</f>
        <v>3, 4, 17, 26, 41</v>
      </c>
      <c r="M3033" s="52" t="str">
        <f>VLOOKUP(Tabla3[[#This Row],[Site]],'Important Info!'!$A$1:$F$135,3,FALSE)</f>
        <v>-</v>
      </c>
      <c r="N3033" s="52" t="str">
        <f>VLOOKUP(Tabla3[[#This Row],[Site]],'Important Info!'!$A$1:$F$135,4,FALSE)</f>
        <v>153, 154, 155, 156, 157, 158</v>
      </c>
      <c r="O3033" s="52" t="str">
        <f>VLOOKUP(Tabla3[[#This Row],[Site]],'Important Info!'!$A$1:$F$135,5,FALSE)</f>
        <v>2, 6, 10, 20, 28, 30, 36</v>
      </c>
      <c r="P3033" s="52" t="str">
        <f>VLOOKUP(Tabla3[[#This Row],[Site]],'Important Info!'!$A$1:$F$135,6,FALSE)</f>
        <v>31, 41, 159</v>
      </c>
      <c r="Q3033" s="91">
        <f>VLOOKUP(Tabla3[[#This Row],[Site]],'Important Info!'!$A$1:$J$135,9,FALSE)</f>
        <v>168</v>
      </c>
    </row>
    <row r="3034" spans="1:17" x14ac:dyDescent="0.25">
      <c r="A3034" t="str">
        <f>+Tabla3[[#This Row],[Site]]&amp;Tabla3[[#This Row],[Split]]</f>
        <v>(ML) Joe Machens Toyota30</v>
      </c>
      <c r="B3034">
        <v>30</v>
      </c>
      <c r="C3034">
        <v>5</v>
      </c>
      <c r="D3034" t="s">
        <v>33</v>
      </c>
      <c r="E3034" t="s">
        <v>46</v>
      </c>
      <c r="F3034" t="s">
        <v>73</v>
      </c>
      <c r="G3034" t="s">
        <v>34</v>
      </c>
      <c r="H3034" s="52" t="str">
        <f>VLOOKUP(Tabla3[[#This Row],[Site]],'Important Info!'!$A$1:$J$135,10,FALSE)</f>
        <v>https://tools.sig.systems/site/details/275</v>
      </c>
      <c r="I3034" s="43" t="s">
        <v>146</v>
      </c>
      <c r="J3034" t="s">
        <v>41</v>
      </c>
      <c r="K3034" s="79" t="str">
        <f>VLOOKUP(Tabla3[[#This Row],[Site]],'Important Info!'!$A$1:$H$135,8,FALSE)</f>
        <v>-</v>
      </c>
      <c r="L3034" s="52" t="str">
        <f>VLOOKUP(Tabla3[[#This Row],[Site]],'Important Info!'!$A$1:$F$135,2,FALSE)</f>
        <v>-</v>
      </c>
      <c r="M3034" s="52" t="str">
        <f>VLOOKUP(Tabla3[[#This Row],[Site]],'Important Info!'!$A$1:$F$135,3,FALSE)</f>
        <v>1, 4, 6</v>
      </c>
      <c r="N3034" s="52" t="str">
        <f>VLOOKUP(Tabla3[[#This Row],[Site]],'Important Info!'!$A$1:$F$135,4,FALSE)</f>
        <v>-</v>
      </c>
      <c r="O3034" s="52" t="str">
        <f>VLOOKUP(Tabla3[[#This Row],[Site]],'Important Info!'!$A$1:$F$135,5,FALSE)</f>
        <v>4, 10</v>
      </c>
      <c r="P3034" s="52" t="str">
        <f>VLOOKUP(Tabla3[[#This Row],[Site]],'Important Info!'!$A$1:$F$135,6,FALSE)</f>
        <v>-</v>
      </c>
      <c r="Q3034" s="91">
        <f>VLOOKUP(Tabla3[[#This Row],[Site]],'Important Info!'!$A$1:$J$135,9,FALSE)</f>
        <v>275</v>
      </c>
    </row>
    <row r="3035" spans="1:17" x14ac:dyDescent="0.25">
      <c r="A3035" t="str">
        <f>+Tabla3[[#This Row],[Site]]&amp;Tabla3[[#This Row],[Split]]</f>
        <v>(AS) Park Place Sprinter Van Center (NO TOURS)30</v>
      </c>
      <c r="B3035">
        <v>30</v>
      </c>
      <c r="C3035">
        <v>6</v>
      </c>
      <c r="D3035" t="s">
        <v>33</v>
      </c>
      <c r="E3035" t="s">
        <v>46</v>
      </c>
      <c r="F3035" s="41" t="s">
        <v>520</v>
      </c>
      <c r="G3035" t="s">
        <v>34</v>
      </c>
      <c r="H3035" s="52" t="str">
        <f>VLOOKUP(Tabla3[[#This Row],[Site]],'Important Info!'!$A$1:$J$135,10,FALSE)</f>
        <v>https://tools.sig.systems/site/details/138</v>
      </c>
      <c r="I3035" s="65" t="s">
        <v>125</v>
      </c>
      <c r="J3035" t="s">
        <v>41</v>
      </c>
      <c r="K3035" s="79" t="str">
        <f>VLOOKUP(Tabla3[[#This Row],[Site]],'Important Info!'!$A$1:$H$135,8,FALSE)</f>
        <v>-</v>
      </c>
      <c r="L3035" s="52">
        <f>VLOOKUP(Tabla3[[#This Row],[Site]],'Important Info!'!$A$1:$F$135,2,FALSE)</f>
        <v>1</v>
      </c>
      <c r="M3035" s="52" t="str">
        <f>VLOOKUP(Tabla3[[#This Row],[Site]],'Important Info!'!$A$1:$F$135,3,FALSE)</f>
        <v>-</v>
      </c>
      <c r="N3035" s="52" t="str">
        <f>VLOOKUP(Tabla3[[#This Row],[Site]],'Important Info!'!$A$1:$F$135,4,FALSE)</f>
        <v>-</v>
      </c>
      <c r="O3035" s="52" t="str">
        <f>VLOOKUP(Tabla3[[#This Row],[Site]],'Important Info!'!$A$1:$F$135,5,FALSE)</f>
        <v>-</v>
      </c>
      <c r="P3035" s="52" t="str">
        <f>VLOOKUP(Tabla3[[#This Row],[Site]],'Important Info!'!$A$1:$F$135,6,FALSE)</f>
        <v>1, 3</v>
      </c>
      <c r="Q3035" s="91">
        <f>VLOOKUP(Tabla3[[#This Row],[Site]],'Important Info!'!$A$1:$J$135,9,FALSE)</f>
        <v>138</v>
      </c>
    </row>
    <row r="3036" spans="1:17" x14ac:dyDescent="0.25">
      <c r="A3036" t="str">
        <f>+Tabla3[[#This Row],[Site]]&amp;Tabla3[[#This Row],[Split]]</f>
        <v>(AS) Park Place Volvo Service Center (NO TOURS)30</v>
      </c>
      <c r="B3036">
        <v>30</v>
      </c>
      <c r="C3036">
        <v>6</v>
      </c>
      <c r="D3036" t="s">
        <v>33</v>
      </c>
      <c r="E3036" t="s">
        <v>46</v>
      </c>
      <c r="F3036" t="s">
        <v>522</v>
      </c>
      <c r="G3036" t="s">
        <v>34</v>
      </c>
      <c r="H3036" s="52" t="str">
        <f>VLOOKUP(Tabla3[[#This Row],[Site]],'Important Info!'!$A$1:$J$135,10,FALSE)</f>
        <v>https://tools.sig.systems/site/details/171</v>
      </c>
      <c r="I3036" s="65" t="s">
        <v>125</v>
      </c>
      <c r="J3036" t="s">
        <v>41</v>
      </c>
      <c r="K3036" s="79" t="str">
        <f>VLOOKUP(Tabla3[[#This Row],[Site]],'Important Info!'!$A$1:$H$135,8,FALSE)</f>
        <v>-</v>
      </c>
      <c r="L3036" s="52" t="str">
        <f>VLOOKUP(Tabla3[[#This Row],[Site]],'Important Info!'!$A$1:$F$135,2,FALSE)</f>
        <v>3, 6, 9, 27, 31, 35</v>
      </c>
      <c r="M3036" s="52" t="str">
        <f>VLOOKUP(Tabla3[[#This Row],[Site]],'Important Info!'!$A$1:$F$135,3,FALSE)</f>
        <v>-</v>
      </c>
      <c r="N3036" s="52" t="str">
        <f>VLOOKUP(Tabla3[[#This Row],[Site]],'Important Info!'!$A$1:$F$135,4,FALSE)</f>
        <v>-</v>
      </c>
      <c r="O3036" s="52" t="str">
        <f>VLOOKUP(Tabla3[[#This Row],[Site]],'Important Info!'!$A$1:$F$135,5,FALSE)</f>
        <v>27, 32</v>
      </c>
      <c r="P3036" s="52" t="str">
        <f>VLOOKUP(Tabla3[[#This Row],[Site]],'Important Info!'!$A$1:$F$135,6,FALSE)</f>
        <v>-</v>
      </c>
      <c r="Q3036" s="91">
        <f>VLOOKUP(Tabla3[[#This Row],[Site]],'Important Info!'!$A$1:$J$135,9,FALSE)</f>
        <v>171</v>
      </c>
    </row>
    <row r="3037" spans="1:17" x14ac:dyDescent="0.25">
      <c r="A3037" t="str">
        <f>+Tabla3[[#This Row],[Site]]&amp;Tabla3[[#This Row],[Split]]</f>
        <v>(HUD) Honda of Southpoint30</v>
      </c>
      <c r="B3037">
        <v>30</v>
      </c>
      <c r="C3037">
        <v>6</v>
      </c>
      <c r="D3037" t="s">
        <v>62</v>
      </c>
      <c r="E3037" t="s">
        <v>35</v>
      </c>
      <c r="F3037" t="s">
        <v>65</v>
      </c>
      <c r="G3037" t="s">
        <v>490</v>
      </c>
      <c r="H3037" s="52" t="str">
        <f>VLOOKUP(Tabla3[[#This Row],[Site]],'Important Info!'!$A$1:$J$135,10,FALSE)</f>
        <v>https://tools.sig.systems/site/details/195</v>
      </c>
      <c r="I3037" s="43"/>
      <c r="J3037" t="s">
        <v>484</v>
      </c>
      <c r="K3037" s="79" t="str">
        <f>VLOOKUP(Tabla3[[#This Row],[Site]],'Important Info!'!$A$1:$H$135,8,FALSE)</f>
        <v>-</v>
      </c>
      <c r="L3037" s="52" t="str">
        <f>VLOOKUP(Tabla3[[#This Row],[Site]],'Important Info!'!$A$1:$F$135,2,FALSE)</f>
        <v>2, 12, 18</v>
      </c>
      <c r="M3037" s="52">
        <f>VLOOKUP(Tabla3[[#This Row],[Site]],'Important Info!'!$A$1:$F$135,3,FALSE)</f>
        <v>13</v>
      </c>
      <c r="N3037" s="52" t="str">
        <f>VLOOKUP(Tabla3[[#This Row],[Site]],'Important Info!'!$A$1:$F$135,4,FALSE)</f>
        <v>-</v>
      </c>
      <c r="O3037" s="52" t="str">
        <f>VLOOKUP(Tabla3[[#This Row],[Site]],'Important Info!'!$A$1:$F$135,5,FALSE)</f>
        <v>2, 15</v>
      </c>
      <c r="P3037" s="52" t="str">
        <f>VLOOKUP(Tabla3[[#This Row],[Site]],'Important Info!'!$A$1:$F$135,6,FALSE)</f>
        <v>-</v>
      </c>
      <c r="Q3037" s="91">
        <f>VLOOKUP(Tabla3[[#This Row],[Site]],'Important Info!'!$A$1:$J$135,9,FALSE)</f>
        <v>195</v>
      </c>
    </row>
    <row r="3038" spans="1:17" x14ac:dyDescent="0.25">
      <c r="A3038" t="str">
        <f>+Tabla3[[#This Row],[Site]]&amp;Tabla3[[#This Row],[Split]]</f>
        <v>(ML) Joe Machens E Collision Center30</v>
      </c>
      <c r="B3038">
        <v>30</v>
      </c>
      <c r="C3038">
        <v>6</v>
      </c>
      <c r="D3038" t="s">
        <v>33</v>
      </c>
      <c r="E3038" t="s">
        <v>46</v>
      </c>
      <c r="F3038" t="s">
        <v>147</v>
      </c>
      <c r="G3038" t="s">
        <v>34</v>
      </c>
      <c r="H3038" s="52" t="str">
        <f>VLOOKUP(Tabla3[[#This Row],[Site]],'Important Info!'!$A$1:$J$135,10,FALSE)</f>
        <v>https://tools.sig.systems/site/details/277</v>
      </c>
      <c r="I3038" s="2" t="s">
        <v>146</v>
      </c>
      <c r="J3038" t="s">
        <v>41</v>
      </c>
      <c r="K3038" s="79" t="str">
        <f>VLOOKUP(Tabla3[[#This Row],[Site]],'Important Info!'!$A$1:$H$135,8,FALSE)</f>
        <v>-</v>
      </c>
      <c r="L3038" s="52">
        <f>VLOOKUP(Tabla3[[#This Row],[Site]],'Important Info!'!$A$1:$F$135,2,FALSE)</f>
        <v>1</v>
      </c>
      <c r="M3038" s="52" t="str">
        <f>VLOOKUP(Tabla3[[#This Row],[Site]],'Important Info!'!$A$1:$F$135,3,FALSE)</f>
        <v>-</v>
      </c>
      <c r="N3038" s="52" t="str">
        <f>VLOOKUP(Tabla3[[#This Row],[Site]],'Important Info!'!$A$1:$F$135,4,FALSE)</f>
        <v>-</v>
      </c>
      <c r="O3038" s="52">
        <f>VLOOKUP(Tabla3[[#This Row],[Site]],'Important Info!'!$A$1:$F$135,5,FALSE)</f>
        <v>5</v>
      </c>
      <c r="P3038" s="52" t="str">
        <f>VLOOKUP(Tabla3[[#This Row],[Site]],'Important Info!'!$A$1:$F$135,6,FALSE)</f>
        <v>1, 2, 3, 4</v>
      </c>
      <c r="Q3038" s="91">
        <f>VLOOKUP(Tabla3[[#This Row],[Site]],'Important Info!'!$A$1:$J$135,9,FALSE)</f>
        <v>277</v>
      </c>
    </row>
    <row r="3039" spans="1:17" x14ac:dyDescent="0.25">
      <c r="A3039" t="str">
        <f>+Tabla3[[#This Row],[Site]]&amp;Tabla3[[#This Row],[Split]]</f>
        <v>(SCH) Prep Center Delray30</v>
      </c>
      <c r="B3039">
        <v>30</v>
      </c>
      <c r="C3039">
        <v>6</v>
      </c>
      <c r="D3039" t="s">
        <v>62</v>
      </c>
      <c r="E3039" t="s">
        <v>35</v>
      </c>
      <c r="F3039" t="s">
        <v>191</v>
      </c>
      <c r="G3039" t="s">
        <v>490</v>
      </c>
      <c r="H3039" s="52" t="str">
        <f>VLOOKUP(Tabla3[[#This Row],[Site]],'Important Info!'!$A$1:$J$135,10,FALSE)</f>
        <v>https://tools.sig.systems/site/details/321</v>
      </c>
      <c r="J3039" t="s">
        <v>41</v>
      </c>
      <c r="K3039" s="79" t="str">
        <f>VLOOKUP(Tabla3[[#This Row],[Site]],'Important Info!'!$A$1:$H$135,8,FALSE)</f>
        <v>-</v>
      </c>
      <c r="L3039" s="52" t="str">
        <f>VLOOKUP(Tabla3[[#This Row],[Site]],'Important Info!'!$A$1:$F$135,2,FALSE)</f>
        <v>2,3</v>
      </c>
      <c r="M3039" s="52" t="str">
        <f>VLOOKUP(Tabla3[[#This Row],[Site]],'Important Info!'!$A$1:$F$135,3,FALSE)</f>
        <v>-</v>
      </c>
      <c r="N3039" s="52" t="str">
        <f>VLOOKUP(Tabla3[[#This Row],[Site]],'Important Info!'!$A$1:$F$135,4,FALSE)</f>
        <v>-</v>
      </c>
      <c r="O3039" s="52" t="str">
        <f>VLOOKUP(Tabla3[[#This Row],[Site]],'Important Info!'!$A$1:$F$135,5,FALSE)</f>
        <v>-</v>
      </c>
      <c r="P3039" s="52" t="str">
        <f>VLOOKUP(Tabla3[[#This Row],[Site]],'Important Info!'!$A$1:$F$135,6,FALSE)</f>
        <v>2,4,10</v>
      </c>
      <c r="Q3039" s="91">
        <f>VLOOKUP(Tabla3[[#This Row],[Site]],'Important Info!'!$A$1:$J$135,9,FALSE)</f>
        <v>321</v>
      </c>
    </row>
    <row r="3040" spans="1:17" x14ac:dyDescent="0.25">
      <c r="A3040" t="str">
        <f>+Tabla3[[#This Row],[Site]]&amp;Tabla3[[#This Row],[Split]]</f>
        <v>(AS) Atwell Prep Center-Dallas (NO TOURS)30</v>
      </c>
      <c r="B3040">
        <v>30</v>
      </c>
      <c r="C3040">
        <v>7</v>
      </c>
      <c r="D3040" t="s">
        <v>33</v>
      </c>
      <c r="E3040" t="s">
        <v>46</v>
      </c>
      <c r="F3040" t="s">
        <v>498</v>
      </c>
      <c r="G3040" t="s">
        <v>34</v>
      </c>
      <c r="H3040" s="52" t="str">
        <f>VLOOKUP(Tabla3[[#This Row],[Site]],'Important Info!'!$A$1:$J$135,10,FALSE)</f>
        <v>https://tools.sig.systems/site/details/165</v>
      </c>
      <c r="I3040" s="65" t="s">
        <v>125</v>
      </c>
      <c r="J3040" t="s">
        <v>41</v>
      </c>
      <c r="K3040" s="79" t="str">
        <f>VLOOKUP(Tabla3[[#This Row],[Site]],'Important Info!'!$A$1:$H$135,8,FALSE)</f>
        <v>-</v>
      </c>
      <c r="L3040" s="52" t="str">
        <f>VLOOKUP(Tabla3[[#This Row],[Site]],'Important Info!'!$A$1:$F$135,2,FALSE)</f>
        <v>4, 6, 7</v>
      </c>
      <c r="M3040" s="52" t="str">
        <f>VLOOKUP(Tabla3[[#This Row],[Site]],'Important Info!'!$A$1:$F$135,3,FALSE)</f>
        <v>-</v>
      </c>
      <c r="N3040" s="52" t="str">
        <f>VLOOKUP(Tabla3[[#This Row],[Site]],'Important Info!'!$A$1:$F$135,4,FALSE)</f>
        <v>-</v>
      </c>
      <c r="O3040" s="52" t="str">
        <f>VLOOKUP(Tabla3[[#This Row],[Site]],'Important Info!'!$A$1:$F$135,5,FALSE)</f>
        <v>-</v>
      </c>
      <c r="P3040" s="52" t="str">
        <f>VLOOKUP(Tabla3[[#This Row],[Site]],'Important Info!'!$A$1:$F$135,6,FALSE)</f>
        <v>1, 2</v>
      </c>
      <c r="Q3040" s="91">
        <f>VLOOKUP(Tabla3[[#This Row],[Site]],'Important Info!'!$A$1:$J$135,9,FALSE)</f>
        <v>165</v>
      </c>
    </row>
    <row r="3041" spans="1:17" x14ac:dyDescent="0.25">
      <c r="A3041" t="str">
        <f>+Tabla3[[#This Row],[Site]]&amp;Tabla3[[#This Row],[Split]]</f>
        <v>(AS) Park Place Mercedes Benz Ft. Worth (NO TOURS)30</v>
      </c>
      <c r="B3041">
        <v>30</v>
      </c>
      <c r="C3041">
        <v>7</v>
      </c>
      <c r="D3041" t="s">
        <v>33</v>
      </c>
      <c r="E3041" t="s">
        <v>46</v>
      </c>
      <c r="F3041" t="s">
        <v>519</v>
      </c>
      <c r="G3041" t="s">
        <v>34</v>
      </c>
      <c r="H3041" s="52" t="str">
        <f>VLOOKUP(Tabla3[[#This Row],[Site]],'Important Info!'!$A$1:$J$135,10,FALSE)</f>
        <v>https://tools.sig.systems/site/details/137</v>
      </c>
      <c r="I3041" s="43" t="s">
        <v>128</v>
      </c>
      <c r="J3041" t="s">
        <v>41</v>
      </c>
      <c r="K3041" s="79" t="s">
        <v>37</v>
      </c>
      <c r="L3041" s="52" t="str">
        <f>VLOOKUP(Tabla3[[#This Row],[Site]],'Important Info!'!$A$1:$F$135,2,FALSE)</f>
        <v>4, 18</v>
      </c>
      <c r="M3041" s="52" t="str">
        <f>VLOOKUP(Tabla3[[#This Row],[Site]],'Important Info!'!$A$1:$F$135,3,FALSE)</f>
        <v>-</v>
      </c>
      <c r="N3041" s="52" t="str">
        <f>VLOOKUP(Tabla3[[#This Row],[Site]],'Important Info!'!$A$1:$F$135,4,FALSE)</f>
        <v>54, 55</v>
      </c>
      <c r="O3041" s="52" t="str">
        <f>VLOOKUP(Tabla3[[#This Row],[Site]],'Important Info!'!$A$1:$F$135,5,FALSE)</f>
        <v>2, 18</v>
      </c>
      <c r="P3041" s="52" t="str">
        <f>VLOOKUP(Tabla3[[#This Row],[Site]],'Important Info!'!$A$1:$F$135,6,FALSE)</f>
        <v>5, 18</v>
      </c>
      <c r="Q3041" s="91">
        <f>VLOOKUP(Tabla3[[#This Row],[Site]],'Important Info!'!$A$1:$J$135,9,FALSE)</f>
        <v>137</v>
      </c>
    </row>
    <row r="3042" spans="1:17" x14ac:dyDescent="0.25">
      <c r="A3042" t="str">
        <f>+Tabla3[[#This Row],[Site]]&amp;Tabla3[[#This Row],[Split]]</f>
        <v>(HUD) Nissan Greensboro30</v>
      </c>
      <c r="B3042">
        <v>30</v>
      </c>
      <c r="C3042">
        <v>7</v>
      </c>
      <c r="D3042" t="s">
        <v>62</v>
      </c>
      <c r="E3042" t="s">
        <v>35</v>
      </c>
      <c r="F3042" t="s">
        <v>66</v>
      </c>
      <c r="G3042" t="s">
        <v>490</v>
      </c>
      <c r="H3042" s="52" t="str">
        <f>VLOOKUP(Tabla3[[#This Row],[Site]],'Important Info!'!$A$1:$J$135,10,FALSE)</f>
        <v>https://tools.sig.systems/site/details/236</v>
      </c>
      <c r="I3042" s="43" t="s">
        <v>184</v>
      </c>
      <c r="J3042" t="s">
        <v>41</v>
      </c>
      <c r="K3042" s="79" t="str">
        <f>VLOOKUP(Tabla3[[#This Row],[Site]],'Important Info!'!$A$1:$H$135,8,FALSE)</f>
        <v>-</v>
      </c>
      <c r="L3042" s="52" t="str">
        <f>VLOOKUP(Tabla3[[#This Row],[Site]],'Important Info!'!$A$1:$F$135,2,FALSE)</f>
        <v>1, 5, 12</v>
      </c>
      <c r="M3042" s="52" t="str">
        <f>VLOOKUP(Tabla3[[#This Row],[Site]],'Important Info!'!$A$1:$F$135,3,FALSE)</f>
        <v>-</v>
      </c>
      <c r="N3042" s="52" t="str">
        <f>VLOOKUP(Tabla3[[#This Row],[Site]],'Important Info!'!$A$1:$F$135,4,FALSE)</f>
        <v>-</v>
      </c>
      <c r="O3042" s="52" t="str">
        <f>VLOOKUP(Tabla3[[#This Row],[Site]],'Important Info!'!$A$1:$F$135,5,FALSE)</f>
        <v>-</v>
      </c>
      <c r="P3042" s="52">
        <f>VLOOKUP(Tabla3[[#This Row],[Site]],'Important Info!'!$A$1:$F$135,6,FALSE)</f>
        <v>4</v>
      </c>
      <c r="Q3042" s="91">
        <f>VLOOKUP(Tabla3[[#This Row],[Site]],'Important Info!'!$A$1:$J$135,9,FALSE)</f>
        <v>236</v>
      </c>
    </row>
    <row r="3043" spans="1:17" x14ac:dyDescent="0.25">
      <c r="A3043" t="str">
        <f>+Tabla3[[#This Row],[Site]]&amp;Tabla3[[#This Row],[Split]]</f>
        <v>(ML) Joe Machens Temporary 2.030</v>
      </c>
      <c r="B3043">
        <v>30</v>
      </c>
      <c r="C3043">
        <v>7</v>
      </c>
      <c r="D3043" t="s">
        <v>33</v>
      </c>
      <c r="E3043" t="s">
        <v>46</v>
      </c>
      <c r="F3043" t="s">
        <v>105</v>
      </c>
      <c r="G3043" t="s">
        <v>34</v>
      </c>
      <c r="H3043" s="52" t="str">
        <f>VLOOKUP(Tabla3[[#This Row],[Site]],'Important Info!'!$A$1:$J$135,10,FALSE)</f>
        <v>https://tools.sig.systems/site/details/278</v>
      </c>
      <c r="I3043" s="43" t="s">
        <v>146</v>
      </c>
      <c r="J3043" t="s">
        <v>41</v>
      </c>
      <c r="K3043" s="79" t="str">
        <f>VLOOKUP(Tabla3[[#This Row],[Site]],'Important Info!'!$A$1:$H$135,8,FALSE)</f>
        <v>-</v>
      </c>
      <c r="L3043" s="52" t="str">
        <f>VLOOKUP(Tabla3[[#This Row],[Site]],'Important Info!'!$A$1:$F$135,2,FALSE)</f>
        <v>-</v>
      </c>
      <c r="M3043" s="52" t="str">
        <f>VLOOKUP(Tabla3[[#This Row],[Site]],'Important Info!'!$A$1:$F$135,3,FALSE)</f>
        <v>1, 11, 14, 15, 16</v>
      </c>
      <c r="N3043" s="52" t="str">
        <f>VLOOKUP(Tabla3[[#This Row],[Site]],'Important Info!'!$A$1:$F$135,4,FALSE)</f>
        <v>-</v>
      </c>
      <c r="O3043" s="52">
        <f>VLOOKUP(Tabla3[[#This Row],[Site]],'Important Info!'!$A$1:$F$135,5,FALSE)</f>
        <v>13</v>
      </c>
      <c r="P3043" s="52" t="str">
        <f>VLOOKUP(Tabla3[[#This Row],[Site]],'Important Info!'!$A$1:$F$135,6,FALSE)</f>
        <v>-</v>
      </c>
      <c r="Q3043" s="91">
        <f>VLOOKUP(Tabla3[[#This Row],[Site]],'Important Info!'!$A$1:$J$135,9,FALSE)</f>
        <v>278</v>
      </c>
    </row>
    <row r="3044" spans="1:17" x14ac:dyDescent="0.25">
      <c r="A3044" t="str">
        <f>+Tabla3[[#This Row],[Site]]&amp;Tabla3[[#This Row],[Split]]</f>
        <v>(SCH) Auto Body Shop Lake Park30</v>
      </c>
      <c r="B3044">
        <v>30</v>
      </c>
      <c r="C3044">
        <v>7</v>
      </c>
      <c r="D3044" t="s">
        <v>62</v>
      </c>
      <c r="E3044" t="s">
        <v>35</v>
      </c>
      <c r="F3044" t="s">
        <v>189</v>
      </c>
      <c r="G3044" t="s">
        <v>490</v>
      </c>
      <c r="H3044" s="52" t="str">
        <f>VLOOKUP(Tabla3[[#This Row],[Site]],'Important Info!'!$A$1:$J$135,10,FALSE)</f>
        <v>https://tools.sig.systems/site/details/158</v>
      </c>
      <c r="I3044" s="2"/>
      <c r="J3044" t="s">
        <v>41</v>
      </c>
      <c r="K3044" s="79" t="str">
        <f>VLOOKUP(Tabla3[[#This Row],[Site]],'Important Info!'!$A$1:$H$135,8,FALSE)</f>
        <v>-</v>
      </c>
      <c r="L3044" s="52" t="str">
        <f>VLOOKUP(Tabla3[[#This Row],[Site]],'Important Info!'!$A$1:$F$135,2,FALSE)</f>
        <v>3, 10</v>
      </c>
      <c r="M3044" s="52" t="str">
        <f>VLOOKUP(Tabla3[[#This Row],[Site]],'Important Info!'!$A$1:$F$135,3,FALSE)</f>
        <v>-</v>
      </c>
      <c r="N3044" s="52" t="str">
        <f>VLOOKUP(Tabla3[[#This Row],[Site]],'Important Info!'!$A$1:$F$135,4,FALSE)</f>
        <v>-</v>
      </c>
      <c r="O3044" s="52" t="str">
        <f>VLOOKUP(Tabla3[[#This Row],[Site]],'Important Info!'!$A$1:$F$135,5,FALSE)</f>
        <v>-</v>
      </c>
      <c r="P3044" s="52" t="str">
        <f>VLOOKUP(Tabla3[[#This Row],[Site]],'Important Info!'!$A$1:$F$135,6,FALSE)</f>
        <v>-</v>
      </c>
      <c r="Q3044" s="91">
        <f>VLOOKUP(Tabla3[[#This Row],[Site]],'Important Info!'!$A$1:$J$135,9,FALSE)</f>
        <v>158</v>
      </c>
    </row>
    <row r="3045" spans="1:17" x14ac:dyDescent="0.25">
      <c r="A3045" t="str">
        <f>+Tabla3[[#This Row],[Site]]&amp;Tabla3[[#This Row],[Split]]</f>
        <v>(AS) Courtesy Honda Palm Harbor (NO TOURS)30</v>
      </c>
      <c r="B3045">
        <v>30</v>
      </c>
      <c r="C3045">
        <v>8</v>
      </c>
      <c r="D3045" t="s">
        <v>62</v>
      </c>
      <c r="E3045" t="s">
        <v>35</v>
      </c>
      <c r="F3045" t="s">
        <v>108</v>
      </c>
      <c r="G3045" t="s">
        <v>490</v>
      </c>
      <c r="H3045" s="52" t="str">
        <f>VLOOKUP(Tabla3[[#This Row],[Site]],'Important Info!'!$A$1:$J$135,10,FALSE)</f>
        <v>https://tools.sig.systems/site/details/176</v>
      </c>
      <c r="I3045" s="2"/>
      <c r="J3045" t="s">
        <v>36</v>
      </c>
      <c r="K3045" s="79" t="str">
        <f>VLOOKUP(Tabla3[[#This Row],[Site]],'Important Info!'!$A$1:$H$135,8,FALSE)</f>
        <v>-</v>
      </c>
      <c r="L3045" s="52">
        <f>VLOOKUP(Tabla3[[#This Row],[Site]],'Important Info!'!$A$1:$F$135,2,FALSE)</f>
        <v>2</v>
      </c>
      <c r="M3045" s="52" t="str">
        <f>VLOOKUP(Tabla3[[#This Row],[Site]],'Important Info!'!$A$1:$F$135,3,FALSE)</f>
        <v>-</v>
      </c>
      <c r="N3045" s="52" t="str">
        <f>VLOOKUP(Tabla3[[#This Row],[Site]],'Important Info!'!$A$1:$F$135,4,FALSE)</f>
        <v>-</v>
      </c>
      <c r="O3045" s="52" t="str">
        <f>VLOOKUP(Tabla3[[#This Row],[Site]],'Important Info!'!$A$1:$F$135,5,FALSE)</f>
        <v>4, 8, 21</v>
      </c>
      <c r="P3045" s="52">
        <f>VLOOKUP(Tabla3[[#This Row],[Site]],'Important Info!'!$A$1:$F$135,6,FALSE)</f>
        <v>10</v>
      </c>
      <c r="Q3045" s="91">
        <f>VLOOKUP(Tabla3[[#This Row],[Site]],'Important Info!'!$A$1:$J$135,9,FALSE)</f>
        <v>176</v>
      </c>
    </row>
    <row r="3046" spans="1:17" x14ac:dyDescent="0.25">
      <c r="A3046" t="str">
        <f>+Tabla3[[#This Row],[Site]]&amp;Tabla3[[#This Row],[Split]]</f>
        <v>(AS) Nalley Lexus &amp; Remote Lot Roswell (NO TOURS)30</v>
      </c>
      <c r="B3046">
        <v>30</v>
      </c>
      <c r="C3046">
        <v>8</v>
      </c>
      <c r="D3046" t="s">
        <v>60</v>
      </c>
      <c r="E3046" t="s">
        <v>35</v>
      </c>
      <c r="F3046" t="s">
        <v>511</v>
      </c>
      <c r="G3046" t="s">
        <v>41</v>
      </c>
      <c r="H3046" s="52" t="str">
        <f>VLOOKUP(Tabla3[[#This Row],[Site]],'Important Info!'!$A$1:$J$135,10,FALSE)</f>
        <v>https://tools.sig.systems/site/details/131</v>
      </c>
      <c r="I3046" s="2" t="s">
        <v>166</v>
      </c>
      <c r="J3046" t="s">
        <v>41</v>
      </c>
      <c r="K3046" s="79" t="str">
        <f>VLOOKUP(Tabla3[[#This Row],[Site]],'Important Info!'!$A$1:$H$135,8,FALSE)</f>
        <v>Dealership 11PM to 5AM (Mon to Fri). Sunday Drop Time 1PM</v>
      </c>
      <c r="L3046" s="52" t="str">
        <f>VLOOKUP(Tabla3[[#This Row],[Site]],'Important Info!'!$A$1:$F$135,2,FALSE)</f>
        <v>6, 13</v>
      </c>
      <c r="M3046" s="52">
        <f>VLOOKUP(Tabla3[[#This Row],[Site]],'Important Info!'!$A$1:$F$135,3,FALSE)</f>
        <v>4</v>
      </c>
      <c r="N3046" s="52">
        <f>VLOOKUP(Tabla3[[#This Row],[Site]],'Important Info!'!$A$1:$F$135,4,FALSE)</f>
        <v>1</v>
      </c>
      <c r="O3046" s="52" t="str">
        <f>VLOOKUP(Tabla3[[#This Row],[Site]],'Important Info!'!$A$1:$F$135,5,FALSE)</f>
        <v>1, 8, 19</v>
      </c>
      <c r="P3046" s="52" t="str">
        <f>VLOOKUP(Tabla3[[#This Row],[Site]],'Important Info!'!$A$1:$F$135,6,FALSE)</f>
        <v>4, 20</v>
      </c>
      <c r="Q3046" s="91">
        <f>VLOOKUP(Tabla3[[#This Row],[Site]],'Important Info!'!$A$1:$J$135,9,FALSE)</f>
        <v>131</v>
      </c>
    </row>
    <row r="3047" spans="1:17" x14ac:dyDescent="0.25">
      <c r="A3047" t="str">
        <f>+Tabla3[[#This Row],[Site]]&amp;Tabla3[[#This Row],[Split]]</f>
        <v>(AS) Park Place Bodywerks Dallas (NO TOURS)30</v>
      </c>
      <c r="B3047">
        <v>30</v>
      </c>
      <c r="C3047">
        <v>8</v>
      </c>
      <c r="D3047" t="s">
        <v>33</v>
      </c>
      <c r="E3047" t="s">
        <v>46</v>
      </c>
      <c r="F3047" t="s">
        <v>514</v>
      </c>
      <c r="G3047" t="s">
        <v>34</v>
      </c>
      <c r="H3047" s="52" t="str">
        <f>VLOOKUP(Tabla3[[#This Row],[Site]],'Important Info!'!$A$1:$J$135,10,FALSE)</f>
        <v>https://tools.sig.systems/site/details/166</v>
      </c>
      <c r="I3047" s="65" t="s">
        <v>125</v>
      </c>
      <c r="J3047" t="s">
        <v>41</v>
      </c>
      <c r="K3047" s="79" t="str">
        <f>VLOOKUP(Tabla3[[#This Row],[Site]],'Important Info!'!$A$1:$H$135,8,FALSE)</f>
        <v>-</v>
      </c>
      <c r="L3047" s="52">
        <f>VLOOKUP(Tabla3[[#This Row],[Site]],'Important Info!'!$A$1:$F$135,2,FALSE)</f>
        <v>3</v>
      </c>
      <c r="M3047" s="52">
        <f>VLOOKUP(Tabla3[[#This Row],[Site]],'Important Info!'!$A$1:$F$135,3,FALSE)</f>
        <v>1</v>
      </c>
      <c r="N3047" s="52" t="str">
        <f>VLOOKUP(Tabla3[[#This Row],[Site]],'Important Info!'!$A$1:$F$135,4,FALSE)</f>
        <v>-</v>
      </c>
      <c r="O3047" s="52" t="str">
        <f>VLOOKUP(Tabla3[[#This Row],[Site]],'Important Info!'!$A$1:$F$135,5,FALSE)</f>
        <v>-</v>
      </c>
      <c r="P3047" s="52" t="str">
        <f>VLOOKUP(Tabla3[[#This Row],[Site]],'Important Info!'!$A$1:$F$135,6,FALSE)</f>
        <v>1, 2, 8</v>
      </c>
      <c r="Q3047" s="91">
        <f>VLOOKUP(Tabla3[[#This Row],[Site]],'Important Info!'!$A$1:$J$135,9,FALSE)</f>
        <v>166</v>
      </c>
    </row>
    <row r="3048" spans="1:17" x14ac:dyDescent="0.25">
      <c r="A3048" t="str">
        <f>+Tabla3[[#This Row],[Site]]&amp;Tabla3[[#This Row],[Split]]</f>
        <v>(ML) Joe Machens Nissan30</v>
      </c>
      <c r="B3048">
        <v>30</v>
      </c>
      <c r="C3048">
        <v>8</v>
      </c>
      <c r="D3048" t="s">
        <v>33</v>
      </c>
      <c r="E3048" t="s">
        <v>46</v>
      </c>
      <c r="F3048" t="s">
        <v>104</v>
      </c>
      <c r="G3048" t="s">
        <v>34</v>
      </c>
      <c r="H3048" s="52" t="str">
        <f>VLOOKUP(Tabla3[[#This Row],[Site]],'Important Info!'!$A$1:$J$135,10,FALSE)</f>
        <v>https://tools.sig.systems/site/details/279</v>
      </c>
      <c r="I3048" s="43" t="s">
        <v>146</v>
      </c>
      <c r="J3048" t="s">
        <v>41</v>
      </c>
      <c r="K3048" s="79" t="str">
        <f>VLOOKUP(Tabla3[[#This Row],[Site]],'Important Info!'!$A$1:$H$135,8,FALSE)</f>
        <v>-</v>
      </c>
      <c r="L3048" s="52" t="str">
        <f>VLOOKUP(Tabla3[[#This Row],[Site]],'Important Info!'!$A$1:$F$135,2,FALSE)</f>
        <v>-</v>
      </c>
      <c r="M3048" s="52" t="str">
        <f>VLOOKUP(Tabla3[[#This Row],[Site]],'Important Info!'!$A$1:$F$135,3,FALSE)</f>
        <v>1, 3, 16</v>
      </c>
      <c r="N3048" s="52" t="str">
        <f>VLOOKUP(Tabla3[[#This Row],[Site]],'Important Info!'!$A$1:$F$135,4,FALSE)</f>
        <v>-</v>
      </c>
      <c r="O3048" s="52" t="str">
        <f>VLOOKUP(Tabla3[[#This Row],[Site]],'Important Info!'!$A$1:$F$135,5,FALSE)</f>
        <v>-</v>
      </c>
      <c r="P3048" s="52" t="str">
        <f>VLOOKUP(Tabla3[[#This Row],[Site]],'Important Info!'!$A$1:$F$135,6,FALSE)</f>
        <v>-</v>
      </c>
      <c r="Q3048" s="91">
        <f>VLOOKUP(Tabla3[[#This Row],[Site]],'Important Info!'!$A$1:$J$135,9,FALSE)</f>
        <v>279</v>
      </c>
    </row>
    <row r="3049" spans="1:17" x14ac:dyDescent="0.25">
      <c r="A3049" t="str">
        <f>+Tabla3[[#This Row],[Site]]&amp;Tabla3[[#This Row],[Split]]</f>
        <v>(AS) Park Place MB Recon Center Dallas (NO TOURS)30</v>
      </c>
      <c r="B3049">
        <v>30</v>
      </c>
      <c r="C3049">
        <v>9</v>
      </c>
      <c r="D3049" t="s">
        <v>33</v>
      </c>
      <c r="E3049" t="s">
        <v>46</v>
      </c>
      <c r="F3049" t="s">
        <v>517</v>
      </c>
      <c r="G3049" t="s">
        <v>34</v>
      </c>
      <c r="H3049" s="52" t="str">
        <f>VLOOKUP(Tabla3[[#This Row],[Site]],'Important Info!'!$A$1:$J$135,10,FALSE)</f>
        <v>https://tools.sig.systems/site/details/170</v>
      </c>
      <c r="I3049" s="65" t="s">
        <v>125</v>
      </c>
      <c r="J3049" t="s">
        <v>41</v>
      </c>
      <c r="K3049" s="79" t="str">
        <f>VLOOKUP(Tabla3[[#This Row],[Site]],'Important Info!'!$A$1:$H$135,8,FALSE)</f>
        <v>-</v>
      </c>
      <c r="L3049" s="52" t="str">
        <f>VLOOKUP(Tabla3[[#This Row],[Site]],'Important Info!'!$A$1:$F$135,2,FALSE)</f>
        <v>3, 39</v>
      </c>
      <c r="M3049" s="52" t="str">
        <f>VLOOKUP(Tabla3[[#This Row],[Site]],'Important Info!'!$A$1:$F$135,3,FALSE)</f>
        <v>-</v>
      </c>
      <c r="N3049" s="52" t="str">
        <f>VLOOKUP(Tabla3[[#This Row],[Site]],'Important Info!'!$A$1:$F$135,4,FALSE)</f>
        <v>-</v>
      </c>
      <c r="O3049" s="52" t="str">
        <f>VLOOKUP(Tabla3[[#This Row],[Site]],'Important Info!'!$A$1:$F$135,5,FALSE)</f>
        <v>4, 11</v>
      </c>
      <c r="P3049" s="52">
        <f>VLOOKUP(Tabla3[[#This Row],[Site]],'Important Info!'!$A$1:$F$135,6,FALSE)</f>
        <v>1</v>
      </c>
      <c r="Q3049" s="91">
        <f>VLOOKUP(Tabla3[[#This Row],[Site]],'Important Info!'!$A$1:$J$135,9,FALSE)</f>
        <v>170</v>
      </c>
    </row>
    <row r="3050" spans="1:17" x14ac:dyDescent="0.25">
      <c r="A3050" t="str">
        <f>+Tabla3[[#This Row],[Site]]&amp;Tabla3[[#This Row],[Split]]</f>
        <v>(ML) Joe Machens Kia of Columbia30</v>
      </c>
      <c r="B3050">
        <v>30</v>
      </c>
      <c r="C3050">
        <v>9</v>
      </c>
      <c r="D3050" t="s">
        <v>33</v>
      </c>
      <c r="E3050" t="s">
        <v>46</v>
      </c>
      <c r="F3050" t="s">
        <v>149</v>
      </c>
      <c r="G3050" t="s">
        <v>34</v>
      </c>
      <c r="H3050" s="52" t="str">
        <f>VLOOKUP(Tabla3[[#This Row],[Site]],'Important Info!'!$A$1:$J$135,10,FALSE)</f>
        <v>https://tools.sig.systems/site/details/270</v>
      </c>
      <c r="I3050" s="43" t="s">
        <v>146</v>
      </c>
      <c r="J3050" t="s">
        <v>41</v>
      </c>
      <c r="K3050" s="79" t="str">
        <f>VLOOKUP(Tabla3[[#This Row],[Site]],'Important Info!'!$A$1:$H$135,8,FALSE)</f>
        <v>-</v>
      </c>
      <c r="L3050" s="52" t="str">
        <f>VLOOKUP(Tabla3[[#This Row],[Site]],'Important Info!'!$A$1:$F$135,2,FALSE)</f>
        <v>-</v>
      </c>
      <c r="M3050" s="52" t="str">
        <f>VLOOKUP(Tabla3[[#This Row],[Site]],'Important Info!'!$A$1:$F$135,3,FALSE)</f>
        <v>1, 2, 5, 6, 9, 13, 15</v>
      </c>
      <c r="N3050" s="52" t="str">
        <f>VLOOKUP(Tabla3[[#This Row],[Site]],'Important Info!'!$A$1:$F$135,4,FALSE)</f>
        <v>-</v>
      </c>
      <c r="O3050" s="52" t="str">
        <f>VLOOKUP(Tabla3[[#This Row],[Site]],'Important Info!'!$A$1:$F$135,5,FALSE)</f>
        <v>-</v>
      </c>
      <c r="P3050" s="52" t="str">
        <f>VLOOKUP(Tabla3[[#This Row],[Site]],'Important Info!'!$A$1:$F$135,6,FALSE)</f>
        <v>10, 11, 13</v>
      </c>
      <c r="Q3050" s="91">
        <f>VLOOKUP(Tabla3[[#This Row],[Site]],'Important Info!'!$A$1:$J$135,9,FALSE)</f>
        <v>270</v>
      </c>
    </row>
    <row r="3051" spans="1:17" x14ac:dyDescent="0.25">
      <c r="A3051" t="str">
        <f>+Tabla3[[#This Row],[Site]]&amp;Tabla3[[#This Row],[Split]]</f>
        <v>(RML) Burleson Nissan30</v>
      </c>
      <c r="B3051">
        <v>30</v>
      </c>
      <c r="C3051">
        <v>9</v>
      </c>
      <c r="D3051" t="s">
        <v>33</v>
      </c>
      <c r="E3051" t="s">
        <v>46</v>
      </c>
      <c r="F3051" t="s">
        <v>107</v>
      </c>
      <c r="G3051" t="s">
        <v>34</v>
      </c>
      <c r="H3051" s="52" t="str">
        <f>VLOOKUP(Tabla3[[#This Row],[Site]],'Important Info!'!$A$1:$J$135,10,FALSE)</f>
        <v>https://tools.sig.systems/site/details/202</v>
      </c>
      <c r="J3051" t="s">
        <v>41</v>
      </c>
      <c r="K3051" s="79" t="str">
        <f>VLOOKUP(Tabla3[[#This Row],[Site]],'Important Info!'!$A$1:$H$135,8,FALSE)</f>
        <v>-</v>
      </c>
      <c r="L3051" s="52" t="str">
        <f>VLOOKUP(Tabla3[[#This Row],[Site]],'Important Info!'!$A$1:$F$135,2,FALSE)</f>
        <v>3, 21</v>
      </c>
      <c r="M3051" s="52" t="str">
        <f>VLOOKUP(Tabla3[[#This Row],[Site]],'Important Info!'!$A$1:$F$135,3,FALSE)</f>
        <v>-</v>
      </c>
      <c r="N3051" s="52" t="str">
        <f>VLOOKUP(Tabla3[[#This Row],[Site]],'Important Info!'!$A$1:$F$135,4,FALSE)</f>
        <v>-</v>
      </c>
      <c r="O3051" s="52" t="str">
        <f>VLOOKUP(Tabla3[[#This Row],[Site]],'Important Info!'!$A$1:$F$135,5,FALSE)</f>
        <v>2, 6, 15</v>
      </c>
      <c r="P3051" s="52" t="str">
        <f>VLOOKUP(Tabla3[[#This Row],[Site]],'Important Info!'!$A$1:$F$135,6,FALSE)</f>
        <v>-</v>
      </c>
      <c r="Q3051" s="91">
        <f>VLOOKUP(Tabla3[[#This Row],[Site]],'Important Info!'!$A$1:$J$135,9,FALSE)</f>
        <v>202</v>
      </c>
    </row>
    <row r="3052" spans="1:17" x14ac:dyDescent="0.25">
      <c r="A3052" t="str">
        <f>+Tabla3[[#This Row],[Site]]&amp;Tabla3[[#This Row],[Split]]</f>
        <v>(SCH) Delray I &amp; II30</v>
      </c>
      <c r="B3052">
        <v>30</v>
      </c>
      <c r="C3052">
        <v>9</v>
      </c>
      <c r="D3052" t="s">
        <v>62</v>
      </c>
      <c r="E3052" t="s">
        <v>35</v>
      </c>
      <c r="F3052" t="s">
        <v>67</v>
      </c>
      <c r="G3052" t="s">
        <v>490</v>
      </c>
      <c r="H3052" s="52" t="str">
        <f>VLOOKUP(Tabla3[[#This Row],[Site]],'Important Info!'!$A$1:$J$135,10,FALSE)</f>
        <v>https://tools.sig.systems/site/details/159</v>
      </c>
      <c r="I3052" s="43"/>
      <c r="J3052" t="s">
        <v>36</v>
      </c>
      <c r="K3052" s="79" t="str">
        <f>VLOOKUP(Tabla3[[#This Row],[Site]],'Important Info!'!$A$1:$H$135,8,FALSE)</f>
        <v>-</v>
      </c>
      <c r="L3052" s="52" t="str">
        <f>VLOOKUP(Tabla3[[#This Row],[Site]],'Important Info!'!$A$1:$F$135,2,FALSE)</f>
        <v>5, 28, 31</v>
      </c>
      <c r="M3052" s="52" t="str">
        <f>VLOOKUP(Tabla3[[#This Row],[Site]],'Important Info!'!$A$1:$F$135,3,FALSE)</f>
        <v>1, 29</v>
      </c>
      <c r="N3052" s="52">
        <f>VLOOKUP(Tabla3[[#This Row],[Site]],'Important Info!'!$A$1:$F$135,4,FALSE)</f>
        <v>6</v>
      </c>
      <c r="O3052" s="52" t="str">
        <f>VLOOKUP(Tabla3[[#This Row],[Site]],'Important Info!'!$A$1:$F$135,5,FALSE)</f>
        <v>-</v>
      </c>
      <c r="P3052" s="52" t="str">
        <f>VLOOKUP(Tabla3[[#This Row],[Site]],'Important Info!'!$A$1:$F$135,6,FALSE)</f>
        <v>1, 35, 36</v>
      </c>
      <c r="Q3052" s="91">
        <f>VLOOKUP(Tabla3[[#This Row],[Site]],'Important Info!'!$A$1:$J$135,9,FALSE)</f>
        <v>159</v>
      </c>
    </row>
    <row r="3053" spans="1:17" x14ac:dyDescent="0.25">
      <c r="A3053" t="str">
        <f>+Tabla3[[#This Row],[Site]]&amp;Tabla3[[#This Row],[Split]]</f>
        <v>(SCH) West Palm Beach I, II &amp; III30</v>
      </c>
      <c r="B3053">
        <v>30</v>
      </c>
      <c r="C3053">
        <v>10</v>
      </c>
      <c r="D3053" t="s">
        <v>492</v>
      </c>
      <c r="E3053" t="s">
        <v>35</v>
      </c>
      <c r="F3053" t="s">
        <v>96</v>
      </c>
      <c r="G3053" t="s">
        <v>490</v>
      </c>
      <c r="H3053" s="52" t="str">
        <f>VLOOKUP(Tabla3[[#This Row],[Site]],'Important Info!'!$A$1:$J$135,10,FALSE)</f>
        <v>https://tools.sig.systems/site/details/162</v>
      </c>
      <c r="I3053" s="43"/>
      <c r="J3053" t="s">
        <v>36</v>
      </c>
      <c r="K3053" s="79" t="str">
        <f>VLOOKUP(Tabla3[[#This Row],[Site]],'Important Info!'!$A$1:$H$135,8,FALSE)</f>
        <v>SUNDAY: Log in at 5:30 p.m. ET.</v>
      </c>
      <c r="L3053" s="52" t="str">
        <f>VLOOKUP(Tabla3[[#This Row],[Site]],'Important Info!'!$A$1:$F$135,2,FALSE)</f>
        <v>34, 62</v>
      </c>
      <c r="M3053" s="52" t="str">
        <f>VLOOKUP(Tabla3[[#This Row],[Site]],'Important Info!'!$A$1:$F$135,3,FALSE)</f>
        <v xml:space="preserve">6, 7, 11, 13, </v>
      </c>
      <c r="N3053" s="52" t="str">
        <f>VLOOKUP(Tabla3[[#This Row],[Site]],'Important Info!'!$A$1:$F$135,4,FALSE)</f>
        <v>20, 21</v>
      </c>
      <c r="O3053" s="52" t="str">
        <f>VLOOKUP(Tabla3[[#This Row],[Site]],'Important Info!'!$A$1:$F$135,5,FALSE)</f>
        <v>-</v>
      </c>
      <c r="P3053" s="52" t="str">
        <f>VLOOKUP(Tabla3[[#This Row],[Site]],'Important Info!'!$A$1:$F$135,6,FALSE)</f>
        <v>1, 2, 3, 131, 132</v>
      </c>
      <c r="Q3053" s="91">
        <f>VLOOKUP(Tabla3[[#This Row],[Site]],'Important Info!'!$A$1:$J$135,9,FALSE)</f>
        <v>162</v>
      </c>
    </row>
    <row r="3054" spans="1:17" x14ac:dyDescent="0.25">
      <c r="A3054" t="str">
        <f>+Tabla3[[#This Row],[Site]]&amp;Tabla3[[#This Row],[Split]]</f>
        <v>(AS) David McDavid Lincoln Frisco (NO TOURS)30</v>
      </c>
      <c r="B3054">
        <v>30</v>
      </c>
      <c r="C3054">
        <v>11</v>
      </c>
      <c r="D3054" t="s">
        <v>33</v>
      </c>
      <c r="E3054" t="s">
        <v>46</v>
      </c>
      <c r="F3054" t="s">
        <v>507</v>
      </c>
      <c r="G3054" t="s">
        <v>34</v>
      </c>
      <c r="H3054" s="52" t="str">
        <f>VLOOKUP(Tabla3[[#This Row],[Site]],'Important Info!'!$A$1:$J$135,10,FALSE)</f>
        <v>https://tools.sig.systems/site/details/182</v>
      </c>
      <c r="I3054" s="43"/>
      <c r="J3054" t="s">
        <v>41</v>
      </c>
      <c r="K3054" s="79" t="str">
        <f>VLOOKUP(Tabla3[[#This Row],[Site]],'Important Info!'!$A$1:$H$135,8,FALSE)</f>
        <v>-</v>
      </c>
      <c r="L3054" s="52" t="str">
        <f>VLOOKUP(Tabla3[[#This Row],[Site]],'Important Info!'!$A$1:$F$135,2,FALSE)</f>
        <v>1, 2, 11</v>
      </c>
      <c r="M3054" s="52" t="str">
        <f>VLOOKUP(Tabla3[[#This Row],[Site]],'Important Info!'!$A$1:$F$135,3,FALSE)</f>
        <v>-</v>
      </c>
      <c r="N3054" s="52" t="str">
        <f>VLOOKUP(Tabla3[[#This Row],[Site]],'Important Info!'!$A$1:$F$135,4,FALSE)</f>
        <v>-</v>
      </c>
      <c r="O3054" s="52" t="str">
        <f>VLOOKUP(Tabla3[[#This Row],[Site]],'Important Info!'!$A$1:$F$135,5,FALSE)</f>
        <v>11, 16, 20</v>
      </c>
      <c r="P3054" s="52" t="str">
        <f>VLOOKUP(Tabla3[[#This Row],[Site]],'Important Info!'!$A$1:$F$135,6,FALSE)</f>
        <v>11, 12, 13, 14</v>
      </c>
      <c r="Q3054" s="91">
        <f>VLOOKUP(Tabla3[[#This Row],[Site]],'Important Info!'!$A$1:$J$135,9,FALSE)</f>
        <v>182</v>
      </c>
    </row>
    <row r="3055" spans="1:17" x14ac:dyDescent="0.25">
      <c r="A3055" t="str">
        <f>+Tabla3[[#This Row],[Site]]&amp;Tabla3[[#This Row],[Split]]</f>
        <v>(AS) Nalley BMW Collision Center (NO TOURS)30</v>
      </c>
      <c r="B3055">
        <v>30</v>
      </c>
      <c r="C3055">
        <v>11</v>
      </c>
      <c r="D3055" t="s">
        <v>62</v>
      </c>
      <c r="E3055" t="s">
        <v>35</v>
      </c>
      <c r="F3055" t="s">
        <v>510</v>
      </c>
      <c r="G3055" t="s">
        <v>490</v>
      </c>
      <c r="H3055" s="52" t="str">
        <f>VLOOKUP(Tabla3[[#This Row],[Site]],'Important Info!'!$A$1:$J$135,10,FALSE)</f>
        <v>https://tools.sig.systems/site/details/220</v>
      </c>
      <c r="I3055" s="43"/>
      <c r="J3055" t="s">
        <v>41</v>
      </c>
      <c r="K3055" s="79" t="str">
        <f>VLOOKUP(Tabla3[[#This Row],[Site]],'Important Info!'!$A$1:$H$135,8,FALSE)</f>
        <v>-</v>
      </c>
      <c r="L3055" s="52" t="str">
        <f>VLOOKUP(Tabla3[[#This Row],[Site]],'Important Info!'!$A$1:$F$135,2,FALSE)</f>
        <v>-</v>
      </c>
      <c r="M3055" s="52">
        <f>VLOOKUP(Tabla3[[#This Row],[Site]],'Important Info!'!$A$1:$F$135,3,FALSE)</f>
        <v>4</v>
      </c>
      <c r="N3055" s="52" t="str">
        <f>VLOOKUP(Tabla3[[#This Row],[Site]],'Important Info!'!$A$1:$F$135,4,FALSE)</f>
        <v>-</v>
      </c>
      <c r="O3055" s="52">
        <f>VLOOKUP(Tabla3[[#This Row],[Site]],'Important Info!'!$A$1:$F$135,5,FALSE)</f>
        <v>12</v>
      </c>
      <c r="P3055" s="52" t="str">
        <f>VLOOKUP(Tabla3[[#This Row],[Site]],'Important Info!'!$A$1:$F$135,6,FALSE)</f>
        <v>13, 15</v>
      </c>
      <c r="Q3055" s="91">
        <f>VLOOKUP(Tabla3[[#This Row],[Site]],'Important Info!'!$A$1:$J$135,9,FALSE)</f>
        <v>220</v>
      </c>
    </row>
    <row r="3056" spans="1:17" x14ac:dyDescent="0.25">
      <c r="A3056" t="str">
        <f>+Tabla3[[#This Row],[Site]]&amp;Tabla3[[#This Row],[Split]]</f>
        <v>(AS) Park Place Volvo Sales (NO TOURS)30</v>
      </c>
      <c r="B3056">
        <v>30</v>
      </c>
      <c r="C3056">
        <v>11</v>
      </c>
      <c r="D3056" t="s">
        <v>33</v>
      </c>
      <c r="E3056" t="s">
        <v>46</v>
      </c>
      <c r="F3056" t="s">
        <v>521</v>
      </c>
      <c r="G3056" t="s">
        <v>34</v>
      </c>
      <c r="H3056" s="52" t="str">
        <f>VLOOKUP(Tabla3[[#This Row],[Site]],'Important Info!'!$A$1:$J$135,10,FALSE)</f>
        <v>https://tools.sig.systems/site/details/139</v>
      </c>
      <c r="I3056" s="65" t="s">
        <v>125</v>
      </c>
      <c r="J3056" t="s">
        <v>41</v>
      </c>
      <c r="K3056" s="79" t="str">
        <f>VLOOKUP(Tabla3[[#This Row],[Site]],'Important Info!'!$A$1:$H$135,8,FALSE)</f>
        <v>-</v>
      </c>
      <c r="L3056" s="52" t="str">
        <f>VLOOKUP(Tabla3[[#This Row],[Site]],'Important Info!'!$A$1:$F$135,2,FALSE)</f>
        <v>4, 6, 9, 11</v>
      </c>
      <c r="M3056" s="52" t="str">
        <f>VLOOKUP(Tabla3[[#This Row],[Site]],'Important Info!'!$A$1:$F$135,3,FALSE)</f>
        <v>-</v>
      </c>
      <c r="N3056" s="52" t="str">
        <f>VLOOKUP(Tabla3[[#This Row],[Site]],'Important Info!'!$A$1:$F$135,4,FALSE)</f>
        <v>-</v>
      </c>
      <c r="O3056" s="52" t="str">
        <f>VLOOKUP(Tabla3[[#This Row],[Site]],'Important Info!'!$A$1:$F$135,5,FALSE)</f>
        <v>2, 9</v>
      </c>
      <c r="P3056" s="52" t="str">
        <f>VLOOKUP(Tabla3[[#This Row],[Site]],'Important Info!'!$A$1:$F$135,6,FALSE)</f>
        <v>4, 10, 11</v>
      </c>
      <c r="Q3056" s="91">
        <f>VLOOKUP(Tabla3[[#This Row],[Site]],'Important Info!'!$A$1:$J$135,9,FALSE)</f>
        <v>139</v>
      </c>
    </row>
    <row r="3057" spans="1:17" x14ac:dyDescent="0.25">
      <c r="A3057" t="str">
        <f>+Tabla3[[#This Row],[Site]]&amp;Tabla3[[#This Row],[Split]]</f>
        <v>(ML) Volvo Collision Corp30</v>
      </c>
      <c r="B3057">
        <v>30</v>
      </c>
      <c r="C3057">
        <v>11</v>
      </c>
      <c r="D3057" t="s">
        <v>33</v>
      </c>
      <c r="E3057" t="s">
        <v>46</v>
      </c>
      <c r="F3057" t="s">
        <v>106</v>
      </c>
      <c r="G3057" t="s">
        <v>34</v>
      </c>
      <c r="H3057" s="52" t="str">
        <f>VLOOKUP(Tabla3[[#This Row],[Site]],'Important Info!'!$A$1:$J$135,10,FALSE)</f>
        <v>https://tools.sig.systems/site/details/223</v>
      </c>
      <c r="I3057" s="2"/>
      <c r="J3057" t="s">
        <v>41</v>
      </c>
      <c r="K3057" s="79" t="str">
        <f>VLOOKUP(Tabla3[[#This Row],[Site]],'Important Info!'!$A$1:$H$135,8,FALSE)</f>
        <v>-</v>
      </c>
      <c r="L3057" s="52" t="str">
        <f>VLOOKUP(Tabla3[[#This Row],[Site]],'Important Info!'!$A$1:$F$135,2,FALSE)</f>
        <v>7, 11</v>
      </c>
      <c r="M3057" s="52">
        <f>VLOOKUP(Tabla3[[#This Row],[Site]],'Important Info!'!$A$1:$F$135,3,FALSE)</f>
        <v>4</v>
      </c>
      <c r="N3057" s="52" t="str">
        <f>VLOOKUP(Tabla3[[#This Row],[Site]],'Important Info!'!$A$1:$F$135,4,FALSE)</f>
        <v>-</v>
      </c>
      <c r="O3057" s="52">
        <f>VLOOKUP(Tabla3[[#This Row],[Site]],'Important Info!'!$A$1:$F$135,5,FALSE)</f>
        <v>18</v>
      </c>
      <c r="P3057" s="52" t="str">
        <f>VLOOKUP(Tabla3[[#This Row],[Site]],'Important Info!'!$A$1:$F$135,6,FALSE)</f>
        <v>-</v>
      </c>
      <c r="Q3057" s="91">
        <f>VLOOKUP(Tabla3[[#This Row],[Site]],'Important Info!'!$A$1:$J$135,9,FALSE)</f>
        <v>223</v>
      </c>
    </row>
    <row r="3058" spans="1:17" x14ac:dyDescent="0.25">
      <c r="A3058" t="str">
        <f>+Tabla3[[#This Row],[Site]]&amp;Tabla3[[#This Row],[Split]]</f>
        <v>(PE) Fairfield Collision (NO TOURS)30</v>
      </c>
      <c r="B3058">
        <v>30</v>
      </c>
      <c r="C3058">
        <v>11</v>
      </c>
      <c r="D3058" t="s">
        <v>485</v>
      </c>
      <c r="E3058" t="s">
        <v>35</v>
      </c>
      <c r="F3058" t="s">
        <v>63</v>
      </c>
      <c r="G3058" t="s">
        <v>490</v>
      </c>
      <c r="H3058" s="52" t="str">
        <f>VLOOKUP(Tabla3[[#This Row],[Site]],'Important Info!'!$A$1:$J$135,10,FALSE)</f>
        <v>https://tools.sig.systems/site/details/191</v>
      </c>
      <c r="J3058" t="s">
        <v>41</v>
      </c>
      <c r="K3058" s="79" t="str">
        <f>VLOOKUP(Tabla3[[#This Row],[Site]],'Important Info!'!$A$1:$H$135,8,FALSE)</f>
        <v>-</v>
      </c>
      <c r="L3058" s="52">
        <f>VLOOKUP(Tabla3[[#This Row],[Site]],'Important Info!'!$A$1:$F$135,2,FALSE)</f>
        <v>4</v>
      </c>
      <c r="M3058" s="52" t="str">
        <f>VLOOKUP(Tabla3[[#This Row],[Site]],'Important Info!'!$A$1:$F$135,3,FALSE)</f>
        <v>-</v>
      </c>
      <c r="N3058" s="52" t="str">
        <f>VLOOKUP(Tabla3[[#This Row],[Site]],'Important Info!'!$A$1:$F$135,4,FALSE)</f>
        <v>-</v>
      </c>
      <c r="O3058" s="52" t="str">
        <f>VLOOKUP(Tabla3[[#This Row],[Site]],'Important Info!'!$A$1:$F$135,5,FALSE)</f>
        <v>-</v>
      </c>
      <c r="P3058" s="52" t="str">
        <f>VLOOKUP(Tabla3[[#This Row],[Site]],'Important Info!'!$A$1:$F$135,6,FALSE)</f>
        <v>1, 2, 3, 4, 5, 6</v>
      </c>
      <c r="Q3058" s="91">
        <f>VLOOKUP(Tabla3[[#This Row],[Site]],'Important Info!'!$A$1:$J$135,9,FALSE)</f>
        <v>191</v>
      </c>
    </row>
    <row r="3059" spans="1:17" x14ac:dyDescent="0.25">
      <c r="A3059" t="str">
        <f>+Tabla3[[#This Row],[Site]]&amp;Tabla3[[#This Row],[Split]]</f>
        <v>(HUD) Acura of Greensboro30</v>
      </c>
      <c r="B3059">
        <v>30</v>
      </c>
      <c r="C3059">
        <v>12</v>
      </c>
      <c r="D3059" t="s">
        <v>62</v>
      </c>
      <c r="E3059" t="s">
        <v>35</v>
      </c>
      <c r="F3059" t="s">
        <v>100</v>
      </c>
      <c r="G3059" t="s">
        <v>490</v>
      </c>
      <c r="H3059" s="52" t="str">
        <f>VLOOKUP(Tabla3[[#This Row],[Site]],'Important Info!'!$A$1:$J$135,10,FALSE)</f>
        <v>https://tools.sig.systems/site/details/213</v>
      </c>
      <c r="I3059" t="s">
        <v>182</v>
      </c>
      <c r="J3059" t="s">
        <v>41</v>
      </c>
      <c r="K3059" s="79" t="str">
        <f>VLOOKUP(Tabla3[[#This Row],[Site]],'Important Info!'!$A$1:$H$135,8,FALSE)</f>
        <v>-</v>
      </c>
      <c r="L3059" s="52" t="str">
        <f>VLOOKUP(Tabla3[[#This Row],[Site]],'Important Info!'!$A$1:$F$135,2,FALSE)</f>
        <v>1, 2, 6, 7, 9</v>
      </c>
      <c r="M3059" s="52" t="str">
        <f>VLOOKUP(Tabla3[[#This Row],[Site]],'Important Info!'!$A$1:$F$135,3,FALSE)</f>
        <v>-</v>
      </c>
      <c r="N3059" s="52" t="str">
        <f>VLOOKUP(Tabla3[[#This Row],[Site]],'Important Info!'!$A$1:$F$135,4,FALSE)</f>
        <v>-</v>
      </c>
      <c r="O3059" s="52" t="str">
        <f>VLOOKUP(Tabla3[[#This Row],[Site]],'Important Info!'!$A$1:$F$135,5,FALSE)</f>
        <v>2, 5</v>
      </c>
      <c r="P3059" s="52" t="str">
        <f>VLOOKUP(Tabla3[[#This Row],[Site]],'Important Info!'!$A$1:$F$135,6,FALSE)</f>
        <v>1, 2, 6, 7, 9, 18</v>
      </c>
      <c r="Q3059" s="91">
        <f>VLOOKUP(Tabla3[[#This Row],[Site]],'Important Info!'!$A$1:$J$135,9,FALSE)</f>
        <v>213</v>
      </c>
    </row>
    <row r="3060" spans="1:17" x14ac:dyDescent="0.25">
      <c r="A3060" t="str">
        <f>+Tabla3[[#This Row],[Site]]&amp;Tabla3[[#This Row],[Split]]</f>
        <v>(MK) McKenny Salinas Honda30</v>
      </c>
      <c r="B3060">
        <v>30</v>
      </c>
      <c r="C3060">
        <v>12</v>
      </c>
      <c r="D3060" t="s">
        <v>62</v>
      </c>
      <c r="E3060" t="s">
        <v>35</v>
      </c>
      <c r="F3060" t="s">
        <v>115</v>
      </c>
      <c r="G3060" t="s">
        <v>490</v>
      </c>
      <c r="H3060" s="52" t="str">
        <f>VLOOKUP(Tabla3[[#This Row],[Site]],'Important Info!'!$A$1:$J$135,10,FALSE)</f>
        <v>https://tools.sig.systems/site/details/149</v>
      </c>
      <c r="J3060" t="s">
        <v>41</v>
      </c>
      <c r="K3060" s="79" t="str">
        <f>VLOOKUP(Tabla3[[#This Row],[Site]],'Important Info!'!$A$1:$H$135,8,FALSE)</f>
        <v>-</v>
      </c>
      <c r="L3060" s="52" t="str">
        <f>VLOOKUP(Tabla3[[#This Row],[Site]],'Important Info!'!$A$1:$F$135,2,FALSE)</f>
        <v>-</v>
      </c>
      <c r="M3060" s="52" t="str">
        <f>VLOOKUP(Tabla3[[#This Row],[Site]],'Important Info!'!$A$1:$F$135,3,FALSE)</f>
        <v>12, 16</v>
      </c>
      <c r="N3060" s="52" t="str">
        <f>VLOOKUP(Tabla3[[#This Row],[Site]],'Important Info!'!$A$1:$F$135,4,FALSE)</f>
        <v>-</v>
      </c>
      <c r="O3060" s="52" t="str">
        <f>VLOOKUP(Tabla3[[#This Row],[Site]],'Important Info!'!$A$1:$F$135,5,FALSE)</f>
        <v>-</v>
      </c>
      <c r="P3060" s="52" t="str">
        <f>VLOOKUP(Tabla3[[#This Row],[Site]],'Important Info!'!$A$1:$F$135,6,FALSE)</f>
        <v>3, 4, 5, 6, 16</v>
      </c>
      <c r="Q3060" s="91">
        <f>VLOOKUP(Tabla3[[#This Row],[Site]],'Important Info!'!$A$1:$J$135,9,FALSE)</f>
        <v>149</v>
      </c>
    </row>
    <row r="3061" spans="1:17" x14ac:dyDescent="0.25">
      <c r="A3061" t="str">
        <f>+Tabla3[[#This Row],[Site]]&amp;Tabla3[[#This Row],[Split]]</f>
        <v>(ML) Ford Lincoln of North Little Rock30</v>
      </c>
      <c r="B3061">
        <v>30</v>
      </c>
      <c r="C3061">
        <v>12</v>
      </c>
      <c r="D3061" t="s">
        <v>33</v>
      </c>
      <c r="E3061" t="s">
        <v>46</v>
      </c>
      <c r="F3061" t="s">
        <v>145</v>
      </c>
      <c r="G3061" t="s">
        <v>34</v>
      </c>
      <c r="H3061" s="52" t="str">
        <f>VLOOKUP(Tabla3[[#This Row],[Site]],'Important Info!'!$A$1:$J$135,10,FALSE)</f>
        <v>https://tools.sig.systems/site/details/214</v>
      </c>
      <c r="I3061" s="43" t="s">
        <v>142</v>
      </c>
      <c r="J3061" t="s">
        <v>41</v>
      </c>
      <c r="K3061" s="79" t="str">
        <f>VLOOKUP(Tabla3[[#This Row],[Site]],'Important Info!'!$A$1:$H$135,8,FALSE)</f>
        <v>-</v>
      </c>
      <c r="L3061" s="52" t="str">
        <f>VLOOKUP(Tabla3[[#This Row],[Site]],'Important Info!'!$A$1:$F$135,2,FALSE)</f>
        <v>4, 15, 18, 67, 74</v>
      </c>
      <c r="M3061" s="52">
        <f>VLOOKUP(Tabla3[[#This Row],[Site]],'Important Info!'!$A$1:$F$135,3,FALSE)</f>
        <v>13</v>
      </c>
      <c r="N3061" s="52" t="str">
        <f>VLOOKUP(Tabla3[[#This Row],[Site]],'Important Info!'!$A$1:$F$135,4,FALSE)</f>
        <v>-</v>
      </c>
      <c r="O3061" s="52" t="str">
        <f>VLOOKUP(Tabla3[[#This Row],[Site]],'Important Info!'!$A$1:$F$135,5,FALSE)</f>
        <v>4, 11, 16, 28</v>
      </c>
      <c r="P3061" s="52" t="str">
        <f>VLOOKUP(Tabla3[[#This Row],[Site]],'Important Info!'!$A$1:$F$135,6,FALSE)</f>
        <v>10, 11, 12</v>
      </c>
      <c r="Q3061" s="91">
        <f>VLOOKUP(Tabla3[[#This Row],[Site]],'Important Info!'!$A$1:$J$135,9,FALSE)</f>
        <v>214</v>
      </c>
    </row>
    <row r="3062" spans="1:17" x14ac:dyDescent="0.25">
      <c r="A3062" t="str">
        <f>+Tabla3[[#This Row],[Site]]&amp;Tabla3[[#This Row],[Split]]</f>
        <v>(PE) Mercedes Benz &amp; Smart Bldg. of Fairfield (NO TOURS)30</v>
      </c>
      <c r="B3062">
        <v>30</v>
      </c>
      <c r="C3062">
        <v>12</v>
      </c>
      <c r="D3062" t="s">
        <v>485</v>
      </c>
      <c r="E3062" t="s">
        <v>35</v>
      </c>
      <c r="F3062" t="s">
        <v>64</v>
      </c>
      <c r="G3062" t="s">
        <v>490</v>
      </c>
      <c r="H3062" s="52" t="str">
        <f>VLOOKUP(Tabla3[[#This Row],[Site]],'Important Info!'!$A$1:$J$135,10,FALSE)</f>
        <v>https://tools.sig.systems/site/details/192</v>
      </c>
      <c r="I3062" t="s">
        <v>177</v>
      </c>
      <c r="J3062" t="s">
        <v>41</v>
      </c>
      <c r="K3062" s="79" t="str">
        <f>VLOOKUP(Tabla3[[#This Row],[Site]],'Important Info!'!$A$1:$H$135,8,FALSE)</f>
        <v>-</v>
      </c>
      <c r="L3062" s="52" t="str">
        <f>VLOOKUP(Tabla3[[#This Row],[Site]],'Important Info!'!$A$1:$F$135,2,FALSE)</f>
        <v>-</v>
      </c>
      <c r="M3062" s="52">
        <f>VLOOKUP(Tabla3[[#This Row],[Site]],'Important Info!'!$A$1:$F$135,3,FALSE)</f>
        <v>1</v>
      </c>
      <c r="N3062" s="52" t="str">
        <f>VLOOKUP(Tabla3[[#This Row],[Site]],'Important Info!'!$A$1:$F$135,4,FALSE)</f>
        <v>-</v>
      </c>
      <c r="O3062" s="52" t="str">
        <f>VLOOKUP(Tabla3[[#This Row],[Site]],'Important Info!'!$A$1:$F$135,5,FALSE)</f>
        <v>11, 13</v>
      </c>
      <c r="P3062" s="52">
        <f>VLOOKUP(Tabla3[[#This Row],[Site]],'Important Info!'!$A$1:$F$135,6,FALSE)</f>
        <v>1</v>
      </c>
      <c r="Q3062" s="91">
        <f>VLOOKUP(Tabla3[[#This Row],[Site]],'Important Info!'!$A$1:$J$135,9,FALSE)</f>
        <v>192</v>
      </c>
    </row>
    <row r="3063" spans="1:17" x14ac:dyDescent="0.25">
      <c r="A3063" t="str">
        <f>+Tabla3[[#This Row],[Site]]&amp;Tabla3[[#This Row],[Split]]</f>
        <v>(AS) David McDavid Honda I &amp; II (NO TOURS)30</v>
      </c>
      <c r="B3063">
        <v>30</v>
      </c>
      <c r="C3063">
        <v>13</v>
      </c>
      <c r="D3063" t="s">
        <v>33</v>
      </c>
      <c r="E3063" t="s">
        <v>46</v>
      </c>
      <c r="F3063" t="s">
        <v>506</v>
      </c>
      <c r="G3063" t="s">
        <v>34</v>
      </c>
      <c r="H3063" s="52" t="str">
        <f>VLOOKUP(Tabla3[[#This Row],[Site]],'Important Info!'!$A$1:$J$135,10,FALSE)</f>
        <v>https://tools.sig.systems/site/details/129</v>
      </c>
      <c r="J3063" t="s">
        <v>41</v>
      </c>
      <c r="K3063" s="79" t="str">
        <f>VLOOKUP(Tabla3[[#This Row],[Site]],'Important Info!'!$A$1:$H$135,8,FALSE)</f>
        <v>-</v>
      </c>
      <c r="L3063" s="52" t="str">
        <f>VLOOKUP(Tabla3[[#This Row],[Site]],'Important Info!'!$A$1:$F$135,2,FALSE)</f>
        <v>-</v>
      </c>
      <c r="M3063" s="52" t="str">
        <f>VLOOKUP(Tabla3[[#This Row],[Site]],'Important Info!'!$A$1:$F$135,3,FALSE)</f>
        <v>3, 19, 23, 32, 35</v>
      </c>
      <c r="N3063" s="52" t="str">
        <f>VLOOKUP(Tabla3[[#This Row],[Site]],'Important Info!'!$A$1:$F$135,4,FALSE)</f>
        <v>-</v>
      </c>
      <c r="O3063" s="52" t="str">
        <f>VLOOKUP(Tabla3[[#This Row],[Site]],'Important Info!'!$A$1:$F$135,5,FALSE)</f>
        <v>2, 6, 9, 19, 25, 30, 48</v>
      </c>
      <c r="P3063" s="52" t="str">
        <f>VLOOKUP(Tabla3[[#This Row],[Site]],'Important Info!'!$A$1:$F$135,6,FALSE)</f>
        <v>25, 26, 35, 36, 37</v>
      </c>
      <c r="Q3063" s="91">
        <f>VLOOKUP(Tabla3[[#This Row],[Site]],'Important Info!'!$A$1:$J$135,9,FALSE)</f>
        <v>129</v>
      </c>
    </row>
    <row r="3064" spans="1:17" x14ac:dyDescent="0.25">
      <c r="A3064" t="str">
        <f>+Tabla3[[#This Row],[Site]]&amp;Tabla3[[#This Row],[Split]]</f>
        <v>(AS) Plano Auction (NO SPEAKERS)30</v>
      </c>
      <c r="B3064">
        <v>30</v>
      </c>
      <c r="C3064">
        <v>13</v>
      </c>
      <c r="D3064" t="s">
        <v>33</v>
      </c>
      <c r="E3064" t="s">
        <v>46</v>
      </c>
      <c r="F3064" t="s">
        <v>129</v>
      </c>
      <c r="G3064" t="s">
        <v>34</v>
      </c>
      <c r="H3064" s="52" t="str">
        <f>VLOOKUP(Tabla3[[#This Row],[Site]],'Important Info!'!$A$1:$J$135,10,FALSE)</f>
        <v>https://tools.sig.systems/site/details/140</v>
      </c>
      <c r="J3064" t="s">
        <v>41</v>
      </c>
      <c r="K3064" s="79" t="str">
        <f>VLOOKUP(Tabla3[[#This Row],[Site]],'Important Info!'!$A$1:$H$135,8,FALSE)</f>
        <v>-</v>
      </c>
      <c r="L3064" s="52" t="str">
        <f>VLOOKUP(Tabla3[[#This Row],[Site]],'Important Info!'!$A$1:$F$135,2,FALSE)</f>
        <v>-</v>
      </c>
      <c r="M3064" s="52" t="str">
        <f>VLOOKUP(Tabla3[[#This Row],[Site]],'Important Info!'!$A$1:$F$135,3,FALSE)</f>
        <v>3, 4, 19</v>
      </c>
      <c r="N3064" s="52" t="str">
        <f>VLOOKUP(Tabla3[[#This Row],[Site]],'Important Info!'!$A$1:$F$135,4,FALSE)</f>
        <v>-</v>
      </c>
      <c r="O3064" s="52" t="str">
        <f>VLOOKUP(Tabla3[[#This Row],[Site]],'Important Info!'!$A$1:$F$135,5,FALSE)</f>
        <v>5, 19</v>
      </c>
      <c r="P3064" s="52">
        <f>VLOOKUP(Tabla3[[#This Row],[Site]],'Important Info!'!$A$1:$F$135,6,FALSE)</f>
        <v>21</v>
      </c>
      <c r="Q3064" s="91">
        <f>VLOOKUP(Tabla3[[#This Row],[Site]],'Important Info!'!$A$1:$J$135,9,FALSE)</f>
        <v>140</v>
      </c>
    </row>
    <row r="3065" spans="1:17" x14ac:dyDescent="0.25">
      <c r="A3065" t="str">
        <f>+Tabla3[[#This Row],[Site]]&amp;Tabla3[[#This Row],[Split]]</f>
        <v>(HUD) BMW of Greensboro30</v>
      </c>
      <c r="B3065">
        <v>30</v>
      </c>
      <c r="C3065">
        <v>13</v>
      </c>
      <c r="D3065" t="s">
        <v>62</v>
      </c>
      <c r="E3065" t="s">
        <v>35</v>
      </c>
      <c r="F3065" t="s">
        <v>183</v>
      </c>
      <c r="G3065" t="s">
        <v>490</v>
      </c>
      <c r="H3065" s="52" t="str">
        <f>VLOOKUP(Tabla3[[#This Row],[Site]],'Important Info!'!$A$1:$J$135,10,FALSE)</f>
        <v>https://tools.sig.systems/site/details/219</v>
      </c>
      <c r="I3065" s="43" t="s">
        <v>184</v>
      </c>
      <c r="J3065" t="s">
        <v>41</v>
      </c>
      <c r="K3065" s="79" t="str">
        <f>VLOOKUP(Tabla3[[#This Row],[Site]],'Important Info!'!$A$1:$H$135,8,FALSE)</f>
        <v>-</v>
      </c>
      <c r="L3065" s="52" t="str">
        <f>VLOOKUP(Tabla3[[#This Row],[Site]],'Important Info!'!$A$1:$F$135,2,FALSE)</f>
        <v>2, 20, 21</v>
      </c>
      <c r="M3065" s="52" t="str">
        <f>VLOOKUP(Tabla3[[#This Row],[Site]],'Important Info!'!$A$1:$F$135,3,FALSE)</f>
        <v>-</v>
      </c>
      <c r="N3065" s="52" t="str">
        <f>VLOOKUP(Tabla3[[#This Row],[Site]],'Important Info!'!$A$1:$F$135,4,FALSE)</f>
        <v>-</v>
      </c>
      <c r="O3065" s="52" t="str">
        <f>VLOOKUP(Tabla3[[#This Row],[Site]],'Important Info!'!$A$1:$F$135,5,FALSE)</f>
        <v>12, 17</v>
      </c>
      <c r="P3065" s="52" t="str">
        <f>VLOOKUP(Tabla3[[#This Row],[Site]],'Important Info!'!$A$1:$F$135,6,FALSE)</f>
        <v>1, 2, 6, 20</v>
      </c>
      <c r="Q3065" s="91">
        <f>VLOOKUP(Tabla3[[#This Row],[Site]],'Important Info!'!$A$1:$J$135,9,FALSE)</f>
        <v>219</v>
      </c>
    </row>
    <row r="3066" spans="1:17" x14ac:dyDescent="0.25">
      <c r="A3066" t="str">
        <f>+Tabla3[[#This Row],[Site]]&amp;Tabla3[[#This Row],[Split]]</f>
        <v>(AS) Coggin Mercedes Benz Ft Pierce (NO TOURS)30</v>
      </c>
      <c r="B3066">
        <v>30</v>
      </c>
      <c r="C3066">
        <v>14</v>
      </c>
      <c r="D3066" t="s">
        <v>62</v>
      </c>
      <c r="E3066" t="s">
        <v>35</v>
      </c>
      <c r="F3066" t="s">
        <v>502</v>
      </c>
      <c r="G3066" t="s">
        <v>490</v>
      </c>
      <c r="H3066" s="52" t="str">
        <f>VLOOKUP(Tabla3[[#This Row],[Site]],'Important Info!'!$A$1:$J$135,10,FALSE)</f>
        <v>https://tools.sig.systems/site/details/127</v>
      </c>
      <c r="I3066" t="s">
        <v>179</v>
      </c>
      <c r="J3066" t="s">
        <v>41</v>
      </c>
      <c r="K3066" s="79" t="str">
        <f>VLOOKUP(Tabla3[[#This Row],[Site]],'Important Info!'!$A$1:$H$135,8,FALSE)</f>
        <v>-</v>
      </c>
      <c r="L3066" s="52">
        <f>VLOOKUP(Tabla3[[#This Row],[Site]],'Important Info!'!$A$1:$F$135,2,FALSE)</f>
        <v>18</v>
      </c>
      <c r="M3066" s="52" t="str">
        <f>VLOOKUP(Tabla3[[#This Row],[Site]],'Important Info!'!$A$1:$F$135,3,FALSE)</f>
        <v>1, 3</v>
      </c>
      <c r="N3066" s="52" t="str">
        <f>VLOOKUP(Tabla3[[#This Row],[Site]],'Important Info!'!$A$1:$F$135,4,FALSE)</f>
        <v>-</v>
      </c>
      <c r="O3066" s="52" t="str">
        <f>VLOOKUP(Tabla3[[#This Row],[Site]],'Important Info!'!$A$1:$F$135,5,FALSE)</f>
        <v>6, 10, 13</v>
      </c>
      <c r="P3066" s="52" t="str">
        <f>VLOOKUP(Tabla3[[#This Row],[Site]],'Important Info!'!$A$1:$F$135,6,FALSE)</f>
        <v>1, 4, 5</v>
      </c>
      <c r="Q3066" s="91">
        <f>VLOOKUP(Tabla3[[#This Row],[Site]],'Important Info!'!$A$1:$J$135,9,FALSE)</f>
        <v>127</v>
      </c>
    </row>
    <row r="3067" spans="1:17" x14ac:dyDescent="0.25">
      <c r="A3067" t="str">
        <f>+Tabla3[[#This Row],[Site]]&amp;Tabla3[[#This Row],[Split]]</f>
        <v>(DT) El Cajon (NO TOURS)30</v>
      </c>
      <c r="B3067">
        <v>30</v>
      </c>
      <c r="C3067">
        <v>14</v>
      </c>
      <c r="D3067" t="s">
        <v>51</v>
      </c>
      <c r="E3067" t="s">
        <v>159</v>
      </c>
      <c r="F3067" t="s">
        <v>160</v>
      </c>
      <c r="G3067" t="s">
        <v>52</v>
      </c>
      <c r="H3067" s="52" t="str">
        <f>VLOOKUP(Tabla3[[#This Row],[Site]],'Important Info!'!$A$1:$J$135,10,FALSE)</f>
        <v>https://tools.sig.systems/site/details/241</v>
      </c>
      <c r="I3067" s="2"/>
      <c r="J3067" t="s">
        <v>41</v>
      </c>
      <c r="K3067" s="79" t="str">
        <f>VLOOKUP(Tabla3[[#This Row],[Site]],'Important Info!'!$A$1:$H$135,8,FALSE)</f>
        <v>-</v>
      </c>
      <c r="L3067" s="52" t="str">
        <f>VLOOKUP(Tabla3[[#This Row],[Site]],'Important Info!'!$A$1:$F$135,2,FALSE)</f>
        <v>-</v>
      </c>
      <c r="M3067" s="52">
        <f>VLOOKUP(Tabla3[[#This Row],[Site]],'Important Info!'!$A$1:$F$135,3,FALSE)</f>
        <v>3</v>
      </c>
      <c r="N3067" s="52" t="str">
        <f>VLOOKUP(Tabla3[[#This Row],[Site]],'Important Info!'!$A$1:$F$135,4,FALSE)</f>
        <v>-</v>
      </c>
      <c r="O3067" s="52" t="str">
        <f>VLOOKUP(Tabla3[[#This Row],[Site]],'Important Info!'!$A$1:$F$135,5,FALSE)</f>
        <v>-</v>
      </c>
      <c r="P3067" s="52" t="str">
        <f>VLOOKUP(Tabla3[[#This Row],[Site]],'Important Info!'!$A$1:$F$135,6,FALSE)</f>
        <v>-</v>
      </c>
      <c r="Q3067" s="91">
        <f>VLOOKUP(Tabla3[[#This Row],[Site]],'Important Info!'!$A$1:$J$135,9,FALSE)</f>
        <v>241</v>
      </c>
    </row>
    <row r="3068" spans="1:17" x14ac:dyDescent="0.25">
      <c r="A3068" t="str">
        <f>+Tabla3[[#This Row],[Site]]&amp;Tabla3[[#This Row],[Split]]</f>
        <v>(KG) Truck Center Remote Storage Lot30</v>
      </c>
      <c r="B3068">
        <v>30</v>
      </c>
      <c r="C3068">
        <v>14</v>
      </c>
      <c r="D3068" t="s">
        <v>60</v>
      </c>
      <c r="E3068" t="s">
        <v>53</v>
      </c>
      <c r="F3068" t="s">
        <v>61</v>
      </c>
      <c r="G3068" t="s">
        <v>41</v>
      </c>
      <c r="H3068" s="52" t="str">
        <f>VLOOKUP(Tabla3[[#This Row],[Site]],'Important Info!'!$A$1:$J$135,10,FALSE)</f>
        <v>https://tools.sig.systems/site/details/144</v>
      </c>
      <c r="I3068" s="43"/>
      <c r="J3068" t="s">
        <v>41</v>
      </c>
      <c r="K3068" s="79" t="str">
        <f>VLOOKUP(Tabla3[[#This Row],[Site]],'Important Info!'!$A$1:$H$135,8,FALSE)</f>
        <v>-</v>
      </c>
      <c r="L3068" s="52" t="str">
        <f>VLOOKUP(Tabla3[[#This Row],[Site]],'Important Info!'!$A$1:$F$135,2,FALSE)</f>
        <v>4, A23, A49</v>
      </c>
      <c r="M3068" s="52" t="str">
        <f>VLOOKUP(Tabla3[[#This Row],[Site]],'Important Info!'!$A$1:$F$135,3,FALSE)</f>
        <v>5, 24</v>
      </c>
      <c r="N3068" s="52" t="str">
        <f>VLOOKUP(Tabla3[[#This Row],[Site]],'Important Info!'!$A$1:$F$135,4,FALSE)</f>
        <v>-</v>
      </c>
      <c r="O3068" s="52" t="str">
        <f>VLOOKUP(Tabla3[[#This Row],[Site]],'Important Info!'!$A$1:$F$135,5,FALSE)</f>
        <v>1, 7, 11, 15, 19, 24, 25</v>
      </c>
      <c r="P3068" s="52" t="str">
        <f>VLOOKUP(Tabla3[[#This Row],[Site]],'Important Info!'!$A$1:$F$135,6,FALSE)</f>
        <v>9, 20, 24, A49</v>
      </c>
      <c r="Q3068" s="91">
        <f>VLOOKUP(Tabla3[[#This Row],[Site]],'Important Info!'!$A$1:$J$135,9,FALSE)</f>
        <v>144</v>
      </c>
    </row>
    <row r="3069" spans="1:17" x14ac:dyDescent="0.25">
      <c r="A3069" t="str">
        <f>+Tabla3[[#This Row],[Site]]&amp;Tabla3[[#This Row],[Split]]</f>
        <v>(ML) McLarty-Gray Daniels Chevrolet30</v>
      </c>
      <c r="B3069">
        <v>30</v>
      </c>
      <c r="C3069">
        <v>14</v>
      </c>
      <c r="D3069" t="s">
        <v>33</v>
      </c>
      <c r="E3069" t="s">
        <v>46</v>
      </c>
      <c r="F3069" t="s">
        <v>151</v>
      </c>
      <c r="G3069" t="s">
        <v>34</v>
      </c>
      <c r="H3069" s="52" t="str">
        <f>VLOOKUP(Tabla3[[#This Row],[Site]],'Important Info!'!$A$1:$J$135,10,FALSE)</f>
        <v>https://tools.sig.systems/site/details/150</v>
      </c>
      <c r="I3069" s="2"/>
      <c r="J3069" t="s">
        <v>41</v>
      </c>
      <c r="K3069" s="79" t="str">
        <f>VLOOKUP(Tabla3[[#This Row],[Site]],'Important Info!'!$A$1:$H$135,8,FALSE)</f>
        <v>-</v>
      </c>
      <c r="L3069" s="52" t="str">
        <f>VLOOKUP(Tabla3[[#This Row],[Site]],'Important Info!'!$A$1:$F$135,2,FALSE)</f>
        <v>3, 4, 5, 22, 24, 26, 28, 36</v>
      </c>
      <c r="M3069" s="52" t="str">
        <f>VLOOKUP(Tabla3[[#This Row],[Site]],'Important Info!'!$A$1:$F$135,3,FALSE)</f>
        <v>-</v>
      </c>
      <c r="N3069" s="52" t="str">
        <f>VLOOKUP(Tabla3[[#This Row],[Site]],'Important Info!'!$A$1:$F$135,4,FALSE)</f>
        <v>-</v>
      </c>
      <c r="O3069" s="52" t="str">
        <f>VLOOKUP(Tabla3[[#This Row],[Site]],'Important Info!'!$A$1:$F$135,5,FALSE)</f>
        <v>4, 7, 12, 26</v>
      </c>
      <c r="P3069" s="52" t="str">
        <f>VLOOKUP(Tabla3[[#This Row],[Site]],'Important Info!'!$A$1:$F$135,6,FALSE)</f>
        <v>1, 3, 5, 6, 23, 24</v>
      </c>
      <c r="Q3069" s="91">
        <f>VLOOKUP(Tabla3[[#This Row],[Site]],'Important Info!'!$A$1:$J$135,9,FALSE)</f>
        <v>150</v>
      </c>
    </row>
    <row r="3070" spans="1:17" x14ac:dyDescent="0.25">
      <c r="A3070" t="str">
        <f>+Tabla3[[#This Row],[Site]]&amp;Tabla3[[#This Row],[Split]]</f>
        <v>(AS) Coggin Honda Ft. Pierce (NO TOURS)30</v>
      </c>
      <c r="B3070">
        <v>30</v>
      </c>
      <c r="C3070">
        <v>15</v>
      </c>
      <c r="D3070" t="s">
        <v>62</v>
      </c>
      <c r="E3070" t="s">
        <v>35</v>
      </c>
      <c r="F3070" t="s">
        <v>501</v>
      </c>
      <c r="G3070" t="s">
        <v>490</v>
      </c>
      <c r="H3070" s="52" t="str">
        <f>VLOOKUP(Tabla3[[#This Row],[Site]],'Important Info!'!$A$1:$J$135,10,FALSE)</f>
        <v>https://tools.sig.systems/site/details/120</v>
      </c>
      <c r="I3070" t="s">
        <v>179</v>
      </c>
      <c r="J3070" t="s">
        <v>484</v>
      </c>
      <c r="K3070" s="79" t="str">
        <f>VLOOKUP(Tabla3[[#This Row],[Site]],'Important Info!'!$A$1:$H$135,8,FALSE)</f>
        <v>-</v>
      </c>
      <c r="L3070" s="52" t="str">
        <f>VLOOKUP(Tabla3[[#This Row],[Site]],'Important Info!'!$A$1:$F$135,2,FALSE)</f>
        <v>1, 2, 3, 4, 14</v>
      </c>
      <c r="M3070" s="52" t="str">
        <f>VLOOKUP(Tabla3[[#This Row],[Site]],'Important Info!'!$A$1:$F$135,3,FALSE)</f>
        <v>-</v>
      </c>
      <c r="N3070" s="52" t="str">
        <f>VLOOKUP(Tabla3[[#This Row],[Site]],'Important Info!'!$A$1:$F$135,4,FALSE)</f>
        <v>-</v>
      </c>
      <c r="O3070" s="52" t="str">
        <f>VLOOKUP(Tabla3[[#This Row],[Site]],'Important Info!'!$A$1:$F$135,5,FALSE)</f>
        <v>7, 11, 15</v>
      </c>
      <c r="P3070" s="52">
        <f>VLOOKUP(Tabla3[[#This Row],[Site]],'Important Info!'!$A$1:$F$135,6,FALSE)</f>
        <v>3</v>
      </c>
      <c r="Q3070" s="91">
        <f>VLOOKUP(Tabla3[[#This Row],[Site]],'Important Info!'!$A$1:$J$135,9,FALSE)</f>
        <v>120</v>
      </c>
    </row>
    <row r="3071" spans="1:17" x14ac:dyDescent="0.25">
      <c r="A3071" t="str">
        <f>+Tabla3[[#This Row],[Site]]&amp;Tabla3[[#This Row],[Split]]</f>
        <v>(AS) Mike Shaw Subaru Greeley (NO TOURS)30</v>
      </c>
      <c r="B3071">
        <v>30</v>
      </c>
      <c r="C3071">
        <v>15</v>
      </c>
      <c r="D3071" t="s">
        <v>44</v>
      </c>
      <c r="E3071" t="s">
        <v>53</v>
      </c>
      <c r="F3071" t="s">
        <v>95</v>
      </c>
      <c r="G3071" t="s">
        <v>45</v>
      </c>
      <c r="H3071" s="52" t="str">
        <f>VLOOKUP(Tabla3[[#This Row],[Site]],'Important Info!'!$A$1:$J$135,10,FALSE)</f>
        <v>https://tools.sig.systems/site/details/174</v>
      </c>
      <c r="I3071" s="2" t="s">
        <v>153</v>
      </c>
      <c r="J3071" t="s">
        <v>41</v>
      </c>
      <c r="K3071" s="79" t="str">
        <f>VLOOKUP(Tabla3[[#This Row],[Site]],'Important Info!'!$A$1:$H$135,8,FALSE)</f>
        <v>-</v>
      </c>
      <c r="L3071" s="52" t="str">
        <f>VLOOKUP(Tabla3[[#This Row],[Site]],'Important Info!'!$A$1:$F$135,2,FALSE)</f>
        <v>16, 17</v>
      </c>
      <c r="M3071" s="52">
        <f>VLOOKUP(Tabla3[[#This Row],[Site]],'Important Info!'!$A$1:$F$135,3,FALSE)</f>
        <v>10</v>
      </c>
      <c r="N3071" s="52" t="str">
        <f>VLOOKUP(Tabla3[[#This Row],[Site]],'Important Info!'!$A$1:$F$135,4,FALSE)</f>
        <v>-</v>
      </c>
      <c r="O3071" s="52" t="str">
        <f>VLOOKUP(Tabla3[[#This Row],[Site]],'Important Info!'!$A$1:$F$135,5,FALSE)</f>
        <v>1, 7</v>
      </c>
      <c r="P3071" s="52" t="str">
        <f>VLOOKUP(Tabla3[[#This Row],[Site]],'Important Info!'!$A$1:$F$135,6,FALSE)</f>
        <v>-</v>
      </c>
      <c r="Q3071" s="91">
        <f>VLOOKUP(Tabla3[[#This Row],[Site]],'Important Info!'!$A$1:$J$135,9,FALSE)</f>
        <v>174</v>
      </c>
    </row>
    <row r="3072" spans="1:17" x14ac:dyDescent="0.25">
      <c r="A3072" t="str">
        <f>+Tabla3[[#This Row],[Site]]&amp;Tabla3[[#This Row],[Split]]</f>
        <v>(AS) Stevinson JLR (NO TOURS)30</v>
      </c>
      <c r="B3072">
        <v>30</v>
      </c>
      <c r="C3072">
        <v>15</v>
      </c>
      <c r="D3072" t="s">
        <v>44</v>
      </c>
      <c r="E3072" t="s">
        <v>53</v>
      </c>
      <c r="F3072" t="s">
        <v>93</v>
      </c>
      <c r="G3072" t="s">
        <v>45</v>
      </c>
      <c r="H3072" s="52" t="str">
        <f>VLOOKUP(Tabla3[[#This Row],[Site]],'Important Info!'!$A$1:$J$135,10,FALSE)</f>
        <v>https://tools.sig.systems/site/details/204</v>
      </c>
      <c r="I3072" s="43"/>
      <c r="J3072" t="s">
        <v>41</v>
      </c>
      <c r="K3072" s="79" t="str">
        <f>VLOOKUP(Tabla3[[#This Row],[Site]],'Important Info!'!$A$1:$H$135,8,FALSE)</f>
        <v>-</v>
      </c>
      <c r="L3072" s="52">
        <f>VLOOKUP(Tabla3[[#This Row],[Site]],'Important Info!'!$A$1:$F$135,2,FALSE)</f>
        <v>5</v>
      </c>
      <c r="M3072" s="52">
        <f>VLOOKUP(Tabla3[[#This Row],[Site]],'Important Info!'!$A$1:$F$135,3,FALSE)</f>
        <v>4</v>
      </c>
      <c r="N3072" s="52" t="str">
        <f>VLOOKUP(Tabla3[[#This Row],[Site]],'Important Info!'!$A$1:$F$135,4,FALSE)</f>
        <v>-</v>
      </c>
      <c r="O3072" s="52">
        <f>VLOOKUP(Tabla3[[#This Row],[Site]],'Important Info!'!$A$1:$F$135,5,FALSE)</f>
        <v>3</v>
      </c>
      <c r="P3072" s="52" t="str">
        <f>VLOOKUP(Tabla3[[#This Row],[Site]],'Important Info!'!$A$1:$F$135,6,FALSE)</f>
        <v>1, 4, 15, 16</v>
      </c>
      <c r="Q3072" s="91">
        <f>VLOOKUP(Tabla3[[#This Row],[Site]],'Important Info!'!$A$1:$J$135,9,FALSE)</f>
        <v>204</v>
      </c>
    </row>
    <row r="3073" spans="1:17" x14ac:dyDescent="0.25">
      <c r="A3073" t="str">
        <f>+Tabla3[[#This Row],[Site]]&amp;Tabla3[[#This Row],[Split]]</f>
        <v>(DT) Albuquerque30</v>
      </c>
      <c r="B3073">
        <v>30</v>
      </c>
      <c r="C3073">
        <v>15</v>
      </c>
      <c r="D3073" t="s">
        <v>44</v>
      </c>
      <c r="E3073" t="s">
        <v>53</v>
      </c>
      <c r="F3073" t="s">
        <v>155</v>
      </c>
      <c r="G3073" t="s">
        <v>45</v>
      </c>
      <c r="H3073" s="52" t="str">
        <f>VLOOKUP(Tabla3[[#This Row],[Site]],'Important Info!'!$A$1:$J$135,10,FALSE)</f>
        <v>https://tools.sig.systems/site/details/237</v>
      </c>
      <c r="J3073" t="s">
        <v>41</v>
      </c>
      <c r="K3073" s="79" t="str">
        <f>VLOOKUP(Tabla3[[#This Row],[Site]],'Important Info!'!$A$1:$H$135,8,FALSE)</f>
        <v>-</v>
      </c>
      <c r="L3073" s="52" t="str">
        <f>VLOOKUP(Tabla3[[#This Row],[Site]],'Important Info!'!$A$1:$F$135,2,FALSE)</f>
        <v>14, 16</v>
      </c>
      <c r="M3073" s="52" t="str">
        <f>VLOOKUP(Tabla3[[#This Row],[Site]],'Important Info!'!$A$1:$F$135,3,FALSE)</f>
        <v>-</v>
      </c>
      <c r="N3073" s="52" t="str">
        <f>VLOOKUP(Tabla3[[#This Row],[Site]],'Important Info!'!$A$1:$F$135,4,FALSE)</f>
        <v>-</v>
      </c>
      <c r="O3073" s="52" t="str">
        <f>VLOOKUP(Tabla3[[#This Row],[Site]],'Important Info!'!$A$1:$F$135,5,FALSE)</f>
        <v>14, 15</v>
      </c>
      <c r="P3073" s="52" t="str">
        <f>VLOOKUP(Tabla3[[#This Row],[Site]],'Important Info!'!$A$1:$F$135,6,FALSE)</f>
        <v>12, 14, 16</v>
      </c>
      <c r="Q3073" s="91">
        <f>VLOOKUP(Tabla3[[#This Row],[Site]],'Important Info!'!$A$1:$J$135,9,FALSE)</f>
        <v>237</v>
      </c>
    </row>
    <row r="3074" spans="1:17" x14ac:dyDescent="0.25">
      <c r="A3074" t="str">
        <f>+Tabla3[[#This Row],[Site]]&amp;Tabla3[[#This Row],[Split]]</f>
        <v>(HUD) CDJR of Greensboro30</v>
      </c>
      <c r="B3074">
        <v>30</v>
      </c>
      <c r="C3074">
        <v>15</v>
      </c>
      <c r="D3074" t="s">
        <v>62</v>
      </c>
      <c r="E3074" t="s">
        <v>35</v>
      </c>
      <c r="F3074" t="s">
        <v>185</v>
      </c>
      <c r="G3074" t="s">
        <v>491</v>
      </c>
      <c r="H3074" s="52" t="str">
        <f>VLOOKUP(Tabla3[[#This Row],[Site]],'Important Info!'!$A$1:$J$135,10,FALSE)</f>
        <v>https://tools.sig.systems/site/details/215</v>
      </c>
      <c r="I3074" s="2" t="s">
        <v>184</v>
      </c>
      <c r="J3074" t="s">
        <v>36</v>
      </c>
      <c r="K3074" s="79" t="str">
        <f>VLOOKUP(Tabla3[[#This Row],[Site]],'Important Info!'!$A$1:$H$135,8,FALSE)</f>
        <v>-</v>
      </c>
      <c r="L3074" s="52" t="str">
        <f>VLOOKUP(Tabla3[[#This Row],[Site]],'Important Info!'!$A$1:$F$135,2,FALSE)</f>
        <v>2, 12</v>
      </c>
      <c r="M3074" s="52" t="str">
        <f>VLOOKUP(Tabla3[[#This Row],[Site]],'Important Info!'!$A$1:$F$135,3,FALSE)</f>
        <v>-</v>
      </c>
      <c r="N3074" s="52" t="str">
        <f>VLOOKUP(Tabla3[[#This Row],[Site]],'Important Info!'!$A$1:$F$135,4,FALSE)</f>
        <v>-</v>
      </c>
      <c r="O3074" s="52" t="str">
        <f>VLOOKUP(Tabla3[[#This Row],[Site]],'Important Info!'!$A$1:$F$135,5,FALSE)</f>
        <v>3, 13</v>
      </c>
      <c r="P3074" s="52" t="str">
        <f>VLOOKUP(Tabla3[[#This Row],[Site]],'Important Info!'!$A$1:$F$135,6,FALSE)</f>
        <v>1, 17</v>
      </c>
      <c r="Q3074" s="91">
        <f>VLOOKUP(Tabla3[[#This Row],[Site]],'Important Info!'!$A$1:$J$135,9,FALSE)</f>
        <v>215</v>
      </c>
    </row>
    <row r="3075" spans="1:17" x14ac:dyDescent="0.25">
      <c r="A3075" t="str">
        <f>+Tabla3[[#This Row],[Site]]&amp;Tabla3[[#This Row],[Split]]</f>
        <v>(AS) Coggin Acura Ft Pierce (NO TOURS)30</v>
      </c>
      <c r="B3075">
        <v>30</v>
      </c>
      <c r="C3075">
        <v>16</v>
      </c>
      <c r="D3075" t="s">
        <v>62</v>
      </c>
      <c r="E3075" t="s">
        <v>35</v>
      </c>
      <c r="F3075" t="s">
        <v>500</v>
      </c>
      <c r="G3075" t="s">
        <v>490</v>
      </c>
      <c r="H3075" s="52" t="str">
        <f>VLOOKUP(Tabla3[[#This Row],[Site]],'Important Info!'!$A$1:$J$135,10,FALSE)</f>
        <v>https://tools.sig.systems/site/details/118</v>
      </c>
      <c r="I3075" s="43" t="s">
        <v>179</v>
      </c>
      <c r="J3075" t="s">
        <v>41</v>
      </c>
      <c r="K3075" s="79" t="str">
        <f>VLOOKUP(Tabla3[[#This Row],[Site]],'Important Info!'!$A$1:$H$135,8,FALSE)</f>
        <v>-</v>
      </c>
      <c r="L3075" s="52" t="str">
        <f>VLOOKUP(Tabla3[[#This Row],[Site]],'Important Info!'!$A$1:$F$135,2,FALSE)</f>
        <v>-</v>
      </c>
      <c r="M3075" s="52">
        <f>VLOOKUP(Tabla3[[#This Row],[Site]],'Important Info!'!$A$1:$F$135,3,FALSE)</f>
        <v>6</v>
      </c>
      <c r="N3075" s="52" t="str">
        <f>VLOOKUP(Tabla3[[#This Row],[Site]],'Important Info!'!$A$1:$F$135,4,FALSE)</f>
        <v>-</v>
      </c>
      <c r="O3075" s="52" t="str">
        <f>VLOOKUP(Tabla3[[#This Row],[Site]],'Important Info!'!$A$1:$F$135,5,FALSE)</f>
        <v>4, 6</v>
      </c>
      <c r="P3075" s="52">
        <f>VLOOKUP(Tabla3[[#This Row],[Site]],'Important Info!'!$A$1:$F$135,6,FALSE)</f>
        <v>1</v>
      </c>
      <c r="Q3075" s="91">
        <f>VLOOKUP(Tabla3[[#This Row],[Site]],'Important Info!'!$A$1:$J$135,9,FALSE)</f>
        <v>118</v>
      </c>
    </row>
    <row r="3076" spans="1:17" x14ac:dyDescent="0.25">
      <c r="A3076" t="str">
        <f>+Tabla3[[#This Row],[Site]]&amp;Tabla3[[#This Row],[Split]]</f>
        <v>(HUD) Honda Greensboro30</v>
      </c>
      <c r="B3076">
        <v>30</v>
      </c>
      <c r="C3076">
        <v>16</v>
      </c>
      <c r="D3076" t="s">
        <v>62</v>
      </c>
      <c r="E3076" t="s">
        <v>35</v>
      </c>
      <c r="F3076" t="s">
        <v>85</v>
      </c>
      <c r="G3076" t="s">
        <v>490</v>
      </c>
      <c r="H3076" s="52" t="str">
        <f>VLOOKUP(Tabla3[[#This Row],[Site]],'Important Info!'!$A$1:$J$135,10,FALSE)</f>
        <v>https://tools.sig.systems/site/details/230</v>
      </c>
      <c r="I3076" t="s">
        <v>186</v>
      </c>
      <c r="J3076" t="s">
        <v>41</v>
      </c>
      <c r="K3076" s="79" t="str">
        <f>VLOOKUP(Tabla3[[#This Row],[Site]],'Important Info!'!$A$1:$H$135,8,FALSE)</f>
        <v>-</v>
      </c>
      <c r="L3076" s="52" t="str">
        <f>VLOOKUP(Tabla3[[#This Row],[Site]],'Important Info!'!$A$1:$F$135,2,FALSE)</f>
        <v>1, 3,  15, 16, 22</v>
      </c>
      <c r="M3076" s="52" t="str">
        <f>VLOOKUP(Tabla3[[#This Row],[Site]],'Important Info!'!$A$1:$F$135,3,FALSE)</f>
        <v>-</v>
      </c>
      <c r="N3076" s="52" t="str">
        <f>VLOOKUP(Tabla3[[#This Row],[Site]],'Important Info!'!$A$1:$F$135,4,FALSE)</f>
        <v>-</v>
      </c>
      <c r="O3076" s="52" t="str">
        <f>VLOOKUP(Tabla3[[#This Row],[Site]],'Important Info!'!$A$1:$F$135,5,FALSE)</f>
        <v>3, 20</v>
      </c>
      <c r="P3076" s="52">
        <f>VLOOKUP(Tabla3[[#This Row],[Site]],'Important Info!'!$A$1:$F$135,6,FALSE)</f>
        <v>26</v>
      </c>
      <c r="Q3076" s="91">
        <f>VLOOKUP(Tabla3[[#This Row],[Site]],'Important Info!'!$A$1:$J$135,9,FALSE)</f>
        <v>230</v>
      </c>
    </row>
    <row r="3077" spans="1:17" x14ac:dyDescent="0.25">
      <c r="A3077" t="str">
        <f>+Tabla3[[#This Row],[Site]]&amp;Tabla3[[#This Row],[Split]]</f>
        <v>(ML) Honda of Little Rock30</v>
      </c>
      <c r="B3077">
        <v>30</v>
      </c>
      <c r="C3077">
        <v>16</v>
      </c>
      <c r="D3077" t="s">
        <v>33</v>
      </c>
      <c r="E3077" t="s">
        <v>46</v>
      </c>
      <c r="F3077" t="s">
        <v>71</v>
      </c>
      <c r="G3077" t="s">
        <v>34</v>
      </c>
      <c r="H3077" s="52" t="str">
        <f>VLOOKUP(Tabla3[[#This Row],[Site]],'Important Info!'!$A$1:$J$135,10,FALSE)</f>
        <v>https://tools.sig.systems/site/details/249</v>
      </c>
      <c r="I3077" s="43" t="s">
        <v>140</v>
      </c>
      <c r="J3077" t="s">
        <v>41</v>
      </c>
      <c r="K3077" s="79" t="str">
        <f>VLOOKUP(Tabla3[[#This Row],[Site]],'Important Info!'!$A$1:$H$135,8,FALSE)</f>
        <v>-</v>
      </c>
      <c r="L3077" s="52" t="str">
        <f>VLOOKUP(Tabla3[[#This Row],[Site]],'Important Info!'!$A$1:$F$135,2,FALSE)</f>
        <v>1, 4, 9, 14, 21</v>
      </c>
      <c r="M3077" s="52" t="str">
        <f>VLOOKUP(Tabla3[[#This Row],[Site]],'Important Info!'!$A$1:$F$135,3,FALSE)</f>
        <v>-</v>
      </c>
      <c r="N3077" s="52" t="str">
        <f>VLOOKUP(Tabla3[[#This Row],[Site]],'Important Info!'!$A$1:$F$135,4,FALSE)</f>
        <v>-</v>
      </c>
      <c r="O3077" s="52" t="str">
        <f>VLOOKUP(Tabla3[[#This Row],[Site]],'Important Info!'!$A$1:$F$135,5,FALSE)</f>
        <v>4, 14, 21</v>
      </c>
      <c r="P3077" s="52" t="str">
        <f>VLOOKUP(Tabla3[[#This Row],[Site]],'Important Info!'!$A$1:$F$135,6,FALSE)</f>
        <v>11, 12</v>
      </c>
      <c r="Q3077" s="91">
        <f>VLOOKUP(Tabla3[[#This Row],[Site]],'Important Info!'!$A$1:$J$135,9,FALSE)</f>
        <v>249</v>
      </c>
    </row>
    <row r="3078" spans="1:17" x14ac:dyDescent="0.25">
      <c r="A3078" t="str">
        <f>+Tabla3[[#This Row],[Site]]&amp;Tabla3[[#This Row],[Split]]</f>
        <v>(PE) Honda of Danbury (NO TOURS)30</v>
      </c>
      <c r="B3078">
        <v>30</v>
      </c>
      <c r="C3078">
        <v>16</v>
      </c>
      <c r="D3078" t="s">
        <v>485</v>
      </c>
      <c r="E3078" t="s">
        <v>35</v>
      </c>
      <c r="F3078" t="s">
        <v>174</v>
      </c>
      <c r="G3078" t="s">
        <v>490</v>
      </c>
      <c r="H3078" s="52" t="str">
        <f>VLOOKUP(Tabla3[[#This Row],[Site]],'Important Info!'!$A$1:$J$135,10,FALSE)</f>
        <v>https://tools.sig.systems/site/details/190</v>
      </c>
      <c r="I3078" s="2"/>
      <c r="J3078" t="s">
        <v>41</v>
      </c>
      <c r="K3078" s="79" t="str">
        <f>VLOOKUP(Tabla3[[#This Row],[Site]],'Important Info!'!$A$1:$H$135,8,FALSE)</f>
        <v>-</v>
      </c>
      <c r="L3078" s="52" t="str">
        <f>VLOOKUP(Tabla3[[#This Row],[Site]],'Important Info!'!$A$1:$F$135,2,FALSE)</f>
        <v>-</v>
      </c>
      <c r="M3078" s="52" t="str">
        <f>VLOOKUP(Tabla3[[#This Row],[Site]],'Important Info!'!$A$1:$F$135,3,FALSE)</f>
        <v>20, 9</v>
      </c>
      <c r="N3078" s="52">
        <f>VLOOKUP(Tabla3[[#This Row],[Site]],'Important Info!'!$A$1:$F$135,4,FALSE)</f>
        <v>9</v>
      </c>
      <c r="O3078" s="52" t="str">
        <f>VLOOKUP(Tabla3[[#This Row],[Site]],'Important Info!'!$A$1:$F$135,5,FALSE)</f>
        <v>-</v>
      </c>
      <c r="P3078" s="52" t="str">
        <f>VLOOKUP(Tabla3[[#This Row],[Site]],'Important Info!'!$A$1:$F$135,6,FALSE)</f>
        <v>9, 16, 17</v>
      </c>
      <c r="Q3078" s="91">
        <f>VLOOKUP(Tabla3[[#This Row],[Site]],'Important Info!'!$A$1:$J$135,9,FALSE)</f>
        <v>190</v>
      </c>
    </row>
    <row r="3079" spans="1:17" x14ac:dyDescent="0.25">
      <c r="A3079" t="str">
        <f>+Tabla3[[#This Row],[Site]]&amp;Tabla3[[#This Row],[Split]]</f>
        <v>(AS) Audi of North Atlanta (NO TOURS)30</v>
      </c>
      <c r="B3079">
        <v>30</v>
      </c>
      <c r="C3079">
        <v>17</v>
      </c>
      <c r="D3079" t="s">
        <v>62</v>
      </c>
      <c r="E3079" t="s">
        <v>35</v>
      </c>
      <c r="F3079" t="s">
        <v>499</v>
      </c>
      <c r="G3079" t="s">
        <v>490</v>
      </c>
      <c r="H3079" s="52" t="str">
        <f>VLOOKUP(Tabla3[[#This Row],[Site]],'Important Info!'!$A$1:$J$135,10,FALSE)</f>
        <v>https://tools.sig.systems/site/details/124</v>
      </c>
      <c r="I3079" s="2" t="s">
        <v>166</v>
      </c>
      <c r="J3079" t="s">
        <v>41</v>
      </c>
      <c r="K3079" s="79" t="str">
        <f>VLOOKUP(Tabla3[[#This Row],[Site]],'Important Info!'!$A$1:$H$135,8,FALSE)</f>
        <v>-</v>
      </c>
      <c r="L3079" s="52" t="str">
        <f>VLOOKUP(Tabla3[[#This Row],[Site]],'Important Info!'!$A$1:$F$135,2,FALSE)</f>
        <v>1, 5, 16, 54</v>
      </c>
      <c r="M3079" s="52" t="str">
        <f>VLOOKUP(Tabla3[[#This Row],[Site]],'Important Info!'!$A$1:$F$135,3,FALSE)</f>
        <v>-</v>
      </c>
      <c r="N3079" s="52" t="str">
        <f>VLOOKUP(Tabla3[[#This Row],[Site]],'Important Info!'!$A$1:$F$135,4,FALSE)</f>
        <v>-</v>
      </c>
      <c r="O3079" s="52" t="str">
        <f>VLOOKUP(Tabla3[[#This Row],[Site]],'Important Info!'!$A$1:$F$135,5,FALSE)</f>
        <v>3, 16</v>
      </c>
      <c r="P3079" s="52" t="str">
        <f>VLOOKUP(Tabla3[[#This Row],[Site]],'Important Info!'!$A$1:$F$135,6,FALSE)</f>
        <v>2, 5, 6</v>
      </c>
      <c r="Q3079" s="91">
        <f>VLOOKUP(Tabla3[[#This Row],[Site]],'Important Info!'!$A$1:$J$135,9,FALSE)</f>
        <v>124</v>
      </c>
    </row>
    <row r="3080" spans="1:17" x14ac:dyDescent="0.25">
      <c r="A3080" t="str">
        <f>+Tabla3[[#This Row],[Site]]&amp;Tabla3[[#This Row],[Split]]</f>
        <v>(HUD) Paint and Body Center (NO TOURS)30</v>
      </c>
      <c r="B3080">
        <v>30</v>
      </c>
      <c r="C3080">
        <v>17</v>
      </c>
      <c r="D3080" t="s">
        <v>62</v>
      </c>
      <c r="E3080" t="s">
        <v>35</v>
      </c>
      <c r="F3080" t="s">
        <v>110</v>
      </c>
      <c r="G3080" t="s">
        <v>490</v>
      </c>
      <c r="H3080" s="52" t="str">
        <f>VLOOKUP(Tabla3[[#This Row],[Site]],'Important Info!'!$A$1:$J$135,10,FALSE)</f>
        <v>https://tools.sig.systems/site/details/256</v>
      </c>
      <c r="I3080" t="s">
        <v>184</v>
      </c>
      <c r="J3080" t="s">
        <v>41</v>
      </c>
      <c r="K3080" s="79" t="str">
        <f>VLOOKUP(Tabla3[[#This Row],[Site]],'Important Info!'!$A$1:$H$135,8,FALSE)</f>
        <v>-</v>
      </c>
      <c r="L3080" s="52" t="str">
        <f>VLOOKUP(Tabla3[[#This Row],[Site]],'Important Info!'!$A$1:$F$135,2,FALSE)</f>
        <v>-</v>
      </c>
      <c r="M3080" s="52">
        <f>VLOOKUP(Tabla3[[#This Row],[Site]],'Important Info!'!$A$1:$F$135,3,FALSE)</f>
        <v>1</v>
      </c>
      <c r="N3080" s="52" t="str">
        <f>VLOOKUP(Tabla3[[#This Row],[Site]],'Important Info!'!$A$1:$F$135,4,FALSE)</f>
        <v>-</v>
      </c>
      <c r="O3080" s="52" t="str">
        <f>VLOOKUP(Tabla3[[#This Row],[Site]],'Important Info!'!$A$1:$F$135,5,FALSE)</f>
        <v>-</v>
      </c>
      <c r="P3080" s="52" t="str">
        <f>VLOOKUP(Tabla3[[#This Row],[Site]],'Important Info!'!$A$1:$F$135,6,FALSE)</f>
        <v>-</v>
      </c>
      <c r="Q3080" s="91">
        <f>VLOOKUP(Tabla3[[#This Row],[Site]],'Important Info!'!$A$1:$J$135,9,FALSE)</f>
        <v>256</v>
      </c>
    </row>
    <row r="3081" spans="1:17" x14ac:dyDescent="0.25">
      <c r="A3081" t="str">
        <f>+Tabla3[[#This Row],[Site]]&amp;Tabla3[[#This Row],[Split]]</f>
        <v>(ML) Nissan of Little Rock30</v>
      </c>
      <c r="B3081">
        <v>30</v>
      </c>
      <c r="C3081">
        <v>17</v>
      </c>
      <c r="D3081" t="s">
        <v>33</v>
      </c>
      <c r="E3081" t="s">
        <v>46</v>
      </c>
      <c r="F3081" t="s">
        <v>152</v>
      </c>
      <c r="G3081" t="s">
        <v>34</v>
      </c>
      <c r="H3081" s="52" t="str">
        <f>VLOOKUP(Tabla3[[#This Row],[Site]],'Important Info!'!$A$1:$J$135,10,FALSE)</f>
        <v>https://tools.sig.systems/site/details/224</v>
      </c>
      <c r="I3081" t="s">
        <v>140</v>
      </c>
      <c r="J3081" t="s">
        <v>41</v>
      </c>
      <c r="K3081" s="79" t="str">
        <f>VLOOKUP(Tabla3[[#This Row],[Site]],'Important Info!'!$A$1:$H$135,8,FALSE)</f>
        <v>-</v>
      </c>
      <c r="L3081" s="52" t="str">
        <f>VLOOKUP(Tabla3[[#This Row],[Site]],'Important Info!'!$A$1:$F$135,2,FALSE)</f>
        <v>3, 6</v>
      </c>
      <c r="M3081" s="52" t="str">
        <f>VLOOKUP(Tabla3[[#This Row],[Site]],'Important Info!'!$A$1:$F$135,3,FALSE)</f>
        <v>-</v>
      </c>
      <c r="N3081" s="52" t="str">
        <f>VLOOKUP(Tabla3[[#This Row],[Site]],'Important Info!'!$A$1:$F$135,4,FALSE)</f>
        <v>-</v>
      </c>
      <c r="O3081" s="52" t="str">
        <f>VLOOKUP(Tabla3[[#This Row],[Site]],'Important Info!'!$A$1:$F$135,5,FALSE)</f>
        <v>1, 8, 16, 22</v>
      </c>
      <c r="P3081" s="52" t="str">
        <f>VLOOKUP(Tabla3[[#This Row],[Site]],'Important Info!'!$A$1:$F$135,6,FALSE)</f>
        <v>3, 4</v>
      </c>
      <c r="Q3081" s="91">
        <f>VLOOKUP(Tabla3[[#This Row],[Site]],'Important Info!'!$A$1:$J$135,9,FALSE)</f>
        <v>224</v>
      </c>
    </row>
    <row r="3082" spans="1:17" x14ac:dyDescent="0.25">
      <c r="A3082" t="str">
        <f>+Tabla3[[#This Row],[Site]]&amp;Tabla3[[#This Row],[Split]]</f>
        <v>(ML) Nissan of North Little Rock30</v>
      </c>
      <c r="B3082">
        <v>30</v>
      </c>
      <c r="C3082">
        <v>17</v>
      </c>
      <c r="D3082" t="s">
        <v>33</v>
      </c>
      <c r="E3082" t="s">
        <v>46</v>
      </c>
      <c r="F3082" t="s">
        <v>75</v>
      </c>
      <c r="G3082" t="s">
        <v>34</v>
      </c>
      <c r="H3082" s="52" t="str">
        <f>VLOOKUP(Tabla3[[#This Row],[Site]],'Important Info!'!$A$1:$J$135,10,FALSE)</f>
        <v>https://tools.sig.systems/site/details/216</v>
      </c>
      <c r="I3082" s="43" t="s">
        <v>142</v>
      </c>
      <c r="J3082" t="s">
        <v>41</v>
      </c>
      <c r="K3082" s="79" t="str">
        <f>VLOOKUP(Tabla3[[#This Row],[Site]],'Important Info!'!$A$1:$H$135,8,FALSE)</f>
        <v>-</v>
      </c>
      <c r="L3082" s="52" t="str">
        <f>VLOOKUP(Tabla3[[#This Row],[Site]],'Important Info!'!$A$1:$F$135,2,FALSE)</f>
        <v>2, 4</v>
      </c>
      <c r="M3082" s="52" t="str">
        <f>VLOOKUP(Tabla3[[#This Row],[Site]],'Important Info!'!$A$1:$F$135,3,FALSE)</f>
        <v>-</v>
      </c>
      <c r="N3082" s="52" t="str">
        <f>VLOOKUP(Tabla3[[#This Row],[Site]],'Important Info!'!$A$1:$F$135,4,FALSE)</f>
        <v>-</v>
      </c>
      <c r="O3082" s="52" t="str">
        <f>VLOOKUP(Tabla3[[#This Row],[Site]],'Important Info!'!$A$1:$F$135,5,FALSE)</f>
        <v>5, 17, 23</v>
      </c>
      <c r="P3082" s="52">
        <f>VLOOKUP(Tabla3[[#This Row],[Site]],'Important Info!'!$A$1:$F$135,6,FALSE)</f>
        <v>18</v>
      </c>
      <c r="Q3082" s="91">
        <f>VLOOKUP(Tabla3[[#This Row],[Site]],'Important Info!'!$A$1:$J$135,9,FALSE)</f>
        <v>216</v>
      </c>
    </row>
    <row r="3083" spans="1:17" x14ac:dyDescent="0.25">
      <c r="A3083" t="str">
        <f>+Tabla3[[#This Row],[Site]]&amp;Tabla3[[#This Row],[Split]]</f>
        <v>(AS) Courtesy Kia of Brandon (NO TOURS)30</v>
      </c>
      <c r="B3083">
        <v>30</v>
      </c>
      <c r="C3083">
        <v>18</v>
      </c>
      <c r="D3083" t="s">
        <v>62</v>
      </c>
      <c r="E3083" t="s">
        <v>35</v>
      </c>
      <c r="F3083" t="s">
        <v>505</v>
      </c>
      <c r="G3083" t="s">
        <v>490</v>
      </c>
      <c r="H3083" s="52" t="str">
        <f>VLOOKUP(Tabla3[[#This Row],[Site]],'Important Info!'!$A$1:$J$135,10,FALSE)</f>
        <v>https://tools.sig.systems/site/details/121</v>
      </c>
      <c r="I3083" s="43" t="s">
        <v>181</v>
      </c>
      <c r="J3083" t="s">
        <v>484</v>
      </c>
      <c r="K3083" s="79" t="str">
        <f>VLOOKUP(Tabla3[[#This Row],[Site]],'Important Info!'!$A$1:$H$135,8,FALSE)</f>
        <v>-</v>
      </c>
      <c r="L3083" s="52" t="str">
        <f>VLOOKUP(Tabla3[[#This Row],[Site]],'Important Info!'!$A$1:$F$135,2,FALSE)</f>
        <v>-</v>
      </c>
      <c r="M3083" s="52" t="str">
        <f>VLOOKUP(Tabla3[[#This Row],[Site]],'Important Info!'!$A$1:$F$135,3,FALSE)</f>
        <v>4, 8</v>
      </c>
      <c r="N3083" s="52" t="str">
        <f>VLOOKUP(Tabla3[[#This Row],[Site]],'Important Info!'!$A$1:$F$135,4,FALSE)</f>
        <v>-</v>
      </c>
      <c r="O3083" s="52" t="str">
        <f>VLOOKUP(Tabla3[[#This Row],[Site]],'Important Info!'!$A$1:$F$135,5,FALSE)</f>
        <v>3, 11, 20, 24</v>
      </c>
      <c r="P3083" s="52" t="str">
        <f>VLOOKUP(Tabla3[[#This Row],[Site]],'Important Info!'!$A$1:$F$135,6,FALSE)</f>
        <v>2, 8</v>
      </c>
      <c r="Q3083" s="91">
        <f>VLOOKUP(Tabla3[[#This Row],[Site]],'Important Info!'!$A$1:$J$135,9,FALSE)</f>
        <v>121</v>
      </c>
    </row>
    <row r="3084" spans="1:17" x14ac:dyDescent="0.25">
      <c r="A3084" t="str">
        <f>+Tabla3[[#This Row],[Site]]&amp;Tabla3[[#This Row],[Split]]</f>
        <v>(AS) Nalley Luxury Collision Center (NO TOURS)30</v>
      </c>
      <c r="B3084">
        <v>30</v>
      </c>
      <c r="C3084">
        <v>18</v>
      </c>
      <c r="D3084" t="s">
        <v>62</v>
      </c>
      <c r="E3084" t="s">
        <v>35</v>
      </c>
      <c r="F3084" t="s">
        <v>512</v>
      </c>
      <c r="G3084" t="s">
        <v>490</v>
      </c>
      <c r="H3084" s="52" t="str">
        <f>VLOOKUP(Tabla3[[#This Row],[Site]],'Important Info!'!$A$1:$J$135,10,FALSE)</f>
        <v>https://tools.sig.systems/site/details/263</v>
      </c>
      <c r="I3084" s="43" t="s">
        <v>166</v>
      </c>
      <c r="J3084" t="s">
        <v>41</v>
      </c>
      <c r="K3084" s="79" t="str">
        <f>VLOOKUP(Tabla3[[#This Row],[Site]],'Important Info!'!$A$1:$H$135,8,FALSE)</f>
        <v>-</v>
      </c>
      <c r="L3084" s="52" t="str">
        <f>VLOOKUP(Tabla3[[#This Row],[Site]],'Important Info!'!$A$1:$F$135,2,FALSE)</f>
        <v>6, 13</v>
      </c>
      <c r="M3084" s="52" t="str">
        <f>VLOOKUP(Tabla3[[#This Row],[Site]],'Important Info!'!$A$1:$F$135,3,FALSE)</f>
        <v>-</v>
      </c>
      <c r="N3084" s="52" t="str">
        <f>VLOOKUP(Tabla3[[#This Row],[Site]],'Important Info!'!$A$1:$F$135,4,FALSE)</f>
        <v>-</v>
      </c>
      <c r="O3084" s="52" t="str">
        <f>VLOOKUP(Tabla3[[#This Row],[Site]],'Important Info!'!$A$1:$F$135,5,FALSE)</f>
        <v>-</v>
      </c>
      <c r="P3084" s="52" t="str">
        <f>VLOOKUP(Tabla3[[#This Row],[Site]],'Important Info!'!$A$1:$F$135,6,FALSE)</f>
        <v>6, 7, 12</v>
      </c>
      <c r="Q3084" s="91">
        <f>VLOOKUP(Tabla3[[#This Row],[Site]],'Important Info!'!$A$1:$J$135,9,FALSE)</f>
        <v>263</v>
      </c>
    </row>
    <row r="3085" spans="1:17" x14ac:dyDescent="0.25">
      <c r="A3085" t="str">
        <f>+Tabla3[[#This Row],[Site]]&amp;Tabla3[[#This Row],[Split]]</f>
        <v>(DT) Denver (NO TOURS)30</v>
      </c>
      <c r="B3085">
        <v>30</v>
      </c>
      <c r="C3085">
        <v>18</v>
      </c>
      <c r="D3085" t="s">
        <v>44</v>
      </c>
      <c r="E3085" t="s">
        <v>53</v>
      </c>
      <c r="F3085" t="s">
        <v>157</v>
      </c>
      <c r="G3085" t="s">
        <v>45</v>
      </c>
      <c r="H3085" s="52" t="str">
        <f>VLOOKUP(Tabla3[[#This Row],[Site]],'Important Info!'!$A$1:$J$135,10,FALSE)</f>
        <v>https://tools.sig.systems/site/details/203</v>
      </c>
      <c r="I3085" s="43" t="s">
        <v>158</v>
      </c>
      <c r="J3085" t="s">
        <v>41</v>
      </c>
      <c r="K3085" s="79" t="str">
        <f>VLOOKUP(Tabla3[[#This Row],[Site]],'Important Info!'!$A$1:$H$135,8,FALSE)</f>
        <v>-</v>
      </c>
      <c r="L3085" s="52" t="str">
        <f>VLOOKUP(Tabla3[[#This Row],[Site]],'Important Info!'!$A$1:$F$135,2,FALSE)</f>
        <v>-</v>
      </c>
      <c r="M3085" s="52" t="str">
        <f>VLOOKUP(Tabla3[[#This Row],[Site]],'Important Info!'!$A$1:$F$135,3,FALSE)</f>
        <v>7, 8</v>
      </c>
      <c r="N3085" s="52" t="str">
        <f>VLOOKUP(Tabla3[[#This Row],[Site]],'Important Info!'!$A$1:$F$135,4,FALSE)</f>
        <v>-</v>
      </c>
      <c r="O3085" s="52" t="str">
        <f>VLOOKUP(Tabla3[[#This Row],[Site]],'Important Info!'!$A$1:$F$135,5,FALSE)</f>
        <v>-</v>
      </c>
      <c r="P3085" s="52" t="str">
        <f>VLOOKUP(Tabla3[[#This Row],[Site]],'Important Info!'!$A$1:$F$135,6,FALSE)</f>
        <v>7, 8</v>
      </c>
      <c r="Q3085" s="91">
        <f>VLOOKUP(Tabla3[[#This Row],[Site]],'Important Info!'!$A$1:$J$135,9,FALSE)</f>
        <v>203</v>
      </c>
    </row>
    <row r="3086" spans="1:17" x14ac:dyDescent="0.25">
      <c r="A3086" t="str">
        <f>+Tabla3[[#This Row],[Site]]&amp;Tabla3[[#This Row],[Split]]</f>
        <v>(DT) N. Houston30</v>
      </c>
      <c r="B3086">
        <v>30</v>
      </c>
      <c r="C3086">
        <v>18</v>
      </c>
      <c r="D3086" t="s">
        <v>33</v>
      </c>
      <c r="E3086" t="s">
        <v>46</v>
      </c>
      <c r="F3086" t="s">
        <v>68</v>
      </c>
      <c r="G3086" t="s">
        <v>34</v>
      </c>
      <c r="H3086" s="52" t="str">
        <f>VLOOKUP(Tabla3[[#This Row],[Site]],'Important Info!'!$A$1:$J$135,10,FALSE)</f>
        <v>https://tools.sig.systems/site/details/250</v>
      </c>
      <c r="I3086" s="43"/>
      <c r="J3086" t="s">
        <v>41</v>
      </c>
      <c r="K3086" s="79" t="str">
        <f>VLOOKUP(Tabla3[[#This Row],[Site]],'Important Info!'!$A$1:$H$135,8,FALSE)</f>
        <v>-</v>
      </c>
      <c r="L3086" s="52" t="str">
        <f>VLOOKUP(Tabla3[[#This Row],[Site]],'Important Info!'!$A$1:$F$135,2,FALSE)</f>
        <v>2, 10, 18</v>
      </c>
      <c r="M3086" s="52" t="str">
        <f>VLOOKUP(Tabla3[[#This Row],[Site]],'Important Info!'!$A$1:$F$135,3,FALSE)</f>
        <v>-</v>
      </c>
      <c r="N3086" s="52" t="str">
        <f>VLOOKUP(Tabla3[[#This Row],[Site]],'Important Info!'!$A$1:$F$135,4,FALSE)</f>
        <v>-</v>
      </c>
      <c r="O3086" s="52">
        <f>VLOOKUP(Tabla3[[#This Row],[Site]],'Important Info!'!$A$1:$F$135,5,FALSE)</f>
        <v>15</v>
      </c>
      <c r="P3086" s="52" t="str">
        <f>VLOOKUP(Tabla3[[#This Row],[Site]],'Important Info!'!$A$1:$F$135,6,FALSE)</f>
        <v>2, 4, 18</v>
      </c>
      <c r="Q3086" s="91">
        <f>VLOOKUP(Tabla3[[#This Row],[Site]],'Important Info!'!$A$1:$J$135,9,FALSE)</f>
        <v>250</v>
      </c>
    </row>
    <row r="3087" spans="1:17" x14ac:dyDescent="0.25">
      <c r="A3087" t="str">
        <f>+Tabla3[[#This Row],[Site]]&amp;Tabla3[[#This Row],[Split]]</f>
        <v>(ML) BMW of Little Rock30</v>
      </c>
      <c r="B3087">
        <v>30</v>
      </c>
      <c r="C3087">
        <v>18</v>
      </c>
      <c r="D3087" t="s">
        <v>33</v>
      </c>
      <c r="E3087" t="s">
        <v>46</v>
      </c>
      <c r="F3087" t="s">
        <v>139</v>
      </c>
      <c r="G3087" t="s">
        <v>34</v>
      </c>
      <c r="H3087" s="52" t="str">
        <f>VLOOKUP(Tabla3[[#This Row],[Site]],'Important Info!'!$A$1:$J$135,10,FALSE)</f>
        <v>https://tools.sig.systems/site/details/217</v>
      </c>
      <c r="I3087" t="s">
        <v>140</v>
      </c>
      <c r="J3087" t="s">
        <v>41</v>
      </c>
      <c r="K3087" s="79" t="str">
        <f>VLOOKUP(Tabla3[[#This Row],[Site]],'Important Info!'!$A$1:$H$135,8,FALSE)</f>
        <v>-</v>
      </c>
      <c r="L3087" s="52" t="str">
        <f>VLOOKUP(Tabla3[[#This Row],[Site]],'Important Info!'!$A$1:$F$135,2,FALSE)</f>
        <v>-</v>
      </c>
      <c r="M3087" s="52">
        <f>VLOOKUP(Tabla3[[#This Row],[Site]],'Important Info!'!$A$1:$F$135,3,FALSE)</f>
        <v>14</v>
      </c>
      <c r="N3087" s="52" t="str">
        <f>VLOOKUP(Tabla3[[#This Row],[Site]],'Important Info!'!$A$1:$F$135,4,FALSE)</f>
        <v>-</v>
      </c>
      <c r="O3087" s="52" t="str">
        <f>VLOOKUP(Tabla3[[#This Row],[Site]],'Important Info!'!$A$1:$F$135,5,FALSE)</f>
        <v>-</v>
      </c>
      <c r="P3087" s="52" t="str">
        <f>VLOOKUP(Tabla3[[#This Row],[Site]],'Important Info!'!$A$1:$F$135,6,FALSE)</f>
        <v>5, 6, 7, 8, 9, 32</v>
      </c>
      <c r="Q3087" s="91">
        <f>VLOOKUP(Tabla3[[#This Row],[Site]],'Important Info!'!$A$1:$J$135,9,FALSE)</f>
        <v>217</v>
      </c>
    </row>
    <row r="3088" spans="1:17" x14ac:dyDescent="0.25">
      <c r="A3088" t="str">
        <f>+Tabla3[[#This Row],[Site]]&amp;Tabla3[[#This Row],[Split]]</f>
        <v>(AS) Stevinson Chevrolet Golden (NO TOURS)30</v>
      </c>
      <c r="B3088">
        <v>30</v>
      </c>
      <c r="C3088">
        <v>19</v>
      </c>
      <c r="D3088" t="s">
        <v>488</v>
      </c>
      <c r="E3088" t="s">
        <v>53</v>
      </c>
      <c r="F3088" t="s">
        <v>190</v>
      </c>
      <c r="G3088" t="s">
        <v>45</v>
      </c>
      <c r="H3088" s="52" t="str">
        <f>VLOOKUP(Tabla3[[#This Row],[Site]],'Important Info!'!$A$1:$J$135,10,FALSE)</f>
        <v>https://tools.sig.systems/site/details/264</v>
      </c>
      <c r="I3088" s="2" t="s">
        <v>154</v>
      </c>
      <c r="J3088" t="s">
        <v>41</v>
      </c>
      <c r="K3088" s="79" t="str">
        <f>VLOOKUP(Tabla3[[#This Row],[Site]],'Important Info!'!$A$1:$H$135,8,FALSE)</f>
        <v>-</v>
      </c>
      <c r="L3088" s="52" t="str">
        <f>VLOOKUP(Tabla3[[#This Row],[Site]],'Important Info!'!$A$1:$F$135,2,FALSE)</f>
        <v>-</v>
      </c>
      <c r="M3088" s="52" t="str">
        <f>VLOOKUP(Tabla3[[#This Row],[Site]],'Important Info!'!$A$1:$F$135,3,FALSE)</f>
        <v>1, 19</v>
      </c>
      <c r="N3088" s="52" t="str">
        <f>VLOOKUP(Tabla3[[#This Row],[Site]],'Important Info!'!$A$1:$F$135,4,FALSE)</f>
        <v>-</v>
      </c>
      <c r="O3088" s="52" t="str">
        <f>VLOOKUP(Tabla3[[#This Row],[Site]],'Important Info!'!$A$1:$F$135,5,FALSE)</f>
        <v>14, 30</v>
      </c>
      <c r="P3088" s="52" t="str">
        <f>VLOOKUP(Tabla3[[#This Row],[Site]],'Important Info!'!$A$1:$F$135,6,FALSE)</f>
        <v>14, 33, 34, 35, 36</v>
      </c>
      <c r="Q3088" s="91">
        <f>VLOOKUP(Tabla3[[#This Row],[Site]],'Important Info!'!$A$1:$J$135,9,FALSE)</f>
        <v>264</v>
      </c>
    </row>
    <row r="3089" spans="1:17" x14ac:dyDescent="0.25">
      <c r="A3089" t="str">
        <f>+Tabla3[[#This Row],[Site]]&amp;Tabla3[[#This Row],[Split]]</f>
        <v>(DT) Colorado Springs (NO TOURS)30</v>
      </c>
      <c r="B3089">
        <v>30</v>
      </c>
      <c r="C3089">
        <v>19</v>
      </c>
      <c r="D3089" t="s">
        <v>44</v>
      </c>
      <c r="E3089" t="s">
        <v>53</v>
      </c>
      <c r="F3089" t="s">
        <v>156</v>
      </c>
      <c r="G3089" t="s">
        <v>45</v>
      </c>
      <c r="H3089" s="52" t="str">
        <f>VLOOKUP(Tabla3[[#This Row],[Site]],'Important Info!'!$A$1:$J$135,10,FALSE)</f>
        <v>https://tools.sig.systems/site/details/198</v>
      </c>
      <c r="J3089" t="s">
        <v>41</v>
      </c>
      <c r="K3089" s="79" t="str">
        <f>VLOOKUP(Tabla3[[#This Row],[Site]],'Important Info!'!$A$1:$H$135,8,FALSE)</f>
        <v>-</v>
      </c>
      <c r="L3089" s="52" t="str">
        <f>VLOOKUP(Tabla3[[#This Row],[Site]],'Important Info!'!$A$1:$F$135,2,FALSE)</f>
        <v>-</v>
      </c>
      <c r="M3089" s="52" t="str">
        <f>VLOOKUP(Tabla3[[#This Row],[Site]],'Important Info!'!$A$1:$F$135,3,FALSE)</f>
        <v>1, 2, 3, 4</v>
      </c>
      <c r="N3089" s="52" t="str">
        <f>VLOOKUP(Tabla3[[#This Row],[Site]],'Important Info!'!$A$1:$F$135,4,FALSE)</f>
        <v>-</v>
      </c>
      <c r="O3089" s="52" t="str">
        <f>VLOOKUP(Tabla3[[#This Row],[Site]],'Important Info!'!$A$1:$F$135,5,FALSE)</f>
        <v>-</v>
      </c>
      <c r="P3089" s="52" t="str">
        <f>VLOOKUP(Tabla3[[#This Row],[Site]],'Important Info!'!$A$1:$F$135,6,FALSE)</f>
        <v>1, 2, 3, 11</v>
      </c>
      <c r="Q3089" s="91">
        <f>VLOOKUP(Tabla3[[#This Row],[Site]],'Important Info!'!$A$1:$J$135,9,FALSE)</f>
        <v>198</v>
      </c>
    </row>
    <row r="3090" spans="1:17" x14ac:dyDescent="0.25">
      <c r="A3090" t="str">
        <f>+Tabla3[[#This Row],[Site]]&amp;Tabla3[[#This Row],[Split]]</f>
        <v>(KG) Clear Lake Pre-Owned30</v>
      </c>
      <c r="B3090">
        <v>30</v>
      </c>
      <c r="C3090">
        <v>19</v>
      </c>
      <c r="D3090" t="s">
        <v>33</v>
      </c>
      <c r="E3090" t="s">
        <v>46</v>
      </c>
      <c r="F3090" t="s">
        <v>87</v>
      </c>
      <c r="G3090" t="s">
        <v>34</v>
      </c>
      <c r="H3090" s="52" t="str">
        <f>VLOOKUP(Tabla3[[#This Row],[Site]],'Important Info!'!$A$1:$J$135,10,FALSE)</f>
        <v>https://tools.sig.systems/site/details/255</v>
      </c>
      <c r="I3090" s="2" t="s">
        <v>134</v>
      </c>
      <c r="J3090" t="s">
        <v>41</v>
      </c>
      <c r="K3090" s="79" t="str">
        <f>VLOOKUP(Tabla3[[#This Row],[Site]],'Important Info!'!$A$1:$H$135,8,FALSE)</f>
        <v>-</v>
      </c>
      <c r="L3090" s="52" t="str">
        <f>VLOOKUP(Tabla3[[#This Row],[Site]],'Important Info!'!$A$1:$F$135,2,FALSE)</f>
        <v>3, 5</v>
      </c>
      <c r="M3090" s="52" t="str">
        <f>VLOOKUP(Tabla3[[#This Row],[Site]],'Important Info!'!$A$1:$F$135,3,FALSE)</f>
        <v>-</v>
      </c>
      <c r="N3090" s="52" t="str">
        <f>VLOOKUP(Tabla3[[#This Row],[Site]],'Important Info!'!$A$1:$F$135,4,FALSE)</f>
        <v>-</v>
      </c>
      <c r="O3090" s="52" t="str">
        <f>VLOOKUP(Tabla3[[#This Row],[Site]],'Important Info!'!$A$1:$F$135,5,FALSE)</f>
        <v>4, 10, 22</v>
      </c>
      <c r="P3090" s="52" t="str">
        <f>VLOOKUP(Tabla3[[#This Row],[Site]],'Important Info!'!$A$1:$F$135,6,FALSE)</f>
        <v>8, 15, 20</v>
      </c>
      <c r="Q3090" s="91">
        <f>VLOOKUP(Tabla3[[#This Row],[Site]],'Important Info!'!$A$1:$J$135,9,FALSE)</f>
        <v>255</v>
      </c>
    </row>
    <row r="3091" spans="1:17" x14ac:dyDescent="0.25">
      <c r="A3091" t="str">
        <f>+Tabla3[[#This Row],[Site]]&amp;Tabla3[[#This Row],[Split]]</f>
        <v>(KT) Northwest CDJR (NO TOURS)30</v>
      </c>
      <c r="B3091">
        <v>30</v>
      </c>
      <c r="C3091">
        <v>19</v>
      </c>
      <c r="D3091" t="s">
        <v>33</v>
      </c>
      <c r="E3091" t="s">
        <v>46</v>
      </c>
      <c r="F3091" t="s">
        <v>77</v>
      </c>
      <c r="G3091" t="s">
        <v>34</v>
      </c>
      <c r="H3091" s="52" t="str">
        <f>VLOOKUP(Tabla3[[#This Row],[Site]],'Important Info!'!$A$1:$J$135,10,FALSE)</f>
        <v>https://tools.sig.systems/site/details/229</v>
      </c>
      <c r="I3091" s="2"/>
      <c r="J3091" t="s">
        <v>41</v>
      </c>
      <c r="K3091" s="79" t="str">
        <f>VLOOKUP(Tabla3[[#This Row],[Site]],'Important Info!'!$A$1:$H$135,8,FALSE)</f>
        <v>-</v>
      </c>
      <c r="L3091" s="52" t="str">
        <f>VLOOKUP(Tabla3[[#This Row],[Site]],'Important Info!'!$A$1:$F$135,2,FALSE)</f>
        <v>1, 3, 11, 25</v>
      </c>
      <c r="M3091" s="52" t="str">
        <f>VLOOKUP(Tabla3[[#This Row],[Site]],'Important Info!'!$A$1:$F$135,3,FALSE)</f>
        <v>-</v>
      </c>
      <c r="N3091" s="52" t="str">
        <f>VLOOKUP(Tabla3[[#This Row],[Site]],'Important Info!'!$A$1:$F$135,4,FALSE)</f>
        <v>-</v>
      </c>
      <c r="O3091" s="52" t="str">
        <f>VLOOKUP(Tabla3[[#This Row],[Site]],'Important Info!'!$A$1:$F$135,5,FALSE)</f>
        <v>4, 12, 18</v>
      </c>
      <c r="P3091" s="52" t="str">
        <f>VLOOKUP(Tabla3[[#This Row],[Site]],'Important Info!'!$A$1:$F$135,6,FALSE)</f>
        <v>-</v>
      </c>
      <c r="Q3091" s="91">
        <f>VLOOKUP(Tabla3[[#This Row],[Site]],'Important Info!'!$A$1:$J$135,9,FALSE)</f>
        <v>229</v>
      </c>
    </row>
    <row r="3092" spans="1:17" x14ac:dyDescent="0.25">
      <c r="A3092" t="str">
        <f>+Tabla3[[#This Row],[Site]]&amp;Tabla3[[#This Row],[Split]]</f>
        <v>(RV) Toms Camperland Surprise (NO TOURS)30</v>
      </c>
      <c r="B3092">
        <v>30</v>
      </c>
      <c r="C3092">
        <v>19</v>
      </c>
      <c r="D3092" t="s">
        <v>51</v>
      </c>
      <c r="E3092" t="s">
        <v>161</v>
      </c>
      <c r="F3092" t="s">
        <v>165</v>
      </c>
      <c r="G3092" t="s">
        <v>52</v>
      </c>
      <c r="H3092" s="52" t="str">
        <f>VLOOKUP(Tabla3[[#This Row],[Site]],'Important Info!'!$A$1:$J$135,10,FALSE)</f>
        <v>https://tools.sig.systems/site/details/254</v>
      </c>
      <c r="I3092" s="43"/>
      <c r="J3092" t="s">
        <v>52</v>
      </c>
      <c r="K3092" s="79" t="str">
        <f>VLOOKUP(Tabla3[[#This Row],[Site]],'Important Info!'!$A$1:$H$135,8,FALSE)</f>
        <v>-</v>
      </c>
      <c r="L3092" s="52" t="str">
        <f>VLOOKUP(Tabla3[[#This Row],[Site]],'Important Info!'!$A$1:$F$135,2,FALSE)</f>
        <v>1, 3, 4</v>
      </c>
      <c r="M3092" s="52" t="str">
        <f>VLOOKUP(Tabla3[[#This Row],[Site]],'Important Info!'!$A$1:$F$135,3,FALSE)</f>
        <v>-</v>
      </c>
      <c r="N3092" s="52" t="str">
        <f>VLOOKUP(Tabla3[[#This Row],[Site]],'Important Info!'!$A$1:$F$135,4,FALSE)</f>
        <v>-</v>
      </c>
      <c r="O3092" s="52" t="str">
        <f>VLOOKUP(Tabla3[[#This Row],[Site]],'Important Info!'!$A$1:$F$135,5,FALSE)</f>
        <v>-</v>
      </c>
      <c r="P3092" s="52" t="str">
        <f>VLOOKUP(Tabla3[[#This Row],[Site]],'Important Info!'!$A$1:$F$135,6,FALSE)</f>
        <v>1, 2, 3, 4, 15</v>
      </c>
      <c r="Q3092" s="91">
        <f>VLOOKUP(Tabla3[[#This Row],[Site]],'Important Info!'!$A$1:$J$135,9,FALSE)</f>
        <v>254</v>
      </c>
    </row>
    <row r="3093" spans="1:17" x14ac:dyDescent="0.25">
      <c r="A3093" t="str">
        <f>+Tabla3[[#This Row],[Site]]&amp;Tabla3[[#This Row],[Split]]</f>
        <v>(AS) Courtesy CDJR of Brandon (NO TOURS)30</v>
      </c>
      <c r="B3093">
        <v>30</v>
      </c>
      <c r="C3093">
        <v>20</v>
      </c>
      <c r="D3093" t="s">
        <v>62</v>
      </c>
      <c r="E3093" t="s">
        <v>35</v>
      </c>
      <c r="F3093" t="s">
        <v>503</v>
      </c>
      <c r="G3093" t="s">
        <v>490</v>
      </c>
      <c r="H3093" s="52" t="str">
        <f>VLOOKUP(Tabla3[[#This Row],[Site]],'Important Info!'!$A$1:$J$135,10,FALSE)</f>
        <v>https://tools.sig.systems/site/details/126</v>
      </c>
      <c r="I3093" s="2" t="s">
        <v>181</v>
      </c>
      <c r="J3093" t="s">
        <v>484</v>
      </c>
      <c r="K3093" s="79" t="str">
        <f>VLOOKUP(Tabla3[[#This Row],[Site]],'Important Info!'!$A$1:$H$135,8,FALSE)</f>
        <v>-</v>
      </c>
      <c r="L3093" s="52" t="str">
        <f>VLOOKUP(Tabla3[[#This Row],[Site]],'Important Info!'!$A$1:$F$135,2,FALSE)</f>
        <v>1, 14, 15</v>
      </c>
      <c r="M3093" s="52">
        <f>VLOOKUP(Tabla3[[#This Row],[Site]],'Important Info!'!$A$1:$F$135,3,FALSE)</f>
        <v>1</v>
      </c>
      <c r="N3093" s="52" t="str">
        <f>VLOOKUP(Tabla3[[#This Row],[Site]],'Important Info!'!$A$1:$F$135,4,FALSE)</f>
        <v>-</v>
      </c>
      <c r="O3093" s="52" t="str">
        <f>VLOOKUP(Tabla3[[#This Row],[Site]],'Important Info!'!$A$1:$F$135,5,FALSE)</f>
        <v>2, 12</v>
      </c>
      <c r="P3093" s="52" t="str">
        <f>VLOOKUP(Tabla3[[#This Row],[Site]],'Important Info!'!$A$1:$F$135,6,FALSE)</f>
        <v xml:space="preserve">1, 2, 3, 4, 14, 15, 21, 25 </v>
      </c>
      <c r="Q3093" s="91">
        <f>VLOOKUP(Tabla3[[#This Row],[Site]],'Important Info!'!$A$1:$J$135,9,FALSE)</f>
        <v>126</v>
      </c>
    </row>
    <row r="3094" spans="1:17" x14ac:dyDescent="0.25">
      <c r="A3094" t="str">
        <f>+Tabla3[[#This Row],[Site]]&amp;Tabla3[[#This Row],[Split]]</f>
        <v>(KG) Big Star CDJR of Clear Lake30</v>
      </c>
      <c r="B3094">
        <v>30</v>
      </c>
      <c r="C3094">
        <v>20</v>
      </c>
      <c r="D3094" t="s">
        <v>33</v>
      </c>
      <c r="E3094" t="s">
        <v>46</v>
      </c>
      <c r="F3094" t="s">
        <v>133</v>
      </c>
      <c r="G3094" t="s">
        <v>34</v>
      </c>
      <c r="H3094" s="52" t="str">
        <f>VLOOKUP(Tabla3[[#This Row],[Site]],'Important Info!'!$A$1:$J$135,10,FALSE)</f>
        <v>https://tools.sig.systems/site/details/232</v>
      </c>
      <c r="I3094" s="2" t="s">
        <v>134</v>
      </c>
      <c r="J3094" t="s">
        <v>41</v>
      </c>
      <c r="K3094" s="79" t="str">
        <f>VLOOKUP(Tabla3[[#This Row],[Site]],'Important Info!'!$A$1:$H$135,8,FALSE)</f>
        <v>-</v>
      </c>
      <c r="L3094" s="52" t="str">
        <f>VLOOKUP(Tabla3[[#This Row],[Site]],'Important Info!'!$A$1:$F$135,2,FALSE)</f>
        <v>8, 25</v>
      </c>
      <c r="M3094" s="52" t="str">
        <f>VLOOKUP(Tabla3[[#This Row],[Site]],'Important Info!'!$A$1:$F$135,3,FALSE)</f>
        <v>-</v>
      </c>
      <c r="N3094" s="52" t="str">
        <f>VLOOKUP(Tabla3[[#This Row],[Site]],'Important Info!'!$A$1:$F$135,4,FALSE)</f>
        <v>-</v>
      </c>
      <c r="O3094" s="52" t="str">
        <f>VLOOKUP(Tabla3[[#This Row],[Site]],'Important Info!'!$A$1:$F$135,5,FALSE)</f>
        <v>7, 13, 19, 24</v>
      </c>
      <c r="P3094" s="52" t="str">
        <f>VLOOKUP(Tabla3[[#This Row],[Site]],'Important Info!'!$A$1:$F$135,6,FALSE)</f>
        <v>6, 8, 25, 31</v>
      </c>
      <c r="Q3094" s="91">
        <f>VLOOKUP(Tabla3[[#This Row],[Site]],'Important Info!'!$A$1:$J$135,9,FALSE)</f>
        <v>232</v>
      </c>
    </row>
    <row r="3095" spans="1:17" x14ac:dyDescent="0.25">
      <c r="A3095" t="str">
        <f>+Tabla3[[#This Row],[Site]]&amp;Tabla3[[#This Row],[Split]]</f>
        <v>(KG) Big Star Ford30</v>
      </c>
      <c r="B3095">
        <v>30</v>
      </c>
      <c r="C3095">
        <v>20</v>
      </c>
      <c r="D3095" t="s">
        <v>33</v>
      </c>
      <c r="E3095" t="s">
        <v>46</v>
      </c>
      <c r="F3095" t="s">
        <v>135</v>
      </c>
      <c r="G3095" t="s">
        <v>34</v>
      </c>
      <c r="H3095" s="52" t="str">
        <f>VLOOKUP(Tabla3[[#This Row],[Site]],'Important Info!'!$A$1:$J$135,10,FALSE)</f>
        <v>https://tools.sig.systems/site/details/235</v>
      </c>
      <c r="I3095" s="43"/>
      <c r="J3095" t="s">
        <v>41</v>
      </c>
      <c r="K3095" s="79" t="str">
        <f>VLOOKUP(Tabla3[[#This Row],[Site]],'Important Info!'!$A$1:$H$135,8,FALSE)</f>
        <v>-</v>
      </c>
      <c r="L3095" s="52" t="str">
        <f>VLOOKUP(Tabla3[[#This Row],[Site]],'Important Info!'!$A$1:$F$135,2,FALSE)</f>
        <v>4, 22, 32, 33</v>
      </c>
      <c r="M3095" s="52" t="str">
        <f>VLOOKUP(Tabla3[[#This Row],[Site]],'Important Info!'!$A$1:$F$135,3,FALSE)</f>
        <v>-</v>
      </c>
      <c r="N3095" s="52" t="str">
        <f>VLOOKUP(Tabla3[[#This Row],[Site]],'Important Info!'!$A$1:$F$135,4,FALSE)</f>
        <v>-</v>
      </c>
      <c r="O3095" s="52" t="str">
        <f>VLOOKUP(Tabla3[[#This Row],[Site]],'Important Info!'!$A$1:$F$135,5,FALSE)</f>
        <v>1, 5, 12, 21</v>
      </c>
      <c r="P3095" s="52">
        <f>VLOOKUP(Tabla3[[#This Row],[Site]],'Important Info!'!$A$1:$F$135,6,FALSE)</f>
        <v>22</v>
      </c>
      <c r="Q3095" s="91">
        <f>VLOOKUP(Tabla3[[#This Row],[Site]],'Important Info!'!$A$1:$J$135,9,FALSE)</f>
        <v>235</v>
      </c>
    </row>
    <row r="3096" spans="1:17" x14ac:dyDescent="0.25">
      <c r="A3096" t="str">
        <f>+Tabla3[[#This Row],[Site]]&amp;Tabla3[[#This Row],[Split]]</f>
        <v>(AS) Plaza Lexus/Mercedes/BMW (NO TOURS)30</v>
      </c>
      <c r="B3096">
        <v>30</v>
      </c>
      <c r="C3096">
        <v>21</v>
      </c>
      <c r="D3096" t="s">
        <v>33</v>
      </c>
      <c r="E3096" t="s">
        <v>46</v>
      </c>
      <c r="F3096" t="s">
        <v>92</v>
      </c>
      <c r="G3096" t="s">
        <v>34</v>
      </c>
      <c r="H3096" s="52" t="str">
        <f>VLOOKUP(Tabla3[[#This Row],[Site]],'Important Info!'!$A$1:$J$135,10,FALSE)</f>
        <v>https://tools.sig.systems/site/details/141</v>
      </c>
      <c r="I3096" t="s">
        <v>130</v>
      </c>
      <c r="J3096" t="s">
        <v>41</v>
      </c>
      <c r="K3096" s="79" t="str">
        <f>VLOOKUP(Tabla3[[#This Row],[Site]],'Important Info!'!$A$1:$H$135,8,FALSE)</f>
        <v>-</v>
      </c>
      <c r="L3096" s="52" t="str">
        <f>VLOOKUP(Tabla3[[#This Row],[Site]],'Important Info!'!$A$1:$F$135,2,FALSE)</f>
        <v>3, 4, 18</v>
      </c>
      <c r="M3096" s="52" t="str">
        <f>VLOOKUP(Tabla3[[#This Row],[Site]],'Important Info!'!$A$1:$F$135,3,FALSE)</f>
        <v>9, 10, 12, 13, 16, 17</v>
      </c>
      <c r="N3096" s="52" t="str">
        <f>VLOOKUP(Tabla3[[#This Row],[Site]],'Important Info!'!$A$1:$F$135,4,FALSE)</f>
        <v>-</v>
      </c>
      <c r="O3096" s="52">
        <f>VLOOKUP(Tabla3[[#This Row],[Site]],'Important Info!'!$A$1:$F$135,5,FALSE)</f>
        <v>2</v>
      </c>
      <c r="P3096" s="52" t="str">
        <f>VLOOKUP(Tabla3[[#This Row],[Site]],'Important Info!'!$A$1:$F$135,6,FALSE)</f>
        <v>2, 16</v>
      </c>
      <c r="Q3096" s="91">
        <f>VLOOKUP(Tabla3[[#This Row],[Site]],'Important Info!'!$A$1:$J$135,9,FALSE)</f>
        <v>141</v>
      </c>
    </row>
    <row r="3097" spans="1:17" x14ac:dyDescent="0.25">
      <c r="A3097" t="str">
        <f>+Tabla3[[#This Row],[Site]]&amp;Tabla3[[#This Row],[Split]]</f>
        <v>(AS) Stevinson Lexus of Lakewood (NO TOURS)30</v>
      </c>
      <c r="B3097">
        <v>30</v>
      </c>
      <c r="C3097">
        <v>21</v>
      </c>
      <c r="D3097" t="s">
        <v>44</v>
      </c>
      <c r="E3097" t="s">
        <v>53</v>
      </c>
      <c r="F3097" t="s">
        <v>523</v>
      </c>
      <c r="G3097" t="s">
        <v>45</v>
      </c>
      <c r="H3097" s="52" t="str">
        <f>VLOOKUP(Tabla3[[#This Row],[Site]],'Important Info!'!$A$1:$J$135,10,FALSE)</f>
        <v>https://tools.sig.systems/site/details/260</v>
      </c>
      <c r="I3097" s="43" t="s">
        <v>154</v>
      </c>
      <c r="J3097" t="s">
        <v>41</v>
      </c>
      <c r="K3097" s="79" t="str">
        <f>VLOOKUP(Tabla3[[#This Row],[Site]],'Important Info!'!$A$1:$H$135,8,FALSE)</f>
        <v>-</v>
      </c>
      <c r="L3097" s="52" t="str">
        <f>VLOOKUP(Tabla3[[#This Row],[Site]],'Important Info!'!$A$1:$F$135,2,FALSE)</f>
        <v>-</v>
      </c>
      <c r="M3097" s="52" t="str">
        <f>VLOOKUP(Tabla3[[#This Row],[Site]],'Important Info!'!$A$1:$F$135,3,FALSE)</f>
        <v>2, 10</v>
      </c>
      <c r="N3097" s="52" t="str">
        <f>VLOOKUP(Tabla3[[#This Row],[Site]],'Important Info!'!$A$1:$F$135,4,FALSE)</f>
        <v>9, 17</v>
      </c>
      <c r="O3097" s="52" t="str">
        <f>VLOOKUP(Tabla3[[#This Row],[Site]],'Important Info!'!$A$1:$F$135,5,FALSE)</f>
        <v>-</v>
      </c>
      <c r="P3097" s="52" t="str">
        <f>VLOOKUP(Tabla3[[#This Row],[Site]],'Important Info!'!$A$1:$F$135,6,FALSE)</f>
        <v>1, 2</v>
      </c>
      <c r="Q3097" s="91">
        <f>VLOOKUP(Tabla3[[#This Row],[Site]],'Important Info!'!$A$1:$J$135,9,FALSE)</f>
        <v>260</v>
      </c>
    </row>
    <row r="3098" spans="1:17" x14ac:dyDescent="0.25">
      <c r="A3098" t="str">
        <f>+Tabla3[[#This Row],[Site]]&amp;Tabla3[[#This Row],[Split]]</f>
        <v>(ML) Toyota N Little Rock30</v>
      </c>
      <c r="B3098">
        <v>30</v>
      </c>
      <c r="C3098">
        <v>21</v>
      </c>
      <c r="D3098" t="s">
        <v>33</v>
      </c>
      <c r="E3098" t="s">
        <v>46</v>
      </c>
      <c r="F3098" t="s">
        <v>76</v>
      </c>
      <c r="G3098" t="s">
        <v>34</v>
      </c>
      <c r="H3098" s="52" t="str">
        <f>VLOOKUP(Tabla3[[#This Row],[Site]],'Important Info!'!$A$1:$J$135,10,FALSE)</f>
        <v>https://tools.sig.systems/site/details/201</v>
      </c>
      <c r="I3098" s="43" t="s">
        <v>142</v>
      </c>
      <c r="J3098" t="s">
        <v>41</v>
      </c>
      <c r="K3098" s="79" t="str">
        <f>VLOOKUP(Tabla3[[#This Row],[Site]],'Important Info!'!$A$1:$H$135,8,FALSE)</f>
        <v>-</v>
      </c>
      <c r="L3098" s="52" t="str">
        <f>VLOOKUP(Tabla3[[#This Row],[Site]],'Important Info!'!$A$1:$F$135,2,FALSE)</f>
        <v>4, 15, 18, 22, 23, 26</v>
      </c>
      <c r="M3098" s="52" t="str">
        <f>VLOOKUP(Tabla3[[#This Row],[Site]],'Important Info!'!$A$1:$F$135,3,FALSE)</f>
        <v>-</v>
      </c>
      <c r="N3098" s="52" t="str">
        <f>VLOOKUP(Tabla3[[#This Row],[Site]],'Important Info!'!$A$1:$F$135,4,FALSE)</f>
        <v>-</v>
      </c>
      <c r="O3098" s="52" t="str">
        <f>VLOOKUP(Tabla3[[#This Row],[Site]],'Important Info!'!$A$1:$F$135,5,FALSE)</f>
        <v>2, 12, 13, 18</v>
      </c>
      <c r="P3098" s="52" t="str">
        <f>VLOOKUP(Tabla3[[#This Row],[Site]],'Important Info!'!$A$1:$F$135,6,FALSE)</f>
        <v>-</v>
      </c>
      <c r="Q3098" s="91">
        <f>VLOOKUP(Tabla3[[#This Row],[Site]],'Important Info!'!$A$1:$J$135,9,FALSE)</f>
        <v>201</v>
      </c>
    </row>
    <row r="3099" spans="1:17" x14ac:dyDescent="0.25">
      <c r="A3099" t="str">
        <f>+Tabla3[[#This Row],[Site]]&amp;Tabla3[[#This Row],[Split]]</f>
        <v>(TC) Tavernier Creek Marina (NO TOURS)30</v>
      </c>
      <c r="B3099">
        <v>30</v>
      </c>
      <c r="C3099">
        <v>21</v>
      </c>
      <c r="D3099" t="s">
        <v>62</v>
      </c>
      <c r="E3099" t="s">
        <v>35</v>
      </c>
      <c r="F3099" t="s">
        <v>119</v>
      </c>
      <c r="G3099" t="s">
        <v>34</v>
      </c>
      <c r="H3099" s="52" t="str">
        <f>VLOOKUP(Tabla3[[#This Row],[Site]],'Important Info!'!$A$1:$J$135,10,FALSE)</f>
        <v>https://tools.sig.systems/site/details/164</v>
      </c>
      <c r="J3099" t="s">
        <v>45</v>
      </c>
      <c r="K3099" s="79" t="str">
        <f>VLOOKUP(Tabla3[[#This Row],[Site]],'Important Info!'!$A$1:$H$135,8,FALSE)</f>
        <v>-</v>
      </c>
      <c r="L3099" s="52" t="str">
        <f>VLOOKUP(Tabla3[[#This Row],[Site]],'Important Info!'!$A$1:$F$135,2,FALSE)</f>
        <v>28, 29</v>
      </c>
      <c r="M3099" s="52" t="str">
        <f>VLOOKUP(Tabla3[[#This Row],[Site]],'Important Info!'!$A$1:$F$135,3,FALSE)</f>
        <v>-</v>
      </c>
      <c r="N3099" s="52" t="str">
        <f>VLOOKUP(Tabla3[[#This Row],[Site]],'Important Info!'!$A$1:$F$135,4,FALSE)</f>
        <v>-</v>
      </c>
      <c r="O3099" s="52" t="str">
        <f>VLOOKUP(Tabla3[[#This Row],[Site]],'Important Info!'!$A$1:$F$135,5,FALSE)</f>
        <v>-</v>
      </c>
      <c r="P3099" s="52" t="str">
        <f>VLOOKUP(Tabla3[[#This Row],[Site]],'Important Info!'!$A$1:$F$135,6,FALSE)</f>
        <v>5, 28, 29</v>
      </c>
      <c r="Q3099" s="91">
        <f>VLOOKUP(Tabla3[[#This Row],[Site]],'Important Info!'!$A$1:$J$135,9,FALSE)</f>
        <v>164</v>
      </c>
    </row>
    <row r="3100" spans="1:17" x14ac:dyDescent="0.25">
      <c r="A3100" t="str">
        <f>+Tabla3[[#This Row],[Site]]&amp;Tabla3[[#This Row],[Split]]</f>
        <v>(AS) Courtesy Hyundai/Nissan Tampa (NO TOURS)30</v>
      </c>
      <c r="B3100">
        <v>30</v>
      </c>
      <c r="C3100">
        <v>22</v>
      </c>
      <c r="D3100" t="s">
        <v>62</v>
      </c>
      <c r="E3100" t="s">
        <v>35</v>
      </c>
      <c r="F3100" t="s">
        <v>504</v>
      </c>
      <c r="G3100" t="s">
        <v>490</v>
      </c>
      <c r="H3100" s="52" t="str">
        <f>VLOOKUP(Tabla3[[#This Row],[Site]],'Important Info!'!$A$1:$J$135,10,FALSE)</f>
        <v>https://tools.sig.systems/site/details/128</v>
      </c>
      <c r="I3100" s="43"/>
      <c r="J3100" t="s">
        <v>484</v>
      </c>
      <c r="K3100" s="79" t="str">
        <f>VLOOKUP(Tabla3[[#This Row],[Site]],'Important Info!'!$A$1:$H$135,8,FALSE)</f>
        <v>-</v>
      </c>
      <c r="L3100" s="52" t="str">
        <f>VLOOKUP(Tabla3[[#This Row],[Site]],'Important Info!'!$A$1:$F$135,2,FALSE)</f>
        <v>1, 16, 25, 27, 32</v>
      </c>
      <c r="M3100" s="52" t="str">
        <f>VLOOKUP(Tabla3[[#This Row],[Site]],'Important Info!'!$A$1:$F$135,3,FALSE)</f>
        <v>-</v>
      </c>
      <c r="N3100" s="52" t="str">
        <f>VLOOKUP(Tabla3[[#This Row],[Site]],'Important Info!'!$A$1:$F$135,4,FALSE)</f>
        <v>-</v>
      </c>
      <c r="O3100" s="52" t="str">
        <f>VLOOKUP(Tabla3[[#This Row],[Site]],'Important Info!'!$A$1:$F$135,5,FALSE)</f>
        <v>4, 10, 16</v>
      </c>
      <c r="P3100" s="52" t="str">
        <f>VLOOKUP(Tabla3[[#This Row],[Site]],'Important Info!'!$A$1:$F$135,6,FALSE)</f>
        <v>24, 25, 26 &amp; Remote Lots</v>
      </c>
      <c r="Q3100" s="91">
        <f>VLOOKUP(Tabla3[[#This Row],[Site]],'Important Info!'!$A$1:$J$135,9,FALSE)</f>
        <v>128</v>
      </c>
    </row>
    <row r="3101" spans="1:17" x14ac:dyDescent="0.25">
      <c r="A3101" t="str">
        <f>+Tabla3[[#This Row],[Site]]&amp;Tabla3[[#This Row],[Split]]</f>
        <v>(AS) Plaza Audi/Infiniti (NO TOURS)30</v>
      </c>
      <c r="B3101">
        <v>30</v>
      </c>
      <c r="C3101">
        <v>22</v>
      </c>
      <c r="D3101" t="s">
        <v>33</v>
      </c>
      <c r="E3101" t="s">
        <v>46</v>
      </c>
      <c r="F3101" t="s">
        <v>91</v>
      </c>
      <c r="G3101" t="s">
        <v>34</v>
      </c>
      <c r="H3101" s="52" t="str">
        <f>VLOOKUP(Tabla3[[#This Row],[Site]],'Important Info!'!$A$1:$J$135,10,FALSE)</f>
        <v>https://tools.sig.systems/site/details/141</v>
      </c>
      <c r="I3101" t="s">
        <v>130</v>
      </c>
      <c r="J3101" t="s">
        <v>41</v>
      </c>
      <c r="K3101" s="79" t="str">
        <f>VLOOKUP(Tabla3[[#This Row],[Site]],'Important Info!'!$A$1:$H$135,8,FALSE)</f>
        <v>-</v>
      </c>
      <c r="L3101" s="52" t="str">
        <f>VLOOKUP(Tabla3[[#This Row],[Site]],'Important Info!'!$A$1:$F$135,2,FALSE)</f>
        <v>7, 25</v>
      </c>
      <c r="M3101" s="52" t="str">
        <f>VLOOKUP(Tabla3[[#This Row],[Site]],'Important Info!'!$A$1:$F$135,3,FALSE)</f>
        <v>15, 17, 18</v>
      </c>
      <c r="N3101" s="52" t="str">
        <f>VLOOKUP(Tabla3[[#This Row],[Site]],'Important Info!'!$A$1:$F$135,4,FALSE)</f>
        <v>-</v>
      </c>
      <c r="O3101" s="52" t="str">
        <f>VLOOKUP(Tabla3[[#This Row],[Site]],'Important Info!'!$A$1:$F$135,5,FALSE)</f>
        <v>1, 24</v>
      </c>
      <c r="P3101" s="52" t="str">
        <f>VLOOKUP(Tabla3[[#This Row],[Site]],'Important Info!'!$A$1:$F$135,6,FALSE)</f>
        <v>3, 15, 17</v>
      </c>
      <c r="Q3101" s="91">
        <f>VLOOKUP(Tabla3[[#This Row],[Site]],'Important Info!'!$A$1:$J$135,9,FALSE)</f>
        <v>141</v>
      </c>
    </row>
    <row r="3102" spans="1:17" x14ac:dyDescent="0.25">
      <c r="A3102" t="str">
        <f>+Tabla3[[#This Row],[Site]]&amp;Tabla3[[#This Row],[Split]]</f>
        <v>(DT) Escondido30</v>
      </c>
      <c r="B3102">
        <v>30</v>
      </c>
      <c r="C3102">
        <v>22</v>
      </c>
      <c r="D3102" t="s">
        <v>51</v>
      </c>
      <c r="E3102" t="s">
        <v>159</v>
      </c>
      <c r="F3102" t="s">
        <v>112</v>
      </c>
      <c r="G3102" t="s">
        <v>164</v>
      </c>
      <c r="H3102" s="52" t="str">
        <f>VLOOKUP(Tabla3[[#This Row],[Site]],'Important Info!'!$A$1:$J$135,10,FALSE)</f>
        <v>https://tools.sig.systems/site/details/196</v>
      </c>
      <c r="I3102" s="2"/>
      <c r="J3102" t="s">
        <v>41</v>
      </c>
      <c r="K3102" s="79" t="str">
        <f>VLOOKUP(Tabla3[[#This Row],[Site]],'Important Info!'!$A$1:$H$135,8,FALSE)</f>
        <v>Saturday Drop Time 9:00 A.M.</v>
      </c>
      <c r="L3102" s="52" t="str">
        <f>VLOOKUP(Tabla3[[#This Row],[Site]],'Important Info!'!$A$1:$F$135,2,FALSE)</f>
        <v>1, 2</v>
      </c>
      <c r="M3102" s="52" t="str">
        <f>VLOOKUP(Tabla3[[#This Row],[Site]],'Important Info!'!$A$1:$F$135,3,FALSE)</f>
        <v>-</v>
      </c>
      <c r="N3102" s="52" t="str">
        <f>VLOOKUP(Tabla3[[#This Row],[Site]],'Important Info!'!$A$1:$F$135,4,FALSE)</f>
        <v>-</v>
      </c>
      <c r="O3102" s="52" t="str">
        <f>VLOOKUP(Tabla3[[#This Row],[Site]],'Important Info!'!$A$1:$F$135,5,FALSE)</f>
        <v>-</v>
      </c>
      <c r="P3102" s="52" t="str">
        <f>VLOOKUP(Tabla3[[#This Row],[Site]],'Important Info!'!$A$1:$F$135,6,FALSE)</f>
        <v>5, 7, 8</v>
      </c>
      <c r="Q3102" s="91">
        <f>VLOOKUP(Tabla3[[#This Row],[Site]],'Important Info!'!$A$1:$J$135,9,FALSE)</f>
        <v>196</v>
      </c>
    </row>
    <row r="3103" spans="1:17" x14ac:dyDescent="0.25">
      <c r="A3103" t="str">
        <f>+Tabla3[[#This Row],[Site]]&amp;Tabla3[[#This Row],[Split]]</f>
        <v>(RV) Sonny's Camp N Travel Concord30</v>
      </c>
      <c r="B3103">
        <v>30</v>
      </c>
      <c r="C3103">
        <v>22</v>
      </c>
      <c r="D3103" t="s">
        <v>62</v>
      </c>
      <c r="E3103" t="s">
        <v>35</v>
      </c>
      <c r="F3103" t="s">
        <v>188</v>
      </c>
      <c r="G3103" t="s">
        <v>490</v>
      </c>
      <c r="H3103" s="52" t="str">
        <f>VLOOKUP(Tabla3[[#This Row],[Site]],'Important Info!'!$A$1:$J$135,10,FALSE)</f>
        <v>https://tools.sig.systems/site/details/183</v>
      </c>
      <c r="J3103" t="s">
        <v>41</v>
      </c>
      <c r="K3103" s="79" t="str">
        <f>VLOOKUP(Tabla3[[#This Row],[Site]],'Important Info!'!$A$1:$H$135,8,FALSE)</f>
        <v>-</v>
      </c>
      <c r="L3103" s="52">
        <f>VLOOKUP(Tabla3[[#This Row],[Site]],'Important Info!'!$A$1:$F$135,2,FALSE)</f>
        <v>1</v>
      </c>
      <c r="M3103" s="52" t="str">
        <f>VLOOKUP(Tabla3[[#This Row],[Site]],'Important Info!'!$A$1:$F$135,3,FALSE)</f>
        <v>-</v>
      </c>
      <c r="N3103" s="52" t="str">
        <f>VLOOKUP(Tabla3[[#This Row],[Site]],'Important Info!'!$A$1:$F$135,4,FALSE)</f>
        <v>-</v>
      </c>
      <c r="O3103" s="52">
        <f>VLOOKUP(Tabla3[[#This Row],[Site]],'Important Info!'!$A$1:$F$135,5,FALSE)</f>
        <v>7</v>
      </c>
      <c r="P3103" s="52" t="str">
        <f>VLOOKUP(Tabla3[[#This Row],[Site]],'Important Info!'!$A$1:$F$135,6,FALSE)</f>
        <v>6, 7, 8, 9</v>
      </c>
      <c r="Q3103" s="91">
        <f>VLOOKUP(Tabla3[[#This Row],[Site]],'Important Info!'!$A$1:$J$135,9,FALSE)</f>
        <v>183</v>
      </c>
    </row>
    <row r="3104" spans="1:17" x14ac:dyDescent="0.25">
      <c r="A3104" t="str">
        <f>+Tabla3[[#This Row],[Site]]&amp;Tabla3[[#This Row],[Split]]</f>
        <v>(AS) Lexus Grapevine I &amp; II (NO TOURS)30</v>
      </c>
      <c r="B3104">
        <v>30</v>
      </c>
      <c r="C3104">
        <v>23</v>
      </c>
      <c r="D3104" t="s">
        <v>33</v>
      </c>
      <c r="E3104" t="s">
        <v>46</v>
      </c>
      <c r="F3104" t="s">
        <v>508</v>
      </c>
      <c r="G3104" t="s">
        <v>34</v>
      </c>
      <c r="H3104" s="52" t="str">
        <f>VLOOKUP(Tabla3[[#This Row],[Site]],'Important Info!'!$A$1:$J$135,10,FALSE)</f>
        <v>https://tools.sig.systems/site/details/136</v>
      </c>
      <c r="J3104" t="s">
        <v>41</v>
      </c>
      <c r="K3104" s="79" t="str">
        <f>VLOOKUP(Tabla3[[#This Row],[Site]],'Important Info!'!$A$1:$H$135,8,FALSE)</f>
        <v>-</v>
      </c>
      <c r="L3104" s="52" t="str">
        <f>VLOOKUP(Tabla3[[#This Row],[Site]],'Important Info!'!$A$1:$F$135,2,FALSE)</f>
        <v>4, 10, 14, 18, 33</v>
      </c>
      <c r="M3104" s="52" t="str">
        <f>VLOOKUP(Tabla3[[#This Row],[Site]],'Important Info!'!$A$1:$F$135,3,FALSE)</f>
        <v>-</v>
      </c>
      <c r="N3104" s="52" t="str">
        <f>VLOOKUP(Tabla3[[#This Row],[Site]],'Important Info!'!$A$1:$F$135,4,FALSE)</f>
        <v>81, 82, 83</v>
      </c>
      <c r="O3104" s="52" t="str">
        <f>VLOOKUP(Tabla3[[#This Row],[Site]],'Important Info!'!$A$1:$F$135,5,FALSE)</f>
        <v>4, 12, 15, 20, 30</v>
      </c>
      <c r="P3104" s="52">
        <f>VLOOKUP(Tabla3[[#This Row],[Site]],'Important Info!'!$A$1:$F$135,6,FALSE)</f>
        <v>10</v>
      </c>
      <c r="Q3104" s="91">
        <f>VLOOKUP(Tabla3[[#This Row],[Site]],'Important Info!'!$A$1:$J$135,9,FALSE)</f>
        <v>136</v>
      </c>
    </row>
    <row r="3105" spans="1:17" x14ac:dyDescent="0.25">
      <c r="A3105" t="str">
        <f>+Tabla3[[#This Row],[Site]]&amp;Tabla3[[#This Row],[Split]]</f>
        <v>(AS) Lexus Smyrna (NO TOURS)30</v>
      </c>
      <c r="B3105">
        <v>30</v>
      </c>
      <c r="C3105">
        <v>23</v>
      </c>
      <c r="D3105" t="s">
        <v>62</v>
      </c>
      <c r="E3105" t="s">
        <v>35</v>
      </c>
      <c r="F3105" t="s">
        <v>84</v>
      </c>
      <c r="G3105" t="s">
        <v>490</v>
      </c>
      <c r="H3105" s="52" t="str">
        <f>VLOOKUP(Tabla3[[#This Row],[Site]],'Important Info!'!$A$1:$J$135,10,FALSE)</f>
        <v>https://tools.sig.systems/site/details/133</v>
      </c>
      <c r="I3105" s="43"/>
      <c r="J3105" t="s">
        <v>41</v>
      </c>
      <c r="K3105" s="79" t="str">
        <f>VLOOKUP(Tabla3[[#This Row],[Site]],'Important Info!'!$A$1:$H$135,8,FALSE)</f>
        <v>-</v>
      </c>
      <c r="L3105" s="52" t="str">
        <f>VLOOKUP(Tabla3[[#This Row],[Site]],'Important Info!'!$A$1:$F$135,2,FALSE)</f>
        <v xml:space="preserve">2, 6, 10 </v>
      </c>
      <c r="M3105" s="52" t="str">
        <f>VLOOKUP(Tabla3[[#This Row],[Site]],'Important Info!'!$A$1:$F$135,3,FALSE)</f>
        <v>-</v>
      </c>
      <c r="N3105" s="52" t="str">
        <f>VLOOKUP(Tabla3[[#This Row],[Site]],'Important Info!'!$A$1:$F$135,4,FALSE)</f>
        <v>-</v>
      </c>
      <c r="O3105" s="52" t="str">
        <f>VLOOKUP(Tabla3[[#This Row],[Site]],'Important Info!'!$A$1:$F$135,5,FALSE)</f>
        <v>3, 5, 10, 15</v>
      </c>
      <c r="P3105" s="52" t="str">
        <f>VLOOKUP(Tabla3[[#This Row],[Site]],'Important Info!'!$A$1:$F$135,6,FALSE)</f>
        <v>10, 11</v>
      </c>
      <c r="Q3105" s="91">
        <f>VLOOKUP(Tabla3[[#This Row],[Site]],'Important Info!'!$A$1:$J$135,9,FALSE)</f>
        <v>133</v>
      </c>
    </row>
    <row r="3106" spans="1:17" x14ac:dyDescent="0.25">
      <c r="A3106" t="str">
        <f>+Tabla3[[#This Row],[Site]]&amp;Tabla3[[#This Row],[Split]]</f>
        <v>(KG) Hyundai Surprise30</v>
      </c>
      <c r="B3106">
        <v>30</v>
      </c>
      <c r="C3106">
        <v>23</v>
      </c>
      <c r="D3106" t="s">
        <v>51</v>
      </c>
      <c r="E3106" t="s">
        <v>161</v>
      </c>
      <c r="F3106" t="s">
        <v>118</v>
      </c>
      <c r="G3106" t="s">
        <v>52</v>
      </c>
      <c r="H3106" s="52" t="str">
        <f>VLOOKUP(Tabla3[[#This Row],[Site]],'Important Info!'!$A$1:$J$135,10,FALSE)</f>
        <v>https://tools.sig.systems/site/details/269</v>
      </c>
      <c r="I3106" s="43"/>
      <c r="J3106" t="s">
        <v>162</v>
      </c>
      <c r="K3106" s="79" t="str">
        <f>VLOOKUP(Tabla3[[#This Row],[Site]],'Important Info!'!$A$1:$H$135,8,FALSE)</f>
        <v>-</v>
      </c>
      <c r="L3106" s="52" t="str">
        <f>VLOOKUP(Tabla3[[#This Row],[Site]],'Important Info!'!$A$1:$F$135,2,FALSE)</f>
        <v>1, 6, 7</v>
      </c>
      <c r="M3106" s="52" t="str">
        <f>VLOOKUP(Tabla3[[#This Row],[Site]],'Important Info!'!$A$1:$F$135,3,FALSE)</f>
        <v>-</v>
      </c>
      <c r="N3106" s="52" t="str">
        <f>VLOOKUP(Tabla3[[#This Row],[Site]],'Important Info!'!$A$1:$F$135,4,FALSE)</f>
        <v>-</v>
      </c>
      <c r="O3106" s="52" t="str">
        <f>VLOOKUP(Tabla3[[#This Row],[Site]],'Important Info!'!$A$1:$F$135,5,FALSE)</f>
        <v>6, 13</v>
      </c>
      <c r="P3106" s="52" t="str">
        <f>VLOOKUP(Tabla3[[#This Row],[Site]],'Important Info!'!$A$1:$F$135,6,FALSE)</f>
        <v>-</v>
      </c>
      <c r="Q3106" s="91">
        <f>VLOOKUP(Tabla3[[#This Row],[Site]],'Important Info!'!$A$1:$J$135,9,FALSE)</f>
        <v>269</v>
      </c>
    </row>
    <row r="3107" spans="1:17" x14ac:dyDescent="0.25">
      <c r="A3107" t="str">
        <f>+Tabla3[[#This Row],[Site]]&amp;Tabla3[[#This Row],[Split]]</f>
        <v>(AS) Bill Estes Ford (NO TOURS)30</v>
      </c>
      <c r="B3107">
        <v>30</v>
      </c>
      <c r="C3107">
        <v>24</v>
      </c>
      <c r="D3107" t="s">
        <v>62</v>
      </c>
      <c r="E3107" t="s">
        <v>35</v>
      </c>
      <c r="F3107" t="s">
        <v>178</v>
      </c>
      <c r="G3107" t="s">
        <v>490</v>
      </c>
      <c r="H3107" s="52" t="str">
        <f>VLOOKUP(Tabla3[[#This Row],[Site]],'Important Info!'!$A$1:$J$135,10,FALSE)</f>
        <v>https://tools.sig.systems/site/details/125</v>
      </c>
      <c r="J3107" t="s">
        <v>41</v>
      </c>
      <c r="K3107" s="79" t="str">
        <f>VLOOKUP(Tabla3[[#This Row],[Site]],'Important Info!'!$A$1:$H$135,8,FALSE)</f>
        <v>-</v>
      </c>
      <c r="L3107" s="52" t="str">
        <f>VLOOKUP(Tabla3[[#This Row],[Site]],'Important Info!'!$A$1:$F$135,2,FALSE)</f>
        <v>-</v>
      </c>
      <c r="M3107" s="52" t="str">
        <f>VLOOKUP(Tabla3[[#This Row],[Site]],'Important Info!'!$A$1:$F$135,3,FALSE)</f>
        <v>2, 3, 13, 16</v>
      </c>
      <c r="N3107" s="52" t="str">
        <f>VLOOKUP(Tabla3[[#This Row],[Site]],'Important Info!'!$A$1:$F$135,4,FALSE)</f>
        <v>-</v>
      </c>
      <c r="O3107" s="52" t="str">
        <f>VLOOKUP(Tabla3[[#This Row],[Site]],'Important Info!'!$A$1:$F$135,5,FALSE)</f>
        <v>1, 10, 14, 19</v>
      </c>
      <c r="P3107" s="52" t="str">
        <f>VLOOKUP(Tabla3[[#This Row],[Site]],'Important Info!'!$A$1:$F$135,6,FALSE)</f>
        <v>7, 8, 9, 10, 11, 12, 14</v>
      </c>
      <c r="Q3107" s="91">
        <f>VLOOKUP(Tabla3[[#This Row],[Site]],'Important Info!'!$A$1:$J$135,9,FALSE)</f>
        <v>125</v>
      </c>
    </row>
    <row r="3108" spans="1:17" x14ac:dyDescent="0.25">
      <c r="A3108" t="str">
        <f>+Tabla3[[#This Row],[Site]]&amp;Tabla3[[#This Row],[Split]]</f>
        <v>(DT) Wichita30</v>
      </c>
      <c r="B3108">
        <v>30</v>
      </c>
      <c r="C3108">
        <v>24</v>
      </c>
      <c r="D3108" t="s">
        <v>33</v>
      </c>
      <c r="E3108" t="s">
        <v>46</v>
      </c>
      <c r="F3108" t="s">
        <v>131</v>
      </c>
      <c r="G3108" t="s">
        <v>34</v>
      </c>
      <c r="H3108" s="52" t="str">
        <f>VLOOKUP(Tabla3[[#This Row],[Site]],'Important Info!'!$A$1:$J$135,10,FALSE)</f>
        <v>https://tools.sig.systems/site/details/257</v>
      </c>
      <c r="J3108" t="s">
        <v>41</v>
      </c>
      <c r="K3108" s="79" t="str">
        <f>VLOOKUP(Tabla3[[#This Row],[Site]],'Important Info!'!$A$1:$H$135,8,FALSE)</f>
        <v>-</v>
      </c>
      <c r="L3108" s="52" t="str">
        <f>VLOOKUP(Tabla3[[#This Row],[Site]],'Important Info!'!$A$1:$F$135,2,FALSE)</f>
        <v>-</v>
      </c>
      <c r="M3108" s="52" t="str">
        <f>VLOOKUP(Tabla3[[#This Row],[Site]],'Important Info!'!$A$1:$F$135,3,FALSE)</f>
        <v>10, 11</v>
      </c>
      <c r="N3108" s="52" t="str">
        <f>VLOOKUP(Tabla3[[#This Row],[Site]],'Important Info!'!$A$1:$F$135,4,FALSE)</f>
        <v>-</v>
      </c>
      <c r="O3108" s="52" t="str">
        <f>VLOOKUP(Tabla3[[#This Row],[Site]],'Important Info!'!$A$1:$F$135,5,FALSE)</f>
        <v>-</v>
      </c>
      <c r="P3108" s="52" t="str">
        <f>VLOOKUP(Tabla3[[#This Row],[Site]],'Important Info!'!$A$1:$F$135,6,FALSE)</f>
        <v>1, 5, 6, 10</v>
      </c>
      <c r="Q3108" s="91">
        <f>VLOOKUP(Tabla3[[#This Row],[Site]],'Important Info!'!$A$1:$J$135,9,FALSE)</f>
        <v>257</v>
      </c>
    </row>
    <row r="3109" spans="1:17" x14ac:dyDescent="0.25">
      <c r="A3109" t="str">
        <f>+Tabla3[[#This Row],[Site]]&amp;Tabla3[[#This Row],[Split]]</f>
        <v>(PE) Hudson Toyota Nissan CDJR (NO TOURS)30</v>
      </c>
      <c r="B3109">
        <v>30</v>
      </c>
      <c r="C3109">
        <v>24</v>
      </c>
      <c r="D3109" t="s">
        <v>485</v>
      </c>
      <c r="E3109" t="s">
        <v>35</v>
      </c>
      <c r="F3109" t="s">
        <v>82</v>
      </c>
      <c r="G3109" t="s">
        <v>490</v>
      </c>
      <c r="H3109" s="52" t="str">
        <f>VLOOKUP(Tabla3[[#This Row],[Site]],'Important Info!'!$A$1:$J$135,10,FALSE)</f>
        <v>https://tools.sig.systems/site/details/156</v>
      </c>
      <c r="J3109" t="s">
        <v>41</v>
      </c>
      <c r="K3109" s="79" t="str">
        <f>VLOOKUP(Tabla3[[#This Row],[Site]],'Important Info!'!$A$1:$H$135,8,FALSE)</f>
        <v>-</v>
      </c>
      <c r="L3109" s="52">
        <f>VLOOKUP(Tabla3[[#This Row],[Site]],'Important Info!'!$A$1:$F$135,2,FALSE)</f>
        <v>5</v>
      </c>
      <c r="M3109" s="52" t="str">
        <f>VLOOKUP(Tabla3[[#This Row],[Site]],'Important Info!'!$A$1:$F$135,3,FALSE)</f>
        <v>3, 7, 18</v>
      </c>
      <c r="N3109" s="52" t="str">
        <f>VLOOKUP(Tabla3[[#This Row],[Site]],'Important Info!'!$A$1:$F$135,4,FALSE)</f>
        <v>-</v>
      </c>
      <c r="O3109" s="52">
        <f>VLOOKUP(Tabla3[[#This Row],[Site]],'Important Info!'!$A$1:$F$135,5,FALSE)</f>
        <v>84</v>
      </c>
      <c r="P3109" s="52" t="str">
        <f>VLOOKUP(Tabla3[[#This Row],[Site]],'Important Info!'!$A$1:$F$135,6,FALSE)</f>
        <v>1, 2, 3, 4, 5, 6, 7, 8</v>
      </c>
      <c r="Q3109" s="91">
        <f>VLOOKUP(Tabla3[[#This Row],[Site]],'Important Info!'!$A$1:$J$135,9,FALSE)</f>
        <v>156</v>
      </c>
    </row>
    <row r="3110" spans="1:17" x14ac:dyDescent="0.25">
      <c r="A3110" t="str">
        <f>+Tabla3[[#This Row],[Site]]&amp;Tabla3[[#This Row],[Split]]</f>
        <v>(RV) Toms Camperland Mesa (NO TOURS)30</v>
      </c>
      <c r="B3110">
        <v>30</v>
      </c>
      <c r="C3110">
        <v>24</v>
      </c>
      <c r="D3110" t="s">
        <v>51</v>
      </c>
      <c r="E3110" t="s">
        <v>161</v>
      </c>
      <c r="F3110" t="s">
        <v>81</v>
      </c>
      <c r="G3110" t="s">
        <v>52</v>
      </c>
      <c r="H3110" s="52" t="str">
        <f>VLOOKUP(Tabla3[[#This Row],[Site]],'Important Info!'!$A$1:$J$135,10,FALSE)</f>
        <v>https://tools.sig.systems/site/details/222</v>
      </c>
      <c r="J3110" t="s">
        <v>41</v>
      </c>
      <c r="K3110" s="79" t="str">
        <f>VLOOKUP(Tabla3[[#This Row],[Site]],'Important Info!'!$A$1:$H$135,8,FALSE)</f>
        <v>-</v>
      </c>
      <c r="L3110" s="52" t="str">
        <f>VLOOKUP(Tabla3[[#This Row],[Site]],'Important Info!'!$A$1:$F$135,2,FALSE)</f>
        <v>1, 2</v>
      </c>
      <c r="M3110" s="52" t="str">
        <f>VLOOKUP(Tabla3[[#This Row],[Site]],'Important Info!'!$A$1:$F$135,3,FALSE)</f>
        <v>-</v>
      </c>
      <c r="N3110" s="52" t="str">
        <f>VLOOKUP(Tabla3[[#This Row],[Site]],'Important Info!'!$A$1:$F$135,4,FALSE)</f>
        <v>-</v>
      </c>
      <c r="O3110" s="52" t="str">
        <f>VLOOKUP(Tabla3[[#This Row],[Site]],'Important Info!'!$A$1:$F$135,5,FALSE)</f>
        <v>-</v>
      </c>
      <c r="P3110" s="52" t="str">
        <f>VLOOKUP(Tabla3[[#This Row],[Site]],'Important Info!'!$A$1:$F$135,6,FALSE)</f>
        <v>1, 4, 6, 8, 10, 18</v>
      </c>
      <c r="Q3110" s="91">
        <f>VLOOKUP(Tabla3[[#This Row],[Site]],'Important Info!'!$A$1:$J$135,9,FALSE)</f>
        <v>222</v>
      </c>
    </row>
    <row r="3111" spans="1:17" x14ac:dyDescent="0.25">
      <c r="A3111" t="str">
        <f>+Tabla3[[#This Row],[Site]]&amp;Tabla3[[#This Row],[Split]]</f>
        <v>SIG Office30</v>
      </c>
      <c r="B3111">
        <v>30</v>
      </c>
      <c r="C3111">
        <v>24</v>
      </c>
      <c r="D3111" t="s">
        <v>60</v>
      </c>
      <c r="E3111" t="s">
        <v>35</v>
      </c>
      <c r="F3111" t="s">
        <v>169</v>
      </c>
      <c r="G3111" t="s">
        <v>41</v>
      </c>
      <c r="H3111" s="52" t="str">
        <f>VLOOKUP(Tabla3[[#This Row],[Site]],'Important Info!'!$A$1:$J$135,10,FALSE)</f>
        <v>https://tools.sig.systems/site/details/163</v>
      </c>
      <c r="J3111" t="s">
        <v>41</v>
      </c>
      <c r="K3111" s="79" t="str">
        <f>VLOOKUP(Tabla3[[#This Row],[Site]],'Important Info!'!$A$1:$H$135,8,FALSE)</f>
        <v>-</v>
      </c>
      <c r="L3111" s="52" t="str">
        <f>VLOOKUP(Tabla3[[#This Row],[Site]],'Important Info!'!$A$1:$F$135,2,FALSE)</f>
        <v>-</v>
      </c>
      <c r="M3111" s="52" t="str">
        <f>VLOOKUP(Tabla3[[#This Row],[Site]],'Important Info!'!$A$1:$F$135,3,FALSE)</f>
        <v>-</v>
      </c>
      <c r="N3111" s="52" t="str">
        <f>VLOOKUP(Tabla3[[#This Row],[Site]],'Important Info!'!$A$1:$F$135,4,FALSE)</f>
        <v>-</v>
      </c>
      <c r="O3111" s="52" t="str">
        <f>VLOOKUP(Tabla3[[#This Row],[Site]],'Important Info!'!$A$1:$F$135,5,FALSE)</f>
        <v>-</v>
      </c>
      <c r="P3111" s="52">
        <f>VLOOKUP(Tabla3[[#This Row],[Site]],'Important Info!'!$A$1:$F$135,6,FALSE)</f>
        <v>25</v>
      </c>
      <c r="Q3111" s="91">
        <f>VLOOKUP(Tabla3[[#This Row],[Site]],'Important Info!'!$A$1:$J$135,9,FALSE)</f>
        <v>163</v>
      </c>
    </row>
    <row r="3112" spans="1:17" x14ac:dyDescent="0.25">
      <c r="A3112" t="str">
        <f>+Tabla3[[#This Row],[Site]]&amp;Tabla3[[#This Row],[Split]]</f>
        <v>(KG) Big Star Honda30</v>
      </c>
      <c r="B3112">
        <v>30</v>
      </c>
      <c r="C3112">
        <v>25</v>
      </c>
      <c r="D3112" t="s">
        <v>33</v>
      </c>
      <c r="E3112" t="s">
        <v>46</v>
      </c>
      <c r="F3112" t="s">
        <v>136</v>
      </c>
      <c r="G3112" t="s">
        <v>34</v>
      </c>
      <c r="H3112" s="52" t="str">
        <f>VLOOKUP(Tabla3[[#This Row],[Site]],'Important Info!'!$A$1:$J$135,10,FALSE)</f>
        <v>https://tools.sig.systems/site/details/231</v>
      </c>
      <c r="J3112" t="s">
        <v>41</v>
      </c>
      <c r="K3112" s="79" t="str">
        <f>VLOOKUP(Tabla3[[#This Row],[Site]],'Important Info!'!$A$1:$H$135,8,FALSE)</f>
        <v>-</v>
      </c>
      <c r="L3112" s="52" t="str">
        <f>VLOOKUP(Tabla3[[#This Row],[Site]],'Important Info!'!$A$1:$F$135,2,FALSE)</f>
        <v>2, 17, 33</v>
      </c>
      <c r="M3112" s="52" t="str">
        <f>VLOOKUP(Tabla3[[#This Row],[Site]],'Important Info!'!$A$1:$F$135,3,FALSE)</f>
        <v>-</v>
      </c>
      <c r="N3112" s="52" t="str">
        <f>VLOOKUP(Tabla3[[#This Row],[Site]],'Important Info!'!$A$1:$F$135,4,FALSE)</f>
        <v>-</v>
      </c>
      <c r="O3112" s="52" t="str">
        <f>VLOOKUP(Tabla3[[#This Row],[Site]],'Important Info!'!$A$1:$F$135,5,FALSE)</f>
        <v>3, 11, 16, 21, 24, 31, 34</v>
      </c>
      <c r="P3112" s="52" t="str">
        <f>VLOOKUP(Tabla3[[#This Row],[Site]],'Important Info!'!$A$1:$F$135,6,FALSE)</f>
        <v xml:space="preserve">2, 3, 17, 22, 37, 41, 42 </v>
      </c>
      <c r="Q3112" s="91">
        <f>VLOOKUP(Tabla3[[#This Row],[Site]],'Important Info!'!$A$1:$J$135,9,FALSE)</f>
        <v>231</v>
      </c>
    </row>
    <row r="3113" spans="1:17" x14ac:dyDescent="0.25">
      <c r="A3113" t="str">
        <f>+Tabla3[[#This Row],[Site]]&amp;Tabla3[[#This Row],[Split]]</f>
        <v>(ML) Joe Machens Ford Lincoln I &amp; II30</v>
      </c>
      <c r="B3113">
        <v>30</v>
      </c>
      <c r="C3113">
        <v>25</v>
      </c>
      <c r="D3113" t="s">
        <v>33</v>
      </c>
      <c r="E3113" t="s">
        <v>46</v>
      </c>
      <c r="F3113" t="s">
        <v>148</v>
      </c>
      <c r="G3113" t="s">
        <v>34</v>
      </c>
      <c r="H3113" s="52" t="str">
        <f>VLOOKUP(Tabla3[[#This Row],[Site]],'Important Info!'!$A$1:$J$135,10,FALSE)</f>
        <v>https://tools.sig.systems/site/details/266</v>
      </c>
      <c r="I3113" s="43" t="s">
        <v>146</v>
      </c>
      <c r="J3113" t="s">
        <v>41</v>
      </c>
      <c r="K3113" s="79" t="str">
        <f>VLOOKUP(Tabla3[[#This Row],[Site]],'Important Info!'!$A$1:$H$135,8,FALSE)</f>
        <v>-</v>
      </c>
      <c r="L3113" s="52" t="str">
        <f>VLOOKUP(Tabla3[[#This Row],[Site]],'Important Info!'!$A$1:$F$135,2,FALSE)</f>
        <v>-</v>
      </c>
      <c r="M3113" s="52" t="str">
        <f>VLOOKUP(Tabla3[[#This Row],[Site]],'Important Info!'!$A$1:$F$135,3,FALSE)</f>
        <v>4, 6, 9, 13, 14, 17, 26, 27, 28, 29, 30</v>
      </c>
      <c r="N3113" s="52" t="str">
        <f>VLOOKUP(Tabla3[[#This Row],[Site]],'Important Info!'!$A$1:$F$135,4,FALSE)</f>
        <v>-</v>
      </c>
      <c r="O3113" s="52" t="str">
        <f>VLOOKUP(Tabla3[[#This Row],[Site]],'Important Info!'!$A$1:$F$135,5,FALSE)</f>
        <v>23, 40, 49</v>
      </c>
      <c r="P3113" s="52" t="str">
        <f>VLOOKUP(Tabla3[[#This Row],[Site]],'Important Info!'!$A$1:$F$135,6,FALSE)</f>
        <v>-</v>
      </c>
      <c r="Q3113" s="91">
        <f>VLOOKUP(Tabla3[[#This Row],[Site]],'Important Info!'!$A$1:$J$135,9,FALSE)</f>
        <v>266</v>
      </c>
    </row>
    <row r="3114" spans="1:17" x14ac:dyDescent="0.25">
      <c r="A3114" t="str">
        <f>+Tabla3[[#This Row],[Site]]&amp;Tabla3[[#This Row],[Split]]</f>
        <v>(PE) BMW of Mamaroneck (NO TOURS)30</v>
      </c>
      <c r="B3114">
        <v>30</v>
      </c>
      <c r="C3114">
        <v>25</v>
      </c>
      <c r="D3114" t="s">
        <v>485</v>
      </c>
      <c r="E3114" t="s">
        <v>35</v>
      </c>
      <c r="F3114" t="s">
        <v>172</v>
      </c>
      <c r="G3114" t="s">
        <v>490</v>
      </c>
      <c r="H3114" s="52" t="str">
        <f>VLOOKUP(Tabla3[[#This Row],[Site]],'Important Info!'!$A$1:$J$135,10,FALSE)</f>
        <v>https://tools.sig.systems/site/details/185</v>
      </c>
      <c r="I3114" s="43"/>
      <c r="J3114" t="s">
        <v>41</v>
      </c>
      <c r="K3114" s="79" t="str">
        <f>VLOOKUP(Tabla3[[#This Row],[Site]],'Important Info!'!$A$1:$H$135,8,FALSE)</f>
        <v>-</v>
      </c>
      <c r="L3114" s="52">
        <f>VLOOKUP(Tabla3[[#This Row],[Site]],'Important Info!'!$A$1:$F$135,2,FALSE)</f>
        <v>9</v>
      </c>
      <c r="M3114" s="52" t="str">
        <f>VLOOKUP(Tabla3[[#This Row],[Site]],'Important Info!'!$A$1:$F$135,3,FALSE)</f>
        <v>2, 3, 4, 5</v>
      </c>
      <c r="N3114" s="52" t="str">
        <f>VLOOKUP(Tabla3[[#This Row],[Site]],'Important Info!'!$A$1:$F$135,4,FALSE)</f>
        <v>-</v>
      </c>
      <c r="O3114" s="52" t="str">
        <f>VLOOKUP(Tabla3[[#This Row],[Site]],'Important Info!'!$A$1:$F$135,5,FALSE)</f>
        <v>-</v>
      </c>
      <c r="P3114" s="52" t="str">
        <f>VLOOKUP(Tabla3[[#This Row],[Site]],'Important Info!'!$A$1:$F$135,6,FALSE)</f>
        <v>4, 6, 7, 8</v>
      </c>
      <c r="Q3114" s="91">
        <f>VLOOKUP(Tabla3[[#This Row],[Site]],'Important Info!'!$A$1:$J$135,9,FALSE)</f>
        <v>185</v>
      </c>
    </row>
    <row r="3115" spans="1:17" x14ac:dyDescent="0.25">
      <c r="A3115" t="str">
        <f>+Tabla3[[#This Row],[Site]]&amp;Tabla3[[#This Row],[Split]]</f>
        <v>(AS) Stevinson Porsche of Littleton (NO TOURS)30</v>
      </c>
      <c r="B3115">
        <v>30</v>
      </c>
      <c r="C3115">
        <v>26</v>
      </c>
      <c r="D3115" t="s">
        <v>44</v>
      </c>
      <c r="E3115" t="s">
        <v>53</v>
      </c>
      <c r="F3115" t="s">
        <v>78</v>
      </c>
      <c r="G3115" t="s">
        <v>45</v>
      </c>
      <c r="H3115" s="52" t="str">
        <f>VLOOKUP(Tabla3[[#This Row],[Site]],'Important Info!'!$A$1:$J$135,10,FALSE)</f>
        <v>https://tools.sig.systems/site/details/242</v>
      </c>
      <c r="J3115" t="s">
        <v>41</v>
      </c>
      <c r="K3115" s="79" t="str">
        <f>VLOOKUP(Tabla3[[#This Row],[Site]],'Important Info!'!$A$1:$H$135,8,FALSE)</f>
        <v>-</v>
      </c>
      <c r="L3115" s="52" t="str">
        <f>VLOOKUP(Tabla3[[#This Row],[Site]],'Important Info!'!$A$1:$F$135,2,FALSE)</f>
        <v>3, 4</v>
      </c>
      <c r="M3115" s="52">
        <f>VLOOKUP(Tabla3[[#This Row],[Site]],'Important Info!'!$A$1:$F$135,3,FALSE)</f>
        <v>2</v>
      </c>
      <c r="N3115" s="52" t="str">
        <f>VLOOKUP(Tabla3[[#This Row],[Site]],'Important Info!'!$A$1:$F$135,4,FALSE)</f>
        <v>-</v>
      </c>
      <c r="O3115" s="52" t="str">
        <f>VLOOKUP(Tabla3[[#This Row],[Site]],'Important Info!'!$A$1:$F$135,5,FALSE)</f>
        <v>-</v>
      </c>
      <c r="P3115" s="52" t="str">
        <f>VLOOKUP(Tabla3[[#This Row],[Site]],'Important Info!'!$A$1:$F$135,6,FALSE)</f>
        <v>3, 4</v>
      </c>
      <c r="Q3115" s="91">
        <f>VLOOKUP(Tabla3[[#This Row],[Site]],'Important Info!'!$A$1:$J$135,9,FALSE)</f>
        <v>242</v>
      </c>
    </row>
    <row r="3116" spans="1:17" x14ac:dyDescent="0.25">
      <c r="A3116" t="str">
        <f>+Tabla3[[#This Row],[Site]]&amp;Tabla3[[#This Row],[Split]]</f>
        <v>(DT) W Houston30</v>
      </c>
      <c r="B3116">
        <v>30</v>
      </c>
      <c r="C3116">
        <v>26</v>
      </c>
      <c r="D3116" t="s">
        <v>33</v>
      </c>
      <c r="E3116" t="s">
        <v>46</v>
      </c>
      <c r="F3116" t="s">
        <v>69</v>
      </c>
      <c r="G3116" t="s">
        <v>34</v>
      </c>
      <c r="H3116" s="52" t="str">
        <f>VLOOKUP(Tabla3[[#This Row],[Site]],'Important Info!'!$A$1:$J$135,10,FALSE)</f>
        <v>https://tools.sig.systems/site/details/197</v>
      </c>
      <c r="I3116" s="2"/>
      <c r="J3116" t="s">
        <v>41</v>
      </c>
      <c r="K3116" s="79" t="str">
        <f>VLOOKUP(Tabla3[[#This Row],[Site]],'Important Info!'!$A$1:$H$135,8,FALSE)</f>
        <v>-</v>
      </c>
      <c r="L3116" s="52">
        <f>VLOOKUP(Tabla3[[#This Row],[Site]],'Important Info!'!$A$1:$F$135,2,FALSE)</f>
        <v>7</v>
      </c>
      <c r="M3116" s="52">
        <f>VLOOKUP(Tabla3[[#This Row],[Site]],'Important Info!'!$A$1:$F$135,3,FALSE)</f>
        <v>2</v>
      </c>
      <c r="N3116" s="52" t="str">
        <f>VLOOKUP(Tabla3[[#This Row],[Site]],'Important Info!'!$A$1:$F$135,4,FALSE)</f>
        <v>-</v>
      </c>
      <c r="O3116" s="52">
        <f>VLOOKUP(Tabla3[[#This Row],[Site]],'Important Info!'!$A$1:$F$135,5,FALSE)</f>
        <v>14</v>
      </c>
      <c r="P3116" s="52" t="str">
        <f>VLOOKUP(Tabla3[[#This Row],[Site]],'Important Info!'!$A$1:$F$135,6,FALSE)</f>
        <v>2, 3, 7, 10</v>
      </c>
      <c r="Q3116" s="91">
        <f>VLOOKUP(Tabla3[[#This Row],[Site]],'Important Info!'!$A$1:$J$135,9,FALSE)</f>
        <v>197</v>
      </c>
    </row>
    <row r="3117" spans="1:17" x14ac:dyDescent="0.25">
      <c r="A3117" t="str">
        <f>+Tabla3[[#This Row],[Site]]&amp;Tabla3[[#This Row],[Split]]</f>
        <v>(KG) Baytown GMC Buick - Remote Lot (NO TOURS)30</v>
      </c>
      <c r="B3117">
        <v>30</v>
      </c>
      <c r="C3117">
        <v>26</v>
      </c>
      <c r="D3117" t="s">
        <v>60</v>
      </c>
      <c r="E3117" t="s">
        <v>46</v>
      </c>
      <c r="F3117" t="s">
        <v>167</v>
      </c>
      <c r="G3117" t="s">
        <v>41</v>
      </c>
      <c r="H3117" s="52" t="str">
        <f>VLOOKUP(Tabla3[[#This Row],[Site]],'Important Info!'!$A$1:$J$135,10,FALSE)</f>
        <v>https://tools.sig.systems/site/details/311</v>
      </c>
      <c r="I3117" s="2"/>
      <c r="J3117" t="s">
        <v>41</v>
      </c>
      <c r="K3117" s="79" t="s">
        <v>168</v>
      </c>
      <c r="L3117" s="52" t="str">
        <f>VLOOKUP(Tabla3[[#This Row],[Site]],'Important Info!'!$A$1:$F$135,2,FALSE)</f>
        <v>-</v>
      </c>
      <c r="M3117" s="52" t="str">
        <f>VLOOKUP(Tabla3[[#This Row],[Site]],'Important Info!'!$A$1:$F$135,3,FALSE)</f>
        <v>7, 8</v>
      </c>
      <c r="N3117" s="52" t="str">
        <f>VLOOKUP(Tabla3[[#This Row],[Site]],'Important Info!'!$A$1:$F$135,4,FALSE)</f>
        <v>-</v>
      </c>
      <c r="O3117" s="52" t="str">
        <f>VLOOKUP(Tabla3[[#This Row],[Site]],'Important Info!'!$A$1:$F$135,5,FALSE)</f>
        <v>-</v>
      </c>
      <c r="P3117" s="52" t="str">
        <f>VLOOKUP(Tabla3[[#This Row],[Site]],'Important Info!'!$A$1:$F$135,6,FALSE)</f>
        <v>-</v>
      </c>
      <c r="Q3117" s="91">
        <f>VLOOKUP(Tabla3[[#This Row],[Site]],'Important Info!'!$A$1:$J$135,9,FALSE)</f>
        <v>311</v>
      </c>
    </row>
    <row r="3118" spans="1:17" x14ac:dyDescent="0.25">
      <c r="A3118" t="str">
        <f>+Tabla3[[#This Row],[Site]]&amp;Tabla3[[#This Row],[Split]]</f>
        <v>(KG) Baytown GMC Buick (NO TOURS)30</v>
      </c>
      <c r="B3118">
        <v>30</v>
      </c>
      <c r="C3118">
        <v>26</v>
      </c>
      <c r="D3118" t="s">
        <v>33</v>
      </c>
      <c r="E3118" t="s">
        <v>46</v>
      </c>
      <c r="F3118" t="s">
        <v>132</v>
      </c>
      <c r="G3118" t="s">
        <v>34</v>
      </c>
      <c r="H3118" s="52" t="str">
        <f>VLOOKUP(Tabla3[[#This Row],[Site]],'Important Info!'!$A$1:$J$135,10,FALSE)</f>
        <v>https://tools.sig.systems/site/details/239</v>
      </c>
      <c r="I3118" s="2"/>
      <c r="J3118" t="s">
        <v>41</v>
      </c>
      <c r="K3118" s="79" t="str">
        <f>VLOOKUP(Tabla3[[#This Row],[Site]],'Important Info!'!$A$1:$H$135,8,FALSE)</f>
        <v>-</v>
      </c>
      <c r="L3118" s="52" t="str">
        <f>VLOOKUP(Tabla3[[#This Row],[Site]],'Important Info!'!$A$1:$F$135,2,FALSE)</f>
        <v>1, 5, 7, 21, 22</v>
      </c>
      <c r="M3118" s="52" t="str">
        <f>VLOOKUP(Tabla3[[#This Row],[Site]],'Important Info!'!$A$1:$F$135,3,FALSE)</f>
        <v>-</v>
      </c>
      <c r="N3118" s="52" t="str">
        <f>VLOOKUP(Tabla3[[#This Row],[Site]],'Important Info!'!$A$1:$F$135,4,FALSE)</f>
        <v>-</v>
      </c>
      <c r="O3118" s="52" t="str">
        <f>VLOOKUP(Tabla3[[#This Row],[Site]],'Important Info!'!$A$1:$F$135,5,FALSE)</f>
        <v>2, 10, 15, 24B</v>
      </c>
      <c r="P3118" s="52" t="str">
        <f>VLOOKUP(Tabla3[[#This Row],[Site]],'Important Info!'!$A$1:$F$135,6,FALSE)</f>
        <v>21, 22</v>
      </c>
      <c r="Q3118" s="91">
        <f>VLOOKUP(Tabla3[[#This Row],[Site]],'Important Info!'!$A$1:$J$135,9,FALSE)</f>
        <v>239</v>
      </c>
    </row>
    <row r="3119" spans="1:17" x14ac:dyDescent="0.25">
      <c r="A3119" t="str">
        <f>+Tabla3[[#This Row],[Site]]&amp;Tabla3[[#This Row],[Split]]</f>
        <v>(ML) Collision Center N Little Rock30</v>
      </c>
      <c r="B3119">
        <v>30</v>
      </c>
      <c r="C3119">
        <v>26</v>
      </c>
      <c r="D3119" t="s">
        <v>33</v>
      </c>
      <c r="E3119" t="s">
        <v>46</v>
      </c>
      <c r="F3119" t="s">
        <v>141</v>
      </c>
      <c r="G3119" t="s">
        <v>34</v>
      </c>
      <c r="H3119" s="52" t="str">
        <f>VLOOKUP(Tabla3[[#This Row],[Site]],'Important Info!'!$A$1:$J$135,10,FALSE)</f>
        <v>https://tools.sig.systems/site/details/212</v>
      </c>
      <c r="I3119" s="2" t="s">
        <v>142</v>
      </c>
      <c r="J3119" t="s">
        <v>41</v>
      </c>
      <c r="K3119" s="79" t="str">
        <f>VLOOKUP(Tabla3[[#This Row],[Site]],'Important Info!'!$A$1:$H$135,8,FALSE)</f>
        <v>-</v>
      </c>
      <c r="L3119" s="52" t="str">
        <f>VLOOKUP(Tabla3[[#This Row],[Site]],'Important Info!'!$A$1:$F$135,2,FALSE)</f>
        <v>-</v>
      </c>
      <c r="M3119" s="52" t="str">
        <f>VLOOKUP(Tabla3[[#This Row],[Site]],'Important Info!'!$A$1:$F$135,3,FALSE)</f>
        <v>-</v>
      </c>
      <c r="N3119" s="52" t="str">
        <f>VLOOKUP(Tabla3[[#This Row],[Site]],'Important Info!'!$A$1:$F$135,4,FALSE)</f>
        <v>-</v>
      </c>
      <c r="O3119" s="52" t="str">
        <f>VLOOKUP(Tabla3[[#This Row],[Site]],'Important Info!'!$A$1:$F$135,5,FALSE)</f>
        <v>-</v>
      </c>
      <c r="P3119" s="52" t="str">
        <f>VLOOKUP(Tabla3[[#This Row],[Site]],'Important Info!'!$A$1:$F$135,6,FALSE)</f>
        <v>1, 3, 7, 8</v>
      </c>
      <c r="Q3119" s="91">
        <f>VLOOKUP(Tabla3[[#This Row],[Site]],'Important Info!'!$A$1:$J$135,9,FALSE)</f>
        <v>212</v>
      </c>
    </row>
    <row r="3120" spans="1:17" x14ac:dyDescent="0.25">
      <c r="A3120" t="str">
        <f>+Tabla3[[#This Row],[Site]]&amp;Tabla3[[#This Row],[Split]]</f>
        <v>(PE) BMW Tenafly (NO TOURS)30</v>
      </c>
      <c r="B3120">
        <v>30</v>
      </c>
      <c r="C3120">
        <v>26</v>
      </c>
      <c r="D3120" t="s">
        <v>485</v>
      </c>
      <c r="E3120" t="s">
        <v>35</v>
      </c>
      <c r="F3120" t="s">
        <v>173</v>
      </c>
      <c r="G3120" t="s">
        <v>490</v>
      </c>
      <c r="H3120" s="52" t="str">
        <f>VLOOKUP(Tabla3[[#This Row],[Site]],'Important Info!'!$A$1:$J$135,10,FALSE)</f>
        <v>https://tools.sig.systems/site/details/155</v>
      </c>
      <c r="I3120" s="2"/>
      <c r="J3120" t="s">
        <v>41</v>
      </c>
      <c r="K3120" s="79" t="str">
        <f>VLOOKUP(Tabla3[[#This Row],[Site]],'Important Info!'!$A$1:$H$135,8,FALSE)</f>
        <v>-</v>
      </c>
      <c r="L3120" s="52">
        <f>VLOOKUP(Tabla3[[#This Row],[Site]],'Important Info!'!$A$1:$F$135,2,FALSE)</f>
        <v>24</v>
      </c>
      <c r="M3120" s="52" t="str">
        <f>VLOOKUP(Tabla3[[#This Row],[Site]],'Important Info!'!$A$1:$F$135,3,FALSE)</f>
        <v>1, 3, 4, 17, 23</v>
      </c>
      <c r="N3120" s="52" t="str">
        <f>VLOOKUP(Tabla3[[#This Row],[Site]],'Important Info!'!$A$1:$F$135,4,FALSE)</f>
        <v>-</v>
      </c>
      <c r="O3120" s="52" t="str">
        <f>VLOOKUP(Tabla3[[#This Row],[Site]],'Important Info!'!$A$1:$F$135,5,FALSE)</f>
        <v>-</v>
      </c>
      <c r="P3120" s="52">
        <f>VLOOKUP(Tabla3[[#This Row],[Site]],'Important Info!'!$A$1:$F$135,6,FALSE)</f>
        <v>1</v>
      </c>
      <c r="Q3120" s="91">
        <f>VLOOKUP(Tabla3[[#This Row],[Site]],'Important Info!'!$A$1:$J$135,9,FALSE)</f>
        <v>155</v>
      </c>
    </row>
    <row r="3121" spans="1:17" x14ac:dyDescent="0.25">
      <c r="A3121" t="str">
        <f>+Tabla3[[#This Row],[Site]]&amp;Tabla3[[#This Row],[Split]]</f>
        <v>(AS) Park Place JLR DFW Airport (NO TOURS)30</v>
      </c>
      <c r="B3121">
        <v>30</v>
      </c>
      <c r="C3121">
        <v>27</v>
      </c>
      <c r="D3121" t="s">
        <v>33</v>
      </c>
      <c r="E3121" t="s">
        <v>46</v>
      </c>
      <c r="F3121" t="s">
        <v>516</v>
      </c>
      <c r="G3121" t="s">
        <v>34</v>
      </c>
      <c r="H3121" s="52" t="str">
        <f>VLOOKUP(Tabla3[[#This Row],[Site]],'Important Info!'!$A$1:$J$135,10,FALSE)</f>
        <v>https://tools.sig.systems/site/details/135</v>
      </c>
      <c r="J3121" t="s">
        <v>41</v>
      </c>
      <c r="K3121" s="79" t="str">
        <f>VLOOKUP(Tabla3[[#This Row],[Site]],'Important Info!'!$A$1:$H$135,8,FALSE)</f>
        <v>-</v>
      </c>
      <c r="L3121" s="52" t="str">
        <f>VLOOKUP(Tabla3[[#This Row],[Site]],'Important Info!'!$A$1:$F$135,2,FALSE)</f>
        <v>6, 7, 18</v>
      </c>
      <c r="M3121" s="52" t="str">
        <f>VLOOKUP(Tabla3[[#This Row],[Site]],'Important Info!'!$A$1:$F$135,3,FALSE)</f>
        <v>70, 79, 80</v>
      </c>
      <c r="N3121" s="52" t="str">
        <f>VLOOKUP(Tabla3[[#This Row],[Site]],'Important Info!'!$A$1:$F$135,4,FALSE)</f>
        <v>83, 84</v>
      </c>
      <c r="O3121" s="52" t="str">
        <f>VLOOKUP(Tabla3[[#This Row],[Site]],'Important Info!'!$A$1:$F$135,5,FALSE)</f>
        <v>3, 8, 14, 81</v>
      </c>
      <c r="P3121" s="52">
        <f>VLOOKUP(Tabla3[[#This Row],[Site]],'Important Info!'!$A$1:$F$135,6,FALSE)</f>
        <v>6</v>
      </c>
      <c r="Q3121" s="91">
        <f>VLOOKUP(Tabla3[[#This Row],[Site]],'Important Info!'!$A$1:$J$135,9,FALSE)</f>
        <v>135</v>
      </c>
    </row>
    <row r="3122" spans="1:17" x14ac:dyDescent="0.25">
      <c r="A3122" t="str">
        <f>+Tabla3[[#This Row],[Site]]&amp;Tabla3[[#This Row],[Split]]</f>
        <v>(DT) Louisville30</v>
      </c>
      <c r="B3122">
        <v>30</v>
      </c>
      <c r="C3122">
        <v>27</v>
      </c>
      <c r="D3122" t="s">
        <v>62</v>
      </c>
      <c r="E3122" t="s">
        <v>35</v>
      </c>
      <c r="F3122" t="s">
        <v>99</v>
      </c>
      <c r="G3122" t="s">
        <v>490</v>
      </c>
      <c r="H3122" s="52" t="str">
        <f>VLOOKUP(Tabla3[[#This Row],[Site]],'Important Info!'!$A$1:$J$135,10,FALSE)</f>
        <v>https://tools.sig.systems/site/details/258</v>
      </c>
      <c r="J3122" t="s">
        <v>41</v>
      </c>
      <c r="K3122" s="79" t="str">
        <f>VLOOKUP(Tabla3[[#This Row],[Site]],'Important Info!'!$A$1:$H$135,8,FALSE)</f>
        <v>-</v>
      </c>
      <c r="L3122" s="52" t="str">
        <f>VLOOKUP(Tabla3[[#This Row],[Site]],'Important Info!'!$A$1:$F$135,2,FALSE)</f>
        <v>-</v>
      </c>
      <c r="M3122" s="52">
        <f>VLOOKUP(Tabla3[[#This Row],[Site]],'Important Info!'!$A$1:$F$135,3,FALSE)</f>
        <v>3</v>
      </c>
      <c r="N3122" s="52" t="str">
        <f>VLOOKUP(Tabla3[[#This Row],[Site]],'Important Info!'!$A$1:$F$135,4,FALSE)</f>
        <v>-</v>
      </c>
      <c r="O3122" s="52" t="str">
        <f>VLOOKUP(Tabla3[[#This Row],[Site]],'Important Info!'!$A$1:$F$135,5,FALSE)</f>
        <v>-</v>
      </c>
      <c r="P3122" s="52" t="str">
        <f>VLOOKUP(Tabla3[[#This Row],[Site]],'Important Info!'!$A$1:$F$135,6,FALSE)</f>
        <v>3, 8</v>
      </c>
      <c r="Q3122" s="91">
        <f>VLOOKUP(Tabla3[[#This Row],[Site]],'Important Info!'!$A$1:$J$135,9,FALSE)</f>
        <v>258</v>
      </c>
    </row>
    <row r="3123" spans="1:17" x14ac:dyDescent="0.25">
      <c r="A3123" t="str">
        <f>+Tabla3[[#This Row],[Site]]&amp;Tabla3[[#This Row],[Split]]</f>
        <v>(ML) Joe Machens Capital City I &amp; II (NO TOURS)30</v>
      </c>
      <c r="B3123">
        <v>30</v>
      </c>
      <c r="C3123">
        <v>27</v>
      </c>
      <c r="D3123" t="s">
        <v>33</v>
      </c>
      <c r="E3123" t="s">
        <v>46</v>
      </c>
      <c r="F3123" t="s">
        <v>72</v>
      </c>
      <c r="G3123" t="s">
        <v>34</v>
      </c>
      <c r="H3123" s="52" t="str">
        <f>VLOOKUP(Tabla3[[#This Row],[Site]],'Important Info!'!$A$1:$J$135,10,FALSE)</f>
        <v>https://tools.sig.systems/site/details/271</v>
      </c>
      <c r="I3123" s="2"/>
      <c r="J3123" t="s">
        <v>41</v>
      </c>
      <c r="K3123" s="79" t="str">
        <f>VLOOKUP(Tabla3[[#This Row],[Site]],'Important Info!'!$A$1:$H$135,8,FALSE)</f>
        <v>-</v>
      </c>
      <c r="L3123" s="52" t="str">
        <f>VLOOKUP(Tabla3[[#This Row],[Site]],'Important Info!'!$A$1:$F$135,2,FALSE)</f>
        <v>-</v>
      </c>
      <c r="M3123" s="52" t="str">
        <f>VLOOKUP(Tabla3[[#This Row],[Site]],'Important Info!'!$A$1:$F$135,3,FALSE)</f>
        <v>1, 3, 4, 20, 25, 27, 28</v>
      </c>
      <c r="N3123" s="52" t="str">
        <f>VLOOKUP(Tabla3[[#This Row],[Site]],'Important Info!'!$A$1:$F$135,4,FALSE)</f>
        <v>-</v>
      </c>
      <c r="O3123" s="52">
        <f>VLOOKUP(Tabla3[[#This Row],[Site]],'Important Info!'!$A$1:$F$135,5,FALSE)</f>
        <v>29</v>
      </c>
      <c r="P3123" s="52" t="str">
        <f>VLOOKUP(Tabla3[[#This Row],[Site]],'Important Info!'!$A$1:$F$135,6,FALSE)</f>
        <v>19, 20</v>
      </c>
      <c r="Q3123" s="91">
        <f>VLOOKUP(Tabla3[[#This Row],[Site]],'Important Info!'!$A$1:$J$135,9,FALSE)</f>
        <v>271</v>
      </c>
    </row>
    <row r="3124" spans="1:17" x14ac:dyDescent="0.25">
      <c r="A3124" t="str">
        <f>+Tabla3[[#This Row],[Site]]&amp;Tabla3[[#This Row],[Split]]</f>
        <v>(PE) JLR Darien PDI (NO TOURS)30</v>
      </c>
      <c r="B3124">
        <v>30</v>
      </c>
      <c r="C3124">
        <v>27</v>
      </c>
      <c r="D3124" t="s">
        <v>485</v>
      </c>
      <c r="E3124" t="s">
        <v>35</v>
      </c>
      <c r="F3124" t="s">
        <v>98</v>
      </c>
      <c r="G3124" t="s">
        <v>490</v>
      </c>
      <c r="H3124" s="52" t="str">
        <f>VLOOKUP(Tabla3[[#This Row],[Site]],'Important Info!'!$A$1:$J$135,10,FALSE)</f>
        <v>https://tools.sig.systems/site/details/187</v>
      </c>
      <c r="I3124" t="s">
        <v>175</v>
      </c>
      <c r="J3124" t="s">
        <v>41</v>
      </c>
      <c r="K3124" s="79" t="str">
        <f>VLOOKUP(Tabla3[[#This Row],[Site]],'Important Info!'!$A$1:$H$135,8,FALSE)</f>
        <v>-</v>
      </c>
      <c r="L3124" s="52">
        <f>VLOOKUP(Tabla3[[#This Row],[Site]],'Important Info!'!$A$1:$F$135,2,FALSE)</f>
        <v>1</v>
      </c>
      <c r="M3124" s="52" t="str">
        <f>VLOOKUP(Tabla3[[#This Row],[Site]],'Important Info!'!$A$1:$F$135,3,FALSE)</f>
        <v>-</v>
      </c>
      <c r="N3124" s="52" t="str">
        <f>VLOOKUP(Tabla3[[#This Row],[Site]],'Important Info!'!$A$1:$F$135,4,FALSE)</f>
        <v>-</v>
      </c>
      <c r="O3124" s="52">
        <f>VLOOKUP(Tabla3[[#This Row],[Site]],'Important Info!'!$A$1:$F$135,5,FALSE)</f>
        <v>1</v>
      </c>
      <c r="P3124" s="52">
        <f>VLOOKUP(Tabla3[[#This Row],[Site]],'Important Info!'!$A$1:$F$135,6,FALSE)</f>
        <v>7</v>
      </c>
      <c r="Q3124" s="91">
        <f>VLOOKUP(Tabla3[[#This Row],[Site]],'Important Info!'!$A$1:$J$135,9,FALSE)</f>
        <v>187</v>
      </c>
    </row>
    <row r="3125" spans="1:17" x14ac:dyDescent="0.25">
      <c r="A3125" t="str">
        <f>+Tabla3[[#This Row],[Site]]&amp;Tabla3[[#This Row],[Split]]</f>
        <v>(AS) Park Place Mercedes Benz Arlington (NO TOURS)30</v>
      </c>
      <c r="B3125">
        <v>30</v>
      </c>
      <c r="C3125">
        <v>28</v>
      </c>
      <c r="D3125" t="s">
        <v>33</v>
      </c>
      <c r="E3125" t="s">
        <v>46</v>
      </c>
      <c r="F3125" t="s">
        <v>518</v>
      </c>
      <c r="G3125" t="s">
        <v>34</v>
      </c>
      <c r="H3125" s="52" t="str">
        <f>VLOOKUP(Tabla3[[#This Row],[Site]],'Important Info!'!$A$1:$J$135,10,FALSE)</f>
        <v>https://tools.sig.systems/site/details/169</v>
      </c>
      <c r="J3125" t="s">
        <v>41</v>
      </c>
      <c r="K3125" s="79" t="str">
        <f>VLOOKUP(Tabla3[[#This Row],[Site]],'Important Info!'!$A$1:$H$135,8,FALSE)</f>
        <v>-</v>
      </c>
      <c r="L3125" s="52" t="str">
        <f>VLOOKUP(Tabla3[[#This Row],[Site]],'Important Info!'!$A$1:$F$135,2,FALSE)</f>
        <v>1, 9, 14</v>
      </c>
      <c r="M3125" s="52" t="str">
        <f>VLOOKUP(Tabla3[[#This Row],[Site]],'Important Info!'!$A$1:$F$135,3,FALSE)</f>
        <v>-</v>
      </c>
      <c r="N3125" s="52" t="str">
        <f>VLOOKUP(Tabla3[[#This Row],[Site]],'Important Info!'!$A$1:$F$135,4,FALSE)</f>
        <v>77, 78, 79, 80</v>
      </c>
      <c r="O3125" s="52" t="str">
        <f>VLOOKUP(Tabla3[[#This Row],[Site]],'Important Info!'!$A$1:$F$135,5,FALSE)</f>
        <v>2, 10, 18, 22, 31, 40</v>
      </c>
      <c r="P3125" s="52">
        <f>VLOOKUP(Tabla3[[#This Row],[Site]],'Important Info!'!$A$1:$F$135,6,FALSE)</f>
        <v>9</v>
      </c>
      <c r="Q3125" s="91">
        <f>VLOOKUP(Tabla3[[#This Row],[Site]],'Important Info!'!$A$1:$J$135,9,FALSE)</f>
        <v>169</v>
      </c>
    </row>
    <row r="3126" spans="1:17" x14ac:dyDescent="0.25">
      <c r="A3126" t="str">
        <f>+Tabla3[[#This Row],[Site]]&amp;Tabla3[[#This Row],[Split]]</f>
        <v>(JE) Jim Ellis Ford Sandy Springs30</v>
      </c>
      <c r="B3126">
        <v>30</v>
      </c>
      <c r="C3126">
        <v>28</v>
      </c>
      <c r="D3126" t="s">
        <v>62</v>
      </c>
      <c r="E3126" t="s">
        <v>35</v>
      </c>
      <c r="F3126" t="s">
        <v>187</v>
      </c>
      <c r="G3126" t="s">
        <v>490</v>
      </c>
      <c r="H3126" s="52" t="str">
        <f>VLOOKUP(Tabla3[[#This Row],[Site]],'Important Info!'!$A$1:$J$135,10,FALSE)</f>
        <v>https://tools.sig.systems/site/details/142</v>
      </c>
      <c r="I3126" s="43"/>
      <c r="J3126" t="s">
        <v>41</v>
      </c>
      <c r="K3126" s="79" t="str">
        <f>VLOOKUP(Tabla3[[#This Row],[Site]],'Important Info!'!$A$1:$H$135,8,FALSE)</f>
        <v>-</v>
      </c>
      <c r="L3126" s="52" t="str">
        <f>VLOOKUP(Tabla3[[#This Row],[Site]],'Important Info!'!$A$1:$F$135,2,FALSE)</f>
        <v>1, 5</v>
      </c>
      <c r="M3126" s="52" t="str">
        <f>VLOOKUP(Tabla3[[#This Row],[Site]],'Important Info!'!$A$1:$F$135,3,FALSE)</f>
        <v>-</v>
      </c>
      <c r="N3126" s="52" t="str">
        <f>VLOOKUP(Tabla3[[#This Row],[Site]],'Important Info!'!$A$1:$F$135,4,FALSE)</f>
        <v>-</v>
      </c>
      <c r="O3126" s="52" t="str">
        <f>VLOOKUP(Tabla3[[#This Row],[Site]],'Important Info!'!$A$1:$F$135,5,FALSE)</f>
        <v>1, 5, 9, 26</v>
      </c>
      <c r="P3126" s="52" t="str">
        <f>VLOOKUP(Tabla3[[#This Row],[Site]],'Important Info!'!$A$1:$F$135,6,FALSE)</f>
        <v>3, 4, 8, 28</v>
      </c>
      <c r="Q3126" s="91">
        <f>VLOOKUP(Tabla3[[#This Row],[Site]],'Important Info!'!$A$1:$J$135,9,FALSE)</f>
        <v>142</v>
      </c>
    </row>
    <row r="3127" spans="1:17" x14ac:dyDescent="0.25">
      <c r="A3127" t="str">
        <f>+Tabla3[[#This Row],[Site]]&amp;Tabla3[[#This Row],[Split]]</f>
        <v>(WAG) Greeley Chrysler Dodge Jeep Ram (NO TOURS)30</v>
      </c>
      <c r="B3127">
        <v>30</v>
      </c>
      <c r="C3127">
        <v>28</v>
      </c>
      <c r="D3127" t="s">
        <v>44</v>
      </c>
      <c r="E3127" t="s">
        <v>53</v>
      </c>
      <c r="F3127" t="s">
        <v>497</v>
      </c>
      <c r="G3127" t="s">
        <v>45</v>
      </c>
      <c r="H3127" s="52" t="str">
        <f>VLOOKUP(Tabla3[[#This Row],[Site]],'Important Info!'!$A$1:$J$135,10,FALSE)</f>
        <v>https://tools.sig.systems/site/details/130</v>
      </c>
      <c r="I3127" s="2" t="s">
        <v>153</v>
      </c>
      <c r="J3127" t="s">
        <v>41</v>
      </c>
      <c r="K3127" s="79" t="str">
        <f>VLOOKUP(Tabla3[[#This Row],[Site]],'Important Info!'!$A$1:$H$135,8,FALSE)</f>
        <v>-</v>
      </c>
      <c r="L3127" s="52" t="str">
        <f>VLOOKUP(Tabla3[[#This Row],[Site]],'Important Info!'!$A$1:$F$135,2,FALSE)</f>
        <v>17, 23 &amp; 18</v>
      </c>
      <c r="M3127" s="52" t="str">
        <f>VLOOKUP(Tabla3[[#This Row],[Site]],'Important Info!'!$A$1:$F$135,3,FALSE)</f>
        <v>4, 5, 6, 7, 8, 51, 55</v>
      </c>
      <c r="N3127" s="52" t="str">
        <f>VLOOKUP(Tabla3[[#This Row],[Site]],'Important Info!'!$A$1:$F$135,4,FALSE)</f>
        <v>-</v>
      </c>
      <c r="O3127" s="52" t="str">
        <f>VLOOKUP(Tabla3[[#This Row],[Site]],'Important Info!'!$A$1:$F$135,5,FALSE)</f>
        <v>3, 13, 17, 49, 53, 59</v>
      </c>
      <c r="P3127" s="52" t="str">
        <f>VLOOKUP(Tabla3[[#This Row],[Site]],'Important Info!'!$A$1:$F$135,6,FALSE)</f>
        <v>8, 9, 10, 51, 62</v>
      </c>
      <c r="Q3127" s="91">
        <f>VLOOKUP(Tabla3[[#This Row],[Site]],'Important Info!'!$A$1:$J$135,9,FALSE)</f>
        <v>130</v>
      </c>
    </row>
    <row r="3128" spans="1:17" x14ac:dyDescent="0.25">
      <c r="A3128" t="str">
        <f>+Tabla3[[#This Row],[Site]]&amp;Tabla3[[#This Row],[Split]]</f>
        <v>(AS) Lexus Plano I &amp; II (NO TOURS)30</v>
      </c>
      <c r="B3128">
        <v>30</v>
      </c>
      <c r="C3128">
        <v>29</v>
      </c>
      <c r="D3128" t="s">
        <v>33</v>
      </c>
      <c r="E3128" t="s">
        <v>46</v>
      </c>
      <c r="F3128" t="s">
        <v>524</v>
      </c>
      <c r="G3128" t="s">
        <v>34</v>
      </c>
      <c r="H3128" s="52" t="str">
        <f>VLOOKUP(Tabla3[[#This Row],[Site]],'Important Info!'!$A$1:$J$135,10,FALSE)</f>
        <v>https://tools.sig.systems/site/details/167</v>
      </c>
      <c r="I3128" s="63" t="s">
        <v>127</v>
      </c>
      <c r="J3128" t="s">
        <v>41</v>
      </c>
      <c r="K3128" s="79" t="str">
        <f>VLOOKUP(Tabla3[[#This Row],[Site]],'Important Info!'!$A$1:$H$135,8,FALSE)</f>
        <v>-</v>
      </c>
      <c r="L3128" s="52" t="str">
        <f>VLOOKUP(Tabla3[[#This Row],[Site]],'Important Info!'!$A$1:$F$135,2,FALSE)</f>
        <v>5, 9</v>
      </c>
      <c r="M3128" s="52" t="str">
        <f>VLOOKUP(Tabla3[[#This Row],[Site]],'Important Info!'!$A$1:$F$135,3,FALSE)</f>
        <v>-</v>
      </c>
      <c r="N3128" s="52" t="str">
        <f>VLOOKUP(Tabla3[[#This Row],[Site]],'Important Info!'!$A$1:$F$135,4,FALSE)</f>
        <v>101, 102, 103, 104</v>
      </c>
      <c r="O3128" s="52" t="str">
        <f>VLOOKUP(Tabla3[[#This Row],[Site]],'Important Info!'!$A$1:$F$135,5,FALSE)</f>
        <v>4, 10, 28</v>
      </c>
      <c r="P3128" s="52" t="str">
        <f>VLOOKUP(Tabla3[[#This Row],[Site]],'Important Info!'!$A$1:$F$135,6,FALSE)</f>
        <v>5, 9, 16</v>
      </c>
      <c r="Q3128" s="91">
        <f>VLOOKUP(Tabla3[[#This Row],[Site]],'Important Info!'!$A$1:$J$135,9,FALSE)</f>
        <v>167</v>
      </c>
    </row>
    <row r="3129" spans="1:17" x14ac:dyDescent="0.25">
      <c r="A3129" t="str">
        <f>+Tabla3[[#This Row],[Site]]&amp;Tabla3[[#This Row],[Split]]</f>
        <v>(ML) McLarty Gray-Daniels Toyota Nissan30</v>
      </c>
      <c r="B3129">
        <v>30</v>
      </c>
      <c r="C3129">
        <v>29</v>
      </c>
      <c r="D3129" t="s">
        <v>33</v>
      </c>
      <c r="E3129" t="s">
        <v>46</v>
      </c>
      <c r="F3129" t="s">
        <v>90</v>
      </c>
      <c r="G3129" t="s">
        <v>34</v>
      </c>
      <c r="H3129" s="52" t="str">
        <f>VLOOKUP(Tabla3[[#This Row],[Site]],'Important Info!'!$A$1:$J$135,10,FALSE)</f>
        <v>https://tools.sig.systems/site/details/152</v>
      </c>
      <c r="I3129" s="2" t="s">
        <v>150</v>
      </c>
      <c r="J3129" t="s">
        <v>41</v>
      </c>
      <c r="K3129" s="79" t="str">
        <f>VLOOKUP(Tabla3[[#This Row],[Site]],'Important Info!'!$A$1:$H$135,8,FALSE)</f>
        <v>-</v>
      </c>
      <c r="L3129" s="52" t="str">
        <f>VLOOKUP(Tabla3[[#This Row],[Site]],'Important Info!'!$A$1:$F$135,2,FALSE)</f>
        <v>-</v>
      </c>
      <c r="M3129" s="52" t="str">
        <f>VLOOKUP(Tabla3[[#This Row],[Site]],'Important Info!'!$A$1:$F$135,3,FALSE)</f>
        <v>8, 11, 39, 43</v>
      </c>
      <c r="N3129" s="52" t="str">
        <f>VLOOKUP(Tabla3[[#This Row],[Site]],'Important Info!'!$A$1:$F$135,4,FALSE)</f>
        <v>-</v>
      </c>
      <c r="O3129" s="52" t="str">
        <f>VLOOKUP(Tabla3[[#This Row],[Site]],'Important Info!'!$A$1:$F$135,5,FALSE)</f>
        <v>6, 11, 15, 18</v>
      </c>
      <c r="P3129" s="52" t="str">
        <f>VLOOKUP(Tabla3[[#This Row],[Site]],'Important Info!'!$A$1:$F$135,6,FALSE)</f>
        <v>7, 8, 9</v>
      </c>
      <c r="Q3129" s="91">
        <f>VLOOKUP(Tabla3[[#This Row],[Site]],'Important Info!'!$A$1:$J$135,9,FALSE)</f>
        <v>152</v>
      </c>
    </row>
    <row r="3130" spans="1:17" x14ac:dyDescent="0.25">
      <c r="A3130" t="str">
        <f>+Tabla3[[#This Row],[Site]]&amp;Tabla3[[#This Row],[Split]]</f>
        <v>(AS) Park Place Acura (NO TOURS)30</v>
      </c>
      <c r="B3130">
        <v>30</v>
      </c>
      <c r="C3130">
        <v>30</v>
      </c>
      <c r="D3130" t="s">
        <v>33</v>
      </c>
      <c r="E3130" t="s">
        <v>46</v>
      </c>
      <c r="F3130" t="s">
        <v>513</v>
      </c>
      <c r="G3130" t="s">
        <v>34</v>
      </c>
      <c r="H3130" s="52" t="str">
        <f>VLOOKUP(Tabla3[[#This Row],[Site]],'Important Info!'!$A$1:$J$135,10,FALSE)</f>
        <v>https://tools.sig.systems/site/details/259</v>
      </c>
      <c r="I3130" s="63" t="s">
        <v>127</v>
      </c>
      <c r="J3130" t="s">
        <v>41</v>
      </c>
      <c r="K3130" s="79" t="str">
        <f>VLOOKUP(Tabla3[[#This Row],[Site]],'Important Info!'!$A$1:$H$135,8,FALSE)</f>
        <v>-</v>
      </c>
      <c r="L3130" s="52" t="str">
        <f>VLOOKUP(Tabla3[[#This Row],[Site]],'Important Info!'!$A$1:$F$135,2,FALSE)</f>
        <v>1, 2, 14, 16</v>
      </c>
      <c r="M3130" s="52" t="str">
        <f>VLOOKUP(Tabla3[[#This Row],[Site]],'Important Info!'!$A$1:$F$135,3,FALSE)</f>
        <v>-</v>
      </c>
      <c r="N3130" s="52" t="str">
        <f>VLOOKUP(Tabla3[[#This Row],[Site]],'Important Info!'!$A$1:$F$135,4,FALSE)</f>
        <v>-</v>
      </c>
      <c r="O3130" s="52" t="str">
        <f>VLOOKUP(Tabla3[[#This Row],[Site]],'Important Info!'!$A$1:$F$135,5,FALSE)</f>
        <v>1, 7, 13</v>
      </c>
      <c r="P3130" s="52" t="str">
        <f>VLOOKUP(Tabla3[[#This Row],[Site]],'Important Info!'!$A$1:$F$135,6,FALSE)</f>
        <v>-</v>
      </c>
      <c r="Q3130" s="91">
        <f>VLOOKUP(Tabla3[[#This Row],[Site]],'Important Info!'!$A$1:$J$135,9,FALSE)</f>
        <v>259</v>
      </c>
    </row>
    <row r="3131" spans="1:17" x14ac:dyDescent="0.25">
      <c r="A3131" t="str">
        <f>+Tabla3[[#This Row],[Site]]&amp;Tabla3[[#This Row],[Split]]</f>
        <v>(KG) JLR LEHI (NO TOURS)30</v>
      </c>
      <c r="B3131">
        <v>30</v>
      </c>
      <c r="C3131">
        <v>30</v>
      </c>
      <c r="D3131" t="s">
        <v>44</v>
      </c>
      <c r="E3131" t="s">
        <v>53</v>
      </c>
      <c r="F3131" t="s">
        <v>8</v>
      </c>
      <c r="G3131" t="s">
        <v>45</v>
      </c>
      <c r="H3131" s="52" t="str">
        <f>VLOOKUP(Tabla3[[#This Row],[Site]],'Important Info!'!$A$1:$J$135,10,FALSE)</f>
        <v>https://tools.sig.systems/site/details/145</v>
      </c>
      <c r="I3131" s="43"/>
      <c r="J3131" t="s">
        <v>41</v>
      </c>
      <c r="K3131" s="79" t="str">
        <f>VLOOKUP(Tabla3[[#This Row],[Site]],'Important Info!'!$A$1:$H$135,8,FALSE)</f>
        <v>-</v>
      </c>
      <c r="L3131" s="52" t="str">
        <f>VLOOKUP(Tabla3[[#This Row],[Site]],'Important Info!'!$A$1:$F$135,2,FALSE)</f>
        <v>1, 11</v>
      </c>
      <c r="M3131" s="52" t="str">
        <f>VLOOKUP(Tabla3[[#This Row],[Site]],'Important Info!'!$A$1:$F$135,3,FALSE)</f>
        <v>-</v>
      </c>
      <c r="N3131" s="52" t="str">
        <f>VLOOKUP(Tabla3[[#This Row],[Site]],'Important Info!'!$A$1:$F$135,4,FALSE)</f>
        <v>-</v>
      </c>
      <c r="O3131" s="52" t="str">
        <f>VLOOKUP(Tabla3[[#This Row],[Site]],'Important Info!'!$A$1:$F$135,5,FALSE)</f>
        <v>1, 7, 11</v>
      </c>
      <c r="P3131" s="52" t="str">
        <f>VLOOKUP(Tabla3[[#This Row],[Site]],'Important Info!'!$A$1:$F$135,6,FALSE)</f>
        <v>-</v>
      </c>
      <c r="Q3131" s="91">
        <f>VLOOKUP(Tabla3[[#This Row],[Site]],'Important Info!'!$A$1:$J$135,9,FALSE)</f>
        <v>145</v>
      </c>
    </row>
    <row r="3132" spans="1:17" x14ac:dyDescent="0.25">
      <c r="A3132" t="str">
        <f>+Tabla3[[#This Row],[Site]]&amp;Tabla3[[#This Row],[Split]]</f>
        <v>(ML) McLarty Gray-Daniels Ford Lincoln30</v>
      </c>
      <c r="B3132">
        <v>30</v>
      </c>
      <c r="C3132">
        <v>30</v>
      </c>
      <c r="D3132" t="s">
        <v>33</v>
      </c>
      <c r="E3132" t="s">
        <v>46</v>
      </c>
      <c r="F3132" t="s">
        <v>89</v>
      </c>
      <c r="G3132" t="s">
        <v>34</v>
      </c>
      <c r="H3132" s="52" t="str">
        <f>VLOOKUP(Tabla3[[#This Row],[Site]],'Important Info!'!$A$1:$J$135,10,FALSE)</f>
        <v>https://tools.sig.systems/site/details/151</v>
      </c>
      <c r="I3132" s="43" t="s">
        <v>150</v>
      </c>
      <c r="J3132" t="s">
        <v>41</v>
      </c>
      <c r="K3132" s="79" t="str">
        <f>VLOOKUP(Tabla3[[#This Row],[Site]],'Important Info!'!$A$1:$H$135,8,FALSE)</f>
        <v>-</v>
      </c>
      <c r="L3132" s="52">
        <f>VLOOKUP(Tabla3[[#This Row],[Site]],'Important Info!'!$A$1:$F$135,2,FALSE)</f>
        <v>16</v>
      </c>
      <c r="M3132" s="52" t="str">
        <f>VLOOKUP(Tabla3[[#This Row],[Site]],'Important Info!'!$A$1:$F$135,3,FALSE)</f>
        <v>5, 10, 36, 38, 54, 58B</v>
      </c>
      <c r="N3132" s="52" t="str">
        <f>VLOOKUP(Tabla3[[#This Row],[Site]],'Important Info!'!$A$1:$F$135,4,FALSE)</f>
        <v>-</v>
      </c>
      <c r="O3132" s="52" t="str">
        <f>VLOOKUP(Tabla3[[#This Row],[Site]],'Important Info!'!$A$1:$F$135,5,FALSE)</f>
        <v>5, 17, 37</v>
      </c>
      <c r="P3132" s="52" t="str">
        <f>VLOOKUP(Tabla3[[#This Row],[Site]],'Important Info!'!$A$1:$F$135,6,FALSE)</f>
        <v>1, 2, 3, 4</v>
      </c>
      <c r="Q3132" s="91">
        <f>VLOOKUP(Tabla3[[#This Row],[Site]],'Important Info!'!$A$1:$J$135,9,FALSE)</f>
        <v>151</v>
      </c>
    </row>
    <row r="3133" spans="1:17" x14ac:dyDescent="0.25">
      <c r="A3133" t="str">
        <f>+Tabla3[[#This Row],[Site]]&amp;Tabla3[[#This Row],[Split]]</f>
        <v>(PE) JLR PDI (NO TOURS)30</v>
      </c>
      <c r="B3133">
        <v>30</v>
      </c>
      <c r="C3133">
        <v>30</v>
      </c>
      <c r="D3133" t="s">
        <v>485</v>
      </c>
      <c r="E3133" t="s">
        <v>35</v>
      </c>
      <c r="F3133" t="s">
        <v>114</v>
      </c>
      <c r="G3133" t="s">
        <v>490</v>
      </c>
      <c r="H3133" s="52" t="str">
        <f>VLOOKUP(Tabla3[[#This Row],[Site]],'Important Info!'!$A$1:$J$135,10,FALSE)</f>
        <v>https://tools.sig.systems/site/details/179</v>
      </c>
      <c r="I3133" t="s">
        <v>176</v>
      </c>
      <c r="J3133" t="s">
        <v>41</v>
      </c>
      <c r="K3133" s="79" t="str">
        <f>VLOOKUP(Tabla3[[#This Row],[Site]],'Important Info!'!$A$1:$H$135,8,FALSE)</f>
        <v>-</v>
      </c>
      <c r="L3133" s="52" t="str">
        <f>VLOOKUP(Tabla3[[#This Row],[Site]],'Important Info!'!$A$1:$F$135,2,FALSE)</f>
        <v>3, 8</v>
      </c>
      <c r="M3133" s="52" t="str">
        <f>VLOOKUP(Tabla3[[#This Row],[Site]],'Important Info!'!$A$1:$F$135,3,FALSE)</f>
        <v>-</v>
      </c>
      <c r="N3133" s="52" t="str">
        <f>VLOOKUP(Tabla3[[#This Row],[Site]],'Important Info!'!$A$1:$F$135,4,FALSE)</f>
        <v>-</v>
      </c>
      <c r="O3133" s="52" t="str">
        <f>VLOOKUP(Tabla3[[#This Row],[Site]],'Important Info!'!$A$1:$F$135,5,FALSE)</f>
        <v>-</v>
      </c>
      <c r="P3133" s="52" t="str">
        <f>VLOOKUP(Tabla3[[#This Row],[Site]],'Important Info!'!$A$1:$F$135,6,FALSE)</f>
        <v>-</v>
      </c>
      <c r="Q3133" s="91">
        <f>VLOOKUP(Tabla3[[#This Row],[Site]],'Important Info!'!$A$1:$J$135,9,FALSE)</f>
        <v>179</v>
      </c>
    </row>
    <row r="3134" spans="1:17" x14ac:dyDescent="0.25">
      <c r="A3134" t="str">
        <f>+Tabla3[[#This Row],[Site]]&amp;Tabla3[[#This Row],[Split]]</f>
        <v/>
      </c>
      <c r="H3134" s="52" t="e">
        <f>VLOOKUP(Tabla3[[#This Row],[Site]],'Important Info!'!$A$1:$J$135,10,FALSE)</f>
        <v>#N/A</v>
      </c>
      <c r="I3134" s="2"/>
      <c r="K3134" s="79"/>
      <c r="L3134" s="52" t="e">
        <f>VLOOKUP(Tabla3[[#This Row],[Site]],'Important Info!'!$A$1:$F$135,2,FALSE)</f>
        <v>#N/A</v>
      </c>
      <c r="M3134" s="52" t="e">
        <f>VLOOKUP(Tabla3[[#This Row],[Site]],'Important Info!'!$A$1:$F$135,3,FALSE)</f>
        <v>#N/A</v>
      </c>
      <c r="N3134" s="52" t="e">
        <f>VLOOKUP(Tabla3[[#This Row],[Site]],'Important Info!'!$A$1:$F$135,4,FALSE)</f>
        <v>#N/A</v>
      </c>
      <c r="O3134" s="52" t="e">
        <f>VLOOKUP(Tabla3[[#This Row],[Site]],'Important Info!'!$A$1:$F$135,5,FALSE)</f>
        <v>#N/A</v>
      </c>
      <c r="P3134" s="52" t="e">
        <f>VLOOKUP(Tabla3[[#This Row],[Site]],'Important Info!'!$A$1:$F$135,6,FALSE)</f>
        <v>#N/A</v>
      </c>
      <c r="Q3134" s="91" t="e">
        <f>VLOOKUP(Tabla3[[#This Row],[Site]],'Important Info!'!$A$1:$J$135,9,FALSE)</f>
        <v>#N/A</v>
      </c>
    </row>
    <row r="3135" spans="1:17" x14ac:dyDescent="0.25">
      <c r="A3135" t="str">
        <f>+Tabla3[[#This Row],[Site]]&amp;Tabla3[[#This Row],[Split]]</f>
        <v/>
      </c>
      <c r="H3135" s="52" t="e">
        <f>VLOOKUP(Tabla3[[#This Row],[Site]],'Important Info!'!$A$1:$J$135,10,FALSE)</f>
        <v>#N/A</v>
      </c>
      <c r="K3135" s="79"/>
      <c r="Q3135" s="91"/>
    </row>
    <row r="3136" spans="1:17" x14ac:dyDescent="0.25">
      <c r="A3136" t="str">
        <f>+Tabla3[[#This Row],[Site]]&amp;Tabla3[[#This Row],[Split]]</f>
        <v/>
      </c>
      <c r="H3136" s="52" t="e">
        <f>VLOOKUP(Tabla3[[#This Row],[Site]],'Important Info!'!$A$1:$J$135,10,FALSE)</f>
        <v>#N/A</v>
      </c>
      <c r="I3136" s="8"/>
      <c r="K3136" s="79"/>
      <c r="L3136" s="52" t="e">
        <f>VLOOKUP(Tabla3[[#This Row],[Site]],'Important Info!'!$A$1:$F$135,2,FALSE)</f>
        <v>#N/A</v>
      </c>
      <c r="M3136" s="52" t="e">
        <f>VLOOKUP(Tabla3[[#This Row],[Site]],'Important Info!'!$A$1:$F$135,3,FALSE)</f>
        <v>#N/A</v>
      </c>
      <c r="N3136" s="52" t="e">
        <f>VLOOKUP(Tabla3[[#This Row],[Site]],'Important Info!'!$A$1:$F$135,4,FALSE)</f>
        <v>#N/A</v>
      </c>
      <c r="O3136" s="52" t="e">
        <f>VLOOKUP(Tabla3[[#This Row],[Site]],'Important Info!'!$A$1:$F$135,5,FALSE)</f>
        <v>#N/A</v>
      </c>
      <c r="P3136" s="52" t="e">
        <f>VLOOKUP(Tabla3[[#This Row],[Site]],'Important Info!'!$A$1:$F$135,6,FALSE)</f>
        <v>#N/A</v>
      </c>
      <c r="Q3136" s="91" t="e">
        <f>VLOOKUP(Tabla3[[#This Row],[Site]],'Important Info!'!$A$1:$J$135,9,FALSE)</f>
        <v>#N/A</v>
      </c>
    </row>
    <row r="3137" spans="1:17" x14ac:dyDescent="0.25">
      <c r="A3137" t="str">
        <f>+Tabla3[[#This Row],[Site]]&amp;Tabla3[[#This Row],[Split]]</f>
        <v/>
      </c>
      <c r="H3137" s="52" t="e">
        <f>VLOOKUP(Tabla3[[#This Row],[Site]],'Important Info!'!$A$1:$J$135,10,FALSE)</f>
        <v>#N/A</v>
      </c>
      <c r="K3137" s="79"/>
      <c r="L3137" s="52" t="e">
        <f>VLOOKUP(Tabla3[[#This Row],[Site]],'Important Info!'!$A$1:$F$135,2,FALSE)</f>
        <v>#N/A</v>
      </c>
      <c r="M3137" s="52" t="e">
        <f>VLOOKUP(Tabla3[[#This Row],[Site]],'Important Info!'!$A$1:$F$135,3,FALSE)</f>
        <v>#N/A</v>
      </c>
      <c r="N3137" s="52" t="e">
        <f>VLOOKUP(Tabla3[[#This Row],[Site]],'Important Info!'!$A$1:$F$135,4,FALSE)</f>
        <v>#N/A</v>
      </c>
      <c r="O3137" s="52" t="e">
        <f>VLOOKUP(Tabla3[[#This Row],[Site]],'Important Info!'!$A$1:$F$135,5,FALSE)</f>
        <v>#N/A</v>
      </c>
      <c r="P3137" s="52" t="e">
        <f>VLOOKUP(Tabla3[[#This Row],[Site]],'Important Info!'!$A$1:$F$135,6,FALSE)</f>
        <v>#N/A</v>
      </c>
      <c r="Q3137" s="91" t="e">
        <f>VLOOKUP(Tabla3[[#This Row],[Site]],'Important Info!'!$A$1:$J$135,9,FALSE)</f>
        <v>#N/A</v>
      </c>
    </row>
    <row r="3138" spans="1:17" x14ac:dyDescent="0.25">
      <c r="A3138" t="str">
        <f>+Tabla3[[#This Row],[Site]]&amp;Tabla3[[#This Row],[Split]]</f>
        <v/>
      </c>
      <c r="H3138" s="52" t="e">
        <f>VLOOKUP(Tabla3[[#This Row],[Site]],'Important Info!'!$A$1:$J$135,10,FALSE)</f>
        <v>#N/A</v>
      </c>
      <c r="I3138" s="2"/>
      <c r="K3138" s="79"/>
      <c r="L3138" s="52" t="e">
        <f>VLOOKUP(Tabla3[[#This Row],[Site]],'Important Info!'!$A$1:$F$135,2,FALSE)</f>
        <v>#N/A</v>
      </c>
      <c r="M3138" s="52" t="e">
        <f>VLOOKUP(Tabla3[[#This Row],[Site]],'Important Info!'!$A$1:$F$135,3,FALSE)</f>
        <v>#N/A</v>
      </c>
      <c r="N3138" s="52" t="e">
        <f>VLOOKUP(Tabla3[[#This Row],[Site]],'Important Info!'!$A$1:$F$135,4,FALSE)</f>
        <v>#N/A</v>
      </c>
      <c r="O3138" s="52" t="e">
        <f>VLOOKUP(Tabla3[[#This Row],[Site]],'Important Info!'!$A$1:$F$135,5,FALSE)</f>
        <v>#N/A</v>
      </c>
      <c r="P3138" s="52" t="e">
        <f>VLOOKUP(Tabla3[[#This Row],[Site]],'Important Info!'!$A$1:$F$135,6,FALSE)</f>
        <v>#N/A</v>
      </c>
      <c r="Q3138" s="91" t="e">
        <f>VLOOKUP(Tabla3[[#This Row],[Site]],'Important Info!'!$A$1:$J$135,9,FALSE)</f>
        <v>#N/A</v>
      </c>
    </row>
    <row r="3139" spans="1:17" x14ac:dyDescent="0.25">
      <c r="A3139" t="str">
        <f>+Tabla3[[#This Row],[Site]]&amp;Tabla3[[#This Row],[Split]]</f>
        <v/>
      </c>
      <c r="H3139" s="52" t="e">
        <f>VLOOKUP(Tabla3[[#This Row],[Site]],'Important Info!'!$A$1:$J$135,10,FALSE)</f>
        <v>#N/A</v>
      </c>
      <c r="I3139" s="43"/>
      <c r="J3139" t="s">
        <v>41</v>
      </c>
      <c r="K3139" s="79" t="e">
        <f>VLOOKUP(Tabla3[[#This Row],[Site]],'Important Info!'!$A$1:$H$135,8,FALSE)</f>
        <v>#N/A</v>
      </c>
      <c r="L3139" s="52" t="e">
        <f>VLOOKUP(Tabla3[[#This Row],[Site]],'Important Info!'!$A$1:$F$135,2,FALSE)</f>
        <v>#N/A</v>
      </c>
      <c r="M3139" s="52" t="e">
        <f>VLOOKUP(Tabla3[[#This Row],[Site]],'Important Info!'!$A$1:$F$135,3,FALSE)</f>
        <v>#N/A</v>
      </c>
      <c r="N3139" s="52" t="e">
        <f>VLOOKUP(Tabla3[[#This Row],[Site]],'Important Info!'!$A$1:$F$135,4,FALSE)</f>
        <v>#N/A</v>
      </c>
      <c r="O3139" s="52" t="e">
        <f>VLOOKUP(Tabla3[[#This Row],[Site]],'Important Info!'!$A$1:$F$135,5,FALSE)</f>
        <v>#N/A</v>
      </c>
      <c r="P3139" s="52" t="e">
        <f>VLOOKUP(Tabla3[[#This Row],[Site]],'Important Info!'!$A$1:$F$135,6,FALSE)</f>
        <v>#N/A</v>
      </c>
      <c r="Q3139" s="91" t="e">
        <f>VLOOKUP(Tabla3[[#This Row],[Site]],'Important Info!'!$A$1:$J$135,9,FALSE)</f>
        <v>#N/A</v>
      </c>
    </row>
    <row r="3140" spans="1:17" x14ac:dyDescent="0.25">
      <c r="A3140" t="str">
        <f>+Tabla3[[#This Row],[Site]]&amp;Tabla3[[#This Row],[Split]]</f>
        <v/>
      </c>
      <c r="H3140" s="52" t="e">
        <f>VLOOKUP(Tabla3[[#This Row],[Site]],'Important Info!'!$A$1:$J$135,10,FALSE)</f>
        <v>#N/A</v>
      </c>
      <c r="I3140" s="8"/>
      <c r="K3140" s="79"/>
      <c r="L3140" s="52" t="e">
        <f>VLOOKUP(Tabla3[[#This Row],[Site]],'Important Info!'!$A$1:$F$135,2,FALSE)</f>
        <v>#N/A</v>
      </c>
      <c r="M3140" s="52" t="e">
        <f>VLOOKUP(Tabla3[[#This Row],[Site]],'Important Info!'!$A$1:$F$135,3,FALSE)</f>
        <v>#N/A</v>
      </c>
      <c r="N3140" s="52" t="e">
        <f>VLOOKUP(Tabla3[[#This Row],[Site]],'Important Info!'!$A$1:$F$135,4,FALSE)</f>
        <v>#N/A</v>
      </c>
      <c r="O3140" s="52" t="e">
        <f>VLOOKUP(Tabla3[[#This Row],[Site]],'Important Info!'!$A$1:$F$135,5,FALSE)</f>
        <v>#N/A</v>
      </c>
      <c r="P3140" s="52" t="e">
        <f>VLOOKUP(Tabla3[[#This Row],[Site]],'Important Info!'!$A$1:$F$135,6,FALSE)</f>
        <v>#N/A</v>
      </c>
      <c r="Q3140" s="91" t="e">
        <f>VLOOKUP(Tabla3[[#This Row],[Site]],'Important Info!'!$A$1:$J$135,9,FALSE)</f>
        <v>#N/A</v>
      </c>
    </row>
    <row r="3141" spans="1:17" x14ac:dyDescent="0.25">
      <c r="A3141" t="str">
        <f>+Tabla3[[#This Row],[Site]]&amp;Tabla3[[#This Row],[Split]]</f>
        <v/>
      </c>
      <c r="H3141" s="52" t="e">
        <f>VLOOKUP(Tabla3[[#This Row],[Site]],'Important Info!'!$A$1:$J$135,10,FALSE)</f>
        <v>#N/A</v>
      </c>
      <c r="I3141" s="43"/>
      <c r="K3141" s="79"/>
      <c r="Q3141" s="91"/>
    </row>
    <row r="3142" spans="1:17" x14ac:dyDescent="0.25">
      <c r="A3142" t="str">
        <f>+Tabla3[[#This Row],[Site]]&amp;Tabla3[[#This Row],[Split]]</f>
        <v/>
      </c>
      <c r="H3142" s="52" t="e">
        <f>VLOOKUP(Tabla3[[#This Row],[Site]],'Important Info!'!$A$1:$J$135,10,FALSE)</f>
        <v>#N/A</v>
      </c>
      <c r="K3142" s="79"/>
      <c r="L3142" s="52" t="e">
        <f>VLOOKUP(Tabla3[[#This Row],[Site]],'Important Info!'!$A$1:$F$135,2,FALSE)</f>
        <v>#N/A</v>
      </c>
      <c r="M3142" s="52" t="e">
        <f>VLOOKUP(Tabla3[[#This Row],[Site]],'Important Info!'!$A$1:$F$135,3,FALSE)</f>
        <v>#N/A</v>
      </c>
      <c r="N3142" s="52" t="e">
        <f>VLOOKUP(Tabla3[[#This Row],[Site]],'Important Info!'!$A$1:$F$135,4,FALSE)</f>
        <v>#N/A</v>
      </c>
      <c r="O3142" s="52" t="e">
        <f>VLOOKUP(Tabla3[[#This Row],[Site]],'Important Info!'!$A$1:$F$135,5,FALSE)</f>
        <v>#N/A</v>
      </c>
      <c r="P3142" s="52" t="e">
        <f>VLOOKUP(Tabla3[[#This Row],[Site]],'Important Info!'!$A$1:$F$135,6,FALSE)</f>
        <v>#N/A</v>
      </c>
      <c r="Q3142" s="91" t="e">
        <f>VLOOKUP(Tabla3[[#This Row],[Site]],'Important Info!'!$A$1:$J$135,9,FALSE)</f>
        <v>#N/A</v>
      </c>
    </row>
    <row r="3143" spans="1:17" x14ac:dyDescent="0.25">
      <c r="A3143" t="str">
        <f>+Tabla3[[#This Row],[Site]]&amp;Tabla3[[#This Row],[Split]]</f>
        <v/>
      </c>
      <c r="H3143" s="52" t="e">
        <f>VLOOKUP(Tabla3[[#This Row],[Site]],'Important Info!'!$A$1:$J$135,10,FALSE)</f>
        <v>#N/A</v>
      </c>
      <c r="I3143" s="43"/>
      <c r="K3143" s="79"/>
      <c r="L3143" s="52" t="e">
        <f>VLOOKUP(Tabla3[[#This Row],[Site]],'Important Info!'!$A$1:$F$135,2,FALSE)</f>
        <v>#N/A</v>
      </c>
      <c r="M3143" s="52" t="e">
        <f>VLOOKUP(Tabla3[[#This Row],[Site]],'Important Info!'!$A$1:$F$135,3,FALSE)</f>
        <v>#N/A</v>
      </c>
      <c r="N3143" s="52" t="e">
        <f>VLOOKUP(Tabla3[[#This Row],[Site]],'Important Info!'!$A$1:$F$135,4,FALSE)</f>
        <v>#N/A</v>
      </c>
      <c r="O3143" s="52" t="e">
        <f>VLOOKUP(Tabla3[[#This Row],[Site]],'Important Info!'!$A$1:$F$135,5,FALSE)</f>
        <v>#N/A</v>
      </c>
      <c r="P3143" s="52" t="e">
        <f>VLOOKUP(Tabla3[[#This Row],[Site]],'Important Info!'!$A$1:$F$135,6,FALSE)</f>
        <v>#N/A</v>
      </c>
      <c r="Q3143" s="91" t="e">
        <f>VLOOKUP(Tabla3[[#This Row],[Site]],'Important Info!'!$A$1:$J$135,9,FALSE)</f>
        <v>#N/A</v>
      </c>
    </row>
    <row r="3144" spans="1:17" x14ac:dyDescent="0.25">
      <c r="A3144" t="str">
        <f>+Tabla3[[#This Row],[Site]]&amp;Tabla3[[#This Row],[Split]]</f>
        <v/>
      </c>
      <c r="H3144" s="52" t="e">
        <f>VLOOKUP(Tabla3[[#This Row],[Site]],'Important Info!'!$A$1:$J$135,10,FALSE)</f>
        <v>#N/A</v>
      </c>
      <c r="I3144" s="43"/>
      <c r="J3144" t="s">
        <v>41</v>
      </c>
      <c r="K3144" s="79" t="e">
        <f>VLOOKUP(Tabla3[[#This Row],[Site]],'Important Info!'!$A$1:$H$135,8,FALSE)</f>
        <v>#N/A</v>
      </c>
      <c r="L3144" s="52" t="e">
        <f>VLOOKUP(Tabla3[[#This Row],[Site]],'Important Info!'!$A$1:$F$135,2,FALSE)</f>
        <v>#N/A</v>
      </c>
      <c r="M3144" s="52" t="e">
        <f>VLOOKUP(Tabla3[[#This Row],[Site]],'Important Info!'!$A$1:$F$135,3,FALSE)</f>
        <v>#N/A</v>
      </c>
      <c r="N3144" s="52" t="e">
        <f>VLOOKUP(Tabla3[[#This Row],[Site]],'Important Info!'!$A$1:$F$135,4,FALSE)</f>
        <v>#N/A</v>
      </c>
      <c r="O3144" s="52" t="e">
        <f>VLOOKUP(Tabla3[[#This Row],[Site]],'Important Info!'!$A$1:$F$135,5,FALSE)</f>
        <v>#N/A</v>
      </c>
      <c r="P3144" s="52" t="e">
        <f>VLOOKUP(Tabla3[[#This Row],[Site]],'Important Info!'!$A$1:$F$135,6,FALSE)</f>
        <v>#N/A</v>
      </c>
      <c r="Q3144" s="91" t="e">
        <f>VLOOKUP(Tabla3[[#This Row],[Site]],'Important Info!'!$A$1:$J$135,9,FALSE)</f>
        <v>#N/A</v>
      </c>
    </row>
    <row r="3145" spans="1:17" x14ac:dyDescent="0.25">
      <c r="A3145" t="str">
        <f>+Tabla3[[#This Row],[Site]]&amp;Tabla3[[#This Row],[Split]]</f>
        <v/>
      </c>
      <c r="H3145" s="52" t="e">
        <f>VLOOKUP(Tabla3[[#This Row],[Site]],'Important Info!'!$A$1:$J$135,10,FALSE)</f>
        <v>#N/A</v>
      </c>
      <c r="I3145" s="65"/>
      <c r="K3145" s="79"/>
      <c r="L3145" s="52" t="e">
        <f>VLOOKUP(Tabla3[[#This Row],[Site]],'Important Info!'!$A$1:$F$135,2,FALSE)</f>
        <v>#N/A</v>
      </c>
      <c r="M3145" s="52" t="e">
        <f>VLOOKUP(Tabla3[[#This Row],[Site]],'Important Info!'!$A$1:$F$135,3,FALSE)</f>
        <v>#N/A</v>
      </c>
      <c r="N3145" s="52" t="e">
        <f>VLOOKUP(Tabla3[[#This Row],[Site]],'Important Info!'!$A$1:$F$135,4,FALSE)</f>
        <v>#N/A</v>
      </c>
      <c r="O3145" s="52" t="e">
        <f>VLOOKUP(Tabla3[[#This Row],[Site]],'Important Info!'!$A$1:$F$135,5,FALSE)</f>
        <v>#N/A</v>
      </c>
      <c r="P3145" s="52" t="e">
        <f>VLOOKUP(Tabla3[[#This Row],[Site]],'Important Info!'!$A$1:$F$135,6,FALSE)</f>
        <v>#N/A</v>
      </c>
      <c r="Q3145" s="91" t="e">
        <f>VLOOKUP(Tabla3[[#This Row],[Site]],'Important Info!'!$A$1:$J$135,9,FALSE)</f>
        <v>#N/A</v>
      </c>
    </row>
    <row r="3146" spans="1:17" x14ac:dyDescent="0.25">
      <c r="A3146" t="str">
        <f>+Tabla3[[#This Row],[Site]]&amp;Tabla3[[#This Row],[Split]]</f>
        <v/>
      </c>
      <c r="H3146" s="52" t="e">
        <f>VLOOKUP(Tabla3[[#This Row],[Site]],'Important Info!'!$A$1:$J$135,10,FALSE)</f>
        <v>#N/A</v>
      </c>
      <c r="I3146" s="43"/>
      <c r="K3146" s="79"/>
      <c r="Q3146" s="91"/>
    </row>
    <row r="3147" spans="1:17" x14ac:dyDescent="0.25">
      <c r="A3147" t="str">
        <f>+Tabla3[[#This Row],[Site]]&amp;Tabla3[[#This Row],[Split]]</f>
        <v/>
      </c>
      <c r="H3147" s="52" t="e">
        <f>VLOOKUP(Tabla3[[#This Row],[Site]],'Important Info!'!$A$1:$J$135,10,FALSE)</f>
        <v>#N/A</v>
      </c>
      <c r="K3147" s="79"/>
      <c r="L3147" s="52" t="e">
        <f>VLOOKUP(Tabla3[[#This Row],[Site]],'Important Info!'!$A$1:$F$135,2,FALSE)</f>
        <v>#N/A</v>
      </c>
      <c r="M3147" s="52" t="e">
        <f>VLOOKUP(Tabla3[[#This Row],[Site]],'Important Info!'!$A$1:$F$135,3,FALSE)</f>
        <v>#N/A</v>
      </c>
      <c r="N3147" s="52" t="e">
        <f>VLOOKUP(Tabla3[[#This Row],[Site]],'Important Info!'!$A$1:$F$135,4,FALSE)</f>
        <v>#N/A</v>
      </c>
      <c r="O3147" s="52" t="e">
        <f>VLOOKUP(Tabla3[[#This Row],[Site]],'Important Info!'!$A$1:$F$135,5,FALSE)</f>
        <v>#N/A</v>
      </c>
      <c r="P3147" s="52" t="e">
        <f>VLOOKUP(Tabla3[[#This Row],[Site]],'Important Info!'!$A$1:$F$135,6,FALSE)</f>
        <v>#N/A</v>
      </c>
      <c r="Q3147" s="91" t="e">
        <f>VLOOKUP(Tabla3[[#This Row],[Site]],'Important Info!'!$A$1:$J$135,9,FALSE)</f>
        <v>#N/A</v>
      </c>
    </row>
    <row r="3148" spans="1:17" x14ac:dyDescent="0.25">
      <c r="A3148" t="str">
        <f>+Tabla3[[#This Row],[Site]]&amp;Tabla3[[#This Row],[Split]]</f>
        <v/>
      </c>
      <c r="H3148" s="52" t="e">
        <f>VLOOKUP(Tabla3[[#This Row],[Site]],'Important Info!'!$A$1:$J$135,10,FALSE)</f>
        <v>#N/A</v>
      </c>
      <c r="I3148" s="43"/>
      <c r="J3148" t="s">
        <v>41</v>
      </c>
      <c r="K3148" s="79" t="e">
        <f>VLOOKUP(Tabla3[[#This Row],[Site]],'Important Info!'!$A$1:$H$135,8,FALSE)</f>
        <v>#N/A</v>
      </c>
      <c r="L3148" s="52" t="e">
        <f>VLOOKUP(Tabla3[[#This Row],[Site]],'Important Info!'!$A$1:$F$135,2,FALSE)</f>
        <v>#N/A</v>
      </c>
      <c r="M3148" s="52" t="e">
        <f>VLOOKUP(Tabla3[[#This Row],[Site]],'Important Info!'!$A$1:$F$135,3,FALSE)</f>
        <v>#N/A</v>
      </c>
      <c r="N3148" s="52" t="e">
        <f>VLOOKUP(Tabla3[[#This Row],[Site]],'Important Info!'!$A$1:$F$135,4,FALSE)</f>
        <v>#N/A</v>
      </c>
      <c r="O3148" s="52" t="e">
        <f>VLOOKUP(Tabla3[[#This Row],[Site]],'Important Info!'!$A$1:$F$135,5,FALSE)</f>
        <v>#N/A</v>
      </c>
      <c r="P3148" s="52" t="e">
        <f>VLOOKUP(Tabla3[[#This Row],[Site]],'Important Info!'!$A$1:$F$135,6,FALSE)</f>
        <v>#N/A</v>
      </c>
      <c r="Q3148" s="91" t="e">
        <f>VLOOKUP(Tabla3[[#This Row],[Site]],'Important Info!'!$A$1:$J$135,9,FALSE)</f>
        <v>#N/A</v>
      </c>
    </row>
    <row r="3149" spans="1:17" x14ac:dyDescent="0.25">
      <c r="A3149" t="str">
        <f>+Tabla3[[#This Row],[Site]]&amp;Tabla3[[#This Row],[Split]]</f>
        <v/>
      </c>
      <c r="H3149" s="52" t="e">
        <f>VLOOKUP(Tabla3[[#This Row],[Site]],'Important Info!'!$A$1:$J$135,10,FALSE)</f>
        <v>#N/A</v>
      </c>
      <c r="I3149" s="8"/>
      <c r="K3149" s="79"/>
      <c r="L3149" s="52" t="e">
        <f>VLOOKUP(Tabla3[[#This Row],[Site]],'Important Info!'!$A$1:$F$135,2,FALSE)</f>
        <v>#N/A</v>
      </c>
      <c r="M3149" s="52" t="e">
        <f>VLOOKUP(Tabla3[[#This Row],[Site]],'Important Info!'!$A$1:$F$135,3,FALSE)</f>
        <v>#N/A</v>
      </c>
      <c r="N3149" s="52" t="e">
        <f>VLOOKUP(Tabla3[[#This Row],[Site]],'Important Info!'!$A$1:$F$135,4,FALSE)</f>
        <v>#N/A</v>
      </c>
      <c r="O3149" s="52" t="e">
        <f>VLOOKUP(Tabla3[[#This Row],[Site]],'Important Info!'!$A$1:$F$135,5,FALSE)</f>
        <v>#N/A</v>
      </c>
      <c r="P3149" s="52" t="e">
        <f>VLOOKUP(Tabla3[[#This Row],[Site]],'Important Info!'!$A$1:$F$135,6,FALSE)</f>
        <v>#N/A</v>
      </c>
      <c r="Q3149" s="91" t="e">
        <f>VLOOKUP(Tabla3[[#This Row],[Site]],'Important Info!'!$A$1:$J$135,9,FALSE)</f>
        <v>#N/A</v>
      </c>
    </row>
    <row r="3150" spans="1:17" x14ac:dyDescent="0.25">
      <c r="A3150" t="str">
        <f>+Tabla3[[#This Row],[Site]]&amp;Tabla3[[#This Row],[Split]]</f>
        <v/>
      </c>
      <c r="H3150" s="52" t="e">
        <f>VLOOKUP(Tabla3[[#This Row],[Site]],'Important Info!'!$A$1:$J$135,10,FALSE)</f>
        <v>#N/A</v>
      </c>
      <c r="I3150" s="2"/>
      <c r="K3150" s="79"/>
      <c r="Q3150" s="91"/>
    </row>
    <row r="3151" spans="1:17" x14ac:dyDescent="0.25">
      <c r="A3151" t="str">
        <f>+Tabla3[[#This Row],[Site]]&amp;Tabla3[[#This Row],[Split]]</f>
        <v/>
      </c>
      <c r="H3151" s="52" t="e">
        <f>VLOOKUP(Tabla3[[#This Row],[Site]],'Important Info!'!$A$1:$J$135,10,FALSE)</f>
        <v>#N/A</v>
      </c>
      <c r="I3151" s="2"/>
      <c r="K3151" s="79"/>
      <c r="L3151" s="52" t="e">
        <f>VLOOKUP(Tabla3[[#This Row],[Site]],'Important Info!'!$A$1:$F$135,2,FALSE)</f>
        <v>#N/A</v>
      </c>
      <c r="M3151" s="52" t="e">
        <f>VLOOKUP(Tabla3[[#This Row],[Site]],'Important Info!'!$A$1:$F$135,3,FALSE)</f>
        <v>#N/A</v>
      </c>
      <c r="N3151" s="52" t="e">
        <f>VLOOKUP(Tabla3[[#This Row],[Site]],'Important Info!'!$A$1:$F$135,4,FALSE)</f>
        <v>#N/A</v>
      </c>
      <c r="O3151" s="52" t="e">
        <f>VLOOKUP(Tabla3[[#This Row],[Site]],'Important Info!'!$A$1:$F$135,5,FALSE)</f>
        <v>#N/A</v>
      </c>
      <c r="P3151" s="52" t="e">
        <f>VLOOKUP(Tabla3[[#This Row],[Site]],'Important Info!'!$A$1:$F$135,6,FALSE)</f>
        <v>#N/A</v>
      </c>
      <c r="Q3151" s="91" t="e">
        <f>VLOOKUP(Tabla3[[#This Row],[Site]],'Important Info!'!$A$1:$J$135,9,FALSE)</f>
        <v>#N/A</v>
      </c>
    </row>
    <row r="3152" spans="1:17" x14ac:dyDescent="0.25">
      <c r="A3152" t="str">
        <f>+Tabla3[[#This Row],[Site]]&amp;Tabla3[[#This Row],[Split]]</f>
        <v/>
      </c>
      <c r="H3152" s="52" t="e">
        <f>VLOOKUP(Tabla3[[#This Row],[Site]],'Important Info!'!$A$1:$J$135,10,FALSE)</f>
        <v>#N/A</v>
      </c>
      <c r="K3152" s="79"/>
      <c r="L3152" s="52" t="e">
        <f>VLOOKUP(Tabla3[[#This Row],[Site]],'Important Info!'!$A$1:$F$135,2,FALSE)</f>
        <v>#N/A</v>
      </c>
      <c r="M3152" s="52" t="e">
        <f>VLOOKUP(Tabla3[[#This Row],[Site]],'Important Info!'!$A$1:$F$135,3,FALSE)</f>
        <v>#N/A</v>
      </c>
      <c r="N3152" s="52" t="e">
        <f>VLOOKUP(Tabla3[[#This Row],[Site]],'Important Info!'!$A$1:$F$135,4,FALSE)</f>
        <v>#N/A</v>
      </c>
      <c r="O3152" s="52" t="e">
        <f>VLOOKUP(Tabla3[[#This Row],[Site]],'Important Info!'!$A$1:$F$135,5,FALSE)</f>
        <v>#N/A</v>
      </c>
      <c r="P3152" s="52" t="e">
        <f>VLOOKUP(Tabla3[[#This Row],[Site]],'Important Info!'!$A$1:$F$135,6,FALSE)</f>
        <v>#N/A</v>
      </c>
      <c r="Q3152" s="91" t="e">
        <f>VLOOKUP(Tabla3[[#This Row],[Site]],'Important Info!'!$A$1:$J$135,9,FALSE)</f>
        <v>#N/A</v>
      </c>
    </row>
    <row r="3153" spans="1:17" x14ac:dyDescent="0.25">
      <c r="A3153" t="str">
        <f>+Tabla3[[#This Row],[Site]]&amp;Tabla3[[#This Row],[Split]]</f>
        <v/>
      </c>
      <c r="H3153" s="52" t="e">
        <f>VLOOKUP(Tabla3[[#This Row],[Site]],'Important Info!'!$A$1:$J$135,10,FALSE)</f>
        <v>#N/A</v>
      </c>
      <c r="I3153" s="2"/>
      <c r="J3153" t="s">
        <v>41</v>
      </c>
      <c r="K3153" s="79" t="e">
        <f>VLOOKUP(Tabla3[[#This Row],[Site]],'Important Info!'!$A$1:$H$135,8,FALSE)</f>
        <v>#N/A</v>
      </c>
      <c r="L3153" s="52" t="e">
        <f>VLOOKUP(Tabla3[[#This Row],[Site]],'Important Info!'!$A$1:$F$135,2,FALSE)</f>
        <v>#N/A</v>
      </c>
      <c r="M3153" s="52" t="e">
        <f>VLOOKUP(Tabla3[[#This Row],[Site]],'Important Info!'!$A$1:$F$135,3,FALSE)</f>
        <v>#N/A</v>
      </c>
      <c r="N3153" s="52" t="e">
        <f>VLOOKUP(Tabla3[[#This Row],[Site]],'Important Info!'!$A$1:$F$135,4,FALSE)</f>
        <v>#N/A</v>
      </c>
      <c r="O3153" s="52" t="e">
        <f>VLOOKUP(Tabla3[[#This Row],[Site]],'Important Info!'!$A$1:$F$135,5,FALSE)</f>
        <v>#N/A</v>
      </c>
      <c r="P3153" s="52" t="e">
        <f>VLOOKUP(Tabla3[[#This Row],[Site]],'Important Info!'!$A$1:$F$135,6,FALSE)</f>
        <v>#N/A</v>
      </c>
      <c r="Q3153" s="91" t="e">
        <f>VLOOKUP(Tabla3[[#This Row],[Site]],'Important Info!'!$A$1:$J$135,9,FALSE)</f>
        <v>#N/A</v>
      </c>
    </row>
    <row r="3154" spans="1:17" x14ac:dyDescent="0.25">
      <c r="A3154" t="str">
        <f>+Tabla3[[#This Row],[Site]]&amp;Tabla3[[#This Row],[Split]]</f>
        <v/>
      </c>
      <c r="H3154" s="52" t="e">
        <f>VLOOKUP(Tabla3[[#This Row],[Site]],'Important Info!'!$A$1:$J$135,10,FALSE)</f>
        <v>#N/A</v>
      </c>
      <c r="I3154" s="8"/>
      <c r="K3154" s="79"/>
      <c r="L3154" s="52" t="e">
        <f>VLOOKUP(Tabla3[[#This Row],[Site]],'Important Info!'!$A$1:$F$135,2,FALSE)</f>
        <v>#N/A</v>
      </c>
      <c r="M3154" s="52" t="e">
        <f>VLOOKUP(Tabla3[[#This Row],[Site]],'Important Info!'!$A$1:$F$135,3,FALSE)</f>
        <v>#N/A</v>
      </c>
      <c r="N3154" s="52" t="e">
        <f>VLOOKUP(Tabla3[[#This Row],[Site]],'Important Info!'!$A$1:$F$135,4,FALSE)</f>
        <v>#N/A</v>
      </c>
      <c r="O3154" s="52" t="e">
        <f>VLOOKUP(Tabla3[[#This Row],[Site]],'Important Info!'!$A$1:$F$135,5,FALSE)</f>
        <v>#N/A</v>
      </c>
      <c r="P3154" s="52" t="e">
        <f>VLOOKUP(Tabla3[[#This Row],[Site]],'Important Info!'!$A$1:$F$135,6,FALSE)</f>
        <v>#N/A</v>
      </c>
      <c r="Q3154" s="91" t="e">
        <f>VLOOKUP(Tabla3[[#This Row],[Site]],'Important Info!'!$A$1:$J$135,9,FALSE)</f>
        <v>#N/A</v>
      </c>
    </row>
    <row r="3155" spans="1:17" x14ac:dyDescent="0.25">
      <c r="A3155" t="str">
        <f>+Tabla3[[#This Row],[Site]]&amp;Tabla3[[#This Row],[Split]]</f>
        <v/>
      </c>
      <c r="F3155" s="41"/>
      <c r="H3155" s="52" t="e">
        <f>VLOOKUP(Tabla3[[#This Row],[Site]],'Important Info!'!$A$1:$J$135,10,FALSE)</f>
        <v>#N/A</v>
      </c>
      <c r="I3155" s="2"/>
      <c r="K3155" s="79"/>
      <c r="Q3155" s="91"/>
    </row>
    <row r="3156" spans="1:17" x14ac:dyDescent="0.25">
      <c r="A3156" t="str">
        <f>+Tabla3[[#This Row],[Site]]&amp;Tabla3[[#This Row],[Split]]</f>
        <v/>
      </c>
      <c r="H3156" s="52" t="e">
        <f>VLOOKUP(Tabla3[[#This Row],[Site]],'Important Info!'!$A$1:$J$135,10,FALSE)</f>
        <v>#N/A</v>
      </c>
      <c r="I3156" s="2"/>
      <c r="K3156" s="79"/>
      <c r="L3156" s="52" t="e">
        <f>VLOOKUP(Tabla3[[#This Row],[Site]],'Important Info!'!$A$1:$F$135,2,FALSE)</f>
        <v>#N/A</v>
      </c>
      <c r="M3156" s="52" t="e">
        <f>VLOOKUP(Tabla3[[#This Row],[Site]],'Important Info!'!$A$1:$F$135,3,FALSE)</f>
        <v>#N/A</v>
      </c>
      <c r="N3156" s="52" t="e">
        <f>VLOOKUP(Tabla3[[#This Row],[Site]],'Important Info!'!$A$1:$F$135,4,FALSE)</f>
        <v>#N/A</v>
      </c>
      <c r="O3156" s="52" t="e">
        <f>VLOOKUP(Tabla3[[#This Row],[Site]],'Important Info!'!$A$1:$F$135,5,FALSE)</f>
        <v>#N/A</v>
      </c>
      <c r="P3156" s="52" t="e">
        <f>VLOOKUP(Tabla3[[#This Row],[Site]],'Important Info!'!$A$1:$F$135,6,FALSE)</f>
        <v>#N/A</v>
      </c>
      <c r="Q3156" s="91" t="e">
        <f>VLOOKUP(Tabla3[[#This Row],[Site]],'Important Info!'!$A$1:$J$135,9,FALSE)</f>
        <v>#N/A</v>
      </c>
    </row>
    <row r="3157" spans="1:17" x14ac:dyDescent="0.25">
      <c r="A3157" t="str">
        <f>+Tabla3[[#This Row],[Site]]&amp;Tabla3[[#This Row],[Split]]</f>
        <v/>
      </c>
      <c r="H3157" s="52" t="e">
        <f>VLOOKUP(Tabla3[[#This Row],[Site]],'Important Info!'!$A$1:$J$135,10,FALSE)</f>
        <v>#N/A</v>
      </c>
      <c r="K3157" s="79"/>
      <c r="L3157" s="52" t="e">
        <f>VLOOKUP(Tabla3[[#This Row],[Site]],'Important Info!'!$A$1:$F$135,2,FALSE)</f>
        <v>#N/A</v>
      </c>
      <c r="M3157" s="52" t="e">
        <f>VLOOKUP(Tabla3[[#This Row],[Site]],'Important Info!'!$A$1:$F$135,3,FALSE)</f>
        <v>#N/A</v>
      </c>
      <c r="N3157" s="52" t="e">
        <f>VLOOKUP(Tabla3[[#This Row],[Site]],'Important Info!'!$A$1:$F$135,4,FALSE)</f>
        <v>#N/A</v>
      </c>
      <c r="O3157" s="52" t="e">
        <f>VLOOKUP(Tabla3[[#This Row],[Site]],'Important Info!'!$A$1:$F$135,5,FALSE)</f>
        <v>#N/A</v>
      </c>
      <c r="P3157" s="52" t="e">
        <f>VLOOKUP(Tabla3[[#This Row],[Site]],'Important Info!'!$A$1:$F$135,6,FALSE)</f>
        <v>#N/A</v>
      </c>
      <c r="Q3157" s="91" t="e">
        <f>VLOOKUP(Tabla3[[#This Row],[Site]],'Important Info!'!$A$1:$J$135,9,FALSE)</f>
        <v>#N/A</v>
      </c>
    </row>
    <row r="3158" spans="1:17" x14ac:dyDescent="0.25">
      <c r="A3158" t="str">
        <f>+Tabla3[[#This Row],[Site]]&amp;Tabla3[[#This Row],[Split]]</f>
        <v/>
      </c>
      <c r="H3158" s="52" t="e">
        <f>VLOOKUP(Tabla3[[#This Row],[Site]],'Important Info!'!$A$1:$J$135,10,FALSE)</f>
        <v>#N/A</v>
      </c>
      <c r="I3158" s="43"/>
      <c r="J3158" t="s">
        <v>41</v>
      </c>
      <c r="K3158" s="79" t="e">
        <f>VLOOKUP(Tabla3[[#This Row],[Site]],'Important Info!'!$A$1:$H$135,8,FALSE)</f>
        <v>#N/A</v>
      </c>
      <c r="L3158" s="52" t="e">
        <f>VLOOKUP(Tabla3[[#This Row],[Site]],'Important Info!'!$A$1:$F$135,2,FALSE)</f>
        <v>#N/A</v>
      </c>
      <c r="M3158" s="52" t="e">
        <f>VLOOKUP(Tabla3[[#This Row],[Site]],'Important Info!'!$A$1:$F$135,3,FALSE)</f>
        <v>#N/A</v>
      </c>
      <c r="N3158" s="52" t="e">
        <f>VLOOKUP(Tabla3[[#This Row],[Site]],'Important Info!'!$A$1:$F$135,4,FALSE)</f>
        <v>#N/A</v>
      </c>
      <c r="O3158" s="52" t="e">
        <f>VLOOKUP(Tabla3[[#This Row],[Site]],'Important Info!'!$A$1:$F$135,5,FALSE)</f>
        <v>#N/A</v>
      </c>
      <c r="P3158" s="52" t="e">
        <f>VLOOKUP(Tabla3[[#This Row],[Site]],'Important Info!'!$A$1:$F$135,6,FALSE)</f>
        <v>#N/A</v>
      </c>
      <c r="Q3158" s="91" t="e">
        <f>VLOOKUP(Tabla3[[#This Row],[Site]],'Important Info!'!$A$1:$J$135,9,FALSE)</f>
        <v>#N/A</v>
      </c>
    </row>
    <row r="3159" spans="1:17" x14ac:dyDescent="0.25">
      <c r="A3159" t="str">
        <f>+Tabla3[[#This Row],[Site]]&amp;Tabla3[[#This Row],[Split]]</f>
        <v/>
      </c>
      <c r="H3159" s="52" t="e">
        <f>VLOOKUP(Tabla3[[#This Row],[Site]],'Important Info!'!$A$1:$J$135,10,FALSE)</f>
        <v>#N/A</v>
      </c>
      <c r="I3159" s="65"/>
      <c r="K3159" s="79"/>
      <c r="L3159" s="52" t="e">
        <f>VLOOKUP(Tabla3[[#This Row],[Site]],'Important Info!'!$A$1:$F$135,2,FALSE)</f>
        <v>#N/A</v>
      </c>
      <c r="M3159" s="52" t="e">
        <f>VLOOKUP(Tabla3[[#This Row],[Site]],'Important Info!'!$A$1:$F$135,3,FALSE)</f>
        <v>#N/A</v>
      </c>
      <c r="N3159" s="52" t="e">
        <f>VLOOKUP(Tabla3[[#This Row],[Site]],'Important Info!'!$A$1:$F$135,4,FALSE)</f>
        <v>#N/A</v>
      </c>
      <c r="O3159" s="52" t="e">
        <f>VLOOKUP(Tabla3[[#This Row],[Site]],'Important Info!'!$A$1:$F$135,5,FALSE)</f>
        <v>#N/A</v>
      </c>
      <c r="P3159" s="52" t="e">
        <f>VLOOKUP(Tabla3[[#This Row],[Site]],'Important Info!'!$A$1:$F$135,6,FALSE)</f>
        <v>#N/A</v>
      </c>
      <c r="Q3159" s="91" t="e">
        <f>VLOOKUP(Tabla3[[#This Row],[Site]],'Important Info!'!$A$1:$J$135,9,FALSE)</f>
        <v>#N/A</v>
      </c>
    </row>
    <row r="3160" spans="1:17" x14ac:dyDescent="0.25">
      <c r="A3160" t="str">
        <f>+Tabla3[[#This Row],[Site]]&amp;Tabla3[[#This Row],[Split]]</f>
        <v/>
      </c>
      <c r="H3160" s="52" t="e">
        <f>VLOOKUP(Tabla3[[#This Row],[Site]],'Important Info!'!$A$1:$J$135,10,FALSE)</f>
        <v>#N/A</v>
      </c>
      <c r="I3160" s="2"/>
      <c r="K3160" s="79"/>
      <c r="Q3160" s="91"/>
    </row>
    <row r="3161" spans="1:17" x14ac:dyDescent="0.25">
      <c r="A3161" t="str">
        <f>+Tabla3[[#This Row],[Site]]&amp;Tabla3[[#This Row],[Split]]</f>
        <v/>
      </c>
      <c r="H3161" s="52" t="e">
        <f>VLOOKUP(Tabla3[[#This Row],[Site]],'Important Info!'!$A$1:$J$135,10,FALSE)</f>
        <v>#N/A</v>
      </c>
      <c r="I3161" s="43"/>
      <c r="K3161" s="79"/>
      <c r="L3161" s="52" t="e">
        <f>VLOOKUP(Tabla3[[#This Row],[Site]],'Important Info!'!$A$1:$F$135,2,FALSE)</f>
        <v>#N/A</v>
      </c>
      <c r="M3161" s="52" t="e">
        <f>VLOOKUP(Tabla3[[#This Row],[Site]],'Important Info!'!$A$1:$F$135,3,FALSE)</f>
        <v>#N/A</v>
      </c>
      <c r="N3161" s="52" t="e">
        <f>VLOOKUP(Tabla3[[#This Row],[Site]],'Important Info!'!$A$1:$F$135,4,FALSE)</f>
        <v>#N/A</v>
      </c>
      <c r="O3161" s="52" t="e">
        <f>VLOOKUP(Tabla3[[#This Row],[Site]],'Important Info!'!$A$1:$F$135,5,FALSE)</f>
        <v>#N/A</v>
      </c>
      <c r="P3161" s="52" t="e">
        <f>VLOOKUP(Tabla3[[#This Row],[Site]],'Important Info!'!$A$1:$F$135,6,FALSE)</f>
        <v>#N/A</v>
      </c>
      <c r="Q3161" s="91" t="e">
        <f>VLOOKUP(Tabla3[[#This Row],[Site]],'Important Info!'!$A$1:$J$135,9,FALSE)</f>
        <v>#N/A</v>
      </c>
    </row>
    <row r="3162" spans="1:17" x14ac:dyDescent="0.25">
      <c r="A3162" t="str">
        <f>+Tabla3[[#This Row],[Site]]&amp;Tabla3[[#This Row],[Split]]</f>
        <v/>
      </c>
      <c r="H3162" s="52" t="e">
        <f>VLOOKUP(Tabla3[[#This Row],[Site]],'Important Info!'!$A$1:$J$135,10,FALSE)</f>
        <v>#N/A</v>
      </c>
      <c r="K3162" s="79"/>
      <c r="L3162" s="52" t="e">
        <f>VLOOKUP(Tabla3[[#This Row],[Site]],'Important Info!'!$A$1:$F$135,2,FALSE)</f>
        <v>#N/A</v>
      </c>
      <c r="M3162" s="52" t="e">
        <f>VLOOKUP(Tabla3[[#This Row],[Site]],'Important Info!'!$A$1:$F$135,3,FALSE)</f>
        <v>#N/A</v>
      </c>
      <c r="N3162" s="52" t="e">
        <f>VLOOKUP(Tabla3[[#This Row],[Site]],'Important Info!'!$A$1:$F$135,4,FALSE)</f>
        <v>#N/A</v>
      </c>
      <c r="O3162" s="52" t="e">
        <f>VLOOKUP(Tabla3[[#This Row],[Site]],'Important Info!'!$A$1:$F$135,5,FALSE)</f>
        <v>#N/A</v>
      </c>
      <c r="P3162" s="52" t="e">
        <f>VLOOKUP(Tabla3[[#This Row],[Site]],'Important Info!'!$A$1:$F$135,6,FALSE)</f>
        <v>#N/A</v>
      </c>
      <c r="Q3162" s="91" t="e">
        <f>VLOOKUP(Tabla3[[#This Row],[Site]],'Important Info!'!$A$1:$J$135,9,FALSE)</f>
        <v>#N/A</v>
      </c>
    </row>
    <row r="3163" spans="1:17" x14ac:dyDescent="0.25">
      <c r="A3163" t="str">
        <f>+Tabla3[[#This Row],[Site]]&amp;Tabla3[[#This Row],[Split]]</f>
        <v/>
      </c>
      <c r="H3163" s="52" t="e">
        <f>VLOOKUP(Tabla3[[#This Row],[Site]],'Important Info!'!$A$1:$J$135,10,FALSE)</f>
        <v>#N/A</v>
      </c>
      <c r="I3163" s="43"/>
      <c r="J3163" t="s">
        <v>41</v>
      </c>
      <c r="K3163" s="79" t="e">
        <f>VLOOKUP(Tabla3[[#This Row],[Site]],'Important Info!'!$A$1:$H$135,8,FALSE)</f>
        <v>#N/A</v>
      </c>
      <c r="L3163" s="52" t="e">
        <f>VLOOKUP(Tabla3[[#This Row],[Site]],'Important Info!'!$A$1:$F$135,2,FALSE)</f>
        <v>#N/A</v>
      </c>
      <c r="M3163" s="52" t="e">
        <f>VLOOKUP(Tabla3[[#This Row],[Site]],'Important Info!'!$A$1:$F$135,3,FALSE)</f>
        <v>#N/A</v>
      </c>
      <c r="N3163" s="52" t="e">
        <f>VLOOKUP(Tabla3[[#This Row],[Site]],'Important Info!'!$A$1:$F$135,4,FALSE)</f>
        <v>#N/A</v>
      </c>
      <c r="O3163" s="52" t="e">
        <f>VLOOKUP(Tabla3[[#This Row],[Site]],'Important Info!'!$A$1:$F$135,5,FALSE)</f>
        <v>#N/A</v>
      </c>
      <c r="P3163" s="52" t="e">
        <f>VLOOKUP(Tabla3[[#This Row],[Site]],'Important Info!'!$A$1:$F$135,6,FALSE)</f>
        <v>#N/A</v>
      </c>
      <c r="Q3163" s="91" t="e">
        <f>VLOOKUP(Tabla3[[#This Row],[Site]],'Important Info!'!$A$1:$J$135,9,FALSE)</f>
        <v>#N/A</v>
      </c>
    </row>
    <row r="3164" spans="1:17" x14ac:dyDescent="0.25">
      <c r="A3164" t="str">
        <f>+Tabla3[[#This Row],[Site]]&amp;Tabla3[[#This Row],[Split]]</f>
        <v/>
      </c>
      <c r="H3164" s="52" t="e">
        <f>VLOOKUP(Tabla3[[#This Row],[Site]],'Important Info!'!$A$1:$J$135,10,FALSE)</f>
        <v>#N/A</v>
      </c>
      <c r="I3164" s="65"/>
      <c r="K3164" s="79"/>
      <c r="L3164" s="52" t="e">
        <f>VLOOKUP(Tabla3[[#This Row],[Site]],'Important Info!'!$A$1:$F$135,2,FALSE)</f>
        <v>#N/A</v>
      </c>
      <c r="M3164" s="52" t="e">
        <f>VLOOKUP(Tabla3[[#This Row],[Site]],'Important Info!'!$A$1:$F$135,3,FALSE)</f>
        <v>#N/A</v>
      </c>
      <c r="N3164" s="52" t="e">
        <f>VLOOKUP(Tabla3[[#This Row],[Site]],'Important Info!'!$A$1:$F$135,4,FALSE)</f>
        <v>#N/A</v>
      </c>
      <c r="O3164" s="52" t="e">
        <f>VLOOKUP(Tabla3[[#This Row],[Site]],'Important Info!'!$A$1:$F$135,5,FALSE)</f>
        <v>#N/A</v>
      </c>
      <c r="P3164" s="52" t="e">
        <f>VLOOKUP(Tabla3[[#This Row],[Site]],'Important Info!'!$A$1:$F$135,6,FALSE)</f>
        <v>#N/A</v>
      </c>
      <c r="Q3164" s="91" t="e">
        <f>VLOOKUP(Tabla3[[#This Row],[Site]],'Important Info!'!$A$1:$J$135,9,FALSE)</f>
        <v>#N/A</v>
      </c>
    </row>
    <row r="3165" spans="1:17" x14ac:dyDescent="0.25">
      <c r="A3165" t="str">
        <f>+Tabla3[[#This Row],[Site]]&amp;Tabla3[[#This Row],[Split]]</f>
        <v/>
      </c>
      <c r="H3165" s="52" t="e">
        <f>VLOOKUP(Tabla3[[#This Row],[Site]],'Important Info!'!$A$1:$J$135,10,FALSE)</f>
        <v>#N/A</v>
      </c>
      <c r="I3165" s="2"/>
      <c r="K3165" s="79"/>
      <c r="Q3165" s="91"/>
    </row>
    <row r="3166" spans="1:17" x14ac:dyDescent="0.25">
      <c r="A3166" t="str">
        <f>+Tabla3[[#This Row],[Site]]&amp;Tabla3[[#This Row],[Split]]</f>
        <v/>
      </c>
      <c r="H3166" s="52" t="e">
        <f>VLOOKUP(Tabla3[[#This Row],[Site]],'Important Info!'!$A$1:$J$135,10,FALSE)</f>
        <v>#N/A</v>
      </c>
      <c r="I3166" s="2"/>
      <c r="K3166" s="79"/>
      <c r="L3166" s="52" t="e">
        <f>VLOOKUP(Tabla3[[#This Row],[Site]],'Important Info!'!$A$1:$F$135,2,FALSE)</f>
        <v>#N/A</v>
      </c>
      <c r="M3166" s="52" t="e">
        <f>VLOOKUP(Tabla3[[#This Row],[Site]],'Important Info!'!$A$1:$F$135,3,FALSE)</f>
        <v>#N/A</v>
      </c>
      <c r="N3166" s="52" t="e">
        <f>VLOOKUP(Tabla3[[#This Row],[Site]],'Important Info!'!$A$1:$F$135,4,FALSE)</f>
        <v>#N/A</v>
      </c>
      <c r="O3166" s="52" t="e">
        <f>VLOOKUP(Tabla3[[#This Row],[Site]],'Important Info!'!$A$1:$F$135,5,FALSE)</f>
        <v>#N/A</v>
      </c>
      <c r="P3166" s="52" t="e">
        <f>VLOOKUP(Tabla3[[#This Row],[Site]],'Important Info!'!$A$1:$F$135,6,FALSE)</f>
        <v>#N/A</v>
      </c>
      <c r="Q3166" s="91" t="e">
        <f>VLOOKUP(Tabla3[[#This Row],[Site]],'Important Info!'!$A$1:$J$135,9,FALSE)</f>
        <v>#N/A</v>
      </c>
    </row>
    <row r="3167" spans="1:17" x14ac:dyDescent="0.25">
      <c r="A3167" t="str">
        <f>+Tabla3[[#This Row],[Site]]&amp;Tabla3[[#This Row],[Split]]</f>
        <v/>
      </c>
      <c r="H3167" s="52" t="e">
        <f>VLOOKUP(Tabla3[[#This Row],[Site]],'Important Info!'!$A$1:$J$135,10,FALSE)</f>
        <v>#N/A</v>
      </c>
      <c r="K3167" s="79"/>
      <c r="L3167" s="52" t="e">
        <f>VLOOKUP(Tabla3[[#This Row],[Site]],'Important Info!'!$A$1:$F$135,2,FALSE)</f>
        <v>#N/A</v>
      </c>
      <c r="M3167" s="52" t="e">
        <f>VLOOKUP(Tabla3[[#This Row],[Site]],'Important Info!'!$A$1:$F$135,3,FALSE)</f>
        <v>#N/A</v>
      </c>
      <c r="N3167" s="52" t="e">
        <f>VLOOKUP(Tabla3[[#This Row],[Site]],'Important Info!'!$A$1:$F$135,4,FALSE)</f>
        <v>#N/A</v>
      </c>
      <c r="O3167" s="52" t="e">
        <f>VLOOKUP(Tabla3[[#This Row],[Site]],'Important Info!'!$A$1:$F$135,5,FALSE)</f>
        <v>#N/A</v>
      </c>
      <c r="P3167" s="52" t="e">
        <f>VLOOKUP(Tabla3[[#This Row],[Site]],'Important Info!'!$A$1:$F$135,6,FALSE)</f>
        <v>#N/A</v>
      </c>
      <c r="Q3167" s="91" t="e">
        <f>VLOOKUP(Tabla3[[#This Row],[Site]],'Important Info!'!$A$1:$J$135,9,FALSE)</f>
        <v>#N/A</v>
      </c>
    </row>
    <row r="3168" spans="1:17" x14ac:dyDescent="0.25">
      <c r="A3168" t="str">
        <f>+Tabla3[[#This Row],[Site]]&amp;Tabla3[[#This Row],[Split]]</f>
        <v/>
      </c>
      <c r="H3168" s="52" t="e">
        <f>VLOOKUP(Tabla3[[#This Row],[Site]],'Important Info!'!$A$1:$J$135,10,FALSE)</f>
        <v>#N/A</v>
      </c>
      <c r="I3168" s="8"/>
      <c r="K3168" s="79"/>
      <c r="L3168" s="52" t="e">
        <f>VLOOKUP(Tabla3[[#This Row],[Site]],'Important Info!'!$A$1:$F$135,2,FALSE)</f>
        <v>#N/A</v>
      </c>
      <c r="M3168" s="52" t="e">
        <f>VLOOKUP(Tabla3[[#This Row],[Site]],'Important Info!'!$A$1:$F$135,3,FALSE)</f>
        <v>#N/A</v>
      </c>
      <c r="N3168" s="52" t="e">
        <f>VLOOKUP(Tabla3[[#This Row],[Site]],'Important Info!'!$A$1:$F$135,4,FALSE)</f>
        <v>#N/A</v>
      </c>
      <c r="O3168" s="52" t="e">
        <f>VLOOKUP(Tabla3[[#This Row],[Site]],'Important Info!'!$A$1:$F$135,5,FALSE)</f>
        <v>#N/A</v>
      </c>
      <c r="P3168" s="52" t="e">
        <f>VLOOKUP(Tabla3[[#This Row],[Site]],'Important Info!'!$A$1:$F$135,6,FALSE)</f>
        <v>#N/A</v>
      </c>
      <c r="Q3168" s="91" t="e">
        <f>VLOOKUP(Tabla3[[#This Row],[Site]],'Important Info!'!$A$1:$J$135,9,FALSE)</f>
        <v>#N/A</v>
      </c>
    </row>
    <row r="3169" spans="1:17" x14ac:dyDescent="0.25">
      <c r="A3169" t="str">
        <f>+Tabla3[[#This Row],[Site]]&amp;Tabla3[[#This Row],[Split]]</f>
        <v/>
      </c>
      <c r="H3169" s="52" t="e">
        <f>VLOOKUP(Tabla3[[#This Row],[Site]],'Important Info!'!$A$1:$J$135,10,FALSE)</f>
        <v>#N/A</v>
      </c>
      <c r="I3169" s="2"/>
      <c r="J3169" t="s">
        <v>41</v>
      </c>
      <c r="K3169" s="79" t="e">
        <f>VLOOKUP(Tabla3[[#This Row],[Site]],'Important Info!'!$A$1:$H$135,8,FALSE)</f>
        <v>#N/A</v>
      </c>
      <c r="L3169" s="52" t="e">
        <f>VLOOKUP(Tabla3[[#This Row],[Site]],'Important Info!'!$A$1:$F$135,2,FALSE)</f>
        <v>#N/A</v>
      </c>
      <c r="M3169" s="52" t="e">
        <f>VLOOKUP(Tabla3[[#This Row],[Site]],'Important Info!'!$A$1:$F$135,3,FALSE)</f>
        <v>#N/A</v>
      </c>
      <c r="N3169" s="52" t="e">
        <f>VLOOKUP(Tabla3[[#This Row],[Site]],'Important Info!'!$A$1:$F$135,4,FALSE)</f>
        <v>#N/A</v>
      </c>
      <c r="O3169" s="52" t="e">
        <f>VLOOKUP(Tabla3[[#This Row],[Site]],'Important Info!'!$A$1:$F$135,5,FALSE)</f>
        <v>#N/A</v>
      </c>
      <c r="P3169" s="52" t="e">
        <f>VLOOKUP(Tabla3[[#This Row],[Site]],'Important Info!'!$A$1:$F$135,6,FALSE)</f>
        <v>#N/A</v>
      </c>
      <c r="Q3169" s="91" t="e">
        <f>VLOOKUP(Tabla3[[#This Row],[Site]],'Important Info!'!$A$1:$J$135,9,FALSE)</f>
        <v>#N/A</v>
      </c>
    </row>
    <row r="3170" spans="1:17" x14ac:dyDescent="0.25">
      <c r="A3170" t="str">
        <f>+Tabla3[[#This Row],[Site]]&amp;Tabla3[[#This Row],[Split]]</f>
        <v/>
      </c>
      <c r="H3170" s="52" t="e">
        <f>VLOOKUP(Tabla3[[#This Row],[Site]],'Important Info!'!$A$1:$J$135,10,FALSE)</f>
        <v>#N/A</v>
      </c>
      <c r="I3170" s="43"/>
      <c r="K3170" s="79"/>
      <c r="Q3170" s="91"/>
    </row>
    <row r="3171" spans="1:17" x14ac:dyDescent="0.25">
      <c r="A3171" t="str">
        <f>+Tabla3[[#This Row],[Site]]&amp;Tabla3[[#This Row],[Split]]</f>
        <v/>
      </c>
      <c r="H3171" s="52" t="e">
        <f>VLOOKUP(Tabla3[[#This Row],[Site]],'Important Info!'!$A$1:$J$135,10,FALSE)</f>
        <v>#N/A</v>
      </c>
      <c r="I3171" s="2"/>
      <c r="K3171" s="79"/>
      <c r="L3171" s="52" t="e">
        <f>VLOOKUP(Tabla3[[#This Row],[Site]],'Important Info!'!$A$1:$F$135,2,FALSE)</f>
        <v>#N/A</v>
      </c>
      <c r="M3171" s="52" t="e">
        <f>VLOOKUP(Tabla3[[#This Row],[Site]],'Important Info!'!$A$1:$F$135,3,FALSE)</f>
        <v>#N/A</v>
      </c>
      <c r="N3171" s="52" t="e">
        <f>VLOOKUP(Tabla3[[#This Row],[Site]],'Important Info!'!$A$1:$F$135,4,FALSE)</f>
        <v>#N/A</v>
      </c>
      <c r="O3171" s="52" t="e">
        <f>VLOOKUP(Tabla3[[#This Row],[Site]],'Important Info!'!$A$1:$F$135,5,FALSE)</f>
        <v>#N/A</v>
      </c>
      <c r="P3171" s="52" t="e">
        <f>VLOOKUP(Tabla3[[#This Row],[Site]],'Important Info!'!$A$1:$F$135,6,FALSE)</f>
        <v>#N/A</v>
      </c>
      <c r="Q3171" s="91" t="e">
        <f>VLOOKUP(Tabla3[[#This Row],[Site]],'Important Info!'!$A$1:$J$135,9,FALSE)</f>
        <v>#N/A</v>
      </c>
    </row>
    <row r="3172" spans="1:17" x14ac:dyDescent="0.25">
      <c r="A3172" t="str">
        <f>+Tabla3[[#This Row],[Site]]&amp;Tabla3[[#This Row],[Split]]</f>
        <v/>
      </c>
      <c r="H3172" s="52" t="e">
        <f>VLOOKUP(Tabla3[[#This Row],[Site]],'Important Info!'!$A$1:$J$135,10,FALSE)</f>
        <v>#N/A</v>
      </c>
      <c r="K3172" s="79"/>
      <c r="L3172" s="52" t="e">
        <f>VLOOKUP(Tabla3[[#This Row],[Site]],'Important Info!'!$A$1:$F$135,2,FALSE)</f>
        <v>#N/A</v>
      </c>
      <c r="M3172" s="52" t="e">
        <f>VLOOKUP(Tabla3[[#This Row],[Site]],'Important Info!'!$A$1:$F$135,3,FALSE)</f>
        <v>#N/A</v>
      </c>
      <c r="N3172" s="52" t="e">
        <f>VLOOKUP(Tabla3[[#This Row],[Site]],'Important Info!'!$A$1:$F$135,4,FALSE)</f>
        <v>#N/A</v>
      </c>
      <c r="O3172" s="52" t="e">
        <f>VLOOKUP(Tabla3[[#This Row],[Site]],'Important Info!'!$A$1:$F$135,5,FALSE)</f>
        <v>#N/A</v>
      </c>
      <c r="P3172" s="52" t="e">
        <f>VLOOKUP(Tabla3[[#This Row],[Site]],'Important Info!'!$A$1:$F$135,6,FALSE)</f>
        <v>#N/A</v>
      </c>
      <c r="Q3172" s="91" t="e">
        <f>VLOOKUP(Tabla3[[#This Row],[Site]],'Important Info!'!$A$1:$J$135,9,FALSE)</f>
        <v>#N/A</v>
      </c>
    </row>
    <row r="3173" spans="1:17" x14ac:dyDescent="0.25">
      <c r="A3173" t="str">
        <f>+Tabla3[[#This Row],[Site]]&amp;Tabla3[[#This Row],[Split]]</f>
        <v/>
      </c>
      <c r="H3173" s="52" t="e">
        <f>VLOOKUP(Tabla3[[#This Row],[Site]],'Important Info!'!$A$1:$J$135,10,FALSE)</f>
        <v>#N/A</v>
      </c>
      <c r="I3173" s="2"/>
      <c r="J3173" t="s">
        <v>41</v>
      </c>
      <c r="K3173" s="79" t="e">
        <f>VLOOKUP(Tabla3[[#This Row],[Site]],'Important Info!'!$A$1:$H$135,8,FALSE)</f>
        <v>#N/A</v>
      </c>
      <c r="L3173" s="52" t="e">
        <f>VLOOKUP(Tabla3[[#This Row],[Site]],'Important Info!'!$A$1:$F$135,2,FALSE)</f>
        <v>#N/A</v>
      </c>
      <c r="M3173" s="52" t="e">
        <f>VLOOKUP(Tabla3[[#This Row],[Site]],'Important Info!'!$A$1:$F$135,3,FALSE)</f>
        <v>#N/A</v>
      </c>
      <c r="N3173" s="52" t="e">
        <f>VLOOKUP(Tabla3[[#This Row],[Site]],'Important Info!'!$A$1:$F$135,4,FALSE)</f>
        <v>#N/A</v>
      </c>
      <c r="O3173" s="52" t="e">
        <f>VLOOKUP(Tabla3[[#This Row],[Site]],'Important Info!'!$A$1:$F$135,5,FALSE)</f>
        <v>#N/A</v>
      </c>
      <c r="P3173" s="52" t="e">
        <f>VLOOKUP(Tabla3[[#This Row],[Site]],'Important Info!'!$A$1:$F$135,6,FALSE)</f>
        <v>#N/A</v>
      </c>
      <c r="Q3173" s="91" t="e">
        <f>VLOOKUP(Tabla3[[#This Row],[Site]],'Important Info!'!$A$1:$J$135,9,FALSE)</f>
        <v>#N/A</v>
      </c>
    </row>
    <row r="3174" spans="1:17" x14ac:dyDescent="0.25">
      <c r="A3174" t="str">
        <f>+Tabla3[[#This Row],[Site]]&amp;Tabla3[[#This Row],[Split]]</f>
        <v/>
      </c>
      <c r="H3174" s="52" t="e">
        <f>VLOOKUP(Tabla3[[#This Row],[Site]],'Important Info!'!$A$1:$J$135,10,FALSE)</f>
        <v>#N/A</v>
      </c>
      <c r="I3174" s="8"/>
      <c r="K3174" s="79"/>
      <c r="L3174" s="52" t="e">
        <f>VLOOKUP(Tabla3[[#This Row],[Site]],'Important Info!'!$A$1:$F$135,2,FALSE)</f>
        <v>#N/A</v>
      </c>
      <c r="M3174" s="52" t="e">
        <f>VLOOKUP(Tabla3[[#This Row],[Site]],'Important Info!'!$A$1:$F$135,3,FALSE)</f>
        <v>#N/A</v>
      </c>
      <c r="N3174" s="52" t="e">
        <f>VLOOKUP(Tabla3[[#This Row],[Site]],'Important Info!'!$A$1:$F$135,4,FALSE)</f>
        <v>#N/A</v>
      </c>
      <c r="O3174" s="52" t="e">
        <f>VLOOKUP(Tabla3[[#This Row],[Site]],'Important Info!'!$A$1:$F$135,5,FALSE)</f>
        <v>#N/A</v>
      </c>
      <c r="P3174" s="52" t="e">
        <f>VLOOKUP(Tabla3[[#This Row],[Site]],'Important Info!'!$A$1:$F$135,6,FALSE)</f>
        <v>#N/A</v>
      </c>
      <c r="Q3174" s="91" t="e">
        <f>VLOOKUP(Tabla3[[#This Row],[Site]],'Important Info!'!$A$1:$J$135,9,FALSE)</f>
        <v>#N/A</v>
      </c>
    </row>
    <row r="3175" spans="1:17" x14ac:dyDescent="0.25">
      <c r="A3175" t="str">
        <f>+Tabla3[[#This Row],[Site]]&amp;Tabla3[[#This Row],[Split]]</f>
        <v/>
      </c>
      <c r="H3175" s="52" t="e">
        <f>VLOOKUP(Tabla3[[#This Row],[Site]],'Important Info!'!$A$1:$J$135,10,FALSE)</f>
        <v>#N/A</v>
      </c>
      <c r="I3175" s="2"/>
      <c r="K3175" s="79"/>
      <c r="Q3175" s="91"/>
    </row>
    <row r="3176" spans="1:17" x14ac:dyDescent="0.25">
      <c r="A3176" t="str">
        <f>+Tabla3[[#This Row],[Site]]&amp;Tabla3[[#This Row],[Split]]</f>
        <v/>
      </c>
      <c r="H3176" s="52" t="e">
        <f>VLOOKUP(Tabla3[[#This Row],[Site]],'Important Info!'!$A$1:$J$135,10,FALSE)</f>
        <v>#N/A</v>
      </c>
      <c r="I3176" s="43"/>
      <c r="K3176" s="79"/>
      <c r="L3176" s="52" t="e">
        <f>VLOOKUP(Tabla3[[#This Row],[Site]],'Important Info!'!$A$1:$F$135,2,FALSE)</f>
        <v>#N/A</v>
      </c>
      <c r="M3176" s="52" t="e">
        <f>VLOOKUP(Tabla3[[#This Row],[Site]],'Important Info!'!$A$1:$F$135,3,FALSE)</f>
        <v>#N/A</v>
      </c>
      <c r="N3176" s="52" t="e">
        <f>VLOOKUP(Tabla3[[#This Row],[Site]],'Important Info!'!$A$1:$F$135,4,FALSE)</f>
        <v>#N/A</v>
      </c>
      <c r="O3176" s="52" t="e">
        <f>VLOOKUP(Tabla3[[#This Row],[Site]],'Important Info!'!$A$1:$F$135,5,FALSE)</f>
        <v>#N/A</v>
      </c>
      <c r="P3176" s="52" t="e">
        <f>VLOOKUP(Tabla3[[#This Row],[Site]],'Important Info!'!$A$1:$F$135,6,FALSE)</f>
        <v>#N/A</v>
      </c>
      <c r="Q3176" s="91" t="e">
        <f>VLOOKUP(Tabla3[[#This Row],[Site]],'Important Info!'!$A$1:$J$135,9,FALSE)</f>
        <v>#N/A</v>
      </c>
    </row>
    <row r="3177" spans="1:17" x14ac:dyDescent="0.25">
      <c r="A3177" t="str">
        <f>+Tabla3[[#This Row],[Site]]&amp;Tabla3[[#This Row],[Split]]</f>
        <v/>
      </c>
      <c r="H3177" s="52" t="e">
        <f>VLOOKUP(Tabla3[[#This Row],[Site]],'Important Info!'!$A$1:$J$135,10,FALSE)</f>
        <v>#N/A</v>
      </c>
      <c r="K3177" s="79"/>
      <c r="L3177" s="52" t="e">
        <f>VLOOKUP(Tabla3[[#This Row],[Site]],'Important Info!'!$A$1:$F$135,2,FALSE)</f>
        <v>#N/A</v>
      </c>
      <c r="M3177" s="52" t="e">
        <f>VLOOKUP(Tabla3[[#This Row],[Site]],'Important Info!'!$A$1:$F$135,3,FALSE)</f>
        <v>#N/A</v>
      </c>
      <c r="N3177" s="52" t="e">
        <f>VLOOKUP(Tabla3[[#This Row],[Site]],'Important Info!'!$A$1:$F$135,4,FALSE)</f>
        <v>#N/A</v>
      </c>
      <c r="O3177" s="52" t="e">
        <f>VLOOKUP(Tabla3[[#This Row],[Site]],'Important Info!'!$A$1:$F$135,5,FALSE)</f>
        <v>#N/A</v>
      </c>
      <c r="P3177" s="52" t="e">
        <f>VLOOKUP(Tabla3[[#This Row],[Site]],'Important Info!'!$A$1:$F$135,6,FALSE)</f>
        <v>#N/A</v>
      </c>
      <c r="Q3177" s="91" t="e">
        <f>VLOOKUP(Tabla3[[#This Row],[Site]],'Important Info!'!$A$1:$J$135,9,FALSE)</f>
        <v>#N/A</v>
      </c>
    </row>
    <row r="3178" spans="1:17" x14ac:dyDescent="0.25">
      <c r="A3178" t="str">
        <f>+Tabla3[[#This Row],[Site]]&amp;Tabla3[[#This Row],[Split]]</f>
        <v/>
      </c>
      <c r="H3178" s="52" t="e">
        <f>VLOOKUP(Tabla3[[#This Row],[Site]],'Important Info!'!$A$1:$J$135,10,FALSE)</f>
        <v>#N/A</v>
      </c>
      <c r="I3178" s="43"/>
      <c r="J3178" t="s">
        <v>41</v>
      </c>
      <c r="K3178" s="79" t="e">
        <f>VLOOKUP(Tabla3[[#This Row],[Site]],'Important Info!'!$A$1:$H$135,8,FALSE)</f>
        <v>#N/A</v>
      </c>
      <c r="L3178" s="52" t="e">
        <f>VLOOKUP(Tabla3[[#This Row],[Site]],'Important Info!'!$A$1:$F$135,2,FALSE)</f>
        <v>#N/A</v>
      </c>
      <c r="M3178" s="52" t="e">
        <f>VLOOKUP(Tabla3[[#This Row],[Site]],'Important Info!'!$A$1:$F$135,3,FALSE)</f>
        <v>#N/A</v>
      </c>
      <c r="N3178" s="52" t="e">
        <f>VLOOKUP(Tabla3[[#This Row],[Site]],'Important Info!'!$A$1:$F$135,4,FALSE)</f>
        <v>#N/A</v>
      </c>
      <c r="O3178" s="52" t="e">
        <f>VLOOKUP(Tabla3[[#This Row],[Site]],'Important Info!'!$A$1:$F$135,5,FALSE)</f>
        <v>#N/A</v>
      </c>
      <c r="P3178" s="52" t="e">
        <f>VLOOKUP(Tabla3[[#This Row],[Site]],'Important Info!'!$A$1:$F$135,6,FALSE)</f>
        <v>#N/A</v>
      </c>
      <c r="Q3178" s="91" t="e">
        <f>VLOOKUP(Tabla3[[#This Row],[Site]],'Important Info!'!$A$1:$J$135,9,FALSE)</f>
        <v>#N/A</v>
      </c>
    </row>
    <row r="3179" spans="1:17" x14ac:dyDescent="0.25">
      <c r="A3179" t="str">
        <f>+Tabla3[[#This Row],[Site]]&amp;Tabla3[[#This Row],[Split]]</f>
        <v/>
      </c>
      <c r="H3179" s="52" t="e">
        <f>VLOOKUP(Tabla3[[#This Row],[Site]],'Important Info!'!$A$1:$J$135,10,FALSE)</f>
        <v>#N/A</v>
      </c>
      <c r="I3179" s="65"/>
      <c r="K3179" s="79"/>
      <c r="L3179" s="52" t="e">
        <f>VLOOKUP(Tabla3[[#This Row],[Site]],'Important Info!'!$A$1:$F$135,2,FALSE)</f>
        <v>#N/A</v>
      </c>
      <c r="M3179" s="52" t="e">
        <f>VLOOKUP(Tabla3[[#This Row],[Site]],'Important Info!'!$A$1:$F$135,3,FALSE)</f>
        <v>#N/A</v>
      </c>
      <c r="N3179" s="52" t="e">
        <f>VLOOKUP(Tabla3[[#This Row],[Site]],'Important Info!'!$A$1:$F$135,4,FALSE)</f>
        <v>#N/A</v>
      </c>
      <c r="O3179" s="52" t="e">
        <f>VLOOKUP(Tabla3[[#This Row],[Site]],'Important Info!'!$A$1:$F$135,5,FALSE)</f>
        <v>#N/A</v>
      </c>
      <c r="P3179" s="52" t="e">
        <f>VLOOKUP(Tabla3[[#This Row],[Site]],'Important Info!'!$A$1:$F$135,6,FALSE)</f>
        <v>#N/A</v>
      </c>
      <c r="Q3179" s="91" t="e">
        <f>VLOOKUP(Tabla3[[#This Row],[Site]],'Important Info!'!$A$1:$J$135,9,FALSE)</f>
        <v>#N/A</v>
      </c>
    </row>
    <row r="3180" spans="1:17" x14ac:dyDescent="0.25">
      <c r="A3180" t="str">
        <f>+Tabla3[[#This Row],[Site]]&amp;Tabla3[[#This Row],[Split]]</f>
        <v/>
      </c>
      <c r="H3180" s="52" t="e">
        <f>VLOOKUP(Tabla3[[#This Row],[Site]],'Important Info!'!$A$1:$J$135,10,FALSE)</f>
        <v>#N/A</v>
      </c>
      <c r="I3180" s="2"/>
      <c r="K3180" s="79"/>
      <c r="Q3180" s="91"/>
    </row>
    <row r="3181" spans="1:17" x14ac:dyDescent="0.25">
      <c r="A3181" t="str">
        <f>+Tabla3[[#This Row],[Site]]&amp;Tabla3[[#This Row],[Split]]</f>
        <v/>
      </c>
      <c r="H3181" s="52" t="e">
        <f>VLOOKUP(Tabla3[[#This Row],[Site]],'Important Info!'!$A$1:$J$135,10,FALSE)</f>
        <v>#N/A</v>
      </c>
      <c r="I3181" s="2"/>
      <c r="K3181" s="79"/>
      <c r="L3181" s="52" t="e">
        <f>VLOOKUP(Tabla3[[#This Row],[Site]],'Important Info!'!$A$1:$F$135,2,FALSE)</f>
        <v>#N/A</v>
      </c>
      <c r="M3181" s="52" t="e">
        <f>VLOOKUP(Tabla3[[#This Row],[Site]],'Important Info!'!$A$1:$F$135,3,FALSE)</f>
        <v>#N/A</v>
      </c>
      <c r="N3181" s="52" t="e">
        <f>VLOOKUP(Tabla3[[#This Row],[Site]],'Important Info!'!$A$1:$F$135,4,FALSE)</f>
        <v>#N/A</v>
      </c>
      <c r="O3181" s="52" t="e">
        <f>VLOOKUP(Tabla3[[#This Row],[Site]],'Important Info!'!$A$1:$F$135,5,FALSE)</f>
        <v>#N/A</v>
      </c>
      <c r="P3181" s="52" t="e">
        <f>VLOOKUP(Tabla3[[#This Row],[Site]],'Important Info!'!$A$1:$F$135,6,FALSE)</f>
        <v>#N/A</v>
      </c>
      <c r="Q3181" s="91" t="e">
        <f>VLOOKUP(Tabla3[[#This Row],[Site]],'Important Info!'!$A$1:$J$135,9,FALSE)</f>
        <v>#N/A</v>
      </c>
    </row>
    <row r="3182" spans="1:17" x14ac:dyDescent="0.25">
      <c r="A3182" t="str">
        <f>+Tabla3[[#This Row],[Site]]&amp;Tabla3[[#This Row],[Split]]</f>
        <v/>
      </c>
      <c r="H3182" s="52" t="e">
        <f>VLOOKUP(Tabla3[[#This Row],[Site]],'Important Info!'!$A$1:$J$135,10,FALSE)</f>
        <v>#N/A</v>
      </c>
      <c r="K3182" s="79"/>
      <c r="L3182" s="52" t="e">
        <f>VLOOKUP(Tabla3[[#This Row],[Site]],'Important Info!'!$A$1:$F$135,2,FALSE)</f>
        <v>#N/A</v>
      </c>
      <c r="M3182" s="52" t="e">
        <f>VLOOKUP(Tabla3[[#This Row],[Site]],'Important Info!'!$A$1:$F$135,3,FALSE)</f>
        <v>#N/A</v>
      </c>
      <c r="N3182" s="52" t="e">
        <f>VLOOKUP(Tabla3[[#This Row],[Site]],'Important Info!'!$A$1:$F$135,4,FALSE)</f>
        <v>#N/A</v>
      </c>
      <c r="O3182" s="52" t="e">
        <f>VLOOKUP(Tabla3[[#This Row],[Site]],'Important Info!'!$A$1:$F$135,5,FALSE)</f>
        <v>#N/A</v>
      </c>
      <c r="P3182" s="52" t="e">
        <f>VLOOKUP(Tabla3[[#This Row],[Site]],'Important Info!'!$A$1:$F$135,6,FALSE)</f>
        <v>#N/A</v>
      </c>
      <c r="Q3182" s="91" t="e">
        <f>VLOOKUP(Tabla3[[#This Row],[Site]],'Important Info!'!$A$1:$J$135,9,FALSE)</f>
        <v>#N/A</v>
      </c>
    </row>
    <row r="3183" spans="1:17" x14ac:dyDescent="0.25">
      <c r="A3183" t="str">
        <f>+Tabla3[[#This Row],[Site]]&amp;Tabla3[[#This Row],[Split]]</f>
        <v/>
      </c>
      <c r="H3183" s="52" t="e">
        <f>VLOOKUP(Tabla3[[#This Row],[Site]],'Important Info!'!$A$1:$J$135,10,FALSE)</f>
        <v>#N/A</v>
      </c>
      <c r="I3183" s="43"/>
      <c r="J3183" t="s">
        <v>41</v>
      </c>
      <c r="K3183" s="79" t="e">
        <f>VLOOKUP(Tabla3[[#This Row],[Site]],'Important Info!'!$A$1:$H$135,8,FALSE)</f>
        <v>#N/A</v>
      </c>
      <c r="L3183" s="52" t="e">
        <f>VLOOKUP(Tabla3[[#This Row],[Site]],'Important Info!'!$A$1:$F$135,2,FALSE)</f>
        <v>#N/A</v>
      </c>
      <c r="M3183" s="52" t="e">
        <f>VLOOKUP(Tabla3[[#This Row],[Site]],'Important Info!'!$A$1:$F$135,3,FALSE)</f>
        <v>#N/A</v>
      </c>
      <c r="N3183" s="52" t="e">
        <f>VLOOKUP(Tabla3[[#This Row],[Site]],'Important Info!'!$A$1:$F$135,4,FALSE)</f>
        <v>#N/A</v>
      </c>
      <c r="O3183" s="52" t="e">
        <f>VLOOKUP(Tabla3[[#This Row],[Site]],'Important Info!'!$A$1:$F$135,5,FALSE)</f>
        <v>#N/A</v>
      </c>
      <c r="P3183" s="52" t="e">
        <f>VLOOKUP(Tabla3[[#This Row],[Site]],'Important Info!'!$A$1:$F$135,6,FALSE)</f>
        <v>#N/A</v>
      </c>
      <c r="Q3183" s="91" t="e">
        <f>VLOOKUP(Tabla3[[#This Row],[Site]],'Important Info!'!$A$1:$J$135,9,FALSE)</f>
        <v>#N/A</v>
      </c>
    </row>
    <row r="3184" spans="1:17" x14ac:dyDescent="0.25">
      <c r="A3184" t="str">
        <f>+Tabla3[[#This Row],[Site]]&amp;Tabla3[[#This Row],[Split]]</f>
        <v/>
      </c>
      <c r="H3184" s="52" t="e">
        <f>VLOOKUP(Tabla3[[#This Row],[Site]],'Important Info!'!$A$1:$J$135,10,FALSE)</f>
        <v>#N/A</v>
      </c>
      <c r="I3184" s="65"/>
      <c r="K3184" s="79"/>
      <c r="L3184" s="52" t="e">
        <f>VLOOKUP(Tabla3[[#This Row],[Site]],'Important Info!'!$A$1:$F$135,2,FALSE)</f>
        <v>#N/A</v>
      </c>
      <c r="M3184" s="52" t="e">
        <f>VLOOKUP(Tabla3[[#This Row],[Site]],'Important Info!'!$A$1:$F$135,3,FALSE)</f>
        <v>#N/A</v>
      </c>
      <c r="N3184" s="52" t="e">
        <f>VLOOKUP(Tabla3[[#This Row],[Site]],'Important Info!'!$A$1:$F$135,4,FALSE)</f>
        <v>#N/A</v>
      </c>
      <c r="O3184" s="52" t="e">
        <f>VLOOKUP(Tabla3[[#This Row],[Site]],'Important Info!'!$A$1:$F$135,5,FALSE)</f>
        <v>#N/A</v>
      </c>
      <c r="P3184" s="52" t="e">
        <f>VLOOKUP(Tabla3[[#This Row],[Site]],'Important Info!'!$A$1:$F$135,6,FALSE)</f>
        <v>#N/A</v>
      </c>
      <c r="Q3184" s="91" t="e">
        <f>VLOOKUP(Tabla3[[#This Row],[Site]],'Important Info!'!$A$1:$J$135,9,FALSE)</f>
        <v>#N/A</v>
      </c>
    </row>
    <row r="3185" spans="1:17" x14ac:dyDescent="0.25">
      <c r="A3185" t="str">
        <f>+Tabla3[[#This Row],[Site]]&amp;Tabla3[[#This Row],[Split]]</f>
        <v/>
      </c>
      <c r="H3185" s="52" t="e">
        <f>VLOOKUP(Tabla3[[#This Row],[Site]],'Important Info!'!$A$1:$J$135,10,FALSE)</f>
        <v>#N/A</v>
      </c>
      <c r="I3185" s="2"/>
      <c r="K3185" s="79"/>
      <c r="Q3185" s="91"/>
    </row>
    <row r="3186" spans="1:17" x14ac:dyDescent="0.25">
      <c r="A3186" t="str">
        <f>+Tabla3[[#This Row],[Site]]&amp;Tabla3[[#This Row],[Split]]</f>
        <v/>
      </c>
      <c r="H3186" s="52" t="e">
        <f>VLOOKUP(Tabla3[[#This Row],[Site]],'Important Info!'!$A$1:$J$135,10,FALSE)</f>
        <v>#N/A</v>
      </c>
      <c r="I3186" s="43"/>
      <c r="K3186" s="79"/>
      <c r="L3186" s="52" t="e">
        <f>VLOOKUP(Tabla3[[#This Row],[Site]],'Important Info!'!$A$1:$F$135,2,FALSE)</f>
        <v>#N/A</v>
      </c>
      <c r="M3186" s="52" t="e">
        <f>VLOOKUP(Tabla3[[#This Row],[Site]],'Important Info!'!$A$1:$F$135,3,FALSE)</f>
        <v>#N/A</v>
      </c>
      <c r="N3186" s="52" t="e">
        <f>VLOOKUP(Tabla3[[#This Row],[Site]],'Important Info!'!$A$1:$F$135,4,FALSE)</f>
        <v>#N/A</v>
      </c>
      <c r="O3186" s="52" t="e">
        <f>VLOOKUP(Tabla3[[#This Row],[Site]],'Important Info!'!$A$1:$F$135,5,FALSE)</f>
        <v>#N/A</v>
      </c>
      <c r="P3186" s="52" t="e">
        <f>VLOOKUP(Tabla3[[#This Row],[Site]],'Important Info!'!$A$1:$F$135,6,FALSE)</f>
        <v>#N/A</v>
      </c>
      <c r="Q3186" s="91" t="e">
        <f>VLOOKUP(Tabla3[[#This Row],[Site]],'Important Info!'!$A$1:$J$135,9,FALSE)</f>
        <v>#N/A</v>
      </c>
    </row>
    <row r="3187" spans="1:17" x14ac:dyDescent="0.25">
      <c r="A3187" t="str">
        <f>+Tabla3[[#This Row],[Site]]&amp;Tabla3[[#This Row],[Split]]</f>
        <v/>
      </c>
      <c r="H3187" s="52" t="e">
        <f>VLOOKUP(Tabla3[[#This Row],[Site]],'Important Info!'!$A$1:$J$135,10,FALSE)</f>
        <v>#N/A</v>
      </c>
      <c r="K3187" s="79"/>
      <c r="L3187" s="52" t="e">
        <f>VLOOKUP(Tabla3[[#This Row],[Site]],'Important Info!'!$A$1:$F$135,2,FALSE)</f>
        <v>#N/A</v>
      </c>
      <c r="M3187" s="52" t="e">
        <f>VLOOKUP(Tabla3[[#This Row],[Site]],'Important Info!'!$A$1:$F$135,3,FALSE)</f>
        <v>#N/A</v>
      </c>
      <c r="N3187" s="52" t="e">
        <f>VLOOKUP(Tabla3[[#This Row],[Site]],'Important Info!'!$A$1:$F$135,4,FALSE)</f>
        <v>#N/A</v>
      </c>
      <c r="O3187" s="52" t="e">
        <f>VLOOKUP(Tabla3[[#This Row],[Site]],'Important Info!'!$A$1:$F$135,5,FALSE)</f>
        <v>#N/A</v>
      </c>
      <c r="P3187" s="52" t="e">
        <f>VLOOKUP(Tabla3[[#This Row],[Site]],'Important Info!'!$A$1:$F$135,6,FALSE)</f>
        <v>#N/A</v>
      </c>
      <c r="Q3187" s="91" t="e">
        <f>VLOOKUP(Tabla3[[#This Row],[Site]],'Important Info!'!$A$1:$J$135,9,FALSE)</f>
        <v>#N/A</v>
      </c>
    </row>
    <row r="3188" spans="1:17" x14ac:dyDescent="0.25">
      <c r="A3188" t="str">
        <f>+Tabla3[[#This Row],[Site]]&amp;Tabla3[[#This Row],[Split]]</f>
        <v/>
      </c>
      <c r="H3188" s="52" t="e">
        <f>VLOOKUP(Tabla3[[#This Row],[Site]],'Important Info!'!$A$1:$J$135,10,FALSE)</f>
        <v>#N/A</v>
      </c>
      <c r="I3188" s="43"/>
      <c r="J3188" t="s">
        <v>41</v>
      </c>
      <c r="K3188" s="79" t="e">
        <f>VLOOKUP(Tabla3[[#This Row],[Site]],'Important Info!'!$A$1:$H$135,8,FALSE)</f>
        <v>#N/A</v>
      </c>
      <c r="L3188" s="52" t="e">
        <f>VLOOKUP(Tabla3[[#This Row],[Site]],'Important Info!'!$A$1:$F$135,2,FALSE)</f>
        <v>#N/A</v>
      </c>
      <c r="M3188" s="52" t="e">
        <f>VLOOKUP(Tabla3[[#This Row],[Site]],'Important Info!'!$A$1:$F$135,3,FALSE)</f>
        <v>#N/A</v>
      </c>
      <c r="N3188" s="52" t="e">
        <f>VLOOKUP(Tabla3[[#This Row],[Site]],'Important Info!'!$A$1:$F$135,4,FALSE)</f>
        <v>#N/A</v>
      </c>
      <c r="O3188" s="52" t="e">
        <f>VLOOKUP(Tabla3[[#This Row],[Site]],'Important Info!'!$A$1:$F$135,5,FALSE)</f>
        <v>#N/A</v>
      </c>
      <c r="P3188" s="52" t="e">
        <f>VLOOKUP(Tabla3[[#This Row],[Site]],'Important Info!'!$A$1:$F$135,6,FALSE)</f>
        <v>#N/A</v>
      </c>
      <c r="Q3188" s="91" t="e">
        <f>VLOOKUP(Tabla3[[#This Row],[Site]],'Important Info!'!$A$1:$J$135,9,FALSE)</f>
        <v>#N/A</v>
      </c>
    </row>
    <row r="3189" spans="1:17" x14ac:dyDescent="0.25">
      <c r="A3189" t="str">
        <f>+Tabla3[[#This Row],[Site]]&amp;Tabla3[[#This Row],[Split]]</f>
        <v/>
      </c>
      <c r="H3189" s="52" t="e">
        <f>VLOOKUP(Tabla3[[#This Row],[Site]],'Important Info!'!$A$1:$J$135,10,FALSE)</f>
        <v>#N/A</v>
      </c>
      <c r="I3189" s="8"/>
      <c r="K3189" s="79"/>
      <c r="L3189" s="52" t="e">
        <f>VLOOKUP(Tabla3[[#This Row],[Site]],'Important Info!'!$A$1:$F$135,2,FALSE)</f>
        <v>#N/A</v>
      </c>
      <c r="M3189" s="52" t="e">
        <f>VLOOKUP(Tabla3[[#This Row],[Site]],'Important Info!'!$A$1:$F$135,3,FALSE)</f>
        <v>#N/A</v>
      </c>
      <c r="N3189" s="52" t="e">
        <f>VLOOKUP(Tabla3[[#This Row],[Site]],'Important Info!'!$A$1:$F$135,4,FALSE)</f>
        <v>#N/A</v>
      </c>
      <c r="O3189" s="52" t="e">
        <f>VLOOKUP(Tabla3[[#This Row],[Site]],'Important Info!'!$A$1:$F$135,5,FALSE)</f>
        <v>#N/A</v>
      </c>
      <c r="P3189" s="52" t="e">
        <f>VLOOKUP(Tabla3[[#This Row],[Site]],'Important Info!'!$A$1:$F$135,6,FALSE)</f>
        <v>#N/A</v>
      </c>
      <c r="Q3189" s="91" t="e">
        <f>VLOOKUP(Tabla3[[#This Row],[Site]],'Important Info!'!$A$1:$J$135,9,FALSE)</f>
        <v>#N/A</v>
      </c>
    </row>
    <row r="3190" spans="1:17" x14ac:dyDescent="0.25">
      <c r="A3190" t="str">
        <f>+Tabla3[[#This Row],[Site]]&amp;Tabla3[[#This Row],[Split]]</f>
        <v/>
      </c>
      <c r="H3190" s="52" t="e">
        <f>VLOOKUP(Tabla3[[#This Row],[Site]],'Important Info!'!$A$1:$J$135,10,FALSE)</f>
        <v>#N/A</v>
      </c>
      <c r="I3190" s="2"/>
      <c r="K3190" s="79"/>
      <c r="Q3190" s="91"/>
    </row>
    <row r="3191" spans="1:17" x14ac:dyDescent="0.25">
      <c r="A3191" t="str">
        <f>+Tabla3[[#This Row],[Site]]&amp;Tabla3[[#This Row],[Split]]</f>
        <v/>
      </c>
      <c r="H3191" s="52" t="e">
        <f>VLOOKUP(Tabla3[[#This Row],[Site]],'Important Info!'!$A$1:$J$135,10,FALSE)</f>
        <v>#N/A</v>
      </c>
      <c r="I3191" s="2"/>
      <c r="K3191" s="79"/>
      <c r="L3191" s="52" t="e">
        <f>VLOOKUP(Tabla3[[#This Row],[Site]],'Important Info!'!$A$1:$F$135,2,FALSE)</f>
        <v>#N/A</v>
      </c>
      <c r="M3191" s="52" t="e">
        <f>VLOOKUP(Tabla3[[#This Row],[Site]],'Important Info!'!$A$1:$F$135,3,FALSE)</f>
        <v>#N/A</v>
      </c>
      <c r="N3191" s="52" t="e">
        <f>VLOOKUP(Tabla3[[#This Row],[Site]],'Important Info!'!$A$1:$F$135,4,FALSE)</f>
        <v>#N/A</v>
      </c>
      <c r="O3191" s="52" t="e">
        <f>VLOOKUP(Tabla3[[#This Row],[Site]],'Important Info!'!$A$1:$F$135,5,FALSE)</f>
        <v>#N/A</v>
      </c>
      <c r="P3191" s="52" t="e">
        <f>VLOOKUP(Tabla3[[#This Row],[Site]],'Important Info!'!$A$1:$F$135,6,FALSE)</f>
        <v>#N/A</v>
      </c>
      <c r="Q3191" s="91" t="e">
        <f>VLOOKUP(Tabla3[[#This Row],[Site]],'Important Info!'!$A$1:$J$135,9,FALSE)</f>
        <v>#N/A</v>
      </c>
    </row>
    <row r="3192" spans="1:17" x14ac:dyDescent="0.25">
      <c r="A3192" t="str">
        <f>+Tabla3[[#This Row],[Site]]&amp;Tabla3[[#This Row],[Split]]</f>
        <v/>
      </c>
      <c r="H3192" s="52" t="e">
        <f>VLOOKUP(Tabla3[[#This Row],[Site]],'Important Info!'!$A$1:$J$135,10,FALSE)</f>
        <v>#N/A</v>
      </c>
      <c r="K3192" s="79"/>
      <c r="L3192" s="52" t="e">
        <f>VLOOKUP(Tabla3[[#This Row],[Site]],'Important Info!'!$A$1:$F$135,2,FALSE)</f>
        <v>#N/A</v>
      </c>
      <c r="M3192" s="52" t="e">
        <f>VLOOKUP(Tabla3[[#This Row],[Site]],'Important Info!'!$A$1:$F$135,3,FALSE)</f>
        <v>#N/A</v>
      </c>
      <c r="N3192" s="52" t="e">
        <f>VLOOKUP(Tabla3[[#This Row],[Site]],'Important Info!'!$A$1:$F$135,4,FALSE)</f>
        <v>#N/A</v>
      </c>
      <c r="O3192" s="52" t="e">
        <f>VLOOKUP(Tabla3[[#This Row],[Site]],'Important Info!'!$A$1:$F$135,5,FALSE)</f>
        <v>#N/A</v>
      </c>
      <c r="P3192" s="52" t="e">
        <f>VLOOKUP(Tabla3[[#This Row],[Site]],'Important Info!'!$A$1:$F$135,6,FALSE)</f>
        <v>#N/A</v>
      </c>
      <c r="Q3192" s="91" t="e">
        <f>VLOOKUP(Tabla3[[#This Row],[Site]],'Important Info!'!$A$1:$J$135,9,FALSE)</f>
        <v>#N/A</v>
      </c>
    </row>
    <row r="3193" spans="1:17" x14ac:dyDescent="0.25">
      <c r="A3193" t="str">
        <f>+Tabla3[[#This Row],[Site]]&amp;Tabla3[[#This Row],[Split]]</f>
        <v/>
      </c>
      <c r="H3193" s="52" t="e">
        <f>VLOOKUP(Tabla3[[#This Row],[Site]],'Important Info!'!$A$1:$J$135,10,FALSE)</f>
        <v>#N/A</v>
      </c>
      <c r="I3193" s="43"/>
      <c r="J3193" t="s">
        <v>41</v>
      </c>
      <c r="K3193" s="79" t="e">
        <f>VLOOKUP(Tabla3[[#This Row],[Site]],'Important Info!'!$A$1:$H$135,8,FALSE)</f>
        <v>#N/A</v>
      </c>
      <c r="L3193" s="52" t="e">
        <f>VLOOKUP(Tabla3[[#This Row],[Site]],'Important Info!'!$A$1:$F$135,2,FALSE)</f>
        <v>#N/A</v>
      </c>
      <c r="M3193" s="52" t="e">
        <f>VLOOKUP(Tabla3[[#This Row],[Site]],'Important Info!'!$A$1:$F$135,3,FALSE)</f>
        <v>#N/A</v>
      </c>
      <c r="N3193" s="52" t="e">
        <f>VLOOKUP(Tabla3[[#This Row],[Site]],'Important Info!'!$A$1:$F$135,4,FALSE)</f>
        <v>#N/A</v>
      </c>
      <c r="O3193" s="52" t="e">
        <f>VLOOKUP(Tabla3[[#This Row],[Site]],'Important Info!'!$A$1:$F$135,5,FALSE)</f>
        <v>#N/A</v>
      </c>
      <c r="P3193" s="52" t="e">
        <f>VLOOKUP(Tabla3[[#This Row],[Site]],'Important Info!'!$A$1:$F$135,6,FALSE)</f>
        <v>#N/A</v>
      </c>
      <c r="Q3193" s="91" t="e">
        <f>VLOOKUP(Tabla3[[#This Row],[Site]],'Important Info!'!$A$1:$J$135,9,FALSE)</f>
        <v>#N/A</v>
      </c>
    </row>
    <row r="3194" spans="1:17" x14ac:dyDescent="0.25">
      <c r="A3194" t="str">
        <f>+Tabla3[[#This Row],[Site]]&amp;Tabla3[[#This Row],[Split]]</f>
        <v/>
      </c>
      <c r="H3194" s="52" t="e">
        <f>VLOOKUP(Tabla3[[#This Row],[Site]],'Important Info!'!$A$1:$J$135,10,FALSE)</f>
        <v>#N/A</v>
      </c>
      <c r="I3194" s="65"/>
      <c r="K3194" s="79"/>
      <c r="L3194" s="52" t="e">
        <f>VLOOKUP(Tabla3[[#This Row],[Site]],'Important Info!'!$A$1:$F$135,2,FALSE)</f>
        <v>#N/A</v>
      </c>
      <c r="M3194" s="52" t="e">
        <f>VLOOKUP(Tabla3[[#This Row],[Site]],'Important Info!'!$A$1:$F$135,3,FALSE)</f>
        <v>#N/A</v>
      </c>
      <c r="N3194" s="52" t="e">
        <f>VLOOKUP(Tabla3[[#This Row],[Site]],'Important Info!'!$A$1:$F$135,4,FALSE)</f>
        <v>#N/A</v>
      </c>
      <c r="O3194" s="52" t="e">
        <f>VLOOKUP(Tabla3[[#This Row],[Site]],'Important Info!'!$A$1:$F$135,5,FALSE)</f>
        <v>#N/A</v>
      </c>
      <c r="P3194" s="52" t="e">
        <f>VLOOKUP(Tabla3[[#This Row],[Site]],'Important Info!'!$A$1:$F$135,6,FALSE)</f>
        <v>#N/A</v>
      </c>
      <c r="Q3194" s="91" t="e">
        <f>VLOOKUP(Tabla3[[#This Row],[Site]],'Important Info!'!$A$1:$J$135,9,FALSE)</f>
        <v>#N/A</v>
      </c>
    </row>
    <row r="3195" spans="1:17" x14ac:dyDescent="0.25">
      <c r="A3195" t="str">
        <f>+Tabla3[[#This Row],[Site]]&amp;Tabla3[[#This Row],[Split]]</f>
        <v/>
      </c>
      <c r="H3195" s="52" t="e">
        <f>VLOOKUP(Tabla3[[#This Row],[Site]],'Important Info!'!$A$1:$J$135,10,FALSE)</f>
        <v>#N/A</v>
      </c>
      <c r="I3195" s="43"/>
      <c r="K3195" s="79"/>
      <c r="Q3195" s="91"/>
    </row>
    <row r="3196" spans="1:17" x14ac:dyDescent="0.25">
      <c r="A3196" t="str">
        <f>+Tabla3[[#This Row],[Site]]&amp;Tabla3[[#This Row],[Split]]</f>
        <v/>
      </c>
      <c r="H3196" s="52" t="e">
        <f>VLOOKUP(Tabla3[[#This Row],[Site]],'Important Info!'!$A$1:$J$135,10,FALSE)</f>
        <v>#N/A</v>
      </c>
      <c r="I3196" s="43"/>
      <c r="K3196" s="79"/>
      <c r="L3196" s="52" t="e">
        <f>VLOOKUP(Tabla3[[#This Row],[Site]],'Important Info!'!$A$1:$F$135,2,FALSE)</f>
        <v>#N/A</v>
      </c>
      <c r="M3196" s="52" t="e">
        <f>VLOOKUP(Tabla3[[#This Row],[Site]],'Important Info!'!$A$1:$F$135,3,FALSE)</f>
        <v>#N/A</v>
      </c>
      <c r="N3196" s="52" t="e">
        <f>VLOOKUP(Tabla3[[#This Row],[Site]],'Important Info!'!$A$1:$F$135,4,FALSE)</f>
        <v>#N/A</v>
      </c>
      <c r="O3196" s="52" t="e">
        <f>VLOOKUP(Tabla3[[#This Row],[Site]],'Important Info!'!$A$1:$F$135,5,FALSE)</f>
        <v>#N/A</v>
      </c>
      <c r="P3196" s="52" t="e">
        <f>VLOOKUP(Tabla3[[#This Row],[Site]],'Important Info!'!$A$1:$F$135,6,FALSE)</f>
        <v>#N/A</v>
      </c>
      <c r="Q3196" s="91" t="e">
        <f>VLOOKUP(Tabla3[[#This Row],[Site]],'Important Info!'!$A$1:$J$135,9,FALSE)</f>
        <v>#N/A</v>
      </c>
    </row>
    <row r="3197" spans="1:17" x14ac:dyDescent="0.25">
      <c r="A3197" t="str">
        <f>+Tabla3[[#This Row],[Site]]&amp;Tabla3[[#This Row],[Split]]</f>
        <v/>
      </c>
      <c r="H3197" s="52" t="e">
        <f>VLOOKUP(Tabla3[[#This Row],[Site]],'Important Info!'!$A$1:$J$135,10,FALSE)</f>
        <v>#N/A</v>
      </c>
      <c r="K3197" s="79"/>
      <c r="L3197" s="52" t="e">
        <f>VLOOKUP(Tabla3[[#This Row],[Site]],'Important Info!'!$A$1:$F$135,2,FALSE)</f>
        <v>#N/A</v>
      </c>
      <c r="M3197" s="52" t="e">
        <f>VLOOKUP(Tabla3[[#This Row],[Site]],'Important Info!'!$A$1:$F$135,3,FALSE)</f>
        <v>#N/A</v>
      </c>
      <c r="N3197" s="52" t="e">
        <f>VLOOKUP(Tabla3[[#This Row],[Site]],'Important Info!'!$A$1:$F$135,4,FALSE)</f>
        <v>#N/A</v>
      </c>
      <c r="O3197" s="52" t="e">
        <f>VLOOKUP(Tabla3[[#This Row],[Site]],'Important Info!'!$A$1:$F$135,5,FALSE)</f>
        <v>#N/A</v>
      </c>
      <c r="P3197" s="52" t="e">
        <f>VLOOKUP(Tabla3[[#This Row],[Site]],'Important Info!'!$A$1:$F$135,6,FALSE)</f>
        <v>#N/A</v>
      </c>
      <c r="Q3197" s="91" t="e">
        <f>VLOOKUP(Tabla3[[#This Row],[Site]],'Important Info!'!$A$1:$J$135,9,FALSE)</f>
        <v>#N/A</v>
      </c>
    </row>
    <row r="3198" spans="1:17" x14ac:dyDescent="0.25">
      <c r="A3198" t="str">
        <f>+Tabla3[[#This Row],[Site]]&amp;Tabla3[[#This Row],[Split]]</f>
        <v/>
      </c>
      <c r="H3198" s="52" t="e">
        <f>VLOOKUP(Tabla3[[#This Row],[Site]],'Important Info!'!$A$1:$J$135,10,FALSE)</f>
        <v>#N/A</v>
      </c>
      <c r="I3198" s="43"/>
      <c r="J3198" t="s">
        <v>41</v>
      </c>
      <c r="K3198" s="79" t="e">
        <f>VLOOKUP(Tabla3[[#This Row],[Site]],'Important Info!'!$A$1:$H$135,8,FALSE)</f>
        <v>#N/A</v>
      </c>
      <c r="L3198" s="52" t="e">
        <f>VLOOKUP(Tabla3[[#This Row],[Site]],'Important Info!'!$A$1:$F$135,2,FALSE)</f>
        <v>#N/A</v>
      </c>
      <c r="M3198" s="52" t="e">
        <f>VLOOKUP(Tabla3[[#This Row],[Site]],'Important Info!'!$A$1:$F$135,3,FALSE)</f>
        <v>#N/A</v>
      </c>
      <c r="N3198" s="52" t="e">
        <f>VLOOKUP(Tabla3[[#This Row],[Site]],'Important Info!'!$A$1:$F$135,4,FALSE)</f>
        <v>#N/A</v>
      </c>
      <c r="O3198" s="52" t="e">
        <f>VLOOKUP(Tabla3[[#This Row],[Site]],'Important Info!'!$A$1:$F$135,5,FALSE)</f>
        <v>#N/A</v>
      </c>
      <c r="P3198" s="52" t="e">
        <f>VLOOKUP(Tabla3[[#This Row],[Site]],'Important Info!'!$A$1:$F$135,6,FALSE)</f>
        <v>#N/A</v>
      </c>
      <c r="Q3198" s="91" t="e">
        <f>VLOOKUP(Tabla3[[#This Row],[Site]],'Important Info!'!$A$1:$J$135,9,FALSE)</f>
        <v>#N/A</v>
      </c>
    </row>
    <row r="3199" spans="1:17" x14ac:dyDescent="0.25">
      <c r="A3199" t="str">
        <f>+Tabla3[[#This Row],[Site]]&amp;Tabla3[[#This Row],[Split]]</f>
        <v/>
      </c>
      <c r="H3199" s="52" t="e">
        <f>VLOOKUP(Tabla3[[#This Row],[Site]],'Important Info!'!$A$1:$J$135,10,FALSE)</f>
        <v>#N/A</v>
      </c>
      <c r="I3199" s="8"/>
      <c r="K3199" s="79"/>
      <c r="L3199" s="52" t="e">
        <f>VLOOKUP(Tabla3[[#This Row],[Site]],'Important Info!'!$A$1:$F$135,2,FALSE)</f>
        <v>#N/A</v>
      </c>
      <c r="M3199" s="52" t="e">
        <f>VLOOKUP(Tabla3[[#This Row],[Site]],'Important Info!'!$A$1:$F$135,3,FALSE)</f>
        <v>#N/A</v>
      </c>
      <c r="N3199" s="52" t="e">
        <f>VLOOKUP(Tabla3[[#This Row],[Site]],'Important Info!'!$A$1:$F$135,4,FALSE)</f>
        <v>#N/A</v>
      </c>
      <c r="O3199" s="52" t="e">
        <f>VLOOKUP(Tabla3[[#This Row],[Site]],'Important Info!'!$A$1:$F$135,5,FALSE)</f>
        <v>#N/A</v>
      </c>
      <c r="P3199" s="52" t="e">
        <f>VLOOKUP(Tabla3[[#This Row],[Site]],'Important Info!'!$A$1:$F$135,6,FALSE)</f>
        <v>#N/A</v>
      </c>
      <c r="Q3199" s="91" t="e">
        <f>VLOOKUP(Tabla3[[#This Row],[Site]],'Important Info!'!$A$1:$J$135,9,FALSE)</f>
        <v>#N/A</v>
      </c>
    </row>
    <row r="3200" spans="1:17" x14ac:dyDescent="0.25">
      <c r="A3200" t="str">
        <f>+Tabla3[[#This Row],[Site]]&amp;Tabla3[[#This Row],[Split]]</f>
        <v/>
      </c>
      <c r="H3200" s="52" t="e">
        <f>VLOOKUP(Tabla3[[#This Row],[Site]],'Important Info!'!$A$1:$J$135,10,FALSE)</f>
        <v>#N/A</v>
      </c>
      <c r="I3200" s="43"/>
      <c r="K3200" s="79"/>
      <c r="Q3200" s="91"/>
    </row>
    <row r="3201" spans="1:17" x14ac:dyDescent="0.25">
      <c r="A3201" t="str">
        <f>+Tabla3[[#This Row],[Site]]&amp;Tabla3[[#This Row],[Split]]</f>
        <v/>
      </c>
      <c r="H3201" s="52" t="e">
        <f>VLOOKUP(Tabla3[[#This Row],[Site]],'Important Info!'!$A$1:$J$135,10,FALSE)</f>
        <v>#N/A</v>
      </c>
      <c r="I3201" s="43"/>
      <c r="K3201" s="79"/>
      <c r="L3201" s="52" t="e">
        <f>VLOOKUP(Tabla3[[#This Row],[Site]],'Important Info!'!$A$1:$F$135,2,FALSE)</f>
        <v>#N/A</v>
      </c>
      <c r="M3201" s="52" t="e">
        <f>VLOOKUP(Tabla3[[#This Row],[Site]],'Important Info!'!$A$1:$F$135,3,FALSE)</f>
        <v>#N/A</v>
      </c>
      <c r="N3201" s="52" t="e">
        <f>VLOOKUP(Tabla3[[#This Row],[Site]],'Important Info!'!$A$1:$F$135,4,FALSE)</f>
        <v>#N/A</v>
      </c>
      <c r="O3201" s="52" t="e">
        <f>VLOOKUP(Tabla3[[#This Row],[Site]],'Important Info!'!$A$1:$F$135,5,FALSE)</f>
        <v>#N/A</v>
      </c>
      <c r="P3201" s="52" t="e">
        <f>VLOOKUP(Tabla3[[#This Row],[Site]],'Important Info!'!$A$1:$F$135,6,FALSE)</f>
        <v>#N/A</v>
      </c>
      <c r="Q3201" s="91" t="e">
        <f>VLOOKUP(Tabla3[[#This Row],[Site]],'Important Info!'!$A$1:$J$135,9,FALSE)</f>
        <v>#N/A</v>
      </c>
    </row>
    <row r="3202" spans="1:17" x14ac:dyDescent="0.25">
      <c r="A3202" t="str">
        <f>+Tabla3[[#This Row],[Site]]&amp;Tabla3[[#This Row],[Split]]</f>
        <v/>
      </c>
      <c r="H3202" s="52" t="e">
        <f>VLOOKUP(Tabla3[[#This Row],[Site]],'Important Info!'!$A$1:$J$135,10,FALSE)</f>
        <v>#N/A</v>
      </c>
      <c r="K3202" s="79"/>
      <c r="L3202" s="52" t="e">
        <f>VLOOKUP(Tabla3[[#This Row],[Site]],'Important Info!'!$A$1:$F$135,2,FALSE)</f>
        <v>#N/A</v>
      </c>
      <c r="M3202" s="52" t="e">
        <f>VLOOKUP(Tabla3[[#This Row],[Site]],'Important Info!'!$A$1:$F$135,3,FALSE)</f>
        <v>#N/A</v>
      </c>
      <c r="N3202" s="52" t="e">
        <f>VLOOKUP(Tabla3[[#This Row],[Site]],'Important Info!'!$A$1:$F$135,4,FALSE)</f>
        <v>#N/A</v>
      </c>
      <c r="O3202" s="52" t="e">
        <f>VLOOKUP(Tabla3[[#This Row],[Site]],'Important Info!'!$A$1:$F$135,5,FALSE)</f>
        <v>#N/A</v>
      </c>
      <c r="P3202" s="52" t="e">
        <f>VLOOKUP(Tabla3[[#This Row],[Site]],'Important Info!'!$A$1:$F$135,6,FALSE)</f>
        <v>#N/A</v>
      </c>
      <c r="Q3202" s="91" t="e">
        <f>VLOOKUP(Tabla3[[#This Row],[Site]],'Important Info!'!$A$1:$J$135,9,FALSE)</f>
        <v>#N/A</v>
      </c>
    </row>
    <row r="3203" spans="1:17" x14ac:dyDescent="0.25">
      <c r="A3203" t="str">
        <f>+Tabla3[[#This Row],[Site]]&amp;Tabla3[[#This Row],[Split]]</f>
        <v/>
      </c>
      <c r="H3203" s="52" t="e">
        <f>VLOOKUP(Tabla3[[#This Row],[Site]],'Important Info!'!$A$1:$J$135,10,FALSE)</f>
        <v>#N/A</v>
      </c>
      <c r="I3203" s="43"/>
      <c r="J3203" t="s">
        <v>41</v>
      </c>
      <c r="K3203" s="79" t="e">
        <f>VLOOKUP(Tabla3[[#This Row],[Site]],'Important Info!'!$A$1:$H$135,8,FALSE)</f>
        <v>#N/A</v>
      </c>
      <c r="L3203" s="52" t="e">
        <f>VLOOKUP(Tabla3[[#This Row],[Site]],'Important Info!'!$A$1:$F$135,2,FALSE)</f>
        <v>#N/A</v>
      </c>
      <c r="M3203" s="52" t="e">
        <f>VLOOKUP(Tabla3[[#This Row],[Site]],'Important Info!'!$A$1:$F$135,3,FALSE)</f>
        <v>#N/A</v>
      </c>
      <c r="N3203" s="52" t="e">
        <f>VLOOKUP(Tabla3[[#This Row],[Site]],'Important Info!'!$A$1:$F$135,4,FALSE)</f>
        <v>#N/A</v>
      </c>
      <c r="O3203" s="52" t="e">
        <f>VLOOKUP(Tabla3[[#This Row],[Site]],'Important Info!'!$A$1:$F$135,5,FALSE)</f>
        <v>#N/A</v>
      </c>
      <c r="P3203" s="52" t="e">
        <f>VLOOKUP(Tabla3[[#This Row],[Site]],'Important Info!'!$A$1:$F$135,6,FALSE)</f>
        <v>#N/A</v>
      </c>
      <c r="Q3203" s="91" t="e">
        <f>VLOOKUP(Tabla3[[#This Row],[Site]],'Important Info!'!$A$1:$J$135,9,FALSE)</f>
        <v>#N/A</v>
      </c>
    </row>
    <row r="3204" spans="1:17" x14ac:dyDescent="0.25">
      <c r="A3204" t="str">
        <f>+Tabla3[[#This Row],[Site]]&amp;Tabla3[[#This Row],[Split]]</f>
        <v/>
      </c>
      <c r="H3204" s="52" t="e">
        <f>VLOOKUP(Tabla3[[#This Row],[Site]],'Important Info!'!$A$1:$J$135,10,FALSE)</f>
        <v>#N/A</v>
      </c>
      <c r="I3204" s="8"/>
      <c r="K3204" s="79"/>
      <c r="L3204" s="52" t="e">
        <f>VLOOKUP(Tabla3[[#This Row],[Site]],'Important Info!'!$A$1:$F$135,2,FALSE)</f>
        <v>#N/A</v>
      </c>
      <c r="M3204" s="52" t="e">
        <f>VLOOKUP(Tabla3[[#This Row],[Site]],'Important Info!'!$A$1:$F$135,3,FALSE)</f>
        <v>#N/A</v>
      </c>
      <c r="N3204" s="52" t="e">
        <f>VLOOKUP(Tabla3[[#This Row],[Site]],'Important Info!'!$A$1:$F$135,4,FALSE)</f>
        <v>#N/A</v>
      </c>
      <c r="O3204" s="52" t="e">
        <f>VLOOKUP(Tabla3[[#This Row],[Site]],'Important Info!'!$A$1:$F$135,5,FALSE)</f>
        <v>#N/A</v>
      </c>
      <c r="P3204" s="52" t="e">
        <f>VLOOKUP(Tabla3[[#This Row],[Site]],'Important Info!'!$A$1:$F$135,6,FALSE)</f>
        <v>#N/A</v>
      </c>
      <c r="Q3204" s="91" t="e">
        <f>VLOOKUP(Tabla3[[#This Row],[Site]],'Important Info!'!$A$1:$J$135,9,FALSE)</f>
        <v>#N/A</v>
      </c>
    </row>
    <row r="3205" spans="1:17" x14ac:dyDescent="0.25">
      <c r="A3205" t="str">
        <f>+Tabla3[[#This Row],[Site]]&amp;Tabla3[[#This Row],[Split]]</f>
        <v/>
      </c>
      <c r="H3205" s="52" t="e">
        <f>VLOOKUP(Tabla3[[#This Row],[Site]],'Important Info!'!$A$1:$J$135,10,FALSE)</f>
        <v>#N/A</v>
      </c>
      <c r="I3205" s="43"/>
      <c r="K3205" s="79"/>
      <c r="Q3205" s="91"/>
    </row>
    <row r="3206" spans="1:17" x14ac:dyDescent="0.25">
      <c r="A3206" t="str">
        <f>+Tabla3[[#This Row],[Site]]&amp;Tabla3[[#This Row],[Split]]</f>
        <v/>
      </c>
      <c r="H3206" s="52" t="e">
        <f>VLOOKUP(Tabla3[[#This Row],[Site]],'Important Info!'!$A$1:$J$135,10,FALSE)</f>
        <v>#N/A</v>
      </c>
      <c r="I3206" s="2"/>
      <c r="K3206" s="79"/>
      <c r="L3206" s="52" t="e">
        <f>VLOOKUP(Tabla3[[#This Row],[Site]],'Important Info!'!$A$1:$F$135,2,FALSE)</f>
        <v>#N/A</v>
      </c>
      <c r="M3206" s="52" t="e">
        <f>VLOOKUP(Tabla3[[#This Row],[Site]],'Important Info!'!$A$1:$F$135,3,FALSE)</f>
        <v>#N/A</v>
      </c>
      <c r="N3206" s="52" t="e">
        <f>VLOOKUP(Tabla3[[#This Row],[Site]],'Important Info!'!$A$1:$F$135,4,FALSE)</f>
        <v>#N/A</v>
      </c>
      <c r="O3206" s="52" t="e">
        <f>VLOOKUP(Tabla3[[#This Row],[Site]],'Important Info!'!$A$1:$F$135,5,FALSE)</f>
        <v>#N/A</v>
      </c>
      <c r="P3206" s="52" t="e">
        <f>VLOOKUP(Tabla3[[#This Row],[Site]],'Important Info!'!$A$1:$F$135,6,FALSE)</f>
        <v>#N/A</v>
      </c>
      <c r="Q3206" s="91" t="e">
        <f>VLOOKUP(Tabla3[[#This Row],[Site]],'Important Info!'!$A$1:$J$135,9,FALSE)</f>
        <v>#N/A</v>
      </c>
    </row>
    <row r="3207" spans="1:17" x14ac:dyDescent="0.25">
      <c r="A3207" t="str">
        <f>+Tabla3[[#This Row],[Site]]&amp;Tabla3[[#This Row],[Split]]</f>
        <v/>
      </c>
      <c r="H3207" s="52" t="e">
        <f>VLOOKUP(Tabla3[[#This Row],[Site]],'Important Info!'!$A$1:$J$135,10,FALSE)</f>
        <v>#N/A</v>
      </c>
      <c r="K3207" s="79"/>
      <c r="L3207" s="52" t="e">
        <f>VLOOKUP(Tabla3[[#This Row],[Site]],'Important Info!'!$A$1:$F$135,2,FALSE)</f>
        <v>#N/A</v>
      </c>
      <c r="M3207" s="52" t="e">
        <f>VLOOKUP(Tabla3[[#This Row],[Site]],'Important Info!'!$A$1:$F$135,3,FALSE)</f>
        <v>#N/A</v>
      </c>
      <c r="N3207" s="52" t="e">
        <f>VLOOKUP(Tabla3[[#This Row],[Site]],'Important Info!'!$A$1:$F$135,4,FALSE)</f>
        <v>#N/A</v>
      </c>
      <c r="O3207" s="52" t="e">
        <f>VLOOKUP(Tabla3[[#This Row],[Site]],'Important Info!'!$A$1:$F$135,5,FALSE)</f>
        <v>#N/A</v>
      </c>
      <c r="P3207" s="52" t="e">
        <f>VLOOKUP(Tabla3[[#This Row],[Site]],'Important Info!'!$A$1:$F$135,6,FALSE)</f>
        <v>#N/A</v>
      </c>
      <c r="Q3207" s="91" t="e">
        <f>VLOOKUP(Tabla3[[#This Row],[Site]],'Important Info!'!$A$1:$J$135,9,FALSE)</f>
        <v>#N/A</v>
      </c>
    </row>
    <row r="3208" spans="1:17" x14ac:dyDescent="0.25">
      <c r="A3208" t="str">
        <f>+Tabla3[[#This Row],[Site]]&amp;Tabla3[[#This Row],[Split]]</f>
        <v/>
      </c>
      <c r="H3208" s="52" t="e">
        <f>VLOOKUP(Tabla3[[#This Row],[Site]],'Important Info!'!$A$1:$J$135,10,FALSE)</f>
        <v>#N/A</v>
      </c>
      <c r="I3208" s="43"/>
      <c r="J3208" t="s">
        <v>41</v>
      </c>
      <c r="K3208" s="79" t="e">
        <f>VLOOKUP(Tabla3[[#This Row],[Site]],'Important Info!'!$A$1:$H$135,8,FALSE)</f>
        <v>#N/A</v>
      </c>
      <c r="L3208" s="52" t="e">
        <f>VLOOKUP(Tabla3[[#This Row],[Site]],'Important Info!'!$A$1:$F$135,2,FALSE)</f>
        <v>#N/A</v>
      </c>
      <c r="M3208" s="52" t="e">
        <f>VLOOKUP(Tabla3[[#This Row],[Site]],'Important Info!'!$A$1:$F$135,3,FALSE)</f>
        <v>#N/A</v>
      </c>
      <c r="N3208" s="52" t="e">
        <f>VLOOKUP(Tabla3[[#This Row],[Site]],'Important Info!'!$A$1:$F$135,4,FALSE)</f>
        <v>#N/A</v>
      </c>
      <c r="O3208" s="52" t="e">
        <f>VLOOKUP(Tabla3[[#This Row],[Site]],'Important Info!'!$A$1:$F$135,5,FALSE)</f>
        <v>#N/A</v>
      </c>
      <c r="P3208" s="52" t="e">
        <f>VLOOKUP(Tabla3[[#This Row],[Site]],'Important Info!'!$A$1:$F$135,6,FALSE)</f>
        <v>#N/A</v>
      </c>
      <c r="Q3208" s="91" t="e">
        <f>VLOOKUP(Tabla3[[#This Row],[Site]],'Important Info!'!$A$1:$J$135,9,FALSE)</f>
        <v>#N/A</v>
      </c>
    </row>
    <row r="3209" spans="1:17" x14ac:dyDescent="0.25">
      <c r="A3209" t="str">
        <f>+Tabla3[[#This Row],[Site]]&amp;Tabla3[[#This Row],[Split]]</f>
        <v/>
      </c>
      <c r="H3209" s="52" t="e">
        <f>VLOOKUP(Tabla3[[#This Row],[Site]],'Important Info!'!$A$1:$J$135,10,FALSE)</f>
        <v>#N/A</v>
      </c>
      <c r="I3209" s="8"/>
      <c r="K3209" s="79"/>
      <c r="L3209" s="52" t="e">
        <f>VLOOKUP(Tabla3[[#This Row],[Site]],'Important Info!'!$A$1:$F$135,2,FALSE)</f>
        <v>#N/A</v>
      </c>
      <c r="M3209" s="52" t="e">
        <f>VLOOKUP(Tabla3[[#This Row],[Site]],'Important Info!'!$A$1:$F$135,3,FALSE)</f>
        <v>#N/A</v>
      </c>
      <c r="N3209" s="52" t="e">
        <f>VLOOKUP(Tabla3[[#This Row],[Site]],'Important Info!'!$A$1:$F$135,4,FALSE)</f>
        <v>#N/A</v>
      </c>
      <c r="O3209" s="52" t="e">
        <f>VLOOKUP(Tabla3[[#This Row],[Site]],'Important Info!'!$A$1:$F$135,5,FALSE)</f>
        <v>#N/A</v>
      </c>
      <c r="P3209" s="52" t="e">
        <f>VLOOKUP(Tabla3[[#This Row],[Site]],'Important Info!'!$A$1:$F$135,6,FALSE)</f>
        <v>#N/A</v>
      </c>
      <c r="Q3209" s="91" t="e">
        <f>VLOOKUP(Tabla3[[#This Row],[Site]],'Important Info!'!$A$1:$J$135,9,FALSE)</f>
        <v>#N/A</v>
      </c>
    </row>
    <row r="3210" spans="1:17" x14ac:dyDescent="0.25">
      <c r="A3210" t="str">
        <f>+Tabla3[[#This Row],[Site]]&amp;Tabla3[[#This Row],[Split]]</f>
        <v/>
      </c>
      <c r="H3210" s="52" t="e">
        <f>VLOOKUP(Tabla3[[#This Row],[Site]],'Important Info!'!$A$1:$J$135,10,FALSE)</f>
        <v>#N/A</v>
      </c>
      <c r="I3210" s="43"/>
      <c r="K3210" s="79"/>
      <c r="Q3210" s="91"/>
    </row>
    <row r="3211" spans="1:17" x14ac:dyDescent="0.25">
      <c r="A3211" t="str">
        <f>+Tabla3[[#This Row],[Site]]&amp;Tabla3[[#This Row],[Split]]</f>
        <v/>
      </c>
      <c r="H3211" s="52" t="e">
        <f>VLOOKUP(Tabla3[[#This Row],[Site]],'Important Info!'!$A$1:$J$135,10,FALSE)</f>
        <v>#N/A</v>
      </c>
      <c r="I3211" s="43"/>
      <c r="K3211" s="79"/>
      <c r="L3211" s="52" t="e">
        <f>VLOOKUP(Tabla3[[#This Row],[Site]],'Important Info!'!$A$1:$F$135,2,FALSE)</f>
        <v>#N/A</v>
      </c>
      <c r="M3211" s="52" t="e">
        <f>VLOOKUP(Tabla3[[#This Row],[Site]],'Important Info!'!$A$1:$F$135,3,FALSE)</f>
        <v>#N/A</v>
      </c>
      <c r="N3211" s="52" t="e">
        <f>VLOOKUP(Tabla3[[#This Row],[Site]],'Important Info!'!$A$1:$F$135,4,FALSE)</f>
        <v>#N/A</v>
      </c>
      <c r="O3211" s="52" t="e">
        <f>VLOOKUP(Tabla3[[#This Row],[Site]],'Important Info!'!$A$1:$F$135,5,FALSE)</f>
        <v>#N/A</v>
      </c>
      <c r="P3211" s="52" t="e">
        <f>VLOOKUP(Tabla3[[#This Row],[Site]],'Important Info!'!$A$1:$F$135,6,FALSE)</f>
        <v>#N/A</v>
      </c>
      <c r="Q3211" s="91" t="e">
        <f>VLOOKUP(Tabla3[[#This Row],[Site]],'Important Info!'!$A$1:$J$135,9,FALSE)</f>
        <v>#N/A</v>
      </c>
    </row>
    <row r="3212" spans="1:17" x14ac:dyDescent="0.25">
      <c r="A3212" t="str">
        <f>+Tabla3[[#This Row],[Site]]&amp;Tabla3[[#This Row],[Split]]</f>
        <v/>
      </c>
      <c r="H3212" s="52" t="e">
        <f>VLOOKUP(Tabla3[[#This Row],[Site]],'Important Info!'!$A$1:$J$135,10,FALSE)</f>
        <v>#N/A</v>
      </c>
      <c r="K3212" s="79"/>
      <c r="L3212" s="52" t="e">
        <f>VLOOKUP(Tabla3[[#This Row],[Site]],'Important Info!'!$A$1:$F$135,2,FALSE)</f>
        <v>#N/A</v>
      </c>
      <c r="M3212" s="52" t="e">
        <f>VLOOKUP(Tabla3[[#This Row],[Site]],'Important Info!'!$A$1:$F$135,3,FALSE)</f>
        <v>#N/A</v>
      </c>
      <c r="N3212" s="52" t="e">
        <f>VLOOKUP(Tabla3[[#This Row],[Site]],'Important Info!'!$A$1:$F$135,4,FALSE)</f>
        <v>#N/A</v>
      </c>
      <c r="O3212" s="52" t="e">
        <f>VLOOKUP(Tabla3[[#This Row],[Site]],'Important Info!'!$A$1:$F$135,5,FALSE)</f>
        <v>#N/A</v>
      </c>
      <c r="P3212" s="52" t="e">
        <f>VLOOKUP(Tabla3[[#This Row],[Site]],'Important Info!'!$A$1:$F$135,6,FALSE)</f>
        <v>#N/A</v>
      </c>
      <c r="Q3212" s="91" t="e">
        <f>VLOOKUP(Tabla3[[#This Row],[Site]],'Important Info!'!$A$1:$J$135,9,FALSE)</f>
        <v>#N/A</v>
      </c>
    </row>
    <row r="3213" spans="1:17" x14ac:dyDescent="0.25">
      <c r="A3213" t="str">
        <f>+Tabla3[[#This Row],[Site]]&amp;Tabla3[[#This Row],[Split]]</f>
        <v/>
      </c>
      <c r="H3213" s="52" t="e">
        <f>VLOOKUP(Tabla3[[#This Row],[Site]],'Important Info!'!$A$1:$J$135,10,FALSE)</f>
        <v>#N/A</v>
      </c>
      <c r="I3213" s="43"/>
      <c r="K3213" s="79"/>
      <c r="Q3213" s="91"/>
    </row>
    <row r="3214" spans="1:17" x14ac:dyDescent="0.25">
      <c r="A3214" t="str">
        <f>+Tabla3[[#This Row],[Site]]&amp;Tabla3[[#This Row],[Split]]</f>
        <v/>
      </c>
      <c r="H3214" s="52" t="e">
        <f>VLOOKUP(Tabla3[[#This Row],[Site]],'Important Info!'!$A$1:$J$135,10,FALSE)</f>
        <v>#N/A</v>
      </c>
      <c r="I3214" s="43"/>
      <c r="J3214" t="s">
        <v>41</v>
      </c>
      <c r="K3214" s="79" t="e">
        <f>VLOOKUP(Tabla3[[#This Row],[Site]],'Important Info!'!$A$1:$H$135,8,FALSE)</f>
        <v>#N/A</v>
      </c>
      <c r="L3214" s="52" t="e">
        <f>VLOOKUP(Tabla3[[#This Row],[Site]],'Important Info!'!$A$1:$F$135,2,FALSE)</f>
        <v>#N/A</v>
      </c>
      <c r="M3214" s="52" t="e">
        <f>VLOOKUP(Tabla3[[#This Row],[Site]],'Important Info!'!$A$1:$F$135,3,FALSE)</f>
        <v>#N/A</v>
      </c>
      <c r="N3214" s="52" t="e">
        <f>VLOOKUP(Tabla3[[#This Row],[Site]],'Important Info!'!$A$1:$F$135,4,FALSE)</f>
        <v>#N/A</v>
      </c>
      <c r="O3214" s="52" t="e">
        <f>VLOOKUP(Tabla3[[#This Row],[Site]],'Important Info!'!$A$1:$F$135,5,FALSE)</f>
        <v>#N/A</v>
      </c>
      <c r="P3214" s="52" t="e">
        <f>VLOOKUP(Tabla3[[#This Row],[Site]],'Important Info!'!$A$1:$F$135,6,FALSE)</f>
        <v>#N/A</v>
      </c>
      <c r="Q3214" s="91" t="e">
        <f>VLOOKUP(Tabla3[[#This Row],[Site]],'Important Info!'!$A$1:$J$135,9,FALSE)</f>
        <v>#N/A</v>
      </c>
    </row>
    <row r="3215" spans="1:17" x14ac:dyDescent="0.25">
      <c r="A3215" t="str">
        <f>+Tabla3[[#This Row],[Site]]&amp;Tabla3[[#This Row],[Split]]</f>
        <v/>
      </c>
      <c r="H3215" s="52" t="e">
        <f>VLOOKUP(Tabla3[[#This Row],[Site]],'Important Info!'!$A$1:$J$135,10,FALSE)</f>
        <v>#N/A</v>
      </c>
      <c r="I3215" s="8"/>
      <c r="K3215" s="79"/>
      <c r="L3215" s="52" t="e">
        <f>VLOOKUP(Tabla3[[#This Row],[Site]],'Important Info!'!$A$1:$F$135,2,FALSE)</f>
        <v>#N/A</v>
      </c>
      <c r="M3215" s="52" t="e">
        <f>VLOOKUP(Tabla3[[#This Row],[Site]],'Important Info!'!$A$1:$F$135,3,FALSE)</f>
        <v>#N/A</v>
      </c>
      <c r="N3215" s="52" t="e">
        <f>VLOOKUP(Tabla3[[#This Row],[Site]],'Important Info!'!$A$1:$F$135,4,FALSE)</f>
        <v>#N/A</v>
      </c>
      <c r="O3215" s="52" t="e">
        <f>VLOOKUP(Tabla3[[#This Row],[Site]],'Important Info!'!$A$1:$F$135,5,FALSE)</f>
        <v>#N/A</v>
      </c>
      <c r="P3215" s="52" t="e">
        <f>VLOOKUP(Tabla3[[#This Row],[Site]],'Important Info!'!$A$1:$F$135,6,FALSE)</f>
        <v>#N/A</v>
      </c>
      <c r="Q3215" s="91" t="e">
        <f>VLOOKUP(Tabla3[[#This Row],[Site]],'Important Info!'!$A$1:$J$135,9,FALSE)</f>
        <v>#N/A</v>
      </c>
    </row>
    <row r="3216" spans="1:17" x14ac:dyDescent="0.25">
      <c r="A3216" t="str">
        <f>+Tabla3[[#This Row],[Site]]&amp;Tabla3[[#This Row],[Split]]</f>
        <v/>
      </c>
      <c r="E3216" s="41"/>
      <c r="F3216" s="41"/>
      <c r="H3216" s="52" t="e">
        <f>VLOOKUP(Tabla3[[#This Row],[Site]],'Important Info!'!$A$1:$J$135,10,FALSE)</f>
        <v>#N/A</v>
      </c>
      <c r="I3216" s="42"/>
      <c r="J3216" s="41"/>
      <c r="K3216" s="79"/>
      <c r="L3216" s="52" t="e">
        <f>VLOOKUP(Tabla3[[#This Row],[Site]],'Important Info!'!$A$1:$F$135,2,FALSE)</f>
        <v>#N/A</v>
      </c>
      <c r="M3216" s="52" t="e">
        <f>VLOOKUP(Tabla3[[#This Row],[Site]],'Important Info!'!$A$1:$F$135,3,FALSE)</f>
        <v>#N/A</v>
      </c>
      <c r="N3216" s="52" t="e">
        <f>VLOOKUP(Tabla3[[#This Row],[Site]],'Important Info!'!$A$1:$F$135,4,FALSE)</f>
        <v>#N/A</v>
      </c>
      <c r="O3216" s="52" t="e">
        <f>VLOOKUP(Tabla3[[#This Row],[Site]],'Important Info!'!$A$1:$F$135,5,FALSE)</f>
        <v>#N/A</v>
      </c>
      <c r="P3216" s="52" t="e">
        <f>VLOOKUP(Tabla3[[#This Row],[Site]],'Important Info!'!$A$1:$F$135,6,FALSE)</f>
        <v>#N/A</v>
      </c>
      <c r="Q3216" s="91" t="e">
        <f>VLOOKUP(Tabla3[[#This Row],[Site]],'Important Info!'!$A$1:$J$135,9,FALSE)</f>
        <v>#N/A</v>
      </c>
    </row>
    <row r="3217" spans="1:17" x14ac:dyDescent="0.25">
      <c r="H3217" s="52" t="e">
        <f>VLOOKUP(Tabla3[[#This Row],[Site]],'Important Info!'!$A$1:$J$135,10,FALSE)</f>
        <v>#N/A</v>
      </c>
      <c r="K3217" s="79"/>
      <c r="L3217" s="52" t="e">
        <f>VLOOKUP(Tabla3[[#This Row],[Site]],'Important Info!'!$A$1:$F$135,2,FALSE)</f>
        <v>#N/A</v>
      </c>
      <c r="M3217" s="52" t="e">
        <f>VLOOKUP(Tabla3[[#This Row],[Site]],'Important Info!'!$A$1:$F$135,3,FALSE)</f>
        <v>#N/A</v>
      </c>
      <c r="N3217" s="52" t="e">
        <f>VLOOKUP(Tabla3[[#This Row],[Site]],'Important Info!'!$A$1:$F$135,4,FALSE)</f>
        <v>#N/A</v>
      </c>
      <c r="O3217" s="52" t="e">
        <f>VLOOKUP(Tabla3[[#This Row],[Site]],'Important Info!'!$A$1:$F$135,5,FALSE)</f>
        <v>#N/A</v>
      </c>
      <c r="P3217" s="52" t="e">
        <f>VLOOKUP(Tabla3[[#This Row],[Site]],'Important Info!'!$A$1:$F$135,6,FALSE)</f>
        <v>#N/A</v>
      </c>
      <c r="Q3217" s="91" t="e">
        <f>VLOOKUP(Tabla3[[#This Row],[Site]],'Important Info!'!$A$1:$J$135,9,FALSE)</f>
        <v>#N/A</v>
      </c>
    </row>
    <row r="3218" spans="1:17" x14ac:dyDescent="0.25">
      <c r="H3218" s="52" t="e">
        <f>VLOOKUP(Tabla3[[#This Row],[Site]],'Important Info!'!$A$1:$J$135,10,FALSE)</f>
        <v>#N/A</v>
      </c>
      <c r="I3218" s="2"/>
      <c r="K3218" s="79"/>
      <c r="Q3218" s="91"/>
    </row>
    <row r="3219" spans="1:17" x14ac:dyDescent="0.25">
      <c r="A3219" t="str">
        <f>+Tabla3[[#This Row],[Site]]&amp;Tabla3[[#This Row],[Split]]</f>
        <v/>
      </c>
      <c r="H3219" s="52" t="e">
        <f>VLOOKUP(Tabla3[[#This Row],[Site]],'Important Info!'!$A$1:$J$135,10,FALSE)</f>
        <v>#N/A</v>
      </c>
      <c r="I3219" s="43"/>
      <c r="J3219" t="s">
        <v>41</v>
      </c>
      <c r="K3219" s="79" t="e">
        <f>VLOOKUP(Tabla3[[#This Row],[Site]],'Important Info!'!$A$1:$H$135,8,FALSE)</f>
        <v>#N/A</v>
      </c>
      <c r="L3219" s="52" t="e">
        <f>VLOOKUP(Tabla3[[#This Row],[Site]],'Important Info!'!$A$1:$F$135,2,FALSE)</f>
        <v>#N/A</v>
      </c>
      <c r="M3219" s="52" t="e">
        <f>VLOOKUP(Tabla3[[#This Row],[Site]],'Important Info!'!$A$1:$F$135,3,FALSE)</f>
        <v>#N/A</v>
      </c>
      <c r="N3219" s="52" t="e">
        <f>VLOOKUP(Tabla3[[#This Row],[Site]],'Important Info!'!$A$1:$F$135,4,FALSE)</f>
        <v>#N/A</v>
      </c>
      <c r="O3219" s="52" t="e">
        <f>VLOOKUP(Tabla3[[#This Row],[Site]],'Important Info!'!$A$1:$F$135,5,FALSE)</f>
        <v>#N/A</v>
      </c>
      <c r="P3219" s="52" t="e">
        <f>VLOOKUP(Tabla3[[#This Row],[Site]],'Important Info!'!$A$1:$F$135,6,FALSE)</f>
        <v>#N/A</v>
      </c>
      <c r="Q3219" s="91" t="e">
        <f>VLOOKUP(Tabla3[[#This Row],[Site]],'Important Info!'!$A$1:$J$135,9,FALSE)</f>
        <v>#N/A</v>
      </c>
    </row>
    <row r="3220" spans="1:17" x14ac:dyDescent="0.25">
      <c r="A3220" t="str">
        <f>+Tabla3[[#This Row],[Site]]&amp;Tabla3[[#This Row],[Split]]</f>
        <v/>
      </c>
      <c r="H3220" s="52" t="e">
        <f>VLOOKUP(Tabla3[[#This Row],[Site]],'Important Info!'!$A$1:$J$135,10,FALSE)</f>
        <v>#N/A</v>
      </c>
      <c r="I3220" s="65"/>
      <c r="K3220" s="79"/>
      <c r="L3220" s="52" t="e">
        <f>VLOOKUP(Tabla3[[#This Row],[Site]],'Important Info!'!$A$1:$F$135,2,FALSE)</f>
        <v>#N/A</v>
      </c>
      <c r="M3220" s="52" t="e">
        <f>VLOOKUP(Tabla3[[#This Row],[Site]],'Important Info!'!$A$1:$F$135,3,FALSE)</f>
        <v>#N/A</v>
      </c>
      <c r="N3220" s="52" t="e">
        <f>VLOOKUP(Tabla3[[#This Row],[Site]],'Important Info!'!$A$1:$F$135,4,FALSE)</f>
        <v>#N/A</v>
      </c>
      <c r="O3220" s="52" t="e">
        <f>VLOOKUP(Tabla3[[#This Row],[Site]],'Important Info!'!$A$1:$F$135,5,FALSE)</f>
        <v>#N/A</v>
      </c>
      <c r="P3220" s="52" t="e">
        <f>VLOOKUP(Tabla3[[#This Row],[Site]],'Important Info!'!$A$1:$F$135,6,FALSE)</f>
        <v>#N/A</v>
      </c>
      <c r="Q3220" s="91" t="e">
        <f>VLOOKUP(Tabla3[[#This Row],[Site]],'Important Info!'!$A$1:$J$135,9,FALSE)</f>
        <v>#N/A</v>
      </c>
    </row>
    <row r="3221" spans="1:17" x14ac:dyDescent="0.25">
      <c r="A3221" t="str">
        <f>+Tabla3[[#This Row],[Site]]&amp;Tabla3[[#This Row],[Split]]</f>
        <v/>
      </c>
      <c r="H3221" s="52" t="e">
        <f>VLOOKUP(Tabla3[[#This Row],[Site]],'Important Info!'!$A$1:$J$135,10,FALSE)</f>
        <v>#N/A</v>
      </c>
      <c r="I3221" s="43"/>
      <c r="K3221" s="79"/>
      <c r="L3221" s="52" t="e">
        <f>VLOOKUP(Tabla3[[#This Row],[Site]],'Important Info!'!$A$1:$F$135,2,FALSE)</f>
        <v>#N/A</v>
      </c>
      <c r="M3221" s="52" t="e">
        <f>VLOOKUP(Tabla3[[#This Row],[Site]],'Important Info!'!$A$1:$F$135,3,FALSE)</f>
        <v>#N/A</v>
      </c>
      <c r="N3221" s="52" t="e">
        <f>VLOOKUP(Tabla3[[#This Row],[Site]],'Important Info!'!$A$1:$F$135,4,FALSE)</f>
        <v>#N/A</v>
      </c>
      <c r="O3221" s="52" t="e">
        <f>VLOOKUP(Tabla3[[#This Row],[Site]],'Important Info!'!$A$1:$F$135,5,FALSE)</f>
        <v>#N/A</v>
      </c>
      <c r="P3221" s="52" t="e">
        <f>VLOOKUP(Tabla3[[#This Row],[Site]],'Important Info!'!$A$1:$F$135,6,FALSE)</f>
        <v>#N/A</v>
      </c>
      <c r="Q3221" s="91" t="e">
        <f>VLOOKUP(Tabla3[[#This Row],[Site]],'Important Info!'!$A$1:$J$135,9,FALSE)</f>
        <v>#N/A</v>
      </c>
    </row>
    <row r="3222" spans="1:17" x14ac:dyDescent="0.25">
      <c r="H3222" s="52" t="e">
        <f>VLOOKUP(Tabla3[[#This Row],[Site]],'Important Info!'!$A$1:$J$135,10,FALSE)</f>
        <v>#N/A</v>
      </c>
      <c r="K3222" s="79"/>
      <c r="L3222" s="52" t="e">
        <f>VLOOKUP(Tabla3[[#This Row],[Site]],'Important Info!'!$A$1:$F$135,2,FALSE)</f>
        <v>#N/A</v>
      </c>
      <c r="M3222" s="52" t="e">
        <f>VLOOKUP(Tabla3[[#This Row],[Site]],'Important Info!'!$A$1:$F$135,3,FALSE)</f>
        <v>#N/A</v>
      </c>
      <c r="N3222" s="52" t="e">
        <f>VLOOKUP(Tabla3[[#This Row],[Site]],'Important Info!'!$A$1:$F$135,4,FALSE)</f>
        <v>#N/A</v>
      </c>
      <c r="O3222" s="52" t="e">
        <f>VLOOKUP(Tabla3[[#This Row],[Site]],'Important Info!'!$A$1:$F$135,5,FALSE)</f>
        <v>#N/A</v>
      </c>
      <c r="P3222" s="52" t="e">
        <f>VLOOKUP(Tabla3[[#This Row],[Site]],'Important Info!'!$A$1:$F$135,6,FALSE)</f>
        <v>#N/A</v>
      </c>
      <c r="Q3222" s="91" t="e">
        <f>VLOOKUP(Tabla3[[#This Row],[Site]],'Important Info!'!$A$1:$J$135,9,FALSE)</f>
        <v>#N/A</v>
      </c>
    </row>
    <row r="3223" spans="1:17" x14ac:dyDescent="0.25">
      <c r="H3223" s="52" t="e">
        <f>VLOOKUP(Tabla3[[#This Row],[Site]],'Important Info!'!$A$1:$J$135,10,FALSE)</f>
        <v>#N/A</v>
      </c>
      <c r="I3223" s="2"/>
      <c r="K3223" s="79"/>
      <c r="Q3223" s="91"/>
    </row>
    <row r="3224" spans="1:17" x14ac:dyDescent="0.25">
      <c r="A3224" t="str">
        <f>+Tabla3[[#This Row],[Site]]&amp;Tabla3[[#This Row],[Split]]</f>
        <v/>
      </c>
      <c r="H3224" s="52" t="e">
        <f>VLOOKUP(Tabla3[[#This Row],[Site]],'Important Info!'!$A$1:$J$135,10,FALSE)</f>
        <v>#N/A</v>
      </c>
      <c r="I3224" s="43"/>
      <c r="J3224" t="s">
        <v>41</v>
      </c>
      <c r="K3224" s="79" t="e">
        <f>VLOOKUP(Tabla3[[#This Row],[Site]],'Important Info!'!$A$1:$H$135,8,FALSE)</f>
        <v>#N/A</v>
      </c>
      <c r="L3224" s="52" t="e">
        <f>VLOOKUP(Tabla3[[#This Row],[Site]],'Important Info!'!$A$1:$F$135,2,FALSE)</f>
        <v>#N/A</v>
      </c>
      <c r="M3224" s="52" t="e">
        <f>VLOOKUP(Tabla3[[#This Row],[Site]],'Important Info!'!$A$1:$F$135,3,FALSE)</f>
        <v>#N/A</v>
      </c>
      <c r="N3224" s="52" t="e">
        <f>VLOOKUP(Tabla3[[#This Row],[Site]],'Important Info!'!$A$1:$F$135,4,FALSE)</f>
        <v>#N/A</v>
      </c>
      <c r="O3224" s="52" t="e">
        <f>VLOOKUP(Tabla3[[#This Row],[Site]],'Important Info!'!$A$1:$F$135,5,FALSE)</f>
        <v>#N/A</v>
      </c>
      <c r="P3224" s="52" t="e">
        <f>VLOOKUP(Tabla3[[#This Row],[Site]],'Important Info!'!$A$1:$F$135,6,FALSE)</f>
        <v>#N/A</v>
      </c>
      <c r="Q3224" s="91" t="e">
        <f>VLOOKUP(Tabla3[[#This Row],[Site]],'Important Info!'!$A$1:$J$135,9,FALSE)</f>
        <v>#N/A</v>
      </c>
    </row>
    <row r="3225" spans="1:17" x14ac:dyDescent="0.25">
      <c r="A3225" t="str">
        <f>+Tabla3[[#This Row],[Site]]&amp;Tabla3[[#This Row],[Split]]</f>
        <v/>
      </c>
      <c r="H3225" s="52" t="e">
        <f>VLOOKUP(Tabla3[[#This Row],[Site]],'Important Info!'!$A$1:$J$135,10,FALSE)</f>
        <v>#N/A</v>
      </c>
      <c r="I3225" s="65"/>
      <c r="K3225" s="79"/>
      <c r="L3225" s="52" t="e">
        <f>VLOOKUP(Tabla3[[#This Row],[Site]],'Important Info!'!$A$1:$F$135,2,FALSE)</f>
        <v>#N/A</v>
      </c>
      <c r="M3225" s="52" t="e">
        <f>VLOOKUP(Tabla3[[#This Row],[Site]],'Important Info!'!$A$1:$F$135,3,FALSE)</f>
        <v>#N/A</v>
      </c>
      <c r="N3225" s="52" t="e">
        <f>VLOOKUP(Tabla3[[#This Row],[Site]],'Important Info!'!$A$1:$F$135,4,FALSE)</f>
        <v>#N/A</v>
      </c>
      <c r="O3225" s="52" t="e">
        <f>VLOOKUP(Tabla3[[#This Row],[Site]],'Important Info!'!$A$1:$F$135,5,FALSE)</f>
        <v>#N/A</v>
      </c>
      <c r="P3225" s="52" t="e">
        <f>VLOOKUP(Tabla3[[#This Row],[Site]],'Important Info!'!$A$1:$F$135,6,FALSE)</f>
        <v>#N/A</v>
      </c>
      <c r="Q3225" s="91" t="e">
        <f>VLOOKUP(Tabla3[[#This Row],[Site]],'Important Info!'!$A$1:$J$135,9,FALSE)</f>
        <v>#N/A</v>
      </c>
    </row>
    <row r="3226" spans="1:17" x14ac:dyDescent="0.25">
      <c r="A3226" t="str">
        <f>+Tabla3[[#This Row],[Site]]&amp;Tabla3[[#This Row],[Split]]</f>
        <v/>
      </c>
      <c r="H3226" s="52" t="e">
        <f>VLOOKUP(Tabla3[[#This Row],[Site]],'Important Info!'!$A$1:$J$135,10,FALSE)</f>
        <v>#N/A</v>
      </c>
      <c r="I3226" s="43"/>
      <c r="K3226" s="79"/>
      <c r="L3226" s="52" t="e">
        <f>VLOOKUP(Tabla3[[#This Row],[Site]],'Important Info!'!$A$1:$F$135,2,FALSE)</f>
        <v>#N/A</v>
      </c>
      <c r="M3226" s="52" t="e">
        <f>VLOOKUP(Tabla3[[#This Row],[Site]],'Important Info!'!$A$1:$F$135,3,FALSE)</f>
        <v>#N/A</v>
      </c>
      <c r="N3226" s="52" t="e">
        <f>VLOOKUP(Tabla3[[#This Row],[Site]],'Important Info!'!$A$1:$F$135,4,FALSE)</f>
        <v>#N/A</v>
      </c>
      <c r="O3226" s="52" t="e">
        <f>VLOOKUP(Tabla3[[#This Row],[Site]],'Important Info!'!$A$1:$F$135,5,FALSE)</f>
        <v>#N/A</v>
      </c>
      <c r="P3226" s="52" t="e">
        <f>VLOOKUP(Tabla3[[#This Row],[Site]],'Important Info!'!$A$1:$F$135,6,FALSE)</f>
        <v>#N/A</v>
      </c>
      <c r="Q3226" s="91" t="e">
        <f>VLOOKUP(Tabla3[[#This Row],[Site]],'Important Info!'!$A$1:$J$135,9,FALSE)</f>
        <v>#N/A</v>
      </c>
    </row>
    <row r="3227" spans="1:17" x14ac:dyDescent="0.25">
      <c r="H3227" s="52" t="e">
        <f>VLOOKUP(Tabla3[[#This Row],[Site]],'Important Info!'!$A$1:$J$135,10,FALSE)</f>
        <v>#N/A</v>
      </c>
      <c r="K3227" s="79"/>
      <c r="L3227" s="52" t="e">
        <f>VLOOKUP(Tabla3[[#This Row],[Site]],'Important Info!'!$A$1:$F$135,2,FALSE)</f>
        <v>#N/A</v>
      </c>
      <c r="M3227" s="52" t="e">
        <f>VLOOKUP(Tabla3[[#This Row],[Site]],'Important Info!'!$A$1:$F$135,3,FALSE)</f>
        <v>#N/A</v>
      </c>
      <c r="N3227" s="52" t="e">
        <f>VLOOKUP(Tabla3[[#This Row],[Site]],'Important Info!'!$A$1:$F$135,4,FALSE)</f>
        <v>#N/A</v>
      </c>
      <c r="O3227" s="52" t="e">
        <f>VLOOKUP(Tabla3[[#This Row],[Site]],'Important Info!'!$A$1:$F$135,5,FALSE)</f>
        <v>#N/A</v>
      </c>
      <c r="P3227" s="52" t="e">
        <f>VLOOKUP(Tabla3[[#This Row],[Site]],'Important Info!'!$A$1:$F$135,6,FALSE)</f>
        <v>#N/A</v>
      </c>
      <c r="Q3227" s="91" t="e">
        <f>VLOOKUP(Tabla3[[#This Row],[Site]],'Important Info!'!$A$1:$J$135,9,FALSE)</f>
        <v>#N/A</v>
      </c>
    </row>
    <row r="3228" spans="1:17" x14ac:dyDescent="0.25">
      <c r="H3228" s="52" t="e">
        <f>VLOOKUP(Tabla3[[#This Row],[Site]],'Important Info!'!$A$1:$J$135,10,FALSE)</f>
        <v>#N/A</v>
      </c>
      <c r="I3228" s="2"/>
      <c r="K3228" s="79"/>
      <c r="Q3228" s="91"/>
    </row>
    <row r="3229" spans="1:17" x14ac:dyDescent="0.25">
      <c r="A3229" t="str">
        <f>+Tabla3[[#This Row],[Site]]&amp;Tabla3[[#This Row],[Split]]</f>
        <v/>
      </c>
      <c r="H3229" s="52" t="e">
        <f>VLOOKUP(Tabla3[[#This Row],[Site]],'Important Info!'!$A$1:$J$135,10,FALSE)</f>
        <v>#N/A</v>
      </c>
      <c r="I3229" s="43"/>
      <c r="J3229" t="s">
        <v>41</v>
      </c>
      <c r="K3229" s="79" t="e">
        <f>VLOOKUP(Tabla3[[#This Row],[Site]],'Important Info!'!$A$1:$H$135,8,FALSE)</f>
        <v>#N/A</v>
      </c>
      <c r="L3229" s="52" t="e">
        <f>VLOOKUP(Tabla3[[#This Row],[Site]],'Important Info!'!$A$1:$F$135,2,FALSE)</f>
        <v>#N/A</v>
      </c>
      <c r="M3229" s="52" t="e">
        <f>VLOOKUP(Tabla3[[#This Row],[Site]],'Important Info!'!$A$1:$F$135,3,FALSE)</f>
        <v>#N/A</v>
      </c>
      <c r="N3229" s="52" t="e">
        <f>VLOOKUP(Tabla3[[#This Row],[Site]],'Important Info!'!$A$1:$F$135,4,FALSE)</f>
        <v>#N/A</v>
      </c>
      <c r="O3229" s="52" t="e">
        <f>VLOOKUP(Tabla3[[#This Row],[Site]],'Important Info!'!$A$1:$F$135,5,FALSE)</f>
        <v>#N/A</v>
      </c>
      <c r="P3229" s="52" t="e">
        <f>VLOOKUP(Tabla3[[#This Row],[Site]],'Important Info!'!$A$1:$F$135,6,FALSE)</f>
        <v>#N/A</v>
      </c>
      <c r="Q3229" s="91" t="e">
        <f>VLOOKUP(Tabla3[[#This Row],[Site]],'Important Info!'!$A$1:$J$135,9,FALSE)</f>
        <v>#N/A</v>
      </c>
    </row>
    <row r="3230" spans="1:17" x14ac:dyDescent="0.25">
      <c r="A3230" t="str">
        <f>+Tabla3[[#This Row],[Site]]&amp;Tabla3[[#This Row],[Split]]</f>
        <v/>
      </c>
      <c r="H3230" s="52" t="e">
        <f>VLOOKUP(Tabla3[[#This Row],[Site]],'Important Info!'!$A$1:$J$135,10,FALSE)</f>
        <v>#N/A</v>
      </c>
      <c r="I3230" s="65"/>
      <c r="K3230" s="79"/>
      <c r="L3230" s="52" t="e">
        <f>VLOOKUP(Tabla3[[#This Row],[Site]],'Important Info!'!$A$1:$F$135,2,FALSE)</f>
        <v>#N/A</v>
      </c>
      <c r="M3230" s="52" t="e">
        <f>VLOOKUP(Tabla3[[#This Row],[Site]],'Important Info!'!$A$1:$F$135,3,FALSE)</f>
        <v>#N/A</v>
      </c>
      <c r="N3230" s="52" t="e">
        <f>VLOOKUP(Tabla3[[#This Row],[Site]],'Important Info!'!$A$1:$F$135,4,FALSE)</f>
        <v>#N/A</v>
      </c>
      <c r="O3230" s="52" t="e">
        <f>VLOOKUP(Tabla3[[#This Row],[Site]],'Important Info!'!$A$1:$F$135,5,FALSE)</f>
        <v>#N/A</v>
      </c>
      <c r="P3230" s="52" t="e">
        <f>VLOOKUP(Tabla3[[#This Row],[Site]],'Important Info!'!$A$1:$F$135,6,FALSE)</f>
        <v>#N/A</v>
      </c>
      <c r="Q3230" s="91" t="e">
        <f>VLOOKUP(Tabla3[[#This Row],[Site]],'Important Info!'!$A$1:$J$135,9,FALSE)</f>
        <v>#N/A</v>
      </c>
    </row>
    <row r="3231" spans="1:17" x14ac:dyDescent="0.25">
      <c r="A3231" t="str">
        <f>+Tabla3[[#This Row],[Site]]&amp;Tabla3[[#This Row],[Split]]</f>
        <v/>
      </c>
      <c r="H3231" s="52" t="e">
        <f>VLOOKUP(Tabla3[[#This Row],[Site]],'Important Info!'!$A$1:$J$135,10,FALSE)</f>
        <v>#N/A</v>
      </c>
      <c r="I3231" s="43"/>
      <c r="K3231" s="79"/>
      <c r="L3231" s="52" t="e">
        <f>VLOOKUP(Tabla3[[#This Row],[Site]],'Important Info!'!$A$1:$F$135,2,FALSE)</f>
        <v>#N/A</v>
      </c>
      <c r="M3231" s="52" t="e">
        <f>VLOOKUP(Tabla3[[#This Row],[Site]],'Important Info!'!$A$1:$F$135,3,FALSE)</f>
        <v>#N/A</v>
      </c>
      <c r="N3231" s="52" t="e">
        <f>VLOOKUP(Tabla3[[#This Row],[Site]],'Important Info!'!$A$1:$F$135,4,FALSE)</f>
        <v>#N/A</v>
      </c>
      <c r="O3231" s="52" t="e">
        <f>VLOOKUP(Tabla3[[#This Row],[Site]],'Important Info!'!$A$1:$F$135,5,FALSE)</f>
        <v>#N/A</v>
      </c>
      <c r="P3231" s="52" t="e">
        <f>VLOOKUP(Tabla3[[#This Row],[Site]],'Important Info!'!$A$1:$F$135,6,FALSE)</f>
        <v>#N/A</v>
      </c>
      <c r="Q3231" s="91" t="e">
        <f>VLOOKUP(Tabla3[[#This Row],[Site]],'Important Info!'!$A$1:$J$135,9,FALSE)</f>
        <v>#N/A</v>
      </c>
    </row>
    <row r="3232" spans="1:17" x14ac:dyDescent="0.25">
      <c r="H3232" s="52" t="e">
        <f>VLOOKUP(Tabla3[[#This Row],[Site]],'Important Info!'!$A$1:$J$135,10,FALSE)</f>
        <v>#N/A</v>
      </c>
      <c r="K3232" s="79"/>
      <c r="L3232" s="52" t="e">
        <f>VLOOKUP(Tabla3[[#This Row],[Site]],'Important Info!'!$A$1:$F$135,2,FALSE)</f>
        <v>#N/A</v>
      </c>
      <c r="M3232" s="52" t="e">
        <f>VLOOKUP(Tabla3[[#This Row],[Site]],'Important Info!'!$A$1:$F$135,3,FALSE)</f>
        <v>#N/A</v>
      </c>
      <c r="N3232" s="52" t="e">
        <f>VLOOKUP(Tabla3[[#This Row],[Site]],'Important Info!'!$A$1:$F$135,4,FALSE)</f>
        <v>#N/A</v>
      </c>
      <c r="O3232" s="52" t="e">
        <f>VLOOKUP(Tabla3[[#This Row],[Site]],'Important Info!'!$A$1:$F$135,5,FALSE)</f>
        <v>#N/A</v>
      </c>
      <c r="P3232" s="52" t="e">
        <f>VLOOKUP(Tabla3[[#This Row],[Site]],'Important Info!'!$A$1:$F$135,6,FALSE)</f>
        <v>#N/A</v>
      </c>
      <c r="Q3232" s="91" t="e">
        <f>VLOOKUP(Tabla3[[#This Row],[Site]],'Important Info!'!$A$1:$J$135,9,FALSE)</f>
        <v>#N/A</v>
      </c>
    </row>
    <row r="3233" spans="1:17" x14ac:dyDescent="0.25">
      <c r="H3233" s="52" t="e">
        <f>VLOOKUP(Tabla3[[#This Row],[Site]],'Important Info!'!$A$1:$J$135,10,FALSE)</f>
        <v>#N/A</v>
      </c>
      <c r="I3233" s="43"/>
      <c r="K3233" s="79"/>
      <c r="Q3233" s="91"/>
    </row>
    <row r="3234" spans="1:17" x14ac:dyDescent="0.25">
      <c r="A3234" t="str">
        <f>+Tabla3[[#This Row],[Site]]&amp;Tabla3[[#This Row],[Split]]</f>
        <v/>
      </c>
      <c r="H3234" s="52" t="e">
        <f>VLOOKUP(Tabla3[[#This Row],[Site]],'Important Info!'!$A$1:$J$135,10,FALSE)</f>
        <v>#N/A</v>
      </c>
      <c r="I3234" s="43"/>
      <c r="J3234" t="s">
        <v>41</v>
      </c>
      <c r="K3234" s="79" t="e">
        <f>VLOOKUP(Tabla3[[#This Row],[Site]],'Important Info!'!$A$1:$H$135,8,FALSE)</f>
        <v>#N/A</v>
      </c>
      <c r="L3234" s="52" t="e">
        <f>VLOOKUP(Tabla3[[#This Row],[Site]],'Important Info!'!$A$1:$F$135,2,FALSE)</f>
        <v>#N/A</v>
      </c>
      <c r="M3234" s="52" t="e">
        <f>VLOOKUP(Tabla3[[#This Row],[Site]],'Important Info!'!$A$1:$F$135,3,FALSE)</f>
        <v>#N/A</v>
      </c>
      <c r="N3234" s="52" t="e">
        <f>VLOOKUP(Tabla3[[#This Row],[Site]],'Important Info!'!$A$1:$F$135,4,FALSE)</f>
        <v>#N/A</v>
      </c>
      <c r="O3234" s="52" t="e">
        <f>VLOOKUP(Tabla3[[#This Row],[Site]],'Important Info!'!$A$1:$F$135,5,FALSE)</f>
        <v>#N/A</v>
      </c>
      <c r="P3234" s="52" t="e">
        <f>VLOOKUP(Tabla3[[#This Row],[Site]],'Important Info!'!$A$1:$F$135,6,FALSE)</f>
        <v>#N/A</v>
      </c>
      <c r="Q3234" s="91" t="e">
        <f>VLOOKUP(Tabla3[[#This Row],[Site]],'Important Info!'!$A$1:$J$135,9,FALSE)</f>
        <v>#N/A</v>
      </c>
    </row>
    <row r="3235" spans="1:17" x14ac:dyDescent="0.25">
      <c r="A3235" t="str">
        <f>+Tabla3[[#This Row],[Site]]&amp;Tabla3[[#This Row],[Split]]</f>
        <v/>
      </c>
      <c r="H3235" s="52" t="e">
        <f>VLOOKUP(Tabla3[[#This Row],[Site]],'Important Info!'!$A$1:$J$135,10,FALSE)</f>
        <v>#N/A</v>
      </c>
      <c r="I3235" s="8"/>
      <c r="K3235" s="79"/>
      <c r="L3235" s="52" t="e">
        <f>VLOOKUP(Tabla3[[#This Row],[Site]],'Important Info!'!$A$1:$F$135,2,FALSE)</f>
        <v>#N/A</v>
      </c>
      <c r="M3235" s="52" t="e">
        <f>VLOOKUP(Tabla3[[#This Row],[Site]],'Important Info!'!$A$1:$F$135,3,FALSE)</f>
        <v>#N/A</v>
      </c>
      <c r="N3235" s="52" t="e">
        <f>VLOOKUP(Tabla3[[#This Row],[Site]],'Important Info!'!$A$1:$F$135,4,FALSE)</f>
        <v>#N/A</v>
      </c>
      <c r="O3235" s="52" t="e">
        <f>VLOOKUP(Tabla3[[#This Row],[Site]],'Important Info!'!$A$1:$F$135,5,FALSE)</f>
        <v>#N/A</v>
      </c>
      <c r="P3235" s="52" t="e">
        <f>VLOOKUP(Tabla3[[#This Row],[Site]],'Important Info!'!$A$1:$F$135,6,FALSE)</f>
        <v>#N/A</v>
      </c>
      <c r="Q3235" s="91" t="e">
        <f>VLOOKUP(Tabla3[[#This Row],[Site]],'Important Info!'!$A$1:$J$135,9,FALSE)</f>
        <v>#N/A</v>
      </c>
    </row>
    <row r="3236" spans="1:17" x14ac:dyDescent="0.25">
      <c r="A3236" t="str">
        <f>+Tabla3[[#This Row],[Site]]&amp;Tabla3[[#This Row],[Split]]</f>
        <v/>
      </c>
      <c r="H3236" s="52" t="e">
        <f>VLOOKUP(Tabla3[[#This Row],[Site]],'Important Info!'!$A$1:$J$135,10,FALSE)</f>
        <v>#N/A</v>
      </c>
      <c r="I3236" s="43"/>
      <c r="K3236" s="79"/>
      <c r="L3236" s="52" t="e">
        <f>VLOOKUP(Tabla3[[#This Row],[Site]],'Important Info!'!$A$1:$F$135,2,FALSE)</f>
        <v>#N/A</v>
      </c>
      <c r="M3236" s="52" t="e">
        <f>VLOOKUP(Tabla3[[#This Row],[Site]],'Important Info!'!$A$1:$F$135,3,FALSE)</f>
        <v>#N/A</v>
      </c>
      <c r="N3236" s="52" t="e">
        <f>VLOOKUP(Tabla3[[#This Row],[Site]],'Important Info!'!$A$1:$F$135,4,FALSE)</f>
        <v>#N/A</v>
      </c>
      <c r="O3236" s="52" t="e">
        <f>VLOOKUP(Tabla3[[#This Row],[Site]],'Important Info!'!$A$1:$F$135,5,FALSE)</f>
        <v>#N/A</v>
      </c>
      <c r="P3236" s="52" t="e">
        <f>VLOOKUP(Tabla3[[#This Row],[Site]],'Important Info!'!$A$1:$F$135,6,FALSE)</f>
        <v>#N/A</v>
      </c>
      <c r="Q3236" s="91" t="e">
        <f>VLOOKUP(Tabla3[[#This Row],[Site]],'Important Info!'!$A$1:$J$135,9,FALSE)</f>
        <v>#N/A</v>
      </c>
    </row>
    <row r="3237" spans="1:17" x14ac:dyDescent="0.25">
      <c r="H3237" s="52" t="e">
        <f>VLOOKUP(Tabla3[[#This Row],[Site]],'Important Info!'!$A$1:$J$135,10,FALSE)</f>
        <v>#N/A</v>
      </c>
      <c r="K3237" s="79"/>
      <c r="L3237" s="52" t="e">
        <f>VLOOKUP(Tabla3[[#This Row],[Site]],'Important Info!'!$A$1:$F$135,2,FALSE)</f>
        <v>#N/A</v>
      </c>
      <c r="M3237" s="52" t="e">
        <f>VLOOKUP(Tabla3[[#This Row],[Site]],'Important Info!'!$A$1:$F$135,3,FALSE)</f>
        <v>#N/A</v>
      </c>
      <c r="N3237" s="52" t="e">
        <f>VLOOKUP(Tabla3[[#This Row],[Site]],'Important Info!'!$A$1:$F$135,4,FALSE)</f>
        <v>#N/A</v>
      </c>
      <c r="O3237" s="52" t="e">
        <f>VLOOKUP(Tabla3[[#This Row],[Site]],'Important Info!'!$A$1:$F$135,5,FALSE)</f>
        <v>#N/A</v>
      </c>
      <c r="P3237" s="52" t="e">
        <f>VLOOKUP(Tabla3[[#This Row],[Site]],'Important Info!'!$A$1:$F$135,6,FALSE)</f>
        <v>#N/A</v>
      </c>
      <c r="Q3237" s="91" t="e">
        <f>VLOOKUP(Tabla3[[#This Row],[Site]],'Important Info!'!$A$1:$J$135,9,FALSE)</f>
        <v>#N/A</v>
      </c>
    </row>
    <row r="3238" spans="1:17" x14ac:dyDescent="0.25">
      <c r="H3238" s="52" t="e">
        <f>VLOOKUP(Tabla3[[#This Row],[Site]],'Important Info!'!$A$1:$J$135,10,FALSE)</f>
        <v>#N/A</v>
      </c>
      <c r="I3238" s="2"/>
      <c r="K3238" s="79"/>
      <c r="Q3238" s="91"/>
    </row>
    <row r="3239" spans="1:17" x14ac:dyDescent="0.25">
      <c r="A3239" t="str">
        <f>+Tabla3[[#This Row],[Site]]&amp;Tabla3[[#This Row],[Split]]</f>
        <v/>
      </c>
      <c r="H3239" s="52" t="e">
        <f>VLOOKUP(Tabla3[[#This Row],[Site]],'Important Info!'!$A$1:$J$135,10,FALSE)</f>
        <v>#N/A</v>
      </c>
      <c r="I3239" s="43"/>
      <c r="J3239" t="s">
        <v>41</v>
      </c>
      <c r="K3239" s="79" t="e">
        <f>VLOOKUP(Tabla3[[#This Row],[Site]],'Important Info!'!$A$1:$H$135,8,FALSE)</f>
        <v>#N/A</v>
      </c>
      <c r="L3239" s="52" t="e">
        <f>VLOOKUP(Tabla3[[#This Row],[Site]],'Important Info!'!$A$1:$F$135,2,FALSE)</f>
        <v>#N/A</v>
      </c>
      <c r="M3239" s="52" t="e">
        <f>VLOOKUP(Tabla3[[#This Row],[Site]],'Important Info!'!$A$1:$F$135,3,FALSE)</f>
        <v>#N/A</v>
      </c>
      <c r="N3239" s="52" t="e">
        <f>VLOOKUP(Tabla3[[#This Row],[Site]],'Important Info!'!$A$1:$F$135,4,FALSE)</f>
        <v>#N/A</v>
      </c>
      <c r="O3239" s="52" t="e">
        <f>VLOOKUP(Tabla3[[#This Row],[Site]],'Important Info!'!$A$1:$F$135,5,FALSE)</f>
        <v>#N/A</v>
      </c>
      <c r="P3239" s="52" t="e">
        <f>VLOOKUP(Tabla3[[#This Row],[Site]],'Important Info!'!$A$1:$F$135,6,FALSE)</f>
        <v>#N/A</v>
      </c>
      <c r="Q3239" s="91" t="e">
        <f>VLOOKUP(Tabla3[[#This Row],[Site]],'Important Info!'!$A$1:$J$135,9,FALSE)</f>
        <v>#N/A</v>
      </c>
    </row>
    <row r="3240" spans="1:17" x14ac:dyDescent="0.25">
      <c r="A3240" t="str">
        <f>+Tabla3[[#This Row],[Site]]&amp;Tabla3[[#This Row],[Split]]</f>
        <v/>
      </c>
      <c r="H3240" s="52" t="e">
        <f>VLOOKUP(Tabla3[[#This Row],[Site]],'Important Info!'!$A$1:$J$135,10,FALSE)</f>
        <v>#N/A</v>
      </c>
      <c r="I3240" s="8"/>
      <c r="K3240" s="79"/>
      <c r="L3240" s="52" t="e">
        <f>VLOOKUP(Tabla3[[#This Row],[Site]],'Important Info!'!$A$1:$F$135,2,FALSE)</f>
        <v>#N/A</v>
      </c>
      <c r="M3240" s="52" t="e">
        <f>VLOOKUP(Tabla3[[#This Row],[Site]],'Important Info!'!$A$1:$F$135,3,FALSE)</f>
        <v>#N/A</v>
      </c>
      <c r="N3240" s="52" t="e">
        <f>VLOOKUP(Tabla3[[#This Row],[Site]],'Important Info!'!$A$1:$F$135,4,FALSE)</f>
        <v>#N/A</v>
      </c>
      <c r="O3240" s="52" t="e">
        <f>VLOOKUP(Tabla3[[#This Row],[Site]],'Important Info!'!$A$1:$F$135,5,FALSE)</f>
        <v>#N/A</v>
      </c>
      <c r="P3240" s="52" t="e">
        <f>VLOOKUP(Tabla3[[#This Row],[Site]],'Important Info!'!$A$1:$F$135,6,FALSE)</f>
        <v>#N/A</v>
      </c>
      <c r="Q3240" s="91" t="e">
        <f>VLOOKUP(Tabla3[[#This Row],[Site]],'Important Info!'!$A$1:$J$135,9,FALSE)</f>
        <v>#N/A</v>
      </c>
    </row>
    <row r="3241" spans="1:17" x14ac:dyDescent="0.25">
      <c r="A3241" t="str">
        <f>+Tabla3[[#This Row],[Site]]&amp;Tabla3[[#This Row],[Split]]</f>
        <v/>
      </c>
      <c r="H3241" s="52" t="e">
        <f>VLOOKUP(Tabla3[[#This Row],[Site]],'Important Info!'!$A$1:$J$135,10,FALSE)</f>
        <v>#N/A</v>
      </c>
      <c r="I3241" s="43"/>
      <c r="K3241" s="79"/>
      <c r="L3241" s="52" t="e">
        <f>VLOOKUP(Tabla3[[#This Row],[Site]],'Important Info!'!$A$1:$F$135,2,FALSE)</f>
        <v>#N/A</v>
      </c>
      <c r="M3241" s="52" t="e">
        <f>VLOOKUP(Tabla3[[#This Row],[Site]],'Important Info!'!$A$1:$F$135,3,FALSE)</f>
        <v>#N/A</v>
      </c>
      <c r="N3241" s="52" t="e">
        <f>VLOOKUP(Tabla3[[#This Row],[Site]],'Important Info!'!$A$1:$F$135,4,FALSE)</f>
        <v>#N/A</v>
      </c>
      <c r="O3241" s="52" t="e">
        <f>VLOOKUP(Tabla3[[#This Row],[Site]],'Important Info!'!$A$1:$F$135,5,FALSE)</f>
        <v>#N/A</v>
      </c>
      <c r="P3241" s="52" t="e">
        <f>VLOOKUP(Tabla3[[#This Row],[Site]],'Important Info!'!$A$1:$F$135,6,FALSE)</f>
        <v>#N/A</v>
      </c>
      <c r="Q3241" s="91" t="e">
        <f>VLOOKUP(Tabla3[[#This Row],[Site]],'Important Info!'!$A$1:$J$135,9,FALSE)</f>
        <v>#N/A</v>
      </c>
    </row>
  </sheetData>
  <phoneticPr fontId="19" type="noConversion"/>
  <hyperlinks>
    <hyperlink ref="I2854:I2855" r:id="rId1" display="https://www.google.com/maps/d/viewer?mid=1NUHnuuvX1Qqxq7v0ZyiWm0dkOdpyVTU&amp;ll=30.069943866204238%2C-95.43812890000001&amp;z=18" xr:uid="{10C727A6-5C18-4D30-BCFD-3FCC32B0A593}"/>
    <hyperlink ref="I2836:I2838" r:id="rId2" display="https://www.google.com/maps/d/viewer?mid=1MXu7x9njhwvip9SpYfQXJGjJl8bloRw&amp;ll=26.70905771958712%2C-80.10167325&amp;z=17" xr:uid="{F7EEC716-2712-46F5-8BFD-5E7DB8AF8EC8}"/>
    <hyperlink ref="I2806:I2830" r:id="rId3" display="https://www.google.com/maps/d/edit?mid=1jkN3DS1BhUqp_dztjjW0PDwKfo_Yxsw&amp;usp=sharing" xr:uid="{A494EBAA-B3F7-4E5D-AE97-B7F67D74DD7C}"/>
    <hyperlink ref="I2979:I2980" r:id="rId4" display="https://www.google.com/maps/d/viewer?mid=1NUHnuuvX1Qqxq7v0ZyiWm0dkOdpyVTU&amp;ll=30.069943866204238%2C-95.43812890000001&amp;z=18" xr:uid="{05E7F711-9859-4D37-A68B-C21F5EC996D0}"/>
    <hyperlink ref="I2961:I2963" r:id="rId5" display="https://www.google.com/maps/d/viewer?mid=1MXu7x9njhwvip9SpYfQXJGjJl8bloRw&amp;ll=26.70905771958712%2C-80.10167325&amp;z=17" xr:uid="{59F1DFDE-D73C-4471-B412-3381C055A40B}"/>
    <hyperlink ref="I2931:I2955" r:id="rId6" display="https://www.google.com/maps/d/edit?mid=1jkN3DS1BhUqp_dztjjW0PDwKfo_Yxsw&amp;usp=sharing" xr:uid="{5CFBA08B-000B-40EE-A956-C2CDE8AF9121}"/>
    <hyperlink ref="I3104:I3105" r:id="rId7" display="https://www.google.com/maps/d/viewer?mid=1NUHnuuvX1Qqxq7v0ZyiWm0dkOdpyVTU&amp;ll=30.069943866204238%2C-95.43812890000001&amp;z=18" xr:uid="{ECFD5ED0-AC29-4429-9742-5C41725D6220}"/>
    <hyperlink ref="I3086:I3088" r:id="rId8" display="https://www.google.com/maps/d/viewer?mid=1MXu7x9njhwvip9SpYfQXJGjJl8bloRw&amp;ll=26.70905771958712%2C-80.10167325&amp;z=17" xr:uid="{84E605E1-73B1-4009-BC40-02C31629DACD}"/>
    <hyperlink ref="I3056:I3080" r:id="rId9" display="https://www.google.com/maps/d/edit?mid=1jkN3DS1BhUqp_dztjjW0PDwKfo_Yxsw&amp;usp=sharing" xr:uid="{064F1CE2-6F36-444A-9AF5-012D1C4ABFBA}"/>
    <hyperlink ref="I52" r:id="rId10" xr:uid="{69CA1851-1E32-4E17-8048-DF9DE8080D56}"/>
    <hyperlink ref="I231" r:id="rId11" xr:uid="{58B68682-E163-450C-9ABE-33D587F6BB16}"/>
    <hyperlink ref="I311" r:id="rId12" xr:uid="{19753137-00BE-4E4C-848A-410DD9F851B5}"/>
    <hyperlink ref="I381" r:id="rId13" xr:uid="{81CF2935-BA82-4B1B-B855-96F931AF1404}"/>
    <hyperlink ref="I479" r:id="rId14" xr:uid="{2D989CB0-C1BC-4A78-9E70-5F822719EF13}"/>
    <hyperlink ref="I617" r:id="rId15" xr:uid="{FFBA581A-3F73-498B-BB8B-F9DF2CDE305A}"/>
    <hyperlink ref="I758" r:id="rId16" xr:uid="{5CAD60B2-FCEF-4F2D-AC52-A134EC5AA326}"/>
    <hyperlink ref="I114" r:id="rId17" xr:uid="{DB3AE10E-E5F8-4A5C-B71E-B7A025E14A08}"/>
    <hyperlink ref="I180" r:id="rId18" xr:uid="{2EE49C1C-3BCF-435D-950C-3D6B94004AE0}"/>
    <hyperlink ref="I250" r:id="rId19" xr:uid="{9627D916-A4D2-4010-B3AF-8165B5FEFE75}"/>
    <hyperlink ref="I380" r:id="rId20" xr:uid="{4014A068-044F-4634-BB5D-F199EDE87BFA}"/>
    <hyperlink ref="I520" r:id="rId21" xr:uid="{52ED1BB4-6512-465C-89BE-F5519527E1DA}"/>
    <hyperlink ref="I655" r:id="rId22" xr:uid="{E5CF8C76-558D-45F1-A986-10EE93891A1C}"/>
    <hyperlink ref="I792" r:id="rId23" xr:uid="{BC37F096-2E65-466C-B11F-9A8FCE2D9BC3}"/>
    <hyperlink ref="I15" r:id="rId24" xr:uid="{7FF364CF-7FB1-4136-B14B-07DDBC301BC8}"/>
    <hyperlink ref="I43" r:id="rId25" xr:uid="{3257EDF1-2BD3-4160-A669-D736CC852A7C}"/>
    <hyperlink ref="I112" r:id="rId26" xr:uid="{217A8537-2244-4285-9142-7C910BE8F1FE}"/>
    <hyperlink ref="I115" r:id="rId27" xr:uid="{B874CC72-98D5-4194-BE57-8A4EF17959B9}"/>
    <hyperlink ref="I25" r:id="rId28" xr:uid="{94D75DBE-1345-4F27-B1C0-62BBBBBDF0F3}"/>
    <hyperlink ref="I207" r:id="rId29" xr:uid="{4442D388-49CD-428C-97B4-440E302A567A}"/>
    <hyperlink ref="I139" r:id="rId30" xr:uid="{A06F80B5-F7CB-41A0-BB68-FBE141F2637D}"/>
    <hyperlink ref="I331" r:id="rId31" xr:uid="{5CCC258E-5315-4189-A692-F27138430855}"/>
    <hyperlink ref="I330" r:id="rId32" xr:uid="{AA18ED34-05A2-4549-BBC7-4E2DA63AF210}"/>
    <hyperlink ref="I395" r:id="rId33" xr:uid="{656C406E-9E5E-4E1B-AA41-30A536D8CA1A}"/>
    <hyperlink ref="I449" r:id="rId34" xr:uid="{D1227909-AB86-4DF4-875E-8EAB36BC276F}"/>
    <hyperlink ref="I521" r:id="rId35" xr:uid="{456EA901-E608-4D31-9001-90CDEAC3873D}"/>
    <hyperlink ref="I480" r:id="rId36" xr:uid="{48DC725D-D070-4FF4-B595-ED90E0149F1F}"/>
    <hyperlink ref="I605" r:id="rId37" xr:uid="{FC957F0B-9EFB-48A2-B939-9A8CA7A2C6BB}"/>
    <hyperlink ref="I606" r:id="rId38" xr:uid="{2049A0ED-3EE9-4232-97A5-18F7E967B25C}"/>
    <hyperlink ref="I745" r:id="rId39" xr:uid="{64CDCFF7-4832-4D64-9626-D80DACFA31F2}"/>
    <hyperlink ref="I770" r:id="rId40" xr:uid="{72FC5A90-DC59-440B-B97F-FE0658A4763A}"/>
    <hyperlink ref="I107" r:id="rId41" xr:uid="{B695FD98-35FA-430D-B41D-9115968FAE69}"/>
    <hyperlink ref="I224" r:id="rId42" xr:uid="{C50E6B71-5CF9-445A-92FD-9FD29C168A4E}"/>
    <hyperlink ref="I265" r:id="rId43" xr:uid="{ADD090F2-4E9D-4E52-B5B2-26EC94A08D38}"/>
    <hyperlink ref="I376" r:id="rId44" xr:uid="{144B3EAC-9848-4A85-8D56-CB42A7C3ADAE}"/>
    <hyperlink ref="I535" r:id="rId45" xr:uid="{CD977E0B-1D62-4686-AFA5-80A938078812}"/>
    <hyperlink ref="I652" r:id="rId46" xr:uid="{3783CD8A-9999-45BC-AFDB-432B413DD760}"/>
    <hyperlink ref="I755" r:id="rId47" xr:uid="{07F8BC2F-3E0F-4117-9A24-A530355EDFB3}"/>
    <hyperlink ref="I18" r:id="rId48" xr:uid="{61C3F563-5509-468A-97EB-3DF2C655BC38}"/>
    <hyperlink ref="I154" r:id="rId49" xr:uid="{9B6C2143-1E51-4795-97BC-DC3C5C229800}"/>
    <hyperlink ref="I306" r:id="rId50" xr:uid="{F7EC54DD-1B1D-424B-8A54-FC691F7370CE}"/>
    <hyperlink ref="I446" r:id="rId51" xr:uid="{E1C86026-A35A-4874-9527-32EF34E5F367}"/>
    <hyperlink ref="I577" r:id="rId52" xr:uid="{AAED2573-C92C-4080-96D1-A65D31174AD0}"/>
    <hyperlink ref="I602" r:id="rId53" xr:uid="{EA4A8A48-6EEE-40F7-853B-BB8D8424694E}"/>
    <hyperlink ref="I779" r:id="rId54" xr:uid="{BD292444-BFBC-41CD-A0A2-DB31D42EE9E1}"/>
    <hyperlink ref="I48" r:id="rId55" xr:uid="{871778AD-D2C4-4241-A643-CB6407881509}"/>
    <hyperlink ref="I202" r:id="rId56" xr:uid="{D7F72058-944F-43E4-B569-141DEDAA8A25}"/>
    <hyperlink ref="I309" r:id="rId57" xr:uid="{EB5A1B72-F0A0-4EC4-947B-4E81ACC21D82}"/>
    <hyperlink ref="I462" r:id="rId58" xr:uid="{0BDBB5E3-575E-43F3-88BC-5BA9A3CBAB9E}"/>
    <hyperlink ref="I578" r:id="rId59" xr:uid="{A224BFDA-06E2-45EE-BD68-59F2BDFB07C0}"/>
    <hyperlink ref="I640" r:id="rId60" xr:uid="{A6DFD582-7B57-469B-9600-5B303334D6DE}"/>
    <hyperlink ref="I743" r:id="rId61" xr:uid="{CCA13A8A-FBAC-4A0B-8FEB-BB9FC0C9C63F}"/>
    <hyperlink ref="I76" r:id="rId62" xr:uid="{A2CB8372-CDD1-4667-960A-2C9433CC034E}"/>
    <hyperlink ref="I198" r:id="rId63" xr:uid="{EDE028FF-547E-44C0-AB0D-DBE9442862C7}"/>
    <hyperlink ref="I246" r:id="rId64" xr:uid="{987E4388-5705-4448-8CBB-D6EC7BC0FBD5}"/>
    <hyperlink ref="I362" r:id="rId65" xr:uid="{A79B17E6-489E-4355-B7EA-CD62C423B4EA}"/>
    <hyperlink ref="I516" r:id="rId66" xr:uid="{0B0D7D12-09E5-429B-9B85-7510BFFADC33}"/>
    <hyperlink ref="I668" r:id="rId67" xr:uid="{53976EA1-ECF4-4E95-A291-22C823FAD7AE}"/>
    <hyperlink ref="I728" r:id="rId68" xr:uid="{18B2A425-17DF-4F3D-B59B-3F5C33649486}"/>
    <hyperlink ref="I26" r:id="rId69" xr:uid="{E4B42C3F-2D0E-43A1-AFBC-B879AE1395D0}"/>
    <hyperlink ref="I140" r:id="rId70" xr:uid="{A82DA506-BEA0-40AC-BE3C-59EF362B1A1C}"/>
    <hyperlink ref="I271" r:id="rId71" xr:uid="{3DEB1AE9-9D1D-425D-8B76-D6AD03770DC1}"/>
    <hyperlink ref="I432" r:id="rId72" xr:uid="{A56B46B5-59E0-4F10-B7A4-070E67C7E2C3}"/>
    <hyperlink ref="I581" r:id="rId73" xr:uid="{5686848E-C1A1-484F-8264-2BBB3396297E}"/>
    <hyperlink ref="I656" r:id="rId74" xr:uid="{19EFB553-6ACC-427A-B26B-98C572EA025C}"/>
    <hyperlink ref="I709" r:id="rId75" xr:uid="{9F102B9E-6E6B-4C48-9571-E25E1D42EDDC}"/>
    <hyperlink ref="I77" r:id="rId76" xr:uid="{030B0003-3341-4F04-8889-AB32A940330F}"/>
    <hyperlink ref="I199" r:id="rId77" xr:uid="{AB40DB0F-0B60-4722-AE3D-E8F25BEFA069}"/>
    <hyperlink ref="I305" r:id="rId78" xr:uid="{BD6C6D2B-7955-4F10-A0BB-C2E5DD79BC8B}"/>
    <hyperlink ref="I410" r:id="rId79" xr:uid="{B329D413-757F-4DB1-AA01-F5ED07856B38}"/>
    <hyperlink ref="I628" r:id="rId80" xr:uid="{EC9DAD0D-6F25-4567-9401-146493BE9A12}"/>
    <hyperlink ref="I563" r:id="rId81" xr:uid="{C3A496CB-D161-4ED9-8AFF-AEFB7A99CB39}"/>
    <hyperlink ref="I716" r:id="rId82" xr:uid="{D86655A6-6EE6-4A29-9554-5265893F87DC}"/>
    <hyperlink ref="I20" r:id="rId83" xr:uid="{89DE9CD4-F163-41EA-A979-6CD03E9A52CD}"/>
    <hyperlink ref="I21" r:id="rId84" xr:uid="{C981D9DE-1F07-48EC-9AC5-6E50DD1C2111}"/>
    <hyperlink ref="I136" r:id="rId85" xr:uid="{CD571261-DA6B-4937-865B-FA2C963C7ABF}"/>
    <hyperlink ref="I590" r:id="rId86" xr:uid="{812711FF-3506-4C31-A714-D78EA4382C8D}"/>
    <hyperlink ref="I155" r:id="rId87" xr:uid="{50F33F30-F48F-4DEB-B736-F68418347F11}"/>
    <hyperlink ref="I377" r:id="rId88" xr:uid="{765642D2-D975-4577-9C47-97C9D18B8B95}"/>
    <hyperlink ref="I603" r:id="rId89" xr:uid="{20D6F457-B062-4AC4-9EE6-C7025ACB1855}"/>
    <hyperlink ref="I393" r:id="rId90" xr:uid="{9D47F2C3-7858-4646-BAAE-74E266FD3D51}"/>
    <hyperlink ref="I503" r:id="rId91" xr:uid="{84399620-A930-44CA-B0F5-35562CF175B7}"/>
    <hyperlink ref="I616" r:id="rId92" xr:uid="{639E1E4A-0FAC-4D8F-AA9C-916F7DA5E25D}"/>
    <hyperlink ref="I742" r:id="rId93" xr:uid="{664BE1A1-C701-4684-AA97-996321B9596A}"/>
    <hyperlink ref="I307" r:id="rId94" xr:uid="{2866F3B6-9F09-4E54-83E9-7133F4488E73}"/>
    <hyperlink ref="I411" r:id="rId95" xr:uid="{69A9C0FF-C073-4F3E-9DB0-DB30070F21A2}"/>
    <hyperlink ref="I517" r:id="rId96" xr:uid="{C923F233-6A5C-46DC-8813-DBA80B0A4BEA}"/>
    <hyperlink ref="I629" r:id="rId97" xr:uid="{ACFC942B-C278-425A-A358-0206C8869DE8}"/>
    <hyperlink ref="I756" r:id="rId98" xr:uid="{A541EEAE-D79A-442D-B390-CAA4A22B6944}"/>
    <hyperlink ref="I326" r:id="rId99" xr:uid="{C9A4AD4F-14A7-475B-A08F-574FC78DE6D4}"/>
    <hyperlink ref="I427" r:id="rId100" xr:uid="{E9E9608A-ED5D-4008-91C6-14605F1981D5}"/>
    <hyperlink ref="I492" r:id="rId101" xr:uid="{BF1C27E2-B308-457D-815C-B694801BFCC9}"/>
    <hyperlink ref="I639" r:id="rId102" xr:uid="{544BEF30-C8C0-4D9A-A3BE-C578F9E9BFFE}"/>
    <hyperlink ref="I780" r:id="rId103" xr:uid="{DBB3B694-E3C4-42D9-B2C0-61B770404F41}"/>
    <hyperlink ref="I447" r:id="rId104" xr:uid="{726999DE-1685-4B71-9917-5FA1A85E9A86}"/>
    <hyperlink ref="I551" r:id="rId105" xr:uid="{2CFB2249-DA2B-4BCB-848B-5CD56F73CD59}"/>
    <hyperlink ref="I653" r:id="rId106" xr:uid="{D3DF24E5-50A4-491D-82D2-E94CDF24D23B}"/>
    <hyperlink ref="I790" r:id="rId107" xr:uid="{7D75738B-D3CB-404E-84A1-6BD800EE8ED7}"/>
    <hyperlink ref="I461" r:id="rId108" xr:uid="{C8104583-9000-4921-9AF0-A3BDA3D2E34B}"/>
    <hyperlink ref="I669" r:id="rId109" xr:uid="{9B4E0CCD-FD95-40FE-8D37-36EA5215D05A}"/>
    <hyperlink ref="I801" r:id="rId110" xr:uid="{9BC2DF59-925B-4C13-AD33-C8CACB820CFA}"/>
    <hyperlink ref="I680" r:id="rId111" xr:uid="{E15B9A09-20E3-4F31-8FC1-F4AC2A691F5A}"/>
    <hyperlink ref="I768" r:id="rId112" xr:uid="{1202B1AB-7767-45D5-8B61-F2617B6C6A0D}"/>
    <hyperlink ref="I767" r:id="rId113" xr:uid="{F6095EE6-BAAF-43F0-9094-4D59B59CE881}"/>
    <hyperlink ref="I729" r:id="rId114" xr:uid="{DE1E6C88-1D7D-4AF6-865E-CF2E516DE92F}"/>
    <hyperlink ref="I739" r:id="rId115" xr:uid="{1394AF2F-116A-4722-9284-23D8A75FAC8A}"/>
    <hyperlink ref="I282" r:id="rId116" xr:uid="{DE9C0BB7-9A40-4B23-8DD0-D18DB4CC853C}"/>
    <hyperlink ref="I560" r:id="rId117" xr:uid="{0F6D8544-79C4-4BD4-B76B-36E901A3FE4F}"/>
    <hyperlink ref="I408" r:id="rId118" xr:uid="{D1761D26-F716-452B-B0F1-5A75FDD2DC36}"/>
    <hyperlink ref="I29" r:id="rId119" xr:uid="{D747A18D-3CFB-4D33-915A-61E020D1133B}"/>
    <hyperlink ref="I774" r:id="rId120" xr:uid="{AC1AA3C0-DAD3-4D67-8C8D-C64E673C9117}"/>
    <hyperlink ref="I436" r:id="rId121" xr:uid="{9D1B8B39-4C27-4778-BD37-C68E7B76E49F}"/>
    <hyperlink ref="I165" r:id="rId122" xr:uid="{603BBDCB-BAAF-47C4-98FD-EC8BF6C3CDB5}"/>
    <hyperlink ref="I633" r:id="rId123" xr:uid="{EDDCCF99-694B-4DA1-B58D-82D17A4B4743}"/>
    <hyperlink ref="I555" r:id="rId124" xr:uid="{8D8CECE9-9F4A-407D-BBD8-67ACBE79E2C2}"/>
    <hyperlink ref="I2" r:id="rId125" xr:uid="{CE37CD7F-F146-43DC-9FAE-A6A85871ACDC}"/>
    <hyperlink ref="I746" r:id="rId126" xr:uid="{364B8D25-FD3C-4E95-9F14-EB44944ED011}"/>
    <hyperlink ref="I235" r:id="rId127" xr:uid="{75DD369D-F352-481D-A8C7-C32C04D18B27}"/>
    <hyperlink ref="I401" r:id="rId128" xr:uid="{2728F516-376E-4A9C-9152-ECFE13CA7F32}"/>
    <hyperlink ref="I569" r:id="rId129" xr:uid="{5B6F3BBA-835B-4D10-B5AE-B159B23FB97F}"/>
    <hyperlink ref="I659" r:id="rId130" xr:uid="{FCC2E19F-310E-46D7-BCC2-E760868947AE}"/>
    <hyperlink ref="I30" r:id="rId131" xr:uid="{1CC8D66F-5FFC-4106-85EE-5AAB78E16F39}"/>
    <hyperlink ref="I556" r:id="rId132" xr:uid="{F18B1D7A-5D5D-4290-A9D6-B12A4B59F6D9}"/>
    <hyperlink ref="I382" r:id="rId133" xr:uid="{DAC66D27-8617-4329-90E8-E645BF0C8B31}"/>
    <hyperlink ref="I672" r:id="rId134" xr:uid="{C61C3672-5B85-422C-9CEE-838AE920C0A3}"/>
    <hyperlink ref="I58" r:id="rId135" xr:uid="{CA207EBD-7DFE-4061-AFA9-96B318E2AD7D}"/>
    <hyperlink ref="I117" r:id="rId136" xr:uid="{2466B43A-5DAE-4A6E-B357-5B89B666B6EE}"/>
    <hyperlink ref="I124" r:id="rId137" xr:uid="{8876A10D-5F84-4CC9-99B5-3BAAA02ECFAA}"/>
    <hyperlink ref="I97" r:id="rId138" xr:uid="{9ABE457E-CA12-41A7-A2F8-CC62A3ADC20B}"/>
    <hyperlink ref="I611" r:id="rId139" xr:uid="{1E074707-E90E-4A4B-BC97-BE917E446453}"/>
    <hyperlink ref="I798" r:id="rId140" xr:uid="{BB911D83-1AF5-49FF-A7B9-D3F09A2A2AB9}"/>
    <hyperlink ref="I279" r:id="rId141" xr:uid="{FB106E8F-5EED-45BD-A19E-35423DB4DCCC}"/>
    <hyperlink ref="I101" r:id="rId142" xr:uid="{0E3BF36A-FAAA-425C-9B05-DA18A4992DC2}"/>
    <hyperlink ref="I441" r:id="rId143" xr:uid="{55477A7F-F8C0-4BB1-8895-2378AC714241}"/>
    <hyperlink ref="I241" r:id="rId144" xr:uid="{C8ADBF94-F69E-404D-996B-41F5C5A8687D}"/>
    <hyperlink ref="I262" r:id="rId145" xr:uid="{FB716200-9FA5-419F-B2FE-610C38BB224D}"/>
    <hyperlink ref="I547" r:id="rId146" xr:uid="{FD82D2D0-6767-4BC9-B0B4-C865D11BD931}"/>
    <hyperlink ref="I600" r:id="rId147" xr:uid="{F29F42B6-E09F-4CED-8EBA-44B80EBEA20F}"/>
    <hyperlink ref="I712" r:id="rId148" xr:uid="{6DE90765-67B8-4F6C-A297-F83BF91329D7}"/>
    <hyperlink ref="I102" r:id="rId149" xr:uid="{D3BE3F08-D5E0-4CD6-AC1E-112639EC774D}"/>
    <hyperlink ref="I129" r:id="rId150" display="https://www.google.com/maps/d/viewer?mid=1ejOzT7-x6RWnCf83BBP7XhiOiwEX3Wk&amp;ll=36.061264791292906%2C-79.87437695000003&amp;z=17" xr:uid="{8A6DD762-28C5-48C1-BD1E-D6182E9A2B47}"/>
    <hyperlink ref="I574" r:id="rId151" display="https://www.google.com/maps/d/viewer?mid=1ejOzT7-x6RWnCf83BBP7XhiOiwEX3Wk&amp;ll=36.061264791292906%2C-79.87437695000003&amp;z=17" xr:uid="{73CE5A2C-7A41-4175-9D5B-6115A85DB4E6}"/>
    <hyperlink ref="I750" r:id="rId152" display="https://www.google.com/maps/d/viewer?mid=1ejOzT7-x6RWnCf83BBP7XhiOiwEX3Wk&amp;ll=36.061264791292906%2C-79.87437695000003&amp;z=17" xr:uid="{DB30E432-A566-4AE1-9B63-F2D2E55AB238}"/>
    <hyperlink ref="I300" r:id="rId153" display="https://www.google.com/maps/d/viewer?mid=1ejOzT7-x6RWnCf83BBP7XhiOiwEX3Wk&amp;ll=36.061264791292906%2C-79.87437695000003&amp;z=17" xr:uid="{BA447E08-9CEE-4E4C-8721-E3BF1219CCFB}"/>
    <hyperlink ref="I39" r:id="rId154" display="https://www.google.com/maps/d/viewer?mid=1ejOzT7-x6RWnCf83BBP7XhiOiwEX3Wk&amp;ll=36.061264791292906%2C-79.87437695000003&amp;z=17" xr:uid="{052E80E0-CE43-4C75-B12F-07FA853482EB}"/>
    <hyperlink ref="I342" r:id="rId155" xr:uid="{01B9BDB1-DF95-4C0A-BC8A-8485CB68C0EE}"/>
    <hyperlink ref="I725" r:id="rId156" xr:uid="{2B6859B7-FC96-4A35-9548-B2E7B81F5AA3}"/>
    <hyperlink ref="I14" r:id="rId157" xr:uid="{A44AB471-17C6-4D04-8998-B26B07085AC6}"/>
    <hyperlink ref="I149" r:id="rId158" xr:uid="{46005C58-0CCC-4F57-8716-9227BE2681F9}"/>
    <hyperlink ref="I359" r:id="rId159" xr:uid="{FB879D46-120C-4349-8339-E4B8941C6542}"/>
    <hyperlink ref="I561" r:id="rId160" xr:uid="{87310851-00A2-45FA-BD50-D23755EDC99A}"/>
    <hyperlink ref="I766" r:id="rId161" xr:uid="{3339819E-9FD7-4BE0-9138-C1BFF3BFAF7D}"/>
    <hyperlink ref="I172" r:id="rId162" xr:uid="{4F9CF8B1-ABDE-4BE2-AEF3-07BED15BE34C}"/>
    <hyperlink ref="I548" r:id="rId163" xr:uid="{32BA6E3D-F59F-4210-A45D-8E5FCCF71309}"/>
    <hyperlink ref="I665" r:id="rId164" xr:uid="{78F650C7-40FA-42A3-8EEE-E3212554C54C}"/>
    <hyperlink ref="I125" r:id="rId165" xr:uid="{FB9A82B2-4512-47BF-B3E9-3923CDD00220}"/>
    <hyperlink ref="I558" r:id="rId166" xr:uid="{826F6F51-CEC7-42E1-9831-C382309C2BA8}"/>
    <hyperlink ref="I258" r:id="rId167" xr:uid="{4BF6F1E5-BA72-4010-86BE-44602B801BF2}"/>
    <hyperlink ref="I809" r:id="rId168" xr:uid="{3B771DB1-0B47-4560-80AC-399CE326DFA7}"/>
    <hyperlink ref="I596" r:id="rId169" xr:uid="{3A4181E9-E504-477F-BAC5-1046BCD1F4D2}"/>
    <hyperlink ref="I65" r:id="rId170" xr:uid="{DF497661-6395-422F-AD74-1F38EF365742}"/>
    <hyperlink ref="I442" r:id="rId171" display="https://www.google.com/maps/d/viewer?hl=es&amp;mid=1C1oZdjH3dNvCvqdpIv_Lk0Yn1OCVn-4&amp;ll=38.965368114274455%2C-92.3405954&amp;z=15" xr:uid="{D945EEAD-0E55-4932-A09D-CCA93699070E}"/>
    <hyperlink ref="I47" r:id="rId172" xr:uid="{741B01FC-316D-4F44-951D-72CB5660DA56}"/>
    <hyperlink ref="I108" r:id="rId173" xr:uid="{48123227-FCAD-4868-A2F2-900239373DA2}"/>
    <hyperlink ref="I98" r:id="rId174" xr:uid="{7A98732D-B7BB-4BA9-8F37-9AC9CD4C2AD2}"/>
    <hyperlink ref="I81" r:id="rId175" xr:uid="{36572E03-3915-4005-A135-A80257196365}"/>
    <hyperlink ref="I99" r:id="rId176" xr:uid="{010DFB0F-8EC2-4C85-8DF2-21CFED78FE90}"/>
    <hyperlink ref="I865" r:id="rId177" xr:uid="{E27F4849-4E7C-4BE6-830E-08E80B022F4C}"/>
    <hyperlink ref="I901" r:id="rId178" xr:uid="{A2744F28-257F-4283-8D37-196DB015B46F}"/>
    <hyperlink ref="I855" r:id="rId179" xr:uid="{B38C7053-8EF6-49EF-80F3-0FA9DF67821C}"/>
    <hyperlink ref="I823" r:id="rId180" xr:uid="{9DC4B09D-D728-4881-9069-7DCB7E59DCBC}"/>
    <hyperlink ref="I861" r:id="rId181" xr:uid="{83254BC4-9E42-4B87-B07B-1BDF47FF113F}"/>
    <hyperlink ref="I888" r:id="rId182" xr:uid="{8D3B36F2-CA3F-4F96-BE3E-A485D162E1F0}"/>
    <hyperlink ref="I853" r:id="rId183" xr:uid="{9C4D23AD-BDE0-47B6-8D16-935E73FF43D8}"/>
    <hyperlink ref="I841" r:id="rId184" xr:uid="{1BDA0B37-6C5E-4293-AEB8-AF18A8340066}"/>
    <hyperlink ref="I824" r:id="rId185" xr:uid="{893CC5E7-06AF-4277-8DD3-0A3B63AEE0B4}"/>
    <hyperlink ref="I830" r:id="rId186" xr:uid="{1793FCA4-496B-47D2-80C4-D3FAC27AD79F}"/>
    <hyperlink ref="I852" r:id="rId187" xr:uid="{326CF06D-4756-4539-BD0E-D1D19D865C51}"/>
    <hyperlink ref="I862" r:id="rId188" xr:uid="{EDA3CE8E-820F-4FD3-ABDC-0418AC7CEE21}"/>
    <hyperlink ref="I889" r:id="rId189" xr:uid="{BF36E610-04CB-4BC0-819B-D1DAE5556767}"/>
    <hyperlink ref="I900" r:id="rId190" xr:uid="{6BBEC15D-E0A2-47A5-97AD-0F4275217C2B}"/>
    <hyperlink ref="I907" r:id="rId191" xr:uid="{93713387-FFA5-4FB9-855C-586A5BD6EC98}"/>
    <hyperlink ref="I914" r:id="rId192" xr:uid="{21D9B789-53AC-4FAA-BA09-007A2C890B29}"/>
    <hyperlink ref="I874" r:id="rId193" xr:uid="{44E916B4-EDE6-4C22-ADE8-AB962BBBB043}"/>
    <hyperlink ref="I842" r:id="rId194" xr:uid="{11814A67-6DD9-4687-A5BA-2A9D7F785A58}"/>
    <hyperlink ref="I850" r:id="rId195" xr:uid="{FD43D59E-6CC0-4E34-B941-7F00EC921733}"/>
    <hyperlink ref="I882" r:id="rId196" xr:uid="{5E1E8178-4EE0-4B73-8860-CA8A84D41C71}"/>
    <hyperlink ref="I856" r:id="rId197" xr:uid="{BF99B009-7A34-4B1B-9B26-72E6A045CBFA}"/>
    <hyperlink ref="I920" r:id="rId198" xr:uid="{411B4000-BB07-4A3B-8FBB-C42FDC83E2C9}"/>
    <hyperlink ref="I826" r:id="rId199" xr:uid="{9DAE9AB8-B52E-428F-9497-6D8075C9EAD9}"/>
    <hyperlink ref="I860" r:id="rId200" display="https://www.google.com/maps/d/viewer?mid=1ejOzT7-x6RWnCf83BBP7XhiOiwEX3Wk&amp;ll=36.061264791292906%2C-79.87437695000003&amp;z=17" xr:uid="{980ADD6E-DA33-441D-85A2-5FE3627D4112}"/>
    <hyperlink ref="I837" r:id="rId201" xr:uid="{D60C2072-2C6E-49FF-869E-0C37E3A67048}"/>
    <hyperlink ref="I872" r:id="rId202" xr:uid="{6CC81BEF-AE2E-43CC-BA61-FAE80134EDD0}"/>
    <hyperlink ref="I913" r:id="rId203" xr:uid="{8B9032ED-9A7B-46C2-99F2-6384EC25B3BE}"/>
    <hyperlink ref="I979" r:id="rId204" xr:uid="{85A548BA-0A9A-4E67-8671-8A50F2476DC9}"/>
    <hyperlink ref="I1011" r:id="rId205" xr:uid="{F881129A-200C-4AD6-AB25-EC15325B858F}"/>
    <hyperlink ref="I1044" r:id="rId206" xr:uid="{6F4D61CA-71B0-4168-AFAC-E61C1A002F2A}"/>
    <hyperlink ref="I988" r:id="rId207" xr:uid="{5BBCD4BE-962F-4DD9-9077-CD70E4E73AA3}"/>
    <hyperlink ref="I975" r:id="rId208" xr:uid="{F3D5C754-4800-4D22-AA1E-F76AD923D25F}"/>
    <hyperlink ref="I976" r:id="rId209" xr:uid="{09014308-3950-4F5F-AE00-8A3213C10FB7}"/>
    <hyperlink ref="I967" r:id="rId210" xr:uid="{8E943A19-924B-49F2-85E6-24DDC8DD791B}"/>
    <hyperlink ref="I946" r:id="rId211" xr:uid="{D51C903F-4750-462E-823A-C045C1D02C10}"/>
    <hyperlink ref="I939" r:id="rId212" xr:uid="{25148531-5C27-4C29-8083-3C35CACD905B}"/>
    <hyperlink ref="I947" r:id="rId213" xr:uid="{ABB608D4-00D7-4FB5-939D-DC54A96E60EB}"/>
    <hyperlink ref="I966" r:id="rId214" xr:uid="{445985A9-90D6-49AF-AE57-C375AD9B803E}"/>
    <hyperlink ref="I977" r:id="rId215" xr:uid="{5D140C36-E06C-4F5B-A6F8-C30647AF0E52}"/>
    <hyperlink ref="I999" r:id="rId216" xr:uid="{9C316C57-BB8B-4C72-B73A-EF35E8853932}"/>
    <hyperlink ref="I1010" r:id="rId217" xr:uid="{7CCFA49B-3848-4EDA-8C87-B37A33D9F047}"/>
    <hyperlink ref="I1018" r:id="rId218" xr:uid="{00D1F1FD-1C9D-4FD4-B327-C97A25941B88}"/>
    <hyperlink ref="I1042" r:id="rId219" xr:uid="{E6253742-34A5-4F92-9E66-EBE03FFBD284}"/>
    <hyperlink ref="I985" r:id="rId220" xr:uid="{8DB83049-DF95-49CC-A3DD-985D5AA26461}"/>
    <hyperlink ref="I957" r:id="rId221" xr:uid="{5FE335CB-A3F5-4004-9A0B-336D7C03B273}"/>
    <hyperlink ref="I963" r:id="rId222" xr:uid="{B7C11FF3-AA42-4012-8040-35B53A697032}"/>
    <hyperlink ref="I994" r:id="rId223" xr:uid="{40481B66-62B3-4ECB-9DC1-5F7F5A3FD918}"/>
    <hyperlink ref="I969" r:id="rId224" xr:uid="{C0C6410A-8025-485A-9E13-2787E20F2026}"/>
    <hyperlink ref="I1029" r:id="rId225" xr:uid="{4101816B-8B94-4032-B32E-65CEA7517DEE}"/>
    <hyperlink ref="I943" r:id="rId226" xr:uid="{417F1318-929C-4E24-BB13-78AEDC00584A}"/>
    <hyperlink ref="I974" r:id="rId227" display="https://www.google.com/maps/d/viewer?mid=1ejOzT7-x6RWnCf83BBP7XhiOiwEX3Wk&amp;ll=36.061264791292906%2C-79.87437695000003&amp;z=17" xr:uid="{4BF4729B-D53C-4927-9D91-B98DC95F1FDC}"/>
    <hyperlink ref="I953" r:id="rId228" xr:uid="{C30783E8-B649-4237-A0C3-AED13AA9D013}"/>
    <hyperlink ref="I984" r:id="rId229" xr:uid="{456663B7-73F7-4CFE-AF15-131B7696CC51}"/>
    <hyperlink ref="I1023" r:id="rId230" xr:uid="{28E96476-FBAD-42F1-878B-CC78AC888813}"/>
    <hyperlink ref="I1090" r:id="rId231" xr:uid="{73B0741D-5494-4606-A8AC-B95FC87472B9}"/>
    <hyperlink ref="I1121" r:id="rId232" xr:uid="{389AD5B1-2BAA-4BF6-8262-AA0C8415A16A}"/>
    <hyperlink ref="I1152" r:id="rId233" xr:uid="{84077AF4-E2BC-40BA-89C6-84B703C5B0FF}"/>
    <hyperlink ref="I1054" r:id="rId234" xr:uid="{293DB56D-F384-460B-9949-DEEA3676EE94}"/>
    <hyperlink ref="I1087" r:id="rId235" xr:uid="{42863A09-2BBA-45EC-9648-D157E353A3FA}"/>
    <hyperlink ref="I1109" r:id="rId236" xr:uid="{C545A8A0-1E8F-4C2E-A780-89616C03EF54}"/>
    <hyperlink ref="I1081" r:id="rId237" xr:uid="{10FEC4AF-2BBD-4535-84D0-91471B691FE8}"/>
    <hyperlink ref="I1069" r:id="rId238" xr:uid="{49D5F89A-24D2-437D-A55F-C24BC475DA37}"/>
    <hyperlink ref="I1055" r:id="rId239" xr:uid="{29480416-B43C-4DA6-BC11-0AFB8ADE32E7}"/>
    <hyperlink ref="I1061" r:id="rId240" xr:uid="{7FF9CD26-981F-4598-B4A5-18D35FE99552}"/>
    <hyperlink ref="I1080" r:id="rId241" xr:uid="{EE1FC4E7-95A8-4049-A953-937AF501D217}"/>
    <hyperlink ref="I1088" r:id="rId242" xr:uid="{58A544FA-FF00-404C-84E8-14B525586E60}"/>
    <hyperlink ref="I1110" r:id="rId243" xr:uid="{453C773A-FCAF-4A6B-A188-7E60EC03355B}"/>
    <hyperlink ref="I1120" r:id="rId244" xr:uid="{FB9CD04E-746E-415F-BDEA-362592BD2344}"/>
    <hyperlink ref="I1126" r:id="rId245" xr:uid="{518BC4DA-4D78-4445-9A4A-32D4CC20B658}"/>
    <hyperlink ref="I1125" r:id="rId246" xr:uid="{CB630D91-4226-430B-B966-14DD143A9D42}"/>
    <hyperlink ref="I1098" r:id="rId247" xr:uid="{09D69414-D977-42E1-9443-B13B406BDBEC}"/>
    <hyperlink ref="I1070" r:id="rId248" xr:uid="{88E27235-75AE-4F68-AC18-4907539FD400}"/>
    <hyperlink ref="I1077" r:id="rId249" xr:uid="{ED8BF65E-2B18-4D58-BF06-DC54D2BBCBE3}"/>
    <hyperlink ref="I1104" r:id="rId250" xr:uid="{3B783FA9-FFD3-466C-82C7-7950D5E577E6}"/>
    <hyperlink ref="I1083" r:id="rId251" xr:uid="{D51B86D6-8D17-4E2C-ADFF-F52151608DF1}"/>
    <hyperlink ref="I1137" r:id="rId252" xr:uid="{601FF46A-83A1-4434-B9FD-E3B46C300DF8}"/>
    <hyperlink ref="I1057" r:id="rId253" xr:uid="{14194CE2-29A6-4DE0-975B-B62F559290C7}"/>
    <hyperlink ref="I1086" r:id="rId254" display="https://www.google.com/maps/d/viewer?mid=1ejOzT7-x6RWnCf83BBP7XhiOiwEX3Wk&amp;ll=36.061264791292906%2C-79.87437695000003&amp;z=17" xr:uid="{DD76E8CA-AF6E-454E-B521-21DA3AC43E53}"/>
    <hyperlink ref="I1066" r:id="rId255" xr:uid="{65C0ED06-C80B-4D75-814A-5F4BF0EF2C6D}"/>
    <hyperlink ref="I1097" r:id="rId256" xr:uid="{F8C76DDC-C21D-4D3C-A0DB-1A932A98273C}"/>
    <hyperlink ref="I1132" r:id="rId257" xr:uid="{F6345B90-8952-470A-9B5C-FC98CAE4743D}"/>
    <hyperlink ref="I1201" r:id="rId258" xr:uid="{19253FBC-85A5-421C-A6BF-BBE2DF855DBA}"/>
    <hyperlink ref="I1231" r:id="rId259" xr:uid="{3433A2E3-BC0E-4907-8783-DACB9C0DDB3E}"/>
    <hyperlink ref="I1260" r:id="rId260" xr:uid="{FE916E67-CC06-4F5A-A090-9DFC52813B57}"/>
    <hyperlink ref="I1169" r:id="rId261" xr:uid="{2FC821F3-AF32-4DC3-8A9E-3A6CFF4DC0B4}"/>
    <hyperlink ref="I1228" r:id="rId262" xr:uid="{06EE041B-E4C6-46AA-BB67-CBE7C7DD0934}"/>
    <hyperlink ref="I1218" r:id="rId263" xr:uid="{ECF626D7-1215-4A44-B06B-02E26FC29D26}"/>
    <hyperlink ref="I1193" r:id="rId264" xr:uid="{3A084F9A-6123-4934-96CD-6FBE19BF9392}"/>
    <hyperlink ref="I1183" r:id="rId265" xr:uid="{31A9868E-84ED-4AA5-B864-427F64D748EE}"/>
    <hyperlink ref="I1170" r:id="rId266" xr:uid="{F7417636-2A65-4EBC-918B-C04EBE417755}"/>
    <hyperlink ref="I1174" r:id="rId267" xr:uid="{96C29CFD-203B-4705-AECE-5A43BD3A3525}"/>
    <hyperlink ref="I1192" r:id="rId268" xr:uid="{A01098E8-9E19-48A4-8378-1D4A2FF9DEF0}"/>
    <hyperlink ref="I1200" r:id="rId269" xr:uid="{CC64AC9D-DBB6-4D1B-9B68-C259811C26FF}"/>
    <hyperlink ref="I1219" r:id="rId270" xr:uid="{092BD8ED-2ED9-4637-BBA2-82423904CBF0}"/>
    <hyperlink ref="I1230" r:id="rId271" xr:uid="{850FA205-F761-492B-AF61-55054EB27B76}"/>
    <hyperlink ref="I1250" r:id="rId272" xr:uid="{315127AA-EADE-4EDA-B744-B74AE16FB92B}"/>
    <hyperlink ref="I1236" r:id="rId273" xr:uid="{A5F36B33-D9F6-4D38-AED2-FC231D0C1BFE}"/>
    <hyperlink ref="I1207" r:id="rId274" xr:uid="{6E0A104E-9125-4165-BCCC-01EA31F8E6B0}"/>
    <hyperlink ref="I1184" r:id="rId275" xr:uid="{B2D2F985-303D-43E4-AC03-4BFA71578031}"/>
    <hyperlink ref="I1190" r:id="rId276" xr:uid="{A4CD1180-E3A3-4B1B-9641-FB5A8DDB7A42}"/>
    <hyperlink ref="I1262" r:id="rId277" xr:uid="{F4EB3D80-6E0E-4AD1-B72A-95F7578D768F}"/>
    <hyperlink ref="I1253" r:id="rId278" xr:uid="{12CEC954-36D7-456C-8DE2-446D245AB39A}"/>
    <hyperlink ref="I1246" r:id="rId279" xr:uid="{4D134E63-2895-4F30-AE7C-9B345769B695}"/>
    <hyperlink ref="I1274" r:id="rId280" xr:uid="{201DB128-CB0B-4A0F-BAD5-35EB411CB2E8}"/>
    <hyperlink ref="I1198" r:id="rId281" display="https://www.google.com/maps/d/viewer?mid=1ejOzT7-x6RWnCf83BBP7XhiOiwEX3Wk&amp;ll=36.061264791292906%2C-79.87437695000003&amp;z=17" xr:uid="{6A042F64-B27E-4137-B944-CE94DF697D1C}"/>
    <hyperlink ref="I1180" r:id="rId282" xr:uid="{CE980D61-C248-49D8-9149-3910C06EFEA2}"/>
    <hyperlink ref="I1206" r:id="rId283" xr:uid="{B1358202-63CF-4106-B151-4AC926CD09EE}"/>
    <hyperlink ref="I1241" r:id="rId284" xr:uid="{D8D98CD1-8A7A-45D1-8316-53749E392EDB}"/>
    <hyperlink ref="I1317" r:id="rId285" xr:uid="{647FD36D-D8E4-4FD2-AB7E-A4E855371950}"/>
    <hyperlink ref="I1392" r:id="rId286" xr:uid="{28D1A5D2-31E3-47B7-8EDB-1D53C57F29B2}"/>
    <hyperlink ref="I1371" r:id="rId287" xr:uid="{74F0C02B-641F-4739-8308-EC004377BDFD}"/>
    <hyperlink ref="I1284" r:id="rId288" xr:uid="{DD55E709-8998-4E8A-888B-CEC0E9CF4DD7}"/>
    <hyperlink ref="I1315" r:id="rId289" xr:uid="{25DED405-4BCD-461B-AFF6-3F70C9D434F0}"/>
    <hyperlink ref="I1332" r:id="rId290" xr:uid="{8B1DD20B-5C97-4931-B2FE-0C88860F6FDE}"/>
    <hyperlink ref="I1310" r:id="rId291" xr:uid="{3C7EFC3A-C6C9-4EB4-A9F2-0412F3E31863}"/>
    <hyperlink ref="I1299" r:id="rId292" xr:uid="{115B0F02-F669-4483-9C93-19B1FC299BF7}"/>
    <hyperlink ref="I1285" r:id="rId293" xr:uid="{20DC671B-42CD-4FBC-824F-A2C6B660930B}"/>
    <hyperlink ref="I1288" r:id="rId294" xr:uid="{4134DBD1-4D73-48DD-881C-0DDCB23C36FF}"/>
    <hyperlink ref="I1309" r:id="rId295" xr:uid="{6CC2DF9F-4F67-47A6-B86D-1A8A0C88C9AB}"/>
    <hyperlink ref="I1316" r:id="rId296" xr:uid="{EA19F780-D23E-45AB-810D-66D647178196}"/>
    <hyperlink ref="I1333" r:id="rId297" xr:uid="{570B629C-546A-417E-819A-470E8C1D71F4}"/>
    <hyperlink ref="I1343" r:id="rId298" xr:uid="{D30907D2-79BE-473A-911D-3BEE11AB1304}"/>
    <hyperlink ref="I1289" r:id="rId299" xr:uid="{14ECA1F6-2034-4EAC-A94A-064709961D45}"/>
    <hyperlink ref="I1308" r:id="rId300" xr:uid="{F0F501A1-BFA4-43F5-BC07-BDD6FDE90EC9}"/>
    <hyperlink ref="I1324" r:id="rId301" xr:uid="{62F3A69D-BB4A-447C-A00C-5CFF0C527568}"/>
    <hyperlink ref="I1300" r:id="rId302" xr:uid="{79F262D1-2037-4269-8E9D-3F82ECD4A0B5}"/>
    <hyperlink ref="I1306" r:id="rId303" xr:uid="{8FB4D33E-71A5-46BC-A677-1210F25BB928}"/>
    <hyperlink ref="I1373" r:id="rId304" xr:uid="{F146FABB-D105-40FF-BDA6-E63F826B2096}"/>
    <hyperlink ref="I1385" r:id="rId305" xr:uid="{3C140D14-1334-4FF8-8871-34BC6461AB44}"/>
    <hyperlink ref="I1387" r:id="rId306" xr:uid="{F80E4E7B-67DD-42BF-9F78-EB511A806567}"/>
    <hyperlink ref="I1383" r:id="rId307" xr:uid="{C3BC9244-A204-48D8-8724-BDCA327B4C4F}"/>
    <hyperlink ref="I1313" r:id="rId308" display="https://www.google.com/maps/d/viewer?mid=1ejOzT7-x6RWnCf83BBP7XhiOiwEX3Wk&amp;ll=36.061264791292906%2C-79.87437695000003&amp;z=17" xr:uid="{C8A1FA0A-529F-4429-89FF-23BF804451D1}"/>
    <hyperlink ref="I1296" r:id="rId309" xr:uid="{99218778-2203-437C-AC1C-94FE50E8AE36}"/>
    <hyperlink ref="I1322" r:id="rId310" xr:uid="{781F81B2-0AFD-48CE-BF6E-685C0FA414F8}"/>
    <hyperlink ref="I1382" r:id="rId311" xr:uid="{4F1F9F02-A2AD-4403-AF80-947DC5D57C1B}"/>
    <hyperlink ref="I1432" r:id="rId312" xr:uid="{D1D56001-3BFF-40E2-9AC2-7D5E4743CEB6}"/>
    <hyperlink ref="I1500" r:id="rId313" xr:uid="{348FC3AF-F40B-4789-BDE1-EC0324EBCDE9}"/>
    <hyperlink ref="I1480" r:id="rId314" xr:uid="{079B806E-03B7-4C6D-B691-4B75C2790105}"/>
    <hyperlink ref="I1399" r:id="rId315" xr:uid="{1B768041-0C8A-41BA-AB8B-50F92914EA6A}"/>
    <hyperlink ref="I1430" r:id="rId316" xr:uid="{E0038CEB-1F19-4AF4-BB1A-43AF29EBE252}"/>
    <hyperlink ref="I1444" r:id="rId317" xr:uid="{DD693DC5-B1B4-48C5-B0B8-BE3634CF6AB5}"/>
    <hyperlink ref="I1424" r:id="rId318" xr:uid="{3328C1C5-7E71-4007-91DD-7DFF3B1F615E}"/>
    <hyperlink ref="I1414" r:id="rId319" xr:uid="{8AF4ACF2-A0CC-4DD9-B696-80B1E1E264EB}"/>
    <hyperlink ref="I1400" r:id="rId320" xr:uid="{8C7D60B1-B445-409B-A89F-67EB116C777F}"/>
    <hyperlink ref="I1405" r:id="rId321" xr:uid="{BD2E84B2-1823-4EA8-AE54-2B09FE80F401}"/>
    <hyperlink ref="I1423" r:id="rId322" xr:uid="{9FDCE480-16B3-40D3-9B13-857F124D7099}"/>
    <hyperlink ref="I1431" r:id="rId323" xr:uid="{EBE7E6D4-B499-4E05-ACDE-4EDE85488E0B}"/>
    <hyperlink ref="I1445" r:id="rId324" xr:uid="{259EA811-23E2-41B7-BF2C-261C044560AD}"/>
    <hyperlink ref="I1455" r:id="rId325" xr:uid="{1CDEE763-8967-4289-90A6-0AE49D7B837C}"/>
    <hyperlink ref="I1460" r:id="rId326" xr:uid="{C998F05D-FA4C-4B07-B803-EF752DB97448}"/>
    <hyperlink ref="I1436" r:id="rId327" xr:uid="{F551ECAF-D4F5-41B7-9518-AEA0236690BD}"/>
    <hyperlink ref="I1435" r:id="rId328" xr:uid="{0BCC2FC4-1C62-439A-8C71-91B4C34DA3BB}"/>
    <hyperlink ref="I1415" r:id="rId329" xr:uid="{D6A0A366-061F-4A80-85DD-B14FCE5437B5}"/>
    <hyperlink ref="I1421" r:id="rId330" xr:uid="{8F690D56-6250-4C1B-8C82-B6C7FCDF18FA}"/>
    <hyperlink ref="I1502" r:id="rId331" xr:uid="{F77B6C51-E845-4A46-847F-0B82E47F1683}"/>
    <hyperlink ref="I1494" r:id="rId332" xr:uid="{8EAA6FC1-646E-49F2-BD7A-B3541E80A3AF}"/>
    <hyperlink ref="I1462" r:id="rId333" xr:uid="{229F0EBD-7D68-4E97-8EAA-F397538908DE}"/>
    <hyperlink ref="I1496" r:id="rId334" xr:uid="{373188DB-3D4C-4113-BE0F-7C985F9034CB}"/>
    <hyperlink ref="I1491" r:id="rId335" xr:uid="{5476EC5C-C04D-4B0D-A04A-2F336EF7421C}"/>
    <hyperlink ref="I1428" r:id="rId336" display="https://www.google.com/maps/d/viewer?mid=1ejOzT7-x6RWnCf83BBP7XhiOiwEX3Wk&amp;ll=36.061264791292906%2C-79.87437695000003&amp;z=17" xr:uid="{66A62069-F4AC-40C7-9A44-BB07C8B024D5}"/>
    <hyperlink ref="I1411" r:id="rId337" xr:uid="{12918630-9A2F-48E7-BE96-CDF8ACA203A8}"/>
    <hyperlink ref="I1434" r:id="rId338" xr:uid="{66FC890D-8B4F-42AF-8E55-165810E937AA}"/>
    <hyperlink ref="I1489" r:id="rId339" xr:uid="{16556BAF-0D87-4FB7-B326-164F3F6CE4FE}"/>
    <hyperlink ref="I1544" r:id="rId340" xr:uid="{412E1D7F-0040-4ED2-9878-6C42B477B75A}"/>
    <hyperlink ref="I1608" r:id="rId341" xr:uid="{730DEE0F-E59A-41EF-AFEA-A0130E554589}"/>
    <hyperlink ref="I1590" r:id="rId342" xr:uid="{F17687A1-9000-4353-B281-2ED631DAF4BA}"/>
    <hyperlink ref="I1516" r:id="rId343" xr:uid="{EA742C86-CA9E-4A2D-BCF1-24A6AABF08F8}"/>
    <hyperlink ref="I1541" r:id="rId344" xr:uid="{C430248A-25DD-435C-9B2E-5C60FFE70648}"/>
    <hyperlink ref="I1556" r:id="rId345" xr:uid="{C2DBA702-88BB-42B6-90FA-2EAE0D34739B}"/>
    <hyperlink ref="I1537" r:id="rId346" xr:uid="{F1620445-649E-4634-893C-440C7C5FFDB9}"/>
    <hyperlink ref="I1587" r:id="rId347" xr:uid="{88636C33-F024-44FA-9D95-F3EC5BD320F1}"/>
    <hyperlink ref="I1517" r:id="rId348" xr:uid="{539C0DB2-DA88-4936-923E-59153335E878}"/>
    <hyperlink ref="I1522" r:id="rId349" xr:uid="{0C5B6668-B9B9-46B3-B0BF-1A88AAFFA411}"/>
    <hyperlink ref="I1536" r:id="rId350" xr:uid="{65EA4FC5-BA37-4B53-9387-061A27A7A527}"/>
    <hyperlink ref="I1542" r:id="rId351" xr:uid="{3815DCDF-927C-42BB-8DE7-3B7A32054A38}"/>
    <hyperlink ref="I1558" r:id="rId352" xr:uid="{DA5570E7-FC81-43C6-A071-CA6E35F9A033}"/>
    <hyperlink ref="I1550" r:id="rId353" xr:uid="{65BEF23E-5970-404B-B4F8-59F889C88591}"/>
    <hyperlink ref="I1568" r:id="rId354" xr:uid="{1471A212-9729-456B-8319-4FBBB9C9E9A2}"/>
    <hyperlink ref="I1557" r:id="rId355" xr:uid="{0D3CEDC7-B775-49CE-95EF-FB341BFEE2F2}"/>
    <hyperlink ref="I1549" r:id="rId356" xr:uid="{35E25035-F029-4683-A9C3-58713ACF9DD1}"/>
    <hyperlink ref="I1528" r:id="rId357" xr:uid="{7C5762D5-B4B6-4281-A787-65DE189562E1}"/>
    <hyperlink ref="I1607" r:id="rId358" xr:uid="{A2BC08AE-B043-42CE-A5D6-A6AF941663E4}"/>
    <hyperlink ref="I1609" r:id="rId359" xr:uid="{0F02797A-BBD8-4C68-A54D-85638695E863}"/>
    <hyperlink ref="I1602" r:id="rId360" xr:uid="{943F9C5D-DA99-4B60-847A-2020D22BAEC5}"/>
    <hyperlink ref="I1604" r:id="rId361" xr:uid="{E4318795-D0EF-4A43-851D-5E83A6FF3104}"/>
    <hyperlink ref="I1594" r:id="rId362" xr:uid="{0FC4ADCC-53C7-4BCD-8EF1-5B68397DE916}"/>
    <hyperlink ref="I1614" r:id="rId363" display="https://www.google.com/maps/d/viewer?mid=1ejOzT7-x6RWnCf83BBP7XhiOiwEX3Wk&amp;ll=36.061264791292906%2C-79.87437695000003&amp;z=17" xr:uid="{B9A92E45-983A-4AF4-921D-6485489C689C}"/>
    <hyperlink ref="I1548" r:id="rId364" xr:uid="{03898363-C097-4CDC-B503-6C8DD24B0245}"/>
    <hyperlink ref="I1619" r:id="rId365" xr:uid="{3A5695DB-627A-4B62-AEC5-A5BD1CD3641D}"/>
    <hyperlink ref="I1598" r:id="rId366" xr:uid="{0D386D48-52E7-424D-B850-0E7D6838A470}"/>
    <hyperlink ref="I1657" r:id="rId367" xr:uid="{C48F887C-F1A2-41CA-8905-2D2D52BC044C}"/>
    <hyperlink ref="I1718" r:id="rId368" xr:uid="{0117CEC7-0A21-4E9E-8000-51C44CDFF064}"/>
    <hyperlink ref="I1705" r:id="rId369" xr:uid="{CF9623A8-3B69-4C18-B12A-4E43116EA992}"/>
    <hyperlink ref="I1631" r:id="rId370" xr:uid="{B160873F-2092-4EA0-9F00-2ECC6AED479C}"/>
    <hyperlink ref="I1654" r:id="rId371" xr:uid="{052B4AB2-3FA0-4EF8-9A0F-887B7D3A2632}"/>
    <hyperlink ref="I1670" r:id="rId372" xr:uid="{E08A232D-CE9F-4B59-B1CF-8A2ED84C8BFD}"/>
    <hyperlink ref="I1650" r:id="rId373" xr:uid="{BB5FB34C-3402-48A6-AE34-B8A148716231}"/>
    <hyperlink ref="I1647" r:id="rId374" xr:uid="{BDF52756-D602-4651-A857-257EAA75C4F6}"/>
    <hyperlink ref="I1632" r:id="rId375" xr:uid="{C3C04628-DC88-4A12-9165-9F94CE5DE2F4}"/>
    <hyperlink ref="I1637" r:id="rId376" xr:uid="{054BBFD9-06B4-469C-9931-CC83EC6C1A52}"/>
    <hyperlink ref="I1649" r:id="rId377" xr:uid="{DC79E17F-296F-43CD-8DDE-F7741BA4C5FD}"/>
    <hyperlink ref="I1655" r:id="rId378" xr:uid="{22CFAE43-4C66-40D1-870F-479AD7CA730A}"/>
    <hyperlink ref="I1671" r:id="rId379" xr:uid="{9EE8A202-A063-4EEB-8A1D-52BE5072E24B}"/>
    <hyperlink ref="I1677" r:id="rId380" xr:uid="{56382D41-FDCD-4A50-B841-D6625A9A5F8D}"/>
    <hyperlink ref="I1681" r:id="rId381" xr:uid="{8F5950CE-D399-464A-9BC9-1079BC0ECEFE}"/>
    <hyperlink ref="I1680" r:id="rId382" xr:uid="{1E931FF9-796C-4CA2-8F17-72A5D96A9CC3}"/>
    <hyperlink ref="I1662" r:id="rId383" xr:uid="{D674EA5F-9085-4A48-8AF1-4824224D0737}"/>
    <hyperlink ref="I1643" r:id="rId384" xr:uid="{C4381C22-4F2C-47FA-8E90-44F3DC1A86C5}"/>
    <hyperlink ref="I1717" r:id="rId385" xr:uid="{34C9EA6E-CCEF-47A9-BBC8-2F39B1F4713E}"/>
    <hyperlink ref="I1719" r:id="rId386" xr:uid="{4DE3F073-EDFE-4B40-AB4A-DEF3E4C4429D}"/>
    <hyperlink ref="I1712" r:id="rId387" xr:uid="{74D44264-74FE-4E4E-92CB-E792CB9DF46C}"/>
    <hyperlink ref="I1714" r:id="rId388" xr:uid="{26A6F08A-CD64-4957-B698-83F7E52729E4}"/>
    <hyperlink ref="I1703" r:id="rId389" xr:uid="{B5516529-DEAE-40D2-A9FD-BAA202D6693C}"/>
    <hyperlink ref="I1724" r:id="rId390" display="https://www.google.com/maps/d/viewer?mid=1ejOzT7-x6RWnCf83BBP7XhiOiwEX3Wk&amp;ll=36.061264791292906%2C-79.87437695000003&amp;z=17" xr:uid="{9A3907CE-4172-4D7F-A5E0-ED9AE4C5ED1E}"/>
    <hyperlink ref="I1709" r:id="rId391" xr:uid="{95E44204-BE00-4382-8468-5CE3B731E6A8}"/>
    <hyperlink ref="I1729" r:id="rId392" xr:uid="{6534D3F1-3E46-4D3E-9D9C-0F55E4A6B8AA}"/>
    <hyperlink ref="I1707" r:id="rId393" xr:uid="{1102917C-846D-434A-9364-52E3FEF8F6C2}"/>
    <hyperlink ref="I1773" r:id="rId394" xr:uid="{FC0F6929-8C5A-498D-A7DF-DCA858F2E07A}"/>
    <hyperlink ref="I1768" r:id="rId395" xr:uid="{34EF5C09-6F18-4ABC-A88E-A0DED325EE5A}"/>
    <hyperlink ref="I1813" r:id="rId396" xr:uid="{67F541BA-60DF-4791-B4B2-F2EA5E95E57E}"/>
    <hyperlink ref="I1747" r:id="rId397" xr:uid="{7CB881BF-1BF5-42BC-B58D-3AA01BAA9571}"/>
    <hyperlink ref="I1770" r:id="rId398" xr:uid="{53D3F0C3-3C38-41F7-8C02-D080BB367A95}"/>
    <hyperlink ref="I1785" r:id="rId399" xr:uid="{BC17A56D-6FBB-4D21-987C-46DDA3372DC2}"/>
    <hyperlink ref="I1766" r:id="rId400" xr:uid="{65AF0CEF-7610-4463-A905-77CDDDD51A9F}"/>
    <hyperlink ref="I1757" r:id="rId401" xr:uid="{C8B5F0F1-4498-4121-9988-20511559360B}"/>
    <hyperlink ref="I1748" r:id="rId402" xr:uid="{4DE0BCA2-CBA9-4AFF-8945-0E7F1E902A8F}"/>
    <hyperlink ref="I1758" r:id="rId403" xr:uid="{A0F12C31-DF4E-4146-994F-FAB392A6E28F}"/>
    <hyperlink ref="I1765" r:id="rId404" xr:uid="{A2FC6888-66D0-4269-BCF2-D3B93800C3CE}"/>
    <hyperlink ref="I1771" r:id="rId405" xr:uid="{B8F2D812-CC13-447E-B8C1-0A4D33C0B037}"/>
    <hyperlink ref="I1786" r:id="rId406" xr:uid="{6C966CBB-5260-4C27-97A5-70E65FD889E7}"/>
    <hyperlink ref="I1793" r:id="rId407" xr:uid="{7E203C1E-F4D6-4EE0-B44A-3D2FCBA2D140}"/>
    <hyperlink ref="I1797" r:id="rId408" xr:uid="{FB5640EB-BC12-45FA-843A-347838D01410}"/>
    <hyperlink ref="I1796" r:id="rId409" xr:uid="{3E41577E-335C-4158-A368-958A1CAEE937}"/>
    <hyperlink ref="I1777" r:id="rId410" xr:uid="{0E2A8371-D017-4355-9939-C6F97B126B32}"/>
    <hyperlink ref="I1759" r:id="rId411" xr:uid="{915F7733-56EF-45CA-85AE-31EF79155EBA}"/>
    <hyperlink ref="I1829" r:id="rId412" xr:uid="{70A20D85-F63A-475A-91D6-E200276AC9D5}"/>
    <hyperlink ref="I1830" r:id="rId413" xr:uid="{5FEEB7C7-0D9C-43A5-A684-F9968B270762}"/>
    <hyperlink ref="I1825" r:id="rId414" xr:uid="{F1C5BFE7-FD90-45DB-99B2-DE3727561A97}"/>
    <hyperlink ref="I1827" r:id="rId415" xr:uid="{7F5B69F2-8B99-431D-91C6-CA10ED7ACF09}"/>
    <hyperlink ref="I1818" r:id="rId416" xr:uid="{1E4E71A9-88E1-4571-B6B1-5D9D9C12B00B}"/>
    <hyperlink ref="I1835" r:id="rId417" display="https://www.google.com/maps/d/viewer?mid=1ejOzT7-x6RWnCf83BBP7XhiOiwEX3Wk&amp;ll=36.061264791292906%2C-79.87437695000003&amp;z=17" xr:uid="{F19F29FC-4768-4DAC-A823-265916E5F496}"/>
    <hyperlink ref="I1822" r:id="rId418" xr:uid="{77475B5D-8B1B-432A-AAC2-AB3B3E1E6458}"/>
    <hyperlink ref="I1840" r:id="rId419" xr:uid="{12E10F72-1531-4339-9474-0F31F930461B}"/>
    <hyperlink ref="I1820" r:id="rId420" xr:uid="{E1246725-A2B5-4F6D-9199-E38085A1A7CE}"/>
    <hyperlink ref="I1884" r:id="rId421" xr:uid="{0C988969-9D93-480F-9246-01C4FB7295A9}"/>
    <hyperlink ref="I1940" r:id="rId422" xr:uid="{8E88E39F-69B6-4088-B2DC-C74B888CB5C3}"/>
    <hyperlink ref="I1925" r:id="rId423" xr:uid="{A53253C9-6AF9-4AF6-8A9F-8D50DB045424}"/>
    <hyperlink ref="I1862" r:id="rId424" xr:uid="{FB564E1B-12ED-4717-AB15-94F9F81A5FDB}"/>
    <hyperlink ref="I1960" r:id="rId425" xr:uid="{A4B65C45-52B5-4BCB-A77A-40E28C5D5C0B}"/>
    <hyperlink ref="I1896" r:id="rId426" xr:uid="{2E2D808F-1E03-421D-B2DF-B3AD6BFAB3C3}"/>
    <hyperlink ref="I1879" r:id="rId427" xr:uid="{04CA6277-4A0B-4F6D-B5A6-600617653BDD}"/>
    <hyperlink ref="I1872" r:id="rId428" xr:uid="{6B33C7DE-204B-4335-96E7-3CDB850F8E6C}"/>
    <hyperlink ref="I1863" r:id="rId429" xr:uid="{6FC0E76B-B4CC-4AF6-8929-830652FE3922}"/>
    <hyperlink ref="I1866" r:id="rId430" xr:uid="{C9EF2056-F081-4C23-9829-D078E212D606}"/>
    <hyperlink ref="I1878" r:id="rId431" xr:uid="{FF41688A-5ABE-47EA-A80E-E8836CC57652}"/>
    <hyperlink ref="I1882" r:id="rId432" xr:uid="{0791078F-2C2B-40DA-85FE-2081844482E9}"/>
    <hyperlink ref="I1897" r:id="rId433" xr:uid="{9FA5BA6C-A8B3-4CA5-A690-EFFF73E27004}"/>
    <hyperlink ref="I1904" r:id="rId434" xr:uid="{8BEAD989-8904-4E27-B53F-468830E996FE}"/>
    <hyperlink ref="I1908" r:id="rId435" xr:uid="{9AFC05F9-0B5A-4578-B3DD-6F80C74B7B1A}"/>
    <hyperlink ref="I1907" r:id="rId436" xr:uid="{05D3D081-181D-4B7A-AD06-8C0490B74777}"/>
    <hyperlink ref="I1889" r:id="rId437" xr:uid="{69490795-2CF2-4C06-A49B-21BC4A18F3CB}"/>
    <hyperlink ref="I1873" r:id="rId438" xr:uid="{FD58FC10-518C-4EE5-A2F5-96EDD410ECD5}"/>
    <hyperlink ref="I1939" r:id="rId439" xr:uid="{767DF032-1C67-4758-88D9-072B1DC818C6}"/>
    <hyperlink ref="I1941" r:id="rId440" xr:uid="{7D063F67-AA62-4A41-97D4-7A3AD934C502}"/>
    <hyperlink ref="I1919" r:id="rId441" xr:uid="{5DB7ACB3-617D-450E-976D-C1FF09860909}"/>
    <hyperlink ref="I1937" r:id="rId442" xr:uid="{E26E22B7-FA37-4A74-A3A2-B56E61398620}"/>
    <hyperlink ref="I1929" r:id="rId443" xr:uid="{2D6AF95F-65B4-46BB-9189-8D7142362114}"/>
    <hyperlink ref="I1945" r:id="rId444" display="https://www.google.com/maps/d/viewer?mid=1ejOzT7-x6RWnCf83BBP7XhiOiwEX3Wk&amp;ll=36.061264791292906%2C-79.87437695000003&amp;z=17" xr:uid="{AE336682-066B-4B77-8ED7-286621C41CD0}"/>
    <hyperlink ref="I1933" r:id="rId445" xr:uid="{3E8661CF-A42A-405B-B4D8-0FAB8C200830}"/>
    <hyperlink ref="I1950" r:id="rId446" xr:uid="{82055DF5-39CE-4A95-AEDC-3664A08ABA8B}"/>
    <hyperlink ref="I1931" r:id="rId447" xr:uid="{8CE5E5AD-64D7-4AC1-8593-14D563D82DCE}"/>
    <hyperlink ref="I2001" r:id="rId448" xr:uid="{87FDE8FD-C471-4801-BDE9-5DE25018E9A9}"/>
    <hyperlink ref="I2054" r:id="rId449" xr:uid="{F094FD48-6FCB-42DF-B57F-A590237F978C}"/>
    <hyperlink ref="I2039" r:id="rId450" xr:uid="{299D1C53-3406-4A93-BC37-3789CADF5306}"/>
    <hyperlink ref="I1978" r:id="rId451" xr:uid="{C46A0EB5-4CFE-4582-9C9C-B342A21B8914}"/>
    <hyperlink ref="I1999" r:id="rId452" xr:uid="{1AB235DA-3FE1-4363-A0BA-C6EC825A910F}"/>
    <hyperlink ref="I2059" r:id="rId453" xr:uid="{8924740B-E927-4CC4-B9AD-90B65DEFF00E}"/>
    <hyperlink ref="I1995" r:id="rId454" xr:uid="{4180855F-E109-4ED0-8449-E5CE29B4C80C}"/>
    <hyperlink ref="I1988" r:id="rId455" xr:uid="{DFCD24E9-6445-4EA9-BF38-EC73AD4F09DC}"/>
    <hyperlink ref="I1979" r:id="rId456" xr:uid="{6F76D0BE-7E13-4CD6-9CDF-09E1AE6097F9}"/>
    <hyperlink ref="I1982" r:id="rId457" xr:uid="{4515A081-3D6F-4F3F-A126-FCF3C3507865}"/>
    <hyperlink ref="I1994" r:id="rId458" xr:uid="{BE270DDE-B87E-466B-9346-E55C54A3843E}"/>
    <hyperlink ref="I2000" r:id="rId459" xr:uid="{30861888-F36F-4F7F-94DA-6EBC95FA91D4}"/>
    <hyperlink ref="I2014" r:id="rId460" xr:uid="{3EB89BB1-8039-4BE3-B278-E7140A62DBAF}"/>
    <hyperlink ref="I2020" r:id="rId461" xr:uid="{D6780528-2AAE-4607-A76F-DBFB607854D9}"/>
    <hyperlink ref="I2023" r:id="rId462" xr:uid="{4F97801F-3518-4BF0-97FF-2FB52612F963}"/>
    <hyperlink ref="I2022" r:id="rId463" xr:uid="{DF32EE7E-0524-4BCC-8B3F-85F8552B8C22}"/>
    <hyperlink ref="I2006" r:id="rId464" xr:uid="{14867EEB-F0F8-4E34-8679-6464383EDAB5}"/>
    <hyperlink ref="I1989" r:id="rId465" xr:uid="{7CC4C10B-D067-45C5-8BE6-124AD05795F5}"/>
    <hyperlink ref="I1993" r:id="rId466" xr:uid="{B042D314-DE05-4711-9874-1D2A711D5636}"/>
    <hyperlink ref="I2055" r:id="rId467" xr:uid="{09B14A34-40CC-47DF-B9C7-BA7F63CEB19B}"/>
    <hyperlink ref="I2050" r:id="rId468" xr:uid="{0E10FD4B-E748-453E-A257-9BA24A12848D}"/>
    <hyperlink ref="I2052" r:id="rId469" xr:uid="{8D8688F8-9530-480D-92C5-EB69D324DD8E}"/>
    <hyperlink ref="I2042" r:id="rId470" xr:uid="{818FF0E2-5811-4475-A63A-C4FE8DBBC1F0}"/>
    <hyperlink ref="I2058" r:id="rId471" display="https://www.google.com/maps/d/viewer?mid=1ejOzT7-x6RWnCf83BBP7XhiOiwEX3Wk&amp;ll=36.061264791292906%2C-79.87437695000003&amp;z=17" xr:uid="{36D2F944-CF2D-488E-B224-EB8FD184AA45}"/>
    <hyperlink ref="I2047" r:id="rId472" xr:uid="{4845F6F2-86ED-453B-B9F9-C38E3070B40E}"/>
    <hyperlink ref="I2004" r:id="rId473" xr:uid="{ED1CF380-B3CC-4689-998C-8A24D24A8C93}"/>
    <hyperlink ref="I2045" r:id="rId474" xr:uid="{3C12094E-65E6-43B7-A235-D618183AD201}"/>
    <hyperlink ref="I2118" r:id="rId475" xr:uid="{E64FD2DB-46AC-4E85-A985-83969897590A}"/>
    <hyperlink ref="I2166" r:id="rId476" xr:uid="{08FB9F83-5417-4B1E-A9B7-A482ACF81563}"/>
    <hyperlink ref="I2152" r:id="rId477" xr:uid="{6F1EDAC1-58DA-4C53-939C-E6C0801FF943}"/>
    <hyperlink ref="I2094" r:id="rId478" xr:uid="{978A242A-83B0-497C-A650-63DD95F0006F}"/>
    <hyperlink ref="I2116" r:id="rId479" xr:uid="{0F46F100-40BE-48F2-A4B1-755B26B77DFE}"/>
    <hyperlink ref="I2171" r:id="rId480" xr:uid="{5F259FDA-315A-4047-A04A-09966B89606F}"/>
    <hyperlink ref="I2112" r:id="rId481" xr:uid="{AA8C214E-B993-4123-9806-BB6DBE83A393}"/>
    <hyperlink ref="I2105" r:id="rId482" xr:uid="{7774382F-DF36-4575-A96A-02B5A64C586F}"/>
    <hyperlink ref="I2095" r:id="rId483" xr:uid="{7EB1FE2F-EAA1-4DFA-B9E9-66F9C7010E02}"/>
    <hyperlink ref="I2099" r:id="rId484" xr:uid="{F98725CA-6FC9-4147-B762-A7A64264F240}"/>
    <hyperlink ref="I2111" r:id="rId485" xr:uid="{7EDF57D8-C2F5-4A50-8085-1C4408A0EC41}"/>
    <hyperlink ref="I2117" r:id="rId486" xr:uid="{C2C8F785-969E-48A9-8248-148379517090}"/>
    <hyperlink ref="I2129" r:id="rId487" xr:uid="{CA18D150-B8F1-4323-9D44-BB1E7775DC41}"/>
    <hyperlink ref="I2135" r:id="rId488" xr:uid="{FF6EF364-D1FB-4A72-ABF4-CCA069B3BA27}"/>
    <hyperlink ref="I2138" r:id="rId489" xr:uid="{E2A97953-E712-47C4-B4F9-8CEDB557E196}"/>
    <hyperlink ref="I2137" r:id="rId490" xr:uid="{8A2CFE1E-F1D9-4F71-A721-143B5A4AFD3E}"/>
    <hyperlink ref="I2122" r:id="rId491" xr:uid="{7D135083-FEE1-4447-8C76-D0904F1A30AB}"/>
    <hyperlink ref="I2106" r:id="rId492" xr:uid="{8F84C080-4B51-46C3-9A37-628C536F5487}"/>
    <hyperlink ref="I2165" r:id="rId493" xr:uid="{590C658C-30F2-4FBF-833C-B831EE20AE4C}"/>
    <hyperlink ref="I2167" r:id="rId494" xr:uid="{4FF0D7CF-A456-42C8-8622-028CF492922C}"/>
    <hyperlink ref="I2162" r:id="rId495" xr:uid="{34E767C8-A893-4F8C-BADF-FAC170A1C386}"/>
    <hyperlink ref="I2203" r:id="rId496" xr:uid="{DD567A0A-76F9-4967-B732-0EB10B762993}"/>
    <hyperlink ref="I2155" r:id="rId497" xr:uid="{9CCB9582-EB2B-4747-A118-322E7630816A}"/>
    <hyperlink ref="I2170" r:id="rId498" display="https://www.google.com/maps/d/viewer?mid=1ejOzT7-x6RWnCf83BBP7XhiOiwEX3Wk&amp;ll=36.061264791292906%2C-79.87437695000003&amp;z=17" xr:uid="{9E8FFE42-A038-4046-9A8A-49C787A1279D}"/>
    <hyperlink ref="I2159" r:id="rId499" xr:uid="{EB5E3558-B77A-4052-8673-AEC859F0C7F9}"/>
    <hyperlink ref="I2174" r:id="rId500" xr:uid="{742DB5B4-49E4-48EC-AC29-90132ABD8F25}"/>
    <hyperlink ref="I2195" r:id="rId501" xr:uid="{0FA34744-E0A1-45BA-85BD-ABF037982FB9}"/>
    <hyperlink ref="I2231" r:id="rId502" xr:uid="{F9B564CD-ECCC-47A3-83EF-51451415E0CE}"/>
    <hyperlink ref="I2281" r:id="rId503" xr:uid="{E1AE23B0-C896-4D98-B490-F432ECF80DBF}"/>
    <hyperlink ref="I2267" r:id="rId504" xr:uid="{D557C0B0-9769-463A-9B79-E325B279FB78}"/>
    <hyperlink ref="I2210" r:id="rId505" xr:uid="{5867C653-19C1-4EFB-AEEC-3A1668E9C1C9}"/>
    <hyperlink ref="I2229" r:id="rId506" xr:uid="{335F66DB-736F-4F96-88CC-2599A68961AC}"/>
    <hyperlink ref="I2285" r:id="rId507" xr:uid="{3ED1C7C4-7B0A-47D5-8B7E-425C88B1006E}"/>
    <hyperlink ref="I2226" r:id="rId508" xr:uid="{2743EEEA-1072-4C89-8CFB-CAB70430DCC9}"/>
    <hyperlink ref="I2219" r:id="rId509" xr:uid="{725857A8-A2D3-4149-9411-97F5D747504E}"/>
    <hyperlink ref="I2211" r:id="rId510" xr:uid="{6E18BCDB-9495-4637-BA8E-07E8426350BC}"/>
    <hyperlink ref="I2215" r:id="rId511" xr:uid="{FA229318-666F-4E43-BF3A-C1DA4A9E2F94}"/>
    <hyperlink ref="I2225" r:id="rId512" xr:uid="{B97AA3EC-22D5-47B5-B6A6-C3E2F7864477}"/>
    <hyperlink ref="I2230" r:id="rId513" xr:uid="{85C54DFE-D175-448C-8016-A261C489BF35}"/>
    <hyperlink ref="I2242" r:id="rId514" xr:uid="{035EADDE-44C3-4C0B-9AC8-8B4A596288C1}"/>
    <hyperlink ref="I2249" r:id="rId515" xr:uid="{9EC9C4F9-5BAC-4BE7-B416-92395F3B1064}"/>
    <hyperlink ref="I2252" r:id="rId516" xr:uid="{9EA23774-ABD0-409A-B42E-CFD00975319B}"/>
    <hyperlink ref="I2251" r:id="rId517" xr:uid="{AADB0FC2-FA9A-4DF6-9EAA-4B1F9110B0CD}"/>
    <hyperlink ref="I2235" r:id="rId518" xr:uid="{4FF96106-4403-4D47-96B3-3D3C8C1E5D3C}"/>
    <hyperlink ref="I2220" r:id="rId519" xr:uid="{C7D91845-0DC8-49F1-8BB8-C90596BFD7DA}"/>
    <hyperlink ref="I2280" r:id="rId520" xr:uid="{6BA5F200-0D3A-4047-B1C2-C28469FFC575}"/>
    <hyperlink ref="I2240" r:id="rId521" xr:uid="{E8E02D1C-05B2-4E32-8A0B-DB989909067B}"/>
    <hyperlink ref="I2277" r:id="rId522" xr:uid="{DA8CED66-6B95-4BD5-B9D5-F5EDB0795FB2}"/>
    <hyperlink ref="I2315" r:id="rId523" xr:uid="{E45E5979-45EF-432C-8D1A-89B6354682D4}"/>
    <hyperlink ref="I2270" r:id="rId524" xr:uid="{4721855E-0FB3-403A-B2FC-6E01A48C9FD3}"/>
    <hyperlink ref="I2284" r:id="rId525" display="https://www.google.com/maps/d/viewer?mid=1ejOzT7-x6RWnCf83BBP7XhiOiwEX3Wk&amp;ll=36.061264791292906%2C-79.87437695000003&amp;z=17" xr:uid="{EB0CF88E-A8C4-41C9-A118-69708704D5BF}"/>
    <hyperlink ref="I2274" r:id="rId526" xr:uid="{66EF5F81-3B92-458E-BC09-1590B8461280}"/>
    <hyperlink ref="I2289" r:id="rId527" xr:uid="{8AE19C0D-33CB-4FE9-BA8D-FA13C3F2BDD1}"/>
    <hyperlink ref="I2308" r:id="rId528" xr:uid="{1DA8A873-853C-4AD7-87A0-CE4CE8D41A0D}"/>
    <hyperlink ref="I2346" r:id="rId529" xr:uid="{BBBC4B8C-B0EE-4FB3-8252-C6B21D83582D}"/>
    <hyperlink ref="I2378" r:id="rId530" xr:uid="{D21D7061-BB29-4949-AD7B-DABB888AA38B}"/>
    <hyperlink ref="I2379" r:id="rId531" xr:uid="{D2BD57B0-402B-4789-8361-3D8B3B82020D}"/>
    <hyperlink ref="I2326" r:id="rId532" xr:uid="{851A81F8-D722-4EC9-8487-B59B35CD3CBC}"/>
    <hyperlink ref="I2344" r:id="rId533" xr:uid="{42CF11D1-A11D-4122-B51B-1B088453B7E0}"/>
    <hyperlink ref="I2349" r:id="rId534" xr:uid="{D08ED959-B4FD-49E0-99AC-946DFD33BA70}"/>
    <hyperlink ref="I2341" r:id="rId535" xr:uid="{1D2C655F-920E-4E94-B3FD-E8C2CE7407A2}"/>
    <hyperlink ref="I2334" r:id="rId536" xr:uid="{386F28D5-140D-48F8-B744-62D6A847F868}"/>
    <hyperlink ref="I2327" r:id="rId537" xr:uid="{1482E911-A431-4294-926F-90F6FA6E2DBE}"/>
    <hyperlink ref="I2330" r:id="rId538" xr:uid="{793C9165-69A0-4CEB-89FC-E014083BAE0E}"/>
    <hyperlink ref="I2340" r:id="rId539" xr:uid="{898A07F5-0E4E-44FC-99C6-A1BD27E9CC24}"/>
    <hyperlink ref="I2345" r:id="rId540" xr:uid="{760118DA-85A5-476E-B026-D5DE89807BEA}"/>
    <hyperlink ref="I2357" r:id="rId541" xr:uid="{D6241E58-8237-40C0-8748-4CB7BFF50198}"/>
    <hyperlink ref="I2339" r:id="rId542" xr:uid="{E4433FDC-C2BC-40FC-BBF1-FE478471F8CF}"/>
    <hyperlink ref="I2365" r:id="rId543" xr:uid="{844B3050-3A9D-47DC-ADDB-077C34F6FC1F}"/>
    <hyperlink ref="I2364" r:id="rId544" xr:uid="{748AE503-5BB8-4E32-B4E3-C03002F1F4DD}"/>
    <hyperlink ref="I2350" r:id="rId545" xr:uid="{B871536F-DDD7-4BD6-B943-7DD6CB24E60B}"/>
    <hyperlink ref="I2335" r:id="rId546" xr:uid="{62C45782-E4E9-44A4-99DF-480CA6DDB877}"/>
    <hyperlink ref="I2393" r:id="rId547" xr:uid="{DFCFB6A2-C0E2-43FD-85DA-531BAFB9A648}"/>
    <hyperlink ref="I2394" r:id="rId548" xr:uid="{C83ED214-9B82-48DC-84A7-AAE4E1A0A0CB}"/>
    <hyperlink ref="I2390" r:id="rId549" xr:uid="{C6956747-003C-4867-B9DB-85289CAC84FA}"/>
    <hyperlink ref="I2427" r:id="rId550" xr:uid="{FE175D87-CA0A-42EA-B604-A5AFF7D6E642}"/>
    <hyperlink ref="I2372" r:id="rId551" xr:uid="{EA26C8C3-5881-4D1F-B4F7-8F04FD21F836}"/>
    <hyperlink ref="I2397" r:id="rId552" display="https://www.google.com/maps/d/viewer?mid=1ejOzT7-x6RWnCf83BBP7XhiOiwEX3Wk&amp;ll=36.061264791292906%2C-79.87437695000003&amp;z=17" xr:uid="{48D32C72-DFFF-42DD-BEA6-BA2E404CF3E6}"/>
    <hyperlink ref="I2387" r:id="rId553" xr:uid="{690908D5-9E7F-49F1-99C5-AB1D0EE3A089}"/>
    <hyperlink ref="I2401" r:id="rId554" xr:uid="{B5684ECE-F2AA-4AEC-8FB7-18E05F58859E}"/>
    <hyperlink ref="I2420" r:id="rId555" xr:uid="{3232796E-45A9-4ACA-BCD1-E40E607E870D}"/>
    <hyperlink ref="I2460" r:id="rId556" xr:uid="{0016D3C2-CD10-460C-8744-5E9A03AF18B6}"/>
    <hyperlink ref="I2505" r:id="rId557" xr:uid="{007CC134-348A-495D-B701-B8E0FD74D1C0}"/>
    <hyperlink ref="I2492" r:id="rId558" xr:uid="{41CD971C-C7D7-43AA-809F-EB32EBCBFACF}"/>
    <hyperlink ref="I2442" r:id="rId559" xr:uid="{D3136B31-BC15-4BCF-8DAB-A8CBC831DD35}"/>
    <hyperlink ref="I2521" r:id="rId560" xr:uid="{04DBCDD7-EF35-44B5-AB67-B35621570248}"/>
    <hyperlink ref="I2509" r:id="rId561" xr:uid="{4E359C45-ED83-4798-836E-D2279864EDB5}"/>
    <hyperlink ref="I2515" r:id="rId562" xr:uid="{30C2F030-F7B5-49E3-85B0-9AD4C4C3B821}"/>
    <hyperlink ref="I2450" r:id="rId563" xr:uid="{65C965C5-A28D-4563-BC80-FD605D404ED6}"/>
    <hyperlink ref="I2443" r:id="rId564" xr:uid="{4246623B-EAFD-4547-B0EA-F4F56B5D90D3}"/>
    <hyperlink ref="I2446" r:id="rId565" xr:uid="{D38360CD-0CE2-454F-830B-02329173ADD2}"/>
    <hyperlink ref="I2455" r:id="rId566" xr:uid="{938E48CD-18B5-4B31-A06E-7E5DEF0C4C43}"/>
    <hyperlink ref="I2459" r:id="rId567" xr:uid="{F7A47EE5-A68B-49A6-8366-A7902215DD4C}"/>
    <hyperlink ref="I2470" r:id="rId568" xr:uid="{D805C966-0989-414A-84F0-D7307D3C1015}"/>
    <hyperlink ref="I2475" r:id="rId569" xr:uid="{1975B086-5104-4FEF-BDA4-711DBDA941F4}"/>
    <hyperlink ref="I2477" r:id="rId570" xr:uid="{FB7DB59E-3343-4653-891C-8F25C13D84B8}"/>
    <hyperlink ref="I2551" r:id="rId571" xr:uid="{D4323D15-6D38-4784-83EA-8F89E9E2ADB9}"/>
    <hyperlink ref="I2464" r:id="rId572" xr:uid="{838AE556-789B-4368-90AE-CFFAFA4F4D3D}"/>
    <hyperlink ref="I2451" r:id="rId573" xr:uid="{4D4A5604-249D-45A9-965A-C08DFE0B6311}"/>
    <hyperlink ref="I2504" r:id="rId574" xr:uid="{F32DB4B5-75CA-4190-9271-8C95672D7253}"/>
    <hyperlink ref="I2506" r:id="rId575" xr:uid="{837AF7A5-7CCB-4BD8-8A81-572ECB90F5B2}"/>
    <hyperlink ref="I2502" r:id="rId576" xr:uid="{DCCA2A81-D58F-449D-8BB6-236A0C4DC5DD}"/>
    <hyperlink ref="I2539" r:id="rId577" xr:uid="{D7A654B0-EACE-4151-955F-2771C4F964CB}"/>
    <hyperlink ref="I2496" r:id="rId578" xr:uid="{F0840E92-75E6-4C60-816A-2EEC0ECBEF48}"/>
    <hyperlink ref="I2508" r:id="rId579" display="https://www.google.com/maps/d/viewer?mid=1ejOzT7-x6RWnCf83BBP7XhiOiwEX3Wk&amp;ll=36.061264791292906%2C-79.87437695000003&amp;z=17" xr:uid="{32C6AA31-AEAB-49AA-87CB-4934E1370599}"/>
    <hyperlink ref="I2499" r:id="rId580" xr:uid="{F43604E4-5232-45C9-8E08-7A5E1023A54C}"/>
    <hyperlink ref="I2512" r:id="rId581" xr:uid="{3DC39219-5AB3-41FF-90B2-3971584CA0E2}"/>
    <hyperlink ref="I2532" r:id="rId582" xr:uid="{92CD1465-A3B6-42AE-9126-08B277DBFA11}"/>
    <hyperlink ref="I3" r:id="rId583" xr:uid="{A01E4967-1F3D-4C5E-9852-7B1FDE7B6D4A}"/>
    <hyperlink ref="I34" r:id="rId584" xr:uid="{1273D685-007D-4916-AFF4-8A4FC8E35C0D}"/>
    <hyperlink ref="I144" r:id="rId585" xr:uid="{44481249-91E0-4A85-9079-C5D2527D3BBB}"/>
    <hyperlink ref="I188" r:id="rId586" xr:uid="{BBE9C553-102E-4065-99BD-550F3675AFB5}"/>
    <hyperlink ref="I256" r:id="rId587" xr:uid="{3C62F6D2-B0DF-4F46-838B-DE2E870B720A}"/>
    <hyperlink ref="I294" r:id="rId588" xr:uid="{B350B2FA-F34A-4BA9-A60F-ADC7204E4E4B}"/>
    <hyperlink ref="I353" r:id="rId589" xr:uid="{F424C4D0-B31E-4293-A3BE-26D506E99ECE}"/>
    <hyperlink ref="I384" r:id="rId590" xr:uid="{E83B5BE7-D3B1-486F-B98D-028ADF5DC701}"/>
    <hyperlink ref="I544" r:id="rId591" xr:uid="{908A9309-391C-4FA7-9377-ED5B12ACB861}"/>
    <hyperlink ref="I571" r:id="rId592" xr:uid="{BDA8583A-31CD-401B-B2DD-4D60225F4602}"/>
    <hyperlink ref="I609" r:id="rId593" xr:uid="{412E047B-6A02-4482-AFAB-F8E4A4A12F52}"/>
    <hyperlink ref="I634" r:id="rId594" xr:uid="{BDB6F430-EA45-4FDC-ABE4-9B3568FE8C58}"/>
    <hyperlink ref="I711" r:id="rId595" xr:uid="{408EB46D-32E3-4453-A112-3234C7080AB7}"/>
    <hyperlink ref="I733" r:id="rId596" xr:uid="{70CDBD37-82FE-40CD-888A-F8A6B531644E}"/>
    <hyperlink ref="I825" r:id="rId597" xr:uid="{D0F28C28-18A2-4653-B041-D804A9227E4A}"/>
    <hyperlink ref="I844" r:id="rId598" xr:uid="{A80E6BD8-ECD8-4C43-912E-445B25255FF3}"/>
    <hyperlink ref="I941" r:id="rId599" xr:uid="{C46800A5-9ACF-4686-840A-144D164DCDC7}"/>
    <hyperlink ref="I959" r:id="rId600" xr:uid="{A189A199-1FE6-48F2-9258-270DF8E85D6A}"/>
    <hyperlink ref="I1056" r:id="rId601" xr:uid="{753AD313-CD3A-4462-9C23-92CC34BA438F}"/>
    <hyperlink ref="I1073" r:id="rId602" xr:uid="{62F760BB-A867-4290-B8F6-F56CD2CDC982}"/>
    <hyperlink ref="I1171" r:id="rId603" xr:uid="{1F450A02-1EE2-48D8-BC5E-6A9CA7678128}"/>
    <hyperlink ref="I1187" r:id="rId604" xr:uid="{DDE38204-0CE5-4312-A3C6-040DE5D31181}"/>
    <hyperlink ref="I1381" r:id="rId605" xr:uid="{4F0A1FF9-BD28-43EC-B5B7-16F40FD4666D}"/>
    <hyperlink ref="I1386" r:id="rId606" xr:uid="{1F800A9B-43D0-4A97-88D0-91328661340E}"/>
    <hyperlink ref="I1495" r:id="rId607" xr:uid="{7440EC85-C2C0-425C-8996-F6D7C4DD24C6}"/>
    <hyperlink ref="I1503" r:id="rId608" xr:uid="{8E54728E-CA37-4912-8983-D24D791697D5}"/>
    <hyperlink ref="I1603" r:id="rId609" xr:uid="{E713A386-F670-4E8D-AD96-6080B17EED04}"/>
    <hyperlink ref="I1610" r:id="rId610" xr:uid="{6A140E76-0A67-45DD-B760-4CA1DA7C5756}"/>
    <hyperlink ref="I1713" r:id="rId611" xr:uid="{FBF4549F-01E5-43D7-8FFF-88604C79F654}"/>
    <hyperlink ref="I1720" r:id="rId612" xr:uid="{08892F9C-B464-4314-9878-B7B5D2CBF350}"/>
    <hyperlink ref="I1826" r:id="rId613" xr:uid="{B8442923-DFA2-4986-863D-B934762CC79C}"/>
    <hyperlink ref="I1831" r:id="rId614" xr:uid="{746E5AC6-55BF-47A5-B32C-414D984B328B}"/>
    <hyperlink ref="I1936" r:id="rId615" xr:uid="{550B5FB8-D514-4BA3-B120-DDB8920052FE}"/>
    <hyperlink ref="I1942" r:id="rId616" xr:uid="{01A2E5DA-D6A5-45FC-A487-948484180F9D}"/>
    <hyperlink ref="I2051" r:id="rId617" xr:uid="{2B969940-6E10-4F21-81E0-3A9B580A3F55}"/>
    <hyperlink ref="I2056" r:id="rId618" xr:uid="{B48B06E1-7831-4BCB-A775-CF75EAE75304}"/>
    <hyperlink ref="I2163" r:id="rId619" xr:uid="{38481D52-F61B-4D22-BC9B-E724D92BB350}"/>
    <hyperlink ref="I2168" r:id="rId620" xr:uid="{E638F0F9-5E6D-4CA2-A4ED-0CD3C16970B9}"/>
    <hyperlink ref="I2278" r:id="rId621" xr:uid="{D99224AD-254A-4A6F-B079-6943BB950FE0}"/>
    <hyperlink ref="I2282" r:id="rId622" xr:uid="{118F8EB2-452D-41F5-922C-974D425F630D}"/>
    <hyperlink ref="I2391" r:id="rId623" xr:uid="{67B2C164-4107-4625-A65D-029BBBBD5552}"/>
    <hyperlink ref="I2395" r:id="rId624" xr:uid="{2DEF6537-5ED6-4CC1-BBA3-A02DDE2434A1}"/>
    <hyperlink ref="I2503" r:id="rId625" xr:uid="{2A5EFAE4-88F2-46D6-8B41-364DC64F0EA1}"/>
    <hyperlink ref="I2438" r:id="rId626" xr:uid="{F9F457A7-F2AA-49E7-AF12-E96715EB2AB3}"/>
    <hyperlink ref="I8" r:id="rId627" xr:uid="{CA0C2C10-F7C3-46C2-AC4E-A91A8E962928}"/>
    <hyperlink ref="I204" r:id="rId628" xr:uid="{E7B8621E-9625-4254-894D-D48B4CBDB2E3}"/>
    <hyperlink ref="I310" r:id="rId629" xr:uid="{650834FA-097F-415F-8FD6-AE71C2C65FDC}"/>
    <hyperlink ref="I413" r:id="rId630" xr:uid="{BFE8D035-A36A-4026-B4CD-06FFF8884ED3}"/>
    <hyperlink ref="I519" r:id="rId631" xr:uid="{F571465D-D6CF-4010-A4BF-316354F78D05}"/>
    <hyperlink ref="I631" r:id="rId632" xr:uid="{E09E4A5E-A4A2-4A58-9E36-8463FC056123}"/>
    <hyperlink ref="I744" r:id="rId633" xr:uid="{DACE9192-1A7C-4BE1-99BC-970023CE3CF8}"/>
    <hyperlink ref="I854" r:id="rId634" xr:uid="{ABE0A4DB-2FB9-49F0-A5D0-2FEC0C8CA755}"/>
    <hyperlink ref="I968" r:id="rId635" xr:uid="{8EE39375-FF9B-49DB-9FE8-E4120F12C2BB}"/>
    <hyperlink ref="I1082" r:id="rId636" xr:uid="{9D8D12C3-7A59-40A2-926D-C1576DAFDDF3}"/>
    <hyperlink ref="I1195" r:id="rId637" xr:uid="{CF30F4DF-B983-4D72-8F6F-E8E9D94E56A5}"/>
    <hyperlink ref="I1311" r:id="rId638" xr:uid="{228477F5-E6DE-4237-A4A6-C9CADBFAAF94}"/>
    <hyperlink ref="I1425" r:id="rId639" xr:uid="{16BD6714-6BDF-4E06-AC85-DB735B085B30}"/>
    <hyperlink ref="I1538" r:id="rId640" xr:uid="{809A6113-93A8-4B23-9978-A5D1DFC682F7}"/>
    <hyperlink ref="I1651" r:id="rId641" xr:uid="{B6E3F02E-63EE-4E12-AAAB-76215D4A4E98}"/>
    <hyperlink ref="I1767" r:id="rId642" xr:uid="{6D4E4B0E-33D4-448D-96F9-E675E1FDFE80}"/>
    <hyperlink ref="I1874" r:id="rId643" xr:uid="{487A3089-90EB-461D-BBD9-652C6B762624}"/>
    <hyperlink ref="I1990" r:id="rId644" xr:uid="{7824F9F7-FCBF-4D4A-9AD6-248FD5F3E404}"/>
    <hyperlink ref="I2107" r:id="rId645" xr:uid="{154B0487-3793-4EE7-A622-52D3599D7AA7}"/>
    <hyperlink ref="I2221" r:id="rId646" xr:uid="{55DCFE4A-B56B-454E-B196-1F51DC58B7C7}"/>
    <hyperlink ref="I2336" r:id="rId647" xr:uid="{6310A1A1-85EC-4FB5-AB43-9953AA8B2C2B}"/>
    <hyperlink ref="I2452" r:id="rId648" xr:uid="{0FB595DF-C6D5-462B-BC6A-BC222272C9A4}"/>
    <hyperlink ref="I4" r:id="rId649" xr:uid="{18BF5457-5212-46EA-8FC0-B7E4AC22B53A}"/>
    <hyperlink ref="I167" r:id="rId650" xr:uid="{DE1FAC1F-2C34-4F05-95D4-09E1B9F822EC}"/>
    <hyperlink ref="I236" r:id="rId651" xr:uid="{4C48553A-28D1-4ABB-93D3-FFCC0866D0CB}"/>
    <hyperlink ref="I369" r:id="rId652" xr:uid="{ADE854F5-DC24-4FAF-BF65-6958FFE43F00}"/>
    <hyperlink ref="I557" r:id="rId653" xr:uid="{6659A600-F66E-4F4F-A50E-57829612F9A3}"/>
    <hyperlink ref="I621" r:id="rId654" xr:uid="{4D98A563-203F-43C3-BF3C-F4A88D84DE8E}"/>
    <hyperlink ref="I747" r:id="rId655" xr:uid="{253E051F-6059-4842-80F6-4F753A571163}"/>
    <hyperlink ref="I857" r:id="rId656" xr:uid="{2E04876E-99B0-47D8-A67D-81E547D9BE78}"/>
    <hyperlink ref="I970" r:id="rId657" xr:uid="{BC975FFB-F9E7-4BD6-9AF8-E8C2C5746A31}"/>
    <hyperlink ref="I1084" r:id="rId658" xr:uid="{17A67F8A-1F9B-41BB-A94C-032695260765}"/>
    <hyperlink ref="I1196" r:id="rId659" xr:uid="{A8B1E673-3232-4D79-AF9A-6BB7C59E1CAC}"/>
    <hyperlink ref="I1312" r:id="rId660" xr:uid="{5EFEC64E-6767-4053-A2C1-B9BA61EB6A17}"/>
    <hyperlink ref="I1426" r:id="rId661" xr:uid="{81BB612D-B5B1-4421-81C7-CB8029060A24}"/>
    <hyperlink ref="I1539" r:id="rId662" xr:uid="{91D638C1-C488-481F-B2E3-CB8471656B5F}"/>
    <hyperlink ref="I1652" r:id="rId663" xr:uid="{AC2BAB3C-CEA9-4642-B4F8-E6BB90F54D5F}"/>
    <hyperlink ref="I1769" r:id="rId664" xr:uid="{62C4064C-D8FD-458B-AAB3-45DFE244D103}"/>
    <hyperlink ref="I1881" r:id="rId665" xr:uid="{E38B34D6-C655-46A5-9A9E-6B1BB3D9862B}"/>
    <hyperlink ref="I1998" r:id="rId666" xr:uid="{DD65B8A2-8490-45C0-80FD-87B2877D9B16}"/>
    <hyperlink ref="I2115" r:id="rId667" xr:uid="{9B6BBAB3-9B19-4CDB-B212-4A2B945615B6}"/>
    <hyperlink ref="I2228" r:id="rId668" xr:uid="{B1F05D43-6106-4BF2-BE97-7BB88DF46803}"/>
    <hyperlink ref="I2343" r:id="rId669" xr:uid="{31D4258D-C5B1-4B99-90B1-2D1C97ECFEBC}"/>
    <hyperlink ref="I2458" r:id="rId670" xr:uid="{AA901821-A13B-4F6A-8949-DE7EDDFEA70A}"/>
    <hyperlink ref="I35" r:id="rId671" xr:uid="{0924D74E-AE7A-4D66-B727-1BE216E8DDE5}"/>
    <hyperlink ref="I88" r:id="rId672" xr:uid="{68F78C0E-98B5-4855-A564-1C9ACFD8AFBF}"/>
    <hyperlink ref="I122" r:id="rId673" xr:uid="{A6A9F4BA-32DA-404F-99BA-23AD54BB89F2}"/>
    <hyperlink ref="I164" r:id="rId674" xr:uid="{0E4467F6-CC62-4B18-AE30-A489438ADE09}"/>
    <hyperlink ref="I169" r:id="rId675" xr:uid="{8B85A8BF-9BA1-4C3B-93A5-5BFC49274B39}"/>
    <hyperlink ref="I191" r:id="rId676" xr:uid="{EEB75F51-B629-4001-8F75-62C1BB0696D7}"/>
    <hyperlink ref="I214" r:id="rId677" xr:uid="{45B0D73E-6023-48D5-8276-2B2E640231B3}"/>
    <hyperlink ref="I234" r:id="rId678" xr:uid="{1A1C027E-A620-4923-B9B6-94D3A53713B1}"/>
    <hyperlink ref="I237" r:id="rId679" xr:uid="{2BD46F81-BAD6-4A80-8180-A27AB3CAB63B}"/>
    <hyperlink ref="I278" r:id="rId680" xr:uid="{1EC364CC-E2CA-491A-B456-F98FB0AA8316}"/>
    <hyperlink ref="I418" r:id="rId681" xr:uid="{36172B2A-7F79-429A-B149-AA8831ACA757}"/>
    <hyperlink ref="I421" r:id="rId682" xr:uid="{30729459-D2EB-4EE4-B42E-15D72B1773D1}"/>
    <hyperlink ref="I452" r:id="rId683" xr:uid="{1D47D8DB-E5D0-45B4-A7D1-E901A1E6E7FD}"/>
    <hyperlink ref="I499" r:id="rId684" xr:uid="{19D4E397-3246-49E9-BEE5-1DC2906BD9FD}"/>
    <hyperlink ref="I524" r:id="rId685" xr:uid="{9D0608CF-569E-49F0-963F-E2A5739FE6B5}"/>
    <hyperlink ref="I527" r:id="rId686" xr:uid="{A3F9979A-C131-4966-A247-0299A93F69FB}"/>
    <hyperlink ref="I594" r:id="rId687" xr:uid="{42F7D608-0168-40B7-8E70-B8011821C9AA}"/>
    <hyperlink ref="I663" r:id="rId688" xr:uid="{F6EEDB84-C5BC-46F2-8263-3116B01F2266}"/>
    <hyperlink ref="I686" r:id="rId689" xr:uid="{9783D99D-CA7D-4183-9FBC-424A121D239B}"/>
    <hyperlink ref="I736" r:id="rId690" xr:uid="{EB0FAE22-9ECE-444F-A32C-950D1CB90DFD}"/>
    <hyperlink ref="I761" r:id="rId691" xr:uid="{88E7E4C3-4D88-422E-B09C-37E6C8FADC9A}"/>
    <hyperlink ref="I773" r:id="rId692" xr:uid="{9ADA586A-23A0-4823-AA6A-C7EBF8CD9316}"/>
    <hyperlink ref="I785" r:id="rId693" xr:uid="{C64B8BCF-CC15-4C59-9639-907807AE3F1C}"/>
    <hyperlink ref="I796" r:id="rId694" xr:uid="{D669D0A1-6CCF-4656-8221-13BCEF9CADAE}"/>
    <hyperlink ref="I846" r:id="rId695" xr:uid="{9EB83CFC-559A-4034-8E4F-A06FC8ACC65C}"/>
    <hyperlink ref="I868" r:id="rId696" xr:uid="{FFF8A243-8E5E-4A65-855B-D3271D7DB7FD}"/>
    <hyperlink ref="I881" r:id="rId697" xr:uid="{D8B8B06F-64F6-4D65-8D31-C3A66A6AE09C}"/>
    <hyperlink ref="I894" r:id="rId698" xr:uid="{04B4F1F7-24F7-4EEC-AC77-21341AC4AFAA}"/>
    <hyperlink ref="I904" r:id="rId699" xr:uid="{ACC05CC1-881B-4B26-8768-36C7F2A3E299}"/>
    <hyperlink ref="I960" r:id="rId700" xr:uid="{D2017D7E-6C6B-46F9-AFD7-AE3C8CCCF098}"/>
    <hyperlink ref="I980" r:id="rId701" xr:uid="{E955796D-72E5-45CA-B7ED-10AFD6D59989}"/>
    <hyperlink ref="I993" r:id="rId702" xr:uid="{3969D0D2-921D-4CEC-A658-452B3751FA2C}"/>
    <hyperlink ref="I1004" r:id="rId703" xr:uid="{6D9304C0-AAD3-4E97-82AA-90980C7C0C33}"/>
    <hyperlink ref="I1014" r:id="rId704" xr:uid="{C09DCD84-E95C-4A8B-8BB3-6265C10E4F3F}"/>
    <hyperlink ref="I1074" r:id="rId705" xr:uid="{9C3A3720-1810-4EC4-A4F6-79AF27F2FD00}"/>
    <hyperlink ref="I1093" r:id="rId706" xr:uid="{D58EA07F-37D6-49BD-9010-08A35507D066}"/>
    <hyperlink ref="I1103" r:id="rId707" xr:uid="{015F9364-3BA7-42D7-92C1-912CDCBCE6B2}"/>
    <hyperlink ref="I1114" r:id="rId708" xr:uid="{29B51500-FB07-4DF1-A383-7A8319DB7144}"/>
    <hyperlink ref="I1124" r:id="rId709" xr:uid="{19829D39-6DC9-4DF1-B3EA-0347BC1BB757}"/>
    <hyperlink ref="I1188" r:id="rId710" xr:uid="{AC73B12A-82EC-4E33-8A8B-0987B55F6F98}"/>
    <hyperlink ref="I1203" r:id="rId711" xr:uid="{3EF07BA1-5EF2-4B45-B05B-2A07B620880D}"/>
    <hyperlink ref="I1213" r:id="rId712" xr:uid="{21C9F33D-AA13-4C63-BD4B-C6385D297033}"/>
    <hyperlink ref="I1223" r:id="rId713" xr:uid="{A25E39A9-A9AF-491A-BA45-D90FB2898FA2}"/>
    <hyperlink ref="I1233" r:id="rId714" xr:uid="{526EBB53-FE7F-429C-9790-0A299D5362E0}"/>
    <hyperlink ref="I1303" r:id="rId715" xr:uid="{11E92D9A-299D-4607-99EA-36C19B8C0DF1}"/>
    <hyperlink ref="I1320" r:id="rId716" xr:uid="{0BBDF264-2165-4020-9E9D-E8367128033B}"/>
    <hyperlink ref="I1327" r:id="rId717" xr:uid="{A252340C-60A7-45E3-BD72-A9B26D1A2812}"/>
    <hyperlink ref="I1337" r:id="rId718" xr:uid="{B51C0327-E8BB-4202-A663-DF2150F7F363}"/>
    <hyperlink ref="I1346" r:id="rId719" xr:uid="{2CDC23B1-3C37-4473-A92C-A7BA479BCEB2}"/>
    <hyperlink ref="I1417" r:id="rId720" xr:uid="{82FE20E5-B43C-45FB-8BA9-2D61C04FAC60}"/>
    <hyperlink ref="I1433" r:id="rId721" xr:uid="{D446A06B-1D33-477A-9D08-37224BA0C601}"/>
    <hyperlink ref="I1440" r:id="rId722" xr:uid="{7AB01CDC-3945-43B1-BDCA-C6E3BA7FEC52}"/>
    <hyperlink ref="I1449" r:id="rId723" xr:uid="{39612DFF-1491-4576-845F-216CAEA4E773}"/>
    <hyperlink ref="I1457" r:id="rId724" xr:uid="{8BD5D39C-56A2-4319-AA20-FC72F65F719B}"/>
    <hyperlink ref="I1532" r:id="rId725" xr:uid="{FCC75080-5B85-4826-A690-BF7E1FD87751}"/>
    <hyperlink ref="I1545" r:id="rId726" xr:uid="{CD98F91F-7A07-4DEE-A9AD-D19F8CE8E813}"/>
    <hyperlink ref="I1583" r:id="rId727" xr:uid="{710ABBA5-5168-4B50-8B99-A9694C641D9B}"/>
    <hyperlink ref="I1561" r:id="rId728" xr:uid="{DCCEA50E-409A-4D94-85BD-A03468E10BE4}"/>
    <hyperlink ref="I1566" r:id="rId729" xr:uid="{DC2F921A-9F11-4623-9213-BFE1DBB74DA4}"/>
    <hyperlink ref="I1645" r:id="rId730" xr:uid="{ABF1F2F1-9187-4B6D-BC62-4780A198E9E6}"/>
    <hyperlink ref="I1658" r:id="rId731" xr:uid="{4666B5AC-6A1C-4B49-AFFF-55C13CBA8444}"/>
    <hyperlink ref="I1666" r:id="rId732" xr:uid="{930D1A96-7623-48CB-84D8-319B24541079}"/>
    <hyperlink ref="I1674" r:id="rId733" xr:uid="{32374734-90C6-4ECC-88D2-4D8C167FCCBC}"/>
    <hyperlink ref="I1679" r:id="rId734" xr:uid="{DF87446A-0487-49A7-A5E5-2CCE886485CC}"/>
    <hyperlink ref="I1761" r:id="rId735" xr:uid="{E3184FB5-3E7F-4180-AFD3-EB6408B2691B}"/>
    <hyperlink ref="I1774" r:id="rId736" xr:uid="{D530AC52-C19D-48DD-9359-B5917522C0BD}"/>
    <hyperlink ref="I1782" r:id="rId737" xr:uid="{BDB8286C-E745-4840-9066-67500D2615F2}"/>
    <hyperlink ref="I1790" r:id="rId738" xr:uid="{4352AA82-C434-4D14-9CF8-89EC4D773A4D}"/>
    <hyperlink ref="I1794" r:id="rId739" xr:uid="{D6D695C7-EFB8-45BB-9CB7-5090717DB807}"/>
    <hyperlink ref="I1875" r:id="rId740" xr:uid="{0D000F76-9B08-44CA-BE6B-3389382B30A6}"/>
    <hyperlink ref="I1886" r:id="rId741" xr:uid="{B5EE30F7-C415-498A-B7B4-A2AE387F1CAF}"/>
    <hyperlink ref="I1893" r:id="rId742" xr:uid="{6B9EDA13-D2E4-4676-A00E-0E1D478C1221}"/>
    <hyperlink ref="I1901" r:id="rId743" xr:uid="{FD5261C8-F844-4B56-8162-17BD931B6313}"/>
    <hyperlink ref="I1905" r:id="rId744" xr:uid="{7B905178-7DFD-4DA9-BA4D-DAD425CA77AB}"/>
    <hyperlink ref="I1991" r:id="rId745" xr:uid="{FFAAB818-6FD3-494A-BFA1-396FC4A2A71E}"/>
    <hyperlink ref="I2002" r:id="rId746" xr:uid="{240C28B2-3710-41A7-BCAA-2D3D56CC4831}"/>
    <hyperlink ref="I2010" r:id="rId747" xr:uid="{1D443CDD-B02A-4343-B950-5C2549798884}"/>
    <hyperlink ref="I2018" r:id="rId748" xr:uid="{7F67FD36-B58B-420A-AF7C-6C4B6F13CEF2}"/>
    <hyperlink ref="I2021" r:id="rId749" xr:uid="{89787F41-D8B7-450F-ADB7-8366B8235AAA}"/>
    <hyperlink ref="I2108" r:id="rId750" xr:uid="{C37D3AC8-2DFD-42B6-8CBF-F77D00F703E5}"/>
    <hyperlink ref="I2119" r:id="rId751" xr:uid="{8A6E1A69-7FB2-4254-BBD1-F9DFBF040C21}"/>
    <hyperlink ref="I2126" r:id="rId752" xr:uid="{B6B627D9-5782-41C7-8ADD-D3937484626A}"/>
    <hyperlink ref="I2133" r:id="rId753" xr:uid="{0D950C7E-8784-4FBB-900D-8733C1EC4BEA}"/>
    <hyperlink ref="I2136" r:id="rId754" xr:uid="{E11C3D69-FB24-4C8E-B303-46C2D40AB59D}"/>
    <hyperlink ref="I2222" r:id="rId755" xr:uid="{F29A0211-BABD-4957-B6E0-F071E2981472}"/>
    <hyperlink ref="I2232" r:id="rId756" xr:uid="{BE7ED2A6-58D7-4795-B9EA-C0EDB4EFCAAF}"/>
    <hyperlink ref="I2239" r:id="rId757" xr:uid="{4CB01A26-3B0F-42E9-8628-551BF97CBD98}"/>
    <hyperlink ref="I2247" r:id="rId758" xr:uid="{0A8BB430-0665-4112-9166-D6E50F4FE865}"/>
    <hyperlink ref="I2250" r:id="rId759" xr:uid="{51DBEF19-B20C-49D2-B288-3CEC1ACF6BCA}"/>
    <hyperlink ref="I2337" r:id="rId760" xr:uid="{C6B0AFFE-9418-461D-A22A-FBAD6740F274}"/>
    <hyperlink ref="I2347" r:id="rId761" xr:uid="{0172C0D6-67F1-419F-AB24-945E2FF5BF6A}"/>
    <hyperlink ref="I2354" r:id="rId762" xr:uid="{B3499B17-BD4A-4157-BCAB-EDF2DC9972BA}"/>
    <hyperlink ref="I2361" r:id="rId763" xr:uid="{C2AF8458-4909-4025-A259-8F32D4A0A250}"/>
    <hyperlink ref="I2363" r:id="rId764" xr:uid="{A5C12311-D514-4BB1-BB4D-3A0770EBA9BC}"/>
    <hyperlink ref="I2453" r:id="rId765" xr:uid="{6BB542B1-102A-47C6-B375-8D4E7F9DCBFF}"/>
    <hyperlink ref="I2461" r:id="rId766" xr:uid="{92EC7422-2B2C-4A8C-9878-B5D382584B4A}"/>
    <hyperlink ref="I2467" r:id="rId767" xr:uid="{3C8942D4-5A62-4BBC-B1D9-839229680718}"/>
    <hyperlink ref="I2474" r:id="rId768" xr:uid="{21521216-E63E-4789-B86D-DCD25F38E936}"/>
    <hyperlink ref="I2476" r:id="rId769" xr:uid="{1D2C0FCA-5C40-4F92-AABC-5EC10F5D606A}"/>
    <hyperlink ref="I64" r:id="rId770" xr:uid="{EA45B2C6-5FF5-461E-BCB8-FB1849ACCB17}"/>
    <hyperlink ref="I170" r:id="rId771" xr:uid="{2F5A4D4E-3EF9-432C-B4A0-3CFB989DEA08}"/>
    <hyperlink ref="I318" r:id="rId772" xr:uid="{F6311879-CE52-480E-9666-6FBECAE56832}"/>
    <hyperlink ref="I385" r:id="rId773" xr:uid="{CC01A106-8B40-48F6-9DC9-AD94C1F01CA1}"/>
    <hyperlink ref="I511" r:id="rId774" xr:uid="{AC0FA49F-D5DE-4B15-9AEC-A94482D37DA1}"/>
    <hyperlink ref="I635" r:id="rId775" xr:uid="{D68196DF-51B7-4426-8A47-23C1E6D4ACC8}"/>
    <hyperlink ref="I808" r:id="rId776" xr:uid="{A6EF457C-3980-4961-8507-4738301B8C44}"/>
    <hyperlink ref="I912" r:id="rId777" xr:uid="{2D315976-1341-4617-AD6A-50B6453E0AF0}"/>
    <hyperlink ref="I961" r:id="rId778" xr:uid="{404170E2-C512-4491-9C65-62597839A2EE}"/>
    <hyperlink ref="I1131" r:id="rId779" xr:uid="{BF30A668-A83E-46D1-BB9D-73B461E0B142}"/>
    <hyperlink ref="I1240" r:id="rId780" xr:uid="{6AA4A8B9-FA9D-4DAD-B8AA-327ABF7044F1}"/>
    <hyperlink ref="I1352" r:id="rId781" xr:uid="{63418B67-54CF-4F33-A915-1C8208847868}"/>
    <hyperlink ref="I1465" r:id="rId782" xr:uid="{A39F8033-C247-4221-A2D7-63E09D79A7DC}"/>
    <hyperlink ref="I1573" r:id="rId783" xr:uid="{98774D8F-DE77-44DD-BCD1-EB4EEB89C656}"/>
    <hyperlink ref="I1721" r:id="rId784" xr:uid="{6EF4D8D5-B2DA-44C2-AD43-8ECD2997AE04}"/>
    <hyperlink ref="I1808" r:id="rId785" xr:uid="{58DC4F4F-5CDB-4BAE-AA31-A48087620D2B}"/>
    <hyperlink ref="I1910" r:id="rId786" xr:uid="{CF492E2D-9291-45DA-869F-B10FBC6D26E5}"/>
    <hyperlink ref="I2025" r:id="rId787" xr:uid="{FBD06C91-1877-490F-B011-B25272BCC781}"/>
    <hyperlink ref="I2109" r:id="rId788" xr:uid="{E60798B0-3871-416F-B41B-1E756A570DF7}"/>
    <hyperlink ref="I2223" r:id="rId789" xr:uid="{9A737BEB-4802-4557-8C95-ED2BE1E2B3EE}"/>
    <hyperlink ref="I2434" r:id="rId790" xr:uid="{9A7DC316-670A-444B-837E-C79EDA4A2877}"/>
    <hyperlink ref="I2542" r:id="rId791" xr:uid="{4D6D41E4-E73B-4358-A28C-6309E8D3E89A}"/>
    <hyperlink ref="I94" r:id="rId792" xr:uid="{C43059E3-D4F9-40B8-8594-93549B16E1F2}"/>
    <hyperlink ref="I123" r:id="rId793" xr:uid="{C547C6C2-49A2-4EBA-8002-5DC568B8810A}"/>
    <hyperlink ref="I238" r:id="rId794" xr:uid="{81AEC2DB-BFF6-481A-94BD-A053884C1FAC}"/>
    <hyperlink ref="I420" r:id="rId795" xr:uid="{8AC7DA17-6BF7-4474-B1B5-F6F374B6C336}"/>
    <hyperlink ref="I510" r:id="rId796" xr:uid="{AF5391F4-9141-4C8B-BED6-B83667948A58}"/>
    <hyperlink ref="I662" r:id="rId797" xr:uid="{3A40B96A-06C0-49F0-AD6E-C8A95A06DB6A}"/>
    <hyperlink ref="I699" r:id="rId798" xr:uid="{42A5E2E0-5CB5-42B7-9F79-8C5C1E310A77}"/>
    <hyperlink ref="I815" r:id="rId799" xr:uid="{761FD69D-6FB5-4DE2-997D-017E3A7F361F}"/>
    <hyperlink ref="I931" r:id="rId800" xr:uid="{35FAFE7A-2417-41FA-B518-F22E51CA1726}"/>
    <hyperlink ref="I1047" r:id="rId801" xr:uid="{7974FECE-1E0B-48D1-9EBC-7F44F3F32A26}"/>
    <hyperlink ref="I1163" r:id="rId802" xr:uid="{0B76539A-550E-4A57-A533-FC0EF3BBAB59}"/>
    <hyperlink ref="I1278" r:id="rId803" xr:uid="{DA102EA4-CEB4-43C7-994F-1284131C813C}"/>
    <hyperlink ref="I1394" r:id="rId804" xr:uid="{277A87AF-5C14-4BDD-AEB1-3C5CD5A215C7}"/>
    <hyperlink ref="I1510" r:id="rId805" xr:uid="{CBD9C764-7BC7-4507-8CC4-728A57596E4B}"/>
    <hyperlink ref="I1626" r:id="rId806" xr:uid="{E5E2A377-D20E-410A-8EA5-AD5BB4BDF3AC}"/>
    <hyperlink ref="I1742" r:id="rId807" xr:uid="{2DA22ACD-73F2-43B9-9915-7367C6E7ABCB}"/>
    <hyperlink ref="I1858" r:id="rId808" xr:uid="{4834F168-0E68-4470-87A3-3BC534D836C5}"/>
    <hyperlink ref="I1974" r:id="rId809" xr:uid="{1BDE722E-1483-4BA1-9381-949AB94CEBD2}"/>
    <hyperlink ref="I2090" r:id="rId810" xr:uid="{FA1E5B95-D55C-46DD-A975-1271F5F187DB}"/>
    <hyperlink ref="I2206" r:id="rId811" xr:uid="{B56FC676-9DB3-4278-A301-BB8002510A6B}"/>
    <hyperlink ref="I2322" r:id="rId812" xr:uid="{3CB91885-E7AF-48F9-88C3-31E12B809A18}"/>
    <hyperlink ref="I2439" r:id="rId813" xr:uid="{9B0D1402-87B7-4C70-AF39-92B5C67909EA}"/>
    <hyperlink ref="I2554" r:id="rId814" xr:uid="{F5A12942-4518-414A-B16E-D76F2CE78066}"/>
    <hyperlink ref="I2557" r:id="rId815" xr:uid="{6A50BB5F-D340-42E1-9F44-DD20E73CEF7F}"/>
    <hyperlink ref="I2558" r:id="rId816" xr:uid="{6E07A58D-1E0A-4325-AA4A-3C791FC2696A}"/>
    <hyperlink ref="I2562" r:id="rId817" xr:uid="{32A80C08-FD0C-4418-B4E6-C992FBCB6566}"/>
    <hyperlink ref="I2565" r:id="rId818" xr:uid="{B0785E27-8E17-4485-9555-887392CB9A1B}"/>
    <hyperlink ref="I2566" r:id="rId819" xr:uid="{19F4CBD4-772C-4926-B5C0-5C0FC4F2FFEC}"/>
    <hyperlink ref="I2567" r:id="rId820" xr:uid="{4A968D61-6AAB-444F-A17B-599C9897EC2C}"/>
    <hyperlink ref="I2568" r:id="rId821" xr:uid="{C1F7D075-F9DF-4482-9C17-511DEAC70FD3}"/>
    <hyperlink ref="I2571" r:id="rId822" xr:uid="{09F0AE8F-33A1-491A-B66B-CC8DBE04E368}"/>
    <hyperlink ref="I2573" r:id="rId823" xr:uid="{13A8816C-17A5-477B-A47F-65D988B3D5FE}"/>
    <hyperlink ref="I2575" r:id="rId824" xr:uid="{D2EB9A20-60B1-443A-AC65-0E73C8EC4449}"/>
    <hyperlink ref="I2617" r:id="rId825" xr:uid="{A23C6465-1C49-4BFC-B042-B5E3868054D1}"/>
    <hyperlink ref="I2605" r:id="rId826" xr:uid="{7DFCC171-0C3C-4576-AFB4-BE05921FEDF9}"/>
    <hyperlink ref="I2632" r:id="rId827" xr:uid="{35850FED-8D49-4489-9194-161AB7ADED84}"/>
    <hyperlink ref="I2621" r:id="rId828" xr:uid="{858C82B6-8FC9-4432-9667-D044E4B0B348}"/>
    <hyperlink ref="I2626" r:id="rId829" xr:uid="{BB0FF78C-D910-4480-A2DD-24C453BEAEAE}"/>
    <hyperlink ref="I2574" r:id="rId830" xr:uid="{0156A01A-9374-45BB-8C0B-7218D1C0AA09}"/>
    <hyperlink ref="I2585" r:id="rId831" xr:uid="{EB98460D-5F67-4B6C-9553-2D831EA93DF1}"/>
    <hyperlink ref="I2590" r:id="rId832" xr:uid="{A0F4DEBF-9809-4C6E-88DD-D428BC8A0CAD}"/>
    <hyperlink ref="I2592" r:id="rId833" xr:uid="{14241CD6-3FFE-4A00-A4A3-61FE1BD28FBC}"/>
    <hyperlink ref="I2661" r:id="rId834" xr:uid="{A8B13D84-3171-482F-A78B-D1389373F42B}"/>
    <hyperlink ref="I2579" r:id="rId835" xr:uid="{E030578C-1FFC-4C33-9DC7-773DE7BEA057}"/>
    <hyperlink ref="I2559" r:id="rId836" xr:uid="{35A18E86-1F69-480F-B93A-2C12AB806A4A}"/>
    <hyperlink ref="I2618" r:id="rId837" xr:uid="{F839B68C-332E-48C0-AC0D-B1D5E7AE04AA}"/>
    <hyperlink ref="I2614" r:id="rId838" xr:uid="{600D6A7D-6BA7-4BED-A043-C32806750973}"/>
    <hyperlink ref="I2649" r:id="rId839" xr:uid="{F11758CF-FCF2-4547-9737-F4C8494D8319}"/>
    <hyperlink ref="I2608" r:id="rId840" xr:uid="{3DA620A6-43FE-4B15-9CB5-17D9FCAE0DA3}"/>
    <hyperlink ref="I2620" r:id="rId841" display="https://www.google.com/maps/d/viewer?mid=1ejOzT7-x6RWnCf83BBP7XhiOiwEX3Wk&amp;ll=36.061264791292906%2C-79.87437695000003&amp;z=17" xr:uid="{F06768EA-2613-4C26-8F24-7C6DDDB86322}"/>
    <hyperlink ref="I2611" r:id="rId842" xr:uid="{2D73D776-D5C2-437C-8AB8-F58D52854D72}"/>
    <hyperlink ref="I2624" r:id="rId843" xr:uid="{098DF4AC-FE7D-4A81-BD3C-E958CE62F7BA}"/>
    <hyperlink ref="I2642" r:id="rId844" xr:uid="{672A6512-327E-49C2-8280-FBE6F4132EE6}"/>
    <hyperlink ref="I2615" r:id="rId845" xr:uid="{F6E3E1D6-B7AC-46DC-B1CE-368AA3308370}"/>
    <hyperlink ref="I2619" r:id="rId846" xr:uid="{0FC39430-5F08-46B7-B550-BBAF238BB06D}"/>
    <hyperlink ref="I2576" r:id="rId847" xr:uid="{F0BBB046-073B-4C80-87F6-0001FF8009BE}"/>
    <hyperlink ref="I2582" r:id="rId848" xr:uid="{32E1D1C8-D19C-4FB4-A28F-A2381AA79473}"/>
    <hyperlink ref="I2589" r:id="rId849" xr:uid="{AA272830-A89A-40C1-AC57-B37C28311E09}"/>
    <hyperlink ref="I2591" r:id="rId850" xr:uid="{F3AAEC6E-8121-4353-AD0B-2C15C706B41B}"/>
    <hyperlink ref="I2569" r:id="rId851" xr:uid="{E099AA71-4A0F-4EE5-BEBE-05FE76C0DDBC}"/>
    <hyperlink ref="I2671" r:id="rId852" xr:uid="{614AF4B5-9312-48FA-8F37-D2DB55D51842}"/>
    <hyperlink ref="I2673" r:id="rId853" xr:uid="{FB998236-9D70-4176-9B74-E12F4F6929CF}"/>
    <hyperlink ref="I2674" r:id="rId854" xr:uid="{EAEA6211-CE9B-42BE-BF0F-AE1028E16B32}"/>
    <hyperlink ref="I2678" r:id="rId855" xr:uid="{DF0C8480-5DB2-422D-A5F5-637EECD9B917}"/>
    <hyperlink ref="I2681" r:id="rId856" xr:uid="{7032DC92-FAC4-445F-B41D-416CE3A817A9}"/>
    <hyperlink ref="I2682" r:id="rId857" xr:uid="{3747AE3E-FC18-481A-94D0-22D80742505B}"/>
    <hyperlink ref="I2747" r:id="rId858" xr:uid="{2B6121C6-E969-433E-A27F-01E175E63B17}"/>
    <hyperlink ref="I2684" r:id="rId859" xr:uid="{33287AA7-5B65-4762-9FB3-DD870DE5C571}"/>
    <hyperlink ref="I2686" r:id="rId860" xr:uid="{13EEC600-6A24-4C2E-9A9B-29CCB1A0D045}"/>
    <hyperlink ref="I2688" r:id="rId861" xr:uid="{4C3F7074-38AD-4A73-AD77-6966642EBBA9}"/>
    <hyperlink ref="I2690" r:id="rId862" xr:uid="{9C9C59AC-6B2E-48CC-AF53-FEEA1BD2768B}"/>
    <hyperlink ref="I2785" r:id="rId863" xr:uid="{E7B9F182-E0BD-43E8-892C-FCCBA8E51574}"/>
    <hyperlink ref="I2721" r:id="rId864" xr:uid="{B1FFA96C-9E2B-4193-96E6-D3CE46512D8E}"/>
    <hyperlink ref="I2746" r:id="rId865" xr:uid="{32765AEA-6004-4926-B165-2AD3689B8A06}"/>
    <hyperlink ref="I2735" r:id="rId866" xr:uid="{B9520947-329E-48E1-8AAB-2E80A1EEC234}"/>
    <hyperlink ref="I2740" r:id="rId867" xr:uid="{52346E1F-3A93-4835-9FBB-2D2FD3066E47}"/>
    <hyperlink ref="I2689" r:id="rId868" xr:uid="{EC439ECC-E1B6-4D0D-8BBB-6571C9EF368F}"/>
    <hyperlink ref="I2700" r:id="rId869" xr:uid="{E0847EFF-B991-488F-B735-BEB8795C379D}"/>
    <hyperlink ref="I2705" r:id="rId870" xr:uid="{1488A422-6400-4321-B822-1852A2776856}"/>
    <hyperlink ref="I2707" r:id="rId871" xr:uid="{FE3C7B0D-4F8E-47E7-AB0F-2F01F5BED64C}"/>
    <hyperlink ref="I2773" r:id="rId872" xr:uid="{D3A36EE9-0D1D-4512-91DF-F8EAB22AB1C8}"/>
    <hyperlink ref="I2694" r:id="rId873" xr:uid="{E24A3F59-0AE9-495C-B3E8-15FE740B7229}"/>
    <hyperlink ref="I2732" r:id="rId874" xr:uid="{77ACF55F-38E0-425A-8466-7144CE8EBDB5}"/>
    <hyperlink ref="I2733" r:id="rId875" xr:uid="{CB47A45F-BF8C-43A9-B70F-23C9C2C488DA}"/>
    <hyperlink ref="I2670" r:id="rId876" xr:uid="{70A403AB-05E8-46E0-8461-C4E6AEF7113E}"/>
    <hyperlink ref="I2748" r:id="rId877" xr:uid="{C9514957-DB4C-49F7-AA9D-D336832092D6}"/>
    <hyperlink ref="I2724" r:id="rId878" xr:uid="{19067075-36BC-4BF8-AFC9-3D23FD2696EF}"/>
    <hyperlink ref="I2699" r:id="rId879" display="https://www.google.com/maps/d/viewer?mid=1ejOzT7-x6RWnCf83BBP7XhiOiwEX3Wk&amp;ll=36.061264791292906%2C-79.87437695000003&amp;z=17" xr:uid="{E0C80CDF-3EB3-49AD-B71B-B2FB035BE775}"/>
    <hyperlink ref="I2727" r:id="rId880" xr:uid="{93FF19DE-B3BC-42BC-98EE-E4ECC6ED69AB}"/>
    <hyperlink ref="I2738" r:id="rId881" xr:uid="{2F319BB8-CA0B-4F96-8B2B-D1248BFFD310}"/>
    <hyperlink ref="I2756" r:id="rId882" xr:uid="{46A9AC64-9A34-490A-98A5-BE3D5EF216AE}"/>
    <hyperlink ref="I2730" r:id="rId883" xr:uid="{77F78944-FA39-4EC0-91E7-6FBC46F21899}"/>
    <hyperlink ref="I2734" r:id="rId884" xr:uid="{EC5A877A-0887-4EC8-B126-B538B413A236}"/>
    <hyperlink ref="I2691" r:id="rId885" xr:uid="{B38AA7D1-F40C-4C5A-9FBA-E2E29A030795}"/>
    <hyperlink ref="I2697" r:id="rId886" xr:uid="{EF803785-B956-45BC-AC1C-B5B81E6210D9}"/>
    <hyperlink ref="I2704" r:id="rId887" xr:uid="{0FA1C785-2E1F-4BE0-8771-C94197C4BFCC}"/>
    <hyperlink ref="I2706" r:id="rId888" xr:uid="{558F9C05-1307-42E0-8460-6EBDA904E205}"/>
    <hyperlink ref="I2692" r:id="rId889" xr:uid="{21EA3B3A-C53B-458F-A2FD-84EF4CAC7229}"/>
    <hyperlink ref="I2786" r:id="rId890" xr:uid="{354888E1-1D65-4024-9024-59115E0898DC}"/>
    <hyperlink ref="I2789" r:id="rId891" xr:uid="{364DA7A8-7ABA-4D1A-8182-F1088CE7A249}"/>
    <hyperlink ref="I2790" r:id="rId892" xr:uid="{47344AB7-4284-466B-AF68-E00338446A36}"/>
    <hyperlink ref="I2793" r:id="rId893" xr:uid="{FA1ABD05-4E70-4F3D-9E1A-4020176A4D4F}"/>
    <hyperlink ref="I2795" r:id="rId894" xr:uid="{E33F723C-BEDA-4169-9E68-FB3710AE2DC4}"/>
    <hyperlink ref="I2796" r:id="rId895" xr:uid="{7EFDC18B-80F1-4B86-A924-CF6C94451F04}"/>
    <hyperlink ref="I2797" r:id="rId896" xr:uid="{E6F4354A-933F-44D3-B09B-FD5E891C5CDE}"/>
    <hyperlink ref="I2799" r:id="rId897" xr:uid="{71EFCF4E-0D1A-4EA0-82A4-F58E3C716242}"/>
    <hyperlink ref="I2801" r:id="rId898" xr:uid="{6E43947D-5AA8-4F2C-9765-0AFA8DF9B49D}"/>
    <hyperlink ref="I2803" r:id="rId899" xr:uid="{88F70E37-9058-4A11-A06A-37B7174ABB22}"/>
    <hyperlink ref="I2805" r:id="rId900" xr:uid="{865185BC-C432-4329-844A-3263AB52EB52}"/>
    <hyperlink ref="I2896" r:id="rId901" xr:uid="{9BFF8865-E946-4907-A734-D8DBB3D143E0}"/>
    <hyperlink ref="I2835" r:id="rId902" xr:uid="{49D5BA38-D4FE-42FB-A5E0-2D3B2AD1024F}"/>
    <hyperlink ref="I2858" r:id="rId903" xr:uid="{88CEF0E5-EDA2-4229-9E42-E7B1763A91E9}"/>
    <hyperlink ref="I2848" r:id="rId904" xr:uid="{B061F905-B9DE-443F-B99D-A5F0332FBFA6}"/>
    <hyperlink ref="I2852" r:id="rId905" xr:uid="{7DE35EA9-D517-449C-BE31-F1D8E91309E3}"/>
    <hyperlink ref="I2804" r:id="rId906" xr:uid="{8A98C3B1-F32B-4B92-96E7-607E42962577}"/>
    <hyperlink ref="I2814" r:id="rId907" xr:uid="{89475377-3D3C-4AE3-A317-716B78F45383}"/>
    <hyperlink ref="I2819" r:id="rId908" xr:uid="{A6111048-EA29-413B-9EC8-37775BFF8C46}"/>
    <hyperlink ref="I2821" r:id="rId909" xr:uid="{9A74A6F0-28E6-4694-9C76-CEF729614F6B}"/>
    <hyperlink ref="I2884" r:id="rId910" xr:uid="{F57AB16F-7BE3-47F2-B22D-F404F2963A1C}"/>
    <hyperlink ref="I2809" r:id="rId911" xr:uid="{D2DE3FA8-4A0F-4813-8E52-6E7FCCB40E6F}"/>
    <hyperlink ref="I2845" r:id="rId912" xr:uid="{E173E1F8-6C7B-4E87-9C19-3F35729C6993}"/>
    <hyperlink ref="I2846" r:id="rId913" xr:uid="{82052F69-AA11-46C5-8F56-770F56243E6E}"/>
    <hyperlink ref="I2825" r:id="rId914" xr:uid="{AE9D9227-7B76-413A-830A-84C6CF9CAFBB}"/>
    <hyperlink ref="I2873" r:id="rId915" xr:uid="{0F7C9710-3584-4D82-8459-DA4B6E1E722F}"/>
    <hyperlink ref="I2838" r:id="rId916" xr:uid="{2E15B7CC-A662-4D63-B690-CCBD8AC4AF30}"/>
    <hyperlink ref="I2847" r:id="rId917" display="https://www.google.com/maps/d/viewer?mid=1ejOzT7-x6RWnCf83BBP7XhiOiwEX3Wk&amp;ll=36.061264791292906%2C-79.87437695000003&amp;z=17" xr:uid="{AB5A168B-5271-4845-A1B1-72BAAECD2C47}"/>
    <hyperlink ref="I2800" r:id="rId918" xr:uid="{5381ACE3-1BDA-42FF-9CF1-E96DA3F1B94B}"/>
    <hyperlink ref="I2899" r:id="rId919" xr:uid="{D58A6E02-66C5-4EC0-9CDC-65EB567A1C2F}"/>
    <hyperlink ref="I2867" r:id="rId920" xr:uid="{63CC2030-256C-44D2-B217-67B1DC7AFFE0}"/>
    <hyperlink ref="I2843" r:id="rId921" xr:uid="{A79E4305-E2C0-4351-B459-93588908DF59}"/>
    <hyperlink ref="I2859" r:id="rId922" xr:uid="{80A47E95-5414-44C4-89AD-A456DDDB08F8}"/>
    <hyperlink ref="I2806" r:id="rId923" xr:uid="{CF77CB0C-CBEC-4C51-ADCF-918CA3D752BB}"/>
    <hyperlink ref="I2811" r:id="rId924" xr:uid="{6F1AF9D0-757E-406A-A6B0-E3514335094B}"/>
    <hyperlink ref="I2818" r:id="rId925" xr:uid="{208AE82E-73C4-4371-981B-1BBFDB8B5C92}"/>
    <hyperlink ref="I2820" r:id="rId926" xr:uid="{6F71F514-FD72-488F-857E-636FCBFCD3F7}"/>
    <hyperlink ref="I2787" r:id="rId927" xr:uid="{AB229A2D-DFE7-4ACD-BC99-5270E34B792F}"/>
    <hyperlink ref="I2902" r:id="rId928" xr:uid="{3E63A2AF-AB46-43A7-B357-588FB5C71C54}"/>
    <hyperlink ref="I2905" r:id="rId929" xr:uid="{FA5A6762-F814-4596-88C2-E0A58F20FE0B}"/>
    <hyperlink ref="I2906" r:id="rId930" xr:uid="{B45826EC-C87E-43D4-96DF-7FE7AD6F7852}"/>
    <hyperlink ref="I2909" r:id="rId931" xr:uid="{E3AC937F-51A1-4298-8022-DF8A01640271}"/>
    <hyperlink ref="I2911" r:id="rId932" xr:uid="{A41CE6EE-6CDA-454A-8695-EA2D39C95D35}"/>
    <hyperlink ref="I2912" r:id="rId933" xr:uid="{DB911BE3-8DAF-45BB-A12B-0D6A5C4121A9}"/>
    <hyperlink ref="I2913" r:id="rId934" xr:uid="{FA80721E-8AE2-4167-8AAF-DFFE954362F3}"/>
    <hyperlink ref="I2914" r:id="rId935" xr:uid="{D7687C72-C0D2-4AB8-8FFC-1242A194A17A}"/>
    <hyperlink ref="I2916" r:id="rId936" xr:uid="{9CB69769-2596-47A2-AF67-CF5362CD8527}"/>
    <hyperlink ref="I2918" r:id="rId937" xr:uid="{11EDD753-AEE4-4567-9B90-B7D549AB1F4A}"/>
    <hyperlink ref="I2943" r:id="rId938" xr:uid="{1D7D7CF9-7E89-481B-AB3D-523D0926B487}"/>
    <hyperlink ref="I3008" r:id="rId939" xr:uid="{F2B3317B-75AA-451A-A8DC-6EB4DE6AA459}"/>
    <hyperlink ref="I2948" r:id="rId940" xr:uid="{8AE4FD8A-7064-4213-89F1-977A835696CB}"/>
    <hyperlink ref="I2972" r:id="rId941" xr:uid="{E46B4E62-F187-4CCE-8CA0-8991FCC07A9B}"/>
    <hyperlink ref="I2961" r:id="rId942" xr:uid="{0FB0DD88-253B-4364-B0B1-55FEC7994190}"/>
    <hyperlink ref="I2966" r:id="rId943" xr:uid="{DF09A06C-590C-4523-8F1B-2D04A700805F}"/>
    <hyperlink ref="I2919" r:id="rId944" xr:uid="{2CBB1965-BE54-41D3-8729-CCF2394DB401}"/>
    <hyperlink ref="I2928" r:id="rId945" xr:uid="{E24A63CE-2983-4BBF-9EDE-6AC59B0A99DE}"/>
    <hyperlink ref="I2933" r:id="rId946" xr:uid="{28D2E562-9CBA-4077-A88E-693B057D8B5A}"/>
    <hyperlink ref="I2936" r:id="rId947" xr:uid="{458B212D-9615-486A-8580-73BF5AE706A9}"/>
    <hyperlink ref="I2998" r:id="rId948" xr:uid="{57134E46-C3EC-4E33-91D0-57EE44F5DFDF}"/>
    <hyperlink ref="I2923" r:id="rId949" xr:uid="{E42479D7-F014-4EC6-9A14-E35E2BA8F409}"/>
    <hyperlink ref="I2907" r:id="rId950" xr:uid="{A5C12AD3-3B7C-4243-BF02-80F288B8C5BF}"/>
    <hyperlink ref="I2959" r:id="rId951" xr:uid="{C5D83A69-EBC3-4C19-B58F-30B44B0C8996}"/>
    <hyperlink ref="I2956" r:id="rId952" xr:uid="{745BC0A1-58D7-4F34-A990-1FAA3231DC8A}"/>
    <hyperlink ref="I2986" r:id="rId953" xr:uid="{C408ADDA-D130-49D2-A0F3-32E5EDBAA7AA}"/>
    <hyperlink ref="I2951" r:id="rId954" xr:uid="{DDAEF90B-3633-4A9A-A6E4-1705B3825FD6}"/>
    <hyperlink ref="I2960" r:id="rId955" display="https://www.google.com/maps/d/viewer?mid=1ejOzT7-x6RWnCf83BBP7XhiOiwEX3Wk&amp;ll=36.061264791292906%2C-79.87437695000003&amp;z=17" xr:uid="{4B40AFE1-5513-4203-9827-4B8436E69FA1}"/>
    <hyperlink ref="I2927" r:id="rId956" xr:uid="{79218AEA-99CF-4DB8-B71C-F7CA8076E15D}"/>
    <hyperlink ref="I2964" r:id="rId957" xr:uid="{BAEC3C57-09AE-4C7C-B406-A9D7B506343D}"/>
    <hyperlink ref="I2981" r:id="rId958" xr:uid="{7B5FA4D8-72B4-489D-875D-2472E6C8FDB5}"/>
    <hyperlink ref="I2957" r:id="rId959" xr:uid="{FDD84D39-C443-47DB-AC15-2AD1D636FF3C}"/>
    <hyperlink ref="I2934" r:id="rId960" xr:uid="{A5CCDCA4-EB0A-4DBB-AD77-221456306B89}"/>
    <hyperlink ref="I2921" r:id="rId961" xr:uid="{EF21244C-5498-46A1-852D-F8D0A51550A0}"/>
    <hyperlink ref="I2925" r:id="rId962" xr:uid="{A4CB12D3-D00E-4170-8BB1-058224BA588E}"/>
    <hyperlink ref="I2932" r:id="rId963" xr:uid="{2E48C39C-E083-4A75-A616-8D46A0FAFBB2}"/>
    <hyperlink ref="I2935" r:id="rId964" xr:uid="{D87B81E5-E868-4556-B462-0ED694979483}"/>
    <hyperlink ref="I2903" r:id="rId965" xr:uid="{F4F97F52-5C67-45BD-97B6-AC4173453546}"/>
    <hyperlink ref="I3018" r:id="rId966" xr:uid="{40903B9F-0E15-4FEB-84E7-6944B9B64574}"/>
    <hyperlink ref="I3020" r:id="rId967" xr:uid="{8E362334-68B3-41A1-896C-DF3C5DC1E3E0}"/>
    <hyperlink ref="I3021" r:id="rId968" xr:uid="{97861AF6-9DC6-4A5E-A908-C01BD5773604}"/>
    <hyperlink ref="I3024" r:id="rId969" xr:uid="{D1547928-14B4-4BE9-98EB-16B3208A3653}"/>
    <hyperlink ref="I3027" r:id="rId970" xr:uid="{6B49E068-AEDF-405B-BEF3-4118799CC95A}"/>
    <hyperlink ref="I3028" r:id="rId971" xr:uid="{ADE83E40-B39E-4F9C-9E08-BE19D25B8032}"/>
    <hyperlink ref="I3029" r:id="rId972" xr:uid="{97D92AE0-FDF8-4660-A96F-B832D0C04ECF}"/>
    <hyperlink ref="I3056" r:id="rId973" xr:uid="{484EDEC6-74CE-4BAD-B7D4-A8DD5EA02CD2}"/>
    <hyperlink ref="I3030" r:id="rId974" xr:uid="{3651DB2C-4AB0-4FCF-967A-9E217D319C9A}"/>
    <hyperlink ref="I3033" r:id="rId975" xr:uid="{B43EA891-3703-49E8-8C75-A282E924648E}"/>
    <hyperlink ref="I3133" r:id="rId976" xr:uid="{6080BC9E-49BC-4EA9-A58E-E52650216B00}"/>
    <hyperlink ref="I3124" r:id="rId977" xr:uid="{97A30E6D-50F4-449A-8357-7357D8E81B5F}"/>
    <hyperlink ref="I3062" r:id="rId978" xr:uid="{51D59AD1-8C61-4CE3-9607-8A48166C9CA4}"/>
    <hyperlink ref="I3087" r:id="rId979" xr:uid="{4AA90474-7407-4622-B81B-294D1AC41C3B}"/>
    <hyperlink ref="I3077" r:id="rId980" xr:uid="{F8394CE7-F91A-4032-AE2E-4D0757B4B743}"/>
    <hyperlink ref="I3081" r:id="rId981" xr:uid="{04A4BCBE-A5B6-4F04-8743-5C41CC1E394D}"/>
    <hyperlink ref="I3034" r:id="rId982" xr:uid="{0E503941-0B33-4797-B640-99D510153DE8}"/>
    <hyperlink ref="I3043" r:id="rId983" xr:uid="{D508EB90-A79A-4F09-81C2-184C6A39251E}"/>
    <hyperlink ref="I3048" r:id="rId984" xr:uid="{7934F89B-5E5C-41DB-8099-724CD2C395D8}"/>
    <hyperlink ref="I3050" r:id="rId985" xr:uid="{731D1BB9-B7CA-47DD-A6CC-959B1CE07CB6}"/>
    <hyperlink ref="I3113" r:id="rId986" xr:uid="{375896BD-8D1C-4C8C-9250-D358FCA12DBC}"/>
    <hyperlink ref="I3038" r:id="rId987" xr:uid="{96C566AE-C774-491E-9E00-577A417EAD83}"/>
    <hyperlink ref="I3074" r:id="rId988" xr:uid="{802DB78B-03DF-45C4-9AFB-22C29A889936}"/>
    <hyperlink ref="I3075" r:id="rId989" xr:uid="{DAA850A7-E217-464B-8E98-F2B444241ADF}"/>
    <hyperlink ref="I3070" r:id="rId990" xr:uid="{A8F78E3D-0426-40FF-99A0-71414980D2CF}"/>
    <hyperlink ref="I3101" r:id="rId991" xr:uid="{391FBBB4-B47E-4E19-86C3-D81221EE4D3F}"/>
    <hyperlink ref="I3065" r:id="rId992" xr:uid="{C8228F26-3CD6-4D28-9427-0B8B79BF68DD}"/>
    <hyperlink ref="I3076" r:id="rId993" display="https://www.google.com/maps/d/viewer?mid=1ejOzT7-x6RWnCf83BBP7XhiOiwEX3Wk&amp;ll=36.061264791292906%2C-79.87437695000003&amp;z=17" xr:uid="{1A996785-5C5F-42BB-B30D-DE2F87E66EB9}"/>
    <hyperlink ref="I3042" r:id="rId994" xr:uid="{742923D1-2C60-4F52-8796-A70B168E1CEA}"/>
    <hyperlink ref="I3080" r:id="rId995" xr:uid="{63EE31F2-7FE4-4880-BEBF-819B6911FF39}"/>
    <hyperlink ref="I3096" r:id="rId996" xr:uid="{61DB07EA-51AA-4019-80A4-C0FBFB9B5EEC}"/>
    <hyperlink ref="I3128" r:id="rId997" xr:uid="{878D018A-E9F2-4313-BAA0-5612C09CEAB0}"/>
    <hyperlink ref="I3130" r:id="rId998" xr:uid="{102878B1-F6B1-4A19-90CC-D75D64249231}"/>
    <hyperlink ref="I3035" r:id="rId999" xr:uid="{6AC5DF48-671E-416B-9D58-22B819A74556}"/>
    <hyperlink ref="I3040" r:id="rId1000" xr:uid="{79F8C632-9579-4100-BD90-824E09A621F4}"/>
    <hyperlink ref="I3047" r:id="rId1001" xr:uid="{A88C6C04-8613-4E9F-B8FD-0A525887B48C}"/>
    <hyperlink ref="I3049" r:id="rId1002" xr:uid="{0404772E-C982-47D2-9D3D-994F9FD80B99}"/>
    <hyperlink ref="I3036" r:id="rId1003" xr:uid="{0D1D29AE-AA7E-4018-A508-5DB80C823CBE}"/>
    <hyperlink ref="I614" r:id="rId1004" xr:uid="{66633526-0C0A-4F98-9D02-7F601B373D8C}"/>
    <hyperlink ref="I625" r:id="rId1005" xr:uid="{4C29B613-C07A-49A6-BDCA-53B91955457A}"/>
    <hyperlink ref="I1318" r:id="rId1006" xr:uid="{28197AE7-33EF-4B7C-B5F6-E661565F0A1B}"/>
    <hyperlink ref="I1482" r:id="rId1007" xr:uid="{D8489AB4-467A-486B-B727-6E705D1D2202}"/>
    <hyperlink ref="I1571" r:id="rId1008" xr:uid="{044C4B46-AEC9-4C82-95DC-90270280B376}"/>
    <hyperlink ref="I1592" r:id="rId1009" xr:uid="{A3AAFC18-F629-4A40-8344-DC1200F33235}"/>
    <hyperlink ref="I1683" r:id="rId1010" xr:uid="{0E1CBB93-9BFC-48F5-AA40-A24B750E5C8B}"/>
    <hyperlink ref="I1700" r:id="rId1011" xr:uid="{DC9989D4-9D7F-4888-BCCF-6602AF3A9467}"/>
    <hyperlink ref="I1800" r:id="rId1012" xr:uid="{0E235C8A-40B8-4713-8180-89EFBC8F2804}"/>
    <hyperlink ref="I1803" r:id="rId1013" xr:uid="{21AB82B8-B12A-4849-89A9-9A7D8A813AB3}"/>
    <hyperlink ref="I1868" r:id="rId1014" xr:uid="{312592F5-7C52-4232-8F46-2B6A3BD8D335}"/>
    <hyperlink ref="I1915" r:id="rId1015" xr:uid="{D861557E-8CD9-47E0-B2FB-B3620263C495}"/>
    <hyperlink ref="I1984" r:id="rId1016" xr:uid="{A6287C71-C574-4B2F-9E8E-27C4D0D877CD}"/>
    <hyperlink ref="I2041" r:id="rId1017" xr:uid="{6357BFBE-F27D-474E-9E90-1E9F187291C1}"/>
    <hyperlink ref="I2161" r:id="rId1018" xr:uid="{0C39D609-FC25-420B-95B6-CFB07232B786}"/>
    <hyperlink ref="I2154" r:id="rId1019" xr:uid="{A20AFBE7-A34B-4BDE-BCCE-F8933CECF7CB}"/>
    <hyperlink ref="I2276" r:id="rId1020" xr:uid="{E7C0E907-24EB-4011-9C6E-C1D74D42CC01}"/>
    <hyperlink ref="I2263" r:id="rId1021" xr:uid="{2844919D-8E6B-47B4-9A4A-C4A809A6491E}"/>
    <hyperlink ref="I2389" r:id="rId1022" xr:uid="{EA434473-A42C-44E5-8D4C-513CC069E9D2}"/>
    <hyperlink ref="I2382" r:id="rId1023" xr:uid="{9BBC9F0C-E313-4673-B840-EB9F03E3B176}"/>
    <hyperlink ref="I2479" r:id="rId1024" xr:uid="{5619BEE5-9C56-4E0C-8773-9B672D645B6B}"/>
    <hyperlink ref="I2494" r:id="rId1025" xr:uid="{1DA1FF9E-017D-42AA-8AD3-09C6CDF7D27F}"/>
    <hyperlink ref="I2594" r:id="rId1026" xr:uid="{94D28DC9-0A04-4C14-9373-757D8EDBCB9A}"/>
    <hyperlink ref="I2607" r:id="rId1027" xr:uid="{6D683D36-6FA7-4B5F-A8CF-11FE416B1630}"/>
    <hyperlink ref="I2709" r:id="rId1028" xr:uid="{7D308A76-E69A-48B1-A655-34DCD6C3CB4A}"/>
    <hyperlink ref="I2683" r:id="rId1029" xr:uid="{F5AC1251-46C6-406E-A3B0-6A7BD61F8652}"/>
    <hyperlink ref="I2823" r:id="rId1030" xr:uid="{18E10E84-C793-4141-ABCA-3E90CBA560DF}"/>
    <hyperlink ref="I2812" r:id="rId1031" xr:uid="{066B1EB8-B38B-4BD4-9A81-A19C0EF00B9E}"/>
    <hyperlink ref="I3009" r:id="rId1032" xr:uid="{63D55384-D92A-46BB-A895-4C4A06691662}"/>
    <hyperlink ref="I3014" r:id="rId1033" xr:uid="{484E3138-DA65-4506-8ED0-56D74BE04562}"/>
    <hyperlink ref="I3127" r:id="rId1034" xr:uid="{AB848392-DD81-4BCC-97C7-BB6E7CEBF799}"/>
    <hyperlink ref="I3071" r:id="rId1035" xr:uid="{6670A997-C915-42F6-A004-5D0D161E98D3}"/>
    <hyperlink ref="I93" r:id="rId1036" xr:uid="{C9B4E2BF-C943-40AE-8BC7-38A16F494E68}"/>
    <hyperlink ref="I121" r:id="rId1037" xr:uid="{E7547C1B-D485-45E5-91CF-3C83281612AE}"/>
    <hyperlink ref="I163" r:id="rId1038" xr:uid="{24FC6B2A-71EE-42E8-83A0-5B30059E8CFE}"/>
    <hyperlink ref="I273" r:id="rId1039" xr:uid="{8E20020A-15D5-4423-9696-8B94727673ED}"/>
    <hyperlink ref="I276" r:id="rId1040" xr:uid="{522798B7-12B4-46A8-9379-B5EA89066274}"/>
    <hyperlink ref="I370" r:id="rId1041" xr:uid="{E933F98D-2E6C-4E0C-81A3-50119F8634B4}"/>
    <hyperlink ref="I398" r:id="rId1042" xr:uid="{1207EC29-2B95-435A-B949-A74271B51EF0}"/>
    <hyperlink ref="I498" r:id="rId1043" xr:uid="{6504B86B-DF54-4D92-9357-74D883347D0D}"/>
    <hyperlink ref="I523" r:id="rId1044" xr:uid="{2E12E0F0-FB19-44F9-BFD4-3F63C61A7AD9}"/>
    <hyperlink ref="I593" r:id="rId1045" xr:uid="{1AE69D39-1EA9-4337-92E0-D92E9D09E7B1}"/>
    <hyperlink ref="I595" r:id="rId1046" xr:uid="{03169090-2144-4E7D-8512-6BCB5ADFF300}"/>
    <hyperlink ref="I804" r:id="rId1047" xr:uid="{16C09E2F-01A4-465A-A1CA-DBC1E104C93D}"/>
    <hyperlink ref="I806" r:id="rId1048" xr:uid="{95A560DA-BC24-4917-81CD-875661E82FE0}"/>
    <hyperlink ref="I910" r:id="rId1049" xr:uid="{4E6725F4-BA11-4050-9298-4DEA5F00D838}"/>
    <hyperlink ref="I845" r:id="rId1050" xr:uid="{C83E2763-C16D-4B58-B650-64446586AC36}"/>
    <hyperlink ref="I1020" r:id="rId1051" xr:uid="{ABE78505-53D0-41D9-BBCE-66BA0A0385E3}"/>
    <hyperlink ref="I971" r:id="rId1052" xr:uid="{7E1A3F9B-54C3-47F6-9DD4-435FB7E01DE9}"/>
    <hyperlink ref="I1128" r:id="rId1053" xr:uid="{C1A061A2-BCB2-4859-B9C6-D5A623AF5D24}"/>
    <hyperlink ref="I1156" r:id="rId1054" xr:uid="{2041F906-1AE5-4C95-AD32-7A824EBAA4B9}"/>
    <hyperlink ref="I1212" r:id="rId1055" xr:uid="{C491C8E8-1ACE-44D9-86E7-14A3E91EE883}"/>
    <hyperlink ref="I1264" r:id="rId1056" xr:uid="{565A4D74-1154-41AA-A12C-B2BD1D37183C}"/>
    <hyperlink ref="I1350" r:id="rId1057" xr:uid="{34D8575F-D95E-4A89-BF9B-A8F91F1705E6}"/>
    <hyperlink ref="I2186" r:id="rId1058" display="https://www.google.com/maps/d/edit?mid=1jkN3DS1BhUqp_dztjjW0PDwKfo_Yxsw&amp;usp=sharing" xr:uid="{DB316E32-CFC9-4EB4-85C1-B3B58B8EBB14}"/>
  </hyperlinks>
  <pageMargins left="0.7" right="0.7" top="0.75" bottom="0.75" header="0.3" footer="0.3"/>
  <pageSetup orientation="portrait" r:id="rId1059"/>
  <legacyDrawing r:id="rId1060"/>
  <tableParts count="1">
    <tablePart r:id="rId106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CAA4F-CF6B-4982-A681-BCAAB66CBAC5}">
  <sheetPr>
    <pageSetUpPr fitToPage="1"/>
  </sheetPr>
  <dimension ref="A1:J135"/>
  <sheetViews>
    <sheetView workbookViewId="0"/>
  </sheetViews>
  <sheetFormatPr defaultColWidth="8.85546875" defaultRowHeight="26.25" x14ac:dyDescent="0.4"/>
  <cols>
    <col min="1" max="1" width="95.28515625" style="83" customWidth="1"/>
    <col min="2" max="2" width="51.28515625" style="84" customWidth="1"/>
    <col min="3" max="3" width="35" style="85" customWidth="1"/>
    <col min="4" max="4" width="46.28515625" style="72" customWidth="1"/>
    <col min="5" max="5" width="42.28515625" style="72" customWidth="1"/>
    <col min="6" max="6" width="54.28515625" style="72" customWidth="1"/>
    <col min="7" max="7" width="68.42578125" style="72" customWidth="1"/>
    <col min="8" max="8" width="68.5703125" style="72" bestFit="1" customWidth="1"/>
    <col min="9" max="9" width="12.7109375" style="72" customWidth="1"/>
    <col min="10" max="10" width="76.140625" style="72" customWidth="1"/>
    <col min="11" max="16384" width="8.85546875" style="72"/>
  </cols>
  <sheetData>
    <row r="1" spans="1:10" x14ac:dyDescent="0.4">
      <c r="A1" s="67" t="s">
        <v>192</v>
      </c>
      <c r="B1" s="67" t="s">
        <v>193</v>
      </c>
      <c r="C1" s="67" t="s">
        <v>194</v>
      </c>
      <c r="D1" s="67" t="s">
        <v>195</v>
      </c>
      <c r="E1" s="67" t="s">
        <v>29</v>
      </c>
      <c r="F1" s="67" t="s">
        <v>196</v>
      </c>
      <c r="G1" s="67" t="s">
        <v>197</v>
      </c>
      <c r="H1" s="67" t="s">
        <v>198</v>
      </c>
      <c r="I1" s="67" t="s">
        <v>495</v>
      </c>
      <c r="J1" s="67" t="s">
        <v>496</v>
      </c>
    </row>
    <row r="2" spans="1:10" x14ac:dyDescent="0.4">
      <c r="A2" s="68" t="s">
        <v>498</v>
      </c>
      <c r="B2" s="69" t="s">
        <v>199</v>
      </c>
      <c r="C2" s="69" t="s">
        <v>37</v>
      </c>
      <c r="D2" s="69" t="s">
        <v>37</v>
      </c>
      <c r="E2" s="69" t="s">
        <v>37</v>
      </c>
      <c r="F2" s="69" t="s">
        <v>200</v>
      </c>
      <c r="G2" s="69" t="s">
        <v>37</v>
      </c>
      <c r="H2" s="69" t="s">
        <v>37</v>
      </c>
      <c r="I2" s="69">
        <v>165</v>
      </c>
      <c r="J2" s="69" t="str">
        <f>"https://tools.sig.systems/site/details/" &amp; Table3[[#This Row],[ID]]</f>
        <v>https://tools.sig.systems/site/details/165</v>
      </c>
    </row>
    <row r="3" spans="1:10" x14ac:dyDescent="0.4">
      <c r="A3" s="68" t="s">
        <v>499</v>
      </c>
      <c r="B3" s="69" t="s">
        <v>201</v>
      </c>
      <c r="C3" s="69" t="s">
        <v>37</v>
      </c>
      <c r="D3" s="69" t="s">
        <v>37</v>
      </c>
      <c r="E3" s="69" t="s">
        <v>202</v>
      </c>
      <c r="F3" s="69" t="s">
        <v>203</v>
      </c>
      <c r="G3" s="69" t="s">
        <v>37</v>
      </c>
      <c r="H3" s="69" t="s">
        <v>37</v>
      </c>
      <c r="I3" s="69">
        <v>124</v>
      </c>
      <c r="J3" s="69" t="str">
        <f>"https://tools.sig.systems/site/details/" &amp; Table3[[#This Row],[ID]]</f>
        <v>https://tools.sig.systems/site/details/124</v>
      </c>
    </row>
    <row r="4" spans="1:10" x14ac:dyDescent="0.4">
      <c r="A4" s="68" t="s">
        <v>178</v>
      </c>
      <c r="B4" s="69" t="s">
        <v>37</v>
      </c>
      <c r="C4" s="69" t="s">
        <v>204</v>
      </c>
      <c r="D4" s="69" t="s">
        <v>37</v>
      </c>
      <c r="E4" s="69" t="s">
        <v>205</v>
      </c>
      <c r="F4" s="69" t="s">
        <v>206</v>
      </c>
      <c r="G4" s="69" t="s">
        <v>37</v>
      </c>
      <c r="H4" s="69" t="s">
        <v>37</v>
      </c>
      <c r="I4" s="69">
        <v>125</v>
      </c>
      <c r="J4" s="69" t="str">
        <f>"https://tools.sig.systems/site/details/" &amp; Table3[[#This Row],[ID]]</f>
        <v>https://tools.sig.systems/site/details/125</v>
      </c>
    </row>
    <row r="5" spans="1:10" x14ac:dyDescent="0.4">
      <c r="A5" s="68" t="s">
        <v>500</v>
      </c>
      <c r="B5" s="69" t="s">
        <v>37</v>
      </c>
      <c r="C5" s="69">
        <v>6</v>
      </c>
      <c r="D5" s="69" t="s">
        <v>37</v>
      </c>
      <c r="E5" s="69" t="s">
        <v>207</v>
      </c>
      <c r="F5" s="69">
        <v>1</v>
      </c>
      <c r="G5" s="69" t="s">
        <v>37</v>
      </c>
      <c r="H5" s="69" t="s">
        <v>37</v>
      </c>
      <c r="I5" s="69">
        <v>118</v>
      </c>
      <c r="J5" s="69" t="str">
        <f>"https://tools.sig.systems/site/details/" &amp; Table3[[#This Row],[ID]]</f>
        <v>https://tools.sig.systems/site/details/118</v>
      </c>
    </row>
    <row r="6" spans="1:10" x14ac:dyDescent="0.4">
      <c r="A6" s="68" t="s">
        <v>501</v>
      </c>
      <c r="B6" s="69" t="s">
        <v>208</v>
      </c>
      <c r="C6" s="69" t="s">
        <v>37</v>
      </c>
      <c r="D6" s="69" t="s">
        <v>37</v>
      </c>
      <c r="E6" s="69" t="s">
        <v>209</v>
      </c>
      <c r="F6" s="69">
        <v>3</v>
      </c>
      <c r="G6" s="69" t="s">
        <v>37</v>
      </c>
      <c r="H6" s="69" t="s">
        <v>37</v>
      </c>
      <c r="I6" s="69">
        <v>120</v>
      </c>
      <c r="J6" s="69" t="str">
        <f>"https://tools.sig.systems/site/details/" &amp; Table3[[#This Row],[ID]]</f>
        <v>https://tools.sig.systems/site/details/120</v>
      </c>
    </row>
    <row r="7" spans="1:10" x14ac:dyDescent="0.4">
      <c r="A7" s="68" t="s">
        <v>502</v>
      </c>
      <c r="B7" s="69">
        <v>18</v>
      </c>
      <c r="C7" s="69" t="s">
        <v>210</v>
      </c>
      <c r="D7" s="69" t="s">
        <v>37</v>
      </c>
      <c r="E7" s="69" t="s">
        <v>211</v>
      </c>
      <c r="F7" s="69" t="s">
        <v>212</v>
      </c>
      <c r="G7" s="69" t="s">
        <v>37</v>
      </c>
      <c r="H7" s="69" t="s">
        <v>37</v>
      </c>
      <c r="I7" s="69">
        <v>127</v>
      </c>
      <c r="J7" s="69" t="str">
        <f>"https://tools.sig.systems/site/details/" &amp; Table3[[#This Row],[ID]]</f>
        <v>https://tools.sig.systems/site/details/127</v>
      </c>
    </row>
    <row r="8" spans="1:10" x14ac:dyDescent="0.4">
      <c r="A8" s="68" t="s">
        <v>503</v>
      </c>
      <c r="B8" s="69" t="s">
        <v>213</v>
      </c>
      <c r="C8" s="69">
        <v>1</v>
      </c>
      <c r="D8" s="69" t="s">
        <v>37</v>
      </c>
      <c r="E8" s="69" t="s">
        <v>214</v>
      </c>
      <c r="F8" s="69" t="s">
        <v>215</v>
      </c>
      <c r="G8" s="69" t="s">
        <v>37</v>
      </c>
      <c r="H8" s="69" t="s">
        <v>37</v>
      </c>
      <c r="I8" s="69">
        <v>126</v>
      </c>
      <c r="J8" s="69" t="str">
        <f>"https://tools.sig.systems/site/details/" &amp; Table3[[#This Row],[ID]]</f>
        <v>https://tools.sig.systems/site/details/126</v>
      </c>
    </row>
    <row r="9" spans="1:10" x14ac:dyDescent="0.4">
      <c r="A9" s="68" t="s">
        <v>108</v>
      </c>
      <c r="B9" s="69">
        <v>2</v>
      </c>
      <c r="C9" s="69" t="s">
        <v>37</v>
      </c>
      <c r="D9" s="69" t="s">
        <v>37</v>
      </c>
      <c r="E9" s="69" t="s">
        <v>216</v>
      </c>
      <c r="F9" s="69">
        <v>10</v>
      </c>
      <c r="G9" s="69" t="s">
        <v>37</v>
      </c>
      <c r="H9" s="69" t="s">
        <v>37</v>
      </c>
      <c r="I9" s="69">
        <v>176</v>
      </c>
      <c r="J9" s="69" t="str">
        <f>"https://tools.sig.systems/site/details/" &amp; Table3[[#This Row],[ID]]</f>
        <v>https://tools.sig.systems/site/details/176</v>
      </c>
    </row>
    <row r="10" spans="1:10" x14ac:dyDescent="0.4">
      <c r="A10" s="68" t="s">
        <v>504</v>
      </c>
      <c r="B10" s="69" t="s">
        <v>217</v>
      </c>
      <c r="C10" s="69" t="s">
        <v>37</v>
      </c>
      <c r="D10" s="69" t="s">
        <v>37</v>
      </c>
      <c r="E10" s="69" t="s">
        <v>218</v>
      </c>
      <c r="F10" s="69" t="s">
        <v>219</v>
      </c>
      <c r="G10" s="69" t="s">
        <v>37</v>
      </c>
      <c r="H10" s="69" t="s">
        <v>37</v>
      </c>
      <c r="I10" s="69">
        <v>128</v>
      </c>
      <c r="J10" s="69" t="str">
        <f>"https://tools.sig.systems/site/details/" &amp; Table3[[#This Row],[ID]]</f>
        <v>https://tools.sig.systems/site/details/128</v>
      </c>
    </row>
    <row r="11" spans="1:10" x14ac:dyDescent="0.4">
      <c r="A11" s="68" t="s">
        <v>505</v>
      </c>
      <c r="B11" s="69" t="s">
        <v>37</v>
      </c>
      <c r="C11" s="69" t="s">
        <v>38</v>
      </c>
      <c r="D11" s="69" t="s">
        <v>37</v>
      </c>
      <c r="E11" s="69" t="s">
        <v>39</v>
      </c>
      <c r="F11" s="69" t="s">
        <v>40</v>
      </c>
      <c r="G11" s="69" t="s">
        <v>37</v>
      </c>
      <c r="H11" s="69" t="s">
        <v>37</v>
      </c>
      <c r="I11" s="69">
        <v>121</v>
      </c>
      <c r="J11" s="69" t="str">
        <f>"https://tools.sig.systems/site/details/" &amp; Table3[[#This Row],[ID]]</f>
        <v>https://tools.sig.systems/site/details/121</v>
      </c>
    </row>
    <row r="12" spans="1:10" x14ac:dyDescent="0.4">
      <c r="A12" s="68" t="s">
        <v>506</v>
      </c>
      <c r="B12" s="69" t="s">
        <v>37</v>
      </c>
      <c r="C12" s="69" t="s">
        <v>220</v>
      </c>
      <c r="D12" s="69" t="s">
        <v>37</v>
      </c>
      <c r="E12" s="69" t="s">
        <v>221</v>
      </c>
      <c r="F12" s="69" t="s">
        <v>222</v>
      </c>
      <c r="G12" s="69" t="s">
        <v>37</v>
      </c>
      <c r="H12" s="69" t="s">
        <v>37</v>
      </c>
      <c r="I12" s="69">
        <v>129</v>
      </c>
      <c r="J12" s="69" t="str">
        <f>"https://tools.sig.systems/site/details/" &amp; Table3[[#This Row],[ID]]</f>
        <v>https://tools.sig.systems/site/details/129</v>
      </c>
    </row>
    <row r="13" spans="1:10" x14ac:dyDescent="0.4">
      <c r="A13" s="68" t="s">
        <v>507</v>
      </c>
      <c r="B13" s="69" t="s">
        <v>223</v>
      </c>
      <c r="C13" s="69" t="s">
        <v>37</v>
      </c>
      <c r="D13" s="69" t="s">
        <v>37</v>
      </c>
      <c r="E13" s="69" t="s">
        <v>224</v>
      </c>
      <c r="F13" s="69" t="s">
        <v>225</v>
      </c>
      <c r="G13" s="69" t="s">
        <v>37</v>
      </c>
      <c r="H13" s="69" t="s">
        <v>37</v>
      </c>
      <c r="I13" s="69">
        <v>182</v>
      </c>
      <c r="J13" s="69" t="str">
        <f>"https://tools.sig.systems/site/details/" &amp; Table3[[#This Row],[ID]]</f>
        <v>https://tools.sig.systems/site/details/182</v>
      </c>
    </row>
    <row r="14" spans="1:10" x14ac:dyDescent="0.4">
      <c r="A14" s="68" t="s">
        <v>508</v>
      </c>
      <c r="B14" s="69" t="s">
        <v>48</v>
      </c>
      <c r="C14" s="69" t="s">
        <v>37</v>
      </c>
      <c r="D14" s="69" t="s">
        <v>49</v>
      </c>
      <c r="E14" s="69" t="s">
        <v>50</v>
      </c>
      <c r="F14" s="69">
        <v>10</v>
      </c>
      <c r="G14" s="69" t="s">
        <v>37</v>
      </c>
      <c r="H14" s="69" t="s">
        <v>37</v>
      </c>
      <c r="I14" s="69">
        <v>136</v>
      </c>
      <c r="J14" s="69" t="str">
        <f>"https://tools.sig.systems/site/details/" &amp; Table3[[#This Row],[ID]]</f>
        <v>https://tools.sig.systems/site/details/136</v>
      </c>
    </row>
    <row r="15" spans="1:10" x14ac:dyDescent="0.4">
      <c r="A15" s="68" t="s">
        <v>524</v>
      </c>
      <c r="B15" s="69" t="s">
        <v>248</v>
      </c>
      <c r="C15" s="69" t="s">
        <v>37</v>
      </c>
      <c r="D15" s="69" t="s">
        <v>249</v>
      </c>
      <c r="E15" s="69" t="s">
        <v>250</v>
      </c>
      <c r="F15" s="69" t="s">
        <v>251</v>
      </c>
      <c r="G15" s="69" t="s">
        <v>37</v>
      </c>
      <c r="H15" s="69" t="s">
        <v>37</v>
      </c>
      <c r="I15" s="69">
        <v>167</v>
      </c>
      <c r="J15" s="69" t="str">
        <f>"https://tools.sig.systems/site/details/" &amp; Table3[[#This Row],[ID]]</f>
        <v>https://tools.sig.systems/site/details/167</v>
      </c>
    </row>
    <row r="16" spans="1:10" x14ac:dyDescent="0.4">
      <c r="A16" s="68" t="s">
        <v>84</v>
      </c>
      <c r="B16" s="69" t="s">
        <v>235</v>
      </c>
      <c r="C16" s="69" t="s">
        <v>37</v>
      </c>
      <c r="D16" s="69" t="s">
        <v>37</v>
      </c>
      <c r="E16" s="69" t="s">
        <v>236</v>
      </c>
      <c r="F16" s="69" t="s">
        <v>237</v>
      </c>
      <c r="G16" s="69" t="s">
        <v>37</v>
      </c>
      <c r="H16" s="69" t="s">
        <v>37</v>
      </c>
      <c r="I16" s="69">
        <v>133</v>
      </c>
      <c r="J16" s="69" t="str">
        <f>"https://tools.sig.systems/site/details/" &amp; Table3[[#This Row],[ID]]</f>
        <v>https://tools.sig.systems/site/details/133</v>
      </c>
    </row>
    <row r="17" spans="1:10" x14ac:dyDescent="0.4">
      <c r="A17" s="68" t="s">
        <v>509</v>
      </c>
      <c r="B17" s="69" t="s">
        <v>252</v>
      </c>
      <c r="C17" s="69" t="s">
        <v>37</v>
      </c>
      <c r="D17" s="69" t="s">
        <v>253</v>
      </c>
      <c r="E17" s="69" t="s">
        <v>254</v>
      </c>
      <c r="F17" s="69" t="s">
        <v>255</v>
      </c>
      <c r="G17" s="69" t="s">
        <v>37</v>
      </c>
      <c r="H17" s="69" t="s">
        <v>37</v>
      </c>
      <c r="I17" s="69">
        <v>168</v>
      </c>
      <c r="J17" s="69" t="str">
        <f>"https://tools.sig.systems/site/details/" &amp; Table3[[#This Row],[ID]]</f>
        <v>https://tools.sig.systems/site/details/168</v>
      </c>
    </row>
    <row r="18" spans="1:10" x14ac:dyDescent="0.4">
      <c r="A18" s="68" t="s">
        <v>497</v>
      </c>
      <c r="B18" s="69" t="s">
        <v>226</v>
      </c>
      <c r="C18" s="69" t="s">
        <v>227</v>
      </c>
      <c r="D18" s="69" t="s">
        <v>37</v>
      </c>
      <c r="E18" s="69" t="s">
        <v>228</v>
      </c>
      <c r="F18" s="69" t="s">
        <v>229</v>
      </c>
      <c r="G18" s="69" t="s">
        <v>37</v>
      </c>
      <c r="H18" s="69" t="s">
        <v>37</v>
      </c>
      <c r="I18" s="69">
        <v>130</v>
      </c>
      <c r="J18" s="69" t="str">
        <f>"https://tools.sig.systems/site/details/" &amp; Table3[[#This Row],[ID]]</f>
        <v>https://tools.sig.systems/site/details/130</v>
      </c>
    </row>
    <row r="19" spans="1:10" x14ac:dyDescent="0.4">
      <c r="A19" s="68" t="s">
        <v>95</v>
      </c>
      <c r="B19" s="69" t="s">
        <v>493</v>
      </c>
      <c r="C19" s="69">
        <v>10</v>
      </c>
      <c r="D19" s="69" t="s">
        <v>37</v>
      </c>
      <c r="E19" s="69" t="s">
        <v>230</v>
      </c>
      <c r="F19" s="69" t="s">
        <v>37</v>
      </c>
      <c r="G19" s="69" t="s">
        <v>37</v>
      </c>
      <c r="H19" s="69" t="s">
        <v>37</v>
      </c>
      <c r="I19" s="69">
        <v>174</v>
      </c>
      <c r="J19" s="69" t="str">
        <f>"https://tools.sig.systems/site/details/" &amp; Table3[[#This Row],[ID]]</f>
        <v>https://tools.sig.systems/site/details/174</v>
      </c>
    </row>
    <row r="20" spans="1:10" x14ac:dyDescent="0.4">
      <c r="A20" s="68" t="s">
        <v>510</v>
      </c>
      <c r="B20" s="69" t="s">
        <v>37</v>
      </c>
      <c r="C20" s="69">
        <v>4</v>
      </c>
      <c r="D20" s="69" t="s">
        <v>37</v>
      </c>
      <c r="E20" s="69">
        <v>12</v>
      </c>
      <c r="F20" s="69" t="s">
        <v>231</v>
      </c>
      <c r="G20" s="69" t="s">
        <v>37</v>
      </c>
      <c r="H20" s="69" t="s">
        <v>37</v>
      </c>
      <c r="I20" s="69">
        <v>220</v>
      </c>
      <c r="J20" s="69" t="str">
        <f>"https://tools.sig.systems/site/details/" &amp; Table3[[#This Row],[ID]]</f>
        <v>https://tools.sig.systems/site/details/220</v>
      </c>
    </row>
    <row r="21" spans="1:10" x14ac:dyDescent="0.4">
      <c r="A21" s="68" t="s">
        <v>511</v>
      </c>
      <c r="B21" s="69" t="s">
        <v>42</v>
      </c>
      <c r="C21" s="69">
        <v>4</v>
      </c>
      <c r="D21" s="69">
        <v>1</v>
      </c>
      <c r="E21" s="69" t="s">
        <v>232</v>
      </c>
      <c r="F21" s="69" t="s">
        <v>233</v>
      </c>
      <c r="G21" s="69" t="s">
        <v>37</v>
      </c>
      <c r="H21" s="69" t="s">
        <v>234</v>
      </c>
      <c r="I21" s="69">
        <v>131</v>
      </c>
      <c r="J21" s="69" t="str">
        <f>"https://tools.sig.systems/site/details/" &amp; Table3[[#This Row],[ID]]</f>
        <v>https://tools.sig.systems/site/details/131</v>
      </c>
    </row>
    <row r="22" spans="1:10" x14ac:dyDescent="0.4">
      <c r="A22" s="68" t="s">
        <v>512</v>
      </c>
      <c r="B22" s="69" t="s">
        <v>42</v>
      </c>
      <c r="C22" s="69" t="s">
        <v>37</v>
      </c>
      <c r="D22" s="69" t="s">
        <v>37</v>
      </c>
      <c r="E22" s="69" t="s">
        <v>37</v>
      </c>
      <c r="F22" s="69" t="s">
        <v>43</v>
      </c>
      <c r="G22" s="69" t="s">
        <v>37</v>
      </c>
      <c r="H22" s="69" t="s">
        <v>37</v>
      </c>
      <c r="I22" s="69">
        <v>263</v>
      </c>
      <c r="J22" s="69" t="str">
        <f>"https://tools.sig.systems/site/details/" &amp; Table3[[#This Row],[ID]]</f>
        <v>https://tools.sig.systems/site/details/263</v>
      </c>
    </row>
    <row r="23" spans="1:10" x14ac:dyDescent="0.4">
      <c r="A23" s="68" t="s">
        <v>513</v>
      </c>
      <c r="B23" s="69" t="s">
        <v>238</v>
      </c>
      <c r="C23" s="69" t="s">
        <v>37</v>
      </c>
      <c r="D23" s="69" t="s">
        <v>37</v>
      </c>
      <c r="E23" s="69" t="s">
        <v>239</v>
      </c>
      <c r="F23" s="69" t="s">
        <v>37</v>
      </c>
      <c r="G23" s="69" t="s">
        <v>37</v>
      </c>
      <c r="H23" s="69" t="s">
        <v>37</v>
      </c>
      <c r="I23" s="69">
        <v>259</v>
      </c>
      <c r="J23" s="69" t="str">
        <f>"https://tools.sig.systems/site/details/" &amp; Table3[[#This Row],[ID]]</f>
        <v>https://tools.sig.systems/site/details/259</v>
      </c>
    </row>
    <row r="24" spans="1:10" x14ac:dyDescent="0.4">
      <c r="A24" s="68" t="s">
        <v>514</v>
      </c>
      <c r="B24" s="69">
        <v>3</v>
      </c>
      <c r="C24" s="69">
        <v>1</v>
      </c>
      <c r="D24" s="69" t="s">
        <v>37</v>
      </c>
      <c r="E24" s="69" t="s">
        <v>37</v>
      </c>
      <c r="F24" s="69" t="s">
        <v>240</v>
      </c>
      <c r="G24" s="69" t="s">
        <v>37</v>
      </c>
      <c r="H24" s="69" t="s">
        <v>37</v>
      </c>
      <c r="I24" s="69">
        <v>166</v>
      </c>
      <c r="J24" s="69" t="str">
        <f>"https://tools.sig.systems/site/details/" &amp; Table3[[#This Row],[ID]]</f>
        <v>https://tools.sig.systems/site/details/166</v>
      </c>
    </row>
    <row r="25" spans="1:10" x14ac:dyDescent="0.4">
      <c r="A25" s="68" t="s">
        <v>515</v>
      </c>
      <c r="B25" s="69" t="s">
        <v>241</v>
      </c>
      <c r="C25" s="69" t="s">
        <v>37</v>
      </c>
      <c r="D25" s="69" t="s">
        <v>37</v>
      </c>
      <c r="E25" s="69" t="s">
        <v>242</v>
      </c>
      <c r="F25" s="69" t="s">
        <v>243</v>
      </c>
      <c r="G25" s="69" t="s">
        <v>37</v>
      </c>
      <c r="H25" s="69" t="s">
        <v>37</v>
      </c>
      <c r="I25" s="69">
        <v>134</v>
      </c>
      <c r="J25" s="69" t="str">
        <f>"https://tools.sig.systems/site/details/" &amp; Table3[[#This Row],[ID]]</f>
        <v>https://tools.sig.systems/site/details/134</v>
      </c>
    </row>
    <row r="26" spans="1:10" x14ac:dyDescent="0.4">
      <c r="A26" s="68" t="s">
        <v>516</v>
      </c>
      <c r="B26" s="69" t="s">
        <v>244</v>
      </c>
      <c r="C26" s="69" t="s">
        <v>245</v>
      </c>
      <c r="D26" s="69" t="s">
        <v>246</v>
      </c>
      <c r="E26" s="69" t="s">
        <v>247</v>
      </c>
      <c r="F26" s="69">
        <v>6</v>
      </c>
      <c r="G26" s="69" t="s">
        <v>37</v>
      </c>
      <c r="H26" s="69" t="s">
        <v>37</v>
      </c>
      <c r="I26" s="69">
        <v>135</v>
      </c>
      <c r="J26" s="69" t="str">
        <f>"https://tools.sig.systems/site/details/" &amp; Table3[[#This Row],[ID]]</f>
        <v>https://tools.sig.systems/site/details/135</v>
      </c>
    </row>
    <row r="27" spans="1:10" x14ac:dyDescent="0.4">
      <c r="A27" s="68" t="s">
        <v>517</v>
      </c>
      <c r="B27" s="69" t="s">
        <v>256</v>
      </c>
      <c r="C27" s="69" t="s">
        <v>37</v>
      </c>
      <c r="D27" s="69" t="s">
        <v>37</v>
      </c>
      <c r="E27" s="69" t="s">
        <v>257</v>
      </c>
      <c r="F27" s="69">
        <v>1</v>
      </c>
      <c r="G27" s="69" t="s">
        <v>37</v>
      </c>
      <c r="H27" s="69" t="s">
        <v>37</v>
      </c>
      <c r="I27" s="69">
        <v>170</v>
      </c>
      <c r="J27" s="69" t="str">
        <f>"https://tools.sig.systems/site/details/" &amp; Table3[[#This Row],[ID]]</f>
        <v>https://tools.sig.systems/site/details/170</v>
      </c>
    </row>
    <row r="28" spans="1:10" x14ac:dyDescent="0.4">
      <c r="A28" s="68" t="s">
        <v>518</v>
      </c>
      <c r="B28" s="69" t="s">
        <v>258</v>
      </c>
      <c r="C28" s="69" t="s">
        <v>37</v>
      </c>
      <c r="D28" s="69" t="s">
        <v>259</v>
      </c>
      <c r="E28" s="69" t="s">
        <v>260</v>
      </c>
      <c r="F28" s="69">
        <v>9</v>
      </c>
      <c r="G28" s="69" t="s">
        <v>37</v>
      </c>
      <c r="H28" s="69" t="s">
        <v>37</v>
      </c>
      <c r="I28" s="69">
        <v>169</v>
      </c>
      <c r="J28" s="69" t="str">
        <f>"https://tools.sig.systems/site/details/" &amp; Table3[[#This Row],[ID]]</f>
        <v>https://tools.sig.systems/site/details/169</v>
      </c>
    </row>
    <row r="29" spans="1:10" x14ac:dyDescent="0.4">
      <c r="A29" s="68" t="s">
        <v>519</v>
      </c>
      <c r="B29" s="70" t="s">
        <v>261</v>
      </c>
      <c r="C29" s="69" t="s">
        <v>37</v>
      </c>
      <c r="D29" s="69" t="s">
        <v>262</v>
      </c>
      <c r="E29" s="69" t="s">
        <v>263</v>
      </c>
      <c r="F29" s="69" t="s">
        <v>264</v>
      </c>
      <c r="G29" s="69" t="s">
        <v>37</v>
      </c>
      <c r="H29" s="69" t="s">
        <v>37</v>
      </c>
      <c r="I29" s="69">
        <v>137</v>
      </c>
      <c r="J29" s="69" t="str">
        <f>"https://tools.sig.systems/site/details/" &amp; Table3[[#This Row],[ID]]</f>
        <v>https://tools.sig.systems/site/details/137</v>
      </c>
    </row>
    <row r="30" spans="1:10" x14ac:dyDescent="0.4">
      <c r="A30" s="68" t="s">
        <v>520</v>
      </c>
      <c r="B30" s="69">
        <v>1</v>
      </c>
      <c r="C30" s="69" t="s">
        <v>37</v>
      </c>
      <c r="D30" s="69" t="s">
        <v>37</v>
      </c>
      <c r="E30" s="69" t="s">
        <v>37</v>
      </c>
      <c r="F30" s="69" t="s">
        <v>210</v>
      </c>
      <c r="G30" s="69" t="s">
        <v>37</v>
      </c>
      <c r="H30" s="69" t="s">
        <v>37</v>
      </c>
      <c r="I30" s="69">
        <v>138</v>
      </c>
      <c r="J30" s="69" t="str">
        <f>"https://tools.sig.systems/site/details/" &amp; Table3[[#This Row],[ID]]</f>
        <v>https://tools.sig.systems/site/details/138</v>
      </c>
    </row>
    <row r="31" spans="1:10" x14ac:dyDescent="0.4">
      <c r="A31" s="68" t="s">
        <v>521</v>
      </c>
      <c r="B31" s="69" t="s">
        <v>265</v>
      </c>
      <c r="C31" s="69" t="s">
        <v>37</v>
      </c>
      <c r="D31" s="69" t="s">
        <v>37</v>
      </c>
      <c r="E31" s="69" t="s">
        <v>266</v>
      </c>
      <c r="F31" s="69" t="s">
        <v>267</v>
      </c>
      <c r="G31" s="69" t="s">
        <v>37</v>
      </c>
      <c r="H31" s="69" t="s">
        <v>37</v>
      </c>
      <c r="I31" s="69">
        <v>139</v>
      </c>
      <c r="J31" s="69" t="str">
        <f>"https://tools.sig.systems/site/details/" &amp; Table3[[#This Row],[ID]]</f>
        <v>https://tools.sig.systems/site/details/139</v>
      </c>
    </row>
    <row r="32" spans="1:10" x14ac:dyDescent="0.4">
      <c r="A32" s="68" t="s">
        <v>522</v>
      </c>
      <c r="B32" s="69" t="s">
        <v>268</v>
      </c>
      <c r="C32" s="69" t="s">
        <v>37</v>
      </c>
      <c r="D32" s="69" t="s">
        <v>37</v>
      </c>
      <c r="E32" s="69" t="s">
        <v>269</v>
      </c>
      <c r="F32" s="69" t="s">
        <v>37</v>
      </c>
      <c r="G32" s="69" t="s">
        <v>37</v>
      </c>
      <c r="H32" s="69" t="s">
        <v>37</v>
      </c>
      <c r="I32" s="69">
        <v>171</v>
      </c>
      <c r="J32" s="69" t="str">
        <f>"https://tools.sig.systems/site/details/" &amp; Table3[[#This Row],[ID]]</f>
        <v>https://tools.sig.systems/site/details/171</v>
      </c>
    </row>
    <row r="33" spans="1:10" x14ac:dyDescent="0.4">
      <c r="A33" s="68" t="s">
        <v>129</v>
      </c>
      <c r="B33" s="69" t="s">
        <v>37</v>
      </c>
      <c r="C33" s="69" t="s">
        <v>270</v>
      </c>
      <c r="D33" s="69" t="s">
        <v>37</v>
      </c>
      <c r="E33" s="69" t="s">
        <v>271</v>
      </c>
      <c r="F33" s="69">
        <v>21</v>
      </c>
      <c r="G33" s="69" t="s">
        <v>37</v>
      </c>
      <c r="H33" s="69" t="s">
        <v>37</v>
      </c>
      <c r="I33" s="69">
        <v>140</v>
      </c>
      <c r="J33" s="69" t="str">
        <f>"https://tools.sig.systems/site/details/" &amp; Table3[[#This Row],[ID]]</f>
        <v>https://tools.sig.systems/site/details/140</v>
      </c>
    </row>
    <row r="34" spans="1:10" x14ac:dyDescent="0.4">
      <c r="A34" s="68" t="s">
        <v>91</v>
      </c>
      <c r="B34" s="69" t="s">
        <v>272</v>
      </c>
      <c r="C34" s="69" t="s">
        <v>273</v>
      </c>
      <c r="D34" s="69" t="s">
        <v>37</v>
      </c>
      <c r="E34" s="69" t="s">
        <v>274</v>
      </c>
      <c r="F34" s="69" t="s">
        <v>275</v>
      </c>
      <c r="G34" s="69" t="s">
        <v>37</v>
      </c>
      <c r="H34" s="69" t="s">
        <v>37</v>
      </c>
      <c r="I34" s="69">
        <v>141</v>
      </c>
      <c r="J34" s="69" t="str">
        <f>"https://tools.sig.systems/site/details/" &amp; Table3[[#This Row],[ID]]</f>
        <v>https://tools.sig.systems/site/details/141</v>
      </c>
    </row>
    <row r="35" spans="1:10" x14ac:dyDescent="0.4">
      <c r="A35" s="68" t="s">
        <v>92</v>
      </c>
      <c r="B35" s="69" t="s">
        <v>276</v>
      </c>
      <c r="C35" s="69" t="s">
        <v>277</v>
      </c>
      <c r="D35" s="69" t="s">
        <v>37</v>
      </c>
      <c r="E35" s="69">
        <v>2</v>
      </c>
      <c r="F35" s="69" t="s">
        <v>278</v>
      </c>
      <c r="G35" s="69" t="s">
        <v>37</v>
      </c>
      <c r="H35" s="69" t="s">
        <v>37</v>
      </c>
      <c r="I35" s="69">
        <v>141</v>
      </c>
      <c r="J35" s="69" t="str">
        <f>"https://tools.sig.systems/site/details/" &amp; Table3[[#This Row],[ID]]</f>
        <v>https://tools.sig.systems/site/details/141</v>
      </c>
    </row>
    <row r="36" spans="1:10" x14ac:dyDescent="0.4">
      <c r="A36" s="68" t="s">
        <v>190</v>
      </c>
      <c r="B36" s="69" t="s">
        <v>37</v>
      </c>
      <c r="C36" s="69" t="s">
        <v>279</v>
      </c>
      <c r="D36" s="69" t="s">
        <v>37</v>
      </c>
      <c r="E36" s="69" t="s">
        <v>280</v>
      </c>
      <c r="F36" s="69" t="s">
        <v>281</v>
      </c>
      <c r="G36" s="69" t="s">
        <v>37</v>
      </c>
      <c r="H36" s="69" t="s">
        <v>37</v>
      </c>
      <c r="I36" s="69">
        <v>264</v>
      </c>
      <c r="J36" s="69" t="str">
        <f>"https://tools.sig.systems/site/details/" &amp; Table3[[#This Row],[ID]]</f>
        <v>https://tools.sig.systems/site/details/264</v>
      </c>
    </row>
    <row r="37" spans="1:10" x14ac:dyDescent="0.4">
      <c r="A37" s="68" t="s">
        <v>93</v>
      </c>
      <c r="B37" s="69">
        <v>5</v>
      </c>
      <c r="C37" s="69">
        <v>4</v>
      </c>
      <c r="D37" s="69" t="s">
        <v>37</v>
      </c>
      <c r="E37" s="69">
        <v>3</v>
      </c>
      <c r="F37" s="69" t="s">
        <v>282</v>
      </c>
      <c r="G37" s="69" t="s">
        <v>37</v>
      </c>
      <c r="H37" s="69" t="s">
        <v>37</v>
      </c>
      <c r="I37" s="69">
        <v>204</v>
      </c>
      <c r="J37" s="69" t="str">
        <f>"https://tools.sig.systems/site/details/" &amp; Table3[[#This Row],[ID]]</f>
        <v>https://tools.sig.systems/site/details/204</v>
      </c>
    </row>
    <row r="38" spans="1:10" x14ac:dyDescent="0.4">
      <c r="A38" s="68" t="s">
        <v>523</v>
      </c>
      <c r="B38" s="69" t="s">
        <v>37</v>
      </c>
      <c r="C38" s="69" t="s">
        <v>283</v>
      </c>
      <c r="D38" s="69" t="s">
        <v>284</v>
      </c>
      <c r="E38" s="69" t="s">
        <v>37</v>
      </c>
      <c r="F38" s="69" t="s">
        <v>200</v>
      </c>
      <c r="G38" s="69" t="s">
        <v>37</v>
      </c>
      <c r="H38" s="69" t="s">
        <v>37</v>
      </c>
      <c r="I38" s="69">
        <v>260</v>
      </c>
      <c r="J38" s="69" t="str">
        <f>"https://tools.sig.systems/site/details/" &amp; Table3[[#This Row],[ID]]</f>
        <v>https://tools.sig.systems/site/details/260</v>
      </c>
    </row>
    <row r="39" spans="1:10" x14ac:dyDescent="0.4">
      <c r="A39" s="68" t="s">
        <v>78</v>
      </c>
      <c r="B39" s="69" t="s">
        <v>285</v>
      </c>
      <c r="C39" s="69">
        <v>2</v>
      </c>
      <c r="D39" s="69" t="s">
        <v>37</v>
      </c>
      <c r="E39" s="69" t="s">
        <v>37</v>
      </c>
      <c r="F39" s="69" t="s">
        <v>285</v>
      </c>
      <c r="G39" s="69" t="s">
        <v>37</v>
      </c>
      <c r="H39" s="69" t="s">
        <v>37</v>
      </c>
      <c r="I39" s="69">
        <v>242</v>
      </c>
      <c r="J39" s="69" t="str">
        <f>"https://tools.sig.systems/site/details/" &amp; Table3[[#This Row],[ID]]</f>
        <v>https://tools.sig.systems/site/details/242</v>
      </c>
    </row>
    <row r="40" spans="1:10" x14ac:dyDescent="0.4">
      <c r="A40" s="68" t="s">
        <v>79</v>
      </c>
      <c r="B40" s="69" t="s">
        <v>37</v>
      </c>
      <c r="C40" s="69" t="s">
        <v>286</v>
      </c>
      <c r="D40" s="69" t="s">
        <v>37</v>
      </c>
      <c r="E40" s="69" t="s">
        <v>287</v>
      </c>
      <c r="F40" s="69" t="s">
        <v>288</v>
      </c>
      <c r="G40" s="69" t="s">
        <v>37</v>
      </c>
      <c r="H40" s="69" t="s">
        <v>37</v>
      </c>
      <c r="I40" s="69">
        <v>240</v>
      </c>
      <c r="J40" s="69" t="str">
        <f>"https://tools.sig.systems/site/details/" &amp; Table3[[#This Row],[ID]]</f>
        <v>https://tools.sig.systems/site/details/240</v>
      </c>
    </row>
    <row r="41" spans="1:10" x14ac:dyDescent="0.4">
      <c r="A41" s="68" t="s">
        <v>289</v>
      </c>
      <c r="B41" s="69" t="s">
        <v>37</v>
      </c>
      <c r="C41" s="69" t="s">
        <v>290</v>
      </c>
      <c r="D41" s="69" t="s">
        <v>37</v>
      </c>
      <c r="E41" s="69" t="s">
        <v>291</v>
      </c>
      <c r="F41" s="69" t="s">
        <v>292</v>
      </c>
      <c r="G41" s="69" t="s">
        <v>37</v>
      </c>
      <c r="H41" s="69" t="s">
        <v>37</v>
      </c>
      <c r="I41" s="69">
        <v>302</v>
      </c>
      <c r="J41" s="69" t="str">
        <f>"https://tools.sig.systems/site/details/" &amp; Table3[[#This Row],[ID]]</f>
        <v>https://tools.sig.systems/site/details/302</v>
      </c>
    </row>
    <row r="42" spans="1:10" x14ac:dyDescent="0.4">
      <c r="A42" s="68" t="s">
        <v>155</v>
      </c>
      <c r="B42" s="71" t="s">
        <v>293</v>
      </c>
      <c r="C42" s="71" t="s">
        <v>37</v>
      </c>
      <c r="D42" s="69" t="s">
        <v>37</v>
      </c>
      <c r="E42" s="69" t="s">
        <v>294</v>
      </c>
      <c r="F42" s="69" t="s">
        <v>295</v>
      </c>
      <c r="G42" s="69" t="s">
        <v>37</v>
      </c>
      <c r="H42" s="69" t="s">
        <v>37</v>
      </c>
      <c r="I42" s="69">
        <v>237</v>
      </c>
      <c r="J42" s="69" t="str">
        <f>"https://tools.sig.systems/site/details/" &amp; Table3[[#This Row],[ID]]</f>
        <v>https://tools.sig.systems/site/details/237</v>
      </c>
    </row>
    <row r="43" spans="1:10" x14ac:dyDescent="0.4">
      <c r="A43" s="68" t="s">
        <v>102</v>
      </c>
      <c r="B43" s="69">
        <v>8</v>
      </c>
      <c r="C43" s="69">
        <v>3</v>
      </c>
      <c r="D43" s="69" t="s">
        <v>37</v>
      </c>
      <c r="E43" s="69" t="s">
        <v>37</v>
      </c>
      <c r="F43" s="69" t="s">
        <v>296</v>
      </c>
      <c r="G43" s="69" t="s">
        <v>37</v>
      </c>
      <c r="H43" s="69" t="s">
        <v>37</v>
      </c>
      <c r="I43" s="69">
        <v>199</v>
      </c>
      <c r="J43" s="69" t="str">
        <f>"https://tools.sig.systems/site/details/" &amp; Table3[[#This Row],[ID]]</f>
        <v>https://tools.sig.systems/site/details/199</v>
      </c>
    </row>
    <row r="44" spans="1:10" x14ac:dyDescent="0.4">
      <c r="A44" s="68" t="s">
        <v>156</v>
      </c>
      <c r="B44" s="69" t="s">
        <v>37</v>
      </c>
      <c r="C44" s="69" t="s">
        <v>297</v>
      </c>
      <c r="D44" s="69" t="s">
        <v>37</v>
      </c>
      <c r="E44" s="69" t="s">
        <v>37</v>
      </c>
      <c r="F44" s="69" t="s">
        <v>298</v>
      </c>
      <c r="G44" s="69" t="s">
        <v>37</v>
      </c>
      <c r="H44" s="69" t="s">
        <v>37</v>
      </c>
      <c r="I44" s="69">
        <v>198</v>
      </c>
      <c r="J44" s="69" t="str">
        <f>"https://tools.sig.systems/site/details/" &amp; Table3[[#This Row],[ID]]</f>
        <v>https://tools.sig.systems/site/details/198</v>
      </c>
    </row>
    <row r="45" spans="1:10" x14ac:dyDescent="0.4">
      <c r="A45" s="68" t="s">
        <v>157</v>
      </c>
      <c r="B45" s="69" t="s">
        <v>37</v>
      </c>
      <c r="C45" s="69" t="s">
        <v>299</v>
      </c>
      <c r="D45" s="69" t="s">
        <v>37</v>
      </c>
      <c r="E45" s="69" t="s">
        <v>37</v>
      </c>
      <c r="F45" s="69" t="s">
        <v>299</v>
      </c>
      <c r="G45" s="69" t="s">
        <v>37</v>
      </c>
      <c r="H45" s="69" t="s">
        <v>37</v>
      </c>
      <c r="I45" s="69">
        <v>203</v>
      </c>
      <c r="J45" s="69" t="str">
        <f>"https://tools.sig.systems/site/details/" &amp; Table3[[#This Row],[ID]]</f>
        <v>https://tools.sig.systems/site/details/203</v>
      </c>
    </row>
    <row r="46" spans="1:10" x14ac:dyDescent="0.4">
      <c r="A46" s="68" t="s">
        <v>160</v>
      </c>
      <c r="B46" s="69" t="s">
        <v>37</v>
      </c>
      <c r="C46" s="69">
        <v>3</v>
      </c>
      <c r="D46" s="69" t="s">
        <v>37</v>
      </c>
      <c r="E46" s="69" t="s">
        <v>37</v>
      </c>
      <c r="F46" s="72" t="s">
        <v>37</v>
      </c>
      <c r="G46" s="69" t="s">
        <v>37</v>
      </c>
      <c r="H46" s="69" t="s">
        <v>37</v>
      </c>
      <c r="I46" s="69">
        <v>241</v>
      </c>
      <c r="J46" s="69" t="str">
        <f>"https://tools.sig.systems/site/details/" &amp; Table3[[#This Row],[ID]]</f>
        <v>https://tools.sig.systems/site/details/241</v>
      </c>
    </row>
    <row r="47" spans="1:10" x14ac:dyDescent="0.4">
      <c r="A47" s="68" t="s">
        <v>112</v>
      </c>
      <c r="B47" s="69" t="s">
        <v>200</v>
      </c>
      <c r="C47" s="69" t="s">
        <v>37</v>
      </c>
      <c r="D47" s="69" t="s">
        <v>37</v>
      </c>
      <c r="E47" s="69" t="s">
        <v>37</v>
      </c>
      <c r="F47" s="69" t="s">
        <v>300</v>
      </c>
      <c r="G47" s="69" t="s">
        <v>37</v>
      </c>
      <c r="H47" s="69" t="s">
        <v>494</v>
      </c>
      <c r="I47" s="69">
        <v>196</v>
      </c>
      <c r="J47" s="69" t="str">
        <f>"https://tools.sig.systems/site/details/" &amp; Table3[[#This Row],[ID]]</f>
        <v>https://tools.sig.systems/site/details/196</v>
      </c>
    </row>
    <row r="48" spans="1:10" x14ac:dyDescent="0.4">
      <c r="A48" s="68" t="s">
        <v>99</v>
      </c>
      <c r="B48" s="69" t="s">
        <v>37</v>
      </c>
      <c r="C48" s="69">
        <v>3</v>
      </c>
      <c r="D48" s="69" t="s">
        <v>37</v>
      </c>
      <c r="E48" s="69" t="s">
        <v>37</v>
      </c>
      <c r="F48" s="69" t="s">
        <v>301</v>
      </c>
      <c r="G48" s="69" t="s">
        <v>37</v>
      </c>
      <c r="H48" s="69" t="s">
        <v>37</v>
      </c>
      <c r="I48" s="69">
        <v>258</v>
      </c>
      <c r="J48" s="69" t="str">
        <f>"https://tools.sig.systems/site/details/" &amp; Table3[[#This Row],[ID]]</f>
        <v>https://tools.sig.systems/site/details/258</v>
      </c>
    </row>
    <row r="49" spans="1:10" x14ac:dyDescent="0.4">
      <c r="A49" s="68" t="s">
        <v>5</v>
      </c>
      <c r="B49" s="71">
        <v>10</v>
      </c>
      <c r="C49" s="71" t="s">
        <v>302</v>
      </c>
      <c r="D49" s="69" t="s">
        <v>37</v>
      </c>
      <c r="E49" s="69" t="s">
        <v>37</v>
      </c>
      <c r="F49" s="69" t="s">
        <v>303</v>
      </c>
      <c r="G49" s="69" t="s">
        <v>37</v>
      </c>
      <c r="H49" s="69" t="s">
        <v>37</v>
      </c>
      <c r="I49" s="69">
        <v>267</v>
      </c>
      <c r="J49" s="69" t="str">
        <f>"https://tools.sig.systems/site/details/" &amp; Table3[[#This Row],[ID]]</f>
        <v>https://tools.sig.systems/site/details/267</v>
      </c>
    </row>
    <row r="50" spans="1:10" x14ac:dyDescent="0.4">
      <c r="A50" s="68" t="s">
        <v>68</v>
      </c>
      <c r="B50" s="69" t="s">
        <v>304</v>
      </c>
      <c r="C50" s="69" t="s">
        <v>37</v>
      </c>
      <c r="D50" s="69" t="s">
        <v>37</v>
      </c>
      <c r="E50" s="69">
        <v>15</v>
      </c>
      <c r="F50" s="69" t="s">
        <v>305</v>
      </c>
      <c r="G50" s="69" t="s">
        <v>37</v>
      </c>
      <c r="H50" s="69" t="s">
        <v>37</v>
      </c>
      <c r="I50" s="69">
        <v>250</v>
      </c>
      <c r="J50" s="69" t="str">
        <f>"https://tools.sig.systems/site/details/" &amp; Table3[[#This Row],[ID]]</f>
        <v>https://tools.sig.systems/site/details/250</v>
      </c>
    </row>
    <row r="51" spans="1:10" x14ac:dyDescent="0.4">
      <c r="A51" s="68" t="s">
        <v>69</v>
      </c>
      <c r="B51" s="69">
        <v>7</v>
      </c>
      <c r="C51" s="69">
        <v>2</v>
      </c>
      <c r="D51" s="69" t="s">
        <v>37</v>
      </c>
      <c r="E51" s="69">
        <v>14</v>
      </c>
      <c r="F51" s="69" t="s">
        <v>306</v>
      </c>
      <c r="G51" s="69" t="s">
        <v>37</v>
      </c>
      <c r="H51" s="69" t="s">
        <v>37</v>
      </c>
      <c r="I51" s="69">
        <v>197</v>
      </c>
      <c r="J51" s="69" t="str">
        <f>"https://tools.sig.systems/site/details/" &amp; Table3[[#This Row],[ID]]</f>
        <v>https://tools.sig.systems/site/details/197</v>
      </c>
    </row>
    <row r="52" spans="1:10" x14ac:dyDescent="0.4">
      <c r="A52" s="68" t="s">
        <v>131</v>
      </c>
      <c r="B52" s="71" t="s">
        <v>37</v>
      </c>
      <c r="C52" s="71" t="s">
        <v>237</v>
      </c>
      <c r="D52" s="69" t="s">
        <v>37</v>
      </c>
      <c r="E52" s="69" t="s">
        <v>37</v>
      </c>
      <c r="F52" s="69" t="s">
        <v>307</v>
      </c>
      <c r="G52" s="69" t="s">
        <v>37</v>
      </c>
      <c r="H52" s="69" t="s">
        <v>37</v>
      </c>
      <c r="I52" s="69">
        <v>257</v>
      </c>
      <c r="J52" s="69" t="str">
        <f>"https://tools.sig.systems/site/details/" &amp; Table3[[#This Row],[ID]]</f>
        <v>https://tools.sig.systems/site/details/257</v>
      </c>
    </row>
    <row r="53" spans="1:10" x14ac:dyDescent="0.4">
      <c r="A53" s="68" t="s">
        <v>100</v>
      </c>
      <c r="B53" s="69" t="s">
        <v>308</v>
      </c>
      <c r="C53" s="69" t="s">
        <v>37</v>
      </c>
      <c r="D53" s="69" t="s">
        <v>37</v>
      </c>
      <c r="E53" s="69" t="s">
        <v>309</v>
      </c>
      <c r="F53" s="69" t="s">
        <v>310</v>
      </c>
      <c r="G53" s="69" t="s">
        <v>37</v>
      </c>
      <c r="H53" s="69" t="s">
        <v>37</v>
      </c>
      <c r="I53" s="69">
        <v>213</v>
      </c>
      <c r="J53" s="69" t="str">
        <f>"https://tools.sig.systems/site/details/" &amp; Table3[[#This Row],[ID]]</f>
        <v>https://tools.sig.systems/site/details/213</v>
      </c>
    </row>
    <row r="54" spans="1:10" x14ac:dyDescent="0.4">
      <c r="A54" s="68" t="s">
        <v>183</v>
      </c>
      <c r="B54" s="69" t="s">
        <v>311</v>
      </c>
      <c r="C54" s="69" t="s">
        <v>37</v>
      </c>
      <c r="D54" s="69" t="s">
        <v>37</v>
      </c>
      <c r="E54" s="69" t="s">
        <v>312</v>
      </c>
      <c r="F54" s="69" t="s">
        <v>313</v>
      </c>
      <c r="G54" s="69" t="s">
        <v>314</v>
      </c>
      <c r="H54" s="69" t="s">
        <v>37</v>
      </c>
      <c r="I54" s="69">
        <v>219</v>
      </c>
      <c r="J54" s="69" t="str">
        <f>"https://tools.sig.systems/site/details/" &amp; Table3[[#This Row],[ID]]</f>
        <v>https://tools.sig.systems/site/details/219</v>
      </c>
    </row>
    <row r="55" spans="1:10" x14ac:dyDescent="0.4">
      <c r="A55" s="68" t="s">
        <v>185</v>
      </c>
      <c r="B55" s="69" t="s">
        <v>214</v>
      </c>
      <c r="C55" s="69" t="s">
        <v>37</v>
      </c>
      <c r="D55" s="69" t="s">
        <v>37</v>
      </c>
      <c r="E55" s="69" t="s">
        <v>315</v>
      </c>
      <c r="F55" s="69" t="s">
        <v>316</v>
      </c>
      <c r="G55" s="82" t="s">
        <v>317</v>
      </c>
      <c r="H55" s="69" t="s">
        <v>37</v>
      </c>
      <c r="I55" s="69">
        <v>215</v>
      </c>
      <c r="J55" s="69" t="str">
        <f>"https://tools.sig.systems/site/details/" &amp; Table3[[#This Row],[ID]]</f>
        <v>https://tools.sig.systems/site/details/215</v>
      </c>
    </row>
    <row r="56" spans="1:10" x14ac:dyDescent="0.4">
      <c r="A56" s="68" t="s">
        <v>85</v>
      </c>
      <c r="B56" s="69" t="s">
        <v>318</v>
      </c>
      <c r="C56" s="69" t="s">
        <v>37</v>
      </c>
      <c r="D56" s="69" t="s">
        <v>37</v>
      </c>
      <c r="E56" s="69" t="s">
        <v>319</v>
      </c>
      <c r="F56" s="69">
        <v>26</v>
      </c>
      <c r="G56" s="69" t="s">
        <v>37</v>
      </c>
      <c r="H56" s="69" t="s">
        <v>37</v>
      </c>
      <c r="I56" s="69">
        <v>230</v>
      </c>
      <c r="J56" s="69" t="str">
        <f>"https://tools.sig.systems/site/details/" &amp; Table3[[#This Row],[ID]]</f>
        <v>https://tools.sig.systems/site/details/230</v>
      </c>
    </row>
    <row r="57" spans="1:10" x14ac:dyDescent="0.4">
      <c r="A57" s="68" t="s">
        <v>65</v>
      </c>
      <c r="B57" s="69" t="s">
        <v>320</v>
      </c>
      <c r="C57" s="69">
        <v>13</v>
      </c>
      <c r="D57" s="69" t="s">
        <v>37</v>
      </c>
      <c r="E57" s="69" t="s">
        <v>321</v>
      </c>
      <c r="F57" s="69" t="s">
        <v>37</v>
      </c>
      <c r="G57" s="69" t="s">
        <v>37</v>
      </c>
      <c r="H57" s="69" t="s">
        <v>37</v>
      </c>
      <c r="I57" s="69">
        <v>195</v>
      </c>
      <c r="J57" s="69" t="str">
        <f>"https://tools.sig.systems/site/details/" &amp; Table3[[#This Row],[ID]]</f>
        <v>https://tools.sig.systems/site/details/195</v>
      </c>
    </row>
    <row r="58" spans="1:10" x14ac:dyDescent="0.4">
      <c r="A58" s="73" t="s">
        <v>66</v>
      </c>
      <c r="B58" s="74" t="s">
        <v>322</v>
      </c>
      <c r="C58" s="74" t="s">
        <v>37</v>
      </c>
      <c r="D58" s="69" t="s">
        <v>37</v>
      </c>
      <c r="E58" s="69" t="s">
        <v>37</v>
      </c>
      <c r="F58" s="69">
        <v>4</v>
      </c>
      <c r="G58" s="69" t="s">
        <v>37</v>
      </c>
      <c r="H58" s="69" t="s">
        <v>37</v>
      </c>
      <c r="I58" s="69">
        <v>236</v>
      </c>
      <c r="J58" s="69" t="str">
        <f>"https://tools.sig.systems/site/details/" &amp; Table3[[#This Row],[ID]]</f>
        <v>https://tools.sig.systems/site/details/236</v>
      </c>
    </row>
    <row r="59" spans="1:10" x14ac:dyDescent="0.4">
      <c r="A59" s="73" t="s">
        <v>110</v>
      </c>
      <c r="B59" s="74" t="s">
        <v>37</v>
      </c>
      <c r="C59" s="74">
        <v>1</v>
      </c>
      <c r="D59" s="69" t="s">
        <v>37</v>
      </c>
      <c r="E59" s="69" t="s">
        <v>37</v>
      </c>
      <c r="F59" s="69" t="s">
        <v>37</v>
      </c>
      <c r="G59" s="69" t="s">
        <v>37</v>
      </c>
      <c r="H59" s="69" t="s">
        <v>37</v>
      </c>
      <c r="I59" s="69">
        <v>256</v>
      </c>
      <c r="J59" s="69" t="str">
        <f>"https://tools.sig.systems/site/details/" &amp; Table3[[#This Row],[ID]]</f>
        <v>https://tools.sig.systems/site/details/256</v>
      </c>
    </row>
    <row r="60" spans="1:10" x14ac:dyDescent="0.4">
      <c r="A60" s="68" t="s">
        <v>187</v>
      </c>
      <c r="B60" s="69" t="s">
        <v>414</v>
      </c>
      <c r="C60" s="69" t="s">
        <v>37</v>
      </c>
      <c r="D60" s="69" t="s">
        <v>37</v>
      </c>
      <c r="E60" s="69" t="s">
        <v>415</v>
      </c>
      <c r="F60" s="69" t="s">
        <v>416</v>
      </c>
      <c r="G60" s="69" t="s">
        <v>37</v>
      </c>
      <c r="H60" s="69" t="s">
        <v>37</v>
      </c>
      <c r="I60" s="69">
        <v>142</v>
      </c>
      <c r="J60" s="69" t="str">
        <f>"https://tools.sig.systems/site/details/" &amp; Table3[[#This Row],[ID]]</f>
        <v>https://tools.sig.systems/site/details/142</v>
      </c>
    </row>
    <row r="61" spans="1:10" x14ac:dyDescent="0.4">
      <c r="A61" s="68" t="s">
        <v>167</v>
      </c>
      <c r="B61" s="69" t="s">
        <v>37</v>
      </c>
      <c r="C61" s="69" t="s">
        <v>299</v>
      </c>
      <c r="D61" s="69" t="s">
        <v>37</v>
      </c>
      <c r="E61" s="69" t="s">
        <v>37</v>
      </c>
      <c r="F61" s="69" t="s">
        <v>37</v>
      </c>
      <c r="G61" s="69" t="s">
        <v>37</v>
      </c>
      <c r="H61" s="69" t="s">
        <v>37</v>
      </c>
      <c r="I61" s="69">
        <v>311</v>
      </c>
      <c r="J61" s="69" t="str">
        <f>"https://tools.sig.systems/site/details/" &amp; Table3[[#This Row],[ID]]</f>
        <v>https://tools.sig.systems/site/details/311</v>
      </c>
    </row>
    <row r="62" spans="1:10" x14ac:dyDescent="0.4">
      <c r="A62" s="68" t="s">
        <v>132</v>
      </c>
      <c r="B62" s="69" t="s">
        <v>323</v>
      </c>
      <c r="C62" s="69" t="s">
        <v>37</v>
      </c>
      <c r="D62" s="69" t="s">
        <v>37</v>
      </c>
      <c r="E62" s="69" t="s">
        <v>324</v>
      </c>
      <c r="F62" s="69" t="s">
        <v>325</v>
      </c>
      <c r="G62" s="69" t="s">
        <v>37</v>
      </c>
      <c r="H62" s="69" t="s">
        <v>37</v>
      </c>
      <c r="I62" s="69">
        <v>239</v>
      </c>
      <c r="J62" s="69" t="str">
        <f>"https://tools.sig.systems/site/details/" &amp; Table3[[#This Row],[ID]]</f>
        <v>https://tools.sig.systems/site/details/239</v>
      </c>
    </row>
    <row r="63" spans="1:10" x14ac:dyDescent="0.4">
      <c r="A63" s="68" t="s">
        <v>327</v>
      </c>
      <c r="B63" s="69" t="s">
        <v>328</v>
      </c>
      <c r="C63" s="69" t="s">
        <v>37</v>
      </c>
      <c r="D63" s="69" t="s">
        <v>37</v>
      </c>
      <c r="E63" s="69" t="s">
        <v>37</v>
      </c>
      <c r="F63" s="69" t="s">
        <v>329</v>
      </c>
      <c r="G63" s="69" t="s">
        <v>37</v>
      </c>
      <c r="H63" s="69" t="s">
        <v>37</v>
      </c>
      <c r="I63" s="69">
        <v>316</v>
      </c>
      <c r="J63" s="69" t="str">
        <f>"https://tools.sig.systems/site/details/" &amp; Table3[[#This Row],[ID]]</f>
        <v>https://tools.sig.systems/site/details/316</v>
      </c>
    </row>
    <row r="64" spans="1:10" x14ac:dyDescent="0.4">
      <c r="A64" s="68" t="s">
        <v>133</v>
      </c>
      <c r="B64" s="69" t="s">
        <v>330</v>
      </c>
      <c r="C64" s="69" t="s">
        <v>37</v>
      </c>
      <c r="D64" s="69" t="s">
        <v>37</v>
      </c>
      <c r="E64" s="69" t="s">
        <v>331</v>
      </c>
      <c r="F64" s="69" t="s">
        <v>332</v>
      </c>
      <c r="G64" s="69" t="s">
        <v>37</v>
      </c>
      <c r="H64" s="69" t="s">
        <v>37</v>
      </c>
      <c r="I64" s="69">
        <v>232</v>
      </c>
      <c r="J64" s="69" t="str">
        <f>"https://tools.sig.systems/site/details/" &amp; Table3[[#This Row],[ID]]</f>
        <v>https://tools.sig.systems/site/details/232</v>
      </c>
    </row>
    <row r="65" spans="1:10" x14ac:dyDescent="0.4">
      <c r="A65" s="68" t="s">
        <v>135</v>
      </c>
      <c r="B65" s="69" t="s">
        <v>333</v>
      </c>
      <c r="C65" s="69" t="s">
        <v>37</v>
      </c>
      <c r="D65" s="69" t="s">
        <v>37</v>
      </c>
      <c r="E65" s="69" t="s">
        <v>334</v>
      </c>
      <c r="F65" s="69">
        <v>22</v>
      </c>
      <c r="G65" s="69" t="s">
        <v>37</v>
      </c>
      <c r="H65" s="69" t="s">
        <v>37</v>
      </c>
      <c r="I65" s="69">
        <v>235</v>
      </c>
      <c r="J65" s="69" t="str">
        <f>"https://tools.sig.systems/site/details/" &amp; Table3[[#This Row],[ID]]</f>
        <v>https://tools.sig.systems/site/details/235</v>
      </c>
    </row>
    <row r="66" spans="1:10" x14ac:dyDescent="0.4">
      <c r="A66" s="68" t="s">
        <v>136</v>
      </c>
      <c r="B66" s="69" t="s">
        <v>335</v>
      </c>
      <c r="C66" s="69" t="s">
        <v>37</v>
      </c>
      <c r="D66" s="69" t="s">
        <v>37</v>
      </c>
      <c r="E66" s="69" t="s">
        <v>336</v>
      </c>
      <c r="F66" s="69" t="s">
        <v>337</v>
      </c>
      <c r="G66" s="69" t="s">
        <v>37</v>
      </c>
      <c r="H66" s="69" t="s">
        <v>37</v>
      </c>
      <c r="I66" s="69">
        <v>231</v>
      </c>
      <c r="J66" s="69" t="str">
        <f>"https://tools.sig.systems/site/details/" &amp; Table3[[#This Row],[ID]]</f>
        <v>https://tools.sig.systems/site/details/231</v>
      </c>
    </row>
    <row r="67" spans="1:10" x14ac:dyDescent="0.4">
      <c r="A67" s="68" t="s">
        <v>87</v>
      </c>
      <c r="B67" s="69" t="s">
        <v>338</v>
      </c>
      <c r="C67" s="69" t="s">
        <v>37</v>
      </c>
      <c r="D67" s="69" t="s">
        <v>37</v>
      </c>
      <c r="E67" s="69" t="s">
        <v>339</v>
      </c>
      <c r="F67" s="69" t="s">
        <v>340</v>
      </c>
      <c r="G67" s="69" t="s">
        <v>37</v>
      </c>
      <c r="H67" s="69" t="s">
        <v>37</v>
      </c>
      <c r="I67" s="69">
        <v>255</v>
      </c>
      <c r="J67" s="69" t="str">
        <f>"https://tools.sig.systems/site/details/" &amp; Table3[[#This Row],[ID]]</f>
        <v>https://tools.sig.systems/site/details/255</v>
      </c>
    </row>
    <row r="68" spans="1:10" x14ac:dyDescent="0.4">
      <c r="A68" s="68" t="s">
        <v>118</v>
      </c>
      <c r="B68" s="69" t="s">
        <v>326</v>
      </c>
      <c r="C68" s="69" t="s">
        <v>37</v>
      </c>
      <c r="D68" s="69" t="s">
        <v>37</v>
      </c>
      <c r="E68" s="69" t="s">
        <v>42</v>
      </c>
      <c r="F68" s="69" t="s">
        <v>37</v>
      </c>
      <c r="G68" s="69" t="s">
        <v>37</v>
      </c>
      <c r="H68" s="69" t="s">
        <v>37</v>
      </c>
      <c r="I68" s="69">
        <v>269</v>
      </c>
      <c r="J68" s="69" t="str">
        <f>"https://tools.sig.systems/site/details/" &amp; Table3[[#This Row],[ID]]</f>
        <v>https://tools.sig.systems/site/details/269</v>
      </c>
    </row>
    <row r="69" spans="1:10" x14ac:dyDescent="0.4">
      <c r="A69" s="68" t="s">
        <v>8</v>
      </c>
      <c r="B69" s="69" t="s">
        <v>54</v>
      </c>
      <c r="C69" s="69" t="s">
        <v>37</v>
      </c>
      <c r="D69" s="69" t="s">
        <v>37</v>
      </c>
      <c r="E69" s="69" t="s">
        <v>55</v>
      </c>
      <c r="F69" s="69" t="s">
        <v>37</v>
      </c>
      <c r="G69" s="69" t="s">
        <v>37</v>
      </c>
      <c r="H69" s="69" t="s">
        <v>37</v>
      </c>
      <c r="I69" s="69">
        <v>145</v>
      </c>
      <c r="J69" s="69" t="str">
        <f>"https://tools.sig.systems/site/details/" &amp; Table3[[#This Row],[ID]]</f>
        <v>https://tools.sig.systems/site/details/145</v>
      </c>
    </row>
    <row r="70" spans="1:10" x14ac:dyDescent="0.4">
      <c r="A70" s="68" t="s">
        <v>94</v>
      </c>
      <c r="B70" s="69" t="s">
        <v>341</v>
      </c>
      <c r="C70" s="69" t="s">
        <v>37</v>
      </c>
      <c r="D70" s="69" t="s">
        <v>37</v>
      </c>
      <c r="E70" s="69">
        <v>4</v>
      </c>
      <c r="F70" s="69" t="s">
        <v>37</v>
      </c>
      <c r="G70" s="69" t="s">
        <v>37</v>
      </c>
      <c r="H70" s="69" t="s">
        <v>37</v>
      </c>
      <c r="I70" s="69">
        <v>262</v>
      </c>
      <c r="J70" s="69" t="str">
        <f>"https://tools.sig.systems/site/details/" &amp; Table3[[#This Row],[ID]]</f>
        <v>https://tools.sig.systems/site/details/262</v>
      </c>
    </row>
    <row r="71" spans="1:10" x14ac:dyDescent="0.4">
      <c r="A71" s="68" t="s">
        <v>70</v>
      </c>
      <c r="B71" s="69" t="s">
        <v>344</v>
      </c>
      <c r="C71" s="69" t="s">
        <v>37</v>
      </c>
      <c r="D71" s="69" t="s">
        <v>345</v>
      </c>
      <c r="E71" s="69" t="s">
        <v>346</v>
      </c>
      <c r="F71" s="69" t="s">
        <v>347</v>
      </c>
      <c r="G71" s="69" t="s">
        <v>37</v>
      </c>
      <c r="H71" s="69" t="s">
        <v>37</v>
      </c>
      <c r="I71" s="69">
        <v>238</v>
      </c>
      <c r="J71" s="69" t="str">
        <f>"https://tools.sig.systems/site/details/" &amp; Table3[[#This Row],[ID]]</f>
        <v>https://tools.sig.systems/site/details/238</v>
      </c>
    </row>
    <row r="72" spans="1:10" x14ac:dyDescent="0.4">
      <c r="A72" s="68" t="s">
        <v>111</v>
      </c>
      <c r="B72" s="69" t="s">
        <v>348</v>
      </c>
      <c r="C72" s="69" t="s">
        <v>37</v>
      </c>
      <c r="D72" s="69" t="s">
        <v>37</v>
      </c>
      <c r="E72" s="69" t="s">
        <v>349</v>
      </c>
      <c r="F72" s="69" t="s">
        <v>350</v>
      </c>
      <c r="G72" s="69" t="s">
        <v>37</v>
      </c>
      <c r="H72" s="69" t="s">
        <v>37</v>
      </c>
      <c r="I72" s="69">
        <v>225</v>
      </c>
      <c r="J72" s="69" t="str">
        <f>"https://tools.sig.systems/site/details/" &amp; Table3[[#This Row],[ID]]</f>
        <v>https://tools.sig.systems/site/details/225</v>
      </c>
    </row>
    <row r="73" spans="1:10" x14ac:dyDescent="0.4">
      <c r="A73" s="68" t="s">
        <v>61</v>
      </c>
      <c r="B73" s="69" t="s">
        <v>351</v>
      </c>
      <c r="C73" s="69" t="s">
        <v>352</v>
      </c>
      <c r="D73" s="69" t="s">
        <v>37</v>
      </c>
      <c r="E73" s="69" t="s">
        <v>353</v>
      </c>
      <c r="F73" s="69" t="s">
        <v>354</v>
      </c>
      <c r="G73" s="69" t="s">
        <v>37</v>
      </c>
      <c r="H73" s="69" t="s">
        <v>37</v>
      </c>
      <c r="I73" s="69">
        <v>144</v>
      </c>
      <c r="J73" s="69" t="str">
        <f>"https://tools.sig.systems/site/details/" &amp; Table3[[#This Row],[ID]]</f>
        <v>https://tools.sig.systems/site/details/144</v>
      </c>
    </row>
    <row r="74" spans="1:10" x14ac:dyDescent="0.4">
      <c r="A74" s="68" t="s">
        <v>77</v>
      </c>
      <c r="B74" s="69" t="s">
        <v>342</v>
      </c>
      <c r="C74" s="69" t="s">
        <v>37</v>
      </c>
      <c r="D74" s="69" t="s">
        <v>37</v>
      </c>
      <c r="E74" s="69" t="s">
        <v>343</v>
      </c>
      <c r="F74" s="69" t="s">
        <v>37</v>
      </c>
      <c r="G74" s="69" t="s">
        <v>37</v>
      </c>
      <c r="H74" s="69" t="s">
        <v>37</v>
      </c>
      <c r="I74" s="69">
        <v>229</v>
      </c>
      <c r="J74" s="69" t="str">
        <f>"https://tools.sig.systems/site/details/" &amp; Table3[[#This Row],[ID]]</f>
        <v>https://tools.sig.systems/site/details/229</v>
      </c>
    </row>
    <row r="75" spans="1:10" x14ac:dyDescent="0.4">
      <c r="A75" s="68" t="s">
        <v>103</v>
      </c>
      <c r="B75" s="69" t="s">
        <v>395</v>
      </c>
      <c r="C75" s="69" t="s">
        <v>37</v>
      </c>
      <c r="D75" s="69" t="s">
        <v>200</v>
      </c>
      <c r="E75" s="69" t="s">
        <v>37</v>
      </c>
      <c r="F75" s="69" t="s">
        <v>396</v>
      </c>
      <c r="G75" s="69" t="s">
        <v>37</v>
      </c>
      <c r="H75" s="69" t="s">
        <v>37</v>
      </c>
      <c r="I75" s="69">
        <v>147</v>
      </c>
      <c r="J75" s="69" t="str">
        <f>"https://tools.sig.systems/site/details/" &amp; Table3[[#This Row],[ID]]</f>
        <v>https://tools.sig.systems/site/details/147</v>
      </c>
    </row>
    <row r="76" spans="1:10" x14ac:dyDescent="0.4">
      <c r="A76" s="68" t="s">
        <v>397</v>
      </c>
      <c r="B76" s="69" t="s">
        <v>37</v>
      </c>
      <c r="C76" s="69" t="s">
        <v>398</v>
      </c>
      <c r="D76" s="69" t="s">
        <v>399</v>
      </c>
      <c r="E76" s="69" t="s">
        <v>37</v>
      </c>
      <c r="F76" s="69" t="s">
        <v>37</v>
      </c>
      <c r="G76" s="69" t="s">
        <v>37</v>
      </c>
      <c r="H76" s="69" t="s">
        <v>37</v>
      </c>
      <c r="I76" s="69">
        <v>289</v>
      </c>
      <c r="J76" s="69" t="str">
        <f>"https://tools.sig.systems/site/details/" &amp; Table3[[#This Row],[ID]]</f>
        <v>https://tools.sig.systems/site/details/289</v>
      </c>
    </row>
    <row r="77" spans="1:10" x14ac:dyDescent="0.4">
      <c r="A77" s="68" t="s">
        <v>400</v>
      </c>
      <c r="B77" s="69" t="s">
        <v>37</v>
      </c>
      <c r="C77" s="69" t="s">
        <v>401</v>
      </c>
      <c r="D77" s="69" t="s">
        <v>37</v>
      </c>
      <c r="E77" s="69" t="s">
        <v>402</v>
      </c>
      <c r="F77" s="69" t="s">
        <v>37</v>
      </c>
      <c r="G77" s="69" t="s">
        <v>37</v>
      </c>
      <c r="H77" s="69" t="s">
        <v>37</v>
      </c>
      <c r="I77" s="69">
        <v>280</v>
      </c>
      <c r="J77" s="69" t="str">
        <f>"https://tools.sig.systems/site/details/" &amp; Table3[[#This Row],[ID]]</f>
        <v>https://tools.sig.systems/site/details/280</v>
      </c>
    </row>
    <row r="78" spans="1:10" x14ac:dyDescent="0.4">
      <c r="A78" s="68" t="s">
        <v>403</v>
      </c>
      <c r="B78" s="69" t="s">
        <v>37</v>
      </c>
      <c r="C78" s="69" t="s">
        <v>302</v>
      </c>
      <c r="D78" s="69">
        <v>29</v>
      </c>
      <c r="E78" s="69">
        <v>20</v>
      </c>
      <c r="F78" s="69" t="s">
        <v>37</v>
      </c>
      <c r="G78" s="69" t="s">
        <v>37</v>
      </c>
      <c r="H78" s="69" t="s">
        <v>37</v>
      </c>
      <c r="I78" s="69">
        <v>281</v>
      </c>
      <c r="J78" s="69" t="str">
        <f>"https://tools.sig.systems/site/details/" &amp; Table3[[#This Row],[ID]]</f>
        <v>https://tools.sig.systems/site/details/281</v>
      </c>
    </row>
    <row r="79" spans="1:10" x14ac:dyDescent="0.4">
      <c r="A79" s="68" t="s">
        <v>404</v>
      </c>
      <c r="B79" s="69" t="s">
        <v>37</v>
      </c>
      <c r="C79" s="69" t="s">
        <v>405</v>
      </c>
      <c r="D79" s="69" t="s">
        <v>406</v>
      </c>
      <c r="E79" s="69" t="s">
        <v>407</v>
      </c>
      <c r="F79" s="69" t="s">
        <v>37</v>
      </c>
      <c r="G79" s="69" t="s">
        <v>37</v>
      </c>
      <c r="H79" s="69" t="s">
        <v>37</v>
      </c>
      <c r="I79" s="69">
        <v>288</v>
      </c>
      <c r="J79" s="69" t="str">
        <f>"https://tools.sig.systems/site/details/" &amp; Table3[[#This Row],[ID]]</f>
        <v>https://tools.sig.systems/site/details/288</v>
      </c>
    </row>
    <row r="80" spans="1:10" x14ac:dyDescent="0.4">
      <c r="A80" s="68" t="s">
        <v>408</v>
      </c>
      <c r="B80" s="69" t="s">
        <v>37</v>
      </c>
      <c r="C80" s="69" t="s">
        <v>409</v>
      </c>
      <c r="D80" s="69" t="s">
        <v>410</v>
      </c>
      <c r="E80" s="69" t="s">
        <v>37</v>
      </c>
      <c r="F80" s="69" t="s">
        <v>37</v>
      </c>
      <c r="G80" s="69" t="s">
        <v>37</v>
      </c>
      <c r="H80" s="69" t="s">
        <v>37</v>
      </c>
      <c r="I80" s="69">
        <v>292</v>
      </c>
      <c r="J80" s="69" t="str">
        <f>"https://tools.sig.systems/site/details/" &amp; Table3[[#This Row],[ID]]</f>
        <v>https://tools.sig.systems/site/details/292</v>
      </c>
    </row>
    <row r="81" spans="1:10" x14ac:dyDescent="0.4">
      <c r="A81" s="68" t="s">
        <v>411</v>
      </c>
      <c r="B81" s="69">
        <v>25</v>
      </c>
      <c r="C81" s="69" t="s">
        <v>412</v>
      </c>
      <c r="D81" s="69" t="s">
        <v>413</v>
      </c>
      <c r="E81" s="69">
        <v>27</v>
      </c>
      <c r="F81" s="69" t="s">
        <v>37</v>
      </c>
      <c r="G81" s="69" t="s">
        <v>37</v>
      </c>
      <c r="H81" s="69" t="s">
        <v>37</v>
      </c>
      <c r="I81" s="69">
        <v>295</v>
      </c>
      <c r="J81" s="69" t="str">
        <f>"https://tools.sig.systems/site/details/" &amp; Table3[[#This Row],[ID]]</f>
        <v>https://tools.sig.systems/site/details/295</v>
      </c>
    </row>
    <row r="82" spans="1:10" x14ac:dyDescent="0.4">
      <c r="A82" s="73" t="s">
        <v>115</v>
      </c>
      <c r="B82" s="74" t="s">
        <v>37</v>
      </c>
      <c r="C82" s="74" t="s">
        <v>417</v>
      </c>
      <c r="D82" s="69" t="s">
        <v>37</v>
      </c>
      <c r="E82" s="69" t="s">
        <v>37</v>
      </c>
      <c r="F82" s="69" t="s">
        <v>418</v>
      </c>
      <c r="G82" s="69" t="s">
        <v>419</v>
      </c>
      <c r="H82" s="69" t="s">
        <v>37</v>
      </c>
      <c r="I82" s="69">
        <v>149</v>
      </c>
      <c r="J82" s="69" t="str">
        <f>"https://tools.sig.systems/site/details/" &amp; Table3[[#This Row],[ID]]</f>
        <v>https://tools.sig.systems/site/details/149</v>
      </c>
    </row>
    <row r="83" spans="1:10" x14ac:dyDescent="0.4">
      <c r="A83" s="68" t="s">
        <v>139</v>
      </c>
      <c r="B83" s="69" t="s">
        <v>37</v>
      </c>
      <c r="C83" s="69">
        <v>14</v>
      </c>
      <c r="D83" s="69" t="s">
        <v>37</v>
      </c>
      <c r="E83" s="69" t="s">
        <v>37</v>
      </c>
      <c r="F83" s="69" t="s">
        <v>363</v>
      </c>
      <c r="G83" s="69" t="s">
        <v>37</v>
      </c>
      <c r="H83" s="69" t="s">
        <v>37</v>
      </c>
      <c r="I83" s="69">
        <v>217</v>
      </c>
      <c r="J83" s="69" t="str">
        <f>"https://tools.sig.systems/site/details/" &amp; Table3[[#This Row],[ID]]</f>
        <v>https://tools.sig.systems/site/details/217</v>
      </c>
    </row>
    <row r="84" spans="1:10" x14ac:dyDescent="0.4">
      <c r="A84" s="68" t="s">
        <v>141</v>
      </c>
      <c r="B84" s="69" t="s">
        <v>37</v>
      </c>
      <c r="C84" s="69" t="s">
        <v>37</v>
      </c>
      <c r="D84" s="69" t="s">
        <v>37</v>
      </c>
      <c r="E84" s="69" t="s">
        <v>37</v>
      </c>
      <c r="F84" s="69" t="s">
        <v>364</v>
      </c>
      <c r="G84" s="69" t="s">
        <v>37</v>
      </c>
      <c r="H84" s="69" t="s">
        <v>37</v>
      </c>
      <c r="I84" s="69">
        <v>212</v>
      </c>
      <c r="J84" s="69" t="str">
        <f>"https://tools.sig.systems/site/details/" &amp; Table3[[#This Row],[ID]]</f>
        <v>https://tools.sig.systems/site/details/212</v>
      </c>
    </row>
    <row r="85" spans="1:10" x14ac:dyDescent="0.4">
      <c r="A85" s="68" t="s">
        <v>143</v>
      </c>
      <c r="B85" s="69" t="s">
        <v>37</v>
      </c>
      <c r="C85" s="69" t="s">
        <v>365</v>
      </c>
      <c r="D85" s="69" t="s">
        <v>37</v>
      </c>
      <c r="E85" s="69" t="s">
        <v>366</v>
      </c>
      <c r="F85" s="69" t="s">
        <v>367</v>
      </c>
      <c r="G85" s="69" t="s">
        <v>37</v>
      </c>
      <c r="H85" s="69" t="s">
        <v>37</v>
      </c>
      <c r="I85" s="69">
        <v>272</v>
      </c>
      <c r="J85" s="69" t="str">
        <f>"https://tools.sig.systems/site/details/" &amp; Table3[[#This Row],[ID]]</f>
        <v>https://tools.sig.systems/site/details/272</v>
      </c>
    </row>
    <row r="86" spans="1:10" x14ac:dyDescent="0.4">
      <c r="A86" s="68" t="s">
        <v>145</v>
      </c>
      <c r="B86" s="69" t="s">
        <v>368</v>
      </c>
      <c r="C86" s="69">
        <v>13</v>
      </c>
      <c r="D86" s="69" t="s">
        <v>37</v>
      </c>
      <c r="E86" s="69" t="s">
        <v>369</v>
      </c>
      <c r="F86" s="69" t="s">
        <v>370</v>
      </c>
      <c r="G86" s="69" t="s">
        <v>37</v>
      </c>
      <c r="H86" s="69" t="s">
        <v>37</v>
      </c>
      <c r="I86" s="69">
        <v>214</v>
      </c>
      <c r="J86" s="69" t="str">
        <f>"https://tools.sig.systems/site/details/" &amp; Table3[[#This Row],[ID]]</f>
        <v>https://tools.sig.systems/site/details/214</v>
      </c>
    </row>
    <row r="87" spans="1:10" x14ac:dyDescent="0.4">
      <c r="A87" s="68" t="s">
        <v>71</v>
      </c>
      <c r="B87" s="69" t="s">
        <v>371</v>
      </c>
      <c r="C87" s="69" t="s">
        <v>37</v>
      </c>
      <c r="D87" s="69" t="s">
        <v>37</v>
      </c>
      <c r="E87" s="69" t="s">
        <v>372</v>
      </c>
      <c r="F87" s="69" t="s">
        <v>373</v>
      </c>
      <c r="G87" s="69" t="s">
        <v>37</v>
      </c>
      <c r="H87" s="69" t="s">
        <v>37</v>
      </c>
      <c r="I87" s="69">
        <v>249</v>
      </c>
      <c r="J87" s="69" t="str">
        <f>"https://tools.sig.systems/site/details/" &amp; Table3[[#This Row],[ID]]</f>
        <v>https://tools.sig.systems/site/details/249</v>
      </c>
    </row>
    <row r="88" spans="1:10" x14ac:dyDescent="0.4">
      <c r="A88" s="68" t="s">
        <v>72</v>
      </c>
      <c r="B88" s="69" t="s">
        <v>37</v>
      </c>
      <c r="C88" s="69" t="s">
        <v>374</v>
      </c>
      <c r="D88" s="69" t="s">
        <v>37</v>
      </c>
      <c r="E88" s="69">
        <v>29</v>
      </c>
      <c r="F88" s="69" t="s">
        <v>375</v>
      </c>
      <c r="G88" s="69" t="s">
        <v>37</v>
      </c>
      <c r="H88" s="69" t="s">
        <v>37</v>
      </c>
      <c r="I88" s="69">
        <v>271</v>
      </c>
      <c r="J88" s="69" t="str">
        <f>"https://tools.sig.systems/site/details/" &amp; Table3[[#This Row],[ID]]</f>
        <v>https://tools.sig.systems/site/details/271</v>
      </c>
    </row>
    <row r="89" spans="1:10" x14ac:dyDescent="0.4">
      <c r="A89" s="68" t="s">
        <v>88</v>
      </c>
      <c r="B89" s="69" t="s">
        <v>37</v>
      </c>
      <c r="C89" s="69">
        <v>3</v>
      </c>
      <c r="D89" s="69" t="s">
        <v>37</v>
      </c>
      <c r="E89" s="69" t="s">
        <v>37</v>
      </c>
      <c r="F89" s="69" t="s">
        <v>376</v>
      </c>
      <c r="G89" s="69" t="s">
        <v>37</v>
      </c>
      <c r="H89" s="69" t="s">
        <v>37</v>
      </c>
      <c r="I89" s="69">
        <v>273</v>
      </c>
      <c r="J89" s="69" t="str">
        <f>"https://tools.sig.systems/site/details/" &amp; Table3[[#This Row],[ID]]</f>
        <v>https://tools.sig.systems/site/details/273</v>
      </c>
    </row>
    <row r="90" spans="1:10" x14ac:dyDescent="0.4">
      <c r="A90" s="68" t="s">
        <v>147</v>
      </c>
      <c r="B90" s="69">
        <v>1</v>
      </c>
      <c r="C90" s="69" t="s">
        <v>37</v>
      </c>
      <c r="D90" s="69" t="s">
        <v>37</v>
      </c>
      <c r="E90" s="69">
        <v>5</v>
      </c>
      <c r="F90" s="69" t="s">
        <v>297</v>
      </c>
      <c r="G90" s="69" t="s">
        <v>37</v>
      </c>
      <c r="H90" s="69" t="s">
        <v>37</v>
      </c>
      <c r="I90" s="69">
        <v>277</v>
      </c>
      <c r="J90" s="69" t="str">
        <f>"https://tools.sig.systems/site/details/" &amp; Table3[[#This Row],[ID]]</f>
        <v>https://tools.sig.systems/site/details/277</v>
      </c>
    </row>
    <row r="91" spans="1:10" x14ac:dyDescent="0.4">
      <c r="A91" s="68" t="s">
        <v>148</v>
      </c>
      <c r="B91" s="69" t="s">
        <v>37</v>
      </c>
      <c r="C91" s="69" t="s">
        <v>377</v>
      </c>
      <c r="D91" s="69" t="s">
        <v>37</v>
      </c>
      <c r="E91" s="69" t="s">
        <v>378</v>
      </c>
      <c r="F91" s="69" t="s">
        <v>37</v>
      </c>
      <c r="G91" s="69" t="s">
        <v>37</v>
      </c>
      <c r="H91" s="69" t="s">
        <v>37</v>
      </c>
      <c r="I91" s="69">
        <v>266</v>
      </c>
      <c r="J91" s="69" t="str">
        <f>"https://tools.sig.systems/site/details/" &amp; Table3[[#This Row],[ID]]</f>
        <v>https://tools.sig.systems/site/details/266</v>
      </c>
    </row>
    <row r="92" spans="1:10" x14ac:dyDescent="0.4">
      <c r="A92" s="68" t="s">
        <v>149</v>
      </c>
      <c r="B92" s="69" t="s">
        <v>37</v>
      </c>
      <c r="C92" s="69" t="s">
        <v>379</v>
      </c>
      <c r="D92" s="69" t="s">
        <v>37</v>
      </c>
      <c r="E92" s="69" t="s">
        <v>37</v>
      </c>
      <c r="F92" s="69" t="s">
        <v>380</v>
      </c>
      <c r="G92" s="69" t="s">
        <v>37</v>
      </c>
      <c r="H92" s="69" t="s">
        <v>37</v>
      </c>
      <c r="I92" s="69">
        <v>270</v>
      </c>
      <c r="J92" s="69" t="str">
        <f>"https://tools.sig.systems/site/details/" &amp; Table3[[#This Row],[ID]]</f>
        <v>https://tools.sig.systems/site/details/270</v>
      </c>
    </row>
    <row r="93" spans="1:10" x14ac:dyDescent="0.4">
      <c r="A93" s="68" t="s">
        <v>104</v>
      </c>
      <c r="B93" s="69" t="s">
        <v>37</v>
      </c>
      <c r="C93" s="69" t="s">
        <v>381</v>
      </c>
      <c r="D93" s="69" t="s">
        <v>37</v>
      </c>
      <c r="E93" s="69" t="s">
        <v>37</v>
      </c>
      <c r="F93" s="69" t="s">
        <v>37</v>
      </c>
      <c r="G93" s="69" t="s">
        <v>37</v>
      </c>
      <c r="H93" s="69" t="s">
        <v>37</v>
      </c>
      <c r="I93" s="69">
        <v>279</v>
      </c>
      <c r="J93" s="69" t="str">
        <f>"https://tools.sig.systems/site/details/" &amp; Table3[[#This Row],[ID]]</f>
        <v>https://tools.sig.systems/site/details/279</v>
      </c>
    </row>
    <row r="94" spans="1:10" x14ac:dyDescent="0.4">
      <c r="A94" s="68" t="s">
        <v>105</v>
      </c>
      <c r="B94" s="69" t="s">
        <v>37</v>
      </c>
      <c r="C94" s="69" t="s">
        <v>382</v>
      </c>
      <c r="D94" s="69" t="s">
        <v>37</v>
      </c>
      <c r="E94" s="69">
        <v>13</v>
      </c>
      <c r="F94" s="69" t="s">
        <v>37</v>
      </c>
      <c r="G94" s="69" t="s">
        <v>37</v>
      </c>
      <c r="H94" s="69" t="s">
        <v>37</v>
      </c>
      <c r="I94" s="69">
        <v>278</v>
      </c>
      <c r="J94" s="69" t="str">
        <f>"https://tools.sig.systems/site/details/" &amp; Table3[[#This Row],[ID]]</f>
        <v>https://tools.sig.systems/site/details/278</v>
      </c>
    </row>
    <row r="95" spans="1:10" x14ac:dyDescent="0.4">
      <c r="A95" s="68" t="s">
        <v>73</v>
      </c>
      <c r="B95" s="69" t="s">
        <v>37</v>
      </c>
      <c r="C95" s="69" t="s">
        <v>383</v>
      </c>
      <c r="D95" s="69" t="s">
        <v>37</v>
      </c>
      <c r="E95" s="69" t="s">
        <v>384</v>
      </c>
      <c r="F95" s="69" t="s">
        <v>37</v>
      </c>
      <c r="G95" s="69" t="s">
        <v>37</v>
      </c>
      <c r="H95" s="69" t="s">
        <v>37</v>
      </c>
      <c r="I95" s="69">
        <v>275</v>
      </c>
      <c r="J95" s="69" t="str">
        <f>"https://tools.sig.systems/site/details/" &amp; Table3[[#This Row],[ID]]</f>
        <v>https://tools.sig.systems/site/details/275</v>
      </c>
    </row>
    <row r="96" spans="1:10" x14ac:dyDescent="0.4">
      <c r="A96" s="68" t="s">
        <v>74</v>
      </c>
      <c r="B96" s="69" t="s">
        <v>37</v>
      </c>
      <c r="C96" s="69" t="s">
        <v>385</v>
      </c>
      <c r="D96" s="69" t="s">
        <v>37</v>
      </c>
      <c r="E96" s="69">
        <v>17</v>
      </c>
      <c r="F96" s="69" t="s">
        <v>37</v>
      </c>
      <c r="G96" s="69" t="s">
        <v>37</v>
      </c>
      <c r="H96" s="69" t="s">
        <v>37</v>
      </c>
      <c r="I96" s="69">
        <v>274</v>
      </c>
      <c r="J96" s="69" t="str">
        <f>"https://tools.sig.systems/site/details/" &amp; Table3[[#This Row],[ID]]</f>
        <v>https://tools.sig.systems/site/details/274</v>
      </c>
    </row>
    <row r="97" spans="1:10" x14ac:dyDescent="0.4">
      <c r="A97" s="68" t="s">
        <v>9</v>
      </c>
      <c r="B97" s="69" t="s">
        <v>47</v>
      </c>
      <c r="C97" s="69">
        <v>1</v>
      </c>
      <c r="D97" s="69" t="s">
        <v>37</v>
      </c>
      <c r="E97" s="69">
        <v>4</v>
      </c>
      <c r="F97" s="69" t="s">
        <v>37</v>
      </c>
      <c r="G97" s="69" t="s">
        <v>37</v>
      </c>
      <c r="H97" s="69" t="s">
        <v>37</v>
      </c>
      <c r="I97" s="69">
        <v>205</v>
      </c>
      <c r="J97" s="69" t="str">
        <f>"https://tools.sig.systems/site/details/" &amp; Table3[[#This Row],[ID]]</f>
        <v>https://tools.sig.systems/site/details/205</v>
      </c>
    </row>
    <row r="98" spans="1:10" x14ac:dyDescent="0.4">
      <c r="A98" s="68" t="s">
        <v>89</v>
      </c>
      <c r="B98" s="69">
        <v>16</v>
      </c>
      <c r="C98" s="69" t="s">
        <v>358</v>
      </c>
      <c r="D98" s="69" t="s">
        <v>37</v>
      </c>
      <c r="E98" s="69" t="s">
        <v>359</v>
      </c>
      <c r="F98" s="69" t="s">
        <v>297</v>
      </c>
      <c r="G98" s="69" t="s">
        <v>37</v>
      </c>
      <c r="H98" s="69" t="s">
        <v>37</v>
      </c>
      <c r="I98" s="69">
        <v>151</v>
      </c>
      <c r="J98" s="69" t="str">
        <f>"https://tools.sig.systems/site/details/" &amp; Table3[[#This Row],[ID]]</f>
        <v>https://tools.sig.systems/site/details/151</v>
      </c>
    </row>
    <row r="99" spans="1:10" x14ac:dyDescent="0.4">
      <c r="A99" s="68" t="s">
        <v>90</v>
      </c>
      <c r="B99" s="69" t="s">
        <v>37</v>
      </c>
      <c r="C99" s="69" t="s">
        <v>360</v>
      </c>
      <c r="D99" s="69" t="s">
        <v>37</v>
      </c>
      <c r="E99" s="69" t="s">
        <v>361</v>
      </c>
      <c r="F99" s="69" t="s">
        <v>362</v>
      </c>
      <c r="G99" s="69" t="s">
        <v>37</v>
      </c>
      <c r="H99" s="69" t="s">
        <v>37</v>
      </c>
      <c r="I99" s="69">
        <v>152</v>
      </c>
      <c r="J99" s="69" t="str">
        <f>"https://tools.sig.systems/site/details/" &amp; Table3[[#This Row],[ID]]</f>
        <v>https://tools.sig.systems/site/details/152</v>
      </c>
    </row>
    <row r="100" spans="1:10" x14ac:dyDescent="0.4">
      <c r="A100" s="68" t="s">
        <v>151</v>
      </c>
      <c r="B100" s="69" t="s">
        <v>355</v>
      </c>
      <c r="C100" s="69" t="s">
        <v>37</v>
      </c>
      <c r="D100" s="69" t="s">
        <v>37</v>
      </c>
      <c r="E100" s="69" t="s">
        <v>356</v>
      </c>
      <c r="F100" s="69" t="s">
        <v>357</v>
      </c>
      <c r="G100" s="69" t="s">
        <v>37</v>
      </c>
      <c r="H100" s="69" t="s">
        <v>37</v>
      </c>
      <c r="I100" s="69">
        <v>150</v>
      </c>
      <c r="J100" s="69" t="str">
        <f>"https://tools.sig.systems/site/details/" &amp; Table3[[#This Row],[ID]]</f>
        <v>https://tools.sig.systems/site/details/150</v>
      </c>
    </row>
    <row r="101" spans="1:10" x14ac:dyDescent="0.4">
      <c r="A101" s="68" t="s">
        <v>386</v>
      </c>
      <c r="B101" s="69" t="s">
        <v>387</v>
      </c>
      <c r="C101" s="69" t="s">
        <v>37</v>
      </c>
      <c r="D101" s="69" t="s">
        <v>37</v>
      </c>
      <c r="E101" s="69" t="s">
        <v>261</v>
      </c>
      <c r="F101" s="69" t="s">
        <v>37</v>
      </c>
      <c r="G101" s="69" t="s">
        <v>37</v>
      </c>
      <c r="H101" s="69" t="s">
        <v>37</v>
      </c>
      <c r="I101" s="69">
        <v>247</v>
      </c>
      <c r="J101" s="69" t="str">
        <f>"https://tools.sig.systems/site/details/" &amp; Table3[[#This Row],[ID]]</f>
        <v>https://tools.sig.systems/site/details/247</v>
      </c>
    </row>
    <row r="102" spans="1:10" x14ac:dyDescent="0.4">
      <c r="A102" s="68" t="s">
        <v>152</v>
      </c>
      <c r="B102" s="69" t="s">
        <v>388</v>
      </c>
      <c r="C102" s="69" t="s">
        <v>37</v>
      </c>
      <c r="D102" s="69" t="s">
        <v>37</v>
      </c>
      <c r="E102" s="69" t="s">
        <v>389</v>
      </c>
      <c r="F102" s="69" t="s">
        <v>285</v>
      </c>
      <c r="G102" s="69" t="s">
        <v>37</v>
      </c>
      <c r="H102" s="69" t="s">
        <v>37</v>
      </c>
      <c r="I102" s="69">
        <v>224</v>
      </c>
      <c r="J102" s="69" t="str">
        <f>"https://tools.sig.systems/site/details/" &amp; Table3[[#This Row],[ID]]</f>
        <v>https://tools.sig.systems/site/details/224</v>
      </c>
    </row>
    <row r="103" spans="1:10" x14ac:dyDescent="0.4">
      <c r="A103" s="68" t="s">
        <v>75</v>
      </c>
      <c r="B103" s="69" t="s">
        <v>390</v>
      </c>
      <c r="C103" s="69" t="s">
        <v>37</v>
      </c>
      <c r="D103" s="69" t="s">
        <v>37</v>
      </c>
      <c r="E103" s="69" t="s">
        <v>391</v>
      </c>
      <c r="F103" s="69">
        <v>18</v>
      </c>
      <c r="G103" s="69" t="s">
        <v>37</v>
      </c>
      <c r="H103" s="69" t="s">
        <v>37</v>
      </c>
      <c r="I103" s="69">
        <v>216</v>
      </c>
      <c r="J103" s="69" t="str">
        <f>"https://tools.sig.systems/site/details/" &amp; Table3[[#This Row],[ID]]</f>
        <v>https://tools.sig.systems/site/details/216</v>
      </c>
    </row>
    <row r="104" spans="1:10" x14ac:dyDescent="0.4">
      <c r="A104" s="68" t="s">
        <v>76</v>
      </c>
      <c r="B104" s="69" t="s">
        <v>392</v>
      </c>
      <c r="C104" s="69" t="s">
        <v>37</v>
      </c>
      <c r="D104" s="69" t="s">
        <v>37</v>
      </c>
      <c r="E104" s="69" t="s">
        <v>393</v>
      </c>
      <c r="F104" s="69" t="s">
        <v>37</v>
      </c>
      <c r="G104" s="69" t="s">
        <v>37</v>
      </c>
      <c r="H104" s="69" t="s">
        <v>37</v>
      </c>
      <c r="I104" s="69">
        <v>201</v>
      </c>
      <c r="J104" s="69" t="str">
        <f>"https://tools.sig.systems/site/details/" &amp; Table3[[#This Row],[ID]]</f>
        <v>https://tools.sig.systems/site/details/201</v>
      </c>
    </row>
    <row r="105" spans="1:10" x14ac:dyDescent="0.4">
      <c r="A105" s="68" t="s">
        <v>106</v>
      </c>
      <c r="B105" s="69" t="s">
        <v>394</v>
      </c>
      <c r="C105" s="69">
        <v>4</v>
      </c>
      <c r="D105" s="69" t="s">
        <v>37</v>
      </c>
      <c r="E105" s="69">
        <v>18</v>
      </c>
      <c r="F105" s="69" t="s">
        <v>37</v>
      </c>
      <c r="G105" s="69" t="s">
        <v>37</v>
      </c>
      <c r="H105" s="69" t="s">
        <v>37</v>
      </c>
      <c r="I105" s="69">
        <v>223</v>
      </c>
      <c r="J105" s="69" t="str">
        <f>"https://tools.sig.systems/site/details/" &amp; Table3[[#This Row],[ID]]</f>
        <v>https://tools.sig.systems/site/details/223</v>
      </c>
    </row>
    <row r="106" spans="1:10" x14ac:dyDescent="0.4">
      <c r="A106" s="68" t="s">
        <v>170</v>
      </c>
      <c r="B106" s="69" t="s">
        <v>425</v>
      </c>
      <c r="C106" s="69" t="s">
        <v>37</v>
      </c>
      <c r="D106" s="69" t="s">
        <v>37</v>
      </c>
      <c r="E106" s="69" t="s">
        <v>37</v>
      </c>
      <c r="F106" s="69">
        <v>12</v>
      </c>
      <c r="G106" s="69" t="s">
        <v>37</v>
      </c>
      <c r="H106" s="69" t="s">
        <v>37</v>
      </c>
      <c r="I106" s="69">
        <v>186</v>
      </c>
      <c r="J106" s="69" t="str">
        <f>"https://tools.sig.systems/site/details/" &amp; Table3[[#This Row],[ID]]</f>
        <v>https://tools.sig.systems/site/details/186</v>
      </c>
    </row>
    <row r="107" spans="1:10" x14ac:dyDescent="0.4">
      <c r="A107" s="68" t="s">
        <v>172</v>
      </c>
      <c r="B107" s="69">
        <v>9</v>
      </c>
      <c r="C107" s="69" t="s">
        <v>426</v>
      </c>
      <c r="D107" s="69" t="s">
        <v>37</v>
      </c>
      <c r="E107" s="69" t="s">
        <v>37</v>
      </c>
      <c r="F107" s="69" t="s">
        <v>427</v>
      </c>
      <c r="G107" s="69" t="s">
        <v>37</v>
      </c>
      <c r="H107" s="69" t="s">
        <v>37</v>
      </c>
      <c r="I107" s="69">
        <v>185</v>
      </c>
      <c r="J107" s="69" t="str">
        <f>"https://tools.sig.systems/site/details/" &amp; Table3[[#This Row],[ID]]</f>
        <v>https://tools.sig.systems/site/details/185</v>
      </c>
    </row>
    <row r="108" spans="1:10" x14ac:dyDescent="0.4">
      <c r="A108" s="68" t="s">
        <v>429</v>
      </c>
      <c r="B108" s="69">
        <v>3</v>
      </c>
      <c r="C108" s="69" t="s">
        <v>37</v>
      </c>
      <c r="D108" s="69" t="s">
        <v>37</v>
      </c>
      <c r="E108" s="69" t="s">
        <v>37</v>
      </c>
      <c r="F108" s="69" t="s">
        <v>430</v>
      </c>
      <c r="G108" s="69" t="s">
        <v>37</v>
      </c>
      <c r="H108" s="69" t="s">
        <v>37</v>
      </c>
      <c r="I108" s="69">
        <v>184</v>
      </c>
      <c r="J108" s="69" t="str">
        <f>"https://tools.sig.systems/site/details/" &amp; Table3[[#This Row],[ID]]</f>
        <v>https://tools.sig.systems/site/details/184</v>
      </c>
    </row>
    <row r="109" spans="1:10" x14ac:dyDescent="0.4">
      <c r="A109" s="68" t="s">
        <v>173</v>
      </c>
      <c r="B109" s="69">
        <v>24</v>
      </c>
      <c r="C109" s="69" t="s">
        <v>428</v>
      </c>
      <c r="D109" s="69" t="s">
        <v>37</v>
      </c>
      <c r="E109" s="69" t="s">
        <v>37</v>
      </c>
      <c r="F109" s="69">
        <v>1</v>
      </c>
      <c r="G109" s="69" t="s">
        <v>37</v>
      </c>
      <c r="H109" s="69" t="s">
        <v>37</v>
      </c>
      <c r="I109" s="69">
        <v>155</v>
      </c>
      <c r="J109" s="69" t="str">
        <f>"https://tools.sig.systems/site/details/" &amp; Table3[[#This Row],[ID]]</f>
        <v>https://tools.sig.systems/site/details/155</v>
      </c>
    </row>
    <row r="110" spans="1:10" x14ac:dyDescent="0.4">
      <c r="A110" s="68" t="s">
        <v>63</v>
      </c>
      <c r="B110" s="69">
        <v>4</v>
      </c>
      <c r="C110" s="69" t="s">
        <v>37</v>
      </c>
      <c r="D110" s="69" t="s">
        <v>37</v>
      </c>
      <c r="E110" s="69" t="s">
        <v>37</v>
      </c>
      <c r="F110" s="69" t="s">
        <v>431</v>
      </c>
      <c r="G110" s="69" t="s">
        <v>37</v>
      </c>
      <c r="H110" s="69" t="s">
        <v>37</v>
      </c>
      <c r="I110" s="69">
        <v>191</v>
      </c>
      <c r="J110" s="69" t="str">
        <f>"https://tools.sig.systems/site/details/" &amp; Table3[[#This Row],[ID]]</f>
        <v>https://tools.sig.systems/site/details/191</v>
      </c>
    </row>
    <row r="111" spans="1:10" x14ac:dyDescent="0.4">
      <c r="A111" s="68" t="s">
        <v>174</v>
      </c>
      <c r="B111" s="69" t="s">
        <v>37</v>
      </c>
      <c r="C111" s="69" t="s">
        <v>432</v>
      </c>
      <c r="D111" s="69">
        <v>9</v>
      </c>
      <c r="E111" s="69" t="s">
        <v>37</v>
      </c>
      <c r="F111" s="69" t="s">
        <v>433</v>
      </c>
      <c r="G111" s="69" t="s">
        <v>37</v>
      </c>
      <c r="H111" s="69" t="s">
        <v>37</v>
      </c>
      <c r="I111" s="69">
        <v>190</v>
      </c>
      <c r="J111" s="69" t="str">
        <f>"https://tools.sig.systems/site/details/" &amp; Table3[[#This Row],[ID]]</f>
        <v>https://tools.sig.systems/site/details/190</v>
      </c>
    </row>
    <row r="112" spans="1:10" x14ac:dyDescent="0.4">
      <c r="A112" s="68" t="s">
        <v>82</v>
      </c>
      <c r="B112" s="69">
        <v>5</v>
      </c>
      <c r="C112" s="69" t="s">
        <v>434</v>
      </c>
      <c r="D112" s="69" t="s">
        <v>37</v>
      </c>
      <c r="E112" s="69">
        <v>84</v>
      </c>
      <c r="F112" s="69" t="s">
        <v>435</v>
      </c>
      <c r="G112" s="69" t="s">
        <v>37</v>
      </c>
      <c r="H112" s="69" t="s">
        <v>37</v>
      </c>
      <c r="I112" s="69">
        <v>156</v>
      </c>
      <c r="J112" s="69" t="str">
        <f>"https://tools.sig.systems/site/details/" &amp; Table3[[#This Row],[ID]]</f>
        <v>https://tools.sig.systems/site/details/156</v>
      </c>
    </row>
    <row r="113" spans="1:10" x14ac:dyDescent="0.4">
      <c r="A113" s="68" t="s">
        <v>97</v>
      </c>
      <c r="B113" s="69" t="s">
        <v>436</v>
      </c>
      <c r="C113" s="69" t="s">
        <v>37</v>
      </c>
      <c r="D113" s="69" t="s">
        <v>37</v>
      </c>
      <c r="E113" s="69" t="s">
        <v>37</v>
      </c>
      <c r="F113" s="69" t="s">
        <v>37</v>
      </c>
      <c r="G113" s="69" t="s">
        <v>37</v>
      </c>
      <c r="H113" s="69" t="s">
        <v>37</v>
      </c>
      <c r="I113" s="69">
        <v>189</v>
      </c>
      <c r="J113" s="69" t="str">
        <f>"https://tools.sig.systems/site/details/" &amp; Table3[[#This Row],[ID]]</f>
        <v>https://tools.sig.systems/site/details/189</v>
      </c>
    </row>
    <row r="114" spans="1:10" x14ac:dyDescent="0.4">
      <c r="A114" s="68" t="s">
        <v>98</v>
      </c>
      <c r="B114" s="69">
        <v>1</v>
      </c>
      <c r="C114" s="69" t="s">
        <v>37</v>
      </c>
      <c r="D114" s="69" t="s">
        <v>37</v>
      </c>
      <c r="E114" s="69">
        <v>1</v>
      </c>
      <c r="F114" s="69">
        <v>7</v>
      </c>
      <c r="G114" s="69" t="s">
        <v>37</v>
      </c>
      <c r="H114" s="69" t="s">
        <v>37</v>
      </c>
      <c r="I114" s="69">
        <v>187</v>
      </c>
      <c r="J114" s="69" t="str">
        <f>"https://tools.sig.systems/site/details/" &amp; Table3[[#This Row],[ID]]</f>
        <v>https://tools.sig.systems/site/details/187</v>
      </c>
    </row>
    <row r="115" spans="1:10" x14ac:dyDescent="0.4">
      <c r="A115" s="68" t="s">
        <v>437</v>
      </c>
      <c r="B115" s="69" t="s">
        <v>200</v>
      </c>
      <c r="C115" s="69" t="s">
        <v>37</v>
      </c>
      <c r="D115" s="69" t="s">
        <v>37</v>
      </c>
      <c r="E115" s="69" t="s">
        <v>37</v>
      </c>
      <c r="F115" s="69" t="s">
        <v>37</v>
      </c>
      <c r="G115" s="69" t="s">
        <v>37</v>
      </c>
      <c r="H115" s="69" t="s">
        <v>37</v>
      </c>
      <c r="I115" s="69">
        <v>178</v>
      </c>
      <c r="J115" s="69" t="str">
        <f>"https://tools.sig.systems/site/details/" &amp; Table3[[#This Row],[ID]]</f>
        <v>https://tools.sig.systems/site/details/178</v>
      </c>
    </row>
    <row r="116" spans="1:10" x14ac:dyDescent="0.4">
      <c r="A116" s="68" t="s">
        <v>438</v>
      </c>
      <c r="B116" s="69" t="s">
        <v>316</v>
      </c>
      <c r="C116" s="69" t="s">
        <v>37</v>
      </c>
      <c r="D116" s="69" t="s">
        <v>37</v>
      </c>
      <c r="E116" s="69" t="s">
        <v>37</v>
      </c>
      <c r="F116" s="69" t="s">
        <v>316</v>
      </c>
      <c r="G116" s="69" t="s">
        <v>439</v>
      </c>
      <c r="H116" s="69" t="s">
        <v>37</v>
      </c>
      <c r="I116" s="69">
        <v>177</v>
      </c>
      <c r="J116" s="69" t="str">
        <f>"https://tools.sig.systems/site/details/" &amp; Table3[[#This Row],[ID]]</f>
        <v>https://tools.sig.systems/site/details/177</v>
      </c>
    </row>
    <row r="117" spans="1:10" x14ac:dyDescent="0.4">
      <c r="A117" s="68" t="s">
        <v>114</v>
      </c>
      <c r="B117" s="69" t="s">
        <v>301</v>
      </c>
      <c r="C117" s="69" t="s">
        <v>37</v>
      </c>
      <c r="D117" s="69" t="s">
        <v>37</v>
      </c>
      <c r="E117" s="69" t="s">
        <v>37</v>
      </c>
      <c r="F117" s="69" t="s">
        <v>37</v>
      </c>
      <c r="G117" s="69" t="s">
        <v>440</v>
      </c>
      <c r="H117" s="69" t="s">
        <v>37</v>
      </c>
      <c r="I117" s="69">
        <v>179</v>
      </c>
      <c r="J117" s="69" t="str">
        <f>"https://tools.sig.systems/site/details/" &amp; Table3[[#This Row],[ID]]</f>
        <v>https://tools.sig.systems/site/details/179</v>
      </c>
    </row>
    <row r="118" spans="1:10" x14ac:dyDescent="0.4">
      <c r="A118" s="68" t="s">
        <v>64</v>
      </c>
      <c r="B118" s="69" t="s">
        <v>37</v>
      </c>
      <c r="C118" s="69">
        <v>1</v>
      </c>
      <c r="D118" s="69" t="s">
        <v>37</v>
      </c>
      <c r="E118" s="69" t="s">
        <v>441</v>
      </c>
      <c r="F118" s="69">
        <v>1</v>
      </c>
      <c r="G118" s="69" t="s">
        <v>442</v>
      </c>
      <c r="H118" s="69" t="s">
        <v>37</v>
      </c>
      <c r="I118" s="69">
        <v>192</v>
      </c>
      <c r="J118" s="69" t="str">
        <f>"https://tools.sig.systems/site/details/" &amp; Table3[[#This Row],[ID]]</f>
        <v>https://tools.sig.systems/site/details/192</v>
      </c>
    </row>
    <row r="119" spans="1:10" x14ac:dyDescent="0.4">
      <c r="A119" s="68" t="s">
        <v>443</v>
      </c>
      <c r="B119" s="69" t="s">
        <v>37</v>
      </c>
      <c r="C119" s="69" t="s">
        <v>200</v>
      </c>
      <c r="D119" s="69" t="s">
        <v>37</v>
      </c>
      <c r="E119" s="69" t="s">
        <v>37</v>
      </c>
      <c r="F119" s="69" t="s">
        <v>444</v>
      </c>
      <c r="G119" s="69" t="s">
        <v>37</v>
      </c>
      <c r="H119" s="69" t="s">
        <v>37</v>
      </c>
      <c r="I119" s="69">
        <v>188</v>
      </c>
      <c r="J119" s="69" t="str">
        <f>"https://tools.sig.systems/site/details/" &amp; Table3[[#This Row],[ID]]</f>
        <v>https://tools.sig.systems/site/details/188</v>
      </c>
    </row>
    <row r="120" spans="1:10" x14ac:dyDescent="0.4">
      <c r="A120" s="68" t="s">
        <v>116</v>
      </c>
      <c r="B120" s="69" t="s">
        <v>445</v>
      </c>
      <c r="C120" s="69" t="s">
        <v>37</v>
      </c>
      <c r="D120" s="69" t="s">
        <v>37</v>
      </c>
      <c r="E120" s="69">
        <v>20</v>
      </c>
      <c r="F120" s="69">
        <v>15</v>
      </c>
      <c r="G120" s="69" t="s">
        <v>37</v>
      </c>
      <c r="H120" s="69" t="s">
        <v>37</v>
      </c>
      <c r="I120" s="69">
        <v>194</v>
      </c>
      <c r="J120" s="69" t="str">
        <f>"https://tools.sig.systems/site/details/" &amp; Table3[[#This Row],[ID]]</f>
        <v>https://tools.sig.systems/site/details/194</v>
      </c>
    </row>
    <row r="121" spans="1:10" x14ac:dyDescent="0.4">
      <c r="A121" s="68" t="s">
        <v>83</v>
      </c>
      <c r="B121" s="69">
        <v>1</v>
      </c>
      <c r="C121" s="69" t="s">
        <v>37</v>
      </c>
      <c r="D121" s="69" t="s">
        <v>37</v>
      </c>
      <c r="E121" s="69">
        <v>9</v>
      </c>
      <c r="F121" s="69" t="s">
        <v>316</v>
      </c>
      <c r="G121" s="69" t="s">
        <v>446</v>
      </c>
      <c r="H121" s="69" t="s">
        <v>37</v>
      </c>
      <c r="I121" s="69">
        <v>193</v>
      </c>
      <c r="J121" s="69" t="str">
        <f>"https://tools.sig.systems/site/details/" &amp; Table3[[#This Row],[ID]]</f>
        <v>https://tools.sig.systems/site/details/193</v>
      </c>
    </row>
    <row r="122" spans="1:10" x14ac:dyDescent="0.4">
      <c r="A122" s="68" t="s">
        <v>107</v>
      </c>
      <c r="B122" s="69" t="s">
        <v>420</v>
      </c>
      <c r="C122" s="69" t="s">
        <v>37</v>
      </c>
      <c r="D122" s="69" t="s">
        <v>37</v>
      </c>
      <c r="E122" s="69" t="s">
        <v>421</v>
      </c>
      <c r="F122" s="69" t="s">
        <v>37</v>
      </c>
      <c r="G122" s="82" t="s">
        <v>422</v>
      </c>
      <c r="H122" s="69" t="s">
        <v>37</v>
      </c>
      <c r="I122" s="69">
        <v>202</v>
      </c>
      <c r="J122" s="69" t="str">
        <f>"https://tools.sig.systems/site/details/" &amp; Table3[[#This Row],[ID]]</f>
        <v>https://tools.sig.systems/site/details/202</v>
      </c>
    </row>
    <row r="123" spans="1:10" x14ac:dyDescent="0.4">
      <c r="A123" s="68" t="s">
        <v>188</v>
      </c>
      <c r="B123" s="69">
        <v>1</v>
      </c>
      <c r="C123" s="69" t="s">
        <v>37</v>
      </c>
      <c r="D123" s="69" t="s">
        <v>37</v>
      </c>
      <c r="E123" s="69">
        <v>7</v>
      </c>
      <c r="F123" s="69" t="s">
        <v>444</v>
      </c>
      <c r="G123" s="69" t="s">
        <v>447</v>
      </c>
      <c r="H123" s="69" t="s">
        <v>37</v>
      </c>
      <c r="I123" s="69">
        <v>183</v>
      </c>
      <c r="J123" s="69" t="str">
        <f>"https://tools.sig.systems/site/details/" &amp; Table3[[#This Row],[ID]]</f>
        <v>https://tools.sig.systems/site/details/183</v>
      </c>
    </row>
    <row r="124" spans="1:10" x14ac:dyDescent="0.4">
      <c r="A124" s="68" t="s">
        <v>80</v>
      </c>
      <c r="B124" s="69">
        <v>10</v>
      </c>
      <c r="C124" s="69" t="s">
        <v>448</v>
      </c>
      <c r="D124" s="69" t="s">
        <v>37</v>
      </c>
      <c r="E124" s="69" t="s">
        <v>37</v>
      </c>
      <c r="F124" s="69" t="s">
        <v>449</v>
      </c>
      <c r="G124" s="69" t="s">
        <v>37</v>
      </c>
      <c r="H124" s="69" t="s">
        <v>37</v>
      </c>
      <c r="I124" s="69">
        <v>248</v>
      </c>
      <c r="J124" s="69" t="str">
        <f>"https://tools.sig.systems/site/details/" &amp; Table3[[#This Row],[ID]]</f>
        <v>https://tools.sig.systems/site/details/248</v>
      </c>
    </row>
    <row r="125" spans="1:10" x14ac:dyDescent="0.4">
      <c r="A125" s="68" t="s">
        <v>81</v>
      </c>
      <c r="B125" s="69" t="s">
        <v>200</v>
      </c>
      <c r="C125" s="69" t="s">
        <v>37</v>
      </c>
      <c r="D125" s="69" t="s">
        <v>37</v>
      </c>
      <c r="E125" s="69" t="s">
        <v>37</v>
      </c>
      <c r="F125" s="69" t="s">
        <v>450</v>
      </c>
      <c r="G125" s="82" t="s">
        <v>451</v>
      </c>
      <c r="H125" s="69" t="s">
        <v>37</v>
      </c>
      <c r="I125" s="69">
        <v>222</v>
      </c>
      <c r="J125" s="69" t="str">
        <f>"https://tools.sig.systems/site/details/" &amp; Table3[[#This Row],[ID]]</f>
        <v>https://tools.sig.systems/site/details/222</v>
      </c>
    </row>
    <row r="126" spans="1:10" x14ac:dyDescent="0.4">
      <c r="A126" s="68" t="s">
        <v>165</v>
      </c>
      <c r="B126" s="69" t="s">
        <v>452</v>
      </c>
      <c r="C126" s="69" t="s">
        <v>37</v>
      </c>
      <c r="D126" s="69" t="s">
        <v>37</v>
      </c>
      <c r="E126" s="69" t="s">
        <v>37</v>
      </c>
      <c r="F126" s="69" t="s">
        <v>453</v>
      </c>
      <c r="G126" s="69" t="s">
        <v>37</v>
      </c>
      <c r="H126" s="69" t="s">
        <v>37</v>
      </c>
      <c r="I126" s="69">
        <v>254</v>
      </c>
      <c r="J126" s="69" t="str">
        <f>"https://tools.sig.systems/site/details/" &amp; Table3[[#This Row],[ID]]</f>
        <v>https://tools.sig.systems/site/details/254</v>
      </c>
    </row>
    <row r="127" spans="1:10" x14ac:dyDescent="0.4">
      <c r="A127" s="68" t="s">
        <v>189</v>
      </c>
      <c r="B127" s="69" t="s">
        <v>454</v>
      </c>
      <c r="C127" s="69" t="s">
        <v>37</v>
      </c>
      <c r="D127" s="69" t="s">
        <v>37</v>
      </c>
      <c r="E127" s="69" t="s">
        <v>37</v>
      </c>
      <c r="F127" s="69" t="s">
        <v>37</v>
      </c>
      <c r="G127" s="69" t="s">
        <v>37</v>
      </c>
      <c r="H127" s="69" t="s">
        <v>37</v>
      </c>
      <c r="I127" s="69">
        <v>158</v>
      </c>
      <c r="J127" s="69" t="str">
        <f>"https://tools.sig.systems/site/details/" &amp; Table3[[#This Row],[ID]]</f>
        <v>https://tools.sig.systems/site/details/158</v>
      </c>
    </row>
    <row r="128" spans="1:10" x14ac:dyDescent="0.4">
      <c r="A128" s="68" t="s">
        <v>101</v>
      </c>
      <c r="B128" s="69" t="s">
        <v>455</v>
      </c>
      <c r="C128" s="69" t="s">
        <v>37</v>
      </c>
      <c r="D128" s="69" t="s">
        <v>37</v>
      </c>
      <c r="E128" s="69" t="s">
        <v>37</v>
      </c>
      <c r="F128" s="69" t="s">
        <v>456</v>
      </c>
      <c r="G128" s="69" t="s">
        <v>457</v>
      </c>
      <c r="H128" s="69" t="s">
        <v>37</v>
      </c>
      <c r="I128" s="69">
        <v>160</v>
      </c>
      <c r="J128" s="69" t="str">
        <f>"https://tools.sig.systems/site/details/" &amp; Table3[[#This Row],[ID]]</f>
        <v>https://tools.sig.systems/site/details/160</v>
      </c>
    </row>
    <row r="129" spans="1:10" x14ac:dyDescent="0.4">
      <c r="A129" s="68" t="s">
        <v>67</v>
      </c>
      <c r="B129" s="69" t="s">
        <v>458</v>
      </c>
      <c r="C129" s="69" t="s">
        <v>459</v>
      </c>
      <c r="D129" s="69">
        <v>6</v>
      </c>
      <c r="E129" s="69" t="s">
        <v>37</v>
      </c>
      <c r="F129" s="69" t="s">
        <v>460</v>
      </c>
      <c r="G129" s="69" t="s">
        <v>37</v>
      </c>
      <c r="H129" s="69" t="s">
        <v>37</v>
      </c>
      <c r="I129" s="69">
        <v>159</v>
      </c>
      <c r="J129" s="69" t="str">
        <f>"https://tools.sig.systems/site/details/" &amp; Table3[[#This Row],[ID]]</f>
        <v>https://tools.sig.systems/site/details/159</v>
      </c>
    </row>
    <row r="130" spans="1:10" x14ac:dyDescent="0.4">
      <c r="A130" s="68" t="s">
        <v>461</v>
      </c>
      <c r="B130" s="69" t="s">
        <v>37</v>
      </c>
      <c r="C130" s="69" t="s">
        <v>37</v>
      </c>
      <c r="D130" s="69" t="s">
        <v>37</v>
      </c>
      <c r="E130" s="69" t="s">
        <v>37</v>
      </c>
      <c r="F130" s="69" t="s">
        <v>297</v>
      </c>
      <c r="G130" s="69" t="s">
        <v>37</v>
      </c>
      <c r="H130" s="69" t="s">
        <v>37</v>
      </c>
      <c r="I130" s="69">
        <v>158</v>
      </c>
      <c r="J130" s="69" t="str">
        <f>"https://tools.sig.systems/site/details/" &amp; Table3[[#This Row],[ID]]</f>
        <v>https://tools.sig.systems/site/details/158</v>
      </c>
    </row>
    <row r="131" spans="1:10" x14ac:dyDescent="0.4">
      <c r="A131" s="68" t="s">
        <v>191</v>
      </c>
      <c r="B131" s="69" t="s">
        <v>462</v>
      </c>
      <c r="C131" s="69" t="s">
        <v>37</v>
      </c>
      <c r="D131" s="69" t="s">
        <v>37</v>
      </c>
      <c r="E131" s="69" t="s">
        <v>37</v>
      </c>
      <c r="F131" s="69" t="s">
        <v>463</v>
      </c>
      <c r="G131" s="69" t="s">
        <v>37</v>
      </c>
      <c r="H131" s="69" t="s">
        <v>37</v>
      </c>
      <c r="I131" s="69">
        <v>321</v>
      </c>
      <c r="J131" s="69" t="str">
        <f>"https://tools.sig.systems/site/details/" &amp; Table3[[#This Row],[ID]]</f>
        <v>https://tools.sig.systems/site/details/321</v>
      </c>
    </row>
    <row r="132" spans="1:10" x14ac:dyDescent="0.4">
      <c r="A132" s="68" t="s">
        <v>96</v>
      </c>
      <c r="B132" s="69" t="s">
        <v>464</v>
      </c>
      <c r="C132" s="69" t="s">
        <v>465</v>
      </c>
      <c r="D132" s="69" t="s">
        <v>466</v>
      </c>
      <c r="E132" s="69" t="s">
        <v>37</v>
      </c>
      <c r="F132" s="69" t="s">
        <v>467</v>
      </c>
      <c r="G132" s="69" t="s">
        <v>468</v>
      </c>
      <c r="H132" s="69" t="s">
        <v>469</v>
      </c>
      <c r="I132" s="69">
        <v>162</v>
      </c>
      <c r="J132" s="69" t="str">
        <f>"https://tools.sig.systems/site/details/" &amp; Table3[[#This Row],[ID]]</f>
        <v>https://tools.sig.systems/site/details/162</v>
      </c>
    </row>
    <row r="133" spans="1:10" x14ac:dyDescent="0.4">
      <c r="A133" s="73" t="s">
        <v>119</v>
      </c>
      <c r="B133" s="69" t="s">
        <v>423</v>
      </c>
      <c r="C133" s="69" t="s">
        <v>37</v>
      </c>
      <c r="D133" s="69" t="s">
        <v>37</v>
      </c>
      <c r="E133" s="69" t="s">
        <v>37</v>
      </c>
      <c r="F133" s="69" t="s">
        <v>424</v>
      </c>
      <c r="G133" s="69" t="s">
        <v>37</v>
      </c>
      <c r="H133" s="69" t="s">
        <v>37</v>
      </c>
      <c r="I133" s="69">
        <v>164</v>
      </c>
      <c r="J133" s="69" t="str">
        <f>"https://tools.sig.systems/site/details/" &amp; Table3[[#This Row],[ID]]</f>
        <v>https://tools.sig.systems/site/details/164</v>
      </c>
    </row>
    <row r="134" spans="1:10" x14ac:dyDescent="0.4">
      <c r="A134" s="68" t="s">
        <v>470</v>
      </c>
      <c r="B134" s="69" t="s">
        <v>37</v>
      </c>
      <c r="C134" s="69" t="s">
        <v>37</v>
      </c>
      <c r="D134" s="69" t="s">
        <v>37</v>
      </c>
      <c r="E134" s="69" t="s">
        <v>37</v>
      </c>
      <c r="F134" s="69" t="s">
        <v>37</v>
      </c>
      <c r="G134" s="69" t="s">
        <v>37</v>
      </c>
      <c r="H134" s="69" t="s">
        <v>37</v>
      </c>
      <c r="I134" s="69">
        <v>314</v>
      </c>
      <c r="J134" s="69" t="str">
        <f>"https://tools.sig.systems/site/details/" &amp; Table3[[#This Row],[ID]]</f>
        <v>https://tools.sig.systems/site/details/314</v>
      </c>
    </row>
    <row r="135" spans="1:10" x14ac:dyDescent="0.4">
      <c r="A135" s="68" t="s">
        <v>169</v>
      </c>
      <c r="B135" s="69" t="s">
        <v>37</v>
      </c>
      <c r="C135" s="69" t="s">
        <v>37</v>
      </c>
      <c r="D135" s="69" t="s">
        <v>37</v>
      </c>
      <c r="E135" s="69" t="s">
        <v>37</v>
      </c>
      <c r="F135" s="69">
        <v>25</v>
      </c>
      <c r="G135" s="69" t="s">
        <v>37</v>
      </c>
      <c r="H135" s="69" t="s">
        <v>37</v>
      </c>
      <c r="I135" s="69">
        <v>163</v>
      </c>
      <c r="J135" s="69" t="str">
        <f>"https://tools.sig.systems/site/details/" &amp; Table3[[#This Row],[ID]]</f>
        <v>https://tools.sig.systems/site/details/163</v>
      </c>
    </row>
  </sheetData>
  <pageMargins left="0.7" right="0.7" top="0.75" bottom="0.75" header="0.3" footer="0.3"/>
  <pageSetup scale="35" fitToHeight="0" orientation="portrait"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A501"/>
  <sheetViews>
    <sheetView workbookViewId="0">
      <selection sqref="A1:C1"/>
    </sheetView>
  </sheetViews>
  <sheetFormatPr defaultColWidth="0" defaultRowHeight="15" zeroHeight="1" outlineLevelCol="1" x14ac:dyDescent="0.25"/>
  <cols>
    <col min="1" max="1" width="14.42578125" bestFit="1" customWidth="1"/>
    <col min="2" max="2" width="17.5703125" style="5" bestFit="1" customWidth="1"/>
    <col min="3" max="3" width="57.85546875" style="5" customWidth="1"/>
    <col min="4" max="4" width="23.7109375" style="5" hidden="1" customWidth="1"/>
    <col min="5" max="5" width="23.140625" style="5" customWidth="1"/>
    <col min="6" max="6" width="15.28515625" style="5" bestFit="1" customWidth="1"/>
    <col min="7" max="7" width="17.85546875" customWidth="1"/>
    <col min="8" max="8" width="47.7109375" hidden="1" customWidth="1"/>
    <col min="9" max="9" width="39.140625" hidden="1" customWidth="1"/>
    <col min="10" max="10" width="42.5703125" customWidth="1"/>
    <col min="11" max="11" width="8.85546875" customWidth="1"/>
    <col min="12" max="12" width="20.140625" bestFit="1" customWidth="1"/>
    <col min="13" max="13" width="12" hidden="1" customWidth="1"/>
    <col min="14" max="14" width="12" customWidth="1"/>
    <col min="15" max="15" width="12" hidden="1" customWidth="1"/>
    <col min="16" max="16" width="3.5703125" hidden="1" customWidth="1"/>
    <col min="17" max="17" width="15.85546875" hidden="1" customWidth="1"/>
    <col min="18" max="18" width="51.7109375" hidden="1" customWidth="1"/>
    <col min="19" max="19" width="13.85546875" style="5" hidden="1" customWidth="1"/>
    <col min="20" max="20" width="14.5703125" style="5" hidden="1" customWidth="1"/>
    <col min="21" max="21" width="15.140625" style="5" hidden="1" customWidth="1"/>
    <col min="22" max="22" width="55.7109375" style="5" hidden="1" customWidth="1" outlineLevel="1"/>
    <col min="23" max="23" width="7.85546875" style="5" hidden="1" customWidth="1" collapsed="1"/>
    <col min="24" max="24" width="14.5703125" style="5" hidden="1" customWidth="1"/>
    <col min="25" max="25" width="8.85546875" hidden="1" customWidth="1"/>
    <col min="26" max="27" width="0" hidden="1" customWidth="1"/>
    <col min="28" max="16384" width="11.5703125" hidden="1"/>
  </cols>
  <sheetData>
    <row r="1" spans="1:24" ht="19.5" x14ac:dyDescent="0.3">
      <c r="A1" s="108" t="s">
        <v>471</v>
      </c>
      <c r="B1" s="109"/>
      <c r="C1" s="109"/>
      <c r="F1" s="25"/>
      <c r="M1" s="14" t="s">
        <v>56</v>
      </c>
      <c r="Q1" s="9"/>
      <c r="R1" s="9"/>
      <c r="V1" s="22" t="s">
        <v>0</v>
      </c>
    </row>
    <row r="2" spans="1:24" ht="19.5" x14ac:dyDescent="0.3">
      <c r="B2"/>
      <c r="C2" s="3"/>
      <c r="F2" s="24"/>
      <c r="Q2" s="9"/>
      <c r="R2" s="9"/>
      <c r="V2" s="129" t="s">
        <v>2</v>
      </c>
    </row>
    <row r="3" spans="1:24" ht="18.75" x14ac:dyDescent="0.3">
      <c r="B3"/>
      <c r="C3" s="3"/>
      <c r="G3" s="10" t="s">
        <v>472</v>
      </c>
      <c r="I3" s="6" t="s">
        <v>2</v>
      </c>
      <c r="J3" s="5" t="s">
        <v>89</v>
      </c>
      <c r="S3"/>
      <c r="T3"/>
      <c r="V3" s="128" t="s">
        <v>108</v>
      </c>
      <c r="X3"/>
    </row>
    <row r="4" spans="1:24" x14ac:dyDescent="0.25">
      <c r="B4"/>
      <c r="C4" s="3"/>
      <c r="G4" s="5"/>
      <c r="S4"/>
      <c r="T4"/>
      <c r="V4" s="127" t="s">
        <v>514</v>
      </c>
      <c r="X4"/>
    </row>
    <row r="5" spans="1:24" ht="18.75" x14ac:dyDescent="0.3">
      <c r="B5"/>
      <c r="C5" s="3"/>
      <c r="G5" s="101" t="s">
        <v>6</v>
      </c>
      <c r="I5" s="6" t="s">
        <v>473</v>
      </c>
      <c r="J5" s="10" t="str">
        <f>+I5</f>
        <v xml:space="preserve"> Station</v>
      </c>
      <c r="S5"/>
      <c r="T5"/>
      <c r="V5" s="128" t="s">
        <v>78</v>
      </c>
      <c r="X5"/>
    </row>
    <row r="6" spans="1:24" ht="18.75" x14ac:dyDescent="0.3">
      <c r="B6"/>
      <c r="C6" s="3"/>
      <c r="G6" s="106"/>
      <c r="I6" s="125">
        <v>3</v>
      </c>
      <c r="J6" s="21">
        <f>I6</f>
        <v>3</v>
      </c>
      <c r="V6" s="128" t="s">
        <v>68</v>
      </c>
    </row>
    <row r="7" spans="1:24" ht="18.75" x14ac:dyDescent="0.3">
      <c r="B7"/>
      <c r="C7" s="3"/>
      <c r="F7"/>
      <c r="I7" s="5"/>
      <c r="V7" s="128" t="s">
        <v>187</v>
      </c>
    </row>
    <row r="8" spans="1:24" ht="18.75" x14ac:dyDescent="0.3">
      <c r="B8"/>
      <c r="C8" s="3"/>
      <c r="F8"/>
      <c r="V8" s="128" t="s">
        <v>136</v>
      </c>
    </row>
    <row r="9" spans="1:24" ht="18.75" x14ac:dyDescent="0.3">
      <c r="B9"/>
      <c r="C9" s="3"/>
      <c r="F9"/>
      <c r="V9" s="128" t="s">
        <v>139</v>
      </c>
    </row>
    <row r="10" spans="1:24" ht="18.75" x14ac:dyDescent="0.3">
      <c r="F10"/>
      <c r="V10" s="128" t="s">
        <v>141</v>
      </c>
    </row>
    <row r="11" spans="1:24" x14ac:dyDescent="0.25">
      <c r="B11"/>
      <c r="F11"/>
      <c r="G11" s="5" t="str">
        <f>+IF(D11="","",IFERROR(IF(#REF!="#N/D","Log Out",""),"Log Out"))</f>
        <v/>
      </c>
      <c r="V11" s="127" t="s">
        <v>104</v>
      </c>
    </row>
    <row r="12" spans="1:24" ht="18.75" x14ac:dyDescent="0.3">
      <c r="A12" s="4" t="s">
        <v>474</v>
      </c>
      <c r="B12" s="4" t="s">
        <v>475</v>
      </c>
      <c r="C12" s="4" t="s">
        <v>476</v>
      </c>
      <c r="S12"/>
      <c r="T12"/>
      <c r="U12"/>
      <c r="V12" s="128" t="s">
        <v>98</v>
      </c>
      <c r="W12"/>
      <c r="X12"/>
    </row>
    <row r="13" spans="1:24" ht="18.75" x14ac:dyDescent="0.3">
      <c r="A13" s="44" t="s">
        <v>477</v>
      </c>
      <c r="B13" s="44">
        <v>1</v>
      </c>
      <c r="C13" s="44">
        <v>4</v>
      </c>
      <c r="S13"/>
      <c r="T13"/>
      <c r="U13"/>
      <c r="V13"/>
      <c r="W13"/>
      <c r="X13"/>
    </row>
    <row r="14" spans="1:24" x14ac:dyDescent="0.25">
      <c r="B14"/>
      <c r="C14" s="3"/>
      <c r="F14"/>
      <c r="Q14" s="26"/>
      <c r="S14"/>
      <c r="T14"/>
      <c r="U14"/>
      <c r="V14"/>
      <c r="W14"/>
      <c r="X14"/>
    </row>
    <row r="15" spans="1:24" ht="19.5" x14ac:dyDescent="0.3">
      <c r="A15" s="16" t="s">
        <v>11</v>
      </c>
      <c r="B15" s="14" t="s">
        <v>122</v>
      </c>
      <c r="C15" s="17" t="s">
        <v>18</v>
      </c>
      <c r="D15" s="18" t="s">
        <v>20</v>
      </c>
      <c r="E15" s="31" t="s">
        <v>478</v>
      </c>
      <c r="F15" s="99" t="s">
        <v>22</v>
      </c>
      <c r="G15" s="100"/>
      <c r="H15" s="14" t="s">
        <v>122</v>
      </c>
      <c r="I15" s="17" t="s">
        <v>18</v>
      </c>
      <c r="J15" s="19" t="s">
        <v>19</v>
      </c>
      <c r="K15" s="19" t="s">
        <v>123</v>
      </c>
      <c r="L15" s="14" t="s">
        <v>25</v>
      </c>
      <c r="M15" t="s">
        <v>32</v>
      </c>
      <c r="S15"/>
      <c r="T15" s="15"/>
      <c r="U15" s="28"/>
      <c r="V15"/>
      <c r="W15"/>
      <c r="X15"/>
    </row>
    <row r="16" spans="1:24" ht="18.75" x14ac:dyDescent="0.3">
      <c r="A16" s="32" t="s">
        <v>477</v>
      </c>
      <c r="B16" s="47" t="s">
        <v>60</v>
      </c>
      <c r="C16" s="30" t="s">
        <v>61</v>
      </c>
      <c r="D16" s="30">
        <v>1</v>
      </c>
      <c r="E16" s="5">
        <f>IFERROR(VLOOKUP(C16&amp;'H.A. Dynamic Split'!$C$13,'Flat Base'!A2:C3241,3,0),"")</f>
        <v>1</v>
      </c>
      <c r="F16" s="33" t="str">
        <f>IFERROR(HYPERLINK(VLOOKUP(C16,'Flat Base'!F:H,3,0),"SIG TOOLS"),"")</f>
        <v>SIG TOOLS</v>
      </c>
      <c r="G16" s="33" t="str">
        <f>IFERROR(HYPERLINK(VLOOKUP(C16,'Flat Base'!F:I,4,0),"SITE MAP"),"")</f>
        <v>SITE MAP</v>
      </c>
      <c r="H16" s="30" t="s">
        <v>60</v>
      </c>
      <c r="I16" s="30" t="s">
        <v>61</v>
      </c>
      <c r="J16" s="13" t="s">
        <v>41</v>
      </c>
      <c r="K16" s="13" t="s">
        <v>53</v>
      </c>
      <c r="L16" s="13" t="s">
        <v>41</v>
      </c>
      <c r="M16">
        <v>1</v>
      </c>
      <c r="N16" s="29"/>
      <c r="O16" s="29"/>
      <c r="S16"/>
      <c r="T16" s="11"/>
      <c r="U16" s="27"/>
      <c r="V16"/>
      <c r="W16"/>
      <c r="X16"/>
    </row>
    <row r="17" spans="1:24" ht="18.75" x14ac:dyDescent="0.3">
      <c r="A17" s="32"/>
      <c r="B17" s="55"/>
      <c r="C17" s="30" t="s">
        <v>479</v>
      </c>
      <c r="D17" s="30">
        <v>1</v>
      </c>
      <c r="E17" s="5" t="str">
        <f>IFERROR(VLOOKUP(C17&amp;'H.A. Dynamic Split'!$C$13,'Flat Base'!A2:C3241,3,0),"")</f>
        <v/>
      </c>
      <c r="F17" s="33" t="str">
        <f>IFERROR(HYPERLINK(VLOOKUP(C17,'Flat Base'!F:H,3,0),"SIG TOOLS"),"")</f>
        <v/>
      </c>
      <c r="G17" s="33" t="str">
        <f>IFERROR(HYPERLINK(VLOOKUP(C17,'Flat Base'!F:I,4,0),"SITE MAP"),"")</f>
        <v/>
      </c>
      <c r="H17" s="30"/>
      <c r="I17" t="s">
        <v>479</v>
      </c>
      <c r="J17" s="13" t="s">
        <v>41</v>
      </c>
      <c r="K17" s="23" t="s">
        <v>35</v>
      </c>
      <c r="L17" s="13" t="s">
        <v>41</v>
      </c>
      <c r="M17" s="29">
        <v>1</v>
      </c>
      <c r="N17" s="29"/>
      <c r="O17" s="29"/>
      <c r="S17"/>
      <c r="T17" s="11"/>
      <c r="U17" s="11"/>
      <c r="V17"/>
      <c r="W17"/>
      <c r="X17"/>
    </row>
    <row r="18" spans="1:24" ht="18.75" x14ac:dyDescent="0.3">
      <c r="A18" s="32"/>
      <c r="B18" s="55"/>
      <c r="C18" s="30" t="s">
        <v>169</v>
      </c>
      <c r="D18" s="30">
        <v>1</v>
      </c>
      <c r="E18" s="13">
        <f>IFERROR(VLOOKUP(C18&amp;'H.A. Dynamic Split'!$C$13,'Flat Base'!A2:C2732,3,0),"")</f>
        <v>3</v>
      </c>
      <c r="F18" s="33" t="str">
        <f>IFERROR(HYPERLINK(VLOOKUP(C18,'Flat Base'!F:H,3,0),"SIG TOOLS"),"")</f>
        <v>SIG TOOLS</v>
      </c>
      <c r="G18" s="33" t="str">
        <f>IFERROR(HYPERLINK(VLOOKUP(C18,'Flat Base'!F:I,4,0),"SITE MAP"),"")</f>
        <v>SITE MAP</v>
      </c>
      <c r="H18" s="30"/>
      <c r="I18" t="s">
        <v>169</v>
      </c>
      <c r="J18" s="13" t="s">
        <v>41</v>
      </c>
      <c r="K18" s="23" t="s">
        <v>35</v>
      </c>
      <c r="L18" s="13" t="s">
        <v>41</v>
      </c>
      <c r="M18" s="29">
        <v>1</v>
      </c>
      <c r="S18"/>
      <c r="T18" s="11"/>
      <c r="U18" s="11"/>
      <c r="V18"/>
      <c r="W18"/>
      <c r="X18"/>
    </row>
    <row r="19" spans="1:24" ht="18.75" x14ac:dyDescent="0.3">
      <c r="A19" s="32"/>
      <c r="B19" s="45"/>
      <c r="C19" s="30" t="s">
        <v>470</v>
      </c>
      <c r="D19" s="30">
        <v>1</v>
      </c>
      <c r="E19" s="13" t="str">
        <f>IFERROR(VLOOKUP(C19&amp;'H.A. Dynamic Split'!$C$13,'Flat Base'!A2:C2733,3,0),"")</f>
        <v/>
      </c>
      <c r="F19" s="33" t="str">
        <f>IFERROR(HYPERLINK(VLOOKUP(C19,'Flat Base'!F:H,3,0),"SIG TOOLS"),"")</f>
        <v/>
      </c>
      <c r="G19" s="33" t="str">
        <f>IFERROR(HYPERLINK(VLOOKUP(C19,'Flat Base'!F:I,4,0),"SITE MAP"),"")</f>
        <v/>
      </c>
      <c r="H19" s="30"/>
      <c r="I19" t="s">
        <v>470</v>
      </c>
      <c r="J19" s="13" t="s">
        <v>41</v>
      </c>
      <c r="K19" s="23" t="s">
        <v>35</v>
      </c>
      <c r="L19" s="13" t="s">
        <v>41</v>
      </c>
      <c r="M19" s="29">
        <v>1</v>
      </c>
      <c r="S19"/>
      <c r="T19" s="11"/>
      <c r="U19" s="27"/>
      <c r="V19"/>
      <c r="W19"/>
      <c r="X19"/>
    </row>
    <row r="20" spans="1:24" ht="18.75" x14ac:dyDescent="0.3">
      <c r="A20" s="32"/>
      <c r="B20" s="34" t="s">
        <v>62</v>
      </c>
      <c r="C20" s="30" t="s">
        <v>178</v>
      </c>
      <c r="D20" s="30">
        <v>1</v>
      </c>
      <c r="E20" s="13">
        <f>IFERROR(VLOOKUP(C20&amp;'H.A. Dynamic Split'!$C$13,'Flat Base'!A2:C2734,3,0),"")</f>
        <v>3</v>
      </c>
      <c r="F20" s="33" t="str">
        <f>IFERROR(HYPERLINK(VLOOKUP(C20,'Flat Base'!F:H,3,0),"SIG TOOLS"),"")</f>
        <v>SIG TOOLS</v>
      </c>
      <c r="G20" s="33" t="str">
        <f>IFERROR(HYPERLINK(VLOOKUP(C20,'Flat Base'!F:I,4,0),"SITE MAP"),"")</f>
        <v>SITE MAP</v>
      </c>
      <c r="H20" s="30" t="s">
        <v>62</v>
      </c>
      <c r="I20" s="30" t="s">
        <v>178</v>
      </c>
      <c r="J20" s="13" t="s">
        <v>34</v>
      </c>
      <c r="K20" s="23" t="s">
        <v>35</v>
      </c>
      <c r="L20" s="13" t="s">
        <v>41</v>
      </c>
      <c r="M20" s="29">
        <v>1</v>
      </c>
      <c r="S20"/>
      <c r="T20" s="11"/>
      <c r="U20" s="11"/>
      <c r="V20"/>
      <c r="W20"/>
      <c r="X20"/>
    </row>
    <row r="21" spans="1:24" ht="18.75" x14ac:dyDescent="0.3">
      <c r="A21" s="32"/>
      <c r="B21" s="35"/>
      <c r="C21" s="30" t="s">
        <v>185</v>
      </c>
      <c r="D21" s="30">
        <v>1</v>
      </c>
      <c r="E21" s="13">
        <f>IFERROR(VLOOKUP(C21&amp;'H.A. Dynamic Split'!$C$13,'Flat Base'!A2:C2735,3,0),"")</f>
        <v>3</v>
      </c>
      <c r="F21" s="33" t="str">
        <f>IFERROR(HYPERLINK(VLOOKUP(C21,'Flat Base'!F:H,3,0),"SIG TOOLS"),"")</f>
        <v>SIG TOOLS</v>
      </c>
      <c r="G21" s="33" t="str">
        <f>IFERROR(HYPERLINK(VLOOKUP(C21,'Flat Base'!F:I,4,0),"SITE MAP"),"")</f>
        <v>SITE MAP</v>
      </c>
      <c r="H21" s="30"/>
      <c r="I21" t="s">
        <v>185</v>
      </c>
      <c r="J21" s="13" t="s">
        <v>34</v>
      </c>
      <c r="K21" s="23" t="s">
        <v>35</v>
      </c>
      <c r="L21" s="13" t="s">
        <v>36</v>
      </c>
      <c r="M21" s="29">
        <v>1</v>
      </c>
      <c r="S21"/>
      <c r="T21" s="11"/>
      <c r="U21" s="11"/>
      <c r="V21"/>
      <c r="W21"/>
      <c r="X21"/>
    </row>
    <row r="22" spans="1:24" ht="18.75" x14ac:dyDescent="0.3">
      <c r="A22" s="32"/>
      <c r="B22" s="35" t="s">
        <v>33</v>
      </c>
      <c r="C22" s="30" t="s">
        <v>148</v>
      </c>
      <c r="D22" s="30">
        <v>1</v>
      </c>
      <c r="E22" s="13">
        <f>IFERROR(VLOOKUP(C22&amp;'H.A. Dynamic Split'!$C$13,'Flat Base'!A2:C2736,3,0),"")</f>
        <v>3</v>
      </c>
      <c r="F22" s="33" t="str">
        <f>IFERROR(HYPERLINK(VLOOKUP(C22,'Flat Base'!F:H,3,0),"SIG TOOLS"),"")</f>
        <v>SIG TOOLS</v>
      </c>
      <c r="G22" s="33" t="str">
        <f>IFERROR(HYPERLINK(VLOOKUP(C22,'Flat Base'!F:I,4,0),"SITE MAP"),"")</f>
        <v>SITE MAP</v>
      </c>
      <c r="H22" s="30" t="s">
        <v>33</v>
      </c>
      <c r="I22" s="30" t="s">
        <v>148</v>
      </c>
      <c r="J22" s="13" t="s">
        <v>45</v>
      </c>
      <c r="K22" s="13" t="s">
        <v>46</v>
      </c>
      <c r="L22" s="13" t="s">
        <v>41</v>
      </c>
      <c r="M22">
        <v>1</v>
      </c>
      <c r="S22"/>
      <c r="T22" s="11"/>
      <c r="U22" s="11"/>
      <c r="V22"/>
      <c r="W22"/>
      <c r="X22"/>
    </row>
    <row r="23" spans="1:24" ht="18.75" x14ac:dyDescent="0.3">
      <c r="A23" s="32"/>
      <c r="B23" s="53" t="s">
        <v>44</v>
      </c>
      <c r="C23" s="30" t="s">
        <v>133</v>
      </c>
      <c r="D23" s="30">
        <v>1</v>
      </c>
      <c r="E23" s="13">
        <f>IFERROR(VLOOKUP(C23&amp;'H.A. Dynamic Split'!$C$13,'Flat Base'!A2:C2737,3,0),"")</f>
        <v>4</v>
      </c>
      <c r="F23" s="33" t="str">
        <f>IFERROR(HYPERLINK(VLOOKUP(C23,'Flat Base'!F:H,3,0),"SIG TOOLS"),"")</f>
        <v>SIG TOOLS</v>
      </c>
      <c r="G23" s="33" t="str">
        <f>IFERROR(HYPERLINK(VLOOKUP(C23,'Flat Base'!F:I,4,0),"SITE MAP"),"")</f>
        <v>SITE MAP</v>
      </c>
      <c r="H23" s="30" t="s">
        <v>44</v>
      </c>
      <c r="I23" t="s">
        <v>133</v>
      </c>
      <c r="J23" s="13" t="s">
        <v>45</v>
      </c>
      <c r="K23" s="13" t="s">
        <v>46</v>
      </c>
      <c r="L23" s="13" t="s">
        <v>41</v>
      </c>
      <c r="M23">
        <v>1</v>
      </c>
      <c r="S23"/>
      <c r="T23" s="11"/>
      <c r="U23" s="11"/>
      <c r="V23"/>
      <c r="W23" s="11"/>
      <c r="X23" s="11"/>
    </row>
    <row r="24" spans="1:24" ht="18.75" x14ac:dyDescent="0.3">
      <c r="A24" s="32"/>
      <c r="B24" s="46"/>
      <c r="C24" s="30" t="s">
        <v>87</v>
      </c>
      <c r="D24" s="30">
        <v>1</v>
      </c>
      <c r="E24" s="13">
        <f>IFERROR(VLOOKUP(C24&amp;'H.A. Dynamic Split'!$C$13,'Flat Base'!A2:C2738,3,0),"")</f>
        <v>2</v>
      </c>
      <c r="F24" s="33" t="str">
        <f>IFERROR(HYPERLINK(VLOOKUP(C24,'Flat Base'!F:H,3,0),"SIG TOOLS"),"")</f>
        <v>SIG TOOLS</v>
      </c>
      <c r="G24" s="33" t="str">
        <f>IFERROR(HYPERLINK(VLOOKUP(C24,'Flat Base'!F:I,4,0),"SITE MAP"),"")</f>
        <v>SITE MAP</v>
      </c>
      <c r="H24" s="30"/>
      <c r="I24" t="s">
        <v>87</v>
      </c>
      <c r="J24" s="13" t="s">
        <v>45</v>
      </c>
      <c r="K24" s="13" t="s">
        <v>46</v>
      </c>
      <c r="L24" s="13" t="s">
        <v>41</v>
      </c>
      <c r="M24">
        <v>1</v>
      </c>
      <c r="S24"/>
      <c r="T24" s="11"/>
      <c r="U24" s="27"/>
      <c r="V24"/>
      <c r="W24" s="11"/>
      <c r="X24" s="11"/>
    </row>
    <row r="25" spans="1:24" ht="18.75" x14ac:dyDescent="0.3">
      <c r="A25" s="32"/>
      <c r="B25" s="35" t="s">
        <v>51</v>
      </c>
      <c r="C25" s="30" t="s">
        <v>80</v>
      </c>
      <c r="D25" s="30">
        <v>1</v>
      </c>
      <c r="E25" s="13">
        <f>IFERROR(VLOOKUP(C25&amp;'H.A. Dynamic Split'!$C$13,'Flat Base'!A2:C2739,3,0),"")</f>
        <v>1</v>
      </c>
      <c r="F25" s="33" t="str">
        <f>IFERROR(HYPERLINK(VLOOKUP(C25,'Flat Base'!F:H,3,0),"SIG TOOLS"),"")</f>
        <v>SIG TOOLS</v>
      </c>
      <c r="G25" s="33" t="str">
        <f>IFERROR(HYPERLINK(VLOOKUP(C25,'Flat Base'!F:I,4,0),"SITE MAP"),"")</f>
        <v>SITE MAP</v>
      </c>
      <c r="H25" s="30" t="s">
        <v>51</v>
      </c>
      <c r="I25" s="30" t="s">
        <v>80</v>
      </c>
      <c r="J25" s="13" t="s">
        <v>52</v>
      </c>
      <c r="K25" s="13" t="s">
        <v>53</v>
      </c>
      <c r="L25" s="13" t="s">
        <v>41</v>
      </c>
      <c r="M25">
        <v>1</v>
      </c>
      <c r="S25"/>
      <c r="T25" s="11"/>
      <c r="U25" s="27"/>
      <c r="V25"/>
      <c r="W25" s="11"/>
      <c r="X25" s="11"/>
    </row>
    <row r="26" spans="1:24" ht="18.75" x14ac:dyDescent="0.3">
      <c r="B26"/>
      <c r="C26"/>
      <c r="D26"/>
      <c r="E26" s="13" t="str">
        <f>IFERROR(VLOOKUP(C26&amp;'H.A. Dynamic Split'!$C$13,'Flat Base'!A2:C2740,3,0),"")</f>
        <v/>
      </c>
      <c r="F26" s="33" t="str">
        <f>IFERROR(HYPERLINK(VLOOKUP(C26,'Flat Base'!F:H,3,0),"SIG TOOLS"),"")</f>
        <v/>
      </c>
      <c r="G26" s="33" t="str">
        <f>IFERROR(HYPERLINK(VLOOKUP(C26,'Flat Base'!F:I,4,0),"SITE MAP"),"")</f>
        <v/>
      </c>
      <c r="S26"/>
      <c r="T26" s="11"/>
      <c r="U26" s="11"/>
      <c r="V26"/>
      <c r="W26" s="11"/>
      <c r="X26" s="11"/>
    </row>
    <row r="27" spans="1:24" ht="18.75" x14ac:dyDescent="0.3">
      <c r="B27"/>
      <c r="C27"/>
      <c r="D27"/>
      <c r="E27" s="13" t="str">
        <f>IFERROR(VLOOKUP(C27&amp;'H.A. Dynamic Split'!$C$13,'Flat Base'!A2:C2741,3,0),"")</f>
        <v/>
      </c>
      <c r="F27" s="33" t="str">
        <f>IFERROR(HYPERLINK(VLOOKUP(C27,'Flat Base'!F:H,3,0),"SIG TOOLS"),"")</f>
        <v/>
      </c>
      <c r="G27" s="33" t="str">
        <f>IFERROR(HYPERLINK(VLOOKUP(C27,'Flat Base'!F:I,4,0),"SITE MAP"),"")</f>
        <v/>
      </c>
      <c r="L27" s="13"/>
      <c r="S27"/>
      <c r="T27" s="11"/>
      <c r="U27" s="11"/>
      <c r="V27"/>
      <c r="W27" s="11"/>
      <c r="X27" s="11"/>
    </row>
    <row r="28" spans="1:24" ht="18.75" x14ac:dyDescent="0.3">
      <c r="B28"/>
      <c r="C28"/>
      <c r="D28"/>
      <c r="E28" s="13" t="str">
        <f>IFERROR(VLOOKUP(C28&amp;'H.A. Dynamic Split'!$C$13,'Flat Base'!A2:C2742,3,0),"")</f>
        <v/>
      </c>
      <c r="F28" s="33" t="str">
        <f>IFERROR(HYPERLINK(VLOOKUP(C28,'Flat Base'!F:H,3,0),"SIG TOOLS"),"")</f>
        <v/>
      </c>
      <c r="G28" s="33" t="str">
        <f>IFERROR(HYPERLINK(VLOOKUP(C28,'Flat Base'!F:I,4,0),"SITE MAP"),"")</f>
        <v/>
      </c>
      <c r="S28"/>
      <c r="T28" s="11"/>
      <c r="U28" s="11"/>
      <c r="V28"/>
      <c r="W28" s="11"/>
      <c r="X28" s="11"/>
    </row>
    <row r="29" spans="1:24" ht="18.75" x14ac:dyDescent="0.3">
      <c r="B29"/>
      <c r="C29"/>
      <c r="D29"/>
      <c r="E29" s="13" t="str">
        <f>IFERROR(VLOOKUP(C29&amp;'H.A. Dynamic Split'!$C$13,'Flat Base'!A2:C2743,3,0),"")</f>
        <v/>
      </c>
      <c r="F29" s="33" t="str">
        <f>IFERROR(HYPERLINK(VLOOKUP(C29,'Flat Base'!F:H,3,0),"SIG TOOLS"),"")</f>
        <v/>
      </c>
      <c r="G29" s="33" t="str">
        <f>IFERROR(HYPERLINK(VLOOKUP(C29,'Flat Base'!F:I,4,0),"SITE MAP"),"")</f>
        <v/>
      </c>
      <c r="S29"/>
      <c r="T29" s="11"/>
      <c r="U29" s="11"/>
      <c r="V29"/>
      <c r="W29" s="11"/>
      <c r="X29" s="11"/>
    </row>
    <row r="30" spans="1:24" ht="18.75" x14ac:dyDescent="0.3">
      <c r="B30"/>
      <c r="C30"/>
      <c r="D30"/>
      <c r="E30" s="13" t="str">
        <f>IFERROR(VLOOKUP(C30&amp;'H.A. Dynamic Split'!$C$13,'Flat Base'!A2:C2744,3,0),"")</f>
        <v/>
      </c>
      <c r="F30" s="33" t="str">
        <f>IFERROR(HYPERLINK(VLOOKUP(C30,'Flat Base'!F:H,3,0),"SIG TOOLS"),"")</f>
        <v/>
      </c>
      <c r="G30" s="33" t="str">
        <f>IFERROR(HYPERLINK(VLOOKUP(C30,'Flat Base'!F:I,4,0),"SITE MAP"),"")</f>
        <v/>
      </c>
      <c r="S30"/>
      <c r="T30" s="11"/>
      <c r="U30" s="11"/>
      <c r="V30"/>
      <c r="W30" s="11"/>
      <c r="X30" s="11"/>
    </row>
    <row r="31" spans="1:24" ht="18.75" x14ac:dyDescent="0.3">
      <c r="B31"/>
      <c r="C31"/>
      <c r="D31"/>
      <c r="E31" s="13" t="str">
        <f>IFERROR(VLOOKUP(C31&amp;'H.A. Dynamic Split'!$C$13,'Flat Base'!A2:C2732,3,0),"")</f>
        <v/>
      </c>
      <c r="F31" s="33" t="str">
        <f>IFERROR(HYPERLINK(VLOOKUP(C31,'Flat Base'!F:H,3,0),"SIG TOOLS"),"")</f>
        <v/>
      </c>
      <c r="G31" s="33" t="str">
        <f>IFERROR(HYPERLINK(VLOOKUP(C31,'Flat Base'!F:I,4,0),"SITE MAP"),"")</f>
        <v/>
      </c>
      <c r="S31"/>
      <c r="T31" s="11"/>
      <c r="U31" s="11"/>
      <c r="V31"/>
      <c r="W31" s="11"/>
      <c r="X31" s="11"/>
    </row>
    <row r="32" spans="1:24" ht="18.75" x14ac:dyDescent="0.3">
      <c r="B32"/>
      <c r="C32"/>
      <c r="D32"/>
      <c r="E32" s="13" t="str">
        <f>IFERROR(VLOOKUP(C32&amp;'H.A. Dynamic Split'!$C$13,'Flat Base'!A2:C2733,3,0),"")</f>
        <v/>
      </c>
      <c r="F32" s="33" t="str">
        <f>IFERROR(HYPERLINK(VLOOKUP(C32,'Flat Base'!F:H,3,0),"SIG TOOLS"),"")</f>
        <v/>
      </c>
      <c r="G32" s="33" t="str">
        <f>IFERROR(HYPERLINK(VLOOKUP(C32,'Flat Base'!F:I,4,0),"SITE MAP"),"")</f>
        <v/>
      </c>
      <c r="S32"/>
      <c r="T32" s="11"/>
      <c r="U32" s="11"/>
      <c r="V32"/>
      <c r="W32" s="11"/>
      <c r="X32" s="11"/>
    </row>
    <row r="33" spans="2:24" ht="18.75" x14ac:dyDescent="0.3">
      <c r="B33"/>
      <c r="C33"/>
      <c r="D33"/>
      <c r="E33" s="13" t="str">
        <f>IFERROR(VLOOKUP(C33&amp;'H.A. Dynamic Split'!$C$13,'Flat Base'!A2:C2733,3,0),"")</f>
        <v/>
      </c>
      <c r="F33" s="33" t="str">
        <f>IFERROR(HYPERLINK(VLOOKUP(C33,'Flat Base'!F:H,3,0),"SIG TOOLS"),"")</f>
        <v/>
      </c>
      <c r="G33" s="33" t="str">
        <f>IFERROR(HYPERLINK(VLOOKUP(C33,'Flat Base'!F:I,4,0),"SITE MAP"),"")</f>
        <v/>
      </c>
      <c r="S33"/>
      <c r="T33" s="11"/>
      <c r="U33" s="11"/>
      <c r="V33"/>
      <c r="W33" s="11"/>
      <c r="X33" s="11"/>
    </row>
    <row r="34" spans="2:24" ht="18.75" x14ac:dyDescent="0.3">
      <c r="B34"/>
      <c r="C34"/>
      <c r="D34"/>
      <c r="E34" s="13" t="str">
        <f>IFERROR(VLOOKUP(C34&amp;'H.A. Dynamic Split'!$C$13,'Flat Base'!A2:C2730,3,0),"")</f>
        <v/>
      </c>
      <c r="F34" s="33" t="str">
        <f>IFERROR(HYPERLINK(VLOOKUP(C34,'Flat Base'!F:H,3,0),"SIG TOOLS"),"")</f>
        <v/>
      </c>
      <c r="G34" s="33" t="str">
        <f>IFERROR(HYPERLINK(VLOOKUP(C34,'Flat Base'!F:I,4,0),"SITE MAP"),"")</f>
        <v/>
      </c>
      <c r="S34"/>
      <c r="T34" s="11"/>
      <c r="U34" s="11"/>
      <c r="V34"/>
      <c r="W34" s="11"/>
      <c r="X34" s="11"/>
    </row>
    <row r="35" spans="2:24" ht="18.75" x14ac:dyDescent="0.3">
      <c r="B35"/>
      <c r="C35"/>
      <c r="D35"/>
      <c r="E35" s="13" t="str">
        <f>IFERROR(VLOOKUP(C35&amp;'H.A. Dynamic Split'!$C$13,'Flat Base'!A2:C2730,3,0),"")</f>
        <v/>
      </c>
      <c r="F35" s="33" t="str">
        <f>IFERROR(HYPERLINK(VLOOKUP(C35,'Flat Base'!F:H,3,0),"SIG TOOLS"),"")</f>
        <v/>
      </c>
      <c r="G35" s="33" t="str">
        <f>IFERROR(HYPERLINK(VLOOKUP(C35,'Flat Base'!F:I,4,0),"SITE MAP"),"")</f>
        <v/>
      </c>
      <c r="S35"/>
      <c r="T35" s="11"/>
      <c r="U35" s="11"/>
      <c r="V35"/>
      <c r="W35" s="11"/>
      <c r="X35" s="11"/>
    </row>
    <row r="36" spans="2:24" ht="18.75" x14ac:dyDescent="0.3">
      <c r="B36"/>
      <c r="C36"/>
      <c r="D36"/>
      <c r="E36" s="13" t="str">
        <f>IFERROR(VLOOKUP(C36&amp;'H.A. Dynamic Split'!$C$13,'Flat Base'!A2:C2730,3,0),"")</f>
        <v/>
      </c>
      <c r="F36" s="33" t="str">
        <f>IFERROR(HYPERLINK(VLOOKUP(C36,'Flat Base'!F:H,3,0),"SIG TOOLS"),"")</f>
        <v/>
      </c>
      <c r="G36" s="33" t="str">
        <f>IFERROR(HYPERLINK(VLOOKUP(C36,'Flat Base'!F:I,4,0),"SITE MAP"),"")</f>
        <v/>
      </c>
      <c r="S36"/>
      <c r="T36" s="11"/>
      <c r="U36" s="11"/>
      <c r="V36"/>
      <c r="W36" s="11"/>
      <c r="X36" s="11"/>
    </row>
    <row r="37" spans="2:24" ht="18.75" x14ac:dyDescent="0.3">
      <c r="B37"/>
      <c r="C37"/>
      <c r="D37"/>
      <c r="E37" s="13" t="str">
        <f>IFERROR(VLOOKUP(C37&amp;'H.A. Dynamic Split'!$C$13,'Flat Base'!A2:C2730,3,0),"")</f>
        <v/>
      </c>
      <c r="F37" s="33" t="str">
        <f>IFERROR(HYPERLINK(VLOOKUP(C37,'Flat Base'!F:H,3,0),"SIG TOOLS"),"")</f>
        <v/>
      </c>
      <c r="G37" s="33" t="str">
        <f>IFERROR(HYPERLINK(VLOOKUP(C37,'Flat Base'!F:I,4,0),"SITE MAP"),"")</f>
        <v/>
      </c>
      <c r="S37"/>
      <c r="T37" s="11"/>
      <c r="U37" s="11"/>
      <c r="V37"/>
      <c r="W37" s="11"/>
      <c r="X37" s="11"/>
    </row>
    <row r="38" spans="2:24" ht="18.75" x14ac:dyDescent="0.3">
      <c r="B38"/>
      <c r="C38"/>
      <c r="D38"/>
      <c r="E38" s="13" t="str">
        <f>IFERROR(VLOOKUP(C38&amp;'H.A. Dynamic Split'!$C$13,'Flat Base'!A2:C2730,3,0),"")</f>
        <v/>
      </c>
      <c r="F38" s="33" t="str">
        <f>IFERROR(HYPERLINK(VLOOKUP(C38,'Flat Base'!F:H,3,0),"SIG TOOLS"),"")</f>
        <v/>
      </c>
      <c r="G38" s="33" t="str">
        <f>IFERROR(HYPERLINK(VLOOKUP(C38,'Flat Base'!F:I,4,0),"SITE MAP"),"")</f>
        <v/>
      </c>
      <c r="S38"/>
      <c r="T38" s="11"/>
      <c r="U38" s="11"/>
      <c r="V38"/>
      <c r="W38" s="11"/>
      <c r="X38" s="11"/>
    </row>
    <row r="39" spans="2:24" ht="18.75" x14ac:dyDescent="0.3">
      <c r="B39"/>
      <c r="C39"/>
      <c r="D39"/>
      <c r="E39" s="5" t="str">
        <f>IFERROR(VLOOKUP(C39&amp;'H.A. Dynamic Split'!$C$13,'Flat Base'!A2:C2730,3,0),"")</f>
        <v/>
      </c>
      <c r="F39" s="12" t="str">
        <f>IFERROR(HYPERLINK(VLOOKUP(C39,'Flat Base'!F:H,3,0),"SIG TOOLS"),"")</f>
        <v/>
      </c>
      <c r="G39" s="12" t="str">
        <f>IFERROR(HYPERLINK(VLOOKUP(C39,'Flat Base'!F:I,4,0),"SITE MAP"),"")</f>
        <v/>
      </c>
      <c r="S39"/>
      <c r="T39" s="11"/>
      <c r="U39" s="11"/>
      <c r="V39"/>
      <c r="W39" s="11"/>
      <c r="X39" s="11"/>
    </row>
    <row r="40" spans="2:24" ht="18.75" x14ac:dyDescent="0.3">
      <c r="B40"/>
      <c r="C40"/>
      <c r="D40"/>
      <c r="E40" t="str">
        <f>IFERROR(VLOOKUP(C40&amp;'H.A. Dynamic Split'!$C$13,'Flat Base'!A2:C2730,3,0),"")</f>
        <v/>
      </c>
      <c r="F40" s="12" t="str">
        <f>IFERROR(HYPERLINK(VLOOKUP(C40,'Flat Base'!F:H,3,0),"SIG TOOLS"),"")</f>
        <v/>
      </c>
      <c r="G40" s="12" t="str">
        <f>IFERROR(HYPERLINK(VLOOKUP(C40,'Flat Base'!F:I,4,0),"SITE MAP"),"")</f>
        <v/>
      </c>
      <c r="S40"/>
      <c r="T40" s="11"/>
      <c r="U40" s="11"/>
      <c r="V40"/>
      <c r="W40" s="11"/>
      <c r="X40" s="11"/>
    </row>
    <row r="41" spans="2:24" ht="18.75" x14ac:dyDescent="0.3">
      <c r="B41"/>
      <c r="C41"/>
      <c r="D41"/>
      <c r="E41"/>
      <c r="F41" s="12" t="str">
        <f>IFERROR(HYPERLINK(VLOOKUP(C41,'Flat Base'!F:H,3,0),"SIG TOOLS"),"")</f>
        <v/>
      </c>
      <c r="G41" s="12" t="str">
        <f>IFERROR(HYPERLINK(VLOOKUP(C41,'Flat Base'!F:I,4,0),"SITE MAP"),"")</f>
        <v/>
      </c>
      <c r="S41"/>
      <c r="T41" s="11"/>
      <c r="U41" s="11"/>
      <c r="V41"/>
      <c r="W41" s="11"/>
      <c r="X41" s="11"/>
    </row>
    <row r="42" spans="2:24" ht="18.75" x14ac:dyDescent="0.3">
      <c r="B42"/>
      <c r="C42"/>
      <c r="D42"/>
      <c r="E42"/>
      <c r="F42" s="12" t="str">
        <f>IFERROR(HYPERLINK(VLOOKUP(C42,'Flat Base'!F:H,3,0),"SIG TOOLS"),"")</f>
        <v/>
      </c>
      <c r="G42" s="12" t="str">
        <f>IFERROR(HYPERLINK(VLOOKUP(C42,'Flat Base'!F:I,4,0),"SITE MAP"),"")</f>
        <v/>
      </c>
      <c r="S42"/>
      <c r="T42" s="11"/>
      <c r="U42" s="11"/>
      <c r="V42"/>
      <c r="W42" s="11"/>
      <c r="X42" s="11"/>
    </row>
    <row r="43" spans="2:24" ht="18.75" x14ac:dyDescent="0.3">
      <c r="B43"/>
      <c r="C43"/>
      <c r="D43"/>
      <c r="E43"/>
      <c r="F43" s="12" t="str">
        <f>IFERROR(HYPERLINK(VLOOKUP(C43,'Flat Base'!F:H,3,0),"SIG TOOLS"),"")</f>
        <v/>
      </c>
      <c r="G43" s="12" t="str">
        <f>IFERROR(HYPERLINK(VLOOKUP(C43,'Flat Base'!F:I,4,0),"SITE MAP"),"")</f>
        <v/>
      </c>
      <c r="S43"/>
      <c r="T43" s="11"/>
      <c r="U43" s="11"/>
      <c r="V43"/>
      <c r="W43" s="11"/>
      <c r="X43" s="11"/>
    </row>
    <row r="44" spans="2:24" ht="18.75" x14ac:dyDescent="0.3">
      <c r="B44"/>
      <c r="C44"/>
      <c r="D44"/>
      <c r="E44"/>
      <c r="F44" s="12" t="str">
        <f>IFERROR(HYPERLINK(VLOOKUP(C44,'Flat Base'!F:H,3,0),"SIG TOOLS"),"")</f>
        <v/>
      </c>
      <c r="G44" s="12" t="str">
        <f>IFERROR(HYPERLINK(VLOOKUP(C44,'Flat Base'!F:I,4,0),"SITE MAP"),"")</f>
        <v/>
      </c>
      <c r="S44"/>
      <c r="T44" s="11"/>
      <c r="U44" s="11"/>
      <c r="V44"/>
      <c r="W44" s="11"/>
      <c r="X44" s="11"/>
    </row>
    <row r="45" spans="2:24" ht="18.75" x14ac:dyDescent="0.3">
      <c r="B45"/>
      <c r="C45"/>
      <c r="D45"/>
      <c r="E45"/>
      <c r="F45" s="12" t="str">
        <f>IFERROR(HYPERLINK(VLOOKUP(C45,'Flat Base'!F:H,3,0),"SIG TOOLS"),"")</f>
        <v/>
      </c>
      <c r="G45" s="12" t="str">
        <f>IFERROR(HYPERLINK(VLOOKUP(C45,'Flat Base'!F:I,4,0),"SITE MAP"),"")</f>
        <v/>
      </c>
      <c r="S45"/>
      <c r="T45" s="11"/>
      <c r="U45" s="11"/>
      <c r="V45"/>
      <c r="W45" s="11"/>
      <c r="X45" s="11"/>
    </row>
    <row r="46" spans="2:24" ht="18.75" hidden="1" x14ac:dyDescent="0.3">
      <c r="B46"/>
      <c r="C46"/>
      <c r="D46"/>
      <c r="E46"/>
      <c r="F46" s="12" t="str">
        <f>IFERROR(HYPERLINK(VLOOKUP(C46,'Flat Base'!F:H,3,0),"SIG TOOLS"),"")</f>
        <v/>
      </c>
      <c r="G46" s="12" t="str">
        <f>IFERROR(HYPERLINK(VLOOKUP(C46,'Flat Base'!F:I,4,0),"SITE MAP"),"")</f>
        <v/>
      </c>
      <c r="S46"/>
      <c r="T46" s="11"/>
      <c r="U46" s="11"/>
      <c r="V46"/>
      <c r="W46" s="11"/>
      <c r="X46" s="11"/>
    </row>
    <row r="47" spans="2:24" ht="18.75" hidden="1" x14ac:dyDescent="0.3">
      <c r="B47"/>
      <c r="C47"/>
      <c r="D47"/>
      <c r="E47"/>
      <c r="F47" s="12" t="str">
        <f>IFERROR(HYPERLINK(VLOOKUP(C47,'Flat Base'!F:H,3,0),"SIG TOOLS"),"")</f>
        <v/>
      </c>
      <c r="G47" s="12" t="str">
        <f>IFERROR(HYPERLINK(VLOOKUP(C47,'Flat Base'!F:I,4,0),"SITE MAP"),"")</f>
        <v/>
      </c>
      <c r="S47"/>
      <c r="T47" s="11"/>
      <c r="U47" s="11"/>
      <c r="V47"/>
      <c r="W47" s="11"/>
      <c r="X47" s="11"/>
    </row>
    <row r="48" spans="2:24" ht="18.75" hidden="1" x14ac:dyDescent="0.3">
      <c r="B48"/>
      <c r="C48"/>
      <c r="D48"/>
      <c r="E48"/>
      <c r="F48" s="12" t="str">
        <f>IFERROR(HYPERLINK(VLOOKUP(C48,'Flat Base'!F:H,3,0),"SIG TOOLS"),"")</f>
        <v/>
      </c>
      <c r="G48" s="12" t="str">
        <f>IFERROR(HYPERLINK(VLOOKUP(C48,'Flat Base'!F:I,4,0),"SITE MAP"),"")</f>
        <v/>
      </c>
      <c r="S48"/>
      <c r="T48" s="11"/>
      <c r="U48" s="11"/>
      <c r="V48"/>
      <c r="W48" s="11"/>
      <c r="X48" s="11"/>
    </row>
    <row r="49" spans="2:24" ht="18.75" hidden="1" x14ac:dyDescent="0.3">
      <c r="B49"/>
      <c r="C49"/>
      <c r="D49"/>
      <c r="E49"/>
      <c r="F49" s="12" t="str">
        <f>IFERROR(HYPERLINK(VLOOKUP(C49,'Flat Base'!F:H,3,0),"SIG TOOLS"),"")</f>
        <v/>
      </c>
      <c r="G49" s="12" t="str">
        <f>IFERROR(HYPERLINK(VLOOKUP(C49,'Flat Base'!F:I,4,0),"SITE MAP"),"")</f>
        <v/>
      </c>
      <c r="S49"/>
      <c r="T49" s="11"/>
      <c r="U49" s="11"/>
      <c r="V49"/>
      <c r="W49" s="11"/>
      <c r="X49" s="11"/>
    </row>
    <row r="50" spans="2:24" ht="18.75" hidden="1" x14ac:dyDescent="0.3">
      <c r="B50"/>
      <c r="C50"/>
      <c r="D50"/>
      <c r="E50"/>
      <c r="F50" s="12" t="str">
        <f>IFERROR(HYPERLINK(VLOOKUP(C50,'Flat Base'!F:H,3,0),"SIG TOOLS"),"")</f>
        <v/>
      </c>
      <c r="G50" s="12" t="str">
        <f>IFERROR(HYPERLINK(VLOOKUP(C50,'Flat Base'!F:I,4,0),"SITE MAP"),"")</f>
        <v/>
      </c>
      <c r="S50"/>
      <c r="T50" s="11"/>
      <c r="U50" s="11"/>
      <c r="V50"/>
      <c r="W50" s="11"/>
      <c r="X50" s="11"/>
    </row>
    <row r="51" spans="2:24" ht="18.75" hidden="1" x14ac:dyDescent="0.3">
      <c r="B51"/>
      <c r="C51"/>
      <c r="D51"/>
      <c r="E51"/>
      <c r="F51" s="12" t="str">
        <f>IFERROR(HYPERLINK(VLOOKUP(C51,'Flat Base'!F:H,3,0),"SIG TOOLS"),"")</f>
        <v/>
      </c>
      <c r="G51" s="12" t="str">
        <f>IFERROR(HYPERLINK(VLOOKUP(C51,'Flat Base'!F:I,4,0),"SITE MAP"),"")</f>
        <v/>
      </c>
      <c r="S51"/>
      <c r="T51" s="11"/>
      <c r="U51" s="11"/>
      <c r="V51"/>
      <c r="W51" s="11"/>
      <c r="X51" s="11"/>
    </row>
    <row r="52" spans="2:24" ht="18.75" hidden="1" x14ac:dyDescent="0.3">
      <c r="B52"/>
      <c r="C52"/>
      <c r="D52"/>
      <c r="E52"/>
      <c r="F52" s="12" t="str">
        <f>IFERROR(HYPERLINK(VLOOKUP(C52,'Flat Base'!F:H,3,0),"SIG TOOLS"),"")</f>
        <v/>
      </c>
      <c r="G52" s="12" t="str">
        <f>IFERROR(HYPERLINK(VLOOKUP(C52,'Flat Base'!F:I,4,0),"SITE MAP"),"")</f>
        <v/>
      </c>
      <c r="S52"/>
      <c r="T52" s="11"/>
      <c r="U52" s="11"/>
      <c r="V52"/>
      <c r="W52" s="11"/>
      <c r="X52" s="11"/>
    </row>
    <row r="53" spans="2:24" ht="18.75" hidden="1" x14ac:dyDescent="0.3">
      <c r="B53"/>
      <c r="C53"/>
      <c r="D53"/>
      <c r="E53"/>
      <c r="F53" s="12" t="str">
        <f>IFERROR(HYPERLINK(VLOOKUP(C53,'Flat Base'!F:H,3,0),"SIG TOOLS"),"")</f>
        <v/>
      </c>
      <c r="G53" s="12" t="str">
        <f>IFERROR(HYPERLINK(VLOOKUP(C53,'Flat Base'!F:I,4,0),"SITE MAP"),"")</f>
        <v/>
      </c>
      <c r="S53"/>
      <c r="T53" s="11"/>
      <c r="U53" s="11"/>
      <c r="V53"/>
      <c r="W53" s="11"/>
      <c r="X53" s="11"/>
    </row>
    <row r="54" spans="2:24" ht="18.75" hidden="1" x14ac:dyDescent="0.3">
      <c r="B54"/>
      <c r="C54"/>
      <c r="D54"/>
      <c r="E54"/>
      <c r="F54" s="12" t="str">
        <f>IFERROR(HYPERLINK(VLOOKUP(C54,'Flat Base'!F:H,3,0),"SIG TOOLS"),"")</f>
        <v/>
      </c>
      <c r="G54" s="12" t="str">
        <f>IFERROR(HYPERLINK(VLOOKUP(C54,'Flat Base'!F:I,4,0),"SITE MAP"),"")</f>
        <v/>
      </c>
      <c r="S54"/>
      <c r="T54" s="11"/>
      <c r="U54" s="11"/>
      <c r="V54"/>
      <c r="W54" s="11"/>
      <c r="X54" s="11"/>
    </row>
    <row r="55" spans="2:24" ht="18.75" hidden="1" x14ac:dyDescent="0.3">
      <c r="B55"/>
      <c r="C55"/>
      <c r="D55"/>
      <c r="E55"/>
      <c r="F55" s="12" t="str">
        <f>IFERROR(HYPERLINK(VLOOKUP(C55,'Flat Base'!F:H,3,0),"SIG TOOLS"),"")</f>
        <v/>
      </c>
      <c r="G55" s="12" t="str">
        <f>IFERROR(HYPERLINK(VLOOKUP(C55,'Flat Base'!F:I,4,0),"SITE MAP"),"")</f>
        <v/>
      </c>
      <c r="S55"/>
      <c r="T55" s="11"/>
      <c r="U55" s="11"/>
      <c r="V55"/>
      <c r="W55" s="11"/>
      <c r="X55" s="11"/>
    </row>
    <row r="56" spans="2:24" ht="18.75" hidden="1" x14ac:dyDescent="0.3">
      <c r="B56"/>
      <c r="C56"/>
      <c r="D56"/>
      <c r="E56"/>
      <c r="F56" s="12" t="str">
        <f>IFERROR(HYPERLINK(VLOOKUP(C56,'Flat Base'!F:H,3,0),"SIG TOOLS"),"")</f>
        <v/>
      </c>
      <c r="G56" s="12" t="str">
        <f>IFERROR(HYPERLINK(VLOOKUP(C56,'Flat Base'!F:I,4,0),"SITE MAP"),"")</f>
        <v/>
      </c>
      <c r="S56"/>
      <c r="T56" s="11"/>
      <c r="U56" s="11"/>
      <c r="V56"/>
      <c r="W56" s="11"/>
      <c r="X56" s="11"/>
    </row>
    <row r="57" spans="2:24" ht="18.75" hidden="1" x14ac:dyDescent="0.3">
      <c r="B57"/>
      <c r="C57"/>
      <c r="D57"/>
      <c r="E57"/>
      <c r="F57" s="12" t="str">
        <f>IFERROR(HYPERLINK(VLOOKUP(C57,'Flat Base'!F:H,3,0),"SIG TOOLS"),"")</f>
        <v/>
      </c>
      <c r="G57" s="12" t="str">
        <f>IFERROR(HYPERLINK(VLOOKUP(C57,'Flat Base'!F:I,4,0),"SITE MAP"),"")</f>
        <v/>
      </c>
      <c r="S57"/>
      <c r="T57" s="11"/>
      <c r="U57" s="11"/>
      <c r="V57"/>
      <c r="W57" s="11"/>
      <c r="X57" s="11"/>
    </row>
    <row r="58" spans="2:24" ht="18.75" hidden="1" x14ac:dyDescent="0.3">
      <c r="B58"/>
      <c r="C58"/>
      <c r="D58"/>
      <c r="E58"/>
      <c r="F58" s="12" t="str">
        <f>IFERROR(HYPERLINK(VLOOKUP(C58,'Flat Base'!F:H,3,0),"SIG TOOLS"),"")</f>
        <v/>
      </c>
      <c r="G58" s="12" t="str">
        <f>IFERROR(HYPERLINK(VLOOKUP(C58,'Flat Base'!F:I,4,0),"SITE MAP"),"")</f>
        <v/>
      </c>
      <c r="S58"/>
      <c r="T58" s="11"/>
      <c r="U58" s="11"/>
      <c r="V58"/>
      <c r="W58" s="11"/>
      <c r="X58" s="11"/>
    </row>
    <row r="59" spans="2:24" ht="18.75" hidden="1" x14ac:dyDescent="0.3">
      <c r="B59"/>
      <c r="C59"/>
      <c r="D59"/>
      <c r="E59"/>
      <c r="F59" s="12" t="str">
        <f>IFERROR(HYPERLINK(VLOOKUP(C59,'Flat Base'!F:H,3,0),"SIG TOOLS"),"")</f>
        <v/>
      </c>
      <c r="G59" s="12" t="str">
        <f>IFERROR(HYPERLINK(VLOOKUP(C59,'Flat Base'!F:I,4,0),"SITE MAP"),"")</f>
        <v/>
      </c>
      <c r="S59"/>
      <c r="T59" s="11"/>
      <c r="U59" s="11"/>
      <c r="V59"/>
      <c r="W59" s="11"/>
      <c r="X59" s="11"/>
    </row>
    <row r="60" spans="2:24" ht="18.75" hidden="1" x14ac:dyDescent="0.3">
      <c r="B60"/>
      <c r="C60"/>
      <c r="D60"/>
      <c r="E60"/>
      <c r="F60" s="12" t="str">
        <f>IFERROR(HYPERLINK(VLOOKUP(C60,'Flat Base'!F:H,3,0),"SIG TOOLS"),"")</f>
        <v/>
      </c>
      <c r="G60" s="12" t="str">
        <f>IFERROR(HYPERLINK(VLOOKUP(C60,'Flat Base'!F:I,4,0),"SITE MAP"),"")</f>
        <v/>
      </c>
      <c r="S60"/>
      <c r="T60" s="11"/>
      <c r="U60" s="11"/>
      <c r="V60"/>
      <c r="W60" s="11"/>
      <c r="X60" s="11"/>
    </row>
    <row r="61" spans="2:24" ht="18.75" hidden="1" x14ac:dyDescent="0.3">
      <c r="B61"/>
      <c r="C61"/>
      <c r="D61"/>
      <c r="E61"/>
      <c r="F61" s="12" t="str">
        <f>IFERROR(HYPERLINK(VLOOKUP(C61,'Flat Base'!F:H,3,0),"SIG TOOLS"),"")</f>
        <v/>
      </c>
      <c r="G61" s="12" t="str">
        <f>IFERROR(HYPERLINK(VLOOKUP(C61,'Flat Base'!F:I,4,0),"SITE MAP"),"")</f>
        <v/>
      </c>
      <c r="S61"/>
      <c r="T61" s="11"/>
      <c r="U61" s="11"/>
      <c r="V61"/>
      <c r="W61" s="11"/>
      <c r="X61" s="11"/>
    </row>
    <row r="62" spans="2:24" ht="18.75" hidden="1" x14ac:dyDescent="0.3">
      <c r="B62"/>
      <c r="C62"/>
      <c r="D62"/>
      <c r="E62"/>
      <c r="F62" s="12" t="str">
        <f>IFERROR(HYPERLINK(VLOOKUP(C62,'Flat Base'!F:H,3,0),"SIG TOOLS"),"")</f>
        <v/>
      </c>
      <c r="G62" s="12" t="str">
        <f>IFERROR(HYPERLINK(VLOOKUP(C62,'Flat Base'!F:I,4,0),"SITE MAP"),"")</f>
        <v/>
      </c>
      <c r="S62"/>
      <c r="T62" s="11"/>
      <c r="U62" s="11"/>
      <c r="V62"/>
      <c r="W62" s="11"/>
      <c r="X62" s="11"/>
    </row>
    <row r="63" spans="2:24" ht="18.75" hidden="1" x14ac:dyDescent="0.3">
      <c r="B63"/>
      <c r="C63"/>
      <c r="D63"/>
      <c r="E63"/>
      <c r="F63" s="12" t="str">
        <f>IFERROR(HYPERLINK(VLOOKUP(C63,'Flat Base'!F:H,3,0),"SIG TOOLS"),"")</f>
        <v/>
      </c>
      <c r="G63" s="12" t="str">
        <f>IFERROR(HYPERLINK(VLOOKUP(C63,'Flat Base'!F:I,4,0),"SITE MAP"),"")</f>
        <v/>
      </c>
      <c r="S63"/>
      <c r="T63" s="11"/>
      <c r="U63" s="11"/>
      <c r="V63"/>
      <c r="W63" s="11"/>
      <c r="X63" s="11"/>
    </row>
    <row r="64" spans="2:24" ht="18.75" hidden="1" x14ac:dyDescent="0.3">
      <c r="B64"/>
      <c r="C64"/>
      <c r="D64"/>
      <c r="E64"/>
      <c r="F64" s="12" t="str">
        <f>IFERROR(HYPERLINK(VLOOKUP(C64,'Flat Base'!F:H,3,0),"SIG TOOLS"),"")</f>
        <v/>
      </c>
      <c r="G64" s="12" t="str">
        <f>IFERROR(HYPERLINK(VLOOKUP(C64,'Flat Base'!F:I,4,0),"SITE MAP"),"")</f>
        <v/>
      </c>
      <c r="S64"/>
      <c r="T64" s="11"/>
      <c r="U64" s="11"/>
      <c r="V64"/>
      <c r="W64" s="11"/>
      <c r="X64" s="11"/>
    </row>
    <row r="65" spans="2:24" ht="18.75" hidden="1" x14ac:dyDescent="0.3">
      <c r="B65"/>
      <c r="C65"/>
      <c r="D65"/>
      <c r="E65"/>
      <c r="F65" s="12" t="str">
        <f>IFERROR(HYPERLINK(VLOOKUP(C65,'Flat Base'!F:H,3,0),"SIG TOOLS"),"")</f>
        <v/>
      </c>
      <c r="G65" s="12" t="str">
        <f>IFERROR(HYPERLINK(VLOOKUP(C65,'Flat Base'!F:I,4,0),"SITE MAP"),"")</f>
        <v/>
      </c>
      <c r="S65"/>
      <c r="T65" s="11"/>
      <c r="U65" s="11"/>
      <c r="V65"/>
      <c r="W65" s="11"/>
      <c r="X65" s="11"/>
    </row>
    <row r="66" spans="2:24" ht="18.75" hidden="1" x14ac:dyDescent="0.3">
      <c r="B66"/>
      <c r="C66"/>
      <c r="D66"/>
      <c r="E66"/>
      <c r="F66" s="12" t="str">
        <f>IFERROR(HYPERLINK(VLOOKUP(C66,'Flat Base'!F:H,3,0),"SIG TOOLS"),"")</f>
        <v/>
      </c>
      <c r="G66" s="12" t="str">
        <f>IFERROR(HYPERLINK(VLOOKUP(C66,'Flat Base'!F:I,4,0),"SITE MAP"),"")</f>
        <v/>
      </c>
      <c r="S66"/>
      <c r="T66" s="11"/>
      <c r="U66" s="11"/>
      <c r="V66"/>
      <c r="W66" s="11"/>
      <c r="X66" s="11"/>
    </row>
    <row r="67" spans="2:24" ht="18.75" hidden="1" x14ac:dyDescent="0.3">
      <c r="B67"/>
      <c r="C67"/>
      <c r="D67"/>
      <c r="E67"/>
      <c r="F67" s="12" t="str">
        <f>IFERROR(HYPERLINK(VLOOKUP(C67,'Flat Base'!F:H,3,0),"SIG TOOLS"),"")</f>
        <v/>
      </c>
      <c r="G67" s="12" t="str">
        <f>IFERROR(HYPERLINK(VLOOKUP(C67,'Flat Base'!F:I,4,0),"SITE MAP"),"")</f>
        <v/>
      </c>
      <c r="S67"/>
      <c r="T67" s="11"/>
      <c r="U67" s="11"/>
      <c r="V67"/>
      <c r="W67" s="11"/>
      <c r="X67" s="11"/>
    </row>
    <row r="68" spans="2:24" ht="18.75" hidden="1" x14ac:dyDescent="0.3">
      <c r="B68"/>
      <c r="C68"/>
      <c r="D68"/>
      <c r="E68"/>
      <c r="F68" s="12" t="str">
        <f>IFERROR(HYPERLINK(VLOOKUP(C68,'Flat Base'!F:H,3,0),"SIG TOOLS"),"")</f>
        <v/>
      </c>
      <c r="G68" s="12" t="str">
        <f>IFERROR(HYPERLINK(VLOOKUP(C68,'Flat Base'!F:I,4,0),"SITE MAP"),"")</f>
        <v/>
      </c>
      <c r="S68"/>
      <c r="T68" s="11"/>
      <c r="U68" s="11"/>
      <c r="V68"/>
      <c r="W68" s="11"/>
      <c r="X68" s="11"/>
    </row>
    <row r="69" spans="2:24" ht="18.75" hidden="1" x14ac:dyDescent="0.3">
      <c r="B69"/>
      <c r="C69"/>
      <c r="D69"/>
      <c r="E69"/>
      <c r="F69" s="12" t="str">
        <f>IFERROR(HYPERLINK(VLOOKUP(C69,'Flat Base'!F:H,3,0),"SIG TOOLS"),"")</f>
        <v/>
      </c>
      <c r="G69" s="12" t="str">
        <f>IFERROR(HYPERLINK(VLOOKUP(C69,'Flat Base'!F:I,4,0),"SITE MAP"),"")</f>
        <v/>
      </c>
      <c r="S69"/>
      <c r="T69" s="11"/>
      <c r="U69" s="11"/>
      <c r="V69"/>
      <c r="W69" s="11"/>
      <c r="X69" s="11"/>
    </row>
    <row r="70" spans="2:24" ht="18.75" hidden="1" x14ac:dyDescent="0.3">
      <c r="B70"/>
      <c r="C70"/>
      <c r="D70"/>
      <c r="E70"/>
      <c r="F70" s="12" t="str">
        <f>IFERROR(HYPERLINK(VLOOKUP(C70,'Flat Base'!F:H,3,0),"SIG TOOLS"),"")</f>
        <v/>
      </c>
      <c r="G70" s="12" t="str">
        <f>IFERROR(HYPERLINK(VLOOKUP(C70,'Flat Base'!F:I,4,0),"SITE MAP"),"")</f>
        <v/>
      </c>
      <c r="S70"/>
      <c r="T70" s="11"/>
      <c r="U70" s="11"/>
      <c r="V70"/>
      <c r="W70" s="11"/>
      <c r="X70" s="11"/>
    </row>
    <row r="71" spans="2:24" ht="18.75" hidden="1" x14ac:dyDescent="0.3">
      <c r="B71"/>
      <c r="C71"/>
      <c r="D71"/>
      <c r="E71"/>
      <c r="F71" s="12" t="str">
        <f>IFERROR(HYPERLINK(VLOOKUP(C71,'Flat Base'!F:H,3,0),"SIG TOOLS"),"")</f>
        <v/>
      </c>
      <c r="G71" s="12" t="str">
        <f>IFERROR(HYPERLINK(VLOOKUP(C71,'Flat Base'!F:I,4,0),"SITE MAP"),"")</f>
        <v/>
      </c>
      <c r="S71"/>
      <c r="T71" s="11"/>
      <c r="U71" s="11"/>
      <c r="V71"/>
      <c r="W71" s="11"/>
      <c r="X71" s="11"/>
    </row>
    <row r="72" spans="2:24" ht="18.75" hidden="1" x14ac:dyDescent="0.3">
      <c r="B72"/>
      <c r="C72"/>
      <c r="D72"/>
      <c r="E72"/>
      <c r="F72" s="12" t="str">
        <f>IFERROR(HYPERLINK(VLOOKUP(C72,'Flat Base'!F:H,3,0),"SIG TOOLS"),"")</f>
        <v/>
      </c>
      <c r="G72" s="12" t="str">
        <f>IFERROR(HYPERLINK(VLOOKUP(C72,'Flat Base'!F:I,4,0),"SITE MAP"),"")</f>
        <v/>
      </c>
      <c r="S72"/>
      <c r="T72" s="11"/>
      <c r="U72" s="11"/>
      <c r="V72"/>
      <c r="W72" s="11"/>
      <c r="X72" s="11"/>
    </row>
    <row r="73" spans="2:24" ht="18.75" hidden="1" x14ac:dyDescent="0.3">
      <c r="B73"/>
      <c r="C73"/>
      <c r="D73"/>
      <c r="E73"/>
      <c r="F73"/>
      <c r="G73" s="5"/>
      <c r="S73"/>
      <c r="T73" s="11"/>
      <c r="U73" s="11"/>
      <c r="V73"/>
      <c r="W73" s="11"/>
      <c r="X73" s="11"/>
    </row>
    <row r="74" spans="2:24" ht="18.75" hidden="1" x14ac:dyDescent="0.3">
      <c r="B74"/>
      <c r="C74"/>
      <c r="D74"/>
      <c r="E74"/>
      <c r="F74"/>
      <c r="G74" s="5"/>
      <c r="S74"/>
      <c r="T74" s="11"/>
      <c r="U74" s="11"/>
      <c r="V74"/>
      <c r="W74" s="11"/>
      <c r="X74" s="11"/>
    </row>
    <row r="75" spans="2:24" ht="18.75" hidden="1" x14ac:dyDescent="0.3">
      <c r="B75"/>
      <c r="C75"/>
      <c r="D75"/>
      <c r="E75"/>
      <c r="F75"/>
      <c r="G75" s="5"/>
      <c r="S75"/>
      <c r="T75" s="11"/>
      <c r="U75" s="11"/>
      <c r="V75"/>
      <c r="W75" s="11"/>
      <c r="X75" s="11"/>
    </row>
    <row r="76" spans="2:24" ht="18.75" hidden="1" x14ac:dyDescent="0.3">
      <c r="B76"/>
      <c r="C76"/>
      <c r="D76"/>
      <c r="E76"/>
      <c r="F76"/>
      <c r="G76" s="5"/>
      <c r="S76"/>
      <c r="T76" s="11"/>
      <c r="U76" s="11"/>
      <c r="V76"/>
      <c r="W76" s="11"/>
      <c r="X76" s="11"/>
    </row>
    <row r="499" spans="5:5" hidden="1" x14ac:dyDescent="0.25">
      <c r="E499" t="str">
        <f>IFERROR(VLOOKUP(C499&amp;'H.A. Dynamic Split'!$C$13,'Flat Base'!A2:C2730,3,0),"")</f>
        <v/>
      </c>
    </row>
    <row r="500" spans="5:5" hidden="1" x14ac:dyDescent="0.25">
      <c r="E500" t="str">
        <f>IFERROR(VLOOKUP(C500&amp;'H.A. Dynamic Split'!$C$13,'Flat Base'!A2:C2730,3,0),"")</f>
        <v/>
      </c>
    </row>
    <row r="501" spans="5:5" hidden="1" x14ac:dyDescent="0.25">
      <c r="E501" t="str">
        <f>IFERROR(VLOOKUP(C501&amp;'H.A. Dynamic Split'!$C$13,'Flat Base'!A2:C2730,3,0),"")</f>
        <v/>
      </c>
    </row>
  </sheetData>
  <sheetProtection formatCells="0" formatColumns="0" autoFilter="0" pivotTables="0"/>
  <autoFilter ref="A15:M501" xr:uid="{00000000-0001-0000-0000-000000000000}">
    <filterColumn colId="5" showButton="0"/>
  </autoFilter>
  <mergeCells count="3">
    <mergeCell ref="A1:C1"/>
    <mergeCell ref="F15:G15"/>
    <mergeCell ref="G5:G6"/>
  </mergeCells>
  <conditionalFormatting sqref="C16:C19">
    <cfRule type="expression" dxfId="5213" priority="17">
      <formula>$C$16</formula>
    </cfRule>
  </conditionalFormatting>
  <conditionalFormatting sqref="C16:C6288 T33:X239">
    <cfRule type="endsWith" dxfId="5212" priority="29" operator="endsWith" text="(NO TOURS)">
      <formula>RIGHT(C16,LEN("(NO TOURS)"))="(NO TOURS)"</formula>
    </cfRule>
  </conditionalFormatting>
  <conditionalFormatting sqref="G11 G36:G6288">
    <cfRule type="cellIs" dxfId="5211" priority="46" operator="equal">
      <formula>"Log Out"</formula>
    </cfRule>
  </conditionalFormatting>
  <conditionalFormatting sqref="J16:J35">
    <cfRule type="endsWith" dxfId="5210" priority="4" operator="endsWith" text="(NO SPEAKERS)">
      <formula>RIGHT(J16,LEN("(NO SPEAKERS)"))="(NO SPEAKERS)"</formula>
    </cfRule>
    <cfRule type="endsWith" dxfId="5209" priority="5" operator="endsWith" text="(NO TOURS)">
      <formula>RIGHT(J16,LEN("(NO TOURS)"))="(NO TOURS)"</formula>
    </cfRule>
  </conditionalFormatting>
  <conditionalFormatting sqref="Q33:Q242 Q243:R246 Q247:S312">
    <cfRule type="endsWith" dxfId="5208" priority="18" operator="endsWith" text="(NO SPEAKERS)">
      <formula>RIGHT(Q33,LEN("(NO SPEAKERS)"))="(NO SPEAKERS)"</formula>
    </cfRule>
    <cfRule type="endsWith" dxfId="5207" priority="19" operator="endsWith" text="(NO TOURS)">
      <formula>RIGHT(Q33,LEN("(NO TOURS)"))="(NO TOURS)"</formula>
    </cfRule>
  </conditionalFormatting>
  <conditionalFormatting sqref="T11:X11 T15:V22 U15:U28 T16:T76 T23:X239">
    <cfRule type="cellIs" dxfId="5206" priority="13" operator="equal">
      <formula>"Log In"</formula>
    </cfRule>
    <cfRule type="endsWith" dxfId="5205" priority="14" operator="endsWith" text="(NO SPEAKERS)">
      <formula>RIGHT(T11,LEN("(NO SPEAKERS)"))="(NO SPEAKERS)"</formula>
    </cfRule>
    <cfRule type="endsWith" dxfId="5204" priority="15" operator="endsWith" text="(NO TOURS)">
      <formula>RIGHT(T11,LEN("(NO TOURS)"))="(NO TOURS)"</formula>
    </cfRule>
  </conditionalFormatting>
  <conditionalFormatting sqref="T33:X72">
    <cfRule type="cellIs" dxfId="5203" priority="16" operator="equal">
      <formula>"Log In"</formula>
    </cfRule>
  </conditionalFormatting>
  <conditionalFormatting sqref="T33:X239 C16:C6288">
    <cfRule type="endsWith" dxfId="5202" priority="27" operator="endsWith" text="(NO SPEAKERS)">
      <formula>RIGHT(C16,LEN("(NO SPEAKERS)"))="(NO SPEAKERS)"</formula>
    </cfRule>
  </conditionalFormatting>
  <pageMargins left="0.7" right="0.7" top="0.75" bottom="0.75" header="0.3" footer="0.3"/>
  <pageSetup scale="29" orientation="portrait" r:id="rId8"/>
  <drawing r:id="rId9"/>
  <extLst>
    <ext xmlns:x14="http://schemas.microsoft.com/office/spreadsheetml/2009/9/main" uri="{A8765BA9-456A-4dab-B4F3-ACF838C121DE}">
      <x14:slicerList>
        <x14:slicer r:id="rId10"/>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64F1F-2084-4088-BE18-1F9B8FDC4F13}">
  <dimension ref="A16:C72"/>
  <sheetViews>
    <sheetView workbookViewId="0"/>
  </sheetViews>
  <sheetFormatPr defaultColWidth="11.5703125" defaultRowHeight="15" x14ac:dyDescent="0.25"/>
  <cols>
    <col min="1" max="1" width="51" bestFit="1" customWidth="1"/>
    <col min="3" max="3" width="51" bestFit="1" customWidth="1"/>
  </cols>
  <sheetData>
    <row r="16" spans="1:3" x14ac:dyDescent="0.25">
      <c r="A16" t="e">
        <f>+VLOOKUP('Dynamic Split'!C19,'Dynamic Split'!U:U,1,0)</f>
        <v>#N/A</v>
      </c>
      <c r="C16" t="e">
        <f>VLOOKUP('Cambio de Split'!C20,'Dynamic Split'!C:C,1,0)</f>
        <v>#N/A</v>
      </c>
    </row>
    <row r="17" spans="1:3" x14ac:dyDescent="0.25">
      <c r="A17" t="e">
        <f>+VLOOKUP('Dynamic Split'!C20,'Dynamic Split'!U:U,1,0)</f>
        <v>#N/A</v>
      </c>
      <c r="C17" t="e">
        <f>VLOOKUP('Cambio de Split'!C21,'Dynamic Split'!C:C,1,0)</f>
        <v>#N/A</v>
      </c>
    </row>
    <row r="18" spans="1:3" x14ac:dyDescent="0.25">
      <c r="A18" t="e">
        <f>+VLOOKUP('Dynamic Split'!C21,'Dynamic Split'!U:U,1,0)</f>
        <v>#N/A</v>
      </c>
      <c r="C18" t="e">
        <f>VLOOKUP('Cambio de Split'!C22,'Dynamic Split'!C:C,1,0)</f>
        <v>#N/A</v>
      </c>
    </row>
    <row r="19" spans="1:3" x14ac:dyDescent="0.25">
      <c r="A19" t="e">
        <f>+VLOOKUP('Dynamic Split'!C22,'Dynamic Split'!U:U,1,0)</f>
        <v>#N/A</v>
      </c>
      <c r="C19" t="e">
        <f>VLOOKUP('Cambio de Split'!C23,'Dynamic Split'!C:C,1,0)</f>
        <v>#N/A</v>
      </c>
    </row>
    <row r="20" spans="1:3" x14ac:dyDescent="0.25">
      <c r="A20" t="e">
        <f>+VLOOKUP('Dynamic Split'!C23,'Dynamic Split'!U:U,1,0)</f>
        <v>#N/A</v>
      </c>
      <c r="C20" t="e">
        <f>VLOOKUP('Cambio de Split'!C24,'Dynamic Split'!C:C,1,0)</f>
        <v>#N/A</v>
      </c>
    </row>
    <row r="21" spans="1:3" x14ac:dyDescent="0.25">
      <c r="A21" t="e">
        <f>+VLOOKUP('Dynamic Split'!C24,'Dynamic Split'!U:U,1,0)</f>
        <v>#N/A</v>
      </c>
      <c r="C21" t="e">
        <f>VLOOKUP('Dynamic Split'!U24,'Dynamic Split'!C:C,1,0)</f>
        <v>#N/A</v>
      </c>
    </row>
    <row r="22" spans="1:3" x14ac:dyDescent="0.25">
      <c r="A22" t="e">
        <f>+VLOOKUP('Dynamic Split'!C25,'Dynamic Split'!U:U,1,0)</f>
        <v>#N/A</v>
      </c>
      <c r="C22" t="e">
        <f>VLOOKUP('Dynamic Split'!U25,'Dynamic Split'!C:C,1,0)</f>
        <v>#N/A</v>
      </c>
    </row>
    <row r="23" spans="1:3" x14ac:dyDescent="0.25">
      <c r="A23" t="e">
        <f>+VLOOKUP('Dynamic Split'!C26,'Dynamic Split'!U:U,1,0)</f>
        <v>#N/A</v>
      </c>
      <c r="C23" t="e">
        <f>VLOOKUP('Dynamic Split'!U26,'Dynamic Split'!C:C,1,0)</f>
        <v>#N/A</v>
      </c>
    </row>
    <row r="24" spans="1:3" x14ac:dyDescent="0.25">
      <c r="A24" t="e">
        <f>+VLOOKUP('Dynamic Split'!C27,'Dynamic Split'!U:U,1,0)</f>
        <v>#N/A</v>
      </c>
      <c r="C24" t="e">
        <f>VLOOKUP('Dynamic Split'!U27,'Dynamic Split'!C:C,1,0)</f>
        <v>#N/A</v>
      </c>
    </row>
    <row r="25" spans="1:3" x14ac:dyDescent="0.25">
      <c r="A25" t="e">
        <f>+VLOOKUP('Dynamic Split'!C28,'Dynamic Split'!U:U,1,0)</f>
        <v>#N/A</v>
      </c>
      <c r="C25" t="e">
        <f>VLOOKUP('Dynamic Split'!U28,'Dynamic Split'!C:C,1,0)</f>
        <v>#N/A</v>
      </c>
    </row>
    <row r="26" spans="1:3" x14ac:dyDescent="0.25">
      <c r="A26" t="e">
        <f>+VLOOKUP('Dynamic Split'!C29,'Dynamic Split'!U:U,1,0)</f>
        <v>#N/A</v>
      </c>
      <c r="C26" t="e">
        <f>VLOOKUP('Dynamic Split'!U29,'Dynamic Split'!C:C,1,0)</f>
        <v>#N/A</v>
      </c>
    </row>
    <row r="27" spans="1:3" x14ac:dyDescent="0.25">
      <c r="A27" t="e">
        <f>+VLOOKUP('Dynamic Split'!C30,'Dynamic Split'!U:U,1,0)</f>
        <v>#N/A</v>
      </c>
      <c r="C27" t="e">
        <f>VLOOKUP('Dynamic Split'!U30,'Dynamic Split'!C:C,1,0)</f>
        <v>#N/A</v>
      </c>
    </row>
    <row r="28" spans="1:3" x14ac:dyDescent="0.25">
      <c r="A28" t="e">
        <f>+VLOOKUP('Dynamic Split'!C31,'Dynamic Split'!U:U,1,0)</f>
        <v>#N/A</v>
      </c>
      <c r="C28" t="e">
        <f>VLOOKUP('Dynamic Split'!U31,'Dynamic Split'!C:C,1,0)</f>
        <v>#N/A</v>
      </c>
    </row>
    <row r="29" spans="1:3" x14ac:dyDescent="0.25">
      <c r="A29" t="e">
        <f>+VLOOKUP('Dynamic Split'!C32,'Dynamic Split'!U:U,1,0)</f>
        <v>#N/A</v>
      </c>
      <c r="C29" t="e">
        <f>VLOOKUP('Dynamic Split'!U32,'Dynamic Split'!C:C,1,0)</f>
        <v>#N/A</v>
      </c>
    </row>
    <row r="30" spans="1:3" x14ac:dyDescent="0.25">
      <c r="A30" t="e">
        <f>+VLOOKUP('Dynamic Split'!C33,'Dynamic Split'!U:U,1,0)</f>
        <v>#N/A</v>
      </c>
      <c r="C30" t="e">
        <f>VLOOKUP('Dynamic Split'!U33,'Dynamic Split'!C:C,1,0)</f>
        <v>#N/A</v>
      </c>
    </row>
    <row r="31" spans="1:3" x14ac:dyDescent="0.25">
      <c r="A31" t="e">
        <f>+VLOOKUP('Dynamic Split'!C34,'Dynamic Split'!U:U,1,0)</f>
        <v>#N/A</v>
      </c>
      <c r="C31" t="e">
        <f>VLOOKUP('Dynamic Split'!U34,'Dynamic Split'!C:C,1,0)</f>
        <v>#N/A</v>
      </c>
    </row>
    <row r="32" spans="1:3" x14ac:dyDescent="0.25">
      <c r="A32" t="e">
        <f>+VLOOKUP('Dynamic Split'!C35,'Dynamic Split'!U:U,1,0)</f>
        <v>#N/A</v>
      </c>
      <c r="C32" t="e">
        <f>VLOOKUP('Dynamic Split'!U35,'Dynamic Split'!C:C,1,0)</f>
        <v>#N/A</v>
      </c>
    </row>
    <row r="33" spans="1:3" x14ac:dyDescent="0.25">
      <c r="A33" t="e">
        <f>+VLOOKUP('Dynamic Split'!C36,'Dynamic Split'!U:U,1,0)</f>
        <v>#N/A</v>
      </c>
      <c r="C33" t="e">
        <f>VLOOKUP('Dynamic Split'!U36,'Dynamic Split'!C:C,1,0)</f>
        <v>#N/A</v>
      </c>
    </row>
    <row r="34" spans="1:3" x14ac:dyDescent="0.25">
      <c r="A34" t="e">
        <f>+VLOOKUP('Dynamic Split'!C37,'Dynamic Split'!U:U,1,0)</f>
        <v>#N/A</v>
      </c>
      <c r="C34" t="e">
        <f>VLOOKUP('Dynamic Split'!U37,'Dynamic Split'!C:C,1,0)</f>
        <v>#N/A</v>
      </c>
    </row>
    <row r="35" spans="1:3" x14ac:dyDescent="0.25">
      <c r="A35" t="e">
        <f>+VLOOKUP('Dynamic Split'!C38,'Dynamic Split'!U:U,1,0)</f>
        <v>#N/A</v>
      </c>
      <c r="C35" t="e">
        <f>VLOOKUP('Dynamic Split'!U38,'Dynamic Split'!C:C,1,0)</f>
        <v>#N/A</v>
      </c>
    </row>
    <row r="36" spans="1:3" x14ac:dyDescent="0.25">
      <c r="A36" t="e">
        <f>+VLOOKUP('Dynamic Split'!C39,'Dynamic Split'!U:U,1,0)</f>
        <v>#N/A</v>
      </c>
      <c r="C36" t="e">
        <f>VLOOKUP('Dynamic Split'!U39,'Dynamic Split'!C:C,1,0)</f>
        <v>#N/A</v>
      </c>
    </row>
    <row r="37" spans="1:3" x14ac:dyDescent="0.25">
      <c r="A37" t="e">
        <f>+VLOOKUP('Dynamic Split'!C40,'Dynamic Split'!U:U,1,0)</f>
        <v>#N/A</v>
      </c>
      <c r="C37" t="e">
        <f>VLOOKUP('Dynamic Split'!U40,'Dynamic Split'!C:C,1,0)</f>
        <v>#N/A</v>
      </c>
    </row>
    <row r="38" spans="1:3" x14ac:dyDescent="0.25">
      <c r="A38" t="e">
        <f>+VLOOKUP('Dynamic Split'!C41,'Dynamic Split'!U:U,1,0)</f>
        <v>#N/A</v>
      </c>
      <c r="C38" t="e">
        <f>VLOOKUP('Dynamic Split'!U41,'Dynamic Split'!C:C,1,0)</f>
        <v>#N/A</v>
      </c>
    </row>
    <row r="39" spans="1:3" x14ac:dyDescent="0.25">
      <c r="A39" t="e">
        <f>+VLOOKUP('Dynamic Split'!C42,'Dynamic Split'!U:U,1,0)</f>
        <v>#N/A</v>
      </c>
      <c r="C39" t="e">
        <f>VLOOKUP('Dynamic Split'!U42,'Dynamic Split'!C:C,1,0)</f>
        <v>#N/A</v>
      </c>
    </row>
    <row r="40" spans="1:3" x14ac:dyDescent="0.25">
      <c r="A40" t="e">
        <f>+VLOOKUP('Dynamic Split'!C43,'Dynamic Split'!U:U,1,0)</f>
        <v>#N/A</v>
      </c>
      <c r="C40" t="e">
        <f>VLOOKUP('Dynamic Split'!U43,'Dynamic Split'!C:C,1,0)</f>
        <v>#N/A</v>
      </c>
    </row>
    <row r="41" spans="1:3" x14ac:dyDescent="0.25">
      <c r="A41" t="e">
        <f>+VLOOKUP('Dynamic Split'!C44,'Dynamic Split'!U:U,1,0)</f>
        <v>#N/A</v>
      </c>
      <c r="C41" t="e">
        <f>VLOOKUP('Dynamic Split'!U44,'Dynamic Split'!C:C,1,0)</f>
        <v>#N/A</v>
      </c>
    </row>
    <row r="42" spans="1:3" x14ac:dyDescent="0.25">
      <c r="A42" t="e">
        <f>+VLOOKUP('Dynamic Split'!C45,'Dynamic Split'!U:U,1,0)</f>
        <v>#N/A</v>
      </c>
      <c r="C42" t="e">
        <f>VLOOKUP('Dynamic Split'!U45,'Dynamic Split'!C:C,1,0)</f>
        <v>#N/A</v>
      </c>
    </row>
    <row r="43" spans="1:3" x14ac:dyDescent="0.25">
      <c r="A43" t="e">
        <f>+VLOOKUP('Dynamic Split'!C46,'Dynamic Split'!U:U,1,0)</f>
        <v>#N/A</v>
      </c>
      <c r="C43" t="e">
        <f>VLOOKUP('Dynamic Split'!U46,'Dynamic Split'!C:C,1,0)</f>
        <v>#N/A</v>
      </c>
    </row>
    <row r="44" spans="1:3" x14ac:dyDescent="0.25">
      <c r="A44" t="e">
        <f>+VLOOKUP('Dynamic Split'!C48,'Dynamic Split'!U:U,1,0)</f>
        <v>#N/A</v>
      </c>
      <c r="C44" t="e">
        <f>VLOOKUP('Dynamic Split'!U47,'Dynamic Split'!C:C,1,0)</f>
        <v>#N/A</v>
      </c>
    </row>
    <row r="45" spans="1:3" x14ac:dyDescent="0.25">
      <c r="A45" t="e">
        <f>+VLOOKUP('Dynamic Split'!#REF!,'Dynamic Split'!U:U,1,0)</f>
        <v>#REF!</v>
      </c>
      <c r="C45" t="e">
        <f>VLOOKUP('Dynamic Split'!U48,'Dynamic Split'!C:C,1,0)</f>
        <v>#N/A</v>
      </c>
    </row>
    <row r="46" spans="1:3" x14ac:dyDescent="0.25">
      <c r="A46" t="e">
        <f>+VLOOKUP('Dynamic Split'!C49,'Dynamic Split'!U:U,1,0)</f>
        <v>#N/A</v>
      </c>
      <c r="C46" t="e">
        <f>VLOOKUP('Dynamic Split'!U49,'Dynamic Split'!C:C,1,0)</f>
        <v>#N/A</v>
      </c>
    </row>
    <row r="47" spans="1:3" x14ac:dyDescent="0.25">
      <c r="A47" t="e">
        <f>+VLOOKUP('Dynamic Split'!C50,'Dynamic Split'!U:U,1,0)</f>
        <v>#N/A</v>
      </c>
      <c r="C47" t="e">
        <f>VLOOKUP('Dynamic Split'!U50,'Dynamic Split'!C:C,1,0)</f>
        <v>#N/A</v>
      </c>
    </row>
    <row r="48" spans="1:3" x14ac:dyDescent="0.25">
      <c r="A48" t="e">
        <f>+VLOOKUP('Dynamic Split'!C51,'Dynamic Split'!U:U,1,0)</f>
        <v>#N/A</v>
      </c>
      <c r="C48" t="e">
        <f>VLOOKUP('Dynamic Split'!U51,'Dynamic Split'!C:C,1,0)</f>
        <v>#N/A</v>
      </c>
    </row>
    <row r="49" spans="1:3" x14ac:dyDescent="0.25">
      <c r="A49" t="e">
        <f>+VLOOKUP('Dynamic Split'!C52,'Dynamic Split'!U:U,1,0)</f>
        <v>#N/A</v>
      </c>
      <c r="C49" t="e">
        <f>VLOOKUP('Dynamic Split'!U52,'Dynamic Split'!C:C,1,0)</f>
        <v>#N/A</v>
      </c>
    </row>
    <row r="50" spans="1:3" x14ac:dyDescent="0.25">
      <c r="A50" t="e">
        <f>+VLOOKUP('Dynamic Split'!C53,'Dynamic Split'!U:U,1,0)</f>
        <v>#N/A</v>
      </c>
      <c r="C50" t="e">
        <f>VLOOKUP('Dynamic Split'!U53,'Dynamic Split'!C:C,1,0)</f>
        <v>#N/A</v>
      </c>
    </row>
    <row r="51" spans="1:3" x14ac:dyDescent="0.25">
      <c r="A51" t="e">
        <f>+VLOOKUP('Dynamic Split'!C54,'Dynamic Split'!U:U,1,0)</f>
        <v>#N/A</v>
      </c>
      <c r="C51" t="e">
        <f>VLOOKUP('Dynamic Split'!U54,'Dynamic Split'!C:C,1,0)</f>
        <v>#N/A</v>
      </c>
    </row>
    <row r="52" spans="1:3" x14ac:dyDescent="0.25">
      <c r="A52" t="e">
        <f>+VLOOKUP('Dynamic Split'!C55,'Dynamic Split'!U:U,1,0)</f>
        <v>#N/A</v>
      </c>
      <c r="C52" t="e">
        <f>VLOOKUP('Dynamic Split'!U55,'Dynamic Split'!C:C,1,0)</f>
        <v>#N/A</v>
      </c>
    </row>
    <row r="53" spans="1:3" x14ac:dyDescent="0.25">
      <c r="A53" t="e">
        <f>+VLOOKUP('Dynamic Split'!C56,'Dynamic Split'!U:U,1,0)</f>
        <v>#N/A</v>
      </c>
      <c r="C53" t="e">
        <f>VLOOKUP('Dynamic Split'!U56,'Dynamic Split'!C:C,1,0)</f>
        <v>#N/A</v>
      </c>
    </row>
    <row r="54" spans="1:3" x14ac:dyDescent="0.25">
      <c r="A54" t="e">
        <f>+VLOOKUP('Dynamic Split'!C57,'Dynamic Split'!U:U,1,0)</f>
        <v>#N/A</v>
      </c>
      <c r="C54" t="e">
        <f>VLOOKUP('Dynamic Split'!U57,'Dynamic Split'!C:C,1,0)</f>
        <v>#N/A</v>
      </c>
    </row>
    <row r="55" spans="1:3" x14ac:dyDescent="0.25">
      <c r="A55" t="e">
        <f>+VLOOKUP('Dynamic Split'!C58,'Dynamic Split'!U:U,1,0)</f>
        <v>#N/A</v>
      </c>
      <c r="C55" t="e">
        <f>VLOOKUP('Dynamic Split'!U58,'Dynamic Split'!C:C,1,0)</f>
        <v>#N/A</v>
      </c>
    </row>
    <row r="56" spans="1:3" x14ac:dyDescent="0.25">
      <c r="A56" t="e">
        <f>+VLOOKUP('Dynamic Split'!C59,'Dynamic Split'!U:U,1,0)</f>
        <v>#N/A</v>
      </c>
      <c r="C56" t="e">
        <f>VLOOKUP('Dynamic Split'!U59,'Dynamic Split'!C:C,1,0)</f>
        <v>#N/A</v>
      </c>
    </row>
    <row r="57" spans="1:3" x14ac:dyDescent="0.25">
      <c r="A57" t="e">
        <f>+VLOOKUP('Dynamic Split'!C60,'Dynamic Split'!U:U,1,0)</f>
        <v>#N/A</v>
      </c>
      <c r="C57" t="e">
        <f>VLOOKUP('Dynamic Split'!U60,'Dynamic Split'!C:C,1,0)</f>
        <v>#N/A</v>
      </c>
    </row>
    <row r="58" spans="1:3" x14ac:dyDescent="0.25">
      <c r="A58" t="e">
        <f>+VLOOKUP('Dynamic Split'!C61,'Dynamic Split'!U:U,1,0)</f>
        <v>#N/A</v>
      </c>
      <c r="C58" t="e">
        <f>VLOOKUP('Dynamic Split'!U61,'Dynamic Split'!C:C,1,0)</f>
        <v>#N/A</v>
      </c>
    </row>
    <row r="59" spans="1:3" x14ac:dyDescent="0.25">
      <c r="A59" t="e">
        <f>+VLOOKUP('Dynamic Split'!C62,'Dynamic Split'!U:U,1,0)</f>
        <v>#N/A</v>
      </c>
      <c r="C59" t="e">
        <f>VLOOKUP('Dynamic Split'!U62,'Dynamic Split'!C:C,1,0)</f>
        <v>#N/A</v>
      </c>
    </row>
    <row r="60" spans="1:3" x14ac:dyDescent="0.25">
      <c r="A60" t="e">
        <f>+VLOOKUP('Dynamic Split'!C63,'Dynamic Split'!U:U,1,0)</f>
        <v>#N/A</v>
      </c>
      <c r="C60" t="e">
        <f>VLOOKUP('Dynamic Split'!U63,'Dynamic Split'!C:C,1,0)</f>
        <v>#N/A</v>
      </c>
    </row>
    <row r="61" spans="1:3" x14ac:dyDescent="0.25">
      <c r="A61" t="e">
        <f>+VLOOKUP('Dynamic Split'!C64,'Dynamic Split'!U:U,1,0)</f>
        <v>#N/A</v>
      </c>
      <c r="C61" t="e">
        <f>VLOOKUP('Dynamic Split'!U64,'Dynamic Split'!C:C,1,0)</f>
        <v>#N/A</v>
      </c>
    </row>
    <row r="62" spans="1:3" x14ac:dyDescent="0.25">
      <c r="A62" t="e">
        <f>+VLOOKUP('Dynamic Split'!C65,'Dynamic Split'!U:U,1,0)</f>
        <v>#N/A</v>
      </c>
      <c r="C62" t="e">
        <f>VLOOKUP('Dynamic Split'!U65,'Dynamic Split'!C:C,1,0)</f>
        <v>#N/A</v>
      </c>
    </row>
    <row r="63" spans="1:3" x14ac:dyDescent="0.25">
      <c r="A63" t="e">
        <f>+VLOOKUP('Dynamic Split'!C66,'Dynamic Split'!U:U,1,0)</f>
        <v>#N/A</v>
      </c>
      <c r="C63" t="e">
        <f>VLOOKUP('Dynamic Split'!U66,'Dynamic Split'!C:C,1,0)</f>
        <v>#N/A</v>
      </c>
    </row>
    <row r="64" spans="1:3" x14ac:dyDescent="0.25">
      <c r="A64" t="e">
        <f>+VLOOKUP('Dynamic Split'!C67,'Dynamic Split'!U:U,1,0)</f>
        <v>#N/A</v>
      </c>
      <c r="C64" t="e">
        <f>VLOOKUP('Dynamic Split'!U67,'Dynamic Split'!C:C,1,0)</f>
        <v>#N/A</v>
      </c>
    </row>
    <row r="65" spans="1:3" x14ac:dyDescent="0.25">
      <c r="A65" t="e">
        <f>+VLOOKUP('Dynamic Split'!C68,'Dynamic Split'!U:U,1,0)</f>
        <v>#N/A</v>
      </c>
      <c r="C65" t="e">
        <f>VLOOKUP('Dynamic Split'!U68,'Dynamic Split'!C:C,1,0)</f>
        <v>#N/A</v>
      </c>
    </row>
    <row r="66" spans="1:3" x14ac:dyDescent="0.25">
      <c r="A66" t="e">
        <f>+VLOOKUP('Dynamic Split'!C69,'Dynamic Split'!U:U,1,0)</f>
        <v>#N/A</v>
      </c>
      <c r="C66" t="e">
        <f>VLOOKUP('Dynamic Split'!U69,'Dynamic Split'!C:C,1,0)</f>
        <v>#N/A</v>
      </c>
    </row>
    <row r="67" spans="1:3" x14ac:dyDescent="0.25">
      <c r="A67" t="e">
        <f>+VLOOKUP('Dynamic Split'!C70,'Dynamic Split'!U:U,1,0)</f>
        <v>#N/A</v>
      </c>
      <c r="C67" t="e">
        <f>VLOOKUP('Dynamic Split'!U70,'Dynamic Split'!C:C,1,0)</f>
        <v>#N/A</v>
      </c>
    </row>
    <row r="68" spans="1:3" x14ac:dyDescent="0.25">
      <c r="A68" t="e">
        <f>+VLOOKUP('Dynamic Split'!C71,'Dynamic Split'!U:U,1,0)</f>
        <v>#N/A</v>
      </c>
      <c r="C68" t="e">
        <f>VLOOKUP('Dynamic Split'!U71,'Dynamic Split'!C:C,1,0)</f>
        <v>#N/A</v>
      </c>
    </row>
    <row r="69" spans="1:3" x14ac:dyDescent="0.25">
      <c r="A69" t="e">
        <f>+VLOOKUP('Dynamic Split'!C72,'Dynamic Split'!U:U,1,0)</f>
        <v>#N/A</v>
      </c>
      <c r="C69" t="e">
        <f>VLOOKUP('Dynamic Split'!U72,'Dynamic Split'!C:C,1,0)</f>
        <v>#N/A</v>
      </c>
    </row>
    <row r="70" spans="1:3" x14ac:dyDescent="0.25">
      <c r="A70" t="e">
        <f>+VLOOKUP('Dynamic Split'!C73,'Dynamic Split'!U:U,1,0)</f>
        <v>#N/A</v>
      </c>
      <c r="C70" t="e">
        <f>VLOOKUP('Dynamic Split'!U73,'Dynamic Split'!C:C,1,0)</f>
        <v>#N/A</v>
      </c>
    </row>
    <row r="71" spans="1:3" x14ac:dyDescent="0.25">
      <c r="A71" t="e">
        <f>+VLOOKUP('Dynamic Split'!C74,'Dynamic Split'!U:U,1,0)</f>
        <v>#N/A</v>
      </c>
      <c r="C71" t="e">
        <f>VLOOKUP('Dynamic Split'!U74,'Dynamic Split'!C:C,1,0)</f>
        <v>#N/A</v>
      </c>
    </row>
    <row r="72" spans="1:3" x14ac:dyDescent="0.25">
      <c r="A72" t="e">
        <f>+VLOOKUP('Dynamic Split'!C75,'Dynamic Split'!U:U,1,0)</f>
        <v>#N/A</v>
      </c>
      <c r="C72" t="e">
        <f>VLOOKUP('Dynamic Split'!U75,'Dynamic Split'!C:C,1,0)</f>
        <v>#N/A</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6B7FB-92D3-4082-BFE8-08D0B72055F4}">
  <sheetPr codeName="Sheet4"/>
  <dimension ref="A1:H87"/>
  <sheetViews>
    <sheetView workbookViewId="0"/>
  </sheetViews>
  <sheetFormatPr defaultColWidth="11.5703125" defaultRowHeight="15" x14ac:dyDescent="0.25"/>
  <cols>
    <col min="5" max="5" width="44.7109375" bestFit="1" customWidth="1"/>
    <col min="6" max="6" width="12.140625" bestFit="1" customWidth="1"/>
    <col min="7" max="7" width="16.140625" bestFit="1" customWidth="1"/>
    <col min="8" max="8" width="16" customWidth="1"/>
  </cols>
  <sheetData>
    <row r="1" spans="1:8" x14ac:dyDescent="0.25">
      <c r="H1" t="s">
        <v>480</v>
      </c>
    </row>
    <row r="2" spans="1:8" x14ac:dyDescent="0.25">
      <c r="A2" t="s">
        <v>11</v>
      </c>
      <c r="B2" t="s">
        <v>12</v>
      </c>
      <c r="C2" t="s">
        <v>122</v>
      </c>
      <c r="D2" t="s">
        <v>123</v>
      </c>
      <c r="E2" t="s">
        <v>2</v>
      </c>
      <c r="F2" t="s">
        <v>19</v>
      </c>
      <c r="G2" t="s">
        <v>25</v>
      </c>
      <c r="H2" t="s">
        <v>31</v>
      </c>
    </row>
    <row r="3" spans="1:8" x14ac:dyDescent="0.25">
      <c r="A3" t="s">
        <v>477</v>
      </c>
      <c r="B3">
        <v>1</v>
      </c>
      <c r="C3" t="s">
        <v>62</v>
      </c>
      <c r="D3" t="s">
        <v>35</v>
      </c>
      <c r="E3" t="s">
        <v>178</v>
      </c>
      <c r="F3" t="s">
        <v>34</v>
      </c>
      <c r="G3" t="s">
        <v>41</v>
      </c>
    </row>
    <row r="4" spans="1:8" x14ac:dyDescent="0.25">
      <c r="A4" t="s">
        <v>481</v>
      </c>
      <c r="B4">
        <v>1</v>
      </c>
      <c r="C4" t="s">
        <v>62</v>
      </c>
      <c r="D4" t="s">
        <v>35</v>
      </c>
      <c r="E4" t="s">
        <v>178</v>
      </c>
      <c r="F4" t="s">
        <v>34</v>
      </c>
      <c r="G4" t="s">
        <v>41</v>
      </c>
    </row>
    <row r="5" spans="1:8" x14ac:dyDescent="0.25">
      <c r="A5" t="s">
        <v>482</v>
      </c>
      <c r="B5">
        <v>1</v>
      </c>
      <c r="C5" t="s">
        <v>62</v>
      </c>
      <c r="D5" t="s">
        <v>35</v>
      </c>
      <c r="E5" t="s">
        <v>178</v>
      </c>
      <c r="F5" t="s">
        <v>34</v>
      </c>
      <c r="G5" t="s">
        <v>41</v>
      </c>
    </row>
    <row r="6" spans="1:8" x14ac:dyDescent="0.25">
      <c r="A6" t="s">
        <v>483</v>
      </c>
      <c r="B6">
        <v>1</v>
      </c>
      <c r="C6" t="s">
        <v>62</v>
      </c>
      <c r="D6" t="s">
        <v>35</v>
      </c>
      <c r="E6" t="s">
        <v>178</v>
      </c>
      <c r="F6" t="s">
        <v>34</v>
      </c>
      <c r="G6" t="s">
        <v>41</v>
      </c>
    </row>
    <row r="7" spans="1:8" x14ac:dyDescent="0.25">
      <c r="A7" t="s">
        <v>483</v>
      </c>
      <c r="B7">
        <v>4</v>
      </c>
      <c r="C7" t="s">
        <v>62</v>
      </c>
      <c r="D7" t="s">
        <v>35</v>
      </c>
      <c r="E7" t="s">
        <v>180</v>
      </c>
      <c r="F7" t="s">
        <v>34</v>
      </c>
      <c r="G7" t="s">
        <v>484</v>
      </c>
    </row>
    <row r="8" spans="1:8" x14ac:dyDescent="0.25">
      <c r="A8" t="s">
        <v>481</v>
      </c>
      <c r="B8">
        <v>1</v>
      </c>
      <c r="C8" t="s">
        <v>62</v>
      </c>
      <c r="D8" t="s">
        <v>35</v>
      </c>
      <c r="E8" t="s">
        <v>109</v>
      </c>
      <c r="F8" t="s">
        <v>34</v>
      </c>
      <c r="G8" t="s">
        <v>484</v>
      </c>
    </row>
    <row r="9" spans="1:8" x14ac:dyDescent="0.25">
      <c r="A9" t="s">
        <v>482</v>
      </c>
      <c r="B9">
        <v>1</v>
      </c>
      <c r="C9" t="s">
        <v>62</v>
      </c>
      <c r="D9" t="s">
        <v>35</v>
      </c>
      <c r="E9" t="s">
        <v>109</v>
      </c>
      <c r="F9" t="s">
        <v>34</v>
      </c>
      <c r="G9" t="s">
        <v>484</v>
      </c>
    </row>
    <row r="10" spans="1:8" x14ac:dyDescent="0.25">
      <c r="A10" t="s">
        <v>483</v>
      </c>
      <c r="B10">
        <v>1</v>
      </c>
      <c r="C10" t="s">
        <v>62</v>
      </c>
      <c r="D10" t="s">
        <v>35</v>
      </c>
      <c r="E10" t="s">
        <v>109</v>
      </c>
      <c r="F10" t="s">
        <v>34</v>
      </c>
      <c r="G10" t="s">
        <v>484</v>
      </c>
    </row>
    <row r="11" spans="1:8" x14ac:dyDescent="0.25">
      <c r="A11" t="s">
        <v>483</v>
      </c>
      <c r="B11">
        <v>4</v>
      </c>
      <c r="C11" t="s">
        <v>62</v>
      </c>
      <c r="D11" t="s">
        <v>35</v>
      </c>
      <c r="E11" t="s">
        <v>84</v>
      </c>
      <c r="F11" t="s">
        <v>34</v>
      </c>
      <c r="G11" t="s">
        <v>41</v>
      </c>
    </row>
    <row r="12" spans="1:8" x14ac:dyDescent="0.25">
      <c r="A12" t="s">
        <v>482</v>
      </c>
      <c r="B12">
        <v>2</v>
      </c>
      <c r="C12" t="s">
        <v>62</v>
      </c>
      <c r="D12" t="s">
        <v>35</v>
      </c>
      <c r="E12" t="s">
        <v>99</v>
      </c>
      <c r="F12" t="s">
        <v>34</v>
      </c>
      <c r="G12" t="s">
        <v>41</v>
      </c>
    </row>
    <row r="13" spans="1:8" x14ac:dyDescent="0.25">
      <c r="A13" t="s">
        <v>483</v>
      </c>
      <c r="B13">
        <v>2</v>
      </c>
      <c r="C13" t="s">
        <v>62</v>
      </c>
      <c r="D13" t="s">
        <v>35</v>
      </c>
      <c r="E13" t="s">
        <v>99</v>
      </c>
      <c r="F13" t="s">
        <v>34</v>
      </c>
      <c r="G13" t="s">
        <v>41</v>
      </c>
    </row>
    <row r="14" spans="1:8" x14ac:dyDescent="0.25">
      <c r="A14" t="s">
        <v>477</v>
      </c>
      <c r="B14">
        <v>1</v>
      </c>
      <c r="C14" t="s">
        <v>62</v>
      </c>
      <c r="D14" t="s">
        <v>35</v>
      </c>
      <c r="E14" t="s">
        <v>185</v>
      </c>
      <c r="F14" t="s">
        <v>34</v>
      </c>
      <c r="G14" t="s">
        <v>36</v>
      </c>
    </row>
    <row r="15" spans="1:8" x14ac:dyDescent="0.25">
      <c r="A15" t="s">
        <v>481</v>
      </c>
      <c r="B15">
        <v>1</v>
      </c>
      <c r="C15" t="s">
        <v>62</v>
      </c>
      <c r="D15" t="s">
        <v>35</v>
      </c>
      <c r="E15" t="s">
        <v>185</v>
      </c>
      <c r="F15" t="s">
        <v>34</v>
      </c>
      <c r="G15" t="s">
        <v>36</v>
      </c>
    </row>
    <row r="16" spans="1:8" x14ac:dyDescent="0.25">
      <c r="A16" t="s">
        <v>482</v>
      </c>
      <c r="B16">
        <v>1</v>
      </c>
      <c r="C16" t="s">
        <v>62</v>
      </c>
      <c r="D16" t="s">
        <v>35</v>
      </c>
      <c r="E16" t="s">
        <v>185</v>
      </c>
      <c r="F16" t="s">
        <v>34</v>
      </c>
      <c r="G16" t="s">
        <v>36</v>
      </c>
    </row>
    <row r="17" spans="1:7" x14ac:dyDescent="0.25">
      <c r="A17" t="s">
        <v>483</v>
      </c>
      <c r="B17">
        <v>1</v>
      </c>
      <c r="C17" t="s">
        <v>62</v>
      </c>
      <c r="D17" t="s">
        <v>35</v>
      </c>
      <c r="E17" t="s">
        <v>185</v>
      </c>
      <c r="F17" t="s">
        <v>34</v>
      </c>
      <c r="G17" t="s">
        <v>36</v>
      </c>
    </row>
    <row r="18" spans="1:7" x14ac:dyDescent="0.25">
      <c r="A18" t="s">
        <v>482</v>
      </c>
      <c r="B18">
        <v>3</v>
      </c>
      <c r="C18" t="s">
        <v>62</v>
      </c>
      <c r="D18" t="s">
        <v>35</v>
      </c>
      <c r="E18" t="s">
        <v>115</v>
      </c>
      <c r="F18" t="s">
        <v>34</v>
      </c>
      <c r="G18" t="s">
        <v>41</v>
      </c>
    </row>
    <row r="19" spans="1:7" x14ac:dyDescent="0.25">
      <c r="A19" t="s">
        <v>483</v>
      </c>
      <c r="B19">
        <v>3</v>
      </c>
      <c r="C19" t="s">
        <v>62</v>
      </c>
      <c r="D19" t="s">
        <v>35</v>
      </c>
      <c r="E19" t="s">
        <v>115</v>
      </c>
      <c r="F19" t="s">
        <v>34</v>
      </c>
      <c r="G19" t="s">
        <v>41</v>
      </c>
    </row>
    <row r="20" spans="1:7" x14ac:dyDescent="0.25">
      <c r="A20" t="s">
        <v>482</v>
      </c>
      <c r="B20">
        <v>2</v>
      </c>
      <c r="C20" t="s">
        <v>485</v>
      </c>
      <c r="D20" t="s">
        <v>35</v>
      </c>
      <c r="E20" t="s">
        <v>172</v>
      </c>
      <c r="F20" t="s">
        <v>34</v>
      </c>
      <c r="G20" t="s">
        <v>41</v>
      </c>
    </row>
    <row r="21" spans="1:7" x14ac:dyDescent="0.25">
      <c r="A21" t="s">
        <v>483</v>
      </c>
      <c r="B21">
        <v>2</v>
      </c>
      <c r="C21" t="s">
        <v>485</v>
      </c>
      <c r="D21" t="s">
        <v>35</v>
      </c>
      <c r="E21" t="s">
        <v>172</v>
      </c>
      <c r="F21" t="s">
        <v>34</v>
      </c>
      <c r="G21" t="s">
        <v>41</v>
      </c>
    </row>
    <row r="22" spans="1:7" x14ac:dyDescent="0.25">
      <c r="A22" t="s">
        <v>483</v>
      </c>
      <c r="B22">
        <v>4</v>
      </c>
      <c r="C22" t="s">
        <v>485</v>
      </c>
      <c r="D22" t="s">
        <v>35</v>
      </c>
      <c r="E22" t="s">
        <v>429</v>
      </c>
      <c r="F22" t="s">
        <v>34</v>
      </c>
      <c r="G22" t="s">
        <v>41</v>
      </c>
    </row>
    <row r="23" spans="1:7" x14ac:dyDescent="0.25">
      <c r="A23" t="s">
        <v>481</v>
      </c>
      <c r="B23">
        <v>2</v>
      </c>
      <c r="C23" t="s">
        <v>485</v>
      </c>
      <c r="D23" t="s">
        <v>35</v>
      </c>
      <c r="E23" t="s">
        <v>82</v>
      </c>
      <c r="F23" t="s">
        <v>34</v>
      </c>
      <c r="G23" t="s">
        <v>41</v>
      </c>
    </row>
    <row r="24" spans="1:7" x14ac:dyDescent="0.25">
      <c r="A24" t="s">
        <v>482</v>
      </c>
      <c r="B24">
        <v>2</v>
      </c>
      <c r="C24" t="s">
        <v>485</v>
      </c>
      <c r="D24" t="s">
        <v>35</v>
      </c>
      <c r="E24" t="s">
        <v>82</v>
      </c>
      <c r="F24" t="s">
        <v>34</v>
      </c>
      <c r="G24" t="s">
        <v>41</v>
      </c>
    </row>
    <row r="25" spans="1:7" x14ac:dyDescent="0.25">
      <c r="A25" t="s">
        <v>483</v>
      </c>
      <c r="B25">
        <v>2</v>
      </c>
      <c r="C25" t="s">
        <v>485</v>
      </c>
      <c r="D25" t="s">
        <v>35</v>
      </c>
      <c r="E25" t="s">
        <v>82</v>
      </c>
      <c r="F25" t="s">
        <v>34</v>
      </c>
      <c r="G25" t="s">
        <v>41</v>
      </c>
    </row>
    <row r="26" spans="1:7" x14ac:dyDescent="0.25">
      <c r="A26" t="s">
        <v>482</v>
      </c>
      <c r="B26">
        <v>3</v>
      </c>
      <c r="C26" t="s">
        <v>62</v>
      </c>
      <c r="D26" t="s">
        <v>35</v>
      </c>
      <c r="E26" t="s">
        <v>101</v>
      </c>
      <c r="F26" t="s">
        <v>34</v>
      </c>
      <c r="G26" t="s">
        <v>36</v>
      </c>
    </row>
    <row r="27" spans="1:7" x14ac:dyDescent="0.25">
      <c r="A27" t="s">
        <v>483</v>
      </c>
      <c r="B27">
        <v>3</v>
      </c>
      <c r="C27" t="s">
        <v>62</v>
      </c>
      <c r="D27" t="s">
        <v>35</v>
      </c>
      <c r="E27" t="s">
        <v>101</v>
      </c>
      <c r="F27" t="s">
        <v>34</v>
      </c>
      <c r="G27" t="s">
        <v>36</v>
      </c>
    </row>
    <row r="28" spans="1:7" x14ac:dyDescent="0.25">
      <c r="A28" t="s">
        <v>483</v>
      </c>
      <c r="B28">
        <v>4</v>
      </c>
      <c r="C28" t="s">
        <v>62</v>
      </c>
      <c r="D28" t="s">
        <v>35</v>
      </c>
      <c r="E28" t="s">
        <v>461</v>
      </c>
      <c r="F28" t="s">
        <v>34</v>
      </c>
      <c r="G28" t="s">
        <v>41</v>
      </c>
    </row>
    <row r="29" spans="1:7" x14ac:dyDescent="0.25">
      <c r="A29" t="s">
        <v>481</v>
      </c>
      <c r="B29">
        <v>2</v>
      </c>
      <c r="C29" t="s">
        <v>33</v>
      </c>
      <c r="D29" t="s">
        <v>46</v>
      </c>
      <c r="E29" t="s">
        <v>117</v>
      </c>
      <c r="F29" t="s">
        <v>45</v>
      </c>
      <c r="G29" t="s">
        <v>41</v>
      </c>
    </row>
    <row r="30" spans="1:7" x14ac:dyDescent="0.25">
      <c r="A30" t="s">
        <v>482</v>
      </c>
      <c r="B30">
        <v>2</v>
      </c>
      <c r="C30" t="s">
        <v>33</v>
      </c>
      <c r="D30" t="s">
        <v>46</v>
      </c>
      <c r="E30" t="s">
        <v>117</v>
      </c>
      <c r="F30" t="s">
        <v>45</v>
      </c>
      <c r="G30" t="s">
        <v>41</v>
      </c>
    </row>
    <row r="31" spans="1:7" x14ac:dyDescent="0.25">
      <c r="A31" t="s">
        <v>483</v>
      </c>
      <c r="B31">
        <v>2</v>
      </c>
      <c r="C31" t="s">
        <v>33</v>
      </c>
      <c r="D31" t="s">
        <v>46</v>
      </c>
      <c r="E31" t="s">
        <v>117</v>
      </c>
      <c r="F31" t="s">
        <v>45</v>
      </c>
      <c r="G31" t="s">
        <v>41</v>
      </c>
    </row>
    <row r="32" spans="1:7" x14ac:dyDescent="0.25">
      <c r="A32" t="s">
        <v>481</v>
      </c>
      <c r="B32">
        <v>2</v>
      </c>
      <c r="C32" t="s">
        <v>33</v>
      </c>
      <c r="D32" t="s">
        <v>46</v>
      </c>
      <c r="E32" t="s">
        <v>486</v>
      </c>
      <c r="F32" t="s">
        <v>45</v>
      </c>
      <c r="G32" t="s">
        <v>41</v>
      </c>
    </row>
    <row r="33" spans="1:7" x14ac:dyDescent="0.25">
      <c r="A33" t="s">
        <v>482</v>
      </c>
      <c r="B33">
        <v>2</v>
      </c>
      <c r="C33" t="s">
        <v>33</v>
      </c>
      <c r="D33" t="s">
        <v>46</v>
      </c>
      <c r="E33" t="s">
        <v>486</v>
      </c>
      <c r="F33" t="s">
        <v>45</v>
      </c>
      <c r="G33" t="s">
        <v>41</v>
      </c>
    </row>
    <row r="34" spans="1:7" x14ac:dyDescent="0.25">
      <c r="A34" t="s">
        <v>483</v>
      </c>
      <c r="B34">
        <v>2</v>
      </c>
      <c r="C34" t="s">
        <v>33</v>
      </c>
      <c r="D34" t="s">
        <v>46</v>
      </c>
      <c r="E34" t="s">
        <v>486</v>
      </c>
      <c r="F34" t="s">
        <v>45</v>
      </c>
      <c r="G34" t="s">
        <v>41</v>
      </c>
    </row>
    <row r="35" spans="1:7" x14ac:dyDescent="0.25">
      <c r="A35" t="s">
        <v>481</v>
      </c>
      <c r="B35">
        <v>2</v>
      </c>
      <c r="C35" t="s">
        <v>33</v>
      </c>
      <c r="D35" t="s">
        <v>46</v>
      </c>
      <c r="E35" t="s">
        <v>487</v>
      </c>
      <c r="F35" t="s">
        <v>45</v>
      </c>
      <c r="G35" t="s">
        <v>41</v>
      </c>
    </row>
    <row r="36" spans="1:7" x14ac:dyDescent="0.25">
      <c r="A36" t="s">
        <v>482</v>
      </c>
      <c r="B36">
        <v>2</v>
      </c>
      <c r="C36" t="s">
        <v>33</v>
      </c>
      <c r="D36" t="s">
        <v>46</v>
      </c>
      <c r="E36" t="s">
        <v>487</v>
      </c>
      <c r="F36" t="s">
        <v>45</v>
      </c>
      <c r="G36" t="s">
        <v>41</v>
      </c>
    </row>
    <row r="37" spans="1:7" x14ac:dyDescent="0.25">
      <c r="A37" t="s">
        <v>483</v>
      </c>
      <c r="B37">
        <v>2</v>
      </c>
      <c r="C37" t="s">
        <v>33</v>
      </c>
      <c r="D37" t="s">
        <v>46</v>
      </c>
      <c r="E37" t="s">
        <v>487</v>
      </c>
      <c r="F37" t="s">
        <v>45</v>
      </c>
      <c r="G37" t="s">
        <v>41</v>
      </c>
    </row>
    <row r="38" spans="1:7" x14ac:dyDescent="0.25">
      <c r="A38" t="s">
        <v>481</v>
      </c>
      <c r="B38">
        <v>1</v>
      </c>
      <c r="C38" t="s">
        <v>33</v>
      </c>
      <c r="D38" t="s">
        <v>46</v>
      </c>
      <c r="E38" t="s">
        <v>111</v>
      </c>
      <c r="F38" t="s">
        <v>45</v>
      </c>
      <c r="G38" t="s">
        <v>41</v>
      </c>
    </row>
    <row r="39" spans="1:7" x14ac:dyDescent="0.25">
      <c r="A39" t="s">
        <v>482</v>
      </c>
      <c r="B39">
        <v>1</v>
      </c>
      <c r="C39" t="s">
        <v>33</v>
      </c>
      <c r="D39" t="s">
        <v>46</v>
      </c>
      <c r="E39" t="s">
        <v>111</v>
      </c>
      <c r="F39" t="s">
        <v>45</v>
      </c>
      <c r="G39" t="s">
        <v>41</v>
      </c>
    </row>
    <row r="40" spans="1:7" x14ac:dyDescent="0.25">
      <c r="A40" t="s">
        <v>483</v>
      </c>
      <c r="B40">
        <v>1</v>
      </c>
      <c r="C40" t="s">
        <v>33</v>
      </c>
      <c r="D40" t="s">
        <v>46</v>
      </c>
      <c r="E40" t="s">
        <v>111</v>
      </c>
      <c r="F40" t="s">
        <v>45</v>
      </c>
      <c r="G40" t="s">
        <v>41</v>
      </c>
    </row>
    <row r="41" spans="1:7" x14ac:dyDescent="0.25">
      <c r="A41" t="s">
        <v>481</v>
      </c>
      <c r="B41">
        <v>1</v>
      </c>
      <c r="C41" t="s">
        <v>33</v>
      </c>
      <c r="D41" t="s">
        <v>46</v>
      </c>
      <c r="E41" t="s">
        <v>72</v>
      </c>
      <c r="F41" t="s">
        <v>45</v>
      </c>
      <c r="G41" t="s">
        <v>41</v>
      </c>
    </row>
    <row r="42" spans="1:7" x14ac:dyDescent="0.25">
      <c r="A42" t="s">
        <v>482</v>
      </c>
      <c r="B42">
        <v>2</v>
      </c>
      <c r="C42" t="s">
        <v>33</v>
      </c>
      <c r="D42" t="s">
        <v>46</v>
      </c>
      <c r="E42" t="s">
        <v>105</v>
      </c>
      <c r="F42" t="s">
        <v>45</v>
      </c>
      <c r="G42" t="s">
        <v>41</v>
      </c>
    </row>
    <row r="43" spans="1:7" x14ac:dyDescent="0.25">
      <c r="A43" t="s">
        <v>483</v>
      </c>
      <c r="B43">
        <v>2</v>
      </c>
      <c r="C43" t="s">
        <v>33</v>
      </c>
      <c r="D43" t="s">
        <v>46</v>
      </c>
      <c r="E43" t="s">
        <v>105</v>
      </c>
      <c r="F43" t="s">
        <v>45</v>
      </c>
      <c r="G43" t="s">
        <v>41</v>
      </c>
    </row>
    <row r="44" spans="1:7" x14ac:dyDescent="0.25">
      <c r="A44" t="s">
        <v>483</v>
      </c>
      <c r="B44">
        <v>4</v>
      </c>
      <c r="C44" t="s">
        <v>33</v>
      </c>
      <c r="D44" t="s">
        <v>46</v>
      </c>
      <c r="E44" t="s">
        <v>126</v>
      </c>
      <c r="F44" t="s">
        <v>45</v>
      </c>
      <c r="G44" t="s">
        <v>41</v>
      </c>
    </row>
    <row r="45" spans="1:7" x14ac:dyDescent="0.25">
      <c r="A45" t="s">
        <v>483</v>
      </c>
      <c r="B45">
        <v>4</v>
      </c>
      <c r="C45" t="s">
        <v>33</v>
      </c>
      <c r="D45" t="s">
        <v>46</v>
      </c>
      <c r="E45" t="s">
        <v>86</v>
      </c>
      <c r="F45" t="s">
        <v>45</v>
      </c>
      <c r="G45" t="s">
        <v>41</v>
      </c>
    </row>
    <row r="46" spans="1:7" x14ac:dyDescent="0.25">
      <c r="A46" t="s">
        <v>482</v>
      </c>
      <c r="B46">
        <v>2</v>
      </c>
      <c r="C46" t="s">
        <v>33</v>
      </c>
      <c r="D46" t="s">
        <v>46</v>
      </c>
      <c r="E46" t="s">
        <v>102</v>
      </c>
      <c r="F46" t="s">
        <v>45</v>
      </c>
      <c r="G46" t="s">
        <v>41</v>
      </c>
    </row>
    <row r="47" spans="1:7" x14ac:dyDescent="0.25">
      <c r="A47" t="s">
        <v>483</v>
      </c>
      <c r="B47">
        <v>2</v>
      </c>
      <c r="C47" t="s">
        <v>33</v>
      </c>
      <c r="D47" t="s">
        <v>46</v>
      </c>
      <c r="E47" t="s">
        <v>102</v>
      </c>
      <c r="F47" t="s">
        <v>45</v>
      </c>
      <c r="G47" t="s">
        <v>41</v>
      </c>
    </row>
    <row r="48" spans="1:7" x14ac:dyDescent="0.25">
      <c r="A48" t="s">
        <v>477</v>
      </c>
      <c r="B48">
        <v>1</v>
      </c>
      <c r="C48" t="s">
        <v>44</v>
      </c>
      <c r="D48" t="s">
        <v>46</v>
      </c>
      <c r="E48" t="s">
        <v>133</v>
      </c>
      <c r="F48" t="s">
        <v>45</v>
      </c>
      <c r="G48" t="s">
        <v>41</v>
      </c>
    </row>
    <row r="49" spans="1:7" x14ac:dyDescent="0.25">
      <c r="A49" t="s">
        <v>477</v>
      </c>
      <c r="B49">
        <v>1</v>
      </c>
      <c r="C49" t="s">
        <v>44</v>
      </c>
      <c r="D49" t="s">
        <v>46</v>
      </c>
      <c r="E49" t="s">
        <v>87</v>
      </c>
      <c r="F49" t="s">
        <v>45</v>
      </c>
      <c r="G49" t="s">
        <v>41</v>
      </c>
    </row>
    <row r="50" spans="1:7" x14ac:dyDescent="0.25">
      <c r="A50" t="s">
        <v>483</v>
      </c>
      <c r="B50">
        <v>4</v>
      </c>
      <c r="C50" t="s">
        <v>33</v>
      </c>
      <c r="D50" t="s">
        <v>46</v>
      </c>
      <c r="E50" t="s">
        <v>145</v>
      </c>
      <c r="F50" t="s">
        <v>45</v>
      </c>
      <c r="G50" t="s">
        <v>41</v>
      </c>
    </row>
    <row r="51" spans="1:7" x14ac:dyDescent="0.25">
      <c r="A51" t="s">
        <v>482</v>
      </c>
      <c r="B51">
        <v>3</v>
      </c>
      <c r="C51" t="s">
        <v>33</v>
      </c>
      <c r="D51" t="s">
        <v>46</v>
      </c>
      <c r="E51" t="s">
        <v>88</v>
      </c>
      <c r="F51" t="s">
        <v>45</v>
      </c>
      <c r="G51" t="s">
        <v>41</v>
      </c>
    </row>
    <row r="52" spans="1:7" x14ac:dyDescent="0.25">
      <c r="A52" t="s">
        <v>483</v>
      </c>
      <c r="B52">
        <v>3</v>
      </c>
      <c r="C52" t="s">
        <v>33</v>
      </c>
      <c r="D52" t="s">
        <v>46</v>
      </c>
      <c r="E52" t="s">
        <v>88</v>
      </c>
      <c r="F52" t="s">
        <v>45</v>
      </c>
      <c r="G52" t="s">
        <v>41</v>
      </c>
    </row>
    <row r="53" spans="1:7" x14ac:dyDescent="0.25">
      <c r="A53" t="s">
        <v>481</v>
      </c>
      <c r="B53">
        <v>2</v>
      </c>
      <c r="C53" s="26" t="s">
        <v>33</v>
      </c>
      <c r="D53" t="s">
        <v>46</v>
      </c>
      <c r="E53" t="s">
        <v>148</v>
      </c>
      <c r="F53" t="s">
        <v>45</v>
      </c>
      <c r="G53" t="s">
        <v>41</v>
      </c>
    </row>
    <row r="54" spans="1:7" x14ac:dyDescent="0.25">
      <c r="A54" t="s">
        <v>482</v>
      </c>
      <c r="B54">
        <v>2</v>
      </c>
      <c r="C54" s="26" t="s">
        <v>33</v>
      </c>
      <c r="D54" t="s">
        <v>46</v>
      </c>
      <c r="E54" t="s">
        <v>148</v>
      </c>
      <c r="F54" t="s">
        <v>45</v>
      </c>
      <c r="G54" t="s">
        <v>41</v>
      </c>
    </row>
    <row r="55" spans="1:7" x14ac:dyDescent="0.25">
      <c r="A55" t="s">
        <v>483</v>
      </c>
      <c r="B55">
        <v>2</v>
      </c>
      <c r="C55" s="26" t="s">
        <v>33</v>
      </c>
      <c r="D55" t="s">
        <v>46</v>
      </c>
      <c r="E55" t="s">
        <v>148</v>
      </c>
      <c r="F55" t="s">
        <v>45</v>
      </c>
      <c r="G55" t="s">
        <v>41</v>
      </c>
    </row>
    <row r="56" spans="1:7" x14ac:dyDescent="0.25">
      <c r="A56" t="s">
        <v>477</v>
      </c>
      <c r="B56">
        <v>1</v>
      </c>
      <c r="C56" s="26" t="s">
        <v>33</v>
      </c>
      <c r="D56" t="s">
        <v>46</v>
      </c>
      <c r="E56" t="s">
        <v>148</v>
      </c>
      <c r="F56" t="s">
        <v>45</v>
      </c>
      <c r="G56" t="s">
        <v>41</v>
      </c>
    </row>
    <row r="57" spans="1:7" x14ac:dyDescent="0.25">
      <c r="A57" t="s">
        <v>483</v>
      </c>
      <c r="B57">
        <v>4</v>
      </c>
      <c r="C57" t="s">
        <v>33</v>
      </c>
      <c r="D57" t="s">
        <v>46</v>
      </c>
      <c r="E57" t="s">
        <v>151</v>
      </c>
      <c r="F57" t="s">
        <v>45</v>
      </c>
      <c r="G57" t="s">
        <v>41</v>
      </c>
    </row>
    <row r="58" spans="1:7" x14ac:dyDescent="0.25">
      <c r="A58" t="s">
        <v>483</v>
      </c>
      <c r="B58">
        <v>4</v>
      </c>
      <c r="C58" t="s">
        <v>62</v>
      </c>
      <c r="D58" t="s">
        <v>35</v>
      </c>
      <c r="E58" t="s">
        <v>119</v>
      </c>
      <c r="F58" s="26" t="s">
        <v>45</v>
      </c>
      <c r="G58" t="s">
        <v>52</v>
      </c>
    </row>
    <row r="59" spans="1:7" x14ac:dyDescent="0.25">
      <c r="A59" t="s">
        <v>483</v>
      </c>
      <c r="B59">
        <v>4</v>
      </c>
      <c r="C59" t="s">
        <v>488</v>
      </c>
      <c r="D59" t="s">
        <v>53</v>
      </c>
      <c r="E59" t="s">
        <v>190</v>
      </c>
      <c r="F59" t="s">
        <v>52</v>
      </c>
      <c r="G59" t="s">
        <v>41</v>
      </c>
    </row>
    <row r="60" spans="1:7" x14ac:dyDescent="0.25">
      <c r="A60" t="s">
        <v>482</v>
      </c>
      <c r="B60">
        <v>1</v>
      </c>
      <c r="C60" s="40" t="s">
        <v>44</v>
      </c>
      <c r="D60" t="s">
        <v>53</v>
      </c>
      <c r="E60" t="s">
        <v>155</v>
      </c>
      <c r="F60" t="s">
        <v>52</v>
      </c>
      <c r="G60" t="s">
        <v>41</v>
      </c>
    </row>
    <row r="61" spans="1:7" x14ac:dyDescent="0.25">
      <c r="A61" t="s">
        <v>483</v>
      </c>
      <c r="B61">
        <v>1</v>
      </c>
      <c r="C61" s="40" t="s">
        <v>44</v>
      </c>
      <c r="D61" t="s">
        <v>53</v>
      </c>
      <c r="E61" t="s">
        <v>155</v>
      </c>
      <c r="F61" t="s">
        <v>52</v>
      </c>
      <c r="G61" t="s">
        <v>41</v>
      </c>
    </row>
    <row r="62" spans="1:7" x14ac:dyDescent="0.25">
      <c r="A62" t="s">
        <v>482</v>
      </c>
      <c r="B62">
        <v>2</v>
      </c>
      <c r="C62" t="s">
        <v>44</v>
      </c>
      <c r="D62" t="s">
        <v>53</v>
      </c>
      <c r="E62" t="s">
        <v>156</v>
      </c>
      <c r="F62" t="s">
        <v>52</v>
      </c>
      <c r="G62" t="s">
        <v>41</v>
      </c>
    </row>
    <row r="63" spans="1:7" x14ac:dyDescent="0.25">
      <c r="A63" t="s">
        <v>483</v>
      </c>
      <c r="B63">
        <v>2</v>
      </c>
      <c r="C63" t="s">
        <v>44</v>
      </c>
      <c r="D63" t="s">
        <v>53</v>
      </c>
      <c r="E63" t="s">
        <v>156</v>
      </c>
      <c r="F63" t="s">
        <v>52</v>
      </c>
      <c r="G63" t="s">
        <v>41</v>
      </c>
    </row>
    <row r="64" spans="1:7" x14ac:dyDescent="0.25">
      <c r="A64" t="s">
        <v>477</v>
      </c>
      <c r="B64">
        <v>1</v>
      </c>
      <c r="C64" t="s">
        <v>51</v>
      </c>
      <c r="D64" t="s">
        <v>53</v>
      </c>
      <c r="E64" t="s">
        <v>80</v>
      </c>
      <c r="F64" t="s">
        <v>52</v>
      </c>
      <c r="G64" t="s">
        <v>41</v>
      </c>
    </row>
    <row r="65" spans="1:7" x14ac:dyDescent="0.25">
      <c r="A65" t="s">
        <v>481</v>
      </c>
      <c r="B65">
        <v>1</v>
      </c>
      <c r="C65" t="s">
        <v>51</v>
      </c>
      <c r="D65" t="s">
        <v>53</v>
      </c>
      <c r="E65" t="s">
        <v>80</v>
      </c>
      <c r="F65" t="s">
        <v>52</v>
      </c>
      <c r="G65" t="s">
        <v>41</v>
      </c>
    </row>
    <row r="66" spans="1:7" x14ac:dyDescent="0.25">
      <c r="A66" t="s">
        <v>482</v>
      </c>
      <c r="B66">
        <v>1</v>
      </c>
      <c r="C66" t="s">
        <v>51</v>
      </c>
      <c r="D66" t="s">
        <v>53</v>
      </c>
      <c r="E66" t="s">
        <v>80</v>
      </c>
      <c r="F66" t="s">
        <v>52</v>
      </c>
      <c r="G66" t="s">
        <v>41</v>
      </c>
    </row>
    <row r="67" spans="1:7" x14ac:dyDescent="0.25">
      <c r="A67" t="s">
        <v>483</v>
      </c>
      <c r="B67">
        <v>1</v>
      </c>
      <c r="C67" t="s">
        <v>51</v>
      </c>
      <c r="D67" t="s">
        <v>53</v>
      </c>
      <c r="E67" t="s">
        <v>80</v>
      </c>
      <c r="F67" t="s">
        <v>52</v>
      </c>
      <c r="G67" t="s">
        <v>41</v>
      </c>
    </row>
    <row r="68" spans="1:7" x14ac:dyDescent="0.25">
      <c r="A68" t="s">
        <v>483</v>
      </c>
      <c r="B68">
        <v>4</v>
      </c>
      <c r="C68" t="s">
        <v>51</v>
      </c>
      <c r="D68" t="s">
        <v>53</v>
      </c>
      <c r="E68" t="s">
        <v>81</v>
      </c>
      <c r="F68" t="s">
        <v>52</v>
      </c>
      <c r="G68" t="s">
        <v>41</v>
      </c>
    </row>
    <row r="69" spans="1:7" x14ac:dyDescent="0.25">
      <c r="A69" t="s">
        <v>482</v>
      </c>
      <c r="B69">
        <v>3</v>
      </c>
      <c r="C69" t="s">
        <v>51</v>
      </c>
      <c r="D69" t="s">
        <v>159</v>
      </c>
      <c r="E69" t="s">
        <v>112</v>
      </c>
      <c r="F69" t="s">
        <v>113</v>
      </c>
      <c r="G69" t="s">
        <v>41</v>
      </c>
    </row>
    <row r="70" spans="1:7" x14ac:dyDescent="0.25">
      <c r="A70" t="s">
        <v>483</v>
      </c>
      <c r="B70">
        <v>3</v>
      </c>
      <c r="C70" t="s">
        <v>51</v>
      </c>
      <c r="D70" t="s">
        <v>159</v>
      </c>
      <c r="E70" t="s">
        <v>112</v>
      </c>
      <c r="F70" t="s">
        <v>113</v>
      </c>
      <c r="G70" t="s">
        <v>41</v>
      </c>
    </row>
    <row r="71" spans="1:7" x14ac:dyDescent="0.25">
      <c r="A71" t="s">
        <v>482</v>
      </c>
      <c r="B71">
        <v>1</v>
      </c>
      <c r="C71" t="s">
        <v>51</v>
      </c>
      <c r="D71" t="s">
        <v>159</v>
      </c>
      <c r="E71" t="s">
        <v>5</v>
      </c>
      <c r="F71" t="s">
        <v>113</v>
      </c>
      <c r="G71" t="s">
        <v>41</v>
      </c>
    </row>
    <row r="72" spans="1:7" x14ac:dyDescent="0.25">
      <c r="A72" t="s">
        <v>483</v>
      </c>
      <c r="B72">
        <v>1</v>
      </c>
      <c r="C72" t="s">
        <v>51</v>
      </c>
      <c r="D72" t="s">
        <v>159</v>
      </c>
      <c r="E72" t="s">
        <v>5</v>
      </c>
      <c r="F72" t="s">
        <v>113</v>
      </c>
      <c r="G72" t="s">
        <v>41</v>
      </c>
    </row>
    <row r="73" spans="1:7" x14ac:dyDescent="0.25">
      <c r="A73" t="s">
        <v>477</v>
      </c>
      <c r="B73">
        <v>1</v>
      </c>
      <c r="C73" t="s">
        <v>60</v>
      </c>
      <c r="D73" t="s">
        <v>53</v>
      </c>
      <c r="E73" t="s">
        <v>61</v>
      </c>
      <c r="F73" t="s">
        <v>41</v>
      </c>
      <c r="G73" t="s">
        <v>41</v>
      </c>
    </row>
    <row r="74" spans="1:7" x14ac:dyDescent="0.25">
      <c r="A74" t="s">
        <v>481</v>
      </c>
      <c r="B74">
        <v>2</v>
      </c>
      <c r="C74" t="s">
        <v>60</v>
      </c>
      <c r="D74" t="s">
        <v>159</v>
      </c>
      <c r="E74" t="s">
        <v>61</v>
      </c>
      <c r="F74" t="s">
        <v>41</v>
      </c>
      <c r="G74" t="s">
        <v>41</v>
      </c>
    </row>
    <row r="75" spans="1:7" x14ac:dyDescent="0.25">
      <c r="A75" t="s">
        <v>482</v>
      </c>
      <c r="B75">
        <v>2</v>
      </c>
      <c r="C75" t="s">
        <v>60</v>
      </c>
      <c r="D75" t="s">
        <v>159</v>
      </c>
      <c r="E75" t="s">
        <v>61</v>
      </c>
      <c r="F75" t="s">
        <v>41</v>
      </c>
      <c r="G75" t="s">
        <v>41</v>
      </c>
    </row>
    <row r="76" spans="1:7" x14ac:dyDescent="0.25">
      <c r="A76" t="s">
        <v>483</v>
      </c>
      <c r="B76">
        <v>2</v>
      </c>
      <c r="C76" t="s">
        <v>60</v>
      </c>
      <c r="D76" t="s">
        <v>159</v>
      </c>
      <c r="E76" t="s">
        <v>61</v>
      </c>
      <c r="F76" t="s">
        <v>41</v>
      </c>
      <c r="G76" t="s">
        <v>41</v>
      </c>
    </row>
    <row r="77" spans="1:7" x14ac:dyDescent="0.25">
      <c r="A77" t="s">
        <v>477</v>
      </c>
      <c r="B77">
        <v>1</v>
      </c>
      <c r="C77" t="s">
        <v>60</v>
      </c>
      <c r="D77" t="s">
        <v>35</v>
      </c>
      <c r="E77" t="s">
        <v>479</v>
      </c>
      <c r="F77" t="s">
        <v>41</v>
      </c>
      <c r="G77" t="s">
        <v>41</v>
      </c>
    </row>
    <row r="78" spans="1:7" x14ac:dyDescent="0.25">
      <c r="A78" t="s">
        <v>481</v>
      </c>
      <c r="B78">
        <v>1</v>
      </c>
      <c r="C78" t="s">
        <v>60</v>
      </c>
      <c r="D78" t="s">
        <v>35</v>
      </c>
      <c r="E78" t="s">
        <v>479</v>
      </c>
      <c r="F78" t="s">
        <v>41</v>
      </c>
      <c r="G78" t="s">
        <v>41</v>
      </c>
    </row>
    <row r="79" spans="1:7" x14ac:dyDescent="0.25">
      <c r="A79" t="s">
        <v>482</v>
      </c>
      <c r="B79">
        <v>1</v>
      </c>
      <c r="C79" t="s">
        <v>60</v>
      </c>
      <c r="D79" t="s">
        <v>35</v>
      </c>
      <c r="E79" t="s">
        <v>479</v>
      </c>
      <c r="F79" t="s">
        <v>41</v>
      </c>
      <c r="G79" t="s">
        <v>41</v>
      </c>
    </row>
    <row r="80" spans="1:7" x14ac:dyDescent="0.25">
      <c r="A80" t="s">
        <v>483</v>
      </c>
      <c r="B80">
        <v>1</v>
      </c>
      <c r="C80" t="s">
        <v>60</v>
      </c>
      <c r="D80" t="s">
        <v>35</v>
      </c>
      <c r="E80" t="s">
        <v>479</v>
      </c>
      <c r="F80" t="s">
        <v>41</v>
      </c>
      <c r="G80" t="s">
        <v>41</v>
      </c>
    </row>
    <row r="81" spans="1:7" x14ac:dyDescent="0.25">
      <c r="A81" t="s">
        <v>477</v>
      </c>
      <c r="B81">
        <v>1</v>
      </c>
      <c r="C81" t="s">
        <v>60</v>
      </c>
      <c r="D81" t="s">
        <v>35</v>
      </c>
      <c r="E81" t="s">
        <v>169</v>
      </c>
      <c r="F81" t="s">
        <v>41</v>
      </c>
      <c r="G81" t="s">
        <v>41</v>
      </c>
    </row>
    <row r="82" spans="1:7" x14ac:dyDescent="0.25">
      <c r="A82" t="s">
        <v>481</v>
      </c>
      <c r="B82">
        <v>1</v>
      </c>
      <c r="C82" t="s">
        <v>60</v>
      </c>
      <c r="D82" t="s">
        <v>35</v>
      </c>
      <c r="E82" t="s">
        <v>169</v>
      </c>
      <c r="F82" t="s">
        <v>41</v>
      </c>
      <c r="G82" t="s">
        <v>41</v>
      </c>
    </row>
    <row r="83" spans="1:7" x14ac:dyDescent="0.25">
      <c r="A83" t="s">
        <v>482</v>
      </c>
      <c r="B83">
        <v>1</v>
      </c>
      <c r="C83" t="s">
        <v>60</v>
      </c>
      <c r="D83" t="s">
        <v>35</v>
      </c>
      <c r="E83" t="s">
        <v>169</v>
      </c>
      <c r="F83" t="s">
        <v>41</v>
      </c>
      <c r="G83" t="s">
        <v>41</v>
      </c>
    </row>
    <row r="84" spans="1:7" x14ac:dyDescent="0.25">
      <c r="A84" t="s">
        <v>483</v>
      </c>
      <c r="B84">
        <v>1</v>
      </c>
      <c r="C84" t="s">
        <v>60</v>
      </c>
      <c r="D84" t="s">
        <v>35</v>
      </c>
      <c r="E84" t="s">
        <v>169</v>
      </c>
      <c r="F84" t="s">
        <v>41</v>
      </c>
      <c r="G84" t="s">
        <v>41</v>
      </c>
    </row>
    <row r="85" spans="1:7" x14ac:dyDescent="0.25">
      <c r="A85" t="s">
        <v>477</v>
      </c>
      <c r="B85">
        <v>1</v>
      </c>
      <c r="C85" t="s">
        <v>60</v>
      </c>
      <c r="D85" t="s">
        <v>35</v>
      </c>
      <c r="E85" t="s">
        <v>489</v>
      </c>
      <c r="F85" t="s">
        <v>41</v>
      </c>
      <c r="G85" t="s">
        <v>41</v>
      </c>
    </row>
    <row r="86" spans="1:7" x14ac:dyDescent="0.25">
      <c r="A86" t="s">
        <v>481</v>
      </c>
      <c r="B86">
        <v>2</v>
      </c>
      <c r="C86" t="s">
        <v>60</v>
      </c>
      <c r="D86" t="s">
        <v>35</v>
      </c>
      <c r="E86" t="s">
        <v>489</v>
      </c>
      <c r="F86" t="s">
        <v>41</v>
      </c>
      <c r="G86" t="s">
        <v>41</v>
      </c>
    </row>
    <row r="87" spans="1:7" x14ac:dyDescent="0.25">
      <c r="A87" t="s">
        <v>482</v>
      </c>
      <c r="B87">
        <v>3</v>
      </c>
      <c r="C87" t="s">
        <v>60</v>
      </c>
      <c r="D87" t="s">
        <v>35</v>
      </c>
      <c r="E87" t="s">
        <v>489</v>
      </c>
      <c r="F87" t="s">
        <v>41</v>
      </c>
      <c r="G87" t="s">
        <v>41</v>
      </c>
    </row>
  </sheetData>
  <conditionalFormatting sqref="E57:E68 E12:E23">
    <cfRule type="duplicateValues" dxfId="5201" priority="52"/>
  </conditionalFormatting>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37a0e74-f175-415b-aa68-355d898a8d11">
      <Terms xmlns="http://schemas.microsoft.com/office/infopath/2007/PartnerControls"/>
    </lcf76f155ced4ddcb4097134ff3c332f>
    <TaxCatchAll xmlns="6837d1b0-7efd-4e02-bff5-49cb5faa4071"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A61524887155043B1F8BCAEF48CD5EC" ma:contentTypeVersion="12" ma:contentTypeDescription="Create a new document." ma:contentTypeScope="" ma:versionID="ff3af476876f5d754cdfe7ed0f8f9ad2">
  <xsd:schema xmlns:xsd="http://www.w3.org/2001/XMLSchema" xmlns:xs="http://www.w3.org/2001/XMLSchema" xmlns:p="http://schemas.microsoft.com/office/2006/metadata/properties" xmlns:ns2="237a0e74-f175-415b-aa68-355d898a8d11" xmlns:ns3="6837d1b0-7efd-4e02-bff5-49cb5faa4071" targetNamespace="http://schemas.microsoft.com/office/2006/metadata/properties" ma:root="true" ma:fieldsID="b889516e7db6de27f2467d8986df9f6b" ns2:_="" ns3:_="">
    <xsd:import namespace="237a0e74-f175-415b-aa68-355d898a8d11"/>
    <xsd:import namespace="6837d1b0-7efd-4e02-bff5-49cb5faa4071"/>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37a0e74-f175-415b-aa68-355d898a8d1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20adf142-3c85-4e13-81c0-7313cf8d11f0"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837d1b0-7efd-4e02-bff5-49cb5faa4071"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b132914e-f07d-4e65-b770-975f7dad6703}" ma:internalName="TaxCatchAll" ma:showField="CatchAllData" ma:web="6837d1b0-7efd-4e02-bff5-49cb5faa4071">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5BA6FF8-27A4-483A-9423-B3F7C83CBC8B}">
  <ds:schemaRefs>
    <ds:schemaRef ds:uri="http://schemas.microsoft.com/office/2006/metadata/properties"/>
    <ds:schemaRef ds:uri="http://schemas.microsoft.com/office/infopath/2007/PartnerControls"/>
    <ds:schemaRef ds:uri="237a0e74-f175-415b-aa68-355d898a8d11"/>
    <ds:schemaRef ds:uri="6837d1b0-7efd-4e02-bff5-49cb5faa4071"/>
  </ds:schemaRefs>
</ds:datastoreItem>
</file>

<file path=customXml/itemProps2.xml><?xml version="1.0" encoding="utf-8"?>
<ds:datastoreItem xmlns:ds="http://schemas.openxmlformats.org/officeDocument/2006/customXml" ds:itemID="{1778E3FD-3810-400B-B590-807C042E34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37a0e74-f175-415b-aa68-355d898a8d11"/>
    <ds:schemaRef ds:uri="6837d1b0-7efd-4e02-bff5-49cb5faa407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7908B2B-8CFE-4022-8A05-46A12B1DA46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Dynamic Split</vt:lpstr>
      <vt:lpstr>Cambio de Split</vt:lpstr>
      <vt:lpstr>Flat Base</vt:lpstr>
      <vt:lpstr>Important Info!</vt:lpstr>
      <vt:lpstr>H.A. Dynamic Split</vt:lpstr>
      <vt:lpstr>Maestra</vt:lpstr>
      <vt:lpstr> (H.A.) Flat Base</vt:lpstr>
      <vt:lpstr>'Dynamic Split'!Print_Area</vt:lpstr>
      <vt:lpstr>'H.A. Dynamic Split'!Print_Area</vt:lpstr>
    </vt:vector>
  </TitlesOfParts>
  <Manager/>
  <Company>Luffi</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Luffi</dc:creator>
  <cp:keywords/>
  <dc:description/>
  <cp:lastModifiedBy>Central Station CO</cp:lastModifiedBy>
  <cp:revision/>
  <dcterms:created xsi:type="dcterms:W3CDTF">2023-04-11T21:33:52Z</dcterms:created>
  <dcterms:modified xsi:type="dcterms:W3CDTF">2025-10-28T01:18:12Z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0x0101007A61524887155043B1F8BCAEF48CD5EC</vt:lpwstr>
  </property>
  <property fmtid="{D5CDD505-2E9C-101B-9397-08002B2CF9AE}" pid="3" name="MediaServiceImageTags">
    <vt:lpwstr/>
  </property>
</Properties>
</file>